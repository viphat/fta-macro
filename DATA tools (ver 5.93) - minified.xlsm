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0" yWindow="4380" windowWidth="15600" windowHeight="1305" tabRatio="860"/>
  </bookViews>
  <sheets>
    <sheet name="AUTO" sheetId="14" r:id="rId1"/>
    <sheet name="1-Sort" sheetId="1" r:id="rId2"/>
    <sheet name="1-DATA" sheetId="2" r:id="rId3"/>
  </sheets>
  <functionGroups builtInGroupCount="17"/>
  <calcPr calcId="144525" concurrentCalc="0"/>
</workbook>
</file>

<file path=xl/calcChain.xml><?xml version="1.0" encoding="utf-8"?>
<calcChain xmlns="http://schemas.openxmlformats.org/spreadsheetml/2006/main">
  <c r="I1" i="1" l="1"/>
  <c r="F3" i="1"/>
  <c r="A2" i="1"/>
  <c r="F2" i="1"/>
  <c r="I2" i="1"/>
  <c r="B6" i="1"/>
  <c r="D8" i="1"/>
  <c r="H8" i="1"/>
  <c r="L8" i="1"/>
  <c r="P8" i="1"/>
  <c r="T8" i="1"/>
  <c r="X8" i="1"/>
  <c r="AB8" i="1"/>
  <c r="AF8" i="1"/>
  <c r="AJ8" i="1"/>
  <c r="AN8" i="1"/>
  <c r="AR8" i="1"/>
  <c r="AV8" i="1"/>
  <c r="AZ8" i="1"/>
  <c r="E8" i="1"/>
  <c r="I8" i="1"/>
  <c r="M8" i="1"/>
  <c r="Q8" i="1"/>
  <c r="U8" i="1"/>
  <c r="Y8" i="1"/>
  <c r="AC8" i="1"/>
  <c r="AG8" i="1"/>
  <c r="AK8" i="1"/>
  <c r="AO8" i="1"/>
  <c r="AS8" i="1"/>
  <c r="AW8" i="1"/>
  <c r="F8" i="1"/>
  <c r="J8" i="1"/>
  <c r="N8" i="1"/>
  <c r="R8" i="1"/>
  <c r="V8" i="1"/>
  <c r="Z8" i="1"/>
  <c r="AD8" i="1"/>
  <c r="AH8" i="1"/>
  <c r="AL8" i="1"/>
  <c r="AP8" i="1"/>
  <c r="AT8" i="1"/>
  <c r="AX8" i="1"/>
  <c r="G8" i="1"/>
  <c r="K8" i="1"/>
  <c r="O8" i="1"/>
  <c r="S8" i="1"/>
  <c r="W8" i="1"/>
  <c r="AA8" i="1"/>
  <c r="AE8" i="1"/>
  <c r="AI8" i="1"/>
  <c r="AM8" i="1"/>
  <c r="AQ8" i="1"/>
  <c r="AU8" i="1"/>
  <c r="AY8" i="1"/>
  <c r="I3" i="1"/>
  <c r="C8" i="1"/>
  <c r="B8" i="1"/>
  <c r="C2" i="1"/>
  <c r="D2" i="1"/>
  <c r="C1" i="1"/>
  <c r="F1" i="1"/>
  <c r="M3" i="1"/>
  <c r="E7" i="1"/>
  <c r="I7" i="1"/>
  <c r="M7" i="1"/>
  <c r="Q7" i="1"/>
  <c r="U7" i="1"/>
  <c r="Y7" i="1"/>
  <c r="AC7" i="1"/>
  <c r="AG7" i="1"/>
  <c r="AK7" i="1"/>
  <c r="AO7" i="1"/>
  <c r="AS7" i="1"/>
  <c r="AW7" i="1"/>
  <c r="F7" i="1"/>
  <c r="J7" i="1"/>
  <c r="N7" i="1"/>
  <c r="R7" i="1"/>
  <c r="V7" i="1"/>
  <c r="Z7" i="1"/>
  <c r="AD7" i="1"/>
  <c r="AH7" i="1"/>
  <c r="AL7" i="1"/>
  <c r="AP7" i="1"/>
  <c r="AT7" i="1"/>
  <c r="AX7" i="1"/>
  <c r="G7" i="1"/>
  <c r="K7" i="1"/>
  <c r="O7" i="1"/>
  <c r="S7" i="1"/>
  <c r="W7" i="1"/>
  <c r="AA7" i="1"/>
  <c r="AE7" i="1"/>
  <c r="AI7" i="1"/>
  <c r="AM7" i="1"/>
  <c r="AQ7" i="1"/>
  <c r="AU7" i="1"/>
  <c r="AY7" i="1"/>
  <c r="D7" i="1"/>
  <c r="H7" i="1"/>
  <c r="L7" i="1"/>
  <c r="P7" i="1"/>
  <c r="T7" i="1"/>
  <c r="X7" i="1"/>
  <c r="AB7" i="1"/>
  <c r="AF7" i="1"/>
  <c r="AJ7" i="1"/>
  <c r="AN7" i="1"/>
  <c r="AR7" i="1"/>
  <c r="AV7" i="1"/>
  <c r="AZ7" i="1"/>
  <c r="C7" i="1"/>
  <c r="E2" i="1"/>
  <c r="A9" i="1"/>
  <c r="B5" i="1"/>
  <c r="A10" i="1"/>
  <c r="B9" i="1"/>
  <c r="D9" i="1"/>
  <c r="H9" i="1"/>
  <c r="L9" i="1"/>
  <c r="P9" i="1"/>
  <c r="T9" i="1"/>
  <c r="X9" i="1"/>
  <c r="AB9" i="1"/>
  <c r="AF9" i="1"/>
  <c r="AJ9" i="1"/>
  <c r="AN9" i="1"/>
  <c r="AR9" i="1"/>
  <c r="AV9" i="1"/>
  <c r="AZ9" i="1"/>
  <c r="E9" i="1"/>
  <c r="I9" i="1"/>
  <c r="M9" i="1"/>
  <c r="Q9" i="1"/>
  <c r="U9" i="1"/>
  <c r="Y9" i="1"/>
  <c r="AC9" i="1"/>
  <c r="AG9" i="1"/>
  <c r="AK9" i="1"/>
  <c r="AO9" i="1"/>
  <c r="AS9" i="1"/>
  <c r="AW9" i="1"/>
  <c r="F9" i="1"/>
  <c r="J9" i="1"/>
  <c r="N9" i="1"/>
  <c r="R9" i="1"/>
  <c r="V9" i="1"/>
  <c r="Z9" i="1"/>
  <c r="AD9" i="1"/>
  <c r="AH9" i="1"/>
  <c r="AL9" i="1"/>
  <c r="AP9" i="1"/>
  <c r="AT9" i="1"/>
  <c r="AX9" i="1"/>
  <c r="G9" i="1"/>
  <c r="K9" i="1"/>
  <c r="O9" i="1"/>
  <c r="S9" i="1"/>
  <c r="W9" i="1"/>
  <c r="AA9" i="1"/>
  <c r="AE9" i="1"/>
  <c r="AI9" i="1"/>
  <c r="AM9" i="1"/>
  <c r="AQ9" i="1"/>
  <c r="AU9" i="1"/>
  <c r="AY9" i="1"/>
  <c r="C9" i="1"/>
  <c r="A11" i="1"/>
  <c r="B10" i="1"/>
  <c r="G10" i="1"/>
  <c r="K10" i="1"/>
  <c r="O10" i="1"/>
  <c r="S10" i="1"/>
  <c r="W10" i="1"/>
  <c r="AA10" i="1"/>
  <c r="AE10" i="1"/>
  <c r="AI10" i="1"/>
  <c r="AM10" i="1"/>
  <c r="AQ10" i="1"/>
  <c r="AU10" i="1"/>
  <c r="AY10" i="1"/>
  <c r="D10" i="1"/>
  <c r="H10" i="1"/>
  <c r="L10" i="1"/>
  <c r="P10" i="1"/>
  <c r="T10" i="1"/>
  <c r="X10" i="1"/>
  <c r="AB10" i="1"/>
  <c r="AF10" i="1"/>
  <c r="AJ10" i="1"/>
  <c r="AN10" i="1"/>
  <c r="AR10" i="1"/>
  <c r="AV10" i="1"/>
  <c r="AZ10" i="1"/>
  <c r="E10" i="1"/>
  <c r="I10" i="1"/>
  <c r="M10" i="1"/>
  <c r="Q10" i="1"/>
  <c r="U10" i="1"/>
  <c r="Y10" i="1"/>
  <c r="AC10" i="1"/>
  <c r="AG10" i="1"/>
  <c r="AK10" i="1"/>
  <c r="AO10" i="1"/>
  <c r="AS10" i="1"/>
  <c r="AW10" i="1"/>
  <c r="F10" i="1"/>
  <c r="J10" i="1"/>
  <c r="N10" i="1"/>
  <c r="R10" i="1"/>
  <c r="V10" i="1"/>
  <c r="Z10" i="1"/>
  <c r="AD10" i="1"/>
  <c r="AH10" i="1"/>
  <c r="AL10" i="1"/>
  <c r="AP10" i="1"/>
  <c r="AT10" i="1"/>
  <c r="AX10" i="1"/>
  <c r="C10" i="1"/>
  <c r="A12" i="1"/>
  <c r="B11" i="1"/>
  <c r="F11" i="1"/>
  <c r="J11" i="1"/>
  <c r="N11" i="1"/>
  <c r="R11" i="1"/>
  <c r="V11" i="1"/>
  <c r="Z11" i="1"/>
  <c r="AD11" i="1"/>
  <c r="AH11" i="1"/>
  <c r="AL11" i="1"/>
  <c r="AP11" i="1"/>
  <c r="AT11" i="1"/>
  <c r="AX11" i="1"/>
  <c r="G11" i="1"/>
  <c r="K11" i="1"/>
  <c r="O11" i="1"/>
  <c r="S11" i="1"/>
  <c r="W11" i="1"/>
  <c r="AA11" i="1"/>
  <c r="AE11" i="1"/>
  <c r="AI11" i="1"/>
  <c r="AM11" i="1"/>
  <c r="AQ11" i="1"/>
  <c r="AU11" i="1"/>
  <c r="AY11" i="1"/>
  <c r="D11" i="1"/>
  <c r="H11" i="1"/>
  <c r="L11" i="1"/>
  <c r="P11" i="1"/>
  <c r="T11" i="1"/>
  <c r="X11" i="1"/>
  <c r="AB11" i="1"/>
  <c r="AF11" i="1"/>
  <c r="AJ11" i="1"/>
  <c r="AN11" i="1"/>
  <c r="AR11" i="1"/>
  <c r="AV11" i="1"/>
  <c r="AZ11" i="1"/>
  <c r="E11" i="1"/>
  <c r="I11" i="1"/>
  <c r="M11" i="1"/>
  <c r="Q11" i="1"/>
  <c r="U11" i="1"/>
  <c r="Y11" i="1"/>
  <c r="AC11" i="1"/>
  <c r="AG11" i="1"/>
  <c r="AK11" i="1"/>
  <c r="AO11" i="1"/>
  <c r="AS11" i="1"/>
  <c r="AW11" i="1"/>
  <c r="C11" i="1"/>
  <c r="A13" i="1"/>
  <c r="B12" i="1"/>
  <c r="E12" i="1"/>
  <c r="I12" i="1"/>
  <c r="M12" i="1"/>
  <c r="Q12" i="1"/>
  <c r="U12" i="1"/>
  <c r="Y12" i="1"/>
  <c r="AC12" i="1"/>
  <c r="AG12" i="1"/>
  <c r="AK12" i="1"/>
  <c r="F12" i="1"/>
  <c r="J12" i="1"/>
  <c r="N12" i="1"/>
  <c r="R12" i="1"/>
  <c r="V12" i="1"/>
  <c r="Z12" i="1"/>
  <c r="AD12" i="1"/>
  <c r="AH12" i="1"/>
  <c r="AL12" i="1"/>
  <c r="G12" i="1"/>
  <c r="K12" i="1"/>
  <c r="O12" i="1"/>
  <c r="S12" i="1"/>
  <c r="W12" i="1"/>
  <c r="AA12" i="1"/>
  <c r="AE12" i="1"/>
  <c r="D12" i="1"/>
  <c r="H12" i="1"/>
  <c r="L12" i="1"/>
  <c r="P12" i="1"/>
  <c r="T12" i="1"/>
  <c r="X12" i="1"/>
  <c r="AB12" i="1"/>
  <c r="AF12" i="1"/>
  <c r="AJ12" i="1"/>
  <c r="AI12" i="1"/>
  <c r="AP12" i="1"/>
  <c r="AT12" i="1"/>
  <c r="AX12" i="1"/>
  <c r="AM12" i="1"/>
  <c r="AQ12" i="1"/>
  <c r="AU12" i="1"/>
  <c r="AY12" i="1"/>
  <c r="AN12" i="1"/>
  <c r="AR12" i="1"/>
  <c r="AV12" i="1"/>
  <c r="AZ12" i="1"/>
  <c r="AO12" i="1"/>
  <c r="AS12" i="1"/>
  <c r="AW12" i="1"/>
  <c r="C12" i="1"/>
  <c r="A14" i="1"/>
  <c r="B13" i="1"/>
  <c r="E13" i="1"/>
  <c r="I13" i="1"/>
  <c r="M13" i="1"/>
  <c r="Q13" i="1"/>
  <c r="U13" i="1"/>
  <c r="Y13" i="1"/>
  <c r="AC13" i="1"/>
  <c r="AG13" i="1"/>
  <c r="AK13" i="1"/>
  <c r="AO13" i="1"/>
  <c r="AS13" i="1"/>
  <c r="AW13" i="1"/>
  <c r="F13" i="1"/>
  <c r="J13" i="1"/>
  <c r="N13" i="1"/>
  <c r="R13" i="1"/>
  <c r="V13" i="1"/>
  <c r="Z13" i="1"/>
  <c r="AD13" i="1"/>
  <c r="AH13" i="1"/>
  <c r="AL13" i="1"/>
  <c r="AP13" i="1"/>
  <c r="AT13" i="1"/>
  <c r="AX13" i="1"/>
  <c r="G13" i="1"/>
  <c r="K13" i="1"/>
  <c r="O13" i="1"/>
  <c r="S13" i="1"/>
  <c r="W13" i="1"/>
  <c r="AA13" i="1"/>
  <c r="AE13" i="1"/>
  <c r="AI13" i="1"/>
  <c r="AM13" i="1"/>
  <c r="AQ13" i="1"/>
  <c r="AU13" i="1"/>
  <c r="AY13" i="1"/>
  <c r="D13" i="1"/>
  <c r="H13" i="1"/>
  <c r="L13" i="1"/>
  <c r="P13" i="1"/>
  <c r="T13" i="1"/>
  <c r="X13" i="1"/>
  <c r="AB13" i="1"/>
  <c r="AF13" i="1"/>
  <c r="AJ13" i="1"/>
  <c r="AN13" i="1"/>
  <c r="AR13" i="1"/>
  <c r="AV13" i="1"/>
  <c r="AZ13" i="1"/>
  <c r="C13" i="1"/>
  <c r="A15" i="1"/>
  <c r="B14" i="1"/>
  <c r="D14" i="1"/>
  <c r="H14" i="1"/>
  <c r="L14" i="1"/>
  <c r="P14" i="1"/>
  <c r="T14" i="1"/>
  <c r="X14" i="1"/>
  <c r="AB14" i="1"/>
  <c r="AF14" i="1"/>
  <c r="AJ14" i="1"/>
  <c r="AN14" i="1"/>
  <c r="AR14" i="1"/>
  <c r="AV14" i="1"/>
  <c r="AZ14" i="1"/>
  <c r="E14" i="1"/>
  <c r="I14" i="1"/>
  <c r="M14" i="1"/>
  <c r="Q14" i="1"/>
  <c r="U14" i="1"/>
  <c r="Y14" i="1"/>
  <c r="AC14" i="1"/>
  <c r="AG14" i="1"/>
  <c r="AK14" i="1"/>
  <c r="AO14" i="1"/>
  <c r="AS14" i="1"/>
  <c r="AW14" i="1"/>
  <c r="F14" i="1"/>
  <c r="J14" i="1"/>
  <c r="N14" i="1"/>
  <c r="R14" i="1"/>
  <c r="V14" i="1"/>
  <c r="Z14" i="1"/>
  <c r="AD14" i="1"/>
  <c r="AH14" i="1"/>
  <c r="AL14" i="1"/>
  <c r="AP14" i="1"/>
  <c r="AT14" i="1"/>
  <c r="AX14" i="1"/>
  <c r="G14" i="1"/>
  <c r="K14" i="1"/>
  <c r="O14" i="1"/>
  <c r="S14" i="1"/>
  <c r="W14" i="1"/>
  <c r="AA14" i="1"/>
  <c r="AE14" i="1"/>
  <c r="AI14" i="1"/>
  <c r="AM14" i="1"/>
  <c r="AQ14" i="1"/>
  <c r="AU14" i="1"/>
  <c r="AY14" i="1"/>
  <c r="C14" i="1"/>
  <c r="A16" i="1"/>
  <c r="B15" i="1"/>
  <c r="G15" i="1"/>
  <c r="K15" i="1"/>
  <c r="O15" i="1"/>
  <c r="S15" i="1"/>
  <c r="W15" i="1"/>
  <c r="AA15" i="1"/>
  <c r="AE15" i="1"/>
  <c r="AI15" i="1"/>
  <c r="AM15" i="1"/>
  <c r="AQ15" i="1"/>
  <c r="AU15" i="1"/>
  <c r="AY15" i="1"/>
  <c r="D15" i="1"/>
  <c r="H15" i="1"/>
  <c r="L15" i="1"/>
  <c r="P15" i="1"/>
  <c r="T15" i="1"/>
  <c r="X15" i="1"/>
  <c r="AB15" i="1"/>
  <c r="AF15" i="1"/>
  <c r="AJ15" i="1"/>
  <c r="AN15" i="1"/>
  <c r="AR15" i="1"/>
  <c r="AV15" i="1"/>
  <c r="AZ15" i="1"/>
  <c r="E15" i="1"/>
  <c r="I15" i="1"/>
  <c r="M15" i="1"/>
  <c r="Q15" i="1"/>
  <c r="U15" i="1"/>
  <c r="Y15" i="1"/>
  <c r="AC15" i="1"/>
  <c r="AG15" i="1"/>
  <c r="AK15" i="1"/>
  <c r="AO15" i="1"/>
  <c r="AS15" i="1"/>
  <c r="AW15" i="1"/>
  <c r="F15" i="1"/>
  <c r="J15" i="1"/>
  <c r="N15" i="1"/>
  <c r="R15" i="1"/>
  <c r="V15" i="1"/>
  <c r="Z15" i="1"/>
  <c r="AD15" i="1"/>
  <c r="AH15" i="1"/>
  <c r="AL15" i="1"/>
  <c r="AP15" i="1"/>
  <c r="AT15" i="1"/>
  <c r="AX15" i="1"/>
  <c r="C15" i="1"/>
  <c r="A17" i="1"/>
  <c r="B16" i="1"/>
  <c r="E16" i="1"/>
  <c r="I16" i="1"/>
  <c r="M16" i="1"/>
  <c r="Q16" i="1"/>
  <c r="U16" i="1"/>
  <c r="Y16" i="1"/>
  <c r="AC16" i="1"/>
  <c r="AG16" i="1"/>
  <c r="AK16" i="1"/>
  <c r="AO16" i="1"/>
  <c r="AS16" i="1"/>
  <c r="AW16" i="1"/>
  <c r="F16" i="1"/>
  <c r="J16" i="1"/>
  <c r="N16" i="1"/>
  <c r="R16" i="1"/>
  <c r="V16" i="1"/>
  <c r="Z16" i="1"/>
  <c r="AD16" i="1"/>
  <c r="AH16" i="1"/>
  <c r="AL16" i="1"/>
  <c r="AP16" i="1"/>
  <c r="AT16" i="1"/>
  <c r="AX16" i="1"/>
  <c r="G16" i="1"/>
  <c r="K16" i="1"/>
  <c r="O16" i="1"/>
  <c r="S16" i="1"/>
  <c r="W16" i="1"/>
  <c r="AA16" i="1"/>
  <c r="AE16" i="1"/>
  <c r="AI16" i="1"/>
  <c r="AM16" i="1"/>
  <c r="AQ16" i="1"/>
  <c r="AU16" i="1"/>
  <c r="AY16" i="1"/>
  <c r="D16" i="1"/>
  <c r="H16" i="1"/>
  <c r="L16" i="1"/>
  <c r="P16" i="1"/>
  <c r="T16" i="1"/>
  <c r="X16" i="1"/>
  <c r="AB16" i="1"/>
  <c r="AF16" i="1"/>
  <c r="AJ16" i="1"/>
  <c r="AN16" i="1"/>
  <c r="AR16" i="1"/>
  <c r="AV16" i="1"/>
  <c r="AZ16" i="1"/>
  <c r="C16" i="1"/>
  <c r="A18" i="1"/>
  <c r="B17" i="1"/>
  <c r="D17" i="1"/>
  <c r="H17" i="1"/>
  <c r="L17" i="1"/>
  <c r="P17" i="1"/>
  <c r="T17" i="1"/>
  <c r="X17" i="1"/>
  <c r="AB17" i="1"/>
  <c r="AF17" i="1"/>
  <c r="AJ17" i="1"/>
  <c r="AN17" i="1"/>
  <c r="AR17" i="1"/>
  <c r="AV17" i="1"/>
  <c r="AZ17" i="1"/>
  <c r="E17" i="1"/>
  <c r="I17" i="1"/>
  <c r="M17" i="1"/>
  <c r="Q17" i="1"/>
  <c r="U17" i="1"/>
  <c r="Y17" i="1"/>
  <c r="AC17" i="1"/>
  <c r="AG17" i="1"/>
  <c r="AK17" i="1"/>
  <c r="AO17" i="1"/>
  <c r="AS17" i="1"/>
  <c r="AW17" i="1"/>
  <c r="F17" i="1"/>
  <c r="J17" i="1"/>
  <c r="N17" i="1"/>
  <c r="R17" i="1"/>
  <c r="V17" i="1"/>
  <c r="Z17" i="1"/>
  <c r="AD17" i="1"/>
  <c r="AH17" i="1"/>
  <c r="AL17" i="1"/>
  <c r="AP17" i="1"/>
  <c r="AT17" i="1"/>
  <c r="AX17" i="1"/>
  <c r="G17" i="1"/>
  <c r="K17" i="1"/>
  <c r="O17" i="1"/>
  <c r="S17" i="1"/>
  <c r="W17" i="1"/>
  <c r="AA17" i="1"/>
  <c r="AE17" i="1"/>
  <c r="AI17" i="1"/>
  <c r="AM17" i="1"/>
  <c r="AQ17" i="1"/>
  <c r="AU17" i="1"/>
  <c r="AY17" i="1"/>
  <c r="C17" i="1"/>
  <c r="A19" i="1"/>
  <c r="B18" i="1"/>
  <c r="G18" i="1"/>
  <c r="K18" i="1"/>
  <c r="O18" i="1"/>
  <c r="S18" i="1"/>
  <c r="W18" i="1"/>
  <c r="AA18" i="1"/>
  <c r="AE18" i="1"/>
  <c r="AI18" i="1"/>
  <c r="AM18" i="1"/>
  <c r="AQ18" i="1"/>
  <c r="AU18" i="1"/>
  <c r="AY18" i="1"/>
  <c r="D18" i="1"/>
  <c r="H18" i="1"/>
  <c r="L18" i="1"/>
  <c r="P18" i="1"/>
  <c r="T18" i="1"/>
  <c r="X18" i="1"/>
  <c r="AB18" i="1"/>
  <c r="AF18" i="1"/>
  <c r="AJ18" i="1"/>
  <c r="AN18" i="1"/>
  <c r="AR18" i="1"/>
  <c r="AV18" i="1"/>
  <c r="AZ18" i="1"/>
  <c r="E18" i="1"/>
  <c r="I18" i="1"/>
  <c r="M18" i="1"/>
  <c r="Q18" i="1"/>
  <c r="U18" i="1"/>
  <c r="Y18" i="1"/>
  <c r="AC18" i="1"/>
  <c r="AG18" i="1"/>
  <c r="AK18" i="1"/>
  <c r="AO18" i="1"/>
  <c r="AS18" i="1"/>
  <c r="AW18" i="1"/>
  <c r="F18" i="1"/>
  <c r="J18" i="1"/>
  <c r="N18" i="1"/>
  <c r="R18" i="1"/>
  <c r="V18" i="1"/>
  <c r="Z18" i="1"/>
  <c r="AD18" i="1"/>
  <c r="AH18" i="1"/>
  <c r="AL18" i="1"/>
  <c r="AP18" i="1"/>
  <c r="AT18" i="1"/>
  <c r="AX18" i="1"/>
  <c r="C18" i="1"/>
  <c r="A20" i="1"/>
  <c r="B19" i="1"/>
  <c r="F19" i="1"/>
  <c r="J19" i="1"/>
  <c r="N19" i="1"/>
  <c r="G19" i="1"/>
  <c r="E19" i="1"/>
  <c r="K19" i="1"/>
  <c r="P19" i="1"/>
  <c r="T19" i="1"/>
  <c r="X19" i="1"/>
  <c r="AB19" i="1"/>
  <c r="AF19" i="1"/>
  <c r="AJ19" i="1"/>
  <c r="AN19" i="1"/>
  <c r="AR19" i="1"/>
  <c r="AV19" i="1"/>
  <c r="AZ19" i="1"/>
  <c r="D19" i="1"/>
  <c r="L19" i="1"/>
  <c r="Q19" i="1"/>
  <c r="U19" i="1"/>
  <c r="Y19" i="1"/>
  <c r="AC19" i="1"/>
  <c r="AG19" i="1"/>
  <c r="AK19" i="1"/>
  <c r="AO19" i="1"/>
  <c r="AS19" i="1"/>
  <c r="AW19" i="1"/>
  <c r="H19" i="1"/>
  <c r="M19" i="1"/>
  <c r="R19" i="1"/>
  <c r="V19" i="1"/>
  <c r="Z19" i="1"/>
  <c r="AD19" i="1"/>
  <c r="AH19" i="1"/>
  <c r="AL19" i="1"/>
  <c r="AP19" i="1"/>
  <c r="AT19" i="1"/>
  <c r="AX19" i="1"/>
  <c r="I19" i="1"/>
  <c r="O19" i="1"/>
  <c r="S19" i="1"/>
  <c r="W19" i="1"/>
  <c r="AA19" i="1"/>
  <c r="AE19" i="1"/>
  <c r="AI19" i="1"/>
  <c r="AM19" i="1"/>
  <c r="AQ19" i="1"/>
  <c r="AU19" i="1"/>
  <c r="AY19" i="1"/>
  <c r="C19" i="1"/>
  <c r="A21" i="1"/>
  <c r="B20" i="1"/>
  <c r="G20" i="1"/>
  <c r="K20" i="1"/>
  <c r="O20" i="1"/>
  <c r="S20" i="1"/>
  <c r="W20" i="1"/>
  <c r="AA20" i="1"/>
  <c r="AE20" i="1"/>
  <c r="AI20" i="1"/>
  <c r="AM20" i="1"/>
  <c r="AQ20" i="1"/>
  <c r="AU20" i="1"/>
  <c r="AY20" i="1"/>
  <c r="D20" i="1"/>
  <c r="H20" i="1"/>
  <c r="L20" i="1"/>
  <c r="P20" i="1"/>
  <c r="T20" i="1"/>
  <c r="X20" i="1"/>
  <c r="AB20" i="1"/>
  <c r="AF20" i="1"/>
  <c r="AJ20" i="1"/>
  <c r="AN20" i="1"/>
  <c r="AR20" i="1"/>
  <c r="AV20" i="1"/>
  <c r="AZ20" i="1"/>
  <c r="E20" i="1"/>
  <c r="I20" i="1"/>
  <c r="M20" i="1"/>
  <c r="Q20" i="1"/>
  <c r="U20" i="1"/>
  <c r="Y20" i="1"/>
  <c r="AC20" i="1"/>
  <c r="AG20" i="1"/>
  <c r="AK20" i="1"/>
  <c r="AO20" i="1"/>
  <c r="AS20" i="1"/>
  <c r="AW20" i="1"/>
  <c r="F20" i="1"/>
  <c r="J20" i="1"/>
  <c r="N20" i="1"/>
  <c r="R20" i="1"/>
  <c r="V20" i="1"/>
  <c r="Z20" i="1"/>
  <c r="AD20" i="1"/>
  <c r="AH20" i="1"/>
  <c r="AL20" i="1"/>
  <c r="AP20" i="1"/>
  <c r="AT20" i="1"/>
  <c r="AX20" i="1"/>
  <c r="C20" i="1"/>
  <c r="A22" i="1"/>
  <c r="B21" i="1"/>
  <c r="F21" i="1"/>
  <c r="J21" i="1"/>
  <c r="N21" i="1"/>
  <c r="R21" i="1"/>
  <c r="V21" i="1"/>
  <c r="Z21" i="1"/>
  <c r="AD21" i="1"/>
  <c r="AH21" i="1"/>
  <c r="AL21" i="1"/>
  <c r="AP21" i="1"/>
  <c r="AT21" i="1"/>
  <c r="AX21" i="1"/>
  <c r="G21" i="1"/>
  <c r="K21" i="1"/>
  <c r="O21" i="1"/>
  <c r="S21" i="1"/>
  <c r="W21" i="1"/>
  <c r="AA21" i="1"/>
  <c r="AE21" i="1"/>
  <c r="AI21" i="1"/>
  <c r="AM21" i="1"/>
  <c r="AQ21" i="1"/>
  <c r="AU21" i="1"/>
  <c r="AY21" i="1"/>
  <c r="D21" i="1"/>
  <c r="H21" i="1"/>
  <c r="L21" i="1"/>
  <c r="P21" i="1"/>
  <c r="T21" i="1"/>
  <c r="X21" i="1"/>
  <c r="AB21" i="1"/>
  <c r="AF21" i="1"/>
  <c r="AJ21" i="1"/>
  <c r="AN21" i="1"/>
  <c r="AR21" i="1"/>
  <c r="AV21" i="1"/>
  <c r="AZ21" i="1"/>
  <c r="E21" i="1"/>
  <c r="I21" i="1"/>
  <c r="M21" i="1"/>
  <c r="Q21" i="1"/>
  <c r="U21" i="1"/>
  <c r="Y21" i="1"/>
  <c r="AC21" i="1"/>
  <c r="AG21" i="1"/>
  <c r="AK21" i="1"/>
  <c r="AO21" i="1"/>
  <c r="AS21" i="1"/>
  <c r="AW21" i="1"/>
  <c r="C21" i="1"/>
  <c r="A23" i="1"/>
  <c r="B22" i="1"/>
  <c r="E22" i="1"/>
  <c r="I22" i="1"/>
  <c r="M22" i="1"/>
  <c r="Q22" i="1"/>
  <c r="U22" i="1"/>
  <c r="Y22" i="1"/>
  <c r="AC22" i="1"/>
  <c r="AG22" i="1"/>
  <c r="AK22" i="1"/>
  <c r="AO22" i="1"/>
  <c r="AS22" i="1"/>
  <c r="AW22" i="1"/>
  <c r="F22" i="1"/>
  <c r="J22" i="1"/>
  <c r="N22" i="1"/>
  <c r="R22" i="1"/>
  <c r="V22" i="1"/>
  <c r="Z22" i="1"/>
  <c r="AD22" i="1"/>
  <c r="AH22" i="1"/>
  <c r="AL22" i="1"/>
  <c r="AP22" i="1"/>
  <c r="AT22" i="1"/>
  <c r="AX22" i="1"/>
  <c r="G22" i="1"/>
  <c r="K22" i="1"/>
  <c r="O22" i="1"/>
  <c r="S22" i="1"/>
  <c r="W22" i="1"/>
  <c r="AA22" i="1"/>
  <c r="AE22" i="1"/>
  <c r="AI22" i="1"/>
  <c r="AM22" i="1"/>
  <c r="AQ22" i="1"/>
  <c r="D22" i="1"/>
  <c r="H22" i="1"/>
  <c r="L22" i="1"/>
  <c r="P22" i="1"/>
  <c r="T22" i="1"/>
  <c r="X22" i="1"/>
  <c r="AB22" i="1"/>
  <c r="AF22" i="1"/>
  <c r="AJ22" i="1"/>
  <c r="AN22" i="1"/>
  <c r="AR22" i="1"/>
  <c r="AU22" i="1"/>
  <c r="AV22" i="1"/>
  <c r="AY22" i="1"/>
  <c r="AZ22" i="1"/>
  <c r="C22" i="1"/>
  <c r="A24" i="1"/>
  <c r="B23" i="1"/>
  <c r="F23" i="1"/>
  <c r="J23" i="1"/>
  <c r="N23" i="1"/>
  <c r="R23" i="1"/>
  <c r="V23" i="1"/>
  <c r="Z23" i="1"/>
  <c r="AD23" i="1"/>
  <c r="AH23" i="1"/>
  <c r="AL23" i="1"/>
  <c r="AP23" i="1"/>
  <c r="AT23" i="1"/>
  <c r="AX23" i="1"/>
  <c r="G23" i="1"/>
  <c r="K23" i="1"/>
  <c r="O23" i="1"/>
  <c r="S23" i="1"/>
  <c r="W23" i="1"/>
  <c r="AA23" i="1"/>
  <c r="AE23" i="1"/>
  <c r="AI23" i="1"/>
  <c r="AM23" i="1"/>
  <c r="AQ23" i="1"/>
  <c r="AU23" i="1"/>
  <c r="AY23" i="1"/>
  <c r="D23" i="1"/>
  <c r="H23" i="1"/>
  <c r="L23" i="1"/>
  <c r="P23" i="1"/>
  <c r="T23" i="1"/>
  <c r="X23" i="1"/>
  <c r="AB23" i="1"/>
  <c r="AF23" i="1"/>
  <c r="AJ23" i="1"/>
  <c r="AN23" i="1"/>
  <c r="AR23" i="1"/>
  <c r="AV23" i="1"/>
  <c r="AZ23" i="1"/>
  <c r="E23" i="1"/>
  <c r="I23" i="1"/>
  <c r="M23" i="1"/>
  <c r="Q23" i="1"/>
  <c r="U23" i="1"/>
  <c r="Y23" i="1"/>
  <c r="AC23" i="1"/>
  <c r="AG23" i="1"/>
  <c r="AK23" i="1"/>
  <c r="AO23" i="1"/>
  <c r="AS23" i="1"/>
  <c r="AW23" i="1"/>
  <c r="C23" i="1"/>
  <c r="A25" i="1"/>
  <c r="B24" i="1"/>
  <c r="E24" i="1"/>
  <c r="I24" i="1"/>
  <c r="M24" i="1"/>
  <c r="Q24" i="1"/>
  <c r="U24" i="1"/>
  <c r="Y24" i="1"/>
  <c r="AC24" i="1"/>
  <c r="AG24" i="1"/>
  <c r="AK24" i="1"/>
  <c r="AO24" i="1"/>
  <c r="AS24" i="1"/>
  <c r="AW24" i="1"/>
  <c r="F24" i="1"/>
  <c r="J24" i="1"/>
  <c r="N24" i="1"/>
  <c r="R24" i="1"/>
  <c r="V24" i="1"/>
  <c r="Z24" i="1"/>
  <c r="AD24" i="1"/>
  <c r="AH24" i="1"/>
  <c r="AL24" i="1"/>
  <c r="AP24" i="1"/>
  <c r="AT24" i="1"/>
  <c r="AX24" i="1"/>
  <c r="G24" i="1"/>
  <c r="K24" i="1"/>
  <c r="O24" i="1"/>
  <c r="S24" i="1"/>
  <c r="W24" i="1"/>
  <c r="AA24" i="1"/>
  <c r="AE24" i="1"/>
  <c r="AI24" i="1"/>
  <c r="AM24" i="1"/>
  <c r="AQ24" i="1"/>
  <c r="AU24" i="1"/>
  <c r="AY24" i="1"/>
  <c r="D24" i="1"/>
  <c r="H24" i="1"/>
  <c r="L24" i="1"/>
  <c r="P24" i="1"/>
  <c r="T24" i="1"/>
  <c r="X24" i="1"/>
  <c r="AB24" i="1"/>
  <c r="AF24" i="1"/>
  <c r="AJ24" i="1"/>
  <c r="AN24" i="1"/>
  <c r="AR24" i="1"/>
  <c r="AV24" i="1"/>
  <c r="AZ24" i="1"/>
  <c r="C24" i="1"/>
  <c r="A26" i="1"/>
  <c r="B25" i="1"/>
  <c r="D25" i="1"/>
  <c r="H25" i="1"/>
  <c r="L25" i="1"/>
  <c r="P25" i="1"/>
  <c r="T25" i="1"/>
  <c r="X25" i="1"/>
  <c r="AB25" i="1"/>
  <c r="AF25" i="1"/>
  <c r="AJ25" i="1"/>
  <c r="AN25" i="1"/>
  <c r="AR25" i="1"/>
  <c r="AV25" i="1"/>
  <c r="AZ25" i="1"/>
  <c r="E25" i="1"/>
  <c r="I25" i="1"/>
  <c r="M25" i="1"/>
  <c r="Q25" i="1"/>
  <c r="U25" i="1"/>
  <c r="Y25" i="1"/>
  <c r="AC25" i="1"/>
  <c r="AG25" i="1"/>
  <c r="AK25" i="1"/>
  <c r="AO25" i="1"/>
  <c r="AS25" i="1"/>
  <c r="AW25" i="1"/>
  <c r="F25" i="1"/>
  <c r="J25" i="1"/>
  <c r="N25" i="1"/>
  <c r="R25" i="1"/>
  <c r="V25" i="1"/>
  <c r="Z25" i="1"/>
  <c r="AD25" i="1"/>
  <c r="AH25" i="1"/>
  <c r="AL25" i="1"/>
  <c r="AP25" i="1"/>
  <c r="AT25" i="1"/>
  <c r="AX25" i="1"/>
  <c r="G25" i="1"/>
  <c r="K25" i="1"/>
  <c r="O25" i="1"/>
  <c r="S25" i="1"/>
  <c r="W25" i="1"/>
  <c r="AA25" i="1"/>
  <c r="AE25" i="1"/>
  <c r="AI25" i="1"/>
  <c r="AM25" i="1"/>
  <c r="AQ25" i="1"/>
  <c r="AU25" i="1"/>
  <c r="AY25" i="1"/>
  <c r="C25" i="1"/>
  <c r="A27" i="1"/>
  <c r="B26" i="1"/>
  <c r="G26" i="1"/>
  <c r="K26" i="1"/>
  <c r="O26" i="1"/>
  <c r="S26" i="1"/>
  <c r="W26" i="1"/>
  <c r="AA26" i="1"/>
  <c r="AE26" i="1"/>
  <c r="AI26" i="1"/>
  <c r="AM26" i="1"/>
  <c r="AQ26" i="1"/>
  <c r="AU26" i="1"/>
  <c r="AY26" i="1"/>
  <c r="D26" i="1"/>
  <c r="H26" i="1"/>
  <c r="L26" i="1"/>
  <c r="P26" i="1"/>
  <c r="T26" i="1"/>
  <c r="X26" i="1"/>
  <c r="AB26" i="1"/>
  <c r="AF26" i="1"/>
  <c r="AJ26" i="1"/>
  <c r="AN26" i="1"/>
  <c r="AR26" i="1"/>
  <c r="AV26" i="1"/>
  <c r="AZ26" i="1"/>
  <c r="E26" i="1"/>
  <c r="I26" i="1"/>
  <c r="M26" i="1"/>
  <c r="Q26" i="1"/>
  <c r="U26" i="1"/>
  <c r="Y26" i="1"/>
  <c r="AC26" i="1"/>
  <c r="AG26" i="1"/>
  <c r="AK26" i="1"/>
  <c r="AO26" i="1"/>
  <c r="AS26" i="1"/>
  <c r="AW26" i="1"/>
  <c r="F26" i="1"/>
  <c r="J26" i="1"/>
  <c r="N26" i="1"/>
  <c r="R26" i="1"/>
  <c r="V26" i="1"/>
  <c r="Z26" i="1"/>
  <c r="AD26" i="1"/>
  <c r="AH26" i="1"/>
  <c r="AL26" i="1"/>
  <c r="AP26" i="1"/>
  <c r="AT26" i="1"/>
  <c r="AX26" i="1"/>
  <c r="C26" i="1"/>
  <c r="A28" i="1"/>
  <c r="B27" i="1"/>
  <c r="F27" i="1"/>
  <c r="J27" i="1"/>
  <c r="N27" i="1"/>
  <c r="R27" i="1"/>
  <c r="V27" i="1"/>
  <c r="Z27" i="1"/>
  <c r="AD27" i="1"/>
  <c r="AH27" i="1"/>
  <c r="AL27" i="1"/>
  <c r="AP27" i="1"/>
  <c r="AT27" i="1"/>
  <c r="AX27" i="1"/>
  <c r="G27" i="1"/>
  <c r="K27" i="1"/>
  <c r="O27" i="1"/>
  <c r="S27" i="1"/>
  <c r="W27" i="1"/>
  <c r="AA27" i="1"/>
  <c r="AE27" i="1"/>
  <c r="AI27" i="1"/>
  <c r="AM27" i="1"/>
  <c r="AQ27" i="1"/>
  <c r="AU27" i="1"/>
  <c r="AY27" i="1"/>
  <c r="D27" i="1"/>
  <c r="H27" i="1"/>
  <c r="L27" i="1"/>
  <c r="P27" i="1"/>
  <c r="T27" i="1"/>
  <c r="X27" i="1"/>
  <c r="AB27" i="1"/>
  <c r="AF27" i="1"/>
  <c r="AJ27" i="1"/>
  <c r="AN27" i="1"/>
  <c r="AR27" i="1"/>
  <c r="AV27" i="1"/>
  <c r="AZ27" i="1"/>
  <c r="E27" i="1"/>
  <c r="I27" i="1"/>
  <c r="M27" i="1"/>
  <c r="Q27" i="1"/>
  <c r="U27" i="1"/>
  <c r="Y27" i="1"/>
  <c r="AC27" i="1"/>
  <c r="AG27" i="1"/>
  <c r="AK27" i="1"/>
  <c r="AO27" i="1"/>
  <c r="AS27" i="1"/>
  <c r="AW27" i="1"/>
  <c r="C27" i="1"/>
  <c r="A29" i="1"/>
  <c r="B28" i="1"/>
  <c r="E28" i="1"/>
  <c r="I28" i="1"/>
  <c r="M28" i="1"/>
  <c r="Q28" i="1"/>
  <c r="U28" i="1"/>
  <c r="Y28" i="1"/>
  <c r="AC28" i="1"/>
  <c r="AG28" i="1"/>
  <c r="AK28" i="1"/>
  <c r="AO28" i="1"/>
  <c r="AS28" i="1"/>
  <c r="AW28" i="1"/>
  <c r="F28" i="1"/>
  <c r="J28" i="1"/>
  <c r="N28" i="1"/>
  <c r="R28" i="1"/>
  <c r="V28" i="1"/>
  <c r="Z28" i="1"/>
  <c r="AD28" i="1"/>
  <c r="AH28" i="1"/>
  <c r="AL28" i="1"/>
  <c r="AP28" i="1"/>
  <c r="AT28" i="1"/>
  <c r="AX28" i="1"/>
  <c r="G28" i="1"/>
  <c r="K28" i="1"/>
  <c r="O28" i="1"/>
  <c r="S28" i="1"/>
  <c r="W28" i="1"/>
  <c r="AA28" i="1"/>
  <c r="AE28" i="1"/>
  <c r="AI28" i="1"/>
  <c r="AM28" i="1"/>
  <c r="AQ28" i="1"/>
  <c r="AU28" i="1"/>
  <c r="AY28" i="1"/>
  <c r="D28" i="1"/>
  <c r="H28" i="1"/>
  <c r="L28" i="1"/>
  <c r="P28" i="1"/>
  <c r="T28" i="1"/>
  <c r="X28" i="1"/>
  <c r="AB28" i="1"/>
  <c r="AF28" i="1"/>
  <c r="AJ28" i="1"/>
  <c r="AN28" i="1"/>
  <c r="AR28" i="1"/>
  <c r="AV28" i="1"/>
  <c r="AZ28" i="1"/>
  <c r="C28" i="1"/>
  <c r="A30" i="1"/>
  <c r="B29" i="1"/>
  <c r="D29" i="1"/>
  <c r="H29" i="1"/>
  <c r="L29" i="1"/>
  <c r="P29" i="1"/>
  <c r="T29" i="1"/>
  <c r="E29" i="1"/>
  <c r="I29" i="1"/>
  <c r="M29" i="1"/>
  <c r="G29" i="1"/>
  <c r="K29" i="1"/>
  <c r="O29" i="1"/>
  <c r="S29" i="1"/>
  <c r="F29" i="1"/>
  <c r="R29" i="1"/>
  <c r="X29" i="1"/>
  <c r="AB29" i="1"/>
  <c r="AF29" i="1"/>
  <c r="AJ29" i="1"/>
  <c r="AN29" i="1"/>
  <c r="AR29" i="1"/>
  <c r="AV29" i="1"/>
  <c r="AZ29" i="1"/>
  <c r="J29" i="1"/>
  <c r="U29" i="1"/>
  <c r="Y29" i="1"/>
  <c r="AC29" i="1"/>
  <c r="AG29" i="1"/>
  <c r="AK29" i="1"/>
  <c r="AO29" i="1"/>
  <c r="AS29" i="1"/>
  <c r="AW29" i="1"/>
  <c r="N29" i="1"/>
  <c r="V29" i="1"/>
  <c r="Z29" i="1"/>
  <c r="AD29" i="1"/>
  <c r="AH29" i="1"/>
  <c r="AL29" i="1"/>
  <c r="AP29" i="1"/>
  <c r="AT29" i="1"/>
  <c r="AX29" i="1"/>
  <c r="Q29" i="1"/>
  <c r="W29" i="1"/>
  <c r="AA29" i="1"/>
  <c r="AE29" i="1"/>
  <c r="AI29" i="1"/>
  <c r="AM29" i="1"/>
  <c r="AQ29" i="1"/>
  <c r="AU29" i="1"/>
  <c r="AY29" i="1"/>
  <c r="C29" i="1"/>
  <c r="A31" i="1"/>
  <c r="B30" i="1"/>
  <c r="G30" i="1"/>
  <c r="K30" i="1"/>
  <c r="O30" i="1"/>
  <c r="S30" i="1"/>
  <c r="W30" i="1"/>
  <c r="AA30" i="1"/>
  <c r="AE30" i="1"/>
  <c r="AI30" i="1"/>
  <c r="AM30" i="1"/>
  <c r="AQ30" i="1"/>
  <c r="AU30" i="1"/>
  <c r="AY30" i="1"/>
  <c r="D30" i="1"/>
  <c r="H30" i="1"/>
  <c r="L30" i="1"/>
  <c r="P30" i="1"/>
  <c r="T30" i="1"/>
  <c r="X30" i="1"/>
  <c r="AB30" i="1"/>
  <c r="AF30" i="1"/>
  <c r="AJ30" i="1"/>
  <c r="AN30" i="1"/>
  <c r="AR30" i="1"/>
  <c r="AV30" i="1"/>
  <c r="AZ30" i="1"/>
  <c r="E30" i="1"/>
  <c r="I30" i="1"/>
  <c r="M30" i="1"/>
  <c r="Q30" i="1"/>
  <c r="U30" i="1"/>
  <c r="Y30" i="1"/>
  <c r="AC30" i="1"/>
  <c r="AG30" i="1"/>
  <c r="AK30" i="1"/>
  <c r="AO30" i="1"/>
  <c r="AS30" i="1"/>
  <c r="AW30" i="1"/>
  <c r="F30" i="1"/>
  <c r="J30" i="1"/>
  <c r="N30" i="1"/>
  <c r="R30" i="1"/>
  <c r="V30" i="1"/>
  <c r="Z30" i="1"/>
  <c r="AD30" i="1"/>
  <c r="AH30" i="1"/>
  <c r="AL30" i="1"/>
  <c r="AP30" i="1"/>
  <c r="AT30" i="1"/>
  <c r="AX30" i="1"/>
  <c r="C30" i="1"/>
  <c r="A32" i="1"/>
  <c r="B31" i="1"/>
  <c r="F31" i="1"/>
  <c r="J31" i="1"/>
  <c r="N31" i="1"/>
  <c r="R31" i="1"/>
  <c r="V31" i="1"/>
  <c r="Z31" i="1"/>
  <c r="AD31" i="1"/>
  <c r="AH31" i="1"/>
  <c r="AL31" i="1"/>
  <c r="AP31" i="1"/>
  <c r="AT31" i="1"/>
  <c r="AX31" i="1"/>
  <c r="G31" i="1"/>
  <c r="K31" i="1"/>
  <c r="O31" i="1"/>
  <c r="S31" i="1"/>
  <c r="W31" i="1"/>
  <c r="AA31" i="1"/>
  <c r="AE31" i="1"/>
  <c r="AI31" i="1"/>
  <c r="AM31" i="1"/>
  <c r="AQ31" i="1"/>
  <c r="AU31" i="1"/>
  <c r="AY31" i="1"/>
  <c r="D31" i="1"/>
  <c r="H31" i="1"/>
  <c r="L31" i="1"/>
  <c r="P31" i="1"/>
  <c r="T31" i="1"/>
  <c r="X31" i="1"/>
  <c r="AB31" i="1"/>
  <c r="AF31" i="1"/>
  <c r="AJ31" i="1"/>
  <c r="AN31" i="1"/>
  <c r="AR31" i="1"/>
  <c r="AV31" i="1"/>
  <c r="AZ31" i="1"/>
  <c r="E31" i="1"/>
  <c r="I31" i="1"/>
  <c r="M31" i="1"/>
  <c r="Q31" i="1"/>
  <c r="U31" i="1"/>
  <c r="Y31" i="1"/>
  <c r="AC31" i="1"/>
  <c r="AG31" i="1"/>
  <c r="AK31" i="1"/>
  <c r="AO31" i="1"/>
  <c r="AS31" i="1"/>
  <c r="AW31" i="1"/>
  <c r="C31" i="1"/>
  <c r="A33" i="1"/>
  <c r="A34" i="1"/>
  <c r="B32" i="1"/>
  <c r="E32" i="1"/>
  <c r="I32" i="1"/>
  <c r="M32" i="1"/>
  <c r="Q32" i="1"/>
  <c r="U32" i="1"/>
  <c r="Y32" i="1"/>
  <c r="AC32" i="1"/>
  <c r="AG32" i="1"/>
  <c r="AK32" i="1"/>
  <c r="AO32" i="1"/>
  <c r="AS32" i="1"/>
  <c r="AW32" i="1"/>
  <c r="F32" i="1"/>
  <c r="J32" i="1"/>
  <c r="N32" i="1"/>
  <c r="R32" i="1"/>
  <c r="V32" i="1"/>
  <c r="Z32" i="1"/>
  <c r="AD32" i="1"/>
  <c r="AH32" i="1"/>
  <c r="AL32" i="1"/>
  <c r="AP32" i="1"/>
  <c r="AT32" i="1"/>
  <c r="AX32" i="1"/>
  <c r="G32" i="1"/>
  <c r="K32" i="1"/>
  <c r="O32" i="1"/>
  <c r="S32" i="1"/>
  <c r="W32" i="1"/>
  <c r="AA32" i="1"/>
  <c r="AE32" i="1"/>
  <c r="AI32" i="1"/>
  <c r="AM32" i="1"/>
  <c r="AQ32" i="1"/>
  <c r="AU32" i="1"/>
  <c r="AY32" i="1"/>
  <c r="D32" i="1"/>
  <c r="H32" i="1"/>
  <c r="L32" i="1"/>
  <c r="P32" i="1"/>
  <c r="T32" i="1"/>
  <c r="X32" i="1"/>
  <c r="AB32" i="1"/>
  <c r="AF32" i="1"/>
  <c r="AJ32" i="1"/>
  <c r="AN32" i="1"/>
  <c r="AR32" i="1"/>
  <c r="AV32" i="1"/>
  <c r="AZ32" i="1"/>
  <c r="C32" i="1"/>
  <c r="A35" i="1"/>
  <c r="B33" i="1"/>
  <c r="D33" i="1"/>
  <c r="H33" i="1"/>
  <c r="L33" i="1"/>
  <c r="P33" i="1"/>
  <c r="T33" i="1"/>
  <c r="X33" i="1"/>
  <c r="AB33" i="1"/>
  <c r="AF33" i="1"/>
  <c r="AJ33" i="1"/>
  <c r="AN33" i="1"/>
  <c r="AR33" i="1"/>
  <c r="AV33" i="1"/>
  <c r="AZ33" i="1"/>
  <c r="E33" i="1"/>
  <c r="I33" i="1"/>
  <c r="M33" i="1"/>
  <c r="Q33" i="1"/>
  <c r="U33" i="1"/>
  <c r="Y33" i="1"/>
  <c r="AC33" i="1"/>
  <c r="AG33" i="1"/>
  <c r="AK33" i="1"/>
  <c r="AO33" i="1"/>
  <c r="AS33" i="1"/>
  <c r="AW33" i="1"/>
  <c r="F33" i="1"/>
  <c r="J33" i="1"/>
  <c r="N33" i="1"/>
  <c r="R33" i="1"/>
  <c r="V33" i="1"/>
  <c r="Z33" i="1"/>
  <c r="AD33" i="1"/>
  <c r="AH33" i="1"/>
  <c r="AL33" i="1"/>
  <c r="AP33" i="1"/>
  <c r="AT33" i="1"/>
  <c r="AX33" i="1"/>
  <c r="G33" i="1"/>
  <c r="K33" i="1"/>
  <c r="O33" i="1"/>
  <c r="S33" i="1"/>
  <c r="W33" i="1"/>
  <c r="AA33" i="1"/>
  <c r="AE33" i="1"/>
  <c r="AI33" i="1"/>
  <c r="AM33" i="1"/>
  <c r="AQ33" i="1"/>
  <c r="AU33" i="1"/>
  <c r="AY33" i="1"/>
  <c r="C33" i="1"/>
  <c r="A36" i="1"/>
  <c r="B34" i="1"/>
  <c r="G34" i="1"/>
  <c r="K34" i="1"/>
  <c r="O34" i="1"/>
  <c r="S34" i="1"/>
  <c r="W34" i="1"/>
  <c r="AA34" i="1"/>
  <c r="AE34" i="1"/>
  <c r="AI34" i="1"/>
  <c r="AM34" i="1"/>
  <c r="AQ34" i="1"/>
  <c r="AU34" i="1"/>
  <c r="AY34" i="1"/>
  <c r="D34" i="1"/>
  <c r="H34" i="1"/>
  <c r="L34" i="1"/>
  <c r="P34" i="1"/>
  <c r="T34" i="1"/>
  <c r="X34" i="1"/>
  <c r="AB34" i="1"/>
  <c r="AF34" i="1"/>
  <c r="AJ34" i="1"/>
  <c r="AN34" i="1"/>
  <c r="AR34" i="1"/>
  <c r="AV34" i="1"/>
  <c r="AZ34" i="1"/>
  <c r="E34" i="1"/>
  <c r="I34" i="1"/>
  <c r="M34" i="1"/>
  <c r="Q34" i="1"/>
  <c r="U34" i="1"/>
  <c r="Y34" i="1"/>
  <c r="AC34" i="1"/>
  <c r="AG34" i="1"/>
  <c r="AK34" i="1"/>
  <c r="AO34" i="1"/>
  <c r="AS34" i="1"/>
  <c r="AW34" i="1"/>
  <c r="F34" i="1"/>
  <c r="J34" i="1"/>
  <c r="N34" i="1"/>
  <c r="R34" i="1"/>
  <c r="V34" i="1"/>
  <c r="Z34" i="1"/>
  <c r="AD34" i="1"/>
  <c r="AH34" i="1"/>
  <c r="AL34" i="1"/>
  <c r="AP34" i="1"/>
  <c r="AT34" i="1"/>
  <c r="AX34" i="1"/>
  <c r="C34" i="1"/>
  <c r="A37" i="1"/>
  <c r="B35" i="1"/>
  <c r="F35" i="1"/>
  <c r="J35" i="1"/>
  <c r="N35" i="1"/>
  <c r="R35" i="1"/>
  <c r="V35" i="1"/>
  <c r="Z35" i="1"/>
  <c r="AD35" i="1"/>
  <c r="AH35" i="1"/>
  <c r="AL35" i="1"/>
  <c r="AP35" i="1"/>
  <c r="AT35" i="1"/>
  <c r="AX35" i="1"/>
  <c r="G35" i="1"/>
  <c r="K35" i="1"/>
  <c r="O35" i="1"/>
  <c r="S35" i="1"/>
  <c r="W35" i="1"/>
  <c r="AA35" i="1"/>
  <c r="AE35" i="1"/>
  <c r="AI35" i="1"/>
  <c r="AM35" i="1"/>
  <c r="AQ35" i="1"/>
  <c r="AU35" i="1"/>
  <c r="AY35" i="1"/>
  <c r="E35" i="1"/>
  <c r="I35" i="1"/>
  <c r="M35" i="1"/>
  <c r="Q35" i="1"/>
  <c r="U35" i="1"/>
  <c r="Y35" i="1"/>
  <c r="AC35" i="1"/>
  <c r="AG35" i="1"/>
  <c r="AK35" i="1"/>
  <c r="AO35" i="1"/>
  <c r="AS35" i="1"/>
  <c r="AW35" i="1"/>
  <c r="P35" i="1"/>
  <c r="AF35" i="1"/>
  <c r="AV35" i="1"/>
  <c r="D35" i="1"/>
  <c r="T35" i="1"/>
  <c r="AJ35" i="1"/>
  <c r="AZ35" i="1"/>
  <c r="H35" i="1"/>
  <c r="X35" i="1"/>
  <c r="AN35" i="1"/>
  <c r="L35" i="1"/>
  <c r="AB35" i="1"/>
  <c r="AR35" i="1"/>
  <c r="C35" i="1"/>
  <c r="A38" i="1"/>
  <c r="B36" i="1"/>
  <c r="D36" i="1"/>
  <c r="H36" i="1"/>
  <c r="L36" i="1"/>
  <c r="P36" i="1"/>
  <c r="T36" i="1"/>
  <c r="X36" i="1"/>
  <c r="AB36" i="1"/>
  <c r="AF36" i="1"/>
  <c r="AJ36" i="1"/>
  <c r="AN36" i="1"/>
  <c r="AR36" i="1"/>
  <c r="AV36" i="1"/>
  <c r="AZ36" i="1"/>
  <c r="E36" i="1"/>
  <c r="I36" i="1"/>
  <c r="M36" i="1"/>
  <c r="Q36" i="1"/>
  <c r="U36" i="1"/>
  <c r="Y36" i="1"/>
  <c r="AC36" i="1"/>
  <c r="AG36" i="1"/>
  <c r="AK36" i="1"/>
  <c r="AO36" i="1"/>
  <c r="AS36" i="1"/>
  <c r="AW36" i="1"/>
  <c r="F36" i="1"/>
  <c r="J36" i="1"/>
  <c r="N36" i="1"/>
  <c r="R36" i="1"/>
  <c r="V36" i="1"/>
  <c r="Z36" i="1"/>
  <c r="AD36" i="1"/>
  <c r="AH36" i="1"/>
  <c r="AL36" i="1"/>
  <c r="AP36" i="1"/>
  <c r="AT36" i="1"/>
  <c r="AX36" i="1"/>
  <c r="G36" i="1"/>
  <c r="K36" i="1"/>
  <c r="O36" i="1"/>
  <c r="S36" i="1"/>
  <c r="W36" i="1"/>
  <c r="AA36" i="1"/>
  <c r="AE36" i="1"/>
  <c r="AI36" i="1"/>
  <c r="AM36" i="1"/>
  <c r="AQ36" i="1"/>
  <c r="AU36" i="1"/>
  <c r="AY36" i="1"/>
  <c r="C36" i="1"/>
  <c r="A39" i="1"/>
  <c r="B37" i="1"/>
  <c r="G37" i="1"/>
  <c r="K37" i="1"/>
  <c r="O37" i="1"/>
  <c r="S37" i="1"/>
  <c r="W37" i="1"/>
  <c r="AA37" i="1"/>
  <c r="AE37" i="1"/>
  <c r="AI37" i="1"/>
  <c r="AM37" i="1"/>
  <c r="AQ37" i="1"/>
  <c r="AU37" i="1"/>
  <c r="AY37" i="1"/>
  <c r="D37" i="1"/>
  <c r="H37" i="1"/>
  <c r="L37" i="1"/>
  <c r="P37" i="1"/>
  <c r="T37" i="1"/>
  <c r="X37" i="1"/>
  <c r="AB37" i="1"/>
  <c r="AF37" i="1"/>
  <c r="AJ37" i="1"/>
  <c r="AN37" i="1"/>
  <c r="AR37" i="1"/>
  <c r="AV37" i="1"/>
  <c r="AZ37" i="1"/>
  <c r="E37" i="1"/>
  <c r="I37" i="1"/>
  <c r="M37" i="1"/>
  <c r="Q37" i="1"/>
  <c r="U37" i="1"/>
  <c r="Y37" i="1"/>
  <c r="AC37" i="1"/>
  <c r="AG37" i="1"/>
  <c r="AK37" i="1"/>
  <c r="AO37" i="1"/>
  <c r="AS37" i="1"/>
  <c r="AW37" i="1"/>
  <c r="F37" i="1"/>
  <c r="J37" i="1"/>
  <c r="N37" i="1"/>
  <c r="R37" i="1"/>
  <c r="V37" i="1"/>
  <c r="Z37" i="1"/>
  <c r="AD37" i="1"/>
  <c r="AH37" i="1"/>
  <c r="AL37" i="1"/>
  <c r="AP37" i="1"/>
  <c r="AT37" i="1"/>
  <c r="AX37" i="1"/>
  <c r="C37" i="1"/>
  <c r="A40" i="1"/>
  <c r="B38" i="1"/>
  <c r="F38" i="1"/>
  <c r="J38" i="1"/>
  <c r="N38" i="1"/>
  <c r="R38" i="1"/>
  <c r="V38" i="1"/>
  <c r="Z38" i="1"/>
  <c r="AD38" i="1"/>
  <c r="AH38" i="1"/>
  <c r="AL38" i="1"/>
  <c r="AP38" i="1"/>
  <c r="AT38" i="1"/>
  <c r="AX38" i="1"/>
  <c r="G38" i="1"/>
  <c r="K38" i="1"/>
  <c r="O38" i="1"/>
  <c r="S38" i="1"/>
  <c r="W38" i="1"/>
  <c r="AA38" i="1"/>
  <c r="AE38" i="1"/>
  <c r="AI38" i="1"/>
  <c r="AM38" i="1"/>
  <c r="AQ38" i="1"/>
  <c r="AU38" i="1"/>
  <c r="AY38" i="1"/>
  <c r="D38" i="1"/>
  <c r="H38" i="1"/>
  <c r="L38" i="1"/>
  <c r="P38" i="1"/>
  <c r="T38" i="1"/>
  <c r="X38" i="1"/>
  <c r="AB38" i="1"/>
  <c r="AF38" i="1"/>
  <c r="AJ38" i="1"/>
  <c r="AN38" i="1"/>
  <c r="AR38" i="1"/>
  <c r="AV38" i="1"/>
  <c r="AZ38" i="1"/>
  <c r="E38" i="1"/>
  <c r="I38" i="1"/>
  <c r="M38" i="1"/>
  <c r="Q38" i="1"/>
  <c r="U38" i="1"/>
  <c r="Y38" i="1"/>
  <c r="AC38" i="1"/>
  <c r="AG38" i="1"/>
  <c r="AK38" i="1"/>
  <c r="AO38" i="1"/>
  <c r="AS38" i="1"/>
  <c r="AW38" i="1"/>
  <c r="C38" i="1"/>
  <c r="A41" i="1"/>
  <c r="B39" i="1"/>
  <c r="E39" i="1"/>
  <c r="I39" i="1"/>
  <c r="M39" i="1"/>
  <c r="Q39" i="1"/>
  <c r="U39" i="1"/>
  <c r="Y39" i="1"/>
  <c r="AC39" i="1"/>
  <c r="AG39" i="1"/>
  <c r="AK39" i="1"/>
  <c r="AO39" i="1"/>
  <c r="AS39" i="1"/>
  <c r="AW39" i="1"/>
  <c r="F39" i="1"/>
  <c r="J39" i="1"/>
  <c r="N39" i="1"/>
  <c r="R39" i="1"/>
  <c r="V39" i="1"/>
  <c r="Z39" i="1"/>
  <c r="AD39" i="1"/>
  <c r="AH39" i="1"/>
  <c r="AL39" i="1"/>
  <c r="AP39" i="1"/>
  <c r="AT39" i="1"/>
  <c r="AX39" i="1"/>
  <c r="D39" i="1"/>
  <c r="H39" i="1"/>
  <c r="L39" i="1"/>
  <c r="P39" i="1"/>
  <c r="T39" i="1"/>
  <c r="X39" i="1"/>
  <c r="AB39" i="1"/>
  <c r="AF39" i="1"/>
  <c r="AJ39" i="1"/>
  <c r="AN39" i="1"/>
  <c r="AR39" i="1"/>
  <c r="AV39" i="1"/>
  <c r="AZ39" i="1"/>
  <c r="K39" i="1"/>
  <c r="AA39" i="1"/>
  <c r="AQ39" i="1"/>
  <c r="O39" i="1"/>
  <c r="AE39" i="1"/>
  <c r="AU39" i="1"/>
  <c r="S39" i="1"/>
  <c r="AI39" i="1"/>
  <c r="AY39" i="1"/>
  <c r="G39" i="1"/>
  <c r="W39" i="1"/>
  <c r="AM39" i="1"/>
  <c r="C39" i="1"/>
  <c r="A42" i="1"/>
  <c r="B40" i="1"/>
  <c r="D40" i="1"/>
  <c r="H40" i="1"/>
  <c r="L40" i="1"/>
  <c r="P40" i="1"/>
  <c r="T40" i="1"/>
  <c r="X40" i="1"/>
  <c r="AB40" i="1"/>
  <c r="AF40" i="1"/>
  <c r="AJ40" i="1"/>
  <c r="AN40" i="1"/>
  <c r="AR40" i="1"/>
  <c r="AV40" i="1"/>
  <c r="AZ40" i="1"/>
  <c r="E40" i="1"/>
  <c r="I40" i="1"/>
  <c r="M40" i="1"/>
  <c r="Q40" i="1"/>
  <c r="U40" i="1"/>
  <c r="Y40" i="1"/>
  <c r="AC40" i="1"/>
  <c r="AG40" i="1"/>
  <c r="AK40" i="1"/>
  <c r="AO40" i="1"/>
  <c r="AS40" i="1"/>
  <c r="AW40" i="1"/>
  <c r="G40" i="1"/>
  <c r="K40" i="1"/>
  <c r="O40" i="1"/>
  <c r="S40" i="1"/>
  <c r="W40" i="1"/>
  <c r="AA40" i="1"/>
  <c r="AE40" i="1"/>
  <c r="AI40" i="1"/>
  <c r="AM40" i="1"/>
  <c r="AQ40" i="1"/>
  <c r="AU40" i="1"/>
  <c r="AY40" i="1"/>
  <c r="F40" i="1"/>
  <c r="V40" i="1"/>
  <c r="AL40" i="1"/>
  <c r="J40" i="1"/>
  <c r="Z40" i="1"/>
  <c r="AP40" i="1"/>
  <c r="N40" i="1"/>
  <c r="AD40" i="1"/>
  <c r="AT40" i="1"/>
  <c r="R40" i="1"/>
  <c r="AH40" i="1"/>
  <c r="AX40" i="1"/>
  <c r="C40" i="1"/>
  <c r="A43" i="1"/>
  <c r="B41" i="1"/>
  <c r="G41" i="1"/>
  <c r="K41" i="1"/>
  <c r="O41" i="1"/>
  <c r="S41" i="1"/>
  <c r="W41" i="1"/>
  <c r="AA41" i="1"/>
  <c r="AE41" i="1"/>
  <c r="AI41" i="1"/>
  <c r="AM41" i="1"/>
  <c r="AQ41" i="1"/>
  <c r="AU41" i="1"/>
  <c r="AY41" i="1"/>
  <c r="D41" i="1"/>
  <c r="H41" i="1"/>
  <c r="L41" i="1"/>
  <c r="P41" i="1"/>
  <c r="T41" i="1"/>
  <c r="X41" i="1"/>
  <c r="AB41" i="1"/>
  <c r="AF41" i="1"/>
  <c r="AJ41" i="1"/>
  <c r="AN41" i="1"/>
  <c r="AR41" i="1"/>
  <c r="AV41" i="1"/>
  <c r="AZ41" i="1"/>
  <c r="F41" i="1"/>
  <c r="J41" i="1"/>
  <c r="N41" i="1"/>
  <c r="R41" i="1"/>
  <c r="V41" i="1"/>
  <c r="Z41" i="1"/>
  <c r="AD41" i="1"/>
  <c r="AH41" i="1"/>
  <c r="AL41" i="1"/>
  <c r="AP41" i="1"/>
  <c r="AT41" i="1"/>
  <c r="AX41" i="1"/>
  <c r="Q41" i="1"/>
  <c r="AG41" i="1"/>
  <c r="AW41" i="1"/>
  <c r="E41" i="1"/>
  <c r="U41" i="1"/>
  <c r="AK41" i="1"/>
  <c r="I41" i="1"/>
  <c r="Y41" i="1"/>
  <c r="AO41" i="1"/>
  <c r="M41" i="1"/>
  <c r="AC41" i="1"/>
  <c r="AS41" i="1"/>
  <c r="C41" i="1"/>
  <c r="A44" i="1"/>
  <c r="B42" i="1"/>
  <c r="F42" i="1"/>
  <c r="J42" i="1"/>
  <c r="N42" i="1"/>
  <c r="R42" i="1"/>
  <c r="V42" i="1"/>
  <c r="Z42" i="1"/>
  <c r="AD42" i="1"/>
  <c r="AH42" i="1"/>
  <c r="AL42" i="1"/>
  <c r="AP42" i="1"/>
  <c r="AT42" i="1"/>
  <c r="AX42" i="1"/>
  <c r="G42" i="1"/>
  <c r="K42" i="1"/>
  <c r="O42" i="1"/>
  <c r="S42" i="1"/>
  <c r="W42" i="1"/>
  <c r="AA42" i="1"/>
  <c r="AE42" i="1"/>
  <c r="AI42" i="1"/>
  <c r="AM42" i="1"/>
  <c r="E42" i="1"/>
  <c r="I42" i="1"/>
  <c r="M42" i="1"/>
  <c r="Q42" i="1"/>
  <c r="U42" i="1"/>
  <c r="Y42" i="1"/>
  <c r="AC42" i="1"/>
  <c r="AG42" i="1"/>
  <c r="AK42" i="1"/>
  <c r="AO42" i="1"/>
  <c r="L42" i="1"/>
  <c r="AB42" i="1"/>
  <c r="AQ42" i="1"/>
  <c r="AV42" i="1"/>
  <c r="P42" i="1"/>
  <c r="AF42" i="1"/>
  <c r="AR42" i="1"/>
  <c r="AW42" i="1"/>
  <c r="D42" i="1"/>
  <c r="T42" i="1"/>
  <c r="AJ42" i="1"/>
  <c r="AS42" i="1"/>
  <c r="AY42" i="1"/>
  <c r="H42" i="1"/>
  <c r="X42" i="1"/>
  <c r="AN42" i="1"/>
  <c r="AU42" i="1"/>
  <c r="AZ42" i="1"/>
  <c r="C42" i="1"/>
  <c r="A45" i="1"/>
  <c r="B43" i="1"/>
  <c r="F43" i="1"/>
  <c r="J43" i="1"/>
  <c r="N43" i="1"/>
  <c r="R43" i="1"/>
  <c r="V43" i="1"/>
  <c r="Z43" i="1"/>
  <c r="AD43" i="1"/>
  <c r="AH43" i="1"/>
  <c r="AL43" i="1"/>
  <c r="AP43" i="1"/>
  <c r="AT43" i="1"/>
  <c r="AX43" i="1"/>
  <c r="G43" i="1"/>
  <c r="K43" i="1"/>
  <c r="O43" i="1"/>
  <c r="S43" i="1"/>
  <c r="W43" i="1"/>
  <c r="AA43" i="1"/>
  <c r="AE43" i="1"/>
  <c r="AI43" i="1"/>
  <c r="AM43" i="1"/>
  <c r="AQ43" i="1"/>
  <c r="AU43" i="1"/>
  <c r="AY43" i="1"/>
  <c r="D43" i="1"/>
  <c r="H43" i="1"/>
  <c r="L43" i="1"/>
  <c r="P43" i="1"/>
  <c r="T43" i="1"/>
  <c r="X43" i="1"/>
  <c r="AB43" i="1"/>
  <c r="AF43" i="1"/>
  <c r="AJ43" i="1"/>
  <c r="AN43" i="1"/>
  <c r="AR43" i="1"/>
  <c r="AV43" i="1"/>
  <c r="AZ43" i="1"/>
  <c r="E43" i="1"/>
  <c r="I43" i="1"/>
  <c r="M43" i="1"/>
  <c r="Q43" i="1"/>
  <c r="U43" i="1"/>
  <c r="Y43" i="1"/>
  <c r="AC43" i="1"/>
  <c r="AG43" i="1"/>
  <c r="AK43" i="1"/>
  <c r="AO43" i="1"/>
  <c r="AS43" i="1"/>
  <c r="AW43" i="1"/>
  <c r="C43" i="1"/>
  <c r="B44" i="1"/>
  <c r="A46" i="1"/>
  <c r="E44" i="1"/>
  <c r="I44" i="1"/>
  <c r="M44" i="1"/>
  <c r="Q44" i="1"/>
  <c r="U44" i="1"/>
  <c r="Y44" i="1"/>
  <c r="AC44" i="1"/>
  <c r="AG44" i="1"/>
  <c r="AK44" i="1"/>
  <c r="AO44" i="1"/>
  <c r="AS44" i="1"/>
  <c r="AW44" i="1"/>
  <c r="F44" i="1"/>
  <c r="J44" i="1"/>
  <c r="N44" i="1"/>
  <c r="R44" i="1"/>
  <c r="V44" i="1"/>
  <c r="Z44" i="1"/>
  <c r="AD44" i="1"/>
  <c r="AH44" i="1"/>
  <c r="AL44" i="1"/>
  <c r="AP44" i="1"/>
  <c r="AT44" i="1"/>
  <c r="AX44" i="1"/>
  <c r="G44" i="1"/>
  <c r="K44" i="1"/>
  <c r="O44" i="1"/>
  <c r="S44" i="1"/>
  <c r="W44" i="1"/>
  <c r="AA44" i="1"/>
  <c r="AE44" i="1"/>
  <c r="AI44" i="1"/>
  <c r="AM44" i="1"/>
  <c r="AQ44" i="1"/>
  <c r="AU44" i="1"/>
  <c r="AY44" i="1"/>
  <c r="D44" i="1"/>
  <c r="H44" i="1"/>
  <c r="L44" i="1"/>
  <c r="P44" i="1"/>
  <c r="T44" i="1"/>
  <c r="X44" i="1"/>
  <c r="AB44" i="1"/>
  <c r="AF44" i="1"/>
  <c r="AJ44" i="1"/>
  <c r="AN44" i="1"/>
  <c r="AR44" i="1"/>
  <c r="AV44" i="1"/>
  <c r="AZ44" i="1"/>
  <c r="C44" i="1"/>
  <c r="B45" i="1"/>
  <c r="A47" i="1"/>
  <c r="D45" i="1"/>
  <c r="H45" i="1"/>
  <c r="L45" i="1"/>
  <c r="P45" i="1"/>
  <c r="T45" i="1"/>
  <c r="X45" i="1"/>
  <c r="AB45" i="1"/>
  <c r="AF45" i="1"/>
  <c r="AJ45" i="1"/>
  <c r="AN45" i="1"/>
  <c r="AR45" i="1"/>
  <c r="AV45" i="1"/>
  <c r="AZ45" i="1"/>
  <c r="E45" i="1"/>
  <c r="I45" i="1"/>
  <c r="M45" i="1"/>
  <c r="Q45" i="1"/>
  <c r="U45" i="1"/>
  <c r="Y45" i="1"/>
  <c r="AC45" i="1"/>
  <c r="AG45" i="1"/>
  <c r="AK45" i="1"/>
  <c r="AO45" i="1"/>
  <c r="AS45" i="1"/>
  <c r="AW45" i="1"/>
  <c r="F45" i="1"/>
  <c r="J45" i="1"/>
  <c r="N45" i="1"/>
  <c r="R45" i="1"/>
  <c r="V45" i="1"/>
  <c r="Z45" i="1"/>
  <c r="AD45" i="1"/>
  <c r="AH45" i="1"/>
  <c r="AL45" i="1"/>
  <c r="AP45" i="1"/>
  <c r="AT45" i="1"/>
  <c r="AX45" i="1"/>
  <c r="G45" i="1"/>
  <c r="K45" i="1"/>
  <c r="O45" i="1"/>
  <c r="S45" i="1"/>
  <c r="W45" i="1"/>
  <c r="AA45" i="1"/>
  <c r="AE45" i="1"/>
  <c r="AI45" i="1"/>
  <c r="AM45" i="1"/>
  <c r="AQ45" i="1"/>
  <c r="AU45" i="1"/>
  <c r="AY45" i="1"/>
  <c r="C45" i="1"/>
  <c r="B46" i="1"/>
  <c r="A48" i="1"/>
  <c r="G46" i="1"/>
  <c r="K46" i="1"/>
  <c r="O46" i="1"/>
  <c r="S46" i="1"/>
  <c r="W46" i="1"/>
  <c r="AA46" i="1"/>
  <c r="AE46" i="1"/>
  <c r="AI46" i="1"/>
  <c r="AM46" i="1"/>
  <c r="AQ46" i="1"/>
  <c r="AU46" i="1"/>
  <c r="AY46" i="1"/>
  <c r="D46" i="1"/>
  <c r="H46" i="1"/>
  <c r="L46" i="1"/>
  <c r="P46" i="1"/>
  <c r="T46" i="1"/>
  <c r="X46" i="1"/>
  <c r="AB46" i="1"/>
  <c r="AF46" i="1"/>
  <c r="AJ46" i="1"/>
  <c r="AN46" i="1"/>
  <c r="AR46" i="1"/>
  <c r="AV46" i="1"/>
  <c r="AZ46" i="1"/>
  <c r="E46" i="1"/>
  <c r="I46" i="1"/>
  <c r="M46" i="1"/>
  <c r="Q46" i="1"/>
  <c r="U46" i="1"/>
  <c r="Y46" i="1"/>
  <c r="AC46" i="1"/>
  <c r="AG46" i="1"/>
  <c r="AK46" i="1"/>
  <c r="AO46" i="1"/>
  <c r="AS46" i="1"/>
  <c r="AW46" i="1"/>
  <c r="F46" i="1"/>
  <c r="J46" i="1"/>
  <c r="N46" i="1"/>
  <c r="R46" i="1"/>
  <c r="V46" i="1"/>
  <c r="Z46" i="1"/>
  <c r="AD46" i="1"/>
  <c r="AH46" i="1"/>
  <c r="AL46" i="1"/>
  <c r="AP46" i="1"/>
  <c r="AT46" i="1"/>
  <c r="AX46" i="1"/>
  <c r="C46" i="1"/>
  <c r="B47" i="1"/>
  <c r="A49" i="1"/>
  <c r="F47" i="1"/>
  <c r="J47" i="1"/>
  <c r="N47" i="1"/>
  <c r="R47" i="1"/>
  <c r="V47" i="1"/>
  <c r="Z47" i="1"/>
  <c r="AD47" i="1"/>
  <c r="AH47" i="1"/>
  <c r="AL47" i="1"/>
  <c r="AP47" i="1"/>
  <c r="AT47" i="1"/>
  <c r="AX47" i="1"/>
  <c r="G47" i="1"/>
  <c r="K47" i="1"/>
  <c r="O47" i="1"/>
  <c r="S47" i="1"/>
  <c r="W47" i="1"/>
  <c r="AA47" i="1"/>
  <c r="AE47" i="1"/>
  <c r="AI47" i="1"/>
  <c r="AM47" i="1"/>
  <c r="AQ47" i="1"/>
  <c r="AU47" i="1"/>
  <c r="AY47" i="1"/>
  <c r="D47" i="1"/>
  <c r="H47" i="1"/>
  <c r="L47" i="1"/>
  <c r="P47" i="1"/>
  <c r="T47" i="1"/>
  <c r="X47" i="1"/>
  <c r="AB47" i="1"/>
  <c r="AF47" i="1"/>
  <c r="AJ47" i="1"/>
  <c r="AN47" i="1"/>
  <c r="AR47" i="1"/>
  <c r="AV47" i="1"/>
  <c r="AZ47" i="1"/>
  <c r="E47" i="1"/>
  <c r="I47" i="1"/>
  <c r="M47" i="1"/>
  <c r="Q47" i="1"/>
  <c r="U47" i="1"/>
  <c r="Y47" i="1"/>
  <c r="AC47" i="1"/>
  <c r="AG47" i="1"/>
  <c r="AK47" i="1"/>
  <c r="AO47" i="1"/>
  <c r="AS47" i="1"/>
  <c r="AW47" i="1"/>
  <c r="C47" i="1"/>
  <c r="B48" i="1"/>
  <c r="A50" i="1"/>
  <c r="E48" i="1"/>
  <c r="I48" i="1"/>
  <c r="M48" i="1"/>
  <c r="Q48" i="1"/>
  <c r="U48" i="1"/>
  <c r="Y48" i="1"/>
  <c r="AC48" i="1"/>
  <c r="AG48" i="1"/>
  <c r="AK48" i="1"/>
  <c r="AO48" i="1"/>
  <c r="AS48" i="1"/>
  <c r="AW48" i="1"/>
  <c r="F48" i="1"/>
  <c r="J48" i="1"/>
  <c r="N48" i="1"/>
  <c r="R48" i="1"/>
  <c r="V48" i="1"/>
  <c r="Z48" i="1"/>
  <c r="AD48" i="1"/>
  <c r="AH48" i="1"/>
  <c r="AL48" i="1"/>
  <c r="AP48" i="1"/>
  <c r="AT48" i="1"/>
  <c r="AX48" i="1"/>
  <c r="G48" i="1"/>
  <c r="K48" i="1"/>
  <c r="O48" i="1"/>
  <c r="S48" i="1"/>
  <c r="W48" i="1"/>
  <c r="AA48" i="1"/>
  <c r="AE48" i="1"/>
  <c r="D48" i="1"/>
  <c r="H48" i="1"/>
  <c r="L48" i="1"/>
  <c r="P48" i="1"/>
  <c r="T48" i="1"/>
  <c r="X48" i="1"/>
  <c r="AB48" i="1"/>
  <c r="AF48" i="1"/>
  <c r="AJ48" i="1"/>
  <c r="AN48" i="1"/>
  <c r="AR48" i="1"/>
  <c r="AV48" i="1"/>
  <c r="AZ48" i="1"/>
  <c r="AI48" i="1"/>
  <c r="AY48" i="1"/>
  <c r="AM48" i="1"/>
  <c r="AQ48" i="1"/>
  <c r="AU48" i="1"/>
  <c r="C48" i="1"/>
  <c r="B49" i="1"/>
  <c r="A51" i="1"/>
  <c r="D49" i="1"/>
  <c r="H49" i="1"/>
  <c r="L49" i="1"/>
  <c r="P49" i="1"/>
  <c r="T49" i="1"/>
  <c r="E49" i="1"/>
  <c r="I49" i="1"/>
  <c r="M49" i="1"/>
  <c r="Q49" i="1"/>
  <c r="U49" i="1"/>
  <c r="G49" i="1"/>
  <c r="K49" i="1"/>
  <c r="O49" i="1"/>
  <c r="S49" i="1"/>
  <c r="W49" i="1"/>
  <c r="N49" i="1"/>
  <c r="Y49" i="1"/>
  <c r="AC49" i="1"/>
  <c r="AG49" i="1"/>
  <c r="AK49" i="1"/>
  <c r="AO49" i="1"/>
  <c r="AS49" i="1"/>
  <c r="AW49" i="1"/>
  <c r="R49" i="1"/>
  <c r="Z49" i="1"/>
  <c r="AD49" i="1"/>
  <c r="AH49" i="1"/>
  <c r="AL49" i="1"/>
  <c r="AP49" i="1"/>
  <c r="AT49" i="1"/>
  <c r="AX49" i="1"/>
  <c r="F49" i="1"/>
  <c r="V49" i="1"/>
  <c r="AA49" i="1"/>
  <c r="AE49" i="1"/>
  <c r="AI49" i="1"/>
  <c r="AM49" i="1"/>
  <c r="AQ49" i="1"/>
  <c r="AU49" i="1"/>
  <c r="AY49" i="1"/>
  <c r="J49" i="1"/>
  <c r="X49" i="1"/>
  <c r="AB49" i="1"/>
  <c r="AF49" i="1"/>
  <c r="AJ49" i="1"/>
  <c r="AN49" i="1"/>
  <c r="AR49" i="1"/>
  <c r="AV49" i="1"/>
  <c r="AZ49" i="1"/>
  <c r="C49" i="1"/>
  <c r="B50" i="1"/>
  <c r="A52" i="1"/>
  <c r="D50" i="1"/>
  <c r="H50" i="1"/>
  <c r="L50" i="1"/>
  <c r="P50" i="1"/>
  <c r="T50" i="1"/>
  <c r="X50" i="1"/>
  <c r="AB50" i="1"/>
  <c r="AF50" i="1"/>
  <c r="AJ50" i="1"/>
  <c r="AN50" i="1"/>
  <c r="AR50" i="1"/>
  <c r="AV50" i="1"/>
  <c r="AZ50" i="1"/>
  <c r="E50" i="1"/>
  <c r="I50" i="1"/>
  <c r="M50" i="1"/>
  <c r="Q50" i="1"/>
  <c r="U50" i="1"/>
  <c r="Y50" i="1"/>
  <c r="AC50" i="1"/>
  <c r="AG50" i="1"/>
  <c r="AK50" i="1"/>
  <c r="AO50" i="1"/>
  <c r="AS50" i="1"/>
  <c r="AW50" i="1"/>
  <c r="F50" i="1"/>
  <c r="J50" i="1"/>
  <c r="N50" i="1"/>
  <c r="R50" i="1"/>
  <c r="V50" i="1"/>
  <c r="Z50" i="1"/>
  <c r="AD50" i="1"/>
  <c r="AH50" i="1"/>
  <c r="AL50" i="1"/>
  <c r="AP50" i="1"/>
  <c r="AT50" i="1"/>
  <c r="AX50" i="1"/>
  <c r="G50" i="1"/>
  <c r="K50" i="1"/>
  <c r="O50" i="1"/>
  <c r="S50" i="1"/>
  <c r="W50" i="1"/>
  <c r="AA50" i="1"/>
  <c r="AE50" i="1"/>
  <c r="AI50" i="1"/>
  <c r="AM50" i="1"/>
  <c r="AQ50" i="1"/>
  <c r="AU50" i="1"/>
  <c r="AY50" i="1"/>
  <c r="C50" i="1"/>
  <c r="B51" i="1"/>
  <c r="A53" i="1"/>
  <c r="G51" i="1"/>
  <c r="K51" i="1"/>
  <c r="O51" i="1"/>
  <c r="S51" i="1"/>
  <c r="W51" i="1"/>
  <c r="AA51" i="1"/>
  <c r="AE51" i="1"/>
  <c r="AI51" i="1"/>
  <c r="AM51" i="1"/>
  <c r="AQ51" i="1"/>
  <c r="AU51" i="1"/>
  <c r="AY51" i="1"/>
  <c r="D51" i="1"/>
  <c r="H51" i="1"/>
  <c r="L51" i="1"/>
  <c r="P51" i="1"/>
  <c r="T51" i="1"/>
  <c r="X51" i="1"/>
  <c r="AB51" i="1"/>
  <c r="AF51" i="1"/>
  <c r="AJ51" i="1"/>
  <c r="AN51" i="1"/>
  <c r="AR51" i="1"/>
  <c r="AV51" i="1"/>
  <c r="AZ51" i="1"/>
  <c r="E51" i="1"/>
  <c r="I51" i="1"/>
  <c r="M51" i="1"/>
  <c r="Q51" i="1"/>
  <c r="U51" i="1"/>
  <c r="Y51" i="1"/>
  <c r="AC51" i="1"/>
  <c r="AG51" i="1"/>
  <c r="AK51" i="1"/>
  <c r="AO51" i="1"/>
  <c r="AS51" i="1"/>
  <c r="AW51" i="1"/>
  <c r="F51" i="1"/>
  <c r="J51" i="1"/>
  <c r="N51" i="1"/>
  <c r="R51" i="1"/>
  <c r="V51" i="1"/>
  <c r="Z51" i="1"/>
  <c r="AD51" i="1"/>
  <c r="AH51" i="1"/>
  <c r="AL51" i="1"/>
  <c r="AP51" i="1"/>
  <c r="AT51" i="1"/>
  <c r="AX51" i="1"/>
  <c r="C51" i="1"/>
  <c r="B52" i="1"/>
  <c r="A54" i="1"/>
  <c r="F52" i="1"/>
  <c r="J52" i="1"/>
  <c r="N52" i="1"/>
  <c r="R52" i="1"/>
  <c r="V52" i="1"/>
  <c r="Z52" i="1"/>
  <c r="AD52" i="1"/>
  <c r="AH52" i="1"/>
  <c r="AL52" i="1"/>
  <c r="AP52" i="1"/>
  <c r="AT52" i="1"/>
  <c r="AX52" i="1"/>
  <c r="G52" i="1"/>
  <c r="K52" i="1"/>
  <c r="O52" i="1"/>
  <c r="S52" i="1"/>
  <c r="W52" i="1"/>
  <c r="AA52" i="1"/>
  <c r="AE52" i="1"/>
  <c r="AI52" i="1"/>
  <c r="AM52" i="1"/>
  <c r="AQ52" i="1"/>
  <c r="AU52" i="1"/>
  <c r="AY52" i="1"/>
  <c r="D52" i="1"/>
  <c r="H52" i="1"/>
  <c r="L52" i="1"/>
  <c r="P52" i="1"/>
  <c r="T52" i="1"/>
  <c r="X52" i="1"/>
  <c r="AB52" i="1"/>
  <c r="AF52" i="1"/>
  <c r="AJ52" i="1"/>
  <c r="AN52" i="1"/>
  <c r="AR52" i="1"/>
  <c r="AV52" i="1"/>
  <c r="AZ52" i="1"/>
  <c r="E52" i="1"/>
  <c r="I52" i="1"/>
  <c r="M52" i="1"/>
  <c r="Q52" i="1"/>
  <c r="U52" i="1"/>
  <c r="Y52" i="1"/>
  <c r="AC52" i="1"/>
  <c r="AG52" i="1"/>
  <c r="AK52" i="1"/>
  <c r="AO52" i="1"/>
  <c r="AS52" i="1"/>
  <c r="AW52" i="1"/>
  <c r="C52" i="1"/>
  <c r="B53" i="1"/>
  <c r="A55" i="1"/>
  <c r="E53" i="1"/>
  <c r="I53" i="1"/>
  <c r="M53" i="1"/>
  <c r="Q53" i="1"/>
  <c r="U53" i="1"/>
  <c r="Y53" i="1"/>
  <c r="AC53" i="1"/>
  <c r="AG53" i="1"/>
  <c r="AK53" i="1"/>
  <c r="AO53" i="1"/>
  <c r="AS53" i="1"/>
  <c r="AW53" i="1"/>
  <c r="F53" i="1"/>
  <c r="J53" i="1"/>
  <c r="N53" i="1"/>
  <c r="R53" i="1"/>
  <c r="V53" i="1"/>
  <c r="Z53" i="1"/>
  <c r="AD53" i="1"/>
  <c r="AH53" i="1"/>
  <c r="AL53" i="1"/>
  <c r="AP53" i="1"/>
  <c r="AT53" i="1"/>
  <c r="AX53" i="1"/>
  <c r="G53" i="1"/>
  <c r="K53" i="1"/>
  <c r="O53" i="1"/>
  <c r="S53" i="1"/>
  <c r="W53" i="1"/>
  <c r="AA53" i="1"/>
  <c r="AE53" i="1"/>
  <c r="AI53" i="1"/>
  <c r="AM53" i="1"/>
  <c r="AQ53" i="1"/>
  <c r="AU53" i="1"/>
  <c r="AY53" i="1"/>
  <c r="D53" i="1"/>
  <c r="H53" i="1"/>
  <c r="L53" i="1"/>
  <c r="P53" i="1"/>
  <c r="T53" i="1"/>
  <c r="X53" i="1"/>
  <c r="AB53" i="1"/>
  <c r="AF53" i="1"/>
  <c r="AJ53" i="1"/>
  <c r="AN53" i="1"/>
  <c r="AR53" i="1"/>
  <c r="AV53" i="1"/>
  <c r="AZ53" i="1"/>
  <c r="C53" i="1"/>
  <c r="B54" i="1"/>
  <c r="A56" i="1"/>
  <c r="A57" i="1"/>
  <c r="D54" i="1"/>
  <c r="H54" i="1"/>
  <c r="L54" i="1"/>
  <c r="P54" i="1"/>
  <c r="T54" i="1"/>
  <c r="X54" i="1"/>
  <c r="AB54" i="1"/>
  <c r="AF54" i="1"/>
  <c r="AJ54" i="1"/>
  <c r="AN54" i="1"/>
  <c r="AR54" i="1"/>
  <c r="AV54" i="1"/>
  <c r="AZ54" i="1"/>
  <c r="E54" i="1"/>
  <c r="I54" i="1"/>
  <c r="M54" i="1"/>
  <c r="Q54" i="1"/>
  <c r="U54" i="1"/>
  <c r="Y54" i="1"/>
  <c r="AC54" i="1"/>
  <c r="AG54" i="1"/>
  <c r="AK54" i="1"/>
  <c r="AO54" i="1"/>
  <c r="AS54" i="1"/>
  <c r="AW54" i="1"/>
  <c r="F54" i="1"/>
  <c r="J54" i="1"/>
  <c r="N54" i="1"/>
  <c r="R54" i="1"/>
  <c r="V54" i="1"/>
  <c r="Z54" i="1"/>
  <c r="AD54" i="1"/>
  <c r="AH54" i="1"/>
  <c r="AL54" i="1"/>
  <c r="AP54" i="1"/>
  <c r="AT54" i="1"/>
  <c r="AX54" i="1"/>
  <c r="G54" i="1"/>
  <c r="K54" i="1"/>
  <c r="O54" i="1"/>
  <c r="S54" i="1"/>
  <c r="W54" i="1"/>
  <c r="AA54" i="1"/>
  <c r="AE54" i="1"/>
  <c r="AI54" i="1"/>
  <c r="AM54" i="1"/>
  <c r="AQ54" i="1"/>
  <c r="AU54" i="1"/>
  <c r="AY54" i="1"/>
  <c r="C54" i="1"/>
  <c r="B55" i="1"/>
  <c r="A58" i="1"/>
  <c r="G55" i="1"/>
  <c r="K55" i="1"/>
  <c r="O55" i="1"/>
  <c r="S55" i="1"/>
  <c r="W55" i="1"/>
  <c r="AA55" i="1"/>
  <c r="AE55" i="1"/>
  <c r="AI55" i="1"/>
  <c r="AM55" i="1"/>
  <c r="AQ55" i="1"/>
  <c r="AU55" i="1"/>
  <c r="AY55" i="1"/>
  <c r="D55" i="1"/>
  <c r="H55" i="1"/>
  <c r="L55" i="1"/>
  <c r="P55" i="1"/>
  <c r="T55" i="1"/>
  <c r="X55" i="1"/>
  <c r="AB55" i="1"/>
  <c r="AF55" i="1"/>
  <c r="AJ55" i="1"/>
  <c r="AN55" i="1"/>
  <c r="AR55" i="1"/>
  <c r="AV55" i="1"/>
  <c r="AZ55" i="1"/>
  <c r="E55" i="1"/>
  <c r="I55" i="1"/>
  <c r="M55" i="1"/>
  <c r="Q55" i="1"/>
  <c r="U55" i="1"/>
  <c r="Y55" i="1"/>
  <c r="AC55" i="1"/>
  <c r="AG55" i="1"/>
  <c r="AK55" i="1"/>
  <c r="AO55" i="1"/>
  <c r="AS55" i="1"/>
  <c r="AW55" i="1"/>
  <c r="F55" i="1"/>
  <c r="J55" i="1"/>
  <c r="N55" i="1"/>
  <c r="R55" i="1"/>
  <c r="V55" i="1"/>
  <c r="Z55" i="1"/>
  <c r="AD55" i="1"/>
  <c r="AH55" i="1"/>
  <c r="AL55" i="1"/>
  <c r="AP55" i="1"/>
  <c r="AT55" i="1"/>
  <c r="AX55" i="1"/>
  <c r="C55" i="1"/>
  <c r="B56" i="1"/>
  <c r="A59" i="1"/>
  <c r="F56" i="1"/>
  <c r="J56" i="1"/>
  <c r="N56" i="1"/>
  <c r="R56" i="1"/>
  <c r="V56" i="1"/>
  <c r="Z56" i="1"/>
  <c r="AD56" i="1"/>
  <c r="AH56" i="1"/>
  <c r="AL56" i="1"/>
  <c r="AP56" i="1"/>
  <c r="AT56" i="1"/>
  <c r="AX56" i="1"/>
  <c r="G56" i="1"/>
  <c r="K56" i="1"/>
  <c r="O56" i="1"/>
  <c r="S56" i="1"/>
  <c r="W56" i="1"/>
  <c r="AA56" i="1"/>
  <c r="AE56" i="1"/>
  <c r="AI56" i="1"/>
  <c r="AM56" i="1"/>
  <c r="AQ56" i="1"/>
  <c r="AU56" i="1"/>
  <c r="AY56" i="1"/>
  <c r="D56" i="1"/>
  <c r="H56" i="1"/>
  <c r="L56" i="1"/>
  <c r="P56" i="1"/>
  <c r="T56" i="1"/>
  <c r="X56" i="1"/>
  <c r="AB56" i="1"/>
  <c r="AF56" i="1"/>
  <c r="AJ56" i="1"/>
  <c r="AN56" i="1"/>
  <c r="AR56" i="1"/>
  <c r="AV56" i="1"/>
  <c r="AZ56" i="1"/>
  <c r="E56" i="1"/>
  <c r="I56" i="1"/>
  <c r="M56" i="1"/>
  <c r="Q56" i="1"/>
  <c r="U56" i="1"/>
  <c r="Y56" i="1"/>
  <c r="AC56" i="1"/>
  <c r="AG56" i="1"/>
  <c r="AK56" i="1"/>
  <c r="AO56" i="1"/>
  <c r="AS56" i="1"/>
  <c r="AW56" i="1"/>
  <c r="C56" i="1"/>
  <c r="B57" i="1"/>
  <c r="A60" i="1"/>
  <c r="E57" i="1"/>
  <c r="I57" i="1"/>
  <c r="M57" i="1"/>
  <c r="Q57" i="1"/>
  <c r="U57" i="1"/>
  <c r="Y57" i="1"/>
  <c r="AC57" i="1"/>
  <c r="AG57" i="1"/>
  <c r="AK57" i="1"/>
  <c r="AO57" i="1"/>
  <c r="AS57" i="1"/>
  <c r="AW57" i="1"/>
  <c r="F57" i="1"/>
  <c r="J57" i="1"/>
  <c r="N57" i="1"/>
  <c r="R57" i="1"/>
  <c r="V57" i="1"/>
  <c r="Z57" i="1"/>
  <c r="AD57" i="1"/>
  <c r="AH57" i="1"/>
  <c r="AL57" i="1"/>
  <c r="AP57" i="1"/>
  <c r="AT57" i="1"/>
  <c r="AX57" i="1"/>
  <c r="G57" i="1"/>
  <c r="K57" i="1"/>
  <c r="O57" i="1"/>
  <c r="S57" i="1"/>
  <c r="W57" i="1"/>
  <c r="AA57" i="1"/>
  <c r="AE57" i="1"/>
  <c r="AI57" i="1"/>
  <c r="AM57" i="1"/>
  <c r="AQ57" i="1"/>
  <c r="AU57" i="1"/>
  <c r="AY57" i="1"/>
  <c r="D57" i="1"/>
  <c r="H57" i="1"/>
  <c r="L57" i="1"/>
  <c r="P57" i="1"/>
  <c r="T57" i="1"/>
  <c r="X57" i="1"/>
  <c r="AB57" i="1"/>
  <c r="AF57" i="1"/>
  <c r="AJ57" i="1"/>
  <c r="AN57" i="1"/>
  <c r="AR57" i="1"/>
  <c r="AV57" i="1"/>
  <c r="AZ57" i="1"/>
  <c r="C57" i="1"/>
  <c r="B58" i="1"/>
  <c r="A61" i="1"/>
  <c r="D58" i="1"/>
  <c r="H58" i="1"/>
  <c r="L58" i="1"/>
  <c r="P58" i="1"/>
  <c r="T58" i="1"/>
  <c r="X58" i="1"/>
  <c r="AB58" i="1"/>
  <c r="AF58" i="1"/>
  <c r="AJ58" i="1"/>
  <c r="AN58" i="1"/>
  <c r="AR58" i="1"/>
  <c r="AV58" i="1"/>
  <c r="AZ58" i="1"/>
  <c r="E58" i="1"/>
  <c r="I58" i="1"/>
  <c r="M58" i="1"/>
  <c r="Q58" i="1"/>
  <c r="U58" i="1"/>
  <c r="Y58" i="1"/>
  <c r="AC58" i="1"/>
  <c r="AG58" i="1"/>
  <c r="AK58" i="1"/>
  <c r="AO58" i="1"/>
  <c r="AS58" i="1"/>
  <c r="AW58" i="1"/>
  <c r="F58" i="1"/>
  <c r="J58" i="1"/>
  <c r="N58" i="1"/>
  <c r="R58" i="1"/>
  <c r="V58" i="1"/>
  <c r="Z58" i="1"/>
  <c r="AD58" i="1"/>
  <c r="AH58" i="1"/>
  <c r="AL58" i="1"/>
  <c r="AP58" i="1"/>
  <c r="AT58" i="1"/>
  <c r="AX58" i="1"/>
  <c r="G58" i="1"/>
  <c r="K58" i="1"/>
  <c r="O58" i="1"/>
  <c r="S58" i="1"/>
  <c r="W58" i="1"/>
  <c r="AA58" i="1"/>
  <c r="AE58" i="1"/>
  <c r="AI58" i="1"/>
  <c r="AM58" i="1"/>
  <c r="AQ58" i="1"/>
  <c r="AU58" i="1"/>
  <c r="AY58" i="1"/>
  <c r="C58" i="1"/>
  <c r="B59" i="1"/>
  <c r="A62" i="1"/>
  <c r="G59" i="1"/>
  <c r="K59" i="1"/>
  <c r="O59" i="1"/>
  <c r="S59" i="1"/>
  <c r="W59" i="1"/>
  <c r="AA59" i="1"/>
  <c r="AE59" i="1"/>
  <c r="AI59" i="1"/>
  <c r="AM59" i="1"/>
  <c r="AQ59" i="1"/>
  <c r="AU59" i="1"/>
  <c r="AY59" i="1"/>
  <c r="D59" i="1"/>
  <c r="H59" i="1"/>
  <c r="L59" i="1"/>
  <c r="P59" i="1"/>
  <c r="T59" i="1"/>
  <c r="X59" i="1"/>
  <c r="AB59" i="1"/>
  <c r="AF59" i="1"/>
  <c r="AJ59" i="1"/>
  <c r="AN59" i="1"/>
  <c r="AR59" i="1"/>
  <c r="AV59" i="1"/>
  <c r="AZ59" i="1"/>
  <c r="E59" i="1"/>
  <c r="I59" i="1"/>
  <c r="M59" i="1"/>
  <c r="Q59" i="1"/>
  <c r="U59" i="1"/>
  <c r="Y59" i="1"/>
  <c r="AC59" i="1"/>
  <c r="AG59" i="1"/>
  <c r="AK59" i="1"/>
  <c r="AO59" i="1"/>
  <c r="AS59" i="1"/>
  <c r="AW59" i="1"/>
  <c r="F59" i="1"/>
  <c r="J59" i="1"/>
  <c r="N59" i="1"/>
  <c r="R59" i="1"/>
  <c r="V59" i="1"/>
  <c r="Z59" i="1"/>
  <c r="AD59" i="1"/>
  <c r="AH59" i="1"/>
  <c r="AL59" i="1"/>
  <c r="AP59" i="1"/>
  <c r="AT59" i="1"/>
  <c r="AX59" i="1"/>
  <c r="C59" i="1"/>
  <c r="B60" i="1"/>
  <c r="A63" i="1"/>
  <c r="F60" i="1"/>
  <c r="J60" i="1"/>
  <c r="N60" i="1"/>
  <c r="R60" i="1"/>
  <c r="V60" i="1"/>
  <c r="Z60" i="1"/>
  <c r="AD60" i="1"/>
  <c r="AH60" i="1"/>
  <c r="AL60" i="1"/>
  <c r="AP60" i="1"/>
  <c r="AT60" i="1"/>
  <c r="AX60" i="1"/>
  <c r="G60" i="1"/>
  <c r="K60" i="1"/>
  <c r="O60" i="1"/>
  <c r="S60" i="1"/>
  <c r="W60" i="1"/>
  <c r="AA60" i="1"/>
  <c r="AE60" i="1"/>
  <c r="AI60" i="1"/>
  <c r="AM60" i="1"/>
  <c r="AQ60" i="1"/>
  <c r="AU60" i="1"/>
  <c r="AY60" i="1"/>
  <c r="D60" i="1"/>
  <c r="H60" i="1"/>
  <c r="L60" i="1"/>
  <c r="P60" i="1"/>
  <c r="T60" i="1"/>
  <c r="X60" i="1"/>
  <c r="AB60" i="1"/>
  <c r="AF60" i="1"/>
  <c r="AJ60" i="1"/>
  <c r="AN60" i="1"/>
  <c r="AR60" i="1"/>
  <c r="AV60" i="1"/>
  <c r="AZ60" i="1"/>
  <c r="E60" i="1"/>
  <c r="I60" i="1"/>
  <c r="M60" i="1"/>
  <c r="Q60" i="1"/>
  <c r="U60" i="1"/>
  <c r="Y60" i="1"/>
  <c r="AC60" i="1"/>
  <c r="AG60" i="1"/>
  <c r="AK60" i="1"/>
  <c r="AO60" i="1"/>
  <c r="AS60" i="1"/>
  <c r="AW60" i="1"/>
  <c r="C60" i="1"/>
  <c r="B61" i="1"/>
  <c r="A64" i="1"/>
  <c r="E61" i="1"/>
  <c r="I61" i="1"/>
  <c r="M61" i="1"/>
  <c r="Q61" i="1"/>
  <c r="U61" i="1"/>
  <c r="Y61" i="1"/>
  <c r="AC61" i="1"/>
  <c r="AG61" i="1"/>
  <c r="AK61" i="1"/>
  <c r="AO61" i="1"/>
  <c r="AS61" i="1"/>
  <c r="AW61" i="1"/>
  <c r="F61" i="1"/>
  <c r="J61" i="1"/>
  <c r="N61" i="1"/>
  <c r="R61" i="1"/>
  <c r="V61" i="1"/>
  <c r="Z61" i="1"/>
  <c r="AD61" i="1"/>
  <c r="AH61" i="1"/>
  <c r="AL61" i="1"/>
  <c r="AP61" i="1"/>
  <c r="AT61" i="1"/>
  <c r="AX61" i="1"/>
  <c r="G61" i="1"/>
  <c r="K61" i="1"/>
  <c r="O61" i="1"/>
  <c r="S61" i="1"/>
  <c r="W61" i="1"/>
  <c r="AA61" i="1"/>
  <c r="AE61" i="1"/>
  <c r="AI61" i="1"/>
  <c r="AM61" i="1"/>
  <c r="AQ61" i="1"/>
  <c r="AU61" i="1"/>
  <c r="D61" i="1"/>
  <c r="H61" i="1"/>
  <c r="L61" i="1"/>
  <c r="P61" i="1"/>
  <c r="T61" i="1"/>
  <c r="X61" i="1"/>
  <c r="AB61" i="1"/>
  <c r="AF61" i="1"/>
  <c r="AJ61" i="1"/>
  <c r="AN61" i="1"/>
  <c r="AR61" i="1"/>
  <c r="AV61" i="1"/>
  <c r="AZ61" i="1"/>
  <c r="AY61" i="1"/>
  <c r="C61" i="1"/>
  <c r="B62" i="1"/>
  <c r="A65" i="1"/>
  <c r="D62" i="1"/>
  <c r="H62" i="1"/>
  <c r="L62" i="1"/>
  <c r="P62" i="1"/>
  <c r="T62" i="1"/>
  <c r="X62" i="1"/>
  <c r="AB62" i="1"/>
  <c r="AF62" i="1"/>
  <c r="AJ62" i="1"/>
  <c r="AN62" i="1"/>
  <c r="AR62" i="1"/>
  <c r="AV62" i="1"/>
  <c r="E62" i="1"/>
  <c r="I62" i="1"/>
  <c r="M62" i="1"/>
  <c r="Q62" i="1"/>
  <c r="U62" i="1"/>
  <c r="Y62" i="1"/>
  <c r="AC62" i="1"/>
  <c r="AG62" i="1"/>
  <c r="AK62" i="1"/>
  <c r="AO62" i="1"/>
  <c r="AS62" i="1"/>
  <c r="G62" i="1"/>
  <c r="K62" i="1"/>
  <c r="O62" i="1"/>
  <c r="S62" i="1"/>
  <c r="W62" i="1"/>
  <c r="AA62" i="1"/>
  <c r="AE62" i="1"/>
  <c r="AI62" i="1"/>
  <c r="AM62" i="1"/>
  <c r="AQ62" i="1"/>
  <c r="N62" i="1"/>
  <c r="AD62" i="1"/>
  <c r="AT62" i="1"/>
  <c r="AY62" i="1"/>
  <c r="R62" i="1"/>
  <c r="AH62" i="1"/>
  <c r="AU62" i="1"/>
  <c r="AZ62" i="1"/>
  <c r="F62" i="1"/>
  <c r="V62" i="1"/>
  <c r="AL62" i="1"/>
  <c r="AW62" i="1"/>
  <c r="J62" i="1"/>
  <c r="Z62" i="1"/>
  <c r="AP62" i="1"/>
  <c r="AX62" i="1"/>
  <c r="C62" i="1"/>
  <c r="B63" i="1"/>
  <c r="A66" i="1"/>
  <c r="F63" i="1"/>
  <c r="J63" i="1"/>
  <c r="N63" i="1"/>
  <c r="R63" i="1"/>
  <c r="V63" i="1"/>
  <c r="Z63" i="1"/>
  <c r="AD63" i="1"/>
  <c r="AH63" i="1"/>
  <c r="AL63" i="1"/>
  <c r="AP63" i="1"/>
  <c r="AT63" i="1"/>
  <c r="AX63" i="1"/>
  <c r="G63" i="1"/>
  <c r="K63" i="1"/>
  <c r="O63" i="1"/>
  <c r="S63" i="1"/>
  <c r="W63" i="1"/>
  <c r="AA63" i="1"/>
  <c r="AE63" i="1"/>
  <c r="AI63" i="1"/>
  <c r="AM63" i="1"/>
  <c r="AQ63" i="1"/>
  <c r="AU63" i="1"/>
  <c r="AY63" i="1"/>
  <c r="D63" i="1"/>
  <c r="H63" i="1"/>
  <c r="L63" i="1"/>
  <c r="P63" i="1"/>
  <c r="T63" i="1"/>
  <c r="X63" i="1"/>
  <c r="AB63" i="1"/>
  <c r="AF63" i="1"/>
  <c r="AJ63" i="1"/>
  <c r="AN63" i="1"/>
  <c r="AR63" i="1"/>
  <c r="AV63" i="1"/>
  <c r="AZ63" i="1"/>
  <c r="E63" i="1"/>
  <c r="I63" i="1"/>
  <c r="M63" i="1"/>
  <c r="Q63" i="1"/>
  <c r="U63" i="1"/>
  <c r="Y63" i="1"/>
  <c r="AC63" i="1"/>
  <c r="AG63" i="1"/>
  <c r="AK63" i="1"/>
  <c r="AO63" i="1"/>
  <c r="AS63" i="1"/>
  <c r="AW63" i="1"/>
  <c r="C63" i="1"/>
  <c r="B64" i="1"/>
  <c r="A67" i="1"/>
  <c r="E64" i="1"/>
  <c r="I64" i="1"/>
  <c r="M64" i="1"/>
  <c r="Q64" i="1"/>
  <c r="U64" i="1"/>
  <c r="Y64" i="1"/>
  <c r="AC64" i="1"/>
  <c r="AG64" i="1"/>
  <c r="AK64" i="1"/>
  <c r="AO64" i="1"/>
  <c r="AS64" i="1"/>
  <c r="AW64" i="1"/>
  <c r="F64" i="1"/>
  <c r="J64" i="1"/>
  <c r="N64" i="1"/>
  <c r="R64" i="1"/>
  <c r="V64" i="1"/>
  <c r="Z64" i="1"/>
  <c r="AD64" i="1"/>
  <c r="AH64" i="1"/>
  <c r="AL64" i="1"/>
  <c r="AP64" i="1"/>
  <c r="AT64" i="1"/>
  <c r="AX64" i="1"/>
  <c r="G64" i="1"/>
  <c r="K64" i="1"/>
  <c r="O64" i="1"/>
  <c r="S64" i="1"/>
  <c r="W64" i="1"/>
  <c r="AA64" i="1"/>
  <c r="AE64" i="1"/>
  <c r="AI64" i="1"/>
  <c r="AM64" i="1"/>
  <c r="AQ64" i="1"/>
  <c r="AU64" i="1"/>
  <c r="AY64" i="1"/>
  <c r="D64" i="1"/>
  <c r="H64" i="1"/>
  <c r="L64" i="1"/>
  <c r="P64" i="1"/>
  <c r="T64" i="1"/>
  <c r="X64" i="1"/>
  <c r="AB64" i="1"/>
  <c r="AF64" i="1"/>
  <c r="AJ64" i="1"/>
  <c r="AN64" i="1"/>
  <c r="AR64" i="1"/>
  <c r="AV64" i="1"/>
  <c r="AZ64" i="1"/>
  <c r="C64" i="1"/>
  <c r="B65" i="1"/>
  <c r="A68" i="1"/>
  <c r="D65" i="1"/>
  <c r="H65" i="1"/>
  <c r="L65" i="1"/>
  <c r="P65" i="1"/>
  <c r="T65" i="1"/>
  <c r="X65" i="1"/>
  <c r="AB65" i="1"/>
  <c r="AF65" i="1"/>
  <c r="AJ65" i="1"/>
  <c r="AN65" i="1"/>
  <c r="AR65" i="1"/>
  <c r="AV65" i="1"/>
  <c r="AZ65" i="1"/>
  <c r="E65" i="1"/>
  <c r="I65" i="1"/>
  <c r="M65" i="1"/>
  <c r="Q65" i="1"/>
  <c r="U65" i="1"/>
  <c r="Y65" i="1"/>
  <c r="AC65" i="1"/>
  <c r="AG65" i="1"/>
  <c r="AK65" i="1"/>
  <c r="AO65" i="1"/>
  <c r="AS65" i="1"/>
  <c r="AW65" i="1"/>
  <c r="F65" i="1"/>
  <c r="J65" i="1"/>
  <c r="N65" i="1"/>
  <c r="R65" i="1"/>
  <c r="V65" i="1"/>
  <c r="Z65" i="1"/>
  <c r="AD65" i="1"/>
  <c r="AH65" i="1"/>
  <c r="AL65" i="1"/>
  <c r="AP65" i="1"/>
  <c r="AT65" i="1"/>
  <c r="AX65" i="1"/>
  <c r="G65" i="1"/>
  <c r="K65" i="1"/>
  <c r="O65" i="1"/>
  <c r="S65" i="1"/>
  <c r="W65" i="1"/>
  <c r="AA65" i="1"/>
  <c r="AE65" i="1"/>
  <c r="AI65" i="1"/>
  <c r="AM65" i="1"/>
  <c r="AQ65" i="1"/>
  <c r="AU65" i="1"/>
  <c r="AY65" i="1"/>
  <c r="C65" i="1"/>
  <c r="B66" i="1"/>
  <c r="A69" i="1"/>
  <c r="G66" i="1"/>
  <c r="K66" i="1"/>
  <c r="O66" i="1"/>
  <c r="S66" i="1"/>
  <c r="W66" i="1"/>
  <c r="AA66" i="1"/>
  <c r="AE66" i="1"/>
  <c r="AI66" i="1"/>
  <c r="AM66" i="1"/>
  <c r="AQ66" i="1"/>
  <c r="AU66" i="1"/>
  <c r="AY66" i="1"/>
  <c r="D66" i="1"/>
  <c r="H66" i="1"/>
  <c r="L66" i="1"/>
  <c r="P66" i="1"/>
  <c r="T66" i="1"/>
  <c r="X66" i="1"/>
  <c r="AB66" i="1"/>
  <c r="AF66" i="1"/>
  <c r="AJ66" i="1"/>
  <c r="AN66" i="1"/>
  <c r="AR66" i="1"/>
  <c r="AV66" i="1"/>
  <c r="AZ66" i="1"/>
  <c r="E66" i="1"/>
  <c r="I66" i="1"/>
  <c r="M66" i="1"/>
  <c r="Q66" i="1"/>
  <c r="U66" i="1"/>
  <c r="Y66" i="1"/>
  <c r="AC66" i="1"/>
  <c r="AG66" i="1"/>
  <c r="AK66" i="1"/>
  <c r="AO66" i="1"/>
  <c r="AS66" i="1"/>
  <c r="AW66" i="1"/>
  <c r="F66" i="1"/>
  <c r="J66" i="1"/>
  <c r="N66" i="1"/>
  <c r="R66" i="1"/>
  <c r="V66" i="1"/>
  <c r="Z66" i="1"/>
  <c r="AD66" i="1"/>
  <c r="AH66" i="1"/>
  <c r="AL66" i="1"/>
  <c r="AP66" i="1"/>
  <c r="AT66" i="1"/>
  <c r="AX66" i="1"/>
  <c r="C66" i="1"/>
  <c r="B67" i="1"/>
  <c r="A70" i="1"/>
  <c r="F67" i="1"/>
  <c r="J67" i="1"/>
  <c r="N67" i="1"/>
  <c r="R67" i="1"/>
  <c r="V67" i="1"/>
  <c r="Z67" i="1"/>
  <c r="AD67" i="1"/>
  <c r="AH67" i="1"/>
  <c r="AL67" i="1"/>
  <c r="AP67" i="1"/>
  <c r="AT67" i="1"/>
  <c r="AX67" i="1"/>
  <c r="G67" i="1"/>
  <c r="K67" i="1"/>
  <c r="O67" i="1"/>
  <c r="S67" i="1"/>
  <c r="W67" i="1"/>
  <c r="AA67" i="1"/>
  <c r="AE67" i="1"/>
  <c r="AI67" i="1"/>
  <c r="AM67" i="1"/>
  <c r="AQ67" i="1"/>
  <c r="AU67" i="1"/>
  <c r="AY67" i="1"/>
  <c r="D67" i="1"/>
  <c r="H67" i="1"/>
  <c r="L67" i="1"/>
  <c r="P67" i="1"/>
  <c r="T67" i="1"/>
  <c r="X67" i="1"/>
  <c r="AB67" i="1"/>
  <c r="AF67" i="1"/>
  <c r="AJ67" i="1"/>
  <c r="AN67" i="1"/>
  <c r="AR67" i="1"/>
  <c r="AV67" i="1"/>
  <c r="AZ67" i="1"/>
  <c r="E67" i="1"/>
  <c r="I67" i="1"/>
  <c r="M67" i="1"/>
  <c r="Q67" i="1"/>
  <c r="U67" i="1"/>
  <c r="Y67" i="1"/>
  <c r="AC67" i="1"/>
  <c r="AG67" i="1"/>
  <c r="AK67" i="1"/>
  <c r="AO67" i="1"/>
  <c r="AS67" i="1"/>
  <c r="AW67" i="1"/>
  <c r="C67" i="1"/>
  <c r="B68" i="1"/>
  <c r="A71" i="1"/>
  <c r="E68" i="1"/>
  <c r="I68" i="1"/>
  <c r="M68" i="1"/>
  <c r="Q68" i="1"/>
  <c r="U68" i="1"/>
  <c r="Y68" i="1"/>
  <c r="AC68" i="1"/>
  <c r="AG68" i="1"/>
  <c r="AK68" i="1"/>
  <c r="AO68" i="1"/>
  <c r="AS68" i="1"/>
  <c r="AW68" i="1"/>
  <c r="F68" i="1"/>
  <c r="J68" i="1"/>
  <c r="N68" i="1"/>
  <c r="R68" i="1"/>
  <c r="V68" i="1"/>
  <c r="Z68" i="1"/>
  <c r="AD68" i="1"/>
  <c r="AH68" i="1"/>
  <c r="AL68" i="1"/>
  <c r="AP68" i="1"/>
  <c r="AT68" i="1"/>
  <c r="AX68" i="1"/>
  <c r="G68" i="1"/>
  <c r="K68" i="1"/>
  <c r="O68" i="1"/>
  <c r="S68" i="1"/>
  <c r="W68" i="1"/>
  <c r="AA68" i="1"/>
  <c r="AE68" i="1"/>
  <c r="AI68" i="1"/>
  <c r="AM68" i="1"/>
  <c r="AQ68" i="1"/>
  <c r="AU68" i="1"/>
  <c r="AY68" i="1"/>
  <c r="D68" i="1"/>
  <c r="H68" i="1"/>
  <c r="L68" i="1"/>
  <c r="P68" i="1"/>
  <c r="T68" i="1"/>
  <c r="X68" i="1"/>
  <c r="AB68" i="1"/>
  <c r="AF68" i="1"/>
  <c r="AJ68" i="1"/>
  <c r="AN68" i="1"/>
  <c r="AR68" i="1"/>
  <c r="AV68" i="1"/>
  <c r="AZ68" i="1"/>
  <c r="C68" i="1"/>
  <c r="B69" i="1"/>
  <c r="A72" i="1"/>
  <c r="D69" i="1"/>
  <c r="H69" i="1"/>
  <c r="L69" i="1"/>
  <c r="P69" i="1"/>
  <c r="T69" i="1"/>
  <c r="X69" i="1"/>
  <c r="AB69" i="1"/>
  <c r="AF69" i="1"/>
  <c r="AJ69" i="1"/>
  <c r="AN69" i="1"/>
  <c r="AR69" i="1"/>
  <c r="AV69" i="1"/>
  <c r="AZ69" i="1"/>
  <c r="E69" i="1"/>
  <c r="I69" i="1"/>
  <c r="M69" i="1"/>
  <c r="Q69" i="1"/>
  <c r="U69" i="1"/>
  <c r="Y69" i="1"/>
  <c r="AC69" i="1"/>
  <c r="AG69" i="1"/>
  <c r="AK69" i="1"/>
  <c r="AO69" i="1"/>
  <c r="AS69" i="1"/>
  <c r="AW69" i="1"/>
  <c r="F69" i="1"/>
  <c r="J69" i="1"/>
  <c r="N69" i="1"/>
  <c r="R69" i="1"/>
  <c r="V69" i="1"/>
  <c r="Z69" i="1"/>
  <c r="AD69" i="1"/>
  <c r="AH69" i="1"/>
  <c r="AL69" i="1"/>
  <c r="AP69" i="1"/>
  <c r="AT69" i="1"/>
  <c r="AX69" i="1"/>
  <c r="G69" i="1"/>
  <c r="K69" i="1"/>
  <c r="O69" i="1"/>
  <c r="S69" i="1"/>
  <c r="W69" i="1"/>
  <c r="AA69" i="1"/>
  <c r="AE69" i="1"/>
  <c r="AI69" i="1"/>
  <c r="AM69" i="1"/>
  <c r="AQ69" i="1"/>
  <c r="AU69" i="1"/>
  <c r="AY69" i="1"/>
  <c r="C69" i="1"/>
  <c r="B70" i="1"/>
  <c r="A73" i="1"/>
  <c r="G70" i="1"/>
  <c r="K70" i="1"/>
  <c r="O70" i="1"/>
  <c r="S70" i="1"/>
  <c r="W70" i="1"/>
  <c r="AA70" i="1"/>
  <c r="AE70" i="1"/>
  <c r="AI70" i="1"/>
  <c r="AM70" i="1"/>
  <c r="AQ70" i="1"/>
  <c r="AU70" i="1"/>
  <c r="AY70" i="1"/>
  <c r="D70" i="1"/>
  <c r="H70" i="1"/>
  <c r="L70" i="1"/>
  <c r="P70" i="1"/>
  <c r="T70" i="1"/>
  <c r="X70" i="1"/>
  <c r="AB70" i="1"/>
  <c r="AF70" i="1"/>
  <c r="AJ70" i="1"/>
  <c r="AN70" i="1"/>
  <c r="AR70" i="1"/>
  <c r="AV70" i="1"/>
  <c r="AZ70" i="1"/>
  <c r="E70" i="1"/>
  <c r="I70" i="1"/>
  <c r="M70" i="1"/>
  <c r="Q70" i="1"/>
  <c r="U70" i="1"/>
  <c r="Y70" i="1"/>
  <c r="AC70" i="1"/>
  <c r="AG70" i="1"/>
  <c r="AK70" i="1"/>
  <c r="AO70" i="1"/>
  <c r="AS70" i="1"/>
  <c r="AW70" i="1"/>
  <c r="F70" i="1"/>
  <c r="J70" i="1"/>
  <c r="N70" i="1"/>
  <c r="R70" i="1"/>
  <c r="V70" i="1"/>
  <c r="Z70" i="1"/>
  <c r="AD70" i="1"/>
  <c r="AH70" i="1"/>
  <c r="AL70" i="1"/>
  <c r="AP70" i="1"/>
  <c r="AT70" i="1"/>
  <c r="AX70" i="1"/>
  <c r="C70" i="1"/>
  <c r="B71" i="1"/>
  <c r="A74" i="1"/>
  <c r="F71" i="1"/>
  <c r="J71" i="1"/>
  <c r="N71" i="1"/>
  <c r="R71" i="1"/>
  <c r="V71" i="1"/>
  <c r="Z71" i="1"/>
  <c r="AD71" i="1"/>
  <c r="AH71" i="1"/>
  <c r="AL71" i="1"/>
  <c r="AP71" i="1"/>
  <c r="AT71" i="1"/>
  <c r="AX71" i="1"/>
  <c r="G71" i="1"/>
  <c r="K71" i="1"/>
  <c r="O71" i="1"/>
  <c r="S71" i="1"/>
  <c r="W71" i="1"/>
  <c r="AA71" i="1"/>
  <c r="AE71" i="1"/>
  <c r="AI71" i="1"/>
  <c r="AM71" i="1"/>
  <c r="AQ71" i="1"/>
  <c r="AU71" i="1"/>
  <c r="AY71" i="1"/>
  <c r="D71" i="1"/>
  <c r="H71" i="1"/>
  <c r="L71" i="1"/>
  <c r="P71" i="1"/>
  <c r="T71" i="1"/>
  <c r="X71" i="1"/>
  <c r="AB71" i="1"/>
  <c r="AF71" i="1"/>
  <c r="AJ71" i="1"/>
  <c r="AN71" i="1"/>
  <c r="AR71" i="1"/>
  <c r="AV71" i="1"/>
  <c r="AZ71" i="1"/>
  <c r="E71" i="1"/>
  <c r="I71" i="1"/>
  <c r="M71" i="1"/>
  <c r="Q71" i="1"/>
  <c r="U71" i="1"/>
  <c r="Y71" i="1"/>
  <c r="AC71" i="1"/>
  <c r="AG71" i="1"/>
  <c r="AK71" i="1"/>
  <c r="AO71" i="1"/>
  <c r="AS71" i="1"/>
  <c r="AW71" i="1"/>
  <c r="C71" i="1"/>
  <c r="B72" i="1"/>
  <c r="A75" i="1"/>
  <c r="E72" i="1"/>
  <c r="I72" i="1"/>
  <c r="M72" i="1"/>
  <c r="Q72" i="1"/>
  <c r="U72" i="1"/>
  <c r="Y72" i="1"/>
  <c r="AC72" i="1"/>
  <c r="AG72" i="1"/>
  <c r="AK72" i="1"/>
  <c r="AO72" i="1"/>
  <c r="AS72" i="1"/>
  <c r="AW72" i="1"/>
  <c r="F72" i="1"/>
  <c r="J72" i="1"/>
  <c r="N72" i="1"/>
  <c r="R72" i="1"/>
  <c r="V72" i="1"/>
  <c r="Z72" i="1"/>
  <c r="AD72" i="1"/>
  <c r="AH72" i="1"/>
  <c r="AL72" i="1"/>
  <c r="AP72" i="1"/>
  <c r="AT72" i="1"/>
  <c r="AX72" i="1"/>
  <c r="G72" i="1"/>
  <c r="K72" i="1"/>
  <c r="O72" i="1"/>
  <c r="S72" i="1"/>
  <c r="W72" i="1"/>
  <c r="AA72" i="1"/>
  <c r="AE72" i="1"/>
  <c r="AI72" i="1"/>
  <c r="AM72" i="1"/>
  <c r="AQ72" i="1"/>
  <c r="AU72" i="1"/>
  <c r="AY72" i="1"/>
  <c r="D72" i="1"/>
  <c r="H72" i="1"/>
  <c r="L72" i="1"/>
  <c r="P72" i="1"/>
  <c r="T72" i="1"/>
  <c r="X72" i="1"/>
  <c r="AB72" i="1"/>
  <c r="AF72" i="1"/>
  <c r="AJ72" i="1"/>
  <c r="AN72" i="1"/>
  <c r="AR72" i="1"/>
  <c r="AV72" i="1"/>
  <c r="AZ72" i="1"/>
  <c r="C72" i="1"/>
  <c r="B73" i="1"/>
  <c r="A76" i="1"/>
  <c r="D73" i="1"/>
  <c r="H73" i="1"/>
  <c r="L73" i="1"/>
  <c r="P73" i="1"/>
  <c r="T73" i="1"/>
  <c r="X73" i="1"/>
  <c r="AB73" i="1"/>
  <c r="AF73" i="1"/>
  <c r="AJ73" i="1"/>
  <c r="AN73" i="1"/>
  <c r="AR73" i="1"/>
  <c r="AV73" i="1"/>
  <c r="AZ73" i="1"/>
  <c r="E73" i="1"/>
  <c r="I73" i="1"/>
  <c r="M73" i="1"/>
  <c r="Q73" i="1"/>
  <c r="U73" i="1"/>
  <c r="Y73" i="1"/>
  <c r="AC73" i="1"/>
  <c r="F73" i="1"/>
  <c r="J73" i="1"/>
  <c r="N73" i="1"/>
  <c r="R73" i="1"/>
  <c r="V73" i="1"/>
  <c r="Z73" i="1"/>
  <c r="AD73" i="1"/>
  <c r="AH73" i="1"/>
  <c r="AL73" i="1"/>
  <c r="AP73" i="1"/>
  <c r="G73" i="1"/>
  <c r="K73" i="1"/>
  <c r="O73" i="1"/>
  <c r="S73" i="1"/>
  <c r="W73" i="1"/>
  <c r="AA73" i="1"/>
  <c r="AE73" i="1"/>
  <c r="AI73" i="1"/>
  <c r="AM73" i="1"/>
  <c r="AQ73" i="1"/>
  <c r="AU73" i="1"/>
  <c r="AY73" i="1"/>
  <c r="AG73" i="1"/>
  <c r="AT73" i="1"/>
  <c r="AK73" i="1"/>
  <c r="AW73" i="1"/>
  <c r="AO73" i="1"/>
  <c r="AX73" i="1"/>
  <c r="AS73" i="1"/>
  <c r="C73" i="1"/>
  <c r="B74" i="1"/>
  <c r="A77" i="1"/>
  <c r="G74" i="1"/>
  <c r="K74" i="1"/>
  <c r="O74" i="1"/>
  <c r="S74" i="1"/>
  <c r="W74" i="1"/>
  <c r="AA74" i="1"/>
  <c r="AE74" i="1"/>
  <c r="AI74" i="1"/>
  <c r="AM74" i="1"/>
  <c r="AQ74" i="1"/>
  <c r="AU74" i="1"/>
  <c r="AY74" i="1"/>
  <c r="F74" i="1"/>
  <c r="J74" i="1"/>
  <c r="N74" i="1"/>
  <c r="R74" i="1"/>
  <c r="V74" i="1"/>
  <c r="Z74" i="1"/>
  <c r="AD74" i="1"/>
  <c r="AH74" i="1"/>
  <c r="AL74" i="1"/>
  <c r="AP74" i="1"/>
  <c r="AT74" i="1"/>
  <c r="AX74" i="1"/>
  <c r="I74" i="1"/>
  <c r="Q74" i="1"/>
  <c r="Y74" i="1"/>
  <c r="AG74" i="1"/>
  <c r="AO74" i="1"/>
  <c r="AW74" i="1"/>
  <c r="D74" i="1"/>
  <c r="L74" i="1"/>
  <c r="T74" i="1"/>
  <c r="AB74" i="1"/>
  <c r="AJ74" i="1"/>
  <c r="AR74" i="1"/>
  <c r="AZ74" i="1"/>
  <c r="E74" i="1"/>
  <c r="M74" i="1"/>
  <c r="U74" i="1"/>
  <c r="AC74" i="1"/>
  <c r="AK74" i="1"/>
  <c r="AS74" i="1"/>
  <c r="H74" i="1"/>
  <c r="P74" i="1"/>
  <c r="X74" i="1"/>
  <c r="AF74" i="1"/>
  <c r="AN74" i="1"/>
  <c r="AV74" i="1"/>
  <c r="C74" i="1"/>
  <c r="B75" i="1"/>
  <c r="A78" i="1"/>
  <c r="F75" i="1"/>
  <c r="J75" i="1"/>
  <c r="N75" i="1"/>
  <c r="R75" i="1"/>
  <c r="V75" i="1"/>
  <c r="Z75" i="1"/>
  <c r="AD75" i="1"/>
  <c r="AH75" i="1"/>
  <c r="AL75" i="1"/>
  <c r="AP75" i="1"/>
  <c r="AT75" i="1"/>
  <c r="AX75" i="1"/>
  <c r="E75" i="1"/>
  <c r="I75" i="1"/>
  <c r="M75" i="1"/>
  <c r="Q75" i="1"/>
  <c r="U75" i="1"/>
  <c r="Y75" i="1"/>
  <c r="AC75" i="1"/>
  <c r="AG75" i="1"/>
  <c r="AK75" i="1"/>
  <c r="AO75" i="1"/>
  <c r="AS75" i="1"/>
  <c r="AW75" i="1"/>
  <c r="D75" i="1"/>
  <c r="L75" i="1"/>
  <c r="T75" i="1"/>
  <c r="AB75" i="1"/>
  <c r="AJ75" i="1"/>
  <c r="AR75" i="1"/>
  <c r="AZ75" i="1"/>
  <c r="G75" i="1"/>
  <c r="O75" i="1"/>
  <c r="W75" i="1"/>
  <c r="AE75" i="1"/>
  <c r="AM75" i="1"/>
  <c r="AU75" i="1"/>
  <c r="H75" i="1"/>
  <c r="P75" i="1"/>
  <c r="X75" i="1"/>
  <c r="AF75" i="1"/>
  <c r="AN75" i="1"/>
  <c r="AV75" i="1"/>
  <c r="K75" i="1"/>
  <c r="S75" i="1"/>
  <c r="AA75" i="1"/>
  <c r="AI75" i="1"/>
  <c r="AQ75" i="1"/>
  <c r="AY75" i="1"/>
  <c r="C75" i="1"/>
  <c r="B76" i="1"/>
  <c r="A79" i="1"/>
  <c r="G76" i="1"/>
  <c r="K76" i="1"/>
  <c r="O76" i="1"/>
  <c r="S76" i="1"/>
  <c r="W76" i="1"/>
  <c r="AA76" i="1"/>
  <c r="AE76" i="1"/>
  <c r="AI76" i="1"/>
  <c r="AM76" i="1"/>
  <c r="AQ76" i="1"/>
  <c r="AU76" i="1"/>
  <c r="AY76" i="1"/>
  <c r="D76" i="1"/>
  <c r="H76" i="1"/>
  <c r="L76" i="1"/>
  <c r="P76" i="1"/>
  <c r="T76" i="1"/>
  <c r="X76" i="1"/>
  <c r="AB76" i="1"/>
  <c r="AF76" i="1"/>
  <c r="AJ76" i="1"/>
  <c r="AN76" i="1"/>
  <c r="AR76" i="1"/>
  <c r="AV76" i="1"/>
  <c r="AZ76" i="1"/>
  <c r="E76" i="1"/>
  <c r="I76" i="1"/>
  <c r="M76" i="1"/>
  <c r="Q76" i="1"/>
  <c r="U76" i="1"/>
  <c r="Y76" i="1"/>
  <c r="AC76" i="1"/>
  <c r="AG76" i="1"/>
  <c r="AK76" i="1"/>
  <c r="AO76" i="1"/>
  <c r="AS76" i="1"/>
  <c r="AW76" i="1"/>
  <c r="F76" i="1"/>
  <c r="J76" i="1"/>
  <c r="N76" i="1"/>
  <c r="R76" i="1"/>
  <c r="V76" i="1"/>
  <c r="Z76" i="1"/>
  <c r="AD76" i="1"/>
  <c r="AH76" i="1"/>
  <c r="AL76" i="1"/>
  <c r="AP76" i="1"/>
  <c r="AT76" i="1"/>
  <c r="AX76" i="1"/>
  <c r="C76" i="1"/>
  <c r="B77" i="1"/>
  <c r="A80" i="1"/>
  <c r="F77" i="1"/>
  <c r="J77" i="1"/>
  <c r="N77" i="1"/>
  <c r="R77" i="1"/>
  <c r="V77" i="1"/>
  <c r="Z77" i="1"/>
  <c r="AD77" i="1"/>
  <c r="AH77" i="1"/>
  <c r="AL77" i="1"/>
  <c r="AP77" i="1"/>
  <c r="AT77" i="1"/>
  <c r="AX77" i="1"/>
  <c r="G77" i="1"/>
  <c r="K77" i="1"/>
  <c r="O77" i="1"/>
  <c r="S77" i="1"/>
  <c r="W77" i="1"/>
  <c r="AA77" i="1"/>
  <c r="AE77" i="1"/>
  <c r="AI77" i="1"/>
  <c r="AM77" i="1"/>
  <c r="AQ77" i="1"/>
  <c r="AU77" i="1"/>
  <c r="AY77" i="1"/>
  <c r="D77" i="1"/>
  <c r="H77" i="1"/>
  <c r="L77" i="1"/>
  <c r="P77" i="1"/>
  <c r="T77" i="1"/>
  <c r="X77" i="1"/>
  <c r="AB77" i="1"/>
  <c r="AF77" i="1"/>
  <c r="AJ77" i="1"/>
  <c r="AN77" i="1"/>
  <c r="AR77" i="1"/>
  <c r="AV77" i="1"/>
  <c r="AZ77" i="1"/>
  <c r="E77" i="1"/>
  <c r="I77" i="1"/>
  <c r="M77" i="1"/>
  <c r="Q77" i="1"/>
  <c r="U77" i="1"/>
  <c r="Y77" i="1"/>
  <c r="AC77" i="1"/>
  <c r="AG77" i="1"/>
  <c r="AK77" i="1"/>
  <c r="AO77" i="1"/>
  <c r="AS77" i="1"/>
  <c r="AW77" i="1"/>
  <c r="C77" i="1"/>
  <c r="B78" i="1"/>
  <c r="A81" i="1"/>
  <c r="E78" i="1"/>
  <c r="I78" i="1"/>
  <c r="M78" i="1"/>
  <c r="Q78" i="1"/>
  <c r="U78" i="1"/>
  <c r="Y78" i="1"/>
  <c r="AC78" i="1"/>
  <c r="AG78" i="1"/>
  <c r="AK78" i="1"/>
  <c r="AO78" i="1"/>
  <c r="AS78" i="1"/>
  <c r="AW78" i="1"/>
  <c r="F78" i="1"/>
  <c r="J78" i="1"/>
  <c r="N78" i="1"/>
  <c r="R78" i="1"/>
  <c r="V78" i="1"/>
  <c r="Z78" i="1"/>
  <c r="AD78" i="1"/>
  <c r="AH78" i="1"/>
  <c r="AL78" i="1"/>
  <c r="AP78" i="1"/>
  <c r="AT78" i="1"/>
  <c r="AX78" i="1"/>
  <c r="G78" i="1"/>
  <c r="K78" i="1"/>
  <c r="O78" i="1"/>
  <c r="S78" i="1"/>
  <c r="W78" i="1"/>
  <c r="AA78" i="1"/>
  <c r="AE78" i="1"/>
  <c r="AI78" i="1"/>
  <c r="AM78" i="1"/>
  <c r="AQ78" i="1"/>
  <c r="AU78" i="1"/>
  <c r="AY78" i="1"/>
  <c r="D78" i="1"/>
  <c r="H78" i="1"/>
  <c r="L78" i="1"/>
  <c r="P78" i="1"/>
  <c r="T78" i="1"/>
  <c r="X78" i="1"/>
  <c r="AB78" i="1"/>
  <c r="AF78" i="1"/>
  <c r="AJ78" i="1"/>
  <c r="AN78" i="1"/>
  <c r="AR78" i="1"/>
  <c r="AV78" i="1"/>
  <c r="AZ78" i="1"/>
  <c r="C78" i="1"/>
  <c r="B79" i="1"/>
  <c r="A82" i="1"/>
  <c r="D79" i="1"/>
  <c r="H79" i="1"/>
  <c r="L79" i="1"/>
  <c r="P79" i="1"/>
  <c r="T79" i="1"/>
  <c r="X79" i="1"/>
  <c r="AB79" i="1"/>
  <c r="AF79" i="1"/>
  <c r="AJ79" i="1"/>
  <c r="AN79" i="1"/>
  <c r="AR79" i="1"/>
  <c r="AV79" i="1"/>
  <c r="AZ79" i="1"/>
  <c r="E79" i="1"/>
  <c r="I79" i="1"/>
  <c r="M79" i="1"/>
  <c r="Q79" i="1"/>
  <c r="U79" i="1"/>
  <c r="Y79" i="1"/>
  <c r="AC79" i="1"/>
  <c r="AG79" i="1"/>
  <c r="AK79" i="1"/>
  <c r="AO79" i="1"/>
  <c r="AS79" i="1"/>
  <c r="AW79" i="1"/>
  <c r="F79" i="1"/>
  <c r="J79" i="1"/>
  <c r="N79" i="1"/>
  <c r="R79" i="1"/>
  <c r="V79" i="1"/>
  <c r="Z79" i="1"/>
  <c r="AD79" i="1"/>
  <c r="AH79" i="1"/>
  <c r="AL79" i="1"/>
  <c r="AP79" i="1"/>
  <c r="AT79" i="1"/>
  <c r="AX79" i="1"/>
  <c r="G79" i="1"/>
  <c r="K79" i="1"/>
  <c r="O79" i="1"/>
  <c r="S79" i="1"/>
  <c r="W79" i="1"/>
  <c r="AA79" i="1"/>
  <c r="AE79" i="1"/>
  <c r="AI79" i="1"/>
  <c r="AM79" i="1"/>
  <c r="AQ79" i="1"/>
  <c r="AU79" i="1"/>
  <c r="AY79" i="1"/>
  <c r="C79" i="1"/>
  <c r="B80" i="1"/>
  <c r="A83" i="1"/>
  <c r="G80" i="1"/>
  <c r="K80" i="1"/>
  <c r="O80" i="1"/>
  <c r="S80" i="1"/>
  <c r="W80" i="1"/>
  <c r="AA80" i="1"/>
  <c r="AE80" i="1"/>
  <c r="AI80" i="1"/>
  <c r="AM80" i="1"/>
  <c r="AQ80" i="1"/>
  <c r="AU80" i="1"/>
  <c r="AY80" i="1"/>
  <c r="D80" i="1"/>
  <c r="H80" i="1"/>
  <c r="L80" i="1"/>
  <c r="P80" i="1"/>
  <c r="T80" i="1"/>
  <c r="X80" i="1"/>
  <c r="AB80" i="1"/>
  <c r="AF80" i="1"/>
  <c r="AJ80" i="1"/>
  <c r="AN80" i="1"/>
  <c r="AR80" i="1"/>
  <c r="AV80" i="1"/>
  <c r="AZ80" i="1"/>
  <c r="E80" i="1"/>
  <c r="I80" i="1"/>
  <c r="M80" i="1"/>
  <c r="Q80" i="1"/>
  <c r="U80" i="1"/>
  <c r="Y80" i="1"/>
  <c r="AC80" i="1"/>
  <c r="AG80" i="1"/>
  <c r="AK80" i="1"/>
  <c r="AO80" i="1"/>
  <c r="AS80" i="1"/>
  <c r="AW80" i="1"/>
  <c r="F80" i="1"/>
  <c r="J80" i="1"/>
  <c r="N80" i="1"/>
  <c r="R80" i="1"/>
  <c r="V80" i="1"/>
  <c r="Z80" i="1"/>
  <c r="AD80" i="1"/>
  <c r="AH80" i="1"/>
  <c r="AL80" i="1"/>
  <c r="AP80" i="1"/>
  <c r="AT80" i="1"/>
  <c r="AX80" i="1"/>
  <c r="C80" i="1"/>
  <c r="B81" i="1"/>
  <c r="A84" i="1"/>
  <c r="F81" i="1"/>
  <c r="J81" i="1"/>
  <c r="N81" i="1"/>
  <c r="R81" i="1"/>
  <c r="V81" i="1"/>
  <c r="Z81" i="1"/>
  <c r="AD81" i="1"/>
  <c r="AH81" i="1"/>
  <c r="AL81" i="1"/>
  <c r="AP81" i="1"/>
  <c r="AT81" i="1"/>
  <c r="AX81" i="1"/>
  <c r="G81" i="1"/>
  <c r="K81" i="1"/>
  <c r="O81" i="1"/>
  <c r="S81" i="1"/>
  <c r="W81" i="1"/>
  <c r="AA81" i="1"/>
  <c r="AE81" i="1"/>
  <c r="AI81" i="1"/>
  <c r="AM81" i="1"/>
  <c r="AQ81" i="1"/>
  <c r="AU81" i="1"/>
  <c r="AY81" i="1"/>
  <c r="D81" i="1"/>
  <c r="H81" i="1"/>
  <c r="L81" i="1"/>
  <c r="P81" i="1"/>
  <c r="T81" i="1"/>
  <c r="X81" i="1"/>
  <c r="AB81" i="1"/>
  <c r="AF81" i="1"/>
  <c r="AJ81" i="1"/>
  <c r="AN81" i="1"/>
  <c r="AR81" i="1"/>
  <c r="AV81" i="1"/>
  <c r="AZ81" i="1"/>
  <c r="E81" i="1"/>
  <c r="I81" i="1"/>
  <c r="M81" i="1"/>
  <c r="Q81" i="1"/>
  <c r="U81" i="1"/>
  <c r="Y81" i="1"/>
  <c r="AC81" i="1"/>
  <c r="AG81" i="1"/>
  <c r="AK81" i="1"/>
  <c r="AO81" i="1"/>
  <c r="AS81" i="1"/>
  <c r="AW81" i="1"/>
  <c r="C81" i="1"/>
  <c r="B82" i="1"/>
  <c r="A85" i="1"/>
  <c r="E82" i="1"/>
  <c r="I82" i="1"/>
  <c r="M82" i="1"/>
  <c r="Q82" i="1"/>
  <c r="U82" i="1"/>
  <c r="Y82" i="1"/>
  <c r="AC82" i="1"/>
  <c r="AG82" i="1"/>
  <c r="AK82" i="1"/>
  <c r="AO82" i="1"/>
  <c r="AS82" i="1"/>
  <c r="AW82" i="1"/>
  <c r="F82" i="1"/>
  <c r="J82" i="1"/>
  <c r="N82" i="1"/>
  <c r="R82" i="1"/>
  <c r="V82" i="1"/>
  <c r="Z82" i="1"/>
  <c r="AD82" i="1"/>
  <c r="AH82" i="1"/>
  <c r="AL82" i="1"/>
  <c r="AP82" i="1"/>
  <c r="AT82" i="1"/>
  <c r="AX82" i="1"/>
  <c r="G82" i="1"/>
  <c r="K82" i="1"/>
  <c r="O82" i="1"/>
  <c r="S82" i="1"/>
  <c r="W82" i="1"/>
  <c r="AA82" i="1"/>
  <c r="AE82" i="1"/>
  <c r="AI82" i="1"/>
  <c r="AM82" i="1"/>
  <c r="AQ82" i="1"/>
  <c r="AU82" i="1"/>
  <c r="AY82" i="1"/>
  <c r="D82" i="1"/>
  <c r="H82" i="1"/>
  <c r="L82" i="1"/>
  <c r="P82" i="1"/>
  <c r="T82" i="1"/>
  <c r="X82" i="1"/>
  <c r="AB82" i="1"/>
  <c r="AF82" i="1"/>
  <c r="AJ82" i="1"/>
  <c r="AN82" i="1"/>
  <c r="AR82" i="1"/>
  <c r="AV82" i="1"/>
  <c r="AZ82" i="1"/>
  <c r="C82" i="1"/>
  <c r="B83" i="1"/>
  <c r="A86" i="1"/>
  <c r="D83" i="1"/>
  <c r="H83" i="1"/>
  <c r="L83" i="1"/>
  <c r="P83" i="1"/>
  <c r="T83" i="1"/>
  <c r="X83" i="1"/>
  <c r="AB83" i="1"/>
  <c r="AF83" i="1"/>
  <c r="AJ83" i="1"/>
  <c r="AN83" i="1"/>
  <c r="AR83" i="1"/>
  <c r="AV83" i="1"/>
  <c r="AZ83" i="1"/>
  <c r="E83" i="1"/>
  <c r="I83" i="1"/>
  <c r="M83" i="1"/>
  <c r="Q83" i="1"/>
  <c r="U83" i="1"/>
  <c r="Y83" i="1"/>
  <c r="AC83" i="1"/>
  <c r="AG83" i="1"/>
  <c r="AK83" i="1"/>
  <c r="AO83" i="1"/>
  <c r="AS83" i="1"/>
  <c r="AW83" i="1"/>
  <c r="F83" i="1"/>
  <c r="J83" i="1"/>
  <c r="N83" i="1"/>
  <c r="R83" i="1"/>
  <c r="V83" i="1"/>
  <c r="Z83" i="1"/>
  <c r="AD83" i="1"/>
  <c r="AH83" i="1"/>
  <c r="AL83" i="1"/>
  <c r="AP83" i="1"/>
  <c r="AT83" i="1"/>
  <c r="AX83" i="1"/>
  <c r="G83" i="1"/>
  <c r="K83" i="1"/>
  <c r="O83" i="1"/>
  <c r="S83" i="1"/>
  <c r="W83" i="1"/>
  <c r="AA83" i="1"/>
  <c r="AE83" i="1"/>
  <c r="AI83" i="1"/>
  <c r="AM83" i="1"/>
  <c r="AQ83" i="1"/>
  <c r="AU83" i="1"/>
  <c r="AY83" i="1"/>
  <c r="C83" i="1"/>
  <c r="B84" i="1"/>
  <c r="A87" i="1"/>
  <c r="G84" i="1"/>
  <c r="K84" i="1"/>
  <c r="O84" i="1"/>
  <c r="S84" i="1"/>
  <c r="W84" i="1"/>
  <c r="AA84" i="1"/>
  <c r="AE84" i="1"/>
  <c r="AI84" i="1"/>
  <c r="AM84" i="1"/>
  <c r="AQ84" i="1"/>
  <c r="AU84" i="1"/>
  <c r="AY84" i="1"/>
  <c r="D84" i="1"/>
  <c r="H84" i="1"/>
  <c r="L84" i="1"/>
  <c r="P84" i="1"/>
  <c r="T84" i="1"/>
  <c r="X84" i="1"/>
  <c r="AB84" i="1"/>
  <c r="AF84" i="1"/>
  <c r="AJ84" i="1"/>
  <c r="AN84" i="1"/>
  <c r="AR84" i="1"/>
  <c r="AV84" i="1"/>
  <c r="AZ84" i="1"/>
  <c r="E84" i="1"/>
  <c r="I84" i="1"/>
  <c r="M84" i="1"/>
  <c r="Q84" i="1"/>
  <c r="U84" i="1"/>
  <c r="Y84" i="1"/>
  <c r="AC84" i="1"/>
  <c r="AG84" i="1"/>
  <c r="AK84" i="1"/>
  <c r="AO84" i="1"/>
  <c r="AS84" i="1"/>
  <c r="AW84" i="1"/>
  <c r="F84" i="1"/>
  <c r="J84" i="1"/>
  <c r="N84" i="1"/>
  <c r="R84" i="1"/>
  <c r="V84" i="1"/>
  <c r="Z84" i="1"/>
  <c r="AD84" i="1"/>
  <c r="AH84" i="1"/>
  <c r="AL84" i="1"/>
  <c r="AP84" i="1"/>
  <c r="AT84" i="1"/>
  <c r="AX84" i="1"/>
  <c r="C84" i="1"/>
  <c r="B85" i="1"/>
  <c r="A88" i="1"/>
  <c r="F85" i="1"/>
  <c r="J85" i="1"/>
  <c r="N85" i="1"/>
  <c r="R85" i="1"/>
  <c r="V85" i="1"/>
  <c r="Z85" i="1"/>
  <c r="AD85" i="1"/>
  <c r="AH85" i="1"/>
  <c r="AL85" i="1"/>
  <c r="AP85" i="1"/>
  <c r="AT85" i="1"/>
  <c r="AX85" i="1"/>
  <c r="G85" i="1"/>
  <c r="K85" i="1"/>
  <c r="O85" i="1"/>
  <c r="S85" i="1"/>
  <c r="W85" i="1"/>
  <c r="AA85" i="1"/>
  <c r="AE85" i="1"/>
  <c r="AI85" i="1"/>
  <c r="AM85" i="1"/>
  <c r="AQ85" i="1"/>
  <c r="AU85" i="1"/>
  <c r="AY85" i="1"/>
  <c r="D85" i="1"/>
  <c r="H85" i="1"/>
  <c r="L85" i="1"/>
  <c r="P85" i="1"/>
  <c r="T85" i="1"/>
  <c r="X85" i="1"/>
  <c r="AB85" i="1"/>
  <c r="AF85" i="1"/>
  <c r="AJ85" i="1"/>
  <c r="AN85" i="1"/>
  <c r="AR85" i="1"/>
  <c r="AV85" i="1"/>
  <c r="AZ85" i="1"/>
  <c r="E85" i="1"/>
  <c r="I85" i="1"/>
  <c r="M85" i="1"/>
  <c r="Q85" i="1"/>
  <c r="U85" i="1"/>
  <c r="Y85" i="1"/>
  <c r="AC85" i="1"/>
  <c r="AG85" i="1"/>
  <c r="AK85" i="1"/>
  <c r="AO85" i="1"/>
  <c r="AS85" i="1"/>
  <c r="AW85" i="1"/>
  <c r="C85" i="1"/>
  <c r="B86" i="1"/>
  <c r="A89" i="1"/>
  <c r="E86" i="1"/>
  <c r="I86" i="1"/>
  <c r="M86" i="1"/>
  <c r="Q86" i="1"/>
  <c r="U86" i="1"/>
  <c r="Y86" i="1"/>
  <c r="AC86" i="1"/>
  <c r="AG86" i="1"/>
  <c r="AK86" i="1"/>
  <c r="AO86" i="1"/>
  <c r="AS86" i="1"/>
  <c r="AW86" i="1"/>
  <c r="F86" i="1"/>
  <c r="J86" i="1"/>
  <c r="N86" i="1"/>
  <c r="R86" i="1"/>
  <c r="V86" i="1"/>
  <c r="Z86" i="1"/>
  <c r="AD86" i="1"/>
  <c r="AH86" i="1"/>
  <c r="AL86" i="1"/>
  <c r="AP86" i="1"/>
  <c r="AT86" i="1"/>
  <c r="AX86" i="1"/>
  <c r="G86" i="1"/>
  <c r="K86" i="1"/>
  <c r="O86" i="1"/>
  <c r="S86" i="1"/>
  <c r="W86" i="1"/>
  <c r="AA86" i="1"/>
  <c r="AE86" i="1"/>
  <c r="AI86" i="1"/>
  <c r="AM86" i="1"/>
  <c r="AQ86" i="1"/>
  <c r="AU86" i="1"/>
  <c r="AY86" i="1"/>
  <c r="D86" i="1"/>
  <c r="H86" i="1"/>
  <c r="L86" i="1"/>
  <c r="P86" i="1"/>
  <c r="T86" i="1"/>
  <c r="X86" i="1"/>
  <c r="AB86" i="1"/>
  <c r="AF86" i="1"/>
  <c r="AJ86" i="1"/>
  <c r="AN86" i="1"/>
  <c r="AR86" i="1"/>
  <c r="AV86" i="1"/>
  <c r="AZ86" i="1"/>
  <c r="C86" i="1"/>
  <c r="B87" i="1"/>
  <c r="A90" i="1"/>
  <c r="D87" i="1"/>
  <c r="H87" i="1"/>
  <c r="L87" i="1"/>
  <c r="P87" i="1"/>
  <c r="T87" i="1"/>
  <c r="X87" i="1"/>
  <c r="AB87" i="1"/>
  <c r="AF87" i="1"/>
  <c r="AJ87" i="1"/>
  <c r="AN87" i="1"/>
  <c r="AR87" i="1"/>
  <c r="AV87" i="1"/>
  <c r="AZ87" i="1"/>
  <c r="E87" i="1"/>
  <c r="I87" i="1"/>
  <c r="M87" i="1"/>
  <c r="Q87" i="1"/>
  <c r="U87" i="1"/>
  <c r="Y87" i="1"/>
  <c r="AC87" i="1"/>
  <c r="AG87" i="1"/>
  <c r="AK87" i="1"/>
  <c r="AO87" i="1"/>
  <c r="AS87" i="1"/>
  <c r="AW87" i="1"/>
  <c r="F87" i="1"/>
  <c r="J87" i="1"/>
  <c r="N87" i="1"/>
  <c r="R87" i="1"/>
  <c r="V87" i="1"/>
  <c r="Z87" i="1"/>
  <c r="AD87" i="1"/>
  <c r="AH87" i="1"/>
  <c r="AL87" i="1"/>
  <c r="AP87" i="1"/>
  <c r="AT87" i="1"/>
  <c r="AX87" i="1"/>
  <c r="G87" i="1"/>
  <c r="K87" i="1"/>
  <c r="O87" i="1"/>
  <c r="S87" i="1"/>
  <c r="W87" i="1"/>
  <c r="AA87" i="1"/>
  <c r="AE87" i="1"/>
  <c r="AI87" i="1"/>
  <c r="AM87" i="1"/>
  <c r="AQ87" i="1"/>
  <c r="AU87" i="1"/>
  <c r="AY87" i="1"/>
  <c r="C87" i="1"/>
  <c r="B88" i="1"/>
  <c r="A91" i="1"/>
  <c r="G88" i="1"/>
  <c r="K88" i="1"/>
  <c r="O88" i="1"/>
  <c r="S88" i="1"/>
  <c r="W88" i="1"/>
  <c r="D88" i="1"/>
  <c r="F88" i="1"/>
  <c r="J88" i="1"/>
  <c r="L88" i="1"/>
  <c r="Q88" i="1"/>
  <c r="V88" i="1"/>
  <c r="AA88" i="1"/>
  <c r="AE88" i="1"/>
  <c r="AI88" i="1"/>
  <c r="AM88" i="1"/>
  <c r="AQ88" i="1"/>
  <c r="AU88" i="1"/>
  <c r="AY88" i="1"/>
  <c r="E88" i="1"/>
  <c r="M88" i="1"/>
  <c r="R88" i="1"/>
  <c r="X88" i="1"/>
  <c r="AB88" i="1"/>
  <c r="AF88" i="1"/>
  <c r="AJ88" i="1"/>
  <c r="AN88" i="1"/>
  <c r="AR88" i="1"/>
  <c r="AV88" i="1"/>
  <c r="AZ88" i="1"/>
  <c r="H88" i="1"/>
  <c r="N88" i="1"/>
  <c r="T88" i="1"/>
  <c r="Y88" i="1"/>
  <c r="AC88" i="1"/>
  <c r="AG88" i="1"/>
  <c r="AK88" i="1"/>
  <c r="AO88" i="1"/>
  <c r="AS88" i="1"/>
  <c r="AW88" i="1"/>
  <c r="I88" i="1"/>
  <c r="P88" i="1"/>
  <c r="U88" i="1"/>
  <c r="Z88" i="1"/>
  <c r="AD88" i="1"/>
  <c r="AH88" i="1"/>
  <c r="AL88" i="1"/>
  <c r="AP88" i="1"/>
  <c r="AT88" i="1"/>
  <c r="AX88" i="1"/>
  <c r="C88" i="1"/>
  <c r="B89" i="1"/>
  <c r="A92" i="1"/>
  <c r="F89" i="1"/>
  <c r="J89" i="1"/>
  <c r="N89" i="1"/>
  <c r="R89" i="1"/>
  <c r="V89" i="1"/>
  <c r="Z89" i="1"/>
  <c r="AD89" i="1"/>
  <c r="AH89" i="1"/>
  <c r="AL89" i="1"/>
  <c r="AP89" i="1"/>
  <c r="AT89" i="1"/>
  <c r="AX89" i="1"/>
  <c r="G89" i="1"/>
  <c r="K89" i="1"/>
  <c r="O89" i="1"/>
  <c r="S89" i="1"/>
  <c r="W89" i="1"/>
  <c r="AA89" i="1"/>
  <c r="AE89" i="1"/>
  <c r="AI89" i="1"/>
  <c r="AM89" i="1"/>
  <c r="AQ89" i="1"/>
  <c r="AU89" i="1"/>
  <c r="AY89" i="1"/>
  <c r="D89" i="1"/>
  <c r="H89" i="1"/>
  <c r="L89" i="1"/>
  <c r="P89" i="1"/>
  <c r="T89" i="1"/>
  <c r="X89" i="1"/>
  <c r="AB89" i="1"/>
  <c r="AF89" i="1"/>
  <c r="AJ89" i="1"/>
  <c r="AN89" i="1"/>
  <c r="AR89" i="1"/>
  <c r="AV89" i="1"/>
  <c r="AZ89" i="1"/>
  <c r="E89" i="1"/>
  <c r="I89" i="1"/>
  <c r="M89" i="1"/>
  <c r="Q89" i="1"/>
  <c r="U89" i="1"/>
  <c r="Y89" i="1"/>
  <c r="AC89" i="1"/>
  <c r="AG89" i="1"/>
  <c r="AK89" i="1"/>
  <c r="AO89" i="1"/>
  <c r="AS89" i="1"/>
  <c r="AW89" i="1"/>
  <c r="C89" i="1"/>
  <c r="B90" i="1"/>
  <c r="A93" i="1"/>
  <c r="E90" i="1"/>
  <c r="I90" i="1"/>
  <c r="M90" i="1"/>
  <c r="Q90" i="1"/>
  <c r="U90" i="1"/>
  <c r="Y90" i="1"/>
  <c r="AC90" i="1"/>
  <c r="AG90" i="1"/>
  <c r="AK90" i="1"/>
  <c r="AO90" i="1"/>
  <c r="AS90" i="1"/>
  <c r="AW90" i="1"/>
  <c r="F90" i="1"/>
  <c r="J90" i="1"/>
  <c r="N90" i="1"/>
  <c r="R90" i="1"/>
  <c r="V90" i="1"/>
  <c r="Z90" i="1"/>
  <c r="AD90" i="1"/>
  <c r="AH90" i="1"/>
  <c r="AL90" i="1"/>
  <c r="AP90" i="1"/>
  <c r="AT90" i="1"/>
  <c r="AX90" i="1"/>
  <c r="G90" i="1"/>
  <c r="K90" i="1"/>
  <c r="O90" i="1"/>
  <c r="S90" i="1"/>
  <c r="W90" i="1"/>
  <c r="AA90" i="1"/>
  <c r="AE90" i="1"/>
  <c r="AI90" i="1"/>
  <c r="AM90" i="1"/>
  <c r="AQ90" i="1"/>
  <c r="AU90" i="1"/>
  <c r="AY90" i="1"/>
  <c r="D90" i="1"/>
  <c r="H90" i="1"/>
  <c r="L90" i="1"/>
  <c r="P90" i="1"/>
  <c r="T90" i="1"/>
  <c r="X90" i="1"/>
  <c r="AB90" i="1"/>
  <c r="AF90" i="1"/>
  <c r="AJ90" i="1"/>
  <c r="AN90" i="1"/>
  <c r="AR90" i="1"/>
  <c r="AV90" i="1"/>
  <c r="AZ90" i="1"/>
  <c r="C90" i="1"/>
  <c r="B91" i="1"/>
  <c r="A94" i="1"/>
  <c r="D91" i="1"/>
  <c r="H91" i="1"/>
  <c r="L91" i="1"/>
  <c r="P91" i="1"/>
  <c r="T91" i="1"/>
  <c r="X91" i="1"/>
  <c r="AB91" i="1"/>
  <c r="AF91" i="1"/>
  <c r="AJ91" i="1"/>
  <c r="AN91" i="1"/>
  <c r="AR91" i="1"/>
  <c r="AV91" i="1"/>
  <c r="AZ91" i="1"/>
  <c r="E91" i="1"/>
  <c r="I91" i="1"/>
  <c r="M91" i="1"/>
  <c r="Q91" i="1"/>
  <c r="U91" i="1"/>
  <c r="Y91" i="1"/>
  <c r="AC91" i="1"/>
  <c r="AG91" i="1"/>
  <c r="AK91" i="1"/>
  <c r="AO91" i="1"/>
  <c r="AS91" i="1"/>
  <c r="AW91" i="1"/>
  <c r="F91" i="1"/>
  <c r="J91" i="1"/>
  <c r="N91" i="1"/>
  <c r="R91" i="1"/>
  <c r="V91" i="1"/>
  <c r="Z91" i="1"/>
  <c r="AD91" i="1"/>
  <c r="AH91" i="1"/>
  <c r="AL91" i="1"/>
  <c r="AP91" i="1"/>
  <c r="AT91" i="1"/>
  <c r="AX91" i="1"/>
  <c r="G91" i="1"/>
  <c r="K91" i="1"/>
  <c r="O91" i="1"/>
  <c r="S91" i="1"/>
  <c r="W91" i="1"/>
  <c r="AA91" i="1"/>
  <c r="AE91" i="1"/>
  <c r="AI91" i="1"/>
  <c r="AM91" i="1"/>
  <c r="AQ91" i="1"/>
  <c r="AU91" i="1"/>
  <c r="AY91" i="1"/>
  <c r="C91" i="1"/>
  <c r="B92" i="1"/>
  <c r="A95" i="1"/>
  <c r="G92" i="1"/>
  <c r="K92" i="1"/>
  <c r="O92" i="1"/>
  <c r="S92" i="1"/>
  <c r="W92" i="1"/>
  <c r="AA92" i="1"/>
  <c r="AE92" i="1"/>
  <c r="AI92" i="1"/>
  <c r="AM92" i="1"/>
  <c r="AQ92" i="1"/>
  <c r="AU92" i="1"/>
  <c r="AY92" i="1"/>
  <c r="D92" i="1"/>
  <c r="H92" i="1"/>
  <c r="L92" i="1"/>
  <c r="P92" i="1"/>
  <c r="T92" i="1"/>
  <c r="X92" i="1"/>
  <c r="AB92" i="1"/>
  <c r="AF92" i="1"/>
  <c r="AJ92" i="1"/>
  <c r="AN92" i="1"/>
  <c r="AR92" i="1"/>
  <c r="AV92" i="1"/>
  <c r="AZ92" i="1"/>
  <c r="E92" i="1"/>
  <c r="I92" i="1"/>
  <c r="M92" i="1"/>
  <c r="Q92" i="1"/>
  <c r="U92" i="1"/>
  <c r="Y92" i="1"/>
  <c r="AC92" i="1"/>
  <c r="AG92" i="1"/>
  <c r="AK92" i="1"/>
  <c r="AO92" i="1"/>
  <c r="AS92" i="1"/>
  <c r="AW92" i="1"/>
  <c r="F92" i="1"/>
  <c r="J92" i="1"/>
  <c r="N92" i="1"/>
  <c r="R92" i="1"/>
  <c r="V92" i="1"/>
  <c r="Z92" i="1"/>
  <c r="AD92" i="1"/>
  <c r="AH92" i="1"/>
  <c r="AL92" i="1"/>
  <c r="AP92" i="1"/>
  <c r="AT92" i="1"/>
  <c r="AX92" i="1"/>
  <c r="C92" i="1"/>
  <c r="B93" i="1"/>
  <c r="A96" i="1"/>
  <c r="F93" i="1"/>
  <c r="J93" i="1"/>
  <c r="N93" i="1"/>
  <c r="R93" i="1"/>
  <c r="V93" i="1"/>
  <c r="Z93" i="1"/>
  <c r="AD93" i="1"/>
  <c r="AH93" i="1"/>
  <c r="AL93" i="1"/>
  <c r="AP93" i="1"/>
  <c r="AT93" i="1"/>
  <c r="AX93" i="1"/>
  <c r="G93" i="1"/>
  <c r="K93" i="1"/>
  <c r="O93" i="1"/>
  <c r="S93" i="1"/>
  <c r="W93" i="1"/>
  <c r="AA93" i="1"/>
  <c r="AE93" i="1"/>
  <c r="AI93" i="1"/>
  <c r="AM93" i="1"/>
  <c r="AQ93" i="1"/>
  <c r="AU93" i="1"/>
  <c r="AY93" i="1"/>
  <c r="D93" i="1"/>
  <c r="H93" i="1"/>
  <c r="L93" i="1"/>
  <c r="P93" i="1"/>
  <c r="T93" i="1"/>
  <c r="X93" i="1"/>
  <c r="AB93" i="1"/>
  <c r="AF93" i="1"/>
  <c r="AJ93" i="1"/>
  <c r="AN93" i="1"/>
  <c r="AR93" i="1"/>
  <c r="AV93" i="1"/>
  <c r="AZ93" i="1"/>
  <c r="E93" i="1"/>
  <c r="I93" i="1"/>
  <c r="M93" i="1"/>
  <c r="Q93" i="1"/>
  <c r="U93" i="1"/>
  <c r="Y93" i="1"/>
  <c r="AC93" i="1"/>
  <c r="AG93" i="1"/>
  <c r="AK93" i="1"/>
  <c r="AO93" i="1"/>
  <c r="AS93" i="1"/>
  <c r="AW93" i="1"/>
  <c r="C93" i="1"/>
  <c r="B94" i="1"/>
  <c r="A97" i="1"/>
  <c r="E94" i="1"/>
  <c r="I94" i="1"/>
  <c r="M94" i="1"/>
  <c r="Q94" i="1"/>
  <c r="U94" i="1"/>
  <c r="Y94" i="1"/>
  <c r="AC94" i="1"/>
  <c r="AG94" i="1"/>
  <c r="AK94" i="1"/>
  <c r="AO94" i="1"/>
  <c r="AS94" i="1"/>
  <c r="AW94" i="1"/>
  <c r="F94" i="1"/>
  <c r="J94" i="1"/>
  <c r="N94" i="1"/>
  <c r="R94" i="1"/>
  <c r="V94" i="1"/>
  <c r="Z94" i="1"/>
  <c r="AD94" i="1"/>
  <c r="AH94" i="1"/>
  <c r="AL94" i="1"/>
  <c r="AP94" i="1"/>
  <c r="AT94" i="1"/>
  <c r="AX94" i="1"/>
  <c r="G94" i="1"/>
  <c r="K94" i="1"/>
  <c r="O94" i="1"/>
  <c r="S94" i="1"/>
  <c r="W94" i="1"/>
  <c r="AA94" i="1"/>
  <c r="AE94" i="1"/>
  <c r="AI94" i="1"/>
  <c r="AM94" i="1"/>
  <c r="AQ94" i="1"/>
  <c r="AU94" i="1"/>
  <c r="AY94" i="1"/>
  <c r="D94" i="1"/>
  <c r="H94" i="1"/>
  <c r="L94" i="1"/>
  <c r="P94" i="1"/>
  <c r="T94" i="1"/>
  <c r="X94" i="1"/>
  <c r="AB94" i="1"/>
  <c r="AF94" i="1"/>
  <c r="AJ94" i="1"/>
  <c r="AN94" i="1"/>
  <c r="AR94" i="1"/>
  <c r="AV94" i="1"/>
  <c r="AZ94" i="1"/>
  <c r="C94" i="1"/>
  <c r="B95" i="1"/>
  <c r="A98" i="1"/>
  <c r="D95" i="1"/>
  <c r="H95" i="1"/>
  <c r="L95" i="1"/>
  <c r="P95" i="1"/>
  <c r="T95" i="1"/>
  <c r="X95" i="1"/>
  <c r="AB95" i="1"/>
  <c r="AF95" i="1"/>
  <c r="AJ95" i="1"/>
  <c r="AN95" i="1"/>
  <c r="AR95" i="1"/>
  <c r="AV95" i="1"/>
  <c r="AZ95" i="1"/>
  <c r="E95" i="1"/>
  <c r="I95" i="1"/>
  <c r="M95" i="1"/>
  <c r="Q95" i="1"/>
  <c r="U95" i="1"/>
  <c r="Y95" i="1"/>
  <c r="AC95" i="1"/>
  <c r="AG95" i="1"/>
  <c r="AK95" i="1"/>
  <c r="AO95" i="1"/>
  <c r="AS95" i="1"/>
  <c r="AW95" i="1"/>
  <c r="F95" i="1"/>
  <c r="J95" i="1"/>
  <c r="N95" i="1"/>
  <c r="R95" i="1"/>
  <c r="V95" i="1"/>
  <c r="Z95" i="1"/>
  <c r="AD95" i="1"/>
  <c r="AH95" i="1"/>
  <c r="AL95" i="1"/>
  <c r="AP95" i="1"/>
  <c r="AT95" i="1"/>
  <c r="AX95" i="1"/>
  <c r="G95" i="1"/>
  <c r="K95" i="1"/>
  <c r="O95" i="1"/>
  <c r="S95" i="1"/>
  <c r="W95" i="1"/>
  <c r="AA95" i="1"/>
  <c r="AE95" i="1"/>
  <c r="AI95" i="1"/>
  <c r="AM95" i="1"/>
  <c r="AQ95" i="1"/>
  <c r="AU95" i="1"/>
  <c r="AY95" i="1"/>
  <c r="C95" i="1"/>
  <c r="B96" i="1"/>
  <c r="A99" i="1"/>
  <c r="G96" i="1"/>
  <c r="K96" i="1"/>
  <c r="O96" i="1"/>
  <c r="S96" i="1"/>
  <c r="W96" i="1"/>
  <c r="AA96" i="1"/>
  <c r="AE96" i="1"/>
  <c r="AI96" i="1"/>
  <c r="AM96" i="1"/>
  <c r="AQ96" i="1"/>
  <c r="AU96" i="1"/>
  <c r="AY96" i="1"/>
  <c r="D96" i="1"/>
  <c r="H96" i="1"/>
  <c r="L96" i="1"/>
  <c r="P96" i="1"/>
  <c r="T96" i="1"/>
  <c r="X96" i="1"/>
  <c r="AB96" i="1"/>
  <c r="AF96" i="1"/>
  <c r="AJ96" i="1"/>
  <c r="AN96" i="1"/>
  <c r="AR96" i="1"/>
  <c r="AV96" i="1"/>
  <c r="AZ96" i="1"/>
  <c r="E96" i="1"/>
  <c r="I96" i="1"/>
  <c r="M96" i="1"/>
  <c r="Q96" i="1"/>
  <c r="U96" i="1"/>
  <c r="Y96" i="1"/>
  <c r="AC96" i="1"/>
  <c r="AG96" i="1"/>
  <c r="AK96" i="1"/>
  <c r="AO96" i="1"/>
  <c r="AS96" i="1"/>
  <c r="AW96" i="1"/>
  <c r="F96" i="1"/>
  <c r="J96" i="1"/>
  <c r="N96" i="1"/>
  <c r="R96" i="1"/>
  <c r="V96" i="1"/>
  <c r="Z96" i="1"/>
  <c r="AD96" i="1"/>
  <c r="AH96" i="1"/>
  <c r="AL96" i="1"/>
  <c r="AP96" i="1"/>
  <c r="AT96" i="1"/>
  <c r="AX96" i="1"/>
  <c r="C96" i="1"/>
  <c r="B97" i="1"/>
  <c r="A100" i="1"/>
  <c r="F97" i="1"/>
  <c r="J97" i="1"/>
  <c r="N97" i="1"/>
  <c r="R97" i="1"/>
  <c r="V97" i="1"/>
  <c r="Z97" i="1"/>
  <c r="AD97" i="1"/>
  <c r="AH97" i="1"/>
  <c r="AL97" i="1"/>
  <c r="AP97" i="1"/>
  <c r="AT97" i="1"/>
  <c r="AX97" i="1"/>
  <c r="G97" i="1"/>
  <c r="K97" i="1"/>
  <c r="O97" i="1"/>
  <c r="S97" i="1"/>
  <c r="W97" i="1"/>
  <c r="AA97" i="1"/>
  <c r="AE97" i="1"/>
  <c r="AI97" i="1"/>
  <c r="AM97" i="1"/>
  <c r="AQ97" i="1"/>
  <c r="AU97" i="1"/>
  <c r="AY97" i="1"/>
  <c r="D97" i="1"/>
  <c r="H97" i="1"/>
  <c r="L97" i="1"/>
  <c r="P97" i="1"/>
  <c r="T97" i="1"/>
  <c r="X97" i="1"/>
  <c r="AB97" i="1"/>
  <c r="AF97" i="1"/>
  <c r="AJ97" i="1"/>
  <c r="AN97" i="1"/>
  <c r="AR97" i="1"/>
  <c r="AV97" i="1"/>
  <c r="AZ97" i="1"/>
  <c r="E97" i="1"/>
  <c r="I97" i="1"/>
  <c r="M97" i="1"/>
  <c r="Q97" i="1"/>
  <c r="U97" i="1"/>
  <c r="Y97" i="1"/>
  <c r="AC97" i="1"/>
  <c r="AG97" i="1"/>
  <c r="AK97" i="1"/>
  <c r="AO97" i="1"/>
  <c r="AS97" i="1"/>
  <c r="AW97" i="1"/>
  <c r="C97" i="1"/>
  <c r="B98" i="1"/>
  <c r="A101" i="1"/>
  <c r="E98" i="1"/>
  <c r="I98" i="1"/>
  <c r="M98" i="1"/>
  <c r="Q98" i="1"/>
  <c r="U98" i="1"/>
  <c r="Y98" i="1"/>
  <c r="AC98" i="1"/>
  <c r="AG98" i="1"/>
  <c r="AK98" i="1"/>
  <c r="AO98" i="1"/>
  <c r="AS98" i="1"/>
  <c r="AW98" i="1"/>
  <c r="F98" i="1"/>
  <c r="J98" i="1"/>
  <c r="N98" i="1"/>
  <c r="R98" i="1"/>
  <c r="V98" i="1"/>
  <c r="Z98" i="1"/>
  <c r="AD98" i="1"/>
  <c r="AH98" i="1"/>
  <c r="AL98" i="1"/>
  <c r="AP98" i="1"/>
  <c r="AT98" i="1"/>
  <c r="AX98" i="1"/>
  <c r="G98" i="1"/>
  <c r="K98" i="1"/>
  <c r="O98" i="1"/>
  <c r="S98" i="1"/>
  <c r="W98" i="1"/>
  <c r="AA98" i="1"/>
  <c r="AE98" i="1"/>
  <c r="AI98" i="1"/>
  <c r="AM98" i="1"/>
  <c r="AQ98" i="1"/>
  <c r="AU98" i="1"/>
  <c r="AY98" i="1"/>
  <c r="D98" i="1"/>
  <c r="H98" i="1"/>
  <c r="L98" i="1"/>
  <c r="P98" i="1"/>
  <c r="T98" i="1"/>
  <c r="X98" i="1"/>
  <c r="AB98" i="1"/>
  <c r="AF98" i="1"/>
  <c r="AJ98" i="1"/>
  <c r="AN98" i="1"/>
  <c r="AR98" i="1"/>
  <c r="AV98" i="1"/>
  <c r="AZ98" i="1"/>
  <c r="C98" i="1"/>
  <c r="B99" i="1"/>
  <c r="A102" i="1"/>
  <c r="D99" i="1"/>
  <c r="H99" i="1"/>
  <c r="L99" i="1"/>
  <c r="P99" i="1"/>
  <c r="T99" i="1"/>
  <c r="X99" i="1"/>
  <c r="AB99" i="1"/>
  <c r="AF99" i="1"/>
  <c r="AJ99" i="1"/>
  <c r="AN99" i="1"/>
  <c r="AR99" i="1"/>
  <c r="AV99" i="1"/>
  <c r="AZ99" i="1"/>
  <c r="E99" i="1"/>
  <c r="I99" i="1"/>
  <c r="M99" i="1"/>
  <c r="Q99" i="1"/>
  <c r="U99" i="1"/>
  <c r="Y99" i="1"/>
  <c r="AC99" i="1"/>
  <c r="AG99" i="1"/>
  <c r="AK99" i="1"/>
  <c r="AO99" i="1"/>
  <c r="AS99" i="1"/>
  <c r="AW99" i="1"/>
  <c r="F99" i="1"/>
  <c r="J99" i="1"/>
  <c r="N99" i="1"/>
  <c r="R99" i="1"/>
  <c r="V99" i="1"/>
  <c r="Z99" i="1"/>
  <c r="AD99" i="1"/>
  <c r="AH99" i="1"/>
  <c r="AL99" i="1"/>
  <c r="AP99" i="1"/>
  <c r="AT99" i="1"/>
  <c r="AX99" i="1"/>
  <c r="G99" i="1"/>
  <c r="K99" i="1"/>
  <c r="O99" i="1"/>
  <c r="S99" i="1"/>
  <c r="W99" i="1"/>
  <c r="AA99" i="1"/>
  <c r="AE99" i="1"/>
  <c r="AI99" i="1"/>
  <c r="AM99" i="1"/>
  <c r="AQ99" i="1"/>
  <c r="AU99" i="1"/>
  <c r="AY99" i="1"/>
  <c r="C99" i="1"/>
  <c r="B100" i="1"/>
  <c r="A103" i="1"/>
  <c r="G100" i="1"/>
  <c r="K100" i="1"/>
  <c r="O100" i="1"/>
  <c r="S100" i="1"/>
  <c r="W100" i="1"/>
  <c r="AA100" i="1"/>
  <c r="AE100" i="1"/>
  <c r="AI100" i="1"/>
  <c r="AM100" i="1"/>
  <c r="AQ100" i="1"/>
  <c r="AU100" i="1"/>
  <c r="AY100" i="1"/>
  <c r="D100" i="1"/>
  <c r="H100" i="1"/>
  <c r="L100" i="1"/>
  <c r="P100" i="1"/>
  <c r="T100" i="1"/>
  <c r="X100" i="1"/>
  <c r="AB100" i="1"/>
  <c r="AF100" i="1"/>
  <c r="AJ100" i="1"/>
  <c r="AN100" i="1"/>
  <c r="AR100" i="1"/>
  <c r="AV100" i="1"/>
  <c r="AZ100" i="1"/>
  <c r="E100" i="1"/>
  <c r="I100" i="1"/>
  <c r="M100" i="1"/>
  <c r="Q100" i="1"/>
  <c r="U100" i="1"/>
  <c r="Y100" i="1"/>
  <c r="AC100" i="1"/>
  <c r="AG100" i="1"/>
  <c r="AK100" i="1"/>
  <c r="AO100" i="1"/>
  <c r="AS100" i="1"/>
  <c r="AW100" i="1"/>
  <c r="F100" i="1"/>
  <c r="J100" i="1"/>
  <c r="N100" i="1"/>
  <c r="R100" i="1"/>
  <c r="V100" i="1"/>
  <c r="Z100" i="1"/>
  <c r="AD100" i="1"/>
  <c r="AH100" i="1"/>
  <c r="AL100" i="1"/>
  <c r="AP100" i="1"/>
  <c r="AT100" i="1"/>
  <c r="AX100" i="1"/>
  <c r="C100" i="1"/>
  <c r="B101" i="1"/>
  <c r="A104" i="1"/>
  <c r="F101" i="1"/>
  <c r="J101" i="1"/>
  <c r="N101" i="1"/>
  <c r="R101" i="1"/>
  <c r="V101" i="1"/>
  <c r="Z101" i="1"/>
  <c r="AD101" i="1"/>
  <c r="AH101" i="1"/>
  <c r="AL101" i="1"/>
  <c r="AP101" i="1"/>
  <c r="AT101" i="1"/>
  <c r="AX101" i="1"/>
  <c r="G101" i="1"/>
  <c r="K101" i="1"/>
  <c r="O101" i="1"/>
  <c r="S101" i="1"/>
  <c r="W101" i="1"/>
  <c r="AA101" i="1"/>
  <c r="AE101" i="1"/>
  <c r="AI101" i="1"/>
  <c r="AM101" i="1"/>
  <c r="AQ101" i="1"/>
  <c r="AU101" i="1"/>
  <c r="AY101" i="1"/>
  <c r="D101" i="1"/>
  <c r="H101" i="1"/>
  <c r="L101" i="1"/>
  <c r="P101" i="1"/>
  <c r="T101" i="1"/>
  <c r="X101" i="1"/>
  <c r="AB101" i="1"/>
  <c r="AF101" i="1"/>
  <c r="AJ101" i="1"/>
  <c r="AN101" i="1"/>
  <c r="AR101" i="1"/>
  <c r="AV101" i="1"/>
  <c r="AZ101" i="1"/>
  <c r="E101" i="1"/>
  <c r="I101" i="1"/>
  <c r="M101" i="1"/>
  <c r="Q101" i="1"/>
  <c r="U101" i="1"/>
  <c r="Y101" i="1"/>
  <c r="AC101" i="1"/>
  <c r="AG101" i="1"/>
  <c r="AK101" i="1"/>
  <c r="AO101" i="1"/>
  <c r="AS101" i="1"/>
  <c r="AW101" i="1"/>
  <c r="C101" i="1"/>
  <c r="B102" i="1"/>
  <c r="A105" i="1"/>
  <c r="E102" i="1"/>
  <c r="I102" i="1"/>
  <c r="M102" i="1"/>
  <c r="Q102" i="1"/>
  <c r="U102" i="1"/>
  <c r="Y102" i="1"/>
  <c r="AC102" i="1"/>
  <c r="AG102" i="1"/>
  <c r="AK102" i="1"/>
  <c r="AO102" i="1"/>
  <c r="AS102" i="1"/>
  <c r="AW102" i="1"/>
  <c r="F102" i="1"/>
  <c r="J102" i="1"/>
  <c r="N102" i="1"/>
  <c r="R102" i="1"/>
  <c r="V102" i="1"/>
  <c r="Z102" i="1"/>
  <c r="AD102" i="1"/>
  <c r="AH102" i="1"/>
  <c r="AL102" i="1"/>
  <c r="AP102" i="1"/>
  <c r="AT102" i="1"/>
  <c r="AX102" i="1"/>
  <c r="G102" i="1"/>
  <c r="K102" i="1"/>
  <c r="O102" i="1"/>
  <c r="S102" i="1"/>
  <c r="W102" i="1"/>
  <c r="AA102" i="1"/>
  <c r="AE102" i="1"/>
  <c r="AI102" i="1"/>
  <c r="AM102" i="1"/>
  <c r="AQ102" i="1"/>
  <c r="AU102" i="1"/>
  <c r="AY102" i="1"/>
  <c r="D102" i="1"/>
  <c r="H102" i="1"/>
  <c r="L102" i="1"/>
  <c r="P102" i="1"/>
  <c r="T102" i="1"/>
  <c r="X102" i="1"/>
  <c r="AB102" i="1"/>
  <c r="AF102" i="1"/>
  <c r="AJ102" i="1"/>
  <c r="AN102" i="1"/>
  <c r="AR102" i="1"/>
  <c r="AV102" i="1"/>
  <c r="AZ102" i="1"/>
  <c r="C102" i="1"/>
  <c r="B103" i="1"/>
  <c r="A106" i="1"/>
  <c r="D103" i="1"/>
  <c r="H103" i="1"/>
  <c r="L103" i="1"/>
  <c r="P103" i="1"/>
  <c r="T103" i="1"/>
  <c r="X103" i="1"/>
  <c r="AB103" i="1"/>
  <c r="AF103" i="1"/>
  <c r="AJ103" i="1"/>
  <c r="AN103" i="1"/>
  <c r="AR103" i="1"/>
  <c r="AV103" i="1"/>
  <c r="AZ103" i="1"/>
  <c r="E103" i="1"/>
  <c r="I103" i="1"/>
  <c r="M103" i="1"/>
  <c r="Q103" i="1"/>
  <c r="U103" i="1"/>
  <c r="Y103" i="1"/>
  <c r="AC103" i="1"/>
  <c r="AG103" i="1"/>
  <c r="AK103" i="1"/>
  <c r="AO103" i="1"/>
  <c r="AS103" i="1"/>
  <c r="AW103" i="1"/>
  <c r="F103" i="1"/>
  <c r="J103" i="1"/>
  <c r="N103" i="1"/>
  <c r="R103" i="1"/>
  <c r="V103" i="1"/>
  <c r="Z103" i="1"/>
  <c r="AD103" i="1"/>
  <c r="AH103" i="1"/>
  <c r="AL103" i="1"/>
  <c r="AP103" i="1"/>
  <c r="AT103" i="1"/>
  <c r="AX103" i="1"/>
  <c r="G103" i="1"/>
  <c r="K103" i="1"/>
  <c r="O103" i="1"/>
  <c r="S103" i="1"/>
  <c r="W103" i="1"/>
  <c r="AA103" i="1"/>
  <c r="AE103" i="1"/>
  <c r="AI103" i="1"/>
  <c r="AM103" i="1"/>
  <c r="AQ103" i="1"/>
  <c r="AU103" i="1"/>
  <c r="AY103" i="1"/>
  <c r="C103" i="1"/>
  <c r="B104" i="1"/>
  <c r="A107" i="1"/>
  <c r="G104" i="1"/>
  <c r="K104" i="1"/>
  <c r="O104" i="1"/>
  <c r="S104" i="1"/>
  <c r="W104" i="1"/>
  <c r="AA104" i="1"/>
  <c r="AE104" i="1"/>
  <c r="AI104" i="1"/>
  <c r="AM104" i="1"/>
  <c r="AQ104" i="1"/>
  <c r="AU104" i="1"/>
  <c r="AY104" i="1"/>
  <c r="D104" i="1"/>
  <c r="H104" i="1"/>
  <c r="L104" i="1"/>
  <c r="P104" i="1"/>
  <c r="T104" i="1"/>
  <c r="X104" i="1"/>
  <c r="AB104" i="1"/>
  <c r="AF104" i="1"/>
  <c r="AJ104" i="1"/>
  <c r="AN104" i="1"/>
  <c r="AR104" i="1"/>
  <c r="AV104" i="1"/>
  <c r="AZ104" i="1"/>
  <c r="E104" i="1"/>
  <c r="I104" i="1"/>
  <c r="M104" i="1"/>
  <c r="Q104" i="1"/>
  <c r="U104" i="1"/>
  <c r="Y104" i="1"/>
  <c r="AC104" i="1"/>
  <c r="AG104" i="1"/>
  <c r="AK104" i="1"/>
  <c r="AO104" i="1"/>
  <c r="AS104" i="1"/>
  <c r="AW104" i="1"/>
  <c r="F104" i="1"/>
  <c r="J104" i="1"/>
  <c r="N104" i="1"/>
  <c r="R104" i="1"/>
  <c r="V104" i="1"/>
  <c r="Z104" i="1"/>
  <c r="AD104" i="1"/>
  <c r="AH104" i="1"/>
  <c r="AL104" i="1"/>
  <c r="AP104" i="1"/>
  <c r="AT104" i="1"/>
  <c r="AX104" i="1"/>
  <c r="C104" i="1"/>
  <c r="B105" i="1"/>
  <c r="A108" i="1"/>
  <c r="F105" i="1"/>
  <c r="J105" i="1"/>
  <c r="N105" i="1"/>
  <c r="R105" i="1"/>
  <c r="V105" i="1"/>
  <c r="Z105" i="1"/>
  <c r="AD105" i="1"/>
  <c r="AH105" i="1"/>
  <c r="AL105" i="1"/>
  <c r="AP105" i="1"/>
  <c r="AT105" i="1"/>
  <c r="AX105" i="1"/>
  <c r="G105" i="1"/>
  <c r="K105" i="1"/>
  <c r="O105" i="1"/>
  <c r="S105" i="1"/>
  <c r="W105" i="1"/>
  <c r="AA105" i="1"/>
  <c r="AE105" i="1"/>
  <c r="AI105" i="1"/>
  <c r="AM105" i="1"/>
  <c r="AQ105" i="1"/>
  <c r="AU105" i="1"/>
  <c r="AY105" i="1"/>
  <c r="D105" i="1"/>
  <c r="H105" i="1"/>
  <c r="L105" i="1"/>
  <c r="P105" i="1"/>
  <c r="T105" i="1"/>
  <c r="X105" i="1"/>
  <c r="AB105" i="1"/>
  <c r="AF105" i="1"/>
  <c r="AJ105" i="1"/>
  <c r="AN105" i="1"/>
  <c r="AR105" i="1"/>
  <c r="AV105" i="1"/>
  <c r="AZ105" i="1"/>
  <c r="E105" i="1"/>
  <c r="I105" i="1"/>
  <c r="M105" i="1"/>
  <c r="Q105" i="1"/>
  <c r="U105" i="1"/>
  <c r="Y105" i="1"/>
  <c r="AC105" i="1"/>
  <c r="AG105" i="1"/>
  <c r="AK105" i="1"/>
  <c r="AO105" i="1"/>
  <c r="AS105" i="1"/>
  <c r="AW105" i="1"/>
  <c r="C105" i="1"/>
  <c r="B106" i="1"/>
  <c r="A109" i="1"/>
  <c r="E106" i="1"/>
  <c r="I106" i="1"/>
  <c r="M106" i="1"/>
  <c r="Q106" i="1"/>
  <c r="U106" i="1"/>
  <c r="Y106" i="1"/>
  <c r="AC106" i="1"/>
  <c r="AG106" i="1"/>
  <c r="AK106" i="1"/>
  <c r="AO106" i="1"/>
  <c r="AS106" i="1"/>
  <c r="AW106" i="1"/>
  <c r="F106" i="1"/>
  <c r="J106" i="1"/>
  <c r="N106" i="1"/>
  <c r="R106" i="1"/>
  <c r="V106" i="1"/>
  <c r="Z106" i="1"/>
  <c r="AD106" i="1"/>
  <c r="AH106" i="1"/>
  <c r="AL106" i="1"/>
  <c r="AP106" i="1"/>
  <c r="AT106" i="1"/>
  <c r="AX106" i="1"/>
  <c r="G106" i="1"/>
  <c r="K106" i="1"/>
  <c r="O106" i="1"/>
  <c r="S106" i="1"/>
  <c r="W106" i="1"/>
  <c r="AA106" i="1"/>
  <c r="AE106" i="1"/>
  <c r="AI106" i="1"/>
  <c r="AM106" i="1"/>
  <c r="AQ106" i="1"/>
  <c r="AU106" i="1"/>
  <c r="AY106" i="1"/>
  <c r="D106" i="1"/>
  <c r="H106" i="1"/>
  <c r="L106" i="1"/>
  <c r="P106" i="1"/>
  <c r="T106" i="1"/>
  <c r="X106" i="1"/>
  <c r="AB106" i="1"/>
  <c r="AF106" i="1"/>
  <c r="AJ106" i="1"/>
  <c r="AN106" i="1"/>
  <c r="AR106" i="1"/>
  <c r="AV106" i="1"/>
  <c r="AZ106" i="1"/>
  <c r="C106" i="1"/>
  <c r="B107" i="1"/>
  <c r="A110" i="1"/>
  <c r="D107" i="1"/>
  <c r="H107" i="1"/>
  <c r="L107" i="1"/>
  <c r="P107" i="1"/>
  <c r="T107" i="1"/>
  <c r="X107" i="1"/>
  <c r="AB107" i="1"/>
  <c r="AF107" i="1"/>
  <c r="AJ107" i="1"/>
  <c r="AN107" i="1"/>
  <c r="AR107" i="1"/>
  <c r="AV107" i="1"/>
  <c r="AZ107" i="1"/>
  <c r="E107" i="1"/>
  <c r="I107" i="1"/>
  <c r="M107" i="1"/>
  <c r="Q107" i="1"/>
  <c r="U107" i="1"/>
  <c r="Y107" i="1"/>
  <c r="AC107" i="1"/>
  <c r="AG107" i="1"/>
  <c r="AK107" i="1"/>
  <c r="AO107" i="1"/>
  <c r="AS107" i="1"/>
  <c r="AW107" i="1"/>
  <c r="F107" i="1"/>
  <c r="J107" i="1"/>
  <c r="N107" i="1"/>
  <c r="R107" i="1"/>
  <c r="V107" i="1"/>
  <c r="Z107" i="1"/>
  <c r="AD107" i="1"/>
  <c r="AH107" i="1"/>
  <c r="AL107" i="1"/>
  <c r="AP107" i="1"/>
  <c r="AT107" i="1"/>
  <c r="AX107" i="1"/>
  <c r="G107" i="1"/>
  <c r="K107" i="1"/>
  <c r="O107" i="1"/>
  <c r="S107" i="1"/>
  <c r="W107" i="1"/>
  <c r="AA107" i="1"/>
  <c r="AE107" i="1"/>
  <c r="AI107" i="1"/>
  <c r="AM107" i="1"/>
  <c r="AQ107" i="1"/>
  <c r="AU107" i="1"/>
  <c r="AY107" i="1"/>
  <c r="C107" i="1"/>
  <c r="B108" i="1"/>
  <c r="A111" i="1"/>
  <c r="G108" i="1"/>
  <c r="K108" i="1"/>
  <c r="O108" i="1"/>
  <c r="S108" i="1"/>
  <c r="W108" i="1"/>
  <c r="AA108" i="1"/>
  <c r="AE108" i="1"/>
  <c r="AI108" i="1"/>
  <c r="AM108" i="1"/>
  <c r="AQ108" i="1"/>
  <c r="AU108" i="1"/>
  <c r="AY108" i="1"/>
  <c r="D108" i="1"/>
  <c r="H108" i="1"/>
  <c r="L108" i="1"/>
  <c r="P108" i="1"/>
  <c r="T108" i="1"/>
  <c r="X108" i="1"/>
  <c r="AB108" i="1"/>
  <c r="AF108" i="1"/>
  <c r="AJ108" i="1"/>
  <c r="AN108" i="1"/>
  <c r="AR108" i="1"/>
  <c r="AV108" i="1"/>
  <c r="AZ108" i="1"/>
  <c r="E108" i="1"/>
  <c r="I108" i="1"/>
  <c r="M108" i="1"/>
  <c r="Q108" i="1"/>
  <c r="U108" i="1"/>
  <c r="Y108" i="1"/>
  <c r="AC108" i="1"/>
  <c r="AG108" i="1"/>
  <c r="AK108" i="1"/>
  <c r="AO108" i="1"/>
  <c r="AS108" i="1"/>
  <c r="AW108" i="1"/>
  <c r="F108" i="1"/>
  <c r="J108" i="1"/>
  <c r="N108" i="1"/>
  <c r="R108" i="1"/>
  <c r="V108" i="1"/>
  <c r="Z108" i="1"/>
  <c r="AD108" i="1"/>
  <c r="AH108" i="1"/>
  <c r="AL108" i="1"/>
  <c r="AP108" i="1"/>
  <c r="AT108" i="1"/>
  <c r="AX108" i="1"/>
  <c r="C108" i="1"/>
  <c r="B109" i="1"/>
  <c r="A112" i="1"/>
  <c r="F109" i="1"/>
  <c r="J109" i="1"/>
  <c r="N109" i="1"/>
  <c r="R109" i="1"/>
  <c r="V109" i="1"/>
  <c r="Z109" i="1"/>
  <c r="AD109" i="1"/>
  <c r="AH109" i="1"/>
  <c r="AL109" i="1"/>
  <c r="AP109" i="1"/>
  <c r="AT109" i="1"/>
  <c r="AX109" i="1"/>
  <c r="G109" i="1"/>
  <c r="K109" i="1"/>
  <c r="O109" i="1"/>
  <c r="S109" i="1"/>
  <c r="W109" i="1"/>
  <c r="AA109" i="1"/>
  <c r="AE109" i="1"/>
  <c r="AI109" i="1"/>
  <c r="AM109" i="1"/>
  <c r="AQ109" i="1"/>
  <c r="AU109" i="1"/>
  <c r="AY109" i="1"/>
  <c r="D109" i="1"/>
  <c r="H109" i="1"/>
  <c r="L109" i="1"/>
  <c r="P109" i="1"/>
  <c r="T109" i="1"/>
  <c r="X109" i="1"/>
  <c r="AB109" i="1"/>
  <c r="AF109" i="1"/>
  <c r="AJ109" i="1"/>
  <c r="AN109" i="1"/>
  <c r="AR109" i="1"/>
  <c r="AV109" i="1"/>
  <c r="AZ109" i="1"/>
  <c r="E109" i="1"/>
  <c r="I109" i="1"/>
  <c r="M109" i="1"/>
  <c r="Q109" i="1"/>
  <c r="U109" i="1"/>
  <c r="Y109" i="1"/>
  <c r="AC109" i="1"/>
  <c r="AG109" i="1"/>
  <c r="AK109" i="1"/>
  <c r="AO109" i="1"/>
  <c r="AS109" i="1"/>
  <c r="AW109" i="1"/>
  <c r="C109" i="1"/>
  <c r="B110" i="1"/>
  <c r="A113" i="1"/>
  <c r="E110" i="1"/>
  <c r="I110" i="1"/>
  <c r="M110" i="1"/>
  <c r="Q110" i="1"/>
  <c r="U110" i="1"/>
  <c r="Y110" i="1"/>
  <c r="AC110" i="1"/>
  <c r="AG110" i="1"/>
  <c r="AK110" i="1"/>
  <c r="AO110" i="1"/>
  <c r="AS110" i="1"/>
  <c r="AW110" i="1"/>
  <c r="F110" i="1"/>
  <c r="J110" i="1"/>
  <c r="N110" i="1"/>
  <c r="R110" i="1"/>
  <c r="V110" i="1"/>
  <c r="Z110" i="1"/>
  <c r="AD110" i="1"/>
  <c r="AH110" i="1"/>
  <c r="AL110" i="1"/>
  <c r="AP110" i="1"/>
  <c r="AT110" i="1"/>
  <c r="AX110" i="1"/>
  <c r="G110" i="1"/>
  <c r="K110" i="1"/>
  <c r="O110" i="1"/>
  <c r="S110" i="1"/>
  <c r="W110" i="1"/>
  <c r="AA110" i="1"/>
  <c r="AE110" i="1"/>
  <c r="AI110" i="1"/>
  <c r="AM110" i="1"/>
  <c r="AQ110" i="1"/>
  <c r="AU110" i="1"/>
  <c r="AY110" i="1"/>
  <c r="D110" i="1"/>
  <c r="H110" i="1"/>
  <c r="L110" i="1"/>
  <c r="P110" i="1"/>
  <c r="T110" i="1"/>
  <c r="X110" i="1"/>
  <c r="AB110" i="1"/>
  <c r="AF110" i="1"/>
  <c r="AJ110" i="1"/>
  <c r="AN110" i="1"/>
  <c r="AR110" i="1"/>
  <c r="AV110" i="1"/>
  <c r="AZ110" i="1"/>
  <c r="C110" i="1"/>
  <c r="B111" i="1"/>
  <c r="A114" i="1"/>
  <c r="D111" i="1"/>
  <c r="H111" i="1"/>
  <c r="L111" i="1"/>
  <c r="P111" i="1"/>
  <c r="T111" i="1"/>
  <c r="X111" i="1"/>
  <c r="AB111" i="1"/>
  <c r="AF111" i="1"/>
  <c r="AJ111" i="1"/>
  <c r="AN111" i="1"/>
  <c r="AR111" i="1"/>
  <c r="AV111" i="1"/>
  <c r="AZ111" i="1"/>
  <c r="E111" i="1"/>
  <c r="I111" i="1"/>
  <c r="M111" i="1"/>
  <c r="Q111" i="1"/>
  <c r="U111" i="1"/>
  <c r="Y111" i="1"/>
  <c r="AC111" i="1"/>
  <c r="AG111" i="1"/>
  <c r="AK111" i="1"/>
  <c r="AO111" i="1"/>
  <c r="AS111" i="1"/>
  <c r="AW111" i="1"/>
  <c r="F111" i="1"/>
  <c r="J111" i="1"/>
  <c r="N111" i="1"/>
  <c r="R111" i="1"/>
  <c r="V111" i="1"/>
  <c r="Z111" i="1"/>
  <c r="AD111" i="1"/>
  <c r="AH111" i="1"/>
  <c r="AL111" i="1"/>
  <c r="AP111" i="1"/>
  <c r="AT111" i="1"/>
  <c r="AX111" i="1"/>
  <c r="G111" i="1"/>
  <c r="K111" i="1"/>
  <c r="O111" i="1"/>
  <c r="S111" i="1"/>
  <c r="W111" i="1"/>
  <c r="AA111" i="1"/>
  <c r="AE111" i="1"/>
  <c r="AI111" i="1"/>
  <c r="AM111" i="1"/>
  <c r="AQ111" i="1"/>
  <c r="AU111" i="1"/>
  <c r="AY111" i="1"/>
  <c r="C111" i="1"/>
  <c r="B112" i="1"/>
  <c r="A115" i="1"/>
  <c r="G112" i="1"/>
  <c r="K112" i="1"/>
  <c r="O112" i="1"/>
  <c r="S112" i="1"/>
  <c r="W112" i="1"/>
  <c r="AA112" i="1"/>
  <c r="AE112" i="1"/>
  <c r="AI112" i="1"/>
  <c r="AM112" i="1"/>
  <c r="AQ112" i="1"/>
  <c r="AU112" i="1"/>
  <c r="AY112" i="1"/>
  <c r="D112" i="1"/>
  <c r="H112" i="1"/>
  <c r="L112" i="1"/>
  <c r="P112" i="1"/>
  <c r="T112" i="1"/>
  <c r="X112" i="1"/>
  <c r="AB112" i="1"/>
  <c r="AF112" i="1"/>
  <c r="AJ112" i="1"/>
  <c r="AN112" i="1"/>
  <c r="AR112" i="1"/>
  <c r="AV112" i="1"/>
  <c r="AZ112" i="1"/>
  <c r="E112" i="1"/>
  <c r="I112" i="1"/>
  <c r="M112" i="1"/>
  <c r="Q112" i="1"/>
  <c r="U112" i="1"/>
  <c r="Y112" i="1"/>
  <c r="AC112" i="1"/>
  <c r="AG112" i="1"/>
  <c r="AK112" i="1"/>
  <c r="AO112" i="1"/>
  <c r="AS112" i="1"/>
  <c r="AW112" i="1"/>
  <c r="F112" i="1"/>
  <c r="J112" i="1"/>
  <c r="N112" i="1"/>
  <c r="R112" i="1"/>
  <c r="V112" i="1"/>
  <c r="Z112" i="1"/>
  <c r="AD112" i="1"/>
  <c r="AH112" i="1"/>
  <c r="AL112" i="1"/>
  <c r="AP112" i="1"/>
  <c r="AT112" i="1"/>
  <c r="AX112" i="1"/>
  <c r="C112" i="1"/>
  <c r="B113" i="1"/>
  <c r="A116" i="1"/>
  <c r="F113" i="1"/>
  <c r="J113" i="1"/>
  <c r="N113" i="1"/>
  <c r="R113" i="1"/>
  <c r="V113" i="1"/>
  <c r="Z113" i="1"/>
  <c r="AD113" i="1"/>
  <c r="AH113" i="1"/>
  <c r="AL113" i="1"/>
  <c r="AP113" i="1"/>
  <c r="AT113" i="1"/>
  <c r="AX113" i="1"/>
  <c r="G113" i="1"/>
  <c r="K113" i="1"/>
  <c r="O113" i="1"/>
  <c r="S113" i="1"/>
  <c r="W113" i="1"/>
  <c r="AA113" i="1"/>
  <c r="AE113" i="1"/>
  <c r="AI113" i="1"/>
  <c r="AM113" i="1"/>
  <c r="AQ113" i="1"/>
  <c r="AU113" i="1"/>
  <c r="AY113" i="1"/>
  <c r="D113" i="1"/>
  <c r="H113" i="1"/>
  <c r="L113" i="1"/>
  <c r="P113" i="1"/>
  <c r="T113" i="1"/>
  <c r="X113" i="1"/>
  <c r="AB113" i="1"/>
  <c r="AF113" i="1"/>
  <c r="AJ113" i="1"/>
  <c r="AN113" i="1"/>
  <c r="AR113" i="1"/>
  <c r="AV113" i="1"/>
  <c r="AZ113" i="1"/>
  <c r="E113" i="1"/>
  <c r="I113" i="1"/>
  <c r="M113" i="1"/>
  <c r="Q113" i="1"/>
  <c r="U113" i="1"/>
  <c r="Y113" i="1"/>
  <c r="AC113" i="1"/>
  <c r="AG113" i="1"/>
  <c r="AK113" i="1"/>
  <c r="AO113" i="1"/>
  <c r="AS113" i="1"/>
  <c r="AW113" i="1"/>
  <c r="C113" i="1"/>
  <c r="B114" i="1"/>
  <c r="A117" i="1"/>
  <c r="E114" i="1"/>
  <c r="I114" i="1"/>
  <c r="M114" i="1"/>
  <c r="Q114" i="1"/>
  <c r="U114" i="1"/>
  <c r="Y114" i="1"/>
  <c r="AC114" i="1"/>
  <c r="AG114" i="1"/>
  <c r="AK114" i="1"/>
  <c r="AO114" i="1"/>
  <c r="AS114" i="1"/>
  <c r="AW114" i="1"/>
  <c r="F114" i="1"/>
  <c r="J114" i="1"/>
  <c r="N114" i="1"/>
  <c r="R114" i="1"/>
  <c r="V114" i="1"/>
  <c r="Z114" i="1"/>
  <c r="AD114" i="1"/>
  <c r="AH114" i="1"/>
  <c r="AL114" i="1"/>
  <c r="AP114" i="1"/>
  <c r="AT114" i="1"/>
  <c r="AX114" i="1"/>
  <c r="G114" i="1"/>
  <c r="K114" i="1"/>
  <c r="O114" i="1"/>
  <c r="S114" i="1"/>
  <c r="W114" i="1"/>
  <c r="AA114" i="1"/>
  <c r="AE114" i="1"/>
  <c r="AI114" i="1"/>
  <c r="AM114" i="1"/>
  <c r="AQ114" i="1"/>
  <c r="AU114" i="1"/>
  <c r="AY114" i="1"/>
  <c r="D114" i="1"/>
  <c r="H114" i="1"/>
  <c r="L114" i="1"/>
  <c r="P114" i="1"/>
  <c r="T114" i="1"/>
  <c r="X114" i="1"/>
  <c r="AB114" i="1"/>
  <c r="AF114" i="1"/>
  <c r="AJ114" i="1"/>
  <c r="AN114" i="1"/>
  <c r="AR114" i="1"/>
  <c r="AV114" i="1"/>
  <c r="AZ114" i="1"/>
  <c r="C114" i="1"/>
  <c r="B115" i="1"/>
  <c r="A118" i="1"/>
  <c r="D115" i="1"/>
  <c r="H115" i="1"/>
  <c r="L115" i="1"/>
  <c r="P115" i="1"/>
  <c r="T115" i="1"/>
  <c r="X115" i="1"/>
  <c r="AB115" i="1"/>
  <c r="AF115" i="1"/>
  <c r="AJ115" i="1"/>
  <c r="AN115" i="1"/>
  <c r="AR115" i="1"/>
  <c r="AV115" i="1"/>
  <c r="AZ115" i="1"/>
  <c r="E115" i="1"/>
  <c r="I115" i="1"/>
  <c r="M115" i="1"/>
  <c r="Q115" i="1"/>
  <c r="U115" i="1"/>
  <c r="Y115" i="1"/>
  <c r="AC115" i="1"/>
  <c r="AG115" i="1"/>
  <c r="AK115" i="1"/>
  <c r="AO115" i="1"/>
  <c r="AS115" i="1"/>
  <c r="AW115" i="1"/>
  <c r="F115" i="1"/>
  <c r="J115" i="1"/>
  <c r="N115" i="1"/>
  <c r="R115" i="1"/>
  <c r="V115" i="1"/>
  <c r="Z115" i="1"/>
  <c r="AD115" i="1"/>
  <c r="AH115" i="1"/>
  <c r="AL115" i="1"/>
  <c r="AP115" i="1"/>
  <c r="AT115" i="1"/>
  <c r="AX115" i="1"/>
  <c r="G115" i="1"/>
  <c r="K115" i="1"/>
  <c r="O115" i="1"/>
  <c r="S115" i="1"/>
  <c r="W115" i="1"/>
  <c r="AA115" i="1"/>
  <c r="AE115" i="1"/>
  <c r="AI115" i="1"/>
  <c r="AM115" i="1"/>
  <c r="AQ115" i="1"/>
  <c r="AU115" i="1"/>
  <c r="AY115" i="1"/>
  <c r="C115" i="1"/>
  <c r="B116" i="1"/>
  <c r="A119" i="1"/>
  <c r="G116" i="1"/>
  <c r="K116" i="1"/>
  <c r="O116" i="1"/>
  <c r="S116" i="1"/>
  <c r="W116" i="1"/>
  <c r="AA116" i="1"/>
  <c r="AE116" i="1"/>
  <c r="AI116" i="1"/>
  <c r="AM116" i="1"/>
  <c r="AQ116" i="1"/>
  <c r="AU116" i="1"/>
  <c r="AY116" i="1"/>
  <c r="D116" i="1"/>
  <c r="H116" i="1"/>
  <c r="L116" i="1"/>
  <c r="P116" i="1"/>
  <c r="T116" i="1"/>
  <c r="X116" i="1"/>
  <c r="AB116" i="1"/>
  <c r="AF116" i="1"/>
  <c r="AJ116" i="1"/>
  <c r="AN116" i="1"/>
  <c r="AR116" i="1"/>
  <c r="AV116" i="1"/>
  <c r="AZ116" i="1"/>
  <c r="E116" i="1"/>
  <c r="I116" i="1"/>
  <c r="M116" i="1"/>
  <c r="Q116" i="1"/>
  <c r="U116" i="1"/>
  <c r="Y116" i="1"/>
  <c r="AC116" i="1"/>
  <c r="AG116" i="1"/>
  <c r="AK116" i="1"/>
  <c r="AO116" i="1"/>
  <c r="AS116" i="1"/>
  <c r="AW116" i="1"/>
  <c r="F116" i="1"/>
  <c r="J116" i="1"/>
  <c r="N116" i="1"/>
  <c r="R116" i="1"/>
  <c r="V116" i="1"/>
  <c r="Z116" i="1"/>
  <c r="AD116" i="1"/>
  <c r="AH116" i="1"/>
  <c r="AL116" i="1"/>
  <c r="AP116" i="1"/>
  <c r="AT116" i="1"/>
  <c r="AX116" i="1"/>
  <c r="C116" i="1"/>
  <c r="B117" i="1"/>
  <c r="A120" i="1"/>
  <c r="F117" i="1"/>
  <c r="J117" i="1"/>
  <c r="N117" i="1"/>
  <c r="R117" i="1"/>
  <c r="V117" i="1"/>
  <c r="Z117" i="1"/>
  <c r="AD117" i="1"/>
  <c r="AH117" i="1"/>
  <c r="AL117" i="1"/>
  <c r="AP117" i="1"/>
  <c r="AT117" i="1"/>
  <c r="AX117" i="1"/>
  <c r="G117" i="1"/>
  <c r="K117" i="1"/>
  <c r="O117" i="1"/>
  <c r="S117" i="1"/>
  <c r="W117" i="1"/>
  <c r="AA117" i="1"/>
  <c r="AE117" i="1"/>
  <c r="AI117" i="1"/>
  <c r="AM117" i="1"/>
  <c r="AQ117" i="1"/>
  <c r="AU117" i="1"/>
  <c r="AY117" i="1"/>
  <c r="D117" i="1"/>
  <c r="H117" i="1"/>
  <c r="L117" i="1"/>
  <c r="P117" i="1"/>
  <c r="T117" i="1"/>
  <c r="X117" i="1"/>
  <c r="AB117" i="1"/>
  <c r="AF117" i="1"/>
  <c r="AJ117" i="1"/>
  <c r="AN117" i="1"/>
  <c r="AR117" i="1"/>
  <c r="AV117" i="1"/>
  <c r="AZ117" i="1"/>
  <c r="E117" i="1"/>
  <c r="I117" i="1"/>
  <c r="M117" i="1"/>
  <c r="Q117" i="1"/>
  <c r="U117" i="1"/>
  <c r="Y117" i="1"/>
  <c r="AC117" i="1"/>
  <c r="AG117" i="1"/>
  <c r="AK117" i="1"/>
  <c r="AO117" i="1"/>
  <c r="AS117" i="1"/>
  <c r="AW117" i="1"/>
  <c r="C117" i="1"/>
  <c r="B118" i="1"/>
  <c r="A121" i="1"/>
  <c r="E118" i="1"/>
  <c r="I118" i="1"/>
  <c r="M118" i="1"/>
  <c r="Q118" i="1"/>
  <c r="U118" i="1"/>
  <c r="Y118" i="1"/>
  <c r="AC118" i="1"/>
  <c r="AG118" i="1"/>
  <c r="AK118" i="1"/>
  <c r="AO118" i="1"/>
  <c r="AS118" i="1"/>
  <c r="AW118" i="1"/>
  <c r="F118" i="1"/>
  <c r="J118" i="1"/>
  <c r="N118" i="1"/>
  <c r="R118" i="1"/>
  <c r="V118" i="1"/>
  <c r="Z118" i="1"/>
  <c r="AD118" i="1"/>
  <c r="AH118" i="1"/>
  <c r="AL118" i="1"/>
  <c r="AP118" i="1"/>
  <c r="AT118" i="1"/>
  <c r="AX118" i="1"/>
  <c r="G118" i="1"/>
  <c r="K118" i="1"/>
  <c r="O118" i="1"/>
  <c r="S118" i="1"/>
  <c r="W118" i="1"/>
  <c r="AA118" i="1"/>
  <c r="AE118" i="1"/>
  <c r="AI118" i="1"/>
  <c r="AM118" i="1"/>
  <c r="AQ118" i="1"/>
  <c r="AU118" i="1"/>
  <c r="AY118" i="1"/>
  <c r="D118" i="1"/>
  <c r="H118" i="1"/>
  <c r="L118" i="1"/>
  <c r="P118" i="1"/>
  <c r="T118" i="1"/>
  <c r="X118" i="1"/>
  <c r="AB118" i="1"/>
  <c r="AF118" i="1"/>
  <c r="AJ118" i="1"/>
  <c r="AN118" i="1"/>
  <c r="AR118" i="1"/>
  <c r="AV118" i="1"/>
  <c r="AZ118" i="1"/>
  <c r="C118" i="1"/>
  <c r="B119" i="1"/>
  <c r="A122" i="1"/>
  <c r="D119" i="1"/>
  <c r="H119" i="1"/>
  <c r="L119" i="1"/>
  <c r="P119" i="1"/>
  <c r="T119" i="1"/>
  <c r="X119" i="1"/>
  <c r="AB119" i="1"/>
  <c r="AF119" i="1"/>
  <c r="AJ119" i="1"/>
  <c r="AN119" i="1"/>
  <c r="AR119" i="1"/>
  <c r="AV119" i="1"/>
  <c r="AZ119" i="1"/>
  <c r="E119" i="1"/>
  <c r="I119" i="1"/>
  <c r="M119" i="1"/>
  <c r="Q119" i="1"/>
  <c r="U119" i="1"/>
  <c r="Y119" i="1"/>
  <c r="AC119" i="1"/>
  <c r="AG119" i="1"/>
  <c r="AK119" i="1"/>
  <c r="AO119" i="1"/>
  <c r="AS119" i="1"/>
  <c r="AW119" i="1"/>
  <c r="F119" i="1"/>
  <c r="J119" i="1"/>
  <c r="N119" i="1"/>
  <c r="R119" i="1"/>
  <c r="V119" i="1"/>
  <c r="Z119" i="1"/>
  <c r="AD119" i="1"/>
  <c r="AH119" i="1"/>
  <c r="AL119" i="1"/>
  <c r="AP119" i="1"/>
  <c r="AT119" i="1"/>
  <c r="AX119" i="1"/>
  <c r="G119" i="1"/>
  <c r="K119" i="1"/>
  <c r="O119" i="1"/>
  <c r="S119" i="1"/>
  <c r="W119" i="1"/>
  <c r="AA119" i="1"/>
  <c r="AE119" i="1"/>
  <c r="AI119" i="1"/>
  <c r="AM119" i="1"/>
  <c r="AQ119" i="1"/>
  <c r="AU119" i="1"/>
  <c r="AY119" i="1"/>
  <c r="C119" i="1"/>
  <c r="B120" i="1"/>
  <c r="A123" i="1"/>
  <c r="G120" i="1"/>
  <c r="K120" i="1"/>
  <c r="O120" i="1"/>
  <c r="S120" i="1"/>
  <c r="W120" i="1"/>
  <c r="AA120" i="1"/>
  <c r="AE120" i="1"/>
  <c r="AI120" i="1"/>
  <c r="AM120" i="1"/>
  <c r="AQ120" i="1"/>
  <c r="AU120" i="1"/>
  <c r="AY120" i="1"/>
  <c r="D120" i="1"/>
  <c r="H120" i="1"/>
  <c r="L120" i="1"/>
  <c r="P120" i="1"/>
  <c r="T120" i="1"/>
  <c r="X120" i="1"/>
  <c r="AB120" i="1"/>
  <c r="AF120" i="1"/>
  <c r="AJ120" i="1"/>
  <c r="AN120" i="1"/>
  <c r="AR120" i="1"/>
  <c r="AV120" i="1"/>
  <c r="AZ120" i="1"/>
  <c r="E120" i="1"/>
  <c r="I120" i="1"/>
  <c r="M120" i="1"/>
  <c r="Q120" i="1"/>
  <c r="U120" i="1"/>
  <c r="Y120" i="1"/>
  <c r="AC120" i="1"/>
  <c r="AG120" i="1"/>
  <c r="AK120" i="1"/>
  <c r="AO120" i="1"/>
  <c r="AS120" i="1"/>
  <c r="AW120" i="1"/>
  <c r="F120" i="1"/>
  <c r="J120" i="1"/>
  <c r="N120" i="1"/>
  <c r="R120" i="1"/>
  <c r="V120" i="1"/>
  <c r="Z120" i="1"/>
  <c r="AD120" i="1"/>
  <c r="AH120" i="1"/>
  <c r="AL120" i="1"/>
  <c r="AP120" i="1"/>
  <c r="AT120" i="1"/>
  <c r="AX120" i="1"/>
  <c r="C120" i="1"/>
  <c r="B121" i="1"/>
  <c r="A124" i="1"/>
  <c r="F121" i="1"/>
  <c r="J121" i="1"/>
  <c r="N121" i="1"/>
  <c r="R121" i="1"/>
  <c r="V121" i="1"/>
  <c r="Z121" i="1"/>
  <c r="AD121" i="1"/>
  <c r="AH121" i="1"/>
  <c r="AL121" i="1"/>
  <c r="AP121" i="1"/>
  <c r="AT121" i="1"/>
  <c r="AX121" i="1"/>
  <c r="G121" i="1"/>
  <c r="K121" i="1"/>
  <c r="O121" i="1"/>
  <c r="S121" i="1"/>
  <c r="W121" i="1"/>
  <c r="AA121" i="1"/>
  <c r="AE121" i="1"/>
  <c r="AI121" i="1"/>
  <c r="AM121" i="1"/>
  <c r="AQ121" i="1"/>
  <c r="AU121" i="1"/>
  <c r="AY121" i="1"/>
  <c r="D121" i="1"/>
  <c r="H121" i="1"/>
  <c r="L121" i="1"/>
  <c r="P121" i="1"/>
  <c r="T121" i="1"/>
  <c r="X121" i="1"/>
  <c r="AB121" i="1"/>
  <c r="AF121" i="1"/>
  <c r="AJ121" i="1"/>
  <c r="AN121" i="1"/>
  <c r="AR121" i="1"/>
  <c r="AV121" i="1"/>
  <c r="AZ121" i="1"/>
  <c r="E121" i="1"/>
  <c r="I121" i="1"/>
  <c r="M121" i="1"/>
  <c r="Q121" i="1"/>
  <c r="U121" i="1"/>
  <c r="Y121" i="1"/>
  <c r="AC121" i="1"/>
  <c r="AG121" i="1"/>
  <c r="AK121" i="1"/>
  <c r="AO121" i="1"/>
  <c r="AS121" i="1"/>
  <c r="AW121" i="1"/>
  <c r="C121" i="1"/>
  <c r="B122" i="1"/>
  <c r="A125" i="1"/>
  <c r="E122" i="1"/>
  <c r="I122" i="1"/>
  <c r="M122" i="1"/>
  <c r="Q122" i="1"/>
  <c r="U122" i="1"/>
  <c r="Y122" i="1"/>
  <c r="AC122" i="1"/>
  <c r="AG122" i="1"/>
  <c r="AK122" i="1"/>
  <c r="AO122" i="1"/>
  <c r="AS122" i="1"/>
  <c r="AW122" i="1"/>
  <c r="F122" i="1"/>
  <c r="J122" i="1"/>
  <c r="N122" i="1"/>
  <c r="R122" i="1"/>
  <c r="V122" i="1"/>
  <c r="Z122" i="1"/>
  <c r="AD122" i="1"/>
  <c r="AH122" i="1"/>
  <c r="AL122" i="1"/>
  <c r="AP122" i="1"/>
  <c r="AT122" i="1"/>
  <c r="AX122" i="1"/>
  <c r="G122" i="1"/>
  <c r="K122" i="1"/>
  <c r="O122" i="1"/>
  <c r="S122" i="1"/>
  <c r="W122" i="1"/>
  <c r="AA122" i="1"/>
  <c r="AE122" i="1"/>
  <c r="AI122" i="1"/>
  <c r="AM122" i="1"/>
  <c r="AQ122" i="1"/>
  <c r="AU122" i="1"/>
  <c r="AY122" i="1"/>
  <c r="D122" i="1"/>
  <c r="H122" i="1"/>
  <c r="L122" i="1"/>
  <c r="P122" i="1"/>
  <c r="T122" i="1"/>
  <c r="X122" i="1"/>
  <c r="AB122" i="1"/>
  <c r="AF122" i="1"/>
  <c r="AJ122" i="1"/>
  <c r="AN122" i="1"/>
  <c r="AR122" i="1"/>
  <c r="AV122" i="1"/>
  <c r="AZ122" i="1"/>
  <c r="C122" i="1"/>
  <c r="B123" i="1"/>
  <c r="A126" i="1"/>
  <c r="D123" i="1"/>
  <c r="H123" i="1"/>
  <c r="L123" i="1"/>
  <c r="P123" i="1"/>
  <c r="T123" i="1"/>
  <c r="X123" i="1"/>
  <c r="AB123" i="1"/>
  <c r="AF123" i="1"/>
  <c r="AJ123" i="1"/>
  <c r="AN123" i="1"/>
  <c r="AR123" i="1"/>
  <c r="AV123" i="1"/>
  <c r="AZ123" i="1"/>
  <c r="E123" i="1"/>
  <c r="I123" i="1"/>
  <c r="M123" i="1"/>
  <c r="Q123" i="1"/>
  <c r="U123" i="1"/>
  <c r="Y123" i="1"/>
  <c r="AC123" i="1"/>
  <c r="AG123" i="1"/>
  <c r="AK123" i="1"/>
  <c r="AO123" i="1"/>
  <c r="AS123" i="1"/>
  <c r="AW123" i="1"/>
  <c r="F123" i="1"/>
  <c r="J123" i="1"/>
  <c r="N123" i="1"/>
  <c r="R123" i="1"/>
  <c r="V123" i="1"/>
  <c r="Z123" i="1"/>
  <c r="AD123" i="1"/>
  <c r="AH123" i="1"/>
  <c r="AL123" i="1"/>
  <c r="AP123" i="1"/>
  <c r="AT123" i="1"/>
  <c r="AX123" i="1"/>
  <c r="G123" i="1"/>
  <c r="K123" i="1"/>
  <c r="O123" i="1"/>
  <c r="S123" i="1"/>
  <c r="W123" i="1"/>
  <c r="AA123" i="1"/>
  <c r="AE123" i="1"/>
  <c r="AI123" i="1"/>
  <c r="AM123" i="1"/>
  <c r="AQ123" i="1"/>
  <c r="AU123" i="1"/>
  <c r="AY123" i="1"/>
  <c r="C123" i="1"/>
  <c r="B124" i="1"/>
  <c r="A127" i="1"/>
  <c r="G124" i="1"/>
  <c r="K124" i="1"/>
  <c r="O124" i="1"/>
  <c r="S124" i="1"/>
  <c r="W124" i="1"/>
  <c r="AA124" i="1"/>
  <c r="AE124" i="1"/>
  <c r="AI124" i="1"/>
  <c r="AM124" i="1"/>
  <c r="AQ124" i="1"/>
  <c r="AU124" i="1"/>
  <c r="AY124" i="1"/>
  <c r="D124" i="1"/>
  <c r="H124" i="1"/>
  <c r="L124" i="1"/>
  <c r="P124" i="1"/>
  <c r="T124" i="1"/>
  <c r="X124" i="1"/>
  <c r="AB124" i="1"/>
  <c r="AF124" i="1"/>
  <c r="AJ124" i="1"/>
  <c r="AN124" i="1"/>
  <c r="AR124" i="1"/>
  <c r="AV124" i="1"/>
  <c r="AZ124" i="1"/>
  <c r="E124" i="1"/>
  <c r="I124" i="1"/>
  <c r="M124" i="1"/>
  <c r="Q124" i="1"/>
  <c r="U124" i="1"/>
  <c r="Y124" i="1"/>
  <c r="AC124" i="1"/>
  <c r="AG124" i="1"/>
  <c r="AK124" i="1"/>
  <c r="AO124" i="1"/>
  <c r="AS124" i="1"/>
  <c r="AW124" i="1"/>
  <c r="F124" i="1"/>
  <c r="J124" i="1"/>
  <c r="N124" i="1"/>
  <c r="R124" i="1"/>
  <c r="V124" i="1"/>
  <c r="Z124" i="1"/>
  <c r="AD124" i="1"/>
  <c r="AH124" i="1"/>
  <c r="AL124" i="1"/>
  <c r="AP124" i="1"/>
  <c r="AT124" i="1"/>
  <c r="AX124" i="1"/>
  <c r="C124" i="1"/>
  <c r="B125" i="1"/>
  <c r="A128" i="1"/>
  <c r="F125" i="1"/>
  <c r="J125" i="1"/>
  <c r="N125" i="1"/>
  <c r="R125" i="1"/>
  <c r="V125" i="1"/>
  <c r="Z125" i="1"/>
  <c r="AD125" i="1"/>
  <c r="AH125" i="1"/>
  <c r="AL125" i="1"/>
  <c r="AP125" i="1"/>
  <c r="AT125" i="1"/>
  <c r="AX125" i="1"/>
  <c r="G125" i="1"/>
  <c r="K125" i="1"/>
  <c r="O125" i="1"/>
  <c r="S125" i="1"/>
  <c r="W125" i="1"/>
  <c r="AA125" i="1"/>
  <c r="AE125" i="1"/>
  <c r="AI125" i="1"/>
  <c r="AM125" i="1"/>
  <c r="AQ125" i="1"/>
  <c r="AU125" i="1"/>
  <c r="AY125" i="1"/>
  <c r="D125" i="1"/>
  <c r="H125" i="1"/>
  <c r="L125" i="1"/>
  <c r="P125" i="1"/>
  <c r="T125" i="1"/>
  <c r="X125" i="1"/>
  <c r="AB125" i="1"/>
  <c r="AF125" i="1"/>
  <c r="AJ125" i="1"/>
  <c r="AN125" i="1"/>
  <c r="AR125" i="1"/>
  <c r="AV125" i="1"/>
  <c r="AZ125" i="1"/>
  <c r="E125" i="1"/>
  <c r="I125" i="1"/>
  <c r="M125" i="1"/>
  <c r="Q125" i="1"/>
  <c r="U125" i="1"/>
  <c r="Y125" i="1"/>
  <c r="AC125" i="1"/>
  <c r="AG125" i="1"/>
  <c r="AK125" i="1"/>
  <c r="AO125" i="1"/>
  <c r="AS125" i="1"/>
  <c r="AW125" i="1"/>
  <c r="C125" i="1"/>
  <c r="B126" i="1"/>
  <c r="A129" i="1"/>
  <c r="E126" i="1"/>
  <c r="I126" i="1"/>
  <c r="M126" i="1"/>
  <c r="Q126" i="1"/>
  <c r="U126" i="1"/>
  <c r="Y126" i="1"/>
  <c r="AC126" i="1"/>
  <c r="AG126" i="1"/>
  <c r="AK126" i="1"/>
  <c r="AO126" i="1"/>
  <c r="AS126" i="1"/>
  <c r="AW126" i="1"/>
  <c r="F126" i="1"/>
  <c r="J126" i="1"/>
  <c r="N126" i="1"/>
  <c r="R126" i="1"/>
  <c r="V126" i="1"/>
  <c r="Z126" i="1"/>
  <c r="AD126" i="1"/>
  <c r="AH126" i="1"/>
  <c r="AL126" i="1"/>
  <c r="AP126" i="1"/>
  <c r="AT126" i="1"/>
  <c r="AX126" i="1"/>
  <c r="G126" i="1"/>
  <c r="K126" i="1"/>
  <c r="O126" i="1"/>
  <c r="S126" i="1"/>
  <c r="W126" i="1"/>
  <c r="AA126" i="1"/>
  <c r="AE126" i="1"/>
  <c r="AI126" i="1"/>
  <c r="AM126" i="1"/>
  <c r="AQ126" i="1"/>
  <c r="AU126" i="1"/>
  <c r="AY126" i="1"/>
  <c r="D126" i="1"/>
  <c r="H126" i="1"/>
  <c r="L126" i="1"/>
  <c r="P126" i="1"/>
  <c r="T126" i="1"/>
  <c r="X126" i="1"/>
  <c r="AB126" i="1"/>
  <c r="AF126" i="1"/>
  <c r="AJ126" i="1"/>
  <c r="AN126" i="1"/>
  <c r="AR126" i="1"/>
  <c r="AV126" i="1"/>
  <c r="AZ126" i="1"/>
  <c r="C126" i="1"/>
  <c r="B127" i="1"/>
  <c r="A130" i="1"/>
  <c r="D127" i="1"/>
  <c r="H127" i="1"/>
  <c r="L127" i="1"/>
  <c r="P127" i="1"/>
  <c r="T127" i="1"/>
  <c r="X127" i="1"/>
  <c r="AB127" i="1"/>
  <c r="AF127" i="1"/>
  <c r="AJ127" i="1"/>
  <c r="AN127" i="1"/>
  <c r="AR127" i="1"/>
  <c r="AV127" i="1"/>
  <c r="AZ127" i="1"/>
  <c r="E127" i="1"/>
  <c r="I127" i="1"/>
  <c r="M127" i="1"/>
  <c r="Q127" i="1"/>
  <c r="U127" i="1"/>
  <c r="Y127" i="1"/>
  <c r="AC127" i="1"/>
  <c r="AG127" i="1"/>
  <c r="AK127" i="1"/>
  <c r="AO127" i="1"/>
  <c r="AS127" i="1"/>
  <c r="AW127" i="1"/>
  <c r="F127" i="1"/>
  <c r="J127" i="1"/>
  <c r="N127" i="1"/>
  <c r="R127" i="1"/>
  <c r="V127" i="1"/>
  <c r="Z127" i="1"/>
  <c r="AD127" i="1"/>
  <c r="AH127" i="1"/>
  <c r="AL127" i="1"/>
  <c r="AP127" i="1"/>
  <c r="AT127" i="1"/>
  <c r="AX127" i="1"/>
  <c r="G127" i="1"/>
  <c r="K127" i="1"/>
  <c r="O127" i="1"/>
  <c r="S127" i="1"/>
  <c r="W127" i="1"/>
  <c r="AA127" i="1"/>
  <c r="AE127" i="1"/>
  <c r="AI127" i="1"/>
  <c r="AM127" i="1"/>
  <c r="AQ127" i="1"/>
  <c r="AU127" i="1"/>
  <c r="AY127" i="1"/>
  <c r="C127" i="1"/>
  <c r="B128" i="1"/>
  <c r="A131" i="1"/>
  <c r="G128" i="1"/>
  <c r="K128" i="1"/>
  <c r="O128" i="1"/>
  <c r="S128" i="1"/>
  <c r="W128" i="1"/>
  <c r="AA128" i="1"/>
  <c r="AE128" i="1"/>
  <c r="AI128" i="1"/>
  <c r="AM128" i="1"/>
  <c r="AQ128" i="1"/>
  <c r="AU128" i="1"/>
  <c r="AY128" i="1"/>
  <c r="D128" i="1"/>
  <c r="H128" i="1"/>
  <c r="L128" i="1"/>
  <c r="P128" i="1"/>
  <c r="T128" i="1"/>
  <c r="X128" i="1"/>
  <c r="AB128" i="1"/>
  <c r="AF128" i="1"/>
  <c r="AJ128" i="1"/>
  <c r="AN128" i="1"/>
  <c r="AR128" i="1"/>
  <c r="AV128" i="1"/>
  <c r="AZ128" i="1"/>
  <c r="E128" i="1"/>
  <c r="I128" i="1"/>
  <c r="M128" i="1"/>
  <c r="Q128" i="1"/>
  <c r="U128" i="1"/>
  <c r="Y128" i="1"/>
  <c r="AC128" i="1"/>
  <c r="AG128" i="1"/>
  <c r="AK128" i="1"/>
  <c r="AO128" i="1"/>
  <c r="F128" i="1"/>
  <c r="J128" i="1"/>
  <c r="N128" i="1"/>
  <c r="R128" i="1"/>
  <c r="V128" i="1"/>
  <c r="Z128" i="1"/>
  <c r="AD128" i="1"/>
  <c r="AH128" i="1"/>
  <c r="AL128" i="1"/>
  <c r="AP128" i="1"/>
  <c r="AS128" i="1"/>
  <c r="AT128" i="1"/>
  <c r="AW128" i="1"/>
  <c r="AX128" i="1"/>
  <c r="C128" i="1"/>
  <c r="B129" i="1"/>
  <c r="A132" i="1"/>
  <c r="E129" i="1"/>
  <c r="I129" i="1"/>
  <c r="M129" i="1"/>
  <c r="Q129" i="1"/>
  <c r="U129" i="1"/>
  <c r="Y129" i="1"/>
  <c r="AC129" i="1"/>
  <c r="AG129" i="1"/>
  <c r="AK129" i="1"/>
  <c r="AO129" i="1"/>
  <c r="AS129" i="1"/>
  <c r="AW129" i="1"/>
  <c r="F129" i="1"/>
  <c r="J129" i="1"/>
  <c r="N129" i="1"/>
  <c r="R129" i="1"/>
  <c r="V129" i="1"/>
  <c r="Z129" i="1"/>
  <c r="AD129" i="1"/>
  <c r="AH129" i="1"/>
  <c r="AL129" i="1"/>
  <c r="AP129" i="1"/>
  <c r="AT129" i="1"/>
  <c r="AX129" i="1"/>
  <c r="G129" i="1"/>
  <c r="K129" i="1"/>
  <c r="O129" i="1"/>
  <c r="S129" i="1"/>
  <c r="W129" i="1"/>
  <c r="AA129" i="1"/>
  <c r="AE129" i="1"/>
  <c r="AI129" i="1"/>
  <c r="AM129" i="1"/>
  <c r="AQ129" i="1"/>
  <c r="AU129" i="1"/>
  <c r="AY129" i="1"/>
  <c r="D129" i="1"/>
  <c r="H129" i="1"/>
  <c r="L129" i="1"/>
  <c r="P129" i="1"/>
  <c r="T129" i="1"/>
  <c r="X129" i="1"/>
  <c r="AB129" i="1"/>
  <c r="AF129" i="1"/>
  <c r="AJ129" i="1"/>
  <c r="AN129" i="1"/>
  <c r="AR129" i="1"/>
  <c r="AV129" i="1"/>
  <c r="AZ129" i="1"/>
  <c r="C129" i="1"/>
  <c r="B130" i="1"/>
  <c r="A133" i="1"/>
  <c r="D130" i="1"/>
  <c r="H130" i="1"/>
  <c r="L130" i="1"/>
  <c r="P130" i="1"/>
  <c r="T130" i="1"/>
  <c r="X130" i="1"/>
  <c r="AB130" i="1"/>
  <c r="AF130" i="1"/>
  <c r="AJ130" i="1"/>
  <c r="AN130" i="1"/>
  <c r="AR130" i="1"/>
  <c r="AV130" i="1"/>
  <c r="AZ130" i="1"/>
  <c r="E130" i="1"/>
  <c r="I130" i="1"/>
  <c r="M130" i="1"/>
  <c r="Q130" i="1"/>
  <c r="U130" i="1"/>
  <c r="Y130" i="1"/>
  <c r="AC130" i="1"/>
  <c r="AG130" i="1"/>
  <c r="AK130" i="1"/>
  <c r="AO130" i="1"/>
  <c r="AS130" i="1"/>
  <c r="AW130" i="1"/>
  <c r="F130" i="1"/>
  <c r="J130" i="1"/>
  <c r="N130" i="1"/>
  <c r="R130" i="1"/>
  <c r="V130" i="1"/>
  <c r="Z130" i="1"/>
  <c r="AD130" i="1"/>
  <c r="AH130" i="1"/>
  <c r="AL130" i="1"/>
  <c r="AP130" i="1"/>
  <c r="AT130" i="1"/>
  <c r="AX130" i="1"/>
  <c r="G130" i="1"/>
  <c r="K130" i="1"/>
  <c r="O130" i="1"/>
  <c r="S130" i="1"/>
  <c r="W130" i="1"/>
  <c r="AA130" i="1"/>
  <c r="AE130" i="1"/>
  <c r="AI130" i="1"/>
  <c r="AM130" i="1"/>
  <c r="AQ130" i="1"/>
  <c r="AU130" i="1"/>
  <c r="AY130" i="1"/>
  <c r="C130" i="1"/>
  <c r="B131" i="1"/>
  <c r="A134" i="1"/>
  <c r="G131" i="1"/>
  <c r="K131" i="1"/>
  <c r="O131" i="1"/>
  <c r="S131" i="1"/>
  <c r="W131" i="1"/>
  <c r="AA131" i="1"/>
  <c r="AE131" i="1"/>
  <c r="AI131" i="1"/>
  <c r="AM131" i="1"/>
  <c r="AQ131" i="1"/>
  <c r="AU131" i="1"/>
  <c r="AY131" i="1"/>
  <c r="D131" i="1"/>
  <c r="H131" i="1"/>
  <c r="L131" i="1"/>
  <c r="P131" i="1"/>
  <c r="T131" i="1"/>
  <c r="X131" i="1"/>
  <c r="AB131" i="1"/>
  <c r="AF131" i="1"/>
  <c r="AJ131" i="1"/>
  <c r="AN131" i="1"/>
  <c r="AR131" i="1"/>
  <c r="AV131" i="1"/>
  <c r="AZ131" i="1"/>
  <c r="E131" i="1"/>
  <c r="I131" i="1"/>
  <c r="M131" i="1"/>
  <c r="Q131" i="1"/>
  <c r="U131" i="1"/>
  <c r="Y131" i="1"/>
  <c r="AC131" i="1"/>
  <c r="AG131" i="1"/>
  <c r="AK131" i="1"/>
  <c r="AO131" i="1"/>
  <c r="AS131" i="1"/>
  <c r="AW131" i="1"/>
  <c r="F131" i="1"/>
  <c r="J131" i="1"/>
  <c r="N131" i="1"/>
  <c r="R131" i="1"/>
  <c r="V131" i="1"/>
  <c r="Z131" i="1"/>
  <c r="AD131" i="1"/>
  <c r="AH131" i="1"/>
  <c r="AL131" i="1"/>
  <c r="AP131" i="1"/>
  <c r="AT131" i="1"/>
  <c r="AX131" i="1"/>
  <c r="C131" i="1"/>
  <c r="B132" i="1"/>
  <c r="A135" i="1"/>
  <c r="F132" i="1"/>
  <c r="J132" i="1"/>
  <c r="N132" i="1"/>
  <c r="R132" i="1"/>
  <c r="V132" i="1"/>
  <c r="Z132" i="1"/>
  <c r="AD132" i="1"/>
  <c r="AH132" i="1"/>
  <c r="AL132" i="1"/>
  <c r="AP132" i="1"/>
  <c r="AT132" i="1"/>
  <c r="AX132" i="1"/>
  <c r="G132" i="1"/>
  <c r="K132" i="1"/>
  <c r="O132" i="1"/>
  <c r="S132" i="1"/>
  <c r="W132" i="1"/>
  <c r="AA132" i="1"/>
  <c r="AE132" i="1"/>
  <c r="AI132" i="1"/>
  <c r="AM132" i="1"/>
  <c r="AQ132" i="1"/>
  <c r="AU132" i="1"/>
  <c r="AY132" i="1"/>
  <c r="D132" i="1"/>
  <c r="H132" i="1"/>
  <c r="L132" i="1"/>
  <c r="P132" i="1"/>
  <c r="T132" i="1"/>
  <c r="X132" i="1"/>
  <c r="AB132" i="1"/>
  <c r="AF132" i="1"/>
  <c r="AJ132" i="1"/>
  <c r="AN132" i="1"/>
  <c r="AR132" i="1"/>
  <c r="AV132" i="1"/>
  <c r="AZ132" i="1"/>
  <c r="E132" i="1"/>
  <c r="I132" i="1"/>
  <c r="M132" i="1"/>
  <c r="Q132" i="1"/>
  <c r="U132" i="1"/>
  <c r="Y132" i="1"/>
  <c r="AC132" i="1"/>
  <c r="AG132" i="1"/>
  <c r="AK132" i="1"/>
  <c r="AO132" i="1"/>
  <c r="AS132" i="1"/>
  <c r="AW132" i="1"/>
  <c r="C132" i="1"/>
  <c r="B133" i="1"/>
  <c r="A136" i="1"/>
  <c r="E133" i="1"/>
  <c r="I133" i="1"/>
  <c r="M133" i="1"/>
  <c r="Q133" i="1"/>
  <c r="U133" i="1"/>
  <c r="Y133" i="1"/>
  <c r="AC133" i="1"/>
  <c r="AG133" i="1"/>
  <c r="AK133" i="1"/>
  <c r="AO133" i="1"/>
  <c r="AS133" i="1"/>
  <c r="AW133" i="1"/>
  <c r="F133" i="1"/>
  <c r="J133" i="1"/>
  <c r="N133" i="1"/>
  <c r="R133" i="1"/>
  <c r="V133" i="1"/>
  <c r="Z133" i="1"/>
  <c r="AD133" i="1"/>
  <c r="AH133" i="1"/>
  <c r="AL133" i="1"/>
  <c r="AP133" i="1"/>
  <c r="AT133" i="1"/>
  <c r="AX133" i="1"/>
  <c r="G133" i="1"/>
  <c r="K133" i="1"/>
  <c r="O133" i="1"/>
  <c r="S133" i="1"/>
  <c r="W133" i="1"/>
  <c r="AA133" i="1"/>
  <c r="AE133" i="1"/>
  <c r="AI133" i="1"/>
  <c r="AM133" i="1"/>
  <c r="AQ133" i="1"/>
  <c r="AU133" i="1"/>
  <c r="AY133" i="1"/>
  <c r="D133" i="1"/>
  <c r="H133" i="1"/>
  <c r="L133" i="1"/>
  <c r="P133" i="1"/>
  <c r="T133" i="1"/>
  <c r="X133" i="1"/>
  <c r="AB133" i="1"/>
  <c r="AF133" i="1"/>
  <c r="AJ133" i="1"/>
  <c r="AN133" i="1"/>
  <c r="AR133" i="1"/>
  <c r="AV133" i="1"/>
  <c r="AZ133" i="1"/>
  <c r="C133" i="1"/>
  <c r="B134" i="1"/>
  <c r="A137" i="1"/>
  <c r="D134" i="1"/>
  <c r="H134" i="1"/>
  <c r="L134" i="1"/>
  <c r="P134" i="1"/>
  <c r="T134" i="1"/>
  <c r="X134" i="1"/>
  <c r="AB134" i="1"/>
  <c r="AF134" i="1"/>
  <c r="AJ134" i="1"/>
  <c r="AN134" i="1"/>
  <c r="AR134" i="1"/>
  <c r="AV134" i="1"/>
  <c r="AZ134" i="1"/>
  <c r="E134" i="1"/>
  <c r="I134" i="1"/>
  <c r="M134" i="1"/>
  <c r="Q134" i="1"/>
  <c r="U134" i="1"/>
  <c r="Y134" i="1"/>
  <c r="AC134" i="1"/>
  <c r="AG134" i="1"/>
  <c r="AK134" i="1"/>
  <c r="AO134" i="1"/>
  <c r="AS134" i="1"/>
  <c r="AW134" i="1"/>
  <c r="F134" i="1"/>
  <c r="J134" i="1"/>
  <c r="N134" i="1"/>
  <c r="R134" i="1"/>
  <c r="V134" i="1"/>
  <c r="Z134" i="1"/>
  <c r="AD134" i="1"/>
  <c r="AH134" i="1"/>
  <c r="AL134" i="1"/>
  <c r="AP134" i="1"/>
  <c r="AT134" i="1"/>
  <c r="AX134" i="1"/>
  <c r="G134" i="1"/>
  <c r="K134" i="1"/>
  <c r="O134" i="1"/>
  <c r="S134" i="1"/>
  <c r="W134" i="1"/>
  <c r="AA134" i="1"/>
  <c r="AE134" i="1"/>
  <c r="AI134" i="1"/>
  <c r="AM134" i="1"/>
  <c r="AQ134" i="1"/>
  <c r="AU134" i="1"/>
  <c r="AY134" i="1"/>
  <c r="C134" i="1"/>
  <c r="B135" i="1"/>
  <c r="A138" i="1"/>
  <c r="G135" i="1"/>
  <c r="K135" i="1"/>
  <c r="O135" i="1"/>
  <c r="S135" i="1"/>
  <c r="W135" i="1"/>
  <c r="AA135" i="1"/>
  <c r="AE135" i="1"/>
  <c r="AI135" i="1"/>
  <c r="AM135" i="1"/>
  <c r="AQ135" i="1"/>
  <c r="AU135" i="1"/>
  <c r="AY135" i="1"/>
  <c r="D135" i="1"/>
  <c r="H135" i="1"/>
  <c r="L135" i="1"/>
  <c r="P135" i="1"/>
  <c r="T135" i="1"/>
  <c r="X135" i="1"/>
  <c r="AB135" i="1"/>
  <c r="AF135" i="1"/>
  <c r="AJ135" i="1"/>
  <c r="AN135" i="1"/>
  <c r="AR135" i="1"/>
  <c r="AV135" i="1"/>
  <c r="AZ135" i="1"/>
  <c r="E135" i="1"/>
  <c r="I135" i="1"/>
  <c r="M135" i="1"/>
  <c r="Q135" i="1"/>
  <c r="U135" i="1"/>
  <c r="Y135" i="1"/>
  <c r="AC135" i="1"/>
  <c r="AG135" i="1"/>
  <c r="AK135" i="1"/>
  <c r="AO135" i="1"/>
  <c r="AS135" i="1"/>
  <c r="AW135" i="1"/>
  <c r="F135" i="1"/>
  <c r="J135" i="1"/>
  <c r="N135" i="1"/>
  <c r="R135" i="1"/>
  <c r="V135" i="1"/>
  <c r="Z135" i="1"/>
  <c r="AD135" i="1"/>
  <c r="AH135" i="1"/>
  <c r="AL135" i="1"/>
  <c r="AP135" i="1"/>
  <c r="AT135" i="1"/>
  <c r="AX135" i="1"/>
  <c r="C135" i="1"/>
  <c r="B136" i="1"/>
  <c r="A139" i="1"/>
  <c r="F136" i="1"/>
  <c r="J136" i="1"/>
  <c r="N136" i="1"/>
  <c r="R136" i="1"/>
  <c r="V136" i="1"/>
  <c r="Z136" i="1"/>
  <c r="AD136" i="1"/>
  <c r="AH136" i="1"/>
  <c r="AL136" i="1"/>
  <c r="AP136" i="1"/>
  <c r="AT136" i="1"/>
  <c r="AX136" i="1"/>
  <c r="G136" i="1"/>
  <c r="K136" i="1"/>
  <c r="O136" i="1"/>
  <c r="S136" i="1"/>
  <c r="W136" i="1"/>
  <c r="AA136" i="1"/>
  <c r="AE136" i="1"/>
  <c r="AI136" i="1"/>
  <c r="AM136" i="1"/>
  <c r="AQ136" i="1"/>
  <c r="AU136" i="1"/>
  <c r="AY136" i="1"/>
  <c r="D136" i="1"/>
  <c r="H136" i="1"/>
  <c r="L136" i="1"/>
  <c r="P136" i="1"/>
  <c r="T136" i="1"/>
  <c r="X136" i="1"/>
  <c r="AB136" i="1"/>
  <c r="AF136" i="1"/>
  <c r="AJ136" i="1"/>
  <c r="AN136" i="1"/>
  <c r="AR136" i="1"/>
  <c r="AV136" i="1"/>
  <c r="AZ136" i="1"/>
  <c r="E136" i="1"/>
  <c r="I136" i="1"/>
  <c r="M136" i="1"/>
  <c r="Q136" i="1"/>
  <c r="U136" i="1"/>
  <c r="Y136" i="1"/>
  <c r="AC136" i="1"/>
  <c r="AG136" i="1"/>
  <c r="AK136" i="1"/>
  <c r="AO136" i="1"/>
  <c r="AS136" i="1"/>
  <c r="AW136" i="1"/>
  <c r="C136" i="1"/>
  <c r="B137" i="1"/>
  <c r="A140" i="1"/>
  <c r="E137" i="1"/>
  <c r="I137" i="1"/>
  <c r="M137" i="1"/>
  <c r="Q137" i="1"/>
  <c r="U137" i="1"/>
  <c r="Y137" i="1"/>
  <c r="AC137" i="1"/>
  <c r="AG137" i="1"/>
  <c r="AK137" i="1"/>
  <c r="AO137" i="1"/>
  <c r="AS137" i="1"/>
  <c r="AW137" i="1"/>
  <c r="F137" i="1"/>
  <c r="J137" i="1"/>
  <c r="N137" i="1"/>
  <c r="R137" i="1"/>
  <c r="V137" i="1"/>
  <c r="Z137" i="1"/>
  <c r="AD137" i="1"/>
  <c r="AH137" i="1"/>
  <c r="AL137" i="1"/>
  <c r="AP137" i="1"/>
  <c r="AT137" i="1"/>
  <c r="AX137" i="1"/>
  <c r="G137" i="1"/>
  <c r="K137" i="1"/>
  <c r="O137" i="1"/>
  <c r="S137" i="1"/>
  <c r="W137" i="1"/>
  <c r="AA137" i="1"/>
  <c r="AE137" i="1"/>
  <c r="AI137" i="1"/>
  <c r="AM137" i="1"/>
  <c r="AQ137" i="1"/>
  <c r="AU137" i="1"/>
  <c r="AY137" i="1"/>
  <c r="D137" i="1"/>
  <c r="H137" i="1"/>
  <c r="L137" i="1"/>
  <c r="P137" i="1"/>
  <c r="T137" i="1"/>
  <c r="X137" i="1"/>
  <c r="AB137" i="1"/>
  <c r="AF137" i="1"/>
  <c r="AJ137" i="1"/>
  <c r="AN137" i="1"/>
  <c r="AR137" i="1"/>
  <c r="AV137" i="1"/>
  <c r="AZ137" i="1"/>
  <c r="C137" i="1"/>
  <c r="B138" i="1"/>
  <c r="A141" i="1"/>
  <c r="D138" i="1"/>
  <c r="H138" i="1"/>
  <c r="L138" i="1"/>
  <c r="P138" i="1"/>
  <c r="T138" i="1"/>
  <c r="X138" i="1"/>
  <c r="AB138" i="1"/>
  <c r="AF138" i="1"/>
  <c r="AJ138" i="1"/>
  <c r="AN138" i="1"/>
  <c r="AR138" i="1"/>
  <c r="AV138" i="1"/>
  <c r="AZ138" i="1"/>
  <c r="E138" i="1"/>
  <c r="I138" i="1"/>
  <c r="M138" i="1"/>
  <c r="Q138" i="1"/>
  <c r="U138" i="1"/>
  <c r="Y138" i="1"/>
  <c r="AC138" i="1"/>
  <c r="AG138" i="1"/>
  <c r="AK138" i="1"/>
  <c r="AO138" i="1"/>
  <c r="AS138" i="1"/>
  <c r="AW138" i="1"/>
  <c r="F138" i="1"/>
  <c r="J138" i="1"/>
  <c r="N138" i="1"/>
  <c r="R138" i="1"/>
  <c r="V138" i="1"/>
  <c r="Z138" i="1"/>
  <c r="AD138" i="1"/>
  <c r="AH138" i="1"/>
  <c r="AL138" i="1"/>
  <c r="AP138" i="1"/>
  <c r="AT138" i="1"/>
  <c r="AX138" i="1"/>
  <c r="G138" i="1"/>
  <c r="K138" i="1"/>
  <c r="O138" i="1"/>
  <c r="S138" i="1"/>
  <c r="W138" i="1"/>
  <c r="AA138" i="1"/>
  <c r="AE138" i="1"/>
  <c r="AI138" i="1"/>
  <c r="AM138" i="1"/>
  <c r="AQ138" i="1"/>
  <c r="AU138" i="1"/>
  <c r="AY138" i="1"/>
  <c r="C138" i="1"/>
  <c r="B139" i="1"/>
  <c r="A142" i="1"/>
  <c r="G139" i="1"/>
  <c r="K139" i="1"/>
  <c r="O139" i="1"/>
  <c r="S139" i="1"/>
  <c r="W139" i="1"/>
  <c r="AA139" i="1"/>
  <c r="AE139" i="1"/>
  <c r="AI139" i="1"/>
  <c r="AM139" i="1"/>
  <c r="AQ139" i="1"/>
  <c r="AU139" i="1"/>
  <c r="AY139" i="1"/>
  <c r="D139" i="1"/>
  <c r="H139" i="1"/>
  <c r="L139" i="1"/>
  <c r="P139" i="1"/>
  <c r="T139" i="1"/>
  <c r="X139" i="1"/>
  <c r="AB139" i="1"/>
  <c r="AF139" i="1"/>
  <c r="AJ139" i="1"/>
  <c r="AN139" i="1"/>
  <c r="AR139" i="1"/>
  <c r="AV139" i="1"/>
  <c r="AZ139" i="1"/>
  <c r="E139" i="1"/>
  <c r="I139" i="1"/>
  <c r="M139" i="1"/>
  <c r="Q139" i="1"/>
  <c r="U139" i="1"/>
  <c r="Y139" i="1"/>
  <c r="AC139" i="1"/>
  <c r="AG139" i="1"/>
  <c r="AK139" i="1"/>
  <c r="AO139" i="1"/>
  <c r="AS139" i="1"/>
  <c r="AW139" i="1"/>
  <c r="F139" i="1"/>
  <c r="J139" i="1"/>
  <c r="N139" i="1"/>
  <c r="R139" i="1"/>
  <c r="V139" i="1"/>
  <c r="Z139" i="1"/>
  <c r="AD139" i="1"/>
  <c r="AH139" i="1"/>
  <c r="AL139" i="1"/>
  <c r="AP139" i="1"/>
  <c r="AT139" i="1"/>
  <c r="AX139" i="1"/>
  <c r="C139" i="1"/>
  <c r="B140" i="1"/>
  <c r="A143" i="1"/>
  <c r="F140" i="1"/>
  <c r="J140" i="1"/>
  <c r="N140" i="1"/>
  <c r="R140" i="1"/>
  <c r="V140" i="1"/>
  <c r="Z140" i="1"/>
  <c r="AD140" i="1"/>
  <c r="AH140" i="1"/>
  <c r="AL140" i="1"/>
  <c r="AP140" i="1"/>
  <c r="AT140" i="1"/>
  <c r="AX140" i="1"/>
  <c r="G140" i="1"/>
  <c r="K140" i="1"/>
  <c r="O140" i="1"/>
  <c r="S140" i="1"/>
  <c r="W140" i="1"/>
  <c r="AA140" i="1"/>
  <c r="AE140" i="1"/>
  <c r="AI140" i="1"/>
  <c r="AM140" i="1"/>
  <c r="AQ140" i="1"/>
  <c r="AU140" i="1"/>
  <c r="AY140" i="1"/>
  <c r="D140" i="1"/>
  <c r="H140" i="1"/>
  <c r="L140" i="1"/>
  <c r="P140" i="1"/>
  <c r="T140" i="1"/>
  <c r="X140" i="1"/>
  <c r="AB140" i="1"/>
  <c r="AF140" i="1"/>
  <c r="AJ140" i="1"/>
  <c r="AN140" i="1"/>
  <c r="AR140" i="1"/>
  <c r="AV140" i="1"/>
  <c r="AZ140" i="1"/>
  <c r="E140" i="1"/>
  <c r="I140" i="1"/>
  <c r="M140" i="1"/>
  <c r="Q140" i="1"/>
  <c r="U140" i="1"/>
  <c r="Y140" i="1"/>
  <c r="AC140" i="1"/>
  <c r="AG140" i="1"/>
  <c r="AK140" i="1"/>
  <c r="AO140" i="1"/>
  <c r="AS140" i="1"/>
  <c r="AW140" i="1"/>
  <c r="C140" i="1"/>
  <c r="B141" i="1"/>
  <c r="A144" i="1"/>
  <c r="E141" i="1"/>
  <c r="I141" i="1"/>
  <c r="M141" i="1"/>
  <c r="Q141" i="1"/>
  <c r="U141" i="1"/>
  <c r="Y141" i="1"/>
  <c r="AC141" i="1"/>
  <c r="AG141" i="1"/>
  <c r="AK141" i="1"/>
  <c r="AO141" i="1"/>
  <c r="AS141" i="1"/>
  <c r="AW141" i="1"/>
  <c r="F141" i="1"/>
  <c r="J141" i="1"/>
  <c r="N141" i="1"/>
  <c r="R141" i="1"/>
  <c r="V141" i="1"/>
  <c r="Z141" i="1"/>
  <c r="AD141" i="1"/>
  <c r="AH141" i="1"/>
  <c r="AL141" i="1"/>
  <c r="AP141" i="1"/>
  <c r="AT141" i="1"/>
  <c r="AX141" i="1"/>
  <c r="G141" i="1"/>
  <c r="K141" i="1"/>
  <c r="O141" i="1"/>
  <c r="S141" i="1"/>
  <c r="W141" i="1"/>
  <c r="AA141" i="1"/>
  <c r="AE141" i="1"/>
  <c r="AI141" i="1"/>
  <c r="AM141" i="1"/>
  <c r="AQ141" i="1"/>
  <c r="AU141" i="1"/>
  <c r="AY141" i="1"/>
  <c r="D141" i="1"/>
  <c r="H141" i="1"/>
  <c r="L141" i="1"/>
  <c r="P141" i="1"/>
  <c r="T141" i="1"/>
  <c r="X141" i="1"/>
  <c r="AB141" i="1"/>
  <c r="AF141" i="1"/>
  <c r="AJ141" i="1"/>
  <c r="AN141" i="1"/>
  <c r="AR141" i="1"/>
  <c r="AV141" i="1"/>
  <c r="AZ141" i="1"/>
  <c r="C141" i="1"/>
  <c r="B142" i="1"/>
  <c r="A145" i="1"/>
  <c r="D142" i="1"/>
  <c r="H142" i="1"/>
  <c r="L142" i="1"/>
  <c r="P142" i="1"/>
  <c r="T142" i="1"/>
  <c r="X142" i="1"/>
  <c r="AB142" i="1"/>
  <c r="AF142" i="1"/>
  <c r="AJ142" i="1"/>
  <c r="AN142" i="1"/>
  <c r="AR142" i="1"/>
  <c r="AV142" i="1"/>
  <c r="AZ142" i="1"/>
  <c r="E142" i="1"/>
  <c r="I142" i="1"/>
  <c r="M142" i="1"/>
  <c r="Q142" i="1"/>
  <c r="U142" i="1"/>
  <c r="Y142" i="1"/>
  <c r="AC142" i="1"/>
  <c r="AG142" i="1"/>
  <c r="AK142" i="1"/>
  <c r="AO142" i="1"/>
  <c r="AS142" i="1"/>
  <c r="AW142" i="1"/>
  <c r="F142" i="1"/>
  <c r="J142" i="1"/>
  <c r="N142" i="1"/>
  <c r="R142" i="1"/>
  <c r="V142" i="1"/>
  <c r="Z142" i="1"/>
  <c r="AD142" i="1"/>
  <c r="AH142" i="1"/>
  <c r="AL142" i="1"/>
  <c r="AP142" i="1"/>
  <c r="AT142" i="1"/>
  <c r="AX142" i="1"/>
  <c r="G142" i="1"/>
  <c r="K142" i="1"/>
  <c r="O142" i="1"/>
  <c r="S142" i="1"/>
  <c r="W142" i="1"/>
  <c r="AA142" i="1"/>
  <c r="AE142" i="1"/>
  <c r="AI142" i="1"/>
  <c r="AM142" i="1"/>
  <c r="AQ142" i="1"/>
  <c r="AU142" i="1"/>
  <c r="AY142" i="1"/>
  <c r="C142" i="1"/>
  <c r="B143" i="1"/>
  <c r="A146" i="1"/>
  <c r="G143" i="1"/>
  <c r="K143" i="1"/>
  <c r="O143" i="1"/>
  <c r="S143" i="1"/>
  <c r="W143" i="1"/>
  <c r="AA143" i="1"/>
  <c r="AE143" i="1"/>
  <c r="AI143" i="1"/>
  <c r="AM143" i="1"/>
  <c r="AQ143" i="1"/>
  <c r="AU143" i="1"/>
  <c r="AY143" i="1"/>
  <c r="D143" i="1"/>
  <c r="H143" i="1"/>
  <c r="L143" i="1"/>
  <c r="P143" i="1"/>
  <c r="T143" i="1"/>
  <c r="X143" i="1"/>
  <c r="AB143" i="1"/>
  <c r="AF143" i="1"/>
  <c r="AJ143" i="1"/>
  <c r="AN143" i="1"/>
  <c r="AR143" i="1"/>
  <c r="AV143" i="1"/>
  <c r="AZ143" i="1"/>
  <c r="E143" i="1"/>
  <c r="I143" i="1"/>
  <c r="M143" i="1"/>
  <c r="Q143" i="1"/>
  <c r="U143" i="1"/>
  <c r="Y143" i="1"/>
  <c r="AC143" i="1"/>
  <c r="AG143" i="1"/>
  <c r="AK143" i="1"/>
  <c r="AO143" i="1"/>
  <c r="AS143" i="1"/>
  <c r="AW143" i="1"/>
  <c r="F143" i="1"/>
  <c r="J143" i="1"/>
  <c r="N143" i="1"/>
  <c r="R143" i="1"/>
  <c r="V143" i="1"/>
  <c r="Z143" i="1"/>
  <c r="AD143" i="1"/>
  <c r="AH143" i="1"/>
  <c r="AL143" i="1"/>
  <c r="AP143" i="1"/>
  <c r="AT143" i="1"/>
  <c r="AX143" i="1"/>
  <c r="C143" i="1"/>
  <c r="B144" i="1"/>
  <c r="A147" i="1"/>
  <c r="F144" i="1"/>
  <c r="J144" i="1"/>
  <c r="N144" i="1"/>
  <c r="R144" i="1"/>
  <c r="V144" i="1"/>
  <c r="Z144" i="1"/>
  <c r="AD144" i="1"/>
  <c r="AH144" i="1"/>
  <c r="AL144" i="1"/>
  <c r="AP144" i="1"/>
  <c r="AT144" i="1"/>
  <c r="AX144" i="1"/>
  <c r="G144" i="1"/>
  <c r="K144" i="1"/>
  <c r="O144" i="1"/>
  <c r="S144" i="1"/>
  <c r="W144" i="1"/>
  <c r="AA144" i="1"/>
  <c r="AE144" i="1"/>
  <c r="AI144" i="1"/>
  <c r="AM144" i="1"/>
  <c r="AQ144" i="1"/>
  <c r="AU144" i="1"/>
  <c r="AY144" i="1"/>
  <c r="D144" i="1"/>
  <c r="H144" i="1"/>
  <c r="L144" i="1"/>
  <c r="P144" i="1"/>
  <c r="T144" i="1"/>
  <c r="X144" i="1"/>
  <c r="AB144" i="1"/>
  <c r="AF144" i="1"/>
  <c r="AJ144" i="1"/>
  <c r="AN144" i="1"/>
  <c r="AR144" i="1"/>
  <c r="AV144" i="1"/>
  <c r="AZ144" i="1"/>
  <c r="E144" i="1"/>
  <c r="I144" i="1"/>
  <c r="M144" i="1"/>
  <c r="Q144" i="1"/>
  <c r="U144" i="1"/>
  <c r="Y144" i="1"/>
  <c r="AC144" i="1"/>
  <c r="AG144" i="1"/>
  <c r="AK144" i="1"/>
  <c r="AO144" i="1"/>
  <c r="AS144" i="1"/>
  <c r="AW144" i="1"/>
  <c r="C144" i="1"/>
  <c r="B145" i="1"/>
  <c r="A148" i="1"/>
  <c r="E145" i="1"/>
  <c r="I145" i="1"/>
  <c r="M145" i="1"/>
  <c r="Q145" i="1"/>
  <c r="U145" i="1"/>
  <c r="Y145" i="1"/>
  <c r="AC145" i="1"/>
  <c r="AG145" i="1"/>
  <c r="AK145" i="1"/>
  <c r="AO145" i="1"/>
  <c r="AS145" i="1"/>
  <c r="AW145" i="1"/>
  <c r="F145" i="1"/>
  <c r="J145" i="1"/>
  <c r="N145" i="1"/>
  <c r="R145" i="1"/>
  <c r="V145" i="1"/>
  <c r="Z145" i="1"/>
  <c r="AD145" i="1"/>
  <c r="AH145" i="1"/>
  <c r="AL145" i="1"/>
  <c r="AP145" i="1"/>
  <c r="AT145" i="1"/>
  <c r="AX145" i="1"/>
  <c r="G145" i="1"/>
  <c r="K145" i="1"/>
  <c r="O145" i="1"/>
  <c r="S145" i="1"/>
  <c r="W145" i="1"/>
  <c r="AA145" i="1"/>
  <c r="AE145" i="1"/>
  <c r="AI145" i="1"/>
  <c r="AM145" i="1"/>
  <c r="AQ145" i="1"/>
  <c r="AU145" i="1"/>
  <c r="AY145" i="1"/>
  <c r="D145" i="1"/>
  <c r="H145" i="1"/>
  <c r="L145" i="1"/>
  <c r="P145" i="1"/>
  <c r="T145" i="1"/>
  <c r="X145" i="1"/>
  <c r="AB145" i="1"/>
  <c r="AF145" i="1"/>
  <c r="AJ145" i="1"/>
  <c r="AN145" i="1"/>
  <c r="AR145" i="1"/>
  <c r="AV145" i="1"/>
  <c r="AZ145" i="1"/>
  <c r="C145" i="1"/>
  <c r="B146" i="1"/>
  <c r="A149" i="1"/>
  <c r="D146" i="1"/>
  <c r="H146" i="1"/>
  <c r="L146" i="1"/>
  <c r="P146" i="1"/>
  <c r="T146" i="1"/>
  <c r="X146" i="1"/>
  <c r="AB146" i="1"/>
  <c r="AF146" i="1"/>
  <c r="AJ146" i="1"/>
  <c r="AN146" i="1"/>
  <c r="AR146" i="1"/>
  <c r="AV146" i="1"/>
  <c r="AZ146" i="1"/>
  <c r="E146" i="1"/>
  <c r="I146" i="1"/>
  <c r="M146" i="1"/>
  <c r="Q146" i="1"/>
  <c r="U146" i="1"/>
  <c r="Y146" i="1"/>
  <c r="AC146" i="1"/>
  <c r="AG146" i="1"/>
  <c r="AK146" i="1"/>
  <c r="AO146" i="1"/>
  <c r="AS146" i="1"/>
  <c r="AW146" i="1"/>
  <c r="F146" i="1"/>
  <c r="J146" i="1"/>
  <c r="N146" i="1"/>
  <c r="R146" i="1"/>
  <c r="V146" i="1"/>
  <c r="Z146" i="1"/>
  <c r="AD146" i="1"/>
  <c r="AH146" i="1"/>
  <c r="AL146" i="1"/>
  <c r="AP146" i="1"/>
  <c r="AT146" i="1"/>
  <c r="AX146" i="1"/>
  <c r="G146" i="1"/>
  <c r="K146" i="1"/>
  <c r="O146" i="1"/>
  <c r="S146" i="1"/>
  <c r="W146" i="1"/>
  <c r="AA146" i="1"/>
  <c r="AE146" i="1"/>
  <c r="AI146" i="1"/>
  <c r="AM146" i="1"/>
  <c r="AQ146" i="1"/>
  <c r="AU146" i="1"/>
  <c r="AY146" i="1"/>
  <c r="C146" i="1"/>
  <c r="B147" i="1"/>
  <c r="A150" i="1"/>
  <c r="G147" i="1"/>
  <c r="K147" i="1"/>
  <c r="O147" i="1"/>
  <c r="S147" i="1"/>
  <c r="W147" i="1"/>
  <c r="AA147" i="1"/>
  <c r="AE147" i="1"/>
  <c r="AI147" i="1"/>
  <c r="AM147" i="1"/>
  <c r="AQ147" i="1"/>
  <c r="AU147" i="1"/>
  <c r="AY147" i="1"/>
  <c r="D147" i="1"/>
  <c r="H147" i="1"/>
  <c r="L147" i="1"/>
  <c r="P147" i="1"/>
  <c r="T147" i="1"/>
  <c r="X147" i="1"/>
  <c r="AB147" i="1"/>
  <c r="AF147" i="1"/>
  <c r="AJ147" i="1"/>
  <c r="AN147" i="1"/>
  <c r="AR147" i="1"/>
  <c r="AV147" i="1"/>
  <c r="AZ147" i="1"/>
  <c r="E147" i="1"/>
  <c r="I147" i="1"/>
  <c r="M147" i="1"/>
  <c r="Q147" i="1"/>
  <c r="U147" i="1"/>
  <c r="Y147" i="1"/>
  <c r="AC147" i="1"/>
  <c r="AG147" i="1"/>
  <c r="AK147" i="1"/>
  <c r="AO147" i="1"/>
  <c r="AS147" i="1"/>
  <c r="AW147" i="1"/>
  <c r="F147" i="1"/>
  <c r="J147" i="1"/>
  <c r="N147" i="1"/>
  <c r="R147" i="1"/>
  <c r="V147" i="1"/>
  <c r="Z147" i="1"/>
  <c r="AD147" i="1"/>
  <c r="AH147" i="1"/>
  <c r="AL147" i="1"/>
  <c r="AP147" i="1"/>
  <c r="AT147" i="1"/>
  <c r="AX147" i="1"/>
  <c r="C147" i="1"/>
  <c r="B148" i="1"/>
  <c r="A151" i="1"/>
  <c r="F148" i="1"/>
  <c r="J148" i="1"/>
  <c r="N148" i="1"/>
  <c r="R148" i="1"/>
  <c r="V148" i="1"/>
  <c r="Z148" i="1"/>
  <c r="AD148" i="1"/>
  <c r="AH148" i="1"/>
  <c r="AL148" i="1"/>
  <c r="AP148" i="1"/>
  <c r="AT148" i="1"/>
  <c r="AX148" i="1"/>
  <c r="G148" i="1"/>
  <c r="K148" i="1"/>
  <c r="O148" i="1"/>
  <c r="S148" i="1"/>
  <c r="W148" i="1"/>
  <c r="AA148" i="1"/>
  <c r="AE148" i="1"/>
  <c r="AI148" i="1"/>
  <c r="AM148" i="1"/>
  <c r="AQ148" i="1"/>
  <c r="AU148" i="1"/>
  <c r="AY148" i="1"/>
  <c r="D148" i="1"/>
  <c r="H148" i="1"/>
  <c r="L148" i="1"/>
  <c r="P148" i="1"/>
  <c r="T148" i="1"/>
  <c r="X148" i="1"/>
  <c r="AB148" i="1"/>
  <c r="AF148" i="1"/>
  <c r="AJ148" i="1"/>
  <c r="AN148" i="1"/>
  <c r="AR148" i="1"/>
  <c r="AV148" i="1"/>
  <c r="AZ148" i="1"/>
  <c r="E148" i="1"/>
  <c r="I148" i="1"/>
  <c r="M148" i="1"/>
  <c r="Q148" i="1"/>
  <c r="U148" i="1"/>
  <c r="Y148" i="1"/>
  <c r="AC148" i="1"/>
  <c r="AG148" i="1"/>
  <c r="AK148" i="1"/>
  <c r="AO148" i="1"/>
  <c r="AS148" i="1"/>
  <c r="AW148" i="1"/>
  <c r="C148" i="1"/>
  <c r="B149" i="1"/>
  <c r="A152" i="1"/>
  <c r="E149" i="1"/>
  <c r="I149" i="1"/>
  <c r="M149" i="1"/>
  <c r="Q149" i="1"/>
  <c r="U149" i="1"/>
  <c r="Y149" i="1"/>
  <c r="AC149" i="1"/>
  <c r="AG149" i="1"/>
  <c r="AK149" i="1"/>
  <c r="AO149" i="1"/>
  <c r="AS149" i="1"/>
  <c r="AW149" i="1"/>
  <c r="F149" i="1"/>
  <c r="J149" i="1"/>
  <c r="N149" i="1"/>
  <c r="R149" i="1"/>
  <c r="V149" i="1"/>
  <c r="Z149" i="1"/>
  <c r="AD149" i="1"/>
  <c r="AH149" i="1"/>
  <c r="AL149" i="1"/>
  <c r="AP149" i="1"/>
  <c r="AT149" i="1"/>
  <c r="AX149" i="1"/>
  <c r="G149" i="1"/>
  <c r="K149" i="1"/>
  <c r="O149" i="1"/>
  <c r="S149" i="1"/>
  <c r="W149" i="1"/>
  <c r="AA149" i="1"/>
  <c r="AE149" i="1"/>
  <c r="AI149" i="1"/>
  <c r="AM149" i="1"/>
  <c r="AQ149" i="1"/>
  <c r="AU149" i="1"/>
  <c r="AY149" i="1"/>
  <c r="D149" i="1"/>
  <c r="H149" i="1"/>
  <c r="L149" i="1"/>
  <c r="P149" i="1"/>
  <c r="T149" i="1"/>
  <c r="X149" i="1"/>
  <c r="AB149" i="1"/>
  <c r="AF149" i="1"/>
  <c r="AJ149" i="1"/>
  <c r="AN149" i="1"/>
  <c r="AR149" i="1"/>
  <c r="AV149" i="1"/>
  <c r="AZ149" i="1"/>
  <c r="C149" i="1"/>
  <c r="B150" i="1"/>
  <c r="A153" i="1"/>
  <c r="D150" i="1"/>
  <c r="H150" i="1"/>
  <c r="L150" i="1"/>
  <c r="P150" i="1"/>
  <c r="T150" i="1"/>
  <c r="X150" i="1"/>
  <c r="AB150" i="1"/>
  <c r="AF150" i="1"/>
  <c r="AJ150" i="1"/>
  <c r="AN150" i="1"/>
  <c r="AR150" i="1"/>
  <c r="AV150" i="1"/>
  <c r="AZ150" i="1"/>
  <c r="E150" i="1"/>
  <c r="I150" i="1"/>
  <c r="M150" i="1"/>
  <c r="Q150" i="1"/>
  <c r="U150" i="1"/>
  <c r="Y150" i="1"/>
  <c r="AC150" i="1"/>
  <c r="AG150" i="1"/>
  <c r="AK150" i="1"/>
  <c r="AO150" i="1"/>
  <c r="AS150" i="1"/>
  <c r="AW150" i="1"/>
  <c r="F150" i="1"/>
  <c r="J150" i="1"/>
  <c r="N150" i="1"/>
  <c r="R150" i="1"/>
  <c r="V150" i="1"/>
  <c r="Z150" i="1"/>
  <c r="AD150" i="1"/>
  <c r="AH150" i="1"/>
  <c r="AL150" i="1"/>
  <c r="AP150" i="1"/>
  <c r="AT150" i="1"/>
  <c r="AX150" i="1"/>
  <c r="G150" i="1"/>
  <c r="K150" i="1"/>
  <c r="O150" i="1"/>
  <c r="S150" i="1"/>
  <c r="W150" i="1"/>
  <c r="AA150" i="1"/>
  <c r="AE150" i="1"/>
  <c r="AI150" i="1"/>
  <c r="AM150" i="1"/>
  <c r="AQ150" i="1"/>
  <c r="AU150" i="1"/>
  <c r="AY150" i="1"/>
  <c r="C150" i="1"/>
  <c r="B151" i="1"/>
  <c r="A154" i="1"/>
  <c r="G151" i="1"/>
  <c r="K151" i="1"/>
  <c r="O151" i="1"/>
  <c r="S151" i="1"/>
  <c r="W151" i="1"/>
  <c r="AA151" i="1"/>
  <c r="AE151" i="1"/>
  <c r="AI151" i="1"/>
  <c r="AM151" i="1"/>
  <c r="AQ151" i="1"/>
  <c r="AU151" i="1"/>
  <c r="AY151" i="1"/>
  <c r="D151" i="1"/>
  <c r="H151" i="1"/>
  <c r="L151" i="1"/>
  <c r="P151" i="1"/>
  <c r="T151" i="1"/>
  <c r="X151" i="1"/>
  <c r="AB151" i="1"/>
  <c r="AF151" i="1"/>
  <c r="AJ151" i="1"/>
  <c r="AN151" i="1"/>
  <c r="AR151" i="1"/>
  <c r="AV151" i="1"/>
  <c r="AZ151" i="1"/>
  <c r="E151" i="1"/>
  <c r="I151" i="1"/>
  <c r="M151" i="1"/>
  <c r="Q151" i="1"/>
  <c r="U151" i="1"/>
  <c r="Y151" i="1"/>
  <c r="AC151" i="1"/>
  <c r="AG151" i="1"/>
  <c r="AK151" i="1"/>
  <c r="AO151" i="1"/>
  <c r="AS151" i="1"/>
  <c r="AW151" i="1"/>
  <c r="F151" i="1"/>
  <c r="J151" i="1"/>
  <c r="N151" i="1"/>
  <c r="R151" i="1"/>
  <c r="V151" i="1"/>
  <c r="Z151" i="1"/>
  <c r="AD151" i="1"/>
  <c r="AH151" i="1"/>
  <c r="AL151" i="1"/>
  <c r="AP151" i="1"/>
  <c r="AT151" i="1"/>
  <c r="AX151" i="1"/>
  <c r="C151" i="1"/>
  <c r="B152" i="1"/>
  <c r="A155" i="1"/>
  <c r="F152" i="1"/>
  <c r="J152" i="1"/>
  <c r="N152" i="1"/>
  <c r="R152" i="1"/>
  <c r="V152" i="1"/>
  <c r="Z152" i="1"/>
  <c r="AD152" i="1"/>
  <c r="AH152" i="1"/>
  <c r="AL152" i="1"/>
  <c r="AP152" i="1"/>
  <c r="AT152" i="1"/>
  <c r="AX152" i="1"/>
  <c r="G152" i="1"/>
  <c r="K152" i="1"/>
  <c r="O152" i="1"/>
  <c r="S152" i="1"/>
  <c r="W152" i="1"/>
  <c r="AA152" i="1"/>
  <c r="AE152" i="1"/>
  <c r="AI152" i="1"/>
  <c r="AM152" i="1"/>
  <c r="AQ152" i="1"/>
  <c r="AU152" i="1"/>
  <c r="AY152" i="1"/>
  <c r="D152" i="1"/>
  <c r="H152" i="1"/>
  <c r="L152" i="1"/>
  <c r="P152" i="1"/>
  <c r="T152" i="1"/>
  <c r="X152" i="1"/>
  <c r="AB152" i="1"/>
  <c r="AF152" i="1"/>
  <c r="AJ152" i="1"/>
  <c r="AN152" i="1"/>
  <c r="AR152" i="1"/>
  <c r="AV152" i="1"/>
  <c r="AZ152" i="1"/>
  <c r="E152" i="1"/>
  <c r="I152" i="1"/>
  <c r="M152" i="1"/>
  <c r="Q152" i="1"/>
  <c r="U152" i="1"/>
  <c r="Y152" i="1"/>
  <c r="AC152" i="1"/>
  <c r="AG152" i="1"/>
  <c r="AK152" i="1"/>
  <c r="AO152" i="1"/>
  <c r="AS152" i="1"/>
  <c r="AW152" i="1"/>
  <c r="C152" i="1"/>
  <c r="B153" i="1"/>
  <c r="A156" i="1"/>
  <c r="E153" i="1"/>
  <c r="I153" i="1"/>
  <c r="M153" i="1"/>
  <c r="Q153" i="1"/>
  <c r="U153" i="1"/>
  <c r="Y153" i="1"/>
  <c r="AC153" i="1"/>
  <c r="AG153" i="1"/>
  <c r="AK153" i="1"/>
  <c r="AO153" i="1"/>
  <c r="AS153" i="1"/>
  <c r="AW153" i="1"/>
  <c r="F153" i="1"/>
  <c r="J153" i="1"/>
  <c r="N153" i="1"/>
  <c r="R153" i="1"/>
  <c r="V153" i="1"/>
  <c r="Z153" i="1"/>
  <c r="AD153" i="1"/>
  <c r="AH153" i="1"/>
  <c r="AL153" i="1"/>
  <c r="AP153" i="1"/>
  <c r="AT153" i="1"/>
  <c r="AX153" i="1"/>
  <c r="G153" i="1"/>
  <c r="K153" i="1"/>
  <c r="O153" i="1"/>
  <c r="D153" i="1"/>
  <c r="H153" i="1"/>
  <c r="L153" i="1"/>
  <c r="P153" i="1"/>
  <c r="T153" i="1"/>
  <c r="X153" i="1"/>
  <c r="AB153" i="1"/>
  <c r="AF153" i="1"/>
  <c r="AJ153" i="1"/>
  <c r="AN153" i="1"/>
  <c r="AR153" i="1"/>
  <c r="AV153" i="1"/>
  <c r="AZ153" i="1"/>
  <c r="S153" i="1"/>
  <c r="AI153" i="1"/>
  <c r="AY153" i="1"/>
  <c r="W153" i="1"/>
  <c r="AM153" i="1"/>
  <c r="AA153" i="1"/>
  <c r="AQ153" i="1"/>
  <c r="AE153" i="1"/>
  <c r="AU153" i="1"/>
  <c r="C153" i="1"/>
  <c r="B154" i="1"/>
  <c r="A157" i="1"/>
  <c r="D154" i="1"/>
  <c r="H154" i="1"/>
  <c r="L154" i="1"/>
  <c r="P154" i="1"/>
  <c r="T154" i="1"/>
  <c r="X154" i="1"/>
  <c r="AB154" i="1"/>
  <c r="AF154" i="1"/>
  <c r="AJ154" i="1"/>
  <c r="AN154" i="1"/>
  <c r="AR154" i="1"/>
  <c r="AV154" i="1"/>
  <c r="AZ154" i="1"/>
  <c r="E154" i="1"/>
  <c r="I154" i="1"/>
  <c r="M154" i="1"/>
  <c r="Q154" i="1"/>
  <c r="U154" i="1"/>
  <c r="Y154" i="1"/>
  <c r="AC154" i="1"/>
  <c r="AG154" i="1"/>
  <c r="AK154" i="1"/>
  <c r="AO154" i="1"/>
  <c r="AS154" i="1"/>
  <c r="AW154" i="1"/>
  <c r="G154" i="1"/>
  <c r="K154" i="1"/>
  <c r="O154" i="1"/>
  <c r="S154" i="1"/>
  <c r="W154" i="1"/>
  <c r="AA154" i="1"/>
  <c r="AE154" i="1"/>
  <c r="AI154" i="1"/>
  <c r="AM154" i="1"/>
  <c r="AQ154" i="1"/>
  <c r="AU154" i="1"/>
  <c r="AY154" i="1"/>
  <c r="N154" i="1"/>
  <c r="AD154" i="1"/>
  <c r="AT154" i="1"/>
  <c r="R154" i="1"/>
  <c r="AH154" i="1"/>
  <c r="AX154" i="1"/>
  <c r="F154" i="1"/>
  <c r="V154" i="1"/>
  <c r="AL154" i="1"/>
  <c r="J154" i="1"/>
  <c r="Z154" i="1"/>
  <c r="AP154" i="1"/>
  <c r="C154" i="1"/>
  <c r="B155" i="1"/>
  <c r="A158" i="1"/>
  <c r="G155" i="1"/>
  <c r="K155" i="1"/>
  <c r="O155" i="1"/>
  <c r="S155" i="1"/>
  <c r="W155" i="1"/>
  <c r="AA155" i="1"/>
  <c r="AE155" i="1"/>
  <c r="AI155" i="1"/>
  <c r="AM155" i="1"/>
  <c r="AQ155" i="1"/>
  <c r="AU155" i="1"/>
  <c r="AY155" i="1"/>
  <c r="D155" i="1"/>
  <c r="H155" i="1"/>
  <c r="L155" i="1"/>
  <c r="P155" i="1"/>
  <c r="T155" i="1"/>
  <c r="X155" i="1"/>
  <c r="AB155" i="1"/>
  <c r="AF155" i="1"/>
  <c r="AJ155" i="1"/>
  <c r="AN155" i="1"/>
  <c r="AR155" i="1"/>
  <c r="AV155" i="1"/>
  <c r="F155" i="1"/>
  <c r="J155" i="1"/>
  <c r="N155" i="1"/>
  <c r="R155" i="1"/>
  <c r="V155" i="1"/>
  <c r="Z155" i="1"/>
  <c r="AD155" i="1"/>
  <c r="AH155" i="1"/>
  <c r="AL155" i="1"/>
  <c r="AP155" i="1"/>
  <c r="AT155" i="1"/>
  <c r="AX155" i="1"/>
  <c r="I155" i="1"/>
  <c r="Y155" i="1"/>
  <c r="AO155" i="1"/>
  <c r="M155" i="1"/>
  <c r="AC155" i="1"/>
  <c r="AS155" i="1"/>
  <c r="Q155" i="1"/>
  <c r="AG155" i="1"/>
  <c r="AW155" i="1"/>
  <c r="E155" i="1"/>
  <c r="U155" i="1"/>
  <c r="AK155" i="1"/>
  <c r="AZ155" i="1"/>
  <c r="C155" i="1"/>
  <c r="B156" i="1"/>
  <c r="A159" i="1"/>
  <c r="D156" i="1"/>
  <c r="H156" i="1"/>
  <c r="L156" i="1"/>
  <c r="P156" i="1"/>
  <c r="T156" i="1"/>
  <c r="X156" i="1"/>
  <c r="AB156" i="1"/>
  <c r="AF156" i="1"/>
  <c r="AJ156" i="1"/>
  <c r="AN156" i="1"/>
  <c r="AR156" i="1"/>
  <c r="AV156" i="1"/>
  <c r="AZ156" i="1"/>
  <c r="E156" i="1"/>
  <c r="I156" i="1"/>
  <c r="M156" i="1"/>
  <c r="Q156" i="1"/>
  <c r="U156" i="1"/>
  <c r="Y156" i="1"/>
  <c r="AC156" i="1"/>
  <c r="AG156" i="1"/>
  <c r="AK156" i="1"/>
  <c r="AO156" i="1"/>
  <c r="AS156" i="1"/>
  <c r="AW156" i="1"/>
  <c r="F156" i="1"/>
  <c r="J156" i="1"/>
  <c r="N156" i="1"/>
  <c r="R156" i="1"/>
  <c r="V156" i="1"/>
  <c r="Z156" i="1"/>
  <c r="AD156" i="1"/>
  <c r="AH156" i="1"/>
  <c r="AL156" i="1"/>
  <c r="AP156" i="1"/>
  <c r="AT156" i="1"/>
  <c r="AX156" i="1"/>
  <c r="G156" i="1"/>
  <c r="K156" i="1"/>
  <c r="O156" i="1"/>
  <c r="S156" i="1"/>
  <c r="W156" i="1"/>
  <c r="AA156" i="1"/>
  <c r="AE156" i="1"/>
  <c r="AI156" i="1"/>
  <c r="AM156" i="1"/>
  <c r="AQ156" i="1"/>
  <c r="AU156" i="1"/>
  <c r="AY156" i="1"/>
  <c r="C156" i="1"/>
  <c r="B157" i="1"/>
  <c r="A160" i="1"/>
  <c r="G157" i="1"/>
  <c r="K157" i="1"/>
  <c r="O157" i="1"/>
  <c r="S157" i="1"/>
  <c r="W157" i="1"/>
  <c r="AA157" i="1"/>
  <c r="AE157" i="1"/>
  <c r="AI157" i="1"/>
  <c r="AM157" i="1"/>
  <c r="AQ157" i="1"/>
  <c r="AU157" i="1"/>
  <c r="AY157" i="1"/>
  <c r="D157" i="1"/>
  <c r="H157" i="1"/>
  <c r="L157" i="1"/>
  <c r="P157" i="1"/>
  <c r="T157" i="1"/>
  <c r="X157" i="1"/>
  <c r="AB157" i="1"/>
  <c r="AF157" i="1"/>
  <c r="AJ157" i="1"/>
  <c r="AN157" i="1"/>
  <c r="AR157" i="1"/>
  <c r="AV157" i="1"/>
  <c r="AZ157" i="1"/>
  <c r="E157" i="1"/>
  <c r="I157" i="1"/>
  <c r="M157" i="1"/>
  <c r="Q157" i="1"/>
  <c r="U157" i="1"/>
  <c r="Y157" i="1"/>
  <c r="AC157" i="1"/>
  <c r="AG157" i="1"/>
  <c r="AK157" i="1"/>
  <c r="AO157" i="1"/>
  <c r="AS157" i="1"/>
  <c r="AW157" i="1"/>
  <c r="F157" i="1"/>
  <c r="J157" i="1"/>
  <c r="N157" i="1"/>
  <c r="R157" i="1"/>
  <c r="V157" i="1"/>
  <c r="Z157" i="1"/>
  <c r="AD157" i="1"/>
  <c r="AH157" i="1"/>
  <c r="AL157" i="1"/>
  <c r="AP157" i="1"/>
  <c r="AT157" i="1"/>
  <c r="AX157" i="1"/>
  <c r="C157" i="1"/>
  <c r="B158" i="1"/>
  <c r="A161" i="1"/>
  <c r="F158" i="1"/>
  <c r="J158" i="1"/>
  <c r="N158" i="1"/>
  <c r="R158" i="1"/>
  <c r="V158" i="1"/>
  <c r="Z158" i="1"/>
  <c r="AD158" i="1"/>
  <c r="AH158" i="1"/>
  <c r="AL158" i="1"/>
  <c r="AP158" i="1"/>
  <c r="AT158" i="1"/>
  <c r="AX158" i="1"/>
  <c r="G158" i="1"/>
  <c r="K158" i="1"/>
  <c r="O158" i="1"/>
  <c r="S158" i="1"/>
  <c r="W158" i="1"/>
  <c r="AA158" i="1"/>
  <c r="AE158" i="1"/>
  <c r="AI158" i="1"/>
  <c r="AM158" i="1"/>
  <c r="AQ158" i="1"/>
  <c r="AU158" i="1"/>
  <c r="AY158" i="1"/>
  <c r="D158" i="1"/>
  <c r="H158" i="1"/>
  <c r="L158" i="1"/>
  <c r="P158" i="1"/>
  <c r="T158" i="1"/>
  <c r="X158" i="1"/>
  <c r="AB158" i="1"/>
  <c r="AF158" i="1"/>
  <c r="AJ158" i="1"/>
  <c r="AN158" i="1"/>
  <c r="AR158" i="1"/>
  <c r="AV158" i="1"/>
  <c r="AZ158" i="1"/>
  <c r="E158" i="1"/>
  <c r="I158" i="1"/>
  <c r="M158" i="1"/>
  <c r="Q158" i="1"/>
  <c r="U158" i="1"/>
  <c r="Y158" i="1"/>
  <c r="AC158" i="1"/>
  <c r="AG158" i="1"/>
  <c r="AK158" i="1"/>
  <c r="AO158" i="1"/>
  <c r="AS158" i="1"/>
  <c r="AW158" i="1"/>
  <c r="C158" i="1"/>
  <c r="B159" i="1"/>
  <c r="A162" i="1"/>
  <c r="E159" i="1"/>
  <c r="I159" i="1"/>
  <c r="M159" i="1"/>
  <c r="Q159" i="1"/>
  <c r="U159" i="1"/>
  <c r="Y159" i="1"/>
  <c r="AC159" i="1"/>
  <c r="AG159" i="1"/>
  <c r="AK159" i="1"/>
  <c r="AO159" i="1"/>
  <c r="AS159" i="1"/>
  <c r="AW159" i="1"/>
  <c r="F159" i="1"/>
  <c r="J159" i="1"/>
  <c r="N159" i="1"/>
  <c r="R159" i="1"/>
  <c r="V159" i="1"/>
  <c r="Z159" i="1"/>
  <c r="AD159" i="1"/>
  <c r="AH159" i="1"/>
  <c r="AL159" i="1"/>
  <c r="AP159" i="1"/>
  <c r="AT159" i="1"/>
  <c r="AX159" i="1"/>
  <c r="G159" i="1"/>
  <c r="K159" i="1"/>
  <c r="O159" i="1"/>
  <c r="S159" i="1"/>
  <c r="W159" i="1"/>
  <c r="AA159" i="1"/>
  <c r="AE159" i="1"/>
  <c r="AI159" i="1"/>
  <c r="AM159" i="1"/>
  <c r="AQ159" i="1"/>
  <c r="AU159" i="1"/>
  <c r="AY159" i="1"/>
  <c r="D159" i="1"/>
  <c r="H159" i="1"/>
  <c r="L159" i="1"/>
  <c r="P159" i="1"/>
  <c r="T159" i="1"/>
  <c r="X159" i="1"/>
  <c r="AB159" i="1"/>
  <c r="AF159" i="1"/>
  <c r="AJ159" i="1"/>
  <c r="AN159" i="1"/>
  <c r="AR159" i="1"/>
  <c r="AV159" i="1"/>
  <c r="AZ159" i="1"/>
  <c r="C159" i="1"/>
  <c r="B160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D160" i="1"/>
  <c r="H160" i="1"/>
  <c r="L160" i="1"/>
  <c r="P160" i="1"/>
  <c r="T160" i="1"/>
  <c r="X160" i="1"/>
  <c r="AB160" i="1"/>
  <c r="AF160" i="1"/>
  <c r="AJ160" i="1"/>
  <c r="AN160" i="1"/>
  <c r="AR160" i="1"/>
  <c r="AV160" i="1"/>
  <c r="AZ160" i="1"/>
  <c r="E160" i="1"/>
  <c r="I160" i="1"/>
  <c r="M160" i="1"/>
  <c r="Q160" i="1"/>
  <c r="U160" i="1"/>
  <c r="Y160" i="1"/>
  <c r="AC160" i="1"/>
  <c r="AG160" i="1"/>
  <c r="AK160" i="1"/>
  <c r="AO160" i="1"/>
  <c r="AS160" i="1"/>
  <c r="AW160" i="1"/>
  <c r="F160" i="1"/>
  <c r="J160" i="1"/>
  <c r="N160" i="1"/>
  <c r="R160" i="1"/>
  <c r="V160" i="1"/>
  <c r="Z160" i="1"/>
  <c r="AD160" i="1"/>
  <c r="AH160" i="1"/>
  <c r="AL160" i="1"/>
  <c r="AP160" i="1"/>
  <c r="AT160" i="1"/>
  <c r="AX160" i="1"/>
  <c r="G160" i="1"/>
  <c r="K160" i="1"/>
  <c r="O160" i="1"/>
  <c r="S160" i="1"/>
  <c r="W160" i="1"/>
  <c r="AA160" i="1"/>
  <c r="AE160" i="1"/>
  <c r="AI160" i="1"/>
  <c r="AM160" i="1"/>
  <c r="AQ160" i="1"/>
  <c r="AU160" i="1"/>
  <c r="AY160" i="1"/>
  <c r="C160" i="1"/>
  <c r="B161" i="1"/>
  <c r="G161" i="1"/>
  <c r="K161" i="1"/>
  <c r="O161" i="1"/>
  <c r="S161" i="1"/>
  <c r="W161" i="1"/>
  <c r="AA161" i="1"/>
  <c r="AE161" i="1"/>
  <c r="AI161" i="1"/>
  <c r="AM161" i="1"/>
  <c r="AQ161" i="1"/>
  <c r="AU161" i="1"/>
  <c r="AY161" i="1"/>
  <c r="D161" i="1"/>
  <c r="H161" i="1"/>
  <c r="L161" i="1"/>
  <c r="P161" i="1"/>
  <c r="T161" i="1"/>
  <c r="X161" i="1"/>
  <c r="AB161" i="1"/>
  <c r="AF161" i="1"/>
  <c r="AJ161" i="1"/>
  <c r="AN161" i="1"/>
  <c r="AR161" i="1"/>
  <c r="AV161" i="1"/>
  <c r="AZ161" i="1"/>
  <c r="E161" i="1"/>
  <c r="I161" i="1"/>
  <c r="M161" i="1"/>
  <c r="Q161" i="1"/>
  <c r="U161" i="1"/>
  <c r="Y161" i="1"/>
  <c r="AC161" i="1"/>
  <c r="AG161" i="1"/>
  <c r="AK161" i="1"/>
  <c r="AO161" i="1"/>
  <c r="AS161" i="1"/>
  <c r="AW161" i="1"/>
  <c r="F161" i="1"/>
  <c r="J161" i="1"/>
  <c r="N161" i="1"/>
  <c r="R161" i="1"/>
  <c r="V161" i="1"/>
  <c r="Z161" i="1"/>
  <c r="AD161" i="1"/>
  <c r="AH161" i="1"/>
  <c r="AL161" i="1"/>
  <c r="AP161" i="1"/>
  <c r="AT161" i="1"/>
  <c r="AX161" i="1"/>
  <c r="C161" i="1"/>
  <c r="B162" i="1"/>
  <c r="F162" i="1"/>
  <c r="J162" i="1"/>
  <c r="N162" i="1"/>
  <c r="R162" i="1"/>
  <c r="V162" i="1"/>
  <c r="Z162" i="1"/>
  <c r="AD162" i="1"/>
  <c r="AH162" i="1"/>
  <c r="AL162" i="1"/>
  <c r="AP162" i="1"/>
  <c r="AT162" i="1"/>
  <c r="AX162" i="1"/>
  <c r="G162" i="1"/>
  <c r="K162" i="1"/>
  <c r="O162" i="1"/>
  <c r="S162" i="1"/>
  <c r="W162" i="1"/>
  <c r="AA162" i="1"/>
  <c r="AE162" i="1"/>
  <c r="AI162" i="1"/>
  <c r="AM162" i="1"/>
  <c r="AQ162" i="1"/>
  <c r="AU162" i="1"/>
  <c r="AY162" i="1"/>
  <c r="D162" i="1"/>
  <c r="H162" i="1"/>
  <c r="L162" i="1"/>
  <c r="P162" i="1"/>
  <c r="T162" i="1"/>
  <c r="X162" i="1"/>
  <c r="AB162" i="1"/>
  <c r="AF162" i="1"/>
  <c r="AJ162" i="1"/>
  <c r="AN162" i="1"/>
  <c r="AR162" i="1"/>
  <c r="AV162" i="1"/>
  <c r="AZ162" i="1"/>
  <c r="E162" i="1"/>
  <c r="I162" i="1"/>
  <c r="M162" i="1"/>
  <c r="Q162" i="1"/>
  <c r="U162" i="1"/>
  <c r="Y162" i="1"/>
  <c r="AC162" i="1"/>
  <c r="AG162" i="1"/>
  <c r="AK162" i="1"/>
  <c r="AO162" i="1"/>
  <c r="AS162" i="1"/>
  <c r="AW162" i="1"/>
  <c r="C162" i="1"/>
  <c r="B163" i="1"/>
  <c r="E163" i="1"/>
  <c r="I163" i="1"/>
  <c r="M163" i="1"/>
  <c r="Q163" i="1"/>
  <c r="U163" i="1"/>
  <c r="Y163" i="1"/>
  <c r="AC163" i="1"/>
  <c r="AG163" i="1"/>
  <c r="AK163" i="1"/>
  <c r="AO163" i="1"/>
  <c r="AS163" i="1"/>
  <c r="AW163" i="1"/>
  <c r="F163" i="1"/>
  <c r="J163" i="1"/>
  <c r="N163" i="1"/>
  <c r="R163" i="1"/>
  <c r="V163" i="1"/>
  <c r="Z163" i="1"/>
  <c r="AD163" i="1"/>
  <c r="AH163" i="1"/>
  <c r="AL163" i="1"/>
  <c r="AP163" i="1"/>
  <c r="AT163" i="1"/>
  <c r="AX163" i="1"/>
  <c r="G163" i="1"/>
  <c r="K163" i="1"/>
  <c r="O163" i="1"/>
  <c r="S163" i="1"/>
  <c r="W163" i="1"/>
  <c r="AA163" i="1"/>
  <c r="AE163" i="1"/>
  <c r="AI163" i="1"/>
  <c r="AM163" i="1"/>
  <c r="AQ163" i="1"/>
  <c r="AU163" i="1"/>
  <c r="AY163" i="1"/>
  <c r="D163" i="1"/>
  <c r="H163" i="1"/>
  <c r="L163" i="1"/>
  <c r="P163" i="1"/>
  <c r="T163" i="1"/>
  <c r="X163" i="1"/>
  <c r="AB163" i="1"/>
  <c r="AF163" i="1"/>
  <c r="AJ163" i="1"/>
  <c r="AN163" i="1"/>
  <c r="AR163" i="1"/>
  <c r="AV163" i="1"/>
  <c r="AZ163" i="1"/>
  <c r="C163" i="1"/>
  <c r="B164" i="1"/>
  <c r="D164" i="1"/>
  <c r="H164" i="1"/>
  <c r="L164" i="1"/>
  <c r="P164" i="1"/>
  <c r="T164" i="1"/>
  <c r="X164" i="1"/>
  <c r="AB164" i="1"/>
  <c r="AF164" i="1"/>
  <c r="AJ164" i="1"/>
  <c r="AN164" i="1"/>
  <c r="AR164" i="1"/>
  <c r="AV164" i="1"/>
  <c r="AZ164" i="1"/>
  <c r="E164" i="1"/>
  <c r="I164" i="1"/>
  <c r="M164" i="1"/>
  <c r="Q164" i="1"/>
  <c r="U164" i="1"/>
  <c r="Y164" i="1"/>
  <c r="AC164" i="1"/>
  <c r="AG164" i="1"/>
  <c r="AK164" i="1"/>
  <c r="AO164" i="1"/>
  <c r="AS164" i="1"/>
  <c r="AW164" i="1"/>
  <c r="F164" i="1"/>
  <c r="J164" i="1"/>
  <c r="N164" i="1"/>
  <c r="R164" i="1"/>
  <c r="V164" i="1"/>
  <c r="Z164" i="1"/>
  <c r="AD164" i="1"/>
  <c r="AH164" i="1"/>
  <c r="AL164" i="1"/>
  <c r="AP164" i="1"/>
  <c r="AT164" i="1"/>
  <c r="AX164" i="1"/>
  <c r="G164" i="1"/>
  <c r="K164" i="1"/>
  <c r="O164" i="1"/>
  <c r="S164" i="1"/>
  <c r="W164" i="1"/>
  <c r="AA164" i="1"/>
  <c r="AE164" i="1"/>
  <c r="AI164" i="1"/>
  <c r="AM164" i="1"/>
  <c r="AQ164" i="1"/>
  <c r="AU164" i="1"/>
  <c r="AY164" i="1"/>
  <c r="C164" i="1"/>
  <c r="B165" i="1"/>
  <c r="G165" i="1"/>
  <c r="K165" i="1"/>
  <c r="O165" i="1"/>
  <c r="S165" i="1"/>
  <c r="W165" i="1"/>
  <c r="AA165" i="1"/>
  <c r="AE165" i="1"/>
  <c r="AI165" i="1"/>
  <c r="AM165" i="1"/>
  <c r="AQ165" i="1"/>
  <c r="AU165" i="1"/>
  <c r="AY165" i="1"/>
  <c r="D165" i="1"/>
  <c r="H165" i="1"/>
  <c r="L165" i="1"/>
  <c r="P165" i="1"/>
  <c r="T165" i="1"/>
  <c r="X165" i="1"/>
  <c r="AB165" i="1"/>
  <c r="AF165" i="1"/>
  <c r="AJ165" i="1"/>
  <c r="AN165" i="1"/>
  <c r="AR165" i="1"/>
  <c r="AV165" i="1"/>
  <c r="AZ165" i="1"/>
  <c r="E165" i="1"/>
  <c r="I165" i="1"/>
  <c r="M165" i="1"/>
  <c r="Q165" i="1"/>
  <c r="U165" i="1"/>
  <c r="Y165" i="1"/>
  <c r="AC165" i="1"/>
  <c r="AG165" i="1"/>
  <c r="AK165" i="1"/>
  <c r="AO165" i="1"/>
  <c r="AS165" i="1"/>
  <c r="AW165" i="1"/>
  <c r="F165" i="1"/>
  <c r="J165" i="1"/>
  <c r="N165" i="1"/>
  <c r="R165" i="1"/>
  <c r="V165" i="1"/>
  <c r="Z165" i="1"/>
  <c r="AD165" i="1"/>
  <c r="AH165" i="1"/>
  <c r="AL165" i="1"/>
  <c r="AP165" i="1"/>
  <c r="AT165" i="1"/>
  <c r="AX165" i="1"/>
  <c r="C165" i="1"/>
  <c r="B166" i="1"/>
  <c r="F166" i="1"/>
  <c r="J166" i="1"/>
  <c r="N166" i="1"/>
  <c r="R166" i="1"/>
  <c r="V166" i="1"/>
  <c r="Z166" i="1"/>
  <c r="AD166" i="1"/>
  <c r="AH166" i="1"/>
  <c r="AL166" i="1"/>
  <c r="AP166" i="1"/>
  <c r="AT166" i="1"/>
  <c r="AX166" i="1"/>
  <c r="G166" i="1"/>
  <c r="K166" i="1"/>
  <c r="O166" i="1"/>
  <c r="S166" i="1"/>
  <c r="W166" i="1"/>
  <c r="AA166" i="1"/>
  <c r="AE166" i="1"/>
  <c r="AI166" i="1"/>
  <c r="AM166" i="1"/>
  <c r="AQ166" i="1"/>
  <c r="AU166" i="1"/>
  <c r="AY166" i="1"/>
  <c r="D166" i="1"/>
  <c r="H166" i="1"/>
  <c r="L166" i="1"/>
  <c r="P166" i="1"/>
  <c r="T166" i="1"/>
  <c r="X166" i="1"/>
  <c r="AB166" i="1"/>
  <c r="AF166" i="1"/>
  <c r="AJ166" i="1"/>
  <c r="AN166" i="1"/>
  <c r="AR166" i="1"/>
  <c r="AV166" i="1"/>
  <c r="AZ166" i="1"/>
  <c r="E166" i="1"/>
  <c r="I166" i="1"/>
  <c r="M166" i="1"/>
  <c r="Q166" i="1"/>
  <c r="U166" i="1"/>
  <c r="Y166" i="1"/>
  <c r="AC166" i="1"/>
  <c r="AG166" i="1"/>
  <c r="AK166" i="1"/>
  <c r="AO166" i="1"/>
  <c r="AS166" i="1"/>
  <c r="AW166" i="1"/>
  <c r="C166" i="1"/>
  <c r="B167" i="1"/>
  <c r="E167" i="1"/>
  <c r="I167" i="1"/>
  <c r="M167" i="1"/>
  <c r="Q167" i="1"/>
  <c r="U167" i="1"/>
  <c r="Y167" i="1"/>
  <c r="AC167" i="1"/>
  <c r="AG167" i="1"/>
  <c r="AK167" i="1"/>
  <c r="AO167" i="1"/>
  <c r="AS167" i="1"/>
  <c r="AW167" i="1"/>
  <c r="F167" i="1"/>
  <c r="J167" i="1"/>
  <c r="N167" i="1"/>
  <c r="R167" i="1"/>
  <c r="V167" i="1"/>
  <c r="Z167" i="1"/>
  <c r="AD167" i="1"/>
  <c r="AH167" i="1"/>
  <c r="AL167" i="1"/>
  <c r="AP167" i="1"/>
  <c r="AT167" i="1"/>
  <c r="AX167" i="1"/>
  <c r="G167" i="1"/>
  <c r="K167" i="1"/>
  <c r="O167" i="1"/>
  <c r="S167" i="1"/>
  <c r="W167" i="1"/>
  <c r="AA167" i="1"/>
  <c r="AE167" i="1"/>
  <c r="AI167" i="1"/>
  <c r="AM167" i="1"/>
  <c r="AQ167" i="1"/>
  <c r="AU167" i="1"/>
  <c r="AY167" i="1"/>
  <c r="D167" i="1"/>
  <c r="H167" i="1"/>
  <c r="L167" i="1"/>
  <c r="P167" i="1"/>
  <c r="T167" i="1"/>
  <c r="X167" i="1"/>
  <c r="AB167" i="1"/>
  <c r="AF167" i="1"/>
  <c r="AJ167" i="1"/>
  <c r="AN167" i="1"/>
  <c r="AR167" i="1"/>
  <c r="AV167" i="1"/>
  <c r="AZ167" i="1"/>
  <c r="C167" i="1"/>
  <c r="B168" i="1"/>
  <c r="D168" i="1"/>
  <c r="H168" i="1"/>
  <c r="L168" i="1"/>
  <c r="P168" i="1"/>
  <c r="T168" i="1"/>
  <c r="X168" i="1"/>
  <c r="AB168" i="1"/>
  <c r="AF168" i="1"/>
  <c r="AJ168" i="1"/>
  <c r="AN168" i="1"/>
  <c r="AR168" i="1"/>
  <c r="AV168" i="1"/>
  <c r="AZ168" i="1"/>
  <c r="E168" i="1"/>
  <c r="I168" i="1"/>
  <c r="M168" i="1"/>
  <c r="Q168" i="1"/>
  <c r="U168" i="1"/>
  <c r="Y168" i="1"/>
  <c r="AC168" i="1"/>
  <c r="AG168" i="1"/>
  <c r="AK168" i="1"/>
  <c r="AO168" i="1"/>
  <c r="AS168" i="1"/>
  <c r="AW168" i="1"/>
  <c r="F168" i="1"/>
  <c r="J168" i="1"/>
  <c r="N168" i="1"/>
  <c r="R168" i="1"/>
  <c r="V168" i="1"/>
  <c r="Z168" i="1"/>
  <c r="AD168" i="1"/>
  <c r="AH168" i="1"/>
  <c r="AL168" i="1"/>
  <c r="AP168" i="1"/>
  <c r="AT168" i="1"/>
  <c r="AX168" i="1"/>
  <c r="G168" i="1"/>
  <c r="K168" i="1"/>
  <c r="O168" i="1"/>
  <c r="S168" i="1"/>
  <c r="W168" i="1"/>
  <c r="AA168" i="1"/>
  <c r="AE168" i="1"/>
  <c r="AI168" i="1"/>
  <c r="AM168" i="1"/>
  <c r="AQ168" i="1"/>
  <c r="AU168" i="1"/>
  <c r="AY168" i="1"/>
  <c r="C168" i="1"/>
  <c r="B169" i="1"/>
  <c r="G169" i="1"/>
  <c r="K169" i="1"/>
  <c r="O169" i="1"/>
  <c r="S169" i="1"/>
  <c r="W169" i="1"/>
  <c r="AA169" i="1"/>
  <c r="AE169" i="1"/>
  <c r="AI169" i="1"/>
  <c r="AM169" i="1"/>
  <c r="AQ169" i="1"/>
  <c r="AU169" i="1"/>
  <c r="AY169" i="1"/>
  <c r="D169" i="1"/>
  <c r="H169" i="1"/>
  <c r="L169" i="1"/>
  <c r="P169" i="1"/>
  <c r="T169" i="1"/>
  <c r="X169" i="1"/>
  <c r="AB169" i="1"/>
  <c r="AF169" i="1"/>
  <c r="AJ169" i="1"/>
  <c r="AN169" i="1"/>
  <c r="AR169" i="1"/>
  <c r="AV169" i="1"/>
  <c r="AZ169" i="1"/>
  <c r="E169" i="1"/>
  <c r="I169" i="1"/>
  <c r="M169" i="1"/>
  <c r="Q169" i="1"/>
  <c r="U169" i="1"/>
  <c r="Y169" i="1"/>
  <c r="AC169" i="1"/>
  <c r="AG169" i="1"/>
  <c r="AK169" i="1"/>
  <c r="AO169" i="1"/>
  <c r="AS169" i="1"/>
  <c r="AW169" i="1"/>
  <c r="F169" i="1"/>
  <c r="J169" i="1"/>
  <c r="N169" i="1"/>
  <c r="R169" i="1"/>
  <c r="V169" i="1"/>
  <c r="Z169" i="1"/>
  <c r="AD169" i="1"/>
  <c r="AH169" i="1"/>
  <c r="AL169" i="1"/>
  <c r="AP169" i="1"/>
  <c r="AT169" i="1"/>
  <c r="AX169" i="1"/>
  <c r="C169" i="1"/>
  <c r="B170" i="1"/>
  <c r="F170" i="1"/>
  <c r="J170" i="1"/>
  <c r="N170" i="1"/>
  <c r="R170" i="1"/>
  <c r="V170" i="1"/>
  <c r="Z170" i="1"/>
  <c r="AD170" i="1"/>
  <c r="AH170" i="1"/>
  <c r="AL170" i="1"/>
  <c r="AP170" i="1"/>
  <c r="AT170" i="1"/>
  <c r="AX170" i="1"/>
  <c r="G170" i="1"/>
  <c r="K170" i="1"/>
  <c r="O170" i="1"/>
  <c r="S170" i="1"/>
  <c r="W170" i="1"/>
  <c r="AA170" i="1"/>
  <c r="AE170" i="1"/>
  <c r="AI170" i="1"/>
  <c r="AM170" i="1"/>
  <c r="AQ170" i="1"/>
  <c r="AU170" i="1"/>
  <c r="AY170" i="1"/>
  <c r="D170" i="1"/>
  <c r="H170" i="1"/>
  <c r="L170" i="1"/>
  <c r="P170" i="1"/>
  <c r="T170" i="1"/>
  <c r="X170" i="1"/>
  <c r="AB170" i="1"/>
  <c r="AF170" i="1"/>
  <c r="AJ170" i="1"/>
  <c r="AN170" i="1"/>
  <c r="AR170" i="1"/>
  <c r="AV170" i="1"/>
  <c r="AZ170" i="1"/>
  <c r="E170" i="1"/>
  <c r="I170" i="1"/>
  <c r="M170" i="1"/>
  <c r="Q170" i="1"/>
  <c r="U170" i="1"/>
  <c r="Y170" i="1"/>
  <c r="AC170" i="1"/>
  <c r="AG170" i="1"/>
  <c r="AK170" i="1"/>
  <c r="AO170" i="1"/>
  <c r="AS170" i="1"/>
  <c r="AW170" i="1"/>
  <c r="C170" i="1"/>
  <c r="B171" i="1"/>
  <c r="B172" i="1"/>
  <c r="D172" i="1"/>
  <c r="H172" i="1"/>
  <c r="L172" i="1"/>
  <c r="P172" i="1"/>
  <c r="T172" i="1"/>
  <c r="X172" i="1"/>
  <c r="AB172" i="1"/>
  <c r="AF172" i="1"/>
  <c r="AJ172" i="1"/>
  <c r="AN172" i="1"/>
  <c r="AR172" i="1"/>
  <c r="AV172" i="1"/>
  <c r="AZ172" i="1"/>
  <c r="E172" i="1"/>
  <c r="I172" i="1"/>
  <c r="M172" i="1"/>
  <c r="Q172" i="1"/>
  <c r="U172" i="1"/>
  <c r="Y172" i="1"/>
  <c r="AC172" i="1"/>
  <c r="AG172" i="1"/>
  <c r="AK172" i="1"/>
  <c r="AO172" i="1"/>
  <c r="AS172" i="1"/>
  <c r="AW172" i="1"/>
  <c r="F172" i="1"/>
  <c r="J172" i="1"/>
  <c r="N172" i="1"/>
  <c r="R172" i="1"/>
  <c r="V172" i="1"/>
  <c r="Z172" i="1"/>
  <c r="AD172" i="1"/>
  <c r="AH172" i="1"/>
  <c r="AL172" i="1"/>
  <c r="AP172" i="1"/>
  <c r="AT172" i="1"/>
  <c r="AX172" i="1"/>
  <c r="G172" i="1"/>
  <c r="K172" i="1"/>
  <c r="O172" i="1"/>
  <c r="S172" i="1"/>
  <c r="W172" i="1"/>
  <c r="AA172" i="1"/>
  <c r="AE172" i="1"/>
  <c r="AI172" i="1"/>
  <c r="AM172" i="1"/>
  <c r="AQ172" i="1"/>
  <c r="AU172" i="1"/>
  <c r="AY172" i="1"/>
  <c r="C172" i="1"/>
  <c r="E171" i="1"/>
  <c r="I171" i="1"/>
  <c r="M171" i="1"/>
  <c r="Q171" i="1"/>
  <c r="U171" i="1"/>
  <c r="Y171" i="1"/>
  <c r="AC171" i="1"/>
  <c r="AG171" i="1"/>
  <c r="AK171" i="1"/>
  <c r="AO171" i="1"/>
  <c r="AS171" i="1"/>
  <c r="AW171" i="1"/>
  <c r="F171" i="1"/>
  <c r="J171" i="1"/>
  <c r="N171" i="1"/>
  <c r="R171" i="1"/>
  <c r="V171" i="1"/>
  <c r="Z171" i="1"/>
  <c r="AD171" i="1"/>
  <c r="AH171" i="1"/>
  <c r="AL171" i="1"/>
  <c r="AP171" i="1"/>
  <c r="AT171" i="1"/>
  <c r="AX171" i="1"/>
  <c r="G171" i="1"/>
  <c r="K171" i="1"/>
  <c r="O171" i="1"/>
  <c r="S171" i="1"/>
  <c r="W171" i="1"/>
  <c r="AA171" i="1"/>
  <c r="AE171" i="1"/>
  <c r="AI171" i="1"/>
  <c r="AM171" i="1"/>
  <c r="AQ171" i="1"/>
  <c r="AU171" i="1"/>
  <c r="AY171" i="1"/>
  <c r="D171" i="1"/>
  <c r="H171" i="1"/>
  <c r="L171" i="1"/>
  <c r="P171" i="1"/>
  <c r="T171" i="1"/>
  <c r="X171" i="1"/>
  <c r="AB171" i="1"/>
  <c r="AF171" i="1"/>
  <c r="AJ171" i="1"/>
  <c r="AN171" i="1"/>
  <c r="AR171" i="1"/>
  <c r="AV171" i="1"/>
  <c r="AZ171" i="1"/>
  <c r="C171" i="1"/>
  <c r="B173" i="1"/>
  <c r="G173" i="1"/>
  <c r="K173" i="1"/>
  <c r="O173" i="1"/>
  <c r="S173" i="1"/>
  <c r="W173" i="1"/>
  <c r="AA173" i="1"/>
  <c r="AE173" i="1"/>
  <c r="AI173" i="1"/>
  <c r="AM173" i="1"/>
  <c r="AQ173" i="1"/>
  <c r="AU173" i="1"/>
  <c r="AY173" i="1"/>
  <c r="D173" i="1"/>
  <c r="H173" i="1"/>
  <c r="L173" i="1"/>
  <c r="P173" i="1"/>
  <c r="T173" i="1"/>
  <c r="X173" i="1"/>
  <c r="AB173" i="1"/>
  <c r="AF173" i="1"/>
  <c r="AJ173" i="1"/>
  <c r="AN173" i="1"/>
  <c r="AR173" i="1"/>
  <c r="AV173" i="1"/>
  <c r="AZ173" i="1"/>
  <c r="E173" i="1"/>
  <c r="I173" i="1"/>
  <c r="M173" i="1"/>
  <c r="Q173" i="1"/>
  <c r="U173" i="1"/>
  <c r="Y173" i="1"/>
  <c r="AC173" i="1"/>
  <c r="AG173" i="1"/>
  <c r="AK173" i="1"/>
  <c r="AO173" i="1"/>
  <c r="AS173" i="1"/>
  <c r="AW173" i="1"/>
  <c r="F173" i="1"/>
  <c r="J173" i="1"/>
  <c r="N173" i="1"/>
  <c r="R173" i="1"/>
  <c r="V173" i="1"/>
  <c r="Z173" i="1"/>
  <c r="AD173" i="1"/>
  <c r="AH173" i="1"/>
  <c r="AL173" i="1"/>
  <c r="AP173" i="1"/>
  <c r="AT173" i="1"/>
  <c r="AX173" i="1"/>
  <c r="C173" i="1"/>
  <c r="B174" i="1"/>
  <c r="F174" i="1"/>
  <c r="J174" i="1"/>
  <c r="N174" i="1"/>
  <c r="R174" i="1"/>
  <c r="V174" i="1"/>
  <c r="Z174" i="1"/>
  <c r="AD174" i="1"/>
  <c r="AH174" i="1"/>
  <c r="AL174" i="1"/>
  <c r="AP174" i="1"/>
  <c r="AT174" i="1"/>
  <c r="AX174" i="1"/>
  <c r="G174" i="1"/>
  <c r="K174" i="1"/>
  <c r="O174" i="1"/>
  <c r="S174" i="1"/>
  <c r="W174" i="1"/>
  <c r="AA174" i="1"/>
  <c r="AE174" i="1"/>
  <c r="AI174" i="1"/>
  <c r="AM174" i="1"/>
  <c r="AQ174" i="1"/>
  <c r="AU174" i="1"/>
  <c r="AY174" i="1"/>
  <c r="D174" i="1"/>
  <c r="H174" i="1"/>
  <c r="L174" i="1"/>
  <c r="P174" i="1"/>
  <c r="T174" i="1"/>
  <c r="X174" i="1"/>
  <c r="AB174" i="1"/>
  <c r="AF174" i="1"/>
  <c r="AJ174" i="1"/>
  <c r="AN174" i="1"/>
  <c r="AR174" i="1"/>
  <c r="AV174" i="1"/>
  <c r="AZ174" i="1"/>
  <c r="E174" i="1"/>
  <c r="I174" i="1"/>
  <c r="M174" i="1"/>
  <c r="Q174" i="1"/>
  <c r="U174" i="1"/>
  <c r="Y174" i="1"/>
  <c r="AC174" i="1"/>
  <c r="AG174" i="1"/>
  <c r="AK174" i="1"/>
  <c r="AO174" i="1"/>
  <c r="AS174" i="1"/>
  <c r="AW174" i="1"/>
  <c r="C174" i="1"/>
  <c r="B175" i="1"/>
  <c r="E175" i="1"/>
  <c r="I175" i="1"/>
  <c r="M175" i="1"/>
  <c r="Q175" i="1"/>
  <c r="U175" i="1"/>
  <c r="Y175" i="1"/>
  <c r="AC175" i="1"/>
  <c r="AG175" i="1"/>
  <c r="AK175" i="1"/>
  <c r="AO175" i="1"/>
  <c r="AS175" i="1"/>
  <c r="AW175" i="1"/>
  <c r="F175" i="1"/>
  <c r="J175" i="1"/>
  <c r="N175" i="1"/>
  <c r="R175" i="1"/>
  <c r="V175" i="1"/>
  <c r="Z175" i="1"/>
  <c r="AD175" i="1"/>
  <c r="AH175" i="1"/>
  <c r="AL175" i="1"/>
  <c r="AP175" i="1"/>
  <c r="AT175" i="1"/>
  <c r="AX175" i="1"/>
  <c r="G175" i="1"/>
  <c r="K175" i="1"/>
  <c r="O175" i="1"/>
  <c r="S175" i="1"/>
  <c r="W175" i="1"/>
  <c r="AA175" i="1"/>
  <c r="AE175" i="1"/>
  <c r="AI175" i="1"/>
  <c r="AM175" i="1"/>
  <c r="AQ175" i="1"/>
  <c r="AU175" i="1"/>
  <c r="AY175" i="1"/>
  <c r="D175" i="1"/>
  <c r="H175" i="1"/>
  <c r="L175" i="1"/>
  <c r="P175" i="1"/>
  <c r="T175" i="1"/>
  <c r="X175" i="1"/>
  <c r="AB175" i="1"/>
  <c r="AF175" i="1"/>
  <c r="AJ175" i="1"/>
  <c r="AN175" i="1"/>
  <c r="AR175" i="1"/>
  <c r="AV175" i="1"/>
  <c r="AZ175" i="1"/>
  <c r="C175" i="1"/>
  <c r="B176" i="1"/>
  <c r="D176" i="1"/>
  <c r="H176" i="1"/>
  <c r="L176" i="1"/>
  <c r="P176" i="1"/>
  <c r="T176" i="1"/>
  <c r="X176" i="1"/>
  <c r="AB176" i="1"/>
  <c r="AF176" i="1"/>
  <c r="AJ176" i="1"/>
  <c r="AN176" i="1"/>
  <c r="AR176" i="1"/>
  <c r="AV176" i="1"/>
  <c r="AZ176" i="1"/>
  <c r="E176" i="1"/>
  <c r="I176" i="1"/>
  <c r="M176" i="1"/>
  <c r="Q176" i="1"/>
  <c r="U176" i="1"/>
  <c r="Y176" i="1"/>
  <c r="AC176" i="1"/>
  <c r="AG176" i="1"/>
  <c r="AK176" i="1"/>
  <c r="AO176" i="1"/>
  <c r="AS176" i="1"/>
  <c r="AW176" i="1"/>
  <c r="F176" i="1"/>
  <c r="J176" i="1"/>
  <c r="N176" i="1"/>
  <c r="R176" i="1"/>
  <c r="V176" i="1"/>
  <c r="Z176" i="1"/>
  <c r="AD176" i="1"/>
  <c r="AH176" i="1"/>
  <c r="AL176" i="1"/>
  <c r="AP176" i="1"/>
  <c r="AT176" i="1"/>
  <c r="AX176" i="1"/>
  <c r="G176" i="1"/>
  <c r="K176" i="1"/>
  <c r="O176" i="1"/>
  <c r="S176" i="1"/>
  <c r="W176" i="1"/>
  <c r="AA176" i="1"/>
  <c r="AE176" i="1"/>
  <c r="AI176" i="1"/>
  <c r="AM176" i="1"/>
  <c r="AQ176" i="1"/>
  <c r="AU176" i="1"/>
  <c r="AY176" i="1"/>
  <c r="C176" i="1"/>
  <c r="B177" i="1"/>
  <c r="G177" i="1"/>
  <c r="K177" i="1"/>
  <c r="O177" i="1"/>
  <c r="S177" i="1"/>
  <c r="W177" i="1"/>
  <c r="AA177" i="1"/>
  <c r="AE177" i="1"/>
  <c r="AI177" i="1"/>
  <c r="AM177" i="1"/>
  <c r="AQ177" i="1"/>
  <c r="AU177" i="1"/>
  <c r="AY177" i="1"/>
  <c r="D177" i="1"/>
  <c r="H177" i="1"/>
  <c r="L177" i="1"/>
  <c r="P177" i="1"/>
  <c r="T177" i="1"/>
  <c r="X177" i="1"/>
  <c r="AB177" i="1"/>
  <c r="AF177" i="1"/>
  <c r="AJ177" i="1"/>
  <c r="AN177" i="1"/>
  <c r="AR177" i="1"/>
  <c r="AV177" i="1"/>
  <c r="AZ177" i="1"/>
  <c r="E177" i="1"/>
  <c r="I177" i="1"/>
  <c r="M177" i="1"/>
  <c r="Q177" i="1"/>
  <c r="U177" i="1"/>
  <c r="Y177" i="1"/>
  <c r="AC177" i="1"/>
  <c r="AG177" i="1"/>
  <c r="AK177" i="1"/>
  <c r="AO177" i="1"/>
  <c r="AS177" i="1"/>
  <c r="AW177" i="1"/>
  <c r="F177" i="1"/>
  <c r="J177" i="1"/>
  <c r="N177" i="1"/>
  <c r="R177" i="1"/>
  <c r="V177" i="1"/>
  <c r="Z177" i="1"/>
  <c r="AD177" i="1"/>
  <c r="AH177" i="1"/>
  <c r="AL177" i="1"/>
  <c r="AP177" i="1"/>
  <c r="AT177" i="1"/>
  <c r="AX177" i="1"/>
  <c r="C177" i="1"/>
  <c r="B178" i="1"/>
  <c r="F178" i="1"/>
  <c r="J178" i="1"/>
  <c r="N178" i="1"/>
  <c r="R178" i="1"/>
  <c r="V178" i="1"/>
  <c r="Z178" i="1"/>
  <c r="AD178" i="1"/>
  <c r="AH178" i="1"/>
  <c r="AL178" i="1"/>
  <c r="AP178" i="1"/>
  <c r="AT178" i="1"/>
  <c r="AX178" i="1"/>
  <c r="G178" i="1"/>
  <c r="K178" i="1"/>
  <c r="O178" i="1"/>
  <c r="S178" i="1"/>
  <c r="W178" i="1"/>
  <c r="AA178" i="1"/>
  <c r="AE178" i="1"/>
  <c r="AI178" i="1"/>
  <c r="AM178" i="1"/>
  <c r="AQ178" i="1"/>
  <c r="AU178" i="1"/>
  <c r="AY178" i="1"/>
  <c r="D178" i="1"/>
  <c r="H178" i="1"/>
  <c r="L178" i="1"/>
  <c r="P178" i="1"/>
  <c r="T178" i="1"/>
  <c r="X178" i="1"/>
  <c r="AB178" i="1"/>
  <c r="AF178" i="1"/>
  <c r="AJ178" i="1"/>
  <c r="AN178" i="1"/>
  <c r="AR178" i="1"/>
  <c r="AV178" i="1"/>
  <c r="AZ178" i="1"/>
  <c r="E178" i="1"/>
  <c r="I178" i="1"/>
  <c r="M178" i="1"/>
  <c r="Q178" i="1"/>
  <c r="U178" i="1"/>
  <c r="Y178" i="1"/>
  <c r="AC178" i="1"/>
  <c r="AG178" i="1"/>
  <c r="AK178" i="1"/>
  <c r="AO178" i="1"/>
  <c r="AS178" i="1"/>
  <c r="AW178" i="1"/>
  <c r="C178" i="1"/>
  <c r="B179" i="1"/>
  <c r="E179" i="1"/>
  <c r="I179" i="1"/>
  <c r="M179" i="1"/>
  <c r="Q179" i="1"/>
  <c r="U179" i="1"/>
  <c r="Y179" i="1"/>
  <c r="AC179" i="1"/>
  <c r="AG179" i="1"/>
  <c r="AK179" i="1"/>
  <c r="AO179" i="1"/>
  <c r="AS179" i="1"/>
  <c r="AW179" i="1"/>
  <c r="F179" i="1"/>
  <c r="J179" i="1"/>
  <c r="N179" i="1"/>
  <c r="R179" i="1"/>
  <c r="V179" i="1"/>
  <c r="Z179" i="1"/>
  <c r="AD179" i="1"/>
  <c r="AH179" i="1"/>
  <c r="AL179" i="1"/>
  <c r="AP179" i="1"/>
  <c r="AT179" i="1"/>
  <c r="AX179" i="1"/>
  <c r="G179" i="1"/>
  <c r="K179" i="1"/>
  <c r="O179" i="1"/>
  <c r="S179" i="1"/>
  <c r="W179" i="1"/>
  <c r="AA179" i="1"/>
  <c r="AE179" i="1"/>
  <c r="AI179" i="1"/>
  <c r="AM179" i="1"/>
  <c r="AQ179" i="1"/>
  <c r="AU179" i="1"/>
  <c r="AY179" i="1"/>
  <c r="D179" i="1"/>
  <c r="H179" i="1"/>
  <c r="L179" i="1"/>
  <c r="P179" i="1"/>
  <c r="T179" i="1"/>
  <c r="X179" i="1"/>
  <c r="AB179" i="1"/>
  <c r="AF179" i="1"/>
  <c r="AJ179" i="1"/>
  <c r="AN179" i="1"/>
  <c r="AR179" i="1"/>
  <c r="AV179" i="1"/>
  <c r="AZ179" i="1"/>
  <c r="C179" i="1"/>
  <c r="B180" i="1"/>
  <c r="D180" i="1"/>
  <c r="H180" i="1"/>
  <c r="L180" i="1"/>
  <c r="P180" i="1"/>
  <c r="T180" i="1"/>
  <c r="X180" i="1"/>
  <c r="AB180" i="1"/>
  <c r="AF180" i="1"/>
  <c r="AJ180" i="1"/>
  <c r="AN180" i="1"/>
  <c r="AR180" i="1"/>
  <c r="AV180" i="1"/>
  <c r="AZ180" i="1"/>
  <c r="E180" i="1"/>
  <c r="I180" i="1"/>
  <c r="M180" i="1"/>
  <c r="Q180" i="1"/>
  <c r="U180" i="1"/>
  <c r="Y180" i="1"/>
  <c r="AC180" i="1"/>
  <c r="AG180" i="1"/>
  <c r="AK180" i="1"/>
  <c r="AO180" i="1"/>
  <c r="AS180" i="1"/>
  <c r="AW180" i="1"/>
  <c r="G180" i="1"/>
  <c r="K180" i="1"/>
  <c r="O180" i="1"/>
  <c r="S180" i="1"/>
  <c r="W180" i="1"/>
  <c r="AA180" i="1"/>
  <c r="AE180" i="1"/>
  <c r="AI180" i="1"/>
  <c r="AM180" i="1"/>
  <c r="AQ180" i="1"/>
  <c r="AU180" i="1"/>
  <c r="AY180" i="1"/>
  <c r="R180" i="1"/>
  <c r="AH180" i="1"/>
  <c r="AX180" i="1"/>
  <c r="F180" i="1"/>
  <c r="V180" i="1"/>
  <c r="AL180" i="1"/>
  <c r="J180" i="1"/>
  <c r="Z180" i="1"/>
  <c r="AP180" i="1"/>
  <c r="N180" i="1"/>
  <c r="AD180" i="1"/>
  <c r="AT180" i="1"/>
  <c r="C180" i="1"/>
  <c r="B181" i="1"/>
  <c r="G181" i="1"/>
  <c r="K181" i="1"/>
  <c r="O181" i="1"/>
  <c r="S181" i="1"/>
  <c r="W181" i="1"/>
  <c r="AA181" i="1"/>
  <c r="AE181" i="1"/>
  <c r="AI181" i="1"/>
  <c r="AM181" i="1"/>
  <c r="AQ181" i="1"/>
  <c r="AU181" i="1"/>
  <c r="AY181" i="1"/>
  <c r="D181" i="1"/>
  <c r="H181" i="1"/>
  <c r="L181" i="1"/>
  <c r="P181" i="1"/>
  <c r="T181" i="1"/>
  <c r="X181" i="1"/>
  <c r="AB181" i="1"/>
  <c r="AF181" i="1"/>
  <c r="AJ181" i="1"/>
  <c r="AN181" i="1"/>
  <c r="AR181" i="1"/>
  <c r="AV181" i="1"/>
  <c r="AZ181" i="1"/>
  <c r="I181" i="1"/>
  <c r="Q181" i="1"/>
  <c r="Y181" i="1"/>
  <c r="AG181" i="1"/>
  <c r="AO181" i="1"/>
  <c r="AW181" i="1"/>
  <c r="J181" i="1"/>
  <c r="R181" i="1"/>
  <c r="Z181" i="1"/>
  <c r="AH181" i="1"/>
  <c r="AP181" i="1"/>
  <c r="AX181" i="1"/>
  <c r="E181" i="1"/>
  <c r="M181" i="1"/>
  <c r="U181" i="1"/>
  <c r="AC181" i="1"/>
  <c r="AK181" i="1"/>
  <c r="AS181" i="1"/>
  <c r="F181" i="1"/>
  <c r="N181" i="1"/>
  <c r="V181" i="1"/>
  <c r="AD181" i="1"/>
  <c r="AL181" i="1"/>
  <c r="AT181" i="1"/>
  <c r="C181" i="1"/>
  <c r="B182" i="1"/>
  <c r="F182" i="1"/>
  <c r="J182" i="1"/>
  <c r="G182" i="1"/>
  <c r="L182" i="1"/>
  <c r="P182" i="1"/>
  <c r="T182" i="1"/>
  <c r="X182" i="1"/>
  <c r="AB182" i="1"/>
  <c r="AF182" i="1"/>
  <c r="AJ182" i="1"/>
  <c r="AN182" i="1"/>
  <c r="AR182" i="1"/>
  <c r="AV182" i="1"/>
  <c r="AZ182" i="1"/>
  <c r="H182" i="1"/>
  <c r="M182" i="1"/>
  <c r="Q182" i="1"/>
  <c r="U182" i="1"/>
  <c r="Y182" i="1"/>
  <c r="AC182" i="1"/>
  <c r="AG182" i="1"/>
  <c r="AK182" i="1"/>
  <c r="AO182" i="1"/>
  <c r="AS182" i="1"/>
  <c r="AW182" i="1"/>
  <c r="D182" i="1"/>
  <c r="I182" i="1"/>
  <c r="N182" i="1"/>
  <c r="R182" i="1"/>
  <c r="V182" i="1"/>
  <c r="Z182" i="1"/>
  <c r="AD182" i="1"/>
  <c r="AH182" i="1"/>
  <c r="AL182" i="1"/>
  <c r="AP182" i="1"/>
  <c r="AT182" i="1"/>
  <c r="AX182" i="1"/>
  <c r="E182" i="1"/>
  <c r="K182" i="1"/>
  <c r="O182" i="1"/>
  <c r="S182" i="1"/>
  <c r="W182" i="1"/>
  <c r="AA182" i="1"/>
  <c r="AE182" i="1"/>
  <c r="AI182" i="1"/>
  <c r="AM182" i="1"/>
  <c r="AQ182" i="1"/>
  <c r="AU182" i="1"/>
  <c r="AY182" i="1"/>
  <c r="C182" i="1"/>
  <c r="B183" i="1"/>
  <c r="G183" i="1"/>
  <c r="K183" i="1"/>
  <c r="O183" i="1"/>
  <c r="S183" i="1"/>
  <c r="W183" i="1"/>
  <c r="AA183" i="1"/>
  <c r="AE183" i="1"/>
  <c r="AI183" i="1"/>
  <c r="AM183" i="1"/>
  <c r="AQ183" i="1"/>
  <c r="AU183" i="1"/>
  <c r="AY183" i="1"/>
  <c r="D183" i="1"/>
  <c r="H183" i="1"/>
  <c r="L183" i="1"/>
  <c r="P183" i="1"/>
  <c r="T183" i="1"/>
  <c r="X183" i="1"/>
  <c r="AB183" i="1"/>
  <c r="AF183" i="1"/>
  <c r="AJ183" i="1"/>
  <c r="AN183" i="1"/>
  <c r="AR183" i="1"/>
  <c r="AV183" i="1"/>
  <c r="AZ183" i="1"/>
  <c r="E183" i="1"/>
  <c r="I183" i="1"/>
  <c r="M183" i="1"/>
  <c r="Q183" i="1"/>
  <c r="U183" i="1"/>
  <c r="Y183" i="1"/>
  <c r="AC183" i="1"/>
  <c r="AG183" i="1"/>
  <c r="AK183" i="1"/>
  <c r="AO183" i="1"/>
  <c r="AS183" i="1"/>
  <c r="AW183" i="1"/>
  <c r="F183" i="1"/>
  <c r="J183" i="1"/>
  <c r="N183" i="1"/>
  <c r="R183" i="1"/>
  <c r="V183" i="1"/>
  <c r="Z183" i="1"/>
  <c r="AD183" i="1"/>
  <c r="AH183" i="1"/>
  <c r="AL183" i="1"/>
  <c r="AP183" i="1"/>
  <c r="AT183" i="1"/>
  <c r="AX183" i="1"/>
  <c r="C183" i="1"/>
  <c r="B184" i="1"/>
  <c r="F184" i="1"/>
  <c r="J184" i="1"/>
  <c r="N184" i="1"/>
  <c r="R184" i="1"/>
  <c r="V184" i="1"/>
  <c r="Z184" i="1"/>
  <c r="AD184" i="1"/>
  <c r="AH184" i="1"/>
  <c r="AL184" i="1"/>
  <c r="AP184" i="1"/>
  <c r="AT184" i="1"/>
  <c r="AX184" i="1"/>
  <c r="G184" i="1"/>
  <c r="K184" i="1"/>
  <c r="O184" i="1"/>
  <c r="S184" i="1"/>
  <c r="W184" i="1"/>
  <c r="AA184" i="1"/>
  <c r="AE184" i="1"/>
  <c r="AI184" i="1"/>
  <c r="AM184" i="1"/>
  <c r="AQ184" i="1"/>
  <c r="AU184" i="1"/>
  <c r="AY184" i="1"/>
  <c r="D184" i="1"/>
  <c r="H184" i="1"/>
  <c r="L184" i="1"/>
  <c r="P184" i="1"/>
  <c r="T184" i="1"/>
  <c r="X184" i="1"/>
  <c r="AB184" i="1"/>
  <c r="AF184" i="1"/>
  <c r="AJ184" i="1"/>
  <c r="AN184" i="1"/>
  <c r="AR184" i="1"/>
  <c r="AV184" i="1"/>
  <c r="AZ184" i="1"/>
  <c r="E184" i="1"/>
  <c r="I184" i="1"/>
  <c r="M184" i="1"/>
  <c r="Q184" i="1"/>
  <c r="U184" i="1"/>
  <c r="Y184" i="1"/>
  <c r="AC184" i="1"/>
  <c r="AG184" i="1"/>
  <c r="AK184" i="1"/>
  <c r="AO184" i="1"/>
  <c r="AS184" i="1"/>
  <c r="AW184" i="1"/>
  <c r="C184" i="1"/>
  <c r="B185" i="1"/>
  <c r="E185" i="1"/>
  <c r="I185" i="1"/>
  <c r="M185" i="1"/>
  <c r="Q185" i="1"/>
  <c r="U185" i="1"/>
  <c r="Y185" i="1"/>
  <c r="AC185" i="1"/>
  <c r="AG185" i="1"/>
  <c r="AK185" i="1"/>
  <c r="AO185" i="1"/>
  <c r="AS185" i="1"/>
  <c r="AW185" i="1"/>
  <c r="F185" i="1"/>
  <c r="J185" i="1"/>
  <c r="N185" i="1"/>
  <c r="R185" i="1"/>
  <c r="V185" i="1"/>
  <c r="Z185" i="1"/>
  <c r="AD185" i="1"/>
  <c r="AH185" i="1"/>
  <c r="AL185" i="1"/>
  <c r="AP185" i="1"/>
  <c r="AT185" i="1"/>
  <c r="AX185" i="1"/>
  <c r="G185" i="1"/>
  <c r="K185" i="1"/>
  <c r="O185" i="1"/>
  <c r="S185" i="1"/>
  <c r="W185" i="1"/>
  <c r="AA185" i="1"/>
  <c r="AE185" i="1"/>
  <c r="AI185" i="1"/>
  <c r="AM185" i="1"/>
  <c r="AQ185" i="1"/>
  <c r="AU185" i="1"/>
  <c r="AY185" i="1"/>
  <c r="D185" i="1"/>
  <c r="H185" i="1"/>
  <c r="L185" i="1"/>
  <c r="P185" i="1"/>
  <c r="T185" i="1"/>
  <c r="X185" i="1"/>
  <c r="AB185" i="1"/>
  <c r="AF185" i="1"/>
  <c r="AJ185" i="1"/>
  <c r="AN185" i="1"/>
  <c r="AR185" i="1"/>
  <c r="AV185" i="1"/>
  <c r="AZ185" i="1"/>
  <c r="C185" i="1"/>
  <c r="B186" i="1"/>
  <c r="D186" i="1"/>
  <c r="H186" i="1"/>
  <c r="L186" i="1"/>
  <c r="P186" i="1"/>
  <c r="T186" i="1"/>
  <c r="X186" i="1"/>
  <c r="AB186" i="1"/>
  <c r="AF186" i="1"/>
  <c r="AJ186" i="1"/>
  <c r="AN186" i="1"/>
  <c r="AR186" i="1"/>
  <c r="AV186" i="1"/>
  <c r="AZ186" i="1"/>
  <c r="E186" i="1"/>
  <c r="I186" i="1"/>
  <c r="M186" i="1"/>
  <c r="Q186" i="1"/>
  <c r="U186" i="1"/>
  <c r="Y186" i="1"/>
  <c r="AC186" i="1"/>
  <c r="AG186" i="1"/>
  <c r="AK186" i="1"/>
  <c r="AO186" i="1"/>
  <c r="AS186" i="1"/>
  <c r="AW186" i="1"/>
  <c r="F186" i="1"/>
  <c r="J186" i="1"/>
  <c r="N186" i="1"/>
  <c r="R186" i="1"/>
  <c r="V186" i="1"/>
  <c r="Z186" i="1"/>
  <c r="AD186" i="1"/>
  <c r="AH186" i="1"/>
  <c r="AL186" i="1"/>
  <c r="AP186" i="1"/>
  <c r="AT186" i="1"/>
  <c r="AX186" i="1"/>
  <c r="G186" i="1"/>
  <c r="K186" i="1"/>
  <c r="O186" i="1"/>
  <c r="S186" i="1"/>
  <c r="W186" i="1"/>
  <c r="AA186" i="1"/>
  <c r="AE186" i="1"/>
  <c r="AI186" i="1"/>
  <c r="AM186" i="1"/>
  <c r="AQ186" i="1"/>
  <c r="AU186" i="1"/>
  <c r="AY186" i="1"/>
  <c r="C186" i="1"/>
  <c r="B187" i="1"/>
  <c r="G187" i="1"/>
  <c r="K187" i="1"/>
  <c r="O187" i="1"/>
  <c r="S187" i="1"/>
  <c r="W187" i="1"/>
  <c r="AA187" i="1"/>
  <c r="AE187" i="1"/>
  <c r="AI187" i="1"/>
  <c r="AM187" i="1"/>
  <c r="AQ187" i="1"/>
  <c r="AU187" i="1"/>
  <c r="AY187" i="1"/>
  <c r="D187" i="1"/>
  <c r="H187" i="1"/>
  <c r="L187" i="1"/>
  <c r="P187" i="1"/>
  <c r="T187" i="1"/>
  <c r="X187" i="1"/>
  <c r="AB187" i="1"/>
  <c r="AF187" i="1"/>
  <c r="AJ187" i="1"/>
  <c r="AN187" i="1"/>
  <c r="AR187" i="1"/>
  <c r="AV187" i="1"/>
  <c r="AZ187" i="1"/>
  <c r="E187" i="1"/>
  <c r="I187" i="1"/>
  <c r="M187" i="1"/>
  <c r="Q187" i="1"/>
  <c r="U187" i="1"/>
  <c r="Y187" i="1"/>
  <c r="AC187" i="1"/>
  <c r="AG187" i="1"/>
  <c r="AK187" i="1"/>
  <c r="AO187" i="1"/>
  <c r="AS187" i="1"/>
  <c r="AW187" i="1"/>
  <c r="F187" i="1"/>
  <c r="J187" i="1"/>
  <c r="N187" i="1"/>
  <c r="R187" i="1"/>
  <c r="V187" i="1"/>
  <c r="Z187" i="1"/>
  <c r="AD187" i="1"/>
  <c r="AH187" i="1"/>
  <c r="AL187" i="1"/>
  <c r="AP187" i="1"/>
  <c r="AT187" i="1"/>
  <c r="AX187" i="1"/>
  <c r="C187" i="1"/>
  <c r="B188" i="1"/>
  <c r="F188" i="1"/>
  <c r="J188" i="1"/>
  <c r="N188" i="1"/>
  <c r="R188" i="1"/>
  <c r="V188" i="1"/>
  <c r="Z188" i="1"/>
  <c r="AD188" i="1"/>
  <c r="AH188" i="1"/>
  <c r="AL188" i="1"/>
  <c r="AP188" i="1"/>
  <c r="AT188" i="1"/>
  <c r="AX188" i="1"/>
  <c r="G188" i="1"/>
  <c r="K188" i="1"/>
  <c r="O188" i="1"/>
  <c r="S188" i="1"/>
  <c r="W188" i="1"/>
  <c r="AA188" i="1"/>
  <c r="AE188" i="1"/>
  <c r="AI188" i="1"/>
  <c r="AM188" i="1"/>
  <c r="AQ188" i="1"/>
  <c r="AU188" i="1"/>
  <c r="AY188" i="1"/>
  <c r="D188" i="1"/>
  <c r="H188" i="1"/>
  <c r="L188" i="1"/>
  <c r="P188" i="1"/>
  <c r="T188" i="1"/>
  <c r="X188" i="1"/>
  <c r="AB188" i="1"/>
  <c r="AF188" i="1"/>
  <c r="AJ188" i="1"/>
  <c r="AN188" i="1"/>
  <c r="AR188" i="1"/>
  <c r="AV188" i="1"/>
  <c r="AZ188" i="1"/>
  <c r="E188" i="1"/>
  <c r="I188" i="1"/>
  <c r="M188" i="1"/>
  <c r="Q188" i="1"/>
  <c r="U188" i="1"/>
  <c r="Y188" i="1"/>
  <c r="AC188" i="1"/>
  <c r="AG188" i="1"/>
  <c r="AK188" i="1"/>
  <c r="AO188" i="1"/>
  <c r="AS188" i="1"/>
  <c r="AW188" i="1"/>
  <c r="C188" i="1"/>
  <c r="B189" i="1"/>
  <c r="E189" i="1"/>
  <c r="I189" i="1"/>
  <c r="M189" i="1"/>
  <c r="Q189" i="1"/>
  <c r="U189" i="1"/>
  <c r="Y189" i="1"/>
  <c r="AC189" i="1"/>
  <c r="AG189" i="1"/>
  <c r="AK189" i="1"/>
  <c r="AO189" i="1"/>
  <c r="AS189" i="1"/>
  <c r="AW189" i="1"/>
  <c r="F189" i="1"/>
  <c r="J189" i="1"/>
  <c r="N189" i="1"/>
  <c r="R189" i="1"/>
  <c r="V189" i="1"/>
  <c r="Z189" i="1"/>
  <c r="AD189" i="1"/>
  <c r="AH189" i="1"/>
  <c r="AL189" i="1"/>
  <c r="AP189" i="1"/>
  <c r="AT189" i="1"/>
  <c r="AX189" i="1"/>
  <c r="G189" i="1"/>
  <c r="K189" i="1"/>
  <c r="O189" i="1"/>
  <c r="S189" i="1"/>
  <c r="W189" i="1"/>
  <c r="AA189" i="1"/>
  <c r="AE189" i="1"/>
  <c r="AI189" i="1"/>
  <c r="AM189" i="1"/>
  <c r="AQ189" i="1"/>
  <c r="AU189" i="1"/>
  <c r="AY189" i="1"/>
  <c r="D189" i="1"/>
  <c r="H189" i="1"/>
  <c r="L189" i="1"/>
  <c r="P189" i="1"/>
  <c r="T189" i="1"/>
  <c r="X189" i="1"/>
  <c r="AB189" i="1"/>
  <c r="AF189" i="1"/>
  <c r="AJ189" i="1"/>
  <c r="AN189" i="1"/>
  <c r="AR189" i="1"/>
  <c r="AV189" i="1"/>
  <c r="AZ189" i="1"/>
  <c r="C189" i="1"/>
  <c r="B190" i="1"/>
  <c r="D190" i="1"/>
  <c r="H190" i="1"/>
  <c r="L190" i="1"/>
  <c r="P190" i="1"/>
  <c r="T190" i="1"/>
  <c r="X190" i="1"/>
  <c r="AB190" i="1"/>
  <c r="AF190" i="1"/>
  <c r="AJ190" i="1"/>
  <c r="AN190" i="1"/>
  <c r="AR190" i="1"/>
  <c r="AV190" i="1"/>
  <c r="AZ190" i="1"/>
  <c r="E190" i="1"/>
  <c r="I190" i="1"/>
  <c r="M190" i="1"/>
  <c r="Q190" i="1"/>
  <c r="U190" i="1"/>
  <c r="Y190" i="1"/>
  <c r="AC190" i="1"/>
  <c r="AG190" i="1"/>
  <c r="AK190" i="1"/>
  <c r="AO190" i="1"/>
  <c r="AS190" i="1"/>
  <c r="AW190" i="1"/>
  <c r="F190" i="1"/>
  <c r="J190" i="1"/>
  <c r="N190" i="1"/>
  <c r="R190" i="1"/>
  <c r="V190" i="1"/>
  <c r="Z190" i="1"/>
  <c r="AD190" i="1"/>
  <c r="AH190" i="1"/>
  <c r="AL190" i="1"/>
  <c r="AP190" i="1"/>
  <c r="AT190" i="1"/>
  <c r="AX190" i="1"/>
  <c r="G190" i="1"/>
  <c r="K190" i="1"/>
  <c r="O190" i="1"/>
  <c r="S190" i="1"/>
  <c r="W190" i="1"/>
  <c r="AA190" i="1"/>
  <c r="AE190" i="1"/>
  <c r="AI190" i="1"/>
  <c r="AM190" i="1"/>
  <c r="AQ190" i="1"/>
  <c r="AU190" i="1"/>
  <c r="AY190" i="1"/>
  <c r="C190" i="1"/>
  <c r="B191" i="1"/>
  <c r="G191" i="1"/>
  <c r="K191" i="1"/>
  <c r="O191" i="1"/>
  <c r="S191" i="1"/>
  <c r="W191" i="1"/>
  <c r="AA191" i="1"/>
  <c r="AE191" i="1"/>
  <c r="AI191" i="1"/>
  <c r="AM191" i="1"/>
  <c r="AQ191" i="1"/>
  <c r="AU191" i="1"/>
  <c r="AY191" i="1"/>
  <c r="D191" i="1"/>
  <c r="H191" i="1"/>
  <c r="L191" i="1"/>
  <c r="P191" i="1"/>
  <c r="T191" i="1"/>
  <c r="X191" i="1"/>
  <c r="AB191" i="1"/>
  <c r="AF191" i="1"/>
  <c r="AJ191" i="1"/>
  <c r="AN191" i="1"/>
  <c r="AR191" i="1"/>
  <c r="AV191" i="1"/>
  <c r="AZ191" i="1"/>
  <c r="E191" i="1"/>
  <c r="I191" i="1"/>
  <c r="M191" i="1"/>
  <c r="Q191" i="1"/>
  <c r="U191" i="1"/>
  <c r="Y191" i="1"/>
  <c r="AC191" i="1"/>
  <c r="AG191" i="1"/>
  <c r="AK191" i="1"/>
  <c r="AO191" i="1"/>
  <c r="AS191" i="1"/>
  <c r="AW191" i="1"/>
  <c r="F191" i="1"/>
  <c r="J191" i="1"/>
  <c r="N191" i="1"/>
  <c r="R191" i="1"/>
  <c r="V191" i="1"/>
  <c r="Z191" i="1"/>
  <c r="AD191" i="1"/>
  <c r="AH191" i="1"/>
  <c r="AL191" i="1"/>
  <c r="AP191" i="1"/>
  <c r="AT191" i="1"/>
  <c r="AX191" i="1"/>
  <c r="C191" i="1"/>
  <c r="B192" i="1"/>
  <c r="F192" i="1"/>
  <c r="J192" i="1"/>
  <c r="N192" i="1"/>
  <c r="R192" i="1"/>
  <c r="V192" i="1"/>
  <c r="Z192" i="1"/>
  <c r="AD192" i="1"/>
  <c r="AH192" i="1"/>
  <c r="AL192" i="1"/>
  <c r="AP192" i="1"/>
  <c r="AT192" i="1"/>
  <c r="AX192" i="1"/>
  <c r="G192" i="1"/>
  <c r="K192" i="1"/>
  <c r="O192" i="1"/>
  <c r="S192" i="1"/>
  <c r="W192" i="1"/>
  <c r="AA192" i="1"/>
  <c r="AE192" i="1"/>
  <c r="AI192" i="1"/>
  <c r="AM192" i="1"/>
  <c r="AQ192" i="1"/>
  <c r="AU192" i="1"/>
  <c r="AY192" i="1"/>
  <c r="D192" i="1"/>
  <c r="H192" i="1"/>
  <c r="L192" i="1"/>
  <c r="P192" i="1"/>
  <c r="T192" i="1"/>
  <c r="X192" i="1"/>
  <c r="AB192" i="1"/>
  <c r="AF192" i="1"/>
  <c r="AJ192" i="1"/>
  <c r="AN192" i="1"/>
  <c r="AR192" i="1"/>
  <c r="AV192" i="1"/>
  <c r="AZ192" i="1"/>
  <c r="E192" i="1"/>
  <c r="I192" i="1"/>
  <c r="M192" i="1"/>
  <c r="Q192" i="1"/>
  <c r="U192" i="1"/>
  <c r="Y192" i="1"/>
  <c r="AC192" i="1"/>
  <c r="AG192" i="1"/>
  <c r="AK192" i="1"/>
  <c r="AO192" i="1"/>
  <c r="AS192" i="1"/>
  <c r="AW192" i="1"/>
  <c r="C192" i="1"/>
  <c r="B193" i="1"/>
  <c r="E193" i="1"/>
  <c r="I193" i="1"/>
  <c r="M193" i="1"/>
  <c r="Q193" i="1"/>
  <c r="U193" i="1"/>
  <c r="Y193" i="1"/>
  <c r="AC193" i="1"/>
  <c r="AG193" i="1"/>
  <c r="AK193" i="1"/>
  <c r="AO193" i="1"/>
  <c r="AS193" i="1"/>
  <c r="AW193" i="1"/>
  <c r="F193" i="1"/>
  <c r="J193" i="1"/>
  <c r="N193" i="1"/>
  <c r="R193" i="1"/>
  <c r="V193" i="1"/>
  <c r="Z193" i="1"/>
  <c r="AD193" i="1"/>
  <c r="AH193" i="1"/>
  <c r="AL193" i="1"/>
  <c r="AP193" i="1"/>
  <c r="AT193" i="1"/>
  <c r="AX193" i="1"/>
  <c r="G193" i="1"/>
  <c r="K193" i="1"/>
  <c r="O193" i="1"/>
  <c r="S193" i="1"/>
  <c r="W193" i="1"/>
  <c r="AA193" i="1"/>
  <c r="AE193" i="1"/>
  <c r="AI193" i="1"/>
  <c r="AM193" i="1"/>
  <c r="AQ193" i="1"/>
  <c r="AU193" i="1"/>
  <c r="AY193" i="1"/>
  <c r="D193" i="1"/>
  <c r="H193" i="1"/>
  <c r="L193" i="1"/>
  <c r="P193" i="1"/>
  <c r="T193" i="1"/>
  <c r="X193" i="1"/>
  <c r="AB193" i="1"/>
  <c r="AF193" i="1"/>
  <c r="AJ193" i="1"/>
  <c r="AN193" i="1"/>
  <c r="AR193" i="1"/>
  <c r="AV193" i="1"/>
  <c r="AZ193" i="1"/>
  <c r="C193" i="1"/>
  <c r="B194" i="1"/>
  <c r="D194" i="1"/>
  <c r="H194" i="1"/>
  <c r="L194" i="1"/>
  <c r="P194" i="1"/>
  <c r="T194" i="1"/>
  <c r="X194" i="1"/>
  <c r="AB194" i="1"/>
  <c r="AF194" i="1"/>
  <c r="AJ194" i="1"/>
  <c r="AN194" i="1"/>
  <c r="AR194" i="1"/>
  <c r="AV194" i="1"/>
  <c r="AZ194" i="1"/>
  <c r="E194" i="1"/>
  <c r="I194" i="1"/>
  <c r="M194" i="1"/>
  <c r="Q194" i="1"/>
  <c r="U194" i="1"/>
  <c r="Y194" i="1"/>
  <c r="AC194" i="1"/>
  <c r="AG194" i="1"/>
  <c r="AK194" i="1"/>
  <c r="AO194" i="1"/>
  <c r="AS194" i="1"/>
  <c r="AW194" i="1"/>
  <c r="F194" i="1"/>
  <c r="J194" i="1"/>
  <c r="N194" i="1"/>
  <c r="R194" i="1"/>
  <c r="V194" i="1"/>
  <c r="Z194" i="1"/>
  <c r="AD194" i="1"/>
  <c r="AH194" i="1"/>
  <c r="AL194" i="1"/>
  <c r="AP194" i="1"/>
  <c r="AT194" i="1"/>
  <c r="AX194" i="1"/>
  <c r="G194" i="1"/>
  <c r="K194" i="1"/>
  <c r="O194" i="1"/>
  <c r="S194" i="1"/>
  <c r="W194" i="1"/>
  <c r="AA194" i="1"/>
  <c r="AE194" i="1"/>
  <c r="AI194" i="1"/>
  <c r="AM194" i="1"/>
  <c r="AQ194" i="1"/>
  <c r="AU194" i="1"/>
  <c r="AY194" i="1"/>
  <c r="C194" i="1"/>
  <c r="B195" i="1"/>
  <c r="G195" i="1"/>
  <c r="K195" i="1"/>
  <c r="O195" i="1"/>
  <c r="S195" i="1"/>
  <c r="W195" i="1"/>
  <c r="AA195" i="1"/>
  <c r="AE195" i="1"/>
  <c r="AI195" i="1"/>
  <c r="AM195" i="1"/>
  <c r="AQ195" i="1"/>
  <c r="AU195" i="1"/>
  <c r="AY195" i="1"/>
  <c r="D195" i="1"/>
  <c r="H195" i="1"/>
  <c r="L195" i="1"/>
  <c r="P195" i="1"/>
  <c r="T195" i="1"/>
  <c r="X195" i="1"/>
  <c r="AB195" i="1"/>
  <c r="AF195" i="1"/>
  <c r="AJ195" i="1"/>
  <c r="AN195" i="1"/>
  <c r="AR195" i="1"/>
  <c r="AV195" i="1"/>
  <c r="AZ195" i="1"/>
  <c r="E195" i="1"/>
  <c r="I195" i="1"/>
  <c r="M195" i="1"/>
  <c r="Q195" i="1"/>
  <c r="U195" i="1"/>
  <c r="Y195" i="1"/>
  <c r="AC195" i="1"/>
  <c r="AG195" i="1"/>
  <c r="AK195" i="1"/>
  <c r="AO195" i="1"/>
  <c r="AS195" i="1"/>
  <c r="AW195" i="1"/>
  <c r="F195" i="1"/>
  <c r="J195" i="1"/>
  <c r="N195" i="1"/>
  <c r="R195" i="1"/>
  <c r="V195" i="1"/>
  <c r="Z195" i="1"/>
  <c r="AD195" i="1"/>
  <c r="AH195" i="1"/>
  <c r="AL195" i="1"/>
  <c r="AP195" i="1"/>
  <c r="AT195" i="1"/>
  <c r="AX195" i="1"/>
  <c r="C195" i="1"/>
  <c r="B196" i="1"/>
  <c r="F196" i="1"/>
  <c r="J196" i="1"/>
  <c r="N196" i="1"/>
  <c r="R196" i="1"/>
  <c r="V196" i="1"/>
  <c r="Z196" i="1"/>
  <c r="AD196" i="1"/>
  <c r="AH196" i="1"/>
  <c r="AL196" i="1"/>
  <c r="AP196" i="1"/>
  <c r="AT196" i="1"/>
  <c r="AX196" i="1"/>
  <c r="G196" i="1"/>
  <c r="K196" i="1"/>
  <c r="O196" i="1"/>
  <c r="S196" i="1"/>
  <c r="W196" i="1"/>
  <c r="AA196" i="1"/>
  <c r="AE196" i="1"/>
  <c r="AI196" i="1"/>
  <c r="AM196" i="1"/>
  <c r="AQ196" i="1"/>
  <c r="AU196" i="1"/>
  <c r="AY196" i="1"/>
  <c r="D196" i="1"/>
  <c r="H196" i="1"/>
  <c r="L196" i="1"/>
  <c r="P196" i="1"/>
  <c r="T196" i="1"/>
  <c r="X196" i="1"/>
  <c r="AB196" i="1"/>
  <c r="AF196" i="1"/>
  <c r="AJ196" i="1"/>
  <c r="AN196" i="1"/>
  <c r="AR196" i="1"/>
  <c r="AV196" i="1"/>
  <c r="AZ196" i="1"/>
  <c r="E196" i="1"/>
  <c r="I196" i="1"/>
  <c r="M196" i="1"/>
  <c r="Q196" i="1"/>
  <c r="U196" i="1"/>
  <c r="Y196" i="1"/>
  <c r="AC196" i="1"/>
  <c r="AG196" i="1"/>
  <c r="AK196" i="1"/>
  <c r="AO196" i="1"/>
  <c r="AS196" i="1"/>
  <c r="AW196" i="1"/>
  <c r="C196" i="1"/>
  <c r="B197" i="1"/>
  <c r="E197" i="1"/>
  <c r="I197" i="1"/>
  <c r="M197" i="1"/>
  <c r="Q197" i="1"/>
  <c r="U197" i="1"/>
  <c r="Y197" i="1"/>
  <c r="AC197" i="1"/>
  <c r="AG197" i="1"/>
  <c r="AK197" i="1"/>
  <c r="AO197" i="1"/>
  <c r="AS197" i="1"/>
  <c r="AW197" i="1"/>
  <c r="F197" i="1"/>
  <c r="J197" i="1"/>
  <c r="N197" i="1"/>
  <c r="R197" i="1"/>
  <c r="V197" i="1"/>
  <c r="Z197" i="1"/>
  <c r="AD197" i="1"/>
  <c r="AH197" i="1"/>
  <c r="AL197" i="1"/>
  <c r="AP197" i="1"/>
  <c r="AT197" i="1"/>
  <c r="AX197" i="1"/>
  <c r="G197" i="1"/>
  <c r="K197" i="1"/>
  <c r="O197" i="1"/>
  <c r="S197" i="1"/>
  <c r="W197" i="1"/>
  <c r="AA197" i="1"/>
  <c r="AE197" i="1"/>
  <c r="AI197" i="1"/>
  <c r="AM197" i="1"/>
  <c r="AQ197" i="1"/>
  <c r="AU197" i="1"/>
  <c r="AY197" i="1"/>
  <c r="D197" i="1"/>
  <c r="H197" i="1"/>
  <c r="L197" i="1"/>
  <c r="P197" i="1"/>
  <c r="T197" i="1"/>
  <c r="X197" i="1"/>
  <c r="AB197" i="1"/>
  <c r="AF197" i="1"/>
  <c r="AJ197" i="1"/>
  <c r="AN197" i="1"/>
  <c r="AR197" i="1"/>
  <c r="AV197" i="1"/>
  <c r="AZ197" i="1"/>
  <c r="C197" i="1"/>
  <c r="B198" i="1"/>
  <c r="D198" i="1"/>
  <c r="H198" i="1"/>
  <c r="L198" i="1"/>
  <c r="P198" i="1"/>
  <c r="T198" i="1"/>
  <c r="X198" i="1"/>
  <c r="AB198" i="1"/>
  <c r="AF198" i="1"/>
  <c r="AJ198" i="1"/>
  <c r="AN198" i="1"/>
  <c r="AR198" i="1"/>
  <c r="AV198" i="1"/>
  <c r="AZ198" i="1"/>
  <c r="E198" i="1"/>
  <c r="I198" i="1"/>
  <c r="M198" i="1"/>
  <c r="Q198" i="1"/>
  <c r="U198" i="1"/>
  <c r="Y198" i="1"/>
  <c r="AC198" i="1"/>
  <c r="AG198" i="1"/>
  <c r="AK198" i="1"/>
  <c r="AO198" i="1"/>
  <c r="AS198" i="1"/>
  <c r="AW198" i="1"/>
  <c r="F198" i="1"/>
  <c r="J198" i="1"/>
  <c r="N198" i="1"/>
  <c r="R198" i="1"/>
  <c r="V198" i="1"/>
  <c r="Z198" i="1"/>
  <c r="AD198" i="1"/>
  <c r="AH198" i="1"/>
  <c r="AL198" i="1"/>
  <c r="AP198" i="1"/>
  <c r="AT198" i="1"/>
  <c r="AX198" i="1"/>
  <c r="G198" i="1"/>
  <c r="K198" i="1"/>
  <c r="O198" i="1"/>
  <c r="S198" i="1"/>
  <c r="W198" i="1"/>
  <c r="AA198" i="1"/>
  <c r="AE198" i="1"/>
  <c r="AI198" i="1"/>
  <c r="AM198" i="1"/>
  <c r="AQ198" i="1"/>
  <c r="AU198" i="1"/>
  <c r="AY198" i="1"/>
  <c r="C198" i="1"/>
  <c r="B199" i="1"/>
  <c r="G199" i="1"/>
  <c r="K199" i="1"/>
  <c r="O199" i="1"/>
  <c r="S199" i="1"/>
  <c r="W199" i="1"/>
  <c r="AA199" i="1"/>
  <c r="AE199" i="1"/>
  <c r="AI199" i="1"/>
  <c r="AM199" i="1"/>
  <c r="AQ199" i="1"/>
  <c r="AU199" i="1"/>
  <c r="AY199" i="1"/>
  <c r="D199" i="1"/>
  <c r="H199" i="1"/>
  <c r="L199" i="1"/>
  <c r="P199" i="1"/>
  <c r="T199" i="1"/>
  <c r="X199" i="1"/>
  <c r="AB199" i="1"/>
  <c r="AF199" i="1"/>
  <c r="AJ199" i="1"/>
  <c r="AN199" i="1"/>
  <c r="AR199" i="1"/>
  <c r="AV199" i="1"/>
  <c r="AZ199" i="1"/>
  <c r="E199" i="1"/>
  <c r="I199" i="1"/>
  <c r="M199" i="1"/>
  <c r="Q199" i="1"/>
  <c r="U199" i="1"/>
  <c r="Y199" i="1"/>
  <c r="AC199" i="1"/>
  <c r="AG199" i="1"/>
  <c r="AK199" i="1"/>
  <c r="AO199" i="1"/>
  <c r="AS199" i="1"/>
  <c r="AW199" i="1"/>
  <c r="F199" i="1"/>
  <c r="J199" i="1"/>
  <c r="N199" i="1"/>
  <c r="R199" i="1"/>
  <c r="V199" i="1"/>
  <c r="Z199" i="1"/>
  <c r="AD199" i="1"/>
  <c r="AH199" i="1"/>
  <c r="AL199" i="1"/>
  <c r="AP199" i="1"/>
  <c r="AT199" i="1"/>
  <c r="AX199" i="1"/>
  <c r="C199" i="1"/>
  <c r="B200" i="1"/>
  <c r="F200" i="1"/>
  <c r="J200" i="1"/>
  <c r="N200" i="1"/>
  <c r="R200" i="1"/>
  <c r="V200" i="1"/>
  <c r="Z200" i="1"/>
  <c r="AD200" i="1"/>
  <c r="AH200" i="1"/>
  <c r="AL200" i="1"/>
  <c r="AP200" i="1"/>
  <c r="AT200" i="1"/>
  <c r="AX200" i="1"/>
  <c r="G200" i="1"/>
  <c r="K200" i="1"/>
  <c r="O200" i="1"/>
  <c r="S200" i="1"/>
  <c r="W200" i="1"/>
  <c r="AA200" i="1"/>
  <c r="AE200" i="1"/>
  <c r="AI200" i="1"/>
  <c r="AM200" i="1"/>
  <c r="AQ200" i="1"/>
  <c r="AU200" i="1"/>
  <c r="AY200" i="1"/>
  <c r="D200" i="1"/>
  <c r="H200" i="1"/>
  <c r="L200" i="1"/>
  <c r="P200" i="1"/>
  <c r="T200" i="1"/>
  <c r="X200" i="1"/>
  <c r="AB200" i="1"/>
  <c r="AF200" i="1"/>
  <c r="AJ200" i="1"/>
  <c r="AN200" i="1"/>
  <c r="AR200" i="1"/>
  <c r="AV200" i="1"/>
  <c r="AZ200" i="1"/>
  <c r="E200" i="1"/>
  <c r="I200" i="1"/>
  <c r="M200" i="1"/>
  <c r="Q200" i="1"/>
  <c r="U200" i="1"/>
  <c r="Y200" i="1"/>
  <c r="AC200" i="1"/>
  <c r="AG200" i="1"/>
  <c r="AK200" i="1"/>
  <c r="AO200" i="1"/>
  <c r="AS200" i="1"/>
  <c r="AW200" i="1"/>
  <c r="C200" i="1"/>
  <c r="B201" i="1"/>
  <c r="E201" i="1"/>
  <c r="I201" i="1"/>
  <c r="M201" i="1"/>
  <c r="Q201" i="1"/>
  <c r="U201" i="1"/>
  <c r="Y201" i="1"/>
  <c r="AC201" i="1"/>
  <c r="AG201" i="1"/>
  <c r="AK201" i="1"/>
  <c r="AO201" i="1"/>
  <c r="AS201" i="1"/>
  <c r="AW201" i="1"/>
  <c r="F201" i="1"/>
  <c r="J201" i="1"/>
  <c r="N201" i="1"/>
  <c r="R201" i="1"/>
  <c r="V201" i="1"/>
  <c r="Z201" i="1"/>
  <c r="AD201" i="1"/>
  <c r="AH201" i="1"/>
  <c r="AL201" i="1"/>
  <c r="AP201" i="1"/>
  <c r="AT201" i="1"/>
  <c r="AX201" i="1"/>
  <c r="G201" i="1"/>
  <c r="K201" i="1"/>
  <c r="O201" i="1"/>
  <c r="S201" i="1"/>
  <c r="W201" i="1"/>
  <c r="AA201" i="1"/>
  <c r="AE201" i="1"/>
  <c r="AI201" i="1"/>
  <c r="AM201" i="1"/>
  <c r="AQ201" i="1"/>
  <c r="AU201" i="1"/>
  <c r="AY201" i="1"/>
  <c r="D201" i="1"/>
  <c r="H201" i="1"/>
  <c r="L201" i="1"/>
  <c r="P201" i="1"/>
  <c r="T201" i="1"/>
  <c r="X201" i="1"/>
  <c r="AB201" i="1"/>
  <c r="AF201" i="1"/>
  <c r="AJ201" i="1"/>
  <c r="AN201" i="1"/>
  <c r="AR201" i="1"/>
  <c r="AV201" i="1"/>
  <c r="AZ201" i="1"/>
  <c r="C201" i="1"/>
  <c r="B202" i="1"/>
  <c r="D202" i="1"/>
  <c r="H202" i="1"/>
  <c r="L202" i="1"/>
  <c r="P202" i="1"/>
  <c r="T202" i="1"/>
  <c r="X202" i="1"/>
  <c r="AB202" i="1"/>
  <c r="AF202" i="1"/>
  <c r="AJ202" i="1"/>
  <c r="AN202" i="1"/>
  <c r="AR202" i="1"/>
  <c r="AV202" i="1"/>
  <c r="AZ202" i="1"/>
  <c r="E202" i="1"/>
  <c r="I202" i="1"/>
  <c r="M202" i="1"/>
  <c r="Q202" i="1"/>
  <c r="U202" i="1"/>
  <c r="Y202" i="1"/>
  <c r="AC202" i="1"/>
  <c r="AG202" i="1"/>
  <c r="AK202" i="1"/>
  <c r="AO202" i="1"/>
  <c r="AS202" i="1"/>
  <c r="AW202" i="1"/>
  <c r="F202" i="1"/>
  <c r="J202" i="1"/>
  <c r="N202" i="1"/>
  <c r="R202" i="1"/>
  <c r="V202" i="1"/>
  <c r="Z202" i="1"/>
  <c r="AD202" i="1"/>
  <c r="AH202" i="1"/>
  <c r="AL202" i="1"/>
  <c r="AP202" i="1"/>
  <c r="AT202" i="1"/>
  <c r="AX202" i="1"/>
  <c r="G202" i="1"/>
  <c r="K202" i="1"/>
  <c r="O202" i="1"/>
  <c r="S202" i="1"/>
  <c r="W202" i="1"/>
  <c r="AA202" i="1"/>
  <c r="AE202" i="1"/>
  <c r="AI202" i="1"/>
  <c r="AM202" i="1"/>
  <c r="AQ202" i="1"/>
  <c r="AU202" i="1"/>
  <c r="AY202" i="1"/>
  <c r="C202" i="1"/>
  <c r="B203" i="1"/>
  <c r="G203" i="1"/>
  <c r="K203" i="1"/>
  <c r="O203" i="1"/>
  <c r="S203" i="1"/>
  <c r="W203" i="1"/>
  <c r="AA203" i="1"/>
  <c r="AE203" i="1"/>
  <c r="AI203" i="1"/>
  <c r="AM203" i="1"/>
  <c r="AQ203" i="1"/>
  <c r="AU203" i="1"/>
  <c r="AY203" i="1"/>
  <c r="D203" i="1"/>
  <c r="H203" i="1"/>
  <c r="L203" i="1"/>
  <c r="P203" i="1"/>
  <c r="T203" i="1"/>
  <c r="X203" i="1"/>
  <c r="AB203" i="1"/>
  <c r="AF203" i="1"/>
  <c r="AJ203" i="1"/>
  <c r="AN203" i="1"/>
  <c r="AR203" i="1"/>
  <c r="AV203" i="1"/>
  <c r="AZ203" i="1"/>
  <c r="E203" i="1"/>
  <c r="I203" i="1"/>
  <c r="M203" i="1"/>
  <c r="Q203" i="1"/>
  <c r="U203" i="1"/>
  <c r="Y203" i="1"/>
  <c r="AC203" i="1"/>
  <c r="AG203" i="1"/>
  <c r="AK203" i="1"/>
  <c r="AO203" i="1"/>
  <c r="AS203" i="1"/>
  <c r="AW203" i="1"/>
  <c r="F203" i="1"/>
  <c r="J203" i="1"/>
  <c r="N203" i="1"/>
  <c r="R203" i="1"/>
  <c r="V203" i="1"/>
  <c r="Z203" i="1"/>
  <c r="AD203" i="1"/>
  <c r="AH203" i="1"/>
  <c r="AL203" i="1"/>
  <c r="AP203" i="1"/>
  <c r="AT203" i="1"/>
  <c r="AX203" i="1"/>
  <c r="C203" i="1"/>
  <c r="B204" i="1"/>
  <c r="F204" i="1"/>
  <c r="J204" i="1"/>
  <c r="N204" i="1"/>
  <c r="R204" i="1"/>
  <c r="V204" i="1"/>
  <c r="Z204" i="1"/>
  <c r="AD204" i="1"/>
  <c r="AH204" i="1"/>
  <c r="AL204" i="1"/>
  <c r="AP204" i="1"/>
  <c r="AT204" i="1"/>
  <c r="AX204" i="1"/>
  <c r="G204" i="1"/>
  <c r="K204" i="1"/>
  <c r="O204" i="1"/>
  <c r="S204" i="1"/>
  <c r="W204" i="1"/>
  <c r="AA204" i="1"/>
  <c r="AE204" i="1"/>
  <c r="AI204" i="1"/>
  <c r="AM204" i="1"/>
  <c r="AQ204" i="1"/>
  <c r="AU204" i="1"/>
  <c r="AY204" i="1"/>
  <c r="D204" i="1"/>
  <c r="H204" i="1"/>
  <c r="L204" i="1"/>
  <c r="P204" i="1"/>
  <c r="T204" i="1"/>
  <c r="X204" i="1"/>
  <c r="AB204" i="1"/>
  <c r="AF204" i="1"/>
  <c r="AJ204" i="1"/>
  <c r="AN204" i="1"/>
  <c r="AR204" i="1"/>
  <c r="AV204" i="1"/>
  <c r="AZ204" i="1"/>
  <c r="E204" i="1"/>
  <c r="I204" i="1"/>
  <c r="M204" i="1"/>
  <c r="Q204" i="1"/>
  <c r="U204" i="1"/>
  <c r="Y204" i="1"/>
  <c r="AC204" i="1"/>
  <c r="AG204" i="1"/>
  <c r="AK204" i="1"/>
  <c r="AO204" i="1"/>
  <c r="AS204" i="1"/>
  <c r="AW204" i="1"/>
  <c r="C204" i="1"/>
  <c r="B205" i="1"/>
  <c r="E205" i="1"/>
  <c r="I205" i="1"/>
  <c r="M205" i="1"/>
  <c r="Q205" i="1"/>
  <c r="U205" i="1"/>
  <c r="Y205" i="1"/>
  <c r="AC205" i="1"/>
  <c r="AG205" i="1"/>
  <c r="AK205" i="1"/>
  <c r="AO205" i="1"/>
  <c r="AS205" i="1"/>
  <c r="AW205" i="1"/>
  <c r="F205" i="1"/>
  <c r="J205" i="1"/>
  <c r="N205" i="1"/>
  <c r="R205" i="1"/>
  <c r="V205" i="1"/>
  <c r="Z205" i="1"/>
  <c r="AD205" i="1"/>
  <c r="AH205" i="1"/>
  <c r="AL205" i="1"/>
  <c r="AP205" i="1"/>
  <c r="AT205" i="1"/>
  <c r="AX205" i="1"/>
  <c r="G205" i="1"/>
  <c r="K205" i="1"/>
  <c r="O205" i="1"/>
  <c r="S205" i="1"/>
  <c r="W205" i="1"/>
  <c r="AA205" i="1"/>
  <c r="AE205" i="1"/>
  <c r="AI205" i="1"/>
  <c r="AM205" i="1"/>
  <c r="AQ205" i="1"/>
  <c r="AU205" i="1"/>
  <c r="AY205" i="1"/>
  <c r="D205" i="1"/>
  <c r="H205" i="1"/>
  <c r="L205" i="1"/>
  <c r="P205" i="1"/>
  <c r="T205" i="1"/>
  <c r="X205" i="1"/>
  <c r="AB205" i="1"/>
  <c r="AF205" i="1"/>
  <c r="AJ205" i="1"/>
  <c r="AN205" i="1"/>
  <c r="AR205" i="1"/>
  <c r="AV205" i="1"/>
  <c r="AZ205" i="1"/>
  <c r="C205" i="1"/>
  <c r="B206" i="1"/>
  <c r="D206" i="1"/>
  <c r="H206" i="1"/>
  <c r="L206" i="1"/>
  <c r="P206" i="1"/>
  <c r="T206" i="1"/>
  <c r="X206" i="1"/>
  <c r="AB206" i="1"/>
  <c r="AF206" i="1"/>
  <c r="AJ206" i="1"/>
  <c r="AN206" i="1"/>
  <c r="AR206" i="1"/>
  <c r="AV206" i="1"/>
  <c r="AZ206" i="1"/>
  <c r="E206" i="1"/>
  <c r="I206" i="1"/>
  <c r="M206" i="1"/>
  <c r="Q206" i="1"/>
  <c r="U206" i="1"/>
  <c r="Y206" i="1"/>
  <c r="AC206" i="1"/>
  <c r="AG206" i="1"/>
  <c r="AK206" i="1"/>
  <c r="AO206" i="1"/>
  <c r="AS206" i="1"/>
  <c r="AW206" i="1"/>
  <c r="F206" i="1"/>
  <c r="J206" i="1"/>
  <c r="N206" i="1"/>
  <c r="R206" i="1"/>
  <c r="V206" i="1"/>
  <c r="Z206" i="1"/>
  <c r="AD206" i="1"/>
  <c r="AH206" i="1"/>
  <c r="AL206" i="1"/>
  <c r="AP206" i="1"/>
  <c r="AT206" i="1"/>
  <c r="AX206" i="1"/>
  <c r="G206" i="1"/>
  <c r="K206" i="1"/>
  <c r="O206" i="1"/>
  <c r="S206" i="1"/>
  <c r="W206" i="1"/>
  <c r="AA206" i="1"/>
  <c r="AE206" i="1"/>
  <c r="AI206" i="1"/>
  <c r="AM206" i="1"/>
  <c r="AQ206" i="1"/>
  <c r="AU206" i="1"/>
  <c r="AY206" i="1"/>
  <c r="C206" i="1"/>
  <c r="B207" i="1"/>
  <c r="G207" i="1"/>
  <c r="K207" i="1"/>
  <c r="O207" i="1"/>
  <c r="S207" i="1"/>
  <c r="W207" i="1"/>
  <c r="AA207" i="1"/>
  <c r="AE207" i="1"/>
  <c r="AI207" i="1"/>
  <c r="AM207" i="1"/>
  <c r="AQ207" i="1"/>
  <c r="AU207" i="1"/>
  <c r="AY207" i="1"/>
  <c r="D207" i="1"/>
  <c r="H207" i="1"/>
  <c r="L207" i="1"/>
  <c r="P207" i="1"/>
  <c r="T207" i="1"/>
  <c r="X207" i="1"/>
  <c r="AB207" i="1"/>
  <c r="AF207" i="1"/>
  <c r="AJ207" i="1"/>
  <c r="AN207" i="1"/>
  <c r="AR207" i="1"/>
  <c r="AV207" i="1"/>
  <c r="AZ207" i="1"/>
  <c r="E207" i="1"/>
  <c r="I207" i="1"/>
  <c r="M207" i="1"/>
  <c r="Q207" i="1"/>
  <c r="U207" i="1"/>
  <c r="Y207" i="1"/>
  <c r="AC207" i="1"/>
  <c r="AG207" i="1"/>
  <c r="AK207" i="1"/>
  <c r="AO207" i="1"/>
  <c r="AS207" i="1"/>
  <c r="AW207" i="1"/>
  <c r="F207" i="1"/>
  <c r="J207" i="1"/>
  <c r="N207" i="1"/>
  <c r="R207" i="1"/>
  <c r="V207" i="1"/>
  <c r="Z207" i="1"/>
  <c r="AD207" i="1"/>
  <c r="AH207" i="1"/>
  <c r="AL207" i="1"/>
  <c r="AP207" i="1"/>
  <c r="AT207" i="1"/>
  <c r="AX207" i="1"/>
  <c r="C207" i="1"/>
  <c r="B208" i="1"/>
  <c r="F208" i="1"/>
  <c r="J208" i="1"/>
  <c r="N208" i="1"/>
  <c r="R208" i="1"/>
  <c r="V208" i="1"/>
  <c r="Z208" i="1"/>
  <c r="AD208" i="1"/>
  <c r="AH208" i="1"/>
  <c r="AL208" i="1"/>
  <c r="AP208" i="1"/>
  <c r="AT208" i="1"/>
  <c r="AX208" i="1"/>
  <c r="G208" i="1"/>
  <c r="K208" i="1"/>
  <c r="O208" i="1"/>
  <c r="S208" i="1"/>
  <c r="W208" i="1"/>
  <c r="AA208" i="1"/>
  <c r="AE208" i="1"/>
  <c r="AI208" i="1"/>
  <c r="AM208" i="1"/>
  <c r="AQ208" i="1"/>
  <c r="AU208" i="1"/>
  <c r="AY208" i="1"/>
  <c r="D208" i="1"/>
  <c r="H208" i="1"/>
  <c r="L208" i="1"/>
  <c r="P208" i="1"/>
  <c r="E208" i="1"/>
  <c r="I208" i="1"/>
  <c r="M208" i="1"/>
  <c r="Q208" i="1"/>
  <c r="U208" i="1"/>
  <c r="Y208" i="1"/>
  <c r="AC208" i="1"/>
  <c r="AG208" i="1"/>
  <c r="AK208" i="1"/>
  <c r="AO208" i="1"/>
  <c r="AS208" i="1"/>
  <c r="AW208" i="1"/>
  <c r="T208" i="1"/>
  <c r="AJ208" i="1"/>
  <c r="AZ208" i="1"/>
  <c r="X208" i="1"/>
  <c r="AN208" i="1"/>
  <c r="AB208" i="1"/>
  <c r="AR208" i="1"/>
  <c r="AF208" i="1"/>
  <c r="AV208" i="1"/>
  <c r="C208" i="1"/>
  <c r="B209" i="1"/>
  <c r="E209" i="1"/>
  <c r="I209" i="1"/>
  <c r="M209" i="1"/>
  <c r="Q209" i="1"/>
  <c r="U209" i="1"/>
  <c r="Y209" i="1"/>
  <c r="AC209" i="1"/>
  <c r="AG209" i="1"/>
  <c r="AK209" i="1"/>
  <c r="AO209" i="1"/>
  <c r="AS209" i="1"/>
  <c r="AW209" i="1"/>
  <c r="F209" i="1"/>
  <c r="J209" i="1"/>
  <c r="N209" i="1"/>
  <c r="R209" i="1"/>
  <c r="V209" i="1"/>
  <c r="Z209" i="1"/>
  <c r="AD209" i="1"/>
  <c r="AH209" i="1"/>
  <c r="AL209" i="1"/>
  <c r="AP209" i="1"/>
  <c r="AT209" i="1"/>
  <c r="AX209" i="1"/>
  <c r="D209" i="1"/>
  <c r="H209" i="1"/>
  <c r="L209" i="1"/>
  <c r="P209" i="1"/>
  <c r="T209" i="1"/>
  <c r="X209" i="1"/>
  <c r="AB209" i="1"/>
  <c r="AF209" i="1"/>
  <c r="AJ209" i="1"/>
  <c r="AN209" i="1"/>
  <c r="AR209" i="1"/>
  <c r="AV209" i="1"/>
  <c r="AZ209" i="1"/>
  <c r="O209" i="1"/>
  <c r="AE209" i="1"/>
  <c r="AU209" i="1"/>
  <c r="S209" i="1"/>
  <c r="AI209" i="1"/>
  <c r="AY209" i="1"/>
  <c r="G209" i="1"/>
  <c r="W209" i="1"/>
  <c r="AM209" i="1"/>
  <c r="K209" i="1"/>
  <c r="AA209" i="1"/>
  <c r="AQ209" i="1"/>
  <c r="C209" i="1"/>
  <c r="B210" i="1"/>
  <c r="D210" i="1"/>
  <c r="G210" i="1"/>
  <c r="K210" i="1"/>
  <c r="O210" i="1"/>
  <c r="S210" i="1"/>
  <c r="W210" i="1"/>
  <c r="AA210" i="1"/>
  <c r="AE210" i="1"/>
  <c r="AI210" i="1"/>
  <c r="AM210" i="1"/>
  <c r="AQ210" i="1"/>
  <c r="AU210" i="1"/>
  <c r="AY210" i="1"/>
  <c r="H210" i="1"/>
  <c r="L210" i="1"/>
  <c r="P210" i="1"/>
  <c r="T210" i="1"/>
  <c r="X210" i="1"/>
  <c r="AB210" i="1"/>
  <c r="AF210" i="1"/>
  <c r="AJ210" i="1"/>
  <c r="AN210" i="1"/>
  <c r="AR210" i="1"/>
  <c r="AV210" i="1"/>
  <c r="AZ210" i="1"/>
  <c r="E210" i="1"/>
  <c r="I210" i="1"/>
  <c r="M210" i="1"/>
  <c r="Q210" i="1"/>
  <c r="U210" i="1"/>
  <c r="Y210" i="1"/>
  <c r="AC210" i="1"/>
  <c r="AG210" i="1"/>
  <c r="AK210" i="1"/>
  <c r="AO210" i="1"/>
  <c r="AS210" i="1"/>
  <c r="AW210" i="1"/>
  <c r="F210" i="1"/>
  <c r="J210" i="1"/>
  <c r="N210" i="1"/>
  <c r="R210" i="1"/>
  <c r="V210" i="1"/>
  <c r="Z210" i="1"/>
  <c r="AD210" i="1"/>
  <c r="AH210" i="1"/>
  <c r="AL210" i="1"/>
  <c r="AP210" i="1"/>
  <c r="AT210" i="1"/>
  <c r="AX210" i="1"/>
  <c r="C210" i="1"/>
  <c r="B211" i="1"/>
  <c r="F211" i="1"/>
  <c r="J211" i="1"/>
  <c r="N211" i="1"/>
  <c r="R211" i="1"/>
  <c r="V211" i="1"/>
  <c r="Z211" i="1"/>
  <c r="AD211" i="1"/>
  <c r="AH211" i="1"/>
  <c r="AL211" i="1"/>
  <c r="AP211" i="1"/>
  <c r="AT211" i="1"/>
  <c r="AX211" i="1"/>
  <c r="G211" i="1"/>
  <c r="K211" i="1"/>
  <c r="O211" i="1"/>
  <c r="S211" i="1"/>
  <c r="W211" i="1"/>
  <c r="AA211" i="1"/>
  <c r="AE211" i="1"/>
  <c r="AI211" i="1"/>
  <c r="AM211" i="1"/>
  <c r="AQ211" i="1"/>
  <c r="AU211" i="1"/>
  <c r="AY211" i="1"/>
  <c r="D211" i="1"/>
  <c r="H211" i="1"/>
  <c r="L211" i="1"/>
  <c r="P211" i="1"/>
  <c r="T211" i="1"/>
  <c r="X211" i="1"/>
  <c r="AB211" i="1"/>
  <c r="AF211" i="1"/>
  <c r="AJ211" i="1"/>
  <c r="AN211" i="1"/>
  <c r="AR211" i="1"/>
  <c r="AV211" i="1"/>
  <c r="AZ211" i="1"/>
  <c r="E211" i="1"/>
  <c r="I211" i="1"/>
  <c r="M211" i="1"/>
  <c r="Q211" i="1"/>
  <c r="U211" i="1"/>
  <c r="Y211" i="1"/>
  <c r="AC211" i="1"/>
  <c r="AG211" i="1"/>
  <c r="AK211" i="1"/>
  <c r="AO211" i="1"/>
  <c r="AS211" i="1"/>
  <c r="AW211" i="1"/>
  <c r="C211" i="1"/>
  <c r="B212" i="1"/>
  <c r="E212" i="1"/>
  <c r="I212" i="1"/>
  <c r="M212" i="1"/>
  <c r="Q212" i="1"/>
  <c r="U212" i="1"/>
  <c r="Y212" i="1"/>
  <c r="AC212" i="1"/>
  <c r="AG212" i="1"/>
  <c r="AK212" i="1"/>
  <c r="AO212" i="1"/>
  <c r="AS212" i="1"/>
  <c r="AW212" i="1"/>
  <c r="F212" i="1"/>
  <c r="J212" i="1"/>
  <c r="N212" i="1"/>
  <c r="R212" i="1"/>
  <c r="V212" i="1"/>
  <c r="Z212" i="1"/>
  <c r="AD212" i="1"/>
  <c r="AH212" i="1"/>
  <c r="AL212" i="1"/>
  <c r="AP212" i="1"/>
  <c r="AT212" i="1"/>
  <c r="AX212" i="1"/>
  <c r="G212" i="1"/>
  <c r="K212" i="1"/>
  <c r="O212" i="1"/>
  <c r="S212" i="1"/>
  <c r="W212" i="1"/>
  <c r="AA212" i="1"/>
  <c r="AE212" i="1"/>
  <c r="AI212" i="1"/>
  <c r="AM212" i="1"/>
  <c r="AQ212" i="1"/>
  <c r="AU212" i="1"/>
  <c r="AY212" i="1"/>
  <c r="D212" i="1"/>
  <c r="H212" i="1"/>
  <c r="L212" i="1"/>
  <c r="P212" i="1"/>
  <c r="T212" i="1"/>
  <c r="X212" i="1"/>
  <c r="AB212" i="1"/>
  <c r="AF212" i="1"/>
  <c r="AJ212" i="1"/>
  <c r="AN212" i="1"/>
  <c r="AR212" i="1"/>
  <c r="AV212" i="1"/>
  <c r="AZ212" i="1"/>
  <c r="C212" i="1"/>
  <c r="B213" i="1"/>
  <c r="D213" i="1"/>
  <c r="H213" i="1"/>
  <c r="L213" i="1"/>
  <c r="P213" i="1"/>
  <c r="T213" i="1"/>
  <c r="X213" i="1"/>
  <c r="AB213" i="1"/>
  <c r="AF213" i="1"/>
  <c r="AJ213" i="1"/>
  <c r="AN213" i="1"/>
  <c r="AR213" i="1"/>
  <c r="AV213" i="1"/>
  <c r="AZ213" i="1"/>
  <c r="E213" i="1"/>
  <c r="I213" i="1"/>
  <c r="M213" i="1"/>
  <c r="Q213" i="1"/>
  <c r="U213" i="1"/>
  <c r="Y213" i="1"/>
  <c r="AC213" i="1"/>
  <c r="AG213" i="1"/>
  <c r="AK213" i="1"/>
  <c r="AO213" i="1"/>
  <c r="AS213" i="1"/>
  <c r="AW213" i="1"/>
  <c r="F213" i="1"/>
  <c r="J213" i="1"/>
  <c r="N213" i="1"/>
  <c r="R213" i="1"/>
  <c r="V213" i="1"/>
  <c r="Z213" i="1"/>
  <c r="AD213" i="1"/>
  <c r="AH213" i="1"/>
  <c r="AL213" i="1"/>
  <c r="AP213" i="1"/>
  <c r="AT213" i="1"/>
  <c r="AX213" i="1"/>
  <c r="G213" i="1"/>
  <c r="K213" i="1"/>
  <c r="O213" i="1"/>
  <c r="S213" i="1"/>
  <c r="W213" i="1"/>
  <c r="AA213" i="1"/>
  <c r="AE213" i="1"/>
  <c r="AI213" i="1"/>
  <c r="AM213" i="1"/>
  <c r="AQ213" i="1"/>
  <c r="AU213" i="1"/>
  <c r="AY213" i="1"/>
  <c r="C213" i="1"/>
  <c r="B214" i="1"/>
  <c r="G214" i="1"/>
  <c r="K214" i="1"/>
  <c r="O214" i="1"/>
  <c r="S214" i="1"/>
  <c r="W214" i="1"/>
  <c r="AA214" i="1"/>
  <c r="AE214" i="1"/>
  <c r="AI214" i="1"/>
  <c r="AM214" i="1"/>
  <c r="AQ214" i="1"/>
  <c r="AU214" i="1"/>
  <c r="AY214" i="1"/>
  <c r="D214" i="1"/>
  <c r="H214" i="1"/>
  <c r="L214" i="1"/>
  <c r="P214" i="1"/>
  <c r="T214" i="1"/>
  <c r="X214" i="1"/>
  <c r="AB214" i="1"/>
  <c r="AF214" i="1"/>
  <c r="AJ214" i="1"/>
  <c r="AN214" i="1"/>
  <c r="AR214" i="1"/>
  <c r="AV214" i="1"/>
  <c r="AZ214" i="1"/>
  <c r="E214" i="1"/>
  <c r="I214" i="1"/>
  <c r="M214" i="1"/>
  <c r="Q214" i="1"/>
  <c r="U214" i="1"/>
  <c r="Y214" i="1"/>
  <c r="AC214" i="1"/>
  <c r="AG214" i="1"/>
  <c r="AK214" i="1"/>
  <c r="AO214" i="1"/>
  <c r="AS214" i="1"/>
  <c r="AW214" i="1"/>
  <c r="F214" i="1"/>
  <c r="J214" i="1"/>
  <c r="N214" i="1"/>
  <c r="R214" i="1"/>
  <c r="V214" i="1"/>
  <c r="Z214" i="1"/>
  <c r="AD214" i="1"/>
  <c r="AH214" i="1"/>
  <c r="AL214" i="1"/>
  <c r="AP214" i="1"/>
  <c r="AT214" i="1"/>
  <c r="AX214" i="1"/>
  <c r="C214" i="1"/>
  <c r="B215" i="1"/>
  <c r="F215" i="1"/>
  <c r="J215" i="1"/>
  <c r="N215" i="1"/>
  <c r="R215" i="1"/>
  <c r="V215" i="1"/>
  <c r="Z215" i="1"/>
  <c r="AD215" i="1"/>
  <c r="AH215" i="1"/>
  <c r="AL215" i="1"/>
  <c r="AP215" i="1"/>
  <c r="AT215" i="1"/>
  <c r="AX215" i="1"/>
  <c r="G215" i="1"/>
  <c r="K215" i="1"/>
  <c r="O215" i="1"/>
  <c r="S215" i="1"/>
  <c r="W215" i="1"/>
  <c r="AA215" i="1"/>
  <c r="AE215" i="1"/>
  <c r="AI215" i="1"/>
  <c r="AM215" i="1"/>
  <c r="AQ215" i="1"/>
  <c r="AU215" i="1"/>
  <c r="AY215" i="1"/>
  <c r="D215" i="1"/>
  <c r="H215" i="1"/>
  <c r="L215" i="1"/>
  <c r="P215" i="1"/>
  <c r="T215" i="1"/>
  <c r="X215" i="1"/>
  <c r="AB215" i="1"/>
  <c r="AF215" i="1"/>
  <c r="AJ215" i="1"/>
  <c r="AN215" i="1"/>
  <c r="AR215" i="1"/>
  <c r="AV215" i="1"/>
  <c r="AZ215" i="1"/>
  <c r="E215" i="1"/>
  <c r="I215" i="1"/>
  <c r="M215" i="1"/>
  <c r="Q215" i="1"/>
  <c r="U215" i="1"/>
  <c r="Y215" i="1"/>
  <c r="AC215" i="1"/>
  <c r="AG215" i="1"/>
  <c r="AK215" i="1"/>
  <c r="AO215" i="1"/>
  <c r="AS215" i="1"/>
  <c r="AW215" i="1"/>
  <c r="C215" i="1"/>
  <c r="B216" i="1"/>
  <c r="E216" i="1"/>
  <c r="I216" i="1"/>
  <c r="M216" i="1"/>
  <c r="Q216" i="1"/>
  <c r="U216" i="1"/>
  <c r="Y216" i="1"/>
  <c r="AC216" i="1"/>
  <c r="AG216" i="1"/>
  <c r="AK216" i="1"/>
  <c r="AO216" i="1"/>
  <c r="AS216" i="1"/>
  <c r="AW216" i="1"/>
  <c r="F216" i="1"/>
  <c r="J216" i="1"/>
  <c r="N216" i="1"/>
  <c r="R216" i="1"/>
  <c r="V216" i="1"/>
  <c r="Z216" i="1"/>
  <c r="AD216" i="1"/>
  <c r="AH216" i="1"/>
  <c r="AL216" i="1"/>
  <c r="AP216" i="1"/>
  <c r="AT216" i="1"/>
  <c r="AX216" i="1"/>
  <c r="G216" i="1"/>
  <c r="K216" i="1"/>
  <c r="O216" i="1"/>
  <c r="S216" i="1"/>
  <c r="W216" i="1"/>
  <c r="AA216" i="1"/>
  <c r="AE216" i="1"/>
  <c r="AI216" i="1"/>
  <c r="AM216" i="1"/>
  <c r="AQ216" i="1"/>
  <c r="AU216" i="1"/>
  <c r="AY216" i="1"/>
  <c r="D216" i="1"/>
  <c r="H216" i="1"/>
  <c r="L216" i="1"/>
  <c r="P216" i="1"/>
  <c r="T216" i="1"/>
  <c r="X216" i="1"/>
  <c r="AB216" i="1"/>
  <c r="AF216" i="1"/>
  <c r="AJ216" i="1"/>
  <c r="AN216" i="1"/>
  <c r="AR216" i="1"/>
  <c r="AV216" i="1"/>
  <c r="AZ216" i="1"/>
  <c r="C216" i="1"/>
  <c r="B217" i="1"/>
  <c r="D217" i="1"/>
  <c r="H217" i="1"/>
  <c r="L217" i="1"/>
  <c r="P217" i="1"/>
  <c r="T217" i="1"/>
  <c r="X217" i="1"/>
  <c r="AB217" i="1"/>
  <c r="AF217" i="1"/>
  <c r="AJ217" i="1"/>
  <c r="AN217" i="1"/>
  <c r="AR217" i="1"/>
  <c r="AV217" i="1"/>
  <c r="AZ217" i="1"/>
  <c r="E217" i="1"/>
  <c r="I217" i="1"/>
  <c r="M217" i="1"/>
  <c r="Q217" i="1"/>
  <c r="U217" i="1"/>
  <c r="Y217" i="1"/>
  <c r="AC217" i="1"/>
  <c r="AG217" i="1"/>
  <c r="AK217" i="1"/>
  <c r="AO217" i="1"/>
  <c r="AS217" i="1"/>
  <c r="AW217" i="1"/>
  <c r="F217" i="1"/>
  <c r="J217" i="1"/>
  <c r="N217" i="1"/>
  <c r="R217" i="1"/>
  <c r="V217" i="1"/>
  <c r="Z217" i="1"/>
  <c r="AD217" i="1"/>
  <c r="AH217" i="1"/>
  <c r="AL217" i="1"/>
  <c r="AP217" i="1"/>
  <c r="AT217" i="1"/>
  <c r="AX217" i="1"/>
  <c r="G217" i="1"/>
  <c r="K217" i="1"/>
  <c r="O217" i="1"/>
  <c r="S217" i="1"/>
  <c r="W217" i="1"/>
  <c r="AA217" i="1"/>
  <c r="AE217" i="1"/>
  <c r="AI217" i="1"/>
  <c r="AM217" i="1"/>
  <c r="AQ217" i="1"/>
  <c r="AU217" i="1"/>
  <c r="AY217" i="1"/>
  <c r="C217" i="1"/>
  <c r="B218" i="1"/>
  <c r="G218" i="1"/>
  <c r="K218" i="1"/>
  <c r="O218" i="1"/>
  <c r="S218" i="1"/>
  <c r="W218" i="1"/>
  <c r="AA218" i="1"/>
  <c r="AE218" i="1"/>
  <c r="AI218" i="1"/>
  <c r="AM218" i="1"/>
  <c r="AQ218" i="1"/>
  <c r="AU218" i="1"/>
  <c r="AY218" i="1"/>
  <c r="D218" i="1"/>
  <c r="H218" i="1"/>
  <c r="L218" i="1"/>
  <c r="P218" i="1"/>
  <c r="T218" i="1"/>
  <c r="X218" i="1"/>
  <c r="AB218" i="1"/>
  <c r="AF218" i="1"/>
  <c r="AJ218" i="1"/>
  <c r="AN218" i="1"/>
  <c r="AR218" i="1"/>
  <c r="AV218" i="1"/>
  <c r="AZ218" i="1"/>
  <c r="E218" i="1"/>
  <c r="I218" i="1"/>
  <c r="M218" i="1"/>
  <c r="Q218" i="1"/>
  <c r="U218" i="1"/>
  <c r="Y218" i="1"/>
  <c r="AC218" i="1"/>
  <c r="AG218" i="1"/>
  <c r="AK218" i="1"/>
  <c r="AO218" i="1"/>
  <c r="AS218" i="1"/>
  <c r="AW218" i="1"/>
  <c r="F218" i="1"/>
  <c r="J218" i="1"/>
  <c r="N218" i="1"/>
  <c r="R218" i="1"/>
  <c r="V218" i="1"/>
  <c r="Z218" i="1"/>
  <c r="AD218" i="1"/>
  <c r="AH218" i="1"/>
  <c r="AL218" i="1"/>
  <c r="AP218" i="1"/>
  <c r="AT218" i="1"/>
  <c r="AX218" i="1"/>
  <c r="C218" i="1"/>
  <c r="B219" i="1"/>
  <c r="F219" i="1"/>
  <c r="J219" i="1"/>
  <c r="N219" i="1"/>
  <c r="R219" i="1"/>
  <c r="V219" i="1"/>
  <c r="Z219" i="1"/>
  <c r="AD219" i="1"/>
  <c r="AH219" i="1"/>
  <c r="AL219" i="1"/>
  <c r="AP219" i="1"/>
  <c r="AT219" i="1"/>
  <c r="AX219" i="1"/>
  <c r="G219" i="1"/>
  <c r="K219" i="1"/>
  <c r="O219" i="1"/>
  <c r="S219" i="1"/>
  <c r="W219" i="1"/>
  <c r="AA219" i="1"/>
  <c r="AE219" i="1"/>
  <c r="AI219" i="1"/>
  <c r="AM219" i="1"/>
  <c r="AQ219" i="1"/>
  <c r="AU219" i="1"/>
  <c r="AY219" i="1"/>
  <c r="D219" i="1"/>
  <c r="H219" i="1"/>
  <c r="L219" i="1"/>
  <c r="P219" i="1"/>
  <c r="T219" i="1"/>
  <c r="X219" i="1"/>
  <c r="AB219" i="1"/>
  <c r="AF219" i="1"/>
  <c r="AJ219" i="1"/>
  <c r="AN219" i="1"/>
  <c r="AR219" i="1"/>
  <c r="AV219" i="1"/>
  <c r="AZ219" i="1"/>
  <c r="E219" i="1"/>
  <c r="I219" i="1"/>
  <c r="M219" i="1"/>
  <c r="Q219" i="1"/>
  <c r="U219" i="1"/>
  <c r="Y219" i="1"/>
  <c r="AC219" i="1"/>
  <c r="AG219" i="1"/>
  <c r="AK219" i="1"/>
  <c r="AO219" i="1"/>
  <c r="AS219" i="1"/>
  <c r="AW219" i="1"/>
  <c r="C219" i="1"/>
  <c r="B220" i="1"/>
  <c r="E220" i="1"/>
  <c r="I220" i="1"/>
  <c r="M220" i="1"/>
  <c r="Q220" i="1"/>
  <c r="U220" i="1"/>
  <c r="Y220" i="1"/>
  <c r="AC220" i="1"/>
  <c r="AG220" i="1"/>
  <c r="AK220" i="1"/>
  <c r="AO220" i="1"/>
  <c r="AS220" i="1"/>
  <c r="AW220" i="1"/>
  <c r="F220" i="1"/>
  <c r="J220" i="1"/>
  <c r="N220" i="1"/>
  <c r="R220" i="1"/>
  <c r="V220" i="1"/>
  <c r="Z220" i="1"/>
  <c r="AD220" i="1"/>
  <c r="AH220" i="1"/>
  <c r="AL220" i="1"/>
  <c r="AP220" i="1"/>
  <c r="AT220" i="1"/>
  <c r="AX220" i="1"/>
  <c r="G220" i="1"/>
  <c r="K220" i="1"/>
  <c r="O220" i="1"/>
  <c r="S220" i="1"/>
  <c r="W220" i="1"/>
  <c r="AA220" i="1"/>
  <c r="AE220" i="1"/>
  <c r="AI220" i="1"/>
  <c r="AM220" i="1"/>
  <c r="AQ220" i="1"/>
  <c r="AU220" i="1"/>
  <c r="AY220" i="1"/>
  <c r="D220" i="1"/>
  <c r="H220" i="1"/>
  <c r="L220" i="1"/>
  <c r="P220" i="1"/>
  <c r="T220" i="1"/>
  <c r="X220" i="1"/>
  <c r="AB220" i="1"/>
  <c r="AF220" i="1"/>
  <c r="AJ220" i="1"/>
  <c r="AN220" i="1"/>
  <c r="AR220" i="1"/>
  <c r="AV220" i="1"/>
  <c r="AZ220" i="1"/>
  <c r="C220" i="1"/>
  <c r="B221" i="1"/>
  <c r="D221" i="1"/>
  <c r="H221" i="1"/>
  <c r="L221" i="1"/>
  <c r="P221" i="1"/>
  <c r="T221" i="1"/>
  <c r="X221" i="1"/>
  <c r="AB221" i="1"/>
  <c r="AF221" i="1"/>
  <c r="AJ221" i="1"/>
  <c r="AN221" i="1"/>
  <c r="AR221" i="1"/>
  <c r="AV221" i="1"/>
  <c r="AZ221" i="1"/>
  <c r="E221" i="1"/>
  <c r="I221" i="1"/>
  <c r="M221" i="1"/>
  <c r="Q221" i="1"/>
  <c r="U221" i="1"/>
  <c r="Y221" i="1"/>
  <c r="AC221" i="1"/>
  <c r="AG221" i="1"/>
  <c r="AK221" i="1"/>
  <c r="AO221" i="1"/>
  <c r="AS221" i="1"/>
  <c r="AW221" i="1"/>
  <c r="F221" i="1"/>
  <c r="J221" i="1"/>
  <c r="N221" i="1"/>
  <c r="R221" i="1"/>
  <c r="V221" i="1"/>
  <c r="Z221" i="1"/>
  <c r="AD221" i="1"/>
  <c r="AH221" i="1"/>
  <c r="AL221" i="1"/>
  <c r="AP221" i="1"/>
  <c r="AT221" i="1"/>
  <c r="AX221" i="1"/>
  <c r="G221" i="1"/>
  <c r="K221" i="1"/>
  <c r="O221" i="1"/>
  <c r="S221" i="1"/>
  <c r="W221" i="1"/>
  <c r="AA221" i="1"/>
  <c r="AE221" i="1"/>
  <c r="AI221" i="1"/>
  <c r="AM221" i="1"/>
  <c r="AQ221" i="1"/>
  <c r="AU221" i="1"/>
  <c r="AY221" i="1"/>
  <c r="C221" i="1"/>
  <c r="B222" i="1"/>
  <c r="G222" i="1"/>
  <c r="K222" i="1"/>
  <c r="O222" i="1"/>
  <c r="S222" i="1"/>
  <c r="W222" i="1"/>
  <c r="AA222" i="1"/>
  <c r="AE222" i="1"/>
  <c r="AI222" i="1"/>
  <c r="AM222" i="1"/>
  <c r="AQ222" i="1"/>
  <c r="AU222" i="1"/>
  <c r="AY222" i="1"/>
  <c r="D222" i="1"/>
  <c r="H222" i="1"/>
  <c r="L222" i="1"/>
  <c r="P222" i="1"/>
  <c r="T222" i="1"/>
  <c r="X222" i="1"/>
  <c r="AB222" i="1"/>
  <c r="AF222" i="1"/>
  <c r="AJ222" i="1"/>
  <c r="AN222" i="1"/>
  <c r="AR222" i="1"/>
  <c r="AV222" i="1"/>
  <c r="AZ222" i="1"/>
  <c r="E222" i="1"/>
  <c r="I222" i="1"/>
  <c r="M222" i="1"/>
  <c r="Q222" i="1"/>
  <c r="U222" i="1"/>
  <c r="Y222" i="1"/>
  <c r="AC222" i="1"/>
  <c r="AG222" i="1"/>
  <c r="AK222" i="1"/>
  <c r="AO222" i="1"/>
  <c r="AS222" i="1"/>
  <c r="AW222" i="1"/>
  <c r="F222" i="1"/>
  <c r="J222" i="1"/>
  <c r="N222" i="1"/>
  <c r="R222" i="1"/>
  <c r="V222" i="1"/>
  <c r="Z222" i="1"/>
  <c r="AD222" i="1"/>
  <c r="AH222" i="1"/>
  <c r="AL222" i="1"/>
  <c r="AP222" i="1"/>
  <c r="AT222" i="1"/>
  <c r="AX222" i="1"/>
  <c r="C222" i="1"/>
  <c r="B223" i="1"/>
  <c r="F223" i="1"/>
  <c r="J223" i="1"/>
  <c r="N223" i="1"/>
  <c r="R223" i="1"/>
  <c r="V223" i="1"/>
  <c r="Z223" i="1"/>
  <c r="AD223" i="1"/>
  <c r="AH223" i="1"/>
  <c r="AL223" i="1"/>
  <c r="AP223" i="1"/>
  <c r="AT223" i="1"/>
  <c r="AX223" i="1"/>
  <c r="G223" i="1"/>
  <c r="K223" i="1"/>
  <c r="O223" i="1"/>
  <c r="S223" i="1"/>
  <c r="W223" i="1"/>
  <c r="AA223" i="1"/>
  <c r="AE223" i="1"/>
  <c r="AI223" i="1"/>
  <c r="AM223" i="1"/>
  <c r="AQ223" i="1"/>
  <c r="AU223" i="1"/>
  <c r="AY223" i="1"/>
  <c r="D223" i="1"/>
  <c r="H223" i="1"/>
  <c r="L223" i="1"/>
  <c r="P223" i="1"/>
  <c r="T223" i="1"/>
  <c r="X223" i="1"/>
  <c r="AB223" i="1"/>
  <c r="AF223" i="1"/>
  <c r="AJ223" i="1"/>
  <c r="AN223" i="1"/>
  <c r="AR223" i="1"/>
  <c r="AV223" i="1"/>
  <c r="AZ223" i="1"/>
  <c r="E223" i="1"/>
  <c r="I223" i="1"/>
  <c r="M223" i="1"/>
  <c r="Q223" i="1"/>
  <c r="U223" i="1"/>
  <c r="Y223" i="1"/>
  <c r="AC223" i="1"/>
  <c r="AG223" i="1"/>
  <c r="AK223" i="1"/>
  <c r="AO223" i="1"/>
  <c r="AS223" i="1"/>
  <c r="AW223" i="1"/>
  <c r="C223" i="1"/>
  <c r="B224" i="1"/>
  <c r="E224" i="1"/>
  <c r="I224" i="1"/>
  <c r="M224" i="1"/>
  <c r="Q224" i="1"/>
  <c r="U224" i="1"/>
  <c r="Y224" i="1"/>
  <c r="AC224" i="1"/>
  <c r="AG224" i="1"/>
  <c r="AK224" i="1"/>
  <c r="AO224" i="1"/>
  <c r="AS224" i="1"/>
  <c r="AW224" i="1"/>
  <c r="F224" i="1"/>
  <c r="J224" i="1"/>
  <c r="N224" i="1"/>
  <c r="R224" i="1"/>
  <c r="V224" i="1"/>
  <c r="Z224" i="1"/>
  <c r="AD224" i="1"/>
  <c r="AH224" i="1"/>
  <c r="AL224" i="1"/>
  <c r="AP224" i="1"/>
  <c r="AT224" i="1"/>
  <c r="AX224" i="1"/>
  <c r="G224" i="1"/>
  <c r="K224" i="1"/>
  <c r="O224" i="1"/>
  <c r="S224" i="1"/>
  <c r="W224" i="1"/>
  <c r="AA224" i="1"/>
  <c r="AE224" i="1"/>
  <c r="AI224" i="1"/>
  <c r="AM224" i="1"/>
  <c r="AQ224" i="1"/>
  <c r="AU224" i="1"/>
  <c r="AY224" i="1"/>
  <c r="D224" i="1"/>
  <c r="H224" i="1"/>
  <c r="L224" i="1"/>
  <c r="P224" i="1"/>
  <c r="T224" i="1"/>
  <c r="X224" i="1"/>
  <c r="AB224" i="1"/>
  <c r="AF224" i="1"/>
  <c r="AJ224" i="1"/>
  <c r="AN224" i="1"/>
  <c r="AR224" i="1"/>
  <c r="AV224" i="1"/>
  <c r="AZ224" i="1"/>
  <c r="C224" i="1"/>
  <c r="B225" i="1"/>
  <c r="D225" i="1"/>
  <c r="H225" i="1"/>
  <c r="L225" i="1"/>
  <c r="P225" i="1"/>
  <c r="T225" i="1"/>
  <c r="X225" i="1"/>
  <c r="AB225" i="1"/>
  <c r="AF225" i="1"/>
  <c r="AJ225" i="1"/>
  <c r="AN225" i="1"/>
  <c r="AR225" i="1"/>
  <c r="AV225" i="1"/>
  <c r="AZ225" i="1"/>
  <c r="E225" i="1"/>
  <c r="I225" i="1"/>
  <c r="M225" i="1"/>
  <c r="Q225" i="1"/>
  <c r="U225" i="1"/>
  <c r="Y225" i="1"/>
  <c r="AC225" i="1"/>
  <c r="AG225" i="1"/>
  <c r="AK225" i="1"/>
  <c r="AO225" i="1"/>
  <c r="AS225" i="1"/>
  <c r="AW225" i="1"/>
  <c r="F225" i="1"/>
  <c r="J225" i="1"/>
  <c r="N225" i="1"/>
  <c r="R225" i="1"/>
  <c r="V225" i="1"/>
  <c r="Z225" i="1"/>
  <c r="AD225" i="1"/>
  <c r="AH225" i="1"/>
  <c r="AL225" i="1"/>
  <c r="AP225" i="1"/>
  <c r="AT225" i="1"/>
  <c r="AX225" i="1"/>
  <c r="G225" i="1"/>
  <c r="K225" i="1"/>
  <c r="O225" i="1"/>
  <c r="S225" i="1"/>
  <c r="W225" i="1"/>
  <c r="AA225" i="1"/>
  <c r="AE225" i="1"/>
  <c r="AI225" i="1"/>
  <c r="AM225" i="1"/>
  <c r="AQ225" i="1"/>
  <c r="AU225" i="1"/>
  <c r="AY225" i="1"/>
  <c r="C225" i="1"/>
  <c r="B226" i="1"/>
  <c r="G226" i="1"/>
  <c r="K226" i="1"/>
  <c r="O226" i="1"/>
  <c r="S226" i="1"/>
  <c r="W226" i="1"/>
  <c r="AA226" i="1"/>
  <c r="AE226" i="1"/>
  <c r="AI226" i="1"/>
  <c r="AM226" i="1"/>
  <c r="AQ226" i="1"/>
  <c r="AU226" i="1"/>
  <c r="AY226" i="1"/>
  <c r="D226" i="1"/>
  <c r="H226" i="1"/>
  <c r="L226" i="1"/>
  <c r="P226" i="1"/>
  <c r="T226" i="1"/>
  <c r="X226" i="1"/>
  <c r="AB226" i="1"/>
  <c r="AF226" i="1"/>
  <c r="AJ226" i="1"/>
  <c r="AN226" i="1"/>
  <c r="AR226" i="1"/>
  <c r="AV226" i="1"/>
  <c r="AZ226" i="1"/>
  <c r="E226" i="1"/>
  <c r="I226" i="1"/>
  <c r="M226" i="1"/>
  <c r="Q226" i="1"/>
  <c r="U226" i="1"/>
  <c r="Y226" i="1"/>
  <c r="AC226" i="1"/>
  <c r="AG226" i="1"/>
  <c r="AK226" i="1"/>
  <c r="AO226" i="1"/>
  <c r="AS226" i="1"/>
  <c r="AW226" i="1"/>
  <c r="F226" i="1"/>
  <c r="J226" i="1"/>
  <c r="N226" i="1"/>
  <c r="R226" i="1"/>
  <c r="V226" i="1"/>
  <c r="Z226" i="1"/>
  <c r="AD226" i="1"/>
  <c r="AH226" i="1"/>
  <c r="AL226" i="1"/>
  <c r="AP226" i="1"/>
  <c r="AT226" i="1"/>
  <c r="AX226" i="1"/>
  <c r="C226" i="1"/>
  <c r="B227" i="1"/>
  <c r="F227" i="1"/>
  <c r="J227" i="1"/>
  <c r="N227" i="1"/>
  <c r="R227" i="1"/>
  <c r="V227" i="1"/>
  <c r="Z227" i="1"/>
  <c r="AD227" i="1"/>
  <c r="AH227" i="1"/>
  <c r="AL227" i="1"/>
  <c r="AP227" i="1"/>
  <c r="AT227" i="1"/>
  <c r="AX227" i="1"/>
  <c r="G227" i="1"/>
  <c r="K227" i="1"/>
  <c r="O227" i="1"/>
  <c r="S227" i="1"/>
  <c r="W227" i="1"/>
  <c r="AA227" i="1"/>
  <c r="AE227" i="1"/>
  <c r="AI227" i="1"/>
  <c r="AM227" i="1"/>
  <c r="AQ227" i="1"/>
  <c r="AU227" i="1"/>
  <c r="AY227" i="1"/>
  <c r="D227" i="1"/>
  <c r="H227" i="1"/>
  <c r="L227" i="1"/>
  <c r="P227" i="1"/>
  <c r="T227" i="1"/>
  <c r="X227" i="1"/>
  <c r="AB227" i="1"/>
  <c r="AF227" i="1"/>
  <c r="AJ227" i="1"/>
  <c r="AN227" i="1"/>
  <c r="AR227" i="1"/>
  <c r="AV227" i="1"/>
  <c r="AZ227" i="1"/>
  <c r="E227" i="1"/>
  <c r="I227" i="1"/>
  <c r="M227" i="1"/>
  <c r="Q227" i="1"/>
  <c r="U227" i="1"/>
  <c r="Y227" i="1"/>
  <c r="AC227" i="1"/>
  <c r="AG227" i="1"/>
  <c r="AK227" i="1"/>
  <c r="AO227" i="1"/>
  <c r="AS227" i="1"/>
  <c r="AW227" i="1"/>
  <c r="C227" i="1"/>
  <c r="B228" i="1"/>
  <c r="E228" i="1"/>
  <c r="I228" i="1"/>
  <c r="M228" i="1"/>
  <c r="Q228" i="1"/>
  <c r="U228" i="1"/>
  <c r="Y228" i="1"/>
  <c r="AC228" i="1"/>
  <c r="AG228" i="1"/>
  <c r="AK228" i="1"/>
  <c r="AO228" i="1"/>
  <c r="AS228" i="1"/>
  <c r="AW228" i="1"/>
  <c r="F228" i="1"/>
  <c r="J228" i="1"/>
  <c r="N228" i="1"/>
  <c r="R228" i="1"/>
  <c r="V228" i="1"/>
  <c r="Z228" i="1"/>
  <c r="AD228" i="1"/>
  <c r="AH228" i="1"/>
  <c r="AL228" i="1"/>
  <c r="AP228" i="1"/>
  <c r="AT228" i="1"/>
  <c r="AX228" i="1"/>
  <c r="G228" i="1"/>
  <c r="K228" i="1"/>
  <c r="O228" i="1"/>
  <c r="S228" i="1"/>
  <c r="W228" i="1"/>
  <c r="AA228" i="1"/>
  <c r="AE228" i="1"/>
  <c r="AI228" i="1"/>
  <c r="AM228" i="1"/>
  <c r="AQ228" i="1"/>
  <c r="AU228" i="1"/>
  <c r="AY228" i="1"/>
  <c r="D228" i="1"/>
  <c r="H228" i="1"/>
  <c r="L228" i="1"/>
  <c r="P228" i="1"/>
  <c r="T228" i="1"/>
  <c r="X228" i="1"/>
  <c r="AB228" i="1"/>
  <c r="AF228" i="1"/>
  <c r="AJ228" i="1"/>
  <c r="AN228" i="1"/>
  <c r="AR228" i="1"/>
  <c r="AV228" i="1"/>
  <c r="AZ228" i="1"/>
  <c r="C228" i="1"/>
  <c r="B229" i="1"/>
  <c r="D229" i="1"/>
  <c r="H229" i="1"/>
  <c r="L229" i="1"/>
  <c r="P229" i="1"/>
  <c r="T229" i="1"/>
  <c r="X229" i="1"/>
  <c r="AB229" i="1"/>
  <c r="AF229" i="1"/>
  <c r="AJ229" i="1"/>
  <c r="AN229" i="1"/>
  <c r="AR229" i="1"/>
  <c r="AV229" i="1"/>
  <c r="AZ229" i="1"/>
  <c r="E229" i="1"/>
  <c r="I229" i="1"/>
  <c r="M229" i="1"/>
  <c r="Q229" i="1"/>
  <c r="U229" i="1"/>
  <c r="Y229" i="1"/>
  <c r="AC229" i="1"/>
  <c r="AG229" i="1"/>
  <c r="AK229" i="1"/>
  <c r="AO229" i="1"/>
  <c r="AS229" i="1"/>
  <c r="AW229" i="1"/>
  <c r="F229" i="1"/>
  <c r="J229" i="1"/>
  <c r="N229" i="1"/>
  <c r="R229" i="1"/>
  <c r="V229" i="1"/>
  <c r="Z229" i="1"/>
  <c r="AD229" i="1"/>
  <c r="AH229" i="1"/>
  <c r="AL229" i="1"/>
  <c r="AP229" i="1"/>
  <c r="AT229" i="1"/>
  <c r="AX229" i="1"/>
  <c r="G229" i="1"/>
  <c r="K229" i="1"/>
  <c r="O229" i="1"/>
  <c r="S229" i="1"/>
  <c r="W229" i="1"/>
  <c r="AA229" i="1"/>
  <c r="AE229" i="1"/>
  <c r="AI229" i="1"/>
  <c r="AM229" i="1"/>
  <c r="AQ229" i="1"/>
  <c r="AU229" i="1"/>
  <c r="AY229" i="1"/>
  <c r="C229" i="1"/>
  <c r="B230" i="1"/>
  <c r="G230" i="1"/>
  <c r="K230" i="1"/>
  <c r="O230" i="1"/>
  <c r="S230" i="1"/>
  <c r="W230" i="1"/>
  <c r="AA230" i="1"/>
  <c r="AE230" i="1"/>
  <c r="AI230" i="1"/>
  <c r="AM230" i="1"/>
  <c r="AQ230" i="1"/>
  <c r="AU230" i="1"/>
  <c r="AY230" i="1"/>
  <c r="D230" i="1"/>
  <c r="H230" i="1"/>
  <c r="L230" i="1"/>
  <c r="P230" i="1"/>
  <c r="T230" i="1"/>
  <c r="X230" i="1"/>
  <c r="AB230" i="1"/>
  <c r="AF230" i="1"/>
  <c r="AJ230" i="1"/>
  <c r="AN230" i="1"/>
  <c r="AR230" i="1"/>
  <c r="AV230" i="1"/>
  <c r="AZ230" i="1"/>
  <c r="E230" i="1"/>
  <c r="I230" i="1"/>
  <c r="M230" i="1"/>
  <c r="Q230" i="1"/>
  <c r="U230" i="1"/>
  <c r="Y230" i="1"/>
  <c r="AC230" i="1"/>
  <c r="AG230" i="1"/>
  <c r="AK230" i="1"/>
  <c r="AO230" i="1"/>
  <c r="AS230" i="1"/>
  <c r="AW230" i="1"/>
  <c r="F230" i="1"/>
  <c r="J230" i="1"/>
  <c r="N230" i="1"/>
  <c r="R230" i="1"/>
  <c r="V230" i="1"/>
  <c r="Z230" i="1"/>
  <c r="AD230" i="1"/>
  <c r="AH230" i="1"/>
  <c r="AL230" i="1"/>
  <c r="AP230" i="1"/>
  <c r="AT230" i="1"/>
  <c r="AX230" i="1"/>
  <c r="C230" i="1"/>
  <c r="B231" i="1"/>
  <c r="F231" i="1"/>
  <c r="J231" i="1"/>
  <c r="N231" i="1"/>
  <c r="R231" i="1"/>
  <c r="V231" i="1"/>
  <c r="Z231" i="1"/>
  <c r="AD231" i="1"/>
  <c r="AH231" i="1"/>
  <c r="AL231" i="1"/>
  <c r="AP231" i="1"/>
  <c r="AT231" i="1"/>
  <c r="AX231" i="1"/>
  <c r="G231" i="1"/>
  <c r="K231" i="1"/>
  <c r="O231" i="1"/>
  <c r="S231" i="1"/>
  <c r="W231" i="1"/>
  <c r="AA231" i="1"/>
  <c r="AE231" i="1"/>
  <c r="AI231" i="1"/>
  <c r="AM231" i="1"/>
  <c r="AQ231" i="1"/>
  <c r="AU231" i="1"/>
  <c r="AY231" i="1"/>
  <c r="D231" i="1"/>
  <c r="H231" i="1"/>
  <c r="L231" i="1"/>
  <c r="P231" i="1"/>
  <c r="T231" i="1"/>
  <c r="X231" i="1"/>
  <c r="AB231" i="1"/>
  <c r="AF231" i="1"/>
  <c r="AJ231" i="1"/>
  <c r="AN231" i="1"/>
  <c r="AR231" i="1"/>
  <c r="AV231" i="1"/>
  <c r="AZ231" i="1"/>
  <c r="E231" i="1"/>
  <c r="I231" i="1"/>
  <c r="M231" i="1"/>
  <c r="Q231" i="1"/>
  <c r="U231" i="1"/>
  <c r="Y231" i="1"/>
  <c r="AC231" i="1"/>
  <c r="AG231" i="1"/>
  <c r="AK231" i="1"/>
  <c r="AO231" i="1"/>
  <c r="AS231" i="1"/>
  <c r="AW231" i="1"/>
  <c r="C231" i="1"/>
  <c r="B232" i="1"/>
  <c r="E232" i="1"/>
  <c r="I232" i="1"/>
  <c r="M232" i="1"/>
  <c r="Q232" i="1"/>
  <c r="U232" i="1"/>
  <c r="Y232" i="1"/>
  <c r="AC232" i="1"/>
  <c r="AG232" i="1"/>
  <c r="AK232" i="1"/>
  <c r="AO232" i="1"/>
  <c r="AS232" i="1"/>
  <c r="AW232" i="1"/>
  <c r="F232" i="1"/>
  <c r="J232" i="1"/>
  <c r="N232" i="1"/>
  <c r="R232" i="1"/>
  <c r="V232" i="1"/>
  <c r="Z232" i="1"/>
  <c r="AD232" i="1"/>
  <c r="AH232" i="1"/>
  <c r="AL232" i="1"/>
  <c r="AP232" i="1"/>
  <c r="AT232" i="1"/>
  <c r="AX232" i="1"/>
  <c r="G232" i="1"/>
  <c r="K232" i="1"/>
  <c r="O232" i="1"/>
  <c r="S232" i="1"/>
  <c r="W232" i="1"/>
  <c r="AA232" i="1"/>
  <c r="AE232" i="1"/>
  <c r="AI232" i="1"/>
  <c r="AM232" i="1"/>
  <c r="AQ232" i="1"/>
  <c r="AU232" i="1"/>
  <c r="AY232" i="1"/>
  <c r="D232" i="1"/>
  <c r="H232" i="1"/>
  <c r="L232" i="1"/>
  <c r="P232" i="1"/>
  <c r="T232" i="1"/>
  <c r="X232" i="1"/>
  <c r="AB232" i="1"/>
  <c r="AF232" i="1"/>
  <c r="AJ232" i="1"/>
  <c r="AN232" i="1"/>
  <c r="AR232" i="1"/>
  <c r="AV232" i="1"/>
  <c r="AZ232" i="1"/>
  <c r="C232" i="1"/>
  <c r="B233" i="1"/>
  <c r="D233" i="1"/>
  <c r="H233" i="1"/>
  <c r="L233" i="1"/>
  <c r="P233" i="1"/>
  <c r="T233" i="1"/>
  <c r="X233" i="1"/>
  <c r="AB233" i="1"/>
  <c r="AF233" i="1"/>
  <c r="AJ233" i="1"/>
  <c r="AN233" i="1"/>
  <c r="AR233" i="1"/>
  <c r="AV233" i="1"/>
  <c r="AZ233" i="1"/>
  <c r="E233" i="1"/>
  <c r="I233" i="1"/>
  <c r="M233" i="1"/>
  <c r="Q233" i="1"/>
  <c r="U233" i="1"/>
  <c r="Y233" i="1"/>
  <c r="AC233" i="1"/>
  <c r="AG233" i="1"/>
  <c r="AK233" i="1"/>
  <c r="AO233" i="1"/>
  <c r="AS233" i="1"/>
  <c r="AW233" i="1"/>
  <c r="F233" i="1"/>
  <c r="J233" i="1"/>
  <c r="N233" i="1"/>
  <c r="R233" i="1"/>
  <c r="V233" i="1"/>
  <c r="Z233" i="1"/>
  <c r="AD233" i="1"/>
  <c r="AH233" i="1"/>
  <c r="AL233" i="1"/>
  <c r="AP233" i="1"/>
  <c r="AT233" i="1"/>
  <c r="AX233" i="1"/>
  <c r="G233" i="1"/>
  <c r="K233" i="1"/>
  <c r="O233" i="1"/>
  <c r="S233" i="1"/>
  <c r="W233" i="1"/>
  <c r="AA233" i="1"/>
  <c r="AE233" i="1"/>
  <c r="AI233" i="1"/>
  <c r="AM233" i="1"/>
  <c r="AQ233" i="1"/>
  <c r="AU233" i="1"/>
  <c r="AY233" i="1"/>
  <c r="C233" i="1"/>
  <c r="B234" i="1"/>
  <c r="G234" i="1"/>
  <c r="K234" i="1"/>
  <c r="O234" i="1"/>
  <c r="S234" i="1"/>
  <c r="W234" i="1"/>
  <c r="AA234" i="1"/>
  <c r="AE234" i="1"/>
  <c r="AI234" i="1"/>
  <c r="AM234" i="1"/>
  <c r="AQ234" i="1"/>
  <c r="AU234" i="1"/>
  <c r="AY234" i="1"/>
  <c r="D234" i="1"/>
  <c r="H234" i="1"/>
  <c r="L234" i="1"/>
  <c r="P234" i="1"/>
  <c r="T234" i="1"/>
  <c r="X234" i="1"/>
  <c r="AB234" i="1"/>
  <c r="AF234" i="1"/>
  <c r="AJ234" i="1"/>
  <c r="AN234" i="1"/>
  <c r="AR234" i="1"/>
  <c r="AV234" i="1"/>
  <c r="AZ234" i="1"/>
  <c r="E234" i="1"/>
  <c r="I234" i="1"/>
  <c r="M234" i="1"/>
  <c r="Q234" i="1"/>
  <c r="U234" i="1"/>
  <c r="Y234" i="1"/>
  <c r="AC234" i="1"/>
  <c r="AG234" i="1"/>
  <c r="AK234" i="1"/>
  <c r="AO234" i="1"/>
  <c r="AS234" i="1"/>
  <c r="AW234" i="1"/>
  <c r="F234" i="1"/>
  <c r="J234" i="1"/>
  <c r="N234" i="1"/>
  <c r="R234" i="1"/>
  <c r="V234" i="1"/>
  <c r="Z234" i="1"/>
  <c r="AD234" i="1"/>
  <c r="AH234" i="1"/>
  <c r="AL234" i="1"/>
  <c r="AP234" i="1"/>
  <c r="AT234" i="1"/>
  <c r="AX234" i="1"/>
  <c r="C234" i="1"/>
  <c r="B235" i="1"/>
  <c r="F235" i="1"/>
  <c r="J235" i="1"/>
  <c r="N235" i="1"/>
  <c r="R235" i="1"/>
  <c r="V235" i="1"/>
  <c r="Z235" i="1"/>
  <c r="AD235" i="1"/>
  <c r="AH235" i="1"/>
  <c r="AL235" i="1"/>
  <c r="AP235" i="1"/>
  <c r="AT235" i="1"/>
  <c r="AX235" i="1"/>
  <c r="G235" i="1"/>
  <c r="K235" i="1"/>
  <c r="O235" i="1"/>
  <c r="S235" i="1"/>
  <c r="W235" i="1"/>
  <c r="AA235" i="1"/>
  <c r="AE235" i="1"/>
  <c r="AI235" i="1"/>
  <c r="AM235" i="1"/>
  <c r="AQ235" i="1"/>
  <c r="AU235" i="1"/>
  <c r="AY235" i="1"/>
  <c r="D235" i="1"/>
  <c r="H235" i="1"/>
  <c r="L235" i="1"/>
  <c r="P235" i="1"/>
  <c r="T235" i="1"/>
  <c r="X235" i="1"/>
  <c r="AB235" i="1"/>
  <c r="AF235" i="1"/>
  <c r="AJ235" i="1"/>
  <c r="AN235" i="1"/>
  <c r="AR235" i="1"/>
  <c r="AV235" i="1"/>
  <c r="AZ235" i="1"/>
  <c r="E235" i="1"/>
  <c r="I235" i="1"/>
  <c r="M235" i="1"/>
  <c r="Q235" i="1"/>
  <c r="U235" i="1"/>
  <c r="Y235" i="1"/>
  <c r="AC235" i="1"/>
  <c r="AG235" i="1"/>
  <c r="AK235" i="1"/>
  <c r="AO235" i="1"/>
  <c r="AS235" i="1"/>
  <c r="AW235" i="1"/>
  <c r="C235" i="1"/>
  <c r="B236" i="1"/>
  <c r="E236" i="1"/>
  <c r="I236" i="1"/>
  <c r="M236" i="1"/>
  <c r="Q236" i="1"/>
  <c r="U236" i="1"/>
  <c r="Y236" i="1"/>
  <c r="AC236" i="1"/>
  <c r="AG236" i="1"/>
  <c r="AK236" i="1"/>
  <c r="AO236" i="1"/>
  <c r="AS236" i="1"/>
  <c r="AW236" i="1"/>
  <c r="F236" i="1"/>
  <c r="J236" i="1"/>
  <c r="N236" i="1"/>
  <c r="R236" i="1"/>
  <c r="V236" i="1"/>
  <c r="Z236" i="1"/>
  <c r="AD236" i="1"/>
  <c r="AH236" i="1"/>
  <c r="AL236" i="1"/>
  <c r="AP236" i="1"/>
  <c r="AT236" i="1"/>
  <c r="AX236" i="1"/>
  <c r="G236" i="1"/>
  <c r="K236" i="1"/>
  <c r="O236" i="1"/>
  <c r="S236" i="1"/>
  <c r="W236" i="1"/>
  <c r="AA236" i="1"/>
  <c r="AE236" i="1"/>
  <c r="AI236" i="1"/>
  <c r="AM236" i="1"/>
  <c r="AQ236" i="1"/>
  <c r="AU236" i="1"/>
  <c r="AY236" i="1"/>
  <c r="D236" i="1"/>
  <c r="H236" i="1"/>
  <c r="L236" i="1"/>
  <c r="P236" i="1"/>
  <c r="T236" i="1"/>
  <c r="X236" i="1"/>
  <c r="AB236" i="1"/>
  <c r="AF236" i="1"/>
  <c r="AJ236" i="1"/>
  <c r="AN236" i="1"/>
  <c r="AR236" i="1"/>
  <c r="AV236" i="1"/>
  <c r="AZ236" i="1"/>
  <c r="C236" i="1"/>
  <c r="B237" i="1"/>
  <c r="D237" i="1"/>
  <c r="H237" i="1"/>
  <c r="L237" i="1"/>
  <c r="P237" i="1"/>
  <c r="T237" i="1"/>
  <c r="X237" i="1"/>
  <c r="AB237" i="1"/>
  <c r="AF237" i="1"/>
  <c r="AJ237" i="1"/>
  <c r="AN237" i="1"/>
  <c r="AR237" i="1"/>
  <c r="AV237" i="1"/>
  <c r="AZ237" i="1"/>
  <c r="E237" i="1"/>
  <c r="I237" i="1"/>
  <c r="M237" i="1"/>
  <c r="Q237" i="1"/>
  <c r="U237" i="1"/>
  <c r="Y237" i="1"/>
  <c r="AC237" i="1"/>
  <c r="AG237" i="1"/>
  <c r="AK237" i="1"/>
  <c r="AO237" i="1"/>
  <c r="AS237" i="1"/>
  <c r="AW237" i="1"/>
  <c r="F237" i="1"/>
  <c r="J237" i="1"/>
  <c r="N237" i="1"/>
  <c r="R237" i="1"/>
  <c r="V237" i="1"/>
  <c r="Z237" i="1"/>
  <c r="AD237" i="1"/>
  <c r="AH237" i="1"/>
  <c r="AL237" i="1"/>
  <c r="AP237" i="1"/>
  <c r="AT237" i="1"/>
  <c r="AX237" i="1"/>
  <c r="G237" i="1"/>
  <c r="K237" i="1"/>
  <c r="O237" i="1"/>
  <c r="S237" i="1"/>
  <c r="W237" i="1"/>
  <c r="AA237" i="1"/>
  <c r="AE237" i="1"/>
  <c r="AI237" i="1"/>
  <c r="AM237" i="1"/>
  <c r="AQ237" i="1"/>
  <c r="AU237" i="1"/>
  <c r="AY237" i="1"/>
  <c r="C237" i="1"/>
  <c r="B238" i="1"/>
  <c r="G238" i="1"/>
  <c r="K238" i="1"/>
  <c r="O238" i="1"/>
  <c r="S238" i="1"/>
  <c r="W238" i="1"/>
  <c r="AA238" i="1"/>
  <c r="AE238" i="1"/>
  <c r="AI238" i="1"/>
  <c r="AM238" i="1"/>
  <c r="AQ238" i="1"/>
  <c r="AU238" i="1"/>
  <c r="AY238" i="1"/>
  <c r="D238" i="1"/>
  <c r="H238" i="1"/>
  <c r="L238" i="1"/>
  <c r="P238" i="1"/>
  <c r="T238" i="1"/>
  <c r="X238" i="1"/>
  <c r="AB238" i="1"/>
  <c r="AF238" i="1"/>
  <c r="AJ238" i="1"/>
  <c r="AN238" i="1"/>
  <c r="AR238" i="1"/>
  <c r="AV238" i="1"/>
  <c r="AZ238" i="1"/>
  <c r="E238" i="1"/>
  <c r="I238" i="1"/>
  <c r="M238" i="1"/>
  <c r="Q238" i="1"/>
  <c r="U238" i="1"/>
  <c r="Y238" i="1"/>
  <c r="AC238" i="1"/>
  <c r="AG238" i="1"/>
  <c r="AK238" i="1"/>
  <c r="AO238" i="1"/>
  <c r="AS238" i="1"/>
  <c r="AW238" i="1"/>
  <c r="F238" i="1"/>
  <c r="J238" i="1"/>
  <c r="N238" i="1"/>
  <c r="R238" i="1"/>
  <c r="V238" i="1"/>
  <c r="Z238" i="1"/>
  <c r="AD238" i="1"/>
  <c r="AH238" i="1"/>
  <c r="AL238" i="1"/>
  <c r="AP238" i="1"/>
  <c r="AT238" i="1"/>
  <c r="AX238" i="1"/>
  <c r="C238" i="1"/>
  <c r="B239" i="1"/>
  <c r="F239" i="1"/>
  <c r="J239" i="1"/>
  <c r="N239" i="1"/>
  <c r="R239" i="1"/>
  <c r="V239" i="1"/>
  <c r="Z239" i="1"/>
  <c r="AD239" i="1"/>
  <c r="AH239" i="1"/>
  <c r="AL239" i="1"/>
  <c r="AP239" i="1"/>
  <c r="AT239" i="1"/>
  <c r="AX239" i="1"/>
  <c r="G239" i="1"/>
  <c r="K239" i="1"/>
  <c r="O239" i="1"/>
  <c r="S239" i="1"/>
  <c r="W239" i="1"/>
  <c r="AA239" i="1"/>
  <c r="AE239" i="1"/>
  <c r="AI239" i="1"/>
  <c r="AM239" i="1"/>
  <c r="AQ239" i="1"/>
  <c r="AU239" i="1"/>
  <c r="AY239" i="1"/>
  <c r="D239" i="1"/>
  <c r="H239" i="1"/>
  <c r="L239" i="1"/>
  <c r="P239" i="1"/>
  <c r="T239" i="1"/>
  <c r="X239" i="1"/>
  <c r="AB239" i="1"/>
  <c r="AF239" i="1"/>
  <c r="AJ239" i="1"/>
  <c r="AN239" i="1"/>
  <c r="AR239" i="1"/>
  <c r="AV239" i="1"/>
  <c r="AZ239" i="1"/>
  <c r="E239" i="1"/>
  <c r="I239" i="1"/>
  <c r="M239" i="1"/>
  <c r="Q239" i="1"/>
  <c r="U239" i="1"/>
  <c r="Y239" i="1"/>
  <c r="AC239" i="1"/>
  <c r="AG239" i="1"/>
  <c r="AK239" i="1"/>
  <c r="AO239" i="1"/>
  <c r="AS239" i="1"/>
  <c r="AW239" i="1"/>
  <c r="C239" i="1"/>
  <c r="B240" i="1"/>
  <c r="E240" i="1"/>
  <c r="I240" i="1"/>
  <c r="M240" i="1"/>
  <c r="Q240" i="1"/>
  <c r="U240" i="1"/>
  <c r="Y240" i="1"/>
  <c r="AC240" i="1"/>
  <c r="AG240" i="1"/>
  <c r="AK240" i="1"/>
  <c r="AO240" i="1"/>
  <c r="AS240" i="1"/>
  <c r="AW240" i="1"/>
  <c r="F240" i="1"/>
  <c r="J240" i="1"/>
  <c r="N240" i="1"/>
  <c r="R240" i="1"/>
  <c r="V240" i="1"/>
  <c r="Z240" i="1"/>
  <c r="AD240" i="1"/>
  <c r="AH240" i="1"/>
  <c r="AL240" i="1"/>
  <c r="AP240" i="1"/>
  <c r="AT240" i="1"/>
  <c r="AX240" i="1"/>
  <c r="G240" i="1"/>
  <c r="K240" i="1"/>
  <c r="O240" i="1"/>
  <c r="S240" i="1"/>
  <c r="W240" i="1"/>
  <c r="AA240" i="1"/>
  <c r="AE240" i="1"/>
  <c r="AI240" i="1"/>
  <c r="AM240" i="1"/>
  <c r="AQ240" i="1"/>
  <c r="AU240" i="1"/>
  <c r="AY240" i="1"/>
  <c r="D240" i="1"/>
  <c r="H240" i="1"/>
  <c r="L240" i="1"/>
  <c r="P240" i="1"/>
  <c r="T240" i="1"/>
  <c r="X240" i="1"/>
  <c r="AB240" i="1"/>
  <c r="AF240" i="1"/>
  <c r="AJ240" i="1"/>
  <c r="AN240" i="1"/>
  <c r="AR240" i="1"/>
  <c r="AV240" i="1"/>
  <c r="AZ240" i="1"/>
  <c r="C240" i="1"/>
  <c r="B241" i="1"/>
  <c r="D241" i="1"/>
  <c r="H241" i="1"/>
  <c r="L241" i="1"/>
  <c r="P241" i="1"/>
  <c r="T241" i="1"/>
  <c r="X241" i="1"/>
  <c r="AB241" i="1"/>
  <c r="AF241" i="1"/>
  <c r="AJ241" i="1"/>
  <c r="AN241" i="1"/>
  <c r="AR241" i="1"/>
  <c r="AV241" i="1"/>
  <c r="AZ241" i="1"/>
  <c r="E241" i="1"/>
  <c r="I241" i="1"/>
  <c r="M241" i="1"/>
  <c r="Q241" i="1"/>
  <c r="U241" i="1"/>
  <c r="Y241" i="1"/>
  <c r="AC241" i="1"/>
  <c r="AG241" i="1"/>
  <c r="AK241" i="1"/>
  <c r="AO241" i="1"/>
  <c r="AS241" i="1"/>
  <c r="AW241" i="1"/>
  <c r="F241" i="1"/>
  <c r="J241" i="1"/>
  <c r="N241" i="1"/>
  <c r="R241" i="1"/>
  <c r="V241" i="1"/>
  <c r="Z241" i="1"/>
  <c r="AD241" i="1"/>
  <c r="AH241" i="1"/>
  <c r="AL241" i="1"/>
  <c r="AP241" i="1"/>
  <c r="AT241" i="1"/>
  <c r="AX241" i="1"/>
  <c r="G241" i="1"/>
  <c r="K241" i="1"/>
  <c r="O241" i="1"/>
  <c r="S241" i="1"/>
  <c r="W241" i="1"/>
  <c r="AA241" i="1"/>
  <c r="AE241" i="1"/>
  <c r="AI241" i="1"/>
  <c r="AM241" i="1"/>
  <c r="AQ241" i="1"/>
  <c r="AU241" i="1"/>
  <c r="AY241" i="1"/>
  <c r="C241" i="1"/>
  <c r="B242" i="1"/>
  <c r="G242" i="1"/>
  <c r="K242" i="1"/>
  <c r="O242" i="1"/>
  <c r="S242" i="1"/>
  <c r="W242" i="1"/>
  <c r="AA242" i="1"/>
  <c r="AE242" i="1"/>
  <c r="AI242" i="1"/>
  <c r="AM242" i="1"/>
  <c r="AQ242" i="1"/>
  <c r="AU242" i="1"/>
  <c r="AY242" i="1"/>
  <c r="D242" i="1"/>
  <c r="H242" i="1"/>
  <c r="L242" i="1"/>
  <c r="P242" i="1"/>
  <c r="T242" i="1"/>
  <c r="X242" i="1"/>
  <c r="AB242" i="1"/>
  <c r="AF242" i="1"/>
  <c r="AJ242" i="1"/>
  <c r="AN242" i="1"/>
  <c r="AR242" i="1"/>
  <c r="AV242" i="1"/>
  <c r="AZ242" i="1"/>
  <c r="E242" i="1"/>
  <c r="I242" i="1"/>
  <c r="M242" i="1"/>
  <c r="Q242" i="1"/>
  <c r="U242" i="1"/>
  <c r="Y242" i="1"/>
  <c r="AC242" i="1"/>
  <c r="AG242" i="1"/>
  <c r="AK242" i="1"/>
  <c r="AO242" i="1"/>
  <c r="AS242" i="1"/>
  <c r="AW242" i="1"/>
  <c r="F242" i="1"/>
  <c r="J242" i="1"/>
  <c r="N242" i="1"/>
  <c r="R242" i="1"/>
  <c r="V242" i="1"/>
  <c r="Z242" i="1"/>
  <c r="AD242" i="1"/>
  <c r="AH242" i="1"/>
  <c r="AL242" i="1"/>
  <c r="AP242" i="1"/>
  <c r="AT242" i="1"/>
  <c r="AX242" i="1"/>
  <c r="C242" i="1"/>
  <c r="B243" i="1"/>
  <c r="F243" i="1"/>
  <c r="J243" i="1"/>
  <c r="N243" i="1"/>
  <c r="R243" i="1"/>
  <c r="V243" i="1"/>
  <c r="Z243" i="1"/>
  <c r="AD243" i="1"/>
  <c r="AH243" i="1"/>
  <c r="AL243" i="1"/>
  <c r="AP243" i="1"/>
  <c r="AT243" i="1"/>
  <c r="AX243" i="1"/>
  <c r="G243" i="1"/>
  <c r="K243" i="1"/>
  <c r="O243" i="1"/>
  <c r="S243" i="1"/>
  <c r="W243" i="1"/>
  <c r="AA243" i="1"/>
  <c r="AE243" i="1"/>
  <c r="AI243" i="1"/>
  <c r="AM243" i="1"/>
  <c r="AQ243" i="1"/>
  <c r="AU243" i="1"/>
  <c r="AY243" i="1"/>
  <c r="D243" i="1"/>
  <c r="H243" i="1"/>
  <c r="L243" i="1"/>
  <c r="P243" i="1"/>
  <c r="T243" i="1"/>
  <c r="X243" i="1"/>
  <c r="AB243" i="1"/>
  <c r="AF243" i="1"/>
  <c r="AJ243" i="1"/>
  <c r="AN243" i="1"/>
  <c r="AR243" i="1"/>
  <c r="AV243" i="1"/>
  <c r="AZ243" i="1"/>
  <c r="E243" i="1"/>
  <c r="I243" i="1"/>
  <c r="M243" i="1"/>
  <c r="Q243" i="1"/>
  <c r="U243" i="1"/>
  <c r="Y243" i="1"/>
  <c r="AC243" i="1"/>
  <c r="AG243" i="1"/>
  <c r="AK243" i="1"/>
  <c r="AO243" i="1"/>
  <c r="AS243" i="1"/>
  <c r="AW243" i="1"/>
  <c r="C243" i="1"/>
  <c r="B244" i="1"/>
  <c r="E244" i="1"/>
  <c r="I244" i="1"/>
  <c r="M244" i="1"/>
  <c r="Q244" i="1"/>
  <c r="U244" i="1"/>
  <c r="Y244" i="1"/>
  <c r="AC244" i="1"/>
  <c r="AG244" i="1"/>
  <c r="AK244" i="1"/>
  <c r="AO244" i="1"/>
  <c r="AS244" i="1"/>
  <c r="AW244" i="1"/>
  <c r="F244" i="1"/>
  <c r="J244" i="1"/>
  <c r="N244" i="1"/>
  <c r="R244" i="1"/>
  <c r="V244" i="1"/>
  <c r="Z244" i="1"/>
  <c r="AD244" i="1"/>
  <c r="AH244" i="1"/>
  <c r="AL244" i="1"/>
  <c r="AP244" i="1"/>
  <c r="AT244" i="1"/>
  <c r="AX244" i="1"/>
  <c r="G244" i="1"/>
  <c r="K244" i="1"/>
  <c r="O244" i="1"/>
  <c r="S244" i="1"/>
  <c r="W244" i="1"/>
  <c r="AA244" i="1"/>
  <c r="AE244" i="1"/>
  <c r="AI244" i="1"/>
  <c r="AM244" i="1"/>
  <c r="AQ244" i="1"/>
  <c r="AU244" i="1"/>
  <c r="AY244" i="1"/>
  <c r="D244" i="1"/>
  <c r="H244" i="1"/>
  <c r="L244" i="1"/>
  <c r="P244" i="1"/>
  <c r="T244" i="1"/>
  <c r="X244" i="1"/>
  <c r="AB244" i="1"/>
  <c r="AF244" i="1"/>
  <c r="AJ244" i="1"/>
  <c r="AN244" i="1"/>
  <c r="AR244" i="1"/>
  <c r="AV244" i="1"/>
  <c r="AZ244" i="1"/>
  <c r="C244" i="1"/>
  <c r="B245" i="1"/>
  <c r="B246" i="1"/>
  <c r="G246" i="1"/>
  <c r="K246" i="1"/>
  <c r="O246" i="1"/>
  <c r="S246" i="1"/>
  <c r="W246" i="1"/>
  <c r="AA246" i="1"/>
  <c r="AE246" i="1"/>
  <c r="AI246" i="1"/>
  <c r="AM246" i="1"/>
  <c r="AQ246" i="1"/>
  <c r="AU246" i="1"/>
  <c r="AY246" i="1"/>
  <c r="D246" i="1"/>
  <c r="H246" i="1"/>
  <c r="L246" i="1"/>
  <c r="P246" i="1"/>
  <c r="T246" i="1"/>
  <c r="X246" i="1"/>
  <c r="AB246" i="1"/>
  <c r="AF246" i="1"/>
  <c r="AJ246" i="1"/>
  <c r="AN246" i="1"/>
  <c r="AR246" i="1"/>
  <c r="AV246" i="1"/>
  <c r="AZ246" i="1"/>
  <c r="E246" i="1"/>
  <c r="I246" i="1"/>
  <c r="M246" i="1"/>
  <c r="Q246" i="1"/>
  <c r="U246" i="1"/>
  <c r="Y246" i="1"/>
  <c r="AC246" i="1"/>
  <c r="AG246" i="1"/>
  <c r="AK246" i="1"/>
  <c r="AO246" i="1"/>
  <c r="AS246" i="1"/>
  <c r="AW246" i="1"/>
  <c r="F246" i="1"/>
  <c r="J246" i="1"/>
  <c r="N246" i="1"/>
  <c r="R246" i="1"/>
  <c r="V246" i="1"/>
  <c r="Z246" i="1"/>
  <c r="AD246" i="1"/>
  <c r="AH246" i="1"/>
  <c r="AL246" i="1"/>
  <c r="AP246" i="1"/>
  <c r="AT246" i="1"/>
  <c r="AX246" i="1"/>
  <c r="C246" i="1"/>
  <c r="D245" i="1"/>
  <c r="H245" i="1"/>
  <c r="L245" i="1"/>
  <c r="P245" i="1"/>
  <c r="T245" i="1"/>
  <c r="X245" i="1"/>
  <c r="AB245" i="1"/>
  <c r="AF245" i="1"/>
  <c r="AJ245" i="1"/>
  <c r="AN245" i="1"/>
  <c r="AR245" i="1"/>
  <c r="AV245" i="1"/>
  <c r="AZ245" i="1"/>
  <c r="E245" i="1"/>
  <c r="I245" i="1"/>
  <c r="M245" i="1"/>
  <c r="Q245" i="1"/>
  <c r="U245" i="1"/>
  <c r="Y245" i="1"/>
  <c r="AC245" i="1"/>
  <c r="AG245" i="1"/>
  <c r="AK245" i="1"/>
  <c r="AO245" i="1"/>
  <c r="AS245" i="1"/>
  <c r="AW245" i="1"/>
  <c r="F245" i="1"/>
  <c r="J245" i="1"/>
  <c r="N245" i="1"/>
  <c r="R245" i="1"/>
  <c r="V245" i="1"/>
  <c r="Z245" i="1"/>
  <c r="AD245" i="1"/>
  <c r="AH245" i="1"/>
  <c r="AL245" i="1"/>
  <c r="AP245" i="1"/>
  <c r="AT245" i="1"/>
  <c r="AX245" i="1"/>
  <c r="G245" i="1"/>
  <c r="K245" i="1"/>
  <c r="O245" i="1"/>
  <c r="S245" i="1"/>
  <c r="W245" i="1"/>
  <c r="AA245" i="1"/>
  <c r="AE245" i="1"/>
  <c r="AI245" i="1"/>
  <c r="AM245" i="1"/>
  <c r="AQ245" i="1"/>
  <c r="AU245" i="1"/>
  <c r="AY245" i="1"/>
  <c r="C245" i="1"/>
  <c r="B247" i="1"/>
  <c r="F247" i="1"/>
  <c r="J247" i="1"/>
  <c r="N247" i="1"/>
  <c r="R247" i="1"/>
  <c r="V247" i="1"/>
  <c r="Z247" i="1"/>
  <c r="AD247" i="1"/>
  <c r="AH247" i="1"/>
  <c r="AL247" i="1"/>
  <c r="AP247" i="1"/>
  <c r="AT247" i="1"/>
  <c r="AX247" i="1"/>
  <c r="G247" i="1"/>
  <c r="K247" i="1"/>
  <c r="O247" i="1"/>
  <c r="S247" i="1"/>
  <c r="W247" i="1"/>
  <c r="AA247" i="1"/>
  <c r="AE247" i="1"/>
  <c r="AI247" i="1"/>
  <c r="AM247" i="1"/>
  <c r="AQ247" i="1"/>
  <c r="AU247" i="1"/>
  <c r="AY247" i="1"/>
  <c r="D247" i="1"/>
  <c r="H247" i="1"/>
  <c r="L247" i="1"/>
  <c r="P247" i="1"/>
  <c r="T247" i="1"/>
  <c r="X247" i="1"/>
  <c r="AB247" i="1"/>
  <c r="AF247" i="1"/>
  <c r="AJ247" i="1"/>
  <c r="AN247" i="1"/>
  <c r="AR247" i="1"/>
  <c r="AV247" i="1"/>
  <c r="AZ247" i="1"/>
  <c r="E247" i="1"/>
  <c r="I247" i="1"/>
  <c r="M247" i="1"/>
  <c r="Q247" i="1"/>
  <c r="U247" i="1"/>
  <c r="Y247" i="1"/>
  <c r="AC247" i="1"/>
  <c r="AG247" i="1"/>
  <c r="AK247" i="1"/>
  <c r="AO247" i="1"/>
  <c r="AS247" i="1"/>
  <c r="AW247" i="1"/>
  <c r="C247" i="1"/>
  <c r="B248" i="1"/>
  <c r="E248" i="1"/>
  <c r="I248" i="1"/>
  <c r="M248" i="1"/>
  <c r="Q248" i="1"/>
  <c r="U248" i="1"/>
  <c r="Y248" i="1"/>
  <c r="AC248" i="1"/>
  <c r="AG248" i="1"/>
  <c r="AK248" i="1"/>
  <c r="AO248" i="1"/>
  <c r="AS248" i="1"/>
  <c r="AW248" i="1"/>
  <c r="F248" i="1"/>
  <c r="J248" i="1"/>
  <c r="N248" i="1"/>
  <c r="R248" i="1"/>
  <c r="V248" i="1"/>
  <c r="Z248" i="1"/>
  <c r="AD248" i="1"/>
  <c r="AH248" i="1"/>
  <c r="AL248" i="1"/>
  <c r="AP248" i="1"/>
  <c r="AT248" i="1"/>
  <c r="AX248" i="1"/>
  <c r="G248" i="1"/>
  <c r="K248" i="1"/>
  <c r="O248" i="1"/>
  <c r="S248" i="1"/>
  <c r="W248" i="1"/>
  <c r="AA248" i="1"/>
  <c r="AE248" i="1"/>
  <c r="AI248" i="1"/>
  <c r="AM248" i="1"/>
  <c r="AQ248" i="1"/>
  <c r="AU248" i="1"/>
  <c r="AY248" i="1"/>
  <c r="D248" i="1"/>
  <c r="H248" i="1"/>
  <c r="L248" i="1"/>
  <c r="P248" i="1"/>
  <c r="T248" i="1"/>
  <c r="X248" i="1"/>
  <c r="AB248" i="1"/>
  <c r="AF248" i="1"/>
  <c r="AJ248" i="1"/>
  <c r="AN248" i="1"/>
  <c r="AR248" i="1"/>
  <c r="AV248" i="1"/>
  <c r="AZ248" i="1"/>
  <c r="C248" i="1"/>
  <c r="B249" i="1"/>
  <c r="D249" i="1"/>
  <c r="H249" i="1"/>
  <c r="L249" i="1"/>
  <c r="P249" i="1"/>
  <c r="T249" i="1"/>
  <c r="X249" i="1"/>
  <c r="AB249" i="1"/>
  <c r="AF249" i="1"/>
  <c r="AJ249" i="1"/>
  <c r="AN249" i="1"/>
  <c r="AR249" i="1"/>
  <c r="AV249" i="1"/>
  <c r="AZ249" i="1"/>
  <c r="E249" i="1"/>
  <c r="I249" i="1"/>
  <c r="M249" i="1"/>
  <c r="Q249" i="1"/>
  <c r="U249" i="1"/>
  <c r="Y249" i="1"/>
  <c r="AC249" i="1"/>
  <c r="AG249" i="1"/>
  <c r="AK249" i="1"/>
  <c r="AO249" i="1"/>
  <c r="AS249" i="1"/>
  <c r="AW249" i="1"/>
  <c r="F249" i="1"/>
  <c r="J249" i="1"/>
  <c r="N249" i="1"/>
  <c r="R249" i="1"/>
  <c r="V249" i="1"/>
  <c r="Z249" i="1"/>
  <c r="AD249" i="1"/>
  <c r="AH249" i="1"/>
  <c r="AL249" i="1"/>
  <c r="AP249" i="1"/>
  <c r="AT249" i="1"/>
  <c r="AX249" i="1"/>
  <c r="G249" i="1"/>
  <c r="K249" i="1"/>
  <c r="O249" i="1"/>
  <c r="S249" i="1"/>
  <c r="W249" i="1"/>
  <c r="AA249" i="1"/>
  <c r="AE249" i="1"/>
  <c r="AI249" i="1"/>
  <c r="AM249" i="1"/>
  <c r="AQ249" i="1"/>
  <c r="AU249" i="1"/>
  <c r="AY249" i="1"/>
  <c r="C249" i="1"/>
  <c r="B250" i="1"/>
  <c r="G250" i="1"/>
  <c r="K250" i="1"/>
  <c r="O250" i="1"/>
  <c r="S250" i="1"/>
  <c r="W250" i="1"/>
  <c r="AA250" i="1"/>
  <c r="AE250" i="1"/>
  <c r="AI250" i="1"/>
  <c r="AM250" i="1"/>
  <c r="AQ250" i="1"/>
  <c r="AU250" i="1"/>
  <c r="AY250" i="1"/>
  <c r="D250" i="1"/>
  <c r="H250" i="1"/>
  <c r="L250" i="1"/>
  <c r="P250" i="1"/>
  <c r="T250" i="1"/>
  <c r="X250" i="1"/>
  <c r="AB250" i="1"/>
  <c r="AF250" i="1"/>
  <c r="AJ250" i="1"/>
  <c r="AN250" i="1"/>
  <c r="AR250" i="1"/>
  <c r="AV250" i="1"/>
  <c r="AZ250" i="1"/>
  <c r="E250" i="1"/>
  <c r="I250" i="1"/>
  <c r="M250" i="1"/>
  <c r="Q250" i="1"/>
  <c r="U250" i="1"/>
  <c r="Y250" i="1"/>
  <c r="AC250" i="1"/>
  <c r="AG250" i="1"/>
  <c r="AK250" i="1"/>
  <c r="AO250" i="1"/>
  <c r="AS250" i="1"/>
  <c r="AW250" i="1"/>
  <c r="F250" i="1"/>
  <c r="J250" i="1"/>
  <c r="N250" i="1"/>
  <c r="R250" i="1"/>
  <c r="V250" i="1"/>
  <c r="Z250" i="1"/>
  <c r="AD250" i="1"/>
  <c r="AH250" i="1"/>
  <c r="AL250" i="1"/>
  <c r="AP250" i="1"/>
  <c r="AT250" i="1"/>
  <c r="AX250" i="1"/>
  <c r="C250" i="1"/>
  <c r="B251" i="1"/>
  <c r="F251" i="1"/>
  <c r="J251" i="1"/>
  <c r="N251" i="1"/>
  <c r="R251" i="1"/>
  <c r="V251" i="1"/>
  <c r="Z251" i="1"/>
  <c r="AD251" i="1"/>
  <c r="AH251" i="1"/>
  <c r="AL251" i="1"/>
  <c r="AP251" i="1"/>
  <c r="AT251" i="1"/>
  <c r="AX251" i="1"/>
  <c r="G251" i="1"/>
  <c r="K251" i="1"/>
  <c r="O251" i="1"/>
  <c r="S251" i="1"/>
  <c r="W251" i="1"/>
  <c r="AA251" i="1"/>
  <c r="AE251" i="1"/>
  <c r="AI251" i="1"/>
  <c r="AM251" i="1"/>
  <c r="AQ251" i="1"/>
  <c r="AU251" i="1"/>
  <c r="AY251" i="1"/>
  <c r="D251" i="1"/>
  <c r="H251" i="1"/>
  <c r="L251" i="1"/>
  <c r="P251" i="1"/>
  <c r="T251" i="1"/>
  <c r="X251" i="1"/>
  <c r="AB251" i="1"/>
  <c r="AF251" i="1"/>
  <c r="AJ251" i="1"/>
  <c r="AN251" i="1"/>
  <c r="AR251" i="1"/>
  <c r="AV251" i="1"/>
  <c r="AZ251" i="1"/>
  <c r="E251" i="1"/>
  <c r="I251" i="1"/>
  <c r="M251" i="1"/>
  <c r="Q251" i="1"/>
  <c r="U251" i="1"/>
  <c r="Y251" i="1"/>
  <c r="AC251" i="1"/>
  <c r="AG251" i="1"/>
  <c r="AK251" i="1"/>
  <c r="AO251" i="1"/>
  <c r="AS251" i="1"/>
  <c r="AW251" i="1"/>
  <c r="C251" i="1"/>
  <c r="B252" i="1"/>
  <c r="E252" i="1"/>
  <c r="I252" i="1"/>
  <c r="M252" i="1"/>
  <c r="Q252" i="1"/>
  <c r="U252" i="1"/>
  <c r="Y252" i="1"/>
  <c r="AC252" i="1"/>
  <c r="AG252" i="1"/>
  <c r="AK252" i="1"/>
  <c r="AO252" i="1"/>
  <c r="AS252" i="1"/>
  <c r="AW252" i="1"/>
  <c r="F252" i="1"/>
  <c r="J252" i="1"/>
  <c r="N252" i="1"/>
  <c r="R252" i="1"/>
  <c r="V252" i="1"/>
  <c r="Z252" i="1"/>
  <c r="AD252" i="1"/>
  <c r="AH252" i="1"/>
  <c r="AL252" i="1"/>
  <c r="AP252" i="1"/>
  <c r="AT252" i="1"/>
  <c r="AX252" i="1"/>
  <c r="G252" i="1"/>
  <c r="K252" i="1"/>
  <c r="O252" i="1"/>
  <c r="S252" i="1"/>
  <c r="W252" i="1"/>
  <c r="AA252" i="1"/>
  <c r="AE252" i="1"/>
  <c r="AI252" i="1"/>
  <c r="AM252" i="1"/>
  <c r="AQ252" i="1"/>
  <c r="AU252" i="1"/>
  <c r="AY252" i="1"/>
  <c r="D252" i="1"/>
  <c r="H252" i="1"/>
  <c r="L252" i="1"/>
  <c r="P252" i="1"/>
  <c r="T252" i="1"/>
  <c r="X252" i="1"/>
  <c r="AB252" i="1"/>
  <c r="AF252" i="1"/>
  <c r="AJ252" i="1"/>
  <c r="AN252" i="1"/>
  <c r="AR252" i="1"/>
  <c r="AV252" i="1"/>
  <c r="AZ252" i="1"/>
  <c r="C252" i="1"/>
  <c r="B253" i="1"/>
  <c r="D253" i="1"/>
  <c r="H253" i="1"/>
  <c r="L253" i="1"/>
  <c r="P253" i="1"/>
  <c r="T253" i="1"/>
  <c r="X253" i="1"/>
  <c r="AB253" i="1"/>
  <c r="AF253" i="1"/>
  <c r="AJ253" i="1"/>
  <c r="AN253" i="1"/>
  <c r="AR253" i="1"/>
  <c r="AV253" i="1"/>
  <c r="AZ253" i="1"/>
  <c r="E253" i="1"/>
  <c r="I253" i="1"/>
  <c r="M253" i="1"/>
  <c r="Q253" i="1"/>
  <c r="U253" i="1"/>
  <c r="Y253" i="1"/>
  <c r="AC253" i="1"/>
  <c r="AG253" i="1"/>
  <c r="AK253" i="1"/>
  <c r="AO253" i="1"/>
  <c r="AS253" i="1"/>
  <c r="AW253" i="1"/>
  <c r="F253" i="1"/>
  <c r="J253" i="1"/>
  <c r="N253" i="1"/>
  <c r="R253" i="1"/>
  <c r="V253" i="1"/>
  <c r="Z253" i="1"/>
  <c r="AD253" i="1"/>
  <c r="AH253" i="1"/>
  <c r="AL253" i="1"/>
  <c r="AP253" i="1"/>
  <c r="AT253" i="1"/>
  <c r="AX253" i="1"/>
  <c r="G253" i="1"/>
  <c r="K253" i="1"/>
  <c r="O253" i="1"/>
  <c r="S253" i="1"/>
  <c r="W253" i="1"/>
  <c r="AA253" i="1"/>
  <c r="AE253" i="1"/>
  <c r="AI253" i="1"/>
  <c r="AM253" i="1"/>
  <c r="AQ253" i="1"/>
  <c r="AU253" i="1"/>
  <c r="AY253" i="1"/>
  <c r="C253" i="1"/>
  <c r="B254" i="1"/>
  <c r="G254" i="1"/>
  <c r="K254" i="1"/>
  <c r="O254" i="1"/>
  <c r="S254" i="1"/>
  <c r="W254" i="1"/>
  <c r="AA254" i="1"/>
  <c r="AE254" i="1"/>
  <c r="AI254" i="1"/>
  <c r="AM254" i="1"/>
  <c r="AQ254" i="1"/>
  <c r="AU254" i="1"/>
  <c r="AY254" i="1"/>
  <c r="D254" i="1"/>
  <c r="H254" i="1"/>
  <c r="L254" i="1"/>
  <c r="P254" i="1"/>
  <c r="T254" i="1"/>
  <c r="X254" i="1"/>
  <c r="AB254" i="1"/>
  <c r="AF254" i="1"/>
  <c r="AJ254" i="1"/>
  <c r="AN254" i="1"/>
  <c r="AR254" i="1"/>
  <c r="AV254" i="1"/>
  <c r="AZ254" i="1"/>
  <c r="E254" i="1"/>
  <c r="I254" i="1"/>
  <c r="M254" i="1"/>
  <c r="Q254" i="1"/>
  <c r="U254" i="1"/>
  <c r="Y254" i="1"/>
  <c r="AC254" i="1"/>
  <c r="AG254" i="1"/>
  <c r="AK254" i="1"/>
  <c r="AO254" i="1"/>
  <c r="AS254" i="1"/>
  <c r="AW254" i="1"/>
  <c r="F254" i="1"/>
  <c r="J254" i="1"/>
  <c r="N254" i="1"/>
  <c r="R254" i="1"/>
  <c r="V254" i="1"/>
  <c r="Z254" i="1"/>
  <c r="AD254" i="1"/>
  <c r="AH254" i="1"/>
  <c r="AL254" i="1"/>
  <c r="AP254" i="1"/>
  <c r="AT254" i="1"/>
  <c r="AX254" i="1"/>
  <c r="C254" i="1"/>
  <c r="B255" i="1"/>
  <c r="F255" i="1"/>
  <c r="J255" i="1"/>
  <c r="N255" i="1"/>
  <c r="R255" i="1"/>
  <c r="V255" i="1"/>
  <c r="Z255" i="1"/>
  <c r="AD255" i="1"/>
  <c r="AH255" i="1"/>
  <c r="AL255" i="1"/>
  <c r="AP255" i="1"/>
  <c r="AT255" i="1"/>
  <c r="AX255" i="1"/>
  <c r="G255" i="1"/>
  <c r="K255" i="1"/>
  <c r="O255" i="1"/>
  <c r="S255" i="1"/>
  <c r="W255" i="1"/>
  <c r="AA255" i="1"/>
  <c r="AE255" i="1"/>
  <c r="AI255" i="1"/>
  <c r="AM255" i="1"/>
  <c r="AQ255" i="1"/>
  <c r="AU255" i="1"/>
  <c r="AY255" i="1"/>
  <c r="D255" i="1"/>
  <c r="H255" i="1"/>
  <c r="L255" i="1"/>
  <c r="P255" i="1"/>
  <c r="T255" i="1"/>
  <c r="X255" i="1"/>
  <c r="AB255" i="1"/>
  <c r="AF255" i="1"/>
  <c r="AJ255" i="1"/>
  <c r="AN255" i="1"/>
  <c r="AR255" i="1"/>
  <c r="AV255" i="1"/>
  <c r="AZ255" i="1"/>
  <c r="E255" i="1"/>
  <c r="I255" i="1"/>
  <c r="M255" i="1"/>
  <c r="Q255" i="1"/>
  <c r="U255" i="1"/>
  <c r="Y255" i="1"/>
  <c r="AC255" i="1"/>
  <c r="AG255" i="1"/>
  <c r="AK255" i="1"/>
  <c r="AO255" i="1"/>
  <c r="AS255" i="1"/>
  <c r="AW255" i="1"/>
  <c r="C255" i="1"/>
  <c r="B256" i="1"/>
  <c r="E256" i="1"/>
  <c r="I256" i="1"/>
  <c r="M256" i="1"/>
  <c r="Q256" i="1"/>
  <c r="U256" i="1"/>
  <c r="Y256" i="1"/>
  <c r="AC256" i="1"/>
  <c r="AG256" i="1"/>
  <c r="AK256" i="1"/>
  <c r="AO256" i="1"/>
  <c r="AS256" i="1"/>
  <c r="AW256" i="1"/>
  <c r="F256" i="1"/>
  <c r="J256" i="1"/>
  <c r="N256" i="1"/>
  <c r="R256" i="1"/>
  <c r="V256" i="1"/>
  <c r="Z256" i="1"/>
  <c r="AD256" i="1"/>
  <c r="AH256" i="1"/>
  <c r="AL256" i="1"/>
  <c r="AP256" i="1"/>
  <c r="AT256" i="1"/>
  <c r="AX256" i="1"/>
  <c r="G256" i="1"/>
  <c r="K256" i="1"/>
  <c r="O256" i="1"/>
  <c r="S256" i="1"/>
  <c r="W256" i="1"/>
  <c r="AA256" i="1"/>
  <c r="AE256" i="1"/>
  <c r="AI256" i="1"/>
  <c r="AM256" i="1"/>
  <c r="AQ256" i="1"/>
  <c r="AU256" i="1"/>
  <c r="AY256" i="1"/>
  <c r="D256" i="1"/>
  <c r="H256" i="1"/>
  <c r="L256" i="1"/>
  <c r="P256" i="1"/>
  <c r="T256" i="1"/>
  <c r="X256" i="1"/>
  <c r="AB256" i="1"/>
  <c r="AF256" i="1"/>
  <c r="AJ256" i="1"/>
  <c r="AN256" i="1"/>
  <c r="AR256" i="1"/>
  <c r="AV256" i="1"/>
  <c r="AZ256" i="1"/>
  <c r="C256" i="1"/>
  <c r="B257" i="1"/>
  <c r="D257" i="1"/>
  <c r="H257" i="1"/>
  <c r="L257" i="1"/>
  <c r="P257" i="1"/>
  <c r="T257" i="1"/>
  <c r="X257" i="1"/>
  <c r="AB257" i="1"/>
  <c r="AF257" i="1"/>
  <c r="AJ257" i="1"/>
  <c r="AN257" i="1"/>
  <c r="AR257" i="1"/>
  <c r="AV257" i="1"/>
  <c r="AZ257" i="1"/>
  <c r="E257" i="1"/>
  <c r="I257" i="1"/>
  <c r="M257" i="1"/>
  <c r="Q257" i="1"/>
  <c r="U257" i="1"/>
  <c r="Y257" i="1"/>
  <c r="AC257" i="1"/>
  <c r="AG257" i="1"/>
  <c r="AK257" i="1"/>
  <c r="AO257" i="1"/>
  <c r="AS257" i="1"/>
  <c r="AW257" i="1"/>
  <c r="F257" i="1"/>
  <c r="J257" i="1"/>
  <c r="N257" i="1"/>
  <c r="R257" i="1"/>
  <c r="V257" i="1"/>
  <c r="Z257" i="1"/>
  <c r="AD257" i="1"/>
  <c r="AH257" i="1"/>
  <c r="AL257" i="1"/>
  <c r="AP257" i="1"/>
  <c r="AT257" i="1"/>
  <c r="AX257" i="1"/>
  <c r="G257" i="1"/>
  <c r="K257" i="1"/>
  <c r="O257" i="1"/>
  <c r="S257" i="1"/>
  <c r="W257" i="1"/>
  <c r="AA257" i="1"/>
  <c r="AE257" i="1"/>
  <c r="AI257" i="1"/>
  <c r="AM257" i="1"/>
  <c r="AQ257" i="1"/>
  <c r="AU257" i="1"/>
  <c r="AY257" i="1"/>
  <c r="C257" i="1"/>
  <c r="B258" i="1"/>
  <c r="G258" i="1"/>
  <c r="K258" i="1"/>
  <c r="O258" i="1"/>
  <c r="S258" i="1"/>
  <c r="W258" i="1"/>
  <c r="AA258" i="1"/>
  <c r="AE258" i="1"/>
  <c r="AI258" i="1"/>
  <c r="AM258" i="1"/>
  <c r="AQ258" i="1"/>
  <c r="AU258" i="1"/>
  <c r="AY258" i="1"/>
  <c r="D258" i="1"/>
  <c r="H258" i="1"/>
  <c r="L258" i="1"/>
  <c r="P258" i="1"/>
  <c r="T258" i="1"/>
  <c r="X258" i="1"/>
  <c r="AB258" i="1"/>
  <c r="AF258" i="1"/>
  <c r="AJ258" i="1"/>
  <c r="AN258" i="1"/>
  <c r="AR258" i="1"/>
  <c r="AV258" i="1"/>
  <c r="AZ258" i="1"/>
  <c r="F258" i="1"/>
  <c r="J258" i="1"/>
  <c r="N258" i="1"/>
  <c r="R258" i="1"/>
  <c r="V258" i="1"/>
  <c r="Z258" i="1"/>
  <c r="AD258" i="1"/>
  <c r="AH258" i="1"/>
  <c r="AL258" i="1"/>
  <c r="AP258" i="1"/>
  <c r="AT258" i="1"/>
  <c r="AX258" i="1"/>
  <c r="Q258" i="1"/>
  <c r="AG258" i="1"/>
  <c r="AW258" i="1"/>
  <c r="E258" i="1"/>
  <c r="U258" i="1"/>
  <c r="AK258" i="1"/>
  <c r="I258" i="1"/>
  <c r="Y258" i="1"/>
  <c r="AO258" i="1"/>
  <c r="M258" i="1"/>
  <c r="AC258" i="1"/>
  <c r="AS258" i="1"/>
  <c r="C258" i="1"/>
  <c r="B259" i="1"/>
  <c r="F259" i="1"/>
  <c r="J259" i="1"/>
  <c r="N259" i="1"/>
  <c r="R259" i="1"/>
  <c r="V259" i="1"/>
  <c r="Z259" i="1"/>
  <c r="AD259" i="1"/>
  <c r="AH259" i="1"/>
  <c r="AL259" i="1"/>
  <c r="AP259" i="1"/>
  <c r="AT259" i="1"/>
  <c r="AX259" i="1"/>
  <c r="G259" i="1"/>
  <c r="K259" i="1"/>
  <c r="O259" i="1"/>
  <c r="S259" i="1"/>
  <c r="W259" i="1"/>
  <c r="AA259" i="1"/>
  <c r="AE259" i="1"/>
  <c r="AI259" i="1"/>
  <c r="AM259" i="1"/>
  <c r="AQ259" i="1"/>
  <c r="AU259" i="1"/>
  <c r="AY259" i="1"/>
  <c r="E259" i="1"/>
  <c r="I259" i="1"/>
  <c r="M259" i="1"/>
  <c r="Q259" i="1"/>
  <c r="U259" i="1"/>
  <c r="Y259" i="1"/>
  <c r="AC259" i="1"/>
  <c r="AG259" i="1"/>
  <c r="AK259" i="1"/>
  <c r="AO259" i="1"/>
  <c r="AS259" i="1"/>
  <c r="AW259" i="1"/>
  <c r="L259" i="1"/>
  <c r="AB259" i="1"/>
  <c r="AR259" i="1"/>
  <c r="P259" i="1"/>
  <c r="AF259" i="1"/>
  <c r="AV259" i="1"/>
  <c r="D259" i="1"/>
  <c r="T259" i="1"/>
  <c r="AJ259" i="1"/>
  <c r="AZ259" i="1"/>
  <c r="H259" i="1"/>
  <c r="X259" i="1"/>
  <c r="AN259" i="1"/>
  <c r="C259" i="1"/>
  <c r="B260" i="1"/>
  <c r="E260" i="1"/>
  <c r="I260" i="1"/>
  <c r="M260" i="1"/>
  <c r="Q260" i="1"/>
  <c r="U260" i="1"/>
  <c r="Y260" i="1"/>
  <c r="AC260" i="1"/>
  <c r="AG260" i="1"/>
  <c r="AK260" i="1"/>
  <c r="AO260" i="1"/>
  <c r="AS260" i="1"/>
  <c r="AW260" i="1"/>
  <c r="F260" i="1"/>
  <c r="J260" i="1"/>
  <c r="N260" i="1"/>
  <c r="R260" i="1"/>
  <c r="V260" i="1"/>
  <c r="Z260" i="1"/>
  <c r="AD260" i="1"/>
  <c r="AH260" i="1"/>
  <c r="AL260" i="1"/>
  <c r="AP260" i="1"/>
  <c r="AT260" i="1"/>
  <c r="AX260" i="1"/>
  <c r="D260" i="1"/>
  <c r="H260" i="1"/>
  <c r="L260" i="1"/>
  <c r="P260" i="1"/>
  <c r="T260" i="1"/>
  <c r="X260" i="1"/>
  <c r="AB260" i="1"/>
  <c r="AF260" i="1"/>
  <c r="AJ260" i="1"/>
  <c r="AN260" i="1"/>
  <c r="AR260" i="1"/>
  <c r="AV260" i="1"/>
  <c r="AZ260" i="1"/>
  <c r="G260" i="1"/>
  <c r="W260" i="1"/>
  <c r="AM260" i="1"/>
  <c r="K260" i="1"/>
  <c r="AA260" i="1"/>
  <c r="AQ260" i="1"/>
  <c r="O260" i="1"/>
  <c r="AE260" i="1"/>
  <c r="AU260" i="1"/>
  <c r="S260" i="1"/>
  <c r="AI260" i="1"/>
  <c r="AY260" i="1"/>
  <c r="C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G800" i="1"/>
  <c r="K800" i="1"/>
  <c r="O800" i="1"/>
  <c r="S800" i="1"/>
  <c r="W800" i="1"/>
  <c r="AA800" i="1"/>
  <c r="AE800" i="1"/>
  <c r="AI800" i="1"/>
  <c r="AM800" i="1"/>
  <c r="AQ800" i="1"/>
  <c r="AU800" i="1"/>
  <c r="AY800" i="1"/>
  <c r="D800" i="1"/>
  <c r="H800" i="1"/>
  <c r="L800" i="1"/>
  <c r="P800" i="1"/>
  <c r="T800" i="1"/>
  <c r="X800" i="1"/>
  <c r="AB800" i="1"/>
  <c r="AF800" i="1"/>
  <c r="AJ800" i="1"/>
  <c r="AN800" i="1"/>
  <c r="AR800" i="1"/>
  <c r="AV800" i="1"/>
  <c r="AZ800" i="1"/>
  <c r="E800" i="1"/>
  <c r="M800" i="1"/>
  <c r="U800" i="1"/>
  <c r="AC800" i="1"/>
  <c r="AK800" i="1"/>
  <c r="AS800" i="1"/>
  <c r="I800" i="1"/>
  <c r="Q800" i="1"/>
  <c r="Y800" i="1"/>
  <c r="AG800" i="1"/>
  <c r="AO800" i="1"/>
  <c r="AW800" i="1"/>
  <c r="N800" i="1"/>
  <c r="AD800" i="1"/>
  <c r="AT800" i="1"/>
  <c r="F800" i="1"/>
  <c r="V800" i="1"/>
  <c r="AL800" i="1"/>
  <c r="R800" i="1"/>
  <c r="AX800" i="1"/>
  <c r="Z800" i="1"/>
  <c r="AH800" i="1"/>
  <c r="J800" i="1"/>
  <c r="AP800" i="1"/>
  <c r="D261" i="1"/>
  <c r="H261" i="1"/>
  <c r="L261" i="1"/>
  <c r="P261" i="1"/>
  <c r="T261" i="1"/>
  <c r="X261" i="1"/>
  <c r="AB261" i="1"/>
  <c r="AF261" i="1"/>
  <c r="AJ261" i="1"/>
  <c r="AN261" i="1"/>
  <c r="AR261" i="1"/>
  <c r="AV261" i="1"/>
  <c r="AZ261" i="1"/>
  <c r="E261" i="1"/>
  <c r="I261" i="1"/>
  <c r="M261" i="1"/>
  <c r="Q261" i="1"/>
  <c r="U261" i="1"/>
  <c r="Y261" i="1"/>
  <c r="AC261" i="1"/>
  <c r="AG261" i="1"/>
  <c r="AK261" i="1"/>
  <c r="AO261" i="1"/>
  <c r="AS261" i="1"/>
  <c r="AW261" i="1"/>
  <c r="G261" i="1"/>
  <c r="K261" i="1"/>
  <c r="O261" i="1"/>
  <c r="S261" i="1"/>
  <c r="W261" i="1"/>
  <c r="AA261" i="1"/>
  <c r="AE261" i="1"/>
  <c r="AI261" i="1"/>
  <c r="AM261" i="1"/>
  <c r="AQ261" i="1"/>
  <c r="AU261" i="1"/>
  <c r="AY261" i="1"/>
  <c r="R261" i="1"/>
  <c r="AH261" i="1"/>
  <c r="AX261" i="1"/>
  <c r="F261" i="1"/>
  <c r="V261" i="1"/>
  <c r="AL261" i="1"/>
  <c r="J261" i="1"/>
  <c r="Z261" i="1"/>
  <c r="AP261" i="1"/>
  <c r="N261" i="1"/>
  <c r="AD261" i="1"/>
  <c r="AT261" i="1"/>
  <c r="C261" i="1"/>
  <c r="G262" i="1"/>
  <c r="K262" i="1"/>
  <c r="O262" i="1"/>
  <c r="S262" i="1"/>
  <c r="W262" i="1"/>
  <c r="AA262" i="1"/>
  <c r="AE262" i="1"/>
  <c r="AI262" i="1"/>
  <c r="AM262" i="1"/>
  <c r="AQ262" i="1"/>
  <c r="AU262" i="1"/>
  <c r="AY262" i="1"/>
  <c r="D262" i="1"/>
  <c r="H262" i="1"/>
  <c r="L262" i="1"/>
  <c r="P262" i="1"/>
  <c r="T262" i="1"/>
  <c r="X262" i="1"/>
  <c r="AB262" i="1"/>
  <c r="AF262" i="1"/>
  <c r="AJ262" i="1"/>
  <c r="AN262" i="1"/>
  <c r="AR262" i="1"/>
  <c r="AV262" i="1"/>
  <c r="AZ262" i="1"/>
  <c r="F262" i="1"/>
  <c r="J262" i="1"/>
  <c r="N262" i="1"/>
  <c r="R262" i="1"/>
  <c r="V262" i="1"/>
  <c r="Z262" i="1"/>
  <c r="AD262" i="1"/>
  <c r="AH262" i="1"/>
  <c r="AL262" i="1"/>
  <c r="AP262" i="1"/>
  <c r="AT262" i="1"/>
  <c r="AX262" i="1"/>
  <c r="M262" i="1"/>
  <c r="AC262" i="1"/>
  <c r="AS262" i="1"/>
  <c r="Q262" i="1"/>
  <c r="AG262" i="1"/>
  <c r="AW262" i="1"/>
  <c r="E262" i="1"/>
  <c r="U262" i="1"/>
  <c r="AK262" i="1"/>
  <c r="I262" i="1"/>
  <c r="Y262" i="1"/>
  <c r="AO262" i="1"/>
  <c r="C262" i="1"/>
  <c r="F263" i="1"/>
  <c r="J263" i="1"/>
  <c r="N263" i="1"/>
  <c r="R263" i="1"/>
  <c r="V263" i="1"/>
  <c r="Z263" i="1"/>
  <c r="AD263" i="1"/>
  <c r="AH263" i="1"/>
  <c r="AL263" i="1"/>
  <c r="AP263" i="1"/>
  <c r="AT263" i="1"/>
  <c r="AX263" i="1"/>
  <c r="G263" i="1"/>
  <c r="K263" i="1"/>
  <c r="O263" i="1"/>
  <c r="S263" i="1"/>
  <c r="W263" i="1"/>
  <c r="E263" i="1"/>
  <c r="I263" i="1"/>
  <c r="M263" i="1"/>
  <c r="Q263" i="1"/>
  <c r="U263" i="1"/>
  <c r="Y263" i="1"/>
  <c r="AC263" i="1"/>
  <c r="AG263" i="1"/>
  <c r="AK263" i="1"/>
  <c r="AO263" i="1"/>
  <c r="AS263" i="1"/>
  <c r="AW263" i="1"/>
  <c r="H263" i="1"/>
  <c r="X263" i="1"/>
  <c r="AF263" i="1"/>
  <c r="AN263" i="1"/>
  <c r="AV263" i="1"/>
  <c r="L263" i="1"/>
  <c r="AA263" i="1"/>
  <c r="AI263" i="1"/>
  <c r="AQ263" i="1"/>
  <c r="AY263" i="1"/>
  <c r="P263" i="1"/>
  <c r="AB263" i="1"/>
  <c r="AJ263" i="1"/>
  <c r="AR263" i="1"/>
  <c r="AZ263" i="1"/>
  <c r="D263" i="1"/>
  <c r="T263" i="1"/>
  <c r="AE263" i="1"/>
  <c r="AM263" i="1"/>
  <c r="AU263" i="1"/>
  <c r="C263" i="1"/>
  <c r="D264" i="1"/>
  <c r="H264" i="1"/>
  <c r="L264" i="1"/>
  <c r="P264" i="1"/>
  <c r="T264" i="1"/>
  <c r="X264" i="1"/>
  <c r="AB264" i="1"/>
  <c r="AF264" i="1"/>
  <c r="AJ264" i="1"/>
  <c r="AN264" i="1"/>
  <c r="AR264" i="1"/>
  <c r="AV264" i="1"/>
  <c r="AZ264" i="1"/>
  <c r="E264" i="1"/>
  <c r="I264" i="1"/>
  <c r="M264" i="1"/>
  <c r="Q264" i="1"/>
  <c r="U264" i="1"/>
  <c r="Y264" i="1"/>
  <c r="AC264" i="1"/>
  <c r="AG264" i="1"/>
  <c r="AK264" i="1"/>
  <c r="AO264" i="1"/>
  <c r="AS264" i="1"/>
  <c r="AW264" i="1"/>
  <c r="F264" i="1"/>
  <c r="J264" i="1"/>
  <c r="N264" i="1"/>
  <c r="R264" i="1"/>
  <c r="V264" i="1"/>
  <c r="Z264" i="1"/>
  <c r="AD264" i="1"/>
  <c r="AH264" i="1"/>
  <c r="AL264" i="1"/>
  <c r="AP264" i="1"/>
  <c r="AT264" i="1"/>
  <c r="AX264" i="1"/>
  <c r="G264" i="1"/>
  <c r="K264" i="1"/>
  <c r="O264" i="1"/>
  <c r="S264" i="1"/>
  <c r="W264" i="1"/>
  <c r="AA264" i="1"/>
  <c r="AE264" i="1"/>
  <c r="AI264" i="1"/>
  <c r="AM264" i="1"/>
  <c r="AQ264" i="1"/>
  <c r="AU264" i="1"/>
  <c r="AY264" i="1"/>
  <c r="C264" i="1"/>
  <c r="G265" i="1"/>
  <c r="K265" i="1"/>
  <c r="O265" i="1"/>
  <c r="S265" i="1"/>
  <c r="W265" i="1"/>
  <c r="AA265" i="1"/>
  <c r="AE265" i="1"/>
  <c r="AI265" i="1"/>
  <c r="AM265" i="1"/>
  <c r="AQ265" i="1"/>
  <c r="AU265" i="1"/>
  <c r="AY265" i="1"/>
  <c r="D265" i="1"/>
  <c r="H265" i="1"/>
  <c r="L265" i="1"/>
  <c r="P265" i="1"/>
  <c r="T265" i="1"/>
  <c r="X265" i="1"/>
  <c r="AB265" i="1"/>
  <c r="AF265" i="1"/>
  <c r="AJ265" i="1"/>
  <c r="AN265" i="1"/>
  <c r="AR265" i="1"/>
  <c r="AV265" i="1"/>
  <c r="AZ265" i="1"/>
  <c r="E265" i="1"/>
  <c r="I265" i="1"/>
  <c r="M265" i="1"/>
  <c r="Q265" i="1"/>
  <c r="U265" i="1"/>
  <c r="Y265" i="1"/>
  <c r="AC265" i="1"/>
  <c r="AG265" i="1"/>
  <c r="AK265" i="1"/>
  <c r="AO265" i="1"/>
  <c r="AS265" i="1"/>
  <c r="AW265" i="1"/>
  <c r="F265" i="1"/>
  <c r="J265" i="1"/>
  <c r="N265" i="1"/>
  <c r="R265" i="1"/>
  <c r="V265" i="1"/>
  <c r="Z265" i="1"/>
  <c r="AD265" i="1"/>
  <c r="AH265" i="1"/>
  <c r="AL265" i="1"/>
  <c r="AP265" i="1"/>
  <c r="AT265" i="1"/>
  <c r="AX265" i="1"/>
  <c r="C265" i="1"/>
  <c r="F266" i="1"/>
  <c r="J266" i="1"/>
  <c r="N266" i="1"/>
  <c r="R266" i="1"/>
  <c r="V266" i="1"/>
  <c r="Z266" i="1"/>
  <c r="AD266" i="1"/>
  <c r="AH266" i="1"/>
  <c r="AL266" i="1"/>
  <c r="AP266" i="1"/>
  <c r="AT266" i="1"/>
  <c r="AX266" i="1"/>
  <c r="G266" i="1"/>
  <c r="K266" i="1"/>
  <c r="O266" i="1"/>
  <c r="S266" i="1"/>
  <c r="W266" i="1"/>
  <c r="AA266" i="1"/>
  <c r="AE266" i="1"/>
  <c r="AI266" i="1"/>
  <c r="AM266" i="1"/>
  <c r="AQ266" i="1"/>
  <c r="AU266" i="1"/>
  <c r="AY266" i="1"/>
  <c r="D266" i="1"/>
  <c r="H266" i="1"/>
  <c r="L266" i="1"/>
  <c r="P266" i="1"/>
  <c r="T266" i="1"/>
  <c r="X266" i="1"/>
  <c r="AB266" i="1"/>
  <c r="AF266" i="1"/>
  <c r="AJ266" i="1"/>
  <c r="AN266" i="1"/>
  <c r="AR266" i="1"/>
  <c r="AV266" i="1"/>
  <c r="AZ266" i="1"/>
  <c r="E266" i="1"/>
  <c r="I266" i="1"/>
  <c r="M266" i="1"/>
  <c r="Q266" i="1"/>
  <c r="U266" i="1"/>
  <c r="Y266" i="1"/>
  <c r="AC266" i="1"/>
  <c r="AG266" i="1"/>
  <c r="AK266" i="1"/>
  <c r="AO266" i="1"/>
  <c r="AS266" i="1"/>
  <c r="AW266" i="1"/>
  <c r="C266" i="1"/>
  <c r="E267" i="1"/>
  <c r="I267" i="1"/>
  <c r="M267" i="1"/>
  <c r="Q267" i="1"/>
  <c r="U267" i="1"/>
  <c r="Y267" i="1"/>
  <c r="AC267" i="1"/>
  <c r="AG267" i="1"/>
  <c r="AK267" i="1"/>
  <c r="AO267" i="1"/>
  <c r="AS267" i="1"/>
  <c r="AW267" i="1"/>
  <c r="F267" i="1"/>
  <c r="J267" i="1"/>
  <c r="N267" i="1"/>
  <c r="R267" i="1"/>
  <c r="V267" i="1"/>
  <c r="Z267" i="1"/>
  <c r="AD267" i="1"/>
  <c r="AH267" i="1"/>
  <c r="AL267" i="1"/>
  <c r="AP267" i="1"/>
  <c r="AT267" i="1"/>
  <c r="AX267" i="1"/>
  <c r="G267" i="1"/>
  <c r="K267" i="1"/>
  <c r="O267" i="1"/>
  <c r="S267" i="1"/>
  <c r="W267" i="1"/>
  <c r="AA267" i="1"/>
  <c r="AE267" i="1"/>
  <c r="AI267" i="1"/>
  <c r="AM267" i="1"/>
  <c r="AQ267" i="1"/>
  <c r="AU267" i="1"/>
  <c r="AY267" i="1"/>
  <c r="D267" i="1"/>
  <c r="H267" i="1"/>
  <c r="L267" i="1"/>
  <c r="P267" i="1"/>
  <c r="T267" i="1"/>
  <c r="X267" i="1"/>
  <c r="AB267" i="1"/>
  <c r="AF267" i="1"/>
  <c r="AJ267" i="1"/>
  <c r="AN267" i="1"/>
  <c r="AR267" i="1"/>
  <c r="AV267" i="1"/>
  <c r="AZ267" i="1"/>
  <c r="C267" i="1"/>
  <c r="D268" i="1"/>
  <c r="H268" i="1"/>
  <c r="L268" i="1"/>
  <c r="P268" i="1"/>
  <c r="T268" i="1"/>
  <c r="X268" i="1"/>
  <c r="AB268" i="1"/>
  <c r="AF268" i="1"/>
  <c r="AJ268" i="1"/>
  <c r="AN268" i="1"/>
  <c r="AR268" i="1"/>
  <c r="AV268" i="1"/>
  <c r="AZ268" i="1"/>
  <c r="E268" i="1"/>
  <c r="I268" i="1"/>
  <c r="M268" i="1"/>
  <c r="Q268" i="1"/>
  <c r="U268" i="1"/>
  <c r="Y268" i="1"/>
  <c r="AC268" i="1"/>
  <c r="AG268" i="1"/>
  <c r="AK268" i="1"/>
  <c r="AO268" i="1"/>
  <c r="AS268" i="1"/>
  <c r="AW268" i="1"/>
  <c r="F268" i="1"/>
  <c r="J268" i="1"/>
  <c r="N268" i="1"/>
  <c r="R268" i="1"/>
  <c r="V268" i="1"/>
  <c r="Z268" i="1"/>
  <c r="AD268" i="1"/>
  <c r="AH268" i="1"/>
  <c r="AL268" i="1"/>
  <c r="AP268" i="1"/>
  <c r="AT268" i="1"/>
  <c r="AX268" i="1"/>
  <c r="G268" i="1"/>
  <c r="K268" i="1"/>
  <c r="O268" i="1"/>
  <c r="S268" i="1"/>
  <c r="W268" i="1"/>
  <c r="AA268" i="1"/>
  <c r="AE268" i="1"/>
  <c r="AI268" i="1"/>
  <c r="AM268" i="1"/>
  <c r="AQ268" i="1"/>
  <c r="AU268" i="1"/>
  <c r="AY268" i="1"/>
  <c r="C268" i="1"/>
  <c r="G269" i="1"/>
  <c r="K269" i="1"/>
  <c r="O269" i="1"/>
  <c r="S269" i="1"/>
  <c r="W269" i="1"/>
  <c r="AA269" i="1"/>
  <c r="AE269" i="1"/>
  <c r="AI269" i="1"/>
  <c r="AM269" i="1"/>
  <c r="AQ269" i="1"/>
  <c r="AU269" i="1"/>
  <c r="AY269" i="1"/>
  <c r="D269" i="1"/>
  <c r="H269" i="1"/>
  <c r="L269" i="1"/>
  <c r="P269" i="1"/>
  <c r="T269" i="1"/>
  <c r="X269" i="1"/>
  <c r="AB269" i="1"/>
  <c r="AF269" i="1"/>
  <c r="AJ269" i="1"/>
  <c r="AN269" i="1"/>
  <c r="AR269" i="1"/>
  <c r="AV269" i="1"/>
  <c r="AZ269" i="1"/>
  <c r="E269" i="1"/>
  <c r="I269" i="1"/>
  <c r="M269" i="1"/>
  <c r="Q269" i="1"/>
  <c r="U269" i="1"/>
  <c r="Y269" i="1"/>
  <c r="AC269" i="1"/>
  <c r="AG269" i="1"/>
  <c r="AK269" i="1"/>
  <c r="AO269" i="1"/>
  <c r="AS269" i="1"/>
  <c r="AW269" i="1"/>
  <c r="F269" i="1"/>
  <c r="J269" i="1"/>
  <c r="N269" i="1"/>
  <c r="R269" i="1"/>
  <c r="V269" i="1"/>
  <c r="Z269" i="1"/>
  <c r="AD269" i="1"/>
  <c r="AH269" i="1"/>
  <c r="AL269" i="1"/>
  <c r="AP269" i="1"/>
  <c r="AT269" i="1"/>
  <c r="AX269" i="1"/>
  <c r="C269" i="1"/>
  <c r="F270" i="1"/>
  <c r="J270" i="1"/>
  <c r="N270" i="1"/>
  <c r="R270" i="1"/>
  <c r="V270" i="1"/>
  <c r="Z270" i="1"/>
  <c r="AD270" i="1"/>
  <c r="AH270" i="1"/>
  <c r="AL270" i="1"/>
  <c r="AP270" i="1"/>
  <c r="AT270" i="1"/>
  <c r="AX270" i="1"/>
  <c r="G270" i="1"/>
  <c r="K270" i="1"/>
  <c r="O270" i="1"/>
  <c r="S270" i="1"/>
  <c r="W270" i="1"/>
  <c r="AA270" i="1"/>
  <c r="AE270" i="1"/>
  <c r="AI270" i="1"/>
  <c r="AM270" i="1"/>
  <c r="AQ270" i="1"/>
  <c r="AU270" i="1"/>
  <c r="AY270" i="1"/>
  <c r="D270" i="1"/>
  <c r="H270" i="1"/>
  <c r="L270" i="1"/>
  <c r="P270" i="1"/>
  <c r="T270" i="1"/>
  <c r="X270" i="1"/>
  <c r="AB270" i="1"/>
  <c r="AF270" i="1"/>
  <c r="AJ270" i="1"/>
  <c r="AN270" i="1"/>
  <c r="AR270" i="1"/>
  <c r="AV270" i="1"/>
  <c r="AZ270" i="1"/>
  <c r="E270" i="1"/>
  <c r="I270" i="1"/>
  <c r="M270" i="1"/>
  <c r="Q270" i="1"/>
  <c r="U270" i="1"/>
  <c r="Y270" i="1"/>
  <c r="AC270" i="1"/>
  <c r="AG270" i="1"/>
  <c r="AK270" i="1"/>
  <c r="AO270" i="1"/>
  <c r="AS270" i="1"/>
  <c r="AW270" i="1"/>
  <c r="C270" i="1"/>
  <c r="E271" i="1"/>
  <c r="I271" i="1"/>
  <c r="M271" i="1"/>
  <c r="Q271" i="1"/>
  <c r="U271" i="1"/>
  <c r="Y271" i="1"/>
  <c r="AC271" i="1"/>
  <c r="AG271" i="1"/>
  <c r="AK271" i="1"/>
  <c r="AO271" i="1"/>
  <c r="AS271" i="1"/>
  <c r="AW271" i="1"/>
  <c r="F271" i="1"/>
  <c r="J271" i="1"/>
  <c r="N271" i="1"/>
  <c r="R271" i="1"/>
  <c r="V271" i="1"/>
  <c r="Z271" i="1"/>
  <c r="AD271" i="1"/>
  <c r="AH271" i="1"/>
  <c r="AL271" i="1"/>
  <c r="AP271" i="1"/>
  <c r="AT271" i="1"/>
  <c r="AX271" i="1"/>
  <c r="G271" i="1"/>
  <c r="K271" i="1"/>
  <c r="O271" i="1"/>
  <c r="S271" i="1"/>
  <c r="W271" i="1"/>
  <c r="AA271" i="1"/>
  <c r="AE271" i="1"/>
  <c r="AI271" i="1"/>
  <c r="AM271" i="1"/>
  <c r="AQ271" i="1"/>
  <c r="AU271" i="1"/>
  <c r="AY271" i="1"/>
  <c r="D271" i="1"/>
  <c r="H271" i="1"/>
  <c r="L271" i="1"/>
  <c r="P271" i="1"/>
  <c r="T271" i="1"/>
  <c r="X271" i="1"/>
  <c r="AB271" i="1"/>
  <c r="AF271" i="1"/>
  <c r="AJ271" i="1"/>
  <c r="AN271" i="1"/>
  <c r="AR271" i="1"/>
  <c r="AV271" i="1"/>
  <c r="AZ271" i="1"/>
  <c r="C271" i="1"/>
  <c r="D272" i="1"/>
  <c r="H272" i="1"/>
  <c r="L272" i="1"/>
  <c r="P272" i="1"/>
  <c r="T272" i="1"/>
  <c r="X272" i="1"/>
  <c r="AB272" i="1"/>
  <c r="AF272" i="1"/>
  <c r="AJ272" i="1"/>
  <c r="AN272" i="1"/>
  <c r="AR272" i="1"/>
  <c r="AV272" i="1"/>
  <c r="AZ272" i="1"/>
  <c r="E272" i="1"/>
  <c r="I272" i="1"/>
  <c r="M272" i="1"/>
  <c r="Q272" i="1"/>
  <c r="U272" i="1"/>
  <c r="Y272" i="1"/>
  <c r="AC272" i="1"/>
  <c r="AG272" i="1"/>
  <c r="AK272" i="1"/>
  <c r="AO272" i="1"/>
  <c r="AS272" i="1"/>
  <c r="AW272" i="1"/>
  <c r="F272" i="1"/>
  <c r="J272" i="1"/>
  <c r="N272" i="1"/>
  <c r="R272" i="1"/>
  <c r="V272" i="1"/>
  <c r="Z272" i="1"/>
  <c r="AD272" i="1"/>
  <c r="AH272" i="1"/>
  <c r="AL272" i="1"/>
  <c r="AP272" i="1"/>
  <c r="AT272" i="1"/>
  <c r="AX272" i="1"/>
  <c r="G272" i="1"/>
  <c r="K272" i="1"/>
  <c r="O272" i="1"/>
  <c r="S272" i="1"/>
  <c r="W272" i="1"/>
  <c r="AA272" i="1"/>
  <c r="AE272" i="1"/>
  <c r="AI272" i="1"/>
  <c r="AM272" i="1"/>
  <c r="AQ272" i="1"/>
  <c r="AU272" i="1"/>
  <c r="AY272" i="1"/>
  <c r="C272" i="1"/>
  <c r="G273" i="1"/>
  <c r="K273" i="1"/>
  <c r="O273" i="1"/>
  <c r="S273" i="1"/>
  <c r="W273" i="1"/>
  <c r="AA273" i="1"/>
  <c r="AE273" i="1"/>
  <c r="AI273" i="1"/>
  <c r="AM273" i="1"/>
  <c r="AQ273" i="1"/>
  <c r="AU273" i="1"/>
  <c r="AY273" i="1"/>
  <c r="D273" i="1"/>
  <c r="H273" i="1"/>
  <c r="L273" i="1"/>
  <c r="P273" i="1"/>
  <c r="T273" i="1"/>
  <c r="X273" i="1"/>
  <c r="AB273" i="1"/>
  <c r="AF273" i="1"/>
  <c r="AJ273" i="1"/>
  <c r="AN273" i="1"/>
  <c r="AR273" i="1"/>
  <c r="AV273" i="1"/>
  <c r="AZ273" i="1"/>
  <c r="E273" i="1"/>
  <c r="I273" i="1"/>
  <c r="M273" i="1"/>
  <c r="Q273" i="1"/>
  <c r="U273" i="1"/>
  <c r="Y273" i="1"/>
  <c r="AC273" i="1"/>
  <c r="AG273" i="1"/>
  <c r="AK273" i="1"/>
  <c r="AO273" i="1"/>
  <c r="AS273" i="1"/>
  <c r="AW273" i="1"/>
  <c r="F273" i="1"/>
  <c r="J273" i="1"/>
  <c r="N273" i="1"/>
  <c r="R273" i="1"/>
  <c r="V273" i="1"/>
  <c r="Z273" i="1"/>
  <c r="AD273" i="1"/>
  <c r="AH273" i="1"/>
  <c r="AL273" i="1"/>
  <c r="AP273" i="1"/>
  <c r="AT273" i="1"/>
  <c r="AX273" i="1"/>
  <c r="C273" i="1"/>
  <c r="F274" i="1"/>
  <c r="J274" i="1"/>
  <c r="N274" i="1"/>
  <c r="R274" i="1"/>
  <c r="V274" i="1"/>
  <c r="Z274" i="1"/>
  <c r="AD274" i="1"/>
  <c r="AH274" i="1"/>
  <c r="AL274" i="1"/>
  <c r="AP274" i="1"/>
  <c r="AT274" i="1"/>
  <c r="AX274" i="1"/>
  <c r="G274" i="1"/>
  <c r="K274" i="1"/>
  <c r="O274" i="1"/>
  <c r="S274" i="1"/>
  <c r="W274" i="1"/>
  <c r="AA274" i="1"/>
  <c r="AE274" i="1"/>
  <c r="AI274" i="1"/>
  <c r="AM274" i="1"/>
  <c r="AQ274" i="1"/>
  <c r="AU274" i="1"/>
  <c r="AY274" i="1"/>
  <c r="D274" i="1"/>
  <c r="H274" i="1"/>
  <c r="L274" i="1"/>
  <c r="P274" i="1"/>
  <c r="T274" i="1"/>
  <c r="X274" i="1"/>
  <c r="AB274" i="1"/>
  <c r="AF274" i="1"/>
  <c r="AJ274" i="1"/>
  <c r="AN274" i="1"/>
  <c r="AR274" i="1"/>
  <c r="AV274" i="1"/>
  <c r="AZ274" i="1"/>
  <c r="E274" i="1"/>
  <c r="I274" i="1"/>
  <c r="M274" i="1"/>
  <c r="Q274" i="1"/>
  <c r="U274" i="1"/>
  <c r="Y274" i="1"/>
  <c r="AC274" i="1"/>
  <c r="AG274" i="1"/>
  <c r="AK274" i="1"/>
  <c r="AO274" i="1"/>
  <c r="AS274" i="1"/>
  <c r="AW274" i="1"/>
  <c r="C274" i="1"/>
  <c r="E275" i="1"/>
  <c r="I275" i="1"/>
  <c r="M275" i="1"/>
  <c r="Q275" i="1"/>
  <c r="U275" i="1"/>
  <c r="Y275" i="1"/>
  <c r="AC275" i="1"/>
  <c r="AG275" i="1"/>
  <c r="AK275" i="1"/>
  <c r="AO275" i="1"/>
  <c r="AS275" i="1"/>
  <c r="AW275" i="1"/>
  <c r="F275" i="1"/>
  <c r="J275" i="1"/>
  <c r="N275" i="1"/>
  <c r="R275" i="1"/>
  <c r="V275" i="1"/>
  <c r="Z275" i="1"/>
  <c r="AD275" i="1"/>
  <c r="AH275" i="1"/>
  <c r="AL275" i="1"/>
  <c r="AP275" i="1"/>
  <c r="AT275" i="1"/>
  <c r="AX275" i="1"/>
  <c r="G275" i="1"/>
  <c r="K275" i="1"/>
  <c r="O275" i="1"/>
  <c r="S275" i="1"/>
  <c r="W275" i="1"/>
  <c r="AA275" i="1"/>
  <c r="AE275" i="1"/>
  <c r="AI275" i="1"/>
  <c r="AM275" i="1"/>
  <c r="AQ275" i="1"/>
  <c r="AU275" i="1"/>
  <c r="AY275" i="1"/>
  <c r="D275" i="1"/>
  <c r="H275" i="1"/>
  <c r="L275" i="1"/>
  <c r="P275" i="1"/>
  <c r="T275" i="1"/>
  <c r="X275" i="1"/>
  <c r="AB275" i="1"/>
  <c r="AF275" i="1"/>
  <c r="AJ275" i="1"/>
  <c r="AN275" i="1"/>
  <c r="AR275" i="1"/>
  <c r="AV275" i="1"/>
  <c r="AZ275" i="1"/>
  <c r="C275" i="1"/>
  <c r="D276" i="1"/>
  <c r="H276" i="1"/>
  <c r="L276" i="1"/>
  <c r="P276" i="1"/>
  <c r="T276" i="1"/>
  <c r="X276" i="1"/>
  <c r="AB276" i="1"/>
  <c r="AF276" i="1"/>
  <c r="AJ276" i="1"/>
  <c r="AN276" i="1"/>
  <c r="AR276" i="1"/>
  <c r="AV276" i="1"/>
  <c r="AZ276" i="1"/>
  <c r="E276" i="1"/>
  <c r="I276" i="1"/>
  <c r="M276" i="1"/>
  <c r="Q276" i="1"/>
  <c r="U276" i="1"/>
  <c r="Y276" i="1"/>
  <c r="AC276" i="1"/>
  <c r="AG276" i="1"/>
  <c r="AK276" i="1"/>
  <c r="AO276" i="1"/>
  <c r="AS276" i="1"/>
  <c r="AW276" i="1"/>
  <c r="F276" i="1"/>
  <c r="J276" i="1"/>
  <c r="N276" i="1"/>
  <c r="R276" i="1"/>
  <c r="V276" i="1"/>
  <c r="Z276" i="1"/>
  <c r="AD276" i="1"/>
  <c r="AH276" i="1"/>
  <c r="AL276" i="1"/>
  <c r="AP276" i="1"/>
  <c r="AT276" i="1"/>
  <c r="AX276" i="1"/>
  <c r="G276" i="1"/>
  <c r="K276" i="1"/>
  <c r="O276" i="1"/>
  <c r="S276" i="1"/>
  <c r="W276" i="1"/>
  <c r="AA276" i="1"/>
  <c r="AE276" i="1"/>
  <c r="AI276" i="1"/>
  <c r="AM276" i="1"/>
  <c r="AQ276" i="1"/>
  <c r="AU276" i="1"/>
  <c r="AY276" i="1"/>
  <c r="C276" i="1"/>
  <c r="G277" i="1"/>
  <c r="K277" i="1"/>
  <c r="O277" i="1"/>
  <c r="S277" i="1"/>
  <c r="W277" i="1"/>
  <c r="AA277" i="1"/>
  <c r="AE277" i="1"/>
  <c r="AI277" i="1"/>
  <c r="AM277" i="1"/>
  <c r="AQ277" i="1"/>
  <c r="AU277" i="1"/>
  <c r="AY277" i="1"/>
  <c r="D277" i="1"/>
  <c r="H277" i="1"/>
  <c r="L277" i="1"/>
  <c r="P277" i="1"/>
  <c r="T277" i="1"/>
  <c r="X277" i="1"/>
  <c r="AB277" i="1"/>
  <c r="AF277" i="1"/>
  <c r="AJ277" i="1"/>
  <c r="AN277" i="1"/>
  <c r="AR277" i="1"/>
  <c r="AV277" i="1"/>
  <c r="AZ277" i="1"/>
  <c r="E277" i="1"/>
  <c r="I277" i="1"/>
  <c r="M277" i="1"/>
  <c r="Q277" i="1"/>
  <c r="U277" i="1"/>
  <c r="Y277" i="1"/>
  <c r="AC277" i="1"/>
  <c r="AG277" i="1"/>
  <c r="AK277" i="1"/>
  <c r="AO277" i="1"/>
  <c r="AS277" i="1"/>
  <c r="AW277" i="1"/>
  <c r="F277" i="1"/>
  <c r="J277" i="1"/>
  <c r="N277" i="1"/>
  <c r="R277" i="1"/>
  <c r="V277" i="1"/>
  <c r="Z277" i="1"/>
  <c r="AD277" i="1"/>
  <c r="AH277" i="1"/>
  <c r="AL277" i="1"/>
  <c r="AP277" i="1"/>
  <c r="AT277" i="1"/>
  <c r="AX277" i="1"/>
  <c r="C277" i="1"/>
  <c r="F278" i="1"/>
  <c r="J278" i="1"/>
  <c r="N278" i="1"/>
  <c r="R278" i="1"/>
  <c r="V278" i="1"/>
  <c r="Z278" i="1"/>
  <c r="AD278" i="1"/>
  <c r="AH278" i="1"/>
  <c r="AL278" i="1"/>
  <c r="AP278" i="1"/>
  <c r="AT278" i="1"/>
  <c r="AX278" i="1"/>
  <c r="G278" i="1"/>
  <c r="K278" i="1"/>
  <c r="O278" i="1"/>
  <c r="S278" i="1"/>
  <c r="W278" i="1"/>
  <c r="AA278" i="1"/>
  <c r="AE278" i="1"/>
  <c r="AI278" i="1"/>
  <c r="AM278" i="1"/>
  <c r="AQ278" i="1"/>
  <c r="AU278" i="1"/>
  <c r="AY278" i="1"/>
  <c r="D278" i="1"/>
  <c r="H278" i="1"/>
  <c r="L278" i="1"/>
  <c r="P278" i="1"/>
  <c r="T278" i="1"/>
  <c r="X278" i="1"/>
  <c r="AB278" i="1"/>
  <c r="AF278" i="1"/>
  <c r="AJ278" i="1"/>
  <c r="AN278" i="1"/>
  <c r="AR278" i="1"/>
  <c r="AV278" i="1"/>
  <c r="AZ278" i="1"/>
  <c r="E278" i="1"/>
  <c r="I278" i="1"/>
  <c r="M278" i="1"/>
  <c r="Q278" i="1"/>
  <c r="U278" i="1"/>
  <c r="Y278" i="1"/>
  <c r="AC278" i="1"/>
  <c r="AG278" i="1"/>
  <c r="AK278" i="1"/>
  <c r="AO278" i="1"/>
  <c r="AS278" i="1"/>
  <c r="AW278" i="1"/>
  <c r="C278" i="1"/>
  <c r="E279" i="1"/>
  <c r="I279" i="1"/>
  <c r="M279" i="1"/>
  <c r="Q279" i="1"/>
  <c r="U279" i="1"/>
  <c r="Y279" i="1"/>
  <c r="AC279" i="1"/>
  <c r="AG279" i="1"/>
  <c r="AK279" i="1"/>
  <c r="AO279" i="1"/>
  <c r="AS279" i="1"/>
  <c r="AW279" i="1"/>
  <c r="F279" i="1"/>
  <c r="J279" i="1"/>
  <c r="N279" i="1"/>
  <c r="R279" i="1"/>
  <c r="V279" i="1"/>
  <c r="Z279" i="1"/>
  <c r="AD279" i="1"/>
  <c r="AH279" i="1"/>
  <c r="AL279" i="1"/>
  <c r="AP279" i="1"/>
  <c r="AT279" i="1"/>
  <c r="AX279" i="1"/>
  <c r="G279" i="1"/>
  <c r="K279" i="1"/>
  <c r="O279" i="1"/>
  <c r="S279" i="1"/>
  <c r="W279" i="1"/>
  <c r="AA279" i="1"/>
  <c r="AE279" i="1"/>
  <c r="AI279" i="1"/>
  <c r="AM279" i="1"/>
  <c r="AQ279" i="1"/>
  <c r="AU279" i="1"/>
  <c r="AY279" i="1"/>
  <c r="D279" i="1"/>
  <c r="H279" i="1"/>
  <c r="L279" i="1"/>
  <c r="P279" i="1"/>
  <c r="T279" i="1"/>
  <c r="X279" i="1"/>
  <c r="AB279" i="1"/>
  <c r="AF279" i="1"/>
  <c r="AJ279" i="1"/>
  <c r="AN279" i="1"/>
  <c r="AR279" i="1"/>
  <c r="AV279" i="1"/>
  <c r="AZ279" i="1"/>
  <c r="C279" i="1"/>
  <c r="D280" i="1"/>
  <c r="H280" i="1"/>
  <c r="L280" i="1"/>
  <c r="P280" i="1"/>
  <c r="T280" i="1"/>
  <c r="X280" i="1"/>
  <c r="AB280" i="1"/>
  <c r="AF280" i="1"/>
  <c r="AJ280" i="1"/>
  <c r="AN280" i="1"/>
  <c r="AR280" i="1"/>
  <c r="AV280" i="1"/>
  <c r="AZ280" i="1"/>
  <c r="E280" i="1"/>
  <c r="I280" i="1"/>
  <c r="M280" i="1"/>
  <c r="Q280" i="1"/>
  <c r="U280" i="1"/>
  <c r="Y280" i="1"/>
  <c r="AC280" i="1"/>
  <c r="AG280" i="1"/>
  <c r="AK280" i="1"/>
  <c r="AO280" i="1"/>
  <c r="AS280" i="1"/>
  <c r="AW280" i="1"/>
  <c r="F280" i="1"/>
  <c r="J280" i="1"/>
  <c r="N280" i="1"/>
  <c r="R280" i="1"/>
  <c r="V280" i="1"/>
  <c r="Z280" i="1"/>
  <c r="AD280" i="1"/>
  <c r="AH280" i="1"/>
  <c r="AL280" i="1"/>
  <c r="AP280" i="1"/>
  <c r="AT280" i="1"/>
  <c r="AX280" i="1"/>
  <c r="G280" i="1"/>
  <c r="K280" i="1"/>
  <c r="O280" i="1"/>
  <c r="S280" i="1"/>
  <c r="W280" i="1"/>
  <c r="AA280" i="1"/>
  <c r="AE280" i="1"/>
  <c r="AI280" i="1"/>
  <c r="AM280" i="1"/>
  <c r="AQ280" i="1"/>
  <c r="AU280" i="1"/>
  <c r="AY280" i="1"/>
  <c r="C280" i="1"/>
  <c r="G281" i="1"/>
  <c r="K281" i="1"/>
  <c r="O281" i="1"/>
  <c r="S281" i="1"/>
  <c r="W281" i="1"/>
  <c r="AA281" i="1"/>
  <c r="AE281" i="1"/>
  <c r="AI281" i="1"/>
  <c r="AM281" i="1"/>
  <c r="AQ281" i="1"/>
  <c r="AU281" i="1"/>
  <c r="AY281" i="1"/>
  <c r="D281" i="1"/>
  <c r="H281" i="1"/>
  <c r="L281" i="1"/>
  <c r="P281" i="1"/>
  <c r="T281" i="1"/>
  <c r="X281" i="1"/>
  <c r="AB281" i="1"/>
  <c r="AF281" i="1"/>
  <c r="AJ281" i="1"/>
  <c r="AN281" i="1"/>
  <c r="AR281" i="1"/>
  <c r="AV281" i="1"/>
  <c r="AZ281" i="1"/>
  <c r="E281" i="1"/>
  <c r="I281" i="1"/>
  <c r="M281" i="1"/>
  <c r="Q281" i="1"/>
  <c r="U281" i="1"/>
  <c r="Y281" i="1"/>
  <c r="AC281" i="1"/>
  <c r="AG281" i="1"/>
  <c r="AK281" i="1"/>
  <c r="AO281" i="1"/>
  <c r="AS281" i="1"/>
  <c r="AW281" i="1"/>
  <c r="F281" i="1"/>
  <c r="J281" i="1"/>
  <c r="N281" i="1"/>
  <c r="R281" i="1"/>
  <c r="V281" i="1"/>
  <c r="Z281" i="1"/>
  <c r="AD281" i="1"/>
  <c r="AH281" i="1"/>
  <c r="AL281" i="1"/>
  <c r="AP281" i="1"/>
  <c r="AT281" i="1"/>
  <c r="AX281" i="1"/>
  <c r="C281" i="1"/>
  <c r="F282" i="1"/>
  <c r="J282" i="1"/>
  <c r="N282" i="1"/>
  <c r="R282" i="1"/>
  <c r="V282" i="1"/>
  <c r="Z282" i="1"/>
  <c r="AD282" i="1"/>
  <c r="AH282" i="1"/>
  <c r="AL282" i="1"/>
  <c r="AP282" i="1"/>
  <c r="AT282" i="1"/>
  <c r="AX282" i="1"/>
  <c r="G282" i="1"/>
  <c r="K282" i="1"/>
  <c r="O282" i="1"/>
  <c r="S282" i="1"/>
  <c r="W282" i="1"/>
  <c r="AA282" i="1"/>
  <c r="AE282" i="1"/>
  <c r="AI282" i="1"/>
  <c r="AM282" i="1"/>
  <c r="AQ282" i="1"/>
  <c r="AU282" i="1"/>
  <c r="AY282" i="1"/>
  <c r="D282" i="1"/>
  <c r="H282" i="1"/>
  <c r="L282" i="1"/>
  <c r="P282" i="1"/>
  <c r="T282" i="1"/>
  <c r="X282" i="1"/>
  <c r="AB282" i="1"/>
  <c r="AF282" i="1"/>
  <c r="AJ282" i="1"/>
  <c r="AN282" i="1"/>
  <c r="AR282" i="1"/>
  <c r="AV282" i="1"/>
  <c r="AZ282" i="1"/>
  <c r="E282" i="1"/>
  <c r="I282" i="1"/>
  <c r="M282" i="1"/>
  <c r="Q282" i="1"/>
  <c r="U282" i="1"/>
  <c r="Y282" i="1"/>
  <c r="AC282" i="1"/>
  <c r="AG282" i="1"/>
  <c r="AK282" i="1"/>
  <c r="AO282" i="1"/>
  <c r="AS282" i="1"/>
  <c r="AW282" i="1"/>
  <c r="C282" i="1"/>
  <c r="E283" i="1"/>
  <c r="I283" i="1"/>
  <c r="M283" i="1"/>
  <c r="Q283" i="1"/>
  <c r="U283" i="1"/>
  <c r="Y283" i="1"/>
  <c r="AC283" i="1"/>
  <c r="AG283" i="1"/>
  <c r="AK283" i="1"/>
  <c r="AO283" i="1"/>
  <c r="AS283" i="1"/>
  <c r="AW283" i="1"/>
  <c r="F283" i="1"/>
  <c r="J283" i="1"/>
  <c r="N283" i="1"/>
  <c r="R283" i="1"/>
  <c r="V283" i="1"/>
  <c r="Z283" i="1"/>
  <c r="AD283" i="1"/>
  <c r="AH283" i="1"/>
  <c r="AL283" i="1"/>
  <c r="AP283" i="1"/>
  <c r="AT283" i="1"/>
  <c r="AX283" i="1"/>
  <c r="G283" i="1"/>
  <c r="K283" i="1"/>
  <c r="O283" i="1"/>
  <c r="S283" i="1"/>
  <c r="W283" i="1"/>
  <c r="AA283" i="1"/>
  <c r="AE283" i="1"/>
  <c r="AI283" i="1"/>
  <c r="AM283" i="1"/>
  <c r="AQ283" i="1"/>
  <c r="AU283" i="1"/>
  <c r="AY283" i="1"/>
  <c r="D283" i="1"/>
  <c r="H283" i="1"/>
  <c r="L283" i="1"/>
  <c r="P283" i="1"/>
  <c r="T283" i="1"/>
  <c r="X283" i="1"/>
  <c r="AB283" i="1"/>
  <c r="AF283" i="1"/>
  <c r="AJ283" i="1"/>
  <c r="AN283" i="1"/>
  <c r="AR283" i="1"/>
  <c r="AV283" i="1"/>
  <c r="AZ283" i="1"/>
  <c r="C283" i="1"/>
  <c r="D284" i="1"/>
  <c r="H284" i="1"/>
  <c r="L284" i="1"/>
  <c r="P284" i="1"/>
  <c r="T284" i="1"/>
  <c r="X284" i="1"/>
  <c r="AB284" i="1"/>
  <c r="AF284" i="1"/>
  <c r="AJ284" i="1"/>
  <c r="AN284" i="1"/>
  <c r="AR284" i="1"/>
  <c r="AV284" i="1"/>
  <c r="AZ284" i="1"/>
  <c r="E284" i="1"/>
  <c r="I284" i="1"/>
  <c r="M284" i="1"/>
  <c r="Q284" i="1"/>
  <c r="U284" i="1"/>
  <c r="Y284" i="1"/>
  <c r="AC284" i="1"/>
  <c r="AG284" i="1"/>
  <c r="AK284" i="1"/>
  <c r="AO284" i="1"/>
  <c r="AS284" i="1"/>
  <c r="AW284" i="1"/>
  <c r="F284" i="1"/>
  <c r="J284" i="1"/>
  <c r="N284" i="1"/>
  <c r="R284" i="1"/>
  <c r="V284" i="1"/>
  <c r="Z284" i="1"/>
  <c r="AD284" i="1"/>
  <c r="AH284" i="1"/>
  <c r="AL284" i="1"/>
  <c r="AP284" i="1"/>
  <c r="AT284" i="1"/>
  <c r="AX284" i="1"/>
  <c r="G284" i="1"/>
  <c r="K284" i="1"/>
  <c r="O284" i="1"/>
  <c r="S284" i="1"/>
  <c r="W284" i="1"/>
  <c r="AA284" i="1"/>
  <c r="AE284" i="1"/>
  <c r="AI284" i="1"/>
  <c r="AM284" i="1"/>
  <c r="AQ284" i="1"/>
  <c r="AU284" i="1"/>
  <c r="AY284" i="1"/>
  <c r="C284" i="1"/>
  <c r="G285" i="1"/>
  <c r="K285" i="1"/>
  <c r="O285" i="1"/>
  <c r="S285" i="1"/>
  <c r="W285" i="1"/>
  <c r="AA285" i="1"/>
  <c r="AE285" i="1"/>
  <c r="AI285" i="1"/>
  <c r="AM285" i="1"/>
  <c r="AQ285" i="1"/>
  <c r="AU285" i="1"/>
  <c r="AY285" i="1"/>
  <c r="D285" i="1"/>
  <c r="H285" i="1"/>
  <c r="L285" i="1"/>
  <c r="P285" i="1"/>
  <c r="T285" i="1"/>
  <c r="X285" i="1"/>
  <c r="AB285" i="1"/>
  <c r="AF285" i="1"/>
  <c r="AJ285" i="1"/>
  <c r="AN285" i="1"/>
  <c r="AR285" i="1"/>
  <c r="AV285" i="1"/>
  <c r="AZ285" i="1"/>
  <c r="E285" i="1"/>
  <c r="I285" i="1"/>
  <c r="M285" i="1"/>
  <c r="Q285" i="1"/>
  <c r="U285" i="1"/>
  <c r="Y285" i="1"/>
  <c r="AC285" i="1"/>
  <c r="AG285" i="1"/>
  <c r="AK285" i="1"/>
  <c r="AO285" i="1"/>
  <c r="AS285" i="1"/>
  <c r="AW285" i="1"/>
  <c r="F285" i="1"/>
  <c r="J285" i="1"/>
  <c r="N285" i="1"/>
  <c r="R285" i="1"/>
  <c r="V285" i="1"/>
  <c r="Z285" i="1"/>
  <c r="AD285" i="1"/>
  <c r="AH285" i="1"/>
  <c r="AL285" i="1"/>
  <c r="AP285" i="1"/>
  <c r="AT285" i="1"/>
  <c r="AX285" i="1"/>
  <c r="C285" i="1"/>
  <c r="F286" i="1"/>
  <c r="J286" i="1"/>
  <c r="N286" i="1"/>
  <c r="R286" i="1"/>
  <c r="V286" i="1"/>
  <c r="Z286" i="1"/>
  <c r="AD286" i="1"/>
  <c r="AH286" i="1"/>
  <c r="AL286" i="1"/>
  <c r="AP286" i="1"/>
  <c r="AT286" i="1"/>
  <c r="AX286" i="1"/>
  <c r="G286" i="1"/>
  <c r="K286" i="1"/>
  <c r="O286" i="1"/>
  <c r="S286" i="1"/>
  <c r="W286" i="1"/>
  <c r="AA286" i="1"/>
  <c r="AE286" i="1"/>
  <c r="AI286" i="1"/>
  <c r="AM286" i="1"/>
  <c r="AQ286" i="1"/>
  <c r="AU286" i="1"/>
  <c r="AY286" i="1"/>
  <c r="D286" i="1"/>
  <c r="H286" i="1"/>
  <c r="L286" i="1"/>
  <c r="P286" i="1"/>
  <c r="T286" i="1"/>
  <c r="X286" i="1"/>
  <c r="AB286" i="1"/>
  <c r="AF286" i="1"/>
  <c r="AJ286" i="1"/>
  <c r="AN286" i="1"/>
  <c r="AR286" i="1"/>
  <c r="AV286" i="1"/>
  <c r="AZ286" i="1"/>
  <c r="E286" i="1"/>
  <c r="I286" i="1"/>
  <c r="M286" i="1"/>
  <c r="Q286" i="1"/>
  <c r="U286" i="1"/>
  <c r="Y286" i="1"/>
  <c r="AC286" i="1"/>
  <c r="AG286" i="1"/>
  <c r="AK286" i="1"/>
  <c r="AO286" i="1"/>
  <c r="AS286" i="1"/>
  <c r="AW286" i="1"/>
  <c r="C286" i="1"/>
  <c r="E287" i="1"/>
  <c r="I287" i="1"/>
  <c r="M287" i="1"/>
  <c r="Q287" i="1"/>
  <c r="U287" i="1"/>
  <c r="Y287" i="1"/>
  <c r="AC287" i="1"/>
  <c r="AG287" i="1"/>
  <c r="AK287" i="1"/>
  <c r="AO287" i="1"/>
  <c r="AS287" i="1"/>
  <c r="AW287" i="1"/>
  <c r="F287" i="1"/>
  <c r="J287" i="1"/>
  <c r="N287" i="1"/>
  <c r="R287" i="1"/>
  <c r="V287" i="1"/>
  <c r="Z287" i="1"/>
  <c r="AD287" i="1"/>
  <c r="AH287" i="1"/>
  <c r="AL287" i="1"/>
  <c r="AP287" i="1"/>
  <c r="AT287" i="1"/>
  <c r="AX287" i="1"/>
  <c r="G287" i="1"/>
  <c r="K287" i="1"/>
  <c r="O287" i="1"/>
  <c r="S287" i="1"/>
  <c r="W287" i="1"/>
  <c r="AA287" i="1"/>
  <c r="AE287" i="1"/>
  <c r="AI287" i="1"/>
  <c r="AM287" i="1"/>
  <c r="AQ287" i="1"/>
  <c r="AU287" i="1"/>
  <c r="AY287" i="1"/>
  <c r="D287" i="1"/>
  <c r="H287" i="1"/>
  <c r="L287" i="1"/>
  <c r="P287" i="1"/>
  <c r="T287" i="1"/>
  <c r="X287" i="1"/>
  <c r="AB287" i="1"/>
  <c r="AF287" i="1"/>
  <c r="AJ287" i="1"/>
  <c r="AN287" i="1"/>
  <c r="AR287" i="1"/>
  <c r="AV287" i="1"/>
  <c r="AZ287" i="1"/>
  <c r="C287" i="1"/>
  <c r="D288" i="1"/>
  <c r="H288" i="1"/>
  <c r="L288" i="1"/>
  <c r="P288" i="1"/>
  <c r="T288" i="1"/>
  <c r="X288" i="1"/>
  <c r="AB288" i="1"/>
  <c r="AF288" i="1"/>
  <c r="AJ288" i="1"/>
  <c r="AN288" i="1"/>
  <c r="AR288" i="1"/>
  <c r="AV288" i="1"/>
  <c r="AZ288" i="1"/>
  <c r="E288" i="1"/>
  <c r="I288" i="1"/>
  <c r="M288" i="1"/>
  <c r="Q288" i="1"/>
  <c r="U288" i="1"/>
  <c r="Y288" i="1"/>
  <c r="AC288" i="1"/>
  <c r="AG288" i="1"/>
  <c r="AK288" i="1"/>
  <c r="AO288" i="1"/>
  <c r="AS288" i="1"/>
  <c r="AW288" i="1"/>
  <c r="F288" i="1"/>
  <c r="J288" i="1"/>
  <c r="N288" i="1"/>
  <c r="R288" i="1"/>
  <c r="V288" i="1"/>
  <c r="Z288" i="1"/>
  <c r="AD288" i="1"/>
  <c r="AH288" i="1"/>
  <c r="AL288" i="1"/>
  <c r="AP288" i="1"/>
  <c r="AT288" i="1"/>
  <c r="AX288" i="1"/>
  <c r="G288" i="1"/>
  <c r="K288" i="1"/>
  <c r="O288" i="1"/>
  <c r="S288" i="1"/>
  <c r="W288" i="1"/>
  <c r="AA288" i="1"/>
  <c r="AE288" i="1"/>
  <c r="AI288" i="1"/>
  <c r="AM288" i="1"/>
  <c r="AQ288" i="1"/>
  <c r="AU288" i="1"/>
  <c r="AY288" i="1"/>
  <c r="C288" i="1"/>
  <c r="G289" i="1"/>
  <c r="K289" i="1"/>
  <c r="O289" i="1"/>
  <c r="S289" i="1"/>
  <c r="W289" i="1"/>
  <c r="AA289" i="1"/>
  <c r="AE289" i="1"/>
  <c r="AI289" i="1"/>
  <c r="D289" i="1"/>
  <c r="H289" i="1"/>
  <c r="L289" i="1"/>
  <c r="P289" i="1"/>
  <c r="T289" i="1"/>
  <c r="X289" i="1"/>
  <c r="AB289" i="1"/>
  <c r="AF289" i="1"/>
  <c r="AJ289" i="1"/>
  <c r="AN289" i="1"/>
  <c r="AR289" i="1"/>
  <c r="AV289" i="1"/>
  <c r="AZ289" i="1"/>
  <c r="E289" i="1"/>
  <c r="I289" i="1"/>
  <c r="M289" i="1"/>
  <c r="Q289" i="1"/>
  <c r="U289" i="1"/>
  <c r="Y289" i="1"/>
  <c r="AC289" i="1"/>
  <c r="AG289" i="1"/>
  <c r="AK289" i="1"/>
  <c r="AO289" i="1"/>
  <c r="AS289" i="1"/>
  <c r="AW289" i="1"/>
  <c r="F289" i="1"/>
  <c r="J289" i="1"/>
  <c r="N289" i="1"/>
  <c r="R289" i="1"/>
  <c r="V289" i="1"/>
  <c r="Z289" i="1"/>
  <c r="AD289" i="1"/>
  <c r="AH289" i="1"/>
  <c r="AL289" i="1"/>
  <c r="AP289" i="1"/>
  <c r="AT289" i="1"/>
  <c r="AX289" i="1"/>
  <c r="AM289" i="1"/>
  <c r="AQ289" i="1"/>
  <c r="AU289" i="1"/>
  <c r="AY289" i="1"/>
  <c r="C289" i="1"/>
  <c r="G290" i="1"/>
  <c r="K290" i="1"/>
  <c r="O290" i="1"/>
  <c r="S290" i="1"/>
  <c r="W290" i="1"/>
  <c r="AA290" i="1"/>
  <c r="AE290" i="1"/>
  <c r="AI290" i="1"/>
  <c r="AM290" i="1"/>
  <c r="AQ290" i="1"/>
  <c r="AU290" i="1"/>
  <c r="AY290" i="1"/>
  <c r="D290" i="1"/>
  <c r="H290" i="1"/>
  <c r="L290" i="1"/>
  <c r="P290" i="1"/>
  <c r="T290" i="1"/>
  <c r="X290" i="1"/>
  <c r="AB290" i="1"/>
  <c r="AF290" i="1"/>
  <c r="AJ290" i="1"/>
  <c r="AN290" i="1"/>
  <c r="AR290" i="1"/>
  <c r="AV290" i="1"/>
  <c r="AZ290" i="1"/>
  <c r="E290" i="1"/>
  <c r="I290" i="1"/>
  <c r="M290" i="1"/>
  <c r="Q290" i="1"/>
  <c r="U290" i="1"/>
  <c r="Y290" i="1"/>
  <c r="AC290" i="1"/>
  <c r="AG290" i="1"/>
  <c r="AK290" i="1"/>
  <c r="AO290" i="1"/>
  <c r="AS290" i="1"/>
  <c r="AW290" i="1"/>
  <c r="R290" i="1"/>
  <c r="AH290" i="1"/>
  <c r="AX290" i="1"/>
  <c r="F290" i="1"/>
  <c r="V290" i="1"/>
  <c r="AL290" i="1"/>
  <c r="J290" i="1"/>
  <c r="Z290" i="1"/>
  <c r="AP290" i="1"/>
  <c r="N290" i="1"/>
  <c r="AD290" i="1"/>
  <c r="AT290" i="1"/>
  <c r="C290" i="1"/>
  <c r="F291" i="1"/>
  <c r="J291" i="1"/>
  <c r="N291" i="1"/>
  <c r="R291" i="1"/>
  <c r="V291" i="1"/>
  <c r="Z291" i="1"/>
  <c r="AD291" i="1"/>
  <c r="AH291" i="1"/>
  <c r="AL291" i="1"/>
  <c r="AP291" i="1"/>
  <c r="AT291" i="1"/>
  <c r="AX291" i="1"/>
  <c r="G291" i="1"/>
  <c r="K291" i="1"/>
  <c r="O291" i="1"/>
  <c r="S291" i="1"/>
  <c r="W291" i="1"/>
  <c r="AA291" i="1"/>
  <c r="AE291" i="1"/>
  <c r="AI291" i="1"/>
  <c r="AM291" i="1"/>
  <c r="AQ291" i="1"/>
  <c r="AU291" i="1"/>
  <c r="AY291" i="1"/>
  <c r="D291" i="1"/>
  <c r="H291" i="1"/>
  <c r="L291" i="1"/>
  <c r="P291" i="1"/>
  <c r="T291" i="1"/>
  <c r="X291" i="1"/>
  <c r="AB291" i="1"/>
  <c r="AF291" i="1"/>
  <c r="AJ291" i="1"/>
  <c r="AN291" i="1"/>
  <c r="AR291" i="1"/>
  <c r="AV291" i="1"/>
  <c r="AZ291" i="1"/>
  <c r="M291" i="1"/>
  <c r="AC291" i="1"/>
  <c r="AS291" i="1"/>
  <c r="Q291" i="1"/>
  <c r="AG291" i="1"/>
  <c r="AW291" i="1"/>
  <c r="E291" i="1"/>
  <c r="U291" i="1"/>
  <c r="AK291" i="1"/>
  <c r="I291" i="1"/>
  <c r="Y291" i="1"/>
  <c r="AO291" i="1"/>
  <c r="C291" i="1"/>
  <c r="E292" i="1"/>
  <c r="I292" i="1"/>
  <c r="M292" i="1"/>
  <c r="Q292" i="1"/>
  <c r="U292" i="1"/>
  <c r="Y292" i="1"/>
  <c r="AC292" i="1"/>
  <c r="AG292" i="1"/>
  <c r="AK292" i="1"/>
  <c r="AO292" i="1"/>
  <c r="AS292" i="1"/>
  <c r="AW292" i="1"/>
  <c r="F292" i="1"/>
  <c r="J292" i="1"/>
  <c r="N292" i="1"/>
  <c r="R292" i="1"/>
  <c r="V292" i="1"/>
  <c r="Z292" i="1"/>
  <c r="AD292" i="1"/>
  <c r="AH292" i="1"/>
  <c r="AL292" i="1"/>
  <c r="AP292" i="1"/>
  <c r="AT292" i="1"/>
  <c r="AX292" i="1"/>
  <c r="G292" i="1"/>
  <c r="K292" i="1"/>
  <c r="O292" i="1"/>
  <c r="S292" i="1"/>
  <c r="W292" i="1"/>
  <c r="AA292" i="1"/>
  <c r="AE292" i="1"/>
  <c r="AI292" i="1"/>
  <c r="AM292" i="1"/>
  <c r="AQ292" i="1"/>
  <c r="AU292" i="1"/>
  <c r="AY292" i="1"/>
  <c r="H292" i="1"/>
  <c r="X292" i="1"/>
  <c r="AN292" i="1"/>
  <c r="L292" i="1"/>
  <c r="AB292" i="1"/>
  <c r="AR292" i="1"/>
  <c r="P292" i="1"/>
  <c r="AF292" i="1"/>
  <c r="AV292" i="1"/>
  <c r="D292" i="1"/>
  <c r="T292" i="1"/>
  <c r="AJ292" i="1"/>
  <c r="AZ292" i="1"/>
  <c r="C292" i="1"/>
  <c r="D293" i="1"/>
  <c r="H293" i="1"/>
  <c r="L293" i="1"/>
  <c r="P293" i="1"/>
  <c r="T293" i="1"/>
  <c r="X293" i="1"/>
  <c r="AB293" i="1"/>
  <c r="AF293" i="1"/>
  <c r="AJ293" i="1"/>
  <c r="AN293" i="1"/>
  <c r="AR293" i="1"/>
  <c r="AV293" i="1"/>
  <c r="AZ293" i="1"/>
  <c r="E293" i="1"/>
  <c r="I293" i="1"/>
  <c r="M293" i="1"/>
  <c r="Q293" i="1"/>
  <c r="U293" i="1"/>
  <c r="Y293" i="1"/>
  <c r="AC293" i="1"/>
  <c r="AG293" i="1"/>
  <c r="AK293" i="1"/>
  <c r="AO293" i="1"/>
  <c r="AS293" i="1"/>
  <c r="AW293" i="1"/>
  <c r="F293" i="1"/>
  <c r="J293" i="1"/>
  <c r="N293" i="1"/>
  <c r="R293" i="1"/>
  <c r="V293" i="1"/>
  <c r="Z293" i="1"/>
  <c r="AD293" i="1"/>
  <c r="AH293" i="1"/>
  <c r="AL293" i="1"/>
  <c r="AP293" i="1"/>
  <c r="AT293" i="1"/>
  <c r="AX293" i="1"/>
  <c r="S293" i="1"/>
  <c r="AI293" i="1"/>
  <c r="AY293" i="1"/>
  <c r="G293" i="1"/>
  <c r="W293" i="1"/>
  <c r="AM293" i="1"/>
  <c r="K293" i="1"/>
  <c r="AA293" i="1"/>
  <c r="AQ293" i="1"/>
  <c r="O293" i="1"/>
  <c r="AE293" i="1"/>
  <c r="AU293" i="1"/>
  <c r="C293" i="1"/>
  <c r="G294" i="1"/>
  <c r="K294" i="1"/>
  <c r="O294" i="1"/>
  <c r="S294" i="1"/>
  <c r="W294" i="1"/>
  <c r="AA294" i="1"/>
  <c r="AE294" i="1"/>
  <c r="AI294" i="1"/>
  <c r="AM294" i="1"/>
  <c r="AQ294" i="1"/>
  <c r="AU294" i="1"/>
  <c r="AY294" i="1"/>
  <c r="D294" i="1"/>
  <c r="H294" i="1"/>
  <c r="L294" i="1"/>
  <c r="P294" i="1"/>
  <c r="T294" i="1"/>
  <c r="X294" i="1"/>
  <c r="AB294" i="1"/>
  <c r="AF294" i="1"/>
  <c r="AJ294" i="1"/>
  <c r="AN294" i="1"/>
  <c r="AR294" i="1"/>
  <c r="AV294" i="1"/>
  <c r="AZ294" i="1"/>
  <c r="E294" i="1"/>
  <c r="I294" i="1"/>
  <c r="M294" i="1"/>
  <c r="Q294" i="1"/>
  <c r="U294" i="1"/>
  <c r="Y294" i="1"/>
  <c r="AC294" i="1"/>
  <c r="AG294" i="1"/>
  <c r="AK294" i="1"/>
  <c r="AO294" i="1"/>
  <c r="AS294" i="1"/>
  <c r="AW294" i="1"/>
  <c r="N294" i="1"/>
  <c r="AD294" i="1"/>
  <c r="AT294" i="1"/>
  <c r="R294" i="1"/>
  <c r="AH294" i="1"/>
  <c r="AX294" i="1"/>
  <c r="F294" i="1"/>
  <c r="V294" i="1"/>
  <c r="AL294" i="1"/>
  <c r="J294" i="1"/>
  <c r="Z294" i="1"/>
  <c r="AP294" i="1"/>
  <c r="C294" i="1"/>
  <c r="F295" i="1"/>
  <c r="J295" i="1"/>
  <c r="N295" i="1"/>
  <c r="R295" i="1"/>
  <c r="V295" i="1"/>
  <c r="Z295" i="1"/>
  <c r="AD295" i="1"/>
  <c r="AH295" i="1"/>
  <c r="AL295" i="1"/>
  <c r="AP295" i="1"/>
  <c r="AT295" i="1"/>
  <c r="AX295" i="1"/>
  <c r="G295" i="1"/>
  <c r="K295" i="1"/>
  <c r="O295" i="1"/>
  <c r="S295" i="1"/>
  <c r="W295" i="1"/>
  <c r="AA295" i="1"/>
  <c r="AE295" i="1"/>
  <c r="AI295" i="1"/>
  <c r="AM295" i="1"/>
  <c r="AQ295" i="1"/>
  <c r="AU295" i="1"/>
  <c r="AY295" i="1"/>
  <c r="D295" i="1"/>
  <c r="H295" i="1"/>
  <c r="L295" i="1"/>
  <c r="P295" i="1"/>
  <c r="T295" i="1"/>
  <c r="X295" i="1"/>
  <c r="AB295" i="1"/>
  <c r="AF295" i="1"/>
  <c r="AJ295" i="1"/>
  <c r="AN295" i="1"/>
  <c r="AR295" i="1"/>
  <c r="AV295" i="1"/>
  <c r="AZ295" i="1"/>
  <c r="I295" i="1"/>
  <c r="Y295" i="1"/>
  <c r="AO295" i="1"/>
  <c r="M295" i="1"/>
  <c r="AC295" i="1"/>
  <c r="AS295" i="1"/>
  <c r="Q295" i="1"/>
  <c r="AG295" i="1"/>
  <c r="AW295" i="1"/>
  <c r="E295" i="1"/>
  <c r="U295" i="1"/>
  <c r="AK295" i="1"/>
  <c r="C295" i="1"/>
  <c r="E296" i="1"/>
  <c r="I296" i="1"/>
  <c r="M296" i="1"/>
  <c r="Q296" i="1"/>
  <c r="U296" i="1"/>
  <c r="Y296" i="1"/>
  <c r="AC296" i="1"/>
  <c r="AG296" i="1"/>
  <c r="AK296" i="1"/>
  <c r="AO296" i="1"/>
  <c r="AS296" i="1"/>
  <c r="AW296" i="1"/>
  <c r="F296" i="1"/>
  <c r="J296" i="1"/>
  <c r="N296" i="1"/>
  <c r="R296" i="1"/>
  <c r="V296" i="1"/>
  <c r="Z296" i="1"/>
  <c r="AD296" i="1"/>
  <c r="AH296" i="1"/>
  <c r="AL296" i="1"/>
  <c r="AP296" i="1"/>
  <c r="AT296" i="1"/>
  <c r="AX296" i="1"/>
  <c r="G296" i="1"/>
  <c r="K296" i="1"/>
  <c r="O296" i="1"/>
  <c r="S296" i="1"/>
  <c r="W296" i="1"/>
  <c r="AA296" i="1"/>
  <c r="AE296" i="1"/>
  <c r="AI296" i="1"/>
  <c r="AM296" i="1"/>
  <c r="AQ296" i="1"/>
  <c r="AU296" i="1"/>
  <c r="AY296" i="1"/>
  <c r="D296" i="1"/>
  <c r="T296" i="1"/>
  <c r="AJ296" i="1"/>
  <c r="AZ296" i="1"/>
  <c r="H296" i="1"/>
  <c r="X296" i="1"/>
  <c r="AN296" i="1"/>
  <c r="L296" i="1"/>
  <c r="AB296" i="1"/>
  <c r="AR296" i="1"/>
  <c r="P296" i="1"/>
  <c r="AF296" i="1"/>
  <c r="AV296" i="1"/>
  <c r="C296" i="1"/>
  <c r="D297" i="1"/>
  <c r="H297" i="1"/>
  <c r="L297" i="1"/>
  <c r="P297" i="1"/>
  <c r="T297" i="1"/>
  <c r="X297" i="1"/>
  <c r="AB297" i="1"/>
  <c r="AF297" i="1"/>
  <c r="AJ297" i="1"/>
  <c r="AN297" i="1"/>
  <c r="AR297" i="1"/>
  <c r="AV297" i="1"/>
  <c r="AZ297" i="1"/>
  <c r="E297" i="1"/>
  <c r="I297" i="1"/>
  <c r="M297" i="1"/>
  <c r="Q297" i="1"/>
  <c r="U297" i="1"/>
  <c r="Y297" i="1"/>
  <c r="AC297" i="1"/>
  <c r="AG297" i="1"/>
  <c r="AK297" i="1"/>
  <c r="AO297" i="1"/>
  <c r="AS297" i="1"/>
  <c r="AW297" i="1"/>
  <c r="F297" i="1"/>
  <c r="J297" i="1"/>
  <c r="N297" i="1"/>
  <c r="R297" i="1"/>
  <c r="V297" i="1"/>
  <c r="Z297" i="1"/>
  <c r="AD297" i="1"/>
  <c r="AH297" i="1"/>
  <c r="AL297" i="1"/>
  <c r="AP297" i="1"/>
  <c r="AT297" i="1"/>
  <c r="AX297" i="1"/>
  <c r="O297" i="1"/>
  <c r="AE297" i="1"/>
  <c r="AU297" i="1"/>
  <c r="S297" i="1"/>
  <c r="AI297" i="1"/>
  <c r="AY297" i="1"/>
  <c r="G297" i="1"/>
  <c r="W297" i="1"/>
  <c r="AM297" i="1"/>
  <c r="K297" i="1"/>
  <c r="AA297" i="1"/>
  <c r="AQ297" i="1"/>
  <c r="C297" i="1"/>
  <c r="G298" i="1"/>
  <c r="K298" i="1"/>
  <c r="O298" i="1"/>
  <c r="S298" i="1"/>
  <c r="W298" i="1"/>
  <c r="AA298" i="1"/>
  <c r="AE298" i="1"/>
  <c r="AI298" i="1"/>
  <c r="AM298" i="1"/>
  <c r="AQ298" i="1"/>
  <c r="AU298" i="1"/>
  <c r="AY298" i="1"/>
  <c r="D298" i="1"/>
  <c r="H298" i="1"/>
  <c r="L298" i="1"/>
  <c r="P298" i="1"/>
  <c r="T298" i="1"/>
  <c r="X298" i="1"/>
  <c r="AB298" i="1"/>
  <c r="AF298" i="1"/>
  <c r="AJ298" i="1"/>
  <c r="AN298" i="1"/>
  <c r="AR298" i="1"/>
  <c r="AV298" i="1"/>
  <c r="AZ298" i="1"/>
  <c r="E298" i="1"/>
  <c r="I298" i="1"/>
  <c r="M298" i="1"/>
  <c r="Q298" i="1"/>
  <c r="U298" i="1"/>
  <c r="Y298" i="1"/>
  <c r="AC298" i="1"/>
  <c r="AG298" i="1"/>
  <c r="AK298" i="1"/>
  <c r="AO298" i="1"/>
  <c r="AS298" i="1"/>
  <c r="AW298" i="1"/>
  <c r="J298" i="1"/>
  <c r="Z298" i="1"/>
  <c r="AP298" i="1"/>
  <c r="N298" i="1"/>
  <c r="AD298" i="1"/>
  <c r="AT298" i="1"/>
  <c r="R298" i="1"/>
  <c r="AH298" i="1"/>
  <c r="AX298" i="1"/>
  <c r="F298" i="1"/>
  <c r="V298" i="1"/>
  <c r="AL298" i="1"/>
  <c r="C298" i="1"/>
  <c r="F299" i="1"/>
  <c r="J299" i="1"/>
  <c r="N299" i="1"/>
  <c r="R299" i="1"/>
  <c r="V299" i="1"/>
  <c r="Z299" i="1"/>
  <c r="AD299" i="1"/>
  <c r="AH299" i="1"/>
  <c r="AL299" i="1"/>
  <c r="AP299" i="1"/>
  <c r="AT299" i="1"/>
  <c r="AX299" i="1"/>
  <c r="G299" i="1"/>
  <c r="K299" i="1"/>
  <c r="O299" i="1"/>
  <c r="S299" i="1"/>
  <c r="W299" i="1"/>
  <c r="AA299" i="1"/>
  <c r="AE299" i="1"/>
  <c r="AI299" i="1"/>
  <c r="AM299" i="1"/>
  <c r="AQ299" i="1"/>
  <c r="AU299" i="1"/>
  <c r="AY299" i="1"/>
  <c r="D299" i="1"/>
  <c r="H299" i="1"/>
  <c r="L299" i="1"/>
  <c r="P299" i="1"/>
  <c r="T299" i="1"/>
  <c r="X299" i="1"/>
  <c r="AB299" i="1"/>
  <c r="AF299" i="1"/>
  <c r="AJ299" i="1"/>
  <c r="AN299" i="1"/>
  <c r="AR299" i="1"/>
  <c r="AV299" i="1"/>
  <c r="AZ299" i="1"/>
  <c r="E299" i="1"/>
  <c r="U299" i="1"/>
  <c r="AK299" i="1"/>
  <c r="I299" i="1"/>
  <c r="Y299" i="1"/>
  <c r="AO299" i="1"/>
  <c r="M299" i="1"/>
  <c r="AC299" i="1"/>
  <c r="AS299" i="1"/>
  <c r="Q299" i="1"/>
  <c r="AG299" i="1"/>
  <c r="AW299" i="1"/>
  <c r="C299" i="1"/>
  <c r="E300" i="1"/>
  <c r="I300" i="1"/>
  <c r="M300" i="1"/>
  <c r="Q300" i="1"/>
  <c r="U300" i="1"/>
  <c r="Y300" i="1"/>
  <c r="AC300" i="1"/>
  <c r="AG300" i="1"/>
  <c r="AK300" i="1"/>
  <c r="AO300" i="1"/>
  <c r="AS300" i="1"/>
  <c r="AW300" i="1"/>
  <c r="F300" i="1"/>
  <c r="J300" i="1"/>
  <c r="N300" i="1"/>
  <c r="R300" i="1"/>
  <c r="V300" i="1"/>
  <c r="Z300" i="1"/>
  <c r="AD300" i="1"/>
  <c r="AH300" i="1"/>
  <c r="AL300" i="1"/>
  <c r="AP300" i="1"/>
  <c r="AT300" i="1"/>
  <c r="AX300" i="1"/>
  <c r="G300" i="1"/>
  <c r="K300" i="1"/>
  <c r="O300" i="1"/>
  <c r="S300" i="1"/>
  <c r="W300" i="1"/>
  <c r="AA300" i="1"/>
  <c r="AE300" i="1"/>
  <c r="AI300" i="1"/>
  <c r="AM300" i="1"/>
  <c r="AQ300" i="1"/>
  <c r="AU300" i="1"/>
  <c r="AY300" i="1"/>
  <c r="P300" i="1"/>
  <c r="AF300" i="1"/>
  <c r="AV300" i="1"/>
  <c r="D300" i="1"/>
  <c r="T300" i="1"/>
  <c r="AJ300" i="1"/>
  <c r="AZ300" i="1"/>
  <c r="H300" i="1"/>
  <c r="X300" i="1"/>
  <c r="AN300" i="1"/>
  <c r="L300" i="1"/>
  <c r="AB300" i="1"/>
  <c r="AR300" i="1"/>
  <c r="C300" i="1"/>
  <c r="D301" i="1"/>
  <c r="H301" i="1"/>
  <c r="L301" i="1"/>
  <c r="P301" i="1"/>
  <c r="T301" i="1"/>
  <c r="X301" i="1"/>
  <c r="AB301" i="1"/>
  <c r="AF301" i="1"/>
  <c r="AJ301" i="1"/>
  <c r="AN301" i="1"/>
  <c r="AR301" i="1"/>
  <c r="AV301" i="1"/>
  <c r="AZ301" i="1"/>
  <c r="E301" i="1"/>
  <c r="I301" i="1"/>
  <c r="M301" i="1"/>
  <c r="Q301" i="1"/>
  <c r="U301" i="1"/>
  <c r="Y301" i="1"/>
  <c r="AC301" i="1"/>
  <c r="AG301" i="1"/>
  <c r="AK301" i="1"/>
  <c r="AO301" i="1"/>
  <c r="AS301" i="1"/>
  <c r="AW301" i="1"/>
  <c r="F301" i="1"/>
  <c r="J301" i="1"/>
  <c r="N301" i="1"/>
  <c r="R301" i="1"/>
  <c r="V301" i="1"/>
  <c r="Z301" i="1"/>
  <c r="AD301" i="1"/>
  <c r="AH301" i="1"/>
  <c r="AL301" i="1"/>
  <c r="AP301" i="1"/>
  <c r="AT301" i="1"/>
  <c r="AX301" i="1"/>
  <c r="K301" i="1"/>
  <c r="AA301" i="1"/>
  <c r="AQ301" i="1"/>
  <c r="O301" i="1"/>
  <c r="AE301" i="1"/>
  <c r="AU301" i="1"/>
  <c r="S301" i="1"/>
  <c r="AI301" i="1"/>
  <c r="AY301" i="1"/>
  <c r="G301" i="1"/>
  <c r="W301" i="1"/>
  <c r="AM301" i="1"/>
  <c r="C301" i="1"/>
  <c r="G302" i="1"/>
  <c r="K302" i="1"/>
  <c r="O302" i="1"/>
  <c r="S302" i="1"/>
  <c r="W302" i="1"/>
  <c r="AA302" i="1"/>
  <c r="AE302" i="1"/>
  <c r="AI302" i="1"/>
  <c r="AM302" i="1"/>
  <c r="AQ302" i="1"/>
  <c r="AU302" i="1"/>
  <c r="AY302" i="1"/>
  <c r="D302" i="1"/>
  <c r="H302" i="1"/>
  <c r="L302" i="1"/>
  <c r="P302" i="1"/>
  <c r="T302" i="1"/>
  <c r="X302" i="1"/>
  <c r="AB302" i="1"/>
  <c r="AF302" i="1"/>
  <c r="AJ302" i="1"/>
  <c r="AN302" i="1"/>
  <c r="AR302" i="1"/>
  <c r="AV302" i="1"/>
  <c r="AZ302" i="1"/>
  <c r="E302" i="1"/>
  <c r="I302" i="1"/>
  <c r="M302" i="1"/>
  <c r="Q302" i="1"/>
  <c r="U302" i="1"/>
  <c r="Y302" i="1"/>
  <c r="AC302" i="1"/>
  <c r="AG302" i="1"/>
  <c r="AK302" i="1"/>
  <c r="AO302" i="1"/>
  <c r="AS302" i="1"/>
  <c r="AW302" i="1"/>
  <c r="F302" i="1"/>
  <c r="V302" i="1"/>
  <c r="AL302" i="1"/>
  <c r="J302" i="1"/>
  <c r="Z302" i="1"/>
  <c r="AP302" i="1"/>
  <c r="N302" i="1"/>
  <c r="AD302" i="1"/>
  <c r="AT302" i="1"/>
  <c r="R302" i="1"/>
  <c r="AH302" i="1"/>
  <c r="AX302" i="1"/>
  <c r="C302" i="1"/>
  <c r="F303" i="1"/>
  <c r="J303" i="1"/>
  <c r="N303" i="1"/>
  <c r="R303" i="1"/>
  <c r="V303" i="1"/>
  <c r="Z303" i="1"/>
  <c r="AD303" i="1"/>
  <c r="AH303" i="1"/>
  <c r="AL303" i="1"/>
  <c r="AP303" i="1"/>
  <c r="AT303" i="1"/>
  <c r="AX303" i="1"/>
  <c r="G303" i="1"/>
  <c r="K303" i="1"/>
  <c r="O303" i="1"/>
  <c r="S303" i="1"/>
  <c r="W303" i="1"/>
  <c r="AA303" i="1"/>
  <c r="AE303" i="1"/>
  <c r="AI303" i="1"/>
  <c r="AM303" i="1"/>
  <c r="AQ303" i="1"/>
  <c r="AU303" i="1"/>
  <c r="AY303" i="1"/>
  <c r="D303" i="1"/>
  <c r="H303" i="1"/>
  <c r="L303" i="1"/>
  <c r="P303" i="1"/>
  <c r="T303" i="1"/>
  <c r="X303" i="1"/>
  <c r="AB303" i="1"/>
  <c r="AF303" i="1"/>
  <c r="AJ303" i="1"/>
  <c r="AN303" i="1"/>
  <c r="AR303" i="1"/>
  <c r="AV303" i="1"/>
  <c r="AZ303" i="1"/>
  <c r="Q303" i="1"/>
  <c r="AG303" i="1"/>
  <c r="AW303" i="1"/>
  <c r="E303" i="1"/>
  <c r="U303" i="1"/>
  <c r="AK303" i="1"/>
  <c r="I303" i="1"/>
  <c r="Y303" i="1"/>
  <c r="AO303" i="1"/>
  <c r="M303" i="1"/>
  <c r="AC303" i="1"/>
  <c r="AS303" i="1"/>
  <c r="C303" i="1"/>
  <c r="E304" i="1"/>
  <c r="I304" i="1"/>
  <c r="M304" i="1"/>
  <c r="Q304" i="1"/>
  <c r="U304" i="1"/>
  <c r="Y304" i="1"/>
  <c r="AC304" i="1"/>
  <c r="AG304" i="1"/>
  <c r="AK304" i="1"/>
  <c r="AO304" i="1"/>
  <c r="AS304" i="1"/>
  <c r="AW304" i="1"/>
  <c r="F304" i="1"/>
  <c r="J304" i="1"/>
  <c r="N304" i="1"/>
  <c r="R304" i="1"/>
  <c r="V304" i="1"/>
  <c r="Z304" i="1"/>
  <c r="AD304" i="1"/>
  <c r="AH304" i="1"/>
  <c r="AL304" i="1"/>
  <c r="AP304" i="1"/>
  <c r="AT304" i="1"/>
  <c r="AX304" i="1"/>
  <c r="G304" i="1"/>
  <c r="K304" i="1"/>
  <c r="O304" i="1"/>
  <c r="S304" i="1"/>
  <c r="W304" i="1"/>
  <c r="AA304" i="1"/>
  <c r="AE304" i="1"/>
  <c r="AI304" i="1"/>
  <c r="AM304" i="1"/>
  <c r="AQ304" i="1"/>
  <c r="AU304" i="1"/>
  <c r="AY304" i="1"/>
  <c r="L304" i="1"/>
  <c r="AB304" i="1"/>
  <c r="AR304" i="1"/>
  <c r="P304" i="1"/>
  <c r="AF304" i="1"/>
  <c r="AV304" i="1"/>
  <c r="D304" i="1"/>
  <c r="T304" i="1"/>
  <c r="AJ304" i="1"/>
  <c r="AZ304" i="1"/>
  <c r="H304" i="1"/>
  <c r="X304" i="1"/>
  <c r="AN304" i="1"/>
  <c r="C304" i="1"/>
  <c r="D305" i="1"/>
  <c r="H305" i="1"/>
  <c r="L305" i="1"/>
  <c r="P305" i="1"/>
  <c r="T305" i="1"/>
  <c r="X305" i="1"/>
  <c r="AB305" i="1"/>
  <c r="AF305" i="1"/>
  <c r="AJ305" i="1"/>
  <c r="AN305" i="1"/>
  <c r="AR305" i="1"/>
  <c r="AV305" i="1"/>
  <c r="AZ305" i="1"/>
  <c r="E305" i="1"/>
  <c r="I305" i="1"/>
  <c r="M305" i="1"/>
  <c r="Q305" i="1"/>
  <c r="U305" i="1"/>
  <c r="Y305" i="1"/>
  <c r="AC305" i="1"/>
  <c r="AG305" i="1"/>
  <c r="AK305" i="1"/>
  <c r="AO305" i="1"/>
  <c r="AS305" i="1"/>
  <c r="AW305" i="1"/>
  <c r="F305" i="1"/>
  <c r="J305" i="1"/>
  <c r="N305" i="1"/>
  <c r="R305" i="1"/>
  <c r="V305" i="1"/>
  <c r="Z305" i="1"/>
  <c r="AD305" i="1"/>
  <c r="AH305" i="1"/>
  <c r="AL305" i="1"/>
  <c r="AP305" i="1"/>
  <c r="AT305" i="1"/>
  <c r="AX305" i="1"/>
  <c r="G305" i="1"/>
  <c r="W305" i="1"/>
  <c r="AM305" i="1"/>
  <c r="K305" i="1"/>
  <c r="AA305" i="1"/>
  <c r="AQ305" i="1"/>
  <c r="O305" i="1"/>
  <c r="AE305" i="1"/>
  <c r="AU305" i="1"/>
  <c r="S305" i="1"/>
  <c r="AI305" i="1"/>
  <c r="AY305" i="1"/>
  <c r="C305" i="1"/>
  <c r="G306" i="1"/>
  <c r="K306" i="1"/>
  <c r="O306" i="1"/>
  <c r="S306" i="1"/>
  <c r="W306" i="1"/>
  <c r="AA306" i="1"/>
  <c r="AE306" i="1"/>
  <c r="AI306" i="1"/>
  <c r="AM306" i="1"/>
  <c r="AQ306" i="1"/>
  <c r="AU306" i="1"/>
  <c r="AY306" i="1"/>
  <c r="D306" i="1"/>
  <c r="H306" i="1"/>
  <c r="L306" i="1"/>
  <c r="P306" i="1"/>
  <c r="T306" i="1"/>
  <c r="X306" i="1"/>
  <c r="AB306" i="1"/>
  <c r="AF306" i="1"/>
  <c r="AJ306" i="1"/>
  <c r="AN306" i="1"/>
  <c r="AR306" i="1"/>
  <c r="AV306" i="1"/>
  <c r="AZ306" i="1"/>
  <c r="E306" i="1"/>
  <c r="I306" i="1"/>
  <c r="M306" i="1"/>
  <c r="Q306" i="1"/>
  <c r="U306" i="1"/>
  <c r="Y306" i="1"/>
  <c r="AC306" i="1"/>
  <c r="AG306" i="1"/>
  <c r="AK306" i="1"/>
  <c r="AO306" i="1"/>
  <c r="AS306" i="1"/>
  <c r="AW306" i="1"/>
  <c r="R306" i="1"/>
  <c r="AH306" i="1"/>
  <c r="AX306" i="1"/>
  <c r="F306" i="1"/>
  <c r="V306" i="1"/>
  <c r="AL306" i="1"/>
  <c r="J306" i="1"/>
  <c r="Z306" i="1"/>
  <c r="AP306" i="1"/>
  <c r="N306" i="1"/>
  <c r="AD306" i="1"/>
  <c r="AT306" i="1"/>
  <c r="C306" i="1"/>
  <c r="F307" i="1"/>
  <c r="J307" i="1"/>
  <c r="N307" i="1"/>
  <c r="R307" i="1"/>
  <c r="V307" i="1"/>
  <c r="Z307" i="1"/>
  <c r="AD307" i="1"/>
  <c r="AH307" i="1"/>
  <c r="AL307" i="1"/>
  <c r="AP307" i="1"/>
  <c r="AT307" i="1"/>
  <c r="AX307" i="1"/>
  <c r="G307" i="1"/>
  <c r="K307" i="1"/>
  <c r="O307" i="1"/>
  <c r="S307" i="1"/>
  <c r="W307" i="1"/>
  <c r="AA307" i="1"/>
  <c r="AE307" i="1"/>
  <c r="AI307" i="1"/>
  <c r="AM307" i="1"/>
  <c r="AQ307" i="1"/>
  <c r="AU307" i="1"/>
  <c r="AY307" i="1"/>
  <c r="D307" i="1"/>
  <c r="H307" i="1"/>
  <c r="L307" i="1"/>
  <c r="P307" i="1"/>
  <c r="T307" i="1"/>
  <c r="X307" i="1"/>
  <c r="AB307" i="1"/>
  <c r="AF307" i="1"/>
  <c r="AJ307" i="1"/>
  <c r="AN307" i="1"/>
  <c r="AR307" i="1"/>
  <c r="AV307" i="1"/>
  <c r="AZ307" i="1"/>
  <c r="M307" i="1"/>
  <c r="AC307" i="1"/>
  <c r="AS307" i="1"/>
  <c r="Q307" i="1"/>
  <c r="AG307" i="1"/>
  <c r="AW307" i="1"/>
  <c r="E307" i="1"/>
  <c r="U307" i="1"/>
  <c r="AK307" i="1"/>
  <c r="I307" i="1"/>
  <c r="Y307" i="1"/>
  <c r="AO307" i="1"/>
  <c r="C307" i="1"/>
  <c r="E308" i="1"/>
  <c r="I308" i="1"/>
  <c r="M308" i="1"/>
  <c r="Q308" i="1"/>
  <c r="U308" i="1"/>
  <c r="Y308" i="1"/>
  <c r="AC308" i="1"/>
  <c r="AG308" i="1"/>
  <c r="AK308" i="1"/>
  <c r="AO308" i="1"/>
  <c r="AS308" i="1"/>
  <c r="AW308" i="1"/>
  <c r="F308" i="1"/>
  <c r="J308" i="1"/>
  <c r="N308" i="1"/>
  <c r="R308" i="1"/>
  <c r="V308" i="1"/>
  <c r="Z308" i="1"/>
  <c r="AD308" i="1"/>
  <c r="AH308" i="1"/>
  <c r="AL308" i="1"/>
  <c r="AP308" i="1"/>
  <c r="AT308" i="1"/>
  <c r="AX308" i="1"/>
  <c r="G308" i="1"/>
  <c r="K308" i="1"/>
  <c r="O308" i="1"/>
  <c r="S308" i="1"/>
  <c r="W308" i="1"/>
  <c r="AA308" i="1"/>
  <c r="AE308" i="1"/>
  <c r="AI308" i="1"/>
  <c r="AM308" i="1"/>
  <c r="AQ308" i="1"/>
  <c r="AU308" i="1"/>
  <c r="AY308" i="1"/>
  <c r="H308" i="1"/>
  <c r="X308" i="1"/>
  <c r="AN308" i="1"/>
  <c r="L308" i="1"/>
  <c r="AB308" i="1"/>
  <c r="AR308" i="1"/>
  <c r="P308" i="1"/>
  <c r="AF308" i="1"/>
  <c r="AV308" i="1"/>
  <c r="D308" i="1"/>
  <c r="T308" i="1"/>
  <c r="AJ308" i="1"/>
  <c r="AZ308" i="1"/>
  <c r="C308" i="1"/>
  <c r="D309" i="1"/>
  <c r="H309" i="1"/>
  <c r="L309" i="1"/>
  <c r="P309" i="1"/>
  <c r="T309" i="1"/>
  <c r="X309" i="1"/>
  <c r="AB309" i="1"/>
  <c r="AF309" i="1"/>
  <c r="AJ309" i="1"/>
  <c r="AN309" i="1"/>
  <c r="AR309" i="1"/>
  <c r="AV309" i="1"/>
  <c r="AZ309" i="1"/>
  <c r="E309" i="1"/>
  <c r="I309" i="1"/>
  <c r="M309" i="1"/>
  <c r="Q309" i="1"/>
  <c r="U309" i="1"/>
  <c r="Y309" i="1"/>
  <c r="AC309" i="1"/>
  <c r="AG309" i="1"/>
  <c r="AK309" i="1"/>
  <c r="AO309" i="1"/>
  <c r="AS309" i="1"/>
  <c r="AW309" i="1"/>
  <c r="F309" i="1"/>
  <c r="J309" i="1"/>
  <c r="N309" i="1"/>
  <c r="R309" i="1"/>
  <c r="V309" i="1"/>
  <c r="Z309" i="1"/>
  <c r="AD309" i="1"/>
  <c r="AH309" i="1"/>
  <c r="AL309" i="1"/>
  <c r="AP309" i="1"/>
  <c r="AT309" i="1"/>
  <c r="AX309" i="1"/>
  <c r="S309" i="1"/>
  <c r="AI309" i="1"/>
  <c r="AY309" i="1"/>
  <c r="G309" i="1"/>
  <c r="W309" i="1"/>
  <c r="AM309" i="1"/>
  <c r="K309" i="1"/>
  <c r="AA309" i="1"/>
  <c r="AQ309" i="1"/>
  <c r="O309" i="1"/>
  <c r="AE309" i="1"/>
  <c r="AU309" i="1"/>
  <c r="C309" i="1"/>
  <c r="G310" i="1"/>
  <c r="K310" i="1"/>
  <c r="O310" i="1"/>
  <c r="S310" i="1"/>
  <c r="W310" i="1"/>
  <c r="AA310" i="1"/>
  <c r="AE310" i="1"/>
  <c r="AI310" i="1"/>
  <c r="AM310" i="1"/>
  <c r="AQ310" i="1"/>
  <c r="AU310" i="1"/>
  <c r="AY310" i="1"/>
  <c r="D310" i="1"/>
  <c r="H310" i="1"/>
  <c r="L310" i="1"/>
  <c r="P310" i="1"/>
  <c r="T310" i="1"/>
  <c r="X310" i="1"/>
  <c r="AB310" i="1"/>
  <c r="AF310" i="1"/>
  <c r="AJ310" i="1"/>
  <c r="AN310" i="1"/>
  <c r="AR310" i="1"/>
  <c r="AV310" i="1"/>
  <c r="AZ310" i="1"/>
  <c r="E310" i="1"/>
  <c r="I310" i="1"/>
  <c r="M310" i="1"/>
  <c r="Q310" i="1"/>
  <c r="U310" i="1"/>
  <c r="Y310" i="1"/>
  <c r="AC310" i="1"/>
  <c r="AG310" i="1"/>
  <c r="AK310" i="1"/>
  <c r="AO310" i="1"/>
  <c r="AS310" i="1"/>
  <c r="AW310" i="1"/>
  <c r="N310" i="1"/>
  <c r="AD310" i="1"/>
  <c r="AT310" i="1"/>
  <c r="R310" i="1"/>
  <c r="AH310" i="1"/>
  <c r="AX310" i="1"/>
  <c r="F310" i="1"/>
  <c r="V310" i="1"/>
  <c r="AL310" i="1"/>
  <c r="J310" i="1"/>
  <c r="Z310" i="1"/>
  <c r="AP310" i="1"/>
  <c r="C310" i="1"/>
  <c r="F311" i="1"/>
  <c r="J311" i="1"/>
  <c r="N311" i="1"/>
  <c r="R311" i="1"/>
  <c r="V311" i="1"/>
  <c r="Z311" i="1"/>
  <c r="AD311" i="1"/>
  <c r="AH311" i="1"/>
  <c r="AL311" i="1"/>
  <c r="AP311" i="1"/>
  <c r="AT311" i="1"/>
  <c r="AX311" i="1"/>
  <c r="G311" i="1"/>
  <c r="K311" i="1"/>
  <c r="O311" i="1"/>
  <c r="S311" i="1"/>
  <c r="W311" i="1"/>
  <c r="AA311" i="1"/>
  <c r="AE311" i="1"/>
  <c r="AI311" i="1"/>
  <c r="AM311" i="1"/>
  <c r="AQ311" i="1"/>
  <c r="AU311" i="1"/>
  <c r="AY311" i="1"/>
  <c r="D311" i="1"/>
  <c r="H311" i="1"/>
  <c r="L311" i="1"/>
  <c r="P311" i="1"/>
  <c r="T311" i="1"/>
  <c r="X311" i="1"/>
  <c r="AB311" i="1"/>
  <c r="AF311" i="1"/>
  <c r="AJ311" i="1"/>
  <c r="AN311" i="1"/>
  <c r="AR311" i="1"/>
  <c r="AV311" i="1"/>
  <c r="AZ311" i="1"/>
  <c r="I311" i="1"/>
  <c r="Y311" i="1"/>
  <c r="AO311" i="1"/>
  <c r="M311" i="1"/>
  <c r="AC311" i="1"/>
  <c r="AS311" i="1"/>
  <c r="Q311" i="1"/>
  <c r="AG311" i="1"/>
  <c r="AW311" i="1"/>
  <c r="E311" i="1"/>
  <c r="U311" i="1"/>
  <c r="AK311" i="1"/>
  <c r="C311" i="1"/>
  <c r="E312" i="1"/>
  <c r="I312" i="1"/>
  <c r="M312" i="1"/>
  <c r="Q312" i="1"/>
  <c r="U312" i="1"/>
  <c r="Y312" i="1"/>
  <c r="AC312" i="1"/>
  <c r="AG312" i="1"/>
  <c r="AK312" i="1"/>
  <c r="AO312" i="1"/>
  <c r="AS312" i="1"/>
  <c r="AW312" i="1"/>
  <c r="F312" i="1"/>
  <c r="J312" i="1"/>
  <c r="N312" i="1"/>
  <c r="R312" i="1"/>
  <c r="V312" i="1"/>
  <c r="Z312" i="1"/>
  <c r="AD312" i="1"/>
  <c r="AH312" i="1"/>
  <c r="AL312" i="1"/>
  <c r="AP312" i="1"/>
  <c r="AT312" i="1"/>
  <c r="AX312" i="1"/>
  <c r="G312" i="1"/>
  <c r="K312" i="1"/>
  <c r="O312" i="1"/>
  <c r="S312" i="1"/>
  <c r="W312" i="1"/>
  <c r="AA312" i="1"/>
  <c r="AE312" i="1"/>
  <c r="AI312" i="1"/>
  <c r="AM312" i="1"/>
  <c r="AQ312" i="1"/>
  <c r="AU312" i="1"/>
  <c r="AY312" i="1"/>
  <c r="D312" i="1"/>
  <c r="T312" i="1"/>
  <c r="AJ312" i="1"/>
  <c r="AZ312" i="1"/>
  <c r="H312" i="1"/>
  <c r="X312" i="1"/>
  <c r="AN312" i="1"/>
  <c r="L312" i="1"/>
  <c r="AB312" i="1"/>
  <c r="AR312" i="1"/>
  <c r="P312" i="1"/>
  <c r="AF312" i="1"/>
  <c r="AV312" i="1"/>
  <c r="C312" i="1"/>
  <c r="D313" i="1"/>
  <c r="H313" i="1"/>
  <c r="L313" i="1"/>
  <c r="P313" i="1"/>
  <c r="T313" i="1"/>
  <c r="X313" i="1"/>
  <c r="AB313" i="1"/>
  <c r="AF313" i="1"/>
  <c r="AJ313" i="1"/>
  <c r="AN313" i="1"/>
  <c r="AR313" i="1"/>
  <c r="AV313" i="1"/>
  <c r="AZ313" i="1"/>
  <c r="E313" i="1"/>
  <c r="I313" i="1"/>
  <c r="M313" i="1"/>
  <c r="Q313" i="1"/>
  <c r="U313" i="1"/>
  <c r="Y313" i="1"/>
  <c r="AC313" i="1"/>
  <c r="AG313" i="1"/>
  <c r="AK313" i="1"/>
  <c r="AO313" i="1"/>
  <c r="AS313" i="1"/>
  <c r="AW313" i="1"/>
  <c r="F313" i="1"/>
  <c r="J313" i="1"/>
  <c r="N313" i="1"/>
  <c r="R313" i="1"/>
  <c r="V313" i="1"/>
  <c r="Z313" i="1"/>
  <c r="AD313" i="1"/>
  <c r="AH313" i="1"/>
  <c r="AL313" i="1"/>
  <c r="AP313" i="1"/>
  <c r="AT313" i="1"/>
  <c r="AX313" i="1"/>
  <c r="O313" i="1"/>
  <c r="AE313" i="1"/>
  <c r="AU313" i="1"/>
  <c r="S313" i="1"/>
  <c r="AI313" i="1"/>
  <c r="AY313" i="1"/>
  <c r="G313" i="1"/>
  <c r="W313" i="1"/>
  <c r="AM313" i="1"/>
  <c r="K313" i="1"/>
  <c r="AA313" i="1"/>
  <c r="AQ313" i="1"/>
  <c r="C313" i="1"/>
  <c r="G314" i="1"/>
  <c r="K314" i="1"/>
  <c r="O314" i="1"/>
  <c r="S314" i="1"/>
  <c r="W314" i="1"/>
  <c r="AA314" i="1"/>
  <c r="AE314" i="1"/>
  <c r="AI314" i="1"/>
  <c r="AM314" i="1"/>
  <c r="AQ314" i="1"/>
  <c r="AU314" i="1"/>
  <c r="AY314" i="1"/>
  <c r="D314" i="1"/>
  <c r="H314" i="1"/>
  <c r="L314" i="1"/>
  <c r="P314" i="1"/>
  <c r="T314" i="1"/>
  <c r="X314" i="1"/>
  <c r="AB314" i="1"/>
  <c r="AF314" i="1"/>
  <c r="AJ314" i="1"/>
  <c r="AN314" i="1"/>
  <c r="AR314" i="1"/>
  <c r="AV314" i="1"/>
  <c r="AZ314" i="1"/>
  <c r="E314" i="1"/>
  <c r="I314" i="1"/>
  <c r="M314" i="1"/>
  <c r="Q314" i="1"/>
  <c r="U314" i="1"/>
  <c r="Y314" i="1"/>
  <c r="AC314" i="1"/>
  <c r="AG314" i="1"/>
  <c r="AK314" i="1"/>
  <c r="AO314" i="1"/>
  <c r="AS314" i="1"/>
  <c r="AW314" i="1"/>
  <c r="J314" i="1"/>
  <c r="Z314" i="1"/>
  <c r="AP314" i="1"/>
  <c r="N314" i="1"/>
  <c r="AD314" i="1"/>
  <c r="AT314" i="1"/>
  <c r="R314" i="1"/>
  <c r="AH314" i="1"/>
  <c r="AX314" i="1"/>
  <c r="F314" i="1"/>
  <c r="V314" i="1"/>
  <c r="AL314" i="1"/>
  <c r="C314" i="1"/>
  <c r="F315" i="1"/>
  <c r="J315" i="1"/>
  <c r="N315" i="1"/>
  <c r="R315" i="1"/>
  <c r="V315" i="1"/>
  <c r="Z315" i="1"/>
  <c r="AD315" i="1"/>
  <c r="AH315" i="1"/>
  <c r="AL315" i="1"/>
  <c r="AP315" i="1"/>
  <c r="AT315" i="1"/>
  <c r="AX315" i="1"/>
  <c r="D315" i="1"/>
  <c r="H315" i="1"/>
  <c r="L315" i="1"/>
  <c r="P315" i="1"/>
  <c r="T315" i="1"/>
  <c r="X315" i="1"/>
  <c r="AB315" i="1"/>
  <c r="AF315" i="1"/>
  <c r="AJ315" i="1"/>
  <c r="AN315" i="1"/>
  <c r="AR315" i="1"/>
  <c r="AV315" i="1"/>
  <c r="AZ315" i="1"/>
  <c r="I315" i="1"/>
  <c r="Q315" i="1"/>
  <c r="Y315" i="1"/>
  <c r="AG315" i="1"/>
  <c r="AO315" i="1"/>
  <c r="AW315" i="1"/>
  <c r="K315" i="1"/>
  <c r="S315" i="1"/>
  <c r="AA315" i="1"/>
  <c r="AI315" i="1"/>
  <c r="AQ315" i="1"/>
  <c r="AY315" i="1"/>
  <c r="E315" i="1"/>
  <c r="M315" i="1"/>
  <c r="U315" i="1"/>
  <c r="AC315" i="1"/>
  <c r="AK315" i="1"/>
  <c r="AS315" i="1"/>
  <c r="G315" i="1"/>
  <c r="O315" i="1"/>
  <c r="W315" i="1"/>
  <c r="AE315" i="1"/>
  <c r="AM315" i="1"/>
  <c r="AU315" i="1"/>
  <c r="C315" i="1"/>
  <c r="E316" i="1"/>
  <c r="I316" i="1"/>
  <c r="M316" i="1"/>
  <c r="G316" i="1"/>
  <c r="K316" i="1"/>
  <c r="O316" i="1"/>
  <c r="D316" i="1"/>
  <c r="L316" i="1"/>
  <c r="R316" i="1"/>
  <c r="V316" i="1"/>
  <c r="Z316" i="1"/>
  <c r="AD316" i="1"/>
  <c r="AH316" i="1"/>
  <c r="AL316" i="1"/>
  <c r="AP316" i="1"/>
  <c r="AT316" i="1"/>
  <c r="AX316" i="1"/>
  <c r="F316" i="1"/>
  <c r="N316" i="1"/>
  <c r="S316" i="1"/>
  <c r="W316" i="1"/>
  <c r="AA316" i="1"/>
  <c r="AE316" i="1"/>
  <c r="AI316" i="1"/>
  <c r="AM316" i="1"/>
  <c r="AQ316" i="1"/>
  <c r="AU316" i="1"/>
  <c r="AY316" i="1"/>
  <c r="H316" i="1"/>
  <c r="P316" i="1"/>
  <c r="T316" i="1"/>
  <c r="X316" i="1"/>
  <c r="AB316" i="1"/>
  <c r="AF316" i="1"/>
  <c r="AJ316" i="1"/>
  <c r="AN316" i="1"/>
  <c r="AR316" i="1"/>
  <c r="AV316" i="1"/>
  <c r="AZ316" i="1"/>
  <c r="J316" i="1"/>
  <c r="Q316" i="1"/>
  <c r="U316" i="1"/>
  <c r="Y316" i="1"/>
  <c r="AC316" i="1"/>
  <c r="AG316" i="1"/>
  <c r="AK316" i="1"/>
  <c r="AO316" i="1"/>
  <c r="AS316" i="1"/>
  <c r="AW316" i="1"/>
  <c r="C316" i="1"/>
  <c r="E317" i="1"/>
  <c r="I317" i="1"/>
  <c r="M317" i="1"/>
  <c r="Q317" i="1"/>
  <c r="U317" i="1"/>
  <c r="Y317" i="1"/>
  <c r="AC317" i="1"/>
  <c r="AG317" i="1"/>
  <c r="AK317" i="1"/>
  <c r="AO317" i="1"/>
  <c r="AS317" i="1"/>
  <c r="AW317" i="1"/>
  <c r="F317" i="1"/>
  <c r="J317" i="1"/>
  <c r="N317" i="1"/>
  <c r="R317" i="1"/>
  <c r="V317" i="1"/>
  <c r="Z317" i="1"/>
  <c r="AD317" i="1"/>
  <c r="AH317" i="1"/>
  <c r="AL317" i="1"/>
  <c r="AP317" i="1"/>
  <c r="AT317" i="1"/>
  <c r="AX317" i="1"/>
  <c r="G317" i="1"/>
  <c r="K317" i="1"/>
  <c r="O317" i="1"/>
  <c r="S317" i="1"/>
  <c r="W317" i="1"/>
  <c r="AA317" i="1"/>
  <c r="AE317" i="1"/>
  <c r="AI317" i="1"/>
  <c r="AM317" i="1"/>
  <c r="AQ317" i="1"/>
  <c r="AU317" i="1"/>
  <c r="AY317" i="1"/>
  <c r="D317" i="1"/>
  <c r="H317" i="1"/>
  <c r="L317" i="1"/>
  <c r="P317" i="1"/>
  <c r="T317" i="1"/>
  <c r="X317" i="1"/>
  <c r="AB317" i="1"/>
  <c r="AF317" i="1"/>
  <c r="AJ317" i="1"/>
  <c r="AN317" i="1"/>
  <c r="AR317" i="1"/>
  <c r="AV317" i="1"/>
  <c r="AZ317" i="1"/>
  <c r="C317" i="1"/>
  <c r="D318" i="1"/>
  <c r="H318" i="1"/>
  <c r="L318" i="1"/>
  <c r="P318" i="1"/>
  <c r="T318" i="1"/>
  <c r="X318" i="1"/>
  <c r="AB318" i="1"/>
  <c r="AF318" i="1"/>
  <c r="AJ318" i="1"/>
  <c r="AN318" i="1"/>
  <c r="AR318" i="1"/>
  <c r="AV318" i="1"/>
  <c r="AZ318" i="1"/>
  <c r="E318" i="1"/>
  <c r="I318" i="1"/>
  <c r="M318" i="1"/>
  <c r="Q318" i="1"/>
  <c r="U318" i="1"/>
  <c r="Y318" i="1"/>
  <c r="AC318" i="1"/>
  <c r="AG318" i="1"/>
  <c r="AK318" i="1"/>
  <c r="AO318" i="1"/>
  <c r="AS318" i="1"/>
  <c r="AW318" i="1"/>
  <c r="F318" i="1"/>
  <c r="J318" i="1"/>
  <c r="N318" i="1"/>
  <c r="R318" i="1"/>
  <c r="V318" i="1"/>
  <c r="Z318" i="1"/>
  <c r="AD318" i="1"/>
  <c r="AH318" i="1"/>
  <c r="AL318" i="1"/>
  <c r="AP318" i="1"/>
  <c r="AT318" i="1"/>
  <c r="AX318" i="1"/>
  <c r="G318" i="1"/>
  <c r="K318" i="1"/>
  <c r="O318" i="1"/>
  <c r="S318" i="1"/>
  <c r="W318" i="1"/>
  <c r="AA318" i="1"/>
  <c r="AE318" i="1"/>
  <c r="AI318" i="1"/>
  <c r="AM318" i="1"/>
  <c r="AQ318" i="1"/>
  <c r="AU318" i="1"/>
  <c r="AY318" i="1"/>
  <c r="C318" i="1"/>
  <c r="G319" i="1"/>
  <c r="K319" i="1"/>
  <c r="O319" i="1"/>
  <c r="S319" i="1"/>
  <c r="W319" i="1"/>
  <c r="AA319" i="1"/>
  <c r="AE319" i="1"/>
  <c r="AI319" i="1"/>
  <c r="AM319" i="1"/>
  <c r="AQ319" i="1"/>
  <c r="AU319" i="1"/>
  <c r="AY319" i="1"/>
  <c r="D319" i="1"/>
  <c r="H319" i="1"/>
  <c r="L319" i="1"/>
  <c r="P319" i="1"/>
  <c r="T319" i="1"/>
  <c r="X319" i="1"/>
  <c r="AB319" i="1"/>
  <c r="AF319" i="1"/>
  <c r="AJ319" i="1"/>
  <c r="AN319" i="1"/>
  <c r="AR319" i="1"/>
  <c r="AV319" i="1"/>
  <c r="AZ319" i="1"/>
  <c r="E319" i="1"/>
  <c r="I319" i="1"/>
  <c r="M319" i="1"/>
  <c r="Q319" i="1"/>
  <c r="U319" i="1"/>
  <c r="Y319" i="1"/>
  <c r="AC319" i="1"/>
  <c r="AG319" i="1"/>
  <c r="AK319" i="1"/>
  <c r="AO319" i="1"/>
  <c r="AS319" i="1"/>
  <c r="AW319" i="1"/>
  <c r="F319" i="1"/>
  <c r="J319" i="1"/>
  <c r="N319" i="1"/>
  <c r="R319" i="1"/>
  <c r="V319" i="1"/>
  <c r="Z319" i="1"/>
  <c r="AD319" i="1"/>
  <c r="AH319" i="1"/>
  <c r="AL319" i="1"/>
  <c r="AP319" i="1"/>
  <c r="AT319" i="1"/>
  <c r="AX319" i="1"/>
  <c r="C319" i="1"/>
  <c r="F320" i="1"/>
  <c r="J320" i="1"/>
  <c r="N320" i="1"/>
  <c r="R320" i="1"/>
  <c r="V320" i="1"/>
  <c r="Z320" i="1"/>
  <c r="AD320" i="1"/>
  <c r="AH320" i="1"/>
  <c r="AL320" i="1"/>
  <c r="AP320" i="1"/>
  <c r="AT320" i="1"/>
  <c r="AX320" i="1"/>
  <c r="G320" i="1"/>
  <c r="K320" i="1"/>
  <c r="O320" i="1"/>
  <c r="S320" i="1"/>
  <c r="W320" i="1"/>
  <c r="AA320" i="1"/>
  <c r="AE320" i="1"/>
  <c r="AI320" i="1"/>
  <c r="AM320" i="1"/>
  <c r="AQ320" i="1"/>
  <c r="AU320" i="1"/>
  <c r="AY320" i="1"/>
  <c r="D320" i="1"/>
  <c r="H320" i="1"/>
  <c r="L320" i="1"/>
  <c r="P320" i="1"/>
  <c r="T320" i="1"/>
  <c r="X320" i="1"/>
  <c r="AB320" i="1"/>
  <c r="AF320" i="1"/>
  <c r="AJ320" i="1"/>
  <c r="AN320" i="1"/>
  <c r="AR320" i="1"/>
  <c r="AV320" i="1"/>
  <c r="AZ320" i="1"/>
  <c r="E320" i="1"/>
  <c r="I320" i="1"/>
  <c r="M320" i="1"/>
  <c r="Q320" i="1"/>
  <c r="U320" i="1"/>
  <c r="Y320" i="1"/>
  <c r="AC320" i="1"/>
  <c r="AG320" i="1"/>
  <c r="AK320" i="1"/>
  <c r="AO320" i="1"/>
  <c r="AS320" i="1"/>
  <c r="AW320" i="1"/>
  <c r="C320" i="1"/>
  <c r="E321" i="1"/>
  <c r="I321" i="1"/>
  <c r="M321" i="1"/>
  <c r="Q321" i="1"/>
  <c r="U321" i="1"/>
  <c r="Y321" i="1"/>
  <c r="AC321" i="1"/>
  <c r="AG321" i="1"/>
  <c r="AK321" i="1"/>
  <c r="AO321" i="1"/>
  <c r="AS321" i="1"/>
  <c r="AW321" i="1"/>
  <c r="F321" i="1"/>
  <c r="J321" i="1"/>
  <c r="N321" i="1"/>
  <c r="R321" i="1"/>
  <c r="V321" i="1"/>
  <c r="Z321" i="1"/>
  <c r="AD321" i="1"/>
  <c r="AH321" i="1"/>
  <c r="AL321" i="1"/>
  <c r="AP321" i="1"/>
  <c r="AT321" i="1"/>
  <c r="AX321" i="1"/>
  <c r="G321" i="1"/>
  <c r="K321" i="1"/>
  <c r="O321" i="1"/>
  <c r="S321" i="1"/>
  <c r="W321" i="1"/>
  <c r="AA321" i="1"/>
  <c r="AE321" i="1"/>
  <c r="AI321" i="1"/>
  <c r="AM321" i="1"/>
  <c r="AQ321" i="1"/>
  <c r="AU321" i="1"/>
  <c r="AY321" i="1"/>
  <c r="D321" i="1"/>
  <c r="H321" i="1"/>
  <c r="L321" i="1"/>
  <c r="P321" i="1"/>
  <c r="T321" i="1"/>
  <c r="X321" i="1"/>
  <c r="AB321" i="1"/>
  <c r="AF321" i="1"/>
  <c r="AJ321" i="1"/>
  <c r="AN321" i="1"/>
  <c r="AR321" i="1"/>
  <c r="AV321" i="1"/>
  <c r="AZ321" i="1"/>
  <c r="C321" i="1"/>
  <c r="D322" i="1"/>
  <c r="H322" i="1"/>
  <c r="L322" i="1"/>
  <c r="P322" i="1"/>
  <c r="T322" i="1"/>
  <c r="X322" i="1"/>
  <c r="AB322" i="1"/>
  <c r="AF322" i="1"/>
  <c r="AJ322" i="1"/>
  <c r="AN322" i="1"/>
  <c r="AR322" i="1"/>
  <c r="AV322" i="1"/>
  <c r="AZ322" i="1"/>
  <c r="E322" i="1"/>
  <c r="I322" i="1"/>
  <c r="M322" i="1"/>
  <c r="Q322" i="1"/>
  <c r="U322" i="1"/>
  <c r="Y322" i="1"/>
  <c r="AC322" i="1"/>
  <c r="AG322" i="1"/>
  <c r="AK322" i="1"/>
  <c r="AO322" i="1"/>
  <c r="AS322" i="1"/>
  <c r="AW322" i="1"/>
  <c r="F322" i="1"/>
  <c r="J322" i="1"/>
  <c r="N322" i="1"/>
  <c r="R322" i="1"/>
  <c r="V322" i="1"/>
  <c r="Z322" i="1"/>
  <c r="AD322" i="1"/>
  <c r="AH322" i="1"/>
  <c r="AL322" i="1"/>
  <c r="AP322" i="1"/>
  <c r="AT322" i="1"/>
  <c r="AX322" i="1"/>
  <c r="G322" i="1"/>
  <c r="K322" i="1"/>
  <c r="O322" i="1"/>
  <c r="S322" i="1"/>
  <c r="W322" i="1"/>
  <c r="AA322" i="1"/>
  <c r="AE322" i="1"/>
  <c r="AI322" i="1"/>
  <c r="AM322" i="1"/>
  <c r="AQ322" i="1"/>
  <c r="AU322" i="1"/>
  <c r="AY322" i="1"/>
  <c r="C322" i="1"/>
  <c r="G323" i="1"/>
  <c r="K323" i="1"/>
  <c r="O323" i="1"/>
  <c r="S323" i="1"/>
  <c r="W323" i="1"/>
  <c r="AA323" i="1"/>
  <c r="AE323" i="1"/>
  <c r="AI323" i="1"/>
  <c r="AM323" i="1"/>
  <c r="AQ323" i="1"/>
  <c r="AU323" i="1"/>
  <c r="AY323" i="1"/>
  <c r="D323" i="1"/>
  <c r="H323" i="1"/>
  <c r="L323" i="1"/>
  <c r="P323" i="1"/>
  <c r="T323" i="1"/>
  <c r="X323" i="1"/>
  <c r="AB323" i="1"/>
  <c r="AF323" i="1"/>
  <c r="AJ323" i="1"/>
  <c r="AN323" i="1"/>
  <c r="AR323" i="1"/>
  <c r="AV323" i="1"/>
  <c r="AZ323" i="1"/>
  <c r="E323" i="1"/>
  <c r="I323" i="1"/>
  <c r="M323" i="1"/>
  <c r="Q323" i="1"/>
  <c r="U323" i="1"/>
  <c r="Y323" i="1"/>
  <c r="AC323" i="1"/>
  <c r="AG323" i="1"/>
  <c r="AK323" i="1"/>
  <c r="AO323" i="1"/>
  <c r="AS323" i="1"/>
  <c r="AW323" i="1"/>
  <c r="F323" i="1"/>
  <c r="J323" i="1"/>
  <c r="N323" i="1"/>
  <c r="R323" i="1"/>
  <c r="V323" i="1"/>
  <c r="Z323" i="1"/>
  <c r="AD323" i="1"/>
  <c r="AH323" i="1"/>
  <c r="AL323" i="1"/>
  <c r="AP323" i="1"/>
  <c r="AT323" i="1"/>
  <c r="AX323" i="1"/>
  <c r="C323" i="1"/>
  <c r="F324" i="1"/>
  <c r="J324" i="1"/>
  <c r="N324" i="1"/>
  <c r="R324" i="1"/>
  <c r="V324" i="1"/>
  <c r="Z324" i="1"/>
  <c r="AD324" i="1"/>
  <c r="AH324" i="1"/>
  <c r="AL324" i="1"/>
  <c r="AP324" i="1"/>
  <c r="AT324" i="1"/>
  <c r="AX324" i="1"/>
  <c r="G324" i="1"/>
  <c r="K324" i="1"/>
  <c r="O324" i="1"/>
  <c r="S324" i="1"/>
  <c r="W324" i="1"/>
  <c r="AA324" i="1"/>
  <c r="AE324" i="1"/>
  <c r="AI324" i="1"/>
  <c r="AM324" i="1"/>
  <c r="AQ324" i="1"/>
  <c r="AU324" i="1"/>
  <c r="AY324" i="1"/>
  <c r="D324" i="1"/>
  <c r="H324" i="1"/>
  <c r="L324" i="1"/>
  <c r="P324" i="1"/>
  <c r="T324" i="1"/>
  <c r="X324" i="1"/>
  <c r="AB324" i="1"/>
  <c r="AF324" i="1"/>
  <c r="AJ324" i="1"/>
  <c r="AN324" i="1"/>
  <c r="AR324" i="1"/>
  <c r="AV324" i="1"/>
  <c r="AZ324" i="1"/>
  <c r="E324" i="1"/>
  <c r="I324" i="1"/>
  <c r="M324" i="1"/>
  <c r="Q324" i="1"/>
  <c r="U324" i="1"/>
  <c r="Y324" i="1"/>
  <c r="AC324" i="1"/>
  <c r="AG324" i="1"/>
  <c r="AK324" i="1"/>
  <c r="AO324" i="1"/>
  <c r="AS324" i="1"/>
  <c r="AW324" i="1"/>
  <c r="C324" i="1"/>
  <c r="E325" i="1"/>
  <c r="I325" i="1"/>
  <c r="M325" i="1"/>
  <c r="Q325" i="1"/>
  <c r="U325" i="1"/>
  <c r="Y325" i="1"/>
  <c r="AC325" i="1"/>
  <c r="AG325" i="1"/>
  <c r="AK325" i="1"/>
  <c r="AO325" i="1"/>
  <c r="AS325" i="1"/>
  <c r="AW325" i="1"/>
  <c r="F325" i="1"/>
  <c r="J325" i="1"/>
  <c r="N325" i="1"/>
  <c r="R325" i="1"/>
  <c r="V325" i="1"/>
  <c r="Z325" i="1"/>
  <c r="AD325" i="1"/>
  <c r="AH325" i="1"/>
  <c r="AL325" i="1"/>
  <c r="AP325" i="1"/>
  <c r="AT325" i="1"/>
  <c r="AX325" i="1"/>
  <c r="G325" i="1"/>
  <c r="K325" i="1"/>
  <c r="O325" i="1"/>
  <c r="S325" i="1"/>
  <c r="W325" i="1"/>
  <c r="AA325" i="1"/>
  <c r="AE325" i="1"/>
  <c r="AI325" i="1"/>
  <c r="AM325" i="1"/>
  <c r="AQ325" i="1"/>
  <c r="AU325" i="1"/>
  <c r="AY325" i="1"/>
  <c r="D325" i="1"/>
  <c r="H325" i="1"/>
  <c r="L325" i="1"/>
  <c r="P325" i="1"/>
  <c r="T325" i="1"/>
  <c r="X325" i="1"/>
  <c r="AB325" i="1"/>
  <c r="AF325" i="1"/>
  <c r="AJ325" i="1"/>
  <c r="AN325" i="1"/>
  <c r="AR325" i="1"/>
  <c r="AV325" i="1"/>
  <c r="AZ325" i="1"/>
  <c r="C325" i="1"/>
  <c r="D326" i="1"/>
  <c r="H326" i="1"/>
  <c r="L326" i="1"/>
  <c r="P326" i="1"/>
  <c r="T326" i="1"/>
  <c r="X326" i="1"/>
  <c r="AB326" i="1"/>
  <c r="AF326" i="1"/>
  <c r="AJ326" i="1"/>
  <c r="AN326" i="1"/>
  <c r="AR326" i="1"/>
  <c r="AV326" i="1"/>
  <c r="AZ326" i="1"/>
  <c r="E326" i="1"/>
  <c r="I326" i="1"/>
  <c r="M326" i="1"/>
  <c r="Q326" i="1"/>
  <c r="U326" i="1"/>
  <c r="Y326" i="1"/>
  <c r="AC326" i="1"/>
  <c r="AG326" i="1"/>
  <c r="AK326" i="1"/>
  <c r="AO326" i="1"/>
  <c r="AS326" i="1"/>
  <c r="AW326" i="1"/>
  <c r="F326" i="1"/>
  <c r="J326" i="1"/>
  <c r="N326" i="1"/>
  <c r="R326" i="1"/>
  <c r="V326" i="1"/>
  <c r="Z326" i="1"/>
  <c r="AD326" i="1"/>
  <c r="AH326" i="1"/>
  <c r="AL326" i="1"/>
  <c r="AP326" i="1"/>
  <c r="AT326" i="1"/>
  <c r="AX326" i="1"/>
  <c r="G326" i="1"/>
  <c r="K326" i="1"/>
  <c r="O326" i="1"/>
  <c r="S326" i="1"/>
  <c r="W326" i="1"/>
  <c r="AA326" i="1"/>
  <c r="AE326" i="1"/>
  <c r="AI326" i="1"/>
  <c r="AM326" i="1"/>
  <c r="AQ326" i="1"/>
  <c r="AU326" i="1"/>
  <c r="AY326" i="1"/>
  <c r="C326" i="1"/>
  <c r="G327" i="1"/>
  <c r="K327" i="1"/>
  <c r="O327" i="1"/>
  <c r="S327" i="1"/>
  <c r="W327" i="1"/>
  <c r="AA327" i="1"/>
  <c r="AE327" i="1"/>
  <c r="AI327" i="1"/>
  <c r="AM327" i="1"/>
  <c r="AQ327" i="1"/>
  <c r="AU327" i="1"/>
  <c r="AY327" i="1"/>
  <c r="D327" i="1"/>
  <c r="H327" i="1"/>
  <c r="L327" i="1"/>
  <c r="P327" i="1"/>
  <c r="T327" i="1"/>
  <c r="X327" i="1"/>
  <c r="AB327" i="1"/>
  <c r="AF327" i="1"/>
  <c r="AJ327" i="1"/>
  <c r="AN327" i="1"/>
  <c r="AR327" i="1"/>
  <c r="AV327" i="1"/>
  <c r="AZ327" i="1"/>
  <c r="E327" i="1"/>
  <c r="I327" i="1"/>
  <c r="M327" i="1"/>
  <c r="Q327" i="1"/>
  <c r="U327" i="1"/>
  <c r="Y327" i="1"/>
  <c r="AC327" i="1"/>
  <c r="AG327" i="1"/>
  <c r="AK327" i="1"/>
  <c r="AO327" i="1"/>
  <c r="AS327" i="1"/>
  <c r="AW327" i="1"/>
  <c r="F327" i="1"/>
  <c r="J327" i="1"/>
  <c r="N327" i="1"/>
  <c r="R327" i="1"/>
  <c r="V327" i="1"/>
  <c r="Z327" i="1"/>
  <c r="AD327" i="1"/>
  <c r="AH327" i="1"/>
  <c r="AL327" i="1"/>
  <c r="AP327" i="1"/>
  <c r="AT327" i="1"/>
  <c r="AX327" i="1"/>
  <c r="C327" i="1"/>
  <c r="F328" i="1"/>
  <c r="J328" i="1"/>
  <c r="N328" i="1"/>
  <c r="R328" i="1"/>
  <c r="V328" i="1"/>
  <c r="Z328" i="1"/>
  <c r="AD328" i="1"/>
  <c r="AH328" i="1"/>
  <c r="AL328" i="1"/>
  <c r="AP328" i="1"/>
  <c r="AT328" i="1"/>
  <c r="AX328" i="1"/>
  <c r="G328" i="1"/>
  <c r="K328" i="1"/>
  <c r="O328" i="1"/>
  <c r="S328" i="1"/>
  <c r="W328" i="1"/>
  <c r="AA328" i="1"/>
  <c r="AE328" i="1"/>
  <c r="AI328" i="1"/>
  <c r="AM328" i="1"/>
  <c r="AQ328" i="1"/>
  <c r="AU328" i="1"/>
  <c r="AY328" i="1"/>
  <c r="D328" i="1"/>
  <c r="H328" i="1"/>
  <c r="L328" i="1"/>
  <c r="P328" i="1"/>
  <c r="T328" i="1"/>
  <c r="X328" i="1"/>
  <c r="AB328" i="1"/>
  <c r="AF328" i="1"/>
  <c r="AJ328" i="1"/>
  <c r="AN328" i="1"/>
  <c r="AR328" i="1"/>
  <c r="AV328" i="1"/>
  <c r="AZ328" i="1"/>
  <c r="E328" i="1"/>
  <c r="I328" i="1"/>
  <c r="M328" i="1"/>
  <c r="Q328" i="1"/>
  <c r="U328" i="1"/>
  <c r="Y328" i="1"/>
  <c r="AC328" i="1"/>
  <c r="AG328" i="1"/>
  <c r="AK328" i="1"/>
  <c r="AO328" i="1"/>
  <c r="AS328" i="1"/>
  <c r="AW328" i="1"/>
  <c r="C328" i="1"/>
  <c r="E329" i="1"/>
  <c r="I329" i="1"/>
  <c r="M329" i="1"/>
  <c r="Q329" i="1"/>
  <c r="U329" i="1"/>
  <c r="Y329" i="1"/>
  <c r="AC329" i="1"/>
  <c r="AG329" i="1"/>
  <c r="AK329" i="1"/>
  <c r="AO329" i="1"/>
  <c r="AS329" i="1"/>
  <c r="AW329" i="1"/>
  <c r="F329" i="1"/>
  <c r="J329" i="1"/>
  <c r="N329" i="1"/>
  <c r="R329" i="1"/>
  <c r="V329" i="1"/>
  <c r="Z329" i="1"/>
  <c r="AD329" i="1"/>
  <c r="AH329" i="1"/>
  <c r="AL329" i="1"/>
  <c r="AP329" i="1"/>
  <c r="AT329" i="1"/>
  <c r="AX329" i="1"/>
  <c r="G329" i="1"/>
  <c r="K329" i="1"/>
  <c r="O329" i="1"/>
  <c r="S329" i="1"/>
  <c r="W329" i="1"/>
  <c r="AA329" i="1"/>
  <c r="AE329" i="1"/>
  <c r="AI329" i="1"/>
  <c r="AM329" i="1"/>
  <c r="AQ329" i="1"/>
  <c r="AU329" i="1"/>
  <c r="AY329" i="1"/>
  <c r="D329" i="1"/>
  <c r="H329" i="1"/>
  <c r="L329" i="1"/>
  <c r="P329" i="1"/>
  <c r="T329" i="1"/>
  <c r="X329" i="1"/>
  <c r="AB329" i="1"/>
  <c r="AF329" i="1"/>
  <c r="AJ329" i="1"/>
  <c r="AN329" i="1"/>
  <c r="AR329" i="1"/>
  <c r="AV329" i="1"/>
  <c r="AZ329" i="1"/>
  <c r="C329" i="1"/>
  <c r="D330" i="1"/>
  <c r="H330" i="1"/>
  <c r="L330" i="1"/>
  <c r="P330" i="1"/>
  <c r="T330" i="1"/>
  <c r="X330" i="1"/>
  <c r="AB330" i="1"/>
  <c r="AF330" i="1"/>
  <c r="AJ330" i="1"/>
  <c r="AN330" i="1"/>
  <c r="AR330" i="1"/>
  <c r="AV330" i="1"/>
  <c r="AZ330" i="1"/>
  <c r="E330" i="1"/>
  <c r="I330" i="1"/>
  <c r="M330" i="1"/>
  <c r="Q330" i="1"/>
  <c r="U330" i="1"/>
  <c r="Y330" i="1"/>
  <c r="AC330" i="1"/>
  <c r="AG330" i="1"/>
  <c r="AK330" i="1"/>
  <c r="AO330" i="1"/>
  <c r="AS330" i="1"/>
  <c r="AW330" i="1"/>
  <c r="F330" i="1"/>
  <c r="J330" i="1"/>
  <c r="N330" i="1"/>
  <c r="R330" i="1"/>
  <c r="V330" i="1"/>
  <c r="Z330" i="1"/>
  <c r="AD330" i="1"/>
  <c r="AH330" i="1"/>
  <c r="AL330" i="1"/>
  <c r="AP330" i="1"/>
  <c r="AT330" i="1"/>
  <c r="AX330" i="1"/>
  <c r="G330" i="1"/>
  <c r="K330" i="1"/>
  <c r="O330" i="1"/>
  <c r="S330" i="1"/>
  <c r="W330" i="1"/>
  <c r="AA330" i="1"/>
  <c r="AE330" i="1"/>
  <c r="AI330" i="1"/>
  <c r="AM330" i="1"/>
  <c r="AQ330" i="1"/>
  <c r="AU330" i="1"/>
  <c r="AY330" i="1"/>
  <c r="C330" i="1"/>
  <c r="G331" i="1"/>
  <c r="K331" i="1"/>
  <c r="O331" i="1"/>
  <c r="S331" i="1"/>
  <c r="W331" i="1"/>
  <c r="AA331" i="1"/>
  <c r="AE331" i="1"/>
  <c r="AI331" i="1"/>
  <c r="AM331" i="1"/>
  <c r="AQ331" i="1"/>
  <c r="AU331" i="1"/>
  <c r="AY331" i="1"/>
  <c r="D331" i="1"/>
  <c r="H331" i="1"/>
  <c r="L331" i="1"/>
  <c r="P331" i="1"/>
  <c r="T331" i="1"/>
  <c r="X331" i="1"/>
  <c r="AB331" i="1"/>
  <c r="AF331" i="1"/>
  <c r="AJ331" i="1"/>
  <c r="AN331" i="1"/>
  <c r="AR331" i="1"/>
  <c r="AV331" i="1"/>
  <c r="AZ331" i="1"/>
  <c r="E331" i="1"/>
  <c r="I331" i="1"/>
  <c r="M331" i="1"/>
  <c r="Q331" i="1"/>
  <c r="U331" i="1"/>
  <c r="Y331" i="1"/>
  <c r="AC331" i="1"/>
  <c r="AG331" i="1"/>
  <c r="AK331" i="1"/>
  <c r="AO331" i="1"/>
  <c r="AS331" i="1"/>
  <c r="AW331" i="1"/>
  <c r="F331" i="1"/>
  <c r="J331" i="1"/>
  <c r="N331" i="1"/>
  <c r="R331" i="1"/>
  <c r="V331" i="1"/>
  <c r="Z331" i="1"/>
  <c r="AD331" i="1"/>
  <c r="AH331" i="1"/>
  <c r="AL331" i="1"/>
  <c r="AP331" i="1"/>
  <c r="AT331" i="1"/>
  <c r="AX331" i="1"/>
  <c r="C331" i="1"/>
  <c r="F332" i="1"/>
  <c r="J332" i="1"/>
  <c r="N332" i="1"/>
  <c r="R332" i="1"/>
  <c r="V332" i="1"/>
  <c r="Z332" i="1"/>
  <c r="AD332" i="1"/>
  <c r="AH332" i="1"/>
  <c r="AL332" i="1"/>
  <c r="AP332" i="1"/>
  <c r="AT332" i="1"/>
  <c r="AX332" i="1"/>
  <c r="G332" i="1"/>
  <c r="K332" i="1"/>
  <c r="O332" i="1"/>
  <c r="S332" i="1"/>
  <c r="W332" i="1"/>
  <c r="AA332" i="1"/>
  <c r="AE332" i="1"/>
  <c r="AI332" i="1"/>
  <c r="AM332" i="1"/>
  <c r="AQ332" i="1"/>
  <c r="AU332" i="1"/>
  <c r="AY332" i="1"/>
  <c r="D332" i="1"/>
  <c r="H332" i="1"/>
  <c r="L332" i="1"/>
  <c r="P332" i="1"/>
  <c r="T332" i="1"/>
  <c r="X332" i="1"/>
  <c r="AB332" i="1"/>
  <c r="AF332" i="1"/>
  <c r="AJ332" i="1"/>
  <c r="AN332" i="1"/>
  <c r="AR332" i="1"/>
  <c r="AV332" i="1"/>
  <c r="AZ332" i="1"/>
  <c r="E332" i="1"/>
  <c r="I332" i="1"/>
  <c r="M332" i="1"/>
  <c r="Q332" i="1"/>
  <c r="U332" i="1"/>
  <c r="Y332" i="1"/>
  <c r="AC332" i="1"/>
  <c r="AG332" i="1"/>
  <c r="AK332" i="1"/>
  <c r="AO332" i="1"/>
  <c r="AS332" i="1"/>
  <c r="AW332" i="1"/>
  <c r="C332" i="1"/>
  <c r="E333" i="1"/>
  <c r="I333" i="1"/>
  <c r="M333" i="1"/>
  <c r="Q333" i="1"/>
  <c r="U333" i="1"/>
  <c r="Y333" i="1"/>
  <c r="AC333" i="1"/>
  <c r="AG333" i="1"/>
  <c r="AK333" i="1"/>
  <c r="AO333" i="1"/>
  <c r="AS333" i="1"/>
  <c r="AW333" i="1"/>
  <c r="F333" i="1"/>
  <c r="J333" i="1"/>
  <c r="N333" i="1"/>
  <c r="R333" i="1"/>
  <c r="V333" i="1"/>
  <c r="Z333" i="1"/>
  <c r="AD333" i="1"/>
  <c r="AH333" i="1"/>
  <c r="AL333" i="1"/>
  <c r="AP333" i="1"/>
  <c r="AT333" i="1"/>
  <c r="AX333" i="1"/>
  <c r="G333" i="1"/>
  <c r="K333" i="1"/>
  <c r="O333" i="1"/>
  <c r="S333" i="1"/>
  <c r="W333" i="1"/>
  <c r="AA333" i="1"/>
  <c r="AE333" i="1"/>
  <c r="AI333" i="1"/>
  <c r="AM333" i="1"/>
  <c r="AQ333" i="1"/>
  <c r="AU333" i="1"/>
  <c r="AY333" i="1"/>
  <c r="D333" i="1"/>
  <c r="H333" i="1"/>
  <c r="L333" i="1"/>
  <c r="P333" i="1"/>
  <c r="T333" i="1"/>
  <c r="X333" i="1"/>
  <c r="AB333" i="1"/>
  <c r="AF333" i="1"/>
  <c r="AJ333" i="1"/>
  <c r="AN333" i="1"/>
  <c r="AR333" i="1"/>
  <c r="AV333" i="1"/>
  <c r="AZ333" i="1"/>
  <c r="C333" i="1"/>
  <c r="D334" i="1"/>
  <c r="H334" i="1"/>
  <c r="L334" i="1"/>
  <c r="P334" i="1"/>
  <c r="T334" i="1"/>
  <c r="X334" i="1"/>
  <c r="AB334" i="1"/>
  <c r="AF334" i="1"/>
  <c r="AJ334" i="1"/>
  <c r="AN334" i="1"/>
  <c r="AR334" i="1"/>
  <c r="AV334" i="1"/>
  <c r="AZ334" i="1"/>
  <c r="E334" i="1"/>
  <c r="I334" i="1"/>
  <c r="M334" i="1"/>
  <c r="Q334" i="1"/>
  <c r="U334" i="1"/>
  <c r="Y334" i="1"/>
  <c r="AC334" i="1"/>
  <c r="AG334" i="1"/>
  <c r="AK334" i="1"/>
  <c r="AO334" i="1"/>
  <c r="AS334" i="1"/>
  <c r="AW334" i="1"/>
  <c r="F334" i="1"/>
  <c r="J334" i="1"/>
  <c r="N334" i="1"/>
  <c r="R334" i="1"/>
  <c r="V334" i="1"/>
  <c r="Z334" i="1"/>
  <c r="AD334" i="1"/>
  <c r="AH334" i="1"/>
  <c r="AL334" i="1"/>
  <c r="AP334" i="1"/>
  <c r="AT334" i="1"/>
  <c r="AX334" i="1"/>
  <c r="G334" i="1"/>
  <c r="K334" i="1"/>
  <c r="O334" i="1"/>
  <c r="S334" i="1"/>
  <c r="W334" i="1"/>
  <c r="AA334" i="1"/>
  <c r="AE334" i="1"/>
  <c r="AI334" i="1"/>
  <c r="AM334" i="1"/>
  <c r="AQ334" i="1"/>
  <c r="AU334" i="1"/>
  <c r="AY334" i="1"/>
  <c r="C334" i="1"/>
  <c r="G335" i="1"/>
  <c r="K335" i="1"/>
  <c r="O335" i="1"/>
  <c r="S335" i="1"/>
  <c r="W335" i="1"/>
  <c r="AA335" i="1"/>
  <c r="AE335" i="1"/>
  <c r="AI335" i="1"/>
  <c r="AM335" i="1"/>
  <c r="AQ335" i="1"/>
  <c r="AU335" i="1"/>
  <c r="AY335" i="1"/>
  <c r="D335" i="1"/>
  <c r="H335" i="1"/>
  <c r="L335" i="1"/>
  <c r="P335" i="1"/>
  <c r="T335" i="1"/>
  <c r="X335" i="1"/>
  <c r="AB335" i="1"/>
  <c r="AF335" i="1"/>
  <c r="AJ335" i="1"/>
  <c r="AN335" i="1"/>
  <c r="AR335" i="1"/>
  <c r="AV335" i="1"/>
  <c r="AZ335" i="1"/>
  <c r="E335" i="1"/>
  <c r="I335" i="1"/>
  <c r="M335" i="1"/>
  <c r="Q335" i="1"/>
  <c r="U335" i="1"/>
  <c r="Y335" i="1"/>
  <c r="AC335" i="1"/>
  <c r="AG335" i="1"/>
  <c r="AK335" i="1"/>
  <c r="AO335" i="1"/>
  <c r="AS335" i="1"/>
  <c r="AW335" i="1"/>
  <c r="F335" i="1"/>
  <c r="J335" i="1"/>
  <c r="N335" i="1"/>
  <c r="R335" i="1"/>
  <c r="V335" i="1"/>
  <c r="Z335" i="1"/>
  <c r="AD335" i="1"/>
  <c r="AH335" i="1"/>
  <c r="AL335" i="1"/>
  <c r="AP335" i="1"/>
  <c r="AT335" i="1"/>
  <c r="AX335" i="1"/>
  <c r="C335" i="1"/>
  <c r="F336" i="1"/>
  <c r="J336" i="1"/>
  <c r="N336" i="1"/>
  <c r="R336" i="1"/>
  <c r="V336" i="1"/>
  <c r="Z336" i="1"/>
  <c r="AD336" i="1"/>
  <c r="AH336" i="1"/>
  <c r="AL336" i="1"/>
  <c r="AP336" i="1"/>
  <c r="AT336" i="1"/>
  <c r="AX336" i="1"/>
  <c r="G336" i="1"/>
  <c r="K336" i="1"/>
  <c r="O336" i="1"/>
  <c r="S336" i="1"/>
  <c r="W336" i="1"/>
  <c r="AA336" i="1"/>
  <c r="AE336" i="1"/>
  <c r="AI336" i="1"/>
  <c r="AM336" i="1"/>
  <c r="AQ336" i="1"/>
  <c r="AU336" i="1"/>
  <c r="AY336" i="1"/>
  <c r="D336" i="1"/>
  <c r="H336" i="1"/>
  <c r="L336" i="1"/>
  <c r="P336" i="1"/>
  <c r="T336" i="1"/>
  <c r="X336" i="1"/>
  <c r="AB336" i="1"/>
  <c r="AF336" i="1"/>
  <c r="AJ336" i="1"/>
  <c r="AN336" i="1"/>
  <c r="AR336" i="1"/>
  <c r="AV336" i="1"/>
  <c r="AZ336" i="1"/>
  <c r="E336" i="1"/>
  <c r="I336" i="1"/>
  <c r="M336" i="1"/>
  <c r="Q336" i="1"/>
  <c r="U336" i="1"/>
  <c r="Y336" i="1"/>
  <c r="AC336" i="1"/>
  <c r="AG336" i="1"/>
  <c r="AK336" i="1"/>
  <c r="AO336" i="1"/>
  <c r="AS336" i="1"/>
  <c r="AW336" i="1"/>
  <c r="C336" i="1"/>
  <c r="E337" i="1"/>
  <c r="I337" i="1"/>
  <c r="M337" i="1"/>
  <c r="Q337" i="1"/>
  <c r="U337" i="1"/>
  <c r="Y337" i="1"/>
  <c r="AC337" i="1"/>
  <c r="AG337" i="1"/>
  <c r="AK337" i="1"/>
  <c r="AO337" i="1"/>
  <c r="AS337" i="1"/>
  <c r="AW337" i="1"/>
  <c r="F337" i="1"/>
  <c r="J337" i="1"/>
  <c r="N337" i="1"/>
  <c r="R337" i="1"/>
  <c r="V337" i="1"/>
  <c r="Z337" i="1"/>
  <c r="AD337" i="1"/>
  <c r="AH337" i="1"/>
  <c r="AL337" i="1"/>
  <c r="AP337" i="1"/>
  <c r="AT337" i="1"/>
  <c r="AX337" i="1"/>
  <c r="G337" i="1"/>
  <c r="K337" i="1"/>
  <c r="O337" i="1"/>
  <c r="S337" i="1"/>
  <c r="W337" i="1"/>
  <c r="AA337" i="1"/>
  <c r="AE337" i="1"/>
  <c r="AI337" i="1"/>
  <c r="AM337" i="1"/>
  <c r="AQ337" i="1"/>
  <c r="AU337" i="1"/>
  <c r="AY337" i="1"/>
  <c r="D337" i="1"/>
  <c r="H337" i="1"/>
  <c r="L337" i="1"/>
  <c r="P337" i="1"/>
  <c r="T337" i="1"/>
  <c r="X337" i="1"/>
  <c r="AB337" i="1"/>
  <c r="AF337" i="1"/>
  <c r="AJ337" i="1"/>
  <c r="AN337" i="1"/>
  <c r="AR337" i="1"/>
  <c r="AV337" i="1"/>
  <c r="AZ337" i="1"/>
  <c r="C337" i="1"/>
  <c r="D338" i="1"/>
  <c r="H338" i="1"/>
  <c r="L338" i="1"/>
  <c r="P338" i="1"/>
  <c r="T338" i="1"/>
  <c r="X338" i="1"/>
  <c r="AB338" i="1"/>
  <c r="AF338" i="1"/>
  <c r="AJ338" i="1"/>
  <c r="AN338" i="1"/>
  <c r="AR338" i="1"/>
  <c r="AV338" i="1"/>
  <c r="AZ338" i="1"/>
  <c r="E338" i="1"/>
  <c r="I338" i="1"/>
  <c r="M338" i="1"/>
  <c r="Q338" i="1"/>
  <c r="U338" i="1"/>
  <c r="Y338" i="1"/>
  <c r="AC338" i="1"/>
  <c r="AG338" i="1"/>
  <c r="AK338" i="1"/>
  <c r="AO338" i="1"/>
  <c r="AS338" i="1"/>
  <c r="AW338" i="1"/>
  <c r="F338" i="1"/>
  <c r="J338" i="1"/>
  <c r="N338" i="1"/>
  <c r="R338" i="1"/>
  <c r="V338" i="1"/>
  <c r="Z338" i="1"/>
  <c r="AD338" i="1"/>
  <c r="AH338" i="1"/>
  <c r="AL338" i="1"/>
  <c r="AP338" i="1"/>
  <c r="AT338" i="1"/>
  <c r="AX338" i="1"/>
  <c r="G338" i="1"/>
  <c r="K338" i="1"/>
  <c r="O338" i="1"/>
  <c r="S338" i="1"/>
  <c r="W338" i="1"/>
  <c r="AA338" i="1"/>
  <c r="AE338" i="1"/>
  <c r="AI338" i="1"/>
  <c r="AM338" i="1"/>
  <c r="AQ338" i="1"/>
  <c r="AU338" i="1"/>
  <c r="AY338" i="1"/>
  <c r="C338" i="1"/>
  <c r="G339" i="1"/>
  <c r="K339" i="1"/>
  <c r="O339" i="1"/>
  <c r="S339" i="1"/>
  <c r="W339" i="1"/>
  <c r="AA339" i="1"/>
  <c r="AE339" i="1"/>
  <c r="AI339" i="1"/>
  <c r="AM339" i="1"/>
  <c r="AQ339" i="1"/>
  <c r="AU339" i="1"/>
  <c r="AY339" i="1"/>
  <c r="D339" i="1"/>
  <c r="H339" i="1"/>
  <c r="L339" i="1"/>
  <c r="P339" i="1"/>
  <c r="T339" i="1"/>
  <c r="X339" i="1"/>
  <c r="AB339" i="1"/>
  <c r="AF339" i="1"/>
  <c r="AJ339" i="1"/>
  <c r="AN339" i="1"/>
  <c r="AR339" i="1"/>
  <c r="AV339" i="1"/>
  <c r="AZ339" i="1"/>
  <c r="E339" i="1"/>
  <c r="I339" i="1"/>
  <c r="M339" i="1"/>
  <c r="Q339" i="1"/>
  <c r="U339" i="1"/>
  <c r="Y339" i="1"/>
  <c r="AC339" i="1"/>
  <c r="AG339" i="1"/>
  <c r="AK339" i="1"/>
  <c r="AO339" i="1"/>
  <c r="AS339" i="1"/>
  <c r="AW339" i="1"/>
  <c r="F339" i="1"/>
  <c r="J339" i="1"/>
  <c r="N339" i="1"/>
  <c r="R339" i="1"/>
  <c r="V339" i="1"/>
  <c r="Z339" i="1"/>
  <c r="AD339" i="1"/>
  <c r="AH339" i="1"/>
  <c r="AL339" i="1"/>
  <c r="AP339" i="1"/>
  <c r="AT339" i="1"/>
  <c r="AX339" i="1"/>
  <c r="C339" i="1"/>
  <c r="F340" i="1"/>
  <c r="J340" i="1"/>
  <c r="N340" i="1"/>
  <c r="R340" i="1"/>
  <c r="V340" i="1"/>
  <c r="Z340" i="1"/>
  <c r="AD340" i="1"/>
  <c r="AH340" i="1"/>
  <c r="AL340" i="1"/>
  <c r="AP340" i="1"/>
  <c r="AT340" i="1"/>
  <c r="AX340" i="1"/>
  <c r="G340" i="1"/>
  <c r="K340" i="1"/>
  <c r="O340" i="1"/>
  <c r="S340" i="1"/>
  <c r="W340" i="1"/>
  <c r="AA340" i="1"/>
  <c r="AE340" i="1"/>
  <c r="AI340" i="1"/>
  <c r="AM340" i="1"/>
  <c r="AQ340" i="1"/>
  <c r="AU340" i="1"/>
  <c r="AY340" i="1"/>
  <c r="D340" i="1"/>
  <c r="H340" i="1"/>
  <c r="L340" i="1"/>
  <c r="P340" i="1"/>
  <c r="T340" i="1"/>
  <c r="X340" i="1"/>
  <c r="AB340" i="1"/>
  <c r="AF340" i="1"/>
  <c r="AJ340" i="1"/>
  <c r="AN340" i="1"/>
  <c r="AR340" i="1"/>
  <c r="AV340" i="1"/>
  <c r="AZ340" i="1"/>
  <c r="E340" i="1"/>
  <c r="I340" i="1"/>
  <c r="M340" i="1"/>
  <c r="Q340" i="1"/>
  <c r="U340" i="1"/>
  <c r="Y340" i="1"/>
  <c r="AC340" i="1"/>
  <c r="AG340" i="1"/>
  <c r="AK340" i="1"/>
  <c r="AO340" i="1"/>
  <c r="AS340" i="1"/>
  <c r="AW340" i="1"/>
  <c r="C340" i="1"/>
  <c r="E341" i="1"/>
  <c r="I341" i="1"/>
  <c r="M341" i="1"/>
  <c r="Q341" i="1"/>
  <c r="U341" i="1"/>
  <c r="Y341" i="1"/>
  <c r="AC341" i="1"/>
  <c r="AG341" i="1"/>
  <c r="AK341" i="1"/>
  <c r="AO341" i="1"/>
  <c r="AS341" i="1"/>
  <c r="AW341" i="1"/>
  <c r="F341" i="1"/>
  <c r="J341" i="1"/>
  <c r="N341" i="1"/>
  <c r="R341" i="1"/>
  <c r="V341" i="1"/>
  <c r="Z341" i="1"/>
  <c r="AD341" i="1"/>
  <c r="AH341" i="1"/>
  <c r="AL341" i="1"/>
  <c r="AP341" i="1"/>
  <c r="AT341" i="1"/>
  <c r="AX341" i="1"/>
  <c r="G341" i="1"/>
  <c r="K341" i="1"/>
  <c r="O341" i="1"/>
  <c r="S341" i="1"/>
  <c r="W341" i="1"/>
  <c r="AA341" i="1"/>
  <c r="AE341" i="1"/>
  <c r="AI341" i="1"/>
  <c r="AM341" i="1"/>
  <c r="AQ341" i="1"/>
  <c r="AU341" i="1"/>
  <c r="AY341" i="1"/>
  <c r="D341" i="1"/>
  <c r="H341" i="1"/>
  <c r="L341" i="1"/>
  <c r="P341" i="1"/>
  <c r="T341" i="1"/>
  <c r="X341" i="1"/>
  <c r="AB341" i="1"/>
  <c r="AF341" i="1"/>
  <c r="AJ341" i="1"/>
  <c r="AN341" i="1"/>
  <c r="AR341" i="1"/>
  <c r="AV341" i="1"/>
  <c r="AZ341" i="1"/>
  <c r="C341" i="1"/>
  <c r="D342" i="1"/>
  <c r="H342" i="1"/>
  <c r="L342" i="1"/>
  <c r="P342" i="1"/>
  <c r="T342" i="1"/>
  <c r="X342" i="1"/>
  <c r="AB342" i="1"/>
  <c r="AF342" i="1"/>
  <c r="AJ342" i="1"/>
  <c r="AN342" i="1"/>
  <c r="AR342" i="1"/>
  <c r="AV342" i="1"/>
  <c r="AZ342" i="1"/>
  <c r="E342" i="1"/>
  <c r="I342" i="1"/>
  <c r="M342" i="1"/>
  <c r="Q342" i="1"/>
  <c r="U342" i="1"/>
  <c r="Y342" i="1"/>
  <c r="AC342" i="1"/>
  <c r="AG342" i="1"/>
  <c r="AK342" i="1"/>
  <c r="AO342" i="1"/>
  <c r="AS342" i="1"/>
  <c r="AW342" i="1"/>
  <c r="F342" i="1"/>
  <c r="J342" i="1"/>
  <c r="N342" i="1"/>
  <c r="R342" i="1"/>
  <c r="V342" i="1"/>
  <c r="Z342" i="1"/>
  <c r="AD342" i="1"/>
  <c r="AH342" i="1"/>
  <c r="AL342" i="1"/>
  <c r="AP342" i="1"/>
  <c r="AT342" i="1"/>
  <c r="AX342" i="1"/>
  <c r="G342" i="1"/>
  <c r="K342" i="1"/>
  <c r="O342" i="1"/>
  <c r="S342" i="1"/>
  <c r="W342" i="1"/>
  <c r="AA342" i="1"/>
  <c r="AE342" i="1"/>
  <c r="AI342" i="1"/>
  <c r="AM342" i="1"/>
  <c r="AQ342" i="1"/>
  <c r="AU342" i="1"/>
  <c r="AY342" i="1"/>
  <c r="C342" i="1"/>
  <c r="G343" i="1"/>
  <c r="K343" i="1"/>
  <c r="O343" i="1"/>
  <c r="S343" i="1"/>
  <c r="W343" i="1"/>
  <c r="AA343" i="1"/>
  <c r="AE343" i="1"/>
  <c r="AI343" i="1"/>
  <c r="AM343" i="1"/>
  <c r="AQ343" i="1"/>
  <c r="AU343" i="1"/>
  <c r="AY343" i="1"/>
  <c r="D343" i="1"/>
  <c r="H343" i="1"/>
  <c r="L343" i="1"/>
  <c r="P343" i="1"/>
  <c r="T343" i="1"/>
  <c r="X343" i="1"/>
  <c r="AB343" i="1"/>
  <c r="AF343" i="1"/>
  <c r="AJ343" i="1"/>
  <c r="AN343" i="1"/>
  <c r="AR343" i="1"/>
  <c r="AV343" i="1"/>
  <c r="AZ343" i="1"/>
  <c r="E343" i="1"/>
  <c r="I343" i="1"/>
  <c r="M343" i="1"/>
  <c r="Q343" i="1"/>
  <c r="U343" i="1"/>
  <c r="Y343" i="1"/>
  <c r="AC343" i="1"/>
  <c r="AG343" i="1"/>
  <c r="AK343" i="1"/>
  <c r="AO343" i="1"/>
  <c r="AS343" i="1"/>
  <c r="AW343" i="1"/>
  <c r="F343" i="1"/>
  <c r="J343" i="1"/>
  <c r="N343" i="1"/>
  <c r="R343" i="1"/>
  <c r="V343" i="1"/>
  <c r="Z343" i="1"/>
  <c r="AD343" i="1"/>
  <c r="AH343" i="1"/>
  <c r="AL343" i="1"/>
  <c r="AP343" i="1"/>
  <c r="AT343" i="1"/>
  <c r="AX343" i="1"/>
  <c r="C343" i="1"/>
  <c r="F344" i="1"/>
  <c r="J344" i="1"/>
  <c r="N344" i="1"/>
  <c r="R344" i="1"/>
  <c r="V344" i="1"/>
  <c r="Z344" i="1"/>
  <c r="AD344" i="1"/>
  <c r="AH344" i="1"/>
  <c r="AL344" i="1"/>
  <c r="AP344" i="1"/>
  <c r="AT344" i="1"/>
  <c r="AX344" i="1"/>
  <c r="G344" i="1"/>
  <c r="K344" i="1"/>
  <c r="O344" i="1"/>
  <c r="S344" i="1"/>
  <c r="W344" i="1"/>
  <c r="AA344" i="1"/>
  <c r="AE344" i="1"/>
  <c r="AI344" i="1"/>
  <c r="AM344" i="1"/>
  <c r="AQ344" i="1"/>
  <c r="AU344" i="1"/>
  <c r="AY344" i="1"/>
  <c r="D344" i="1"/>
  <c r="H344" i="1"/>
  <c r="L344" i="1"/>
  <c r="P344" i="1"/>
  <c r="T344" i="1"/>
  <c r="X344" i="1"/>
  <c r="AB344" i="1"/>
  <c r="AF344" i="1"/>
  <c r="AJ344" i="1"/>
  <c r="AN344" i="1"/>
  <c r="AR344" i="1"/>
  <c r="AV344" i="1"/>
  <c r="AZ344" i="1"/>
  <c r="E344" i="1"/>
  <c r="I344" i="1"/>
  <c r="M344" i="1"/>
  <c r="Q344" i="1"/>
  <c r="U344" i="1"/>
  <c r="Y344" i="1"/>
  <c r="AC344" i="1"/>
  <c r="AG344" i="1"/>
  <c r="AK344" i="1"/>
  <c r="AO344" i="1"/>
  <c r="AS344" i="1"/>
  <c r="AW344" i="1"/>
  <c r="C344" i="1"/>
  <c r="E345" i="1"/>
  <c r="I345" i="1"/>
  <c r="M345" i="1"/>
  <c r="Q345" i="1"/>
  <c r="U345" i="1"/>
  <c r="Y345" i="1"/>
  <c r="AC345" i="1"/>
  <c r="AG345" i="1"/>
  <c r="AK345" i="1"/>
  <c r="AO345" i="1"/>
  <c r="AS345" i="1"/>
  <c r="AW345" i="1"/>
  <c r="F345" i="1"/>
  <c r="J345" i="1"/>
  <c r="N345" i="1"/>
  <c r="R345" i="1"/>
  <c r="V345" i="1"/>
  <c r="Z345" i="1"/>
  <c r="AD345" i="1"/>
  <c r="AH345" i="1"/>
  <c r="AL345" i="1"/>
  <c r="AP345" i="1"/>
  <c r="AT345" i="1"/>
  <c r="AX345" i="1"/>
  <c r="G345" i="1"/>
  <c r="K345" i="1"/>
  <c r="O345" i="1"/>
  <c r="S345" i="1"/>
  <c r="W345" i="1"/>
  <c r="AA345" i="1"/>
  <c r="AE345" i="1"/>
  <c r="AI345" i="1"/>
  <c r="AM345" i="1"/>
  <c r="AQ345" i="1"/>
  <c r="AU345" i="1"/>
  <c r="AY345" i="1"/>
  <c r="D345" i="1"/>
  <c r="H345" i="1"/>
  <c r="L345" i="1"/>
  <c r="P345" i="1"/>
  <c r="T345" i="1"/>
  <c r="X345" i="1"/>
  <c r="AB345" i="1"/>
  <c r="AF345" i="1"/>
  <c r="AJ345" i="1"/>
  <c r="AN345" i="1"/>
  <c r="AR345" i="1"/>
  <c r="AV345" i="1"/>
  <c r="AZ345" i="1"/>
  <c r="C345" i="1"/>
  <c r="D346" i="1"/>
  <c r="H346" i="1"/>
  <c r="L346" i="1"/>
  <c r="P346" i="1"/>
  <c r="T346" i="1"/>
  <c r="X346" i="1"/>
  <c r="AB346" i="1"/>
  <c r="AF346" i="1"/>
  <c r="AJ346" i="1"/>
  <c r="AN346" i="1"/>
  <c r="AR346" i="1"/>
  <c r="AV346" i="1"/>
  <c r="AZ346" i="1"/>
  <c r="E346" i="1"/>
  <c r="I346" i="1"/>
  <c r="M346" i="1"/>
  <c r="Q346" i="1"/>
  <c r="U346" i="1"/>
  <c r="Y346" i="1"/>
  <c r="AC346" i="1"/>
  <c r="AG346" i="1"/>
  <c r="AK346" i="1"/>
  <c r="AO346" i="1"/>
  <c r="AS346" i="1"/>
  <c r="AW346" i="1"/>
  <c r="F346" i="1"/>
  <c r="J346" i="1"/>
  <c r="N346" i="1"/>
  <c r="R346" i="1"/>
  <c r="V346" i="1"/>
  <c r="Z346" i="1"/>
  <c r="AD346" i="1"/>
  <c r="AH346" i="1"/>
  <c r="AL346" i="1"/>
  <c r="AP346" i="1"/>
  <c r="AT346" i="1"/>
  <c r="AX346" i="1"/>
  <c r="G346" i="1"/>
  <c r="K346" i="1"/>
  <c r="O346" i="1"/>
  <c r="S346" i="1"/>
  <c r="W346" i="1"/>
  <c r="AA346" i="1"/>
  <c r="AE346" i="1"/>
  <c r="AI346" i="1"/>
  <c r="AM346" i="1"/>
  <c r="AQ346" i="1"/>
  <c r="AU346" i="1"/>
  <c r="AY346" i="1"/>
  <c r="C346" i="1"/>
  <c r="G347" i="1"/>
  <c r="K347" i="1"/>
  <c r="O347" i="1"/>
  <c r="S347" i="1"/>
  <c r="W347" i="1"/>
  <c r="AA347" i="1"/>
  <c r="AE347" i="1"/>
  <c r="AI347" i="1"/>
  <c r="AM347" i="1"/>
  <c r="AQ347" i="1"/>
  <c r="AU347" i="1"/>
  <c r="AY347" i="1"/>
  <c r="D347" i="1"/>
  <c r="H347" i="1"/>
  <c r="L347" i="1"/>
  <c r="P347" i="1"/>
  <c r="T347" i="1"/>
  <c r="X347" i="1"/>
  <c r="AB347" i="1"/>
  <c r="AF347" i="1"/>
  <c r="AJ347" i="1"/>
  <c r="AN347" i="1"/>
  <c r="AR347" i="1"/>
  <c r="AV347" i="1"/>
  <c r="AZ347" i="1"/>
  <c r="E347" i="1"/>
  <c r="I347" i="1"/>
  <c r="M347" i="1"/>
  <c r="Q347" i="1"/>
  <c r="U347" i="1"/>
  <c r="Y347" i="1"/>
  <c r="AC347" i="1"/>
  <c r="AG347" i="1"/>
  <c r="AK347" i="1"/>
  <c r="AO347" i="1"/>
  <c r="AS347" i="1"/>
  <c r="AW347" i="1"/>
  <c r="F347" i="1"/>
  <c r="J347" i="1"/>
  <c r="N347" i="1"/>
  <c r="R347" i="1"/>
  <c r="V347" i="1"/>
  <c r="Z347" i="1"/>
  <c r="AD347" i="1"/>
  <c r="AH347" i="1"/>
  <c r="AL347" i="1"/>
  <c r="AP347" i="1"/>
  <c r="AT347" i="1"/>
  <c r="AX347" i="1"/>
  <c r="C347" i="1"/>
  <c r="F348" i="1"/>
  <c r="J348" i="1"/>
  <c r="N348" i="1"/>
  <c r="R348" i="1"/>
  <c r="V348" i="1"/>
  <c r="Z348" i="1"/>
  <c r="AD348" i="1"/>
  <c r="AH348" i="1"/>
  <c r="AL348" i="1"/>
  <c r="AP348" i="1"/>
  <c r="AT348" i="1"/>
  <c r="AX348" i="1"/>
  <c r="G348" i="1"/>
  <c r="K348" i="1"/>
  <c r="O348" i="1"/>
  <c r="S348" i="1"/>
  <c r="W348" i="1"/>
  <c r="AA348" i="1"/>
  <c r="AE348" i="1"/>
  <c r="AI348" i="1"/>
  <c r="AM348" i="1"/>
  <c r="AQ348" i="1"/>
  <c r="AU348" i="1"/>
  <c r="AY348" i="1"/>
  <c r="D348" i="1"/>
  <c r="H348" i="1"/>
  <c r="L348" i="1"/>
  <c r="P348" i="1"/>
  <c r="T348" i="1"/>
  <c r="X348" i="1"/>
  <c r="AB348" i="1"/>
  <c r="AF348" i="1"/>
  <c r="AJ348" i="1"/>
  <c r="AN348" i="1"/>
  <c r="AR348" i="1"/>
  <c r="AV348" i="1"/>
  <c r="AZ348" i="1"/>
  <c r="E348" i="1"/>
  <c r="I348" i="1"/>
  <c r="M348" i="1"/>
  <c r="Q348" i="1"/>
  <c r="U348" i="1"/>
  <c r="Y348" i="1"/>
  <c r="AC348" i="1"/>
  <c r="AG348" i="1"/>
  <c r="AK348" i="1"/>
  <c r="AO348" i="1"/>
  <c r="AS348" i="1"/>
  <c r="AW348" i="1"/>
  <c r="C348" i="1"/>
  <c r="E349" i="1"/>
  <c r="I349" i="1"/>
  <c r="M349" i="1"/>
  <c r="Q349" i="1"/>
  <c r="U349" i="1"/>
  <c r="Y349" i="1"/>
  <c r="AC349" i="1"/>
  <c r="AG349" i="1"/>
  <c r="AK349" i="1"/>
  <c r="AO349" i="1"/>
  <c r="AS349" i="1"/>
  <c r="AW349" i="1"/>
  <c r="F349" i="1"/>
  <c r="J349" i="1"/>
  <c r="N349" i="1"/>
  <c r="R349" i="1"/>
  <c r="V349" i="1"/>
  <c r="Z349" i="1"/>
  <c r="AD349" i="1"/>
  <c r="AH349" i="1"/>
  <c r="AL349" i="1"/>
  <c r="AP349" i="1"/>
  <c r="AT349" i="1"/>
  <c r="AX349" i="1"/>
  <c r="G349" i="1"/>
  <c r="K349" i="1"/>
  <c r="O349" i="1"/>
  <c r="S349" i="1"/>
  <c r="W349" i="1"/>
  <c r="AA349" i="1"/>
  <c r="AE349" i="1"/>
  <c r="AI349" i="1"/>
  <c r="AM349" i="1"/>
  <c r="AQ349" i="1"/>
  <c r="AU349" i="1"/>
  <c r="AY349" i="1"/>
  <c r="D349" i="1"/>
  <c r="H349" i="1"/>
  <c r="L349" i="1"/>
  <c r="P349" i="1"/>
  <c r="T349" i="1"/>
  <c r="X349" i="1"/>
  <c r="AB349" i="1"/>
  <c r="AF349" i="1"/>
  <c r="AJ349" i="1"/>
  <c r="AN349" i="1"/>
  <c r="AR349" i="1"/>
  <c r="AV349" i="1"/>
  <c r="AZ349" i="1"/>
  <c r="C349" i="1"/>
  <c r="D350" i="1"/>
  <c r="H350" i="1"/>
  <c r="L350" i="1"/>
  <c r="P350" i="1"/>
  <c r="T350" i="1"/>
  <c r="X350" i="1"/>
  <c r="AB350" i="1"/>
  <c r="AF350" i="1"/>
  <c r="AJ350" i="1"/>
  <c r="AN350" i="1"/>
  <c r="AR350" i="1"/>
  <c r="AV350" i="1"/>
  <c r="AZ350" i="1"/>
  <c r="E350" i="1"/>
  <c r="I350" i="1"/>
  <c r="M350" i="1"/>
  <c r="Q350" i="1"/>
  <c r="U350" i="1"/>
  <c r="Y350" i="1"/>
  <c r="AC350" i="1"/>
  <c r="AG350" i="1"/>
  <c r="AK350" i="1"/>
  <c r="AO350" i="1"/>
  <c r="AS350" i="1"/>
  <c r="AW350" i="1"/>
  <c r="F350" i="1"/>
  <c r="J350" i="1"/>
  <c r="N350" i="1"/>
  <c r="R350" i="1"/>
  <c r="V350" i="1"/>
  <c r="Z350" i="1"/>
  <c r="AD350" i="1"/>
  <c r="AH350" i="1"/>
  <c r="AL350" i="1"/>
  <c r="AP350" i="1"/>
  <c r="AT350" i="1"/>
  <c r="AX350" i="1"/>
  <c r="G350" i="1"/>
  <c r="K350" i="1"/>
  <c r="O350" i="1"/>
  <c r="S350" i="1"/>
  <c r="W350" i="1"/>
  <c r="AA350" i="1"/>
  <c r="AE350" i="1"/>
  <c r="AI350" i="1"/>
  <c r="AM350" i="1"/>
  <c r="AQ350" i="1"/>
  <c r="AU350" i="1"/>
  <c r="AY350" i="1"/>
  <c r="C350" i="1"/>
  <c r="G351" i="1"/>
  <c r="K351" i="1"/>
  <c r="O351" i="1"/>
  <c r="S351" i="1"/>
  <c r="W351" i="1"/>
  <c r="AA351" i="1"/>
  <c r="AE351" i="1"/>
  <c r="AI351" i="1"/>
  <c r="AM351" i="1"/>
  <c r="AQ351" i="1"/>
  <c r="AU351" i="1"/>
  <c r="AY351" i="1"/>
  <c r="D351" i="1"/>
  <c r="H351" i="1"/>
  <c r="L351" i="1"/>
  <c r="P351" i="1"/>
  <c r="T351" i="1"/>
  <c r="X351" i="1"/>
  <c r="AB351" i="1"/>
  <c r="AF351" i="1"/>
  <c r="AJ351" i="1"/>
  <c r="AN351" i="1"/>
  <c r="AR351" i="1"/>
  <c r="AV351" i="1"/>
  <c r="AZ351" i="1"/>
  <c r="E351" i="1"/>
  <c r="I351" i="1"/>
  <c r="M351" i="1"/>
  <c r="Q351" i="1"/>
  <c r="U351" i="1"/>
  <c r="Y351" i="1"/>
  <c r="AC351" i="1"/>
  <c r="AG351" i="1"/>
  <c r="AK351" i="1"/>
  <c r="AO351" i="1"/>
  <c r="AS351" i="1"/>
  <c r="AW351" i="1"/>
  <c r="F351" i="1"/>
  <c r="J351" i="1"/>
  <c r="N351" i="1"/>
  <c r="R351" i="1"/>
  <c r="V351" i="1"/>
  <c r="Z351" i="1"/>
  <c r="AD351" i="1"/>
  <c r="AH351" i="1"/>
  <c r="AL351" i="1"/>
  <c r="AP351" i="1"/>
  <c r="AT351" i="1"/>
  <c r="AX351" i="1"/>
  <c r="C351" i="1"/>
  <c r="F352" i="1"/>
  <c r="J352" i="1"/>
  <c r="N352" i="1"/>
  <c r="R352" i="1"/>
  <c r="V352" i="1"/>
  <c r="Z352" i="1"/>
  <c r="AD352" i="1"/>
  <c r="AH352" i="1"/>
  <c r="AL352" i="1"/>
  <c r="AP352" i="1"/>
  <c r="AT352" i="1"/>
  <c r="AX352" i="1"/>
  <c r="G352" i="1"/>
  <c r="K352" i="1"/>
  <c r="O352" i="1"/>
  <c r="S352" i="1"/>
  <c r="W352" i="1"/>
  <c r="AA352" i="1"/>
  <c r="AE352" i="1"/>
  <c r="AI352" i="1"/>
  <c r="AM352" i="1"/>
  <c r="AQ352" i="1"/>
  <c r="AU352" i="1"/>
  <c r="AY352" i="1"/>
  <c r="D352" i="1"/>
  <c r="H352" i="1"/>
  <c r="L352" i="1"/>
  <c r="P352" i="1"/>
  <c r="T352" i="1"/>
  <c r="X352" i="1"/>
  <c r="AB352" i="1"/>
  <c r="AF352" i="1"/>
  <c r="AJ352" i="1"/>
  <c r="AN352" i="1"/>
  <c r="AR352" i="1"/>
  <c r="AV352" i="1"/>
  <c r="AZ352" i="1"/>
  <c r="E352" i="1"/>
  <c r="I352" i="1"/>
  <c r="M352" i="1"/>
  <c r="Q352" i="1"/>
  <c r="U352" i="1"/>
  <c r="Y352" i="1"/>
  <c r="AC352" i="1"/>
  <c r="AG352" i="1"/>
  <c r="AK352" i="1"/>
  <c r="AO352" i="1"/>
  <c r="AS352" i="1"/>
  <c r="AW352" i="1"/>
  <c r="C352" i="1"/>
  <c r="E353" i="1"/>
  <c r="I353" i="1"/>
  <c r="M353" i="1"/>
  <c r="Q353" i="1"/>
  <c r="U353" i="1"/>
  <c r="Y353" i="1"/>
  <c r="AC353" i="1"/>
  <c r="AG353" i="1"/>
  <c r="AK353" i="1"/>
  <c r="AO353" i="1"/>
  <c r="AS353" i="1"/>
  <c r="AW353" i="1"/>
  <c r="F353" i="1"/>
  <c r="J353" i="1"/>
  <c r="N353" i="1"/>
  <c r="R353" i="1"/>
  <c r="V353" i="1"/>
  <c r="Z353" i="1"/>
  <c r="AD353" i="1"/>
  <c r="AH353" i="1"/>
  <c r="AL353" i="1"/>
  <c r="AP353" i="1"/>
  <c r="AT353" i="1"/>
  <c r="AX353" i="1"/>
  <c r="G353" i="1"/>
  <c r="K353" i="1"/>
  <c r="O353" i="1"/>
  <c r="S353" i="1"/>
  <c r="W353" i="1"/>
  <c r="AA353" i="1"/>
  <c r="AE353" i="1"/>
  <c r="AI353" i="1"/>
  <c r="AM353" i="1"/>
  <c r="AQ353" i="1"/>
  <c r="AU353" i="1"/>
  <c r="AY353" i="1"/>
  <c r="D353" i="1"/>
  <c r="H353" i="1"/>
  <c r="L353" i="1"/>
  <c r="P353" i="1"/>
  <c r="T353" i="1"/>
  <c r="X353" i="1"/>
  <c r="AB353" i="1"/>
  <c r="AF353" i="1"/>
  <c r="AJ353" i="1"/>
  <c r="AN353" i="1"/>
  <c r="AR353" i="1"/>
  <c r="AV353" i="1"/>
  <c r="AZ353" i="1"/>
  <c r="C353" i="1"/>
  <c r="D354" i="1"/>
  <c r="H354" i="1"/>
  <c r="L354" i="1"/>
  <c r="P354" i="1"/>
  <c r="T354" i="1"/>
  <c r="X354" i="1"/>
  <c r="AB354" i="1"/>
  <c r="AF354" i="1"/>
  <c r="AJ354" i="1"/>
  <c r="AN354" i="1"/>
  <c r="AR354" i="1"/>
  <c r="AV354" i="1"/>
  <c r="AZ354" i="1"/>
  <c r="E354" i="1"/>
  <c r="I354" i="1"/>
  <c r="M354" i="1"/>
  <c r="Q354" i="1"/>
  <c r="U354" i="1"/>
  <c r="Y354" i="1"/>
  <c r="AC354" i="1"/>
  <c r="AG354" i="1"/>
  <c r="AK354" i="1"/>
  <c r="AO354" i="1"/>
  <c r="AS354" i="1"/>
  <c r="AW354" i="1"/>
  <c r="F354" i="1"/>
  <c r="J354" i="1"/>
  <c r="N354" i="1"/>
  <c r="R354" i="1"/>
  <c r="V354" i="1"/>
  <c r="Z354" i="1"/>
  <c r="AD354" i="1"/>
  <c r="AH354" i="1"/>
  <c r="AL354" i="1"/>
  <c r="AP354" i="1"/>
  <c r="AT354" i="1"/>
  <c r="AX354" i="1"/>
  <c r="G354" i="1"/>
  <c r="K354" i="1"/>
  <c r="O354" i="1"/>
  <c r="S354" i="1"/>
  <c r="W354" i="1"/>
  <c r="AA354" i="1"/>
  <c r="AE354" i="1"/>
  <c r="AI354" i="1"/>
  <c r="AM354" i="1"/>
  <c r="AQ354" i="1"/>
  <c r="AU354" i="1"/>
  <c r="AY354" i="1"/>
  <c r="C354" i="1"/>
  <c r="G355" i="1"/>
  <c r="K355" i="1"/>
  <c r="O355" i="1"/>
  <c r="S355" i="1"/>
  <c r="W355" i="1"/>
  <c r="AA355" i="1"/>
  <c r="AE355" i="1"/>
  <c r="AI355" i="1"/>
  <c r="AM355" i="1"/>
  <c r="AQ355" i="1"/>
  <c r="AU355" i="1"/>
  <c r="AY355" i="1"/>
  <c r="D355" i="1"/>
  <c r="H355" i="1"/>
  <c r="L355" i="1"/>
  <c r="P355" i="1"/>
  <c r="T355" i="1"/>
  <c r="X355" i="1"/>
  <c r="AB355" i="1"/>
  <c r="AF355" i="1"/>
  <c r="AJ355" i="1"/>
  <c r="AN355" i="1"/>
  <c r="AR355" i="1"/>
  <c r="AV355" i="1"/>
  <c r="AZ355" i="1"/>
  <c r="E355" i="1"/>
  <c r="I355" i="1"/>
  <c r="M355" i="1"/>
  <c r="Q355" i="1"/>
  <c r="U355" i="1"/>
  <c r="Y355" i="1"/>
  <c r="AC355" i="1"/>
  <c r="AG355" i="1"/>
  <c r="AK355" i="1"/>
  <c r="AO355" i="1"/>
  <c r="AS355" i="1"/>
  <c r="AW355" i="1"/>
  <c r="F355" i="1"/>
  <c r="J355" i="1"/>
  <c r="N355" i="1"/>
  <c r="R355" i="1"/>
  <c r="V355" i="1"/>
  <c r="Z355" i="1"/>
  <c r="AD355" i="1"/>
  <c r="AH355" i="1"/>
  <c r="AL355" i="1"/>
  <c r="AP355" i="1"/>
  <c r="AT355" i="1"/>
  <c r="AX355" i="1"/>
  <c r="C355" i="1"/>
  <c r="F356" i="1"/>
  <c r="J356" i="1"/>
  <c r="N356" i="1"/>
  <c r="R356" i="1"/>
  <c r="V356" i="1"/>
  <c r="Z356" i="1"/>
  <c r="AD356" i="1"/>
  <c r="AH356" i="1"/>
  <c r="AL356" i="1"/>
  <c r="AP356" i="1"/>
  <c r="AT356" i="1"/>
  <c r="AX356" i="1"/>
  <c r="G356" i="1"/>
  <c r="K356" i="1"/>
  <c r="O356" i="1"/>
  <c r="S356" i="1"/>
  <c r="W356" i="1"/>
  <c r="AA356" i="1"/>
  <c r="AE356" i="1"/>
  <c r="AI356" i="1"/>
  <c r="AM356" i="1"/>
  <c r="AQ356" i="1"/>
  <c r="AU356" i="1"/>
  <c r="AY356" i="1"/>
  <c r="D356" i="1"/>
  <c r="H356" i="1"/>
  <c r="L356" i="1"/>
  <c r="P356" i="1"/>
  <c r="T356" i="1"/>
  <c r="X356" i="1"/>
  <c r="AB356" i="1"/>
  <c r="AF356" i="1"/>
  <c r="AJ356" i="1"/>
  <c r="AN356" i="1"/>
  <c r="AR356" i="1"/>
  <c r="AV356" i="1"/>
  <c r="AZ356" i="1"/>
  <c r="E356" i="1"/>
  <c r="I356" i="1"/>
  <c r="M356" i="1"/>
  <c r="Q356" i="1"/>
  <c r="U356" i="1"/>
  <c r="Y356" i="1"/>
  <c r="AC356" i="1"/>
  <c r="AG356" i="1"/>
  <c r="AK356" i="1"/>
  <c r="AO356" i="1"/>
  <c r="AS356" i="1"/>
  <c r="AW356" i="1"/>
  <c r="C356" i="1"/>
  <c r="E357" i="1"/>
  <c r="I357" i="1"/>
  <c r="M357" i="1"/>
  <c r="Q357" i="1"/>
  <c r="U357" i="1"/>
  <c r="Y357" i="1"/>
  <c r="AC357" i="1"/>
  <c r="AG357" i="1"/>
  <c r="AK357" i="1"/>
  <c r="AO357" i="1"/>
  <c r="AS357" i="1"/>
  <c r="AW357" i="1"/>
  <c r="F357" i="1"/>
  <c r="J357" i="1"/>
  <c r="N357" i="1"/>
  <c r="R357" i="1"/>
  <c r="V357" i="1"/>
  <c r="Z357" i="1"/>
  <c r="AD357" i="1"/>
  <c r="AH357" i="1"/>
  <c r="AL357" i="1"/>
  <c r="AP357" i="1"/>
  <c r="AT357" i="1"/>
  <c r="AX357" i="1"/>
  <c r="G357" i="1"/>
  <c r="K357" i="1"/>
  <c r="O357" i="1"/>
  <c r="S357" i="1"/>
  <c r="W357" i="1"/>
  <c r="AA357" i="1"/>
  <c r="AE357" i="1"/>
  <c r="AI357" i="1"/>
  <c r="AM357" i="1"/>
  <c r="AQ357" i="1"/>
  <c r="AU357" i="1"/>
  <c r="AY357" i="1"/>
  <c r="D357" i="1"/>
  <c r="H357" i="1"/>
  <c r="L357" i="1"/>
  <c r="P357" i="1"/>
  <c r="T357" i="1"/>
  <c r="X357" i="1"/>
  <c r="AB357" i="1"/>
  <c r="AF357" i="1"/>
  <c r="AJ357" i="1"/>
  <c r="AN357" i="1"/>
  <c r="AR357" i="1"/>
  <c r="AV357" i="1"/>
  <c r="AZ357" i="1"/>
  <c r="C357" i="1"/>
  <c r="D358" i="1"/>
  <c r="H358" i="1"/>
  <c r="L358" i="1"/>
  <c r="P358" i="1"/>
  <c r="T358" i="1"/>
  <c r="X358" i="1"/>
  <c r="AB358" i="1"/>
  <c r="AF358" i="1"/>
  <c r="AJ358" i="1"/>
  <c r="AN358" i="1"/>
  <c r="AR358" i="1"/>
  <c r="AV358" i="1"/>
  <c r="AZ358" i="1"/>
  <c r="E358" i="1"/>
  <c r="I358" i="1"/>
  <c r="M358" i="1"/>
  <c r="Q358" i="1"/>
  <c r="U358" i="1"/>
  <c r="Y358" i="1"/>
  <c r="AC358" i="1"/>
  <c r="AG358" i="1"/>
  <c r="AK358" i="1"/>
  <c r="AO358" i="1"/>
  <c r="AS358" i="1"/>
  <c r="AW358" i="1"/>
  <c r="F358" i="1"/>
  <c r="J358" i="1"/>
  <c r="N358" i="1"/>
  <c r="R358" i="1"/>
  <c r="V358" i="1"/>
  <c r="Z358" i="1"/>
  <c r="AD358" i="1"/>
  <c r="AH358" i="1"/>
  <c r="AL358" i="1"/>
  <c r="AP358" i="1"/>
  <c r="AT358" i="1"/>
  <c r="AX358" i="1"/>
  <c r="G358" i="1"/>
  <c r="K358" i="1"/>
  <c r="O358" i="1"/>
  <c r="S358" i="1"/>
  <c r="W358" i="1"/>
  <c r="AA358" i="1"/>
  <c r="AE358" i="1"/>
  <c r="AI358" i="1"/>
  <c r="AM358" i="1"/>
  <c r="AQ358" i="1"/>
  <c r="AU358" i="1"/>
  <c r="AY358" i="1"/>
  <c r="C358" i="1"/>
  <c r="G359" i="1"/>
  <c r="K359" i="1"/>
  <c r="O359" i="1"/>
  <c r="S359" i="1"/>
  <c r="W359" i="1"/>
  <c r="AA359" i="1"/>
  <c r="AE359" i="1"/>
  <c r="AI359" i="1"/>
  <c r="AM359" i="1"/>
  <c r="AQ359" i="1"/>
  <c r="AU359" i="1"/>
  <c r="AY359" i="1"/>
  <c r="D359" i="1"/>
  <c r="H359" i="1"/>
  <c r="L359" i="1"/>
  <c r="P359" i="1"/>
  <c r="T359" i="1"/>
  <c r="X359" i="1"/>
  <c r="AB359" i="1"/>
  <c r="AF359" i="1"/>
  <c r="AJ359" i="1"/>
  <c r="AN359" i="1"/>
  <c r="AR359" i="1"/>
  <c r="AV359" i="1"/>
  <c r="AZ359" i="1"/>
  <c r="E359" i="1"/>
  <c r="I359" i="1"/>
  <c r="M359" i="1"/>
  <c r="Q359" i="1"/>
  <c r="U359" i="1"/>
  <c r="Y359" i="1"/>
  <c r="AC359" i="1"/>
  <c r="AG359" i="1"/>
  <c r="AK359" i="1"/>
  <c r="AO359" i="1"/>
  <c r="AS359" i="1"/>
  <c r="AW359" i="1"/>
  <c r="F359" i="1"/>
  <c r="J359" i="1"/>
  <c r="N359" i="1"/>
  <c r="R359" i="1"/>
  <c r="V359" i="1"/>
  <c r="Z359" i="1"/>
  <c r="AD359" i="1"/>
  <c r="AH359" i="1"/>
  <c r="AL359" i="1"/>
  <c r="AP359" i="1"/>
  <c r="AT359" i="1"/>
  <c r="AX359" i="1"/>
  <c r="C359" i="1"/>
  <c r="F360" i="1"/>
  <c r="J360" i="1"/>
  <c r="N360" i="1"/>
  <c r="R360" i="1"/>
  <c r="V360" i="1"/>
  <c r="Z360" i="1"/>
  <c r="AD360" i="1"/>
  <c r="AH360" i="1"/>
  <c r="AL360" i="1"/>
  <c r="AP360" i="1"/>
  <c r="AT360" i="1"/>
  <c r="AX360" i="1"/>
  <c r="G360" i="1"/>
  <c r="K360" i="1"/>
  <c r="O360" i="1"/>
  <c r="S360" i="1"/>
  <c r="W360" i="1"/>
  <c r="AA360" i="1"/>
  <c r="AE360" i="1"/>
  <c r="AI360" i="1"/>
  <c r="AM360" i="1"/>
  <c r="AQ360" i="1"/>
  <c r="AU360" i="1"/>
  <c r="AY360" i="1"/>
  <c r="D360" i="1"/>
  <c r="H360" i="1"/>
  <c r="L360" i="1"/>
  <c r="P360" i="1"/>
  <c r="T360" i="1"/>
  <c r="X360" i="1"/>
  <c r="AB360" i="1"/>
  <c r="AF360" i="1"/>
  <c r="AJ360" i="1"/>
  <c r="AN360" i="1"/>
  <c r="AR360" i="1"/>
  <c r="AV360" i="1"/>
  <c r="AZ360" i="1"/>
  <c r="E360" i="1"/>
  <c r="I360" i="1"/>
  <c r="M360" i="1"/>
  <c r="Q360" i="1"/>
  <c r="U360" i="1"/>
  <c r="Y360" i="1"/>
  <c r="AC360" i="1"/>
  <c r="AG360" i="1"/>
  <c r="AK360" i="1"/>
  <c r="AO360" i="1"/>
  <c r="AS360" i="1"/>
  <c r="AW360" i="1"/>
  <c r="C360" i="1"/>
  <c r="E361" i="1"/>
  <c r="I361" i="1"/>
  <c r="M361" i="1"/>
  <c r="Q361" i="1"/>
  <c r="U361" i="1"/>
  <c r="Y361" i="1"/>
  <c r="AC361" i="1"/>
  <c r="AG361" i="1"/>
  <c r="AK361" i="1"/>
  <c r="AO361" i="1"/>
  <c r="AS361" i="1"/>
  <c r="AW361" i="1"/>
  <c r="F361" i="1"/>
  <c r="J361" i="1"/>
  <c r="N361" i="1"/>
  <c r="R361" i="1"/>
  <c r="V361" i="1"/>
  <c r="Z361" i="1"/>
  <c r="AD361" i="1"/>
  <c r="AH361" i="1"/>
  <c r="AL361" i="1"/>
  <c r="AP361" i="1"/>
  <c r="AT361" i="1"/>
  <c r="AX361" i="1"/>
  <c r="G361" i="1"/>
  <c r="K361" i="1"/>
  <c r="O361" i="1"/>
  <c r="S361" i="1"/>
  <c r="W361" i="1"/>
  <c r="AA361" i="1"/>
  <c r="AE361" i="1"/>
  <c r="AI361" i="1"/>
  <c r="AM361" i="1"/>
  <c r="AQ361" i="1"/>
  <c r="AU361" i="1"/>
  <c r="AY361" i="1"/>
  <c r="D361" i="1"/>
  <c r="H361" i="1"/>
  <c r="L361" i="1"/>
  <c r="P361" i="1"/>
  <c r="T361" i="1"/>
  <c r="X361" i="1"/>
  <c r="AB361" i="1"/>
  <c r="AF361" i="1"/>
  <c r="AJ361" i="1"/>
  <c r="AN361" i="1"/>
  <c r="AR361" i="1"/>
  <c r="AV361" i="1"/>
  <c r="AZ361" i="1"/>
  <c r="C361" i="1"/>
  <c r="D362" i="1"/>
  <c r="H362" i="1"/>
  <c r="L362" i="1"/>
  <c r="P362" i="1"/>
  <c r="T362" i="1"/>
  <c r="X362" i="1"/>
  <c r="AB362" i="1"/>
  <c r="AF362" i="1"/>
  <c r="AJ362" i="1"/>
  <c r="AN362" i="1"/>
  <c r="AR362" i="1"/>
  <c r="AV362" i="1"/>
  <c r="AZ362" i="1"/>
  <c r="E362" i="1"/>
  <c r="I362" i="1"/>
  <c r="M362" i="1"/>
  <c r="Q362" i="1"/>
  <c r="U362" i="1"/>
  <c r="Y362" i="1"/>
  <c r="AC362" i="1"/>
  <c r="AG362" i="1"/>
  <c r="AK362" i="1"/>
  <c r="AO362" i="1"/>
  <c r="AS362" i="1"/>
  <c r="AW362" i="1"/>
  <c r="F362" i="1"/>
  <c r="J362" i="1"/>
  <c r="N362" i="1"/>
  <c r="R362" i="1"/>
  <c r="V362" i="1"/>
  <c r="Z362" i="1"/>
  <c r="AD362" i="1"/>
  <c r="AH362" i="1"/>
  <c r="AL362" i="1"/>
  <c r="AP362" i="1"/>
  <c r="AT362" i="1"/>
  <c r="AX362" i="1"/>
  <c r="G362" i="1"/>
  <c r="K362" i="1"/>
  <c r="O362" i="1"/>
  <c r="S362" i="1"/>
  <c r="W362" i="1"/>
  <c r="AA362" i="1"/>
  <c r="AE362" i="1"/>
  <c r="AI362" i="1"/>
  <c r="AM362" i="1"/>
  <c r="AQ362" i="1"/>
  <c r="AU362" i="1"/>
  <c r="AY362" i="1"/>
  <c r="C362" i="1"/>
  <c r="G363" i="1"/>
  <c r="K363" i="1"/>
  <c r="O363" i="1"/>
  <c r="S363" i="1"/>
  <c r="W363" i="1"/>
  <c r="D363" i="1"/>
  <c r="H363" i="1"/>
  <c r="L363" i="1"/>
  <c r="P363" i="1"/>
  <c r="T363" i="1"/>
  <c r="E363" i="1"/>
  <c r="I363" i="1"/>
  <c r="M363" i="1"/>
  <c r="F363" i="1"/>
  <c r="J363" i="1"/>
  <c r="N363" i="1"/>
  <c r="R363" i="1"/>
  <c r="Q363" i="1"/>
  <c r="Y363" i="1"/>
  <c r="AC363" i="1"/>
  <c r="AG363" i="1"/>
  <c r="AK363" i="1"/>
  <c r="AO363" i="1"/>
  <c r="AS363" i="1"/>
  <c r="AW363" i="1"/>
  <c r="U363" i="1"/>
  <c r="Z363" i="1"/>
  <c r="AD363" i="1"/>
  <c r="AH363" i="1"/>
  <c r="AL363" i="1"/>
  <c r="AP363" i="1"/>
  <c r="AT363" i="1"/>
  <c r="AX363" i="1"/>
  <c r="V363" i="1"/>
  <c r="AA363" i="1"/>
  <c r="AE363" i="1"/>
  <c r="AI363" i="1"/>
  <c r="AM363" i="1"/>
  <c r="AQ363" i="1"/>
  <c r="AU363" i="1"/>
  <c r="AY363" i="1"/>
  <c r="X363" i="1"/>
  <c r="AB363" i="1"/>
  <c r="AF363" i="1"/>
  <c r="AJ363" i="1"/>
  <c r="AN363" i="1"/>
  <c r="AR363" i="1"/>
  <c r="AV363" i="1"/>
  <c r="AZ363" i="1"/>
  <c r="C363" i="1"/>
  <c r="D364" i="1"/>
  <c r="H364" i="1"/>
  <c r="L364" i="1"/>
  <c r="P364" i="1"/>
  <c r="T364" i="1"/>
  <c r="X364" i="1"/>
  <c r="AB364" i="1"/>
  <c r="AF364" i="1"/>
  <c r="AJ364" i="1"/>
  <c r="AN364" i="1"/>
  <c r="AR364" i="1"/>
  <c r="AV364" i="1"/>
  <c r="AZ364" i="1"/>
  <c r="E364" i="1"/>
  <c r="I364" i="1"/>
  <c r="M364" i="1"/>
  <c r="Q364" i="1"/>
  <c r="U364" i="1"/>
  <c r="Y364" i="1"/>
  <c r="AC364" i="1"/>
  <c r="AG364" i="1"/>
  <c r="AK364" i="1"/>
  <c r="AO364" i="1"/>
  <c r="AS364" i="1"/>
  <c r="AW364" i="1"/>
  <c r="F364" i="1"/>
  <c r="J364" i="1"/>
  <c r="N364" i="1"/>
  <c r="R364" i="1"/>
  <c r="V364" i="1"/>
  <c r="Z364" i="1"/>
  <c r="AD364" i="1"/>
  <c r="AH364" i="1"/>
  <c r="AL364" i="1"/>
  <c r="AP364" i="1"/>
  <c r="AT364" i="1"/>
  <c r="AX364" i="1"/>
  <c r="G364" i="1"/>
  <c r="K364" i="1"/>
  <c r="O364" i="1"/>
  <c r="S364" i="1"/>
  <c r="W364" i="1"/>
  <c r="AA364" i="1"/>
  <c r="AE364" i="1"/>
  <c r="AI364" i="1"/>
  <c r="AM364" i="1"/>
  <c r="AQ364" i="1"/>
  <c r="AU364" i="1"/>
  <c r="AY364" i="1"/>
  <c r="C364" i="1"/>
  <c r="G365" i="1"/>
  <c r="K365" i="1"/>
  <c r="O365" i="1"/>
  <c r="S365" i="1"/>
  <c r="W365" i="1"/>
  <c r="AA365" i="1"/>
  <c r="AE365" i="1"/>
  <c r="AI365" i="1"/>
  <c r="AM365" i="1"/>
  <c r="AQ365" i="1"/>
  <c r="AU365" i="1"/>
  <c r="AY365" i="1"/>
  <c r="D365" i="1"/>
  <c r="H365" i="1"/>
  <c r="L365" i="1"/>
  <c r="P365" i="1"/>
  <c r="T365" i="1"/>
  <c r="X365" i="1"/>
  <c r="AB365" i="1"/>
  <c r="AF365" i="1"/>
  <c r="AJ365" i="1"/>
  <c r="AN365" i="1"/>
  <c r="AR365" i="1"/>
  <c r="AV365" i="1"/>
  <c r="AZ365" i="1"/>
  <c r="E365" i="1"/>
  <c r="I365" i="1"/>
  <c r="M365" i="1"/>
  <c r="Q365" i="1"/>
  <c r="U365" i="1"/>
  <c r="Y365" i="1"/>
  <c r="AC365" i="1"/>
  <c r="AG365" i="1"/>
  <c r="AK365" i="1"/>
  <c r="AO365" i="1"/>
  <c r="AS365" i="1"/>
  <c r="AW365" i="1"/>
  <c r="F365" i="1"/>
  <c r="J365" i="1"/>
  <c r="N365" i="1"/>
  <c r="R365" i="1"/>
  <c r="V365" i="1"/>
  <c r="Z365" i="1"/>
  <c r="AD365" i="1"/>
  <c r="AH365" i="1"/>
  <c r="AL365" i="1"/>
  <c r="AP365" i="1"/>
  <c r="AT365" i="1"/>
  <c r="AX365" i="1"/>
  <c r="C365" i="1"/>
  <c r="F366" i="1"/>
  <c r="J366" i="1"/>
  <c r="N366" i="1"/>
  <c r="R366" i="1"/>
  <c r="V366" i="1"/>
  <c r="Z366" i="1"/>
  <c r="AD366" i="1"/>
  <c r="AH366" i="1"/>
  <c r="AL366" i="1"/>
  <c r="AP366" i="1"/>
  <c r="AT366" i="1"/>
  <c r="AX366" i="1"/>
  <c r="G366" i="1"/>
  <c r="K366" i="1"/>
  <c r="O366" i="1"/>
  <c r="S366" i="1"/>
  <c r="W366" i="1"/>
  <c r="AA366" i="1"/>
  <c r="AE366" i="1"/>
  <c r="AI366" i="1"/>
  <c r="AM366" i="1"/>
  <c r="AQ366" i="1"/>
  <c r="AU366" i="1"/>
  <c r="AY366" i="1"/>
  <c r="D366" i="1"/>
  <c r="H366" i="1"/>
  <c r="L366" i="1"/>
  <c r="P366" i="1"/>
  <c r="T366" i="1"/>
  <c r="X366" i="1"/>
  <c r="AB366" i="1"/>
  <c r="AF366" i="1"/>
  <c r="AJ366" i="1"/>
  <c r="AN366" i="1"/>
  <c r="AR366" i="1"/>
  <c r="AV366" i="1"/>
  <c r="AZ366" i="1"/>
  <c r="E366" i="1"/>
  <c r="I366" i="1"/>
  <c r="M366" i="1"/>
  <c r="Q366" i="1"/>
  <c r="U366" i="1"/>
  <c r="Y366" i="1"/>
  <c r="AC366" i="1"/>
  <c r="AG366" i="1"/>
  <c r="AK366" i="1"/>
  <c r="AO366" i="1"/>
  <c r="AS366" i="1"/>
  <c r="AW366" i="1"/>
  <c r="C366" i="1"/>
  <c r="E367" i="1"/>
  <c r="I367" i="1"/>
  <c r="M367" i="1"/>
  <c r="Q367" i="1"/>
  <c r="U367" i="1"/>
  <c r="Y367" i="1"/>
  <c r="AC367" i="1"/>
  <c r="AG367" i="1"/>
  <c r="AK367" i="1"/>
  <c r="AO367" i="1"/>
  <c r="AS367" i="1"/>
  <c r="AW367" i="1"/>
  <c r="F367" i="1"/>
  <c r="J367" i="1"/>
  <c r="N367" i="1"/>
  <c r="R367" i="1"/>
  <c r="V367" i="1"/>
  <c r="Z367" i="1"/>
  <c r="AD367" i="1"/>
  <c r="AH367" i="1"/>
  <c r="AL367" i="1"/>
  <c r="AP367" i="1"/>
  <c r="AT367" i="1"/>
  <c r="AX367" i="1"/>
  <c r="G367" i="1"/>
  <c r="K367" i="1"/>
  <c r="O367" i="1"/>
  <c r="S367" i="1"/>
  <c r="W367" i="1"/>
  <c r="AA367" i="1"/>
  <c r="AE367" i="1"/>
  <c r="AI367" i="1"/>
  <c r="AM367" i="1"/>
  <c r="AQ367" i="1"/>
  <c r="AU367" i="1"/>
  <c r="AY367" i="1"/>
  <c r="D367" i="1"/>
  <c r="H367" i="1"/>
  <c r="L367" i="1"/>
  <c r="P367" i="1"/>
  <c r="T367" i="1"/>
  <c r="X367" i="1"/>
  <c r="AB367" i="1"/>
  <c r="AF367" i="1"/>
  <c r="AJ367" i="1"/>
  <c r="AN367" i="1"/>
  <c r="AR367" i="1"/>
  <c r="AV367" i="1"/>
  <c r="AZ367" i="1"/>
  <c r="C367" i="1"/>
  <c r="D368" i="1"/>
  <c r="H368" i="1"/>
  <c r="L368" i="1"/>
  <c r="P368" i="1"/>
  <c r="T368" i="1"/>
  <c r="X368" i="1"/>
  <c r="AB368" i="1"/>
  <c r="AF368" i="1"/>
  <c r="AJ368" i="1"/>
  <c r="AN368" i="1"/>
  <c r="AR368" i="1"/>
  <c r="AV368" i="1"/>
  <c r="AZ368" i="1"/>
  <c r="E368" i="1"/>
  <c r="I368" i="1"/>
  <c r="M368" i="1"/>
  <c r="Q368" i="1"/>
  <c r="U368" i="1"/>
  <c r="Y368" i="1"/>
  <c r="AC368" i="1"/>
  <c r="AG368" i="1"/>
  <c r="AK368" i="1"/>
  <c r="AO368" i="1"/>
  <c r="AS368" i="1"/>
  <c r="AW368" i="1"/>
  <c r="F368" i="1"/>
  <c r="J368" i="1"/>
  <c r="N368" i="1"/>
  <c r="R368" i="1"/>
  <c r="V368" i="1"/>
  <c r="Z368" i="1"/>
  <c r="AD368" i="1"/>
  <c r="AH368" i="1"/>
  <c r="AL368" i="1"/>
  <c r="AP368" i="1"/>
  <c r="AT368" i="1"/>
  <c r="AX368" i="1"/>
  <c r="G368" i="1"/>
  <c r="K368" i="1"/>
  <c r="O368" i="1"/>
  <c r="S368" i="1"/>
  <c r="W368" i="1"/>
  <c r="AA368" i="1"/>
  <c r="AE368" i="1"/>
  <c r="AI368" i="1"/>
  <c r="AM368" i="1"/>
  <c r="AQ368" i="1"/>
  <c r="AU368" i="1"/>
  <c r="AY368" i="1"/>
  <c r="C368" i="1"/>
  <c r="G369" i="1"/>
  <c r="K369" i="1"/>
  <c r="O369" i="1"/>
  <c r="S369" i="1"/>
  <c r="W369" i="1"/>
  <c r="AA369" i="1"/>
  <c r="AE369" i="1"/>
  <c r="AI369" i="1"/>
  <c r="AM369" i="1"/>
  <c r="AQ369" i="1"/>
  <c r="AU369" i="1"/>
  <c r="AY369" i="1"/>
  <c r="D369" i="1"/>
  <c r="H369" i="1"/>
  <c r="L369" i="1"/>
  <c r="P369" i="1"/>
  <c r="T369" i="1"/>
  <c r="X369" i="1"/>
  <c r="AB369" i="1"/>
  <c r="AF369" i="1"/>
  <c r="AJ369" i="1"/>
  <c r="AN369" i="1"/>
  <c r="AR369" i="1"/>
  <c r="AV369" i="1"/>
  <c r="AZ369" i="1"/>
  <c r="E369" i="1"/>
  <c r="I369" i="1"/>
  <c r="M369" i="1"/>
  <c r="Q369" i="1"/>
  <c r="U369" i="1"/>
  <c r="Y369" i="1"/>
  <c r="AC369" i="1"/>
  <c r="AG369" i="1"/>
  <c r="AK369" i="1"/>
  <c r="AO369" i="1"/>
  <c r="AS369" i="1"/>
  <c r="AW369" i="1"/>
  <c r="F369" i="1"/>
  <c r="J369" i="1"/>
  <c r="N369" i="1"/>
  <c r="R369" i="1"/>
  <c r="V369" i="1"/>
  <c r="Z369" i="1"/>
  <c r="AD369" i="1"/>
  <c r="AH369" i="1"/>
  <c r="AL369" i="1"/>
  <c r="AP369" i="1"/>
  <c r="AT369" i="1"/>
  <c r="AX369" i="1"/>
  <c r="C369" i="1"/>
  <c r="F370" i="1"/>
  <c r="J370" i="1"/>
  <c r="N370" i="1"/>
  <c r="R370" i="1"/>
  <c r="V370" i="1"/>
  <c r="Z370" i="1"/>
  <c r="AD370" i="1"/>
  <c r="AH370" i="1"/>
  <c r="AL370" i="1"/>
  <c r="AP370" i="1"/>
  <c r="AT370" i="1"/>
  <c r="AX370" i="1"/>
  <c r="G370" i="1"/>
  <c r="K370" i="1"/>
  <c r="O370" i="1"/>
  <c r="S370" i="1"/>
  <c r="W370" i="1"/>
  <c r="AA370" i="1"/>
  <c r="AE370" i="1"/>
  <c r="AI370" i="1"/>
  <c r="AM370" i="1"/>
  <c r="AQ370" i="1"/>
  <c r="AU370" i="1"/>
  <c r="AY370" i="1"/>
  <c r="D370" i="1"/>
  <c r="H370" i="1"/>
  <c r="L370" i="1"/>
  <c r="P370" i="1"/>
  <c r="T370" i="1"/>
  <c r="X370" i="1"/>
  <c r="AB370" i="1"/>
  <c r="AF370" i="1"/>
  <c r="AJ370" i="1"/>
  <c r="AN370" i="1"/>
  <c r="AR370" i="1"/>
  <c r="AV370" i="1"/>
  <c r="AZ370" i="1"/>
  <c r="E370" i="1"/>
  <c r="I370" i="1"/>
  <c r="M370" i="1"/>
  <c r="Q370" i="1"/>
  <c r="U370" i="1"/>
  <c r="Y370" i="1"/>
  <c r="AC370" i="1"/>
  <c r="AG370" i="1"/>
  <c r="AK370" i="1"/>
  <c r="AO370" i="1"/>
  <c r="AS370" i="1"/>
  <c r="AW370" i="1"/>
  <c r="C370" i="1"/>
  <c r="E371" i="1"/>
  <c r="I371" i="1"/>
  <c r="M371" i="1"/>
  <c r="Q371" i="1"/>
  <c r="U371" i="1"/>
  <c r="Y371" i="1"/>
  <c r="AC371" i="1"/>
  <c r="AG371" i="1"/>
  <c r="AK371" i="1"/>
  <c r="AO371" i="1"/>
  <c r="AS371" i="1"/>
  <c r="AW371" i="1"/>
  <c r="F371" i="1"/>
  <c r="J371" i="1"/>
  <c r="N371" i="1"/>
  <c r="R371" i="1"/>
  <c r="V371" i="1"/>
  <c r="Z371" i="1"/>
  <c r="AD371" i="1"/>
  <c r="AH371" i="1"/>
  <c r="AL371" i="1"/>
  <c r="AP371" i="1"/>
  <c r="AT371" i="1"/>
  <c r="AX371" i="1"/>
  <c r="G371" i="1"/>
  <c r="K371" i="1"/>
  <c r="O371" i="1"/>
  <c r="S371" i="1"/>
  <c r="W371" i="1"/>
  <c r="AA371" i="1"/>
  <c r="AE371" i="1"/>
  <c r="AI371" i="1"/>
  <c r="AM371" i="1"/>
  <c r="AQ371" i="1"/>
  <c r="AU371" i="1"/>
  <c r="AY371" i="1"/>
  <c r="D371" i="1"/>
  <c r="H371" i="1"/>
  <c r="L371" i="1"/>
  <c r="P371" i="1"/>
  <c r="T371" i="1"/>
  <c r="X371" i="1"/>
  <c r="AB371" i="1"/>
  <c r="AF371" i="1"/>
  <c r="AJ371" i="1"/>
  <c r="AN371" i="1"/>
  <c r="AR371" i="1"/>
  <c r="AV371" i="1"/>
  <c r="AZ371" i="1"/>
  <c r="C371" i="1"/>
  <c r="D372" i="1"/>
  <c r="H372" i="1"/>
  <c r="L372" i="1"/>
  <c r="P372" i="1"/>
  <c r="T372" i="1"/>
  <c r="X372" i="1"/>
  <c r="AB372" i="1"/>
  <c r="AF372" i="1"/>
  <c r="AJ372" i="1"/>
  <c r="AN372" i="1"/>
  <c r="AR372" i="1"/>
  <c r="AV372" i="1"/>
  <c r="AZ372" i="1"/>
  <c r="E372" i="1"/>
  <c r="I372" i="1"/>
  <c r="M372" i="1"/>
  <c r="Q372" i="1"/>
  <c r="U372" i="1"/>
  <c r="Y372" i="1"/>
  <c r="AC372" i="1"/>
  <c r="AG372" i="1"/>
  <c r="AK372" i="1"/>
  <c r="AO372" i="1"/>
  <c r="AS372" i="1"/>
  <c r="AW372" i="1"/>
  <c r="F372" i="1"/>
  <c r="J372" i="1"/>
  <c r="N372" i="1"/>
  <c r="R372" i="1"/>
  <c r="V372" i="1"/>
  <c r="Z372" i="1"/>
  <c r="AD372" i="1"/>
  <c r="AH372" i="1"/>
  <c r="AL372" i="1"/>
  <c r="AP372" i="1"/>
  <c r="AT372" i="1"/>
  <c r="AX372" i="1"/>
  <c r="G372" i="1"/>
  <c r="K372" i="1"/>
  <c r="O372" i="1"/>
  <c r="S372" i="1"/>
  <c r="W372" i="1"/>
  <c r="AA372" i="1"/>
  <c r="AE372" i="1"/>
  <c r="AI372" i="1"/>
  <c r="AM372" i="1"/>
  <c r="AQ372" i="1"/>
  <c r="AU372" i="1"/>
  <c r="AY372" i="1"/>
  <c r="C372" i="1"/>
  <c r="G373" i="1"/>
  <c r="K373" i="1"/>
  <c r="O373" i="1"/>
  <c r="S373" i="1"/>
  <c r="W373" i="1"/>
  <c r="AA373" i="1"/>
  <c r="AE373" i="1"/>
  <c r="AI373" i="1"/>
  <c r="AM373" i="1"/>
  <c r="AQ373" i="1"/>
  <c r="AU373" i="1"/>
  <c r="AY373" i="1"/>
  <c r="D373" i="1"/>
  <c r="H373" i="1"/>
  <c r="L373" i="1"/>
  <c r="P373" i="1"/>
  <c r="T373" i="1"/>
  <c r="X373" i="1"/>
  <c r="AB373" i="1"/>
  <c r="AF373" i="1"/>
  <c r="AJ373" i="1"/>
  <c r="AN373" i="1"/>
  <c r="AR373" i="1"/>
  <c r="AV373" i="1"/>
  <c r="AZ373" i="1"/>
  <c r="E373" i="1"/>
  <c r="I373" i="1"/>
  <c r="M373" i="1"/>
  <c r="Q373" i="1"/>
  <c r="U373" i="1"/>
  <c r="Y373" i="1"/>
  <c r="AC373" i="1"/>
  <c r="AG373" i="1"/>
  <c r="AK373" i="1"/>
  <c r="AO373" i="1"/>
  <c r="AS373" i="1"/>
  <c r="AW373" i="1"/>
  <c r="F373" i="1"/>
  <c r="J373" i="1"/>
  <c r="N373" i="1"/>
  <c r="R373" i="1"/>
  <c r="V373" i="1"/>
  <c r="Z373" i="1"/>
  <c r="AD373" i="1"/>
  <c r="AH373" i="1"/>
  <c r="AL373" i="1"/>
  <c r="AP373" i="1"/>
  <c r="AT373" i="1"/>
  <c r="AX373" i="1"/>
  <c r="C373" i="1"/>
  <c r="F374" i="1"/>
  <c r="J374" i="1"/>
  <c r="N374" i="1"/>
  <c r="R374" i="1"/>
  <c r="V374" i="1"/>
  <c r="Z374" i="1"/>
  <c r="AD374" i="1"/>
  <c r="AH374" i="1"/>
  <c r="AL374" i="1"/>
  <c r="AP374" i="1"/>
  <c r="AT374" i="1"/>
  <c r="AX374" i="1"/>
  <c r="G374" i="1"/>
  <c r="K374" i="1"/>
  <c r="O374" i="1"/>
  <c r="S374" i="1"/>
  <c r="W374" i="1"/>
  <c r="AA374" i="1"/>
  <c r="AE374" i="1"/>
  <c r="AI374" i="1"/>
  <c r="AM374" i="1"/>
  <c r="AQ374" i="1"/>
  <c r="AU374" i="1"/>
  <c r="AY374" i="1"/>
  <c r="D374" i="1"/>
  <c r="H374" i="1"/>
  <c r="L374" i="1"/>
  <c r="P374" i="1"/>
  <c r="T374" i="1"/>
  <c r="X374" i="1"/>
  <c r="AB374" i="1"/>
  <c r="AF374" i="1"/>
  <c r="AJ374" i="1"/>
  <c r="AN374" i="1"/>
  <c r="AR374" i="1"/>
  <c r="AV374" i="1"/>
  <c r="AZ374" i="1"/>
  <c r="E374" i="1"/>
  <c r="I374" i="1"/>
  <c r="M374" i="1"/>
  <c r="Q374" i="1"/>
  <c r="U374" i="1"/>
  <c r="Y374" i="1"/>
  <c r="AC374" i="1"/>
  <c r="AG374" i="1"/>
  <c r="AK374" i="1"/>
  <c r="AO374" i="1"/>
  <c r="AS374" i="1"/>
  <c r="AW374" i="1"/>
  <c r="C374" i="1"/>
  <c r="E375" i="1"/>
  <c r="I375" i="1"/>
  <c r="M375" i="1"/>
  <c r="Q375" i="1"/>
  <c r="U375" i="1"/>
  <c r="Y375" i="1"/>
  <c r="AC375" i="1"/>
  <c r="AG375" i="1"/>
  <c r="AK375" i="1"/>
  <c r="AO375" i="1"/>
  <c r="AS375" i="1"/>
  <c r="AW375" i="1"/>
  <c r="F375" i="1"/>
  <c r="J375" i="1"/>
  <c r="N375" i="1"/>
  <c r="R375" i="1"/>
  <c r="V375" i="1"/>
  <c r="Z375" i="1"/>
  <c r="AD375" i="1"/>
  <c r="AH375" i="1"/>
  <c r="AL375" i="1"/>
  <c r="AP375" i="1"/>
  <c r="AT375" i="1"/>
  <c r="AX375" i="1"/>
  <c r="G375" i="1"/>
  <c r="K375" i="1"/>
  <c r="O375" i="1"/>
  <c r="S375" i="1"/>
  <c r="W375" i="1"/>
  <c r="AA375" i="1"/>
  <c r="AE375" i="1"/>
  <c r="AI375" i="1"/>
  <c r="AM375" i="1"/>
  <c r="AQ375" i="1"/>
  <c r="AU375" i="1"/>
  <c r="AY375" i="1"/>
  <c r="D375" i="1"/>
  <c r="H375" i="1"/>
  <c r="L375" i="1"/>
  <c r="P375" i="1"/>
  <c r="T375" i="1"/>
  <c r="X375" i="1"/>
  <c r="AB375" i="1"/>
  <c r="AF375" i="1"/>
  <c r="AJ375" i="1"/>
  <c r="AN375" i="1"/>
  <c r="AR375" i="1"/>
  <c r="AV375" i="1"/>
  <c r="AZ375" i="1"/>
  <c r="C375" i="1"/>
  <c r="D376" i="1"/>
  <c r="H376" i="1"/>
  <c r="L376" i="1"/>
  <c r="P376" i="1"/>
  <c r="T376" i="1"/>
  <c r="X376" i="1"/>
  <c r="AB376" i="1"/>
  <c r="AF376" i="1"/>
  <c r="AJ376" i="1"/>
  <c r="AN376" i="1"/>
  <c r="AR376" i="1"/>
  <c r="AV376" i="1"/>
  <c r="AZ376" i="1"/>
  <c r="E376" i="1"/>
  <c r="I376" i="1"/>
  <c r="M376" i="1"/>
  <c r="Q376" i="1"/>
  <c r="U376" i="1"/>
  <c r="Y376" i="1"/>
  <c r="AC376" i="1"/>
  <c r="AG376" i="1"/>
  <c r="AK376" i="1"/>
  <c r="AO376" i="1"/>
  <c r="AS376" i="1"/>
  <c r="AW376" i="1"/>
  <c r="F376" i="1"/>
  <c r="J376" i="1"/>
  <c r="N376" i="1"/>
  <c r="R376" i="1"/>
  <c r="V376" i="1"/>
  <c r="Z376" i="1"/>
  <c r="AD376" i="1"/>
  <c r="AH376" i="1"/>
  <c r="AL376" i="1"/>
  <c r="AP376" i="1"/>
  <c r="AT376" i="1"/>
  <c r="AX376" i="1"/>
  <c r="G376" i="1"/>
  <c r="K376" i="1"/>
  <c r="O376" i="1"/>
  <c r="S376" i="1"/>
  <c r="W376" i="1"/>
  <c r="AA376" i="1"/>
  <c r="AE376" i="1"/>
  <c r="AI376" i="1"/>
  <c r="AM376" i="1"/>
  <c r="AQ376" i="1"/>
  <c r="AU376" i="1"/>
  <c r="AY376" i="1"/>
  <c r="C376" i="1"/>
  <c r="G377" i="1"/>
  <c r="K377" i="1"/>
  <c r="O377" i="1"/>
  <c r="S377" i="1"/>
  <c r="W377" i="1"/>
  <c r="AA377" i="1"/>
  <c r="AE377" i="1"/>
  <c r="AI377" i="1"/>
  <c r="AM377" i="1"/>
  <c r="AQ377" i="1"/>
  <c r="AU377" i="1"/>
  <c r="AY377" i="1"/>
  <c r="D377" i="1"/>
  <c r="H377" i="1"/>
  <c r="L377" i="1"/>
  <c r="P377" i="1"/>
  <c r="T377" i="1"/>
  <c r="X377" i="1"/>
  <c r="AB377" i="1"/>
  <c r="AF377" i="1"/>
  <c r="AJ377" i="1"/>
  <c r="AN377" i="1"/>
  <c r="AR377" i="1"/>
  <c r="AV377" i="1"/>
  <c r="AZ377" i="1"/>
  <c r="E377" i="1"/>
  <c r="I377" i="1"/>
  <c r="M377" i="1"/>
  <c r="Q377" i="1"/>
  <c r="U377" i="1"/>
  <c r="Y377" i="1"/>
  <c r="AC377" i="1"/>
  <c r="AG377" i="1"/>
  <c r="AK377" i="1"/>
  <c r="AO377" i="1"/>
  <c r="AS377" i="1"/>
  <c r="AW377" i="1"/>
  <c r="F377" i="1"/>
  <c r="J377" i="1"/>
  <c r="N377" i="1"/>
  <c r="R377" i="1"/>
  <c r="V377" i="1"/>
  <c r="Z377" i="1"/>
  <c r="AD377" i="1"/>
  <c r="AH377" i="1"/>
  <c r="AL377" i="1"/>
  <c r="AP377" i="1"/>
  <c r="AT377" i="1"/>
  <c r="AX377" i="1"/>
  <c r="C377" i="1"/>
  <c r="F378" i="1"/>
  <c r="J378" i="1"/>
  <c r="N378" i="1"/>
  <c r="R378" i="1"/>
  <c r="V378" i="1"/>
  <c r="Z378" i="1"/>
  <c r="AD378" i="1"/>
  <c r="AH378" i="1"/>
  <c r="AL378" i="1"/>
  <c r="AP378" i="1"/>
  <c r="AT378" i="1"/>
  <c r="AX378" i="1"/>
  <c r="G378" i="1"/>
  <c r="K378" i="1"/>
  <c r="O378" i="1"/>
  <c r="S378" i="1"/>
  <c r="W378" i="1"/>
  <c r="AA378" i="1"/>
  <c r="AE378" i="1"/>
  <c r="AI378" i="1"/>
  <c r="AM378" i="1"/>
  <c r="AQ378" i="1"/>
  <c r="AU378" i="1"/>
  <c r="AY378" i="1"/>
  <c r="D378" i="1"/>
  <c r="H378" i="1"/>
  <c r="L378" i="1"/>
  <c r="P378" i="1"/>
  <c r="T378" i="1"/>
  <c r="X378" i="1"/>
  <c r="AB378" i="1"/>
  <c r="AF378" i="1"/>
  <c r="AJ378" i="1"/>
  <c r="AN378" i="1"/>
  <c r="AR378" i="1"/>
  <c r="AV378" i="1"/>
  <c r="AZ378" i="1"/>
  <c r="E378" i="1"/>
  <c r="I378" i="1"/>
  <c r="M378" i="1"/>
  <c r="Q378" i="1"/>
  <c r="U378" i="1"/>
  <c r="Y378" i="1"/>
  <c r="AC378" i="1"/>
  <c r="AG378" i="1"/>
  <c r="AK378" i="1"/>
  <c r="AO378" i="1"/>
  <c r="AS378" i="1"/>
  <c r="AW378" i="1"/>
  <c r="C378" i="1"/>
  <c r="E379" i="1"/>
  <c r="I379" i="1"/>
  <c r="M379" i="1"/>
  <c r="Q379" i="1"/>
  <c r="U379" i="1"/>
  <c r="Y379" i="1"/>
  <c r="AC379" i="1"/>
  <c r="AG379" i="1"/>
  <c r="AK379" i="1"/>
  <c r="AO379" i="1"/>
  <c r="AS379" i="1"/>
  <c r="AW379" i="1"/>
  <c r="F379" i="1"/>
  <c r="J379" i="1"/>
  <c r="N379" i="1"/>
  <c r="R379" i="1"/>
  <c r="V379" i="1"/>
  <c r="Z379" i="1"/>
  <c r="AD379" i="1"/>
  <c r="AH379" i="1"/>
  <c r="AL379" i="1"/>
  <c r="AP379" i="1"/>
  <c r="AT379" i="1"/>
  <c r="AX379" i="1"/>
  <c r="G379" i="1"/>
  <c r="K379" i="1"/>
  <c r="O379" i="1"/>
  <c r="S379" i="1"/>
  <c r="W379" i="1"/>
  <c r="AA379" i="1"/>
  <c r="AE379" i="1"/>
  <c r="AI379" i="1"/>
  <c r="AM379" i="1"/>
  <c r="AQ379" i="1"/>
  <c r="AU379" i="1"/>
  <c r="AY379" i="1"/>
  <c r="D379" i="1"/>
  <c r="H379" i="1"/>
  <c r="L379" i="1"/>
  <c r="P379" i="1"/>
  <c r="T379" i="1"/>
  <c r="X379" i="1"/>
  <c r="AB379" i="1"/>
  <c r="AF379" i="1"/>
  <c r="AJ379" i="1"/>
  <c r="AN379" i="1"/>
  <c r="AR379" i="1"/>
  <c r="AV379" i="1"/>
  <c r="AZ379" i="1"/>
  <c r="C379" i="1"/>
  <c r="D380" i="1"/>
  <c r="H380" i="1"/>
  <c r="L380" i="1"/>
  <c r="P380" i="1"/>
  <c r="T380" i="1"/>
  <c r="X380" i="1"/>
  <c r="AB380" i="1"/>
  <c r="AF380" i="1"/>
  <c r="AJ380" i="1"/>
  <c r="AN380" i="1"/>
  <c r="AR380" i="1"/>
  <c r="AV380" i="1"/>
  <c r="AZ380" i="1"/>
  <c r="E380" i="1"/>
  <c r="I380" i="1"/>
  <c r="M380" i="1"/>
  <c r="Q380" i="1"/>
  <c r="U380" i="1"/>
  <c r="Y380" i="1"/>
  <c r="AC380" i="1"/>
  <c r="AG380" i="1"/>
  <c r="AK380" i="1"/>
  <c r="AO380" i="1"/>
  <c r="AS380" i="1"/>
  <c r="AW380" i="1"/>
  <c r="F380" i="1"/>
  <c r="J380" i="1"/>
  <c r="N380" i="1"/>
  <c r="R380" i="1"/>
  <c r="V380" i="1"/>
  <c r="Z380" i="1"/>
  <c r="AD380" i="1"/>
  <c r="AH380" i="1"/>
  <c r="AL380" i="1"/>
  <c r="AP380" i="1"/>
  <c r="AT380" i="1"/>
  <c r="AX380" i="1"/>
  <c r="G380" i="1"/>
  <c r="K380" i="1"/>
  <c r="O380" i="1"/>
  <c r="S380" i="1"/>
  <c r="W380" i="1"/>
  <c r="AA380" i="1"/>
  <c r="AE380" i="1"/>
  <c r="AI380" i="1"/>
  <c r="AM380" i="1"/>
  <c r="AQ380" i="1"/>
  <c r="AU380" i="1"/>
  <c r="AY380" i="1"/>
  <c r="C380" i="1"/>
  <c r="G381" i="1"/>
  <c r="K381" i="1"/>
  <c r="O381" i="1"/>
  <c r="S381" i="1"/>
  <c r="W381" i="1"/>
  <c r="AA381" i="1"/>
  <c r="AE381" i="1"/>
  <c r="AI381" i="1"/>
  <c r="AM381" i="1"/>
  <c r="AQ381" i="1"/>
  <c r="AU381" i="1"/>
  <c r="AY381" i="1"/>
  <c r="D381" i="1"/>
  <c r="H381" i="1"/>
  <c r="L381" i="1"/>
  <c r="P381" i="1"/>
  <c r="T381" i="1"/>
  <c r="X381" i="1"/>
  <c r="AB381" i="1"/>
  <c r="AF381" i="1"/>
  <c r="AJ381" i="1"/>
  <c r="AN381" i="1"/>
  <c r="AR381" i="1"/>
  <c r="AV381" i="1"/>
  <c r="AZ381" i="1"/>
  <c r="E381" i="1"/>
  <c r="I381" i="1"/>
  <c r="M381" i="1"/>
  <c r="Q381" i="1"/>
  <c r="U381" i="1"/>
  <c r="Y381" i="1"/>
  <c r="AC381" i="1"/>
  <c r="AG381" i="1"/>
  <c r="AK381" i="1"/>
  <c r="AO381" i="1"/>
  <c r="AS381" i="1"/>
  <c r="AW381" i="1"/>
  <c r="F381" i="1"/>
  <c r="J381" i="1"/>
  <c r="N381" i="1"/>
  <c r="R381" i="1"/>
  <c r="V381" i="1"/>
  <c r="Z381" i="1"/>
  <c r="AD381" i="1"/>
  <c r="AH381" i="1"/>
  <c r="AL381" i="1"/>
  <c r="AP381" i="1"/>
  <c r="AT381" i="1"/>
  <c r="AX381" i="1"/>
  <c r="C381" i="1"/>
  <c r="F382" i="1"/>
  <c r="J382" i="1"/>
  <c r="N382" i="1"/>
  <c r="R382" i="1"/>
  <c r="V382" i="1"/>
  <c r="Z382" i="1"/>
  <c r="AD382" i="1"/>
  <c r="AH382" i="1"/>
  <c r="AL382" i="1"/>
  <c r="AP382" i="1"/>
  <c r="AT382" i="1"/>
  <c r="AX382" i="1"/>
  <c r="G382" i="1"/>
  <c r="K382" i="1"/>
  <c r="O382" i="1"/>
  <c r="S382" i="1"/>
  <c r="W382" i="1"/>
  <c r="AA382" i="1"/>
  <c r="AE382" i="1"/>
  <c r="AI382" i="1"/>
  <c r="AM382" i="1"/>
  <c r="AQ382" i="1"/>
  <c r="AU382" i="1"/>
  <c r="AY382" i="1"/>
  <c r="D382" i="1"/>
  <c r="H382" i="1"/>
  <c r="L382" i="1"/>
  <c r="P382" i="1"/>
  <c r="T382" i="1"/>
  <c r="X382" i="1"/>
  <c r="AB382" i="1"/>
  <c r="AF382" i="1"/>
  <c r="AJ382" i="1"/>
  <c r="AN382" i="1"/>
  <c r="AR382" i="1"/>
  <c r="AV382" i="1"/>
  <c r="AZ382" i="1"/>
  <c r="E382" i="1"/>
  <c r="I382" i="1"/>
  <c r="M382" i="1"/>
  <c r="Q382" i="1"/>
  <c r="U382" i="1"/>
  <c r="Y382" i="1"/>
  <c r="AC382" i="1"/>
  <c r="AG382" i="1"/>
  <c r="AK382" i="1"/>
  <c r="AO382" i="1"/>
  <c r="AS382" i="1"/>
  <c r="AW382" i="1"/>
  <c r="C382" i="1"/>
  <c r="E383" i="1"/>
  <c r="I383" i="1"/>
  <c r="M383" i="1"/>
  <c r="Q383" i="1"/>
  <c r="U383" i="1"/>
  <c r="Y383" i="1"/>
  <c r="AC383" i="1"/>
  <c r="AG383" i="1"/>
  <c r="AK383" i="1"/>
  <c r="AO383" i="1"/>
  <c r="AS383" i="1"/>
  <c r="AW383" i="1"/>
  <c r="F383" i="1"/>
  <c r="J383" i="1"/>
  <c r="N383" i="1"/>
  <c r="R383" i="1"/>
  <c r="V383" i="1"/>
  <c r="Z383" i="1"/>
  <c r="AD383" i="1"/>
  <c r="AH383" i="1"/>
  <c r="AL383" i="1"/>
  <c r="AP383" i="1"/>
  <c r="AT383" i="1"/>
  <c r="AX383" i="1"/>
  <c r="G383" i="1"/>
  <c r="K383" i="1"/>
  <c r="O383" i="1"/>
  <c r="S383" i="1"/>
  <c r="W383" i="1"/>
  <c r="AA383" i="1"/>
  <c r="AE383" i="1"/>
  <c r="AI383" i="1"/>
  <c r="AM383" i="1"/>
  <c r="AQ383" i="1"/>
  <c r="AU383" i="1"/>
  <c r="AY383" i="1"/>
  <c r="D383" i="1"/>
  <c r="H383" i="1"/>
  <c r="L383" i="1"/>
  <c r="P383" i="1"/>
  <c r="T383" i="1"/>
  <c r="X383" i="1"/>
  <c r="AB383" i="1"/>
  <c r="AF383" i="1"/>
  <c r="AJ383" i="1"/>
  <c r="AN383" i="1"/>
  <c r="AR383" i="1"/>
  <c r="AV383" i="1"/>
  <c r="AZ383" i="1"/>
  <c r="C383" i="1"/>
  <c r="D384" i="1"/>
  <c r="H384" i="1"/>
  <c r="L384" i="1"/>
  <c r="P384" i="1"/>
  <c r="T384" i="1"/>
  <c r="X384" i="1"/>
  <c r="AB384" i="1"/>
  <c r="AF384" i="1"/>
  <c r="AJ384" i="1"/>
  <c r="AN384" i="1"/>
  <c r="AR384" i="1"/>
  <c r="AV384" i="1"/>
  <c r="AZ384" i="1"/>
  <c r="E384" i="1"/>
  <c r="I384" i="1"/>
  <c r="M384" i="1"/>
  <c r="Q384" i="1"/>
  <c r="U384" i="1"/>
  <c r="Y384" i="1"/>
  <c r="AC384" i="1"/>
  <c r="AG384" i="1"/>
  <c r="AK384" i="1"/>
  <c r="AO384" i="1"/>
  <c r="AS384" i="1"/>
  <c r="AW384" i="1"/>
  <c r="F384" i="1"/>
  <c r="J384" i="1"/>
  <c r="N384" i="1"/>
  <c r="R384" i="1"/>
  <c r="V384" i="1"/>
  <c r="Z384" i="1"/>
  <c r="AD384" i="1"/>
  <c r="AH384" i="1"/>
  <c r="AL384" i="1"/>
  <c r="AP384" i="1"/>
  <c r="AT384" i="1"/>
  <c r="AX384" i="1"/>
  <c r="G384" i="1"/>
  <c r="K384" i="1"/>
  <c r="O384" i="1"/>
  <c r="S384" i="1"/>
  <c r="W384" i="1"/>
  <c r="AA384" i="1"/>
  <c r="AE384" i="1"/>
  <c r="AI384" i="1"/>
  <c r="AM384" i="1"/>
  <c r="AQ384" i="1"/>
  <c r="AU384" i="1"/>
  <c r="AY384" i="1"/>
  <c r="C384" i="1"/>
  <c r="G385" i="1"/>
  <c r="K385" i="1"/>
  <c r="O385" i="1"/>
  <c r="S385" i="1"/>
  <c r="W385" i="1"/>
  <c r="AA385" i="1"/>
  <c r="AE385" i="1"/>
  <c r="AI385" i="1"/>
  <c r="AM385" i="1"/>
  <c r="AQ385" i="1"/>
  <c r="AU385" i="1"/>
  <c r="AY385" i="1"/>
  <c r="D385" i="1"/>
  <c r="H385" i="1"/>
  <c r="L385" i="1"/>
  <c r="P385" i="1"/>
  <c r="T385" i="1"/>
  <c r="X385" i="1"/>
  <c r="AB385" i="1"/>
  <c r="AF385" i="1"/>
  <c r="AJ385" i="1"/>
  <c r="AN385" i="1"/>
  <c r="AR385" i="1"/>
  <c r="AV385" i="1"/>
  <c r="AZ385" i="1"/>
  <c r="E385" i="1"/>
  <c r="I385" i="1"/>
  <c r="M385" i="1"/>
  <c r="Q385" i="1"/>
  <c r="U385" i="1"/>
  <c r="Y385" i="1"/>
  <c r="AC385" i="1"/>
  <c r="AG385" i="1"/>
  <c r="AK385" i="1"/>
  <c r="AO385" i="1"/>
  <c r="AS385" i="1"/>
  <c r="AW385" i="1"/>
  <c r="F385" i="1"/>
  <c r="J385" i="1"/>
  <c r="N385" i="1"/>
  <c r="R385" i="1"/>
  <c r="V385" i="1"/>
  <c r="Z385" i="1"/>
  <c r="AD385" i="1"/>
  <c r="AH385" i="1"/>
  <c r="AL385" i="1"/>
  <c r="AP385" i="1"/>
  <c r="AT385" i="1"/>
  <c r="AX385" i="1"/>
  <c r="C385" i="1"/>
  <c r="F386" i="1"/>
  <c r="J386" i="1"/>
  <c r="N386" i="1"/>
  <c r="R386" i="1"/>
  <c r="V386" i="1"/>
  <c r="Z386" i="1"/>
  <c r="AD386" i="1"/>
  <c r="AH386" i="1"/>
  <c r="AL386" i="1"/>
  <c r="AP386" i="1"/>
  <c r="AT386" i="1"/>
  <c r="AX386" i="1"/>
  <c r="G386" i="1"/>
  <c r="K386" i="1"/>
  <c r="O386" i="1"/>
  <c r="S386" i="1"/>
  <c r="W386" i="1"/>
  <c r="AA386" i="1"/>
  <c r="AE386" i="1"/>
  <c r="AI386" i="1"/>
  <c r="AM386" i="1"/>
  <c r="AQ386" i="1"/>
  <c r="AU386" i="1"/>
  <c r="AY386" i="1"/>
  <c r="D386" i="1"/>
  <c r="H386" i="1"/>
  <c r="L386" i="1"/>
  <c r="P386" i="1"/>
  <c r="T386" i="1"/>
  <c r="X386" i="1"/>
  <c r="AB386" i="1"/>
  <c r="AF386" i="1"/>
  <c r="AJ386" i="1"/>
  <c r="AN386" i="1"/>
  <c r="AR386" i="1"/>
  <c r="AV386" i="1"/>
  <c r="AZ386" i="1"/>
  <c r="E386" i="1"/>
  <c r="I386" i="1"/>
  <c r="M386" i="1"/>
  <c r="Q386" i="1"/>
  <c r="U386" i="1"/>
  <c r="Y386" i="1"/>
  <c r="AC386" i="1"/>
  <c r="AG386" i="1"/>
  <c r="AK386" i="1"/>
  <c r="AO386" i="1"/>
  <c r="AS386" i="1"/>
  <c r="AW386" i="1"/>
  <c r="C386" i="1"/>
  <c r="E387" i="1"/>
  <c r="I387" i="1"/>
  <c r="M387" i="1"/>
  <c r="Q387" i="1"/>
  <c r="U387" i="1"/>
  <c r="Y387" i="1"/>
  <c r="AC387" i="1"/>
  <c r="AG387" i="1"/>
  <c r="AK387" i="1"/>
  <c r="AO387" i="1"/>
  <c r="AS387" i="1"/>
  <c r="AW387" i="1"/>
  <c r="F387" i="1"/>
  <c r="J387" i="1"/>
  <c r="N387" i="1"/>
  <c r="R387" i="1"/>
  <c r="V387" i="1"/>
  <c r="Z387" i="1"/>
  <c r="AD387" i="1"/>
  <c r="AH387" i="1"/>
  <c r="AL387" i="1"/>
  <c r="AP387" i="1"/>
  <c r="AT387" i="1"/>
  <c r="AX387" i="1"/>
  <c r="G387" i="1"/>
  <c r="K387" i="1"/>
  <c r="O387" i="1"/>
  <c r="S387" i="1"/>
  <c r="W387" i="1"/>
  <c r="AA387" i="1"/>
  <c r="AE387" i="1"/>
  <c r="AI387" i="1"/>
  <c r="AM387" i="1"/>
  <c r="AQ387" i="1"/>
  <c r="AU387" i="1"/>
  <c r="AY387" i="1"/>
  <c r="D387" i="1"/>
  <c r="H387" i="1"/>
  <c r="L387" i="1"/>
  <c r="P387" i="1"/>
  <c r="T387" i="1"/>
  <c r="X387" i="1"/>
  <c r="AB387" i="1"/>
  <c r="AF387" i="1"/>
  <c r="AJ387" i="1"/>
  <c r="AN387" i="1"/>
  <c r="AR387" i="1"/>
  <c r="AV387" i="1"/>
  <c r="AZ387" i="1"/>
  <c r="C387" i="1"/>
  <c r="D388" i="1"/>
  <c r="H388" i="1"/>
  <c r="L388" i="1"/>
  <c r="P388" i="1"/>
  <c r="T388" i="1"/>
  <c r="X388" i="1"/>
  <c r="AB388" i="1"/>
  <c r="AF388" i="1"/>
  <c r="AJ388" i="1"/>
  <c r="AN388" i="1"/>
  <c r="AR388" i="1"/>
  <c r="AV388" i="1"/>
  <c r="AZ388" i="1"/>
  <c r="E388" i="1"/>
  <c r="I388" i="1"/>
  <c r="M388" i="1"/>
  <c r="Q388" i="1"/>
  <c r="U388" i="1"/>
  <c r="Y388" i="1"/>
  <c r="AC388" i="1"/>
  <c r="AG388" i="1"/>
  <c r="AK388" i="1"/>
  <c r="AO388" i="1"/>
  <c r="AS388" i="1"/>
  <c r="AW388" i="1"/>
  <c r="F388" i="1"/>
  <c r="J388" i="1"/>
  <c r="N388" i="1"/>
  <c r="R388" i="1"/>
  <c r="V388" i="1"/>
  <c r="Z388" i="1"/>
  <c r="AD388" i="1"/>
  <c r="AH388" i="1"/>
  <c r="AL388" i="1"/>
  <c r="AP388" i="1"/>
  <c r="AT388" i="1"/>
  <c r="AX388" i="1"/>
  <c r="G388" i="1"/>
  <c r="K388" i="1"/>
  <c r="O388" i="1"/>
  <c r="S388" i="1"/>
  <c r="W388" i="1"/>
  <c r="AA388" i="1"/>
  <c r="AE388" i="1"/>
  <c r="AI388" i="1"/>
  <c r="AM388" i="1"/>
  <c r="AQ388" i="1"/>
  <c r="AU388" i="1"/>
  <c r="AY388" i="1"/>
  <c r="C388" i="1"/>
  <c r="G389" i="1"/>
  <c r="K389" i="1"/>
  <c r="O389" i="1"/>
  <c r="S389" i="1"/>
  <c r="W389" i="1"/>
  <c r="AA389" i="1"/>
  <c r="AE389" i="1"/>
  <c r="AI389" i="1"/>
  <c r="AM389" i="1"/>
  <c r="AQ389" i="1"/>
  <c r="AU389" i="1"/>
  <c r="AY389" i="1"/>
  <c r="D389" i="1"/>
  <c r="H389" i="1"/>
  <c r="L389" i="1"/>
  <c r="P389" i="1"/>
  <c r="T389" i="1"/>
  <c r="X389" i="1"/>
  <c r="AB389" i="1"/>
  <c r="AF389" i="1"/>
  <c r="AJ389" i="1"/>
  <c r="AN389" i="1"/>
  <c r="AR389" i="1"/>
  <c r="AV389" i="1"/>
  <c r="AZ389" i="1"/>
  <c r="E389" i="1"/>
  <c r="I389" i="1"/>
  <c r="M389" i="1"/>
  <c r="Q389" i="1"/>
  <c r="U389" i="1"/>
  <c r="Y389" i="1"/>
  <c r="AC389" i="1"/>
  <c r="AG389" i="1"/>
  <c r="AK389" i="1"/>
  <c r="AO389" i="1"/>
  <c r="AS389" i="1"/>
  <c r="AW389" i="1"/>
  <c r="F389" i="1"/>
  <c r="J389" i="1"/>
  <c r="N389" i="1"/>
  <c r="R389" i="1"/>
  <c r="V389" i="1"/>
  <c r="Z389" i="1"/>
  <c r="AD389" i="1"/>
  <c r="AH389" i="1"/>
  <c r="AL389" i="1"/>
  <c r="AP389" i="1"/>
  <c r="AT389" i="1"/>
  <c r="AX389" i="1"/>
  <c r="C389" i="1"/>
  <c r="F390" i="1"/>
  <c r="J390" i="1"/>
  <c r="N390" i="1"/>
  <c r="R390" i="1"/>
  <c r="V390" i="1"/>
  <c r="Z390" i="1"/>
  <c r="AD390" i="1"/>
  <c r="AH390" i="1"/>
  <c r="AL390" i="1"/>
  <c r="AP390" i="1"/>
  <c r="AT390" i="1"/>
  <c r="AX390" i="1"/>
  <c r="G390" i="1"/>
  <c r="K390" i="1"/>
  <c r="O390" i="1"/>
  <c r="S390" i="1"/>
  <c r="W390" i="1"/>
  <c r="AA390" i="1"/>
  <c r="AE390" i="1"/>
  <c r="AI390" i="1"/>
  <c r="AM390" i="1"/>
  <c r="AQ390" i="1"/>
  <c r="AU390" i="1"/>
  <c r="AY390" i="1"/>
  <c r="D390" i="1"/>
  <c r="H390" i="1"/>
  <c r="L390" i="1"/>
  <c r="P390" i="1"/>
  <c r="T390" i="1"/>
  <c r="X390" i="1"/>
  <c r="AB390" i="1"/>
  <c r="AF390" i="1"/>
  <c r="AJ390" i="1"/>
  <c r="AN390" i="1"/>
  <c r="AR390" i="1"/>
  <c r="AV390" i="1"/>
  <c r="AZ390" i="1"/>
  <c r="E390" i="1"/>
  <c r="I390" i="1"/>
  <c r="M390" i="1"/>
  <c r="Q390" i="1"/>
  <c r="U390" i="1"/>
  <c r="Y390" i="1"/>
  <c r="AC390" i="1"/>
  <c r="AG390" i="1"/>
  <c r="AK390" i="1"/>
  <c r="AO390" i="1"/>
  <c r="AS390" i="1"/>
  <c r="AW390" i="1"/>
  <c r="C390" i="1"/>
  <c r="E391" i="1"/>
  <c r="I391" i="1"/>
  <c r="M391" i="1"/>
  <c r="Q391" i="1"/>
  <c r="U391" i="1"/>
  <c r="Y391" i="1"/>
  <c r="AC391" i="1"/>
  <c r="AG391" i="1"/>
  <c r="AK391" i="1"/>
  <c r="AO391" i="1"/>
  <c r="AS391" i="1"/>
  <c r="AW391" i="1"/>
  <c r="F391" i="1"/>
  <c r="J391" i="1"/>
  <c r="N391" i="1"/>
  <c r="R391" i="1"/>
  <c r="V391" i="1"/>
  <c r="Z391" i="1"/>
  <c r="AD391" i="1"/>
  <c r="AH391" i="1"/>
  <c r="AL391" i="1"/>
  <c r="AP391" i="1"/>
  <c r="AT391" i="1"/>
  <c r="AX391" i="1"/>
  <c r="G391" i="1"/>
  <c r="K391" i="1"/>
  <c r="O391" i="1"/>
  <c r="S391" i="1"/>
  <c r="W391" i="1"/>
  <c r="AA391" i="1"/>
  <c r="AE391" i="1"/>
  <c r="AI391" i="1"/>
  <c r="AM391" i="1"/>
  <c r="AQ391" i="1"/>
  <c r="AU391" i="1"/>
  <c r="AY391" i="1"/>
  <c r="D391" i="1"/>
  <c r="H391" i="1"/>
  <c r="L391" i="1"/>
  <c r="P391" i="1"/>
  <c r="T391" i="1"/>
  <c r="X391" i="1"/>
  <c r="AB391" i="1"/>
  <c r="AF391" i="1"/>
  <c r="AJ391" i="1"/>
  <c r="AN391" i="1"/>
  <c r="AR391" i="1"/>
  <c r="AV391" i="1"/>
  <c r="AZ391" i="1"/>
  <c r="C391" i="1"/>
  <c r="D392" i="1"/>
  <c r="H392" i="1"/>
  <c r="L392" i="1"/>
  <c r="P392" i="1"/>
  <c r="T392" i="1"/>
  <c r="X392" i="1"/>
  <c r="AB392" i="1"/>
  <c r="AF392" i="1"/>
  <c r="AJ392" i="1"/>
  <c r="AN392" i="1"/>
  <c r="AR392" i="1"/>
  <c r="AV392" i="1"/>
  <c r="AZ392" i="1"/>
  <c r="E392" i="1"/>
  <c r="I392" i="1"/>
  <c r="M392" i="1"/>
  <c r="Q392" i="1"/>
  <c r="U392" i="1"/>
  <c r="Y392" i="1"/>
  <c r="AC392" i="1"/>
  <c r="AG392" i="1"/>
  <c r="AK392" i="1"/>
  <c r="AO392" i="1"/>
  <c r="AS392" i="1"/>
  <c r="AW392" i="1"/>
  <c r="F392" i="1"/>
  <c r="J392" i="1"/>
  <c r="N392" i="1"/>
  <c r="R392" i="1"/>
  <c r="V392" i="1"/>
  <c r="Z392" i="1"/>
  <c r="AD392" i="1"/>
  <c r="AH392" i="1"/>
  <c r="AL392" i="1"/>
  <c r="AP392" i="1"/>
  <c r="AT392" i="1"/>
  <c r="AX392" i="1"/>
  <c r="G392" i="1"/>
  <c r="K392" i="1"/>
  <c r="O392" i="1"/>
  <c r="S392" i="1"/>
  <c r="W392" i="1"/>
  <c r="AA392" i="1"/>
  <c r="AE392" i="1"/>
  <c r="AI392" i="1"/>
  <c r="AM392" i="1"/>
  <c r="AQ392" i="1"/>
  <c r="AU392" i="1"/>
  <c r="AY392" i="1"/>
  <c r="C392" i="1"/>
  <c r="G393" i="1"/>
  <c r="K393" i="1"/>
  <c r="O393" i="1"/>
  <c r="S393" i="1"/>
  <c r="W393" i="1"/>
  <c r="AA393" i="1"/>
  <c r="AE393" i="1"/>
  <c r="AI393" i="1"/>
  <c r="AM393" i="1"/>
  <c r="AQ393" i="1"/>
  <c r="AU393" i="1"/>
  <c r="AY393" i="1"/>
  <c r="D393" i="1"/>
  <c r="H393" i="1"/>
  <c r="L393" i="1"/>
  <c r="P393" i="1"/>
  <c r="T393" i="1"/>
  <c r="X393" i="1"/>
  <c r="AB393" i="1"/>
  <c r="AF393" i="1"/>
  <c r="AJ393" i="1"/>
  <c r="AN393" i="1"/>
  <c r="AR393" i="1"/>
  <c r="AV393" i="1"/>
  <c r="AZ393" i="1"/>
  <c r="E393" i="1"/>
  <c r="I393" i="1"/>
  <c r="M393" i="1"/>
  <c r="Q393" i="1"/>
  <c r="U393" i="1"/>
  <c r="Y393" i="1"/>
  <c r="AC393" i="1"/>
  <c r="AG393" i="1"/>
  <c r="AK393" i="1"/>
  <c r="AO393" i="1"/>
  <c r="AS393" i="1"/>
  <c r="AW393" i="1"/>
  <c r="F393" i="1"/>
  <c r="J393" i="1"/>
  <c r="N393" i="1"/>
  <c r="R393" i="1"/>
  <c r="V393" i="1"/>
  <c r="Z393" i="1"/>
  <c r="AD393" i="1"/>
  <c r="AH393" i="1"/>
  <c r="AL393" i="1"/>
  <c r="AP393" i="1"/>
  <c r="AT393" i="1"/>
  <c r="AX393" i="1"/>
  <c r="C393" i="1"/>
  <c r="F394" i="1"/>
  <c r="J394" i="1"/>
  <c r="N394" i="1"/>
  <c r="R394" i="1"/>
  <c r="V394" i="1"/>
  <c r="Z394" i="1"/>
  <c r="AD394" i="1"/>
  <c r="AH394" i="1"/>
  <c r="AL394" i="1"/>
  <c r="AP394" i="1"/>
  <c r="AT394" i="1"/>
  <c r="AX394" i="1"/>
  <c r="G394" i="1"/>
  <c r="K394" i="1"/>
  <c r="O394" i="1"/>
  <c r="S394" i="1"/>
  <c r="W394" i="1"/>
  <c r="AA394" i="1"/>
  <c r="AE394" i="1"/>
  <c r="AI394" i="1"/>
  <c r="AM394" i="1"/>
  <c r="AQ394" i="1"/>
  <c r="AU394" i="1"/>
  <c r="AY394" i="1"/>
  <c r="D394" i="1"/>
  <c r="H394" i="1"/>
  <c r="L394" i="1"/>
  <c r="P394" i="1"/>
  <c r="T394" i="1"/>
  <c r="X394" i="1"/>
  <c r="AB394" i="1"/>
  <c r="AF394" i="1"/>
  <c r="AJ394" i="1"/>
  <c r="AN394" i="1"/>
  <c r="AR394" i="1"/>
  <c r="AV394" i="1"/>
  <c r="AZ394" i="1"/>
  <c r="E394" i="1"/>
  <c r="I394" i="1"/>
  <c r="M394" i="1"/>
  <c r="Q394" i="1"/>
  <c r="U394" i="1"/>
  <c r="Y394" i="1"/>
  <c r="AC394" i="1"/>
  <c r="AG394" i="1"/>
  <c r="AK394" i="1"/>
  <c r="AO394" i="1"/>
  <c r="AS394" i="1"/>
  <c r="AW394" i="1"/>
  <c r="C394" i="1"/>
  <c r="E395" i="1"/>
  <c r="I395" i="1"/>
  <c r="M395" i="1"/>
  <c r="Q395" i="1"/>
  <c r="U395" i="1"/>
  <c r="Y395" i="1"/>
  <c r="AC395" i="1"/>
  <c r="AG395" i="1"/>
  <c r="AK395" i="1"/>
  <c r="AO395" i="1"/>
  <c r="AS395" i="1"/>
  <c r="AW395" i="1"/>
  <c r="F395" i="1"/>
  <c r="J395" i="1"/>
  <c r="N395" i="1"/>
  <c r="R395" i="1"/>
  <c r="V395" i="1"/>
  <c r="Z395" i="1"/>
  <c r="AD395" i="1"/>
  <c r="AH395" i="1"/>
  <c r="AL395" i="1"/>
  <c r="AP395" i="1"/>
  <c r="AT395" i="1"/>
  <c r="AX395" i="1"/>
  <c r="G395" i="1"/>
  <c r="K395" i="1"/>
  <c r="O395" i="1"/>
  <c r="S395" i="1"/>
  <c r="W395" i="1"/>
  <c r="AA395" i="1"/>
  <c r="AE395" i="1"/>
  <c r="AI395" i="1"/>
  <c r="AM395" i="1"/>
  <c r="AQ395" i="1"/>
  <c r="AU395" i="1"/>
  <c r="AY395" i="1"/>
  <c r="D395" i="1"/>
  <c r="H395" i="1"/>
  <c r="L395" i="1"/>
  <c r="P395" i="1"/>
  <c r="T395" i="1"/>
  <c r="X395" i="1"/>
  <c r="AB395" i="1"/>
  <c r="AF395" i="1"/>
  <c r="AJ395" i="1"/>
  <c r="AN395" i="1"/>
  <c r="AR395" i="1"/>
  <c r="AV395" i="1"/>
  <c r="AZ395" i="1"/>
  <c r="C395" i="1"/>
  <c r="D396" i="1"/>
  <c r="H396" i="1"/>
  <c r="L396" i="1"/>
  <c r="P396" i="1"/>
  <c r="T396" i="1"/>
  <c r="X396" i="1"/>
  <c r="AB396" i="1"/>
  <c r="AF396" i="1"/>
  <c r="AJ396" i="1"/>
  <c r="AN396" i="1"/>
  <c r="AR396" i="1"/>
  <c r="AV396" i="1"/>
  <c r="AZ396" i="1"/>
  <c r="E396" i="1"/>
  <c r="I396" i="1"/>
  <c r="M396" i="1"/>
  <c r="Q396" i="1"/>
  <c r="U396" i="1"/>
  <c r="Y396" i="1"/>
  <c r="AC396" i="1"/>
  <c r="AG396" i="1"/>
  <c r="AK396" i="1"/>
  <c r="AO396" i="1"/>
  <c r="AS396" i="1"/>
  <c r="AW396" i="1"/>
  <c r="F396" i="1"/>
  <c r="J396" i="1"/>
  <c r="N396" i="1"/>
  <c r="R396" i="1"/>
  <c r="V396" i="1"/>
  <c r="Z396" i="1"/>
  <c r="AD396" i="1"/>
  <c r="AH396" i="1"/>
  <c r="AL396" i="1"/>
  <c r="AP396" i="1"/>
  <c r="AT396" i="1"/>
  <c r="AX396" i="1"/>
  <c r="G396" i="1"/>
  <c r="K396" i="1"/>
  <c r="O396" i="1"/>
  <c r="S396" i="1"/>
  <c r="W396" i="1"/>
  <c r="AA396" i="1"/>
  <c r="AE396" i="1"/>
  <c r="AI396" i="1"/>
  <c r="AM396" i="1"/>
  <c r="AQ396" i="1"/>
  <c r="AU396" i="1"/>
  <c r="AY396" i="1"/>
  <c r="C396" i="1"/>
  <c r="G397" i="1"/>
  <c r="K397" i="1"/>
  <c r="O397" i="1"/>
  <c r="S397" i="1"/>
  <c r="W397" i="1"/>
  <c r="AA397" i="1"/>
  <c r="AE397" i="1"/>
  <c r="AI397" i="1"/>
  <c r="AM397" i="1"/>
  <c r="AQ397" i="1"/>
  <c r="AU397" i="1"/>
  <c r="AY397" i="1"/>
  <c r="D397" i="1"/>
  <c r="H397" i="1"/>
  <c r="L397" i="1"/>
  <c r="P397" i="1"/>
  <c r="T397" i="1"/>
  <c r="X397" i="1"/>
  <c r="AB397" i="1"/>
  <c r="AF397" i="1"/>
  <c r="AJ397" i="1"/>
  <c r="AN397" i="1"/>
  <c r="AR397" i="1"/>
  <c r="AV397" i="1"/>
  <c r="AZ397" i="1"/>
  <c r="E397" i="1"/>
  <c r="I397" i="1"/>
  <c r="M397" i="1"/>
  <c r="Q397" i="1"/>
  <c r="U397" i="1"/>
  <c r="Y397" i="1"/>
  <c r="AC397" i="1"/>
  <c r="AG397" i="1"/>
  <c r="AK397" i="1"/>
  <c r="AO397" i="1"/>
  <c r="AS397" i="1"/>
  <c r="AW397" i="1"/>
  <c r="F397" i="1"/>
  <c r="J397" i="1"/>
  <c r="N397" i="1"/>
  <c r="R397" i="1"/>
  <c r="V397" i="1"/>
  <c r="Z397" i="1"/>
  <c r="AD397" i="1"/>
  <c r="AH397" i="1"/>
  <c r="AL397" i="1"/>
  <c r="AP397" i="1"/>
  <c r="AT397" i="1"/>
  <c r="AX397" i="1"/>
  <c r="C397" i="1"/>
  <c r="F398" i="1"/>
  <c r="J398" i="1"/>
  <c r="N398" i="1"/>
  <c r="R398" i="1"/>
  <c r="V398" i="1"/>
  <c r="Z398" i="1"/>
  <c r="AD398" i="1"/>
  <c r="AH398" i="1"/>
  <c r="AL398" i="1"/>
  <c r="AP398" i="1"/>
  <c r="AT398" i="1"/>
  <c r="AX398" i="1"/>
  <c r="G398" i="1"/>
  <c r="K398" i="1"/>
  <c r="O398" i="1"/>
  <c r="S398" i="1"/>
  <c r="W398" i="1"/>
  <c r="AA398" i="1"/>
  <c r="AE398" i="1"/>
  <c r="AI398" i="1"/>
  <c r="AM398" i="1"/>
  <c r="AQ398" i="1"/>
  <c r="AU398" i="1"/>
  <c r="AY398" i="1"/>
  <c r="D398" i="1"/>
  <c r="H398" i="1"/>
  <c r="L398" i="1"/>
  <c r="P398" i="1"/>
  <c r="T398" i="1"/>
  <c r="X398" i="1"/>
  <c r="AB398" i="1"/>
  <c r="AF398" i="1"/>
  <c r="AJ398" i="1"/>
  <c r="AN398" i="1"/>
  <c r="AR398" i="1"/>
  <c r="AV398" i="1"/>
  <c r="AZ398" i="1"/>
  <c r="E398" i="1"/>
  <c r="I398" i="1"/>
  <c r="M398" i="1"/>
  <c r="Q398" i="1"/>
  <c r="U398" i="1"/>
  <c r="Y398" i="1"/>
  <c r="AC398" i="1"/>
  <c r="AG398" i="1"/>
  <c r="AK398" i="1"/>
  <c r="AO398" i="1"/>
  <c r="AS398" i="1"/>
  <c r="AW398" i="1"/>
  <c r="C398" i="1"/>
  <c r="E399" i="1"/>
  <c r="I399" i="1"/>
  <c r="M399" i="1"/>
  <c r="Q399" i="1"/>
  <c r="U399" i="1"/>
  <c r="Y399" i="1"/>
  <c r="AC399" i="1"/>
  <c r="AG399" i="1"/>
  <c r="AK399" i="1"/>
  <c r="AO399" i="1"/>
  <c r="AS399" i="1"/>
  <c r="AW399" i="1"/>
  <c r="F399" i="1"/>
  <c r="J399" i="1"/>
  <c r="N399" i="1"/>
  <c r="R399" i="1"/>
  <c r="V399" i="1"/>
  <c r="Z399" i="1"/>
  <c r="AD399" i="1"/>
  <c r="AH399" i="1"/>
  <c r="AL399" i="1"/>
  <c r="AP399" i="1"/>
  <c r="AT399" i="1"/>
  <c r="AX399" i="1"/>
  <c r="G399" i="1"/>
  <c r="K399" i="1"/>
  <c r="O399" i="1"/>
  <c r="S399" i="1"/>
  <c r="W399" i="1"/>
  <c r="AA399" i="1"/>
  <c r="AE399" i="1"/>
  <c r="AI399" i="1"/>
  <c r="AM399" i="1"/>
  <c r="AQ399" i="1"/>
  <c r="AU399" i="1"/>
  <c r="AY399" i="1"/>
  <c r="D399" i="1"/>
  <c r="H399" i="1"/>
  <c r="L399" i="1"/>
  <c r="P399" i="1"/>
  <c r="T399" i="1"/>
  <c r="X399" i="1"/>
  <c r="AB399" i="1"/>
  <c r="AF399" i="1"/>
  <c r="AJ399" i="1"/>
  <c r="AN399" i="1"/>
  <c r="AR399" i="1"/>
  <c r="AV399" i="1"/>
  <c r="AZ399" i="1"/>
  <c r="C399" i="1"/>
  <c r="D400" i="1"/>
  <c r="H400" i="1"/>
  <c r="L400" i="1"/>
  <c r="P400" i="1"/>
  <c r="T400" i="1"/>
  <c r="X400" i="1"/>
  <c r="AB400" i="1"/>
  <c r="AF400" i="1"/>
  <c r="AJ400" i="1"/>
  <c r="AN400" i="1"/>
  <c r="AR400" i="1"/>
  <c r="AV400" i="1"/>
  <c r="AZ400" i="1"/>
  <c r="E400" i="1"/>
  <c r="I400" i="1"/>
  <c r="M400" i="1"/>
  <c r="Q400" i="1"/>
  <c r="U400" i="1"/>
  <c r="Y400" i="1"/>
  <c r="AC400" i="1"/>
  <c r="AG400" i="1"/>
  <c r="AK400" i="1"/>
  <c r="AO400" i="1"/>
  <c r="AS400" i="1"/>
  <c r="AW400" i="1"/>
  <c r="F400" i="1"/>
  <c r="J400" i="1"/>
  <c r="N400" i="1"/>
  <c r="R400" i="1"/>
  <c r="V400" i="1"/>
  <c r="Z400" i="1"/>
  <c r="AD400" i="1"/>
  <c r="AH400" i="1"/>
  <c r="AL400" i="1"/>
  <c r="AP400" i="1"/>
  <c r="AT400" i="1"/>
  <c r="AX400" i="1"/>
  <c r="G400" i="1"/>
  <c r="K400" i="1"/>
  <c r="O400" i="1"/>
  <c r="S400" i="1"/>
  <c r="W400" i="1"/>
  <c r="AA400" i="1"/>
  <c r="AE400" i="1"/>
  <c r="AI400" i="1"/>
  <c r="AM400" i="1"/>
  <c r="AQ400" i="1"/>
  <c r="AU400" i="1"/>
  <c r="AY400" i="1"/>
  <c r="C400" i="1"/>
  <c r="G401" i="1"/>
  <c r="K401" i="1"/>
  <c r="O401" i="1"/>
  <c r="S401" i="1"/>
  <c r="W401" i="1"/>
  <c r="AA401" i="1"/>
  <c r="AE401" i="1"/>
  <c r="AI401" i="1"/>
  <c r="AM401" i="1"/>
  <c r="AQ401" i="1"/>
  <c r="AU401" i="1"/>
  <c r="AY401" i="1"/>
  <c r="D401" i="1"/>
  <c r="H401" i="1"/>
  <c r="L401" i="1"/>
  <c r="P401" i="1"/>
  <c r="T401" i="1"/>
  <c r="X401" i="1"/>
  <c r="AB401" i="1"/>
  <c r="AF401" i="1"/>
  <c r="AJ401" i="1"/>
  <c r="AN401" i="1"/>
  <c r="AR401" i="1"/>
  <c r="AV401" i="1"/>
  <c r="AZ401" i="1"/>
  <c r="E401" i="1"/>
  <c r="I401" i="1"/>
  <c r="M401" i="1"/>
  <c r="Q401" i="1"/>
  <c r="U401" i="1"/>
  <c r="Y401" i="1"/>
  <c r="AC401" i="1"/>
  <c r="AG401" i="1"/>
  <c r="AK401" i="1"/>
  <c r="AO401" i="1"/>
  <c r="AS401" i="1"/>
  <c r="AW401" i="1"/>
  <c r="F401" i="1"/>
  <c r="J401" i="1"/>
  <c r="N401" i="1"/>
  <c r="R401" i="1"/>
  <c r="V401" i="1"/>
  <c r="Z401" i="1"/>
  <c r="AD401" i="1"/>
  <c r="AH401" i="1"/>
  <c r="AL401" i="1"/>
  <c r="AP401" i="1"/>
  <c r="AT401" i="1"/>
  <c r="AX401" i="1"/>
  <c r="C401" i="1"/>
  <c r="F402" i="1"/>
  <c r="J402" i="1"/>
  <c r="N402" i="1"/>
  <c r="R402" i="1"/>
  <c r="V402" i="1"/>
  <c r="Z402" i="1"/>
  <c r="AD402" i="1"/>
  <c r="AH402" i="1"/>
  <c r="AL402" i="1"/>
  <c r="AP402" i="1"/>
  <c r="AT402" i="1"/>
  <c r="AX402" i="1"/>
  <c r="G402" i="1"/>
  <c r="K402" i="1"/>
  <c r="O402" i="1"/>
  <c r="S402" i="1"/>
  <c r="W402" i="1"/>
  <c r="AA402" i="1"/>
  <c r="AE402" i="1"/>
  <c r="AI402" i="1"/>
  <c r="AM402" i="1"/>
  <c r="AQ402" i="1"/>
  <c r="AU402" i="1"/>
  <c r="AY402" i="1"/>
  <c r="D402" i="1"/>
  <c r="H402" i="1"/>
  <c r="L402" i="1"/>
  <c r="P402" i="1"/>
  <c r="T402" i="1"/>
  <c r="X402" i="1"/>
  <c r="AB402" i="1"/>
  <c r="AF402" i="1"/>
  <c r="AJ402" i="1"/>
  <c r="AN402" i="1"/>
  <c r="AR402" i="1"/>
  <c r="AV402" i="1"/>
  <c r="AZ402" i="1"/>
  <c r="E402" i="1"/>
  <c r="I402" i="1"/>
  <c r="M402" i="1"/>
  <c r="Q402" i="1"/>
  <c r="U402" i="1"/>
  <c r="Y402" i="1"/>
  <c r="AC402" i="1"/>
  <c r="AG402" i="1"/>
  <c r="AK402" i="1"/>
  <c r="AO402" i="1"/>
  <c r="AS402" i="1"/>
  <c r="AW402" i="1"/>
  <c r="C402" i="1"/>
  <c r="E403" i="1"/>
  <c r="I403" i="1"/>
  <c r="M403" i="1"/>
  <c r="Q403" i="1"/>
  <c r="U403" i="1"/>
  <c r="Y403" i="1"/>
  <c r="AC403" i="1"/>
  <c r="AG403" i="1"/>
  <c r="AK403" i="1"/>
  <c r="AO403" i="1"/>
  <c r="AS403" i="1"/>
  <c r="AW403" i="1"/>
  <c r="F403" i="1"/>
  <c r="J403" i="1"/>
  <c r="N403" i="1"/>
  <c r="R403" i="1"/>
  <c r="V403" i="1"/>
  <c r="Z403" i="1"/>
  <c r="AD403" i="1"/>
  <c r="AH403" i="1"/>
  <c r="AL403" i="1"/>
  <c r="AP403" i="1"/>
  <c r="AT403" i="1"/>
  <c r="AX403" i="1"/>
  <c r="G403" i="1"/>
  <c r="K403" i="1"/>
  <c r="O403" i="1"/>
  <c r="S403" i="1"/>
  <c r="W403" i="1"/>
  <c r="AA403" i="1"/>
  <c r="AE403" i="1"/>
  <c r="AI403" i="1"/>
  <c r="AM403" i="1"/>
  <c r="AQ403" i="1"/>
  <c r="AU403" i="1"/>
  <c r="AY403" i="1"/>
  <c r="D403" i="1"/>
  <c r="H403" i="1"/>
  <c r="L403" i="1"/>
  <c r="P403" i="1"/>
  <c r="T403" i="1"/>
  <c r="X403" i="1"/>
  <c r="AB403" i="1"/>
  <c r="AF403" i="1"/>
  <c r="AJ403" i="1"/>
  <c r="AN403" i="1"/>
  <c r="AR403" i="1"/>
  <c r="AV403" i="1"/>
  <c r="AZ403" i="1"/>
  <c r="C403" i="1"/>
  <c r="D404" i="1"/>
  <c r="H404" i="1"/>
  <c r="L404" i="1"/>
  <c r="P404" i="1"/>
  <c r="T404" i="1"/>
  <c r="X404" i="1"/>
  <c r="AB404" i="1"/>
  <c r="AF404" i="1"/>
  <c r="AJ404" i="1"/>
  <c r="AN404" i="1"/>
  <c r="AR404" i="1"/>
  <c r="AV404" i="1"/>
  <c r="AZ404" i="1"/>
  <c r="E404" i="1"/>
  <c r="I404" i="1"/>
  <c r="M404" i="1"/>
  <c r="Q404" i="1"/>
  <c r="U404" i="1"/>
  <c r="Y404" i="1"/>
  <c r="AC404" i="1"/>
  <c r="AG404" i="1"/>
  <c r="AK404" i="1"/>
  <c r="AO404" i="1"/>
  <c r="AS404" i="1"/>
  <c r="AW404" i="1"/>
  <c r="F404" i="1"/>
  <c r="J404" i="1"/>
  <c r="N404" i="1"/>
  <c r="R404" i="1"/>
  <c r="V404" i="1"/>
  <c r="Z404" i="1"/>
  <c r="AD404" i="1"/>
  <c r="AH404" i="1"/>
  <c r="AL404" i="1"/>
  <c r="AP404" i="1"/>
  <c r="AT404" i="1"/>
  <c r="AX404" i="1"/>
  <c r="G404" i="1"/>
  <c r="K404" i="1"/>
  <c r="O404" i="1"/>
  <c r="S404" i="1"/>
  <c r="W404" i="1"/>
  <c r="AA404" i="1"/>
  <c r="AE404" i="1"/>
  <c r="AI404" i="1"/>
  <c r="AM404" i="1"/>
  <c r="AQ404" i="1"/>
  <c r="AU404" i="1"/>
  <c r="AY404" i="1"/>
  <c r="C404" i="1"/>
  <c r="G405" i="1"/>
  <c r="K405" i="1"/>
  <c r="O405" i="1"/>
  <c r="S405" i="1"/>
  <c r="W405" i="1"/>
  <c r="AA405" i="1"/>
  <c r="AE405" i="1"/>
  <c r="AI405" i="1"/>
  <c r="AM405" i="1"/>
  <c r="AQ405" i="1"/>
  <c r="AU405" i="1"/>
  <c r="AY405" i="1"/>
  <c r="D405" i="1"/>
  <c r="H405" i="1"/>
  <c r="L405" i="1"/>
  <c r="P405" i="1"/>
  <c r="T405" i="1"/>
  <c r="X405" i="1"/>
  <c r="AB405" i="1"/>
  <c r="AF405" i="1"/>
  <c r="AJ405" i="1"/>
  <c r="AN405" i="1"/>
  <c r="AR405" i="1"/>
  <c r="AV405" i="1"/>
  <c r="AZ405" i="1"/>
  <c r="E405" i="1"/>
  <c r="I405" i="1"/>
  <c r="M405" i="1"/>
  <c r="Q405" i="1"/>
  <c r="U405" i="1"/>
  <c r="Y405" i="1"/>
  <c r="AC405" i="1"/>
  <c r="AG405" i="1"/>
  <c r="AK405" i="1"/>
  <c r="AO405" i="1"/>
  <c r="AS405" i="1"/>
  <c r="AW405" i="1"/>
  <c r="F405" i="1"/>
  <c r="J405" i="1"/>
  <c r="N405" i="1"/>
  <c r="R405" i="1"/>
  <c r="V405" i="1"/>
  <c r="Z405" i="1"/>
  <c r="AD405" i="1"/>
  <c r="AH405" i="1"/>
  <c r="AL405" i="1"/>
  <c r="AP405" i="1"/>
  <c r="AT405" i="1"/>
  <c r="AX405" i="1"/>
  <c r="C405" i="1"/>
  <c r="F406" i="1"/>
  <c r="J406" i="1"/>
  <c r="N406" i="1"/>
  <c r="R406" i="1"/>
  <c r="V406" i="1"/>
  <c r="Z406" i="1"/>
  <c r="AD406" i="1"/>
  <c r="AH406" i="1"/>
  <c r="AL406" i="1"/>
  <c r="AP406" i="1"/>
  <c r="AT406" i="1"/>
  <c r="AX406" i="1"/>
  <c r="G406" i="1"/>
  <c r="K406" i="1"/>
  <c r="O406" i="1"/>
  <c r="S406" i="1"/>
  <c r="W406" i="1"/>
  <c r="AA406" i="1"/>
  <c r="AE406" i="1"/>
  <c r="AI406" i="1"/>
  <c r="AM406" i="1"/>
  <c r="AQ406" i="1"/>
  <c r="AU406" i="1"/>
  <c r="AY406" i="1"/>
  <c r="D406" i="1"/>
  <c r="H406" i="1"/>
  <c r="L406" i="1"/>
  <c r="P406" i="1"/>
  <c r="T406" i="1"/>
  <c r="X406" i="1"/>
  <c r="AB406" i="1"/>
  <c r="AF406" i="1"/>
  <c r="AJ406" i="1"/>
  <c r="AN406" i="1"/>
  <c r="AR406" i="1"/>
  <c r="AV406" i="1"/>
  <c r="AZ406" i="1"/>
  <c r="E406" i="1"/>
  <c r="I406" i="1"/>
  <c r="M406" i="1"/>
  <c r="Q406" i="1"/>
  <c r="U406" i="1"/>
  <c r="Y406" i="1"/>
  <c r="AC406" i="1"/>
  <c r="AG406" i="1"/>
  <c r="AK406" i="1"/>
  <c r="AO406" i="1"/>
  <c r="AS406" i="1"/>
  <c r="AW406" i="1"/>
  <c r="C406" i="1"/>
  <c r="E407" i="1"/>
  <c r="I407" i="1"/>
  <c r="M407" i="1"/>
  <c r="Q407" i="1"/>
  <c r="U407" i="1"/>
  <c r="Y407" i="1"/>
  <c r="AC407" i="1"/>
  <c r="AG407" i="1"/>
  <c r="AK407" i="1"/>
  <c r="AO407" i="1"/>
  <c r="AS407" i="1"/>
  <c r="AW407" i="1"/>
  <c r="F407" i="1"/>
  <c r="J407" i="1"/>
  <c r="N407" i="1"/>
  <c r="R407" i="1"/>
  <c r="V407" i="1"/>
  <c r="Z407" i="1"/>
  <c r="AD407" i="1"/>
  <c r="AH407" i="1"/>
  <c r="AL407" i="1"/>
  <c r="AP407" i="1"/>
  <c r="AT407" i="1"/>
  <c r="AX407" i="1"/>
  <c r="G407" i="1"/>
  <c r="K407" i="1"/>
  <c r="O407" i="1"/>
  <c r="S407" i="1"/>
  <c r="W407" i="1"/>
  <c r="AA407" i="1"/>
  <c r="AE407" i="1"/>
  <c r="AI407" i="1"/>
  <c r="AM407" i="1"/>
  <c r="AQ407" i="1"/>
  <c r="AU407" i="1"/>
  <c r="AY407" i="1"/>
  <c r="D407" i="1"/>
  <c r="H407" i="1"/>
  <c r="L407" i="1"/>
  <c r="P407" i="1"/>
  <c r="T407" i="1"/>
  <c r="X407" i="1"/>
  <c r="AB407" i="1"/>
  <c r="AF407" i="1"/>
  <c r="AJ407" i="1"/>
  <c r="AN407" i="1"/>
  <c r="AR407" i="1"/>
  <c r="AV407" i="1"/>
  <c r="AZ407" i="1"/>
  <c r="C407" i="1"/>
  <c r="D408" i="1"/>
  <c r="H408" i="1"/>
  <c r="L408" i="1"/>
  <c r="P408" i="1"/>
  <c r="T408" i="1"/>
  <c r="X408" i="1"/>
  <c r="AB408" i="1"/>
  <c r="AF408" i="1"/>
  <c r="AJ408" i="1"/>
  <c r="AN408" i="1"/>
  <c r="AR408" i="1"/>
  <c r="AV408" i="1"/>
  <c r="AZ408" i="1"/>
  <c r="E408" i="1"/>
  <c r="I408" i="1"/>
  <c r="M408" i="1"/>
  <c r="Q408" i="1"/>
  <c r="U408" i="1"/>
  <c r="Y408" i="1"/>
  <c r="AC408" i="1"/>
  <c r="AG408" i="1"/>
  <c r="AK408" i="1"/>
  <c r="AO408" i="1"/>
  <c r="AS408" i="1"/>
  <c r="AW408" i="1"/>
  <c r="F408" i="1"/>
  <c r="J408" i="1"/>
  <c r="N408" i="1"/>
  <c r="R408" i="1"/>
  <c r="V408" i="1"/>
  <c r="Z408" i="1"/>
  <c r="AD408" i="1"/>
  <c r="AH408" i="1"/>
  <c r="AL408" i="1"/>
  <c r="AP408" i="1"/>
  <c r="AT408" i="1"/>
  <c r="AX408" i="1"/>
  <c r="G408" i="1"/>
  <c r="K408" i="1"/>
  <c r="O408" i="1"/>
  <c r="S408" i="1"/>
  <c r="W408" i="1"/>
  <c r="AA408" i="1"/>
  <c r="AE408" i="1"/>
  <c r="AI408" i="1"/>
  <c r="AM408" i="1"/>
  <c r="AQ408" i="1"/>
  <c r="AU408" i="1"/>
  <c r="AY408" i="1"/>
  <c r="C408" i="1"/>
  <c r="G409" i="1"/>
  <c r="K409" i="1"/>
  <c r="O409" i="1"/>
  <c r="S409" i="1"/>
  <c r="W409" i="1"/>
  <c r="AA409" i="1"/>
  <c r="AE409" i="1"/>
  <c r="AI409" i="1"/>
  <c r="AM409" i="1"/>
  <c r="AQ409" i="1"/>
  <c r="AU409" i="1"/>
  <c r="AY409" i="1"/>
  <c r="D409" i="1"/>
  <c r="H409" i="1"/>
  <c r="L409" i="1"/>
  <c r="P409" i="1"/>
  <c r="T409" i="1"/>
  <c r="X409" i="1"/>
  <c r="AB409" i="1"/>
  <c r="AF409" i="1"/>
  <c r="AJ409" i="1"/>
  <c r="AN409" i="1"/>
  <c r="AR409" i="1"/>
  <c r="AV409" i="1"/>
  <c r="AZ409" i="1"/>
  <c r="E409" i="1"/>
  <c r="I409" i="1"/>
  <c r="M409" i="1"/>
  <c r="Q409" i="1"/>
  <c r="U409" i="1"/>
  <c r="Y409" i="1"/>
  <c r="AC409" i="1"/>
  <c r="AG409" i="1"/>
  <c r="AK409" i="1"/>
  <c r="AO409" i="1"/>
  <c r="AS409" i="1"/>
  <c r="AW409" i="1"/>
  <c r="F409" i="1"/>
  <c r="J409" i="1"/>
  <c r="N409" i="1"/>
  <c r="R409" i="1"/>
  <c r="V409" i="1"/>
  <c r="Z409" i="1"/>
  <c r="AD409" i="1"/>
  <c r="AH409" i="1"/>
  <c r="AL409" i="1"/>
  <c r="AP409" i="1"/>
  <c r="AT409" i="1"/>
  <c r="AX409" i="1"/>
  <c r="C409" i="1"/>
  <c r="F410" i="1"/>
  <c r="J410" i="1"/>
  <c r="N410" i="1"/>
  <c r="R410" i="1"/>
  <c r="V410" i="1"/>
  <c r="Z410" i="1"/>
  <c r="AD410" i="1"/>
  <c r="AH410" i="1"/>
  <c r="AL410" i="1"/>
  <c r="AP410" i="1"/>
  <c r="AT410" i="1"/>
  <c r="AX410" i="1"/>
  <c r="G410" i="1"/>
  <c r="K410" i="1"/>
  <c r="O410" i="1"/>
  <c r="S410" i="1"/>
  <c r="W410" i="1"/>
  <c r="AA410" i="1"/>
  <c r="AE410" i="1"/>
  <c r="AI410" i="1"/>
  <c r="AM410" i="1"/>
  <c r="AQ410" i="1"/>
  <c r="AU410" i="1"/>
  <c r="AY410" i="1"/>
  <c r="D410" i="1"/>
  <c r="H410" i="1"/>
  <c r="L410" i="1"/>
  <c r="P410" i="1"/>
  <c r="T410" i="1"/>
  <c r="X410" i="1"/>
  <c r="AB410" i="1"/>
  <c r="AF410" i="1"/>
  <c r="AJ410" i="1"/>
  <c r="AN410" i="1"/>
  <c r="AR410" i="1"/>
  <c r="AV410" i="1"/>
  <c r="AZ410" i="1"/>
  <c r="E410" i="1"/>
  <c r="I410" i="1"/>
  <c r="M410" i="1"/>
  <c r="Q410" i="1"/>
  <c r="U410" i="1"/>
  <c r="Y410" i="1"/>
  <c r="AC410" i="1"/>
  <c r="AG410" i="1"/>
  <c r="AK410" i="1"/>
  <c r="AO410" i="1"/>
  <c r="AS410" i="1"/>
  <c r="AW410" i="1"/>
  <c r="C410" i="1"/>
  <c r="E411" i="1"/>
  <c r="I411" i="1"/>
  <c r="M411" i="1"/>
  <c r="Q411" i="1"/>
  <c r="U411" i="1"/>
  <c r="Y411" i="1"/>
  <c r="AC411" i="1"/>
  <c r="AG411" i="1"/>
  <c r="AK411" i="1"/>
  <c r="AO411" i="1"/>
  <c r="AS411" i="1"/>
  <c r="AW411" i="1"/>
  <c r="F411" i="1"/>
  <c r="J411" i="1"/>
  <c r="N411" i="1"/>
  <c r="R411" i="1"/>
  <c r="V411" i="1"/>
  <c r="Z411" i="1"/>
  <c r="AD411" i="1"/>
  <c r="AH411" i="1"/>
  <c r="AL411" i="1"/>
  <c r="AP411" i="1"/>
  <c r="AT411" i="1"/>
  <c r="AX411" i="1"/>
  <c r="G411" i="1"/>
  <c r="K411" i="1"/>
  <c r="O411" i="1"/>
  <c r="S411" i="1"/>
  <c r="W411" i="1"/>
  <c r="AA411" i="1"/>
  <c r="AE411" i="1"/>
  <c r="AI411" i="1"/>
  <c r="AM411" i="1"/>
  <c r="AQ411" i="1"/>
  <c r="AU411" i="1"/>
  <c r="AY411" i="1"/>
  <c r="D411" i="1"/>
  <c r="H411" i="1"/>
  <c r="L411" i="1"/>
  <c r="P411" i="1"/>
  <c r="T411" i="1"/>
  <c r="X411" i="1"/>
  <c r="AB411" i="1"/>
  <c r="AF411" i="1"/>
  <c r="AJ411" i="1"/>
  <c r="AN411" i="1"/>
  <c r="AR411" i="1"/>
  <c r="AV411" i="1"/>
  <c r="AZ411" i="1"/>
  <c r="C411" i="1"/>
  <c r="D412" i="1"/>
  <c r="H412" i="1"/>
  <c r="L412" i="1"/>
  <c r="P412" i="1"/>
  <c r="T412" i="1"/>
  <c r="X412" i="1"/>
  <c r="AB412" i="1"/>
  <c r="AF412" i="1"/>
  <c r="AJ412" i="1"/>
  <c r="AN412" i="1"/>
  <c r="AR412" i="1"/>
  <c r="AV412" i="1"/>
  <c r="AZ412" i="1"/>
  <c r="E412" i="1"/>
  <c r="I412" i="1"/>
  <c r="M412" i="1"/>
  <c r="Q412" i="1"/>
  <c r="U412" i="1"/>
  <c r="Y412" i="1"/>
  <c r="AC412" i="1"/>
  <c r="AG412" i="1"/>
  <c r="AK412" i="1"/>
  <c r="AO412" i="1"/>
  <c r="AS412" i="1"/>
  <c r="AW412" i="1"/>
  <c r="F412" i="1"/>
  <c r="J412" i="1"/>
  <c r="N412" i="1"/>
  <c r="R412" i="1"/>
  <c r="V412" i="1"/>
  <c r="Z412" i="1"/>
  <c r="AD412" i="1"/>
  <c r="AH412" i="1"/>
  <c r="AL412" i="1"/>
  <c r="AP412" i="1"/>
  <c r="AT412" i="1"/>
  <c r="AX412" i="1"/>
  <c r="G412" i="1"/>
  <c r="K412" i="1"/>
  <c r="O412" i="1"/>
  <c r="S412" i="1"/>
  <c r="W412" i="1"/>
  <c r="AA412" i="1"/>
  <c r="AE412" i="1"/>
  <c r="AI412" i="1"/>
  <c r="AM412" i="1"/>
  <c r="AQ412" i="1"/>
  <c r="AU412" i="1"/>
  <c r="AY412" i="1"/>
  <c r="C412" i="1"/>
  <c r="G413" i="1"/>
  <c r="K413" i="1"/>
  <c r="O413" i="1"/>
  <c r="S413" i="1"/>
  <c r="W413" i="1"/>
  <c r="AA413" i="1"/>
  <c r="AE413" i="1"/>
  <c r="AI413" i="1"/>
  <c r="AM413" i="1"/>
  <c r="AQ413" i="1"/>
  <c r="AU413" i="1"/>
  <c r="AY413" i="1"/>
  <c r="D413" i="1"/>
  <c r="H413" i="1"/>
  <c r="L413" i="1"/>
  <c r="P413" i="1"/>
  <c r="T413" i="1"/>
  <c r="X413" i="1"/>
  <c r="AB413" i="1"/>
  <c r="AF413" i="1"/>
  <c r="AJ413" i="1"/>
  <c r="AN413" i="1"/>
  <c r="AR413" i="1"/>
  <c r="AV413" i="1"/>
  <c r="AZ413" i="1"/>
  <c r="E413" i="1"/>
  <c r="I413" i="1"/>
  <c r="M413" i="1"/>
  <c r="Q413" i="1"/>
  <c r="U413" i="1"/>
  <c r="Y413" i="1"/>
  <c r="AC413" i="1"/>
  <c r="AG413" i="1"/>
  <c r="AK413" i="1"/>
  <c r="AO413" i="1"/>
  <c r="AS413" i="1"/>
  <c r="AW413" i="1"/>
  <c r="F413" i="1"/>
  <c r="J413" i="1"/>
  <c r="N413" i="1"/>
  <c r="R413" i="1"/>
  <c r="V413" i="1"/>
  <c r="Z413" i="1"/>
  <c r="AD413" i="1"/>
  <c r="AH413" i="1"/>
  <c r="AL413" i="1"/>
  <c r="AP413" i="1"/>
  <c r="AT413" i="1"/>
  <c r="AX413" i="1"/>
  <c r="C413" i="1"/>
  <c r="F414" i="1"/>
  <c r="J414" i="1"/>
  <c r="N414" i="1"/>
  <c r="R414" i="1"/>
  <c r="V414" i="1"/>
  <c r="Z414" i="1"/>
  <c r="AD414" i="1"/>
  <c r="AH414" i="1"/>
  <c r="AL414" i="1"/>
  <c r="AP414" i="1"/>
  <c r="AT414" i="1"/>
  <c r="AX414" i="1"/>
  <c r="G414" i="1"/>
  <c r="K414" i="1"/>
  <c r="O414" i="1"/>
  <c r="S414" i="1"/>
  <c r="W414" i="1"/>
  <c r="AA414" i="1"/>
  <c r="AE414" i="1"/>
  <c r="AI414" i="1"/>
  <c r="AM414" i="1"/>
  <c r="AQ414" i="1"/>
  <c r="AU414" i="1"/>
  <c r="AY414" i="1"/>
  <c r="D414" i="1"/>
  <c r="H414" i="1"/>
  <c r="L414" i="1"/>
  <c r="P414" i="1"/>
  <c r="T414" i="1"/>
  <c r="X414" i="1"/>
  <c r="AB414" i="1"/>
  <c r="AF414" i="1"/>
  <c r="AJ414" i="1"/>
  <c r="AN414" i="1"/>
  <c r="AR414" i="1"/>
  <c r="AV414" i="1"/>
  <c r="AZ414" i="1"/>
  <c r="E414" i="1"/>
  <c r="I414" i="1"/>
  <c r="M414" i="1"/>
  <c r="Q414" i="1"/>
  <c r="U414" i="1"/>
  <c r="Y414" i="1"/>
  <c r="AC414" i="1"/>
  <c r="AG414" i="1"/>
  <c r="AK414" i="1"/>
  <c r="AO414" i="1"/>
  <c r="AS414" i="1"/>
  <c r="AW414" i="1"/>
  <c r="C414" i="1"/>
  <c r="E415" i="1"/>
  <c r="I415" i="1"/>
  <c r="M415" i="1"/>
  <c r="Q415" i="1"/>
  <c r="U415" i="1"/>
  <c r="Y415" i="1"/>
  <c r="AC415" i="1"/>
  <c r="AG415" i="1"/>
  <c r="AK415" i="1"/>
  <c r="AO415" i="1"/>
  <c r="AS415" i="1"/>
  <c r="AW415" i="1"/>
  <c r="F415" i="1"/>
  <c r="J415" i="1"/>
  <c r="N415" i="1"/>
  <c r="R415" i="1"/>
  <c r="V415" i="1"/>
  <c r="Z415" i="1"/>
  <c r="AD415" i="1"/>
  <c r="AH415" i="1"/>
  <c r="AL415" i="1"/>
  <c r="AP415" i="1"/>
  <c r="AT415" i="1"/>
  <c r="AX415" i="1"/>
  <c r="G415" i="1"/>
  <c r="K415" i="1"/>
  <c r="O415" i="1"/>
  <c r="S415" i="1"/>
  <c r="W415" i="1"/>
  <c r="AA415" i="1"/>
  <c r="AE415" i="1"/>
  <c r="AI415" i="1"/>
  <c r="AM415" i="1"/>
  <c r="AQ415" i="1"/>
  <c r="AU415" i="1"/>
  <c r="AY415" i="1"/>
  <c r="D415" i="1"/>
  <c r="H415" i="1"/>
  <c r="L415" i="1"/>
  <c r="P415" i="1"/>
  <c r="T415" i="1"/>
  <c r="X415" i="1"/>
  <c r="AB415" i="1"/>
  <c r="AF415" i="1"/>
  <c r="AJ415" i="1"/>
  <c r="AN415" i="1"/>
  <c r="AR415" i="1"/>
  <c r="AV415" i="1"/>
  <c r="AZ415" i="1"/>
  <c r="C415" i="1"/>
  <c r="D416" i="1"/>
  <c r="H416" i="1"/>
  <c r="L416" i="1"/>
  <c r="P416" i="1"/>
  <c r="T416" i="1"/>
  <c r="X416" i="1"/>
  <c r="AB416" i="1"/>
  <c r="AF416" i="1"/>
  <c r="AJ416" i="1"/>
  <c r="AN416" i="1"/>
  <c r="AR416" i="1"/>
  <c r="AV416" i="1"/>
  <c r="AZ416" i="1"/>
  <c r="E416" i="1"/>
  <c r="I416" i="1"/>
  <c r="M416" i="1"/>
  <c r="Q416" i="1"/>
  <c r="U416" i="1"/>
  <c r="Y416" i="1"/>
  <c r="AC416" i="1"/>
  <c r="AG416" i="1"/>
  <c r="AK416" i="1"/>
  <c r="AO416" i="1"/>
  <c r="AS416" i="1"/>
  <c r="AW416" i="1"/>
  <c r="F416" i="1"/>
  <c r="J416" i="1"/>
  <c r="N416" i="1"/>
  <c r="R416" i="1"/>
  <c r="V416" i="1"/>
  <c r="Z416" i="1"/>
  <c r="AD416" i="1"/>
  <c r="AH416" i="1"/>
  <c r="AL416" i="1"/>
  <c r="AP416" i="1"/>
  <c r="AT416" i="1"/>
  <c r="AX416" i="1"/>
  <c r="G416" i="1"/>
  <c r="K416" i="1"/>
  <c r="O416" i="1"/>
  <c r="S416" i="1"/>
  <c r="W416" i="1"/>
  <c r="AA416" i="1"/>
  <c r="AE416" i="1"/>
  <c r="AI416" i="1"/>
  <c r="AM416" i="1"/>
  <c r="AQ416" i="1"/>
  <c r="AU416" i="1"/>
  <c r="AY416" i="1"/>
  <c r="C416" i="1"/>
  <c r="G417" i="1"/>
  <c r="K417" i="1"/>
  <c r="O417" i="1"/>
  <c r="S417" i="1"/>
  <c r="W417" i="1"/>
  <c r="AA417" i="1"/>
  <c r="AE417" i="1"/>
  <c r="AI417" i="1"/>
  <c r="AM417" i="1"/>
  <c r="AQ417" i="1"/>
  <c r="AU417" i="1"/>
  <c r="AY417" i="1"/>
  <c r="D417" i="1"/>
  <c r="H417" i="1"/>
  <c r="L417" i="1"/>
  <c r="P417" i="1"/>
  <c r="T417" i="1"/>
  <c r="X417" i="1"/>
  <c r="AB417" i="1"/>
  <c r="AF417" i="1"/>
  <c r="AJ417" i="1"/>
  <c r="AN417" i="1"/>
  <c r="AR417" i="1"/>
  <c r="AV417" i="1"/>
  <c r="AZ417" i="1"/>
  <c r="E417" i="1"/>
  <c r="I417" i="1"/>
  <c r="M417" i="1"/>
  <c r="Q417" i="1"/>
  <c r="U417" i="1"/>
  <c r="Y417" i="1"/>
  <c r="AC417" i="1"/>
  <c r="AG417" i="1"/>
  <c r="AK417" i="1"/>
  <c r="AO417" i="1"/>
  <c r="AS417" i="1"/>
  <c r="AW417" i="1"/>
  <c r="F417" i="1"/>
  <c r="J417" i="1"/>
  <c r="N417" i="1"/>
  <c r="R417" i="1"/>
  <c r="V417" i="1"/>
  <c r="Z417" i="1"/>
  <c r="AD417" i="1"/>
  <c r="AH417" i="1"/>
  <c r="AL417" i="1"/>
  <c r="AP417" i="1"/>
  <c r="AT417" i="1"/>
  <c r="AX417" i="1"/>
  <c r="C417" i="1"/>
  <c r="F418" i="1"/>
  <c r="J418" i="1"/>
  <c r="N418" i="1"/>
  <c r="R418" i="1"/>
  <c r="V418" i="1"/>
  <c r="Z418" i="1"/>
  <c r="AD418" i="1"/>
  <c r="AH418" i="1"/>
  <c r="AL418" i="1"/>
  <c r="AP418" i="1"/>
  <c r="AT418" i="1"/>
  <c r="AX418" i="1"/>
  <c r="G418" i="1"/>
  <c r="K418" i="1"/>
  <c r="O418" i="1"/>
  <c r="S418" i="1"/>
  <c r="W418" i="1"/>
  <c r="AA418" i="1"/>
  <c r="AE418" i="1"/>
  <c r="AI418" i="1"/>
  <c r="AM418" i="1"/>
  <c r="AQ418" i="1"/>
  <c r="AU418" i="1"/>
  <c r="AY418" i="1"/>
  <c r="D418" i="1"/>
  <c r="H418" i="1"/>
  <c r="L418" i="1"/>
  <c r="P418" i="1"/>
  <c r="T418" i="1"/>
  <c r="X418" i="1"/>
  <c r="AB418" i="1"/>
  <c r="AF418" i="1"/>
  <c r="AJ418" i="1"/>
  <c r="AN418" i="1"/>
  <c r="AR418" i="1"/>
  <c r="AV418" i="1"/>
  <c r="AZ418" i="1"/>
  <c r="E418" i="1"/>
  <c r="I418" i="1"/>
  <c r="M418" i="1"/>
  <c r="Q418" i="1"/>
  <c r="U418" i="1"/>
  <c r="Y418" i="1"/>
  <c r="AC418" i="1"/>
  <c r="AG418" i="1"/>
  <c r="AK418" i="1"/>
  <c r="AO418" i="1"/>
  <c r="AS418" i="1"/>
  <c r="AW418" i="1"/>
  <c r="C418" i="1"/>
  <c r="E419" i="1"/>
  <c r="I419" i="1"/>
  <c r="M419" i="1"/>
  <c r="Q419" i="1"/>
  <c r="U419" i="1"/>
  <c r="Y419" i="1"/>
  <c r="AC419" i="1"/>
  <c r="AG419" i="1"/>
  <c r="AK419" i="1"/>
  <c r="AO419" i="1"/>
  <c r="AS419" i="1"/>
  <c r="AW419" i="1"/>
  <c r="F419" i="1"/>
  <c r="J419" i="1"/>
  <c r="N419" i="1"/>
  <c r="R419" i="1"/>
  <c r="V419" i="1"/>
  <c r="Z419" i="1"/>
  <c r="AD419" i="1"/>
  <c r="AH419" i="1"/>
  <c r="AL419" i="1"/>
  <c r="AP419" i="1"/>
  <c r="AT419" i="1"/>
  <c r="AX419" i="1"/>
  <c r="G419" i="1"/>
  <c r="K419" i="1"/>
  <c r="O419" i="1"/>
  <c r="S419" i="1"/>
  <c r="W419" i="1"/>
  <c r="AA419" i="1"/>
  <c r="AE419" i="1"/>
  <c r="AI419" i="1"/>
  <c r="AM419" i="1"/>
  <c r="AQ419" i="1"/>
  <c r="AU419" i="1"/>
  <c r="AY419" i="1"/>
  <c r="D419" i="1"/>
  <c r="H419" i="1"/>
  <c r="L419" i="1"/>
  <c r="P419" i="1"/>
  <c r="T419" i="1"/>
  <c r="X419" i="1"/>
  <c r="AB419" i="1"/>
  <c r="AF419" i="1"/>
  <c r="AJ419" i="1"/>
  <c r="AN419" i="1"/>
  <c r="AR419" i="1"/>
  <c r="AV419" i="1"/>
  <c r="AZ419" i="1"/>
  <c r="C419" i="1"/>
  <c r="D420" i="1"/>
  <c r="H420" i="1"/>
  <c r="L420" i="1"/>
  <c r="P420" i="1"/>
  <c r="T420" i="1"/>
  <c r="X420" i="1"/>
  <c r="AB420" i="1"/>
  <c r="AF420" i="1"/>
  <c r="AJ420" i="1"/>
  <c r="AN420" i="1"/>
  <c r="AR420" i="1"/>
  <c r="AV420" i="1"/>
  <c r="AZ420" i="1"/>
  <c r="E420" i="1"/>
  <c r="I420" i="1"/>
  <c r="M420" i="1"/>
  <c r="Q420" i="1"/>
  <c r="U420" i="1"/>
  <c r="Y420" i="1"/>
  <c r="AC420" i="1"/>
  <c r="AG420" i="1"/>
  <c r="AK420" i="1"/>
  <c r="AO420" i="1"/>
  <c r="AS420" i="1"/>
  <c r="AW420" i="1"/>
  <c r="F420" i="1"/>
  <c r="J420" i="1"/>
  <c r="N420" i="1"/>
  <c r="R420" i="1"/>
  <c r="V420" i="1"/>
  <c r="Z420" i="1"/>
  <c r="AD420" i="1"/>
  <c r="AH420" i="1"/>
  <c r="AL420" i="1"/>
  <c r="AP420" i="1"/>
  <c r="AT420" i="1"/>
  <c r="AX420" i="1"/>
  <c r="G420" i="1"/>
  <c r="K420" i="1"/>
  <c r="O420" i="1"/>
  <c r="S420" i="1"/>
  <c r="W420" i="1"/>
  <c r="AA420" i="1"/>
  <c r="AE420" i="1"/>
  <c r="AI420" i="1"/>
  <c r="AM420" i="1"/>
  <c r="AQ420" i="1"/>
  <c r="AU420" i="1"/>
  <c r="AY420" i="1"/>
  <c r="C420" i="1"/>
  <c r="G421" i="1"/>
  <c r="K421" i="1"/>
  <c r="O421" i="1"/>
  <c r="S421" i="1"/>
  <c r="W421" i="1"/>
  <c r="AA421" i="1"/>
  <c r="AE421" i="1"/>
  <c r="AI421" i="1"/>
  <c r="AM421" i="1"/>
  <c r="AQ421" i="1"/>
  <c r="AU421" i="1"/>
  <c r="AY421" i="1"/>
  <c r="D421" i="1"/>
  <c r="H421" i="1"/>
  <c r="L421" i="1"/>
  <c r="P421" i="1"/>
  <c r="T421" i="1"/>
  <c r="X421" i="1"/>
  <c r="AB421" i="1"/>
  <c r="AF421" i="1"/>
  <c r="AJ421" i="1"/>
  <c r="AN421" i="1"/>
  <c r="AR421" i="1"/>
  <c r="AV421" i="1"/>
  <c r="AZ421" i="1"/>
  <c r="E421" i="1"/>
  <c r="I421" i="1"/>
  <c r="M421" i="1"/>
  <c r="Q421" i="1"/>
  <c r="U421" i="1"/>
  <c r="Y421" i="1"/>
  <c r="AC421" i="1"/>
  <c r="AG421" i="1"/>
  <c r="AK421" i="1"/>
  <c r="AO421" i="1"/>
  <c r="AS421" i="1"/>
  <c r="AW421" i="1"/>
  <c r="F421" i="1"/>
  <c r="J421" i="1"/>
  <c r="N421" i="1"/>
  <c r="R421" i="1"/>
  <c r="V421" i="1"/>
  <c r="Z421" i="1"/>
  <c r="AD421" i="1"/>
  <c r="AH421" i="1"/>
  <c r="AL421" i="1"/>
  <c r="AP421" i="1"/>
  <c r="AT421" i="1"/>
  <c r="AX421" i="1"/>
  <c r="C421" i="1"/>
  <c r="F422" i="1"/>
  <c r="J422" i="1"/>
  <c r="N422" i="1"/>
  <c r="R422" i="1"/>
  <c r="V422" i="1"/>
  <c r="Z422" i="1"/>
  <c r="AD422" i="1"/>
  <c r="AH422" i="1"/>
  <c r="AL422" i="1"/>
  <c r="AP422" i="1"/>
  <c r="AT422" i="1"/>
  <c r="AX422" i="1"/>
  <c r="G422" i="1"/>
  <c r="K422" i="1"/>
  <c r="O422" i="1"/>
  <c r="S422" i="1"/>
  <c r="W422" i="1"/>
  <c r="AA422" i="1"/>
  <c r="AE422" i="1"/>
  <c r="AI422" i="1"/>
  <c r="AM422" i="1"/>
  <c r="AQ422" i="1"/>
  <c r="AU422" i="1"/>
  <c r="AY422" i="1"/>
  <c r="D422" i="1"/>
  <c r="H422" i="1"/>
  <c r="L422" i="1"/>
  <c r="P422" i="1"/>
  <c r="T422" i="1"/>
  <c r="X422" i="1"/>
  <c r="AB422" i="1"/>
  <c r="AF422" i="1"/>
  <c r="AJ422" i="1"/>
  <c r="AN422" i="1"/>
  <c r="AR422" i="1"/>
  <c r="AV422" i="1"/>
  <c r="AZ422" i="1"/>
  <c r="E422" i="1"/>
  <c r="I422" i="1"/>
  <c r="M422" i="1"/>
  <c r="Q422" i="1"/>
  <c r="U422" i="1"/>
  <c r="Y422" i="1"/>
  <c r="AC422" i="1"/>
  <c r="AG422" i="1"/>
  <c r="AK422" i="1"/>
  <c r="AO422" i="1"/>
  <c r="AS422" i="1"/>
  <c r="AW422" i="1"/>
  <c r="C422" i="1"/>
  <c r="E423" i="1"/>
  <c r="I423" i="1"/>
  <c r="M423" i="1"/>
  <c r="Q423" i="1"/>
  <c r="U423" i="1"/>
  <c r="Y423" i="1"/>
  <c r="AC423" i="1"/>
  <c r="AG423" i="1"/>
  <c r="AK423" i="1"/>
  <c r="AO423" i="1"/>
  <c r="AS423" i="1"/>
  <c r="AW423" i="1"/>
  <c r="F423" i="1"/>
  <c r="J423" i="1"/>
  <c r="N423" i="1"/>
  <c r="R423" i="1"/>
  <c r="V423" i="1"/>
  <c r="Z423" i="1"/>
  <c r="AD423" i="1"/>
  <c r="AH423" i="1"/>
  <c r="AL423" i="1"/>
  <c r="AP423" i="1"/>
  <c r="AT423" i="1"/>
  <c r="AX423" i="1"/>
  <c r="G423" i="1"/>
  <c r="K423" i="1"/>
  <c r="O423" i="1"/>
  <c r="S423" i="1"/>
  <c r="W423" i="1"/>
  <c r="AA423" i="1"/>
  <c r="AE423" i="1"/>
  <c r="AI423" i="1"/>
  <c r="AM423" i="1"/>
  <c r="AQ423" i="1"/>
  <c r="AU423" i="1"/>
  <c r="AY423" i="1"/>
  <c r="D423" i="1"/>
  <c r="H423" i="1"/>
  <c r="L423" i="1"/>
  <c r="P423" i="1"/>
  <c r="T423" i="1"/>
  <c r="X423" i="1"/>
  <c r="AB423" i="1"/>
  <c r="AF423" i="1"/>
  <c r="AJ423" i="1"/>
  <c r="AN423" i="1"/>
  <c r="AR423" i="1"/>
  <c r="AV423" i="1"/>
  <c r="AZ423" i="1"/>
  <c r="C423" i="1"/>
  <c r="D424" i="1"/>
  <c r="H424" i="1"/>
  <c r="L424" i="1"/>
  <c r="P424" i="1"/>
  <c r="T424" i="1"/>
  <c r="X424" i="1"/>
  <c r="AB424" i="1"/>
  <c r="AF424" i="1"/>
  <c r="AJ424" i="1"/>
  <c r="AN424" i="1"/>
  <c r="AR424" i="1"/>
  <c r="AV424" i="1"/>
  <c r="AZ424" i="1"/>
  <c r="E424" i="1"/>
  <c r="I424" i="1"/>
  <c r="M424" i="1"/>
  <c r="Q424" i="1"/>
  <c r="U424" i="1"/>
  <c r="Y424" i="1"/>
  <c r="AC424" i="1"/>
  <c r="AG424" i="1"/>
  <c r="AK424" i="1"/>
  <c r="AO424" i="1"/>
  <c r="AS424" i="1"/>
  <c r="AW424" i="1"/>
  <c r="F424" i="1"/>
  <c r="J424" i="1"/>
  <c r="N424" i="1"/>
  <c r="R424" i="1"/>
  <c r="V424" i="1"/>
  <c r="Z424" i="1"/>
  <c r="AD424" i="1"/>
  <c r="AH424" i="1"/>
  <c r="AL424" i="1"/>
  <c r="AP424" i="1"/>
  <c r="AT424" i="1"/>
  <c r="AX424" i="1"/>
  <c r="G424" i="1"/>
  <c r="K424" i="1"/>
  <c r="O424" i="1"/>
  <c r="S424" i="1"/>
  <c r="W424" i="1"/>
  <c r="AA424" i="1"/>
  <c r="AE424" i="1"/>
  <c r="AI424" i="1"/>
  <c r="AM424" i="1"/>
  <c r="AQ424" i="1"/>
  <c r="AU424" i="1"/>
  <c r="AY424" i="1"/>
  <c r="C424" i="1"/>
  <c r="G425" i="1"/>
  <c r="K425" i="1"/>
  <c r="O425" i="1"/>
  <c r="S425" i="1"/>
  <c r="W425" i="1"/>
  <c r="AA425" i="1"/>
  <c r="AE425" i="1"/>
  <c r="AI425" i="1"/>
  <c r="AM425" i="1"/>
  <c r="AQ425" i="1"/>
  <c r="AU425" i="1"/>
  <c r="AY425" i="1"/>
  <c r="D425" i="1"/>
  <c r="H425" i="1"/>
  <c r="L425" i="1"/>
  <c r="P425" i="1"/>
  <c r="T425" i="1"/>
  <c r="X425" i="1"/>
  <c r="AB425" i="1"/>
  <c r="AF425" i="1"/>
  <c r="AJ425" i="1"/>
  <c r="AN425" i="1"/>
  <c r="AR425" i="1"/>
  <c r="AV425" i="1"/>
  <c r="AZ425" i="1"/>
  <c r="E425" i="1"/>
  <c r="I425" i="1"/>
  <c r="M425" i="1"/>
  <c r="Q425" i="1"/>
  <c r="U425" i="1"/>
  <c r="Y425" i="1"/>
  <c r="AC425" i="1"/>
  <c r="AG425" i="1"/>
  <c r="AK425" i="1"/>
  <c r="AO425" i="1"/>
  <c r="AS425" i="1"/>
  <c r="AW425" i="1"/>
  <c r="F425" i="1"/>
  <c r="J425" i="1"/>
  <c r="N425" i="1"/>
  <c r="R425" i="1"/>
  <c r="V425" i="1"/>
  <c r="Z425" i="1"/>
  <c r="AD425" i="1"/>
  <c r="AH425" i="1"/>
  <c r="AL425" i="1"/>
  <c r="AP425" i="1"/>
  <c r="AT425" i="1"/>
  <c r="AX425" i="1"/>
  <c r="C425" i="1"/>
  <c r="F426" i="1"/>
  <c r="J426" i="1"/>
  <c r="N426" i="1"/>
  <c r="R426" i="1"/>
  <c r="V426" i="1"/>
  <c r="Z426" i="1"/>
  <c r="AD426" i="1"/>
  <c r="AH426" i="1"/>
  <c r="AL426" i="1"/>
  <c r="AP426" i="1"/>
  <c r="AT426" i="1"/>
  <c r="AX426" i="1"/>
  <c r="G426" i="1"/>
  <c r="K426" i="1"/>
  <c r="O426" i="1"/>
  <c r="S426" i="1"/>
  <c r="W426" i="1"/>
  <c r="AA426" i="1"/>
  <c r="AE426" i="1"/>
  <c r="AI426" i="1"/>
  <c r="AM426" i="1"/>
  <c r="AQ426" i="1"/>
  <c r="AU426" i="1"/>
  <c r="AY426" i="1"/>
  <c r="D426" i="1"/>
  <c r="H426" i="1"/>
  <c r="L426" i="1"/>
  <c r="P426" i="1"/>
  <c r="T426" i="1"/>
  <c r="X426" i="1"/>
  <c r="AB426" i="1"/>
  <c r="AF426" i="1"/>
  <c r="AJ426" i="1"/>
  <c r="AN426" i="1"/>
  <c r="AR426" i="1"/>
  <c r="AV426" i="1"/>
  <c r="AZ426" i="1"/>
  <c r="E426" i="1"/>
  <c r="I426" i="1"/>
  <c r="M426" i="1"/>
  <c r="Q426" i="1"/>
  <c r="U426" i="1"/>
  <c r="Y426" i="1"/>
  <c r="AC426" i="1"/>
  <c r="AG426" i="1"/>
  <c r="AK426" i="1"/>
  <c r="AO426" i="1"/>
  <c r="AS426" i="1"/>
  <c r="AW426" i="1"/>
  <c r="C426" i="1"/>
  <c r="E427" i="1"/>
  <c r="I427" i="1"/>
  <c r="M427" i="1"/>
  <c r="Q427" i="1"/>
  <c r="U427" i="1"/>
  <c r="Y427" i="1"/>
  <c r="AC427" i="1"/>
  <c r="AG427" i="1"/>
  <c r="AK427" i="1"/>
  <c r="AO427" i="1"/>
  <c r="AS427" i="1"/>
  <c r="AW427" i="1"/>
  <c r="F427" i="1"/>
  <c r="J427" i="1"/>
  <c r="N427" i="1"/>
  <c r="R427" i="1"/>
  <c r="V427" i="1"/>
  <c r="Z427" i="1"/>
  <c r="AD427" i="1"/>
  <c r="AH427" i="1"/>
  <c r="AL427" i="1"/>
  <c r="AP427" i="1"/>
  <c r="AT427" i="1"/>
  <c r="AX427" i="1"/>
  <c r="G427" i="1"/>
  <c r="K427" i="1"/>
  <c r="O427" i="1"/>
  <c r="S427" i="1"/>
  <c r="W427" i="1"/>
  <c r="AA427" i="1"/>
  <c r="AE427" i="1"/>
  <c r="AI427" i="1"/>
  <c r="AM427" i="1"/>
  <c r="AQ427" i="1"/>
  <c r="AU427" i="1"/>
  <c r="AY427" i="1"/>
  <c r="D427" i="1"/>
  <c r="H427" i="1"/>
  <c r="L427" i="1"/>
  <c r="P427" i="1"/>
  <c r="T427" i="1"/>
  <c r="X427" i="1"/>
  <c r="AB427" i="1"/>
  <c r="AF427" i="1"/>
  <c r="AJ427" i="1"/>
  <c r="AN427" i="1"/>
  <c r="AR427" i="1"/>
  <c r="AV427" i="1"/>
  <c r="AZ427" i="1"/>
  <c r="C427" i="1"/>
  <c r="D428" i="1"/>
  <c r="H428" i="1"/>
  <c r="L428" i="1"/>
  <c r="P428" i="1"/>
  <c r="T428" i="1"/>
  <c r="X428" i="1"/>
  <c r="AB428" i="1"/>
  <c r="AF428" i="1"/>
  <c r="AJ428" i="1"/>
  <c r="AN428" i="1"/>
  <c r="AR428" i="1"/>
  <c r="AV428" i="1"/>
  <c r="AZ428" i="1"/>
  <c r="E428" i="1"/>
  <c r="I428" i="1"/>
  <c r="M428" i="1"/>
  <c r="Q428" i="1"/>
  <c r="U428" i="1"/>
  <c r="Y428" i="1"/>
  <c r="AC428" i="1"/>
  <c r="AG428" i="1"/>
  <c r="AK428" i="1"/>
  <c r="AO428" i="1"/>
  <c r="AS428" i="1"/>
  <c r="AW428" i="1"/>
  <c r="F428" i="1"/>
  <c r="J428" i="1"/>
  <c r="N428" i="1"/>
  <c r="R428" i="1"/>
  <c r="V428" i="1"/>
  <c r="Z428" i="1"/>
  <c r="AD428" i="1"/>
  <c r="AH428" i="1"/>
  <c r="AL428" i="1"/>
  <c r="AP428" i="1"/>
  <c r="AT428" i="1"/>
  <c r="AX428" i="1"/>
  <c r="G428" i="1"/>
  <c r="K428" i="1"/>
  <c r="O428" i="1"/>
  <c r="S428" i="1"/>
  <c r="W428" i="1"/>
  <c r="AA428" i="1"/>
  <c r="AE428" i="1"/>
  <c r="AI428" i="1"/>
  <c r="AM428" i="1"/>
  <c r="AQ428" i="1"/>
  <c r="AU428" i="1"/>
  <c r="AY428" i="1"/>
  <c r="C428" i="1"/>
  <c r="G429" i="1"/>
  <c r="K429" i="1"/>
  <c r="O429" i="1"/>
  <c r="S429" i="1"/>
  <c r="W429" i="1"/>
  <c r="AA429" i="1"/>
  <c r="AE429" i="1"/>
  <c r="AI429" i="1"/>
  <c r="AM429" i="1"/>
  <c r="AQ429" i="1"/>
  <c r="AU429" i="1"/>
  <c r="AY429" i="1"/>
  <c r="D429" i="1"/>
  <c r="H429" i="1"/>
  <c r="L429" i="1"/>
  <c r="P429" i="1"/>
  <c r="T429" i="1"/>
  <c r="X429" i="1"/>
  <c r="AB429" i="1"/>
  <c r="AF429" i="1"/>
  <c r="AJ429" i="1"/>
  <c r="AN429" i="1"/>
  <c r="AR429" i="1"/>
  <c r="AV429" i="1"/>
  <c r="AZ429" i="1"/>
  <c r="E429" i="1"/>
  <c r="I429" i="1"/>
  <c r="M429" i="1"/>
  <c r="Q429" i="1"/>
  <c r="U429" i="1"/>
  <c r="Y429" i="1"/>
  <c r="AC429" i="1"/>
  <c r="AG429" i="1"/>
  <c r="AK429" i="1"/>
  <c r="AO429" i="1"/>
  <c r="AS429" i="1"/>
  <c r="AW429" i="1"/>
  <c r="F429" i="1"/>
  <c r="J429" i="1"/>
  <c r="N429" i="1"/>
  <c r="R429" i="1"/>
  <c r="V429" i="1"/>
  <c r="Z429" i="1"/>
  <c r="AD429" i="1"/>
  <c r="AH429" i="1"/>
  <c r="AL429" i="1"/>
  <c r="AP429" i="1"/>
  <c r="AT429" i="1"/>
  <c r="AX429" i="1"/>
  <c r="C429" i="1"/>
  <c r="F430" i="1"/>
  <c r="J430" i="1"/>
  <c r="N430" i="1"/>
  <c r="R430" i="1"/>
  <c r="V430" i="1"/>
  <c r="Z430" i="1"/>
  <c r="AD430" i="1"/>
  <c r="AH430" i="1"/>
  <c r="AL430" i="1"/>
  <c r="AP430" i="1"/>
  <c r="AT430" i="1"/>
  <c r="AX430" i="1"/>
  <c r="G430" i="1"/>
  <c r="K430" i="1"/>
  <c r="O430" i="1"/>
  <c r="S430" i="1"/>
  <c r="W430" i="1"/>
  <c r="AA430" i="1"/>
  <c r="AE430" i="1"/>
  <c r="AI430" i="1"/>
  <c r="AM430" i="1"/>
  <c r="AQ430" i="1"/>
  <c r="AU430" i="1"/>
  <c r="AY430" i="1"/>
  <c r="D430" i="1"/>
  <c r="H430" i="1"/>
  <c r="L430" i="1"/>
  <c r="P430" i="1"/>
  <c r="T430" i="1"/>
  <c r="X430" i="1"/>
  <c r="AB430" i="1"/>
  <c r="AF430" i="1"/>
  <c r="AJ430" i="1"/>
  <c r="AN430" i="1"/>
  <c r="AR430" i="1"/>
  <c r="AV430" i="1"/>
  <c r="AZ430" i="1"/>
  <c r="E430" i="1"/>
  <c r="I430" i="1"/>
  <c r="M430" i="1"/>
  <c r="Q430" i="1"/>
  <c r="U430" i="1"/>
  <c r="Y430" i="1"/>
  <c r="AC430" i="1"/>
  <c r="AG430" i="1"/>
  <c r="AK430" i="1"/>
  <c r="AO430" i="1"/>
  <c r="AS430" i="1"/>
  <c r="AW430" i="1"/>
  <c r="C430" i="1"/>
  <c r="E431" i="1"/>
  <c r="I431" i="1"/>
  <c r="M431" i="1"/>
  <c r="Q431" i="1"/>
  <c r="U431" i="1"/>
  <c r="Y431" i="1"/>
  <c r="AC431" i="1"/>
  <c r="AG431" i="1"/>
  <c r="AK431" i="1"/>
  <c r="AO431" i="1"/>
  <c r="AS431" i="1"/>
  <c r="AW431" i="1"/>
  <c r="F431" i="1"/>
  <c r="J431" i="1"/>
  <c r="N431" i="1"/>
  <c r="R431" i="1"/>
  <c r="V431" i="1"/>
  <c r="Z431" i="1"/>
  <c r="AD431" i="1"/>
  <c r="AH431" i="1"/>
  <c r="AL431" i="1"/>
  <c r="AP431" i="1"/>
  <c r="AT431" i="1"/>
  <c r="AX431" i="1"/>
  <c r="G431" i="1"/>
  <c r="K431" i="1"/>
  <c r="O431" i="1"/>
  <c r="S431" i="1"/>
  <c r="W431" i="1"/>
  <c r="AA431" i="1"/>
  <c r="AE431" i="1"/>
  <c r="AI431" i="1"/>
  <c r="AM431" i="1"/>
  <c r="AQ431" i="1"/>
  <c r="AU431" i="1"/>
  <c r="AY431" i="1"/>
  <c r="D431" i="1"/>
  <c r="H431" i="1"/>
  <c r="L431" i="1"/>
  <c r="P431" i="1"/>
  <c r="T431" i="1"/>
  <c r="X431" i="1"/>
  <c r="AB431" i="1"/>
  <c r="AF431" i="1"/>
  <c r="AJ431" i="1"/>
  <c r="AN431" i="1"/>
  <c r="AR431" i="1"/>
  <c r="AV431" i="1"/>
  <c r="AZ431" i="1"/>
  <c r="C431" i="1"/>
  <c r="D432" i="1"/>
  <c r="H432" i="1"/>
  <c r="L432" i="1"/>
  <c r="P432" i="1"/>
  <c r="T432" i="1"/>
  <c r="X432" i="1"/>
  <c r="AB432" i="1"/>
  <c r="AF432" i="1"/>
  <c r="AJ432" i="1"/>
  <c r="AN432" i="1"/>
  <c r="AR432" i="1"/>
  <c r="AV432" i="1"/>
  <c r="AZ432" i="1"/>
  <c r="E432" i="1"/>
  <c r="I432" i="1"/>
  <c r="M432" i="1"/>
  <c r="Q432" i="1"/>
  <c r="U432" i="1"/>
  <c r="Y432" i="1"/>
  <c r="AC432" i="1"/>
  <c r="AG432" i="1"/>
  <c r="AK432" i="1"/>
  <c r="AO432" i="1"/>
  <c r="AS432" i="1"/>
  <c r="AW432" i="1"/>
  <c r="F432" i="1"/>
  <c r="J432" i="1"/>
  <c r="N432" i="1"/>
  <c r="R432" i="1"/>
  <c r="V432" i="1"/>
  <c r="Z432" i="1"/>
  <c r="AD432" i="1"/>
  <c r="AH432" i="1"/>
  <c r="AL432" i="1"/>
  <c r="AP432" i="1"/>
  <c r="AT432" i="1"/>
  <c r="AX432" i="1"/>
  <c r="G432" i="1"/>
  <c r="K432" i="1"/>
  <c r="O432" i="1"/>
  <c r="S432" i="1"/>
  <c r="W432" i="1"/>
  <c r="AA432" i="1"/>
  <c r="AE432" i="1"/>
  <c r="AI432" i="1"/>
  <c r="AM432" i="1"/>
  <c r="AQ432" i="1"/>
  <c r="AU432" i="1"/>
  <c r="AY432" i="1"/>
  <c r="C432" i="1"/>
  <c r="G433" i="1"/>
  <c r="K433" i="1"/>
  <c r="O433" i="1"/>
  <c r="S433" i="1"/>
  <c r="W433" i="1"/>
  <c r="AA433" i="1"/>
  <c r="AE433" i="1"/>
  <c r="AI433" i="1"/>
  <c r="AM433" i="1"/>
  <c r="AQ433" i="1"/>
  <c r="AU433" i="1"/>
  <c r="AY433" i="1"/>
  <c r="D433" i="1"/>
  <c r="H433" i="1"/>
  <c r="L433" i="1"/>
  <c r="P433" i="1"/>
  <c r="T433" i="1"/>
  <c r="X433" i="1"/>
  <c r="AB433" i="1"/>
  <c r="AF433" i="1"/>
  <c r="AJ433" i="1"/>
  <c r="AN433" i="1"/>
  <c r="AR433" i="1"/>
  <c r="AV433" i="1"/>
  <c r="AZ433" i="1"/>
  <c r="E433" i="1"/>
  <c r="I433" i="1"/>
  <c r="M433" i="1"/>
  <c r="Q433" i="1"/>
  <c r="U433" i="1"/>
  <c r="Y433" i="1"/>
  <c r="AC433" i="1"/>
  <c r="AG433" i="1"/>
  <c r="AK433" i="1"/>
  <c r="AO433" i="1"/>
  <c r="AS433" i="1"/>
  <c r="AW433" i="1"/>
  <c r="F433" i="1"/>
  <c r="J433" i="1"/>
  <c r="N433" i="1"/>
  <c r="R433" i="1"/>
  <c r="V433" i="1"/>
  <c r="Z433" i="1"/>
  <c r="AD433" i="1"/>
  <c r="AH433" i="1"/>
  <c r="AL433" i="1"/>
  <c r="AP433" i="1"/>
  <c r="AT433" i="1"/>
  <c r="AX433" i="1"/>
  <c r="C433" i="1"/>
  <c r="F434" i="1"/>
  <c r="J434" i="1"/>
  <c r="N434" i="1"/>
  <c r="R434" i="1"/>
  <c r="V434" i="1"/>
  <c r="Z434" i="1"/>
  <c r="AD434" i="1"/>
  <c r="AH434" i="1"/>
  <c r="AL434" i="1"/>
  <c r="AP434" i="1"/>
  <c r="AT434" i="1"/>
  <c r="AX434" i="1"/>
  <c r="G434" i="1"/>
  <c r="K434" i="1"/>
  <c r="O434" i="1"/>
  <c r="S434" i="1"/>
  <c r="W434" i="1"/>
  <c r="AA434" i="1"/>
  <c r="AE434" i="1"/>
  <c r="AI434" i="1"/>
  <c r="AM434" i="1"/>
  <c r="AQ434" i="1"/>
  <c r="AU434" i="1"/>
  <c r="AY434" i="1"/>
  <c r="D434" i="1"/>
  <c r="H434" i="1"/>
  <c r="L434" i="1"/>
  <c r="P434" i="1"/>
  <c r="T434" i="1"/>
  <c r="X434" i="1"/>
  <c r="AB434" i="1"/>
  <c r="AF434" i="1"/>
  <c r="AJ434" i="1"/>
  <c r="AN434" i="1"/>
  <c r="AR434" i="1"/>
  <c r="AV434" i="1"/>
  <c r="AZ434" i="1"/>
  <c r="E434" i="1"/>
  <c r="I434" i="1"/>
  <c r="M434" i="1"/>
  <c r="Q434" i="1"/>
  <c r="U434" i="1"/>
  <c r="Y434" i="1"/>
  <c r="AC434" i="1"/>
  <c r="AG434" i="1"/>
  <c r="AK434" i="1"/>
  <c r="AO434" i="1"/>
  <c r="AS434" i="1"/>
  <c r="AW434" i="1"/>
  <c r="C434" i="1"/>
  <c r="E435" i="1"/>
  <c r="I435" i="1"/>
  <c r="M435" i="1"/>
  <c r="Q435" i="1"/>
  <c r="U435" i="1"/>
  <c r="Y435" i="1"/>
  <c r="AC435" i="1"/>
  <c r="AG435" i="1"/>
  <c r="AK435" i="1"/>
  <c r="AO435" i="1"/>
  <c r="AS435" i="1"/>
  <c r="AW435" i="1"/>
  <c r="F435" i="1"/>
  <c r="J435" i="1"/>
  <c r="N435" i="1"/>
  <c r="R435" i="1"/>
  <c r="V435" i="1"/>
  <c r="Z435" i="1"/>
  <c r="AD435" i="1"/>
  <c r="AH435" i="1"/>
  <c r="AL435" i="1"/>
  <c r="AP435" i="1"/>
  <c r="AT435" i="1"/>
  <c r="AX435" i="1"/>
  <c r="G435" i="1"/>
  <c r="K435" i="1"/>
  <c r="O435" i="1"/>
  <c r="S435" i="1"/>
  <c r="W435" i="1"/>
  <c r="AA435" i="1"/>
  <c r="AE435" i="1"/>
  <c r="AI435" i="1"/>
  <c r="AM435" i="1"/>
  <c r="AQ435" i="1"/>
  <c r="AU435" i="1"/>
  <c r="AY435" i="1"/>
  <c r="D435" i="1"/>
  <c r="H435" i="1"/>
  <c r="L435" i="1"/>
  <c r="P435" i="1"/>
  <c r="T435" i="1"/>
  <c r="X435" i="1"/>
  <c r="AB435" i="1"/>
  <c r="AF435" i="1"/>
  <c r="AJ435" i="1"/>
  <c r="AN435" i="1"/>
  <c r="AR435" i="1"/>
  <c r="AV435" i="1"/>
  <c r="AZ435" i="1"/>
  <c r="C435" i="1"/>
  <c r="D436" i="1"/>
  <c r="H436" i="1"/>
  <c r="L436" i="1"/>
  <c r="P436" i="1"/>
  <c r="T436" i="1"/>
  <c r="X436" i="1"/>
  <c r="AB436" i="1"/>
  <c r="AF436" i="1"/>
  <c r="AJ436" i="1"/>
  <c r="AN436" i="1"/>
  <c r="AR436" i="1"/>
  <c r="AV436" i="1"/>
  <c r="AZ436" i="1"/>
  <c r="E436" i="1"/>
  <c r="I436" i="1"/>
  <c r="M436" i="1"/>
  <c r="Q436" i="1"/>
  <c r="U436" i="1"/>
  <c r="Y436" i="1"/>
  <c r="AC436" i="1"/>
  <c r="AG436" i="1"/>
  <c r="AK436" i="1"/>
  <c r="AO436" i="1"/>
  <c r="AS436" i="1"/>
  <c r="AW436" i="1"/>
  <c r="F436" i="1"/>
  <c r="J436" i="1"/>
  <c r="N436" i="1"/>
  <c r="R436" i="1"/>
  <c r="V436" i="1"/>
  <c r="Z436" i="1"/>
  <c r="AD436" i="1"/>
  <c r="AH436" i="1"/>
  <c r="AL436" i="1"/>
  <c r="AP436" i="1"/>
  <c r="AT436" i="1"/>
  <c r="AX436" i="1"/>
  <c r="G436" i="1"/>
  <c r="K436" i="1"/>
  <c r="O436" i="1"/>
  <c r="S436" i="1"/>
  <c r="W436" i="1"/>
  <c r="AA436" i="1"/>
  <c r="AE436" i="1"/>
  <c r="AI436" i="1"/>
  <c r="AM436" i="1"/>
  <c r="AQ436" i="1"/>
  <c r="AU436" i="1"/>
  <c r="AY436" i="1"/>
  <c r="C436" i="1"/>
  <c r="G437" i="1"/>
  <c r="K437" i="1"/>
  <c r="O437" i="1"/>
  <c r="S437" i="1"/>
  <c r="W437" i="1"/>
  <c r="AA437" i="1"/>
  <c r="AE437" i="1"/>
  <c r="AI437" i="1"/>
  <c r="AM437" i="1"/>
  <c r="AQ437" i="1"/>
  <c r="AU437" i="1"/>
  <c r="AY437" i="1"/>
  <c r="D437" i="1"/>
  <c r="H437" i="1"/>
  <c r="L437" i="1"/>
  <c r="P437" i="1"/>
  <c r="T437" i="1"/>
  <c r="X437" i="1"/>
  <c r="AB437" i="1"/>
  <c r="AF437" i="1"/>
  <c r="AJ437" i="1"/>
  <c r="AN437" i="1"/>
  <c r="AR437" i="1"/>
  <c r="AV437" i="1"/>
  <c r="AZ437" i="1"/>
  <c r="E437" i="1"/>
  <c r="I437" i="1"/>
  <c r="M437" i="1"/>
  <c r="Q437" i="1"/>
  <c r="U437" i="1"/>
  <c r="Y437" i="1"/>
  <c r="AC437" i="1"/>
  <c r="AG437" i="1"/>
  <c r="AK437" i="1"/>
  <c r="AO437" i="1"/>
  <c r="AS437" i="1"/>
  <c r="AW437" i="1"/>
  <c r="F437" i="1"/>
  <c r="J437" i="1"/>
  <c r="N437" i="1"/>
  <c r="R437" i="1"/>
  <c r="V437" i="1"/>
  <c r="Z437" i="1"/>
  <c r="AD437" i="1"/>
  <c r="AH437" i="1"/>
  <c r="AL437" i="1"/>
  <c r="AP437" i="1"/>
  <c r="AT437" i="1"/>
  <c r="AX437" i="1"/>
  <c r="C437" i="1"/>
  <c r="F438" i="1"/>
  <c r="J438" i="1"/>
  <c r="N438" i="1"/>
  <c r="R438" i="1"/>
  <c r="V438" i="1"/>
  <c r="Z438" i="1"/>
  <c r="AD438" i="1"/>
  <c r="AH438" i="1"/>
  <c r="AL438" i="1"/>
  <c r="AP438" i="1"/>
  <c r="AT438" i="1"/>
  <c r="AX438" i="1"/>
  <c r="G438" i="1"/>
  <c r="K438" i="1"/>
  <c r="O438" i="1"/>
  <c r="S438" i="1"/>
  <c r="W438" i="1"/>
  <c r="AA438" i="1"/>
  <c r="AE438" i="1"/>
  <c r="AI438" i="1"/>
  <c r="AM438" i="1"/>
  <c r="AQ438" i="1"/>
  <c r="AU438" i="1"/>
  <c r="AY438" i="1"/>
  <c r="D438" i="1"/>
  <c r="H438" i="1"/>
  <c r="L438" i="1"/>
  <c r="P438" i="1"/>
  <c r="T438" i="1"/>
  <c r="X438" i="1"/>
  <c r="AB438" i="1"/>
  <c r="AF438" i="1"/>
  <c r="AJ438" i="1"/>
  <c r="AN438" i="1"/>
  <c r="AR438" i="1"/>
  <c r="AV438" i="1"/>
  <c r="AZ438" i="1"/>
  <c r="E438" i="1"/>
  <c r="I438" i="1"/>
  <c r="M438" i="1"/>
  <c r="Q438" i="1"/>
  <c r="U438" i="1"/>
  <c r="Y438" i="1"/>
  <c r="AC438" i="1"/>
  <c r="AG438" i="1"/>
  <c r="AK438" i="1"/>
  <c r="AO438" i="1"/>
  <c r="AS438" i="1"/>
  <c r="AW438" i="1"/>
  <c r="C438" i="1"/>
  <c r="E439" i="1"/>
  <c r="I439" i="1"/>
  <c r="M439" i="1"/>
  <c r="Q439" i="1"/>
  <c r="U439" i="1"/>
  <c r="Y439" i="1"/>
  <c r="AC439" i="1"/>
  <c r="AG439" i="1"/>
  <c r="AK439" i="1"/>
  <c r="AO439" i="1"/>
  <c r="AS439" i="1"/>
  <c r="AW439" i="1"/>
  <c r="F439" i="1"/>
  <c r="J439" i="1"/>
  <c r="N439" i="1"/>
  <c r="R439" i="1"/>
  <c r="V439" i="1"/>
  <c r="Z439" i="1"/>
  <c r="AD439" i="1"/>
  <c r="AH439" i="1"/>
  <c r="AL439" i="1"/>
  <c r="AP439" i="1"/>
  <c r="AT439" i="1"/>
  <c r="AX439" i="1"/>
  <c r="G439" i="1"/>
  <c r="K439" i="1"/>
  <c r="O439" i="1"/>
  <c r="S439" i="1"/>
  <c r="W439" i="1"/>
  <c r="AA439" i="1"/>
  <c r="AE439" i="1"/>
  <c r="AI439" i="1"/>
  <c r="AM439" i="1"/>
  <c r="AQ439" i="1"/>
  <c r="AU439" i="1"/>
  <c r="AY439" i="1"/>
  <c r="D439" i="1"/>
  <c r="H439" i="1"/>
  <c r="L439" i="1"/>
  <c r="P439" i="1"/>
  <c r="T439" i="1"/>
  <c r="X439" i="1"/>
  <c r="AB439" i="1"/>
  <c r="AF439" i="1"/>
  <c r="AJ439" i="1"/>
  <c r="AN439" i="1"/>
  <c r="AR439" i="1"/>
  <c r="AV439" i="1"/>
  <c r="AZ439" i="1"/>
  <c r="C439" i="1"/>
  <c r="D440" i="1"/>
  <c r="H440" i="1"/>
  <c r="L440" i="1"/>
  <c r="P440" i="1"/>
  <c r="T440" i="1"/>
  <c r="X440" i="1"/>
  <c r="AB440" i="1"/>
  <c r="AF440" i="1"/>
  <c r="AJ440" i="1"/>
  <c r="AN440" i="1"/>
  <c r="AR440" i="1"/>
  <c r="AV440" i="1"/>
  <c r="AZ440" i="1"/>
  <c r="E440" i="1"/>
  <c r="I440" i="1"/>
  <c r="M440" i="1"/>
  <c r="Q440" i="1"/>
  <c r="U440" i="1"/>
  <c r="Y440" i="1"/>
  <c r="AC440" i="1"/>
  <c r="AG440" i="1"/>
  <c r="AK440" i="1"/>
  <c r="AO440" i="1"/>
  <c r="AS440" i="1"/>
  <c r="AW440" i="1"/>
  <c r="F440" i="1"/>
  <c r="J440" i="1"/>
  <c r="N440" i="1"/>
  <c r="R440" i="1"/>
  <c r="V440" i="1"/>
  <c r="Z440" i="1"/>
  <c r="AD440" i="1"/>
  <c r="AH440" i="1"/>
  <c r="AL440" i="1"/>
  <c r="AP440" i="1"/>
  <c r="AT440" i="1"/>
  <c r="AX440" i="1"/>
  <c r="G440" i="1"/>
  <c r="K440" i="1"/>
  <c r="O440" i="1"/>
  <c r="S440" i="1"/>
  <c r="W440" i="1"/>
  <c r="AA440" i="1"/>
  <c r="AE440" i="1"/>
  <c r="AI440" i="1"/>
  <c r="AM440" i="1"/>
  <c r="AQ440" i="1"/>
  <c r="AU440" i="1"/>
  <c r="AY440" i="1"/>
  <c r="C440" i="1"/>
  <c r="G441" i="1"/>
  <c r="K441" i="1"/>
  <c r="O441" i="1"/>
  <c r="S441" i="1"/>
  <c r="W441" i="1"/>
  <c r="AA441" i="1"/>
  <c r="AE441" i="1"/>
  <c r="AI441" i="1"/>
  <c r="AM441" i="1"/>
  <c r="AQ441" i="1"/>
  <c r="AU441" i="1"/>
  <c r="AY441" i="1"/>
  <c r="D441" i="1"/>
  <c r="H441" i="1"/>
  <c r="L441" i="1"/>
  <c r="P441" i="1"/>
  <c r="T441" i="1"/>
  <c r="X441" i="1"/>
  <c r="AB441" i="1"/>
  <c r="AF441" i="1"/>
  <c r="AJ441" i="1"/>
  <c r="AN441" i="1"/>
  <c r="AR441" i="1"/>
  <c r="AV441" i="1"/>
  <c r="AZ441" i="1"/>
  <c r="E441" i="1"/>
  <c r="I441" i="1"/>
  <c r="M441" i="1"/>
  <c r="Q441" i="1"/>
  <c r="U441" i="1"/>
  <c r="Y441" i="1"/>
  <c r="AC441" i="1"/>
  <c r="AG441" i="1"/>
  <c r="AK441" i="1"/>
  <c r="AO441" i="1"/>
  <c r="AS441" i="1"/>
  <c r="AW441" i="1"/>
  <c r="F441" i="1"/>
  <c r="J441" i="1"/>
  <c r="N441" i="1"/>
  <c r="R441" i="1"/>
  <c r="V441" i="1"/>
  <c r="Z441" i="1"/>
  <c r="AD441" i="1"/>
  <c r="AH441" i="1"/>
  <c r="AL441" i="1"/>
  <c r="AP441" i="1"/>
  <c r="AT441" i="1"/>
  <c r="AX441" i="1"/>
  <c r="C441" i="1"/>
  <c r="F442" i="1"/>
  <c r="J442" i="1"/>
  <c r="N442" i="1"/>
  <c r="R442" i="1"/>
  <c r="V442" i="1"/>
  <c r="Z442" i="1"/>
  <c r="AD442" i="1"/>
  <c r="AH442" i="1"/>
  <c r="AL442" i="1"/>
  <c r="AP442" i="1"/>
  <c r="AT442" i="1"/>
  <c r="AX442" i="1"/>
  <c r="G442" i="1"/>
  <c r="K442" i="1"/>
  <c r="O442" i="1"/>
  <c r="S442" i="1"/>
  <c r="W442" i="1"/>
  <c r="AA442" i="1"/>
  <c r="AE442" i="1"/>
  <c r="AI442" i="1"/>
  <c r="AM442" i="1"/>
  <c r="AQ442" i="1"/>
  <c r="AU442" i="1"/>
  <c r="AY442" i="1"/>
  <c r="D442" i="1"/>
  <c r="H442" i="1"/>
  <c r="L442" i="1"/>
  <c r="P442" i="1"/>
  <c r="T442" i="1"/>
  <c r="X442" i="1"/>
  <c r="AB442" i="1"/>
  <c r="AF442" i="1"/>
  <c r="AJ442" i="1"/>
  <c r="AN442" i="1"/>
  <c r="AR442" i="1"/>
  <c r="AV442" i="1"/>
  <c r="AZ442" i="1"/>
  <c r="E442" i="1"/>
  <c r="I442" i="1"/>
  <c r="M442" i="1"/>
  <c r="Q442" i="1"/>
  <c r="U442" i="1"/>
  <c r="Y442" i="1"/>
  <c r="AC442" i="1"/>
  <c r="AG442" i="1"/>
  <c r="AK442" i="1"/>
  <c r="AO442" i="1"/>
  <c r="AS442" i="1"/>
  <c r="AW442" i="1"/>
  <c r="C442" i="1"/>
  <c r="E443" i="1"/>
  <c r="I443" i="1"/>
  <c r="M443" i="1"/>
  <c r="Q443" i="1"/>
  <c r="U443" i="1"/>
  <c r="Y443" i="1"/>
  <c r="AC443" i="1"/>
  <c r="AG443" i="1"/>
  <c r="AK443" i="1"/>
  <c r="AO443" i="1"/>
  <c r="AS443" i="1"/>
  <c r="AW443" i="1"/>
  <c r="F443" i="1"/>
  <c r="J443" i="1"/>
  <c r="N443" i="1"/>
  <c r="R443" i="1"/>
  <c r="V443" i="1"/>
  <c r="Z443" i="1"/>
  <c r="AD443" i="1"/>
  <c r="AH443" i="1"/>
  <c r="AL443" i="1"/>
  <c r="AP443" i="1"/>
  <c r="AT443" i="1"/>
  <c r="AX443" i="1"/>
  <c r="G443" i="1"/>
  <c r="K443" i="1"/>
  <c r="O443" i="1"/>
  <c r="S443" i="1"/>
  <c r="W443" i="1"/>
  <c r="AA443" i="1"/>
  <c r="AE443" i="1"/>
  <c r="AI443" i="1"/>
  <c r="AM443" i="1"/>
  <c r="AQ443" i="1"/>
  <c r="AU443" i="1"/>
  <c r="AY443" i="1"/>
  <c r="D443" i="1"/>
  <c r="H443" i="1"/>
  <c r="L443" i="1"/>
  <c r="P443" i="1"/>
  <c r="T443" i="1"/>
  <c r="X443" i="1"/>
  <c r="AB443" i="1"/>
  <c r="AF443" i="1"/>
  <c r="AJ443" i="1"/>
  <c r="AN443" i="1"/>
  <c r="AR443" i="1"/>
  <c r="AV443" i="1"/>
  <c r="AZ443" i="1"/>
  <c r="C443" i="1"/>
  <c r="D444" i="1"/>
  <c r="H444" i="1"/>
  <c r="L444" i="1"/>
  <c r="P444" i="1"/>
  <c r="T444" i="1"/>
  <c r="X444" i="1"/>
  <c r="AB444" i="1"/>
  <c r="AF444" i="1"/>
  <c r="AJ444" i="1"/>
  <c r="AN444" i="1"/>
  <c r="AR444" i="1"/>
  <c r="AV444" i="1"/>
  <c r="AZ444" i="1"/>
  <c r="E444" i="1"/>
  <c r="I444" i="1"/>
  <c r="M444" i="1"/>
  <c r="Q444" i="1"/>
  <c r="U444" i="1"/>
  <c r="Y444" i="1"/>
  <c r="AC444" i="1"/>
  <c r="AG444" i="1"/>
  <c r="AK444" i="1"/>
  <c r="AO444" i="1"/>
  <c r="AS444" i="1"/>
  <c r="AW444" i="1"/>
  <c r="F444" i="1"/>
  <c r="J444" i="1"/>
  <c r="N444" i="1"/>
  <c r="R444" i="1"/>
  <c r="V444" i="1"/>
  <c r="Z444" i="1"/>
  <c r="AD444" i="1"/>
  <c r="AH444" i="1"/>
  <c r="AL444" i="1"/>
  <c r="AP444" i="1"/>
  <c r="AT444" i="1"/>
  <c r="AX444" i="1"/>
  <c r="G444" i="1"/>
  <c r="K444" i="1"/>
  <c r="O444" i="1"/>
  <c r="S444" i="1"/>
  <c r="W444" i="1"/>
  <c r="AA444" i="1"/>
  <c r="AE444" i="1"/>
  <c r="AI444" i="1"/>
  <c r="AM444" i="1"/>
  <c r="AQ444" i="1"/>
  <c r="AU444" i="1"/>
  <c r="AY444" i="1"/>
  <c r="C444" i="1"/>
  <c r="G445" i="1"/>
  <c r="K445" i="1"/>
  <c r="O445" i="1"/>
  <c r="S445" i="1"/>
  <c r="W445" i="1"/>
  <c r="AA445" i="1"/>
  <c r="AE445" i="1"/>
  <c r="AI445" i="1"/>
  <c r="AM445" i="1"/>
  <c r="AQ445" i="1"/>
  <c r="AU445" i="1"/>
  <c r="AY445" i="1"/>
  <c r="D445" i="1"/>
  <c r="H445" i="1"/>
  <c r="L445" i="1"/>
  <c r="P445" i="1"/>
  <c r="T445" i="1"/>
  <c r="X445" i="1"/>
  <c r="AB445" i="1"/>
  <c r="AF445" i="1"/>
  <c r="AJ445" i="1"/>
  <c r="AN445" i="1"/>
  <c r="AR445" i="1"/>
  <c r="E445" i="1"/>
  <c r="I445" i="1"/>
  <c r="M445" i="1"/>
  <c r="Q445" i="1"/>
  <c r="U445" i="1"/>
  <c r="Y445" i="1"/>
  <c r="AC445" i="1"/>
  <c r="AG445" i="1"/>
  <c r="AK445" i="1"/>
  <c r="AO445" i="1"/>
  <c r="AS445" i="1"/>
  <c r="AW445" i="1"/>
  <c r="F445" i="1"/>
  <c r="J445" i="1"/>
  <c r="N445" i="1"/>
  <c r="R445" i="1"/>
  <c r="V445" i="1"/>
  <c r="Z445" i="1"/>
  <c r="AD445" i="1"/>
  <c r="AH445" i="1"/>
  <c r="AL445" i="1"/>
  <c r="AP445" i="1"/>
  <c r="AT445" i="1"/>
  <c r="AX445" i="1"/>
  <c r="AV445" i="1"/>
  <c r="AZ445" i="1"/>
  <c r="C445" i="1"/>
  <c r="F446" i="1"/>
  <c r="J446" i="1"/>
  <c r="N446" i="1"/>
  <c r="R446" i="1"/>
  <c r="V446" i="1"/>
  <c r="Z446" i="1"/>
  <c r="AD446" i="1"/>
  <c r="AH446" i="1"/>
  <c r="AL446" i="1"/>
  <c r="AP446" i="1"/>
  <c r="AT446" i="1"/>
  <c r="AX446" i="1"/>
  <c r="D446" i="1"/>
  <c r="H446" i="1"/>
  <c r="L446" i="1"/>
  <c r="P446" i="1"/>
  <c r="T446" i="1"/>
  <c r="X446" i="1"/>
  <c r="AB446" i="1"/>
  <c r="AF446" i="1"/>
  <c r="AJ446" i="1"/>
  <c r="AN446" i="1"/>
  <c r="AR446" i="1"/>
  <c r="AV446" i="1"/>
  <c r="AZ446" i="1"/>
  <c r="E446" i="1"/>
  <c r="I446" i="1"/>
  <c r="M446" i="1"/>
  <c r="Q446" i="1"/>
  <c r="U446" i="1"/>
  <c r="Y446" i="1"/>
  <c r="AC446" i="1"/>
  <c r="AG446" i="1"/>
  <c r="AK446" i="1"/>
  <c r="AO446" i="1"/>
  <c r="AS446" i="1"/>
  <c r="AW446" i="1"/>
  <c r="K446" i="1"/>
  <c r="AA446" i="1"/>
  <c r="AQ446" i="1"/>
  <c r="O446" i="1"/>
  <c r="AE446" i="1"/>
  <c r="AU446" i="1"/>
  <c r="G446" i="1"/>
  <c r="W446" i="1"/>
  <c r="AM446" i="1"/>
  <c r="S446" i="1"/>
  <c r="AI446" i="1"/>
  <c r="AY446" i="1"/>
  <c r="C446" i="1"/>
  <c r="E447" i="1"/>
  <c r="I447" i="1"/>
  <c r="M447" i="1"/>
  <c r="Q447" i="1"/>
  <c r="U447" i="1"/>
  <c r="Y447" i="1"/>
  <c r="AC447" i="1"/>
  <c r="AG447" i="1"/>
  <c r="AK447" i="1"/>
  <c r="AO447" i="1"/>
  <c r="AS447" i="1"/>
  <c r="AW447" i="1"/>
  <c r="G447" i="1"/>
  <c r="K447" i="1"/>
  <c r="O447" i="1"/>
  <c r="S447" i="1"/>
  <c r="W447" i="1"/>
  <c r="AA447" i="1"/>
  <c r="AE447" i="1"/>
  <c r="AI447" i="1"/>
  <c r="AM447" i="1"/>
  <c r="AQ447" i="1"/>
  <c r="AU447" i="1"/>
  <c r="AY447" i="1"/>
  <c r="D447" i="1"/>
  <c r="H447" i="1"/>
  <c r="L447" i="1"/>
  <c r="P447" i="1"/>
  <c r="T447" i="1"/>
  <c r="X447" i="1"/>
  <c r="AB447" i="1"/>
  <c r="AF447" i="1"/>
  <c r="AJ447" i="1"/>
  <c r="AN447" i="1"/>
  <c r="AR447" i="1"/>
  <c r="AV447" i="1"/>
  <c r="AZ447" i="1"/>
  <c r="F447" i="1"/>
  <c r="V447" i="1"/>
  <c r="AL447" i="1"/>
  <c r="J447" i="1"/>
  <c r="Z447" i="1"/>
  <c r="AP447" i="1"/>
  <c r="R447" i="1"/>
  <c r="AH447" i="1"/>
  <c r="AX447" i="1"/>
  <c r="AT447" i="1"/>
  <c r="N447" i="1"/>
  <c r="AD447" i="1"/>
  <c r="C447" i="1"/>
  <c r="D448" i="1"/>
  <c r="H448" i="1"/>
  <c r="L448" i="1"/>
  <c r="P448" i="1"/>
  <c r="T448" i="1"/>
  <c r="X448" i="1"/>
  <c r="AB448" i="1"/>
  <c r="AF448" i="1"/>
  <c r="AJ448" i="1"/>
  <c r="AN448" i="1"/>
  <c r="AR448" i="1"/>
  <c r="AV448" i="1"/>
  <c r="AZ448" i="1"/>
  <c r="F448" i="1"/>
  <c r="J448" i="1"/>
  <c r="N448" i="1"/>
  <c r="R448" i="1"/>
  <c r="V448" i="1"/>
  <c r="Z448" i="1"/>
  <c r="AD448" i="1"/>
  <c r="AH448" i="1"/>
  <c r="AL448" i="1"/>
  <c r="AP448" i="1"/>
  <c r="AT448" i="1"/>
  <c r="AX448" i="1"/>
  <c r="G448" i="1"/>
  <c r="K448" i="1"/>
  <c r="O448" i="1"/>
  <c r="S448" i="1"/>
  <c r="W448" i="1"/>
  <c r="AA448" i="1"/>
  <c r="AE448" i="1"/>
  <c r="AI448" i="1"/>
  <c r="AM448" i="1"/>
  <c r="AQ448" i="1"/>
  <c r="AU448" i="1"/>
  <c r="AY448" i="1"/>
  <c r="Q448" i="1"/>
  <c r="AG448" i="1"/>
  <c r="AW448" i="1"/>
  <c r="E448" i="1"/>
  <c r="U448" i="1"/>
  <c r="AK448" i="1"/>
  <c r="M448" i="1"/>
  <c r="AC448" i="1"/>
  <c r="AS448" i="1"/>
  <c r="I448" i="1"/>
  <c r="Y448" i="1"/>
  <c r="AO448" i="1"/>
  <c r="C448" i="1"/>
  <c r="G449" i="1"/>
  <c r="K449" i="1"/>
  <c r="O449" i="1"/>
  <c r="S449" i="1"/>
  <c r="W449" i="1"/>
  <c r="AA449" i="1"/>
  <c r="AE449" i="1"/>
  <c r="AI449" i="1"/>
  <c r="AM449" i="1"/>
  <c r="AQ449" i="1"/>
  <c r="AU449" i="1"/>
  <c r="AY449" i="1"/>
  <c r="E449" i="1"/>
  <c r="I449" i="1"/>
  <c r="M449" i="1"/>
  <c r="Q449" i="1"/>
  <c r="U449" i="1"/>
  <c r="Y449" i="1"/>
  <c r="AC449" i="1"/>
  <c r="AG449" i="1"/>
  <c r="AK449" i="1"/>
  <c r="AO449" i="1"/>
  <c r="AS449" i="1"/>
  <c r="AW449" i="1"/>
  <c r="F449" i="1"/>
  <c r="J449" i="1"/>
  <c r="N449" i="1"/>
  <c r="R449" i="1"/>
  <c r="V449" i="1"/>
  <c r="Z449" i="1"/>
  <c r="AD449" i="1"/>
  <c r="AH449" i="1"/>
  <c r="AL449" i="1"/>
  <c r="AP449" i="1"/>
  <c r="AT449" i="1"/>
  <c r="AX449" i="1"/>
  <c r="L449" i="1"/>
  <c r="AB449" i="1"/>
  <c r="AR449" i="1"/>
  <c r="P449" i="1"/>
  <c r="AF449" i="1"/>
  <c r="AV449" i="1"/>
  <c r="H449" i="1"/>
  <c r="X449" i="1"/>
  <c r="AN449" i="1"/>
  <c r="AJ449" i="1"/>
  <c r="AZ449" i="1"/>
  <c r="D449" i="1"/>
  <c r="T449" i="1"/>
  <c r="C449" i="1"/>
  <c r="F450" i="1"/>
  <c r="J450" i="1"/>
  <c r="N450" i="1"/>
  <c r="R450" i="1"/>
  <c r="V450" i="1"/>
  <c r="Z450" i="1"/>
  <c r="AD450" i="1"/>
  <c r="AH450" i="1"/>
  <c r="AL450" i="1"/>
  <c r="AP450" i="1"/>
  <c r="AT450" i="1"/>
  <c r="AX450" i="1"/>
  <c r="D450" i="1"/>
  <c r="H450" i="1"/>
  <c r="E450" i="1"/>
  <c r="I450" i="1"/>
  <c r="M450" i="1"/>
  <c r="Q450" i="1"/>
  <c r="U450" i="1"/>
  <c r="Y450" i="1"/>
  <c r="AC450" i="1"/>
  <c r="AG450" i="1"/>
  <c r="AK450" i="1"/>
  <c r="AO450" i="1"/>
  <c r="AS450" i="1"/>
  <c r="AW450" i="1"/>
  <c r="G450" i="1"/>
  <c r="P450" i="1"/>
  <c r="X450" i="1"/>
  <c r="AF450" i="1"/>
  <c r="AN450" i="1"/>
  <c r="AV450" i="1"/>
  <c r="K450" i="1"/>
  <c r="S450" i="1"/>
  <c r="AA450" i="1"/>
  <c r="AI450" i="1"/>
  <c r="AQ450" i="1"/>
  <c r="AY450" i="1"/>
  <c r="O450" i="1"/>
  <c r="W450" i="1"/>
  <c r="AE450" i="1"/>
  <c r="AM450" i="1"/>
  <c r="AU450" i="1"/>
  <c r="AJ450" i="1"/>
  <c r="L450" i="1"/>
  <c r="AR450" i="1"/>
  <c r="T450" i="1"/>
  <c r="AZ450" i="1"/>
  <c r="AB450" i="1"/>
  <c r="C450" i="1"/>
  <c r="E451" i="1"/>
  <c r="I451" i="1"/>
  <c r="M451" i="1"/>
  <c r="Q451" i="1"/>
  <c r="U451" i="1"/>
  <c r="Y451" i="1"/>
  <c r="AC451" i="1"/>
  <c r="AG451" i="1"/>
  <c r="AK451" i="1"/>
  <c r="AO451" i="1"/>
  <c r="AS451" i="1"/>
  <c r="AW451" i="1"/>
  <c r="D451" i="1"/>
  <c r="H451" i="1"/>
  <c r="L451" i="1"/>
  <c r="P451" i="1"/>
  <c r="T451" i="1"/>
  <c r="X451" i="1"/>
  <c r="AB451" i="1"/>
  <c r="AF451" i="1"/>
  <c r="AJ451" i="1"/>
  <c r="AN451" i="1"/>
  <c r="AR451" i="1"/>
  <c r="AV451" i="1"/>
  <c r="AZ451" i="1"/>
  <c r="K451" i="1"/>
  <c r="S451" i="1"/>
  <c r="AA451" i="1"/>
  <c r="AI451" i="1"/>
  <c r="AQ451" i="1"/>
  <c r="AY451" i="1"/>
  <c r="F451" i="1"/>
  <c r="N451" i="1"/>
  <c r="V451" i="1"/>
  <c r="AD451" i="1"/>
  <c r="AL451" i="1"/>
  <c r="AT451" i="1"/>
  <c r="J451" i="1"/>
  <c r="R451" i="1"/>
  <c r="Z451" i="1"/>
  <c r="AH451" i="1"/>
  <c r="AP451" i="1"/>
  <c r="AX451" i="1"/>
  <c r="AE451" i="1"/>
  <c r="G451" i="1"/>
  <c r="AM451" i="1"/>
  <c r="O451" i="1"/>
  <c r="AU451" i="1"/>
  <c r="W451" i="1"/>
  <c r="C451" i="1"/>
  <c r="D452" i="1"/>
  <c r="H452" i="1"/>
  <c r="L452" i="1"/>
  <c r="P452" i="1"/>
  <c r="T452" i="1"/>
  <c r="X452" i="1"/>
  <c r="AB452" i="1"/>
  <c r="AF452" i="1"/>
  <c r="AJ452" i="1"/>
  <c r="AN452" i="1"/>
  <c r="AR452" i="1"/>
  <c r="AV452" i="1"/>
  <c r="AZ452" i="1"/>
  <c r="G452" i="1"/>
  <c r="K452" i="1"/>
  <c r="O452" i="1"/>
  <c r="S452" i="1"/>
  <c r="W452" i="1"/>
  <c r="AA452" i="1"/>
  <c r="AE452" i="1"/>
  <c r="AI452" i="1"/>
  <c r="AM452" i="1"/>
  <c r="AQ452" i="1"/>
  <c r="AU452" i="1"/>
  <c r="AY452" i="1"/>
  <c r="F452" i="1"/>
  <c r="N452" i="1"/>
  <c r="V452" i="1"/>
  <c r="AD452" i="1"/>
  <c r="AL452" i="1"/>
  <c r="AT452" i="1"/>
  <c r="I452" i="1"/>
  <c r="Q452" i="1"/>
  <c r="Y452" i="1"/>
  <c r="AG452" i="1"/>
  <c r="AO452" i="1"/>
  <c r="AW452" i="1"/>
  <c r="E452" i="1"/>
  <c r="M452" i="1"/>
  <c r="U452" i="1"/>
  <c r="AC452" i="1"/>
  <c r="AK452" i="1"/>
  <c r="AS452" i="1"/>
  <c r="Z452" i="1"/>
  <c r="AH452" i="1"/>
  <c r="J452" i="1"/>
  <c r="AP452" i="1"/>
  <c r="R452" i="1"/>
  <c r="AX452" i="1"/>
  <c r="C452" i="1"/>
  <c r="G453" i="1"/>
  <c r="K453" i="1"/>
  <c r="O453" i="1"/>
  <c r="S453" i="1"/>
  <c r="W453" i="1"/>
  <c r="AA453" i="1"/>
  <c r="AE453" i="1"/>
  <c r="AI453" i="1"/>
  <c r="AM453" i="1"/>
  <c r="AQ453" i="1"/>
  <c r="AU453" i="1"/>
  <c r="AY453" i="1"/>
  <c r="F453" i="1"/>
  <c r="J453" i="1"/>
  <c r="N453" i="1"/>
  <c r="R453" i="1"/>
  <c r="V453" i="1"/>
  <c r="Z453" i="1"/>
  <c r="AD453" i="1"/>
  <c r="AH453" i="1"/>
  <c r="AL453" i="1"/>
  <c r="AP453" i="1"/>
  <c r="AT453" i="1"/>
  <c r="AX453" i="1"/>
  <c r="I453" i="1"/>
  <c r="Q453" i="1"/>
  <c r="Y453" i="1"/>
  <c r="AG453" i="1"/>
  <c r="AO453" i="1"/>
  <c r="AW453" i="1"/>
  <c r="D453" i="1"/>
  <c r="L453" i="1"/>
  <c r="T453" i="1"/>
  <c r="AB453" i="1"/>
  <c r="AJ453" i="1"/>
  <c r="AR453" i="1"/>
  <c r="AZ453" i="1"/>
  <c r="H453" i="1"/>
  <c r="P453" i="1"/>
  <c r="X453" i="1"/>
  <c r="AF453" i="1"/>
  <c r="AN453" i="1"/>
  <c r="AV453" i="1"/>
  <c r="U453" i="1"/>
  <c r="AC453" i="1"/>
  <c r="E453" i="1"/>
  <c r="AK453" i="1"/>
  <c r="M453" i="1"/>
  <c r="AS453" i="1"/>
  <c r="C453" i="1"/>
  <c r="F454" i="1"/>
  <c r="J454" i="1"/>
  <c r="N454" i="1"/>
  <c r="R454" i="1"/>
  <c r="V454" i="1"/>
  <c r="Z454" i="1"/>
  <c r="AD454" i="1"/>
  <c r="AH454" i="1"/>
  <c r="AL454" i="1"/>
  <c r="AP454" i="1"/>
  <c r="AT454" i="1"/>
  <c r="AX454" i="1"/>
  <c r="E454" i="1"/>
  <c r="I454" i="1"/>
  <c r="M454" i="1"/>
  <c r="Q454" i="1"/>
  <c r="U454" i="1"/>
  <c r="Y454" i="1"/>
  <c r="AC454" i="1"/>
  <c r="AG454" i="1"/>
  <c r="AK454" i="1"/>
  <c r="AO454" i="1"/>
  <c r="AS454" i="1"/>
  <c r="AW454" i="1"/>
  <c r="D454" i="1"/>
  <c r="L454" i="1"/>
  <c r="T454" i="1"/>
  <c r="AB454" i="1"/>
  <c r="AJ454" i="1"/>
  <c r="AR454" i="1"/>
  <c r="AZ454" i="1"/>
  <c r="G454" i="1"/>
  <c r="O454" i="1"/>
  <c r="W454" i="1"/>
  <c r="AE454" i="1"/>
  <c r="AM454" i="1"/>
  <c r="AU454" i="1"/>
  <c r="K454" i="1"/>
  <c r="S454" i="1"/>
  <c r="AA454" i="1"/>
  <c r="AI454" i="1"/>
  <c r="AQ454" i="1"/>
  <c r="AY454" i="1"/>
  <c r="P454" i="1"/>
  <c r="AV454" i="1"/>
  <c r="X454" i="1"/>
  <c r="AF454" i="1"/>
  <c r="H454" i="1"/>
  <c r="AN454" i="1"/>
  <c r="C454" i="1"/>
  <c r="E455" i="1"/>
  <c r="I455" i="1"/>
  <c r="M455" i="1"/>
  <c r="Q455" i="1"/>
  <c r="U455" i="1"/>
  <c r="Y455" i="1"/>
  <c r="AC455" i="1"/>
  <c r="AG455" i="1"/>
  <c r="AK455" i="1"/>
  <c r="AO455" i="1"/>
  <c r="AS455" i="1"/>
  <c r="AW455" i="1"/>
  <c r="D455" i="1"/>
  <c r="H455" i="1"/>
  <c r="L455" i="1"/>
  <c r="P455" i="1"/>
  <c r="T455" i="1"/>
  <c r="X455" i="1"/>
  <c r="AB455" i="1"/>
  <c r="AF455" i="1"/>
  <c r="AJ455" i="1"/>
  <c r="AN455" i="1"/>
  <c r="AR455" i="1"/>
  <c r="AV455" i="1"/>
  <c r="AZ455" i="1"/>
  <c r="G455" i="1"/>
  <c r="O455" i="1"/>
  <c r="W455" i="1"/>
  <c r="AE455" i="1"/>
  <c r="AM455" i="1"/>
  <c r="AU455" i="1"/>
  <c r="J455" i="1"/>
  <c r="R455" i="1"/>
  <c r="Z455" i="1"/>
  <c r="AH455" i="1"/>
  <c r="AP455" i="1"/>
  <c r="AX455" i="1"/>
  <c r="F455" i="1"/>
  <c r="N455" i="1"/>
  <c r="V455" i="1"/>
  <c r="AD455" i="1"/>
  <c r="AL455" i="1"/>
  <c r="AT455" i="1"/>
  <c r="K455" i="1"/>
  <c r="AQ455" i="1"/>
  <c r="S455" i="1"/>
  <c r="AY455" i="1"/>
  <c r="AA455" i="1"/>
  <c r="AI455" i="1"/>
  <c r="C455" i="1"/>
  <c r="D456" i="1"/>
  <c r="H456" i="1"/>
  <c r="L456" i="1"/>
  <c r="P456" i="1"/>
  <c r="T456" i="1"/>
  <c r="X456" i="1"/>
  <c r="AB456" i="1"/>
  <c r="AF456" i="1"/>
  <c r="AJ456" i="1"/>
  <c r="AN456" i="1"/>
  <c r="AR456" i="1"/>
  <c r="AV456" i="1"/>
  <c r="AZ456" i="1"/>
  <c r="G456" i="1"/>
  <c r="K456" i="1"/>
  <c r="O456" i="1"/>
  <c r="S456" i="1"/>
  <c r="W456" i="1"/>
  <c r="AA456" i="1"/>
  <c r="AE456" i="1"/>
  <c r="AI456" i="1"/>
  <c r="AM456" i="1"/>
  <c r="AQ456" i="1"/>
  <c r="AU456" i="1"/>
  <c r="AY456" i="1"/>
  <c r="J456" i="1"/>
  <c r="R456" i="1"/>
  <c r="Z456" i="1"/>
  <c r="AH456" i="1"/>
  <c r="AP456" i="1"/>
  <c r="AX456" i="1"/>
  <c r="E456" i="1"/>
  <c r="M456" i="1"/>
  <c r="U456" i="1"/>
  <c r="AC456" i="1"/>
  <c r="AK456" i="1"/>
  <c r="AS456" i="1"/>
  <c r="I456" i="1"/>
  <c r="Q456" i="1"/>
  <c r="Y456" i="1"/>
  <c r="AG456" i="1"/>
  <c r="AO456" i="1"/>
  <c r="AW456" i="1"/>
  <c r="F456" i="1"/>
  <c r="AL456" i="1"/>
  <c r="N456" i="1"/>
  <c r="AT456" i="1"/>
  <c r="V456" i="1"/>
  <c r="AD456" i="1"/>
  <c r="C456" i="1"/>
  <c r="G457" i="1"/>
  <c r="K457" i="1"/>
  <c r="O457" i="1"/>
  <c r="S457" i="1"/>
  <c r="W457" i="1"/>
  <c r="AA457" i="1"/>
  <c r="AE457" i="1"/>
  <c r="AI457" i="1"/>
  <c r="AM457" i="1"/>
  <c r="AQ457" i="1"/>
  <c r="AU457" i="1"/>
  <c r="AY457" i="1"/>
  <c r="F457" i="1"/>
  <c r="J457" i="1"/>
  <c r="N457" i="1"/>
  <c r="R457" i="1"/>
  <c r="V457" i="1"/>
  <c r="Z457" i="1"/>
  <c r="AD457" i="1"/>
  <c r="AH457" i="1"/>
  <c r="AL457" i="1"/>
  <c r="AP457" i="1"/>
  <c r="AT457" i="1"/>
  <c r="AX457" i="1"/>
  <c r="E457" i="1"/>
  <c r="M457" i="1"/>
  <c r="U457" i="1"/>
  <c r="AC457" i="1"/>
  <c r="AK457" i="1"/>
  <c r="AS457" i="1"/>
  <c r="H457" i="1"/>
  <c r="P457" i="1"/>
  <c r="X457" i="1"/>
  <c r="AF457" i="1"/>
  <c r="AN457" i="1"/>
  <c r="AV457" i="1"/>
  <c r="D457" i="1"/>
  <c r="L457" i="1"/>
  <c r="T457" i="1"/>
  <c r="AB457" i="1"/>
  <c r="AJ457" i="1"/>
  <c r="AR457" i="1"/>
  <c r="AZ457" i="1"/>
  <c r="AG457" i="1"/>
  <c r="I457" i="1"/>
  <c r="AO457" i="1"/>
  <c r="Q457" i="1"/>
  <c r="AW457" i="1"/>
  <c r="Y457" i="1"/>
  <c r="C457" i="1"/>
  <c r="F458" i="1"/>
  <c r="J458" i="1"/>
  <c r="N458" i="1"/>
  <c r="R458" i="1"/>
  <c r="V458" i="1"/>
  <c r="Z458" i="1"/>
  <c r="AD458" i="1"/>
  <c r="AH458" i="1"/>
  <c r="AL458" i="1"/>
  <c r="AP458" i="1"/>
  <c r="AT458" i="1"/>
  <c r="AX458" i="1"/>
  <c r="E458" i="1"/>
  <c r="I458" i="1"/>
  <c r="M458" i="1"/>
  <c r="Q458" i="1"/>
  <c r="U458" i="1"/>
  <c r="Y458" i="1"/>
  <c r="AC458" i="1"/>
  <c r="AG458" i="1"/>
  <c r="AK458" i="1"/>
  <c r="AO458" i="1"/>
  <c r="AS458" i="1"/>
  <c r="AW458" i="1"/>
  <c r="H458" i="1"/>
  <c r="P458" i="1"/>
  <c r="X458" i="1"/>
  <c r="AF458" i="1"/>
  <c r="AN458" i="1"/>
  <c r="AV458" i="1"/>
  <c r="K458" i="1"/>
  <c r="S458" i="1"/>
  <c r="AA458" i="1"/>
  <c r="AI458" i="1"/>
  <c r="AQ458" i="1"/>
  <c r="AY458" i="1"/>
  <c r="G458" i="1"/>
  <c r="O458" i="1"/>
  <c r="W458" i="1"/>
  <c r="AE458" i="1"/>
  <c r="AM458" i="1"/>
  <c r="AU458" i="1"/>
  <c r="AB458" i="1"/>
  <c r="D458" i="1"/>
  <c r="AJ458" i="1"/>
  <c r="L458" i="1"/>
  <c r="AR458" i="1"/>
  <c r="T458" i="1"/>
  <c r="AZ458" i="1"/>
  <c r="C458" i="1"/>
  <c r="E459" i="1"/>
  <c r="I459" i="1"/>
  <c r="M459" i="1"/>
  <c r="Q459" i="1"/>
  <c r="U459" i="1"/>
  <c r="Y459" i="1"/>
  <c r="AC459" i="1"/>
  <c r="AG459" i="1"/>
  <c r="AK459" i="1"/>
  <c r="AO459" i="1"/>
  <c r="AS459" i="1"/>
  <c r="AW459" i="1"/>
  <c r="D459" i="1"/>
  <c r="H459" i="1"/>
  <c r="L459" i="1"/>
  <c r="P459" i="1"/>
  <c r="T459" i="1"/>
  <c r="X459" i="1"/>
  <c r="AB459" i="1"/>
  <c r="AF459" i="1"/>
  <c r="AJ459" i="1"/>
  <c r="AN459" i="1"/>
  <c r="AR459" i="1"/>
  <c r="AV459" i="1"/>
  <c r="AZ459" i="1"/>
  <c r="K459" i="1"/>
  <c r="S459" i="1"/>
  <c r="AA459" i="1"/>
  <c r="AI459" i="1"/>
  <c r="AQ459" i="1"/>
  <c r="AY459" i="1"/>
  <c r="F459" i="1"/>
  <c r="N459" i="1"/>
  <c r="V459" i="1"/>
  <c r="AD459" i="1"/>
  <c r="AL459" i="1"/>
  <c r="AT459" i="1"/>
  <c r="J459" i="1"/>
  <c r="R459" i="1"/>
  <c r="Z459" i="1"/>
  <c r="AH459" i="1"/>
  <c r="AP459" i="1"/>
  <c r="AX459" i="1"/>
  <c r="W459" i="1"/>
  <c r="AE459" i="1"/>
  <c r="G459" i="1"/>
  <c r="AM459" i="1"/>
  <c r="O459" i="1"/>
  <c r="AU459" i="1"/>
  <c r="C459" i="1"/>
  <c r="D460" i="1"/>
  <c r="H460" i="1"/>
  <c r="L460" i="1"/>
  <c r="P460" i="1"/>
  <c r="T460" i="1"/>
  <c r="X460" i="1"/>
  <c r="AB460" i="1"/>
  <c r="AF460" i="1"/>
  <c r="AJ460" i="1"/>
  <c r="AN460" i="1"/>
  <c r="AR460" i="1"/>
  <c r="AV460" i="1"/>
  <c r="AZ460" i="1"/>
  <c r="G460" i="1"/>
  <c r="K460" i="1"/>
  <c r="O460" i="1"/>
  <c r="S460" i="1"/>
  <c r="W460" i="1"/>
  <c r="AA460" i="1"/>
  <c r="AE460" i="1"/>
  <c r="AI460" i="1"/>
  <c r="AM460" i="1"/>
  <c r="AQ460" i="1"/>
  <c r="AU460" i="1"/>
  <c r="AY460" i="1"/>
  <c r="F460" i="1"/>
  <c r="N460" i="1"/>
  <c r="V460" i="1"/>
  <c r="AD460" i="1"/>
  <c r="AL460" i="1"/>
  <c r="AT460" i="1"/>
  <c r="I460" i="1"/>
  <c r="Q460" i="1"/>
  <c r="Y460" i="1"/>
  <c r="AG460" i="1"/>
  <c r="AO460" i="1"/>
  <c r="AW460" i="1"/>
  <c r="E460" i="1"/>
  <c r="M460" i="1"/>
  <c r="U460" i="1"/>
  <c r="AC460" i="1"/>
  <c r="AK460" i="1"/>
  <c r="AS460" i="1"/>
  <c r="R460" i="1"/>
  <c r="AX460" i="1"/>
  <c r="Z460" i="1"/>
  <c r="AH460" i="1"/>
  <c r="J460" i="1"/>
  <c r="AP460" i="1"/>
  <c r="C460" i="1"/>
  <c r="G461" i="1"/>
  <c r="K461" i="1"/>
  <c r="O461" i="1"/>
  <c r="S461" i="1"/>
  <c r="W461" i="1"/>
  <c r="AA461" i="1"/>
  <c r="AE461" i="1"/>
  <c r="AI461" i="1"/>
  <c r="AM461" i="1"/>
  <c r="AQ461" i="1"/>
  <c r="AU461" i="1"/>
  <c r="AY461" i="1"/>
  <c r="F461" i="1"/>
  <c r="J461" i="1"/>
  <c r="N461" i="1"/>
  <c r="R461" i="1"/>
  <c r="V461" i="1"/>
  <c r="Z461" i="1"/>
  <c r="AD461" i="1"/>
  <c r="AH461" i="1"/>
  <c r="AL461" i="1"/>
  <c r="AP461" i="1"/>
  <c r="AT461" i="1"/>
  <c r="AX461" i="1"/>
  <c r="I461" i="1"/>
  <c r="Q461" i="1"/>
  <c r="Y461" i="1"/>
  <c r="AG461" i="1"/>
  <c r="AO461" i="1"/>
  <c r="AW461" i="1"/>
  <c r="D461" i="1"/>
  <c r="L461" i="1"/>
  <c r="T461" i="1"/>
  <c r="AB461" i="1"/>
  <c r="AJ461" i="1"/>
  <c r="AR461" i="1"/>
  <c r="AZ461" i="1"/>
  <c r="H461" i="1"/>
  <c r="P461" i="1"/>
  <c r="X461" i="1"/>
  <c r="AF461" i="1"/>
  <c r="AN461" i="1"/>
  <c r="AV461" i="1"/>
  <c r="M461" i="1"/>
  <c r="AS461" i="1"/>
  <c r="U461" i="1"/>
  <c r="AC461" i="1"/>
  <c r="E461" i="1"/>
  <c r="AK461" i="1"/>
  <c r="C461" i="1"/>
  <c r="F462" i="1"/>
  <c r="J462" i="1"/>
  <c r="N462" i="1"/>
  <c r="R462" i="1"/>
  <c r="V462" i="1"/>
  <c r="Z462" i="1"/>
  <c r="AD462" i="1"/>
  <c r="AH462" i="1"/>
  <c r="AL462" i="1"/>
  <c r="AP462" i="1"/>
  <c r="AT462" i="1"/>
  <c r="AX462" i="1"/>
  <c r="E462" i="1"/>
  <c r="I462" i="1"/>
  <c r="M462" i="1"/>
  <c r="Q462" i="1"/>
  <c r="U462" i="1"/>
  <c r="Y462" i="1"/>
  <c r="AC462" i="1"/>
  <c r="AG462" i="1"/>
  <c r="AK462" i="1"/>
  <c r="AO462" i="1"/>
  <c r="AS462" i="1"/>
  <c r="AW462" i="1"/>
  <c r="D462" i="1"/>
  <c r="L462" i="1"/>
  <c r="T462" i="1"/>
  <c r="AB462" i="1"/>
  <c r="AJ462" i="1"/>
  <c r="AR462" i="1"/>
  <c r="AZ462" i="1"/>
  <c r="G462" i="1"/>
  <c r="O462" i="1"/>
  <c r="W462" i="1"/>
  <c r="AE462" i="1"/>
  <c r="AM462" i="1"/>
  <c r="AU462" i="1"/>
  <c r="K462" i="1"/>
  <c r="S462" i="1"/>
  <c r="AA462" i="1"/>
  <c r="AI462" i="1"/>
  <c r="AQ462" i="1"/>
  <c r="AY462" i="1"/>
  <c r="H462" i="1"/>
  <c r="AN462" i="1"/>
  <c r="P462" i="1"/>
  <c r="AV462" i="1"/>
  <c r="X462" i="1"/>
  <c r="AF462" i="1"/>
  <c r="C462" i="1"/>
  <c r="E463" i="1"/>
  <c r="I463" i="1"/>
  <c r="M463" i="1"/>
  <c r="Q463" i="1"/>
  <c r="U463" i="1"/>
  <c r="Y463" i="1"/>
  <c r="AC463" i="1"/>
  <c r="AG463" i="1"/>
  <c r="AK463" i="1"/>
  <c r="AO463" i="1"/>
  <c r="AS463" i="1"/>
  <c r="AW463" i="1"/>
  <c r="D463" i="1"/>
  <c r="H463" i="1"/>
  <c r="L463" i="1"/>
  <c r="P463" i="1"/>
  <c r="T463" i="1"/>
  <c r="X463" i="1"/>
  <c r="AB463" i="1"/>
  <c r="AF463" i="1"/>
  <c r="AJ463" i="1"/>
  <c r="AN463" i="1"/>
  <c r="AR463" i="1"/>
  <c r="AV463" i="1"/>
  <c r="AZ463" i="1"/>
  <c r="G463" i="1"/>
  <c r="O463" i="1"/>
  <c r="W463" i="1"/>
  <c r="AE463" i="1"/>
  <c r="AM463" i="1"/>
  <c r="AU463" i="1"/>
  <c r="J463" i="1"/>
  <c r="R463" i="1"/>
  <c r="Z463" i="1"/>
  <c r="AH463" i="1"/>
  <c r="AP463" i="1"/>
  <c r="AX463" i="1"/>
  <c r="F463" i="1"/>
  <c r="N463" i="1"/>
  <c r="V463" i="1"/>
  <c r="AD463" i="1"/>
  <c r="AL463" i="1"/>
  <c r="AT463" i="1"/>
  <c r="AI463" i="1"/>
  <c r="K463" i="1"/>
  <c r="AQ463" i="1"/>
  <c r="S463" i="1"/>
  <c r="AY463" i="1"/>
  <c r="AA463" i="1"/>
  <c r="C463" i="1"/>
  <c r="D464" i="1"/>
  <c r="H464" i="1"/>
  <c r="L464" i="1"/>
  <c r="P464" i="1"/>
  <c r="T464" i="1"/>
  <c r="X464" i="1"/>
  <c r="AB464" i="1"/>
  <c r="AF464" i="1"/>
  <c r="AJ464" i="1"/>
  <c r="AN464" i="1"/>
  <c r="AR464" i="1"/>
  <c r="AV464" i="1"/>
  <c r="AZ464" i="1"/>
  <c r="G464" i="1"/>
  <c r="K464" i="1"/>
  <c r="O464" i="1"/>
  <c r="S464" i="1"/>
  <c r="W464" i="1"/>
  <c r="AA464" i="1"/>
  <c r="AE464" i="1"/>
  <c r="AI464" i="1"/>
  <c r="AM464" i="1"/>
  <c r="AQ464" i="1"/>
  <c r="AU464" i="1"/>
  <c r="AY464" i="1"/>
  <c r="J464" i="1"/>
  <c r="R464" i="1"/>
  <c r="Z464" i="1"/>
  <c r="AH464" i="1"/>
  <c r="AP464" i="1"/>
  <c r="AX464" i="1"/>
  <c r="E464" i="1"/>
  <c r="M464" i="1"/>
  <c r="U464" i="1"/>
  <c r="AC464" i="1"/>
  <c r="AK464" i="1"/>
  <c r="AS464" i="1"/>
  <c r="I464" i="1"/>
  <c r="Q464" i="1"/>
  <c r="Y464" i="1"/>
  <c r="AG464" i="1"/>
  <c r="AO464" i="1"/>
  <c r="AW464" i="1"/>
  <c r="AD464" i="1"/>
  <c r="F464" i="1"/>
  <c r="AL464" i="1"/>
  <c r="N464" i="1"/>
  <c r="AT464" i="1"/>
  <c r="V464" i="1"/>
  <c r="C464" i="1"/>
  <c r="G465" i="1"/>
  <c r="K465" i="1"/>
  <c r="O465" i="1"/>
  <c r="S465" i="1"/>
  <c r="W465" i="1"/>
  <c r="AA465" i="1"/>
  <c r="AE465" i="1"/>
  <c r="AI465" i="1"/>
  <c r="AM465" i="1"/>
  <c r="AQ465" i="1"/>
  <c r="AU465" i="1"/>
  <c r="AY465" i="1"/>
  <c r="F465" i="1"/>
  <c r="J465" i="1"/>
  <c r="N465" i="1"/>
  <c r="R465" i="1"/>
  <c r="V465" i="1"/>
  <c r="Z465" i="1"/>
  <c r="AD465" i="1"/>
  <c r="AH465" i="1"/>
  <c r="AL465" i="1"/>
  <c r="AP465" i="1"/>
  <c r="AT465" i="1"/>
  <c r="AX465" i="1"/>
  <c r="E465" i="1"/>
  <c r="M465" i="1"/>
  <c r="U465" i="1"/>
  <c r="AC465" i="1"/>
  <c r="AK465" i="1"/>
  <c r="AS465" i="1"/>
  <c r="H465" i="1"/>
  <c r="P465" i="1"/>
  <c r="X465" i="1"/>
  <c r="AF465" i="1"/>
  <c r="AN465" i="1"/>
  <c r="AV465" i="1"/>
  <c r="D465" i="1"/>
  <c r="L465" i="1"/>
  <c r="T465" i="1"/>
  <c r="AB465" i="1"/>
  <c r="AJ465" i="1"/>
  <c r="AR465" i="1"/>
  <c r="AZ465" i="1"/>
  <c r="Y465" i="1"/>
  <c r="AG465" i="1"/>
  <c r="I465" i="1"/>
  <c r="AO465" i="1"/>
  <c r="Q465" i="1"/>
  <c r="AW465" i="1"/>
  <c r="C465" i="1"/>
  <c r="F466" i="1"/>
  <c r="J466" i="1"/>
  <c r="N466" i="1"/>
  <c r="R466" i="1"/>
  <c r="V466" i="1"/>
  <c r="Z466" i="1"/>
  <c r="AD466" i="1"/>
  <c r="AH466" i="1"/>
  <c r="AL466" i="1"/>
  <c r="AP466" i="1"/>
  <c r="AT466" i="1"/>
  <c r="AX466" i="1"/>
  <c r="E466" i="1"/>
  <c r="I466" i="1"/>
  <c r="M466" i="1"/>
  <c r="Q466" i="1"/>
  <c r="U466" i="1"/>
  <c r="Y466" i="1"/>
  <c r="AC466" i="1"/>
  <c r="AG466" i="1"/>
  <c r="AK466" i="1"/>
  <c r="AO466" i="1"/>
  <c r="AS466" i="1"/>
  <c r="AW466" i="1"/>
  <c r="H466" i="1"/>
  <c r="P466" i="1"/>
  <c r="X466" i="1"/>
  <c r="AF466" i="1"/>
  <c r="AN466" i="1"/>
  <c r="AV466" i="1"/>
  <c r="K466" i="1"/>
  <c r="S466" i="1"/>
  <c r="AA466" i="1"/>
  <c r="AI466" i="1"/>
  <c r="AQ466" i="1"/>
  <c r="AY466" i="1"/>
  <c r="G466" i="1"/>
  <c r="O466" i="1"/>
  <c r="W466" i="1"/>
  <c r="AE466" i="1"/>
  <c r="AM466" i="1"/>
  <c r="AU466" i="1"/>
  <c r="T466" i="1"/>
  <c r="AZ466" i="1"/>
  <c r="AB466" i="1"/>
  <c r="D466" i="1"/>
  <c r="AJ466" i="1"/>
  <c r="L466" i="1"/>
  <c r="AR466" i="1"/>
  <c r="C466" i="1"/>
  <c r="E467" i="1"/>
  <c r="I467" i="1"/>
  <c r="M467" i="1"/>
  <c r="Q467" i="1"/>
  <c r="U467" i="1"/>
  <c r="Y467" i="1"/>
  <c r="AC467" i="1"/>
  <c r="AG467" i="1"/>
  <c r="AK467" i="1"/>
  <c r="AO467" i="1"/>
  <c r="AS467" i="1"/>
  <c r="AW467" i="1"/>
  <c r="D467" i="1"/>
  <c r="H467" i="1"/>
  <c r="L467" i="1"/>
  <c r="P467" i="1"/>
  <c r="T467" i="1"/>
  <c r="X467" i="1"/>
  <c r="AB467" i="1"/>
  <c r="AF467" i="1"/>
  <c r="AJ467" i="1"/>
  <c r="AN467" i="1"/>
  <c r="AR467" i="1"/>
  <c r="AV467" i="1"/>
  <c r="AZ467" i="1"/>
  <c r="K467" i="1"/>
  <c r="S467" i="1"/>
  <c r="AA467" i="1"/>
  <c r="AI467" i="1"/>
  <c r="AQ467" i="1"/>
  <c r="AY467" i="1"/>
  <c r="F467" i="1"/>
  <c r="N467" i="1"/>
  <c r="V467" i="1"/>
  <c r="AD467" i="1"/>
  <c r="AL467" i="1"/>
  <c r="AT467" i="1"/>
  <c r="J467" i="1"/>
  <c r="R467" i="1"/>
  <c r="Z467" i="1"/>
  <c r="AH467" i="1"/>
  <c r="AP467" i="1"/>
  <c r="AX467" i="1"/>
  <c r="O467" i="1"/>
  <c r="AU467" i="1"/>
  <c r="W467" i="1"/>
  <c r="AE467" i="1"/>
  <c r="G467" i="1"/>
  <c r="AM467" i="1"/>
  <c r="C467" i="1"/>
  <c r="D468" i="1"/>
  <c r="H468" i="1"/>
  <c r="L468" i="1"/>
  <c r="P468" i="1"/>
  <c r="T468" i="1"/>
  <c r="X468" i="1"/>
  <c r="AB468" i="1"/>
  <c r="AF468" i="1"/>
  <c r="AJ468" i="1"/>
  <c r="AN468" i="1"/>
  <c r="AR468" i="1"/>
  <c r="AV468" i="1"/>
  <c r="AZ468" i="1"/>
  <c r="G468" i="1"/>
  <c r="K468" i="1"/>
  <c r="O468" i="1"/>
  <c r="S468" i="1"/>
  <c r="W468" i="1"/>
  <c r="AA468" i="1"/>
  <c r="AE468" i="1"/>
  <c r="AI468" i="1"/>
  <c r="AM468" i="1"/>
  <c r="AQ468" i="1"/>
  <c r="AU468" i="1"/>
  <c r="AY468" i="1"/>
  <c r="F468" i="1"/>
  <c r="N468" i="1"/>
  <c r="V468" i="1"/>
  <c r="AD468" i="1"/>
  <c r="AL468" i="1"/>
  <c r="AT468" i="1"/>
  <c r="I468" i="1"/>
  <c r="Q468" i="1"/>
  <c r="Y468" i="1"/>
  <c r="AG468" i="1"/>
  <c r="AO468" i="1"/>
  <c r="AW468" i="1"/>
  <c r="E468" i="1"/>
  <c r="M468" i="1"/>
  <c r="U468" i="1"/>
  <c r="AC468" i="1"/>
  <c r="AK468" i="1"/>
  <c r="AS468" i="1"/>
  <c r="J468" i="1"/>
  <c r="AP468" i="1"/>
  <c r="R468" i="1"/>
  <c r="AX468" i="1"/>
  <c r="Z468" i="1"/>
  <c r="AH468" i="1"/>
  <c r="C468" i="1"/>
  <c r="G469" i="1"/>
  <c r="K469" i="1"/>
  <c r="O469" i="1"/>
  <c r="S469" i="1"/>
  <c r="W469" i="1"/>
  <c r="AA469" i="1"/>
  <c r="AE469" i="1"/>
  <c r="AI469" i="1"/>
  <c r="AM469" i="1"/>
  <c r="AQ469" i="1"/>
  <c r="AU469" i="1"/>
  <c r="AY469" i="1"/>
  <c r="F469" i="1"/>
  <c r="J469" i="1"/>
  <c r="N469" i="1"/>
  <c r="R469" i="1"/>
  <c r="V469" i="1"/>
  <c r="Z469" i="1"/>
  <c r="AD469" i="1"/>
  <c r="AH469" i="1"/>
  <c r="AL469" i="1"/>
  <c r="AP469" i="1"/>
  <c r="AT469" i="1"/>
  <c r="AX469" i="1"/>
  <c r="I469" i="1"/>
  <c r="Q469" i="1"/>
  <c r="Y469" i="1"/>
  <c r="AG469" i="1"/>
  <c r="AO469" i="1"/>
  <c r="AW469" i="1"/>
  <c r="D469" i="1"/>
  <c r="L469" i="1"/>
  <c r="T469" i="1"/>
  <c r="AB469" i="1"/>
  <c r="AJ469" i="1"/>
  <c r="AR469" i="1"/>
  <c r="AZ469" i="1"/>
  <c r="H469" i="1"/>
  <c r="P469" i="1"/>
  <c r="X469" i="1"/>
  <c r="AF469" i="1"/>
  <c r="AN469" i="1"/>
  <c r="AV469" i="1"/>
  <c r="E469" i="1"/>
  <c r="AK469" i="1"/>
  <c r="M469" i="1"/>
  <c r="AS469" i="1"/>
  <c r="U469" i="1"/>
  <c r="AC469" i="1"/>
  <c r="C469" i="1"/>
  <c r="F470" i="1"/>
  <c r="J470" i="1"/>
  <c r="N470" i="1"/>
  <c r="R470" i="1"/>
  <c r="V470" i="1"/>
  <c r="Z470" i="1"/>
  <c r="AD470" i="1"/>
  <c r="AH470" i="1"/>
  <c r="AL470" i="1"/>
  <c r="AP470" i="1"/>
  <c r="AT470" i="1"/>
  <c r="AX470" i="1"/>
  <c r="E470" i="1"/>
  <c r="I470" i="1"/>
  <c r="M470" i="1"/>
  <c r="Q470" i="1"/>
  <c r="U470" i="1"/>
  <c r="Y470" i="1"/>
  <c r="AC470" i="1"/>
  <c r="AG470" i="1"/>
  <c r="AK470" i="1"/>
  <c r="AO470" i="1"/>
  <c r="AS470" i="1"/>
  <c r="AW470" i="1"/>
  <c r="D470" i="1"/>
  <c r="L470" i="1"/>
  <c r="T470" i="1"/>
  <c r="AB470" i="1"/>
  <c r="AJ470" i="1"/>
  <c r="AR470" i="1"/>
  <c r="AZ470" i="1"/>
  <c r="G470" i="1"/>
  <c r="O470" i="1"/>
  <c r="W470" i="1"/>
  <c r="AE470" i="1"/>
  <c r="AM470" i="1"/>
  <c r="AU470" i="1"/>
  <c r="K470" i="1"/>
  <c r="S470" i="1"/>
  <c r="AA470" i="1"/>
  <c r="AI470" i="1"/>
  <c r="AQ470" i="1"/>
  <c r="AY470" i="1"/>
  <c r="AF470" i="1"/>
  <c r="H470" i="1"/>
  <c r="AN470" i="1"/>
  <c r="P470" i="1"/>
  <c r="AV470" i="1"/>
  <c r="X470" i="1"/>
  <c r="C470" i="1"/>
  <c r="E471" i="1"/>
  <c r="I471" i="1"/>
  <c r="M471" i="1"/>
  <c r="Q471" i="1"/>
  <c r="U471" i="1"/>
  <c r="Y471" i="1"/>
  <c r="AC471" i="1"/>
  <c r="D471" i="1"/>
  <c r="G471" i="1"/>
  <c r="L471" i="1"/>
  <c r="R471" i="1"/>
  <c r="W471" i="1"/>
  <c r="AB471" i="1"/>
  <c r="AG471" i="1"/>
  <c r="AK471" i="1"/>
  <c r="AO471" i="1"/>
  <c r="AS471" i="1"/>
  <c r="AW471" i="1"/>
  <c r="H471" i="1"/>
  <c r="N471" i="1"/>
  <c r="S471" i="1"/>
  <c r="X471" i="1"/>
  <c r="AD471" i="1"/>
  <c r="AH471" i="1"/>
  <c r="AL471" i="1"/>
  <c r="AP471" i="1"/>
  <c r="AT471" i="1"/>
  <c r="AX471" i="1"/>
  <c r="F471" i="1"/>
  <c r="K471" i="1"/>
  <c r="P471" i="1"/>
  <c r="V471" i="1"/>
  <c r="AA471" i="1"/>
  <c r="AF471" i="1"/>
  <c r="AJ471" i="1"/>
  <c r="AN471" i="1"/>
  <c r="AR471" i="1"/>
  <c r="AV471" i="1"/>
  <c r="AZ471" i="1"/>
  <c r="T471" i="1"/>
  <c r="AM471" i="1"/>
  <c r="Z471" i="1"/>
  <c r="AQ471" i="1"/>
  <c r="J471" i="1"/>
  <c r="AE471" i="1"/>
  <c r="AU471" i="1"/>
  <c r="O471" i="1"/>
  <c r="AI471" i="1"/>
  <c r="AY471" i="1"/>
  <c r="C471" i="1"/>
  <c r="D472" i="1"/>
  <c r="H472" i="1"/>
  <c r="L472" i="1"/>
  <c r="P472" i="1"/>
  <c r="T472" i="1"/>
  <c r="X472" i="1"/>
  <c r="AB472" i="1"/>
  <c r="AF472" i="1"/>
  <c r="AJ472" i="1"/>
  <c r="AN472" i="1"/>
  <c r="AR472" i="1"/>
  <c r="AV472" i="1"/>
  <c r="AZ472" i="1"/>
  <c r="E472" i="1"/>
  <c r="I472" i="1"/>
  <c r="M472" i="1"/>
  <c r="Q472" i="1"/>
  <c r="U472" i="1"/>
  <c r="Y472" i="1"/>
  <c r="AC472" i="1"/>
  <c r="AG472" i="1"/>
  <c r="AK472" i="1"/>
  <c r="AO472" i="1"/>
  <c r="AS472" i="1"/>
  <c r="AW472" i="1"/>
  <c r="G472" i="1"/>
  <c r="K472" i="1"/>
  <c r="O472" i="1"/>
  <c r="S472" i="1"/>
  <c r="W472" i="1"/>
  <c r="AA472" i="1"/>
  <c r="AE472" i="1"/>
  <c r="AI472" i="1"/>
  <c r="AM472" i="1"/>
  <c r="AQ472" i="1"/>
  <c r="AU472" i="1"/>
  <c r="AY472" i="1"/>
  <c r="R472" i="1"/>
  <c r="AH472" i="1"/>
  <c r="AX472" i="1"/>
  <c r="F472" i="1"/>
  <c r="V472" i="1"/>
  <c r="AL472" i="1"/>
  <c r="J472" i="1"/>
  <c r="Z472" i="1"/>
  <c r="AP472" i="1"/>
  <c r="N472" i="1"/>
  <c r="AD472" i="1"/>
  <c r="AT472" i="1"/>
  <c r="C472" i="1"/>
  <c r="G473" i="1"/>
  <c r="K473" i="1"/>
  <c r="O473" i="1"/>
  <c r="S473" i="1"/>
  <c r="W473" i="1"/>
  <c r="AA473" i="1"/>
  <c r="AE473" i="1"/>
  <c r="AI473" i="1"/>
  <c r="AM473" i="1"/>
  <c r="AQ473" i="1"/>
  <c r="AU473" i="1"/>
  <c r="AY473" i="1"/>
  <c r="D473" i="1"/>
  <c r="H473" i="1"/>
  <c r="L473" i="1"/>
  <c r="P473" i="1"/>
  <c r="T473" i="1"/>
  <c r="X473" i="1"/>
  <c r="AB473" i="1"/>
  <c r="AF473" i="1"/>
  <c r="AJ473" i="1"/>
  <c r="AN473" i="1"/>
  <c r="AR473" i="1"/>
  <c r="AV473" i="1"/>
  <c r="AZ473" i="1"/>
  <c r="F473" i="1"/>
  <c r="J473" i="1"/>
  <c r="N473" i="1"/>
  <c r="R473" i="1"/>
  <c r="V473" i="1"/>
  <c r="Z473" i="1"/>
  <c r="AD473" i="1"/>
  <c r="AH473" i="1"/>
  <c r="AL473" i="1"/>
  <c r="AP473" i="1"/>
  <c r="AT473" i="1"/>
  <c r="AX473" i="1"/>
  <c r="M473" i="1"/>
  <c r="AC473" i="1"/>
  <c r="AS473" i="1"/>
  <c r="Q473" i="1"/>
  <c r="AG473" i="1"/>
  <c r="AW473" i="1"/>
  <c r="E473" i="1"/>
  <c r="U473" i="1"/>
  <c r="AK473" i="1"/>
  <c r="I473" i="1"/>
  <c r="Y473" i="1"/>
  <c r="AO473" i="1"/>
  <c r="C473" i="1"/>
  <c r="F474" i="1"/>
  <c r="J474" i="1"/>
  <c r="N474" i="1"/>
  <c r="R474" i="1"/>
  <c r="V474" i="1"/>
  <c r="Z474" i="1"/>
  <c r="AD474" i="1"/>
  <c r="AH474" i="1"/>
  <c r="AL474" i="1"/>
  <c r="AP474" i="1"/>
  <c r="AT474" i="1"/>
  <c r="AX474" i="1"/>
  <c r="G474" i="1"/>
  <c r="K474" i="1"/>
  <c r="O474" i="1"/>
  <c r="S474" i="1"/>
  <c r="W474" i="1"/>
  <c r="AA474" i="1"/>
  <c r="AE474" i="1"/>
  <c r="AI474" i="1"/>
  <c r="AM474" i="1"/>
  <c r="AQ474" i="1"/>
  <c r="AU474" i="1"/>
  <c r="AY474" i="1"/>
  <c r="E474" i="1"/>
  <c r="I474" i="1"/>
  <c r="M474" i="1"/>
  <c r="Q474" i="1"/>
  <c r="U474" i="1"/>
  <c r="Y474" i="1"/>
  <c r="AC474" i="1"/>
  <c r="AG474" i="1"/>
  <c r="AK474" i="1"/>
  <c r="AO474" i="1"/>
  <c r="AS474" i="1"/>
  <c r="AW474" i="1"/>
  <c r="H474" i="1"/>
  <c r="X474" i="1"/>
  <c r="AN474" i="1"/>
  <c r="L474" i="1"/>
  <c r="AB474" i="1"/>
  <c r="AR474" i="1"/>
  <c r="P474" i="1"/>
  <c r="AF474" i="1"/>
  <c r="AV474" i="1"/>
  <c r="D474" i="1"/>
  <c r="T474" i="1"/>
  <c r="AJ474" i="1"/>
  <c r="AZ474" i="1"/>
  <c r="C474" i="1"/>
  <c r="E475" i="1"/>
  <c r="I475" i="1"/>
  <c r="M475" i="1"/>
  <c r="Q475" i="1"/>
  <c r="U475" i="1"/>
  <c r="Y475" i="1"/>
  <c r="AC475" i="1"/>
  <c r="AG475" i="1"/>
  <c r="AK475" i="1"/>
  <c r="AO475" i="1"/>
  <c r="AS475" i="1"/>
  <c r="AW475" i="1"/>
  <c r="F475" i="1"/>
  <c r="J475" i="1"/>
  <c r="N475" i="1"/>
  <c r="R475" i="1"/>
  <c r="V475" i="1"/>
  <c r="Z475" i="1"/>
  <c r="AD475" i="1"/>
  <c r="AH475" i="1"/>
  <c r="AL475" i="1"/>
  <c r="AP475" i="1"/>
  <c r="AT475" i="1"/>
  <c r="AX475" i="1"/>
  <c r="D475" i="1"/>
  <c r="H475" i="1"/>
  <c r="L475" i="1"/>
  <c r="P475" i="1"/>
  <c r="T475" i="1"/>
  <c r="X475" i="1"/>
  <c r="AB475" i="1"/>
  <c r="AF475" i="1"/>
  <c r="AJ475" i="1"/>
  <c r="AN475" i="1"/>
  <c r="AR475" i="1"/>
  <c r="AV475" i="1"/>
  <c r="AZ475" i="1"/>
  <c r="S475" i="1"/>
  <c r="AI475" i="1"/>
  <c r="AY475" i="1"/>
  <c r="G475" i="1"/>
  <c r="W475" i="1"/>
  <c r="AM475" i="1"/>
  <c r="K475" i="1"/>
  <c r="AA475" i="1"/>
  <c r="AQ475" i="1"/>
  <c r="O475" i="1"/>
  <c r="AE475" i="1"/>
  <c r="AU475" i="1"/>
  <c r="C475" i="1"/>
  <c r="D476" i="1"/>
  <c r="H476" i="1"/>
  <c r="L476" i="1"/>
  <c r="P476" i="1"/>
  <c r="T476" i="1"/>
  <c r="X476" i="1"/>
  <c r="AB476" i="1"/>
  <c r="AF476" i="1"/>
  <c r="AJ476" i="1"/>
  <c r="AN476" i="1"/>
  <c r="AR476" i="1"/>
  <c r="AV476" i="1"/>
  <c r="AZ476" i="1"/>
  <c r="E476" i="1"/>
  <c r="I476" i="1"/>
  <c r="M476" i="1"/>
  <c r="Q476" i="1"/>
  <c r="U476" i="1"/>
  <c r="Y476" i="1"/>
  <c r="AC476" i="1"/>
  <c r="AG476" i="1"/>
  <c r="AK476" i="1"/>
  <c r="AO476" i="1"/>
  <c r="AS476" i="1"/>
  <c r="AW476" i="1"/>
  <c r="G476" i="1"/>
  <c r="K476" i="1"/>
  <c r="O476" i="1"/>
  <c r="S476" i="1"/>
  <c r="W476" i="1"/>
  <c r="AA476" i="1"/>
  <c r="AE476" i="1"/>
  <c r="AI476" i="1"/>
  <c r="AM476" i="1"/>
  <c r="AQ476" i="1"/>
  <c r="AU476" i="1"/>
  <c r="AY476" i="1"/>
  <c r="N476" i="1"/>
  <c r="AD476" i="1"/>
  <c r="AT476" i="1"/>
  <c r="R476" i="1"/>
  <c r="AH476" i="1"/>
  <c r="AX476" i="1"/>
  <c r="F476" i="1"/>
  <c r="V476" i="1"/>
  <c r="AL476" i="1"/>
  <c r="J476" i="1"/>
  <c r="Z476" i="1"/>
  <c r="AP476" i="1"/>
  <c r="C476" i="1"/>
  <c r="G477" i="1"/>
  <c r="K477" i="1"/>
  <c r="O477" i="1"/>
  <c r="S477" i="1"/>
  <c r="W477" i="1"/>
  <c r="AA477" i="1"/>
  <c r="AE477" i="1"/>
  <c r="AI477" i="1"/>
  <c r="AM477" i="1"/>
  <c r="AQ477" i="1"/>
  <c r="AU477" i="1"/>
  <c r="AY477" i="1"/>
  <c r="D477" i="1"/>
  <c r="H477" i="1"/>
  <c r="L477" i="1"/>
  <c r="P477" i="1"/>
  <c r="T477" i="1"/>
  <c r="X477" i="1"/>
  <c r="AB477" i="1"/>
  <c r="AF477" i="1"/>
  <c r="AJ477" i="1"/>
  <c r="AN477" i="1"/>
  <c r="AR477" i="1"/>
  <c r="AV477" i="1"/>
  <c r="AZ477" i="1"/>
  <c r="F477" i="1"/>
  <c r="J477" i="1"/>
  <c r="N477" i="1"/>
  <c r="R477" i="1"/>
  <c r="V477" i="1"/>
  <c r="Z477" i="1"/>
  <c r="AD477" i="1"/>
  <c r="AH477" i="1"/>
  <c r="AL477" i="1"/>
  <c r="AP477" i="1"/>
  <c r="AT477" i="1"/>
  <c r="AX477" i="1"/>
  <c r="I477" i="1"/>
  <c r="Y477" i="1"/>
  <c r="AO477" i="1"/>
  <c r="M477" i="1"/>
  <c r="AC477" i="1"/>
  <c r="AS477" i="1"/>
  <c r="Q477" i="1"/>
  <c r="AG477" i="1"/>
  <c r="AW477" i="1"/>
  <c r="E477" i="1"/>
  <c r="U477" i="1"/>
  <c r="AK477" i="1"/>
  <c r="C477" i="1"/>
  <c r="F478" i="1"/>
  <c r="J478" i="1"/>
  <c r="N478" i="1"/>
  <c r="R478" i="1"/>
  <c r="V478" i="1"/>
  <c r="Z478" i="1"/>
  <c r="AD478" i="1"/>
  <c r="AH478" i="1"/>
  <c r="AL478" i="1"/>
  <c r="AP478" i="1"/>
  <c r="AT478" i="1"/>
  <c r="AX478" i="1"/>
  <c r="G478" i="1"/>
  <c r="K478" i="1"/>
  <c r="O478" i="1"/>
  <c r="S478" i="1"/>
  <c r="W478" i="1"/>
  <c r="AA478" i="1"/>
  <c r="AE478" i="1"/>
  <c r="AI478" i="1"/>
  <c r="AM478" i="1"/>
  <c r="AQ478" i="1"/>
  <c r="AU478" i="1"/>
  <c r="AY478" i="1"/>
  <c r="E478" i="1"/>
  <c r="I478" i="1"/>
  <c r="M478" i="1"/>
  <c r="Q478" i="1"/>
  <c r="U478" i="1"/>
  <c r="Y478" i="1"/>
  <c r="AC478" i="1"/>
  <c r="AG478" i="1"/>
  <c r="AK478" i="1"/>
  <c r="AO478" i="1"/>
  <c r="AS478" i="1"/>
  <c r="AW478" i="1"/>
  <c r="D478" i="1"/>
  <c r="T478" i="1"/>
  <c r="AJ478" i="1"/>
  <c r="AZ478" i="1"/>
  <c r="H478" i="1"/>
  <c r="X478" i="1"/>
  <c r="AN478" i="1"/>
  <c r="L478" i="1"/>
  <c r="AB478" i="1"/>
  <c r="AR478" i="1"/>
  <c r="P478" i="1"/>
  <c r="AF478" i="1"/>
  <c r="AV478" i="1"/>
  <c r="C478" i="1"/>
  <c r="E479" i="1"/>
  <c r="I479" i="1"/>
  <c r="M479" i="1"/>
  <c r="Q479" i="1"/>
  <c r="U479" i="1"/>
  <c r="Y479" i="1"/>
  <c r="AC479" i="1"/>
  <c r="AG479" i="1"/>
  <c r="AK479" i="1"/>
  <c r="AO479" i="1"/>
  <c r="AS479" i="1"/>
  <c r="AW479" i="1"/>
  <c r="F479" i="1"/>
  <c r="J479" i="1"/>
  <c r="N479" i="1"/>
  <c r="R479" i="1"/>
  <c r="V479" i="1"/>
  <c r="Z479" i="1"/>
  <c r="AD479" i="1"/>
  <c r="AH479" i="1"/>
  <c r="AL479" i="1"/>
  <c r="AP479" i="1"/>
  <c r="AT479" i="1"/>
  <c r="AX479" i="1"/>
  <c r="D479" i="1"/>
  <c r="H479" i="1"/>
  <c r="L479" i="1"/>
  <c r="P479" i="1"/>
  <c r="T479" i="1"/>
  <c r="X479" i="1"/>
  <c r="AB479" i="1"/>
  <c r="AF479" i="1"/>
  <c r="AJ479" i="1"/>
  <c r="AN479" i="1"/>
  <c r="AR479" i="1"/>
  <c r="AV479" i="1"/>
  <c r="AZ479" i="1"/>
  <c r="O479" i="1"/>
  <c r="AE479" i="1"/>
  <c r="AU479" i="1"/>
  <c r="S479" i="1"/>
  <c r="AI479" i="1"/>
  <c r="AY479" i="1"/>
  <c r="G479" i="1"/>
  <c r="W479" i="1"/>
  <c r="AM479" i="1"/>
  <c r="K479" i="1"/>
  <c r="AA479" i="1"/>
  <c r="AQ479" i="1"/>
  <c r="C479" i="1"/>
  <c r="D480" i="1"/>
  <c r="H480" i="1"/>
  <c r="L480" i="1"/>
  <c r="P480" i="1"/>
  <c r="T480" i="1"/>
  <c r="X480" i="1"/>
  <c r="AB480" i="1"/>
  <c r="AF480" i="1"/>
  <c r="AJ480" i="1"/>
  <c r="AN480" i="1"/>
  <c r="AR480" i="1"/>
  <c r="AV480" i="1"/>
  <c r="AZ480" i="1"/>
  <c r="E480" i="1"/>
  <c r="I480" i="1"/>
  <c r="M480" i="1"/>
  <c r="Q480" i="1"/>
  <c r="U480" i="1"/>
  <c r="Y480" i="1"/>
  <c r="AC480" i="1"/>
  <c r="AG480" i="1"/>
  <c r="AK480" i="1"/>
  <c r="AO480" i="1"/>
  <c r="AS480" i="1"/>
  <c r="AW480" i="1"/>
  <c r="G480" i="1"/>
  <c r="K480" i="1"/>
  <c r="O480" i="1"/>
  <c r="S480" i="1"/>
  <c r="W480" i="1"/>
  <c r="AA480" i="1"/>
  <c r="AE480" i="1"/>
  <c r="AI480" i="1"/>
  <c r="AM480" i="1"/>
  <c r="AQ480" i="1"/>
  <c r="AU480" i="1"/>
  <c r="AY480" i="1"/>
  <c r="J480" i="1"/>
  <c r="Z480" i="1"/>
  <c r="AP480" i="1"/>
  <c r="N480" i="1"/>
  <c r="AD480" i="1"/>
  <c r="AT480" i="1"/>
  <c r="R480" i="1"/>
  <c r="AH480" i="1"/>
  <c r="AX480" i="1"/>
  <c r="F480" i="1"/>
  <c r="V480" i="1"/>
  <c r="AL480" i="1"/>
  <c r="C480" i="1"/>
  <c r="G481" i="1"/>
  <c r="K481" i="1"/>
  <c r="O481" i="1"/>
  <c r="S481" i="1"/>
  <c r="W481" i="1"/>
  <c r="AA481" i="1"/>
  <c r="AE481" i="1"/>
  <c r="AI481" i="1"/>
  <c r="AM481" i="1"/>
  <c r="AQ481" i="1"/>
  <c r="AU481" i="1"/>
  <c r="AY481" i="1"/>
  <c r="D481" i="1"/>
  <c r="H481" i="1"/>
  <c r="L481" i="1"/>
  <c r="P481" i="1"/>
  <c r="T481" i="1"/>
  <c r="X481" i="1"/>
  <c r="AB481" i="1"/>
  <c r="AF481" i="1"/>
  <c r="AJ481" i="1"/>
  <c r="AN481" i="1"/>
  <c r="AR481" i="1"/>
  <c r="AV481" i="1"/>
  <c r="AZ481" i="1"/>
  <c r="F481" i="1"/>
  <c r="J481" i="1"/>
  <c r="N481" i="1"/>
  <c r="R481" i="1"/>
  <c r="V481" i="1"/>
  <c r="Z481" i="1"/>
  <c r="AD481" i="1"/>
  <c r="AH481" i="1"/>
  <c r="AL481" i="1"/>
  <c r="AP481" i="1"/>
  <c r="AT481" i="1"/>
  <c r="AX481" i="1"/>
  <c r="E481" i="1"/>
  <c r="U481" i="1"/>
  <c r="AK481" i="1"/>
  <c r="I481" i="1"/>
  <c r="Y481" i="1"/>
  <c r="AO481" i="1"/>
  <c r="M481" i="1"/>
  <c r="AC481" i="1"/>
  <c r="AS481" i="1"/>
  <c r="Q481" i="1"/>
  <c r="AG481" i="1"/>
  <c r="AW481" i="1"/>
  <c r="C481" i="1"/>
  <c r="F482" i="1"/>
  <c r="J482" i="1"/>
  <c r="N482" i="1"/>
  <c r="R482" i="1"/>
  <c r="V482" i="1"/>
  <c r="Z482" i="1"/>
  <c r="AD482" i="1"/>
  <c r="AH482" i="1"/>
  <c r="AL482" i="1"/>
  <c r="AP482" i="1"/>
  <c r="AT482" i="1"/>
  <c r="AX482" i="1"/>
  <c r="G482" i="1"/>
  <c r="K482" i="1"/>
  <c r="O482" i="1"/>
  <c r="S482" i="1"/>
  <c r="W482" i="1"/>
  <c r="AA482" i="1"/>
  <c r="AE482" i="1"/>
  <c r="AI482" i="1"/>
  <c r="AM482" i="1"/>
  <c r="AQ482" i="1"/>
  <c r="AU482" i="1"/>
  <c r="AY482" i="1"/>
  <c r="E482" i="1"/>
  <c r="I482" i="1"/>
  <c r="M482" i="1"/>
  <c r="Q482" i="1"/>
  <c r="U482" i="1"/>
  <c r="Y482" i="1"/>
  <c r="AC482" i="1"/>
  <c r="AG482" i="1"/>
  <c r="AK482" i="1"/>
  <c r="AO482" i="1"/>
  <c r="AS482" i="1"/>
  <c r="AW482" i="1"/>
  <c r="P482" i="1"/>
  <c r="AF482" i="1"/>
  <c r="AV482" i="1"/>
  <c r="D482" i="1"/>
  <c r="T482" i="1"/>
  <c r="AJ482" i="1"/>
  <c r="AZ482" i="1"/>
  <c r="H482" i="1"/>
  <c r="X482" i="1"/>
  <c r="AN482" i="1"/>
  <c r="L482" i="1"/>
  <c r="AB482" i="1"/>
  <c r="AR482" i="1"/>
  <c r="C482" i="1"/>
  <c r="E483" i="1"/>
  <c r="I483" i="1"/>
  <c r="M483" i="1"/>
  <c r="Q483" i="1"/>
  <c r="U483" i="1"/>
  <c r="Y483" i="1"/>
  <c r="AC483" i="1"/>
  <c r="AG483" i="1"/>
  <c r="AK483" i="1"/>
  <c r="AO483" i="1"/>
  <c r="AS483" i="1"/>
  <c r="AW483" i="1"/>
  <c r="F483" i="1"/>
  <c r="J483" i="1"/>
  <c r="N483" i="1"/>
  <c r="R483" i="1"/>
  <c r="V483" i="1"/>
  <c r="Z483" i="1"/>
  <c r="AD483" i="1"/>
  <c r="AH483" i="1"/>
  <c r="AL483" i="1"/>
  <c r="AP483" i="1"/>
  <c r="AT483" i="1"/>
  <c r="AX483" i="1"/>
  <c r="D483" i="1"/>
  <c r="H483" i="1"/>
  <c r="L483" i="1"/>
  <c r="P483" i="1"/>
  <c r="T483" i="1"/>
  <c r="X483" i="1"/>
  <c r="AB483" i="1"/>
  <c r="AF483" i="1"/>
  <c r="AJ483" i="1"/>
  <c r="AN483" i="1"/>
  <c r="AR483" i="1"/>
  <c r="AV483" i="1"/>
  <c r="AZ483" i="1"/>
  <c r="K483" i="1"/>
  <c r="AA483" i="1"/>
  <c r="AQ483" i="1"/>
  <c r="O483" i="1"/>
  <c r="AE483" i="1"/>
  <c r="AU483" i="1"/>
  <c r="S483" i="1"/>
  <c r="AI483" i="1"/>
  <c r="AY483" i="1"/>
  <c r="G483" i="1"/>
  <c r="W483" i="1"/>
  <c r="AM483" i="1"/>
  <c r="C483" i="1"/>
  <c r="D484" i="1"/>
  <c r="H484" i="1"/>
  <c r="L484" i="1"/>
  <c r="P484" i="1"/>
  <c r="T484" i="1"/>
  <c r="X484" i="1"/>
  <c r="AB484" i="1"/>
  <c r="AF484" i="1"/>
  <c r="AJ484" i="1"/>
  <c r="AN484" i="1"/>
  <c r="AR484" i="1"/>
  <c r="AV484" i="1"/>
  <c r="AZ484" i="1"/>
  <c r="E484" i="1"/>
  <c r="I484" i="1"/>
  <c r="M484" i="1"/>
  <c r="Q484" i="1"/>
  <c r="U484" i="1"/>
  <c r="Y484" i="1"/>
  <c r="AC484" i="1"/>
  <c r="AG484" i="1"/>
  <c r="AK484" i="1"/>
  <c r="AO484" i="1"/>
  <c r="AS484" i="1"/>
  <c r="AW484" i="1"/>
  <c r="G484" i="1"/>
  <c r="K484" i="1"/>
  <c r="O484" i="1"/>
  <c r="S484" i="1"/>
  <c r="W484" i="1"/>
  <c r="AA484" i="1"/>
  <c r="AE484" i="1"/>
  <c r="AI484" i="1"/>
  <c r="AM484" i="1"/>
  <c r="AQ484" i="1"/>
  <c r="AU484" i="1"/>
  <c r="AY484" i="1"/>
  <c r="F484" i="1"/>
  <c r="V484" i="1"/>
  <c r="AL484" i="1"/>
  <c r="J484" i="1"/>
  <c r="Z484" i="1"/>
  <c r="AP484" i="1"/>
  <c r="N484" i="1"/>
  <c r="AD484" i="1"/>
  <c r="AT484" i="1"/>
  <c r="R484" i="1"/>
  <c r="AH484" i="1"/>
  <c r="AX484" i="1"/>
  <c r="C484" i="1"/>
  <c r="G485" i="1"/>
  <c r="K485" i="1"/>
  <c r="O485" i="1"/>
  <c r="S485" i="1"/>
  <c r="W485" i="1"/>
  <c r="AA485" i="1"/>
  <c r="AE485" i="1"/>
  <c r="AI485" i="1"/>
  <c r="AM485" i="1"/>
  <c r="AQ485" i="1"/>
  <c r="AU485" i="1"/>
  <c r="AY485" i="1"/>
  <c r="D485" i="1"/>
  <c r="H485" i="1"/>
  <c r="L485" i="1"/>
  <c r="P485" i="1"/>
  <c r="T485" i="1"/>
  <c r="X485" i="1"/>
  <c r="AB485" i="1"/>
  <c r="AF485" i="1"/>
  <c r="AJ485" i="1"/>
  <c r="AN485" i="1"/>
  <c r="AR485" i="1"/>
  <c r="AV485" i="1"/>
  <c r="AZ485" i="1"/>
  <c r="F485" i="1"/>
  <c r="J485" i="1"/>
  <c r="N485" i="1"/>
  <c r="R485" i="1"/>
  <c r="V485" i="1"/>
  <c r="Z485" i="1"/>
  <c r="AD485" i="1"/>
  <c r="AH485" i="1"/>
  <c r="AL485" i="1"/>
  <c r="AP485" i="1"/>
  <c r="AT485" i="1"/>
  <c r="AX485" i="1"/>
  <c r="Q485" i="1"/>
  <c r="AG485" i="1"/>
  <c r="AW485" i="1"/>
  <c r="E485" i="1"/>
  <c r="U485" i="1"/>
  <c r="AK485" i="1"/>
  <c r="I485" i="1"/>
  <c r="Y485" i="1"/>
  <c r="AO485" i="1"/>
  <c r="M485" i="1"/>
  <c r="AC485" i="1"/>
  <c r="AS485" i="1"/>
  <c r="C485" i="1"/>
  <c r="F486" i="1"/>
  <c r="J486" i="1"/>
  <c r="N486" i="1"/>
  <c r="R486" i="1"/>
  <c r="V486" i="1"/>
  <c r="Z486" i="1"/>
  <c r="AD486" i="1"/>
  <c r="AH486" i="1"/>
  <c r="AL486" i="1"/>
  <c r="AP486" i="1"/>
  <c r="AT486" i="1"/>
  <c r="AX486" i="1"/>
  <c r="G486" i="1"/>
  <c r="K486" i="1"/>
  <c r="O486" i="1"/>
  <c r="S486" i="1"/>
  <c r="W486" i="1"/>
  <c r="AA486" i="1"/>
  <c r="AE486" i="1"/>
  <c r="AI486" i="1"/>
  <c r="AM486" i="1"/>
  <c r="AQ486" i="1"/>
  <c r="AU486" i="1"/>
  <c r="AY486" i="1"/>
  <c r="E486" i="1"/>
  <c r="I486" i="1"/>
  <c r="M486" i="1"/>
  <c r="Q486" i="1"/>
  <c r="U486" i="1"/>
  <c r="Y486" i="1"/>
  <c r="AC486" i="1"/>
  <c r="AG486" i="1"/>
  <c r="AK486" i="1"/>
  <c r="AO486" i="1"/>
  <c r="AS486" i="1"/>
  <c r="AW486" i="1"/>
  <c r="L486" i="1"/>
  <c r="AB486" i="1"/>
  <c r="AR486" i="1"/>
  <c r="P486" i="1"/>
  <c r="AF486" i="1"/>
  <c r="AV486" i="1"/>
  <c r="D486" i="1"/>
  <c r="T486" i="1"/>
  <c r="AJ486" i="1"/>
  <c r="AZ486" i="1"/>
  <c r="H486" i="1"/>
  <c r="X486" i="1"/>
  <c r="AN486" i="1"/>
  <c r="C486" i="1"/>
  <c r="E487" i="1"/>
  <c r="I487" i="1"/>
  <c r="M487" i="1"/>
  <c r="Q487" i="1"/>
  <c r="U487" i="1"/>
  <c r="Y487" i="1"/>
  <c r="AC487" i="1"/>
  <c r="AG487" i="1"/>
  <c r="AK487" i="1"/>
  <c r="AO487" i="1"/>
  <c r="AS487" i="1"/>
  <c r="AW487" i="1"/>
  <c r="F487" i="1"/>
  <c r="J487" i="1"/>
  <c r="N487" i="1"/>
  <c r="R487" i="1"/>
  <c r="V487" i="1"/>
  <c r="Z487" i="1"/>
  <c r="AD487" i="1"/>
  <c r="AH487" i="1"/>
  <c r="AL487" i="1"/>
  <c r="AP487" i="1"/>
  <c r="AT487" i="1"/>
  <c r="AX487" i="1"/>
  <c r="D487" i="1"/>
  <c r="H487" i="1"/>
  <c r="L487" i="1"/>
  <c r="P487" i="1"/>
  <c r="T487" i="1"/>
  <c r="X487" i="1"/>
  <c r="AB487" i="1"/>
  <c r="AF487" i="1"/>
  <c r="AJ487" i="1"/>
  <c r="AN487" i="1"/>
  <c r="AR487" i="1"/>
  <c r="AV487" i="1"/>
  <c r="AZ487" i="1"/>
  <c r="G487" i="1"/>
  <c r="W487" i="1"/>
  <c r="AM487" i="1"/>
  <c r="K487" i="1"/>
  <c r="AA487" i="1"/>
  <c r="AQ487" i="1"/>
  <c r="O487" i="1"/>
  <c r="AE487" i="1"/>
  <c r="AU487" i="1"/>
  <c r="S487" i="1"/>
  <c r="AI487" i="1"/>
  <c r="AY487" i="1"/>
  <c r="C487" i="1"/>
  <c r="D488" i="1"/>
  <c r="H488" i="1"/>
  <c r="L488" i="1"/>
  <c r="P488" i="1"/>
  <c r="T488" i="1"/>
  <c r="X488" i="1"/>
  <c r="AB488" i="1"/>
  <c r="AF488" i="1"/>
  <c r="AJ488" i="1"/>
  <c r="AN488" i="1"/>
  <c r="AR488" i="1"/>
  <c r="AV488" i="1"/>
  <c r="AZ488" i="1"/>
  <c r="E488" i="1"/>
  <c r="I488" i="1"/>
  <c r="M488" i="1"/>
  <c r="Q488" i="1"/>
  <c r="U488" i="1"/>
  <c r="Y488" i="1"/>
  <c r="AC488" i="1"/>
  <c r="AG488" i="1"/>
  <c r="AK488" i="1"/>
  <c r="AO488" i="1"/>
  <c r="AS488" i="1"/>
  <c r="AW488" i="1"/>
  <c r="G488" i="1"/>
  <c r="K488" i="1"/>
  <c r="O488" i="1"/>
  <c r="S488" i="1"/>
  <c r="W488" i="1"/>
  <c r="AA488" i="1"/>
  <c r="AE488" i="1"/>
  <c r="AI488" i="1"/>
  <c r="AM488" i="1"/>
  <c r="AQ488" i="1"/>
  <c r="AU488" i="1"/>
  <c r="AY488" i="1"/>
  <c r="R488" i="1"/>
  <c r="AH488" i="1"/>
  <c r="AX488" i="1"/>
  <c r="F488" i="1"/>
  <c r="V488" i="1"/>
  <c r="AL488" i="1"/>
  <c r="J488" i="1"/>
  <c r="Z488" i="1"/>
  <c r="AP488" i="1"/>
  <c r="N488" i="1"/>
  <c r="AD488" i="1"/>
  <c r="AT488" i="1"/>
  <c r="C488" i="1"/>
  <c r="G489" i="1"/>
  <c r="K489" i="1"/>
  <c r="O489" i="1"/>
  <c r="S489" i="1"/>
  <c r="W489" i="1"/>
  <c r="AA489" i="1"/>
  <c r="AE489" i="1"/>
  <c r="AI489" i="1"/>
  <c r="AM489" i="1"/>
  <c r="AQ489" i="1"/>
  <c r="AU489" i="1"/>
  <c r="AY489" i="1"/>
  <c r="D489" i="1"/>
  <c r="H489" i="1"/>
  <c r="L489" i="1"/>
  <c r="P489" i="1"/>
  <c r="T489" i="1"/>
  <c r="X489" i="1"/>
  <c r="AB489" i="1"/>
  <c r="AF489" i="1"/>
  <c r="AJ489" i="1"/>
  <c r="AN489" i="1"/>
  <c r="AR489" i="1"/>
  <c r="AV489" i="1"/>
  <c r="AZ489" i="1"/>
  <c r="F489" i="1"/>
  <c r="J489" i="1"/>
  <c r="N489" i="1"/>
  <c r="R489" i="1"/>
  <c r="V489" i="1"/>
  <c r="Z489" i="1"/>
  <c r="AD489" i="1"/>
  <c r="AH489" i="1"/>
  <c r="AL489" i="1"/>
  <c r="AP489" i="1"/>
  <c r="AT489" i="1"/>
  <c r="AX489" i="1"/>
  <c r="M489" i="1"/>
  <c r="AC489" i="1"/>
  <c r="AS489" i="1"/>
  <c r="Q489" i="1"/>
  <c r="AG489" i="1"/>
  <c r="AW489" i="1"/>
  <c r="E489" i="1"/>
  <c r="U489" i="1"/>
  <c r="AK489" i="1"/>
  <c r="I489" i="1"/>
  <c r="Y489" i="1"/>
  <c r="AO489" i="1"/>
  <c r="C489" i="1"/>
  <c r="F490" i="1"/>
  <c r="J490" i="1"/>
  <c r="N490" i="1"/>
  <c r="R490" i="1"/>
  <c r="V490" i="1"/>
  <c r="Z490" i="1"/>
  <c r="AD490" i="1"/>
  <c r="AH490" i="1"/>
  <c r="AL490" i="1"/>
  <c r="AP490" i="1"/>
  <c r="AT490" i="1"/>
  <c r="AX490" i="1"/>
  <c r="G490" i="1"/>
  <c r="K490" i="1"/>
  <c r="O490" i="1"/>
  <c r="S490" i="1"/>
  <c r="W490" i="1"/>
  <c r="AA490" i="1"/>
  <c r="AE490" i="1"/>
  <c r="AI490" i="1"/>
  <c r="AM490" i="1"/>
  <c r="AQ490" i="1"/>
  <c r="AU490" i="1"/>
  <c r="AY490" i="1"/>
  <c r="E490" i="1"/>
  <c r="I490" i="1"/>
  <c r="M490" i="1"/>
  <c r="Q490" i="1"/>
  <c r="U490" i="1"/>
  <c r="Y490" i="1"/>
  <c r="AC490" i="1"/>
  <c r="AG490" i="1"/>
  <c r="AK490" i="1"/>
  <c r="AO490" i="1"/>
  <c r="AS490" i="1"/>
  <c r="AW490" i="1"/>
  <c r="H490" i="1"/>
  <c r="X490" i="1"/>
  <c r="AN490" i="1"/>
  <c r="L490" i="1"/>
  <c r="AB490" i="1"/>
  <c r="AR490" i="1"/>
  <c r="P490" i="1"/>
  <c r="AF490" i="1"/>
  <c r="AV490" i="1"/>
  <c r="D490" i="1"/>
  <c r="T490" i="1"/>
  <c r="AJ490" i="1"/>
  <c r="AZ490" i="1"/>
  <c r="C490" i="1"/>
  <c r="E491" i="1"/>
  <c r="I491" i="1"/>
  <c r="M491" i="1"/>
  <c r="Q491" i="1"/>
  <c r="U491" i="1"/>
  <c r="Y491" i="1"/>
  <c r="AC491" i="1"/>
  <c r="AG491" i="1"/>
  <c r="AK491" i="1"/>
  <c r="AO491" i="1"/>
  <c r="AS491" i="1"/>
  <c r="AW491" i="1"/>
  <c r="F491" i="1"/>
  <c r="J491" i="1"/>
  <c r="N491" i="1"/>
  <c r="R491" i="1"/>
  <c r="V491" i="1"/>
  <c r="Z491" i="1"/>
  <c r="AD491" i="1"/>
  <c r="AH491" i="1"/>
  <c r="AL491" i="1"/>
  <c r="AP491" i="1"/>
  <c r="AT491" i="1"/>
  <c r="AX491" i="1"/>
  <c r="D491" i="1"/>
  <c r="H491" i="1"/>
  <c r="L491" i="1"/>
  <c r="P491" i="1"/>
  <c r="T491" i="1"/>
  <c r="X491" i="1"/>
  <c r="AB491" i="1"/>
  <c r="AF491" i="1"/>
  <c r="AJ491" i="1"/>
  <c r="AN491" i="1"/>
  <c r="AR491" i="1"/>
  <c r="AV491" i="1"/>
  <c r="AZ491" i="1"/>
  <c r="S491" i="1"/>
  <c r="AI491" i="1"/>
  <c r="AY491" i="1"/>
  <c r="G491" i="1"/>
  <c r="W491" i="1"/>
  <c r="AM491" i="1"/>
  <c r="K491" i="1"/>
  <c r="AA491" i="1"/>
  <c r="AQ491" i="1"/>
  <c r="O491" i="1"/>
  <c r="AE491" i="1"/>
  <c r="AU491" i="1"/>
  <c r="C491" i="1"/>
  <c r="D492" i="1"/>
  <c r="H492" i="1"/>
  <c r="L492" i="1"/>
  <c r="P492" i="1"/>
  <c r="T492" i="1"/>
  <c r="X492" i="1"/>
  <c r="AB492" i="1"/>
  <c r="AF492" i="1"/>
  <c r="AJ492" i="1"/>
  <c r="AN492" i="1"/>
  <c r="AR492" i="1"/>
  <c r="AV492" i="1"/>
  <c r="AZ492" i="1"/>
  <c r="E492" i="1"/>
  <c r="I492" i="1"/>
  <c r="M492" i="1"/>
  <c r="Q492" i="1"/>
  <c r="U492" i="1"/>
  <c r="Y492" i="1"/>
  <c r="AC492" i="1"/>
  <c r="AG492" i="1"/>
  <c r="AK492" i="1"/>
  <c r="AO492" i="1"/>
  <c r="AS492" i="1"/>
  <c r="AW492" i="1"/>
  <c r="G492" i="1"/>
  <c r="K492" i="1"/>
  <c r="O492" i="1"/>
  <c r="S492" i="1"/>
  <c r="W492" i="1"/>
  <c r="AA492" i="1"/>
  <c r="AE492" i="1"/>
  <c r="AI492" i="1"/>
  <c r="AM492" i="1"/>
  <c r="AQ492" i="1"/>
  <c r="AU492" i="1"/>
  <c r="AY492" i="1"/>
  <c r="N492" i="1"/>
  <c r="AD492" i="1"/>
  <c r="AT492" i="1"/>
  <c r="R492" i="1"/>
  <c r="AH492" i="1"/>
  <c r="AX492" i="1"/>
  <c r="F492" i="1"/>
  <c r="V492" i="1"/>
  <c r="AL492" i="1"/>
  <c r="J492" i="1"/>
  <c r="Z492" i="1"/>
  <c r="AP492" i="1"/>
  <c r="C492" i="1"/>
  <c r="G493" i="1"/>
  <c r="K493" i="1"/>
  <c r="O493" i="1"/>
  <c r="S493" i="1"/>
  <c r="W493" i="1"/>
  <c r="AA493" i="1"/>
  <c r="AE493" i="1"/>
  <c r="AI493" i="1"/>
  <c r="AM493" i="1"/>
  <c r="AQ493" i="1"/>
  <c r="AU493" i="1"/>
  <c r="AY493" i="1"/>
  <c r="D493" i="1"/>
  <c r="H493" i="1"/>
  <c r="L493" i="1"/>
  <c r="P493" i="1"/>
  <c r="T493" i="1"/>
  <c r="X493" i="1"/>
  <c r="AB493" i="1"/>
  <c r="AF493" i="1"/>
  <c r="AJ493" i="1"/>
  <c r="AN493" i="1"/>
  <c r="AR493" i="1"/>
  <c r="AV493" i="1"/>
  <c r="AZ493" i="1"/>
  <c r="F493" i="1"/>
  <c r="J493" i="1"/>
  <c r="N493" i="1"/>
  <c r="R493" i="1"/>
  <c r="V493" i="1"/>
  <c r="Z493" i="1"/>
  <c r="AD493" i="1"/>
  <c r="AH493" i="1"/>
  <c r="AL493" i="1"/>
  <c r="AP493" i="1"/>
  <c r="AT493" i="1"/>
  <c r="AX493" i="1"/>
  <c r="I493" i="1"/>
  <c r="Y493" i="1"/>
  <c r="AO493" i="1"/>
  <c r="M493" i="1"/>
  <c r="AC493" i="1"/>
  <c r="AS493" i="1"/>
  <c r="Q493" i="1"/>
  <c r="AG493" i="1"/>
  <c r="AW493" i="1"/>
  <c r="E493" i="1"/>
  <c r="U493" i="1"/>
  <c r="AK493" i="1"/>
  <c r="C493" i="1"/>
  <c r="F494" i="1"/>
  <c r="J494" i="1"/>
  <c r="N494" i="1"/>
  <c r="R494" i="1"/>
  <c r="V494" i="1"/>
  <c r="Z494" i="1"/>
  <c r="AD494" i="1"/>
  <c r="AH494" i="1"/>
  <c r="AL494" i="1"/>
  <c r="AP494" i="1"/>
  <c r="AT494" i="1"/>
  <c r="AX494" i="1"/>
  <c r="G494" i="1"/>
  <c r="K494" i="1"/>
  <c r="O494" i="1"/>
  <c r="S494" i="1"/>
  <c r="W494" i="1"/>
  <c r="AA494" i="1"/>
  <c r="AE494" i="1"/>
  <c r="AI494" i="1"/>
  <c r="AM494" i="1"/>
  <c r="AQ494" i="1"/>
  <c r="AU494" i="1"/>
  <c r="AY494" i="1"/>
  <c r="E494" i="1"/>
  <c r="I494" i="1"/>
  <c r="M494" i="1"/>
  <c r="Q494" i="1"/>
  <c r="U494" i="1"/>
  <c r="Y494" i="1"/>
  <c r="AC494" i="1"/>
  <c r="AG494" i="1"/>
  <c r="AK494" i="1"/>
  <c r="AO494" i="1"/>
  <c r="AS494" i="1"/>
  <c r="AW494" i="1"/>
  <c r="D494" i="1"/>
  <c r="T494" i="1"/>
  <c r="AJ494" i="1"/>
  <c r="AZ494" i="1"/>
  <c r="H494" i="1"/>
  <c r="X494" i="1"/>
  <c r="AN494" i="1"/>
  <c r="L494" i="1"/>
  <c r="AB494" i="1"/>
  <c r="AR494" i="1"/>
  <c r="P494" i="1"/>
  <c r="AF494" i="1"/>
  <c r="AV494" i="1"/>
  <c r="C494" i="1"/>
  <c r="E495" i="1"/>
  <c r="I495" i="1"/>
  <c r="M495" i="1"/>
  <c r="Q495" i="1"/>
  <c r="U495" i="1"/>
  <c r="Y495" i="1"/>
  <c r="AC495" i="1"/>
  <c r="AG495" i="1"/>
  <c r="AK495" i="1"/>
  <c r="AO495" i="1"/>
  <c r="AS495" i="1"/>
  <c r="AW495" i="1"/>
  <c r="F495" i="1"/>
  <c r="J495" i="1"/>
  <c r="N495" i="1"/>
  <c r="R495" i="1"/>
  <c r="V495" i="1"/>
  <c r="Z495" i="1"/>
  <c r="AD495" i="1"/>
  <c r="AH495" i="1"/>
  <c r="AL495" i="1"/>
  <c r="AP495" i="1"/>
  <c r="AT495" i="1"/>
  <c r="AX495" i="1"/>
  <c r="D495" i="1"/>
  <c r="H495" i="1"/>
  <c r="L495" i="1"/>
  <c r="P495" i="1"/>
  <c r="T495" i="1"/>
  <c r="X495" i="1"/>
  <c r="AB495" i="1"/>
  <c r="AF495" i="1"/>
  <c r="AJ495" i="1"/>
  <c r="AN495" i="1"/>
  <c r="AR495" i="1"/>
  <c r="AV495" i="1"/>
  <c r="AZ495" i="1"/>
  <c r="O495" i="1"/>
  <c r="AE495" i="1"/>
  <c r="AU495" i="1"/>
  <c r="S495" i="1"/>
  <c r="AI495" i="1"/>
  <c r="AY495" i="1"/>
  <c r="G495" i="1"/>
  <c r="W495" i="1"/>
  <c r="AM495" i="1"/>
  <c r="K495" i="1"/>
  <c r="AA495" i="1"/>
  <c r="AQ495" i="1"/>
  <c r="C495" i="1"/>
  <c r="D496" i="1"/>
  <c r="H496" i="1"/>
  <c r="L496" i="1"/>
  <c r="P496" i="1"/>
  <c r="T496" i="1"/>
  <c r="X496" i="1"/>
  <c r="AB496" i="1"/>
  <c r="AF496" i="1"/>
  <c r="AJ496" i="1"/>
  <c r="AN496" i="1"/>
  <c r="AR496" i="1"/>
  <c r="AV496" i="1"/>
  <c r="AZ496" i="1"/>
  <c r="E496" i="1"/>
  <c r="I496" i="1"/>
  <c r="M496" i="1"/>
  <c r="Q496" i="1"/>
  <c r="U496" i="1"/>
  <c r="Y496" i="1"/>
  <c r="AC496" i="1"/>
  <c r="AG496" i="1"/>
  <c r="AK496" i="1"/>
  <c r="AO496" i="1"/>
  <c r="AS496" i="1"/>
  <c r="AW496" i="1"/>
  <c r="G496" i="1"/>
  <c r="K496" i="1"/>
  <c r="O496" i="1"/>
  <c r="S496" i="1"/>
  <c r="W496" i="1"/>
  <c r="AA496" i="1"/>
  <c r="AE496" i="1"/>
  <c r="AI496" i="1"/>
  <c r="AM496" i="1"/>
  <c r="AQ496" i="1"/>
  <c r="AU496" i="1"/>
  <c r="AY496" i="1"/>
  <c r="J496" i="1"/>
  <c r="Z496" i="1"/>
  <c r="AP496" i="1"/>
  <c r="N496" i="1"/>
  <c r="AD496" i="1"/>
  <c r="AT496" i="1"/>
  <c r="R496" i="1"/>
  <c r="AH496" i="1"/>
  <c r="AX496" i="1"/>
  <c r="F496" i="1"/>
  <c r="V496" i="1"/>
  <c r="AL496" i="1"/>
  <c r="C496" i="1"/>
  <c r="G497" i="1"/>
  <c r="K497" i="1"/>
  <c r="O497" i="1"/>
  <c r="S497" i="1"/>
  <c r="W497" i="1"/>
  <c r="AA497" i="1"/>
  <c r="AE497" i="1"/>
  <c r="AI497" i="1"/>
  <c r="AM497" i="1"/>
  <c r="AQ497" i="1"/>
  <c r="AU497" i="1"/>
  <c r="AY497" i="1"/>
  <c r="D497" i="1"/>
  <c r="H497" i="1"/>
  <c r="L497" i="1"/>
  <c r="P497" i="1"/>
  <c r="T497" i="1"/>
  <c r="X497" i="1"/>
  <c r="AB497" i="1"/>
  <c r="AF497" i="1"/>
  <c r="AJ497" i="1"/>
  <c r="AN497" i="1"/>
  <c r="AR497" i="1"/>
  <c r="AV497" i="1"/>
  <c r="AZ497" i="1"/>
  <c r="F497" i="1"/>
  <c r="J497" i="1"/>
  <c r="N497" i="1"/>
  <c r="R497" i="1"/>
  <c r="V497" i="1"/>
  <c r="Z497" i="1"/>
  <c r="AD497" i="1"/>
  <c r="AH497" i="1"/>
  <c r="AL497" i="1"/>
  <c r="AP497" i="1"/>
  <c r="AT497" i="1"/>
  <c r="AX497" i="1"/>
  <c r="E497" i="1"/>
  <c r="U497" i="1"/>
  <c r="AK497" i="1"/>
  <c r="I497" i="1"/>
  <c r="Y497" i="1"/>
  <c r="AO497" i="1"/>
  <c r="M497" i="1"/>
  <c r="AC497" i="1"/>
  <c r="AS497" i="1"/>
  <c r="Q497" i="1"/>
  <c r="AG497" i="1"/>
  <c r="AW497" i="1"/>
  <c r="C497" i="1"/>
  <c r="F498" i="1"/>
  <c r="J498" i="1"/>
  <c r="N498" i="1"/>
  <c r="R498" i="1"/>
  <c r="V498" i="1"/>
  <c r="Z498" i="1"/>
  <c r="AD498" i="1"/>
  <c r="AH498" i="1"/>
  <c r="AL498" i="1"/>
  <c r="AP498" i="1"/>
  <c r="AT498" i="1"/>
  <c r="AX498" i="1"/>
  <c r="G498" i="1"/>
  <c r="K498" i="1"/>
  <c r="O498" i="1"/>
  <c r="S498" i="1"/>
  <c r="W498" i="1"/>
  <c r="AA498" i="1"/>
  <c r="AE498" i="1"/>
  <c r="AI498" i="1"/>
  <c r="AM498" i="1"/>
  <c r="AQ498" i="1"/>
  <c r="AU498" i="1"/>
  <c r="AY498" i="1"/>
  <c r="E498" i="1"/>
  <c r="I498" i="1"/>
  <c r="M498" i="1"/>
  <c r="Q498" i="1"/>
  <c r="U498" i="1"/>
  <c r="Y498" i="1"/>
  <c r="AC498" i="1"/>
  <c r="AG498" i="1"/>
  <c r="AK498" i="1"/>
  <c r="AO498" i="1"/>
  <c r="AS498" i="1"/>
  <c r="AW498" i="1"/>
  <c r="P498" i="1"/>
  <c r="AF498" i="1"/>
  <c r="AV498" i="1"/>
  <c r="D498" i="1"/>
  <c r="T498" i="1"/>
  <c r="AJ498" i="1"/>
  <c r="AZ498" i="1"/>
  <c r="H498" i="1"/>
  <c r="X498" i="1"/>
  <c r="AN498" i="1"/>
  <c r="L498" i="1"/>
  <c r="AB498" i="1"/>
  <c r="AR498" i="1"/>
  <c r="C498" i="1"/>
  <c r="E499" i="1"/>
  <c r="I499" i="1"/>
  <c r="M499" i="1"/>
  <c r="Q499" i="1"/>
  <c r="U499" i="1"/>
  <c r="Y499" i="1"/>
  <c r="AC499" i="1"/>
  <c r="AG499" i="1"/>
  <c r="AK499" i="1"/>
  <c r="AO499" i="1"/>
  <c r="AS499" i="1"/>
  <c r="AW499" i="1"/>
  <c r="F499" i="1"/>
  <c r="J499" i="1"/>
  <c r="N499" i="1"/>
  <c r="R499" i="1"/>
  <c r="V499" i="1"/>
  <c r="Z499" i="1"/>
  <c r="AD499" i="1"/>
  <c r="AH499" i="1"/>
  <c r="AL499" i="1"/>
  <c r="AP499" i="1"/>
  <c r="AT499" i="1"/>
  <c r="AX499" i="1"/>
  <c r="D499" i="1"/>
  <c r="H499" i="1"/>
  <c r="L499" i="1"/>
  <c r="P499" i="1"/>
  <c r="T499" i="1"/>
  <c r="X499" i="1"/>
  <c r="AB499" i="1"/>
  <c r="AF499" i="1"/>
  <c r="AJ499" i="1"/>
  <c r="AN499" i="1"/>
  <c r="AR499" i="1"/>
  <c r="AV499" i="1"/>
  <c r="AZ499" i="1"/>
  <c r="K499" i="1"/>
  <c r="AA499" i="1"/>
  <c r="AQ499" i="1"/>
  <c r="O499" i="1"/>
  <c r="AE499" i="1"/>
  <c r="AU499" i="1"/>
  <c r="S499" i="1"/>
  <c r="AI499" i="1"/>
  <c r="AY499" i="1"/>
  <c r="G499" i="1"/>
  <c r="W499" i="1"/>
  <c r="AM499" i="1"/>
  <c r="C499" i="1"/>
  <c r="D500" i="1"/>
  <c r="H500" i="1"/>
  <c r="L500" i="1"/>
  <c r="P500" i="1"/>
  <c r="T500" i="1"/>
  <c r="X500" i="1"/>
  <c r="AB500" i="1"/>
  <c r="AF500" i="1"/>
  <c r="AJ500" i="1"/>
  <c r="AN500" i="1"/>
  <c r="AR500" i="1"/>
  <c r="AV500" i="1"/>
  <c r="AZ500" i="1"/>
  <c r="E500" i="1"/>
  <c r="I500" i="1"/>
  <c r="M500" i="1"/>
  <c r="Q500" i="1"/>
  <c r="U500" i="1"/>
  <c r="Y500" i="1"/>
  <c r="AC500" i="1"/>
  <c r="AG500" i="1"/>
  <c r="AK500" i="1"/>
  <c r="AO500" i="1"/>
  <c r="AS500" i="1"/>
  <c r="AW500" i="1"/>
  <c r="G500" i="1"/>
  <c r="K500" i="1"/>
  <c r="O500" i="1"/>
  <c r="S500" i="1"/>
  <c r="W500" i="1"/>
  <c r="AA500" i="1"/>
  <c r="AE500" i="1"/>
  <c r="AI500" i="1"/>
  <c r="AM500" i="1"/>
  <c r="AQ500" i="1"/>
  <c r="AU500" i="1"/>
  <c r="AY500" i="1"/>
  <c r="F500" i="1"/>
  <c r="V500" i="1"/>
  <c r="AL500" i="1"/>
  <c r="J500" i="1"/>
  <c r="Z500" i="1"/>
  <c r="AP500" i="1"/>
  <c r="N500" i="1"/>
  <c r="AD500" i="1"/>
  <c r="AT500" i="1"/>
  <c r="R500" i="1"/>
  <c r="AH500" i="1"/>
  <c r="AX500" i="1"/>
  <c r="C500" i="1"/>
  <c r="G501" i="1"/>
  <c r="K501" i="1"/>
  <c r="O501" i="1"/>
  <c r="S501" i="1"/>
  <c r="W501" i="1"/>
  <c r="AA501" i="1"/>
  <c r="AE501" i="1"/>
  <c r="AI501" i="1"/>
  <c r="AM501" i="1"/>
  <c r="AQ501" i="1"/>
  <c r="AU501" i="1"/>
  <c r="AY501" i="1"/>
  <c r="D501" i="1"/>
  <c r="H501" i="1"/>
  <c r="L501" i="1"/>
  <c r="P501" i="1"/>
  <c r="T501" i="1"/>
  <c r="X501" i="1"/>
  <c r="AB501" i="1"/>
  <c r="AF501" i="1"/>
  <c r="AJ501" i="1"/>
  <c r="AN501" i="1"/>
  <c r="AR501" i="1"/>
  <c r="AV501" i="1"/>
  <c r="AZ501" i="1"/>
  <c r="F501" i="1"/>
  <c r="J501" i="1"/>
  <c r="N501" i="1"/>
  <c r="R501" i="1"/>
  <c r="V501" i="1"/>
  <c r="Z501" i="1"/>
  <c r="AD501" i="1"/>
  <c r="AH501" i="1"/>
  <c r="AL501" i="1"/>
  <c r="AP501" i="1"/>
  <c r="AT501" i="1"/>
  <c r="AX501" i="1"/>
  <c r="Q501" i="1"/>
  <c r="AG501" i="1"/>
  <c r="AW501" i="1"/>
  <c r="E501" i="1"/>
  <c r="U501" i="1"/>
  <c r="AK501" i="1"/>
  <c r="I501" i="1"/>
  <c r="Y501" i="1"/>
  <c r="AO501" i="1"/>
  <c r="M501" i="1"/>
  <c r="AC501" i="1"/>
  <c r="AS501" i="1"/>
  <c r="C501" i="1"/>
  <c r="F502" i="1"/>
  <c r="J502" i="1"/>
  <c r="N502" i="1"/>
  <c r="R502" i="1"/>
  <c r="V502" i="1"/>
  <c r="Z502" i="1"/>
  <c r="AD502" i="1"/>
  <c r="AH502" i="1"/>
  <c r="AL502" i="1"/>
  <c r="AP502" i="1"/>
  <c r="AT502" i="1"/>
  <c r="AX502" i="1"/>
  <c r="G502" i="1"/>
  <c r="K502" i="1"/>
  <c r="O502" i="1"/>
  <c r="S502" i="1"/>
  <c r="W502" i="1"/>
  <c r="AA502" i="1"/>
  <c r="AE502" i="1"/>
  <c r="AI502" i="1"/>
  <c r="AM502" i="1"/>
  <c r="AQ502" i="1"/>
  <c r="AU502" i="1"/>
  <c r="AY502" i="1"/>
  <c r="E502" i="1"/>
  <c r="I502" i="1"/>
  <c r="M502" i="1"/>
  <c r="Q502" i="1"/>
  <c r="U502" i="1"/>
  <c r="Y502" i="1"/>
  <c r="AC502" i="1"/>
  <c r="AG502" i="1"/>
  <c r="AK502" i="1"/>
  <c r="AO502" i="1"/>
  <c r="AS502" i="1"/>
  <c r="AW502" i="1"/>
  <c r="L502" i="1"/>
  <c r="AB502" i="1"/>
  <c r="AR502" i="1"/>
  <c r="P502" i="1"/>
  <c r="AF502" i="1"/>
  <c r="AV502" i="1"/>
  <c r="D502" i="1"/>
  <c r="T502" i="1"/>
  <c r="AJ502" i="1"/>
  <c r="AZ502" i="1"/>
  <c r="H502" i="1"/>
  <c r="X502" i="1"/>
  <c r="AN502" i="1"/>
  <c r="C502" i="1"/>
  <c r="E503" i="1"/>
  <c r="I503" i="1"/>
  <c r="M503" i="1"/>
  <c r="Q503" i="1"/>
  <c r="U503" i="1"/>
  <c r="Y503" i="1"/>
  <c r="AC503" i="1"/>
  <c r="AG503" i="1"/>
  <c r="AK503" i="1"/>
  <c r="AO503" i="1"/>
  <c r="AS503" i="1"/>
  <c r="AW503" i="1"/>
  <c r="F503" i="1"/>
  <c r="J503" i="1"/>
  <c r="N503" i="1"/>
  <c r="R503" i="1"/>
  <c r="V503" i="1"/>
  <c r="Z503" i="1"/>
  <c r="AD503" i="1"/>
  <c r="AH503" i="1"/>
  <c r="AL503" i="1"/>
  <c r="AP503" i="1"/>
  <c r="AT503" i="1"/>
  <c r="AX503" i="1"/>
  <c r="D503" i="1"/>
  <c r="H503" i="1"/>
  <c r="L503" i="1"/>
  <c r="P503" i="1"/>
  <c r="T503" i="1"/>
  <c r="X503" i="1"/>
  <c r="AB503" i="1"/>
  <c r="AF503" i="1"/>
  <c r="AJ503" i="1"/>
  <c r="AN503" i="1"/>
  <c r="AR503" i="1"/>
  <c r="AV503" i="1"/>
  <c r="AZ503" i="1"/>
  <c r="G503" i="1"/>
  <c r="W503" i="1"/>
  <c r="AM503" i="1"/>
  <c r="K503" i="1"/>
  <c r="AA503" i="1"/>
  <c r="AQ503" i="1"/>
  <c r="O503" i="1"/>
  <c r="AE503" i="1"/>
  <c r="AU503" i="1"/>
  <c r="S503" i="1"/>
  <c r="AI503" i="1"/>
  <c r="AY503" i="1"/>
  <c r="C503" i="1"/>
  <c r="D504" i="1"/>
  <c r="H504" i="1"/>
  <c r="L504" i="1"/>
  <c r="P504" i="1"/>
  <c r="T504" i="1"/>
  <c r="X504" i="1"/>
  <c r="AB504" i="1"/>
  <c r="AF504" i="1"/>
  <c r="AJ504" i="1"/>
  <c r="AN504" i="1"/>
  <c r="AR504" i="1"/>
  <c r="AV504" i="1"/>
  <c r="AZ504" i="1"/>
  <c r="E504" i="1"/>
  <c r="I504" i="1"/>
  <c r="M504" i="1"/>
  <c r="Q504" i="1"/>
  <c r="U504" i="1"/>
  <c r="Y504" i="1"/>
  <c r="AC504" i="1"/>
  <c r="AG504" i="1"/>
  <c r="AK504" i="1"/>
  <c r="AO504" i="1"/>
  <c r="AS504" i="1"/>
  <c r="AW504" i="1"/>
  <c r="G504" i="1"/>
  <c r="K504" i="1"/>
  <c r="O504" i="1"/>
  <c r="S504" i="1"/>
  <c r="W504" i="1"/>
  <c r="AA504" i="1"/>
  <c r="AE504" i="1"/>
  <c r="AI504" i="1"/>
  <c r="AM504" i="1"/>
  <c r="AQ504" i="1"/>
  <c r="AU504" i="1"/>
  <c r="AY504" i="1"/>
  <c r="R504" i="1"/>
  <c r="AH504" i="1"/>
  <c r="AX504" i="1"/>
  <c r="F504" i="1"/>
  <c r="V504" i="1"/>
  <c r="AL504" i="1"/>
  <c r="J504" i="1"/>
  <c r="Z504" i="1"/>
  <c r="AP504" i="1"/>
  <c r="N504" i="1"/>
  <c r="AD504" i="1"/>
  <c r="AT504" i="1"/>
  <c r="C504" i="1"/>
  <c r="G505" i="1"/>
  <c r="K505" i="1"/>
  <c r="O505" i="1"/>
  <c r="S505" i="1"/>
  <c r="W505" i="1"/>
  <c r="AA505" i="1"/>
  <c r="AE505" i="1"/>
  <c r="AI505" i="1"/>
  <c r="AM505" i="1"/>
  <c r="AQ505" i="1"/>
  <c r="AU505" i="1"/>
  <c r="AY505" i="1"/>
  <c r="D505" i="1"/>
  <c r="H505" i="1"/>
  <c r="L505" i="1"/>
  <c r="P505" i="1"/>
  <c r="T505" i="1"/>
  <c r="X505" i="1"/>
  <c r="AB505" i="1"/>
  <c r="AF505" i="1"/>
  <c r="AJ505" i="1"/>
  <c r="AN505" i="1"/>
  <c r="AR505" i="1"/>
  <c r="AV505" i="1"/>
  <c r="AZ505" i="1"/>
  <c r="F505" i="1"/>
  <c r="J505" i="1"/>
  <c r="N505" i="1"/>
  <c r="R505" i="1"/>
  <c r="V505" i="1"/>
  <c r="Z505" i="1"/>
  <c r="AD505" i="1"/>
  <c r="AH505" i="1"/>
  <c r="AL505" i="1"/>
  <c r="AP505" i="1"/>
  <c r="AT505" i="1"/>
  <c r="AX505" i="1"/>
  <c r="M505" i="1"/>
  <c r="AC505" i="1"/>
  <c r="AS505" i="1"/>
  <c r="Q505" i="1"/>
  <c r="AG505" i="1"/>
  <c r="AW505" i="1"/>
  <c r="E505" i="1"/>
  <c r="U505" i="1"/>
  <c r="AK505" i="1"/>
  <c r="I505" i="1"/>
  <c r="Y505" i="1"/>
  <c r="AO505" i="1"/>
  <c r="C505" i="1"/>
  <c r="F506" i="1"/>
  <c r="J506" i="1"/>
  <c r="N506" i="1"/>
  <c r="R506" i="1"/>
  <c r="V506" i="1"/>
  <c r="Z506" i="1"/>
  <c r="AD506" i="1"/>
  <c r="AH506" i="1"/>
  <c r="AL506" i="1"/>
  <c r="AP506" i="1"/>
  <c r="AT506" i="1"/>
  <c r="AX506" i="1"/>
  <c r="G506" i="1"/>
  <c r="K506" i="1"/>
  <c r="O506" i="1"/>
  <c r="S506" i="1"/>
  <c r="W506" i="1"/>
  <c r="AA506" i="1"/>
  <c r="AE506" i="1"/>
  <c r="AI506" i="1"/>
  <c r="AM506" i="1"/>
  <c r="AQ506" i="1"/>
  <c r="AU506" i="1"/>
  <c r="AY506" i="1"/>
  <c r="E506" i="1"/>
  <c r="I506" i="1"/>
  <c r="M506" i="1"/>
  <c r="Q506" i="1"/>
  <c r="U506" i="1"/>
  <c r="Y506" i="1"/>
  <c r="AC506" i="1"/>
  <c r="AG506" i="1"/>
  <c r="AK506" i="1"/>
  <c r="AO506" i="1"/>
  <c r="AS506" i="1"/>
  <c r="AW506" i="1"/>
  <c r="H506" i="1"/>
  <c r="X506" i="1"/>
  <c r="AN506" i="1"/>
  <c r="L506" i="1"/>
  <c r="AB506" i="1"/>
  <c r="AR506" i="1"/>
  <c r="P506" i="1"/>
  <c r="AF506" i="1"/>
  <c r="AV506" i="1"/>
  <c r="D506" i="1"/>
  <c r="T506" i="1"/>
  <c r="AJ506" i="1"/>
  <c r="AZ506" i="1"/>
  <c r="C506" i="1"/>
  <c r="E507" i="1"/>
  <c r="I507" i="1"/>
  <c r="M507" i="1"/>
  <c r="Q507" i="1"/>
  <c r="U507" i="1"/>
  <c r="Y507" i="1"/>
  <c r="AC507" i="1"/>
  <c r="AG507" i="1"/>
  <c r="AK507" i="1"/>
  <c r="AO507" i="1"/>
  <c r="AS507" i="1"/>
  <c r="AW507" i="1"/>
  <c r="F507" i="1"/>
  <c r="J507" i="1"/>
  <c r="N507" i="1"/>
  <c r="R507" i="1"/>
  <c r="V507" i="1"/>
  <c r="Z507" i="1"/>
  <c r="AD507" i="1"/>
  <c r="AH507" i="1"/>
  <c r="AL507" i="1"/>
  <c r="AP507" i="1"/>
  <c r="AT507" i="1"/>
  <c r="AX507" i="1"/>
  <c r="D507" i="1"/>
  <c r="H507" i="1"/>
  <c r="L507" i="1"/>
  <c r="P507" i="1"/>
  <c r="T507" i="1"/>
  <c r="X507" i="1"/>
  <c r="AB507" i="1"/>
  <c r="AF507" i="1"/>
  <c r="AJ507" i="1"/>
  <c r="AN507" i="1"/>
  <c r="AR507" i="1"/>
  <c r="AV507" i="1"/>
  <c r="AZ507" i="1"/>
  <c r="S507" i="1"/>
  <c r="AI507" i="1"/>
  <c r="AY507" i="1"/>
  <c r="G507" i="1"/>
  <c r="W507" i="1"/>
  <c r="AM507" i="1"/>
  <c r="K507" i="1"/>
  <c r="AA507" i="1"/>
  <c r="AQ507" i="1"/>
  <c r="O507" i="1"/>
  <c r="AE507" i="1"/>
  <c r="AU507" i="1"/>
  <c r="C507" i="1"/>
  <c r="D508" i="1"/>
  <c r="H508" i="1"/>
  <c r="L508" i="1"/>
  <c r="P508" i="1"/>
  <c r="T508" i="1"/>
  <c r="X508" i="1"/>
  <c r="AB508" i="1"/>
  <c r="AF508" i="1"/>
  <c r="AJ508" i="1"/>
  <c r="AN508" i="1"/>
  <c r="AR508" i="1"/>
  <c r="AV508" i="1"/>
  <c r="AZ508" i="1"/>
  <c r="E508" i="1"/>
  <c r="I508" i="1"/>
  <c r="M508" i="1"/>
  <c r="Q508" i="1"/>
  <c r="U508" i="1"/>
  <c r="Y508" i="1"/>
  <c r="AC508" i="1"/>
  <c r="AG508" i="1"/>
  <c r="AK508" i="1"/>
  <c r="AO508" i="1"/>
  <c r="AS508" i="1"/>
  <c r="AW508" i="1"/>
  <c r="G508" i="1"/>
  <c r="K508" i="1"/>
  <c r="O508" i="1"/>
  <c r="S508" i="1"/>
  <c r="W508" i="1"/>
  <c r="AA508" i="1"/>
  <c r="AE508" i="1"/>
  <c r="AI508" i="1"/>
  <c r="AM508" i="1"/>
  <c r="AQ508" i="1"/>
  <c r="AU508" i="1"/>
  <c r="AY508" i="1"/>
  <c r="N508" i="1"/>
  <c r="AD508" i="1"/>
  <c r="AT508" i="1"/>
  <c r="R508" i="1"/>
  <c r="AH508" i="1"/>
  <c r="AX508" i="1"/>
  <c r="F508" i="1"/>
  <c r="V508" i="1"/>
  <c r="AL508" i="1"/>
  <c r="J508" i="1"/>
  <c r="Z508" i="1"/>
  <c r="AP508" i="1"/>
  <c r="C508" i="1"/>
  <c r="G509" i="1"/>
  <c r="K509" i="1"/>
  <c r="O509" i="1"/>
  <c r="S509" i="1"/>
  <c r="W509" i="1"/>
  <c r="AA509" i="1"/>
  <c r="AE509" i="1"/>
  <c r="AI509" i="1"/>
  <c r="AM509" i="1"/>
  <c r="AQ509" i="1"/>
  <c r="AU509" i="1"/>
  <c r="AY509" i="1"/>
  <c r="D509" i="1"/>
  <c r="H509" i="1"/>
  <c r="L509" i="1"/>
  <c r="P509" i="1"/>
  <c r="T509" i="1"/>
  <c r="X509" i="1"/>
  <c r="AB509" i="1"/>
  <c r="AF509" i="1"/>
  <c r="AJ509" i="1"/>
  <c r="AN509" i="1"/>
  <c r="AR509" i="1"/>
  <c r="AV509" i="1"/>
  <c r="AZ509" i="1"/>
  <c r="F509" i="1"/>
  <c r="J509" i="1"/>
  <c r="N509" i="1"/>
  <c r="R509" i="1"/>
  <c r="V509" i="1"/>
  <c r="Z509" i="1"/>
  <c r="AD509" i="1"/>
  <c r="AH509" i="1"/>
  <c r="AL509" i="1"/>
  <c r="AP509" i="1"/>
  <c r="AT509" i="1"/>
  <c r="AX509" i="1"/>
  <c r="I509" i="1"/>
  <c r="Y509" i="1"/>
  <c r="AO509" i="1"/>
  <c r="M509" i="1"/>
  <c r="AC509" i="1"/>
  <c r="AS509" i="1"/>
  <c r="Q509" i="1"/>
  <c r="AG509" i="1"/>
  <c r="AW509" i="1"/>
  <c r="E509" i="1"/>
  <c r="U509" i="1"/>
  <c r="AK509" i="1"/>
  <c r="C509" i="1"/>
  <c r="F510" i="1"/>
  <c r="J510" i="1"/>
  <c r="N510" i="1"/>
  <c r="R510" i="1"/>
  <c r="V510" i="1"/>
  <c r="Z510" i="1"/>
  <c r="AD510" i="1"/>
  <c r="AH510" i="1"/>
  <c r="AL510" i="1"/>
  <c r="AP510" i="1"/>
  <c r="AT510" i="1"/>
  <c r="AX510" i="1"/>
  <c r="G510" i="1"/>
  <c r="K510" i="1"/>
  <c r="O510" i="1"/>
  <c r="S510" i="1"/>
  <c r="W510" i="1"/>
  <c r="AA510" i="1"/>
  <c r="AE510" i="1"/>
  <c r="AI510" i="1"/>
  <c r="AM510" i="1"/>
  <c r="AQ510" i="1"/>
  <c r="AU510" i="1"/>
  <c r="AY510" i="1"/>
  <c r="E510" i="1"/>
  <c r="I510" i="1"/>
  <c r="M510" i="1"/>
  <c r="Q510" i="1"/>
  <c r="U510" i="1"/>
  <c r="Y510" i="1"/>
  <c r="AC510" i="1"/>
  <c r="AG510" i="1"/>
  <c r="AK510" i="1"/>
  <c r="AO510" i="1"/>
  <c r="AS510" i="1"/>
  <c r="AW510" i="1"/>
  <c r="D510" i="1"/>
  <c r="T510" i="1"/>
  <c r="AJ510" i="1"/>
  <c r="AZ510" i="1"/>
  <c r="H510" i="1"/>
  <c r="X510" i="1"/>
  <c r="AN510" i="1"/>
  <c r="L510" i="1"/>
  <c r="AB510" i="1"/>
  <c r="AR510" i="1"/>
  <c r="P510" i="1"/>
  <c r="AF510" i="1"/>
  <c r="AV510" i="1"/>
  <c r="C510" i="1"/>
  <c r="E511" i="1"/>
  <c r="I511" i="1"/>
  <c r="M511" i="1"/>
  <c r="Q511" i="1"/>
  <c r="U511" i="1"/>
  <c r="Y511" i="1"/>
  <c r="AC511" i="1"/>
  <c r="AG511" i="1"/>
  <c r="AK511" i="1"/>
  <c r="AO511" i="1"/>
  <c r="AS511" i="1"/>
  <c r="AW511" i="1"/>
  <c r="F511" i="1"/>
  <c r="J511" i="1"/>
  <c r="N511" i="1"/>
  <c r="R511" i="1"/>
  <c r="V511" i="1"/>
  <c r="Z511" i="1"/>
  <c r="AD511" i="1"/>
  <c r="AH511" i="1"/>
  <c r="AL511" i="1"/>
  <c r="AP511" i="1"/>
  <c r="AT511" i="1"/>
  <c r="AX511" i="1"/>
  <c r="D511" i="1"/>
  <c r="H511" i="1"/>
  <c r="L511" i="1"/>
  <c r="P511" i="1"/>
  <c r="T511" i="1"/>
  <c r="X511" i="1"/>
  <c r="AB511" i="1"/>
  <c r="AF511" i="1"/>
  <c r="AJ511" i="1"/>
  <c r="AN511" i="1"/>
  <c r="AR511" i="1"/>
  <c r="AV511" i="1"/>
  <c r="AZ511" i="1"/>
  <c r="O511" i="1"/>
  <c r="AE511" i="1"/>
  <c r="AU511" i="1"/>
  <c r="S511" i="1"/>
  <c r="AI511" i="1"/>
  <c r="AY511" i="1"/>
  <c r="G511" i="1"/>
  <c r="W511" i="1"/>
  <c r="AM511" i="1"/>
  <c r="K511" i="1"/>
  <c r="AA511" i="1"/>
  <c r="AQ511" i="1"/>
  <c r="C511" i="1"/>
  <c r="D512" i="1"/>
  <c r="H512" i="1"/>
  <c r="L512" i="1"/>
  <c r="P512" i="1"/>
  <c r="T512" i="1"/>
  <c r="X512" i="1"/>
  <c r="AB512" i="1"/>
  <c r="AF512" i="1"/>
  <c r="AJ512" i="1"/>
  <c r="AN512" i="1"/>
  <c r="AR512" i="1"/>
  <c r="AV512" i="1"/>
  <c r="AZ512" i="1"/>
  <c r="E512" i="1"/>
  <c r="I512" i="1"/>
  <c r="M512" i="1"/>
  <c r="Q512" i="1"/>
  <c r="U512" i="1"/>
  <c r="Y512" i="1"/>
  <c r="AC512" i="1"/>
  <c r="AG512" i="1"/>
  <c r="AK512" i="1"/>
  <c r="AO512" i="1"/>
  <c r="AS512" i="1"/>
  <c r="AW512" i="1"/>
  <c r="G512" i="1"/>
  <c r="K512" i="1"/>
  <c r="O512" i="1"/>
  <c r="S512" i="1"/>
  <c r="W512" i="1"/>
  <c r="AA512" i="1"/>
  <c r="AE512" i="1"/>
  <c r="AI512" i="1"/>
  <c r="AM512" i="1"/>
  <c r="AQ512" i="1"/>
  <c r="AU512" i="1"/>
  <c r="AY512" i="1"/>
  <c r="J512" i="1"/>
  <c r="Z512" i="1"/>
  <c r="AP512" i="1"/>
  <c r="N512" i="1"/>
  <c r="AD512" i="1"/>
  <c r="AT512" i="1"/>
  <c r="R512" i="1"/>
  <c r="AH512" i="1"/>
  <c r="AX512" i="1"/>
  <c r="F512" i="1"/>
  <c r="V512" i="1"/>
  <c r="AL512" i="1"/>
  <c r="C512" i="1"/>
  <c r="G513" i="1"/>
  <c r="K513" i="1"/>
  <c r="O513" i="1"/>
  <c r="S513" i="1"/>
  <c r="W513" i="1"/>
  <c r="AA513" i="1"/>
  <c r="AE513" i="1"/>
  <c r="AI513" i="1"/>
  <c r="AM513" i="1"/>
  <c r="AQ513" i="1"/>
  <c r="AU513" i="1"/>
  <c r="AY513" i="1"/>
  <c r="D513" i="1"/>
  <c r="H513" i="1"/>
  <c r="L513" i="1"/>
  <c r="P513" i="1"/>
  <c r="T513" i="1"/>
  <c r="X513" i="1"/>
  <c r="AB513" i="1"/>
  <c r="AF513" i="1"/>
  <c r="AJ513" i="1"/>
  <c r="AN513" i="1"/>
  <c r="AR513" i="1"/>
  <c r="AV513" i="1"/>
  <c r="AZ513" i="1"/>
  <c r="F513" i="1"/>
  <c r="J513" i="1"/>
  <c r="N513" i="1"/>
  <c r="R513" i="1"/>
  <c r="V513" i="1"/>
  <c r="Z513" i="1"/>
  <c r="AD513" i="1"/>
  <c r="AH513" i="1"/>
  <c r="AL513" i="1"/>
  <c r="AP513" i="1"/>
  <c r="AT513" i="1"/>
  <c r="AX513" i="1"/>
  <c r="E513" i="1"/>
  <c r="U513" i="1"/>
  <c r="AK513" i="1"/>
  <c r="I513" i="1"/>
  <c r="Y513" i="1"/>
  <c r="AO513" i="1"/>
  <c r="M513" i="1"/>
  <c r="AC513" i="1"/>
  <c r="AS513" i="1"/>
  <c r="Q513" i="1"/>
  <c r="AG513" i="1"/>
  <c r="AW513" i="1"/>
  <c r="C513" i="1"/>
  <c r="F514" i="1"/>
  <c r="J514" i="1"/>
  <c r="N514" i="1"/>
  <c r="R514" i="1"/>
  <c r="V514" i="1"/>
  <c r="Z514" i="1"/>
  <c r="AD514" i="1"/>
  <c r="AH514" i="1"/>
  <c r="AL514" i="1"/>
  <c r="AP514" i="1"/>
  <c r="AT514" i="1"/>
  <c r="AX514" i="1"/>
  <c r="G514" i="1"/>
  <c r="K514" i="1"/>
  <c r="O514" i="1"/>
  <c r="S514" i="1"/>
  <c r="W514" i="1"/>
  <c r="AA514" i="1"/>
  <c r="AE514" i="1"/>
  <c r="AI514" i="1"/>
  <c r="AM514" i="1"/>
  <c r="AQ514" i="1"/>
  <c r="AU514" i="1"/>
  <c r="AY514" i="1"/>
  <c r="E514" i="1"/>
  <c r="I514" i="1"/>
  <c r="M514" i="1"/>
  <c r="Q514" i="1"/>
  <c r="U514" i="1"/>
  <c r="Y514" i="1"/>
  <c r="AC514" i="1"/>
  <c r="AG514" i="1"/>
  <c r="AK514" i="1"/>
  <c r="AO514" i="1"/>
  <c r="AS514" i="1"/>
  <c r="AW514" i="1"/>
  <c r="P514" i="1"/>
  <c r="AF514" i="1"/>
  <c r="AV514" i="1"/>
  <c r="D514" i="1"/>
  <c r="T514" i="1"/>
  <c r="AJ514" i="1"/>
  <c r="AZ514" i="1"/>
  <c r="H514" i="1"/>
  <c r="X514" i="1"/>
  <c r="AN514" i="1"/>
  <c r="L514" i="1"/>
  <c r="AB514" i="1"/>
  <c r="AR514" i="1"/>
  <c r="C514" i="1"/>
  <c r="E515" i="1"/>
  <c r="I515" i="1"/>
  <c r="M515" i="1"/>
  <c r="Q515" i="1"/>
  <c r="U515" i="1"/>
  <c r="Y515" i="1"/>
  <c r="AC515" i="1"/>
  <c r="AG515" i="1"/>
  <c r="AK515" i="1"/>
  <c r="AO515" i="1"/>
  <c r="AS515" i="1"/>
  <c r="AW515" i="1"/>
  <c r="F515" i="1"/>
  <c r="J515" i="1"/>
  <c r="N515" i="1"/>
  <c r="R515" i="1"/>
  <c r="V515" i="1"/>
  <c r="Z515" i="1"/>
  <c r="AD515" i="1"/>
  <c r="AH515" i="1"/>
  <c r="AL515" i="1"/>
  <c r="AP515" i="1"/>
  <c r="AT515" i="1"/>
  <c r="AX515" i="1"/>
  <c r="D515" i="1"/>
  <c r="H515" i="1"/>
  <c r="L515" i="1"/>
  <c r="P515" i="1"/>
  <c r="T515" i="1"/>
  <c r="X515" i="1"/>
  <c r="AB515" i="1"/>
  <c r="AF515" i="1"/>
  <c r="AJ515" i="1"/>
  <c r="AN515" i="1"/>
  <c r="AR515" i="1"/>
  <c r="AV515" i="1"/>
  <c r="AZ515" i="1"/>
  <c r="K515" i="1"/>
  <c r="AA515" i="1"/>
  <c r="AQ515" i="1"/>
  <c r="O515" i="1"/>
  <c r="AE515" i="1"/>
  <c r="AU515" i="1"/>
  <c r="S515" i="1"/>
  <c r="AI515" i="1"/>
  <c r="AY515" i="1"/>
  <c r="G515" i="1"/>
  <c r="W515" i="1"/>
  <c r="AM515" i="1"/>
  <c r="C515" i="1"/>
  <c r="D516" i="1"/>
  <c r="H516" i="1"/>
  <c r="L516" i="1"/>
  <c r="P516" i="1"/>
  <c r="T516" i="1"/>
  <c r="X516" i="1"/>
  <c r="AB516" i="1"/>
  <c r="AF516" i="1"/>
  <c r="AJ516" i="1"/>
  <c r="AN516" i="1"/>
  <c r="AR516" i="1"/>
  <c r="AV516" i="1"/>
  <c r="AZ516" i="1"/>
  <c r="E516" i="1"/>
  <c r="I516" i="1"/>
  <c r="M516" i="1"/>
  <c r="Q516" i="1"/>
  <c r="U516" i="1"/>
  <c r="Y516" i="1"/>
  <c r="AC516" i="1"/>
  <c r="AG516" i="1"/>
  <c r="AK516" i="1"/>
  <c r="AO516" i="1"/>
  <c r="AS516" i="1"/>
  <c r="AW516" i="1"/>
  <c r="G516" i="1"/>
  <c r="K516" i="1"/>
  <c r="O516" i="1"/>
  <c r="S516" i="1"/>
  <c r="W516" i="1"/>
  <c r="AA516" i="1"/>
  <c r="AE516" i="1"/>
  <c r="AI516" i="1"/>
  <c r="AM516" i="1"/>
  <c r="AQ516" i="1"/>
  <c r="AU516" i="1"/>
  <c r="AY516" i="1"/>
  <c r="F516" i="1"/>
  <c r="V516" i="1"/>
  <c r="AL516" i="1"/>
  <c r="J516" i="1"/>
  <c r="Z516" i="1"/>
  <c r="AP516" i="1"/>
  <c r="N516" i="1"/>
  <c r="AD516" i="1"/>
  <c r="AT516" i="1"/>
  <c r="R516" i="1"/>
  <c r="AH516" i="1"/>
  <c r="AX516" i="1"/>
  <c r="C516" i="1"/>
  <c r="G517" i="1"/>
  <c r="K517" i="1"/>
  <c r="O517" i="1"/>
  <c r="S517" i="1"/>
  <c r="W517" i="1"/>
  <c r="AA517" i="1"/>
  <c r="AE517" i="1"/>
  <c r="AI517" i="1"/>
  <c r="AM517" i="1"/>
  <c r="AQ517" i="1"/>
  <c r="AU517" i="1"/>
  <c r="AY517" i="1"/>
  <c r="D517" i="1"/>
  <c r="H517" i="1"/>
  <c r="L517" i="1"/>
  <c r="P517" i="1"/>
  <c r="T517" i="1"/>
  <c r="X517" i="1"/>
  <c r="AB517" i="1"/>
  <c r="AF517" i="1"/>
  <c r="AJ517" i="1"/>
  <c r="AN517" i="1"/>
  <c r="AR517" i="1"/>
  <c r="AV517" i="1"/>
  <c r="AZ517" i="1"/>
  <c r="F517" i="1"/>
  <c r="J517" i="1"/>
  <c r="N517" i="1"/>
  <c r="R517" i="1"/>
  <c r="V517" i="1"/>
  <c r="Z517" i="1"/>
  <c r="AD517" i="1"/>
  <c r="AH517" i="1"/>
  <c r="AL517" i="1"/>
  <c r="AP517" i="1"/>
  <c r="AT517" i="1"/>
  <c r="AX517" i="1"/>
  <c r="Q517" i="1"/>
  <c r="AG517" i="1"/>
  <c r="AW517" i="1"/>
  <c r="E517" i="1"/>
  <c r="U517" i="1"/>
  <c r="AK517" i="1"/>
  <c r="I517" i="1"/>
  <c r="Y517" i="1"/>
  <c r="AO517" i="1"/>
  <c r="M517" i="1"/>
  <c r="AC517" i="1"/>
  <c r="AS517" i="1"/>
  <c r="C517" i="1"/>
  <c r="F518" i="1"/>
  <c r="J518" i="1"/>
  <c r="N518" i="1"/>
  <c r="R518" i="1"/>
  <c r="V518" i="1"/>
  <c r="Z518" i="1"/>
  <c r="AD518" i="1"/>
  <c r="AH518" i="1"/>
  <c r="AL518" i="1"/>
  <c r="AP518" i="1"/>
  <c r="AT518" i="1"/>
  <c r="AX518" i="1"/>
  <c r="G518" i="1"/>
  <c r="K518" i="1"/>
  <c r="O518" i="1"/>
  <c r="S518" i="1"/>
  <c r="W518" i="1"/>
  <c r="AA518" i="1"/>
  <c r="AE518" i="1"/>
  <c r="AI518" i="1"/>
  <c r="AM518" i="1"/>
  <c r="AQ518" i="1"/>
  <c r="AU518" i="1"/>
  <c r="AY518" i="1"/>
  <c r="E518" i="1"/>
  <c r="I518" i="1"/>
  <c r="M518" i="1"/>
  <c r="Q518" i="1"/>
  <c r="U518" i="1"/>
  <c r="Y518" i="1"/>
  <c r="AC518" i="1"/>
  <c r="AG518" i="1"/>
  <c r="AK518" i="1"/>
  <c r="AO518" i="1"/>
  <c r="AS518" i="1"/>
  <c r="AW518" i="1"/>
  <c r="L518" i="1"/>
  <c r="AB518" i="1"/>
  <c r="AR518" i="1"/>
  <c r="P518" i="1"/>
  <c r="AF518" i="1"/>
  <c r="AV518" i="1"/>
  <c r="D518" i="1"/>
  <c r="T518" i="1"/>
  <c r="AJ518" i="1"/>
  <c r="AZ518" i="1"/>
  <c r="H518" i="1"/>
  <c r="X518" i="1"/>
  <c r="AN518" i="1"/>
  <c r="C518" i="1"/>
  <c r="E519" i="1"/>
  <c r="I519" i="1"/>
  <c r="M519" i="1"/>
  <c r="Q519" i="1"/>
  <c r="U519" i="1"/>
  <c r="Y519" i="1"/>
  <c r="AC519" i="1"/>
  <c r="AG519" i="1"/>
  <c r="AK519" i="1"/>
  <c r="AO519" i="1"/>
  <c r="AS519" i="1"/>
  <c r="AW519" i="1"/>
  <c r="F519" i="1"/>
  <c r="J519" i="1"/>
  <c r="N519" i="1"/>
  <c r="R519" i="1"/>
  <c r="V519" i="1"/>
  <c r="Z519" i="1"/>
  <c r="AD519" i="1"/>
  <c r="AH519" i="1"/>
  <c r="AL519" i="1"/>
  <c r="AP519" i="1"/>
  <c r="AT519" i="1"/>
  <c r="AX519" i="1"/>
  <c r="D519" i="1"/>
  <c r="H519" i="1"/>
  <c r="L519" i="1"/>
  <c r="P519" i="1"/>
  <c r="T519" i="1"/>
  <c r="X519" i="1"/>
  <c r="AB519" i="1"/>
  <c r="AF519" i="1"/>
  <c r="AJ519" i="1"/>
  <c r="AN519" i="1"/>
  <c r="AR519" i="1"/>
  <c r="AV519" i="1"/>
  <c r="AZ519" i="1"/>
  <c r="G519" i="1"/>
  <c r="W519" i="1"/>
  <c r="AM519" i="1"/>
  <c r="K519" i="1"/>
  <c r="AA519" i="1"/>
  <c r="AQ519" i="1"/>
  <c r="O519" i="1"/>
  <c r="AE519" i="1"/>
  <c r="AU519" i="1"/>
  <c r="S519" i="1"/>
  <c r="AI519" i="1"/>
  <c r="AY519" i="1"/>
  <c r="C519" i="1"/>
  <c r="D520" i="1"/>
  <c r="H520" i="1"/>
  <c r="L520" i="1"/>
  <c r="P520" i="1"/>
  <c r="T520" i="1"/>
  <c r="X520" i="1"/>
  <c r="AB520" i="1"/>
  <c r="AF520" i="1"/>
  <c r="AJ520" i="1"/>
  <c r="AN520" i="1"/>
  <c r="AR520" i="1"/>
  <c r="AV520" i="1"/>
  <c r="AZ520" i="1"/>
  <c r="E520" i="1"/>
  <c r="I520" i="1"/>
  <c r="M520" i="1"/>
  <c r="Q520" i="1"/>
  <c r="U520" i="1"/>
  <c r="Y520" i="1"/>
  <c r="AC520" i="1"/>
  <c r="AG520" i="1"/>
  <c r="AK520" i="1"/>
  <c r="AO520" i="1"/>
  <c r="AS520" i="1"/>
  <c r="AW520" i="1"/>
  <c r="G520" i="1"/>
  <c r="K520" i="1"/>
  <c r="O520" i="1"/>
  <c r="S520" i="1"/>
  <c r="W520" i="1"/>
  <c r="AA520" i="1"/>
  <c r="AE520" i="1"/>
  <c r="AI520" i="1"/>
  <c r="AM520" i="1"/>
  <c r="AQ520" i="1"/>
  <c r="AU520" i="1"/>
  <c r="AY520" i="1"/>
  <c r="R520" i="1"/>
  <c r="AH520" i="1"/>
  <c r="AX520" i="1"/>
  <c r="F520" i="1"/>
  <c r="V520" i="1"/>
  <c r="AL520" i="1"/>
  <c r="J520" i="1"/>
  <c r="Z520" i="1"/>
  <c r="AP520" i="1"/>
  <c r="N520" i="1"/>
  <c r="AD520" i="1"/>
  <c r="AT520" i="1"/>
  <c r="C520" i="1"/>
  <c r="G521" i="1"/>
  <c r="K521" i="1"/>
  <c r="O521" i="1"/>
  <c r="S521" i="1"/>
  <c r="W521" i="1"/>
  <c r="AA521" i="1"/>
  <c r="AE521" i="1"/>
  <c r="AI521" i="1"/>
  <c r="AM521" i="1"/>
  <c r="AQ521" i="1"/>
  <c r="AU521" i="1"/>
  <c r="AY521" i="1"/>
  <c r="D521" i="1"/>
  <c r="H521" i="1"/>
  <c r="L521" i="1"/>
  <c r="P521" i="1"/>
  <c r="T521" i="1"/>
  <c r="X521" i="1"/>
  <c r="AB521" i="1"/>
  <c r="AF521" i="1"/>
  <c r="AJ521" i="1"/>
  <c r="AN521" i="1"/>
  <c r="AR521" i="1"/>
  <c r="AV521" i="1"/>
  <c r="AZ521" i="1"/>
  <c r="F521" i="1"/>
  <c r="J521" i="1"/>
  <c r="N521" i="1"/>
  <c r="R521" i="1"/>
  <c r="V521" i="1"/>
  <c r="Z521" i="1"/>
  <c r="AD521" i="1"/>
  <c r="AH521" i="1"/>
  <c r="AL521" i="1"/>
  <c r="AP521" i="1"/>
  <c r="AT521" i="1"/>
  <c r="AX521" i="1"/>
  <c r="M521" i="1"/>
  <c r="AC521" i="1"/>
  <c r="AS521" i="1"/>
  <c r="Q521" i="1"/>
  <c r="AG521" i="1"/>
  <c r="AW521" i="1"/>
  <c r="E521" i="1"/>
  <c r="U521" i="1"/>
  <c r="AK521" i="1"/>
  <c r="I521" i="1"/>
  <c r="Y521" i="1"/>
  <c r="AO521" i="1"/>
  <c r="C521" i="1"/>
  <c r="F522" i="1"/>
  <c r="J522" i="1"/>
  <c r="N522" i="1"/>
  <c r="R522" i="1"/>
  <c r="V522" i="1"/>
  <c r="Z522" i="1"/>
  <c r="AD522" i="1"/>
  <c r="AH522" i="1"/>
  <c r="AL522" i="1"/>
  <c r="AP522" i="1"/>
  <c r="AT522" i="1"/>
  <c r="AX522" i="1"/>
  <c r="G522" i="1"/>
  <c r="K522" i="1"/>
  <c r="O522" i="1"/>
  <c r="S522" i="1"/>
  <c r="W522" i="1"/>
  <c r="AA522" i="1"/>
  <c r="AE522" i="1"/>
  <c r="AI522" i="1"/>
  <c r="AM522" i="1"/>
  <c r="AQ522" i="1"/>
  <c r="AU522" i="1"/>
  <c r="AY522" i="1"/>
  <c r="E522" i="1"/>
  <c r="I522" i="1"/>
  <c r="M522" i="1"/>
  <c r="Q522" i="1"/>
  <c r="U522" i="1"/>
  <c r="Y522" i="1"/>
  <c r="AC522" i="1"/>
  <c r="AG522" i="1"/>
  <c r="AK522" i="1"/>
  <c r="AO522" i="1"/>
  <c r="AS522" i="1"/>
  <c r="AW522" i="1"/>
  <c r="H522" i="1"/>
  <c r="X522" i="1"/>
  <c r="AN522" i="1"/>
  <c r="L522" i="1"/>
  <c r="AB522" i="1"/>
  <c r="AR522" i="1"/>
  <c r="P522" i="1"/>
  <c r="AF522" i="1"/>
  <c r="AV522" i="1"/>
  <c r="D522" i="1"/>
  <c r="T522" i="1"/>
  <c r="AJ522" i="1"/>
  <c r="AZ522" i="1"/>
  <c r="C522" i="1"/>
  <c r="E523" i="1"/>
  <c r="I523" i="1"/>
  <c r="M523" i="1"/>
  <c r="Q523" i="1"/>
  <c r="U523" i="1"/>
  <c r="Y523" i="1"/>
  <c r="AC523" i="1"/>
  <c r="AG523" i="1"/>
  <c r="AK523" i="1"/>
  <c r="AO523" i="1"/>
  <c r="AS523" i="1"/>
  <c r="AW523" i="1"/>
  <c r="F523" i="1"/>
  <c r="J523" i="1"/>
  <c r="N523" i="1"/>
  <c r="R523" i="1"/>
  <c r="V523" i="1"/>
  <c r="Z523" i="1"/>
  <c r="AD523" i="1"/>
  <c r="AH523" i="1"/>
  <c r="AL523" i="1"/>
  <c r="AP523" i="1"/>
  <c r="AT523" i="1"/>
  <c r="AX523" i="1"/>
  <c r="D523" i="1"/>
  <c r="H523" i="1"/>
  <c r="L523" i="1"/>
  <c r="P523" i="1"/>
  <c r="T523" i="1"/>
  <c r="X523" i="1"/>
  <c r="AB523" i="1"/>
  <c r="AF523" i="1"/>
  <c r="AJ523" i="1"/>
  <c r="AN523" i="1"/>
  <c r="AR523" i="1"/>
  <c r="AV523" i="1"/>
  <c r="AZ523" i="1"/>
  <c r="S523" i="1"/>
  <c r="AI523" i="1"/>
  <c r="AY523" i="1"/>
  <c r="G523" i="1"/>
  <c r="W523" i="1"/>
  <c r="AM523" i="1"/>
  <c r="K523" i="1"/>
  <c r="AA523" i="1"/>
  <c r="AQ523" i="1"/>
  <c r="O523" i="1"/>
  <c r="AE523" i="1"/>
  <c r="AU523" i="1"/>
  <c r="C523" i="1"/>
  <c r="D524" i="1"/>
  <c r="H524" i="1"/>
  <c r="L524" i="1"/>
  <c r="P524" i="1"/>
  <c r="T524" i="1"/>
  <c r="X524" i="1"/>
  <c r="AB524" i="1"/>
  <c r="AF524" i="1"/>
  <c r="AJ524" i="1"/>
  <c r="AN524" i="1"/>
  <c r="AR524" i="1"/>
  <c r="AV524" i="1"/>
  <c r="AZ524" i="1"/>
  <c r="E524" i="1"/>
  <c r="I524" i="1"/>
  <c r="M524" i="1"/>
  <c r="Q524" i="1"/>
  <c r="U524" i="1"/>
  <c r="Y524" i="1"/>
  <c r="AC524" i="1"/>
  <c r="AG524" i="1"/>
  <c r="AK524" i="1"/>
  <c r="AO524" i="1"/>
  <c r="AS524" i="1"/>
  <c r="AW524" i="1"/>
  <c r="G524" i="1"/>
  <c r="K524" i="1"/>
  <c r="O524" i="1"/>
  <c r="S524" i="1"/>
  <c r="W524" i="1"/>
  <c r="AA524" i="1"/>
  <c r="AE524" i="1"/>
  <c r="AI524" i="1"/>
  <c r="AM524" i="1"/>
  <c r="AQ524" i="1"/>
  <c r="AU524" i="1"/>
  <c r="AY524" i="1"/>
  <c r="N524" i="1"/>
  <c r="AD524" i="1"/>
  <c r="AT524" i="1"/>
  <c r="R524" i="1"/>
  <c r="AH524" i="1"/>
  <c r="AX524" i="1"/>
  <c r="F524" i="1"/>
  <c r="V524" i="1"/>
  <c r="AL524" i="1"/>
  <c r="J524" i="1"/>
  <c r="Z524" i="1"/>
  <c r="AP524" i="1"/>
  <c r="C524" i="1"/>
  <c r="G525" i="1"/>
  <c r="K525" i="1"/>
  <c r="O525" i="1"/>
  <c r="S525" i="1"/>
  <c r="W525" i="1"/>
  <c r="AA525" i="1"/>
  <c r="AE525" i="1"/>
  <c r="AI525" i="1"/>
  <c r="AM525" i="1"/>
  <c r="AQ525" i="1"/>
  <c r="AU525" i="1"/>
  <c r="AY525" i="1"/>
  <c r="D525" i="1"/>
  <c r="H525" i="1"/>
  <c r="L525" i="1"/>
  <c r="P525" i="1"/>
  <c r="T525" i="1"/>
  <c r="X525" i="1"/>
  <c r="AB525" i="1"/>
  <c r="AF525" i="1"/>
  <c r="AJ525" i="1"/>
  <c r="AN525" i="1"/>
  <c r="AR525" i="1"/>
  <c r="AV525" i="1"/>
  <c r="AZ525" i="1"/>
  <c r="F525" i="1"/>
  <c r="J525" i="1"/>
  <c r="N525" i="1"/>
  <c r="R525" i="1"/>
  <c r="V525" i="1"/>
  <c r="Z525" i="1"/>
  <c r="AD525" i="1"/>
  <c r="AH525" i="1"/>
  <c r="AL525" i="1"/>
  <c r="AP525" i="1"/>
  <c r="AT525" i="1"/>
  <c r="AX525" i="1"/>
  <c r="I525" i="1"/>
  <c r="Y525" i="1"/>
  <c r="AO525" i="1"/>
  <c r="M525" i="1"/>
  <c r="AC525" i="1"/>
  <c r="AS525" i="1"/>
  <c r="Q525" i="1"/>
  <c r="AG525" i="1"/>
  <c r="AW525" i="1"/>
  <c r="E525" i="1"/>
  <c r="U525" i="1"/>
  <c r="AK525" i="1"/>
  <c r="C525" i="1"/>
  <c r="F526" i="1"/>
  <c r="J526" i="1"/>
  <c r="N526" i="1"/>
  <c r="R526" i="1"/>
  <c r="V526" i="1"/>
  <c r="Z526" i="1"/>
  <c r="AD526" i="1"/>
  <c r="AH526" i="1"/>
  <c r="AL526" i="1"/>
  <c r="AP526" i="1"/>
  <c r="AT526" i="1"/>
  <c r="AX526" i="1"/>
  <c r="G526" i="1"/>
  <c r="K526" i="1"/>
  <c r="O526" i="1"/>
  <c r="S526" i="1"/>
  <c r="W526" i="1"/>
  <c r="AA526" i="1"/>
  <c r="AE526" i="1"/>
  <c r="AI526" i="1"/>
  <c r="AM526" i="1"/>
  <c r="AQ526" i="1"/>
  <c r="AU526" i="1"/>
  <c r="AY526" i="1"/>
  <c r="E526" i="1"/>
  <c r="I526" i="1"/>
  <c r="M526" i="1"/>
  <c r="Q526" i="1"/>
  <c r="U526" i="1"/>
  <c r="Y526" i="1"/>
  <c r="AC526" i="1"/>
  <c r="AG526" i="1"/>
  <c r="AK526" i="1"/>
  <c r="AO526" i="1"/>
  <c r="AS526" i="1"/>
  <c r="AW526" i="1"/>
  <c r="D526" i="1"/>
  <c r="T526" i="1"/>
  <c r="AJ526" i="1"/>
  <c r="AZ526" i="1"/>
  <c r="H526" i="1"/>
  <c r="X526" i="1"/>
  <c r="AN526" i="1"/>
  <c r="L526" i="1"/>
  <c r="AB526" i="1"/>
  <c r="AR526" i="1"/>
  <c r="P526" i="1"/>
  <c r="AF526" i="1"/>
  <c r="AV526" i="1"/>
  <c r="C526" i="1"/>
  <c r="E527" i="1"/>
  <c r="I527" i="1"/>
  <c r="M527" i="1"/>
  <c r="Q527" i="1"/>
  <c r="U527" i="1"/>
  <c r="Y527" i="1"/>
  <c r="AC527" i="1"/>
  <c r="AG527" i="1"/>
  <c r="AK527" i="1"/>
  <c r="AO527" i="1"/>
  <c r="AS527" i="1"/>
  <c r="AW527" i="1"/>
  <c r="F527" i="1"/>
  <c r="J527" i="1"/>
  <c r="N527" i="1"/>
  <c r="R527" i="1"/>
  <c r="V527" i="1"/>
  <c r="Z527" i="1"/>
  <c r="AD527" i="1"/>
  <c r="AH527" i="1"/>
  <c r="AL527" i="1"/>
  <c r="AP527" i="1"/>
  <c r="AT527" i="1"/>
  <c r="AX527" i="1"/>
  <c r="D527" i="1"/>
  <c r="H527" i="1"/>
  <c r="L527" i="1"/>
  <c r="P527" i="1"/>
  <c r="T527" i="1"/>
  <c r="X527" i="1"/>
  <c r="AB527" i="1"/>
  <c r="AF527" i="1"/>
  <c r="AJ527" i="1"/>
  <c r="AN527" i="1"/>
  <c r="AR527" i="1"/>
  <c r="AV527" i="1"/>
  <c r="AZ527" i="1"/>
  <c r="O527" i="1"/>
  <c r="AE527" i="1"/>
  <c r="AU527" i="1"/>
  <c r="S527" i="1"/>
  <c r="AI527" i="1"/>
  <c r="AY527" i="1"/>
  <c r="G527" i="1"/>
  <c r="W527" i="1"/>
  <c r="AM527" i="1"/>
  <c r="K527" i="1"/>
  <c r="AA527" i="1"/>
  <c r="AQ527" i="1"/>
  <c r="C527" i="1"/>
  <c r="D528" i="1"/>
  <c r="H528" i="1"/>
  <c r="L528" i="1"/>
  <c r="P528" i="1"/>
  <c r="T528" i="1"/>
  <c r="X528" i="1"/>
  <c r="AB528" i="1"/>
  <c r="AF528" i="1"/>
  <c r="AJ528" i="1"/>
  <c r="AN528" i="1"/>
  <c r="AR528" i="1"/>
  <c r="AV528" i="1"/>
  <c r="AZ528" i="1"/>
  <c r="E528" i="1"/>
  <c r="I528" i="1"/>
  <c r="M528" i="1"/>
  <c r="Q528" i="1"/>
  <c r="U528" i="1"/>
  <c r="Y528" i="1"/>
  <c r="AC528" i="1"/>
  <c r="AG528" i="1"/>
  <c r="AK528" i="1"/>
  <c r="AO528" i="1"/>
  <c r="AS528" i="1"/>
  <c r="AW528" i="1"/>
  <c r="G528" i="1"/>
  <c r="K528" i="1"/>
  <c r="O528" i="1"/>
  <c r="S528" i="1"/>
  <c r="W528" i="1"/>
  <c r="AA528" i="1"/>
  <c r="AE528" i="1"/>
  <c r="AI528" i="1"/>
  <c r="AM528" i="1"/>
  <c r="AQ528" i="1"/>
  <c r="AU528" i="1"/>
  <c r="AY528" i="1"/>
  <c r="J528" i="1"/>
  <c r="Z528" i="1"/>
  <c r="AP528" i="1"/>
  <c r="N528" i="1"/>
  <c r="AD528" i="1"/>
  <c r="AT528" i="1"/>
  <c r="R528" i="1"/>
  <c r="AH528" i="1"/>
  <c r="AX528" i="1"/>
  <c r="F528" i="1"/>
  <c r="V528" i="1"/>
  <c r="AL528" i="1"/>
  <c r="C528" i="1"/>
  <c r="G529" i="1"/>
  <c r="K529" i="1"/>
  <c r="O529" i="1"/>
  <c r="S529" i="1"/>
  <c r="W529" i="1"/>
  <c r="AA529" i="1"/>
  <c r="AE529" i="1"/>
  <c r="AI529" i="1"/>
  <c r="AM529" i="1"/>
  <c r="AQ529" i="1"/>
  <c r="AU529" i="1"/>
  <c r="AY529" i="1"/>
  <c r="D529" i="1"/>
  <c r="H529" i="1"/>
  <c r="L529" i="1"/>
  <c r="P529" i="1"/>
  <c r="T529" i="1"/>
  <c r="X529" i="1"/>
  <c r="AB529" i="1"/>
  <c r="AF529" i="1"/>
  <c r="AJ529" i="1"/>
  <c r="AN529" i="1"/>
  <c r="AR529" i="1"/>
  <c r="AV529" i="1"/>
  <c r="AZ529" i="1"/>
  <c r="F529" i="1"/>
  <c r="J529" i="1"/>
  <c r="N529" i="1"/>
  <c r="R529" i="1"/>
  <c r="V529" i="1"/>
  <c r="Z529" i="1"/>
  <c r="AD529" i="1"/>
  <c r="AH529" i="1"/>
  <c r="AL529" i="1"/>
  <c r="AP529" i="1"/>
  <c r="AT529" i="1"/>
  <c r="AX529" i="1"/>
  <c r="E529" i="1"/>
  <c r="U529" i="1"/>
  <c r="AK529" i="1"/>
  <c r="I529" i="1"/>
  <c r="Y529" i="1"/>
  <c r="AO529" i="1"/>
  <c r="M529" i="1"/>
  <c r="AC529" i="1"/>
  <c r="AS529" i="1"/>
  <c r="Q529" i="1"/>
  <c r="AG529" i="1"/>
  <c r="AW529" i="1"/>
  <c r="C529" i="1"/>
  <c r="F530" i="1"/>
  <c r="J530" i="1"/>
  <c r="N530" i="1"/>
  <c r="R530" i="1"/>
  <c r="V530" i="1"/>
  <c r="Z530" i="1"/>
  <c r="AD530" i="1"/>
  <c r="AH530" i="1"/>
  <c r="AL530" i="1"/>
  <c r="AP530" i="1"/>
  <c r="AT530" i="1"/>
  <c r="AX530" i="1"/>
  <c r="G530" i="1"/>
  <c r="K530" i="1"/>
  <c r="O530" i="1"/>
  <c r="S530" i="1"/>
  <c r="W530" i="1"/>
  <c r="AA530" i="1"/>
  <c r="AE530" i="1"/>
  <c r="AI530" i="1"/>
  <c r="AM530" i="1"/>
  <c r="AQ530" i="1"/>
  <c r="AU530" i="1"/>
  <c r="AY530" i="1"/>
  <c r="E530" i="1"/>
  <c r="I530" i="1"/>
  <c r="M530" i="1"/>
  <c r="Q530" i="1"/>
  <c r="U530" i="1"/>
  <c r="Y530" i="1"/>
  <c r="AC530" i="1"/>
  <c r="AG530" i="1"/>
  <c r="AK530" i="1"/>
  <c r="AO530" i="1"/>
  <c r="AS530" i="1"/>
  <c r="AW530" i="1"/>
  <c r="P530" i="1"/>
  <c r="AF530" i="1"/>
  <c r="AV530" i="1"/>
  <c r="D530" i="1"/>
  <c r="T530" i="1"/>
  <c r="AJ530" i="1"/>
  <c r="AZ530" i="1"/>
  <c r="H530" i="1"/>
  <c r="X530" i="1"/>
  <c r="AN530" i="1"/>
  <c r="L530" i="1"/>
  <c r="AB530" i="1"/>
  <c r="AR530" i="1"/>
  <c r="C530" i="1"/>
  <c r="E531" i="1"/>
  <c r="I531" i="1"/>
  <c r="M531" i="1"/>
  <c r="Q531" i="1"/>
  <c r="U531" i="1"/>
  <c r="Y531" i="1"/>
  <c r="AC531" i="1"/>
  <c r="AG531" i="1"/>
  <c r="AK531" i="1"/>
  <c r="AO531" i="1"/>
  <c r="AS531" i="1"/>
  <c r="AW531" i="1"/>
  <c r="F531" i="1"/>
  <c r="J531" i="1"/>
  <c r="N531" i="1"/>
  <c r="R531" i="1"/>
  <c r="V531" i="1"/>
  <c r="Z531" i="1"/>
  <c r="AD531" i="1"/>
  <c r="AH531" i="1"/>
  <c r="AL531" i="1"/>
  <c r="AP531" i="1"/>
  <c r="AT531" i="1"/>
  <c r="AX531" i="1"/>
  <c r="D531" i="1"/>
  <c r="H531" i="1"/>
  <c r="L531" i="1"/>
  <c r="P531" i="1"/>
  <c r="T531" i="1"/>
  <c r="X531" i="1"/>
  <c r="AB531" i="1"/>
  <c r="AF531" i="1"/>
  <c r="AJ531" i="1"/>
  <c r="AN531" i="1"/>
  <c r="AR531" i="1"/>
  <c r="AV531" i="1"/>
  <c r="AZ531" i="1"/>
  <c r="K531" i="1"/>
  <c r="AA531" i="1"/>
  <c r="AQ531" i="1"/>
  <c r="O531" i="1"/>
  <c r="AE531" i="1"/>
  <c r="AU531" i="1"/>
  <c r="S531" i="1"/>
  <c r="AI531" i="1"/>
  <c r="AY531" i="1"/>
  <c r="G531" i="1"/>
  <c r="W531" i="1"/>
  <c r="AM531" i="1"/>
  <c r="C531" i="1"/>
  <c r="D532" i="1"/>
  <c r="H532" i="1"/>
  <c r="L532" i="1"/>
  <c r="P532" i="1"/>
  <c r="T532" i="1"/>
  <c r="X532" i="1"/>
  <c r="AB532" i="1"/>
  <c r="AF532" i="1"/>
  <c r="AJ532" i="1"/>
  <c r="AN532" i="1"/>
  <c r="AR532" i="1"/>
  <c r="AV532" i="1"/>
  <c r="AZ532" i="1"/>
  <c r="E532" i="1"/>
  <c r="I532" i="1"/>
  <c r="M532" i="1"/>
  <c r="Q532" i="1"/>
  <c r="U532" i="1"/>
  <c r="Y532" i="1"/>
  <c r="AC532" i="1"/>
  <c r="AG532" i="1"/>
  <c r="AK532" i="1"/>
  <c r="AO532" i="1"/>
  <c r="AS532" i="1"/>
  <c r="AW532" i="1"/>
  <c r="G532" i="1"/>
  <c r="K532" i="1"/>
  <c r="O532" i="1"/>
  <c r="S532" i="1"/>
  <c r="W532" i="1"/>
  <c r="AA532" i="1"/>
  <c r="AE532" i="1"/>
  <c r="AI532" i="1"/>
  <c r="AM532" i="1"/>
  <c r="AQ532" i="1"/>
  <c r="AU532" i="1"/>
  <c r="AY532" i="1"/>
  <c r="F532" i="1"/>
  <c r="V532" i="1"/>
  <c r="AL532" i="1"/>
  <c r="J532" i="1"/>
  <c r="Z532" i="1"/>
  <c r="AP532" i="1"/>
  <c r="N532" i="1"/>
  <c r="AD532" i="1"/>
  <c r="AT532" i="1"/>
  <c r="R532" i="1"/>
  <c r="AH532" i="1"/>
  <c r="AX532" i="1"/>
  <c r="C532" i="1"/>
  <c r="G533" i="1"/>
  <c r="K533" i="1"/>
  <c r="O533" i="1"/>
  <c r="S533" i="1"/>
  <c r="W533" i="1"/>
  <c r="AA533" i="1"/>
  <c r="AE533" i="1"/>
  <c r="AI533" i="1"/>
  <c r="AM533" i="1"/>
  <c r="AQ533" i="1"/>
  <c r="AU533" i="1"/>
  <c r="AY533" i="1"/>
  <c r="D533" i="1"/>
  <c r="H533" i="1"/>
  <c r="L533" i="1"/>
  <c r="P533" i="1"/>
  <c r="T533" i="1"/>
  <c r="X533" i="1"/>
  <c r="AB533" i="1"/>
  <c r="AF533" i="1"/>
  <c r="AJ533" i="1"/>
  <c r="AN533" i="1"/>
  <c r="AR533" i="1"/>
  <c r="AV533" i="1"/>
  <c r="AZ533" i="1"/>
  <c r="F533" i="1"/>
  <c r="J533" i="1"/>
  <c r="N533" i="1"/>
  <c r="R533" i="1"/>
  <c r="V533" i="1"/>
  <c r="Z533" i="1"/>
  <c r="AD533" i="1"/>
  <c r="AH533" i="1"/>
  <c r="AL533" i="1"/>
  <c r="AP533" i="1"/>
  <c r="AT533" i="1"/>
  <c r="AX533" i="1"/>
  <c r="Q533" i="1"/>
  <c r="AG533" i="1"/>
  <c r="AW533" i="1"/>
  <c r="E533" i="1"/>
  <c r="U533" i="1"/>
  <c r="AK533" i="1"/>
  <c r="I533" i="1"/>
  <c r="Y533" i="1"/>
  <c r="AO533" i="1"/>
  <c r="M533" i="1"/>
  <c r="AC533" i="1"/>
  <c r="AS533" i="1"/>
  <c r="C533" i="1"/>
  <c r="F534" i="1"/>
  <c r="J534" i="1"/>
  <c r="N534" i="1"/>
  <c r="R534" i="1"/>
  <c r="V534" i="1"/>
  <c r="Z534" i="1"/>
  <c r="AD534" i="1"/>
  <c r="AH534" i="1"/>
  <c r="AL534" i="1"/>
  <c r="AP534" i="1"/>
  <c r="AT534" i="1"/>
  <c r="AX534" i="1"/>
  <c r="G534" i="1"/>
  <c r="K534" i="1"/>
  <c r="O534" i="1"/>
  <c r="S534" i="1"/>
  <c r="W534" i="1"/>
  <c r="AA534" i="1"/>
  <c r="AE534" i="1"/>
  <c r="AI534" i="1"/>
  <c r="AM534" i="1"/>
  <c r="AQ534" i="1"/>
  <c r="AU534" i="1"/>
  <c r="AY534" i="1"/>
  <c r="E534" i="1"/>
  <c r="I534" i="1"/>
  <c r="M534" i="1"/>
  <c r="Q534" i="1"/>
  <c r="U534" i="1"/>
  <c r="Y534" i="1"/>
  <c r="AC534" i="1"/>
  <c r="AG534" i="1"/>
  <c r="AK534" i="1"/>
  <c r="AO534" i="1"/>
  <c r="AS534" i="1"/>
  <c r="AW534" i="1"/>
  <c r="L534" i="1"/>
  <c r="AB534" i="1"/>
  <c r="AR534" i="1"/>
  <c r="P534" i="1"/>
  <c r="AF534" i="1"/>
  <c r="AV534" i="1"/>
  <c r="D534" i="1"/>
  <c r="T534" i="1"/>
  <c r="AJ534" i="1"/>
  <c r="AZ534" i="1"/>
  <c r="H534" i="1"/>
  <c r="X534" i="1"/>
  <c r="AN534" i="1"/>
  <c r="C534" i="1"/>
  <c r="E535" i="1"/>
  <c r="I535" i="1"/>
  <c r="M535" i="1"/>
  <c r="Q535" i="1"/>
  <c r="U535" i="1"/>
  <c r="Y535" i="1"/>
  <c r="AC535" i="1"/>
  <c r="AG535" i="1"/>
  <c r="AK535" i="1"/>
  <c r="AO535" i="1"/>
  <c r="AS535" i="1"/>
  <c r="AW535" i="1"/>
  <c r="F535" i="1"/>
  <c r="J535" i="1"/>
  <c r="N535" i="1"/>
  <c r="R535" i="1"/>
  <c r="V535" i="1"/>
  <c r="Z535" i="1"/>
  <c r="AD535" i="1"/>
  <c r="AH535" i="1"/>
  <c r="AL535" i="1"/>
  <c r="AP535" i="1"/>
  <c r="AT535" i="1"/>
  <c r="AX535" i="1"/>
  <c r="D535" i="1"/>
  <c r="H535" i="1"/>
  <c r="L535" i="1"/>
  <c r="P535" i="1"/>
  <c r="T535" i="1"/>
  <c r="X535" i="1"/>
  <c r="AB535" i="1"/>
  <c r="AF535" i="1"/>
  <c r="AJ535" i="1"/>
  <c r="AN535" i="1"/>
  <c r="AR535" i="1"/>
  <c r="AV535" i="1"/>
  <c r="AZ535" i="1"/>
  <c r="G535" i="1"/>
  <c r="W535" i="1"/>
  <c r="AM535" i="1"/>
  <c r="K535" i="1"/>
  <c r="AA535" i="1"/>
  <c r="AQ535" i="1"/>
  <c r="O535" i="1"/>
  <c r="AE535" i="1"/>
  <c r="AU535" i="1"/>
  <c r="S535" i="1"/>
  <c r="AI535" i="1"/>
  <c r="AY535" i="1"/>
  <c r="C535" i="1"/>
  <c r="D536" i="1"/>
  <c r="H536" i="1"/>
  <c r="L536" i="1"/>
  <c r="P536" i="1"/>
  <c r="T536" i="1"/>
  <c r="X536" i="1"/>
  <c r="AB536" i="1"/>
  <c r="AF536" i="1"/>
  <c r="AJ536" i="1"/>
  <c r="AN536" i="1"/>
  <c r="AR536" i="1"/>
  <c r="AV536" i="1"/>
  <c r="AZ536" i="1"/>
  <c r="E536" i="1"/>
  <c r="I536" i="1"/>
  <c r="M536" i="1"/>
  <c r="Q536" i="1"/>
  <c r="U536" i="1"/>
  <c r="Y536" i="1"/>
  <c r="AC536" i="1"/>
  <c r="AG536" i="1"/>
  <c r="AK536" i="1"/>
  <c r="AO536" i="1"/>
  <c r="AS536" i="1"/>
  <c r="AW536" i="1"/>
  <c r="G536" i="1"/>
  <c r="K536" i="1"/>
  <c r="O536" i="1"/>
  <c r="S536" i="1"/>
  <c r="W536" i="1"/>
  <c r="AA536" i="1"/>
  <c r="AE536" i="1"/>
  <c r="AI536" i="1"/>
  <c r="AM536" i="1"/>
  <c r="AQ536" i="1"/>
  <c r="AU536" i="1"/>
  <c r="AY536" i="1"/>
  <c r="R536" i="1"/>
  <c r="AH536" i="1"/>
  <c r="AX536" i="1"/>
  <c r="F536" i="1"/>
  <c r="V536" i="1"/>
  <c r="AL536" i="1"/>
  <c r="J536" i="1"/>
  <c r="Z536" i="1"/>
  <c r="AP536" i="1"/>
  <c r="N536" i="1"/>
  <c r="AD536" i="1"/>
  <c r="AT536" i="1"/>
  <c r="C536" i="1"/>
  <c r="G537" i="1"/>
  <c r="K537" i="1"/>
  <c r="O537" i="1"/>
  <c r="S537" i="1"/>
  <c r="W537" i="1"/>
  <c r="AA537" i="1"/>
  <c r="AE537" i="1"/>
  <c r="AI537" i="1"/>
  <c r="AM537" i="1"/>
  <c r="AQ537" i="1"/>
  <c r="AU537" i="1"/>
  <c r="AY537" i="1"/>
  <c r="D537" i="1"/>
  <c r="H537" i="1"/>
  <c r="L537" i="1"/>
  <c r="P537" i="1"/>
  <c r="T537" i="1"/>
  <c r="X537" i="1"/>
  <c r="AB537" i="1"/>
  <c r="AF537" i="1"/>
  <c r="AJ537" i="1"/>
  <c r="AN537" i="1"/>
  <c r="AR537" i="1"/>
  <c r="AV537" i="1"/>
  <c r="AZ537" i="1"/>
  <c r="F537" i="1"/>
  <c r="J537" i="1"/>
  <c r="N537" i="1"/>
  <c r="R537" i="1"/>
  <c r="V537" i="1"/>
  <c r="Z537" i="1"/>
  <c r="AD537" i="1"/>
  <c r="AH537" i="1"/>
  <c r="AL537" i="1"/>
  <c r="AP537" i="1"/>
  <c r="AT537" i="1"/>
  <c r="AX537" i="1"/>
  <c r="M537" i="1"/>
  <c r="AC537" i="1"/>
  <c r="AS537" i="1"/>
  <c r="Q537" i="1"/>
  <c r="AG537" i="1"/>
  <c r="AW537" i="1"/>
  <c r="E537" i="1"/>
  <c r="U537" i="1"/>
  <c r="AK537" i="1"/>
  <c r="I537" i="1"/>
  <c r="Y537" i="1"/>
  <c r="AO537" i="1"/>
  <c r="C537" i="1"/>
  <c r="F538" i="1"/>
  <c r="J538" i="1"/>
  <c r="N538" i="1"/>
  <c r="R538" i="1"/>
  <c r="V538" i="1"/>
  <c r="Z538" i="1"/>
  <c r="AD538" i="1"/>
  <c r="AH538" i="1"/>
  <c r="AL538" i="1"/>
  <c r="AP538" i="1"/>
  <c r="AT538" i="1"/>
  <c r="AX538" i="1"/>
  <c r="G538" i="1"/>
  <c r="K538" i="1"/>
  <c r="O538" i="1"/>
  <c r="S538" i="1"/>
  <c r="W538" i="1"/>
  <c r="AA538" i="1"/>
  <c r="AE538" i="1"/>
  <c r="AI538" i="1"/>
  <c r="AM538" i="1"/>
  <c r="AQ538" i="1"/>
  <c r="AU538" i="1"/>
  <c r="AY538" i="1"/>
  <c r="E538" i="1"/>
  <c r="I538" i="1"/>
  <c r="M538" i="1"/>
  <c r="Q538" i="1"/>
  <c r="U538" i="1"/>
  <c r="Y538" i="1"/>
  <c r="AC538" i="1"/>
  <c r="AG538" i="1"/>
  <c r="AK538" i="1"/>
  <c r="AO538" i="1"/>
  <c r="AS538" i="1"/>
  <c r="AW538" i="1"/>
  <c r="H538" i="1"/>
  <c r="X538" i="1"/>
  <c r="AN538" i="1"/>
  <c r="L538" i="1"/>
  <c r="AB538" i="1"/>
  <c r="AR538" i="1"/>
  <c r="P538" i="1"/>
  <c r="AF538" i="1"/>
  <c r="AV538" i="1"/>
  <c r="D538" i="1"/>
  <c r="T538" i="1"/>
  <c r="AJ538" i="1"/>
  <c r="AZ538" i="1"/>
  <c r="C538" i="1"/>
  <c r="E539" i="1"/>
  <c r="I539" i="1"/>
  <c r="M539" i="1"/>
  <c r="Q539" i="1"/>
  <c r="U539" i="1"/>
  <c r="Y539" i="1"/>
  <c r="AC539" i="1"/>
  <c r="AG539" i="1"/>
  <c r="AK539" i="1"/>
  <c r="AO539" i="1"/>
  <c r="AS539" i="1"/>
  <c r="AW539" i="1"/>
  <c r="F539" i="1"/>
  <c r="J539" i="1"/>
  <c r="N539" i="1"/>
  <c r="R539" i="1"/>
  <c r="V539" i="1"/>
  <c r="Z539" i="1"/>
  <c r="AD539" i="1"/>
  <c r="AH539" i="1"/>
  <c r="AL539" i="1"/>
  <c r="AP539" i="1"/>
  <c r="AT539" i="1"/>
  <c r="AX539" i="1"/>
  <c r="D539" i="1"/>
  <c r="H539" i="1"/>
  <c r="L539" i="1"/>
  <c r="P539" i="1"/>
  <c r="T539" i="1"/>
  <c r="X539" i="1"/>
  <c r="AB539" i="1"/>
  <c r="AF539" i="1"/>
  <c r="AJ539" i="1"/>
  <c r="AN539" i="1"/>
  <c r="AR539" i="1"/>
  <c r="AV539" i="1"/>
  <c r="AZ539" i="1"/>
  <c r="S539" i="1"/>
  <c r="AI539" i="1"/>
  <c r="AY539" i="1"/>
  <c r="G539" i="1"/>
  <c r="W539" i="1"/>
  <c r="AM539" i="1"/>
  <c r="K539" i="1"/>
  <c r="AA539" i="1"/>
  <c r="AQ539" i="1"/>
  <c r="O539" i="1"/>
  <c r="AE539" i="1"/>
  <c r="AU539" i="1"/>
  <c r="C539" i="1"/>
  <c r="D540" i="1"/>
  <c r="H540" i="1"/>
  <c r="L540" i="1"/>
  <c r="P540" i="1"/>
  <c r="T540" i="1"/>
  <c r="X540" i="1"/>
  <c r="AB540" i="1"/>
  <c r="AF540" i="1"/>
  <c r="AJ540" i="1"/>
  <c r="AN540" i="1"/>
  <c r="AR540" i="1"/>
  <c r="AV540" i="1"/>
  <c r="AZ540" i="1"/>
  <c r="E540" i="1"/>
  <c r="I540" i="1"/>
  <c r="M540" i="1"/>
  <c r="Q540" i="1"/>
  <c r="U540" i="1"/>
  <c r="Y540" i="1"/>
  <c r="AC540" i="1"/>
  <c r="AG540" i="1"/>
  <c r="AK540" i="1"/>
  <c r="AO540" i="1"/>
  <c r="AS540" i="1"/>
  <c r="AW540" i="1"/>
  <c r="G540" i="1"/>
  <c r="K540" i="1"/>
  <c r="O540" i="1"/>
  <c r="S540" i="1"/>
  <c r="W540" i="1"/>
  <c r="AA540" i="1"/>
  <c r="AE540" i="1"/>
  <c r="AI540" i="1"/>
  <c r="AM540" i="1"/>
  <c r="AQ540" i="1"/>
  <c r="AU540" i="1"/>
  <c r="AY540" i="1"/>
  <c r="N540" i="1"/>
  <c r="AD540" i="1"/>
  <c r="AT540" i="1"/>
  <c r="R540" i="1"/>
  <c r="AH540" i="1"/>
  <c r="AX540" i="1"/>
  <c r="F540" i="1"/>
  <c r="V540" i="1"/>
  <c r="AL540" i="1"/>
  <c r="J540" i="1"/>
  <c r="Z540" i="1"/>
  <c r="AP540" i="1"/>
  <c r="C540" i="1"/>
  <c r="G541" i="1"/>
  <c r="K541" i="1"/>
  <c r="O541" i="1"/>
  <c r="S541" i="1"/>
  <c r="W541" i="1"/>
  <c r="AA541" i="1"/>
  <c r="AE541" i="1"/>
  <c r="AI541" i="1"/>
  <c r="AM541" i="1"/>
  <c r="AQ541" i="1"/>
  <c r="AU541" i="1"/>
  <c r="AY541" i="1"/>
  <c r="D541" i="1"/>
  <c r="H541" i="1"/>
  <c r="L541" i="1"/>
  <c r="P541" i="1"/>
  <c r="T541" i="1"/>
  <c r="X541" i="1"/>
  <c r="AB541" i="1"/>
  <c r="AF541" i="1"/>
  <c r="AJ541" i="1"/>
  <c r="AN541" i="1"/>
  <c r="AR541" i="1"/>
  <c r="AV541" i="1"/>
  <c r="AZ541" i="1"/>
  <c r="F541" i="1"/>
  <c r="J541" i="1"/>
  <c r="N541" i="1"/>
  <c r="R541" i="1"/>
  <c r="V541" i="1"/>
  <c r="Z541" i="1"/>
  <c r="AD541" i="1"/>
  <c r="AH541" i="1"/>
  <c r="AL541" i="1"/>
  <c r="AP541" i="1"/>
  <c r="AT541" i="1"/>
  <c r="AX541" i="1"/>
  <c r="I541" i="1"/>
  <c r="Y541" i="1"/>
  <c r="AO541" i="1"/>
  <c r="M541" i="1"/>
  <c r="AC541" i="1"/>
  <c r="AS541" i="1"/>
  <c r="Q541" i="1"/>
  <c r="AG541" i="1"/>
  <c r="AW541" i="1"/>
  <c r="E541" i="1"/>
  <c r="U541" i="1"/>
  <c r="AK541" i="1"/>
  <c r="C541" i="1"/>
  <c r="F542" i="1"/>
  <c r="J542" i="1"/>
  <c r="N542" i="1"/>
  <c r="R542" i="1"/>
  <c r="V542" i="1"/>
  <c r="Z542" i="1"/>
  <c r="AD542" i="1"/>
  <c r="AH542" i="1"/>
  <c r="AL542" i="1"/>
  <c r="AP542" i="1"/>
  <c r="AT542" i="1"/>
  <c r="AX542" i="1"/>
  <c r="G542" i="1"/>
  <c r="K542" i="1"/>
  <c r="O542" i="1"/>
  <c r="S542" i="1"/>
  <c r="W542" i="1"/>
  <c r="AA542" i="1"/>
  <c r="AE542" i="1"/>
  <c r="AI542" i="1"/>
  <c r="AM542" i="1"/>
  <c r="AQ542" i="1"/>
  <c r="AU542" i="1"/>
  <c r="AY542" i="1"/>
  <c r="E542" i="1"/>
  <c r="I542" i="1"/>
  <c r="M542" i="1"/>
  <c r="Q542" i="1"/>
  <c r="U542" i="1"/>
  <c r="Y542" i="1"/>
  <c r="AC542" i="1"/>
  <c r="AG542" i="1"/>
  <c r="AK542" i="1"/>
  <c r="AO542" i="1"/>
  <c r="AS542" i="1"/>
  <c r="AW542" i="1"/>
  <c r="D542" i="1"/>
  <c r="T542" i="1"/>
  <c r="AJ542" i="1"/>
  <c r="AZ542" i="1"/>
  <c r="H542" i="1"/>
  <c r="X542" i="1"/>
  <c r="AN542" i="1"/>
  <c r="L542" i="1"/>
  <c r="AB542" i="1"/>
  <c r="AR542" i="1"/>
  <c r="P542" i="1"/>
  <c r="AF542" i="1"/>
  <c r="AV542" i="1"/>
  <c r="C542" i="1"/>
  <c r="E543" i="1"/>
  <c r="I543" i="1"/>
  <c r="M543" i="1"/>
  <c r="Q543" i="1"/>
  <c r="U543" i="1"/>
  <c r="Y543" i="1"/>
  <c r="AC543" i="1"/>
  <c r="AG543" i="1"/>
  <c r="AK543" i="1"/>
  <c r="AO543" i="1"/>
  <c r="AS543" i="1"/>
  <c r="AW543" i="1"/>
  <c r="F543" i="1"/>
  <c r="J543" i="1"/>
  <c r="N543" i="1"/>
  <c r="R543" i="1"/>
  <c r="V543" i="1"/>
  <c r="Z543" i="1"/>
  <c r="AD543" i="1"/>
  <c r="AH543" i="1"/>
  <c r="AL543" i="1"/>
  <c r="AP543" i="1"/>
  <c r="AT543" i="1"/>
  <c r="AX543" i="1"/>
  <c r="D543" i="1"/>
  <c r="H543" i="1"/>
  <c r="L543" i="1"/>
  <c r="P543" i="1"/>
  <c r="T543" i="1"/>
  <c r="X543" i="1"/>
  <c r="AB543" i="1"/>
  <c r="AF543" i="1"/>
  <c r="AJ543" i="1"/>
  <c r="AN543" i="1"/>
  <c r="AR543" i="1"/>
  <c r="AV543" i="1"/>
  <c r="AZ543" i="1"/>
  <c r="O543" i="1"/>
  <c r="AE543" i="1"/>
  <c r="AU543" i="1"/>
  <c r="S543" i="1"/>
  <c r="AI543" i="1"/>
  <c r="AY543" i="1"/>
  <c r="G543" i="1"/>
  <c r="W543" i="1"/>
  <c r="AM543" i="1"/>
  <c r="K543" i="1"/>
  <c r="AA543" i="1"/>
  <c r="AQ543" i="1"/>
  <c r="C543" i="1"/>
  <c r="D544" i="1"/>
  <c r="H544" i="1"/>
  <c r="L544" i="1"/>
  <c r="P544" i="1"/>
  <c r="T544" i="1"/>
  <c r="X544" i="1"/>
  <c r="AB544" i="1"/>
  <c r="AF544" i="1"/>
  <c r="AJ544" i="1"/>
  <c r="AN544" i="1"/>
  <c r="AR544" i="1"/>
  <c r="AV544" i="1"/>
  <c r="AZ544" i="1"/>
  <c r="E544" i="1"/>
  <c r="I544" i="1"/>
  <c r="M544" i="1"/>
  <c r="Q544" i="1"/>
  <c r="U544" i="1"/>
  <c r="Y544" i="1"/>
  <c r="AC544" i="1"/>
  <c r="AG544" i="1"/>
  <c r="AK544" i="1"/>
  <c r="AO544" i="1"/>
  <c r="AS544" i="1"/>
  <c r="AW544" i="1"/>
  <c r="G544" i="1"/>
  <c r="K544" i="1"/>
  <c r="O544" i="1"/>
  <c r="S544" i="1"/>
  <c r="W544" i="1"/>
  <c r="AA544" i="1"/>
  <c r="AE544" i="1"/>
  <c r="AI544" i="1"/>
  <c r="AM544" i="1"/>
  <c r="AQ544" i="1"/>
  <c r="AU544" i="1"/>
  <c r="AY544" i="1"/>
  <c r="J544" i="1"/>
  <c r="Z544" i="1"/>
  <c r="AP544" i="1"/>
  <c r="N544" i="1"/>
  <c r="AD544" i="1"/>
  <c r="AT544" i="1"/>
  <c r="R544" i="1"/>
  <c r="AH544" i="1"/>
  <c r="AX544" i="1"/>
  <c r="F544" i="1"/>
  <c r="V544" i="1"/>
  <c r="AL544" i="1"/>
  <c r="C544" i="1"/>
  <c r="G545" i="1"/>
  <c r="K545" i="1"/>
  <c r="O545" i="1"/>
  <c r="S545" i="1"/>
  <c r="W545" i="1"/>
  <c r="AA545" i="1"/>
  <c r="AE545" i="1"/>
  <c r="AI545" i="1"/>
  <c r="AM545" i="1"/>
  <c r="AQ545" i="1"/>
  <c r="AU545" i="1"/>
  <c r="AY545" i="1"/>
  <c r="D545" i="1"/>
  <c r="H545" i="1"/>
  <c r="L545" i="1"/>
  <c r="P545" i="1"/>
  <c r="T545" i="1"/>
  <c r="X545" i="1"/>
  <c r="AB545" i="1"/>
  <c r="AF545" i="1"/>
  <c r="AJ545" i="1"/>
  <c r="AN545" i="1"/>
  <c r="AR545" i="1"/>
  <c r="AV545" i="1"/>
  <c r="AZ545" i="1"/>
  <c r="F545" i="1"/>
  <c r="J545" i="1"/>
  <c r="N545" i="1"/>
  <c r="R545" i="1"/>
  <c r="V545" i="1"/>
  <c r="Z545" i="1"/>
  <c r="AD545" i="1"/>
  <c r="AH545" i="1"/>
  <c r="AL545" i="1"/>
  <c r="AP545" i="1"/>
  <c r="AT545" i="1"/>
  <c r="AX545" i="1"/>
  <c r="E545" i="1"/>
  <c r="U545" i="1"/>
  <c r="AK545" i="1"/>
  <c r="I545" i="1"/>
  <c r="Y545" i="1"/>
  <c r="AO545" i="1"/>
  <c r="M545" i="1"/>
  <c r="AC545" i="1"/>
  <c r="AS545" i="1"/>
  <c r="Q545" i="1"/>
  <c r="AG545" i="1"/>
  <c r="AW545" i="1"/>
  <c r="C545" i="1"/>
  <c r="F546" i="1"/>
  <c r="J546" i="1"/>
  <c r="N546" i="1"/>
  <c r="R546" i="1"/>
  <c r="V546" i="1"/>
  <c r="Z546" i="1"/>
  <c r="AD546" i="1"/>
  <c r="AH546" i="1"/>
  <c r="AL546" i="1"/>
  <c r="AP546" i="1"/>
  <c r="AT546" i="1"/>
  <c r="AX546" i="1"/>
  <c r="G546" i="1"/>
  <c r="K546" i="1"/>
  <c r="O546" i="1"/>
  <c r="S546" i="1"/>
  <c r="W546" i="1"/>
  <c r="AA546" i="1"/>
  <c r="AE546" i="1"/>
  <c r="AI546" i="1"/>
  <c r="AM546" i="1"/>
  <c r="AQ546" i="1"/>
  <c r="AU546" i="1"/>
  <c r="AY546" i="1"/>
  <c r="E546" i="1"/>
  <c r="I546" i="1"/>
  <c r="M546" i="1"/>
  <c r="Q546" i="1"/>
  <c r="U546" i="1"/>
  <c r="Y546" i="1"/>
  <c r="AC546" i="1"/>
  <c r="AG546" i="1"/>
  <c r="AK546" i="1"/>
  <c r="AO546" i="1"/>
  <c r="AS546" i="1"/>
  <c r="AW546" i="1"/>
  <c r="P546" i="1"/>
  <c r="AF546" i="1"/>
  <c r="AV546" i="1"/>
  <c r="D546" i="1"/>
  <c r="T546" i="1"/>
  <c r="AJ546" i="1"/>
  <c r="AZ546" i="1"/>
  <c r="H546" i="1"/>
  <c r="X546" i="1"/>
  <c r="AN546" i="1"/>
  <c r="L546" i="1"/>
  <c r="AB546" i="1"/>
  <c r="AR546" i="1"/>
  <c r="C546" i="1"/>
  <c r="E547" i="1"/>
  <c r="I547" i="1"/>
  <c r="M547" i="1"/>
  <c r="Q547" i="1"/>
  <c r="U547" i="1"/>
  <c r="Y547" i="1"/>
  <c r="AC547" i="1"/>
  <c r="AG547" i="1"/>
  <c r="AK547" i="1"/>
  <c r="AO547" i="1"/>
  <c r="AS547" i="1"/>
  <c r="AW547" i="1"/>
  <c r="F547" i="1"/>
  <c r="J547" i="1"/>
  <c r="N547" i="1"/>
  <c r="R547" i="1"/>
  <c r="V547" i="1"/>
  <c r="Z547" i="1"/>
  <c r="AD547" i="1"/>
  <c r="AH547" i="1"/>
  <c r="AL547" i="1"/>
  <c r="AP547" i="1"/>
  <c r="AT547" i="1"/>
  <c r="AX547" i="1"/>
  <c r="D547" i="1"/>
  <c r="H547" i="1"/>
  <c r="L547" i="1"/>
  <c r="P547" i="1"/>
  <c r="T547" i="1"/>
  <c r="X547" i="1"/>
  <c r="AB547" i="1"/>
  <c r="AF547" i="1"/>
  <c r="AJ547" i="1"/>
  <c r="AN547" i="1"/>
  <c r="AR547" i="1"/>
  <c r="AV547" i="1"/>
  <c r="AZ547" i="1"/>
  <c r="K547" i="1"/>
  <c r="AA547" i="1"/>
  <c r="AQ547" i="1"/>
  <c r="O547" i="1"/>
  <c r="AE547" i="1"/>
  <c r="AU547" i="1"/>
  <c r="S547" i="1"/>
  <c r="AI547" i="1"/>
  <c r="AY547" i="1"/>
  <c r="G547" i="1"/>
  <c r="W547" i="1"/>
  <c r="AM547" i="1"/>
  <c r="C547" i="1"/>
  <c r="D548" i="1"/>
  <c r="H548" i="1"/>
  <c r="L548" i="1"/>
  <c r="P548" i="1"/>
  <c r="T548" i="1"/>
  <c r="X548" i="1"/>
  <c r="AB548" i="1"/>
  <c r="AF548" i="1"/>
  <c r="AJ548" i="1"/>
  <c r="AN548" i="1"/>
  <c r="AR548" i="1"/>
  <c r="AV548" i="1"/>
  <c r="AZ548" i="1"/>
  <c r="E548" i="1"/>
  <c r="I548" i="1"/>
  <c r="M548" i="1"/>
  <c r="Q548" i="1"/>
  <c r="U548" i="1"/>
  <c r="Y548" i="1"/>
  <c r="AC548" i="1"/>
  <c r="AG548" i="1"/>
  <c r="AK548" i="1"/>
  <c r="AO548" i="1"/>
  <c r="AS548" i="1"/>
  <c r="AW548" i="1"/>
  <c r="G548" i="1"/>
  <c r="K548" i="1"/>
  <c r="O548" i="1"/>
  <c r="S548" i="1"/>
  <c r="W548" i="1"/>
  <c r="AA548" i="1"/>
  <c r="AE548" i="1"/>
  <c r="AI548" i="1"/>
  <c r="AM548" i="1"/>
  <c r="AQ548" i="1"/>
  <c r="AU548" i="1"/>
  <c r="AY548" i="1"/>
  <c r="F548" i="1"/>
  <c r="V548" i="1"/>
  <c r="AL548" i="1"/>
  <c r="J548" i="1"/>
  <c r="Z548" i="1"/>
  <c r="AP548" i="1"/>
  <c r="N548" i="1"/>
  <c r="AD548" i="1"/>
  <c r="AT548" i="1"/>
  <c r="R548" i="1"/>
  <c r="AH548" i="1"/>
  <c r="AX548" i="1"/>
  <c r="C548" i="1"/>
  <c r="G549" i="1"/>
  <c r="K549" i="1"/>
  <c r="O549" i="1"/>
  <c r="S549" i="1"/>
  <c r="W549" i="1"/>
  <c r="AA549" i="1"/>
  <c r="AE549" i="1"/>
  <c r="AI549" i="1"/>
  <c r="AM549" i="1"/>
  <c r="AQ549" i="1"/>
  <c r="AU549" i="1"/>
  <c r="AY549" i="1"/>
  <c r="D549" i="1"/>
  <c r="H549" i="1"/>
  <c r="L549" i="1"/>
  <c r="P549" i="1"/>
  <c r="T549" i="1"/>
  <c r="X549" i="1"/>
  <c r="AB549" i="1"/>
  <c r="AF549" i="1"/>
  <c r="AJ549" i="1"/>
  <c r="AN549" i="1"/>
  <c r="AR549" i="1"/>
  <c r="AV549" i="1"/>
  <c r="AZ549" i="1"/>
  <c r="F549" i="1"/>
  <c r="J549" i="1"/>
  <c r="N549" i="1"/>
  <c r="R549" i="1"/>
  <c r="V549" i="1"/>
  <c r="Z549" i="1"/>
  <c r="AD549" i="1"/>
  <c r="AH549" i="1"/>
  <c r="AL549" i="1"/>
  <c r="AP549" i="1"/>
  <c r="AT549" i="1"/>
  <c r="AX549" i="1"/>
  <c r="Q549" i="1"/>
  <c r="AG549" i="1"/>
  <c r="AW549" i="1"/>
  <c r="E549" i="1"/>
  <c r="U549" i="1"/>
  <c r="AK549" i="1"/>
  <c r="I549" i="1"/>
  <c r="Y549" i="1"/>
  <c r="AO549" i="1"/>
  <c r="M549" i="1"/>
  <c r="AC549" i="1"/>
  <c r="AS549" i="1"/>
  <c r="C549" i="1"/>
  <c r="F550" i="1"/>
  <c r="J550" i="1"/>
  <c r="N550" i="1"/>
  <c r="R550" i="1"/>
  <c r="V550" i="1"/>
  <c r="Z550" i="1"/>
  <c r="AD550" i="1"/>
  <c r="AH550" i="1"/>
  <c r="AL550" i="1"/>
  <c r="AP550" i="1"/>
  <c r="AT550" i="1"/>
  <c r="AX550" i="1"/>
  <c r="G550" i="1"/>
  <c r="K550" i="1"/>
  <c r="O550" i="1"/>
  <c r="S550" i="1"/>
  <c r="W550" i="1"/>
  <c r="AA550" i="1"/>
  <c r="AE550" i="1"/>
  <c r="AI550" i="1"/>
  <c r="AM550" i="1"/>
  <c r="AQ550" i="1"/>
  <c r="AU550" i="1"/>
  <c r="AY550" i="1"/>
  <c r="E550" i="1"/>
  <c r="I550" i="1"/>
  <c r="M550" i="1"/>
  <c r="Q550" i="1"/>
  <c r="U550" i="1"/>
  <c r="Y550" i="1"/>
  <c r="AC550" i="1"/>
  <c r="AG550" i="1"/>
  <c r="AK550" i="1"/>
  <c r="AO550" i="1"/>
  <c r="AS550" i="1"/>
  <c r="AW550" i="1"/>
  <c r="L550" i="1"/>
  <c r="AB550" i="1"/>
  <c r="AR550" i="1"/>
  <c r="P550" i="1"/>
  <c r="AF550" i="1"/>
  <c r="AV550" i="1"/>
  <c r="D550" i="1"/>
  <c r="T550" i="1"/>
  <c r="AJ550" i="1"/>
  <c r="AZ550" i="1"/>
  <c r="H550" i="1"/>
  <c r="X550" i="1"/>
  <c r="AN550" i="1"/>
  <c r="C550" i="1"/>
  <c r="E551" i="1"/>
  <c r="I551" i="1"/>
  <c r="M551" i="1"/>
  <c r="Q551" i="1"/>
  <c r="U551" i="1"/>
  <c r="Y551" i="1"/>
  <c r="AC551" i="1"/>
  <c r="AG551" i="1"/>
  <c r="AK551" i="1"/>
  <c r="AO551" i="1"/>
  <c r="AS551" i="1"/>
  <c r="AW551" i="1"/>
  <c r="F551" i="1"/>
  <c r="J551" i="1"/>
  <c r="N551" i="1"/>
  <c r="R551" i="1"/>
  <c r="V551" i="1"/>
  <c r="Z551" i="1"/>
  <c r="AD551" i="1"/>
  <c r="AH551" i="1"/>
  <c r="AL551" i="1"/>
  <c r="AP551" i="1"/>
  <c r="AT551" i="1"/>
  <c r="AX551" i="1"/>
  <c r="D551" i="1"/>
  <c r="H551" i="1"/>
  <c r="L551" i="1"/>
  <c r="P551" i="1"/>
  <c r="T551" i="1"/>
  <c r="X551" i="1"/>
  <c r="AB551" i="1"/>
  <c r="AF551" i="1"/>
  <c r="AJ551" i="1"/>
  <c r="AN551" i="1"/>
  <c r="AR551" i="1"/>
  <c r="AV551" i="1"/>
  <c r="AZ551" i="1"/>
  <c r="G551" i="1"/>
  <c r="W551" i="1"/>
  <c r="AM551" i="1"/>
  <c r="K551" i="1"/>
  <c r="AA551" i="1"/>
  <c r="AQ551" i="1"/>
  <c r="O551" i="1"/>
  <c r="AE551" i="1"/>
  <c r="AU551" i="1"/>
  <c r="S551" i="1"/>
  <c r="AI551" i="1"/>
  <c r="AY551" i="1"/>
  <c r="C551" i="1"/>
  <c r="D552" i="1"/>
  <c r="H552" i="1"/>
  <c r="L552" i="1"/>
  <c r="P552" i="1"/>
  <c r="T552" i="1"/>
  <c r="X552" i="1"/>
  <c r="AB552" i="1"/>
  <c r="AF552" i="1"/>
  <c r="AJ552" i="1"/>
  <c r="AN552" i="1"/>
  <c r="AR552" i="1"/>
  <c r="AV552" i="1"/>
  <c r="AZ552" i="1"/>
  <c r="E552" i="1"/>
  <c r="I552" i="1"/>
  <c r="M552" i="1"/>
  <c r="Q552" i="1"/>
  <c r="U552" i="1"/>
  <c r="Y552" i="1"/>
  <c r="AC552" i="1"/>
  <c r="AG552" i="1"/>
  <c r="AK552" i="1"/>
  <c r="AO552" i="1"/>
  <c r="AS552" i="1"/>
  <c r="AW552" i="1"/>
  <c r="G552" i="1"/>
  <c r="K552" i="1"/>
  <c r="O552" i="1"/>
  <c r="S552" i="1"/>
  <c r="W552" i="1"/>
  <c r="AA552" i="1"/>
  <c r="AE552" i="1"/>
  <c r="AI552" i="1"/>
  <c r="AM552" i="1"/>
  <c r="AQ552" i="1"/>
  <c r="AU552" i="1"/>
  <c r="AY552" i="1"/>
  <c r="R552" i="1"/>
  <c r="AH552" i="1"/>
  <c r="AX552" i="1"/>
  <c r="F552" i="1"/>
  <c r="V552" i="1"/>
  <c r="AL552" i="1"/>
  <c r="J552" i="1"/>
  <c r="Z552" i="1"/>
  <c r="AP552" i="1"/>
  <c r="N552" i="1"/>
  <c r="AD552" i="1"/>
  <c r="AT552" i="1"/>
  <c r="C552" i="1"/>
  <c r="G553" i="1"/>
  <c r="K553" i="1"/>
  <c r="O553" i="1"/>
  <c r="S553" i="1"/>
  <c r="W553" i="1"/>
  <c r="AA553" i="1"/>
  <c r="AE553" i="1"/>
  <c r="AI553" i="1"/>
  <c r="AM553" i="1"/>
  <c r="AQ553" i="1"/>
  <c r="AU553" i="1"/>
  <c r="AY553" i="1"/>
  <c r="D553" i="1"/>
  <c r="H553" i="1"/>
  <c r="L553" i="1"/>
  <c r="P553" i="1"/>
  <c r="T553" i="1"/>
  <c r="X553" i="1"/>
  <c r="AB553" i="1"/>
  <c r="AF553" i="1"/>
  <c r="AJ553" i="1"/>
  <c r="AN553" i="1"/>
  <c r="AR553" i="1"/>
  <c r="AV553" i="1"/>
  <c r="AZ553" i="1"/>
  <c r="F553" i="1"/>
  <c r="J553" i="1"/>
  <c r="N553" i="1"/>
  <c r="R553" i="1"/>
  <c r="V553" i="1"/>
  <c r="Z553" i="1"/>
  <c r="AD553" i="1"/>
  <c r="AH553" i="1"/>
  <c r="AL553" i="1"/>
  <c r="AP553" i="1"/>
  <c r="AT553" i="1"/>
  <c r="AX553" i="1"/>
  <c r="M553" i="1"/>
  <c r="AC553" i="1"/>
  <c r="AS553" i="1"/>
  <c r="Q553" i="1"/>
  <c r="AG553" i="1"/>
  <c r="AW553" i="1"/>
  <c r="E553" i="1"/>
  <c r="U553" i="1"/>
  <c r="AK553" i="1"/>
  <c r="I553" i="1"/>
  <c r="Y553" i="1"/>
  <c r="AO553" i="1"/>
  <c r="C553" i="1"/>
  <c r="F554" i="1"/>
  <c r="J554" i="1"/>
  <c r="N554" i="1"/>
  <c r="R554" i="1"/>
  <c r="V554" i="1"/>
  <c r="Z554" i="1"/>
  <c r="AD554" i="1"/>
  <c r="AH554" i="1"/>
  <c r="AL554" i="1"/>
  <c r="AP554" i="1"/>
  <c r="AT554" i="1"/>
  <c r="AX554" i="1"/>
  <c r="G554" i="1"/>
  <c r="K554" i="1"/>
  <c r="O554" i="1"/>
  <c r="S554" i="1"/>
  <c r="W554" i="1"/>
  <c r="AA554" i="1"/>
  <c r="AE554" i="1"/>
  <c r="AI554" i="1"/>
  <c r="AM554" i="1"/>
  <c r="AQ554" i="1"/>
  <c r="AU554" i="1"/>
  <c r="AY554" i="1"/>
  <c r="E554" i="1"/>
  <c r="I554" i="1"/>
  <c r="M554" i="1"/>
  <c r="Q554" i="1"/>
  <c r="U554" i="1"/>
  <c r="Y554" i="1"/>
  <c r="AC554" i="1"/>
  <c r="AG554" i="1"/>
  <c r="AK554" i="1"/>
  <c r="AO554" i="1"/>
  <c r="AS554" i="1"/>
  <c r="AW554" i="1"/>
  <c r="H554" i="1"/>
  <c r="X554" i="1"/>
  <c r="AN554" i="1"/>
  <c r="L554" i="1"/>
  <c r="AB554" i="1"/>
  <c r="AR554" i="1"/>
  <c r="P554" i="1"/>
  <c r="AF554" i="1"/>
  <c r="AV554" i="1"/>
  <c r="D554" i="1"/>
  <c r="T554" i="1"/>
  <c r="AJ554" i="1"/>
  <c r="AZ554" i="1"/>
  <c r="C554" i="1"/>
  <c r="E555" i="1"/>
  <c r="I555" i="1"/>
  <c r="M555" i="1"/>
  <c r="Q555" i="1"/>
  <c r="U555" i="1"/>
  <c r="Y555" i="1"/>
  <c r="AC555" i="1"/>
  <c r="AG555" i="1"/>
  <c r="AK555" i="1"/>
  <c r="AO555" i="1"/>
  <c r="AS555" i="1"/>
  <c r="AW555" i="1"/>
  <c r="F555" i="1"/>
  <c r="J555" i="1"/>
  <c r="N555" i="1"/>
  <c r="R555" i="1"/>
  <c r="V555" i="1"/>
  <c r="Z555" i="1"/>
  <c r="AD555" i="1"/>
  <c r="AH555" i="1"/>
  <c r="AL555" i="1"/>
  <c r="AP555" i="1"/>
  <c r="AT555" i="1"/>
  <c r="AX555" i="1"/>
  <c r="D555" i="1"/>
  <c r="H555" i="1"/>
  <c r="L555" i="1"/>
  <c r="P555" i="1"/>
  <c r="T555" i="1"/>
  <c r="X555" i="1"/>
  <c r="AB555" i="1"/>
  <c r="AF555" i="1"/>
  <c r="AJ555" i="1"/>
  <c r="AN555" i="1"/>
  <c r="AR555" i="1"/>
  <c r="AV555" i="1"/>
  <c r="AZ555" i="1"/>
  <c r="S555" i="1"/>
  <c r="AI555" i="1"/>
  <c r="AY555" i="1"/>
  <c r="G555" i="1"/>
  <c r="W555" i="1"/>
  <c r="AM555" i="1"/>
  <c r="K555" i="1"/>
  <c r="AA555" i="1"/>
  <c r="AQ555" i="1"/>
  <c r="O555" i="1"/>
  <c r="AE555" i="1"/>
  <c r="AU555" i="1"/>
  <c r="C555" i="1"/>
  <c r="D556" i="1"/>
  <c r="H556" i="1"/>
  <c r="L556" i="1"/>
  <c r="P556" i="1"/>
  <c r="T556" i="1"/>
  <c r="X556" i="1"/>
  <c r="AB556" i="1"/>
  <c r="AF556" i="1"/>
  <c r="AJ556" i="1"/>
  <c r="AN556" i="1"/>
  <c r="AR556" i="1"/>
  <c r="AV556" i="1"/>
  <c r="AZ556" i="1"/>
  <c r="E556" i="1"/>
  <c r="I556" i="1"/>
  <c r="M556" i="1"/>
  <c r="Q556" i="1"/>
  <c r="U556" i="1"/>
  <c r="Y556" i="1"/>
  <c r="AC556" i="1"/>
  <c r="AG556" i="1"/>
  <c r="AK556" i="1"/>
  <c r="AO556" i="1"/>
  <c r="AS556" i="1"/>
  <c r="AW556" i="1"/>
  <c r="G556" i="1"/>
  <c r="K556" i="1"/>
  <c r="O556" i="1"/>
  <c r="S556" i="1"/>
  <c r="W556" i="1"/>
  <c r="AA556" i="1"/>
  <c r="AE556" i="1"/>
  <c r="AI556" i="1"/>
  <c r="AM556" i="1"/>
  <c r="AQ556" i="1"/>
  <c r="AU556" i="1"/>
  <c r="AY556" i="1"/>
  <c r="N556" i="1"/>
  <c r="AD556" i="1"/>
  <c r="AT556" i="1"/>
  <c r="R556" i="1"/>
  <c r="AH556" i="1"/>
  <c r="AX556" i="1"/>
  <c r="F556" i="1"/>
  <c r="V556" i="1"/>
  <c r="AL556" i="1"/>
  <c r="J556" i="1"/>
  <c r="Z556" i="1"/>
  <c r="AP556" i="1"/>
  <c r="C556" i="1"/>
  <c r="G557" i="1"/>
  <c r="K557" i="1"/>
  <c r="O557" i="1"/>
  <c r="S557" i="1"/>
  <c r="W557" i="1"/>
  <c r="AA557" i="1"/>
  <c r="AE557" i="1"/>
  <c r="AI557" i="1"/>
  <c r="AM557" i="1"/>
  <c r="AQ557" i="1"/>
  <c r="AU557" i="1"/>
  <c r="AY557" i="1"/>
  <c r="D557" i="1"/>
  <c r="H557" i="1"/>
  <c r="L557" i="1"/>
  <c r="P557" i="1"/>
  <c r="T557" i="1"/>
  <c r="X557" i="1"/>
  <c r="AB557" i="1"/>
  <c r="AF557" i="1"/>
  <c r="AJ557" i="1"/>
  <c r="AN557" i="1"/>
  <c r="AR557" i="1"/>
  <c r="AV557" i="1"/>
  <c r="AZ557" i="1"/>
  <c r="F557" i="1"/>
  <c r="J557" i="1"/>
  <c r="N557" i="1"/>
  <c r="R557" i="1"/>
  <c r="V557" i="1"/>
  <c r="Z557" i="1"/>
  <c r="AD557" i="1"/>
  <c r="AH557" i="1"/>
  <c r="AL557" i="1"/>
  <c r="AP557" i="1"/>
  <c r="AT557" i="1"/>
  <c r="AX557" i="1"/>
  <c r="I557" i="1"/>
  <c r="Y557" i="1"/>
  <c r="AO557" i="1"/>
  <c r="M557" i="1"/>
  <c r="AC557" i="1"/>
  <c r="AS557" i="1"/>
  <c r="Q557" i="1"/>
  <c r="AG557" i="1"/>
  <c r="AW557" i="1"/>
  <c r="E557" i="1"/>
  <c r="U557" i="1"/>
  <c r="AK557" i="1"/>
  <c r="C557" i="1"/>
  <c r="F558" i="1"/>
  <c r="J558" i="1"/>
  <c r="N558" i="1"/>
  <c r="R558" i="1"/>
  <c r="V558" i="1"/>
  <c r="Z558" i="1"/>
  <c r="AD558" i="1"/>
  <c r="AH558" i="1"/>
  <c r="AL558" i="1"/>
  <c r="AP558" i="1"/>
  <c r="AT558" i="1"/>
  <c r="AX558" i="1"/>
  <c r="G558" i="1"/>
  <c r="K558" i="1"/>
  <c r="O558" i="1"/>
  <c r="S558" i="1"/>
  <c r="W558" i="1"/>
  <c r="AA558" i="1"/>
  <c r="AE558" i="1"/>
  <c r="AI558" i="1"/>
  <c r="AM558" i="1"/>
  <c r="AQ558" i="1"/>
  <c r="AU558" i="1"/>
  <c r="AY558" i="1"/>
  <c r="E558" i="1"/>
  <c r="I558" i="1"/>
  <c r="M558" i="1"/>
  <c r="Q558" i="1"/>
  <c r="U558" i="1"/>
  <c r="Y558" i="1"/>
  <c r="AC558" i="1"/>
  <c r="AG558" i="1"/>
  <c r="AK558" i="1"/>
  <c r="AO558" i="1"/>
  <c r="AS558" i="1"/>
  <c r="AW558" i="1"/>
  <c r="D558" i="1"/>
  <c r="T558" i="1"/>
  <c r="AJ558" i="1"/>
  <c r="AZ558" i="1"/>
  <c r="H558" i="1"/>
  <c r="X558" i="1"/>
  <c r="AN558" i="1"/>
  <c r="L558" i="1"/>
  <c r="AB558" i="1"/>
  <c r="AR558" i="1"/>
  <c r="P558" i="1"/>
  <c r="AF558" i="1"/>
  <c r="AV558" i="1"/>
  <c r="C558" i="1"/>
  <c r="E559" i="1"/>
  <c r="I559" i="1"/>
  <c r="M559" i="1"/>
  <c r="Q559" i="1"/>
  <c r="U559" i="1"/>
  <c r="Y559" i="1"/>
  <c r="AC559" i="1"/>
  <c r="AG559" i="1"/>
  <c r="AK559" i="1"/>
  <c r="AO559" i="1"/>
  <c r="AS559" i="1"/>
  <c r="AW559" i="1"/>
  <c r="F559" i="1"/>
  <c r="J559" i="1"/>
  <c r="N559" i="1"/>
  <c r="R559" i="1"/>
  <c r="V559" i="1"/>
  <c r="Z559" i="1"/>
  <c r="AD559" i="1"/>
  <c r="AH559" i="1"/>
  <c r="AL559" i="1"/>
  <c r="AP559" i="1"/>
  <c r="AT559" i="1"/>
  <c r="AX559" i="1"/>
  <c r="D559" i="1"/>
  <c r="H559" i="1"/>
  <c r="L559" i="1"/>
  <c r="P559" i="1"/>
  <c r="T559" i="1"/>
  <c r="X559" i="1"/>
  <c r="AB559" i="1"/>
  <c r="AF559" i="1"/>
  <c r="AJ559" i="1"/>
  <c r="AN559" i="1"/>
  <c r="AR559" i="1"/>
  <c r="AV559" i="1"/>
  <c r="AZ559" i="1"/>
  <c r="O559" i="1"/>
  <c r="AE559" i="1"/>
  <c r="AU559" i="1"/>
  <c r="S559" i="1"/>
  <c r="AI559" i="1"/>
  <c r="AY559" i="1"/>
  <c r="G559" i="1"/>
  <c r="W559" i="1"/>
  <c r="AM559" i="1"/>
  <c r="K559" i="1"/>
  <c r="AA559" i="1"/>
  <c r="AQ559" i="1"/>
  <c r="C559" i="1"/>
  <c r="D560" i="1"/>
  <c r="H560" i="1"/>
  <c r="L560" i="1"/>
  <c r="P560" i="1"/>
  <c r="T560" i="1"/>
  <c r="X560" i="1"/>
  <c r="AB560" i="1"/>
  <c r="AF560" i="1"/>
  <c r="AJ560" i="1"/>
  <c r="AN560" i="1"/>
  <c r="AR560" i="1"/>
  <c r="AV560" i="1"/>
  <c r="AZ560" i="1"/>
  <c r="E560" i="1"/>
  <c r="I560" i="1"/>
  <c r="M560" i="1"/>
  <c r="Q560" i="1"/>
  <c r="U560" i="1"/>
  <c r="Y560" i="1"/>
  <c r="AC560" i="1"/>
  <c r="AG560" i="1"/>
  <c r="AK560" i="1"/>
  <c r="AO560" i="1"/>
  <c r="AS560" i="1"/>
  <c r="AW560" i="1"/>
  <c r="G560" i="1"/>
  <c r="K560" i="1"/>
  <c r="O560" i="1"/>
  <c r="S560" i="1"/>
  <c r="W560" i="1"/>
  <c r="AA560" i="1"/>
  <c r="AE560" i="1"/>
  <c r="AI560" i="1"/>
  <c r="AM560" i="1"/>
  <c r="AQ560" i="1"/>
  <c r="AU560" i="1"/>
  <c r="AY560" i="1"/>
  <c r="J560" i="1"/>
  <c r="Z560" i="1"/>
  <c r="AP560" i="1"/>
  <c r="N560" i="1"/>
  <c r="AD560" i="1"/>
  <c r="AT560" i="1"/>
  <c r="R560" i="1"/>
  <c r="AH560" i="1"/>
  <c r="AX560" i="1"/>
  <c r="F560" i="1"/>
  <c r="V560" i="1"/>
  <c r="AL560" i="1"/>
  <c r="C560" i="1"/>
  <c r="G561" i="1"/>
  <c r="K561" i="1"/>
  <c r="O561" i="1"/>
  <c r="S561" i="1"/>
  <c r="W561" i="1"/>
  <c r="AA561" i="1"/>
  <c r="AE561" i="1"/>
  <c r="AI561" i="1"/>
  <c r="AM561" i="1"/>
  <c r="AQ561" i="1"/>
  <c r="AU561" i="1"/>
  <c r="AY561" i="1"/>
  <c r="D561" i="1"/>
  <c r="H561" i="1"/>
  <c r="L561" i="1"/>
  <c r="P561" i="1"/>
  <c r="T561" i="1"/>
  <c r="X561" i="1"/>
  <c r="AB561" i="1"/>
  <c r="AF561" i="1"/>
  <c r="AJ561" i="1"/>
  <c r="AN561" i="1"/>
  <c r="AR561" i="1"/>
  <c r="AV561" i="1"/>
  <c r="AZ561" i="1"/>
  <c r="F561" i="1"/>
  <c r="J561" i="1"/>
  <c r="N561" i="1"/>
  <c r="R561" i="1"/>
  <c r="V561" i="1"/>
  <c r="Z561" i="1"/>
  <c r="AD561" i="1"/>
  <c r="AH561" i="1"/>
  <c r="AL561" i="1"/>
  <c r="AP561" i="1"/>
  <c r="AT561" i="1"/>
  <c r="AX561" i="1"/>
  <c r="E561" i="1"/>
  <c r="U561" i="1"/>
  <c r="AK561" i="1"/>
  <c r="I561" i="1"/>
  <c r="Y561" i="1"/>
  <c r="AO561" i="1"/>
  <c r="M561" i="1"/>
  <c r="AC561" i="1"/>
  <c r="AS561" i="1"/>
  <c r="Q561" i="1"/>
  <c r="AG561" i="1"/>
  <c r="AW561" i="1"/>
  <c r="C561" i="1"/>
  <c r="F562" i="1"/>
  <c r="J562" i="1"/>
  <c r="N562" i="1"/>
  <c r="R562" i="1"/>
  <c r="V562" i="1"/>
  <c r="Z562" i="1"/>
  <c r="AD562" i="1"/>
  <c r="AH562" i="1"/>
  <c r="AL562" i="1"/>
  <c r="AP562" i="1"/>
  <c r="AT562" i="1"/>
  <c r="AX562" i="1"/>
  <c r="G562" i="1"/>
  <c r="K562" i="1"/>
  <c r="O562" i="1"/>
  <c r="S562" i="1"/>
  <c r="W562" i="1"/>
  <c r="AA562" i="1"/>
  <c r="AE562" i="1"/>
  <c r="AI562" i="1"/>
  <c r="AM562" i="1"/>
  <c r="AQ562" i="1"/>
  <c r="AU562" i="1"/>
  <c r="AY562" i="1"/>
  <c r="E562" i="1"/>
  <c r="I562" i="1"/>
  <c r="M562" i="1"/>
  <c r="Q562" i="1"/>
  <c r="U562" i="1"/>
  <c r="Y562" i="1"/>
  <c r="AC562" i="1"/>
  <c r="AG562" i="1"/>
  <c r="AK562" i="1"/>
  <c r="AO562" i="1"/>
  <c r="AS562" i="1"/>
  <c r="AW562" i="1"/>
  <c r="P562" i="1"/>
  <c r="AF562" i="1"/>
  <c r="AV562" i="1"/>
  <c r="D562" i="1"/>
  <c r="T562" i="1"/>
  <c r="AJ562" i="1"/>
  <c r="AZ562" i="1"/>
  <c r="H562" i="1"/>
  <c r="X562" i="1"/>
  <c r="AN562" i="1"/>
  <c r="L562" i="1"/>
  <c r="AB562" i="1"/>
  <c r="AR562" i="1"/>
  <c r="C562" i="1"/>
  <c r="E563" i="1"/>
  <c r="I563" i="1"/>
  <c r="M563" i="1"/>
  <c r="Q563" i="1"/>
  <c r="U563" i="1"/>
  <c r="Y563" i="1"/>
  <c r="AC563" i="1"/>
  <c r="AG563" i="1"/>
  <c r="AK563" i="1"/>
  <c r="AO563" i="1"/>
  <c r="AS563" i="1"/>
  <c r="AW563" i="1"/>
  <c r="F563" i="1"/>
  <c r="J563" i="1"/>
  <c r="N563" i="1"/>
  <c r="R563" i="1"/>
  <c r="V563" i="1"/>
  <c r="Z563" i="1"/>
  <c r="AD563" i="1"/>
  <c r="AH563" i="1"/>
  <c r="AL563" i="1"/>
  <c r="AP563" i="1"/>
  <c r="AT563" i="1"/>
  <c r="AX563" i="1"/>
  <c r="D563" i="1"/>
  <c r="H563" i="1"/>
  <c r="L563" i="1"/>
  <c r="P563" i="1"/>
  <c r="T563" i="1"/>
  <c r="X563" i="1"/>
  <c r="AB563" i="1"/>
  <c r="AF563" i="1"/>
  <c r="AJ563" i="1"/>
  <c r="AN563" i="1"/>
  <c r="AR563" i="1"/>
  <c r="AV563" i="1"/>
  <c r="AZ563" i="1"/>
  <c r="K563" i="1"/>
  <c r="AA563" i="1"/>
  <c r="AQ563" i="1"/>
  <c r="O563" i="1"/>
  <c r="AE563" i="1"/>
  <c r="AU563" i="1"/>
  <c r="S563" i="1"/>
  <c r="AI563" i="1"/>
  <c r="AY563" i="1"/>
  <c r="G563" i="1"/>
  <c r="W563" i="1"/>
  <c r="AM563" i="1"/>
  <c r="C563" i="1"/>
  <c r="D564" i="1"/>
  <c r="H564" i="1"/>
  <c r="L564" i="1"/>
  <c r="P564" i="1"/>
  <c r="T564" i="1"/>
  <c r="X564" i="1"/>
  <c r="AB564" i="1"/>
  <c r="AF564" i="1"/>
  <c r="AJ564" i="1"/>
  <c r="AN564" i="1"/>
  <c r="AR564" i="1"/>
  <c r="AV564" i="1"/>
  <c r="AZ564" i="1"/>
  <c r="E564" i="1"/>
  <c r="I564" i="1"/>
  <c r="M564" i="1"/>
  <c r="Q564" i="1"/>
  <c r="U564" i="1"/>
  <c r="Y564" i="1"/>
  <c r="AC564" i="1"/>
  <c r="AG564" i="1"/>
  <c r="AK564" i="1"/>
  <c r="AO564" i="1"/>
  <c r="AS564" i="1"/>
  <c r="AW564" i="1"/>
  <c r="G564" i="1"/>
  <c r="K564" i="1"/>
  <c r="O564" i="1"/>
  <c r="S564" i="1"/>
  <c r="W564" i="1"/>
  <c r="AA564" i="1"/>
  <c r="AE564" i="1"/>
  <c r="AI564" i="1"/>
  <c r="AM564" i="1"/>
  <c r="AQ564" i="1"/>
  <c r="AU564" i="1"/>
  <c r="AY564" i="1"/>
  <c r="F564" i="1"/>
  <c r="V564" i="1"/>
  <c r="AL564" i="1"/>
  <c r="J564" i="1"/>
  <c r="Z564" i="1"/>
  <c r="AP564" i="1"/>
  <c r="N564" i="1"/>
  <c r="AD564" i="1"/>
  <c r="AT564" i="1"/>
  <c r="R564" i="1"/>
  <c r="AH564" i="1"/>
  <c r="AX564" i="1"/>
  <c r="C564" i="1"/>
  <c r="G565" i="1"/>
  <c r="K565" i="1"/>
  <c r="O565" i="1"/>
  <c r="S565" i="1"/>
  <c r="W565" i="1"/>
  <c r="AA565" i="1"/>
  <c r="AE565" i="1"/>
  <c r="AI565" i="1"/>
  <c r="AM565" i="1"/>
  <c r="AQ565" i="1"/>
  <c r="AU565" i="1"/>
  <c r="AY565" i="1"/>
  <c r="D565" i="1"/>
  <c r="H565" i="1"/>
  <c r="L565" i="1"/>
  <c r="P565" i="1"/>
  <c r="T565" i="1"/>
  <c r="X565" i="1"/>
  <c r="AB565" i="1"/>
  <c r="AF565" i="1"/>
  <c r="AJ565" i="1"/>
  <c r="AN565" i="1"/>
  <c r="AR565" i="1"/>
  <c r="AV565" i="1"/>
  <c r="AZ565" i="1"/>
  <c r="F565" i="1"/>
  <c r="J565" i="1"/>
  <c r="N565" i="1"/>
  <c r="R565" i="1"/>
  <c r="V565" i="1"/>
  <c r="Z565" i="1"/>
  <c r="AD565" i="1"/>
  <c r="AH565" i="1"/>
  <c r="AL565" i="1"/>
  <c r="AP565" i="1"/>
  <c r="AT565" i="1"/>
  <c r="AX565" i="1"/>
  <c r="Q565" i="1"/>
  <c r="AG565" i="1"/>
  <c r="AW565" i="1"/>
  <c r="E565" i="1"/>
  <c r="U565" i="1"/>
  <c r="AK565" i="1"/>
  <c r="I565" i="1"/>
  <c r="Y565" i="1"/>
  <c r="AO565" i="1"/>
  <c r="M565" i="1"/>
  <c r="AC565" i="1"/>
  <c r="AS565" i="1"/>
  <c r="C565" i="1"/>
  <c r="F566" i="1"/>
  <c r="J566" i="1"/>
  <c r="N566" i="1"/>
  <c r="R566" i="1"/>
  <c r="V566" i="1"/>
  <c r="Z566" i="1"/>
  <c r="AD566" i="1"/>
  <c r="AH566" i="1"/>
  <c r="AL566" i="1"/>
  <c r="AP566" i="1"/>
  <c r="AT566" i="1"/>
  <c r="AX566" i="1"/>
  <c r="G566" i="1"/>
  <c r="K566" i="1"/>
  <c r="O566" i="1"/>
  <c r="S566" i="1"/>
  <c r="W566" i="1"/>
  <c r="AA566" i="1"/>
  <c r="AE566" i="1"/>
  <c r="AI566" i="1"/>
  <c r="AM566" i="1"/>
  <c r="AQ566" i="1"/>
  <c r="AU566" i="1"/>
  <c r="AY566" i="1"/>
  <c r="E566" i="1"/>
  <c r="I566" i="1"/>
  <c r="M566" i="1"/>
  <c r="Q566" i="1"/>
  <c r="U566" i="1"/>
  <c r="Y566" i="1"/>
  <c r="AC566" i="1"/>
  <c r="AG566" i="1"/>
  <c r="AK566" i="1"/>
  <c r="AO566" i="1"/>
  <c r="AS566" i="1"/>
  <c r="AW566" i="1"/>
  <c r="L566" i="1"/>
  <c r="AB566" i="1"/>
  <c r="AR566" i="1"/>
  <c r="P566" i="1"/>
  <c r="AF566" i="1"/>
  <c r="AV566" i="1"/>
  <c r="D566" i="1"/>
  <c r="T566" i="1"/>
  <c r="AJ566" i="1"/>
  <c r="AZ566" i="1"/>
  <c r="H566" i="1"/>
  <c r="X566" i="1"/>
  <c r="AN566" i="1"/>
  <c r="C566" i="1"/>
  <c r="E567" i="1"/>
  <c r="I567" i="1"/>
  <c r="M567" i="1"/>
  <c r="Q567" i="1"/>
  <c r="U567" i="1"/>
  <c r="Y567" i="1"/>
  <c r="AC567" i="1"/>
  <c r="AG567" i="1"/>
  <c r="AK567" i="1"/>
  <c r="AO567" i="1"/>
  <c r="AS567" i="1"/>
  <c r="AW567" i="1"/>
  <c r="F567" i="1"/>
  <c r="J567" i="1"/>
  <c r="N567" i="1"/>
  <c r="R567" i="1"/>
  <c r="V567" i="1"/>
  <c r="Z567" i="1"/>
  <c r="AD567" i="1"/>
  <c r="AH567" i="1"/>
  <c r="AL567" i="1"/>
  <c r="AP567" i="1"/>
  <c r="AT567" i="1"/>
  <c r="AX567" i="1"/>
  <c r="D567" i="1"/>
  <c r="H567" i="1"/>
  <c r="L567" i="1"/>
  <c r="P567" i="1"/>
  <c r="T567" i="1"/>
  <c r="X567" i="1"/>
  <c r="AB567" i="1"/>
  <c r="AF567" i="1"/>
  <c r="AJ567" i="1"/>
  <c r="AN567" i="1"/>
  <c r="AR567" i="1"/>
  <c r="AV567" i="1"/>
  <c r="AZ567" i="1"/>
  <c r="G567" i="1"/>
  <c r="W567" i="1"/>
  <c r="AM567" i="1"/>
  <c r="K567" i="1"/>
  <c r="AA567" i="1"/>
  <c r="AQ567" i="1"/>
  <c r="O567" i="1"/>
  <c r="AE567" i="1"/>
  <c r="AU567" i="1"/>
  <c r="S567" i="1"/>
  <c r="AI567" i="1"/>
  <c r="AY567" i="1"/>
  <c r="C567" i="1"/>
  <c r="G568" i="1"/>
  <c r="K568" i="1"/>
  <c r="O568" i="1"/>
  <c r="S568" i="1"/>
  <c r="W568" i="1"/>
  <c r="AA568" i="1"/>
  <c r="AE568" i="1"/>
  <c r="AI568" i="1"/>
  <c r="AM568" i="1"/>
  <c r="AQ568" i="1"/>
  <c r="AU568" i="1"/>
  <c r="AY568" i="1"/>
  <c r="D568" i="1"/>
  <c r="H568" i="1"/>
  <c r="L568" i="1"/>
  <c r="P568" i="1"/>
  <c r="T568" i="1"/>
  <c r="X568" i="1"/>
  <c r="AB568" i="1"/>
  <c r="AF568" i="1"/>
  <c r="AJ568" i="1"/>
  <c r="AN568" i="1"/>
  <c r="AR568" i="1"/>
  <c r="AV568" i="1"/>
  <c r="AZ568" i="1"/>
  <c r="E568" i="1"/>
  <c r="I568" i="1"/>
  <c r="M568" i="1"/>
  <c r="Q568" i="1"/>
  <c r="U568" i="1"/>
  <c r="Y568" i="1"/>
  <c r="AC568" i="1"/>
  <c r="AG568" i="1"/>
  <c r="AK568" i="1"/>
  <c r="AO568" i="1"/>
  <c r="AS568" i="1"/>
  <c r="AW568" i="1"/>
  <c r="F568" i="1"/>
  <c r="J568" i="1"/>
  <c r="N568" i="1"/>
  <c r="R568" i="1"/>
  <c r="V568" i="1"/>
  <c r="Z568" i="1"/>
  <c r="AD568" i="1"/>
  <c r="AH568" i="1"/>
  <c r="AL568" i="1"/>
  <c r="AP568" i="1"/>
  <c r="AT568" i="1"/>
  <c r="AX568" i="1"/>
  <c r="C568" i="1"/>
  <c r="F569" i="1"/>
  <c r="J569" i="1"/>
  <c r="N569" i="1"/>
  <c r="R569" i="1"/>
  <c r="V569" i="1"/>
  <c r="Z569" i="1"/>
  <c r="AD569" i="1"/>
  <c r="AH569" i="1"/>
  <c r="AL569" i="1"/>
  <c r="AP569" i="1"/>
  <c r="AT569" i="1"/>
  <c r="AX569" i="1"/>
  <c r="G569" i="1"/>
  <c r="K569" i="1"/>
  <c r="O569" i="1"/>
  <c r="S569" i="1"/>
  <c r="W569" i="1"/>
  <c r="AA569" i="1"/>
  <c r="AE569" i="1"/>
  <c r="AI569" i="1"/>
  <c r="AM569" i="1"/>
  <c r="AQ569" i="1"/>
  <c r="AU569" i="1"/>
  <c r="AY569" i="1"/>
  <c r="D569" i="1"/>
  <c r="H569" i="1"/>
  <c r="L569" i="1"/>
  <c r="P569" i="1"/>
  <c r="T569" i="1"/>
  <c r="X569" i="1"/>
  <c r="AB569" i="1"/>
  <c r="AF569" i="1"/>
  <c r="AJ569" i="1"/>
  <c r="AN569" i="1"/>
  <c r="AR569" i="1"/>
  <c r="AV569" i="1"/>
  <c r="AZ569" i="1"/>
  <c r="E569" i="1"/>
  <c r="I569" i="1"/>
  <c r="M569" i="1"/>
  <c r="Q569" i="1"/>
  <c r="U569" i="1"/>
  <c r="Y569" i="1"/>
  <c r="AC569" i="1"/>
  <c r="AG569" i="1"/>
  <c r="AK569" i="1"/>
  <c r="AO569" i="1"/>
  <c r="AS569" i="1"/>
  <c r="AW569" i="1"/>
  <c r="C569" i="1"/>
  <c r="E570" i="1"/>
  <c r="I570" i="1"/>
  <c r="M570" i="1"/>
  <c r="Q570" i="1"/>
  <c r="U570" i="1"/>
  <c r="Y570" i="1"/>
  <c r="AC570" i="1"/>
  <c r="AG570" i="1"/>
  <c r="AK570" i="1"/>
  <c r="AO570" i="1"/>
  <c r="AS570" i="1"/>
  <c r="AW570" i="1"/>
  <c r="F570" i="1"/>
  <c r="J570" i="1"/>
  <c r="N570" i="1"/>
  <c r="R570" i="1"/>
  <c r="V570" i="1"/>
  <c r="Z570" i="1"/>
  <c r="AD570" i="1"/>
  <c r="AH570" i="1"/>
  <c r="AL570" i="1"/>
  <c r="AP570" i="1"/>
  <c r="AT570" i="1"/>
  <c r="AX570" i="1"/>
  <c r="G570" i="1"/>
  <c r="K570" i="1"/>
  <c r="O570" i="1"/>
  <c r="S570" i="1"/>
  <c r="W570" i="1"/>
  <c r="AA570" i="1"/>
  <c r="AE570" i="1"/>
  <c r="AI570" i="1"/>
  <c r="AM570" i="1"/>
  <c r="AQ570" i="1"/>
  <c r="AU570" i="1"/>
  <c r="AY570" i="1"/>
  <c r="D570" i="1"/>
  <c r="H570" i="1"/>
  <c r="L570" i="1"/>
  <c r="P570" i="1"/>
  <c r="T570" i="1"/>
  <c r="X570" i="1"/>
  <c r="AB570" i="1"/>
  <c r="AF570" i="1"/>
  <c r="AJ570" i="1"/>
  <c r="AN570" i="1"/>
  <c r="AR570" i="1"/>
  <c r="AV570" i="1"/>
  <c r="AZ570" i="1"/>
  <c r="C570" i="1"/>
  <c r="D571" i="1"/>
  <c r="H571" i="1"/>
  <c r="L571" i="1"/>
  <c r="P571" i="1"/>
  <c r="T571" i="1"/>
  <c r="X571" i="1"/>
  <c r="AB571" i="1"/>
  <c r="AF571" i="1"/>
  <c r="AJ571" i="1"/>
  <c r="AN571" i="1"/>
  <c r="AR571" i="1"/>
  <c r="AV571" i="1"/>
  <c r="AZ571" i="1"/>
  <c r="E571" i="1"/>
  <c r="I571" i="1"/>
  <c r="M571" i="1"/>
  <c r="Q571" i="1"/>
  <c r="U571" i="1"/>
  <c r="Y571" i="1"/>
  <c r="AC571" i="1"/>
  <c r="AG571" i="1"/>
  <c r="AK571" i="1"/>
  <c r="AO571" i="1"/>
  <c r="AS571" i="1"/>
  <c r="AW571" i="1"/>
  <c r="F571" i="1"/>
  <c r="J571" i="1"/>
  <c r="N571" i="1"/>
  <c r="R571" i="1"/>
  <c r="V571" i="1"/>
  <c r="Z571" i="1"/>
  <c r="AD571" i="1"/>
  <c r="AH571" i="1"/>
  <c r="AL571" i="1"/>
  <c r="AP571" i="1"/>
  <c r="AT571" i="1"/>
  <c r="AX571" i="1"/>
  <c r="G571" i="1"/>
  <c r="K571" i="1"/>
  <c r="O571" i="1"/>
  <c r="S571" i="1"/>
  <c r="W571" i="1"/>
  <c r="AA571" i="1"/>
  <c r="AE571" i="1"/>
  <c r="AI571" i="1"/>
  <c r="AM571" i="1"/>
  <c r="AQ571" i="1"/>
  <c r="AU571" i="1"/>
  <c r="AY571" i="1"/>
  <c r="C571" i="1"/>
  <c r="G572" i="1"/>
  <c r="K572" i="1"/>
  <c r="O572" i="1"/>
  <c r="S572" i="1"/>
  <c r="W572" i="1"/>
  <c r="AA572" i="1"/>
  <c r="AE572" i="1"/>
  <c r="AI572" i="1"/>
  <c r="AM572" i="1"/>
  <c r="AQ572" i="1"/>
  <c r="AU572" i="1"/>
  <c r="AY572" i="1"/>
  <c r="D572" i="1"/>
  <c r="H572" i="1"/>
  <c r="L572" i="1"/>
  <c r="P572" i="1"/>
  <c r="T572" i="1"/>
  <c r="X572" i="1"/>
  <c r="AB572" i="1"/>
  <c r="AF572" i="1"/>
  <c r="AJ572" i="1"/>
  <c r="AN572" i="1"/>
  <c r="AR572" i="1"/>
  <c r="AV572" i="1"/>
  <c r="AZ572" i="1"/>
  <c r="E572" i="1"/>
  <c r="I572" i="1"/>
  <c r="M572" i="1"/>
  <c r="Q572" i="1"/>
  <c r="U572" i="1"/>
  <c r="Y572" i="1"/>
  <c r="AC572" i="1"/>
  <c r="AG572" i="1"/>
  <c r="AK572" i="1"/>
  <c r="AO572" i="1"/>
  <c r="AS572" i="1"/>
  <c r="AW572" i="1"/>
  <c r="F572" i="1"/>
  <c r="J572" i="1"/>
  <c r="N572" i="1"/>
  <c r="R572" i="1"/>
  <c r="V572" i="1"/>
  <c r="Z572" i="1"/>
  <c r="AD572" i="1"/>
  <c r="AH572" i="1"/>
  <c r="AL572" i="1"/>
  <c r="AP572" i="1"/>
  <c r="AT572" i="1"/>
  <c r="AX572" i="1"/>
  <c r="C572" i="1"/>
  <c r="F573" i="1"/>
  <c r="J573" i="1"/>
  <c r="N573" i="1"/>
  <c r="R573" i="1"/>
  <c r="V573" i="1"/>
  <c r="Z573" i="1"/>
  <c r="AD573" i="1"/>
  <c r="AH573" i="1"/>
  <c r="AL573" i="1"/>
  <c r="AP573" i="1"/>
  <c r="AT573" i="1"/>
  <c r="AX573" i="1"/>
  <c r="G573" i="1"/>
  <c r="K573" i="1"/>
  <c r="O573" i="1"/>
  <c r="S573" i="1"/>
  <c r="W573" i="1"/>
  <c r="AA573" i="1"/>
  <c r="AE573" i="1"/>
  <c r="AI573" i="1"/>
  <c r="AM573" i="1"/>
  <c r="AQ573" i="1"/>
  <c r="AU573" i="1"/>
  <c r="AY573" i="1"/>
  <c r="D573" i="1"/>
  <c r="H573" i="1"/>
  <c r="L573" i="1"/>
  <c r="P573" i="1"/>
  <c r="T573" i="1"/>
  <c r="X573" i="1"/>
  <c r="AB573" i="1"/>
  <c r="AF573" i="1"/>
  <c r="AJ573" i="1"/>
  <c r="AN573" i="1"/>
  <c r="AR573" i="1"/>
  <c r="AV573" i="1"/>
  <c r="AZ573" i="1"/>
  <c r="E573" i="1"/>
  <c r="I573" i="1"/>
  <c r="M573" i="1"/>
  <c r="Q573" i="1"/>
  <c r="U573" i="1"/>
  <c r="Y573" i="1"/>
  <c r="AC573" i="1"/>
  <c r="AG573" i="1"/>
  <c r="AK573" i="1"/>
  <c r="AO573" i="1"/>
  <c r="AS573" i="1"/>
  <c r="AW573" i="1"/>
  <c r="C573" i="1"/>
  <c r="E574" i="1"/>
  <c r="I574" i="1"/>
  <c r="M574" i="1"/>
  <c r="Q574" i="1"/>
  <c r="U574" i="1"/>
  <c r="Y574" i="1"/>
  <c r="AC574" i="1"/>
  <c r="AG574" i="1"/>
  <c r="AK574" i="1"/>
  <c r="AO574" i="1"/>
  <c r="AS574" i="1"/>
  <c r="AW574" i="1"/>
  <c r="F574" i="1"/>
  <c r="J574" i="1"/>
  <c r="N574" i="1"/>
  <c r="R574" i="1"/>
  <c r="V574" i="1"/>
  <c r="Z574" i="1"/>
  <c r="AD574" i="1"/>
  <c r="AH574" i="1"/>
  <c r="AL574" i="1"/>
  <c r="AP574" i="1"/>
  <c r="AT574" i="1"/>
  <c r="AX574" i="1"/>
  <c r="G574" i="1"/>
  <c r="K574" i="1"/>
  <c r="O574" i="1"/>
  <c r="S574" i="1"/>
  <c r="W574" i="1"/>
  <c r="AA574" i="1"/>
  <c r="AE574" i="1"/>
  <c r="AI574" i="1"/>
  <c r="AM574" i="1"/>
  <c r="AQ574" i="1"/>
  <c r="AU574" i="1"/>
  <c r="AY574" i="1"/>
  <c r="D574" i="1"/>
  <c r="H574" i="1"/>
  <c r="L574" i="1"/>
  <c r="P574" i="1"/>
  <c r="T574" i="1"/>
  <c r="X574" i="1"/>
  <c r="AB574" i="1"/>
  <c r="AF574" i="1"/>
  <c r="AJ574" i="1"/>
  <c r="AN574" i="1"/>
  <c r="AR574" i="1"/>
  <c r="AV574" i="1"/>
  <c r="AZ574" i="1"/>
  <c r="C574" i="1"/>
  <c r="D575" i="1"/>
  <c r="H575" i="1"/>
  <c r="L575" i="1"/>
  <c r="P575" i="1"/>
  <c r="T575" i="1"/>
  <c r="X575" i="1"/>
  <c r="AB575" i="1"/>
  <c r="AF575" i="1"/>
  <c r="AJ575" i="1"/>
  <c r="AN575" i="1"/>
  <c r="AR575" i="1"/>
  <c r="AV575" i="1"/>
  <c r="AZ575" i="1"/>
  <c r="E575" i="1"/>
  <c r="I575" i="1"/>
  <c r="M575" i="1"/>
  <c r="Q575" i="1"/>
  <c r="U575" i="1"/>
  <c r="Y575" i="1"/>
  <c r="AC575" i="1"/>
  <c r="AG575" i="1"/>
  <c r="AK575" i="1"/>
  <c r="AO575" i="1"/>
  <c r="AS575" i="1"/>
  <c r="AW575" i="1"/>
  <c r="F575" i="1"/>
  <c r="J575" i="1"/>
  <c r="N575" i="1"/>
  <c r="R575" i="1"/>
  <c r="V575" i="1"/>
  <c r="Z575" i="1"/>
  <c r="AD575" i="1"/>
  <c r="AH575" i="1"/>
  <c r="AL575" i="1"/>
  <c r="AP575" i="1"/>
  <c r="AT575" i="1"/>
  <c r="AX575" i="1"/>
  <c r="G575" i="1"/>
  <c r="K575" i="1"/>
  <c r="O575" i="1"/>
  <c r="S575" i="1"/>
  <c r="W575" i="1"/>
  <c r="AA575" i="1"/>
  <c r="AE575" i="1"/>
  <c r="AI575" i="1"/>
  <c r="AM575" i="1"/>
  <c r="AQ575" i="1"/>
  <c r="AU575" i="1"/>
  <c r="AY575" i="1"/>
  <c r="C575" i="1"/>
  <c r="G576" i="1"/>
  <c r="K576" i="1"/>
  <c r="O576" i="1"/>
  <c r="S576" i="1"/>
  <c r="W576" i="1"/>
  <c r="AA576" i="1"/>
  <c r="AE576" i="1"/>
  <c r="AI576" i="1"/>
  <c r="AM576" i="1"/>
  <c r="AQ576" i="1"/>
  <c r="AU576" i="1"/>
  <c r="AY576" i="1"/>
  <c r="D576" i="1"/>
  <c r="H576" i="1"/>
  <c r="L576" i="1"/>
  <c r="P576" i="1"/>
  <c r="T576" i="1"/>
  <c r="X576" i="1"/>
  <c r="AB576" i="1"/>
  <c r="AF576" i="1"/>
  <c r="AJ576" i="1"/>
  <c r="AN576" i="1"/>
  <c r="AR576" i="1"/>
  <c r="AV576" i="1"/>
  <c r="AZ576" i="1"/>
  <c r="E576" i="1"/>
  <c r="I576" i="1"/>
  <c r="M576" i="1"/>
  <c r="Q576" i="1"/>
  <c r="U576" i="1"/>
  <c r="Y576" i="1"/>
  <c r="AC576" i="1"/>
  <c r="AG576" i="1"/>
  <c r="AK576" i="1"/>
  <c r="AO576" i="1"/>
  <c r="AS576" i="1"/>
  <c r="AW576" i="1"/>
  <c r="F576" i="1"/>
  <c r="J576" i="1"/>
  <c r="N576" i="1"/>
  <c r="R576" i="1"/>
  <c r="V576" i="1"/>
  <c r="Z576" i="1"/>
  <c r="AD576" i="1"/>
  <c r="AH576" i="1"/>
  <c r="AL576" i="1"/>
  <c r="AP576" i="1"/>
  <c r="AT576" i="1"/>
  <c r="AX576" i="1"/>
  <c r="C576" i="1"/>
  <c r="F577" i="1"/>
  <c r="J577" i="1"/>
  <c r="N577" i="1"/>
  <c r="R577" i="1"/>
  <c r="V577" i="1"/>
  <c r="Z577" i="1"/>
  <c r="AD577" i="1"/>
  <c r="AH577" i="1"/>
  <c r="AL577" i="1"/>
  <c r="AP577" i="1"/>
  <c r="AT577" i="1"/>
  <c r="AX577" i="1"/>
  <c r="G577" i="1"/>
  <c r="K577" i="1"/>
  <c r="O577" i="1"/>
  <c r="S577" i="1"/>
  <c r="W577" i="1"/>
  <c r="AA577" i="1"/>
  <c r="AE577" i="1"/>
  <c r="AI577" i="1"/>
  <c r="AM577" i="1"/>
  <c r="AQ577" i="1"/>
  <c r="AU577" i="1"/>
  <c r="AY577" i="1"/>
  <c r="D577" i="1"/>
  <c r="H577" i="1"/>
  <c r="L577" i="1"/>
  <c r="P577" i="1"/>
  <c r="T577" i="1"/>
  <c r="X577" i="1"/>
  <c r="AB577" i="1"/>
  <c r="AF577" i="1"/>
  <c r="AJ577" i="1"/>
  <c r="AN577" i="1"/>
  <c r="AR577" i="1"/>
  <c r="AV577" i="1"/>
  <c r="AZ577" i="1"/>
  <c r="E577" i="1"/>
  <c r="I577" i="1"/>
  <c r="M577" i="1"/>
  <c r="Q577" i="1"/>
  <c r="U577" i="1"/>
  <c r="Y577" i="1"/>
  <c r="AC577" i="1"/>
  <c r="AG577" i="1"/>
  <c r="AK577" i="1"/>
  <c r="AO577" i="1"/>
  <c r="AS577" i="1"/>
  <c r="AW577" i="1"/>
  <c r="C577" i="1"/>
  <c r="E578" i="1"/>
  <c r="I578" i="1"/>
  <c r="M578" i="1"/>
  <c r="Q578" i="1"/>
  <c r="U578" i="1"/>
  <c r="Y578" i="1"/>
  <c r="AC578" i="1"/>
  <c r="AG578" i="1"/>
  <c r="AK578" i="1"/>
  <c r="AO578" i="1"/>
  <c r="AS578" i="1"/>
  <c r="AW578" i="1"/>
  <c r="F578" i="1"/>
  <c r="J578" i="1"/>
  <c r="N578" i="1"/>
  <c r="R578" i="1"/>
  <c r="V578" i="1"/>
  <c r="Z578" i="1"/>
  <c r="AD578" i="1"/>
  <c r="AH578" i="1"/>
  <c r="AL578" i="1"/>
  <c r="AP578" i="1"/>
  <c r="AT578" i="1"/>
  <c r="AX578" i="1"/>
  <c r="G578" i="1"/>
  <c r="K578" i="1"/>
  <c r="O578" i="1"/>
  <c r="S578" i="1"/>
  <c r="W578" i="1"/>
  <c r="AA578" i="1"/>
  <c r="AE578" i="1"/>
  <c r="AI578" i="1"/>
  <c r="AM578" i="1"/>
  <c r="AQ578" i="1"/>
  <c r="AU578" i="1"/>
  <c r="AY578" i="1"/>
  <c r="D578" i="1"/>
  <c r="H578" i="1"/>
  <c r="L578" i="1"/>
  <c r="P578" i="1"/>
  <c r="T578" i="1"/>
  <c r="X578" i="1"/>
  <c r="AB578" i="1"/>
  <c r="AF578" i="1"/>
  <c r="AJ578" i="1"/>
  <c r="AN578" i="1"/>
  <c r="AR578" i="1"/>
  <c r="AV578" i="1"/>
  <c r="AZ578" i="1"/>
  <c r="C578" i="1"/>
  <c r="D579" i="1"/>
  <c r="H579" i="1"/>
  <c r="L579" i="1"/>
  <c r="P579" i="1"/>
  <c r="T579" i="1"/>
  <c r="X579" i="1"/>
  <c r="AB579" i="1"/>
  <c r="AF579" i="1"/>
  <c r="AJ579" i="1"/>
  <c r="AN579" i="1"/>
  <c r="AR579" i="1"/>
  <c r="AV579" i="1"/>
  <c r="AZ579" i="1"/>
  <c r="E579" i="1"/>
  <c r="I579" i="1"/>
  <c r="M579" i="1"/>
  <c r="Q579" i="1"/>
  <c r="U579" i="1"/>
  <c r="Y579" i="1"/>
  <c r="AC579" i="1"/>
  <c r="AG579" i="1"/>
  <c r="AK579" i="1"/>
  <c r="AO579" i="1"/>
  <c r="AS579" i="1"/>
  <c r="AW579" i="1"/>
  <c r="F579" i="1"/>
  <c r="J579" i="1"/>
  <c r="N579" i="1"/>
  <c r="R579" i="1"/>
  <c r="V579" i="1"/>
  <c r="Z579" i="1"/>
  <c r="AD579" i="1"/>
  <c r="AH579" i="1"/>
  <c r="AL579" i="1"/>
  <c r="AP579" i="1"/>
  <c r="AT579" i="1"/>
  <c r="AX579" i="1"/>
  <c r="G579" i="1"/>
  <c r="K579" i="1"/>
  <c r="O579" i="1"/>
  <c r="S579" i="1"/>
  <c r="W579" i="1"/>
  <c r="AA579" i="1"/>
  <c r="AE579" i="1"/>
  <c r="AI579" i="1"/>
  <c r="AM579" i="1"/>
  <c r="AQ579" i="1"/>
  <c r="AU579" i="1"/>
  <c r="AY579" i="1"/>
  <c r="C579" i="1"/>
  <c r="G580" i="1"/>
  <c r="K580" i="1"/>
  <c r="O580" i="1"/>
  <c r="S580" i="1"/>
  <c r="W580" i="1"/>
  <c r="AA580" i="1"/>
  <c r="AE580" i="1"/>
  <c r="AI580" i="1"/>
  <c r="AM580" i="1"/>
  <c r="AQ580" i="1"/>
  <c r="AU580" i="1"/>
  <c r="AY580" i="1"/>
  <c r="D580" i="1"/>
  <c r="H580" i="1"/>
  <c r="L580" i="1"/>
  <c r="P580" i="1"/>
  <c r="T580" i="1"/>
  <c r="X580" i="1"/>
  <c r="AB580" i="1"/>
  <c r="AF580" i="1"/>
  <c r="AJ580" i="1"/>
  <c r="AN580" i="1"/>
  <c r="AR580" i="1"/>
  <c r="AV580" i="1"/>
  <c r="AZ580" i="1"/>
  <c r="E580" i="1"/>
  <c r="I580" i="1"/>
  <c r="M580" i="1"/>
  <c r="Q580" i="1"/>
  <c r="U580" i="1"/>
  <c r="Y580" i="1"/>
  <c r="AC580" i="1"/>
  <c r="AG580" i="1"/>
  <c r="AK580" i="1"/>
  <c r="AO580" i="1"/>
  <c r="AS580" i="1"/>
  <c r="AW580" i="1"/>
  <c r="F580" i="1"/>
  <c r="J580" i="1"/>
  <c r="N580" i="1"/>
  <c r="R580" i="1"/>
  <c r="V580" i="1"/>
  <c r="Z580" i="1"/>
  <c r="AD580" i="1"/>
  <c r="AH580" i="1"/>
  <c r="AL580" i="1"/>
  <c r="AP580" i="1"/>
  <c r="AT580" i="1"/>
  <c r="AX580" i="1"/>
  <c r="C580" i="1"/>
  <c r="F581" i="1"/>
  <c r="J581" i="1"/>
  <c r="N581" i="1"/>
  <c r="R581" i="1"/>
  <c r="V581" i="1"/>
  <c r="Z581" i="1"/>
  <c r="AD581" i="1"/>
  <c r="AH581" i="1"/>
  <c r="AL581" i="1"/>
  <c r="AP581" i="1"/>
  <c r="AT581" i="1"/>
  <c r="AX581" i="1"/>
  <c r="G581" i="1"/>
  <c r="K581" i="1"/>
  <c r="O581" i="1"/>
  <c r="S581" i="1"/>
  <c r="W581" i="1"/>
  <c r="AA581" i="1"/>
  <c r="AE581" i="1"/>
  <c r="AI581" i="1"/>
  <c r="AM581" i="1"/>
  <c r="AQ581" i="1"/>
  <c r="AU581" i="1"/>
  <c r="AY581" i="1"/>
  <c r="D581" i="1"/>
  <c r="H581" i="1"/>
  <c r="L581" i="1"/>
  <c r="P581" i="1"/>
  <c r="T581" i="1"/>
  <c r="X581" i="1"/>
  <c r="AB581" i="1"/>
  <c r="AF581" i="1"/>
  <c r="AJ581" i="1"/>
  <c r="AN581" i="1"/>
  <c r="AR581" i="1"/>
  <c r="AV581" i="1"/>
  <c r="AZ581" i="1"/>
  <c r="E581" i="1"/>
  <c r="I581" i="1"/>
  <c r="M581" i="1"/>
  <c r="Q581" i="1"/>
  <c r="U581" i="1"/>
  <c r="Y581" i="1"/>
  <c r="AC581" i="1"/>
  <c r="AG581" i="1"/>
  <c r="AK581" i="1"/>
  <c r="AO581" i="1"/>
  <c r="AS581" i="1"/>
  <c r="AW581" i="1"/>
  <c r="C581" i="1"/>
  <c r="E582" i="1"/>
  <c r="I582" i="1"/>
  <c r="M582" i="1"/>
  <c r="Q582" i="1"/>
  <c r="U582" i="1"/>
  <c r="Y582" i="1"/>
  <c r="AC582" i="1"/>
  <c r="AG582" i="1"/>
  <c r="AK582" i="1"/>
  <c r="AO582" i="1"/>
  <c r="AS582" i="1"/>
  <c r="AW582" i="1"/>
  <c r="F582" i="1"/>
  <c r="J582" i="1"/>
  <c r="N582" i="1"/>
  <c r="R582" i="1"/>
  <c r="V582" i="1"/>
  <c r="Z582" i="1"/>
  <c r="AD582" i="1"/>
  <c r="AH582" i="1"/>
  <c r="AL582" i="1"/>
  <c r="AP582" i="1"/>
  <c r="AT582" i="1"/>
  <c r="AX582" i="1"/>
  <c r="G582" i="1"/>
  <c r="K582" i="1"/>
  <c r="O582" i="1"/>
  <c r="S582" i="1"/>
  <c r="W582" i="1"/>
  <c r="AA582" i="1"/>
  <c r="AE582" i="1"/>
  <c r="AI582" i="1"/>
  <c r="AM582" i="1"/>
  <c r="AQ582" i="1"/>
  <c r="AU582" i="1"/>
  <c r="AY582" i="1"/>
  <c r="D582" i="1"/>
  <c r="H582" i="1"/>
  <c r="L582" i="1"/>
  <c r="P582" i="1"/>
  <c r="T582" i="1"/>
  <c r="X582" i="1"/>
  <c r="AB582" i="1"/>
  <c r="AF582" i="1"/>
  <c r="AJ582" i="1"/>
  <c r="AN582" i="1"/>
  <c r="AR582" i="1"/>
  <c r="AV582" i="1"/>
  <c r="AZ582" i="1"/>
  <c r="C582" i="1"/>
  <c r="D583" i="1"/>
  <c r="H583" i="1"/>
  <c r="L583" i="1"/>
  <c r="P583" i="1"/>
  <c r="T583" i="1"/>
  <c r="X583" i="1"/>
  <c r="AB583" i="1"/>
  <c r="AF583" i="1"/>
  <c r="AJ583" i="1"/>
  <c r="AN583" i="1"/>
  <c r="AR583" i="1"/>
  <c r="AV583" i="1"/>
  <c r="AZ583" i="1"/>
  <c r="E583" i="1"/>
  <c r="I583" i="1"/>
  <c r="M583" i="1"/>
  <c r="Q583" i="1"/>
  <c r="U583" i="1"/>
  <c r="Y583" i="1"/>
  <c r="AC583" i="1"/>
  <c r="AG583" i="1"/>
  <c r="AK583" i="1"/>
  <c r="AO583" i="1"/>
  <c r="AS583" i="1"/>
  <c r="AW583" i="1"/>
  <c r="F583" i="1"/>
  <c r="J583" i="1"/>
  <c r="N583" i="1"/>
  <c r="R583" i="1"/>
  <c r="V583" i="1"/>
  <c r="Z583" i="1"/>
  <c r="AD583" i="1"/>
  <c r="AH583" i="1"/>
  <c r="AL583" i="1"/>
  <c r="AP583" i="1"/>
  <c r="AT583" i="1"/>
  <c r="AX583" i="1"/>
  <c r="G583" i="1"/>
  <c r="K583" i="1"/>
  <c r="O583" i="1"/>
  <c r="S583" i="1"/>
  <c r="W583" i="1"/>
  <c r="AA583" i="1"/>
  <c r="AE583" i="1"/>
  <c r="AI583" i="1"/>
  <c r="AM583" i="1"/>
  <c r="AQ583" i="1"/>
  <c r="AU583" i="1"/>
  <c r="AY583" i="1"/>
  <c r="C583" i="1"/>
  <c r="G584" i="1"/>
  <c r="K584" i="1"/>
  <c r="O584" i="1"/>
  <c r="S584" i="1"/>
  <c r="W584" i="1"/>
  <c r="AA584" i="1"/>
  <c r="AE584" i="1"/>
  <c r="AI584" i="1"/>
  <c r="AM584" i="1"/>
  <c r="AQ584" i="1"/>
  <c r="AU584" i="1"/>
  <c r="AY584" i="1"/>
  <c r="D584" i="1"/>
  <c r="H584" i="1"/>
  <c r="L584" i="1"/>
  <c r="P584" i="1"/>
  <c r="T584" i="1"/>
  <c r="X584" i="1"/>
  <c r="AB584" i="1"/>
  <c r="AF584" i="1"/>
  <c r="AJ584" i="1"/>
  <c r="AN584" i="1"/>
  <c r="AR584" i="1"/>
  <c r="AV584" i="1"/>
  <c r="AZ584" i="1"/>
  <c r="E584" i="1"/>
  <c r="I584" i="1"/>
  <c r="M584" i="1"/>
  <c r="Q584" i="1"/>
  <c r="U584" i="1"/>
  <c r="Y584" i="1"/>
  <c r="AC584" i="1"/>
  <c r="AG584" i="1"/>
  <c r="AK584" i="1"/>
  <c r="AO584" i="1"/>
  <c r="AS584" i="1"/>
  <c r="AW584" i="1"/>
  <c r="F584" i="1"/>
  <c r="J584" i="1"/>
  <c r="N584" i="1"/>
  <c r="R584" i="1"/>
  <c r="V584" i="1"/>
  <c r="Z584" i="1"/>
  <c r="AD584" i="1"/>
  <c r="AH584" i="1"/>
  <c r="AL584" i="1"/>
  <c r="AP584" i="1"/>
  <c r="AT584" i="1"/>
  <c r="AX584" i="1"/>
  <c r="C584" i="1"/>
  <c r="F585" i="1"/>
  <c r="J585" i="1"/>
  <c r="N585" i="1"/>
  <c r="R585" i="1"/>
  <c r="V585" i="1"/>
  <c r="Z585" i="1"/>
  <c r="AD585" i="1"/>
  <c r="AH585" i="1"/>
  <c r="AL585" i="1"/>
  <c r="AP585" i="1"/>
  <c r="AT585" i="1"/>
  <c r="AX585" i="1"/>
  <c r="G585" i="1"/>
  <c r="K585" i="1"/>
  <c r="O585" i="1"/>
  <c r="S585" i="1"/>
  <c r="W585" i="1"/>
  <c r="AA585" i="1"/>
  <c r="AE585" i="1"/>
  <c r="AI585" i="1"/>
  <c r="AM585" i="1"/>
  <c r="AQ585" i="1"/>
  <c r="AU585" i="1"/>
  <c r="AY585" i="1"/>
  <c r="D585" i="1"/>
  <c r="H585" i="1"/>
  <c r="L585" i="1"/>
  <c r="P585" i="1"/>
  <c r="T585" i="1"/>
  <c r="X585" i="1"/>
  <c r="AB585" i="1"/>
  <c r="AF585" i="1"/>
  <c r="AJ585" i="1"/>
  <c r="AN585" i="1"/>
  <c r="AR585" i="1"/>
  <c r="AV585" i="1"/>
  <c r="AZ585" i="1"/>
  <c r="E585" i="1"/>
  <c r="I585" i="1"/>
  <c r="M585" i="1"/>
  <c r="Q585" i="1"/>
  <c r="U585" i="1"/>
  <c r="Y585" i="1"/>
  <c r="AC585" i="1"/>
  <c r="AG585" i="1"/>
  <c r="AK585" i="1"/>
  <c r="AO585" i="1"/>
  <c r="AS585" i="1"/>
  <c r="AW585" i="1"/>
  <c r="C585" i="1"/>
  <c r="E586" i="1"/>
  <c r="I586" i="1"/>
  <c r="M586" i="1"/>
  <c r="Q586" i="1"/>
  <c r="U586" i="1"/>
  <c r="Y586" i="1"/>
  <c r="AC586" i="1"/>
  <c r="AG586" i="1"/>
  <c r="AK586" i="1"/>
  <c r="AO586" i="1"/>
  <c r="AS586" i="1"/>
  <c r="AW586" i="1"/>
  <c r="F586" i="1"/>
  <c r="J586" i="1"/>
  <c r="N586" i="1"/>
  <c r="R586" i="1"/>
  <c r="V586" i="1"/>
  <c r="Z586" i="1"/>
  <c r="AD586" i="1"/>
  <c r="AH586" i="1"/>
  <c r="AL586" i="1"/>
  <c r="AP586" i="1"/>
  <c r="AT586" i="1"/>
  <c r="AX586" i="1"/>
  <c r="G586" i="1"/>
  <c r="K586" i="1"/>
  <c r="O586" i="1"/>
  <c r="S586" i="1"/>
  <c r="W586" i="1"/>
  <c r="AA586" i="1"/>
  <c r="AE586" i="1"/>
  <c r="AI586" i="1"/>
  <c r="AM586" i="1"/>
  <c r="AQ586" i="1"/>
  <c r="AU586" i="1"/>
  <c r="AY586" i="1"/>
  <c r="D586" i="1"/>
  <c r="H586" i="1"/>
  <c r="L586" i="1"/>
  <c r="P586" i="1"/>
  <c r="T586" i="1"/>
  <c r="X586" i="1"/>
  <c r="AB586" i="1"/>
  <c r="AF586" i="1"/>
  <c r="AJ586" i="1"/>
  <c r="AN586" i="1"/>
  <c r="AR586" i="1"/>
  <c r="AV586" i="1"/>
  <c r="AZ586" i="1"/>
  <c r="C586" i="1"/>
  <c r="D587" i="1"/>
  <c r="H587" i="1"/>
  <c r="L587" i="1"/>
  <c r="P587" i="1"/>
  <c r="T587" i="1"/>
  <c r="X587" i="1"/>
  <c r="AB587" i="1"/>
  <c r="AF587" i="1"/>
  <c r="AJ587" i="1"/>
  <c r="AN587" i="1"/>
  <c r="AR587" i="1"/>
  <c r="AV587" i="1"/>
  <c r="AZ587" i="1"/>
  <c r="E587" i="1"/>
  <c r="I587" i="1"/>
  <c r="M587" i="1"/>
  <c r="Q587" i="1"/>
  <c r="U587" i="1"/>
  <c r="Y587" i="1"/>
  <c r="AC587" i="1"/>
  <c r="AG587" i="1"/>
  <c r="AK587" i="1"/>
  <c r="AO587" i="1"/>
  <c r="AS587" i="1"/>
  <c r="AW587" i="1"/>
  <c r="F587" i="1"/>
  <c r="J587" i="1"/>
  <c r="N587" i="1"/>
  <c r="R587" i="1"/>
  <c r="V587" i="1"/>
  <c r="Z587" i="1"/>
  <c r="AD587" i="1"/>
  <c r="AH587" i="1"/>
  <c r="AL587" i="1"/>
  <c r="AP587" i="1"/>
  <c r="AT587" i="1"/>
  <c r="AX587" i="1"/>
  <c r="G587" i="1"/>
  <c r="K587" i="1"/>
  <c r="O587" i="1"/>
  <c r="S587" i="1"/>
  <c r="W587" i="1"/>
  <c r="AA587" i="1"/>
  <c r="AE587" i="1"/>
  <c r="AI587" i="1"/>
  <c r="AM587" i="1"/>
  <c r="AQ587" i="1"/>
  <c r="AU587" i="1"/>
  <c r="AY587" i="1"/>
  <c r="C587" i="1"/>
  <c r="G588" i="1"/>
  <c r="K588" i="1"/>
  <c r="O588" i="1"/>
  <c r="S588" i="1"/>
  <c r="W588" i="1"/>
  <c r="AA588" i="1"/>
  <c r="AE588" i="1"/>
  <c r="AI588" i="1"/>
  <c r="AM588" i="1"/>
  <c r="AQ588" i="1"/>
  <c r="AU588" i="1"/>
  <c r="AY588" i="1"/>
  <c r="D588" i="1"/>
  <c r="H588" i="1"/>
  <c r="L588" i="1"/>
  <c r="P588" i="1"/>
  <c r="T588" i="1"/>
  <c r="X588" i="1"/>
  <c r="AB588" i="1"/>
  <c r="AF588" i="1"/>
  <c r="AJ588" i="1"/>
  <c r="AN588" i="1"/>
  <c r="AR588" i="1"/>
  <c r="AV588" i="1"/>
  <c r="AZ588" i="1"/>
  <c r="E588" i="1"/>
  <c r="I588" i="1"/>
  <c r="M588" i="1"/>
  <c r="Q588" i="1"/>
  <c r="U588" i="1"/>
  <c r="Y588" i="1"/>
  <c r="AC588" i="1"/>
  <c r="AG588" i="1"/>
  <c r="AK588" i="1"/>
  <c r="AO588" i="1"/>
  <c r="AS588" i="1"/>
  <c r="AW588" i="1"/>
  <c r="F588" i="1"/>
  <c r="J588" i="1"/>
  <c r="N588" i="1"/>
  <c r="R588" i="1"/>
  <c r="V588" i="1"/>
  <c r="Z588" i="1"/>
  <c r="AD588" i="1"/>
  <c r="AH588" i="1"/>
  <c r="AL588" i="1"/>
  <c r="AP588" i="1"/>
  <c r="AT588" i="1"/>
  <c r="AX588" i="1"/>
  <c r="C588" i="1"/>
  <c r="F589" i="1"/>
  <c r="J589" i="1"/>
  <c r="N589" i="1"/>
  <c r="R589" i="1"/>
  <c r="V589" i="1"/>
  <c r="Z589" i="1"/>
  <c r="AD589" i="1"/>
  <c r="AH589" i="1"/>
  <c r="AL589" i="1"/>
  <c r="AP589" i="1"/>
  <c r="AT589" i="1"/>
  <c r="AX589" i="1"/>
  <c r="G589" i="1"/>
  <c r="K589" i="1"/>
  <c r="O589" i="1"/>
  <c r="S589" i="1"/>
  <c r="W589" i="1"/>
  <c r="AA589" i="1"/>
  <c r="AE589" i="1"/>
  <c r="AI589" i="1"/>
  <c r="AM589" i="1"/>
  <c r="AQ589" i="1"/>
  <c r="AU589" i="1"/>
  <c r="AY589" i="1"/>
  <c r="D589" i="1"/>
  <c r="H589" i="1"/>
  <c r="L589" i="1"/>
  <c r="P589" i="1"/>
  <c r="T589" i="1"/>
  <c r="X589" i="1"/>
  <c r="AB589" i="1"/>
  <c r="AF589" i="1"/>
  <c r="AJ589" i="1"/>
  <c r="AN589" i="1"/>
  <c r="AR589" i="1"/>
  <c r="AV589" i="1"/>
  <c r="AZ589" i="1"/>
  <c r="E589" i="1"/>
  <c r="I589" i="1"/>
  <c r="M589" i="1"/>
  <c r="Q589" i="1"/>
  <c r="U589" i="1"/>
  <c r="Y589" i="1"/>
  <c r="AC589" i="1"/>
  <c r="AG589" i="1"/>
  <c r="AK589" i="1"/>
  <c r="AO589" i="1"/>
  <c r="AS589" i="1"/>
  <c r="AW589" i="1"/>
  <c r="C589" i="1"/>
  <c r="E590" i="1"/>
  <c r="I590" i="1"/>
  <c r="M590" i="1"/>
  <c r="Q590" i="1"/>
  <c r="U590" i="1"/>
  <c r="Y590" i="1"/>
  <c r="AC590" i="1"/>
  <c r="AG590" i="1"/>
  <c r="AK590" i="1"/>
  <c r="AO590" i="1"/>
  <c r="AS590" i="1"/>
  <c r="AW590" i="1"/>
  <c r="F590" i="1"/>
  <c r="J590" i="1"/>
  <c r="N590" i="1"/>
  <c r="R590" i="1"/>
  <c r="V590" i="1"/>
  <c r="Z590" i="1"/>
  <c r="AD590" i="1"/>
  <c r="AH590" i="1"/>
  <c r="AL590" i="1"/>
  <c r="AP590" i="1"/>
  <c r="AT590" i="1"/>
  <c r="AX590" i="1"/>
  <c r="G590" i="1"/>
  <c r="K590" i="1"/>
  <c r="O590" i="1"/>
  <c r="S590" i="1"/>
  <c r="W590" i="1"/>
  <c r="AA590" i="1"/>
  <c r="AE590" i="1"/>
  <c r="AI590" i="1"/>
  <c r="AM590" i="1"/>
  <c r="AQ590" i="1"/>
  <c r="AU590" i="1"/>
  <c r="AY590" i="1"/>
  <c r="D590" i="1"/>
  <c r="H590" i="1"/>
  <c r="L590" i="1"/>
  <c r="P590" i="1"/>
  <c r="T590" i="1"/>
  <c r="X590" i="1"/>
  <c r="AB590" i="1"/>
  <c r="AF590" i="1"/>
  <c r="AJ590" i="1"/>
  <c r="AN590" i="1"/>
  <c r="AR590" i="1"/>
  <c r="AV590" i="1"/>
  <c r="AZ590" i="1"/>
  <c r="C590" i="1"/>
  <c r="D591" i="1"/>
  <c r="H591" i="1"/>
  <c r="L591" i="1"/>
  <c r="P591" i="1"/>
  <c r="T591" i="1"/>
  <c r="X591" i="1"/>
  <c r="AB591" i="1"/>
  <c r="AF591" i="1"/>
  <c r="AJ591" i="1"/>
  <c r="AN591" i="1"/>
  <c r="AR591" i="1"/>
  <c r="AV591" i="1"/>
  <c r="AZ591" i="1"/>
  <c r="E591" i="1"/>
  <c r="I591" i="1"/>
  <c r="M591" i="1"/>
  <c r="Q591" i="1"/>
  <c r="U591" i="1"/>
  <c r="Y591" i="1"/>
  <c r="AC591" i="1"/>
  <c r="AG591" i="1"/>
  <c r="AK591" i="1"/>
  <c r="AO591" i="1"/>
  <c r="AS591" i="1"/>
  <c r="AW591" i="1"/>
  <c r="F591" i="1"/>
  <c r="J591" i="1"/>
  <c r="N591" i="1"/>
  <c r="R591" i="1"/>
  <c r="V591" i="1"/>
  <c r="Z591" i="1"/>
  <c r="AD591" i="1"/>
  <c r="AH591" i="1"/>
  <c r="AL591" i="1"/>
  <c r="AP591" i="1"/>
  <c r="AT591" i="1"/>
  <c r="AX591" i="1"/>
  <c r="G591" i="1"/>
  <c r="K591" i="1"/>
  <c r="O591" i="1"/>
  <c r="S591" i="1"/>
  <c r="W591" i="1"/>
  <c r="AA591" i="1"/>
  <c r="AE591" i="1"/>
  <c r="AI591" i="1"/>
  <c r="AM591" i="1"/>
  <c r="AQ591" i="1"/>
  <c r="AU591" i="1"/>
  <c r="AY591" i="1"/>
  <c r="C591" i="1"/>
  <c r="G592" i="1"/>
  <c r="K592" i="1"/>
  <c r="O592" i="1"/>
  <c r="S592" i="1"/>
  <c r="W592" i="1"/>
  <c r="AA592" i="1"/>
  <c r="AE592" i="1"/>
  <c r="AI592" i="1"/>
  <c r="AM592" i="1"/>
  <c r="AQ592" i="1"/>
  <c r="AU592" i="1"/>
  <c r="AY592" i="1"/>
  <c r="D592" i="1"/>
  <c r="H592" i="1"/>
  <c r="L592" i="1"/>
  <c r="P592" i="1"/>
  <c r="T592" i="1"/>
  <c r="X592" i="1"/>
  <c r="AB592" i="1"/>
  <c r="AF592" i="1"/>
  <c r="AJ592" i="1"/>
  <c r="AN592" i="1"/>
  <c r="AR592" i="1"/>
  <c r="AV592" i="1"/>
  <c r="AZ592" i="1"/>
  <c r="E592" i="1"/>
  <c r="I592" i="1"/>
  <c r="M592" i="1"/>
  <c r="Q592" i="1"/>
  <c r="U592" i="1"/>
  <c r="Y592" i="1"/>
  <c r="AC592" i="1"/>
  <c r="AG592" i="1"/>
  <c r="AK592" i="1"/>
  <c r="AO592" i="1"/>
  <c r="AS592" i="1"/>
  <c r="AW592" i="1"/>
  <c r="F592" i="1"/>
  <c r="J592" i="1"/>
  <c r="N592" i="1"/>
  <c r="R592" i="1"/>
  <c r="V592" i="1"/>
  <c r="Z592" i="1"/>
  <c r="AD592" i="1"/>
  <c r="AH592" i="1"/>
  <c r="AL592" i="1"/>
  <c r="AP592" i="1"/>
  <c r="AT592" i="1"/>
  <c r="AX592" i="1"/>
  <c r="C592" i="1"/>
  <c r="F593" i="1"/>
  <c r="J593" i="1"/>
  <c r="N593" i="1"/>
  <c r="R593" i="1"/>
  <c r="V593" i="1"/>
  <c r="Z593" i="1"/>
  <c r="AD593" i="1"/>
  <c r="AH593" i="1"/>
  <c r="AL593" i="1"/>
  <c r="AP593" i="1"/>
  <c r="AT593" i="1"/>
  <c r="AX593" i="1"/>
  <c r="G593" i="1"/>
  <c r="K593" i="1"/>
  <c r="O593" i="1"/>
  <c r="S593" i="1"/>
  <c r="W593" i="1"/>
  <c r="AA593" i="1"/>
  <c r="AE593" i="1"/>
  <c r="AI593" i="1"/>
  <c r="AM593" i="1"/>
  <c r="AQ593" i="1"/>
  <c r="AU593" i="1"/>
  <c r="AY593" i="1"/>
  <c r="D593" i="1"/>
  <c r="H593" i="1"/>
  <c r="L593" i="1"/>
  <c r="P593" i="1"/>
  <c r="T593" i="1"/>
  <c r="X593" i="1"/>
  <c r="AB593" i="1"/>
  <c r="AF593" i="1"/>
  <c r="AJ593" i="1"/>
  <c r="AN593" i="1"/>
  <c r="AR593" i="1"/>
  <c r="AV593" i="1"/>
  <c r="AZ593" i="1"/>
  <c r="E593" i="1"/>
  <c r="I593" i="1"/>
  <c r="M593" i="1"/>
  <c r="Q593" i="1"/>
  <c r="U593" i="1"/>
  <c r="Y593" i="1"/>
  <c r="AC593" i="1"/>
  <c r="AG593" i="1"/>
  <c r="AK593" i="1"/>
  <c r="AO593" i="1"/>
  <c r="AS593" i="1"/>
  <c r="AW593" i="1"/>
  <c r="C593" i="1"/>
  <c r="E594" i="1"/>
  <c r="I594" i="1"/>
  <c r="M594" i="1"/>
  <c r="Q594" i="1"/>
  <c r="U594" i="1"/>
  <c r="Y594" i="1"/>
  <c r="AC594" i="1"/>
  <c r="AG594" i="1"/>
  <c r="AK594" i="1"/>
  <c r="AO594" i="1"/>
  <c r="AS594" i="1"/>
  <c r="AW594" i="1"/>
  <c r="F594" i="1"/>
  <c r="J594" i="1"/>
  <c r="N594" i="1"/>
  <c r="R594" i="1"/>
  <c r="V594" i="1"/>
  <c r="Z594" i="1"/>
  <c r="AD594" i="1"/>
  <c r="AH594" i="1"/>
  <c r="AL594" i="1"/>
  <c r="AP594" i="1"/>
  <c r="AT594" i="1"/>
  <c r="AX594" i="1"/>
  <c r="G594" i="1"/>
  <c r="K594" i="1"/>
  <c r="O594" i="1"/>
  <c r="S594" i="1"/>
  <c r="W594" i="1"/>
  <c r="AA594" i="1"/>
  <c r="AE594" i="1"/>
  <c r="AI594" i="1"/>
  <c r="AM594" i="1"/>
  <c r="AQ594" i="1"/>
  <c r="AU594" i="1"/>
  <c r="AY594" i="1"/>
  <c r="D594" i="1"/>
  <c r="H594" i="1"/>
  <c r="L594" i="1"/>
  <c r="P594" i="1"/>
  <c r="T594" i="1"/>
  <c r="X594" i="1"/>
  <c r="AB594" i="1"/>
  <c r="AF594" i="1"/>
  <c r="AJ594" i="1"/>
  <c r="AN594" i="1"/>
  <c r="AR594" i="1"/>
  <c r="AV594" i="1"/>
  <c r="AZ594" i="1"/>
  <c r="C594" i="1"/>
  <c r="D595" i="1"/>
  <c r="H595" i="1"/>
  <c r="L595" i="1"/>
  <c r="P595" i="1"/>
  <c r="T595" i="1"/>
  <c r="X595" i="1"/>
  <c r="AB595" i="1"/>
  <c r="AF595" i="1"/>
  <c r="AJ595" i="1"/>
  <c r="AN595" i="1"/>
  <c r="AR595" i="1"/>
  <c r="AV595" i="1"/>
  <c r="AZ595" i="1"/>
  <c r="E595" i="1"/>
  <c r="I595" i="1"/>
  <c r="M595" i="1"/>
  <c r="Q595" i="1"/>
  <c r="U595" i="1"/>
  <c r="Y595" i="1"/>
  <c r="AC595" i="1"/>
  <c r="AG595" i="1"/>
  <c r="AK595" i="1"/>
  <c r="AO595" i="1"/>
  <c r="AS595" i="1"/>
  <c r="AW595" i="1"/>
  <c r="F595" i="1"/>
  <c r="J595" i="1"/>
  <c r="N595" i="1"/>
  <c r="R595" i="1"/>
  <c r="V595" i="1"/>
  <c r="Z595" i="1"/>
  <c r="AD595" i="1"/>
  <c r="AH595" i="1"/>
  <c r="AL595" i="1"/>
  <c r="AP595" i="1"/>
  <c r="AT595" i="1"/>
  <c r="AX595" i="1"/>
  <c r="G595" i="1"/>
  <c r="K595" i="1"/>
  <c r="O595" i="1"/>
  <c r="S595" i="1"/>
  <c r="W595" i="1"/>
  <c r="AA595" i="1"/>
  <c r="AE595" i="1"/>
  <c r="AI595" i="1"/>
  <c r="AM595" i="1"/>
  <c r="AQ595" i="1"/>
  <c r="AU595" i="1"/>
  <c r="AY595" i="1"/>
  <c r="C595" i="1"/>
  <c r="G596" i="1"/>
  <c r="K596" i="1"/>
  <c r="O596" i="1"/>
  <c r="S596" i="1"/>
  <c r="W596" i="1"/>
  <c r="AA596" i="1"/>
  <c r="AE596" i="1"/>
  <c r="AI596" i="1"/>
  <c r="AM596" i="1"/>
  <c r="AQ596" i="1"/>
  <c r="AU596" i="1"/>
  <c r="AY596" i="1"/>
  <c r="D596" i="1"/>
  <c r="H596" i="1"/>
  <c r="L596" i="1"/>
  <c r="P596" i="1"/>
  <c r="T596" i="1"/>
  <c r="X596" i="1"/>
  <c r="AB596" i="1"/>
  <c r="AF596" i="1"/>
  <c r="AJ596" i="1"/>
  <c r="AN596" i="1"/>
  <c r="AR596" i="1"/>
  <c r="AV596" i="1"/>
  <c r="AZ596" i="1"/>
  <c r="E596" i="1"/>
  <c r="I596" i="1"/>
  <c r="M596" i="1"/>
  <c r="Q596" i="1"/>
  <c r="U596" i="1"/>
  <c r="Y596" i="1"/>
  <c r="AC596" i="1"/>
  <c r="AG596" i="1"/>
  <c r="AK596" i="1"/>
  <c r="AO596" i="1"/>
  <c r="AS596" i="1"/>
  <c r="AW596" i="1"/>
  <c r="F596" i="1"/>
  <c r="J596" i="1"/>
  <c r="N596" i="1"/>
  <c r="R596" i="1"/>
  <c r="V596" i="1"/>
  <c r="Z596" i="1"/>
  <c r="AD596" i="1"/>
  <c r="AH596" i="1"/>
  <c r="AL596" i="1"/>
  <c r="AP596" i="1"/>
  <c r="AT596" i="1"/>
  <c r="AX596" i="1"/>
  <c r="C596" i="1"/>
  <c r="F597" i="1"/>
  <c r="J597" i="1"/>
  <c r="N597" i="1"/>
  <c r="R597" i="1"/>
  <c r="V597" i="1"/>
  <c r="Z597" i="1"/>
  <c r="AD597" i="1"/>
  <c r="AH597" i="1"/>
  <c r="AL597" i="1"/>
  <c r="AP597" i="1"/>
  <c r="AT597" i="1"/>
  <c r="AX597" i="1"/>
  <c r="G597" i="1"/>
  <c r="K597" i="1"/>
  <c r="O597" i="1"/>
  <c r="S597" i="1"/>
  <c r="W597" i="1"/>
  <c r="AA597" i="1"/>
  <c r="AE597" i="1"/>
  <c r="AI597" i="1"/>
  <c r="AM597" i="1"/>
  <c r="AQ597" i="1"/>
  <c r="AU597" i="1"/>
  <c r="AY597" i="1"/>
  <c r="D597" i="1"/>
  <c r="H597" i="1"/>
  <c r="L597" i="1"/>
  <c r="P597" i="1"/>
  <c r="T597" i="1"/>
  <c r="X597" i="1"/>
  <c r="AB597" i="1"/>
  <c r="AF597" i="1"/>
  <c r="AJ597" i="1"/>
  <c r="AN597" i="1"/>
  <c r="AR597" i="1"/>
  <c r="AV597" i="1"/>
  <c r="AZ597" i="1"/>
  <c r="E597" i="1"/>
  <c r="I597" i="1"/>
  <c r="M597" i="1"/>
  <c r="Q597" i="1"/>
  <c r="U597" i="1"/>
  <c r="Y597" i="1"/>
  <c r="AC597" i="1"/>
  <c r="AG597" i="1"/>
  <c r="AK597" i="1"/>
  <c r="AO597" i="1"/>
  <c r="AS597" i="1"/>
  <c r="AW597" i="1"/>
  <c r="C597" i="1"/>
  <c r="E598" i="1"/>
  <c r="I598" i="1"/>
  <c r="M598" i="1"/>
  <c r="Q598" i="1"/>
  <c r="U598" i="1"/>
  <c r="Y598" i="1"/>
  <c r="AC598" i="1"/>
  <c r="AG598" i="1"/>
  <c r="AK598" i="1"/>
  <c r="AO598" i="1"/>
  <c r="AS598" i="1"/>
  <c r="AW598" i="1"/>
  <c r="F598" i="1"/>
  <c r="J598" i="1"/>
  <c r="N598" i="1"/>
  <c r="R598" i="1"/>
  <c r="V598" i="1"/>
  <c r="Z598" i="1"/>
  <c r="AD598" i="1"/>
  <c r="AH598" i="1"/>
  <c r="AL598" i="1"/>
  <c r="AP598" i="1"/>
  <c r="AT598" i="1"/>
  <c r="AX598" i="1"/>
  <c r="G598" i="1"/>
  <c r="K598" i="1"/>
  <c r="O598" i="1"/>
  <c r="S598" i="1"/>
  <c r="W598" i="1"/>
  <c r="AA598" i="1"/>
  <c r="AE598" i="1"/>
  <c r="AI598" i="1"/>
  <c r="AM598" i="1"/>
  <c r="AQ598" i="1"/>
  <c r="AU598" i="1"/>
  <c r="AY598" i="1"/>
  <c r="D598" i="1"/>
  <c r="H598" i="1"/>
  <c r="L598" i="1"/>
  <c r="P598" i="1"/>
  <c r="T598" i="1"/>
  <c r="X598" i="1"/>
  <c r="AB598" i="1"/>
  <c r="AF598" i="1"/>
  <c r="AJ598" i="1"/>
  <c r="AN598" i="1"/>
  <c r="AR598" i="1"/>
  <c r="AV598" i="1"/>
  <c r="AZ598" i="1"/>
  <c r="C598" i="1"/>
  <c r="D599" i="1"/>
  <c r="H599" i="1"/>
  <c r="L599" i="1"/>
  <c r="P599" i="1"/>
  <c r="T599" i="1"/>
  <c r="X599" i="1"/>
  <c r="AB599" i="1"/>
  <c r="AF599" i="1"/>
  <c r="AJ599" i="1"/>
  <c r="AN599" i="1"/>
  <c r="AR599" i="1"/>
  <c r="AV599" i="1"/>
  <c r="AZ599" i="1"/>
  <c r="E599" i="1"/>
  <c r="I599" i="1"/>
  <c r="M599" i="1"/>
  <c r="Q599" i="1"/>
  <c r="U599" i="1"/>
  <c r="Y599" i="1"/>
  <c r="AC599" i="1"/>
  <c r="AG599" i="1"/>
  <c r="AK599" i="1"/>
  <c r="AO599" i="1"/>
  <c r="AS599" i="1"/>
  <c r="AW599" i="1"/>
  <c r="F599" i="1"/>
  <c r="J599" i="1"/>
  <c r="N599" i="1"/>
  <c r="R599" i="1"/>
  <c r="V599" i="1"/>
  <c r="Z599" i="1"/>
  <c r="AD599" i="1"/>
  <c r="AH599" i="1"/>
  <c r="AL599" i="1"/>
  <c r="AP599" i="1"/>
  <c r="AT599" i="1"/>
  <c r="AX599" i="1"/>
  <c r="G599" i="1"/>
  <c r="K599" i="1"/>
  <c r="O599" i="1"/>
  <c r="S599" i="1"/>
  <c r="W599" i="1"/>
  <c r="AA599" i="1"/>
  <c r="AE599" i="1"/>
  <c r="AI599" i="1"/>
  <c r="AM599" i="1"/>
  <c r="AQ599" i="1"/>
  <c r="AU599" i="1"/>
  <c r="AY599" i="1"/>
  <c r="C599" i="1"/>
  <c r="G600" i="1"/>
  <c r="K600" i="1"/>
  <c r="O600" i="1"/>
  <c r="S600" i="1"/>
  <c r="W600" i="1"/>
  <c r="AA600" i="1"/>
  <c r="AE600" i="1"/>
  <c r="AI600" i="1"/>
  <c r="AM600" i="1"/>
  <c r="AQ600" i="1"/>
  <c r="AU600" i="1"/>
  <c r="AY600" i="1"/>
  <c r="D600" i="1"/>
  <c r="H600" i="1"/>
  <c r="L600" i="1"/>
  <c r="P600" i="1"/>
  <c r="T600" i="1"/>
  <c r="X600" i="1"/>
  <c r="AB600" i="1"/>
  <c r="AF600" i="1"/>
  <c r="AJ600" i="1"/>
  <c r="AN600" i="1"/>
  <c r="AR600" i="1"/>
  <c r="AV600" i="1"/>
  <c r="AZ600" i="1"/>
  <c r="E600" i="1"/>
  <c r="I600" i="1"/>
  <c r="M600" i="1"/>
  <c r="Q600" i="1"/>
  <c r="U600" i="1"/>
  <c r="Y600" i="1"/>
  <c r="AC600" i="1"/>
  <c r="AG600" i="1"/>
  <c r="AK600" i="1"/>
  <c r="AO600" i="1"/>
  <c r="AS600" i="1"/>
  <c r="AW600" i="1"/>
  <c r="F600" i="1"/>
  <c r="J600" i="1"/>
  <c r="N600" i="1"/>
  <c r="R600" i="1"/>
  <c r="V600" i="1"/>
  <c r="Z600" i="1"/>
  <c r="AD600" i="1"/>
  <c r="AH600" i="1"/>
  <c r="AL600" i="1"/>
  <c r="AP600" i="1"/>
  <c r="AT600" i="1"/>
  <c r="AX600" i="1"/>
  <c r="C600" i="1"/>
  <c r="F601" i="1"/>
  <c r="J601" i="1"/>
  <c r="N601" i="1"/>
  <c r="R601" i="1"/>
  <c r="V601" i="1"/>
  <c r="Z601" i="1"/>
  <c r="AD601" i="1"/>
  <c r="AH601" i="1"/>
  <c r="AL601" i="1"/>
  <c r="AP601" i="1"/>
  <c r="AT601" i="1"/>
  <c r="AX601" i="1"/>
  <c r="G601" i="1"/>
  <c r="K601" i="1"/>
  <c r="O601" i="1"/>
  <c r="S601" i="1"/>
  <c r="W601" i="1"/>
  <c r="AA601" i="1"/>
  <c r="AE601" i="1"/>
  <c r="AI601" i="1"/>
  <c r="AM601" i="1"/>
  <c r="AQ601" i="1"/>
  <c r="AU601" i="1"/>
  <c r="AY601" i="1"/>
  <c r="D601" i="1"/>
  <c r="H601" i="1"/>
  <c r="L601" i="1"/>
  <c r="P601" i="1"/>
  <c r="T601" i="1"/>
  <c r="X601" i="1"/>
  <c r="AB601" i="1"/>
  <c r="AF601" i="1"/>
  <c r="AJ601" i="1"/>
  <c r="AN601" i="1"/>
  <c r="AR601" i="1"/>
  <c r="AV601" i="1"/>
  <c r="AZ601" i="1"/>
  <c r="E601" i="1"/>
  <c r="I601" i="1"/>
  <c r="M601" i="1"/>
  <c r="Q601" i="1"/>
  <c r="U601" i="1"/>
  <c r="Y601" i="1"/>
  <c r="AC601" i="1"/>
  <c r="AG601" i="1"/>
  <c r="AK601" i="1"/>
  <c r="AO601" i="1"/>
  <c r="AS601" i="1"/>
  <c r="AW601" i="1"/>
  <c r="C601" i="1"/>
  <c r="E602" i="1"/>
  <c r="I602" i="1"/>
  <c r="M602" i="1"/>
  <c r="Q602" i="1"/>
  <c r="U602" i="1"/>
  <c r="Y602" i="1"/>
  <c r="AC602" i="1"/>
  <c r="AG602" i="1"/>
  <c r="AK602" i="1"/>
  <c r="AO602" i="1"/>
  <c r="AS602" i="1"/>
  <c r="AW602" i="1"/>
  <c r="F602" i="1"/>
  <c r="J602" i="1"/>
  <c r="N602" i="1"/>
  <c r="R602" i="1"/>
  <c r="V602" i="1"/>
  <c r="Z602" i="1"/>
  <c r="AD602" i="1"/>
  <c r="AH602" i="1"/>
  <c r="AL602" i="1"/>
  <c r="AP602" i="1"/>
  <c r="AT602" i="1"/>
  <c r="AX602" i="1"/>
  <c r="G602" i="1"/>
  <c r="K602" i="1"/>
  <c r="O602" i="1"/>
  <c r="S602" i="1"/>
  <c r="W602" i="1"/>
  <c r="AA602" i="1"/>
  <c r="AE602" i="1"/>
  <c r="AI602" i="1"/>
  <c r="AM602" i="1"/>
  <c r="AQ602" i="1"/>
  <c r="AU602" i="1"/>
  <c r="AY602" i="1"/>
  <c r="D602" i="1"/>
  <c r="H602" i="1"/>
  <c r="L602" i="1"/>
  <c r="P602" i="1"/>
  <c r="T602" i="1"/>
  <c r="X602" i="1"/>
  <c r="AB602" i="1"/>
  <c r="AF602" i="1"/>
  <c r="AJ602" i="1"/>
  <c r="AN602" i="1"/>
  <c r="AR602" i="1"/>
  <c r="AV602" i="1"/>
  <c r="AZ602" i="1"/>
  <c r="C602" i="1"/>
  <c r="D603" i="1"/>
  <c r="H603" i="1"/>
  <c r="L603" i="1"/>
  <c r="P603" i="1"/>
  <c r="T603" i="1"/>
  <c r="X603" i="1"/>
  <c r="AB603" i="1"/>
  <c r="AF603" i="1"/>
  <c r="AJ603" i="1"/>
  <c r="AN603" i="1"/>
  <c r="AR603" i="1"/>
  <c r="AV603" i="1"/>
  <c r="AZ603" i="1"/>
  <c r="E603" i="1"/>
  <c r="I603" i="1"/>
  <c r="M603" i="1"/>
  <c r="Q603" i="1"/>
  <c r="U603" i="1"/>
  <c r="Y603" i="1"/>
  <c r="AC603" i="1"/>
  <c r="AG603" i="1"/>
  <c r="AK603" i="1"/>
  <c r="AO603" i="1"/>
  <c r="AS603" i="1"/>
  <c r="AW603" i="1"/>
  <c r="F603" i="1"/>
  <c r="J603" i="1"/>
  <c r="N603" i="1"/>
  <c r="R603" i="1"/>
  <c r="V603" i="1"/>
  <c r="Z603" i="1"/>
  <c r="AD603" i="1"/>
  <c r="AH603" i="1"/>
  <c r="AL603" i="1"/>
  <c r="AP603" i="1"/>
  <c r="AT603" i="1"/>
  <c r="AX603" i="1"/>
  <c r="G603" i="1"/>
  <c r="K603" i="1"/>
  <c r="O603" i="1"/>
  <c r="S603" i="1"/>
  <c r="W603" i="1"/>
  <c r="AA603" i="1"/>
  <c r="AE603" i="1"/>
  <c r="AI603" i="1"/>
  <c r="AM603" i="1"/>
  <c r="AQ603" i="1"/>
  <c r="AU603" i="1"/>
  <c r="AY603" i="1"/>
  <c r="C603" i="1"/>
  <c r="G604" i="1"/>
  <c r="K604" i="1"/>
  <c r="O604" i="1"/>
  <c r="S604" i="1"/>
  <c r="W604" i="1"/>
  <c r="AA604" i="1"/>
  <c r="AE604" i="1"/>
  <c r="AI604" i="1"/>
  <c r="AM604" i="1"/>
  <c r="AQ604" i="1"/>
  <c r="AU604" i="1"/>
  <c r="AY604" i="1"/>
  <c r="D604" i="1"/>
  <c r="H604" i="1"/>
  <c r="L604" i="1"/>
  <c r="P604" i="1"/>
  <c r="T604" i="1"/>
  <c r="X604" i="1"/>
  <c r="AB604" i="1"/>
  <c r="AF604" i="1"/>
  <c r="AJ604" i="1"/>
  <c r="AN604" i="1"/>
  <c r="AR604" i="1"/>
  <c r="AV604" i="1"/>
  <c r="AZ604" i="1"/>
  <c r="E604" i="1"/>
  <c r="I604" i="1"/>
  <c r="M604" i="1"/>
  <c r="Q604" i="1"/>
  <c r="U604" i="1"/>
  <c r="Y604" i="1"/>
  <c r="AC604" i="1"/>
  <c r="AG604" i="1"/>
  <c r="AK604" i="1"/>
  <c r="AO604" i="1"/>
  <c r="AS604" i="1"/>
  <c r="AW604" i="1"/>
  <c r="F604" i="1"/>
  <c r="J604" i="1"/>
  <c r="N604" i="1"/>
  <c r="R604" i="1"/>
  <c r="V604" i="1"/>
  <c r="Z604" i="1"/>
  <c r="AD604" i="1"/>
  <c r="AH604" i="1"/>
  <c r="AL604" i="1"/>
  <c r="AP604" i="1"/>
  <c r="AT604" i="1"/>
  <c r="AX604" i="1"/>
  <c r="C604" i="1"/>
  <c r="F605" i="1"/>
  <c r="J605" i="1"/>
  <c r="N605" i="1"/>
  <c r="R605" i="1"/>
  <c r="V605" i="1"/>
  <c r="Z605" i="1"/>
  <c r="AD605" i="1"/>
  <c r="AH605" i="1"/>
  <c r="AL605" i="1"/>
  <c r="AP605" i="1"/>
  <c r="AT605" i="1"/>
  <c r="AX605" i="1"/>
  <c r="G605" i="1"/>
  <c r="K605" i="1"/>
  <c r="O605" i="1"/>
  <c r="S605" i="1"/>
  <c r="W605" i="1"/>
  <c r="AA605" i="1"/>
  <c r="AE605" i="1"/>
  <c r="AI605" i="1"/>
  <c r="AM605" i="1"/>
  <c r="AQ605" i="1"/>
  <c r="AU605" i="1"/>
  <c r="AY605" i="1"/>
  <c r="D605" i="1"/>
  <c r="H605" i="1"/>
  <c r="L605" i="1"/>
  <c r="P605" i="1"/>
  <c r="T605" i="1"/>
  <c r="X605" i="1"/>
  <c r="AB605" i="1"/>
  <c r="AF605" i="1"/>
  <c r="AJ605" i="1"/>
  <c r="AN605" i="1"/>
  <c r="AR605" i="1"/>
  <c r="AV605" i="1"/>
  <c r="AZ605" i="1"/>
  <c r="E605" i="1"/>
  <c r="I605" i="1"/>
  <c r="M605" i="1"/>
  <c r="Q605" i="1"/>
  <c r="U605" i="1"/>
  <c r="Y605" i="1"/>
  <c r="AC605" i="1"/>
  <c r="AG605" i="1"/>
  <c r="AK605" i="1"/>
  <c r="AO605" i="1"/>
  <c r="AS605" i="1"/>
  <c r="AW605" i="1"/>
  <c r="C605" i="1"/>
  <c r="E606" i="1"/>
  <c r="I606" i="1"/>
  <c r="M606" i="1"/>
  <c r="Q606" i="1"/>
  <c r="U606" i="1"/>
  <c r="Y606" i="1"/>
  <c r="AC606" i="1"/>
  <c r="AG606" i="1"/>
  <c r="AK606" i="1"/>
  <c r="AO606" i="1"/>
  <c r="AS606" i="1"/>
  <c r="AW606" i="1"/>
  <c r="F606" i="1"/>
  <c r="J606" i="1"/>
  <c r="N606" i="1"/>
  <c r="R606" i="1"/>
  <c r="V606" i="1"/>
  <c r="Z606" i="1"/>
  <c r="AD606" i="1"/>
  <c r="AH606" i="1"/>
  <c r="AL606" i="1"/>
  <c r="AP606" i="1"/>
  <c r="AT606" i="1"/>
  <c r="AX606" i="1"/>
  <c r="G606" i="1"/>
  <c r="K606" i="1"/>
  <c r="O606" i="1"/>
  <c r="S606" i="1"/>
  <c r="W606" i="1"/>
  <c r="AA606" i="1"/>
  <c r="AE606" i="1"/>
  <c r="AI606" i="1"/>
  <c r="AM606" i="1"/>
  <c r="AQ606" i="1"/>
  <c r="AU606" i="1"/>
  <c r="AY606" i="1"/>
  <c r="D606" i="1"/>
  <c r="H606" i="1"/>
  <c r="L606" i="1"/>
  <c r="P606" i="1"/>
  <c r="T606" i="1"/>
  <c r="X606" i="1"/>
  <c r="AB606" i="1"/>
  <c r="AF606" i="1"/>
  <c r="AJ606" i="1"/>
  <c r="AN606" i="1"/>
  <c r="AR606" i="1"/>
  <c r="AV606" i="1"/>
  <c r="AZ606" i="1"/>
  <c r="C606" i="1"/>
  <c r="D607" i="1"/>
  <c r="H607" i="1"/>
  <c r="L607" i="1"/>
  <c r="P607" i="1"/>
  <c r="T607" i="1"/>
  <c r="X607" i="1"/>
  <c r="AB607" i="1"/>
  <c r="AF607" i="1"/>
  <c r="AJ607" i="1"/>
  <c r="AN607" i="1"/>
  <c r="AR607" i="1"/>
  <c r="AV607" i="1"/>
  <c r="AZ607" i="1"/>
  <c r="E607" i="1"/>
  <c r="I607" i="1"/>
  <c r="M607" i="1"/>
  <c r="Q607" i="1"/>
  <c r="U607" i="1"/>
  <c r="Y607" i="1"/>
  <c r="AC607" i="1"/>
  <c r="AG607" i="1"/>
  <c r="AK607" i="1"/>
  <c r="AO607" i="1"/>
  <c r="AS607" i="1"/>
  <c r="AW607" i="1"/>
  <c r="F607" i="1"/>
  <c r="J607" i="1"/>
  <c r="N607" i="1"/>
  <c r="R607" i="1"/>
  <c r="V607" i="1"/>
  <c r="Z607" i="1"/>
  <c r="AD607" i="1"/>
  <c r="AH607" i="1"/>
  <c r="AL607" i="1"/>
  <c r="AP607" i="1"/>
  <c r="AT607" i="1"/>
  <c r="AX607" i="1"/>
  <c r="G607" i="1"/>
  <c r="K607" i="1"/>
  <c r="O607" i="1"/>
  <c r="S607" i="1"/>
  <c r="W607" i="1"/>
  <c r="AA607" i="1"/>
  <c r="AE607" i="1"/>
  <c r="AI607" i="1"/>
  <c r="AM607" i="1"/>
  <c r="AQ607" i="1"/>
  <c r="AU607" i="1"/>
  <c r="AY607" i="1"/>
  <c r="C607" i="1"/>
  <c r="G608" i="1"/>
  <c r="K608" i="1"/>
  <c r="O608" i="1"/>
  <c r="S608" i="1"/>
  <c r="W608" i="1"/>
  <c r="AA608" i="1"/>
  <c r="AE608" i="1"/>
  <c r="AI608" i="1"/>
  <c r="AM608" i="1"/>
  <c r="AQ608" i="1"/>
  <c r="AU608" i="1"/>
  <c r="AY608" i="1"/>
  <c r="D608" i="1"/>
  <c r="H608" i="1"/>
  <c r="L608" i="1"/>
  <c r="P608" i="1"/>
  <c r="T608" i="1"/>
  <c r="X608" i="1"/>
  <c r="AB608" i="1"/>
  <c r="AF608" i="1"/>
  <c r="AJ608" i="1"/>
  <c r="AN608" i="1"/>
  <c r="AR608" i="1"/>
  <c r="AV608" i="1"/>
  <c r="AZ608" i="1"/>
  <c r="E608" i="1"/>
  <c r="I608" i="1"/>
  <c r="M608" i="1"/>
  <c r="Q608" i="1"/>
  <c r="U608" i="1"/>
  <c r="Y608" i="1"/>
  <c r="AC608" i="1"/>
  <c r="AG608" i="1"/>
  <c r="AK608" i="1"/>
  <c r="AO608" i="1"/>
  <c r="AS608" i="1"/>
  <c r="AW608" i="1"/>
  <c r="F608" i="1"/>
  <c r="J608" i="1"/>
  <c r="N608" i="1"/>
  <c r="R608" i="1"/>
  <c r="V608" i="1"/>
  <c r="Z608" i="1"/>
  <c r="AD608" i="1"/>
  <c r="AH608" i="1"/>
  <c r="AL608" i="1"/>
  <c r="AP608" i="1"/>
  <c r="AT608" i="1"/>
  <c r="AX608" i="1"/>
  <c r="C608" i="1"/>
  <c r="F609" i="1"/>
  <c r="J609" i="1"/>
  <c r="N609" i="1"/>
  <c r="R609" i="1"/>
  <c r="V609" i="1"/>
  <c r="Z609" i="1"/>
  <c r="AD609" i="1"/>
  <c r="AH609" i="1"/>
  <c r="AL609" i="1"/>
  <c r="AP609" i="1"/>
  <c r="AT609" i="1"/>
  <c r="AX609" i="1"/>
  <c r="G609" i="1"/>
  <c r="K609" i="1"/>
  <c r="O609" i="1"/>
  <c r="S609" i="1"/>
  <c r="W609" i="1"/>
  <c r="AA609" i="1"/>
  <c r="AE609" i="1"/>
  <c r="AI609" i="1"/>
  <c r="AM609" i="1"/>
  <c r="AQ609" i="1"/>
  <c r="AU609" i="1"/>
  <c r="AY609" i="1"/>
  <c r="D609" i="1"/>
  <c r="H609" i="1"/>
  <c r="L609" i="1"/>
  <c r="P609" i="1"/>
  <c r="T609" i="1"/>
  <c r="X609" i="1"/>
  <c r="AB609" i="1"/>
  <c r="AF609" i="1"/>
  <c r="AJ609" i="1"/>
  <c r="AN609" i="1"/>
  <c r="AR609" i="1"/>
  <c r="AV609" i="1"/>
  <c r="AZ609" i="1"/>
  <c r="E609" i="1"/>
  <c r="I609" i="1"/>
  <c r="M609" i="1"/>
  <c r="Q609" i="1"/>
  <c r="U609" i="1"/>
  <c r="Y609" i="1"/>
  <c r="AC609" i="1"/>
  <c r="AG609" i="1"/>
  <c r="AK609" i="1"/>
  <c r="AO609" i="1"/>
  <c r="AS609" i="1"/>
  <c r="AW609" i="1"/>
  <c r="C609" i="1"/>
  <c r="E610" i="1"/>
  <c r="I610" i="1"/>
  <c r="M610" i="1"/>
  <c r="Q610" i="1"/>
  <c r="U610" i="1"/>
  <c r="Y610" i="1"/>
  <c r="AC610" i="1"/>
  <c r="AG610" i="1"/>
  <c r="AK610" i="1"/>
  <c r="AO610" i="1"/>
  <c r="AS610" i="1"/>
  <c r="AW610" i="1"/>
  <c r="F610" i="1"/>
  <c r="J610" i="1"/>
  <c r="N610" i="1"/>
  <c r="R610" i="1"/>
  <c r="V610" i="1"/>
  <c r="Z610" i="1"/>
  <c r="AD610" i="1"/>
  <c r="AH610" i="1"/>
  <c r="AL610" i="1"/>
  <c r="AP610" i="1"/>
  <c r="AT610" i="1"/>
  <c r="AX610" i="1"/>
  <c r="G610" i="1"/>
  <c r="K610" i="1"/>
  <c r="O610" i="1"/>
  <c r="S610" i="1"/>
  <c r="W610" i="1"/>
  <c r="AA610" i="1"/>
  <c r="AE610" i="1"/>
  <c r="AI610" i="1"/>
  <c r="AM610" i="1"/>
  <c r="AQ610" i="1"/>
  <c r="AU610" i="1"/>
  <c r="AY610" i="1"/>
  <c r="D610" i="1"/>
  <c r="H610" i="1"/>
  <c r="L610" i="1"/>
  <c r="P610" i="1"/>
  <c r="T610" i="1"/>
  <c r="X610" i="1"/>
  <c r="AB610" i="1"/>
  <c r="AF610" i="1"/>
  <c r="AJ610" i="1"/>
  <c r="AN610" i="1"/>
  <c r="AR610" i="1"/>
  <c r="AV610" i="1"/>
  <c r="AZ610" i="1"/>
  <c r="C610" i="1"/>
  <c r="D611" i="1"/>
  <c r="H611" i="1"/>
  <c r="L611" i="1"/>
  <c r="P611" i="1"/>
  <c r="T611" i="1"/>
  <c r="X611" i="1"/>
  <c r="AB611" i="1"/>
  <c r="AF611" i="1"/>
  <c r="AJ611" i="1"/>
  <c r="AN611" i="1"/>
  <c r="AR611" i="1"/>
  <c r="AV611" i="1"/>
  <c r="AZ611" i="1"/>
  <c r="E611" i="1"/>
  <c r="I611" i="1"/>
  <c r="M611" i="1"/>
  <c r="Q611" i="1"/>
  <c r="U611" i="1"/>
  <c r="Y611" i="1"/>
  <c r="AC611" i="1"/>
  <c r="AG611" i="1"/>
  <c r="AK611" i="1"/>
  <c r="AO611" i="1"/>
  <c r="AS611" i="1"/>
  <c r="AW611" i="1"/>
  <c r="F611" i="1"/>
  <c r="J611" i="1"/>
  <c r="N611" i="1"/>
  <c r="R611" i="1"/>
  <c r="V611" i="1"/>
  <c r="Z611" i="1"/>
  <c r="AD611" i="1"/>
  <c r="AH611" i="1"/>
  <c r="AL611" i="1"/>
  <c r="AP611" i="1"/>
  <c r="AT611" i="1"/>
  <c r="AX611" i="1"/>
  <c r="G611" i="1"/>
  <c r="K611" i="1"/>
  <c r="O611" i="1"/>
  <c r="S611" i="1"/>
  <c r="W611" i="1"/>
  <c r="AA611" i="1"/>
  <c r="AE611" i="1"/>
  <c r="AI611" i="1"/>
  <c r="AM611" i="1"/>
  <c r="AQ611" i="1"/>
  <c r="AU611" i="1"/>
  <c r="AY611" i="1"/>
  <c r="C611" i="1"/>
  <c r="G612" i="1"/>
  <c r="K612" i="1"/>
  <c r="O612" i="1"/>
  <c r="S612" i="1"/>
  <c r="W612" i="1"/>
  <c r="AA612" i="1"/>
  <c r="AE612" i="1"/>
  <c r="AI612" i="1"/>
  <c r="AM612" i="1"/>
  <c r="AQ612" i="1"/>
  <c r="AU612" i="1"/>
  <c r="AY612" i="1"/>
  <c r="D612" i="1"/>
  <c r="H612" i="1"/>
  <c r="L612" i="1"/>
  <c r="P612" i="1"/>
  <c r="T612" i="1"/>
  <c r="X612" i="1"/>
  <c r="AB612" i="1"/>
  <c r="AF612" i="1"/>
  <c r="AJ612" i="1"/>
  <c r="AN612" i="1"/>
  <c r="AR612" i="1"/>
  <c r="AV612" i="1"/>
  <c r="AZ612" i="1"/>
  <c r="E612" i="1"/>
  <c r="I612" i="1"/>
  <c r="M612" i="1"/>
  <c r="Q612" i="1"/>
  <c r="U612" i="1"/>
  <c r="Y612" i="1"/>
  <c r="AC612" i="1"/>
  <c r="AG612" i="1"/>
  <c r="AK612" i="1"/>
  <c r="AO612" i="1"/>
  <c r="AS612" i="1"/>
  <c r="AW612" i="1"/>
  <c r="F612" i="1"/>
  <c r="J612" i="1"/>
  <c r="N612" i="1"/>
  <c r="R612" i="1"/>
  <c r="V612" i="1"/>
  <c r="Z612" i="1"/>
  <c r="AD612" i="1"/>
  <c r="AH612" i="1"/>
  <c r="AL612" i="1"/>
  <c r="AP612" i="1"/>
  <c r="AT612" i="1"/>
  <c r="AX612" i="1"/>
  <c r="C612" i="1"/>
  <c r="F613" i="1"/>
  <c r="J613" i="1"/>
  <c r="N613" i="1"/>
  <c r="R613" i="1"/>
  <c r="V613" i="1"/>
  <c r="Z613" i="1"/>
  <c r="AD613" i="1"/>
  <c r="AH613" i="1"/>
  <c r="AL613" i="1"/>
  <c r="AP613" i="1"/>
  <c r="AT613" i="1"/>
  <c r="AX613" i="1"/>
  <c r="G613" i="1"/>
  <c r="K613" i="1"/>
  <c r="O613" i="1"/>
  <c r="S613" i="1"/>
  <c r="W613" i="1"/>
  <c r="AA613" i="1"/>
  <c r="AE613" i="1"/>
  <c r="AI613" i="1"/>
  <c r="AM613" i="1"/>
  <c r="AQ613" i="1"/>
  <c r="AU613" i="1"/>
  <c r="AY613" i="1"/>
  <c r="D613" i="1"/>
  <c r="H613" i="1"/>
  <c r="L613" i="1"/>
  <c r="P613" i="1"/>
  <c r="T613" i="1"/>
  <c r="X613" i="1"/>
  <c r="AB613" i="1"/>
  <c r="AF613" i="1"/>
  <c r="AJ613" i="1"/>
  <c r="AN613" i="1"/>
  <c r="AR613" i="1"/>
  <c r="AV613" i="1"/>
  <c r="AZ613" i="1"/>
  <c r="E613" i="1"/>
  <c r="I613" i="1"/>
  <c r="M613" i="1"/>
  <c r="Q613" i="1"/>
  <c r="U613" i="1"/>
  <c r="Y613" i="1"/>
  <c r="AC613" i="1"/>
  <c r="AG613" i="1"/>
  <c r="AK613" i="1"/>
  <c r="AO613" i="1"/>
  <c r="AS613" i="1"/>
  <c r="AW613" i="1"/>
  <c r="C613" i="1"/>
  <c r="E614" i="1"/>
  <c r="I614" i="1"/>
  <c r="M614" i="1"/>
  <c r="Q614" i="1"/>
  <c r="U614" i="1"/>
  <c r="Y614" i="1"/>
  <c r="AC614" i="1"/>
  <c r="AG614" i="1"/>
  <c r="AK614" i="1"/>
  <c r="AO614" i="1"/>
  <c r="AS614" i="1"/>
  <c r="AW614" i="1"/>
  <c r="F614" i="1"/>
  <c r="J614" i="1"/>
  <c r="N614" i="1"/>
  <c r="R614" i="1"/>
  <c r="V614" i="1"/>
  <c r="Z614" i="1"/>
  <c r="AD614" i="1"/>
  <c r="AH614" i="1"/>
  <c r="AL614" i="1"/>
  <c r="AP614" i="1"/>
  <c r="AT614" i="1"/>
  <c r="AX614" i="1"/>
  <c r="G614" i="1"/>
  <c r="K614" i="1"/>
  <c r="O614" i="1"/>
  <c r="S614" i="1"/>
  <c r="W614" i="1"/>
  <c r="AA614" i="1"/>
  <c r="AE614" i="1"/>
  <c r="AI614" i="1"/>
  <c r="AM614" i="1"/>
  <c r="AQ614" i="1"/>
  <c r="AU614" i="1"/>
  <c r="AY614" i="1"/>
  <c r="D614" i="1"/>
  <c r="H614" i="1"/>
  <c r="L614" i="1"/>
  <c r="P614" i="1"/>
  <c r="T614" i="1"/>
  <c r="X614" i="1"/>
  <c r="AB614" i="1"/>
  <c r="AF614" i="1"/>
  <c r="AJ614" i="1"/>
  <c r="AN614" i="1"/>
  <c r="AR614" i="1"/>
  <c r="AV614" i="1"/>
  <c r="AZ614" i="1"/>
  <c r="C614" i="1"/>
  <c r="D615" i="1"/>
  <c r="H615" i="1"/>
  <c r="L615" i="1"/>
  <c r="P615" i="1"/>
  <c r="T615" i="1"/>
  <c r="X615" i="1"/>
  <c r="AB615" i="1"/>
  <c r="AF615" i="1"/>
  <c r="AJ615" i="1"/>
  <c r="AN615" i="1"/>
  <c r="AR615" i="1"/>
  <c r="AV615" i="1"/>
  <c r="AZ615" i="1"/>
  <c r="E615" i="1"/>
  <c r="I615" i="1"/>
  <c r="M615" i="1"/>
  <c r="Q615" i="1"/>
  <c r="U615" i="1"/>
  <c r="Y615" i="1"/>
  <c r="AC615" i="1"/>
  <c r="AG615" i="1"/>
  <c r="AK615" i="1"/>
  <c r="AO615" i="1"/>
  <c r="AS615" i="1"/>
  <c r="AW615" i="1"/>
  <c r="F615" i="1"/>
  <c r="J615" i="1"/>
  <c r="N615" i="1"/>
  <c r="R615" i="1"/>
  <c r="V615" i="1"/>
  <c r="Z615" i="1"/>
  <c r="AD615" i="1"/>
  <c r="AH615" i="1"/>
  <c r="AL615" i="1"/>
  <c r="AP615" i="1"/>
  <c r="AT615" i="1"/>
  <c r="AX615" i="1"/>
  <c r="G615" i="1"/>
  <c r="K615" i="1"/>
  <c r="O615" i="1"/>
  <c r="S615" i="1"/>
  <c r="W615" i="1"/>
  <c r="AA615" i="1"/>
  <c r="AE615" i="1"/>
  <c r="AI615" i="1"/>
  <c r="AM615" i="1"/>
  <c r="AQ615" i="1"/>
  <c r="AU615" i="1"/>
  <c r="AY615" i="1"/>
  <c r="C615" i="1"/>
  <c r="G616" i="1"/>
  <c r="K616" i="1"/>
  <c r="O616" i="1"/>
  <c r="S616" i="1"/>
  <c r="W616" i="1"/>
  <c r="AA616" i="1"/>
  <c r="AE616" i="1"/>
  <c r="AI616" i="1"/>
  <c r="AM616" i="1"/>
  <c r="AQ616" i="1"/>
  <c r="AU616" i="1"/>
  <c r="AY616" i="1"/>
  <c r="D616" i="1"/>
  <c r="H616" i="1"/>
  <c r="L616" i="1"/>
  <c r="P616" i="1"/>
  <c r="T616" i="1"/>
  <c r="X616" i="1"/>
  <c r="AB616" i="1"/>
  <c r="AF616" i="1"/>
  <c r="AJ616" i="1"/>
  <c r="AN616" i="1"/>
  <c r="AR616" i="1"/>
  <c r="AV616" i="1"/>
  <c r="AZ616" i="1"/>
  <c r="E616" i="1"/>
  <c r="I616" i="1"/>
  <c r="M616" i="1"/>
  <c r="Q616" i="1"/>
  <c r="U616" i="1"/>
  <c r="Y616" i="1"/>
  <c r="AC616" i="1"/>
  <c r="AG616" i="1"/>
  <c r="AK616" i="1"/>
  <c r="AO616" i="1"/>
  <c r="AS616" i="1"/>
  <c r="AW616" i="1"/>
  <c r="F616" i="1"/>
  <c r="J616" i="1"/>
  <c r="N616" i="1"/>
  <c r="R616" i="1"/>
  <c r="V616" i="1"/>
  <c r="Z616" i="1"/>
  <c r="AD616" i="1"/>
  <c r="AH616" i="1"/>
  <c r="AL616" i="1"/>
  <c r="AP616" i="1"/>
  <c r="AT616" i="1"/>
  <c r="AX616" i="1"/>
  <c r="C616" i="1"/>
  <c r="F617" i="1"/>
  <c r="J617" i="1"/>
  <c r="N617" i="1"/>
  <c r="R617" i="1"/>
  <c r="V617" i="1"/>
  <c r="Z617" i="1"/>
  <c r="AD617" i="1"/>
  <c r="AH617" i="1"/>
  <c r="AL617" i="1"/>
  <c r="AP617" i="1"/>
  <c r="AT617" i="1"/>
  <c r="AX617" i="1"/>
  <c r="G617" i="1"/>
  <c r="K617" i="1"/>
  <c r="O617" i="1"/>
  <c r="S617" i="1"/>
  <c r="W617" i="1"/>
  <c r="AA617" i="1"/>
  <c r="AE617" i="1"/>
  <c r="AI617" i="1"/>
  <c r="AM617" i="1"/>
  <c r="AQ617" i="1"/>
  <c r="AU617" i="1"/>
  <c r="AY617" i="1"/>
  <c r="D617" i="1"/>
  <c r="H617" i="1"/>
  <c r="L617" i="1"/>
  <c r="P617" i="1"/>
  <c r="T617" i="1"/>
  <c r="X617" i="1"/>
  <c r="AB617" i="1"/>
  <c r="AF617" i="1"/>
  <c r="AJ617" i="1"/>
  <c r="AN617" i="1"/>
  <c r="AR617" i="1"/>
  <c r="AV617" i="1"/>
  <c r="AZ617" i="1"/>
  <c r="E617" i="1"/>
  <c r="I617" i="1"/>
  <c r="M617" i="1"/>
  <c r="Q617" i="1"/>
  <c r="U617" i="1"/>
  <c r="Y617" i="1"/>
  <c r="AC617" i="1"/>
  <c r="AG617" i="1"/>
  <c r="AK617" i="1"/>
  <c r="AO617" i="1"/>
  <c r="AS617" i="1"/>
  <c r="AW617" i="1"/>
  <c r="C617" i="1"/>
  <c r="E618" i="1"/>
  <c r="I618" i="1"/>
  <c r="M618" i="1"/>
  <c r="Q618" i="1"/>
  <c r="U618" i="1"/>
  <c r="Y618" i="1"/>
  <c r="AC618" i="1"/>
  <c r="AG618" i="1"/>
  <c r="AK618" i="1"/>
  <c r="AO618" i="1"/>
  <c r="AS618" i="1"/>
  <c r="AW618" i="1"/>
  <c r="F618" i="1"/>
  <c r="J618" i="1"/>
  <c r="N618" i="1"/>
  <c r="R618" i="1"/>
  <c r="V618" i="1"/>
  <c r="Z618" i="1"/>
  <c r="AD618" i="1"/>
  <c r="AH618" i="1"/>
  <c r="AL618" i="1"/>
  <c r="AP618" i="1"/>
  <c r="AT618" i="1"/>
  <c r="AX618" i="1"/>
  <c r="G618" i="1"/>
  <c r="K618" i="1"/>
  <c r="O618" i="1"/>
  <c r="S618" i="1"/>
  <c r="W618" i="1"/>
  <c r="AA618" i="1"/>
  <c r="AE618" i="1"/>
  <c r="AI618" i="1"/>
  <c r="AM618" i="1"/>
  <c r="AQ618" i="1"/>
  <c r="AU618" i="1"/>
  <c r="AY618" i="1"/>
  <c r="D618" i="1"/>
  <c r="H618" i="1"/>
  <c r="L618" i="1"/>
  <c r="P618" i="1"/>
  <c r="T618" i="1"/>
  <c r="X618" i="1"/>
  <c r="AB618" i="1"/>
  <c r="AF618" i="1"/>
  <c r="AJ618" i="1"/>
  <c r="AN618" i="1"/>
  <c r="AR618" i="1"/>
  <c r="AV618" i="1"/>
  <c r="AZ618" i="1"/>
  <c r="C618" i="1"/>
  <c r="D619" i="1"/>
  <c r="H619" i="1"/>
  <c r="L619" i="1"/>
  <c r="P619" i="1"/>
  <c r="T619" i="1"/>
  <c r="X619" i="1"/>
  <c r="AB619" i="1"/>
  <c r="AF619" i="1"/>
  <c r="AJ619" i="1"/>
  <c r="AN619" i="1"/>
  <c r="AR619" i="1"/>
  <c r="AV619" i="1"/>
  <c r="AZ619" i="1"/>
  <c r="E619" i="1"/>
  <c r="I619" i="1"/>
  <c r="M619" i="1"/>
  <c r="Q619" i="1"/>
  <c r="U619" i="1"/>
  <c r="Y619" i="1"/>
  <c r="AC619" i="1"/>
  <c r="AG619" i="1"/>
  <c r="AK619" i="1"/>
  <c r="AO619" i="1"/>
  <c r="AS619" i="1"/>
  <c r="AW619" i="1"/>
  <c r="F619" i="1"/>
  <c r="J619" i="1"/>
  <c r="N619" i="1"/>
  <c r="R619" i="1"/>
  <c r="V619" i="1"/>
  <c r="Z619" i="1"/>
  <c r="AD619" i="1"/>
  <c r="AH619" i="1"/>
  <c r="AL619" i="1"/>
  <c r="AP619" i="1"/>
  <c r="AT619" i="1"/>
  <c r="AX619" i="1"/>
  <c r="G619" i="1"/>
  <c r="K619" i="1"/>
  <c r="O619" i="1"/>
  <c r="S619" i="1"/>
  <c r="W619" i="1"/>
  <c r="AA619" i="1"/>
  <c r="AE619" i="1"/>
  <c r="AI619" i="1"/>
  <c r="AM619" i="1"/>
  <c r="AQ619" i="1"/>
  <c r="AU619" i="1"/>
  <c r="AY619" i="1"/>
  <c r="C619" i="1"/>
  <c r="G620" i="1"/>
  <c r="K620" i="1"/>
  <c r="O620" i="1"/>
  <c r="S620" i="1"/>
  <c r="W620" i="1"/>
  <c r="AA620" i="1"/>
  <c r="AE620" i="1"/>
  <c r="AI620" i="1"/>
  <c r="AM620" i="1"/>
  <c r="AQ620" i="1"/>
  <c r="AU620" i="1"/>
  <c r="AY620" i="1"/>
  <c r="D620" i="1"/>
  <c r="H620" i="1"/>
  <c r="L620" i="1"/>
  <c r="P620" i="1"/>
  <c r="T620" i="1"/>
  <c r="X620" i="1"/>
  <c r="AB620" i="1"/>
  <c r="AF620" i="1"/>
  <c r="AJ620" i="1"/>
  <c r="AN620" i="1"/>
  <c r="AR620" i="1"/>
  <c r="AV620" i="1"/>
  <c r="AZ620" i="1"/>
  <c r="E620" i="1"/>
  <c r="I620" i="1"/>
  <c r="M620" i="1"/>
  <c r="Q620" i="1"/>
  <c r="U620" i="1"/>
  <c r="Y620" i="1"/>
  <c r="AC620" i="1"/>
  <c r="AG620" i="1"/>
  <c r="AK620" i="1"/>
  <c r="AO620" i="1"/>
  <c r="AS620" i="1"/>
  <c r="AW620" i="1"/>
  <c r="F620" i="1"/>
  <c r="J620" i="1"/>
  <c r="N620" i="1"/>
  <c r="R620" i="1"/>
  <c r="V620" i="1"/>
  <c r="Z620" i="1"/>
  <c r="AD620" i="1"/>
  <c r="AH620" i="1"/>
  <c r="AL620" i="1"/>
  <c r="AP620" i="1"/>
  <c r="AT620" i="1"/>
  <c r="AX620" i="1"/>
  <c r="C620" i="1"/>
  <c r="F621" i="1"/>
  <c r="J621" i="1"/>
  <c r="N621" i="1"/>
  <c r="R621" i="1"/>
  <c r="V621" i="1"/>
  <c r="Z621" i="1"/>
  <c r="AD621" i="1"/>
  <c r="AH621" i="1"/>
  <c r="AL621" i="1"/>
  <c r="AP621" i="1"/>
  <c r="AT621" i="1"/>
  <c r="AX621" i="1"/>
  <c r="G621" i="1"/>
  <c r="K621" i="1"/>
  <c r="O621" i="1"/>
  <c r="S621" i="1"/>
  <c r="W621" i="1"/>
  <c r="AA621" i="1"/>
  <c r="AE621" i="1"/>
  <c r="AI621" i="1"/>
  <c r="AM621" i="1"/>
  <c r="AQ621" i="1"/>
  <c r="AU621" i="1"/>
  <c r="AY621" i="1"/>
  <c r="D621" i="1"/>
  <c r="H621" i="1"/>
  <c r="L621" i="1"/>
  <c r="P621" i="1"/>
  <c r="T621" i="1"/>
  <c r="X621" i="1"/>
  <c r="AB621" i="1"/>
  <c r="AF621" i="1"/>
  <c r="AJ621" i="1"/>
  <c r="AN621" i="1"/>
  <c r="AR621" i="1"/>
  <c r="AV621" i="1"/>
  <c r="AZ621" i="1"/>
  <c r="E621" i="1"/>
  <c r="I621" i="1"/>
  <c r="M621" i="1"/>
  <c r="Q621" i="1"/>
  <c r="U621" i="1"/>
  <c r="Y621" i="1"/>
  <c r="AC621" i="1"/>
  <c r="AG621" i="1"/>
  <c r="AK621" i="1"/>
  <c r="AO621" i="1"/>
  <c r="AS621" i="1"/>
  <c r="AW621" i="1"/>
  <c r="C621" i="1"/>
  <c r="E622" i="1"/>
  <c r="I622" i="1"/>
  <c r="M622" i="1"/>
  <c r="Q622" i="1"/>
  <c r="U622" i="1"/>
  <c r="Y622" i="1"/>
  <c r="AC622" i="1"/>
  <c r="AG622" i="1"/>
  <c r="AK622" i="1"/>
  <c r="AO622" i="1"/>
  <c r="AS622" i="1"/>
  <c r="AW622" i="1"/>
  <c r="F622" i="1"/>
  <c r="J622" i="1"/>
  <c r="N622" i="1"/>
  <c r="R622" i="1"/>
  <c r="V622" i="1"/>
  <c r="Z622" i="1"/>
  <c r="AD622" i="1"/>
  <c r="AH622" i="1"/>
  <c r="AL622" i="1"/>
  <c r="AP622" i="1"/>
  <c r="AT622" i="1"/>
  <c r="AX622" i="1"/>
  <c r="G622" i="1"/>
  <c r="K622" i="1"/>
  <c r="O622" i="1"/>
  <c r="S622" i="1"/>
  <c r="W622" i="1"/>
  <c r="AA622" i="1"/>
  <c r="AE622" i="1"/>
  <c r="AI622" i="1"/>
  <c r="AM622" i="1"/>
  <c r="AQ622" i="1"/>
  <c r="AU622" i="1"/>
  <c r="AY622" i="1"/>
  <c r="D622" i="1"/>
  <c r="H622" i="1"/>
  <c r="L622" i="1"/>
  <c r="P622" i="1"/>
  <c r="T622" i="1"/>
  <c r="X622" i="1"/>
  <c r="AB622" i="1"/>
  <c r="AF622" i="1"/>
  <c r="AJ622" i="1"/>
  <c r="AN622" i="1"/>
  <c r="AR622" i="1"/>
  <c r="AV622" i="1"/>
  <c r="AZ622" i="1"/>
  <c r="C622" i="1"/>
  <c r="D623" i="1"/>
  <c r="H623" i="1"/>
  <c r="L623" i="1"/>
  <c r="P623" i="1"/>
  <c r="T623" i="1"/>
  <c r="X623" i="1"/>
  <c r="AB623" i="1"/>
  <c r="AF623" i="1"/>
  <c r="AJ623" i="1"/>
  <c r="AN623" i="1"/>
  <c r="AR623" i="1"/>
  <c r="AV623" i="1"/>
  <c r="AZ623" i="1"/>
  <c r="E623" i="1"/>
  <c r="I623" i="1"/>
  <c r="M623" i="1"/>
  <c r="Q623" i="1"/>
  <c r="U623" i="1"/>
  <c r="Y623" i="1"/>
  <c r="AC623" i="1"/>
  <c r="AG623" i="1"/>
  <c r="AK623" i="1"/>
  <c r="AO623" i="1"/>
  <c r="AS623" i="1"/>
  <c r="AW623" i="1"/>
  <c r="F623" i="1"/>
  <c r="J623" i="1"/>
  <c r="N623" i="1"/>
  <c r="R623" i="1"/>
  <c r="V623" i="1"/>
  <c r="Z623" i="1"/>
  <c r="AD623" i="1"/>
  <c r="AH623" i="1"/>
  <c r="AL623" i="1"/>
  <c r="AP623" i="1"/>
  <c r="AT623" i="1"/>
  <c r="AX623" i="1"/>
  <c r="G623" i="1"/>
  <c r="K623" i="1"/>
  <c r="O623" i="1"/>
  <c r="S623" i="1"/>
  <c r="W623" i="1"/>
  <c r="AA623" i="1"/>
  <c r="AE623" i="1"/>
  <c r="AI623" i="1"/>
  <c r="AM623" i="1"/>
  <c r="AQ623" i="1"/>
  <c r="AU623" i="1"/>
  <c r="AY623" i="1"/>
  <c r="C623" i="1"/>
  <c r="G624" i="1"/>
  <c r="K624" i="1"/>
  <c r="O624" i="1"/>
  <c r="S624" i="1"/>
  <c r="W624" i="1"/>
  <c r="AA624" i="1"/>
  <c r="AE624" i="1"/>
  <c r="AI624" i="1"/>
  <c r="AM624" i="1"/>
  <c r="AQ624" i="1"/>
  <c r="AU624" i="1"/>
  <c r="AY624" i="1"/>
  <c r="D624" i="1"/>
  <c r="H624" i="1"/>
  <c r="L624" i="1"/>
  <c r="P624" i="1"/>
  <c r="T624" i="1"/>
  <c r="X624" i="1"/>
  <c r="AB624" i="1"/>
  <c r="AF624" i="1"/>
  <c r="AJ624" i="1"/>
  <c r="AN624" i="1"/>
  <c r="AR624" i="1"/>
  <c r="AV624" i="1"/>
  <c r="AZ624" i="1"/>
  <c r="E624" i="1"/>
  <c r="I624" i="1"/>
  <c r="M624" i="1"/>
  <c r="Q624" i="1"/>
  <c r="U624" i="1"/>
  <c r="Y624" i="1"/>
  <c r="AC624" i="1"/>
  <c r="AG624" i="1"/>
  <c r="AK624" i="1"/>
  <c r="AO624" i="1"/>
  <c r="AS624" i="1"/>
  <c r="AW624" i="1"/>
  <c r="F624" i="1"/>
  <c r="J624" i="1"/>
  <c r="N624" i="1"/>
  <c r="R624" i="1"/>
  <c r="V624" i="1"/>
  <c r="Z624" i="1"/>
  <c r="AD624" i="1"/>
  <c r="AH624" i="1"/>
  <c r="AL624" i="1"/>
  <c r="AP624" i="1"/>
  <c r="AT624" i="1"/>
  <c r="AX624" i="1"/>
  <c r="C624" i="1"/>
  <c r="F625" i="1"/>
  <c r="J625" i="1"/>
  <c r="N625" i="1"/>
  <c r="R625" i="1"/>
  <c r="V625" i="1"/>
  <c r="Z625" i="1"/>
  <c r="AD625" i="1"/>
  <c r="AH625" i="1"/>
  <c r="AL625" i="1"/>
  <c r="AP625" i="1"/>
  <c r="AT625" i="1"/>
  <c r="AX625" i="1"/>
  <c r="G625" i="1"/>
  <c r="K625" i="1"/>
  <c r="O625" i="1"/>
  <c r="S625" i="1"/>
  <c r="W625" i="1"/>
  <c r="AA625" i="1"/>
  <c r="AE625" i="1"/>
  <c r="AI625" i="1"/>
  <c r="AM625" i="1"/>
  <c r="AQ625" i="1"/>
  <c r="AU625" i="1"/>
  <c r="AY625" i="1"/>
  <c r="D625" i="1"/>
  <c r="H625" i="1"/>
  <c r="L625" i="1"/>
  <c r="P625" i="1"/>
  <c r="T625" i="1"/>
  <c r="X625" i="1"/>
  <c r="AB625" i="1"/>
  <c r="AF625" i="1"/>
  <c r="AJ625" i="1"/>
  <c r="AN625" i="1"/>
  <c r="AR625" i="1"/>
  <c r="AV625" i="1"/>
  <c r="AZ625" i="1"/>
  <c r="E625" i="1"/>
  <c r="I625" i="1"/>
  <c r="M625" i="1"/>
  <c r="Q625" i="1"/>
  <c r="U625" i="1"/>
  <c r="Y625" i="1"/>
  <c r="AC625" i="1"/>
  <c r="AG625" i="1"/>
  <c r="AK625" i="1"/>
  <c r="AO625" i="1"/>
  <c r="AS625" i="1"/>
  <c r="AW625" i="1"/>
  <c r="C625" i="1"/>
  <c r="E626" i="1"/>
  <c r="I626" i="1"/>
  <c r="M626" i="1"/>
  <c r="Q626" i="1"/>
  <c r="U626" i="1"/>
  <c r="Y626" i="1"/>
  <c r="AC626" i="1"/>
  <c r="AG626" i="1"/>
  <c r="AK626" i="1"/>
  <c r="AO626" i="1"/>
  <c r="AS626" i="1"/>
  <c r="AW626" i="1"/>
  <c r="F626" i="1"/>
  <c r="J626" i="1"/>
  <c r="N626" i="1"/>
  <c r="R626" i="1"/>
  <c r="V626" i="1"/>
  <c r="Z626" i="1"/>
  <c r="AD626" i="1"/>
  <c r="AH626" i="1"/>
  <c r="AL626" i="1"/>
  <c r="AP626" i="1"/>
  <c r="AT626" i="1"/>
  <c r="AX626" i="1"/>
  <c r="G626" i="1"/>
  <c r="K626" i="1"/>
  <c r="O626" i="1"/>
  <c r="S626" i="1"/>
  <c r="W626" i="1"/>
  <c r="AA626" i="1"/>
  <c r="AE626" i="1"/>
  <c r="AI626" i="1"/>
  <c r="AM626" i="1"/>
  <c r="AQ626" i="1"/>
  <c r="AU626" i="1"/>
  <c r="AY626" i="1"/>
  <c r="D626" i="1"/>
  <c r="H626" i="1"/>
  <c r="L626" i="1"/>
  <c r="P626" i="1"/>
  <c r="T626" i="1"/>
  <c r="X626" i="1"/>
  <c r="AB626" i="1"/>
  <c r="AF626" i="1"/>
  <c r="AJ626" i="1"/>
  <c r="AN626" i="1"/>
  <c r="AR626" i="1"/>
  <c r="AV626" i="1"/>
  <c r="AZ626" i="1"/>
  <c r="C626" i="1"/>
  <c r="D627" i="1"/>
  <c r="H627" i="1"/>
  <c r="L627" i="1"/>
  <c r="P627" i="1"/>
  <c r="T627" i="1"/>
  <c r="X627" i="1"/>
  <c r="AB627" i="1"/>
  <c r="AF627" i="1"/>
  <c r="AJ627" i="1"/>
  <c r="AN627" i="1"/>
  <c r="AR627" i="1"/>
  <c r="AV627" i="1"/>
  <c r="AZ627" i="1"/>
  <c r="E627" i="1"/>
  <c r="I627" i="1"/>
  <c r="M627" i="1"/>
  <c r="Q627" i="1"/>
  <c r="U627" i="1"/>
  <c r="Y627" i="1"/>
  <c r="AC627" i="1"/>
  <c r="AG627" i="1"/>
  <c r="AK627" i="1"/>
  <c r="AO627" i="1"/>
  <c r="AS627" i="1"/>
  <c r="AW627" i="1"/>
  <c r="F627" i="1"/>
  <c r="J627" i="1"/>
  <c r="N627" i="1"/>
  <c r="R627" i="1"/>
  <c r="V627" i="1"/>
  <c r="Z627" i="1"/>
  <c r="AD627" i="1"/>
  <c r="AH627" i="1"/>
  <c r="AL627" i="1"/>
  <c r="AP627" i="1"/>
  <c r="AT627" i="1"/>
  <c r="AX627" i="1"/>
  <c r="G627" i="1"/>
  <c r="K627" i="1"/>
  <c r="O627" i="1"/>
  <c r="S627" i="1"/>
  <c r="W627" i="1"/>
  <c r="AA627" i="1"/>
  <c r="AE627" i="1"/>
  <c r="AI627" i="1"/>
  <c r="AM627" i="1"/>
  <c r="AQ627" i="1"/>
  <c r="AU627" i="1"/>
  <c r="AY627" i="1"/>
  <c r="C627" i="1"/>
  <c r="G628" i="1"/>
  <c r="K628" i="1"/>
  <c r="O628" i="1"/>
  <c r="S628" i="1"/>
  <c r="W628" i="1"/>
  <c r="AA628" i="1"/>
  <c r="AE628" i="1"/>
  <c r="AI628" i="1"/>
  <c r="AM628" i="1"/>
  <c r="AQ628" i="1"/>
  <c r="AU628" i="1"/>
  <c r="AY628" i="1"/>
  <c r="D628" i="1"/>
  <c r="H628" i="1"/>
  <c r="L628" i="1"/>
  <c r="P628" i="1"/>
  <c r="T628" i="1"/>
  <c r="X628" i="1"/>
  <c r="AB628" i="1"/>
  <c r="AF628" i="1"/>
  <c r="AJ628" i="1"/>
  <c r="AN628" i="1"/>
  <c r="AR628" i="1"/>
  <c r="AV628" i="1"/>
  <c r="AZ628" i="1"/>
  <c r="E628" i="1"/>
  <c r="I628" i="1"/>
  <c r="M628" i="1"/>
  <c r="Q628" i="1"/>
  <c r="U628" i="1"/>
  <c r="Y628" i="1"/>
  <c r="AC628" i="1"/>
  <c r="AG628" i="1"/>
  <c r="AK628" i="1"/>
  <c r="AO628" i="1"/>
  <c r="AS628" i="1"/>
  <c r="AW628" i="1"/>
  <c r="F628" i="1"/>
  <c r="J628" i="1"/>
  <c r="N628" i="1"/>
  <c r="R628" i="1"/>
  <c r="V628" i="1"/>
  <c r="Z628" i="1"/>
  <c r="AD628" i="1"/>
  <c r="AH628" i="1"/>
  <c r="AL628" i="1"/>
  <c r="AP628" i="1"/>
  <c r="AT628" i="1"/>
  <c r="AX628" i="1"/>
  <c r="C628" i="1"/>
  <c r="F629" i="1"/>
  <c r="J629" i="1"/>
  <c r="N629" i="1"/>
  <c r="R629" i="1"/>
  <c r="V629" i="1"/>
  <c r="Z629" i="1"/>
  <c r="AD629" i="1"/>
  <c r="AH629" i="1"/>
  <c r="AL629" i="1"/>
  <c r="AP629" i="1"/>
  <c r="AT629" i="1"/>
  <c r="AX629" i="1"/>
  <c r="G629" i="1"/>
  <c r="K629" i="1"/>
  <c r="O629" i="1"/>
  <c r="S629" i="1"/>
  <c r="W629" i="1"/>
  <c r="AA629" i="1"/>
  <c r="AE629" i="1"/>
  <c r="AI629" i="1"/>
  <c r="AM629" i="1"/>
  <c r="AQ629" i="1"/>
  <c r="AU629" i="1"/>
  <c r="AY629" i="1"/>
  <c r="D629" i="1"/>
  <c r="H629" i="1"/>
  <c r="L629" i="1"/>
  <c r="P629" i="1"/>
  <c r="T629" i="1"/>
  <c r="X629" i="1"/>
  <c r="AB629" i="1"/>
  <c r="AF629" i="1"/>
  <c r="AJ629" i="1"/>
  <c r="AN629" i="1"/>
  <c r="AR629" i="1"/>
  <c r="AV629" i="1"/>
  <c r="AZ629" i="1"/>
  <c r="E629" i="1"/>
  <c r="I629" i="1"/>
  <c r="M629" i="1"/>
  <c r="Q629" i="1"/>
  <c r="U629" i="1"/>
  <c r="Y629" i="1"/>
  <c r="AC629" i="1"/>
  <c r="AG629" i="1"/>
  <c r="AK629" i="1"/>
  <c r="AO629" i="1"/>
  <c r="AS629" i="1"/>
  <c r="AW629" i="1"/>
  <c r="C629" i="1"/>
  <c r="E630" i="1"/>
  <c r="I630" i="1"/>
  <c r="M630" i="1"/>
  <c r="Q630" i="1"/>
  <c r="U630" i="1"/>
  <c r="Y630" i="1"/>
  <c r="AC630" i="1"/>
  <c r="AG630" i="1"/>
  <c r="AK630" i="1"/>
  <c r="AO630" i="1"/>
  <c r="AS630" i="1"/>
  <c r="AW630" i="1"/>
  <c r="F630" i="1"/>
  <c r="J630" i="1"/>
  <c r="N630" i="1"/>
  <c r="R630" i="1"/>
  <c r="V630" i="1"/>
  <c r="Z630" i="1"/>
  <c r="AD630" i="1"/>
  <c r="AH630" i="1"/>
  <c r="AL630" i="1"/>
  <c r="AP630" i="1"/>
  <c r="AT630" i="1"/>
  <c r="AX630" i="1"/>
  <c r="G630" i="1"/>
  <c r="K630" i="1"/>
  <c r="O630" i="1"/>
  <c r="S630" i="1"/>
  <c r="W630" i="1"/>
  <c r="AA630" i="1"/>
  <c r="AE630" i="1"/>
  <c r="AI630" i="1"/>
  <c r="AM630" i="1"/>
  <c r="AQ630" i="1"/>
  <c r="AU630" i="1"/>
  <c r="AY630" i="1"/>
  <c r="D630" i="1"/>
  <c r="H630" i="1"/>
  <c r="L630" i="1"/>
  <c r="P630" i="1"/>
  <c r="T630" i="1"/>
  <c r="X630" i="1"/>
  <c r="AB630" i="1"/>
  <c r="AF630" i="1"/>
  <c r="AJ630" i="1"/>
  <c r="AN630" i="1"/>
  <c r="AR630" i="1"/>
  <c r="AV630" i="1"/>
  <c r="AZ630" i="1"/>
  <c r="C630" i="1"/>
  <c r="D631" i="1"/>
  <c r="H631" i="1"/>
  <c r="L631" i="1"/>
  <c r="P631" i="1"/>
  <c r="T631" i="1"/>
  <c r="X631" i="1"/>
  <c r="AB631" i="1"/>
  <c r="AF631" i="1"/>
  <c r="AJ631" i="1"/>
  <c r="AN631" i="1"/>
  <c r="AR631" i="1"/>
  <c r="AV631" i="1"/>
  <c r="AZ631" i="1"/>
  <c r="E631" i="1"/>
  <c r="I631" i="1"/>
  <c r="M631" i="1"/>
  <c r="Q631" i="1"/>
  <c r="U631" i="1"/>
  <c r="Y631" i="1"/>
  <c r="AC631" i="1"/>
  <c r="AG631" i="1"/>
  <c r="AK631" i="1"/>
  <c r="AO631" i="1"/>
  <c r="AS631" i="1"/>
  <c r="AW631" i="1"/>
  <c r="F631" i="1"/>
  <c r="J631" i="1"/>
  <c r="N631" i="1"/>
  <c r="R631" i="1"/>
  <c r="V631" i="1"/>
  <c r="Z631" i="1"/>
  <c r="AD631" i="1"/>
  <c r="AH631" i="1"/>
  <c r="AL631" i="1"/>
  <c r="AP631" i="1"/>
  <c r="AT631" i="1"/>
  <c r="AX631" i="1"/>
  <c r="G631" i="1"/>
  <c r="K631" i="1"/>
  <c r="O631" i="1"/>
  <c r="S631" i="1"/>
  <c r="W631" i="1"/>
  <c r="AA631" i="1"/>
  <c r="AE631" i="1"/>
  <c r="AI631" i="1"/>
  <c r="AM631" i="1"/>
  <c r="AQ631" i="1"/>
  <c r="AU631" i="1"/>
  <c r="AY631" i="1"/>
  <c r="C631" i="1"/>
  <c r="G632" i="1"/>
  <c r="K632" i="1"/>
  <c r="O632" i="1"/>
  <c r="S632" i="1"/>
  <c r="W632" i="1"/>
  <c r="AA632" i="1"/>
  <c r="AE632" i="1"/>
  <c r="AI632" i="1"/>
  <c r="AM632" i="1"/>
  <c r="AQ632" i="1"/>
  <c r="AU632" i="1"/>
  <c r="AY632" i="1"/>
  <c r="D632" i="1"/>
  <c r="H632" i="1"/>
  <c r="L632" i="1"/>
  <c r="P632" i="1"/>
  <c r="T632" i="1"/>
  <c r="X632" i="1"/>
  <c r="AB632" i="1"/>
  <c r="AF632" i="1"/>
  <c r="AJ632" i="1"/>
  <c r="AN632" i="1"/>
  <c r="AR632" i="1"/>
  <c r="AV632" i="1"/>
  <c r="AZ632" i="1"/>
  <c r="E632" i="1"/>
  <c r="I632" i="1"/>
  <c r="M632" i="1"/>
  <c r="Q632" i="1"/>
  <c r="U632" i="1"/>
  <c r="Y632" i="1"/>
  <c r="AC632" i="1"/>
  <c r="AG632" i="1"/>
  <c r="AK632" i="1"/>
  <c r="AO632" i="1"/>
  <c r="AS632" i="1"/>
  <c r="AW632" i="1"/>
  <c r="F632" i="1"/>
  <c r="J632" i="1"/>
  <c r="N632" i="1"/>
  <c r="R632" i="1"/>
  <c r="V632" i="1"/>
  <c r="Z632" i="1"/>
  <c r="AD632" i="1"/>
  <c r="AH632" i="1"/>
  <c r="AL632" i="1"/>
  <c r="AP632" i="1"/>
  <c r="AT632" i="1"/>
  <c r="AX632" i="1"/>
  <c r="C632" i="1"/>
  <c r="F633" i="1"/>
  <c r="J633" i="1"/>
  <c r="N633" i="1"/>
  <c r="R633" i="1"/>
  <c r="V633" i="1"/>
  <c r="Z633" i="1"/>
  <c r="AD633" i="1"/>
  <c r="AH633" i="1"/>
  <c r="AL633" i="1"/>
  <c r="AP633" i="1"/>
  <c r="AT633" i="1"/>
  <c r="AX633" i="1"/>
  <c r="G633" i="1"/>
  <c r="K633" i="1"/>
  <c r="O633" i="1"/>
  <c r="S633" i="1"/>
  <c r="W633" i="1"/>
  <c r="AA633" i="1"/>
  <c r="AE633" i="1"/>
  <c r="AI633" i="1"/>
  <c r="AM633" i="1"/>
  <c r="AQ633" i="1"/>
  <c r="AU633" i="1"/>
  <c r="AY633" i="1"/>
  <c r="D633" i="1"/>
  <c r="H633" i="1"/>
  <c r="L633" i="1"/>
  <c r="P633" i="1"/>
  <c r="T633" i="1"/>
  <c r="X633" i="1"/>
  <c r="AB633" i="1"/>
  <c r="AF633" i="1"/>
  <c r="AJ633" i="1"/>
  <c r="AN633" i="1"/>
  <c r="AR633" i="1"/>
  <c r="AV633" i="1"/>
  <c r="AZ633" i="1"/>
  <c r="E633" i="1"/>
  <c r="I633" i="1"/>
  <c r="M633" i="1"/>
  <c r="Q633" i="1"/>
  <c r="U633" i="1"/>
  <c r="Y633" i="1"/>
  <c r="AC633" i="1"/>
  <c r="AG633" i="1"/>
  <c r="AK633" i="1"/>
  <c r="AO633" i="1"/>
  <c r="AS633" i="1"/>
  <c r="AW633" i="1"/>
  <c r="C633" i="1"/>
  <c r="E634" i="1"/>
  <c r="I634" i="1"/>
  <c r="M634" i="1"/>
  <c r="Q634" i="1"/>
  <c r="U634" i="1"/>
  <c r="Y634" i="1"/>
  <c r="AC634" i="1"/>
  <c r="AG634" i="1"/>
  <c r="AK634" i="1"/>
  <c r="AO634" i="1"/>
  <c r="AS634" i="1"/>
  <c r="AW634" i="1"/>
  <c r="F634" i="1"/>
  <c r="J634" i="1"/>
  <c r="N634" i="1"/>
  <c r="R634" i="1"/>
  <c r="V634" i="1"/>
  <c r="Z634" i="1"/>
  <c r="AD634" i="1"/>
  <c r="AH634" i="1"/>
  <c r="AL634" i="1"/>
  <c r="AP634" i="1"/>
  <c r="AT634" i="1"/>
  <c r="AX634" i="1"/>
  <c r="G634" i="1"/>
  <c r="K634" i="1"/>
  <c r="O634" i="1"/>
  <c r="S634" i="1"/>
  <c r="W634" i="1"/>
  <c r="AA634" i="1"/>
  <c r="AE634" i="1"/>
  <c r="AI634" i="1"/>
  <c r="AM634" i="1"/>
  <c r="AQ634" i="1"/>
  <c r="AU634" i="1"/>
  <c r="AY634" i="1"/>
  <c r="D634" i="1"/>
  <c r="H634" i="1"/>
  <c r="L634" i="1"/>
  <c r="P634" i="1"/>
  <c r="T634" i="1"/>
  <c r="X634" i="1"/>
  <c r="AB634" i="1"/>
  <c r="AF634" i="1"/>
  <c r="AJ634" i="1"/>
  <c r="AN634" i="1"/>
  <c r="AR634" i="1"/>
  <c r="AV634" i="1"/>
  <c r="AZ634" i="1"/>
  <c r="C634" i="1"/>
  <c r="D635" i="1"/>
  <c r="H635" i="1"/>
  <c r="L635" i="1"/>
  <c r="P635" i="1"/>
  <c r="T635" i="1"/>
  <c r="X635" i="1"/>
  <c r="AB635" i="1"/>
  <c r="AF635" i="1"/>
  <c r="AJ635" i="1"/>
  <c r="AN635" i="1"/>
  <c r="AR635" i="1"/>
  <c r="AV635" i="1"/>
  <c r="AZ635" i="1"/>
  <c r="E635" i="1"/>
  <c r="I635" i="1"/>
  <c r="M635" i="1"/>
  <c r="Q635" i="1"/>
  <c r="U635" i="1"/>
  <c r="Y635" i="1"/>
  <c r="AC635" i="1"/>
  <c r="AG635" i="1"/>
  <c r="AK635" i="1"/>
  <c r="AO635" i="1"/>
  <c r="AS635" i="1"/>
  <c r="AW635" i="1"/>
  <c r="F635" i="1"/>
  <c r="J635" i="1"/>
  <c r="N635" i="1"/>
  <c r="R635" i="1"/>
  <c r="V635" i="1"/>
  <c r="Z635" i="1"/>
  <c r="AD635" i="1"/>
  <c r="AH635" i="1"/>
  <c r="AL635" i="1"/>
  <c r="AP635" i="1"/>
  <c r="AT635" i="1"/>
  <c r="AX635" i="1"/>
  <c r="G635" i="1"/>
  <c r="K635" i="1"/>
  <c r="O635" i="1"/>
  <c r="S635" i="1"/>
  <c r="W635" i="1"/>
  <c r="AA635" i="1"/>
  <c r="AE635" i="1"/>
  <c r="AI635" i="1"/>
  <c r="AM635" i="1"/>
  <c r="AQ635" i="1"/>
  <c r="AU635" i="1"/>
  <c r="AY635" i="1"/>
  <c r="C635" i="1"/>
  <c r="G636" i="1"/>
  <c r="K636" i="1"/>
  <c r="O636" i="1"/>
  <c r="S636" i="1"/>
  <c r="W636" i="1"/>
  <c r="AA636" i="1"/>
  <c r="AE636" i="1"/>
  <c r="AI636" i="1"/>
  <c r="AM636" i="1"/>
  <c r="AQ636" i="1"/>
  <c r="AU636" i="1"/>
  <c r="AY636" i="1"/>
  <c r="D636" i="1"/>
  <c r="H636" i="1"/>
  <c r="L636" i="1"/>
  <c r="P636" i="1"/>
  <c r="T636" i="1"/>
  <c r="X636" i="1"/>
  <c r="AB636" i="1"/>
  <c r="AF636" i="1"/>
  <c r="AJ636" i="1"/>
  <c r="AN636" i="1"/>
  <c r="AR636" i="1"/>
  <c r="AV636" i="1"/>
  <c r="AZ636" i="1"/>
  <c r="E636" i="1"/>
  <c r="I636" i="1"/>
  <c r="M636" i="1"/>
  <c r="Q636" i="1"/>
  <c r="U636" i="1"/>
  <c r="Y636" i="1"/>
  <c r="AC636" i="1"/>
  <c r="AG636" i="1"/>
  <c r="AK636" i="1"/>
  <c r="AO636" i="1"/>
  <c r="AS636" i="1"/>
  <c r="AW636" i="1"/>
  <c r="F636" i="1"/>
  <c r="J636" i="1"/>
  <c r="N636" i="1"/>
  <c r="R636" i="1"/>
  <c r="V636" i="1"/>
  <c r="Z636" i="1"/>
  <c r="AD636" i="1"/>
  <c r="AH636" i="1"/>
  <c r="AL636" i="1"/>
  <c r="AP636" i="1"/>
  <c r="AT636" i="1"/>
  <c r="AX636" i="1"/>
  <c r="C636" i="1"/>
  <c r="F637" i="1"/>
  <c r="J637" i="1"/>
  <c r="N637" i="1"/>
  <c r="R637" i="1"/>
  <c r="V637" i="1"/>
  <c r="Z637" i="1"/>
  <c r="AD637" i="1"/>
  <c r="AH637" i="1"/>
  <c r="AL637" i="1"/>
  <c r="AP637" i="1"/>
  <c r="AT637" i="1"/>
  <c r="AX637" i="1"/>
  <c r="G637" i="1"/>
  <c r="K637" i="1"/>
  <c r="O637" i="1"/>
  <c r="S637" i="1"/>
  <c r="W637" i="1"/>
  <c r="AA637" i="1"/>
  <c r="AE637" i="1"/>
  <c r="AI637" i="1"/>
  <c r="AM637" i="1"/>
  <c r="AQ637" i="1"/>
  <c r="AU637" i="1"/>
  <c r="AY637" i="1"/>
  <c r="D637" i="1"/>
  <c r="H637" i="1"/>
  <c r="L637" i="1"/>
  <c r="P637" i="1"/>
  <c r="T637" i="1"/>
  <c r="X637" i="1"/>
  <c r="AB637" i="1"/>
  <c r="AF637" i="1"/>
  <c r="AJ637" i="1"/>
  <c r="AN637" i="1"/>
  <c r="AR637" i="1"/>
  <c r="AV637" i="1"/>
  <c r="AZ637" i="1"/>
  <c r="E637" i="1"/>
  <c r="I637" i="1"/>
  <c r="M637" i="1"/>
  <c r="Q637" i="1"/>
  <c r="U637" i="1"/>
  <c r="Y637" i="1"/>
  <c r="AC637" i="1"/>
  <c r="AG637" i="1"/>
  <c r="AK637" i="1"/>
  <c r="AO637" i="1"/>
  <c r="AS637" i="1"/>
  <c r="AW637" i="1"/>
  <c r="C637" i="1"/>
  <c r="E638" i="1"/>
  <c r="I638" i="1"/>
  <c r="M638" i="1"/>
  <c r="Q638" i="1"/>
  <c r="U638" i="1"/>
  <c r="Y638" i="1"/>
  <c r="AC638" i="1"/>
  <c r="AG638" i="1"/>
  <c r="AK638" i="1"/>
  <c r="AO638" i="1"/>
  <c r="AS638" i="1"/>
  <c r="AW638" i="1"/>
  <c r="F638" i="1"/>
  <c r="J638" i="1"/>
  <c r="N638" i="1"/>
  <c r="R638" i="1"/>
  <c r="V638" i="1"/>
  <c r="Z638" i="1"/>
  <c r="AD638" i="1"/>
  <c r="AH638" i="1"/>
  <c r="AL638" i="1"/>
  <c r="AP638" i="1"/>
  <c r="AT638" i="1"/>
  <c r="AX638" i="1"/>
  <c r="G638" i="1"/>
  <c r="K638" i="1"/>
  <c r="O638" i="1"/>
  <c r="S638" i="1"/>
  <c r="W638" i="1"/>
  <c r="AA638" i="1"/>
  <c r="AE638" i="1"/>
  <c r="AI638" i="1"/>
  <c r="AM638" i="1"/>
  <c r="AQ638" i="1"/>
  <c r="AU638" i="1"/>
  <c r="AY638" i="1"/>
  <c r="D638" i="1"/>
  <c r="H638" i="1"/>
  <c r="L638" i="1"/>
  <c r="P638" i="1"/>
  <c r="T638" i="1"/>
  <c r="X638" i="1"/>
  <c r="AB638" i="1"/>
  <c r="AF638" i="1"/>
  <c r="AJ638" i="1"/>
  <c r="AN638" i="1"/>
  <c r="AR638" i="1"/>
  <c r="AV638" i="1"/>
  <c r="AZ638" i="1"/>
  <c r="C638" i="1"/>
  <c r="D639" i="1"/>
  <c r="H639" i="1"/>
  <c r="L639" i="1"/>
  <c r="P639" i="1"/>
  <c r="T639" i="1"/>
  <c r="X639" i="1"/>
  <c r="AB639" i="1"/>
  <c r="AF639" i="1"/>
  <c r="AJ639" i="1"/>
  <c r="AN639" i="1"/>
  <c r="AR639" i="1"/>
  <c r="AV639" i="1"/>
  <c r="AZ639" i="1"/>
  <c r="E639" i="1"/>
  <c r="I639" i="1"/>
  <c r="M639" i="1"/>
  <c r="Q639" i="1"/>
  <c r="U639" i="1"/>
  <c r="Y639" i="1"/>
  <c r="AC639" i="1"/>
  <c r="AG639" i="1"/>
  <c r="AK639" i="1"/>
  <c r="AO639" i="1"/>
  <c r="AS639" i="1"/>
  <c r="AW639" i="1"/>
  <c r="F639" i="1"/>
  <c r="J639" i="1"/>
  <c r="N639" i="1"/>
  <c r="R639" i="1"/>
  <c r="V639" i="1"/>
  <c r="Z639" i="1"/>
  <c r="AD639" i="1"/>
  <c r="AH639" i="1"/>
  <c r="AL639" i="1"/>
  <c r="AP639" i="1"/>
  <c r="AT639" i="1"/>
  <c r="AX639" i="1"/>
  <c r="G639" i="1"/>
  <c r="K639" i="1"/>
  <c r="O639" i="1"/>
  <c r="S639" i="1"/>
  <c r="W639" i="1"/>
  <c r="AA639" i="1"/>
  <c r="AE639" i="1"/>
  <c r="AI639" i="1"/>
  <c r="AM639" i="1"/>
  <c r="AQ639" i="1"/>
  <c r="AU639" i="1"/>
  <c r="AY639" i="1"/>
  <c r="C639" i="1"/>
  <c r="G640" i="1"/>
  <c r="K640" i="1"/>
  <c r="O640" i="1"/>
  <c r="S640" i="1"/>
  <c r="W640" i="1"/>
  <c r="AA640" i="1"/>
  <c r="AE640" i="1"/>
  <c r="AI640" i="1"/>
  <c r="AM640" i="1"/>
  <c r="AQ640" i="1"/>
  <c r="AU640" i="1"/>
  <c r="AY640" i="1"/>
  <c r="D640" i="1"/>
  <c r="H640" i="1"/>
  <c r="L640" i="1"/>
  <c r="P640" i="1"/>
  <c r="T640" i="1"/>
  <c r="X640" i="1"/>
  <c r="AB640" i="1"/>
  <c r="AF640" i="1"/>
  <c r="AJ640" i="1"/>
  <c r="AN640" i="1"/>
  <c r="AR640" i="1"/>
  <c r="AV640" i="1"/>
  <c r="AZ640" i="1"/>
  <c r="E640" i="1"/>
  <c r="I640" i="1"/>
  <c r="M640" i="1"/>
  <c r="Q640" i="1"/>
  <c r="U640" i="1"/>
  <c r="Y640" i="1"/>
  <c r="AC640" i="1"/>
  <c r="AG640" i="1"/>
  <c r="AK640" i="1"/>
  <c r="AO640" i="1"/>
  <c r="AS640" i="1"/>
  <c r="AW640" i="1"/>
  <c r="F640" i="1"/>
  <c r="J640" i="1"/>
  <c r="N640" i="1"/>
  <c r="R640" i="1"/>
  <c r="V640" i="1"/>
  <c r="Z640" i="1"/>
  <c r="AD640" i="1"/>
  <c r="AH640" i="1"/>
  <c r="AL640" i="1"/>
  <c r="AP640" i="1"/>
  <c r="AT640" i="1"/>
  <c r="AX640" i="1"/>
  <c r="C640" i="1"/>
  <c r="F641" i="1"/>
  <c r="J641" i="1"/>
  <c r="N641" i="1"/>
  <c r="R641" i="1"/>
  <c r="V641" i="1"/>
  <c r="Z641" i="1"/>
  <c r="AD641" i="1"/>
  <c r="AH641" i="1"/>
  <c r="AL641" i="1"/>
  <c r="AP641" i="1"/>
  <c r="AT641" i="1"/>
  <c r="AX641" i="1"/>
  <c r="G641" i="1"/>
  <c r="K641" i="1"/>
  <c r="O641" i="1"/>
  <c r="S641" i="1"/>
  <c r="W641" i="1"/>
  <c r="AA641" i="1"/>
  <c r="AE641" i="1"/>
  <c r="AI641" i="1"/>
  <c r="AM641" i="1"/>
  <c r="AQ641" i="1"/>
  <c r="AU641" i="1"/>
  <c r="AY641" i="1"/>
  <c r="D641" i="1"/>
  <c r="H641" i="1"/>
  <c r="L641" i="1"/>
  <c r="P641" i="1"/>
  <c r="T641" i="1"/>
  <c r="X641" i="1"/>
  <c r="AB641" i="1"/>
  <c r="AF641" i="1"/>
  <c r="AJ641" i="1"/>
  <c r="AN641" i="1"/>
  <c r="AR641" i="1"/>
  <c r="AV641" i="1"/>
  <c r="AZ641" i="1"/>
  <c r="E641" i="1"/>
  <c r="I641" i="1"/>
  <c r="M641" i="1"/>
  <c r="Q641" i="1"/>
  <c r="U641" i="1"/>
  <c r="Y641" i="1"/>
  <c r="AC641" i="1"/>
  <c r="AG641" i="1"/>
  <c r="AK641" i="1"/>
  <c r="AO641" i="1"/>
  <c r="AS641" i="1"/>
  <c r="AW641" i="1"/>
  <c r="C641" i="1"/>
  <c r="E642" i="1"/>
  <c r="I642" i="1"/>
  <c r="M642" i="1"/>
  <c r="Q642" i="1"/>
  <c r="U642" i="1"/>
  <c r="Y642" i="1"/>
  <c r="AC642" i="1"/>
  <c r="AG642" i="1"/>
  <c r="AK642" i="1"/>
  <c r="AO642" i="1"/>
  <c r="AS642" i="1"/>
  <c r="AW642" i="1"/>
  <c r="F642" i="1"/>
  <c r="J642" i="1"/>
  <c r="N642" i="1"/>
  <c r="R642" i="1"/>
  <c r="V642" i="1"/>
  <c r="Z642" i="1"/>
  <c r="AD642" i="1"/>
  <c r="AH642" i="1"/>
  <c r="AL642" i="1"/>
  <c r="AP642" i="1"/>
  <c r="AT642" i="1"/>
  <c r="AX642" i="1"/>
  <c r="G642" i="1"/>
  <c r="K642" i="1"/>
  <c r="O642" i="1"/>
  <c r="S642" i="1"/>
  <c r="W642" i="1"/>
  <c r="AA642" i="1"/>
  <c r="AE642" i="1"/>
  <c r="AI642" i="1"/>
  <c r="AM642" i="1"/>
  <c r="AQ642" i="1"/>
  <c r="AU642" i="1"/>
  <c r="AY642" i="1"/>
  <c r="D642" i="1"/>
  <c r="H642" i="1"/>
  <c r="L642" i="1"/>
  <c r="P642" i="1"/>
  <c r="T642" i="1"/>
  <c r="X642" i="1"/>
  <c r="AB642" i="1"/>
  <c r="AF642" i="1"/>
  <c r="AJ642" i="1"/>
  <c r="AN642" i="1"/>
  <c r="AR642" i="1"/>
  <c r="AV642" i="1"/>
  <c r="AZ642" i="1"/>
  <c r="C642" i="1"/>
  <c r="D643" i="1"/>
  <c r="H643" i="1"/>
  <c r="L643" i="1"/>
  <c r="P643" i="1"/>
  <c r="T643" i="1"/>
  <c r="X643" i="1"/>
  <c r="AB643" i="1"/>
  <c r="AF643" i="1"/>
  <c r="AJ643" i="1"/>
  <c r="AN643" i="1"/>
  <c r="AR643" i="1"/>
  <c r="AV643" i="1"/>
  <c r="AZ643" i="1"/>
  <c r="E643" i="1"/>
  <c r="I643" i="1"/>
  <c r="M643" i="1"/>
  <c r="Q643" i="1"/>
  <c r="U643" i="1"/>
  <c r="Y643" i="1"/>
  <c r="AC643" i="1"/>
  <c r="AG643" i="1"/>
  <c r="AK643" i="1"/>
  <c r="AO643" i="1"/>
  <c r="AS643" i="1"/>
  <c r="AW643" i="1"/>
  <c r="F643" i="1"/>
  <c r="J643" i="1"/>
  <c r="N643" i="1"/>
  <c r="R643" i="1"/>
  <c r="V643" i="1"/>
  <c r="Z643" i="1"/>
  <c r="AD643" i="1"/>
  <c r="AH643" i="1"/>
  <c r="AL643" i="1"/>
  <c r="AP643" i="1"/>
  <c r="AT643" i="1"/>
  <c r="AX643" i="1"/>
  <c r="G643" i="1"/>
  <c r="K643" i="1"/>
  <c r="O643" i="1"/>
  <c r="S643" i="1"/>
  <c r="W643" i="1"/>
  <c r="AA643" i="1"/>
  <c r="AE643" i="1"/>
  <c r="AI643" i="1"/>
  <c r="AM643" i="1"/>
  <c r="AQ643" i="1"/>
  <c r="AU643" i="1"/>
  <c r="AY643" i="1"/>
  <c r="C643" i="1"/>
  <c r="G644" i="1"/>
  <c r="K644" i="1"/>
  <c r="O644" i="1"/>
  <c r="S644" i="1"/>
  <c r="W644" i="1"/>
  <c r="AA644" i="1"/>
  <c r="AE644" i="1"/>
  <c r="AI644" i="1"/>
  <c r="AM644" i="1"/>
  <c r="AQ644" i="1"/>
  <c r="AU644" i="1"/>
  <c r="AY644" i="1"/>
  <c r="D644" i="1"/>
  <c r="H644" i="1"/>
  <c r="L644" i="1"/>
  <c r="P644" i="1"/>
  <c r="T644" i="1"/>
  <c r="X644" i="1"/>
  <c r="AB644" i="1"/>
  <c r="AF644" i="1"/>
  <c r="AJ644" i="1"/>
  <c r="AN644" i="1"/>
  <c r="AR644" i="1"/>
  <c r="AV644" i="1"/>
  <c r="AZ644" i="1"/>
  <c r="E644" i="1"/>
  <c r="I644" i="1"/>
  <c r="M644" i="1"/>
  <c r="Q644" i="1"/>
  <c r="U644" i="1"/>
  <c r="Y644" i="1"/>
  <c r="AC644" i="1"/>
  <c r="AG644" i="1"/>
  <c r="AK644" i="1"/>
  <c r="F644" i="1"/>
  <c r="J644" i="1"/>
  <c r="N644" i="1"/>
  <c r="R644" i="1"/>
  <c r="V644" i="1"/>
  <c r="Z644" i="1"/>
  <c r="AD644" i="1"/>
  <c r="AH644" i="1"/>
  <c r="AL644" i="1"/>
  <c r="AP644" i="1"/>
  <c r="AT644" i="1"/>
  <c r="AX644" i="1"/>
  <c r="AO644" i="1"/>
  <c r="AS644" i="1"/>
  <c r="AW644" i="1"/>
  <c r="C644" i="1"/>
  <c r="F645" i="1"/>
  <c r="J645" i="1"/>
  <c r="N645" i="1"/>
  <c r="R645" i="1"/>
  <c r="V645" i="1"/>
  <c r="Z645" i="1"/>
  <c r="AD645" i="1"/>
  <c r="AH645" i="1"/>
  <c r="AL645" i="1"/>
  <c r="AP645" i="1"/>
  <c r="AT645" i="1"/>
  <c r="AX645" i="1"/>
  <c r="G645" i="1"/>
  <c r="K645" i="1"/>
  <c r="O645" i="1"/>
  <c r="S645" i="1"/>
  <c r="W645" i="1"/>
  <c r="AA645" i="1"/>
  <c r="AE645" i="1"/>
  <c r="AI645" i="1"/>
  <c r="AM645" i="1"/>
  <c r="AQ645" i="1"/>
  <c r="AU645" i="1"/>
  <c r="AY645" i="1"/>
  <c r="E645" i="1"/>
  <c r="I645" i="1"/>
  <c r="M645" i="1"/>
  <c r="Q645" i="1"/>
  <c r="U645" i="1"/>
  <c r="Y645" i="1"/>
  <c r="AC645" i="1"/>
  <c r="AG645" i="1"/>
  <c r="AK645" i="1"/>
  <c r="AO645" i="1"/>
  <c r="AS645" i="1"/>
  <c r="AW645" i="1"/>
  <c r="D645" i="1"/>
  <c r="T645" i="1"/>
  <c r="AJ645" i="1"/>
  <c r="AZ645" i="1"/>
  <c r="H645" i="1"/>
  <c r="X645" i="1"/>
  <c r="AN645" i="1"/>
  <c r="L645" i="1"/>
  <c r="AB645" i="1"/>
  <c r="AR645" i="1"/>
  <c r="P645" i="1"/>
  <c r="AF645" i="1"/>
  <c r="AV645" i="1"/>
  <c r="C645" i="1"/>
  <c r="E646" i="1"/>
  <c r="I646" i="1"/>
  <c r="M646" i="1"/>
  <c r="Q646" i="1"/>
  <c r="U646" i="1"/>
  <c r="Y646" i="1"/>
  <c r="AC646" i="1"/>
  <c r="AG646" i="1"/>
  <c r="AK646" i="1"/>
  <c r="AO646" i="1"/>
  <c r="AS646" i="1"/>
  <c r="AW646" i="1"/>
  <c r="F646" i="1"/>
  <c r="J646" i="1"/>
  <c r="N646" i="1"/>
  <c r="R646" i="1"/>
  <c r="V646" i="1"/>
  <c r="Z646" i="1"/>
  <c r="AD646" i="1"/>
  <c r="AH646" i="1"/>
  <c r="AL646" i="1"/>
  <c r="AP646" i="1"/>
  <c r="AT646" i="1"/>
  <c r="AX646" i="1"/>
  <c r="D646" i="1"/>
  <c r="H646" i="1"/>
  <c r="L646" i="1"/>
  <c r="P646" i="1"/>
  <c r="T646" i="1"/>
  <c r="X646" i="1"/>
  <c r="AB646" i="1"/>
  <c r="AF646" i="1"/>
  <c r="AJ646" i="1"/>
  <c r="AN646" i="1"/>
  <c r="AR646" i="1"/>
  <c r="AV646" i="1"/>
  <c r="AZ646" i="1"/>
  <c r="O646" i="1"/>
  <c r="AE646" i="1"/>
  <c r="AU646" i="1"/>
  <c r="S646" i="1"/>
  <c r="AI646" i="1"/>
  <c r="AY646" i="1"/>
  <c r="G646" i="1"/>
  <c r="W646" i="1"/>
  <c r="AM646" i="1"/>
  <c r="K646" i="1"/>
  <c r="AA646" i="1"/>
  <c r="AQ646" i="1"/>
  <c r="C646" i="1"/>
  <c r="D647" i="1"/>
  <c r="H647" i="1"/>
  <c r="L647" i="1"/>
  <c r="P647" i="1"/>
  <c r="T647" i="1"/>
  <c r="X647" i="1"/>
  <c r="AB647" i="1"/>
  <c r="AF647" i="1"/>
  <c r="AJ647" i="1"/>
  <c r="AN647" i="1"/>
  <c r="AR647" i="1"/>
  <c r="AV647" i="1"/>
  <c r="AZ647" i="1"/>
  <c r="E647" i="1"/>
  <c r="I647" i="1"/>
  <c r="M647" i="1"/>
  <c r="Q647" i="1"/>
  <c r="U647" i="1"/>
  <c r="Y647" i="1"/>
  <c r="AC647" i="1"/>
  <c r="AG647" i="1"/>
  <c r="AK647" i="1"/>
  <c r="AO647" i="1"/>
  <c r="AS647" i="1"/>
  <c r="AW647" i="1"/>
  <c r="G647" i="1"/>
  <c r="K647" i="1"/>
  <c r="J647" i="1"/>
  <c r="S647" i="1"/>
  <c r="AA647" i="1"/>
  <c r="AI647" i="1"/>
  <c r="AQ647" i="1"/>
  <c r="AY647" i="1"/>
  <c r="N647" i="1"/>
  <c r="V647" i="1"/>
  <c r="AD647" i="1"/>
  <c r="AL647" i="1"/>
  <c r="AT647" i="1"/>
  <c r="O647" i="1"/>
  <c r="W647" i="1"/>
  <c r="AE647" i="1"/>
  <c r="AM647" i="1"/>
  <c r="AU647" i="1"/>
  <c r="F647" i="1"/>
  <c r="R647" i="1"/>
  <c r="Z647" i="1"/>
  <c r="AH647" i="1"/>
  <c r="AP647" i="1"/>
  <c r="AX647" i="1"/>
  <c r="C647" i="1"/>
  <c r="G648" i="1"/>
  <c r="K648" i="1"/>
  <c r="O648" i="1"/>
  <c r="S648" i="1"/>
  <c r="W648" i="1"/>
  <c r="AA648" i="1"/>
  <c r="AE648" i="1"/>
  <c r="AI648" i="1"/>
  <c r="AM648" i="1"/>
  <c r="AQ648" i="1"/>
  <c r="AU648" i="1"/>
  <c r="AY648" i="1"/>
  <c r="D648" i="1"/>
  <c r="H648" i="1"/>
  <c r="L648" i="1"/>
  <c r="P648" i="1"/>
  <c r="T648" i="1"/>
  <c r="X648" i="1"/>
  <c r="AB648" i="1"/>
  <c r="AF648" i="1"/>
  <c r="AJ648" i="1"/>
  <c r="AN648" i="1"/>
  <c r="AR648" i="1"/>
  <c r="AV648" i="1"/>
  <c r="AZ648" i="1"/>
  <c r="F648" i="1"/>
  <c r="N648" i="1"/>
  <c r="V648" i="1"/>
  <c r="AD648" i="1"/>
  <c r="AL648" i="1"/>
  <c r="AT648" i="1"/>
  <c r="I648" i="1"/>
  <c r="Q648" i="1"/>
  <c r="Y648" i="1"/>
  <c r="AG648" i="1"/>
  <c r="AO648" i="1"/>
  <c r="AW648" i="1"/>
  <c r="J648" i="1"/>
  <c r="R648" i="1"/>
  <c r="Z648" i="1"/>
  <c r="AH648" i="1"/>
  <c r="AP648" i="1"/>
  <c r="AX648" i="1"/>
  <c r="E648" i="1"/>
  <c r="M648" i="1"/>
  <c r="U648" i="1"/>
  <c r="AC648" i="1"/>
  <c r="AK648" i="1"/>
  <c r="AS648" i="1"/>
  <c r="C648" i="1"/>
  <c r="F649" i="1"/>
  <c r="J649" i="1"/>
  <c r="N649" i="1"/>
  <c r="R649" i="1"/>
  <c r="V649" i="1"/>
  <c r="Z649" i="1"/>
  <c r="AD649" i="1"/>
  <c r="AH649" i="1"/>
  <c r="AL649" i="1"/>
  <c r="AP649" i="1"/>
  <c r="AT649" i="1"/>
  <c r="AX649" i="1"/>
  <c r="G649" i="1"/>
  <c r="K649" i="1"/>
  <c r="O649" i="1"/>
  <c r="S649" i="1"/>
  <c r="W649" i="1"/>
  <c r="AA649" i="1"/>
  <c r="AE649" i="1"/>
  <c r="AI649" i="1"/>
  <c r="AM649" i="1"/>
  <c r="AQ649" i="1"/>
  <c r="AU649" i="1"/>
  <c r="AY649" i="1"/>
  <c r="D649" i="1"/>
  <c r="H649" i="1"/>
  <c r="L649" i="1"/>
  <c r="P649" i="1"/>
  <c r="T649" i="1"/>
  <c r="X649" i="1"/>
  <c r="AB649" i="1"/>
  <c r="AF649" i="1"/>
  <c r="AJ649" i="1"/>
  <c r="AN649" i="1"/>
  <c r="AR649" i="1"/>
  <c r="AV649" i="1"/>
  <c r="AZ649" i="1"/>
  <c r="E649" i="1"/>
  <c r="I649" i="1"/>
  <c r="M649" i="1"/>
  <c r="Q649" i="1"/>
  <c r="U649" i="1"/>
  <c r="Y649" i="1"/>
  <c r="AC649" i="1"/>
  <c r="AG649" i="1"/>
  <c r="AK649" i="1"/>
  <c r="AO649" i="1"/>
  <c r="AS649" i="1"/>
  <c r="AW649" i="1"/>
  <c r="C649" i="1"/>
  <c r="E650" i="1"/>
  <c r="I650" i="1"/>
  <c r="M650" i="1"/>
  <c r="Q650" i="1"/>
  <c r="U650" i="1"/>
  <c r="Y650" i="1"/>
  <c r="AC650" i="1"/>
  <c r="AG650" i="1"/>
  <c r="AK650" i="1"/>
  <c r="AO650" i="1"/>
  <c r="AS650" i="1"/>
  <c r="AW650" i="1"/>
  <c r="F650" i="1"/>
  <c r="J650" i="1"/>
  <c r="N650" i="1"/>
  <c r="R650" i="1"/>
  <c r="V650" i="1"/>
  <c r="Z650" i="1"/>
  <c r="AD650" i="1"/>
  <c r="AH650" i="1"/>
  <c r="AL650" i="1"/>
  <c r="AP650" i="1"/>
  <c r="AT650" i="1"/>
  <c r="AX650" i="1"/>
  <c r="G650" i="1"/>
  <c r="K650" i="1"/>
  <c r="O650" i="1"/>
  <c r="S650" i="1"/>
  <c r="W650" i="1"/>
  <c r="AA650" i="1"/>
  <c r="AE650" i="1"/>
  <c r="AI650" i="1"/>
  <c r="AM650" i="1"/>
  <c r="AQ650" i="1"/>
  <c r="AU650" i="1"/>
  <c r="AY650" i="1"/>
  <c r="D650" i="1"/>
  <c r="H650" i="1"/>
  <c r="L650" i="1"/>
  <c r="P650" i="1"/>
  <c r="T650" i="1"/>
  <c r="X650" i="1"/>
  <c r="AB650" i="1"/>
  <c r="AF650" i="1"/>
  <c r="AJ650" i="1"/>
  <c r="AN650" i="1"/>
  <c r="AR650" i="1"/>
  <c r="AV650" i="1"/>
  <c r="AZ650" i="1"/>
  <c r="C650" i="1"/>
  <c r="D651" i="1"/>
  <c r="H651" i="1"/>
  <c r="L651" i="1"/>
  <c r="P651" i="1"/>
  <c r="T651" i="1"/>
  <c r="X651" i="1"/>
  <c r="AB651" i="1"/>
  <c r="AF651" i="1"/>
  <c r="AJ651" i="1"/>
  <c r="AN651" i="1"/>
  <c r="AR651" i="1"/>
  <c r="AV651" i="1"/>
  <c r="AZ651" i="1"/>
  <c r="E651" i="1"/>
  <c r="I651" i="1"/>
  <c r="M651" i="1"/>
  <c r="Q651" i="1"/>
  <c r="U651" i="1"/>
  <c r="Y651" i="1"/>
  <c r="AC651" i="1"/>
  <c r="AG651" i="1"/>
  <c r="AK651" i="1"/>
  <c r="AO651" i="1"/>
  <c r="AS651" i="1"/>
  <c r="AW651" i="1"/>
  <c r="F651" i="1"/>
  <c r="J651" i="1"/>
  <c r="N651" i="1"/>
  <c r="R651" i="1"/>
  <c r="V651" i="1"/>
  <c r="Z651" i="1"/>
  <c r="AD651" i="1"/>
  <c r="AH651" i="1"/>
  <c r="AL651" i="1"/>
  <c r="AP651" i="1"/>
  <c r="AT651" i="1"/>
  <c r="AX651" i="1"/>
  <c r="G651" i="1"/>
  <c r="K651" i="1"/>
  <c r="O651" i="1"/>
  <c r="S651" i="1"/>
  <c r="W651" i="1"/>
  <c r="AA651" i="1"/>
  <c r="AE651" i="1"/>
  <c r="AI651" i="1"/>
  <c r="AM651" i="1"/>
  <c r="AQ651" i="1"/>
  <c r="AU651" i="1"/>
  <c r="AY651" i="1"/>
  <c r="C651" i="1"/>
  <c r="G652" i="1"/>
  <c r="K652" i="1"/>
  <c r="O652" i="1"/>
  <c r="S652" i="1"/>
  <c r="W652" i="1"/>
  <c r="AA652" i="1"/>
  <c r="AE652" i="1"/>
  <c r="AI652" i="1"/>
  <c r="AM652" i="1"/>
  <c r="AQ652" i="1"/>
  <c r="AU652" i="1"/>
  <c r="AY652" i="1"/>
  <c r="D652" i="1"/>
  <c r="H652" i="1"/>
  <c r="L652" i="1"/>
  <c r="P652" i="1"/>
  <c r="T652" i="1"/>
  <c r="X652" i="1"/>
  <c r="AB652" i="1"/>
  <c r="AF652" i="1"/>
  <c r="AJ652" i="1"/>
  <c r="AN652" i="1"/>
  <c r="AR652" i="1"/>
  <c r="AV652" i="1"/>
  <c r="AZ652" i="1"/>
  <c r="E652" i="1"/>
  <c r="I652" i="1"/>
  <c r="M652" i="1"/>
  <c r="Q652" i="1"/>
  <c r="U652" i="1"/>
  <c r="Y652" i="1"/>
  <c r="AC652" i="1"/>
  <c r="AG652" i="1"/>
  <c r="AK652" i="1"/>
  <c r="AO652" i="1"/>
  <c r="AS652" i="1"/>
  <c r="AW652" i="1"/>
  <c r="F652" i="1"/>
  <c r="J652" i="1"/>
  <c r="N652" i="1"/>
  <c r="R652" i="1"/>
  <c r="V652" i="1"/>
  <c r="Z652" i="1"/>
  <c r="AD652" i="1"/>
  <c r="AH652" i="1"/>
  <c r="AL652" i="1"/>
  <c r="AP652" i="1"/>
  <c r="AT652" i="1"/>
  <c r="AX652" i="1"/>
  <c r="C652" i="1"/>
  <c r="F653" i="1"/>
  <c r="J653" i="1"/>
  <c r="N653" i="1"/>
  <c r="R653" i="1"/>
  <c r="V653" i="1"/>
  <c r="Z653" i="1"/>
  <c r="AD653" i="1"/>
  <c r="AH653" i="1"/>
  <c r="AL653" i="1"/>
  <c r="AP653" i="1"/>
  <c r="AT653" i="1"/>
  <c r="AX653" i="1"/>
  <c r="G653" i="1"/>
  <c r="K653" i="1"/>
  <c r="O653" i="1"/>
  <c r="S653" i="1"/>
  <c r="W653" i="1"/>
  <c r="AA653" i="1"/>
  <c r="AE653" i="1"/>
  <c r="AI653" i="1"/>
  <c r="AM653" i="1"/>
  <c r="AQ653" i="1"/>
  <c r="AU653" i="1"/>
  <c r="AY653" i="1"/>
  <c r="D653" i="1"/>
  <c r="H653" i="1"/>
  <c r="L653" i="1"/>
  <c r="P653" i="1"/>
  <c r="T653" i="1"/>
  <c r="X653" i="1"/>
  <c r="AB653" i="1"/>
  <c r="AF653" i="1"/>
  <c r="AJ653" i="1"/>
  <c r="AN653" i="1"/>
  <c r="AR653" i="1"/>
  <c r="AV653" i="1"/>
  <c r="AZ653" i="1"/>
  <c r="E653" i="1"/>
  <c r="I653" i="1"/>
  <c r="M653" i="1"/>
  <c r="Q653" i="1"/>
  <c r="U653" i="1"/>
  <c r="Y653" i="1"/>
  <c r="AC653" i="1"/>
  <c r="AG653" i="1"/>
  <c r="AK653" i="1"/>
  <c r="AO653" i="1"/>
  <c r="AS653" i="1"/>
  <c r="AW653" i="1"/>
  <c r="C653" i="1"/>
  <c r="E654" i="1"/>
  <c r="I654" i="1"/>
  <c r="M654" i="1"/>
  <c r="Q654" i="1"/>
  <c r="U654" i="1"/>
  <c r="Y654" i="1"/>
  <c r="AC654" i="1"/>
  <c r="AG654" i="1"/>
  <c r="AK654" i="1"/>
  <c r="AO654" i="1"/>
  <c r="AS654" i="1"/>
  <c r="AW654" i="1"/>
  <c r="F654" i="1"/>
  <c r="J654" i="1"/>
  <c r="N654" i="1"/>
  <c r="R654" i="1"/>
  <c r="V654" i="1"/>
  <c r="Z654" i="1"/>
  <c r="AD654" i="1"/>
  <c r="AH654" i="1"/>
  <c r="AL654" i="1"/>
  <c r="AP654" i="1"/>
  <c r="AT654" i="1"/>
  <c r="AX654" i="1"/>
  <c r="G654" i="1"/>
  <c r="K654" i="1"/>
  <c r="O654" i="1"/>
  <c r="S654" i="1"/>
  <c r="W654" i="1"/>
  <c r="AA654" i="1"/>
  <c r="AE654" i="1"/>
  <c r="AI654" i="1"/>
  <c r="AM654" i="1"/>
  <c r="AQ654" i="1"/>
  <c r="AU654" i="1"/>
  <c r="AY654" i="1"/>
  <c r="D654" i="1"/>
  <c r="H654" i="1"/>
  <c r="L654" i="1"/>
  <c r="P654" i="1"/>
  <c r="T654" i="1"/>
  <c r="X654" i="1"/>
  <c r="AB654" i="1"/>
  <c r="AF654" i="1"/>
  <c r="AJ654" i="1"/>
  <c r="AN654" i="1"/>
  <c r="AR654" i="1"/>
  <c r="AV654" i="1"/>
  <c r="AZ654" i="1"/>
  <c r="C654" i="1"/>
  <c r="D655" i="1"/>
  <c r="H655" i="1"/>
  <c r="L655" i="1"/>
  <c r="P655" i="1"/>
  <c r="T655" i="1"/>
  <c r="X655" i="1"/>
  <c r="AB655" i="1"/>
  <c r="AF655" i="1"/>
  <c r="AJ655" i="1"/>
  <c r="AN655" i="1"/>
  <c r="AR655" i="1"/>
  <c r="AV655" i="1"/>
  <c r="AZ655" i="1"/>
  <c r="E655" i="1"/>
  <c r="I655" i="1"/>
  <c r="M655" i="1"/>
  <c r="Q655" i="1"/>
  <c r="U655" i="1"/>
  <c r="Y655" i="1"/>
  <c r="AC655" i="1"/>
  <c r="AG655" i="1"/>
  <c r="AK655" i="1"/>
  <c r="AO655" i="1"/>
  <c r="AS655" i="1"/>
  <c r="AW655" i="1"/>
  <c r="F655" i="1"/>
  <c r="J655" i="1"/>
  <c r="N655" i="1"/>
  <c r="R655" i="1"/>
  <c r="V655" i="1"/>
  <c r="Z655" i="1"/>
  <c r="AD655" i="1"/>
  <c r="AH655" i="1"/>
  <c r="AL655" i="1"/>
  <c r="AP655" i="1"/>
  <c r="AT655" i="1"/>
  <c r="AX655" i="1"/>
  <c r="G655" i="1"/>
  <c r="K655" i="1"/>
  <c r="O655" i="1"/>
  <c r="S655" i="1"/>
  <c r="W655" i="1"/>
  <c r="AA655" i="1"/>
  <c r="AE655" i="1"/>
  <c r="AI655" i="1"/>
  <c r="AM655" i="1"/>
  <c r="AQ655" i="1"/>
  <c r="AU655" i="1"/>
  <c r="AY655" i="1"/>
  <c r="C655" i="1"/>
  <c r="G656" i="1"/>
  <c r="K656" i="1"/>
  <c r="O656" i="1"/>
  <c r="S656" i="1"/>
  <c r="W656" i="1"/>
  <c r="AA656" i="1"/>
  <c r="AE656" i="1"/>
  <c r="AI656" i="1"/>
  <c r="AM656" i="1"/>
  <c r="AQ656" i="1"/>
  <c r="AU656" i="1"/>
  <c r="AY656" i="1"/>
  <c r="D656" i="1"/>
  <c r="H656" i="1"/>
  <c r="L656" i="1"/>
  <c r="P656" i="1"/>
  <c r="T656" i="1"/>
  <c r="X656" i="1"/>
  <c r="AB656" i="1"/>
  <c r="AF656" i="1"/>
  <c r="AJ656" i="1"/>
  <c r="AN656" i="1"/>
  <c r="AR656" i="1"/>
  <c r="AV656" i="1"/>
  <c r="AZ656" i="1"/>
  <c r="E656" i="1"/>
  <c r="I656" i="1"/>
  <c r="M656" i="1"/>
  <c r="Q656" i="1"/>
  <c r="U656" i="1"/>
  <c r="Y656" i="1"/>
  <c r="AC656" i="1"/>
  <c r="AG656" i="1"/>
  <c r="AK656" i="1"/>
  <c r="AO656" i="1"/>
  <c r="AS656" i="1"/>
  <c r="AW656" i="1"/>
  <c r="F656" i="1"/>
  <c r="J656" i="1"/>
  <c r="N656" i="1"/>
  <c r="R656" i="1"/>
  <c r="V656" i="1"/>
  <c r="Z656" i="1"/>
  <c r="AD656" i="1"/>
  <c r="AH656" i="1"/>
  <c r="AL656" i="1"/>
  <c r="AP656" i="1"/>
  <c r="AT656" i="1"/>
  <c r="AX656" i="1"/>
  <c r="C656" i="1"/>
  <c r="F657" i="1"/>
  <c r="J657" i="1"/>
  <c r="N657" i="1"/>
  <c r="R657" i="1"/>
  <c r="V657" i="1"/>
  <c r="Z657" i="1"/>
  <c r="AD657" i="1"/>
  <c r="AH657" i="1"/>
  <c r="AL657" i="1"/>
  <c r="AP657" i="1"/>
  <c r="AT657" i="1"/>
  <c r="AX657" i="1"/>
  <c r="G657" i="1"/>
  <c r="K657" i="1"/>
  <c r="O657" i="1"/>
  <c r="S657" i="1"/>
  <c r="W657" i="1"/>
  <c r="AA657" i="1"/>
  <c r="AE657" i="1"/>
  <c r="AI657" i="1"/>
  <c r="AM657" i="1"/>
  <c r="AQ657" i="1"/>
  <c r="AU657" i="1"/>
  <c r="AY657" i="1"/>
  <c r="D657" i="1"/>
  <c r="H657" i="1"/>
  <c r="L657" i="1"/>
  <c r="P657" i="1"/>
  <c r="T657" i="1"/>
  <c r="X657" i="1"/>
  <c r="AB657" i="1"/>
  <c r="AF657" i="1"/>
  <c r="AJ657" i="1"/>
  <c r="AN657" i="1"/>
  <c r="AR657" i="1"/>
  <c r="AV657" i="1"/>
  <c r="AZ657" i="1"/>
  <c r="E657" i="1"/>
  <c r="I657" i="1"/>
  <c r="M657" i="1"/>
  <c r="Q657" i="1"/>
  <c r="U657" i="1"/>
  <c r="Y657" i="1"/>
  <c r="AC657" i="1"/>
  <c r="AG657" i="1"/>
  <c r="AK657" i="1"/>
  <c r="AO657" i="1"/>
  <c r="AS657" i="1"/>
  <c r="AW657" i="1"/>
  <c r="C657" i="1"/>
  <c r="E658" i="1"/>
  <c r="I658" i="1"/>
  <c r="M658" i="1"/>
  <c r="Q658" i="1"/>
  <c r="U658" i="1"/>
  <c r="Y658" i="1"/>
  <c r="AC658" i="1"/>
  <c r="AG658" i="1"/>
  <c r="AK658" i="1"/>
  <c r="AO658" i="1"/>
  <c r="AS658" i="1"/>
  <c r="AW658" i="1"/>
  <c r="F658" i="1"/>
  <c r="J658" i="1"/>
  <c r="N658" i="1"/>
  <c r="R658" i="1"/>
  <c r="V658" i="1"/>
  <c r="Z658" i="1"/>
  <c r="AD658" i="1"/>
  <c r="AH658" i="1"/>
  <c r="AL658" i="1"/>
  <c r="AP658" i="1"/>
  <c r="AT658" i="1"/>
  <c r="AX658" i="1"/>
  <c r="G658" i="1"/>
  <c r="K658" i="1"/>
  <c r="O658" i="1"/>
  <c r="S658" i="1"/>
  <c r="W658" i="1"/>
  <c r="AA658" i="1"/>
  <c r="AE658" i="1"/>
  <c r="AI658" i="1"/>
  <c r="AM658" i="1"/>
  <c r="AQ658" i="1"/>
  <c r="AU658" i="1"/>
  <c r="AY658" i="1"/>
  <c r="D658" i="1"/>
  <c r="H658" i="1"/>
  <c r="L658" i="1"/>
  <c r="P658" i="1"/>
  <c r="T658" i="1"/>
  <c r="X658" i="1"/>
  <c r="AB658" i="1"/>
  <c r="AF658" i="1"/>
  <c r="AJ658" i="1"/>
  <c r="AN658" i="1"/>
  <c r="AR658" i="1"/>
  <c r="AV658" i="1"/>
  <c r="AZ658" i="1"/>
  <c r="C658" i="1"/>
  <c r="D659" i="1"/>
  <c r="H659" i="1"/>
  <c r="L659" i="1"/>
  <c r="P659" i="1"/>
  <c r="T659" i="1"/>
  <c r="X659" i="1"/>
  <c r="AB659" i="1"/>
  <c r="AF659" i="1"/>
  <c r="AJ659" i="1"/>
  <c r="AN659" i="1"/>
  <c r="AR659" i="1"/>
  <c r="AV659" i="1"/>
  <c r="AZ659" i="1"/>
  <c r="E659" i="1"/>
  <c r="I659" i="1"/>
  <c r="M659" i="1"/>
  <c r="Q659" i="1"/>
  <c r="U659" i="1"/>
  <c r="Y659" i="1"/>
  <c r="AC659" i="1"/>
  <c r="AG659" i="1"/>
  <c r="AK659" i="1"/>
  <c r="AO659" i="1"/>
  <c r="AS659" i="1"/>
  <c r="AW659" i="1"/>
  <c r="F659" i="1"/>
  <c r="J659" i="1"/>
  <c r="N659" i="1"/>
  <c r="R659" i="1"/>
  <c r="V659" i="1"/>
  <c r="Z659" i="1"/>
  <c r="AD659" i="1"/>
  <c r="AH659" i="1"/>
  <c r="AL659" i="1"/>
  <c r="AP659" i="1"/>
  <c r="AT659" i="1"/>
  <c r="AX659" i="1"/>
  <c r="G659" i="1"/>
  <c r="K659" i="1"/>
  <c r="O659" i="1"/>
  <c r="S659" i="1"/>
  <c r="W659" i="1"/>
  <c r="AA659" i="1"/>
  <c r="AE659" i="1"/>
  <c r="AI659" i="1"/>
  <c r="AM659" i="1"/>
  <c r="AQ659" i="1"/>
  <c r="AU659" i="1"/>
  <c r="AY659" i="1"/>
  <c r="C659" i="1"/>
  <c r="G660" i="1"/>
  <c r="K660" i="1"/>
  <c r="O660" i="1"/>
  <c r="S660" i="1"/>
  <c r="W660" i="1"/>
  <c r="AA660" i="1"/>
  <c r="AE660" i="1"/>
  <c r="AI660" i="1"/>
  <c r="AM660" i="1"/>
  <c r="AQ660" i="1"/>
  <c r="AU660" i="1"/>
  <c r="AY660" i="1"/>
  <c r="D660" i="1"/>
  <c r="H660" i="1"/>
  <c r="L660" i="1"/>
  <c r="P660" i="1"/>
  <c r="T660" i="1"/>
  <c r="X660" i="1"/>
  <c r="AB660" i="1"/>
  <c r="AF660" i="1"/>
  <c r="AJ660" i="1"/>
  <c r="AN660" i="1"/>
  <c r="AR660" i="1"/>
  <c r="AV660" i="1"/>
  <c r="AZ660" i="1"/>
  <c r="E660" i="1"/>
  <c r="I660" i="1"/>
  <c r="M660" i="1"/>
  <c r="Q660" i="1"/>
  <c r="U660" i="1"/>
  <c r="Y660" i="1"/>
  <c r="AC660" i="1"/>
  <c r="AG660" i="1"/>
  <c r="AK660" i="1"/>
  <c r="AO660" i="1"/>
  <c r="AS660" i="1"/>
  <c r="AW660" i="1"/>
  <c r="F660" i="1"/>
  <c r="J660" i="1"/>
  <c r="N660" i="1"/>
  <c r="R660" i="1"/>
  <c r="V660" i="1"/>
  <c r="Z660" i="1"/>
  <c r="AD660" i="1"/>
  <c r="AH660" i="1"/>
  <c r="AL660" i="1"/>
  <c r="AP660" i="1"/>
  <c r="AT660" i="1"/>
  <c r="AX660" i="1"/>
  <c r="C660" i="1"/>
  <c r="F661" i="1"/>
  <c r="J661" i="1"/>
  <c r="N661" i="1"/>
  <c r="R661" i="1"/>
  <c r="V661" i="1"/>
  <c r="Z661" i="1"/>
  <c r="AD661" i="1"/>
  <c r="AH661" i="1"/>
  <c r="AL661" i="1"/>
  <c r="AP661" i="1"/>
  <c r="AT661" i="1"/>
  <c r="AX661" i="1"/>
  <c r="G661" i="1"/>
  <c r="K661" i="1"/>
  <c r="O661" i="1"/>
  <c r="S661" i="1"/>
  <c r="W661" i="1"/>
  <c r="AA661" i="1"/>
  <c r="AE661" i="1"/>
  <c r="AI661" i="1"/>
  <c r="AM661" i="1"/>
  <c r="AQ661" i="1"/>
  <c r="AU661" i="1"/>
  <c r="AY661" i="1"/>
  <c r="D661" i="1"/>
  <c r="H661" i="1"/>
  <c r="L661" i="1"/>
  <c r="P661" i="1"/>
  <c r="T661" i="1"/>
  <c r="X661" i="1"/>
  <c r="AB661" i="1"/>
  <c r="AF661" i="1"/>
  <c r="AJ661" i="1"/>
  <c r="AN661" i="1"/>
  <c r="AR661" i="1"/>
  <c r="AV661" i="1"/>
  <c r="AZ661" i="1"/>
  <c r="E661" i="1"/>
  <c r="I661" i="1"/>
  <c r="M661" i="1"/>
  <c r="Q661" i="1"/>
  <c r="U661" i="1"/>
  <c r="Y661" i="1"/>
  <c r="AC661" i="1"/>
  <c r="AG661" i="1"/>
  <c r="AK661" i="1"/>
  <c r="AO661" i="1"/>
  <c r="AS661" i="1"/>
  <c r="AW661" i="1"/>
  <c r="C661" i="1"/>
  <c r="E662" i="1"/>
  <c r="I662" i="1"/>
  <c r="M662" i="1"/>
  <c r="Q662" i="1"/>
  <c r="U662" i="1"/>
  <c r="Y662" i="1"/>
  <c r="AC662" i="1"/>
  <c r="AG662" i="1"/>
  <c r="AK662" i="1"/>
  <c r="AO662" i="1"/>
  <c r="AS662" i="1"/>
  <c r="AW662" i="1"/>
  <c r="F662" i="1"/>
  <c r="J662" i="1"/>
  <c r="N662" i="1"/>
  <c r="R662" i="1"/>
  <c r="V662" i="1"/>
  <c r="Z662" i="1"/>
  <c r="AD662" i="1"/>
  <c r="AH662" i="1"/>
  <c r="AL662" i="1"/>
  <c r="AP662" i="1"/>
  <c r="AT662" i="1"/>
  <c r="AX662" i="1"/>
  <c r="G662" i="1"/>
  <c r="K662" i="1"/>
  <c r="O662" i="1"/>
  <c r="S662" i="1"/>
  <c r="W662" i="1"/>
  <c r="AA662" i="1"/>
  <c r="AE662" i="1"/>
  <c r="AI662" i="1"/>
  <c r="AM662" i="1"/>
  <c r="AQ662" i="1"/>
  <c r="AU662" i="1"/>
  <c r="AY662" i="1"/>
  <c r="D662" i="1"/>
  <c r="H662" i="1"/>
  <c r="L662" i="1"/>
  <c r="P662" i="1"/>
  <c r="T662" i="1"/>
  <c r="X662" i="1"/>
  <c r="AB662" i="1"/>
  <c r="AF662" i="1"/>
  <c r="AJ662" i="1"/>
  <c r="AN662" i="1"/>
  <c r="AR662" i="1"/>
  <c r="AV662" i="1"/>
  <c r="AZ662" i="1"/>
  <c r="C662" i="1"/>
  <c r="D663" i="1"/>
  <c r="H663" i="1"/>
  <c r="L663" i="1"/>
  <c r="P663" i="1"/>
  <c r="T663" i="1"/>
  <c r="X663" i="1"/>
  <c r="AB663" i="1"/>
  <c r="AF663" i="1"/>
  <c r="AJ663" i="1"/>
  <c r="AN663" i="1"/>
  <c r="AR663" i="1"/>
  <c r="AV663" i="1"/>
  <c r="AZ663" i="1"/>
  <c r="E663" i="1"/>
  <c r="I663" i="1"/>
  <c r="M663" i="1"/>
  <c r="Q663" i="1"/>
  <c r="U663" i="1"/>
  <c r="Y663" i="1"/>
  <c r="AC663" i="1"/>
  <c r="AG663" i="1"/>
  <c r="AK663" i="1"/>
  <c r="AO663" i="1"/>
  <c r="AS663" i="1"/>
  <c r="AW663" i="1"/>
  <c r="F663" i="1"/>
  <c r="J663" i="1"/>
  <c r="N663" i="1"/>
  <c r="R663" i="1"/>
  <c r="V663" i="1"/>
  <c r="Z663" i="1"/>
  <c r="AD663" i="1"/>
  <c r="AH663" i="1"/>
  <c r="AL663" i="1"/>
  <c r="AP663" i="1"/>
  <c r="AT663" i="1"/>
  <c r="AX663" i="1"/>
  <c r="G663" i="1"/>
  <c r="K663" i="1"/>
  <c r="O663" i="1"/>
  <c r="S663" i="1"/>
  <c r="W663" i="1"/>
  <c r="AA663" i="1"/>
  <c r="AE663" i="1"/>
  <c r="AI663" i="1"/>
  <c r="AM663" i="1"/>
  <c r="AQ663" i="1"/>
  <c r="AU663" i="1"/>
  <c r="AY663" i="1"/>
  <c r="C663" i="1"/>
  <c r="G664" i="1"/>
  <c r="K664" i="1"/>
  <c r="O664" i="1"/>
  <c r="S664" i="1"/>
  <c r="W664" i="1"/>
  <c r="AA664" i="1"/>
  <c r="AE664" i="1"/>
  <c r="AI664" i="1"/>
  <c r="AM664" i="1"/>
  <c r="AQ664" i="1"/>
  <c r="AU664" i="1"/>
  <c r="AY664" i="1"/>
  <c r="D664" i="1"/>
  <c r="H664" i="1"/>
  <c r="L664" i="1"/>
  <c r="P664" i="1"/>
  <c r="T664" i="1"/>
  <c r="X664" i="1"/>
  <c r="AB664" i="1"/>
  <c r="AF664" i="1"/>
  <c r="AJ664" i="1"/>
  <c r="AN664" i="1"/>
  <c r="AR664" i="1"/>
  <c r="AV664" i="1"/>
  <c r="AZ664" i="1"/>
  <c r="E664" i="1"/>
  <c r="I664" i="1"/>
  <c r="M664" i="1"/>
  <c r="Q664" i="1"/>
  <c r="U664" i="1"/>
  <c r="Y664" i="1"/>
  <c r="AC664" i="1"/>
  <c r="AG664" i="1"/>
  <c r="AK664" i="1"/>
  <c r="AO664" i="1"/>
  <c r="AS664" i="1"/>
  <c r="AW664" i="1"/>
  <c r="F664" i="1"/>
  <c r="J664" i="1"/>
  <c r="N664" i="1"/>
  <c r="R664" i="1"/>
  <c r="V664" i="1"/>
  <c r="Z664" i="1"/>
  <c r="AD664" i="1"/>
  <c r="AH664" i="1"/>
  <c r="AL664" i="1"/>
  <c r="AP664" i="1"/>
  <c r="AT664" i="1"/>
  <c r="AX664" i="1"/>
  <c r="C664" i="1"/>
  <c r="F665" i="1"/>
  <c r="J665" i="1"/>
  <c r="N665" i="1"/>
  <c r="R665" i="1"/>
  <c r="V665" i="1"/>
  <c r="Z665" i="1"/>
  <c r="AD665" i="1"/>
  <c r="AH665" i="1"/>
  <c r="AL665" i="1"/>
  <c r="AP665" i="1"/>
  <c r="AT665" i="1"/>
  <c r="AX665" i="1"/>
  <c r="G665" i="1"/>
  <c r="K665" i="1"/>
  <c r="O665" i="1"/>
  <c r="S665" i="1"/>
  <c r="W665" i="1"/>
  <c r="AA665" i="1"/>
  <c r="AE665" i="1"/>
  <c r="AI665" i="1"/>
  <c r="AM665" i="1"/>
  <c r="AQ665" i="1"/>
  <c r="AU665" i="1"/>
  <c r="AY665" i="1"/>
  <c r="D665" i="1"/>
  <c r="H665" i="1"/>
  <c r="L665" i="1"/>
  <c r="P665" i="1"/>
  <c r="T665" i="1"/>
  <c r="X665" i="1"/>
  <c r="AB665" i="1"/>
  <c r="AF665" i="1"/>
  <c r="AJ665" i="1"/>
  <c r="AN665" i="1"/>
  <c r="AR665" i="1"/>
  <c r="AV665" i="1"/>
  <c r="AZ665" i="1"/>
  <c r="E665" i="1"/>
  <c r="I665" i="1"/>
  <c r="M665" i="1"/>
  <c r="Q665" i="1"/>
  <c r="U665" i="1"/>
  <c r="Y665" i="1"/>
  <c r="AC665" i="1"/>
  <c r="AG665" i="1"/>
  <c r="AK665" i="1"/>
  <c r="AO665" i="1"/>
  <c r="AS665" i="1"/>
  <c r="AW665" i="1"/>
  <c r="C665" i="1"/>
  <c r="E666" i="1"/>
  <c r="I666" i="1"/>
  <c r="M666" i="1"/>
  <c r="Q666" i="1"/>
  <c r="U666" i="1"/>
  <c r="Y666" i="1"/>
  <c r="AC666" i="1"/>
  <c r="AG666" i="1"/>
  <c r="AK666" i="1"/>
  <c r="AO666" i="1"/>
  <c r="AS666" i="1"/>
  <c r="AW666" i="1"/>
  <c r="F666" i="1"/>
  <c r="J666" i="1"/>
  <c r="N666" i="1"/>
  <c r="R666" i="1"/>
  <c r="V666" i="1"/>
  <c r="Z666" i="1"/>
  <c r="AD666" i="1"/>
  <c r="AH666" i="1"/>
  <c r="AL666" i="1"/>
  <c r="AP666" i="1"/>
  <c r="AT666" i="1"/>
  <c r="AX666" i="1"/>
  <c r="G666" i="1"/>
  <c r="K666" i="1"/>
  <c r="O666" i="1"/>
  <c r="S666" i="1"/>
  <c r="W666" i="1"/>
  <c r="AA666" i="1"/>
  <c r="AE666" i="1"/>
  <c r="AI666" i="1"/>
  <c r="AM666" i="1"/>
  <c r="AQ666" i="1"/>
  <c r="AU666" i="1"/>
  <c r="AY666" i="1"/>
  <c r="D666" i="1"/>
  <c r="H666" i="1"/>
  <c r="L666" i="1"/>
  <c r="P666" i="1"/>
  <c r="T666" i="1"/>
  <c r="X666" i="1"/>
  <c r="AB666" i="1"/>
  <c r="AF666" i="1"/>
  <c r="AJ666" i="1"/>
  <c r="AN666" i="1"/>
  <c r="AR666" i="1"/>
  <c r="AV666" i="1"/>
  <c r="AZ666" i="1"/>
  <c r="C666" i="1"/>
  <c r="D667" i="1"/>
  <c r="H667" i="1"/>
  <c r="L667" i="1"/>
  <c r="P667" i="1"/>
  <c r="T667" i="1"/>
  <c r="X667" i="1"/>
  <c r="AB667" i="1"/>
  <c r="AF667" i="1"/>
  <c r="AJ667" i="1"/>
  <c r="AN667" i="1"/>
  <c r="AR667" i="1"/>
  <c r="AV667" i="1"/>
  <c r="AZ667" i="1"/>
  <c r="E667" i="1"/>
  <c r="I667" i="1"/>
  <c r="M667" i="1"/>
  <c r="Q667" i="1"/>
  <c r="U667" i="1"/>
  <c r="Y667" i="1"/>
  <c r="AC667" i="1"/>
  <c r="AG667" i="1"/>
  <c r="AK667" i="1"/>
  <c r="AO667" i="1"/>
  <c r="AS667" i="1"/>
  <c r="AW667" i="1"/>
  <c r="F667" i="1"/>
  <c r="J667" i="1"/>
  <c r="N667" i="1"/>
  <c r="R667" i="1"/>
  <c r="V667" i="1"/>
  <c r="Z667" i="1"/>
  <c r="AD667" i="1"/>
  <c r="AH667" i="1"/>
  <c r="AL667" i="1"/>
  <c r="AP667" i="1"/>
  <c r="AT667" i="1"/>
  <c r="AX667" i="1"/>
  <c r="G667" i="1"/>
  <c r="K667" i="1"/>
  <c r="O667" i="1"/>
  <c r="S667" i="1"/>
  <c r="W667" i="1"/>
  <c r="AA667" i="1"/>
  <c r="AE667" i="1"/>
  <c r="AI667" i="1"/>
  <c r="AM667" i="1"/>
  <c r="AQ667" i="1"/>
  <c r="AU667" i="1"/>
  <c r="AY667" i="1"/>
  <c r="C667" i="1"/>
  <c r="G668" i="1"/>
  <c r="K668" i="1"/>
  <c r="O668" i="1"/>
  <c r="S668" i="1"/>
  <c r="W668" i="1"/>
  <c r="AA668" i="1"/>
  <c r="AE668" i="1"/>
  <c r="AI668" i="1"/>
  <c r="AM668" i="1"/>
  <c r="AQ668" i="1"/>
  <c r="AU668" i="1"/>
  <c r="AY668" i="1"/>
  <c r="D668" i="1"/>
  <c r="H668" i="1"/>
  <c r="L668" i="1"/>
  <c r="P668" i="1"/>
  <c r="T668" i="1"/>
  <c r="X668" i="1"/>
  <c r="AB668" i="1"/>
  <c r="AF668" i="1"/>
  <c r="AJ668" i="1"/>
  <c r="AN668" i="1"/>
  <c r="AR668" i="1"/>
  <c r="AV668" i="1"/>
  <c r="AZ668" i="1"/>
  <c r="E668" i="1"/>
  <c r="I668" i="1"/>
  <c r="M668" i="1"/>
  <c r="Q668" i="1"/>
  <c r="U668" i="1"/>
  <c r="Y668" i="1"/>
  <c r="AC668" i="1"/>
  <c r="AG668" i="1"/>
  <c r="AK668" i="1"/>
  <c r="AO668" i="1"/>
  <c r="AS668" i="1"/>
  <c r="AW668" i="1"/>
  <c r="F668" i="1"/>
  <c r="J668" i="1"/>
  <c r="N668" i="1"/>
  <c r="R668" i="1"/>
  <c r="V668" i="1"/>
  <c r="Z668" i="1"/>
  <c r="AD668" i="1"/>
  <c r="AH668" i="1"/>
  <c r="AL668" i="1"/>
  <c r="AP668" i="1"/>
  <c r="AT668" i="1"/>
  <c r="AX668" i="1"/>
  <c r="C668" i="1"/>
  <c r="F669" i="1"/>
  <c r="J669" i="1"/>
  <c r="N669" i="1"/>
  <c r="R669" i="1"/>
  <c r="V669" i="1"/>
  <c r="Z669" i="1"/>
  <c r="AD669" i="1"/>
  <c r="AH669" i="1"/>
  <c r="AL669" i="1"/>
  <c r="AP669" i="1"/>
  <c r="AT669" i="1"/>
  <c r="AX669" i="1"/>
  <c r="G669" i="1"/>
  <c r="K669" i="1"/>
  <c r="O669" i="1"/>
  <c r="S669" i="1"/>
  <c r="W669" i="1"/>
  <c r="AA669" i="1"/>
  <c r="AE669" i="1"/>
  <c r="AI669" i="1"/>
  <c r="AM669" i="1"/>
  <c r="AQ669" i="1"/>
  <c r="AU669" i="1"/>
  <c r="AY669" i="1"/>
  <c r="D669" i="1"/>
  <c r="H669" i="1"/>
  <c r="L669" i="1"/>
  <c r="P669" i="1"/>
  <c r="T669" i="1"/>
  <c r="X669" i="1"/>
  <c r="AB669" i="1"/>
  <c r="AF669" i="1"/>
  <c r="AJ669" i="1"/>
  <c r="AN669" i="1"/>
  <c r="AR669" i="1"/>
  <c r="AV669" i="1"/>
  <c r="AZ669" i="1"/>
  <c r="E669" i="1"/>
  <c r="I669" i="1"/>
  <c r="M669" i="1"/>
  <c r="Q669" i="1"/>
  <c r="U669" i="1"/>
  <c r="Y669" i="1"/>
  <c r="AC669" i="1"/>
  <c r="AG669" i="1"/>
  <c r="AK669" i="1"/>
  <c r="AO669" i="1"/>
  <c r="AS669" i="1"/>
  <c r="AW669" i="1"/>
  <c r="C669" i="1"/>
  <c r="E670" i="1"/>
  <c r="I670" i="1"/>
  <c r="M670" i="1"/>
  <c r="Q670" i="1"/>
  <c r="U670" i="1"/>
  <c r="Y670" i="1"/>
  <c r="AC670" i="1"/>
  <c r="AG670" i="1"/>
  <c r="AK670" i="1"/>
  <c r="AO670" i="1"/>
  <c r="AS670" i="1"/>
  <c r="AW670" i="1"/>
  <c r="F670" i="1"/>
  <c r="J670" i="1"/>
  <c r="N670" i="1"/>
  <c r="R670" i="1"/>
  <c r="V670" i="1"/>
  <c r="Z670" i="1"/>
  <c r="AD670" i="1"/>
  <c r="AH670" i="1"/>
  <c r="AL670" i="1"/>
  <c r="AP670" i="1"/>
  <c r="AT670" i="1"/>
  <c r="AX670" i="1"/>
  <c r="G670" i="1"/>
  <c r="K670" i="1"/>
  <c r="O670" i="1"/>
  <c r="S670" i="1"/>
  <c r="W670" i="1"/>
  <c r="AA670" i="1"/>
  <c r="AE670" i="1"/>
  <c r="AI670" i="1"/>
  <c r="AM670" i="1"/>
  <c r="AQ670" i="1"/>
  <c r="AU670" i="1"/>
  <c r="AY670" i="1"/>
  <c r="D670" i="1"/>
  <c r="H670" i="1"/>
  <c r="L670" i="1"/>
  <c r="P670" i="1"/>
  <c r="T670" i="1"/>
  <c r="X670" i="1"/>
  <c r="AB670" i="1"/>
  <c r="AF670" i="1"/>
  <c r="AJ670" i="1"/>
  <c r="AN670" i="1"/>
  <c r="AR670" i="1"/>
  <c r="AV670" i="1"/>
  <c r="AZ670" i="1"/>
  <c r="C670" i="1"/>
  <c r="D671" i="1"/>
  <c r="H671" i="1"/>
  <c r="L671" i="1"/>
  <c r="P671" i="1"/>
  <c r="T671" i="1"/>
  <c r="X671" i="1"/>
  <c r="AB671" i="1"/>
  <c r="AF671" i="1"/>
  <c r="AJ671" i="1"/>
  <c r="AN671" i="1"/>
  <c r="AR671" i="1"/>
  <c r="AV671" i="1"/>
  <c r="AZ671" i="1"/>
  <c r="E671" i="1"/>
  <c r="I671" i="1"/>
  <c r="M671" i="1"/>
  <c r="Q671" i="1"/>
  <c r="U671" i="1"/>
  <c r="Y671" i="1"/>
  <c r="AC671" i="1"/>
  <c r="AG671" i="1"/>
  <c r="AK671" i="1"/>
  <c r="AO671" i="1"/>
  <c r="AS671" i="1"/>
  <c r="AW671" i="1"/>
  <c r="F671" i="1"/>
  <c r="J671" i="1"/>
  <c r="N671" i="1"/>
  <c r="R671" i="1"/>
  <c r="V671" i="1"/>
  <c r="Z671" i="1"/>
  <c r="AD671" i="1"/>
  <c r="AH671" i="1"/>
  <c r="AL671" i="1"/>
  <c r="AP671" i="1"/>
  <c r="AT671" i="1"/>
  <c r="AX671" i="1"/>
  <c r="G671" i="1"/>
  <c r="K671" i="1"/>
  <c r="O671" i="1"/>
  <c r="S671" i="1"/>
  <c r="W671" i="1"/>
  <c r="AA671" i="1"/>
  <c r="AE671" i="1"/>
  <c r="AI671" i="1"/>
  <c r="AM671" i="1"/>
  <c r="AQ671" i="1"/>
  <c r="AU671" i="1"/>
  <c r="AY671" i="1"/>
  <c r="C671" i="1"/>
  <c r="G672" i="1"/>
  <c r="K672" i="1"/>
  <c r="O672" i="1"/>
  <c r="S672" i="1"/>
  <c r="W672" i="1"/>
  <c r="AA672" i="1"/>
  <c r="AE672" i="1"/>
  <c r="AI672" i="1"/>
  <c r="AM672" i="1"/>
  <c r="AQ672" i="1"/>
  <c r="AU672" i="1"/>
  <c r="AY672" i="1"/>
  <c r="D672" i="1"/>
  <c r="H672" i="1"/>
  <c r="L672" i="1"/>
  <c r="P672" i="1"/>
  <c r="T672" i="1"/>
  <c r="X672" i="1"/>
  <c r="AB672" i="1"/>
  <c r="AF672" i="1"/>
  <c r="AJ672" i="1"/>
  <c r="AN672" i="1"/>
  <c r="AR672" i="1"/>
  <c r="AV672" i="1"/>
  <c r="AZ672" i="1"/>
  <c r="E672" i="1"/>
  <c r="I672" i="1"/>
  <c r="M672" i="1"/>
  <c r="Q672" i="1"/>
  <c r="U672" i="1"/>
  <c r="Y672" i="1"/>
  <c r="AC672" i="1"/>
  <c r="AG672" i="1"/>
  <c r="AK672" i="1"/>
  <c r="AO672" i="1"/>
  <c r="AS672" i="1"/>
  <c r="AW672" i="1"/>
  <c r="F672" i="1"/>
  <c r="J672" i="1"/>
  <c r="N672" i="1"/>
  <c r="R672" i="1"/>
  <c r="V672" i="1"/>
  <c r="Z672" i="1"/>
  <c r="AD672" i="1"/>
  <c r="AH672" i="1"/>
  <c r="AL672" i="1"/>
  <c r="AP672" i="1"/>
  <c r="AT672" i="1"/>
  <c r="AX672" i="1"/>
  <c r="C672" i="1"/>
  <c r="F673" i="1"/>
  <c r="J673" i="1"/>
  <c r="N673" i="1"/>
  <c r="R673" i="1"/>
  <c r="V673" i="1"/>
  <c r="Z673" i="1"/>
  <c r="AD673" i="1"/>
  <c r="AH673" i="1"/>
  <c r="AL673" i="1"/>
  <c r="AP673" i="1"/>
  <c r="AT673" i="1"/>
  <c r="AX673" i="1"/>
  <c r="G673" i="1"/>
  <c r="K673" i="1"/>
  <c r="O673" i="1"/>
  <c r="S673" i="1"/>
  <c r="W673" i="1"/>
  <c r="AA673" i="1"/>
  <c r="AE673" i="1"/>
  <c r="AI673" i="1"/>
  <c r="AM673" i="1"/>
  <c r="AQ673" i="1"/>
  <c r="AU673" i="1"/>
  <c r="AY673" i="1"/>
  <c r="D673" i="1"/>
  <c r="H673" i="1"/>
  <c r="L673" i="1"/>
  <c r="P673" i="1"/>
  <c r="T673" i="1"/>
  <c r="X673" i="1"/>
  <c r="AB673" i="1"/>
  <c r="AF673" i="1"/>
  <c r="AJ673" i="1"/>
  <c r="AN673" i="1"/>
  <c r="AR673" i="1"/>
  <c r="AV673" i="1"/>
  <c r="AZ673" i="1"/>
  <c r="E673" i="1"/>
  <c r="I673" i="1"/>
  <c r="M673" i="1"/>
  <c r="Q673" i="1"/>
  <c r="U673" i="1"/>
  <c r="Y673" i="1"/>
  <c r="AC673" i="1"/>
  <c r="AG673" i="1"/>
  <c r="AK673" i="1"/>
  <c r="AO673" i="1"/>
  <c r="AS673" i="1"/>
  <c r="AW673" i="1"/>
  <c r="C673" i="1"/>
  <c r="E674" i="1"/>
  <c r="I674" i="1"/>
  <c r="M674" i="1"/>
  <c r="Q674" i="1"/>
  <c r="U674" i="1"/>
  <c r="Y674" i="1"/>
  <c r="AC674" i="1"/>
  <c r="AG674" i="1"/>
  <c r="AK674" i="1"/>
  <c r="AO674" i="1"/>
  <c r="AS674" i="1"/>
  <c r="AW674" i="1"/>
  <c r="F674" i="1"/>
  <c r="J674" i="1"/>
  <c r="N674" i="1"/>
  <c r="R674" i="1"/>
  <c r="V674" i="1"/>
  <c r="Z674" i="1"/>
  <c r="AD674" i="1"/>
  <c r="AH674" i="1"/>
  <c r="AL674" i="1"/>
  <c r="AP674" i="1"/>
  <c r="AT674" i="1"/>
  <c r="AX674" i="1"/>
  <c r="G674" i="1"/>
  <c r="K674" i="1"/>
  <c r="O674" i="1"/>
  <c r="S674" i="1"/>
  <c r="W674" i="1"/>
  <c r="AA674" i="1"/>
  <c r="AE674" i="1"/>
  <c r="AI674" i="1"/>
  <c r="AM674" i="1"/>
  <c r="AQ674" i="1"/>
  <c r="AU674" i="1"/>
  <c r="AY674" i="1"/>
  <c r="D674" i="1"/>
  <c r="H674" i="1"/>
  <c r="L674" i="1"/>
  <c r="P674" i="1"/>
  <c r="T674" i="1"/>
  <c r="X674" i="1"/>
  <c r="AB674" i="1"/>
  <c r="AF674" i="1"/>
  <c r="AJ674" i="1"/>
  <c r="AN674" i="1"/>
  <c r="AR674" i="1"/>
  <c r="AV674" i="1"/>
  <c r="AZ674" i="1"/>
  <c r="C674" i="1"/>
  <c r="D675" i="1"/>
  <c r="H675" i="1"/>
  <c r="L675" i="1"/>
  <c r="P675" i="1"/>
  <c r="T675" i="1"/>
  <c r="X675" i="1"/>
  <c r="AB675" i="1"/>
  <c r="AF675" i="1"/>
  <c r="AJ675" i="1"/>
  <c r="AN675" i="1"/>
  <c r="AR675" i="1"/>
  <c r="AV675" i="1"/>
  <c r="AZ675" i="1"/>
  <c r="E675" i="1"/>
  <c r="I675" i="1"/>
  <c r="M675" i="1"/>
  <c r="Q675" i="1"/>
  <c r="U675" i="1"/>
  <c r="Y675" i="1"/>
  <c r="AC675" i="1"/>
  <c r="AG675" i="1"/>
  <c r="AK675" i="1"/>
  <c r="AO675" i="1"/>
  <c r="AS675" i="1"/>
  <c r="AW675" i="1"/>
  <c r="F675" i="1"/>
  <c r="J675" i="1"/>
  <c r="N675" i="1"/>
  <c r="R675" i="1"/>
  <c r="V675" i="1"/>
  <c r="Z675" i="1"/>
  <c r="AD675" i="1"/>
  <c r="AH675" i="1"/>
  <c r="AL675" i="1"/>
  <c r="AP675" i="1"/>
  <c r="AT675" i="1"/>
  <c r="AX675" i="1"/>
  <c r="G675" i="1"/>
  <c r="K675" i="1"/>
  <c r="O675" i="1"/>
  <c r="S675" i="1"/>
  <c r="W675" i="1"/>
  <c r="AA675" i="1"/>
  <c r="AE675" i="1"/>
  <c r="AI675" i="1"/>
  <c r="AM675" i="1"/>
  <c r="AQ675" i="1"/>
  <c r="AU675" i="1"/>
  <c r="AY675" i="1"/>
  <c r="C675" i="1"/>
  <c r="G676" i="1"/>
  <c r="K676" i="1"/>
  <c r="O676" i="1"/>
  <c r="S676" i="1"/>
  <c r="W676" i="1"/>
  <c r="AA676" i="1"/>
  <c r="AE676" i="1"/>
  <c r="AI676" i="1"/>
  <c r="AM676" i="1"/>
  <c r="AQ676" i="1"/>
  <c r="AU676" i="1"/>
  <c r="AY676" i="1"/>
  <c r="D676" i="1"/>
  <c r="H676" i="1"/>
  <c r="L676" i="1"/>
  <c r="P676" i="1"/>
  <c r="T676" i="1"/>
  <c r="X676" i="1"/>
  <c r="AB676" i="1"/>
  <c r="AF676" i="1"/>
  <c r="AJ676" i="1"/>
  <c r="AN676" i="1"/>
  <c r="AR676" i="1"/>
  <c r="AV676" i="1"/>
  <c r="AZ676" i="1"/>
  <c r="E676" i="1"/>
  <c r="I676" i="1"/>
  <c r="M676" i="1"/>
  <c r="Q676" i="1"/>
  <c r="U676" i="1"/>
  <c r="Y676" i="1"/>
  <c r="AC676" i="1"/>
  <c r="AG676" i="1"/>
  <c r="AK676" i="1"/>
  <c r="AO676" i="1"/>
  <c r="AS676" i="1"/>
  <c r="AW676" i="1"/>
  <c r="F676" i="1"/>
  <c r="J676" i="1"/>
  <c r="N676" i="1"/>
  <c r="R676" i="1"/>
  <c r="V676" i="1"/>
  <c r="Z676" i="1"/>
  <c r="AD676" i="1"/>
  <c r="AH676" i="1"/>
  <c r="AL676" i="1"/>
  <c r="AP676" i="1"/>
  <c r="AT676" i="1"/>
  <c r="AX676" i="1"/>
  <c r="C676" i="1"/>
  <c r="F677" i="1"/>
  <c r="J677" i="1"/>
  <c r="N677" i="1"/>
  <c r="R677" i="1"/>
  <c r="V677" i="1"/>
  <c r="Z677" i="1"/>
  <c r="AD677" i="1"/>
  <c r="AH677" i="1"/>
  <c r="AL677" i="1"/>
  <c r="AP677" i="1"/>
  <c r="AT677" i="1"/>
  <c r="AX677" i="1"/>
  <c r="G677" i="1"/>
  <c r="K677" i="1"/>
  <c r="O677" i="1"/>
  <c r="S677" i="1"/>
  <c r="W677" i="1"/>
  <c r="AA677" i="1"/>
  <c r="AE677" i="1"/>
  <c r="AI677" i="1"/>
  <c r="AM677" i="1"/>
  <c r="AQ677" i="1"/>
  <c r="AU677" i="1"/>
  <c r="AY677" i="1"/>
  <c r="D677" i="1"/>
  <c r="H677" i="1"/>
  <c r="L677" i="1"/>
  <c r="P677" i="1"/>
  <c r="T677" i="1"/>
  <c r="X677" i="1"/>
  <c r="AB677" i="1"/>
  <c r="AF677" i="1"/>
  <c r="AJ677" i="1"/>
  <c r="AN677" i="1"/>
  <c r="AR677" i="1"/>
  <c r="AV677" i="1"/>
  <c r="AZ677" i="1"/>
  <c r="E677" i="1"/>
  <c r="I677" i="1"/>
  <c r="M677" i="1"/>
  <c r="Q677" i="1"/>
  <c r="U677" i="1"/>
  <c r="Y677" i="1"/>
  <c r="AC677" i="1"/>
  <c r="AG677" i="1"/>
  <c r="AK677" i="1"/>
  <c r="AO677" i="1"/>
  <c r="AS677" i="1"/>
  <c r="AW677" i="1"/>
  <c r="C677" i="1"/>
  <c r="E678" i="1"/>
  <c r="I678" i="1"/>
  <c r="M678" i="1"/>
  <c r="Q678" i="1"/>
  <c r="U678" i="1"/>
  <c r="Y678" i="1"/>
  <c r="AC678" i="1"/>
  <c r="AG678" i="1"/>
  <c r="AK678" i="1"/>
  <c r="AO678" i="1"/>
  <c r="AS678" i="1"/>
  <c r="AW678" i="1"/>
  <c r="F678" i="1"/>
  <c r="J678" i="1"/>
  <c r="N678" i="1"/>
  <c r="R678" i="1"/>
  <c r="V678" i="1"/>
  <c r="Z678" i="1"/>
  <c r="AD678" i="1"/>
  <c r="AH678" i="1"/>
  <c r="AL678" i="1"/>
  <c r="AP678" i="1"/>
  <c r="AT678" i="1"/>
  <c r="AX678" i="1"/>
  <c r="G678" i="1"/>
  <c r="K678" i="1"/>
  <c r="O678" i="1"/>
  <c r="S678" i="1"/>
  <c r="W678" i="1"/>
  <c r="AA678" i="1"/>
  <c r="AE678" i="1"/>
  <c r="AI678" i="1"/>
  <c r="AM678" i="1"/>
  <c r="AQ678" i="1"/>
  <c r="AU678" i="1"/>
  <c r="AY678" i="1"/>
  <c r="D678" i="1"/>
  <c r="H678" i="1"/>
  <c r="L678" i="1"/>
  <c r="P678" i="1"/>
  <c r="T678" i="1"/>
  <c r="X678" i="1"/>
  <c r="AB678" i="1"/>
  <c r="AF678" i="1"/>
  <c r="AJ678" i="1"/>
  <c r="AN678" i="1"/>
  <c r="AR678" i="1"/>
  <c r="AV678" i="1"/>
  <c r="AZ678" i="1"/>
  <c r="C678" i="1"/>
  <c r="D679" i="1"/>
  <c r="H679" i="1"/>
  <c r="L679" i="1"/>
  <c r="P679" i="1"/>
  <c r="T679" i="1"/>
  <c r="X679" i="1"/>
  <c r="AB679" i="1"/>
  <c r="AF679" i="1"/>
  <c r="AJ679" i="1"/>
  <c r="AN679" i="1"/>
  <c r="AR679" i="1"/>
  <c r="AV679" i="1"/>
  <c r="AZ679" i="1"/>
  <c r="E679" i="1"/>
  <c r="I679" i="1"/>
  <c r="M679" i="1"/>
  <c r="Q679" i="1"/>
  <c r="U679" i="1"/>
  <c r="Y679" i="1"/>
  <c r="AC679" i="1"/>
  <c r="AG679" i="1"/>
  <c r="AK679" i="1"/>
  <c r="AO679" i="1"/>
  <c r="AS679" i="1"/>
  <c r="AW679" i="1"/>
  <c r="F679" i="1"/>
  <c r="J679" i="1"/>
  <c r="N679" i="1"/>
  <c r="R679" i="1"/>
  <c r="V679" i="1"/>
  <c r="Z679" i="1"/>
  <c r="AD679" i="1"/>
  <c r="AH679" i="1"/>
  <c r="AL679" i="1"/>
  <c r="AP679" i="1"/>
  <c r="AT679" i="1"/>
  <c r="AX679" i="1"/>
  <c r="G679" i="1"/>
  <c r="K679" i="1"/>
  <c r="O679" i="1"/>
  <c r="S679" i="1"/>
  <c r="W679" i="1"/>
  <c r="AA679" i="1"/>
  <c r="AE679" i="1"/>
  <c r="AI679" i="1"/>
  <c r="AM679" i="1"/>
  <c r="AQ679" i="1"/>
  <c r="AU679" i="1"/>
  <c r="AY679" i="1"/>
  <c r="C679" i="1"/>
  <c r="G680" i="1"/>
  <c r="K680" i="1"/>
  <c r="O680" i="1"/>
  <c r="S680" i="1"/>
  <c r="W680" i="1"/>
  <c r="AA680" i="1"/>
  <c r="AE680" i="1"/>
  <c r="AI680" i="1"/>
  <c r="AM680" i="1"/>
  <c r="AQ680" i="1"/>
  <c r="AU680" i="1"/>
  <c r="AY680" i="1"/>
  <c r="D680" i="1"/>
  <c r="H680" i="1"/>
  <c r="L680" i="1"/>
  <c r="P680" i="1"/>
  <c r="T680" i="1"/>
  <c r="X680" i="1"/>
  <c r="AB680" i="1"/>
  <c r="AF680" i="1"/>
  <c r="AJ680" i="1"/>
  <c r="AN680" i="1"/>
  <c r="AR680" i="1"/>
  <c r="AV680" i="1"/>
  <c r="AZ680" i="1"/>
  <c r="E680" i="1"/>
  <c r="I680" i="1"/>
  <c r="M680" i="1"/>
  <c r="Q680" i="1"/>
  <c r="U680" i="1"/>
  <c r="Y680" i="1"/>
  <c r="AC680" i="1"/>
  <c r="AG680" i="1"/>
  <c r="AK680" i="1"/>
  <c r="AO680" i="1"/>
  <c r="AS680" i="1"/>
  <c r="AW680" i="1"/>
  <c r="F680" i="1"/>
  <c r="J680" i="1"/>
  <c r="N680" i="1"/>
  <c r="R680" i="1"/>
  <c r="V680" i="1"/>
  <c r="Z680" i="1"/>
  <c r="AD680" i="1"/>
  <c r="AH680" i="1"/>
  <c r="AL680" i="1"/>
  <c r="AP680" i="1"/>
  <c r="AT680" i="1"/>
  <c r="AX680" i="1"/>
  <c r="C680" i="1"/>
  <c r="F681" i="1"/>
  <c r="J681" i="1"/>
  <c r="N681" i="1"/>
  <c r="R681" i="1"/>
  <c r="V681" i="1"/>
  <c r="Z681" i="1"/>
  <c r="AD681" i="1"/>
  <c r="AH681" i="1"/>
  <c r="AL681" i="1"/>
  <c r="AP681" i="1"/>
  <c r="AT681" i="1"/>
  <c r="AX681" i="1"/>
  <c r="G681" i="1"/>
  <c r="K681" i="1"/>
  <c r="O681" i="1"/>
  <c r="S681" i="1"/>
  <c r="W681" i="1"/>
  <c r="AA681" i="1"/>
  <c r="AE681" i="1"/>
  <c r="AI681" i="1"/>
  <c r="AM681" i="1"/>
  <c r="AQ681" i="1"/>
  <c r="AU681" i="1"/>
  <c r="AY681" i="1"/>
  <c r="D681" i="1"/>
  <c r="H681" i="1"/>
  <c r="L681" i="1"/>
  <c r="P681" i="1"/>
  <c r="T681" i="1"/>
  <c r="X681" i="1"/>
  <c r="AB681" i="1"/>
  <c r="AF681" i="1"/>
  <c r="AJ681" i="1"/>
  <c r="AN681" i="1"/>
  <c r="AR681" i="1"/>
  <c r="AV681" i="1"/>
  <c r="AZ681" i="1"/>
  <c r="E681" i="1"/>
  <c r="I681" i="1"/>
  <c r="M681" i="1"/>
  <c r="Q681" i="1"/>
  <c r="U681" i="1"/>
  <c r="Y681" i="1"/>
  <c r="AC681" i="1"/>
  <c r="AG681" i="1"/>
  <c r="AK681" i="1"/>
  <c r="AO681" i="1"/>
  <c r="AS681" i="1"/>
  <c r="AW681" i="1"/>
  <c r="C681" i="1"/>
  <c r="E682" i="1"/>
  <c r="I682" i="1"/>
  <c r="M682" i="1"/>
  <c r="Q682" i="1"/>
  <c r="U682" i="1"/>
  <c r="Y682" i="1"/>
  <c r="AC682" i="1"/>
  <c r="AG682" i="1"/>
  <c r="AK682" i="1"/>
  <c r="AO682" i="1"/>
  <c r="AS682" i="1"/>
  <c r="AW682" i="1"/>
  <c r="F682" i="1"/>
  <c r="J682" i="1"/>
  <c r="N682" i="1"/>
  <c r="R682" i="1"/>
  <c r="V682" i="1"/>
  <c r="Z682" i="1"/>
  <c r="AD682" i="1"/>
  <c r="AH682" i="1"/>
  <c r="AL682" i="1"/>
  <c r="AP682" i="1"/>
  <c r="AT682" i="1"/>
  <c r="AX682" i="1"/>
  <c r="G682" i="1"/>
  <c r="K682" i="1"/>
  <c r="O682" i="1"/>
  <c r="S682" i="1"/>
  <c r="W682" i="1"/>
  <c r="AA682" i="1"/>
  <c r="AE682" i="1"/>
  <c r="AI682" i="1"/>
  <c r="AM682" i="1"/>
  <c r="AQ682" i="1"/>
  <c r="AU682" i="1"/>
  <c r="AY682" i="1"/>
  <c r="D682" i="1"/>
  <c r="H682" i="1"/>
  <c r="L682" i="1"/>
  <c r="P682" i="1"/>
  <c r="T682" i="1"/>
  <c r="X682" i="1"/>
  <c r="AB682" i="1"/>
  <c r="AF682" i="1"/>
  <c r="AJ682" i="1"/>
  <c r="AN682" i="1"/>
  <c r="AR682" i="1"/>
  <c r="AV682" i="1"/>
  <c r="AZ682" i="1"/>
  <c r="C682" i="1"/>
  <c r="D683" i="1"/>
  <c r="H683" i="1"/>
  <c r="L683" i="1"/>
  <c r="P683" i="1"/>
  <c r="T683" i="1"/>
  <c r="X683" i="1"/>
  <c r="AB683" i="1"/>
  <c r="AF683" i="1"/>
  <c r="AJ683" i="1"/>
  <c r="AN683" i="1"/>
  <c r="AR683" i="1"/>
  <c r="AV683" i="1"/>
  <c r="AZ683" i="1"/>
  <c r="E683" i="1"/>
  <c r="I683" i="1"/>
  <c r="M683" i="1"/>
  <c r="Q683" i="1"/>
  <c r="U683" i="1"/>
  <c r="Y683" i="1"/>
  <c r="AC683" i="1"/>
  <c r="AG683" i="1"/>
  <c r="AK683" i="1"/>
  <c r="AO683" i="1"/>
  <c r="AS683" i="1"/>
  <c r="AW683" i="1"/>
  <c r="F683" i="1"/>
  <c r="J683" i="1"/>
  <c r="N683" i="1"/>
  <c r="R683" i="1"/>
  <c r="V683" i="1"/>
  <c r="Z683" i="1"/>
  <c r="AD683" i="1"/>
  <c r="AH683" i="1"/>
  <c r="AL683" i="1"/>
  <c r="AP683" i="1"/>
  <c r="AT683" i="1"/>
  <c r="AX683" i="1"/>
  <c r="G683" i="1"/>
  <c r="K683" i="1"/>
  <c r="O683" i="1"/>
  <c r="S683" i="1"/>
  <c r="W683" i="1"/>
  <c r="AA683" i="1"/>
  <c r="AE683" i="1"/>
  <c r="AI683" i="1"/>
  <c r="AM683" i="1"/>
  <c r="AQ683" i="1"/>
  <c r="AU683" i="1"/>
  <c r="AY683" i="1"/>
  <c r="C683" i="1"/>
  <c r="G684" i="1"/>
  <c r="K684" i="1"/>
  <c r="O684" i="1"/>
  <c r="S684" i="1"/>
  <c r="W684" i="1"/>
  <c r="AA684" i="1"/>
  <c r="AE684" i="1"/>
  <c r="AI684" i="1"/>
  <c r="AM684" i="1"/>
  <c r="AQ684" i="1"/>
  <c r="AU684" i="1"/>
  <c r="AY684" i="1"/>
  <c r="D684" i="1"/>
  <c r="H684" i="1"/>
  <c r="L684" i="1"/>
  <c r="P684" i="1"/>
  <c r="T684" i="1"/>
  <c r="X684" i="1"/>
  <c r="AB684" i="1"/>
  <c r="AF684" i="1"/>
  <c r="AJ684" i="1"/>
  <c r="AN684" i="1"/>
  <c r="AR684" i="1"/>
  <c r="AV684" i="1"/>
  <c r="AZ684" i="1"/>
  <c r="E684" i="1"/>
  <c r="I684" i="1"/>
  <c r="M684" i="1"/>
  <c r="Q684" i="1"/>
  <c r="U684" i="1"/>
  <c r="Y684" i="1"/>
  <c r="AC684" i="1"/>
  <c r="AG684" i="1"/>
  <c r="AK684" i="1"/>
  <c r="AO684" i="1"/>
  <c r="AS684" i="1"/>
  <c r="AW684" i="1"/>
  <c r="F684" i="1"/>
  <c r="J684" i="1"/>
  <c r="N684" i="1"/>
  <c r="R684" i="1"/>
  <c r="V684" i="1"/>
  <c r="Z684" i="1"/>
  <c r="AD684" i="1"/>
  <c r="AH684" i="1"/>
  <c r="AL684" i="1"/>
  <c r="AP684" i="1"/>
  <c r="AT684" i="1"/>
  <c r="AX684" i="1"/>
  <c r="C684" i="1"/>
  <c r="F685" i="1"/>
  <c r="J685" i="1"/>
  <c r="N685" i="1"/>
  <c r="R685" i="1"/>
  <c r="V685" i="1"/>
  <c r="Z685" i="1"/>
  <c r="AD685" i="1"/>
  <c r="AH685" i="1"/>
  <c r="AL685" i="1"/>
  <c r="AP685" i="1"/>
  <c r="AT685" i="1"/>
  <c r="AX685" i="1"/>
  <c r="G685" i="1"/>
  <c r="K685" i="1"/>
  <c r="O685" i="1"/>
  <c r="S685" i="1"/>
  <c r="W685" i="1"/>
  <c r="AA685" i="1"/>
  <c r="AE685" i="1"/>
  <c r="AI685" i="1"/>
  <c r="AM685" i="1"/>
  <c r="AQ685" i="1"/>
  <c r="AU685" i="1"/>
  <c r="AY685" i="1"/>
  <c r="D685" i="1"/>
  <c r="H685" i="1"/>
  <c r="L685" i="1"/>
  <c r="P685" i="1"/>
  <c r="T685" i="1"/>
  <c r="X685" i="1"/>
  <c r="AB685" i="1"/>
  <c r="AF685" i="1"/>
  <c r="AJ685" i="1"/>
  <c r="AN685" i="1"/>
  <c r="AR685" i="1"/>
  <c r="AV685" i="1"/>
  <c r="AZ685" i="1"/>
  <c r="E685" i="1"/>
  <c r="I685" i="1"/>
  <c r="M685" i="1"/>
  <c r="Q685" i="1"/>
  <c r="U685" i="1"/>
  <c r="Y685" i="1"/>
  <c r="AC685" i="1"/>
  <c r="AG685" i="1"/>
  <c r="AK685" i="1"/>
  <c r="AO685" i="1"/>
  <c r="AS685" i="1"/>
  <c r="AW685" i="1"/>
  <c r="C685" i="1"/>
  <c r="E686" i="1"/>
  <c r="I686" i="1"/>
  <c r="M686" i="1"/>
  <c r="Q686" i="1"/>
  <c r="U686" i="1"/>
  <c r="Y686" i="1"/>
  <c r="AC686" i="1"/>
  <c r="AG686" i="1"/>
  <c r="AK686" i="1"/>
  <c r="AO686" i="1"/>
  <c r="AS686" i="1"/>
  <c r="AW686" i="1"/>
  <c r="F686" i="1"/>
  <c r="J686" i="1"/>
  <c r="N686" i="1"/>
  <c r="R686" i="1"/>
  <c r="V686" i="1"/>
  <c r="Z686" i="1"/>
  <c r="AD686" i="1"/>
  <c r="AH686" i="1"/>
  <c r="AL686" i="1"/>
  <c r="AP686" i="1"/>
  <c r="AT686" i="1"/>
  <c r="AX686" i="1"/>
  <c r="G686" i="1"/>
  <c r="K686" i="1"/>
  <c r="O686" i="1"/>
  <c r="S686" i="1"/>
  <c r="W686" i="1"/>
  <c r="AA686" i="1"/>
  <c r="AE686" i="1"/>
  <c r="AI686" i="1"/>
  <c r="AM686" i="1"/>
  <c r="AQ686" i="1"/>
  <c r="AU686" i="1"/>
  <c r="AY686" i="1"/>
  <c r="D686" i="1"/>
  <c r="H686" i="1"/>
  <c r="L686" i="1"/>
  <c r="P686" i="1"/>
  <c r="T686" i="1"/>
  <c r="X686" i="1"/>
  <c r="AB686" i="1"/>
  <c r="AF686" i="1"/>
  <c r="AJ686" i="1"/>
  <c r="AN686" i="1"/>
  <c r="AR686" i="1"/>
  <c r="AV686" i="1"/>
  <c r="AZ686" i="1"/>
  <c r="C686" i="1"/>
  <c r="D687" i="1"/>
  <c r="H687" i="1"/>
  <c r="L687" i="1"/>
  <c r="P687" i="1"/>
  <c r="T687" i="1"/>
  <c r="X687" i="1"/>
  <c r="AB687" i="1"/>
  <c r="AF687" i="1"/>
  <c r="AJ687" i="1"/>
  <c r="AN687" i="1"/>
  <c r="AR687" i="1"/>
  <c r="AV687" i="1"/>
  <c r="AZ687" i="1"/>
  <c r="E687" i="1"/>
  <c r="I687" i="1"/>
  <c r="M687" i="1"/>
  <c r="Q687" i="1"/>
  <c r="U687" i="1"/>
  <c r="Y687" i="1"/>
  <c r="AC687" i="1"/>
  <c r="AG687" i="1"/>
  <c r="AK687" i="1"/>
  <c r="AO687" i="1"/>
  <c r="AS687" i="1"/>
  <c r="AW687" i="1"/>
  <c r="F687" i="1"/>
  <c r="J687" i="1"/>
  <c r="N687" i="1"/>
  <c r="R687" i="1"/>
  <c r="V687" i="1"/>
  <c r="Z687" i="1"/>
  <c r="AD687" i="1"/>
  <c r="AH687" i="1"/>
  <c r="AL687" i="1"/>
  <c r="AP687" i="1"/>
  <c r="AT687" i="1"/>
  <c r="AX687" i="1"/>
  <c r="G687" i="1"/>
  <c r="K687" i="1"/>
  <c r="O687" i="1"/>
  <c r="S687" i="1"/>
  <c r="W687" i="1"/>
  <c r="AA687" i="1"/>
  <c r="AE687" i="1"/>
  <c r="AI687" i="1"/>
  <c r="AM687" i="1"/>
  <c r="AQ687" i="1"/>
  <c r="AU687" i="1"/>
  <c r="AY687" i="1"/>
  <c r="C687" i="1"/>
  <c r="G688" i="1"/>
  <c r="K688" i="1"/>
  <c r="O688" i="1"/>
  <c r="S688" i="1"/>
  <c r="W688" i="1"/>
  <c r="AA688" i="1"/>
  <c r="AE688" i="1"/>
  <c r="AI688" i="1"/>
  <c r="AM688" i="1"/>
  <c r="AQ688" i="1"/>
  <c r="AU688" i="1"/>
  <c r="AY688" i="1"/>
  <c r="D688" i="1"/>
  <c r="H688" i="1"/>
  <c r="L688" i="1"/>
  <c r="P688" i="1"/>
  <c r="T688" i="1"/>
  <c r="X688" i="1"/>
  <c r="AB688" i="1"/>
  <c r="AF688" i="1"/>
  <c r="AJ688" i="1"/>
  <c r="AN688" i="1"/>
  <c r="AR688" i="1"/>
  <c r="AV688" i="1"/>
  <c r="AZ688" i="1"/>
  <c r="E688" i="1"/>
  <c r="I688" i="1"/>
  <c r="M688" i="1"/>
  <c r="Q688" i="1"/>
  <c r="U688" i="1"/>
  <c r="Y688" i="1"/>
  <c r="AC688" i="1"/>
  <c r="AG688" i="1"/>
  <c r="AK688" i="1"/>
  <c r="AO688" i="1"/>
  <c r="AS688" i="1"/>
  <c r="AW688" i="1"/>
  <c r="F688" i="1"/>
  <c r="J688" i="1"/>
  <c r="N688" i="1"/>
  <c r="R688" i="1"/>
  <c r="V688" i="1"/>
  <c r="Z688" i="1"/>
  <c r="AD688" i="1"/>
  <c r="AH688" i="1"/>
  <c r="AL688" i="1"/>
  <c r="AP688" i="1"/>
  <c r="AT688" i="1"/>
  <c r="AX688" i="1"/>
  <c r="C688" i="1"/>
  <c r="F689" i="1"/>
  <c r="J689" i="1"/>
  <c r="N689" i="1"/>
  <c r="R689" i="1"/>
  <c r="V689" i="1"/>
  <c r="Z689" i="1"/>
  <c r="AD689" i="1"/>
  <c r="AH689" i="1"/>
  <c r="AL689" i="1"/>
  <c r="AP689" i="1"/>
  <c r="AT689" i="1"/>
  <c r="AX689" i="1"/>
  <c r="G689" i="1"/>
  <c r="K689" i="1"/>
  <c r="O689" i="1"/>
  <c r="S689" i="1"/>
  <c r="W689" i="1"/>
  <c r="AA689" i="1"/>
  <c r="AE689" i="1"/>
  <c r="AI689" i="1"/>
  <c r="AM689" i="1"/>
  <c r="AQ689" i="1"/>
  <c r="AU689" i="1"/>
  <c r="AY689" i="1"/>
  <c r="D689" i="1"/>
  <c r="H689" i="1"/>
  <c r="L689" i="1"/>
  <c r="P689" i="1"/>
  <c r="T689" i="1"/>
  <c r="X689" i="1"/>
  <c r="AB689" i="1"/>
  <c r="AF689" i="1"/>
  <c r="AJ689" i="1"/>
  <c r="AN689" i="1"/>
  <c r="AR689" i="1"/>
  <c r="AV689" i="1"/>
  <c r="AZ689" i="1"/>
  <c r="E689" i="1"/>
  <c r="I689" i="1"/>
  <c r="M689" i="1"/>
  <c r="Q689" i="1"/>
  <c r="U689" i="1"/>
  <c r="Y689" i="1"/>
  <c r="AC689" i="1"/>
  <c r="AG689" i="1"/>
  <c r="AK689" i="1"/>
  <c r="AO689" i="1"/>
  <c r="AS689" i="1"/>
  <c r="AW689" i="1"/>
  <c r="C689" i="1"/>
  <c r="E690" i="1"/>
  <c r="I690" i="1"/>
  <c r="M690" i="1"/>
  <c r="Q690" i="1"/>
  <c r="U690" i="1"/>
  <c r="Y690" i="1"/>
  <c r="AC690" i="1"/>
  <c r="AG690" i="1"/>
  <c r="AK690" i="1"/>
  <c r="AO690" i="1"/>
  <c r="AS690" i="1"/>
  <c r="AW690" i="1"/>
  <c r="F690" i="1"/>
  <c r="J690" i="1"/>
  <c r="N690" i="1"/>
  <c r="R690" i="1"/>
  <c r="V690" i="1"/>
  <c r="Z690" i="1"/>
  <c r="AD690" i="1"/>
  <c r="AH690" i="1"/>
  <c r="AL690" i="1"/>
  <c r="AP690" i="1"/>
  <c r="AT690" i="1"/>
  <c r="AX690" i="1"/>
  <c r="G690" i="1"/>
  <c r="K690" i="1"/>
  <c r="O690" i="1"/>
  <c r="S690" i="1"/>
  <c r="W690" i="1"/>
  <c r="AA690" i="1"/>
  <c r="AE690" i="1"/>
  <c r="AI690" i="1"/>
  <c r="AM690" i="1"/>
  <c r="AQ690" i="1"/>
  <c r="AU690" i="1"/>
  <c r="AY690" i="1"/>
  <c r="D690" i="1"/>
  <c r="H690" i="1"/>
  <c r="L690" i="1"/>
  <c r="P690" i="1"/>
  <c r="T690" i="1"/>
  <c r="X690" i="1"/>
  <c r="AB690" i="1"/>
  <c r="AF690" i="1"/>
  <c r="AJ690" i="1"/>
  <c r="AN690" i="1"/>
  <c r="AR690" i="1"/>
  <c r="AV690" i="1"/>
  <c r="AZ690" i="1"/>
  <c r="C690" i="1"/>
  <c r="D691" i="1"/>
  <c r="H691" i="1"/>
  <c r="L691" i="1"/>
  <c r="P691" i="1"/>
  <c r="T691" i="1"/>
  <c r="X691" i="1"/>
  <c r="AB691" i="1"/>
  <c r="AF691" i="1"/>
  <c r="AJ691" i="1"/>
  <c r="AN691" i="1"/>
  <c r="AR691" i="1"/>
  <c r="AV691" i="1"/>
  <c r="AZ691" i="1"/>
  <c r="E691" i="1"/>
  <c r="I691" i="1"/>
  <c r="M691" i="1"/>
  <c r="Q691" i="1"/>
  <c r="U691" i="1"/>
  <c r="Y691" i="1"/>
  <c r="AC691" i="1"/>
  <c r="AG691" i="1"/>
  <c r="AK691" i="1"/>
  <c r="AO691" i="1"/>
  <c r="AS691" i="1"/>
  <c r="AW691" i="1"/>
  <c r="F691" i="1"/>
  <c r="J691" i="1"/>
  <c r="N691" i="1"/>
  <c r="R691" i="1"/>
  <c r="V691" i="1"/>
  <c r="Z691" i="1"/>
  <c r="AD691" i="1"/>
  <c r="AH691" i="1"/>
  <c r="AL691" i="1"/>
  <c r="AP691" i="1"/>
  <c r="AT691" i="1"/>
  <c r="AX691" i="1"/>
  <c r="G691" i="1"/>
  <c r="K691" i="1"/>
  <c r="O691" i="1"/>
  <c r="S691" i="1"/>
  <c r="W691" i="1"/>
  <c r="AA691" i="1"/>
  <c r="AE691" i="1"/>
  <c r="AI691" i="1"/>
  <c r="AM691" i="1"/>
  <c r="AQ691" i="1"/>
  <c r="AU691" i="1"/>
  <c r="AY691" i="1"/>
  <c r="C691" i="1"/>
  <c r="G692" i="1"/>
  <c r="K692" i="1"/>
  <c r="O692" i="1"/>
  <c r="S692" i="1"/>
  <c r="W692" i="1"/>
  <c r="AA692" i="1"/>
  <c r="AE692" i="1"/>
  <c r="AI692" i="1"/>
  <c r="AM692" i="1"/>
  <c r="AQ692" i="1"/>
  <c r="AU692" i="1"/>
  <c r="AY692" i="1"/>
  <c r="D692" i="1"/>
  <c r="H692" i="1"/>
  <c r="L692" i="1"/>
  <c r="P692" i="1"/>
  <c r="T692" i="1"/>
  <c r="X692" i="1"/>
  <c r="AB692" i="1"/>
  <c r="AF692" i="1"/>
  <c r="AJ692" i="1"/>
  <c r="AN692" i="1"/>
  <c r="AR692" i="1"/>
  <c r="AV692" i="1"/>
  <c r="AZ692" i="1"/>
  <c r="E692" i="1"/>
  <c r="I692" i="1"/>
  <c r="M692" i="1"/>
  <c r="Q692" i="1"/>
  <c r="U692" i="1"/>
  <c r="Y692" i="1"/>
  <c r="AC692" i="1"/>
  <c r="AG692" i="1"/>
  <c r="AK692" i="1"/>
  <c r="AO692" i="1"/>
  <c r="AS692" i="1"/>
  <c r="AW692" i="1"/>
  <c r="F692" i="1"/>
  <c r="J692" i="1"/>
  <c r="N692" i="1"/>
  <c r="R692" i="1"/>
  <c r="V692" i="1"/>
  <c r="Z692" i="1"/>
  <c r="AD692" i="1"/>
  <c r="AH692" i="1"/>
  <c r="AL692" i="1"/>
  <c r="AP692" i="1"/>
  <c r="AT692" i="1"/>
  <c r="AX692" i="1"/>
  <c r="C692" i="1"/>
  <c r="F693" i="1"/>
  <c r="J693" i="1"/>
  <c r="N693" i="1"/>
  <c r="R693" i="1"/>
  <c r="V693" i="1"/>
  <c r="Z693" i="1"/>
  <c r="AD693" i="1"/>
  <c r="AH693" i="1"/>
  <c r="AL693" i="1"/>
  <c r="AP693" i="1"/>
  <c r="AT693" i="1"/>
  <c r="AX693" i="1"/>
  <c r="G693" i="1"/>
  <c r="K693" i="1"/>
  <c r="O693" i="1"/>
  <c r="S693" i="1"/>
  <c r="W693" i="1"/>
  <c r="AA693" i="1"/>
  <c r="AE693" i="1"/>
  <c r="AI693" i="1"/>
  <c r="AM693" i="1"/>
  <c r="AQ693" i="1"/>
  <c r="AU693" i="1"/>
  <c r="AY693" i="1"/>
  <c r="D693" i="1"/>
  <c r="H693" i="1"/>
  <c r="L693" i="1"/>
  <c r="P693" i="1"/>
  <c r="T693" i="1"/>
  <c r="X693" i="1"/>
  <c r="AB693" i="1"/>
  <c r="AF693" i="1"/>
  <c r="AJ693" i="1"/>
  <c r="AN693" i="1"/>
  <c r="AR693" i="1"/>
  <c r="AV693" i="1"/>
  <c r="AZ693" i="1"/>
  <c r="E693" i="1"/>
  <c r="I693" i="1"/>
  <c r="M693" i="1"/>
  <c r="Q693" i="1"/>
  <c r="U693" i="1"/>
  <c r="Y693" i="1"/>
  <c r="AC693" i="1"/>
  <c r="AG693" i="1"/>
  <c r="AK693" i="1"/>
  <c r="AO693" i="1"/>
  <c r="AS693" i="1"/>
  <c r="AW693" i="1"/>
  <c r="C693" i="1"/>
  <c r="E694" i="1"/>
  <c r="I694" i="1"/>
  <c r="M694" i="1"/>
  <c r="Q694" i="1"/>
  <c r="U694" i="1"/>
  <c r="Y694" i="1"/>
  <c r="AC694" i="1"/>
  <c r="AG694" i="1"/>
  <c r="AK694" i="1"/>
  <c r="AO694" i="1"/>
  <c r="AS694" i="1"/>
  <c r="AW694" i="1"/>
  <c r="F694" i="1"/>
  <c r="J694" i="1"/>
  <c r="N694" i="1"/>
  <c r="R694" i="1"/>
  <c r="V694" i="1"/>
  <c r="Z694" i="1"/>
  <c r="AD694" i="1"/>
  <c r="AH694" i="1"/>
  <c r="AL694" i="1"/>
  <c r="AP694" i="1"/>
  <c r="AT694" i="1"/>
  <c r="AX694" i="1"/>
  <c r="G694" i="1"/>
  <c r="K694" i="1"/>
  <c r="O694" i="1"/>
  <c r="S694" i="1"/>
  <c r="W694" i="1"/>
  <c r="AA694" i="1"/>
  <c r="AE694" i="1"/>
  <c r="AI694" i="1"/>
  <c r="AM694" i="1"/>
  <c r="AQ694" i="1"/>
  <c r="AU694" i="1"/>
  <c r="AY694" i="1"/>
  <c r="D694" i="1"/>
  <c r="H694" i="1"/>
  <c r="L694" i="1"/>
  <c r="P694" i="1"/>
  <c r="T694" i="1"/>
  <c r="X694" i="1"/>
  <c r="AB694" i="1"/>
  <c r="AF694" i="1"/>
  <c r="AJ694" i="1"/>
  <c r="AN694" i="1"/>
  <c r="AR694" i="1"/>
  <c r="AV694" i="1"/>
  <c r="AZ694" i="1"/>
  <c r="C694" i="1"/>
  <c r="D695" i="1"/>
  <c r="H695" i="1"/>
  <c r="L695" i="1"/>
  <c r="P695" i="1"/>
  <c r="T695" i="1"/>
  <c r="X695" i="1"/>
  <c r="AB695" i="1"/>
  <c r="AF695" i="1"/>
  <c r="AJ695" i="1"/>
  <c r="AN695" i="1"/>
  <c r="AR695" i="1"/>
  <c r="AV695" i="1"/>
  <c r="AZ695" i="1"/>
  <c r="E695" i="1"/>
  <c r="I695" i="1"/>
  <c r="M695" i="1"/>
  <c r="Q695" i="1"/>
  <c r="U695" i="1"/>
  <c r="Y695" i="1"/>
  <c r="AC695" i="1"/>
  <c r="AG695" i="1"/>
  <c r="AK695" i="1"/>
  <c r="AO695" i="1"/>
  <c r="AS695" i="1"/>
  <c r="AW695" i="1"/>
  <c r="F695" i="1"/>
  <c r="J695" i="1"/>
  <c r="N695" i="1"/>
  <c r="R695" i="1"/>
  <c r="V695" i="1"/>
  <c r="Z695" i="1"/>
  <c r="AD695" i="1"/>
  <c r="AH695" i="1"/>
  <c r="AL695" i="1"/>
  <c r="AP695" i="1"/>
  <c r="AT695" i="1"/>
  <c r="AX695" i="1"/>
  <c r="G695" i="1"/>
  <c r="K695" i="1"/>
  <c r="O695" i="1"/>
  <c r="S695" i="1"/>
  <c r="W695" i="1"/>
  <c r="AA695" i="1"/>
  <c r="AE695" i="1"/>
  <c r="AI695" i="1"/>
  <c r="AM695" i="1"/>
  <c r="AQ695" i="1"/>
  <c r="AU695" i="1"/>
  <c r="AY695" i="1"/>
  <c r="C695" i="1"/>
  <c r="G696" i="1"/>
  <c r="K696" i="1"/>
  <c r="O696" i="1"/>
  <c r="S696" i="1"/>
  <c r="W696" i="1"/>
  <c r="AA696" i="1"/>
  <c r="AE696" i="1"/>
  <c r="AI696" i="1"/>
  <c r="AM696" i="1"/>
  <c r="AQ696" i="1"/>
  <c r="AU696" i="1"/>
  <c r="AY696" i="1"/>
  <c r="D696" i="1"/>
  <c r="H696" i="1"/>
  <c r="L696" i="1"/>
  <c r="P696" i="1"/>
  <c r="T696" i="1"/>
  <c r="X696" i="1"/>
  <c r="AB696" i="1"/>
  <c r="AF696" i="1"/>
  <c r="AJ696" i="1"/>
  <c r="AN696" i="1"/>
  <c r="AR696" i="1"/>
  <c r="AV696" i="1"/>
  <c r="AZ696" i="1"/>
  <c r="E696" i="1"/>
  <c r="I696" i="1"/>
  <c r="M696" i="1"/>
  <c r="Q696" i="1"/>
  <c r="U696" i="1"/>
  <c r="Y696" i="1"/>
  <c r="AC696" i="1"/>
  <c r="AG696" i="1"/>
  <c r="AK696" i="1"/>
  <c r="AO696" i="1"/>
  <c r="AS696" i="1"/>
  <c r="AW696" i="1"/>
  <c r="F696" i="1"/>
  <c r="J696" i="1"/>
  <c r="N696" i="1"/>
  <c r="R696" i="1"/>
  <c r="V696" i="1"/>
  <c r="Z696" i="1"/>
  <c r="AD696" i="1"/>
  <c r="AH696" i="1"/>
  <c r="AL696" i="1"/>
  <c r="AP696" i="1"/>
  <c r="AT696" i="1"/>
  <c r="AX696" i="1"/>
  <c r="C696" i="1"/>
  <c r="F697" i="1"/>
  <c r="J697" i="1"/>
  <c r="N697" i="1"/>
  <c r="R697" i="1"/>
  <c r="V697" i="1"/>
  <c r="Z697" i="1"/>
  <c r="AD697" i="1"/>
  <c r="AH697" i="1"/>
  <c r="AL697" i="1"/>
  <c r="AP697" i="1"/>
  <c r="AT697" i="1"/>
  <c r="AX697" i="1"/>
  <c r="G697" i="1"/>
  <c r="K697" i="1"/>
  <c r="O697" i="1"/>
  <c r="S697" i="1"/>
  <c r="W697" i="1"/>
  <c r="AA697" i="1"/>
  <c r="AE697" i="1"/>
  <c r="AI697" i="1"/>
  <c r="AM697" i="1"/>
  <c r="AQ697" i="1"/>
  <c r="AU697" i="1"/>
  <c r="AY697" i="1"/>
  <c r="D697" i="1"/>
  <c r="H697" i="1"/>
  <c r="L697" i="1"/>
  <c r="P697" i="1"/>
  <c r="T697" i="1"/>
  <c r="X697" i="1"/>
  <c r="AB697" i="1"/>
  <c r="AF697" i="1"/>
  <c r="AJ697" i="1"/>
  <c r="AN697" i="1"/>
  <c r="AR697" i="1"/>
  <c r="AV697" i="1"/>
  <c r="AZ697" i="1"/>
  <c r="E697" i="1"/>
  <c r="I697" i="1"/>
  <c r="M697" i="1"/>
  <c r="Q697" i="1"/>
  <c r="U697" i="1"/>
  <c r="Y697" i="1"/>
  <c r="AC697" i="1"/>
  <c r="AG697" i="1"/>
  <c r="AK697" i="1"/>
  <c r="AO697" i="1"/>
  <c r="AS697" i="1"/>
  <c r="AW697" i="1"/>
  <c r="C697" i="1"/>
  <c r="E698" i="1"/>
  <c r="I698" i="1"/>
  <c r="M698" i="1"/>
  <c r="Q698" i="1"/>
  <c r="U698" i="1"/>
  <c r="Y698" i="1"/>
  <c r="AC698" i="1"/>
  <c r="AG698" i="1"/>
  <c r="AK698" i="1"/>
  <c r="AO698" i="1"/>
  <c r="AS698" i="1"/>
  <c r="AW698" i="1"/>
  <c r="F698" i="1"/>
  <c r="J698" i="1"/>
  <c r="N698" i="1"/>
  <c r="R698" i="1"/>
  <c r="V698" i="1"/>
  <c r="Z698" i="1"/>
  <c r="AD698" i="1"/>
  <c r="AH698" i="1"/>
  <c r="AL698" i="1"/>
  <c r="AP698" i="1"/>
  <c r="AT698" i="1"/>
  <c r="AX698" i="1"/>
  <c r="G698" i="1"/>
  <c r="K698" i="1"/>
  <c r="O698" i="1"/>
  <c r="S698" i="1"/>
  <c r="W698" i="1"/>
  <c r="AA698" i="1"/>
  <c r="AE698" i="1"/>
  <c r="AI698" i="1"/>
  <c r="AM698" i="1"/>
  <c r="AQ698" i="1"/>
  <c r="AU698" i="1"/>
  <c r="AY698" i="1"/>
  <c r="D698" i="1"/>
  <c r="H698" i="1"/>
  <c r="L698" i="1"/>
  <c r="P698" i="1"/>
  <c r="T698" i="1"/>
  <c r="X698" i="1"/>
  <c r="AB698" i="1"/>
  <c r="AF698" i="1"/>
  <c r="AJ698" i="1"/>
  <c r="AN698" i="1"/>
  <c r="AR698" i="1"/>
  <c r="AV698" i="1"/>
  <c r="AZ698" i="1"/>
  <c r="C698" i="1"/>
  <c r="D699" i="1"/>
  <c r="H699" i="1"/>
  <c r="L699" i="1"/>
  <c r="P699" i="1"/>
  <c r="T699" i="1"/>
  <c r="X699" i="1"/>
  <c r="AB699" i="1"/>
  <c r="AF699" i="1"/>
  <c r="AJ699" i="1"/>
  <c r="AN699" i="1"/>
  <c r="AR699" i="1"/>
  <c r="AV699" i="1"/>
  <c r="AZ699" i="1"/>
  <c r="E699" i="1"/>
  <c r="I699" i="1"/>
  <c r="M699" i="1"/>
  <c r="Q699" i="1"/>
  <c r="U699" i="1"/>
  <c r="Y699" i="1"/>
  <c r="AC699" i="1"/>
  <c r="AG699" i="1"/>
  <c r="AK699" i="1"/>
  <c r="AO699" i="1"/>
  <c r="AS699" i="1"/>
  <c r="AW699" i="1"/>
  <c r="F699" i="1"/>
  <c r="J699" i="1"/>
  <c r="N699" i="1"/>
  <c r="R699" i="1"/>
  <c r="V699" i="1"/>
  <c r="Z699" i="1"/>
  <c r="AD699" i="1"/>
  <c r="AH699" i="1"/>
  <c r="AL699" i="1"/>
  <c r="AP699" i="1"/>
  <c r="AT699" i="1"/>
  <c r="AX699" i="1"/>
  <c r="G699" i="1"/>
  <c r="K699" i="1"/>
  <c r="O699" i="1"/>
  <c r="S699" i="1"/>
  <c r="W699" i="1"/>
  <c r="AA699" i="1"/>
  <c r="AE699" i="1"/>
  <c r="AI699" i="1"/>
  <c r="AM699" i="1"/>
  <c r="AQ699" i="1"/>
  <c r="AU699" i="1"/>
  <c r="AY699" i="1"/>
  <c r="C699" i="1"/>
  <c r="G700" i="1"/>
  <c r="K700" i="1"/>
  <c r="O700" i="1"/>
  <c r="S700" i="1"/>
  <c r="W700" i="1"/>
  <c r="AA700" i="1"/>
  <c r="AE700" i="1"/>
  <c r="AI700" i="1"/>
  <c r="AM700" i="1"/>
  <c r="AQ700" i="1"/>
  <c r="AU700" i="1"/>
  <c r="AY700" i="1"/>
  <c r="D700" i="1"/>
  <c r="H700" i="1"/>
  <c r="L700" i="1"/>
  <c r="P700" i="1"/>
  <c r="T700" i="1"/>
  <c r="X700" i="1"/>
  <c r="AB700" i="1"/>
  <c r="AF700" i="1"/>
  <c r="AJ700" i="1"/>
  <c r="AN700" i="1"/>
  <c r="AR700" i="1"/>
  <c r="AV700" i="1"/>
  <c r="AZ700" i="1"/>
  <c r="E700" i="1"/>
  <c r="I700" i="1"/>
  <c r="M700" i="1"/>
  <c r="Q700" i="1"/>
  <c r="U700" i="1"/>
  <c r="Y700" i="1"/>
  <c r="AC700" i="1"/>
  <c r="AG700" i="1"/>
  <c r="AK700" i="1"/>
  <c r="AO700" i="1"/>
  <c r="AS700" i="1"/>
  <c r="AW700" i="1"/>
  <c r="F700" i="1"/>
  <c r="J700" i="1"/>
  <c r="N700" i="1"/>
  <c r="R700" i="1"/>
  <c r="V700" i="1"/>
  <c r="Z700" i="1"/>
  <c r="AD700" i="1"/>
  <c r="AH700" i="1"/>
  <c r="AL700" i="1"/>
  <c r="AP700" i="1"/>
  <c r="AT700" i="1"/>
  <c r="AX700" i="1"/>
  <c r="C700" i="1"/>
  <c r="F701" i="1"/>
  <c r="J701" i="1"/>
  <c r="N701" i="1"/>
  <c r="R701" i="1"/>
  <c r="V701" i="1"/>
  <c r="Z701" i="1"/>
  <c r="AD701" i="1"/>
  <c r="AH701" i="1"/>
  <c r="AL701" i="1"/>
  <c r="AP701" i="1"/>
  <c r="AT701" i="1"/>
  <c r="AX701" i="1"/>
  <c r="G701" i="1"/>
  <c r="K701" i="1"/>
  <c r="O701" i="1"/>
  <c r="S701" i="1"/>
  <c r="W701" i="1"/>
  <c r="AA701" i="1"/>
  <c r="AE701" i="1"/>
  <c r="AI701" i="1"/>
  <c r="AM701" i="1"/>
  <c r="AQ701" i="1"/>
  <c r="AU701" i="1"/>
  <c r="AY701" i="1"/>
  <c r="D701" i="1"/>
  <c r="H701" i="1"/>
  <c r="L701" i="1"/>
  <c r="P701" i="1"/>
  <c r="T701" i="1"/>
  <c r="X701" i="1"/>
  <c r="AB701" i="1"/>
  <c r="AF701" i="1"/>
  <c r="AJ701" i="1"/>
  <c r="AN701" i="1"/>
  <c r="AR701" i="1"/>
  <c r="AV701" i="1"/>
  <c r="AZ701" i="1"/>
  <c r="E701" i="1"/>
  <c r="I701" i="1"/>
  <c r="M701" i="1"/>
  <c r="Q701" i="1"/>
  <c r="U701" i="1"/>
  <c r="Y701" i="1"/>
  <c r="AC701" i="1"/>
  <c r="AG701" i="1"/>
  <c r="AK701" i="1"/>
  <c r="AO701" i="1"/>
  <c r="AS701" i="1"/>
  <c r="AW701" i="1"/>
  <c r="C701" i="1"/>
  <c r="E702" i="1"/>
  <c r="I702" i="1"/>
  <c r="M702" i="1"/>
  <c r="Q702" i="1"/>
  <c r="U702" i="1"/>
  <c r="Y702" i="1"/>
  <c r="AC702" i="1"/>
  <c r="AG702" i="1"/>
  <c r="AK702" i="1"/>
  <c r="AO702" i="1"/>
  <c r="AS702" i="1"/>
  <c r="AW702" i="1"/>
  <c r="F702" i="1"/>
  <c r="J702" i="1"/>
  <c r="N702" i="1"/>
  <c r="R702" i="1"/>
  <c r="V702" i="1"/>
  <c r="Z702" i="1"/>
  <c r="AD702" i="1"/>
  <c r="AH702" i="1"/>
  <c r="AL702" i="1"/>
  <c r="AP702" i="1"/>
  <c r="AT702" i="1"/>
  <c r="AX702" i="1"/>
  <c r="G702" i="1"/>
  <c r="K702" i="1"/>
  <c r="O702" i="1"/>
  <c r="S702" i="1"/>
  <c r="W702" i="1"/>
  <c r="AA702" i="1"/>
  <c r="AE702" i="1"/>
  <c r="AI702" i="1"/>
  <c r="AM702" i="1"/>
  <c r="AQ702" i="1"/>
  <c r="AU702" i="1"/>
  <c r="AY702" i="1"/>
  <c r="D702" i="1"/>
  <c r="H702" i="1"/>
  <c r="L702" i="1"/>
  <c r="P702" i="1"/>
  <c r="T702" i="1"/>
  <c r="X702" i="1"/>
  <c r="AB702" i="1"/>
  <c r="AF702" i="1"/>
  <c r="AJ702" i="1"/>
  <c r="AN702" i="1"/>
  <c r="AR702" i="1"/>
  <c r="AV702" i="1"/>
  <c r="AZ702" i="1"/>
  <c r="C702" i="1"/>
  <c r="D703" i="1"/>
  <c r="H703" i="1"/>
  <c r="L703" i="1"/>
  <c r="P703" i="1"/>
  <c r="T703" i="1"/>
  <c r="X703" i="1"/>
  <c r="AB703" i="1"/>
  <c r="AF703" i="1"/>
  <c r="AJ703" i="1"/>
  <c r="AN703" i="1"/>
  <c r="AR703" i="1"/>
  <c r="AV703" i="1"/>
  <c r="AZ703" i="1"/>
  <c r="E703" i="1"/>
  <c r="I703" i="1"/>
  <c r="M703" i="1"/>
  <c r="Q703" i="1"/>
  <c r="U703" i="1"/>
  <c r="Y703" i="1"/>
  <c r="AC703" i="1"/>
  <c r="AG703" i="1"/>
  <c r="AK703" i="1"/>
  <c r="AO703" i="1"/>
  <c r="AS703" i="1"/>
  <c r="AW703" i="1"/>
  <c r="F703" i="1"/>
  <c r="J703" i="1"/>
  <c r="N703" i="1"/>
  <c r="R703" i="1"/>
  <c r="V703" i="1"/>
  <c r="Z703" i="1"/>
  <c r="AD703" i="1"/>
  <c r="AH703" i="1"/>
  <c r="AL703" i="1"/>
  <c r="AP703" i="1"/>
  <c r="AT703" i="1"/>
  <c r="AX703" i="1"/>
  <c r="G703" i="1"/>
  <c r="K703" i="1"/>
  <c r="O703" i="1"/>
  <c r="S703" i="1"/>
  <c r="W703" i="1"/>
  <c r="AA703" i="1"/>
  <c r="AE703" i="1"/>
  <c r="AI703" i="1"/>
  <c r="AM703" i="1"/>
  <c r="AQ703" i="1"/>
  <c r="AU703" i="1"/>
  <c r="AY703" i="1"/>
  <c r="C703" i="1"/>
  <c r="G704" i="1"/>
  <c r="K704" i="1"/>
  <c r="O704" i="1"/>
  <c r="S704" i="1"/>
  <c r="W704" i="1"/>
  <c r="AA704" i="1"/>
  <c r="AE704" i="1"/>
  <c r="AI704" i="1"/>
  <c r="AM704" i="1"/>
  <c r="AQ704" i="1"/>
  <c r="AU704" i="1"/>
  <c r="AY704" i="1"/>
  <c r="D704" i="1"/>
  <c r="H704" i="1"/>
  <c r="L704" i="1"/>
  <c r="P704" i="1"/>
  <c r="T704" i="1"/>
  <c r="X704" i="1"/>
  <c r="AB704" i="1"/>
  <c r="AF704" i="1"/>
  <c r="AJ704" i="1"/>
  <c r="AN704" i="1"/>
  <c r="AR704" i="1"/>
  <c r="AV704" i="1"/>
  <c r="AZ704" i="1"/>
  <c r="E704" i="1"/>
  <c r="I704" i="1"/>
  <c r="M704" i="1"/>
  <c r="Q704" i="1"/>
  <c r="U704" i="1"/>
  <c r="Y704" i="1"/>
  <c r="AC704" i="1"/>
  <c r="AG704" i="1"/>
  <c r="AK704" i="1"/>
  <c r="AO704" i="1"/>
  <c r="AS704" i="1"/>
  <c r="AW704" i="1"/>
  <c r="F704" i="1"/>
  <c r="J704" i="1"/>
  <c r="N704" i="1"/>
  <c r="R704" i="1"/>
  <c r="V704" i="1"/>
  <c r="Z704" i="1"/>
  <c r="AD704" i="1"/>
  <c r="AH704" i="1"/>
  <c r="AL704" i="1"/>
  <c r="AP704" i="1"/>
  <c r="AT704" i="1"/>
  <c r="AX704" i="1"/>
  <c r="C704" i="1"/>
  <c r="F705" i="1"/>
  <c r="J705" i="1"/>
  <c r="N705" i="1"/>
  <c r="R705" i="1"/>
  <c r="V705" i="1"/>
  <c r="Z705" i="1"/>
  <c r="AD705" i="1"/>
  <c r="AH705" i="1"/>
  <c r="AL705" i="1"/>
  <c r="AP705" i="1"/>
  <c r="AT705" i="1"/>
  <c r="AX705" i="1"/>
  <c r="G705" i="1"/>
  <c r="K705" i="1"/>
  <c r="O705" i="1"/>
  <c r="S705" i="1"/>
  <c r="W705" i="1"/>
  <c r="AA705" i="1"/>
  <c r="AE705" i="1"/>
  <c r="AI705" i="1"/>
  <c r="AM705" i="1"/>
  <c r="AQ705" i="1"/>
  <c r="AU705" i="1"/>
  <c r="AY705" i="1"/>
  <c r="D705" i="1"/>
  <c r="H705" i="1"/>
  <c r="L705" i="1"/>
  <c r="P705" i="1"/>
  <c r="T705" i="1"/>
  <c r="X705" i="1"/>
  <c r="AB705" i="1"/>
  <c r="AF705" i="1"/>
  <c r="AJ705" i="1"/>
  <c r="AN705" i="1"/>
  <c r="AR705" i="1"/>
  <c r="AV705" i="1"/>
  <c r="AZ705" i="1"/>
  <c r="E705" i="1"/>
  <c r="I705" i="1"/>
  <c r="M705" i="1"/>
  <c r="Q705" i="1"/>
  <c r="U705" i="1"/>
  <c r="Y705" i="1"/>
  <c r="AC705" i="1"/>
  <c r="AG705" i="1"/>
  <c r="AK705" i="1"/>
  <c r="AO705" i="1"/>
  <c r="AS705" i="1"/>
  <c r="AW705" i="1"/>
  <c r="C705" i="1"/>
  <c r="E706" i="1"/>
  <c r="I706" i="1"/>
  <c r="M706" i="1"/>
  <c r="Q706" i="1"/>
  <c r="U706" i="1"/>
  <c r="Y706" i="1"/>
  <c r="AC706" i="1"/>
  <c r="AG706" i="1"/>
  <c r="AK706" i="1"/>
  <c r="AO706" i="1"/>
  <c r="AS706" i="1"/>
  <c r="AW706" i="1"/>
  <c r="F706" i="1"/>
  <c r="J706" i="1"/>
  <c r="N706" i="1"/>
  <c r="R706" i="1"/>
  <c r="V706" i="1"/>
  <c r="Z706" i="1"/>
  <c r="AD706" i="1"/>
  <c r="AH706" i="1"/>
  <c r="AL706" i="1"/>
  <c r="AP706" i="1"/>
  <c r="AT706" i="1"/>
  <c r="AX706" i="1"/>
  <c r="G706" i="1"/>
  <c r="K706" i="1"/>
  <c r="O706" i="1"/>
  <c r="S706" i="1"/>
  <c r="W706" i="1"/>
  <c r="AA706" i="1"/>
  <c r="AE706" i="1"/>
  <c r="AI706" i="1"/>
  <c r="AM706" i="1"/>
  <c r="AQ706" i="1"/>
  <c r="AU706" i="1"/>
  <c r="AY706" i="1"/>
  <c r="D706" i="1"/>
  <c r="H706" i="1"/>
  <c r="L706" i="1"/>
  <c r="P706" i="1"/>
  <c r="T706" i="1"/>
  <c r="X706" i="1"/>
  <c r="AB706" i="1"/>
  <c r="AF706" i="1"/>
  <c r="AJ706" i="1"/>
  <c r="AN706" i="1"/>
  <c r="AR706" i="1"/>
  <c r="AV706" i="1"/>
  <c r="AZ706" i="1"/>
  <c r="C706" i="1"/>
  <c r="D707" i="1"/>
  <c r="H707" i="1"/>
  <c r="L707" i="1"/>
  <c r="P707" i="1"/>
  <c r="T707" i="1"/>
  <c r="X707" i="1"/>
  <c r="AB707" i="1"/>
  <c r="AF707" i="1"/>
  <c r="AJ707" i="1"/>
  <c r="AN707" i="1"/>
  <c r="AR707" i="1"/>
  <c r="AV707" i="1"/>
  <c r="AZ707" i="1"/>
  <c r="E707" i="1"/>
  <c r="I707" i="1"/>
  <c r="M707" i="1"/>
  <c r="Q707" i="1"/>
  <c r="U707" i="1"/>
  <c r="Y707" i="1"/>
  <c r="AC707" i="1"/>
  <c r="AG707" i="1"/>
  <c r="AK707" i="1"/>
  <c r="AO707" i="1"/>
  <c r="AS707" i="1"/>
  <c r="AW707" i="1"/>
  <c r="F707" i="1"/>
  <c r="J707" i="1"/>
  <c r="N707" i="1"/>
  <c r="R707" i="1"/>
  <c r="V707" i="1"/>
  <c r="Z707" i="1"/>
  <c r="AD707" i="1"/>
  <c r="AH707" i="1"/>
  <c r="AL707" i="1"/>
  <c r="AP707" i="1"/>
  <c r="AT707" i="1"/>
  <c r="AX707" i="1"/>
  <c r="G707" i="1"/>
  <c r="K707" i="1"/>
  <c r="O707" i="1"/>
  <c r="S707" i="1"/>
  <c r="W707" i="1"/>
  <c r="AA707" i="1"/>
  <c r="AE707" i="1"/>
  <c r="AI707" i="1"/>
  <c r="AM707" i="1"/>
  <c r="AQ707" i="1"/>
  <c r="AU707" i="1"/>
  <c r="AY707" i="1"/>
  <c r="C707" i="1"/>
  <c r="G708" i="1"/>
  <c r="K708" i="1"/>
  <c r="O708" i="1"/>
  <c r="S708" i="1"/>
  <c r="W708" i="1"/>
  <c r="AA708" i="1"/>
  <c r="AE708" i="1"/>
  <c r="AI708" i="1"/>
  <c r="AM708" i="1"/>
  <c r="AQ708" i="1"/>
  <c r="AU708" i="1"/>
  <c r="AY708" i="1"/>
  <c r="D708" i="1"/>
  <c r="H708" i="1"/>
  <c r="L708" i="1"/>
  <c r="P708" i="1"/>
  <c r="T708" i="1"/>
  <c r="X708" i="1"/>
  <c r="AB708" i="1"/>
  <c r="AF708" i="1"/>
  <c r="AJ708" i="1"/>
  <c r="AN708" i="1"/>
  <c r="AR708" i="1"/>
  <c r="AV708" i="1"/>
  <c r="AZ708" i="1"/>
  <c r="E708" i="1"/>
  <c r="I708" i="1"/>
  <c r="M708" i="1"/>
  <c r="Q708" i="1"/>
  <c r="U708" i="1"/>
  <c r="Y708" i="1"/>
  <c r="AC708" i="1"/>
  <c r="AG708" i="1"/>
  <c r="AK708" i="1"/>
  <c r="AO708" i="1"/>
  <c r="AS708" i="1"/>
  <c r="AW708" i="1"/>
  <c r="F708" i="1"/>
  <c r="J708" i="1"/>
  <c r="N708" i="1"/>
  <c r="R708" i="1"/>
  <c r="V708" i="1"/>
  <c r="Z708" i="1"/>
  <c r="AD708" i="1"/>
  <c r="AH708" i="1"/>
  <c r="AL708" i="1"/>
  <c r="AP708" i="1"/>
  <c r="AT708" i="1"/>
  <c r="AX708" i="1"/>
  <c r="C708" i="1"/>
  <c r="F709" i="1"/>
  <c r="J709" i="1"/>
  <c r="N709" i="1"/>
  <c r="R709" i="1"/>
  <c r="V709" i="1"/>
  <c r="Z709" i="1"/>
  <c r="AD709" i="1"/>
  <c r="AH709" i="1"/>
  <c r="AL709" i="1"/>
  <c r="AP709" i="1"/>
  <c r="AT709" i="1"/>
  <c r="AX709" i="1"/>
  <c r="G709" i="1"/>
  <c r="K709" i="1"/>
  <c r="O709" i="1"/>
  <c r="S709" i="1"/>
  <c r="W709" i="1"/>
  <c r="AA709" i="1"/>
  <c r="AE709" i="1"/>
  <c r="AI709" i="1"/>
  <c r="AM709" i="1"/>
  <c r="AQ709" i="1"/>
  <c r="AU709" i="1"/>
  <c r="AY709" i="1"/>
  <c r="D709" i="1"/>
  <c r="H709" i="1"/>
  <c r="L709" i="1"/>
  <c r="P709" i="1"/>
  <c r="T709" i="1"/>
  <c r="X709" i="1"/>
  <c r="AB709" i="1"/>
  <c r="AF709" i="1"/>
  <c r="AJ709" i="1"/>
  <c r="AN709" i="1"/>
  <c r="AR709" i="1"/>
  <c r="AV709" i="1"/>
  <c r="AZ709" i="1"/>
  <c r="E709" i="1"/>
  <c r="I709" i="1"/>
  <c r="M709" i="1"/>
  <c r="Q709" i="1"/>
  <c r="U709" i="1"/>
  <c r="Y709" i="1"/>
  <c r="AC709" i="1"/>
  <c r="AG709" i="1"/>
  <c r="AK709" i="1"/>
  <c r="AO709" i="1"/>
  <c r="AS709" i="1"/>
  <c r="AW709" i="1"/>
  <c r="C709" i="1"/>
  <c r="E710" i="1"/>
  <c r="I710" i="1"/>
  <c r="M710" i="1"/>
  <c r="Q710" i="1"/>
  <c r="U710" i="1"/>
  <c r="Y710" i="1"/>
  <c r="AC710" i="1"/>
  <c r="AG710" i="1"/>
  <c r="AK710" i="1"/>
  <c r="AO710" i="1"/>
  <c r="AS710" i="1"/>
  <c r="AW710" i="1"/>
  <c r="F710" i="1"/>
  <c r="J710" i="1"/>
  <c r="N710" i="1"/>
  <c r="R710" i="1"/>
  <c r="V710" i="1"/>
  <c r="Z710" i="1"/>
  <c r="AD710" i="1"/>
  <c r="AH710" i="1"/>
  <c r="AL710" i="1"/>
  <c r="AP710" i="1"/>
  <c r="AT710" i="1"/>
  <c r="AX710" i="1"/>
  <c r="G710" i="1"/>
  <c r="K710" i="1"/>
  <c r="O710" i="1"/>
  <c r="S710" i="1"/>
  <c r="W710" i="1"/>
  <c r="AA710" i="1"/>
  <c r="AE710" i="1"/>
  <c r="AI710" i="1"/>
  <c r="AM710" i="1"/>
  <c r="AQ710" i="1"/>
  <c r="AU710" i="1"/>
  <c r="AY710" i="1"/>
  <c r="D710" i="1"/>
  <c r="H710" i="1"/>
  <c r="L710" i="1"/>
  <c r="P710" i="1"/>
  <c r="T710" i="1"/>
  <c r="X710" i="1"/>
  <c r="AB710" i="1"/>
  <c r="AF710" i="1"/>
  <c r="AJ710" i="1"/>
  <c r="AN710" i="1"/>
  <c r="AR710" i="1"/>
  <c r="AV710" i="1"/>
  <c r="AZ710" i="1"/>
  <c r="C710" i="1"/>
  <c r="D711" i="1"/>
  <c r="H711" i="1"/>
  <c r="L711" i="1"/>
  <c r="P711" i="1"/>
  <c r="T711" i="1"/>
  <c r="X711" i="1"/>
  <c r="AB711" i="1"/>
  <c r="AF711" i="1"/>
  <c r="AJ711" i="1"/>
  <c r="AN711" i="1"/>
  <c r="AR711" i="1"/>
  <c r="AV711" i="1"/>
  <c r="AZ711" i="1"/>
  <c r="E711" i="1"/>
  <c r="I711" i="1"/>
  <c r="M711" i="1"/>
  <c r="Q711" i="1"/>
  <c r="U711" i="1"/>
  <c r="Y711" i="1"/>
  <c r="AC711" i="1"/>
  <c r="AG711" i="1"/>
  <c r="AK711" i="1"/>
  <c r="AO711" i="1"/>
  <c r="AS711" i="1"/>
  <c r="AW711" i="1"/>
  <c r="F711" i="1"/>
  <c r="J711" i="1"/>
  <c r="N711" i="1"/>
  <c r="R711" i="1"/>
  <c r="V711" i="1"/>
  <c r="Z711" i="1"/>
  <c r="AD711" i="1"/>
  <c r="AH711" i="1"/>
  <c r="AL711" i="1"/>
  <c r="AP711" i="1"/>
  <c r="AT711" i="1"/>
  <c r="AX711" i="1"/>
  <c r="G711" i="1"/>
  <c r="K711" i="1"/>
  <c r="O711" i="1"/>
  <c r="S711" i="1"/>
  <c r="W711" i="1"/>
  <c r="AA711" i="1"/>
  <c r="AE711" i="1"/>
  <c r="AI711" i="1"/>
  <c r="AM711" i="1"/>
  <c r="AQ711" i="1"/>
  <c r="AU711" i="1"/>
  <c r="AY711" i="1"/>
  <c r="C711" i="1"/>
  <c r="G712" i="1"/>
  <c r="K712" i="1"/>
  <c r="O712" i="1"/>
  <c r="S712" i="1"/>
  <c r="W712" i="1"/>
  <c r="AA712" i="1"/>
  <c r="AE712" i="1"/>
  <c r="AI712" i="1"/>
  <c r="AM712" i="1"/>
  <c r="AQ712" i="1"/>
  <c r="AU712" i="1"/>
  <c r="AY712" i="1"/>
  <c r="D712" i="1"/>
  <c r="H712" i="1"/>
  <c r="L712" i="1"/>
  <c r="P712" i="1"/>
  <c r="T712" i="1"/>
  <c r="X712" i="1"/>
  <c r="AB712" i="1"/>
  <c r="AF712" i="1"/>
  <c r="AJ712" i="1"/>
  <c r="AN712" i="1"/>
  <c r="AR712" i="1"/>
  <c r="AV712" i="1"/>
  <c r="AZ712" i="1"/>
  <c r="E712" i="1"/>
  <c r="I712" i="1"/>
  <c r="M712" i="1"/>
  <c r="Q712" i="1"/>
  <c r="U712" i="1"/>
  <c r="Y712" i="1"/>
  <c r="AC712" i="1"/>
  <c r="AG712" i="1"/>
  <c r="AK712" i="1"/>
  <c r="AO712" i="1"/>
  <c r="AS712" i="1"/>
  <c r="AW712" i="1"/>
  <c r="F712" i="1"/>
  <c r="J712" i="1"/>
  <c r="N712" i="1"/>
  <c r="R712" i="1"/>
  <c r="V712" i="1"/>
  <c r="Z712" i="1"/>
  <c r="AD712" i="1"/>
  <c r="AH712" i="1"/>
  <c r="AL712" i="1"/>
  <c r="AP712" i="1"/>
  <c r="AT712" i="1"/>
  <c r="AX712" i="1"/>
  <c r="C712" i="1"/>
  <c r="F713" i="1"/>
  <c r="J713" i="1"/>
  <c r="N713" i="1"/>
  <c r="R713" i="1"/>
  <c r="V713" i="1"/>
  <c r="Z713" i="1"/>
  <c r="AD713" i="1"/>
  <c r="AH713" i="1"/>
  <c r="AL713" i="1"/>
  <c r="AP713" i="1"/>
  <c r="AT713" i="1"/>
  <c r="AX713" i="1"/>
  <c r="G713" i="1"/>
  <c r="K713" i="1"/>
  <c r="O713" i="1"/>
  <c r="S713" i="1"/>
  <c r="W713" i="1"/>
  <c r="AA713" i="1"/>
  <c r="AE713" i="1"/>
  <c r="AI713" i="1"/>
  <c r="AM713" i="1"/>
  <c r="AQ713" i="1"/>
  <c r="AU713" i="1"/>
  <c r="AY713" i="1"/>
  <c r="D713" i="1"/>
  <c r="H713" i="1"/>
  <c r="L713" i="1"/>
  <c r="P713" i="1"/>
  <c r="T713" i="1"/>
  <c r="X713" i="1"/>
  <c r="AB713" i="1"/>
  <c r="AF713" i="1"/>
  <c r="AJ713" i="1"/>
  <c r="AN713" i="1"/>
  <c r="AR713" i="1"/>
  <c r="AV713" i="1"/>
  <c r="AZ713" i="1"/>
  <c r="E713" i="1"/>
  <c r="I713" i="1"/>
  <c r="M713" i="1"/>
  <c r="Q713" i="1"/>
  <c r="U713" i="1"/>
  <c r="Y713" i="1"/>
  <c r="AC713" i="1"/>
  <c r="AG713" i="1"/>
  <c r="AK713" i="1"/>
  <c r="AO713" i="1"/>
  <c r="AS713" i="1"/>
  <c r="AW713" i="1"/>
  <c r="C713" i="1"/>
  <c r="E714" i="1"/>
  <c r="I714" i="1"/>
  <c r="M714" i="1"/>
  <c r="Q714" i="1"/>
  <c r="U714" i="1"/>
  <c r="Y714" i="1"/>
  <c r="AC714" i="1"/>
  <c r="AG714" i="1"/>
  <c r="AK714" i="1"/>
  <c r="AO714" i="1"/>
  <c r="AS714" i="1"/>
  <c r="AW714" i="1"/>
  <c r="F714" i="1"/>
  <c r="J714" i="1"/>
  <c r="N714" i="1"/>
  <c r="R714" i="1"/>
  <c r="V714" i="1"/>
  <c r="Z714" i="1"/>
  <c r="AD714" i="1"/>
  <c r="AH714" i="1"/>
  <c r="AL714" i="1"/>
  <c r="AP714" i="1"/>
  <c r="AT714" i="1"/>
  <c r="AX714" i="1"/>
  <c r="G714" i="1"/>
  <c r="K714" i="1"/>
  <c r="O714" i="1"/>
  <c r="S714" i="1"/>
  <c r="W714" i="1"/>
  <c r="AA714" i="1"/>
  <c r="AE714" i="1"/>
  <c r="AI714" i="1"/>
  <c r="AM714" i="1"/>
  <c r="AQ714" i="1"/>
  <c r="AU714" i="1"/>
  <c r="AY714" i="1"/>
  <c r="D714" i="1"/>
  <c r="H714" i="1"/>
  <c r="L714" i="1"/>
  <c r="P714" i="1"/>
  <c r="T714" i="1"/>
  <c r="X714" i="1"/>
  <c r="AB714" i="1"/>
  <c r="AF714" i="1"/>
  <c r="AJ714" i="1"/>
  <c r="AN714" i="1"/>
  <c r="AR714" i="1"/>
  <c r="AV714" i="1"/>
  <c r="AZ714" i="1"/>
  <c r="C714" i="1"/>
  <c r="D715" i="1"/>
  <c r="H715" i="1"/>
  <c r="L715" i="1"/>
  <c r="P715" i="1"/>
  <c r="T715" i="1"/>
  <c r="X715" i="1"/>
  <c r="AB715" i="1"/>
  <c r="AF715" i="1"/>
  <c r="AJ715" i="1"/>
  <c r="AN715" i="1"/>
  <c r="AR715" i="1"/>
  <c r="AV715" i="1"/>
  <c r="AZ715" i="1"/>
  <c r="E715" i="1"/>
  <c r="I715" i="1"/>
  <c r="M715" i="1"/>
  <c r="Q715" i="1"/>
  <c r="U715" i="1"/>
  <c r="Y715" i="1"/>
  <c r="AC715" i="1"/>
  <c r="AG715" i="1"/>
  <c r="AK715" i="1"/>
  <c r="AO715" i="1"/>
  <c r="AS715" i="1"/>
  <c r="AW715" i="1"/>
  <c r="F715" i="1"/>
  <c r="J715" i="1"/>
  <c r="N715" i="1"/>
  <c r="R715" i="1"/>
  <c r="V715" i="1"/>
  <c r="Z715" i="1"/>
  <c r="AD715" i="1"/>
  <c r="AH715" i="1"/>
  <c r="AL715" i="1"/>
  <c r="AP715" i="1"/>
  <c r="AT715" i="1"/>
  <c r="AX715" i="1"/>
  <c r="G715" i="1"/>
  <c r="K715" i="1"/>
  <c r="O715" i="1"/>
  <c r="S715" i="1"/>
  <c r="W715" i="1"/>
  <c r="AA715" i="1"/>
  <c r="AE715" i="1"/>
  <c r="AI715" i="1"/>
  <c r="AM715" i="1"/>
  <c r="AQ715" i="1"/>
  <c r="AU715" i="1"/>
  <c r="AY715" i="1"/>
  <c r="C715" i="1"/>
  <c r="G716" i="1"/>
  <c r="K716" i="1"/>
  <c r="O716" i="1"/>
  <c r="S716" i="1"/>
  <c r="W716" i="1"/>
  <c r="AA716" i="1"/>
  <c r="AE716" i="1"/>
  <c r="AI716" i="1"/>
  <c r="AM716" i="1"/>
  <c r="AQ716" i="1"/>
  <c r="AU716" i="1"/>
  <c r="AY716" i="1"/>
  <c r="D716" i="1"/>
  <c r="H716" i="1"/>
  <c r="L716" i="1"/>
  <c r="P716" i="1"/>
  <c r="T716" i="1"/>
  <c r="X716" i="1"/>
  <c r="AB716" i="1"/>
  <c r="AF716" i="1"/>
  <c r="AJ716" i="1"/>
  <c r="AN716" i="1"/>
  <c r="AR716" i="1"/>
  <c r="AV716" i="1"/>
  <c r="AZ716" i="1"/>
  <c r="E716" i="1"/>
  <c r="I716" i="1"/>
  <c r="M716" i="1"/>
  <c r="Q716" i="1"/>
  <c r="U716" i="1"/>
  <c r="Y716" i="1"/>
  <c r="AC716" i="1"/>
  <c r="AG716" i="1"/>
  <c r="AK716" i="1"/>
  <c r="AO716" i="1"/>
  <c r="AS716" i="1"/>
  <c r="AW716" i="1"/>
  <c r="F716" i="1"/>
  <c r="J716" i="1"/>
  <c r="N716" i="1"/>
  <c r="R716" i="1"/>
  <c r="V716" i="1"/>
  <c r="Z716" i="1"/>
  <c r="AD716" i="1"/>
  <c r="AH716" i="1"/>
  <c r="AL716" i="1"/>
  <c r="AP716" i="1"/>
  <c r="AT716" i="1"/>
  <c r="AX716" i="1"/>
  <c r="C716" i="1"/>
  <c r="F717" i="1"/>
  <c r="J717" i="1"/>
  <c r="N717" i="1"/>
  <c r="R717" i="1"/>
  <c r="V717" i="1"/>
  <c r="Z717" i="1"/>
  <c r="AD717" i="1"/>
  <c r="AH717" i="1"/>
  <c r="AL717" i="1"/>
  <c r="AP717" i="1"/>
  <c r="AT717" i="1"/>
  <c r="AX717" i="1"/>
  <c r="G717" i="1"/>
  <c r="K717" i="1"/>
  <c r="O717" i="1"/>
  <c r="S717" i="1"/>
  <c r="W717" i="1"/>
  <c r="AA717" i="1"/>
  <c r="AE717" i="1"/>
  <c r="AI717" i="1"/>
  <c r="AM717" i="1"/>
  <c r="AQ717" i="1"/>
  <c r="AU717" i="1"/>
  <c r="AY717" i="1"/>
  <c r="D717" i="1"/>
  <c r="H717" i="1"/>
  <c r="L717" i="1"/>
  <c r="P717" i="1"/>
  <c r="T717" i="1"/>
  <c r="X717" i="1"/>
  <c r="AB717" i="1"/>
  <c r="AF717" i="1"/>
  <c r="AJ717" i="1"/>
  <c r="AN717" i="1"/>
  <c r="AR717" i="1"/>
  <c r="AV717" i="1"/>
  <c r="AZ717" i="1"/>
  <c r="E717" i="1"/>
  <c r="I717" i="1"/>
  <c r="M717" i="1"/>
  <c r="Q717" i="1"/>
  <c r="U717" i="1"/>
  <c r="Y717" i="1"/>
  <c r="AC717" i="1"/>
  <c r="AG717" i="1"/>
  <c r="AK717" i="1"/>
  <c r="AO717" i="1"/>
  <c r="AS717" i="1"/>
  <c r="AW717" i="1"/>
  <c r="C717" i="1"/>
  <c r="E718" i="1"/>
  <c r="I718" i="1"/>
  <c r="M718" i="1"/>
  <c r="Q718" i="1"/>
  <c r="U718" i="1"/>
  <c r="Y718" i="1"/>
  <c r="AC718" i="1"/>
  <c r="AG718" i="1"/>
  <c r="AK718" i="1"/>
  <c r="AO718" i="1"/>
  <c r="AS718" i="1"/>
  <c r="AW718" i="1"/>
  <c r="F718" i="1"/>
  <c r="J718" i="1"/>
  <c r="N718" i="1"/>
  <c r="R718" i="1"/>
  <c r="V718" i="1"/>
  <c r="Z718" i="1"/>
  <c r="AD718" i="1"/>
  <c r="AH718" i="1"/>
  <c r="AL718" i="1"/>
  <c r="AP718" i="1"/>
  <c r="AT718" i="1"/>
  <c r="AX718" i="1"/>
  <c r="G718" i="1"/>
  <c r="K718" i="1"/>
  <c r="O718" i="1"/>
  <c r="S718" i="1"/>
  <c r="W718" i="1"/>
  <c r="AA718" i="1"/>
  <c r="AE718" i="1"/>
  <c r="AI718" i="1"/>
  <c r="AM718" i="1"/>
  <c r="AQ718" i="1"/>
  <c r="AU718" i="1"/>
  <c r="AY718" i="1"/>
  <c r="D718" i="1"/>
  <c r="H718" i="1"/>
  <c r="L718" i="1"/>
  <c r="P718" i="1"/>
  <c r="T718" i="1"/>
  <c r="X718" i="1"/>
  <c r="AB718" i="1"/>
  <c r="AF718" i="1"/>
  <c r="AJ718" i="1"/>
  <c r="AN718" i="1"/>
  <c r="AR718" i="1"/>
  <c r="AV718" i="1"/>
  <c r="AZ718" i="1"/>
  <c r="C718" i="1"/>
  <c r="D719" i="1"/>
  <c r="H719" i="1"/>
  <c r="L719" i="1"/>
  <c r="P719" i="1"/>
  <c r="T719" i="1"/>
  <c r="X719" i="1"/>
  <c r="AB719" i="1"/>
  <c r="AF719" i="1"/>
  <c r="AJ719" i="1"/>
  <c r="AN719" i="1"/>
  <c r="AR719" i="1"/>
  <c r="AV719" i="1"/>
  <c r="AZ719" i="1"/>
  <c r="E719" i="1"/>
  <c r="I719" i="1"/>
  <c r="M719" i="1"/>
  <c r="Q719" i="1"/>
  <c r="U719" i="1"/>
  <c r="Y719" i="1"/>
  <c r="AC719" i="1"/>
  <c r="AG719" i="1"/>
  <c r="AK719" i="1"/>
  <c r="AO719" i="1"/>
  <c r="AS719" i="1"/>
  <c r="AW719" i="1"/>
  <c r="F719" i="1"/>
  <c r="J719" i="1"/>
  <c r="N719" i="1"/>
  <c r="R719" i="1"/>
  <c r="V719" i="1"/>
  <c r="Z719" i="1"/>
  <c r="AD719" i="1"/>
  <c r="AH719" i="1"/>
  <c r="AL719" i="1"/>
  <c r="AP719" i="1"/>
  <c r="AT719" i="1"/>
  <c r="AX719" i="1"/>
  <c r="G719" i="1"/>
  <c r="K719" i="1"/>
  <c r="O719" i="1"/>
  <c r="S719" i="1"/>
  <c r="W719" i="1"/>
  <c r="AA719" i="1"/>
  <c r="AE719" i="1"/>
  <c r="AI719" i="1"/>
  <c r="AM719" i="1"/>
  <c r="AQ719" i="1"/>
  <c r="AU719" i="1"/>
  <c r="AY719" i="1"/>
  <c r="C719" i="1"/>
  <c r="G720" i="1"/>
  <c r="K720" i="1"/>
  <c r="O720" i="1"/>
  <c r="S720" i="1"/>
  <c r="W720" i="1"/>
  <c r="AA720" i="1"/>
  <c r="AE720" i="1"/>
  <c r="AI720" i="1"/>
  <c r="AM720" i="1"/>
  <c r="AQ720" i="1"/>
  <c r="AU720" i="1"/>
  <c r="AY720" i="1"/>
  <c r="D720" i="1"/>
  <c r="H720" i="1"/>
  <c r="L720" i="1"/>
  <c r="P720" i="1"/>
  <c r="T720" i="1"/>
  <c r="X720" i="1"/>
  <c r="AB720" i="1"/>
  <c r="AF720" i="1"/>
  <c r="AJ720" i="1"/>
  <c r="AN720" i="1"/>
  <c r="AR720" i="1"/>
  <c r="AV720" i="1"/>
  <c r="AZ720" i="1"/>
  <c r="E720" i="1"/>
  <c r="I720" i="1"/>
  <c r="M720" i="1"/>
  <c r="Q720" i="1"/>
  <c r="U720" i="1"/>
  <c r="Y720" i="1"/>
  <c r="AC720" i="1"/>
  <c r="AG720" i="1"/>
  <c r="AK720" i="1"/>
  <c r="AO720" i="1"/>
  <c r="AS720" i="1"/>
  <c r="AW720" i="1"/>
  <c r="F720" i="1"/>
  <c r="J720" i="1"/>
  <c r="N720" i="1"/>
  <c r="R720" i="1"/>
  <c r="V720" i="1"/>
  <c r="Z720" i="1"/>
  <c r="AD720" i="1"/>
  <c r="AH720" i="1"/>
  <c r="AL720" i="1"/>
  <c r="AP720" i="1"/>
  <c r="AT720" i="1"/>
  <c r="AX720" i="1"/>
  <c r="C720" i="1"/>
  <c r="F721" i="1"/>
  <c r="J721" i="1"/>
  <c r="N721" i="1"/>
  <c r="R721" i="1"/>
  <c r="V721" i="1"/>
  <c r="Z721" i="1"/>
  <c r="AD721" i="1"/>
  <c r="AH721" i="1"/>
  <c r="AL721" i="1"/>
  <c r="AP721" i="1"/>
  <c r="AT721" i="1"/>
  <c r="AX721" i="1"/>
  <c r="G721" i="1"/>
  <c r="K721" i="1"/>
  <c r="O721" i="1"/>
  <c r="S721" i="1"/>
  <c r="W721" i="1"/>
  <c r="AA721" i="1"/>
  <c r="AE721" i="1"/>
  <c r="AI721" i="1"/>
  <c r="AM721" i="1"/>
  <c r="AQ721" i="1"/>
  <c r="AU721" i="1"/>
  <c r="AY721" i="1"/>
  <c r="D721" i="1"/>
  <c r="H721" i="1"/>
  <c r="L721" i="1"/>
  <c r="P721" i="1"/>
  <c r="T721" i="1"/>
  <c r="X721" i="1"/>
  <c r="AB721" i="1"/>
  <c r="AF721" i="1"/>
  <c r="AJ721" i="1"/>
  <c r="AN721" i="1"/>
  <c r="AR721" i="1"/>
  <c r="AV721" i="1"/>
  <c r="AZ721" i="1"/>
  <c r="E721" i="1"/>
  <c r="I721" i="1"/>
  <c r="M721" i="1"/>
  <c r="Q721" i="1"/>
  <c r="U721" i="1"/>
  <c r="Y721" i="1"/>
  <c r="AC721" i="1"/>
  <c r="AG721" i="1"/>
  <c r="AK721" i="1"/>
  <c r="AO721" i="1"/>
  <c r="AS721" i="1"/>
  <c r="AW721" i="1"/>
  <c r="C721" i="1"/>
  <c r="E722" i="1"/>
  <c r="I722" i="1"/>
  <c r="M722" i="1"/>
  <c r="Q722" i="1"/>
  <c r="U722" i="1"/>
  <c r="Y722" i="1"/>
  <c r="AC722" i="1"/>
  <c r="AG722" i="1"/>
  <c r="AK722" i="1"/>
  <c r="AO722" i="1"/>
  <c r="AS722" i="1"/>
  <c r="AW722" i="1"/>
  <c r="F722" i="1"/>
  <c r="J722" i="1"/>
  <c r="N722" i="1"/>
  <c r="R722" i="1"/>
  <c r="V722" i="1"/>
  <c r="Z722" i="1"/>
  <c r="AD722" i="1"/>
  <c r="AH722" i="1"/>
  <c r="AL722" i="1"/>
  <c r="AP722" i="1"/>
  <c r="AT722" i="1"/>
  <c r="AX722" i="1"/>
  <c r="G722" i="1"/>
  <c r="K722" i="1"/>
  <c r="O722" i="1"/>
  <c r="S722" i="1"/>
  <c r="W722" i="1"/>
  <c r="AA722" i="1"/>
  <c r="AE722" i="1"/>
  <c r="AI722" i="1"/>
  <c r="AM722" i="1"/>
  <c r="AQ722" i="1"/>
  <c r="AU722" i="1"/>
  <c r="AY722" i="1"/>
  <c r="D722" i="1"/>
  <c r="H722" i="1"/>
  <c r="L722" i="1"/>
  <c r="P722" i="1"/>
  <c r="T722" i="1"/>
  <c r="X722" i="1"/>
  <c r="AB722" i="1"/>
  <c r="AF722" i="1"/>
  <c r="AJ722" i="1"/>
  <c r="AN722" i="1"/>
  <c r="AR722" i="1"/>
  <c r="AV722" i="1"/>
  <c r="AZ722" i="1"/>
  <c r="C722" i="1"/>
  <c r="D723" i="1"/>
  <c r="H723" i="1"/>
  <c r="L723" i="1"/>
  <c r="P723" i="1"/>
  <c r="T723" i="1"/>
  <c r="X723" i="1"/>
  <c r="AB723" i="1"/>
  <c r="AF723" i="1"/>
  <c r="AJ723" i="1"/>
  <c r="AN723" i="1"/>
  <c r="AR723" i="1"/>
  <c r="AV723" i="1"/>
  <c r="AZ723" i="1"/>
  <c r="E723" i="1"/>
  <c r="I723" i="1"/>
  <c r="M723" i="1"/>
  <c r="Q723" i="1"/>
  <c r="U723" i="1"/>
  <c r="Y723" i="1"/>
  <c r="AC723" i="1"/>
  <c r="AG723" i="1"/>
  <c r="AK723" i="1"/>
  <c r="AO723" i="1"/>
  <c r="AS723" i="1"/>
  <c r="AW723" i="1"/>
  <c r="F723" i="1"/>
  <c r="J723" i="1"/>
  <c r="N723" i="1"/>
  <c r="R723" i="1"/>
  <c r="V723" i="1"/>
  <c r="Z723" i="1"/>
  <c r="AD723" i="1"/>
  <c r="AH723" i="1"/>
  <c r="AL723" i="1"/>
  <c r="AP723" i="1"/>
  <c r="AT723" i="1"/>
  <c r="AX723" i="1"/>
  <c r="G723" i="1"/>
  <c r="K723" i="1"/>
  <c r="O723" i="1"/>
  <c r="S723" i="1"/>
  <c r="W723" i="1"/>
  <c r="AA723" i="1"/>
  <c r="AE723" i="1"/>
  <c r="AI723" i="1"/>
  <c r="AM723" i="1"/>
  <c r="AQ723" i="1"/>
  <c r="AU723" i="1"/>
  <c r="AY723" i="1"/>
  <c r="C723" i="1"/>
  <c r="G724" i="1"/>
  <c r="K724" i="1"/>
  <c r="O724" i="1"/>
  <c r="S724" i="1"/>
  <c r="W724" i="1"/>
  <c r="AA724" i="1"/>
  <c r="AE724" i="1"/>
  <c r="AI724" i="1"/>
  <c r="AM724" i="1"/>
  <c r="AQ724" i="1"/>
  <c r="AU724" i="1"/>
  <c r="AY724" i="1"/>
  <c r="D724" i="1"/>
  <c r="H724" i="1"/>
  <c r="L724" i="1"/>
  <c r="P724" i="1"/>
  <c r="T724" i="1"/>
  <c r="X724" i="1"/>
  <c r="AB724" i="1"/>
  <c r="AF724" i="1"/>
  <c r="AJ724" i="1"/>
  <c r="AN724" i="1"/>
  <c r="AR724" i="1"/>
  <c r="AV724" i="1"/>
  <c r="AZ724" i="1"/>
  <c r="E724" i="1"/>
  <c r="I724" i="1"/>
  <c r="M724" i="1"/>
  <c r="Q724" i="1"/>
  <c r="U724" i="1"/>
  <c r="Y724" i="1"/>
  <c r="AC724" i="1"/>
  <c r="AG724" i="1"/>
  <c r="AK724" i="1"/>
  <c r="AO724" i="1"/>
  <c r="AS724" i="1"/>
  <c r="AW724" i="1"/>
  <c r="F724" i="1"/>
  <c r="J724" i="1"/>
  <c r="N724" i="1"/>
  <c r="R724" i="1"/>
  <c r="V724" i="1"/>
  <c r="Z724" i="1"/>
  <c r="AD724" i="1"/>
  <c r="AH724" i="1"/>
  <c r="AL724" i="1"/>
  <c r="AP724" i="1"/>
  <c r="AT724" i="1"/>
  <c r="AX724" i="1"/>
  <c r="C724" i="1"/>
  <c r="F725" i="1"/>
  <c r="J725" i="1"/>
  <c r="N725" i="1"/>
  <c r="R725" i="1"/>
  <c r="V725" i="1"/>
  <c r="Z725" i="1"/>
  <c r="AD725" i="1"/>
  <c r="AH725" i="1"/>
  <c r="AL725" i="1"/>
  <c r="AP725" i="1"/>
  <c r="AT725" i="1"/>
  <c r="AX725" i="1"/>
  <c r="G725" i="1"/>
  <c r="K725" i="1"/>
  <c r="O725" i="1"/>
  <c r="S725" i="1"/>
  <c r="W725" i="1"/>
  <c r="AA725" i="1"/>
  <c r="AE725" i="1"/>
  <c r="AI725" i="1"/>
  <c r="AM725" i="1"/>
  <c r="AQ725" i="1"/>
  <c r="AU725" i="1"/>
  <c r="AY725" i="1"/>
  <c r="D725" i="1"/>
  <c r="H725" i="1"/>
  <c r="L725" i="1"/>
  <c r="P725" i="1"/>
  <c r="T725" i="1"/>
  <c r="X725" i="1"/>
  <c r="AB725" i="1"/>
  <c r="AF725" i="1"/>
  <c r="AJ725" i="1"/>
  <c r="AN725" i="1"/>
  <c r="AR725" i="1"/>
  <c r="AV725" i="1"/>
  <c r="AZ725" i="1"/>
  <c r="E725" i="1"/>
  <c r="I725" i="1"/>
  <c r="M725" i="1"/>
  <c r="Q725" i="1"/>
  <c r="U725" i="1"/>
  <c r="Y725" i="1"/>
  <c r="AC725" i="1"/>
  <c r="AG725" i="1"/>
  <c r="AK725" i="1"/>
  <c r="AO725" i="1"/>
  <c r="AS725" i="1"/>
  <c r="AW725" i="1"/>
  <c r="C725" i="1"/>
  <c r="E726" i="1"/>
  <c r="I726" i="1"/>
  <c r="M726" i="1"/>
  <c r="Q726" i="1"/>
  <c r="U726" i="1"/>
  <c r="Y726" i="1"/>
  <c r="AC726" i="1"/>
  <c r="AG726" i="1"/>
  <c r="AK726" i="1"/>
  <c r="AO726" i="1"/>
  <c r="AS726" i="1"/>
  <c r="AW726" i="1"/>
  <c r="F726" i="1"/>
  <c r="J726" i="1"/>
  <c r="N726" i="1"/>
  <c r="R726" i="1"/>
  <c r="V726" i="1"/>
  <c r="Z726" i="1"/>
  <c r="AD726" i="1"/>
  <c r="AH726" i="1"/>
  <c r="AL726" i="1"/>
  <c r="AP726" i="1"/>
  <c r="AT726" i="1"/>
  <c r="AX726" i="1"/>
  <c r="G726" i="1"/>
  <c r="K726" i="1"/>
  <c r="O726" i="1"/>
  <c r="S726" i="1"/>
  <c r="W726" i="1"/>
  <c r="AA726" i="1"/>
  <c r="AE726" i="1"/>
  <c r="AI726" i="1"/>
  <c r="AM726" i="1"/>
  <c r="AQ726" i="1"/>
  <c r="AU726" i="1"/>
  <c r="AY726" i="1"/>
  <c r="D726" i="1"/>
  <c r="H726" i="1"/>
  <c r="L726" i="1"/>
  <c r="P726" i="1"/>
  <c r="T726" i="1"/>
  <c r="X726" i="1"/>
  <c r="AB726" i="1"/>
  <c r="AF726" i="1"/>
  <c r="AJ726" i="1"/>
  <c r="AN726" i="1"/>
  <c r="AR726" i="1"/>
  <c r="AV726" i="1"/>
  <c r="AZ726" i="1"/>
  <c r="C726" i="1"/>
  <c r="D727" i="1"/>
  <c r="H727" i="1"/>
  <c r="L727" i="1"/>
  <c r="P727" i="1"/>
  <c r="T727" i="1"/>
  <c r="X727" i="1"/>
  <c r="AB727" i="1"/>
  <c r="AF727" i="1"/>
  <c r="AJ727" i="1"/>
  <c r="AN727" i="1"/>
  <c r="AR727" i="1"/>
  <c r="AV727" i="1"/>
  <c r="AZ727" i="1"/>
  <c r="E727" i="1"/>
  <c r="I727" i="1"/>
  <c r="M727" i="1"/>
  <c r="Q727" i="1"/>
  <c r="U727" i="1"/>
  <c r="Y727" i="1"/>
  <c r="AC727" i="1"/>
  <c r="AG727" i="1"/>
  <c r="AK727" i="1"/>
  <c r="AO727" i="1"/>
  <c r="AS727" i="1"/>
  <c r="AW727" i="1"/>
  <c r="F727" i="1"/>
  <c r="J727" i="1"/>
  <c r="N727" i="1"/>
  <c r="R727" i="1"/>
  <c r="V727" i="1"/>
  <c r="Z727" i="1"/>
  <c r="AD727" i="1"/>
  <c r="AH727" i="1"/>
  <c r="AL727" i="1"/>
  <c r="AP727" i="1"/>
  <c r="AT727" i="1"/>
  <c r="AX727" i="1"/>
  <c r="G727" i="1"/>
  <c r="K727" i="1"/>
  <c r="O727" i="1"/>
  <c r="S727" i="1"/>
  <c r="W727" i="1"/>
  <c r="AA727" i="1"/>
  <c r="AE727" i="1"/>
  <c r="AI727" i="1"/>
  <c r="AM727" i="1"/>
  <c r="AQ727" i="1"/>
  <c r="AU727" i="1"/>
  <c r="AY727" i="1"/>
  <c r="C727" i="1"/>
  <c r="G728" i="1"/>
  <c r="K728" i="1"/>
  <c r="O728" i="1"/>
  <c r="S728" i="1"/>
  <c r="W728" i="1"/>
  <c r="AA728" i="1"/>
  <c r="AE728" i="1"/>
  <c r="AI728" i="1"/>
  <c r="AM728" i="1"/>
  <c r="AQ728" i="1"/>
  <c r="AU728" i="1"/>
  <c r="AY728" i="1"/>
  <c r="D728" i="1"/>
  <c r="H728" i="1"/>
  <c r="L728" i="1"/>
  <c r="P728" i="1"/>
  <c r="T728" i="1"/>
  <c r="X728" i="1"/>
  <c r="AB728" i="1"/>
  <c r="AF728" i="1"/>
  <c r="AJ728" i="1"/>
  <c r="AN728" i="1"/>
  <c r="AR728" i="1"/>
  <c r="AV728" i="1"/>
  <c r="AZ728" i="1"/>
  <c r="E728" i="1"/>
  <c r="I728" i="1"/>
  <c r="M728" i="1"/>
  <c r="Q728" i="1"/>
  <c r="U728" i="1"/>
  <c r="Y728" i="1"/>
  <c r="AC728" i="1"/>
  <c r="AG728" i="1"/>
  <c r="AK728" i="1"/>
  <c r="AO728" i="1"/>
  <c r="AS728" i="1"/>
  <c r="AW728" i="1"/>
  <c r="F728" i="1"/>
  <c r="J728" i="1"/>
  <c r="N728" i="1"/>
  <c r="R728" i="1"/>
  <c r="V728" i="1"/>
  <c r="Z728" i="1"/>
  <c r="AD728" i="1"/>
  <c r="AH728" i="1"/>
  <c r="AL728" i="1"/>
  <c r="AP728" i="1"/>
  <c r="AT728" i="1"/>
  <c r="AX728" i="1"/>
  <c r="C728" i="1"/>
  <c r="F729" i="1"/>
  <c r="J729" i="1"/>
  <c r="N729" i="1"/>
  <c r="R729" i="1"/>
  <c r="V729" i="1"/>
  <c r="Z729" i="1"/>
  <c r="AD729" i="1"/>
  <c r="AH729" i="1"/>
  <c r="AL729" i="1"/>
  <c r="AP729" i="1"/>
  <c r="AT729" i="1"/>
  <c r="AX729" i="1"/>
  <c r="G729" i="1"/>
  <c r="K729" i="1"/>
  <c r="O729" i="1"/>
  <c r="S729" i="1"/>
  <c r="W729" i="1"/>
  <c r="AA729" i="1"/>
  <c r="AE729" i="1"/>
  <c r="AI729" i="1"/>
  <c r="AM729" i="1"/>
  <c r="AQ729" i="1"/>
  <c r="AU729" i="1"/>
  <c r="AY729" i="1"/>
  <c r="D729" i="1"/>
  <c r="H729" i="1"/>
  <c r="L729" i="1"/>
  <c r="P729" i="1"/>
  <c r="T729" i="1"/>
  <c r="X729" i="1"/>
  <c r="AB729" i="1"/>
  <c r="AF729" i="1"/>
  <c r="AJ729" i="1"/>
  <c r="AN729" i="1"/>
  <c r="AR729" i="1"/>
  <c r="AV729" i="1"/>
  <c r="AZ729" i="1"/>
  <c r="E729" i="1"/>
  <c r="I729" i="1"/>
  <c r="M729" i="1"/>
  <c r="Q729" i="1"/>
  <c r="U729" i="1"/>
  <c r="Y729" i="1"/>
  <c r="AC729" i="1"/>
  <c r="AG729" i="1"/>
  <c r="AK729" i="1"/>
  <c r="AO729" i="1"/>
  <c r="AS729" i="1"/>
  <c r="AW729" i="1"/>
  <c r="C729" i="1"/>
  <c r="E730" i="1"/>
  <c r="I730" i="1"/>
  <c r="M730" i="1"/>
  <c r="Q730" i="1"/>
  <c r="U730" i="1"/>
  <c r="Y730" i="1"/>
  <c r="AC730" i="1"/>
  <c r="AG730" i="1"/>
  <c r="AK730" i="1"/>
  <c r="AO730" i="1"/>
  <c r="AS730" i="1"/>
  <c r="AW730" i="1"/>
  <c r="F730" i="1"/>
  <c r="J730" i="1"/>
  <c r="N730" i="1"/>
  <c r="R730" i="1"/>
  <c r="V730" i="1"/>
  <c r="Z730" i="1"/>
  <c r="AD730" i="1"/>
  <c r="AH730" i="1"/>
  <c r="AL730" i="1"/>
  <c r="AP730" i="1"/>
  <c r="AT730" i="1"/>
  <c r="AX730" i="1"/>
  <c r="G730" i="1"/>
  <c r="K730" i="1"/>
  <c r="O730" i="1"/>
  <c r="S730" i="1"/>
  <c r="W730" i="1"/>
  <c r="AA730" i="1"/>
  <c r="AE730" i="1"/>
  <c r="AI730" i="1"/>
  <c r="AM730" i="1"/>
  <c r="AQ730" i="1"/>
  <c r="AU730" i="1"/>
  <c r="AY730" i="1"/>
  <c r="D730" i="1"/>
  <c r="H730" i="1"/>
  <c r="L730" i="1"/>
  <c r="P730" i="1"/>
  <c r="T730" i="1"/>
  <c r="X730" i="1"/>
  <c r="AB730" i="1"/>
  <c r="AF730" i="1"/>
  <c r="AJ730" i="1"/>
  <c r="AN730" i="1"/>
  <c r="AR730" i="1"/>
  <c r="AV730" i="1"/>
  <c r="AZ730" i="1"/>
  <c r="C730" i="1"/>
  <c r="D731" i="1"/>
  <c r="H731" i="1"/>
  <c r="L731" i="1"/>
  <c r="P731" i="1"/>
  <c r="T731" i="1"/>
  <c r="X731" i="1"/>
  <c r="AB731" i="1"/>
  <c r="AF731" i="1"/>
  <c r="AJ731" i="1"/>
  <c r="AN731" i="1"/>
  <c r="AR731" i="1"/>
  <c r="AV731" i="1"/>
  <c r="AZ731" i="1"/>
  <c r="E731" i="1"/>
  <c r="I731" i="1"/>
  <c r="M731" i="1"/>
  <c r="Q731" i="1"/>
  <c r="U731" i="1"/>
  <c r="Y731" i="1"/>
  <c r="AC731" i="1"/>
  <c r="AG731" i="1"/>
  <c r="AK731" i="1"/>
  <c r="AO731" i="1"/>
  <c r="AS731" i="1"/>
  <c r="AW731" i="1"/>
  <c r="F731" i="1"/>
  <c r="J731" i="1"/>
  <c r="N731" i="1"/>
  <c r="R731" i="1"/>
  <c r="V731" i="1"/>
  <c r="Z731" i="1"/>
  <c r="AD731" i="1"/>
  <c r="AH731" i="1"/>
  <c r="AL731" i="1"/>
  <c r="AP731" i="1"/>
  <c r="AT731" i="1"/>
  <c r="AX731" i="1"/>
  <c r="G731" i="1"/>
  <c r="K731" i="1"/>
  <c r="O731" i="1"/>
  <c r="S731" i="1"/>
  <c r="W731" i="1"/>
  <c r="AA731" i="1"/>
  <c r="AE731" i="1"/>
  <c r="AI731" i="1"/>
  <c r="AM731" i="1"/>
  <c r="AQ731" i="1"/>
  <c r="AU731" i="1"/>
  <c r="AY731" i="1"/>
  <c r="C731" i="1"/>
  <c r="G732" i="1"/>
  <c r="K732" i="1"/>
  <c r="O732" i="1"/>
  <c r="S732" i="1"/>
  <c r="W732" i="1"/>
  <c r="AA732" i="1"/>
  <c r="AE732" i="1"/>
  <c r="AI732" i="1"/>
  <c r="AM732" i="1"/>
  <c r="AQ732" i="1"/>
  <c r="AU732" i="1"/>
  <c r="AY732" i="1"/>
  <c r="D732" i="1"/>
  <c r="H732" i="1"/>
  <c r="L732" i="1"/>
  <c r="P732" i="1"/>
  <c r="T732" i="1"/>
  <c r="X732" i="1"/>
  <c r="AB732" i="1"/>
  <c r="AF732" i="1"/>
  <c r="AJ732" i="1"/>
  <c r="AN732" i="1"/>
  <c r="AR732" i="1"/>
  <c r="AV732" i="1"/>
  <c r="AZ732" i="1"/>
  <c r="E732" i="1"/>
  <c r="I732" i="1"/>
  <c r="M732" i="1"/>
  <c r="Q732" i="1"/>
  <c r="U732" i="1"/>
  <c r="Y732" i="1"/>
  <c r="AC732" i="1"/>
  <c r="AG732" i="1"/>
  <c r="AK732" i="1"/>
  <c r="AO732" i="1"/>
  <c r="AS732" i="1"/>
  <c r="AW732" i="1"/>
  <c r="F732" i="1"/>
  <c r="J732" i="1"/>
  <c r="N732" i="1"/>
  <c r="R732" i="1"/>
  <c r="V732" i="1"/>
  <c r="Z732" i="1"/>
  <c r="AD732" i="1"/>
  <c r="AH732" i="1"/>
  <c r="AL732" i="1"/>
  <c r="AP732" i="1"/>
  <c r="AT732" i="1"/>
  <c r="AX732" i="1"/>
  <c r="C732" i="1"/>
  <c r="F733" i="1"/>
  <c r="J733" i="1"/>
  <c r="N733" i="1"/>
  <c r="R733" i="1"/>
  <c r="V733" i="1"/>
  <c r="Z733" i="1"/>
  <c r="AD733" i="1"/>
  <c r="AH733" i="1"/>
  <c r="AL733" i="1"/>
  <c r="AP733" i="1"/>
  <c r="AT733" i="1"/>
  <c r="AX733" i="1"/>
  <c r="G733" i="1"/>
  <c r="K733" i="1"/>
  <c r="O733" i="1"/>
  <c r="S733" i="1"/>
  <c r="W733" i="1"/>
  <c r="AA733" i="1"/>
  <c r="AE733" i="1"/>
  <c r="AI733" i="1"/>
  <c r="AM733" i="1"/>
  <c r="AQ733" i="1"/>
  <c r="AU733" i="1"/>
  <c r="AY733" i="1"/>
  <c r="D733" i="1"/>
  <c r="H733" i="1"/>
  <c r="L733" i="1"/>
  <c r="P733" i="1"/>
  <c r="T733" i="1"/>
  <c r="X733" i="1"/>
  <c r="AB733" i="1"/>
  <c r="AF733" i="1"/>
  <c r="AJ733" i="1"/>
  <c r="AN733" i="1"/>
  <c r="AR733" i="1"/>
  <c r="AV733" i="1"/>
  <c r="AZ733" i="1"/>
  <c r="E733" i="1"/>
  <c r="I733" i="1"/>
  <c r="M733" i="1"/>
  <c r="Q733" i="1"/>
  <c r="U733" i="1"/>
  <c r="Y733" i="1"/>
  <c r="AC733" i="1"/>
  <c r="AG733" i="1"/>
  <c r="AK733" i="1"/>
  <c r="AO733" i="1"/>
  <c r="AS733" i="1"/>
  <c r="AW733" i="1"/>
  <c r="C733" i="1"/>
  <c r="E734" i="1"/>
  <c r="I734" i="1"/>
  <c r="M734" i="1"/>
  <c r="Q734" i="1"/>
  <c r="U734" i="1"/>
  <c r="Y734" i="1"/>
  <c r="AC734" i="1"/>
  <c r="AG734" i="1"/>
  <c r="AK734" i="1"/>
  <c r="AO734" i="1"/>
  <c r="AS734" i="1"/>
  <c r="AW734" i="1"/>
  <c r="F734" i="1"/>
  <c r="J734" i="1"/>
  <c r="N734" i="1"/>
  <c r="R734" i="1"/>
  <c r="V734" i="1"/>
  <c r="Z734" i="1"/>
  <c r="AD734" i="1"/>
  <c r="AH734" i="1"/>
  <c r="AL734" i="1"/>
  <c r="AP734" i="1"/>
  <c r="AT734" i="1"/>
  <c r="AX734" i="1"/>
  <c r="G734" i="1"/>
  <c r="K734" i="1"/>
  <c r="O734" i="1"/>
  <c r="S734" i="1"/>
  <c r="W734" i="1"/>
  <c r="AA734" i="1"/>
  <c r="AE734" i="1"/>
  <c r="AI734" i="1"/>
  <c r="AM734" i="1"/>
  <c r="AQ734" i="1"/>
  <c r="AU734" i="1"/>
  <c r="AY734" i="1"/>
  <c r="D734" i="1"/>
  <c r="H734" i="1"/>
  <c r="L734" i="1"/>
  <c r="P734" i="1"/>
  <c r="T734" i="1"/>
  <c r="X734" i="1"/>
  <c r="AB734" i="1"/>
  <c r="AF734" i="1"/>
  <c r="AJ734" i="1"/>
  <c r="AN734" i="1"/>
  <c r="AR734" i="1"/>
  <c r="AV734" i="1"/>
  <c r="AZ734" i="1"/>
  <c r="C734" i="1"/>
  <c r="D735" i="1"/>
  <c r="H735" i="1"/>
  <c r="L735" i="1"/>
  <c r="P735" i="1"/>
  <c r="T735" i="1"/>
  <c r="X735" i="1"/>
  <c r="AB735" i="1"/>
  <c r="AF735" i="1"/>
  <c r="AJ735" i="1"/>
  <c r="AN735" i="1"/>
  <c r="AR735" i="1"/>
  <c r="AV735" i="1"/>
  <c r="AZ735" i="1"/>
  <c r="E735" i="1"/>
  <c r="I735" i="1"/>
  <c r="M735" i="1"/>
  <c r="Q735" i="1"/>
  <c r="U735" i="1"/>
  <c r="Y735" i="1"/>
  <c r="AC735" i="1"/>
  <c r="AG735" i="1"/>
  <c r="AK735" i="1"/>
  <c r="AO735" i="1"/>
  <c r="AS735" i="1"/>
  <c r="AW735" i="1"/>
  <c r="F735" i="1"/>
  <c r="J735" i="1"/>
  <c r="N735" i="1"/>
  <c r="R735" i="1"/>
  <c r="V735" i="1"/>
  <c r="Z735" i="1"/>
  <c r="AD735" i="1"/>
  <c r="AH735" i="1"/>
  <c r="AL735" i="1"/>
  <c r="AP735" i="1"/>
  <c r="AT735" i="1"/>
  <c r="AX735" i="1"/>
  <c r="G735" i="1"/>
  <c r="K735" i="1"/>
  <c r="O735" i="1"/>
  <c r="S735" i="1"/>
  <c r="W735" i="1"/>
  <c r="AA735" i="1"/>
  <c r="AE735" i="1"/>
  <c r="AI735" i="1"/>
  <c r="AM735" i="1"/>
  <c r="AQ735" i="1"/>
  <c r="AU735" i="1"/>
  <c r="AY735" i="1"/>
  <c r="C735" i="1"/>
  <c r="G736" i="1"/>
  <c r="K736" i="1"/>
  <c r="O736" i="1"/>
  <c r="S736" i="1"/>
  <c r="W736" i="1"/>
  <c r="AA736" i="1"/>
  <c r="AE736" i="1"/>
  <c r="AI736" i="1"/>
  <c r="AM736" i="1"/>
  <c r="AQ736" i="1"/>
  <c r="AU736" i="1"/>
  <c r="AY736" i="1"/>
  <c r="D736" i="1"/>
  <c r="H736" i="1"/>
  <c r="L736" i="1"/>
  <c r="P736" i="1"/>
  <c r="T736" i="1"/>
  <c r="X736" i="1"/>
  <c r="AB736" i="1"/>
  <c r="AF736" i="1"/>
  <c r="AJ736" i="1"/>
  <c r="AN736" i="1"/>
  <c r="AR736" i="1"/>
  <c r="AV736" i="1"/>
  <c r="AZ736" i="1"/>
  <c r="E736" i="1"/>
  <c r="I736" i="1"/>
  <c r="M736" i="1"/>
  <c r="Q736" i="1"/>
  <c r="U736" i="1"/>
  <c r="Y736" i="1"/>
  <c r="AC736" i="1"/>
  <c r="AG736" i="1"/>
  <c r="AK736" i="1"/>
  <c r="AO736" i="1"/>
  <c r="AS736" i="1"/>
  <c r="AW736" i="1"/>
  <c r="F736" i="1"/>
  <c r="J736" i="1"/>
  <c r="N736" i="1"/>
  <c r="R736" i="1"/>
  <c r="V736" i="1"/>
  <c r="Z736" i="1"/>
  <c r="AD736" i="1"/>
  <c r="AH736" i="1"/>
  <c r="AL736" i="1"/>
  <c r="AP736" i="1"/>
  <c r="AT736" i="1"/>
  <c r="AX736" i="1"/>
  <c r="C736" i="1"/>
  <c r="F737" i="1"/>
  <c r="J737" i="1"/>
  <c r="N737" i="1"/>
  <c r="R737" i="1"/>
  <c r="V737" i="1"/>
  <c r="Z737" i="1"/>
  <c r="AD737" i="1"/>
  <c r="AH737" i="1"/>
  <c r="AL737" i="1"/>
  <c r="AP737" i="1"/>
  <c r="AT737" i="1"/>
  <c r="AX737" i="1"/>
  <c r="G737" i="1"/>
  <c r="K737" i="1"/>
  <c r="O737" i="1"/>
  <c r="S737" i="1"/>
  <c r="W737" i="1"/>
  <c r="AA737" i="1"/>
  <c r="AE737" i="1"/>
  <c r="AI737" i="1"/>
  <c r="AM737" i="1"/>
  <c r="AQ737" i="1"/>
  <c r="AU737" i="1"/>
  <c r="AY737" i="1"/>
  <c r="D737" i="1"/>
  <c r="H737" i="1"/>
  <c r="L737" i="1"/>
  <c r="P737" i="1"/>
  <c r="T737" i="1"/>
  <c r="X737" i="1"/>
  <c r="AB737" i="1"/>
  <c r="AF737" i="1"/>
  <c r="AJ737" i="1"/>
  <c r="AN737" i="1"/>
  <c r="AR737" i="1"/>
  <c r="AV737" i="1"/>
  <c r="AZ737" i="1"/>
  <c r="E737" i="1"/>
  <c r="I737" i="1"/>
  <c r="M737" i="1"/>
  <c r="Q737" i="1"/>
  <c r="U737" i="1"/>
  <c r="Y737" i="1"/>
  <c r="AC737" i="1"/>
  <c r="AG737" i="1"/>
  <c r="AK737" i="1"/>
  <c r="AO737" i="1"/>
  <c r="AS737" i="1"/>
  <c r="AW737" i="1"/>
  <c r="C737" i="1"/>
  <c r="E738" i="1"/>
  <c r="I738" i="1"/>
  <c r="M738" i="1"/>
  <c r="Q738" i="1"/>
  <c r="U738" i="1"/>
  <c r="Y738" i="1"/>
  <c r="AC738" i="1"/>
  <c r="AG738" i="1"/>
  <c r="AK738" i="1"/>
  <c r="AO738" i="1"/>
  <c r="AS738" i="1"/>
  <c r="AW738" i="1"/>
  <c r="F738" i="1"/>
  <c r="J738" i="1"/>
  <c r="N738" i="1"/>
  <c r="R738" i="1"/>
  <c r="V738" i="1"/>
  <c r="Z738" i="1"/>
  <c r="AD738" i="1"/>
  <c r="AH738" i="1"/>
  <c r="AL738" i="1"/>
  <c r="AP738" i="1"/>
  <c r="AT738" i="1"/>
  <c r="AX738" i="1"/>
  <c r="G738" i="1"/>
  <c r="K738" i="1"/>
  <c r="O738" i="1"/>
  <c r="S738" i="1"/>
  <c r="W738" i="1"/>
  <c r="AA738" i="1"/>
  <c r="AE738" i="1"/>
  <c r="AI738" i="1"/>
  <c r="AM738" i="1"/>
  <c r="AQ738" i="1"/>
  <c r="AU738" i="1"/>
  <c r="AY738" i="1"/>
  <c r="D738" i="1"/>
  <c r="H738" i="1"/>
  <c r="L738" i="1"/>
  <c r="P738" i="1"/>
  <c r="T738" i="1"/>
  <c r="X738" i="1"/>
  <c r="AB738" i="1"/>
  <c r="AF738" i="1"/>
  <c r="AJ738" i="1"/>
  <c r="AN738" i="1"/>
  <c r="AR738" i="1"/>
  <c r="AV738" i="1"/>
  <c r="AZ738" i="1"/>
  <c r="C738" i="1"/>
  <c r="D739" i="1"/>
  <c r="H739" i="1"/>
  <c r="L739" i="1"/>
  <c r="P739" i="1"/>
  <c r="T739" i="1"/>
  <c r="X739" i="1"/>
  <c r="AB739" i="1"/>
  <c r="AF739" i="1"/>
  <c r="AJ739" i="1"/>
  <c r="AN739" i="1"/>
  <c r="AR739" i="1"/>
  <c r="AV739" i="1"/>
  <c r="AZ739" i="1"/>
  <c r="E739" i="1"/>
  <c r="I739" i="1"/>
  <c r="M739" i="1"/>
  <c r="Q739" i="1"/>
  <c r="U739" i="1"/>
  <c r="Y739" i="1"/>
  <c r="AC739" i="1"/>
  <c r="AG739" i="1"/>
  <c r="AK739" i="1"/>
  <c r="AO739" i="1"/>
  <c r="AS739" i="1"/>
  <c r="AW739" i="1"/>
  <c r="F739" i="1"/>
  <c r="J739" i="1"/>
  <c r="N739" i="1"/>
  <c r="R739" i="1"/>
  <c r="V739" i="1"/>
  <c r="Z739" i="1"/>
  <c r="AD739" i="1"/>
  <c r="AH739" i="1"/>
  <c r="AL739" i="1"/>
  <c r="AP739" i="1"/>
  <c r="AT739" i="1"/>
  <c r="AX739" i="1"/>
  <c r="G739" i="1"/>
  <c r="K739" i="1"/>
  <c r="O739" i="1"/>
  <c r="S739" i="1"/>
  <c r="W739" i="1"/>
  <c r="AA739" i="1"/>
  <c r="AE739" i="1"/>
  <c r="AI739" i="1"/>
  <c r="AM739" i="1"/>
  <c r="AQ739" i="1"/>
  <c r="AU739" i="1"/>
  <c r="AY739" i="1"/>
  <c r="C739" i="1"/>
  <c r="G740" i="1"/>
  <c r="K740" i="1"/>
  <c r="O740" i="1"/>
  <c r="S740" i="1"/>
  <c r="W740" i="1"/>
  <c r="AA740" i="1"/>
  <c r="AE740" i="1"/>
  <c r="AI740" i="1"/>
  <c r="AM740" i="1"/>
  <c r="AQ740" i="1"/>
  <c r="AU740" i="1"/>
  <c r="AY740" i="1"/>
  <c r="D740" i="1"/>
  <c r="H740" i="1"/>
  <c r="L740" i="1"/>
  <c r="P740" i="1"/>
  <c r="T740" i="1"/>
  <c r="X740" i="1"/>
  <c r="AB740" i="1"/>
  <c r="AF740" i="1"/>
  <c r="AJ740" i="1"/>
  <c r="AN740" i="1"/>
  <c r="AR740" i="1"/>
  <c r="AV740" i="1"/>
  <c r="AZ740" i="1"/>
  <c r="E740" i="1"/>
  <c r="I740" i="1"/>
  <c r="M740" i="1"/>
  <c r="Q740" i="1"/>
  <c r="U740" i="1"/>
  <c r="Y740" i="1"/>
  <c r="AC740" i="1"/>
  <c r="AG740" i="1"/>
  <c r="AK740" i="1"/>
  <c r="AO740" i="1"/>
  <c r="AS740" i="1"/>
  <c r="AW740" i="1"/>
  <c r="F740" i="1"/>
  <c r="J740" i="1"/>
  <c r="N740" i="1"/>
  <c r="R740" i="1"/>
  <c r="V740" i="1"/>
  <c r="Z740" i="1"/>
  <c r="AD740" i="1"/>
  <c r="AH740" i="1"/>
  <c r="AL740" i="1"/>
  <c r="AP740" i="1"/>
  <c r="AT740" i="1"/>
  <c r="AX740" i="1"/>
  <c r="C740" i="1"/>
  <c r="F741" i="1"/>
  <c r="J741" i="1"/>
  <c r="N741" i="1"/>
  <c r="R741" i="1"/>
  <c r="V741" i="1"/>
  <c r="Z741" i="1"/>
  <c r="AD741" i="1"/>
  <c r="AH741" i="1"/>
  <c r="AL741" i="1"/>
  <c r="AP741" i="1"/>
  <c r="AT741" i="1"/>
  <c r="AX741" i="1"/>
  <c r="G741" i="1"/>
  <c r="K741" i="1"/>
  <c r="O741" i="1"/>
  <c r="S741" i="1"/>
  <c r="W741" i="1"/>
  <c r="AA741" i="1"/>
  <c r="AE741" i="1"/>
  <c r="AI741" i="1"/>
  <c r="AM741" i="1"/>
  <c r="AQ741" i="1"/>
  <c r="AU741" i="1"/>
  <c r="AY741" i="1"/>
  <c r="D741" i="1"/>
  <c r="H741" i="1"/>
  <c r="L741" i="1"/>
  <c r="P741" i="1"/>
  <c r="T741" i="1"/>
  <c r="X741" i="1"/>
  <c r="AB741" i="1"/>
  <c r="AF741" i="1"/>
  <c r="AJ741" i="1"/>
  <c r="AN741" i="1"/>
  <c r="AR741" i="1"/>
  <c r="AV741" i="1"/>
  <c r="AZ741" i="1"/>
  <c r="E741" i="1"/>
  <c r="I741" i="1"/>
  <c r="M741" i="1"/>
  <c r="Q741" i="1"/>
  <c r="U741" i="1"/>
  <c r="Y741" i="1"/>
  <c r="AC741" i="1"/>
  <c r="AG741" i="1"/>
  <c r="AK741" i="1"/>
  <c r="AO741" i="1"/>
  <c r="AS741" i="1"/>
  <c r="AW741" i="1"/>
  <c r="C741" i="1"/>
  <c r="E742" i="1"/>
  <c r="I742" i="1"/>
  <c r="M742" i="1"/>
  <c r="Q742" i="1"/>
  <c r="U742" i="1"/>
  <c r="Y742" i="1"/>
  <c r="AC742" i="1"/>
  <c r="AG742" i="1"/>
  <c r="AK742" i="1"/>
  <c r="AO742" i="1"/>
  <c r="AS742" i="1"/>
  <c r="AW742" i="1"/>
  <c r="F742" i="1"/>
  <c r="J742" i="1"/>
  <c r="N742" i="1"/>
  <c r="R742" i="1"/>
  <c r="V742" i="1"/>
  <c r="Z742" i="1"/>
  <c r="AD742" i="1"/>
  <c r="AH742" i="1"/>
  <c r="AL742" i="1"/>
  <c r="AP742" i="1"/>
  <c r="AT742" i="1"/>
  <c r="AX742" i="1"/>
  <c r="G742" i="1"/>
  <c r="K742" i="1"/>
  <c r="O742" i="1"/>
  <c r="S742" i="1"/>
  <c r="W742" i="1"/>
  <c r="AA742" i="1"/>
  <c r="AE742" i="1"/>
  <c r="AI742" i="1"/>
  <c r="AM742" i="1"/>
  <c r="AQ742" i="1"/>
  <c r="AU742" i="1"/>
  <c r="AY742" i="1"/>
  <c r="D742" i="1"/>
  <c r="H742" i="1"/>
  <c r="L742" i="1"/>
  <c r="P742" i="1"/>
  <c r="T742" i="1"/>
  <c r="X742" i="1"/>
  <c r="AB742" i="1"/>
  <c r="AF742" i="1"/>
  <c r="AJ742" i="1"/>
  <c r="AN742" i="1"/>
  <c r="AR742" i="1"/>
  <c r="AV742" i="1"/>
  <c r="AZ742" i="1"/>
  <c r="C742" i="1"/>
  <c r="D743" i="1"/>
  <c r="H743" i="1"/>
  <c r="L743" i="1"/>
  <c r="P743" i="1"/>
  <c r="T743" i="1"/>
  <c r="X743" i="1"/>
  <c r="AB743" i="1"/>
  <c r="AF743" i="1"/>
  <c r="AJ743" i="1"/>
  <c r="AN743" i="1"/>
  <c r="AR743" i="1"/>
  <c r="AV743" i="1"/>
  <c r="AZ743" i="1"/>
  <c r="E743" i="1"/>
  <c r="I743" i="1"/>
  <c r="M743" i="1"/>
  <c r="Q743" i="1"/>
  <c r="U743" i="1"/>
  <c r="Y743" i="1"/>
  <c r="AC743" i="1"/>
  <c r="AG743" i="1"/>
  <c r="AK743" i="1"/>
  <c r="AO743" i="1"/>
  <c r="AS743" i="1"/>
  <c r="AW743" i="1"/>
  <c r="F743" i="1"/>
  <c r="J743" i="1"/>
  <c r="N743" i="1"/>
  <c r="R743" i="1"/>
  <c r="V743" i="1"/>
  <c r="Z743" i="1"/>
  <c r="AD743" i="1"/>
  <c r="AH743" i="1"/>
  <c r="AL743" i="1"/>
  <c r="AP743" i="1"/>
  <c r="AT743" i="1"/>
  <c r="AX743" i="1"/>
  <c r="G743" i="1"/>
  <c r="K743" i="1"/>
  <c r="O743" i="1"/>
  <c r="S743" i="1"/>
  <c r="W743" i="1"/>
  <c r="AA743" i="1"/>
  <c r="AE743" i="1"/>
  <c r="AI743" i="1"/>
  <c r="AM743" i="1"/>
  <c r="AQ743" i="1"/>
  <c r="AU743" i="1"/>
  <c r="AY743" i="1"/>
  <c r="C743" i="1"/>
  <c r="G744" i="1"/>
  <c r="K744" i="1"/>
  <c r="O744" i="1"/>
  <c r="S744" i="1"/>
  <c r="W744" i="1"/>
  <c r="AA744" i="1"/>
  <c r="AE744" i="1"/>
  <c r="AI744" i="1"/>
  <c r="AM744" i="1"/>
  <c r="AQ744" i="1"/>
  <c r="AU744" i="1"/>
  <c r="AY744" i="1"/>
  <c r="D744" i="1"/>
  <c r="H744" i="1"/>
  <c r="L744" i="1"/>
  <c r="P744" i="1"/>
  <c r="T744" i="1"/>
  <c r="X744" i="1"/>
  <c r="AB744" i="1"/>
  <c r="AF744" i="1"/>
  <c r="AJ744" i="1"/>
  <c r="AN744" i="1"/>
  <c r="AR744" i="1"/>
  <c r="AV744" i="1"/>
  <c r="AZ744" i="1"/>
  <c r="E744" i="1"/>
  <c r="I744" i="1"/>
  <c r="M744" i="1"/>
  <c r="Q744" i="1"/>
  <c r="U744" i="1"/>
  <c r="Y744" i="1"/>
  <c r="AC744" i="1"/>
  <c r="AG744" i="1"/>
  <c r="AK744" i="1"/>
  <c r="AO744" i="1"/>
  <c r="AS744" i="1"/>
  <c r="AW744" i="1"/>
  <c r="F744" i="1"/>
  <c r="J744" i="1"/>
  <c r="N744" i="1"/>
  <c r="R744" i="1"/>
  <c r="V744" i="1"/>
  <c r="Z744" i="1"/>
  <c r="AD744" i="1"/>
  <c r="AH744" i="1"/>
  <c r="AL744" i="1"/>
  <c r="AP744" i="1"/>
  <c r="AT744" i="1"/>
  <c r="AX744" i="1"/>
  <c r="C744" i="1"/>
  <c r="F745" i="1"/>
  <c r="J745" i="1"/>
  <c r="N745" i="1"/>
  <c r="R745" i="1"/>
  <c r="V745" i="1"/>
  <c r="Z745" i="1"/>
  <c r="AD745" i="1"/>
  <c r="AH745" i="1"/>
  <c r="AL745" i="1"/>
  <c r="AP745" i="1"/>
  <c r="AT745" i="1"/>
  <c r="AX745" i="1"/>
  <c r="G745" i="1"/>
  <c r="K745" i="1"/>
  <c r="O745" i="1"/>
  <c r="S745" i="1"/>
  <c r="W745" i="1"/>
  <c r="AA745" i="1"/>
  <c r="AE745" i="1"/>
  <c r="AI745" i="1"/>
  <c r="AM745" i="1"/>
  <c r="AQ745" i="1"/>
  <c r="AU745" i="1"/>
  <c r="AY745" i="1"/>
  <c r="D745" i="1"/>
  <c r="H745" i="1"/>
  <c r="L745" i="1"/>
  <c r="P745" i="1"/>
  <c r="T745" i="1"/>
  <c r="X745" i="1"/>
  <c r="AB745" i="1"/>
  <c r="AF745" i="1"/>
  <c r="AJ745" i="1"/>
  <c r="AN745" i="1"/>
  <c r="AR745" i="1"/>
  <c r="AV745" i="1"/>
  <c r="AZ745" i="1"/>
  <c r="E745" i="1"/>
  <c r="I745" i="1"/>
  <c r="M745" i="1"/>
  <c r="Q745" i="1"/>
  <c r="U745" i="1"/>
  <c r="Y745" i="1"/>
  <c r="AC745" i="1"/>
  <c r="AG745" i="1"/>
  <c r="AK745" i="1"/>
  <c r="AO745" i="1"/>
  <c r="AS745" i="1"/>
  <c r="AW745" i="1"/>
  <c r="C745" i="1"/>
  <c r="E746" i="1"/>
  <c r="I746" i="1"/>
  <c r="M746" i="1"/>
  <c r="Q746" i="1"/>
  <c r="U746" i="1"/>
  <c r="Y746" i="1"/>
  <c r="AC746" i="1"/>
  <c r="AG746" i="1"/>
  <c r="AK746" i="1"/>
  <c r="AO746" i="1"/>
  <c r="AS746" i="1"/>
  <c r="AW746" i="1"/>
  <c r="F746" i="1"/>
  <c r="J746" i="1"/>
  <c r="N746" i="1"/>
  <c r="R746" i="1"/>
  <c r="V746" i="1"/>
  <c r="Z746" i="1"/>
  <c r="AD746" i="1"/>
  <c r="AH746" i="1"/>
  <c r="AL746" i="1"/>
  <c r="AP746" i="1"/>
  <c r="AT746" i="1"/>
  <c r="AX746" i="1"/>
  <c r="G746" i="1"/>
  <c r="K746" i="1"/>
  <c r="O746" i="1"/>
  <c r="S746" i="1"/>
  <c r="W746" i="1"/>
  <c r="AA746" i="1"/>
  <c r="AE746" i="1"/>
  <c r="AI746" i="1"/>
  <c r="AM746" i="1"/>
  <c r="AQ746" i="1"/>
  <c r="AU746" i="1"/>
  <c r="AY746" i="1"/>
  <c r="D746" i="1"/>
  <c r="H746" i="1"/>
  <c r="L746" i="1"/>
  <c r="P746" i="1"/>
  <c r="T746" i="1"/>
  <c r="X746" i="1"/>
  <c r="AB746" i="1"/>
  <c r="AF746" i="1"/>
  <c r="AJ746" i="1"/>
  <c r="AN746" i="1"/>
  <c r="AR746" i="1"/>
  <c r="AV746" i="1"/>
  <c r="AZ746" i="1"/>
  <c r="C746" i="1"/>
  <c r="D747" i="1"/>
  <c r="H747" i="1"/>
  <c r="L747" i="1"/>
  <c r="P747" i="1"/>
  <c r="T747" i="1"/>
  <c r="X747" i="1"/>
  <c r="AB747" i="1"/>
  <c r="AF747" i="1"/>
  <c r="AJ747" i="1"/>
  <c r="AN747" i="1"/>
  <c r="AR747" i="1"/>
  <c r="AV747" i="1"/>
  <c r="AZ747" i="1"/>
  <c r="E747" i="1"/>
  <c r="I747" i="1"/>
  <c r="M747" i="1"/>
  <c r="Q747" i="1"/>
  <c r="U747" i="1"/>
  <c r="Y747" i="1"/>
  <c r="AC747" i="1"/>
  <c r="AG747" i="1"/>
  <c r="AK747" i="1"/>
  <c r="AO747" i="1"/>
  <c r="AS747" i="1"/>
  <c r="AW747" i="1"/>
  <c r="F747" i="1"/>
  <c r="J747" i="1"/>
  <c r="N747" i="1"/>
  <c r="R747" i="1"/>
  <c r="V747" i="1"/>
  <c r="Z747" i="1"/>
  <c r="AD747" i="1"/>
  <c r="AH747" i="1"/>
  <c r="AL747" i="1"/>
  <c r="AP747" i="1"/>
  <c r="AT747" i="1"/>
  <c r="AX747" i="1"/>
  <c r="G747" i="1"/>
  <c r="K747" i="1"/>
  <c r="O747" i="1"/>
  <c r="S747" i="1"/>
  <c r="W747" i="1"/>
  <c r="AA747" i="1"/>
  <c r="AE747" i="1"/>
  <c r="AI747" i="1"/>
  <c r="AM747" i="1"/>
  <c r="AQ747" i="1"/>
  <c r="AU747" i="1"/>
  <c r="AY747" i="1"/>
  <c r="C747" i="1"/>
  <c r="G748" i="1"/>
  <c r="K748" i="1"/>
  <c r="O748" i="1"/>
  <c r="S748" i="1"/>
  <c r="W748" i="1"/>
  <c r="AA748" i="1"/>
  <c r="AE748" i="1"/>
  <c r="AI748" i="1"/>
  <c r="AM748" i="1"/>
  <c r="AQ748" i="1"/>
  <c r="AU748" i="1"/>
  <c r="AY748" i="1"/>
  <c r="D748" i="1"/>
  <c r="H748" i="1"/>
  <c r="L748" i="1"/>
  <c r="P748" i="1"/>
  <c r="T748" i="1"/>
  <c r="X748" i="1"/>
  <c r="AB748" i="1"/>
  <c r="AF748" i="1"/>
  <c r="AJ748" i="1"/>
  <c r="AN748" i="1"/>
  <c r="AR748" i="1"/>
  <c r="AV748" i="1"/>
  <c r="AZ748" i="1"/>
  <c r="E748" i="1"/>
  <c r="I748" i="1"/>
  <c r="M748" i="1"/>
  <c r="Q748" i="1"/>
  <c r="U748" i="1"/>
  <c r="Y748" i="1"/>
  <c r="AC748" i="1"/>
  <c r="AG748" i="1"/>
  <c r="AK748" i="1"/>
  <c r="AO748" i="1"/>
  <c r="AS748" i="1"/>
  <c r="AW748" i="1"/>
  <c r="F748" i="1"/>
  <c r="J748" i="1"/>
  <c r="N748" i="1"/>
  <c r="R748" i="1"/>
  <c r="V748" i="1"/>
  <c r="Z748" i="1"/>
  <c r="AD748" i="1"/>
  <c r="AH748" i="1"/>
  <c r="AL748" i="1"/>
  <c r="AP748" i="1"/>
  <c r="AT748" i="1"/>
  <c r="AX748" i="1"/>
  <c r="C748" i="1"/>
  <c r="F749" i="1"/>
  <c r="J749" i="1"/>
  <c r="N749" i="1"/>
  <c r="R749" i="1"/>
  <c r="V749" i="1"/>
  <c r="Z749" i="1"/>
  <c r="AD749" i="1"/>
  <c r="AH749" i="1"/>
  <c r="AL749" i="1"/>
  <c r="AP749" i="1"/>
  <c r="AT749" i="1"/>
  <c r="AX749" i="1"/>
  <c r="G749" i="1"/>
  <c r="K749" i="1"/>
  <c r="O749" i="1"/>
  <c r="S749" i="1"/>
  <c r="W749" i="1"/>
  <c r="AA749" i="1"/>
  <c r="AE749" i="1"/>
  <c r="AI749" i="1"/>
  <c r="AM749" i="1"/>
  <c r="AQ749" i="1"/>
  <c r="AU749" i="1"/>
  <c r="AY749" i="1"/>
  <c r="D749" i="1"/>
  <c r="H749" i="1"/>
  <c r="L749" i="1"/>
  <c r="P749" i="1"/>
  <c r="T749" i="1"/>
  <c r="X749" i="1"/>
  <c r="AB749" i="1"/>
  <c r="AF749" i="1"/>
  <c r="AJ749" i="1"/>
  <c r="AN749" i="1"/>
  <c r="AR749" i="1"/>
  <c r="AV749" i="1"/>
  <c r="AZ749" i="1"/>
  <c r="E749" i="1"/>
  <c r="I749" i="1"/>
  <c r="M749" i="1"/>
  <c r="Q749" i="1"/>
  <c r="U749" i="1"/>
  <c r="Y749" i="1"/>
  <c r="AC749" i="1"/>
  <c r="AG749" i="1"/>
  <c r="AK749" i="1"/>
  <c r="AO749" i="1"/>
  <c r="AS749" i="1"/>
  <c r="AW749" i="1"/>
  <c r="C749" i="1"/>
  <c r="E750" i="1"/>
  <c r="I750" i="1"/>
  <c r="M750" i="1"/>
  <c r="Q750" i="1"/>
  <c r="U750" i="1"/>
  <c r="Y750" i="1"/>
  <c r="AC750" i="1"/>
  <c r="AG750" i="1"/>
  <c r="AK750" i="1"/>
  <c r="AO750" i="1"/>
  <c r="AS750" i="1"/>
  <c r="AW750" i="1"/>
  <c r="F750" i="1"/>
  <c r="J750" i="1"/>
  <c r="N750" i="1"/>
  <c r="R750" i="1"/>
  <c r="V750" i="1"/>
  <c r="Z750" i="1"/>
  <c r="AD750" i="1"/>
  <c r="AH750" i="1"/>
  <c r="AL750" i="1"/>
  <c r="AP750" i="1"/>
  <c r="AT750" i="1"/>
  <c r="AX750" i="1"/>
  <c r="G750" i="1"/>
  <c r="K750" i="1"/>
  <c r="O750" i="1"/>
  <c r="S750" i="1"/>
  <c r="W750" i="1"/>
  <c r="AA750" i="1"/>
  <c r="AE750" i="1"/>
  <c r="AI750" i="1"/>
  <c r="AM750" i="1"/>
  <c r="AQ750" i="1"/>
  <c r="AU750" i="1"/>
  <c r="AY750" i="1"/>
  <c r="D750" i="1"/>
  <c r="H750" i="1"/>
  <c r="L750" i="1"/>
  <c r="P750" i="1"/>
  <c r="T750" i="1"/>
  <c r="X750" i="1"/>
  <c r="AB750" i="1"/>
  <c r="AF750" i="1"/>
  <c r="AJ750" i="1"/>
  <c r="AN750" i="1"/>
  <c r="AR750" i="1"/>
  <c r="AV750" i="1"/>
  <c r="AZ750" i="1"/>
  <c r="C750" i="1"/>
  <c r="D751" i="1"/>
  <c r="H751" i="1"/>
  <c r="L751" i="1"/>
  <c r="P751" i="1"/>
  <c r="T751" i="1"/>
  <c r="X751" i="1"/>
  <c r="AB751" i="1"/>
  <c r="AF751" i="1"/>
  <c r="AJ751" i="1"/>
  <c r="AN751" i="1"/>
  <c r="AR751" i="1"/>
  <c r="AV751" i="1"/>
  <c r="AZ751" i="1"/>
  <c r="E751" i="1"/>
  <c r="I751" i="1"/>
  <c r="M751" i="1"/>
  <c r="Q751" i="1"/>
  <c r="U751" i="1"/>
  <c r="Y751" i="1"/>
  <c r="AC751" i="1"/>
  <c r="AG751" i="1"/>
  <c r="AK751" i="1"/>
  <c r="AO751" i="1"/>
  <c r="AS751" i="1"/>
  <c r="AW751" i="1"/>
  <c r="F751" i="1"/>
  <c r="J751" i="1"/>
  <c r="N751" i="1"/>
  <c r="R751" i="1"/>
  <c r="V751" i="1"/>
  <c r="Z751" i="1"/>
  <c r="AD751" i="1"/>
  <c r="AH751" i="1"/>
  <c r="AL751" i="1"/>
  <c r="AP751" i="1"/>
  <c r="AT751" i="1"/>
  <c r="AX751" i="1"/>
  <c r="G751" i="1"/>
  <c r="K751" i="1"/>
  <c r="O751" i="1"/>
  <c r="S751" i="1"/>
  <c r="W751" i="1"/>
  <c r="AA751" i="1"/>
  <c r="AE751" i="1"/>
  <c r="AI751" i="1"/>
  <c r="AM751" i="1"/>
  <c r="AQ751" i="1"/>
  <c r="AU751" i="1"/>
  <c r="AY751" i="1"/>
  <c r="C751" i="1"/>
  <c r="G752" i="1"/>
  <c r="K752" i="1"/>
  <c r="O752" i="1"/>
  <c r="S752" i="1"/>
  <c r="W752" i="1"/>
  <c r="AA752" i="1"/>
  <c r="AE752" i="1"/>
  <c r="AI752" i="1"/>
  <c r="AM752" i="1"/>
  <c r="AQ752" i="1"/>
  <c r="AU752" i="1"/>
  <c r="AY752" i="1"/>
  <c r="D752" i="1"/>
  <c r="H752" i="1"/>
  <c r="L752" i="1"/>
  <c r="P752" i="1"/>
  <c r="T752" i="1"/>
  <c r="X752" i="1"/>
  <c r="AB752" i="1"/>
  <c r="AF752" i="1"/>
  <c r="AJ752" i="1"/>
  <c r="AN752" i="1"/>
  <c r="AR752" i="1"/>
  <c r="AV752" i="1"/>
  <c r="AZ752" i="1"/>
  <c r="E752" i="1"/>
  <c r="I752" i="1"/>
  <c r="M752" i="1"/>
  <c r="Q752" i="1"/>
  <c r="U752" i="1"/>
  <c r="Y752" i="1"/>
  <c r="AC752" i="1"/>
  <c r="AG752" i="1"/>
  <c r="AK752" i="1"/>
  <c r="AO752" i="1"/>
  <c r="AS752" i="1"/>
  <c r="AW752" i="1"/>
  <c r="F752" i="1"/>
  <c r="J752" i="1"/>
  <c r="N752" i="1"/>
  <c r="R752" i="1"/>
  <c r="V752" i="1"/>
  <c r="Z752" i="1"/>
  <c r="AD752" i="1"/>
  <c r="AH752" i="1"/>
  <c r="AL752" i="1"/>
  <c r="AP752" i="1"/>
  <c r="AT752" i="1"/>
  <c r="AX752" i="1"/>
  <c r="C752" i="1"/>
  <c r="F753" i="1"/>
  <c r="J753" i="1"/>
  <c r="N753" i="1"/>
  <c r="R753" i="1"/>
  <c r="V753" i="1"/>
  <c r="Z753" i="1"/>
  <c r="AD753" i="1"/>
  <c r="AH753" i="1"/>
  <c r="AL753" i="1"/>
  <c r="AP753" i="1"/>
  <c r="AT753" i="1"/>
  <c r="AX753" i="1"/>
  <c r="G753" i="1"/>
  <c r="K753" i="1"/>
  <c r="O753" i="1"/>
  <c r="S753" i="1"/>
  <c r="W753" i="1"/>
  <c r="AA753" i="1"/>
  <c r="AE753" i="1"/>
  <c r="AI753" i="1"/>
  <c r="AM753" i="1"/>
  <c r="AQ753" i="1"/>
  <c r="AU753" i="1"/>
  <c r="AY753" i="1"/>
  <c r="D753" i="1"/>
  <c r="H753" i="1"/>
  <c r="L753" i="1"/>
  <c r="P753" i="1"/>
  <c r="T753" i="1"/>
  <c r="X753" i="1"/>
  <c r="AB753" i="1"/>
  <c r="AF753" i="1"/>
  <c r="AJ753" i="1"/>
  <c r="AN753" i="1"/>
  <c r="AR753" i="1"/>
  <c r="AV753" i="1"/>
  <c r="AZ753" i="1"/>
  <c r="E753" i="1"/>
  <c r="I753" i="1"/>
  <c r="M753" i="1"/>
  <c r="Q753" i="1"/>
  <c r="U753" i="1"/>
  <c r="Y753" i="1"/>
  <c r="AC753" i="1"/>
  <c r="AG753" i="1"/>
  <c r="AK753" i="1"/>
  <c r="AO753" i="1"/>
  <c r="AS753" i="1"/>
  <c r="AW753" i="1"/>
  <c r="C753" i="1"/>
  <c r="E754" i="1"/>
  <c r="I754" i="1"/>
  <c r="M754" i="1"/>
  <c r="Q754" i="1"/>
  <c r="U754" i="1"/>
  <c r="Y754" i="1"/>
  <c r="AC754" i="1"/>
  <c r="AG754" i="1"/>
  <c r="AK754" i="1"/>
  <c r="AO754" i="1"/>
  <c r="AS754" i="1"/>
  <c r="AW754" i="1"/>
  <c r="F754" i="1"/>
  <c r="J754" i="1"/>
  <c r="N754" i="1"/>
  <c r="R754" i="1"/>
  <c r="V754" i="1"/>
  <c r="Z754" i="1"/>
  <c r="AD754" i="1"/>
  <c r="AH754" i="1"/>
  <c r="AL754" i="1"/>
  <c r="AP754" i="1"/>
  <c r="AT754" i="1"/>
  <c r="AX754" i="1"/>
  <c r="G754" i="1"/>
  <c r="K754" i="1"/>
  <c r="O754" i="1"/>
  <c r="S754" i="1"/>
  <c r="W754" i="1"/>
  <c r="AA754" i="1"/>
  <c r="AE754" i="1"/>
  <c r="AI754" i="1"/>
  <c r="AM754" i="1"/>
  <c r="AQ754" i="1"/>
  <c r="AU754" i="1"/>
  <c r="AY754" i="1"/>
  <c r="D754" i="1"/>
  <c r="H754" i="1"/>
  <c r="L754" i="1"/>
  <c r="P754" i="1"/>
  <c r="T754" i="1"/>
  <c r="X754" i="1"/>
  <c r="AB754" i="1"/>
  <c r="AF754" i="1"/>
  <c r="AJ754" i="1"/>
  <c r="AN754" i="1"/>
  <c r="AR754" i="1"/>
  <c r="AV754" i="1"/>
  <c r="AZ754" i="1"/>
  <c r="C754" i="1"/>
  <c r="D755" i="1"/>
  <c r="H755" i="1"/>
  <c r="L755" i="1"/>
  <c r="P755" i="1"/>
  <c r="T755" i="1"/>
  <c r="X755" i="1"/>
  <c r="AB755" i="1"/>
  <c r="AF755" i="1"/>
  <c r="AJ755" i="1"/>
  <c r="AN755" i="1"/>
  <c r="AR755" i="1"/>
  <c r="AV755" i="1"/>
  <c r="AZ755" i="1"/>
  <c r="E755" i="1"/>
  <c r="I755" i="1"/>
  <c r="M755" i="1"/>
  <c r="Q755" i="1"/>
  <c r="U755" i="1"/>
  <c r="Y755" i="1"/>
  <c r="AC755" i="1"/>
  <c r="AG755" i="1"/>
  <c r="AK755" i="1"/>
  <c r="AO755" i="1"/>
  <c r="AS755" i="1"/>
  <c r="AW755" i="1"/>
  <c r="F755" i="1"/>
  <c r="J755" i="1"/>
  <c r="N755" i="1"/>
  <c r="R755" i="1"/>
  <c r="V755" i="1"/>
  <c r="Z755" i="1"/>
  <c r="AD755" i="1"/>
  <c r="AH755" i="1"/>
  <c r="AL755" i="1"/>
  <c r="AP755" i="1"/>
  <c r="G755" i="1"/>
  <c r="K755" i="1"/>
  <c r="O755" i="1"/>
  <c r="S755" i="1"/>
  <c r="W755" i="1"/>
  <c r="AA755" i="1"/>
  <c r="AE755" i="1"/>
  <c r="AI755" i="1"/>
  <c r="AM755" i="1"/>
  <c r="AQ755" i="1"/>
  <c r="AU755" i="1"/>
  <c r="AY755" i="1"/>
  <c r="AT755" i="1"/>
  <c r="AX755" i="1"/>
  <c r="C755" i="1"/>
  <c r="G756" i="1"/>
  <c r="K756" i="1"/>
  <c r="O756" i="1"/>
  <c r="S756" i="1"/>
  <c r="W756" i="1"/>
  <c r="AA756" i="1"/>
  <c r="AE756" i="1"/>
  <c r="AI756" i="1"/>
  <c r="AM756" i="1"/>
  <c r="AQ756" i="1"/>
  <c r="AU756" i="1"/>
  <c r="AY756" i="1"/>
  <c r="D756" i="1"/>
  <c r="H756" i="1"/>
  <c r="L756" i="1"/>
  <c r="P756" i="1"/>
  <c r="T756" i="1"/>
  <c r="X756" i="1"/>
  <c r="AB756" i="1"/>
  <c r="AF756" i="1"/>
  <c r="AJ756" i="1"/>
  <c r="AN756" i="1"/>
  <c r="AR756" i="1"/>
  <c r="AV756" i="1"/>
  <c r="AZ756" i="1"/>
  <c r="F756" i="1"/>
  <c r="J756" i="1"/>
  <c r="N756" i="1"/>
  <c r="R756" i="1"/>
  <c r="V756" i="1"/>
  <c r="Z756" i="1"/>
  <c r="AD756" i="1"/>
  <c r="AH756" i="1"/>
  <c r="AL756" i="1"/>
  <c r="AP756" i="1"/>
  <c r="AT756" i="1"/>
  <c r="AX756" i="1"/>
  <c r="I756" i="1"/>
  <c r="Y756" i="1"/>
  <c r="AO756" i="1"/>
  <c r="M756" i="1"/>
  <c r="AC756" i="1"/>
  <c r="AS756" i="1"/>
  <c r="Q756" i="1"/>
  <c r="AG756" i="1"/>
  <c r="AW756" i="1"/>
  <c r="C756" i="1"/>
  <c r="E756" i="1"/>
  <c r="U756" i="1"/>
  <c r="AK756" i="1"/>
  <c r="F757" i="1"/>
  <c r="J757" i="1"/>
  <c r="N757" i="1"/>
  <c r="R757" i="1"/>
  <c r="V757" i="1"/>
  <c r="Z757" i="1"/>
  <c r="AD757" i="1"/>
  <c r="AH757" i="1"/>
  <c r="AL757" i="1"/>
  <c r="AP757" i="1"/>
  <c r="AT757" i="1"/>
  <c r="AX757" i="1"/>
  <c r="G757" i="1"/>
  <c r="K757" i="1"/>
  <c r="O757" i="1"/>
  <c r="S757" i="1"/>
  <c r="W757" i="1"/>
  <c r="AA757" i="1"/>
  <c r="AE757" i="1"/>
  <c r="AI757" i="1"/>
  <c r="AM757" i="1"/>
  <c r="AQ757" i="1"/>
  <c r="AU757" i="1"/>
  <c r="AY757" i="1"/>
  <c r="E757" i="1"/>
  <c r="I757" i="1"/>
  <c r="M757" i="1"/>
  <c r="Q757" i="1"/>
  <c r="U757" i="1"/>
  <c r="Y757" i="1"/>
  <c r="AC757" i="1"/>
  <c r="AG757" i="1"/>
  <c r="AK757" i="1"/>
  <c r="AO757" i="1"/>
  <c r="AS757" i="1"/>
  <c r="AW757" i="1"/>
  <c r="D757" i="1"/>
  <c r="T757" i="1"/>
  <c r="AJ757" i="1"/>
  <c r="AZ757" i="1"/>
  <c r="H757" i="1"/>
  <c r="X757" i="1"/>
  <c r="AN757" i="1"/>
  <c r="L757" i="1"/>
  <c r="AB757" i="1"/>
  <c r="AR757" i="1"/>
  <c r="P757" i="1"/>
  <c r="AF757" i="1"/>
  <c r="AV757" i="1"/>
  <c r="C757" i="1"/>
  <c r="E758" i="1"/>
  <c r="I758" i="1"/>
  <c r="M758" i="1"/>
  <c r="Q758" i="1"/>
  <c r="U758" i="1"/>
  <c r="Y758" i="1"/>
  <c r="AC758" i="1"/>
  <c r="AG758" i="1"/>
  <c r="AK758" i="1"/>
  <c r="AO758" i="1"/>
  <c r="AS758" i="1"/>
  <c r="AW758" i="1"/>
  <c r="F758" i="1"/>
  <c r="J758" i="1"/>
  <c r="N758" i="1"/>
  <c r="R758" i="1"/>
  <c r="V758" i="1"/>
  <c r="Z758" i="1"/>
  <c r="AD758" i="1"/>
  <c r="AH758" i="1"/>
  <c r="AL758" i="1"/>
  <c r="AP758" i="1"/>
  <c r="AT758" i="1"/>
  <c r="AX758" i="1"/>
  <c r="D758" i="1"/>
  <c r="H758" i="1"/>
  <c r="L758" i="1"/>
  <c r="P758" i="1"/>
  <c r="T758" i="1"/>
  <c r="X758" i="1"/>
  <c r="AB758" i="1"/>
  <c r="AF758" i="1"/>
  <c r="AJ758" i="1"/>
  <c r="AN758" i="1"/>
  <c r="AR758" i="1"/>
  <c r="AV758" i="1"/>
  <c r="AZ758" i="1"/>
  <c r="O758" i="1"/>
  <c r="AE758" i="1"/>
  <c r="AU758" i="1"/>
  <c r="C758" i="1"/>
  <c r="S758" i="1"/>
  <c r="AI758" i="1"/>
  <c r="AY758" i="1"/>
  <c r="G758" i="1"/>
  <c r="W758" i="1"/>
  <c r="AM758" i="1"/>
  <c r="K758" i="1"/>
  <c r="AA758" i="1"/>
  <c r="AQ758" i="1"/>
  <c r="D759" i="1"/>
  <c r="H759" i="1"/>
  <c r="L759" i="1"/>
  <c r="P759" i="1"/>
  <c r="T759" i="1"/>
  <c r="X759" i="1"/>
  <c r="AB759" i="1"/>
  <c r="AF759" i="1"/>
  <c r="AJ759" i="1"/>
  <c r="AN759" i="1"/>
  <c r="AR759" i="1"/>
  <c r="AV759" i="1"/>
  <c r="AZ759" i="1"/>
  <c r="I759" i="1"/>
  <c r="N759" i="1"/>
  <c r="S759" i="1"/>
  <c r="Y759" i="1"/>
  <c r="AD759" i="1"/>
  <c r="AI759" i="1"/>
  <c r="AO759" i="1"/>
  <c r="AT759" i="1"/>
  <c r="AY759" i="1"/>
  <c r="E759" i="1"/>
  <c r="J759" i="1"/>
  <c r="O759" i="1"/>
  <c r="U759" i="1"/>
  <c r="Z759" i="1"/>
  <c r="AE759" i="1"/>
  <c r="AK759" i="1"/>
  <c r="AP759" i="1"/>
  <c r="AU759" i="1"/>
  <c r="C759" i="1"/>
  <c r="F759" i="1"/>
  <c r="K759" i="1"/>
  <c r="Q759" i="1"/>
  <c r="V759" i="1"/>
  <c r="AA759" i="1"/>
  <c r="AG759" i="1"/>
  <c r="AL759" i="1"/>
  <c r="AQ759" i="1"/>
  <c r="AW759" i="1"/>
  <c r="G759" i="1"/>
  <c r="M759" i="1"/>
  <c r="R759" i="1"/>
  <c r="W759" i="1"/>
  <c r="AC759" i="1"/>
  <c r="AH759" i="1"/>
  <c r="AM759" i="1"/>
  <c r="AS759" i="1"/>
  <c r="AX759" i="1"/>
  <c r="G760" i="1"/>
  <c r="K760" i="1"/>
  <c r="O760" i="1"/>
  <c r="S760" i="1"/>
  <c r="W760" i="1"/>
  <c r="AA760" i="1"/>
  <c r="AE760" i="1"/>
  <c r="AI760" i="1"/>
  <c r="AM760" i="1"/>
  <c r="AQ760" i="1"/>
  <c r="AU760" i="1"/>
  <c r="AY760" i="1"/>
  <c r="D760" i="1"/>
  <c r="I760" i="1"/>
  <c r="N760" i="1"/>
  <c r="T760" i="1"/>
  <c r="Y760" i="1"/>
  <c r="AD760" i="1"/>
  <c r="AJ760" i="1"/>
  <c r="AO760" i="1"/>
  <c r="AT760" i="1"/>
  <c r="AZ760" i="1"/>
  <c r="E760" i="1"/>
  <c r="J760" i="1"/>
  <c r="P760" i="1"/>
  <c r="U760" i="1"/>
  <c r="Z760" i="1"/>
  <c r="AF760" i="1"/>
  <c r="AK760" i="1"/>
  <c r="AP760" i="1"/>
  <c r="AV760" i="1"/>
  <c r="F760" i="1"/>
  <c r="L760" i="1"/>
  <c r="Q760" i="1"/>
  <c r="V760" i="1"/>
  <c r="AB760" i="1"/>
  <c r="AG760" i="1"/>
  <c r="AL760" i="1"/>
  <c r="AR760" i="1"/>
  <c r="AW760" i="1"/>
  <c r="C760" i="1"/>
  <c r="H760" i="1"/>
  <c r="M760" i="1"/>
  <c r="R760" i="1"/>
  <c r="X760" i="1"/>
  <c r="AC760" i="1"/>
  <c r="AH760" i="1"/>
  <c r="AN760" i="1"/>
  <c r="AS760" i="1"/>
  <c r="AX760" i="1"/>
  <c r="D761" i="1"/>
  <c r="H761" i="1"/>
  <c r="L761" i="1"/>
  <c r="P761" i="1"/>
  <c r="T761" i="1"/>
  <c r="X761" i="1"/>
  <c r="AB761" i="1"/>
  <c r="AF761" i="1"/>
  <c r="AJ761" i="1"/>
  <c r="AN761" i="1"/>
  <c r="AR761" i="1"/>
  <c r="AV761" i="1"/>
  <c r="AZ761" i="1"/>
  <c r="E761" i="1"/>
  <c r="I761" i="1"/>
  <c r="M761" i="1"/>
  <c r="Q761" i="1"/>
  <c r="U761" i="1"/>
  <c r="Y761" i="1"/>
  <c r="AC761" i="1"/>
  <c r="AG761" i="1"/>
  <c r="AK761" i="1"/>
  <c r="AO761" i="1"/>
  <c r="AS761" i="1"/>
  <c r="AW761" i="1"/>
  <c r="F761" i="1"/>
  <c r="J761" i="1"/>
  <c r="N761" i="1"/>
  <c r="R761" i="1"/>
  <c r="V761" i="1"/>
  <c r="Z761" i="1"/>
  <c r="AD761" i="1"/>
  <c r="AH761" i="1"/>
  <c r="AL761" i="1"/>
  <c r="AP761" i="1"/>
  <c r="AT761" i="1"/>
  <c r="AX761" i="1"/>
  <c r="G761" i="1"/>
  <c r="K761" i="1"/>
  <c r="O761" i="1"/>
  <c r="S761" i="1"/>
  <c r="W761" i="1"/>
  <c r="AA761" i="1"/>
  <c r="AE761" i="1"/>
  <c r="AI761" i="1"/>
  <c r="AM761" i="1"/>
  <c r="AQ761" i="1"/>
  <c r="AU761" i="1"/>
  <c r="AY761" i="1"/>
  <c r="C761" i="1"/>
  <c r="G762" i="1"/>
  <c r="K762" i="1"/>
  <c r="O762" i="1"/>
  <c r="S762" i="1"/>
  <c r="W762" i="1"/>
  <c r="AA762" i="1"/>
  <c r="AE762" i="1"/>
  <c r="AI762" i="1"/>
  <c r="AM762" i="1"/>
  <c r="AQ762" i="1"/>
  <c r="AU762" i="1"/>
  <c r="AY762" i="1"/>
  <c r="C762" i="1"/>
  <c r="D762" i="1"/>
  <c r="H762" i="1"/>
  <c r="L762" i="1"/>
  <c r="P762" i="1"/>
  <c r="T762" i="1"/>
  <c r="X762" i="1"/>
  <c r="AB762" i="1"/>
  <c r="AF762" i="1"/>
  <c r="AJ762" i="1"/>
  <c r="AN762" i="1"/>
  <c r="AR762" i="1"/>
  <c r="AV762" i="1"/>
  <c r="AZ762" i="1"/>
  <c r="E762" i="1"/>
  <c r="I762" i="1"/>
  <c r="M762" i="1"/>
  <c r="Q762" i="1"/>
  <c r="U762" i="1"/>
  <c r="Y762" i="1"/>
  <c r="AC762" i="1"/>
  <c r="AG762" i="1"/>
  <c r="AK762" i="1"/>
  <c r="AO762" i="1"/>
  <c r="AS762" i="1"/>
  <c r="AW762" i="1"/>
  <c r="F762" i="1"/>
  <c r="J762" i="1"/>
  <c r="N762" i="1"/>
  <c r="R762" i="1"/>
  <c r="V762" i="1"/>
  <c r="Z762" i="1"/>
  <c r="AD762" i="1"/>
  <c r="AH762" i="1"/>
  <c r="AL762" i="1"/>
  <c r="AP762" i="1"/>
  <c r="AT762" i="1"/>
  <c r="AX762" i="1"/>
  <c r="F763" i="1"/>
  <c r="J763" i="1"/>
  <c r="N763" i="1"/>
  <c r="R763" i="1"/>
  <c r="V763" i="1"/>
  <c r="Z763" i="1"/>
  <c r="AD763" i="1"/>
  <c r="AH763" i="1"/>
  <c r="AL763" i="1"/>
  <c r="AP763" i="1"/>
  <c r="AT763" i="1"/>
  <c r="AX763" i="1"/>
  <c r="G763" i="1"/>
  <c r="K763" i="1"/>
  <c r="O763" i="1"/>
  <c r="S763" i="1"/>
  <c r="W763" i="1"/>
  <c r="AA763" i="1"/>
  <c r="AE763" i="1"/>
  <c r="AI763" i="1"/>
  <c r="AM763" i="1"/>
  <c r="AQ763" i="1"/>
  <c r="AU763" i="1"/>
  <c r="AY763" i="1"/>
  <c r="C763" i="1"/>
  <c r="D763" i="1"/>
  <c r="H763" i="1"/>
  <c r="L763" i="1"/>
  <c r="P763" i="1"/>
  <c r="T763" i="1"/>
  <c r="X763" i="1"/>
  <c r="AB763" i="1"/>
  <c r="AF763" i="1"/>
  <c r="AJ763" i="1"/>
  <c r="AN763" i="1"/>
  <c r="AR763" i="1"/>
  <c r="AV763" i="1"/>
  <c r="AZ763" i="1"/>
  <c r="E763" i="1"/>
  <c r="I763" i="1"/>
  <c r="M763" i="1"/>
  <c r="Q763" i="1"/>
  <c r="U763" i="1"/>
  <c r="Y763" i="1"/>
  <c r="AC763" i="1"/>
  <c r="AG763" i="1"/>
  <c r="AK763" i="1"/>
  <c r="AO763" i="1"/>
  <c r="AS763" i="1"/>
  <c r="AW763" i="1"/>
  <c r="E764" i="1"/>
  <c r="I764" i="1"/>
  <c r="M764" i="1"/>
  <c r="Q764" i="1"/>
  <c r="U764" i="1"/>
  <c r="Y764" i="1"/>
  <c r="AC764" i="1"/>
  <c r="AG764" i="1"/>
  <c r="AK764" i="1"/>
  <c r="AO764" i="1"/>
  <c r="AS764" i="1"/>
  <c r="AW764" i="1"/>
  <c r="F764" i="1"/>
  <c r="J764" i="1"/>
  <c r="N764" i="1"/>
  <c r="R764" i="1"/>
  <c r="V764" i="1"/>
  <c r="Z764" i="1"/>
  <c r="AD764" i="1"/>
  <c r="AH764" i="1"/>
  <c r="AL764" i="1"/>
  <c r="AP764" i="1"/>
  <c r="AT764" i="1"/>
  <c r="AX764" i="1"/>
  <c r="G764" i="1"/>
  <c r="K764" i="1"/>
  <c r="O764" i="1"/>
  <c r="S764" i="1"/>
  <c r="W764" i="1"/>
  <c r="AA764" i="1"/>
  <c r="AE764" i="1"/>
  <c r="AI764" i="1"/>
  <c r="AM764" i="1"/>
  <c r="AQ764" i="1"/>
  <c r="AU764" i="1"/>
  <c r="AY764" i="1"/>
  <c r="C764" i="1"/>
  <c r="D764" i="1"/>
  <c r="H764" i="1"/>
  <c r="L764" i="1"/>
  <c r="P764" i="1"/>
  <c r="T764" i="1"/>
  <c r="X764" i="1"/>
  <c r="AB764" i="1"/>
  <c r="AF764" i="1"/>
  <c r="AJ764" i="1"/>
  <c r="AN764" i="1"/>
  <c r="AR764" i="1"/>
  <c r="AV764" i="1"/>
  <c r="AZ764" i="1"/>
  <c r="D765" i="1"/>
  <c r="H765" i="1"/>
  <c r="L765" i="1"/>
  <c r="P765" i="1"/>
  <c r="T765" i="1"/>
  <c r="X765" i="1"/>
  <c r="AB765" i="1"/>
  <c r="AF765" i="1"/>
  <c r="AJ765" i="1"/>
  <c r="AN765" i="1"/>
  <c r="AR765" i="1"/>
  <c r="AV765" i="1"/>
  <c r="AZ765" i="1"/>
  <c r="E765" i="1"/>
  <c r="I765" i="1"/>
  <c r="M765" i="1"/>
  <c r="Q765" i="1"/>
  <c r="U765" i="1"/>
  <c r="Y765" i="1"/>
  <c r="AC765" i="1"/>
  <c r="AG765" i="1"/>
  <c r="AK765" i="1"/>
  <c r="AO765" i="1"/>
  <c r="AS765" i="1"/>
  <c r="AW765" i="1"/>
  <c r="F765" i="1"/>
  <c r="J765" i="1"/>
  <c r="N765" i="1"/>
  <c r="R765" i="1"/>
  <c r="V765" i="1"/>
  <c r="Z765" i="1"/>
  <c r="AD765" i="1"/>
  <c r="AH765" i="1"/>
  <c r="AL765" i="1"/>
  <c r="AP765" i="1"/>
  <c r="AT765" i="1"/>
  <c r="AX765" i="1"/>
  <c r="G765" i="1"/>
  <c r="K765" i="1"/>
  <c r="O765" i="1"/>
  <c r="S765" i="1"/>
  <c r="W765" i="1"/>
  <c r="AA765" i="1"/>
  <c r="AE765" i="1"/>
  <c r="AI765" i="1"/>
  <c r="AM765" i="1"/>
  <c r="AQ765" i="1"/>
  <c r="AU765" i="1"/>
  <c r="AY765" i="1"/>
  <c r="C765" i="1"/>
  <c r="G766" i="1"/>
  <c r="K766" i="1"/>
  <c r="O766" i="1"/>
  <c r="S766" i="1"/>
  <c r="W766" i="1"/>
  <c r="AA766" i="1"/>
  <c r="AE766" i="1"/>
  <c r="AI766" i="1"/>
  <c r="AM766" i="1"/>
  <c r="AQ766" i="1"/>
  <c r="AU766" i="1"/>
  <c r="AY766" i="1"/>
  <c r="C766" i="1"/>
  <c r="D766" i="1"/>
  <c r="H766" i="1"/>
  <c r="L766" i="1"/>
  <c r="P766" i="1"/>
  <c r="T766" i="1"/>
  <c r="X766" i="1"/>
  <c r="AB766" i="1"/>
  <c r="AF766" i="1"/>
  <c r="AJ766" i="1"/>
  <c r="AN766" i="1"/>
  <c r="AR766" i="1"/>
  <c r="AV766" i="1"/>
  <c r="AZ766" i="1"/>
  <c r="E766" i="1"/>
  <c r="I766" i="1"/>
  <c r="M766" i="1"/>
  <c r="Q766" i="1"/>
  <c r="U766" i="1"/>
  <c r="Y766" i="1"/>
  <c r="AC766" i="1"/>
  <c r="AG766" i="1"/>
  <c r="AK766" i="1"/>
  <c r="AO766" i="1"/>
  <c r="AS766" i="1"/>
  <c r="AW766" i="1"/>
  <c r="F766" i="1"/>
  <c r="J766" i="1"/>
  <c r="N766" i="1"/>
  <c r="R766" i="1"/>
  <c r="V766" i="1"/>
  <c r="Z766" i="1"/>
  <c r="AD766" i="1"/>
  <c r="AH766" i="1"/>
  <c r="AL766" i="1"/>
  <c r="AP766" i="1"/>
  <c r="AT766" i="1"/>
  <c r="AX766" i="1"/>
  <c r="F767" i="1"/>
  <c r="J767" i="1"/>
  <c r="N767" i="1"/>
  <c r="R767" i="1"/>
  <c r="V767" i="1"/>
  <c r="Z767" i="1"/>
  <c r="AD767" i="1"/>
  <c r="AH767" i="1"/>
  <c r="AL767" i="1"/>
  <c r="AP767" i="1"/>
  <c r="AT767" i="1"/>
  <c r="AX767" i="1"/>
  <c r="G767" i="1"/>
  <c r="K767" i="1"/>
  <c r="O767" i="1"/>
  <c r="S767" i="1"/>
  <c r="W767" i="1"/>
  <c r="AA767" i="1"/>
  <c r="AE767" i="1"/>
  <c r="AI767" i="1"/>
  <c r="AM767" i="1"/>
  <c r="AQ767" i="1"/>
  <c r="AU767" i="1"/>
  <c r="AY767" i="1"/>
  <c r="C767" i="1"/>
  <c r="D767" i="1"/>
  <c r="H767" i="1"/>
  <c r="L767" i="1"/>
  <c r="P767" i="1"/>
  <c r="T767" i="1"/>
  <c r="X767" i="1"/>
  <c r="AB767" i="1"/>
  <c r="AF767" i="1"/>
  <c r="AJ767" i="1"/>
  <c r="AN767" i="1"/>
  <c r="AR767" i="1"/>
  <c r="AV767" i="1"/>
  <c r="AZ767" i="1"/>
  <c r="E767" i="1"/>
  <c r="I767" i="1"/>
  <c r="M767" i="1"/>
  <c r="Q767" i="1"/>
  <c r="U767" i="1"/>
  <c r="Y767" i="1"/>
  <c r="AC767" i="1"/>
  <c r="AG767" i="1"/>
  <c r="AK767" i="1"/>
  <c r="AO767" i="1"/>
  <c r="AS767" i="1"/>
  <c r="AW767" i="1"/>
  <c r="E768" i="1"/>
  <c r="I768" i="1"/>
  <c r="M768" i="1"/>
  <c r="Q768" i="1"/>
  <c r="U768" i="1"/>
  <c r="Y768" i="1"/>
  <c r="AC768" i="1"/>
  <c r="AG768" i="1"/>
  <c r="AK768" i="1"/>
  <c r="AO768" i="1"/>
  <c r="AS768" i="1"/>
  <c r="AW768" i="1"/>
  <c r="F768" i="1"/>
  <c r="J768" i="1"/>
  <c r="N768" i="1"/>
  <c r="R768" i="1"/>
  <c r="V768" i="1"/>
  <c r="Z768" i="1"/>
  <c r="AD768" i="1"/>
  <c r="AH768" i="1"/>
  <c r="AL768" i="1"/>
  <c r="AP768" i="1"/>
  <c r="AT768" i="1"/>
  <c r="AX768" i="1"/>
  <c r="G768" i="1"/>
  <c r="K768" i="1"/>
  <c r="O768" i="1"/>
  <c r="S768" i="1"/>
  <c r="W768" i="1"/>
  <c r="AA768" i="1"/>
  <c r="AE768" i="1"/>
  <c r="AI768" i="1"/>
  <c r="AM768" i="1"/>
  <c r="AQ768" i="1"/>
  <c r="AU768" i="1"/>
  <c r="AY768" i="1"/>
  <c r="C768" i="1"/>
  <c r="D768" i="1"/>
  <c r="H768" i="1"/>
  <c r="L768" i="1"/>
  <c r="P768" i="1"/>
  <c r="T768" i="1"/>
  <c r="X768" i="1"/>
  <c r="AB768" i="1"/>
  <c r="AF768" i="1"/>
  <c r="AJ768" i="1"/>
  <c r="AN768" i="1"/>
  <c r="AR768" i="1"/>
  <c r="AV768" i="1"/>
  <c r="AZ768" i="1"/>
  <c r="D769" i="1"/>
  <c r="H769" i="1"/>
  <c r="L769" i="1"/>
  <c r="P769" i="1"/>
  <c r="T769" i="1"/>
  <c r="X769" i="1"/>
  <c r="AB769" i="1"/>
  <c r="AF769" i="1"/>
  <c r="AJ769" i="1"/>
  <c r="AN769" i="1"/>
  <c r="AR769" i="1"/>
  <c r="AV769" i="1"/>
  <c r="AZ769" i="1"/>
  <c r="E769" i="1"/>
  <c r="I769" i="1"/>
  <c r="M769" i="1"/>
  <c r="Q769" i="1"/>
  <c r="U769" i="1"/>
  <c r="Y769" i="1"/>
  <c r="AC769" i="1"/>
  <c r="AG769" i="1"/>
  <c r="AK769" i="1"/>
  <c r="AO769" i="1"/>
  <c r="AS769" i="1"/>
  <c r="AW769" i="1"/>
  <c r="F769" i="1"/>
  <c r="J769" i="1"/>
  <c r="N769" i="1"/>
  <c r="R769" i="1"/>
  <c r="V769" i="1"/>
  <c r="Z769" i="1"/>
  <c r="AD769" i="1"/>
  <c r="AH769" i="1"/>
  <c r="AL769" i="1"/>
  <c r="AP769" i="1"/>
  <c r="AT769" i="1"/>
  <c r="AX769" i="1"/>
  <c r="G769" i="1"/>
  <c r="K769" i="1"/>
  <c r="O769" i="1"/>
  <c r="S769" i="1"/>
  <c r="W769" i="1"/>
  <c r="AA769" i="1"/>
  <c r="AE769" i="1"/>
  <c r="AI769" i="1"/>
  <c r="AM769" i="1"/>
  <c r="AQ769" i="1"/>
  <c r="AU769" i="1"/>
  <c r="AY769" i="1"/>
  <c r="C769" i="1"/>
  <c r="G770" i="1"/>
  <c r="K770" i="1"/>
  <c r="O770" i="1"/>
  <c r="S770" i="1"/>
  <c r="W770" i="1"/>
  <c r="AA770" i="1"/>
  <c r="AE770" i="1"/>
  <c r="AI770" i="1"/>
  <c r="AM770" i="1"/>
  <c r="AQ770" i="1"/>
  <c r="AU770" i="1"/>
  <c r="AY770" i="1"/>
  <c r="C770" i="1"/>
  <c r="D770" i="1"/>
  <c r="H770" i="1"/>
  <c r="L770" i="1"/>
  <c r="P770" i="1"/>
  <c r="T770" i="1"/>
  <c r="X770" i="1"/>
  <c r="AB770" i="1"/>
  <c r="AF770" i="1"/>
  <c r="AJ770" i="1"/>
  <c r="AN770" i="1"/>
  <c r="AR770" i="1"/>
  <c r="AV770" i="1"/>
  <c r="AZ770" i="1"/>
  <c r="E770" i="1"/>
  <c r="I770" i="1"/>
  <c r="M770" i="1"/>
  <c r="Q770" i="1"/>
  <c r="U770" i="1"/>
  <c r="Y770" i="1"/>
  <c r="AC770" i="1"/>
  <c r="AG770" i="1"/>
  <c r="AK770" i="1"/>
  <c r="AO770" i="1"/>
  <c r="AS770" i="1"/>
  <c r="AW770" i="1"/>
  <c r="F770" i="1"/>
  <c r="J770" i="1"/>
  <c r="N770" i="1"/>
  <c r="R770" i="1"/>
  <c r="V770" i="1"/>
  <c r="Z770" i="1"/>
  <c r="AD770" i="1"/>
  <c r="AH770" i="1"/>
  <c r="AL770" i="1"/>
  <c r="AP770" i="1"/>
  <c r="AT770" i="1"/>
  <c r="AX770" i="1"/>
  <c r="F771" i="1"/>
  <c r="J771" i="1"/>
  <c r="N771" i="1"/>
  <c r="R771" i="1"/>
  <c r="V771" i="1"/>
  <c r="Z771" i="1"/>
  <c r="AD771" i="1"/>
  <c r="AH771" i="1"/>
  <c r="AL771" i="1"/>
  <c r="AP771" i="1"/>
  <c r="AT771" i="1"/>
  <c r="AX771" i="1"/>
  <c r="G771" i="1"/>
  <c r="K771" i="1"/>
  <c r="O771" i="1"/>
  <c r="S771" i="1"/>
  <c r="W771" i="1"/>
  <c r="AA771" i="1"/>
  <c r="AE771" i="1"/>
  <c r="AI771" i="1"/>
  <c r="AM771" i="1"/>
  <c r="AQ771" i="1"/>
  <c r="AU771" i="1"/>
  <c r="AY771" i="1"/>
  <c r="C771" i="1"/>
  <c r="D771" i="1"/>
  <c r="H771" i="1"/>
  <c r="L771" i="1"/>
  <c r="P771" i="1"/>
  <c r="T771" i="1"/>
  <c r="X771" i="1"/>
  <c r="AB771" i="1"/>
  <c r="AF771" i="1"/>
  <c r="AJ771" i="1"/>
  <c r="AN771" i="1"/>
  <c r="AR771" i="1"/>
  <c r="AV771" i="1"/>
  <c r="AZ771" i="1"/>
  <c r="E771" i="1"/>
  <c r="I771" i="1"/>
  <c r="M771" i="1"/>
  <c r="Q771" i="1"/>
  <c r="U771" i="1"/>
  <c r="Y771" i="1"/>
  <c r="AC771" i="1"/>
  <c r="AG771" i="1"/>
  <c r="AK771" i="1"/>
  <c r="AO771" i="1"/>
  <c r="AS771" i="1"/>
  <c r="AW771" i="1"/>
  <c r="E772" i="1"/>
  <c r="I772" i="1"/>
  <c r="M772" i="1"/>
  <c r="Q772" i="1"/>
  <c r="U772" i="1"/>
  <c r="Y772" i="1"/>
  <c r="AC772" i="1"/>
  <c r="AG772" i="1"/>
  <c r="AK772" i="1"/>
  <c r="AO772" i="1"/>
  <c r="AS772" i="1"/>
  <c r="AW772" i="1"/>
  <c r="F772" i="1"/>
  <c r="J772" i="1"/>
  <c r="N772" i="1"/>
  <c r="R772" i="1"/>
  <c r="V772" i="1"/>
  <c r="Z772" i="1"/>
  <c r="AD772" i="1"/>
  <c r="AH772" i="1"/>
  <c r="AL772" i="1"/>
  <c r="AP772" i="1"/>
  <c r="AT772" i="1"/>
  <c r="AX772" i="1"/>
  <c r="G772" i="1"/>
  <c r="K772" i="1"/>
  <c r="O772" i="1"/>
  <c r="S772" i="1"/>
  <c r="W772" i="1"/>
  <c r="AA772" i="1"/>
  <c r="AE772" i="1"/>
  <c r="AI772" i="1"/>
  <c r="AM772" i="1"/>
  <c r="AQ772" i="1"/>
  <c r="AU772" i="1"/>
  <c r="AY772" i="1"/>
  <c r="C772" i="1"/>
  <c r="D772" i="1"/>
  <c r="H772" i="1"/>
  <c r="L772" i="1"/>
  <c r="P772" i="1"/>
  <c r="T772" i="1"/>
  <c r="X772" i="1"/>
  <c r="AB772" i="1"/>
  <c r="AF772" i="1"/>
  <c r="AJ772" i="1"/>
  <c r="AN772" i="1"/>
  <c r="AR772" i="1"/>
  <c r="AV772" i="1"/>
  <c r="AZ772" i="1"/>
  <c r="D773" i="1"/>
  <c r="H773" i="1"/>
  <c r="L773" i="1"/>
  <c r="P773" i="1"/>
  <c r="T773" i="1"/>
  <c r="X773" i="1"/>
  <c r="AB773" i="1"/>
  <c r="AF773" i="1"/>
  <c r="AJ773" i="1"/>
  <c r="AN773" i="1"/>
  <c r="AR773" i="1"/>
  <c r="AV773" i="1"/>
  <c r="AZ773" i="1"/>
  <c r="E773" i="1"/>
  <c r="I773" i="1"/>
  <c r="M773" i="1"/>
  <c r="Q773" i="1"/>
  <c r="U773" i="1"/>
  <c r="Y773" i="1"/>
  <c r="AC773" i="1"/>
  <c r="AG773" i="1"/>
  <c r="AK773" i="1"/>
  <c r="AO773" i="1"/>
  <c r="AS773" i="1"/>
  <c r="AW773" i="1"/>
  <c r="F773" i="1"/>
  <c r="J773" i="1"/>
  <c r="N773" i="1"/>
  <c r="R773" i="1"/>
  <c r="V773" i="1"/>
  <c r="Z773" i="1"/>
  <c r="AD773" i="1"/>
  <c r="AH773" i="1"/>
  <c r="AL773" i="1"/>
  <c r="AP773" i="1"/>
  <c r="AT773" i="1"/>
  <c r="AX773" i="1"/>
  <c r="G773" i="1"/>
  <c r="K773" i="1"/>
  <c r="O773" i="1"/>
  <c r="S773" i="1"/>
  <c r="W773" i="1"/>
  <c r="AA773" i="1"/>
  <c r="AE773" i="1"/>
  <c r="AI773" i="1"/>
  <c r="AM773" i="1"/>
  <c r="AQ773" i="1"/>
  <c r="AU773" i="1"/>
  <c r="AY773" i="1"/>
  <c r="C773" i="1"/>
  <c r="G774" i="1"/>
  <c r="K774" i="1"/>
  <c r="O774" i="1"/>
  <c r="S774" i="1"/>
  <c r="W774" i="1"/>
  <c r="AA774" i="1"/>
  <c r="AE774" i="1"/>
  <c r="AI774" i="1"/>
  <c r="AM774" i="1"/>
  <c r="AQ774" i="1"/>
  <c r="AU774" i="1"/>
  <c r="AY774" i="1"/>
  <c r="C774" i="1"/>
  <c r="D774" i="1"/>
  <c r="H774" i="1"/>
  <c r="L774" i="1"/>
  <c r="P774" i="1"/>
  <c r="T774" i="1"/>
  <c r="X774" i="1"/>
  <c r="AB774" i="1"/>
  <c r="AF774" i="1"/>
  <c r="AJ774" i="1"/>
  <c r="AN774" i="1"/>
  <c r="AR774" i="1"/>
  <c r="AV774" i="1"/>
  <c r="AZ774" i="1"/>
  <c r="E774" i="1"/>
  <c r="I774" i="1"/>
  <c r="M774" i="1"/>
  <c r="Q774" i="1"/>
  <c r="U774" i="1"/>
  <c r="Y774" i="1"/>
  <c r="AC774" i="1"/>
  <c r="AG774" i="1"/>
  <c r="AK774" i="1"/>
  <c r="AO774" i="1"/>
  <c r="AS774" i="1"/>
  <c r="AW774" i="1"/>
  <c r="F774" i="1"/>
  <c r="J774" i="1"/>
  <c r="N774" i="1"/>
  <c r="R774" i="1"/>
  <c r="V774" i="1"/>
  <c r="Z774" i="1"/>
  <c r="AD774" i="1"/>
  <c r="AH774" i="1"/>
  <c r="AL774" i="1"/>
  <c r="AP774" i="1"/>
  <c r="AT774" i="1"/>
  <c r="AX774" i="1"/>
  <c r="F775" i="1"/>
  <c r="J775" i="1"/>
  <c r="N775" i="1"/>
  <c r="R775" i="1"/>
  <c r="V775" i="1"/>
  <c r="Z775" i="1"/>
  <c r="AD775" i="1"/>
  <c r="AH775" i="1"/>
  <c r="AL775" i="1"/>
  <c r="AP775" i="1"/>
  <c r="AT775" i="1"/>
  <c r="AX775" i="1"/>
  <c r="G775" i="1"/>
  <c r="K775" i="1"/>
  <c r="O775" i="1"/>
  <c r="S775" i="1"/>
  <c r="W775" i="1"/>
  <c r="AA775" i="1"/>
  <c r="AE775" i="1"/>
  <c r="AI775" i="1"/>
  <c r="AM775" i="1"/>
  <c r="AQ775" i="1"/>
  <c r="AU775" i="1"/>
  <c r="AY775" i="1"/>
  <c r="C775" i="1"/>
  <c r="D775" i="1"/>
  <c r="H775" i="1"/>
  <c r="L775" i="1"/>
  <c r="P775" i="1"/>
  <c r="T775" i="1"/>
  <c r="X775" i="1"/>
  <c r="AB775" i="1"/>
  <c r="AF775" i="1"/>
  <c r="AJ775" i="1"/>
  <c r="AN775" i="1"/>
  <c r="AR775" i="1"/>
  <c r="AV775" i="1"/>
  <c r="AZ775" i="1"/>
  <c r="E775" i="1"/>
  <c r="I775" i="1"/>
  <c r="M775" i="1"/>
  <c r="Q775" i="1"/>
  <c r="U775" i="1"/>
  <c r="Y775" i="1"/>
  <c r="AC775" i="1"/>
  <c r="AG775" i="1"/>
  <c r="AK775" i="1"/>
  <c r="AO775" i="1"/>
  <c r="AS775" i="1"/>
  <c r="AW775" i="1"/>
  <c r="E776" i="1"/>
  <c r="I776" i="1"/>
  <c r="M776" i="1"/>
  <c r="Q776" i="1"/>
  <c r="U776" i="1"/>
  <c r="Y776" i="1"/>
  <c r="AC776" i="1"/>
  <c r="AG776" i="1"/>
  <c r="AK776" i="1"/>
  <c r="AO776" i="1"/>
  <c r="AS776" i="1"/>
  <c r="AW776" i="1"/>
  <c r="F776" i="1"/>
  <c r="J776" i="1"/>
  <c r="N776" i="1"/>
  <c r="R776" i="1"/>
  <c r="V776" i="1"/>
  <c r="Z776" i="1"/>
  <c r="AD776" i="1"/>
  <c r="AH776" i="1"/>
  <c r="AL776" i="1"/>
  <c r="AP776" i="1"/>
  <c r="AT776" i="1"/>
  <c r="AX776" i="1"/>
  <c r="G776" i="1"/>
  <c r="K776" i="1"/>
  <c r="O776" i="1"/>
  <c r="S776" i="1"/>
  <c r="W776" i="1"/>
  <c r="AA776" i="1"/>
  <c r="AE776" i="1"/>
  <c r="AI776" i="1"/>
  <c r="AM776" i="1"/>
  <c r="AQ776" i="1"/>
  <c r="AU776" i="1"/>
  <c r="AY776" i="1"/>
  <c r="C776" i="1"/>
  <c r="D776" i="1"/>
  <c r="H776" i="1"/>
  <c r="L776" i="1"/>
  <c r="P776" i="1"/>
  <c r="T776" i="1"/>
  <c r="X776" i="1"/>
  <c r="AB776" i="1"/>
  <c r="AF776" i="1"/>
  <c r="AJ776" i="1"/>
  <c r="AN776" i="1"/>
  <c r="AR776" i="1"/>
  <c r="AV776" i="1"/>
  <c r="AZ776" i="1"/>
  <c r="D777" i="1"/>
  <c r="H777" i="1"/>
  <c r="L777" i="1"/>
  <c r="P777" i="1"/>
  <c r="T777" i="1"/>
  <c r="X777" i="1"/>
  <c r="AB777" i="1"/>
  <c r="AF777" i="1"/>
  <c r="AJ777" i="1"/>
  <c r="AN777" i="1"/>
  <c r="AR777" i="1"/>
  <c r="AV777" i="1"/>
  <c r="AZ777" i="1"/>
  <c r="E777" i="1"/>
  <c r="I777" i="1"/>
  <c r="M777" i="1"/>
  <c r="Q777" i="1"/>
  <c r="U777" i="1"/>
  <c r="Y777" i="1"/>
  <c r="AC777" i="1"/>
  <c r="AG777" i="1"/>
  <c r="AK777" i="1"/>
  <c r="AO777" i="1"/>
  <c r="AS777" i="1"/>
  <c r="AW777" i="1"/>
  <c r="F777" i="1"/>
  <c r="J777" i="1"/>
  <c r="N777" i="1"/>
  <c r="R777" i="1"/>
  <c r="V777" i="1"/>
  <c r="Z777" i="1"/>
  <c r="AD777" i="1"/>
  <c r="AH777" i="1"/>
  <c r="AL777" i="1"/>
  <c r="AP777" i="1"/>
  <c r="AT777" i="1"/>
  <c r="AX777" i="1"/>
  <c r="G777" i="1"/>
  <c r="K777" i="1"/>
  <c r="O777" i="1"/>
  <c r="S777" i="1"/>
  <c r="W777" i="1"/>
  <c r="AA777" i="1"/>
  <c r="AE777" i="1"/>
  <c r="AI777" i="1"/>
  <c r="AM777" i="1"/>
  <c r="AQ777" i="1"/>
  <c r="AU777" i="1"/>
  <c r="AY777" i="1"/>
  <c r="C777" i="1"/>
  <c r="G778" i="1"/>
  <c r="K778" i="1"/>
  <c r="O778" i="1"/>
  <c r="S778" i="1"/>
  <c r="W778" i="1"/>
  <c r="AA778" i="1"/>
  <c r="AE778" i="1"/>
  <c r="AI778" i="1"/>
  <c r="AM778" i="1"/>
  <c r="AQ778" i="1"/>
  <c r="AU778" i="1"/>
  <c r="AY778" i="1"/>
  <c r="C778" i="1"/>
  <c r="D778" i="1"/>
  <c r="H778" i="1"/>
  <c r="L778" i="1"/>
  <c r="P778" i="1"/>
  <c r="T778" i="1"/>
  <c r="X778" i="1"/>
  <c r="AB778" i="1"/>
  <c r="AF778" i="1"/>
  <c r="AJ778" i="1"/>
  <c r="AN778" i="1"/>
  <c r="AR778" i="1"/>
  <c r="AV778" i="1"/>
  <c r="AZ778" i="1"/>
  <c r="E778" i="1"/>
  <c r="I778" i="1"/>
  <c r="M778" i="1"/>
  <c r="Q778" i="1"/>
  <c r="U778" i="1"/>
  <c r="Y778" i="1"/>
  <c r="AC778" i="1"/>
  <c r="AG778" i="1"/>
  <c r="AK778" i="1"/>
  <c r="AO778" i="1"/>
  <c r="AS778" i="1"/>
  <c r="AW778" i="1"/>
  <c r="F778" i="1"/>
  <c r="J778" i="1"/>
  <c r="N778" i="1"/>
  <c r="R778" i="1"/>
  <c r="V778" i="1"/>
  <c r="Z778" i="1"/>
  <c r="AD778" i="1"/>
  <c r="AH778" i="1"/>
  <c r="AL778" i="1"/>
  <c r="AP778" i="1"/>
  <c r="AT778" i="1"/>
  <c r="AX778" i="1"/>
  <c r="F779" i="1"/>
  <c r="J779" i="1"/>
  <c r="N779" i="1"/>
  <c r="R779" i="1"/>
  <c r="V779" i="1"/>
  <c r="Z779" i="1"/>
  <c r="AD779" i="1"/>
  <c r="AH779" i="1"/>
  <c r="AL779" i="1"/>
  <c r="AP779" i="1"/>
  <c r="AT779" i="1"/>
  <c r="AX779" i="1"/>
  <c r="G779" i="1"/>
  <c r="K779" i="1"/>
  <c r="O779" i="1"/>
  <c r="S779" i="1"/>
  <c r="W779" i="1"/>
  <c r="AA779" i="1"/>
  <c r="AE779" i="1"/>
  <c r="AI779" i="1"/>
  <c r="AM779" i="1"/>
  <c r="AQ779" i="1"/>
  <c r="AU779" i="1"/>
  <c r="AY779" i="1"/>
  <c r="C779" i="1"/>
  <c r="D779" i="1"/>
  <c r="H779" i="1"/>
  <c r="L779" i="1"/>
  <c r="P779" i="1"/>
  <c r="T779" i="1"/>
  <c r="X779" i="1"/>
  <c r="AB779" i="1"/>
  <c r="AF779" i="1"/>
  <c r="AJ779" i="1"/>
  <c r="AN779" i="1"/>
  <c r="AR779" i="1"/>
  <c r="AV779" i="1"/>
  <c r="AZ779" i="1"/>
  <c r="E779" i="1"/>
  <c r="I779" i="1"/>
  <c r="M779" i="1"/>
  <c r="Q779" i="1"/>
  <c r="U779" i="1"/>
  <c r="Y779" i="1"/>
  <c r="AC779" i="1"/>
  <c r="AG779" i="1"/>
  <c r="AK779" i="1"/>
  <c r="AO779" i="1"/>
  <c r="AS779" i="1"/>
  <c r="AW779" i="1"/>
  <c r="E780" i="1"/>
  <c r="I780" i="1"/>
  <c r="M780" i="1"/>
  <c r="Q780" i="1"/>
  <c r="U780" i="1"/>
  <c r="Y780" i="1"/>
  <c r="AC780" i="1"/>
  <c r="AG780" i="1"/>
  <c r="AK780" i="1"/>
  <c r="AO780" i="1"/>
  <c r="AS780" i="1"/>
  <c r="AW780" i="1"/>
  <c r="F780" i="1"/>
  <c r="J780" i="1"/>
  <c r="N780" i="1"/>
  <c r="R780" i="1"/>
  <c r="V780" i="1"/>
  <c r="Z780" i="1"/>
  <c r="AD780" i="1"/>
  <c r="AH780" i="1"/>
  <c r="AL780" i="1"/>
  <c r="AP780" i="1"/>
  <c r="AT780" i="1"/>
  <c r="AX780" i="1"/>
  <c r="G780" i="1"/>
  <c r="K780" i="1"/>
  <c r="O780" i="1"/>
  <c r="S780" i="1"/>
  <c r="W780" i="1"/>
  <c r="AA780" i="1"/>
  <c r="AE780" i="1"/>
  <c r="AI780" i="1"/>
  <c r="AM780" i="1"/>
  <c r="AQ780" i="1"/>
  <c r="AU780" i="1"/>
  <c r="AY780" i="1"/>
  <c r="C780" i="1"/>
  <c r="D780" i="1"/>
  <c r="H780" i="1"/>
  <c r="L780" i="1"/>
  <c r="P780" i="1"/>
  <c r="T780" i="1"/>
  <c r="X780" i="1"/>
  <c r="AB780" i="1"/>
  <c r="AF780" i="1"/>
  <c r="AJ780" i="1"/>
  <c r="AN780" i="1"/>
  <c r="AR780" i="1"/>
  <c r="AV780" i="1"/>
  <c r="AZ780" i="1"/>
  <c r="D781" i="1"/>
  <c r="H781" i="1"/>
  <c r="L781" i="1"/>
  <c r="P781" i="1"/>
  <c r="T781" i="1"/>
  <c r="X781" i="1"/>
  <c r="AB781" i="1"/>
  <c r="AF781" i="1"/>
  <c r="AJ781" i="1"/>
  <c r="AN781" i="1"/>
  <c r="AR781" i="1"/>
  <c r="AV781" i="1"/>
  <c r="AZ781" i="1"/>
  <c r="E781" i="1"/>
  <c r="I781" i="1"/>
  <c r="M781" i="1"/>
  <c r="Q781" i="1"/>
  <c r="U781" i="1"/>
  <c r="Y781" i="1"/>
  <c r="AC781" i="1"/>
  <c r="AG781" i="1"/>
  <c r="AK781" i="1"/>
  <c r="AO781" i="1"/>
  <c r="AS781" i="1"/>
  <c r="AW781" i="1"/>
  <c r="F781" i="1"/>
  <c r="J781" i="1"/>
  <c r="N781" i="1"/>
  <c r="R781" i="1"/>
  <c r="V781" i="1"/>
  <c r="Z781" i="1"/>
  <c r="AD781" i="1"/>
  <c r="AH781" i="1"/>
  <c r="AL781" i="1"/>
  <c r="AP781" i="1"/>
  <c r="AT781" i="1"/>
  <c r="AX781" i="1"/>
  <c r="G781" i="1"/>
  <c r="K781" i="1"/>
  <c r="O781" i="1"/>
  <c r="S781" i="1"/>
  <c r="W781" i="1"/>
  <c r="AA781" i="1"/>
  <c r="AE781" i="1"/>
  <c r="AI781" i="1"/>
  <c r="AM781" i="1"/>
  <c r="AQ781" i="1"/>
  <c r="AU781" i="1"/>
  <c r="AY781" i="1"/>
  <c r="C781" i="1"/>
  <c r="G782" i="1"/>
  <c r="K782" i="1"/>
  <c r="O782" i="1"/>
  <c r="S782" i="1"/>
  <c r="W782" i="1"/>
  <c r="AA782" i="1"/>
  <c r="AE782" i="1"/>
  <c r="AI782" i="1"/>
  <c r="AM782" i="1"/>
  <c r="AQ782" i="1"/>
  <c r="AU782" i="1"/>
  <c r="AY782" i="1"/>
  <c r="C782" i="1"/>
  <c r="D782" i="1"/>
  <c r="H782" i="1"/>
  <c r="L782" i="1"/>
  <c r="P782" i="1"/>
  <c r="T782" i="1"/>
  <c r="X782" i="1"/>
  <c r="AB782" i="1"/>
  <c r="AF782" i="1"/>
  <c r="AJ782" i="1"/>
  <c r="AN782" i="1"/>
  <c r="AR782" i="1"/>
  <c r="AV782" i="1"/>
  <c r="AZ782" i="1"/>
  <c r="E782" i="1"/>
  <c r="I782" i="1"/>
  <c r="M782" i="1"/>
  <c r="Q782" i="1"/>
  <c r="U782" i="1"/>
  <c r="Y782" i="1"/>
  <c r="AC782" i="1"/>
  <c r="AG782" i="1"/>
  <c r="AK782" i="1"/>
  <c r="AO782" i="1"/>
  <c r="AS782" i="1"/>
  <c r="AW782" i="1"/>
  <c r="F782" i="1"/>
  <c r="J782" i="1"/>
  <c r="N782" i="1"/>
  <c r="R782" i="1"/>
  <c r="V782" i="1"/>
  <c r="Z782" i="1"/>
  <c r="AD782" i="1"/>
  <c r="AH782" i="1"/>
  <c r="AL782" i="1"/>
  <c r="AP782" i="1"/>
  <c r="AT782" i="1"/>
  <c r="AX782" i="1"/>
  <c r="F783" i="1"/>
  <c r="J783" i="1"/>
  <c r="N783" i="1"/>
  <c r="R783" i="1"/>
  <c r="V783" i="1"/>
  <c r="Z783" i="1"/>
  <c r="AD783" i="1"/>
  <c r="AH783" i="1"/>
  <c r="AL783" i="1"/>
  <c r="AP783" i="1"/>
  <c r="AT783" i="1"/>
  <c r="AX783" i="1"/>
  <c r="G783" i="1"/>
  <c r="K783" i="1"/>
  <c r="O783" i="1"/>
  <c r="S783" i="1"/>
  <c r="W783" i="1"/>
  <c r="AA783" i="1"/>
  <c r="AE783" i="1"/>
  <c r="AI783" i="1"/>
  <c r="AM783" i="1"/>
  <c r="AQ783" i="1"/>
  <c r="AU783" i="1"/>
  <c r="AY783" i="1"/>
  <c r="C783" i="1"/>
  <c r="D783" i="1"/>
  <c r="H783" i="1"/>
  <c r="L783" i="1"/>
  <c r="P783" i="1"/>
  <c r="T783" i="1"/>
  <c r="X783" i="1"/>
  <c r="AB783" i="1"/>
  <c r="AF783" i="1"/>
  <c r="AJ783" i="1"/>
  <c r="AN783" i="1"/>
  <c r="AR783" i="1"/>
  <c r="AV783" i="1"/>
  <c r="AZ783" i="1"/>
  <c r="E783" i="1"/>
  <c r="I783" i="1"/>
  <c r="M783" i="1"/>
  <c r="Q783" i="1"/>
  <c r="U783" i="1"/>
  <c r="Y783" i="1"/>
  <c r="AC783" i="1"/>
  <c r="AG783" i="1"/>
  <c r="AK783" i="1"/>
  <c r="AO783" i="1"/>
  <c r="AS783" i="1"/>
  <c r="AW783" i="1"/>
  <c r="E784" i="1"/>
  <c r="I784" i="1"/>
  <c r="M784" i="1"/>
  <c r="Q784" i="1"/>
  <c r="U784" i="1"/>
  <c r="Y784" i="1"/>
  <c r="AC784" i="1"/>
  <c r="AG784" i="1"/>
  <c r="AK784" i="1"/>
  <c r="AO784" i="1"/>
  <c r="AS784" i="1"/>
  <c r="AW784" i="1"/>
  <c r="F784" i="1"/>
  <c r="J784" i="1"/>
  <c r="N784" i="1"/>
  <c r="R784" i="1"/>
  <c r="V784" i="1"/>
  <c r="Z784" i="1"/>
  <c r="AD784" i="1"/>
  <c r="AH784" i="1"/>
  <c r="AL784" i="1"/>
  <c r="AP784" i="1"/>
  <c r="AT784" i="1"/>
  <c r="AX784" i="1"/>
  <c r="G784" i="1"/>
  <c r="K784" i="1"/>
  <c r="O784" i="1"/>
  <c r="S784" i="1"/>
  <c r="W784" i="1"/>
  <c r="AA784" i="1"/>
  <c r="AE784" i="1"/>
  <c r="AI784" i="1"/>
  <c r="AM784" i="1"/>
  <c r="AQ784" i="1"/>
  <c r="AU784" i="1"/>
  <c r="AY784" i="1"/>
  <c r="C784" i="1"/>
  <c r="D784" i="1"/>
  <c r="H784" i="1"/>
  <c r="L784" i="1"/>
  <c r="P784" i="1"/>
  <c r="T784" i="1"/>
  <c r="X784" i="1"/>
  <c r="AB784" i="1"/>
  <c r="AF784" i="1"/>
  <c r="AJ784" i="1"/>
  <c r="AN784" i="1"/>
  <c r="AR784" i="1"/>
  <c r="AV784" i="1"/>
  <c r="AZ784" i="1"/>
  <c r="D785" i="1"/>
  <c r="H785" i="1"/>
  <c r="L785" i="1"/>
  <c r="P785" i="1"/>
  <c r="T785" i="1"/>
  <c r="X785" i="1"/>
  <c r="AB785" i="1"/>
  <c r="AF785" i="1"/>
  <c r="AJ785" i="1"/>
  <c r="AN785" i="1"/>
  <c r="AR785" i="1"/>
  <c r="AV785" i="1"/>
  <c r="AZ785" i="1"/>
  <c r="E785" i="1"/>
  <c r="I785" i="1"/>
  <c r="M785" i="1"/>
  <c r="Q785" i="1"/>
  <c r="U785" i="1"/>
  <c r="Y785" i="1"/>
  <c r="AC785" i="1"/>
  <c r="AG785" i="1"/>
  <c r="AK785" i="1"/>
  <c r="AO785" i="1"/>
  <c r="AS785" i="1"/>
  <c r="AW785" i="1"/>
  <c r="F785" i="1"/>
  <c r="J785" i="1"/>
  <c r="N785" i="1"/>
  <c r="R785" i="1"/>
  <c r="V785" i="1"/>
  <c r="Z785" i="1"/>
  <c r="AD785" i="1"/>
  <c r="AH785" i="1"/>
  <c r="AL785" i="1"/>
  <c r="AP785" i="1"/>
  <c r="AT785" i="1"/>
  <c r="AX785" i="1"/>
  <c r="G785" i="1"/>
  <c r="K785" i="1"/>
  <c r="O785" i="1"/>
  <c r="S785" i="1"/>
  <c r="W785" i="1"/>
  <c r="AA785" i="1"/>
  <c r="AE785" i="1"/>
  <c r="AI785" i="1"/>
  <c r="AM785" i="1"/>
  <c r="AQ785" i="1"/>
  <c r="AU785" i="1"/>
  <c r="AY785" i="1"/>
  <c r="C785" i="1"/>
  <c r="G786" i="1"/>
  <c r="K786" i="1"/>
  <c r="O786" i="1"/>
  <c r="S786" i="1"/>
  <c r="W786" i="1"/>
  <c r="AA786" i="1"/>
  <c r="AE786" i="1"/>
  <c r="AI786" i="1"/>
  <c r="AM786" i="1"/>
  <c r="AQ786" i="1"/>
  <c r="AU786" i="1"/>
  <c r="AY786" i="1"/>
  <c r="C786" i="1"/>
  <c r="D786" i="1"/>
  <c r="H786" i="1"/>
  <c r="L786" i="1"/>
  <c r="P786" i="1"/>
  <c r="T786" i="1"/>
  <c r="X786" i="1"/>
  <c r="AB786" i="1"/>
  <c r="AF786" i="1"/>
  <c r="AJ786" i="1"/>
  <c r="AN786" i="1"/>
  <c r="AR786" i="1"/>
  <c r="AV786" i="1"/>
  <c r="AZ786" i="1"/>
  <c r="E786" i="1"/>
  <c r="I786" i="1"/>
  <c r="M786" i="1"/>
  <c r="Q786" i="1"/>
  <c r="U786" i="1"/>
  <c r="Y786" i="1"/>
  <c r="AC786" i="1"/>
  <c r="AG786" i="1"/>
  <c r="AK786" i="1"/>
  <c r="AO786" i="1"/>
  <c r="AS786" i="1"/>
  <c r="AW786" i="1"/>
  <c r="F786" i="1"/>
  <c r="J786" i="1"/>
  <c r="N786" i="1"/>
  <c r="R786" i="1"/>
  <c r="V786" i="1"/>
  <c r="Z786" i="1"/>
  <c r="AD786" i="1"/>
  <c r="AH786" i="1"/>
  <c r="AL786" i="1"/>
  <c r="AP786" i="1"/>
  <c r="AT786" i="1"/>
  <c r="AX786" i="1"/>
  <c r="F787" i="1"/>
  <c r="J787" i="1"/>
  <c r="N787" i="1"/>
  <c r="R787" i="1"/>
  <c r="V787" i="1"/>
  <c r="Z787" i="1"/>
  <c r="AD787" i="1"/>
  <c r="AH787" i="1"/>
  <c r="AL787" i="1"/>
  <c r="AP787" i="1"/>
  <c r="AT787" i="1"/>
  <c r="AX787" i="1"/>
  <c r="G787" i="1"/>
  <c r="K787" i="1"/>
  <c r="O787" i="1"/>
  <c r="S787" i="1"/>
  <c r="W787" i="1"/>
  <c r="AA787" i="1"/>
  <c r="AE787" i="1"/>
  <c r="AI787" i="1"/>
  <c r="AM787" i="1"/>
  <c r="AQ787" i="1"/>
  <c r="AU787" i="1"/>
  <c r="AY787" i="1"/>
  <c r="C787" i="1"/>
  <c r="D787" i="1"/>
  <c r="H787" i="1"/>
  <c r="L787" i="1"/>
  <c r="P787" i="1"/>
  <c r="T787" i="1"/>
  <c r="X787" i="1"/>
  <c r="AB787" i="1"/>
  <c r="AF787" i="1"/>
  <c r="AJ787" i="1"/>
  <c r="AN787" i="1"/>
  <c r="AR787" i="1"/>
  <c r="AV787" i="1"/>
  <c r="AZ787" i="1"/>
  <c r="E787" i="1"/>
  <c r="I787" i="1"/>
  <c r="M787" i="1"/>
  <c r="Q787" i="1"/>
  <c r="U787" i="1"/>
  <c r="Y787" i="1"/>
  <c r="AC787" i="1"/>
  <c r="AG787" i="1"/>
  <c r="AK787" i="1"/>
  <c r="AO787" i="1"/>
  <c r="AS787" i="1"/>
  <c r="AW787" i="1"/>
  <c r="E788" i="1"/>
  <c r="I788" i="1"/>
  <c r="M788" i="1"/>
  <c r="Q788" i="1"/>
  <c r="U788" i="1"/>
  <c r="Y788" i="1"/>
  <c r="AC788" i="1"/>
  <c r="AG788" i="1"/>
  <c r="AK788" i="1"/>
  <c r="AO788" i="1"/>
  <c r="AS788" i="1"/>
  <c r="AW788" i="1"/>
  <c r="F788" i="1"/>
  <c r="J788" i="1"/>
  <c r="N788" i="1"/>
  <c r="R788" i="1"/>
  <c r="V788" i="1"/>
  <c r="Z788" i="1"/>
  <c r="AD788" i="1"/>
  <c r="AH788" i="1"/>
  <c r="AL788" i="1"/>
  <c r="AP788" i="1"/>
  <c r="AT788" i="1"/>
  <c r="AX788" i="1"/>
  <c r="G788" i="1"/>
  <c r="K788" i="1"/>
  <c r="O788" i="1"/>
  <c r="S788" i="1"/>
  <c r="W788" i="1"/>
  <c r="AA788" i="1"/>
  <c r="AE788" i="1"/>
  <c r="AI788" i="1"/>
  <c r="AM788" i="1"/>
  <c r="AQ788" i="1"/>
  <c r="AU788" i="1"/>
  <c r="AY788" i="1"/>
  <c r="C788" i="1"/>
  <c r="D788" i="1"/>
  <c r="H788" i="1"/>
  <c r="L788" i="1"/>
  <c r="P788" i="1"/>
  <c r="T788" i="1"/>
  <c r="X788" i="1"/>
  <c r="AB788" i="1"/>
  <c r="AF788" i="1"/>
  <c r="AJ788" i="1"/>
  <c r="AN788" i="1"/>
  <c r="AR788" i="1"/>
  <c r="AV788" i="1"/>
  <c r="AZ788" i="1"/>
  <c r="D789" i="1"/>
  <c r="H789" i="1"/>
  <c r="L789" i="1"/>
  <c r="P789" i="1"/>
  <c r="T789" i="1"/>
  <c r="X789" i="1"/>
  <c r="AB789" i="1"/>
  <c r="AF789" i="1"/>
  <c r="AJ789" i="1"/>
  <c r="AN789" i="1"/>
  <c r="AR789" i="1"/>
  <c r="AV789" i="1"/>
  <c r="AZ789" i="1"/>
  <c r="E789" i="1"/>
  <c r="I789" i="1"/>
  <c r="M789" i="1"/>
  <c r="Q789" i="1"/>
  <c r="U789" i="1"/>
  <c r="Y789" i="1"/>
  <c r="AC789" i="1"/>
  <c r="AG789" i="1"/>
  <c r="AK789" i="1"/>
  <c r="AO789" i="1"/>
  <c r="AS789" i="1"/>
  <c r="AW789" i="1"/>
  <c r="F789" i="1"/>
  <c r="J789" i="1"/>
  <c r="N789" i="1"/>
  <c r="R789" i="1"/>
  <c r="V789" i="1"/>
  <c r="Z789" i="1"/>
  <c r="AD789" i="1"/>
  <c r="AH789" i="1"/>
  <c r="AL789" i="1"/>
  <c r="AP789" i="1"/>
  <c r="AT789" i="1"/>
  <c r="AX789" i="1"/>
  <c r="G789" i="1"/>
  <c r="K789" i="1"/>
  <c r="O789" i="1"/>
  <c r="S789" i="1"/>
  <c r="W789" i="1"/>
  <c r="AA789" i="1"/>
  <c r="AE789" i="1"/>
  <c r="AI789" i="1"/>
  <c r="AM789" i="1"/>
  <c r="AQ789" i="1"/>
  <c r="AU789" i="1"/>
  <c r="AY789" i="1"/>
  <c r="C789" i="1"/>
  <c r="G790" i="1"/>
  <c r="K790" i="1"/>
  <c r="O790" i="1"/>
  <c r="S790" i="1"/>
  <c r="W790" i="1"/>
  <c r="AA790" i="1"/>
  <c r="AE790" i="1"/>
  <c r="AI790" i="1"/>
  <c r="AM790" i="1"/>
  <c r="AQ790" i="1"/>
  <c r="AU790" i="1"/>
  <c r="AY790" i="1"/>
  <c r="C790" i="1"/>
  <c r="D790" i="1"/>
  <c r="H790" i="1"/>
  <c r="L790" i="1"/>
  <c r="P790" i="1"/>
  <c r="T790" i="1"/>
  <c r="X790" i="1"/>
  <c r="AB790" i="1"/>
  <c r="AF790" i="1"/>
  <c r="AJ790" i="1"/>
  <c r="AN790" i="1"/>
  <c r="AR790" i="1"/>
  <c r="AV790" i="1"/>
  <c r="AZ790" i="1"/>
  <c r="E790" i="1"/>
  <c r="I790" i="1"/>
  <c r="M790" i="1"/>
  <c r="Q790" i="1"/>
  <c r="U790" i="1"/>
  <c r="Y790" i="1"/>
  <c r="AC790" i="1"/>
  <c r="AG790" i="1"/>
  <c r="AK790" i="1"/>
  <c r="AO790" i="1"/>
  <c r="AS790" i="1"/>
  <c r="AW790" i="1"/>
  <c r="F790" i="1"/>
  <c r="J790" i="1"/>
  <c r="N790" i="1"/>
  <c r="R790" i="1"/>
  <c r="V790" i="1"/>
  <c r="Z790" i="1"/>
  <c r="AD790" i="1"/>
  <c r="AH790" i="1"/>
  <c r="AL790" i="1"/>
  <c r="AP790" i="1"/>
  <c r="AT790" i="1"/>
  <c r="AX790" i="1"/>
  <c r="F791" i="1"/>
  <c r="J791" i="1"/>
  <c r="N791" i="1"/>
  <c r="R791" i="1"/>
  <c r="V791" i="1"/>
  <c r="Z791" i="1"/>
  <c r="AD791" i="1"/>
  <c r="AH791" i="1"/>
  <c r="AL791" i="1"/>
  <c r="AP791" i="1"/>
  <c r="AT791" i="1"/>
  <c r="AX791" i="1"/>
  <c r="G791" i="1"/>
  <c r="K791" i="1"/>
  <c r="O791" i="1"/>
  <c r="S791" i="1"/>
  <c r="W791" i="1"/>
  <c r="AA791" i="1"/>
  <c r="AE791" i="1"/>
  <c r="AI791" i="1"/>
  <c r="AM791" i="1"/>
  <c r="AQ791" i="1"/>
  <c r="AU791" i="1"/>
  <c r="AY791" i="1"/>
  <c r="C791" i="1"/>
  <c r="D791" i="1"/>
  <c r="H791" i="1"/>
  <c r="L791" i="1"/>
  <c r="P791" i="1"/>
  <c r="T791" i="1"/>
  <c r="X791" i="1"/>
  <c r="AB791" i="1"/>
  <c r="AF791" i="1"/>
  <c r="AJ791" i="1"/>
  <c r="AN791" i="1"/>
  <c r="AR791" i="1"/>
  <c r="AV791" i="1"/>
  <c r="AZ791" i="1"/>
  <c r="E791" i="1"/>
  <c r="I791" i="1"/>
  <c r="M791" i="1"/>
  <c r="Q791" i="1"/>
  <c r="U791" i="1"/>
  <c r="Y791" i="1"/>
  <c r="AC791" i="1"/>
  <c r="AG791" i="1"/>
  <c r="AK791" i="1"/>
  <c r="AO791" i="1"/>
  <c r="AS791" i="1"/>
  <c r="AW791" i="1"/>
  <c r="E792" i="1"/>
  <c r="I792" i="1"/>
  <c r="M792" i="1"/>
  <c r="Q792" i="1"/>
  <c r="U792" i="1"/>
  <c r="Y792" i="1"/>
  <c r="AC792" i="1"/>
  <c r="AG792" i="1"/>
  <c r="AK792" i="1"/>
  <c r="AO792" i="1"/>
  <c r="AS792" i="1"/>
  <c r="AW792" i="1"/>
  <c r="F792" i="1"/>
  <c r="J792" i="1"/>
  <c r="N792" i="1"/>
  <c r="R792" i="1"/>
  <c r="V792" i="1"/>
  <c r="Z792" i="1"/>
  <c r="AD792" i="1"/>
  <c r="AH792" i="1"/>
  <c r="AL792" i="1"/>
  <c r="AP792" i="1"/>
  <c r="AT792" i="1"/>
  <c r="AX792" i="1"/>
  <c r="G792" i="1"/>
  <c r="K792" i="1"/>
  <c r="O792" i="1"/>
  <c r="S792" i="1"/>
  <c r="W792" i="1"/>
  <c r="AA792" i="1"/>
  <c r="AE792" i="1"/>
  <c r="AI792" i="1"/>
  <c r="AM792" i="1"/>
  <c r="AQ792" i="1"/>
  <c r="AU792" i="1"/>
  <c r="AY792" i="1"/>
  <c r="C792" i="1"/>
  <c r="D792" i="1"/>
  <c r="H792" i="1"/>
  <c r="L792" i="1"/>
  <c r="P792" i="1"/>
  <c r="T792" i="1"/>
  <c r="X792" i="1"/>
  <c r="AB792" i="1"/>
  <c r="AF792" i="1"/>
  <c r="AJ792" i="1"/>
  <c r="AN792" i="1"/>
  <c r="AR792" i="1"/>
  <c r="AV792" i="1"/>
  <c r="AZ792" i="1"/>
  <c r="D793" i="1"/>
  <c r="H793" i="1"/>
  <c r="L793" i="1"/>
  <c r="P793" i="1"/>
  <c r="T793" i="1"/>
  <c r="X793" i="1"/>
  <c r="AB793" i="1"/>
  <c r="AF793" i="1"/>
  <c r="AJ793" i="1"/>
  <c r="AN793" i="1"/>
  <c r="AR793" i="1"/>
  <c r="AV793" i="1"/>
  <c r="AZ793" i="1"/>
  <c r="E793" i="1"/>
  <c r="I793" i="1"/>
  <c r="M793" i="1"/>
  <c r="Q793" i="1"/>
  <c r="U793" i="1"/>
  <c r="Y793" i="1"/>
  <c r="AC793" i="1"/>
  <c r="AG793" i="1"/>
  <c r="AK793" i="1"/>
  <c r="AO793" i="1"/>
  <c r="AS793" i="1"/>
  <c r="AW793" i="1"/>
  <c r="F793" i="1"/>
  <c r="J793" i="1"/>
  <c r="N793" i="1"/>
  <c r="R793" i="1"/>
  <c r="V793" i="1"/>
  <c r="Z793" i="1"/>
  <c r="AD793" i="1"/>
  <c r="AH793" i="1"/>
  <c r="AL793" i="1"/>
  <c r="AP793" i="1"/>
  <c r="AT793" i="1"/>
  <c r="AX793" i="1"/>
  <c r="G793" i="1"/>
  <c r="K793" i="1"/>
  <c r="O793" i="1"/>
  <c r="S793" i="1"/>
  <c r="W793" i="1"/>
  <c r="AA793" i="1"/>
  <c r="AE793" i="1"/>
  <c r="AI793" i="1"/>
  <c r="AM793" i="1"/>
  <c r="AQ793" i="1"/>
  <c r="AU793" i="1"/>
  <c r="AY793" i="1"/>
  <c r="C793" i="1"/>
  <c r="G794" i="1"/>
  <c r="K794" i="1"/>
  <c r="O794" i="1"/>
  <c r="S794" i="1"/>
  <c r="W794" i="1"/>
  <c r="AA794" i="1"/>
  <c r="AE794" i="1"/>
  <c r="AI794" i="1"/>
  <c r="AM794" i="1"/>
  <c r="AQ794" i="1"/>
  <c r="AU794" i="1"/>
  <c r="AY794" i="1"/>
  <c r="C794" i="1"/>
  <c r="D794" i="1"/>
  <c r="H794" i="1"/>
  <c r="L794" i="1"/>
  <c r="P794" i="1"/>
  <c r="T794" i="1"/>
  <c r="X794" i="1"/>
  <c r="AB794" i="1"/>
  <c r="AF794" i="1"/>
  <c r="AJ794" i="1"/>
  <c r="AN794" i="1"/>
  <c r="AR794" i="1"/>
  <c r="AV794" i="1"/>
  <c r="AZ794" i="1"/>
  <c r="E794" i="1"/>
  <c r="I794" i="1"/>
  <c r="M794" i="1"/>
  <c r="Q794" i="1"/>
  <c r="U794" i="1"/>
  <c r="Y794" i="1"/>
  <c r="AC794" i="1"/>
  <c r="AG794" i="1"/>
  <c r="AK794" i="1"/>
  <c r="AO794" i="1"/>
  <c r="AS794" i="1"/>
  <c r="AW794" i="1"/>
  <c r="F794" i="1"/>
  <c r="J794" i="1"/>
  <c r="N794" i="1"/>
  <c r="R794" i="1"/>
  <c r="V794" i="1"/>
  <c r="Z794" i="1"/>
  <c r="AD794" i="1"/>
  <c r="AH794" i="1"/>
  <c r="AL794" i="1"/>
  <c r="AP794" i="1"/>
  <c r="AT794" i="1"/>
  <c r="AX794" i="1"/>
  <c r="F795" i="1"/>
  <c r="J795" i="1"/>
  <c r="N795" i="1"/>
  <c r="R795" i="1"/>
  <c r="V795" i="1"/>
  <c r="Z795" i="1"/>
  <c r="AD795" i="1"/>
  <c r="AH795" i="1"/>
  <c r="AL795" i="1"/>
  <c r="AP795" i="1"/>
  <c r="AT795" i="1"/>
  <c r="AX795" i="1"/>
  <c r="G795" i="1"/>
  <c r="K795" i="1"/>
  <c r="O795" i="1"/>
  <c r="S795" i="1"/>
  <c r="W795" i="1"/>
  <c r="AA795" i="1"/>
  <c r="AE795" i="1"/>
  <c r="AI795" i="1"/>
  <c r="AM795" i="1"/>
  <c r="AQ795" i="1"/>
  <c r="AU795" i="1"/>
  <c r="AY795" i="1"/>
  <c r="C795" i="1"/>
  <c r="D795" i="1"/>
  <c r="H795" i="1"/>
  <c r="L795" i="1"/>
  <c r="P795" i="1"/>
  <c r="T795" i="1"/>
  <c r="X795" i="1"/>
  <c r="AB795" i="1"/>
  <c r="AF795" i="1"/>
  <c r="AJ795" i="1"/>
  <c r="AN795" i="1"/>
  <c r="AR795" i="1"/>
  <c r="AV795" i="1"/>
  <c r="AZ795" i="1"/>
  <c r="E795" i="1"/>
  <c r="I795" i="1"/>
  <c r="M795" i="1"/>
  <c r="Q795" i="1"/>
  <c r="U795" i="1"/>
  <c r="Y795" i="1"/>
  <c r="AC795" i="1"/>
  <c r="AG795" i="1"/>
  <c r="AK795" i="1"/>
  <c r="AO795" i="1"/>
  <c r="AS795" i="1"/>
  <c r="AW795" i="1"/>
  <c r="E796" i="1"/>
  <c r="I796" i="1"/>
  <c r="M796" i="1"/>
  <c r="Q796" i="1"/>
  <c r="U796" i="1"/>
  <c r="Y796" i="1"/>
  <c r="AC796" i="1"/>
  <c r="AG796" i="1"/>
  <c r="AK796" i="1"/>
  <c r="AO796" i="1"/>
  <c r="AS796" i="1"/>
  <c r="AW796" i="1"/>
  <c r="F796" i="1"/>
  <c r="J796" i="1"/>
  <c r="N796" i="1"/>
  <c r="R796" i="1"/>
  <c r="V796" i="1"/>
  <c r="Z796" i="1"/>
  <c r="AD796" i="1"/>
  <c r="AH796" i="1"/>
  <c r="AL796" i="1"/>
  <c r="AP796" i="1"/>
  <c r="AT796" i="1"/>
  <c r="AX796" i="1"/>
  <c r="G796" i="1"/>
  <c r="K796" i="1"/>
  <c r="O796" i="1"/>
  <c r="S796" i="1"/>
  <c r="W796" i="1"/>
  <c r="AA796" i="1"/>
  <c r="AE796" i="1"/>
  <c r="AI796" i="1"/>
  <c r="AM796" i="1"/>
  <c r="AQ796" i="1"/>
  <c r="AU796" i="1"/>
  <c r="AY796" i="1"/>
  <c r="C796" i="1"/>
  <c r="D796" i="1"/>
  <c r="H796" i="1"/>
  <c r="L796" i="1"/>
  <c r="P796" i="1"/>
  <c r="T796" i="1"/>
  <c r="X796" i="1"/>
  <c r="AB796" i="1"/>
  <c r="AF796" i="1"/>
  <c r="AJ796" i="1"/>
  <c r="AN796" i="1"/>
  <c r="AR796" i="1"/>
  <c r="AV796" i="1"/>
  <c r="AZ796" i="1"/>
  <c r="D797" i="1"/>
  <c r="H797" i="1"/>
  <c r="L797" i="1"/>
  <c r="P797" i="1"/>
  <c r="T797" i="1"/>
  <c r="X797" i="1"/>
  <c r="AB797" i="1"/>
  <c r="AF797" i="1"/>
  <c r="AJ797" i="1"/>
  <c r="AN797" i="1"/>
  <c r="AR797" i="1"/>
  <c r="AV797" i="1"/>
  <c r="AZ797" i="1"/>
  <c r="E797" i="1"/>
  <c r="I797" i="1"/>
  <c r="M797" i="1"/>
  <c r="Q797" i="1"/>
  <c r="U797" i="1"/>
  <c r="Y797" i="1"/>
  <c r="AC797" i="1"/>
  <c r="AG797" i="1"/>
  <c r="AK797" i="1"/>
  <c r="AO797" i="1"/>
  <c r="AS797" i="1"/>
  <c r="AW797" i="1"/>
  <c r="F797" i="1"/>
  <c r="J797" i="1"/>
  <c r="N797" i="1"/>
  <c r="R797" i="1"/>
  <c r="V797" i="1"/>
  <c r="Z797" i="1"/>
  <c r="AD797" i="1"/>
  <c r="AH797" i="1"/>
  <c r="AL797" i="1"/>
  <c r="AP797" i="1"/>
  <c r="AT797" i="1"/>
  <c r="AX797" i="1"/>
  <c r="G797" i="1"/>
  <c r="K797" i="1"/>
  <c r="O797" i="1"/>
  <c r="S797" i="1"/>
  <c r="W797" i="1"/>
  <c r="AA797" i="1"/>
  <c r="AE797" i="1"/>
  <c r="AI797" i="1"/>
  <c r="AM797" i="1"/>
  <c r="AQ797" i="1"/>
  <c r="AU797" i="1"/>
  <c r="AY797" i="1"/>
  <c r="C797" i="1"/>
  <c r="G798" i="1"/>
  <c r="K798" i="1"/>
  <c r="O798" i="1"/>
  <c r="S798" i="1"/>
  <c r="W798" i="1"/>
  <c r="AA798" i="1"/>
  <c r="AE798" i="1"/>
  <c r="AI798" i="1"/>
  <c r="AM798" i="1"/>
  <c r="AQ798" i="1"/>
  <c r="AU798" i="1"/>
  <c r="AY798" i="1"/>
  <c r="C798" i="1"/>
  <c r="D798" i="1"/>
  <c r="H798" i="1"/>
  <c r="L798" i="1"/>
  <c r="P798" i="1"/>
  <c r="T798" i="1"/>
  <c r="X798" i="1"/>
  <c r="AB798" i="1"/>
  <c r="AF798" i="1"/>
  <c r="AJ798" i="1"/>
  <c r="AN798" i="1"/>
  <c r="AR798" i="1"/>
  <c r="AV798" i="1"/>
  <c r="AZ798" i="1"/>
  <c r="E798" i="1"/>
  <c r="I798" i="1"/>
  <c r="M798" i="1"/>
  <c r="Q798" i="1"/>
  <c r="U798" i="1"/>
  <c r="Y798" i="1"/>
  <c r="AC798" i="1"/>
  <c r="AG798" i="1"/>
  <c r="AK798" i="1"/>
  <c r="AO798" i="1"/>
  <c r="AS798" i="1"/>
  <c r="AW798" i="1"/>
  <c r="F798" i="1"/>
  <c r="J798" i="1"/>
  <c r="N798" i="1"/>
  <c r="R798" i="1"/>
  <c r="V798" i="1"/>
  <c r="Z798" i="1"/>
  <c r="AD798" i="1"/>
  <c r="AH798" i="1"/>
  <c r="AL798" i="1"/>
  <c r="AP798" i="1"/>
  <c r="AT798" i="1"/>
  <c r="AX798" i="1"/>
  <c r="F799" i="1"/>
  <c r="J799" i="1"/>
  <c r="N799" i="1"/>
  <c r="R799" i="1"/>
  <c r="V799" i="1"/>
  <c r="Z799" i="1"/>
  <c r="AD799" i="1"/>
  <c r="AH799" i="1"/>
  <c r="AL799" i="1"/>
  <c r="AP799" i="1"/>
  <c r="AT799" i="1"/>
  <c r="AX799" i="1"/>
  <c r="G799" i="1"/>
  <c r="K799" i="1"/>
  <c r="O799" i="1"/>
  <c r="S799" i="1"/>
  <c r="W799" i="1"/>
  <c r="AA799" i="1"/>
  <c r="AE799" i="1"/>
  <c r="AI799" i="1"/>
  <c r="AM799" i="1"/>
  <c r="AQ799" i="1"/>
  <c r="AU799" i="1"/>
  <c r="AY799" i="1"/>
  <c r="C799" i="1"/>
  <c r="D799" i="1"/>
  <c r="H799" i="1"/>
  <c r="L799" i="1"/>
  <c r="P799" i="1"/>
  <c r="T799" i="1"/>
  <c r="X799" i="1"/>
  <c r="AB799" i="1"/>
  <c r="AF799" i="1"/>
  <c r="AJ799" i="1"/>
  <c r="AN799" i="1"/>
  <c r="AR799" i="1"/>
  <c r="AV799" i="1"/>
  <c r="AZ799" i="1"/>
  <c r="E799" i="1"/>
  <c r="I799" i="1"/>
  <c r="M799" i="1"/>
  <c r="Q799" i="1"/>
  <c r="U799" i="1"/>
  <c r="Y799" i="1"/>
  <c r="AC799" i="1"/>
  <c r="AG799" i="1"/>
  <c r="AK799" i="1"/>
  <c r="AO799" i="1"/>
  <c r="AS799" i="1"/>
  <c r="AW799" i="1"/>
  <c r="C800" i="1"/>
</calcChain>
</file>

<file path=xl/comments1.xml><?xml version="1.0" encoding="utf-8"?>
<comments xmlns="http://schemas.openxmlformats.org/spreadsheetml/2006/main">
  <authors>
    <author>Author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Do data have filter or not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Sort by no. = 1
Sort by % = 2
Lấy dữ liệu theo số count = 1
Lấy dữ liệu theo số % = 2</t>
        </r>
      </text>
    </comment>
    <comment ref="E1" authorId="0">
      <text>
        <r>
          <rPr>
            <b/>
            <sz val="12"/>
            <color indexed="81"/>
            <rFont val="Tahoma"/>
            <family val="2"/>
          </rPr>
          <t>Author:</t>
        </r>
        <r>
          <rPr>
            <sz val="12"/>
            <color indexed="81"/>
            <rFont val="Tahoma"/>
            <family val="2"/>
          </rPr>
          <t xml:space="preserve">
Làm tròn số
VD: 15.34567
Round = 0       =&gt; 15
Round =1        =&gt; 15.3
Round =2        =&gt; 15.34</t>
        </r>
      </text>
    </comment>
    <comment ref="A9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Check again row no. of the first title
Kiểm tra lại số thứ tự dòng đầu tiên của dữ liệu xem đúng dòng 12 hoặc 13 không
</t>
        </r>
      </text>
    </comment>
  </commentList>
</comments>
</file>

<file path=xl/sharedStrings.xml><?xml version="1.0" encoding="utf-8"?>
<sst xmlns="http://schemas.openxmlformats.org/spreadsheetml/2006/main" count="144" uniqueCount="144">
  <si>
    <t>Sort type</t>
  </si>
  <si>
    <t>Col. no.</t>
  </si>
  <si>
    <t>DATA after sorting</t>
  </si>
  <si>
    <t>Row no.</t>
  </si>
  <si>
    <t>Filter</t>
  </si>
  <si>
    <t>AUTO PROCESS RAW DATA</t>
  </si>
  <si>
    <t>Số count</t>
  </si>
  <si>
    <t>Số %</t>
  </si>
  <si>
    <t>Danh sách các file trong RAW DATA</t>
  </si>
  <si>
    <t>Round</t>
  </si>
  <si>
    <t>AutoFilter</t>
  </si>
  <si>
    <r>
      <t xml:space="preserve"> HOANG TUAN </t>
    </r>
    <r>
      <rPr>
        <sz val="10"/>
        <color indexed="8"/>
        <rFont val="Symbol"/>
        <family val="1"/>
        <charset val="2"/>
      </rPr>
      <t>â</t>
    </r>
  </si>
  <si>
    <r>
      <t xml:space="preserve"> Bạn muốn làm tròn đến bao nhiêu chữ số thập phân
</t>
    </r>
    <r>
      <rPr>
        <sz val="9"/>
        <rFont val="Tahoma"/>
        <family val="2"/>
      </rPr>
      <t>(vd: 0 =&gt; 15      1 =&gt; 15.2          2 =&gt; 15.24)</t>
    </r>
  </si>
  <si>
    <r>
      <t xml:space="preserve"> Bạn có muốn thống kê MEANS, STD tự động không ?
</t>
    </r>
    <r>
      <rPr>
        <sz val="9"/>
        <rFont val="Tahoma"/>
        <family val="2"/>
      </rPr>
      <t>(dùng cho test significant, thống kê MEANS của các câu ra 1 sheet riêng)</t>
    </r>
  </si>
  <si>
    <t>Copy tiêu đề (tên các sản phẩm) mà bạn muốn lấy MEANS:</t>
  </si>
  <si>
    <t xml:space="preserve">  Chọn thư mục chứa RAW DATA để xử lý</t>
  </si>
  <si>
    <r>
      <rPr>
        <b/>
        <sz val="11"/>
        <color indexed="62"/>
        <rFont val="Tahoma"/>
        <family val="2"/>
      </rPr>
      <t xml:space="preserve"> Bạn muốn lấy dữ liệu theo số count hay số % ?
</t>
    </r>
    <r>
      <rPr>
        <b/>
        <sz val="11"/>
        <color indexed="60"/>
        <rFont val="Tahoma"/>
        <family val="2"/>
      </rPr>
      <t xml:space="preserve"> </t>
    </r>
    <r>
      <rPr>
        <sz val="9"/>
        <rFont val="Tahoma"/>
        <family val="2"/>
      </rPr>
      <t>(check x vào ô tương ứng)</t>
    </r>
  </si>
  <si>
    <r>
      <rPr>
        <b/>
        <sz val="11"/>
        <color indexed="62"/>
        <rFont val="Tahoma"/>
        <family val="2"/>
      </rPr>
      <t xml:space="preserve"> Bạn có muốn gắn AutoFilter cho dữ liệu không ?
 </t>
    </r>
    <r>
      <rPr>
        <sz val="9"/>
        <rFont val="Tahoma"/>
        <family val="2"/>
      </rPr>
      <t>(thuận tiện để sort data từ nhỏ đến lớn hoặc ngược lại)</t>
    </r>
  </si>
  <si>
    <t xml:space="preserve">  Xác nhận và tiến hành xử lý dữ liệu</t>
  </si>
  <si>
    <t>Path</t>
  </si>
  <si>
    <t>Questions</t>
  </si>
  <si>
    <t>x</t>
  </si>
  <si>
    <t>Weight</t>
  </si>
  <si>
    <t>Header</t>
  </si>
  <si>
    <t>SampleSize</t>
  </si>
  <si>
    <t>X</t>
  </si>
  <si>
    <t>BASE: RESP.</t>
  </si>
  <si>
    <t>RESP.</t>
  </si>
  <si>
    <t>TOTALS</t>
  </si>
  <si>
    <t>D:\sc88\DATA\ZEUS\C-0001.CSV</t>
  </si>
  <si>
    <t>D:\sc88\DATA\ZEUS\C-0002.CSV</t>
  </si>
  <si>
    <t>D:\sc88\DATA\ZEUS\C-0003.CSV</t>
  </si>
  <si>
    <t>D:\sc88\DATA\ZEUS\C-0004.CSV</t>
  </si>
  <si>
    <t>D:\sc88\DATA\ZEUS\C-0005.CSV</t>
  </si>
  <si>
    <t>D:\sc88\DATA\ZEUS\C-0006.CSV</t>
  </si>
  <si>
    <t>D:\sc88\DATA\ZEUS\C-0007.CSV</t>
  </si>
  <si>
    <t>D:\sc88\DATA\ZEUS\C-0008.CSV</t>
  </si>
  <si>
    <t>D:\sc88\DATA\ZEUS\C-0009.CSV</t>
  </si>
  <si>
    <t>D:\sc88\DATA\ZEUS\C-0010.CSV</t>
  </si>
  <si>
    <t>D:\sc88\DATA\ZEUS\C-0011.CSV</t>
  </si>
  <si>
    <t>D:\sc88\DATA\ZEUS\C-0012.CSV</t>
  </si>
  <si>
    <t>D:\sc88\DATA\ZEUS\C-0013.CSV</t>
  </si>
  <si>
    <t>D:\sc88\DATA\ZEUS\C-0014.CSV</t>
  </si>
  <si>
    <t>D:\sc88\DATA\ZEUS\C-0015.CSV</t>
  </si>
  <si>
    <t>D:\sc88\DATA\ZEUS\C-0016.CSV</t>
  </si>
  <si>
    <t>D:\sc88\DATA\ZEUS\C-0017.CSV</t>
  </si>
  <si>
    <t>D:\sc88\DATA\ZEUS\C-0018.CSV</t>
  </si>
  <si>
    <t>D:\sc88\DATA\ZEUS\C-0019.CSV</t>
  </si>
  <si>
    <t>D:\sc88\DATA\ZEUS\C-0020.CSV</t>
  </si>
  <si>
    <t>D:\sc88\DATA\ZEUS\C-0021.CSV</t>
  </si>
  <si>
    <t>D:\sc88\DATA\ZEUS\C-0022.CSV</t>
  </si>
  <si>
    <t>D:\sc88\DATA\ZEUS\C-0023.CSV</t>
  </si>
  <si>
    <t>D:\sc88\DATA\ZEUS\C-0024.CSV</t>
  </si>
  <si>
    <t>D:\sc88\DATA\ZEUS\C-0025.CSV</t>
  </si>
  <si>
    <t>D:\sc88\DATA\ZEUS\C-0026.CSV</t>
  </si>
  <si>
    <t>D:\sc88\DATA\ZEUS\C-0027.CSV</t>
  </si>
  <si>
    <t>D:\sc88\DATA\ZEUS\C-0028.CSV</t>
  </si>
  <si>
    <t>D:\sc88\DATA\ZEUS\C-0029.CSV</t>
  </si>
  <si>
    <t>D:\sc88\DATA\ZEUS\C-0030.CSV</t>
  </si>
  <si>
    <t>D:\sc88\DATA\ZEUS\C-0031.CSV</t>
  </si>
  <si>
    <t>D:\sc88\DATA\ZEUS\C-0032.CSV</t>
  </si>
  <si>
    <t>D:\sc88\DATA\ZEUS\C-0033.CSV</t>
  </si>
  <si>
    <t>D:\sc88\DATA\ZEUS\C-0034.CSV</t>
  </si>
  <si>
    <t>D:\sc88\DATA\ZEUS\C-0035.CSV</t>
  </si>
  <si>
    <t>D:\sc88\DATA\ZEUS\C-0036.CSV</t>
  </si>
  <si>
    <t>D:\sc88\DATA\ZEUS\C-0037.CSV</t>
  </si>
  <si>
    <t>D:\sc88\DATA\ZEUS\C-0038.CSV</t>
  </si>
  <si>
    <t>D:\sc88\DATA\ZEUS\C-0039.CSV</t>
  </si>
  <si>
    <t>D:\sc88\DATA\ZEUS\C-0040.CSV</t>
  </si>
  <si>
    <t>D:\sc88\DATA\ZEUS\C-0041.CSV</t>
  </si>
  <si>
    <t>D:\sc88\DATA\ZEUS\C-0042.CSV</t>
  </si>
  <si>
    <t>D:\sc88\DATA\ZEUS\C-0043.CSV</t>
  </si>
  <si>
    <t>D:\sc88\DATA\ZEUS\C-0044.CSV</t>
  </si>
  <si>
    <t>D:\sc88\DATA\ZEUS\C-0045.CSV</t>
  </si>
  <si>
    <t>D:\sc88\DATA\ZEUS\C-0046.CSV</t>
  </si>
  <si>
    <t>D:\sc88\DATA\ZEUS\C-0047.CSV</t>
  </si>
  <si>
    <t>D:\sc88\DATA\ZEUS\C-0048.CSV</t>
  </si>
  <si>
    <t>D:\sc88\DATA\ZEUS\C-0049.CSV</t>
  </si>
  <si>
    <t>D:\sc88\DATA\ZEUS\C-0050.CSV</t>
  </si>
  <si>
    <t>D:\sc88\DATA\ZEUS\C-0051.CSV</t>
  </si>
  <si>
    <t>D:\sc88\DATA\ZEUS\C-0052.CSV</t>
  </si>
  <si>
    <t>D:\sc88\DATA\ZEUS\C-0053.CSV</t>
  </si>
  <si>
    <t>D:\sc88\DATA\ZEUS\C-0054.CSV</t>
  </si>
  <si>
    <t>D:\sc88\DATA\ZEUS\C-0055.CSV</t>
  </si>
  <si>
    <t>Q14 - R</t>
  </si>
  <si>
    <t>R0001</t>
  </si>
  <si>
    <t>R0002</t>
  </si>
  <si>
    <t>R0003</t>
  </si>
  <si>
    <t>R0004</t>
  </si>
  <si>
    <t>R0005</t>
  </si>
  <si>
    <t>R0006</t>
  </si>
  <si>
    <t>R0013</t>
  </si>
  <si>
    <t>R0014</t>
  </si>
  <si>
    <t>R0015</t>
  </si>
  <si>
    <t>R0016</t>
  </si>
  <si>
    <t>R0017</t>
  </si>
  <si>
    <t>R0018</t>
  </si>
  <si>
    <t>R0019</t>
  </si>
  <si>
    <t>R0020</t>
  </si>
  <si>
    <t>R0021</t>
  </si>
  <si>
    <t>R0022</t>
  </si>
  <si>
    <t>R0023</t>
  </si>
  <si>
    <t>R0024</t>
  </si>
  <si>
    <t>R0025</t>
  </si>
  <si>
    <t>R0026</t>
  </si>
  <si>
    <t>R0027</t>
  </si>
  <si>
    <t>R0028</t>
  </si>
  <si>
    <t>R0029</t>
  </si>
  <si>
    <t>R0030</t>
  </si>
  <si>
    <t>R31</t>
  </si>
  <si>
    <t>Q14 - Danh gia</t>
  </si>
  <si>
    <t>Binh thuong</t>
  </si>
  <si>
    <t>Hai long</t>
  </si>
  <si>
    <t>Rat hai long</t>
  </si>
  <si>
    <t>TB</t>
  </si>
  <si>
    <t>T2B</t>
  </si>
  <si>
    <t>MEANS</t>
  </si>
  <si>
    <t>STD. DEVIATION</t>
  </si>
  <si>
    <t>T Probability</t>
  </si>
  <si>
    <t>D:\sc88\DATA\ZEUS\C-0056.CSV</t>
  </si>
  <si>
    <t>D:\sc88\DATA\ZEUS\C-0057.CSV</t>
  </si>
  <si>
    <t>D:\sc88\DATA\ZEUS\C-0058.CSV</t>
  </si>
  <si>
    <t>D:\sc88\DATA\ZEUS\C-0059.CSV</t>
  </si>
  <si>
    <t>D:\sc88\DATA\ZEUS\C-0060.CSV</t>
  </si>
  <si>
    <t>D:\sc88\DATA\ZEUS\C-0061.CSV</t>
  </si>
  <si>
    <t>D:\sc88\DATA\ZEUS\C-0062.CSV</t>
  </si>
  <si>
    <t>D:\sc88\DATA\ZEUS\C-0063.CSV</t>
  </si>
  <si>
    <t>D:\sc88\DATA\ZEUS\C-0064.CSV</t>
  </si>
  <si>
    <t>D:\sc88\DATA\ZEUS\C-0065.CSV</t>
  </si>
  <si>
    <t>D:\sc88\DATA\ZEUS\C-0066.CSV</t>
  </si>
  <si>
    <t>D:\sc88\DATA\ZEUS\C-0067.CSV</t>
  </si>
  <si>
    <t>D:\sc88\DATA\ZEUS\C-0068.CSV</t>
  </si>
  <si>
    <t>D:\sc88\DATA\ZEUS\C-0069.CSV</t>
  </si>
  <si>
    <t>D:\sc88\DATA\ZEUS\C-0070.CSV</t>
  </si>
  <si>
    <t>D:\sc88\DATA\ZEUS\C-0071.CSV</t>
  </si>
  <si>
    <t>D:\sc88\DATA\ZEUS\C-0072.CSV</t>
  </si>
  <si>
    <t>D:\sc88\DATA\ZEUS\C-0073.CSV</t>
  </si>
  <si>
    <t>D:\sc88\DATA\ZEUS\C-0074.CSV</t>
  </si>
  <si>
    <t>D:\sc88\DATA\ZEUS\C-0075.CSV</t>
  </si>
  <si>
    <t>D:\sc88\DATA\ZEUS\C-0076.CSV</t>
  </si>
  <si>
    <t>D:\sc88\DATA\ZEUS\C-0077.CSV</t>
  </si>
  <si>
    <t>Book2</t>
  </si>
  <si>
    <t>TABLE  77           Q14 - Danh gia                                                                                                                                                                                                                                                                                                                                                                                                                                                                                                                                                                                                                                                                                                                                                                                                                                                                                                                                                                                                                                                                                                                                                                                                                                                                                                                                                                                                                                                                                                                                                                                                                                                                                                                                                                                                                                                                                                                                                                                                                                                                                                                                                                                                                                                                                                                                                                                                                                                                                                                                                                                                                                                                                                                                                                                                                                                                                                                                                                                                                                                                                                                                                                                                                                                                                                                                                                                                                                                                                                                                                                                                                                                                                                                                                                                                                                                                                                                                                                                                                                                                                                                                                                                                                                                                                                                                                                                                                                                                                                                                                                                                                                                                                                                                                                                                                                                                                                                                                                                                                                                                                                                                                                                                                                                                                                                                                                                                                                                                                                                                                                                                                                                                                                                                                                                                                                                                                                                                                                                                                                                                                                                                                                                                                                                                                                                                                                                                                                                                                                                                                                                                                                                                                                                                                                                                                                                                                                                                                                                                                                                                                                                                                                                                                                                                                                                                                                                                                                                                                                                                                                                                                                                                                                                                                                                                                                                                                                                                                                                                                                                                                                                                                                                                                                                                                                                                                                                                                                                                                                                                                                                                                                                                                                                                                                                                                                                                                                                                                                                                                                                                                                                                                                                                                                                                                                                                                                                                                                                                                                                                                                                                                                                                                                                                                                                                                                                                                                                                                                                                                                                                                                                                                                                                                                                                                                                                                                  PAGE 77</t>
  </si>
  <si>
    <t>FILTERS: C - Adayroi.com -  - 6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</si>
</sst>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"/>
  </numFmts>
  <fonts count="24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1"/>
      <color indexed="60"/>
      <name val="Tahoma"/>
      <family val="2"/>
    </font>
    <font>
      <sz val="9"/>
      <name val="Tahoma"/>
      <family val="2"/>
    </font>
    <font>
      <sz val="11"/>
      <name val="Tahoma"/>
      <family val="2"/>
    </font>
    <font>
      <b/>
      <sz val="11"/>
      <color indexed="62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0"/>
      <color indexed="8"/>
      <name val="Symbol"/>
      <family val="1"/>
      <charset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9" tint="-0.499984740745262"/>
      <name val="Tahoma"/>
      <family val="2"/>
    </font>
    <font>
      <sz val="8"/>
      <color theme="1"/>
      <name val="Tahoma"/>
      <family val="2"/>
    </font>
    <font>
      <b/>
      <sz val="11"/>
      <color theme="4" tint="-0.249977111117893"/>
      <name val="Tahoma"/>
      <family val="2"/>
    </font>
    <font>
      <b/>
      <sz val="14"/>
      <color theme="0"/>
      <name val="Tahoma"/>
      <family val="2"/>
    </font>
    <font>
      <sz val="26"/>
      <color theme="4" tint="-0.249977111117893"/>
      <name val="Comic Sans MS"/>
      <family val="4"/>
    </font>
    <font>
      <b/>
      <sz val="14"/>
      <color rgb="FF008080"/>
      <name val="Calibri"/>
      <family val="2"/>
    </font>
    <font>
      <b/>
      <sz val="12"/>
      <color rgb="FF008080"/>
      <name val="Calibri"/>
      <family val="2"/>
    </font>
    <font>
      <sz val="11"/>
      <color rgb="FFFF000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6" tint="-0.24994659260841701"/>
      </left>
      <right/>
      <top/>
      <bottom style="medium">
        <color theme="6" tint="-0.24994659260841701"/>
      </bottom>
      <diagonal/>
    </border>
    <border>
      <left style="medium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medium">
        <color theme="6" tint="-0.24994659260841701"/>
      </left>
      <right/>
      <top style="medium">
        <color theme="6" tint="-0.24994659260841701"/>
      </top>
      <bottom style="medium">
        <color theme="6" tint="-0.24994659260841701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 style="medium">
        <color theme="4" tint="-0.24994659260841701"/>
      </right>
      <top/>
      <bottom style="medium">
        <color theme="4" tint="-0.24994659260841701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</borders>
  <cellStyleXfs count="3">
    <xf numFmtId="0" fontId="0" fillId="0" borderId="0"/>
    <xf numFmtId="0" fontId="12" fillId="0" borderId="0"/>
    <xf numFmtId="0" fontId="12" fillId="0" borderId="0"/>
  </cellStyleXfs>
  <cellXfs count="51">
    <xf numFmtId="0" fontId="0" fillId="0" borderId="0" xfId="0"/>
    <xf numFmtId="0" fontId="0" fillId="0" borderId="0" xfId="0" applyNumberFormat="1"/>
    <xf numFmtId="0" fontId="13" fillId="2" borderId="0" xfId="0" applyFont="1" applyFill="1"/>
    <xf numFmtId="164" fontId="0" fillId="0" borderId="0" xfId="0" applyNumberFormat="1"/>
    <xf numFmtId="164" fontId="13" fillId="2" borderId="0" xfId="0" applyNumberFormat="1" applyFont="1" applyFill="1"/>
    <xf numFmtId="164" fontId="13" fillId="0" borderId="0" xfId="0" applyNumberFormat="1" applyFont="1" applyFill="1"/>
    <xf numFmtId="164" fontId="0" fillId="0" borderId="0" xfId="0" applyNumberFormat="1" applyFill="1"/>
    <xf numFmtId="0" fontId="0" fillId="0" borderId="0" xfId="0" applyAlignment="1">
      <alignment horizontal="center"/>
    </xf>
    <xf numFmtId="0" fontId="13" fillId="2" borderId="0" xfId="0" applyFont="1" applyFill="1" applyAlignment="1">
      <alignment horizontal="center"/>
    </xf>
    <xf numFmtId="164" fontId="0" fillId="0" borderId="0" xfId="0" applyNumberFormat="1" applyFill="1" applyAlignment="1"/>
    <xf numFmtId="164" fontId="15" fillId="3" borderId="0" xfId="0" applyNumberFormat="1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2" fillId="0" borderId="0" xfId="0" applyFont="1"/>
    <xf numFmtId="164" fontId="0" fillId="2" borderId="0" xfId="0" applyNumberFormat="1" applyFill="1" applyAlignment="1"/>
    <xf numFmtId="164" fontId="0" fillId="2" borderId="0" xfId="0" applyNumberFormat="1" applyFill="1"/>
    <xf numFmtId="0" fontId="0" fillId="3" borderId="0" xfId="0" applyNumberFormat="1" applyFill="1"/>
    <xf numFmtId="0" fontId="13" fillId="3" borderId="0" xfId="0" applyNumberFormat="1" applyFont="1" applyFill="1"/>
    <xf numFmtId="0" fontId="15" fillId="3" borderId="0" xfId="0" applyNumberFormat="1" applyFont="1" applyFill="1" applyAlignment="1">
      <alignment horizontal="center"/>
    </xf>
    <xf numFmtId="0" fontId="0" fillId="0" borderId="0" xfId="0" applyNumberFormat="1" applyFill="1"/>
    <xf numFmtId="0" fontId="12" fillId="6" borderId="6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2" fillId="6" borderId="8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12" fillId="5" borderId="5" xfId="0" applyFont="1" applyFill="1" applyBorder="1" applyAlignment="1">
      <alignment horizontal="center"/>
    </xf>
    <xf numFmtId="0" fontId="17" fillId="0" borderId="0" xfId="0" applyFont="1" applyAlignment="1">
      <alignment horizontal="right"/>
    </xf>
    <xf numFmtId="0" fontId="12" fillId="9" borderId="9" xfId="0" applyFont="1" applyFill="1" applyBorder="1" applyAlignment="1">
      <alignment horizontal="center"/>
    </xf>
    <xf numFmtId="0" fontId="12" fillId="0" borderId="0" xfId="0" applyFont="1" applyFill="1" applyBorder="1"/>
    <xf numFmtId="0" fontId="18" fillId="0" borderId="0" xfId="0" applyFont="1" applyBorder="1" applyAlignment="1">
      <alignment horizontal="right" vertical="center"/>
    </xf>
    <xf numFmtId="0" fontId="12" fillId="10" borderId="4" xfId="0" applyFont="1" applyFill="1" applyBorder="1"/>
    <xf numFmtId="0" fontId="12" fillId="10" borderId="1" xfId="0" applyFont="1" applyFill="1" applyBorder="1"/>
    <xf numFmtId="0" fontId="12" fillId="10" borderId="3" xfId="0" applyFont="1" applyFill="1" applyBorder="1"/>
    <xf numFmtId="0" fontId="12" fillId="0" borderId="2" xfId="0" applyFont="1" applyBorder="1"/>
    <xf numFmtId="164" fontId="14" fillId="3" borderId="0" xfId="0" applyNumberFormat="1" applyFont="1" applyFill="1" applyAlignment="1">
      <alignment horizontal="center"/>
    </xf>
    <xf numFmtId="0" fontId="12" fillId="5" borderId="19" xfId="0" applyFont="1" applyFill="1" applyBorder="1" applyAlignment="1">
      <alignment horizontal="center" vertical="center"/>
    </xf>
    <xf numFmtId="0" fontId="23" fillId="11" borderId="18" xfId="0" applyFont="1" applyFill="1" applyBorder="1" applyAlignment="1">
      <alignment horizontal="center"/>
    </xf>
    <xf numFmtId="0" fontId="18" fillId="0" borderId="12" xfId="0" applyFont="1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18" fillId="0" borderId="14" xfId="0" applyFont="1" applyBorder="1" applyAlignment="1">
      <alignment horizontal="left" vertical="center"/>
    </xf>
    <xf numFmtId="0" fontId="18" fillId="0" borderId="15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/>
    </xf>
    <xf numFmtId="0" fontId="20" fillId="4" borderId="12" xfId="0" applyFont="1" applyFill="1" applyBorder="1" applyAlignment="1">
      <alignment horizontal="center" vertical="center"/>
    </xf>
    <xf numFmtId="0" fontId="20" fillId="4" borderId="15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left" vertical="center" wrapText="1"/>
    </xf>
    <xf numFmtId="0" fontId="19" fillId="8" borderId="0" xfId="0" applyFont="1" applyFill="1" applyAlignment="1">
      <alignment horizontal="center" vertical="center"/>
    </xf>
    <xf numFmtId="0" fontId="20" fillId="4" borderId="10" xfId="0" applyFont="1" applyFill="1" applyBorder="1" applyAlignment="1">
      <alignment horizontal="center" vertical="center"/>
    </xf>
    <xf numFmtId="0" fontId="20" fillId="4" borderId="11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left" vertical="center" wrapText="1"/>
    </xf>
    <xf numFmtId="0" fontId="16" fillId="0" borderId="11" xfId="0" applyFont="1" applyBorder="1" applyAlignment="1">
      <alignment horizontal="left" vertical="center" wrapText="1"/>
    </xf>
    <xf numFmtId="0" fontId="17" fillId="0" borderId="0" xfId="0" applyFont="1" applyAlignment="1">
      <alignment horizontal="right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19</xdr:row>
          <xdr:rowOff>114300</xdr:rowOff>
        </xdr:from>
        <xdr:to>
          <xdr:col>5</xdr:col>
          <xdr:colOff>38100</xdr:colOff>
          <xdr:row>21</xdr:row>
          <xdr:rowOff>57150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104775</xdr:rowOff>
        </xdr:from>
        <xdr:to>
          <xdr:col>11</xdr:col>
          <xdr:colOff>161925</xdr:colOff>
          <xdr:row>21</xdr:row>
          <xdr:rowOff>57150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O101"/>
  <sheetViews>
    <sheetView tabSelected="1" topLeftCell="A17" workbookViewId="0">
      <selection activeCell="A23" sqref="A23"/>
    </sheetView>
  </sheetViews>
  <sheetFormatPr defaultColWidth="9.140625" defaultRowHeight="14.25" x14ac:dyDescent="0.2"/>
  <cols>
    <col min="1" max="1" width="60" style="12" customWidth="1"/>
    <col min="2" max="2" width="3.7109375" style="12" customWidth="1"/>
    <col min="3" max="3" width="12.42578125" style="12" customWidth="1"/>
    <col min="4" max="4" width="7" style="12" customWidth="1"/>
    <col min="5" max="5" width="8.85546875" style="12" customWidth="1"/>
    <col min="6" max="6" width="7.28515625" style="12" customWidth="1"/>
    <col min="7" max="7" width="17.140625" style="12" customWidth="1"/>
    <col min="8" max="8" width="8.42578125" style="12" customWidth="1"/>
    <col min="9" max="9" width="6" style="12" customWidth="1"/>
    <col min="10" max="10" width="10" style="12" customWidth="1"/>
    <col min="11" max="16384" width="9.140625" style="12"/>
  </cols>
  <sheetData>
    <row r="1" spans="1:15" ht="24.75" customHeight="1" x14ac:dyDescent="0.2">
      <c r="A1" s="45" t="s">
        <v>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 x14ac:dyDescent="0.2">
      <c r="A2" s="50" t="s">
        <v>11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</row>
    <row r="3" spans="1:15" ht="15" thickBot="1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</row>
    <row r="4" spans="1:15" ht="15" customHeight="1" thickBot="1" x14ac:dyDescent="0.25">
      <c r="A4" s="46">
        <v>1</v>
      </c>
      <c r="B4" s="44" t="s">
        <v>12</v>
      </c>
      <c r="C4" s="37"/>
      <c r="D4" s="37"/>
      <c r="E4" s="37"/>
      <c r="F4" s="37"/>
      <c r="G4" s="38"/>
      <c r="J4" s="26">
        <v>0</v>
      </c>
    </row>
    <row r="5" spans="1:15" ht="15.75" customHeight="1" thickBot="1" x14ac:dyDescent="0.25">
      <c r="A5" s="47"/>
      <c r="B5" s="39"/>
      <c r="C5" s="40"/>
      <c r="D5" s="40"/>
      <c r="E5" s="40"/>
      <c r="F5" s="40"/>
      <c r="G5" s="41"/>
    </row>
    <row r="6" spans="1:15" ht="15" thickBot="1" x14ac:dyDescent="0.25"/>
    <row r="7" spans="1:15" ht="17.45" customHeight="1" thickBot="1" x14ac:dyDescent="0.25">
      <c r="A7" s="46">
        <v>2</v>
      </c>
      <c r="B7" s="48" t="s">
        <v>16</v>
      </c>
      <c r="C7" s="48"/>
      <c r="D7" s="48"/>
      <c r="E7" s="48"/>
      <c r="F7" s="48"/>
      <c r="G7" s="48"/>
      <c r="J7" s="21" t="s">
        <v>6</v>
      </c>
      <c r="K7" s="22" t="s">
        <v>7</v>
      </c>
    </row>
    <row r="8" spans="1:15" ht="15" customHeight="1" thickBot="1" x14ac:dyDescent="0.25">
      <c r="A8" s="47"/>
      <c r="B8" s="49"/>
      <c r="C8" s="49"/>
      <c r="D8" s="49"/>
      <c r="E8" s="49"/>
      <c r="F8" s="49"/>
      <c r="G8" s="49"/>
      <c r="J8" s="19"/>
      <c r="K8" s="20" t="s">
        <v>25</v>
      </c>
    </row>
    <row r="9" spans="1:15" ht="15" thickBot="1" x14ac:dyDescent="0.25">
      <c r="I9" s="23"/>
      <c r="J9" s="23"/>
    </row>
    <row r="10" spans="1:15" ht="15" customHeight="1" thickBot="1" x14ac:dyDescent="0.25">
      <c r="A10" s="46">
        <v>3</v>
      </c>
      <c r="B10" s="48" t="s">
        <v>17</v>
      </c>
      <c r="C10" s="48"/>
      <c r="D10" s="48"/>
      <c r="E10" s="48"/>
      <c r="F10" s="48"/>
      <c r="G10" s="48"/>
      <c r="J10" s="34" t="s">
        <v>10</v>
      </c>
      <c r="K10" s="35"/>
    </row>
    <row r="11" spans="1:15" ht="15" thickBot="1" x14ac:dyDescent="0.25">
      <c r="A11" s="47"/>
      <c r="B11" s="49"/>
      <c r="C11" s="49"/>
      <c r="D11" s="49"/>
      <c r="E11" s="49"/>
      <c r="F11" s="49"/>
      <c r="G11" s="49"/>
      <c r="J11" s="24" t="s">
        <v>21</v>
      </c>
    </row>
    <row r="12" spans="1:15" ht="15" thickBot="1" x14ac:dyDescent="0.25"/>
    <row r="13" spans="1:15" x14ac:dyDescent="0.2">
      <c r="A13" s="42">
        <v>4</v>
      </c>
      <c r="B13" s="44" t="s">
        <v>13</v>
      </c>
      <c r="C13" s="37"/>
      <c r="D13" s="37"/>
      <c r="E13" s="37"/>
      <c r="F13" s="37"/>
      <c r="G13" s="38"/>
    </row>
    <row r="14" spans="1:15" ht="27.75" customHeight="1" thickBot="1" x14ac:dyDescent="0.25">
      <c r="A14" s="43"/>
      <c r="B14" s="39"/>
      <c r="C14" s="40"/>
      <c r="D14" s="40"/>
      <c r="E14" s="40"/>
      <c r="F14" s="40"/>
      <c r="G14" s="41"/>
    </row>
    <row r="16" spans="1:15" ht="15" x14ac:dyDescent="0.25">
      <c r="G16" s="28" t="s">
        <v>14</v>
      </c>
      <c r="J16"/>
      <c r="K16"/>
      <c r="L16"/>
      <c r="M16"/>
      <c r="N16"/>
      <c r="O16"/>
    </row>
    <row r="17" spans="1:15" ht="15" thickBot="1" x14ac:dyDescent="0.25"/>
    <row r="18" spans="1:15" ht="14.25" customHeight="1" x14ac:dyDescent="0.2">
      <c r="A18" s="42">
        <v>5</v>
      </c>
      <c r="B18" s="36" t="s">
        <v>15</v>
      </c>
      <c r="C18" s="37"/>
      <c r="D18" s="37"/>
      <c r="E18" s="37"/>
      <c r="F18" s="37"/>
      <c r="G18" s="38"/>
      <c r="I18" s="42">
        <v>6</v>
      </c>
      <c r="J18" s="36" t="s">
        <v>18</v>
      </c>
      <c r="K18" s="37"/>
      <c r="L18" s="37"/>
      <c r="M18" s="37"/>
      <c r="N18" s="37"/>
      <c r="O18" s="38"/>
    </row>
    <row r="19" spans="1:15" ht="15" customHeight="1" thickBot="1" x14ac:dyDescent="0.25">
      <c r="A19" s="43"/>
      <c r="B19" s="39"/>
      <c r="C19" s="40"/>
      <c r="D19" s="40"/>
      <c r="E19" s="40"/>
      <c r="F19" s="40"/>
      <c r="G19" s="41"/>
      <c r="I19" s="43"/>
      <c r="J19" s="39"/>
      <c r="K19" s="40"/>
      <c r="L19" s="40"/>
      <c r="M19" s="40"/>
      <c r="N19" s="40"/>
      <c r="O19" s="41"/>
    </row>
    <row r="20" spans="1:15" x14ac:dyDescent="0.2">
      <c r="I20" s="27"/>
      <c r="J20" s="27"/>
      <c r="K20" s="27"/>
      <c r="L20" s="27"/>
      <c r="M20" s="27"/>
      <c r="N20" s="27"/>
      <c r="O20" s="27"/>
    </row>
    <row r="23" spans="1:15" x14ac:dyDescent="0.2">
      <c r="A23" s="12" t="s">
        <v>8</v>
      </c>
      <c r="D23" s="32"/>
      <c r="G23" s="12" t="s">
        <v>141</v>
      </c>
    </row>
    <row r="24" spans="1:15" x14ac:dyDescent="0.2">
      <c r="A24" s="30" t="s">
        <v>19</v>
      </c>
      <c r="B24" s="31"/>
      <c r="C24" s="30" t="s">
        <v>3</v>
      </c>
      <c r="D24" s="29" t="s">
        <v>20</v>
      </c>
      <c r="E24" s="29"/>
      <c r="F24" s="29"/>
      <c r="G24" s="29"/>
    </row>
    <row r="25" spans="1:15" x14ac:dyDescent="0.2">
      <c r="A25" s="12" t="s">
        <v>29</v>
      </c>
    </row>
    <row r="26" spans="1:15" x14ac:dyDescent="0.2">
      <c r="A26" s="12" t="s">
        <v>30</v>
      </c>
    </row>
    <row r="27" spans="1:15" x14ac:dyDescent="0.2">
      <c r="A27" s="12" t="s">
        <v>31</v>
      </c>
    </row>
    <row r="28" spans="1:15" x14ac:dyDescent="0.2">
      <c r="A28" s="12" t="s">
        <v>32</v>
      </c>
    </row>
    <row r="29" spans="1:15" x14ac:dyDescent="0.2">
      <c r="A29" s="12" t="s">
        <v>33</v>
      </c>
    </row>
    <row r="30" spans="1:15" x14ac:dyDescent="0.2">
      <c r="A30" s="12" t="s">
        <v>34</v>
      </c>
    </row>
    <row r="31" spans="1:15" x14ac:dyDescent="0.2">
      <c r="A31" s="12" t="s">
        <v>35</v>
      </c>
    </row>
    <row r="32" spans="1:15" x14ac:dyDescent="0.2">
      <c r="A32" s="12" t="s">
        <v>36</v>
      </c>
    </row>
    <row r="33" spans="1:1" x14ac:dyDescent="0.2">
      <c r="A33" s="12" t="s">
        <v>37</v>
      </c>
    </row>
    <row r="34" spans="1:1" x14ac:dyDescent="0.2">
      <c r="A34" s="12" t="s">
        <v>38</v>
      </c>
    </row>
    <row r="35" spans="1:1" x14ac:dyDescent="0.2">
      <c r="A35" s="12" t="s">
        <v>39</v>
      </c>
    </row>
    <row r="36" spans="1:1" x14ac:dyDescent="0.2">
      <c r="A36" s="12" t="s">
        <v>40</v>
      </c>
    </row>
    <row r="37" spans="1:1" x14ac:dyDescent="0.2">
      <c r="A37" s="12" t="s">
        <v>41</v>
      </c>
    </row>
    <row r="38" spans="1:1" x14ac:dyDescent="0.2">
      <c r="A38" s="12" t="s">
        <v>42</v>
      </c>
    </row>
    <row r="39" spans="1:1" x14ac:dyDescent="0.2">
      <c r="A39" s="12" t="s">
        <v>43</v>
      </c>
    </row>
    <row r="40" spans="1:1" x14ac:dyDescent="0.2">
      <c r="A40" s="12" t="s">
        <v>44</v>
      </c>
    </row>
    <row r="41" spans="1:1" x14ac:dyDescent="0.2">
      <c r="A41" s="12" t="s">
        <v>45</v>
      </c>
    </row>
    <row r="42" spans="1:1" x14ac:dyDescent="0.2">
      <c r="A42" s="12" t="s">
        <v>46</v>
      </c>
    </row>
    <row r="43" spans="1:1" x14ac:dyDescent="0.2">
      <c r="A43" s="12" t="s">
        <v>47</v>
      </c>
    </row>
    <row r="44" spans="1:1" x14ac:dyDescent="0.2">
      <c r="A44" s="12" t="s">
        <v>48</v>
      </c>
    </row>
    <row r="45" spans="1:1" x14ac:dyDescent="0.2">
      <c r="A45" s="12" t="s">
        <v>49</v>
      </c>
    </row>
    <row r="46" spans="1:1" x14ac:dyDescent="0.2">
      <c r="A46" s="12" t="s">
        <v>50</v>
      </c>
    </row>
    <row r="47" spans="1:1" x14ac:dyDescent="0.2">
      <c r="A47" s="12" t="s">
        <v>51</v>
      </c>
    </row>
    <row r="48" spans="1:1" x14ac:dyDescent="0.2">
      <c r="A48" s="12" t="s">
        <v>52</v>
      </c>
    </row>
    <row r="49" spans="1:1" x14ac:dyDescent="0.2">
      <c r="A49" s="12" t="s">
        <v>53</v>
      </c>
    </row>
    <row r="50" spans="1:1" x14ac:dyDescent="0.2">
      <c r="A50" s="12" t="s">
        <v>54</v>
      </c>
    </row>
    <row r="51" spans="1:1" x14ac:dyDescent="0.2">
      <c r="A51" s="12" t="s">
        <v>55</v>
      </c>
    </row>
    <row r="52" spans="1:1" x14ac:dyDescent="0.2">
      <c r="A52" s="12" t="s">
        <v>56</v>
      </c>
    </row>
    <row r="53" spans="1:1" x14ac:dyDescent="0.2">
      <c r="A53" s="12" t="s">
        <v>57</v>
      </c>
    </row>
    <row r="54" spans="1:1" x14ac:dyDescent="0.2">
      <c r="A54" s="12" t="s">
        <v>58</v>
      </c>
    </row>
    <row r="55" spans="1:1" x14ac:dyDescent="0.2">
      <c r="A55" s="12" t="s">
        <v>59</v>
      </c>
    </row>
    <row r="56" spans="1:1" x14ac:dyDescent="0.2">
      <c r="A56" s="12" t="s">
        <v>60</v>
      </c>
    </row>
    <row r="57" spans="1:1" x14ac:dyDescent="0.2">
      <c r="A57" s="12" t="s">
        <v>61</v>
      </c>
    </row>
    <row r="58" spans="1:1" x14ac:dyDescent="0.2">
      <c r="A58" s="12" t="s">
        <v>62</v>
      </c>
    </row>
    <row r="59" spans="1:1" x14ac:dyDescent="0.2">
      <c r="A59" s="12" t="s">
        <v>63</v>
      </c>
    </row>
    <row r="60" spans="1:1" x14ac:dyDescent="0.2">
      <c r="A60" s="12" t="s">
        <v>64</v>
      </c>
    </row>
    <row r="61" spans="1:1" x14ac:dyDescent="0.2">
      <c r="A61" s="12" t="s">
        <v>65</v>
      </c>
    </row>
    <row r="62" spans="1:1" x14ac:dyDescent="0.2">
      <c r="A62" s="12" t="s">
        <v>66</v>
      </c>
    </row>
    <row r="63" spans="1:1" x14ac:dyDescent="0.2">
      <c r="A63" s="12" t="s">
        <v>67</v>
      </c>
    </row>
    <row r="64" spans="1:1" x14ac:dyDescent="0.2">
      <c r="A64" s="12" t="s">
        <v>68</v>
      </c>
    </row>
    <row r="65" spans="1:1" x14ac:dyDescent="0.2">
      <c r="A65" s="12" t="s">
        <v>69</v>
      </c>
    </row>
    <row r="66" spans="1:1" x14ac:dyDescent="0.2">
      <c r="A66" s="12" t="s">
        <v>70</v>
      </c>
    </row>
    <row r="67" spans="1:1" x14ac:dyDescent="0.2">
      <c r="A67" s="12" t="s">
        <v>71</v>
      </c>
    </row>
    <row r="68" spans="1:1" x14ac:dyDescent="0.2">
      <c r="A68" s="12" t="s">
        <v>72</v>
      </c>
    </row>
    <row r="69" spans="1:1" x14ac:dyDescent="0.2">
      <c r="A69" s="12" t="s">
        <v>73</v>
      </c>
    </row>
    <row r="70" spans="1:1" x14ac:dyDescent="0.2">
      <c r="A70" s="12" t="s">
        <v>74</v>
      </c>
    </row>
    <row r="71" spans="1:1" x14ac:dyDescent="0.2">
      <c r="A71" s="12" t="s">
        <v>75</v>
      </c>
    </row>
    <row r="72" spans="1:1" x14ac:dyDescent="0.2">
      <c r="A72" s="12" t="s">
        <v>76</v>
      </c>
    </row>
    <row r="73" spans="1:1" x14ac:dyDescent="0.2">
      <c r="A73" s="12" t="s">
        <v>77</v>
      </c>
    </row>
    <row r="74" spans="1:1" x14ac:dyDescent="0.2">
      <c r="A74" s="12" t="s">
        <v>78</v>
      </c>
    </row>
    <row r="75" spans="1:1" x14ac:dyDescent="0.2">
      <c r="A75" s="12" t="s">
        <v>79</v>
      </c>
    </row>
    <row r="76" spans="1:1" x14ac:dyDescent="0.2">
      <c r="A76" s="12" t="s">
        <v>80</v>
      </c>
    </row>
    <row r="77" spans="1:1" x14ac:dyDescent="0.2">
      <c r="A77" s="12" t="s">
        <v>81</v>
      </c>
    </row>
    <row r="78" spans="1:1" x14ac:dyDescent="0.2">
      <c r="A78" s="12" t="s">
        <v>82</v>
      </c>
    </row>
    <row r="79" spans="1:1" x14ac:dyDescent="0.2">
      <c r="A79" s="12" t="s">
        <v>83</v>
      </c>
    </row>
    <row r="80" spans="1:1" x14ac:dyDescent="0.2">
      <c r="A80" s="12" t="s">
        <v>119</v>
      </c>
    </row>
    <row r="81" spans="1:1" x14ac:dyDescent="0.2">
      <c r="A81" s="12" t="s">
        <v>120</v>
      </c>
    </row>
    <row r="82" spans="1:1" x14ac:dyDescent="0.2">
      <c r="A82" s="12" t="s">
        <v>121</v>
      </c>
    </row>
    <row r="83" spans="1:1" x14ac:dyDescent="0.2">
      <c r="A83" s="12" t="s">
        <v>122</v>
      </c>
    </row>
    <row r="84" spans="1:1" x14ac:dyDescent="0.2">
      <c r="A84" s="12" t="s">
        <v>123</v>
      </c>
    </row>
    <row r="85" spans="1:1" x14ac:dyDescent="0.2">
      <c r="A85" s="12" t="s">
        <v>124</v>
      </c>
    </row>
    <row r="86" spans="1:1" x14ac:dyDescent="0.2">
      <c r="A86" s="12" t="s">
        <v>125</v>
      </c>
    </row>
    <row r="87" spans="1:1" x14ac:dyDescent="0.2">
      <c r="A87" s="12" t="s">
        <v>126</v>
      </c>
    </row>
    <row r="88" spans="1:1" x14ac:dyDescent="0.2">
      <c r="A88" s="12" t="s">
        <v>127</v>
      </c>
    </row>
    <row r="89" spans="1:1" x14ac:dyDescent="0.2">
      <c r="A89" s="12" t="s">
        <v>128</v>
      </c>
    </row>
    <row r="90" spans="1:1" x14ac:dyDescent="0.2">
      <c r="A90" s="12" t="s">
        <v>129</v>
      </c>
    </row>
    <row r="91" spans="1:1" x14ac:dyDescent="0.2">
      <c r="A91" s="12" t="s">
        <v>130</v>
      </c>
    </row>
    <row r="92" spans="1:1" x14ac:dyDescent="0.2">
      <c r="A92" s="12" t="s">
        <v>131</v>
      </c>
    </row>
    <row r="93" spans="1:1" x14ac:dyDescent="0.2">
      <c r="A93" s="12" t="s">
        <v>132</v>
      </c>
    </row>
    <row r="94" spans="1:1" x14ac:dyDescent="0.2">
      <c r="A94" s="12" t="s">
        <v>133</v>
      </c>
    </row>
    <row r="95" spans="1:1" x14ac:dyDescent="0.2">
      <c r="A95" s="12" t="s">
        <v>134</v>
      </c>
    </row>
    <row r="96" spans="1:1" x14ac:dyDescent="0.2">
      <c r="A96" s="12" t="s">
        <v>135</v>
      </c>
    </row>
    <row r="97" spans="1:1" x14ac:dyDescent="0.2">
      <c r="A97" s="12" t="s">
        <v>136</v>
      </c>
    </row>
    <row r="98" spans="1:1" x14ac:dyDescent="0.2">
      <c r="A98" s="12" t="s">
        <v>137</v>
      </c>
    </row>
    <row r="99" spans="1:1" x14ac:dyDescent="0.2">
      <c r="A99" s="12" t="s">
        <v>138</v>
      </c>
    </row>
    <row r="100" spans="1:1" x14ac:dyDescent="0.2">
      <c r="A100" s="12" t="s">
        <v>139</v>
      </c>
    </row>
    <row r="101" spans="1:1" x14ac:dyDescent="0.2">
      <c r="A101" s="12" t="s">
        <v>140</v>
      </c>
    </row>
  </sheetData>
  <mergeCells count="14">
    <mergeCell ref="A1:O1"/>
    <mergeCell ref="A4:A5"/>
    <mergeCell ref="A7:A8"/>
    <mergeCell ref="B7:G8"/>
    <mergeCell ref="A10:A11"/>
    <mergeCell ref="B10:G11"/>
    <mergeCell ref="A2:O2"/>
    <mergeCell ref="B4:G5"/>
    <mergeCell ref="J18:O19"/>
    <mergeCell ref="A13:A14"/>
    <mergeCell ref="B13:G14"/>
    <mergeCell ref="A18:A19"/>
    <mergeCell ref="B18:G19"/>
    <mergeCell ref="I18:I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Tim_file_CSV">
                <anchor moveWithCells="1" sizeWithCells="1">
                  <from>
                    <xdr:col>2</xdr:col>
                    <xdr:colOff>581025</xdr:colOff>
                    <xdr:row>19</xdr:row>
                    <xdr:rowOff>114300</xdr:rowOff>
                  </from>
                  <to>
                    <xdr:col>5</xdr:col>
                    <xdr:colOff>38100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CONFIRM">
                <anchor moveWithCells="1" sizeWithCells="1">
                  <from>
                    <xdr:col>9</xdr:col>
                    <xdr:colOff>133350</xdr:colOff>
                    <xdr:row>19</xdr:row>
                    <xdr:rowOff>104775</xdr:rowOff>
                  </from>
                  <to>
                    <xdr:col>11</xdr:col>
                    <xdr:colOff>161925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</sheetPr>
  <dimension ref="A1:AZ1145"/>
  <sheetViews>
    <sheetView zoomScale="85" zoomScaleNormal="85" workbookViewId="0">
      <selection activeCell="B7" sqref="B7"/>
    </sheetView>
  </sheetViews>
  <sheetFormatPr defaultRowHeight="15" x14ac:dyDescent="0.25"/>
  <cols>
    <col min="1" max="1" width="8.85546875" style="7" customWidth="1"/>
    <col min="2" max="2" width="45.42578125" customWidth="1"/>
  </cols>
  <sheetData>
    <row r="1" spans="1:52" x14ac:dyDescent="0.25">
      <c r="A1" s="8" t="s">
        <v>4</v>
      </c>
      <c r="B1" s="8" t="s">
        <v>0</v>
      </c>
      <c r="C1">
        <f>IF(AUTO!J8="x",1,2)</f>
        <v>2</v>
      </c>
      <c r="E1" s="2" t="s">
        <v>9</v>
      </c>
      <c r="F1">
        <f>AUTO!J4</f>
        <v>0</v>
      </c>
      <c r="H1" t="s">
        <v>22</v>
      </c>
      <c r="I1">
        <f>IF(LEFT('1-DATA'!A4,7)="WEIGHTS",1,0)</f>
        <v>0</v>
      </c>
    </row>
    <row r="2" spans="1:52" x14ac:dyDescent="0.25">
      <c r="A2" s="7" t="str">
        <f>IF(LEFT('1-DATA'!A4,7)="filters","YES",IF(LEFT('1-DATA'!A4,7)="WEIGHTS",IF(LEFT('1-DATA'!A5,7)="FILTERS","YES","No"),"NO"))</f>
        <v>YES</v>
      </c>
      <c r="C2" s="3" t="str">
        <f>LEFT(INDEX('1-DATA'!1:1048576,$I$2,COLUMN('1-DATA'!A8)),3)</f>
        <v>RES</v>
      </c>
      <c r="D2" s="3" t="str">
        <f>LEFT(INDEX('1-DATA'!1:1048576,$I$2+1,COLUMN('1-DATA'!A8)),3)</f>
        <v>Q14</v>
      </c>
      <c r="E2" s="3" t="str">
        <f>IF(OR(AND(C2="WTD",D2="RES"),AND(C2="RES",D2="WTD")),"1","0")</f>
        <v>0</v>
      </c>
      <c r="F2">
        <f>IF(A2="YES",1,0)</f>
        <v>1</v>
      </c>
      <c r="H2" t="s">
        <v>24</v>
      </c>
      <c r="I2" s="3">
        <f>10+F2+F3</f>
        <v>11</v>
      </c>
      <c r="K2" s="3"/>
      <c r="L2" s="3"/>
    </row>
    <row r="3" spans="1:52" s="3" customFormat="1" x14ac:dyDescent="0.25">
      <c r="A3" s="8"/>
      <c r="B3" s="4" t="s">
        <v>2</v>
      </c>
      <c r="F3" s="3">
        <f>IF(I1=1,1,0)</f>
        <v>0</v>
      </c>
      <c r="H3" s="3" t="s">
        <v>23</v>
      </c>
      <c r="I3" s="3">
        <f>I2-2</f>
        <v>9</v>
      </c>
      <c r="M3" s="3">
        <f>'1-DATA'!L3</f>
        <v>0</v>
      </c>
    </row>
    <row r="4" spans="1:52" s="3" customFormat="1" x14ac:dyDescent="0.25">
      <c r="A4" s="10"/>
      <c r="B4" s="5"/>
      <c r="K4" s="6"/>
      <c r="L4" s="6"/>
    </row>
    <row r="5" spans="1:52" s="6" customFormat="1" x14ac:dyDescent="0.25">
      <c r="A5" s="10"/>
      <c r="B5" s="13" t="str">
        <f>INDEX('1-DATA'!1:1048576,$A$9-1,COLUMN('1-DATA'!A8))</f>
        <v>Q14 - Danh gia</v>
      </c>
      <c r="C5" s="14"/>
      <c r="D5" s="14"/>
      <c r="E5" s="14"/>
      <c r="F5" s="14"/>
      <c r="G5" s="14"/>
      <c r="H5" s="14"/>
    </row>
    <row r="6" spans="1:52" s="6" customFormat="1" x14ac:dyDescent="0.25">
      <c r="A6" s="10"/>
      <c r="B6" s="9" t="str">
        <f>IF(LEFT('1-DATA'!A4,7)="WEIGHTS",IF(A2="YES",'1-DATA'!A5,""),IF(A2="yes",'1-DATA'!A4,""))</f>
        <v>FILTERS: C - Adayroi.com -  - 6</v>
      </c>
    </row>
    <row r="7" spans="1:52" s="1" customFormat="1" x14ac:dyDescent="0.25">
      <c r="A7" s="17" t="s">
        <v>1</v>
      </c>
      <c r="B7" s="16"/>
      <c r="C7" s="15" t="str">
        <f>IF(INDEX('1-DATA'!1:1048576,$I$3,COLUMN('1-DATA'!B8))="","",INDEX('1-DATA'!1:1048576,$I$3,COLUMN('1-DATA'!B8)))</f>
        <v>R0001</v>
      </c>
      <c r="D7" s="15" t="str">
        <f>IF(INDEX('1-DATA'!1:1048576,$I$3,COLUMN('1-DATA'!C8))="","",INDEX('1-DATA'!1:1048576,$I$3,COLUMN('1-DATA'!C8)))</f>
        <v>R0002</v>
      </c>
      <c r="E7" s="15" t="str">
        <f>IF(INDEX('1-DATA'!1:1048576,$I$3,COLUMN('1-DATA'!D8))="","",INDEX('1-DATA'!1:1048576,$I$3,COLUMN('1-DATA'!D8)))</f>
        <v>R0003</v>
      </c>
      <c r="F7" s="15" t="str">
        <f>IF(INDEX('1-DATA'!1:1048576,$I$3,COLUMN('1-DATA'!E8))="","",INDEX('1-DATA'!1:1048576,$I$3,COLUMN('1-DATA'!E8)))</f>
        <v>R0004</v>
      </c>
      <c r="G7" s="15" t="str">
        <f>IF(INDEX('1-DATA'!1:1048576,$I$3,COLUMN('1-DATA'!F8))="","",INDEX('1-DATA'!1:1048576,$I$3,COLUMN('1-DATA'!F8)))</f>
        <v>R0005</v>
      </c>
      <c r="H7" s="15" t="str">
        <f>IF(INDEX('1-DATA'!1:1048576,$I$3,COLUMN('1-DATA'!G8))="","",INDEX('1-DATA'!1:1048576,$I$3,COLUMN('1-DATA'!G8)))</f>
        <v>R0006</v>
      </c>
      <c r="I7" s="15" t="str">
        <f>IF(INDEX('1-DATA'!1:1048576,$I$3,COLUMN('1-DATA'!H8))="","",INDEX('1-DATA'!1:1048576,$I$3,COLUMN('1-DATA'!H8)))</f>
        <v>R0013</v>
      </c>
      <c r="J7" s="15" t="str">
        <f>IF(INDEX('1-DATA'!1:1048576,$I$3,COLUMN('1-DATA'!I8))="","",INDEX('1-DATA'!1:1048576,$I$3,COLUMN('1-DATA'!I8)))</f>
        <v>R0014</v>
      </c>
      <c r="K7" s="15" t="str">
        <f>IF(INDEX('1-DATA'!1:1048576,$I$3,COLUMN('1-DATA'!J8))="","",INDEX('1-DATA'!1:1048576,$I$3,COLUMN('1-DATA'!J8)))</f>
        <v>R0015</v>
      </c>
      <c r="L7" s="15" t="str">
        <f>IF(INDEX('1-DATA'!1:1048576,$I$3,COLUMN('1-DATA'!K8))="","",INDEX('1-DATA'!1:1048576,$I$3,COLUMN('1-DATA'!K8)))</f>
        <v>R0016</v>
      </c>
      <c r="M7" s="15" t="str">
        <f>IF(INDEX('1-DATA'!1:1048576,$I$3,COLUMN('1-DATA'!L8))="","",INDEX('1-DATA'!1:1048576,$I$3,COLUMN('1-DATA'!L8)))</f>
        <v>R0017</v>
      </c>
      <c r="N7" s="15" t="str">
        <f>IF(INDEX('1-DATA'!1:1048576,$I$3,COLUMN('1-DATA'!M8))="","",INDEX('1-DATA'!1:1048576,$I$3,COLUMN('1-DATA'!M8)))</f>
        <v>R0018</v>
      </c>
      <c r="O7" s="15" t="str">
        <f>IF(INDEX('1-DATA'!1:1048576,$I$3,COLUMN('1-DATA'!N8))="","",INDEX('1-DATA'!1:1048576,$I$3,COLUMN('1-DATA'!N8)))</f>
        <v>R0019</v>
      </c>
      <c r="P7" s="15" t="str">
        <f>IF(INDEX('1-DATA'!1:1048576,$I$3,COLUMN('1-DATA'!O8))="","",INDEX('1-DATA'!1:1048576,$I$3,COLUMN('1-DATA'!O8)))</f>
        <v>R0020</v>
      </c>
      <c r="Q7" s="15" t="str">
        <f>IF(INDEX('1-DATA'!1:1048576,$I$3,COLUMN('1-DATA'!P8))="","",INDEX('1-DATA'!1:1048576,$I$3,COLUMN('1-DATA'!P8)))</f>
        <v>R0021</v>
      </c>
      <c r="R7" s="15" t="str">
        <f>IF(INDEX('1-DATA'!1:1048576,$I$3,COLUMN('1-DATA'!Q8))="","",INDEX('1-DATA'!1:1048576,$I$3,COLUMN('1-DATA'!Q8)))</f>
        <v>R0022</v>
      </c>
      <c r="S7" s="15" t="str">
        <f>IF(INDEX('1-DATA'!1:1048576,$I$3,COLUMN('1-DATA'!R8))="","",INDEX('1-DATA'!1:1048576,$I$3,COLUMN('1-DATA'!R8)))</f>
        <v>R0023</v>
      </c>
      <c r="T7" s="15" t="str">
        <f>IF(INDEX('1-DATA'!1:1048576,$I$3,COLUMN('1-DATA'!S8))="","",INDEX('1-DATA'!1:1048576,$I$3,COLUMN('1-DATA'!S8)))</f>
        <v>R0024</v>
      </c>
      <c r="U7" s="15" t="str">
        <f>IF(INDEX('1-DATA'!1:1048576,$I$3,COLUMN('1-DATA'!T8))="","",INDEX('1-DATA'!1:1048576,$I$3,COLUMN('1-DATA'!T8)))</f>
        <v>R0025</v>
      </c>
      <c r="V7" s="15" t="str">
        <f>IF(INDEX('1-DATA'!1:1048576,$I$3,COLUMN('1-DATA'!U8))="","",INDEX('1-DATA'!1:1048576,$I$3,COLUMN('1-DATA'!U8)))</f>
        <v>R0026</v>
      </c>
      <c r="W7" s="15" t="str">
        <f>IF(INDEX('1-DATA'!1:1048576,$I$3,COLUMN('1-DATA'!V8))="","",INDEX('1-DATA'!1:1048576,$I$3,COLUMN('1-DATA'!V8)))</f>
        <v>R0027</v>
      </c>
      <c r="X7" s="15" t="str">
        <f>IF(INDEX('1-DATA'!1:1048576,$I$3,COLUMN('1-DATA'!W8))="","",INDEX('1-DATA'!1:1048576,$I$3,COLUMN('1-DATA'!W8)))</f>
        <v>R0028</v>
      </c>
      <c r="Y7" s="15" t="str">
        <f>IF(INDEX('1-DATA'!1:1048576,$I$3,COLUMN('1-DATA'!X8))="","",INDEX('1-DATA'!1:1048576,$I$3,COLUMN('1-DATA'!X8)))</f>
        <v>R0029</v>
      </c>
      <c r="Z7" s="15" t="str">
        <f>IF(INDEX('1-DATA'!1:1048576,$I$3,COLUMN('1-DATA'!Y8))="","",INDEX('1-DATA'!1:1048576,$I$3,COLUMN('1-DATA'!Y8)))</f>
        <v>R0030</v>
      </c>
      <c r="AA7" s="15" t="str">
        <f>IF(INDEX('1-DATA'!1:1048576,$I$3,COLUMN('1-DATA'!Z8))="","",INDEX('1-DATA'!1:1048576,$I$3,COLUMN('1-DATA'!Z8)))</f>
        <v>R31</v>
      </c>
      <c r="AB7" s="15" t="str">
        <f>IF(INDEX('1-DATA'!1:1048576,$I$3,COLUMN('1-DATA'!AA8))="","",INDEX('1-DATA'!1:1048576,$I$3,COLUMN('1-DATA'!AA8)))</f>
        <v/>
      </c>
      <c r="AC7" s="15" t="str">
        <f>IF(INDEX('1-DATA'!1:1048576,$I$3,COLUMN('1-DATA'!AB8))="","",INDEX('1-DATA'!1:1048576,$I$3,COLUMN('1-DATA'!AB8)))</f>
        <v/>
      </c>
      <c r="AD7" s="15" t="str">
        <f>IF(INDEX('1-DATA'!1:1048576,$I$3,COLUMN('1-DATA'!AC8))="","",INDEX('1-DATA'!1:1048576,$I$3,COLUMN('1-DATA'!AC8)))</f>
        <v/>
      </c>
      <c r="AE7" s="15" t="str">
        <f>IF(INDEX('1-DATA'!1:1048576,$I$3,COLUMN('1-DATA'!AD8))="","",INDEX('1-DATA'!1:1048576,$I$3,COLUMN('1-DATA'!AD8)))</f>
        <v/>
      </c>
      <c r="AF7" s="15" t="str">
        <f>IF(INDEX('1-DATA'!1:1048576,$I$3,COLUMN('1-DATA'!AE8))="","",INDEX('1-DATA'!1:1048576,$I$3,COLUMN('1-DATA'!AE8)))</f>
        <v/>
      </c>
      <c r="AG7" s="15" t="str">
        <f>IF(INDEX('1-DATA'!1:1048576,$I$3,COLUMN('1-DATA'!AF8))="","",INDEX('1-DATA'!1:1048576,$I$3,COLUMN('1-DATA'!AF8)))</f>
        <v/>
      </c>
      <c r="AH7" s="15" t="str">
        <f>IF(INDEX('1-DATA'!1:1048576,$I$3,COLUMN('1-DATA'!AG8))="","",INDEX('1-DATA'!1:1048576,$I$3,COLUMN('1-DATA'!AG8)))</f>
        <v/>
      </c>
      <c r="AI7" s="15" t="str">
        <f>IF(INDEX('1-DATA'!1:1048576,$I$3,COLUMN('1-DATA'!AH8))="","",INDEX('1-DATA'!1:1048576,$I$3,COLUMN('1-DATA'!AH8)))</f>
        <v/>
      </c>
      <c r="AJ7" s="15" t="str">
        <f>IF(INDEX('1-DATA'!1:1048576,$I$3,COLUMN('1-DATA'!AI8))="","",INDEX('1-DATA'!1:1048576,$I$3,COLUMN('1-DATA'!AI8)))</f>
        <v/>
      </c>
      <c r="AK7" s="15" t="str">
        <f>IF(INDEX('1-DATA'!1:1048576,$I$3,COLUMN('1-DATA'!AJ8))="","",INDEX('1-DATA'!1:1048576,$I$3,COLUMN('1-DATA'!AJ8)))</f>
        <v/>
      </c>
      <c r="AL7" s="15" t="str">
        <f>IF(INDEX('1-DATA'!1:1048576,$I$3,COLUMN('1-DATA'!AK8))="","",INDEX('1-DATA'!1:1048576,$I$3,COLUMN('1-DATA'!AK8)))</f>
        <v/>
      </c>
      <c r="AM7" s="15" t="str">
        <f>IF(INDEX('1-DATA'!1:1048576,$I$3,COLUMN('1-DATA'!AL8))="","",INDEX('1-DATA'!1:1048576,$I$3,COLUMN('1-DATA'!AL8)))</f>
        <v/>
      </c>
      <c r="AN7" s="15" t="str">
        <f>IF(INDEX('1-DATA'!1:1048576,$I$3,COLUMN('1-DATA'!AM8))="","",INDEX('1-DATA'!1:1048576,$I$3,COLUMN('1-DATA'!AM8)))</f>
        <v/>
      </c>
      <c r="AO7" s="15" t="str">
        <f>IF(INDEX('1-DATA'!1:1048576,$I$3,COLUMN('1-DATA'!AN8))="","",INDEX('1-DATA'!1:1048576,$I$3,COLUMN('1-DATA'!AN8)))</f>
        <v/>
      </c>
      <c r="AP7" s="15" t="str">
        <f>IF(INDEX('1-DATA'!1:1048576,$I$3,COLUMN('1-DATA'!AO8))="","",INDEX('1-DATA'!1:1048576,$I$3,COLUMN('1-DATA'!AO8)))</f>
        <v/>
      </c>
      <c r="AQ7" s="15" t="str">
        <f>IF(INDEX('1-DATA'!1:1048576,$I$3,COLUMN('1-DATA'!AP8))="","",INDEX('1-DATA'!1:1048576,$I$3,COLUMN('1-DATA'!AP8)))</f>
        <v/>
      </c>
      <c r="AR7" s="15" t="str">
        <f>IF(INDEX('1-DATA'!1:1048576,$I$3,COLUMN('1-DATA'!AQ8))="","",INDEX('1-DATA'!1:1048576,$I$3,COLUMN('1-DATA'!AQ8)))</f>
        <v/>
      </c>
      <c r="AS7" s="15" t="str">
        <f>IF(INDEX('1-DATA'!1:1048576,$I$3,COLUMN('1-DATA'!AR8))="","",INDEX('1-DATA'!1:1048576,$I$3,COLUMN('1-DATA'!AR8)))</f>
        <v/>
      </c>
      <c r="AT7" s="15" t="str">
        <f>IF(INDEX('1-DATA'!1:1048576,$I$3,COLUMN('1-DATA'!AS8))="","",INDEX('1-DATA'!1:1048576,$I$3,COLUMN('1-DATA'!AS8)))</f>
        <v/>
      </c>
      <c r="AU7" s="15" t="str">
        <f>IF(INDEX('1-DATA'!1:1048576,$I$3,COLUMN('1-DATA'!AT8))="","",INDEX('1-DATA'!1:1048576,$I$3,COLUMN('1-DATA'!AT8)))</f>
        <v/>
      </c>
      <c r="AV7" s="15" t="str">
        <f>IF(INDEX('1-DATA'!1:1048576,$I$3,COLUMN('1-DATA'!AU8))="","",INDEX('1-DATA'!1:1048576,$I$3,COLUMN('1-DATA'!AU8)))</f>
        <v/>
      </c>
      <c r="AW7" s="15" t="str">
        <f>IF(INDEX('1-DATA'!1:1048576,$I$3,COLUMN('1-DATA'!AV8))="","",INDEX('1-DATA'!1:1048576,$I$3,COLUMN('1-DATA'!AV8)))</f>
        <v/>
      </c>
      <c r="AX7" s="15" t="str">
        <f>IF(INDEX('1-DATA'!1:1048576,$I$3,COLUMN('1-DATA'!AW8))="","",INDEX('1-DATA'!1:1048576,$I$3,COLUMN('1-DATA'!AW8)))</f>
        <v/>
      </c>
      <c r="AY7" s="15" t="str">
        <f>IF(INDEX('1-DATA'!1:1048576,$I$3,COLUMN('1-DATA'!AX8))="","",INDEX('1-DATA'!1:1048576,$I$3,COLUMN('1-DATA'!AX8)))</f>
        <v/>
      </c>
      <c r="AZ7" s="15" t="str">
        <f>IF(INDEX('1-DATA'!1:1048576,$I$3,COLUMN('1-DATA'!AY8))="","",INDEX('1-DATA'!1:1048576,$I$3,COLUMN('1-DATA'!AY8)))</f>
        <v/>
      </c>
    </row>
    <row r="8" spans="1:52" s="18" customFormat="1" x14ac:dyDescent="0.25">
      <c r="A8" s="17"/>
      <c r="B8" s="15" t="str">
        <f>INDEX('1-DATA'!1:1048576,$I$2,COLUMN('1-DATA'!A8))</f>
        <v>RESP.</v>
      </c>
      <c r="C8" s="15">
        <f>INDEX('1-DATA'!1:1048576,$I$2,COLUMN('1-DATA'!B8))</f>
        <v>22</v>
      </c>
      <c r="D8" s="15">
        <f>INDEX('1-DATA'!1:1048576,$I$2,COLUMN('1-DATA'!C8))</f>
        <v>22</v>
      </c>
      <c r="E8" s="15">
        <f>INDEX('1-DATA'!1:1048576,$I$2,COLUMN('1-DATA'!D8))</f>
        <v>22</v>
      </c>
      <c r="F8" s="15">
        <f>INDEX('1-DATA'!1:1048576,$I$2,COLUMN('1-DATA'!E8))</f>
        <v>21</v>
      </c>
      <c r="G8" s="15">
        <f>INDEX('1-DATA'!1:1048576,$I$2,COLUMN('1-DATA'!F8))</f>
        <v>21</v>
      </c>
      <c r="H8" s="15">
        <f>INDEX('1-DATA'!1:1048576,$I$2,COLUMN('1-DATA'!G8))</f>
        <v>21</v>
      </c>
      <c r="I8" s="15">
        <f>INDEX('1-DATA'!1:1048576,$I$2,COLUMN('1-DATA'!H8))</f>
        <v>22</v>
      </c>
      <c r="J8" s="15">
        <f>INDEX('1-DATA'!1:1048576,$I$2,COLUMN('1-DATA'!I8))</f>
        <v>22</v>
      </c>
      <c r="K8" s="15">
        <f>INDEX('1-DATA'!1:1048576,$I$2,COLUMN('1-DATA'!J8))</f>
        <v>22</v>
      </c>
      <c r="L8" s="15">
        <f>INDEX('1-DATA'!1:1048576,$I$2,COLUMN('1-DATA'!K8))</f>
        <v>22</v>
      </c>
      <c r="M8" s="15">
        <f>INDEX('1-DATA'!1:1048576,$I$2,COLUMN('1-DATA'!L8))</f>
        <v>22</v>
      </c>
      <c r="N8" s="15">
        <f>INDEX('1-DATA'!1:1048576,$I$2,COLUMN('1-DATA'!M8))</f>
        <v>22</v>
      </c>
      <c r="O8" s="15">
        <f>INDEX('1-DATA'!1:1048576,$I$2,COLUMN('1-DATA'!N8))</f>
        <v>22</v>
      </c>
      <c r="P8" s="15">
        <f>INDEX('1-DATA'!1:1048576,$I$2,COLUMN('1-DATA'!O8))</f>
        <v>22</v>
      </c>
      <c r="Q8" s="15">
        <f>INDEX('1-DATA'!1:1048576,$I$2,COLUMN('1-DATA'!P8))</f>
        <v>22</v>
      </c>
      <c r="R8" s="15">
        <f>INDEX('1-DATA'!1:1048576,$I$2,COLUMN('1-DATA'!Q8))</f>
        <v>22</v>
      </c>
      <c r="S8" s="15">
        <f>INDEX('1-DATA'!1:1048576,$I$2,COLUMN('1-DATA'!R8))</f>
        <v>22</v>
      </c>
      <c r="T8" s="15">
        <f>INDEX('1-DATA'!1:1048576,$I$2,COLUMN('1-DATA'!S8))</f>
        <v>22</v>
      </c>
      <c r="U8" s="15">
        <f>INDEX('1-DATA'!1:1048576,$I$2,COLUMN('1-DATA'!T8))</f>
        <v>22</v>
      </c>
      <c r="V8" s="15">
        <f>INDEX('1-DATA'!1:1048576,$I$2,COLUMN('1-DATA'!U8))</f>
        <v>22</v>
      </c>
      <c r="W8" s="15">
        <f>INDEX('1-DATA'!1:1048576,$I$2,COLUMN('1-DATA'!V8))</f>
        <v>22</v>
      </c>
      <c r="X8" s="15">
        <f>INDEX('1-DATA'!1:1048576,$I$2,COLUMN('1-DATA'!W8))</f>
        <v>22</v>
      </c>
      <c r="Y8" s="15">
        <f>INDEX('1-DATA'!1:1048576,$I$2,COLUMN('1-DATA'!X8))</f>
        <v>22</v>
      </c>
      <c r="Z8" s="15">
        <f>INDEX('1-DATA'!1:1048576,$I$2,COLUMN('1-DATA'!Y8))</f>
        <v>22</v>
      </c>
      <c r="AA8" s="15">
        <f>INDEX('1-DATA'!1:1048576,$I$2,COLUMN('1-DATA'!Z8))</f>
        <v>20</v>
      </c>
      <c r="AB8" s="15">
        <f>INDEX('1-DATA'!1:1048576,$I$2,COLUMN('1-DATA'!AA8))</f>
        <v>0</v>
      </c>
      <c r="AC8" s="15">
        <f>INDEX('1-DATA'!1:1048576,$I$2,COLUMN('1-DATA'!AB8))</f>
        <v>0</v>
      </c>
      <c r="AD8" s="15">
        <f>INDEX('1-DATA'!1:1048576,$I$2,COLUMN('1-DATA'!AC8))</f>
        <v>0</v>
      </c>
      <c r="AE8" s="15">
        <f>INDEX('1-DATA'!1:1048576,$I$2,COLUMN('1-DATA'!AD8))</f>
        <v>0</v>
      </c>
      <c r="AF8" s="15">
        <f>INDEX('1-DATA'!1:1048576,$I$2,COLUMN('1-DATA'!AE8))</f>
        <v>0</v>
      </c>
      <c r="AG8" s="15">
        <f>INDEX('1-DATA'!1:1048576,$I$2,COLUMN('1-DATA'!AF8))</f>
        <v>0</v>
      </c>
      <c r="AH8" s="15">
        <f>INDEX('1-DATA'!1:1048576,$I$2,COLUMN('1-DATA'!AG8))</f>
        <v>0</v>
      </c>
      <c r="AI8" s="15">
        <f>INDEX('1-DATA'!1:1048576,$I$2,COLUMN('1-DATA'!AH8))</f>
        <v>0</v>
      </c>
      <c r="AJ8" s="15">
        <f>INDEX('1-DATA'!1:1048576,$I$2,COLUMN('1-DATA'!AI8))</f>
        <v>0</v>
      </c>
      <c r="AK8" s="15">
        <f>INDEX('1-DATA'!1:1048576,$I$2,COLUMN('1-DATA'!AJ8))</f>
        <v>0</v>
      </c>
      <c r="AL8" s="15">
        <f>INDEX('1-DATA'!1:1048576,$I$2,COLUMN('1-DATA'!AK8))</f>
        <v>0</v>
      </c>
      <c r="AM8" s="15">
        <f>INDEX('1-DATA'!1:1048576,$I$2,COLUMN('1-DATA'!AL8))</f>
        <v>0</v>
      </c>
      <c r="AN8" s="15">
        <f>INDEX('1-DATA'!1:1048576,$I$2,COLUMN('1-DATA'!AM8))</f>
        <v>0</v>
      </c>
      <c r="AO8" s="15">
        <f>INDEX('1-DATA'!1:1048576,$I$2,COLUMN('1-DATA'!AN8))</f>
        <v>0</v>
      </c>
      <c r="AP8" s="15">
        <f>INDEX('1-DATA'!1:1048576,$I$2,COLUMN('1-DATA'!AO8))</f>
        <v>0</v>
      </c>
      <c r="AQ8" s="15">
        <f>INDEX('1-DATA'!1:1048576,$I$2,COLUMN('1-DATA'!AP8))</f>
        <v>0</v>
      </c>
      <c r="AR8" s="15">
        <f>INDEX('1-DATA'!1:1048576,$I$2,COLUMN('1-DATA'!AQ8))</f>
        <v>0</v>
      </c>
      <c r="AS8" s="15">
        <f>INDEX('1-DATA'!1:1048576,$I$2,COLUMN('1-DATA'!AR8))</f>
        <v>0</v>
      </c>
      <c r="AT8" s="15">
        <f>INDEX('1-DATA'!1:1048576,$I$2,COLUMN('1-DATA'!AS8))</f>
        <v>0</v>
      </c>
      <c r="AU8" s="15">
        <f>INDEX('1-DATA'!1:1048576,$I$2,COLUMN('1-DATA'!AT8))</f>
        <v>0</v>
      </c>
      <c r="AV8" s="15">
        <f>INDEX('1-DATA'!1:1048576,$I$2,COLUMN('1-DATA'!AU8))</f>
        <v>0</v>
      </c>
      <c r="AW8" s="15">
        <f>INDEX('1-DATA'!1:1048576,$I$2,COLUMN('1-DATA'!AV8))</f>
        <v>0</v>
      </c>
      <c r="AX8" s="15">
        <f>INDEX('1-DATA'!1:1048576,$I$2,COLUMN('1-DATA'!AW8))</f>
        <v>0</v>
      </c>
      <c r="AY8" s="15">
        <f>INDEX('1-DATA'!1:1048576,$I$2,COLUMN('1-DATA'!AX8))</f>
        <v>0</v>
      </c>
      <c r="AZ8" s="15">
        <f>INDEX('1-DATA'!1:1048576,$I$2,COLUMN('1-DATA'!AY8))</f>
        <v>0</v>
      </c>
    </row>
    <row r="9" spans="1:52" x14ac:dyDescent="0.25">
      <c r="A9" s="33">
        <f>I2+E2+2</f>
        <v>13</v>
      </c>
      <c r="B9" s="1" t="str">
        <f>IF(B8="STD. DEVIATION",INDEX('1-DATA'!$1:$1048576,$A8-1,1),IF(INDEX('1-DATA'!$1:$1048576,$A9,1)&lt;&gt;"",INDEX('1-DATA'!$1:$1048576,$A9,1),""))</f>
        <v>Binh thuong</v>
      </c>
      <c r="C9" s="1">
        <f>IF(OR($B9="",C$7=""),"",IF($B9="MEANS",INDEX('1-DATA'!$1:$1048576,$A8-1,COLUMN('1-DATA'!B7)),ROUND(INDEX('1-DATA'!$1:$1048576,IF(OR($B9="STD. DEVIATION",$C$1=1),$A9,$A9+1),COLUMN('1-DATA'!B7)),IF($B9="STD. DEVIATION",2,$F$1))))</f>
        <v>5</v>
      </c>
      <c r="D9" s="1">
        <f>IF(OR($B9="",D$7=""),"",IF($B9="MEANS",INDEX('1-DATA'!$1:$1048576,$A8-1,COLUMN('1-DATA'!C7)),ROUND(INDEX('1-DATA'!$1:$1048576,IF(OR($B9="STD. DEVIATION",$C$1=1),$A9,$A9+1),COLUMN('1-DATA'!C7)),IF($B9="STD. DEVIATION",2,$F$1))))</f>
        <v>0</v>
      </c>
      <c r="E9" s="1">
        <f>IF(OR($B9="",E$7=""),"",IF($B9="MEANS",INDEX('1-DATA'!$1:$1048576,$A8-1,COLUMN('1-DATA'!D7)),ROUND(INDEX('1-DATA'!$1:$1048576,IF(OR($B9="STD. DEVIATION",$C$1=1),$A9,$A9+1),COLUMN('1-DATA'!D7)),IF($B9="STD. DEVIATION",2,$F$1))))</f>
        <v>0</v>
      </c>
      <c r="F9" s="1">
        <f>IF(OR($B9="",F$7=""),"",IF($B9="MEANS",INDEX('1-DATA'!$1:$1048576,$A8-1,COLUMN('1-DATA'!E7)),ROUND(INDEX('1-DATA'!$1:$1048576,IF(OR($B9="STD. DEVIATION",$C$1=1),$A9,$A9+1),COLUMN('1-DATA'!E7)),IF($B9="STD. DEVIATION",2,$F$1))))</f>
        <v>0</v>
      </c>
      <c r="G9" s="1">
        <f>IF(OR($B9="",G$7=""),"",IF($B9="MEANS",INDEX('1-DATA'!$1:$1048576,$A8-1,COLUMN('1-DATA'!F7)),ROUND(INDEX('1-DATA'!$1:$1048576,IF(OR($B9="STD. DEVIATION",$C$1=1),$A9,$A9+1),COLUMN('1-DATA'!F7)),IF($B9="STD. DEVIATION",2,$F$1))))</f>
        <v>5</v>
      </c>
      <c r="H9" s="1">
        <f>IF(OR($B9="",H$7=""),"",IF($B9="MEANS",INDEX('1-DATA'!$1:$1048576,$A8-1,COLUMN('1-DATA'!G7)),ROUND(INDEX('1-DATA'!$1:$1048576,IF(OR($B9="STD. DEVIATION",$C$1=1),$A9,$A9+1),COLUMN('1-DATA'!G7)),IF($B9="STD. DEVIATION",2,$F$1))))</f>
        <v>14</v>
      </c>
      <c r="I9" s="1">
        <f>IF(OR($B9="",I$7=""),"",IF($B9="MEANS",INDEX('1-DATA'!$1:$1048576,$A8-1,COLUMN('1-DATA'!H7)),ROUND(INDEX('1-DATA'!$1:$1048576,IF(OR($B9="STD. DEVIATION",$C$1=1),$A9,$A9+1),COLUMN('1-DATA'!H7)),IF($B9="STD. DEVIATION",2,$F$1))))</f>
        <v>5</v>
      </c>
      <c r="J9" s="1">
        <f>IF(OR($B9="",J$7=""),"",IF($B9="MEANS",INDEX('1-DATA'!$1:$1048576,$A8-1,COLUMN('1-DATA'!I7)),ROUND(INDEX('1-DATA'!$1:$1048576,IF(OR($B9="STD. DEVIATION",$C$1=1),$A9,$A9+1),COLUMN('1-DATA'!I7)),IF($B9="STD. DEVIATION",2,$F$1))))</f>
        <v>0</v>
      </c>
      <c r="K9" s="1">
        <f>IF(OR($B9="",K$7=""),"",IF($B9="MEANS",INDEX('1-DATA'!$1:$1048576,$A8-1,COLUMN('1-DATA'!J7)),ROUND(INDEX('1-DATA'!$1:$1048576,IF(OR($B9="STD. DEVIATION",$C$1=1),$A9,$A9+1),COLUMN('1-DATA'!J7)),IF($B9="STD. DEVIATION",2,$F$1))))</f>
        <v>0</v>
      </c>
      <c r="L9" s="1">
        <f>IF(OR($B9="",L$7=""),"",IF($B9="MEANS",INDEX('1-DATA'!$1:$1048576,$A8-1,COLUMN('1-DATA'!K7)),ROUND(INDEX('1-DATA'!$1:$1048576,IF(OR($B9="STD. DEVIATION",$C$1=1),$A9,$A9+1),COLUMN('1-DATA'!K7)),IF($B9="STD. DEVIATION",2,$F$1))))</f>
        <v>0</v>
      </c>
      <c r="M9" s="1">
        <f>IF(OR($B9="",M$7=""),"",IF($B9="MEANS",INDEX('1-DATA'!$1:$1048576,$A8-1,COLUMN('1-DATA'!L7)),ROUND(INDEX('1-DATA'!$1:$1048576,IF(OR($B9="STD. DEVIATION",$C$1=1),$A9,$A9+1),COLUMN('1-DATA'!L7)),IF($B9="STD. DEVIATION",2,$F$1))))</f>
        <v>0</v>
      </c>
      <c r="N9" s="1">
        <f>IF(OR($B9="",N$7=""),"",IF($B9="MEANS",INDEX('1-DATA'!$1:$1048576,$A8-1,COLUMN('1-DATA'!M7)),ROUND(INDEX('1-DATA'!$1:$1048576,IF(OR($B9="STD. DEVIATION",$C$1=1),$A9,$A9+1),COLUMN('1-DATA'!M7)),IF($B9="STD. DEVIATION",2,$F$1))))</f>
        <v>5</v>
      </c>
      <c r="O9" s="1">
        <f>IF(OR($B9="",O$7=""),"",IF($B9="MEANS",INDEX('1-DATA'!$1:$1048576,$A8-1,COLUMN('1-DATA'!N7)),ROUND(INDEX('1-DATA'!$1:$1048576,IF(OR($B9="STD. DEVIATION",$C$1=1),$A9,$A9+1),COLUMN('1-DATA'!N7)),IF($B9="STD. DEVIATION",2,$F$1))))</f>
        <v>0</v>
      </c>
      <c r="P9" s="1">
        <f>IF(OR($B9="",P$7=""),"",IF($B9="MEANS",INDEX('1-DATA'!$1:$1048576,$A8-1,COLUMN('1-DATA'!O7)),ROUND(INDEX('1-DATA'!$1:$1048576,IF(OR($B9="STD. DEVIATION",$C$1=1),$A9,$A9+1),COLUMN('1-DATA'!O7)),IF($B9="STD. DEVIATION",2,$F$1))))</f>
        <v>9</v>
      </c>
      <c r="Q9" s="1">
        <f>IF(OR($B9="",Q$7=""),"",IF($B9="MEANS",INDEX('1-DATA'!$1:$1048576,$A8-1,COLUMN('1-DATA'!P7)),ROUND(INDEX('1-DATA'!$1:$1048576,IF(OR($B9="STD. DEVIATION",$C$1=1),$A9,$A9+1),COLUMN('1-DATA'!P7)),IF($B9="STD. DEVIATION",2,$F$1))))</f>
        <v>5</v>
      </c>
      <c r="R9" s="1">
        <f>IF(OR($B9="",R$7=""),"",IF($B9="MEANS",INDEX('1-DATA'!$1:$1048576,$A8-1,COLUMN('1-DATA'!Q7)),ROUND(INDEX('1-DATA'!$1:$1048576,IF(OR($B9="STD. DEVIATION",$C$1=1),$A9,$A9+1),COLUMN('1-DATA'!Q7)),IF($B9="STD. DEVIATION",2,$F$1))))</f>
        <v>0</v>
      </c>
      <c r="S9" s="1">
        <f>IF(OR($B9="",S$7=""),"",IF($B9="MEANS",INDEX('1-DATA'!$1:$1048576,$A8-1,COLUMN('1-DATA'!R7)),ROUND(INDEX('1-DATA'!$1:$1048576,IF(OR($B9="STD. DEVIATION",$C$1=1),$A9,$A9+1),COLUMN('1-DATA'!R7)),IF($B9="STD. DEVIATION",2,$F$1))))</f>
        <v>0</v>
      </c>
      <c r="T9" s="1">
        <f>IF(OR($B9="",T$7=""),"",IF($B9="MEANS",INDEX('1-DATA'!$1:$1048576,$A8-1,COLUMN('1-DATA'!S7)),ROUND(INDEX('1-DATA'!$1:$1048576,IF(OR($B9="STD. DEVIATION",$C$1=1),$A9,$A9+1),COLUMN('1-DATA'!S7)),IF($B9="STD. DEVIATION",2,$F$1))))</f>
        <v>9</v>
      </c>
      <c r="U9" s="1">
        <f>IF(OR($B9="",U$7=""),"",IF($B9="MEANS",INDEX('1-DATA'!$1:$1048576,$A8-1,COLUMN('1-DATA'!T7)),ROUND(INDEX('1-DATA'!$1:$1048576,IF(OR($B9="STD. DEVIATION",$C$1=1),$A9,$A9+1),COLUMN('1-DATA'!T7)),IF($B9="STD. DEVIATION",2,$F$1))))</f>
        <v>9</v>
      </c>
      <c r="V9" s="1">
        <f>IF(OR($B9="",V$7=""),"",IF($B9="MEANS",INDEX('1-DATA'!$1:$1048576,$A8-1,COLUMN('1-DATA'!U7)),ROUND(INDEX('1-DATA'!$1:$1048576,IF(OR($B9="STD. DEVIATION",$C$1=1),$A9,$A9+1),COLUMN('1-DATA'!U7)),IF($B9="STD. DEVIATION",2,$F$1))))</f>
        <v>14</v>
      </c>
      <c r="W9" s="1">
        <f>IF(OR($B9="",W$7=""),"",IF($B9="MEANS",INDEX('1-DATA'!$1:$1048576,$A8-1,COLUMN('1-DATA'!V7)),ROUND(INDEX('1-DATA'!$1:$1048576,IF(OR($B9="STD. DEVIATION",$C$1=1),$A9,$A9+1),COLUMN('1-DATA'!V7)),IF($B9="STD. DEVIATION",2,$F$1))))</f>
        <v>0</v>
      </c>
      <c r="X9" s="1">
        <f>IF(OR($B9="",X$7=""),"",IF($B9="MEANS",INDEX('1-DATA'!$1:$1048576,$A8-1,COLUMN('1-DATA'!W7)),ROUND(INDEX('1-DATA'!$1:$1048576,IF(OR($B9="STD. DEVIATION",$C$1=1),$A9,$A9+1),COLUMN('1-DATA'!W7)),IF($B9="STD. DEVIATION",2,$F$1))))</f>
        <v>0</v>
      </c>
      <c r="Y9" s="1">
        <f>IF(OR($B9="",Y$7=""),"",IF($B9="MEANS",INDEX('1-DATA'!$1:$1048576,$A8-1,COLUMN('1-DATA'!X7)),ROUND(INDEX('1-DATA'!$1:$1048576,IF(OR($B9="STD. DEVIATION",$C$1=1),$A9,$A9+1),COLUMN('1-DATA'!X7)),IF($B9="STD. DEVIATION",2,$F$1))))</f>
        <v>0</v>
      </c>
      <c r="Z9" s="1">
        <f>IF(OR($B9="",Z$7=""),"",IF($B9="MEANS",INDEX('1-DATA'!$1:$1048576,$A8-1,COLUMN('1-DATA'!Y7)),ROUND(INDEX('1-DATA'!$1:$1048576,IF(OR($B9="STD. DEVIATION",$C$1=1),$A9,$A9+1),COLUMN('1-DATA'!Y7)),IF($B9="STD. DEVIATION",2,$F$1))))</f>
        <v>5</v>
      </c>
      <c r="AA9" s="1">
        <f>IF(OR($B9="",AA$7=""),"",IF($B9="MEANS",INDEX('1-DATA'!$1:$1048576,$A8-1,COLUMN('1-DATA'!Z7)),ROUND(INDEX('1-DATA'!$1:$1048576,IF(OR($B9="STD. DEVIATION",$C$1=1),$A9,$A9+1),COLUMN('1-DATA'!Z7)),IF($B9="STD. DEVIATION",2,$F$1))))</f>
        <v>40</v>
      </c>
      <c r="AB9" s="1" t="str">
        <f>IF(OR($B9="",AB$7=""),"",IF($B9="MEANS",INDEX('1-DATA'!$1:$1048576,$A8-1,COLUMN('1-DATA'!AA7)),ROUND(INDEX('1-DATA'!$1:$1048576,IF(OR($B9="STD. DEVIATION",$C$1=1),$A9,$A9+1),COLUMN('1-DATA'!AA7)),IF($B9="STD. DEVIATION",2,$F$1))))</f>
        <v/>
      </c>
      <c r="AC9" s="1" t="str">
        <f>IF(OR($B9="",AC$7=""),"",IF($B9="MEANS",INDEX('1-DATA'!$1:$1048576,$A8-1,COLUMN('1-DATA'!AB7)),ROUND(INDEX('1-DATA'!$1:$1048576,IF(OR($B9="STD. DEVIATION",$C$1=1),$A9,$A9+1),COLUMN('1-DATA'!AB7)),IF($B9="STD. DEVIATION",2,$F$1))))</f>
        <v/>
      </c>
      <c r="AD9" s="1" t="str">
        <f>IF(OR($B9="",AD$7=""),"",IF($B9="MEANS",INDEX('1-DATA'!$1:$1048576,$A8-1,COLUMN('1-DATA'!AC7)),ROUND(INDEX('1-DATA'!$1:$1048576,IF(OR($B9="STD. DEVIATION",$C$1=1),$A9,$A9+1),COLUMN('1-DATA'!AC7)),IF($B9="STD. DEVIATION",2,$F$1))))</f>
        <v/>
      </c>
      <c r="AE9" s="1" t="str">
        <f>IF(OR($B9="",AE$7=""),"",IF($B9="MEANS",INDEX('1-DATA'!$1:$1048576,$A8-1,COLUMN('1-DATA'!AD7)),ROUND(INDEX('1-DATA'!$1:$1048576,IF(OR($B9="STD. DEVIATION",$C$1=1),$A9,$A9+1),COLUMN('1-DATA'!AD7)),IF($B9="STD. DEVIATION",2,$F$1))))</f>
        <v/>
      </c>
      <c r="AF9" s="1" t="str">
        <f>IF(OR($B9="",AF$7=""),"",IF($B9="MEANS",INDEX('1-DATA'!$1:$1048576,$A8-1,COLUMN('1-DATA'!AE7)),ROUND(INDEX('1-DATA'!$1:$1048576,IF(OR($B9="STD. DEVIATION",$C$1=1),$A9,$A9+1),COLUMN('1-DATA'!AE7)),IF($B9="STD. DEVIATION",2,$F$1))))</f>
        <v/>
      </c>
      <c r="AG9" s="1" t="str">
        <f>IF(OR($B9="",AG$7=""),"",IF($B9="MEANS",INDEX('1-DATA'!$1:$1048576,$A8-1,COLUMN('1-DATA'!AF7)),ROUND(INDEX('1-DATA'!$1:$1048576,IF(OR($B9="STD. DEVIATION",$C$1=1),$A9,$A9+1),COLUMN('1-DATA'!AF7)),IF($B9="STD. DEVIATION",2,$F$1))))</f>
        <v/>
      </c>
      <c r="AH9" s="1" t="str">
        <f>IF(OR($B9="",AH$7=""),"",IF($B9="MEANS",INDEX('1-DATA'!$1:$1048576,$A8-1,COLUMN('1-DATA'!AG7)),ROUND(INDEX('1-DATA'!$1:$1048576,IF(OR($B9="STD. DEVIATION",$C$1=1),$A9,$A9+1),COLUMN('1-DATA'!AG7)),IF($B9="STD. DEVIATION",2,$F$1))))</f>
        <v/>
      </c>
      <c r="AI9" s="1" t="str">
        <f>IF(OR($B9="",AI$7=""),"",IF($B9="MEANS",INDEX('1-DATA'!$1:$1048576,$A8-1,COLUMN('1-DATA'!AH7)),ROUND(INDEX('1-DATA'!$1:$1048576,IF(OR($B9="STD. DEVIATION",$C$1=1),$A9,$A9+1),COLUMN('1-DATA'!AH7)),IF($B9="STD. DEVIATION",2,$F$1))))</f>
        <v/>
      </c>
      <c r="AJ9" s="1" t="str">
        <f>IF(OR($B9="",AJ$7=""),"",IF($B9="MEANS",INDEX('1-DATA'!$1:$1048576,$A8-1,COLUMN('1-DATA'!AI7)),ROUND(INDEX('1-DATA'!$1:$1048576,IF(OR($B9="STD. DEVIATION",$C$1=1),$A9,$A9+1),COLUMN('1-DATA'!AI7)),IF($B9="STD. DEVIATION",2,$F$1))))</f>
        <v/>
      </c>
      <c r="AK9" s="1" t="str">
        <f>IF(OR($B9="",AK$7=""),"",IF($B9="MEANS",INDEX('1-DATA'!$1:$1048576,$A8-1,COLUMN('1-DATA'!AJ7)),ROUND(INDEX('1-DATA'!$1:$1048576,IF(OR($B9="STD. DEVIATION",$C$1=1),$A9,$A9+1),COLUMN('1-DATA'!AJ7)),IF($B9="STD. DEVIATION",2,$F$1))))</f>
        <v/>
      </c>
      <c r="AL9" s="1" t="str">
        <f>IF(OR($B9="",AL$7=""),"",IF($B9="MEANS",INDEX('1-DATA'!$1:$1048576,$A8-1,COLUMN('1-DATA'!AK7)),ROUND(INDEX('1-DATA'!$1:$1048576,IF(OR($B9="STD. DEVIATION",$C$1=1),$A9,$A9+1),COLUMN('1-DATA'!AK7)),IF($B9="STD. DEVIATION",2,$F$1))))</f>
        <v/>
      </c>
      <c r="AM9" s="1" t="str">
        <f>IF(OR($B9="",AM$7=""),"",IF($B9="MEANS",INDEX('1-DATA'!$1:$1048576,$A8-1,COLUMN('1-DATA'!AL7)),ROUND(INDEX('1-DATA'!$1:$1048576,IF(OR($B9="STD. DEVIATION",$C$1=1),$A9,$A9+1),COLUMN('1-DATA'!AL7)),IF($B9="STD. DEVIATION",2,$F$1))))</f>
        <v/>
      </c>
      <c r="AN9" s="1" t="str">
        <f>IF(OR($B9="",AN$7=""),"",IF($B9="MEANS",INDEX('1-DATA'!$1:$1048576,$A8-1,COLUMN('1-DATA'!AM7)),ROUND(INDEX('1-DATA'!$1:$1048576,IF(OR($B9="STD. DEVIATION",$C$1=1),$A9,$A9+1),COLUMN('1-DATA'!AM7)),IF($B9="STD. DEVIATION",2,$F$1))))</f>
        <v/>
      </c>
      <c r="AO9" s="1" t="str">
        <f>IF(OR($B9="",AO$7=""),"",IF($B9="MEANS",INDEX('1-DATA'!$1:$1048576,$A8-1,COLUMN('1-DATA'!AN7)),ROUND(INDEX('1-DATA'!$1:$1048576,IF(OR($B9="STD. DEVIATION",$C$1=1),$A9,$A9+1),COLUMN('1-DATA'!AN7)),IF($B9="STD. DEVIATION",2,$F$1))))</f>
        <v/>
      </c>
      <c r="AP9" s="1" t="str">
        <f>IF(OR($B9="",AP$7=""),"",IF($B9="MEANS",INDEX('1-DATA'!$1:$1048576,$A8-1,COLUMN('1-DATA'!AO7)),ROUND(INDEX('1-DATA'!$1:$1048576,IF(OR($B9="STD. DEVIATION",$C$1=1),$A9,$A9+1),COLUMN('1-DATA'!AO7)),IF($B9="STD. DEVIATION",2,$F$1))))</f>
        <v/>
      </c>
      <c r="AQ9" s="1" t="str">
        <f>IF(OR($B9="",AQ$7=""),"",IF($B9="MEANS",INDEX('1-DATA'!$1:$1048576,$A8-1,COLUMN('1-DATA'!AP7)),ROUND(INDEX('1-DATA'!$1:$1048576,IF(OR($B9="STD. DEVIATION",$C$1=1),$A9,$A9+1),COLUMN('1-DATA'!AP7)),IF($B9="STD. DEVIATION",2,$F$1))))</f>
        <v/>
      </c>
      <c r="AR9" s="1" t="str">
        <f>IF(OR($B9="",AR$7=""),"",IF($B9="MEANS",INDEX('1-DATA'!$1:$1048576,$A8-1,COLUMN('1-DATA'!AQ7)),ROUND(INDEX('1-DATA'!$1:$1048576,IF(OR($B9="STD. DEVIATION",$C$1=1),$A9,$A9+1),COLUMN('1-DATA'!AQ7)),IF($B9="STD. DEVIATION",2,$F$1))))</f>
        <v/>
      </c>
      <c r="AS9" s="1" t="str">
        <f>IF(OR($B9="",AS$7=""),"",IF($B9="MEANS",INDEX('1-DATA'!$1:$1048576,$A8-1,COLUMN('1-DATA'!AR7)),ROUND(INDEX('1-DATA'!$1:$1048576,IF(OR($B9="STD. DEVIATION",$C$1=1),$A9,$A9+1),COLUMN('1-DATA'!AR7)),IF($B9="STD. DEVIATION",2,$F$1))))</f>
        <v/>
      </c>
      <c r="AT9" s="1" t="str">
        <f>IF(OR($B9="",AT$7=""),"",IF($B9="MEANS",INDEX('1-DATA'!$1:$1048576,$A8-1,COLUMN('1-DATA'!AS7)),ROUND(INDEX('1-DATA'!$1:$1048576,IF(OR($B9="STD. DEVIATION",$C$1=1),$A9,$A9+1),COLUMN('1-DATA'!AS7)),IF($B9="STD. DEVIATION",2,$F$1))))</f>
        <v/>
      </c>
      <c r="AU9" s="1" t="str">
        <f>IF(OR($B9="",AU$7=""),"",IF($B9="MEANS",INDEX('1-DATA'!$1:$1048576,$A8-1,COLUMN('1-DATA'!AT7)),ROUND(INDEX('1-DATA'!$1:$1048576,IF(OR($B9="STD. DEVIATION",$C$1=1),$A9,$A9+1),COLUMN('1-DATA'!AT7)),IF($B9="STD. DEVIATION",2,$F$1))))</f>
        <v/>
      </c>
      <c r="AV9" s="1" t="str">
        <f>IF(OR($B9="",AV$7=""),"",IF($B9="MEANS",INDEX('1-DATA'!$1:$1048576,$A8-1,COLUMN('1-DATA'!AU7)),ROUND(INDEX('1-DATA'!$1:$1048576,IF(OR($B9="STD. DEVIATION",$C$1=1),$A9,$A9+1),COLUMN('1-DATA'!AU7)),IF($B9="STD. DEVIATION",2,$F$1))))</f>
        <v/>
      </c>
      <c r="AW9" s="1" t="str">
        <f>IF(OR($B9="",AW$7=""),"",IF($B9="MEANS",INDEX('1-DATA'!$1:$1048576,$A8-1,COLUMN('1-DATA'!AV7)),ROUND(INDEX('1-DATA'!$1:$1048576,IF(OR($B9="STD. DEVIATION",$C$1=1),$A9,$A9+1),COLUMN('1-DATA'!AV7)),IF($B9="STD. DEVIATION",2,$F$1))))</f>
        <v/>
      </c>
      <c r="AX9" s="1" t="str">
        <f>IF(OR($B9="",AX$7=""),"",IF($B9="MEANS",INDEX('1-DATA'!$1:$1048576,$A8-1,COLUMN('1-DATA'!AW7)),ROUND(INDEX('1-DATA'!$1:$1048576,IF(OR($B9="STD. DEVIATION",$C$1=1),$A9,$A9+1),COLUMN('1-DATA'!AW7)),IF($B9="STD. DEVIATION",2,$F$1))))</f>
        <v/>
      </c>
      <c r="AY9" s="1" t="str">
        <f>IF(OR($B9="",AY$7=""),"",IF($B9="MEANS",INDEX('1-DATA'!$1:$1048576,$A8-1,COLUMN('1-DATA'!AX7)),ROUND(INDEX('1-DATA'!$1:$1048576,IF(OR($B9="STD. DEVIATION",$C$1=1),$A9,$A9+1),COLUMN('1-DATA'!AX7)),IF($B9="STD. DEVIATION",2,$F$1))))</f>
        <v/>
      </c>
      <c r="AZ9" s="1" t="str">
        <f>IF(OR($B9="",AZ$7=""),"",IF($B9="MEANS",INDEX('1-DATA'!$1:$1048576,$A8-1,COLUMN('1-DATA'!AY7)),ROUND(INDEX('1-DATA'!$1:$1048576,IF(OR($B9="STD. DEVIATION",$C$1=1),$A9,$A9+1),COLUMN('1-DATA'!AY7)),IF($B9="STD. DEVIATION",2,$F$1))))</f>
        <v/>
      </c>
    </row>
    <row r="10" spans="1:52" x14ac:dyDescent="0.25">
      <c r="A10" s="11">
        <f>A9+3</f>
        <v>16</v>
      </c>
      <c r="B10" s="1" t="str">
        <f>IF(B9="STD. DEVIATION",INDEX('1-DATA'!$1:$1048576,$A9-1,1),IF(INDEX('1-DATA'!$1:$1048576,$A10,1)&lt;&gt;"",INDEX('1-DATA'!$1:$1048576,$A10,1),""))</f>
        <v>Hai long</v>
      </c>
      <c r="C10" s="1">
        <f>IF(OR($B10="",C$7=""),"",IF($B10="MEANS",INDEX('1-DATA'!$1:$1048576,$A9-1,COLUMN('1-DATA'!B8)),ROUND(INDEX('1-DATA'!$1:$1048576,IF(OR($B10="STD. DEVIATION",$C$1=1),$A10,$A10+1),COLUMN('1-DATA'!B8)),IF($B10="STD. DEVIATION",2,$F$1))))</f>
        <v>27</v>
      </c>
      <c r="D10" s="1">
        <f>IF(OR($B10="",D$7=""),"",IF($B10="MEANS",INDEX('1-DATA'!$1:$1048576,$A9-1,COLUMN('1-DATA'!C8)),ROUND(INDEX('1-DATA'!$1:$1048576,IF(OR($B10="STD. DEVIATION",$C$1=1),$A10,$A10+1),COLUMN('1-DATA'!C8)),IF($B10="STD. DEVIATION",2,$F$1))))</f>
        <v>32</v>
      </c>
      <c r="E10" s="1">
        <f>IF(OR($B10="",E$7=""),"",IF($B10="MEANS",INDEX('1-DATA'!$1:$1048576,$A9-1,COLUMN('1-DATA'!D8)),ROUND(INDEX('1-DATA'!$1:$1048576,IF(OR($B10="STD. DEVIATION",$C$1=1),$A10,$A10+1),COLUMN('1-DATA'!D8)),IF($B10="STD. DEVIATION",2,$F$1))))</f>
        <v>46</v>
      </c>
      <c r="F10" s="1">
        <f>IF(OR($B10="",F$7=""),"",IF($B10="MEANS",INDEX('1-DATA'!$1:$1048576,$A9-1,COLUMN('1-DATA'!E8)),ROUND(INDEX('1-DATA'!$1:$1048576,IF(OR($B10="STD. DEVIATION",$C$1=1),$A10,$A10+1),COLUMN('1-DATA'!E8)),IF($B10="STD. DEVIATION",2,$F$1))))</f>
        <v>57</v>
      </c>
      <c r="G10" s="1">
        <f>IF(OR($B10="",G$7=""),"",IF($B10="MEANS",INDEX('1-DATA'!$1:$1048576,$A9-1,COLUMN('1-DATA'!F8)),ROUND(INDEX('1-DATA'!$1:$1048576,IF(OR($B10="STD. DEVIATION",$C$1=1),$A10,$A10+1),COLUMN('1-DATA'!F8)),IF($B10="STD. DEVIATION",2,$F$1))))</f>
        <v>62</v>
      </c>
      <c r="H10" s="1">
        <f>IF(OR($B10="",H$7=""),"",IF($B10="MEANS",INDEX('1-DATA'!$1:$1048576,$A9-1,COLUMN('1-DATA'!G8)),ROUND(INDEX('1-DATA'!$1:$1048576,IF(OR($B10="STD. DEVIATION",$C$1=1),$A10,$A10+1),COLUMN('1-DATA'!G8)),IF($B10="STD. DEVIATION",2,$F$1))))</f>
        <v>48</v>
      </c>
      <c r="I10" s="1">
        <f>IF(OR($B10="",I$7=""),"",IF($B10="MEANS",INDEX('1-DATA'!$1:$1048576,$A9-1,COLUMN('1-DATA'!H8)),ROUND(INDEX('1-DATA'!$1:$1048576,IF(OR($B10="STD. DEVIATION",$C$1=1),$A10,$A10+1),COLUMN('1-DATA'!H8)),IF($B10="STD. DEVIATION",2,$F$1))))</f>
        <v>68</v>
      </c>
      <c r="J10" s="1">
        <f>IF(OR($B10="",J$7=""),"",IF($B10="MEANS",INDEX('1-DATA'!$1:$1048576,$A9-1,COLUMN('1-DATA'!I8)),ROUND(INDEX('1-DATA'!$1:$1048576,IF(OR($B10="STD. DEVIATION",$C$1=1),$A10,$A10+1),COLUMN('1-DATA'!I8)),IF($B10="STD. DEVIATION",2,$F$1))))</f>
        <v>59</v>
      </c>
      <c r="K10" s="1">
        <f>IF(OR($B10="",K$7=""),"",IF($B10="MEANS",INDEX('1-DATA'!$1:$1048576,$A9-1,COLUMN('1-DATA'!J8)),ROUND(INDEX('1-DATA'!$1:$1048576,IF(OR($B10="STD. DEVIATION",$C$1=1),$A10,$A10+1),COLUMN('1-DATA'!J8)),IF($B10="STD. DEVIATION",2,$F$1))))</f>
        <v>50</v>
      </c>
      <c r="L10" s="1">
        <f>IF(OR($B10="",L$7=""),"",IF($B10="MEANS",INDEX('1-DATA'!$1:$1048576,$A9-1,COLUMN('1-DATA'!K8)),ROUND(INDEX('1-DATA'!$1:$1048576,IF(OR($B10="STD. DEVIATION",$C$1=1),$A10,$A10+1),COLUMN('1-DATA'!K8)),IF($B10="STD. DEVIATION",2,$F$1))))</f>
        <v>36</v>
      </c>
      <c r="M10" s="1">
        <f>IF(OR($B10="",M$7=""),"",IF($B10="MEANS",INDEX('1-DATA'!$1:$1048576,$A9-1,COLUMN('1-DATA'!L8)),ROUND(INDEX('1-DATA'!$1:$1048576,IF(OR($B10="STD. DEVIATION",$C$1=1),$A10,$A10+1),COLUMN('1-DATA'!L8)),IF($B10="STD. DEVIATION",2,$F$1))))</f>
        <v>55</v>
      </c>
      <c r="N10" s="1">
        <f>IF(OR($B10="",N$7=""),"",IF($B10="MEANS",INDEX('1-DATA'!$1:$1048576,$A9-1,COLUMN('1-DATA'!M8)),ROUND(INDEX('1-DATA'!$1:$1048576,IF(OR($B10="STD. DEVIATION",$C$1=1),$A10,$A10+1),COLUMN('1-DATA'!M8)),IF($B10="STD. DEVIATION",2,$F$1))))</f>
        <v>50</v>
      </c>
      <c r="O10" s="1">
        <f>IF(OR($B10="",O$7=""),"",IF($B10="MEANS",INDEX('1-DATA'!$1:$1048576,$A9-1,COLUMN('1-DATA'!N8)),ROUND(INDEX('1-DATA'!$1:$1048576,IF(OR($B10="STD. DEVIATION",$C$1=1),$A10,$A10+1),COLUMN('1-DATA'!N8)),IF($B10="STD. DEVIATION",2,$F$1))))</f>
        <v>64</v>
      </c>
      <c r="P10" s="1">
        <f>IF(OR($B10="",P$7=""),"",IF($B10="MEANS",INDEX('1-DATA'!$1:$1048576,$A9-1,COLUMN('1-DATA'!O8)),ROUND(INDEX('1-DATA'!$1:$1048576,IF(OR($B10="STD. DEVIATION",$C$1=1),$A10,$A10+1),COLUMN('1-DATA'!O8)),IF($B10="STD. DEVIATION",2,$F$1))))</f>
        <v>55</v>
      </c>
      <c r="Q10" s="1">
        <f>IF(OR($B10="",Q$7=""),"",IF($B10="MEANS",INDEX('1-DATA'!$1:$1048576,$A9-1,COLUMN('1-DATA'!P8)),ROUND(INDEX('1-DATA'!$1:$1048576,IF(OR($B10="STD. DEVIATION",$C$1=1),$A10,$A10+1),COLUMN('1-DATA'!P8)),IF($B10="STD. DEVIATION",2,$F$1))))</f>
        <v>46</v>
      </c>
      <c r="R10" s="1">
        <f>IF(OR($B10="",R$7=""),"",IF($B10="MEANS",INDEX('1-DATA'!$1:$1048576,$A9-1,COLUMN('1-DATA'!Q8)),ROUND(INDEX('1-DATA'!$1:$1048576,IF(OR($B10="STD. DEVIATION",$C$1=1),$A10,$A10+1),COLUMN('1-DATA'!Q8)),IF($B10="STD. DEVIATION",2,$F$1))))</f>
        <v>46</v>
      </c>
      <c r="S10" s="1">
        <f>IF(OR($B10="",S$7=""),"",IF($B10="MEANS",INDEX('1-DATA'!$1:$1048576,$A9-1,COLUMN('1-DATA'!R8)),ROUND(INDEX('1-DATA'!$1:$1048576,IF(OR($B10="STD. DEVIATION",$C$1=1),$A10,$A10+1),COLUMN('1-DATA'!R8)),IF($B10="STD. DEVIATION",2,$F$1))))</f>
        <v>36</v>
      </c>
      <c r="T10" s="1">
        <f>IF(OR($B10="",T$7=""),"",IF($B10="MEANS",INDEX('1-DATA'!$1:$1048576,$A9-1,COLUMN('1-DATA'!S8)),ROUND(INDEX('1-DATA'!$1:$1048576,IF(OR($B10="STD. DEVIATION",$C$1=1),$A10,$A10+1),COLUMN('1-DATA'!S8)),IF($B10="STD. DEVIATION",2,$F$1))))</f>
        <v>46</v>
      </c>
      <c r="U10" s="1">
        <f>IF(OR($B10="",U$7=""),"",IF($B10="MEANS",INDEX('1-DATA'!$1:$1048576,$A9-1,COLUMN('1-DATA'!T8)),ROUND(INDEX('1-DATA'!$1:$1048576,IF(OR($B10="STD. DEVIATION",$C$1=1),$A10,$A10+1),COLUMN('1-DATA'!T8)),IF($B10="STD. DEVIATION",2,$F$1))))</f>
        <v>68</v>
      </c>
      <c r="V10" s="1">
        <f>IF(OR($B10="",V$7=""),"",IF($B10="MEANS",INDEX('1-DATA'!$1:$1048576,$A9-1,COLUMN('1-DATA'!U8)),ROUND(INDEX('1-DATA'!$1:$1048576,IF(OR($B10="STD. DEVIATION",$C$1=1),$A10,$A10+1),COLUMN('1-DATA'!U8)),IF($B10="STD. DEVIATION",2,$F$1))))</f>
        <v>50</v>
      </c>
      <c r="W10" s="1">
        <f>IF(OR($B10="",W$7=""),"",IF($B10="MEANS",INDEX('1-DATA'!$1:$1048576,$A9-1,COLUMN('1-DATA'!V8)),ROUND(INDEX('1-DATA'!$1:$1048576,IF(OR($B10="STD. DEVIATION",$C$1=1),$A10,$A10+1),COLUMN('1-DATA'!V8)),IF($B10="STD. DEVIATION",2,$F$1))))</f>
        <v>36</v>
      </c>
      <c r="X10" s="1">
        <f>IF(OR($B10="",X$7=""),"",IF($B10="MEANS",INDEX('1-DATA'!$1:$1048576,$A9-1,COLUMN('1-DATA'!W8)),ROUND(INDEX('1-DATA'!$1:$1048576,IF(OR($B10="STD. DEVIATION",$C$1=1),$A10,$A10+1),COLUMN('1-DATA'!W8)),IF($B10="STD. DEVIATION",2,$F$1))))</f>
        <v>32</v>
      </c>
      <c r="Y10" s="1">
        <f>IF(OR($B10="",Y$7=""),"",IF($B10="MEANS",INDEX('1-DATA'!$1:$1048576,$A9-1,COLUMN('1-DATA'!X8)),ROUND(INDEX('1-DATA'!$1:$1048576,IF(OR($B10="STD. DEVIATION",$C$1=1),$A10,$A10+1),COLUMN('1-DATA'!X8)),IF($B10="STD. DEVIATION",2,$F$1))))</f>
        <v>55</v>
      </c>
      <c r="Z10" s="1">
        <f>IF(OR($B10="",Z$7=""),"",IF($B10="MEANS",INDEX('1-DATA'!$1:$1048576,$A9-1,COLUMN('1-DATA'!Y8)),ROUND(INDEX('1-DATA'!$1:$1048576,IF(OR($B10="STD. DEVIATION",$C$1=1),$A10,$A10+1),COLUMN('1-DATA'!Y8)),IF($B10="STD. DEVIATION",2,$F$1))))</f>
        <v>32</v>
      </c>
      <c r="AA10" s="1">
        <f>IF(OR($B10="",AA$7=""),"",IF($B10="MEANS",INDEX('1-DATA'!$1:$1048576,$A9-1,COLUMN('1-DATA'!Z8)),ROUND(INDEX('1-DATA'!$1:$1048576,IF(OR($B10="STD. DEVIATION",$C$1=1),$A10,$A10+1),COLUMN('1-DATA'!Z8)),IF($B10="STD. DEVIATION",2,$F$1))))</f>
        <v>20</v>
      </c>
      <c r="AB10" s="1" t="str">
        <f>IF(OR($B10="",AB$7=""),"",IF($B10="MEANS",INDEX('1-DATA'!$1:$1048576,$A9-1,COLUMN('1-DATA'!AA8)),ROUND(INDEX('1-DATA'!$1:$1048576,IF(OR($B10="STD. DEVIATION",$C$1=1),$A10,$A10+1),COLUMN('1-DATA'!AA8)),IF($B10="STD. DEVIATION",2,$F$1))))</f>
        <v/>
      </c>
      <c r="AC10" s="1" t="str">
        <f>IF(OR($B10="",AC$7=""),"",IF($B10="MEANS",INDEX('1-DATA'!$1:$1048576,$A9-1,COLUMN('1-DATA'!AB8)),ROUND(INDEX('1-DATA'!$1:$1048576,IF(OR($B10="STD. DEVIATION",$C$1=1),$A10,$A10+1),COLUMN('1-DATA'!AB8)),IF($B10="STD. DEVIATION",2,$F$1))))</f>
        <v/>
      </c>
      <c r="AD10" s="1" t="str">
        <f>IF(OR($B10="",AD$7=""),"",IF($B10="MEANS",INDEX('1-DATA'!$1:$1048576,$A9-1,COLUMN('1-DATA'!AC8)),ROUND(INDEX('1-DATA'!$1:$1048576,IF(OR($B10="STD. DEVIATION",$C$1=1),$A10,$A10+1),COLUMN('1-DATA'!AC8)),IF($B10="STD. DEVIATION",2,$F$1))))</f>
        <v/>
      </c>
      <c r="AE10" s="1" t="str">
        <f>IF(OR($B10="",AE$7=""),"",IF($B10="MEANS",INDEX('1-DATA'!$1:$1048576,$A9-1,COLUMN('1-DATA'!AD8)),ROUND(INDEX('1-DATA'!$1:$1048576,IF(OR($B10="STD. DEVIATION",$C$1=1),$A10,$A10+1),COLUMN('1-DATA'!AD8)),IF($B10="STD. DEVIATION",2,$F$1))))</f>
        <v/>
      </c>
      <c r="AF10" s="1" t="str">
        <f>IF(OR($B10="",AF$7=""),"",IF($B10="MEANS",INDEX('1-DATA'!$1:$1048576,$A9-1,COLUMN('1-DATA'!AE8)),ROUND(INDEX('1-DATA'!$1:$1048576,IF(OR($B10="STD. DEVIATION",$C$1=1),$A10,$A10+1),COLUMN('1-DATA'!AE8)),IF($B10="STD. DEVIATION",2,$F$1))))</f>
        <v/>
      </c>
      <c r="AG10" s="1" t="str">
        <f>IF(OR($B10="",AG$7=""),"",IF($B10="MEANS",INDEX('1-DATA'!$1:$1048576,$A9-1,COLUMN('1-DATA'!AF8)),ROUND(INDEX('1-DATA'!$1:$1048576,IF(OR($B10="STD. DEVIATION",$C$1=1),$A10,$A10+1),COLUMN('1-DATA'!AF8)),IF($B10="STD. DEVIATION",2,$F$1))))</f>
        <v/>
      </c>
      <c r="AH10" s="1" t="str">
        <f>IF(OR($B10="",AH$7=""),"",IF($B10="MEANS",INDEX('1-DATA'!$1:$1048576,$A9-1,COLUMN('1-DATA'!AG8)),ROUND(INDEX('1-DATA'!$1:$1048576,IF(OR($B10="STD. DEVIATION",$C$1=1),$A10,$A10+1),COLUMN('1-DATA'!AG8)),IF($B10="STD. DEVIATION",2,$F$1))))</f>
        <v/>
      </c>
      <c r="AI10" s="1" t="str">
        <f>IF(OR($B10="",AI$7=""),"",IF($B10="MEANS",INDEX('1-DATA'!$1:$1048576,$A9-1,COLUMN('1-DATA'!AH8)),ROUND(INDEX('1-DATA'!$1:$1048576,IF(OR($B10="STD. DEVIATION",$C$1=1),$A10,$A10+1),COLUMN('1-DATA'!AH8)),IF($B10="STD. DEVIATION",2,$F$1))))</f>
        <v/>
      </c>
      <c r="AJ10" s="1" t="str">
        <f>IF(OR($B10="",AJ$7=""),"",IF($B10="MEANS",INDEX('1-DATA'!$1:$1048576,$A9-1,COLUMN('1-DATA'!AI8)),ROUND(INDEX('1-DATA'!$1:$1048576,IF(OR($B10="STD. DEVIATION",$C$1=1),$A10,$A10+1),COLUMN('1-DATA'!AI8)),IF($B10="STD. DEVIATION",2,$F$1))))</f>
        <v/>
      </c>
      <c r="AK10" s="1" t="str">
        <f>IF(OR($B10="",AK$7=""),"",IF($B10="MEANS",INDEX('1-DATA'!$1:$1048576,$A9-1,COLUMN('1-DATA'!AJ8)),ROUND(INDEX('1-DATA'!$1:$1048576,IF(OR($B10="STD. DEVIATION",$C$1=1),$A10,$A10+1),COLUMN('1-DATA'!AJ8)),IF($B10="STD. DEVIATION",2,$F$1))))</f>
        <v/>
      </c>
      <c r="AL10" s="1" t="str">
        <f>IF(OR($B10="",AL$7=""),"",IF($B10="MEANS",INDEX('1-DATA'!$1:$1048576,$A9-1,COLUMN('1-DATA'!AK8)),ROUND(INDEX('1-DATA'!$1:$1048576,IF(OR($B10="STD. DEVIATION",$C$1=1),$A10,$A10+1),COLUMN('1-DATA'!AK8)),IF($B10="STD. DEVIATION",2,$F$1))))</f>
        <v/>
      </c>
      <c r="AM10" s="1" t="str">
        <f>IF(OR($B10="",AM$7=""),"",IF($B10="MEANS",INDEX('1-DATA'!$1:$1048576,$A9-1,COLUMN('1-DATA'!AL8)),ROUND(INDEX('1-DATA'!$1:$1048576,IF(OR($B10="STD. DEVIATION",$C$1=1),$A10,$A10+1),COLUMN('1-DATA'!AL8)),IF($B10="STD. DEVIATION",2,$F$1))))</f>
        <v/>
      </c>
      <c r="AN10" s="1" t="str">
        <f>IF(OR($B10="",AN$7=""),"",IF($B10="MEANS",INDEX('1-DATA'!$1:$1048576,$A9-1,COLUMN('1-DATA'!AM8)),ROUND(INDEX('1-DATA'!$1:$1048576,IF(OR($B10="STD. DEVIATION",$C$1=1),$A10,$A10+1),COLUMN('1-DATA'!AM8)),IF($B10="STD. DEVIATION",2,$F$1))))</f>
        <v/>
      </c>
      <c r="AO10" s="1" t="str">
        <f>IF(OR($B10="",AO$7=""),"",IF($B10="MEANS",INDEX('1-DATA'!$1:$1048576,$A9-1,COLUMN('1-DATA'!AN8)),ROUND(INDEX('1-DATA'!$1:$1048576,IF(OR($B10="STD. DEVIATION",$C$1=1),$A10,$A10+1),COLUMN('1-DATA'!AN8)),IF($B10="STD. DEVIATION",2,$F$1))))</f>
        <v/>
      </c>
      <c r="AP10" s="1" t="str">
        <f>IF(OR($B10="",AP$7=""),"",IF($B10="MEANS",INDEX('1-DATA'!$1:$1048576,$A9-1,COLUMN('1-DATA'!AO8)),ROUND(INDEX('1-DATA'!$1:$1048576,IF(OR($B10="STD. DEVIATION",$C$1=1),$A10,$A10+1),COLUMN('1-DATA'!AO8)),IF($B10="STD. DEVIATION",2,$F$1))))</f>
        <v/>
      </c>
      <c r="AQ10" s="1" t="str">
        <f>IF(OR($B10="",AQ$7=""),"",IF($B10="MEANS",INDEX('1-DATA'!$1:$1048576,$A9-1,COLUMN('1-DATA'!AP8)),ROUND(INDEX('1-DATA'!$1:$1048576,IF(OR($B10="STD. DEVIATION",$C$1=1),$A10,$A10+1),COLUMN('1-DATA'!AP8)),IF($B10="STD. DEVIATION",2,$F$1))))</f>
        <v/>
      </c>
      <c r="AR10" s="1" t="str">
        <f>IF(OR($B10="",AR$7=""),"",IF($B10="MEANS",INDEX('1-DATA'!$1:$1048576,$A9-1,COLUMN('1-DATA'!AQ8)),ROUND(INDEX('1-DATA'!$1:$1048576,IF(OR($B10="STD. DEVIATION",$C$1=1),$A10,$A10+1),COLUMN('1-DATA'!AQ8)),IF($B10="STD. DEVIATION",2,$F$1))))</f>
        <v/>
      </c>
      <c r="AS10" s="1" t="str">
        <f>IF(OR($B10="",AS$7=""),"",IF($B10="MEANS",INDEX('1-DATA'!$1:$1048576,$A9-1,COLUMN('1-DATA'!AR8)),ROUND(INDEX('1-DATA'!$1:$1048576,IF(OR($B10="STD. DEVIATION",$C$1=1),$A10,$A10+1),COLUMN('1-DATA'!AR8)),IF($B10="STD. DEVIATION",2,$F$1))))</f>
        <v/>
      </c>
      <c r="AT10" s="1" t="str">
        <f>IF(OR($B10="",AT$7=""),"",IF($B10="MEANS",INDEX('1-DATA'!$1:$1048576,$A9-1,COLUMN('1-DATA'!AS8)),ROUND(INDEX('1-DATA'!$1:$1048576,IF(OR($B10="STD. DEVIATION",$C$1=1),$A10,$A10+1),COLUMN('1-DATA'!AS8)),IF($B10="STD. DEVIATION",2,$F$1))))</f>
        <v/>
      </c>
      <c r="AU10" s="1" t="str">
        <f>IF(OR($B10="",AU$7=""),"",IF($B10="MEANS",INDEX('1-DATA'!$1:$1048576,$A9-1,COLUMN('1-DATA'!AT8)),ROUND(INDEX('1-DATA'!$1:$1048576,IF(OR($B10="STD. DEVIATION",$C$1=1),$A10,$A10+1),COLUMN('1-DATA'!AT8)),IF($B10="STD. DEVIATION",2,$F$1))))</f>
        <v/>
      </c>
      <c r="AV10" s="1" t="str">
        <f>IF(OR($B10="",AV$7=""),"",IF($B10="MEANS",INDEX('1-DATA'!$1:$1048576,$A9-1,COLUMN('1-DATA'!AU8)),ROUND(INDEX('1-DATA'!$1:$1048576,IF(OR($B10="STD. DEVIATION",$C$1=1),$A10,$A10+1),COLUMN('1-DATA'!AU8)),IF($B10="STD. DEVIATION",2,$F$1))))</f>
        <v/>
      </c>
      <c r="AW10" s="1" t="str">
        <f>IF(OR($B10="",AW$7=""),"",IF($B10="MEANS",INDEX('1-DATA'!$1:$1048576,$A9-1,COLUMN('1-DATA'!AV8)),ROUND(INDEX('1-DATA'!$1:$1048576,IF(OR($B10="STD. DEVIATION",$C$1=1),$A10,$A10+1),COLUMN('1-DATA'!AV8)),IF($B10="STD. DEVIATION",2,$F$1))))</f>
        <v/>
      </c>
      <c r="AX10" s="1" t="str">
        <f>IF(OR($B10="",AX$7=""),"",IF($B10="MEANS",INDEX('1-DATA'!$1:$1048576,$A9-1,COLUMN('1-DATA'!AW8)),ROUND(INDEX('1-DATA'!$1:$1048576,IF(OR($B10="STD. DEVIATION",$C$1=1),$A10,$A10+1),COLUMN('1-DATA'!AW8)),IF($B10="STD. DEVIATION",2,$F$1))))</f>
        <v/>
      </c>
      <c r="AY10" s="1" t="str">
        <f>IF(OR($B10="",AY$7=""),"",IF($B10="MEANS",INDEX('1-DATA'!$1:$1048576,$A9-1,COLUMN('1-DATA'!AX8)),ROUND(INDEX('1-DATA'!$1:$1048576,IF(OR($B10="STD. DEVIATION",$C$1=1),$A10,$A10+1),COLUMN('1-DATA'!AX8)),IF($B10="STD. DEVIATION",2,$F$1))))</f>
        <v/>
      </c>
      <c r="AZ10" s="1" t="str">
        <f>IF(OR($B10="",AZ$7=""),"",IF($B10="MEANS",INDEX('1-DATA'!$1:$1048576,$A9-1,COLUMN('1-DATA'!AY8)),ROUND(INDEX('1-DATA'!$1:$1048576,IF(OR($B10="STD. DEVIATION",$C$1=1),$A10,$A10+1),COLUMN('1-DATA'!AY8)),IF($B10="STD. DEVIATION",2,$F$1))))</f>
        <v/>
      </c>
    </row>
    <row r="11" spans="1:52" x14ac:dyDescent="0.25">
      <c r="A11" s="11">
        <f t="shared" ref="A11:A27" si="0">A10+3</f>
        <v>19</v>
      </c>
      <c r="B11" s="1" t="str">
        <f>IF(B10="STD. DEVIATION",INDEX('1-DATA'!$1:$1048576,$A10-1,1),IF(INDEX('1-DATA'!$1:$1048576,$A11,1)&lt;&gt;"",INDEX('1-DATA'!$1:$1048576,$A11,1),""))</f>
        <v>Rat hai long</v>
      </c>
      <c r="C11" s="1">
        <f>IF(OR($B11="",C$7=""),"",IF($B11="MEANS",INDEX('1-DATA'!$1:$1048576,$A10-1,COLUMN('1-DATA'!B9)),ROUND(INDEX('1-DATA'!$1:$1048576,IF(OR($B11="STD. DEVIATION",$C$1=1),$A11,$A11+1),COLUMN('1-DATA'!B9)),IF($B11="STD. DEVIATION",2,$F$1))))</f>
        <v>68</v>
      </c>
      <c r="D11" s="1">
        <f>IF(OR($B11="",D$7=""),"",IF($B11="MEANS",INDEX('1-DATA'!$1:$1048576,$A10-1,COLUMN('1-DATA'!C9)),ROUND(INDEX('1-DATA'!$1:$1048576,IF(OR($B11="STD. DEVIATION",$C$1=1),$A11,$A11+1),COLUMN('1-DATA'!C9)),IF($B11="STD. DEVIATION",2,$F$1))))</f>
        <v>68</v>
      </c>
      <c r="E11" s="1">
        <f>IF(OR($B11="",E$7=""),"",IF($B11="MEANS",INDEX('1-DATA'!$1:$1048576,$A10-1,COLUMN('1-DATA'!D9)),ROUND(INDEX('1-DATA'!$1:$1048576,IF(OR($B11="STD. DEVIATION",$C$1=1),$A11,$A11+1),COLUMN('1-DATA'!D9)),IF($B11="STD. DEVIATION",2,$F$1))))</f>
        <v>55</v>
      </c>
      <c r="F11" s="1">
        <f>IF(OR($B11="",F$7=""),"",IF($B11="MEANS",INDEX('1-DATA'!$1:$1048576,$A10-1,COLUMN('1-DATA'!E9)),ROUND(INDEX('1-DATA'!$1:$1048576,IF(OR($B11="STD. DEVIATION",$C$1=1),$A11,$A11+1),COLUMN('1-DATA'!E9)),IF($B11="STD. DEVIATION",2,$F$1))))</f>
        <v>43</v>
      </c>
      <c r="G11" s="1">
        <f>IF(OR($B11="",G$7=""),"",IF($B11="MEANS",INDEX('1-DATA'!$1:$1048576,$A10-1,COLUMN('1-DATA'!F9)),ROUND(INDEX('1-DATA'!$1:$1048576,IF(OR($B11="STD. DEVIATION",$C$1=1),$A11,$A11+1),COLUMN('1-DATA'!F9)),IF($B11="STD. DEVIATION",2,$F$1))))</f>
        <v>33</v>
      </c>
      <c r="H11" s="1">
        <f>IF(OR($B11="",H$7=""),"",IF($B11="MEANS",INDEX('1-DATA'!$1:$1048576,$A10-1,COLUMN('1-DATA'!G9)),ROUND(INDEX('1-DATA'!$1:$1048576,IF(OR($B11="STD. DEVIATION",$C$1=1),$A11,$A11+1),COLUMN('1-DATA'!G9)),IF($B11="STD. DEVIATION",2,$F$1))))</f>
        <v>38</v>
      </c>
      <c r="I11" s="1">
        <f>IF(OR($B11="",I$7=""),"",IF($B11="MEANS",INDEX('1-DATA'!$1:$1048576,$A10-1,COLUMN('1-DATA'!H9)),ROUND(INDEX('1-DATA'!$1:$1048576,IF(OR($B11="STD. DEVIATION",$C$1=1),$A11,$A11+1),COLUMN('1-DATA'!H9)),IF($B11="STD. DEVIATION",2,$F$1))))</f>
        <v>27</v>
      </c>
      <c r="J11" s="1">
        <f>IF(OR($B11="",J$7=""),"",IF($B11="MEANS",INDEX('1-DATA'!$1:$1048576,$A10-1,COLUMN('1-DATA'!I9)),ROUND(INDEX('1-DATA'!$1:$1048576,IF(OR($B11="STD. DEVIATION",$C$1=1),$A11,$A11+1),COLUMN('1-DATA'!I9)),IF($B11="STD. DEVIATION",2,$F$1))))</f>
        <v>41</v>
      </c>
      <c r="K11" s="1">
        <f>IF(OR($B11="",K$7=""),"",IF($B11="MEANS",INDEX('1-DATA'!$1:$1048576,$A10-1,COLUMN('1-DATA'!J9)),ROUND(INDEX('1-DATA'!$1:$1048576,IF(OR($B11="STD. DEVIATION",$C$1=1),$A11,$A11+1),COLUMN('1-DATA'!J9)),IF($B11="STD. DEVIATION",2,$F$1))))</f>
        <v>50</v>
      </c>
      <c r="L11" s="1">
        <f>IF(OR($B11="",L$7=""),"",IF($B11="MEANS",INDEX('1-DATA'!$1:$1048576,$A10-1,COLUMN('1-DATA'!K9)),ROUND(INDEX('1-DATA'!$1:$1048576,IF(OR($B11="STD. DEVIATION",$C$1=1),$A11,$A11+1),COLUMN('1-DATA'!K9)),IF($B11="STD. DEVIATION",2,$F$1))))</f>
        <v>64</v>
      </c>
      <c r="M11" s="1">
        <f>IF(OR($B11="",M$7=""),"",IF($B11="MEANS",INDEX('1-DATA'!$1:$1048576,$A10-1,COLUMN('1-DATA'!L9)),ROUND(INDEX('1-DATA'!$1:$1048576,IF(OR($B11="STD. DEVIATION",$C$1=1),$A11,$A11+1),COLUMN('1-DATA'!L9)),IF($B11="STD. DEVIATION",2,$F$1))))</f>
        <v>46</v>
      </c>
      <c r="N11" s="1">
        <f>IF(OR($B11="",N$7=""),"",IF($B11="MEANS",INDEX('1-DATA'!$1:$1048576,$A10-1,COLUMN('1-DATA'!M9)),ROUND(INDEX('1-DATA'!$1:$1048576,IF(OR($B11="STD. DEVIATION",$C$1=1),$A11,$A11+1),COLUMN('1-DATA'!M9)),IF($B11="STD. DEVIATION",2,$F$1))))</f>
        <v>46</v>
      </c>
      <c r="O11" s="1">
        <f>IF(OR($B11="",O$7=""),"",IF($B11="MEANS",INDEX('1-DATA'!$1:$1048576,$A10-1,COLUMN('1-DATA'!N9)),ROUND(INDEX('1-DATA'!$1:$1048576,IF(OR($B11="STD. DEVIATION",$C$1=1),$A11,$A11+1),COLUMN('1-DATA'!N9)),IF($B11="STD. DEVIATION",2,$F$1))))</f>
        <v>36</v>
      </c>
      <c r="P11" s="1">
        <f>IF(OR($B11="",P$7=""),"",IF($B11="MEANS",INDEX('1-DATA'!$1:$1048576,$A10-1,COLUMN('1-DATA'!O9)),ROUND(INDEX('1-DATA'!$1:$1048576,IF(OR($B11="STD. DEVIATION",$C$1=1),$A11,$A11+1),COLUMN('1-DATA'!O9)),IF($B11="STD. DEVIATION",2,$F$1))))</f>
        <v>36</v>
      </c>
      <c r="Q11" s="1">
        <f>IF(OR($B11="",Q$7=""),"",IF($B11="MEANS",INDEX('1-DATA'!$1:$1048576,$A10-1,COLUMN('1-DATA'!P9)),ROUND(INDEX('1-DATA'!$1:$1048576,IF(OR($B11="STD. DEVIATION",$C$1=1),$A11,$A11+1),COLUMN('1-DATA'!P9)),IF($B11="STD. DEVIATION",2,$F$1))))</f>
        <v>50</v>
      </c>
      <c r="R11" s="1">
        <f>IF(OR($B11="",R$7=""),"",IF($B11="MEANS",INDEX('1-DATA'!$1:$1048576,$A10-1,COLUMN('1-DATA'!Q9)),ROUND(INDEX('1-DATA'!$1:$1048576,IF(OR($B11="STD. DEVIATION",$C$1=1),$A11,$A11+1),COLUMN('1-DATA'!Q9)),IF($B11="STD. DEVIATION",2,$F$1))))</f>
        <v>55</v>
      </c>
      <c r="S11" s="1">
        <f>IF(OR($B11="",S$7=""),"",IF($B11="MEANS",INDEX('1-DATA'!$1:$1048576,$A10-1,COLUMN('1-DATA'!R9)),ROUND(INDEX('1-DATA'!$1:$1048576,IF(OR($B11="STD. DEVIATION",$C$1=1),$A11,$A11+1),COLUMN('1-DATA'!R9)),IF($B11="STD. DEVIATION",2,$F$1))))</f>
        <v>64</v>
      </c>
      <c r="T11" s="1">
        <f>IF(OR($B11="",T$7=""),"",IF($B11="MEANS",INDEX('1-DATA'!$1:$1048576,$A10-1,COLUMN('1-DATA'!S9)),ROUND(INDEX('1-DATA'!$1:$1048576,IF(OR($B11="STD. DEVIATION",$C$1=1),$A11,$A11+1),COLUMN('1-DATA'!S9)),IF($B11="STD. DEVIATION",2,$F$1))))</f>
        <v>46</v>
      </c>
      <c r="U11" s="1">
        <f>IF(OR($B11="",U$7=""),"",IF($B11="MEANS",INDEX('1-DATA'!$1:$1048576,$A10-1,COLUMN('1-DATA'!T9)),ROUND(INDEX('1-DATA'!$1:$1048576,IF(OR($B11="STD. DEVIATION",$C$1=1),$A11,$A11+1),COLUMN('1-DATA'!T9)),IF($B11="STD. DEVIATION",2,$F$1))))</f>
        <v>23</v>
      </c>
      <c r="V11" s="1">
        <f>IF(OR($B11="",V$7=""),"",IF($B11="MEANS",INDEX('1-DATA'!$1:$1048576,$A10-1,COLUMN('1-DATA'!U9)),ROUND(INDEX('1-DATA'!$1:$1048576,IF(OR($B11="STD. DEVIATION",$C$1=1),$A11,$A11+1),COLUMN('1-DATA'!U9)),IF($B11="STD. DEVIATION",2,$F$1))))</f>
        <v>36</v>
      </c>
      <c r="W11" s="1">
        <f>IF(OR($B11="",W$7=""),"",IF($B11="MEANS",INDEX('1-DATA'!$1:$1048576,$A10-1,COLUMN('1-DATA'!V9)),ROUND(INDEX('1-DATA'!$1:$1048576,IF(OR($B11="STD. DEVIATION",$C$1=1),$A11,$A11+1),COLUMN('1-DATA'!V9)),IF($B11="STD. DEVIATION",2,$F$1))))</f>
        <v>64</v>
      </c>
      <c r="X11" s="1">
        <f>IF(OR($B11="",X$7=""),"",IF($B11="MEANS",INDEX('1-DATA'!$1:$1048576,$A10-1,COLUMN('1-DATA'!W9)),ROUND(INDEX('1-DATA'!$1:$1048576,IF(OR($B11="STD. DEVIATION",$C$1=1),$A11,$A11+1),COLUMN('1-DATA'!W9)),IF($B11="STD. DEVIATION",2,$F$1))))</f>
        <v>68</v>
      </c>
      <c r="Y11" s="1">
        <f>IF(OR($B11="",Y$7=""),"",IF($B11="MEANS",INDEX('1-DATA'!$1:$1048576,$A10-1,COLUMN('1-DATA'!X9)),ROUND(INDEX('1-DATA'!$1:$1048576,IF(OR($B11="STD. DEVIATION",$C$1=1),$A11,$A11+1),COLUMN('1-DATA'!X9)),IF($B11="STD. DEVIATION",2,$F$1))))</f>
        <v>46</v>
      </c>
      <c r="Z11" s="1">
        <f>IF(OR($B11="",Z$7=""),"",IF($B11="MEANS",INDEX('1-DATA'!$1:$1048576,$A10-1,COLUMN('1-DATA'!Y9)),ROUND(INDEX('1-DATA'!$1:$1048576,IF(OR($B11="STD. DEVIATION",$C$1=1),$A11,$A11+1),COLUMN('1-DATA'!Y9)),IF($B11="STD. DEVIATION",2,$F$1))))</f>
        <v>64</v>
      </c>
      <c r="AA11" s="1">
        <f>IF(OR($B11="",AA$7=""),"",IF($B11="MEANS",INDEX('1-DATA'!$1:$1048576,$A10-1,COLUMN('1-DATA'!Z9)),ROUND(INDEX('1-DATA'!$1:$1048576,IF(OR($B11="STD. DEVIATION",$C$1=1),$A11,$A11+1),COLUMN('1-DATA'!Z9)),IF($B11="STD. DEVIATION",2,$F$1))))</f>
        <v>40</v>
      </c>
      <c r="AB11" s="1" t="str">
        <f>IF(OR($B11="",AB$7=""),"",IF($B11="MEANS",INDEX('1-DATA'!$1:$1048576,$A10-1,COLUMN('1-DATA'!AA9)),ROUND(INDEX('1-DATA'!$1:$1048576,IF(OR($B11="STD. DEVIATION",$C$1=1),$A11,$A11+1),COLUMN('1-DATA'!AA9)),IF($B11="STD. DEVIATION",2,$F$1))))</f>
        <v/>
      </c>
      <c r="AC11" s="1" t="str">
        <f>IF(OR($B11="",AC$7=""),"",IF($B11="MEANS",INDEX('1-DATA'!$1:$1048576,$A10-1,COLUMN('1-DATA'!AB9)),ROUND(INDEX('1-DATA'!$1:$1048576,IF(OR($B11="STD. DEVIATION",$C$1=1),$A11,$A11+1),COLUMN('1-DATA'!AB9)),IF($B11="STD. DEVIATION",2,$F$1))))</f>
        <v/>
      </c>
      <c r="AD11" s="1" t="str">
        <f>IF(OR($B11="",AD$7=""),"",IF($B11="MEANS",INDEX('1-DATA'!$1:$1048576,$A10-1,COLUMN('1-DATA'!AC9)),ROUND(INDEX('1-DATA'!$1:$1048576,IF(OR($B11="STD. DEVIATION",$C$1=1),$A11,$A11+1),COLUMN('1-DATA'!AC9)),IF($B11="STD. DEVIATION",2,$F$1))))</f>
        <v/>
      </c>
      <c r="AE11" s="1" t="str">
        <f>IF(OR($B11="",AE$7=""),"",IF($B11="MEANS",INDEX('1-DATA'!$1:$1048576,$A10-1,COLUMN('1-DATA'!AD9)),ROUND(INDEX('1-DATA'!$1:$1048576,IF(OR($B11="STD. DEVIATION",$C$1=1),$A11,$A11+1),COLUMN('1-DATA'!AD9)),IF($B11="STD. DEVIATION",2,$F$1))))</f>
        <v/>
      </c>
      <c r="AF11" s="1" t="str">
        <f>IF(OR($B11="",AF$7=""),"",IF($B11="MEANS",INDEX('1-DATA'!$1:$1048576,$A10-1,COLUMN('1-DATA'!AE9)),ROUND(INDEX('1-DATA'!$1:$1048576,IF(OR($B11="STD. DEVIATION",$C$1=1),$A11,$A11+1),COLUMN('1-DATA'!AE9)),IF($B11="STD. DEVIATION",2,$F$1))))</f>
        <v/>
      </c>
      <c r="AG11" s="1" t="str">
        <f>IF(OR($B11="",AG$7=""),"",IF($B11="MEANS",INDEX('1-DATA'!$1:$1048576,$A10-1,COLUMN('1-DATA'!AF9)),ROUND(INDEX('1-DATA'!$1:$1048576,IF(OR($B11="STD. DEVIATION",$C$1=1),$A11,$A11+1),COLUMN('1-DATA'!AF9)),IF($B11="STD. DEVIATION",2,$F$1))))</f>
        <v/>
      </c>
      <c r="AH11" s="1" t="str">
        <f>IF(OR($B11="",AH$7=""),"",IF($B11="MEANS",INDEX('1-DATA'!$1:$1048576,$A10-1,COLUMN('1-DATA'!AG9)),ROUND(INDEX('1-DATA'!$1:$1048576,IF(OR($B11="STD. DEVIATION",$C$1=1),$A11,$A11+1),COLUMN('1-DATA'!AG9)),IF($B11="STD. DEVIATION",2,$F$1))))</f>
        <v/>
      </c>
      <c r="AI11" s="1" t="str">
        <f>IF(OR($B11="",AI$7=""),"",IF($B11="MEANS",INDEX('1-DATA'!$1:$1048576,$A10-1,COLUMN('1-DATA'!AH9)),ROUND(INDEX('1-DATA'!$1:$1048576,IF(OR($B11="STD. DEVIATION",$C$1=1),$A11,$A11+1),COLUMN('1-DATA'!AH9)),IF($B11="STD. DEVIATION",2,$F$1))))</f>
        <v/>
      </c>
      <c r="AJ11" s="1" t="str">
        <f>IF(OR($B11="",AJ$7=""),"",IF($B11="MEANS",INDEX('1-DATA'!$1:$1048576,$A10-1,COLUMN('1-DATA'!AI9)),ROUND(INDEX('1-DATA'!$1:$1048576,IF(OR($B11="STD. DEVIATION",$C$1=1),$A11,$A11+1),COLUMN('1-DATA'!AI9)),IF($B11="STD. DEVIATION",2,$F$1))))</f>
        <v/>
      </c>
      <c r="AK11" s="1" t="str">
        <f>IF(OR($B11="",AK$7=""),"",IF($B11="MEANS",INDEX('1-DATA'!$1:$1048576,$A10-1,COLUMN('1-DATA'!AJ9)),ROUND(INDEX('1-DATA'!$1:$1048576,IF(OR($B11="STD. DEVIATION",$C$1=1),$A11,$A11+1),COLUMN('1-DATA'!AJ9)),IF($B11="STD. DEVIATION",2,$F$1))))</f>
        <v/>
      </c>
      <c r="AL11" s="1" t="str">
        <f>IF(OR($B11="",AL$7=""),"",IF($B11="MEANS",INDEX('1-DATA'!$1:$1048576,$A10-1,COLUMN('1-DATA'!AK9)),ROUND(INDEX('1-DATA'!$1:$1048576,IF(OR($B11="STD. DEVIATION",$C$1=1),$A11,$A11+1),COLUMN('1-DATA'!AK9)),IF($B11="STD. DEVIATION",2,$F$1))))</f>
        <v/>
      </c>
      <c r="AM11" s="1" t="str">
        <f>IF(OR($B11="",AM$7=""),"",IF($B11="MEANS",INDEX('1-DATA'!$1:$1048576,$A10-1,COLUMN('1-DATA'!AL9)),ROUND(INDEX('1-DATA'!$1:$1048576,IF(OR($B11="STD. DEVIATION",$C$1=1),$A11,$A11+1),COLUMN('1-DATA'!AL9)),IF($B11="STD. DEVIATION",2,$F$1))))</f>
        <v/>
      </c>
      <c r="AN11" s="1" t="str">
        <f>IF(OR($B11="",AN$7=""),"",IF($B11="MEANS",INDEX('1-DATA'!$1:$1048576,$A10-1,COLUMN('1-DATA'!AM9)),ROUND(INDEX('1-DATA'!$1:$1048576,IF(OR($B11="STD. DEVIATION",$C$1=1),$A11,$A11+1),COLUMN('1-DATA'!AM9)),IF($B11="STD. DEVIATION",2,$F$1))))</f>
        <v/>
      </c>
      <c r="AO11" s="1" t="str">
        <f>IF(OR($B11="",AO$7=""),"",IF($B11="MEANS",INDEX('1-DATA'!$1:$1048576,$A10-1,COLUMN('1-DATA'!AN9)),ROUND(INDEX('1-DATA'!$1:$1048576,IF(OR($B11="STD. DEVIATION",$C$1=1),$A11,$A11+1),COLUMN('1-DATA'!AN9)),IF($B11="STD. DEVIATION",2,$F$1))))</f>
        <v/>
      </c>
      <c r="AP11" s="1" t="str">
        <f>IF(OR($B11="",AP$7=""),"",IF($B11="MEANS",INDEX('1-DATA'!$1:$1048576,$A10-1,COLUMN('1-DATA'!AO9)),ROUND(INDEX('1-DATA'!$1:$1048576,IF(OR($B11="STD. DEVIATION",$C$1=1),$A11,$A11+1),COLUMN('1-DATA'!AO9)),IF($B11="STD. DEVIATION",2,$F$1))))</f>
        <v/>
      </c>
      <c r="AQ11" s="1" t="str">
        <f>IF(OR($B11="",AQ$7=""),"",IF($B11="MEANS",INDEX('1-DATA'!$1:$1048576,$A10-1,COLUMN('1-DATA'!AP9)),ROUND(INDEX('1-DATA'!$1:$1048576,IF(OR($B11="STD. DEVIATION",$C$1=1),$A11,$A11+1),COLUMN('1-DATA'!AP9)),IF($B11="STD. DEVIATION",2,$F$1))))</f>
        <v/>
      </c>
      <c r="AR11" s="1" t="str">
        <f>IF(OR($B11="",AR$7=""),"",IF($B11="MEANS",INDEX('1-DATA'!$1:$1048576,$A10-1,COLUMN('1-DATA'!AQ9)),ROUND(INDEX('1-DATA'!$1:$1048576,IF(OR($B11="STD. DEVIATION",$C$1=1),$A11,$A11+1),COLUMN('1-DATA'!AQ9)),IF($B11="STD. DEVIATION",2,$F$1))))</f>
        <v/>
      </c>
      <c r="AS11" s="1" t="str">
        <f>IF(OR($B11="",AS$7=""),"",IF($B11="MEANS",INDEX('1-DATA'!$1:$1048576,$A10-1,COLUMN('1-DATA'!AR9)),ROUND(INDEX('1-DATA'!$1:$1048576,IF(OR($B11="STD. DEVIATION",$C$1=1),$A11,$A11+1),COLUMN('1-DATA'!AR9)),IF($B11="STD. DEVIATION",2,$F$1))))</f>
        <v/>
      </c>
      <c r="AT11" s="1" t="str">
        <f>IF(OR($B11="",AT$7=""),"",IF($B11="MEANS",INDEX('1-DATA'!$1:$1048576,$A10-1,COLUMN('1-DATA'!AS9)),ROUND(INDEX('1-DATA'!$1:$1048576,IF(OR($B11="STD. DEVIATION",$C$1=1),$A11,$A11+1),COLUMN('1-DATA'!AS9)),IF($B11="STD. DEVIATION",2,$F$1))))</f>
        <v/>
      </c>
      <c r="AU11" s="1" t="str">
        <f>IF(OR($B11="",AU$7=""),"",IF($B11="MEANS",INDEX('1-DATA'!$1:$1048576,$A10-1,COLUMN('1-DATA'!AT9)),ROUND(INDEX('1-DATA'!$1:$1048576,IF(OR($B11="STD. DEVIATION",$C$1=1),$A11,$A11+1),COLUMN('1-DATA'!AT9)),IF($B11="STD. DEVIATION",2,$F$1))))</f>
        <v/>
      </c>
      <c r="AV11" s="1" t="str">
        <f>IF(OR($B11="",AV$7=""),"",IF($B11="MEANS",INDEX('1-DATA'!$1:$1048576,$A10-1,COLUMN('1-DATA'!AU9)),ROUND(INDEX('1-DATA'!$1:$1048576,IF(OR($B11="STD. DEVIATION",$C$1=1),$A11,$A11+1),COLUMN('1-DATA'!AU9)),IF($B11="STD. DEVIATION",2,$F$1))))</f>
        <v/>
      </c>
      <c r="AW11" s="1" t="str">
        <f>IF(OR($B11="",AW$7=""),"",IF($B11="MEANS",INDEX('1-DATA'!$1:$1048576,$A10-1,COLUMN('1-DATA'!AV9)),ROUND(INDEX('1-DATA'!$1:$1048576,IF(OR($B11="STD. DEVIATION",$C$1=1),$A11,$A11+1),COLUMN('1-DATA'!AV9)),IF($B11="STD. DEVIATION",2,$F$1))))</f>
        <v/>
      </c>
      <c r="AX11" s="1" t="str">
        <f>IF(OR($B11="",AX$7=""),"",IF($B11="MEANS",INDEX('1-DATA'!$1:$1048576,$A10-1,COLUMN('1-DATA'!AW9)),ROUND(INDEX('1-DATA'!$1:$1048576,IF(OR($B11="STD. DEVIATION",$C$1=1),$A11,$A11+1),COLUMN('1-DATA'!AW9)),IF($B11="STD. DEVIATION",2,$F$1))))</f>
        <v/>
      </c>
      <c r="AY11" s="1" t="str">
        <f>IF(OR($B11="",AY$7=""),"",IF($B11="MEANS",INDEX('1-DATA'!$1:$1048576,$A10-1,COLUMN('1-DATA'!AX9)),ROUND(INDEX('1-DATA'!$1:$1048576,IF(OR($B11="STD. DEVIATION",$C$1=1),$A11,$A11+1),COLUMN('1-DATA'!AX9)),IF($B11="STD. DEVIATION",2,$F$1))))</f>
        <v/>
      </c>
      <c r="AZ11" s="1" t="str">
        <f>IF(OR($B11="",AZ$7=""),"",IF($B11="MEANS",INDEX('1-DATA'!$1:$1048576,$A10-1,COLUMN('1-DATA'!AY9)),ROUND(INDEX('1-DATA'!$1:$1048576,IF(OR($B11="STD. DEVIATION",$C$1=1),$A11,$A11+1),COLUMN('1-DATA'!AY9)),IF($B11="STD. DEVIATION",2,$F$1))))</f>
        <v/>
      </c>
    </row>
    <row r="12" spans="1:52" x14ac:dyDescent="0.25">
      <c r="A12" s="11">
        <f t="shared" si="0"/>
        <v>22</v>
      </c>
      <c r="B12" s="1" t="str">
        <f>IF(B11="STD. DEVIATION",INDEX('1-DATA'!$1:$1048576,$A11-1,1),IF(INDEX('1-DATA'!$1:$1048576,$A12,1)&lt;&gt;"",INDEX('1-DATA'!$1:$1048576,$A12,1),""))</f>
        <v>TB</v>
      </c>
      <c r="C12" s="1">
        <f>IF(OR($B12="",C$7=""),"",IF($B12="MEANS",INDEX('1-DATA'!$1:$1048576,$A11-1,COLUMN('1-DATA'!B10)),ROUND(INDEX('1-DATA'!$1:$1048576,IF(OR($B12="STD. DEVIATION",$C$1=1),$A12,$A12+1),COLUMN('1-DATA'!B10)),IF($B12="STD. DEVIATION",2,$F$1))))</f>
        <v>68</v>
      </c>
      <c r="D12" s="1">
        <f>IF(OR($B12="",D$7=""),"",IF($B12="MEANS",INDEX('1-DATA'!$1:$1048576,$A11-1,COLUMN('1-DATA'!C10)),ROUND(INDEX('1-DATA'!$1:$1048576,IF(OR($B12="STD. DEVIATION",$C$1=1),$A12,$A12+1),COLUMN('1-DATA'!C10)),IF($B12="STD. DEVIATION",2,$F$1))))</f>
        <v>68</v>
      </c>
      <c r="E12" s="1">
        <f>IF(OR($B12="",E$7=""),"",IF($B12="MEANS",INDEX('1-DATA'!$1:$1048576,$A11-1,COLUMN('1-DATA'!D10)),ROUND(INDEX('1-DATA'!$1:$1048576,IF(OR($B12="STD. DEVIATION",$C$1=1),$A12,$A12+1),COLUMN('1-DATA'!D10)),IF($B12="STD. DEVIATION",2,$F$1))))</f>
        <v>55</v>
      </c>
      <c r="F12" s="1">
        <f>IF(OR($B12="",F$7=""),"",IF($B12="MEANS",INDEX('1-DATA'!$1:$1048576,$A11-1,COLUMN('1-DATA'!E10)),ROUND(INDEX('1-DATA'!$1:$1048576,IF(OR($B12="STD. DEVIATION",$C$1=1),$A12,$A12+1),COLUMN('1-DATA'!E10)),IF($B12="STD. DEVIATION",2,$F$1))))</f>
        <v>43</v>
      </c>
      <c r="G12" s="1">
        <f>IF(OR($B12="",G$7=""),"",IF($B12="MEANS",INDEX('1-DATA'!$1:$1048576,$A11-1,COLUMN('1-DATA'!F10)),ROUND(INDEX('1-DATA'!$1:$1048576,IF(OR($B12="STD. DEVIATION",$C$1=1),$A12,$A12+1),COLUMN('1-DATA'!F10)),IF($B12="STD. DEVIATION",2,$F$1))))</f>
        <v>33</v>
      </c>
      <c r="H12" s="1">
        <f>IF(OR($B12="",H$7=""),"",IF($B12="MEANS",INDEX('1-DATA'!$1:$1048576,$A11-1,COLUMN('1-DATA'!G10)),ROUND(INDEX('1-DATA'!$1:$1048576,IF(OR($B12="STD. DEVIATION",$C$1=1),$A12,$A12+1),COLUMN('1-DATA'!G10)),IF($B12="STD. DEVIATION",2,$F$1))))</f>
        <v>38</v>
      </c>
      <c r="I12" s="1">
        <f>IF(OR($B12="",I$7=""),"",IF($B12="MEANS",INDEX('1-DATA'!$1:$1048576,$A11-1,COLUMN('1-DATA'!H10)),ROUND(INDEX('1-DATA'!$1:$1048576,IF(OR($B12="STD. DEVIATION",$C$1=1),$A12,$A12+1),COLUMN('1-DATA'!H10)),IF($B12="STD. DEVIATION",2,$F$1))))</f>
        <v>27</v>
      </c>
      <c r="J12" s="1">
        <f>IF(OR($B12="",J$7=""),"",IF($B12="MEANS",INDEX('1-DATA'!$1:$1048576,$A11-1,COLUMN('1-DATA'!I10)),ROUND(INDEX('1-DATA'!$1:$1048576,IF(OR($B12="STD. DEVIATION",$C$1=1),$A12,$A12+1),COLUMN('1-DATA'!I10)),IF($B12="STD. DEVIATION",2,$F$1))))</f>
        <v>41</v>
      </c>
      <c r="K12" s="1">
        <f>IF(OR($B12="",K$7=""),"",IF($B12="MEANS",INDEX('1-DATA'!$1:$1048576,$A11-1,COLUMN('1-DATA'!J10)),ROUND(INDEX('1-DATA'!$1:$1048576,IF(OR($B12="STD. DEVIATION",$C$1=1),$A12,$A12+1),COLUMN('1-DATA'!J10)),IF($B12="STD. DEVIATION",2,$F$1))))</f>
        <v>50</v>
      </c>
      <c r="L12" s="1">
        <f>IF(OR($B12="",L$7=""),"",IF($B12="MEANS",INDEX('1-DATA'!$1:$1048576,$A11-1,COLUMN('1-DATA'!K10)),ROUND(INDEX('1-DATA'!$1:$1048576,IF(OR($B12="STD. DEVIATION",$C$1=1),$A12,$A12+1),COLUMN('1-DATA'!K10)),IF($B12="STD. DEVIATION",2,$F$1))))</f>
        <v>64</v>
      </c>
      <c r="M12" s="1">
        <f>IF(OR($B12="",M$7=""),"",IF($B12="MEANS",INDEX('1-DATA'!$1:$1048576,$A11-1,COLUMN('1-DATA'!L10)),ROUND(INDEX('1-DATA'!$1:$1048576,IF(OR($B12="STD. DEVIATION",$C$1=1),$A12,$A12+1),COLUMN('1-DATA'!L10)),IF($B12="STD. DEVIATION",2,$F$1))))</f>
        <v>46</v>
      </c>
      <c r="N12" s="1">
        <f>IF(OR($B12="",N$7=""),"",IF($B12="MEANS",INDEX('1-DATA'!$1:$1048576,$A11-1,COLUMN('1-DATA'!M10)),ROUND(INDEX('1-DATA'!$1:$1048576,IF(OR($B12="STD. DEVIATION",$C$1=1),$A12,$A12+1),COLUMN('1-DATA'!M10)),IF($B12="STD. DEVIATION",2,$F$1))))</f>
        <v>46</v>
      </c>
      <c r="O12" s="1">
        <f>IF(OR($B12="",O$7=""),"",IF($B12="MEANS",INDEX('1-DATA'!$1:$1048576,$A11-1,COLUMN('1-DATA'!N10)),ROUND(INDEX('1-DATA'!$1:$1048576,IF(OR($B12="STD. DEVIATION",$C$1=1),$A12,$A12+1),COLUMN('1-DATA'!N10)),IF($B12="STD. DEVIATION",2,$F$1))))</f>
        <v>36</v>
      </c>
      <c r="P12" s="1">
        <f>IF(OR($B12="",P$7=""),"",IF($B12="MEANS",INDEX('1-DATA'!$1:$1048576,$A11-1,COLUMN('1-DATA'!O10)),ROUND(INDEX('1-DATA'!$1:$1048576,IF(OR($B12="STD. DEVIATION",$C$1=1),$A12,$A12+1),COLUMN('1-DATA'!O10)),IF($B12="STD. DEVIATION",2,$F$1))))</f>
        <v>36</v>
      </c>
      <c r="Q12" s="1">
        <f>IF(OR($B12="",Q$7=""),"",IF($B12="MEANS",INDEX('1-DATA'!$1:$1048576,$A11-1,COLUMN('1-DATA'!P10)),ROUND(INDEX('1-DATA'!$1:$1048576,IF(OR($B12="STD. DEVIATION",$C$1=1),$A12,$A12+1),COLUMN('1-DATA'!P10)),IF($B12="STD. DEVIATION",2,$F$1))))</f>
        <v>50</v>
      </c>
      <c r="R12" s="1">
        <f>IF(OR($B12="",R$7=""),"",IF($B12="MEANS",INDEX('1-DATA'!$1:$1048576,$A11-1,COLUMN('1-DATA'!Q10)),ROUND(INDEX('1-DATA'!$1:$1048576,IF(OR($B12="STD. DEVIATION",$C$1=1),$A12,$A12+1),COLUMN('1-DATA'!Q10)),IF($B12="STD. DEVIATION",2,$F$1))))</f>
        <v>55</v>
      </c>
      <c r="S12" s="1">
        <f>IF(OR($B12="",S$7=""),"",IF($B12="MEANS",INDEX('1-DATA'!$1:$1048576,$A11-1,COLUMN('1-DATA'!R10)),ROUND(INDEX('1-DATA'!$1:$1048576,IF(OR($B12="STD. DEVIATION",$C$1=1),$A12,$A12+1),COLUMN('1-DATA'!R10)),IF($B12="STD. DEVIATION",2,$F$1))))</f>
        <v>64</v>
      </c>
      <c r="T12" s="1">
        <f>IF(OR($B12="",T$7=""),"",IF($B12="MEANS",INDEX('1-DATA'!$1:$1048576,$A11-1,COLUMN('1-DATA'!S10)),ROUND(INDEX('1-DATA'!$1:$1048576,IF(OR($B12="STD. DEVIATION",$C$1=1),$A12,$A12+1),COLUMN('1-DATA'!S10)),IF($B12="STD. DEVIATION",2,$F$1))))</f>
        <v>46</v>
      </c>
      <c r="U12" s="1">
        <f>IF(OR($B12="",U$7=""),"",IF($B12="MEANS",INDEX('1-DATA'!$1:$1048576,$A11-1,COLUMN('1-DATA'!T10)),ROUND(INDEX('1-DATA'!$1:$1048576,IF(OR($B12="STD. DEVIATION",$C$1=1),$A12,$A12+1),COLUMN('1-DATA'!T10)),IF($B12="STD. DEVIATION",2,$F$1))))</f>
        <v>23</v>
      </c>
      <c r="V12" s="1">
        <f>IF(OR($B12="",V$7=""),"",IF($B12="MEANS",INDEX('1-DATA'!$1:$1048576,$A11-1,COLUMN('1-DATA'!U10)),ROUND(INDEX('1-DATA'!$1:$1048576,IF(OR($B12="STD. DEVIATION",$C$1=1),$A12,$A12+1),COLUMN('1-DATA'!U10)),IF($B12="STD. DEVIATION",2,$F$1))))</f>
        <v>36</v>
      </c>
      <c r="W12" s="1">
        <f>IF(OR($B12="",W$7=""),"",IF($B12="MEANS",INDEX('1-DATA'!$1:$1048576,$A11-1,COLUMN('1-DATA'!V10)),ROUND(INDEX('1-DATA'!$1:$1048576,IF(OR($B12="STD. DEVIATION",$C$1=1),$A12,$A12+1),COLUMN('1-DATA'!V10)),IF($B12="STD. DEVIATION",2,$F$1))))</f>
        <v>64</v>
      </c>
      <c r="X12" s="1">
        <f>IF(OR($B12="",X$7=""),"",IF($B12="MEANS",INDEX('1-DATA'!$1:$1048576,$A11-1,COLUMN('1-DATA'!W10)),ROUND(INDEX('1-DATA'!$1:$1048576,IF(OR($B12="STD. DEVIATION",$C$1=1),$A12,$A12+1),COLUMN('1-DATA'!W10)),IF($B12="STD. DEVIATION",2,$F$1))))</f>
        <v>68</v>
      </c>
      <c r="Y12" s="1">
        <f>IF(OR($B12="",Y$7=""),"",IF($B12="MEANS",INDEX('1-DATA'!$1:$1048576,$A11-1,COLUMN('1-DATA'!X10)),ROUND(INDEX('1-DATA'!$1:$1048576,IF(OR($B12="STD. DEVIATION",$C$1=1),$A12,$A12+1),COLUMN('1-DATA'!X10)),IF($B12="STD. DEVIATION",2,$F$1))))</f>
        <v>46</v>
      </c>
      <c r="Z12" s="1">
        <f>IF(OR($B12="",Z$7=""),"",IF($B12="MEANS",INDEX('1-DATA'!$1:$1048576,$A11-1,COLUMN('1-DATA'!Y10)),ROUND(INDEX('1-DATA'!$1:$1048576,IF(OR($B12="STD. DEVIATION",$C$1=1),$A12,$A12+1),COLUMN('1-DATA'!Y10)),IF($B12="STD. DEVIATION",2,$F$1))))</f>
        <v>64</v>
      </c>
      <c r="AA12" s="1">
        <f>IF(OR($B12="",AA$7=""),"",IF($B12="MEANS",INDEX('1-DATA'!$1:$1048576,$A11-1,COLUMN('1-DATA'!Z10)),ROUND(INDEX('1-DATA'!$1:$1048576,IF(OR($B12="STD. DEVIATION",$C$1=1),$A12,$A12+1),COLUMN('1-DATA'!Z10)),IF($B12="STD. DEVIATION",2,$F$1))))</f>
        <v>40</v>
      </c>
      <c r="AB12" s="1" t="str">
        <f>IF(OR($B12="",AB$7=""),"",IF($B12="MEANS",INDEX('1-DATA'!$1:$1048576,$A11-1,COLUMN('1-DATA'!AA10)),ROUND(INDEX('1-DATA'!$1:$1048576,IF(OR($B12="STD. DEVIATION",$C$1=1),$A12,$A12+1),COLUMN('1-DATA'!AA10)),IF($B12="STD. DEVIATION",2,$F$1))))</f>
        <v/>
      </c>
      <c r="AC12" s="1" t="str">
        <f>IF(OR($B12="",AC$7=""),"",IF($B12="MEANS",INDEX('1-DATA'!$1:$1048576,$A11-1,COLUMN('1-DATA'!AB10)),ROUND(INDEX('1-DATA'!$1:$1048576,IF(OR($B12="STD. DEVIATION",$C$1=1),$A12,$A12+1),COLUMN('1-DATA'!AB10)),IF($B12="STD. DEVIATION",2,$F$1))))</f>
        <v/>
      </c>
      <c r="AD12" s="1" t="str">
        <f>IF(OR($B12="",AD$7=""),"",IF($B12="MEANS",INDEX('1-DATA'!$1:$1048576,$A11-1,COLUMN('1-DATA'!AC10)),ROUND(INDEX('1-DATA'!$1:$1048576,IF(OR($B12="STD. DEVIATION",$C$1=1),$A12,$A12+1),COLUMN('1-DATA'!AC10)),IF($B12="STD. DEVIATION",2,$F$1))))</f>
        <v/>
      </c>
      <c r="AE12" s="1" t="str">
        <f>IF(OR($B12="",AE$7=""),"",IF($B12="MEANS",INDEX('1-DATA'!$1:$1048576,$A11-1,COLUMN('1-DATA'!AD10)),ROUND(INDEX('1-DATA'!$1:$1048576,IF(OR($B12="STD. DEVIATION",$C$1=1),$A12,$A12+1),COLUMN('1-DATA'!AD10)),IF($B12="STD. DEVIATION",2,$F$1))))</f>
        <v/>
      </c>
      <c r="AF12" s="1" t="str">
        <f>IF(OR($B12="",AF$7=""),"",IF($B12="MEANS",INDEX('1-DATA'!$1:$1048576,$A11-1,COLUMN('1-DATA'!AE10)),ROUND(INDEX('1-DATA'!$1:$1048576,IF(OR($B12="STD. DEVIATION",$C$1=1),$A12,$A12+1),COLUMN('1-DATA'!AE10)),IF($B12="STD. DEVIATION",2,$F$1))))</f>
        <v/>
      </c>
      <c r="AG12" s="1" t="str">
        <f>IF(OR($B12="",AG$7=""),"",IF($B12="MEANS",INDEX('1-DATA'!$1:$1048576,$A11-1,COLUMN('1-DATA'!AF10)),ROUND(INDEX('1-DATA'!$1:$1048576,IF(OR($B12="STD. DEVIATION",$C$1=1),$A12,$A12+1),COLUMN('1-DATA'!AF10)),IF($B12="STD. DEVIATION",2,$F$1))))</f>
        <v/>
      </c>
      <c r="AH12" s="1" t="str">
        <f>IF(OR($B12="",AH$7=""),"",IF($B12="MEANS",INDEX('1-DATA'!$1:$1048576,$A11-1,COLUMN('1-DATA'!AG10)),ROUND(INDEX('1-DATA'!$1:$1048576,IF(OR($B12="STD. DEVIATION",$C$1=1),$A12,$A12+1),COLUMN('1-DATA'!AG10)),IF($B12="STD. DEVIATION",2,$F$1))))</f>
        <v/>
      </c>
      <c r="AI12" s="1" t="str">
        <f>IF(OR($B12="",AI$7=""),"",IF($B12="MEANS",INDEX('1-DATA'!$1:$1048576,$A11-1,COLUMN('1-DATA'!AH10)),ROUND(INDEX('1-DATA'!$1:$1048576,IF(OR($B12="STD. DEVIATION",$C$1=1),$A12,$A12+1),COLUMN('1-DATA'!AH10)),IF($B12="STD. DEVIATION",2,$F$1))))</f>
        <v/>
      </c>
      <c r="AJ12" s="1" t="str">
        <f>IF(OR($B12="",AJ$7=""),"",IF($B12="MEANS",INDEX('1-DATA'!$1:$1048576,$A11-1,COLUMN('1-DATA'!AI10)),ROUND(INDEX('1-DATA'!$1:$1048576,IF(OR($B12="STD. DEVIATION",$C$1=1),$A12,$A12+1),COLUMN('1-DATA'!AI10)),IF($B12="STD. DEVIATION",2,$F$1))))</f>
        <v/>
      </c>
      <c r="AK12" s="1" t="str">
        <f>IF(OR($B12="",AK$7=""),"",IF($B12="MEANS",INDEX('1-DATA'!$1:$1048576,$A11-1,COLUMN('1-DATA'!AJ10)),ROUND(INDEX('1-DATA'!$1:$1048576,IF(OR($B12="STD. DEVIATION",$C$1=1),$A12,$A12+1),COLUMN('1-DATA'!AJ10)),IF($B12="STD. DEVIATION",2,$F$1))))</f>
        <v/>
      </c>
      <c r="AL12" s="1" t="str">
        <f>IF(OR($B12="",AL$7=""),"",IF($B12="MEANS",INDEX('1-DATA'!$1:$1048576,$A11-1,COLUMN('1-DATA'!AK10)),ROUND(INDEX('1-DATA'!$1:$1048576,IF(OR($B12="STD. DEVIATION",$C$1=1),$A12,$A12+1),COLUMN('1-DATA'!AK10)),IF($B12="STD. DEVIATION",2,$F$1))))</f>
        <v/>
      </c>
      <c r="AM12" s="1" t="str">
        <f>IF(OR($B12="",AM$7=""),"",IF($B12="MEANS",INDEX('1-DATA'!$1:$1048576,$A11-1,COLUMN('1-DATA'!AL10)),ROUND(INDEX('1-DATA'!$1:$1048576,IF(OR($B12="STD. DEVIATION",$C$1=1),$A12,$A12+1),COLUMN('1-DATA'!AL10)),IF($B12="STD. DEVIATION",2,$F$1))))</f>
        <v/>
      </c>
      <c r="AN12" s="1" t="str">
        <f>IF(OR($B12="",AN$7=""),"",IF($B12="MEANS",INDEX('1-DATA'!$1:$1048576,$A11-1,COLUMN('1-DATA'!AM10)),ROUND(INDEX('1-DATA'!$1:$1048576,IF(OR($B12="STD. DEVIATION",$C$1=1),$A12,$A12+1),COLUMN('1-DATA'!AM10)),IF($B12="STD. DEVIATION",2,$F$1))))</f>
        <v/>
      </c>
      <c r="AO12" s="1" t="str">
        <f>IF(OR($B12="",AO$7=""),"",IF($B12="MEANS",INDEX('1-DATA'!$1:$1048576,$A11-1,COLUMN('1-DATA'!AN10)),ROUND(INDEX('1-DATA'!$1:$1048576,IF(OR($B12="STD. DEVIATION",$C$1=1),$A12,$A12+1),COLUMN('1-DATA'!AN10)),IF($B12="STD. DEVIATION",2,$F$1))))</f>
        <v/>
      </c>
      <c r="AP12" s="1" t="str">
        <f>IF(OR($B12="",AP$7=""),"",IF($B12="MEANS",INDEX('1-DATA'!$1:$1048576,$A11-1,COLUMN('1-DATA'!AO10)),ROUND(INDEX('1-DATA'!$1:$1048576,IF(OR($B12="STD. DEVIATION",$C$1=1),$A12,$A12+1),COLUMN('1-DATA'!AO10)),IF($B12="STD. DEVIATION",2,$F$1))))</f>
        <v/>
      </c>
      <c r="AQ12" s="1" t="str">
        <f>IF(OR($B12="",AQ$7=""),"",IF($B12="MEANS",INDEX('1-DATA'!$1:$1048576,$A11-1,COLUMN('1-DATA'!AP10)),ROUND(INDEX('1-DATA'!$1:$1048576,IF(OR($B12="STD. DEVIATION",$C$1=1),$A12,$A12+1),COLUMN('1-DATA'!AP10)),IF($B12="STD. DEVIATION",2,$F$1))))</f>
        <v/>
      </c>
      <c r="AR12" s="1" t="str">
        <f>IF(OR($B12="",AR$7=""),"",IF($B12="MEANS",INDEX('1-DATA'!$1:$1048576,$A11-1,COLUMN('1-DATA'!AQ10)),ROUND(INDEX('1-DATA'!$1:$1048576,IF(OR($B12="STD. DEVIATION",$C$1=1),$A12,$A12+1),COLUMN('1-DATA'!AQ10)),IF($B12="STD. DEVIATION",2,$F$1))))</f>
        <v/>
      </c>
      <c r="AS12" s="1" t="str">
        <f>IF(OR($B12="",AS$7=""),"",IF($B12="MEANS",INDEX('1-DATA'!$1:$1048576,$A11-1,COLUMN('1-DATA'!AR10)),ROUND(INDEX('1-DATA'!$1:$1048576,IF(OR($B12="STD. DEVIATION",$C$1=1),$A12,$A12+1),COLUMN('1-DATA'!AR10)),IF($B12="STD. DEVIATION",2,$F$1))))</f>
        <v/>
      </c>
      <c r="AT12" s="1" t="str">
        <f>IF(OR($B12="",AT$7=""),"",IF($B12="MEANS",INDEX('1-DATA'!$1:$1048576,$A11-1,COLUMN('1-DATA'!AS10)),ROUND(INDEX('1-DATA'!$1:$1048576,IF(OR($B12="STD. DEVIATION",$C$1=1),$A12,$A12+1),COLUMN('1-DATA'!AS10)),IF($B12="STD. DEVIATION",2,$F$1))))</f>
        <v/>
      </c>
      <c r="AU12" s="1" t="str">
        <f>IF(OR($B12="",AU$7=""),"",IF($B12="MEANS",INDEX('1-DATA'!$1:$1048576,$A11-1,COLUMN('1-DATA'!AT10)),ROUND(INDEX('1-DATA'!$1:$1048576,IF(OR($B12="STD. DEVIATION",$C$1=1),$A12,$A12+1),COLUMN('1-DATA'!AT10)),IF($B12="STD. DEVIATION",2,$F$1))))</f>
        <v/>
      </c>
      <c r="AV12" s="1" t="str">
        <f>IF(OR($B12="",AV$7=""),"",IF($B12="MEANS",INDEX('1-DATA'!$1:$1048576,$A11-1,COLUMN('1-DATA'!AU10)),ROUND(INDEX('1-DATA'!$1:$1048576,IF(OR($B12="STD. DEVIATION",$C$1=1),$A12,$A12+1),COLUMN('1-DATA'!AU10)),IF($B12="STD. DEVIATION",2,$F$1))))</f>
        <v/>
      </c>
      <c r="AW12" s="1" t="str">
        <f>IF(OR($B12="",AW$7=""),"",IF($B12="MEANS",INDEX('1-DATA'!$1:$1048576,$A11-1,COLUMN('1-DATA'!AV10)),ROUND(INDEX('1-DATA'!$1:$1048576,IF(OR($B12="STD. DEVIATION",$C$1=1),$A12,$A12+1),COLUMN('1-DATA'!AV10)),IF($B12="STD. DEVIATION",2,$F$1))))</f>
        <v/>
      </c>
      <c r="AX12" s="1" t="str">
        <f>IF(OR($B12="",AX$7=""),"",IF($B12="MEANS",INDEX('1-DATA'!$1:$1048576,$A11-1,COLUMN('1-DATA'!AW10)),ROUND(INDEX('1-DATA'!$1:$1048576,IF(OR($B12="STD. DEVIATION",$C$1=1),$A12,$A12+1),COLUMN('1-DATA'!AW10)),IF($B12="STD. DEVIATION",2,$F$1))))</f>
        <v/>
      </c>
      <c r="AY12" s="1" t="str">
        <f>IF(OR($B12="",AY$7=""),"",IF($B12="MEANS",INDEX('1-DATA'!$1:$1048576,$A11-1,COLUMN('1-DATA'!AX10)),ROUND(INDEX('1-DATA'!$1:$1048576,IF(OR($B12="STD. DEVIATION",$C$1=1),$A12,$A12+1),COLUMN('1-DATA'!AX10)),IF($B12="STD. DEVIATION",2,$F$1))))</f>
        <v/>
      </c>
      <c r="AZ12" s="1" t="str">
        <f>IF(OR($B12="",AZ$7=""),"",IF($B12="MEANS",INDEX('1-DATA'!$1:$1048576,$A11-1,COLUMN('1-DATA'!AY10)),ROUND(INDEX('1-DATA'!$1:$1048576,IF(OR($B12="STD. DEVIATION",$C$1=1),$A12,$A12+1),COLUMN('1-DATA'!AY10)),IF($B12="STD. DEVIATION",2,$F$1))))</f>
        <v/>
      </c>
    </row>
    <row r="13" spans="1:52" x14ac:dyDescent="0.25">
      <c r="A13" s="11">
        <f t="shared" si="0"/>
        <v>25</v>
      </c>
      <c r="B13" s="1" t="str">
        <f>IF(B12="STD. DEVIATION",INDEX('1-DATA'!$1:$1048576,$A12-1,1),IF(INDEX('1-DATA'!$1:$1048576,$A13,1)&lt;&gt;"",INDEX('1-DATA'!$1:$1048576,$A13,1),""))</f>
        <v>T2B</v>
      </c>
      <c r="C13" s="1">
        <f>IF(OR($B13="",C$7=""),"",IF($B13="MEANS",INDEX('1-DATA'!$1:$1048576,$A12-1,COLUMN('1-DATA'!B11)),ROUND(INDEX('1-DATA'!$1:$1048576,IF(OR($B13="STD. DEVIATION",$C$1=1),$A13,$A13+1),COLUMN('1-DATA'!B11)),IF($B13="STD. DEVIATION",2,$F$1))))</f>
        <v>96</v>
      </c>
      <c r="D13" s="1">
        <f>IF(OR($B13="",D$7=""),"",IF($B13="MEANS",INDEX('1-DATA'!$1:$1048576,$A12-1,COLUMN('1-DATA'!C11)),ROUND(INDEX('1-DATA'!$1:$1048576,IF(OR($B13="STD. DEVIATION",$C$1=1),$A13,$A13+1),COLUMN('1-DATA'!C11)),IF($B13="STD. DEVIATION",2,$F$1))))</f>
        <v>100</v>
      </c>
      <c r="E13" s="1">
        <f>IF(OR($B13="",E$7=""),"",IF($B13="MEANS",INDEX('1-DATA'!$1:$1048576,$A12-1,COLUMN('1-DATA'!D11)),ROUND(INDEX('1-DATA'!$1:$1048576,IF(OR($B13="STD. DEVIATION",$C$1=1),$A13,$A13+1),COLUMN('1-DATA'!D11)),IF($B13="STD. DEVIATION",2,$F$1))))</f>
        <v>100</v>
      </c>
      <c r="F13" s="1">
        <f>IF(OR($B13="",F$7=""),"",IF($B13="MEANS",INDEX('1-DATA'!$1:$1048576,$A12-1,COLUMN('1-DATA'!E11)),ROUND(INDEX('1-DATA'!$1:$1048576,IF(OR($B13="STD. DEVIATION",$C$1=1),$A13,$A13+1),COLUMN('1-DATA'!E11)),IF($B13="STD. DEVIATION",2,$F$1))))</f>
        <v>100</v>
      </c>
      <c r="G13" s="1">
        <f>IF(OR($B13="",G$7=""),"",IF($B13="MEANS",INDEX('1-DATA'!$1:$1048576,$A12-1,COLUMN('1-DATA'!F11)),ROUND(INDEX('1-DATA'!$1:$1048576,IF(OR($B13="STD. DEVIATION",$C$1=1),$A13,$A13+1),COLUMN('1-DATA'!F11)),IF($B13="STD. DEVIATION",2,$F$1))))</f>
        <v>95</v>
      </c>
      <c r="H13" s="1">
        <f>IF(OR($B13="",H$7=""),"",IF($B13="MEANS",INDEX('1-DATA'!$1:$1048576,$A12-1,COLUMN('1-DATA'!G11)),ROUND(INDEX('1-DATA'!$1:$1048576,IF(OR($B13="STD. DEVIATION",$C$1=1),$A13,$A13+1),COLUMN('1-DATA'!G11)),IF($B13="STD. DEVIATION",2,$F$1))))</f>
        <v>86</v>
      </c>
      <c r="I13" s="1">
        <f>IF(OR($B13="",I$7=""),"",IF($B13="MEANS",INDEX('1-DATA'!$1:$1048576,$A12-1,COLUMN('1-DATA'!H11)),ROUND(INDEX('1-DATA'!$1:$1048576,IF(OR($B13="STD. DEVIATION",$C$1=1),$A13,$A13+1),COLUMN('1-DATA'!H11)),IF($B13="STD. DEVIATION",2,$F$1))))</f>
        <v>96</v>
      </c>
      <c r="J13" s="1">
        <f>IF(OR($B13="",J$7=""),"",IF($B13="MEANS",INDEX('1-DATA'!$1:$1048576,$A12-1,COLUMN('1-DATA'!I11)),ROUND(INDEX('1-DATA'!$1:$1048576,IF(OR($B13="STD. DEVIATION",$C$1=1),$A13,$A13+1),COLUMN('1-DATA'!I11)),IF($B13="STD. DEVIATION",2,$F$1))))</f>
        <v>100</v>
      </c>
      <c r="K13" s="1">
        <f>IF(OR($B13="",K$7=""),"",IF($B13="MEANS",INDEX('1-DATA'!$1:$1048576,$A12-1,COLUMN('1-DATA'!J11)),ROUND(INDEX('1-DATA'!$1:$1048576,IF(OR($B13="STD. DEVIATION",$C$1=1),$A13,$A13+1),COLUMN('1-DATA'!J11)),IF($B13="STD. DEVIATION",2,$F$1))))</f>
        <v>100</v>
      </c>
      <c r="L13" s="1">
        <f>IF(OR($B13="",L$7=""),"",IF($B13="MEANS",INDEX('1-DATA'!$1:$1048576,$A12-1,COLUMN('1-DATA'!K11)),ROUND(INDEX('1-DATA'!$1:$1048576,IF(OR($B13="STD. DEVIATION",$C$1=1),$A13,$A13+1),COLUMN('1-DATA'!K11)),IF($B13="STD. DEVIATION",2,$F$1))))</f>
        <v>100</v>
      </c>
      <c r="M13" s="1">
        <f>IF(OR($B13="",M$7=""),"",IF($B13="MEANS",INDEX('1-DATA'!$1:$1048576,$A12-1,COLUMN('1-DATA'!L11)),ROUND(INDEX('1-DATA'!$1:$1048576,IF(OR($B13="STD. DEVIATION",$C$1=1),$A13,$A13+1),COLUMN('1-DATA'!L11)),IF($B13="STD. DEVIATION",2,$F$1))))</f>
        <v>100</v>
      </c>
      <c r="N13" s="1">
        <f>IF(OR($B13="",N$7=""),"",IF($B13="MEANS",INDEX('1-DATA'!$1:$1048576,$A12-1,COLUMN('1-DATA'!M11)),ROUND(INDEX('1-DATA'!$1:$1048576,IF(OR($B13="STD. DEVIATION",$C$1=1),$A13,$A13+1),COLUMN('1-DATA'!M11)),IF($B13="STD. DEVIATION",2,$F$1))))</f>
        <v>96</v>
      </c>
      <c r="O13" s="1">
        <f>IF(OR($B13="",O$7=""),"",IF($B13="MEANS",INDEX('1-DATA'!$1:$1048576,$A12-1,COLUMN('1-DATA'!N11)),ROUND(INDEX('1-DATA'!$1:$1048576,IF(OR($B13="STD. DEVIATION",$C$1=1),$A13,$A13+1),COLUMN('1-DATA'!N11)),IF($B13="STD. DEVIATION",2,$F$1))))</f>
        <v>100</v>
      </c>
      <c r="P13" s="1">
        <f>IF(OR($B13="",P$7=""),"",IF($B13="MEANS",INDEX('1-DATA'!$1:$1048576,$A12-1,COLUMN('1-DATA'!O11)),ROUND(INDEX('1-DATA'!$1:$1048576,IF(OR($B13="STD. DEVIATION",$C$1=1),$A13,$A13+1),COLUMN('1-DATA'!O11)),IF($B13="STD. DEVIATION",2,$F$1))))</f>
        <v>91</v>
      </c>
      <c r="Q13" s="1">
        <f>IF(OR($B13="",Q$7=""),"",IF($B13="MEANS",INDEX('1-DATA'!$1:$1048576,$A12-1,COLUMN('1-DATA'!P11)),ROUND(INDEX('1-DATA'!$1:$1048576,IF(OR($B13="STD. DEVIATION",$C$1=1),$A13,$A13+1),COLUMN('1-DATA'!P11)),IF($B13="STD. DEVIATION",2,$F$1))))</f>
        <v>96</v>
      </c>
      <c r="R13" s="1">
        <f>IF(OR($B13="",R$7=""),"",IF($B13="MEANS",INDEX('1-DATA'!$1:$1048576,$A12-1,COLUMN('1-DATA'!Q11)),ROUND(INDEX('1-DATA'!$1:$1048576,IF(OR($B13="STD. DEVIATION",$C$1=1),$A13,$A13+1),COLUMN('1-DATA'!Q11)),IF($B13="STD. DEVIATION",2,$F$1))))</f>
        <v>100</v>
      </c>
      <c r="S13" s="1">
        <f>IF(OR($B13="",S$7=""),"",IF($B13="MEANS",INDEX('1-DATA'!$1:$1048576,$A12-1,COLUMN('1-DATA'!R11)),ROUND(INDEX('1-DATA'!$1:$1048576,IF(OR($B13="STD. DEVIATION",$C$1=1),$A13,$A13+1),COLUMN('1-DATA'!R11)),IF($B13="STD. DEVIATION",2,$F$1))))</f>
        <v>100</v>
      </c>
      <c r="T13" s="1">
        <f>IF(OR($B13="",T$7=""),"",IF($B13="MEANS",INDEX('1-DATA'!$1:$1048576,$A12-1,COLUMN('1-DATA'!S11)),ROUND(INDEX('1-DATA'!$1:$1048576,IF(OR($B13="STD. DEVIATION",$C$1=1),$A13,$A13+1),COLUMN('1-DATA'!S11)),IF($B13="STD. DEVIATION",2,$F$1))))</f>
        <v>91</v>
      </c>
      <c r="U13" s="1">
        <f>IF(OR($B13="",U$7=""),"",IF($B13="MEANS",INDEX('1-DATA'!$1:$1048576,$A12-1,COLUMN('1-DATA'!T11)),ROUND(INDEX('1-DATA'!$1:$1048576,IF(OR($B13="STD. DEVIATION",$C$1=1),$A13,$A13+1),COLUMN('1-DATA'!T11)),IF($B13="STD. DEVIATION",2,$F$1))))</f>
        <v>91</v>
      </c>
      <c r="V13" s="1">
        <f>IF(OR($B13="",V$7=""),"",IF($B13="MEANS",INDEX('1-DATA'!$1:$1048576,$A12-1,COLUMN('1-DATA'!U11)),ROUND(INDEX('1-DATA'!$1:$1048576,IF(OR($B13="STD. DEVIATION",$C$1=1),$A13,$A13+1),COLUMN('1-DATA'!U11)),IF($B13="STD. DEVIATION",2,$F$1))))</f>
        <v>86</v>
      </c>
      <c r="W13" s="1">
        <f>IF(OR($B13="",W$7=""),"",IF($B13="MEANS",INDEX('1-DATA'!$1:$1048576,$A12-1,COLUMN('1-DATA'!V11)),ROUND(INDEX('1-DATA'!$1:$1048576,IF(OR($B13="STD. DEVIATION",$C$1=1),$A13,$A13+1),COLUMN('1-DATA'!V11)),IF($B13="STD. DEVIATION",2,$F$1))))</f>
        <v>100</v>
      </c>
      <c r="X13" s="1">
        <f>IF(OR($B13="",X$7=""),"",IF($B13="MEANS",INDEX('1-DATA'!$1:$1048576,$A12-1,COLUMN('1-DATA'!W11)),ROUND(INDEX('1-DATA'!$1:$1048576,IF(OR($B13="STD. DEVIATION",$C$1=1),$A13,$A13+1),COLUMN('1-DATA'!W11)),IF($B13="STD. DEVIATION",2,$F$1))))</f>
        <v>100</v>
      </c>
      <c r="Y13" s="1">
        <f>IF(OR($B13="",Y$7=""),"",IF($B13="MEANS",INDEX('1-DATA'!$1:$1048576,$A12-1,COLUMN('1-DATA'!X11)),ROUND(INDEX('1-DATA'!$1:$1048576,IF(OR($B13="STD. DEVIATION",$C$1=1),$A13,$A13+1),COLUMN('1-DATA'!X11)),IF($B13="STD. DEVIATION",2,$F$1))))</f>
        <v>100</v>
      </c>
      <c r="Z13" s="1">
        <f>IF(OR($B13="",Z$7=""),"",IF($B13="MEANS",INDEX('1-DATA'!$1:$1048576,$A12-1,COLUMN('1-DATA'!Y11)),ROUND(INDEX('1-DATA'!$1:$1048576,IF(OR($B13="STD. DEVIATION",$C$1=1),$A13,$A13+1),COLUMN('1-DATA'!Y11)),IF($B13="STD. DEVIATION",2,$F$1))))</f>
        <v>96</v>
      </c>
      <c r="AA13" s="1">
        <f>IF(OR($B13="",AA$7=""),"",IF($B13="MEANS",INDEX('1-DATA'!$1:$1048576,$A12-1,COLUMN('1-DATA'!Z11)),ROUND(INDEX('1-DATA'!$1:$1048576,IF(OR($B13="STD. DEVIATION",$C$1=1),$A13,$A13+1),COLUMN('1-DATA'!Z11)),IF($B13="STD. DEVIATION",2,$F$1))))</f>
        <v>60</v>
      </c>
      <c r="AB13" s="1" t="str">
        <f>IF(OR($B13="",AB$7=""),"",IF($B13="MEANS",INDEX('1-DATA'!$1:$1048576,$A12-1,COLUMN('1-DATA'!AA11)),ROUND(INDEX('1-DATA'!$1:$1048576,IF(OR($B13="STD. DEVIATION",$C$1=1),$A13,$A13+1),COLUMN('1-DATA'!AA11)),IF($B13="STD. DEVIATION",2,$F$1))))</f>
        <v/>
      </c>
      <c r="AC13" s="1" t="str">
        <f>IF(OR($B13="",AC$7=""),"",IF($B13="MEANS",INDEX('1-DATA'!$1:$1048576,$A12-1,COLUMN('1-DATA'!AB11)),ROUND(INDEX('1-DATA'!$1:$1048576,IF(OR($B13="STD. DEVIATION",$C$1=1),$A13,$A13+1),COLUMN('1-DATA'!AB11)),IF($B13="STD. DEVIATION",2,$F$1))))</f>
        <v/>
      </c>
      <c r="AD13" s="1" t="str">
        <f>IF(OR($B13="",AD$7=""),"",IF($B13="MEANS",INDEX('1-DATA'!$1:$1048576,$A12-1,COLUMN('1-DATA'!AC11)),ROUND(INDEX('1-DATA'!$1:$1048576,IF(OR($B13="STD. DEVIATION",$C$1=1),$A13,$A13+1),COLUMN('1-DATA'!AC11)),IF($B13="STD. DEVIATION",2,$F$1))))</f>
        <v/>
      </c>
      <c r="AE13" s="1" t="str">
        <f>IF(OR($B13="",AE$7=""),"",IF($B13="MEANS",INDEX('1-DATA'!$1:$1048576,$A12-1,COLUMN('1-DATA'!AD11)),ROUND(INDEX('1-DATA'!$1:$1048576,IF(OR($B13="STD. DEVIATION",$C$1=1),$A13,$A13+1),COLUMN('1-DATA'!AD11)),IF($B13="STD. DEVIATION",2,$F$1))))</f>
        <v/>
      </c>
      <c r="AF13" s="1" t="str">
        <f>IF(OR($B13="",AF$7=""),"",IF($B13="MEANS",INDEX('1-DATA'!$1:$1048576,$A12-1,COLUMN('1-DATA'!AE11)),ROUND(INDEX('1-DATA'!$1:$1048576,IF(OR($B13="STD. DEVIATION",$C$1=1),$A13,$A13+1),COLUMN('1-DATA'!AE11)),IF($B13="STD. DEVIATION",2,$F$1))))</f>
        <v/>
      </c>
      <c r="AG13" s="1" t="str">
        <f>IF(OR($B13="",AG$7=""),"",IF($B13="MEANS",INDEX('1-DATA'!$1:$1048576,$A12-1,COLUMN('1-DATA'!AF11)),ROUND(INDEX('1-DATA'!$1:$1048576,IF(OR($B13="STD. DEVIATION",$C$1=1),$A13,$A13+1),COLUMN('1-DATA'!AF11)),IF($B13="STD. DEVIATION",2,$F$1))))</f>
        <v/>
      </c>
      <c r="AH13" s="1" t="str">
        <f>IF(OR($B13="",AH$7=""),"",IF($B13="MEANS",INDEX('1-DATA'!$1:$1048576,$A12-1,COLUMN('1-DATA'!AG11)),ROUND(INDEX('1-DATA'!$1:$1048576,IF(OR($B13="STD. DEVIATION",$C$1=1),$A13,$A13+1),COLUMN('1-DATA'!AG11)),IF($B13="STD. DEVIATION",2,$F$1))))</f>
        <v/>
      </c>
      <c r="AI13" s="1" t="str">
        <f>IF(OR($B13="",AI$7=""),"",IF($B13="MEANS",INDEX('1-DATA'!$1:$1048576,$A12-1,COLUMN('1-DATA'!AH11)),ROUND(INDEX('1-DATA'!$1:$1048576,IF(OR($B13="STD. DEVIATION",$C$1=1),$A13,$A13+1),COLUMN('1-DATA'!AH11)),IF($B13="STD. DEVIATION",2,$F$1))))</f>
        <v/>
      </c>
      <c r="AJ13" s="1" t="str">
        <f>IF(OR($B13="",AJ$7=""),"",IF($B13="MEANS",INDEX('1-DATA'!$1:$1048576,$A12-1,COLUMN('1-DATA'!AI11)),ROUND(INDEX('1-DATA'!$1:$1048576,IF(OR($B13="STD. DEVIATION",$C$1=1),$A13,$A13+1),COLUMN('1-DATA'!AI11)),IF($B13="STD. DEVIATION",2,$F$1))))</f>
        <v/>
      </c>
      <c r="AK13" s="1" t="str">
        <f>IF(OR($B13="",AK$7=""),"",IF($B13="MEANS",INDEX('1-DATA'!$1:$1048576,$A12-1,COLUMN('1-DATA'!AJ11)),ROUND(INDEX('1-DATA'!$1:$1048576,IF(OR($B13="STD. DEVIATION",$C$1=1),$A13,$A13+1),COLUMN('1-DATA'!AJ11)),IF($B13="STD. DEVIATION",2,$F$1))))</f>
        <v/>
      </c>
      <c r="AL13" s="1" t="str">
        <f>IF(OR($B13="",AL$7=""),"",IF($B13="MEANS",INDEX('1-DATA'!$1:$1048576,$A12-1,COLUMN('1-DATA'!AK11)),ROUND(INDEX('1-DATA'!$1:$1048576,IF(OR($B13="STD. DEVIATION",$C$1=1),$A13,$A13+1),COLUMN('1-DATA'!AK11)),IF($B13="STD. DEVIATION",2,$F$1))))</f>
        <v/>
      </c>
      <c r="AM13" s="1" t="str">
        <f>IF(OR($B13="",AM$7=""),"",IF($B13="MEANS",INDEX('1-DATA'!$1:$1048576,$A12-1,COLUMN('1-DATA'!AL11)),ROUND(INDEX('1-DATA'!$1:$1048576,IF(OR($B13="STD. DEVIATION",$C$1=1),$A13,$A13+1),COLUMN('1-DATA'!AL11)),IF($B13="STD. DEVIATION",2,$F$1))))</f>
        <v/>
      </c>
      <c r="AN13" s="1" t="str">
        <f>IF(OR($B13="",AN$7=""),"",IF($B13="MEANS",INDEX('1-DATA'!$1:$1048576,$A12-1,COLUMN('1-DATA'!AM11)),ROUND(INDEX('1-DATA'!$1:$1048576,IF(OR($B13="STD. DEVIATION",$C$1=1),$A13,$A13+1),COLUMN('1-DATA'!AM11)),IF($B13="STD. DEVIATION",2,$F$1))))</f>
        <v/>
      </c>
      <c r="AO13" s="1" t="str">
        <f>IF(OR($B13="",AO$7=""),"",IF($B13="MEANS",INDEX('1-DATA'!$1:$1048576,$A12-1,COLUMN('1-DATA'!AN11)),ROUND(INDEX('1-DATA'!$1:$1048576,IF(OR($B13="STD. DEVIATION",$C$1=1),$A13,$A13+1),COLUMN('1-DATA'!AN11)),IF($B13="STD. DEVIATION",2,$F$1))))</f>
        <v/>
      </c>
      <c r="AP13" s="1" t="str">
        <f>IF(OR($B13="",AP$7=""),"",IF($B13="MEANS",INDEX('1-DATA'!$1:$1048576,$A12-1,COLUMN('1-DATA'!AO11)),ROUND(INDEX('1-DATA'!$1:$1048576,IF(OR($B13="STD. DEVIATION",$C$1=1),$A13,$A13+1),COLUMN('1-DATA'!AO11)),IF($B13="STD. DEVIATION",2,$F$1))))</f>
        <v/>
      </c>
      <c r="AQ13" s="1" t="str">
        <f>IF(OR($B13="",AQ$7=""),"",IF($B13="MEANS",INDEX('1-DATA'!$1:$1048576,$A12-1,COLUMN('1-DATA'!AP11)),ROUND(INDEX('1-DATA'!$1:$1048576,IF(OR($B13="STD. DEVIATION",$C$1=1),$A13,$A13+1),COLUMN('1-DATA'!AP11)),IF($B13="STD. DEVIATION",2,$F$1))))</f>
        <v/>
      </c>
      <c r="AR13" s="1" t="str">
        <f>IF(OR($B13="",AR$7=""),"",IF($B13="MEANS",INDEX('1-DATA'!$1:$1048576,$A12-1,COLUMN('1-DATA'!AQ11)),ROUND(INDEX('1-DATA'!$1:$1048576,IF(OR($B13="STD. DEVIATION",$C$1=1),$A13,$A13+1),COLUMN('1-DATA'!AQ11)),IF($B13="STD. DEVIATION",2,$F$1))))</f>
        <v/>
      </c>
      <c r="AS13" s="1" t="str">
        <f>IF(OR($B13="",AS$7=""),"",IF($B13="MEANS",INDEX('1-DATA'!$1:$1048576,$A12-1,COLUMN('1-DATA'!AR11)),ROUND(INDEX('1-DATA'!$1:$1048576,IF(OR($B13="STD. DEVIATION",$C$1=1),$A13,$A13+1),COLUMN('1-DATA'!AR11)),IF($B13="STD. DEVIATION",2,$F$1))))</f>
        <v/>
      </c>
      <c r="AT13" s="1" t="str">
        <f>IF(OR($B13="",AT$7=""),"",IF($B13="MEANS",INDEX('1-DATA'!$1:$1048576,$A12-1,COLUMN('1-DATA'!AS11)),ROUND(INDEX('1-DATA'!$1:$1048576,IF(OR($B13="STD. DEVIATION",$C$1=1),$A13,$A13+1),COLUMN('1-DATA'!AS11)),IF($B13="STD. DEVIATION",2,$F$1))))</f>
        <v/>
      </c>
      <c r="AU13" s="1" t="str">
        <f>IF(OR($B13="",AU$7=""),"",IF($B13="MEANS",INDEX('1-DATA'!$1:$1048576,$A12-1,COLUMN('1-DATA'!AT11)),ROUND(INDEX('1-DATA'!$1:$1048576,IF(OR($B13="STD. DEVIATION",$C$1=1),$A13,$A13+1),COLUMN('1-DATA'!AT11)),IF($B13="STD. DEVIATION",2,$F$1))))</f>
        <v/>
      </c>
      <c r="AV13" s="1" t="str">
        <f>IF(OR($B13="",AV$7=""),"",IF($B13="MEANS",INDEX('1-DATA'!$1:$1048576,$A12-1,COLUMN('1-DATA'!AU11)),ROUND(INDEX('1-DATA'!$1:$1048576,IF(OR($B13="STD. DEVIATION",$C$1=1),$A13,$A13+1),COLUMN('1-DATA'!AU11)),IF($B13="STD. DEVIATION",2,$F$1))))</f>
        <v/>
      </c>
      <c r="AW13" s="1" t="str">
        <f>IF(OR($B13="",AW$7=""),"",IF($B13="MEANS",INDEX('1-DATA'!$1:$1048576,$A12-1,COLUMN('1-DATA'!AV11)),ROUND(INDEX('1-DATA'!$1:$1048576,IF(OR($B13="STD. DEVIATION",$C$1=1),$A13,$A13+1),COLUMN('1-DATA'!AV11)),IF($B13="STD. DEVIATION",2,$F$1))))</f>
        <v/>
      </c>
      <c r="AX13" s="1" t="str">
        <f>IF(OR($B13="",AX$7=""),"",IF($B13="MEANS",INDEX('1-DATA'!$1:$1048576,$A12-1,COLUMN('1-DATA'!AW11)),ROUND(INDEX('1-DATA'!$1:$1048576,IF(OR($B13="STD. DEVIATION",$C$1=1),$A13,$A13+1),COLUMN('1-DATA'!AW11)),IF($B13="STD. DEVIATION",2,$F$1))))</f>
        <v/>
      </c>
      <c r="AY13" s="1" t="str">
        <f>IF(OR($B13="",AY$7=""),"",IF($B13="MEANS",INDEX('1-DATA'!$1:$1048576,$A12-1,COLUMN('1-DATA'!AX11)),ROUND(INDEX('1-DATA'!$1:$1048576,IF(OR($B13="STD. DEVIATION",$C$1=1),$A13,$A13+1),COLUMN('1-DATA'!AX11)),IF($B13="STD. DEVIATION",2,$F$1))))</f>
        <v/>
      </c>
      <c r="AZ13" s="1" t="str">
        <f>IF(OR($B13="",AZ$7=""),"",IF($B13="MEANS",INDEX('1-DATA'!$1:$1048576,$A12-1,COLUMN('1-DATA'!AY11)),ROUND(INDEX('1-DATA'!$1:$1048576,IF(OR($B13="STD. DEVIATION",$C$1=1),$A13,$A13+1),COLUMN('1-DATA'!AY11)),IF($B13="STD. DEVIATION",2,$F$1))))</f>
        <v/>
      </c>
    </row>
    <row r="14" spans="1:52" x14ac:dyDescent="0.25">
      <c r="A14" s="11">
        <f t="shared" si="0"/>
        <v>28</v>
      </c>
      <c r="B14" s="1" t="str">
        <f>IF(B13="STD. DEVIATION",INDEX('1-DATA'!$1:$1048576,$A13-1,1),IF(INDEX('1-DATA'!$1:$1048576,$A14,1)&lt;&gt;"",INDEX('1-DATA'!$1:$1048576,$A14,1),""))</f>
        <v>TOTALS</v>
      </c>
      <c r="C14" s="1">
        <f>IF(OR($B14="",C$7=""),"",IF($B14="MEANS",INDEX('1-DATA'!$1:$1048576,$A13-1,COLUMN('1-DATA'!B12)),ROUND(INDEX('1-DATA'!$1:$1048576,IF(OR($B14="STD. DEVIATION",$C$1=1),$A14,$A14+1),COLUMN('1-DATA'!B12)),IF($B14="STD. DEVIATION",2,$F$1))))</f>
        <v>100</v>
      </c>
      <c r="D14" s="1">
        <f>IF(OR($B14="",D$7=""),"",IF($B14="MEANS",INDEX('1-DATA'!$1:$1048576,$A13-1,COLUMN('1-DATA'!C12)),ROUND(INDEX('1-DATA'!$1:$1048576,IF(OR($B14="STD. DEVIATION",$C$1=1),$A14,$A14+1),COLUMN('1-DATA'!C12)),IF($B14="STD. DEVIATION",2,$F$1))))</f>
        <v>100</v>
      </c>
      <c r="E14" s="1">
        <f>IF(OR($B14="",E$7=""),"",IF($B14="MEANS",INDEX('1-DATA'!$1:$1048576,$A13-1,COLUMN('1-DATA'!D12)),ROUND(INDEX('1-DATA'!$1:$1048576,IF(OR($B14="STD. DEVIATION",$C$1=1),$A14,$A14+1),COLUMN('1-DATA'!D12)),IF($B14="STD. DEVIATION",2,$F$1))))</f>
        <v>100</v>
      </c>
      <c r="F14" s="1">
        <f>IF(OR($B14="",F$7=""),"",IF($B14="MEANS",INDEX('1-DATA'!$1:$1048576,$A13-1,COLUMN('1-DATA'!E12)),ROUND(INDEX('1-DATA'!$1:$1048576,IF(OR($B14="STD. DEVIATION",$C$1=1),$A14,$A14+1),COLUMN('1-DATA'!E12)),IF($B14="STD. DEVIATION",2,$F$1))))</f>
        <v>100</v>
      </c>
      <c r="G14" s="1">
        <f>IF(OR($B14="",G$7=""),"",IF($B14="MEANS",INDEX('1-DATA'!$1:$1048576,$A13-1,COLUMN('1-DATA'!F12)),ROUND(INDEX('1-DATA'!$1:$1048576,IF(OR($B14="STD. DEVIATION",$C$1=1),$A14,$A14+1),COLUMN('1-DATA'!F12)),IF($B14="STD. DEVIATION",2,$F$1))))</f>
        <v>100</v>
      </c>
      <c r="H14" s="1">
        <f>IF(OR($B14="",H$7=""),"",IF($B14="MEANS",INDEX('1-DATA'!$1:$1048576,$A13-1,COLUMN('1-DATA'!G12)),ROUND(INDEX('1-DATA'!$1:$1048576,IF(OR($B14="STD. DEVIATION",$C$1=1),$A14,$A14+1),COLUMN('1-DATA'!G12)),IF($B14="STD. DEVIATION",2,$F$1))))</f>
        <v>100</v>
      </c>
      <c r="I14" s="1">
        <f>IF(OR($B14="",I$7=""),"",IF($B14="MEANS",INDEX('1-DATA'!$1:$1048576,$A13-1,COLUMN('1-DATA'!H12)),ROUND(INDEX('1-DATA'!$1:$1048576,IF(OR($B14="STD. DEVIATION",$C$1=1),$A14,$A14+1),COLUMN('1-DATA'!H12)),IF($B14="STD. DEVIATION",2,$F$1))))</f>
        <v>100</v>
      </c>
      <c r="J14" s="1">
        <f>IF(OR($B14="",J$7=""),"",IF($B14="MEANS",INDEX('1-DATA'!$1:$1048576,$A13-1,COLUMN('1-DATA'!I12)),ROUND(INDEX('1-DATA'!$1:$1048576,IF(OR($B14="STD. DEVIATION",$C$1=1),$A14,$A14+1),COLUMN('1-DATA'!I12)),IF($B14="STD. DEVIATION",2,$F$1))))</f>
        <v>100</v>
      </c>
      <c r="K14" s="1">
        <f>IF(OR($B14="",K$7=""),"",IF($B14="MEANS",INDEX('1-DATA'!$1:$1048576,$A13-1,COLUMN('1-DATA'!J12)),ROUND(INDEX('1-DATA'!$1:$1048576,IF(OR($B14="STD. DEVIATION",$C$1=1),$A14,$A14+1),COLUMN('1-DATA'!J12)),IF($B14="STD. DEVIATION",2,$F$1))))</f>
        <v>100</v>
      </c>
      <c r="L14" s="1">
        <f>IF(OR($B14="",L$7=""),"",IF($B14="MEANS",INDEX('1-DATA'!$1:$1048576,$A13-1,COLUMN('1-DATA'!K12)),ROUND(INDEX('1-DATA'!$1:$1048576,IF(OR($B14="STD. DEVIATION",$C$1=1),$A14,$A14+1),COLUMN('1-DATA'!K12)),IF($B14="STD. DEVIATION",2,$F$1))))</f>
        <v>100</v>
      </c>
      <c r="M14" s="1">
        <f>IF(OR($B14="",M$7=""),"",IF($B14="MEANS",INDEX('1-DATA'!$1:$1048576,$A13-1,COLUMN('1-DATA'!L12)),ROUND(INDEX('1-DATA'!$1:$1048576,IF(OR($B14="STD. DEVIATION",$C$1=1),$A14,$A14+1),COLUMN('1-DATA'!L12)),IF($B14="STD. DEVIATION",2,$F$1))))</f>
        <v>100</v>
      </c>
      <c r="N14" s="1">
        <f>IF(OR($B14="",N$7=""),"",IF($B14="MEANS",INDEX('1-DATA'!$1:$1048576,$A13-1,COLUMN('1-DATA'!M12)),ROUND(INDEX('1-DATA'!$1:$1048576,IF(OR($B14="STD. DEVIATION",$C$1=1),$A14,$A14+1),COLUMN('1-DATA'!M12)),IF($B14="STD. DEVIATION",2,$F$1))))</f>
        <v>100</v>
      </c>
      <c r="O14" s="1">
        <f>IF(OR($B14="",O$7=""),"",IF($B14="MEANS",INDEX('1-DATA'!$1:$1048576,$A13-1,COLUMN('1-DATA'!N12)),ROUND(INDEX('1-DATA'!$1:$1048576,IF(OR($B14="STD. DEVIATION",$C$1=1),$A14,$A14+1),COLUMN('1-DATA'!N12)),IF($B14="STD. DEVIATION",2,$F$1))))</f>
        <v>100</v>
      </c>
      <c r="P14" s="1">
        <f>IF(OR($B14="",P$7=""),"",IF($B14="MEANS",INDEX('1-DATA'!$1:$1048576,$A13-1,COLUMN('1-DATA'!O12)),ROUND(INDEX('1-DATA'!$1:$1048576,IF(OR($B14="STD. DEVIATION",$C$1=1),$A14,$A14+1),COLUMN('1-DATA'!O12)),IF($B14="STD. DEVIATION",2,$F$1))))</f>
        <v>100</v>
      </c>
      <c r="Q14" s="1">
        <f>IF(OR($B14="",Q$7=""),"",IF($B14="MEANS",INDEX('1-DATA'!$1:$1048576,$A13-1,COLUMN('1-DATA'!P12)),ROUND(INDEX('1-DATA'!$1:$1048576,IF(OR($B14="STD. DEVIATION",$C$1=1),$A14,$A14+1),COLUMN('1-DATA'!P12)),IF($B14="STD. DEVIATION",2,$F$1))))</f>
        <v>100</v>
      </c>
      <c r="R14" s="1">
        <f>IF(OR($B14="",R$7=""),"",IF($B14="MEANS",INDEX('1-DATA'!$1:$1048576,$A13-1,COLUMN('1-DATA'!Q12)),ROUND(INDEX('1-DATA'!$1:$1048576,IF(OR($B14="STD. DEVIATION",$C$1=1),$A14,$A14+1),COLUMN('1-DATA'!Q12)),IF($B14="STD. DEVIATION",2,$F$1))))</f>
        <v>100</v>
      </c>
      <c r="S14" s="1">
        <f>IF(OR($B14="",S$7=""),"",IF($B14="MEANS",INDEX('1-DATA'!$1:$1048576,$A13-1,COLUMN('1-DATA'!R12)),ROUND(INDEX('1-DATA'!$1:$1048576,IF(OR($B14="STD. DEVIATION",$C$1=1),$A14,$A14+1),COLUMN('1-DATA'!R12)),IF($B14="STD. DEVIATION",2,$F$1))))</f>
        <v>100</v>
      </c>
      <c r="T14" s="1">
        <f>IF(OR($B14="",T$7=""),"",IF($B14="MEANS",INDEX('1-DATA'!$1:$1048576,$A13-1,COLUMN('1-DATA'!S12)),ROUND(INDEX('1-DATA'!$1:$1048576,IF(OR($B14="STD. DEVIATION",$C$1=1),$A14,$A14+1),COLUMN('1-DATA'!S12)),IF($B14="STD. DEVIATION",2,$F$1))))</f>
        <v>100</v>
      </c>
      <c r="U14" s="1">
        <f>IF(OR($B14="",U$7=""),"",IF($B14="MEANS",INDEX('1-DATA'!$1:$1048576,$A13-1,COLUMN('1-DATA'!T12)),ROUND(INDEX('1-DATA'!$1:$1048576,IF(OR($B14="STD. DEVIATION",$C$1=1),$A14,$A14+1),COLUMN('1-DATA'!T12)),IF($B14="STD. DEVIATION",2,$F$1))))</f>
        <v>100</v>
      </c>
      <c r="V14" s="1">
        <f>IF(OR($B14="",V$7=""),"",IF($B14="MEANS",INDEX('1-DATA'!$1:$1048576,$A13-1,COLUMN('1-DATA'!U12)),ROUND(INDEX('1-DATA'!$1:$1048576,IF(OR($B14="STD. DEVIATION",$C$1=1),$A14,$A14+1),COLUMN('1-DATA'!U12)),IF($B14="STD. DEVIATION",2,$F$1))))</f>
        <v>100</v>
      </c>
      <c r="W14" s="1">
        <f>IF(OR($B14="",W$7=""),"",IF($B14="MEANS",INDEX('1-DATA'!$1:$1048576,$A13-1,COLUMN('1-DATA'!V12)),ROUND(INDEX('1-DATA'!$1:$1048576,IF(OR($B14="STD. DEVIATION",$C$1=1),$A14,$A14+1),COLUMN('1-DATA'!V12)),IF($B14="STD. DEVIATION",2,$F$1))))</f>
        <v>100</v>
      </c>
      <c r="X14" s="1">
        <f>IF(OR($B14="",X$7=""),"",IF($B14="MEANS",INDEX('1-DATA'!$1:$1048576,$A13-1,COLUMN('1-DATA'!W12)),ROUND(INDEX('1-DATA'!$1:$1048576,IF(OR($B14="STD. DEVIATION",$C$1=1),$A14,$A14+1),COLUMN('1-DATA'!W12)),IF($B14="STD. DEVIATION",2,$F$1))))</f>
        <v>100</v>
      </c>
      <c r="Y14" s="1">
        <f>IF(OR($B14="",Y$7=""),"",IF($B14="MEANS",INDEX('1-DATA'!$1:$1048576,$A13-1,COLUMN('1-DATA'!X12)),ROUND(INDEX('1-DATA'!$1:$1048576,IF(OR($B14="STD. DEVIATION",$C$1=1),$A14,$A14+1),COLUMN('1-DATA'!X12)),IF($B14="STD. DEVIATION",2,$F$1))))</f>
        <v>100</v>
      </c>
      <c r="Z14" s="1">
        <f>IF(OR($B14="",Z$7=""),"",IF($B14="MEANS",INDEX('1-DATA'!$1:$1048576,$A13-1,COLUMN('1-DATA'!Y12)),ROUND(INDEX('1-DATA'!$1:$1048576,IF(OR($B14="STD. DEVIATION",$C$1=1),$A14,$A14+1),COLUMN('1-DATA'!Y12)),IF($B14="STD. DEVIATION",2,$F$1))))</f>
        <v>100</v>
      </c>
      <c r="AA14" s="1">
        <f>IF(OR($B14="",AA$7=""),"",IF($B14="MEANS",INDEX('1-DATA'!$1:$1048576,$A13-1,COLUMN('1-DATA'!Z12)),ROUND(INDEX('1-DATA'!$1:$1048576,IF(OR($B14="STD. DEVIATION",$C$1=1),$A14,$A14+1),COLUMN('1-DATA'!Z12)),IF($B14="STD. DEVIATION",2,$F$1))))</f>
        <v>100</v>
      </c>
      <c r="AB14" s="1" t="str">
        <f>IF(OR($B14="",AB$7=""),"",IF($B14="MEANS",INDEX('1-DATA'!$1:$1048576,$A13-1,COLUMN('1-DATA'!AA12)),ROUND(INDEX('1-DATA'!$1:$1048576,IF(OR($B14="STD. DEVIATION",$C$1=1),$A14,$A14+1),COLUMN('1-DATA'!AA12)),IF($B14="STD. DEVIATION",2,$F$1))))</f>
        <v/>
      </c>
      <c r="AC14" s="1" t="str">
        <f>IF(OR($B14="",AC$7=""),"",IF($B14="MEANS",INDEX('1-DATA'!$1:$1048576,$A13-1,COLUMN('1-DATA'!AB12)),ROUND(INDEX('1-DATA'!$1:$1048576,IF(OR($B14="STD. DEVIATION",$C$1=1),$A14,$A14+1),COLUMN('1-DATA'!AB12)),IF($B14="STD. DEVIATION",2,$F$1))))</f>
        <v/>
      </c>
      <c r="AD14" s="1" t="str">
        <f>IF(OR($B14="",AD$7=""),"",IF($B14="MEANS",INDEX('1-DATA'!$1:$1048576,$A13-1,COLUMN('1-DATA'!AC12)),ROUND(INDEX('1-DATA'!$1:$1048576,IF(OR($B14="STD. DEVIATION",$C$1=1),$A14,$A14+1),COLUMN('1-DATA'!AC12)),IF($B14="STD. DEVIATION",2,$F$1))))</f>
        <v/>
      </c>
      <c r="AE14" s="1" t="str">
        <f>IF(OR($B14="",AE$7=""),"",IF($B14="MEANS",INDEX('1-DATA'!$1:$1048576,$A13-1,COLUMN('1-DATA'!AD12)),ROUND(INDEX('1-DATA'!$1:$1048576,IF(OR($B14="STD. DEVIATION",$C$1=1),$A14,$A14+1),COLUMN('1-DATA'!AD12)),IF($B14="STD. DEVIATION",2,$F$1))))</f>
        <v/>
      </c>
      <c r="AF14" s="1" t="str">
        <f>IF(OR($B14="",AF$7=""),"",IF($B14="MEANS",INDEX('1-DATA'!$1:$1048576,$A13-1,COLUMN('1-DATA'!AE12)),ROUND(INDEX('1-DATA'!$1:$1048576,IF(OR($B14="STD. DEVIATION",$C$1=1),$A14,$A14+1),COLUMN('1-DATA'!AE12)),IF($B14="STD. DEVIATION",2,$F$1))))</f>
        <v/>
      </c>
      <c r="AG14" s="1" t="str">
        <f>IF(OR($B14="",AG$7=""),"",IF($B14="MEANS",INDEX('1-DATA'!$1:$1048576,$A13-1,COLUMN('1-DATA'!AF12)),ROUND(INDEX('1-DATA'!$1:$1048576,IF(OR($B14="STD. DEVIATION",$C$1=1),$A14,$A14+1),COLUMN('1-DATA'!AF12)),IF($B14="STD. DEVIATION",2,$F$1))))</f>
        <v/>
      </c>
      <c r="AH14" s="1" t="str">
        <f>IF(OR($B14="",AH$7=""),"",IF($B14="MEANS",INDEX('1-DATA'!$1:$1048576,$A13-1,COLUMN('1-DATA'!AG12)),ROUND(INDEX('1-DATA'!$1:$1048576,IF(OR($B14="STD. DEVIATION",$C$1=1),$A14,$A14+1),COLUMN('1-DATA'!AG12)),IF($B14="STD. DEVIATION",2,$F$1))))</f>
        <v/>
      </c>
      <c r="AI14" s="1" t="str">
        <f>IF(OR($B14="",AI$7=""),"",IF($B14="MEANS",INDEX('1-DATA'!$1:$1048576,$A13-1,COLUMN('1-DATA'!AH12)),ROUND(INDEX('1-DATA'!$1:$1048576,IF(OR($B14="STD. DEVIATION",$C$1=1),$A14,$A14+1),COLUMN('1-DATA'!AH12)),IF($B14="STD. DEVIATION",2,$F$1))))</f>
        <v/>
      </c>
      <c r="AJ14" s="1" t="str">
        <f>IF(OR($B14="",AJ$7=""),"",IF($B14="MEANS",INDEX('1-DATA'!$1:$1048576,$A13-1,COLUMN('1-DATA'!AI12)),ROUND(INDEX('1-DATA'!$1:$1048576,IF(OR($B14="STD. DEVIATION",$C$1=1),$A14,$A14+1),COLUMN('1-DATA'!AI12)),IF($B14="STD. DEVIATION",2,$F$1))))</f>
        <v/>
      </c>
      <c r="AK14" s="1" t="str">
        <f>IF(OR($B14="",AK$7=""),"",IF($B14="MEANS",INDEX('1-DATA'!$1:$1048576,$A13-1,COLUMN('1-DATA'!AJ12)),ROUND(INDEX('1-DATA'!$1:$1048576,IF(OR($B14="STD. DEVIATION",$C$1=1),$A14,$A14+1),COLUMN('1-DATA'!AJ12)),IF($B14="STD. DEVIATION",2,$F$1))))</f>
        <v/>
      </c>
      <c r="AL14" s="1" t="str">
        <f>IF(OR($B14="",AL$7=""),"",IF($B14="MEANS",INDEX('1-DATA'!$1:$1048576,$A13-1,COLUMN('1-DATA'!AK12)),ROUND(INDEX('1-DATA'!$1:$1048576,IF(OR($B14="STD. DEVIATION",$C$1=1),$A14,$A14+1),COLUMN('1-DATA'!AK12)),IF($B14="STD. DEVIATION",2,$F$1))))</f>
        <v/>
      </c>
      <c r="AM14" s="1" t="str">
        <f>IF(OR($B14="",AM$7=""),"",IF($B14="MEANS",INDEX('1-DATA'!$1:$1048576,$A13-1,COLUMN('1-DATA'!AL12)),ROUND(INDEX('1-DATA'!$1:$1048576,IF(OR($B14="STD. DEVIATION",$C$1=1),$A14,$A14+1),COLUMN('1-DATA'!AL12)),IF($B14="STD. DEVIATION",2,$F$1))))</f>
        <v/>
      </c>
      <c r="AN14" s="1" t="str">
        <f>IF(OR($B14="",AN$7=""),"",IF($B14="MEANS",INDEX('1-DATA'!$1:$1048576,$A13-1,COLUMN('1-DATA'!AM12)),ROUND(INDEX('1-DATA'!$1:$1048576,IF(OR($B14="STD. DEVIATION",$C$1=1),$A14,$A14+1),COLUMN('1-DATA'!AM12)),IF($B14="STD. DEVIATION",2,$F$1))))</f>
        <v/>
      </c>
      <c r="AO14" s="1" t="str">
        <f>IF(OR($B14="",AO$7=""),"",IF($B14="MEANS",INDEX('1-DATA'!$1:$1048576,$A13-1,COLUMN('1-DATA'!AN12)),ROUND(INDEX('1-DATA'!$1:$1048576,IF(OR($B14="STD. DEVIATION",$C$1=1),$A14,$A14+1),COLUMN('1-DATA'!AN12)),IF($B14="STD. DEVIATION",2,$F$1))))</f>
        <v/>
      </c>
      <c r="AP14" s="1" t="str">
        <f>IF(OR($B14="",AP$7=""),"",IF($B14="MEANS",INDEX('1-DATA'!$1:$1048576,$A13-1,COLUMN('1-DATA'!AO12)),ROUND(INDEX('1-DATA'!$1:$1048576,IF(OR($B14="STD. DEVIATION",$C$1=1),$A14,$A14+1),COLUMN('1-DATA'!AO12)),IF($B14="STD. DEVIATION",2,$F$1))))</f>
        <v/>
      </c>
      <c r="AQ14" s="1" t="str">
        <f>IF(OR($B14="",AQ$7=""),"",IF($B14="MEANS",INDEX('1-DATA'!$1:$1048576,$A13-1,COLUMN('1-DATA'!AP12)),ROUND(INDEX('1-DATA'!$1:$1048576,IF(OR($B14="STD. DEVIATION",$C$1=1),$A14,$A14+1),COLUMN('1-DATA'!AP12)),IF($B14="STD. DEVIATION",2,$F$1))))</f>
        <v/>
      </c>
      <c r="AR14" s="1" t="str">
        <f>IF(OR($B14="",AR$7=""),"",IF($B14="MEANS",INDEX('1-DATA'!$1:$1048576,$A13-1,COLUMN('1-DATA'!AQ12)),ROUND(INDEX('1-DATA'!$1:$1048576,IF(OR($B14="STD. DEVIATION",$C$1=1),$A14,$A14+1),COLUMN('1-DATA'!AQ12)),IF($B14="STD. DEVIATION",2,$F$1))))</f>
        <v/>
      </c>
      <c r="AS14" s="1" t="str">
        <f>IF(OR($B14="",AS$7=""),"",IF($B14="MEANS",INDEX('1-DATA'!$1:$1048576,$A13-1,COLUMN('1-DATA'!AR12)),ROUND(INDEX('1-DATA'!$1:$1048576,IF(OR($B14="STD. DEVIATION",$C$1=1),$A14,$A14+1),COLUMN('1-DATA'!AR12)),IF($B14="STD. DEVIATION",2,$F$1))))</f>
        <v/>
      </c>
      <c r="AT14" s="1" t="str">
        <f>IF(OR($B14="",AT$7=""),"",IF($B14="MEANS",INDEX('1-DATA'!$1:$1048576,$A13-1,COLUMN('1-DATA'!AS12)),ROUND(INDEX('1-DATA'!$1:$1048576,IF(OR($B14="STD. DEVIATION",$C$1=1),$A14,$A14+1),COLUMN('1-DATA'!AS12)),IF($B14="STD. DEVIATION",2,$F$1))))</f>
        <v/>
      </c>
      <c r="AU14" s="1" t="str">
        <f>IF(OR($B14="",AU$7=""),"",IF($B14="MEANS",INDEX('1-DATA'!$1:$1048576,$A13-1,COLUMN('1-DATA'!AT12)),ROUND(INDEX('1-DATA'!$1:$1048576,IF(OR($B14="STD. DEVIATION",$C$1=1),$A14,$A14+1),COLUMN('1-DATA'!AT12)),IF($B14="STD. DEVIATION",2,$F$1))))</f>
        <v/>
      </c>
      <c r="AV14" s="1" t="str">
        <f>IF(OR($B14="",AV$7=""),"",IF($B14="MEANS",INDEX('1-DATA'!$1:$1048576,$A13-1,COLUMN('1-DATA'!AU12)),ROUND(INDEX('1-DATA'!$1:$1048576,IF(OR($B14="STD. DEVIATION",$C$1=1),$A14,$A14+1),COLUMN('1-DATA'!AU12)),IF($B14="STD. DEVIATION",2,$F$1))))</f>
        <v/>
      </c>
      <c r="AW14" s="1" t="str">
        <f>IF(OR($B14="",AW$7=""),"",IF($B14="MEANS",INDEX('1-DATA'!$1:$1048576,$A13-1,COLUMN('1-DATA'!AV12)),ROUND(INDEX('1-DATA'!$1:$1048576,IF(OR($B14="STD. DEVIATION",$C$1=1),$A14,$A14+1),COLUMN('1-DATA'!AV12)),IF($B14="STD. DEVIATION",2,$F$1))))</f>
        <v/>
      </c>
      <c r="AX14" s="1" t="str">
        <f>IF(OR($B14="",AX$7=""),"",IF($B14="MEANS",INDEX('1-DATA'!$1:$1048576,$A13-1,COLUMN('1-DATA'!AW12)),ROUND(INDEX('1-DATA'!$1:$1048576,IF(OR($B14="STD. DEVIATION",$C$1=1),$A14,$A14+1),COLUMN('1-DATA'!AW12)),IF($B14="STD. DEVIATION",2,$F$1))))</f>
        <v/>
      </c>
      <c r="AY14" s="1" t="str">
        <f>IF(OR($B14="",AY$7=""),"",IF($B14="MEANS",INDEX('1-DATA'!$1:$1048576,$A13-1,COLUMN('1-DATA'!AX12)),ROUND(INDEX('1-DATA'!$1:$1048576,IF(OR($B14="STD. DEVIATION",$C$1=1),$A14,$A14+1),COLUMN('1-DATA'!AX12)),IF($B14="STD. DEVIATION",2,$F$1))))</f>
        <v/>
      </c>
      <c r="AZ14" s="1" t="str">
        <f>IF(OR($B14="",AZ$7=""),"",IF($B14="MEANS",INDEX('1-DATA'!$1:$1048576,$A13-1,COLUMN('1-DATA'!AY12)),ROUND(INDEX('1-DATA'!$1:$1048576,IF(OR($B14="STD. DEVIATION",$C$1=1),$A14,$A14+1),COLUMN('1-DATA'!AY12)),IF($B14="STD. DEVIATION",2,$F$1))))</f>
        <v/>
      </c>
    </row>
    <row r="15" spans="1:52" x14ac:dyDescent="0.25">
      <c r="A15" s="11">
        <f t="shared" si="0"/>
        <v>31</v>
      </c>
      <c r="B15" s="1" t="str">
        <f>IF(B14="STD. DEVIATION",INDEX('1-DATA'!$1:$1048576,$A14-1,1),IF(INDEX('1-DATA'!$1:$1048576,$A15,1)&lt;&gt;"",INDEX('1-DATA'!$1:$1048576,$A15,1),""))</f>
        <v>STD. DEVIATION</v>
      </c>
      <c r="C15" s="1">
        <f>IF(OR($B15="",C$7=""),"",IF($B15="MEANS",INDEX('1-DATA'!$1:$1048576,$A14-1,COLUMN('1-DATA'!B13)),ROUND(INDEX('1-DATA'!$1:$1048576,IF(OR($B15="STD. DEVIATION",$C$1=1),$A15,$A15+1),COLUMN('1-DATA'!B13)),IF($B15="STD. DEVIATION",2,$F$1))))</f>
        <v>0.57999999999999996</v>
      </c>
      <c r="D15" s="1">
        <f>IF(OR($B15="",D$7=""),"",IF($B15="MEANS",INDEX('1-DATA'!$1:$1048576,$A14-1,COLUMN('1-DATA'!C13)),ROUND(INDEX('1-DATA'!$1:$1048576,IF(OR($B15="STD. DEVIATION",$C$1=1),$A15,$A15+1),COLUMN('1-DATA'!C13)),IF($B15="STD. DEVIATION",2,$F$1))))</f>
        <v>0.48</v>
      </c>
      <c r="E15" s="1">
        <f>IF(OR($B15="",E$7=""),"",IF($B15="MEANS",INDEX('1-DATA'!$1:$1048576,$A14-1,COLUMN('1-DATA'!D13)),ROUND(INDEX('1-DATA'!$1:$1048576,IF(OR($B15="STD. DEVIATION",$C$1=1),$A15,$A15+1),COLUMN('1-DATA'!D13)),IF($B15="STD. DEVIATION",2,$F$1))))</f>
        <v>0.51</v>
      </c>
      <c r="F15" s="1">
        <f>IF(OR($B15="",F$7=""),"",IF($B15="MEANS",INDEX('1-DATA'!$1:$1048576,$A14-1,COLUMN('1-DATA'!E13)),ROUND(INDEX('1-DATA'!$1:$1048576,IF(OR($B15="STD. DEVIATION",$C$1=1),$A15,$A15+1),COLUMN('1-DATA'!E13)),IF($B15="STD. DEVIATION",2,$F$1))))</f>
        <v>0.51</v>
      </c>
      <c r="G15" s="1">
        <f>IF(OR($B15="",G$7=""),"",IF($B15="MEANS",INDEX('1-DATA'!$1:$1048576,$A14-1,COLUMN('1-DATA'!F13)),ROUND(INDEX('1-DATA'!$1:$1048576,IF(OR($B15="STD. DEVIATION",$C$1=1),$A15,$A15+1),COLUMN('1-DATA'!F13)),IF($B15="STD. DEVIATION",2,$F$1))))</f>
        <v>0.56000000000000005</v>
      </c>
      <c r="H15" s="1">
        <f>IF(OR($B15="",H$7=""),"",IF($B15="MEANS",INDEX('1-DATA'!$1:$1048576,$A14-1,COLUMN('1-DATA'!G13)),ROUND(INDEX('1-DATA'!$1:$1048576,IF(OR($B15="STD. DEVIATION",$C$1=1),$A15,$A15+1),COLUMN('1-DATA'!G13)),IF($B15="STD. DEVIATION",2,$F$1))))</f>
        <v>0.7</v>
      </c>
      <c r="I15" s="1">
        <f>IF(OR($B15="",I$7=""),"",IF($B15="MEANS",INDEX('1-DATA'!$1:$1048576,$A14-1,COLUMN('1-DATA'!H13)),ROUND(INDEX('1-DATA'!$1:$1048576,IF(OR($B15="STD. DEVIATION",$C$1=1),$A15,$A15+1),COLUMN('1-DATA'!H13)),IF($B15="STD. DEVIATION",2,$F$1))))</f>
        <v>0.53</v>
      </c>
      <c r="J15" s="1">
        <f>IF(OR($B15="",J$7=""),"",IF($B15="MEANS",INDEX('1-DATA'!$1:$1048576,$A14-1,COLUMN('1-DATA'!I13)),ROUND(INDEX('1-DATA'!$1:$1048576,IF(OR($B15="STD. DEVIATION",$C$1=1),$A15,$A15+1),COLUMN('1-DATA'!I13)),IF($B15="STD. DEVIATION",2,$F$1))))</f>
        <v>0.5</v>
      </c>
      <c r="K15" s="1">
        <f>IF(OR($B15="",K$7=""),"",IF($B15="MEANS",INDEX('1-DATA'!$1:$1048576,$A14-1,COLUMN('1-DATA'!J13)),ROUND(INDEX('1-DATA'!$1:$1048576,IF(OR($B15="STD. DEVIATION",$C$1=1),$A15,$A15+1),COLUMN('1-DATA'!J13)),IF($B15="STD. DEVIATION",2,$F$1))))</f>
        <v>0.51</v>
      </c>
      <c r="L15" s="1">
        <f>IF(OR($B15="",L$7=""),"",IF($B15="MEANS",INDEX('1-DATA'!$1:$1048576,$A14-1,COLUMN('1-DATA'!K13)),ROUND(INDEX('1-DATA'!$1:$1048576,IF(OR($B15="STD. DEVIATION",$C$1=1),$A15,$A15+1),COLUMN('1-DATA'!K13)),IF($B15="STD. DEVIATION",2,$F$1))))</f>
        <v>0.49</v>
      </c>
      <c r="M15" s="1">
        <f>IF(OR($B15="",M$7=""),"",IF($B15="MEANS",INDEX('1-DATA'!$1:$1048576,$A14-1,COLUMN('1-DATA'!L13)),ROUND(INDEX('1-DATA'!$1:$1048576,IF(OR($B15="STD. DEVIATION",$C$1=1),$A15,$A15+1),COLUMN('1-DATA'!L13)),IF($B15="STD. DEVIATION",2,$F$1))))</f>
        <v>0.51</v>
      </c>
      <c r="N15" s="1">
        <f>IF(OR($B15="",N$7=""),"",IF($B15="MEANS",INDEX('1-DATA'!$1:$1048576,$A14-1,COLUMN('1-DATA'!M13)),ROUND(INDEX('1-DATA'!$1:$1048576,IF(OR($B15="STD. DEVIATION",$C$1=1),$A15,$A15+1),COLUMN('1-DATA'!M13)),IF($B15="STD. DEVIATION",2,$F$1))))</f>
        <v>0.59</v>
      </c>
      <c r="O15" s="1">
        <f>IF(OR($B15="",O$7=""),"",IF($B15="MEANS",INDEX('1-DATA'!$1:$1048576,$A14-1,COLUMN('1-DATA'!N13)),ROUND(INDEX('1-DATA'!$1:$1048576,IF(OR($B15="STD. DEVIATION",$C$1=1),$A15,$A15+1),COLUMN('1-DATA'!N13)),IF($B15="STD. DEVIATION",2,$F$1))))</f>
        <v>0.49</v>
      </c>
      <c r="P15" s="1">
        <f>IF(OR($B15="",P$7=""),"",IF($B15="MEANS",INDEX('1-DATA'!$1:$1048576,$A14-1,COLUMN('1-DATA'!O13)),ROUND(INDEX('1-DATA'!$1:$1048576,IF(OR($B15="STD. DEVIATION",$C$1=1),$A15,$A15+1),COLUMN('1-DATA'!O13)),IF($B15="STD. DEVIATION",2,$F$1))))</f>
        <v>0.63</v>
      </c>
      <c r="Q15" s="1">
        <f>IF(OR($B15="",Q$7=""),"",IF($B15="MEANS",INDEX('1-DATA'!$1:$1048576,$A14-1,COLUMN('1-DATA'!P13)),ROUND(INDEX('1-DATA'!$1:$1048576,IF(OR($B15="STD. DEVIATION",$C$1=1),$A15,$A15+1),COLUMN('1-DATA'!P13)),IF($B15="STD. DEVIATION",2,$F$1))))</f>
        <v>0.6</v>
      </c>
      <c r="R15" s="1">
        <f>IF(OR($B15="",R$7=""),"",IF($B15="MEANS",INDEX('1-DATA'!$1:$1048576,$A14-1,COLUMN('1-DATA'!Q13)),ROUND(INDEX('1-DATA'!$1:$1048576,IF(OR($B15="STD. DEVIATION",$C$1=1),$A15,$A15+1),COLUMN('1-DATA'!Q13)),IF($B15="STD. DEVIATION",2,$F$1))))</f>
        <v>0.51</v>
      </c>
      <c r="S15" s="1">
        <f>IF(OR($B15="",S$7=""),"",IF($B15="MEANS",INDEX('1-DATA'!$1:$1048576,$A14-1,COLUMN('1-DATA'!R13)),ROUND(INDEX('1-DATA'!$1:$1048576,IF(OR($B15="STD. DEVIATION",$C$1=1),$A15,$A15+1),COLUMN('1-DATA'!R13)),IF($B15="STD. DEVIATION",2,$F$1))))</f>
        <v>0.49</v>
      </c>
      <c r="T15" s="1">
        <f>IF(OR($B15="",T$7=""),"",IF($B15="MEANS",INDEX('1-DATA'!$1:$1048576,$A14-1,COLUMN('1-DATA'!S13)),ROUND(INDEX('1-DATA'!$1:$1048576,IF(OR($B15="STD. DEVIATION",$C$1=1),$A15,$A15+1),COLUMN('1-DATA'!S13)),IF($B15="STD. DEVIATION",2,$F$1))))</f>
        <v>0.66</v>
      </c>
      <c r="U15" s="1">
        <f>IF(OR($B15="",U$7=""),"",IF($B15="MEANS",INDEX('1-DATA'!$1:$1048576,$A14-1,COLUMN('1-DATA'!T13)),ROUND(INDEX('1-DATA'!$1:$1048576,IF(OR($B15="STD. DEVIATION",$C$1=1),$A15,$A15+1),COLUMN('1-DATA'!T13)),IF($B15="STD. DEVIATION",2,$F$1))))</f>
        <v>0.56000000000000005</v>
      </c>
      <c r="V15" s="1">
        <f>IF(OR($B15="",V$7=""),"",IF($B15="MEANS",INDEX('1-DATA'!$1:$1048576,$A14-1,COLUMN('1-DATA'!U13)),ROUND(INDEX('1-DATA'!$1:$1048576,IF(OR($B15="STD. DEVIATION",$C$1=1),$A15,$A15+1),COLUMN('1-DATA'!U13)),IF($B15="STD. DEVIATION",2,$F$1))))</f>
        <v>0.69</v>
      </c>
      <c r="W15" s="1">
        <f>IF(OR($B15="",W$7=""),"",IF($B15="MEANS",INDEX('1-DATA'!$1:$1048576,$A14-1,COLUMN('1-DATA'!V13)),ROUND(INDEX('1-DATA'!$1:$1048576,IF(OR($B15="STD. DEVIATION",$C$1=1),$A15,$A15+1),COLUMN('1-DATA'!V13)),IF($B15="STD. DEVIATION",2,$F$1))))</f>
        <v>0.49</v>
      </c>
      <c r="X15" s="1">
        <f>IF(OR($B15="",X$7=""),"",IF($B15="MEANS",INDEX('1-DATA'!$1:$1048576,$A14-1,COLUMN('1-DATA'!W13)),ROUND(INDEX('1-DATA'!$1:$1048576,IF(OR($B15="STD. DEVIATION",$C$1=1),$A15,$A15+1),COLUMN('1-DATA'!W13)),IF($B15="STD. DEVIATION",2,$F$1))))</f>
        <v>0.48</v>
      </c>
      <c r="Y15" s="1">
        <f>IF(OR($B15="",Y$7=""),"",IF($B15="MEANS",INDEX('1-DATA'!$1:$1048576,$A14-1,COLUMN('1-DATA'!X13)),ROUND(INDEX('1-DATA'!$1:$1048576,IF(OR($B15="STD. DEVIATION",$C$1=1),$A15,$A15+1),COLUMN('1-DATA'!X13)),IF($B15="STD. DEVIATION",2,$F$1))))</f>
        <v>0.51</v>
      </c>
      <c r="Z15" s="1">
        <f>IF(OR($B15="",Z$7=""),"",IF($B15="MEANS",INDEX('1-DATA'!$1:$1048576,$A14-1,COLUMN('1-DATA'!Y13)),ROUND(INDEX('1-DATA'!$1:$1048576,IF(OR($B15="STD. DEVIATION",$C$1=1),$A15,$A15+1),COLUMN('1-DATA'!Y13)),IF($B15="STD. DEVIATION",2,$F$1))))</f>
        <v>0.59</v>
      </c>
      <c r="AA15" s="1">
        <f>IF(OR($B15="",AA$7=""),"",IF($B15="MEANS",INDEX('1-DATA'!$1:$1048576,$A14-1,COLUMN('1-DATA'!Z13)),ROUND(INDEX('1-DATA'!$1:$1048576,IF(OR($B15="STD. DEVIATION",$C$1=1),$A15,$A15+1),COLUMN('1-DATA'!Z13)),IF($B15="STD. DEVIATION",2,$F$1))))</f>
        <v>0.92</v>
      </c>
      <c r="AB15" s="1" t="str">
        <f>IF(OR($B15="",AB$7=""),"",IF($B15="MEANS",INDEX('1-DATA'!$1:$1048576,$A14-1,COLUMN('1-DATA'!AA13)),ROUND(INDEX('1-DATA'!$1:$1048576,IF(OR($B15="STD. DEVIATION",$C$1=1),$A15,$A15+1),COLUMN('1-DATA'!AA13)),IF($B15="STD. DEVIATION",2,$F$1))))</f>
        <v/>
      </c>
      <c r="AC15" s="1" t="str">
        <f>IF(OR($B15="",AC$7=""),"",IF($B15="MEANS",INDEX('1-DATA'!$1:$1048576,$A14-1,COLUMN('1-DATA'!AB13)),ROUND(INDEX('1-DATA'!$1:$1048576,IF(OR($B15="STD. DEVIATION",$C$1=1),$A15,$A15+1),COLUMN('1-DATA'!AB13)),IF($B15="STD. DEVIATION",2,$F$1))))</f>
        <v/>
      </c>
      <c r="AD15" s="1" t="str">
        <f>IF(OR($B15="",AD$7=""),"",IF($B15="MEANS",INDEX('1-DATA'!$1:$1048576,$A14-1,COLUMN('1-DATA'!AC13)),ROUND(INDEX('1-DATA'!$1:$1048576,IF(OR($B15="STD. DEVIATION",$C$1=1),$A15,$A15+1),COLUMN('1-DATA'!AC13)),IF($B15="STD. DEVIATION",2,$F$1))))</f>
        <v/>
      </c>
      <c r="AE15" s="1" t="str">
        <f>IF(OR($B15="",AE$7=""),"",IF($B15="MEANS",INDEX('1-DATA'!$1:$1048576,$A14-1,COLUMN('1-DATA'!AD13)),ROUND(INDEX('1-DATA'!$1:$1048576,IF(OR($B15="STD. DEVIATION",$C$1=1),$A15,$A15+1),COLUMN('1-DATA'!AD13)),IF($B15="STD. DEVIATION",2,$F$1))))</f>
        <v/>
      </c>
      <c r="AF15" s="1" t="str">
        <f>IF(OR($B15="",AF$7=""),"",IF($B15="MEANS",INDEX('1-DATA'!$1:$1048576,$A14-1,COLUMN('1-DATA'!AE13)),ROUND(INDEX('1-DATA'!$1:$1048576,IF(OR($B15="STD. DEVIATION",$C$1=1),$A15,$A15+1),COLUMN('1-DATA'!AE13)),IF($B15="STD. DEVIATION",2,$F$1))))</f>
        <v/>
      </c>
      <c r="AG15" s="1" t="str">
        <f>IF(OR($B15="",AG$7=""),"",IF($B15="MEANS",INDEX('1-DATA'!$1:$1048576,$A14-1,COLUMN('1-DATA'!AF13)),ROUND(INDEX('1-DATA'!$1:$1048576,IF(OR($B15="STD. DEVIATION",$C$1=1),$A15,$A15+1),COLUMN('1-DATA'!AF13)),IF($B15="STD. DEVIATION",2,$F$1))))</f>
        <v/>
      </c>
      <c r="AH15" s="1" t="str">
        <f>IF(OR($B15="",AH$7=""),"",IF($B15="MEANS",INDEX('1-DATA'!$1:$1048576,$A14-1,COLUMN('1-DATA'!AG13)),ROUND(INDEX('1-DATA'!$1:$1048576,IF(OR($B15="STD. DEVIATION",$C$1=1),$A15,$A15+1),COLUMN('1-DATA'!AG13)),IF($B15="STD. DEVIATION",2,$F$1))))</f>
        <v/>
      </c>
      <c r="AI15" s="1" t="str">
        <f>IF(OR($B15="",AI$7=""),"",IF($B15="MEANS",INDEX('1-DATA'!$1:$1048576,$A14-1,COLUMN('1-DATA'!AH13)),ROUND(INDEX('1-DATA'!$1:$1048576,IF(OR($B15="STD. DEVIATION",$C$1=1),$A15,$A15+1),COLUMN('1-DATA'!AH13)),IF($B15="STD. DEVIATION",2,$F$1))))</f>
        <v/>
      </c>
      <c r="AJ15" s="1" t="str">
        <f>IF(OR($B15="",AJ$7=""),"",IF($B15="MEANS",INDEX('1-DATA'!$1:$1048576,$A14-1,COLUMN('1-DATA'!AI13)),ROUND(INDEX('1-DATA'!$1:$1048576,IF(OR($B15="STD. DEVIATION",$C$1=1),$A15,$A15+1),COLUMN('1-DATA'!AI13)),IF($B15="STD. DEVIATION",2,$F$1))))</f>
        <v/>
      </c>
      <c r="AK15" s="1" t="str">
        <f>IF(OR($B15="",AK$7=""),"",IF($B15="MEANS",INDEX('1-DATA'!$1:$1048576,$A14-1,COLUMN('1-DATA'!AJ13)),ROUND(INDEX('1-DATA'!$1:$1048576,IF(OR($B15="STD. DEVIATION",$C$1=1),$A15,$A15+1),COLUMN('1-DATA'!AJ13)),IF($B15="STD. DEVIATION",2,$F$1))))</f>
        <v/>
      </c>
      <c r="AL15" s="1" t="str">
        <f>IF(OR($B15="",AL$7=""),"",IF($B15="MEANS",INDEX('1-DATA'!$1:$1048576,$A14-1,COLUMN('1-DATA'!AK13)),ROUND(INDEX('1-DATA'!$1:$1048576,IF(OR($B15="STD. DEVIATION",$C$1=1),$A15,$A15+1),COLUMN('1-DATA'!AK13)),IF($B15="STD. DEVIATION",2,$F$1))))</f>
        <v/>
      </c>
      <c r="AM15" s="1" t="str">
        <f>IF(OR($B15="",AM$7=""),"",IF($B15="MEANS",INDEX('1-DATA'!$1:$1048576,$A14-1,COLUMN('1-DATA'!AL13)),ROUND(INDEX('1-DATA'!$1:$1048576,IF(OR($B15="STD. DEVIATION",$C$1=1),$A15,$A15+1),COLUMN('1-DATA'!AL13)),IF($B15="STD. DEVIATION",2,$F$1))))</f>
        <v/>
      </c>
      <c r="AN15" s="1" t="str">
        <f>IF(OR($B15="",AN$7=""),"",IF($B15="MEANS",INDEX('1-DATA'!$1:$1048576,$A14-1,COLUMN('1-DATA'!AM13)),ROUND(INDEX('1-DATA'!$1:$1048576,IF(OR($B15="STD. DEVIATION",$C$1=1),$A15,$A15+1),COLUMN('1-DATA'!AM13)),IF($B15="STD. DEVIATION",2,$F$1))))</f>
        <v/>
      </c>
      <c r="AO15" s="1" t="str">
        <f>IF(OR($B15="",AO$7=""),"",IF($B15="MEANS",INDEX('1-DATA'!$1:$1048576,$A14-1,COLUMN('1-DATA'!AN13)),ROUND(INDEX('1-DATA'!$1:$1048576,IF(OR($B15="STD. DEVIATION",$C$1=1),$A15,$A15+1),COLUMN('1-DATA'!AN13)),IF($B15="STD. DEVIATION",2,$F$1))))</f>
        <v/>
      </c>
      <c r="AP15" s="1" t="str">
        <f>IF(OR($B15="",AP$7=""),"",IF($B15="MEANS",INDEX('1-DATA'!$1:$1048576,$A14-1,COLUMN('1-DATA'!AO13)),ROUND(INDEX('1-DATA'!$1:$1048576,IF(OR($B15="STD. DEVIATION",$C$1=1),$A15,$A15+1),COLUMN('1-DATA'!AO13)),IF($B15="STD. DEVIATION",2,$F$1))))</f>
        <v/>
      </c>
      <c r="AQ15" s="1" t="str">
        <f>IF(OR($B15="",AQ$7=""),"",IF($B15="MEANS",INDEX('1-DATA'!$1:$1048576,$A14-1,COLUMN('1-DATA'!AP13)),ROUND(INDEX('1-DATA'!$1:$1048576,IF(OR($B15="STD. DEVIATION",$C$1=1),$A15,$A15+1),COLUMN('1-DATA'!AP13)),IF($B15="STD. DEVIATION",2,$F$1))))</f>
        <v/>
      </c>
      <c r="AR15" s="1" t="str">
        <f>IF(OR($B15="",AR$7=""),"",IF($B15="MEANS",INDEX('1-DATA'!$1:$1048576,$A14-1,COLUMN('1-DATA'!AQ13)),ROUND(INDEX('1-DATA'!$1:$1048576,IF(OR($B15="STD. DEVIATION",$C$1=1),$A15,$A15+1),COLUMN('1-DATA'!AQ13)),IF($B15="STD. DEVIATION",2,$F$1))))</f>
        <v/>
      </c>
      <c r="AS15" s="1" t="str">
        <f>IF(OR($B15="",AS$7=""),"",IF($B15="MEANS",INDEX('1-DATA'!$1:$1048576,$A14-1,COLUMN('1-DATA'!AR13)),ROUND(INDEX('1-DATA'!$1:$1048576,IF(OR($B15="STD. DEVIATION",$C$1=1),$A15,$A15+1),COLUMN('1-DATA'!AR13)),IF($B15="STD. DEVIATION",2,$F$1))))</f>
        <v/>
      </c>
      <c r="AT15" s="1" t="str">
        <f>IF(OR($B15="",AT$7=""),"",IF($B15="MEANS",INDEX('1-DATA'!$1:$1048576,$A14-1,COLUMN('1-DATA'!AS13)),ROUND(INDEX('1-DATA'!$1:$1048576,IF(OR($B15="STD. DEVIATION",$C$1=1),$A15,$A15+1),COLUMN('1-DATA'!AS13)),IF($B15="STD. DEVIATION",2,$F$1))))</f>
        <v/>
      </c>
      <c r="AU15" s="1" t="str">
        <f>IF(OR($B15="",AU$7=""),"",IF($B15="MEANS",INDEX('1-DATA'!$1:$1048576,$A14-1,COLUMN('1-DATA'!AT13)),ROUND(INDEX('1-DATA'!$1:$1048576,IF(OR($B15="STD. DEVIATION",$C$1=1),$A15,$A15+1),COLUMN('1-DATA'!AT13)),IF($B15="STD. DEVIATION",2,$F$1))))</f>
        <v/>
      </c>
      <c r="AV15" s="1" t="str">
        <f>IF(OR($B15="",AV$7=""),"",IF($B15="MEANS",INDEX('1-DATA'!$1:$1048576,$A14-1,COLUMN('1-DATA'!AU13)),ROUND(INDEX('1-DATA'!$1:$1048576,IF(OR($B15="STD. DEVIATION",$C$1=1),$A15,$A15+1),COLUMN('1-DATA'!AU13)),IF($B15="STD. DEVIATION",2,$F$1))))</f>
        <v/>
      </c>
      <c r="AW15" s="1" t="str">
        <f>IF(OR($B15="",AW$7=""),"",IF($B15="MEANS",INDEX('1-DATA'!$1:$1048576,$A14-1,COLUMN('1-DATA'!AV13)),ROUND(INDEX('1-DATA'!$1:$1048576,IF(OR($B15="STD. DEVIATION",$C$1=1),$A15,$A15+1),COLUMN('1-DATA'!AV13)),IF($B15="STD. DEVIATION",2,$F$1))))</f>
        <v/>
      </c>
      <c r="AX15" s="1" t="str">
        <f>IF(OR($B15="",AX$7=""),"",IF($B15="MEANS",INDEX('1-DATA'!$1:$1048576,$A14-1,COLUMN('1-DATA'!AW13)),ROUND(INDEX('1-DATA'!$1:$1048576,IF(OR($B15="STD. DEVIATION",$C$1=1),$A15,$A15+1),COLUMN('1-DATA'!AW13)),IF($B15="STD. DEVIATION",2,$F$1))))</f>
        <v/>
      </c>
      <c r="AY15" s="1" t="str">
        <f>IF(OR($B15="",AY$7=""),"",IF($B15="MEANS",INDEX('1-DATA'!$1:$1048576,$A14-1,COLUMN('1-DATA'!AX13)),ROUND(INDEX('1-DATA'!$1:$1048576,IF(OR($B15="STD. DEVIATION",$C$1=1),$A15,$A15+1),COLUMN('1-DATA'!AX13)),IF($B15="STD. DEVIATION",2,$F$1))))</f>
        <v/>
      </c>
      <c r="AZ15" s="1" t="str">
        <f>IF(OR($B15="",AZ$7=""),"",IF($B15="MEANS",INDEX('1-DATA'!$1:$1048576,$A14-1,COLUMN('1-DATA'!AY13)),ROUND(INDEX('1-DATA'!$1:$1048576,IF(OR($B15="STD. DEVIATION",$C$1=1),$A15,$A15+1),COLUMN('1-DATA'!AY13)),IF($B15="STD. DEVIATION",2,$F$1))))</f>
        <v/>
      </c>
    </row>
    <row r="16" spans="1:52" x14ac:dyDescent="0.25">
      <c r="A16" s="11">
        <f t="shared" si="0"/>
        <v>34</v>
      </c>
      <c r="B16" s="1" t="str">
        <f>IF(B15="STD. DEVIATION",INDEX('1-DATA'!$1:$1048576,$A15-1,1),IF(INDEX('1-DATA'!$1:$1048576,$A16,1)&lt;&gt;"",INDEX('1-DATA'!$1:$1048576,$A16,1),""))</f>
        <v>MEANS</v>
      </c>
      <c r="C16" s="1">
        <f>IF(OR($B16="",C$7=""),"",IF($B16="MEANS",INDEX('1-DATA'!$1:$1048576,$A15-1,COLUMN('1-DATA'!B14)),ROUND(INDEX('1-DATA'!$1:$1048576,IF(OR($B16="STD. DEVIATION",$C$1=1),$A16,$A16+1),COLUMN('1-DATA'!B14)),IF($B16="STD. DEVIATION",2,$F$1))))</f>
        <v>4.6399999999999997</v>
      </c>
      <c r="D16" s="1">
        <f>IF(OR($B16="",D$7=""),"",IF($B16="MEANS",INDEX('1-DATA'!$1:$1048576,$A15-1,COLUMN('1-DATA'!C14)),ROUND(INDEX('1-DATA'!$1:$1048576,IF(OR($B16="STD. DEVIATION",$C$1=1),$A16,$A16+1),COLUMN('1-DATA'!C14)),IF($B16="STD. DEVIATION",2,$F$1))))</f>
        <v>4.68</v>
      </c>
      <c r="E16" s="1">
        <f>IF(OR($B16="",E$7=""),"",IF($B16="MEANS",INDEX('1-DATA'!$1:$1048576,$A15-1,COLUMN('1-DATA'!D14)),ROUND(INDEX('1-DATA'!$1:$1048576,IF(OR($B16="STD. DEVIATION",$C$1=1),$A16,$A16+1),COLUMN('1-DATA'!D14)),IF($B16="STD. DEVIATION",2,$F$1))))</f>
        <v>4.55</v>
      </c>
      <c r="F16" s="1">
        <f>IF(OR($B16="",F$7=""),"",IF($B16="MEANS",INDEX('1-DATA'!$1:$1048576,$A15-1,COLUMN('1-DATA'!E14)),ROUND(INDEX('1-DATA'!$1:$1048576,IF(OR($B16="STD. DEVIATION",$C$1=1),$A16,$A16+1),COLUMN('1-DATA'!E14)),IF($B16="STD. DEVIATION",2,$F$1))))</f>
        <v>4.43</v>
      </c>
      <c r="G16" s="1">
        <f>IF(OR($B16="",G$7=""),"",IF($B16="MEANS",INDEX('1-DATA'!$1:$1048576,$A15-1,COLUMN('1-DATA'!F14)),ROUND(INDEX('1-DATA'!$1:$1048576,IF(OR($B16="STD. DEVIATION",$C$1=1),$A16,$A16+1),COLUMN('1-DATA'!F14)),IF($B16="STD. DEVIATION",2,$F$1))))</f>
        <v>4.29</v>
      </c>
      <c r="H16" s="1">
        <f>IF(OR($B16="",H$7=""),"",IF($B16="MEANS",INDEX('1-DATA'!$1:$1048576,$A15-1,COLUMN('1-DATA'!G14)),ROUND(INDEX('1-DATA'!$1:$1048576,IF(OR($B16="STD. DEVIATION",$C$1=1),$A16,$A16+1),COLUMN('1-DATA'!G14)),IF($B16="STD. DEVIATION",2,$F$1))))</f>
        <v>4.24</v>
      </c>
      <c r="I16" s="1">
        <f>IF(OR($B16="",I$7=""),"",IF($B16="MEANS",INDEX('1-DATA'!$1:$1048576,$A15-1,COLUMN('1-DATA'!H14)),ROUND(INDEX('1-DATA'!$1:$1048576,IF(OR($B16="STD. DEVIATION",$C$1=1),$A16,$A16+1),COLUMN('1-DATA'!H14)),IF($B16="STD. DEVIATION",2,$F$1))))</f>
        <v>4.2300000000000004</v>
      </c>
      <c r="J16" s="1">
        <f>IF(OR($B16="",J$7=""),"",IF($B16="MEANS",INDEX('1-DATA'!$1:$1048576,$A15-1,COLUMN('1-DATA'!I14)),ROUND(INDEX('1-DATA'!$1:$1048576,IF(OR($B16="STD. DEVIATION",$C$1=1),$A16,$A16+1),COLUMN('1-DATA'!I14)),IF($B16="STD. DEVIATION",2,$F$1))))</f>
        <v>4.41</v>
      </c>
      <c r="K16" s="1">
        <f>IF(OR($B16="",K$7=""),"",IF($B16="MEANS",INDEX('1-DATA'!$1:$1048576,$A15-1,COLUMN('1-DATA'!J14)),ROUND(INDEX('1-DATA'!$1:$1048576,IF(OR($B16="STD. DEVIATION",$C$1=1),$A16,$A16+1),COLUMN('1-DATA'!J14)),IF($B16="STD. DEVIATION",2,$F$1))))</f>
        <v>4.5</v>
      </c>
      <c r="L16" s="1">
        <f>IF(OR($B16="",L$7=""),"",IF($B16="MEANS",INDEX('1-DATA'!$1:$1048576,$A15-1,COLUMN('1-DATA'!K14)),ROUND(INDEX('1-DATA'!$1:$1048576,IF(OR($B16="STD. DEVIATION",$C$1=1),$A16,$A16+1),COLUMN('1-DATA'!K14)),IF($B16="STD. DEVIATION",2,$F$1))))</f>
        <v>4.6399999999999997</v>
      </c>
      <c r="M16" s="1">
        <f>IF(OR($B16="",M$7=""),"",IF($B16="MEANS",INDEX('1-DATA'!$1:$1048576,$A15-1,COLUMN('1-DATA'!L14)),ROUND(INDEX('1-DATA'!$1:$1048576,IF(OR($B16="STD. DEVIATION",$C$1=1),$A16,$A16+1),COLUMN('1-DATA'!L14)),IF($B16="STD. DEVIATION",2,$F$1))))</f>
        <v>4.45</v>
      </c>
      <c r="N16" s="1">
        <f>IF(OR($B16="",N$7=""),"",IF($B16="MEANS",INDEX('1-DATA'!$1:$1048576,$A15-1,COLUMN('1-DATA'!M14)),ROUND(INDEX('1-DATA'!$1:$1048576,IF(OR($B16="STD. DEVIATION",$C$1=1),$A16,$A16+1),COLUMN('1-DATA'!M14)),IF($B16="STD. DEVIATION",2,$F$1))))</f>
        <v>4.41</v>
      </c>
      <c r="O16" s="1">
        <f>IF(OR($B16="",O$7=""),"",IF($B16="MEANS",INDEX('1-DATA'!$1:$1048576,$A15-1,COLUMN('1-DATA'!N14)),ROUND(INDEX('1-DATA'!$1:$1048576,IF(OR($B16="STD. DEVIATION",$C$1=1),$A16,$A16+1),COLUMN('1-DATA'!N14)),IF($B16="STD. DEVIATION",2,$F$1))))</f>
        <v>4.3600000000000003</v>
      </c>
      <c r="P16" s="1">
        <f>IF(OR($B16="",P$7=""),"",IF($B16="MEANS",INDEX('1-DATA'!$1:$1048576,$A15-1,COLUMN('1-DATA'!O14)),ROUND(INDEX('1-DATA'!$1:$1048576,IF(OR($B16="STD. DEVIATION",$C$1=1),$A16,$A16+1),COLUMN('1-DATA'!O14)),IF($B16="STD. DEVIATION",2,$F$1))))</f>
        <v>4.2699999999999996</v>
      </c>
      <c r="Q16" s="1">
        <f>IF(OR($B16="",Q$7=""),"",IF($B16="MEANS",INDEX('1-DATA'!$1:$1048576,$A15-1,COLUMN('1-DATA'!P14)),ROUND(INDEX('1-DATA'!$1:$1048576,IF(OR($B16="STD. DEVIATION",$C$1=1),$A16,$A16+1),COLUMN('1-DATA'!P14)),IF($B16="STD. DEVIATION",2,$F$1))))</f>
        <v>4.45</v>
      </c>
      <c r="R16" s="1">
        <f>IF(OR($B16="",R$7=""),"",IF($B16="MEANS",INDEX('1-DATA'!$1:$1048576,$A15-1,COLUMN('1-DATA'!Q14)),ROUND(INDEX('1-DATA'!$1:$1048576,IF(OR($B16="STD. DEVIATION",$C$1=1),$A16,$A16+1),COLUMN('1-DATA'!Q14)),IF($B16="STD. DEVIATION",2,$F$1))))</f>
        <v>4.55</v>
      </c>
      <c r="S16" s="1">
        <f>IF(OR($B16="",S$7=""),"",IF($B16="MEANS",INDEX('1-DATA'!$1:$1048576,$A15-1,COLUMN('1-DATA'!R14)),ROUND(INDEX('1-DATA'!$1:$1048576,IF(OR($B16="STD. DEVIATION",$C$1=1),$A16,$A16+1),COLUMN('1-DATA'!R14)),IF($B16="STD. DEVIATION",2,$F$1))))</f>
        <v>4.6399999999999997</v>
      </c>
      <c r="T16" s="1">
        <f>IF(OR($B16="",T$7=""),"",IF($B16="MEANS",INDEX('1-DATA'!$1:$1048576,$A15-1,COLUMN('1-DATA'!S14)),ROUND(INDEX('1-DATA'!$1:$1048576,IF(OR($B16="STD. DEVIATION",$C$1=1),$A16,$A16+1),COLUMN('1-DATA'!S14)),IF($B16="STD. DEVIATION",2,$F$1))))</f>
        <v>4.3600000000000003</v>
      </c>
      <c r="U16" s="1">
        <f>IF(OR($B16="",U$7=""),"",IF($B16="MEANS",INDEX('1-DATA'!$1:$1048576,$A15-1,COLUMN('1-DATA'!T14)),ROUND(INDEX('1-DATA'!$1:$1048576,IF(OR($B16="STD. DEVIATION",$C$1=1),$A16,$A16+1),COLUMN('1-DATA'!T14)),IF($B16="STD. DEVIATION",2,$F$1))))</f>
        <v>4.1399999999999997</v>
      </c>
      <c r="V16" s="1">
        <f>IF(OR($B16="",V$7=""),"",IF($B16="MEANS",INDEX('1-DATA'!$1:$1048576,$A15-1,COLUMN('1-DATA'!U14)),ROUND(INDEX('1-DATA'!$1:$1048576,IF(OR($B16="STD. DEVIATION",$C$1=1),$A16,$A16+1),COLUMN('1-DATA'!U14)),IF($B16="STD. DEVIATION",2,$F$1))))</f>
        <v>4.2300000000000004</v>
      </c>
      <c r="W16" s="1">
        <f>IF(OR($B16="",W$7=""),"",IF($B16="MEANS",INDEX('1-DATA'!$1:$1048576,$A15-1,COLUMN('1-DATA'!V14)),ROUND(INDEX('1-DATA'!$1:$1048576,IF(OR($B16="STD. DEVIATION",$C$1=1),$A16,$A16+1),COLUMN('1-DATA'!V14)),IF($B16="STD. DEVIATION",2,$F$1))))</f>
        <v>4.6399999999999997</v>
      </c>
      <c r="X16" s="1">
        <f>IF(OR($B16="",X$7=""),"",IF($B16="MEANS",INDEX('1-DATA'!$1:$1048576,$A15-1,COLUMN('1-DATA'!W14)),ROUND(INDEX('1-DATA'!$1:$1048576,IF(OR($B16="STD. DEVIATION",$C$1=1),$A16,$A16+1),COLUMN('1-DATA'!W14)),IF($B16="STD. DEVIATION",2,$F$1))))</f>
        <v>4.68</v>
      </c>
      <c r="Y16" s="1">
        <f>IF(OR($B16="",Y$7=""),"",IF($B16="MEANS",INDEX('1-DATA'!$1:$1048576,$A15-1,COLUMN('1-DATA'!X14)),ROUND(INDEX('1-DATA'!$1:$1048576,IF(OR($B16="STD. DEVIATION",$C$1=1),$A16,$A16+1),COLUMN('1-DATA'!X14)),IF($B16="STD. DEVIATION",2,$F$1))))</f>
        <v>4.45</v>
      </c>
      <c r="Z16" s="1">
        <f>IF(OR($B16="",Z$7=""),"",IF($B16="MEANS",INDEX('1-DATA'!$1:$1048576,$A15-1,COLUMN('1-DATA'!Y14)),ROUND(INDEX('1-DATA'!$1:$1048576,IF(OR($B16="STD. DEVIATION",$C$1=1),$A16,$A16+1),COLUMN('1-DATA'!Y14)),IF($B16="STD. DEVIATION",2,$F$1))))</f>
        <v>4.59</v>
      </c>
      <c r="AA16" s="1">
        <f>IF(OR($B16="",AA$7=""),"",IF($B16="MEANS",INDEX('1-DATA'!$1:$1048576,$A15-1,COLUMN('1-DATA'!Z14)),ROUND(INDEX('1-DATA'!$1:$1048576,IF(OR($B16="STD. DEVIATION",$C$1=1),$A16,$A16+1),COLUMN('1-DATA'!Z14)),IF($B16="STD. DEVIATION",2,$F$1))))</f>
        <v>4</v>
      </c>
      <c r="AB16" s="1" t="str">
        <f>IF(OR($B16="",AB$7=""),"",IF($B16="MEANS",INDEX('1-DATA'!$1:$1048576,$A15-1,COLUMN('1-DATA'!AA14)),ROUND(INDEX('1-DATA'!$1:$1048576,IF(OR($B16="STD. DEVIATION",$C$1=1),$A16,$A16+1),COLUMN('1-DATA'!AA14)),IF($B16="STD. DEVIATION",2,$F$1))))</f>
        <v/>
      </c>
      <c r="AC16" s="1" t="str">
        <f>IF(OR($B16="",AC$7=""),"",IF($B16="MEANS",INDEX('1-DATA'!$1:$1048576,$A15-1,COLUMN('1-DATA'!AB14)),ROUND(INDEX('1-DATA'!$1:$1048576,IF(OR($B16="STD. DEVIATION",$C$1=1),$A16,$A16+1),COLUMN('1-DATA'!AB14)),IF($B16="STD. DEVIATION",2,$F$1))))</f>
        <v/>
      </c>
      <c r="AD16" s="1" t="str">
        <f>IF(OR($B16="",AD$7=""),"",IF($B16="MEANS",INDEX('1-DATA'!$1:$1048576,$A15-1,COLUMN('1-DATA'!AC14)),ROUND(INDEX('1-DATA'!$1:$1048576,IF(OR($B16="STD. DEVIATION",$C$1=1),$A16,$A16+1),COLUMN('1-DATA'!AC14)),IF($B16="STD. DEVIATION",2,$F$1))))</f>
        <v/>
      </c>
      <c r="AE16" s="1" t="str">
        <f>IF(OR($B16="",AE$7=""),"",IF($B16="MEANS",INDEX('1-DATA'!$1:$1048576,$A15-1,COLUMN('1-DATA'!AD14)),ROUND(INDEX('1-DATA'!$1:$1048576,IF(OR($B16="STD. DEVIATION",$C$1=1),$A16,$A16+1),COLUMN('1-DATA'!AD14)),IF($B16="STD. DEVIATION",2,$F$1))))</f>
        <v/>
      </c>
      <c r="AF16" s="1" t="str">
        <f>IF(OR($B16="",AF$7=""),"",IF($B16="MEANS",INDEX('1-DATA'!$1:$1048576,$A15-1,COLUMN('1-DATA'!AE14)),ROUND(INDEX('1-DATA'!$1:$1048576,IF(OR($B16="STD. DEVIATION",$C$1=1),$A16,$A16+1),COLUMN('1-DATA'!AE14)),IF($B16="STD. DEVIATION",2,$F$1))))</f>
        <v/>
      </c>
      <c r="AG16" s="1" t="str">
        <f>IF(OR($B16="",AG$7=""),"",IF($B16="MEANS",INDEX('1-DATA'!$1:$1048576,$A15-1,COLUMN('1-DATA'!AF14)),ROUND(INDEX('1-DATA'!$1:$1048576,IF(OR($B16="STD. DEVIATION",$C$1=1),$A16,$A16+1),COLUMN('1-DATA'!AF14)),IF($B16="STD. DEVIATION",2,$F$1))))</f>
        <v/>
      </c>
      <c r="AH16" s="1" t="str">
        <f>IF(OR($B16="",AH$7=""),"",IF($B16="MEANS",INDEX('1-DATA'!$1:$1048576,$A15-1,COLUMN('1-DATA'!AG14)),ROUND(INDEX('1-DATA'!$1:$1048576,IF(OR($B16="STD. DEVIATION",$C$1=1),$A16,$A16+1),COLUMN('1-DATA'!AG14)),IF($B16="STD. DEVIATION",2,$F$1))))</f>
        <v/>
      </c>
      <c r="AI16" s="1" t="str">
        <f>IF(OR($B16="",AI$7=""),"",IF($B16="MEANS",INDEX('1-DATA'!$1:$1048576,$A15-1,COLUMN('1-DATA'!AH14)),ROUND(INDEX('1-DATA'!$1:$1048576,IF(OR($B16="STD. DEVIATION",$C$1=1),$A16,$A16+1),COLUMN('1-DATA'!AH14)),IF($B16="STD. DEVIATION",2,$F$1))))</f>
        <v/>
      </c>
      <c r="AJ16" s="1" t="str">
        <f>IF(OR($B16="",AJ$7=""),"",IF($B16="MEANS",INDEX('1-DATA'!$1:$1048576,$A15-1,COLUMN('1-DATA'!AI14)),ROUND(INDEX('1-DATA'!$1:$1048576,IF(OR($B16="STD. DEVIATION",$C$1=1),$A16,$A16+1),COLUMN('1-DATA'!AI14)),IF($B16="STD. DEVIATION",2,$F$1))))</f>
        <v/>
      </c>
      <c r="AK16" s="1" t="str">
        <f>IF(OR($B16="",AK$7=""),"",IF($B16="MEANS",INDEX('1-DATA'!$1:$1048576,$A15-1,COLUMN('1-DATA'!AJ14)),ROUND(INDEX('1-DATA'!$1:$1048576,IF(OR($B16="STD. DEVIATION",$C$1=1),$A16,$A16+1),COLUMN('1-DATA'!AJ14)),IF($B16="STD. DEVIATION",2,$F$1))))</f>
        <v/>
      </c>
      <c r="AL16" s="1" t="str">
        <f>IF(OR($B16="",AL$7=""),"",IF($B16="MEANS",INDEX('1-DATA'!$1:$1048576,$A15-1,COLUMN('1-DATA'!AK14)),ROUND(INDEX('1-DATA'!$1:$1048576,IF(OR($B16="STD. DEVIATION",$C$1=1),$A16,$A16+1),COLUMN('1-DATA'!AK14)),IF($B16="STD. DEVIATION",2,$F$1))))</f>
        <v/>
      </c>
      <c r="AM16" s="1" t="str">
        <f>IF(OR($B16="",AM$7=""),"",IF($B16="MEANS",INDEX('1-DATA'!$1:$1048576,$A15-1,COLUMN('1-DATA'!AL14)),ROUND(INDEX('1-DATA'!$1:$1048576,IF(OR($B16="STD. DEVIATION",$C$1=1),$A16,$A16+1),COLUMN('1-DATA'!AL14)),IF($B16="STD. DEVIATION",2,$F$1))))</f>
        <v/>
      </c>
      <c r="AN16" s="1" t="str">
        <f>IF(OR($B16="",AN$7=""),"",IF($B16="MEANS",INDEX('1-DATA'!$1:$1048576,$A15-1,COLUMN('1-DATA'!AM14)),ROUND(INDEX('1-DATA'!$1:$1048576,IF(OR($B16="STD. DEVIATION",$C$1=1),$A16,$A16+1),COLUMN('1-DATA'!AM14)),IF($B16="STD. DEVIATION",2,$F$1))))</f>
        <v/>
      </c>
      <c r="AO16" s="1" t="str">
        <f>IF(OR($B16="",AO$7=""),"",IF($B16="MEANS",INDEX('1-DATA'!$1:$1048576,$A15-1,COLUMN('1-DATA'!AN14)),ROUND(INDEX('1-DATA'!$1:$1048576,IF(OR($B16="STD. DEVIATION",$C$1=1),$A16,$A16+1),COLUMN('1-DATA'!AN14)),IF($B16="STD. DEVIATION",2,$F$1))))</f>
        <v/>
      </c>
      <c r="AP16" s="1" t="str">
        <f>IF(OR($B16="",AP$7=""),"",IF($B16="MEANS",INDEX('1-DATA'!$1:$1048576,$A15-1,COLUMN('1-DATA'!AO14)),ROUND(INDEX('1-DATA'!$1:$1048576,IF(OR($B16="STD. DEVIATION",$C$1=1),$A16,$A16+1),COLUMN('1-DATA'!AO14)),IF($B16="STD. DEVIATION",2,$F$1))))</f>
        <v/>
      </c>
      <c r="AQ16" s="1" t="str">
        <f>IF(OR($B16="",AQ$7=""),"",IF($B16="MEANS",INDEX('1-DATA'!$1:$1048576,$A15-1,COLUMN('1-DATA'!AP14)),ROUND(INDEX('1-DATA'!$1:$1048576,IF(OR($B16="STD. DEVIATION",$C$1=1),$A16,$A16+1),COLUMN('1-DATA'!AP14)),IF($B16="STD. DEVIATION",2,$F$1))))</f>
        <v/>
      </c>
      <c r="AR16" s="1" t="str">
        <f>IF(OR($B16="",AR$7=""),"",IF($B16="MEANS",INDEX('1-DATA'!$1:$1048576,$A15-1,COLUMN('1-DATA'!AQ14)),ROUND(INDEX('1-DATA'!$1:$1048576,IF(OR($B16="STD. DEVIATION",$C$1=1),$A16,$A16+1),COLUMN('1-DATA'!AQ14)),IF($B16="STD. DEVIATION",2,$F$1))))</f>
        <v/>
      </c>
      <c r="AS16" s="1" t="str">
        <f>IF(OR($B16="",AS$7=""),"",IF($B16="MEANS",INDEX('1-DATA'!$1:$1048576,$A15-1,COLUMN('1-DATA'!AR14)),ROUND(INDEX('1-DATA'!$1:$1048576,IF(OR($B16="STD. DEVIATION",$C$1=1),$A16,$A16+1),COLUMN('1-DATA'!AR14)),IF($B16="STD. DEVIATION",2,$F$1))))</f>
        <v/>
      </c>
      <c r="AT16" s="1" t="str">
        <f>IF(OR($B16="",AT$7=""),"",IF($B16="MEANS",INDEX('1-DATA'!$1:$1048576,$A15-1,COLUMN('1-DATA'!AS14)),ROUND(INDEX('1-DATA'!$1:$1048576,IF(OR($B16="STD. DEVIATION",$C$1=1),$A16,$A16+1),COLUMN('1-DATA'!AS14)),IF($B16="STD. DEVIATION",2,$F$1))))</f>
        <v/>
      </c>
      <c r="AU16" s="1" t="str">
        <f>IF(OR($B16="",AU$7=""),"",IF($B16="MEANS",INDEX('1-DATA'!$1:$1048576,$A15-1,COLUMN('1-DATA'!AT14)),ROUND(INDEX('1-DATA'!$1:$1048576,IF(OR($B16="STD. DEVIATION",$C$1=1),$A16,$A16+1),COLUMN('1-DATA'!AT14)),IF($B16="STD. DEVIATION",2,$F$1))))</f>
        <v/>
      </c>
      <c r="AV16" s="1" t="str">
        <f>IF(OR($B16="",AV$7=""),"",IF($B16="MEANS",INDEX('1-DATA'!$1:$1048576,$A15-1,COLUMN('1-DATA'!AU14)),ROUND(INDEX('1-DATA'!$1:$1048576,IF(OR($B16="STD. DEVIATION",$C$1=1),$A16,$A16+1),COLUMN('1-DATA'!AU14)),IF($B16="STD. DEVIATION",2,$F$1))))</f>
        <v/>
      </c>
      <c r="AW16" s="1" t="str">
        <f>IF(OR($B16="",AW$7=""),"",IF($B16="MEANS",INDEX('1-DATA'!$1:$1048576,$A15-1,COLUMN('1-DATA'!AV14)),ROUND(INDEX('1-DATA'!$1:$1048576,IF(OR($B16="STD. DEVIATION",$C$1=1),$A16,$A16+1),COLUMN('1-DATA'!AV14)),IF($B16="STD. DEVIATION",2,$F$1))))</f>
        <v/>
      </c>
      <c r="AX16" s="1" t="str">
        <f>IF(OR($B16="",AX$7=""),"",IF($B16="MEANS",INDEX('1-DATA'!$1:$1048576,$A15-1,COLUMN('1-DATA'!AW14)),ROUND(INDEX('1-DATA'!$1:$1048576,IF(OR($B16="STD. DEVIATION",$C$1=1),$A16,$A16+1),COLUMN('1-DATA'!AW14)),IF($B16="STD. DEVIATION",2,$F$1))))</f>
        <v/>
      </c>
      <c r="AY16" s="1" t="str">
        <f>IF(OR($B16="",AY$7=""),"",IF($B16="MEANS",INDEX('1-DATA'!$1:$1048576,$A15-1,COLUMN('1-DATA'!AX14)),ROUND(INDEX('1-DATA'!$1:$1048576,IF(OR($B16="STD. DEVIATION",$C$1=1),$A16,$A16+1),COLUMN('1-DATA'!AX14)),IF($B16="STD. DEVIATION",2,$F$1))))</f>
        <v/>
      </c>
      <c r="AZ16" s="1" t="str">
        <f>IF(OR($B16="",AZ$7=""),"",IF($B16="MEANS",INDEX('1-DATA'!$1:$1048576,$A15-1,COLUMN('1-DATA'!AY14)),ROUND(INDEX('1-DATA'!$1:$1048576,IF(OR($B16="STD. DEVIATION",$C$1=1),$A16,$A16+1),COLUMN('1-DATA'!AY14)),IF($B16="STD. DEVIATION",2,$F$1))))</f>
        <v/>
      </c>
    </row>
    <row r="17" spans="1:52" x14ac:dyDescent="0.25">
      <c r="A17" s="11">
        <f t="shared" si="0"/>
        <v>37</v>
      </c>
      <c r="B17" s="1" t="str">
        <f>IF(B16="STD. DEVIATION",INDEX('1-DATA'!$1:$1048576,$A16-1,1),IF(INDEX('1-DATA'!$1:$1048576,$A17,1)&lt;&gt;"",INDEX('1-DATA'!$1:$1048576,$A17,1),""))</f>
        <v/>
      </c>
      <c r="C17" s="1" t="str">
        <f>IF(OR($B17="",C$7=""),"",IF($B17="MEANS",INDEX('1-DATA'!$1:$1048576,$A16-1,COLUMN('1-DATA'!B15)),ROUND(INDEX('1-DATA'!$1:$1048576,IF(OR($B17="STD. DEVIATION",$C$1=1),$A17,$A17+1),COLUMN('1-DATA'!B15)),IF($B17="STD. DEVIATION",2,$F$1))))</f>
        <v/>
      </c>
      <c r="D17" s="1" t="str">
        <f>IF(OR($B17="",D$7=""),"",IF($B17="MEANS",INDEX('1-DATA'!$1:$1048576,$A16-1,COLUMN('1-DATA'!C15)),ROUND(INDEX('1-DATA'!$1:$1048576,IF(OR($B17="STD. DEVIATION",$C$1=1),$A17,$A17+1),COLUMN('1-DATA'!C15)),IF($B17="STD. DEVIATION",2,$F$1))))</f>
        <v/>
      </c>
      <c r="E17" s="1" t="str">
        <f>IF(OR($B17="",E$7=""),"",IF($B17="MEANS",INDEX('1-DATA'!$1:$1048576,$A16-1,COLUMN('1-DATA'!D15)),ROUND(INDEX('1-DATA'!$1:$1048576,IF(OR($B17="STD. DEVIATION",$C$1=1),$A17,$A17+1),COLUMN('1-DATA'!D15)),IF($B17="STD. DEVIATION",2,$F$1))))</f>
        <v/>
      </c>
      <c r="F17" s="1" t="str">
        <f>IF(OR($B17="",F$7=""),"",IF($B17="MEANS",INDEX('1-DATA'!$1:$1048576,$A16-1,COLUMN('1-DATA'!E15)),ROUND(INDEX('1-DATA'!$1:$1048576,IF(OR($B17="STD. DEVIATION",$C$1=1),$A17,$A17+1),COLUMN('1-DATA'!E15)),IF($B17="STD. DEVIATION",2,$F$1))))</f>
        <v/>
      </c>
      <c r="G17" s="1" t="str">
        <f>IF(OR($B17="",G$7=""),"",IF($B17="MEANS",INDEX('1-DATA'!$1:$1048576,$A16-1,COLUMN('1-DATA'!F15)),ROUND(INDEX('1-DATA'!$1:$1048576,IF(OR($B17="STD. DEVIATION",$C$1=1),$A17,$A17+1),COLUMN('1-DATA'!F15)),IF($B17="STD. DEVIATION",2,$F$1))))</f>
        <v/>
      </c>
      <c r="H17" s="1" t="str">
        <f>IF(OR($B17="",H$7=""),"",IF($B17="MEANS",INDEX('1-DATA'!$1:$1048576,$A16-1,COLUMN('1-DATA'!G15)),ROUND(INDEX('1-DATA'!$1:$1048576,IF(OR($B17="STD. DEVIATION",$C$1=1),$A17,$A17+1),COLUMN('1-DATA'!G15)),IF($B17="STD. DEVIATION",2,$F$1))))</f>
        <v/>
      </c>
      <c r="I17" s="1" t="str">
        <f>IF(OR($B17="",I$7=""),"",IF($B17="MEANS",INDEX('1-DATA'!$1:$1048576,$A16-1,COLUMN('1-DATA'!H15)),ROUND(INDEX('1-DATA'!$1:$1048576,IF(OR($B17="STD. DEVIATION",$C$1=1),$A17,$A17+1),COLUMN('1-DATA'!H15)),IF($B17="STD. DEVIATION",2,$F$1))))</f>
        <v/>
      </c>
      <c r="J17" s="1" t="str">
        <f>IF(OR($B17="",J$7=""),"",IF($B17="MEANS",INDEX('1-DATA'!$1:$1048576,$A16-1,COLUMN('1-DATA'!I15)),ROUND(INDEX('1-DATA'!$1:$1048576,IF(OR($B17="STD. DEVIATION",$C$1=1),$A17,$A17+1),COLUMN('1-DATA'!I15)),IF($B17="STD. DEVIATION",2,$F$1))))</f>
        <v/>
      </c>
      <c r="K17" s="1" t="str">
        <f>IF(OR($B17="",K$7=""),"",IF($B17="MEANS",INDEX('1-DATA'!$1:$1048576,$A16-1,COLUMN('1-DATA'!J15)),ROUND(INDEX('1-DATA'!$1:$1048576,IF(OR($B17="STD. DEVIATION",$C$1=1),$A17,$A17+1),COLUMN('1-DATA'!J15)),IF($B17="STD. DEVIATION",2,$F$1))))</f>
        <v/>
      </c>
      <c r="L17" s="1" t="str">
        <f>IF(OR($B17="",L$7=""),"",IF($B17="MEANS",INDEX('1-DATA'!$1:$1048576,$A16-1,COLUMN('1-DATA'!K15)),ROUND(INDEX('1-DATA'!$1:$1048576,IF(OR($B17="STD. DEVIATION",$C$1=1),$A17,$A17+1),COLUMN('1-DATA'!K15)),IF($B17="STD. DEVIATION",2,$F$1))))</f>
        <v/>
      </c>
      <c r="M17" s="1" t="str">
        <f>IF(OR($B17="",M$7=""),"",IF($B17="MEANS",INDEX('1-DATA'!$1:$1048576,$A16-1,COLUMN('1-DATA'!L15)),ROUND(INDEX('1-DATA'!$1:$1048576,IF(OR($B17="STD. DEVIATION",$C$1=1),$A17,$A17+1),COLUMN('1-DATA'!L15)),IF($B17="STD. DEVIATION",2,$F$1))))</f>
        <v/>
      </c>
      <c r="N17" s="1" t="str">
        <f>IF(OR($B17="",N$7=""),"",IF($B17="MEANS",INDEX('1-DATA'!$1:$1048576,$A16-1,COLUMN('1-DATA'!M15)),ROUND(INDEX('1-DATA'!$1:$1048576,IF(OR($B17="STD. DEVIATION",$C$1=1),$A17,$A17+1),COLUMN('1-DATA'!M15)),IF($B17="STD. DEVIATION",2,$F$1))))</f>
        <v/>
      </c>
      <c r="O17" s="1" t="str">
        <f>IF(OR($B17="",O$7=""),"",IF($B17="MEANS",INDEX('1-DATA'!$1:$1048576,$A16-1,COLUMN('1-DATA'!N15)),ROUND(INDEX('1-DATA'!$1:$1048576,IF(OR($B17="STD. DEVIATION",$C$1=1),$A17,$A17+1),COLUMN('1-DATA'!N15)),IF($B17="STD. DEVIATION",2,$F$1))))</f>
        <v/>
      </c>
      <c r="P17" s="1" t="str">
        <f>IF(OR($B17="",P$7=""),"",IF($B17="MEANS",INDEX('1-DATA'!$1:$1048576,$A16-1,COLUMN('1-DATA'!O15)),ROUND(INDEX('1-DATA'!$1:$1048576,IF(OR($B17="STD. DEVIATION",$C$1=1),$A17,$A17+1),COLUMN('1-DATA'!O15)),IF($B17="STD. DEVIATION",2,$F$1))))</f>
        <v/>
      </c>
      <c r="Q17" s="1" t="str">
        <f>IF(OR($B17="",Q$7=""),"",IF($B17="MEANS",INDEX('1-DATA'!$1:$1048576,$A16-1,COLUMN('1-DATA'!P15)),ROUND(INDEX('1-DATA'!$1:$1048576,IF(OR($B17="STD. DEVIATION",$C$1=1),$A17,$A17+1),COLUMN('1-DATA'!P15)),IF($B17="STD. DEVIATION",2,$F$1))))</f>
        <v/>
      </c>
      <c r="R17" s="1" t="str">
        <f>IF(OR($B17="",R$7=""),"",IF($B17="MEANS",INDEX('1-DATA'!$1:$1048576,$A16-1,COLUMN('1-DATA'!Q15)),ROUND(INDEX('1-DATA'!$1:$1048576,IF(OR($B17="STD. DEVIATION",$C$1=1),$A17,$A17+1),COLUMN('1-DATA'!Q15)),IF($B17="STD. DEVIATION",2,$F$1))))</f>
        <v/>
      </c>
      <c r="S17" s="1" t="str">
        <f>IF(OR($B17="",S$7=""),"",IF($B17="MEANS",INDEX('1-DATA'!$1:$1048576,$A16-1,COLUMN('1-DATA'!R15)),ROUND(INDEX('1-DATA'!$1:$1048576,IF(OR($B17="STD. DEVIATION",$C$1=1),$A17,$A17+1),COLUMN('1-DATA'!R15)),IF($B17="STD. DEVIATION",2,$F$1))))</f>
        <v/>
      </c>
      <c r="T17" s="1" t="str">
        <f>IF(OR($B17="",T$7=""),"",IF($B17="MEANS",INDEX('1-DATA'!$1:$1048576,$A16-1,COLUMN('1-DATA'!S15)),ROUND(INDEX('1-DATA'!$1:$1048576,IF(OR($B17="STD. DEVIATION",$C$1=1),$A17,$A17+1),COLUMN('1-DATA'!S15)),IF($B17="STD. DEVIATION",2,$F$1))))</f>
        <v/>
      </c>
      <c r="U17" s="1" t="str">
        <f>IF(OR($B17="",U$7=""),"",IF($B17="MEANS",INDEX('1-DATA'!$1:$1048576,$A16-1,COLUMN('1-DATA'!T15)),ROUND(INDEX('1-DATA'!$1:$1048576,IF(OR($B17="STD. DEVIATION",$C$1=1),$A17,$A17+1),COLUMN('1-DATA'!T15)),IF($B17="STD. DEVIATION",2,$F$1))))</f>
        <v/>
      </c>
      <c r="V17" s="1" t="str">
        <f>IF(OR($B17="",V$7=""),"",IF($B17="MEANS",INDEX('1-DATA'!$1:$1048576,$A16-1,COLUMN('1-DATA'!U15)),ROUND(INDEX('1-DATA'!$1:$1048576,IF(OR($B17="STD. DEVIATION",$C$1=1),$A17,$A17+1),COLUMN('1-DATA'!U15)),IF($B17="STD. DEVIATION",2,$F$1))))</f>
        <v/>
      </c>
      <c r="W17" s="1" t="str">
        <f>IF(OR($B17="",W$7=""),"",IF($B17="MEANS",INDEX('1-DATA'!$1:$1048576,$A16-1,COLUMN('1-DATA'!V15)),ROUND(INDEX('1-DATA'!$1:$1048576,IF(OR($B17="STD. DEVIATION",$C$1=1),$A17,$A17+1),COLUMN('1-DATA'!V15)),IF($B17="STD. DEVIATION",2,$F$1))))</f>
        <v/>
      </c>
      <c r="X17" s="1" t="str">
        <f>IF(OR($B17="",X$7=""),"",IF($B17="MEANS",INDEX('1-DATA'!$1:$1048576,$A16-1,COLUMN('1-DATA'!W15)),ROUND(INDEX('1-DATA'!$1:$1048576,IF(OR($B17="STD. DEVIATION",$C$1=1),$A17,$A17+1),COLUMN('1-DATA'!W15)),IF($B17="STD. DEVIATION",2,$F$1))))</f>
        <v/>
      </c>
      <c r="Y17" s="1" t="str">
        <f>IF(OR($B17="",Y$7=""),"",IF($B17="MEANS",INDEX('1-DATA'!$1:$1048576,$A16-1,COLUMN('1-DATA'!X15)),ROUND(INDEX('1-DATA'!$1:$1048576,IF(OR($B17="STD. DEVIATION",$C$1=1),$A17,$A17+1),COLUMN('1-DATA'!X15)),IF($B17="STD. DEVIATION",2,$F$1))))</f>
        <v/>
      </c>
      <c r="Z17" s="1" t="str">
        <f>IF(OR($B17="",Z$7=""),"",IF($B17="MEANS",INDEX('1-DATA'!$1:$1048576,$A16-1,COLUMN('1-DATA'!Y15)),ROUND(INDEX('1-DATA'!$1:$1048576,IF(OR($B17="STD. DEVIATION",$C$1=1),$A17,$A17+1),COLUMN('1-DATA'!Y15)),IF($B17="STD. DEVIATION",2,$F$1))))</f>
        <v/>
      </c>
      <c r="AA17" s="1" t="str">
        <f>IF(OR($B17="",AA$7=""),"",IF($B17="MEANS",INDEX('1-DATA'!$1:$1048576,$A16-1,COLUMN('1-DATA'!Z15)),ROUND(INDEX('1-DATA'!$1:$1048576,IF(OR($B17="STD. DEVIATION",$C$1=1),$A17,$A17+1),COLUMN('1-DATA'!Z15)),IF($B17="STD. DEVIATION",2,$F$1))))</f>
        <v/>
      </c>
      <c r="AB17" s="1" t="str">
        <f>IF(OR($B17="",AB$7=""),"",IF($B17="MEANS",INDEX('1-DATA'!$1:$1048576,$A16-1,COLUMN('1-DATA'!AA15)),ROUND(INDEX('1-DATA'!$1:$1048576,IF(OR($B17="STD. DEVIATION",$C$1=1),$A17,$A17+1),COLUMN('1-DATA'!AA15)),IF($B17="STD. DEVIATION",2,$F$1))))</f>
        <v/>
      </c>
      <c r="AC17" s="1" t="str">
        <f>IF(OR($B17="",AC$7=""),"",IF($B17="MEANS",INDEX('1-DATA'!$1:$1048576,$A16-1,COLUMN('1-DATA'!AB15)),ROUND(INDEX('1-DATA'!$1:$1048576,IF(OR($B17="STD. DEVIATION",$C$1=1),$A17,$A17+1),COLUMN('1-DATA'!AB15)),IF($B17="STD. DEVIATION",2,$F$1))))</f>
        <v/>
      </c>
      <c r="AD17" s="1" t="str">
        <f>IF(OR($B17="",AD$7=""),"",IF($B17="MEANS",INDEX('1-DATA'!$1:$1048576,$A16-1,COLUMN('1-DATA'!AC15)),ROUND(INDEX('1-DATA'!$1:$1048576,IF(OR($B17="STD. DEVIATION",$C$1=1),$A17,$A17+1),COLUMN('1-DATA'!AC15)),IF($B17="STD. DEVIATION",2,$F$1))))</f>
        <v/>
      </c>
      <c r="AE17" s="1" t="str">
        <f>IF(OR($B17="",AE$7=""),"",IF($B17="MEANS",INDEX('1-DATA'!$1:$1048576,$A16-1,COLUMN('1-DATA'!AD15)),ROUND(INDEX('1-DATA'!$1:$1048576,IF(OR($B17="STD. DEVIATION",$C$1=1),$A17,$A17+1),COLUMN('1-DATA'!AD15)),IF($B17="STD. DEVIATION",2,$F$1))))</f>
        <v/>
      </c>
      <c r="AF17" s="1" t="str">
        <f>IF(OR($B17="",AF$7=""),"",IF($B17="MEANS",INDEX('1-DATA'!$1:$1048576,$A16-1,COLUMN('1-DATA'!AE15)),ROUND(INDEX('1-DATA'!$1:$1048576,IF(OR($B17="STD. DEVIATION",$C$1=1),$A17,$A17+1),COLUMN('1-DATA'!AE15)),IF($B17="STD. DEVIATION",2,$F$1))))</f>
        <v/>
      </c>
      <c r="AG17" s="1" t="str">
        <f>IF(OR($B17="",AG$7=""),"",IF($B17="MEANS",INDEX('1-DATA'!$1:$1048576,$A16-1,COLUMN('1-DATA'!AF15)),ROUND(INDEX('1-DATA'!$1:$1048576,IF(OR($B17="STD. DEVIATION",$C$1=1),$A17,$A17+1),COLUMN('1-DATA'!AF15)),IF($B17="STD. DEVIATION",2,$F$1))))</f>
        <v/>
      </c>
      <c r="AH17" s="1" t="str">
        <f>IF(OR($B17="",AH$7=""),"",IF($B17="MEANS",INDEX('1-DATA'!$1:$1048576,$A16-1,COLUMN('1-DATA'!AG15)),ROUND(INDEX('1-DATA'!$1:$1048576,IF(OR($B17="STD. DEVIATION",$C$1=1),$A17,$A17+1),COLUMN('1-DATA'!AG15)),IF($B17="STD. DEVIATION",2,$F$1))))</f>
        <v/>
      </c>
      <c r="AI17" s="1" t="str">
        <f>IF(OR($B17="",AI$7=""),"",IF($B17="MEANS",INDEX('1-DATA'!$1:$1048576,$A16-1,COLUMN('1-DATA'!AH15)),ROUND(INDEX('1-DATA'!$1:$1048576,IF(OR($B17="STD. DEVIATION",$C$1=1),$A17,$A17+1),COLUMN('1-DATA'!AH15)),IF($B17="STD. DEVIATION",2,$F$1))))</f>
        <v/>
      </c>
      <c r="AJ17" s="1" t="str">
        <f>IF(OR($B17="",AJ$7=""),"",IF($B17="MEANS",INDEX('1-DATA'!$1:$1048576,$A16-1,COLUMN('1-DATA'!AI15)),ROUND(INDEX('1-DATA'!$1:$1048576,IF(OR($B17="STD. DEVIATION",$C$1=1),$A17,$A17+1),COLUMN('1-DATA'!AI15)),IF($B17="STD. DEVIATION",2,$F$1))))</f>
        <v/>
      </c>
      <c r="AK17" s="1" t="str">
        <f>IF(OR($B17="",AK$7=""),"",IF($B17="MEANS",INDEX('1-DATA'!$1:$1048576,$A16-1,COLUMN('1-DATA'!AJ15)),ROUND(INDEX('1-DATA'!$1:$1048576,IF(OR($B17="STD. DEVIATION",$C$1=1),$A17,$A17+1),COLUMN('1-DATA'!AJ15)),IF($B17="STD. DEVIATION",2,$F$1))))</f>
        <v/>
      </c>
      <c r="AL17" s="1" t="str">
        <f>IF(OR($B17="",AL$7=""),"",IF($B17="MEANS",INDEX('1-DATA'!$1:$1048576,$A16-1,COLUMN('1-DATA'!AK15)),ROUND(INDEX('1-DATA'!$1:$1048576,IF(OR($B17="STD. DEVIATION",$C$1=1),$A17,$A17+1),COLUMN('1-DATA'!AK15)),IF($B17="STD. DEVIATION",2,$F$1))))</f>
        <v/>
      </c>
      <c r="AM17" s="1" t="str">
        <f>IF(OR($B17="",AM$7=""),"",IF($B17="MEANS",INDEX('1-DATA'!$1:$1048576,$A16-1,COLUMN('1-DATA'!AL15)),ROUND(INDEX('1-DATA'!$1:$1048576,IF(OR($B17="STD. DEVIATION",$C$1=1),$A17,$A17+1),COLUMN('1-DATA'!AL15)),IF($B17="STD. DEVIATION",2,$F$1))))</f>
        <v/>
      </c>
      <c r="AN17" s="1" t="str">
        <f>IF(OR($B17="",AN$7=""),"",IF($B17="MEANS",INDEX('1-DATA'!$1:$1048576,$A16-1,COLUMN('1-DATA'!AM15)),ROUND(INDEX('1-DATA'!$1:$1048576,IF(OR($B17="STD. DEVIATION",$C$1=1),$A17,$A17+1),COLUMN('1-DATA'!AM15)),IF($B17="STD. DEVIATION",2,$F$1))))</f>
        <v/>
      </c>
      <c r="AO17" s="1" t="str">
        <f>IF(OR($B17="",AO$7=""),"",IF($B17="MEANS",INDEX('1-DATA'!$1:$1048576,$A16-1,COLUMN('1-DATA'!AN15)),ROUND(INDEX('1-DATA'!$1:$1048576,IF(OR($B17="STD. DEVIATION",$C$1=1),$A17,$A17+1),COLUMN('1-DATA'!AN15)),IF($B17="STD. DEVIATION",2,$F$1))))</f>
        <v/>
      </c>
      <c r="AP17" s="1" t="str">
        <f>IF(OR($B17="",AP$7=""),"",IF($B17="MEANS",INDEX('1-DATA'!$1:$1048576,$A16-1,COLUMN('1-DATA'!AO15)),ROUND(INDEX('1-DATA'!$1:$1048576,IF(OR($B17="STD. DEVIATION",$C$1=1),$A17,$A17+1),COLUMN('1-DATA'!AO15)),IF($B17="STD. DEVIATION",2,$F$1))))</f>
        <v/>
      </c>
      <c r="AQ17" s="1" t="str">
        <f>IF(OR($B17="",AQ$7=""),"",IF($B17="MEANS",INDEX('1-DATA'!$1:$1048576,$A16-1,COLUMN('1-DATA'!AP15)),ROUND(INDEX('1-DATA'!$1:$1048576,IF(OR($B17="STD. DEVIATION",$C$1=1),$A17,$A17+1),COLUMN('1-DATA'!AP15)),IF($B17="STD. DEVIATION",2,$F$1))))</f>
        <v/>
      </c>
      <c r="AR17" s="1" t="str">
        <f>IF(OR($B17="",AR$7=""),"",IF($B17="MEANS",INDEX('1-DATA'!$1:$1048576,$A16-1,COLUMN('1-DATA'!AQ15)),ROUND(INDEX('1-DATA'!$1:$1048576,IF(OR($B17="STD. DEVIATION",$C$1=1),$A17,$A17+1),COLUMN('1-DATA'!AQ15)),IF($B17="STD. DEVIATION",2,$F$1))))</f>
        <v/>
      </c>
      <c r="AS17" s="1" t="str">
        <f>IF(OR($B17="",AS$7=""),"",IF($B17="MEANS",INDEX('1-DATA'!$1:$1048576,$A16-1,COLUMN('1-DATA'!AR15)),ROUND(INDEX('1-DATA'!$1:$1048576,IF(OR($B17="STD. DEVIATION",$C$1=1),$A17,$A17+1),COLUMN('1-DATA'!AR15)),IF($B17="STD. DEVIATION",2,$F$1))))</f>
        <v/>
      </c>
      <c r="AT17" s="1" t="str">
        <f>IF(OR($B17="",AT$7=""),"",IF($B17="MEANS",INDEX('1-DATA'!$1:$1048576,$A16-1,COLUMN('1-DATA'!AS15)),ROUND(INDEX('1-DATA'!$1:$1048576,IF(OR($B17="STD. DEVIATION",$C$1=1),$A17,$A17+1),COLUMN('1-DATA'!AS15)),IF($B17="STD. DEVIATION",2,$F$1))))</f>
        <v/>
      </c>
      <c r="AU17" s="1" t="str">
        <f>IF(OR($B17="",AU$7=""),"",IF($B17="MEANS",INDEX('1-DATA'!$1:$1048576,$A16-1,COLUMN('1-DATA'!AT15)),ROUND(INDEX('1-DATA'!$1:$1048576,IF(OR($B17="STD. DEVIATION",$C$1=1),$A17,$A17+1),COLUMN('1-DATA'!AT15)),IF($B17="STD. DEVIATION",2,$F$1))))</f>
        <v/>
      </c>
      <c r="AV17" s="1" t="str">
        <f>IF(OR($B17="",AV$7=""),"",IF($B17="MEANS",INDEX('1-DATA'!$1:$1048576,$A16-1,COLUMN('1-DATA'!AU15)),ROUND(INDEX('1-DATA'!$1:$1048576,IF(OR($B17="STD. DEVIATION",$C$1=1),$A17,$A17+1),COLUMN('1-DATA'!AU15)),IF($B17="STD. DEVIATION",2,$F$1))))</f>
        <v/>
      </c>
      <c r="AW17" s="1" t="str">
        <f>IF(OR($B17="",AW$7=""),"",IF($B17="MEANS",INDEX('1-DATA'!$1:$1048576,$A16-1,COLUMN('1-DATA'!AV15)),ROUND(INDEX('1-DATA'!$1:$1048576,IF(OR($B17="STD. DEVIATION",$C$1=1),$A17,$A17+1),COLUMN('1-DATA'!AV15)),IF($B17="STD. DEVIATION",2,$F$1))))</f>
        <v/>
      </c>
      <c r="AX17" s="1" t="str">
        <f>IF(OR($B17="",AX$7=""),"",IF($B17="MEANS",INDEX('1-DATA'!$1:$1048576,$A16-1,COLUMN('1-DATA'!AW15)),ROUND(INDEX('1-DATA'!$1:$1048576,IF(OR($B17="STD. DEVIATION",$C$1=1),$A17,$A17+1),COLUMN('1-DATA'!AW15)),IF($B17="STD. DEVIATION",2,$F$1))))</f>
        <v/>
      </c>
      <c r="AY17" s="1" t="str">
        <f>IF(OR($B17="",AY$7=""),"",IF($B17="MEANS",INDEX('1-DATA'!$1:$1048576,$A16-1,COLUMN('1-DATA'!AX15)),ROUND(INDEX('1-DATA'!$1:$1048576,IF(OR($B17="STD. DEVIATION",$C$1=1),$A17,$A17+1),COLUMN('1-DATA'!AX15)),IF($B17="STD. DEVIATION",2,$F$1))))</f>
        <v/>
      </c>
      <c r="AZ17" s="1" t="str">
        <f>IF(OR($B17="",AZ$7=""),"",IF($B17="MEANS",INDEX('1-DATA'!$1:$1048576,$A16-1,COLUMN('1-DATA'!AY15)),ROUND(INDEX('1-DATA'!$1:$1048576,IF(OR($B17="STD. DEVIATION",$C$1=1),$A17,$A17+1),COLUMN('1-DATA'!AY15)),IF($B17="STD. DEVIATION",2,$F$1))))</f>
        <v/>
      </c>
    </row>
    <row r="18" spans="1:52" x14ac:dyDescent="0.25">
      <c r="A18" s="11">
        <f t="shared" si="0"/>
        <v>40</v>
      </c>
      <c r="B18" s="1" t="str">
        <f>IF(B17="STD. DEVIATION",INDEX('1-DATA'!$1:$1048576,$A17-1,1),IF(INDEX('1-DATA'!$1:$1048576,$A18,1)&lt;&gt;"",INDEX('1-DATA'!$1:$1048576,$A18,1),""))</f>
        <v/>
      </c>
      <c r="C18" s="1" t="str">
        <f>IF(OR($B18="",C$7=""),"",IF($B18="MEANS",INDEX('1-DATA'!$1:$1048576,$A17-1,COLUMN('1-DATA'!B16)),ROUND(INDEX('1-DATA'!$1:$1048576,IF(OR($B18="STD. DEVIATION",$C$1=1),$A18,$A18+1),COLUMN('1-DATA'!B16)),IF($B18="STD. DEVIATION",2,$F$1))))</f>
        <v/>
      </c>
      <c r="D18" s="1" t="str">
        <f>IF(OR($B18="",D$7=""),"",IF($B18="MEANS",INDEX('1-DATA'!$1:$1048576,$A17-1,COLUMN('1-DATA'!C16)),ROUND(INDEX('1-DATA'!$1:$1048576,IF(OR($B18="STD. DEVIATION",$C$1=1),$A18,$A18+1),COLUMN('1-DATA'!C16)),IF($B18="STD. DEVIATION",2,$F$1))))</f>
        <v/>
      </c>
      <c r="E18" s="1" t="str">
        <f>IF(OR($B18="",E$7=""),"",IF($B18="MEANS",INDEX('1-DATA'!$1:$1048576,$A17-1,COLUMN('1-DATA'!D16)),ROUND(INDEX('1-DATA'!$1:$1048576,IF(OR($B18="STD. DEVIATION",$C$1=1),$A18,$A18+1),COLUMN('1-DATA'!D16)),IF($B18="STD. DEVIATION",2,$F$1))))</f>
        <v/>
      </c>
      <c r="F18" s="1" t="str">
        <f>IF(OR($B18="",F$7=""),"",IF($B18="MEANS",INDEX('1-DATA'!$1:$1048576,$A17-1,COLUMN('1-DATA'!E16)),ROUND(INDEX('1-DATA'!$1:$1048576,IF(OR($B18="STD. DEVIATION",$C$1=1),$A18,$A18+1),COLUMN('1-DATA'!E16)),IF($B18="STD. DEVIATION",2,$F$1))))</f>
        <v/>
      </c>
      <c r="G18" s="1" t="str">
        <f>IF(OR($B18="",G$7=""),"",IF($B18="MEANS",INDEX('1-DATA'!$1:$1048576,$A17-1,COLUMN('1-DATA'!F16)),ROUND(INDEX('1-DATA'!$1:$1048576,IF(OR($B18="STD. DEVIATION",$C$1=1),$A18,$A18+1),COLUMN('1-DATA'!F16)),IF($B18="STD. DEVIATION",2,$F$1))))</f>
        <v/>
      </c>
      <c r="H18" s="1" t="str">
        <f>IF(OR($B18="",H$7=""),"",IF($B18="MEANS",INDEX('1-DATA'!$1:$1048576,$A17-1,COLUMN('1-DATA'!G16)),ROUND(INDEX('1-DATA'!$1:$1048576,IF(OR($B18="STD. DEVIATION",$C$1=1),$A18,$A18+1),COLUMN('1-DATA'!G16)),IF($B18="STD. DEVIATION",2,$F$1))))</f>
        <v/>
      </c>
      <c r="I18" s="1" t="str">
        <f>IF(OR($B18="",I$7=""),"",IF($B18="MEANS",INDEX('1-DATA'!$1:$1048576,$A17-1,COLUMN('1-DATA'!H16)),ROUND(INDEX('1-DATA'!$1:$1048576,IF(OR($B18="STD. DEVIATION",$C$1=1),$A18,$A18+1),COLUMN('1-DATA'!H16)),IF($B18="STD. DEVIATION",2,$F$1))))</f>
        <v/>
      </c>
      <c r="J18" s="1" t="str">
        <f>IF(OR($B18="",J$7=""),"",IF($B18="MEANS",INDEX('1-DATA'!$1:$1048576,$A17-1,COLUMN('1-DATA'!I16)),ROUND(INDEX('1-DATA'!$1:$1048576,IF(OR($B18="STD. DEVIATION",$C$1=1),$A18,$A18+1),COLUMN('1-DATA'!I16)),IF($B18="STD. DEVIATION",2,$F$1))))</f>
        <v/>
      </c>
      <c r="K18" s="1" t="str">
        <f>IF(OR($B18="",K$7=""),"",IF($B18="MEANS",INDEX('1-DATA'!$1:$1048576,$A17-1,COLUMN('1-DATA'!J16)),ROUND(INDEX('1-DATA'!$1:$1048576,IF(OR($B18="STD. DEVIATION",$C$1=1),$A18,$A18+1),COLUMN('1-DATA'!J16)),IF($B18="STD. DEVIATION",2,$F$1))))</f>
        <v/>
      </c>
      <c r="L18" s="1" t="str">
        <f>IF(OR($B18="",L$7=""),"",IF($B18="MEANS",INDEX('1-DATA'!$1:$1048576,$A17-1,COLUMN('1-DATA'!K16)),ROUND(INDEX('1-DATA'!$1:$1048576,IF(OR($B18="STD. DEVIATION",$C$1=1),$A18,$A18+1),COLUMN('1-DATA'!K16)),IF($B18="STD. DEVIATION",2,$F$1))))</f>
        <v/>
      </c>
      <c r="M18" s="1" t="str">
        <f>IF(OR($B18="",M$7=""),"",IF($B18="MEANS",INDEX('1-DATA'!$1:$1048576,$A17-1,COLUMN('1-DATA'!L16)),ROUND(INDEX('1-DATA'!$1:$1048576,IF(OR($B18="STD. DEVIATION",$C$1=1),$A18,$A18+1),COLUMN('1-DATA'!L16)),IF($B18="STD. DEVIATION",2,$F$1))))</f>
        <v/>
      </c>
      <c r="N18" s="1" t="str">
        <f>IF(OR($B18="",N$7=""),"",IF($B18="MEANS",INDEX('1-DATA'!$1:$1048576,$A17-1,COLUMN('1-DATA'!M16)),ROUND(INDEX('1-DATA'!$1:$1048576,IF(OR($B18="STD. DEVIATION",$C$1=1),$A18,$A18+1),COLUMN('1-DATA'!M16)),IF($B18="STD. DEVIATION",2,$F$1))))</f>
        <v/>
      </c>
      <c r="O18" s="1" t="str">
        <f>IF(OR($B18="",O$7=""),"",IF($B18="MEANS",INDEX('1-DATA'!$1:$1048576,$A17-1,COLUMN('1-DATA'!N16)),ROUND(INDEX('1-DATA'!$1:$1048576,IF(OR($B18="STD. DEVIATION",$C$1=1),$A18,$A18+1),COLUMN('1-DATA'!N16)),IF($B18="STD. DEVIATION",2,$F$1))))</f>
        <v/>
      </c>
      <c r="P18" s="1" t="str">
        <f>IF(OR($B18="",P$7=""),"",IF($B18="MEANS",INDEX('1-DATA'!$1:$1048576,$A17-1,COLUMN('1-DATA'!O16)),ROUND(INDEX('1-DATA'!$1:$1048576,IF(OR($B18="STD. DEVIATION",$C$1=1),$A18,$A18+1),COLUMN('1-DATA'!O16)),IF($B18="STD. DEVIATION",2,$F$1))))</f>
        <v/>
      </c>
      <c r="Q18" s="1" t="str">
        <f>IF(OR($B18="",Q$7=""),"",IF($B18="MEANS",INDEX('1-DATA'!$1:$1048576,$A17-1,COLUMN('1-DATA'!P16)),ROUND(INDEX('1-DATA'!$1:$1048576,IF(OR($B18="STD. DEVIATION",$C$1=1),$A18,$A18+1),COLUMN('1-DATA'!P16)),IF($B18="STD. DEVIATION",2,$F$1))))</f>
        <v/>
      </c>
      <c r="R18" s="1" t="str">
        <f>IF(OR($B18="",R$7=""),"",IF($B18="MEANS",INDEX('1-DATA'!$1:$1048576,$A17-1,COLUMN('1-DATA'!Q16)),ROUND(INDEX('1-DATA'!$1:$1048576,IF(OR($B18="STD. DEVIATION",$C$1=1),$A18,$A18+1),COLUMN('1-DATA'!Q16)),IF($B18="STD. DEVIATION",2,$F$1))))</f>
        <v/>
      </c>
      <c r="S18" s="1" t="str">
        <f>IF(OR($B18="",S$7=""),"",IF($B18="MEANS",INDEX('1-DATA'!$1:$1048576,$A17-1,COLUMN('1-DATA'!R16)),ROUND(INDEX('1-DATA'!$1:$1048576,IF(OR($B18="STD. DEVIATION",$C$1=1),$A18,$A18+1),COLUMN('1-DATA'!R16)),IF($B18="STD. DEVIATION",2,$F$1))))</f>
        <v/>
      </c>
      <c r="T18" s="1" t="str">
        <f>IF(OR($B18="",T$7=""),"",IF($B18="MEANS",INDEX('1-DATA'!$1:$1048576,$A17-1,COLUMN('1-DATA'!S16)),ROUND(INDEX('1-DATA'!$1:$1048576,IF(OR($B18="STD. DEVIATION",$C$1=1),$A18,$A18+1),COLUMN('1-DATA'!S16)),IF($B18="STD. DEVIATION",2,$F$1))))</f>
        <v/>
      </c>
      <c r="U18" s="1" t="str">
        <f>IF(OR($B18="",U$7=""),"",IF($B18="MEANS",INDEX('1-DATA'!$1:$1048576,$A17-1,COLUMN('1-DATA'!T16)),ROUND(INDEX('1-DATA'!$1:$1048576,IF(OR($B18="STD. DEVIATION",$C$1=1),$A18,$A18+1),COLUMN('1-DATA'!T16)),IF($B18="STD. DEVIATION",2,$F$1))))</f>
        <v/>
      </c>
      <c r="V18" s="1" t="str">
        <f>IF(OR($B18="",V$7=""),"",IF($B18="MEANS",INDEX('1-DATA'!$1:$1048576,$A17-1,COLUMN('1-DATA'!U16)),ROUND(INDEX('1-DATA'!$1:$1048576,IF(OR($B18="STD. DEVIATION",$C$1=1),$A18,$A18+1),COLUMN('1-DATA'!U16)),IF($B18="STD. DEVIATION",2,$F$1))))</f>
        <v/>
      </c>
      <c r="W18" s="1" t="str">
        <f>IF(OR($B18="",W$7=""),"",IF($B18="MEANS",INDEX('1-DATA'!$1:$1048576,$A17-1,COLUMN('1-DATA'!V16)),ROUND(INDEX('1-DATA'!$1:$1048576,IF(OR($B18="STD. DEVIATION",$C$1=1),$A18,$A18+1),COLUMN('1-DATA'!V16)),IF($B18="STD. DEVIATION",2,$F$1))))</f>
        <v/>
      </c>
      <c r="X18" s="1" t="str">
        <f>IF(OR($B18="",X$7=""),"",IF($B18="MEANS",INDEX('1-DATA'!$1:$1048576,$A17-1,COLUMN('1-DATA'!W16)),ROUND(INDEX('1-DATA'!$1:$1048576,IF(OR($B18="STD. DEVIATION",$C$1=1),$A18,$A18+1),COLUMN('1-DATA'!W16)),IF($B18="STD. DEVIATION",2,$F$1))))</f>
        <v/>
      </c>
      <c r="Y18" s="1" t="str">
        <f>IF(OR($B18="",Y$7=""),"",IF($B18="MEANS",INDEX('1-DATA'!$1:$1048576,$A17-1,COLUMN('1-DATA'!X16)),ROUND(INDEX('1-DATA'!$1:$1048576,IF(OR($B18="STD. DEVIATION",$C$1=1),$A18,$A18+1),COLUMN('1-DATA'!X16)),IF($B18="STD. DEVIATION",2,$F$1))))</f>
        <v/>
      </c>
      <c r="Z18" s="1" t="str">
        <f>IF(OR($B18="",Z$7=""),"",IF($B18="MEANS",INDEX('1-DATA'!$1:$1048576,$A17-1,COLUMN('1-DATA'!Y16)),ROUND(INDEX('1-DATA'!$1:$1048576,IF(OR($B18="STD. DEVIATION",$C$1=1),$A18,$A18+1),COLUMN('1-DATA'!Y16)),IF($B18="STD. DEVIATION",2,$F$1))))</f>
        <v/>
      </c>
      <c r="AA18" s="1" t="str">
        <f>IF(OR($B18="",AA$7=""),"",IF($B18="MEANS",INDEX('1-DATA'!$1:$1048576,$A17-1,COLUMN('1-DATA'!Z16)),ROUND(INDEX('1-DATA'!$1:$1048576,IF(OR($B18="STD. DEVIATION",$C$1=1),$A18,$A18+1),COLUMN('1-DATA'!Z16)),IF($B18="STD. DEVIATION",2,$F$1))))</f>
        <v/>
      </c>
      <c r="AB18" s="1" t="str">
        <f>IF(OR($B18="",AB$7=""),"",IF($B18="MEANS",INDEX('1-DATA'!$1:$1048576,$A17-1,COLUMN('1-DATA'!AA16)),ROUND(INDEX('1-DATA'!$1:$1048576,IF(OR($B18="STD. DEVIATION",$C$1=1),$A18,$A18+1),COLUMN('1-DATA'!AA16)),IF($B18="STD. DEVIATION",2,$F$1))))</f>
        <v/>
      </c>
      <c r="AC18" s="1" t="str">
        <f>IF(OR($B18="",AC$7=""),"",IF($B18="MEANS",INDEX('1-DATA'!$1:$1048576,$A17-1,COLUMN('1-DATA'!AB16)),ROUND(INDEX('1-DATA'!$1:$1048576,IF(OR($B18="STD. DEVIATION",$C$1=1),$A18,$A18+1),COLUMN('1-DATA'!AB16)),IF($B18="STD. DEVIATION",2,$F$1))))</f>
        <v/>
      </c>
      <c r="AD18" s="1" t="str">
        <f>IF(OR($B18="",AD$7=""),"",IF($B18="MEANS",INDEX('1-DATA'!$1:$1048576,$A17-1,COLUMN('1-DATA'!AC16)),ROUND(INDEX('1-DATA'!$1:$1048576,IF(OR($B18="STD. DEVIATION",$C$1=1),$A18,$A18+1),COLUMN('1-DATA'!AC16)),IF($B18="STD. DEVIATION",2,$F$1))))</f>
        <v/>
      </c>
      <c r="AE18" s="1" t="str">
        <f>IF(OR($B18="",AE$7=""),"",IF($B18="MEANS",INDEX('1-DATA'!$1:$1048576,$A17-1,COLUMN('1-DATA'!AD16)),ROUND(INDEX('1-DATA'!$1:$1048576,IF(OR($B18="STD. DEVIATION",$C$1=1),$A18,$A18+1),COLUMN('1-DATA'!AD16)),IF($B18="STD. DEVIATION",2,$F$1))))</f>
        <v/>
      </c>
      <c r="AF18" s="1" t="str">
        <f>IF(OR($B18="",AF$7=""),"",IF($B18="MEANS",INDEX('1-DATA'!$1:$1048576,$A17-1,COLUMN('1-DATA'!AE16)),ROUND(INDEX('1-DATA'!$1:$1048576,IF(OR($B18="STD. DEVIATION",$C$1=1),$A18,$A18+1),COLUMN('1-DATA'!AE16)),IF($B18="STD. DEVIATION",2,$F$1))))</f>
        <v/>
      </c>
      <c r="AG18" s="1" t="str">
        <f>IF(OR($B18="",AG$7=""),"",IF($B18="MEANS",INDEX('1-DATA'!$1:$1048576,$A17-1,COLUMN('1-DATA'!AF16)),ROUND(INDEX('1-DATA'!$1:$1048576,IF(OR($B18="STD. DEVIATION",$C$1=1),$A18,$A18+1),COLUMN('1-DATA'!AF16)),IF($B18="STD. DEVIATION",2,$F$1))))</f>
        <v/>
      </c>
      <c r="AH18" s="1" t="str">
        <f>IF(OR($B18="",AH$7=""),"",IF($B18="MEANS",INDEX('1-DATA'!$1:$1048576,$A17-1,COLUMN('1-DATA'!AG16)),ROUND(INDEX('1-DATA'!$1:$1048576,IF(OR($B18="STD. DEVIATION",$C$1=1),$A18,$A18+1),COLUMN('1-DATA'!AG16)),IF($B18="STD. DEVIATION",2,$F$1))))</f>
        <v/>
      </c>
      <c r="AI18" s="1" t="str">
        <f>IF(OR($B18="",AI$7=""),"",IF($B18="MEANS",INDEX('1-DATA'!$1:$1048576,$A17-1,COLUMN('1-DATA'!AH16)),ROUND(INDEX('1-DATA'!$1:$1048576,IF(OR($B18="STD. DEVIATION",$C$1=1),$A18,$A18+1),COLUMN('1-DATA'!AH16)),IF($B18="STD. DEVIATION",2,$F$1))))</f>
        <v/>
      </c>
      <c r="AJ18" s="1" t="str">
        <f>IF(OR($B18="",AJ$7=""),"",IF($B18="MEANS",INDEX('1-DATA'!$1:$1048576,$A17-1,COLUMN('1-DATA'!AI16)),ROUND(INDEX('1-DATA'!$1:$1048576,IF(OR($B18="STD. DEVIATION",$C$1=1),$A18,$A18+1),COLUMN('1-DATA'!AI16)),IF($B18="STD. DEVIATION",2,$F$1))))</f>
        <v/>
      </c>
      <c r="AK18" s="1" t="str">
        <f>IF(OR($B18="",AK$7=""),"",IF($B18="MEANS",INDEX('1-DATA'!$1:$1048576,$A17-1,COLUMN('1-DATA'!AJ16)),ROUND(INDEX('1-DATA'!$1:$1048576,IF(OR($B18="STD. DEVIATION",$C$1=1),$A18,$A18+1),COLUMN('1-DATA'!AJ16)),IF($B18="STD. DEVIATION",2,$F$1))))</f>
        <v/>
      </c>
      <c r="AL18" s="1" t="str">
        <f>IF(OR($B18="",AL$7=""),"",IF($B18="MEANS",INDEX('1-DATA'!$1:$1048576,$A17-1,COLUMN('1-DATA'!AK16)),ROUND(INDEX('1-DATA'!$1:$1048576,IF(OR($B18="STD. DEVIATION",$C$1=1),$A18,$A18+1),COLUMN('1-DATA'!AK16)),IF($B18="STD. DEVIATION",2,$F$1))))</f>
        <v/>
      </c>
      <c r="AM18" s="1" t="str">
        <f>IF(OR($B18="",AM$7=""),"",IF($B18="MEANS",INDEX('1-DATA'!$1:$1048576,$A17-1,COLUMN('1-DATA'!AL16)),ROUND(INDEX('1-DATA'!$1:$1048576,IF(OR($B18="STD. DEVIATION",$C$1=1),$A18,$A18+1),COLUMN('1-DATA'!AL16)),IF($B18="STD. DEVIATION",2,$F$1))))</f>
        <v/>
      </c>
      <c r="AN18" s="1" t="str">
        <f>IF(OR($B18="",AN$7=""),"",IF($B18="MEANS",INDEX('1-DATA'!$1:$1048576,$A17-1,COLUMN('1-DATA'!AM16)),ROUND(INDEX('1-DATA'!$1:$1048576,IF(OR($B18="STD. DEVIATION",$C$1=1),$A18,$A18+1),COLUMN('1-DATA'!AM16)),IF($B18="STD. DEVIATION",2,$F$1))))</f>
        <v/>
      </c>
      <c r="AO18" s="1" t="str">
        <f>IF(OR($B18="",AO$7=""),"",IF($B18="MEANS",INDEX('1-DATA'!$1:$1048576,$A17-1,COLUMN('1-DATA'!AN16)),ROUND(INDEX('1-DATA'!$1:$1048576,IF(OR($B18="STD. DEVIATION",$C$1=1),$A18,$A18+1),COLUMN('1-DATA'!AN16)),IF($B18="STD. DEVIATION",2,$F$1))))</f>
        <v/>
      </c>
      <c r="AP18" s="1" t="str">
        <f>IF(OR($B18="",AP$7=""),"",IF($B18="MEANS",INDEX('1-DATA'!$1:$1048576,$A17-1,COLUMN('1-DATA'!AO16)),ROUND(INDEX('1-DATA'!$1:$1048576,IF(OR($B18="STD. DEVIATION",$C$1=1),$A18,$A18+1),COLUMN('1-DATA'!AO16)),IF($B18="STD. DEVIATION",2,$F$1))))</f>
        <v/>
      </c>
      <c r="AQ18" s="1" t="str">
        <f>IF(OR($B18="",AQ$7=""),"",IF($B18="MEANS",INDEX('1-DATA'!$1:$1048576,$A17-1,COLUMN('1-DATA'!AP16)),ROUND(INDEX('1-DATA'!$1:$1048576,IF(OR($B18="STD. DEVIATION",$C$1=1),$A18,$A18+1),COLUMN('1-DATA'!AP16)),IF($B18="STD. DEVIATION",2,$F$1))))</f>
        <v/>
      </c>
      <c r="AR18" s="1" t="str">
        <f>IF(OR($B18="",AR$7=""),"",IF($B18="MEANS",INDEX('1-DATA'!$1:$1048576,$A17-1,COLUMN('1-DATA'!AQ16)),ROUND(INDEX('1-DATA'!$1:$1048576,IF(OR($B18="STD. DEVIATION",$C$1=1),$A18,$A18+1),COLUMN('1-DATA'!AQ16)),IF($B18="STD. DEVIATION",2,$F$1))))</f>
        <v/>
      </c>
      <c r="AS18" s="1" t="str">
        <f>IF(OR($B18="",AS$7=""),"",IF($B18="MEANS",INDEX('1-DATA'!$1:$1048576,$A17-1,COLUMN('1-DATA'!AR16)),ROUND(INDEX('1-DATA'!$1:$1048576,IF(OR($B18="STD. DEVIATION",$C$1=1),$A18,$A18+1),COLUMN('1-DATA'!AR16)),IF($B18="STD. DEVIATION",2,$F$1))))</f>
        <v/>
      </c>
      <c r="AT18" s="1" t="str">
        <f>IF(OR($B18="",AT$7=""),"",IF($B18="MEANS",INDEX('1-DATA'!$1:$1048576,$A17-1,COLUMN('1-DATA'!AS16)),ROUND(INDEX('1-DATA'!$1:$1048576,IF(OR($B18="STD. DEVIATION",$C$1=1),$A18,$A18+1),COLUMN('1-DATA'!AS16)),IF($B18="STD. DEVIATION",2,$F$1))))</f>
        <v/>
      </c>
      <c r="AU18" s="1" t="str">
        <f>IF(OR($B18="",AU$7=""),"",IF($B18="MEANS",INDEX('1-DATA'!$1:$1048576,$A17-1,COLUMN('1-DATA'!AT16)),ROUND(INDEX('1-DATA'!$1:$1048576,IF(OR($B18="STD. DEVIATION",$C$1=1),$A18,$A18+1),COLUMN('1-DATA'!AT16)),IF($B18="STD. DEVIATION",2,$F$1))))</f>
        <v/>
      </c>
      <c r="AV18" s="1" t="str">
        <f>IF(OR($B18="",AV$7=""),"",IF($B18="MEANS",INDEX('1-DATA'!$1:$1048576,$A17-1,COLUMN('1-DATA'!AU16)),ROUND(INDEX('1-DATA'!$1:$1048576,IF(OR($B18="STD. DEVIATION",$C$1=1),$A18,$A18+1),COLUMN('1-DATA'!AU16)),IF($B18="STD. DEVIATION",2,$F$1))))</f>
        <v/>
      </c>
      <c r="AW18" s="1" t="str">
        <f>IF(OR($B18="",AW$7=""),"",IF($B18="MEANS",INDEX('1-DATA'!$1:$1048576,$A17-1,COLUMN('1-DATA'!AV16)),ROUND(INDEX('1-DATA'!$1:$1048576,IF(OR($B18="STD. DEVIATION",$C$1=1),$A18,$A18+1),COLUMN('1-DATA'!AV16)),IF($B18="STD. DEVIATION",2,$F$1))))</f>
        <v/>
      </c>
      <c r="AX18" s="1" t="str">
        <f>IF(OR($B18="",AX$7=""),"",IF($B18="MEANS",INDEX('1-DATA'!$1:$1048576,$A17-1,COLUMN('1-DATA'!AW16)),ROUND(INDEX('1-DATA'!$1:$1048576,IF(OR($B18="STD. DEVIATION",$C$1=1),$A18,$A18+1),COLUMN('1-DATA'!AW16)),IF($B18="STD. DEVIATION",2,$F$1))))</f>
        <v/>
      </c>
      <c r="AY18" s="1" t="str">
        <f>IF(OR($B18="",AY$7=""),"",IF($B18="MEANS",INDEX('1-DATA'!$1:$1048576,$A17-1,COLUMN('1-DATA'!AX16)),ROUND(INDEX('1-DATA'!$1:$1048576,IF(OR($B18="STD. DEVIATION",$C$1=1),$A18,$A18+1),COLUMN('1-DATA'!AX16)),IF($B18="STD. DEVIATION",2,$F$1))))</f>
        <v/>
      </c>
      <c r="AZ18" s="1" t="str">
        <f>IF(OR($B18="",AZ$7=""),"",IF($B18="MEANS",INDEX('1-DATA'!$1:$1048576,$A17-1,COLUMN('1-DATA'!AY16)),ROUND(INDEX('1-DATA'!$1:$1048576,IF(OR($B18="STD. DEVIATION",$C$1=1),$A18,$A18+1),COLUMN('1-DATA'!AY16)),IF($B18="STD. DEVIATION",2,$F$1))))</f>
        <v/>
      </c>
    </row>
    <row r="19" spans="1:52" x14ac:dyDescent="0.25">
      <c r="A19" s="11">
        <f t="shared" si="0"/>
        <v>43</v>
      </c>
      <c r="B19" s="1" t="str">
        <f>IF(B18="STD. DEVIATION",INDEX('1-DATA'!$1:$1048576,$A18-1,1),IF(INDEX('1-DATA'!$1:$1048576,$A19,1)&lt;&gt;"",INDEX('1-DATA'!$1:$1048576,$A19,1),""))</f>
        <v/>
      </c>
      <c r="C19" s="1" t="str">
        <f>IF(OR($B19="",C$7=""),"",IF($B19="MEANS",INDEX('1-DATA'!$1:$1048576,$A18-1,COLUMN('1-DATA'!B17)),ROUND(INDEX('1-DATA'!$1:$1048576,IF(OR($B19="STD. DEVIATION",$C$1=1),$A19,$A19+1),COLUMN('1-DATA'!B17)),IF($B19="STD. DEVIATION",2,$F$1))))</f>
        <v/>
      </c>
      <c r="D19" s="1" t="str">
        <f>IF(OR($B19="",D$7=""),"",IF($B19="MEANS",INDEX('1-DATA'!$1:$1048576,$A18-1,COLUMN('1-DATA'!C17)),ROUND(INDEX('1-DATA'!$1:$1048576,IF(OR($B19="STD. DEVIATION",$C$1=1),$A19,$A19+1),COLUMN('1-DATA'!C17)),IF($B19="STD. DEVIATION",2,$F$1))))</f>
        <v/>
      </c>
      <c r="E19" s="1" t="str">
        <f>IF(OR($B19="",E$7=""),"",IF($B19="MEANS",INDEX('1-DATA'!$1:$1048576,$A18-1,COLUMN('1-DATA'!D17)),ROUND(INDEX('1-DATA'!$1:$1048576,IF(OR($B19="STD. DEVIATION",$C$1=1),$A19,$A19+1),COLUMN('1-DATA'!D17)),IF($B19="STD. DEVIATION",2,$F$1))))</f>
        <v/>
      </c>
      <c r="F19" s="1" t="str">
        <f>IF(OR($B19="",F$7=""),"",IF($B19="MEANS",INDEX('1-DATA'!$1:$1048576,$A18-1,COLUMN('1-DATA'!E17)),ROUND(INDEX('1-DATA'!$1:$1048576,IF(OR($B19="STD. DEVIATION",$C$1=1),$A19,$A19+1),COLUMN('1-DATA'!E17)),IF($B19="STD. DEVIATION",2,$F$1))))</f>
        <v/>
      </c>
      <c r="G19" s="1" t="str">
        <f>IF(OR($B19="",G$7=""),"",IF($B19="MEANS",INDEX('1-DATA'!$1:$1048576,$A18-1,COLUMN('1-DATA'!F17)),ROUND(INDEX('1-DATA'!$1:$1048576,IF(OR($B19="STD. DEVIATION",$C$1=1),$A19,$A19+1),COLUMN('1-DATA'!F17)),IF($B19="STD. DEVIATION",2,$F$1))))</f>
        <v/>
      </c>
      <c r="H19" s="1" t="str">
        <f>IF(OR($B19="",H$7=""),"",IF($B19="MEANS",INDEX('1-DATA'!$1:$1048576,$A18-1,COLUMN('1-DATA'!G17)),ROUND(INDEX('1-DATA'!$1:$1048576,IF(OR($B19="STD. DEVIATION",$C$1=1),$A19,$A19+1),COLUMN('1-DATA'!G17)),IF($B19="STD. DEVIATION",2,$F$1))))</f>
        <v/>
      </c>
      <c r="I19" s="1" t="str">
        <f>IF(OR($B19="",I$7=""),"",IF($B19="MEANS",INDEX('1-DATA'!$1:$1048576,$A18-1,COLUMN('1-DATA'!H17)),ROUND(INDEX('1-DATA'!$1:$1048576,IF(OR($B19="STD. DEVIATION",$C$1=1),$A19,$A19+1),COLUMN('1-DATA'!H17)),IF($B19="STD. DEVIATION",2,$F$1))))</f>
        <v/>
      </c>
      <c r="J19" s="1" t="str">
        <f>IF(OR($B19="",J$7=""),"",IF($B19="MEANS",INDEX('1-DATA'!$1:$1048576,$A18-1,COLUMN('1-DATA'!I17)),ROUND(INDEX('1-DATA'!$1:$1048576,IF(OR($B19="STD. DEVIATION",$C$1=1),$A19,$A19+1),COLUMN('1-DATA'!I17)),IF($B19="STD. DEVIATION",2,$F$1))))</f>
        <v/>
      </c>
      <c r="K19" s="1" t="str">
        <f>IF(OR($B19="",K$7=""),"",IF($B19="MEANS",INDEX('1-DATA'!$1:$1048576,$A18-1,COLUMN('1-DATA'!J17)),ROUND(INDEX('1-DATA'!$1:$1048576,IF(OR($B19="STD. DEVIATION",$C$1=1),$A19,$A19+1),COLUMN('1-DATA'!J17)),IF($B19="STD. DEVIATION",2,$F$1))))</f>
        <v/>
      </c>
      <c r="L19" s="1" t="str">
        <f>IF(OR($B19="",L$7=""),"",IF($B19="MEANS",INDEX('1-DATA'!$1:$1048576,$A18-1,COLUMN('1-DATA'!K17)),ROUND(INDEX('1-DATA'!$1:$1048576,IF(OR($B19="STD. DEVIATION",$C$1=1),$A19,$A19+1),COLUMN('1-DATA'!K17)),IF($B19="STD. DEVIATION",2,$F$1))))</f>
        <v/>
      </c>
      <c r="M19" s="1" t="str">
        <f>IF(OR($B19="",M$7=""),"",IF($B19="MEANS",INDEX('1-DATA'!$1:$1048576,$A18-1,COLUMN('1-DATA'!L17)),ROUND(INDEX('1-DATA'!$1:$1048576,IF(OR($B19="STD. DEVIATION",$C$1=1),$A19,$A19+1),COLUMN('1-DATA'!L17)),IF($B19="STD. DEVIATION",2,$F$1))))</f>
        <v/>
      </c>
      <c r="N19" s="1" t="str">
        <f>IF(OR($B19="",N$7=""),"",IF($B19="MEANS",INDEX('1-DATA'!$1:$1048576,$A18-1,COLUMN('1-DATA'!M17)),ROUND(INDEX('1-DATA'!$1:$1048576,IF(OR($B19="STD. DEVIATION",$C$1=1),$A19,$A19+1),COLUMN('1-DATA'!M17)),IF($B19="STD. DEVIATION",2,$F$1))))</f>
        <v/>
      </c>
      <c r="O19" s="1" t="str">
        <f>IF(OR($B19="",O$7=""),"",IF($B19="MEANS",INDEX('1-DATA'!$1:$1048576,$A18-1,COLUMN('1-DATA'!N17)),ROUND(INDEX('1-DATA'!$1:$1048576,IF(OR($B19="STD. DEVIATION",$C$1=1),$A19,$A19+1),COLUMN('1-DATA'!N17)),IF($B19="STD. DEVIATION",2,$F$1))))</f>
        <v/>
      </c>
      <c r="P19" s="1" t="str">
        <f>IF(OR($B19="",P$7=""),"",IF($B19="MEANS",INDEX('1-DATA'!$1:$1048576,$A18-1,COLUMN('1-DATA'!O17)),ROUND(INDEX('1-DATA'!$1:$1048576,IF(OR($B19="STD. DEVIATION",$C$1=1),$A19,$A19+1),COLUMN('1-DATA'!O17)),IF($B19="STD. DEVIATION",2,$F$1))))</f>
        <v/>
      </c>
      <c r="Q19" s="1" t="str">
        <f>IF(OR($B19="",Q$7=""),"",IF($B19="MEANS",INDEX('1-DATA'!$1:$1048576,$A18-1,COLUMN('1-DATA'!P17)),ROUND(INDEX('1-DATA'!$1:$1048576,IF(OR($B19="STD. DEVIATION",$C$1=1),$A19,$A19+1),COLUMN('1-DATA'!P17)),IF($B19="STD. DEVIATION",2,$F$1))))</f>
        <v/>
      </c>
      <c r="R19" s="1" t="str">
        <f>IF(OR($B19="",R$7=""),"",IF($B19="MEANS",INDEX('1-DATA'!$1:$1048576,$A18-1,COLUMN('1-DATA'!Q17)),ROUND(INDEX('1-DATA'!$1:$1048576,IF(OR($B19="STD. DEVIATION",$C$1=1),$A19,$A19+1),COLUMN('1-DATA'!Q17)),IF($B19="STD. DEVIATION",2,$F$1))))</f>
        <v/>
      </c>
      <c r="S19" s="1" t="str">
        <f>IF(OR($B19="",S$7=""),"",IF($B19="MEANS",INDEX('1-DATA'!$1:$1048576,$A18-1,COLUMN('1-DATA'!R17)),ROUND(INDEX('1-DATA'!$1:$1048576,IF(OR($B19="STD. DEVIATION",$C$1=1),$A19,$A19+1),COLUMN('1-DATA'!R17)),IF($B19="STD. DEVIATION",2,$F$1))))</f>
        <v/>
      </c>
      <c r="T19" s="1" t="str">
        <f>IF(OR($B19="",T$7=""),"",IF($B19="MEANS",INDEX('1-DATA'!$1:$1048576,$A18-1,COLUMN('1-DATA'!S17)),ROUND(INDEX('1-DATA'!$1:$1048576,IF(OR($B19="STD. DEVIATION",$C$1=1),$A19,$A19+1),COLUMN('1-DATA'!S17)),IF($B19="STD. DEVIATION",2,$F$1))))</f>
        <v/>
      </c>
      <c r="U19" s="1" t="str">
        <f>IF(OR($B19="",U$7=""),"",IF($B19="MEANS",INDEX('1-DATA'!$1:$1048576,$A18-1,COLUMN('1-DATA'!T17)),ROUND(INDEX('1-DATA'!$1:$1048576,IF(OR($B19="STD. DEVIATION",$C$1=1),$A19,$A19+1),COLUMN('1-DATA'!T17)),IF($B19="STD. DEVIATION",2,$F$1))))</f>
        <v/>
      </c>
      <c r="V19" s="1" t="str">
        <f>IF(OR($B19="",V$7=""),"",IF($B19="MEANS",INDEX('1-DATA'!$1:$1048576,$A18-1,COLUMN('1-DATA'!U17)),ROUND(INDEX('1-DATA'!$1:$1048576,IF(OR($B19="STD. DEVIATION",$C$1=1),$A19,$A19+1),COLUMN('1-DATA'!U17)),IF($B19="STD. DEVIATION",2,$F$1))))</f>
        <v/>
      </c>
      <c r="W19" s="1" t="str">
        <f>IF(OR($B19="",W$7=""),"",IF($B19="MEANS",INDEX('1-DATA'!$1:$1048576,$A18-1,COLUMN('1-DATA'!V17)),ROUND(INDEX('1-DATA'!$1:$1048576,IF(OR($B19="STD. DEVIATION",$C$1=1),$A19,$A19+1),COLUMN('1-DATA'!V17)),IF($B19="STD. DEVIATION",2,$F$1))))</f>
        <v/>
      </c>
      <c r="X19" s="1" t="str">
        <f>IF(OR($B19="",X$7=""),"",IF($B19="MEANS",INDEX('1-DATA'!$1:$1048576,$A18-1,COLUMN('1-DATA'!W17)),ROUND(INDEX('1-DATA'!$1:$1048576,IF(OR($B19="STD. DEVIATION",$C$1=1),$A19,$A19+1),COLUMN('1-DATA'!W17)),IF($B19="STD. DEVIATION",2,$F$1))))</f>
        <v/>
      </c>
      <c r="Y19" s="1" t="str">
        <f>IF(OR($B19="",Y$7=""),"",IF($B19="MEANS",INDEX('1-DATA'!$1:$1048576,$A18-1,COLUMN('1-DATA'!X17)),ROUND(INDEX('1-DATA'!$1:$1048576,IF(OR($B19="STD. DEVIATION",$C$1=1),$A19,$A19+1),COLUMN('1-DATA'!X17)),IF($B19="STD. DEVIATION",2,$F$1))))</f>
        <v/>
      </c>
      <c r="Z19" s="1" t="str">
        <f>IF(OR($B19="",Z$7=""),"",IF($B19="MEANS",INDEX('1-DATA'!$1:$1048576,$A18-1,COLUMN('1-DATA'!Y17)),ROUND(INDEX('1-DATA'!$1:$1048576,IF(OR($B19="STD. DEVIATION",$C$1=1),$A19,$A19+1),COLUMN('1-DATA'!Y17)),IF($B19="STD. DEVIATION",2,$F$1))))</f>
        <v/>
      </c>
      <c r="AA19" s="1" t="str">
        <f>IF(OR($B19="",AA$7=""),"",IF($B19="MEANS",INDEX('1-DATA'!$1:$1048576,$A18-1,COLUMN('1-DATA'!Z17)),ROUND(INDEX('1-DATA'!$1:$1048576,IF(OR($B19="STD. DEVIATION",$C$1=1),$A19,$A19+1),COLUMN('1-DATA'!Z17)),IF($B19="STD. DEVIATION",2,$F$1))))</f>
        <v/>
      </c>
      <c r="AB19" s="1" t="str">
        <f>IF(OR($B19="",AB$7=""),"",IF($B19="MEANS",INDEX('1-DATA'!$1:$1048576,$A18-1,COLUMN('1-DATA'!AA17)),ROUND(INDEX('1-DATA'!$1:$1048576,IF(OR($B19="STD. DEVIATION",$C$1=1),$A19,$A19+1),COLUMN('1-DATA'!AA17)),IF($B19="STD. DEVIATION",2,$F$1))))</f>
        <v/>
      </c>
      <c r="AC19" s="1" t="str">
        <f>IF(OR($B19="",AC$7=""),"",IF($B19="MEANS",INDEX('1-DATA'!$1:$1048576,$A18-1,COLUMN('1-DATA'!AB17)),ROUND(INDEX('1-DATA'!$1:$1048576,IF(OR($B19="STD. DEVIATION",$C$1=1),$A19,$A19+1),COLUMN('1-DATA'!AB17)),IF($B19="STD. DEVIATION",2,$F$1))))</f>
        <v/>
      </c>
      <c r="AD19" s="1" t="str">
        <f>IF(OR($B19="",AD$7=""),"",IF($B19="MEANS",INDEX('1-DATA'!$1:$1048576,$A18-1,COLUMN('1-DATA'!AC17)),ROUND(INDEX('1-DATA'!$1:$1048576,IF(OR($B19="STD. DEVIATION",$C$1=1),$A19,$A19+1),COLUMN('1-DATA'!AC17)),IF($B19="STD. DEVIATION",2,$F$1))))</f>
        <v/>
      </c>
      <c r="AE19" s="1" t="str">
        <f>IF(OR($B19="",AE$7=""),"",IF($B19="MEANS",INDEX('1-DATA'!$1:$1048576,$A18-1,COLUMN('1-DATA'!AD17)),ROUND(INDEX('1-DATA'!$1:$1048576,IF(OR($B19="STD. DEVIATION",$C$1=1),$A19,$A19+1),COLUMN('1-DATA'!AD17)),IF($B19="STD. DEVIATION",2,$F$1))))</f>
        <v/>
      </c>
      <c r="AF19" s="1" t="str">
        <f>IF(OR($B19="",AF$7=""),"",IF($B19="MEANS",INDEX('1-DATA'!$1:$1048576,$A18-1,COLUMN('1-DATA'!AE17)),ROUND(INDEX('1-DATA'!$1:$1048576,IF(OR($B19="STD. DEVIATION",$C$1=1),$A19,$A19+1),COLUMN('1-DATA'!AE17)),IF($B19="STD. DEVIATION",2,$F$1))))</f>
        <v/>
      </c>
      <c r="AG19" s="1" t="str">
        <f>IF(OR($B19="",AG$7=""),"",IF($B19="MEANS",INDEX('1-DATA'!$1:$1048576,$A18-1,COLUMN('1-DATA'!AF17)),ROUND(INDEX('1-DATA'!$1:$1048576,IF(OR($B19="STD. DEVIATION",$C$1=1),$A19,$A19+1),COLUMN('1-DATA'!AF17)),IF($B19="STD. DEVIATION",2,$F$1))))</f>
        <v/>
      </c>
      <c r="AH19" s="1" t="str">
        <f>IF(OR($B19="",AH$7=""),"",IF($B19="MEANS",INDEX('1-DATA'!$1:$1048576,$A18-1,COLUMN('1-DATA'!AG17)),ROUND(INDEX('1-DATA'!$1:$1048576,IF(OR($B19="STD. DEVIATION",$C$1=1),$A19,$A19+1),COLUMN('1-DATA'!AG17)),IF($B19="STD. DEVIATION",2,$F$1))))</f>
        <v/>
      </c>
      <c r="AI19" s="1" t="str">
        <f>IF(OR($B19="",AI$7=""),"",IF($B19="MEANS",INDEX('1-DATA'!$1:$1048576,$A18-1,COLUMN('1-DATA'!AH17)),ROUND(INDEX('1-DATA'!$1:$1048576,IF(OR($B19="STD. DEVIATION",$C$1=1),$A19,$A19+1),COLUMN('1-DATA'!AH17)),IF($B19="STD. DEVIATION",2,$F$1))))</f>
        <v/>
      </c>
      <c r="AJ19" s="1" t="str">
        <f>IF(OR($B19="",AJ$7=""),"",IF($B19="MEANS",INDEX('1-DATA'!$1:$1048576,$A18-1,COLUMN('1-DATA'!AI17)),ROUND(INDEX('1-DATA'!$1:$1048576,IF(OR($B19="STD. DEVIATION",$C$1=1),$A19,$A19+1),COLUMN('1-DATA'!AI17)),IF($B19="STD. DEVIATION",2,$F$1))))</f>
        <v/>
      </c>
      <c r="AK19" s="1" t="str">
        <f>IF(OR($B19="",AK$7=""),"",IF($B19="MEANS",INDEX('1-DATA'!$1:$1048576,$A18-1,COLUMN('1-DATA'!AJ17)),ROUND(INDEX('1-DATA'!$1:$1048576,IF(OR($B19="STD. DEVIATION",$C$1=1),$A19,$A19+1),COLUMN('1-DATA'!AJ17)),IF($B19="STD. DEVIATION",2,$F$1))))</f>
        <v/>
      </c>
      <c r="AL19" s="1" t="str">
        <f>IF(OR($B19="",AL$7=""),"",IF($B19="MEANS",INDEX('1-DATA'!$1:$1048576,$A18-1,COLUMN('1-DATA'!AK17)),ROUND(INDEX('1-DATA'!$1:$1048576,IF(OR($B19="STD. DEVIATION",$C$1=1),$A19,$A19+1),COLUMN('1-DATA'!AK17)),IF($B19="STD. DEVIATION",2,$F$1))))</f>
        <v/>
      </c>
      <c r="AM19" s="1" t="str">
        <f>IF(OR($B19="",AM$7=""),"",IF($B19="MEANS",INDEX('1-DATA'!$1:$1048576,$A18-1,COLUMN('1-DATA'!AL17)),ROUND(INDEX('1-DATA'!$1:$1048576,IF(OR($B19="STD. DEVIATION",$C$1=1),$A19,$A19+1),COLUMN('1-DATA'!AL17)),IF($B19="STD. DEVIATION",2,$F$1))))</f>
        <v/>
      </c>
      <c r="AN19" s="1" t="str">
        <f>IF(OR($B19="",AN$7=""),"",IF($B19="MEANS",INDEX('1-DATA'!$1:$1048576,$A18-1,COLUMN('1-DATA'!AM17)),ROUND(INDEX('1-DATA'!$1:$1048576,IF(OR($B19="STD. DEVIATION",$C$1=1),$A19,$A19+1),COLUMN('1-DATA'!AM17)),IF($B19="STD. DEVIATION",2,$F$1))))</f>
        <v/>
      </c>
      <c r="AO19" s="1" t="str">
        <f>IF(OR($B19="",AO$7=""),"",IF($B19="MEANS",INDEX('1-DATA'!$1:$1048576,$A18-1,COLUMN('1-DATA'!AN17)),ROUND(INDEX('1-DATA'!$1:$1048576,IF(OR($B19="STD. DEVIATION",$C$1=1),$A19,$A19+1),COLUMN('1-DATA'!AN17)),IF($B19="STD. DEVIATION",2,$F$1))))</f>
        <v/>
      </c>
      <c r="AP19" s="1" t="str">
        <f>IF(OR($B19="",AP$7=""),"",IF($B19="MEANS",INDEX('1-DATA'!$1:$1048576,$A18-1,COLUMN('1-DATA'!AO17)),ROUND(INDEX('1-DATA'!$1:$1048576,IF(OR($B19="STD. DEVIATION",$C$1=1),$A19,$A19+1),COLUMN('1-DATA'!AO17)),IF($B19="STD. DEVIATION",2,$F$1))))</f>
        <v/>
      </c>
      <c r="AQ19" s="1" t="str">
        <f>IF(OR($B19="",AQ$7=""),"",IF($B19="MEANS",INDEX('1-DATA'!$1:$1048576,$A18-1,COLUMN('1-DATA'!AP17)),ROUND(INDEX('1-DATA'!$1:$1048576,IF(OR($B19="STD. DEVIATION",$C$1=1),$A19,$A19+1),COLUMN('1-DATA'!AP17)),IF($B19="STD. DEVIATION",2,$F$1))))</f>
        <v/>
      </c>
      <c r="AR19" s="1" t="str">
        <f>IF(OR($B19="",AR$7=""),"",IF($B19="MEANS",INDEX('1-DATA'!$1:$1048576,$A18-1,COLUMN('1-DATA'!AQ17)),ROUND(INDEX('1-DATA'!$1:$1048576,IF(OR($B19="STD. DEVIATION",$C$1=1),$A19,$A19+1),COLUMN('1-DATA'!AQ17)),IF($B19="STD. DEVIATION",2,$F$1))))</f>
        <v/>
      </c>
      <c r="AS19" s="1" t="str">
        <f>IF(OR($B19="",AS$7=""),"",IF($B19="MEANS",INDEX('1-DATA'!$1:$1048576,$A18-1,COLUMN('1-DATA'!AR17)),ROUND(INDEX('1-DATA'!$1:$1048576,IF(OR($B19="STD. DEVIATION",$C$1=1),$A19,$A19+1),COLUMN('1-DATA'!AR17)),IF($B19="STD. DEVIATION",2,$F$1))))</f>
        <v/>
      </c>
      <c r="AT19" s="1" t="str">
        <f>IF(OR($B19="",AT$7=""),"",IF($B19="MEANS",INDEX('1-DATA'!$1:$1048576,$A18-1,COLUMN('1-DATA'!AS17)),ROUND(INDEX('1-DATA'!$1:$1048576,IF(OR($B19="STD. DEVIATION",$C$1=1),$A19,$A19+1),COLUMN('1-DATA'!AS17)),IF($B19="STD. DEVIATION",2,$F$1))))</f>
        <v/>
      </c>
      <c r="AU19" s="1" t="str">
        <f>IF(OR($B19="",AU$7=""),"",IF($B19="MEANS",INDEX('1-DATA'!$1:$1048576,$A18-1,COLUMN('1-DATA'!AT17)),ROUND(INDEX('1-DATA'!$1:$1048576,IF(OR($B19="STD. DEVIATION",$C$1=1),$A19,$A19+1),COLUMN('1-DATA'!AT17)),IF($B19="STD. DEVIATION",2,$F$1))))</f>
        <v/>
      </c>
      <c r="AV19" s="1" t="str">
        <f>IF(OR($B19="",AV$7=""),"",IF($B19="MEANS",INDEX('1-DATA'!$1:$1048576,$A18-1,COLUMN('1-DATA'!AU17)),ROUND(INDEX('1-DATA'!$1:$1048576,IF(OR($B19="STD. DEVIATION",$C$1=1),$A19,$A19+1),COLUMN('1-DATA'!AU17)),IF($B19="STD. DEVIATION",2,$F$1))))</f>
        <v/>
      </c>
      <c r="AW19" s="1" t="str">
        <f>IF(OR($B19="",AW$7=""),"",IF($B19="MEANS",INDEX('1-DATA'!$1:$1048576,$A18-1,COLUMN('1-DATA'!AV17)),ROUND(INDEX('1-DATA'!$1:$1048576,IF(OR($B19="STD. DEVIATION",$C$1=1),$A19,$A19+1),COLUMN('1-DATA'!AV17)),IF($B19="STD. DEVIATION",2,$F$1))))</f>
        <v/>
      </c>
      <c r="AX19" s="1" t="str">
        <f>IF(OR($B19="",AX$7=""),"",IF($B19="MEANS",INDEX('1-DATA'!$1:$1048576,$A18-1,COLUMN('1-DATA'!AW17)),ROUND(INDEX('1-DATA'!$1:$1048576,IF(OR($B19="STD. DEVIATION",$C$1=1),$A19,$A19+1),COLUMN('1-DATA'!AW17)),IF($B19="STD. DEVIATION",2,$F$1))))</f>
        <v/>
      </c>
      <c r="AY19" s="1" t="str">
        <f>IF(OR($B19="",AY$7=""),"",IF($B19="MEANS",INDEX('1-DATA'!$1:$1048576,$A18-1,COLUMN('1-DATA'!AX17)),ROUND(INDEX('1-DATA'!$1:$1048576,IF(OR($B19="STD. DEVIATION",$C$1=1),$A19,$A19+1),COLUMN('1-DATA'!AX17)),IF($B19="STD. DEVIATION",2,$F$1))))</f>
        <v/>
      </c>
      <c r="AZ19" s="1" t="str">
        <f>IF(OR($B19="",AZ$7=""),"",IF($B19="MEANS",INDEX('1-DATA'!$1:$1048576,$A18-1,COLUMN('1-DATA'!AY17)),ROUND(INDEX('1-DATA'!$1:$1048576,IF(OR($B19="STD. DEVIATION",$C$1=1),$A19,$A19+1),COLUMN('1-DATA'!AY17)),IF($B19="STD. DEVIATION",2,$F$1))))</f>
        <v/>
      </c>
    </row>
    <row r="20" spans="1:52" x14ac:dyDescent="0.25">
      <c r="A20" s="11">
        <f t="shared" si="0"/>
        <v>46</v>
      </c>
      <c r="B20" s="1" t="str">
        <f>IF(B19="STD. DEVIATION",INDEX('1-DATA'!$1:$1048576,$A19-1,1),IF(INDEX('1-DATA'!$1:$1048576,$A20,1)&lt;&gt;"",INDEX('1-DATA'!$1:$1048576,$A20,1),""))</f>
        <v/>
      </c>
      <c r="C20" s="1" t="str">
        <f>IF(OR($B20="",C$7=""),"",IF($B20="MEANS",INDEX('1-DATA'!$1:$1048576,$A19-1,COLUMN('1-DATA'!B18)),ROUND(INDEX('1-DATA'!$1:$1048576,IF(OR($B20="STD. DEVIATION",$C$1=1),$A20,$A20+1),COLUMN('1-DATA'!B18)),IF($B20="STD. DEVIATION",2,$F$1))))</f>
        <v/>
      </c>
      <c r="D20" s="1" t="str">
        <f>IF(OR($B20="",D$7=""),"",IF($B20="MEANS",INDEX('1-DATA'!$1:$1048576,$A19-1,COLUMN('1-DATA'!C18)),ROUND(INDEX('1-DATA'!$1:$1048576,IF(OR($B20="STD. DEVIATION",$C$1=1),$A20,$A20+1),COLUMN('1-DATA'!C18)),IF($B20="STD. DEVIATION",2,$F$1))))</f>
        <v/>
      </c>
      <c r="E20" s="1" t="str">
        <f>IF(OR($B20="",E$7=""),"",IF($B20="MEANS",INDEX('1-DATA'!$1:$1048576,$A19-1,COLUMN('1-DATA'!D18)),ROUND(INDEX('1-DATA'!$1:$1048576,IF(OR($B20="STD. DEVIATION",$C$1=1),$A20,$A20+1),COLUMN('1-DATA'!D18)),IF($B20="STD. DEVIATION",2,$F$1))))</f>
        <v/>
      </c>
      <c r="F20" s="1" t="str">
        <f>IF(OR($B20="",F$7=""),"",IF($B20="MEANS",INDEX('1-DATA'!$1:$1048576,$A19-1,COLUMN('1-DATA'!E18)),ROUND(INDEX('1-DATA'!$1:$1048576,IF(OR($B20="STD. DEVIATION",$C$1=1),$A20,$A20+1),COLUMN('1-DATA'!E18)),IF($B20="STD. DEVIATION",2,$F$1))))</f>
        <v/>
      </c>
      <c r="G20" s="1" t="str">
        <f>IF(OR($B20="",G$7=""),"",IF($B20="MEANS",INDEX('1-DATA'!$1:$1048576,$A19-1,COLUMN('1-DATA'!F18)),ROUND(INDEX('1-DATA'!$1:$1048576,IF(OR($B20="STD. DEVIATION",$C$1=1),$A20,$A20+1),COLUMN('1-DATA'!F18)),IF($B20="STD. DEVIATION",2,$F$1))))</f>
        <v/>
      </c>
      <c r="H20" s="1" t="str">
        <f>IF(OR($B20="",H$7=""),"",IF($B20="MEANS",INDEX('1-DATA'!$1:$1048576,$A19-1,COLUMN('1-DATA'!G18)),ROUND(INDEX('1-DATA'!$1:$1048576,IF(OR($B20="STD. DEVIATION",$C$1=1),$A20,$A20+1),COLUMN('1-DATA'!G18)),IF($B20="STD. DEVIATION",2,$F$1))))</f>
        <v/>
      </c>
      <c r="I20" s="1" t="str">
        <f>IF(OR($B20="",I$7=""),"",IF($B20="MEANS",INDEX('1-DATA'!$1:$1048576,$A19-1,COLUMN('1-DATA'!H18)),ROUND(INDEX('1-DATA'!$1:$1048576,IF(OR($B20="STD. DEVIATION",$C$1=1),$A20,$A20+1),COLUMN('1-DATA'!H18)),IF($B20="STD. DEVIATION",2,$F$1))))</f>
        <v/>
      </c>
      <c r="J20" s="1" t="str">
        <f>IF(OR($B20="",J$7=""),"",IF($B20="MEANS",INDEX('1-DATA'!$1:$1048576,$A19-1,COLUMN('1-DATA'!I18)),ROUND(INDEX('1-DATA'!$1:$1048576,IF(OR($B20="STD. DEVIATION",$C$1=1),$A20,$A20+1),COLUMN('1-DATA'!I18)),IF($B20="STD. DEVIATION",2,$F$1))))</f>
        <v/>
      </c>
      <c r="K20" s="1" t="str">
        <f>IF(OR($B20="",K$7=""),"",IF($B20="MEANS",INDEX('1-DATA'!$1:$1048576,$A19-1,COLUMN('1-DATA'!J18)),ROUND(INDEX('1-DATA'!$1:$1048576,IF(OR($B20="STD. DEVIATION",$C$1=1),$A20,$A20+1),COLUMN('1-DATA'!J18)),IF($B20="STD. DEVIATION",2,$F$1))))</f>
        <v/>
      </c>
      <c r="L20" s="1" t="str">
        <f>IF(OR($B20="",L$7=""),"",IF($B20="MEANS",INDEX('1-DATA'!$1:$1048576,$A19-1,COLUMN('1-DATA'!K18)),ROUND(INDEX('1-DATA'!$1:$1048576,IF(OR($B20="STD. DEVIATION",$C$1=1),$A20,$A20+1),COLUMN('1-DATA'!K18)),IF($B20="STD. DEVIATION",2,$F$1))))</f>
        <v/>
      </c>
      <c r="M20" s="1" t="str">
        <f>IF(OR($B20="",M$7=""),"",IF($B20="MEANS",INDEX('1-DATA'!$1:$1048576,$A19-1,COLUMN('1-DATA'!L18)),ROUND(INDEX('1-DATA'!$1:$1048576,IF(OR($B20="STD. DEVIATION",$C$1=1),$A20,$A20+1),COLUMN('1-DATA'!L18)),IF($B20="STD. DEVIATION",2,$F$1))))</f>
        <v/>
      </c>
      <c r="N20" s="1" t="str">
        <f>IF(OR($B20="",N$7=""),"",IF($B20="MEANS",INDEX('1-DATA'!$1:$1048576,$A19-1,COLUMN('1-DATA'!M18)),ROUND(INDEX('1-DATA'!$1:$1048576,IF(OR($B20="STD. DEVIATION",$C$1=1),$A20,$A20+1),COLUMN('1-DATA'!M18)),IF($B20="STD. DEVIATION",2,$F$1))))</f>
        <v/>
      </c>
      <c r="O20" s="1" t="str">
        <f>IF(OR($B20="",O$7=""),"",IF($B20="MEANS",INDEX('1-DATA'!$1:$1048576,$A19-1,COLUMN('1-DATA'!N18)),ROUND(INDEX('1-DATA'!$1:$1048576,IF(OR($B20="STD. DEVIATION",$C$1=1),$A20,$A20+1),COLUMN('1-DATA'!N18)),IF($B20="STD. DEVIATION",2,$F$1))))</f>
        <v/>
      </c>
      <c r="P20" s="1" t="str">
        <f>IF(OR($B20="",P$7=""),"",IF($B20="MEANS",INDEX('1-DATA'!$1:$1048576,$A19-1,COLUMN('1-DATA'!O18)),ROUND(INDEX('1-DATA'!$1:$1048576,IF(OR($B20="STD. DEVIATION",$C$1=1),$A20,$A20+1),COLUMN('1-DATA'!O18)),IF($B20="STD. DEVIATION",2,$F$1))))</f>
        <v/>
      </c>
      <c r="Q20" s="1" t="str">
        <f>IF(OR($B20="",Q$7=""),"",IF($B20="MEANS",INDEX('1-DATA'!$1:$1048576,$A19-1,COLUMN('1-DATA'!P18)),ROUND(INDEX('1-DATA'!$1:$1048576,IF(OR($B20="STD. DEVIATION",$C$1=1),$A20,$A20+1),COLUMN('1-DATA'!P18)),IF($B20="STD. DEVIATION",2,$F$1))))</f>
        <v/>
      </c>
      <c r="R20" s="1" t="str">
        <f>IF(OR($B20="",R$7=""),"",IF($B20="MEANS",INDEX('1-DATA'!$1:$1048576,$A19-1,COLUMN('1-DATA'!Q18)),ROUND(INDEX('1-DATA'!$1:$1048576,IF(OR($B20="STD. DEVIATION",$C$1=1),$A20,$A20+1),COLUMN('1-DATA'!Q18)),IF($B20="STD. DEVIATION",2,$F$1))))</f>
        <v/>
      </c>
      <c r="S20" s="1" t="str">
        <f>IF(OR($B20="",S$7=""),"",IF($B20="MEANS",INDEX('1-DATA'!$1:$1048576,$A19-1,COLUMN('1-DATA'!R18)),ROUND(INDEX('1-DATA'!$1:$1048576,IF(OR($B20="STD. DEVIATION",$C$1=1),$A20,$A20+1),COLUMN('1-DATA'!R18)),IF($B20="STD. DEVIATION",2,$F$1))))</f>
        <v/>
      </c>
      <c r="T20" s="1" t="str">
        <f>IF(OR($B20="",T$7=""),"",IF($B20="MEANS",INDEX('1-DATA'!$1:$1048576,$A19-1,COLUMN('1-DATA'!S18)),ROUND(INDEX('1-DATA'!$1:$1048576,IF(OR($B20="STD. DEVIATION",$C$1=1),$A20,$A20+1),COLUMN('1-DATA'!S18)),IF($B20="STD. DEVIATION",2,$F$1))))</f>
        <v/>
      </c>
      <c r="U20" s="1" t="str">
        <f>IF(OR($B20="",U$7=""),"",IF($B20="MEANS",INDEX('1-DATA'!$1:$1048576,$A19-1,COLUMN('1-DATA'!T18)),ROUND(INDEX('1-DATA'!$1:$1048576,IF(OR($B20="STD. DEVIATION",$C$1=1),$A20,$A20+1),COLUMN('1-DATA'!T18)),IF($B20="STD. DEVIATION",2,$F$1))))</f>
        <v/>
      </c>
      <c r="V20" s="1" t="str">
        <f>IF(OR($B20="",V$7=""),"",IF($B20="MEANS",INDEX('1-DATA'!$1:$1048576,$A19-1,COLUMN('1-DATA'!U18)),ROUND(INDEX('1-DATA'!$1:$1048576,IF(OR($B20="STD. DEVIATION",$C$1=1),$A20,$A20+1),COLUMN('1-DATA'!U18)),IF($B20="STD. DEVIATION",2,$F$1))))</f>
        <v/>
      </c>
      <c r="W20" s="1" t="str">
        <f>IF(OR($B20="",W$7=""),"",IF($B20="MEANS",INDEX('1-DATA'!$1:$1048576,$A19-1,COLUMN('1-DATA'!V18)),ROUND(INDEX('1-DATA'!$1:$1048576,IF(OR($B20="STD. DEVIATION",$C$1=1),$A20,$A20+1),COLUMN('1-DATA'!V18)),IF($B20="STD. DEVIATION",2,$F$1))))</f>
        <v/>
      </c>
      <c r="X20" s="1" t="str">
        <f>IF(OR($B20="",X$7=""),"",IF($B20="MEANS",INDEX('1-DATA'!$1:$1048576,$A19-1,COLUMN('1-DATA'!W18)),ROUND(INDEX('1-DATA'!$1:$1048576,IF(OR($B20="STD. DEVIATION",$C$1=1),$A20,$A20+1),COLUMN('1-DATA'!W18)),IF($B20="STD. DEVIATION",2,$F$1))))</f>
        <v/>
      </c>
      <c r="Y20" s="1" t="str">
        <f>IF(OR($B20="",Y$7=""),"",IF($B20="MEANS",INDEX('1-DATA'!$1:$1048576,$A19-1,COLUMN('1-DATA'!X18)),ROUND(INDEX('1-DATA'!$1:$1048576,IF(OR($B20="STD. DEVIATION",$C$1=1),$A20,$A20+1),COLUMN('1-DATA'!X18)),IF($B20="STD. DEVIATION",2,$F$1))))</f>
        <v/>
      </c>
      <c r="Z20" s="1" t="str">
        <f>IF(OR($B20="",Z$7=""),"",IF($B20="MEANS",INDEX('1-DATA'!$1:$1048576,$A19-1,COLUMN('1-DATA'!Y18)),ROUND(INDEX('1-DATA'!$1:$1048576,IF(OR($B20="STD. DEVIATION",$C$1=1),$A20,$A20+1),COLUMN('1-DATA'!Y18)),IF($B20="STD. DEVIATION",2,$F$1))))</f>
        <v/>
      </c>
      <c r="AA20" s="1" t="str">
        <f>IF(OR($B20="",AA$7=""),"",IF($B20="MEANS",INDEX('1-DATA'!$1:$1048576,$A19-1,COLUMN('1-DATA'!Z18)),ROUND(INDEX('1-DATA'!$1:$1048576,IF(OR($B20="STD. DEVIATION",$C$1=1),$A20,$A20+1),COLUMN('1-DATA'!Z18)),IF($B20="STD. DEVIATION",2,$F$1))))</f>
        <v/>
      </c>
      <c r="AB20" s="1" t="str">
        <f>IF(OR($B20="",AB$7=""),"",IF($B20="MEANS",INDEX('1-DATA'!$1:$1048576,$A19-1,COLUMN('1-DATA'!AA18)),ROUND(INDEX('1-DATA'!$1:$1048576,IF(OR($B20="STD. DEVIATION",$C$1=1),$A20,$A20+1),COLUMN('1-DATA'!AA18)),IF($B20="STD. DEVIATION",2,$F$1))))</f>
        <v/>
      </c>
      <c r="AC20" s="1" t="str">
        <f>IF(OR($B20="",AC$7=""),"",IF($B20="MEANS",INDEX('1-DATA'!$1:$1048576,$A19-1,COLUMN('1-DATA'!AB18)),ROUND(INDEX('1-DATA'!$1:$1048576,IF(OR($B20="STD. DEVIATION",$C$1=1),$A20,$A20+1),COLUMN('1-DATA'!AB18)),IF($B20="STD. DEVIATION",2,$F$1))))</f>
        <v/>
      </c>
      <c r="AD20" s="1" t="str">
        <f>IF(OR($B20="",AD$7=""),"",IF($B20="MEANS",INDEX('1-DATA'!$1:$1048576,$A19-1,COLUMN('1-DATA'!AC18)),ROUND(INDEX('1-DATA'!$1:$1048576,IF(OR($B20="STD. DEVIATION",$C$1=1),$A20,$A20+1),COLUMN('1-DATA'!AC18)),IF($B20="STD. DEVIATION",2,$F$1))))</f>
        <v/>
      </c>
      <c r="AE20" s="1" t="str">
        <f>IF(OR($B20="",AE$7=""),"",IF($B20="MEANS",INDEX('1-DATA'!$1:$1048576,$A19-1,COLUMN('1-DATA'!AD18)),ROUND(INDEX('1-DATA'!$1:$1048576,IF(OR($B20="STD. DEVIATION",$C$1=1),$A20,$A20+1),COLUMN('1-DATA'!AD18)),IF($B20="STD. DEVIATION",2,$F$1))))</f>
        <v/>
      </c>
      <c r="AF20" s="1" t="str">
        <f>IF(OR($B20="",AF$7=""),"",IF($B20="MEANS",INDEX('1-DATA'!$1:$1048576,$A19-1,COLUMN('1-DATA'!AE18)),ROUND(INDEX('1-DATA'!$1:$1048576,IF(OR($B20="STD. DEVIATION",$C$1=1),$A20,$A20+1),COLUMN('1-DATA'!AE18)),IF($B20="STD. DEVIATION",2,$F$1))))</f>
        <v/>
      </c>
      <c r="AG20" s="1" t="str">
        <f>IF(OR($B20="",AG$7=""),"",IF($B20="MEANS",INDEX('1-DATA'!$1:$1048576,$A19-1,COLUMN('1-DATA'!AF18)),ROUND(INDEX('1-DATA'!$1:$1048576,IF(OR($B20="STD. DEVIATION",$C$1=1),$A20,$A20+1),COLUMN('1-DATA'!AF18)),IF($B20="STD. DEVIATION",2,$F$1))))</f>
        <v/>
      </c>
      <c r="AH20" s="1" t="str">
        <f>IF(OR($B20="",AH$7=""),"",IF($B20="MEANS",INDEX('1-DATA'!$1:$1048576,$A19-1,COLUMN('1-DATA'!AG18)),ROUND(INDEX('1-DATA'!$1:$1048576,IF(OR($B20="STD. DEVIATION",$C$1=1),$A20,$A20+1),COLUMN('1-DATA'!AG18)),IF($B20="STD. DEVIATION",2,$F$1))))</f>
        <v/>
      </c>
      <c r="AI20" s="1" t="str">
        <f>IF(OR($B20="",AI$7=""),"",IF($B20="MEANS",INDEX('1-DATA'!$1:$1048576,$A19-1,COLUMN('1-DATA'!AH18)),ROUND(INDEX('1-DATA'!$1:$1048576,IF(OR($B20="STD. DEVIATION",$C$1=1),$A20,$A20+1),COLUMN('1-DATA'!AH18)),IF($B20="STD. DEVIATION",2,$F$1))))</f>
        <v/>
      </c>
      <c r="AJ20" s="1" t="str">
        <f>IF(OR($B20="",AJ$7=""),"",IF($B20="MEANS",INDEX('1-DATA'!$1:$1048576,$A19-1,COLUMN('1-DATA'!AI18)),ROUND(INDEX('1-DATA'!$1:$1048576,IF(OR($B20="STD. DEVIATION",$C$1=1),$A20,$A20+1),COLUMN('1-DATA'!AI18)),IF($B20="STD. DEVIATION",2,$F$1))))</f>
        <v/>
      </c>
      <c r="AK20" s="1" t="str">
        <f>IF(OR($B20="",AK$7=""),"",IF($B20="MEANS",INDEX('1-DATA'!$1:$1048576,$A19-1,COLUMN('1-DATA'!AJ18)),ROUND(INDEX('1-DATA'!$1:$1048576,IF(OR($B20="STD. DEVIATION",$C$1=1),$A20,$A20+1),COLUMN('1-DATA'!AJ18)),IF($B20="STD. DEVIATION",2,$F$1))))</f>
        <v/>
      </c>
      <c r="AL20" s="1" t="str">
        <f>IF(OR($B20="",AL$7=""),"",IF($B20="MEANS",INDEX('1-DATA'!$1:$1048576,$A19-1,COLUMN('1-DATA'!AK18)),ROUND(INDEX('1-DATA'!$1:$1048576,IF(OR($B20="STD. DEVIATION",$C$1=1),$A20,$A20+1),COLUMN('1-DATA'!AK18)),IF($B20="STD. DEVIATION",2,$F$1))))</f>
        <v/>
      </c>
      <c r="AM20" s="1" t="str">
        <f>IF(OR($B20="",AM$7=""),"",IF($B20="MEANS",INDEX('1-DATA'!$1:$1048576,$A19-1,COLUMN('1-DATA'!AL18)),ROUND(INDEX('1-DATA'!$1:$1048576,IF(OR($B20="STD. DEVIATION",$C$1=1),$A20,$A20+1),COLUMN('1-DATA'!AL18)),IF($B20="STD. DEVIATION",2,$F$1))))</f>
        <v/>
      </c>
      <c r="AN20" s="1" t="str">
        <f>IF(OR($B20="",AN$7=""),"",IF($B20="MEANS",INDEX('1-DATA'!$1:$1048576,$A19-1,COLUMN('1-DATA'!AM18)),ROUND(INDEX('1-DATA'!$1:$1048576,IF(OR($B20="STD. DEVIATION",$C$1=1),$A20,$A20+1),COLUMN('1-DATA'!AM18)),IF($B20="STD. DEVIATION",2,$F$1))))</f>
        <v/>
      </c>
      <c r="AO20" s="1" t="str">
        <f>IF(OR($B20="",AO$7=""),"",IF($B20="MEANS",INDEX('1-DATA'!$1:$1048576,$A19-1,COLUMN('1-DATA'!AN18)),ROUND(INDEX('1-DATA'!$1:$1048576,IF(OR($B20="STD. DEVIATION",$C$1=1),$A20,$A20+1),COLUMN('1-DATA'!AN18)),IF($B20="STD. DEVIATION",2,$F$1))))</f>
        <v/>
      </c>
      <c r="AP20" s="1" t="str">
        <f>IF(OR($B20="",AP$7=""),"",IF($B20="MEANS",INDEX('1-DATA'!$1:$1048576,$A19-1,COLUMN('1-DATA'!AO18)),ROUND(INDEX('1-DATA'!$1:$1048576,IF(OR($B20="STD. DEVIATION",$C$1=1),$A20,$A20+1),COLUMN('1-DATA'!AO18)),IF($B20="STD. DEVIATION",2,$F$1))))</f>
        <v/>
      </c>
      <c r="AQ20" s="1" t="str">
        <f>IF(OR($B20="",AQ$7=""),"",IF($B20="MEANS",INDEX('1-DATA'!$1:$1048576,$A19-1,COLUMN('1-DATA'!AP18)),ROUND(INDEX('1-DATA'!$1:$1048576,IF(OR($B20="STD. DEVIATION",$C$1=1),$A20,$A20+1),COLUMN('1-DATA'!AP18)),IF($B20="STD. DEVIATION",2,$F$1))))</f>
        <v/>
      </c>
      <c r="AR20" s="1" t="str">
        <f>IF(OR($B20="",AR$7=""),"",IF($B20="MEANS",INDEX('1-DATA'!$1:$1048576,$A19-1,COLUMN('1-DATA'!AQ18)),ROUND(INDEX('1-DATA'!$1:$1048576,IF(OR($B20="STD. DEVIATION",$C$1=1),$A20,$A20+1),COLUMN('1-DATA'!AQ18)),IF($B20="STD. DEVIATION",2,$F$1))))</f>
        <v/>
      </c>
      <c r="AS20" s="1" t="str">
        <f>IF(OR($B20="",AS$7=""),"",IF($B20="MEANS",INDEX('1-DATA'!$1:$1048576,$A19-1,COLUMN('1-DATA'!AR18)),ROUND(INDEX('1-DATA'!$1:$1048576,IF(OR($B20="STD. DEVIATION",$C$1=1),$A20,$A20+1),COLUMN('1-DATA'!AR18)),IF($B20="STD. DEVIATION",2,$F$1))))</f>
        <v/>
      </c>
      <c r="AT20" s="1" t="str">
        <f>IF(OR($B20="",AT$7=""),"",IF($B20="MEANS",INDEX('1-DATA'!$1:$1048576,$A19-1,COLUMN('1-DATA'!AS18)),ROUND(INDEX('1-DATA'!$1:$1048576,IF(OR($B20="STD. DEVIATION",$C$1=1),$A20,$A20+1),COLUMN('1-DATA'!AS18)),IF($B20="STD. DEVIATION",2,$F$1))))</f>
        <v/>
      </c>
      <c r="AU20" s="1" t="str">
        <f>IF(OR($B20="",AU$7=""),"",IF($B20="MEANS",INDEX('1-DATA'!$1:$1048576,$A19-1,COLUMN('1-DATA'!AT18)),ROUND(INDEX('1-DATA'!$1:$1048576,IF(OR($B20="STD. DEVIATION",$C$1=1),$A20,$A20+1),COLUMN('1-DATA'!AT18)),IF($B20="STD. DEVIATION",2,$F$1))))</f>
        <v/>
      </c>
      <c r="AV20" s="1" t="str">
        <f>IF(OR($B20="",AV$7=""),"",IF($B20="MEANS",INDEX('1-DATA'!$1:$1048576,$A19-1,COLUMN('1-DATA'!AU18)),ROUND(INDEX('1-DATA'!$1:$1048576,IF(OR($B20="STD. DEVIATION",$C$1=1),$A20,$A20+1),COLUMN('1-DATA'!AU18)),IF($B20="STD. DEVIATION",2,$F$1))))</f>
        <v/>
      </c>
      <c r="AW20" s="1" t="str">
        <f>IF(OR($B20="",AW$7=""),"",IF($B20="MEANS",INDEX('1-DATA'!$1:$1048576,$A19-1,COLUMN('1-DATA'!AV18)),ROUND(INDEX('1-DATA'!$1:$1048576,IF(OR($B20="STD. DEVIATION",$C$1=1),$A20,$A20+1),COLUMN('1-DATA'!AV18)),IF($B20="STD. DEVIATION",2,$F$1))))</f>
        <v/>
      </c>
      <c r="AX20" s="1" t="str">
        <f>IF(OR($B20="",AX$7=""),"",IF($B20="MEANS",INDEX('1-DATA'!$1:$1048576,$A19-1,COLUMN('1-DATA'!AW18)),ROUND(INDEX('1-DATA'!$1:$1048576,IF(OR($B20="STD. DEVIATION",$C$1=1),$A20,$A20+1),COLUMN('1-DATA'!AW18)),IF($B20="STD. DEVIATION",2,$F$1))))</f>
        <v/>
      </c>
      <c r="AY20" s="1" t="str">
        <f>IF(OR($B20="",AY$7=""),"",IF($B20="MEANS",INDEX('1-DATA'!$1:$1048576,$A19-1,COLUMN('1-DATA'!AX18)),ROUND(INDEX('1-DATA'!$1:$1048576,IF(OR($B20="STD. DEVIATION",$C$1=1),$A20,$A20+1),COLUMN('1-DATA'!AX18)),IF($B20="STD. DEVIATION",2,$F$1))))</f>
        <v/>
      </c>
      <c r="AZ20" s="1" t="str">
        <f>IF(OR($B20="",AZ$7=""),"",IF($B20="MEANS",INDEX('1-DATA'!$1:$1048576,$A19-1,COLUMN('1-DATA'!AY18)),ROUND(INDEX('1-DATA'!$1:$1048576,IF(OR($B20="STD. DEVIATION",$C$1=1),$A20,$A20+1),COLUMN('1-DATA'!AY18)),IF($B20="STD. DEVIATION",2,$F$1))))</f>
        <v/>
      </c>
    </row>
    <row r="21" spans="1:52" x14ac:dyDescent="0.25">
      <c r="A21" s="11">
        <f t="shared" si="0"/>
        <v>49</v>
      </c>
      <c r="B21" s="1" t="str">
        <f>IF(B20="STD. DEVIATION",INDEX('1-DATA'!$1:$1048576,$A20-1,1),IF(INDEX('1-DATA'!$1:$1048576,$A21,1)&lt;&gt;"",INDEX('1-DATA'!$1:$1048576,$A21,1),""))</f>
        <v/>
      </c>
      <c r="C21" s="1" t="str">
        <f>IF(OR($B21="",C$7=""),"",IF($B21="MEANS",INDEX('1-DATA'!$1:$1048576,$A20-1,COLUMN('1-DATA'!B19)),ROUND(INDEX('1-DATA'!$1:$1048576,IF(OR($B21="STD. DEVIATION",$C$1=1),$A21,$A21+1),COLUMN('1-DATA'!B19)),IF($B21="STD. DEVIATION",2,$F$1))))</f>
        <v/>
      </c>
      <c r="D21" s="1" t="str">
        <f>IF(OR($B21="",D$7=""),"",IF($B21="MEANS",INDEX('1-DATA'!$1:$1048576,$A20-1,COLUMN('1-DATA'!C19)),ROUND(INDEX('1-DATA'!$1:$1048576,IF(OR($B21="STD. DEVIATION",$C$1=1),$A21,$A21+1),COLUMN('1-DATA'!C19)),IF($B21="STD. DEVIATION",2,$F$1))))</f>
        <v/>
      </c>
      <c r="E21" s="1" t="str">
        <f>IF(OR($B21="",E$7=""),"",IF($B21="MEANS",INDEX('1-DATA'!$1:$1048576,$A20-1,COLUMN('1-DATA'!D19)),ROUND(INDEX('1-DATA'!$1:$1048576,IF(OR($B21="STD. DEVIATION",$C$1=1),$A21,$A21+1),COLUMN('1-DATA'!D19)),IF($B21="STD. DEVIATION",2,$F$1))))</f>
        <v/>
      </c>
      <c r="F21" s="1" t="str">
        <f>IF(OR($B21="",F$7=""),"",IF($B21="MEANS",INDEX('1-DATA'!$1:$1048576,$A20-1,COLUMN('1-DATA'!E19)),ROUND(INDEX('1-DATA'!$1:$1048576,IF(OR($B21="STD. DEVIATION",$C$1=1),$A21,$A21+1),COLUMN('1-DATA'!E19)),IF($B21="STD. DEVIATION",2,$F$1))))</f>
        <v/>
      </c>
      <c r="G21" s="1" t="str">
        <f>IF(OR($B21="",G$7=""),"",IF($B21="MEANS",INDEX('1-DATA'!$1:$1048576,$A20-1,COLUMN('1-DATA'!F19)),ROUND(INDEX('1-DATA'!$1:$1048576,IF(OR($B21="STD. DEVIATION",$C$1=1),$A21,$A21+1),COLUMN('1-DATA'!F19)),IF($B21="STD. DEVIATION",2,$F$1))))</f>
        <v/>
      </c>
      <c r="H21" s="1" t="str">
        <f>IF(OR($B21="",H$7=""),"",IF($B21="MEANS",INDEX('1-DATA'!$1:$1048576,$A20-1,COLUMN('1-DATA'!G19)),ROUND(INDEX('1-DATA'!$1:$1048576,IF(OR($B21="STD. DEVIATION",$C$1=1),$A21,$A21+1),COLUMN('1-DATA'!G19)),IF($B21="STD. DEVIATION",2,$F$1))))</f>
        <v/>
      </c>
      <c r="I21" s="1" t="str">
        <f>IF(OR($B21="",I$7=""),"",IF($B21="MEANS",INDEX('1-DATA'!$1:$1048576,$A20-1,COLUMN('1-DATA'!H19)),ROUND(INDEX('1-DATA'!$1:$1048576,IF(OR($B21="STD. DEVIATION",$C$1=1),$A21,$A21+1),COLUMN('1-DATA'!H19)),IF($B21="STD. DEVIATION",2,$F$1))))</f>
        <v/>
      </c>
      <c r="J21" s="1" t="str">
        <f>IF(OR($B21="",J$7=""),"",IF($B21="MEANS",INDEX('1-DATA'!$1:$1048576,$A20-1,COLUMN('1-DATA'!I19)),ROUND(INDEX('1-DATA'!$1:$1048576,IF(OR($B21="STD. DEVIATION",$C$1=1),$A21,$A21+1),COLUMN('1-DATA'!I19)),IF($B21="STD. DEVIATION",2,$F$1))))</f>
        <v/>
      </c>
      <c r="K21" s="1" t="str">
        <f>IF(OR($B21="",K$7=""),"",IF($B21="MEANS",INDEX('1-DATA'!$1:$1048576,$A20-1,COLUMN('1-DATA'!J19)),ROUND(INDEX('1-DATA'!$1:$1048576,IF(OR($B21="STD. DEVIATION",$C$1=1),$A21,$A21+1),COLUMN('1-DATA'!J19)),IF($B21="STD. DEVIATION",2,$F$1))))</f>
        <v/>
      </c>
      <c r="L21" s="1" t="str">
        <f>IF(OR($B21="",L$7=""),"",IF($B21="MEANS",INDEX('1-DATA'!$1:$1048576,$A20-1,COLUMN('1-DATA'!K19)),ROUND(INDEX('1-DATA'!$1:$1048576,IF(OR($B21="STD. DEVIATION",$C$1=1),$A21,$A21+1),COLUMN('1-DATA'!K19)),IF($B21="STD. DEVIATION",2,$F$1))))</f>
        <v/>
      </c>
      <c r="M21" s="1" t="str">
        <f>IF(OR($B21="",M$7=""),"",IF($B21="MEANS",INDEX('1-DATA'!$1:$1048576,$A20-1,COLUMN('1-DATA'!L19)),ROUND(INDEX('1-DATA'!$1:$1048576,IF(OR($B21="STD. DEVIATION",$C$1=1),$A21,$A21+1),COLUMN('1-DATA'!L19)),IF($B21="STD. DEVIATION",2,$F$1))))</f>
        <v/>
      </c>
      <c r="N21" s="1" t="str">
        <f>IF(OR($B21="",N$7=""),"",IF($B21="MEANS",INDEX('1-DATA'!$1:$1048576,$A20-1,COLUMN('1-DATA'!M19)),ROUND(INDEX('1-DATA'!$1:$1048576,IF(OR($B21="STD. DEVIATION",$C$1=1),$A21,$A21+1),COLUMN('1-DATA'!M19)),IF($B21="STD. DEVIATION",2,$F$1))))</f>
        <v/>
      </c>
      <c r="O21" s="1" t="str">
        <f>IF(OR($B21="",O$7=""),"",IF($B21="MEANS",INDEX('1-DATA'!$1:$1048576,$A20-1,COLUMN('1-DATA'!N19)),ROUND(INDEX('1-DATA'!$1:$1048576,IF(OR($B21="STD. DEVIATION",$C$1=1),$A21,$A21+1),COLUMN('1-DATA'!N19)),IF($B21="STD. DEVIATION",2,$F$1))))</f>
        <v/>
      </c>
      <c r="P21" s="1" t="str">
        <f>IF(OR($B21="",P$7=""),"",IF($B21="MEANS",INDEX('1-DATA'!$1:$1048576,$A20-1,COLUMN('1-DATA'!O19)),ROUND(INDEX('1-DATA'!$1:$1048576,IF(OR($B21="STD. DEVIATION",$C$1=1),$A21,$A21+1),COLUMN('1-DATA'!O19)),IF($B21="STD. DEVIATION",2,$F$1))))</f>
        <v/>
      </c>
      <c r="Q21" s="1" t="str">
        <f>IF(OR($B21="",Q$7=""),"",IF($B21="MEANS",INDEX('1-DATA'!$1:$1048576,$A20-1,COLUMN('1-DATA'!P19)),ROUND(INDEX('1-DATA'!$1:$1048576,IF(OR($B21="STD. DEVIATION",$C$1=1),$A21,$A21+1),COLUMN('1-DATA'!P19)),IF($B21="STD. DEVIATION",2,$F$1))))</f>
        <v/>
      </c>
      <c r="R21" s="1" t="str">
        <f>IF(OR($B21="",R$7=""),"",IF($B21="MEANS",INDEX('1-DATA'!$1:$1048576,$A20-1,COLUMN('1-DATA'!Q19)),ROUND(INDEX('1-DATA'!$1:$1048576,IF(OR($B21="STD. DEVIATION",$C$1=1),$A21,$A21+1),COLUMN('1-DATA'!Q19)),IF($B21="STD. DEVIATION",2,$F$1))))</f>
        <v/>
      </c>
      <c r="S21" s="1" t="str">
        <f>IF(OR($B21="",S$7=""),"",IF($B21="MEANS",INDEX('1-DATA'!$1:$1048576,$A20-1,COLUMN('1-DATA'!R19)),ROUND(INDEX('1-DATA'!$1:$1048576,IF(OR($B21="STD. DEVIATION",$C$1=1),$A21,$A21+1),COLUMN('1-DATA'!R19)),IF($B21="STD. DEVIATION",2,$F$1))))</f>
        <v/>
      </c>
      <c r="T21" s="1" t="str">
        <f>IF(OR($B21="",T$7=""),"",IF($B21="MEANS",INDEX('1-DATA'!$1:$1048576,$A20-1,COLUMN('1-DATA'!S19)),ROUND(INDEX('1-DATA'!$1:$1048576,IF(OR($B21="STD. DEVIATION",$C$1=1),$A21,$A21+1),COLUMN('1-DATA'!S19)),IF($B21="STD. DEVIATION",2,$F$1))))</f>
        <v/>
      </c>
      <c r="U21" s="1" t="str">
        <f>IF(OR($B21="",U$7=""),"",IF($B21="MEANS",INDEX('1-DATA'!$1:$1048576,$A20-1,COLUMN('1-DATA'!T19)),ROUND(INDEX('1-DATA'!$1:$1048576,IF(OR($B21="STD. DEVIATION",$C$1=1),$A21,$A21+1),COLUMN('1-DATA'!T19)),IF($B21="STD. DEVIATION",2,$F$1))))</f>
        <v/>
      </c>
      <c r="V21" s="1" t="str">
        <f>IF(OR($B21="",V$7=""),"",IF($B21="MEANS",INDEX('1-DATA'!$1:$1048576,$A20-1,COLUMN('1-DATA'!U19)),ROUND(INDEX('1-DATA'!$1:$1048576,IF(OR($B21="STD. DEVIATION",$C$1=1),$A21,$A21+1),COLUMN('1-DATA'!U19)),IF($B21="STD. DEVIATION",2,$F$1))))</f>
        <v/>
      </c>
      <c r="W21" s="1" t="str">
        <f>IF(OR($B21="",W$7=""),"",IF($B21="MEANS",INDEX('1-DATA'!$1:$1048576,$A20-1,COLUMN('1-DATA'!V19)),ROUND(INDEX('1-DATA'!$1:$1048576,IF(OR($B21="STD. DEVIATION",$C$1=1),$A21,$A21+1),COLUMN('1-DATA'!V19)),IF($B21="STD. DEVIATION",2,$F$1))))</f>
        <v/>
      </c>
      <c r="X21" s="1" t="str">
        <f>IF(OR($B21="",X$7=""),"",IF($B21="MEANS",INDEX('1-DATA'!$1:$1048576,$A20-1,COLUMN('1-DATA'!W19)),ROUND(INDEX('1-DATA'!$1:$1048576,IF(OR($B21="STD. DEVIATION",$C$1=1),$A21,$A21+1),COLUMN('1-DATA'!W19)),IF($B21="STD. DEVIATION",2,$F$1))))</f>
        <v/>
      </c>
      <c r="Y21" s="1" t="str">
        <f>IF(OR($B21="",Y$7=""),"",IF($B21="MEANS",INDEX('1-DATA'!$1:$1048576,$A20-1,COLUMN('1-DATA'!X19)),ROUND(INDEX('1-DATA'!$1:$1048576,IF(OR($B21="STD. DEVIATION",$C$1=1),$A21,$A21+1),COLUMN('1-DATA'!X19)),IF($B21="STD. DEVIATION",2,$F$1))))</f>
        <v/>
      </c>
      <c r="Z21" s="1" t="str">
        <f>IF(OR($B21="",Z$7=""),"",IF($B21="MEANS",INDEX('1-DATA'!$1:$1048576,$A20-1,COLUMN('1-DATA'!Y19)),ROUND(INDEX('1-DATA'!$1:$1048576,IF(OR($B21="STD. DEVIATION",$C$1=1),$A21,$A21+1),COLUMN('1-DATA'!Y19)),IF($B21="STD. DEVIATION",2,$F$1))))</f>
        <v/>
      </c>
      <c r="AA21" s="1" t="str">
        <f>IF(OR($B21="",AA$7=""),"",IF($B21="MEANS",INDEX('1-DATA'!$1:$1048576,$A20-1,COLUMN('1-DATA'!Z19)),ROUND(INDEX('1-DATA'!$1:$1048576,IF(OR($B21="STD. DEVIATION",$C$1=1),$A21,$A21+1),COLUMN('1-DATA'!Z19)),IF($B21="STD. DEVIATION",2,$F$1))))</f>
        <v/>
      </c>
      <c r="AB21" s="1" t="str">
        <f>IF(OR($B21="",AB$7=""),"",IF($B21="MEANS",INDEX('1-DATA'!$1:$1048576,$A20-1,COLUMN('1-DATA'!AA19)),ROUND(INDEX('1-DATA'!$1:$1048576,IF(OR($B21="STD. DEVIATION",$C$1=1),$A21,$A21+1),COLUMN('1-DATA'!AA19)),IF($B21="STD. DEVIATION",2,$F$1))))</f>
        <v/>
      </c>
      <c r="AC21" s="1" t="str">
        <f>IF(OR($B21="",AC$7=""),"",IF($B21="MEANS",INDEX('1-DATA'!$1:$1048576,$A20-1,COLUMN('1-DATA'!AB19)),ROUND(INDEX('1-DATA'!$1:$1048576,IF(OR($B21="STD. DEVIATION",$C$1=1),$A21,$A21+1),COLUMN('1-DATA'!AB19)),IF($B21="STD. DEVIATION",2,$F$1))))</f>
        <v/>
      </c>
      <c r="AD21" s="1" t="str">
        <f>IF(OR($B21="",AD$7=""),"",IF($B21="MEANS",INDEX('1-DATA'!$1:$1048576,$A20-1,COLUMN('1-DATA'!AC19)),ROUND(INDEX('1-DATA'!$1:$1048576,IF(OR($B21="STD. DEVIATION",$C$1=1),$A21,$A21+1),COLUMN('1-DATA'!AC19)),IF($B21="STD. DEVIATION",2,$F$1))))</f>
        <v/>
      </c>
      <c r="AE21" s="1" t="str">
        <f>IF(OR($B21="",AE$7=""),"",IF($B21="MEANS",INDEX('1-DATA'!$1:$1048576,$A20-1,COLUMN('1-DATA'!AD19)),ROUND(INDEX('1-DATA'!$1:$1048576,IF(OR($B21="STD. DEVIATION",$C$1=1),$A21,$A21+1),COLUMN('1-DATA'!AD19)),IF($B21="STD. DEVIATION",2,$F$1))))</f>
        <v/>
      </c>
      <c r="AF21" s="1" t="str">
        <f>IF(OR($B21="",AF$7=""),"",IF($B21="MEANS",INDEX('1-DATA'!$1:$1048576,$A20-1,COLUMN('1-DATA'!AE19)),ROUND(INDEX('1-DATA'!$1:$1048576,IF(OR($B21="STD. DEVIATION",$C$1=1),$A21,$A21+1),COLUMN('1-DATA'!AE19)),IF($B21="STD. DEVIATION",2,$F$1))))</f>
        <v/>
      </c>
      <c r="AG21" s="1" t="str">
        <f>IF(OR($B21="",AG$7=""),"",IF($B21="MEANS",INDEX('1-DATA'!$1:$1048576,$A20-1,COLUMN('1-DATA'!AF19)),ROUND(INDEX('1-DATA'!$1:$1048576,IF(OR($B21="STD. DEVIATION",$C$1=1),$A21,$A21+1),COLUMN('1-DATA'!AF19)),IF($B21="STD. DEVIATION",2,$F$1))))</f>
        <v/>
      </c>
      <c r="AH21" s="1" t="str">
        <f>IF(OR($B21="",AH$7=""),"",IF($B21="MEANS",INDEX('1-DATA'!$1:$1048576,$A20-1,COLUMN('1-DATA'!AG19)),ROUND(INDEX('1-DATA'!$1:$1048576,IF(OR($B21="STD. DEVIATION",$C$1=1),$A21,$A21+1),COLUMN('1-DATA'!AG19)),IF($B21="STD. DEVIATION",2,$F$1))))</f>
        <v/>
      </c>
      <c r="AI21" s="1" t="str">
        <f>IF(OR($B21="",AI$7=""),"",IF($B21="MEANS",INDEX('1-DATA'!$1:$1048576,$A20-1,COLUMN('1-DATA'!AH19)),ROUND(INDEX('1-DATA'!$1:$1048576,IF(OR($B21="STD. DEVIATION",$C$1=1),$A21,$A21+1),COLUMN('1-DATA'!AH19)),IF($B21="STD. DEVIATION",2,$F$1))))</f>
        <v/>
      </c>
      <c r="AJ21" s="1" t="str">
        <f>IF(OR($B21="",AJ$7=""),"",IF($B21="MEANS",INDEX('1-DATA'!$1:$1048576,$A20-1,COLUMN('1-DATA'!AI19)),ROUND(INDEX('1-DATA'!$1:$1048576,IF(OR($B21="STD. DEVIATION",$C$1=1),$A21,$A21+1),COLUMN('1-DATA'!AI19)),IF($B21="STD. DEVIATION",2,$F$1))))</f>
        <v/>
      </c>
      <c r="AK21" s="1" t="str">
        <f>IF(OR($B21="",AK$7=""),"",IF($B21="MEANS",INDEX('1-DATA'!$1:$1048576,$A20-1,COLUMN('1-DATA'!AJ19)),ROUND(INDEX('1-DATA'!$1:$1048576,IF(OR($B21="STD. DEVIATION",$C$1=1),$A21,$A21+1),COLUMN('1-DATA'!AJ19)),IF($B21="STD. DEVIATION",2,$F$1))))</f>
        <v/>
      </c>
      <c r="AL21" s="1" t="str">
        <f>IF(OR($B21="",AL$7=""),"",IF($B21="MEANS",INDEX('1-DATA'!$1:$1048576,$A20-1,COLUMN('1-DATA'!AK19)),ROUND(INDEX('1-DATA'!$1:$1048576,IF(OR($B21="STD. DEVIATION",$C$1=1),$A21,$A21+1),COLUMN('1-DATA'!AK19)),IF($B21="STD. DEVIATION",2,$F$1))))</f>
        <v/>
      </c>
      <c r="AM21" s="1" t="str">
        <f>IF(OR($B21="",AM$7=""),"",IF($B21="MEANS",INDEX('1-DATA'!$1:$1048576,$A20-1,COLUMN('1-DATA'!AL19)),ROUND(INDEX('1-DATA'!$1:$1048576,IF(OR($B21="STD. DEVIATION",$C$1=1),$A21,$A21+1),COLUMN('1-DATA'!AL19)),IF($B21="STD. DEVIATION",2,$F$1))))</f>
        <v/>
      </c>
      <c r="AN21" s="1" t="str">
        <f>IF(OR($B21="",AN$7=""),"",IF($B21="MEANS",INDEX('1-DATA'!$1:$1048576,$A20-1,COLUMN('1-DATA'!AM19)),ROUND(INDEX('1-DATA'!$1:$1048576,IF(OR($B21="STD. DEVIATION",$C$1=1),$A21,$A21+1),COLUMN('1-DATA'!AM19)),IF($B21="STD. DEVIATION",2,$F$1))))</f>
        <v/>
      </c>
      <c r="AO21" s="1" t="str">
        <f>IF(OR($B21="",AO$7=""),"",IF($B21="MEANS",INDEX('1-DATA'!$1:$1048576,$A20-1,COLUMN('1-DATA'!AN19)),ROUND(INDEX('1-DATA'!$1:$1048576,IF(OR($B21="STD. DEVIATION",$C$1=1),$A21,$A21+1),COLUMN('1-DATA'!AN19)),IF($B21="STD. DEVIATION",2,$F$1))))</f>
        <v/>
      </c>
      <c r="AP21" s="1" t="str">
        <f>IF(OR($B21="",AP$7=""),"",IF($B21="MEANS",INDEX('1-DATA'!$1:$1048576,$A20-1,COLUMN('1-DATA'!AO19)),ROUND(INDEX('1-DATA'!$1:$1048576,IF(OR($B21="STD. DEVIATION",$C$1=1),$A21,$A21+1),COLUMN('1-DATA'!AO19)),IF($B21="STD. DEVIATION",2,$F$1))))</f>
        <v/>
      </c>
      <c r="AQ21" s="1" t="str">
        <f>IF(OR($B21="",AQ$7=""),"",IF($B21="MEANS",INDEX('1-DATA'!$1:$1048576,$A20-1,COLUMN('1-DATA'!AP19)),ROUND(INDEX('1-DATA'!$1:$1048576,IF(OR($B21="STD. DEVIATION",$C$1=1),$A21,$A21+1),COLUMN('1-DATA'!AP19)),IF($B21="STD. DEVIATION",2,$F$1))))</f>
        <v/>
      </c>
      <c r="AR21" s="1" t="str">
        <f>IF(OR($B21="",AR$7=""),"",IF($B21="MEANS",INDEX('1-DATA'!$1:$1048576,$A20-1,COLUMN('1-DATA'!AQ19)),ROUND(INDEX('1-DATA'!$1:$1048576,IF(OR($B21="STD. DEVIATION",$C$1=1),$A21,$A21+1),COLUMN('1-DATA'!AQ19)),IF($B21="STD. DEVIATION",2,$F$1))))</f>
        <v/>
      </c>
      <c r="AS21" s="1" t="str">
        <f>IF(OR($B21="",AS$7=""),"",IF($B21="MEANS",INDEX('1-DATA'!$1:$1048576,$A20-1,COLUMN('1-DATA'!AR19)),ROUND(INDEX('1-DATA'!$1:$1048576,IF(OR($B21="STD. DEVIATION",$C$1=1),$A21,$A21+1),COLUMN('1-DATA'!AR19)),IF($B21="STD. DEVIATION",2,$F$1))))</f>
        <v/>
      </c>
      <c r="AT21" s="1" t="str">
        <f>IF(OR($B21="",AT$7=""),"",IF($B21="MEANS",INDEX('1-DATA'!$1:$1048576,$A20-1,COLUMN('1-DATA'!AS19)),ROUND(INDEX('1-DATA'!$1:$1048576,IF(OR($B21="STD. DEVIATION",$C$1=1),$A21,$A21+1),COLUMN('1-DATA'!AS19)),IF($B21="STD. DEVIATION",2,$F$1))))</f>
        <v/>
      </c>
      <c r="AU21" s="1" t="str">
        <f>IF(OR($B21="",AU$7=""),"",IF($B21="MEANS",INDEX('1-DATA'!$1:$1048576,$A20-1,COLUMN('1-DATA'!AT19)),ROUND(INDEX('1-DATA'!$1:$1048576,IF(OR($B21="STD. DEVIATION",$C$1=1),$A21,$A21+1),COLUMN('1-DATA'!AT19)),IF($B21="STD. DEVIATION",2,$F$1))))</f>
        <v/>
      </c>
      <c r="AV21" s="1" t="str">
        <f>IF(OR($B21="",AV$7=""),"",IF($B21="MEANS",INDEX('1-DATA'!$1:$1048576,$A20-1,COLUMN('1-DATA'!AU19)),ROUND(INDEX('1-DATA'!$1:$1048576,IF(OR($B21="STD. DEVIATION",$C$1=1),$A21,$A21+1),COLUMN('1-DATA'!AU19)),IF($B21="STD. DEVIATION",2,$F$1))))</f>
        <v/>
      </c>
      <c r="AW21" s="1" t="str">
        <f>IF(OR($B21="",AW$7=""),"",IF($B21="MEANS",INDEX('1-DATA'!$1:$1048576,$A20-1,COLUMN('1-DATA'!AV19)),ROUND(INDEX('1-DATA'!$1:$1048576,IF(OR($B21="STD. DEVIATION",$C$1=1),$A21,$A21+1),COLUMN('1-DATA'!AV19)),IF($B21="STD. DEVIATION",2,$F$1))))</f>
        <v/>
      </c>
      <c r="AX21" s="1" t="str">
        <f>IF(OR($B21="",AX$7=""),"",IF($B21="MEANS",INDEX('1-DATA'!$1:$1048576,$A20-1,COLUMN('1-DATA'!AW19)),ROUND(INDEX('1-DATA'!$1:$1048576,IF(OR($B21="STD. DEVIATION",$C$1=1),$A21,$A21+1),COLUMN('1-DATA'!AW19)),IF($B21="STD. DEVIATION",2,$F$1))))</f>
        <v/>
      </c>
      <c r="AY21" s="1" t="str">
        <f>IF(OR($B21="",AY$7=""),"",IF($B21="MEANS",INDEX('1-DATA'!$1:$1048576,$A20-1,COLUMN('1-DATA'!AX19)),ROUND(INDEX('1-DATA'!$1:$1048576,IF(OR($B21="STD. DEVIATION",$C$1=1),$A21,$A21+1),COLUMN('1-DATA'!AX19)),IF($B21="STD. DEVIATION",2,$F$1))))</f>
        <v/>
      </c>
      <c r="AZ21" s="1" t="str">
        <f>IF(OR($B21="",AZ$7=""),"",IF($B21="MEANS",INDEX('1-DATA'!$1:$1048576,$A20-1,COLUMN('1-DATA'!AY19)),ROUND(INDEX('1-DATA'!$1:$1048576,IF(OR($B21="STD. DEVIATION",$C$1=1),$A21,$A21+1),COLUMN('1-DATA'!AY19)),IF($B21="STD. DEVIATION",2,$F$1))))</f>
        <v/>
      </c>
    </row>
    <row r="22" spans="1:52" x14ac:dyDescent="0.25">
      <c r="A22" s="11">
        <f t="shared" si="0"/>
        <v>52</v>
      </c>
      <c r="B22" s="1" t="str">
        <f>IF(B21="STD. DEVIATION",INDEX('1-DATA'!$1:$1048576,$A21-1,1),IF(INDEX('1-DATA'!$1:$1048576,$A22,1)&lt;&gt;"",INDEX('1-DATA'!$1:$1048576,$A22,1),""))</f>
        <v/>
      </c>
      <c r="C22" s="1" t="str">
        <f>IF(OR($B22="",C$7=""),"",IF($B22="MEANS",INDEX('1-DATA'!$1:$1048576,$A21-1,COLUMN('1-DATA'!B20)),ROUND(INDEX('1-DATA'!$1:$1048576,IF(OR($B22="STD. DEVIATION",$C$1=1),$A22,$A22+1),COLUMN('1-DATA'!B20)),IF($B22="STD. DEVIATION",2,$F$1))))</f>
        <v/>
      </c>
      <c r="D22" s="1" t="str">
        <f>IF(OR($B22="",D$7=""),"",IF($B22="MEANS",INDEX('1-DATA'!$1:$1048576,$A21-1,COLUMN('1-DATA'!C20)),ROUND(INDEX('1-DATA'!$1:$1048576,IF(OR($B22="STD. DEVIATION",$C$1=1),$A22,$A22+1),COLUMN('1-DATA'!C20)),IF($B22="STD. DEVIATION",2,$F$1))))</f>
        <v/>
      </c>
      <c r="E22" s="1" t="str">
        <f>IF(OR($B22="",E$7=""),"",IF($B22="MEANS",INDEX('1-DATA'!$1:$1048576,$A21-1,COLUMN('1-DATA'!D20)),ROUND(INDEX('1-DATA'!$1:$1048576,IF(OR($B22="STD. DEVIATION",$C$1=1),$A22,$A22+1),COLUMN('1-DATA'!D20)),IF($B22="STD. DEVIATION",2,$F$1))))</f>
        <v/>
      </c>
      <c r="F22" s="1" t="str">
        <f>IF(OR($B22="",F$7=""),"",IF($B22="MEANS",INDEX('1-DATA'!$1:$1048576,$A21-1,COLUMN('1-DATA'!E20)),ROUND(INDEX('1-DATA'!$1:$1048576,IF(OR($B22="STD. DEVIATION",$C$1=1),$A22,$A22+1),COLUMN('1-DATA'!E20)),IF($B22="STD. DEVIATION",2,$F$1))))</f>
        <v/>
      </c>
      <c r="G22" s="1" t="str">
        <f>IF(OR($B22="",G$7=""),"",IF($B22="MEANS",INDEX('1-DATA'!$1:$1048576,$A21-1,COLUMN('1-DATA'!F20)),ROUND(INDEX('1-DATA'!$1:$1048576,IF(OR($B22="STD. DEVIATION",$C$1=1),$A22,$A22+1),COLUMN('1-DATA'!F20)),IF($B22="STD. DEVIATION",2,$F$1))))</f>
        <v/>
      </c>
      <c r="H22" s="1" t="str">
        <f>IF(OR($B22="",H$7=""),"",IF($B22="MEANS",INDEX('1-DATA'!$1:$1048576,$A21-1,COLUMN('1-DATA'!G20)),ROUND(INDEX('1-DATA'!$1:$1048576,IF(OR($B22="STD. DEVIATION",$C$1=1),$A22,$A22+1),COLUMN('1-DATA'!G20)),IF($B22="STD. DEVIATION",2,$F$1))))</f>
        <v/>
      </c>
      <c r="I22" s="1" t="str">
        <f>IF(OR($B22="",I$7=""),"",IF($B22="MEANS",INDEX('1-DATA'!$1:$1048576,$A21-1,COLUMN('1-DATA'!H20)),ROUND(INDEX('1-DATA'!$1:$1048576,IF(OR($B22="STD. DEVIATION",$C$1=1),$A22,$A22+1),COLUMN('1-DATA'!H20)),IF($B22="STD. DEVIATION",2,$F$1))))</f>
        <v/>
      </c>
      <c r="J22" s="1" t="str">
        <f>IF(OR($B22="",J$7=""),"",IF($B22="MEANS",INDEX('1-DATA'!$1:$1048576,$A21-1,COLUMN('1-DATA'!I20)),ROUND(INDEX('1-DATA'!$1:$1048576,IF(OR($B22="STD. DEVIATION",$C$1=1),$A22,$A22+1),COLUMN('1-DATA'!I20)),IF($B22="STD. DEVIATION",2,$F$1))))</f>
        <v/>
      </c>
      <c r="K22" s="1" t="str">
        <f>IF(OR($B22="",K$7=""),"",IF($B22="MEANS",INDEX('1-DATA'!$1:$1048576,$A21-1,COLUMN('1-DATA'!J20)),ROUND(INDEX('1-DATA'!$1:$1048576,IF(OR($B22="STD. DEVIATION",$C$1=1),$A22,$A22+1),COLUMN('1-DATA'!J20)),IF($B22="STD. DEVIATION",2,$F$1))))</f>
        <v/>
      </c>
      <c r="L22" s="1" t="str">
        <f>IF(OR($B22="",L$7=""),"",IF($B22="MEANS",INDEX('1-DATA'!$1:$1048576,$A21-1,COLUMN('1-DATA'!K20)),ROUND(INDEX('1-DATA'!$1:$1048576,IF(OR($B22="STD. DEVIATION",$C$1=1),$A22,$A22+1),COLUMN('1-DATA'!K20)),IF($B22="STD. DEVIATION",2,$F$1))))</f>
        <v/>
      </c>
      <c r="M22" s="1" t="str">
        <f>IF(OR($B22="",M$7=""),"",IF($B22="MEANS",INDEX('1-DATA'!$1:$1048576,$A21-1,COLUMN('1-DATA'!L20)),ROUND(INDEX('1-DATA'!$1:$1048576,IF(OR($B22="STD. DEVIATION",$C$1=1),$A22,$A22+1),COLUMN('1-DATA'!L20)),IF($B22="STD. DEVIATION",2,$F$1))))</f>
        <v/>
      </c>
      <c r="N22" s="1" t="str">
        <f>IF(OR($B22="",N$7=""),"",IF($B22="MEANS",INDEX('1-DATA'!$1:$1048576,$A21-1,COLUMN('1-DATA'!M20)),ROUND(INDEX('1-DATA'!$1:$1048576,IF(OR($B22="STD. DEVIATION",$C$1=1),$A22,$A22+1),COLUMN('1-DATA'!M20)),IF($B22="STD. DEVIATION",2,$F$1))))</f>
        <v/>
      </c>
      <c r="O22" s="1" t="str">
        <f>IF(OR($B22="",O$7=""),"",IF($B22="MEANS",INDEX('1-DATA'!$1:$1048576,$A21-1,COLUMN('1-DATA'!N20)),ROUND(INDEX('1-DATA'!$1:$1048576,IF(OR($B22="STD. DEVIATION",$C$1=1),$A22,$A22+1),COLUMN('1-DATA'!N20)),IF($B22="STD. DEVIATION",2,$F$1))))</f>
        <v/>
      </c>
      <c r="P22" s="1" t="str">
        <f>IF(OR($B22="",P$7=""),"",IF($B22="MEANS",INDEX('1-DATA'!$1:$1048576,$A21-1,COLUMN('1-DATA'!O20)),ROUND(INDEX('1-DATA'!$1:$1048576,IF(OR($B22="STD. DEVIATION",$C$1=1),$A22,$A22+1),COLUMN('1-DATA'!O20)),IF($B22="STD. DEVIATION",2,$F$1))))</f>
        <v/>
      </c>
      <c r="Q22" s="1" t="str">
        <f>IF(OR($B22="",Q$7=""),"",IF($B22="MEANS",INDEX('1-DATA'!$1:$1048576,$A21-1,COLUMN('1-DATA'!P20)),ROUND(INDEX('1-DATA'!$1:$1048576,IF(OR($B22="STD. DEVIATION",$C$1=1),$A22,$A22+1),COLUMN('1-DATA'!P20)),IF($B22="STD. DEVIATION",2,$F$1))))</f>
        <v/>
      </c>
      <c r="R22" s="1" t="str">
        <f>IF(OR($B22="",R$7=""),"",IF($B22="MEANS",INDEX('1-DATA'!$1:$1048576,$A21-1,COLUMN('1-DATA'!Q20)),ROUND(INDEX('1-DATA'!$1:$1048576,IF(OR($B22="STD. DEVIATION",$C$1=1),$A22,$A22+1),COLUMN('1-DATA'!Q20)),IF($B22="STD. DEVIATION",2,$F$1))))</f>
        <v/>
      </c>
      <c r="S22" s="1" t="str">
        <f>IF(OR($B22="",S$7=""),"",IF($B22="MEANS",INDEX('1-DATA'!$1:$1048576,$A21-1,COLUMN('1-DATA'!R20)),ROUND(INDEX('1-DATA'!$1:$1048576,IF(OR($B22="STD. DEVIATION",$C$1=1),$A22,$A22+1),COLUMN('1-DATA'!R20)),IF($B22="STD. DEVIATION",2,$F$1))))</f>
        <v/>
      </c>
      <c r="T22" s="1" t="str">
        <f>IF(OR($B22="",T$7=""),"",IF($B22="MEANS",INDEX('1-DATA'!$1:$1048576,$A21-1,COLUMN('1-DATA'!S20)),ROUND(INDEX('1-DATA'!$1:$1048576,IF(OR($B22="STD. DEVIATION",$C$1=1),$A22,$A22+1),COLUMN('1-DATA'!S20)),IF($B22="STD. DEVIATION",2,$F$1))))</f>
        <v/>
      </c>
      <c r="U22" s="1" t="str">
        <f>IF(OR($B22="",U$7=""),"",IF($B22="MEANS",INDEX('1-DATA'!$1:$1048576,$A21-1,COLUMN('1-DATA'!T20)),ROUND(INDEX('1-DATA'!$1:$1048576,IF(OR($B22="STD. DEVIATION",$C$1=1),$A22,$A22+1),COLUMN('1-DATA'!T20)),IF($B22="STD. DEVIATION",2,$F$1))))</f>
        <v/>
      </c>
      <c r="V22" s="1" t="str">
        <f>IF(OR($B22="",V$7=""),"",IF($B22="MEANS",INDEX('1-DATA'!$1:$1048576,$A21-1,COLUMN('1-DATA'!U20)),ROUND(INDEX('1-DATA'!$1:$1048576,IF(OR($B22="STD. DEVIATION",$C$1=1),$A22,$A22+1),COLUMN('1-DATA'!U20)),IF($B22="STD. DEVIATION",2,$F$1))))</f>
        <v/>
      </c>
      <c r="W22" s="1" t="str">
        <f>IF(OR($B22="",W$7=""),"",IF($B22="MEANS",INDEX('1-DATA'!$1:$1048576,$A21-1,COLUMN('1-DATA'!V20)),ROUND(INDEX('1-DATA'!$1:$1048576,IF(OR($B22="STD. DEVIATION",$C$1=1),$A22,$A22+1),COLUMN('1-DATA'!V20)),IF($B22="STD. DEVIATION",2,$F$1))))</f>
        <v/>
      </c>
      <c r="X22" s="1" t="str">
        <f>IF(OR($B22="",X$7=""),"",IF($B22="MEANS",INDEX('1-DATA'!$1:$1048576,$A21-1,COLUMN('1-DATA'!W20)),ROUND(INDEX('1-DATA'!$1:$1048576,IF(OR($B22="STD. DEVIATION",$C$1=1),$A22,$A22+1),COLUMN('1-DATA'!W20)),IF($B22="STD. DEVIATION",2,$F$1))))</f>
        <v/>
      </c>
      <c r="Y22" s="1" t="str">
        <f>IF(OR($B22="",Y$7=""),"",IF($B22="MEANS",INDEX('1-DATA'!$1:$1048576,$A21-1,COLUMN('1-DATA'!X20)),ROUND(INDEX('1-DATA'!$1:$1048576,IF(OR($B22="STD. DEVIATION",$C$1=1),$A22,$A22+1),COLUMN('1-DATA'!X20)),IF($B22="STD. DEVIATION",2,$F$1))))</f>
        <v/>
      </c>
      <c r="Z22" s="1" t="str">
        <f>IF(OR($B22="",Z$7=""),"",IF($B22="MEANS",INDEX('1-DATA'!$1:$1048576,$A21-1,COLUMN('1-DATA'!Y20)),ROUND(INDEX('1-DATA'!$1:$1048576,IF(OR($B22="STD. DEVIATION",$C$1=1),$A22,$A22+1),COLUMN('1-DATA'!Y20)),IF($B22="STD. DEVIATION",2,$F$1))))</f>
        <v/>
      </c>
      <c r="AA22" s="1" t="str">
        <f>IF(OR($B22="",AA$7=""),"",IF($B22="MEANS",INDEX('1-DATA'!$1:$1048576,$A21-1,COLUMN('1-DATA'!Z20)),ROUND(INDEX('1-DATA'!$1:$1048576,IF(OR($B22="STD. DEVIATION",$C$1=1),$A22,$A22+1),COLUMN('1-DATA'!Z20)),IF($B22="STD. DEVIATION",2,$F$1))))</f>
        <v/>
      </c>
      <c r="AB22" s="1" t="str">
        <f>IF(OR($B22="",AB$7=""),"",IF($B22="MEANS",INDEX('1-DATA'!$1:$1048576,$A21-1,COLUMN('1-DATA'!AA20)),ROUND(INDEX('1-DATA'!$1:$1048576,IF(OR($B22="STD. DEVIATION",$C$1=1),$A22,$A22+1),COLUMN('1-DATA'!AA20)),IF($B22="STD. DEVIATION",2,$F$1))))</f>
        <v/>
      </c>
      <c r="AC22" s="1" t="str">
        <f>IF(OR($B22="",AC$7=""),"",IF($B22="MEANS",INDEX('1-DATA'!$1:$1048576,$A21-1,COLUMN('1-DATA'!AB20)),ROUND(INDEX('1-DATA'!$1:$1048576,IF(OR($B22="STD. DEVIATION",$C$1=1),$A22,$A22+1),COLUMN('1-DATA'!AB20)),IF($B22="STD. DEVIATION",2,$F$1))))</f>
        <v/>
      </c>
      <c r="AD22" s="1" t="str">
        <f>IF(OR($B22="",AD$7=""),"",IF($B22="MEANS",INDEX('1-DATA'!$1:$1048576,$A21-1,COLUMN('1-DATA'!AC20)),ROUND(INDEX('1-DATA'!$1:$1048576,IF(OR($B22="STD. DEVIATION",$C$1=1),$A22,$A22+1),COLUMN('1-DATA'!AC20)),IF($B22="STD. DEVIATION",2,$F$1))))</f>
        <v/>
      </c>
      <c r="AE22" s="1" t="str">
        <f>IF(OR($B22="",AE$7=""),"",IF($B22="MEANS",INDEX('1-DATA'!$1:$1048576,$A21-1,COLUMN('1-DATA'!AD20)),ROUND(INDEX('1-DATA'!$1:$1048576,IF(OR($B22="STD. DEVIATION",$C$1=1),$A22,$A22+1),COLUMN('1-DATA'!AD20)),IF($B22="STD. DEVIATION",2,$F$1))))</f>
        <v/>
      </c>
      <c r="AF22" s="1" t="str">
        <f>IF(OR($B22="",AF$7=""),"",IF($B22="MEANS",INDEX('1-DATA'!$1:$1048576,$A21-1,COLUMN('1-DATA'!AE20)),ROUND(INDEX('1-DATA'!$1:$1048576,IF(OR($B22="STD. DEVIATION",$C$1=1),$A22,$A22+1),COLUMN('1-DATA'!AE20)),IF($B22="STD. DEVIATION",2,$F$1))))</f>
        <v/>
      </c>
      <c r="AG22" s="1" t="str">
        <f>IF(OR($B22="",AG$7=""),"",IF($B22="MEANS",INDEX('1-DATA'!$1:$1048576,$A21-1,COLUMN('1-DATA'!AF20)),ROUND(INDEX('1-DATA'!$1:$1048576,IF(OR($B22="STD. DEVIATION",$C$1=1),$A22,$A22+1),COLUMN('1-DATA'!AF20)),IF($B22="STD. DEVIATION",2,$F$1))))</f>
        <v/>
      </c>
      <c r="AH22" s="1" t="str">
        <f>IF(OR($B22="",AH$7=""),"",IF($B22="MEANS",INDEX('1-DATA'!$1:$1048576,$A21-1,COLUMN('1-DATA'!AG20)),ROUND(INDEX('1-DATA'!$1:$1048576,IF(OR($B22="STD. DEVIATION",$C$1=1),$A22,$A22+1),COLUMN('1-DATA'!AG20)),IF($B22="STD. DEVIATION",2,$F$1))))</f>
        <v/>
      </c>
      <c r="AI22" s="1" t="str">
        <f>IF(OR($B22="",AI$7=""),"",IF($B22="MEANS",INDEX('1-DATA'!$1:$1048576,$A21-1,COLUMN('1-DATA'!AH20)),ROUND(INDEX('1-DATA'!$1:$1048576,IF(OR($B22="STD. DEVIATION",$C$1=1),$A22,$A22+1),COLUMN('1-DATA'!AH20)),IF($B22="STD. DEVIATION",2,$F$1))))</f>
        <v/>
      </c>
      <c r="AJ22" s="1" t="str">
        <f>IF(OR($B22="",AJ$7=""),"",IF($B22="MEANS",INDEX('1-DATA'!$1:$1048576,$A21-1,COLUMN('1-DATA'!AI20)),ROUND(INDEX('1-DATA'!$1:$1048576,IF(OR($B22="STD. DEVIATION",$C$1=1),$A22,$A22+1),COLUMN('1-DATA'!AI20)),IF($B22="STD. DEVIATION",2,$F$1))))</f>
        <v/>
      </c>
      <c r="AK22" s="1" t="str">
        <f>IF(OR($B22="",AK$7=""),"",IF($B22="MEANS",INDEX('1-DATA'!$1:$1048576,$A21-1,COLUMN('1-DATA'!AJ20)),ROUND(INDEX('1-DATA'!$1:$1048576,IF(OR($B22="STD. DEVIATION",$C$1=1),$A22,$A22+1),COLUMN('1-DATA'!AJ20)),IF($B22="STD. DEVIATION",2,$F$1))))</f>
        <v/>
      </c>
      <c r="AL22" s="1" t="str">
        <f>IF(OR($B22="",AL$7=""),"",IF($B22="MEANS",INDEX('1-DATA'!$1:$1048576,$A21-1,COLUMN('1-DATA'!AK20)),ROUND(INDEX('1-DATA'!$1:$1048576,IF(OR($B22="STD. DEVIATION",$C$1=1),$A22,$A22+1),COLUMN('1-DATA'!AK20)),IF($B22="STD. DEVIATION",2,$F$1))))</f>
        <v/>
      </c>
      <c r="AM22" s="1" t="str">
        <f>IF(OR($B22="",AM$7=""),"",IF($B22="MEANS",INDEX('1-DATA'!$1:$1048576,$A21-1,COLUMN('1-DATA'!AL20)),ROUND(INDEX('1-DATA'!$1:$1048576,IF(OR($B22="STD. DEVIATION",$C$1=1),$A22,$A22+1),COLUMN('1-DATA'!AL20)),IF($B22="STD. DEVIATION",2,$F$1))))</f>
        <v/>
      </c>
      <c r="AN22" s="1" t="str">
        <f>IF(OR($B22="",AN$7=""),"",IF($B22="MEANS",INDEX('1-DATA'!$1:$1048576,$A21-1,COLUMN('1-DATA'!AM20)),ROUND(INDEX('1-DATA'!$1:$1048576,IF(OR($B22="STD. DEVIATION",$C$1=1),$A22,$A22+1),COLUMN('1-DATA'!AM20)),IF($B22="STD. DEVIATION",2,$F$1))))</f>
        <v/>
      </c>
      <c r="AO22" s="1" t="str">
        <f>IF(OR($B22="",AO$7=""),"",IF($B22="MEANS",INDEX('1-DATA'!$1:$1048576,$A21-1,COLUMN('1-DATA'!AN20)),ROUND(INDEX('1-DATA'!$1:$1048576,IF(OR($B22="STD. DEVIATION",$C$1=1),$A22,$A22+1),COLUMN('1-DATA'!AN20)),IF($B22="STD. DEVIATION",2,$F$1))))</f>
        <v/>
      </c>
      <c r="AP22" s="1" t="str">
        <f>IF(OR($B22="",AP$7=""),"",IF($B22="MEANS",INDEX('1-DATA'!$1:$1048576,$A21-1,COLUMN('1-DATA'!AO20)),ROUND(INDEX('1-DATA'!$1:$1048576,IF(OR($B22="STD. DEVIATION",$C$1=1),$A22,$A22+1),COLUMN('1-DATA'!AO20)),IF($B22="STD. DEVIATION",2,$F$1))))</f>
        <v/>
      </c>
      <c r="AQ22" s="1" t="str">
        <f>IF(OR($B22="",AQ$7=""),"",IF($B22="MEANS",INDEX('1-DATA'!$1:$1048576,$A21-1,COLUMN('1-DATA'!AP20)),ROUND(INDEX('1-DATA'!$1:$1048576,IF(OR($B22="STD. DEVIATION",$C$1=1),$A22,$A22+1),COLUMN('1-DATA'!AP20)),IF($B22="STD. DEVIATION",2,$F$1))))</f>
        <v/>
      </c>
      <c r="AR22" s="1" t="str">
        <f>IF(OR($B22="",AR$7=""),"",IF($B22="MEANS",INDEX('1-DATA'!$1:$1048576,$A21-1,COLUMN('1-DATA'!AQ20)),ROUND(INDEX('1-DATA'!$1:$1048576,IF(OR($B22="STD. DEVIATION",$C$1=1),$A22,$A22+1),COLUMN('1-DATA'!AQ20)),IF($B22="STD. DEVIATION",2,$F$1))))</f>
        <v/>
      </c>
      <c r="AS22" s="1" t="str">
        <f>IF(OR($B22="",AS$7=""),"",IF($B22="MEANS",INDEX('1-DATA'!$1:$1048576,$A21-1,COLUMN('1-DATA'!AR20)),ROUND(INDEX('1-DATA'!$1:$1048576,IF(OR($B22="STD. DEVIATION",$C$1=1),$A22,$A22+1),COLUMN('1-DATA'!AR20)),IF($B22="STD. DEVIATION",2,$F$1))))</f>
        <v/>
      </c>
      <c r="AT22" s="1" t="str">
        <f>IF(OR($B22="",AT$7=""),"",IF($B22="MEANS",INDEX('1-DATA'!$1:$1048576,$A21-1,COLUMN('1-DATA'!AS20)),ROUND(INDEX('1-DATA'!$1:$1048576,IF(OR($B22="STD. DEVIATION",$C$1=1),$A22,$A22+1),COLUMN('1-DATA'!AS20)),IF($B22="STD. DEVIATION",2,$F$1))))</f>
        <v/>
      </c>
      <c r="AU22" s="1" t="str">
        <f>IF(OR($B22="",AU$7=""),"",IF($B22="MEANS",INDEX('1-DATA'!$1:$1048576,$A21-1,COLUMN('1-DATA'!AT20)),ROUND(INDEX('1-DATA'!$1:$1048576,IF(OR($B22="STD. DEVIATION",$C$1=1),$A22,$A22+1),COLUMN('1-DATA'!AT20)),IF($B22="STD. DEVIATION",2,$F$1))))</f>
        <v/>
      </c>
      <c r="AV22" s="1" t="str">
        <f>IF(OR($B22="",AV$7=""),"",IF($B22="MEANS",INDEX('1-DATA'!$1:$1048576,$A21-1,COLUMN('1-DATA'!AU20)),ROUND(INDEX('1-DATA'!$1:$1048576,IF(OR($B22="STD. DEVIATION",$C$1=1),$A22,$A22+1),COLUMN('1-DATA'!AU20)),IF($B22="STD. DEVIATION",2,$F$1))))</f>
        <v/>
      </c>
      <c r="AW22" s="1" t="str">
        <f>IF(OR($B22="",AW$7=""),"",IF($B22="MEANS",INDEX('1-DATA'!$1:$1048576,$A21-1,COLUMN('1-DATA'!AV20)),ROUND(INDEX('1-DATA'!$1:$1048576,IF(OR($B22="STD. DEVIATION",$C$1=1),$A22,$A22+1),COLUMN('1-DATA'!AV20)),IF($B22="STD. DEVIATION",2,$F$1))))</f>
        <v/>
      </c>
      <c r="AX22" s="1" t="str">
        <f>IF(OR($B22="",AX$7=""),"",IF($B22="MEANS",INDEX('1-DATA'!$1:$1048576,$A21-1,COLUMN('1-DATA'!AW20)),ROUND(INDEX('1-DATA'!$1:$1048576,IF(OR($B22="STD. DEVIATION",$C$1=1),$A22,$A22+1),COLUMN('1-DATA'!AW20)),IF($B22="STD. DEVIATION",2,$F$1))))</f>
        <v/>
      </c>
      <c r="AY22" s="1" t="str">
        <f>IF(OR($B22="",AY$7=""),"",IF($B22="MEANS",INDEX('1-DATA'!$1:$1048576,$A21-1,COLUMN('1-DATA'!AX20)),ROUND(INDEX('1-DATA'!$1:$1048576,IF(OR($B22="STD. DEVIATION",$C$1=1),$A22,$A22+1),COLUMN('1-DATA'!AX20)),IF($B22="STD. DEVIATION",2,$F$1))))</f>
        <v/>
      </c>
      <c r="AZ22" s="1" t="str">
        <f>IF(OR($B22="",AZ$7=""),"",IF($B22="MEANS",INDEX('1-DATA'!$1:$1048576,$A21-1,COLUMN('1-DATA'!AY20)),ROUND(INDEX('1-DATA'!$1:$1048576,IF(OR($B22="STD. DEVIATION",$C$1=1),$A22,$A22+1),COLUMN('1-DATA'!AY20)),IF($B22="STD. DEVIATION",2,$F$1))))</f>
        <v/>
      </c>
    </row>
    <row r="23" spans="1:52" x14ac:dyDescent="0.25">
      <c r="A23" s="11">
        <f t="shared" si="0"/>
        <v>55</v>
      </c>
      <c r="B23" s="1" t="str">
        <f>IF(B22="STD. DEVIATION",INDEX('1-DATA'!$1:$1048576,$A22-1,1),IF(INDEX('1-DATA'!$1:$1048576,$A23,1)&lt;&gt;"",INDEX('1-DATA'!$1:$1048576,$A23,1),""))</f>
        <v/>
      </c>
      <c r="C23" s="1" t="str">
        <f>IF(OR($B23="",C$7=""),"",IF($B23="MEANS",INDEX('1-DATA'!$1:$1048576,$A22-1,COLUMN('1-DATA'!B21)),ROUND(INDEX('1-DATA'!$1:$1048576,IF(OR($B23="STD. DEVIATION",$C$1=1),$A23,$A23+1),COLUMN('1-DATA'!B21)),IF($B23="STD. DEVIATION",2,$F$1))))</f>
        <v/>
      </c>
      <c r="D23" s="1" t="str">
        <f>IF(OR($B23="",D$7=""),"",IF($B23="MEANS",INDEX('1-DATA'!$1:$1048576,$A22-1,COLUMN('1-DATA'!C21)),ROUND(INDEX('1-DATA'!$1:$1048576,IF(OR($B23="STD. DEVIATION",$C$1=1),$A23,$A23+1),COLUMN('1-DATA'!C21)),IF($B23="STD. DEVIATION",2,$F$1))))</f>
        <v/>
      </c>
      <c r="E23" s="1" t="str">
        <f>IF(OR($B23="",E$7=""),"",IF($B23="MEANS",INDEX('1-DATA'!$1:$1048576,$A22-1,COLUMN('1-DATA'!D21)),ROUND(INDEX('1-DATA'!$1:$1048576,IF(OR($B23="STD. DEVIATION",$C$1=1),$A23,$A23+1),COLUMN('1-DATA'!D21)),IF($B23="STD. DEVIATION",2,$F$1))))</f>
        <v/>
      </c>
      <c r="F23" s="1" t="str">
        <f>IF(OR($B23="",F$7=""),"",IF($B23="MEANS",INDEX('1-DATA'!$1:$1048576,$A22-1,COLUMN('1-DATA'!E21)),ROUND(INDEX('1-DATA'!$1:$1048576,IF(OR($B23="STD. DEVIATION",$C$1=1),$A23,$A23+1),COLUMN('1-DATA'!E21)),IF($B23="STD. DEVIATION",2,$F$1))))</f>
        <v/>
      </c>
      <c r="G23" s="1" t="str">
        <f>IF(OR($B23="",G$7=""),"",IF($B23="MEANS",INDEX('1-DATA'!$1:$1048576,$A22-1,COLUMN('1-DATA'!F21)),ROUND(INDEX('1-DATA'!$1:$1048576,IF(OR($B23="STD. DEVIATION",$C$1=1),$A23,$A23+1),COLUMN('1-DATA'!F21)),IF($B23="STD. DEVIATION",2,$F$1))))</f>
        <v/>
      </c>
      <c r="H23" s="1" t="str">
        <f>IF(OR($B23="",H$7=""),"",IF($B23="MEANS",INDEX('1-DATA'!$1:$1048576,$A22-1,COLUMN('1-DATA'!G21)),ROUND(INDEX('1-DATA'!$1:$1048576,IF(OR($B23="STD. DEVIATION",$C$1=1),$A23,$A23+1),COLUMN('1-DATA'!G21)),IF($B23="STD. DEVIATION",2,$F$1))))</f>
        <v/>
      </c>
      <c r="I23" s="1" t="str">
        <f>IF(OR($B23="",I$7=""),"",IF($B23="MEANS",INDEX('1-DATA'!$1:$1048576,$A22-1,COLUMN('1-DATA'!H21)),ROUND(INDEX('1-DATA'!$1:$1048576,IF(OR($B23="STD. DEVIATION",$C$1=1),$A23,$A23+1),COLUMN('1-DATA'!H21)),IF($B23="STD. DEVIATION",2,$F$1))))</f>
        <v/>
      </c>
      <c r="J23" s="1" t="str">
        <f>IF(OR($B23="",J$7=""),"",IF($B23="MEANS",INDEX('1-DATA'!$1:$1048576,$A22-1,COLUMN('1-DATA'!I21)),ROUND(INDEX('1-DATA'!$1:$1048576,IF(OR($B23="STD. DEVIATION",$C$1=1),$A23,$A23+1),COLUMN('1-DATA'!I21)),IF($B23="STD. DEVIATION",2,$F$1))))</f>
        <v/>
      </c>
      <c r="K23" s="1" t="str">
        <f>IF(OR($B23="",K$7=""),"",IF($B23="MEANS",INDEX('1-DATA'!$1:$1048576,$A22-1,COLUMN('1-DATA'!J21)),ROUND(INDEX('1-DATA'!$1:$1048576,IF(OR($B23="STD. DEVIATION",$C$1=1),$A23,$A23+1),COLUMN('1-DATA'!J21)),IF($B23="STD. DEVIATION",2,$F$1))))</f>
        <v/>
      </c>
      <c r="L23" s="1" t="str">
        <f>IF(OR($B23="",L$7=""),"",IF($B23="MEANS",INDEX('1-DATA'!$1:$1048576,$A22-1,COLUMN('1-DATA'!K21)),ROUND(INDEX('1-DATA'!$1:$1048576,IF(OR($B23="STD. DEVIATION",$C$1=1),$A23,$A23+1),COLUMN('1-DATA'!K21)),IF($B23="STD. DEVIATION",2,$F$1))))</f>
        <v/>
      </c>
      <c r="M23" s="1" t="str">
        <f>IF(OR($B23="",M$7=""),"",IF($B23="MEANS",INDEX('1-DATA'!$1:$1048576,$A22-1,COLUMN('1-DATA'!L21)),ROUND(INDEX('1-DATA'!$1:$1048576,IF(OR($B23="STD. DEVIATION",$C$1=1),$A23,$A23+1),COLUMN('1-DATA'!L21)),IF($B23="STD. DEVIATION",2,$F$1))))</f>
        <v/>
      </c>
      <c r="N23" s="1" t="str">
        <f>IF(OR($B23="",N$7=""),"",IF($B23="MEANS",INDEX('1-DATA'!$1:$1048576,$A22-1,COLUMN('1-DATA'!M21)),ROUND(INDEX('1-DATA'!$1:$1048576,IF(OR($B23="STD. DEVIATION",$C$1=1),$A23,$A23+1),COLUMN('1-DATA'!M21)),IF($B23="STD. DEVIATION",2,$F$1))))</f>
        <v/>
      </c>
      <c r="O23" s="1" t="str">
        <f>IF(OR($B23="",O$7=""),"",IF($B23="MEANS",INDEX('1-DATA'!$1:$1048576,$A22-1,COLUMN('1-DATA'!N21)),ROUND(INDEX('1-DATA'!$1:$1048576,IF(OR($B23="STD. DEVIATION",$C$1=1),$A23,$A23+1),COLUMN('1-DATA'!N21)),IF($B23="STD. DEVIATION",2,$F$1))))</f>
        <v/>
      </c>
      <c r="P23" s="1" t="str">
        <f>IF(OR($B23="",P$7=""),"",IF($B23="MEANS",INDEX('1-DATA'!$1:$1048576,$A22-1,COLUMN('1-DATA'!O21)),ROUND(INDEX('1-DATA'!$1:$1048576,IF(OR($B23="STD. DEVIATION",$C$1=1),$A23,$A23+1),COLUMN('1-DATA'!O21)),IF($B23="STD. DEVIATION",2,$F$1))))</f>
        <v/>
      </c>
      <c r="Q23" s="1" t="str">
        <f>IF(OR($B23="",Q$7=""),"",IF($B23="MEANS",INDEX('1-DATA'!$1:$1048576,$A22-1,COLUMN('1-DATA'!P21)),ROUND(INDEX('1-DATA'!$1:$1048576,IF(OR($B23="STD. DEVIATION",$C$1=1),$A23,$A23+1),COLUMN('1-DATA'!P21)),IF($B23="STD. DEVIATION",2,$F$1))))</f>
        <v/>
      </c>
      <c r="R23" s="1" t="str">
        <f>IF(OR($B23="",R$7=""),"",IF($B23="MEANS",INDEX('1-DATA'!$1:$1048576,$A22-1,COLUMN('1-DATA'!Q21)),ROUND(INDEX('1-DATA'!$1:$1048576,IF(OR($B23="STD. DEVIATION",$C$1=1),$A23,$A23+1),COLUMN('1-DATA'!Q21)),IF($B23="STD. DEVIATION",2,$F$1))))</f>
        <v/>
      </c>
      <c r="S23" s="1" t="str">
        <f>IF(OR($B23="",S$7=""),"",IF($B23="MEANS",INDEX('1-DATA'!$1:$1048576,$A22-1,COLUMN('1-DATA'!R21)),ROUND(INDEX('1-DATA'!$1:$1048576,IF(OR($B23="STD. DEVIATION",$C$1=1),$A23,$A23+1),COLUMN('1-DATA'!R21)),IF($B23="STD. DEVIATION",2,$F$1))))</f>
        <v/>
      </c>
      <c r="T23" s="1" t="str">
        <f>IF(OR($B23="",T$7=""),"",IF($B23="MEANS",INDEX('1-DATA'!$1:$1048576,$A22-1,COLUMN('1-DATA'!S21)),ROUND(INDEX('1-DATA'!$1:$1048576,IF(OR($B23="STD. DEVIATION",$C$1=1),$A23,$A23+1),COLUMN('1-DATA'!S21)),IF($B23="STD. DEVIATION",2,$F$1))))</f>
        <v/>
      </c>
      <c r="U23" s="1" t="str">
        <f>IF(OR($B23="",U$7=""),"",IF($B23="MEANS",INDEX('1-DATA'!$1:$1048576,$A22-1,COLUMN('1-DATA'!T21)),ROUND(INDEX('1-DATA'!$1:$1048576,IF(OR($B23="STD. DEVIATION",$C$1=1),$A23,$A23+1),COLUMN('1-DATA'!T21)),IF($B23="STD. DEVIATION",2,$F$1))))</f>
        <v/>
      </c>
      <c r="V23" s="1" t="str">
        <f>IF(OR($B23="",V$7=""),"",IF($B23="MEANS",INDEX('1-DATA'!$1:$1048576,$A22-1,COLUMN('1-DATA'!U21)),ROUND(INDEX('1-DATA'!$1:$1048576,IF(OR($B23="STD. DEVIATION",$C$1=1),$A23,$A23+1),COLUMN('1-DATA'!U21)),IF($B23="STD. DEVIATION",2,$F$1))))</f>
        <v/>
      </c>
      <c r="W23" s="1" t="str">
        <f>IF(OR($B23="",W$7=""),"",IF($B23="MEANS",INDEX('1-DATA'!$1:$1048576,$A22-1,COLUMN('1-DATA'!V21)),ROUND(INDEX('1-DATA'!$1:$1048576,IF(OR($B23="STD. DEVIATION",$C$1=1),$A23,$A23+1),COLUMN('1-DATA'!V21)),IF($B23="STD. DEVIATION",2,$F$1))))</f>
        <v/>
      </c>
      <c r="X23" s="1" t="str">
        <f>IF(OR($B23="",X$7=""),"",IF($B23="MEANS",INDEX('1-DATA'!$1:$1048576,$A22-1,COLUMN('1-DATA'!W21)),ROUND(INDEX('1-DATA'!$1:$1048576,IF(OR($B23="STD. DEVIATION",$C$1=1),$A23,$A23+1),COLUMN('1-DATA'!W21)),IF($B23="STD. DEVIATION",2,$F$1))))</f>
        <v/>
      </c>
      <c r="Y23" s="1" t="str">
        <f>IF(OR($B23="",Y$7=""),"",IF($B23="MEANS",INDEX('1-DATA'!$1:$1048576,$A22-1,COLUMN('1-DATA'!X21)),ROUND(INDEX('1-DATA'!$1:$1048576,IF(OR($B23="STD. DEVIATION",$C$1=1),$A23,$A23+1),COLUMN('1-DATA'!X21)),IF($B23="STD. DEVIATION",2,$F$1))))</f>
        <v/>
      </c>
      <c r="Z23" s="1" t="str">
        <f>IF(OR($B23="",Z$7=""),"",IF($B23="MEANS",INDEX('1-DATA'!$1:$1048576,$A22-1,COLUMN('1-DATA'!Y21)),ROUND(INDEX('1-DATA'!$1:$1048576,IF(OR($B23="STD. DEVIATION",$C$1=1),$A23,$A23+1),COLUMN('1-DATA'!Y21)),IF($B23="STD. DEVIATION",2,$F$1))))</f>
        <v/>
      </c>
      <c r="AA23" s="1" t="str">
        <f>IF(OR($B23="",AA$7=""),"",IF($B23="MEANS",INDEX('1-DATA'!$1:$1048576,$A22-1,COLUMN('1-DATA'!Z21)),ROUND(INDEX('1-DATA'!$1:$1048576,IF(OR($B23="STD. DEVIATION",$C$1=1),$A23,$A23+1),COLUMN('1-DATA'!Z21)),IF($B23="STD. DEVIATION",2,$F$1))))</f>
        <v/>
      </c>
      <c r="AB23" s="1" t="str">
        <f>IF(OR($B23="",AB$7=""),"",IF($B23="MEANS",INDEX('1-DATA'!$1:$1048576,$A22-1,COLUMN('1-DATA'!AA21)),ROUND(INDEX('1-DATA'!$1:$1048576,IF(OR($B23="STD. DEVIATION",$C$1=1),$A23,$A23+1),COLUMN('1-DATA'!AA21)),IF($B23="STD. DEVIATION",2,$F$1))))</f>
        <v/>
      </c>
      <c r="AC23" s="1" t="str">
        <f>IF(OR($B23="",AC$7=""),"",IF($B23="MEANS",INDEX('1-DATA'!$1:$1048576,$A22-1,COLUMN('1-DATA'!AB21)),ROUND(INDEX('1-DATA'!$1:$1048576,IF(OR($B23="STD. DEVIATION",$C$1=1),$A23,$A23+1),COLUMN('1-DATA'!AB21)),IF($B23="STD. DEVIATION",2,$F$1))))</f>
        <v/>
      </c>
      <c r="AD23" s="1" t="str">
        <f>IF(OR($B23="",AD$7=""),"",IF($B23="MEANS",INDEX('1-DATA'!$1:$1048576,$A22-1,COLUMN('1-DATA'!AC21)),ROUND(INDEX('1-DATA'!$1:$1048576,IF(OR($B23="STD. DEVIATION",$C$1=1),$A23,$A23+1),COLUMN('1-DATA'!AC21)),IF($B23="STD. DEVIATION",2,$F$1))))</f>
        <v/>
      </c>
      <c r="AE23" s="1" t="str">
        <f>IF(OR($B23="",AE$7=""),"",IF($B23="MEANS",INDEX('1-DATA'!$1:$1048576,$A22-1,COLUMN('1-DATA'!AD21)),ROUND(INDEX('1-DATA'!$1:$1048576,IF(OR($B23="STD. DEVIATION",$C$1=1),$A23,$A23+1),COLUMN('1-DATA'!AD21)),IF($B23="STD. DEVIATION",2,$F$1))))</f>
        <v/>
      </c>
      <c r="AF23" s="1" t="str">
        <f>IF(OR($B23="",AF$7=""),"",IF($B23="MEANS",INDEX('1-DATA'!$1:$1048576,$A22-1,COLUMN('1-DATA'!AE21)),ROUND(INDEX('1-DATA'!$1:$1048576,IF(OR($B23="STD. DEVIATION",$C$1=1),$A23,$A23+1),COLUMN('1-DATA'!AE21)),IF($B23="STD. DEVIATION",2,$F$1))))</f>
        <v/>
      </c>
      <c r="AG23" s="1" t="str">
        <f>IF(OR($B23="",AG$7=""),"",IF($B23="MEANS",INDEX('1-DATA'!$1:$1048576,$A22-1,COLUMN('1-DATA'!AF21)),ROUND(INDEX('1-DATA'!$1:$1048576,IF(OR($B23="STD. DEVIATION",$C$1=1),$A23,$A23+1),COLUMN('1-DATA'!AF21)),IF($B23="STD. DEVIATION",2,$F$1))))</f>
        <v/>
      </c>
      <c r="AH23" s="1" t="str">
        <f>IF(OR($B23="",AH$7=""),"",IF($B23="MEANS",INDEX('1-DATA'!$1:$1048576,$A22-1,COLUMN('1-DATA'!AG21)),ROUND(INDEX('1-DATA'!$1:$1048576,IF(OR($B23="STD. DEVIATION",$C$1=1),$A23,$A23+1),COLUMN('1-DATA'!AG21)),IF($B23="STD. DEVIATION",2,$F$1))))</f>
        <v/>
      </c>
      <c r="AI23" s="1" t="str">
        <f>IF(OR($B23="",AI$7=""),"",IF($B23="MEANS",INDEX('1-DATA'!$1:$1048576,$A22-1,COLUMN('1-DATA'!AH21)),ROUND(INDEX('1-DATA'!$1:$1048576,IF(OR($B23="STD. DEVIATION",$C$1=1),$A23,$A23+1),COLUMN('1-DATA'!AH21)),IF($B23="STD. DEVIATION",2,$F$1))))</f>
        <v/>
      </c>
      <c r="AJ23" s="1" t="str">
        <f>IF(OR($B23="",AJ$7=""),"",IF($B23="MEANS",INDEX('1-DATA'!$1:$1048576,$A22-1,COLUMN('1-DATA'!AI21)),ROUND(INDEX('1-DATA'!$1:$1048576,IF(OR($B23="STD. DEVIATION",$C$1=1),$A23,$A23+1),COLUMN('1-DATA'!AI21)),IF($B23="STD. DEVIATION",2,$F$1))))</f>
        <v/>
      </c>
      <c r="AK23" s="1" t="str">
        <f>IF(OR($B23="",AK$7=""),"",IF($B23="MEANS",INDEX('1-DATA'!$1:$1048576,$A22-1,COLUMN('1-DATA'!AJ21)),ROUND(INDEX('1-DATA'!$1:$1048576,IF(OR($B23="STD. DEVIATION",$C$1=1),$A23,$A23+1),COLUMN('1-DATA'!AJ21)),IF($B23="STD. DEVIATION",2,$F$1))))</f>
        <v/>
      </c>
      <c r="AL23" s="1" t="str">
        <f>IF(OR($B23="",AL$7=""),"",IF($B23="MEANS",INDEX('1-DATA'!$1:$1048576,$A22-1,COLUMN('1-DATA'!AK21)),ROUND(INDEX('1-DATA'!$1:$1048576,IF(OR($B23="STD. DEVIATION",$C$1=1),$A23,$A23+1),COLUMN('1-DATA'!AK21)),IF($B23="STD. DEVIATION",2,$F$1))))</f>
        <v/>
      </c>
      <c r="AM23" s="1" t="str">
        <f>IF(OR($B23="",AM$7=""),"",IF($B23="MEANS",INDEX('1-DATA'!$1:$1048576,$A22-1,COLUMN('1-DATA'!AL21)),ROUND(INDEX('1-DATA'!$1:$1048576,IF(OR($B23="STD. DEVIATION",$C$1=1),$A23,$A23+1),COLUMN('1-DATA'!AL21)),IF($B23="STD. DEVIATION",2,$F$1))))</f>
        <v/>
      </c>
      <c r="AN23" s="1" t="str">
        <f>IF(OR($B23="",AN$7=""),"",IF($B23="MEANS",INDEX('1-DATA'!$1:$1048576,$A22-1,COLUMN('1-DATA'!AM21)),ROUND(INDEX('1-DATA'!$1:$1048576,IF(OR($B23="STD. DEVIATION",$C$1=1),$A23,$A23+1),COLUMN('1-DATA'!AM21)),IF($B23="STD. DEVIATION",2,$F$1))))</f>
        <v/>
      </c>
      <c r="AO23" s="1" t="str">
        <f>IF(OR($B23="",AO$7=""),"",IF($B23="MEANS",INDEX('1-DATA'!$1:$1048576,$A22-1,COLUMN('1-DATA'!AN21)),ROUND(INDEX('1-DATA'!$1:$1048576,IF(OR($B23="STD. DEVIATION",$C$1=1),$A23,$A23+1),COLUMN('1-DATA'!AN21)),IF($B23="STD. DEVIATION",2,$F$1))))</f>
        <v/>
      </c>
      <c r="AP23" s="1" t="str">
        <f>IF(OR($B23="",AP$7=""),"",IF($B23="MEANS",INDEX('1-DATA'!$1:$1048576,$A22-1,COLUMN('1-DATA'!AO21)),ROUND(INDEX('1-DATA'!$1:$1048576,IF(OR($B23="STD. DEVIATION",$C$1=1),$A23,$A23+1),COLUMN('1-DATA'!AO21)),IF($B23="STD. DEVIATION",2,$F$1))))</f>
        <v/>
      </c>
      <c r="AQ23" s="1" t="str">
        <f>IF(OR($B23="",AQ$7=""),"",IF($B23="MEANS",INDEX('1-DATA'!$1:$1048576,$A22-1,COLUMN('1-DATA'!AP21)),ROUND(INDEX('1-DATA'!$1:$1048576,IF(OR($B23="STD. DEVIATION",$C$1=1),$A23,$A23+1),COLUMN('1-DATA'!AP21)),IF($B23="STD. DEVIATION",2,$F$1))))</f>
        <v/>
      </c>
      <c r="AR23" s="1" t="str">
        <f>IF(OR($B23="",AR$7=""),"",IF($B23="MEANS",INDEX('1-DATA'!$1:$1048576,$A22-1,COLUMN('1-DATA'!AQ21)),ROUND(INDEX('1-DATA'!$1:$1048576,IF(OR($B23="STD. DEVIATION",$C$1=1),$A23,$A23+1),COLUMN('1-DATA'!AQ21)),IF($B23="STD. DEVIATION",2,$F$1))))</f>
        <v/>
      </c>
      <c r="AS23" s="1" t="str">
        <f>IF(OR($B23="",AS$7=""),"",IF($B23="MEANS",INDEX('1-DATA'!$1:$1048576,$A22-1,COLUMN('1-DATA'!AR21)),ROUND(INDEX('1-DATA'!$1:$1048576,IF(OR($B23="STD. DEVIATION",$C$1=1),$A23,$A23+1),COLUMN('1-DATA'!AR21)),IF($B23="STD. DEVIATION",2,$F$1))))</f>
        <v/>
      </c>
      <c r="AT23" s="1" t="str">
        <f>IF(OR($B23="",AT$7=""),"",IF($B23="MEANS",INDEX('1-DATA'!$1:$1048576,$A22-1,COLUMN('1-DATA'!AS21)),ROUND(INDEX('1-DATA'!$1:$1048576,IF(OR($B23="STD. DEVIATION",$C$1=1),$A23,$A23+1),COLUMN('1-DATA'!AS21)),IF($B23="STD. DEVIATION",2,$F$1))))</f>
        <v/>
      </c>
      <c r="AU23" s="1" t="str">
        <f>IF(OR($B23="",AU$7=""),"",IF($B23="MEANS",INDEX('1-DATA'!$1:$1048576,$A22-1,COLUMN('1-DATA'!AT21)),ROUND(INDEX('1-DATA'!$1:$1048576,IF(OR($B23="STD. DEVIATION",$C$1=1),$A23,$A23+1),COLUMN('1-DATA'!AT21)),IF($B23="STD. DEVIATION",2,$F$1))))</f>
        <v/>
      </c>
      <c r="AV23" s="1" t="str">
        <f>IF(OR($B23="",AV$7=""),"",IF($B23="MEANS",INDEX('1-DATA'!$1:$1048576,$A22-1,COLUMN('1-DATA'!AU21)),ROUND(INDEX('1-DATA'!$1:$1048576,IF(OR($B23="STD. DEVIATION",$C$1=1),$A23,$A23+1),COLUMN('1-DATA'!AU21)),IF($B23="STD. DEVIATION",2,$F$1))))</f>
        <v/>
      </c>
      <c r="AW23" s="1" t="str">
        <f>IF(OR($B23="",AW$7=""),"",IF($B23="MEANS",INDEX('1-DATA'!$1:$1048576,$A22-1,COLUMN('1-DATA'!AV21)),ROUND(INDEX('1-DATA'!$1:$1048576,IF(OR($B23="STD. DEVIATION",$C$1=1),$A23,$A23+1),COLUMN('1-DATA'!AV21)),IF($B23="STD. DEVIATION",2,$F$1))))</f>
        <v/>
      </c>
      <c r="AX23" s="1" t="str">
        <f>IF(OR($B23="",AX$7=""),"",IF($B23="MEANS",INDEX('1-DATA'!$1:$1048576,$A22-1,COLUMN('1-DATA'!AW21)),ROUND(INDEX('1-DATA'!$1:$1048576,IF(OR($B23="STD. DEVIATION",$C$1=1),$A23,$A23+1),COLUMN('1-DATA'!AW21)),IF($B23="STD. DEVIATION",2,$F$1))))</f>
        <v/>
      </c>
      <c r="AY23" s="1" t="str">
        <f>IF(OR($B23="",AY$7=""),"",IF($B23="MEANS",INDEX('1-DATA'!$1:$1048576,$A22-1,COLUMN('1-DATA'!AX21)),ROUND(INDEX('1-DATA'!$1:$1048576,IF(OR($B23="STD. DEVIATION",$C$1=1),$A23,$A23+1),COLUMN('1-DATA'!AX21)),IF($B23="STD. DEVIATION",2,$F$1))))</f>
        <v/>
      </c>
      <c r="AZ23" s="1" t="str">
        <f>IF(OR($B23="",AZ$7=""),"",IF($B23="MEANS",INDEX('1-DATA'!$1:$1048576,$A22-1,COLUMN('1-DATA'!AY21)),ROUND(INDEX('1-DATA'!$1:$1048576,IF(OR($B23="STD. DEVIATION",$C$1=1),$A23,$A23+1),COLUMN('1-DATA'!AY21)),IF($B23="STD. DEVIATION",2,$F$1))))</f>
        <v/>
      </c>
    </row>
    <row r="24" spans="1:52" x14ac:dyDescent="0.25">
      <c r="A24" s="11">
        <f t="shared" si="0"/>
        <v>58</v>
      </c>
      <c r="B24" s="1" t="str">
        <f>IF(B23="STD. DEVIATION",INDEX('1-DATA'!$1:$1048576,$A23-1,1),IF(INDEX('1-DATA'!$1:$1048576,$A24,1)&lt;&gt;"",INDEX('1-DATA'!$1:$1048576,$A24,1),""))</f>
        <v/>
      </c>
      <c r="C24" s="1" t="str">
        <f>IF(OR($B24="",C$7=""),"",IF($B24="MEANS",INDEX('1-DATA'!$1:$1048576,$A23-1,COLUMN('1-DATA'!B22)),ROUND(INDEX('1-DATA'!$1:$1048576,IF(OR($B24="STD. DEVIATION",$C$1=1),$A24,$A24+1),COLUMN('1-DATA'!B22)),IF($B24="STD. DEVIATION",2,$F$1))))</f>
        <v/>
      </c>
      <c r="D24" s="1" t="str">
        <f>IF(OR($B24="",D$7=""),"",IF($B24="MEANS",INDEX('1-DATA'!$1:$1048576,$A23-1,COLUMN('1-DATA'!C22)),ROUND(INDEX('1-DATA'!$1:$1048576,IF(OR($B24="STD. DEVIATION",$C$1=1),$A24,$A24+1),COLUMN('1-DATA'!C22)),IF($B24="STD. DEVIATION",2,$F$1))))</f>
        <v/>
      </c>
      <c r="E24" s="1" t="str">
        <f>IF(OR($B24="",E$7=""),"",IF($B24="MEANS",INDEX('1-DATA'!$1:$1048576,$A23-1,COLUMN('1-DATA'!D22)),ROUND(INDEX('1-DATA'!$1:$1048576,IF(OR($B24="STD. DEVIATION",$C$1=1),$A24,$A24+1),COLUMN('1-DATA'!D22)),IF($B24="STD. DEVIATION",2,$F$1))))</f>
        <v/>
      </c>
      <c r="F24" s="1" t="str">
        <f>IF(OR($B24="",F$7=""),"",IF($B24="MEANS",INDEX('1-DATA'!$1:$1048576,$A23-1,COLUMN('1-DATA'!E22)),ROUND(INDEX('1-DATA'!$1:$1048576,IF(OR($B24="STD. DEVIATION",$C$1=1),$A24,$A24+1),COLUMN('1-DATA'!E22)),IF($B24="STD. DEVIATION",2,$F$1))))</f>
        <v/>
      </c>
      <c r="G24" s="1" t="str">
        <f>IF(OR($B24="",G$7=""),"",IF($B24="MEANS",INDEX('1-DATA'!$1:$1048576,$A23-1,COLUMN('1-DATA'!F22)),ROUND(INDEX('1-DATA'!$1:$1048576,IF(OR($B24="STD. DEVIATION",$C$1=1),$A24,$A24+1),COLUMN('1-DATA'!F22)),IF($B24="STD. DEVIATION",2,$F$1))))</f>
        <v/>
      </c>
      <c r="H24" s="1" t="str">
        <f>IF(OR($B24="",H$7=""),"",IF($B24="MEANS",INDEX('1-DATA'!$1:$1048576,$A23-1,COLUMN('1-DATA'!G22)),ROUND(INDEX('1-DATA'!$1:$1048576,IF(OR($B24="STD. DEVIATION",$C$1=1),$A24,$A24+1),COLUMN('1-DATA'!G22)),IF($B24="STD. DEVIATION",2,$F$1))))</f>
        <v/>
      </c>
      <c r="I24" s="1" t="str">
        <f>IF(OR($B24="",I$7=""),"",IF($B24="MEANS",INDEX('1-DATA'!$1:$1048576,$A23-1,COLUMN('1-DATA'!H22)),ROUND(INDEX('1-DATA'!$1:$1048576,IF(OR($B24="STD. DEVIATION",$C$1=1),$A24,$A24+1),COLUMN('1-DATA'!H22)),IF($B24="STD. DEVIATION",2,$F$1))))</f>
        <v/>
      </c>
      <c r="J24" s="1" t="str">
        <f>IF(OR($B24="",J$7=""),"",IF($B24="MEANS",INDEX('1-DATA'!$1:$1048576,$A23-1,COLUMN('1-DATA'!I22)),ROUND(INDEX('1-DATA'!$1:$1048576,IF(OR($B24="STD. DEVIATION",$C$1=1),$A24,$A24+1),COLUMN('1-DATA'!I22)),IF($B24="STD. DEVIATION",2,$F$1))))</f>
        <v/>
      </c>
      <c r="K24" s="1" t="str">
        <f>IF(OR($B24="",K$7=""),"",IF($B24="MEANS",INDEX('1-DATA'!$1:$1048576,$A23-1,COLUMN('1-DATA'!J22)),ROUND(INDEX('1-DATA'!$1:$1048576,IF(OR($B24="STD. DEVIATION",$C$1=1),$A24,$A24+1),COLUMN('1-DATA'!J22)),IF($B24="STD. DEVIATION",2,$F$1))))</f>
        <v/>
      </c>
      <c r="L24" s="1" t="str">
        <f>IF(OR($B24="",L$7=""),"",IF($B24="MEANS",INDEX('1-DATA'!$1:$1048576,$A23-1,COLUMN('1-DATA'!K22)),ROUND(INDEX('1-DATA'!$1:$1048576,IF(OR($B24="STD. DEVIATION",$C$1=1),$A24,$A24+1),COLUMN('1-DATA'!K22)),IF($B24="STD. DEVIATION",2,$F$1))))</f>
        <v/>
      </c>
      <c r="M24" s="1" t="str">
        <f>IF(OR($B24="",M$7=""),"",IF($B24="MEANS",INDEX('1-DATA'!$1:$1048576,$A23-1,COLUMN('1-DATA'!L22)),ROUND(INDEX('1-DATA'!$1:$1048576,IF(OR($B24="STD. DEVIATION",$C$1=1),$A24,$A24+1),COLUMN('1-DATA'!L22)),IF($B24="STD. DEVIATION",2,$F$1))))</f>
        <v/>
      </c>
      <c r="N24" s="1" t="str">
        <f>IF(OR($B24="",N$7=""),"",IF($B24="MEANS",INDEX('1-DATA'!$1:$1048576,$A23-1,COLUMN('1-DATA'!M22)),ROUND(INDEX('1-DATA'!$1:$1048576,IF(OR($B24="STD. DEVIATION",$C$1=1),$A24,$A24+1),COLUMN('1-DATA'!M22)),IF($B24="STD. DEVIATION",2,$F$1))))</f>
        <v/>
      </c>
      <c r="O24" s="1" t="str">
        <f>IF(OR($B24="",O$7=""),"",IF($B24="MEANS",INDEX('1-DATA'!$1:$1048576,$A23-1,COLUMN('1-DATA'!N22)),ROUND(INDEX('1-DATA'!$1:$1048576,IF(OR($B24="STD. DEVIATION",$C$1=1),$A24,$A24+1),COLUMN('1-DATA'!N22)),IF($B24="STD. DEVIATION",2,$F$1))))</f>
        <v/>
      </c>
      <c r="P24" s="1" t="str">
        <f>IF(OR($B24="",P$7=""),"",IF($B24="MEANS",INDEX('1-DATA'!$1:$1048576,$A23-1,COLUMN('1-DATA'!O22)),ROUND(INDEX('1-DATA'!$1:$1048576,IF(OR($B24="STD. DEVIATION",$C$1=1),$A24,$A24+1),COLUMN('1-DATA'!O22)),IF($B24="STD. DEVIATION",2,$F$1))))</f>
        <v/>
      </c>
      <c r="Q24" s="1" t="str">
        <f>IF(OR($B24="",Q$7=""),"",IF($B24="MEANS",INDEX('1-DATA'!$1:$1048576,$A23-1,COLUMN('1-DATA'!P22)),ROUND(INDEX('1-DATA'!$1:$1048576,IF(OR($B24="STD. DEVIATION",$C$1=1),$A24,$A24+1),COLUMN('1-DATA'!P22)),IF($B24="STD. DEVIATION",2,$F$1))))</f>
        <v/>
      </c>
      <c r="R24" s="1" t="str">
        <f>IF(OR($B24="",R$7=""),"",IF($B24="MEANS",INDEX('1-DATA'!$1:$1048576,$A23-1,COLUMN('1-DATA'!Q22)),ROUND(INDEX('1-DATA'!$1:$1048576,IF(OR($B24="STD. DEVIATION",$C$1=1),$A24,$A24+1),COLUMN('1-DATA'!Q22)),IF($B24="STD. DEVIATION",2,$F$1))))</f>
        <v/>
      </c>
      <c r="S24" s="1" t="str">
        <f>IF(OR($B24="",S$7=""),"",IF($B24="MEANS",INDEX('1-DATA'!$1:$1048576,$A23-1,COLUMN('1-DATA'!R22)),ROUND(INDEX('1-DATA'!$1:$1048576,IF(OR($B24="STD. DEVIATION",$C$1=1),$A24,$A24+1),COLUMN('1-DATA'!R22)),IF($B24="STD. DEVIATION",2,$F$1))))</f>
        <v/>
      </c>
      <c r="T24" s="1" t="str">
        <f>IF(OR($B24="",T$7=""),"",IF($B24="MEANS",INDEX('1-DATA'!$1:$1048576,$A23-1,COLUMN('1-DATA'!S22)),ROUND(INDEX('1-DATA'!$1:$1048576,IF(OR($B24="STD. DEVIATION",$C$1=1),$A24,$A24+1),COLUMN('1-DATA'!S22)),IF($B24="STD. DEVIATION",2,$F$1))))</f>
        <v/>
      </c>
      <c r="U24" s="1" t="str">
        <f>IF(OR($B24="",U$7=""),"",IF($B24="MEANS",INDEX('1-DATA'!$1:$1048576,$A23-1,COLUMN('1-DATA'!T22)),ROUND(INDEX('1-DATA'!$1:$1048576,IF(OR($B24="STD. DEVIATION",$C$1=1),$A24,$A24+1),COLUMN('1-DATA'!T22)),IF($B24="STD. DEVIATION",2,$F$1))))</f>
        <v/>
      </c>
      <c r="V24" s="1" t="str">
        <f>IF(OR($B24="",V$7=""),"",IF($B24="MEANS",INDEX('1-DATA'!$1:$1048576,$A23-1,COLUMN('1-DATA'!U22)),ROUND(INDEX('1-DATA'!$1:$1048576,IF(OR($B24="STD. DEVIATION",$C$1=1),$A24,$A24+1),COLUMN('1-DATA'!U22)),IF($B24="STD. DEVIATION",2,$F$1))))</f>
        <v/>
      </c>
      <c r="W24" s="1" t="str">
        <f>IF(OR($B24="",W$7=""),"",IF($B24="MEANS",INDEX('1-DATA'!$1:$1048576,$A23-1,COLUMN('1-DATA'!V22)),ROUND(INDEX('1-DATA'!$1:$1048576,IF(OR($B24="STD. DEVIATION",$C$1=1),$A24,$A24+1),COLUMN('1-DATA'!V22)),IF($B24="STD. DEVIATION",2,$F$1))))</f>
        <v/>
      </c>
      <c r="X24" s="1" t="str">
        <f>IF(OR($B24="",X$7=""),"",IF($B24="MEANS",INDEX('1-DATA'!$1:$1048576,$A23-1,COLUMN('1-DATA'!W22)),ROUND(INDEX('1-DATA'!$1:$1048576,IF(OR($B24="STD. DEVIATION",$C$1=1),$A24,$A24+1),COLUMN('1-DATA'!W22)),IF($B24="STD. DEVIATION",2,$F$1))))</f>
        <v/>
      </c>
      <c r="Y24" s="1" t="str">
        <f>IF(OR($B24="",Y$7=""),"",IF($B24="MEANS",INDEX('1-DATA'!$1:$1048576,$A23-1,COLUMN('1-DATA'!X22)),ROUND(INDEX('1-DATA'!$1:$1048576,IF(OR($B24="STD. DEVIATION",$C$1=1),$A24,$A24+1),COLUMN('1-DATA'!X22)),IF($B24="STD. DEVIATION",2,$F$1))))</f>
        <v/>
      </c>
      <c r="Z24" s="1" t="str">
        <f>IF(OR($B24="",Z$7=""),"",IF($B24="MEANS",INDEX('1-DATA'!$1:$1048576,$A23-1,COLUMN('1-DATA'!Y22)),ROUND(INDEX('1-DATA'!$1:$1048576,IF(OR($B24="STD. DEVIATION",$C$1=1),$A24,$A24+1),COLUMN('1-DATA'!Y22)),IF($B24="STD. DEVIATION",2,$F$1))))</f>
        <v/>
      </c>
      <c r="AA24" s="1" t="str">
        <f>IF(OR($B24="",AA$7=""),"",IF($B24="MEANS",INDEX('1-DATA'!$1:$1048576,$A23-1,COLUMN('1-DATA'!Z22)),ROUND(INDEX('1-DATA'!$1:$1048576,IF(OR($B24="STD. DEVIATION",$C$1=1),$A24,$A24+1),COLUMN('1-DATA'!Z22)),IF($B24="STD. DEVIATION",2,$F$1))))</f>
        <v/>
      </c>
      <c r="AB24" s="1" t="str">
        <f>IF(OR($B24="",AB$7=""),"",IF($B24="MEANS",INDEX('1-DATA'!$1:$1048576,$A23-1,COLUMN('1-DATA'!AA22)),ROUND(INDEX('1-DATA'!$1:$1048576,IF(OR($B24="STD. DEVIATION",$C$1=1),$A24,$A24+1),COLUMN('1-DATA'!AA22)),IF($B24="STD. DEVIATION",2,$F$1))))</f>
        <v/>
      </c>
      <c r="AC24" s="1" t="str">
        <f>IF(OR($B24="",AC$7=""),"",IF($B24="MEANS",INDEX('1-DATA'!$1:$1048576,$A23-1,COLUMN('1-DATA'!AB22)),ROUND(INDEX('1-DATA'!$1:$1048576,IF(OR($B24="STD. DEVIATION",$C$1=1),$A24,$A24+1),COLUMN('1-DATA'!AB22)),IF($B24="STD. DEVIATION",2,$F$1))))</f>
        <v/>
      </c>
      <c r="AD24" s="1" t="str">
        <f>IF(OR($B24="",AD$7=""),"",IF($B24="MEANS",INDEX('1-DATA'!$1:$1048576,$A23-1,COLUMN('1-DATA'!AC22)),ROUND(INDEX('1-DATA'!$1:$1048576,IF(OR($B24="STD. DEVIATION",$C$1=1),$A24,$A24+1),COLUMN('1-DATA'!AC22)),IF($B24="STD. DEVIATION",2,$F$1))))</f>
        <v/>
      </c>
      <c r="AE24" s="1" t="str">
        <f>IF(OR($B24="",AE$7=""),"",IF($B24="MEANS",INDEX('1-DATA'!$1:$1048576,$A23-1,COLUMN('1-DATA'!AD22)),ROUND(INDEX('1-DATA'!$1:$1048576,IF(OR($B24="STD. DEVIATION",$C$1=1),$A24,$A24+1),COLUMN('1-DATA'!AD22)),IF($B24="STD. DEVIATION",2,$F$1))))</f>
        <v/>
      </c>
      <c r="AF24" s="1" t="str">
        <f>IF(OR($B24="",AF$7=""),"",IF($B24="MEANS",INDEX('1-DATA'!$1:$1048576,$A23-1,COLUMN('1-DATA'!AE22)),ROUND(INDEX('1-DATA'!$1:$1048576,IF(OR($B24="STD. DEVIATION",$C$1=1),$A24,$A24+1),COLUMN('1-DATA'!AE22)),IF($B24="STD. DEVIATION",2,$F$1))))</f>
        <v/>
      </c>
      <c r="AG24" s="1" t="str">
        <f>IF(OR($B24="",AG$7=""),"",IF($B24="MEANS",INDEX('1-DATA'!$1:$1048576,$A23-1,COLUMN('1-DATA'!AF22)),ROUND(INDEX('1-DATA'!$1:$1048576,IF(OR($B24="STD. DEVIATION",$C$1=1),$A24,$A24+1),COLUMN('1-DATA'!AF22)),IF($B24="STD. DEVIATION",2,$F$1))))</f>
        <v/>
      </c>
      <c r="AH24" s="1" t="str">
        <f>IF(OR($B24="",AH$7=""),"",IF($B24="MEANS",INDEX('1-DATA'!$1:$1048576,$A23-1,COLUMN('1-DATA'!AG22)),ROUND(INDEX('1-DATA'!$1:$1048576,IF(OR($B24="STD. DEVIATION",$C$1=1),$A24,$A24+1),COLUMN('1-DATA'!AG22)),IF($B24="STD. DEVIATION",2,$F$1))))</f>
        <v/>
      </c>
      <c r="AI24" s="1" t="str">
        <f>IF(OR($B24="",AI$7=""),"",IF($B24="MEANS",INDEX('1-DATA'!$1:$1048576,$A23-1,COLUMN('1-DATA'!AH22)),ROUND(INDEX('1-DATA'!$1:$1048576,IF(OR($B24="STD. DEVIATION",$C$1=1),$A24,$A24+1),COLUMN('1-DATA'!AH22)),IF($B24="STD. DEVIATION",2,$F$1))))</f>
        <v/>
      </c>
      <c r="AJ24" s="1" t="str">
        <f>IF(OR($B24="",AJ$7=""),"",IF($B24="MEANS",INDEX('1-DATA'!$1:$1048576,$A23-1,COLUMN('1-DATA'!AI22)),ROUND(INDEX('1-DATA'!$1:$1048576,IF(OR($B24="STD. DEVIATION",$C$1=1),$A24,$A24+1),COLUMN('1-DATA'!AI22)),IF($B24="STD. DEVIATION",2,$F$1))))</f>
        <v/>
      </c>
      <c r="AK24" s="1" t="str">
        <f>IF(OR($B24="",AK$7=""),"",IF($B24="MEANS",INDEX('1-DATA'!$1:$1048576,$A23-1,COLUMN('1-DATA'!AJ22)),ROUND(INDEX('1-DATA'!$1:$1048576,IF(OR($B24="STD. DEVIATION",$C$1=1),$A24,$A24+1),COLUMN('1-DATA'!AJ22)),IF($B24="STD. DEVIATION",2,$F$1))))</f>
        <v/>
      </c>
      <c r="AL24" s="1" t="str">
        <f>IF(OR($B24="",AL$7=""),"",IF($B24="MEANS",INDEX('1-DATA'!$1:$1048576,$A23-1,COLUMN('1-DATA'!AK22)),ROUND(INDEX('1-DATA'!$1:$1048576,IF(OR($B24="STD. DEVIATION",$C$1=1),$A24,$A24+1),COLUMN('1-DATA'!AK22)),IF($B24="STD. DEVIATION",2,$F$1))))</f>
        <v/>
      </c>
      <c r="AM24" s="1" t="str">
        <f>IF(OR($B24="",AM$7=""),"",IF($B24="MEANS",INDEX('1-DATA'!$1:$1048576,$A23-1,COLUMN('1-DATA'!AL22)),ROUND(INDEX('1-DATA'!$1:$1048576,IF(OR($B24="STD. DEVIATION",$C$1=1),$A24,$A24+1),COLUMN('1-DATA'!AL22)),IF($B24="STD. DEVIATION",2,$F$1))))</f>
        <v/>
      </c>
      <c r="AN24" s="1" t="str">
        <f>IF(OR($B24="",AN$7=""),"",IF($B24="MEANS",INDEX('1-DATA'!$1:$1048576,$A23-1,COLUMN('1-DATA'!AM22)),ROUND(INDEX('1-DATA'!$1:$1048576,IF(OR($B24="STD. DEVIATION",$C$1=1),$A24,$A24+1),COLUMN('1-DATA'!AM22)),IF($B24="STD. DEVIATION",2,$F$1))))</f>
        <v/>
      </c>
      <c r="AO24" s="1" t="str">
        <f>IF(OR($B24="",AO$7=""),"",IF($B24="MEANS",INDEX('1-DATA'!$1:$1048576,$A23-1,COLUMN('1-DATA'!AN22)),ROUND(INDEX('1-DATA'!$1:$1048576,IF(OR($B24="STD. DEVIATION",$C$1=1),$A24,$A24+1),COLUMN('1-DATA'!AN22)),IF($B24="STD. DEVIATION",2,$F$1))))</f>
        <v/>
      </c>
      <c r="AP24" s="1" t="str">
        <f>IF(OR($B24="",AP$7=""),"",IF($B24="MEANS",INDEX('1-DATA'!$1:$1048576,$A23-1,COLUMN('1-DATA'!AO22)),ROUND(INDEX('1-DATA'!$1:$1048576,IF(OR($B24="STD. DEVIATION",$C$1=1),$A24,$A24+1),COLUMN('1-DATA'!AO22)),IF($B24="STD. DEVIATION",2,$F$1))))</f>
        <v/>
      </c>
      <c r="AQ24" s="1" t="str">
        <f>IF(OR($B24="",AQ$7=""),"",IF($B24="MEANS",INDEX('1-DATA'!$1:$1048576,$A23-1,COLUMN('1-DATA'!AP22)),ROUND(INDEX('1-DATA'!$1:$1048576,IF(OR($B24="STD. DEVIATION",$C$1=1),$A24,$A24+1),COLUMN('1-DATA'!AP22)),IF($B24="STD. DEVIATION",2,$F$1))))</f>
        <v/>
      </c>
      <c r="AR24" s="1" t="str">
        <f>IF(OR($B24="",AR$7=""),"",IF($B24="MEANS",INDEX('1-DATA'!$1:$1048576,$A23-1,COLUMN('1-DATA'!AQ22)),ROUND(INDEX('1-DATA'!$1:$1048576,IF(OR($B24="STD. DEVIATION",$C$1=1),$A24,$A24+1),COLUMN('1-DATA'!AQ22)),IF($B24="STD. DEVIATION",2,$F$1))))</f>
        <v/>
      </c>
      <c r="AS24" s="1" t="str">
        <f>IF(OR($B24="",AS$7=""),"",IF($B24="MEANS",INDEX('1-DATA'!$1:$1048576,$A23-1,COLUMN('1-DATA'!AR22)),ROUND(INDEX('1-DATA'!$1:$1048576,IF(OR($B24="STD. DEVIATION",$C$1=1),$A24,$A24+1),COLUMN('1-DATA'!AR22)),IF($B24="STD. DEVIATION",2,$F$1))))</f>
        <v/>
      </c>
      <c r="AT24" s="1" t="str">
        <f>IF(OR($B24="",AT$7=""),"",IF($B24="MEANS",INDEX('1-DATA'!$1:$1048576,$A23-1,COLUMN('1-DATA'!AS22)),ROUND(INDEX('1-DATA'!$1:$1048576,IF(OR($B24="STD. DEVIATION",$C$1=1),$A24,$A24+1),COLUMN('1-DATA'!AS22)),IF($B24="STD. DEVIATION",2,$F$1))))</f>
        <v/>
      </c>
      <c r="AU24" s="1" t="str">
        <f>IF(OR($B24="",AU$7=""),"",IF($B24="MEANS",INDEX('1-DATA'!$1:$1048576,$A23-1,COLUMN('1-DATA'!AT22)),ROUND(INDEX('1-DATA'!$1:$1048576,IF(OR($B24="STD. DEVIATION",$C$1=1),$A24,$A24+1),COLUMN('1-DATA'!AT22)),IF($B24="STD. DEVIATION",2,$F$1))))</f>
        <v/>
      </c>
      <c r="AV24" s="1" t="str">
        <f>IF(OR($B24="",AV$7=""),"",IF($B24="MEANS",INDEX('1-DATA'!$1:$1048576,$A23-1,COLUMN('1-DATA'!AU22)),ROUND(INDEX('1-DATA'!$1:$1048576,IF(OR($B24="STD. DEVIATION",$C$1=1),$A24,$A24+1),COLUMN('1-DATA'!AU22)),IF($B24="STD. DEVIATION",2,$F$1))))</f>
        <v/>
      </c>
      <c r="AW24" s="1" t="str">
        <f>IF(OR($B24="",AW$7=""),"",IF($B24="MEANS",INDEX('1-DATA'!$1:$1048576,$A23-1,COLUMN('1-DATA'!AV22)),ROUND(INDEX('1-DATA'!$1:$1048576,IF(OR($B24="STD. DEVIATION",$C$1=1),$A24,$A24+1),COLUMN('1-DATA'!AV22)),IF($B24="STD. DEVIATION",2,$F$1))))</f>
        <v/>
      </c>
      <c r="AX24" s="1" t="str">
        <f>IF(OR($B24="",AX$7=""),"",IF($B24="MEANS",INDEX('1-DATA'!$1:$1048576,$A23-1,COLUMN('1-DATA'!AW22)),ROUND(INDEX('1-DATA'!$1:$1048576,IF(OR($B24="STD. DEVIATION",$C$1=1),$A24,$A24+1),COLUMN('1-DATA'!AW22)),IF($B24="STD. DEVIATION",2,$F$1))))</f>
        <v/>
      </c>
      <c r="AY24" s="1" t="str">
        <f>IF(OR($B24="",AY$7=""),"",IF($B24="MEANS",INDEX('1-DATA'!$1:$1048576,$A23-1,COLUMN('1-DATA'!AX22)),ROUND(INDEX('1-DATA'!$1:$1048576,IF(OR($B24="STD. DEVIATION",$C$1=1),$A24,$A24+1),COLUMN('1-DATA'!AX22)),IF($B24="STD. DEVIATION",2,$F$1))))</f>
        <v/>
      </c>
      <c r="AZ24" s="1" t="str">
        <f>IF(OR($B24="",AZ$7=""),"",IF($B24="MEANS",INDEX('1-DATA'!$1:$1048576,$A23-1,COLUMN('1-DATA'!AY22)),ROUND(INDEX('1-DATA'!$1:$1048576,IF(OR($B24="STD. DEVIATION",$C$1=1),$A24,$A24+1),COLUMN('1-DATA'!AY22)),IF($B24="STD. DEVIATION",2,$F$1))))</f>
        <v/>
      </c>
    </row>
    <row r="25" spans="1:52" x14ac:dyDescent="0.25">
      <c r="A25" s="11">
        <f t="shared" si="0"/>
        <v>61</v>
      </c>
      <c r="B25" s="1" t="str">
        <f>IF(B24="STD. DEVIATION",INDEX('1-DATA'!$1:$1048576,$A24-1,1),IF(INDEX('1-DATA'!$1:$1048576,$A25,1)&lt;&gt;"",INDEX('1-DATA'!$1:$1048576,$A25,1),""))</f>
        <v/>
      </c>
      <c r="C25" s="1" t="str">
        <f>IF(OR($B25="",C$7=""),"",IF($B25="MEANS",INDEX('1-DATA'!$1:$1048576,$A24-1,COLUMN('1-DATA'!B23)),ROUND(INDEX('1-DATA'!$1:$1048576,IF(OR($B25="STD. DEVIATION",$C$1=1),$A25,$A25+1),COLUMN('1-DATA'!B23)),IF($B25="STD. DEVIATION",2,$F$1))))</f>
        <v/>
      </c>
      <c r="D25" s="1" t="str">
        <f>IF(OR($B25="",D$7=""),"",IF($B25="MEANS",INDEX('1-DATA'!$1:$1048576,$A24-1,COLUMN('1-DATA'!C23)),ROUND(INDEX('1-DATA'!$1:$1048576,IF(OR($B25="STD. DEVIATION",$C$1=1),$A25,$A25+1),COLUMN('1-DATA'!C23)),IF($B25="STD. DEVIATION",2,$F$1))))</f>
        <v/>
      </c>
      <c r="E25" s="1" t="str">
        <f>IF(OR($B25="",E$7=""),"",IF($B25="MEANS",INDEX('1-DATA'!$1:$1048576,$A24-1,COLUMN('1-DATA'!D23)),ROUND(INDEX('1-DATA'!$1:$1048576,IF(OR($B25="STD. DEVIATION",$C$1=1),$A25,$A25+1),COLUMN('1-DATA'!D23)),IF($B25="STD. DEVIATION",2,$F$1))))</f>
        <v/>
      </c>
      <c r="F25" s="1" t="str">
        <f>IF(OR($B25="",F$7=""),"",IF($B25="MEANS",INDEX('1-DATA'!$1:$1048576,$A24-1,COLUMN('1-DATA'!E23)),ROUND(INDEX('1-DATA'!$1:$1048576,IF(OR($B25="STD. DEVIATION",$C$1=1),$A25,$A25+1),COLUMN('1-DATA'!E23)),IF($B25="STD. DEVIATION",2,$F$1))))</f>
        <v/>
      </c>
      <c r="G25" s="1" t="str">
        <f>IF(OR($B25="",G$7=""),"",IF($B25="MEANS",INDEX('1-DATA'!$1:$1048576,$A24-1,COLUMN('1-DATA'!F23)),ROUND(INDEX('1-DATA'!$1:$1048576,IF(OR($B25="STD. DEVIATION",$C$1=1),$A25,$A25+1),COLUMN('1-DATA'!F23)),IF($B25="STD. DEVIATION",2,$F$1))))</f>
        <v/>
      </c>
      <c r="H25" s="1" t="str">
        <f>IF(OR($B25="",H$7=""),"",IF($B25="MEANS",INDEX('1-DATA'!$1:$1048576,$A24-1,COLUMN('1-DATA'!G23)),ROUND(INDEX('1-DATA'!$1:$1048576,IF(OR($B25="STD. DEVIATION",$C$1=1),$A25,$A25+1),COLUMN('1-DATA'!G23)),IF($B25="STD. DEVIATION",2,$F$1))))</f>
        <v/>
      </c>
      <c r="I25" s="1" t="str">
        <f>IF(OR($B25="",I$7=""),"",IF($B25="MEANS",INDEX('1-DATA'!$1:$1048576,$A24-1,COLUMN('1-DATA'!H23)),ROUND(INDEX('1-DATA'!$1:$1048576,IF(OR($B25="STD. DEVIATION",$C$1=1),$A25,$A25+1),COLUMN('1-DATA'!H23)),IF($B25="STD. DEVIATION",2,$F$1))))</f>
        <v/>
      </c>
      <c r="J25" s="1" t="str">
        <f>IF(OR($B25="",J$7=""),"",IF($B25="MEANS",INDEX('1-DATA'!$1:$1048576,$A24-1,COLUMN('1-DATA'!I23)),ROUND(INDEX('1-DATA'!$1:$1048576,IF(OR($B25="STD. DEVIATION",$C$1=1),$A25,$A25+1),COLUMN('1-DATA'!I23)),IF($B25="STD. DEVIATION",2,$F$1))))</f>
        <v/>
      </c>
      <c r="K25" s="1" t="str">
        <f>IF(OR($B25="",K$7=""),"",IF($B25="MEANS",INDEX('1-DATA'!$1:$1048576,$A24-1,COLUMN('1-DATA'!J23)),ROUND(INDEX('1-DATA'!$1:$1048576,IF(OR($B25="STD. DEVIATION",$C$1=1),$A25,$A25+1),COLUMN('1-DATA'!J23)),IF($B25="STD. DEVIATION",2,$F$1))))</f>
        <v/>
      </c>
      <c r="L25" s="1" t="str">
        <f>IF(OR($B25="",L$7=""),"",IF($B25="MEANS",INDEX('1-DATA'!$1:$1048576,$A24-1,COLUMN('1-DATA'!K23)),ROUND(INDEX('1-DATA'!$1:$1048576,IF(OR($B25="STD. DEVIATION",$C$1=1),$A25,$A25+1),COLUMN('1-DATA'!K23)),IF($B25="STD. DEVIATION",2,$F$1))))</f>
        <v/>
      </c>
      <c r="M25" s="1" t="str">
        <f>IF(OR($B25="",M$7=""),"",IF($B25="MEANS",INDEX('1-DATA'!$1:$1048576,$A24-1,COLUMN('1-DATA'!L23)),ROUND(INDEX('1-DATA'!$1:$1048576,IF(OR($B25="STD. DEVIATION",$C$1=1),$A25,$A25+1),COLUMN('1-DATA'!L23)),IF($B25="STD. DEVIATION",2,$F$1))))</f>
        <v/>
      </c>
      <c r="N25" s="1" t="str">
        <f>IF(OR($B25="",N$7=""),"",IF($B25="MEANS",INDEX('1-DATA'!$1:$1048576,$A24-1,COLUMN('1-DATA'!M23)),ROUND(INDEX('1-DATA'!$1:$1048576,IF(OR($B25="STD. DEVIATION",$C$1=1),$A25,$A25+1),COLUMN('1-DATA'!M23)),IF($B25="STD. DEVIATION",2,$F$1))))</f>
        <v/>
      </c>
      <c r="O25" s="1" t="str">
        <f>IF(OR($B25="",O$7=""),"",IF($B25="MEANS",INDEX('1-DATA'!$1:$1048576,$A24-1,COLUMN('1-DATA'!N23)),ROUND(INDEX('1-DATA'!$1:$1048576,IF(OR($B25="STD. DEVIATION",$C$1=1),$A25,$A25+1),COLUMN('1-DATA'!N23)),IF($B25="STD. DEVIATION",2,$F$1))))</f>
        <v/>
      </c>
      <c r="P25" s="1" t="str">
        <f>IF(OR($B25="",P$7=""),"",IF($B25="MEANS",INDEX('1-DATA'!$1:$1048576,$A24-1,COLUMN('1-DATA'!O23)),ROUND(INDEX('1-DATA'!$1:$1048576,IF(OR($B25="STD. DEVIATION",$C$1=1),$A25,$A25+1),COLUMN('1-DATA'!O23)),IF($B25="STD. DEVIATION",2,$F$1))))</f>
        <v/>
      </c>
      <c r="Q25" s="1" t="str">
        <f>IF(OR($B25="",Q$7=""),"",IF($B25="MEANS",INDEX('1-DATA'!$1:$1048576,$A24-1,COLUMN('1-DATA'!P23)),ROUND(INDEX('1-DATA'!$1:$1048576,IF(OR($B25="STD. DEVIATION",$C$1=1),$A25,$A25+1),COLUMN('1-DATA'!P23)),IF($B25="STD. DEVIATION",2,$F$1))))</f>
        <v/>
      </c>
      <c r="R25" s="1" t="str">
        <f>IF(OR($B25="",R$7=""),"",IF($B25="MEANS",INDEX('1-DATA'!$1:$1048576,$A24-1,COLUMN('1-DATA'!Q23)),ROUND(INDEX('1-DATA'!$1:$1048576,IF(OR($B25="STD. DEVIATION",$C$1=1),$A25,$A25+1),COLUMN('1-DATA'!Q23)),IF($B25="STD. DEVIATION",2,$F$1))))</f>
        <v/>
      </c>
      <c r="S25" s="1" t="str">
        <f>IF(OR($B25="",S$7=""),"",IF($B25="MEANS",INDEX('1-DATA'!$1:$1048576,$A24-1,COLUMN('1-DATA'!R23)),ROUND(INDEX('1-DATA'!$1:$1048576,IF(OR($B25="STD. DEVIATION",$C$1=1),$A25,$A25+1),COLUMN('1-DATA'!R23)),IF($B25="STD. DEVIATION",2,$F$1))))</f>
        <v/>
      </c>
      <c r="T25" s="1" t="str">
        <f>IF(OR($B25="",T$7=""),"",IF($B25="MEANS",INDEX('1-DATA'!$1:$1048576,$A24-1,COLUMN('1-DATA'!S23)),ROUND(INDEX('1-DATA'!$1:$1048576,IF(OR($B25="STD. DEVIATION",$C$1=1),$A25,$A25+1),COLUMN('1-DATA'!S23)),IF($B25="STD. DEVIATION",2,$F$1))))</f>
        <v/>
      </c>
      <c r="U25" s="1" t="str">
        <f>IF(OR($B25="",U$7=""),"",IF($B25="MEANS",INDEX('1-DATA'!$1:$1048576,$A24-1,COLUMN('1-DATA'!T23)),ROUND(INDEX('1-DATA'!$1:$1048576,IF(OR($B25="STD. DEVIATION",$C$1=1),$A25,$A25+1),COLUMN('1-DATA'!T23)),IF($B25="STD. DEVIATION",2,$F$1))))</f>
        <v/>
      </c>
      <c r="V25" s="1" t="str">
        <f>IF(OR($B25="",V$7=""),"",IF($B25="MEANS",INDEX('1-DATA'!$1:$1048576,$A24-1,COLUMN('1-DATA'!U23)),ROUND(INDEX('1-DATA'!$1:$1048576,IF(OR($B25="STD. DEVIATION",$C$1=1),$A25,$A25+1),COLUMN('1-DATA'!U23)),IF($B25="STD. DEVIATION",2,$F$1))))</f>
        <v/>
      </c>
      <c r="W25" s="1" t="str">
        <f>IF(OR($B25="",W$7=""),"",IF($B25="MEANS",INDEX('1-DATA'!$1:$1048576,$A24-1,COLUMN('1-DATA'!V23)),ROUND(INDEX('1-DATA'!$1:$1048576,IF(OR($B25="STD. DEVIATION",$C$1=1),$A25,$A25+1),COLUMN('1-DATA'!V23)),IF($B25="STD. DEVIATION",2,$F$1))))</f>
        <v/>
      </c>
      <c r="X25" s="1" t="str">
        <f>IF(OR($B25="",X$7=""),"",IF($B25="MEANS",INDEX('1-DATA'!$1:$1048576,$A24-1,COLUMN('1-DATA'!W23)),ROUND(INDEX('1-DATA'!$1:$1048576,IF(OR($B25="STD. DEVIATION",$C$1=1),$A25,$A25+1),COLUMN('1-DATA'!W23)),IF($B25="STD. DEVIATION",2,$F$1))))</f>
        <v/>
      </c>
      <c r="Y25" s="1" t="str">
        <f>IF(OR($B25="",Y$7=""),"",IF($B25="MEANS",INDEX('1-DATA'!$1:$1048576,$A24-1,COLUMN('1-DATA'!X23)),ROUND(INDEX('1-DATA'!$1:$1048576,IF(OR($B25="STD. DEVIATION",$C$1=1),$A25,$A25+1),COLUMN('1-DATA'!X23)),IF($B25="STD. DEVIATION",2,$F$1))))</f>
        <v/>
      </c>
      <c r="Z25" s="1" t="str">
        <f>IF(OR($B25="",Z$7=""),"",IF($B25="MEANS",INDEX('1-DATA'!$1:$1048576,$A24-1,COLUMN('1-DATA'!Y23)),ROUND(INDEX('1-DATA'!$1:$1048576,IF(OR($B25="STD. DEVIATION",$C$1=1),$A25,$A25+1),COLUMN('1-DATA'!Y23)),IF($B25="STD. DEVIATION",2,$F$1))))</f>
        <v/>
      </c>
      <c r="AA25" s="1" t="str">
        <f>IF(OR($B25="",AA$7=""),"",IF($B25="MEANS",INDEX('1-DATA'!$1:$1048576,$A24-1,COLUMN('1-DATA'!Z23)),ROUND(INDEX('1-DATA'!$1:$1048576,IF(OR($B25="STD. DEVIATION",$C$1=1),$A25,$A25+1),COLUMN('1-DATA'!Z23)),IF($B25="STD. DEVIATION",2,$F$1))))</f>
        <v/>
      </c>
      <c r="AB25" s="1" t="str">
        <f>IF(OR($B25="",AB$7=""),"",IF($B25="MEANS",INDEX('1-DATA'!$1:$1048576,$A24-1,COLUMN('1-DATA'!AA23)),ROUND(INDEX('1-DATA'!$1:$1048576,IF(OR($B25="STD. DEVIATION",$C$1=1),$A25,$A25+1),COLUMN('1-DATA'!AA23)),IF($B25="STD. DEVIATION",2,$F$1))))</f>
        <v/>
      </c>
      <c r="AC25" s="1" t="str">
        <f>IF(OR($B25="",AC$7=""),"",IF($B25="MEANS",INDEX('1-DATA'!$1:$1048576,$A24-1,COLUMN('1-DATA'!AB23)),ROUND(INDEX('1-DATA'!$1:$1048576,IF(OR($B25="STD. DEVIATION",$C$1=1),$A25,$A25+1),COLUMN('1-DATA'!AB23)),IF($B25="STD. DEVIATION",2,$F$1))))</f>
        <v/>
      </c>
      <c r="AD25" s="1" t="str">
        <f>IF(OR($B25="",AD$7=""),"",IF($B25="MEANS",INDEX('1-DATA'!$1:$1048576,$A24-1,COLUMN('1-DATA'!AC23)),ROUND(INDEX('1-DATA'!$1:$1048576,IF(OR($B25="STD. DEVIATION",$C$1=1),$A25,$A25+1),COLUMN('1-DATA'!AC23)),IF($B25="STD. DEVIATION",2,$F$1))))</f>
        <v/>
      </c>
      <c r="AE25" s="1" t="str">
        <f>IF(OR($B25="",AE$7=""),"",IF($B25="MEANS",INDEX('1-DATA'!$1:$1048576,$A24-1,COLUMN('1-DATA'!AD23)),ROUND(INDEX('1-DATA'!$1:$1048576,IF(OR($B25="STD. DEVIATION",$C$1=1),$A25,$A25+1),COLUMN('1-DATA'!AD23)),IF($B25="STD. DEVIATION",2,$F$1))))</f>
        <v/>
      </c>
      <c r="AF25" s="1" t="str">
        <f>IF(OR($B25="",AF$7=""),"",IF($B25="MEANS",INDEX('1-DATA'!$1:$1048576,$A24-1,COLUMN('1-DATA'!AE23)),ROUND(INDEX('1-DATA'!$1:$1048576,IF(OR($B25="STD. DEVIATION",$C$1=1),$A25,$A25+1),COLUMN('1-DATA'!AE23)),IF($B25="STD. DEVIATION",2,$F$1))))</f>
        <v/>
      </c>
      <c r="AG25" s="1" t="str">
        <f>IF(OR($B25="",AG$7=""),"",IF($B25="MEANS",INDEX('1-DATA'!$1:$1048576,$A24-1,COLUMN('1-DATA'!AF23)),ROUND(INDEX('1-DATA'!$1:$1048576,IF(OR($B25="STD. DEVIATION",$C$1=1),$A25,$A25+1),COLUMN('1-DATA'!AF23)),IF($B25="STD. DEVIATION",2,$F$1))))</f>
        <v/>
      </c>
      <c r="AH25" s="1" t="str">
        <f>IF(OR($B25="",AH$7=""),"",IF($B25="MEANS",INDEX('1-DATA'!$1:$1048576,$A24-1,COLUMN('1-DATA'!AG23)),ROUND(INDEX('1-DATA'!$1:$1048576,IF(OR($B25="STD. DEVIATION",$C$1=1),$A25,$A25+1),COLUMN('1-DATA'!AG23)),IF($B25="STD. DEVIATION",2,$F$1))))</f>
        <v/>
      </c>
      <c r="AI25" s="1" t="str">
        <f>IF(OR($B25="",AI$7=""),"",IF($B25="MEANS",INDEX('1-DATA'!$1:$1048576,$A24-1,COLUMN('1-DATA'!AH23)),ROUND(INDEX('1-DATA'!$1:$1048576,IF(OR($B25="STD. DEVIATION",$C$1=1),$A25,$A25+1),COLUMN('1-DATA'!AH23)),IF($B25="STD. DEVIATION",2,$F$1))))</f>
        <v/>
      </c>
      <c r="AJ25" s="1" t="str">
        <f>IF(OR($B25="",AJ$7=""),"",IF($B25="MEANS",INDEX('1-DATA'!$1:$1048576,$A24-1,COLUMN('1-DATA'!AI23)),ROUND(INDEX('1-DATA'!$1:$1048576,IF(OR($B25="STD. DEVIATION",$C$1=1),$A25,$A25+1),COLUMN('1-DATA'!AI23)),IF($B25="STD. DEVIATION",2,$F$1))))</f>
        <v/>
      </c>
      <c r="AK25" s="1" t="str">
        <f>IF(OR($B25="",AK$7=""),"",IF($B25="MEANS",INDEX('1-DATA'!$1:$1048576,$A24-1,COLUMN('1-DATA'!AJ23)),ROUND(INDEX('1-DATA'!$1:$1048576,IF(OR($B25="STD. DEVIATION",$C$1=1),$A25,$A25+1),COLUMN('1-DATA'!AJ23)),IF($B25="STD. DEVIATION",2,$F$1))))</f>
        <v/>
      </c>
      <c r="AL25" s="1" t="str">
        <f>IF(OR($B25="",AL$7=""),"",IF($B25="MEANS",INDEX('1-DATA'!$1:$1048576,$A24-1,COLUMN('1-DATA'!AK23)),ROUND(INDEX('1-DATA'!$1:$1048576,IF(OR($B25="STD. DEVIATION",$C$1=1),$A25,$A25+1),COLUMN('1-DATA'!AK23)),IF($B25="STD. DEVIATION",2,$F$1))))</f>
        <v/>
      </c>
      <c r="AM25" s="1" t="str">
        <f>IF(OR($B25="",AM$7=""),"",IF($B25="MEANS",INDEX('1-DATA'!$1:$1048576,$A24-1,COLUMN('1-DATA'!AL23)),ROUND(INDEX('1-DATA'!$1:$1048576,IF(OR($B25="STD. DEVIATION",$C$1=1),$A25,$A25+1),COLUMN('1-DATA'!AL23)),IF($B25="STD. DEVIATION",2,$F$1))))</f>
        <v/>
      </c>
      <c r="AN25" s="1" t="str">
        <f>IF(OR($B25="",AN$7=""),"",IF($B25="MEANS",INDEX('1-DATA'!$1:$1048576,$A24-1,COLUMN('1-DATA'!AM23)),ROUND(INDEX('1-DATA'!$1:$1048576,IF(OR($B25="STD. DEVIATION",$C$1=1),$A25,$A25+1),COLUMN('1-DATA'!AM23)),IF($B25="STD. DEVIATION",2,$F$1))))</f>
        <v/>
      </c>
      <c r="AO25" s="1" t="str">
        <f>IF(OR($B25="",AO$7=""),"",IF($B25="MEANS",INDEX('1-DATA'!$1:$1048576,$A24-1,COLUMN('1-DATA'!AN23)),ROUND(INDEX('1-DATA'!$1:$1048576,IF(OR($B25="STD. DEVIATION",$C$1=1),$A25,$A25+1),COLUMN('1-DATA'!AN23)),IF($B25="STD. DEVIATION",2,$F$1))))</f>
        <v/>
      </c>
      <c r="AP25" s="1" t="str">
        <f>IF(OR($B25="",AP$7=""),"",IF($B25="MEANS",INDEX('1-DATA'!$1:$1048576,$A24-1,COLUMN('1-DATA'!AO23)),ROUND(INDEX('1-DATA'!$1:$1048576,IF(OR($B25="STD. DEVIATION",$C$1=1),$A25,$A25+1),COLUMN('1-DATA'!AO23)),IF($B25="STD. DEVIATION",2,$F$1))))</f>
        <v/>
      </c>
      <c r="AQ25" s="1" t="str">
        <f>IF(OR($B25="",AQ$7=""),"",IF($B25="MEANS",INDEX('1-DATA'!$1:$1048576,$A24-1,COLUMN('1-DATA'!AP23)),ROUND(INDEX('1-DATA'!$1:$1048576,IF(OR($B25="STD. DEVIATION",$C$1=1),$A25,$A25+1),COLUMN('1-DATA'!AP23)),IF($B25="STD. DEVIATION",2,$F$1))))</f>
        <v/>
      </c>
      <c r="AR25" s="1" t="str">
        <f>IF(OR($B25="",AR$7=""),"",IF($B25="MEANS",INDEX('1-DATA'!$1:$1048576,$A24-1,COLUMN('1-DATA'!AQ23)),ROUND(INDEX('1-DATA'!$1:$1048576,IF(OR($B25="STD. DEVIATION",$C$1=1),$A25,$A25+1),COLUMN('1-DATA'!AQ23)),IF($B25="STD. DEVIATION",2,$F$1))))</f>
        <v/>
      </c>
      <c r="AS25" s="1" t="str">
        <f>IF(OR($B25="",AS$7=""),"",IF($B25="MEANS",INDEX('1-DATA'!$1:$1048576,$A24-1,COLUMN('1-DATA'!AR23)),ROUND(INDEX('1-DATA'!$1:$1048576,IF(OR($B25="STD. DEVIATION",$C$1=1),$A25,$A25+1),COLUMN('1-DATA'!AR23)),IF($B25="STD. DEVIATION",2,$F$1))))</f>
        <v/>
      </c>
      <c r="AT25" s="1" t="str">
        <f>IF(OR($B25="",AT$7=""),"",IF($B25="MEANS",INDEX('1-DATA'!$1:$1048576,$A24-1,COLUMN('1-DATA'!AS23)),ROUND(INDEX('1-DATA'!$1:$1048576,IF(OR($B25="STD. DEVIATION",$C$1=1),$A25,$A25+1),COLUMN('1-DATA'!AS23)),IF($B25="STD. DEVIATION",2,$F$1))))</f>
        <v/>
      </c>
      <c r="AU25" s="1" t="str">
        <f>IF(OR($B25="",AU$7=""),"",IF($B25="MEANS",INDEX('1-DATA'!$1:$1048576,$A24-1,COLUMN('1-DATA'!AT23)),ROUND(INDEX('1-DATA'!$1:$1048576,IF(OR($B25="STD. DEVIATION",$C$1=1),$A25,$A25+1),COLUMN('1-DATA'!AT23)),IF($B25="STD. DEVIATION",2,$F$1))))</f>
        <v/>
      </c>
      <c r="AV25" s="1" t="str">
        <f>IF(OR($B25="",AV$7=""),"",IF($B25="MEANS",INDEX('1-DATA'!$1:$1048576,$A24-1,COLUMN('1-DATA'!AU23)),ROUND(INDEX('1-DATA'!$1:$1048576,IF(OR($B25="STD. DEVIATION",$C$1=1),$A25,$A25+1),COLUMN('1-DATA'!AU23)),IF($B25="STD. DEVIATION",2,$F$1))))</f>
        <v/>
      </c>
      <c r="AW25" s="1" t="str">
        <f>IF(OR($B25="",AW$7=""),"",IF($B25="MEANS",INDEX('1-DATA'!$1:$1048576,$A24-1,COLUMN('1-DATA'!AV23)),ROUND(INDEX('1-DATA'!$1:$1048576,IF(OR($B25="STD. DEVIATION",$C$1=1),$A25,$A25+1),COLUMN('1-DATA'!AV23)),IF($B25="STD. DEVIATION",2,$F$1))))</f>
        <v/>
      </c>
      <c r="AX25" s="1" t="str">
        <f>IF(OR($B25="",AX$7=""),"",IF($B25="MEANS",INDEX('1-DATA'!$1:$1048576,$A24-1,COLUMN('1-DATA'!AW23)),ROUND(INDEX('1-DATA'!$1:$1048576,IF(OR($B25="STD. DEVIATION",$C$1=1),$A25,$A25+1),COLUMN('1-DATA'!AW23)),IF($B25="STD. DEVIATION",2,$F$1))))</f>
        <v/>
      </c>
      <c r="AY25" s="1" t="str">
        <f>IF(OR($B25="",AY$7=""),"",IF($B25="MEANS",INDEX('1-DATA'!$1:$1048576,$A24-1,COLUMN('1-DATA'!AX23)),ROUND(INDEX('1-DATA'!$1:$1048576,IF(OR($B25="STD. DEVIATION",$C$1=1),$A25,$A25+1),COLUMN('1-DATA'!AX23)),IF($B25="STD. DEVIATION",2,$F$1))))</f>
        <v/>
      </c>
      <c r="AZ25" s="1" t="str">
        <f>IF(OR($B25="",AZ$7=""),"",IF($B25="MEANS",INDEX('1-DATA'!$1:$1048576,$A24-1,COLUMN('1-DATA'!AY23)),ROUND(INDEX('1-DATA'!$1:$1048576,IF(OR($B25="STD. DEVIATION",$C$1=1),$A25,$A25+1),COLUMN('1-DATA'!AY23)),IF($B25="STD. DEVIATION",2,$F$1))))</f>
        <v/>
      </c>
    </row>
    <row r="26" spans="1:52" x14ac:dyDescent="0.25">
      <c r="A26" s="11">
        <f t="shared" si="0"/>
        <v>64</v>
      </c>
      <c r="B26" s="1" t="str">
        <f>IF(B25="STD. DEVIATION",INDEX('1-DATA'!$1:$1048576,$A25-1,1),IF(INDEX('1-DATA'!$1:$1048576,$A26,1)&lt;&gt;"",INDEX('1-DATA'!$1:$1048576,$A26,1),""))</f>
        <v/>
      </c>
      <c r="C26" s="1" t="str">
        <f>IF(OR($B26="",C$7=""),"",IF($B26="MEANS",INDEX('1-DATA'!$1:$1048576,$A25-1,COLUMN('1-DATA'!B24)),ROUND(INDEX('1-DATA'!$1:$1048576,IF(OR($B26="STD. DEVIATION",$C$1=1),$A26,$A26+1),COLUMN('1-DATA'!B24)),IF($B26="STD. DEVIATION",2,$F$1))))</f>
        <v/>
      </c>
      <c r="D26" s="1" t="str">
        <f>IF(OR($B26="",D$7=""),"",IF($B26="MEANS",INDEX('1-DATA'!$1:$1048576,$A25-1,COLUMN('1-DATA'!C24)),ROUND(INDEX('1-DATA'!$1:$1048576,IF(OR($B26="STD. DEVIATION",$C$1=1),$A26,$A26+1),COLUMN('1-DATA'!C24)),IF($B26="STD. DEVIATION",2,$F$1))))</f>
        <v/>
      </c>
      <c r="E26" s="1" t="str">
        <f>IF(OR($B26="",E$7=""),"",IF($B26="MEANS",INDEX('1-DATA'!$1:$1048576,$A25-1,COLUMN('1-DATA'!D24)),ROUND(INDEX('1-DATA'!$1:$1048576,IF(OR($B26="STD. DEVIATION",$C$1=1),$A26,$A26+1),COLUMN('1-DATA'!D24)),IF($B26="STD. DEVIATION",2,$F$1))))</f>
        <v/>
      </c>
      <c r="F26" s="1" t="str">
        <f>IF(OR($B26="",F$7=""),"",IF($B26="MEANS",INDEX('1-DATA'!$1:$1048576,$A25-1,COLUMN('1-DATA'!E24)),ROUND(INDEX('1-DATA'!$1:$1048576,IF(OR($B26="STD. DEVIATION",$C$1=1),$A26,$A26+1),COLUMN('1-DATA'!E24)),IF($B26="STD. DEVIATION",2,$F$1))))</f>
        <v/>
      </c>
      <c r="G26" s="1" t="str">
        <f>IF(OR($B26="",G$7=""),"",IF($B26="MEANS",INDEX('1-DATA'!$1:$1048576,$A25-1,COLUMN('1-DATA'!F24)),ROUND(INDEX('1-DATA'!$1:$1048576,IF(OR($B26="STD. DEVIATION",$C$1=1),$A26,$A26+1),COLUMN('1-DATA'!F24)),IF($B26="STD. DEVIATION",2,$F$1))))</f>
        <v/>
      </c>
      <c r="H26" s="1" t="str">
        <f>IF(OR($B26="",H$7=""),"",IF($B26="MEANS",INDEX('1-DATA'!$1:$1048576,$A25-1,COLUMN('1-DATA'!G24)),ROUND(INDEX('1-DATA'!$1:$1048576,IF(OR($B26="STD. DEVIATION",$C$1=1),$A26,$A26+1),COLUMN('1-DATA'!G24)),IF($B26="STD. DEVIATION",2,$F$1))))</f>
        <v/>
      </c>
      <c r="I26" s="1" t="str">
        <f>IF(OR($B26="",I$7=""),"",IF($B26="MEANS",INDEX('1-DATA'!$1:$1048576,$A25-1,COLUMN('1-DATA'!H24)),ROUND(INDEX('1-DATA'!$1:$1048576,IF(OR($B26="STD. DEVIATION",$C$1=1),$A26,$A26+1),COLUMN('1-DATA'!H24)),IF($B26="STD. DEVIATION",2,$F$1))))</f>
        <v/>
      </c>
      <c r="J26" s="1" t="str">
        <f>IF(OR($B26="",J$7=""),"",IF($B26="MEANS",INDEX('1-DATA'!$1:$1048576,$A25-1,COLUMN('1-DATA'!I24)),ROUND(INDEX('1-DATA'!$1:$1048576,IF(OR($B26="STD. DEVIATION",$C$1=1),$A26,$A26+1),COLUMN('1-DATA'!I24)),IF($B26="STD. DEVIATION",2,$F$1))))</f>
        <v/>
      </c>
      <c r="K26" s="1" t="str">
        <f>IF(OR($B26="",K$7=""),"",IF($B26="MEANS",INDEX('1-DATA'!$1:$1048576,$A25-1,COLUMN('1-DATA'!J24)),ROUND(INDEX('1-DATA'!$1:$1048576,IF(OR($B26="STD. DEVIATION",$C$1=1),$A26,$A26+1),COLUMN('1-DATA'!J24)),IF($B26="STD. DEVIATION",2,$F$1))))</f>
        <v/>
      </c>
      <c r="L26" s="1" t="str">
        <f>IF(OR($B26="",L$7=""),"",IF($B26="MEANS",INDEX('1-DATA'!$1:$1048576,$A25-1,COLUMN('1-DATA'!K24)),ROUND(INDEX('1-DATA'!$1:$1048576,IF(OR($B26="STD. DEVIATION",$C$1=1),$A26,$A26+1),COLUMN('1-DATA'!K24)),IF($B26="STD. DEVIATION",2,$F$1))))</f>
        <v/>
      </c>
      <c r="M26" s="1" t="str">
        <f>IF(OR($B26="",M$7=""),"",IF($B26="MEANS",INDEX('1-DATA'!$1:$1048576,$A25-1,COLUMN('1-DATA'!L24)),ROUND(INDEX('1-DATA'!$1:$1048576,IF(OR($B26="STD. DEVIATION",$C$1=1),$A26,$A26+1),COLUMN('1-DATA'!L24)),IF($B26="STD. DEVIATION",2,$F$1))))</f>
        <v/>
      </c>
      <c r="N26" s="1" t="str">
        <f>IF(OR($B26="",N$7=""),"",IF($B26="MEANS",INDEX('1-DATA'!$1:$1048576,$A25-1,COLUMN('1-DATA'!M24)),ROUND(INDEX('1-DATA'!$1:$1048576,IF(OR($B26="STD. DEVIATION",$C$1=1),$A26,$A26+1),COLUMN('1-DATA'!M24)),IF($B26="STD. DEVIATION",2,$F$1))))</f>
        <v/>
      </c>
      <c r="O26" s="1" t="str">
        <f>IF(OR($B26="",O$7=""),"",IF($B26="MEANS",INDEX('1-DATA'!$1:$1048576,$A25-1,COLUMN('1-DATA'!N24)),ROUND(INDEX('1-DATA'!$1:$1048576,IF(OR($B26="STD. DEVIATION",$C$1=1),$A26,$A26+1),COLUMN('1-DATA'!N24)),IF($B26="STD. DEVIATION",2,$F$1))))</f>
        <v/>
      </c>
      <c r="P26" s="1" t="str">
        <f>IF(OR($B26="",P$7=""),"",IF($B26="MEANS",INDEX('1-DATA'!$1:$1048576,$A25-1,COLUMN('1-DATA'!O24)),ROUND(INDEX('1-DATA'!$1:$1048576,IF(OR($B26="STD. DEVIATION",$C$1=1),$A26,$A26+1),COLUMN('1-DATA'!O24)),IF($B26="STD. DEVIATION",2,$F$1))))</f>
        <v/>
      </c>
      <c r="Q26" s="1" t="str">
        <f>IF(OR($B26="",Q$7=""),"",IF($B26="MEANS",INDEX('1-DATA'!$1:$1048576,$A25-1,COLUMN('1-DATA'!P24)),ROUND(INDEX('1-DATA'!$1:$1048576,IF(OR($B26="STD. DEVIATION",$C$1=1),$A26,$A26+1),COLUMN('1-DATA'!P24)),IF($B26="STD. DEVIATION",2,$F$1))))</f>
        <v/>
      </c>
      <c r="R26" s="1" t="str">
        <f>IF(OR($B26="",R$7=""),"",IF($B26="MEANS",INDEX('1-DATA'!$1:$1048576,$A25-1,COLUMN('1-DATA'!Q24)),ROUND(INDEX('1-DATA'!$1:$1048576,IF(OR($B26="STD. DEVIATION",$C$1=1),$A26,$A26+1),COLUMN('1-DATA'!Q24)),IF($B26="STD. DEVIATION",2,$F$1))))</f>
        <v/>
      </c>
      <c r="S26" s="1" t="str">
        <f>IF(OR($B26="",S$7=""),"",IF($B26="MEANS",INDEX('1-DATA'!$1:$1048576,$A25-1,COLUMN('1-DATA'!R24)),ROUND(INDEX('1-DATA'!$1:$1048576,IF(OR($B26="STD. DEVIATION",$C$1=1),$A26,$A26+1),COLUMN('1-DATA'!R24)),IF($B26="STD. DEVIATION",2,$F$1))))</f>
        <v/>
      </c>
      <c r="T26" s="1" t="str">
        <f>IF(OR($B26="",T$7=""),"",IF($B26="MEANS",INDEX('1-DATA'!$1:$1048576,$A25-1,COLUMN('1-DATA'!S24)),ROUND(INDEX('1-DATA'!$1:$1048576,IF(OR($B26="STD. DEVIATION",$C$1=1),$A26,$A26+1),COLUMN('1-DATA'!S24)),IF($B26="STD. DEVIATION",2,$F$1))))</f>
        <v/>
      </c>
      <c r="U26" s="1" t="str">
        <f>IF(OR($B26="",U$7=""),"",IF($B26="MEANS",INDEX('1-DATA'!$1:$1048576,$A25-1,COLUMN('1-DATA'!T24)),ROUND(INDEX('1-DATA'!$1:$1048576,IF(OR($B26="STD. DEVIATION",$C$1=1),$A26,$A26+1),COLUMN('1-DATA'!T24)),IF($B26="STD. DEVIATION",2,$F$1))))</f>
        <v/>
      </c>
      <c r="V26" s="1" t="str">
        <f>IF(OR($B26="",V$7=""),"",IF($B26="MEANS",INDEX('1-DATA'!$1:$1048576,$A25-1,COLUMN('1-DATA'!U24)),ROUND(INDEX('1-DATA'!$1:$1048576,IF(OR($B26="STD. DEVIATION",$C$1=1),$A26,$A26+1),COLUMN('1-DATA'!U24)),IF($B26="STD. DEVIATION",2,$F$1))))</f>
        <v/>
      </c>
      <c r="W26" s="1" t="str">
        <f>IF(OR($B26="",W$7=""),"",IF($B26="MEANS",INDEX('1-DATA'!$1:$1048576,$A25-1,COLUMN('1-DATA'!V24)),ROUND(INDEX('1-DATA'!$1:$1048576,IF(OR($B26="STD. DEVIATION",$C$1=1),$A26,$A26+1),COLUMN('1-DATA'!V24)),IF($B26="STD. DEVIATION",2,$F$1))))</f>
        <v/>
      </c>
      <c r="X26" s="1" t="str">
        <f>IF(OR($B26="",X$7=""),"",IF($B26="MEANS",INDEX('1-DATA'!$1:$1048576,$A25-1,COLUMN('1-DATA'!W24)),ROUND(INDEX('1-DATA'!$1:$1048576,IF(OR($B26="STD. DEVIATION",$C$1=1),$A26,$A26+1),COLUMN('1-DATA'!W24)),IF($B26="STD. DEVIATION",2,$F$1))))</f>
        <v/>
      </c>
      <c r="Y26" s="1" t="str">
        <f>IF(OR($B26="",Y$7=""),"",IF($B26="MEANS",INDEX('1-DATA'!$1:$1048576,$A25-1,COLUMN('1-DATA'!X24)),ROUND(INDEX('1-DATA'!$1:$1048576,IF(OR($B26="STD. DEVIATION",$C$1=1),$A26,$A26+1),COLUMN('1-DATA'!X24)),IF($B26="STD. DEVIATION",2,$F$1))))</f>
        <v/>
      </c>
      <c r="Z26" s="1" t="str">
        <f>IF(OR($B26="",Z$7=""),"",IF($B26="MEANS",INDEX('1-DATA'!$1:$1048576,$A25-1,COLUMN('1-DATA'!Y24)),ROUND(INDEX('1-DATA'!$1:$1048576,IF(OR($B26="STD. DEVIATION",$C$1=1),$A26,$A26+1),COLUMN('1-DATA'!Y24)),IF($B26="STD. DEVIATION",2,$F$1))))</f>
        <v/>
      </c>
      <c r="AA26" s="1" t="str">
        <f>IF(OR($B26="",AA$7=""),"",IF($B26="MEANS",INDEX('1-DATA'!$1:$1048576,$A25-1,COLUMN('1-DATA'!Z24)),ROUND(INDEX('1-DATA'!$1:$1048576,IF(OR($B26="STD. DEVIATION",$C$1=1),$A26,$A26+1),COLUMN('1-DATA'!Z24)),IF($B26="STD. DEVIATION",2,$F$1))))</f>
        <v/>
      </c>
      <c r="AB26" s="1" t="str">
        <f>IF(OR($B26="",AB$7=""),"",IF($B26="MEANS",INDEX('1-DATA'!$1:$1048576,$A25-1,COLUMN('1-DATA'!AA24)),ROUND(INDEX('1-DATA'!$1:$1048576,IF(OR($B26="STD. DEVIATION",$C$1=1),$A26,$A26+1),COLUMN('1-DATA'!AA24)),IF($B26="STD. DEVIATION",2,$F$1))))</f>
        <v/>
      </c>
      <c r="AC26" s="1" t="str">
        <f>IF(OR($B26="",AC$7=""),"",IF($B26="MEANS",INDEX('1-DATA'!$1:$1048576,$A25-1,COLUMN('1-DATA'!AB24)),ROUND(INDEX('1-DATA'!$1:$1048576,IF(OR($B26="STD. DEVIATION",$C$1=1),$A26,$A26+1),COLUMN('1-DATA'!AB24)),IF($B26="STD. DEVIATION",2,$F$1))))</f>
        <v/>
      </c>
      <c r="AD26" s="1" t="str">
        <f>IF(OR($B26="",AD$7=""),"",IF($B26="MEANS",INDEX('1-DATA'!$1:$1048576,$A25-1,COLUMN('1-DATA'!AC24)),ROUND(INDEX('1-DATA'!$1:$1048576,IF(OR($B26="STD. DEVIATION",$C$1=1),$A26,$A26+1),COLUMN('1-DATA'!AC24)),IF($B26="STD. DEVIATION",2,$F$1))))</f>
        <v/>
      </c>
      <c r="AE26" s="1" t="str">
        <f>IF(OR($B26="",AE$7=""),"",IF($B26="MEANS",INDEX('1-DATA'!$1:$1048576,$A25-1,COLUMN('1-DATA'!AD24)),ROUND(INDEX('1-DATA'!$1:$1048576,IF(OR($B26="STD. DEVIATION",$C$1=1),$A26,$A26+1),COLUMN('1-DATA'!AD24)),IF($B26="STD. DEVIATION",2,$F$1))))</f>
        <v/>
      </c>
      <c r="AF26" s="1" t="str">
        <f>IF(OR($B26="",AF$7=""),"",IF($B26="MEANS",INDEX('1-DATA'!$1:$1048576,$A25-1,COLUMN('1-DATA'!AE24)),ROUND(INDEX('1-DATA'!$1:$1048576,IF(OR($B26="STD. DEVIATION",$C$1=1),$A26,$A26+1),COLUMN('1-DATA'!AE24)),IF($B26="STD. DEVIATION",2,$F$1))))</f>
        <v/>
      </c>
      <c r="AG26" s="1" t="str">
        <f>IF(OR($B26="",AG$7=""),"",IF($B26="MEANS",INDEX('1-DATA'!$1:$1048576,$A25-1,COLUMN('1-DATA'!AF24)),ROUND(INDEX('1-DATA'!$1:$1048576,IF(OR($B26="STD. DEVIATION",$C$1=1),$A26,$A26+1),COLUMN('1-DATA'!AF24)),IF($B26="STD. DEVIATION",2,$F$1))))</f>
        <v/>
      </c>
      <c r="AH26" s="1" t="str">
        <f>IF(OR($B26="",AH$7=""),"",IF($B26="MEANS",INDEX('1-DATA'!$1:$1048576,$A25-1,COLUMN('1-DATA'!AG24)),ROUND(INDEX('1-DATA'!$1:$1048576,IF(OR($B26="STD. DEVIATION",$C$1=1),$A26,$A26+1),COLUMN('1-DATA'!AG24)),IF($B26="STD. DEVIATION",2,$F$1))))</f>
        <v/>
      </c>
      <c r="AI26" s="1" t="str">
        <f>IF(OR($B26="",AI$7=""),"",IF($B26="MEANS",INDEX('1-DATA'!$1:$1048576,$A25-1,COLUMN('1-DATA'!AH24)),ROUND(INDEX('1-DATA'!$1:$1048576,IF(OR($B26="STD. DEVIATION",$C$1=1),$A26,$A26+1),COLUMN('1-DATA'!AH24)),IF($B26="STD. DEVIATION",2,$F$1))))</f>
        <v/>
      </c>
      <c r="AJ26" s="1" t="str">
        <f>IF(OR($B26="",AJ$7=""),"",IF($B26="MEANS",INDEX('1-DATA'!$1:$1048576,$A25-1,COLUMN('1-DATA'!AI24)),ROUND(INDEX('1-DATA'!$1:$1048576,IF(OR($B26="STD. DEVIATION",$C$1=1),$A26,$A26+1),COLUMN('1-DATA'!AI24)),IF($B26="STD. DEVIATION",2,$F$1))))</f>
        <v/>
      </c>
      <c r="AK26" s="1" t="str">
        <f>IF(OR($B26="",AK$7=""),"",IF($B26="MEANS",INDEX('1-DATA'!$1:$1048576,$A25-1,COLUMN('1-DATA'!AJ24)),ROUND(INDEX('1-DATA'!$1:$1048576,IF(OR($B26="STD. DEVIATION",$C$1=1),$A26,$A26+1),COLUMN('1-DATA'!AJ24)),IF($B26="STD. DEVIATION",2,$F$1))))</f>
        <v/>
      </c>
      <c r="AL26" s="1" t="str">
        <f>IF(OR($B26="",AL$7=""),"",IF($B26="MEANS",INDEX('1-DATA'!$1:$1048576,$A25-1,COLUMN('1-DATA'!AK24)),ROUND(INDEX('1-DATA'!$1:$1048576,IF(OR($B26="STD. DEVIATION",$C$1=1),$A26,$A26+1),COLUMN('1-DATA'!AK24)),IF($B26="STD. DEVIATION",2,$F$1))))</f>
        <v/>
      </c>
      <c r="AM26" s="1" t="str">
        <f>IF(OR($B26="",AM$7=""),"",IF($B26="MEANS",INDEX('1-DATA'!$1:$1048576,$A25-1,COLUMN('1-DATA'!AL24)),ROUND(INDEX('1-DATA'!$1:$1048576,IF(OR($B26="STD. DEVIATION",$C$1=1),$A26,$A26+1),COLUMN('1-DATA'!AL24)),IF($B26="STD. DEVIATION",2,$F$1))))</f>
        <v/>
      </c>
      <c r="AN26" s="1" t="str">
        <f>IF(OR($B26="",AN$7=""),"",IF($B26="MEANS",INDEX('1-DATA'!$1:$1048576,$A25-1,COLUMN('1-DATA'!AM24)),ROUND(INDEX('1-DATA'!$1:$1048576,IF(OR($B26="STD. DEVIATION",$C$1=1),$A26,$A26+1),COLUMN('1-DATA'!AM24)),IF($B26="STD. DEVIATION",2,$F$1))))</f>
        <v/>
      </c>
      <c r="AO26" s="1" t="str">
        <f>IF(OR($B26="",AO$7=""),"",IF($B26="MEANS",INDEX('1-DATA'!$1:$1048576,$A25-1,COLUMN('1-DATA'!AN24)),ROUND(INDEX('1-DATA'!$1:$1048576,IF(OR($B26="STD. DEVIATION",$C$1=1),$A26,$A26+1),COLUMN('1-DATA'!AN24)),IF($B26="STD. DEVIATION",2,$F$1))))</f>
        <v/>
      </c>
      <c r="AP26" s="1" t="str">
        <f>IF(OR($B26="",AP$7=""),"",IF($B26="MEANS",INDEX('1-DATA'!$1:$1048576,$A25-1,COLUMN('1-DATA'!AO24)),ROUND(INDEX('1-DATA'!$1:$1048576,IF(OR($B26="STD. DEVIATION",$C$1=1),$A26,$A26+1),COLUMN('1-DATA'!AO24)),IF($B26="STD. DEVIATION",2,$F$1))))</f>
        <v/>
      </c>
      <c r="AQ26" s="1" t="str">
        <f>IF(OR($B26="",AQ$7=""),"",IF($B26="MEANS",INDEX('1-DATA'!$1:$1048576,$A25-1,COLUMN('1-DATA'!AP24)),ROUND(INDEX('1-DATA'!$1:$1048576,IF(OR($B26="STD. DEVIATION",$C$1=1),$A26,$A26+1),COLUMN('1-DATA'!AP24)),IF($B26="STD. DEVIATION",2,$F$1))))</f>
        <v/>
      </c>
      <c r="AR26" s="1" t="str">
        <f>IF(OR($B26="",AR$7=""),"",IF($B26="MEANS",INDEX('1-DATA'!$1:$1048576,$A25-1,COLUMN('1-DATA'!AQ24)),ROUND(INDEX('1-DATA'!$1:$1048576,IF(OR($B26="STD. DEVIATION",$C$1=1),$A26,$A26+1),COLUMN('1-DATA'!AQ24)),IF($B26="STD. DEVIATION",2,$F$1))))</f>
        <v/>
      </c>
      <c r="AS26" s="1" t="str">
        <f>IF(OR($B26="",AS$7=""),"",IF($B26="MEANS",INDEX('1-DATA'!$1:$1048576,$A25-1,COLUMN('1-DATA'!AR24)),ROUND(INDEX('1-DATA'!$1:$1048576,IF(OR($B26="STD. DEVIATION",$C$1=1),$A26,$A26+1),COLUMN('1-DATA'!AR24)),IF($B26="STD. DEVIATION",2,$F$1))))</f>
        <v/>
      </c>
      <c r="AT26" s="1" t="str">
        <f>IF(OR($B26="",AT$7=""),"",IF($B26="MEANS",INDEX('1-DATA'!$1:$1048576,$A25-1,COLUMN('1-DATA'!AS24)),ROUND(INDEX('1-DATA'!$1:$1048576,IF(OR($B26="STD. DEVIATION",$C$1=1),$A26,$A26+1),COLUMN('1-DATA'!AS24)),IF($B26="STD. DEVIATION",2,$F$1))))</f>
        <v/>
      </c>
      <c r="AU26" s="1" t="str">
        <f>IF(OR($B26="",AU$7=""),"",IF($B26="MEANS",INDEX('1-DATA'!$1:$1048576,$A25-1,COLUMN('1-DATA'!AT24)),ROUND(INDEX('1-DATA'!$1:$1048576,IF(OR($B26="STD. DEVIATION",$C$1=1),$A26,$A26+1),COLUMN('1-DATA'!AT24)),IF($B26="STD. DEVIATION",2,$F$1))))</f>
        <v/>
      </c>
      <c r="AV26" s="1" t="str">
        <f>IF(OR($B26="",AV$7=""),"",IF($B26="MEANS",INDEX('1-DATA'!$1:$1048576,$A25-1,COLUMN('1-DATA'!AU24)),ROUND(INDEX('1-DATA'!$1:$1048576,IF(OR($B26="STD. DEVIATION",$C$1=1),$A26,$A26+1),COLUMN('1-DATA'!AU24)),IF($B26="STD. DEVIATION",2,$F$1))))</f>
        <v/>
      </c>
      <c r="AW26" s="1" t="str">
        <f>IF(OR($B26="",AW$7=""),"",IF($B26="MEANS",INDEX('1-DATA'!$1:$1048576,$A25-1,COLUMN('1-DATA'!AV24)),ROUND(INDEX('1-DATA'!$1:$1048576,IF(OR($B26="STD. DEVIATION",$C$1=1),$A26,$A26+1),COLUMN('1-DATA'!AV24)),IF($B26="STD. DEVIATION",2,$F$1))))</f>
        <v/>
      </c>
      <c r="AX26" s="1" t="str">
        <f>IF(OR($B26="",AX$7=""),"",IF($B26="MEANS",INDEX('1-DATA'!$1:$1048576,$A25-1,COLUMN('1-DATA'!AW24)),ROUND(INDEX('1-DATA'!$1:$1048576,IF(OR($B26="STD. DEVIATION",$C$1=1),$A26,$A26+1),COLUMN('1-DATA'!AW24)),IF($B26="STD. DEVIATION",2,$F$1))))</f>
        <v/>
      </c>
      <c r="AY26" s="1" t="str">
        <f>IF(OR($B26="",AY$7=""),"",IF($B26="MEANS",INDEX('1-DATA'!$1:$1048576,$A25-1,COLUMN('1-DATA'!AX24)),ROUND(INDEX('1-DATA'!$1:$1048576,IF(OR($B26="STD. DEVIATION",$C$1=1),$A26,$A26+1),COLUMN('1-DATA'!AX24)),IF($B26="STD. DEVIATION",2,$F$1))))</f>
        <v/>
      </c>
      <c r="AZ26" s="1" t="str">
        <f>IF(OR($B26="",AZ$7=""),"",IF($B26="MEANS",INDEX('1-DATA'!$1:$1048576,$A25-1,COLUMN('1-DATA'!AY24)),ROUND(INDEX('1-DATA'!$1:$1048576,IF(OR($B26="STD. DEVIATION",$C$1=1),$A26,$A26+1),COLUMN('1-DATA'!AY24)),IF($B26="STD. DEVIATION",2,$F$1))))</f>
        <v/>
      </c>
    </row>
    <row r="27" spans="1:52" x14ac:dyDescent="0.25">
      <c r="A27" s="11">
        <f t="shared" si="0"/>
        <v>67</v>
      </c>
      <c r="B27" s="1" t="str">
        <f>IF(B26="STD. DEVIATION",INDEX('1-DATA'!$1:$1048576,$A26-1,1),IF(INDEX('1-DATA'!$1:$1048576,$A27,1)&lt;&gt;"",INDEX('1-DATA'!$1:$1048576,$A27,1),""))</f>
        <v/>
      </c>
      <c r="C27" s="1" t="str">
        <f>IF(OR($B27="",C$7=""),"",IF($B27="MEANS",INDEX('1-DATA'!$1:$1048576,$A26-1,COLUMN('1-DATA'!B25)),ROUND(INDEX('1-DATA'!$1:$1048576,IF(OR($B27="STD. DEVIATION",$C$1=1),$A27,$A27+1),COLUMN('1-DATA'!B25)),IF($B27="STD. DEVIATION",2,$F$1))))</f>
        <v/>
      </c>
      <c r="D27" s="1" t="str">
        <f>IF(OR($B27="",D$7=""),"",IF($B27="MEANS",INDEX('1-DATA'!$1:$1048576,$A26-1,COLUMN('1-DATA'!C25)),ROUND(INDEX('1-DATA'!$1:$1048576,IF(OR($B27="STD. DEVIATION",$C$1=1),$A27,$A27+1),COLUMN('1-DATA'!C25)),IF($B27="STD. DEVIATION",2,$F$1))))</f>
        <v/>
      </c>
      <c r="E27" s="1" t="str">
        <f>IF(OR($B27="",E$7=""),"",IF($B27="MEANS",INDEX('1-DATA'!$1:$1048576,$A26-1,COLUMN('1-DATA'!D25)),ROUND(INDEX('1-DATA'!$1:$1048576,IF(OR($B27="STD. DEVIATION",$C$1=1),$A27,$A27+1),COLUMN('1-DATA'!D25)),IF($B27="STD. DEVIATION",2,$F$1))))</f>
        <v/>
      </c>
      <c r="F27" s="1" t="str">
        <f>IF(OR($B27="",F$7=""),"",IF($B27="MEANS",INDEX('1-DATA'!$1:$1048576,$A26-1,COLUMN('1-DATA'!E25)),ROUND(INDEX('1-DATA'!$1:$1048576,IF(OR($B27="STD. DEVIATION",$C$1=1),$A27,$A27+1),COLUMN('1-DATA'!E25)),IF($B27="STD. DEVIATION",2,$F$1))))</f>
        <v/>
      </c>
      <c r="G27" s="1" t="str">
        <f>IF(OR($B27="",G$7=""),"",IF($B27="MEANS",INDEX('1-DATA'!$1:$1048576,$A26-1,COLUMN('1-DATA'!F25)),ROUND(INDEX('1-DATA'!$1:$1048576,IF(OR($B27="STD. DEVIATION",$C$1=1),$A27,$A27+1),COLUMN('1-DATA'!F25)),IF($B27="STD. DEVIATION",2,$F$1))))</f>
        <v/>
      </c>
      <c r="H27" s="1" t="str">
        <f>IF(OR($B27="",H$7=""),"",IF($B27="MEANS",INDEX('1-DATA'!$1:$1048576,$A26-1,COLUMN('1-DATA'!G25)),ROUND(INDEX('1-DATA'!$1:$1048576,IF(OR($B27="STD. DEVIATION",$C$1=1),$A27,$A27+1),COLUMN('1-DATA'!G25)),IF($B27="STD. DEVIATION",2,$F$1))))</f>
        <v/>
      </c>
      <c r="I27" s="1" t="str">
        <f>IF(OR($B27="",I$7=""),"",IF($B27="MEANS",INDEX('1-DATA'!$1:$1048576,$A26-1,COLUMN('1-DATA'!H25)),ROUND(INDEX('1-DATA'!$1:$1048576,IF(OR($B27="STD. DEVIATION",$C$1=1),$A27,$A27+1),COLUMN('1-DATA'!H25)),IF($B27="STD. DEVIATION",2,$F$1))))</f>
        <v/>
      </c>
      <c r="J27" s="1" t="str">
        <f>IF(OR($B27="",J$7=""),"",IF($B27="MEANS",INDEX('1-DATA'!$1:$1048576,$A26-1,COLUMN('1-DATA'!I25)),ROUND(INDEX('1-DATA'!$1:$1048576,IF(OR($B27="STD. DEVIATION",$C$1=1),$A27,$A27+1),COLUMN('1-DATA'!I25)),IF($B27="STD. DEVIATION",2,$F$1))))</f>
        <v/>
      </c>
      <c r="K27" s="1" t="str">
        <f>IF(OR($B27="",K$7=""),"",IF($B27="MEANS",INDEX('1-DATA'!$1:$1048576,$A26-1,COLUMN('1-DATA'!J25)),ROUND(INDEX('1-DATA'!$1:$1048576,IF(OR($B27="STD. DEVIATION",$C$1=1),$A27,$A27+1),COLUMN('1-DATA'!J25)),IF($B27="STD. DEVIATION",2,$F$1))))</f>
        <v/>
      </c>
      <c r="L27" s="1" t="str">
        <f>IF(OR($B27="",L$7=""),"",IF($B27="MEANS",INDEX('1-DATA'!$1:$1048576,$A26-1,COLUMN('1-DATA'!K25)),ROUND(INDEX('1-DATA'!$1:$1048576,IF(OR($B27="STD. DEVIATION",$C$1=1),$A27,$A27+1),COLUMN('1-DATA'!K25)),IF($B27="STD. DEVIATION",2,$F$1))))</f>
        <v/>
      </c>
      <c r="M27" s="1" t="str">
        <f>IF(OR($B27="",M$7=""),"",IF($B27="MEANS",INDEX('1-DATA'!$1:$1048576,$A26-1,COLUMN('1-DATA'!L25)),ROUND(INDEX('1-DATA'!$1:$1048576,IF(OR($B27="STD. DEVIATION",$C$1=1),$A27,$A27+1),COLUMN('1-DATA'!L25)),IF($B27="STD. DEVIATION",2,$F$1))))</f>
        <v/>
      </c>
      <c r="N27" s="1" t="str">
        <f>IF(OR($B27="",N$7=""),"",IF($B27="MEANS",INDEX('1-DATA'!$1:$1048576,$A26-1,COLUMN('1-DATA'!M25)),ROUND(INDEX('1-DATA'!$1:$1048576,IF(OR($B27="STD. DEVIATION",$C$1=1),$A27,$A27+1),COLUMN('1-DATA'!M25)),IF($B27="STD. DEVIATION",2,$F$1))))</f>
        <v/>
      </c>
      <c r="O27" s="1" t="str">
        <f>IF(OR($B27="",O$7=""),"",IF($B27="MEANS",INDEX('1-DATA'!$1:$1048576,$A26-1,COLUMN('1-DATA'!N25)),ROUND(INDEX('1-DATA'!$1:$1048576,IF(OR($B27="STD. DEVIATION",$C$1=1),$A27,$A27+1),COLUMN('1-DATA'!N25)),IF($B27="STD. DEVIATION",2,$F$1))))</f>
        <v/>
      </c>
      <c r="P27" s="1" t="str">
        <f>IF(OR($B27="",P$7=""),"",IF($B27="MEANS",INDEX('1-DATA'!$1:$1048576,$A26-1,COLUMN('1-DATA'!O25)),ROUND(INDEX('1-DATA'!$1:$1048576,IF(OR($B27="STD. DEVIATION",$C$1=1),$A27,$A27+1),COLUMN('1-DATA'!O25)),IF($B27="STD. DEVIATION",2,$F$1))))</f>
        <v/>
      </c>
      <c r="Q27" s="1" t="str">
        <f>IF(OR($B27="",Q$7=""),"",IF($B27="MEANS",INDEX('1-DATA'!$1:$1048576,$A26-1,COLUMN('1-DATA'!P25)),ROUND(INDEX('1-DATA'!$1:$1048576,IF(OR($B27="STD. DEVIATION",$C$1=1),$A27,$A27+1),COLUMN('1-DATA'!P25)),IF($B27="STD. DEVIATION",2,$F$1))))</f>
        <v/>
      </c>
      <c r="R27" s="1" t="str">
        <f>IF(OR($B27="",R$7=""),"",IF($B27="MEANS",INDEX('1-DATA'!$1:$1048576,$A26-1,COLUMN('1-DATA'!Q25)),ROUND(INDEX('1-DATA'!$1:$1048576,IF(OR($B27="STD. DEVIATION",$C$1=1),$A27,$A27+1),COLUMN('1-DATA'!Q25)),IF($B27="STD. DEVIATION",2,$F$1))))</f>
        <v/>
      </c>
      <c r="S27" s="1" t="str">
        <f>IF(OR($B27="",S$7=""),"",IF($B27="MEANS",INDEX('1-DATA'!$1:$1048576,$A26-1,COLUMN('1-DATA'!R25)),ROUND(INDEX('1-DATA'!$1:$1048576,IF(OR($B27="STD. DEVIATION",$C$1=1),$A27,$A27+1),COLUMN('1-DATA'!R25)),IF($B27="STD. DEVIATION",2,$F$1))))</f>
        <v/>
      </c>
      <c r="T27" s="1" t="str">
        <f>IF(OR($B27="",T$7=""),"",IF($B27="MEANS",INDEX('1-DATA'!$1:$1048576,$A26-1,COLUMN('1-DATA'!S25)),ROUND(INDEX('1-DATA'!$1:$1048576,IF(OR($B27="STD. DEVIATION",$C$1=1),$A27,$A27+1),COLUMN('1-DATA'!S25)),IF($B27="STD. DEVIATION",2,$F$1))))</f>
        <v/>
      </c>
      <c r="U27" s="1" t="str">
        <f>IF(OR($B27="",U$7=""),"",IF($B27="MEANS",INDEX('1-DATA'!$1:$1048576,$A26-1,COLUMN('1-DATA'!T25)),ROUND(INDEX('1-DATA'!$1:$1048576,IF(OR($B27="STD. DEVIATION",$C$1=1),$A27,$A27+1),COLUMN('1-DATA'!T25)),IF($B27="STD. DEVIATION",2,$F$1))))</f>
        <v/>
      </c>
      <c r="V27" s="1" t="str">
        <f>IF(OR($B27="",V$7=""),"",IF($B27="MEANS",INDEX('1-DATA'!$1:$1048576,$A26-1,COLUMN('1-DATA'!U25)),ROUND(INDEX('1-DATA'!$1:$1048576,IF(OR($B27="STD. DEVIATION",$C$1=1),$A27,$A27+1),COLUMN('1-DATA'!U25)),IF($B27="STD. DEVIATION",2,$F$1))))</f>
        <v/>
      </c>
      <c r="W27" s="1" t="str">
        <f>IF(OR($B27="",W$7=""),"",IF($B27="MEANS",INDEX('1-DATA'!$1:$1048576,$A26-1,COLUMN('1-DATA'!V25)),ROUND(INDEX('1-DATA'!$1:$1048576,IF(OR($B27="STD. DEVIATION",$C$1=1),$A27,$A27+1),COLUMN('1-DATA'!V25)),IF($B27="STD. DEVIATION",2,$F$1))))</f>
        <v/>
      </c>
      <c r="X27" s="1" t="str">
        <f>IF(OR($B27="",X$7=""),"",IF($B27="MEANS",INDEX('1-DATA'!$1:$1048576,$A26-1,COLUMN('1-DATA'!W25)),ROUND(INDEX('1-DATA'!$1:$1048576,IF(OR($B27="STD. DEVIATION",$C$1=1),$A27,$A27+1),COLUMN('1-DATA'!W25)),IF($B27="STD. DEVIATION",2,$F$1))))</f>
        <v/>
      </c>
      <c r="Y27" s="1" t="str">
        <f>IF(OR($B27="",Y$7=""),"",IF($B27="MEANS",INDEX('1-DATA'!$1:$1048576,$A26-1,COLUMN('1-DATA'!X25)),ROUND(INDEX('1-DATA'!$1:$1048576,IF(OR($B27="STD. DEVIATION",$C$1=1),$A27,$A27+1),COLUMN('1-DATA'!X25)),IF($B27="STD. DEVIATION",2,$F$1))))</f>
        <v/>
      </c>
      <c r="Z27" s="1" t="str">
        <f>IF(OR($B27="",Z$7=""),"",IF($B27="MEANS",INDEX('1-DATA'!$1:$1048576,$A26-1,COLUMN('1-DATA'!Y25)),ROUND(INDEX('1-DATA'!$1:$1048576,IF(OR($B27="STD. DEVIATION",$C$1=1),$A27,$A27+1),COLUMN('1-DATA'!Y25)),IF($B27="STD. DEVIATION",2,$F$1))))</f>
        <v/>
      </c>
      <c r="AA27" s="1" t="str">
        <f>IF(OR($B27="",AA$7=""),"",IF($B27="MEANS",INDEX('1-DATA'!$1:$1048576,$A26-1,COLUMN('1-DATA'!Z25)),ROUND(INDEX('1-DATA'!$1:$1048576,IF(OR($B27="STD. DEVIATION",$C$1=1),$A27,$A27+1),COLUMN('1-DATA'!Z25)),IF($B27="STD. DEVIATION",2,$F$1))))</f>
        <v/>
      </c>
      <c r="AB27" s="1" t="str">
        <f>IF(OR($B27="",AB$7=""),"",IF($B27="MEANS",INDEX('1-DATA'!$1:$1048576,$A26-1,COLUMN('1-DATA'!AA25)),ROUND(INDEX('1-DATA'!$1:$1048576,IF(OR($B27="STD. DEVIATION",$C$1=1),$A27,$A27+1),COLUMN('1-DATA'!AA25)),IF($B27="STD. DEVIATION",2,$F$1))))</f>
        <v/>
      </c>
      <c r="AC27" s="1" t="str">
        <f>IF(OR($B27="",AC$7=""),"",IF($B27="MEANS",INDEX('1-DATA'!$1:$1048576,$A26-1,COLUMN('1-DATA'!AB25)),ROUND(INDEX('1-DATA'!$1:$1048576,IF(OR($B27="STD. DEVIATION",$C$1=1),$A27,$A27+1),COLUMN('1-DATA'!AB25)),IF($B27="STD. DEVIATION",2,$F$1))))</f>
        <v/>
      </c>
      <c r="AD27" s="1" t="str">
        <f>IF(OR($B27="",AD$7=""),"",IF($B27="MEANS",INDEX('1-DATA'!$1:$1048576,$A26-1,COLUMN('1-DATA'!AC25)),ROUND(INDEX('1-DATA'!$1:$1048576,IF(OR($B27="STD. DEVIATION",$C$1=1),$A27,$A27+1),COLUMN('1-DATA'!AC25)),IF($B27="STD. DEVIATION",2,$F$1))))</f>
        <v/>
      </c>
      <c r="AE27" s="1" t="str">
        <f>IF(OR($B27="",AE$7=""),"",IF($B27="MEANS",INDEX('1-DATA'!$1:$1048576,$A26-1,COLUMN('1-DATA'!AD25)),ROUND(INDEX('1-DATA'!$1:$1048576,IF(OR($B27="STD. DEVIATION",$C$1=1),$A27,$A27+1),COLUMN('1-DATA'!AD25)),IF($B27="STD. DEVIATION",2,$F$1))))</f>
        <v/>
      </c>
      <c r="AF27" s="1" t="str">
        <f>IF(OR($B27="",AF$7=""),"",IF($B27="MEANS",INDEX('1-DATA'!$1:$1048576,$A26-1,COLUMN('1-DATA'!AE25)),ROUND(INDEX('1-DATA'!$1:$1048576,IF(OR($B27="STD. DEVIATION",$C$1=1),$A27,$A27+1),COLUMN('1-DATA'!AE25)),IF($B27="STD. DEVIATION",2,$F$1))))</f>
        <v/>
      </c>
      <c r="AG27" s="1" t="str">
        <f>IF(OR($B27="",AG$7=""),"",IF($B27="MEANS",INDEX('1-DATA'!$1:$1048576,$A26-1,COLUMN('1-DATA'!AF25)),ROUND(INDEX('1-DATA'!$1:$1048576,IF(OR($B27="STD. DEVIATION",$C$1=1),$A27,$A27+1),COLUMN('1-DATA'!AF25)),IF($B27="STD. DEVIATION",2,$F$1))))</f>
        <v/>
      </c>
      <c r="AH27" s="1" t="str">
        <f>IF(OR($B27="",AH$7=""),"",IF($B27="MEANS",INDEX('1-DATA'!$1:$1048576,$A26-1,COLUMN('1-DATA'!AG25)),ROUND(INDEX('1-DATA'!$1:$1048576,IF(OR($B27="STD. DEVIATION",$C$1=1),$A27,$A27+1),COLUMN('1-DATA'!AG25)),IF($B27="STD. DEVIATION",2,$F$1))))</f>
        <v/>
      </c>
      <c r="AI27" s="1" t="str">
        <f>IF(OR($B27="",AI$7=""),"",IF($B27="MEANS",INDEX('1-DATA'!$1:$1048576,$A26-1,COLUMN('1-DATA'!AH25)),ROUND(INDEX('1-DATA'!$1:$1048576,IF(OR($B27="STD. DEVIATION",$C$1=1),$A27,$A27+1),COLUMN('1-DATA'!AH25)),IF($B27="STD. DEVIATION",2,$F$1))))</f>
        <v/>
      </c>
      <c r="AJ27" s="1" t="str">
        <f>IF(OR($B27="",AJ$7=""),"",IF($B27="MEANS",INDEX('1-DATA'!$1:$1048576,$A26-1,COLUMN('1-DATA'!AI25)),ROUND(INDEX('1-DATA'!$1:$1048576,IF(OR($B27="STD. DEVIATION",$C$1=1),$A27,$A27+1),COLUMN('1-DATA'!AI25)),IF($B27="STD. DEVIATION",2,$F$1))))</f>
        <v/>
      </c>
      <c r="AK27" s="1" t="str">
        <f>IF(OR($B27="",AK$7=""),"",IF($B27="MEANS",INDEX('1-DATA'!$1:$1048576,$A26-1,COLUMN('1-DATA'!AJ25)),ROUND(INDEX('1-DATA'!$1:$1048576,IF(OR($B27="STD. DEVIATION",$C$1=1),$A27,$A27+1),COLUMN('1-DATA'!AJ25)),IF($B27="STD. DEVIATION",2,$F$1))))</f>
        <v/>
      </c>
      <c r="AL27" s="1" t="str">
        <f>IF(OR($B27="",AL$7=""),"",IF($B27="MEANS",INDEX('1-DATA'!$1:$1048576,$A26-1,COLUMN('1-DATA'!AK25)),ROUND(INDEX('1-DATA'!$1:$1048576,IF(OR($B27="STD. DEVIATION",$C$1=1),$A27,$A27+1),COLUMN('1-DATA'!AK25)),IF($B27="STD. DEVIATION",2,$F$1))))</f>
        <v/>
      </c>
      <c r="AM27" s="1" t="str">
        <f>IF(OR($B27="",AM$7=""),"",IF($B27="MEANS",INDEX('1-DATA'!$1:$1048576,$A26-1,COLUMN('1-DATA'!AL25)),ROUND(INDEX('1-DATA'!$1:$1048576,IF(OR($B27="STD. DEVIATION",$C$1=1),$A27,$A27+1),COLUMN('1-DATA'!AL25)),IF($B27="STD. DEVIATION",2,$F$1))))</f>
        <v/>
      </c>
      <c r="AN27" s="1" t="str">
        <f>IF(OR($B27="",AN$7=""),"",IF($B27="MEANS",INDEX('1-DATA'!$1:$1048576,$A26-1,COLUMN('1-DATA'!AM25)),ROUND(INDEX('1-DATA'!$1:$1048576,IF(OR($B27="STD. DEVIATION",$C$1=1),$A27,$A27+1),COLUMN('1-DATA'!AM25)),IF($B27="STD. DEVIATION",2,$F$1))))</f>
        <v/>
      </c>
      <c r="AO27" s="1" t="str">
        <f>IF(OR($B27="",AO$7=""),"",IF($B27="MEANS",INDEX('1-DATA'!$1:$1048576,$A26-1,COLUMN('1-DATA'!AN25)),ROUND(INDEX('1-DATA'!$1:$1048576,IF(OR($B27="STD. DEVIATION",$C$1=1),$A27,$A27+1),COLUMN('1-DATA'!AN25)),IF($B27="STD. DEVIATION",2,$F$1))))</f>
        <v/>
      </c>
      <c r="AP27" s="1" t="str">
        <f>IF(OR($B27="",AP$7=""),"",IF($B27="MEANS",INDEX('1-DATA'!$1:$1048576,$A26-1,COLUMN('1-DATA'!AO25)),ROUND(INDEX('1-DATA'!$1:$1048576,IF(OR($B27="STD. DEVIATION",$C$1=1),$A27,$A27+1),COLUMN('1-DATA'!AO25)),IF($B27="STD. DEVIATION",2,$F$1))))</f>
        <v/>
      </c>
      <c r="AQ27" s="1" t="str">
        <f>IF(OR($B27="",AQ$7=""),"",IF($B27="MEANS",INDEX('1-DATA'!$1:$1048576,$A26-1,COLUMN('1-DATA'!AP25)),ROUND(INDEX('1-DATA'!$1:$1048576,IF(OR($B27="STD. DEVIATION",$C$1=1),$A27,$A27+1),COLUMN('1-DATA'!AP25)),IF($B27="STD. DEVIATION",2,$F$1))))</f>
        <v/>
      </c>
      <c r="AR27" s="1" t="str">
        <f>IF(OR($B27="",AR$7=""),"",IF($B27="MEANS",INDEX('1-DATA'!$1:$1048576,$A26-1,COLUMN('1-DATA'!AQ25)),ROUND(INDEX('1-DATA'!$1:$1048576,IF(OR($B27="STD. DEVIATION",$C$1=1),$A27,$A27+1),COLUMN('1-DATA'!AQ25)),IF($B27="STD. DEVIATION",2,$F$1))))</f>
        <v/>
      </c>
      <c r="AS27" s="1" t="str">
        <f>IF(OR($B27="",AS$7=""),"",IF($B27="MEANS",INDEX('1-DATA'!$1:$1048576,$A26-1,COLUMN('1-DATA'!AR25)),ROUND(INDEX('1-DATA'!$1:$1048576,IF(OR($B27="STD. DEVIATION",$C$1=1),$A27,$A27+1),COLUMN('1-DATA'!AR25)),IF($B27="STD. DEVIATION",2,$F$1))))</f>
        <v/>
      </c>
      <c r="AT27" s="1" t="str">
        <f>IF(OR($B27="",AT$7=""),"",IF($B27="MEANS",INDEX('1-DATA'!$1:$1048576,$A26-1,COLUMN('1-DATA'!AS25)),ROUND(INDEX('1-DATA'!$1:$1048576,IF(OR($B27="STD. DEVIATION",$C$1=1),$A27,$A27+1),COLUMN('1-DATA'!AS25)),IF($B27="STD. DEVIATION",2,$F$1))))</f>
        <v/>
      </c>
      <c r="AU27" s="1" t="str">
        <f>IF(OR($B27="",AU$7=""),"",IF($B27="MEANS",INDEX('1-DATA'!$1:$1048576,$A26-1,COLUMN('1-DATA'!AT25)),ROUND(INDEX('1-DATA'!$1:$1048576,IF(OR($B27="STD. DEVIATION",$C$1=1),$A27,$A27+1),COLUMN('1-DATA'!AT25)),IF($B27="STD. DEVIATION",2,$F$1))))</f>
        <v/>
      </c>
      <c r="AV27" s="1" t="str">
        <f>IF(OR($B27="",AV$7=""),"",IF($B27="MEANS",INDEX('1-DATA'!$1:$1048576,$A26-1,COLUMN('1-DATA'!AU25)),ROUND(INDEX('1-DATA'!$1:$1048576,IF(OR($B27="STD. DEVIATION",$C$1=1),$A27,$A27+1),COLUMN('1-DATA'!AU25)),IF($B27="STD. DEVIATION",2,$F$1))))</f>
        <v/>
      </c>
      <c r="AW27" s="1" t="str">
        <f>IF(OR($B27="",AW$7=""),"",IF($B27="MEANS",INDEX('1-DATA'!$1:$1048576,$A26-1,COLUMN('1-DATA'!AV25)),ROUND(INDEX('1-DATA'!$1:$1048576,IF(OR($B27="STD. DEVIATION",$C$1=1),$A27,$A27+1),COLUMN('1-DATA'!AV25)),IF($B27="STD. DEVIATION",2,$F$1))))</f>
        <v/>
      </c>
      <c r="AX27" s="1" t="str">
        <f>IF(OR($B27="",AX$7=""),"",IF($B27="MEANS",INDEX('1-DATA'!$1:$1048576,$A26-1,COLUMN('1-DATA'!AW25)),ROUND(INDEX('1-DATA'!$1:$1048576,IF(OR($B27="STD. DEVIATION",$C$1=1),$A27,$A27+1),COLUMN('1-DATA'!AW25)),IF($B27="STD. DEVIATION",2,$F$1))))</f>
        <v/>
      </c>
      <c r="AY27" s="1" t="str">
        <f>IF(OR($B27="",AY$7=""),"",IF($B27="MEANS",INDEX('1-DATA'!$1:$1048576,$A26-1,COLUMN('1-DATA'!AX25)),ROUND(INDEX('1-DATA'!$1:$1048576,IF(OR($B27="STD. DEVIATION",$C$1=1),$A27,$A27+1),COLUMN('1-DATA'!AX25)),IF($B27="STD. DEVIATION",2,$F$1))))</f>
        <v/>
      </c>
      <c r="AZ27" s="1" t="str">
        <f>IF(OR($B27="",AZ$7=""),"",IF($B27="MEANS",INDEX('1-DATA'!$1:$1048576,$A26-1,COLUMN('1-DATA'!AY25)),ROUND(INDEX('1-DATA'!$1:$1048576,IF(OR($B27="STD. DEVIATION",$C$1=1),$A27,$A27+1),COLUMN('1-DATA'!AY25)),IF($B27="STD. DEVIATION",2,$F$1))))</f>
        <v/>
      </c>
    </row>
    <row r="28" spans="1:52" x14ac:dyDescent="0.25">
      <c r="A28" s="11">
        <f>A27+3</f>
        <v>70</v>
      </c>
      <c r="B28" s="1" t="str">
        <f>IF(B27="STD. DEVIATION",INDEX('1-DATA'!$1:$1048576,$A27-1,1),IF(INDEX('1-DATA'!$1:$1048576,$A28,1)&lt;&gt;"",INDEX('1-DATA'!$1:$1048576,$A28,1),""))</f>
        <v/>
      </c>
      <c r="C28" s="1" t="str">
        <f>IF(OR($B28="",C$7=""),"",IF($B28="MEANS",INDEX('1-DATA'!$1:$1048576,$A27-1,COLUMN('1-DATA'!B26)),ROUND(INDEX('1-DATA'!$1:$1048576,IF(OR($B28="STD. DEVIATION",$C$1=1),$A28,$A28+1),COLUMN('1-DATA'!B26)),IF($B28="STD. DEVIATION",2,$F$1))))</f>
        <v/>
      </c>
      <c r="D28" s="1" t="str">
        <f>IF(OR($B28="",D$7=""),"",IF($B28="MEANS",INDEX('1-DATA'!$1:$1048576,$A27-1,COLUMN('1-DATA'!C26)),ROUND(INDEX('1-DATA'!$1:$1048576,IF(OR($B28="STD. DEVIATION",$C$1=1),$A28,$A28+1),COLUMN('1-DATA'!C26)),IF($B28="STD. DEVIATION",2,$F$1))))</f>
        <v/>
      </c>
      <c r="E28" s="1" t="str">
        <f>IF(OR($B28="",E$7=""),"",IF($B28="MEANS",INDEX('1-DATA'!$1:$1048576,$A27-1,COLUMN('1-DATA'!D26)),ROUND(INDEX('1-DATA'!$1:$1048576,IF(OR($B28="STD. DEVIATION",$C$1=1),$A28,$A28+1),COLUMN('1-DATA'!D26)),IF($B28="STD. DEVIATION",2,$F$1))))</f>
        <v/>
      </c>
      <c r="F28" s="1" t="str">
        <f>IF(OR($B28="",F$7=""),"",IF($B28="MEANS",INDEX('1-DATA'!$1:$1048576,$A27-1,COLUMN('1-DATA'!E26)),ROUND(INDEX('1-DATA'!$1:$1048576,IF(OR($B28="STD. DEVIATION",$C$1=1),$A28,$A28+1),COLUMN('1-DATA'!E26)),IF($B28="STD. DEVIATION",2,$F$1))))</f>
        <v/>
      </c>
      <c r="G28" s="1" t="str">
        <f>IF(OR($B28="",G$7=""),"",IF($B28="MEANS",INDEX('1-DATA'!$1:$1048576,$A27-1,COLUMN('1-DATA'!F26)),ROUND(INDEX('1-DATA'!$1:$1048576,IF(OR($B28="STD. DEVIATION",$C$1=1),$A28,$A28+1),COLUMN('1-DATA'!F26)),IF($B28="STD. DEVIATION",2,$F$1))))</f>
        <v/>
      </c>
      <c r="H28" s="1" t="str">
        <f>IF(OR($B28="",H$7=""),"",IF($B28="MEANS",INDEX('1-DATA'!$1:$1048576,$A27-1,COLUMN('1-DATA'!G26)),ROUND(INDEX('1-DATA'!$1:$1048576,IF(OR($B28="STD. DEVIATION",$C$1=1),$A28,$A28+1),COLUMN('1-DATA'!G26)),IF($B28="STD. DEVIATION",2,$F$1))))</f>
        <v/>
      </c>
      <c r="I28" s="1" t="str">
        <f>IF(OR($B28="",I$7=""),"",IF($B28="MEANS",INDEX('1-DATA'!$1:$1048576,$A27-1,COLUMN('1-DATA'!H26)),ROUND(INDEX('1-DATA'!$1:$1048576,IF(OR($B28="STD. DEVIATION",$C$1=1),$A28,$A28+1),COLUMN('1-DATA'!H26)),IF($B28="STD. DEVIATION",2,$F$1))))</f>
        <v/>
      </c>
      <c r="J28" s="1" t="str">
        <f>IF(OR($B28="",J$7=""),"",IF($B28="MEANS",INDEX('1-DATA'!$1:$1048576,$A27-1,COLUMN('1-DATA'!I26)),ROUND(INDEX('1-DATA'!$1:$1048576,IF(OR($B28="STD. DEVIATION",$C$1=1),$A28,$A28+1),COLUMN('1-DATA'!I26)),IF($B28="STD. DEVIATION",2,$F$1))))</f>
        <v/>
      </c>
      <c r="K28" s="1" t="str">
        <f>IF(OR($B28="",K$7=""),"",IF($B28="MEANS",INDEX('1-DATA'!$1:$1048576,$A27-1,COLUMN('1-DATA'!J26)),ROUND(INDEX('1-DATA'!$1:$1048576,IF(OR($B28="STD. DEVIATION",$C$1=1),$A28,$A28+1),COLUMN('1-DATA'!J26)),IF($B28="STD. DEVIATION",2,$F$1))))</f>
        <v/>
      </c>
      <c r="L28" s="1" t="str">
        <f>IF(OR($B28="",L$7=""),"",IF($B28="MEANS",INDEX('1-DATA'!$1:$1048576,$A27-1,COLUMN('1-DATA'!K26)),ROUND(INDEX('1-DATA'!$1:$1048576,IF(OR($B28="STD. DEVIATION",$C$1=1),$A28,$A28+1),COLUMN('1-DATA'!K26)),IF($B28="STD. DEVIATION",2,$F$1))))</f>
        <v/>
      </c>
      <c r="M28" s="1" t="str">
        <f>IF(OR($B28="",M$7=""),"",IF($B28="MEANS",INDEX('1-DATA'!$1:$1048576,$A27-1,COLUMN('1-DATA'!L26)),ROUND(INDEX('1-DATA'!$1:$1048576,IF(OR($B28="STD. DEVIATION",$C$1=1),$A28,$A28+1),COLUMN('1-DATA'!L26)),IF($B28="STD. DEVIATION",2,$F$1))))</f>
        <v/>
      </c>
      <c r="N28" s="1" t="str">
        <f>IF(OR($B28="",N$7=""),"",IF($B28="MEANS",INDEX('1-DATA'!$1:$1048576,$A27-1,COLUMN('1-DATA'!M26)),ROUND(INDEX('1-DATA'!$1:$1048576,IF(OR($B28="STD. DEVIATION",$C$1=1),$A28,$A28+1),COLUMN('1-DATA'!M26)),IF($B28="STD. DEVIATION",2,$F$1))))</f>
        <v/>
      </c>
      <c r="O28" s="1" t="str">
        <f>IF(OR($B28="",O$7=""),"",IF($B28="MEANS",INDEX('1-DATA'!$1:$1048576,$A27-1,COLUMN('1-DATA'!N26)),ROUND(INDEX('1-DATA'!$1:$1048576,IF(OR($B28="STD. DEVIATION",$C$1=1),$A28,$A28+1),COLUMN('1-DATA'!N26)),IF($B28="STD. DEVIATION",2,$F$1))))</f>
        <v/>
      </c>
      <c r="P28" s="1" t="str">
        <f>IF(OR($B28="",P$7=""),"",IF($B28="MEANS",INDEX('1-DATA'!$1:$1048576,$A27-1,COLUMN('1-DATA'!O26)),ROUND(INDEX('1-DATA'!$1:$1048576,IF(OR($B28="STD. DEVIATION",$C$1=1),$A28,$A28+1),COLUMN('1-DATA'!O26)),IF($B28="STD. DEVIATION",2,$F$1))))</f>
        <v/>
      </c>
      <c r="Q28" s="1" t="str">
        <f>IF(OR($B28="",Q$7=""),"",IF($B28="MEANS",INDEX('1-DATA'!$1:$1048576,$A27-1,COLUMN('1-DATA'!P26)),ROUND(INDEX('1-DATA'!$1:$1048576,IF(OR($B28="STD. DEVIATION",$C$1=1),$A28,$A28+1),COLUMN('1-DATA'!P26)),IF($B28="STD. DEVIATION",2,$F$1))))</f>
        <v/>
      </c>
      <c r="R28" s="1" t="str">
        <f>IF(OR($B28="",R$7=""),"",IF($B28="MEANS",INDEX('1-DATA'!$1:$1048576,$A27-1,COLUMN('1-DATA'!Q26)),ROUND(INDEX('1-DATA'!$1:$1048576,IF(OR($B28="STD. DEVIATION",$C$1=1),$A28,$A28+1),COLUMN('1-DATA'!Q26)),IF($B28="STD. DEVIATION",2,$F$1))))</f>
        <v/>
      </c>
      <c r="S28" s="1" t="str">
        <f>IF(OR($B28="",S$7=""),"",IF($B28="MEANS",INDEX('1-DATA'!$1:$1048576,$A27-1,COLUMN('1-DATA'!R26)),ROUND(INDEX('1-DATA'!$1:$1048576,IF(OR($B28="STD. DEVIATION",$C$1=1),$A28,$A28+1),COLUMN('1-DATA'!R26)),IF($B28="STD. DEVIATION",2,$F$1))))</f>
        <v/>
      </c>
      <c r="T28" s="1" t="str">
        <f>IF(OR($B28="",T$7=""),"",IF($B28="MEANS",INDEX('1-DATA'!$1:$1048576,$A27-1,COLUMN('1-DATA'!S26)),ROUND(INDEX('1-DATA'!$1:$1048576,IF(OR($B28="STD. DEVIATION",$C$1=1),$A28,$A28+1),COLUMN('1-DATA'!S26)),IF($B28="STD. DEVIATION",2,$F$1))))</f>
        <v/>
      </c>
      <c r="U28" s="1" t="str">
        <f>IF(OR($B28="",U$7=""),"",IF($B28="MEANS",INDEX('1-DATA'!$1:$1048576,$A27-1,COLUMN('1-DATA'!T26)),ROUND(INDEX('1-DATA'!$1:$1048576,IF(OR($B28="STD. DEVIATION",$C$1=1),$A28,$A28+1),COLUMN('1-DATA'!T26)),IF($B28="STD. DEVIATION",2,$F$1))))</f>
        <v/>
      </c>
      <c r="V28" s="1" t="str">
        <f>IF(OR($B28="",V$7=""),"",IF($B28="MEANS",INDEX('1-DATA'!$1:$1048576,$A27-1,COLUMN('1-DATA'!U26)),ROUND(INDEX('1-DATA'!$1:$1048576,IF(OR($B28="STD. DEVIATION",$C$1=1),$A28,$A28+1),COLUMN('1-DATA'!U26)),IF($B28="STD. DEVIATION",2,$F$1))))</f>
        <v/>
      </c>
      <c r="W28" s="1" t="str">
        <f>IF(OR($B28="",W$7=""),"",IF($B28="MEANS",INDEX('1-DATA'!$1:$1048576,$A27-1,COLUMN('1-DATA'!V26)),ROUND(INDEX('1-DATA'!$1:$1048576,IF(OR($B28="STD. DEVIATION",$C$1=1),$A28,$A28+1),COLUMN('1-DATA'!V26)),IF($B28="STD. DEVIATION",2,$F$1))))</f>
        <v/>
      </c>
      <c r="X28" s="1" t="str">
        <f>IF(OR($B28="",X$7=""),"",IF($B28="MEANS",INDEX('1-DATA'!$1:$1048576,$A27-1,COLUMN('1-DATA'!W26)),ROUND(INDEX('1-DATA'!$1:$1048576,IF(OR($B28="STD. DEVIATION",$C$1=1),$A28,$A28+1),COLUMN('1-DATA'!W26)),IF($B28="STD. DEVIATION",2,$F$1))))</f>
        <v/>
      </c>
      <c r="Y28" s="1" t="str">
        <f>IF(OR($B28="",Y$7=""),"",IF($B28="MEANS",INDEX('1-DATA'!$1:$1048576,$A27-1,COLUMN('1-DATA'!X26)),ROUND(INDEX('1-DATA'!$1:$1048576,IF(OR($B28="STD. DEVIATION",$C$1=1),$A28,$A28+1),COLUMN('1-DATA'!X26)),IF($B28="STD. DEVIATION",2,$F$1))))</f>
        <v/>
      </c>
      <c r="Z28" s="1" t="str">
        <f>IF(OR($B28="",Z$7=""),"",IF($B28="MEANS",INDEX('1-DATA'!$1:$1048576,$A27-1,COLUMN('1-DATA'!Y26)),ROUND(INDEX('1-DATA'!$1:$1048576,IF(OR($B28="STD. DEVIATION",$C$1=1),$A28,$A28+1),COLUMN('1-DATA'!Y26)),IF($B28="STD. DEVIATION",2,$F$1))))</f>
        <v/>
      </c>
      <c r="AA28" s="1" t="str">
        <f>IF(OR($B28="",AA$7=""),"",IF($B28="MEANS",INDEX('1-DATA'!$1:$1048576,$A27-1,COLUMN('1-DATA'!Z26)),ROUND(INDEX('1-DATA'!$1:$1048576,IF(OR($B28="STD. DEVIATION",$C$1=1),$A28,$A28+1),COLUMN('1-DATA'!Z26)),IF($B28="STD. DEVIATION",2,$F$1))))</f>
        <v/>
      </c>
      <c r="AB28" s="1" t="str">
        <f>IF(OR($B28="",AB$7=""),"",IF($B28="MEANS",INDEX('1-DATA'!$1:$1048576,$A27-1,COLUMN('1-DATA'!AA26)),ROUND(INDEX('1-DATA'!$1:$1048576,IF(OR($B28="STD. DEVIATION",$C$1=1),$A28,$A28+1),COLUMN('1-DATA'!AA26)),IF($B28="STD. DEVIATION",2,$F$1))))</f>
        <v/>
      </c>
      <c r="AC28" s="1" t="str">
        <f>IF(OR($B28="",AC$7=""),"",IF($B28="MEANS",INDEX('1-DATA'!$1:$1048576,$A27-1,COLUMN('1-DATA'!AB26)),ROUND(INDEX('1-DATA'!$1:$1048576,IF(OR($B28="STD. DEVIATION",$C$1=1),$A28,$A28+1),COLUMN('1-DATA'!AB26)),IF($B28="STD. DEVIATION",2,$F$1))))</f>
        <v/>
      </c>
      <c r="AD28" s="1" t="str">
        <f>IF(OR($B28="",AD$7=""),"",IF($B28="MEANS",INDEX('1-DATA'!$1:$1048576,$A27-1,COLUMN('1-DATA'!AC26)),ROUND(INDEX('1-DATA'!$1:$1048576,IF(OR($B28="STD. DEVIATION",$C$1=1),$A28,$A28+1),COLUMN('1-DATA'!AC26)),IF($B28="STD. DEVIATION",2,$F$1))))</f>
        <v/>
      </c>
      <c r="AE28" s="1" t="str">
        <f>IF(OR($B28="",AE$7=""),"",IF($B28="MEANS",INDEX('1-DATA'!$1:$1048576,$A27-1,COLUMN('1-DATA'!AD26)),ROUND(INDEX('1-DATA'!$1:$1048576,IF(OR($B28="STD. DEVIATION",$C$1=1),$A28,$A28+1),COLUMN('1-DATA'!AD26)),IF($B28="STD. DEVIATION",2,$F$1))))</f>
        <v/>
      </c>
      <c r="AF28" s="1" t="str">
        <f>IF(OR($B28="",AF$7=""),"",IF($B28="MEANS",INDEX('1-DATA'!$1:$1048576,$A27-1,COLUMN('1-DATA'!AE26)),ROUND(INDEX('1-DATA'!$1:$1048576,IF(OR($B28="STD. DEVIATION",$C$1=1),$A28,$A28+1),COLUMN('1-DATA'!AE26)),IF($B28="STD. DEVIATION",2,$F$1))))</f>
        <v/>
      </c>
      <c r="AG28" s="1" t="str">
        <f>IF(OR($B28="",AG$7=""),"",IF($B28="MEANS",INDEX('1-DATA'!$1:$1048576,$A27-1,COLUMN('1-DATA'!AF26)),ROUND(INDEX('1-DATA'!$1:$1048576,IF(OR($B28="STD. DEVIATION",$C$1=1),$A28,$A28+1),COLUMN('1-DATA'!AF26)),IF($B28="STD. DEVIATION",2,$F$1))))</f>
        <v/>
      </c>
      <c r="AH28" s="1" t="str">
        <f>IF(OR($B28="",AH$7=""),"",IF($B28="MEANS",INDEX('1-DATA'!$1:$1048576,$A27-1,COLUMN('1-DATA'!AG26)),ROUND(INDEX('1-DATA'!$1:$1048576,IF(OR($B28="STD. DEVIATION",$C$1=1),$A28,$A28+1),COLUMN('1-DATA'!AG26)),IF($B28="STD. DEVIATION",2,$F$1))))</f>
        <v/>
      </c>
      <c r="AI28" s="1" t="str">
        <f>IF(OR($B28="",AI$7=""),"",IF($B28="MEANS",INDEX('1-DATA'!$1:$1048576,$A27-1,COLUMN('1-DATA'!AH26)),ROUND(INDEX('1-DATA'!$1:$1048576,IF(OR($B28="STD. DEVIATION",$C$1=1),$A28,$A28+1),COLUMN('1-DATA'!AH26)),IF($B28="STD. DEVIATION",2,$F$1))))</f>
        <v/>
      </c>
      <c r="AJ28" s="1" t="str">
        <f>IF(OR($B28="",AJ$7=""),"",IF($B28="MEANS",INDEX('1-DATA'!$1:$1048576,$A27-1,COLUMN('1-DATA'!AI26)),ROUND(INDEX('1-DATA'!$1:$1048576,IF(OR($B28="STD. DEVIATION",$C$1=1),$A28,$A28+1),COLUMN('1-DATA'!AI26)),IF($B28="STD. DEVIATION",2,$F$1))))</f>
        <v/>
      </c>
      <c r="AK28" s="1" t="str">
        <f>IF(OR($B28="",AK$7=""),"",IF($B28="MEANS",INDEX('1-DATA'!$1:$1048576,$A27-1,COLUMN('1-DATA'!AJ26)),ROUND(INDEX('1-DATA'!$1:$1048576,IF(OR($B28="STD. DEVIATION",$C$1=1),$A28,$A28+1),COLUMN('1-DATA'!AJ26)),IF($B28="STD. DEVIATION",2,$F$1))))</f>
        <v/>
      </c>
      <c r="AL28" s="1" t="str">
        <f>IF(OR($B28="",AL$7=""),"",IF($B28="MEANS",INDEX('1-DATA'!$1:$1048576,$A27-1,COLUMN('1-DATA'!AK26)),ROUND(INDEX('1-DATA'!$1:$1048576,IF(OR($B28="STD. DEVIATION",$C$1=1),$A28,$A28+1),COLUMN('1-DATA'!AK26)),IF($B28="STD. DEVIATION",2,$F$1))))</f>
        <v/>
      </c>
      <c r="AM28" s="1" t="str">
        <f>IF(OR($B28="",AM$7=""),"",IF($B28="MEANS",INDEX('1-DATA'!$1:$1048576,$A27-1,COLUMN('1-DATA'!AL26)),ROUND(INDEX('1-DATA'!$1:$1048576,IF(OR($B28="STD. DEVIATION",$C$1=1),$A28,$A28+1),COLUMN('1-DATA'!AL26)),IF($B28="STD. DEVIATION",2,$F$1))))</f>
        <v/>
      </c>
      <c r="AN28" s="1" t="str">
        <f>IF(OR($B28="",AN$7=""),"",IF($B28="MEANS",INDEX('1-DATA'!$1:$1048576,$A27-1,COLUMN('1-DATA'!AM26)),ROUND(INDEX('1-DATA'!$1:$1048576,IF(OR($B28="STD. DEVIATION",$C$1=1),$A28,$A28+1),COLUMN('1-DATA'!AM26)),IF($B28="STD. DEVIATION",2,$F$1))))</f>
        <v/>
      </c>
      <c r="AO28" s="1" t="str">
        <f>IF(OR($B28="",AO$7=""),"",IF($B28="MEANS",INDEX('1-DATA'!$1:$1048576,$A27-1,COLUMN('1-DATA'!AN26)),ROUND(INDEX('1-DATA'!$1:$1048576,IF(OR($B28="STD. DEVIATION",$C$1=1),$A28,$A28+1),COLUMN('1-DATA'!AN26)),IF($B28="STD. DEVIATION",2,$F$1))))</f>
        <v/>
      </c>
      <c r="AP28" s="1" t="str">
        <f>IF(OR($B28="",AP$7=""),"",IF($B28="MEANS",INDEX('1-DATA'!$1:$1048576,$A27-1,COLUMN('1-DATA'!AO26)),ROUND(INDEX('1-DATA'!$1:$1048576,IF(OR($B28="STD. DEVIATION",$C$1=1),$A28,$A28+1),COLUMN('1-DATA'!AO26)),IF($B28="STD. DEVIATION",2,$F$1))))</f>
        <v/>
      </c>
      <c r="AQ28" s="1" t="str">
        <f>IF(OR($B28="",AQ$7=""),"",IF($B28="MEANS",INDEX('1-DATA'!$1:$1048576,$A27-1,COLUMN('1-DATA'!AP26)),ROUND(INDEX('1-DATA'!$1:$1048576,IF(OR($B28="STD. DEVIATION",$C$1=1),$A28,$A28+1),COLUMN('1-DATA'!AP26)),IF($B28="STD. DEVIATION",2,$F$1))))</f>
        <v/>
      </c>
      <c r="AR28" s="1" t="str">
        <f>IF(OR($B28="",AR$7=""),"",IF($B28="MEANS",INDEX('1-DATA'!$1:$1048576,$A27-1,COLUMN('1-DATA'!AQ26)),ROUND(INDEX('1-DATA'!$1:$1048576,IF(OR($B28="STD. DEVIATION",$C$1=1),$A28,$A28+1),COLUMN('1-DATA'!AQ26)),IF($B28="STD. DEVIATION",2,$F$1))))</f>
        <v/>
      </c>
      <c r="AS28" s="1" t="str">
        <f>IF(OR($B28="",AS$7=""),"",IF($B28="MEANS",INDEX('1-DATA'!$1:$1048576,$A27-1,COLUMN('1-DATA'!AR26)),ROUND(INDEX('1-DATA'!$1:$1048576,IF(OR($B28="STD. DEVIATION",$C$1=1),$A28,$A28+1),COLUMN('1-DATA'!AR26)),IF($B28="STD. DEVIATION",2,$F$1))))</f>
        <v/>
      </c>
      <c r="AT28" s="1" t="str">
        <f>IF(OR($B28="",AT$7=""),"",IF($B28="MEANS",INDEX('1-DATA'!$1:$1048576,$A27-1,COLUMN('1-DATA'!AS26)),ROUND(INDEX('1-DATA'!$1:$1048576,IF(OR($B28="STD. DEVIATION",$C$1=1),$A28,$A28+1),COLUMN('1-DATA'!AS26)),IF($B28="STD. DEVIATION",2,$F$1))))</f>
        <v/>
      </c>
      <c r="AU28" s="1" t="str">
        <f>IF(OR($B28="",AU$7=""),"",IF($B28="MEANS",INDEX('1-DATA'!$1:$1048576,$A27-1,COLUMN('1-DATA'!AT26)),ROUND(INDEX('1-DATA'!$1:$1048576,IF(OR($B28="STD. DEVIATION",$C$1=1),$A28,$A28+1),COLUMN('1-DATA'!AT26)),IF($B28="STD. DEVIATION",2,$F$1))))</f>
        <v/>
      </c>
      <c r="AV28" s="1" t="str">
        <f>IF(OR($B28="",AV$7=""),"",IF($B28="MEANS",INDEX('1-DATA'!$1:$1048576,$A27-1,COLUMN('1-DATA'!AU26)),ROUND(INDEX('1-DATA'!$1:$1048576,IF(OR($B28="STD. DEVIATION",$C$1=1),$A28,$A28+1),COLUMN('1-DATA'!AU26)),IF($B28="STD. DEVIATION",2,$F$1))))</f>
        <v/>
      </c>
      <c r="AW28" s="1" t="str">
        <f>IF(OR($B28="",AW$7=""),"",IF($B28="MEANS",INDEX('1-DATA'!$1:$1048576,$A27-1,COLUMN('1-DATA'!AV26)),ROUND(INDEX('1-DATA'!$1:$1048576,IF(OR($B28="STD. DEVIATION",$C$1=1),$A28,$A28+1),COLUMN('1-DATA'!AV26)),IF($B28="STD. DEVIATION",2,$F$1))))</f>
        <v/>
      </c>
      <c r="AX28" s="1" t="str">
        <f>IF(OR($B28="",AX$7=""),"",IF($B28="MEANS",INDEX('1-DATA'!$1:$1048576,$A27-1,COLUMN('1-DATA'!AW26)),ROUND(INDEX('1-DATA'!$1:$1048576,IF(OR($B28="STD. DEVIATION",$C$1=1),$A28,$A28+1),COLUMN('1-DATA'!AW26)),IF($B28="STD. DEVIATION",2,$F$1))))</f>
        <v/>
      </c>
      <c r="AY28" s="1" t="str">
        <f>IF(OR($B28="",AY$7=""),"",IF($B28="MEANS",INDEX('1-DATA'!$1:$1048576,$A27-1,COLUMN('1-DATA'!AX26)),ROUND(INDEX('1-DATA'!$1:$1048576,IF(OR($B28="STD. DEVIATION",$C$1=1),$A28,$A28+1),COLUMN('1-DATA'!AX26)),IF($B28="STD. DEVIATION",2,$F$1))))</f>
        <v/>
      </c>
      <c r="AZ28" s="1" t="str">
        <f>IF(OR($B28="",AZ$7=""),"",IF($B28="MEANS",INDEX('1-DATA'!$1:$1048576,$A27-1,COLUMN('1-DATA'!AY26)),ROUND(INDEX('1-DATA'!$1:$1048576,IF(OR($B28="STD. DEVIATION",$C$1=1),$A28,$A28+1),COLUMN('1-DATA'!AY26)),IF($B28="STD. DEVIATION",2,$F$1))))</f>
        <v/>
      </c>
    </row>
    <row r="29" spans="1:52" x14ac:dyDescent="0.25">
      <c r="A29" s="11">
        <f>A28+3</f>
        <v>73</v>
      </c>
      <c r="B29" s="1" t="str">
        <f>IF(B28="STD. DEVIATION",INDEX('1-DATA'!$1:$1048576,$A28-1,1),IF(INDEX('1-DATA'!$1:$1048576,$A29,1)&lt;&gt;"",INDEX('1-DATA'!$1:$1048576,$A29,1),""))</f>
        <v/>
      </c>
      <c r="C29" s="1" t="str">
        <f>IF(OR($B29="",C$7=""),"",IF($B29="MEANS",INDEX('1-DATA'!$1:$1048576,$A28-1,COLUMN('1-DATA'!B27)),ROUND(INDEX('1-DATA'!$1:$1048576,IF(OR($B29="STD. DEVIATION",$C$1=1),$A29,$A29+1),COLUMN('1-DATA'!B27)),IF($B29="STD. DEVIATION",2,$F$1))))</f>
        <v/>
      </c>
      <c r="D29" s="1" t="str">
        <f>IF(OR($B29="",D$7=""),"",IF($B29="MEANS",INDEX('1-DATA'!$1:$1048576,$A28-1,COLUMN('1-DATA'!C27)),ROUND(INDEX('1-DATA'!$1:$1048576,IF(OR($B29="STD. DEVIATION",$C$1=1),$A29,$A29+1),COLUMN('1-DATA'!C27)),IF($B29="STD. DEVIATION",2,$F$1))))</f>
        <v/>
      </c>
      <c r="E29" s="1" t="str">
        <f>IF(OR($B29="",E$7=""),"",IF($B29="MEANS",INDEX('1-DATA'!$1:$1048576,$A28-1,COLUMN('1-DATA'!D27)),ROUND(INDEX('1-DATA'!$1:$1048576,IF(OR($B29="STD. DEVIATION",$C$1=1),$A29,$A29+1),COLUMN('1-DATA'!D27)),IF($B29="STD. DEVIATION",2,$F$1))))</f>
        <v/>
      </c>
      <c r="F29" s="1" t="str">
        <f>IF(OR($B29="",F$7=""),"",IF($B29="MEANS",INDEX('1-DATA'!$1:$1048576,$A28-1,COLUMN('1-DATA'!E27)),ROUND(INDEX('1-DATA'!$1:$1048576,IF(OR($B29="STD. DEVIATION",$C$1=1),$A29,$A29+1),COLUMN('1-DATA'!E27)),IF($B29="STD. DEVIATION",2,$F$1))))</f>
        <v/>
      </c>
      <c r="G29" s="1" t="str">
        <f>IF(OR($B29="",G$7=""),"",IF($B29="MEANS",INDEX('1-DATA'!$1:$1048576,$A28-1,COLUMN('1-DATA'!F27)),ROUND(INDEX('1-DATA'!$1:$1048576,IF(OR($B29="STD. DEVIATION",$C$1=1),$A29,$A29+1),COLUMN('1-DATA'!F27)),IF($B29="STD. DEVIATION",2,$F$1))))</f>
        <v/>
      </c>
      <c r="H29" s="1" t="str">
        <f>IF(OR($B29="",H$7=""),"",IF($B29="MEANS",INDEX('1-DATA'!$1:$1048576,$A28-1,COLUMN('1-DATA'!G27)),ROUND(INDEX('1-DATA'!$1:$1048576,IF(OR($B29="STD. DEVIATION",$C$1=1),$A29,$A29+1),COLUMN('1-DATA'!G27)),IF($B29="STD. DEVIATION",2,$F$1))))</f>
        <v/>
      </c>
      <c r="I29" s="1" t="str">
        <f>IF(OR($B29="",I$7=""),"",IF($B29="MEANS",INDEX('1-DATA'!$1:$1048576,$A28-1,COLUMN('1-DATA'!H27)),ROUND(INDEX('1-DATA'!$1:$1048576,IF(OR($B29="STD. DEVIATION",$C$1=1),$A29,$A29+1),COLUMN('1-DATA'!H27)),IF($B29="STD. DEVIATION",2,$F$1))))</f>
        <v/>
      </c>
      <c r="J29" s="1" t="str">
        <f>IF(OR($B29="",J$7=""),"",IF($B29="MEANS",INDEX('1-DATA'!$1:$1048576,$A28-1,COLUMN('1-DATA'!I27)),ROUND(INDEX('1-DATA'!$1:$1048576,IF(OR($B29="STD. DEVIATION",$C$1=1),$A29,$A29+1),COLUMN('1-DATA'!I27)),IF($B29="STD. DEVIATION",2,$F$1))))</f>
        <v/>
      </c>
      <c r="K29" s="1" t="str">
        <f>IF(OR($B29="",K$7=""),"",IF($B29="MEANS",INDEX('1-DATA'!$1:$1048576,$A28-1,COLUMN('1-DATA'!J27)),ROUND(INDEX('1-DATA'!$1:$1048576,IF(OR($B29="STD. DEVIATION",$C$1=1),$A29,$A29+1),COLUMN('1-DATA'!J27)),IF($B29="STD. DEVIATION",2,$F$1))))</f>
        <v/>
      </c>
      <c r="L29" s="1" t="str">
        <f>IF(OR($B29="",L$7=""),"",IF($B29="MEANS",INDEX('1-DATA'!$1:$1048576,$A28-1,COLUMN('1-DATA'!K27)),ROUND(INDEX('1-DATA'!$1:$1048576,IF(OR($B29="STD. DEVIATION",$C$1=1),$A29,$A29+1),COLUMN('1-DATA'!K27)),IF($B29="STD. DEVIATION",2,$F$1))))</f>
        <v/>
      </c>
      <c r="M29" s="1" t="str">
        <f>IF(OR($B29="",M$7=""),"",IF($B29="MEANS",INDEX('1-DATA'!$1:$1048576,$A28-1,COLUMN('1-DATA'!L27)),ROUND(INDEX('1-DATA'!$1:$1048576,IF(OR($B29="STD. DEVIATION",$C$1=1),$A29,$A29+1),COLUMN('1-DATA'!L27)),IF($B29="STD. DEVIATION",2,$F$1))))</f>
        <v/>
      </c>
      <c r="N29" s="1" t="str">
        <f>IF(OR($B29="",N$7=""),"",IF($B29="MEANS",INDEX('1-DATA'!$1:$1048576,$A28-1,COLUMN('1-DATA'!M27)),ROUND(INDEX('1-DATA'!$1:$1048576,IF(OR($B29="STD. DEVIATION",$C$1=1),$A29,$A29+1),COLUMN('1-DATA'!M27)),IF($B29="STD. DEVIATION",2,$F$1))))</f>
        <v/>
      </c>
      <c r="O29" s="1" t="str">
        <f>IF(OR($B29="",O$7=""),"",IF($B29="MEANS",INDEX('1-DATA'!$1:$1048576,$A28-1,COLUMN('1-DATA'!N27)),ROUND(INDEX('1-DATA'!$1:$1048576,IF(OR($B29="STD. DEVIATION",$C$1=1),$A29,$A29+1),COLUMN('1-DATA'!N27)),IF($B29="STD. DEVIATION",2,$F$1))))</f>
        <v/>
      </c>
      <c r="P29" s="1" t="str">
        <f>IF(OR($B29="",P$7=""),"",IF($B29="MEANS",INDEX('1-DATA'!$1:$1048576,$A28-1,COLUMN('1-DATA'!O27)),ROUND(INDEX('1-DATA'!$1:$1048576,IF(OR($B29="STD. DEVIATION",$C$1=1),$A29,$A29+1),COLUMN('1-DATA'!O27)),IF($B29="STD. DEVIATION",2,$F$1))))</f>
        <v/>
      </c>
      <c r="Q29" s="1" t="str">
        <f>IF(OR($B29="",Q$7=""),"",IF($B29="MEANS",INDEX('1-DATA'!$1:$1048576,$A28-1,COLUMN('1-DATA'!P27)),ROUND(INDEX('1-DATA'!$1:$1048576,IF(OR($B29="STD. DEVIATION",$C$1=1),$A29,$A29+1),COLUMN('1-DATA'!P27)),IF($B29="STD. DEVIATION",2,$F$1))))</f>
        <v/>
      </c>
      <c r="R29" s="1" t="str">
        <f>IF(OR($B29="",R$7=""),"",IF($B29="MEANS",INDEX('1-DATA'!$1:$1048576,$A28-1,COLUMN('1-DATA'!Q27)),ROUND(INDEX('1-DATA'!$1:$1048576,IF(OR($B29="STD. DEVIATION",$C$1=1),$A29,$A29+1),COLUMN('1-DATA'!Q27)),IF($B29="STD. DEVIATION",2,$F$1))))</f>
        <v/>
      </c>
      <c r="S29" s="1" t="str">
        <f>IF(OR($B29="",S$7=""),"",IF($B29="MEANS",INDEX('1-DATA'!$1:$1048576,$A28-1,COLUMN('1-DATA'!R27)),ROUND(INDEX('1-DATA'!$1:$1048576,IF(OR($B29="STD. DEVIATION",$C$1=1),$A29,$A29+1),COLUMN('1-DATA'!R27)),IF($B29="STD. DEVIATION",2,$F$1))))</f>
        <v/>
      </c>
      <c r="T29" s="1" t="str">
        <f>IF(OR($B29="",T$7=""),"",IF($B29="MEANS",INDEX('1-DATA'!$1:$1048576,$A28-1,COLUMN('1-DATA'!S27)),ROUND(INDEX('1-DATA'!$1:$1048576,IF(OR($B29="STD. DEVIATION",$C$1=1),$A29,$A29+1),COLUMN('1-DATA'!S27)),IF($B29="STD. DEVIATION",2,$F$1))))</f>
        <v/>
      </c>
      <c r="U29" s="1" t="str">
        <f>IF(OR($B29="",U$7=""),"",IF($B29="MEANS",INDEX('1-DATA'!$1:$1048576,$A28-1,COLUMN('1-DATA'!T27)),ROUND(INDEX('1-DATA'!$1:$1048576,IF(OR($B29="STD. DEVIATION",$C$1=1),$A29,$A29+1),COLUMN('1-DATA'!T27)),IF($B29="STD. DEVIATION",2,$F$1))))</f>
        <v/>
      </c>
      <c r="V29" s="1" t="str">
        <f>IF(OR($B29="",V$7=""),"",IF($B29="MEANS",INDEX('1-DATA'!$1:$1048576,$A28-1,COLUMN('1-DATA'!U27)),ROUND(INDEX('1-DATA'!$1:$1048576,IF(OR($B29="STD. DEVIATION",$C$1=1),$A29,$A29+1),COLUMN('1-DATA'!U27)),IF($B29="STD. DEVIATION",2,$F$1))))</f>
        <v/>
      </c>
      <c r="W29" s="1" t="str">
        <f>IF(OR($B29="",W$7=""),"",IF($B29="MEANS",INDEX('1-DATA'!$1:$1048576,$A28-1,COLUMN('1-DATA'!V27)),ROUND(INDEX('1-DATA'!$1:$1048576,IF(OR($B29="STD. DEVIATION",$C$1=1),$A29,$A29+1),COLUMN('1-DATA'!V27)),IF($B29="STD. DEVIATION",2,$F$1))))</f>
        <v/>
      </c>
      <c r="X29" s="1" t="str">
        <f>IF(OR($B29="",X$7=""),"",IF($B29="MEANS",INDEX('1-DATA'!$1:$1048576,$A28-1,COLUMN('1-DATA'!W27)),ROUND(INDEX('1-DATA'!$1:$1048576,IF(OR($B29="STD. DEVIATION",$C$1=1),$A29,$A29+1),COLUMN('1-DATA'!W27)),IF($B29="STD. DEVIATION",2,$F$1))))</f>
        <v/>
      </c>
      <c r="Y29" s="1" t="str">
        <f>IF(OR($B29="",Y$7=""),"",IF($B29="MEANS",INDEX('1-DATA'!$1:$1048576,$A28-1,COLUMN('1-DATA'!X27)),ROUND(INDEX('1-DATA'!$1:$1048576,IF(OR($B29="STD. DEVIATION",$C$1=1),$A29,$A29+1),COLUMN('1-DATA'!X27)),IF($B29="STD. DEVIATION",2,$F$1))))</f>
        <v/>
      </c>
      <c r="Z29" s="1" t="str">
        <f>IF(OR($B29="",Z$7=""),"",IF($B29="MEANS",INDEX('1-DATA'!$1:$1048576,$A28-1,COLUMN('1-DATA'!Y27)),ROUND(INDEX('1-DATA'!$1:$1048576,IF(OR($B29="STD. DEVIATION",$C$1=1),$A29,$A29+1),COLUMN('1-DATA'!Y27)),IF($B29="STD. DEVIATION",2,$F$1))))</f>
        <v/>
      </c>
      <c r="AA29" s="1" t="str">
        <f>IF(OR($B29="",AA$7=""),"",IF($B29="MEANS",INDEX('1-DATA'!$1:$1048576,$A28-1,COLUMN('1-DATA'!Z27)),ROUND(INDEX('1-DATA'!$1:$1048576,IF(OR($B29="STD. DEVIATION",$C$1=1),$A29,$A29+1),COLUMN('1-DATA'!Z27)),IF($B29="STD. DEVIATION",2,$F$1))))</f>
        <v/>
      </c>
      <c r="AB29" s="1" t="str">
        <f>IF(OR($B29="",AB$7=""),"",IF($B29="MEANS",INDEX('1-DATA'!$1:$1048576,$A28-1,COLUMN('1-DATA'!AA27)),ROUND(INDEX('1-DATA'!$1:$1048576,IF(OR($B29="STD. DEVIATION",$C$1=1),$A29,$A29+1),COLUMN('1-DATA'!AA27)),IF($B29="STD. DEVIATION",2,$F$1))))</f>
        <v/>
      </c>
      <c r="AC29" s="1" t="str">
        <f>IF(OR($B29="",AC$7=""),"",IF($B29="MEANS",INDEX('1-DATA'!$1:$1048576,$A28-1,COLUMN('1-DATA'!AB27)),ROUND(INDEX('1-DATA'!$1:$1048576,IF(OR($B29="STD. DEVIATION",$C$1=1),$A29,$A29+1),COLUMN('1-DATA'!AB27)),IF($B29="STD. DEVIATION",2,$F$1))))</f>
        <v/>
      </c>
      <c r="AD29" s="1" t="str">
        <f>IF(OR($B29="",AD$7=""),"",IF($B29="MEANS",INDEX('1-DATA'!$1:$1048576,$A28-1,COLUMN('1-DATA'!AC27)),ROUND(INDEX('1-DATA'!$1:$1048576,IF(OR($B29="STD. DEVIATION",$C$1=1),$A29,$A29+1),COLUMN('1-DATA'!AC27)),IF($B29="STD. DEVIATION",2,$F$1))))</f>
        <v/>
      </c>
      <c r="AE29" s="1" t="str">
        <f>IF(OR($B29="",AE$7=""),"",IF($B29="MEANS",INDEX('1-DATA'!$1:$1048576,$A28-1,COLUMN('1-DATA'!AD27)),ROUND(INDEX('1-DATA'!$1:$1048576,IF(OR($B29="STD. DEVIATION",$C$1=1),$A29,$A29+1),COLUMN('1-DATA'!AD27)),IF($B29="STD. DEVIATION",2,$F$1))))</f>
        <v/>
      </c>
      <c r="AF29" s="1" t="str">
        <f>IF(OR($B29="",AF$7=""),"",IF($B29="MEANS",INDEX('1-DATA'!$1:$1048576,$A28-1,COLUMN('1-DATA'!AE27)),ROUND(INDEX('1-DATA'!$1:$1048576,IF(OR($B29="STD. DEVIATION",$C$1=1),$A29,$A29+1),COLUMN('1-DATA'!AE27)),IF($B29="STD. DEVIATION",2,$F$1))))</f>
        <v/>
      </c>
      <c r="AG29" s="1" t="str">
        <f>IF(OR($B29="",AG$7=""),"",IF($B29="MEANS",INDEX('1-DATA'!$1:$1048576,$A28-1,COLUMN('1-DATA'!AF27)),ROUND(INDEX('1-DATA'!$1:$1048576,IF(OR($B29="STD. DEVIATION",$C$1=1),$A29,$A29+1),COLUMN('1-DATA'!AF27)),IF($B29="STD. DEVIATION",2,$F$1))))</f>
        <v/>
      </c>
      <c r="AH29" s="1" t="str">
        <f>IF(OR($B29="",AH$7=""),"",IF($B29="MEANS",INDEX('1-DATA'!$1:$1048576,$A28-1,COLUMN('1-DATA'!AG27)),ROUND(INDEX('1-DATA'!$1:$1048576,IF(OR($B29="STD. DEVIATION",$C$1=1),$A29,$A29+1),COLUMN('1-DATA'!AG27)),IF($B29="STD. DEVIATION",2,$F$1))))</f>
        <v/>
      </c>
      <c r="AI29" s="1" t="str">
        <f>IF(OR($B29="",AI$7=""),"",IF($B29="MEANS",INDEX('1-DATA'!$1:$1048576,$A28-1,COLUMN('1-DATA'!AH27)),ROUND(INDEX('1-DATA'!$1:$1048576,IF(OR($B29="STD. DEVIATION",$C$1=1),$A29,$A29+1),COLUMN('1-DATA'!AH27)),IF($B29="STD. DEVIATION",2,$F$1))))</f>
        <v/>
      </c>
      <c r="AJ29" s="1" t="str">
        <f>IF(OR($B29="",AJ$7=""),"",IF($B29="MEANS",INDEX('1-DATA'!$1:$1048576,$A28-1,COLUMN('1-DATA'!AI27)),ROUND(INDEX('1-DATA'!$1:$1048576,IF(OR($B29="STD. DEVIATION",$C$1=1),$A29,$A29+1),COLUMN('1-DATA'!AI27)),IF($B29="STD. DEVIATION",2,$F$1))))</f>
        <v/>
      </c>
      <c r="AK29" s="1" t="str">
        <f>IF(OR($B29="",AK$7=""),"",IF($B29="MEANS",INDEX('1-DATA'!$1:$1048576,$A28-1,COLUMN('1-DATA'!AJ27)),ROUND(INDEX('1-DATA'!$1:$1048576,IF(OR($B29="STD. DEVIATION",$C$1=1),$A29,$A29+1),COLUMN('1-DATA'!AJ27)),IF($B29="STD. DEVIATION",2,$F$1))))</f>
        <v/>
      </c>
      <c r="AL29" s="1" t="str">
        <f>IF(OR($B29="",AL$7=""),"",IF($B29="MEANS",INDEX('1-DATA'!$1:$1048576,$A28-1,COLUMN('1-DATA'!AK27)),ROUND(INDEX('1-DATA'!$1:$1048576,IF(OR($B29="STD. DEVIATION",$C$1=1),$A29,$A29+1),COLUMN('1-DATA'!AK27)),IF($B29="STD. DEVIATION",2,$F$1))))</f>
        <v/>
      </c>
      <c r="AM29" s="1" t="str">
        <f>IF(OR($B29="",AM$7=""),"",IF($B29="MEANS",INDEX('1-DATA'!$1:$1048576,$A28-1,COLUMN('1-DATA'!AL27)),ROUND(INDEX('1-DATA'!$1:$1048576,IF(OR($B29="STD. DEVIATION",$C$1=1),$A29,$A29+1),COLUMN('1-DATA'!AL27)),IF($B29="STD. DEVIATION",2,$F$1))))</f>
        <v/>
      </c>
      <c r="AN29" s="1" t="str">
        <f>IF(OR($B29="",AN$7=""),"",IF($B29="MEANS",INDEX('1-DATA'!$1:$1048576,$A28-1,COLUMN('1-DATA'!AM27)),ROUND(INDEX('1-DATA'!$1:$1048576,IF(OR($B29="STD. DEVIATION",$C$1=1),$A29,$A29+1),COLUMN('1-DATA'!AM27)),IF($B29="STD. DEVIATION",2,$F$1))))</f>
        <v/>
      </c>
      <c r="AO29" s="1" t="str">
        <f>IF(OR($B29="",AO$7=""),"",IF($B29="MEANS",INDEX('1-DATA'!$1:$1048576,$A28-1,COLUMN('1-DATA'!AN27)),ROUND(INDEX('1-DATA'!$1:$1048576,IF(OR($B29="STD. DEVIATION",$C$1=1),$A29,$A29+1),COLUMN('1-DATA'!AN27)),IF($B29="STD. DEVIATION",2,$F$1))))</f>
        <v/>
      </c>
      <c r="AP29" s="1" t="str">
        <f>IF(OR($B29="",AP$7=""),"",IF($B29="MEANS",INDEX('1-DATA'!$1:$1048576,$A28-1,COLUMN('1-DATA'!AO27)),ROUND(INDEX('1-DATA'!$1:$1048576,IF(OR($B29="STD. DEVIATION",$C$1=1),$A29,$A29+1),COLUMN('1-DATA'!AO27)),IF($B29="STD. DEVIATION",2,$F$1))))</f>
        <v/>
      </c>
      <c r="AQ29" s="1" t="str">
        <f>IF(OR($B29="",AQ$7=""),"",IF($B29="MEANS",INDEX('1-DATA'!$1:$1048576,$A28-1,COLUMN('1-DATA'!AP27)),ROUND(INDEX('1-DATA'!$1:$1048576,IF(OR($B29="STD. DEVIATION",$C$1=1),$A29,$A29+1),COLUMN('1-DATA'!AP27)),IF($B29="STD. DEVIATION",2,$F$1))))</f>
        <v/>
      </c>
      <c r="AR29" s="1" t="str">
        <f>IF(OR($B29="",AR$7=""),"",IF($B29="MEANS",INDEX('1-DATA'!$1:$1048576,$A28-1,COLUMN('1-DATA'!AQ27)),ROUND(INDEX('1-DATA'!$1:$1048576,IF(OR($B29="STD. DEVIATION",$C$1=1),$A29,$A29+1),COLUMN('1-DATA'!AQ27)),IF($B29="STD. DEVIATION",2,$F$1))))</f>
        <v/>
      </c>
      <c r="AS29" s="1" t="str">
        <f>IF(OR($B29="",AS$7=""),"",IF($B29="MEANS",INDEX('1-DATA'!$1:$1048576,$A28-1,COLUMN('1-DATA'!AR27)),ROUND(INDEX('1-DATA'!$1:$1048576,IF(OR($B29="STD. DEVIATION",$C$1=1),$A29,$A29+1),COLUMN('1-DATA'!AR27)),IF($B29="STD. DEVIATION",2,$F$1))))</f>
        <v/>
      </c>
      <c r="AT29" s="1" t="str">
        <f>IF(OR($B29="",AT$7=""),"",IF($B29="MEANS",INDEX('1-DATA'!$1:$1048576,$A28-1,COLUMN('1-DATA'!AS27)),ROUND(INDEX('1-DATA'!$1:$1048576,IF(OR($B29="STD. DEVIATION",$C$1=1),$A29,$A29+1),COLUMN('1-DATA'!AS27)),IF($B29="STD. DEVIATION",2,$F$1))))</f>
        <v/>
      </c>
      <c r="AU29" s="1" t="str">
        <f>IF(OR($B29="",AU$7=""),"",IF($B29="MEANS",INDEX('1-DATA'!$1:$1048576,$A28-1,COLUMN('1-DATA'!AT27)),ROUND(INDEX('1-DATA'!$1:$1048576,IF(OR($B29="STD. DEVIATION",$C$1=1),$A29,$A29+1),COLUMN('1-DATA'!AT27)),IF($B29="STD. DEVIATION",2,$F$1))))</f>
        <v/>
      </c>
      <c r="AV29" s="1" t="str">
        <f>IF(OR($B29="",AV$7=""),"",IF($B29="MEANS",INDEX('1-DATA'!$1:$1048576,$A28-1,COLUMN('1-DATA'!AU27)),ROUND(INDEX('1-DATA'!$1:$1048576,IF(OR($B29="STD. DEVIATION",$C$1=1),$A29,$A29+1),COLUMN('1-DATA'!AU27)),IF($B29="STD. DEVIATION",2,$F$1))))</f>
        <v/>
      </c>
      <c r="AW29" s="1" t="str">
        <f>IF(OR($B29="",AW$7=""),"",IF($B29="MEANS",INDEX('1-DATA'!$1:$1048576,$A28-1,COLUMN('1-DATA'!AV27)),ROUND(INDEX('1-DATA'!$1:$1048576,IF(OR($B29="STD. DEVIATION",$C$1=1),$A29,$A29+1),COLUMN('1-DATA'!AV27)),IF($B29="STD. DEVIATION",2,$F$1))))</f>
        <v/>
      </c>
      <c r="AX29" s="1" t="str">
        <f>IF(OR($B29="",AX$7=""),"",IF($B29="MEANS",INDEX('1-DATA'!$1:$1048576,$A28-1,COLUMN('1-DATA'!AW27)),ROUND(INDEX('1-DATA'!$1:$1048576,IF(OR($B29="STD. DEVIATION",$C$1=1),$A29,$A29+1),COLUMN('1-DATA'!AW27)),IF($B29="STD. DEVIATION",2,$F$1))))</f>
        <v/>
      </c>
      <c r="AY29" s="1" t="str">
        <f>IF(OR($B29="",AY$7=""),"",IF($B29="MEANS",INDEX('1-DATA'!$1:$1048576,$A28-1,COLUMN('1-DATA'!AX27)),ROUND(INDEX('1-DATA'!$1:$1048576,IF(OR($B29="STD. DEVIATION",$C$1=1),$A29,$A29+1),COLUMN('1-DATA'!AX27)),IF($B29="STD. DEVIATION",2,$F$1))))</f>
        <v/>
      </c>
      <c r="AZ29" s="1" t="str">
        <f>IF(OR($B29="",AZ$7=""),"",IF($B29="MEANS",INDEX('1-DATA'!$1:$1048576,$A28-1,COLUMN('1-DATA'!AY27)),ROUND(INDEX('1-DATA'!$1:$1048576,IF(OR($B29="STD. DEVIATION",$C$1=1),$A29,$A29+1),COLUMN('1-DATA'!AY27)),IF($B29="STD. DEVIATION",2,$F$1))))</f>
        <v/>
      </c>
    </row>
    <row r="30" spans="1:52" x14ac:dyDescent="0.25">
      <c r="A30" s="11">
        <f t="shared" ref="A30:A93" si="1">A29+3</f>
        <v>76</v>
      </c>
      <c r="B30" s="1" t="str">
        <f>IF(B29="STD. DEVIATION",INDEX('1-DATA'!$1:$1048576,$A29-1,1),IF(INDEX('1-DATA'!$1:$1048576,$A30,1)&lt;&gt;"",INDEX('1-DATA'!$1:$1048576,$A30,1),""))</f>
        <v/>
      </c>
      <c r="C30" s="1" t="str">
        <f>IF(OR($B30="",C$7=""),"",IF($B30="MEANS",INDEX('1-DATA'!$1:$1048576,$A29-1,COLUMN('1-DATA'!B28)),ROUND(INDEX('1-DATA'!$1:$1048576,IF(OR($B30="STD. DEVIATION",$C$1=1),$A30,$A30+1),COLUMN('1-DATA'!B28)),IF($B30="STD. DEVIATION",2,$F$1))))</f>
        <v/>
      </c>
      <c r="D30" s="1" t="str">
        <f>IF(OR($B30="",D$7=""),"",IF($B30="MEANS",INDEX('1-DATA'!$1:$1048576,$A29-1,COLUMN('1-DATA'!C28)),ROUND(INDEX('1-DATA'!$1:$1048576,IF(OR($B30="STD. DEVIATION",$C$1=1),$A30,$A30+1),COLUMN('1-DATA'!C28)),IF($B30="STD. DEVIATION",2,$F$1))))</f>
        <v/>
      </c>
      <c r="E30" s="1" t="str">
        <f>IF(OR($B30="",E$7=""),"",IF($B30="MEANS",INDEX('1-DATA'!$1:$1048576,$A29-1,COLUMN('1-DATA'!D28)),ROUND(INDEX('1-DATA'!$1:$1048576,IF(OR($B30="STD. DEVIATION",$C$1=1),$A30,$A30+1),COLUMN('1-DATA'!D28)),IF($B30="STD. DEVIATION",2,$F$1))))</f>
        <v/>
      </c>
      <c r="F30" s="1" t="str">
        <f>IF(OR($B30="",F$7=""),"",IF($B30="MEANS",INDEX('1-DATA'!$1:$1048576,$A29-1,COLUMN('1-DATA'!E28)),ROUND(INDEX('1-DATA'!$1:$1048576,IF(OR($B30="STD. DEVIATION",$C$1=1),$A30,$A30+1),COLUMN('1-DATA'!E28)),IF($B30="STD. DEVIATION",2,$F$1))))</f>
        <v/>
      </c>
      <c r="G30" s="1" t="str">
        <f>IF(OR($B30="",G$7=""),"",IF($B30="MEANS",INDEX('1-DATA'!$1:$1048576,$A29-1,COLUMN('1-DATA'!F28)),ROUND(INDEX('1-DATA'!$1:$1048576,IF(OR($B30="STD. DEVIATION",$C$1=1),$A30,$A30+1),COLUMN('1-DATA'!F28)),IF($B30="STD. DEVIATION",2,$F$1))))</f>
        <v/>
      </c>
      <c r="H30" s="1" t="str">
        <f>IF(OR($B30="",H$7=""),"",IF($B30="MEANS",INDEX('1-DATA'!$1:$1048576,$A29-1,COLUMN('1-DATA'!G28)),ROUND(INDEX('1-DATA'!$1:$1048576,IF(OR($B30="STD. DEVIATION",$C$1=1),$A30,$A30+1),COLUMN('1-DATA'!G28)),IF($B30="STD. DEVIATION",2,$F$1))))</f>
        <v/>
      </c>
      <c r="I30" s="1" t="str">
        <f>IF(OR($B30="",I$7=""),"",IF($B30="MEANS",INDEX('1-DATA'!$1:$1048576,$A29-1,COLUMN('1-DATA'!H28)),ROUND(INDEX('1-DATA'!$1:$1048576,IF(OR($B30="STD. DEVIATION",$C$1=1),$A30,$A30+1),COLUMN('1-DATA'!H28)),IF($B30="STD. DEVIATION",2,$F$1))))</f>
        <v/>
      </c>
      <c r="J30" s="1" t="str">
        <f>IF(OR($B30="",J$7=""),"",IF($B30="MEANS",INDEX('1-DATA'!$1:$1048576,$A29-1,COLUMN('1-DATA'!I28)),ROUND(INDEX('1-DATA'!$1:$1048576,IF(OR($B30="STD. DEVIATION",$C$1=1),$A30,$A30+1),COLUMN('1-DATA'!I28)),IF($B30="STD. DEVIATION",2,$F$1))))</f>
        <v/>
      </c>
      <c r="K30" s="1" t="str">
        <f>IF(OR($B30="",K$7=""),"",IF($B30="MEANS",INDEX('1-DATA'!$1:$1048576,$A29-1,COLUMN('1-DATA'!J28)),ROUND(INDEX('1-DATA'!$1:$1048576,IF(OR($B30="STD. DEVIATION",$C$1=1),$A30,$A30+1),COLUMN('1-DATA'!J28)),IF($B30="STD. DEVIATION",2,$F$1))))</f>
        <v/>
      </c>
      <c r="L30" s="1" t="str">
        <f>IF(OR($B30="",L$7=""),"",IF($B30="MEANS",INDEX('1-DATA'!$1:$1048576,$A29-1,COLUMN('1-DATA'!K28)),ROUND(INDEX('1-DATA'!$1:$1048576,IF(OR($B30="STD. DEVIATION",$C$1=1),$A30,$A30+1),COLUMN('1-DATA'!K28)),IF($B30="STD. DEVIATION",2,$F$1))))</f>
        <v/>
      </c>
      <c r="M30" s="1" t="str">
        <f>IF(OR($B30="",M$7=""),"",IF($B30="MEANS",INDEX('1-DATA'!$1:$1048576,$A29-1,COLUMN('1-DATA'!L28)),ROUND(INDEX('1-DATA'!$1:$1048576,IF(OR($B30="STD. DEVIATION",$C$1=1),$A30,$A30+1),COLUMN('1-DATA'!L28)),IF($B30="STD. DEVIATION",2,$F$1))))</f>
        <v/>
      </c>
      <c r="N30" s="1" t="str">
        <f>IF(OR($B30="",N$7=""),"",IF($B30="MEANS",INDEX('1-DATA'!$1:$1048576,$A29-1,COLUMN('1-DATA'!M28)),ROUND(INDEX('1-DATA'!$1:$1048576,IF(OR($B30="STD. DEVIATION",$C$1=1),$A30,$A30+1),COLUMN('1-DATA'!M28)),IF($B30="STD. DEVIATION",2,$F$1))))</f>
        <v/>
      </c>
      <c r="O30" s="1" t="str">
        <f>IF(OR($B30="",O$7=""),"",IF($B30="MEANS",INDEX('1-DATA'!$1:$1048576,$A29-1,COLUMN('1-DATA'!N28)),ROUND(INDEX('1-DATA'!$1:$1048576,IF(OR($B30="STD. DEVIATION",$C$1=1),$A30,$A30+1),COLUMN('1-DATA'!N28)),IF($B30="STD. DEVIATION",2,$F$1))))</f>
        <v/>
      </c>
      <c r="P30" s="1" t="str">
        <f>IF(OR($B30="",P$7=""),"",IF($B30="MEANS",INDEX('1-DATA'!$1:$1048576,$A29-1,COLUMN('1-DATA'!O28)),ROUND(INDEX('1-DATA'!$1:$1048576,IF(OR($B30="STD. DEVIATION",$C$1=1),$A30,$A30+1),COLUMN('1-DATA'!O28)),IF($B30="STD. DEVIATION",2,$F$1))))</f>
        <v/>
      </c>
      <c r="Q30" s="1" t="str">
        <f>IF(OR($B30="",Q$7=""),"",IF($B30="MEANS",INDEX('1-DATA'!$1:$1048576,$A29-1,COLUMN('1-DATA'!P28)),ROUND(INDEX('1-DATA'!$1:$1048576,IF(OR($B30="STD. DEVIATION",$C$1=1),$A30,$A30+1),COLUMN('1-DATA'!P28)),IF($B30="STD. DEVIATION",2,$F$1))))</f>
        <v/>
      </c>
      <c r="R30" s="1" t="str">
        <f>IF(OR($B30="",R$7=""),"",IF($B30="MEANS",INDEX('1-DATA'!$1:$1048576,$A29-1,COLUMN('1-DATA'!Q28)),ROUND(INDEX('1-DATA'!$1:$1048576,IF(OR($B30="STD. DEVIATION",$C$1=1),$A30,$A30+1),COLUMN('1-DATA'!Q28)),IF($B30="STD. DEVIATION",2,$F$1))))</f>
        <v/>
      </c>
      <c r="S30" s="1" t="str">
        <f>IF(OR($B30="",S$7=""),"",IF($B30="MEANS",INDEX('1-DATA'!$1:$1048576,$A29-1,COLUMN('1-DATA'!R28)),ROUND(INDEX('1-DATA'!$1:$1048576,IF(OR($B30="STD. DEVIATION",$C$1=1),$A30,$A30+1),COLUMN('1-DATA'!R28)),IF($B30="STD. DEVIATION",2,$F$1))))</f>
        <v/>
      </c>
      <c r="T30" s="1" t="str">
        <f>IF(OR($B30="",T$7=""),"",IF($B30="MEANS",INDEX('1-DATA'!$1:$1048576,$A29-1,COLUMN('1-DATA'!S28)),ROUND(INDEX('1-DATA'!$1:$1048576,IF(OR($B30="STD. DEVIATION",$C$1=1),$A30,$A30+1),COLUMN('1-DATA'!S28)),IF($B30="STD. DEVIATION",2,$F$1))))</f>
        <v/>
      </c>
      <c r="U30" s="1" t="str">
        <f>IF(OR($B30="",U$7=""),"",IF($B30="MEANS",INDEX('1-DATA'!$1:$1048576,$A29-1,COLUMN('1-DATA'!T28)),ROUND(INDEX('1-DATA'!$1:$1048576,IF(OR($B30="STD. DEVIATION",$C$1=1),$A30,$A30+1),COLUMN('1-DATA'!T28)),IF($B30="STD. DEVIATION",2,$F$1))))</f>
        <v/>
      </c>
      <c r="V30" s="1" t="str">
        <f>IF(OR($B30="",V$7=""),"",IF($B30="MEANS",INDEX('1-DATA'!$1:$1048576,$A29-1,COLUMN('1-DATA'!U28)),ROUND(INDEX('1-DATA'!$1:$1048576,IF(OR($B30="STD. DEVIATION",$C$1=1),$A30,$A30+1),COLUMN('1-DATA'!U28)),IF($B30="STD. DEVIATION",2,$F$1))))</f>
        <v/>
      </c>
      <c r="W30" s="1" t="str">
        <f>IF(OR($B30="",W$7=""),"",IF($B30="MEANS",INDEX('1-DATA'!$1:$1048576,$A29-1,COLUMN('1-DATA'!V28)),ROUND(INDEX('1-DATA'!$1:$1048576,IF(OR($B30="STD. DEVIATION",$C$1=1),$A30,$A30+1),COLUMN('1-DATA'!V28)),IF($B30="STD. DEVIATION",2,$F$1))))</f>
        <v/>
      </c>
      <c r="X30" s="1" t="str">
        <f>IF(OR($B30="",X$7=""),"",IF($B30="MEANS",INDEX('1-DATA'!$1:$1048576,$A29-1,COLUMN('1-DATA'!W28)),ROUND(INDEX('1-DATA'!$1:$1048576,IF(OR($B30="STD. DEVIATION",$C$1=1),$A30,$A30+1),COLUMN('1-DATA'!W28)),IF($B30="STD. DEVIATION",2,$F$1))))</f>
        <v/>
      </c>
      <c r="Y30" s="1" t="str">
        <f>IF(OR($B30="",Y$7=""),"",IF($B30="MEANS",INDEX('1-DATA'!$1:$1048576,$A29-1,COLUMN('1-DATA'!X28)),ROUND(INDEX('1-DATA'!$1:$1048576,IF(OR($B30="STD. DEVIATION",$C$1=1),$A30,$A30+1),COLUMN('1-DATA'!X28)),IF($B30="STD. DEVIATION",2,$F$1))))</f>
        <v/>
      </c>
      <c r="Z30" s="1" t="str">
        <f>IF(OR($B30="",Z$7=""),"",IF($B30="MEANS",INDEX('1-DATA'!$1:$1048576,$A29-1,COLUMN('1-DATA'!Y28)),ROUND(INDEX('1-DATA'!$1:$1048576,IF(OR($B30="STD. DEVIATION",$C$1=1),$A30,$A30+1),COLUMN('1-DATA'!Y28)),IF($B30="STD. DEVIATION",2,$F$1))))</f>
        <v/>
      </c>
      <c r="AA30" s="1" t="str">
        <f>IF(OR($B30="",AA$7=""),"",IF($B30="MEANS",INDEX('1-DATA'!$1:$1048576,$A29-1,COLUMN('1-DATA'!Z28)),ROUND(INDEX('1-DATA'!$1:$1048576,IF(OR($B30="STD. DEVIATION",$C$1=1),$A30,$A30+1),COLUMN('1-DATA'!Z28)),IF($B30="STD. DEVIATION",2,$F$1))))</f>
        <v/>
      </c>
      <c r="AB30" s="1" t="str">
        <f>IF(OR($B30="",AB$7=""),"",IF($B30="MEANS",INDEX('1-DATA'!$1:$1048576,$A29-1,COLUMN('1-DATA'!AA28)),ROUND(INDEX('1-DATA'!$1:$1048576,IF(OR($B30="STD. DEVIATION",$C$1=1),$A30,$A30+1),COLUMN('1-DATA'!AA28)),IF($B30="STD. DEVIATION",2,$F$1))))</f>
        <v/>
      </c>
      <c r="AC30" s="1" t="str">
        <f>IF(OR($B30="",AC$7=""),"",IF($B30="MEANS",INDEX('1-DATA'!$1:$1048576,$A29-1,COLUMN('1-DATA'!AB28)),ROUND(INDEX('1-DATA'!$1:$1048576,IF(OR($B30="STD. DEVIATION",$C$1=1),$A30,$A30+1),COLUMN('1-DATA'!AB28)),IF($B30="STD. DEVIATION",2,$F$1))))</f>
        <v/>
      </c>
      <c r="AD30" s="1" t="str">
        <f>IF(OR($B30="",AD$7=""),"",IF($B30="MEANS",INDEX('1-DATA'!$1:$1048576,$A29-1,COLUMN('1-DATA'!AC28)),ROUND(INDEX('1-DATA'!$1:$1048576,IF(OR($B30="STD. DEVIATION",$C$1=1),$A30,$A30+1),COLUMN('1-DATA'!AC28)),IF($B30="STD. DEVIATION",2,$F$1))))</f>
        <v/>
      </c>
      <c r="AE30" s="1" t="str">
        <f>IF(OR($B30="",AE$7=""),"",IF($B30="MEANS",INDEX('1-DATA'!$1:$1048576,$A29-1,COLUMN('1-DATA'!AD28)),ROUND(INDEX('1-DATA'!$1:$1048576,IF(OR($B30="STD. DEVIATION",$C$1=1),$A30,$A30+1),COLUMN('1-DATA'!AD28)),IF($B30="STD. DEVIATION",2,$F$1))))</f>
        <v/>
      </c>
      <c r="AF30" s="1" t="str">
        <f>IF(OR($B30="",AF$7=""),"",IF($B30="MEANS",INDEX('1-DATA'!$1:$1048576,$A29-1,COLUMN('1-DATA'!AE28)),ROUND(INDEX('1-DATA'!$1:$1048576,IF(OR($B30="STD. DEVIATION",$C$1=1),$A30,$A30+1),COLUMN('1-DATA'!AE28)),IF($B30="STD. DEVIATION",2,$F$1))))</f>
        <v/>
      </c>
      <c r="AG30" s="1" t="str">
        <f>IF(OR($B30="",AG$7=""),"",IF($B30="MEANS",INDEX('1-DATA'!$1:$1048576,$A29-1,COLUMN('1-DATA'!AF28)),ROUND(INDEX('1-DATA'!$1:$1048576,IF(OR($B30="STD. DEVIATION",$C$1=1),$A30,$A30+1),COLUMN('1-DATA'!AF28)),IF($B30="STD. DEVIATION",2,$F$1))))</f>
        <v/>
      </c>
      <c r="AH30" s="1" t="str">
        <f>IF(OR($B30="",AH$7=""),"",IF($B30="MEANS",INDEX('1-DATA'!$1:$1048576,$A29-1,COLUMN('1-DATA'!AG28)),ROUND(INDEX('1-DATA'!$1:$1048576,IF(OR($B30="STD. DEVIATION",$C$1=1),$A30,$A30+1),COLUMN('1-DATA'!AG28)),IF($B30="STD. DEVIATION",2,$F$1))))</f>
        <v/>
      </c>
      <c r="AI30" s="1" t="str">
        <f>IF(OR($B30="",AI$7=""),"",IF($B30="MEANS",INDEX('1-DATA'!$1:$1048576,$A29-1,COLUMN('1-DATA'!AH28)),ROUND(INDEX('1-DATA'!$1:$1048576,IF(OR($B30="STD. DEVIATION",$C$1=1),$A30,$A30+1),COLUMN('1-DATA'!AH28)),IF($B30="STD. DEVIATION",2,$F$1))))</f>
        <v/>
      </c>
      <c r="AJ30" s="1" t="str">
        <f>IF(OR($B30="",AJ$7=""),"",IF($B30="MEANS",INDEX('1-DATA'!$1:$1048576,$A29-1,COLUMN('1-DATA'!AI28)),ROUND(INDEX('1-DATA'!$1:$1048576,IF(OR($B30="STD. DEVIATION",$C$1=1),$A30,$A30+1),COLUMN('1-DATA'!AI28)),IF($B30="STD. DEVIATION",2,$F$1))))</f>
        <v/>
      </c>
      <c r="AK30" s="1" t="str">
        <f>IF(OR($B30="",AK$7=""),"",IF($B30="MEANS",INDEX('1-DATA'!$1:$1048576,$A29-1,COLUMN('1-DATA'!AJ28)),ROUND(INDEX('1-DATA'!$1:$1048576,IF(OR($B30="STD. DEVIATION",$C$1=1),$A30,$A30+1),COLUMN('1-DATA'!AJ28)),IF($B30="STD. DEVIATION",2,$F$1))))</f>
        <v/>
      </c>
      <c r="AL30" s="1" t="str">
        <f>IF(OR($B30="",AL$7=""),"",IF($B30="MEANS",INDEX('1-DATA'!$1:$1048576,$A29-1,COLUMN('1-DATA'!AK28)),ROUND(INDEX('1-DATA'!$1:$1048576,IF(OR($B30="STD. DEVIATION",$C$1=1),$A30,$A30+1),COLUMN('1-DATA'!AK28)),IF($B30="STD. DEVIATION",2,$F$1))))</f>
        <v/>
      </c>
      <c r="AM30" s="1" t="str">
        <f>IF(OR($B30="",AM$7=""),"",IF($B30="MEANS",INDEX('1-DATA'!$1:$1048576,$A29-1,COLUMN('1-DATA'!AL28)),ROUND(INDEX('1-DATA'!$1:$1048576,IF(OR($B30="STD. DEVIATION",$C$1=1),$A30,$A30+1),COLUMN('1-DATA'!AL28)),IF($B30="STD. DEVIATION",2,$F$1))))</f>
        <v/>
      </c>
      <c r="AN30" s="1" t="str">
        <f>IF(OR($B30="",AN$7=""),"",IF($B30="MEANS",INDEX('1-DATA'!$1:$1048576,$A29-1,COLUMN('1-DATA'!AM28)),ROUND(INDEX('1-DATA'!$1:$1048576,IF(OR($B30="STD. DEVIATION",$C$1=1),$A30,$A30+1),COLUMN('1-DATA'!AM28)),IF($B30="STD. DEVIATION",2,$F$1))))</f>
        <v/>
      </c>
      <c r="AO30" s="1" t="str">
        <f>IF(OR($B30="",AO$7=""),"",IF($B30="MEANS",INDEX('1-DATA'!$1:$1048576,$A29-1,COLUMN('1-DATA'!AN28)),ROUND(INDEX('1-DATA'!$1:$1048576,IF(OR($B30="STD. DEVIATION",$C$1=1),$A30,$A30+1),COLUMN('1-DATA'!AN28)),IF($B30="STD. DEVIATION",2,$F$1))))</f>
        <v/>
      </c>
      <c r="AP30" s="1" t="str">
        <f>IF(OR($B30="",AP$7=""),"",IF($B30="MEANS",INDEX('1-DATA'!$1:$1048576,$A29-1,COLUMN('1-DATA'!AO28)),ROUND(INDEX('1-DATA'!$1:$1048576,IF(OR($B30="STD. DEVIATION",$C$1=1),$A30,$A30+1),COLUMN('1-DATA'!AO28)),IF($B30="STD. DEVIATION",2,$F$1))))</f>
        <v/>
      </c>
      <c r="AQ30" s="1" t="str">
        <f>IF(OR($B30="",AQ$7=""),"",IF($B30="MEANS",INDEX('1-DATA'!$1:$1048576,$A29-1,COLUMN('1-DATA'!AP28)),ROUND(INDEX('1-DATA'!$1:$1048576,IF(OR($B30="STD. DEVIATION",$C$1=1),$A30,$A30+1),COLUMN('1-DATA'!AP28)),IF($B30="STD. DEVIATION",2,$F$1))))</f>
        <v/>
      </c>
      <c r="AR30" s="1" t="str">
        <f>IF(OR($B30="",AR$7=""),"",IF($B30="MEANS",INDEX('1-DATA'!$1:$1048576,$A29-1,COLUMN('1-DATA'!AQ28)),ROUND(INDEX('1-DATA'!$1:$1048576,IF(OR($B30="STD. DEVIATION",$C$1=1),$A30,$A30+1),COLUMN('1-DATA'!AQ28)),IF($B30="STD. DEVIATION",2,$F$1))))</f>
        <v/>
      </c>
      <c r="AS30" s="1" t="str">
        <f>IF(OR($B30="",AS$7=""),"",IF($B30="MEANS",INDEX('1-DATA'!$1:$1048576,$A29-1,COLUMN('1-DATA'!AR28)),ROUND(INDEX('1-DATA'!$1:$1048576,IF(OR($B30="STD. DEVIATION",$C$1=1),$A30,$A30+1),COLUMN('1-DATA'!AR28)),IF($B30="STD. DEVIATION",2,$F$1))))</f>
        <v/>
      </c>
      <c r="AT30" s="1" t="str">
        <f>IF(OR($B30="",AT$7=""),"",IF($B30="MEANS",INDEX('1-DATA'!$1:$1048576,$A29-1,COLUMN('1-DATA'!AS28)),ROUND(INDEX('1-DATA'!$1:$1048576,IF(OR($B30="STD. DEVIATION",$C$1=1),$A30,$A30+1),COLUMN('1-DATA'!AS28)),IF($B30="STD. DEVIATION",2,$F$1))))</f>
        <v/>
      </c>
      <c r="AU30" s="1" t="str">
        <f>IF(OR($B30="",AU$7=""),"",IF($B30="MEANS",INDEX('1-DATA'!$1:$1048576,$A29-1,COLUMN('1-DATA'!AT28)),ROUND(INDEX('1-DATA'!$1:$1048576,IF(OR($B30="STD. DEVIATION",$C$1=1),$A30,$A30+1),COLUMN('1-DATA'!AT28)),IF($B30="STD. DEVIATION",2,$F$1))))</f>
        <v/>
      </c>
      <c r="AV30" s="1" t="str">
        <f>IF(OR($B30="",AV$7=""),"",IF($B30="MEANS",INDEX('1-DATA'!$1:$1048576,$A29-1,COLUMN('1-DATA'!AU28)),ROUND(INDEX('1-DATA'!$1:$1048576,IF(OR($B30="STD. DEVIATION",$C$1=1),$A30,$A30+1),COLUMN('1-DATA'!AU28)),IF($B30="STD. DEVIATION",2,$F$1))))</f>
        <v/>
      </c>
      <c r="AW30" s="1" t="str">
        <f>IF(OR($B30="",AW$7=""),"",IF($B30="MEANS",INDEX('1-DATA'!$1:$1048576,$A29-1,COLUMN('1-DATA'!AV28)),ROUND(INDEX('1-DATA'!$1:$1048576,IF(OR($B30="STD. DEVIATION",$C$1=1),$A30,$A30+1),COLUMN('1-DATA'!AV28)),IF($B30="STD. DEVIATION",2,$F$1))))</f>
        <v/>
      </c>
      <c r="AX30" s="1" t="str">
        <f>IF(OR($B30="",AX$7=""),"",IF($B30="MEANS",INDEX('1-DATA'!$1:$1048576,$A29-1,COLUMN('1-DATA'!AW28)),ROUND(INDEX('1-DATA'!$1:$1048576,IF(OR($B30="STD. DEVIATION",$C$1=1),$A30,$A30+1),COLUMN('1-DATA'!AW28)),IF($B30="STD. DEVIATION",2,$F$1))))</f>
        <v/>
      </c>
      <c r="AY30" s="1" t="str">
        <f>IF(OR($B30="",AY$7=""),"",IF($B30="MEANS",INDEX('1-DATA'!$1:$1048576,$A29-1,COLUMN('1-DATA'!AX28)),ROUND(INDEX('1-DATA'!$1:$1048576,IF(OR($B30="STD. DEVIATION",$C$1=1),$A30,$A30+1),COLUMN('1-DATA'!AX28)),IF($B30="STD. DEVIATION",2,$F$1))))</f>
        <v/>
      </c>
      <c r="AZ30" s="1" t="str">
        <f>IF(OR($B30="",AZ$7=""),"",IF($B30="MEANS",INDEX('1-DATA'!$1:$1048576,$A29-1,COLUMN('1-DATA'!AY28)),ROUND(INDEX('1-DATA'!$1:$1048576,IF(OR($B30="STD. DEVIATION",$C$1=1),$A30,$A30+1),COLUMN('1-DATA'!AY28)),IF($B30="STD. DEVIATION",2,$F$1))))</f>
        <v/>
      </c>
    </row>
    <row r="31" spans="1:52" x14ac:dyDescent="0.25">
      <c r="A31" s="11">
        <f t="shared" si="1"/>
        <v>79</v>
      </c>
      <c r="B31" s="1" t="str">
        <f>IF(B30="STD. DEVIATION",INDEX('1-DATA'!$1:$1048576,$A30-1,1),IF(INDEX('1-DATA'!$1:$1048576,$A31,1)&lt;&gt;"",INDEX('1-DATA'!$1:$1048576,$A31,1),""))</f>
        <v/>
      </c>
      <c r="C31" s="1" t="str">
        <f>IF(OR($B31="",C$7=""),"",IF($B31="MEANS",INDEX('1-DATA'!$1:$1048576,$A30-1,COLUMN('1-DATA'!B29)),ROUND(INDEX('1-DATA'!$1:$1048576,IF(OR($B31="STD. DEVIATION",$C$1=1),$A31,$A31+1),COLUMN('1-DATA'!B29)),IF($B31="STD. DEVIATION",2,$F$1))))</f>
        <v/>
      </c>
      <c r="D31" s="1" t="str">
        <f>IF(OR($B31="",D$7=""),"",IF($B31="MEANS",INDEX('1-DATA'!$1:$1048576,$A30-1,COLUMN('1-DATA'!C29)),ROUND(INDEX('1-DATA'!$1:$1048576,IF(OR($B31="STD. DEVIATION",$C$1=1),$A31,$A31+1),COLUMN('1-DATA'!C29)),IF($B31="STD. DEVIATION",2,$F$1))))</f>
        <v/>
      </c>
      <c r="E31" s="1" t="str">
        <f>IF(OR($B31="",E$7=""),"",IF($B31="MEANS",INDEX('1-DATA'!$1:$1048576,$A30-1,COLUMN('1-DATA'!D29)),ROUND(INDEX('1-DATA'!$1:$1048576,IF(OR($B31="STD. DEVIATION",$C$1=1),$A31,$A31+1),COLUMN('1-DATA'!D29)),IF($B31="STD. DEVIATION",2,$F$1))))</f>
        <v/>
      </c>
      <c r="F31" s="1" t="str">
        <f>IF(OR($B31="",F$7=""),"",IF($B31="MEANS",INDEX('1-DATA'!$1:$1048576,$A30-1,COLUMN('1-DATA'!E29)),ROUND(INDEX('1-DATA'!$1:$1048576,IF(OR($B31="STD. DEVIATION",$C$1=1),$A31,$A31+1),COLUMN('1-DATA'!E29)),IF($B31="STD. DEVIATION",2,$F$1))))</f>
        <v/>
      </c>
      <c r="G31" s="1" t="str">
        <f>IF(OR($B31="",G$7=""),"",IF($B31="MEANS",INDEX('1-DATA'!$1:$1048576,$A30-1,COLUMN('1-DATA'!F29)),ROUND(INDEX('1-DATA'!$1:$1048576,IF(OR($B31="STD. DEVIATION",$C$1=1),$A31,$A31+1),COLUMN('1-DATA'!F29)),IF($B31="STD. DEVIATION",2,$F$1))))</f>
        <v/>
      </c>
      <c r="H31" s="1" t="str">
        <f>IF(OR($B31="",H$7=""),"",IF($B31="MEANS",INDEX('1-DATA'!$1:$1048576,$A30-1,COLUMN('1-DATA'!G29)),ROUND(INDEX('1-DATA'!$1:$1048576,IF(OR($B31="STD. DEVIATION",$C$1=1),$A31,$A31+1),COLUMN('1-DATA'!G29)),IF($B31="STD. DEVIATION",2,$F$1))))</f>
        <v/>
      </c>
      <c r="I31" s="1" t="str">
        <f>IF(OR($B31="",I$7=""),"",IF($B31="MEANS",INDEX('1-DATA'!$1:$1048576,$A30-1,COLUMN('1-DATA'!H29)),ROUND(INDEX('1-DATA'!$1:$1048576,IF(OR($B31="STD. DEVIATION",$C$1=1),$A31,$A31+1),COLUMN('1-DATA'!H29)),IF($B31="STD. DEVIATION",2,$F$1))))</f>
        <v/>
      </c>
      <c r="J31" s="1" t="str">
        <f>IF(OR($B31="",J$7=""),"",IF($B31="MEANS",INDEX('1-DATA'!$1:$1048576,$A30-1,COLUMN('1-DATA'!I29)),ROUND(INDEX('1-DATA'!$1:$1048576,IF(OR($B31="STD. DEVIATION",$C$1=1),$A31,$A31+1),COLUMN('1-DATA'!I29)),IF($B31="STD. DEVIATION",2,$F$1))))</f>
        <v/>
      </c>
      <c r="K31" s="1" t="str">
        <f>IF(OR($B31="",K$7=""),"",IF($B31="MEANS",INDEX('1-DATA'!$1:$1048576,$A30-1,COLUMN('1-DATA'!J29)),ROUND(INDEX('1-DATA'!$1:$1048576,IF(OR($B31="STD. DEVIATION",$C$1=1),$A31,$A31+1),COLUMN('1-DATA'!J29)),IF($B31="STD. DEVIATION",2,$F$1))))</f>
        <v/>
      </c>
      <c r="L31" s="1" t="str">
        <f>IF(OR($B31="",L$7=""),"",IF($B31="MEANS",INDEX('1-DATA'!$1:$1048576,$A30-1,COLUMN('1-DATA'!K29)),ROUND(INDEX('1-DATA'!$1:$1048576,IF(OR($B31="STD. DEVIATION",$C$1=1),$A31,$A31+1),COLUMN('1-DATA'!K29)),IF($B31="STD. DEVIATION",2,$F$1))))</f>
        <v/>
      </c>
      <c r="M31" s="1" t="str">
        <f>IF(OR($B31="",M$7=""),"",IF($B31="MEANS",INDEX('1-DATA'!$1:$1048576,$A30-1,COLUMN('1-DATA'!L29)),ROUND(INDEX('1-DATA'!$1:$1048576,IF(OR($B31="STD. DEVIATION",$C$1=1),$A31,$A31+1),COLUMN('1-DATA'!L29)),IF($B31="STD. DEVIATION",2,$F$1))))</f>
        <v/>
      </c>
      <c r="N31" s="1" t="str">
        <f>IF(OR($B31="",N$7=""),"",IF($B31="MEANS",INDEX('1-DATA'!$1:$1048576,$A30-1,COLUMN('1-DATA'!M29)),ROUND(INDEX('1-DATA'!$1:$1048576,IF(OR($B31="STD. DEVIATION",$C$1=1),$A31,$A31+1),COLUMN('1-DATA'!M29)),IF($B31="STD. DEVIATION",2,$F$1))))</f>
        <v/>
      </c>
      <c r="O31" s="1" t="str">
        <f>IF(OR($B31="",O$7=""),"",IF($B31="MEANS",INDEX('1-DATA'!$1:$1048576,$A30-1,COLUMN('1-DATA'!N29)),ROUND(INDEX('1-DATA'!$1:$1048576,IF(OR($B31="STD. DEVIATION",$C$1=1),$A31,$A31+1),COLUMN('1-DATA'!N29)),IF($B31="STD. DEVIATION",2,$F$1))))</f>
        <v/>
      </c>
      <c r="P31" s="1" t="str">
        <f>IF(OR($B31="",P$7=""),"",IF($B31="MEANS",INDEX('1-DATA'!$1:$1048576,$A30-1,COLUMN('1-DATA'!O29)),ROUND(INDEX('1-DATA'!$1:$1048576,IF(OR($B31="STD. DEVIATION",$C$1=1),$A31,$A31+1),COLUMN('1-DATA'!O29)),IF($B31="STD. DEVIATION",2,$F$1))))</f>
        <v/>
      </c>
      <c r="Q31" s="1" t="str">
        <f>IF(OR($B31="",Q$7=""),"",IF($B31="MEANS",INDEX('1-DATA'!$1:$1048576,$A30-1,COLUMN('1-DATA'!P29)),ROUND(INDEX('1-DATA'!$1:$1048576,IF(OR($B31="STD. DEVIATION",$C$1=1),$A31,$A31+1),COLUMN('1-DATA'!P29)),IF($B31="STD. DEVIATION",2,$F$1))))</f>
        <v/>
      </c>
      <c r="R31" s="1" t="str">
        <f>IF(OR($B31="",R$7=""),"",IF($B31="MEANS",INDEX('1-DATA'!$1:$1048576,$A30-1,COLUMN('1-DATA'!Q29)),ROUND(INDEX('1-DATA'!$1:$1048576,IF(OR($B31="STD. DEVIATION",$C$1=1),$A31,$A31+1),COLUMN('1-DATA'!Q29)),IF($B31="STD. DEVIATION",2,$F$1))))</f>
        <v/>
      </c>
      <c r="S31" s="1" t="str">
        <f>IF(OR($B31="",S$7=""),"",IF($B31="MEANS",INDEX('1-DATA'!$1:$1048576,$A30-1,COLUMN('1-DATA'!R29)),ROUND(INDEX('1-DATA'!$1:$1048576,IF(OR($B31="STD. DEVIATION",$C$1=1),$A31,$A31+1),COLUMN('1-DATA'!R29)),IF($B31="STD. DEVIATION",2,$F$1))))</f>
        <v/>
      </c>
      <c r="T31" s="1" t="str">
        <f>IF(OR($B31="",T$7=""),"",IF($B31="MEANS",INDEX('1-DATA'!$1:$1048576,$A30-1,COLUMN('1-DATA'!S29)),ROUND(INDEX('1-DATA'!$1:$1048576,IF(OR($B31="STD. DEVIATION",$C$1=1),$A31,$A31+1),COLUMN('1-DATA'!S29)),IF($B31="STD. DEVIATION",2,$F$1))))</f>
        <v/>
      </c>
      <c r="U31" s="1" t="str">
        <f>IF(OR($B31="",U$7=""),"",IF($B31="MEANS",INDEX('1-DATA'!$1:$1048576,$A30-1,COLUMN('1-DATA'!T29)),ROUND(INDEX('1-DATA'!$1:$1048576,IF(OR($B31="STD. DEVIATION",$C$1=1),$A31,$A31+1),COLUMN('1-DATA'!T29)),IF($B31="STD. DEVIATION",2,$F$1))))</f>
        <v/>
      </c>
      <c r="V31" s="1" t="str">
        <f>IF(OR($B31="",V$7=""),"",IF($B31="MEANS",INDEX('1-DATA'!$1:$1048576,$A30-1,COLUMN('1-DATA'!U29)),ROUND(INDEX('1-DATA'!$1:$1048576,IF(OR($B31="STD. DEVIATION",$C$1=1),$A31,$A31+1),COLUMN('1-DATA'!U29)),IF($B31="STD. DEVIATION",2,$F$1))))</f>
        <v/>
      </c>
      <c r="W31" s="1" t="str">
        <f>IF(OR($B31="",W$7=""),"",IF($B31="MEANS",INDEX('1-DATA'!$1:$1048576,$A30-1,COLUMN('1-DATA'!V29)),ROUND(INDEX('1-DATA'!$1:$1048576,IF(OR($B31="STD. DEVIATION",$C$1=1),$A31,$A31+1),COLUMN('1-DATA'!V29)),IF($B31="STD. DEVIATION",2,$F$1))))</f>
        <v/>
      </c>
      <c r="X31" s="1" t="str">
        <f>IF(OR($B31="",X$7=""),"",IF($B31="MEANS",INDEX('1-DATA'!$1:$1048576,$A30-1,COLUMN('1-DATA'!W29)),ROUND(INDEX('1-DATA'!$1:$1048576,IF(OR($B31="STD. DEVIATION",$C$1=1),$A31,$A31+1),COLUMN('1-DATA'!W29)),IF($B31="STD. DEVIATION",2,$F$1))))</f>
        <v/>
      </c>
      <c r="Y31" s="1" t="str">
        <f>IF(OR($B31="",Y$7=""),"",IF($B31="MEANS",INDEX('1-DATA'!$1:$1048576,$A30-1,COLUMN('1-DATA'!X29)),ROUND(INDEX('1-DATA'!$1:$1048576,IF(OR($B31="STD. DEVIATION",$C$1=1),$A31,$A31+1),COLUMN('1-DATA'!X29)),IF($B31="STD. DEVIATION",2,$F$1))))</f>
        <v/>
      </c>
      <c r="Z31" s="1" t="str">
        <f>IF(OR($B31="",Z$7=""),"",IF($B31="MEANS",INDEX('1-DATA'!$1:$1048576,$A30-1,COLUMN('1-DATA'!Y29)),ROUND(INDEX('1-DATA'!$1:$1048576,IF(OR($B31="STD. DEVIATION",$C$1=1),$A31,$A31+1),COLUMN('1-DATA'!Y29)),IF($B31="STD. DEVIATION",2,$F$1))))</f>
        <v/>
      </c>
      <c r="AA31" s="1" t="str">
        <f>IF(OR($B31="",AA$7=""),"",IF($B31="MEANS",INDEX('1-DATA'!$1:$1048576,$A30-1,COLUMN('1-DATA'!Z29)),ROUND(INDEX('1-DATA'!$1:$1048576,IF(OR($B31="STD. DEVIATION",$C$1=1),$A31,$A31+1),COLUMN('1-DATA'!Z29)),IF($B31="STD. DEVIATION",2,$F$1))))</f>
        <v/>
      </c>
      <c r="AB31" s="1" t="str">
        <f>IF(OR($B31="",AB$7=""),"",IF($B31="MEANS",INDEX('1-DATA'!$1:$1048576,$A30-1,COLUMN('1-DATA'!AA29)),ROUND(INDEX('1-DATA'!$1:$1048576,IF(OR($B31="STD. DEVIATION",$C$1=1),$A31,$A31+1),COLUMN('1-DATA'!AA29)),IF($B31="STD. DEVIATION",2,$F$1))))</f>
        <v/>
      </c>
      <c r="AC31" s="1" t="str">
        <f>IF(OR($B31="",AC$7=""),"",IF($B31="MEANS",INDEX('1-DATA'!$1:$1048576,$A30-1,COLUMN('1-DATA'!AB29)),ROUND(INDEX('1-DATA'!$1:$1048576,IF(OR($B31="STD. DEVIATION",$C$1=1),$A31,$A31+1),COLUMN('1-DATA'!AB29)),IF($B31="STD. DEVIATION",2,$F$1))))</f>
        <v/>
      </c>
      <c r="AD31" s="1" t="str">
        <f>IF(OR($B31="",AD$7=""),"",IF($B31="MEANS",INDEX('1-DATA'!$1:$1048576,$A30-1,COLUMN('1-DATA'!AC29)),ROUND(INDEX('1-DATA'!$1:$1048576,IF(OR($B31="STD. DEVIATION",$C$1=1),$A31,$A31+1),COLUMN('1-DATA'!AC29)),IF($B31="STD. DEVIATION",2,$F$1))))</f>
        <v/>
      </c>
      <c r="AE31" s="1" t="str">
        <f>IF(OR($B31="",AE$7=""),"",IF($B31="MEANS",INDEX('1-DATA'!$1:$1048576,$A30-1,COLUMN('1-DATA'!AD29)),ROUND(INDEX('1-DATA'!$1:$1048576,IF(OR($B31="STD. DEVIATION",$C$1=1),$A31,$A31+1),COLUMN('1-DATA'!AD29)),IF($B31="STD. DEVIATION",2,$F$1))))</f>
        <v/>
      </c>
      <c r="AF31" s="1" t="str">
        <f>IF(OR($B31="",AF$7=""),"",IF($B31="MEANS",INDEX('1-DATA'!$1:$1048576,$A30-1,COLUMN('1-DATA'!AE29)),ROUND(INDEX('1-DATA'!$1:$1048576,IF(OR($B31="STD. DEVIATION",$C$1=1),$A31,$A31+1),COLUMN('1-DATA'!AE29)),IF($B31="STD. DEVIATION",2,$F$1))))</f>
        <v/>
      </c>
      <c r="AG31" s="1" t="str">
        <f>IF(OR($B31="",AG$7=""),"",IF($B31="MEANS",INDEX('1-DATA'!$1:$1048576,$A30-1,COLUMN('1-DATA'!AF29)),ROUND(INDEX('1-DATA'!$1:$1048576,IF(OR($B31="STD. DEVIATION",$C$1=1),$A31,$A31+1),COLUMN('1-DATA'!AF29)),IF($B31="STD. DEVIATION",2,$F$1))))</f>
        <v/>
      </c>
      <c r="AH31" s="1" t="str">
        <f>IF(OR($B31="",AH$7=""),"",IF($B31="MEANS",INDEX('1-DATA'!$1:$1048576,$A30-1,COLUMN('1-DATA'!AG29)),ROUND(INDEX('1-DATA'!$1:$1048576,IF(OR($B31="STD. DEVIATION",$C$1=1),$A31,$A31+1),COLUMN('1-DATA'!AG29)),IF($B31="STD. DEVIATION",2,$F$1))))</f>
        <v/>
      </c>
      <c r="AI31" s="1" t="str">
        <f>IF(OR($B31="",AI$7=""),"",IF($B31="MEANS",INDEX('1-DATA'!$1:$1048576,$A30-1,COLUMN('1-DATA'!AH29)),ROUND(INDEX('1-DATA'!$1:$1048576,IF(OR($B31="STD. DEVIATION",$C$1=1),$A31,$A31+1),COLUMN('1-DATA'!AH29)),IF($B31="STD. DEVIATION",2,$F$1))))</f>
        <v/>
      </c>
      <c r="AJ31" s="1" t="str">
        <f>IF(OR($B31="",AJ$7=""),"",IF($B31="MEANS",INDEX('1-DATA'!$1:$1048576,$A30-1,COLUMN('1-DATA'!AI29)),ROUND(INDEX('1-DATA'!$1:$1048576,IF(OR($B31="STD. DEVIATION",$C$1=1),$A31,$A31+1),COLUMN('1-DATA'!AI29)),IF($B31="STD. DEVIATION",2,$F$1))))</f>
        <v/>
      </c>
      <c r="AK31" s="1" t="str">
        <f>IF(OR($B31="",AK$7=""),"",IF($B31="MEANS",INDEX('1-DATA'!$1:$1048576,$A30-1,COLUMN('1-DATA'!AJ29)),ROUND(INDEX('1-DATA'!$1:$1048576,IF(OR($B31="STD. DEVIATION",$C$1=1),$A31,$A31+1),COLUMN('1-DATA'!AJ29)),IF($B31="STD. DEVIATION",2,$F$1))))</f>
        <v/>
      </c>
      <c r="AL31" s="1" t="str">
        <f>IF(OR($B31="",AL$7=""),"",IF($B31="MEANS",INDEX('1-DATA'!$1:$1048576,$A30-1,COLUMN('1-DATA'!AK29)),ROUND(INDEX('1-DATA'!$1:$1048576,IF(OR($B31="STD. DEVIATION",$C$1=1),$A31,$A31+1),COLUMN('1-DATA'!AK29)),IF($B31="STD. DEVIATION",2,$F$1))))</f>
        <v/>
      </c>
      <c r="AM31" s="1" t="str">
        <f>IF(OR($B31="",AM$7=""),"",IF($B31="MEANS",INDEX('1-DATA'!$1:$1048576,$A30-1,COLUMN('1-DATA'!AL29)),ROUND(INDEX('1-DATA'!$1:$1048576,IF(OR($B31="STD. DEVIATION",$C$1=1),$A31,$A31+1),COLUMN('1-DATA'!AL29)),IF($B31="STD. DEVIATION",2,$F$1))))</f>
        <v/>
      </c>
      <c r="AN31" s="1" t="str">
        <f>IF(OR($B31="",AN$7=""),"",IF($B31="MEANS",INDEX('1-DATA'!$1:$1048576,$A30-1,COLUMN('1-DATA'!AM29)),ROUND(INDEX('1-DATA'!$1:$1048576,IF(OR($B31="STD. DEVIATION",$C$1=1),$A31,$A31+1),COLUMN('1-DATA'!AM29)),IF($B31="STD. DEVIATION",2,$F$1))))</f>
        <v/>
      </c>
      <c r="AO31" s="1" t="str">
        <f>IF(OR($B31="",AO$7=""),"",IF($B31="MEANS",INDEX('1-DATA'!$1:$1048576,$A30-1,COLUMN('1-DATA'!AN29)),ROUND(INDEX('1-DATA'!$1:$1048576,IF(OR($B31="STD. DEVIATION",$C$1=1),$A31,$A31+1),COLUMN('1-DATA'!AN29)),IF($B31="STD. DEVIATION",2,$F$1))))</f>
        <v/>
      </c>
      <c r="AP31" s="1" t="str">
        <f>IF(OR($B31="",AP$7=""),"",IF($B31="MEANS",INDEX('1-DATA'!$1:$1048576,$A30-1,COLUMN('1-DATA'!AO29)),ROUND(INDEX('1-DATA'!$1:$1048576,IF(OR($B31="STD. DEVIATION",$C$1=1),$A31,$A31+1),COLUMN('1-DATA'!AO29)),IF($B31="STD. DEVIATION",2,$F$1))))</f>
        <v/>
      </c>
      <c r="AQ31" s="1" t="str">
        <f>IF(OR($B31="",AQ$7=""),"",IF($B31="MEANS",INDEX('1-DATA'!$1:$1048576,$A30-1,COLUMN('1-DATA'!AP29)),ROUND(INDEX('1-DATA'!$1:$1048576,IF(OR($B31="STD. DEVIATION",$C$1=1),$A31,$A31+1),COLUMN('1-DATA'!AP29)),IF($B31="STD. DEVIATION",2,$F$1))))</f>
        <v/>
      </c>
      <c r="AR31" s="1" t="str">
        <f>IF(OR($B31="",AR$7=""),"",IF($B31="MEANS",INDEX('1-DATA'!$1:$1048576,$A30-1,COLUMN('1-DATA'!AQ29)),ROUND(INDEX('1-DATA'!$1:$1048576,IF(OR($B31="STD. DEVIATION",$C$1=1),$A31,$A31+1),COLUMN('1-DATA'!AQ29)),IF($B31="STD. DEVIATION",2,$F$1))))</f>
        <v/>
      </c>
      <c r="AS31" s="1" t="str">
        <f>IF(OR($B31="",AS$7=""),"",IF($B31="MEANS",INDEX('1-DATA'!$1:$1048576,$A30-1,COLUMN('1-DATA'!AR29)),ROUND(INDEX('1-DATA'!$1:$1048576,IF(OR($B31="STD. DEVIATION",$C$1=1),$A31,$A31+1),COLUMN('1-DATA'!AR29)),IF($B31="STD. DEVIATION",2,$F$1))))</f>
        <v/>
      </c>
      <c r="AT31" s="1" t="str">
        <f>IF(OR($B31="",AT$7=""),"",IF($B31="MEANS",INDEX('1-DATA'!$1:$1048576,$A30-1,COLUMN('1-DATA'!AS29)),ROUND(INDEX('1-DATA'!$1:$1048576,IF(OR($B31="STD. DEVIATION",$C$1=1),$A31,$A31+1),COLUMN('1-DATA'!AS29)),IF($B31="STD. DEVIATION",2,$F$1))))</f>
        <v/>
      </c>
      <c r="AU31" s="1" t="str">
        <f>IF(OR($B31="",AU$7=""),"",IF($B31="MEANS",INDEX('1-DATA'!$1:$1048576,$A30-1,COLUMN('1-DATA'!AT29)),ROUND(INDEX('1-DATA'!$1:$1048576,IF(OR($B31="STD. DEVIATION",$C$1=1),$A31,$A31+1),COLUMN('1-DATA'!AT29)),IF($B31="STD. DEVIATION",2,$F$1))))</f>
        <v/>
      </c>
      <c r="AV31" s="1" t="str">
        <f>IF(OR($B31="",AV$7=""),"",IF($B31="MEANS",INDEX('1-DATA'!$1:$1048576,$A30-1,COLUMN('1-DATA'!AU29)),ROUND(INDEX('1-DATA'!$1:$1048576,IF(OR($B31="STD. DEVIATION",$C$1=1),$A31,$A31+1),COLUMN('1-DATA'!AU29)),IF($B31="STD. DEVIATION",2,$F$1))))</f>
        <v/>
      </c>
      <c r="AW31" s="1" t="str">
        <f>IF(OR($B31="",AW$7=""),"",IF($B31="MEANS",INDEX('1-DATA'!$1:$1048576,$A30-1,COLUMN('1-DATA'!AV29)),ROUND(INDEX('1-DATA'!$1:$1048576,IF(OR($B31="STD. DEVIATION",$C$1=1),$A31,$A31+1),COLUMN('1-DATA'!AV29)),IF($B31="STD. DEVIATION",2,$F$1))))</f>
        <v/>
      </c>
      <c r="AX31" s="1" t="str">
        <f>IF(OR($B31="",AX$7=""),"",IF($B31="MEANS",INDEX('1-DATA'!$1:$1048576,$A30-1,COLUMN('1-DATA'!AW29)),ROUND(INDEX('1-DATA'!$1:$1048576,IF(OR($B31="STD. DEVIATION",$C$1=1),$A31,$A31+1),COLUMN('1-DATA'!AW29)),IF($B31="STD. DEVIATION",2,$F$1))))</f>
        <v/>
      </c>
      <c r="AY31" s="1" t="str">
        <f>IF(OR($B31="",AY$7=""),"",IF($B31="MEANS",INDEX('1-DATA'!$1:$1048576,$A30-1,COLUMN('1-DATA'!AX29)),ROUND(INDEX('1-DATA'!$1:$1048576,IF(OR($B31="STD. DEVIATION",$C$1=1),$A31,$A31+1),COLUMN('1-DATA'!AX29)),IF($B31="STD. DEVIATION",2,$F$1))))</f>
        <v/>
      </c>
      <c r="AZ31" s="1" t="str">
        <f>IF(OR($B31="",AZ$7=""),"",IF($B31="MEANS",INDEX('1-DATA'!$1:$1048576,$A30-1,COLUMN('1-DATA'!AY29)),ROUND(INDEX('1-DATA'!$1:$1048576,IF(OR($B31="STD. DEVIATION",$C$1=1),$A31,$A31+1),COLUMN('1-DATA'!AY29)),IF($B31="STD. DEVIATION",2,$F$1))))</f>
        <v/>
      </c>
    </row>
    <row r="32" spans="1:52" x14ac:dyDescent="0.25">
      <c r="A32" s="11">
        <f t="shared" si="1"/>
        <v>82</v>
      </c>
      <c r="B32" s="1" t="str">
        <f>IF(B31="STD. DEVIATION",INDEX('1-DATA'!$1:$1048576,$A31-1,1),IF(INDEX('1-DATA'!$1:$1048576,$A32,1)&lt;&gt;"",INDEX('1-DATA'!$1:$1048576,$A32,1),""))</f>
        <v/>
      </c>
      <c r="C32" s="1" t="str">
        <f>IF(OR($B32="",C$7=""),"",IF($B32="MEANS",INDEX('1-DATA'!$1:$1048576,$A31-1,COLUMN('1-DATA'!B30)),ROUND(INDEX('1-DATA'!$1:$1048576,IF(OR($B32="STD. DEVIATION",$C$1=1),$A32,$A32+1),COLUMN('1-DATA'!B30)),IF($B32="STD. DEVIATION",2,$F$1))))</f>
        <v/>
      </c>
      <c r="D32" s="1" t="str">
        <f>IF(OR($B32="",D$7=""),"",IF($B32="MEANS",INDEX('1-DATA'!$1:$1048576,$A31-1,COLUMN('1-DATA'!C30)),ROUND(INDEX('1-DATA'!$1:$1048576,IF(OR($B32="STD. DEVIATION",$C$1=1),$A32,$A32+1),COLUMN('1-DATA'!C30)),IF($B32="STD. DEVIATION",2,$F$1))))</f>
        <v/>
      </c>
      <c r="E32" s="1" t="str">
        <f>IF(OR($B32="",E$7=""),"",IF($B32="MEANS",INDEX('1-DATA'!$1:$1048576,$A31-1,COLUMN('1-DATA'!D30)),ROUND(INDEX('1-DATA'!$1:$1048576,IF(OR($B32="STD. DEVIATION",$C$1=1),$A32,$A32+1),COLUMN('1-DATA'!D30)),IF($B32="STD. DEVIATION",2,$F$1))))</f>
        <v/>
      </c>
      <c r="F32" s="1" t="str">
        <f>IF(OR($B32="",F$7=""),"",IF($B32="MEANS",INDEX('1-DATA'!$1:$1048576,$A31-1,COLUMN('1-DATA'!E30)),ROUND(INDEX('1-DATA'!$1:$1048576,IF(OR($B32="STD. DEVIATION",$C$1=1),$A32,$A32+1),COLUMN('1-DATA'!E30)),IF($B32="STD. DEVIATION",2,$F$1))))</f>
        <v/>
      </c>
      <c r="G32" s="1" t="str">
        <f>IF(OR($B32="",G$7=""),"",IF($B32="MEANS",INDEX('1-DATA'!$1:$1048576,$A31-1,COLUMN('1-DATA'!F30)),ROUND(INDEX('1-DATA'!$1:$1048576,IF(OR($B32="STD. DEVIATION",$C$1=1),$A32,$A32+1),COLUMN('1-DATA'!F30)),IF($B32="STD. DEVIATION",2,$F$1))))</f>
        <v/>
      </c>
      <c r="H32" s="1" t="str">
        <f>IF(OR($B32="",H$7=""),"",IF($B32="MEANS",INDEX('1-DATA'!$1:$1048576,$A31-1,COLUMN('1-DATA'!G30)),ROUND(INDEX('1-DATA'!$1:$1048576,IF(OR($B32="STD. DEVIATION",$C$1=1),$A32,$A32+1),COLUMN('1-DATA'!G30)),IF($B32="STD. DEVIATION",2,$F$1))))</f>
        <v/>
      </c>
      <c r="I32" s="1" t="str">
        <f>IF(OR($B32="",I$7=""),"",IF($B32="MEANS",INDEX('1-DATA'!$1:$1048576,$A31-1,COLUMN('1-DATA'!H30)),ROUND(INDEX('1-DATA'!$1:$1048576,IF(OR($B32="STD. DEVIATION",$C$1=1),$A32,$A32+1),COLUMN('1-DATA'!H30)),IF($B32="STD. DEVIATION",2,$F$1))))</f>
        <v/>
      </c>
      <c r="J32" s="1" t="str">
        <f>IF(OR($B32="",J$7=""),"",IF($B32="MEANS",INDEX('1-DATA'!$1:$1048576,$A31-1,COLUMN('1-DATA'!I30)),ROUND(INDEX('1-DATA'!$1:$1048576,IF(OR($B32="STD. DEVIATION",$C$1=1),$A32,$A32+1),COLUMN('1-DATA'!I30)),IF($B32="STD. DEVIATION",2,$F$1))))</f>
        <v/>
      </c>
      <c r="K32" s="1" t="str">
        <f>IF(OR($B32="",K$7=""),"",IF($B32="MEANS",INDEX('1-DATA'!$1:$1048576,$A31-1,COLUMN('1-DATA'!J30)),ROUND(INDEX('1-DATA'!$1:$1048576,IF(OR($B32="STD. DEVIATION",$C$1=1),$A32,$A32+1),COLUMN('1-DATA'!J30)),IF($B32="STD. DEVIATION",2,$F$1))))</f>
        <v/>
      </c>
      <c r="L32" s="1" t="str">
        <f>IF(OR($B32="",L$7=""),"",IF($B32="MEANS",INDEX('1-DATA'!$1:$1048576,$A31-1,COLUMN('1-DATA'!K30)),ROUND(INDEX('1-DATA'!$1:$1048576,IF(OR($B32="STD. DEVIATION",$C$1=1),$A32,$A32+1),COLUMN('1-DATA'!K30)),IF($B32="STD. DEVIATION",2,$F$1))))</f>
        <v/>
      </c>
      <c r="M32" s="1" t="str">
        <f>IF(OR($B32="",M$7=""),"",IF($B32="MEANS",INDEX('1-DATA'!$1:$1048576,$A31-1,COLUMN('1-DATA'!L30)),ROUND(INDEX('1-DATA'!$1:$1048576,IF(OR($B32="STD. DEVIATION",$C$1=1),$A32,$A32+1),COLUMN('1-DATA'!L30)),IF($B32="STD. DEVIATION",2,$F$1))))</f>
        <v/>
      </c>
      <c r="N32" s="1" t="str">
        <f>IF(OR($B32="",N$7=""),"",IF($B32="MEANS",INDEX('1-DATA'!$1:$1048576,$A31-1,COLUMN('1-DATA'!M30)),ROUND(INDEX('1-DATA'!$1:$1048576,IF(OR($B32="STD. DEVIATION",$C$1=1),$A32,$A32+1),COLUMN('1-DATA'!M30)),IF($B32="STD. DEVIATION",2,$F$1))))</f>
        <v/>
      </c>
      <c r="O32" s="1" t="str">
        <f>IF(OR($B32="",O$7=""),"",IF($B32="MEANS",INDEX('1-DATA'!$1:$1048576,$A31-1,COLUMN('1-DATA'!N30)),ROUND(INDEX('1-DATA'!$1:$1048576,IF(OR($B32="STD. DEVIATION",$C$1=1),$A32,$A32+1),COLUMN('1-DATA'!N30)),IF($B32="STD. DEVIATION",2,$F$1))))</f>
        <v/>
      </c>
      <c r="P32" s="1" t="str">
        <f>IF(OR($B32="",P$7=""),"",IF($B32="MEANS",INDEX('1-DATA'!$1:$1048576,$A31-1,COLUMN('1-DATA'!O30)),ROUND(INDEX('1-DATA'!$1:$1048576,IF(OR($B32="STD. DEVIATION",$C$1=1),$A32,$A32+1),COLUMN('1-DATA'!O30)),IF($B32="STD. DEVIATION",2,$F$1))))</f>
        <v/>
      </c>
      <c r="Q32" s="1" t="str">
        <f>IF(OR($B32="",Q$7=""),"",IF($B32="MEANS",INDEX('1-DATA'!$1:$1048576,$A31-1,COLUMN('1-DATA'!P30)),ROUND(INDEX('1-DATA'!$1:$1048576,IF(OR($B32="STD. DEVIATION",$C$1=1),$A32,$A32+1),COLUMN('1-DATA'!P30)),IF($B32="STD. DEVIATION",2,$F$1))))</f>
        <v/>
      </c>
      <c r="R32" s="1" t="str">
        <f>IF(OR($B32="",R$7=""),"",IF($B32="MEANS",INDEX('1-DATA'!$1:$1048576,$A31-1,COLUMN('1-DATA'!Q30)),ROUND(INDEX('1-DATA'!$1:$1048576,IF(OR($B32="STD. DEVIATION",$C$1=1),$A32,$A32+1),COLUMN('1-DATA'!Q30)),IF($B32="STD. DEVIATION",2,$F$1))))</f>
        <v/>
      </c>
      <c r="S32" s="1" t="str">
        <f>IF(OR($B32="",S$7=""),"",IF($B32="MEANS",INDEX('1-DATA'!$1:$1048576,$A31-1,COLUMN('1-DATA'!R30)),ROUND(INDEX('1-DATA'!$1:$1048576,IF(OR($B32="STD. DEVIATION",$C$1=1),$A32,$A32+1),COLUMN('1-DATA'!R30)),IF($B32="STD. DEVIATION",2,$F$1))))</f>
        <v/>
      </c>
      <c r="T32" s="1" t="str">
        <f>IF(OR($B32="",T$7=""),"",IF($B32="MEANS",INDEX('1-DATA'!$1:$1048576,$A31-1,COLUMN('1-DATA'!S30)),ROUND(INDEX('1-DATA'!$1:$1048576,IF(OR($B32="STD. DEVIATION",$C$1=1),$A32,$A32+1),COLUMN('1-DATA'!S30)),IF($B32="STD. DEVIATION",2,$F$1))))</f>
        <v/>
      </c>
      <c r="U32" s="1" t="str">
        <f>IF(OR($B32="",U$7=""),"",IF($B32="MEANS",INDEX('1-DATA'!$1:$1048576,$A31-1,COLUMN('1-DATA'!T30)),ROUND(INDEX('1-DATA'!$1:$1048576,IF(OR($B32="STD. DEVIATION",$C$1=1),$A32,$A32+1),COLUMN('1-DATA'!T30)),IF($B32="STD. DEVIATION",2,$F$1))))</f>
        <v/>
      </c>
      <c r="V32" s="1" t="str">
        <f>IF(OR($B32="",V$7=""),"",IF($B32="MEANS",INDEX('1-DATA'!$1:$1048576,$A31-1,COLUMN('1-DATA'!U30)),ROUND(INDEX('1-DATA'!$1:$1048576,IF(OR($B32="STD. DEVIATION",$C$1=1),$A32,$A32+1),COLUMN('1-DATA'!U30)),IF($B32="STD. DEVIATION",2,$F$1))))</f>
        <v/>
      </c>
      <c r="W32" s="1" t="str">
        <f>IF(OR($B32="",W$7=""),"",IF($B32="MEANS",INDEX('1-DATA'!$1:$1048576,$A31-1,COLUMN('1-DATA'!V30)),ROUND(INDEX('1-DATA'!$1:$1048576,IF(OR($B32="STD. DEVIATION",$C$1=1),$A32,$A32+1),COLUMN('1-DATA'!V30)),IF($B32="STD. DEVIATION",2,$F$1))))</f>
        <v/>
      </c>
      <c r="X32" s="1" t="str">
        <f>IF(OR($B32="",X$7=""),"",IF($B32="MEANS",INDEX('1-DATA'!$1:$1048576,$A31-1,COLUMN('1-DATA'!W30)),ROUND(INDEX('1-DATA'!$1:$1048576,IF(OR($B32="STD. DEVIATION",$C$1=1),$A32,$A32+1),COLUMN('1-DATA'!W30)),IF($B32="STD. DEVIATION",2,$F$1))))</f>
        <v/>
      </c>
      <c r="Y32" s="1" t="str">
        <f>IF(OR($B32="",Y$7=""),"",IF($B32="MEANS",INDEX('1-DATA'!$1:$1048576,$A31-1,COLUMN('1-DATA'!X30)),ROUND(INDEX('1-DATA'!$1:$1048576,IF(OR($B32="STD. DEVIATION",$C$1=1),$A32,$A32+1),COLUMN('1-DATA'!X30)),IF($B32="STD. DEVIATION",2,$F$1))))</f>
        <v/>
      </c>
      <c r="Z32" s="1" t="str">
        <f>IF(OR($B32="",Z$7=""),"",IF($B32="MEANS",INDEX('1-DATA'!$1:$1048576,$A31-1,COLUMN('1-DATA'!Y30)),ROUND(INDEX('1-DATA'!$1:$1048576,IF(OR($B32="STD. DEVIATION",$C$1=1),$A32,$A32+1),COLUMN('1-DATA'!Y30)),IF($B32="STD. DEVIATION",2,$F$1))))</f>
        <v/>
      </c>
      <c r="AA32" s="1" t="str">
        <f>IF(OR($B32="",AA$7=""),"",IF($B32="MEANS",INDEX('1-DATA'!$1:$1048576,$A31-1,COLUMN('1-DATA'!Z30)),ROUND(INDEX('1-DATA'!$1:$1048576,IF(OR($B32="STD. DEVIATION",$C$1=1),$A32,$A32+1),COLUMN('1-DATA'!Z30)),IF($B32="STD. DEVIATION",2,$F$1))))</f>
        <v/>
      </c>
      <c r="AB32" s="1" t="str">
        <f>IF(OR($B32="",AB$7=""),"",IF($B32="MEANS",INDEX('1-DATA'!$1:$1048576,$A31-1,COLUMN('1-DATA'!AA30)),ROUND(INDEX('1-DATA'!$1:$1048576,IF(OR($B32="STD. DEVIATION",$C$1=1),$A32,$A32+1),COLUMN('1-DATA'!AA30)),IF($B32="STD. DEVIATION",2,$F$1))))</f>
        <v/>
      </c>
      <c r="AC32" s="1" t="str">
        <f>IF(OR($B32="",AC$7=""),"",IF($B32="MEANS",INDEX('1-DATA'!$1:$1048576,$A31-1,COLUMN('1-DATA'!AB30)),ROUND(INDEX('1-DATA'!$1:$1048576,IF(OR($B32="STD. DEVIATION",$C$1=1),$A32,$A32+1),COLUMN('1-DATA'!AB30)),IF($B32="STD. DEVIATION",2,$F$1))))</f>
        <v/>
      </c>
      <c r="AD32" s="1" t="str">
        <f>IF(OR($B32="",AD$7=""),"",IF($B32="MEANS",INDEX('1-DATA'!$1:$1048576,$A31-1,COLUMN('1-DATA'!AC30)),ROUND(INDEX('1-DATA'!$1:$1048576,IF(OR($B32="STD. DEVIATION",$C$1=1),$A32,$A32+1),COLUMN('1-DATA'!AC30)),IF($B32="STD. DEVIATION",2,$F$1))))</f>
        <v/>
      </c>
      <c r="AE32" s="1" t="str">
        <f>IF(OR($B32="",AE$7=""),"",IF($B32="MEANS",INDEX('1-DATA'!$1:$1048576,$A31-1,COLUMN('1-DATA'!AD30)),ROUND(INDEX('1-DATA'!$1:$1048576,IF(OR($B32="STD. DEVIATION",$C$1=1),$A32,$A32+1),COLUMN('1-DATA'!AD30)),IF($B32="STD. DEVIATION",2,$F$1))))</f>
        <v/>
      </c>
      <c r="AF32" s="1" t="str">
        <f>IF(OR($B32="",AF$7=""),"",IF($B32="MEANS",INDEX('1-DATA'!$1:$1048576,$A31-1,COLUMN('1-DATA'!AE30)),ROUND(INDEX('1-DATA'!$1:$1048576,IF(OR($B32="STD. DEVIATION",$C$1=1),$A32,$A32+1),COLUMN('1-DATA'!AE30)),IF($B32="STD. DEVIATION",2,$F$1))))</f>
        <v/>
      </c>
      <c r="AG32" s="1" t="str">
        <f>IF(OR($B32="",AG$7=""),"",IF($B32="MEANS",INDEX('1-DATA'!$1:$1048576,$A31-1,COLUMN('1-DATA'!AF30)),ROUND(INDEX('1-DATA'!$1:$1048576,IF(OR($B32="STD. DEVIATION",$C$1=1),$A32,$A32+1),COLUMN('1-DATA'!AF30)),IF($B32="STD. DEVIATION",2,$F$1))))</f>
        <v/>
      </c>
      <c r="AH32" s="1" t="str">
        <f>IF(OR($B32="",AH$7=""),"",IF($B32="MEANS",INDEX('1-DATA'!$1:$1048576,$A31-1,COLUMN('1-DATA'!AG30)),ROUND(INDEX('1-DATA'!$1:$1048576,IF(OR($B32="STD. DEVIATION",$C$1=1),$A32,$A32+1),COLUMN('1-DATA'!AG30)),IF($B32="STD. DEVIATION",2,$F$1))))</f>
        <v/>
      </c>
      <c r="AI32" s="1" t="str">
        <f>IF(OR($B32="",AI$7=""),"",IF($B32="MEANS",INDEX('1-DATA'!$1:$1048576,$A31-1,COLUMN('1-DATA'!AH30)),ROUND(INDEX('1-DATA'!$1:$1048576,IF(OR($B32="STD. DEVIATION",$C$1=1),$A32,$A32+1),COLUMN('1-DATA'!AH30)),IF($B32="STD. DEVIATION",2,$F$1))))</f>
        <v/>
      </c>
      <c r="AJ32" s="1" t="str">
        <f>IF(OR($B32="",AJ$7=""),"",IF($B32="MEANS",INDEX('1-DATA'!$1:$1048576,$A31-1,COLUMN('1-DATA'!AI30)),ROUND(INDEX('1-DATA'!$1:$1048576,IF(OR($B32="STD. DEVIATION",$C$1=1),$A32,$A32+1),COLUMN('1-DATA'!AI30)),IF($B32="STD. DEVIATION",2,$F$1))))</f>
        <v/>
      </c>
      <c r="AK32" s="1" t="str">
        <f>IF(OR($B32="",AK$7=""),"",IF($B32="MEANS",INDEX('1-DATA'!$1:$1048576,$A31-1,COLUMN('1-DATA'!AJ30)),ROUND(INDEX('1-DATA'!$1:$1048576,IF(OR($B32="STD. DEVIATION",$C$1=1),$A32,$A32+1),COLUMN('1-DATA'!AJ30)),IF($B32="STD. DEVIATION",2,$F$1))))</f>
        <v/>
      </c>
      <c r="AL32" s="1" t="str">
        <f>IF(OR($B32="",AL$7=""),"",IF($B32="MEANS",INDEX('1-DATA'!$1:$1048576,$A31-1,COLUMN('1-DATA'!AK30)),ROUND(INDEX('1-DATA'!$1:$1048576,IF(OR($B32="STD. DEVIATION",$C$1=1),$A32,$A32+1),COLUMN('1-DATA'!AK30)),IF($B32="STD. DEVIATION",2,$F$1))))</f>
        <v/>
      </c>
      <c r="AM32" s="1" t="str">
        <f>IF(OR($B32="",AM$7=""),"",IF($B32="MEANS",INDEX('1-DATA'!$1:$1048576,$A31-1,COLUMN('1-DATA'!AL30)),ROUND(INDEX('1-DATA'!$1:$1048576,IF(OR($B32="STD. DEVIATION",$C$1=1),$A32,$A32+1),COLUMN('1-DATA'!AL30)),IF($B32="STD. DEVIATION",2,$F$1))))</f>
        <v/>
      </c>
      <c r="AN32" s="1" t="str">
        <f>IF(OR($B32="",AN$7=""),"",IF($B32="MEANS",INDEX('1-DATA'!$1:$1048576,$A31-1,COLUMN('1-DATA'!AM30)),ROUND(INDEX('1-DATA'!$1:$1048576,IF(OR($B32="STD. DEVIATION",$C$1=1),$A32,$A32+1),COLUMN('1-DATA'!AM30)),IF($B32="STD. DEVIATION",2,$F$1))))</f>
        <v/>
      </c>
      <c r="AO32" s="1" t="str">
        <f>IF(OR($B32="",AO$7=""),"",IF($B32="MEANS",INDEX('1-DATA'!$1:$1048576,$A31-1,COLUMN('1-DATA'!AN30)),ROUND(INDEX('1-DATA'!$1:$1048576,IF(OR($B32="STD. DEVIATION",$C$1=1),$A32,$A32+1),COLUMN('1-DATA'!AN30)),IF($B32="STD. DEVIATION",2,$F$1))))</f>
        <v/>
      </c>
      <c r="AP32" s="1" t="str">
        <f>IF(OR($B32="",AP$7=""),"",IF($B32="MEANS",INDEX('1-DATA'!$1:$1048576,$A31-1,COLUMN('1-DATA'!AO30)),ROUND(INDEX('1-DATA'!$1:$1048576,IF(OR($B32="STD. DEVIATION",$C$1=1),$A32,$A32+1),COLUMN('1-DATA'!AO30)),IF($B32="STD. DEVIATION",2,$F$1))))</f>
        <v/>
      </c>
      <c r="AQ32" s="1" t="str">
        <f>IF(OR($B32="",AQ$7=""),"",IF($B32="MEANS",INDEX('1-DATA'!$1:$1048576,$A31-1,COLUMN('1-DATA'!AP30)),ROUND(INDEX('1-DATA'!$1:$1048576,IF(OR($B32="STD. DEVIATION",$C$1=1),$A32,$A32+1),COLUMN('1-DATA'!AP30)),IF($B32="STD. DEVIATION",2,$F$1))))</f>
        <v/>
      </c>
      <c r="AR32" s="1" t="str">
        <f>IF(OR($B32="",AR$7=""),"",IF($B32="MEANS",INDEX('1-DATA'!$1:$1048576,$A31-1,COLUMN('1-DATA'!AQ30)),ROUND(INDEX('1-DATA'!$1:$1048576,IF(OR($B32="STD. DEVIATION",$C$1=1),$A32,$A32+1),COLUMN('1-DATA'!AQ30)),IF($B32="STD. DEVIATION",2,$F$1))))</f>
        <v/>
      </c>
      <c r="AS32" s="1" t="str">
        <f>IF(OR($B32="",AS$7=""),"",IF($B32="MEANS",INDEX('1-DATA'!$1:$1048576,$A31-1,COLUMN('1-DATA'!AR30)),ROUND(INDEX('1-DATA'!$1:$1048576,IF(OR($B32="STD. DEVIATION",$C$1=1),$A32,$A32+1),COLUMN('1-DATA'!AR30)),IF($B32="STD. DEVIATION",2,$F$1))))</f>
        <v/>
      </c>
      <c r="AT32" s="1" t="str">
        <f>IF(OR($B32="",AT$7=""),"",IF($B32="MEANS",INDEX('1-DATA'!$1:$1048576,$A31-1,COLUMN('1-DATA'!AS30)),ROUND(INDEX('1-DATA'!$1:$1048576,IF(OR($B32="STD. DEVIATION",$C$1=1),$A32,$A32+1),COLUMN('1-DATA'!AS30)),IF($B32="STD. DEVIATION",2,$F$1))))</f>
        <v/>
      </c>
      <c r="AU32" s="1" t="str">
        <f>IF(OR($B32="",AU$7=""),"",IF($B32="MEANS",INDEX('1-DATA'!$1:$1048576,$A31-1,COLUMN('1-DATA'!AT30)),ROUND(INDEX('1-DATA'!$1:$1048576,IF(OR($B32="STD. DEVIATION",$C$1=1),$A32,$A32+1),COLUMN('1-DATA'!AT30)),IF($B32="STD. DEVIATION",2,$F$1))))</f>
        <v/>
      </c>
      <c r="AV32" s="1" t="str">
        <f>IF(OR($B32="",AV$7=""),"",IF($B32="MEANS",INDEX('1-DATA'!$1:$1048576,$A31-1,COLUMN('1-DATA'!AU30)),ROUND(INDEX('1-DATA'!$1:$1048576,IF(OR($B32="STD. DEVIATION",$C$1=1),$A32,$A32+1),COLUMN('1-DATA'!AU30)),IF($B32="STD. DEVIATION",2,$F$1))))</f>
        <v/>
      </c>
      <c r="AW32" s="1" t="str">
        <f>IF(OR($B32="",AW$7=""),"",IF($B32="MEANS",INDEX('1-DATA'!$1:$1048576,$A31-1,COLUMN('1-DATA'!AV30)),ROUND(INDEX('1-DATA'!$1:$1048576,IF(OR($B32="STD. DEVIATION",$C$1=1),$A32,$A32+1),COLUMN('1-DATA'!AV30)),IF($B32="STD. DEVIATION",2,$F$1))))</f>
        <v/>
      </c>
      <c r="AX32" s="1" t="str">
        <f>IF(OR($B32="",AX$7=""),"",IF($B32="MEANS",INDEX('1-DATA'!$1:$1048576,$A31-1,COLUMN('1-DATA'!AW30)),ROUND(INDEX('1-DATA'!$1:$1048576,IF(OR($B32="STD. DEVIATION",$C$1=1),$A32,$A32+1),COLUMN('1-DATA'!AW30)),IF($B32="STD. DEVIATION",2,$F$1))))</f>
        <v/>
      </c>
      <c r="AY32" s="1" t="str">
        <f>IF(OR($B32="",AY$7=""),"",IF($B32="MEANS",INDEX('1-DATA'!$1:$1048576,$A31-1,COLUMN('1-DATA'!AX30)),ROUND(INDEX('1-DATA'!$1:$1048576,IF(OR($B32="STD. DEVIATION",$C$1=1),$A32,$A32+1),COLUMN('1-DATA'!AX30)),IF($B32="STD. DEVIATION",2,$F$1))))</f>
        <v/>
      </c>
      <c r="AZ32" s="1" t="str">
        <f>IF(OR($B32="",AZ$7=""),"",IF($B32="MEANS",INDEX('1-DATA'!$1:$1048576,$A31-1,COLUMN('1-DATA'!AY30)),ROUND(INDEX('1-DATA'!$1:$1048576,IF(OR($B32="STD. DEVIATION",$C$1=1),$A32,$A32+1),COLUMN('1-DATA'!AY30)),IF($B32="STD. DEVIATION",2,$F$1))))</f>
        <v/>
      </c>
    </row>
    <row r="33" spans="1:52" x14ac:dyDescent="0.25">
      <c r="A33" s="11">
        <f t="shared" si="1"/>
        <v>85</v>
      </c>
      <c r="B33" s="1" t="str">
        <f>IF(B32="STD. DEVIATION",INDEX('1-DATA'!$1:$1048576,$A32-1,1),IF(INDEX('1-DATA'!$1:$1048576,$A33,1)&lt;&gt;"",INDEX('1-DATA'!$1:$1048576,$A33,1),""))</f>
        <v/>
      </c>
      <c r="C33" s="1" t="str">
        <f>IF(OR($B33="",C$7=""),"",IF($B33="MEANS",INDEX('1-DATA'!$1:$1048576,$A32-1,COLUMN('1-DATA'!B31)),ROUND(INDEX('1-DATA'!$1:$1048576,IF(OR($B33="STD. DEVIATION",$C$1=1),$A33,$A33+1),COLUMN('1-DATA'!B31)),IF($B33="STD. DEVIATION",2,$F$1))))</f>
        <v/>
      </c>
      <c r="D33" s="1" t="str">
        <f>IF(OR($B33="",D$7=""),"",IF($B33="MEANS",INDEX('1-DATA'!$1:$1048576,$A32-1,COLUMN('1-DATA'!C31)),ROUND(INDEX('1-DATA'!$1:$1048576,IF(OR($B33="STD. DEVIATION",$C$1=1),$A33,$A33+1),COLUMN('1-DATA'!C31)),IF($B33="STD. DEVIATION",2,$F$1))))</f>
        <v/>
      </c>
      <c r="E33" s="1" t="str">
        <f>IF(OR($B33="",E$7=""),"",IF($B33="MEANS",INDEX('1-DATA'!$1:$1048576,$A32-1,COLUMN('1-DATA'!D31)),ROUND(INDEX('1-DATA'!$1:$1048576,IF(OR($B33="STD. DEVIATION",$C$1=1),$A33,$A33+1),COLUMN('1-DATA'!D31)),IF($B33="STD. DEVIATION",2,$F$1))))</f>
        <v/>
      </c>
      <c r="F33" s="1" t="str">
        <f>IF(OR($B33="",F$7=""),"",IF($B33="MEANS",INDEX('1-DATA'!$1:$1048576,$A32-1,COLUMN('1-DATA'!E31)),ROUND(INDEX('1-DATA'!$1:$1048576,IF(OR($B33="STD. DEVIATION",$C$1=1),$A33,$A33+1),COLUMN('1-DATA'!E31)),IF($B33="STD. DEVIATION",2,$F$1))))</f>
        <v/>
      </c>
      <c r="G33" s="1" t="str">
        <f>IF(OR($B33="",G$7=""),"",IF($B33="MEANS",INDEX('1-DATA'!$1:$1048576,$A32-1,COLUMN('1-DATA'!F31)),ROUND(INDEX('1-DATA'!$1:$1048576,IF(OR($B33="STD. DEVIATION",$C$1=1),$A33,$A33+1),COLUMN('1-DATA'!F31)),IF($B33="STD. DEVIATION",2,$F$1))))</f>
        <v/>
      </c>
      <c r="H33" s="1" t="str">
        <f>IF(OR($B33="",H$7=""),"",IF($B33="MEANS",INDEX('1-DATA'!$1:$1048576,$A32-1,COLUMN('1-DATA'!G31)),ROUND(INDEX('1-DATA'!$1:$1048576,IF(OR($B33="STD. DEVIATION",$C$1=1),$A33,$A33+1),COLUMN('1-DATA'!G31)),IF($B33="STD. DEVIATION",2,$F$1))))</f>
        <v/>
      </c>
      <c r="I33" s="1" t="str">
        <f>IF(OR($B33="",I$7=""),"",IF($B33="MEANS",INDEX('1-DATA'!$1:$1048576,$A32-1,COLUMN('1-DATA'!H31)),ROUND(INDEX('1-DATA'!$1:$1048576,IF(OR($B33="STD. DEVIATION",$C$1=1),$A33,$A33+1),COLUMN('1-DATA'!H31)),IF($B33="STD. DEVIATION",2,$F$1))))</f>
        <v/>
      </c>
      <c r="J33" s="1" t="str">
        <f>IF(OR($B33="",J$7=""),"",IF($B33="MEANS",INDEX('1-DATA'!$1:$1048576,$A32-1,COLUMN('1-DATA'!I31)),ROUND(INDEX('1-DATA'!$1:$1048576,IF(OR($B33="STD. DEVIATION",$C$1=1),$A33,$A33+1),COLUMN('1-DATA'!I31)),IF($B33="STD. DEVIATION",2,$F$1))))</f>
        <v/>
      </c>
      <c r="K33" s="1" t="str">
        <f>IF(OR($B33="",K$7=""),"",IF($B33="MEANS",INDEX('1-DATA'!$1:$1048576,$A32-1,COLUMN('1-DATA'!J31)),ROUND(INDEX('1-DATA'!$1:$1048576,IF(OR($B33="STD. DEVIATION",$C$1=1),$A33,$A33+1),COLUMN('1-DATA'!J31)),IF($B33="STD. DEVIATION",2,$F$1))))</f>
        <v/>
      </c>
      <c r="L33" s="1" t="str">
        <f>IF(OR($B33="",L$7=""),"",IF($B33="MEANS",INDEX('1-DATA'!$1:$1048576,$A32-1,COLUMN('1-DATA'!K31)),ROUND(INDEX('1-DATA'!$1:$1048576,IF(OR($B33="STD. DEVIATION",$C$1=1),$A33,$A33+1),COLUMN('1-DATA'!K31)),IF($B33="STD. DEVIATION",2,$F$1))))</f>
        <v/>
      </c>
      <c r="M33" s="1" t="str">
        <f>IF(OR($B33="",M$7=""),"",IF($B33="MEANS",INDEX('1-DATA'!$1:$1048576,$A32-1,COLUMN('1-DATA'!L31)),ROUND(INDEX('1-DATA'!$1:$1048576,IF(OR($B33="STD. DEVIATION",$C$1=1),$A33,$A33+1),COLUMN('1-DATA'!L31)),IF($B33="STD. DEVIATION",2,$F$1))))</f>
        <v/>
      </c>
      <c r="N33" s="1" t="str">
        <f>IF(OR($B33="",N$7=""),"",IF($B33="MEANS",INDEX('1-DATA'!$1:$1048576,$A32-1,COLUMN('1-DATA'!M31)),ROUND(INDEX('1-DATA'!$1:$1048576,IF(OR($B33="STD. DEVIATION",$C$1=1),$A33,$A33+1),COLUMN('1-DATA'!M31)),IF($B33="STD. DEVIATION",2,$F$1))))</f>
        <v/>
      </c>
      <c r="O33" s="1" t="str">
        <f>IF(OR($B33="",O$7=""),"",IF($B33="MEANS",INDEX('1-DATA'!$1:$1048576,$A32-1,COLUMN('1-DATA'!N31)),ROUND(INDEX('1-DATA'!$1:$1048576,IF(OR($B33="STD. DEVIATION",$C$1=1),$A33,$A33+1),COLUMN('1-DATA'!N31)),IF($B33="STD. DEVIATION",2,$F$1))))</f>
        <v/>
      </c>
      <c r="P33" s="1" t="str">
        <f>IF(OR($B33="",P$7=""),"",IF($B33="MEANS",INDEX('1-DATA'!$1:$1048576,$A32-1,COLUMN('1-DATA'!O31)),ROUND(INDEX('1-DATA'!$1:$1048576,IF(OR($B33="STD. DEVIATION",$C$1=1),$A33,$A33+1),COLUMN('1-DATA'!O31)),IF($B33="STD. DEVIATION",2,$F$1))))</f>
        <v/>
      </c>
      <c r="Q33" s="1" t="str">
        <f>IF(OR($B33="",Q$7=""),"",IF($B33="MEANS",INDEX('1-DATA'!$1:$1048576,$A32-1,COLUMN('1-DATA'!P31)),ROUND(INDEX('1-DATA'!$1:$1048576,IF(OR($B33="STD. DEVIATION",$C$1=1),$A33,$A33+1),COLUMN('1-DATA'!P31)),IF($B33="STD. DEVIATION",2,$F$1))))</f>
        <v/>
      </c>
      <c r="R33" s="1" t="str">
        <f>IF(OR($B33="",R$7=""),"",IF($B33="MEANS",INDEX('1-DATA'!$1:$1048576,$A32-1,COLUMN('1-DATA'!Q31)),ROUND(INDEX('1-DATA'!$1:$1048576,IF(OR($B33="STD. DEVIATION",$C$1=1),$A33,$A33+1),COLUMN('1-DATA'!Q31)),IF($B33="STD. DEVIATION",2,$F$1))))</f>
        <v/>
      </c>
      <c r="S33" s="1" t="str">
        <f>IF(OR($B33="",S$7=""),"",IF($B33="MEANS",INDEX('1-DATA'!$1:$1048576,$A32-1,COLUMN('1-DATA'!R31)),ROUND(INDEX('1-DATA'!$1:$1048576,IF(OR($B33="STD. DEVIATION",$C$1=1),$A33,$A33+1),COLUMN('1-DATA'!R31)),IF($B33="STD. DEVIATION",2,$F$1))))</f>
        <v/>
      </c>
      <c r="T33" s="1" t="str">
        <f>IF(OR($B33="",T$7=""),"",IF($B33="MEANS",INDEX('1-DATA'!$1:$1048576,$A32-1,COLUMN('1-DATA'!S31)),ROUND(INDEX('1-DATA'!$1:$1048576,IF(OR($B33="STD. DEVIATION",$C$1=1),$A33,$A33+1),COLUMN('1-DATA'!S31)),IF($B33="STD. DEVIATION",2,$F$1))))</f>
        <v/>
      </c>
      <c r="U33" s="1" t="str">
        <f>IF(OR($B33="",U$7=""),"",IF($B33="MEANS",INDEX('1-DATA'!$1:$1048576,$A32-1,COLUMN('1-DATA'!T31)),ROUND(INDEX('1-DATA'!$1:$1048576,IF(OR($B33="STD. DEVIATION",$C$1=1),$A33,$A33+1),COLUMN('1-DATA'!T31)),IF($B33="STD. DEVIATION",2,$F$1))))</f>
        <v/>
      </c>
      <c r="V33" s="1" t="str">
        <f>IF(OR($B33="",V$7=""),"",IF($B33="MEANS",INDEX('1-DATA'!$1:$1048576,$A32-1,COLUMN('1-DATA'!U31)),ROUND(INDEX('1-DATA'!$1:$1048576,IF(OR($B33="STD. DEVIATION",$C$1=1),$A33,$A33+1),COLUMN('1-DATA'!U31)),IF($B33="STD. DEVIATION",2,$F$1))))</f>
        <v/>
      </c>
      <c r="W33" s="1" t="str">
        <f>IF(OR($B33="",W$7=""),"",IF($B33="MEANS",INDEX('1-DATA'!$1:$1048576,$A32-1,COLUMN('1-DATA'!V31)),ROUND(INDEX('1-DATA'!$1:$1048576,IF(OR($B33="STD. DEVIATION",$C$1=1),$A33,$A33+1),COLUMN('1-DATA'!V31)),IF($B33="STD. DEVIATION",2,$F$1))))</f>
        <v/>
      </c>
      <c r="X33" s="1" t="str">
        <f>IF(OR($B33="",X$7=""),"",IF($B33="MEANS",INDEX('1-DATA'!$1:$1048576,$A32-1,COLUMN('1-DATA'!W31)),ROUND(INDEX('1-DATA'!$1:$1048576,IF(OR($B33="STD. DEVIATION",$C$1=1),$A33,$A33+1),COLUMN('1-DATA'!W31)),IF($B33="STD. DEVIATION",2,$F$1))))</f>
        <v/>
      </c>
      <c r="Y33" s="1" t="str">
        <f>IF(OR($B33="",Y$7=""),"",IF($B33="MEANS",INDEX('1-DATA'!$1:$1048576,$A32-1,COLUMN('1-DATA'!X31)),ROUND(INDEX('1-DATA'!$1:$1048576,IF(OR($B33="STD. DEVIATION",$C$1=1),$A33,$A33+1),COLUMN('1-DATA'!X31)),IF($B33="STD. DEVIATION",2,$F$1))))</f>
        <v/>
      </c>
      <c r="Z33" s="1" t="str">
        <f>IF(OR($B33="",Z$7=""),"",IF($B33="MEANS",INDEX('1-DATA'!$1:$1048576,$A32-1,COLUMN('1-DATA'!Y31)),ROUND(INDEX('1-DATA'!$1:$1048576,IF(OR($B33="STD. DEVIATION",$C$1=1),$A33,$A33+1),COLUMN('1-DATA'!Y31)),IF($B33="STD. DEVIATION",2,$F$1))))</f>
        <v/>
      </c>
      <c r="AA33" s="1" t="str">
        <f>IF(OR($B33="",AA$7=""),"",IF($B33="MEANS",INDEX('1-DATA'!$1:$1048576,$A32-1,COLUMN('1-DATA'!Z31)),ROUND(INDEX('1-DATA'!$1:$1048576,IF(OR($B33="STD. DEVIATION",$C$1=1),$A33,$A33+1),COLUMN('1-DATA'!Z31)),IF($B33="STD. DEVIATION",2,$F$1))))</f>
        <v/>
      </c>
      <c r="AB33" s="1" t="str">
        <f>IF(OR($B33="",AB$7=""),"",IF($B33="MEANS",INDEX('1-DATA'!$1:$1048576,$A32-1,COLUMN('1-DATA'!AA31)),ROUND(INDEX('1-DATA'!$1:$1048576,IF(OR($B33="STD. DEVIATION",$C$1=1),$A33,$A33+1),COLUMN('1-DATA'!AA31)),IF($B33="STD. DEVIATION",2,$F$1))))</f>
        <v/>
      </c>
      <c r="AC33" s="1" t="str">
        <f>IF(OR($B33="",AC$7=""),"",IF($B33="MEANS",INDEX('1-DATA'!$1:$1048576,$A32-1,COLUMN('1-DATA'!AB31)),ROUND(INDEX('1-DATA'!$1:$1048576,IF(OR($B33="STD. DEVIATION",$C$1=1),$A33,$A33+1),COLUMN('1-DATA'!AB31)),IF($B33="STD. DEVIATION",2,$F$1))))</f>
        <v/>
      </c>
      <c r="AD33" s="1" t="str">
        <f>IF(OR($B33="",AD$7=""),"",IF($B33="MEANS",INDEX('1-DATA'!$1:$1048576,$A32-1,COLUMN('1-DATA'!AC31)),ROUND(INDEX('1-DATA'!$1:$1048576,IF(OR($B33="STD. DEVIATION",$C$1=1),$A33,$A33+1),COLUMN('1-DATA'!AC31)),IF($B33="STD. DEVIATION",2,$F$1))))</f>
        <v/>
      </c>
      <c r="AE33" s="1" t="str">
        <f>IF(OR($B33="",AE$7=""),"",IF($B33="MEANS",INDEX('1-DATA'!$1:$1048576,$A32-1,COLUMN('1-DATA'!AD31)),ROUND(INDEX('1-DATA'!$1:$1048576,IF(OR($B33="STD. DEVIATION",$C$1=1),$A33,$A33+1),COLUMN('1-DATA'!AD31)),IF($B33="STD. DEVIATION",2,$F$1))))</f>
        <v/>
      </c>
      <c r="AF33" s="1" t="str">
        <f>IF(OR($B33="",AF$7=""),"",IF($B33="MEANS",INDEX('1-DATA'!$1:$1048576,$A32-1,COLUMN('1-DATA'!AE31)),ROUND(INDEX('1-DATA'!$1:$1048576,IF(OR($B33="STD. DEVIATION",$C$1=1),$A33,$A33+1),COLUMN('1-DATA'!AE31)),IF($B33="STD. DEVIATION",2,$F$1))))</f>
        <v/>
      </c>
      <c r="AG33" s="1" t="str">
        <f>IF(OR($B33="",AG$7=""),"",IF($B33="MEANS",INDEX('1-DATA'!$1:$1048576,$A32-1,COLUMN('1-DATA'!AF31)),ROUND(INDEX('1-DATA'!$1:$1048576,IF(OR($B33="STD. DEVIATION",$C$1=1),$A33,$A33+1),COLUMN('1-DATA'!AF31)),IF($B33="STD. DEVIATION",2,$F$1))))</f>
        <v/>
      </c>
      <c r="AH33" s="1" t="str">
        <f>IF(OR($B33="",AH$7=""),"",IF($B33="MEANS",INDEX('1-DATA'!$1:$1048576,$A32-1,COLUMN('1-DATA'!AG31)),ROUND(INDEX('1-DATA'!$1:$1048576,IF(OR($B33="STD. DEVIATION",$C$1=1),$A33,$A33+1),COLUMN('1-DATA'!AG31)),IF($B33="STD. DEVIATION",2,$F$1))))</f>
        <v/>
      </c>
      <c r="AI33" s="1" t="str">
        <f>IF(OR($B33="",AI$7=""),"",IF($B33="MEANS",INDEX('1-DATA'!$1:$1048576,$A32-1,COLUMN('1-DATA'!AH31)),ROUND(INDEX('1-DATA'!$1:$1048576,IF(OR($B33="STD. DEVIATION",$C$1=1),$A33,$A33+1),COLUMN('1-DATA'!AH31)),IF($B33="STD. DEVIATION",2,$F$1))))</f>
        <v/>
      </c>
      <c r="AJ33" s="1" t="str">
        <f>IF(OR($B33="",AJ$7=""),"",IF($B33="MEANS",INDEX('1-DATA'!$1:$1048576,$A32-1,COLUMN('1-DATA'!AI31)),ROUND(INDEX('1-DATA'!$1:$1048576,IF(OR($B33="STD. DEVIATION",$C$1=1),$A33,$A33+1),COLUMN('1-DATA'!AI31)),IF($B33="STD. DEVIATION",2,$F$1))))</f>
        <v/>
      </c>
      <c r="AK33" s="1" t="str">
        <f>IF(OR($B33="",AK$7=""),"",IF($B33="MEANS",INDEX('1-DATA'!$1:$1048576,$A32-1,COLUMN('1-DATA'!AJ31)),ROUND(INDEX('1-DATA'!$1:$1048576,IF(OR($B33="STD. DEVIATION",$C$1=1),$A33,$A33+1),COLUMN('1-DATA'!AJ31)),IF($B33="STD. DEVIATION",2,$F$1))))</f>
        <v/>
      </c>
      <c r="AL33" s="1" t="str">
        <f>IF(OR($B33="",AL$7=""),"",IF($B33="MEANS",INDEX('1-DATA'!$1:$1048576,$A32-1,COLUMN('1-DATA'!AK31)),ROUND(INDEX('1-DATA'!$1:$1048576,IF(OR($B33="STD. DEVIATION",$C$1=1),$A33,$A33+1),COLUMN('1-DATA'!AK31)),IF($B33="STD. DEVIATION",2,$F$1))))</f>
        <v/>
      </c>
      <c r="AM33" s="1" t="str">
        <f>IF(OR($B33="",AM$7=""),"",IF($B33="MEANS",INDEX('1-DATA'!$1:$1048576,$A32-1,COLUMN('1-DATA'!AL31)),ROUND(INDEX('1-DATA'!$1:$1048576,IF(OR($B33="STD. DEVIATION",$C$1=1),$A33,$A33+1),COLUMN('1-DATA'!AL31)),IF($B33="STD. DEVIATION",2,$F$1))))</f>
        <v/>
      </c>
      <c r="AN33" s="1" t="str">
        <f>IF(OR($B33="",AN$7=""),"",IF($B33="MEANS",INDEX('1-DATA'!$1:$1048576,$A32-1,COLUMN('1-DATA'!AM31)),ROUND(INDEX('1-DATA'!$1:$1048576,IF(OR($B33="STD. DEVIATION",$C$1=1),$A33,$A33+1),COLUMN('1-DATA'!AM31)),IF($B33="STD. DEVIATION",2,$F$1))))</f>
        <v/>
      </c>
      <c r="AO33" s="1" t="str">
        <f>IF(OR($B33="",AO$7=""),"",IF($B33="MEANS",INDEX('1-DATA'!$1:$1048576,$A32-1,COLUMN('1-DATA'!AN31)),ROUND(INDEX('1-DATA'!$1:$1048576,IF(OR($B33="STD. DEVIATION",$C$1=1),$A33,$A33+1),COLUMN('1-DATA'!AN31)),IF($B33="STD. DEVIATION",2,$F$1))))</f>
        <v/>
      </c>
      <c r="AP33" s="1" t="str">
        <f>IF(OR($B33="",AP$7=""),"",IF($B33="MEANS",INDEX('1-DATA'!$1:$1048576,$A32-1,COLUMN('1-DATA'!AO31)),ROUND(INDEX('1-DATA'!$1:$1048576,IF(OR($B33="STD. DEVIATION",$C$1=1),$A33,$A33+1),COLUMN('1-DATA'!AO31)),IF($B33="STD. DEVIATION",2,$F$1))))</f>
        <v/>
      </c>
      <c r="AQ33" s="1" t="str">
        <f>IF(OR($B33="",AQ$7=""),"",IF($B33="MEANS",INDEX('1-DATA'!$1:$1048576,$A32-1,COLUMN('1-DATA'!AP31)),ROUND(INDEX('1-DATA'!$1:$1048576,IF(OR($B33="STD. DEVIATION",$C$1=1),$A33,$A33+1),COLUMN('1-DATA'!AP31)),IF($B33="STD. DEVIATION",2,$F$1))))</f>
        <v/>
      </c>
      <c r="AR33" s="1" t="str">
        <f>IF(OR($B33="",AR$7=""),"",IF($B33="MEANS",INDEX('1-DATA'!$1:$1048576,$A32-1,COLUMN('1-DATA'!AQ31)),ROUND(INDEX('1-DATA'!$1:$1048576,IF(OR($B33="STD. DEVIATION",$C$1=1),$A33,$A33+1),COLUMN('1-DATA'!AQ31)),IF($B33="STD. DEVIATION",2,$F$1))))</f>
        <v/>
      </c>
      <c r="AS33" s="1" t="str">
        <f>IF(OR($B33="",AS$7=""),"",IF($B33="MEANS",INDEX('1-DATA'!$1:$1048576,$A32-1,COLUMN('1-DATA'!AR31)),ROUND(INDEX('1-DATA'!$1:$1048576,IF(OR($B33="STD. DEVIATION",$C$1=1),$A33,$A33+1),COLUMN('1-DATA'!AR31)),IF($B33="STD. DEVIATION",2,$F$1))))</f>
        <v/>
      </c>
      <c r="AT33" s="1" t="str">
        <f>IF(OR($B33="",AT$7=""),"",IF($B33="MEANS",INDEX('1-DATA'!$1:$1048576,$A32-1,COLUMN('1-DATA'!AS31)),ROUND(INDEX('1-DATA'!$1:$1048576,IF(OR($B33="STD. DEVIATION",$C$1=1),$A33,$A33+1),COLUMN('1-DATA'!AS31)),IF($B33="STD. DEVIATION",2,$F$1))))</f>
        <v/>
      </c>
      <c r="AU33" s="1" t="str">
        <f>IF(OR($B33="",AU$7=""),"",IF($B33="MEANS",INDEX('1-DATA'!$1:$1048576,$A32-1,COLUMN('1-DATA'!AT31)),ROUND(INDEX('1-DATA'!$1:$1048576,IF(OR($B33="STD. DEVIATION",$C$1=1),$A33,$A33+1),COLUMN('1-DATA'!AT31)),IF($B33="STD. DEVIATION",2,$F$1))))</f>
        <v/>
      </c>
      <c r="AV33" s="1" t="str">
        <f>IF(OR($B33="",AV$7=""),"",IF($B33="MEANS",INDEX('1-DATA'!$1:$1048576,$A32-1,COLUMN('1-DATA'!AU31)),ROUND(INDEX('1-DATA'!$1:$1048576,IF(OR($B33="STD. DEVIATION",$C$1=1),$A33,$A33+1),COLUMN('1-DATA'!AU31)),IF($B33="STD. DEVIATION",2,$F$1))))</f>
        <v/>
      </c>
      <c r="AW33" s="1" t="str">
        <f>IF(OR($B33="",AW$7=""),"",IF($B33="MEANS",INDEX('1-DATA'!$1:$1048576,$A32-1,COLUMN('1-DATA'!AV31)),ROUND(INDEX('1-DATA'!$1:$1048576,IF(OR($B33="STD. DEVIATION",$C$1=1),$A33,$A33+1),COLUMN('1-DATA'!AV31)),IF($B33="STD. DEVIATION",2,$F$1))))</f>
        <v/>
      </c>
      <c r="AX33" s="1" t="str">
        <f>IF(OR($B33="",AX$7=""),"",IF($B33="MEANS",INDEX('1-DATA'!$1:$1048576,$A32-1,COLUMN('1-DATA'!AW31)),ROUND(INDEX('1-DATA'!$1:$1048576,IF(OR($B33="STD. DEVIATION",$C$1=1),$A33,$A33+1),COLUMN('1-DATA'!AW31)),IF($B33="STD. DEVIATION",2,$F$1))))</f>
        <v/>
      </c>
      <c r="AY33" s="1" t="str">
        <f>IF(OR($B33="",AY$7=""),"",IF($B33="MEANS",INDEX('1-DATA'!$1:$1048576,$A32-1,COLUMN('1-DATA'!AX31)),ROUND(INDEX('1-DATA'!$1:$1048576,IF(OR($B33="STD. DEVIATION",$C$1=1),$A33,$A33+1),COLUMN('1-DATA'!AX31)),IF($B33="STD. DEVIATION",2,$F$1))))</f>
        <v/>
      </c>
      <c r="AZ33" s="1" t="str">
        <f>IF(OR($B33="",AZ$7=""),"",IF($B33="MEANS",INDEX('1-DATA'!$1:$1048576,$A32-1,COLUMN('1-DATA'!AY31)),ROUND(INDEX('1-DATA'!$1:$1048576,IF(OR($B33="STD. DEVIATION",$C$1=1),$A33,$A33+1),COLUMN('1-DATA'!AY31)),IF($B33="STD. DEVIATION",2,$F$1))))</f>
        <v/>
      </c>
    </row>
    <row r="34" spans="1:52" x14ac:dyDescent="0.25">
      <c r="A34" s="11">
        <f t="shared" si="1"/>
        <v>88</v>
      </c>
      <c r="B34" s="1" t="str">
        <f>IF(B33="STD. DEVIATION",INDEX('1-DATA'!$1:$1048576,$A33-1,1),IF(INDEX('1-DATA'!$1:$1048576,$A34,1)&lt;&gt;"",INDEX('1-DATA'!$1:$1048576,$A34,1),""))</f>
        <v/>
      </c>
      <c r="C34" s="1" t="str">
        <f>IF(OR($B34="",C$7=""),"",IF($B34="MEANS",INDEX('1-DATA'!$1:$1048576,$A33-1,COLUMN('1-DATA'!B32)),ROUND(INDEX('1-DATA'!$1:$1048576,IF(OR($B34="STD. DEVIATION",$C$1=1),$A34,$A34+1),COLUMN('1-DATA'!B32)),IF($B34="STD. DEVIATION",2,$F$1))))</f>
        <v/>
      </c>
      <c r="D34" s="1" t="str">
        <f>IF(OR($B34="",D$7=""),"",IF($B34="MEANS",INDEX('1-DATA'!$1:$1048576,$A33-1,COLUMN('1-DATA'!C32)),ROUND(INDEX('1-DATA'!$1:$1048576,IF(OR($B34="STD. DEVIATION",$C$1=1),$A34,$A34+1),COLUMN('1-DATA'!C32)),IF($B34="STD. DEVIATION",2,$F$1))))</f>
        <v/>
      </c>
      <c r="E34" s="1" t="str">
        <f>IF(OR($B34="",E$7=""),"",IF($B34="MEANS",INDEX('1-DATA'!$1:$1048576,$A33-1,COLUMN('1-DATA'!D32)),ROUND(INDEX('1-DATA'!$1:$1048576,IF(OR($B34="STD. DEVIATION",$C$1=1),$A34,$A34+1),COLUMN('1-DATA'!D32)),IF($B34="STD. DEVIATION",2,$F$1))))</f>
        <v/>
      </c>
      <c r="F34" s="1" t="str">
        <f>IF(OR($B34="",F$7=""),"",IF($B34="MEANS",INDEX('1-DATA'!$1:$1048576,$A33-1,COLUMN('1-DATA'!E32)),ROUND(INDEX('1-DATA'!$1:$1048576,IF(OR($B34="STD. DEVIATION",$C$1=1),$A34,$A34+1),COLUMN('1-DATA'!E32)),IF($B34="STD. DEVIATION",2,$F$1))))</f>
        <v/>
      </c>
      <c r="G34" s="1" t="str">
        <f>IF(OR($B34="",G$7=""),"",IF($B34="MEANS",INDEX('1-DATA'!$1:$1048576,$A33-1,COLUMN('1-DATA'!F32)),ROUND(INDEX('1-DATA'!$1:$1048576,IF(OR($B34="STD. DEVIATION",$C$1=1),$A34,$A34+1),COLUMN('1-DATA'!F32)),IF($B34="STD. DEVIATION",2,$F$1))))</f>
        <v/>
      </c>
      <c r="H34" s="1" t="str">
        <f>IF(OR($B34="",H$7=""),"",IF($B34="MEANS",INDEX('1-DATA'!$1:$1048576,$A33-1,COLUMN('1-DATA'!G32)),ROUND(INDEX('1-DATA'!$1:$1048576,IF(OR($B34="STD. DEVIATION",$C$1=1),$A34,$A34+1),COLUMN('1-DATA'!G32)),IF($B34="STD. DEVIATION",2,$F$1))))</f>
        <v/>
      </c>
      <c r="I34" s="1" t="str">
        <f>IF(OR($B34="",I$7=""),"",IF($B34="MEANS",INDEX('1-DATA'!$1:$1048576,$A33-1,COLUMN('1-DATA'!H32)),ROUND(INDEX('1-DATA'!$1:$1048576,IF(OR($B34="STD. DEVIATION",$C$1=1),$A34,$A34+1),COLUMN('1-DATA'!H32)),IF($B34="STD. DEVIATION",2,$F$1))))</f>
        <v/>
      </c>
      <c r="J34" s="1" t="str">
        <f>IF(OR($B34="",J$7=""),"",IF($B34="MEANS",INDEX('1-DATA'!$1:$1048576,$A33-1,COLUMN('1-DATA'!I32)),ROUND(INDEX('1-DATA'!$1:$1048576,IF(OR($B34="STD. DEVIATION",$C$1=1),$A34,$A34+1),COLUMN('1-DATA'!I32)),IF($B34="STD. DEVIATION",2,$F$1))))</f>
        <v/>
      </c>
      <c r="K34" s="1" t="str">
        <f>IF(OR($B34="",K$7=""),"",IF($B34="MEANS",INDEX('1-DATA'!$1:$1048576,$A33-1,COLUMN('1-DATA'!J32)),ROUND(INDEX('1-DATA'!$1:$1048576,IF(OR($B34="STD. DEVIATION",$C$1=1),$A34,$A34+1),COLUMN('1-DATA'!J32)),IF($B34="STD. DEVIATION",2,$F$1))))</f>
        <v/>
      </c>
      <c r="L34" s="1" t="str">
        <f>IF(OR($B34="",L$7=""),"",IF($B34="MEANS",INDEX('1-DATA'!$1:$1048576,$A33-1,COLUMN('1-DATA'!K32)),ROUND(INDEX('1-DATA'!$1:$1048576,IF(OR($B34="STD. DEVIATION",$C$1=1),$A34,$A34+1),COLUMN('1-DATA'!K32)),IF($B34="STD. DEVIATION",2,$F$1))))</f>
        <v/>
      </c>
      <c r="M34" s="1" t="str">
        <f>IF(OR($B34="",M$7=""),"",IF($B34="MEANS",INDEX('1-DATA'!$1:$1048576,$A33-1,COLUMN('1-DATA'!L32)),ROUND(INDEX('1-DATA'!$1:$1048576,IF(OR($B34="STD. DEVIATION",$C$1=1),$A34,$A34+1),COLUMN('1-DATA'!L32)),IF($B34="STD. DEVIATION",2,$F$1))))</f>
        <v/>
      </c>
      <c r="N34" s="1" t="str">
        <f>IF(OR($B34="",N$7=""),"",IF($B34="MEANS",INDEX('1-DATA'!$1:$1048576,$A33-1,COLUMN('1-DATA'!M32)),ROUND(INDEX('1-DATA'!$1:$1048576,IF(OR($B34="STD. DEVIATION",$C$1=1),$A34,$A34+1),COLUMN('1-DATA'!M32)),IF($B34="STD. DEVIATION",2,$F$1))))</f>
        <v/>
      </c>
      <c r="O34" s="1" t="str">
        <f>IF(OR($B34="",O$7=""),"",IF($B34="MEANS",INDEX('1-DATA'!$1:$1048576,$A33-1,COLUMN('1-DATA'!N32)),ROUND(INDEX('1-DATA'!$1:$1048576,IF(OR($B34="STD. DEVIATION",$C$1=1),$A34,$A34+1),COLUMN('1-DATA'!N32)),IF($B34="STD. DEVIATION",2,$F$1))))</f>
        <v/>
      </c>
      <c r="P34" s="1" t="str">
        <f>IF(OR($B34="",P$7=""),"",IF($B34="MEANS",INDEX('1-DATA'!$1:$1048576,$A33-1,COLUMN('1-DATA'!O32)),ROUND(INDEX('1-DATA'!$1:$1048576,IF(OR($B34="STD. DEVIATION",$C$1=1),$A34,$A34+1),COLUMN('1-DATA'!O32)),IF($B34="STD. DEVIATION",2,$F$1))))</f>
        <v/>
      </c>
      <c r="Q34" s="1" t="str">
        <f>IF(OR($B34="",Q$7=""),"",IF($B34="MEANS",INDEX('1-DATA'!$1:$1048576,$A33-1,COLUMN('1-DATA'!P32)),ROUND(INDEX('1-DATA'!$1:$1048576,IF(OR($B34="STD. DEVIATION",$C$1=1),$A34,$A34+1),COLUMN('1-DATA'!P32)),IF($B34="STD. DEVIATION",2,$F$1))))</f>
        <v/>
      </c>
      <c r="R34" s="1" t="str">
        <f>IF(OR($B34="",R$7=""),"",IF($B34="MEANS",INDEX('1-DATA'!$1:$1048576,$A33-1,COLUMN('1-DATA'!Q32)),ROUND(INDEX('1-DATA'!$1:$1048576,IF(OR($B34="STD. DEVIATION",$C$1=1),$A34,$A34+1),COLUMN('1-DATA'!Q32)),IF($B34="STD. DEVIATION",2,$F$1))))</f>
        <v/>
      </c>
      <c r="S34" s="1" t="str">
        <f>IF(OR($B34="",S$7=""),"",IF($B34="MEANS",INDEX('1-DATA'!$1:$1048576,$A33-1,COLUMN('1-DATA'!R32)),ROUND(INDEX('1-DATA'!$1:$1048576,IF(OR($B34="STD. DEVIATION",$C$1=1),$A34,$A34+1),COLUMN('1-DATA'!R32)),IF($B34="STD. DEVIATION",2,$F$1))))</f>
        <v/>
      </c>
      <c r="T34" s="1" t="str">
        <f>IF(OR($B34="",T$7=""),"",IF($B34="MEANS",INDEX('1-DATA'!$1:$1048576,$A33-1,COLUMN('1-DATA'!S32)),ROUND(INDEX('1-DATA'!$1:$1048576,IF(OR($B34="STD. DEVIATION",$C$1=1),$A34,$A34+1),COLUMN('1-DATA'!S32)),IF($B34="STD. DEVIATION",2,$F$1))))</f>
        <v/>
      </c>
      <c r="U34" s="1" t="str">
        <f>IF(OR($B34="",U$7=""),"",IF($B34="MEANS",INDEX('1-DATA'!$1:$1048576,$A33-1,COLUMN('1-DATA'!T32)),ROUND(INDEX('1-DATA'!$1:$1048576,IF(OR($B34="STD. DEVIATION",$C$1=1),$A34,$A34+1),COLUMN('1-DATA'!T32)),IF($B34="STD. DEVIATION",2,$F$1))))</f>
        <v/>
      </c>
      <c r="V34" s="1" t="str">
        <f>IF(OR($B34="",V$7=""),"",IF($B34="MEANS",INDEX('1-DATA'!$1:$1048576,$A33-1,COLUMN('1-DATA'!U32)),ROUND(INDEX('1-DATA'!$1:$1048576,IF(OR($B34="STD. DEVIATION",$C$1=1),$A34,$A34+1),COLUMN('1-DATA'!U32)),IF($B34="STD. DEVIATION",2,$F$1))))</f>
        <v/>
      </c>
      <c r="W34" s="1" t="str">
        <f>IF(OR($B34="",W$7=""),"",IF($B34="MEANS",INDEX('1-DATA'!$1:$1048576,$A33-1,COLUMN('1-DATA'!V32)),ROUND(INDEX('1-DATA'!$1:$1048576,IF(OR($B34="STD. DEVIATION",$C$1=1),$A34,$A34+1),COLUMN('1-DATA'!V32)),IF($B34="STD. DEVIATION",2,$F$1))))</f>
        <v/>
      </c>
      <c r="X34" s="1" t="str">
        <f>IF(OR($B34="",X$7=""),"",IF($B34="MEANS",INDEX('1-DATA'!$1:$1048576,$A33-1,COLUMN('1-DATA'!W32)),ROUND(INDEX('1-DATA'!$1:$1048576,IF(OR($B34="STD. DEVIATION",$C$1=1),$A34,$A34+1),COLUMN('1-DATA'!W32)),IF($B34="STD. DEVIATION",2,$F$1))))</f>
        <v/>
      </c>
      <c r="Y34" s="1" t="str">
        <f>IF(OR($B34="",Y$7=""),"",IF($B34="MEANS",INDEX('1-DATA'!$1:$1048576,$A33-1,COLUMN('1-DATA'!X32)),ROUND(INDEX('1-DATA'!$1:$1048576,IF(OR($B34="STD. DEVIATION",$C$1=1),$A34,$A34+1),COLUMN('1-DATA'!X32)),IF($B34="STD. DEVIATION",2,$F$1))))</f>
        <v/>
      </c>
      <c r="Z34" s="1" t="str">
        <f>IF(OR($B34="",Z$7=""),"",IF($B34="MEANS",INDEX('1-DATA'!$1:$1048576,$A33-1,COLUMN('1-DATA'!Y32)),ROUND(INDEX('1-DATA'!$1:$1048576,IF(OR($B34="STD. DEVIATION",$C$1=1),$A34,$A34+1),COLUMN('1-DATA'!Y32)),IF($B34="STD. DEVIATION",2,$F$1))))</f>
        <v/>
      </c>
      <c r="AA34" s="1" t="str">
        <f>IF(OR($B34="",AA$7=""),"",IF($B34="MEANS",INDEX('1-DATA'!$1:$1048576,$A33-1,COLUMN('1-DATA'!Z32)),ROUND(INDEX('1-DATA'!$1:$1048576,IF(OR($B34="STD. DEVIATION",$C$1=1),$A34,$A34+1),COLUMN('1-DATA'!Z32)),IF($B34="STD. DEVIATION",2,$F$1))))</f>
        <v/>
      </c>
      <c r="AB34" s="1" t="str">
        <f>IF(OR($B34="",AB$7=""),"",IF($B34="MEANS",INDEX('1-DATA'!$1:$1048576,$A33-1,COLUMN('1-DATA'!AA32)),ROUND(INDEX('1-DATA'!$1:$1048576,IF(OR($B34="STD. DEVIATION",$C$1=1),$A34,$A34+1),COLUMN('1-DATA'!AA32)),IF($B34="STD. DEVIATION",2,$F$1))))</f>
        <v/>
      </c>
      <c r="AC34" s="1" t="str">
        <f>IF(OR($B34="",AC$7=""),"",IF($B34="MEANS",INDEX('1-DATA'!$1:$1048576,$A33-1,COLUMN('1-DATA'!AB32)),ROUND(INDEX('1-DATA'!$1:$1048576,IF(OR($B34="STD. DEVIATION",$C$1=1),$A34,$A34+1),COLUMN('1-DATA'!AB32)),IF($B34="STD. DEVIATION",2,$F$1))))</f>
        <v/>
      </c>
      <c r="AD34" s="1" t="str">
        <f>IF(OR($B34="",AD$7=""),"",IF($B34="MEANS",INDEX('1-DATA'!$1:$1048576,$A33-1,COLUMN('1-DATA'!AC32)),ROUND(INDEX('1-DATA'!$1:$1048576,IF(OR($B34="STD. DEVIATION",$C$1=1),$A34,$A34+1),COLUMN('1-DATA'!AC32)),IF($B34="STD. DEVIATION",2,$F$1))))</f>
        <v/>
      </c>
      <c r="AE34" s="1" t="str">
        <f>IF(OR($B34="",AE$7=""),"",IF($B34="MEANS",INDEX('1-DATA'!$1:$1048576,$A33-1,COLUMN('1-DATA'!AD32)),ROUND(INDEX('1-DATA'!$1:$1048576,IF(OR($B34="STD. DEVIATION",$C$1=1),$A34,$A34+1),COLUMN('1-DATA'!AD32)),IF($B34="STD. DEVIATION",2,$F$1))))</f>
        <v/>
      </c>
      <c r="AF34" s="1" t="str">
        <f>IF(OR($B34="",AF$7=""),"",IF($B34="MEANS",INDEX('1-DATA'!$1:$1048576,$A33-1,COLUMN('1-DATA'!AE32)),ROUND(INDEX('1-DATA'!$1:$1048576,IF(OR($B34="STD. DEVIATION",$C$1=1),$A34,$A34+1),COLUMN('1-DATA'!AE32)),IF($B34="STD. DEVIATION",2,$F$1))))</f>
        <v/>
      </c>
      <c r="AG34" s="1" t="str">
        <f>IF(OR($B34="",AG$7=""),"",IF($B34="MEANS",INDEX('1-DATA'!$1:$1048576,$A33-1,COLUMN('1-DATA'!AF32)),ROUND(INDEX('1-DATA'!$1:$1048576,IF(OR($B34="STD. DEVIATION",$C$1=1),$A34,$A34+1),COLUMN('1-DATA'!AF32)),IF($B34="STD. DEVIATION",2,$F$1))))</f>
        <v/>
      </c>
      <c r="AH34" s="1" t="str">
        <f>IF(OR($B34="",AH$7=""),"",IF($B34="MEANS",INDEX('1-DATA'!$1:$1048576,$A33-1,COLUMN('1-DATA'!AG32)),ROUND(INDEX('1-DATA'!$1:$1048576,IF(OR($B34="STD. DEVIATION",$C$1=1),$A34,$A34+1),COLUMN('1-DATA'!AG32)),IF($B34="STD. DEVIATION",2,$F$1))))</f>
        <v/>
      </c>
      <c r="AI34" s="1" t="str">
        <f>IF(OR($B34="",AI$7=""),"",IF($B34="MEANS",INDEX('1-DATA'!$1:$1048576,$A33-1,COLUMN('1-DATA'!AH32)),ROUND(INDEX('1-DATA'!$1:$1048576,IF(OR($B34="STD. DEVIATION",$C$1=1),$A34,$A34+1),COLUMN('1-DATA'!AH32)),IF($B34="STD. DEVIATION",2,$F$1))))</f>
        <v/>
      </c>
      <c r="AJ34" s="1" t="str">
        <f>IF(OR($B34="",AJ$7=""),"",IF($B34="MEANS",INDEX('1-DATA'!$1:$1048576,$A33-1,COLUMN('1-DATA'!AI32)),ROUND(INDEX('1-DATA'!$1:$1048576,IF(OR($B34="STD. DEVIATION",$C$1=1),$A34,$A34+1),COLUMN('1-DATA'!AI32)),IF($B34="STD. DEVIATION",2,$F$1))))</f>
        <v/>
      </c>
      <c r="AK34" s="1" t="str">
        <f>IF(OR($B34="",AK$7=""),"",IF($B34="MEANS",INDEX('1-DATA'!$1:$1048576,$A33-1,COLUMN('1-DATA'!AJ32)),ROUND(INDEX('1-DATA'!$1:$1048576,IF(OR($B34="STD. DEVIATION",$C$1=1),$A34,$A34+1),COLUMN('1-DATA'!AJ32)),IF($B34="STD. DEVIATION",2,$F$1))))</f>
        <v/>
      </c>
      <c r="AL34" s="1" t="str">
        <f>IF(OR($B34="",AL$7=""),"",IF($B34="MEANS",INDEX('1-DATA'!$1:$1048576,$A33-1,COLUMN('1-DATA'!AK32)),ROUND(INDEX('1-DATA'!$1:$1048576,IF(OR($B34="STD. DEVIATION",$C$1=1),$A34,$A34+1),COLUMN('1-DATA'!AK32)),IF($B34="STD. DEVIATION",2,$F$1))))</f>
        <v/>
      </c>
      <c r="AM34" s="1" t="str">
        <f>IF(OR($B34="",AM$7=""),"",IF($B34="MEANS",INDEX('1-DATA'!$1:$1048576,$A33-1,COLUMN('1-DATA'!AL32)),ROUND(INDEX('1-DATA'!$1:$1048576,IF(OR($B34="STD. DEVIATION",$C$1=1),$A34,$A34+1),COLUMN('1-DATA'!AL32)),IF($B34="STD. DEVIATION",2,$F$1))))</f>
        <v/>
      </c>
      <c r="AN34" s="1" t="str">
        <f>IF(OR($B34="",AN$7=""),"",IF($B34="MEANS",INDEX('1-DATA'!$1:$1048576,$A33-1,COLUMN('1-DATA'!AM32)),ROUND(INDEX('1-DATA'!$1:$1048576,IF(OR($B34="STD. DEVIATION",$C$1=1),$A34,$A34+1),COLUMN('1-DATA'!AM32)),IF($B34="STD. DEVIATION",2,$F$1))))</f>
        <v/>
      </c>
      <c r="AO34" s="1" t="str">
        <f>IF(OR($B34="",AO$7=""),"",IF($B34="MEANS",INDEX('1-DATA'!$1:$1048576,$A33-1,COLUMN('1-DATA'!AN32)),ROUND(INDEX('1-DATA'!$1:$1048576,IF(OR($B34="STD. DEVIATION",$C$1=1),$A34,$A34+1),COLUMN('1-DATA'!AN32)),IF($B34="STD. DEVIATION",2,$F$1))))</f>
        <v/>
      </c>
      <c r="AP34" s="1" t="str">
        <f>IF(OR($B34="",AP$7=""),"",IF($B34="MEANS",INDEX('1-DATA'!$1:$1048576,$A33-1,COLUMN('1-DATA'!AO32)),ROUND(INDEX('1-DATA'!$1:$1048576,IF(OR($B34="STD. DEVIATION",$C$1=1),$A34,$A34+1),COLUMN('1-DATA'!AO32)),IF($B34="STD. DEVIATION",2,$F$1))))</f>
        <v/>
      </c>
      <c r="AQ34" s="1" t="str">
        <f>IF(OR($B34="",AQ$7=""),"",IF($B34="MEANS",INDEX('1-DATA'!$1:$1048576,$A33-1,COLUMN('1-DATA'!AP32)),ROUND(INDEX('1-DATA'!$1:$1048576,IF(OR($B34="STD. DEVIATION",$C$1=1),$A34,$A34+1),COLUMN('1-DATA'!AP32)),IF($B34="STD. DEVIATION",2,$F$1))))</f>
        <v/>
      </c>
      <c r="AR34" s="1" t="str">
        <f>IF(OR($B34="",AR$7=""),"",IF($B34="MEANS",INDEX('1-DATA'!$1:$1048576,$A33-1,COLUMN('1-DATA'!AQ32)),ROUND(INDEX('1-DATA'!$1:$1048576,IF(OR($B34="STD. DEVIATION",$C$1=1),$A34,$A34+1),COLUMN('1-DATA'!AQ32)),IF($B34="STD. DEVIATION",2,$F$1))))</f>
        <v/>
      </c>
      <c r="AS34" s="1" t="str">
        <f>IF(OR($B34="",AS$7=""),"",IF($B34="MEANS",INDEX('1-DATA'!$1:$1048576,$A33-1,COLUMN('1-DATA'!AR32)),ROUND(INDEX('1-DATA'!$1:$1048576,IF(OR($B34="STD. DEVIATION",$C$1=1),$A34,$A34+1),COLUMN('1-DATA'!AR32)),IF($B34="STD. DEVIATION",2,$F$1))))</f>
        <v/>
      </c>
      <c r="AT34" s="1" t="str">
        <f>IF(OR($B34="",AT$7=""),"",IF($B34="MEANS",INDEX('1-DATA'!$1:$1048576,$A33-1,COLUMN('1-DATA'!AS32)),ROUND(INDEX('1-DATA'!$1:$1048576,IF(OR($B34="STD. DEVIATION",$C$1=1),$A34,$A34+1),COLUMN('1-DATA'!AS32)),IF($B34="STD. DEVIATION",2,$F$1))))</f>
        <v/>
      </c>
      <c r="AU34" s="1" t="str">
        <f>IF(OR($B34="",AU$7=""),"",IF($B34="MEANS",INDEX('1-DATA'!$1:$1048576,$A33-1,COLUMN('1-DATA'!AT32)),ROUND(INDEX('1-DATA'!$1:$1048576,IF(OR($B34="STD. DEVIATION",$C$1=1),$A34,$A34+1),COLUMN('1-DATA'!AT32)),IF($B34="STD. DEVIATION",2,$F$1))))</f>
        <v/>
      </c>
      <c r="AV34" s="1" t="str">
        <f>IF(OR($B34="",AV$7=""),"",IF($B34="MEANS",INDEX('1-DATA'!$1:$1048576,$A33-1,COLUMN('1-DATA'!AU32)),ROUND(INDEX('1-DATA'!$1:$1048576,IF(OR($B34="STD. DEVIATION",$C$1=1),$A34,$A34+1),COLUMN('1-DATA'!AU32)),IF($B34="STD. DEVIATION",2,$F$1))))</f>
        <v/>
      </c>
      <c r="AW34" s="1" t="str">
        <f>IF(OR($B34="",AW$7=""),"",IF($B34="MEANS",INDEX('1-DATA'!$1:$1048576,$A33-1,COLUMN('1-DATA'!AV32)),ROUND(INDEX('1-DATA'!$1:$1048576,IF(OR($B34="STD. DEVIATION",$C$1=1),$A34,$A34+1),COLUMN('1-DATA'!AV32)),IF($B34="STD. DEVIATION",2,$F$1))))</f>
        <v/>
      </c>
      <c r="AX34" s="1" t="str">
        <f>IF(OR($B34="",AX$7=""),"",IF($B34="MEANS",INDEX('1-DATA'!$1:$1048576,$A33-1,COLUMN('1-DATA'!AW32)),ROUND(INDEX('1-DATA'!$1:$1048576,IF(OR($B34="STD. DEVIATION",$C$1=1),$A34,$A34+1),COLUMN('1-DATA'!AW32)),IF($B34="STD. DEVIATION",2,$F$1))))</f>
        <v/>
      </c>
      <c r="AY34" s="1" t="str">
        <f>IF(OR($B34="",AY$7=""),"",IF($B34="MEANS",INDEX('1-DATA'!$1:$1048576,$A33-1,COLUMN('1-DATA'!AX32)),ROUND(INDEX('1-DATA'!$1:$1048576,IF(OR($B34="STD. DEVIATION",$C$1=1),$A34,$A34+1),COLUMN('1-DATA'!AX32)),IF($B34="STD. DEVIATION",2,$F$1))))</f>
        <v/>
      </c>
      <c r="AZ34" s="1" t="str">
        <f>IF(OR($B34="",AZ$7=""),"",IF($B34="MEANS",INDEX('1-DATA'!$1:$1048576,$A33-1,COLUMN('1-DATA'!AY32)),ROUND(INDEX('1-DATA'!$1:$1048576,IF(OR($B34="STD. DEVIATION",$C$1=1),$A34,$A34+1),COLUMN('1-DATA'!AY32)),IF($B34="STD. DEVIATION",2,$F$1))))</f>
        <v/>
      </c>
    </row>
    <row r="35" spans="1:52" x14ac:dyDescent="0.25">
      <c r="A35" s="11">
        <f t="shared" si="1"/>
        <v>91</v>
      </c>
      <c r="B35" s="1" t="str">
        <f>IF(B34="STD. DEVIATION",INDEX('1-DATA'!$1:$1048576,$A34-1,1),IF(INDEX('1-DATA'!$1:$1048576,$A35,1)&lt;&gt;"",INDEX('1-DATA'!$1:$1048576,$A35,1),""))</f>
        <v/>
      </c>
      <c r="C35" s="1" t="str">
        <f>IF(OR($B35="",C$7=""),"",IF($B35="MEANS",INDEX('1-DATA'!$1:$1048576,$A34-1,COLUMN('1-DATA'!B33)),ROUND(INDEX('1-DATA'!$1:$1048576,IF(OR($B35="STD. DEVIATION",$C$1=1),$A35,$A35+1),COLUMN('1-DATA'!B33)),IF($B35="STD. DEVIATION",2,$F$1))))</f>
        <v/>
      </c>
      <c r="D35" s="1" t="str">
        <f>IF(OR($B35="",D$7=""),"",IF($B35="MEANS",INDEX('1-DATA'!$1:$1048576,$A34-1,COLUMN('1-DATA'!C33)),ROUND(INDEX('1-DATA'!$1:$1048576,IF(OR($B35="STD. DEVIATION",$C$1=1),$A35,$A35+1),COLUMN('1-DATA'!C33)),IF($B35="STD. DEVIATION",2,$F$1))))</f>
        <v/>
      </c>
      <c r="E35" s="1" t="str">
        <f>IF(OR($B35="",E$7=""),"",IF($B35="MEANS",INDEX('1-DATA'!$1:$1048576,$A34-1,COLUMN('1-DATA'!D33)),ROUND(INDEX('1-DATA'!$1:$1048576,IF(OR($B35="STD. DEVIATION",$C$1=1),$A35,$A35+1),COLUMN('1-DATA'!D33)),IF($B35="STD. DEVIATION",2,$F$1))))</f>
        <v/>
      </c>
      <c r="F35" s="1" t="str">
        <f>IF(OR($B35="",F$7=""),"",IF($B35="MEANS",INDEX('1-DATA'!$1:$1048576,$A34-1,COLUMN('1-DATA'!E33)),ROUND(INDEX('1-DATA'!$1:$1048576,IF(OR($B35="STD. DEVIATION",$C$1=1),$A35,$A35+1),COLUMN('1-DATA'!E33)),IF($B35="STD. DEVIATION",2,$F$1))))</f>
        <v/>
      </c>
      <c r="G35" s="1" t="str">
        <f>IF(OR($B35="",G$7=""),"",IF($B35="MEANS",INDEX('1-DATA'!$1:$1048576,$A34-1,COLUMN('1-DATA'!F33)),ROUND(INDEX('1-DATA'!$1:$1048576,IF(OR($B35="STD. DEVIATION",$C$1=1),$A35,$A35+1),COLUMN('1-DATA'!F33)),IF($B35="STD. DEVIATION",2,$F$1))))</f>
        <v/>
      </c>
      <c r="H35" s="1" t="str">
        <f>IF(OR($B35="",H$7=""),"",IF($B35="MEANS",INDEX('1-DATA'!$1:$1048576,$A34-1,COLUMN('1-DATA'!G33)),ROUND(INDEX('1-DATA'!$1:$1048576,IF(OR($B35="STD. DEVIATION",$C$1=1),$A35,$A35+1),COLUMN('1-DATA'!G33)),IF($B35="STD. DEVIATION",2,$F$1))))</f>
        <v/>
      </c>
      <c r="I35" s="1" t="str">
        <f>IF(OR($B35="",I$7=""),"",IF($B35="MEANS",INDEX('1-DATA'!$1:$1048576,$A34-1,COLUMN('1-DATA'!H33)),ROUND(INDEX('1-DATA'!$1:$1048576,IF(OR($B35="STD. DEVIATION",$C$1=1),$A35,$A35+1),COLUMN('1-DATA'!H33)),IF($B35="STD. DEVIATION",2,$F$1))))</f>
        <v/>
      </c>
      <c r="J35" s="1" t="str">
        <f>IF(OR($B35="",J$7=""),"",IF($B35="MEANS",INDEX('1-DATA'!$1:$1048576,$A34-1,COLUMN('1-DATA'!I33)),ROUND(INDEX('1-DATA'!$1:$1048576,IF(OR($B35="STD. DEVIATION",$C$1=1),$A35,$A35+1),COLUMN('1-DATA'!I33)),IF($B35="STD. DEVIATION",2,$F$1))))</f>
        <v/>
      </c>
      <c r="K35" s="1" t="str">
        <f>IF(OR($B35="",K$7=""),"",IF($B35="MEANS",INDEX('1-DATA'!$1:$1048576,$A34-1,COLUMN('1-DATA'!J33)),ROUND(INDEX('1-DATA'!$1:$1048576,IF(OR($B35="STD. DEVIATION",$C$1=1),$A35,$A35+1),COLUMN('1-DATA'!J33)),IF($B35="STD. DEVIATION",2,$F$1))))</f>
        <v/>
      </c>
      <c r="L35" s="1" t="str">
        <f>IF(OR($B35="",L$7=""),"",IF($B35="MEANS",INDEX('1-DATA'!$1:$1048576,$A34-1,COLUMN('1-DATA'!K33)),ROUND(INDEX('1-DATA'!$1:$1048576,IF(OR($B35="STD. DEVIATION",$C$1=1),$A35,$A35+1),COLUMN('1-DATA'!K33)),IF($B35="STD. DEVIATION",2,$F$1))))</f>
        <v/>
      </c>
      <c r="M35" s="1" t="str">
        <f>IF(OR($B35="",M$7=""),"",IF($B35="MEANS",INDEX('1-DATA'!$1:$1048576,$A34-1,COLUMN('1-DATA'!L33)),ROUND(INDEX('1-DATA'!$1:$1048576,IF(OR($B35="STD. DEVIATION",$C$1=1),$A35,$A35+1),COLUMN('1-DATA'!L33)),IF($B35="STD. DEVIATION",2,$F$1))))</f>
        <v/>
      </c>
      <c r="N35" s="1" t="str">
        <f>IF(OR($B35="",N$7=""),"",IF($B35="MEANS",INDEX('1-DATA'!$1:$1048576,$A34-1,COLUMN('1-DATA'!M33)),ROUND(INDEX('1-DATA'!$1:$1048576,IF(OR($B35="STD. DEVIATION",$C$1=1),$A35,$A35+1),COLUMN('1-DATA'!M33)),IF($B35="STD. DEVIATION",2,$F$1))))</f>
        <v/>
      </c>
      <c r="O35" s="1" t="str">
        <f>IF(OR($B35="",O$7=""),"",IF($B35="MEANS",INDEX('1-DATA'!$1:$1048576,$A34-1,COLUMN('1-DATA'!N33)),ROUND(INDEX('1-DATA'!$1:$1048576,IF(OR($B35="STD. DEVIATION",$C$1=1),$A35,$A35+1),COLUMN('1-DATA'!N33)),IF($B35="STD. DEVIATION",2,$F$1))))</f>
        <v/>
      </c>
      <c r="P35" s="1" t="str">
        <f>IF(OR($B35="",P$7=""),"",IF($B35="MEANS",INDEX('1-DATA'!$1:$1048576,$A34-1,COLUMN('1-DATA'!O33)),ROUND(INDEX('1-DATA'!$1:$1048576,IF(OR($B35="STD. DEVIATION",$C$1=1),$A35,$A35+1),COLUMN('1-DATA'!O33)),IF($B35="STD. DEVIATION",2,$F$1))))</f>
        <v/>
      </c>
      <c r="Q35" s="1" t="str">
        <f>IF(OR($B35="",Q$7=""),"",IF($B35="MEANS",INDEX('1-DATA'!$1:$1048576,$A34-1,COLUMN('1-DATA'!P33)),ROUND(INDEX('1-DATA'!$1:$1048576,IF(OR($B35="STD. DEVIATION",$C$1=1),$A35,$A35+1),COLUMN('1-DATA'!P33)),IF($B35="STD. DEVIATION",2,$F$1))))</f>
        <v/>
      </c>
      <c r="R35" s="1" t="str">
        <f>IF(OR($B35="",R$7=""),"",IF($B35="MEANS",INDEX('1-DATA'!$1:$1048576,$A34-1,COLUMN('1-DATA'!Q33)),ROUND(INDEX('1-DATA'!$1:$1048576,IF(OR($B35="STD. DEVIATION",$C$1=1),$A35,$A35+1),COLUMN('1-DATA'!Q33)),IF($B35="STD. DEVIATION",2,$F$1))))</f>
        <v/>
      </c>
      <c r="S35" s="1" t="str">
        <f>IF(OR($B35="",S$7=""),"",IF($B35="MEANS",INDEX('1-DATA'!$1:$1048576,$A34-1,COLUMN('1-DATA'!R33)),ROUND(INDEX('1-DATA'!$1:$1048576,IF(OR($B35="STD. DEVIATION",$C$1=1),$A35,$A35+1),COLUMN('1-DATA'!R33)),IF($B35="STD. DEVIATION",2,$F$1))))</f>
        <v/>
      </c>
      <c r="T35" s="1" t="str">
        <f>IF(OR($B35="",T$7=""),"",IF($B35="MEANS",INDEX('1-DATA'!$1:$1048576,$A34-1,COLUMN('1-DATA'!S33)),ROUND(INDEX('1-DATA'!$1:$1048576,IF(OR($B35="STD. DEVIATION",$C$1=1),$A35,$A35+1),COLUMN('1-DATA'!S33)),IF($B35="STD. DEVIATION",2,$F$1))))</f>
        <v/>
      </c>
      <c r="U35" s="1" t="str">
        <f>IF(OR($B35="",U$7=""),"",IF($B35="MEANS",INDEX('1-DATA'!$1:$1048576,$A34-1,COLUMN('1-DATA'!T33)),ROUND(INDEX('1-DATA'!$1:$1048576,IF(OR($B35="STD. DEVIATION",$C$1=1),$A35,$A35+1),COLUMN('1-DATA'!T33)),IF($B35="STD. DEVIATION",2,$F$1))))</f>
        <v/>
      </c>
      <c r="V35" s="1" t="str">
        <f>IF(OR($B35="",V$7=""),"",IF($B35="MEANS",INDEX('1-DATA'!$1:$1048576,$A34-1,COLUMN('1-DATA'!U33)),ROUND(INDEX('1-DATA'!$1:$1048576,IF(OR($B35="STD. DEVIATION",$C$1=1),$A35,$A35+1),COLUMN('1-DATA'!U33)),IF($B35="STD. DEVIATION",2,$F$1))))</f>
        <v/>
      </c>
      <c r="W35" s="1" t="str">
        <f>IF(OR($B35="",W$7=""),"",IF($B35="MEANS",INDEX('1-DATA'!$1:$1048576,$A34-1,COLUMN('1-DATA'!V33)),ROUND(INDEX('1-DATA'!$1:$1048576,IF(OR($B35="STD. DEVIATION",$C$1=1),$A35,$A35+1),COLUMN('1-DATA'!V33)),IF($B35="STD. DEVIATION",2,$F$1))))</f>
        <v/>
      </c>
      <c r="X35" s="1" t="str">
        <f>IF(OR($B35="",X$7=""),"",IF($B35="MEANS",INDEX('1-DATA'!$1:$1048576,$A34-1,COLUMN('1-DATA'!W33)),ROUND(INDEX('1-DATA'!$1:$1048576,IF(OR($B35="STD. DEVIATION",$C$1=1),$A35,$A35+1),COLUMN('1-DATA'!W33)),IF($B35="STD. DEVIATION",2,$F$1))))</f>
        <v/>
      </c>
      <c r="Y35" s="1" t="str">
        <f>IF(OR($B35="",Y$7=""),"",IF($B35="MEANS",INDEX('1-DATA'!$1:$1048576,$A34-1,COLUMN('1-DATA'!X33)),ROUND(INDEX('1-DATA'!$1:$1048576,IF(OR($B35="STD. DEVIATION",$C$1=1),$A35,$A35+1),COLUMN('1-DATA'!X33)),IF($B35="STD. DEVIATION",2,$F$1))))</f>
        <v/>
      </c>
      <c r="Z35" s="1" t="str">
        <f>IF(OR($B35="",Z$7=""),"",IF($B35="MEANS",INDEX('1-DATA'!$1:$1048576,$A34-1,COLUMN('1-DATA'!Y33)),ROUND(INDEX('1-DATA'!$1:$1048576,IF(OR($B35="STD. DEVIATION",$C$1=1),$A35,$A35+1),COLUMN('1-DATA'!Y33)),IF($B35="STD. DEVIATION",2,$F$1))))</f>
        <v/>
      </c>
      <c r="AA35" s="1" t="str">
        <f>IF(OR($B35="",AA$7=""),"",IF($B35="MEANS",INDEX('1-DATA'!$1:$1048576,$A34-1,COLUMN('1-DATA'!Z33)),ROUND(INDEX('1-DATA'!$1:$1048576,IF(OR($B35="STD. DEVIATION",$C$1=1),$A35,$A35+1),COLUMN('1-DATA'!Z33)),IF($B35="STD. DEVIATION",2,$F$1))))</f>
        <v/>
      </c>
      <c r="AB35" s="1" t="str">
        <f>IF(OR($B35="",AB$7=""),"",IF($B35="MEANS",INDEX('1-DATA'!$1:$1048576,$A34-1,COLUMN('1-DATA'!AA33)),ROUND(INDEX('1-DATA'!$1:$1048576,IF(OR($B35="STD. DEVIATION",$C$1=1),$A35,$A35+1),COLUMN('1-DATA'!AA33)),IF($B35="STD. DEVIATION",2,$F$1))))</f>
        <v/>
      </c>
      <c r="AC35" s="1" t="str">
        <f>IF(OR($B35="",AC$7=""),"",IF($B35="MEANS",INDEX('1-DATA'!$1:$1048576,$A34-1,COLUMN('1-DATA'!AB33)),ROUND(INDEX('1-DATA'!$1:$1048576,IF(OR($B35="STD. DEVIATION",$C$1=1),$A35,$A35+1),COLUMN('1-DATA'!AB33)),IF($B35="STD. DEVIATION",2,$F$1))))</f>
        <v/>
      </c>
      <c r="AD35" s="1" t="str">
        <f>IF(OR($B35="",AD$7=""),"",IF($B35="MEANS",INDEX('1-DATA'!$1:$1048576,$A34-1,COLUMN('1-DATA'!AC33)),ROUND(INDEX('1-DATA'!$1:$1048576,IF(OR($B35="STD. DEVIATION",$C$1=1),$A35,$A35+1),COLUMN('1-DATA'!AC33)),IF($B35="STD. DEVIATION",2,$F$1))))</f>
        <v/>
      </c>
      <c r="AE35" s="1" t="str">
        <f>IF(OR($B35="",AE$7=""),"",IF($B35="MEANS",INDEX('1-DATA'!$1:$1048576,$A34-1,COLUMN('1-DATA'!AD33)),ROUND(INDEX('1-DATA'!$1:$1048576,IF(OR($B35="STD. DEVIATION",$C$1=1),$A35,$A35+1),COLUMN('1-DATA'!AD33)),IF($B35="STD. DEVIATION",2,$F$1))))</f>
        <v/>
      </c>
      <c r="AF35" s="1" t="str">
        <f>IF(OR($B35="",AF$7=""),"",IF($B35="MEANS",INDEX('1-DATA'!$1:$1048576,$A34-1,COLUMN('1-DATA'!AE33)),ROUND(INDEX('1-DATA'!$1:$1048576,IF(OR($B35="STD. DEVIATION",$C$1=1),$A35,$A35+1),COLUMN('1-DATA'!AE33)),IF($B35="STD. DEVIATION",2,$F$1))))</f>
        <v/>
      </c>
      <c r="AG35" s="1" t="str">
        <f>IF(OR($B35="",AG$7=""),"",IF($B35="MEANS",INDEX('1-DATA'!$1:$1048576,$A34-1,COLUMN('1-DATA'!AF33)),ROUND(INDEX('1-DATA'!$1:$1048576,IF(OR($B35="STD. DEVIATION",$C$1=1),$A35,$A35+1),COLUMN('1-DATA'!AF33)),IF($B35="STD. DEVIATION",2,$F$1))))</f>
        <v/>
      </c>
      <c r="AH35" s="1" t="str">
        <f>IF(OR($B35="",AH$7=""),"",IF($B35="MEANS",INDEX('1-DATA'!$1:$1048576,$A34-1,COLUMN('1-DATA'!AG33)),ROUND(INDEX('1-DATA'!$1:$1048576,IF(OR($B35="STD. DEVIATION",$C$1=1),$A35,$A35+1),COLUMN('1-DATA'!AG33)),IF($B35="STD. DEVIATION",2,$F$1))))</f>
        <v/>
      </c>
      <c r="AI35" s="1" t="str">
        <f>IF(OR($B35="",AI$7=""),"",IF($B35="MEANS",INDEX('1-DATA'!$1:$1048576,$A34-1,COLUMN('1-DATA'!AH33)),ROUND(INDEX('1-DATA'!$1:$1048576,IF(OR($B35="STD. DEVIATION",$C$1=1),$A35,$A35+1),COLUMN('1-DATA'!AH33)),IF($B35="STD. DEVIATION",2,$F$1))))</f>
        <v/>
      </c>
      <c r="AJ35" s="1" t="str">
        <f>IF(OR($B35="",AJ$7=""),"",IF($B35="MEANS",INDEX('1-DATA'!$1:$1048576,$A34-1,COLUMN('1-DATA'!AI33)),ROUND(INDEX('1-DATA'!$1:$1048576,IF(OR($B35="STD. DEVIATION",$C$1=1),$A35,$A35+1),COLUMN('1-DATA'!AI33)),IF($B35="STD. DEVIATION",2,$F$1))))</f>
        <v/>
      </c>
      <c r="AK35" s="1" t="str">
        <f>IF(OR($B35="",AK$7=""),"",IF($B35="MEANS",INDEX('1-DATA'!$1:$1048576,$A34-1,COLUMN('1-DATA'!AJ33)),ROUND(INDEX('1-DATA'!$1:$1048576,IF(OR($B35="STD. DEVIATION",$C$1=1),$A35,$A35+1),COLUMN('1-DATA'!AJ33)),IF($B35="STD. DEVIATION",2,$F$1))))</f>
        <v/>
      </c>
      <c r="AL35" s="1" t="str">
        <f>IF(OR($B35="",AL$7=""),"",IF($B35="MEANS",INDEX('1-DATA'!$1:$1048576,$A34-1,COLUMN('1-DATA'!AK33)),ROUND(INDEX('1-DATA'!$1:$1048576,IF(OR($B35="STD. DEVIATION",$C$1=1),$A35,$A35+1),COLUMN('1-DATA'!AK33)),IF($B35="STD. DEVIATION",2,$F$1))))</f>
        <v/>
      </c>
      <c r="AM35" s="1" t="str">
        <f>IF(OR($B35="",AM$7=""),"",IF($B35="MEANS",INDEX('1-DATA'!$1:$1048576,$A34-1,COLUMN('1-DATA'!AL33)),ROUND(INDEX('1-DATA'!$1:$1048576,IF(OR($B35="STD. DEVIATION",$C$1=1),$A35,$A35+1),COLUMN('1-DATA'!AL33)),IF($B35="STD. DEVIATION",2,$F$1))))</f>
        <v/>
      </c>
      <c r="AN35" s="1" t="str">
        <f>IF(OR($B35="",AN$7=""),"",IF($B35="MEANS",INDEX('1-DATA'!$1:$1048576,$A34-1,COLUMN('1-DATA'!AM33)),ROUND(INDEX('1-DATA'!$1:$1048576,IF(OR($B35="STD. DEVIATION",$C$1=1),$A35,$A35+1),COLUMN('1-DATA'!AM33)),IF($B35="STD. DEVIATION",2,$F$1))))</f>
        <v/>
      </c>
      <c r="AO35" s="1" t="str">
        <f>IF(OR($B35="",AO$7=""),"",IF($B35="MEANS",INDEX('1-DATA'!$1:$1048576,$A34-1,COLUMN('1-DATA'!AN33)),ROUND(INDEX('1-DATA'!$1:$1048576,IF(OR($B35="STD. DEVIATION",$C$1=1),$A35,$A35+1),COLUMN('1-DATA'!AN33)),IF($B35="STD. DEVIATION",2,$F$1))))</f>
        <v/>
      </c>
      <c r="AP35" s="1" t="str">
        <f>IF(OR($B35="",AP$7=""),"",IF($B35="MEANS",INDEX('1-DATA'!$1:$1048576,$A34-1,COLUMN('1-DATA'!AO33)),ROUND(INDEX('1-DATA'!$1:$1048576,IF(OR($B35="STD. DEVIATION",$C$1=1),$A35,$A35+1),COLUMN('1-DATA'!AO33)),IF($B35="STD. DEVIATION",2,$F$1))))</f>
        <v/>
      </c>
      <c r="AQ35" s="1" t="str">
        <f>IF(OR($B35="",AQ$7=""),"",IF($B35="MEANS",INDEX('1-DATA'!$1:$1048576,$A34-1,COLUMN('1-DATA'!AP33)),ROUND(INDEX('1-DATA'!$1:$1048576,IF(OR($B35="STD. DEVIATION",$C$1=1),$A35,$A35+1),COLUMN('1-DATA'!AP33)),IF($B35="STD. DEVIATION",2,$F$1))))</f>
        <v/>
      </c>
      <c r="AR35" s="1" t="str">
        <f>IF(OR($B35="",AR$7=""),"",IF($B35="MEANS",INDEX('1-DATA'!$1:$1048576,$A34-1,COLUMN('1-DATA'!AQ33)),ROUND(INDEX('1-DATA'!$1:$1048576,IF(OR($B35="STD. DEVIATION",$C$1=1),$A35,$A35+1),COLUMN('1-DATA'!AQ33)),IF($B35="STD. DEVIATION",2,$F$1))))</f>
        <v/>
      </c>
      <c r="AS35" s="1" t="str">
        <f>IF(OR($B35="",AS$7=""),"",IF($B35="MEANS",INDEX('1-DATA'!$1:$1048576,$A34-1,COLUMN('1-DATA'!AR33)),ROUND(INDEX('1-DATA'!$1:$1048576,IF(OR($B35="STD. DEVIATION",$C$1=1),$A35,$A35+1),COLUMN('1-DATA'!AR33)),IF($B35="STD. DEVIATION",2,$F$1))))</f>
        <v/>
      </c>
      <c r="AT35" s="1" t="str">
        <f>IF(OR($B35="",AT$7=""),"",IF($B35="MEANS",INDEX('1-DATA'!$1:$1048576,$A34-1,COLUMN('1-DATA'!AS33)),ROUND(INDEX('1-DATA'!$1:$1048576,IF(OR($B35="STD. DEVIATION",$C$1=1),$A35,$A35+1),COLUMN('1-DATA'!AS33)),IF($B35="STD. DEVIATION",2,$F$1))))</f>
        <v/>
      </c>
      <c r="AU35" s="1" t="str">
        <f>IF(OR($B35="",AU$7=""),"",IF($B35="MEANS",INDEX('1-DATA'!$1:$1048576,$A34-1,COLUMN('1-DATA'!AT33)),ROUND(INDEX('1-DATA'!$1:$1048576,IF(OR($B35="STD. DEVIATION",$C$1=1),$A35,$A35+1),COLUMN('1-DATA'!AT33)),IF($B35="STD. DEVIATION",2,$F$1))))</f>
        <v/>
      </c>
      <c r="AV35" s="1" t="str">
        <f>IF(OR($B35="",AV$7=""),"",IF($B35="MEANS",INDEX('1-DATA'!$1:$1048576,$A34-1,COLUMN('1-DATA'!AU33)),ROUND(INDEX('1-DATA'!$1:$1048576,IF(OR($B35="STD. DEVIATION",$C$1=1),$A35,$A35+1),COLUMN('1-DATA'!AU33)),IF($B35="STD. DEVIATION",2,$F$1))))</f>
        <v/>
      </c>
      <c r="AW35" s="1" t="str">
        <f>IF(OR($B35="",AW$7=""),"",IF($B35="MEANS",INDEX('1-DATA'!$1:$1048576,$A34-1,COLUMN('1-DATA'!AV33)),ROUND(INDEX('1-DATA'!$1:$1048576,IF(OR($B35="STD. DEVIATION",$C$1=1),$A35,$A35+1),COLUMN('1-DATA'!AV33)),IF($B35="STD. DEVIATION",2,$F$1))))</f>
        <v/>
      </c>
      <c r="AX35" s="1" t="str">
        <f>IF(OR($B35="",AX$7=""),"",IF($B35="MEANS",INDEX('1-DATA'!$1:$1048576,$A34-1,COLUMN('1-DATA'!AW33)),ROUND(INDEX('1-DATA'!$1:$1048576,IF(OR($B35="STD. DEVIATION",$C$1=1),$A35,$A35+1),COLUMN('1-DATA'!AW33)),IF($B35="STD. DEVIATION",2,$F$1))))</f>
        <v/>
      </c>
      <c r="AY35" s="1" t="str">
        <f>IF(OR($B35="",AY$7=""),"",IF($B35="MEANS",INDEX('1-DATA'!$1:$1048576,$A34-1,COLUMN('1-DATA'!AX33)),ROUND(INDEX('1-DATA'!$1:$1048576,IF(OR($B35="STD. DEVIATION",$C$1=1),$A35,$A35+1),COLUMN('1-DATA'!AX33)),IF($B35="STD. DEVIATION",2,$F$1))))</f>
        <v/>
      </c>
      <c r="AZ35" s="1" t="str">
        <f>IF(OR($B35="",AZ$7=""),"",IF($B35="MEANS",INDEX('1-DATA'!$1:$1048576,$A34-1,COLUMN('1-DATA'!AY33)),ROUND(INDEX('1-DATA'!$1:$1048576,IF(OR($B35="STD. DEVIATION",$C$1=1),$A35,$A35+1),COLUMN('1-DATA'!AY33)),IF($B35="STD. DEVIATION",2,$F$1))))</f>
        <v/>
      </c>
    </row>
    <row r="36" spans="1:52" x14ac:dyDescent="0.25">
      <c r="A36" s="11">
        <f t="shared" si="1"/>
        <v>94</v>
      </c>
      <c r="B36" s="1" t="str">
        <f>IF(B35="STD. DEVIATION",INDEX('1-DATA'!$1:$1048576,$A35-1,1),IF(INDEX('1-DATA'!$1:$1048576,$A36,1)&lt;&gt;"",INDEX('1-DATA'!$1:$1048576,$A36,1),""))</f>
        <v/>
      </c>
      <c r="C36" s="1" t="str">
        <f>IF(OR($B36="",C$7=""),"",IF($B36="MEANS",INDEX('1-DATA'!$1:$1048576,$A35-1,COLUMN('1-DATA'!B34)),ROUND(INDEX('1-DATA'!$1:$1048576,IF(OR($B36="STD. DEVIATION",$C$1=1),$A36,$A36+1),COLUMN('1-DATA'!B34)),IF($B36="STD. DEVIATION",2,$F$1))))</f>
        <v/>
      </c>
      <c r="D36" s="1" t="str">
        <f>IF(OR($B36="",D$7=""),"",IF($B36="MEANS",INDEX('1-DATA'!$1:$1048576,$A35-1,COLUMN('1-DATA'!C34)),ROUND(INDEX('1-DATA'!$1:$1048576,IF(OR($B36="STD. DEVIATION",$C$1=1),$A36,$A36+1),COLUMN('1-DATA'!C34)),IF($B36="STD. DEVIATION",2,$F$1))))</f>
        <v/>
      </c>
      <c r="E36" s="1" t="str">
        <f>IF(OR($B36="",E$7=""),"",IF($B36="MEANS",INDEX('1-DATA'!$1:$1048576,$A35-1,COLUMN('1-DATA'!D34)),ROUND(INDEX('1-DATA'!$1:$1048576,IF(OR($B36="STD. DEVIATION",$C$1=1),$A36,$A36+1),COLUMN('1-DATA'!D34)),IF($B36="STD. DEVIATION",2,$F$1))))</f>
        <v/>
      </c>
      <c r="F36" s="1" t="str">
        <f>IF(OR($B36="",F$7=""),"",IF($B36="MEANS",INDEX('1-DATA'!$1:$1048576,$A35-1,COLUMN('1-DATA'!E34)),ROUND(INDEX('1-DATA'!$1:$1048576,IF(OR($B36="STD. DEVIATION",$C$1=1),$A36,$A36+1),COLUMN('1-DATA'!E34)),IF($B36="STD. DEVIATION",2,$F$1))))</f>
        <v/>
      </c>
      <c r="G36" s="1" t="str">
        <f>IF(OR($B36="",G$7=""),"",IF($B36="MEANS",INDEX('1-DATA'!$1:$1048576,$A35-1,COLUMN('1-DATA'!F34)),ROUND(INDEX('1-DATA'!$1:$1048576,IF(OR($B36="STD. DEVIATION",$C$1=1),$A36,$A36+1),COLUMN('1-DATA'!F34)),IF($B36="STD. DEVIATION",2,$F$1))))</f>
        <v/>
      </c>
      <c r="H36" s="1" t="str">
        <f>IF(OR($B36="",H$7=""),"",IF($B36="MEANS",INDEX('1-DATA'!$1:$1048576,$A35-1,COLUMN('1-DATA'!G34)),ROUND(INDEX('1-DATA'!$1:$1048576,IF(OR($B36="STD. DEVIATION",$C$1=1),$A36,$A36+1),COLUMN('1-DATA'!G34)),IF($B36="STD. DEVIATION",2,$F$1))))</f>
        <v/>
      </c>
      <c r="I36" s="1" t="str">
        <f>IF(OR($B36="",I$7=""),"",IF($B36="MEANS",INDEX('1-DATA'!$1:$1048576,$A35-1,COLUMN('1-DATA'!H34)),ROUND(INDEX('1-DATA'!$1:$1048576,IF(OR($B36="STD. DEVIATION",$C$1=1),$A36,$A36+1),COLUMN('1-DATA'!H34)),IF($B36="STD. DEVIATION",2,$F$1))))</f>
        <v/>
      </c>
      <c r="J36" s="1" t="str">
        <f>IF(OR($B36="",J$7=""),"",IF($B36="MEANS",INDEX('1-DATA'!$1:$1048576,$A35-1,COLUMN('1-DATA'!I34)),ROUND(INDEX('1-DATA'!$1:$1048576,IF(OR($B36="STD. DEVIATION",$C$1=1),$A36,$A36+1),COLUMN('1-DATA'!I34)),IF($B36="STD. DEVIATION",2,$F$1))))</f>
        <v/>
      </c>
      <c r="K36" s="1" t="str">
        <f>IF(OR($B36="",K$7=""),"",IF($B36="MEANS",INDEX('1-DATA'!$1:$1048576,$A35-1,COLUMN('1-DATA'!J34)),ROUND(INDEX('1-DATA'!$1:$1048576,IF(OR($B36="STD. DEVIATION",$C$1=1),$A36,$A36+1),COLUMN('1-DATA'!J34)),IF($B36="STD. DEVIATION",2,$F$1))))</f>
        <v/>
      </c>
      <c r="L36" s="1" t="str">
        <f>IF(OR($B36="",L$7=""),"",IF($B36="MEANS",INDEX('1-DATA'!$1:$1048576,$A35-1,COLUMN('1-DATA'!K34)),ROUND(INDEX('1-DATA'!$1:$1048576,IF(OR($B36="STD. DEVIATION",$C$1=1),$A36,$A36+1),COLUMN('1-DATA'!K34)),IF($B36="STD. DEVIATION",2,$F$1))))</f>
        <v/>
      </c>
      <c r="M36" s="1" t="str">
        <f>IF(OR($B36="",M$7=""),"",IF($B36="MEANS",INDEX('1-DATA'!$1:$1048576,$A35-1,COLUMN('1-DATA'!L34)),ROUND(INDEX('1-DATA'!$1:$1048576,IF(OR($B36="STD. DEVIATION",$C$1=1),$A36,$A36+1),COLUMN('1-DATA'!L34)),IF($B36="STD. DEVIATION",2,$F$1))))</f>
        <v/>
      </c>
      <c r="N36" s="1" t="str">
        <f>IF(OR($B36="",N$7=""),"",IF($B36="MEANS",INDEX('1-DATA'!$1:$1048576,$A35-1,COLUMN('1-DATA'!M34)),ROUND(INDEX('1-DATA'!$1:$1048576,IF(OR($B36="STD. DEVIATION",$C$1=1),$A36,$A36+1),COLUMN('1-DATA'!M34)),IF($B36="STD. DEVIATION",2,$F$1))))</f>
        <v/>
      </c>
      <c r="O36" s="1" t="str">
        <f>IF(OR($B36="",O$7=""),"",IF($B36="MEANS",INDEX('1-DATA'!$1:$1048576,$A35-1,COLUMN('1-DATA'!N34)),ROUND(INDEX('1-DATA'!$1:$1048576,IF(OR($B36="STD. DEVIATION",$C$1=1),$A36,$A36+1),COLUMN('1-DATA'!N34)),IF($B36="STD. DEVIATION",2,$F$1))))</f>
        <v/>
      </c>
      <c r="P36" s="1" t="str">
        <f>IF(OR($B36="",P$7=""),"",IF($B36="MEANS",INDEX('1-DATA'!$1:$1048576,$A35-1,COLUMN('1-DATA'!O34)),ROUND(INDEX('1-DATA'!$1:$1048576,IF(OR($B36="STD. DEVIATION",$C$1=1),$A36,$A36+1),COLUMN('1-DATA'!O34)),IF($B36="STD. DEVIATION",2,$F$1))))</f>
        <v/>
      </c>
      <c r="Q36" s="1" t="str">
        <f>IF(OR($B36="",Q$7=""),"",IF($B36="MEANS",INDEX('1-DATA'!$1:$1048576,$A35-1,COLUMN('1-DATA'!P34)),ROUND(INDEX('1-DATA'!$1:$1048576,IF(OR($B36="STD. DEVIATION",$C$1=1),$A36,$A36+1),COLUMN('1-DATA'!P34)),IF($B36="STD. DEVIATION",2,$F$1))))</f>
        <v/>
      </c>
      <c r="R36" s="1" t="str">
        <f>IF(OR($B36="",R$7=""),"",IF($B36="MEANS",INDEX('1-DATA'!$1:$1048576,$A35-1,COLUMN('1-DATA'!Q34)),ROUND(INDEX('1-DATA'!$1:$1048576,IF(OR($B36="STD. DEVIATION",$C$1=1),$A36,$A36+1),COLUMN('1-DATA'!Q34)),IF($B36="STD. DEVIATION",2,$F$1))))</f>
        <v/>
      </c>
      <c r="S36" s="1" t="str">
        <f>IF(OR($B36="",S$7=""),"",IF($B36="MEANS",INDEX('1-DATA'!$1:$1048576,$A35-1,COLUMN('1-DATA'!R34)),ROUND(INDEX('1-DATA'!$1:$1048576,IF(OR($B36="STD. DEVIATION",$C$1=1),$A36,$A36+1),COLUMN('1-DATA'!R34)),IF($B36="STD. DEVIATION",2,$F$1))))</f>
        <v/>
      </c>
      <c r="T36" s="1" t="str">
        <f>IF(OR($B36="",T$7=""),"",IF($B36="MEANS",INDEX('1-DATA'!$1:$1048576,$A35-1,COLUMN('1-DATA'!S34)),ROUND(INDEX('1-DATA'!$1:$1048576,IF(OR($B36="STD. DEVIATION",$C$1=1),$A36,$A36+1),COLUMN('1-DATA'!S34)),IF($B36="STD. DEVIATION",2,$F$1))))</f>
        <v/>
      </c>
      <c r="U36" s="1" t="str">
        <f>IF(OR($B36="",U$7=""),"",IF($B36="MEANS",INDEX('1-DATA'!$1:$1048576,$A35-1,COLUMN('1-DATA'!T34)),ROUND(INDEX('1-DATA'!$1:$1048576,IF(OR($B36="STD. DEVIATION",$C$1=1),$A36,$A36+1),COLUMN('1-DATA'!T34)),IF($B36="STD. DEVIATION",2,$F$1))))</f>
        <v/>
      </c>
      <c r="V36" s="1" t="str">
        <f>IF(OR($B36="",V$7=""),"",IF($B36="MEANS",INDEX('1-DATA'!$1:$1048576,$A35-1,COLUMN('1-DATA'!U34)),ROUND(INDEX('1-DATA'!$1:$1048576,IF(OR($B36="STD. DEVIATION",$C$1=1),$A36,$A36+1),COLUMN('1-DATA'!U34)),IF($B36="STD. DEVIATION",2,$F$1))))</f>
        <v/>
      </c>
      <c r="W36" s="1" t="str">
        <f>IF(OR($B36="",W$7=""),"",IF($B36="MEANS",INDEX('1-DATA'!$1:$1048576,$A35-1,COLUMN('1-DATA'!V34)),ROUND(INDEX('1-DATA'!$1:$1048576,IF(OR($B36="STD. DEVIATION",$C$1=1),$A36,$A36+1),COLUMN('1-DATA'!V34)),IF($B36="STD. DEVIATION",2,$F$1))))</f>
        <v/>
      </c>
      <c r="X36" s="1" t="str">
        <f>IF(OR($B36="",X$7=""),"",IF($B36="MEANS",INDEX('1-DATA'!$1:$1048576,$A35-1,COLUMN('1-DATA'!W34)),ROUND(INDEX('1-DATA'!$1:$1048576,IF(OR($B36="STD. DEVIATION",$C$1=1),$A36,$A36+1),COLUMN('1-DATA'!W34)),IF($B36="STD. DEVIATION",2,$F$1))))</f>
        <v/>
      </c>
      <c r="Y36" s="1" t="str">
        <f>IF(OR($B36="",Y$7=""),"",IF($B36="MEANS",INDEX('1-DATA'!$1:$1048576,$A35-1,COLUMN('1-DATA'!X34)),ROUND(INDEX('1-DATA'!$1:$1048576,IF(OR($B36="STD. DEVIATION",$C$1=1),$A36,$A36+1),COLUMN('1-DATA'!X34)),IF($B36="STD. DEVIATION",2,$F$1))))</f>
        <v/>
      </c>
      <c r="Z36" s="1" t="str">
        <f>IF(OR($B36="",Z$7=""),"",IF($B36="MEANS",INDEX('1-DATA'!$1:$1048576,$A35-1,COLUMN('1-DATA'!Y34)),ROUND(INDEX('1-DATA'!$1:$1048576,IF(OR($B36="STD. DEVIATION",$C$1=1),$A36,$A36+1),COLUMN('1-DATA'!Y34)),IF($B36="STD. DEVIATION",2,$F$1))))</f>
        <v/>
      </c>
      <c r="AA36" s="1" t="str">
        <f>IF(OR($B36="",AA$7=""),"",IF($B36="MEANS",INDEX('1-DATA'!$1:$1048576,$A35-1,COLUMN('1-DATA'!Z34)),ROUND(INDEX('1-DATA'!$1:$1048576,IF(OR($B36="STD. DEVIATION",$C$1=1),$A36,$A36+1),COLUMN('1-DATA'!Z34)),IF($B36="STD. DEVIATION",2,$F$1))))</f>
        <v/>
      </c>
      <c r="AB36" s="1" t="str">
        <f>IF(OR($B36="",AB$7=""),"",IF($B36="MEANS",INDEX('1-DATA'!$1:$1048576,$A35-1,COLUMN('1-DATA'!AA34)),ROUND(INDEX('1-DATA'!$1:$1048576,IF(OR($B36="STD. DEVIATION",$C$1=1),$A36,$A36+1),COLUMN('1-DATA'!AA34)),IF($B36="STD. DEVIATION",2,$F$1))))</f>
        <v/>
      </c>
      <c r="AC36" s="1" t="str">
        <f>IF(OR($B36="",AC$7=""),"",IF($B36="MEANS",INDEX('1-DATA'!$1:$1048576,$A35-1,COLUMN('1-DATA'!AB34)),ROUND(INDEX('1-DATA'!$1:$1048576,IF(OR($B36="STD. DEVIATION",$C$1=1),$A36,$A36+1),COLUMN('1-DATA'!AB34)),IF($B36="STD. DEVIATION",2,$F$1))))</f>
        <v/>
      </c>
      <c r="AD36" s="1" t="str">
        <f>IF(OR($B36="",AD$7=""),"",IF($B36="MEANS",INDEX('1-DATA'!$1:$1048576,$A35-1,COLUMN('1-DATA'!AC34)),ROUND(INDEX('1-DATA'!$1:$1048576,IF(OR($B36="STD. DEVIATION",$C$1=1),$A36,$A36+1),COLUMN('1-DATA'!AC34)),IF($B36="STD. DEVIATION",2,$F$1))))</f>
        <v/>
      </c>
      <c r="AE36" s="1" t="str">
        <f>IF(OR($B36="",AE$7=""),"",IF($B36="MEANS",INDEX('1-DATA'!$1:$1048576,$A35-1,COLUMN('1-DATA'!AD34)),ROUND(INDEX('1-DATA'!$1:$1048576,IF(OR($B36="STD. DEVIATION",$C$1=1),$A36,$A36+1),COLUMN('1-DATA'!AD34)),IF($B36="STD. DEVIATION",2,$F$1))))</f>
        <v/>
      </c>
      <c r="AF36" s="1" t="str">
        <f>IF(OR($B36="",AF$7=""),"",IF($B36="MEANS",INDEX('1-DATA'!$1:$1048576,$A35-1,COLUMN('1-DATA'!AE34)),ROUND(INDEX('1-DATA'!$1:$1048576,IF(OR($B36="STD. DEVIATION",$C$1=1),$A36,$A36+1),COLUMN('1-DATA'!AE34)),IF($B36="STD. DEVIATION",2,$F$1))))</f>
        <v/>
      </c>
      <c r="AG36" s="1" t="str">
        <f>IF(OR($B36="",AG$7=""),"",IF($B36="MEANS",INDEX('1-DATA'!$1:$1048576,$A35-1,COLUMN('1-DATA'!AF34)),ROUND(INDEX('1-DATA'!$1:$1048576,IF(OR($B36="STD. DEVIATION",$C$1=1),$A36,$A36+1),COLUMN('1-DATA'!AF34)),IF($B36="STD. DEVIATION",2,$F$1))))</f>
        <v/>
      </c>
      <c r="AH36" s="1" t="str">
        <f>IF(OR($B36="",AH$7=""),"",IF($B36="MEANS",INDEX('1-DATA'!$1:$1048576,$A35-1,COLUMN('1-DATA'!AG34)),ROUND(INDEX('1-DATA'!$1:$1048576,IF(OR($B36="STD. DEVIATION",$C$1=1),$A36,$A36+1),COLUMN('1-DATA'!AG34)),IF($B36="STD. DEVIATION",2,$F$1))))</f>
        <v/>
      </c>
      <c r="AI36" s="1" t="str">
        <f>IF(OR($B36="",AI$7=""),"",IF($B36="MEANS",INDEX('1-DATA'!$1:$1048576,$A35-1,COLUMN('1-DATA'!AH34)),ROUND(INDEX('1-DATA'!$1:$1048576,IF(OR($B36="STD. DEVIATION",$C$1=1),$A36,$A36+1),COLUMN('1-DATA'!AH34)),IF($B36="STD. DEVIATION",2,$F$1))))</f>
        <v/>
      </c>
      <c r="AJ36" s="1" t="str">
        <f>IF(OR($B36="",AJ$7=""),"",IF($B36="MEANS",INDEX('1-DATA'!$1:$1048576,$A35-1,COLUMN('1-DATA'!AI34)),ROUND(INDEX('1-DATA'!$1:$1048576,IF(OR($B36="STD. DEVIATION",$C$1=1),$A36,$A36+1),COLUMN('1-DATA'!AI34)),IF($B36="STD. DEVIATION",2,$F$1))))</f>
        <v/>
      </c>
      <c r="AK36" s="1" t="str">
        <f>IF(OR($B36="",AK$7=""),"",IF($B36="MEANS",INDEX('1-DATA'!$1:$1048576,$A35-1,COLUMN('1-DATA'!AJ34)),ROUND(INDEX('1-DATA'!$1:$1048576,IF(OR($B36="STD. DEVIATION",$C$1=1),$A36,$A36+1),COLUMN('1-DATA'!AJ34)),IF($B36="STD. DEVIATION",2,$F$1))))</f>
        <v/>
      </c>
      <c r="AL36" s="1" t="str">
        <f>IF(OR($B36="",AL$7=""),"",IF($B36="MEANS",INDEX('1-DATA'!$1:$1048576,$A35-1,COLUMN('1-DATA'!AK34)),ROUND(INDEX('1-DATA'!$1:$1048576,IF(OR($B36="STD. DEVIATION",$C$1=1),$A36,$A36+1),COLUMN('1-DATA'!AK34)),IF($B36="STD. DEVIATION",2,$F$1))))</f>
        <v/>
      </c>
      <c r="AM36" s="1" t="str">
        <f>IF(OR($B36="",AM$7=""),"",IF($B36="MEANS",INDEX('1-DATA'!$1:$1048576,$A35-1,COLUMN('1-DATA'!AL34)),ROUND(INDEX('1-DATA'!$1:$1048576,IF(OR($B36="STD. DEVIATION",$C$1=1),$A36,$A36+1),COLUMN('1-DATA'!AL34)),IF($B36="STD. DEVIATION",2,$F$1))))</f>
        <v/>
      </c>
      <c r="AN36" s="1" t="str">
        <f>IF(OR($B36="",AN$7=""),"",IF($B36="MEANS",INDEX('1-DATA'!$1:$1048576,$A35-1,COLUMN('1-DATA'!AM34)),ROUND(INDEX('1-DATA'!$1:$1048576,IF(OR($B36="STD. DEVIATION",$C$1=1),$A36,$A36+1),COLUMN('1-DATA'!AM34)),IF($B36="STD. DEVIATION",2,$F$1))))</f>
        <v/>
      </c>
      <c r="AO36" s="1" t="str">
        <f>IF(OR($B36="",AO$7=""),"",IF($B36="MEANS",INDEX('1-DATA'!$1:$1048576,$A35-1,COLUMN('1-DATA'!AN34)),ROUND(INDEX('1-DATA'!$1:$1048576,IF(OR($B36="STD. DEVIATION",$C$1=1),$A36,$A36+1),COLUMN('1-DATA'!AN34)),IF($B36="STD. DEVIATION",2,$F$1))))</f>
        <v/>
      </c>
      <c r="AP36" s="1" t="str">
        <f>IF(OR($B36="",AP$7=""),"",IF($B36="MEANS",INDEX('1-DATA'!$1:$1048576,$A35-1,COLUMN('1-DATA'!AO34)),ROUND(INDEX('1-DATA'!$1:$1048576,IF(OR($B36="STD. DEVIATION",$C$1=1),$A36,$A36+1),COLUMN('1-DATA'!AO34)),IF($B36="STD. DEVIATION",2,$F$1))))</f>
        <v/>
      </c>
      <c r="AQ36" s="1" t="str">
        <f>IF(OR($B36="",AQ$7=""),"",IF($B36="MEANS",INDEX('1-DATA'!$1:$1048576,$A35-1,COLUMN('1-DATA'!AP34)),ROUND(INDEX('1-DATA'!$1:$1048576,IF(OR($B36="STD. DEVIATION",$C$1=1),$A36,$A36+1),COLUMN('1-DATA'!AP34)),IF($B36="STD. DEVIATION",2,$F$1))))</f>
        <v/>
      </c>
      <c r="AR36" s="1" t="str">
        <f>IF(OR($B36="",AR$7=""),"",IF($B36="MEANS",INDEX('1-DATA'!$1:$1048576,$A35-1,COLUMN('1-DATA'!AQ34)),ROUND(INDEX('1-DATA'!$1:$1048576,IF(OR($B36="STD. DEVIATION",$C$1=1),$A36,$A36+1),COLUMN('1-DATA'!AQ34)),IF($B36="STD. DEVIATION",2,$F$1))))</f>
        <v/>
      </c>
      <c r="AS36" s="1" t="str">
        <f>IF(OR($B36="",AS$7=""),"",IF($B36="MEANS",INDEX('1-DATA'!$1:$1048576,$A35-1,COLUMN('1-DATA'!AR34)),ROUND(INDEX('1-DATA'!$1:$1048576,IF(OR($B36="STD. DEVIATION",$C$1=1),$A36,$A36+1),COLUMN('1-DATA'!AR34)),IF($B36="STD. DEVIATION",2,$F$1))))</f>
        <v/>
      </c>
      <c r="AT36" s="1" t="str">
        <f>IF(OR($B36="",AT$7=""),"",IF($B36="MEANS",INDEX('1-DATA'!$1:$1048576,$A35-1,COLUMN('1-DATA'!AS34)),ROUND(INDEX('1-DATA'!$1:$1048576,IF(OR($B36="STD. DEVIATION",$C$1=1),$A36,$A36+1),COLUMN('1-DATA'!AS34)),IF($B36="STD. DEVIATION",2,$F$1))))</f>
        <v/>
      </c>
      <c r="AU36" s="1" t="str">
        <f>IF(OR($B36="",AU$7=""),"",IF($B36="MEANS",INDEX('1-DATA'!$1:$1048576,$A35-1,COLUMN('1-DATA'!AT34)),ROUND(INDEX('1-DATA'!$1:$1048576,IF(OR($B36="STD. DEVIATION",$C$1=1),$A36,$A36+1),COLUMN('1-DATA'!AT34)),IF($B36="STD. DEVIATION",2,$F$1))))</f>
        <v/>
      </c>
      <c r="AV36" s="1" t="str">
        <f>IF(OR($B36="",AV$7=""),"",IF($B36="MEANS",INDEX('1-DATA'!$1:$1048576,$A35-1,COLUMN('1-DATA'!AU34)),ROUND(INDEX('1-DATA'!$1:$1048576,IF(OR($B36="STD. DEVIATION",$C$1=1),$A36,$A36+1),COLUMN('1-DATA'!AU34)),IF($B36="STD. DEVIATION",2,$F$1))))</f>
        <v/>
      </c>
      <c r="AW36" s="1" t="str">
        <f>IF(OR($B36="",AW$7=""),"",IF($B36="MEANS",INDEX('1-DATA'!$1:$1048576,$A35-1,COLUMN('1-DATA'!AV34)),ROUND(INDEX('1-DATA'!$1:$1048576,IF(OR($B36="STD. DEVIATION",$C$1=1),$A36,$A36+1),COLUMN('1-DATA'!AV34)),IF($B36="STD. DEVIATION",2,$F$1))))</f>
        <v/>
      </c>
      <c r="AX36" s="1" t="str">
        <f>IF(OR($B36="",AX$7=""),"",IF($B36="MEANS",INDEX('1-DATA'!$1:$1048576,$A35-1,COLUMN('1-DATA'!AW34)),ROUND(INDEX('1-DATA'!$1:$1048576,IF(OR($B36="STD. DEVIATION",$C$1=1),$A36,$A36+1),COLUMN('1-DATA'!AW34)),IF($B36="STD. DEVIATION",2,$F$1))))</f>
        <v/>
      </c>
      <c r="AY36" s="1" t="str">
        <f>IF(OR($B36="",AY$7=""),"",IF($B36="MEANS",INDEX('1-DATA'!$1:$1048576,$A35-1,COLUMN('1-DATA'!AX34)),ROUND(INDEX('1-DATA'!$1:$1048576,IF(OR($B36="STD. DEVIATION",$C$1=1),$A36,$A36+1),COLUMN('1-DATA'!AX34)),IF($B36="STD. DEVIATION",2,$F$1))))</f>
        <v/>
      </c>
      <c r="AZ36" s="1" t="str">
        <f>IF(OR($B36="",AZ$7=""),"",IF($B36="MEANS",INDEX('1-DATA'!$1:$1048576,$A35-1,COLUMN('1-DATA'!AY34)),ROUND(INDEX('1-DATA'!$1:$1048576,IF(OR($B36="STD. DEVIATION",$C$1=1),$A36,$A36+1),COLUMN('1-DATA'!AY34)),IF($B36="STD. DEVIATION",2,$F$1))))</f>
        <v/>
      </c>
    </row>
    <row r="37" spans="1:52" x14ac:dyDescent="0.25">
      <c r="A37" s="11">
        <f t="shared" si="1"/>
        <v>97</v>
      </c>
      <c r="B37" s="1" t="str">
        <f>IF(B36="STD. DEVIATION",INDEX('1-DATA'!$1:$1048576,$A36-1,1),IF(INDEX('1-DATA'!$1:$1048576,$A37,1)&lt;&gt;"",INDEX('1-DATA'!$1:$1048576,$A37,1),""))</f>
        <v/>
      </c>
      <c r="C37" s="1" t="str">
        <f>IF(OR($B37="",C$7=""),"",IF($B37="MEANS",INDEX('1-DATA'!$1:$1048576,$A36-1,COLUMN('1-DATA'!B35)),ROUND(INDEX('1-DATA'!$1:$1048576,IF(OR($B37="STD. DEVIATION",$C$1=1),$A37,$A37+1),COLUMN('1-DATA'!B35)),IF($B37="STD. DEVIATION",2,$F$1))))</f>
        <v/>
      </c>
      <c r="D37" s="1" t="str">
        <f>IF(OR($B37="",D$7=""),"",IF($B37="MEANS",INDEX('1-DATA'!$1:$1048576,$A36-1,COLUMN('1-DATA'!C35)),ROUND(INDEX('1-DATA'!$1:$1048576,IF(OR($B37="STD. DEVIATION",$C$1=1),$A37,$A37+1),COLUMN('1-DATA'!C35)),IF($B37="STD. DEVIATION",2,$F$1))))</f>
        <v/>
      </c>
      <c r="E37" s="1" t="str">
        <f>IF(OR($B37="",E$7=""),"",IF($B37="MEANS",INDEX('1-DATA'!$1:$1048576,$A36-1,COLUMN('1-DATA'!D35)),ROUND(INDEX('1-DATA'!$1:$1048576,IF(OR($B37="STD. DEVIATION",$C$1=1),$A37,$A37+1),COLUMN('1-DATA'!D35)),IF($B37="STD. DEVIATION",2,$F$1))))</f>
        <v/>
      </c>
      <c r="F37" s="1" t="str">
        <f>IF(OR($B37="",F$7=""),"",IF($B37="MEANS",INDEX('1-DATA'!$1:$1048576,$A36-1,COLUMN('1-DATA'!E35)),ROUND(INDEX('1-DATA'!$1:$1048576,IF(OR($B37="STD. DEVIATION",$C$1=1),$A37,$A37+1),COLUMN('1-DATA'!E35)),IF($B37="STD. DEVIATION",2,$F$1))))</f>
        <v/>
      </c>
      <c r="G37" s="1" t="str">
        <f>IF(OR($B37="",G$7=""),"",IF($B37="MEANS",INDEX('1-DATA'!$1:$1048576,$A36-1,COLUMN('1-DATA'!F35)),ROUND(INDEX('1-DATA'!$1:$1048576,IF(OR($B37="STD. DEVIATION",$C$1=1),$A37,$A37+1),COLUMN('1-DATA'!F35)),IF($B37="STD. DEVIATION",2,$F$1))))</f>
        <v/>
      </c>
      <c r="H37" s="1" t="str">
        <f>IF(OR($B37="",H$7=""),"",IF($B37="MEANS",INDEX('1-DATA'!$1:$1048576,$A36-1,COLUMN('1-DATA'!G35)),ROUND(INDEX('1-DATA'!$1:$1048576,IF(OR($B37="STD. DEVIATION",$C$1=1),$A37,$A37+1),COLUMN('1-DATA'!G35)),IF($B37="STD. DEVIATION",2,$F$1))))</f>
        <v/>
      </c>
      <c r="I37" s="1" t="str">
        <f>IF(OR($B37="",I$7=""),"",IF($B37="MEANS",INDEX('1-DATA'!$1:$1048576,$A36-1,COLUMN('1-DATA'!H35)),ROUND(INDEX('1-DATA'!$1:$1048576,IF(OR($B37="STD. DEVIATION",$C$1=1),$A37,$A37+1),COLUMN('1-DATA'!H35)),IF($B37="STD. DEVIATION",2,$F$1))))</f>
        <v/>
      </c>
      <c r="J37" s="1" t="str">
        <f>IF(OR($B37="",J$7=""),"",IF($B37="MEANS",INDEX('1-DATA'!$1:$1048576,$A36-1,COLUMN('1-DATA'!I35)),ROUND(INDEX('1-DATA'!$1:$1048576,IF(OR($B37="STD. DEVIATION",$C$1=1),$A37,$A37+1),COLUMN('1-DATA'!I35)),IF($B37="STD. DEVIATION",2,$F$1))))</f>
        <v/>
      </c>
      <c r="K37" s="1" t="str">
        <f>IF(OR($B37="",K$7=""),"",IF($B37="MEANS",INDEX('1-DATA'!$1:$1048576,$A36-1,COLUMN('1-DATA'!J35)),ROUND(INDEX('1-DATA'!$1:$1048576,IF(OR($B37="STD. DEVIATION",$C$1=1),$A37,$A37+1),COLUMN('1-DATA'!J35)),IF($B37="STD. DEVIATION",2,$F$1))))</f>
        <v/>
      </c>
      <c r="L37" s="1" t="str">
        <f>IF(OR($B37="",L$7=""),"",IF($B37="MEANS",INDEX('1-DATA'!$1:$1048576,$A36-1,COLUMN('1-DATA'!K35)),ROUND(INDEX('1-DATA'!$1:$1048576,IF(OR($B37="STD. DEVIATION",$C$1=1),$A37,$A37+1),COLUMN('1-DATA'!K35)),IF($B37="STD. DEVIATION",2,$F$1))))</f>
        <v/>
      </c>
      <c r="M37" s="1" t="str">
        <f>IF(OR($B37="",M$7=""),"",IF($B37="MEANS",INDEX('1-DATA'!$1:$1048576,$A36-1,COLUMN('1-DATA'!L35)),ROUND(INDEX('1-DATA'!$1:$1048576,IF(OR($B37="STD. DEVIATION",$C$1=1),$A37,$A37+1),COLUMN('1-DATA'!L35)),IF($B37="STD. DEVIATION",2,$F$1))))</f>
        <v/>
      </c>
      <c r="N37" s="1" t="str">
        <f>IF(OR($B37="",N$7=""),"",IF($B37="MEANS",INDEX('1-DATA'!$1:$1048576,$A36-1,COLUMN('1-DATA'!M35)),ROUND(INDEX('1-DATA'!$1:$1048576,IF(OR($B37="STD. DEVIATION",$C$1=1),$A37,$A37+1),COLUMN('1-DATA'!M35)),IF($B37="STD. DEVIATION",2,$F$1))))</f>
        <v/>
      </c>
      <c r="O37" s="1" t="str">
        <f>IF(OR($B37="",O$7=""),"",IF($B37="MEANS",INDEX('1-DATA'!$1:$1048576,$A36-1,COLUMN('1-DATA'!N35)),ROUND(INDEX('1-DATA'!$1:$1048576,IF(OR($B37="STD. DEVIATION",$C$1=1),$A37,$A37+1),COLUMN('1-DATA'!N35)),IF($B37="STD. DEVIATION",2,$F$1))))</f>
        <v/>
      </c>
      <c r="P37" s="1" t="str">
        <f>IF(OR($B37="",P$7=""),"",IF($B37="MEANS",INDEX('1-DATA'!$1:$1048576,$A36-1,COLUMN('1-DATA'!O35)),ROUND(INDEX('1-DATA'!$1:$1048576,IF(OR($B37="STD. DEVIATION",$C$1=1),$A37,$A37+1),COLUMN('1-DATA'!O35)),IF($B37="STD. DEVIATION",2,$F$1))))</f>
        <v/>
      </c>
      <c r="Q37" s="1" t="str">
        <f>IF(OR($B37="",Q$7=""),"",IF($B37="MEANS",INDEX('1-DATA'!$1:$1048576,$A36-1,COLUMN('1-DATA'!P35)),ROUND(INDEX('1-DATA'!$1:$1048576,IF(OR($B37="STD. DEVIATION",$C$1=1),$A37,$A37+1),COLUMN('1-DATA'!P35)),IF($B37="STD. DEVIATION",2,$F$1))))</f>
        <v/>
      </c>
      <c r="R37" s="1" t="str">
        <f>IF(OR($B37="",R$7=""),"",IF($B37="MEANS",INDEX('1-DATA'!$1:$1048576,$A36-1,COLUMN('1-DATA'!Q35)),ROUND(INDEX('1-DATA'!$1:$1048576,IF(OR($B37="STD. DEVIATION",$C$1=1),$A37,$A37+1),COLUMN('1-DATA'!Q35)),IF($B37="STD. DEVIATION",2,$F$1))))</f>
        <v/>
      </c>
      <c r="S37" s="1" t="str">
        <f>IF(OR($B37="",S$7=""),"",IF($B37="MEANS",INDEX('1-DATA'!$1:$1048576,$A36-1,COLUMN('1-DATA'!R35)),ROUND(INDEX('1-DATA'!$1:$1048576,IF(OR($B37="STD. DEVIATION",$C$1=1),$A37,$A37+1),COLUMN('1-DATA'!R35)),IF($B37="STD. DEVIATION",2,$F$1))))</f>
        <v/>
      </c>
      <c r="T37" s="1" t="str">
        <f>IF(OR($B37="",T$7=""),"",IF($B37="MEANS",INDEX('1-DATA'!$1:$1048576,$A36-1,COLUMN('1-DATA'!S35)),ROUND(INDEX('1-DATA'!$1:$1048576,IF(OR($B37="STD. DEVIATION",$C$1=1),$A37,$A37+1),COLUMN('1-DATA'!S35)),IF($B37="STD. DEVIATION",2,$F$1))))</f>
        <v/>
      </c>
      <c r="U37" s="1" t="str">
        <f>IF(OR($B37="",U$7=""),"",IF($B37="MEANS",INDEX('1-DATA'!$1:$1048576,$A36-1,COLUMN('1-DATA'!T35)),ROUND(INDEX('1-DATA'!$1:$1048576,IF(OR($B37="STD. DEVIATION",$C$1=1),$A37,$A37+1),COLUMN('1-DATA'!T35)),IF($B37="STD. DEVIATION",2,$F$1))))</f>
        <v/>
      </c>
      <c r="V37" s="1" t="str">
        <f>IF(OR($B37="",V$7=""),"",IF($B37="MEANS",INDEX('1-DATA'!$1:$1048576,$A36-1,COLUMN('1-DATA'!U35)),ROUND(INDEX('1-DATA'!$1:$1048576,IF(OR($B37="STD. DEVIATION",$C$1=1),$A37,$A37+1),COLUMN('1-DATA'!U35)),IF($B37="STD. DEVIATION",2,$F$1))))</f>
        <v/>
      </c>
      <c r="W37" s="1" t="str">
        <f>IF(OR($B37="",W$7=""),"",IF($B37="MEANS",INDEX('1-DATA'!$1:$1048576,$A36-1,COLUMN('1-DATA'!V35)),ROUND(INDEX('1-DATA'!$1:$1048576,IF(OR($B37="STD. DEVIATION",$C$1=1),$A37,$A37+1),COLUMN('1-DATA'!V35)),IF($B37="STD. DEVIATION",2,$F$1))))</f>
        <v/>
      </c>
      <c r="X37" s="1" t="str">
        <f>IF(OR($B37="",X$7=""),"",IF($B37="MEANS",INDEX('1-DATA'!$1:$1048576,$A36-1,COLUMN('1-DATA'!W35)),ROUND(INDEX('1-DATA'!$1:$1048576,IF(OR($B37="STD. DEVIATION",$C$1=1),$A37,$A37+1),COLUMN('1-DATA'!W35)),IF($B37="STD. DEVIATION",2,$F$1))))</f>
        <v/>
      </c>
      <c r="Y37" s="1" t="str">
        <f>IF(OR($B37="",Y$7=""),"",IF($B37="MEANS",INDEX('1-DATA'!$1:$1048576,$A36-1,COLUMN('1-DATA'!X35)),ROUND(INDEX('1-DATA'!$1:$1048576,IF(OR($B37="STD. DEVIATION",$C$1=1),$A37,$A37+1),COLUMN('1-DATA'!X35)),IF($B37="STD. DEVIATION",2,$F$1))))</f>
        <v/>
      </c>
      <c r="Z37" s="1" t="str">
        <f>IF(OR($B37="",Z$7=""),"",IF($B37="MEANS",INDEX('1-DATA'!$1:$1048576,$A36-1,COLUMN('1-DATA'!Y35)),ROUND(INDEX('1-DATA'!$1:$1048576,IF(OR($B37="STD. DEVIATION",$C$1=1),$A37,$A37+1),COLUMN('1-DATA'!Y35)),IF($B37="STD. DEVIATION",2,$F$1))))</f>
        <v/>
      </c>
      <c r="AA37" s="1" t="str">
        <f>IF(OR($B37="",AA$7=""),"",IF($B37="MEANS",INDEX('1-DATA'!$1:$1048576,$A36-1,COLUMN('1-DATA'!Z35)),ROUND(INDEX('1-DATA'!$1:$1048576,IF(OR($B37="STD. DEVIATION",$C$1=1),$A37,$A37+1),COLUMN('1-DATA'!Z35)),IF($B37="STD. DEVIATION",2,$F$1))))</f>
        <v/>
      </c>
      <c r="AB37" s="1" t="str">
        <f>IF(OR($B37="",AB$7=""),"",IF($B37="MEANS",INDEX('1-DATA'!$1:$1048576,$A36-1,COLUMN('1-DATA'!AA35)),ROUND(INDEX('1-DATA'!$1:$1048576,IF(OR($B37="STD. DEVIATION",$C$1=1),$A37,$A37+1),COLUMN('1-DATA'!AA35)),IF($B37="STD. DEVIATION",2,$F$1))))</f>
        <v/>
      </c>
      <c r="AC37" s="1" t="str">
        <f>IF(OR($B37="",AC$7=""),"",IF($B37="MEANS",INDEX('1-DATA'!$1:$1048576,$A36-1,COLUMN('1-DATA'!AB35)),ROUND(INDEX('1-DATA'!$1:$1048576,IF(OR($B37="STD. DEVIATION",$C$1=1),$A37,$A37+1),COLUMN('1-DATA'!AB35)),IF($B37="STD. DEVIATION",2,$F$1))))</f>
        <v/>
      </c>
      <c r="AD37" s="1" t="str">
        <f>IF(OR($B37="",AD$7=""),"",IF($B37="MEANS",INDEX('1-DATA'!$1:$1048576,$A36-1,COLUMN('1-DATA'!AC35)),ROUND(INDEX('1-DATA'!$1:$1048576,IF(OR($B37="STD. DEVIATION",$C$1=1),$A37,$A37+1),COLUMN('1-DATA'!AC35)),IF($B37="STD. DEVIATION",2,$F$1))))</f>
        <v/>
      </c>
      <c r="AE37" s="1" t="str">
        <f>IF(OR($B37="",AE$7=""),"",IF($B37="MEANS",INDEX('1-DATA'!$1:$1048576,$A36-1,COLUMN('1-DATA'!AD35)),ROUND(INDEX('1-DATA'!$1:$1048576,IF(OR($B37="STD. DEVIATION",$C$1=1),$A37,$A37+1),COLUMN('1-DATA'!AD35)),IF($B37="STD. DEVIATION",2,$F$1))))</f>
        <v/>
      </c>
      <c r="AF37" s="1" t="str">
        <f>IF(OR($B37="",AF$7=""),"",IF($B37="MEANS",INDEX('1-DATA'!$1:$1048576,$A36-1,COLUMN('1-DATA'!AE35)),ROUND(INDEX('1-DATA'!$1:$1048576,IF(OR($B37="STD. DEVIATION",$C$1=1),$A37,$A37+1),COLUMN('1-DATA'!AE35)),IF($B37="STD. DEVIATION",2,$F$1))))</f>
        <v/>
      </c>
      <c r="AG37" s="1" t="str">
        <f>IF(OR($B37="",AG$7=""),"",IF($B37="MEANS",INDEX('1-DATA'!$1:$1048576,$A36-1,COLUMN('1-DATA'!AF35)),ROUND(INDEX('1-DATA'!$1:$1048576,IF(OR($B37="STD. DEVIATION",$C$1=1),$A37,$A37+1),COLUMN('1-DATA'!AF35)),IF($B37="STD. DEVIATION",2,$F$1))))</f>
        <v/>
      </c>
      <c r="AH37" s="1" t="str">
        <f>IF(OR($B37="",AH$7=""),"",IF($B37="MEANS",INDEX('1-DATA'!$1:$1048576,$A36-1,COLUMN('1-DATA'!AG35)),ROUND(INDEX('1-DATA'!$1:$1048576,IF(OR($B37="STD. DEVIATION",$C$1=1),$A37,$A37+1),COLUMN('1-DATA'!AG35)),IF($B37="STD. DEVIATION",2,$F$1))))</f>
        <v/>
      </c>
      <c r="AI37" s="1" t="str">
        <f>IF(OR($B37="",AI$7=""),"",IF($B37="MEANS",INDEX('1-DATA'!$1:$1048576,$A36-1,COLUMN('1-DATA'!AH35)),ROUND(INDEX('1-DATA'!$1:$1048576,IF(OR($B37="STD. DEVIATION",$C$1=1),$A37,$A37+1),COLUMN('1-DATA'!AH35)),IF($B37="STD. DEVIATION",2,$F$1))))</f>
        <v/>
      </c>
      <c r="AJ37" s="1" t="str">
        <f>IF(OR($B37="",AJ$7=""),"",IF($B37="MEANS",INDEX('1-DATA'!$1:$1048576,$A36-1,COLUMN('1-DATA'!AI35)),ROUND(INDEX('1-DATA'!$1:$1048576,IF(OR($B37="STD. DEVIATION",$C$1=1),$A37,$A37+1),COLUMN('1-DATA'!AI35)),IF($B37="STD. DEVIATION",2,$F$1))))</f>
        <v/>
      </c>
      <c r="AK37" s="1" t="str">
        <f>IF(OR($B37="",AK$7=""),"",IF($B37="MEANS",INDEX('1-DATA'!$1:$1048576,$A36-1,COLUMN('1-DATA'!AJ35)),ROUND(INDEX('1-DATA'!$1:$1048576,IF(OR($B37="STD. DEVIATION",$C$1=1),$A37,$A37+1),COLUMN('1-DATA'!AJ35)),IF($B37="STD. DEVIATION",2,$F$1))))</f>
        <v/>
      </c>
      <c r="AL37" s="1" t="str">
        <f>IF(OR($B37="",AL$7=""),"",IF($B37="MEANS",INDEX('1-DATA'!$1:$1048576,$A36-1,COLUMN('1-DATA'!AK35)),ROUND(INDEX('1-DATA'!$1:$1048576,IF(OR($B37="STD. DEVIATION",$C$1=1),$A37,$A37+1),COLUMN('1-DATA'!AK35)),IF($B37="STD. DEVIATION",2,$F$1))))</f>
        <v/>
      </c>
      <c r="AM37" s="1" t="str">
        <f>IF(OR($B37="",AM$7=""),"",IF($B37="MEANS",INDEX('1-DATA'!$1:$1048576,$A36-1,COLUMN('1-DATA'!AL35)),ROUND(INDEX('1-DATA'!$1:$1048576,IF(OR($B37="STD. DEVIATION",$C$1=1),$A37,$A37+1),COLUMN('1-DATA'!AL35)),IF($B37="STD. DEVIATION",2,$F$1))))</f>
        <v/>
      </c>
      <c r="AN37" s="1" t="str">
        <f>IF(OR($B37="",AN$7=""),"",IF($B37="MEANS",INDEX('1-DATA'!$1:$1048576,$A36-1,COLUMN('1-DATA'!AM35)),ROUND(INDEX('1-DATA'!$1:$1048576,IF(OR($B37="STD. DEVIATION",$C$1=1),$A37,$A37+1),COLUMN('1-DATA'!AM35)),IF($B37="STD. DEVIATION",2,$F$1))))</f>
        <v/>
      </c>
      <c r="AO37" s="1" t="str">
        <f>IF(OR($B37="",AO$7=""),"",IF($B37="MEANS",INDEX('1-DATA'!$1:$1048576,$A36-1,COLUMN('1-DATA'!AN35)),ROUND(INDEX('1-DATA'!$1:$1048576,IF(OR($B37="STD. DEVIATION",$C$1=1),$A37,$A37+1),COLUMN('1-DATA'!AN35)),IF($B37="STD. DEVIATION",2,$F$1))))</f>
        <v/>
      </c>
      <c r="AP37" s="1" t="str">
        <f>IF(OR($B37="",AP$7=""),"",IF($B37="MEANS",INDEX('1-DATA'!$1:$1048576,$A36-1,COLUMN('1-DATA'!AO35)),ROUND(INDEX('1-DATA'!$1:$1048576,IF(OR($B37="STD. DEVIATION",$C$1=1),$A37,$A37+1),COLUMN('1-DATA'!AO35)),IF($B37="STD. DEVIATION",2,$F$1))))</f>
        <v/>
      </c>
      <c r="AQ37" s="1" t="str">
        <f>IF(OR($B37="",AQ$7=""),"",IF($B37="MEANS",INDEX('1-DATA'!$1:$1048576,$A36-1,COLUMN('1-DATA'!AP35)),ROUND(INDEX('1-DATA'!$1:$1048576,IF(OR($B37="STD. DEVIATION",$C$1=1),$A37,$A37+1),COLUMN('1-DATA'!AP35)),IF($B37="STD. DEVIATION",2,$F$1))))</f>
        <v/>
      </c>
      <c r="AR37" s="1" t="str">
        <f>IF(OR($B37="",AR$7=""),"",IF($B37="MEANS",INDEX('1-DATA'!$1:$1048576,$A36-1,COLUMN('1-DATA'!AQ35)),ROUND(INDEX('1-DATA'!$1:$1048576,IF(OR($B37="STD. DEVIATION",$C$1=1),$A37,$A37+1),COLUMN('1-DATA'!AQ35)),IF($B37="STD. DEVIATION",2,$F$1))))</f>
        <v/>
      </c>
      <c r="AS37" s="1" t="str">
        <f>IF(OR($B37="",AS$7=""),"",IF($B37="MEANS",INDEX('1-DATA'!$1:$1048576,$A36-1,COLUMN('1-DATA'!AR35)),ROUND(INDEX('1-DATA'!$1:$1048576,IF(OR($B37="STD. DEVIATION",$C$1=1),$A37,$A37+1),COLUMN('1-DATA'!AR35)),IF($B37="STD. DEVIATION",2,$F$1))))</f>
        <v/>
      </c>
      <c r="AT37" s="1" t="str">
        <f>IF(OR($B37="",AT$7=""),"",IF($B37="MEANS",INDEX('1-DATA'!$1:$1048576,$A36-1,COLUMN('1-DATA'!AS35)),ROUND(INDEX('1-DATA'!$1:$1048576,IF(OR($B37="STD. DEVIATION",$C$1=1),$A37,$A37+1),COLUMN('1-DATA'!AS35)),IF($B37="STD. DEVIATION",2,$F$1))))</f>
        <v/>
      </c>
      <c r="AU37" s="1" t="str">
        <f>IF(OR($B37="",AU$7=""),"",IF($B37="MEANS",INDEX('1-DATA'!$1:$1048576,$A36-1,COLUMN('1-DATA'!AT35)),ROUND(INDEX('1-DATA'!$1:$1048576,IF(OR($B37="STD. DEVIATION",$C$1=1),$A37,$A37+1),COLUMN('1-DATA'!AT35)),IF($B37="STD. DEVIATION",2,$F$1))))</f>
        <v/>
      </c>
      <c r="AV37" s="1" t="str">
        <f>IF(OR($B37="",AV$7=""),"",IF($B37="MEANS",INDEX('1-DATA'!$1:$1048576,$A36-1,COLUMN('1-DATA'!AU35)),ROUND(INDEX('1-DATA'!$1:$1048576,IF(OR($B37="STD. DEVIATION",$C$1=1),$A37,$A37+1),COLUMN('1-DATA'!AU35)),IF($B37="STD. DEVIATION",2,$F$1))))</f>
        <v/>
      </c>
      <c r="AW37" s="1" t="str">
        <f>IF(OR($B37="",AW$7=""),"",IF($B37="MEANS",INDEX('1-DATA'!$1:$1048576,$A36-1,COLUMN('1-DATA'!AV35)),ROUND(INDEX('1-DATA'!$1:$1048576,IF(OR($B37="STD. DEVIATION",$C$1=1),$A37,$A37+1),COLUMN('1-DATA'!AV35)),IF($B37="STD. DEVIATION",2,$F$1))))</f>
        <v/>
      </c>
      <c r="AX37" s="1" t="str">
        <f>IF(OR($B37="",AX$7=""),"",IF($B37="MEANS",INDEX('1-DATA'!$1:$1048576,$A36-1,COLUMN('1-DATA'!AW35)),ROUND(INDEX('1-DATA'!$1:$1048576,IF(OR($B37="STD. DEVIATION",$C$1=1),$A37,$A37+1),COLUMN('1-DATA'!AW35)),IF($B37="STD. DEVIATION",2,$F$1))))</f>
        <v/>
      </c>
      <c r="AY37" s="1" t="str">
        <f>IF(OR($B37="",AY$7=""),"",IF($B37="MEANS",INDEX('1-DATA'!$1:$1048576,$A36-1,COLUMN('1-DATA'!AX35)),ROUND(INDEX('1-DATA'!$1:$1048576,IF(OR($B37="STD. DEVIATION",$C$1=1),$A37,$A37+1),COLUMN('1-DATA'!AX35)),IF($B37="STD. DEVIATION",2,$F$1))))</f>
        <v/>
      </c>
      <c r="AZ37" s="1" t="str">
        <f>IF(OR($B37="",AZ$7=""),"",IF($B37="MEANS",INDEX('1-DATA'!$1:$1048576,$A36-1,COLUMN('1-DATA'!AY35)),ROUND(INDEX('1-DATA'!$1:$1048576,IF(OR($B37="STD. DEVIATION",$C$1=1),$A37,$A37+1),COLUMN('1-DATA'!AY35)),IF($B37="STD. DEVIATION",2,$F$1))))</f>
        <v/>
      </c>
    </row>
    <row r="38" spans="1:52" x14ac:dyDescent="0.25">
      <c r="A38" s="11">
        <f t="shared" si="1"/>
        <v>100</v>
      </c>
      <c r="B38" s="1" t="str">
        <f>IF(B37="STD. DEVIATION",INDEX('1-DATA'!$1:$1048576,$A37-1,1),IF(INDEX('1-DATA'!$1:$1048576,$A38,1)&lt;&gt;"",INDEX('1-DATA'!$1:$1048576,$A38,1),""))</f>
        <v/>
      </c>
      <c r="C38" s="1" t="str">
        <f>IF(OR($B38="",C$7=""),"",IF($B38="MEANS",INDEX('1-DATA'!$1:$1048576,$A37-1,COLUMN('1-DATA'!B36)),ROUND(INDEX('1-DATA'!$1:$1048576,IF(OR($B38="STD. DEVIATION",$C$1=1),$A38,$A38+1),COLUMN('1-DATA'!B36)),IF($B38="STD. DEVIATION",2,$F$1))))</f>
        <v/>
      </c>
      <c r="D38" s="1" t="str">
        <f>IF(OR($B38="",D$7=""),"",IF($B38="MEANS",INDEX('1-DATA'!$1:$1048576,$A37-1,COLUMN('1-DATA'!C36)),ROUND(INDEX('1-DATA'!$1:$1048576,IF(OR($B38="STD. DEVIATION",$C$1=1),$A38,$A38+1),COLUMN('1-DATA'!C36)),IF($B38="STD. DEVIATION",2,$F$1))))</f>
        <v/>
      </c>
      <c r="E38" s="1" t="str">
        <f>IF(OR($B38="",E$7=""),"",IF($B38="MEANS",INDEX('1-DATA'!$1:$1048576,$A37-1,COLUMN('1-DATA'!D36)),ROUND(INDEX('1-DATA'!$1:$1048576,IF(OR($B38="STD. DEVIATION",$C$1=1),$A38,$A38+1),COLUMN('1-DATA'!D36)),IF($B38="STD. DEVIATION",2,$F$1))))</f>
        <v/>
      </c>
      <c r="F38" s="1" t="str">
        <f>IF(OR($B38="",F$7=""),"",IF($B38="MEANS",INDEX('1-DATA'!$1:$1048576,$A37-1,COLUMN('1-DATA'!E36)),ROUND(INDEX('1-DATA'!$1:$1048576,IF(OR($B38="STD. DEVIATION",$C$1=1),$A38,$A38+1),COLUMN('1-DATA'!E36)),IF($B38="STD. DEVIATION",2,$F$1))))</f>
        <v/>
      </c>
      <c r="G38" s="1" t="str">
        <f>IF(OR($B38="",G$7=""),"",IF($B38="MEANS",INDEX('1-DATA'!$1:$1048576,$A37-1,COLUMN('1-DATA'!F36)),ROUND(INDEX('1-DATA'!$1:$1048576,IF(OR($B38="STD. DEVIATION",$C$1=1),$A38,$A38+1),COLUMN('1-DATA'!F36)),IF($B38="STD. DEVIATION",2,$F$1))))</f>
        <v/>
      </c>
      <c r="H38" s="1" t="str">
        <f>IF(OR($B38="",H$7=""),"",IF($B38="MEANS",INDEX('1-DATA'!$1:$1048576,$A37-1,COLUMN('1-DATA'!G36)),ROUND(INDEX('1-DATA'!$1:$1048576,IF(OR($B38="STD. DEVIATION",$C$1=1),$A38,$A38+1),COLUMN('1-DATA'!G36)),IF($B38="STD. DEVIATION",2,$F$1))))</f>
        <v/>
      </c>
      <c r="I38" s="1" t="str">
        <f>IF(OR($B38="",I$7=""),"",IF($B38="MEANS",INDEX('1-DATA'!$1:$1048576,$A37-1,COLUMN('1-DATA'!H36)),ROUND(INDEX('1-DATA'!$1:$1048576,IF(OR($B38="STD. DEVIATION",$C$1=1),$A38,$A38+1),COLUMN('1-DATA'!H36)),IF($B38="STD. DEVIATION",2,$F$1))))</f>
        <v/>
      </c>
      <c r="J38" s="1" t="str">
        <f>IF(OR($B38="",J$7=""),"",IF($B38="MEANS",INDEX('1-DATA'!$1:$1048576,$A37-1,COLUMN('1-DATA'!I36)),ROUND(INDEX('1-DATA'!$1:$1048576,IF(OR($B38="STD. DEVIATION",$C$1=1),$A38,$A38+1),COLUMN('1-DATA'!I36)),IF($B38="STD. DEVIATION",2,$F$1))))</f>
        <v/>
      </c>
      <c r="K38" s="1" t="str">
        <f>IF(OR($B38="",K$7=""),"",IF($B38="MEANS",INDEX('1-DATA'!$1:$1048576,$A37-1,COLUMN('1-DATA'!J36)),ROUND(INDEX('1-DATA'!$1:$1048576,IF(OR($B38="STD. DEVIATION",$C$1=1),$A38,$A38+1),COLUMN('1-DATA'!J36)),IF($B38="STD. DEVIATION",2,$F$1))))</f>
        <v/>
      </c>
      <c r="L38" s="1" t="str">
        <f>IF(OR($B38="",L$7=""),"",IF($B38="MEANS",INDEX('1-DATA'!$1:$1048576,$A37-1,COLUMN('1-DATA'!K36)),ROUND(INDEX('1-DATA'!$1:$1048576,IF(OR($B38="STD. DEVIATION",$C$1=1),$A38,$A38+1),COLUMN('1-DATA'!K36)),IF($B38="STD. DEVIATION",2,$F$1))))</f>
        <v/>
      </c>
      <c r="M38" s="1" t="str">
        <f>IF(OR($B38="",M$7=""),"",IF($B38="MEANS",INDEX('1-DATA'!$1:$1048576,$A37-1,COLUMN('1-DATA'!L36)),ROUND(INDEX('1-DATA'!$1:$1048576,IF(OR($B38="STD. DEVIATION",$C$1=1),$A38,$A38+1),COLUMN('1-DATA'!L36)),IF($B38="STD. DEVIATION",2,$F$1))))</f>
        <v/>
      </c>
      <c r="N38" s="1" t="str">
        <f>IF(OR($B38="",N$7=""),"",IF($B38="MEANS",INDEX('1-DATA'!$1:$1048576,$A37-1,COLUMN('1-DATA'!M36)),ROUND(INDEX('1-DATA'!$1:$1048576,IF(OR($B38="STD. DEVIATION",$C$1=1),$A38,$A38+1),COLUMN('1-DATA'!M36)),IF($B38="STD. DEVIATION",2,$F$1))))</f>
        <v/>
      </c>
      <c r="O38" s="1" t="str">
        <f>IF(OR($B38="",O$7=""),"",IF($B38="MEANS",INDEX('1-DATA'!$1:$1048576,$A37-1,COLUMN('1-DATA'!N36)),ROUND(INDEX('1-DATA'!$1:$1048576,IF(OR($B38="STD. DEVIATION",$C$1=1),$A38,$A38+1),COLUMN('1-DATA'!N36)),IF($B38="STD. DEVIATION",2,$F$1))))</f>
        <v/>
      </c>
      <c r="P38" s="1" t="str">
        <f>IF(OR($B38="",P$7=""),"",IF($B38="MEANS",INDEX('1-DATA'!$1:$1048576,$A37-1,COLUMN('1-DATA'!O36)),ROUND(INDEX('1-DATA'!$1:$1048576,IF(OR($B38="STD. DEVIATION",$C$1=1),$A38,$A38+1),COLUMN('1-DATA'!O36)),IF($B38="STD. DEVIATION",2,$F$1))))</f>
        <v/>
      </c>
      <c r="Q38" s="1" t="str">
        <f>IF(OR($B38="",Q$7=""),"",IF($B38="MEANS",INDEX('1-DATA'!$1:$1048576,$A37-1,COLUMN('1-DATA'!P36)),ROUND(INDEX('1-DATA'!$1:$1048576,IF(OR($B38="STD. DEVIATION",$C$1=1),$A38,$A38+1),COLUMN('1-DATA'!P36)),IF($B38="STD. DEVIATION",2,$F$1))))</f>
        <v/>
      </c>
      <c r="R38" s="1" t="str">
        <f>IF(OR($B38="",R$7=""),"",IF($B38="MEANS",INDEX('1-DATA'!$1:$1048576,$A37-1,COLUMN('1-DATA'!Q36)),ROUND(INDEX('1-DATA'!$1:$1048576,IF(OR($B38="STD. DEVIATION",$C$1=1),$A38,$A38+1),COLUMN('1-DATA'!Q36)),IF($B38="STD. DEVIATION",2,$F$1))))</f>
        <v/>
      </c>
      <c r="S38" s="1" t="str">
        <f>IF(OR($B38="",S$7=""),"",IF($B38="MEANS",INDEX('1-DATA'!$1:$1048576,$A37-1,COLUMN('1-DATA'!R36)),ROUND(INDEX('1-DATA'!$1:$1048576,IF(OR($B38="STD. DEVIATION",$C$1=1),$A38,$A38+1),COLUMN('1-DATA'!R36)),IF($B38="STD. DEVIATION",2,$F$1))))</f>
        <v/>
      </c>
      <c r="T38" s="1" t="str">
        <f>IF(OR($B38="",T$7=""),"",IF($B38="MEANS",INDEX('1-DATA'!$1:$1048576,$A37-1,COLUMN('1-DATA'!S36)),ROUND(INDEX('1-DATA'!$1:$1048576,IF(OR($B38="STD. DEVIATION",$C$1=1),$A38,$A38+1),COLUMN('1-DATA'!S36)),IF($B38="STD. DEVIATION",2,$F$1))))</f>
        <v/>
      </c>
      <c r="U38" s="1" t="str">
        <f>IF(OR($B38="",U$7=""),"",IF($B38="MEANS",INDEX('1-DATA'!$1:$1048576,$A37-1,COLUMN('1-DATA'!T36)),ROUND(INDEX('1-DATA'!$1:$1048576,IF(OR($B38="STD. DEVIATION",$C$1=1),$A38,$A38+1),COLUMN('1-DATA'!T36)),IF($B38="STD. DEVIATION",2,$F$1))))</f>
        <v/>
      </c>
      <c r="V38" s="1" t="str">
        <f>IF(OR($B38="",V$7=""),"",IF($B38="MEANS",INDEX('1-DATA'!$1:$1048576,$A37-1,COLUMN('1-DATA'!U36)),ROUND(INDEX('1-DATA'!$1:$1048576,IF(OR($B38="STD. DEVIATION",$C$1=1),$A38,$A38+1),COLUMN('1-DATA'!U36)),IF($B38="STD. DEVIATION",2,$F$1))))</f>
        <v/>
      </c>
      <c r="W38" s="1" t="str">
        <f>IF(OR($B38="",W$7=""),"",IF($B38="MEANS",INDEX('1-DATA'!$1:$1048576,$A37-1,COLUMN('1-DATA'!V36)),ROUND(INDEX('1-DATA'!$1:$1048576,IF(OR($B38="STD. DEVIATION",$C$1=1),$A38,$A38+1),COLUMN('1-DATA'!V36)),IF($B38="STD. DEVIATION",2,$F$1))))</f>
        <v/>
      </c>
      <c r="X38" s="1" t="str">
        <f>IF(OR($B38="",X$7=""),"",IF($B38="MEANS",INDEX('1-DATA'!$1:$1048576,$A37-1,COLUMN('1-DATA'!W36)),ROUND(INDEX('1-DATA'!$1:$1048576,IF(OR($B38="STD. DEVIATION",$C$1=1),$A38,$A38+1),COLUMN('1-DATA'!W36)),IF($B38="STD. DEVIATION",2,$F$1))))</f>
        <v/>
      </c>
      <c r="Y38" s="1" t="str">
        <f>IF(OR($B38="",Y$7=""),"",IF($B38="MEANS",INDEX('1-DATA'!$1:$1048576,$A37-1,COLUMN('1-DATA'!X36)),ROUND(INDEX('1-DATA'!$1:$1048576,IF(OR($B38="STD. DEVIATION",$C$1=1),$A38,$A38+1),COLUMN('1-DATA'!X36)),IF($B38="STD. DEVIATION",2,$F$1))))</f>
        <v/>
      </c>
      <c r="Z38" s="1" t="str">
        <f>IF(OR($B38="",Z$7=""),"",IF($B38="MEANS",INDEX('1-DATA'!$1:$1048576,$A37-1,COLUMN('1-DATA'!Y36)),ROUND(INDEX('1-DATA'!$1:$1048576,IF(OR($B38="STD. DEVIATION",$C$1=1),$A38,$A38+1),COLUMN('1-DATA'!Y36)),IF($B38="STD. DEVIATION",2,$F$1))))</f>
        <v/>
      </c>
      <c r="AA38" s="1" t="str">
        <f>IF(OR($B38="",AA$7=""),"",IF($B38="MEANS",INDEX('1-DATA'!$1:$1048576,$A37-1,COLUMN('1-DATA'!Z36)),ROUND(INDEX('1-DATA'!$1:$1048576,IF(OR($B38="STD. DEVIATION",$C$1=1),$A38,$A38+1),COLUMN('1-DATA'!Z36)),IF($B38="STD. DEVIATION",2,$F$1))))</f>
        <v/>
      </c>
      <c r="AB38" s="1" t="str">
        <f>IF(OR($B38="",AB$7=""),"",IF($B38="MEANS",INDEX('1-DATA'!$1:$1048576,$A37-1,COLUMN('1-DATA'!AA36)),ROUND(INDEX('1-DATA'!$1:$1048576,IF(OR($B38="STD. DEVIATION",$C$1=1),$A38,$A38+1),COLUMN('1-DATA'!AA36)),IF($B38="STD. DEVIATION",2,$F$1))))</f>
        <v/>
      </c>
      <c r="AC38" s="1" t="str">
        <f>IF(OR($B38="",AC$7=""),"",IF($B38="MEANS",INDEX('1-DATA'!$1:$1048576,$A37-1,COLUMN('1-DATA'!AB36)),ROUND(INDEX('1-DATA'!$1:$1048576,IF(OR($B38="STD. DEVIATION",$C$1=1),$A38,$A38+1),COLUMN('1-DATA'!AB36)),IF($B38="STD. DEVIATION",2,$F$1))))</f>
        <v/>
      </c>
      <c r="AD38" s="1" t="str">
        <f>IF(OR($B38="",AD$7=""),"",IF($B38="MEANS",INDEX('1-DATA'!$1:$1048576,$A37-1,COLUMN('1-DATA'!AC36)),ROUND(INDEX('1-DATA'!$1:$1048576,IF(OR($B38="STD. DEVIATION",$C$1=1),$A38,$A38+1),COLUMN('1-DATA'!AC36)),IF($B38="STD. DEVIATION",2,$F$1))))</f>
        <v/>
      </c>
      <c r="AE38" s="1" t="str">
        <f>IF(OR($B38="",AE$7=""),"",IF($B38="MEANS",INDEX('1-DATA'!$1:$1048576,$A37-1,COLUMN('1-DATA'!AD36)),ROUND(INDEX('1-DATA'!$1:$1048576,IF(OR($B38="STD. DEVIATION",$C$1=1),$A38,$A38+1),COLUMN('1-DATA'!AD36)),IF($B38="STD. DEVIATION",2,$F$1))))</f>
        <v/>
      </c>
      <c r="AF38" s="1" t="str">
        <f>IF(OR($B38="",AF$7=""),"",IF($B38="MEANS",INDEX('1-DATA'!$1:$1048576,$A37-1,COLUMN('1-DATA'!AE36)),ROUND(INDEX('1-DATA'!$1:$1048576,IF(OR($B38="STD. DEVIATION",$C$1=1),$A38,$A38+1),COLUMN('1-DATA'!AE36)),IF($B38="STD. DEVIATION",2,$F$1))))</f>
        <v/>
      </c>
      <c r="AG38" s="1" t="str">
        <f>IF(OR($B38="",AG$7=""),"",IF($B38="MEANS",INDEX('1-DATA'!$1:$1048576,$A37-1,COLUMN('1-DATA'!AF36)),ROUND(INDEX('1-DATA'!$1:$1048576,IF(OR($B38="STD. DEVIATION",$C$1=1),$A38,$A38+1),COLUMN('1-DATA'!AF36)),IF($B38="STD. DEVIATION",2,$F$1))))</f>
        <v/>
      </c>
      <c r="AH38" s="1" t="str">
        <f>IF(OR($B38="",AH$7=""),"",IF($B38="MEANS",INDEX('1-DATA'!$1:$1048576,$A37-1,COLUMN('1-DATA'!AG36)),ROUND(INDEX('1-DATA'!$1:$1048576,IF(OR($B38="STD. DEVIATION",$C$1=1),$A38,$A38+1),COLUMN('1-DATA'!AG36)),IF($B38="STD. DEVIATION",2,$F$1))))</f>
        <v/>
      </c>
      <c r="AI38" s="1" t="str">
        <f>IF(OR($B38="",AI$7=""),"",IF($B38="MEANS",INDEX('1-DATA'!$1:$1048576,$A37-1,COLUMN('1-DATA'!AH36)),ROUND(INDEX('1-DATA'!$1:$1048576,IF(OR($B38="STD. DEVIATION",$C$1=1),$A38,$A38+1),COLUMN('1-DATA'!AH36)),IF($B38="STD. DEVIATION",2,$F$1))))</f>
        <v/>
      </c>
      <c r="AJ38" s="1" t="str">
        <f>IF(OR($B38="",AJ$7=""),"",IF($B38="MEANS",INDEX('1-DATA'!$1:$1048576,$A37-1,COLUMN('1-DATA'!AI36)),ROUND(INDEX('1-DATA'!$1:$1048576,IF(OR($B38="STD. DEVIATION",$C$1=1),$A38,$A38+1),COLUMN('1-DATA'!AI36)),IF($B38="STD. DEVIATION",2,$F$1))))</f>
        <v/>
      </c>
      <c r="AK38" s="1" t="str">
        <f>IF(OR($B38="",AK$7=""),"",IF($B38="MEANS",INDEX('1-DATA'!$1:$1048576,$A37-1,COLUMN('1-DATA'!AJ36)),ROUND(INDEX('1-DATA'!$1:$1048576,IF(OR($B38="STD. DEVIATION",$C$1=1),$A38,$A38+1),COLUMN('1-DATA'!AJ36)),IF($B38="STD. DEVIATION",2,$F$1))))</f>
        <v/>
      </c>
      <c r="AL38" s="1" t="str">
        <f>IF(OR($B38="",AL$7=""),"",IF($B38="MEANS",INDEX('1-DATA'!$1:$1048576,$A37-1,COLUMN('1-DATA'!AK36)),ROUND(INDEX('1-DATA'!$1:$1048576,IF(OR($B38="STD. DEVIATION",$C$1=1),$A38,$A38+1),COLUMN('1-DATA'!AK36)),IF($B38="STD. DEVIATION",2,$F$1))))</f>
        <v/>
      </c>
      <c r="AM38" s="1" t="str">
        <f>IF(OR($B38="",AM$7=""),"",IF($B38="MEANS",INDEX('1-DATA'!$1:$1048576,$A37-1,COLUMN('1-DATA'!AL36)),ROUND(INDEX('1-DATA'!$1:$1048576,IF(OR($B38="STD. DEVIATION",$C$1=1),$A38,$A38+1),COLUMN('1-DATA'!AL36)),IF($B38="STD. DEVIATION",2,$F$1))))</f>
        <v/>
      </c>
      <c r="AN38" s="1" t="str">
        <f>IF(OR($B38="",AN$7=""),"",IF($B38="MEANS",INDEX('1-DATA'!$1:$1048576,$A37-1,COLUMN('1-DATA'!AM36)),ROUND(INDEX('1-DATA'!$1:$1048576,IF(OR($B38="STD. DEVIATION",$C$1=1),$A38,$A38+1),COLUMN('1-DATA'!AM36)),IF($B38="STD. DEVIATION",2,$F$1))))</f>
        <v/>
      </c>
      <c r="AO38" s="1" t="str">
        <f>IF(OR($B38="",AO$7=""),"",IF($B38="MEANS",INDEX('1-DATA'!$1:$1048576,$A37-1,COLUMN('1-DATA'!AN36)),ROUND(INDEX('1-DATA'!$1:$1048576,IF(OR($B38="STD. DEVIATION",$C$1=1),$A38,$A38+1),COLUMN('1-DATA'!AN36)),IF($B38="STD. DEVIATION",2,$F$1))))</f>
        <v/>
      </c>
      <c r="AP38" s="1" t="str">
        <f>IF(OR($B38="",AP$7=""),"",IF($B38="MEANS",INDEX('1-DATA'!$1:$1048576,$A37-1,COLUMN('1-DATA'!AO36)),ROUND(INDEX('1-DATA'!$1:$1048576,IF(OR($B38="STD. DEVIATION",$C$1=1),$A38,$A38+1),COLUMN('1-DATA'!AO36)),IF($B38="STD. DEVIATION",2,$F$1))))</f>
        <v/>
      </c>
      <c r="AQ38" s="1" t="str">
        <f>IF(OR($B38="",AQ$7=""),"",IF($B38="MEANS",INDEX('1-DATA'!$1:$1048576,$A37-1,COLUMN('1-DATA'!AP36)),ROUND(INDEX('1-DATA'!$1:$1048576,IF(OR($B38="STD. DEVIATION",$C$1=1),$A38,$A38+1),COLUMN('1-DATA'!AP36)),IF($B38="STD. DEVIATION",2,$F$1))))</f>
        <v/>
      </c>
      <c r="AR38" s="1" t="str">
        <f>IF(OR($B38="",AR$7=""),"",IF($B38="MEANS",INDEX('1-DATA'!$1:$1048576,$A37-1,COLUMN('1-DATA'!AQ36)),ROUND(INDEX('1-DATA'!$1:$1048576,IF(OR($B38="STD. DEVIATION",$C$1=1),$A38,$A38+1),COLUMN('1-DATA'!AQ36)),IF($B38="STD. DEVIATION",2,$F$1))))</f>
        <v/>
      </c>
      <c r="AS38" s="1" t="str">
        <f>IF(OR($B38="",AS$7=""),"",IF($B38="MEANS",INDEX('1-DATA'!$1:$1048576,$A37-1,COLUMN('1-DATA'!AR36)),ROUND(INDEX('1-DATA'!$1:$1048576,IF(OR($B38="STD. DEVIATION",$C$1=1),$A38,$A38+1),COLUMN('1-DATA'!AR36)),IF($B38="STD. DEVIATION",2,$F$1))))</f>
        <v/>
      </c>
      <c r="AT38" s="1" t="str">
        <f>IF(OR($B38="",AT$7=""),"",IF($B38="MEANS",INDEX('1-DATA'!$1:$1048576,$A37-1,COLUMN('1-DATA'!AS36)),ROUND(INDEX('1-DATA'!$1:$1048576,IF(OR($B38="STD. DEVIATION",$C$1=1),$A38,$A38+1),COLUMN('1-DATA'!AS36)),IF($B38="STD. DEVIATION",2,$F$1))))</f>
        <v/>
      </c>
      <c r="AU38" s="1" t="str">
        <f>IF(OR($B38="",AU$7=""),"",IF($B38="MEANS",INDEX('1-DATA'!$1:$1048576,$A37-1,COLUMN('1-DATA'!AT36)),ROUND(INDEX('1-DATA'!$1:$1048576,IF(OR($B38="STD. DEVIATION",$C$1=1),$A38,$A38+1),COLUMN('1-DATA'!AT36)),IF($B38="STD. DEVIATION",2,$F$1))))</f>
        <v/>
      </c>
      <c r="AV38" s="1" t="str">
        <f>IF(OR($B38="",AV$7=""),"",IF($B38="MEANS",INDEX('1-DATA'!$1:$1048576,$A37-1,COLUMN('1-DATA'!AU36)),ROUND(INDEX('1-DATA'!$1:$1048576,IF(OR($B38="STD. DEVIATION",$C$1=1),$A38,$A38+1),COLUMN('1-DATA'!AU36)),IF($B38="STD. DEVIATION",2,$F$1))))</f>
        <v/>
      </c>
      <c r="AW38" s="1" t="str">
        <f>IF(OR($B38="",AW$7=""),"",IF($B38="MEANS",INDEX('1-DATA'!$1:$1048576,$A37-1,COLUMN('1-DATA'!AV36)),ROUND(INDEX('1-DATA'!$1:$1048576,IF(OR($B38="STD. DEVIATION",$C$1=1),$A38,$A38+1),COLUMN('1-DATA'!AV36)),IF($B38="STD. DEVIATION",2,$F$1))))</f>
        <v/>
      </c>
      <c r="AX38" s="1" t="str">
        <f>IF(OR($B38="",AX$7=""),"",IF($B38="MEANS",INDEX('1-DATA'!$1:$1048576,$A37-1,COLUMN('1-DATA'!AW36)),ROUND(INDEX('1-DATA'!$1:$1048576,IF(OR($B38="STD. DEVIATION",$C$1=1),$A38,$A38+1),COLUMN('1-DATA'!AW36)),IF($B38="STD. DEVIATION",2,$F$1))))</f>
        <v/>
      </c>
      <c r="AY38" s="1" t="str">
        <f>IF(OR($B38="",AY$7=""),"",IF($B38="MEANS",INDEX('1-DATA'!$1:$1048576,$A37-1,COLUMN('1-DATA'!AX36)),ROUND(INDEX('1-DATA'!$1:$1048576,IF(OR($B38="STD. DEVIATION",$C$1=1),$A38,$A38+1),COLUMN('1-DATA'!AX36)),IF($B38="STD. DEVIATION",2,$F$1))))</f>
        <v/>
      </c>
      <c r="AZ38" s="1" t="str">
        <f>IF(OR($B38="",AZ$7=""),"",IF($B38="MEANS",INDEX('1-DATA'!$1:$1048576,$A37-1,COLUMN('1-DATA'!AY36)),ROUND(INDEX('1-DATA'!$1:$1048576,IF(OR($B38="STD. DEVIATION",$C$1=1),$A38,$A38+1),COLUMN('1-DATA'!AY36)),IF($B38="STD. DEVIATION",2,$F$1))))</f>
        <v/>
      </c>
    </row>
    <row r="39" spans="1:52" x14ac:dyDescent="0.25">
      <c r="A39" s="11">
        <f t="shared" si="1"/>
        <v>103</v>
      </c>
      <c r="B39" s="1" t="str">
        <f>IF(B38="STD. DEVIATION",INDEX('1-DATA'!$1:$1048576,$A38-1,1),IF(INDEX('1-DATA'!$1:$1048576,$A39,1)&lt;&gt;"",INDEX('1-DATA'!$1:$1048576,$A39,1),""))</f>
        <v/>
      </c>
      <c r="C39" s="1" t="str">
        <f>IF(OR($B39="",C$7=""),"",IF($B39="MEANS",INDEX('1-DATA'!$1:$1048576,$A38-1,COLUMN('1-DATA'!B37)),ROUND(INDEX('1-DATA'!$1:$1048576,IF(OR($B39="STD. DEVIATION",$C$1=1),$A39,$A39+1),COLUMN('1-DATA'!B37)),IF($B39="STD. DEVIATION",2,$F$1))))</f>
        <v/>
      </c>
      <c r="D39" s="1" t="str">
        <f>IF(OR($B39="",D$7=""),"",IF($B39="MEANS",INDEX('1-DATA'!$1:$1048576,$A38-1,COLUMN('1-DATA'!C37)),ROUND(INDEX('1-DATA'!$1:$1048576,IF(OR($B39="STD. DEVIATION",$C$1=1),$A39,$A39+1),COLUMN('1-DATA'!C37)),IF($B39="STD. DEVIATION",2,$F$1))))</f>
        <v/>
      </c>
      <c r="E39" s="1" t="str">
        <f>IF(OR($B39="",E$7=""),"",IF($B39="MEANS",INDEX('1-DATA'!$1:$1048576,$A38-1,COLUMN('1-DATA'!D37)),ROUND(INDEX('1-DATA'!$1:$1048576,IF(OR($B39="STD. DEVIATION",$C$1=1),$A39,$A39+1),COLUMN('1-DATA'!D37)),IF($B39="STD. DEVIATION",2,$F$1))))</f>
        <v/>
      </c>
      <c r="F39" s="1" t="str">
        <f>IF(OR($B39="",F$7=""),"",IF($B39="MEANS",INDEX('1-DATA'!$1:$1048576,$A38-1,COLUMN('1-DATA'!E37)),ROUND(INDEX('1-DATA'!$1:$1048576,IF(OR($B39="STD. DEVIATION",$C$1=1),$A39,$A39+1),COLUMN('1-DATA'!E37)),IF($B39="STD. DEVIATION",2,$F$1))))</f>
        <v/>
      </c>
      <c r="G39" s="1" t="str">
        <f>IF(OR($B39="",G$7=""),"",IF($B39="MEANS",INDEX('1-DATA'!$1:$1048576,$A38-1,COLUMN('1-DATA'!F37)),ROUND(INDEX('1-DATA'!$1:$1048576,IF(OR($B39="STD. DEVIATION",$C$1=1),$A39,$A39+1),COLUMN('1-DATA'!F37)),IF($B39="STD. DEVIATION",2,$F$1))))</f>
        <v/>
      </c>
      <c r="H39" s="1" t="str">
        <f>IF(OR($B39="",H$7=""),"",IF($B39="MEANS",INDEX('1-DATA'!$1:$1048576,$A38-1,COLUMN('1-DATA'!G37)),ROUND(INDEX('1-DATA'!$1:$1048576,IF(OR($B39="STD. DEVIATION",$C$1=1),$A39,$A39+1),COLUMN('1-DATA'!G37)),IF($B39="STD. DEVIATION",2,$F$1))))</f>
        <v/>
      </c>
      <c r="I39" s="1" t="str">
        <f>IF(OR($B39="",I$7=""),"",IF($B39="MEANS",INDEX('1-DATA'!$1:$1048576,$A38-1,COLUMN('1-DATA'!H37)),ROUND(INDEX('1-DATA'!$1:$1048576,IF(OR($B39="STD. DEVIATION",$C$1=1),$A39,$A39+1),COLUMN('1-DATA'!H37)),IF($B39="STD. DEVIATION",2,$F$1))))</f>
        <v/>
      </c>
      <c r="J39" s="1" t="str">
        <f>IF(OR($B39="",J$7=""),"",IF($B39="MEANS",INDEX('1-DATA'!$1:$1048576,$A38-1,COLUMN('1-DATA'!I37)),ROUND(INDEX('1-DATA'!$1:$1048576,IF(OR($B39="STD. DEVIATION",$C$1=1),$A39,$A39+1),COLUMN('1-DATA'!I37)),IF($B39="STD. DEVIATION",2,$F$1))))</f>
        <v/>
      </c>
      <c r="K39" s="1" t="str">
        <f>IF(OR($B39="",K$7=""),"",IF($B39="MEANS",INDEX('1-DATA'!$1:$1048576,$A38-1,COLUMN('1-DATA'!J37)),ROUND(INDEX('1-DATA'!$1:$1048576,IF(OR($B39="STD. DEVIATION",$C$1=1),$A39,$A39+1),COLUMN('1-DATA'!J37)),IF($B39="STD. DEVIATION",2,$F$1))))</f>
        <v/>
      </c>
      <c r="L39" s="1" t="str">
        <f>IF(OR($B39="",L$7=""),"",IF($B39="MEANS",INDEX('1-DATA'!$1:$1048576,$A38-1,COLUMN('1-DATA'!K37)),ROUND(INDEX('1-DATA'!$1:$1048576,IF(OR($B39="STD. DEVIATION",$C$1=1),$A39,$A39+1),COLUMN('1-DATA'!K37)),IF($B39="STD. DEVIATION",2,$F$1))))</f>
        <v/>
      </c>
      <c r="M39" s="1" t="str">
        <f>IF(OR($B39="",M$7=""),"",IF($B39="MEANS",INDEX('1-DATA'!$1:$1048576,$A38-1,COLUMN('1-DATA'!L37)),ROUND(INDEX('1-DATA'!$1:$1048576,IF(OR($B39="STD. DEVIATION",$C$1=1),$A39,$A39+1),COLUMN('1-DATA'!L37)),IF($B39="STD. DEVIATION",2,$F$1))))</f>
        <v/>
      </c>
      <c r="N39" s="1" t="str">
        <f>IF(OR($B39="",N$7=""),"",IF($B39="MEANS",INDEX('1-DATA'!$1:$1048576,$A38-1,COLUMN('1-DATA'!M37)),ROUND(INDEX('1-DATA'!$1:$1048576,IF(OR($B39="STD. DEVIATION",$C$1=1),$A39,$A39+1),COLUMN('1-DATA'!M37)),IF($B39="STD. DEVIATION",2,$F$1))))</f>
        <v/>
      </c>
      <c r="O39" s="1" t="str">
        <f>IF(OR($B39="",O$7=""),"",IF($B39="MEANS",INDEX('1-DATA'!$1:$1048576,$A38-1,COLUMN('1-DATA'!N37)),ROUND(INDEX('1-DATA'!$1:$1048576,IF(OR($B39="STD. DEVIATION",$C$1=1),$A39,$A39+1),COLUMN('1-DATA'!N37)),IF($B39="STD. DEVIATION",2,$F$1))))</f>
        <v/>
      </c>
      <c r="P39" s="1" t="str">
        <f>IF(OR($B39="",P$7=""),"",IF($B39="MEANS",INDEX('1-DATA'!$1:$1048576,$A38-1,COLUMN('1-DATA'!O37)),ROUND(INDEX('1-DATA'!$1:$1048576,IF(OR($B39="STD. DEVIATION",$C$1=1),$A39,$A39+1),COLUMN('1-DATA'!O37)),IF($B39="STD. DEVIATION",2,$F$1))))</f>
        <v/>
      </c>
      <c r="Q39" s="1" t="str">
        <f>IF(OR($B39="",Q$7=""),"",IF($B39="MEANS",INDEX('1-DATA'!$1:$1048576,$A38-1,COLUMN('1-DATA'!P37)),ROUND(INDEX('1-DATA'!$1:$1048576,IF(OR($B39="STD. DEVIATION",$C$1=1),$A39,$A39+1),COLUMN('1-DATA'!P37)),IF($B39="STD. DEVIATION",2,$F$1))))</f>
        <v/>
      </c>
      <c r="R39" s="1" t="str">
        <f>IF(OR($B39="",R$7=""),"",IF($B39="MEANS",INDEX('1-DATA'!$1:$1048576,$A38-1,COLUMN('1-DATA'!Q37)),ROUND(INDEX('1-DATA'!$1:$1048576,IF(OR($B39="STD. DEVIATION",$C$1=1),$A39,$A39+1),COLUMN('1-DATA'!Q37)),IF($B39="STD. DEVIATION",2,$F$1))))</f>
        <v/>
      </c>
      <c r="S39" s="1" t="str">
        <f>IF(OR($B39="",S$7=""),"",IF($B39="MEANS",INDEX('1-DATA'!$1:$1048576,$A38-1,COLUMN('1-DATA'!R37)),ROUND(INDEX('1-DATA'!$1:$1048576,IF(OR($B39="STD. DEVIATION",$C$1=1),$A39,$A39+1),COLUMN('1-DATA'!R37)),IF($B39="STD. DEVIATION",2,$F$1))))</f>
        <v/>
      </c>
      <c r="T39" s="1" t="str">
        <f>IF(OR($B39="",T$7=""),"",IF($B39="MEANS",INDEX('1-DATA'!$1:$1048576,$A38-1,COLUMN('1-DATA'!S37)),ROUND(INDEX('1-DATA'!$1:$1048576,IF(OR($B39="STD. DEVIATION",$C$1=1),$A39,$A39+1),COLUMN('1-DATA'!S37)),IF($B39="STD. DEVIATION",2,$F$1))))</f>
        <v/>
      </c>
      <c r="U39" s="1" t="str">
        <f>IF(OR($B39="",U$7=""),"",IF($B39="MEANS",INDEX('1-DATA'!$1:$1048576,$A38-1,COLUMN('1-DATA'!T37)),ROUND(INDEX('1-DATA'!$1:$1048576,IF(OR($B39="STD. DEVIATION",$C$1=1),$A39,$A39+1),COLUMN('1-DATA'!T37)),IF($B39="STD. DEVIATION",2,$F$1))))</f>
        <v/>
      </c>
      <c r="V39" s="1" t="str">
        <f>IF(OR($B39="",V$7=""),"",IF($B39="MEANS",INDEX('1-DATA'!$1:$1048576,$A38-1,COLUMN('1-DATA'!U37)),ROUND(INDEX('1-DATA'!$1:$1048576,IF(OR($B39="STD. DEVIATION",$C$1=1),$A39,$A39+1),COLUMN('1-DATA'!U37)),IF($B39="STD. DEVIATION",2,$F$1))))</f>
        <v/>
      </c>
      <c r="W39" s="1" t="str">
        <f>IF(OR($B39="",W$7=""),"",IF($B39="MEANS",INDEX('1-DATA'!$1:$1048576,$A38-1,COLUMN('1-DATA'!V37)),ROUND(INDEX('1-DATA'!$1:$1048576,IF(OR($B39="STD. DEVIATION",$C$1=1),$A39,$A39+1),COLUMN('1-DATA'!V37)),IF($B39="STD. DEVIATION",2,$F$1))))</f>
        <v/>
      </c>
      <c r="X39" s="1" t="str">
        <f>IF(OR($B39="",X$7=""),"",IF($B39="MEANS",INDEX('1-DATA'!$1:$1048576,$A38-1,COLUMN('1-DATA'!W37)),ROUND(INDEX('1-DATA'!$1:$1048576,IF(OR($B39="STD. DEVIATION",$C$1=1),$A39,$A39+1),COLUMN('1-DATA'!W37)),IF($B39="STD. DEVIATION",2,$F$1))))</f>
        <v/>
      </c>
      <c r="Y39" s="1" t="str">
        <f>IF(OR($B39="",Y$7=""),"",IF($B39="MEANS",INDEX('1-DATA'!$1:$1048576,$A38-1,COLUMN('1-DATA'!X37)),ROUND(INDEX('1-DATA'!$1:$1048576,IF(OR($B39="STD. DEVIATION",$C$1=1),$A39,$A39+1),COLUMN('1-DATA'!X37)),IF($B39="STD. DEVIATION",2,$F$1))))</f>
        <v/>
      </c>
      <c r="Z39" s="1" t="str">
        <f>IF(OR($B39="",Z$7=""),"",IF($B39="MEANS",INDEX('1-DATA'!$1:$1048576,$A38-1,COLUMN('1-DATA'!Y37)),ROUND(INDEX('1-DATA'!$1:$1048576,IF(OR($B39="STD. DEVIATION",$C$1=1),$A39,$A39+1),COLUMN('1-DATA'!Y37)),IF($B39="STD. DEVIATION",2,$F$1))))</f>
        <v/>
      </c>
      <c r="AA39" s="1" t="str">
        <f>IF(OR($B39="",AA$7=""),"",IF($B39="MEANS",INDEX('1-DATA'!$1:$1048576,$A38-1,COLUMN('1-DATA'!Z37)),ROUND(INDEX('1-DATA'!$1:$1048576,IF(OR($B39="STD. DEVIATION",$C$1=1),$A39,$A39+1),COLUMN('1-DATA'!Z37)),IF($B39="STD. DEVIATION",2,$F$1))))</f>
        <v/>
      </c>
      <c r="AB39" s="1" t="str">
        <f>IF(OR($B39="",AB$7=""),"",IF($B39="MEANS",INDEX('1-DATA'!$1:$1048576,$A38-1,COLUMN('1-DATA'!AA37)),ROUND(INDEX('1-DATA'!$1:$1048576,IF(OR($B39="STD. DEVIATION",$C$1=1),$A39,$A39+1),COLUMN('1-DATA'!AA37)),IF($B39="STD. DEVIATION",2,$F$1))))</f>
        <v/>
      </c>
      <c r="AC39" s="1" t="str">
        <f>IF(OR($B39="",AC$7=""),"",IF($B39="MEANS",INDEX('1-DATA'!$1:$1048576,$A38-1,COLUMN('1-DATA'!AB37)),ROUND(INDEX('1-DATA'!$1:$1048576,IF(OR($B39="STD. DEVIATION",$C$1=1),$A39,$A39+1),COLUMN('1-DATA'!AB37)),IF($B39="STD. DEVIATION",2,$F$1))))</f>
        <v/>
      </c>
      <c r="AD39" s="1" t="str">
        <f>IF(OR($B39="",AD$7=""),"",IF($B39="MEANS",INDEX('1-DATA'!$1:$1048576,$A38-1,COLUMN('1-DATA'!AC37)),ROUND(INDEX('1-DATA'!$1:$1048576,IF(OR($B39="STD. DEVIATION",$C$1=1),$A39,$A39+1),COLUMN('1-DATA'!AC37)),IF($B39="STD. DEVIATION",2,$F$1))))</f>
        <v/>
      </c>
      <c r="AE39" s="1" t="str">
        <f>IF(OR($B39="",AE$7=""),"",IF($B39="MEANS",INDEX('1-DATA'!$1:$1048576,$A38-1,COLUMN('1-DATA'!AD37)),ROUND(INDEX('1-DATA'!$1:$1048576,IF(OR($B39="STD. DEVIATION",$C$1=1),$A39,$A39+1),COLUMN('1-DATA'!AD37)),IF($B39="STD. DEVIATION",2,$F$1))))</f>
        <v/>
      </c>
      <c r="AF39" s="1" t="str">
        <f>IF(OR($B39="",AF$7=""),"",IF($B39="MEANS",INDEX('1-DATA'!$1:$1048576,$A38-1,COLUMN('1-DATA'!AE37)),ROUND(INDEX('1-DATA'!$1:$1048576,IF(OR($B39="STD. DEVIATION",$C$1=1),$A39,$A39+1),COLUMN('1-DATA'!AE37)),IF($B39="STD. DEVIATION",2,$F$1))))</f>
        <v/>
      </c>
      <c r="AG39" s="1" t="str">
        <f>IF(OR($B39="",AG$7=""),"",IF($B39="MEANS",INDEX('1-DATA'!$1:$1048576,$A38-1,COLUMN('1-DATA'!AF37)),ROUND(INDEX('1-DATA'!$1:$1048576,IF(OR($B39="STD. DEVIATION",$C$1=1),$A39,$A39+1),COLUMN('1-DATA'!AF37)),IF($B39="STD. DEVIATION",2,$F$1))))</f>
        <v/>
      </c>
      <c r="AH39" s="1" t="str">
        <f>IF(OR($B39="",AH$7=""),"",IF($B39="MEANS",INDEX('1-DATA'!$1:$1048576,$A38-1,COLUMN('1-DATA'!AG37)),ROUND(INDEX('1-DATA'!$1:$1048576,IF(OR($B39="STD. DEVIATION",$C$1=1),$A39,$A39+1),COLUMN('1-DATA'!AG37)),IF($B39="STD. DEVIATION",2,$F$1))))</f>
        <v/>
      </c>
      <c r="AI39" s="1" t="str">
        <f>IF(OR($B39="",AI$7=""),"",IF($B39="MEANS",INDEX('1-DATA'!$1:$1048576,$A38-1,COLUMN('1-DATA'!AH37)),ROUND(INDEX('1-DATA'!$1:$1048576,IF(OR($B39="STD. DEVIATION",$C$1=1),$A39,$A39+1),COLUMN('1-DATA'!AH37)),IF($B39="STD. DEVIATION",2,$F$1))))</f>
        <v/>
      </c>
      <c r="AJ39" s="1" t="str">
        <f>IF(OR($B39="",AJ$7=""),"",IF($B39="MEANS",INDEX('1-DATA'!$1:$1048576,$A38-1,COLUMN('1-DATA'!AI37)),ROUND(INDEX('1-DATA'!$1:$1048576,IF(OR($B39="STD. DEVIATION",$C$1=1),$A39,$A39+1),COLUMN('1-DATA'!AI37)),IF($B39="STD. DEVIATION",2,$F$1))))</f>
        <v/>
      </c>
      <c r="AK39" s="1" t="str">
        <f>IF(OR($B39="",AK$7=""),"",IF($B39="MEANS",INDEX('1-DATA'!$1:$1048576,$A38-1,COLUMN('1-DATA'!AJ37)),ROUND(INDEX('1-DATA'!$1:$1048576,IF(OR($B39="STD. DEVIATION",$C$1=1),$A39,$A39+1),COLUMN('1-DATA'!AJ37)),IF($B39="STD. DEVIATION",2,$F$1))))</f>
        <v/>
      </c>
      <c r="AL39" s="1" t="str">
        <f>IF(OR($B39="",AL$7=""),"",IF($B39="MEANS",INDEX('1-DATA'!$1:$1048576,$A38-1,COLUMN('1-DATA'!AK37)),ROUND(INDEX('1-DATA'!$1:$1048576,IF(OR($B39="STD. DEVIATION",$C$1=1),$A39,$A39+1),COLUMN('1-DATA'!AK37)),IF($B39="STD. DEVIATION",2,$F$1))))</f>
        <v/>
      </c>
      <c r="AM39" s="1" t="str">
        <f>IF(OR($B39="",AM$7=""),"",IF($B39="MEANS",INDEX('1-DATA'!$1:$1048576,$A38-1,COLUMN('1-DATA'!AL37)),ROUND(INDEX('1-DATA'!$1:$1048576,IF(OR($B39="STD. DEVIATION",$C$1=1),$A39,$A39+1),COLUMN('1-DATA'!AL37)),IF($B39="STD. DEVIATION",2,$F$1))))</f>
        <v/>
      </c>
      <c r="AN39" s="1" t="str">
        <f>IF(OR($B39="",AN$7=""),"",IF($B39="MEANS",INDEX('1-DATA'!$1:$1048576,$A38-1,COLUMN('1-DATA'!AM37)),ROUND(INDEX('1-DATA'!$1:$1048576,IF(OR($B39="STD. DEVIATION",$C$1=1),$A39,$A39+1),COLUMN('1-DATA'!AM37)),IF($B39="STD. DEVIATION",2,$F$1))))</f>
        <v/>
      </c>
      <c r="AO39" s="1" t="str">
        <f>IF(OR($B39="",AO$7=""),"",IF($B39="MEANS",INDEX('1-DATA'!$1:$1048576,$A38-1,COLUMN('1-DATA'!AN37)),ROUND(INDEX('1-DATA'!$1:$1048576,IF(OR($B39="STD. DEVIATION",$C$1=1),$A39,$A39+1),COLUMN('1-DATA'!AN37)),IF($B39="STD. DEVIATION",2,$F$1))))</f>
        <v/>
      </c>
      <c r="AP39" s="1" t="str">
        <f>IF(OR($B39="",AP$7=""),"",IF($B39="MEANS",INDEX('1-DATA'!$1:$1048576,$A38-1,COLUMN('1-DATA'!AO37)),ROUND(INDEX('1-DATA'!$1:$1048576,IF(OR($B39="STD. DEVIATION",$C$1=1),$A39,$A39+1),COLUMN('1-DATA'!AO37)),IF($B39="STD. DEVIATION",2,$F$1))))</f>
        <v/>
      </c>
      <c r="AQ39" s="1" t="str">
        <f>IF(OR($B39="",AQ$7=""),"",IF($B39="MEANS",INDEX('1-DATA'!$1:$1048576,$A38-1,COLUMN('1-DATA'!AP37)),ROUND(INDEX('1-DATA'!$1:$1048576,IF(OR($B39="STD. DEVIATION",$C$1=1),$A39,$A39+1),COLUMN('1-DATA'!AP37)),IF($B39="STD. DEVIATION",2,$F$1))))</f>
        <v/>
      </c>
      <c r="AR39" s="1" t="str">
        <f>IF(OR($B39="",AR$7=""),"",IF($B39="MEANS",INDEX('1-DATA'!$1:$1048576,$A38-1,COLUMN('1-DATA'!AQ37)),ROUND(INDEX('1-DATA'!$1:$1048576,IF(OR($B39="STD. DEVIATION",$C$1=1),$A39,$A39+1),COLUMN('1-DATA'!AQ37)),IF($B39="STD. DEVIATION",2,$F$1))))</f>
        <v/>
      </c>
      <c r="AS39" s="1" t="str">
        <f>IF(OR($B39="",AS$7=""),"",IF($B39="MEANS",INDEX('1-DATA'!$1:$1048576,$A38-1,COLUMN('1-DATA'!AR37)),ROUND(INDEX('1-DATA'!$1:$1048576,IF(OR($B39="STD. DEVIATION",$C$1=1),$A39,$A39+1),COLUMN('1-DATA'!AR37)),IF($B39="STD. DEVIATION",2,$F$1))))</f>
        <v/>
      </c>
      <c r="AT39" s="1" t="str">
        <f>IF(OR($B39="",AT$7=""),"",IF($B39="MEANS",INDEX('1-DATA'!$1:$1048576,$A38-1,COLUMN('1-DATA'!AS37)),ROUND(INDEX('1-DATA'!$1:$1048576,IF(OR($B39="STD. DEVIATION",$C$1=1),$A39,$A39+1),COLUMN('1-DATA'!AS37)),IF($B39="STD. DEVIATION",2,$F$1))))</f>
        <v/>
      </c>
      <c r="AU39" s="1" t="str">
        <f>IF(OR($B39="",AU$7=""),"",IF($B39="MEANS",INDEX('1-DATA'!$1:$1048576,$A38-1,COLUMN('1-DATA'!AT37)),ROUND(INDEX('1-DATA'!$1:$1048576,IF(OR($B39="STD. DEVIATION",$C$1=1),$A39,$A39+1),COLUMN('1-DATA'!AT37)),IF($B39="STD. DEVIATION",2,$F$1))))</f>
        <v/>
      </c>
      <c r="AV39" s="1" t="str">
        <f>IF(OR($B39="",AV$7=""),"",IF($B39="MEANS",INDEX('1-DATA'!$1:$1048576,$A38-1,COLUMN('1-DATA'!AU37)),ROUND(INDEX('1-DATA'!$1:$1048576,IF(OR($B39="STD. DEVIATION",$C$1=1),$A39,$A39+1),COLUMN('1-DATA'!AU37)),IF($B39="STD. DEVIATION",2,$F$1))))</f>
        <v/>
      </c>
      <c r="AW39" s="1" t="str">
        <f>IF(OR($B39="",AW$7=""),"",IF($B39="MEANS",INDEX('1-DATA'!$1:$1048576,$A38-1,COLUMN('1-DATA'!AV37)),ROUND(INDEX('1-DATA'!$1:$1048576,IF(OR($B39="STD. DEVIATION",$C$1=1),$A39,$A39+1),COLUMN('1-DATA'!AV37)),IF($B39="STD. DEVIATION",2,$F$1))))</f>
        <v/>
      </c>
      <c r="AX39" s="1" t="str">
        <f>IF(OR($B39="",AX$7=""),"",IF($B39="MEANS",INDEX('1-DATA'!$1:$1048576,$A38-1,COLUMN('1-DATA'!AW37)),ROUND(INDEX('1-DATA'!$1:$1048576,IF(OR($B39="STD. DEVIATION",$C$1=1),$A39,$A39+1),COLUMN('1-DATA'!AW37)),IF($B39="STD. DEVIATION",2,$F$1))))</f>
        <v/>
      </c>
      <c r="AY39" s="1" t="str">
        <f>IF(OR($B39="",AY$7=""),"",IF($B39="MEANS",INDEX('1-DATA'!$1:$1048576,$A38-1,COLUMN('1-DATA'!AX37)),ROUND(INDEX('1-DATA'!$1:$1048576,IF(OR($B39="STD. DEVIATION",$C$1=1),$A39,$A39+1),COLUMN('1-DATA'!AX37)),IF($B39="STD. DEVIATION",2,$F$1))))</f>
        <v/>
      </c>
      <c r="AZ39" s="1" t="str">
        <f>IF(OR($B39="",AZ$7=""),"",IF($B39="MEANS",INDEX('1-DATA'!$1:$1048576,$A38-1,COLUMN('1-DATA'!AY37)),ROUND(INDEX('1-DATA'!$1:$1048576,IF(OR($B39="STD. DEVIATION",$C$1=1),$A39,$A39+1),COLUMN('1-DATA'!AY37)),IF($B39="STD. DEVIATION",2,$F$1))))</f>
        <v/>
      </c>
    </row>
    <row r="40" spans="1:52" x14ac:dyDescent="0.25">
      <c r="A40" s="11">
        <f t="shared" si="1"/>
        <v>106</v>
      </c>
      <c r="B40" s="1" t="str">
        <f>IF(B39="STD. DEVIATION",INDEX('1-DATA'!$1:$1048576,$A39-1,1),IF(INDEX('1-DATA'!$1:$1048576,$A40,1)&lt;&gt;"",INDEX('1-DATA'!$1:$1048576,$A40,1),""))</f>
        <v/>
      </c>
      <c r="C40" s="1" t="str">
        <f>IF(OR($B40="",C$7=""),"",IF($B40="MEANS",INDEX('1-DATA'!$1:$1048576,$A39-1,COLUMN('1-DATA'!B38)),ROUND(INDEX('1-DATA'!$1:$1048576,IF(OR($B40="STD. DEVIATION",$C$1=1),$A40,$A40+1),COLUMN('1-DATA'!B38)),IF($B40="STD. DEVIATION",2,$F$1))))</f>
        <v/>
      </c>
      <c r="D40" s="1" t="str">
        <f>IF(OR($B40="",D$7=""),"",IF($B40="MEANS",INDEX('1-DATA'!$1:$1048576,$A39-1,COLUMN('1-DATA'!C38)),ROUND(INDEX('1-DATA'!$1:$1048576,IF(OR($B40="STD. DEVIATION",$C$1=1),$A40,$A40+1),COLUMN('1-DATA'!C38)),IF($B40="STD. DEVIATION",2,$F$1))))</f>
        <v/>
      </c>
      <c r="E40" s="1" t="str">
        <f>IF(OR($B40="",E$7=""),"",IF($B40="MEANS",INDEX('1-DATA'!$1:$1048576,$A39-1,COLUMN('1-DATA'!D38)),ROUND(INDEX('1-DATA'!$1:$1048576,IF(OR($B40="STD. DEVIATION",$C$1=1),$A40,$A40+1),COLUMN('1-DATA'!D38)),IF($B40="STD. DEVIATION",2,$F$1))))</f>
        <v/>
      </c>
      <c r="F40" s="1" t="str">
        <f>IF(OR($B40="",F$7=""),"",IF($B40="MEANS",INDEX('1-DATA'!$1:$1048576,$A39-1,COLUMN('1-DATA'!E38)),ROUND(INDEX('1-DATA'!$1:$1048576,IF(OR($B40="STD. DEVIATION",$C$1=1),$A40,$A40+1),COLUMN('1-DATA'!E38)),IF($B40="STD. DEVIATION",2,$F$1))))</f>
        <v/>
      </c>
      <c r="G40" s="1" t="str">
        <f>IF(OR($B40="",G$7=""),"",IF($B40="MEANS",INDEX('1-DATA'!$1:$1048576,$A39-1,COLUMN('1-DATA'!F38)),ROUND(INDEX('1-DATA'!$1:$1048576,IF(OR($B40="STD. DEVIATION",$C$1=1),$A40,$A40+1),COLUMN('1-DATA'!F38)),IF($B40="STD. DEVIATION",2,$F$1))))</f>
        <v/>
      </c>
      <c r="H40" s="1" t="str">
        <f>IF(OR($B40="",H$7=""),"",IF($B40="MEANS",INDEX('1-DATA'!$1:$1048576,$A39-1,COLUMN('1-DATA'!G38)),ROUND(INDEX('1-DATA'!$1:$1048576,IF(OR($B40="STD. DEVIATION",$C$1=1),$A40,$A40+1),COLUMN('1-DATA'!G38)),IF($B40="STD. DEVIATION",2,$F$1))))</f>
        <v/>
      </c>
      <c r="I40" s="1" t="str">
        <f>IF(OR($B40="",I$7=""),"",IF($B40="MEANS",INDEX('1-DATA'!$1:$1048576,$A39-1,COLUMN('1-DATA'!H38)),ROUND(INDEX('1-DATA'!$1:$1048576,IF(OR($B40="STD. DEVIATION",$C$1=1),$A40,$A40+1),COLUMN('1-DATA'!H38)),IF($B40="STD. DEVIATION",2,$F$1))))</f>
        <v/>
      </c>
      <c r="J40" s="1" t="str">
        <f>IF(OR($B40="",J$7=""),"",IF($B40="MEANS",INDEX('1-DATA'!$1:$1048576,$A39-1,COLUMN('1-DATA'!I38)),ROUND(INDEX('1-DATA'!$1:$1048576,IF(OR($B40="STD. DEVIATION",$C$1=1),$A40,$A40+1),COLUMN('1-DATA'!I38)),IF($B40="STD. DEVIATION",2,$F$1))))</f>
        <v/>
      </c>
      <c r="K40" s="1" t="str">
        <f>IF(OR($B40="",K$7=""),"",IF($B40="MEANS",INDEX('1-DATA'!$1:$1048576,$A39-1,COLUMN('1-DATA'!J38)),ROUND(INDEX('1-DATA'!$1:$1048576,IF(OR($B40="STD. DEVIATION",$C$1=1),$A40,$A40+1),COLUMN('1-DATA'!J38)),IF($B40="STD. DEVIATION",2,$F$1))))</f>
        <v/>
      </c>
      <c r="L40" s="1" t="str">
        <f>IF(OR($B40="",L$7=""),"",IF($B40="MEANS",INDEX('1-DATA'!$1:$1048576,$A39-1,COLUMN('1-DATA'!K38)),ROUND(INDEX('1-DATA'!$1:$1048576,IF(OR($B40="STD. DEVIATION",$C$1=1),$A40,$A40+1),COLUMN('1-DATA'!K38)),IF($B40="STD. DEVIATION",2,$F$1))))</f>
        <v/>
      </c>
      <c r="M40" s="1" t="str">
        <f>IF(OR($B40="",M$7=""),"",IF($B40="MEANS",INDEX('1-DATA'!$1:$1048576,$A39-1,COLUMN('1-DATA'!L38)),ROUND(INDEX('1-DATA'!$1:$1048576,IF(OR($B40="STD. DEVIATION",$C$1=1),$A40,$A40+1),COLUMN('1-DATA'!L38)),IF($B40="STD. DEVIATION",2,$F$1))))</f>
        <v/>
      </c>
      <c r="N40" s="1" t="str">
        <f>IF(OR($B40="",N$7=""),"",IF($B40="MEANS",INDEX('1-DATA'!$1:$1048576,$A39-1,COLUMN('1-DATA'!M38)),ROUND(INDEX('1-DATA'!$1:$1048576,IF(OR($B40="STD. DEVIATION",$C$1=1),$A40,$A40+1),COLUMN('1-DATA'!M38)),IF($B40="STD. DEVIATION",2,$F$1))))</f>
        <v/>
      </c>
      <c r="O40" s="1" t="str">
        <f>IF(OR($B40="",O$7=""),"",IF($B40="MEANS",INDEX('1-DATA'!$1:$1048576,$A39-1,COLUMN('1-DATA'!N38)),ROUND(INDEX('1-DATA'!$1:$1048576,IF(OR($B40="STD. DEVIATION",$C$1=1),$A40,$A40+1),COLUMN('1-DATA'!N38)),IF($B40="STD. DEVIATION",2,$F$1))))</f>
        <v/>
      </c>
      <c r="P40" s="1" t="str">
        <f>IF(OR($B40="",P$7=""),"",IF($B40="MEANS",INDEX('1-DATA'!$1:$1048576,$A39-1,COLUMN('1-DATA'!O38)),ROUND(INDEX('1-DATA'!$1:$1048576,IF(OR($B40="STD. DEVIATION",$C$1=1),$A40,$A40+1),COLUMN('1-DATA'!O38)),IF($B40="STD. DEVIATION",2,$F$1))))</f>
        <v/>
      </c>
      <c r="Q40" s="1" t="str">
        <f>IF(OR($B40="",Q$7=""),"",IF($B40="MEANS",INDEX('1-DATA'!$1:$1048576,$A39-1,COLUMN('1-DATA'!P38)),ROUND(INDEX('1-DATA'!$1:$1048576,IF(OR($B40="STD. DEVIATION",$C$1=1),$A40,$A40+1),COLUMN('1-DATA'!P38)),IF($B40="STD. DEVIATION",2,$F$1))))</f>
        <v/>
      </c>
      <c r="R40" s="1" t="str">
        <f>IF(OR($B40="",R$7=""),"",IF($B40="MEANS",INDEX('1-DATA'!$1:$1048576,$A39-1,COLUMN('1-DATA'!Q38)),ROUND(INDEX('1-DATA'!$1:$1048576,IF(OR($B40="STD. DEVIATION",$C$1=1),$A40,$A40+1),COLUMN('1-DATA'!Q38)),IF($B40="STD. DEVIATION",2,$F$1))))</f>
        <v/>
      </c>
      <c r="S40" s="1" t="str">
        <f>IF(OR($B40="",S$7=""),"",IF($B40="MEANS",INDEX('1-DATA'!$1:$1048576,$A39-1,COLUMN('1-DATA'!R38)),ROUND(INDEX('1-DATA'!$1:$1048576,IF(OR($B40="STD. DEVIATION",$C$1=1),$A40,$A40+1),COLUMN('1-DATA'!R38)),IF($B40="STD. DEVIATION",2,$F$1))))</f>
        <v/>
      </c>
      <c r="T40" s="1" t="str">
        <f>IF(OR($B40="",T$7=""),"",IF($B40="MEANS",INDEX('1-DATA'!$1:$1048576,$A39-1,COLUMN('1-DATA'!S38)),ROUND(INDEX('1-DATA'!$1:$1048576,IF(OR($B40="STD. DEVIATION",$C$1=1),$A40,$A40+1),COLUMN('1-DATA'!S38)),IF($B40="STD. DEVIATION",2,$F$1))))</f>
        <v/>
      </c>
      <c r="U40" s="1" t="str">
        <f>IF(OR($B40="",U$7=""),"",IF($B40="MEANS",INDEX('1-DATA'!$1:$1048576,$A39-1,COLUMN('1-DATA'!T38)),ROUND(INDEX('1-DATA'!$1:$1048576,IF(OR($B40="STD. DEVIATION",$C$1=1),$A40,$A40+1),COLUMN('1-DATA'!T38)),IF($B40="STD. DEVIATION",2,$F$1))))</f>
        <v/>
      </c>
      <c r="V40" s="1" t="str">
        <f>IF(OR($B40="",V$7=""),"",IF($B40="MEANS",INDEX('1-DATA'!$1:$1048576,$A39-1,COLUMN('1-DATA'!U38)),ROUND(INDEX('1-DATA'!$1:$1048576,IF(OR($B40="STD. DEVIATION",$C$1=1),$A40,$A40+1),COLUMN('1-DATA'!U38)),IF($B40="STD. DEVIATION",2,$F$1))))</f>
        <v/>
      </c>
      <c r="W40" s="1" t="str">
        <f>IF(OR($B40="",W$7=""),"",IF($B40="MEANS",INDEX('1-DATA'!$1:$1048576,$A39-1,COLUMN('1-DATA'!V38)),ROUND(INDEX('1-DATA'!$1:$1048576,IF(OR($B40="STD. DEVIATION",$C$1=1),$A40,$A40+1),COLUMN('1-DATA'!V38)),IF($B40="STD. DEVIATION",2,$F$1))))</f>
        <v/>
      </c>
      <c r="X40" s="1" t="str">
        <f>IF(OR($B40="",X$7=""),"",IF($B40="MEANS",INDEX('1-DATA'!$1:$1048576,$A39-1,COLUMN('1-DATA'!W38)),ROUND(INDEX('1-DATA'!$1:$1048576,IF(OR($B40="STD. DEVIATION",$C$1=1),$A40,$A40+1),COLUMN('1-DATA'!W38)),IF($B40="STD. DEVIATION",2,$F$1))))</f>
        <v/>
      </c>
      <c r="Y40" s="1" t="str">
        <f>IF(OR($B40="",Y$7=""),"",IF($B40="MEANS",INDEX('1-DATA'!$1:$1048576,$A39-1,COLUMN('1-DATA'!X38)),ROUND(INDEX('1-DATA'!$1:$1048576,IF(OR($B40="STD. DEVIATION",$C$1=1),$A40,$A40+1),COLUMN('1-DATA'!X38)),IF($B40="STD. DEVIATION",2,$F$1))))</f>
        <v/>
      </c>
      <c r="Z40" s="1" t="str">
        <f>IF(OR($B40="",Z$7=""),"",IF($B40="MEANS",INDEX('1-DATA'!$1:$1048576,$A39-1,COLUMN('1-DATA'!Y38)),ROUND(INDEX('1-DATA'!$1:$1048576,IF(OR($B40="STD. DEVIATION",$C$1=1),$A40,$A40+1),COLUMN('1-DATA'!Y38)),IF($B40="STD. DEVIATION",2,$F$1))))</f>
        <v/>
      </c>
      <c r="AA40" s="1" t="str">
        <f>IF(OR($B40="",AA$7=""),"",IF($B40="MEANS",INDEX('1-DATA'!$1:$1048576,$A39-1,COLUMN('1-DATA'!Z38)),ROUND(INDEX('1-DATA'!$1:$1048576,IF(OR($B40="STD. DEVIATION",$C$1=1),$A40,$A40+1),COLUMN('1-DATA'!Z38)),IF($B40="STD. DEVIATION",2,$F$1))))</f>
        <v/>
      </c>
      <c r="AB40" s="1" t="str">
        <f>IF(OR($B40="",AB$7=""),"",IF($B40="MEANS",INDEX('1-DATA'!$1:$1048576,$A39-1,COLUMN('1-DATA'!AA38)),ROUND(INDEX('1-DATA'!$1:$1048576,IF(OR($B40="STD. DEVIATION",$C$1=1),$A40,$A40+1),COLUMN('1-DATA'!AA38)),IF($B40="STD. DEVIATION",2,$F$1))))</f>
        <v/>
      </c>
      <c r="AC40" s="1" t="str">
        <f>IF(OR($B40="",AC$7=""),"",IF($B40="MEANS",INDEX('1-DATA'!$1:$1048576,$A39-1,COLUMN('1-DATA'!AB38)),ROUND(INDEX('1-DATA'!$1:$1048576,IF(OR($B40="STD. DEVIATION",$C$1=1),$A40,$A40+1),COLUMN('1-DATA'!AB38)),IF($B40="STD. DEVIATION",2,$F$1))))</f>
        <v/>
      </c>
      <c r="AD40" s="1" t="str">
        <f>IF(OR($B40="",AD$7=""),"",IF($B40="MEANS",INDEX('1-DATA'!$1:$1048576,$A39-1,COLUMN('1-DATA'!AC38)),ROUND(INDEX('1-DATA'!$1:$1048576,IF(OR($B40="STD. DEVIATION",$C$1=1),$A40,$A40+1),COLUMN('1-DATA'!AC38)),IF($B40="STD. DEVIATION",2,$F$1))))</f>
        <v/>
      </c>
      <c r="AE40" s="1" t="str">
        <f>IF(OR($B40="",AE$7=""),"",IF($B40="MEANS",INDEX('1-DATA'!$1:$1048576,$A39-1,COLUMN('1-DATA'!AD38)),ROUND(INDEX('1-DATA'!$1:$1048576,IF(OR($B40="STD. DEVIATION",$C$1=1),$A40,$A40+1),COLUMN('1-DATA'!AD38)),IF($B40="STD. DEVIATION",2,$F$1))))</f>
        <v/>
      </c>
      <c r="AF40" s="1" t="str">
        <f>IF(OR($B40="",AF$7=""),"",IF($B40="MEANS",INDEX('1-DATA'!$1:$1048576,$A39-1,COLUMN('1-DATA'!AE38)),ROUND(INDEX('1-DATA'!$1:$1048576,IF(OR($B40="STD. DEVIATION",$C$1=1),$A40,$A40+1),COLUMN('1-DATA'!AE38)),IF($B40="STD. DEVIATION",2,$F$1))))</f>
        <v/>
      </c>
      <c r="AG40" s="1" t="str">
        <f>IF(OR($B40="",AG$7=""),"",IF($B40="MEANS",INDEX('1-DATA'!$1:$1048576,$A39-1,COLUMN('1-DATA'!AF38)),ROUND(INDEX('1-DATA'!$1:$1048576,IF(OR($B40="STD. DEVIATION",$C$1=1),$A40,$A40+1),COLUMN('1-DATA'!AF38)),IF($B40="STD. DEVIATION",2,$F$1))))</f>
        <v/>
      </c>
      <c r="AH40" s="1" t="str">
        <f>IF(OR($B40="",AH$7=""),"",IF($B40="MEANS",INDEX('1-DATA'!$1:$1048576,$A39-1,COLUMN('1-DATA'!AG38)),ROUND(INDEX('1-DATA'!$1:$1048576,IF(OR($B40="STD. DEVIATION",$C$1=1),$A40,$A40+1),COLUMN('1-DATA'!AG38)),IF($B40="STD. DEVIATION",2,$F$1))))</f>
        <v/>
      </c>
      <c r="AI40" s="1" t="str">
        <f>IF(OR($B40="",AI$7=""),"",IF($B40="MEANS",INDEX('1-DATA'!$1:$1048576,$A39-1,COLUMN('1-DATA'!AH38)),ROUND(INDEX('1-DATA'!$1:$1048576,IF(OR($B40="STD. DEVIATION",$C$1=1),$A40,$A40+1),COLUMN('1-DATA'!AH38)),IF($B40="STD. DEVIATION",2,$F$1))))</f>
        <v/>
      </c>
      <c r="AJ40" s="1" t="str">
        <f>IF(OR($B40="",AJ$7=""),"",IF($B40="MEANS",INDEX('1-DATA'!$1:$1048576,$A39-1,COLUMN('1-DATA'!AI38)),ROUND(INDEX('1-DATA'!$1:$1048576,IF(OR($B40="STD. DEVIATION",$C$1=1),$A40,$A40+1),COLUMN('1-DATA'!AI38)),IF($B40="STD. DEVIATION",2,$F$1))))</f>
        <v/>
      </c>
      <c r="AK40" s="1" t="str">
        <f>IF(OR($B40="",AK$7=""),"",IF($B40="MEANS",INDEX('1-DATA'!$1:$1048576,$A39-1,COLUMN('1-DATA'!AJ38)),ROUND(INDEX('1-DATA'!$1:$1048576,IF(OR($B40="STD. DEVIATION",$C$1=1),$A40,$A40+1),COLUMN('1-DATA'!AJ38)),IF($B40="STD. DEVIATION",2,$F$1))))</f>
        <v/>
      </c>
      <c r="AL40" s="1" t="str">
        <f>IF(OR($B40="",AL$7=""),"",IF($B40="MEANS",INDEX('1-DATA'!$1:$1048576,$A39-1,COLUMN('1-DATA'!AK38)),ROUND(INDEX('1-DATA'!$1:$1048576,IF(OR($B40="STD. DEVIATION",$C$1=1),$A40,$A40+1),COLUMN('1-DATA'!AK38)),IF($B40="STD. DEVIATION",2,$F$1))))</f>
        <v/>
      </c>
      <c r="AM40" s="1" t="str">
        <f>IF(OR($B40="",AM$7=""),"",IF($B40="MEANS",INDEX('1-DATA'!$1:$1048576,$A39-1,COLUMN('1-DATA'!AL38)),ROUND(INDEX('1-DATA'!$1:$1048576,IF(OR($B40="STD. DEVIATION",$C$1=1),$A40,$A40+1),COLUMN('1-DATA'!AL38)),IF($B40="STD. DEVIATION",2,$F$1))))</f>
        <v/>
      </c>
      <c r="AN40" s="1" t="str">
        <f>IF(OR($B40="",AN$7=""),"",IF($B40="MEANS",INDEX('1-DATA'!$1:$1048576,$A39-1,COLUMN('1-DATA'!AM38)),ROUND(INDEX('1-DATA'!$1:$1048576,IF(OR($B40="STD. DEVIATION",$C$1=1),$A40,$A40+1),COLUMN('1-DATA'!AM38)),IF($B40="STD. DEVIATION",2,$F$1))))</f>
        <v/>
      </c>
      <c r="AO40" s="1" t="str">
        <f>IF(OR($B40="",AO$7=""),"",IF($B40="MEANS",INDEX('1-DATA'!$1:$1048576,$A39-1,COLUMN('1-DATA'!AN38)),ROUND(INDEX('1-DATA'!$1:$1048576,IF(OR($B40="STD. DEVIATION",$C$1=1),$A40,$A40+1),COLUMN('1-DATA'!AN38)),IF($B40="STD. DEVIATION",2,$F$1))))</f>
        <v/>
      </c>
      <c r="AP40" s="1" t="str">
        <f>IF(OR($B40="",AP$7=""),"",IF($B40="MEANS",INDEX('1-DATA'!$1:$1048576,$A39-1,COLUMN('1-DATA'!AO38)),ROUND(INDEX('1-DATA'!$1:$1048576,IF(OR($B40="STD. DEVIATION",$C$1=1),$A40,$A40+1),COLUMN('1-DATA'!AO38)),IF($B40="STD. DEVIATION",2,$F$1))))</f>
        <v/>
      </c>
      <c r="AQ40" s="1" t="str">
        <f>IF(OR($B40="",AQ$7=""),"",IF($B40="MEANS",INDEX('1-DATA'!$1:$1048576,$A39-1,COLUMN('1-DATA'!AP38)),ROUND(INDEX('1-DATA'!$1:$1048576,IF(OR($B40="STD. DEVIATION",$C$1=1),$A40,$A40+1),COLUMN('1-DATA'!AP38)),IF($B40="STD. DEVIATION",2,$F$1))))</f>
        <v/>
      </c>
      <c r="AR40" s="1" t="str">
        <f>IF(OR($B40="",AR$7=""),"",IF($B40="MEANS",INDEX('1-DATA'!$1:$1048576,$A39-1,COLUMN('1-DATA'!AQ38)),ROUND(INDEX('1-DATA'!$1:$1048576,IF(OR($B40="STD. DEVIATION",$C$1=1),$A40,$A40+1),COLUMN('1-DATA'!AQ38)),IF($B40="STD. DEVIATION",2,$F$1))))</f>
        <v/>
      </c>
      <c r="AS40" s="1" t="str">
        <f>IF(OR($B40="",AS$7=""),"",IF($B40="MEANS",INDEX('1-DATA'!$1:$1048576,$A39-1,COLUMN('1-DATA'!AR38)),ROUND(INDEX('1-DATA'!$1:$1048576,IF(OR($B40="STD. DEVIATION",$C$1=1),$A40,$A40+1),COLUMN('1-DATA'!AR38)),IF($B40="STD. DEVIATION",2,$F$1))))</f>
        <v/>
      </c>
      <c r="AT40" s="1" t="str">
        <f>IF(OR($B40="",AT$7=""),"",IF($B40="MEANS",INDEX('1-DATA'!$1:$1048576,$A39-1,COLUMN('1-DATA'!AS38)),ROUND(INDEX('1-DATA'!$1:$1048576,IF(OR($B40="STD. DEVIATION",$C$1=1),$A40,$A40+1),COLUMN('1-DATA'!AS38)),IF($B40="STD. DEVIATION",2,$F$1))))</f>
        <v/>
      </c>
      <c r="AU40" s="1" t="str">
        <f>IF(OR($B40="",AU$7=""),"",IF($B40="MEANS",INDEX('1-DATA'!$1:$1048576,$A39-1,COLUMN('1-DATA'!AT38)),ROUND(INDEX('1-DATA'!$1:$1048576,IF(OR($B40="STD. DEVIATION",$C$1=1),$A40,$A40+1),COLUMN('1-DATA'!AT38)),IF($B40="STD. DEVIATION",2,$F$1))))</f>
        <v/>
      </c>
      <c r="AV40" s="1" t="str">
        <f>IF(OR($B40="",AV$7=""),"",IF($B40="MEANS",INDEX('1-DATA'!$1:$1048576,$A39-1,COLUMN('1-DATA'!AU38)),ROUND(INDEX('1-DATA'!$1:$1048576,IF(OR($B40="STD. DEVIATION",$C$1=1),$A40,$A40+1),COLUMN('1-DATA'!AU38)),IF($B40="STD. DEVIATION",2,$F$1))))</f>
        <v/>
      </c>
      <c r="AW40" s="1" t="str">
        <f>IF(OR($B40="",AW$7=""),"",IF($B40="MEANS",INDEX('1-DATA'!$1:$1048576,$A39-1,COLUMN('1-DATA'!AV38)),ROUND(INDEX('1-DATA'!$1:$1048576,IF(OR($B40="STD. DEVIATION",$C$1=1),$A40,$A40+1),COLUMN('1-DATA'!AV38)),IF($B40="STD. DEVIATION",2,$F$1))))</f>
        <v/>
      </c>
      <c r="AX40" s="1" t="str">
        <f>IF(OR($B40="",AX$7=""),"",IF($B40="MEANS",INDEX('1-DATA'!$1:$1048576,$A39-1,COLUMN('1-DATA'!AW38)),ROUND(INDEX('1-DATA'!$1:$1048576,IF(OR($B40="STD. DEVIATION",$C$1=1),$A40,$A40+1),COLUMN('1-DATA'!AW38)),IF($B40="STD. DEVIATION",2,$F$1))))</f>
        <v/>
      </c>
      <c r="AY40" s="1" t="str">
        <f>IF(OR($B40="",AY$7=""),"",IF($B40="MEANS",INDEX('1-DATA'!$1:$1048576,$A39-1,COLUMN('1-DATA'!AX38)),ROUND(INDEX('1-DATA'!$1:$1048576,IF(OR($B40="STD. DEVIATION",$C$1=1),$A40,$A40+1),COLUMN('1-DATA'!AX38)),IF($B40="STD. DEVIATION",2,$F$1))))</f>
        <v/>
      </c>
      <c r="AZ40" s="1" t="str">
        <f>IF(OR($B40="",AZ$7=""),"",IF($B40="MEANS",INDEX('1-DATA'!$1:$1048576,$A39-1,COLUMN('1-DATA'!AY38)),ROUND(INDEX('1-DATA'!$1:$1048576,IF(OR($B40="STD. DEVIATION",$C$1=1),$A40,$A40+1),COLUMN('1-DATA'!AY38)),IF($B40="STD. DEVIATION",2,$F$1))))</f>
        <v/>
      </c>
    </row>
    <row r="41" spans="1:52" x14ac:dyDescent="0.25">
      <c r="A41" s="11">
        <f t="shared" si="1"/>
        <v>109</v>
      </c>
      <c r="B41" s="1" t="str">
        <f>IF(B40="STD. DEVIATION",INDEX('1-DATA'!$1:$1048576,$A40-1,1),IF(INDEX('1-DATA'!$1:$1048576,$A41,1)&lt;&gt;"",INDEX('1-DATA'!$1:$1048576,$A41,1),""))</f>
        <v/>
      </c>
      <c r="C41" s="1" t="str">
        <f>IF(OR($B41="",C$7=""),"",IF($B41="MEANS",INDEX('1-DATA'!$1:$1048576,$A40-1,COLUMN('1-DATA'!B39)),ROUND(INDEX('1-DATA'!$1:$1048576,IF(OR($B41="STD. DEVIATION",$C$1=1),$A41,$A41+1),COLUMN('1-DATA'!B39)),IF($B41="STD. DEVIATION",2,$F$1))))</f>
        <v/>
      </c>
      <c r="D41" s="1" t="str">
        <f>IF(OR($B41="",D$7=""),"",IF($B41="MEANS",INDEX('1-DATA'!$1:$1048576,$A40-1,COLUMN('1-DATA'!C39)),ROUND(INDEX('1-DATA'!$1:$1048576,IF(OR($B41="STD. DEVIATION",$C$1=1),$A41,$A41+1),COLUMN('1-DATA'!C39)),IF($B41="STD. DEVIATION",2,$F$1))))</f>
        <v/>
      </c>
      <c r="E41" s="1" t="str">
        <f>IF(OR($B41="",E$7=""),"",IF($B41="MEANS",INDEX('1-DATA'!$1:$1048576,$A40-1,COLUMN('1-DATA'!D39)),ROUND(INDEX('1-DATA'!$1:$1048576,IF(OR($B41="STD. DEVIATION",$C$1=1),$A41,$A41+1),COLUMN('1-DATA'!D39)),IF($B41="STD. DEVIATION",2,$F$1))))</f>
        <v/>
      </c>
      <c r="F41" s="1" t="str">
        <f>IF(OR($B41="",F$7=""),"",IF($B41="MEANS",INDEX('1-DATA'!$1:$1048576,$A40-1,COLUMN('1-DATA'!E39)),ROUND(INDEX('1-DATA'!$1:$1048576,IF(OR($B41="STD. DEVIATION",$C$1=1),$A41,$A41+1),COLUMN('1-DATA'!E39)),IF($B41="STD. DEVIATION",2,$F$1))))</f>
        <v/>
      </c>
      <c r="G41" s="1" t="str">
        <f>IF(OR($B41="",G$7=""),"",IF($B41="MEANS",INDEX('1-DATA'!$1:$1048576,$A40-1,COLUMN('1-DATA'!F39)),ROUND(INDEX('1-DATA'!$1:$1048576,IF(OR($B41="STD. DEVIATION",$C$1=1),$A41,$A41+1),COLUMN('1-DATA'!F39)),IF($B41="STD. DEVIATION",2,$F$1))))</f>
        <v/>
      </c>
      <c r="H41" s="1" t="str">
        <f>IF(OR($B41="",H$7=""),"",IF($B41="MEANS",INDEX('1-DATA'!$1:$1048576,$A40-1,COLUMN('1-DATA'!G39)),ROUND(INDEX('1-DATA'!$1:$1048576,IF(OR($B41="STD. DEVIATION",$C$1=1),$A41,$A41+1),COLUMN('1-DATA'!G39)),IF($B41="STD. DEVIATION",2,$F$1))))</f>
        <v/>
      </c>
      <c r="I41" s="1" t="str">
        <f>IF(OR($B41="",I$7=""),"",IF($B41="MEANS",INDEX('1-DATA'!$1:$1048576,$A40-1,COLUMN('1-DATA'!H39)),ROUND(INDEX('1-DATA'!$1:$1048576,IF(OR($B41="STD. DEVIATION",$C$1=1),$A41,$A41+1),COLUMN('1-DATA'!H39)),IF($B41="STD. DEVIATION",2,$F$1))))</f>
        <v/>
      </c>
      <c r="J41" s="1" t="str">
        <f>IF(OR($B41="",J$7=""),"",IF($B41="MEANS",INDEX('1-DATA'!$1:$1048576,$A40-1,COLUMN('1-DATA'!I39)),ROUND(INDEX('1-DATA'!$1:$1048576,IF(OR($B41="STD. DEVIATION",$C$1=1),$A41,$A41+1),COLUMN('1-DATA'!I39)),IF($B41="STD. DEVIATION",2,$F$1))))</f>
        <v/>
      </c>
      <c r="K41" s="1" t="str">
        <f>IF(OR($B41="",K$7=""),"",IF($B41="MEANS",INDEX('1-DATA'!$1:$1048576,$A40-1,COLUMN('1-DATA'!J39)),ROUND(INDEX('1-DATA'!$1:$1048576,IF(OR($B41="STD. DEVIATION",$C$1=1),$A41,$A41+1),COLUMN('1-DATA'!J39)),IF($B41="STD. DEVIATION",2,$F$1))))</f>
        <v/>
      </c>
      <c r="L41" s="1" t="str">
        <f>IF(OR($B41="",L$7=""),"",IF($B41="MEANS",INDEX('1-DATA'!$1:$1048576,$A40-1,COLUMN('1-DATA'!K39)),ROUND(INDEX('1-DATA'!$1:$1048576,IF(OR($B41="STD. DEVIATION",$C$1=1),$A41,$A41+1),COLUMN('1-DATA'!K39)),IF($B41="STD. DEVIATION",2,$F$1))))</f>
        <v/>
      </c>
      <c r="M41" s="1" t="str">
        <f>IF(OR($B41="",M$7=""),"",IF($B41="MEANS",INDEX('1-DATA'!$1:$1048576,$A40-1,COLUMN('1-DATA'!L39)),ROUND(INDEX('1-DATA'!$1:$1048576,IF(OR($B41="STD. DEVIATION",$C$1=1),$A41,$A41+1),COLUMN('1-DATA'!L39)),IF($B41="STD. DEVIATION",2,$F$1))))</f>
        <v/>
      </c>
      <c r="N41" s="1" t="str">
        <f>IF(OR($B41="",N$7=""),"",IF($B41="MEANS",INDEX('1-DATA'!$1:$1048576,$A40-1,COLUMN('1-DATA'!M39)),ROUND(INDEX('1-DATA'!$1:$1048576,IF(OR($B41="STD. DEVIATION",$C$1=1),$A41,$A41+1),COLUMN('1-DATA'!M39)),IF($B41="STD. DEVIATION",2,$F$1))))</f>
        <v/>
      </c>
      <c r="O41" s="1" t="str">
        <f>IF(OR($B41="",O$7=""),"",IF($B41="MEANS",INDEX('1-DATA'!$1:$1048576,$A40-1,COLUMN('1-DATA'!N39)),ROUND(INDEX('1-DATA'!$1:$1048576,IF(OR($B41="STD. DEVIATION",$C$1=1),$A41,$A41+1),COLUMN('1-DATA'!N39)),IF($B41="STD. DEVIATION",2,$F$1))))</f>
        <v/>
      </c>
      <c r="P41" s="1" t="str">
        <f>IF(OR($B41="",P$7=""),"",IF($B41="MEANS",INDEX('1-DATA'!$1:$1048576,$A40-1,COLUMN('1-DATA'!O39)),ROUND(INDEX('1-DATA'!$1:$1048576,IF(OR($B41="STD. DEVIATION",$C$1=1),$A41,$A41+1),COLUMN('1-DATA'!O39)),IF($B41="STD. DEVIATION",2,$F$1))))</f>
        <v/>
      </c>
      <c r="Q41" s="1" t="str">
        <f>IF(OR($B41="",Q$7=""),"",IF($B41="MEANS",INDEX('1-DATA'!$1:$1048576,$A40-1,COLUMN('1-DATA'!P39)),ROUND(INDEX('1-DATA'!$1:$1048576,IF(OR($B41="STD. DEVIATION",$C$1=1),$A41,$A41+1),COLUMN('1-DATA'!P39)),IF($B41="STD. DEVIATION",2,$F$1))))</f>
        <v/>
      </c>
      <c r="R41" s="1" t="str">
        <f>IF(OR($B41="",R$7=""),"",IF($B41="MEANS",INDEX('1-DATA'!$1:$1048576,$A40-1,COLUMN('1-DATA'!Q39)),ROUND(INDEX('1-DATA'!$1:$1048576,IF(OR($B41="STD. DEVIATION",$C$1=1),$A41,$A41+1),COLUMN('1-DATA'!Q39)),IF($B41="STD. DEVIATION",2,$F$1))))</f>
        <v/>
      </c>
      <c r="S41" s="1" t="str">
        <f>IF(OR($B41="",S$7=""),"",IF($B41="MEANS",INDEX('1-DATA'!$1:$1048576,$A40-1,COLUMN('1-DATA'!R39)),ROUND(INDEX('1-DATA'!$1:$1048576,IF(OR($B41="STD. DEVIATION",$C$1=1),$A41,$A41+1),COLUMN('1-DATA'!R39)),IF($B41="STD. DEVIATION",2,$F$1))))</f>
        <v/>
      </c>
      <c r="T41" s="1" t="str">
        <f>IF(OR($B41="",T$7=""),"",IF($B41="MEANS",INDEX('1-DATA'!$1:$1048576,$A40-1,COLUMN('1-DATA'!S39)),ROUND(INDEX('1-DATA'!$1:$1048576,IF(OR($B41="STD. DEVIATION",$C$1=1),$A41,$A41+1),COLUMN('1-DATA'!S39)),IF($B41="STD. DEVIATION",2,$F$1))))</f>
        <v/>
      </c>
      <c r="U41" s="1" t="str">
        <f>IF(OR($B41="",U$7=""),"",IF($B41="MEANS",INDEX('1-DATA'!$1:$1048576,$A40-1,COLUMN('1-DATA'!T39)),ROUND(INDEX('1-DATA'!$1:$1048576,IF(OR($B41="STD. DEVIATION",$C$1=1),$A41,$A41+1),COLUMN('1-DATA'!T39)),IF($B41="STD. DEVIATION",2,$F$1))))</f>
        <v/>
      </c>
      <c r="V41" s="1" t="str">
        <f>IF(OR($B41="",V$7=""),"",IF($B41="MEANS",INDEX('1-DATA'!$1:$1048576,$A40-1,COLUMN('1-DATA'!U39)),ROUND(INDEX('1-DATA'!$1:$1048576,IF(OR($B41="STD. DEVIATION",$C$1=1),$A41,$A41+1),COLUMN('1-DATA'!U39)),IF($B41="STD. DEVIATION",2,$F$1))))</f>
        <v/>
      </c>
      <c r="W41" s="1" t="str">
        <f>IF(OR($B41="",W$7=""),"",IF($B41="MEANS",INDEX('1-DATA'!$1:$1048576,$A40-1,COLUMN('1-DATA'!V39)),ROUND(INDEX('1-DATA'!$1:$1048576,IF(OR($B41="STD. DEVIATION",$C$1=1),$A41,$A41+1),COLUMN('1-DATA'!V39)),IF($B41="STD. DEVIATION",2,$F$1))))</f>
        <v/>
      </c>
      <c r="X41" s="1" t="str">
        <f>IF(OR($B41="",X$7=""),"",IF($B41="MEANS",INDEX('1-DATA'!$1:$1048576,$A40-1,COLUMN('1-DATA'!W39)),ROUND(INDEX('1-DATA'!$1:$1048576,IF(OR($B41="STD. DEVIATION",$C$1=1),$A41,$A41+1),COLUMN('1-DATA'!W39)),IF($B41="STD. DEVIATION",2,$F$1))))</f>
        <v/>
      </c>
      <c r="Y41" s="1" t="str">
        <f>IF(OR($B41="",Y$7=""),"",IF($B41="MEANS",INDEX('1-DATA'!$1:$1048576,$A40-1,COLUMN('1-DATA'!X39)),ROUND(INDEX('1-DATA'!$1:$1048576,IF(OR($B41="STD. DEVIATION",$C$1=1),$A41,$A41+1),COLUMN('1-DATA'!X39)),IF($B41="STD. DEVIATION",2,$F$1))))</f>
        <v/>
      </c>
      <c r="Z41" s="1" t="str">
        <f>IF(OR($B41="",Z$7=""),"",IF($B41="MEANS",INDEX('1-DATA'!$1:$1048576,$A40-1,COLUMN('1-DATA'!Y39)),ROUND(INDEX('1-DATA'!$1:$1048576,IF(OR($B41="STD. DEVIATION",$C$1=1),$A41,$A41+1),COLUMN('1-DATA'!Y39)),IF($B41="STD. DEVIATION",2,$F$1))))</f>
        <v/>
      </c>
      <c r="AA41" s="1" t="str">
        <f>IF(OR($B41="",AA$7=""),"",IF($B41="MEANS",INDEX('1-DATA'!$1:$1048576,$A40-1,COLUMN('1-DATA'!Z39)),ROUND(INDEX('1-DATA'!$1:$1048576,IF(OR($B41="STD. DEVIATION",$C$1=1),$A41,$A41+1),COLUMN('1-DATA'!Z39)),IF($B41="STD. DEVIATION",2,$F$1))))</f>
        <v/>
      </c>
      <c r="AB41" s="1" t="str">
        <f>IF(OR($B41="",AB$7=""),"",IF($B41="MEANS",INDEX('1-DATA'!$1:$1048576,$A40-1,COLUMN('1-DATA'!AA39)),ROUND(INDEX('1-DATA'!$1:$1048576,IF(OR($B41="STD. DEVIATION",$C$1=1),$A41,$A41+1),COLUMN('1-DATA'!AA39)),IF($B41="STD. DEVIATION",2,$F$1))))</f>
        <v/>
      </c>
      <c r="AC41" s="1" t="str">
        <f>IF(OR($B41="",AC$7=""),"",IF($B41="MEANS",INDEX('1-DATA'!$1:$1048576,$A40-1,COLUMN('1-DATA'!AB39)),ROUND(INDEX('1-DATA'!$1:$1048576,IF(OR($B41="STD. DEVIATION",$C$1=1),$A41,$A41+1),COLUMN('1-DATA'!AB39)),IF($B41="STD. DEVIATION",2,$F$1))))</f>
        <v/>
      </c>
      <c r="AD41" s="1" t="str">
        <f>IF(OR($B41="",AD$7=""),"",IF($B41="MEANS",INDEX('1-DATA'!$1:$1048576,$A40-1,COLUMN('1-DATA'!AC39)),ROUND(INDEX('1-DATA'!$1:$1048576,IF(OR($B41="STD. DEVIATION",$C$1=1),$A41,$A41+1),COLUMN('1-DATA'!AC39)),IF($B41="STD. DEVIATION",2,$F$1))))</f>
        <v/>
      </c>
      <c r="AE41" s="1" t="str">
        <f>IF(OR($B41="",AE$7=""),"",IF($B41="MEANS",INDEX('1-DATA'!$1:$1048576,$A40-1,COLUMN('1-DATA'!AD39)),ROUND(INDEX('1-DATA'!$1:$1048576,IF(OR($B41="STD. DEVIATION",$C$1=1),$A41,$A41+1),COLUMN('1-DATA'!AD39)),IF($B41="STD. DEVIATION",2,$F$1))))</f>
        <v/>
      </c>
      <c r="AF41" s="1" t="str">
        <f>IF(OR($B41="",AF$7=""),"",IF($B41="MEANS",INDEX('1-DATA'!$1:$1048576,$A40-1,COLUMN('1-DATA'!AE39)),ROUND(INDEX('1-DATA'!$1:$1048576,IF(OR($B41="STD. DEVIATION",$C$1=1),$A41,$A41+1),COLUMN('1-DATA'!AE39)),IF($B41="STD. DEVIATION",2,$F$1))))</f>
        <v/>
      </c>
      <c r="AG41" s="1" t="str">
        <f>IF(OR($B41="",AG$7=""),"",IF($B41="MEANS",INDEX('1-DATA'!$1:$1048576,$A40-1,COLUMN('1-DATA'!AF39)),ROUND(INDEX('1-DATA'!$1:$1048576,IF(OR($B41="STD. DEVIATION",$C$1=1),$A41,$A41+1),COLUMN('1-DATA'!AF39)),IF($B41="STD. DEVIATION",2,$F$1))))</f>
        <v/>
      </c>
      <c r="AH41" s="1" t="str">
        <f>IF(OR($B41="",AH$7=""),"",IF($B41="MEANS",INDEX('1-DATA'!$1:$1048576,$A40-1,COLUMN('1-DATA'!AG39)),ROUND(INDEX('1-DATA'!$1:$1048576,IF(OR($B41="STD. DEVIATION",$C$1=1),$A41,$A41+1),COLUMN('1-DATA'!AG39)),IF($B41="STD. DEVIATION",2,$F$1))))</f>
        <v/>
      </c>
      <c r="AI41" s="1" t="str">
        <f>IF(OR($B41="",AI$7=""),"",IF($B41="MEANS",INDEX('1-DATA'!$1:$1048576,$A40-1,COLUMN('1-DATA'!AH39)),ROUND(INDEX('1-DATA'!$1:$1048576,IF(OR($B41="STD. DEVIATION",$C$1=1),$A41,$A41+1),COLUMN('1-DATA'!AH39)),IF($B41="STD. DEVIATION",2,$F$1))))</f>
        <v/>
      </c>
      <c r="AJ41" s="1" t="str">
        <f>IF(OR($B41="",AJ$7=""),"",IF($B41="MEANS",INDEX('1-DATA'!$1:$1048576,$A40-1,COLUMN('1-DATA'!AI39)),ROUND(INDEX('1-DATA'!$1:$1048576,IF(OR($B41="STD. DEVIATION",$C$1=1),$A41,$A41+1),COLUMN('1-DATA'!AI39)),IF($B41="STD. DEVIATION",2,$F$1))))</f>
        <v/>
      </c>
      <c r="AK41" s="1" t="str">
        <f>IF(OR($B41="",AK$7=""),"",IF($B41="MEANS",INDEX('1-DATA'!$1:$1048576,$A40-1,COLUMN('1-DATA'!AJ39)),ROUND(INDEX('1-DATA'!$1:$1048576,IF(OR($B41="STD. DEVIATION",$C$1=1),$A41,$A41+1),COLUMN('1-DATA'!AJ39)),IF($B41="STD. DEVIATION",2,$F$1))))</f>
        <v/>
      </c>
      <c r="AL41" s="1" t="str">
        <f>IF(OR($B41="",AL$7=""),"",IF($B41="MEANS",INDEX('1-DATA'!$1:$1048576,$A40-1,COLUMN('1-DATA'!AK39)),ROUND(INDEX('1-DATA'!$1:$1048576,IF(OR($B41="STD. DEVIATION",$C$1=1),$A41,$A41+1),COLUMN('1-DATA'!AK39)),IF($B41="STD. DEVIATION",2,$F$1))))</f>
        <v/>
      </c>
      <c r="AM41" s="1" t="str">
        <f>IF(OR($B41="",AM$7=""),"",IF($B41="MEANS",INDEX('1-DATA'!$1:$1048576,$A40-1,COLUMN('1-DATA'!AL39)),ROUND(INDEX('1-DATA'!$1:$1048576,IF(OR($B41="STD. DEVIATION",$C$1=1),$A41,$A41+1),COLUMN('1-DATA'!AL39)),IF($B41="STD. DEVIATION",2,$F$1))))</f>
        <v/>
      </c>
      <c r="AN41" s="1" t="str">
        <f>IF(OR($B41="",AN$7=""),"",IF($B41="MEANS",INDEX('1-DATA'!$1:$1048576,$A40-1,COLUMN('1-DATA'!AM39)),ROUND(INDEX('1-DATA'!$1:$1048576,IF(OR($B41="STD. DEVIATION",$C$1=1),$A41,$A41+1),COLUMN('1-DATA'!AM39)),IF($B41="STD. DEVIATION",2,$F$1))))</f>
        <v/>
      </c>
      <c r="AO41" s="1" t="str">
        <f>IF(OR($B41="",AO$7=""),"",IF($B41="MEANS",INDEX('1-DATA'!$1:$1048576,$A40-1,COLUMN('1-DATA'!AN39)),ROUND(INDEX('1-DATA'!$1:$1048576,IF(OR($B41="STD. DEVIATION",$C$1=1),$A41,$A41+1),COLUMN('1-DATA'!AN39)),IF($B41="STD. DEVIATION",2,$F$1))))</f>
        <v/>
      </c>
      <c r="AP41" s="1" t="str">
        <f>IF(OR($B41="",AP$7=""),"",IF($B41="MEANS",INDEX('1-DATA'!$1:$1048576,$A40-1,COLUMN('1-DATA'!AO39)),ROUND(INDEX('1-DATA'!$1:$1048576,IF(OR($B41="STD. DEVIATION",$C$1=1),$A41,$A41+1),COLUMN('1-DATA'!AO39)),IF($B41="STD. DEVIATION",2,$F$1))))</f>
        <v/>
      </c>
      <c r="AQ41" s="1" t="str">
        <f>IF(OR($B41="",AQ$7=""),"",IF($B41="MEANS",INDEX('1-DATA'!$1:$1048576,$A40-1,COLUMN('1-DATA'!AP39)),ROUND(INDEX('1-DATA'!$1:$1048576,IF(OR($B41="STD. DEVIATION",$C$1=1),$A41,$A41+1),COLUMN('1-DATA'!AP39)),IF($B41="STD. DEVIATION",2,$F$1))))</f>
        <v/>
      </c>
      <c r="AR41" s="1" t="str">
        <f>IF(OR($B41="",AR$7=""),"",IF($B41="MEANS",INDEX('1-DATA'!$1:$1048576,$A40-1,COLUMN('1-DATA'!AQ39)),ROUND(INDEX('1-DATA'!$1:$1048576,IF(OR($B41="STD. DEVIATION",$C$1=1),$A41,$A41+1),COLUMN('1-DATA'!AQ39)),IF($B41="STD. DEVIATION",2,$F$1))))</f>
        <v/>
      </c>
      <c r="AS41" s="1" t="str">
        <f>IF(OR($B41="",AS$7=""),"",IF($B41="MEANS",INDEX('1-DATA'!$1:$1048576,$A40-1,COLUMN('1-DATA'!AR39)),ROUND(INDEX('1-DATA'!$1:$1048576,IF(OR($B41="STD. DEVIATION",$C$1=1),$A41,$A41+1),COLUMN('1-DATA'!AR39)),IF($B41="STD. DEVIATION",2,$F$1))))</f>
        <v/>
      </c>
      <c r="AT41" s="1" t="str">
        <f>IF(OR($B41="",AT$7=""),"",IF($B41="MEANS",INDEX('1-DATA'!$1:$1048576,$A40-1,COLUMN('1-DATA'!AS39)),ROUND(INDEX('1-DATA'!$1:$1048576,IF(OR($B41="STD. DEVIATION",$C$1=1),$A41,$A41+1),COLUMN('1-DATA'!AS39)),IF($B41="STD. DEVIATION",2,$F$1))))</f>
        <v/>
      </c>
      <c r="AU41" s="1" t="str">
        <f>IF(OR($B41="",AU$7=""),"",IF($B41="MEANS",INDEX('1-DATA'!$1:$1048576,$A40-1,COLUMN('1-DATA'!AT39)),ROUND(INDEX('1-DATA'!$1:$1048576,IF(OR($B41="STD. DEVIATION",$C$1=1),$A41,$A41+1),COLUMN('1-DATA'!AT39)),IF($B41="STD. DEVIATION",2,$F$1))))</f>
        <v/>
      </c>
      <c r="AV41" s="1" t="str">
        <f>IF(OR($B41="",AV$7=""),"",IF($B41="MEANS",INDEX('1-DATA'!$1:$1048576,$A40-1,COLUMN('1-DATA'!AU39)),ROUND(INDEX('1-DATA'!$1:$1048576,IF(OR($B41="STD. DEVIATION",$C$1=1),$A41,$A41+1),COLUMN('1-DATA'!AU39)),IF($B41="STD. DEVIATION",2,$F$1))))</f>
        <v/>
      </c>
      <c r="AW41" s="1" t="str">
        <f>IF(OR($B41="",AW$7=""),"",IF($B41="MEANS",INDEX('1-DATA'!$1:$1048576,$A40-1,COLUMN('1-DATA'!AV39)),ROUND(INDEX('1-DATA'!$1:$1048576,IF(OR($B41="STD. DEVIATION",$C$1=1),$A41,$A41+1),COLUMN('1-DATA'!AV39)),IF($B41="STD. DEVIATION",2,$F$1))))</f>
        <v/>
      </c>
      <c r="AX41" s="1" t="str">
        <f>IF(OR($B41="",AX$7=""),"",IF($B41="MEANS",INDEX('1-DATA'!$1:$1048576,$A40-1,COLUMN('1-DATA'!AW39)),ROUND(INDEX('1-DATA'!$1:$1048576,IF(OR($B41="STD. DEVIATION",$C$1=1),$A41,$A41+1),COLUMN('1-DATA'!AW39)),IF($B41="STD. DEVIATION",2,$F$1))))</f>
        <v/>
      </c>
      <c r="AY41" s="1" t="str">
        <f>IF(OR($B41="",AY$7=""),"",IF($B41="MEANS",INDEX('1-DATA'!$1:$1048576,$A40-1,COLUMN('1-DATA'!AX39)),ROUND(INDEX('1-DATA'!$1:$1048576,IF(OR($B41="STD. DEVIATION",$C$1=1),$A41,$A41+1),COLUMN('1-DATA'!AX39)),IF($B41="STD. DEVIATION",2,$F$1))))</f>
        <v/>
      </c>
      <c r="AZ41" s="1" t="str">
        <f>IF(OR($B41="",AZ$7=""),"",IF($B41="MEANS",INDEX('1-DATA'!$1:$1048576,$A40-1,COLUMN('1-DATA'!AY39)),ROUND(INDEX('1-DATA'!$1:$1048576,IF(OR($B41="STD. DEVIATION",$C$1=1),$A41,$A41+1),COLUMN('1-DATA'!AY39)),IF($B41="STD. DEVIATION",2,$F$1))))</f>
        <v/>
      </c>
    </row>
    <row r="42" spans="1:52" x14ac:dyDescent="0.25">
      <c r="A42" s="11">
        <f t="shared" si="1"/>
        <v>112</v>
      </c>
      <c r="B42" s="1" t="str">
        <f>IF(B41="STD. DEVIATION",INDEX('1-DATA'!$1:$1048576,$A41-1,1),IF(INDEX('1-DATA'!$1:$1048576,$A42,1)&lt;&gt;"",INDEX('1-DATA'!$1:$1048576,$A42,1),""))</f>
        <v/>
      </c>
      <c r="C42" s="1" t="str">
        <f>IF(OR($B42="",C$7=""),"",IF($B42="MEANS",INDEX('1-DATA'!$1:$1048576,$A41-1,COLUMN('1-DATA'!B40)),ROUND(INDEX('1-DATA'!$1:$1048576,IF(OR($B42="STD. DEVIATION",$C$1=1),$A42,$A42+1),COLUMN('1-DATA'!B40)),IF($B42="STD. DEVIATION",2,$F$1))))</f>
        <v/>
      </c>
      <c r="D42" s="1" t="str">
        <f>IF(OR($B42="",D$7=""),"",IF($B42="MEANS",INDEX('1-DATA'!$1:$1048576,$A41-1,COLUMN('1-DATA'!C40)),ROUND(INDEX('1-DATA'!$1:$1048576,IF(OR($B42="STD. DEVIATION",$C$1=1),$A42,$A42+1),COLUMN('1-DATA'!C40)),IF($B42="STD. DEVIATION",2,$F$1))))</f>
        <v/>
      </c>
      <c r="E42" s="1" t="str">
        <f>IF(OR($B42="",E$7=""),"",IF($B42="MEANS",INDEX('1-DATA'!$1:$1048576,$A41-1,COLUMN('1-DATA'!D40)),ROUND(INDEX('1-DATA'!$1:$1048576,IF(OR($B42="STD. DEVIATION",$C$1=1),$A42,$A42+1),COLUMN('1-DATA'!D40)),IF($B42="STD. DEVIATION",2,$F$1))))</f>
        <v/>
      </c>
      <c r="F42" s="1" t="str">
        <f>IF(OR($B42="",F$7=""),"",IF($B42="MEANS",INDEX('1-DATA'!$1:$1048576,$A41-1,COLUMN('1-DATA'!E40)),ROUND(INDEX('1-DATA'!$1:$1048576,IF(OR($B42="STD. DEVIATION",$C$1=1),$A42,$A42+1),COLUMN('1-DATA'!E40)),IF($B42="STD. DEVIATION",2,$F$1))))</f>
        <v/>
      </c>
      <c r="G42" s="1" t="str">
        <f>IF(OR($B42="",G$7=""),"",IF($B42="MEANS",INDEX('1-DATA'!$1:$1048576,$A41-1,COLUMN('1-DATA'!F40)),ROUND(INDEX('1-DATA'!$1:$1048576,IF(OR($B42="STD. DEVIATION",$C$1=1),$A42,$A42+1),COLUMN('1-DATA'!F40)),IF($B42="STD. DEVIATION",2,$F$1))))</f>
        <v/>
      </c>
      <c r="H42" s="1" t="str">
        <f>IF(OR($B42="",H$7=""),"",IF($B42="MEANS",INDEX('1-DATA'!$1:$1048576,$A41-1,COLUMN('1-DATA'!G40)),ROUND(INDEX('1-DATA'!$1:$1048576,IF(OR($B42="STD. DEVIATION",$C$1=1),$A42,$A42+1),COLUMN('1-DATA'!G40)),IF($B42="STD. DEVIATION",2,$F$1))))</f>
        <v/>
      </c>
      <c r="I42" s="1" t="str">
        <f>IF(OR($B42="",I$7=""),"",IF($B42="MEANS",INDEX('1-DATA'!$1:$1048576,$A41-1,COLUMN('1-DATA'!H40)),ROUND(INDEX('1-DATA'!$1:$1048576,IF(OR($B42="STD. DEVIATION",$C$1=1),$A42,$A42+1),COLUMN('1-DATA'!H40)),IF($B42="STD. DEVIATION",2,$F$1))))</f>
        <v/>
      </c>
      <c r="J42" s="1" t="str">
        <f>IF(OR($B42="",J$7=""),"",IF($B42="MEANS",INDEX('1-DATA'!$1:$1048576,$A41-1,COLUMN('1-DATA'!I40)),ROUND(INDEX('1-DATA'!$1:$1048576,IF(OR($B42="STD. DEVIATION",$C$1=1),$A42,$A42+1),COLUMN('1-DATA'!I40)),IF($B42="STD. DEVIATION",2,$F$1))))</f>
        <v/>
      </c>
      <c r="K42" s="1" t="str">
        <f>IF(OR($B42="",K$7=""),"",IF($B42="MEANS",INDEX('1-DATA'!$1:$1048576,$A41-1,COLUMN('1-DATA'!J40)),ROUND(INDEX('1-DATA'!$1:$1048576,IF(OR($B42="STD. DEVIATION",$C$1=1),$A42,$A42+1),COLUMN('1-DATA'!J40)),IF($B42="STD. DEVIATION",2,$F$1))))</f>
        <v/>
      </c>
      <c r="L42" s="1" t="str">
        <f>IF(OR($B42="",L$7=""),"",IF($B42="MEANS",INDEX('1-DATA'!$1:$1048576,$A41-1,COLUMN('1-DATA'!K40)),ROUND(INDEX('1-DATA'!$1:$1048576,IF(OR($B42="STD. DEVIATION",$C$1=1),$A42,$A42+1),COLUMN('1-DATA'!K40)),IF($B42="STD. DEVIATION",2,$F$1))))</f>
        <v/>
      </c>
      <c r="M42" s="1" t="str">
        <f>IF(OR($B42="",M$7=""),"",IF($B42="MEANS",INDEX('1-DATA'!$1:$1048576,$A41-1,COLUMN('1-DATA'!L40)),ROUND(INDEX('1-DATA'!$1:$1048576,IF(OR($B42="STD. DEVIATION",$C$1=1),$A42,$A42+1),COLUMN('1-DATA'!L40)),IF($B42="STD. DEVIATION",2,$F$1))))</f>
        <v/>
      </c>
      <c r="N42" s="1" t="str">
        <f>IF(OR($B42="",N$7=""),"",IF($B42="MEANS",INDEX('1-DATA'!$1:$1048576,$A41-1,COLUMN('1-DATA'!M40)),ROUND(INDEX('1-DATA'!$1:$1048576,IF(OR($B42="STD. DEVIATION",$C$1=1),$A42,$A42+1),COLUMN('1-DATA'!M40)),IF($B42="STD. DEVIATION",2,$F$1))))</f>
        <v/>
      </c>
      <c r="O42" s="1" t="str">
        <f>IF(OR($B42="",O$7=""),"",IF($B42="MEANS",INDEX('1-DATA'!$1:$1048576,$A41-1,COLUMN('1-DATA'!N40)),ROUND(INDEX('1-DATA'!$1:$1048576,IF(OR($B42="STD. DEVIATION",$C$1=1),$A42,$A42+1),COLUMN('1-DATA'!N40)),IF($B42="STD. DEVIATION",2,$F$1))))</f>
        <v/>
      </c>
      <c r="P42" s="1" t="str">
        <f>IF(OR($B42="",P$7=""),"",IF($B42="MEANS",INDEX('1-DATA'!$1:$1048576,$A41-1,COLUMN('1-DATA'!O40)),ROUND(INDEX('1-DATA'!$1:$1048576,IF(OR($B42="STD. DEVIATION",$C$1=1),$A42,$A42+1),COLUMN('1-DATA'!O40)),IF($B42="STD. DEVIATION",2,$F$1))))</f>
        <v/>
      </c>
      <c r="Q42" s="1" t="str">
        <f>IF(OR($B42="",Q$7=""),"",IF($B42="MEANS",INDEX('1-DATA'!$1:$1048576,$A41-1,COLUMN('1-DATA'!P40)),ROUND(INDEX('1-DATA'!$1:$1048576,IF(OR($B42="STD. DEVIATION",$C$1=1),$A42,$A42+1),COLUMN('1-DATA'!P40)),IF($B42="STD. DEVIATION",2,$F$1))))</f>
        <v/>
      </c>
      <c r="R42" s="1" t="str">
        <f>IF(OR($B42="",R$7=""),"",IF($B42="MEANS",INDEX('1-DATA'!$1:$1048576,$A41-1,COLUMN('1-DATA'!Q40)),ROUND(INDEX('1-DATA'!$1:$1048576,IF(OR($B42="STD. DEVIATION",$C$1=1),$A42,$A42+1),COLUMN('1-DATA'!Q40)),IF($B42="STD. DEVIATION",2,$F$1))))</f>
        <v/>
      </c>
      <c r="S42" s="1" t="str">
        <f>IF(OR($B42="",S$7=""),"",IF($B42="MEANS",INDEX('1-DATA'!$1:$1048576,$A41-1,COLUMN('1-DATA'!R40)),ROUND(INDEX('1-DATA'!$1:$1048576,IF(OR($B42="STD. DEVIATION",$C$1=1),$A42,$A42+1),COLUMN('1-DATA'!R40)),IF($B42="STD. DEVIATION",2,$F$1))))</f>
        <v/>
      </c>
      <c r="T42" s="1" t="str">
        <f>IF(OR($B42="",T$7=""),"",IF($B42="MEANS",INDEX('1-DATA'!$1:$1048576,$A41-1,COLUMN('1-DATA'!S40)),ROUND(INDEX('1-DATA'!$1:$1048576,IF(OR($B42="STD. DEVIATION",$C$1=1),$A42,$A42+1),COLUMN('1-DATA'!S40)),IF($B42="STD. DEVIATION",2,$F$1))))</f>
        <v/>
      </c>
      <c r="U42" s="1" t="str">
        <f>IF(OR($B42="",U$7=""),"",IF($B42="MEANS",INDEX('1-DATA'!$1:$1048576,$A41-1,COLUMN('1-DATA'!T40)),ROUND(INDEX('1-DATA'!$1:$1048576,IF(OR($B42="STD. DEVIATION",$C$1=1),$A42,$A42+1),COLUMN('1-DATA'!T40)),IF($B42="STD. DEVIATION",2,$F$1))))</f>
        <v/>
      </c>
      <c r="V42" s="1" t="str">
        <f>IF(OR($B42="",V$7=""),"",IF($B42="MEANS",INDEX('1-DATA'!$1:$1048576,$A41-1,COLUMN('1-DATA'!U40)),ROUND(INDEX('1-DATA'!$1:$1048576,IF(OR($B42="STD. DEVIATION",$C$1=1),$A42,$A42+1),COLUMN('1-DATA'!U40)),IF($B42="STD. DEVIATION",2,$F$1))))</f>
        <v/>
      </c>
      <c r="W42" s="1" t="str">
        <f>IF(OR($B42="",W$7=""),"",IF($B42="MEANS",INDEX('1-DATA'!$1:$1048576,$A41-1,COLUMN('1-DATA'!V40)),ROUND(INDEX('1-DATA'!$1:$1048576,IF(OR($B42="STD. DEVIATION",$C$1=1),$A42,$A42+1),COLUMN('1-DATA'!V40)),IF($B42="STD. DEVIATION",2,$F$1))))</f>
        <v/>
      </c>
      <c r="X42" s="1" t="str">
        <f>IF(OR($B42="",X$7=""),"",IF($B42="MEANS",INDEX('1-DATA'!$1:$1048576,$A41-1,COLUMN('1-DATA'!W40)),ROUND(INDEX('1-DATA'!$1:$1048576,IF(OR($B42="STD. DEVIATION",$C$1=1),$A42,$A42+1),COLUMN('1-DATA'!W40)),IF($B42="STD. DEVIATION",2,$F$1))))</f>
        <v/>
      </c>
      <c r="Y42" s="1" t="str">
        <f>IF(OR($B42="",Y$7=""),"",IF($B42="MEANS",INDEX('1-DATA'!$1:$1048576,$A41-1,COLUMN('1-DATA'!X40)),ROUND(INDEX('1-DATA'!$1:$1048576,IF(OR($B42="STD. DEVIATION",$C$1=1),$A42,$A42+1),COLUMN('1-DATA'!X40)),IF($B42="STD. DEVIATION",2,$F$1))))</f>
        <v/>
      </c>
      <c r="Z42" s="1" t="str">
        <f>IF(OR($B42="",Z$7=""),"",IF($B42="MEANS",INDEX('1-DATA'!$1:$1048576,$A41-1,COLUMN('1-DATA'!Y40)),ROUND(INDEX('1-DATA'!$1:$1048576,IF(OR($B42="STD. DEVIATION",$C$1=1),$A42,$A42+1),COLUMN('1-DATA'!Y40)),IF($B42="STD. DEVIATION",2,$F$1))))</f>
        <v/>
      </c>
      <c r="AA42" s="1" t="str">
        <f>IF(OR($B42="",AA$7=""),"",IF($B42="MEANS",INDEX('1-DATA'!$1:$1048576,$A41-1,COLUMN('1-DATA'!Z40)),ROUND(INDEX('1-DATA'!$1:$1048576,IF(OR($B42="STD. DEVIATION",$C$1=1),$A42,$A42+1),COLUMN('1-DATA'!Z40)),IF($B42="STD. DEVIATION",2,$F$1))))</f>
        <v/>
      </c>
      <c r="AB42" s="1" t="str">
        <f>IF(OR($B42="",AB$7=""),"",IF($B42="MEANS",INDEX('1-DATA'!$1:$1048576,$A41-1,COLUMN('1-DATA'!AA40)),ROUND(INDEX('1-DATA'!$1:$1048576,IF(OR($B42="STD. DEVIATION",$C$1=1),$A42,$A42+1),COLUMN('1-DATA'!AA40)),IF($B42="STD. DEVIATION",2,$F$1))))</f>
        <v/>
      </c>
      <c r="AC42" s="1" t="str">
        <f>IF(OR($B42="",AC$7=""),"",IF($B42="MEANS",INDEX('1-DATA'!$1:$1048576,$A41-1,COLUMN('1-DATA'!AB40)),ROUND(INDEX('1-DATA'!$1:$1048576,IF(OR($B42="STD. DEVIATION",$C$1=1),$A42,$A42+1),COLUMN('1-DATA'!AB40)),IF($B42="STD. DEVIATION",2,$F$1))))</f>
        <v/>
      </c>
      <c r="AD42" s="1" t="str">
        <f>IF(OR($B42="",AD$7=""),"",IF($B42="MEANS",INDEX('1-DATA'!$1:$1048576,$A41-1,COLUMN('1-DATA'!AC40)),ROUND(INDEX('1-DATA'!$1:$1048576,IF(OR($B42="STD. DEVIATION",$C$1=1),$A42,$A42+1),COLUMN('1-DATA'!AC40)),IF($B42="STD. DEVIATION",2,$F$1))))</f>
        <v/>
      </c>
      <c r="AE42" s="1" t="str">
        <f>IF(OR($B42="",AE$7=""),"",IF($B42="MEANS",INDEX('1-DATA'!$1:$1048576,$A41-1,COLUMN('1-DATA'!AD40)),ROUND(INDEX('1-DATA'!$1:$1048576,IF(OR($B42="STD. DEVIATION",$C$1=1),$A42,$A42+1),COLUMN('1-DATA'!AD40)),IF($B42="STD. DEVIATION",2,$F$1))))</f>
        <v/>
      </c>
      <c r="AF42" s="1" t="str">
        <f>IF(OR($B42="",AF$7=""),"",IF($B42="MEANS",INDEX('1-DATA'!$1:$1048576,$A41-1,COLUMN('1-DATA'!AE40)),ROUND(INDEX('1-DATA'!$1:$1048576,IF(OR($B42="STD. DEVIATION",$C$1=1),$A42,$A42+1),COLUMN('1-DATA'!AE40)),IF($B42="STD. DEVIATION",2,$F$1))))</f>
        <v/>
      </c>
      <c r="AG42" s="1" t="str">
        <f>IF(OR($B42="",AG$7=""),"",IF($B42="MEANS",INDEX('1-DATA'!$1:$1048576,$A41-1,COLUMN('1-DATA'!AF40)),ROUND(INDEX('1-DATA'!$1:$1048576,IF(OR($B42="STD. DEVIATION",$C$1=1),$A42,$A42+1),COLUMN('1-DATA'!AF40)),IF($B42="STD. DEVIATION",2,$F$1))))</f>
        <v/>
      </c>
      <c r="AH42" s="1" t="str">
        <f>IF(OR($B42="",AH$7=""),"",IF($B42="MEANS",INDEX('1-DATA'!$1:$1048576,$A41-1,COLUMN('1-DATA'!AG40)),ROUND(INDEX('1-DATA'!$1:$1048576,IF(OR($B42="STD. DEVIATION",$C$1=1),$A42,$A42+1),COLUMN('1-DATA'!AG40)),IF($B42="STD. DEVIATION",2,$F$1))))</f>
        <v/>
      </c>
      <c r="AI42" s="1" t="str">
        <f>IF(OR($B42="",AI$7=""),"",IF($B42="MEANS",INDEX('1-DATA'!$1:$1048576,$A41-1,COLUMN('1-DATA'!AH40)),ROUND(INDEX('1-DATA'!$1:$1048576,IF(OR($B42="STD. DEVIATION",$C$1=1),$A42,$A42+1),COLUMN('1-DATA'!AH40)),IF($B42="STD. DEVIATION",2,$F$1))))</f>
        <v/>
      </c>
      <c r="AJ42" s="1" t="str">
        <f>IF(OR($B42="",AJ$7=""),"",IF($B42="MEANS",INDEX('1-DATA'!$1:$1048576,$A41-1,COLUMN('1-DATA'!AI40)),ROUND(INDEX('1-DATA'!$1:$1048576,IF(OR($B42="STD. DEVIATION",$C$1=1),$A42,$A42+1),COLUMN('1-DATA'!AI40)),IF($B42="STD. DEVIATION",2,$F$1))))</f>
        <v/>
      </c>
      <c r="AK42" s="1" t="str">
        <f>IF(OR($B42="",AK$7=""),"",IF($B42="MEANS",INDEX('1-DATA'!$1:$1048576,$A41-1,COLUMN('1-DATA'!AJ40)),ROUND(INDEX('1-DATA'!$1:$1048576,IF(OR($B42="STD. DEVIATION",$C$1=1),$A42,$A42+1),COLUMN('1-DATA'!AJ40)),IF($B42="STD. DEVIATION",2,$F$1))))</f>
        <v/>
      </c>
      <c r="AL42" s="1" t="str">
        <f>IF(OR($B42="",AL$7=""),"",IF($B42="MEANS",INDEX('1-DATA'!$1:$1048576,$A41-1,COLUMN('1-DATA'!AK40)),ROUND(INDEX('1-DATA'!$1:$1048576,IF(OR($B42="STD. DEVIATION",$C$1=1),$A42,$A42+1),COLUMN('1-DATA'!AK40)),IF($B42="STD. DEVIATION",2,$F$1))))</f>
        <v/>
      </c>
      <c r="AM42" s="1" t="str">
        <f>IF(OR($B42="",AM$7=""),"",IF($B42="MEANS",INDEX('1-DATA'!$1:$1048576,$A41-1,COLUMN('1-DATA'!AL40)),ROUND(INDEX('1-DATA'!$1:$1048576,IF(OR($B42="STD. DEVIATION",$C$1=1),$A42,$A42+1),COLUMN('1-DATA'!AL40)),IF($B42="STD. DEVIATION",2,$F$1))))</f>
        <v/>
      </c>
      <c r="AN42" s="1" t="str">
        <f>IF(OR($B42="",AN$7=""),"",IF($B42="MEANS",INDEX('1-DATA'!$1:$1048576,$A41-1,COLUMN('1-DATA'!AM40)),ROUND(INDEX('1-DATA'!$1:$1048576,IF(OR($B42="STD. DEVIATION",$C$1=1),$A42,$A42+1),COLUMN('1-DATA'!AM40)),IF($B42="STD. DEVIATION",2,$F$1))))</f>
        <v/>
      </c>
      <c r="AO42" s="1" t="str">
        <f>IF(OR($B42="",AO$7=""),"",IF($B42="MEANS",INDEX('1-DATA'!$1:$1048576,$A41-1,COLUMN('1-DATA'!AN40)),ROUND(INDEX('1-DATA'!$1:$1048576,IF(OR($B42="STD. DEVIATION",$C$1=1),$A42,$A42+1),COLUMN('1-DATA'!AN40)),IF($B42="STD. DEVIATION",2,$F$1))))</f>
        <v/>
      </c>
      <c r="AP42" s="1" t="str">
        <f>IF(OR($B42="",AP$7=""),"",IF($B42="MEANS",INDEX('1-DATA'!$1:$1048576,$A41-1,COLUMN('1-DATA'!AO40)),ROUND(INDEX('1-DATA'!$1:$1048576,IF(OR($B42="STD. DEVIATION",$C$1=1),$A42,$A42+1),COLUMN('1-DATA'!AO40)),IF($B42="STD. DEVIATION",2,$F$1))))</f>
        <v/>
      </c>
      <c r="AQ42" s="1" t="str">
        <f>IF(OR($B42="",AQ$7=""),"",IF($B42="MEANS",INDEX('1-DATA'!$1:$1048576,$A41-1,COLUMN('1-DATA'!AP40)),ROUND(INDEX('1-DATA'!$1:$1048576,IF(OR($B42="STD. DEVIATION",$C$1=1),$A42,$A42+1),COLUMN('1-DATA'!AP40)),IF($B42="STD. DEVIATION",2,$F$1))))</f>
        <v/>
      </c>
      <c r="AR42" s="1" t="str">
        <f>IF(OR($B42="",AR$7=""),"",IF($B42="MEANS",INDEX('1-DATA'!$1:$1048576,$A41-1,COLUMN('1-DATA'!AQ40)),ROUND(INDEX('1-DATA'!$1:$1048576,IF(OR($B42="STD. DEVIATION",$C$1=1),$A42,$A42+1),COLUMN('1-DATA'!AQ40)),IF($B42="STD. DEVIATION",2,$F$1))))</f>
        <v/>
      </c>
      <c r="AS42" s="1" t="str">
        <f>IF(OR($B42="",AS$7=""),"",IF($B42="MEANS",INDEX('1-DATA'!$1:$1048576,$A41-1,COLUMN('1-DATA'!AR40)),ROUND(INDEX('1-DATA'!$1:$1048576,IF(OR($B42="STD. DEVIATION",$C$1=1),$A42,$A42+1),COLUMN('1-DATA'!AR40)),IF($B42="STD. DEVIATION",2,$F$1))))</f>
        <v/>
      </c>
      <c r="AT42" s="1" t="str">
        <f>IF(OR($B42="",AT$7=""),"",IF($B42="MEANS",INDEX('1-DATA'!$1:$1048576,$A41-1,COLUMN('1-DATA'!AS40)),ROUND(INDEX('1-DATA'!$1:$1048576,IF(OR($B42="STD. DEVIATION",$C$1=1),$A42,$A42+1),COLUMN('1-DATA'!AS40)),IF($B42="STD. DEVIATION",2,$F$1))))</f>
        <v/>
      </c>
      <c r="AU42" s="1" t="str">
        <f>IF(OR($B42="",AU$7=""),"",IF($B42="MEANS",INDEX('1-DATA'!$1:$1048576,$A41-1,COLUMN('1-DATA'!AT40)),ROUND(INDEX('1-DATA'!$1:$1048576,IF(OR($B42="STD. DEVIATION",$C$1=1),$A42,$A42+1),COLUMN('1-DATA'!AT40)),IF($B42="STD. DEVIATION",2,$F$1))))</f>
        <v/>
      </c>
      <c r="AV42" s="1" t="str">
        <f>IF(OR($B42="",AV$7=""),"",IF($B42="MEANS",INDEX('1-DATA'!$1:$1048576,$A41-1,COLUMN('1-DATA'!AU40)),ROUND(INDEX('1-DATA'!$1:$1048576,IF(OR($B42="STD. DEVIATION",$C$1=1),$A42,$A42+1),COLUMN('1-DATA'!AU40)),IF($B42="STD. DEVIATION",2,$F$1))))</f>
        <v/>
      </c>
      <c r="AW42" s="1" t="str">
        <f>IF(OR($B42="",AW$7=""),"",IF($B42="MEANS",INDEX('1-DATA'!$1:$1048576,$A41-1,COLUMN('1-DATA'!AV40)),ROUND(INDEX('1-DATA'!$1:$1048576,IF(OR($B42="STD. DEVIATION",$C$1=1),$A42,$A42+1),COLUMN('1-DATA'!AV40)),IF($B42="STD. DEVIATION",2,$F$1))))</f>
        <v/>
      </c>
      <c r="AX42" s="1" t="str">
        <f>IF(OR($B42="",AX$7=""),"",IF($B42="MEANS",INDEX('1-DATA'!$1:$1048576,$A41-1,COLUMN('1-DATA'!AW40)),ROUND(INDEX('1-DATA'!$1:$1048576,IF(OR($B42="STD. DEVIATION",$C$1=1),$A42,$A42+1),COLUMN('1-DATA'!AW40)),IF($B42="STD. DEVIATION",2,$F$1))))</f>
        <v/>
      </c>
      <c r="AY42" s="1" t="str">
        <f>IF(OR($B42="",AY$7=""),"",IF($B42="MEANS",INDEX('1-DATA'!$1:$1048576,$A41-1,COLUMN('1-DATA'!AX40)),ROUND(INDEX('1-DATA'!$1:$1048576,IF(OR($B42="STD. DEVIATION",$C$1=1),$A42,$A42+1),COLUMN('1-DATA'!AX40)),IF($B42="STD. DEVIATION",2,$F$1))))</f>
        <v/>
      </c>
      <c r="AZ42" s="1" t="str">
        <f>IF(OR($B42="",AZ$7=""),"",IF($B42="MEANS",INDEX('1-DATA'!$1:$1048576,$A41-1,COLUMN('1-DATA'!AY40)),ROUND(INDEX('1-DATA'!$1:$1048576,IF(OR($B42="STD. DEVIATION",$C$1=1),$A42,$A42+1),COLUMN('1-DATA'!AY40)),IF($B42="STD. DEVIATION",2,$F$1))))</f>
        <v/>
      </c>
    </row>
    <row r="43" spans="1:52" x14ac:dyDescent="0.25">
      <c r="A43" s="11">
        <f t="shared" si="1"/>
        <v>115</v>
      </c>
      <c r="B43" s="1" t="str">
        <f>IF(B42="STD. DEVIATION",INDEX('1-DATA'!$1:$1048576,$A42-1,1),IF(INDEX('1-DATA'!$1:$1048576,$A43,1)&lt;&gt;"",INDEX('1-DATA'!$1:$1048576,$A43,1),""))</f>
        <v/>
      </c>
      <c r="C43" s="1" t="str">
        <f>IF(OR($B43="",C$7=""),"",IF($B43="MEANS",INDEX('1-DATA'!$1:$1048576,$A42-1,COLUMN('1-DATA'!B41)),ROUND(INDEX('1-DATA'!$1:$1048576,IF(OR($B43="STD. DEVIATION",$C$1=1),$A43,$A43+1),COLUMN('1-DATA'!B41)),IF($B43="STD. DEVIATION",2,$F$1))))</f>
        <v/>
      </c>
      <c r="D43" s="1" t="str">
        <f>IF(OR($B43="",D$7=""),"",IF($B43="MEANS",INDEX('1-DATA'!$1:$1048576,$A42-1,COLUMN('1-DATA'!C41)),ROUND(INDEX('1-DATA'!$1:$1048576,IF(OR($B43="STD. DEVIATION",$C$1=1),$A43,$A43+1),COLUMN('1-DATA'!C41)),IF($B43="STD. DEVIATION",2,$F$1))))</f>
        <v/>
      </c>
      <c r="E43" s="1" t="str">
        <f>IF(OR($B43="",E$7=""),"",IF($B43="MEANS",INDEX('1-DATA'!$1:$1048576,$A42-1,COLUMN('1-DATA'!D41)),ROUND(INDEX('1-DATA'!$1:$1048576,IF(OR($B43="STD. DEVIATION",$C$1=1),$A43,$A43+1),COLUMN('1-DATA'!D41)),IF($B43="STD. DEVIATION",2,$F$1))))</f>
        <v/>
      </c>
      <c r="F43" s="1" t="str">
        <f>IF(OR($B43="",F$7=""),"",IF($B43="MEANS",INDEX('1-DATA'!$1:$1048576,$A42-1,COLUMN('1-DATA'!E41)),ROUND(INDEX('1-DATA'!$1:$1048576,IF(OR($B43="STD. DEVIATION",$C$1=1),$A43,$A43+1),COLUMN('1-DATA'!E41)),IF($B43="STD. DEVIATION",2,$F$1))))</f>
        <v/>
      </c>
      <c r="G43" s="1" t="str">
        <f>IF(OR($B43="",G$7=""),"",IF($B43="MEANS",INDEX('1-DATA'!$1:$1048576,$A42-1,COLUMN('1-DATA'!F41)),ROUND(INDEX('1-DATA'!$1:$1048576,IF(OR($B43="STD. DEVIATION",$C$1=1),$A43,$A43+1),COLUMN('1-DATA'!F41)),IF($B43="STD. DEVIATION",2,$F$1))))</f>
        <v/>
      </c>
      <c r="H43" s="1" t="str">
        <f>IF(OR($B43="",H$7=""),"",IF($B43="MEANS",INDEX('1-DATA'!$1:$1048576,$A42-1,COLUMN('1-DATA'!G41)),ROUND(INDEX('1-DATA'!$1:$1048576,IF(OR($B43="STD. DEVIATION",$C$1=1),$A43,$A43+1),COLUMN('1-DATA'!G41)),IF($B43="STD. DEVIATION",2,$F$1))))</f>
        <v/>
      </c>
      <c r="I43" s="1" t="str">
        <f>IF(OR($B43="",I$7=""),"",IF($B43="MEANS",INDEX('1-DATA'!$1:$1048576,$A42-1,COLUMN('1-DATA'!H41)),ROUND(INDEX('1-DATA'!$1:$1048576,IF(OR($B43="STD. DEVIATION",$C$1=1),$A43,$A43+1),COLUMN('1-DATA'!H41)),IF($B43="STD. DEVIATION",2,$F$1))))</f>
        <v/>
      </c>
      <c r="J43" s="1" t="str">
        <f>IF(OR($B43="",J$7=""),"",IF($B43="MEANS",INDEX('1-DATA'!$1:$1048576,$A42-1,COLUMN('1-DATA'!I41)),ROUND(INDEX('1-DATA'!$1:$1048576,IF(OR($B43="STD. DEVIATION",$C$1=1),$A43,$A43+1),COLUMN('1-DATA'!I41)),IF($B43="STD. DEVIATION",2,$F$1))))</f>
        <v/>
      </c>
      <c r="K43" s="1" t="str">
        <f>IF(OR($B43="",K$7=""),"",IF($B43="MEANS",INDEX('1-DATA'!$1:$1048576,$A42-1,COLUMN('1-DATA'!J41)),ROUND(INDEX('1-DATA'!$1:$1048576,IF(OR($B43="STD. DEVIATION",$C$1=1),$A43,$A43+1),COLUMN('1-DATA'!J41)),IF($B43="STD. DEVIATION",2,$F$1))))</f>
        <v/>
      </c>
      <c r="L43" s="1" t="str">
        <f>IF(OR($B43="",L$7=""),"",IF($B43="MEANS",INDEX('1-DATA'!$1:$1048576,$A42-1,COLUMN('1-DATA'!K41)),ROUND(INDEX('1-DATA'!$1:$1048576,IF(OR($B43="STD. DEVIATION",$C$1=1),$A43,$A43+1),COLUMN('1-DATA'!K41)),IF($B43="STD. DEVIATION",2,$F$1))))</f>
        <v/>
      </c>
      <c r="M43" s="1" t="str">
        <f>IF(OR($B43="",M$7=""),"",IF($B43="MEANS",INDEX('1-DATA'!$1:$1048576,$A42-1,COLUMN('1-DATA'!L41)),ROUND(INDEX('1-DATA'!$1:$1048576,IF(OR($B43="STD. DEVIATION",$C$1=1),$A43,$A43+1),COLUMN('1-DATA'!L41)),IF($B43="STD. DEVIATION",2,$F$1))))</f>
        <v/>
      </c>
      <c r="N43" s="1" t="str">
        <f>IF(OR($B43="",N$7=""),"",IF($B43="MEANS",INDEX('1-DATA'!$1:$1048576,$A42-1,COLUMN('1-DATA'!M41)),ROUND(INDEX('1-DATA'!$1:$1048576,IF(OR($B43="STD. DEVIATION",$C$1=1),$A43,$A43+1),COLUMN('1-DATA'!M41)),IF($B43="STD. DEVIATION",2,$F$1))))</f>
        <v/>
      </c>
      <c r="O43" s="1" t="str">
        <f>IF(OR($B43="",O$7=""),"",IF($B43="MEANS",INDEX('1-DATA'!$1:$1048576,$A42-1,COLUMN('1-DATA'!N41)),ROUND(INDEX('1-DATA'!$1:$1048576,IF(OR($B43="STD. DEVIATION",$C$1=1),$A43,$A43+1),COLUMN('1-DATA'!N41)),IF($B43="STD. DEVIATION",2,$F$1))))</f>
        <v/>
      </c>
      <c r="P43" s="1" t="str">
        <f>IF(OR($B43="",P$7=""),"",IF($B43="MEANS",INDEX('1-DATA'!$1:$1048576,$A42-1,COLUMN('1-DATA'!O41)),ROUND(INDEX('1-DATA'!$1:$1048576,IF(OR($B43="STD. DEVIATION",$C$1=1),$A43,$A43+1),COLUMN('1-DATA'!O41)),IF($B43="STD. DEVIATION",2,$F$1))))</f>
        <v/>
      </c>
      <c r="Q43" s="1" t="str">
        <f>IF(OR($B43="",Q$7=""),"",IF($B43="MEANS",INDEX('1-DATA'!$1:$1048576,$A42-1,COLUMN('1-DATA'!P41)),ROUND(INDEX('1-DATA'!$1:$1048576,IF(OR($B43="STD. DEVIATION",$C$1=1),$A43,$A43+1),COLUMN('1-DATA'!P41)),IF($B43="STD. DEVIATION",2,$F$1))))</f>
        <v/>
      </c>
      <c r="R43" s="1" t="str">
        <f>IF(OR($B43="",R$7=""),"",IF($B43="MEANS",INDEX('1-DATA'!$1:$1048576,$A42-1,COLUMN('1-DATA'!Q41)),ROUND(INDEX('1-DATA'!$1:$1048576,IF(OR($B43="STD. DEVIATION",$C$1=1),$A43,$A43+1),COLUMN('1-DATA'!Q41)),IF($B43="STD. DEVIATION",2,$F$1))))</f>
        <v/>
      </c>
      <c r="S43" s="1" t="str">
        <f>IF(OR($B43="",S$7=""),"",IF($B43="MEANS",INDEX('1-DATA'!$1:$1048576,$A42-1,COLUMN('1-DATA'!R41)),ROUND(INDEX('1-DATA'!$1:$1048576,IF(OR($B43="STD. DEVIATION",$C$1=1),$A43,$A43+1),COLUMN('1-DATA'!R41)),IF($B43="STD. DEVIATION",2,$F$1))))</f>
        <v/>
      </c>
      <c r="T43" s="1" t="str">
        <f>IF(OR($B43="",T$7=""),"",IF($B43="MEANS",INDEX('1-DATA'!$1:$1048576,$A42-1,COLUMN('1-DATA'!S41)),ROUND(INDEX('1-DATA'!$1:$1048576,IF(OR($B43="STD. DEVIATION",$C$1=1),$A43,$A43+1),COLUMN('1-DATA'!S41)),IF($B43="STD. DEVIATION",2,$F$1))))</f>
        <v/>
      </c>
      <c r="U43" s="1" t="str">
        <f>IF(OR($B43="",U$7=""),"",IF($B43="MEANS",INDEX('1-DATA'!$1:$1048576,$A42-1,COLUMN('1-DATA'!T41)),ROUND(INDEX('1-DATA'!$1:$1048576,IF(OR($B43="STD. DEVIATION",$C$1=1),$A43,$A43+1),COLUMN('1-DATA'!T41)),IF($B43="STD. DEVIATION",2,$F$1))))</f>
        <v/>
      </c>
      <c r="V43" s="1" t="str">
        <f>IF(OR($B43="",V$7=""),"",IF($B43="MEANS",INDEX('1-DATA'!$1:$1048576,$A42-1,COLUMN('1-DATA'!U41)),ROUND(INDEX('1-DATA'!$1:$1048576,IF(OR($B43="STD. DEVIATION",$C$1=1),$A43,$A43+1),COLUMN('1-DATA'!U41)),IF($B43="STD. DEVIATION",2,$F$1))))</f>
        <v/>
      </c>
      <c r="W43" s="1" t="str">
        <f>IF(OR($B43="",W$7=""),"",IF($B43="MEANS",INDEX('1-DATA'!$1:$1048576,$A42-1,COLUMN('1-DATA'!V41)),ROUND(INDEX('1-DATA'!$1:$1048576,IF(OR($B43="STD. DEVIATION",$C$1=1),$A43,$A43+1),COLUMN('1-DATA'!V41)),IF($B43="STD. DEVIATION",2,$F$1))))</f>
        <v/>
      </c>
      <c r="X43" s="1" t="str">
        <f>IF(OR($B43="",X$7=""),"",IF($B43="MEANS",INDEX('1-DATA'!$1:$1048576,$A42-1,COLUMN('1-DATA'!W41)),ROUND(INDEX('1-DATA'!$1:$1048576,IF(OR($B43="STD. DEVIATION",$C$1=1),$A43,$A43+1),COLUMN('1-DATA'!W41)),IF($B43="STD. DEVIATION",2,$F$1))))</f>
        <v/>
      </c>
      <c r="Y43" s="1" t="str">
        <f>IF(OR($B43="",Y$7=""),"",IF($B43="MEANS",INDEX('1-DATA'!$1:$1048576,$A42-1,COLUMN('1-DATA'!X41)),ROUND(INDEX('1-DATA'!$1:$1048576,IF(OR($B43="STD. DEVIATION",$C$1=1),$A43,$A43+1),COLUMN('1-DATA'!X41)),IF($B43="STD. DEVIATION",2,$F$1))))</f>
        <v/>
      </c>
      <c r="Z43" s="1" t="str">
        <f>IF(OR($B43="",Z$7=""),"",IF($B43="MEANS",INDEX('1-DATA'!$1:$1048576,$A42-1,COLUMN('1-DATA'!Y41)),ROUND(INDEX('1-DATA'!$1:$1048576,IF(OR($B43="STD. DEVIATION",$C$1=1),$A43,$A43+1),COLUMN('1-DATA'!Y41)),IF($B43="STD. DEVIATION",2,$F$1))))</f>
        <v/>
      </c>
      <c r="AA43" s="1" t="str">
        <f>IF(OR($B43="",AA$7=""),"",IF($B43="MEANS",INDEX('1-DATA'!$1:$1048576,$A42-1,COLUMN('1-DATA'!Z41)),ROUND(INDEX('1-DATA'!$1:$1048576,IF(OR($B43="STD. DEVIATION",$C$1=1),$A43,$A43+1),COLUMN('1-DATA'!Z41)),IF($B43="STD. DEVIATION",2,$F$1))))</f>
        <v/>
      </c>
      <c r="AB43" s="1" t="str">
        <f>IF(OR($B43="",AB$7=""),"",IF($B43="MEANS",INDEX('1-DATA'!$1:$1048576,$A42-1,COLUMN('1-DATA'!AA41)),ROUND(INDEX('1-DATA'!$1:$1048576,IF(OR($B43="STD. DEVIATION",$C$1=1),$A43,$A43+1),COLUMN('1-DATA'!AA41)),IF($B43="STD. DEVIATION",2,$F$1))))</f>
        <v/>
      </c>
      <c r="AC43" s="1" t="str">
        <f>IF(OR($B43="",AC$7=""),"",IF($B43="MEANS",INDEX('1-DATA'!$1:$1048576,$A42-1,COLUMN('1-DATA'!AB41)),ROUND(INDEX('1-DATA'!$1:$1048576,IF(OR($B43="STD. DEVIATION",$C$1=1),$A43,$A43+1),COLUMN('1-DATA'!AB41)),IF($B43="STD. DEVIATION",2,$F$1))))</f>
        <v/>
      </c>
      <c r="AD43" s="1" t="str">
        <f>IF(OR($B43="",AD$7=""),"",IF($B43="MEANS",INDEX('1-DATA'!$1:$1048576,$A42-1,COLUMN('1-DATA'!AC41)),ROUND(INDEX('1-DATA'!$1:$1048576,IF(OR($B43="STD. DEVIATION",$C$1=1),$A43,$A43+1),COLUMN('1-DATA'!AC41)),IF($B43="STD. DEVIATION",2,$F$1))))</f>
        <v/>
      </c>
      <c r="AE43" s="1" t="str">
        <f>IF(OR($B43="",AE$7=""),"",IF($B43="MEANS",INDEX('1-DATA'!$1:$1048576,$A42-1,COLUMN('1-DATA'!AD41)),ROUND(INDEX('1-DATA'!$1:$1048576,IF(OR($B43="STD. DEVIATION",$C$1=1),$A43,$A43+1),COLUMN('1-DATA'!AD41)),IF($B43="STD. DEVIATION",2,$F$1))))</f>
        <v/>
      </c>
      <c r="AF43" s="1" t="str">
        <f>IF(OR($B43="",AF$7=""),"",IF($B43="MEANS",INDEX('1-DATA'!$1:$1048576,$A42-1,COLUMN('1-DATA'!AE41)),ROUND(INDEX('1-DATA'!$1:$1048576,IF(OR($B43="STD. DEVIATION",$C$1=1),$A43,$A43+1),COLUMN('1-DATA'!AE41)),IF($B43="STD. DEVIATION",2,$F$1))))</f>
        <v/>
      </c>
      <c r="AG43" s="1" t="str">
        <f>IF(OR($B43="",AG$7=""),"",IF($B43="MEANS",INDEX('1-DATA'!$1:$1048576,$A42-1,COLUMN('1-DATA'!AF41)),ROUND(INDEX('1-DATA'!$1:$1048576,IF(OR($B43="STD. DEVIATION",$C$1=1),$A43,$A43+1),COLUMN('1-DATA'!AF41)),IF($B43="STD. DEVIATION",2,$F$1))))</f>
        <v/>
      </c>
      <c r="AH43" s="1" t="str">
        <f>IF(OR($B43="",AH$7=""),"",IF($B43="MEANS",INDEX('1-DATA'!$1:$1048576,$A42-1,COLUMN('1-DATA'!AG41)),ROUND(INDEX('1-DATA'!$1:$1048576,IF(OR($B43="STD. DEVIATION",$C$1=1),$A43,$A43+1),COLUMN('1-DATA'!AG41)),IF($B43="STD. DEVIATION",2,$F$1))))</f>
        <v/>
      </c>
      <c r="AI43" s="1" t="str">
        <f>IF(OR($B43="",AI$7=""),"",IF($B43="MEANS",INDEX('1-DATA'!$1:$1048576,$A42-1,COLUMN('1-DATA'!AH41)),ROUND(INDEX('1-DATA'!$1:$1048576,IF(OR($B43="STD. DEVIATION",$C$1=1),$A43,$A43+1),COLUMN('1-DATA'!AH41)),IF($B43="STD. DEVIATION",2,$F$1))))</f>
        <v/>
      </c>
      <c r="AJ43" s="1" t="str">
        <f>IF(OR($B43="",AJ$7=""),"",IF($B43="MEANS",INDEX('1-DATA'!$1:$1048576,$A42-1,COLUMN('1-DATA'!AI41)),ROUND(INDEX('1-DATA'!$1:$1048576,IF(OR($B43="STD. DEVIATION",$C$1=1),$A43,$A43+1),COLUMN('1-DATA'!AI41)),IF($B43="STD. DEVIATION",2,$F$1))))</f>
        <v/>
      </c>
      <c r="AK43" s="1" t="str">
        <f>IF(OR($B43="",AK$7=""),"",IF($B43="MEANS",INDEX('1-DATA'!$1:$1048576,$A42-1,COLUMN('1-DATA'!AJ41)),ROUND(INDEX('1-DATA'!$1:$1048576,IF(OR($B43="STD. DEVIATION",$C$1=1),$A43,$A43+1),COLUMN('1-DATA'!AJ41)),IF($B43="STD. DEVIATION",2,$F$1))))</f>
        <v/>
      </c>
      <c r="AL43" s="1" t="str">
        <f>IF(OR($B43="",AL$7=""),"",IF($B43="MEANS",INDEX('1-DATA'!$1:$1048576,$A42-1,COLUMN('1-DATA'!AK41)),ROUND(INDEX('1-DATA'!$1:$1048576,IF(OR($B43="STD. DEVIATION",$C$1=1),$A43,$A43+1),COLUMN('1-DATA'!AK41)),IF($B43="STD. DEVIATION",2,$F$1))))</f>
        <v/>
      </c>
      <c r="AM43" s="1" t="str">
        <f>IF(OR($B43="",AM$7=""),"",IF($B43="MEANS",INDEX('1-DATA'!$1:$1048576,$A42-1,COLUMN('1-DATA'!AL41)),ROUND(INDEX('1-DATA'!$1:$1048576,IF(OR($B43="STD. DEVIATION",$C$1=1),$A43,$A43+1),COLUMN('1-DATA'!AL41)),IF($B43="STD. DEVIATION",2,$F$1))))</f>
        <v/>
      </c>
      <c r="AN43" s="1" t="str">
        <f>IF(OR($B43="",AN$7=""),"",IF($B43="MEANS",INDEX('1-DATA'!$1:$1048576,$A42-1,COLUMN('1-DATA'!AM41)),ROUND(INDEX('1-DATA'!$1:$1048576,IF(OR($B43="STD. DEVIATION",$C$1=1),$A43,$A43+1),COLUMN('1-DATA'!AM41)),IF($B43="STD. DEVIATION",2,$F$1))))</f>
        <v/>
      </c>
      <c r="AO43" s="1" t="str">
        <f>IF(OR($B43="",AO$7=""),"",IF($B43="MEANS",INDEX('1-DATA'!$1:$1048576,$A42-1,COLUMN('1-DATA'!AN41)),ROUND(INDEX('1-DATA'!$1:$1048576,IF(OR($B43="STD. DEVIATION",$C$1=1),$A43,$A43+1),COLUMN('1-DATA'!AN41)),IF($B43="STD. DEVIATION",2,$F$1))))</f>
        <v/>
      </c>
      <c r="AP43" s="1" t="str">
        <f>IF(OR($B43="",AP$7=""),"",IF($B43="MEANS",INDEX('1-DATA'!$1:$1048576,$A42-1,COLUMN('1-DATA'!AO41)),ROUND(INDEX('1-DATA'!$1:$1048576,IF(OR($B43="STD. DEVIATION",$C$1=1),$A43,$A43+1),COLUMN('1-DATA'!AO41)),IF($B43="STD. DEVIATION",2,$F$1))))</f>
        <v/>
      </c>
      <c r="AQ43" s="1" t="str">
        <f>IF(OR($B43="",AQ$7=""),"",IF($B43="MEANS",INDEX('1-DATA'!$1:$1048576,$A42-1,COLUMN('1-DATA'!AP41)),ROUND(INDEX('1-DATA'!$1:$1048576,IF(OR($B43="STD. DEVIATION",$C$1=1),$A43,$A43+1),COLUMN('1-DATA'!AP41)),IF($B43="STD. DEVIATION",2,$F$1))))</f>
        <v/>
      </c>
      <c r="AR43" s="1" t="str">
        <f>IF(OR($B43="",AR$7=""),"",IF($B43="MEANS",INDEX('1-DATA'!$1:$1048576,$A42-1,COLUMN('1-DATA'!AQ41)),ROUND(INDEX('1-DATA'!$1:$1048576,IF(OR($B43="STD. DEVIATION",$C$1=1),$A43,$A43+1),COLUMN('1-DATA'!AQ41)),IF($B43="STD. DEVIATION",2,$F$1))))</f>
        <v/>
      </c>
      <c r="AS43" s="1" t="str">
        <f>IF(OR($B43="",AS$7=""),"",IF($B43="MEANS",INDEX('1-DATA'!$1:$1048576,$A42-1,COLUMN('1-DATA'!AR41)),ROUND(INDEX('1-DATA'!$1:$1048576,IF(OR($B43="STD. DEVIATION",$C$1=1),$A43,$A43+1),COLUMN('1-DATA'!AR41)),IF($B43="STD. DEVIATION",2,$F$1))))</f>
        <v/>
      </c>
      <c r="AT43" s="1" t="str">
        <f>IF(OR($B43="",AT$7=""),"",IF($B43="MEANS",INDEX('1-DATA'!$1:$1048576,$A42-1,COLUMN('1-DATA'!AS41)),ROUND(INDEX('1-DATA'!$1:$1048576,IF(OR($B43="STD. DEVIATION",$C$1=1),$A43,$A43+1),COLUMN('1-DATA'!AS41)),IF($B43="STD. DEVIATION",2,$F$1))))</f>
        <v/>
      </c>
      <c r="AU43" s="1" t="str">
        <f>IF(OR($B43="",AU$7=""),"",IF($B43="MEANS",INDEX('1-DATA'!$1:$1048576,$A42-1,COLUMN('1-DATA'!AT41)),ROUND(INDEX('1-DATA'!$1:$1048576,IF(OR($B43="STD. DEVIATION",$C$1=1),$A43,$A43+1),COLUMN('1-DATA'!AT41)),IF($B43="STD. DEVIATION",2,$F$1))))</f>
        <v/>
      </c>
      <c r="AV43" s="1" t="str">
        <f>IF(OR($B43="",AV$7=""),"",IF($B43="MEANS",INDEX('1-DATA'!$1:$1048576,$A42-1,COLUMN('1-DATA'!AU41)),ROUND(INDEX('1-DATA'!$1:$1048576,IF(OR($B43="STD. DEVIATION",$C$1=1),$A43,$A43+1),COLUMN('1-DATA'!AU41)),IF($B43="STD. DEVIATION",2,$F$1))))</f>
        <v/>
      </c>
      <c r="AW43" s="1" t="str">
        <f>IF(OR($B43="",AW$7=""),"",IF($B43="MEANS",INDEX('1-DATA'!$1:$1048576,$A42-1,COLUMN('1-DATA'!AV41)),ROUND(INDEX('1-DATA'!$1:$1048576,IF(OR($B43="STD. DEVIATION",$C$1=1),$A43,$A43+1),COLUMN('1-DATA'!AV41)),IF($B43="STD. DEVIATION",2,$F$1))))</f>
        <v/>
      </c>
      <c r="AX43" s="1" t="str">
        <f>IF(OR($B43="",AX$7=""),"",IF($B43="MEANS",INDEX('1-DATA'!$1:$1048576,$A42-1,COLUMN('1-DATA'!AW41)),ROUND(INDEX('1-DATA'!$1:$1048576,IF(OR($B43="STD. DEVIATION",$C$1=1),$A43,$A43+1),COLUMN('1-DATA'!AW41)),IF($B43="STD. DEVIATION",2,$F$1))))</f>
        <v/>
      </c>
      <c r="AY43" s="1" t="str">
        <f>IF(OR($B43="",AY$7=""),"",IF($B43="MEANS",INDEX('1-DATA'!$1:$1048576,$A42-1,COLUMN('1-DATA'!AX41)),ROUND(INDEX('1-DATA'!$1:$1048576,IF(OR($B43="STD. DEVIATION",$C$1=1),$A43,$A43+1),COLUMN('1-DATA'!AX41)),IF($B43="STD. DEVIATION",2,$F$1))))</f>
        <v/>
      </c>
      <c r="AZ43" s="1" t="str">
        <f>IF(OR($B43="",AZ$7=""),"",IF($B43="MEANS",INDEX('1-DATA'!$1:$1048576,$A42-1,COLUMN('1-DATA'!AY41)),ROUND(INDEX('1-DATA'!$1:$1048576,IF(OR($B43="STD. DEVIATION",$C$1=1),$A43,$A43+1),COLUMN('1-DATA'!AY41)),IF($B43="STD. DEVIATION",2,$F$1))))</f>
        <v/>
      </c>
    </row>
    <row r="44" spans="1:52" x14ac:dyDescent="0.25">
      <c r="A44" s="11">
        <f t="shared" si="1"/>
        <v>118</v>
      </c>
      <c r="B44" s="1" t="str">
        <f>IF(B43="STD. DEVIATION",INDEX('1-DATA'!$1:$1048576,$A43-1,1),IF(INDEX('1-DATA'!$1:$1048576,$A44,1)&lt;&gt;"",INDEX('1-DATA'!$1:$1048576,$A44,1),""))</f>
        <v/>
      </c>
      <c r="C44" s="1" t="str">
        <f>IF(OR($B44="",C$7=""),"",IF($B44="MEANS",INDEX('1-DATA'!$1:$1048576,$A43-1,COLUMN('1-DATA'!B42)),ROUND(INDEX('1-DATA'!$1:$1048576,IF(OR($B44="STD. DEVIATION",$C$1=1),$A44,$A44+1),COLUMN('1-DATA'!B42)),IF($B44="STD. DEVIATION",2,$F$1))))</f>
        <v/>
      </c>
      <c r="D44" s="1" t="str">
        <f>IF(OR($B44="",D$7=""),"",IF($B44="MEANS",INDEX('1-DATA'!$1:$1048576,$A43-1,COLUMN('1-DATA'!C42)),ROUND(INDEX('1-DATA'!$1:$1048576,IF(OR($B44="STD. DEVIATION",$C$1=1),$A44,$A44+1),COLUMN('1-DATA'!C42)),IF($B44="STD. DEVIATION",2,$F$1))))</f>
        <v/>
      </c>
      <c r="E44" s="1" t="str">
        <f>IF(OR($B44="",E$7=""),"",IF($B44="MEANS",INDEX('1-DATA'!$1:$1048576,$A43-1,COLUMN('1-DATA'!D42)),ROUND(INDEX('1-DATA'!$1:$1048576,IF(OR($B44="STD. DEVIATION",$C$1=1),$A44,$A44+1),COLUMN('1-DATA'!D42)),IF($B44="STD. DEVIATION",2,$F$1))))</f>
        <v/>
      </c>
      <c r="F44" s="1" t="str">
        <f>IF(OR($B44="",F$7=""),"",IF($B44="MEANS",INDEX('1-DATA'!$1:$1048576,$A43-1,COLUMN('1-DATA'!E42)),ROUND(INDEX('1-DATA'!$1:$1048576,IF(OR($B44="STD. DEVIATION",$C$1=1),$A44,$A44+1),COLUMN('1-DATA'!E42)),IF($B44="STD. DEVIATION",2,$F$1))))</f>
        <v/>
      </c>
      <c r="G44" s="1" t="str">
        <f>IF(OR($B44="",G$7=""),"",IF($B44="MEANS",INDEX('1-DATA'!$1:$1048576,$A43-1,COLUMN('1-DATA'!F42)),ROUND(INDEX('1-DATA'!$1:$1048576,IF(OR($B44="STD. DEVIATION",$C$1=1),$A44,$A44+1),COLUMN('1-DATA'!F42)),IF($B44="STD. DEVIATION",2,$F$1))))</f>
        <v/>
      </c>
      <c r="H44" s="1" t="str">
        <f>IF(OR($B44="",H$7=""),"",IF($B44="MEANS",INDEX('1-DATA'!$1:$1048576,$A43-1,COLUMN('1-DATA'!G42)),ROUND(INDEX('1-DATA'!$1:$1048576,IF(OR($B44="STD. DEVIATION",$C$1=1),$A44,$A44+1),COLUMN('1-DATA'!G42)),IF($B44="STD. DEVIATION",2,$F$1))))</f>
        <v/>
      </c>
      <c r="I44" s="1" t="str">
        <f>IF(OR($B44="",I$7=""),"",IF($B44="MEANS",INDEX('1-DATA'!$1:$1048576,$A43-1,COLUMN('1-DATA'!H42)),ROUND(INDEX('1-DATA'!$1:$1048576,IF(OR($B44="STD. DEVIATION",$C$1=1),$A44,$A44+1),COLUMN('1-DATA'!H42)),IF($B44="STD. DEVIATION",2,$F$1))))</f>
        <v/>
      </c>
      <c r="J44" s="1" t="str">
        <f>IF(OR($B44="",J$7=""),"",IF($B44="MEANS",INDEX('1-DATA'!$1:$1048576,$A43-1,COLUMN('1-DATA'!I42)),ROUND(INDEX('1-DATA'!$1:$1048576,IF(OR($B44="STD. DEVIATION",$C$1=1),$A44,$A44+1),COLUMN('1-DATA'!I42)),IF($B44="STD. DEVIATION",2,$F$1))))</f>
        <v/>
      </c>
      <c r="K44" s="1" t="str">
        <f>IF(OR($B44="",K$7=""),"",IF($B44="MEANS",INDEX('1-DATA'!$1:$1048576,$A43-1,COLUMN('1-DATA'!J42)),ROUND(INDEX('1-DATA'!$1:$1048576,IF(OR($B44="STD. DEVIATION",$C$1=1),$A44,$A44+1),COLUMN('1-DATA'!J42)),IF($B44="STD. DEVIATION",2,$F$1))))</f>
        <v/>
      </c>
      <c r="L44" s="1" t="str">
        <f>IF(OR($B44="",L$7=""),"",IF($B44="MEANS",INDEX('1-DATA'!$1:$1048576,$A43-1,COLUMN('1-DATA'!K42)),ROUND(INDEX('1-DATA'!$1:$1048576,IF(OR($B44="STD. DEVIATION",$C$1=1),$A44,$A44+1),COLUMN('1-DATA'!K42)),IF($B44="STD. DEVIATION",2,$F$1))))</f>
        <v/>
      </c>
      <c r="M44" s="1" t="str">
        <f>IF(OR($B44="",M$7=""),"",IF($B44="MEANS",INDEX('1-DATA'!$1:$1048576,$A43-1,COLUMN('1-DATA'!L42)),ROUND(INDEX('1-DATA'!$1:$1048576,IF(OR($B44="STD. DEVIATION",$C$1=1),$A44,$A44+1),COLUMN('1-DATA'!L42)),IF($B44="STD. DEVIATION",2,$F$1))))</f>
        <v/>
      </c>
      <c r="N44" s="1" t="str">
        <f>IF(OR($B44="",N$7=""),"",IF($B44="MEANS",INDEX('1-DATA'!$1:$1048576,$A43-1,COLUMN('1-DATA'!M42)),ROUND(INDEX('1-DATA'!$1:$1048576,IF(OR($B44="STD. DEVIATION",$C$1=1),$A44,$A44+1),COLUMN('1-DATA'!M42)),IF($B44="STD. DEVIATION",2,$F$1))))</f>
        <v/>
      </c>
      <c r="O44" s="1" t="str">
        <f>IF(OR($B44="",O$7=""),"",IF($B44="MEANS",INDEX('1-DATA'!$1:$1048576,$A43-1,COLUMN('1-DATA'!N42)),ROUND(INDEX('1-DATA'!$1:$1048576,IF(OR($B44="STD. DEVIATION",$C$1=1),$A44,$A44+1),COLUMN('1-DATA'!N42)),IF($B44="STD. DEVIATION",2,$F$1))))</f>
        <v/>
      </c>
      <c r="P44" s="1" t="str">
        <f>IF(OR($B44="",P$7=""),"",IF($B44="MEANS",INDEX('1-DATA'!$1:$1048576,$A43-1,COLUMN('1-DATA'!O42)),ROUND(INDEX('1-DATA'!$1:$1048576,IF(OR($B44="STD. DEVIATION",$C$1=1),$A44,$A44+1),COLUMN('1-DATA'!O42)),IF($B44="STD. DEVIATION",2,$F$1))))</f>
        <v/>
      </c>
      <c r="Q44" s="1" t="str">
        <f>IF(OR($B44="",Q$7=""),"",IF($B44="MEANS",INDEX('1-DATA'!$1:$1048576,$A43-1,COLUMN('1-DATA'!P42)),ROUND(INDEX('1-DATA'!$1:$1048576,IF(OR($B44="STD. DEVIATION",$C$1=1),$A44,$A44+1),COLUMN('1-DATA'!P42)),IF($B44="STD. DEVIATION",2,$F$1))))</f>
        <v/>
      </c>
      <c r="R44" s="1" t="str">
        <f>IF(OR($B44="",R$7=""),"",IF($B44="MEANS",INDEX('1-DATA'!$1:$1048576,$A43-1,COLUMN('1-DATA'!Q42)),ROUND(INDEX('1-DATA'!$1:$1048576,IF(OR($B44="STD. DEVIATION",$C$1=1),$A44,$A44+1),COLUMN('1-DATA'!Q42)),IF($B44="STD. DEVIATION",2,$F$1))))</f>
        <v/>
      </c>
      <c r="S44" s="1" t="str">
        <f>IF(OR($B44="",S$7=""),"",IF($B44="MEANS",INDEX('1-DATA'!$1:$1048576,$A43-1,COLUMN('1-DATA'!R42)),ROUND(INDEX('1-DATA'!$1:$1048576,IF(OR($B44="STD. DEVIATION",$C$1=1),$A44,$A44+1),COLUMN('1-DATA'!R42)),IF($B44="STD. DEVIATION",2,$F$1))))</f>
        <v/>
      </c>
      <c r="T44" s="1" t="str">
        <f>IF(OR($B44="",T$7=""),"",IF($B44="MEANS",INDEX('1-DATA'!$1:$1048576,$A43-1,COLUMN('1-DATA'!S42)),ROUND(INDEX('1-DATA'!$1:$1048576,IF(OR($B44="STD. DEVIATION",$C$1=1),$A44,$A44+1),COLUMN('1-DATA'!S42)),IF($B44="STD. DEVIATION",2,$F$1))))</f>
        <v/>
      </c>
      <c r="U44" s="1" t="str">
        <f>IF(OR($B44="",U$7=""),"",IF($B44="MEANS",INDEX('1-DATA'!$1:$1048576,$A43-1,COLUMN('1-DATA'!T42)),ROUND(INDEX('1-DATA'!$1:$1048576,IF(OR($B44="STD. DEVIATION",$C$1=1),$A44,$A44+1),COLUMN('1-DATA'!T42)),IF($B44="STD. DEVIATION",2,$F$1))))</f>
        <v/>
      </c>
      <c r="V44" s="1" t="str">
        <f>IF(OR($B44="",V$7=""),"",IF($B44="MEANS",INDEX('1-DATA'!$1:$1048576,$A43-1,COLUMN('1-DATA'!U42)),ROUND(INDEX('1-DATA'!$1:$1048576,IF(OR($B44="STD. DEVIATION",$C$1=1),$A44,$A44+1),COLUMN('1-DATA'!U42)),IF($B44="STD. DEVIATION",2,$F$1))))</f>
        <v/>
      </c>
      <c r="W44" s="1" t="str">
        <f>IF(OR($B44="",W$7=""),"",IF($B44="MEANS",INDEX('1-DATA'!$1:$1048576,$A43-1,COLUMN('1-DATA'!V42)),ROUND(INDEX('1-DATA'!$1:$1048576,IF(OR($B44="STD. DEVIATION",$C$1=1),$A44,$A44+1),COLUMN('1-DATA'!V42)),IF($B44="STD. DEVIATION",2,$F$1))))</f>
        <v/>
      </c>
      <c r="X44" s="1" t="str">
        <f>IF(OR($B44="",X$7=""),"",IF($B44="MEANS",INDEX('1-DATA'!$1:$1048576,$A43-1,COLUMN('1-DATA'!W42)),ROUND(INDEX('1-DATA'!$1:$1048576,IF(OR($B44="STD. DEVIATION",$C$1=1),$A44,$A44+1),COLUMN('1-DATA'!W42)),IF($B44="STD. DEVIATION",2,$F$1))))</f>
        <v/>
      </c>
      <c r="Y44" s="1" t="str">
        <f>IF(OR($B44="",Y$7=""),"",IF($B44="MEANS",INDEX('1-DATA'!$1:$1048576,$A43-1,COLUMN('1-DATA'!X42)),ROUND(INDEX('1-DATA'!$1:$1048576,IF(OR($B44="STD. DEVIATION",$C$1=1),$A44,$A44+1),COLUMN('1-DATA'!X42)),IF($B44="STD. DEVIATION",2,$F$1))))</f>
        <v/>
      </c>
      <c r="Z44" s="1" t="str">
        <f>IF(OR($B44="",Z$7=""),"",IF($B44="MEANS",INDEX('1-DATA'!$1:$1048576,$A43-1,COLUMN('1-DATA'!Y42)),ROUND(INDEX('1-DATA'!$1:$1048576,IF(OR($B44="STD. DEVIATION",$C$1=1),$A44,$A44+1),COLUMN('1-DATA'!Y42)),IF($B44="STD. DEVIATION",2,$F$1))))</f>
        <v/>
      </c>
      <c r="AA44" s="1" t="str">
        <f>IF(OR($B44="",AA$7=""),"",IF($B44="MEANS",INDEX('1-DATA'!$1:$1048576,$A43-1,COLUMN('1-DATA'!Z42)),ROUND(INDEX('1-DATA'!$1:$1048576,IF(OR($B44="STD. DEVIATION",$C$1=1),$A44,$A44+1),COLUMN('1-DATA'!Z42)),IF($B44="STD. DEVIATION",2,$F$1))))</f>
        <v/>
      </c>
      <c r="AB44" s="1" t="str">
        <f>IF(OR($B44="",AB$7=""),"",IF($B44="MEANS",INDEX('1-DATA'!$1:$1048576,$A43-1,COLUMN('1-DATA'!AA42)),ROUND(INDEX('1-DATA'!$1:$1048576,IF(OR($B44="STD. DEVIATION",$C$1=1),$A44,$A44+1),COLUMN('1-DATA'!AA42)),IF($B44="STD. DEVIATION",2,$F$1))))</f>
        <v/>
      </c>
      <c r="AC44" s="1" t="str">
        <f>IF(OR($B44="",AC$7=""),"",IF($B44="MEANS",INDEX('1-DATA'!$1:$1048576,$A43-1,COLUMN('1-DATA'!AB42)),ROUND(INDEX('1-DATA'!$1:$1048576,IF(OR($B44="STD. DEVIATION",$C$1=1),$A44,$A44+1),COLUMN('1-DATA'!AB42)),IF($B44="STD. DEVIATION",2,$F$1))))</f>
        <v/>
      </c>
      <c r="AD44" s="1" t="str">
        <f>IF(OR($B44="",AD$7=""),"",IF($B44="MEANS",INDEX('1-DATA'!$1:$1048576,$A43-1,COLUMN('1-DATA'!AC42)),ROUND(INDEX('1-DATA'!$1:$1048576,IF(OR($B44="STD. DEVIATION",$C$1=1),$A44,$A44+1),COLUMN('1-DATA'!AC42)),IF($B44="STD. DEVIATION",2,$F$1))))</f>
        <v/>
      </c>
      <c r="AE44" s="1" t="str">
        <f>IF(OR($B44="",AE$7=""),"",IF($B44="MEANS",INDEX('1-DATA'!$1:$1048576,$A43-1,COLUMN('1-DATA'!AD42)),ROUND(INDEX('1-DATA'!$1:$1048576,IF(OR($B44="STD. DEVIATION",$C$1=1),$A44,$A44+1),COLUMN('1-DATA'!AD42)),IF($B44="STD. DEVIATION",2,$F$1))))</f>
        <v/>
      </c>
      <c r="AF44" s="1" t="str">
        <f>IF(OR($B44="",AF$7=""),"",IF($B44="MEANS",INDEX('1-DATA'!$1:$1048576,$A43-1,COLUMN('1-DATA'!AE42)),ROUND(INDEX('1-DATA'!$1:$1048576,IF(OR($B44="STD. DEVIATION",$C$1=1),$A44,$A44+1),COLUMN('1-DATA'!AE42)),IF($B44="STD. DEVIATION",2,$F$1))))</f>
        <v/>
      </c>
      <c r="AG44" s="1" t="str">
        <f>IF(OR($B44="",AG$7=""),"",IF($B44="MEANS",INDEX('1-DATA'!$1:$1048576,$A43-1,COLUMN('1-DATA'!AF42)),ROUND(INDEX('1-DATA'!$1:$1048576,IF(OR($B44="STD. DEVIATION",$C$1=1),$A44,$A44+1),COLUMN('1-DATA'!AF42)),IF($B44="STD. DEVIATION",2,$F$1))))</f>
        <v/>
      </c>
      <c r="AH44" s="1" t="str">
        <f>IF(OR($B44="",AH$7=""),"",IF($B44="MEANS",INDEX('1-DATA'!$1:$1048576,$A43-1,COLUMN('1-DATA'!AG42)),ROUND(INDEX('1-DATA'!$1:$1048576,IF(OR($B44="STD. DEVIATION",$C$1=1),$A44,$A44+1),COLUMN('1-DATA'!AG42)),IF($B44="STD. DEVIATION",2,$F$1))))</f>
        <v/>
      </c>
      <c r="AI44" s="1" t="str">
        <f>IF(OR($B44="",AI$7=""),"",IF($B44="MEANS",INDEX('1-DATA'!$1:$1048576,$A43-1,COLUMN('1-DATA'!AH42)),ROUND(INDEX('1-DATA'!$1:$1048576,IF(OR($B44="STD. DEVIATION",$C$1=1),$A44,$A44+1),COLUMN('1-DATA'!AH42)),IF($B44="STD. DEVIATION",2,$F$1))))</f>
        <v/>
      </c>
      <c r="AJ44" s="1" t="str">
        <f>IF(OR($B44="",AJ$7=""),"",IF($B44="MEANS",INDEX('1-DATA'!$1:$1048576,$A43-1,COLUMN('1-DATA'!AI42)),ROUND(INDEX('1-DATA'!$1:$1048576,IF(OR($B44="STD. DEVIATION",$C$1=1),$A44,$A44+1),COLUMN('1-DATA'!AI42)),IF($B44="STD. DEVIATION",2,$F$1))))</f>
        <v/>
      </c>
      <c r="AK44" s="1" t="str">
        <f>IF(OR($B44="",AK$7=""),"",IF($B44="MEANS",INDEX('1-DATA'!$1:$1048576,$A43-1,COLUMN('1-DATA'!AJ42)),ROUND(INDEX('1-DATA'!$1:$1048576,IF(OR($B44="STD. DEVIATION",$C$1=1),$A44,$A44+1),COLUMN('1-DATA'!AJ42)),IF($B44="STD. DEVIATION",2,$F$1))))</f>
        <v/>
      </c>
      <c r="AL44" s="1" t="str">
        <f>IF(OR($B44="",AL$7=""),"",IF($B44="MEANS",INDEX('1-DATA'!$1:$1048576,$A43-1,COLUMN('1-DATA'!AK42)),ROUND(INDEX('1-DATA'!$1:$1048576,IF(OR($B44="STD. DEVIATION",$C$1=1),$A44,$A44+1),COLUMN('1-DATA'!AK42)),IF($B44="STD. DEVIATION",2,$F$1))))</f>
        <v/>
      </c>
      <c r="AM44" s="1" t="str">
        <f>IF(OR($B44="",AM$7=""),"",IF($B44="MEANS",INDEX('1-DATA'!$1:$1048576,$A43-1,COLUMN('1-DATA'!AL42)),ROUND(INDEX('1-DATA'!$1:$1048576,IF(OR($B44="STD. DEVIATION",$C$1=1),$A44,$A44+1),COLUMN('1-DATA'!AL42)),IF($B44="STD. DEVIATION",2,$F$1))))</f>
        <v/>
      </c>
      <c r="AN44" s="1" t="str">
        <f>IF(OR($B44="",AN$7=""),"",IF($B44="MEANS",INDEX('1-DATA'!$1:$1048576,$A43-1,COLUMN('1-DATA'!AM42)),ROUND(INDEX('1-DATA'!$1:$1048576,IF(OR($B44="STD. DEVIATION",$C$1=1),$A44,$A44+1),COLUMN('1-DATA'!AM42)),IF($B44="STD. DEVIATION",2,$F$1))))</f>
        <v/>
      </c>
      <c r="AO44" s="1" t="str">
        <f>IF(OR($B44="",AO$7=""),"",IF($B44="MEANS",INDEX('1-DATA'!$1:$1048576,$A43-1,COLUMN('1-DATA'!AN42)),ROUND(INDEX('1-DATA'!$1:$1048576,IF(OR($B44="STD. DEVIATION",$C$1=1),$A44,$A44+1),COLUMN('1-DATA'!AN42)),IF($B44="STD. DEVIATION",2,$F$1))))</f>
        <v/>
      </c>
      <c r="AP44" s="1" t="str">
        <f>IF(OR($B44="",AP$7=""),"",IF($B44="MEANS",INDEX('1-DATA'!$1:$1048576,$A43-1,COLUMN('1-DATA'!AO42)),ROUND(INDEX('1-DATA'!$1:$1048576,IF(OR($B44="STD. DEVIATION",$C$1=1),$A44,$A44+1),COLUMN('1-DATA'!AO42)),IF($B44="STD. DEVIATION",2,$F$1))))</f>
        <v/>
      </c>
      <c r="AQ44" s="1" t="str">
        <f>IF(OR($B44="",AQ$7=""),"",IF($B44="MEANS",INDEX('1-DATA'!$1:$1048576,$A43-1,COLUMN('1-DATA'!AP42)),ROUND(INDEX('1-DATA'!$1:$1048576,IF(OR($B44="STD. DEVIATION",$C$1=1),$A44,$A44+1),COLUMN('1-DATA'!AP42)),IF($B44="STD. DEVIATION",2,$F$1))))</f>
        <v/>
      </c>
      <c r="AR44" s="1" t="str">
        <f>IF(OR($B44="",AR$7=""),"",IF($B44="MEANS",INDEX('1-DATA'!$1:$1048576,$A43-1,COLUMN('1-DATA'!AQ42)),ROUND(INDEX('1-DATA'!$1:$1048576,IF(OR($B44="STD. DEVIATION",$C$1=1),$A44,$A44+1),COLUMN('1-DATA'!AQ42)),IF($B44="STD. DEVIATION",2,$F$1))))</f>
        <v/>
      </c>
      <c r="AS44" s="1" t="str">
        <f>IF(OR($B44="",AS$7=""),"",IF($B44="MEANS",INDEX('1-DATA'!$1:$1048576,$A43-1,COLUMN('1-DATA'!AR42)),ROUND(INDEX('1-DATA'!$1:$1048576,IF(OR($B44="STD. DEVIATION",$C$1=1),$A44,$A44+1),COLUMN('1-DATA'!AR42)),IF($B44="STD. DEVIATION",2,$F$1))))</f>
        <v/>
      </c>
      <c r="AT44" s="1" t="str">
        <f>IF(OR($B44="",AT$7=""),"",IF($B44="MEANS",INDEX('1-DATA'!$1:$1048576,$A43-1,COLUMN('1-DATA'!AS42)),ROUND(INDEX('1-DATA'!$1:$1048576,IF(OR($B44="STD. DEVIATION",$C$1=1),$A44,$A44+1),COLUMN('1-DATA'!AS42)),IF($B44="STD. DEVIATION",2,$F$1))))</f>
        <v/>
      </c>
      <c r="AU44" s="1" t="str">
        <f>IF(OR($B44="",AU$7=""),"",IF($B44="MEANS",INDEX('1-DATA'!$1:$1048576,$A43-1,COLUMN('1-DATA'!AT42)),ROUND(INDEX('1-DATA'!$1:$1048576,IF(OR($B44="STD. DEVIATION",$C$1=1),$A44,$A44+1),COLUMN('1-DATA'!AT42)),IF($B44="STD. DEVIATION",2,$F$1))))</f>
        <v/>
      </c>
      <c r="AV44" s="1" t="str">
        <f>IF(OR($B44="",AV$7=""),"",IF($B44="MEANS",INDEX('1-DATA'!$1:$1048576,$A43-1,COLUMN('1-DATA'!AU42)),ROUND(INDEX('1-DATA'!$1:$1048576,IF(OR($B44="STD. DEVIATION",$C$1=1),$A44,$A44+1),COLUMN('1-DATA'!AU42)),IF($B44="STD. DEVIATION",2,$F$1))))</f>
        <v/>
      </c>
      <c r="AW44" s="1" t="str">
        <f>IF(OR($B44="",AW$7=""),"",IF($B44="MEANS",INDEX('1-DATA'!$1:$1048576,$A43-1,COLUMN('1-DATA'!AV42)),ROUND(INDEX('1-DATA'!$1:$1048576,IF(OR($B44="STD. DEVIATION",$C$1=1),$A44,$A44+1),COLUMN('1-DATA'!AV42)),IF($B44="STD. DEVIATION",2,$F$1))))</f>
        <v/>
      </c>
      <c r="AX44" s="1" t="str">
        <f>IF(OR($B44="",AX$7=""),"",IF($B44="MEANS",INDEX('1-DATA'!$1:$1048576,$A43-1,COLUMN('1-DATA'!AW42)),ROUND(INDEX('1-DATA'!$1:$1048576,IF(OR($B44="STD. DEVIATION",$C$1=1),$A44,$A44+1),COLUMN('1-DATA'!AW42)),IF($B44="STD. DEVIATION",2,$F$1))))</f>
        <v/>
      </c>
      <c r="AY44" s="1" t="str">
        <f>IF(OR($B44="",AY$7=""),"",IF($B44="MEANS",INDEX('1-DATA'!$1:$1048576,$A43-1,COLUMN('1-DATA'!AX42)),ROUND(INDEX('1-DATA'!$1:$1048576,IF(OR($B44="STD. DEVIATION",$C$1=1),$A44,$A44+1),COLUMN('1-DATA'!AX42)),IF($B44="STD. DEVIATION",2,$F$1))))</f>
        <v/>
      </c>
      <c r="AZ44" s="1" t="str">
        <f>IF(OR($B44="",AZ$7=""),"",IF($B44="MEANS",INDEX('1-DATA'!$1:$1048576,$A43-1,COLUMN('1-DATA'!AY42)),ROUND(INDEX('1-DATA'!$1:$1048576,IF(OR($B44="STD. DEVIATION",$C$1=1),$A44,$A44+1),COLUMN('1-DATA'!AY42)),IF($B44="STD. DEVIATION",2,$F$1))))</f>
        <v/>
      </c>
    </row>
    <row r="45" spans="1:52" x14ac:dyDescent="0.25">
      <c r="A45" s="11">
        <f t="shared" si="1"/>
        <v>121</v>
      </c>
      <c r="B45" s="1" t="str">
        <f>IF(B44="STD. DEVIATION",INDEX('1-DATA'!$1:$1048576,$A44-1,1),IF(INDEX('1-DATA'!$1:$1048576,$A45,1)&lt;&gt;"",INDEX('1-DATA'!$1:$1048576,$A45,1),""))</f>
        <v/>
      </c>
      <c r="C45" s="1" t="str">
        <f>IF(OR($B45="",C$7=""),"",IF($B45="MEANS",INDEX('1-DATA'!$1:$1048576,$A44-1,COLUMN('1-DATA'!B43)),ROUND(INDEX('1-DATA'!$1:$1048576,IF(OR($B45="STD. DEVIATION",$C$1=1),$A45,$A45+1),COLUMN('1-DATA'!B43)),IF($B45="STD. DEVIATION",2,$F$1))))</f>
        <v/>
      </c>
      <c r="D45" s="1" t="str">
        <f>IF(OR($B45="",D$7=""),"",IF($B45="MEANS",INDEX('1-DATA'!$1:$1048576,$A44-1,COLUMN('1-DATA'!C43)),ROUND(INDEX('1-DATA'!$1:$1048576,IF(OR($B45="STD. DEVIATION",$C$1=1),$A45,$A45+1),COLUMN('1-DATA'!C43)),IF($B45="STD. DEVIATION",2,$F$1))))</f>
        <v/>
      </c>
      <c r="E45" s="1" t="str">
        <f>IF(OR($B45="",E$7=""),"",IF($B45="MEANS",INDEX('1-DATA'!$1:$1048576,$A44-1,COLUMN('1-DATA'!D43)),ROUND(INDEX('1-DATA'!$1:$1048576,IF(OR($B45="STD. DEVIATION",$C$1=1),$A45,$A45+1),COLUMN('1-DATA'!D43)),IF($B45="STD. DEVIATION",2,$F$1))))</f>
        <v/>
      </c>
      <c r="F45" s="1" t="str">
        <f>IF(OR($B45="",F$7=""),"",IF($B45="MEANS",INDEX('1-DATA'!$1:$1048576,$A44-1,COLUMN('1-DATA'!E43)),ROUND(INDEX('1-DATA'!$1:$1048576,IF(OR($B45="STD. DEVIATION",$C$1=1),$A45,$A45+1),COLUMN('1-DATA'!E43)),IF($B45="STD. DEVIATION",2,$F$1))))</f>
        <v/>
      </c>
      <c r="G45" s="1" t="str">
        <f>IF(OR($B45="",G$7=""),"",IF($B45="MEANS",INDEX('1-DATA'!$1:$1048576,$A44-1,COLUMN('1-DATA'!F43)),ROUND(INDEX('1-DATA'!$1:$1048576,IF(OR($B45="STD. DEVIATION",$C$1=1),$A45,$A45+1),COLUMN('1-DATA'!F43)),IF($B45="STD. DEVIATION",2,$F$1))))</f>
        <v/>
      </c>
      <c r="H45" s="1" t="str">
        <f>IF(OR($B45="",H$7=""),"",IF($B45="MEANS",INDEX('1-DATA'!$1:$1048576,$A44-1,COLUMN('1-DATA'!G43)),ROUND(INDEX('1-DATA'!$1:$1048576,IF(OR($B45="STD. DEVIATION",$C$1=1),$A45,$A45+1),COLUMN('1-DATA'!G43)),IF($B45="STD. DEVIATION",2,$F$1))))</f>
        <v/>
      </c>
      <c r="I45" s="1" t="str">
        <f>IF(OR($B45="",I$7=""),"",IF($B45="MEANS",INDEX('1-DATA'!$1:$1048576,$A44-1,COLUMN('1-DATA'!H43)),ROUND(INDEX('1-DATA'!$1:$1048576,IF(OR($B45="STD. DEVIATION",$C$1=1),$A45,$A45+1),COLUMN('1-DATA'!H43)),IF($B45="STD. DEVIATION",2,$F$1))))</f>
        <v/>
      </c>
      <c r="J45" s="1" t="str">
        <f>IF(OR($B45="",J$7=""),"",IF($B45="MEANS",INDEX('1-DATA'!$1:$1048576,$A44-1,COLUMN('1-DATA'!I43)),ROUND(INDEX('1-DATA'!$1:$1048576,IF(OR($B45="STD. DEVIATION",$C$1=1),$A45,$A45+1),COLUMN('1-DATA'!I43)),IF($B45="STD. DEVIATION",2,$F$1))))</f>
        <v/>
      </c>
      <c r="K45" s="1" t="str">
        <f>IF(OR($B45="",K$7=""),"",IF($B45="MEANS",INDEX('1-DATA'!$1:$1048576,$A44-1,COLUMN('1-DATA'!J43)),ROUND(INDEX('1-DATA'!$1:$1048576,IF(OR($B45="STD. DEVIATION",$C$1=1),$A45,$A45+1),COLUMN('1-DATA'!J43)),IF($B45="STD. DEVIATION",2,$F$1))))</f>
        <v/>
      </c>
      <c r="L45" s="1" t="str">
        <f>IF(OR($B45="",L$7=""),"",IF($B45="MEANS",INDEX('1-DATA'!$1:$1048576,$A44-1,COLUMN('1-DATA'!K43)),ROUND(INDEX('1-DATA'!$1:$1048576,IF(OR($B45="STD. DEVIATION",$C$1=1),$A45,$A45+1),COLUMN('1-DATA'!K43)),IF($B45="STD. DEVIATION",2,$F$1))))</f>
        <v/>
      </c>
      <c r="M45" s="1" t="str">
        <f>IF(OR($B45="",M$7=""),"",IF($B45="MEANS",INDEX('1-DATA'!$1:$1048576,$A44-1,COLUMN('1-DATA'!L43)),ROUND(INDEX('1-DATA'!$1:$1048576,IF(OR($B45="STD. DEVIATION",$C$1=1),$A45,$A45+1),COLUMN('1-DATA'!L43)),IF($B45="STD. DEVIATION",2,$F$1))))</f>
        <v/>
      </c>
      <c r="N45" s="1" t="str">
        <f>IF(OR($B45="",N$7=""),"",IF($B45="MEANS",INDEX('1-DATA'!$1:$1048576,$A44-1,COLUMN('1-DATA'!M43)),ROUND(INDEX('1-DATA'!$1:$1048576,IF(OR($B45="STD. DEVIATION",$C$1=1),$A45,$A45+1),COLUMN('1-DATA'!M43)),IF($B45="STD. DEVIATION",2,$F$1))))</f>
        <v/>
      </c>
      <c r="O45" s="1" t="str">
        <f>IF(OR($B45="",O$7=""),"",IF($B45="MEANS",INDEX('1-DATA'!$1:$1048576,$A44-1,COLUMN('1-DATA'!N43)),ROUND(INDEX('1-DATA'!$1:$1048576,IF(OR($B45="STD. DEVIATION",$C$1=1),$A45,$A45+1),COLUMN('1-DATA'!N43)),IF($B45="STD. DEVIATION",2,$F$1))))</f>
        <v/>
      </c>
      <c r="P45" s="1" t="str">
        <f>IF(OR($B45="",P$7=""),"",IF($B45="MEANS",INDEX('1-DATA'!$1:$1048576,$A44-1,COLUMN('1-DATA'!O43)),ROUND(INDEX('1-DATA'!$1:$1048576,IF(OR($B45="STD. DEVIATION",$C$1=1),$A45,$A45+1),COLUMN('1-DATA'!O43)),IF($B45="STD. DEVIATION",2,$F$1))))</f>
        <v/>
      </c>
      <c r="Q45" s="1" t="str">
        <f>IF(OR($B45="",Q$7=""),"",IF($B45="MEANS",INDEX('1-DATA'!$1:$1048576,$A44-1,COLUMN('1-DATA'!P43)),ROUND(INDEX('1-DATA'!$1:$1048576,IF(OR($B45="STD. DEVIATION",$C$1=1),$A45,$A45+1),COLUMN('1-DATA'!P43)),IF($B45="STD. DEVIATION",2,$F$1))))</f>
        <v/>
      </c>
      <c r="R45" s="1" t="str">
        <f>IF(OR($B45="",R$7=""),"",IF($B45="MEANS",INDEX('1-DATA'!$1:$1048576,$A44-1,COLUMN('1-DATA'!Q43)),ROUND(INDEX('1-DATA'!$1:$1048576,IF(OR($B45="STD. DEVIATION",$C$1=1),$A45,$A45+1),COLUMN('1-DATA'!Q43)),IF($B45="STD. DEVIATION",2,$F$1))))</f>
        <v/>
      </c>
      <c r="S45" s="1" t="str">
        <f>IF(OR($B45="",S$7=""),"",IF($B45="MEANS",INDEX('1-DATA'!$1:$1048576,$A44-1,COLUMN('1-DATA'!R43)),ROUND(INDEX('1-DATA'!$1:$1048576,IF(OR($B45="STD. DEVIATION",$C$1=1),$A45,$A45+1),COLUMN('1-DATA'!R43)),IF($B45="STD. DEVIATION",2,$F$1))))</f>
        <v/>
      </c>
      <c r="T45" s="1" t="str">
        <f>IF(OR($B45="",T$7=""),"",IF($B45="MEANS",INDEX('1-DATA'!$1:$1048576,$A44-1,COLUMN('1-DATA'!S43)),ROUND(INDEX('1-DATA'!$1:$1048576,IF(OR($B45="STD. DEVIATION",$C$1=1),$A45,$A45+1),COLUMN('1-DATA'!S43)),IF($B45="STD. DEVIATION",2,$F$1))))</f>
        <v/>
      </c>
      <c r="U45" s="1" t="str">
        <f>IF(OR($B45="",U$7=""),"",IF($B45="MEANS",INDEX('1-DATA'!$1:$1048576,$A44-1,COLUMN('1-DATA'!T43)),ROUND(INDEX('1-DATA'!$1:$1048576,IF(OR($B45="STD. DEVIATION",$C$1=1),$A45,$A45+1),COLUMN('1-DATA'!T43)),IF($B45="STD. DEVIATION",2,$F$1))))</f>
        <v/>
      </c>
      <c r="V45" s="1" t="str">
        <f>IF(OR($B45="",V$7=""),"",IF($B45="MEANS",INDEX('1-DATA'!$1:$1048576,$A44-1,COLUMN('1-DATA'!U43)),ROUND(INDEX('1-DATA'!$1:$1048576,IF(OR($B45="STD. DEVIATION",$C$1=1),$A45,$A45+1),COLUMN('1-DATA'!U43)),IF($B45="STD. DEVIATION",2,$F$1))))</f>
        <v/>
      </c>
      <c r="W45" s="1" t="str">
        <f>IF(OR($B45="",W$7=""),"",IF($B45="MEANS",INDEX('1-DATA'!$1:$1048576,$A44-1,COLUMN('1-DATA'!V43)),ROUND(INDEX('1-DATA'!$1:$1048576,IF(OR($B45="STD. DEVIATION",$C$1=1),$A45,$A45+1),COLUMN('1-DATA'!V43)),IF($B45="STD. DEVIATION",2,$F$1))))</f>
        <v/>
      </c>
      <c r="X45" s="1" t="str">
        <f>IF(OR($B45="",X$7=""),"",IF($B45="MEANS",INDEX('1-DATA'!$1:$1048576,$A44-1,COLUMN('1-DATA'!W43)),ROUND(INDEX('1-DATA'!$1:$1048576,IF(OR($B45="STD. DEVIATION",$C$1=1),$A45,$A45+1),COLUMN('1-DATA'!W43)),IF($B45="STD. DEVIATION",2,$F$1))))</f>
        <v/>
      </c>
      <c r="Y45" s="1" t="str">
        <f>IF(OR($B45="",Y$7=""),"",IF($B45="MEANS",INDEX('1-DATA'!$1:$1048576,$A44-1,COLUMN('1-DATA'!X43)),ROUND(INDEX('1-DATA'!$1:$1048576,IF(OR($B45="STD. DEVIATION",$C$1=1),$A45,$A45+1),COLUMN('1-DATA'!X43)),IF($B45="STD. DEVIATION",2,$F$1))))</f>
        <v/>
      </c>
      <c r="Z45" s="1" t="str">
        <f>IF(OR($B45="",Z$7=""),"",IF($B45="MEANS",INDEX('1-DATA'!$1:$1048576,$A44-1,COLUMN('1-DATA'!Y43)),ROUND(INDEX('1-DATA'!$1:$1048576,IF(OR($B45="STD. DEVIATION",$C$1=1),$A45,$A45+1),COLUMN('1-DATA'!Y43)),IF($B45="STD. DEVIATION",2,$F$1))))</f>
        <v/>
      </c>
      <c r="AA45" s="1" t="str">
        <f>IF(OR($B45="",AA$7=""),"",IF($B45="MEANS",INDEX('1-DATA'!$1:$1048576,$A44-1,COLUMN('1-DATA'!Z43)),ROUND(INDEX('1-DATA'!$1:$1048576,IF(OR($B45="STD. DEVIATION",$C$1=1),$A45,$A45+1),COLUMN('1-DATA'!Z43)),IF($B45="STD. DEVIATION",2,$F$1))))</f>
        <v/>
      </c>
      <c r="AB45" s="1" t="str">
        <f>IF(OR($B45="",AB$7=""),"",IF($B45="MEANS",INDEX('1-DATA'!$1:$1048576,$A44-1,COLUMN('1-DATA'!AA43)),ROUND(INDEX('1-DATA'!$1:$1048576,IF(OR($B45="STD. DEVIATION",$C$1=1),$A45,$A45+1),COLUMN('1-DATA'!AA43)),IF($B45="STD. DEVIATION",2,$F$1))))</f>
        <v/>
      </c>
      <c r="AC45" s="1" t="str">
        <f>IF(OR($B45="",AC$7=""),"",IF($B45="MEANS",INDEX('1-DATA'!$1:$1048576,$A44-1,COLUMN('1-DATA'!AB43)),ROUND(INDEX('1-DATA'!$1:$1048576,IF(OR($B45="STD. DEVIATION",$C$1=1),$A45,$A45+1),COLUMN('1-DATA'!AB43)),IF($B45="STD. DEVIATION",2,$F$1))))</f>
        <v/>
      </c>
      <c r="AD45" s="1" t="str">
        <f>IF(OR($B45="",AD$7=""),"",IF($B45="MEANS",INDEX('1-DATA'!$1:$1048576,$A44-1,COLUMN('1-DATA'!AC43)),ROUND(INDEX('1-DATA'!$1:$1048576,IF(OR($B45="STD. DEVIATION",$C$1=1),$A45,$A45+1),COLUMN('1-DATA'!AC43)),IF($B45="STD. DEVIATION",2,$F$1))))</f>
        <v/>
      </c>
      <c r="AE45" s="1" t="str">
        <f>IF(OR($B45="",AE$7=""),"",IF($B45="MEANS",INDEX('1-DATA'!$1:$1048576,$A44-1,COLUMN('1-DATA'!AD43)),ROUND(INDEX('1-DATA'!$1:$1048576,IF(OR($B45="STD. DEVIATION",$C$1=1),$A45,$A45+1),COLUMN('1-DATA'!AD43)),IF($B45="STD. DEVIATION",2,$F$1))))</f>
        <v/>
      </c>
      <c r="AF45" s="1" t="str">
        <f>IF(OR($B45="",AF$7=""),"",IF($B45="MEANS",INDEX('1-DATA'!$1:$1048576,$A44-1,COLUMN('1-DATA'!AE43)),ROUND(INDEX('1-DATA'!$1:$1048576,IF(OR($B45="STD. DEVIATION",$C$1=1),$A45,$A45+1),COLUMN('1-DATA'!AE43)),IF($B45="STD. DEVIATION",2,$F$1))))</f>
        <v/>
      </c>
      <c r="AG45" s="1" t="str">
        <f>IF(OR($B45="",AG$7=""),"",IF($B45="MEANS",INDEX('1-DATA'!$1:$1048576,$A44-1,COLUMN('1-DATA'!AF43)),ROUND(INDEX('1-DATA'!$1:$1048576,IF(OR($B45="STD. DEVIATION",$C$1=1),$A45,$A45+1),COLUMN('1-DATA'!AF43)),IF($B45="STD. DEVIATION",2,$F$1))))</f>
        <v/>
      </c>
      <c r="AH45" s="1" t="str">
        <f>IF(OR($B45="",AH$7=""),"",IF($B45="MEANS",INDEX('1-DATA'!$1:$1048576,$A44-1,COLUMN('1-DATA'!AG43)),ROUND(INDEX('1-DATA'!$1:$1048576,IF(OR($B45="STD. DEVIATION",$C$1=1),$A45,$A45+1),COLUMN('1-DATA'!AG43)),IF($B45="STD. DEVIATION",2,$F$1))))</f>
        <v/>
      </c>
      <c r="AI45" s="1" t="str">
        <f>IF(OR($B45="",AI$7=""),"",IF($B45="MEANS",INDEX('1-DATA'!$1:$1048576,$A44-1,COLUMN('1-DATA'!AH43)),ROUND(INDEX('1-DATA'!$1:$1048576,IF(OR($B45="STD. DEVIATION",$C$1=1),$A45,$A45+1),COLUMN('1-DATA'!AH43)),IF($B45="STD. DEVIATION",2,$F$1))))</f>
        <v/>
      </c>
      <c r="AJ45" s="1" t="str">
        <f>IF(OR($B45="",AJ$7=""),"",IF($B45="MEANS",INDEX('1-DATA'!$1:$1048576,$A44-1,COLUMN('1-DATA'!AI43)),ROUND(INDEX('1-DATA'!$1:$1048576,IF(OR($B45="STD. DEVIATION",$C$1=1),$A45,$A45+1),COLUMN('1-DATA'!AI43)),IF($B45="STD. DEVIATION",2,$F$1))))</f>
        <v/>
      </c>
      <c r="AK45" s="1" t="str">
        <f>IF(OR($B45="",AK$7=""),"",IF($B45="MEANS",INDEX('1-DATA'!$1:$1048576,$A44-1,COLUMN('1-DATA'!AJ43)),ROUND(INDEX('1-DATA'!$1:$1048576,IF(OR($B45="STD. DEVIATION",$C$1=1),$A45,$A45+1),COLUMN('1-DATA'!AJ43)),IF($B45="STD. DEVIATION",2,$F$1))))</f>
        <v/>
      </c>
      <c r="AL45" s="1" t="str">
        <f>IF(OR($B45="",AL$7=""),"",IF($B45="MEANS",INDEX('1-DATA'!$1:$1048576,$A44-1,COLUMN('1-DATA'!AK43)),ROUND(INDEX('1-DATA'!$1:$1048576,IF(OR($B45="STD. DEVIATION",$C$1=1),$A45,$A45+1),COLUMN('1-DATA'!AK43)),IF($B45="STD. DEVIATION",2,$F$1))))</f>
        <v/>
      </c>
      <c r="AM45" s="1" t="str">
        <f>IF(OR($B45="",AM$7=""),"",IF($B45="MEANS",INDEX('1-DATA'!$1:$1048576,$A44-1,COLUMN('1-DATA'!AL43)),ROUND(INDEX('1-DATA'!$1:$1048576,IF(OR($B45="STD. DEVIATION",$C$1=1),$A45,$A45+1),COLUMN('1-DATA'!AL43)),IF($B45="STD. DEVIATION",2,$F$1))))</f>
        <v/>
      </c>
      <c r="AN45" s="1" t="str">
        <f>IF(OR($B45="",AN$7=""),"",IF($B45="MEANS",INDEX('1-DATA'!$1:$1048576,$A44-1,COLUMN('1-DATA'!AM43)),ROUND(INDEX('1-DATA'!$1:$1048576,IF(OR($B45="STD. DEVIATION",$C$1=1),$A45,$A45+1),COLUMN('1-DATA'!AM43)),IF($B45="STD. DEVIATION",2,$F$1))))</f>
        <v/>
      </c>
      <c r="AO45" s="1" t="str">
        <f>IF(OR($B45="",AO$7=""),"",IF($B45="MEANS",INDEX('1-DATA'!$1:$1048576,$A44-1,COLUMN('1-DATA'!AN43)),ROUND(INDEX('1-DATA'!$1:$1048576,IF(OR($B45="STD. DEVIATION",$C$1=1),$A45,$A45+1),COLUMN('1-DATA'!AN43)),IF($B45="STD. DEVIATION",2,$F$1))))</f>
        <v/>
      </c>
      <c r="AP45" s="1" t="str">
        <f>IF(OR($B45="",AP$7=""),"",IF($B45="MEANS",INDEX('1-DATA'!$1:$1048576,$A44-1,COLUMN('1-DATA'!AO43)),ROUND(INDEX('1-DATA'!$1:$1048576,IF(OR($B45="STD. DEVIATION",$C$1=1),$A45,$A45+1),COLUMN('1-DATA'!AO43)),IF($B45="STD. DEVIATION",2,$F$1))))</f>
        <v/>
      </c>
      <c r="AQ45" s="1" t="str">
        <f>IF(OR($B45="",AQ$7=""),"",IF($B45="MEANS",INDEX('1-DATA'!$1:$1048576,$A44-1,COLUMN('1-DATA'!AP43)),ROUND(INDEX('1-DATA'!$1:$1048576,IF(OR($B45="STD. DEVIATION",$C$1=1),$A45,$A45+1),COLUMN('1-DATA'!AP43)),IF($B45="STD. DEVIATION",2,$F$1))))</f>
        <v/>
      </c>
      <c r="AR45" s="1" t="str">
        <f>IF(OR($B45="",AR$7=""),"",IF($B45="MEANS",INDEX('1-DATA'!$1:$1048576,$A44-1,COLUMN('1-DATA'!AQ43)),ROUND(INDEX('1-DATA'!$1:$1048576,IF(OR($B45="STD. DEVIATION",$C$1=1),$A45,$A45+1),COLUMN('1-DATA'!AQ43)),IF($B45="STD. DEVIATION",2,$F$1))))</f>
        <v/>
      </c>
      <c r="AS45" s="1" t="str">
        <f>IF(OR($B45="",AS$7=""),"",IF($B45="MEANS",INDEX('1-DATA'!$1:$1048576,$A44-1,COLUMN('1-DATA'!AR43)),ROUND(INDEX('1-DATA'!$1:$1048576,IF(OR($B45="STD. DEVIATION",$C$1=1),$A45,$A45+1),COLUMN('1-DATA'!AR43)),IF($B45="STD. DEVIATION",2,$F$1))))</f>
        <v/>
      </c>
      <c r="AT45" s="1" t="str">
        <f>IF(OR($B45="",AT$7=""),"",IF($B45="MEANS",INDEX('1-DATA'!$1:$1048576,$A44-1,COLUMN('1-DATA'!AS43)),ROUND(INDEX('1-DATA'!$1:$1048576,IF(OR($B45="STD. DEVIATION",$C$1=1),$A45,$A45+1),COLUMN('1-DATA'!AS43)),IF($B45="STD. DEVIATION",2,$F$1))))</f>
        <v/>
      </c>
      <c r="AU45" s="1" t="str">
        <f>IF(OR($B45="",AU$7=""),"",IF($B45="MEANS",INDEX('1-DATA'!$1:$1048576,$A44-1,COLUMN('1-DATA'!AT43)),ROUND(INDEX('1-DATA'!$1:$1048576,IF(OR($B45="STD. DEVIATION",$C$1=1),$A45,$A45+1),COLUMN('1-DATA'!AT43)),IF($B45="STD. DEVIATION",2,$F$1))))</f>
        <v/>
      </c>
      <c r="AV45" s="1" t="str">
        <f>IF(OR($B45="",AV$7=""),"",IF($B45="MEANS",INDEX('1-DATA'!$1:$1048576,$A44-1,COLUMN('1-DATA'!AU43)),ROUND(INDEX('1-DATA'!$1:$1048576,IF(OR($B45="STD. DEVIATION",$C$1=1),$A45,$A45+1),COLUMN('1-DATA'!AU43)),IF($B45="STD. DEVIATION",2,$F$1))))</f>
        <v/>
      </c>
      <c r="AW45" s="1" t="str">
        <f>IF(OR($B45="",AW$7=""),"",IF($B45="MEANS",INDEX('1-DATA'!$1:$1048576,$A44-1,COLUMN('1-DATA'!AV43)),ROUND(INDEX('1-DATA'!$1:$1048576,IF(OR($B45="STD. DEVIATION",$C$1=1),$A45,$A45+1),COLUMN('1-DATA'!AV43)),IF($B45="STD. DEVIATION",2,$F$1))))</f>
        <v/>
      </c>
      <c r="AX45" s="1" t="str">
        <f>IF(OR($B45="",AX$7=""),"",IF($B45="MEANS",INDEX('1-DATA'!$1:$1048576,$A44-1,COLUMN('1-DATA'!AW43)),ROUND(INDEX('1-DATA'!$1:$1048576,IF(OR($B45="STD. DEVIATION",$C$1=1),$A45,$A45+1),COLUMN('1-DATA'!AW43)),IF($B45="STD. DEVIATION",2,$F$1))))</f>
        <v/>
      </c>
      <c r="AY45" s="1" t="str">
        <f>IF(OR($B45="",AY$7=""),"",IF($B45="MEANS",INDEX('1-DATA'!$1:$1048576,$A44-1,COLUMN('1-DATA'!AX43)),ROUND(INDEX('1-DATA'!$1:$1048576,IF(OR($B45="STD. DEVIATION",$C$1=1),$A45,$A45+1),COLUMN('1-DATA'!AX43)),IF($B45="STD. DEVIATION",2,$F$1))))</f>
        <v/>
      </c>
      <c r="AZ45" s="1" t="str">
        <f>IF(OR($B45="",AZ$7=""),"",IF($B45="MEANS",INDEX('1-DATA'!$1:$1048576,$A44-1,COLUMN('1-DATA'!AY43)),ROUND(INDEX('1-DATA'!$1:$1048576,IF(OR($B45="STD. DEVIATION",$C$1=1),$A45,$A45+1),COLUMN('1-DATA'!AY43)),IF($B45="STD. DEVIATION",2,$F$1))))</f>
        <v/>
      </c>
    </row>
    <row r="46" spans="1:52" x14ac:dyDescent="0.25">
      <c r="A46" s="11">
        <f t="shared" si="1"/>
        <v>124</v>
      </c>
      <c r="B46" s="1" t="str">
        <f>IF(B45="STD. DEVIATION",INDEX('1-DATA'!$1:$1048576,$A45-1,1),IF(INDEX('1-DATA'!$1:$1048576,$A46,1)&lt;&gt;"",INDEX('1-DATA'!$1:$1048576,$A46,1),""))</f>
        <v/>
      </c>
      <c r="C46" s="1" t="str">
        <f>IF(OR($B46="",C$7=""),"",IF($B46="MEANS",INDEX('1-DATA'!$1:$1048576,$A45-1,COLUMN('1-DATA'!B44)),ROUND(INDEX('1-DATA'!$1:$1048576,IF(OR($B46="STD. DEVIATION",$C$1=1),$A46,$A46+1),COLUMN('1-DATA'!B44)),IF($B46="STD. DEVIATION",2,$F$1))))</f>
        <v/>
      </c>
      <c r="D46" s="1" t="str">
        <f>IF(OR($B46="",D$7=""),"",IF($B46="MEANS",INDEX('1-DATA'!$1:$1048576,$A45-1,COLUMN('1-DATA'!C44)),ROUND(INDEX('1-DATA'!$1:$1048576,IF(OR($B46="STD. DEVIATION",$C$1=1),$A46,$A46+1),COLUMN('1-DATA'!C44)),IF($B46="STD. DEVIATION",2,$F$1))))</f>
        <v/>
      </c>
      <c r="E46" s="1" t="str">
        <f>IF(OR($B46="",E$7=""),"",IF($B46="MEANS",INDEX('1-DATA'!$1:$1048576,$A45-1,COLUMN('1-DATA'!D44)),ROUND(INDEX('1-DATA'!$1:$1048576,IF(OR($B46="STD. DEVIATION",$C$1=1),$A46,$A46+1),COLUMN('1-DATA'!D44)),IF($B46="STD. DEVIATION",2,$F$1))))</f>
        <v/>
      </c>
      <c r="F46" s="1" t="str">
        <f>IF(OR($B46="",F$7=""),"",IF($B46="MEANS",INDEX('1-DATA'!$1:$1048576,$A45-1,COLUMN('1-DATA'!E44)),ROUND(INDEX('1-DATA'!$1:$1048576,IF(OR($B46="STD. DEVIATION",$C$1=1),$A46,$A46+1),COLUMN('1-DATA'!E44)),IF($B46="STD. DEVIATION",2,$F$1))))</f>
        <v/>
      </c>
      <c r="G46" s="1" t="str">
        <f>IF(OR($B46="",G$7=""),"",IF($B46="MEANS",INDEX('1-DATA'!$1:$1048576,$A45-1,COLUMN('1-DATA'!F44)),ROUND(INDEX('1-DATA'!$1:$1048576,IF(OR($B46="STD. DEVIATION",$C$1=1),$A46,$A46+1),COLUMN('1-DATA'!F44)),IF($B46="STD. DEVIATION",2,$F$1))))</f>
        <v/>
      </c>
      <c r="H46" s="1" t="str">
        <f>IF(OR($B46="",H$7=""),"",IF($B46="MEANS",INDEX('1-DATA'!$1:$1048576,$A45-1,COLUMN('1-DATA'!G44)),ROUND(INDEX('1-DATA'!$1:$1048576,IF(OR($B46="STD. DEVIATION",$C$1=1),$A46,$A46+1),COLUMN('1-DATA'!G44)),IF($B46="STD. DEVIATION",2,$F$1))))</f>
        <v/>
      </c>
      <c r="I46" s="1" t="str">
        <f>IF(OR($B46="",I$7=""),"",IF($B46="MEANS",INDEX('1-DATA'!$1:$1048576,$A45-1,COLUMN('1-DATA'!H44)),ROUND(INDEX('1-DATA'!$1:$1048576,IF(OR($B46="STD. DEVIATION",$C$1=1),$A46,$A46+1),COLUMN('1-DATA'!H44)),IF($B46="STD. DEVIATION",2,$F$1))))</f>
        <v/>
      </c>
      <c r="J46" s="1" t="str">
        <f>IF(OR($B46="",J$7=""),"",IF($B46="MEANS",INDEX('1-DATA'!$1:$1048576,$A45-1,COLUMN('1-DATA'!I44)),ROUND(INDEX('1-DATA'!$1:$1048576,IF(OR($B46="STD. DEVIATION",$C$1=1),$A46,$A46+1),COLUMN('1-DATA'!I44)),IF($B46="STD. DEVIATION",2,$F$1))))</f>
        <v/>
      </c>
      <c r="K46" s="1" t="str">
        <f>IF(OR($B46="",K$7=""),"",IF($B46="MEANS",INDEX('1-DATA'!$1:$1048576,$A45-1,COLUMN('1-DATA'!J44)),ROUND(INDEX('1-DATA'!$1:$1048576,IF(OR($B46="STD. DEVIATION",$C$1=1),$A46,$A46+1),COLUMN('1-DATA'!J44)),IF($B46="STD. DEVIATION",2,$F$1))))</f>
        <v/>
      </c>
      <c r="L46" s="1" t="str">
        <f>IF(OR($B46="",L$7=""),"",IF($B46="MEANS",INDEX('1-DATA'!$1:$1048576,$A45-1,COLUMN('1-DATA'!K44)),ROUND(INDEX('1-DATA'!$1:$1048576,IF(OR($B46="STD. DEVIATION",$C$1=1),$A46,$A46+1),COLUMN('1-DATA'!K44)),IF($B46="STD. DEVIATION",2,$F$1))))</f>
        <v/>
      </c>
      <c r="M46" s="1" t="str">
        <f>IF(OR($B46="",M$7=""),"",IF($B46="MEANS",INDEX('1-DATA'!$1:$1048576,$A45-1,COLUMN('1-DATA'!L44)),ROUND(INDEX('1-DATA'!$1:$1048576,IF(OR($B46="STD. DEVIATION",$C$1=1),$A46,$A46+1),COLUMN('1-DATA'!L44)),IF($B46="STD. DEVIATION",2,$F$1))))</f>
        <v/>
      </c>
      <c r="N46" s="1" t="str">
        <f>IF(OR($B46="",N$7=""),"",IF($B46="MEANS",INDEX('1-DATA'!$1:$1048576,$A45-1,COLUMN('1-DATA'!M44)),ROUND(INDEX('1-DATA'!$1:$1048576,IF(OR($B46="STD. DEVIATION",$C$1=1),$A46,$A46+1),COLUMN('1-DATA'!M44)),IF($B46="STD. DEVIATION",2,$F$1))))</f>
        <v/>
      </c>
      <c r="O46" s="1" t="str">
        <f>IF(OR($B46="",O$7=""),"",IF($B46="MEANS",INDEX('1-DATA'!$1:$1048576,$A45-1,COLUMN('1-DATA'!N44)),ROUND(INDEX('1-DATA'!$1:$1048576,IF(OR($B46="STD. DEVIATION",$C$1=1),$A46,$A46+1),COLUMN('1-DATA'!N44)),IF($B46="STD. DEVIATION",2,$F$1))))</f>
        <v/>
      </c>
      <c r="P46" s="1" t="str">
        <f>IF(OR($B46="",P$7=""),"",IF($B46="MEANS",INDEX('1-DATA'!$1:$1048576,$A45-1,COLUMN('1-DATA'!O44)),ROUND(INDEX('1-DATA'!$1:$1048576,IF(OR($B46="STD. DEVIATION",$C$1=1),$A46,$A46+1),COLUMN('1-DATA'!O44)),IF($B46="STD. DEVIATION",2,$F$1))))</f>
        <v/>
      </c>
      <c r="Q46" s="1" t="str">
        <f>IF(OR($B46="",Q$7=""),"",IF($B46="MEANS",INDEX('1-DATA'!$1:$1048576,$A45-1,COLUMN('1-DATA'!P44)),ROUND(INDEX('1-DATA'!$1:$1048576,IF(OR($B46="STD. DEVIATION",$C$1=1),$A46,$A46+1),COLUMN('1-DATA'!P44)),IF($B46="STD. DEVIATION",2,$F$1))))</f>
        <v/>
      </c>
      <c r="R46" s="1" t="str">
        <f>IF(OR($B46="",R$7=""),"",IF($B46="MEANS",INDEX('1-DATA'!$1:$1048576,$A45-1,COLUMN('1-DATA'!Q44)),ROUND(INDEX('1-DATA'!$1:$1048576,IF(OR($B46="STD. DEVIATION",$C$1=1),$A46,$A46+1),COLUMN('1-DATA'!Q44)),IF($B46="STD. DEVIATION",2,$F$1))))</f>
        <v/>
      </c>
      <c r="S46" s="1" t="str">
        <f>IF(OR($B46="",S$7=""),"",IF($B46="MEANS",INDEX('1-DATA'!$1:$1048576,$A45-1,COLUMN('1-DATA'!R44)),ROUND(INDEX('1-DATA'!$1:$1048576,IF(OR($B46="STD. DEVIATION",$C$1=1),$A46,$A46+1),COLUMN('1-DATA'!R44)),IF($B46="STD. DEVIATION",2,$F$1))))</f>
        <v/>
      </c>
      <c r="T46" s="1" t="str">
        <f>IF(OR($B46="",T$7=""),"",IF($B46="MEANS",INDEX('1-DATA'!$1:$1048576,$A45-1,COLUMN('1-DATA'!S44)),ROUND(INDEX('1-DATA'!$1:$1048576,IF(OR($B46="STD. DEVIATION",$C$1=1),$A46,$A46+1),COLUMN('1-DATA'!S44)),IF($B46="STD. DEVIATION",2,$F$1))))</f>
        <v/>
      </c>
      <c r="U46" s="1" t="str">
        <f>IF(OR($B46="",U$7=""),"",IF($B46="MEANS",INDEX('1-DATA'!$1:$1048576,$A45-1,COLUMN('1-DATA'!T44)),ROUND(INDEX('1-DATA'!$1:$1048576,IF(OR($B46="STD. DEVIATION",$C$1=1),$A46,$A46+1),COLUMN('1-DATA'!T44)),IF($B46="STD. DEVIATION",2,$F$1))))</f>
        <v/>
      </c>
      <c r="V46" s="1" t="str">
        <f>IF(OR($B46="",V$7=""),"",IF($B46="MEANS",INDEX('1-DATA'!$1:$1048576,$A45-1,COLUMN('1-DATA'!U44)),ROUND(INDEX('1-DATA'!$1:$1048576,IF(OR($B46="STD. DEVIATION",$C$1=1),$A46,$A46+1),COLUMN('1-DATA'!U44)),IF($B46="STD. DEVIATION",2,$F$1))))</f>
        <v/>
      </c>
      <c r="W46" s="1" t="str">
        <f>IF(OR($B46="",W$7=""),"",IF($B46="MEANS",INDEX('1-DATA'!$1:$1048576,$A45-1,COLUMN('1-DATA'!V44)),ROUND(INDEX('1-DATA'!$1:$1048576,IF(OR($B46="STD. DEVIATION",$C$1=1),$A46,$A46+1),COLUMN('1-DATA'!V44)),IF($B46="STD. DEVIATION",2,$F$1))))</f>
        <v/>
      </c>
      <c r="X46" s="1" t="str">
        <f>IF(OR($B46="",X$7=""),"",IF($B46="MEANS",INDEX('1-DATA'!$1:$1048576,$A45-1,COLUMN('1-DATA'!W44)),ROUND(INDEX('1-DATA'!$1:$1048576,IF(OR($B46="STD. DEVIATION",$C$1=1),$A46,$A46+1),COLUMN('1-DATA'!W44)),IF($B46="STD. DEVIATION",2,$F$1))))</f>
        <v/>
      </c>
      <c r="Y46" s="1" t="str">
        <f>IF(OR($B46="",Y$7=""),"",IF($B46="MEANS",INDEX('1-DATA'!$1:$1048576,$A45-1,COLUMN('1-DATA'!X44)),ROUND(INDEX('1-DATA'!$1:$1048576,IF(OR($B46="STD. DEVIATION",$C$1=1),$A46,$A46+1),COLUMN('1-DATA'!X44)),IF($B46="STD. DEVIATION",2,$F$1))))</f>
        <v/>
      </c>
      <c r="Z46" s="1" t="str">
        <f>IF(OR($B46="",Z$7=""),"",IF($B46="MEANS",INDEX('1-DATA'!$1:$1048576,$A45-1,COLUMN('1-DATA'!Y44)),ROUND(INDEX('1-DATA'!$1:$1048576,IF(OR($B46="STD. DEVIATION",$C$1=1),$A46,$A46+1),COLUMN('1-DATA'!Y44)),IF($B46="STD. DEVIATION",2,$F$1))))</f>
        <v/>
      </c>
      <c r="AA46" s="1" t="str">
        <f>IF(OR($B46="",AA$7=""),"",IF($B46="MEANS",INDEX('1-DATA'!$1:$1048576,$A45-1,COLUMN('1-DATA'!Z44)),ROUND(INDEX('1-DATA'!$1:$1048576,IF(OR($B46="STD. DEVIATION",$C$1=1),$A46,$A46+1),COLUMN('1-DATA'!Z44)),IF($B46="STD. DEVIATION",2,$F$1))))</f>
        <v/>
      </c>
      <c r="AB46" s="1" t="str">
        <f>IF(OR($B46="",AB$7=""),"",IF($B46="MEANS",INDEX('1-DATA'!$1:$1048576,$A45-1,COLUMN('1-DATA'!AA44)),ROUND(INDEX('1-DATA'!$1:$1048576,IF(OR($B46="STD. DEVIATION",$C$1=1),$A46,$A46+1),COLUMN('1-DATA'!AA44)),IF($B46="STD. DEVIATION",2,$F$1))))</f>
        <v/>
      </c>
      <c r="AC46" s="1" t="str">
        <f>IF(OR($B46="",AC$7=""),"",IF($B46="MEANS",INDEX('1-DATA'!$1:$1048576,$A45-1,COLUMN('1-DATA'!AB44)),ROUND(INDEX('1-DATA'!$1:$1048576,IF(OR($B46="STD. DEVIATION",$C$1=1),$A46,$A46+1),COLUMN('1-DATA'!AB44)),IF($B46="STD. DEVIATION",2,$F$1))))</f>
        <v/>
      </c>
      <c r="AD46" s="1" t="str">
        <f>IF(OR($B46="",AD$7=""),"",IF($B46="MEANS",INDEX('1-DATA'!$1:$1048576,$A45-1,COLUMN('1-DATA'!AC44)),ROUND(INDEX('1-DATA'!$1:$1048576,IF(OR($B46="STD. DEVIATION",$C$1=1),$A46,$A46+1),COLUMN('1-DATA'!AC44)),IF($B46="STD. DEVIATION",2,$F$1))))</f>
        <v/>
      </c>
      <c r="AE46" s="1" t="str">
        <f>IF(OR($B46="",AE$7=""),"",IF($B46="MEANS",INDEX('1-DATA'!$1:$1048576,$A45-1,COLUMN('1-DATA'!AD44)),ROUND(INDEX('1-DATA'!$1:$1048576,IF(OR($B46="STD. DEVIATION",$C$1=1),$A46,$A46+1),COLUMN('1-DATA'!AD44)),IF($B46="STD. DEVIATION",2,$F$1))))</f>
        <v/>
      </c>
      <c r="AF46" s="1" t="str">
        <f>IF(OR($B46="",AF$7=""),"",IF($B46="MEANS",INDEX('1-DATA'!$1:$1048576,$A45-1,COLUMN('1-DATA'!AE44)),ROUND(INDEX('1-DATA'!$1:$1048576,IF(OR($B46="STD. DEVIATION",$C$1=1),$A46,$A46+1),COLUMN('1-DATA'!AE44)),IF($B46="STD. DEVIATION",2,$F$1))))</f>
        <v/>
      </c>
      <c r="AG46" s="1" t="str">
        <f>IF(OR($B46="",AG$7=""),"",IF($B46="MEANS",INDEX('1-DATA'!$1:$1048576,$A45-1,COLUMN('1-DATA'!AF44)),ROUND(INDEX('1-DATA'!$1:$1048576,IF(OR($B46="STD. DEVIATION",$C$1=1),$A46,$A46+1),COLUMN('1-DATA'!AF44)),IF($B46="STD. DEVIATION",2,$F$1))))</f>
        <v/>
      </c>
      <c r="AH46" s="1" t="str">
        <f>IF(OR($B46="",AH$7=""),"",IF($B46="MEANS",INDEX('1-DATA'!$1:$1048576,$A45-1,COLUMN('1-DATA'!AG44)),ROUND(INDEX('1-DATA'!$1:$1048576,IF(OR($B46="STD. DEVIATION",$C$1=1),$A46,$A46+1),COLUMN('1-DATA'!AG44)),IF($B46="STD. DEVIATION",2,$F$1))))</f>
        <v/>
      </c>
      <c r="AI46" s="1" t="str">
        <f>IF(OR($B46="",AI$7=""),"",IF($B46="MEANS",INDEX('1-DATA'!$1:$1048576,$A45-1,COLUMN('1-DATA'!AH44)),ROUND(INDEX('1-DATA'!$1:$1048576,IF(OR($B46="STD. DEVIATION",$C$1=1),$A46,$A46+1),COLUMN('1-DATA'!AH44)),IF($B46="STD. DEVIATION",2,$F$1))))</f>
        <v/>
      </c>
      <c r="AJ46" s="1" t="str">
        <f>IF(OR($B46="",AJ$7=""),"",IF($B46="MEANS",INDEX('1-DATA'!$1:$1048576,$A45-1,COLUMN('1-DATA'!AI44)),ROUND(INDEX('1-DATA'!$1:$1048576,IF(OR($B46="STD. DEVIATION",$C$1=1),$A46,$A46+1),COLUMN('1-DATA'!AI44)),IF($B46="STD. DEVIATION",2,$F$1))))</f>
        <v/>
      </c>
      <c r="AK46" s="1" t="str">
        <f>IF(OR($B46="",AK$7=""),"",IF($B46="MEANS",INDEX('1-DATA'!$1:$1048576,$A45-1,COLUMN('1-DATA'!AJ44)),ROUND(INDEX('1-DATA'!$1:$1048576,IF(OR($B46="STD. DEVIATION",$C$1=1),$A46,$A46+1),COLUMN('1-DATA'!AJ44)),IF($B46="STD. DEVIATION",2,$F$1))))</f>
        <v/>
      </c>
      <c r="AL46" s="1" t="str">
        <f>IF(OR($B46="",AL$7=""),"",IF($B46="MEANS",INDEX('1-DATA'!$1:$1048576,$A45-1,COLUMN('1-DATA'!AK44)),ROUND(INDEX('1-DATA'!$1:$1048576,IF(OR($B46="STD. DEVIATION",$C$1=1),$A46,$A46+1),COLUMN('1-DATA'!AK44)),IF($B46="STD. DEVIATION",2,$F$1))))</f>
        <v/>
      </c>
      <c r="AM46" s="1" t="str">
        <f>IF(OR($B46="",AM$7=""),"",IF($B46="MEANS",INDEX('1-DATA'!$1:$1048576,$A45-1,COLUMN('1-DATA'!AL44)),ROUND(INDEX('1-DATA'!$1:$1048576,IF(OR($B46="STD. DEVIATION",$C$1=1),$A46,$A46+1),COLUMN('1-DATA'!AL44)),IF($B46="STD. DEVIATION",2,$F$1))))</f>
        <v/>
      </c>
      <c r="AN46" s="1" t="str">
        <f>IF(OR($B46="",AN$7=""),"",IF($B46="MEANS",INDEX('1-DATA'!$1:$1048576,$A45-1,COLUMN('1-DATA'!AM44)),ROUND(INDEX('1-DATA'!$1:$1048576,IF(OR($B46="STD. DEVIATION",$C$1=1),$A46,$A46+1),COLUMN('1-DATA'!AM44)),IF($B46="STD. DEVIATION",2,$F$1))))</f>
        <v/>
      </c>
      <c r="AO46" s="1" t="str">
        <f>IF(OR($B46="",AO$7=""),"",IF($B46="MEANS",INDEX('1-DATA'!$1:$1048576,$A45-1,COLUMN('1-DATA'!AN44)),ROUND(INDEX('1-DATA'!$1:$1048576,IF(OR($B46="STD. DEVIATION",$C$1=1),$A46,$A46+1),COLUMN('1-DATA'!AN44)),IF($B46="STD. DEVIATION",2,$F$1))))</f>
        <v/>
      </c>
      <c r="AP46" s="1" t="str">
        <f>IF(OR($B46="",AP$7=""),"",IF($B46="MEANS",INDEX('1-DATA'!$1:$1048576,$A45-1,COLUMN('1-DATA'!AO44)),ROUND(INDEX('1-DATA'!$1:$1048576,IF(OR($B46="STD. DEVIATION",$C$1=1),$A46,$A46+1),COLUMN('1-DATA'!AO44)),IF($B46="STD. DEVIATION",2,$F$1))))</f>
        <v/>
      </c>
      <c r="AQ46" s="1" t="str">
        <f>IF(OR($B46="",AQ$7=""),"",IF($B46="MEANS",INDEX('1-DATA'!$1:$1048576,$A45-1,COLUMN('1-DATA'!AP44)),ROUND(INDEX('1-DATA'!$1:$1048576,IF(OR($B46="STD. DEVIATION",$C$1=1),$A46,$A46+1),COLUMN('1-DATA'!AP44)),IF($B46="STD. DEVIATION",2,$F$1))))</f>
        <v/>
      </c>
      <c r="AR46" s="1" t="str">
        <f>IF(OR($B46="",AR$7=""),"",IF($B46="MEANS",INDEX('1-DATA'!$1:$1048576,$A45-1,COLUMN('1-DATA'!AQ44)),ROUND(INDEX('1-DATA'!$1:$1048576,IF(OR($B46="STD. DEVIATION",$C$1=1),$A46,$A46+1),COLUMN('1-DATA'!AQ44)),IF($B46="STD. DEVIATION",2,$F$1))))</f>
        <v/>
      </c>
      <c r="AS46" s="1" t="str">
        <f>IF(OR($B46="",AS$7=""),"",IF($B46="MEANS",INDEX('1-DATA'!$1:$1048576,$A45-1,COLUMN('1-DATA'!AR44)),ROUND(INDEX('1-DATA'!$1:$1048576,IF(OR($B46="STD. DEVIATION",$C$1=1),$A46,$A46+1),COLUMN('1-DATA'!AR44)),IF($B46="STD. DEVIATION",2,$F$1))))</f>
        <v/>
      </c>
      <c r="AT46" s="1" t="str">
        <f>IF(OR($B46="",AT$7=""),"",IF($B46="MEANS",INDEX('1-DATA'!$1:$1048576,$A45-1,COLUMN('1-DATA'!AS44)),ROUND(INDEX('1-DATA'!$1:$1048576,IF(OR($B46="STD. DEVIATION",$C$1=1),$A46,$A46+1),COLUMN('1-DATA'!AS44)),IF($B46="STD. DEVIATION",2,$F$1))))</f>
        <v/>
      </c>
      <c r="AU46" s="1" t="str">
        <f>IF(OR($B46="",AU$7=""),"",IF($B46="MEANS",INDEX('1-DATA'!$1:$1048576,$A45-1,COLUMN('1-DATA'!AT44)),ROUND(INDEX('1-DATA'!$1:$1048576,IF(OR($B46="STD. DEVIATION",$C$1=1),$A46,$A46+1),COLUMN('1-DATA'!AT44)),IF($B46="STD. DEVIATION",2,$F$1))))</f>
        <v/>
      </c>
      <c r="AV46" s="1" t="str">
        <f>IF(OR($B46="",AV$7=""),"",IF($B46="MEANS",INDEX('1-DATA'!$1:$1048576,$A45-1,COLUMN('1-DATA'!AU44)),ROUND(INDEX('1-DATA'!$1:$1048576,IF(OR($B46="STD. DEVIATION",$C$1=1),$A46,$A46+1),COLUMN('1-DATA'!AU44)),IF($B46="STD. DEVIATION",2,$F$1))))</f>
        <v/>
      </c>
      <c r="AW46" s="1" t="str">
        <f>IF(OR($B46="",AW$7=""),"",IF($B46="MEANS",INDEX('1-DATA'!$1:$1048576,$A45-1,COLUMN('1-DATA'!AV44)),ROUND(INDEX('1-DATA'!$1:$1048576,IF(OR($B46="STD. DEVIATION",$C$1=1),$A46,$A46+1),COLUMN('1-DATA'!AV44)),IF($B46="STD. DEVIATION",2,$F$1))))</f>
        <v/>
      </c>
      <c r="AX46" s="1" t="str">
        <f>IF(OR($B46="",AX$7=""),"",IF($B46="MEANS",INDEX('1-DATA'!$1:$1048576,$A45-1,COLUMN('1-DATA'!AW44)),ROUND(INDEX('1-DATA'!$1:$1048576,IF(OR($B46="STD. DEVIATION",$C$1=1),$A46,$A46+1),COLUMN('1-DATA'!AW44)),IF($B46="STD. DEVIATION",2,$F$1))))</f>
        <v/>
      </c>
      <c r="AY46" s="1" t="str">
        <f>IF(OR($B46="",AY$7=""),"",IF($B46="MEANS",INDEX('1-DATA'!$1:$1048576,$A45-1,COLUMN('1-DATA'!AX44)),ROUND(INDEX('1-DATA'!$1:$1048576,IF(OR($B46="STD. DEVIATION",$C$1=1),$A46,$A46+1),COLUMN('1-DATA'!AX44)),IF($B46="STD. DEVIATION",2,$F$1))))</f>
        <v/>
      </c>
      <c r="AZ46" s="1" t="str">
        <f>IF(OR($B46="",AZ$7=""),"",IF($B46="MEANS",INDEX('1-DATA'!$1:$1048576,$A45-1,COLUMN('1-DATA'!AY44)),ROUND(INDEX('1-DATA'!$1:$1048576,IF(OR($B46="STD. DEVIATION",$C$1=1),$A46,$A46+1),COLUMN('1-DATA'!AY44)),IF($B46="STD. DEVIATION",2,$F$1))))</f>
        <v/>
      </c>
    </row>
    <row r="47" spans="1:52" x14ac:dyDescent="0.25">
      <c r="A47" s="11">
        <f t="shared" si="1"/>
        <v>127</v>
      </c>
      <c r="B47" s="1" t="str">
        <f>IF(B46="STD. DEVIATION",INDEX('1-DATA'!$1:$1048576,$A46-1,1),IF(INDEX('1-DATA'!$1:$1048576,$A47,1)&lt;&gt;"",INDEX('1-DATA'!$1:$1048576,$A47,1),""))</f>
        <v/>
      </c>
      <c r="C47" s="1" t="str">
        <f>IF(OR($B47="",C$7=""),"",IF($B47="MEANS",INDEX('1-DATA'!$1:$1048576,$A46-1,COLUMN('1-DATA'!B45)),ROUND(INDEX('1-DATA'!$1:$1048576,IF(OR($B47="STD. DEVIATION",$C$1=1),$A47,$A47+1),COLUMN('1-DATA'!B45)),IF($B47="STD. DEVIATION",2,$F$1))))</f>
        <v/>
      </c>
      <c r="D47" s="1" t="str">
        <f>IF(OR($B47="",D$7=""),"",IF($B47="MEANS",INDEX('1-DATA'!$1:$1048576,$A46-1,COLUMN('1-DATA'!C45)),ROUND(INDEX('1-DATA'!$1:$1048576,IF(OR($B47="STD. DEVIATION",$C$1=1),$A47,$A47+1),COLUMN('1-DATA'!C45)),IF($B47="STD. DEVIATION",2,$F$1))))</f>
        <v/>
      </c>
      <c r="E47" s="1" t="str">
        <f>IF(OR($B47="",E$7=""),"",IF($B47="MEANS",INDEX('1-DATA'!$1:$1048576,$A46-1,COLUMN('1-DATA'!D45)),ROUND(INDEX('1-DATA'!$1:$1048576,IF(OR($B47="STD. DEVIATION",$C$1=1),$A47,$A47+1),COLUMN('1-DATA'!D45)),IF($B47="STD. DEVIATION",2,$F$1))))</f>
        <v/>
      </c>
      <c r="F47" s="1" t="str">
        <f>IF(OR($B47="",F$7=""),"",IF($B47="MEANS",INDEX('1-DATA'!$1:$1048576,$A46-1,COLUMN('1-DATA'!E45)),ROUND(INDEX('1-DATA'!$1:$1048576,IF(OR($B47="STD. DEVIATION",$C$1=1),$A47,$A47+1),COLUMN('1-DATA'!E45)),IF($B47="STD. DEVIATION",2,$F$1))))</f>
        <v/>
      </c>
      <c r="G47" s="1" t="str">
        <f>IF(OR($B47="",G$7=""),"",IF($B47="MEANS",INDEX('1-DATA'!$1:$1048576,$A46-1,COLUMN('1-DATA'!F45)),ROUND(INDEX('1-DATA'!$1:$1048576,IF(OR($B47="STD. DEVIATION",$C$1=1),$A47,$A47+1),COLUMN('1-DATA'!F45)),IF($B47="STD. DEVIATION",2,$F$1))))</f>
        <v/>
      </c>
      <c r="H47" s="1" t="str">
        <f>IF(OR($B47="",H$7=""),"",IF($B47="MEANS",INDEX('1-DATA'!$1:$1048576,$A46-1,COLUMN('1-DATA'!G45)),ROUND(INDEX('1-DATA'!$1:$1048576,IF(OR($B47="STD. DEVIATION",$C$1=1),$A47,$A47+1),COLUMN('1-DATA'!G45)),IF($B47="STD. DEVIATION",2,$F$1))))</f>
        <v/>
      </c>
      <c r="I47" s="1" t="str">
        <f>IF(OR($B47="",I$7=""),"",IF($B47="MEANS",INDEX('1-DATA'!$1:$1048576,$A46-1,COLUMN('1-DATA'!H45)),ROUND(INDEX('1-DATA'!$1:$1048576,IF(OR($B47="STD. DEVIATION",$C$1=1),$A47,$A47+1),COLUMN('1-DATA'!H45)),IF($B47="STD. DEVIATION",2,$F$1))))</f>
        <v/>
      </c>
      <c r="J47" s="1" t="str">
        <f>IF(OR($B47="",J$7=""),"",IF($B47="MEANS",INDEX('1-DATA'!$1:$1048576,$A46-1,COLUMN('1-DATA'!I45)),ROUND(INDEX('1-DATA'!$1:$1048576,IF(OR($B47="STD. DEVIATION",$C$1=1),$A47,$A47+1),COLUMN('1-DATA'!I45)),IF($B47="STD. DEVIATION",2,$F$1))))</f>
        <v/>
      </c>
      <c r="K47" s="1" t="str">
        <f>IF(OR($B47="",K$7=""),"",IF($B47="MEANS",INDEX('1-DATA'!$1:$1048576,$A46-1,COLUMN('1-DATA'!J45)),ROUND(INDEX('1-DATA'!$1:$1048576,IF(OR($B47="STD. DEVIATION",$C$1=1),$A47,$A47+1),COLUMN('1-DATA'!J45)),IF($B47="STD. DEVIATION",2,$F$1))))</f>
        <v/>
      </c>
      <c r="L47" s="1" t="str">
        <f>IF(OR($B47="",L$7=""),"",IF($B47="MEANS",INDEX('1-DATA'!$1:$1048576,$A46-1,COLUMN('1-DATA'!K45)),ROUND(INDEX('1-DATA'!$1:$1048576,IF(OR($B47="STD. DEVIATION",$C$1=1),$A47,$A47+1),COLUMN('1-DATA'!K45)),IF($B47="STD. DEVIATION",2,$F$1))))</f>
        <v/>
      </c>
      <c r="M47" s="1" t="str">
        <f>IF(OR($B47="",M$7=""),"",IF($B47="MEANS",INDEX('1-DATA'!$1:$1048576,$A46-1,COLUMN('1-DATA'!L45)),ROUND(INDEX('1-DATA'!$1:$1048576,IF(OR($B47="STD. DEVIATION",$C$1=1),$A47,$A47+1),COLUMN('1-DATA'!L45)),IF($B47="STD. DEVIATION",2,$F$1))))</f>
        <v/>
      </c>
      <c r="N47" s="1" t="str">
        <f>IF(OR($B47="",N$7=""),"",IF($B47="MEANS",INDEX('1-DATA'!$1:$1048576,$A46-1,COLUMN('1-DATA'!M45)),ROUND(INDEX('1-DATA'!$1:$1048576,IF(OR($B47="STD. DEVIATION",$C$1=1),$A47,$A47+1),COLUMN('1-DATA'!M45)),IF($B47="STD. DEVIATION",2,$F$1))))</f>
        <v/>
      </c>
      <c r="O47" s="1" t="str">
        <f>IF(OR($B47="",O$7=""),"",IF($B47="MEANS",INDEX('1-DATA'!$1:$1048576,$A46-1,COLUMN('1-DATA'!N45)),ROUND(INDEX('1-DATA'!$1:$1048576,IF(OR($B47="STD. DEVIATION",$C$1=1),$A47,$A47+1),COLUMN('1-DATA'!N45)),IF($B47="STD. DEVIATION",2,$F$1))))</f>
        <v/>
      </c>
      <c r="P47" s="1" t="str">
        <f>IF(OR($B47="",P$7=""),"",IF($B47="MEANS",INDEX('1-DATA'!$1:$1048576,$A46-1,COLUMN('1-DATA'!O45)),ROUND(INDEX('1-DATA'!$1:$1048576,IF(OR($B47="STD. DEVIATION",$C$1=1),$A47,$A47+1),COLUMN('1-DATA'!O45)),IF($B47="STD. DEVIATION",2,$F$1))))</f>
        <v/>
      </c>
      <c r="Q47" s="1" t="str">
        <f>IF(OR($B47="",Q$7=""),"",IF($B47="MEANS",INDEX('1-DATA'!$1:$1048576,$A46-1,COLUMN('1-DATA'!P45)),ROUND(INDEX('1-DATA'!$1:$1048576,IF(OR($B47="STD. DEVIATION",$C$1=1),$A47,$A47+1),COLUMN('1-DATA'!P45)),IF($B47="STD. DEVIATION",2,$F$1))))</f>
        <v/>
      </c>
      <c r="R47" s="1" t="str">
        <f>IF(OR($B47="",R$7=""),"",IF($B47="MEANS",INDEX('1-DATA'!$1:$1048576,$A46-1,COLUMN('1-DATA'!Q45)),ROUND(INDEX('1-DATA'!$1:$1048576,IF(OR($B47="STD. DEVIATION",$C$1=1),$A47,$A47+1),COLUMN('1-DATA'!Q45)),IF($B47="STD. DEVIATION",2,$F$1))))</f>
        <v/>
      </c>
      <c r="S47" s="1" t="str">
        <f>IF(OR($B47="",S$7=""),"",IF($B47="MEANS",INDEX('1-DATA'!$1:$1048576,$A46-1,COLUMN('1-DATA'!R45)),ROUND(INDEX('1-DATA'!$1:$1048576,IF(OR($B47="STD. DEVIATION",$C$1=1),$A47,$A47+1),COLUMN('1-DATA'!R45)),IF($B47="STD. DEVIATION",2,$F$1))))</f>
        <v/>
      </c>
      <c r="T47" s="1" t="str">
        <f>IF(OR($B47="",T$7=""),"",IF($B47="MEANS",INDEX('1-DATA'!$1:$1048576,$A46-1,COLUMN('1-DATA'!S45)),ROUND(INDEX('1-DATA'!$1:$1048576,IF(OR($B47="STD. DEVIATION",$C$1=1),$A47,$A47+1),COLUMN('1-DATA'!S45)),IF($B47="STD. DEVIATION",2,$F$1))))</f>
        <v/>
      </c>
      <c r="U47" s="1" t="str">
        <f>IF(OR($B47="",U$7=""),"",IF($B47="MEANS",INDEX('1-DATA'!$1:$1048576,$A46-1,COLUMN('1-DATA'!T45)),ROUND(INDEX('1-DATA'!$1:$1048576,IF(OR($B47="STD. DEVIATION",$C$1=1),$A47,$A47+1),COLUMN('1-DATA'!T45)),IF($B47="STD. DEVIATION",2,$F$1))))</f>
        <v/>
      </c>
      <c r="V47" s="1" t="str">
        <f>IF(OR($B47="",V$7=""),"",IF($B47="MEANS",INDEX('1-DATA'!$1:$1048576,$A46-1,COLUMN('1-DATA'!U45)),ROUND(INDEX('1-DATA'!$1:$1048576,IF(OR($B47="STD. DEVIATION",$C$1=1),$A47,$A47+1),COLUMN('1-DATA'!U45)),IF($B47="STD. DEVIATION",2,$F$1))))</f>
        <v/>
      </c>
      <c r="W47" s="1" t="str">
        <f>IF(OR($B47="",W$7=""),"",IF($B47="MEANS",INDEX('1-DATA'!$1:$1048576,$A46-1,COLUMN('1-DATA'!V45)),ROUND(INDEX('1-DATA'!$1:$1048576,IF(OR($B47="STD. DEVIATION",$C$1=1),$A47,$A47+1),COLUMN('1-DATA'!V45)),IF($B47="STD. DEVIATION",2,$F$1))))</f>
        <v/>
      </c>
      <c r="X47" s="1" t="str">
        <f>IF(OR($B47="",X$7=""),"",IF($B47="MEANS",INDEX('1-DATA'!$1:$1048576,$A46-1,COLUMN('1-DATA'!W45)),ROUND(INDEX('1-DATA'!$1:$1048576,IF(OR($B47="STD. DEVIATION",$C$1=1),$A47,$A47+1),COLUMN('1-DATA'!W45)),IF($B47="STD. DEVIATION",2,$F$1))))</f>
        <v/>
      </c>
      <c r="Y47" s="1" t="str">
        <f>IF(OR($B47="",Y$7=""),"",IF($B47="MEANS",INDEX('1-DATA'!$1:$1048576,$A46-1,COLUMN('1-DATA'!X45)),ROUND(INDEX('1-DATA'!$1:$1048576,IF(OR($B47="STD. DEVIATION",$C$1=1),$A47,$A47+1),COLUMN('1-DATA'!X45)),IF($B47="STD. DEVIATION",2,$F$1))))</f>
        <v/>
      </c>
      <c r="Z47" s="1" t="str">
        <f>IF(OR($B47="",Z$7=""),"",IF($B47="MEANS",INDEX('1-DATA'!$1:$1048576,$A46-1,COLUMN('1-DATA'!Y45)),ROUND(INDEX('1-DATA'!$1:$1048576,IF(OR($B47="STD. DEVIATION",$C$1=1),$A47,$A47+1),COLUMN('1-DATA'!Y45)),IF($B47="STD. DEVIATION",2,$F$1))))</f>
        <v/>
      </c>
      <c r="AA47" s="1" t="str">
        <f>IF(OR($B47="",AA$7=""),"",IF($B47="MEANS",INDEX('1-DATA'!$1:$1048576,$A46-1,COLUMN('1-DATA'!Z45)),ROUND(INDEX('1-DATA'!$1:$1048576,IF(OR($B47="STD. DEVIATION",$C$1=1),$A47,$A47+1),COLUMN('1-DATA'!Z45)),IF($B47="STD. DEVIATION",2,$F$1))))</f>
        <v/>
      </c>
      <c r="AB47" s="1" t="str">
        <f>IF(OR($B47="",AB$7=""),"",IF($B47="MEANS",INDEX('1-DATA'!$1:$1048576,$A46-1,COLUMN('1-DATA'!AA45)),ROUND(INDEX('1-DATA'!$1:$1048576,IF(OR($B47="STD. DEVIATION",$C$1=1),$A47,$A47+1),COLUMN('1-DATA'!AA45)),IF($B47="STD. DEVIATION",2,$F$1))))</f>
        <v/>
      </c>
      <c r="AC47" s="1" t="str">
        <f>IF(OR($B47="",AC$7=""),"",IF($B47="MEANS",INDEX('1-DATA'!$1:$1048576,$A46-1,COLUMN('1-DATA'!AB45)),ROUND(INDEX('1-DATA'!$1:$1048576,IF(OR($B47="STD. DEVIATION",$C$1=1),$A47,$A47+1),COLUMN('1-DATA'!AB45)),IF($B47="STD. DEVIATION",2,$F$1))))</f>
        <v/>
      </c>
      <c r="AD47" s="1" t="str">
        <f>IF(OR($B47="",AD$7=""),"",IF($B47="MEANS",INDEX('1-DATA'!$1:$1048576,$A46-1,COLUMN('1-DATA'!AC45)),ROUND(INDEX('1-DATA'!$1:$1048576,IF(OR($B47="STD. DEVIATION",$C$1=1),$A47,$A47+1),COLUMN('1-DATA'!AC45)),IF($B47="STD. DEVIATION",2,$F$1))))</f>
        <v/>
      </c>
      <c r="AE47" s="1" t="str">
        <f>IF(OR($B47="",AE$7=""),"",IF($B47="MEANS",INDEX('1-DATA'!$1:$1048576,$A46-1,COLUMN('1-DATA'!AD45)),ROUND(INDEX('1-DATA'!$1:$1048576,IF(OR($B47="STD. DEVIATION",$C$1=1),$A47,$A47+1),COLUMN('1-DATA'!AD45)),IF($B47="STD. DEVIATION",2,$F$1))))</f>
        <v/>
      </c>
      <c r="AF47" s="1" t="str">
        <f>IF(OR($B47="",AF$7=""),"",IF($B47="MEANS",INDEX('1-DATA'!$1:$1048576,$A46-1,COLUMN('1-DATA'!AE45)),ROUND(INDEX('1-DATA'!$1:$1048576,IF(OR($B47="STD. DEVIATION",$C$1=1),$A47,$A47+1),COLUMN('1-DATA'!AE45)),IF($B47="STD. DEVIATION",2,$F$1))))</f>
        <v/>
      </c>
      <c r="AG47" s="1" t="str">
        <f>IF(OR($B47="",AG$7=""),"",IF($B47="MEANS",INDEX('1-DATA'!$1:$1048576,$A46-1,COLUMN('1-DATA'!AF45)),ROUND(INDEX('1-DATA'!$1:$1048576,IF(OR($B47="STD. DEVIATION",$C$1=1),$A47,$A47+1),COLUMN('1-DATA'!AF45)),IF($B47="STD. DEVIATION",2,$F$1))))</f>
        <v/>
      </c>
      <c r="AH47" s="1" t="str">
        <f>IF(OR($B47="",AH$7=""),"",IF($B47="MEANS",INDEX('1-DATA'!$1:$1048576,$A46-1,COLUMN('1-DATA'!AG45)),ROUND(INDEX('1-DATA'!$1:$1048576,IF(OR($B47="STD. DEVIATION",$C$1=1),$A47,$A47+1),COLUMN('1-DATA'!AG45)),IF($B47="STD. DEVIATION",2,$F$1))))</f>
        <v/>
      </c>
      <c r="AI47" s="1" t="str">
        <f>IF(OR($B47="",AI$7=""),"",IF($B47="MEANS",INDEX('1-DATA'!$1:$1048576,$A46-1,COLUMN('1-DATA'!AH45)),ROUND(INDEX('1-DATA'!$1:$1048576,IF(OR($B47="STD. DEVIATION",$C$1=1),$A47,$A47+1),COLUMN('1-DATA'!AH45)),IF($B47="STD. DEVIATION",2,$F$1))))</f>
        <v/>
      </c>
      <c r="AJ47" s="1" t="str">
        <f>IF(OR($B47="",AJ$7=""),"",IF($B47="MEANS",INDEX('1-DATA'!$1:$1048576,$A46-1,COLUMN('1-DATA'!AI45)),ROUND(INDEX('1-DATA'!$1:$1048576,IF(OR($B47="STD. DEVIATION",$C$1=1),$A47,$A47+1),COLUMN('1-DATA'!AI45)),IF($B47="STD. DEVIATION",2,$F$1))))</f>
        <v/>
      </c>
      <c r="AK47" s="1" t="str">
        <f>IF(OR($B47="",AK$7=""),"",IF($B47="MEANS",INDEX('1-DATA'!$1:$1048576,$A46-1,COLUMN('1-DATA'!AJ45)),ROUND(INDEX('1-DATA'!$1:$1048576,IF(OR($B47="STD. DEVIATION",$C$1=1),$A47,$A47+1),COLUMN('1-DATA'!AJ45)),IF($B47="STD. DEVIATION",2,$F$1))))</f>
        <v/>
      </c>
      <c r="AL47" s="1" t="str">
        <f>IF(OR($B47="",AL$7=""),"",IF($B47="MEANS",INDEX('1-DATA'!$1:$1048576,$A46-1,COLUMN('1-DATA'!AK45)),ROUND(INDEX('1-DATA'!$1:$1048576,IF(OR($B47="STD. DEVIATION",$C$1=1),$A47,$A47+1),COLUMN('1-DATA'!AK45)),IF($B47="STD. DEVIATION",2,$F$1))))</f>
        <v/>
      </c>
      <c r="AM47" s="1" t="str">
        <f>IF(OR($B47="",AM$7=""),"",IF($B47="MEANS",INDEX('1-DATA'!$1:$1048576,$A46-1,COLUMN('1-DATA'!AL45)),ROUND(INDEX('1-DATA'!$1:$1048576,IF(OR($B47="STD. DEVIATION",$C$1=1),$A47,$A47+1),COLUMN('1-DATA'!AL45)),IF($B47="STD. DEVIATION",2,$F$1))))</f>
        <v/>
      </c>
      <c r="AN47" s="1" t="str">
        <f>IF(OR($B47="",AN$7=""),"",IF($B47="MEANS",INDEX('1-DATA'!$1:$1048576,$A46-1,COLUMN('1-DATA'!AM45)),ROUND(INDEX('1-DATA'!$1:$1048576,IF(OR($B47="STD. DEVIATION",$C$1=1),$A47,$A47+1),COLUMN('1-DATA'!AM45)),IF($B47="STD. DEVIATION",2,$F$1))))</f>
        <v/>
      </c>
      <c r="AO47" s="1" t="str">
        <f>IF(OR($B47="",AO$7=""),"",IF($B47="MEANS",INDEX('1-DATA'!$1:$1048576,$A46-1,COLUMN('1-DATA'!AN45)),ROUND(INDEX('1-DATA'!$1:$1048576,IF(OR($B47="STD. DEVIATION",$C$1=1),$A47,$A47+1),COLUMN('1-DATA'!AN45)),IF($B47="STD. DEVIATION",2,$F$1))))</f>
        <v/>
      </c>
      <c r="AP47" s="1" t="str">
        <f>IF(OR($B47="",AP$7=""),"",IF($B47="MEANS",INDEX('1-DATA'!$1:$1048576,$A46-1,COLUMN('1-DATA'!AO45)),ROUND(INDEX('1-DATA'!$1:$1048576,IF(OR($B47="STD. DEVIATION",$C$1=1),$A47,$A47+1),COLUMN('1-DATA'!AO45)),IF($B47="STD. DEVIATION",2,$F$1))))</f>
        <v/>
      </c>
      <c r="AQ47" s="1" t="str">
        <f>IF(OR($B47="",AQ$7=""),"",IF($B47="MEANS",INDEX('1-DATA'!$1:$1048576,$A46-1,COLUMN('1-DATA'!AP45)),ROUND(INDEX('1-DATA'!$1:$1048576,IF(OR($B47="STD. DEVIATION",$C$1=1),$A47,$A47+1),COLUMN('1-DATA'!AP45)),IF($B47="STD. DEVIATION",2,$F$1))))</f>
        <v/>
      </c>
      <c r="AR47" s="1" t="str">
        <f>IF(OR($B47="",AR$7=""),"",IF($B47="MEANS",INDEX('1-DATA'!$1:$1048576,$A46-1,COLUMN('1-DATA'!AQ45)),ROUND(INDEX('1-DATA'!$1:$1048576,IF(OR($B47="STD. DEVIATION",$C$1=1),$A47,$A47+1),COLUMN('1-DATA'!AQ45)),IF($B47="STD. DEVIATION",2,$F$1))))</f>
        <v/>
      </c>
      <c r="AS47" s="1" t="str">
        <f>IF(OR($B47="",AS$7=""),"",IF($B47="MEANS",INDEX('1-DATA'!$1:$1048576,$A46-1,COLUMN('1-DATA'!AR45)),ROUND(INDEX('1-DATA'!$1:$1048576,IF(OR($B47="STD. DEVIATION",$C$1=1),$A47,$A47+1),COLUMN('1-DATA'!AR45)),IF($B47="STD. DEVIATION",2,$F$1))))</f>
        <v/>
      </c>
      <c r="AT47" s="1" t="str">
        <f>IF(OR($B47="",AT$7=""),"",IF($B47="MEANS",INDEX('1-DATA'!$1:$1048576,$A46-1,COLUMN('1-DATA'!AS45)),ROUND(INDEX('1-DATA'!$1:$1048576,IF(OR($B47="STD. DEVIATION",$C$1=1),$A47,$A47+1),COLUMN('1-DATA'!AS45)),IF($B47="STD. DEVIATION",2,$F$1))))</f>
        <v/>
      </c>
      <c r="AU47" s="1" t="str">
        <f>IF(OR($B47="",AU$7=""),"",IF($B47="MEANS",INDEX('1-DATA'!$1:$1048576,$A46-1,COLUMN('1-DATA'!AT45)),ROUND(INDEX('1-DATA'!$1:$1048576,IF(OR($B47="STD. DEVIATION",$C$1=1),$A47,$A47+1),COLUMN('1-DATA'!AT45)),IF($B47="STD. DEVIATION",2,$F$1))))</f>
        <v/>
      </c>
      <c r="AV47" s="1" t="str">
        <f>IF(OR($B47="",AV$7=""),"",IF($B47="MEANS",INDEX('1-DATA'!$1:$1048576,$A46-1,COLUMN('1-DATA'!AU45)),ROUND(INDEX('1-DATA'!$1:$1048576,IF(OR($B47="STD. DEVIATION",$C$1=1),$A47,$A47+1),COLUMN('1-DATA'!AU45)),IF($B47="STD. DEVIATION",2,$F$1))))</f>
        <v/>
      </c>
      <c r="AW47" s="1" t="str">
        <f>IF(OR($B47="",AW$7=""),"",IF($B47="MEANS",INDEX('1-DATA'!$1:$1048576,$A46-1,COLUMN('1-DATA'!AV45)),ROUND(INDEX('1-DATA'!$1:$1048576,IF(OR($B47="STD. DEVIATION",$C$1=1),$A47,$A47+1),COLUMN('1-DATA'!AV45)),IF($B47="STD. DEVIATION",2,$F$1))))</f>
        <v/>
      </c>
      <c r="AX47" s="1" t="str">
        <f>IF(OR($B47="",AX$7=""),"",IF($B47="MEANS",INDEX('1-DATA'!$1:$1048576,$A46-1,COLUMN('1-DATA'!AW45)),ROUND(INDEX('1-DATA'!$1:$1048576,IF(OR($B47="STD. DEVIATION",$C$1=1),$A47,$A47+1),COLUMN('1-DATA'!AW45)),IF($B47="STD. DEVIATION",2,$F$1))))</f>
        <v/>
      </c>
      <c r="AY47" s="1" t="str">
        <f>IF(OR($B47="",AY$7=""),"",IF($B47="MEANS",INDEX('1-DATA'!$1:$1048576,$A46-1,COLUMN('1-DATA'!AX45)),ROUND(INDEX('1-DATA'!$1:$1048576,IF(OR($B47="STD. DEVIATION",$C$1=1),$A47,$A47+1),COLUMN('1-DATA'!AX45)),IF($B47="STD. DEVIATION",2,$F$1))))</f>
        <v/>
      </c>
      <c r="AZ47" s="1" t="str">
        <f>IF(OR($B47="",AZ$7=""),"",IF($B47="MEANS",INDEX('1-DATA'!$1:$1048576,$A46-1,COLUMN('1-DATA'!AY45)),ROUND(INDEX('1-DATA'!$1:$1048576,IF(OR($B47="STD. DEVIATION",$C$1=1),$A47,$A47+1),COLUMN('1-DATA'!AY45)),IF($B47="STD. DEVIATION",2,$F$1))))</f>
        <v/>
      </c>
    </row>
    <row r="48" spans="1:52" x14ac:dyDescent="0.25">
      <c r="A48" s="11">
        <f t="shared" si="1"/>
        <v>130</v>
      </c>
      <c r="B48" s="1" t="str">
        <f>IF(B47="STD. DEVIATION",INDEX('1-DATA'!$1:$1048576,$A47-1,1),IF(INDEX('1-DATA'!$1:$1048576,$A48,1)&lt;&gt;"",INDEX('1-DATA'!$1:$1048576,$A48,1),""))</f>
        <v/>
      </c>
      <c r="C48" s="1" t="str">
        <f>IF(OR($B48="",C$7=""),"",IF($B48="MEANS",INDEX('1-DATA'!$1:$1048576,$A47-1,COLUMN('1-DATA'!B46)),ROUND(INDEX('1-DATA'!$1:$1048576,IF(OR($B48="STD. DEVIATION",$C$1=1),$A48,$A48+1),COLUMN('1-DATA'!B46)),IF($B48="STD. DEVIATION",2,$F$1))))</f>
        <v/>
      </c>
      <c r="D48" s="1" t="str">
        <f>IF(OR($B48="",D$7=""),"",IF($B48="MEANS",INDEX('1-DATA'!$1:$1048576,$A47-1,COLUMN('1-DATA'!C46)),ROUND(INDEX('1-DATA'!$1:$1048576,IF(OR($B48="STD. DEVIATION",$C$1=1),$A48,$A48+1),COLUMN('1-DATA'!C46)),IF($B48="STD. DEVIATION",2,$F$1))))</f>
        <v/>
      </c>
      <c r="E48" s="1" t="str">
        <f>IF(OR($B48="",E$7=""),"",IF($B48="MEANS",INDEX('1-DATA'!$1:$1048576,$A47-1,COLUMN('1-DATA'!D46)),ROUND(INDEX('1-DATA'!$1:$1048576,IF(OR($B48="STD. DEVIATION",$C$1=1),$A48,$A48+1),COLUMN('1-DATA'!D46)),IF($B48="STD. DEVIATION",2,$F$1))))</f>
        <v/>
      </c>
      <c r="F48" s="1" t="str">
        <f>IF(OR($B48="",F$7=""),"",IF($B48="MEANS",INDEX('1-DATA'!$1:$1048576,$A47-1,COLUMN('1-DATA'!E46)),ROUND(INDEX('1-DATA'!$1:$1048576,IF(OR($B48="STD. DEVIATION",$C$1=1),$A48,$A48+1),COLUMN('1-DATA'!E46)),IF($B48="STD. DEVIATION",2,$F$1))))</f>
        <v/>
      </c>
      <c r="G48" s="1" t="str">
        <f>IF(OR($B48="",G$7=""),"",IF($B48="MEANS",INDEX('1-DATA'!$1:$1048576,$A47-1,COLUMN('1-DATA'!F46)),ROUND(INDEX('1-DATA'!$1:$1048576,IF(OR($B48="STD. DEVIATION",$C$1=1),$A48,$A48+1),COLUMN('1-DATA'!F46)),IF($B48="STD. DEVIATION",2,$F$1))))</f>
        <v/>
      </c>
      <c r="H48" s="1" t="str">
        <f>IF(OR($B48="",H$7=""),"",IF($B48="MEANS",INDEX('1-DATA'!$1:$1048576,$A47-1,COLUMN('1-DATA'!G46)),ROUND(INDEX('1-DATA'!$1:$1048576,IF(OR($B48="STD. DEVIATION",$C$1=1),$A48,$A48+1),COLUMN('1-DATA'!G46)),IF($B48="STD. DEVIATION",2,$F$1))))</f>
        <v/>
      </c>
      <c r="I48" s="1" t="str">
        <f>IF(OR($B48="",I$7=""),"",IF($B48="MEANS",INDEX('1-DATA'!$1:$1048576,$A47-1,COLUMN('1-DATA'!H46)),ROUND(INDEX('1-DATA'!$1:$1048576,IF(OR($B48="STD. DEVIATION",$C$1=1),$A48,$A48+1),COLUMN('1-DATA'!H46)),IF($B48="STD. DEVIATION",2,$F$1))))</f>
        <v/>
      </c>
      <c r="J48" s="1" t="str">
        <f>IF(OR($B48="",J$7=""),"",IF($B48="MEANS",INDEX('1-DATA'!$1:$1048576,$A47-1,COLUMN('1-DATA'!I46)),ROUND(INDEX('1-DATA'!$1:$1048576,IF(OR($B48="STD. DEVIATION",$C$1=1),$A48,$A48+1),COLUMN('1-DATA'!I46)),IF($B48="STD. DEVIATION",2,$F$1))))</f>
        <v/>
      </c>
      <c r="K48" s="1" t="str">
        <f>IF(OR($B48="",K$7=""),"",IF($B48="MEANS",INDEX('1-DATA'!$1:$1048576,$A47-1,COLUMN('1-DATA'!J46)),ROUND(INDEX('1-DATA'!$1:$1048576,IF(OR($B48="STD. DEVIATION",$C$1=1),$A48,$A48+1),COLUMN('1-DATA'!J46)),IF($B48="STD. DEVIATION",2,$F$1))))</f>
        <v/>
      </c>
      <c r="L48" s="1" t="str">
        <f>IF(OR($B48="",L$7=""),"",IF($B48="MEANS",INDEX('1-DATA'!$1:$1048576,$A47-1,COLUMN('1-DATA'!K46)),ROUND(INDEX('1-DATA'!$1:$1048576,IF(OR($B48="STD. DEVIATION",$C$1=1),$A48,$A48+1),COLUMN('1-DATA'!K46)),IF($B48="STD. DEVIATION",2,$F$1))))</f>
        <v/>
      </c>
      <c r="M48" s="1" t="str">
        <f>IF(OR($B48="",M$7=""),"",IF($B48="MEANS",INDEX('1-DATA'!$1:$1048576,$A47-1,COLUMN('1-DATA'!L46)),ROUND(INDEX('1-DATA'!$1:$1048576,IF(OR($B48="STD. DEVIATION",$C$1=1),$A48,$A48+1),COLUMN('1-DATA'!L46)),IF($B48="STD. DEVIATION",2,$F$1))))</f>
        <v/>
      </c>
      <c r="N48" s="1" t="str">
        <f>IF(OR($B48="",N$7=""),"",IF($B48="MEANS",INDEX('1-DATA'!$1:$1048576,$A47-1,COLUMN('1-DATA'!M46)),ROUND(INDEX('1-DATA'!$1:$1048576,IF(OR($B48="STD. DEVIATION",$C$1=1),$A48,$A48+1),COLUMN('1-DATA'!M46)),IF($B48="STD. DEVIATION",2,$F$1))))</f>
        <v/>
      </c>
      <c r="O48" s="1" t="str">
        <f>IF(OR($B48="",O$7=""),"",IF($B48="MEANS",INDEX('1-DATA'!$1:$1048576,$A47-1,COLUMN('1-DATA'!N46)),ROUND(INDEX('1-DATA'!$1:$1048576,IF(OR($B48="STD. DEVIATION",$C$1=1),$A48,$A48+1),COLUMN('1-DATA'!N46)),IF($B48="STD. DEVIATION",2,$F$1))))</f>
        <v/>
      </c>
      <c r="P48" s="1" t="str">
        <f>IF(OR($B48="",P$7=""),"",IF($B48="MEANS",INDEX('1-DATA'!$1:$1048576,$A47-1,COLUMN('1-DATA'!O46)),ROUND(INDEX('1-DATA'!$1:$1048576,IF(OR($B48="STD. DEVIATION",$C$1=1),$A48,$A48+1),COLUMN('1-DATA'!O46)),IF($B48="STD. DEVIATION",2,$F$1))))</f>
        <v/>
      </c>
      <c r="Q48" s="1" t="str">
        <f>IF(OR($B48="",Q$7=""),"",IF($B48="MEANS",INDEX('1-DATA'!$1:$1048576,$A47-1,COLUMN('1-DATA'!P46)),ROUND(INDEX('1-DATA'!$1:$1048576,IF(OR($B48="STD. DEVIATION",$C$1=1),$A48,$A48+1),COLUMN('1-DATA'!P46)),IF($B48="STD. DEVIATION",2,$F$1))))</f>
        <v/>
      </c>
      <c r="R48" s="1" t="str">
        <f>IF(OR($B48="",R$7=""),"",IF($B48="MEANS",INDEX('1-DATA'!$1:$1048576,$A47-1,COLUMN('1-DATA'!Q46)),ROUND(INDEX('1-DATA'!$1:$1048576,IF(OR($B48="STD. DEVIATION",$C$1=1),$A48,$A48+1),COLUMN('1-DATA'!Q46)),IF($B48="STD. DEVIATION",2,$F$1))))</f>
        <v/>
      </c>
      <c r="S48" s="1" t="str">
        <f>IF(OR($B48="",S$7=""),"",IF($B48="MEANS",INDEX('1-DATA'!$1:$1048576,$A47-1,COLUMN('1-DATA'!R46)),ROUND(INDEX('1-DATA'!$1:$1048576,IF(OR($B48="STD. DEVIATION",$C$1=1),$A48,$A48+1),COLUMN('1-DATA'!R46)),IF($B48="STD. DEVIATION",2,$F$1))))</f>
        <v/>
      </c>
      <c r="T48" s="1" t="str">
        <f>IF(OR($B48="",T$7=""),"",IF($B48="MEANS",INDEX('1-DATA'!$1:$1048576,$A47-1,COLUMN('1-DATA'!S46)),ROUND(INDEX('1-DATA'!$1:$1048576,IF(OR($B48="STD. DEVIATION",$C$1=1),$A48,$A48+1),COLUMN('1-DATA'!S46)),IF($B48="STD. DEVIATION",2,$F$1))))</f>
        <v/>
      </c>
      <c r="U48" s="1" t="str">
        <f>IF(OR($B48="",U$7=""),"",IF($B48="MEANS",INDEX('1-DATA'!$1:$1048576,$A47-1,COLUMN('1-DATA'!T46)),ROUND(INDEX('1-DATA'!$1:$1048576,IF(OR($B48="STD. DEVIATION",$C$1=1),$A48,$A48+1),COLUMN('1-DATA'!T46)),IF($B48="STD. DEVIATION",2,$F$1))))</f>
        <v/>
      </c>
      <c r="V48" s="1" t="str">
        <f>IF(OR($B48="",V$7=""),"",IF($B48="MEANS",INDEX('1-DATA'!$1:$1048576,$A47-1,COLUMN('1-DATA'!U46)),ROUND(INDEX('1-DATA'!$1:$1048576,IF(OR($B48="STD. DEVIATION",$C$1=1),$A48,$A48+1),COLUMN('1-DATA'!U46)),IF($B48="STD. DEVIATION",2,$F$1))))</f>
        <v/>
      </c>
      <c r="W48" s="1" t="str">
        <f>IF(OR($B48="",W$7=""),"",IF($B48="MEANS",INDEX('1-DATA'!$1:$1048576,$A47-1,COLUMN('1-DATA'!V46)),ROUND(INDEX('1-DATA'!$1:$1048576,IF(OR($B48="STD. DEVIATION",$C$1=1),$A48,$A48+1),COLUMN('1-DATA'!V46)),IF($B48="STD. DEVIATION",2,$F$1))))</f>
        <v/>
      </c>
      <c r="X48" s="1" t="str">
        <f>IF(OR($B48="",X$7=""),"",IF($B48="MEANS",INDEX('1-DATA'!$1:$1048576,$A47-1,COLUMN('1-DATA'!W46)),ROUND(INDEX('1-DATA'!$1:$1048576,IF(OR($B48="STD. DEVIATION",$C$1=1),$A48,$A48+1),COLUMN('1-DATA'!W46)),IF($B48="STD. DEVIATION",2,$F$1))))</f>
        <v/>
      </c>
      <c r="Y48" s="1" t="str">
        <f>IF(OR($B48="",Y$7=""),"",IF($B48="MEANS",INDEX('1-DATA'!$1:$1048576,$A47-1,COLUMN('1-DATA'!X46)),ROUND(INDEX('1-DATA'!$1:$1048576,IF(OR($B48="STD. DEVIATION",$C$1=1),$A48,$A48+1),COLUMN('1-DATA'!X46)),IF($B48="STD. DEVIATION",2,$F$1))))</f>
        <v/>
      </c>
      <c r="Z48" s="1" t="str">
        <f>IF(OR($B48="",Z$7=""),"",IF($B48="MEANS",INDEX('1-DATA'!$1:$1048576,$A47-1,COLUMN('1-DATA'!Y46)),ROUND(INDEX('1-DATA'!$1:$1048576,IF(OR($B48="STD. DEVIATION",$C$1=1),$A48,$A48+1),COLUMN('1-DATA'!Y46)),IF($B48="STD. DEVIATION",2,$F$1))))</f>
        <v/>
      </c>
      <c r="AA48" s="1" t="str">
        <f>IF(OR($B48="",AA$7=""),"",IF($B48="MEANS",INDEX('1-DATA'!$1:$1048576,$A47-1,COLUMN('1-DATA'!Z46)),ROUND(INDEX('1-DATA'!$1:$1048576,IF(OR($B48="STD. DEVIATION",$C$1=1),$A48,$A48+1),COLUMN('1-DATA'!Z46)),IF($B48="STD. DEVIATION",2,$F$1))))</f>
        <v/>
      </c>
      <c r="AB48" s="1" t="str">
        <f>IF(OR($B48="",AB$7=""),"",IF($B48="MEANS",INDEX('1-DATA'!$1:$1048576,$A47-1,COLUMN('1-DATA'!AA46)),ROUND(INDEX('1-DATA'!$1:$1048576,IF(OR($B48="STD. DEVIATION",$C$1=1),$A48,$A48+1),COLUMN('1-DATA'!AA46)),IF($B48="STD. DEVIATION",2,$F$1))))</f>
        <v/>
      </c>
      <c r="AC48" s="1" t="str">
        <f>IF(OR($B48="",AC$7=""),"",IF($B48="MEANS",INDEX('1-DATA'!$1:$1048576,$A47-1,COLUMN('1-DATA'!AB46)),ROUND(INDEX('1-DATA'!$1:$1048576,IF(OR($B48="STD. DEVIATION",$C$1=1),$A48,$A48+1),COLUMN('1-DATA'!AB46)),IF($B48="STD. DEVIATION",2,$F$1))))</f>
        <v/>
      </c>
      <c r="AD48" s="1" t="str">
        <f>IF(OR($B48="",AD$7=""),"",IF($B48="MEANS",INDEX('1-DATA'!$1:$1048576,$A47-1,COLUMN('1-DATA'!AC46)),ROUND(INDEX('1-DATA'!$1:$1048576,IF(OR($B48="STD. DEVIATION",$C$1=1),$A48,$A48+1),COLUMN('1-DATA'!AC46)),IF($B48="STD. DEVIATION",2,$F$1))))</f>
        <v/>
      </c>
      <c r="AE48" s="1" t="str">
        <f>IF(OR($B48="",AE$7=""),"",IF($B48="MEANS",INDEX('1-DATA'!$1:$1048576,$A47-1,COLUMN('1-DATA'!AD46)),ROUND(INDEX('1-DATA'!$1:$1048576,IF(OR($B48="STD. DEVIATION",$C$1=1),$A48,$A48+1),COLUMN('1-DATA'!AD46)),IF($B48="STD. DEVIATION",2,$F$1))))</f>
        <v/>
      </c>
      <c r="AF48" s="1" t="str">
        <f>IF(OR($B48="",AF$7=""),"",IF($B48="MEANS",INDEX('1-DATA'!$1:$1048576,$A47-1,COLUMN('1-DATA'!AE46)),ROUND(INDEX('1-DATA'!$1:$1048576,IF(OR($B48="STD. DEVIATION",$C$1=1),$A48,$A48+1),COLUMN('1-DATA'!AE46)),IF($B48="STD. DEVIATION",2,$F$1))))</f>
        <v/>
      </c>
      <c r="AG48" s="1" t="str">
        <f>IF(OR($B48="",AG$7=""),"",IF($B48="MEANS",INDEX('1-DATA'!$1:$1048576,$A47-1,COLUMN('1-DATA'!AF46)),ROUND(INDEX('1-DATA'!$1:$1048576,IF(OR($B48="STD. DEVIATION",$C$1=1),$A48,$A48+1),COLUMN('1-DATA'!AF46)),IF($B48="STD. DEVIATION",2,$F$1))))</f>
        <v/>
      </c>
      <c r="AH48" s="1" t="str">
        <f>IF(OR($B48="",AH$7=""),"",IF($B48="MEANS",INDEX('1-DATA'!$1:$1048576,$A47-1,COLUMN('1-DATA'!AG46)),ROUND(INDEX('1-DATA'!$1:$1048576,IF(OR($B48="STD. DEVIATION",$C$1=1),$A48,$A48+1),COLUMN('1-DATA'!AG46)),IF($B48="STD. DEVIATION",2,$F$1))))</f>
        <v/>
      </c>
      <c r="AI48" s="1" t="str">
        <f>IF(OR($B48="",AI$7=""),"",IF($B48="MEANS",INDEX('1-DATA'!$1:$1048576,$A47-1,COLUMN('1-DATA'!AH46)),ROUND(INDEX('1-DATA'!$1:$1048576,IF(OR($B48="STD. DEVIATION",$C$1=1),$A48,$A48+1),COLUMN('1-DATA'!AH46)),IF($B48="STD. DEVIATION",2,$F$1))))</f>
        <v/>
      </c>
      <c r="AJ48" s="1" t="str">
        <f>IF(OR($B48="",AJ$7=""),"",IF($B48="MEANS",INDEX('1-DATA'!$1:$1048576,$A47-1,COLUMN('1-DATA'!AI46)),ROUND(INDEX('1-DATA'!$1:$1048576,IF(OR($B48="STD. DEVIATION",$C$1=1),$A48,$A48+1),COLUMN('1-DATA'!AI46)),IF($B48="STD. DEVIATION",2,$F$1))))</f>
        <v/>
      </c>
      <c r="AK48" s="1" t="str">
        <f>IF(OR($B48="",AK$7=""),"",IF($B48="MEANS",INDEX('1-DATA'!$1:$1048576,$A47-1,COLUMN('1-DATA'!AJ46)),ROUND(INDEX('1-DATA'!$1:$1048576,IF(OR($B48="STD. DEVIATION",$C$1=1),$A48,$A48+1),COLUMN('1-DATA'!AJ46)),IF($B48="STD. DEVIATION",2,$F$1))))</f>
        <v/>
      </c>
      <c r="AL48" s="1" t="str">
        <f>IF(OR($B48="",AL$7=""),"",IF($B48="MEANS",INDEX('1-DATA'!$1:$1048576,$A47-1,COLUMN('1-DATA'!AK46)),ROUND(INDEX('1-DATA'!$1:$1048576,IF(OR($B48="STD. DEVIATION",$C$1=1),$A48,$A48+1),COLUMN('1-DATA'!AK46)),IF($B48="STD. DEVIATION",2,$F$1))))</f>
        <v/>
      </c>
      <c r="AM48" s="1" t="str">
        <f>IF(OR($B48="",AM$7=""),"",IF($B48="MEANS",INDEX('1-DATA'!$1:$1048576,$A47-1,COLUMN('1-DATA'!AL46)),ROUND(INDEX('1-DATA'!$1:$1048576,IF(OR($B48="STD. DEVIATION",$C$1=1),$A48,$A48+1),COLUMN('1-DATA'!AL46)),IF($B48="STD. DEVIATION",2,$F$1))))</f>
        <v/>
      </c>
      <c r="AN48" s="1" t="str">
        <f>IF(OR($B48="",AN$7=""),"",IF($B48="MEANS",INDEX('1-DATA'!$1:$1048576,$A47-1,COLUMN('1-DATA'!AM46)),ROUND(INDEX('1-DATA'!$1:$1048576,IF(OR($B48="STD. DEVIATION",$C$1=1),$A48,$A48+1),COLUMN('1-DATA'!AM46)),IF($B48="STD. DEVIATION",2,$F$1))))</f>
        <v/>
      </c>
      <c r="AO48" s="1" t="str">
        <f>IF(OR($B48="",AO$7=""),"",IF($B48="MEANS",INDEX('1-DATA'!$1:$1048576,$A47-1,COLUMN('1-DATA'!AN46)),ROUND(INDEX('1-DATA'!$1:$1048576,IF(OR($B48="STD. DEVIATION",$C$1=1),$A48,$A48+1),COLUMN('1-DATA'!AN46)),IF($B48="STD. DEVIATION",2,$F$1))))</f>
        <v/>
      </c>
      <c r="AP48" s="1" t="str">
        <f>IF(OR($B48="",AP$7=""),"",IF($B48="MEANS",INDEX('1-DATA'!$1:$1048576,$A47-1,COLUMN('1-DATA'!AO46)),ROUND(INDEX('1-DATA'!$1:$1048576,IF(OR($B48="STD. DEVIATION",$C$1=1),$A48,$A48+1),COLUMN('1-DATA'!AO46)),IF($B48="STD. DEVIATION",2,$F$1))))</f>
        <v/>
      </c>
      <c r="AQ48" s="1" t="str">
        <f>IF(OR($B48="",AQ$7=""),"",IF($B48="MEANS",INDEX('1-DATA'!$1:$1048576,$A47-1,COLUMN('1-DATA'!AP46)),ROUND(INDEX('1-DATA'!$1:$1048576,IF(OR($B48="STD. DEVIATION",$C$1=1),$A48,$A48+1),COLUMN('1-DATA'!AP46)),IF($B48="STD. DEVIATION",2,$F$1))))</f>
        <v/>
      </c>
      <c r="AR48" s="1" t="str">
        <f>IF(OR($B48="",AR$7=""),"",IF($B48="MEANS",INDEX('1-DATA'!$1:$1048576,$A47-1,COLUMN('1-DATA'!AQ46)),ROUND(INDEX('1-DATA'!$1:$1048576,IF(OR($B48="STD. DEVIATION",$C$1=1),$A48,$A48+1),COLUMN('1-DATA'!AQ46)),IF($B48="STD. DEVIATION",2,$F$1))))</f>
        <v/>
      </c>
      <c r="AS48" s="1" t="str">
        <f>IF(OR($B48="",AS$7=""),"",IF($B48="MEANS",INDEX('1-DATA'!$1:$1048576,$A47-1,COLUMN('1-DATA'!AR46)),ROUND(INDEX('1-DATA'!$1:$1048576,IF(OR($B48="STD. DEVIATION",$C$1=1),$A48,$A48+1),COLUMN('1-DATA'!AR46)),IF($B48="STD. DEVIATION",2,$F$1))))</f>
        <v/>
      </c>
      <c r="AT48" s="1" t="str">
        <f>IF(OR($B48="",AT$7=""),"",IF($B48="MEANS",INDEX('1-DATA'!$1:$1048576,$A47-1,COLUMN('1-DATA'!AS46)),ROUND(INDEX('1-DATA'!$1:$1048576,IF(OR($B48="STD. DEVIATION",$C$1=1),$A48,$A48+1),COLUMN('1-DATA'!AS46)),IF($B48="STD. DEVIATION",2,$F$1))))</f>
        <v/>
      </c>
      <c r="AU48" s="1" t="str">
        <f>IF(OR($B48="",AU$7=""),"",IF($B48="MEANS",INDEX('1-DATA'!$1:$1048576,$A47-1,COLUMN('1-DATA'!AT46)),ROUND(INDEX('1-DATA'!$1:$1048576,IF(OR($B48="STD. DEVIATION",$C$1=1),$A48,$A48+1),COLUMN('1-DATA'!AT46)),IF($B48="STD. DEVIATION",2,$F$1))))</f>
        <v/>
      </c>
      <c r="AV48" s="1" t="str">
        <f>IF(OR($B48="",AV$7=""),"",IF($B48="MEANS",INDEX('1-DATA'!$1:$1048576,$A47-1,COLUMN('1-DATA'!AU46)),ROUND(INDEX('1-DATA'!$1:$1048576,IF(OR($B48="STD. DEVIATION",$C$1=1),$A48,$A48+1),COLUMN('1-DATA'!AU46)),IF($B48="STD. DEVIATION",2,$F$1))))</f>
        <v/>
      </c>
      <c r="AW48" s="1" t="str">
        <f>IF(OR($B48="",AW$7=""),"",IF($B48="MEANS",INDEX('1-DATA'!$1:$1048576,$A47-1,COLUMN('1-DATA'!AV46)),ROUND(INDEX('1-DATA'!$1:$1048576,IF(OR($B48="STD. DEVIATION",$C$1=1),$A48,$A48+1),COLUMN('1-DATA'!AV46)),IF($B48="STD. DEVIATION",2,$F$1))))</f>
        <v/>
      </c>
      <c r="AX48" s="1" t="str">
        <f>IF(OR($B48="",AX$7=""),"",IF($B48="MEANS",INDEX('1-DATA'!$1:$1048576,$A47-1,COLUMN('1-DATA'!AW46)),ROUND(INDEX('1-DATA'!$1:$1048576,IF(OR($B48="STD. DEVIATION",$C$1=1),$A48,$A48+1),COLUMN('1-DATA'!AW46)),IF($B48="STD. DEVIATION",2,$F$1))))</f>
        <v/>
      </c>
      <c r="AY48" s="1" t="str">
        <f>IF(OR($B48="",AY$7=""),"",IF($B48="MEANS",INDEX('1-DATA'!$1:$1048576,$A47-1,COLUMN('1-DATA'!AX46)),ROUND(INDEX('1-DATA'!$1:$1048576,IF(OR($B48="STD. DEVIATION",$C$1=1),$A48,$A48+1),COLUMN('1-DATA'!AX46)),IF($B48="STD. DEVIATION",2,$F$1))))</f>
        <v/>
      </c>
      <c r="AZ48" s="1" t="str">
        <f>IF(OR($B48="",AZ$7=""),"",IF($B48="MEANS",INDEX('1-DATA'!$1:$1048576,$A47-1,COLUMN('1-DATA'!AY46)),ROUND(INDEX('1-DATA'!$1:$1048576,IF(OR($B48="STD. DEVIATION",$C$1=1),$A48,$A48+1),COLUMN('1-DATA'!AY46)),IF($B48="STD. DEVIATION",2,$F$1))))</f>
        <v/>
      </c>
    </row>
    <row r="49" spans="1:52" x14ac:dyDescent="0.25">
      <c r="A49" s="11">
        <f t="shared" si="1"/>
        <v>133</v>
      </c>
      <c r="B49" s="1" t="str">
        <f>IF(B48="STD. DEVIATION",INDEX('1-DATA'!$1:$1048576,$A48-1,1),IF(INDEX('1-DATA'!$1:$1048576,$A49,1)&lt;&gt;"",INDEX('1-DATA'!$1:$1048576,$A49,1),""))</f>
        <v/>
      </c>
      <c r="C49" s="1" t="str">
        <f>IF(OR($B49="",C$7=""),"",IF($B49="MEANS",INDEX('1-DATA'!$1:$1048576,$A48-1,COLUMN('1-DATA'!B47)),ROUND(INDEX('1-DATA'!$1:$1048576,IF(OR($B49="STD. DEVIATION",$C$1=1),$A49,$A49+1),COLUMN('1-DATA'!B47)),IF($B49="STD. DEVIATION",2,$F$1))))</f>
        <v/>
      </c>
      <c r="D49" s="1" t="str">
        <f>IF(OR($B49="",D$7=""),"",IF($B49="MEANS",INDEX('1-DATA'!$1:$1048576,$A48-1,COLUMN('1-DATA'!C47)),ROUND(INDEX('1-DATA'!$1:$1048576,IF(OR($B49="STD. DEVIATION",$C$1=1),$A49,$A49+1),COLUMN('1-DATA'!C47)),IF($B49="STD. DEVIATION",2,$F$1))))</f>
        <v/>
      </c>
      <c r="E49" s="1" t="str">
        <f>IF(OR($B49="",E$7=""),"",IF($B49="MEANS",INDEX('1-DATA'!$1:$1048576,$A48-1,COLUMN('1-DATA'!D47)),ROUND(INDEX('1-DATA'!$1:$1048576,IF(OR($B49="STD. DEVIATION",$C$1=1),$A49,$A49+1),COLUMN('1-DATA'!D47)),IF($B49="STD. DEVIATION",2,$F$1))))</f>
        <v/>
      </c>
      <c r="F49" s="1" t="str">
        <f>IF(OR($B49="",F$7=""),"",IF($B49="MEANS",INDEX('1-DATA'!$1:$1048576,$A48-1,COLUMN('1-DATA'!E47)),ROUND(INDEX('1-DATA'!$1:$1048576,IF(OR($B49="STD. DEVIATION",$C$1=1),$A49,$A49+1),COLUMN('1-DATA'!E47)),IF($B49="STD. DEVIATION",2,$F$1))))</f>
        <v/>
      </c>
      <c r="G49" s="1" t="str">
        <f>IF(OR($B49="",G$7=""),"",IF($B49="MEANS",INDEX('1-DATA'!$1:$1048576,$A48-1,COLUMN('1-DATA'!F47)),ROUND(INDEX('1-DATA'!$1:$1048576,IF(OR($B49="STD. DEVIATION",$C$1=1),$A49,$A49+1),COLUMN('1-DATA'!F47)),IF($B49="STD. DEVIATION",2,$F$1))))</f>
        <v/>
      </c>
      <c r="H49" s="1" t="str">
        <f>IF(OR($B49="",H$7=""),"",IF($B49="MEANS",INDEX('1-DATA'!$1:$1048576,$A48-1,COLUMN('1-DATA'!G47)),ROUND(INDEX('1-DATA'!$1:$1048576,IF(OR($B49="STD. DEVIATION",$C$1=1),$A49,$A49+1),COLUMN('1-DATA'!G47)),IF($B49="STD. DEVIATION",2,$F$1))))</f>
        <v/>
      </c>
      <c r="I49" s="1" t="str">
        <f>IF(OR($B49="",I$7=""),"",IF($B49="MEANS",INDEX('1-DATA'!$1:$1048576,$A48-1,COLUMN('1-DATA'!H47)),ROUND(INDEX('1-DATA'!$1:$1048576,IF(OR($B49="STD. DEVIATION",$C$1=1),$A49,$A49+1),COLUMN('1-DATA'!H47)),IF($B49="STD. DEVIATION",2,$F$1))))</f>
        <v/>
      </c>
      <c r="J49" s="1" t="str">
        <f>IF(OR($B49="",J$7=""),"",IF($B49="MEANS",INDEX('1-DATA'!$1:$1048576,$A48-1,COLUMN('1-DATA'!I47)),ROUND(INDEX('1-DATA'!$1:$1048576,IF(OR($B49="STD. DEVIATION",$C$1=1),$A49,$A49+1),COLUMN('1-DATA'!I47)),IF($B49="STD. DEVIATION",2,$F$1))))</f>
        <v/>
      </c>
      <c r="K49" s="1" t="str">
        <f>IF(OR($B49="",K$7=""),"",IF($B49="MEANS",INDEX('1-DATA'!$1:$1048576,$A48-1,COLUMN('1-DATA'!J47)),ROUND(INDEX('1-DATA'!$1:$1048576,IF(OR($B49="STD. DEVIATION",$C$1=1),$A49,$A49+1),COLUMN('1-DATA'!J47)),IF($B49="STD. DEVIATION",2,$F$1))))</f>
        <v/>
      </c>
      <c r="L49" s="1" t="str">
        <f>IF(OR($B49="",L$7=""),"",IF($B49="MEANS",INDEX('1-DATA'!$1:$1048576,$A48-1,COLUMN('1-DATA'!K47)),ROUND(INDEX('1-DATA'!$1:$1048576,IF(OR($B49="STD. DEVIATION",$C$1=1),$A49,$A49+1),COLUMN('1-DATA'!K47)),IF($B49="STD. DEVIATION",2,$F$1))))</f>
        <v/>
      </c>
      <c r="M49" s="1" t="str">
        <f>IF(OR($B49="",M$7=""),"",IF($B49="MEANS",INDEX('1-DATA'!$1:$1048576,$A48-1,COLUMN('1-DATA'!L47)),ROUND(INDEX('1-DATA'!$1:$1048576,IF(OR($B49="STD. DEVIATION",$C$1=1),$A49,$A49+1),COLUMN('1-DATA'!L47)),IF($B49="STD. DEVIATION",2,$F$1))))</f>
        <v/>
      </c>
      <c r="N49" s="1" t="str">
        <f>IF(OR($B49="",N$7=""),"",IF($B49="MEANS",INDEX('1-DATA'!$1:$1048576,$A48-1,COLUMN('1-DATA'!M47)),ROUND(INDEX('1-DATA'!$1:$1048576,IF(OR($B49="STD. DEVIATION",$C$1=1),$A49,$A49+1),COLUMN('1-DATA'!M47)),IF($B49="STD. DEVIATION",2,$F$1))))</f>
        <v/>
      </c>
      <c r="O49" s="1" t="str">
        <f>IF(OR($B49="",O$7=""),"",IF($B49="MEANS",INDEX('1-DATA'!$1:$1048576,$A48-1,COLUMN('1-DATA'!N47)),ROUND(INDEX('1-DATA'!$1:$1048576,IF(OR($B49="STD. DEVIATION",$C$1=1),$A49,$A49+1),COLUMN('1-DATA'!N47)),IF($B49="STD. DEVIATION",2,$F$1))))</f>
        <v/>
      </c>
      <c r="P49" s="1" t="str">
        <f>IF(OR($B49="",P$7=""),"",IF($B49="MEANS",INDEX('1-DATA'!$1:$1048576,$A48-1,COLUMN('1-DATA'!O47)),ROUND(INDEX('1-DATA'!$1:$1048576,IF(OR($B49="STD. DEVIATION",$C$1=1),$A49,$A49+1),COLUMN('1-DATA'!O47)),IF($B49="STD. DEVIATION",2,$F$1))))</f>
        <v/>
      </c>
      <c r="Q49" s="1" t="str">
        <f>IF(OR($B49="",Q$7=""),"",IF($B49="MEANS",INDEX('1-DATA'!$1:$1048576,$A48-1,COLUMN('1-DATA'!P47)),ROUND(INDEX('1-DATA'!$1:$1048576,IF(OR($B49="STD. DEVIATION",$C$1=1),$A49,$A49+1),COLUMN('1-DATA'!P47)),IF($B49="STD. DEVIATION",2,$F$1))))</f>
        <v/>
      </c>
      <c r="R49" s="1" t="str">
        <f>IF(OR($B49="",R$7=""),"",IF($B49="MEANS",INDEX('1-DATA'!$1:$1048576,$A48-1,COLUMN('1-DATA'!Q47)),ROUND(INDEX('1-DATA'!$1:$1048576,IF(OR($B49="STD. DEVIATION",$C$1=1),$A49,$A49+1),COLUMN('1-DATA'!Q47)),IF($B49="STD. DEVIATION",2,$F$1))))</f>
        <v/>
      </c>
      <c r="S49" s="1" t="str">
        <f>IF(OR($B49="",S$7=""),"",IF($B49="MEANS",INDEX('1-DATA'!$1:$1048576,$A48-1,COLUMN('1-DATA'!R47)),ROUND(INDEX('1-DATA'!$1:$1048576,IF(OR($B49="STD. DEVIATION",$C$1=1),$A49,$A49+1),COLUMN('1-DATA'!R47)),IF($B49="STD. DEVIATION",2,$F$1))))</f>
        <v/>
      </c>
      <c r="T49" s="1" t="str">
        <f>IF(OR($B49="",T$7=""),"",IF($B49="MEANS",INDEX('1-DATA'!$1:$1048576,$A48-1,COLUMN('1-DATA'!S47)),ROUND(INDEX('1-DATA'!$1:$1048576,IF(OR($B49="STD. DEVIATION",$C$1=1),$A49,$A49+1),COLUMN('1-DATA'!S47)),IF($B49="STD. DEVIATION",2,$F$1))))</f>
        <v/>
      </c>
      <c r="U49" s="1" t="str">
        <f>IF(OR($B49="",U$7=""),"",IF($B49="MEANS",INDEX('1-DATA'!$1:$1048576,$A48-1,COLUMN('1-DATA'!T47)),ROUND(INDEX('1-DATA'!$1:$1048576,IF(OR($B49="STD. DEVIATION",$C$1=1),$A49,$A49+1),COLUMN('1-DATA'!T47)),IF($B49="STD. DEVIATION",2,$F$1))))</f>
        <v/>
      </c>
      <c r="V49" s="1" t="str">
        <f>IF(OR($B49="",V$7=""),"",IF($B49="MEANS",INDEX('1-DATA'!$1:$1048576,$A48-1,COLUMN('1-DATA'!U47)),ROUND(INDEX('1-DATA'!$1:$1048576,IF(OR($B49="STD. DEVIATION",$C$1=1),$A49,$A49+1),COLUMN('1-DATA'!U47)),IF($B49="STD. DEVIATION",2,$F$1))))</f>
        <v/>
      </c>
      <c r="W49" s="1" t="str">
        <f>IF(OR($B49="",W$7=""),"",IF($B49="MEANS",INDEX('1-DATA'!$1:$1048576,$A48-1,COLUMN('1-DATA'!V47)),ROUND(INDEX('1-DATA'!$1:$1048576,IF(OR($B49="STD. DEVIATION",$C$1=1),$A49,$A49+1),COLUMN('1-DATA'!V47)),IF($B49="STD. DEVIATION",2,$F$1))))</f>
        <v/>
      </c>
      <c r="X49" s="1" t="str">
        <f>IF(OR($B49="",X$7=""),"",IF($B49="MEANS",INDEX('1-DATA'!$1:$1048576,$A48-1,COLUMN('1-DATA'!W47)),ROUND(INDEX('1-DATA'!$1:$1048576,IF(OR($B49="STD. DEVIATION",$C$1=1),$A49,$A49+1),COLUMN('1-DATA'!W47)),IF($B49="STD. DEVIATION",2,$F$1))))</f>
        <v/>
      </c>
      <c r="Y49" s="1" t="str">
        <f>IF(OR($B49="",Y$7=""),"",IF($B49="MEANS",INDEX('1-DATA'!$1:$1048576,$A48-1,COLUMN('1-DATA'!X47)),ROUND(INDEX('1-DATA'!$1:$1048576,IF(OR($B49="STD. DEVIATION",$C$1=1),$A49,$A49+1),COLUMN('1-DATA'!X47)),IF($B49="STD. DEVIATION",2,$F$1))))</f>
        <v/>
      </c>
      <c r="Z49" s="1" t="str">
        <f>IF(OR($B49="",Z$7=""),"",IF($B49="MEANS",INDEX('1-DATA'!$1:$1048576,$A48-1,COLUMN('1-DATA'!Y47)),ROUND(INDEX('1-DATA'!$1:$1048576,IF(OR($B49="STD. DEVIATION",$C$1=1),$A49,$A49+1),COLUMN('1-DATA'!Y47)),IF($B49="STD. DEVIATION",2,$F$1))))</f>
        <v/>
      </c>
      <c r="AA49" s="1" t="str">
        <f>IF(OR($B49="",AA$7=""),"",IF($B49="MEANS",INDEX('1-DATA'!$1:$1048576,$A48-1,COLUMN('1-DATA'!Z47)),ROUND(INDEX('1-DATA'!$1:$1048576,IF(OR($B49="STD. DEVIATION",$C$1=1),$A49,$A49+1),COLUMN('1-DATA'!Z47)),IF($B49="STD. DEVIATION",2,$F$1))))</f>
        <v/>
      </c>
      <c r="AB49" s="1" t="str">
        <f>IF(OR($B49="",AB$7=""),"",IF($B49="MEANS",INDEX('1-DATA'!$1:$1048576,$A48-1,COLUMN('1-DATA'!AA47)),ROUND(INDEX('1-DATA'!$1:$1048576,IF(OR($B49="STD. DEVIATION",$C$1=1),$A49,$A49+1),COLUMN('1-DATA'!AA47)),IF($B49="STD. DEVIATION",2,$F$1))))</f>
        <v/>
      </c>
      <c r="AC49" s="1" t="str">
        <f>IF(OR($B49="",AC$7=""),"",IF($B49="MEANS",INDEX('1-DATA'!$1:$1048576,$A48-1,COLUMN('1-DATA'!AB47)),ROUND(INDEX('1-DATA'!$1:$1048576,IF(OR($B49="STD. DEVIATION",$C$1=1),$A49,$A49+1),COLUMN('1-DATA'!AB47)),IF($B49="STD. DEVIATION",2,$F$1))))</f>
        <v/>
      </c>
      <c r="AD49" s="1" t="str">
        <f>IF(OR($B49="",AD$7=""),"",IF($B49="MEANS",INDEX('1-DATA'!$1:$1048576,$A48-1,COLUMN('1-DATA'!AC47)),ROUND(INDEX('1-DATA'!$1:$1048576,IF(OR($B49="STD. DEVIATION",$C$1=1),$A49,$A49+1),COLUMN('1-DATA'!AC47)),IF($B49="STD. DEVIATION",2,$F$1))))</f>
        <v/>
      </c>
      <c r="AE49" s="1" t="str">
        <f>IF(OR($B49="",AE$7=""),"",IF($B49="MEANS",INDEX('1-DATA'!$1:$1048576,$A48-1,COLUMN('1-DATA'!AD47)),ROUND(INDEX('1-DATA'!$1:$1048576,IF(OR($B49="STD. DEVIATION",$C$1=1),$A49,$A49+1),COLUMN('1-DATA'!AD47)),IF($B49="STD. DEVIATION",2,$F$1))))</f>
        <v/>
      </c>
      <c r="AF49" s="1" t="str">
        <f>IF(OR($B49="",AF$7=""),"",IF($B49="MEANS",INDEX('1-DATA'!$1:$1048576,$A48-1,COLUMN('1-DATA'!AE47)),ROUND(INDEX('1-DATA'!$1:$1048576,IF(OR($B49="STD. DEVIATION",$C$1=1),$A49,$A49+1),COLUMN('1-DATA'!AE47)),IF($B49="STD. DEVIATION",2,$F$1))))</f>
        <v/>
      </c>
      <c r="AG49" s="1" t="str">
        <f>IF(OR($B49="",AG$7=""),"",IF($B49="MEANS",INDEX('1-DATA'!$1:$1048576,$A48-1,COLUMN('1-DATA'!AF47)),ROUND(INDEX('1-DATA'!$1:$1048576,IF(OR($B49="STD. DEVIATION",$C$1=1),$A49,$A49+1),COLUMN('1-DATA'!AF47)),IF($B49="STD. DEVIATION",2,$F$1))))</f>
        <v/>
      </c>
      <c r="AH49" s="1" t="str">
        <f>IF(OR($B49="",AH$7=""),"",IF($B49="MEANS",INDEX('1-DATA'!$1:$1048576,$A48-1,COLUMN('1-DATA'!AG47)),ROUND(INDEX('1-DATA'!$1:$1048576,IF(OR($B49="STD. DEVIATION",$C$1=1),$A49,$A49+1),COLUMN('1-DATA'!AG47)),IF($B49="STD. DEVIATION",2,$F$1))))</f>
        <v/>
      </c>
      <c r="AI49" s="1" t="str">
        <f>IF(OR($B49="",AI$7=""),"",IF($B49="MEANS",INDEX('1-DATA'!$1:$1048576,$A48-1,COLUMN('1-DATA'!AH47)),ROUND(INDEX('1-DATA'!$1:$1048576,IF(OR($B49="STD. DEVIATION",$C$1=1),$A49,$A49+1),COLUMN('1-DATA'!AH47)),IF($B49="STD. DEVIATION",2,$F$1))))</f>
        <v/>
      </c>
      <c r="AJ49" s="1" t="str">
        <f>IF(OR($B49="",AJ$7=""),"",IF($B49="MEANS",INDEX('1-DATA'!$1:$1048576,$A48-1,COLUMN('1-DATA'!AI47)),ROUND(INDEX('1-DATA'!$1:$1048576,IF(OR($B49="STD. DEVIATION",$C$1=1),$A49,$A49+1),COLUMN('1-DATA'!AI47)),IF($B49="STD. DEVIATION",2,$F$1))))</f>
        <v/>
      </c>
      <c r="AK49" s="1" t="str">
        <f>IF(OR($B49="",AK$7=""),"",IF($B49="MEANS",INDEX('1-DATA'!$1:$1048576,$A48-1,COLUMN('1-DATA'!AJ47)),ROUND(INDEX('1-DATA'!$1:$1048576,IF(OR($B49="STD. DEVIATION",$C$1=1),$A49,$A49+1),COLUMN('1-DATA'!AJ47)),IF($B49="STD. DEVIATION",2,$F$1))))</f>
        <v/>
      </c>
      <c r="AL49" s="1" t="str">
        <f>IF(OR($B49="",AL$7=""),"",IF($B49="MEANS",INDEX('1-DATA'!$1:$1048576,$A48-1,COLUMN('1-DATA'!AK47)),ROUND(INDEX('1-DATA'!$1:$1048576,IF(OR($B49="STD. DEVIATION",$C$1=1),$A49,$A49+1),COLUMN('1-DATA'!AK47)),IF($B49="STD. DEVIATION",2,$F$1))))</f>
        <v/>
      </c>
      <c r="AM49" s="1" t="str">
        <f>IF(OR($B49="",AM$7=""),"",IF($B49="MEANS",INDEX('1-DATA'!$1:$1048576,$A48-1,COLUMN('1-DATA'!AL47)),ROUND(INDEX('1-DATA'!$1:$1048576,IF(OR($B49="STD. DEVIATION",$C$1=1),$A49,$A49+1),COLUMN('1-DATA'!AL47)),IF($B49="STD. DEVIATION",2,$F$1))))</f>
        <v/>
      </c>
      <c r="AN49" s="1" t="str">
        <f>IF(OR($B49="",AN$7=""),"",IF($B49="MEANS",INDEX('1-DATA'!$1:$1048576,$A48-1,COLUMN('1-DATA'!AM47)),ROUND(INDEX('1-DATA'!$1:$1048576,IF(OR($B49="STD. DEVIATION",$C$1=1),$A49,$A49+1),COLUMN('1-DATA'!AM47)),IF($B49="STD. DEVIATION",2,$F$1))))</f>
        <v/>
      </c>
      <c r="AO49" s="1" t="str">
        <f>IF(OR($B49="",AO$7=""),"",IF($B49="MEANS",INDEX('1-DATA'!$1:$1048576,$A48-1,COLUMN('1-DATA'!AN47)),ROUND(INDEX('1-DATA'!$1:$1048576,IF(OR($B49="STD. DEVIATION",$C$1=1),$A49,$A49+1),COLUMN('1-DATA'!AN47)),IF($B49="STD. DEVIATION",2,$F$1))))</f>
        <v/>
      </c>
      <c r="AP49" s="1" t="str">
        <f>IF(OR($B49="",AP$7=""),"",IF($B49="MEANS",INDEX('1-DATA'!$1:$1048576,$A48-1,COLUMN('1-DATA'!AO47)),ROUND(INDEX('1-DATA'!$1:$1048576,IF(OR($B49="STD. DEVIATION",$C$1=1),$A49,$A49+1),COLUMN('1-DATA'!AO47)),IF($B49="STD. DEVIATION",2,$F$1))))</f>
        <v/>
      </c>
      <c r="AQ49" s="1" t="str">
        <f>IF(OR($B49="",AQ$7=""),"",IF($B49="MEANS",INDEX('1-DATA'!$1:$1048576,$A48-1,COLUMN('1-DATA'!AP47)),ROUND(INDEX('1-DATA'!$1:$1048576,IF(OR($B49="STD. DEVIATION",$C$1=1),$A49,$A49+1),COLUMN('1-DATA'!AP47)),IF($B49="STD. DEVIATION",2,$F$1))))</f>
        <v/>
      </c>
      <c r="AR49" s="1" t="str">
        <f>IF(OR($B49="",AR$7=""),"",IF($B49="MEANS",INDEX('1-DATA'!$1:$1048576,$A48-1,COLUMN('1-DATA'!AQ47)),ROUND(INDEX('1-DATA'!$1:$1048576,IF(OR($B49="STD. DEVIATION",$C$1=1),$A49,$A49+1),COLUMN('1-DATA'!AQ47)),IF($B49="STD. DEVIATION",2,$F$1))))</f>
        <v/>
      </c>
      <c r="AS49" s="1" t="str">
        <f>IF(OR($B49="",AS$7=""),"",IF($B49="MEANS",INDEX('1-DATA'!$1:$1048576,$A48-1,COLUMN('1-DATA'!AR47)),ROUND(INDEX('1-DATA'!$1:$1048576,IF(OR($B49="STD. DEVIATION",$C$1=1),$A49,$A49+1),COLUMN('1-DATA'!AR47)),IF($B49="STD. DEVIATION",2,$F$1))))</f>
        <v/>
      </c>
      <c r="AT49" s="1" t="str">
        <f>IF(OR($B49="",AT$7=""),"",IF($B49="MEANS",INDEX('1-DATA'!$1:$1048576,$A48-1,COLUMN('1-DATA'!AS47)),ROUND(INDEX('1-DATA'!$1:$1048576,IF(OR($B49="STD. DEVIATION",$C$1=1),$A49,$A49+1),COLUMN('1-DATA'!AS47)),IF($B49="STD. DEVIATION",2,$F$1))))</f>
        <v/>
      </c>
      <c r="AU49" s="1" t="str">
        <f>IF(OR($B49="",AU$7=""),"",IF($B49="MEANS",INDEX('1-DATA'!$1:$1048576,$A48-1,COLUMN('1-DATA'!AT47)),ROUND(INDEX('1-DATA'!$1:$1048576,IF(OR($B49="STD. DEVIATION",$C$1=1),$A49,$A49+1),COLUMN('1-DATA'!AT47)),IF($B49="STD. DEVIATION",2,$F$1))))</f>
        <v/>
      </c>
      <c r="AV49" s="1" t="str">
        <f>IF(OR($B49="",AV$7=""),"",IF($B49="MEANS",INDEX('1-DATA'!$1:$1048576,$A48-1,COLUMN('1-DATA'!AU47)),ROUND(INDEX('1-DATA'!$1:$1048576,IF(OR($B49="STD. DEVIATION",$C$1=1),$A49,$A49+1),COLUMN('1-DATA'!AU47)),IF($B49="STD. DEVIATION",2,$F$1))))</f>
        <v/>
      </c>
      <c r="AW49" s="1" t="str">
        <f>IF(OR($B49="",AW$7=""),"",IF($B49="MEANS",INDEX('1-DATA'!$1:$1048576,$A48-1,COLUMN('1-DATA'!AV47)),ROUND(INDEX('1-DATA'!$1:$1048576,IF(OR($B49="STD. DEVIATION",$C$1=1),$A49,$A49+1),COLUMN('1-DATA'!AV47)),IF($B49="STD. DEVIATION",2,$F$1))))</f>
        <v/>
      </c>
      <c r="AX49" s="1" t="str">
        <f>IF(OR($B49="",AX$7=""),"",IF($B49="MEANS",INDEX('1-DATA'!$1:$1048576,$A48-1,COLUMN('1-DATA'!AW47)),ROUND(INDEX('1-DATA'!$1:$1048576,IF(OR($B49="STD. DEVIATION",$C$1=1),$A49,$A49+1),COLUMN('1-DATA'!AW47)),IF($B49="STD. DEVIATION",2,$F$1))))</f>
        <v/>
      </c>
      <c r="AY49" s="1" t="str">
        <f>IF(OR($B49="",AY$7=""),"",IF($B49="MEANS",INDEX('1-DATA'!$1:$1048576,$A48-1,COLUMN('1-DATA'!AX47)),ROUND(INDEX('1-DATA'!$1:$1048576,IF(OR($B49="STD. DEVIATION",$C$1=1),$A49,$A49+1),COLUMN('1-DATA'!AX47)),IF($B49="STD. DEVIATION",2,$F$1))))</f>
        <v/>
      </c>
      <c r="AZ49" s="1" t="str">
        <f>IF(OR($B49="",AZ$7=""),"",IF($B49="MEANS",INDEX('1-DATA'!$1:$1048576,$A48-1,COLUMN('1-DATA'!AY47)),ROUND(INDEX('1-DATA'!$1:$1048576,IF(OR($B49="STD. DEVIATION",$C$1=1),$A49,$A49+1),COLUMN('1-DATA'!AY47)),IF($B49="STD. DEVIATION",2,$F$1))))</f>
        <v/>
      </c>
    </row>
    <row r="50" spans="1:52" x14ac:dyDescent="0.25">
      <c r="A50" s="11">
        <f t="shared" si="1"/>
        <v>136</v>
      </c>
      <c r="B50" s="1" t="str">
        <f>IF(B49="STD. DEVIATION",INDEX('1-DATA'!$1:$1048576,$A49-1,1),IF(INDEX('1-DATA'!$1:$1048576,$A50,1)&lt;&gt;"",INDEX('1-DATA'!$1:$1048576,$A50,1),""))</f>
        <v/>
      </c>
      <c r="C50" s="1" t="str">
        <f>IF(OR($B50="",C$7=""),"",IF($B50="MEANS",INDEX('1-DATA'!$1:$1048576,$A49-1,COLUMN('1-DATA'!B48)),ROUND(INDEX('1-DATA'!$1:$1048576,IF(OR($B50="STD. DEVIATION",$C$1=1),$A50,$A50+1),COLUMN('1-DATA'!B48)),IF($B50="STD. DEVIATION",2,$F$1))))</f>
        <v/>
      </c>
      <c r="D50" s="1" t="str">
        <f>IF(OR($B50="",D$7=""),"",IF($B50="MEANS",INDEX('1-DATA'!$1:$1048576,$A49-1,COLUMN('1-DATA'!C48)),ROUND(INDEX('1-DATA'!$1:$1048576,IF(OR($B50="STD. DEVIATION",$C$1=1),$A50,$A50+1),COLUMN('1-DATA'!C48)),IF($B50="STD. DEVIATION",2,$F$1))))</f>
        <v/>
      </c>
      <c r="E50" s="1" t="str">
        <f>IF(OR($B50="",E$7=""),"",IF($B50="MEANS",INDEX('1-DATA'!$1:$1048576,$A49-1,COLUMN('1-DATA'!D48)),ROUND(INDEX('1-DATA'!$1:$1048576,IF(OR($B50="STD. DEVIATION",$C$1=1),$A50,$A50+1),COLUMN('1-DATA'!D48)),IF($B50="STD. DEVIATION",2,$F$1))))</f>
        <v/>
      </c>
      <c r="F50" s="1" t="str">
        <f>IF(OR($B50="",F$7=""),"",IF($B50="MEANS",INDEX('1-DATA'!$1:$1048576,$A49-1,COLUMN('1-DATA'!E48)),ROUND(INDEX('1-DATA'!$1:$1048576,IF(OR($B50="STD. DEVIATION",$C$1=1),$A50,$A50+1),COLUMN('1-DATA'!E48)),IF($B50="STD. DEVIATION",2,$F$1))))</f>
        <v/>
      </c>
      <c r="G50" s="1" t="str">
        <f>IF(OR($B50="",G$7=""),"",IF($B50="MEANS",INDEX('1-DATA'!$1:$1048576,$A49-1,COLUMN('1-DATA'!F48)),ROUND(INDEX('1-DATA'!$1:$1048576,IF(OR($B50="STD. DEVIATION",$C$1=1),$A50,$A50+1),COLUMN('1-DATA'!F48)),IF($B50="STD. DEVIATION",2,$F$1))))</f>
        <v/>
      </c>
      <c r="H50" s="1" t="str">
        <f>IF(OR($B50="",H$7=""),"",IF($B50="MEANS",INDEX('1-DATA'!$1:$1048576,$A49-1,COLUMN('1-DATA'!G48)),ROUND(INDEX('1-DATA'!$1:$1048576,IF(OR($B50="STD. DEVIATION",$C$1=1),$A50,$A50+1),COLUMN('1-DATA'!G48)),IF($B50="STD. DEVIATION",2,$F$1))))</f>
        <v/>
      </c>
      <c r="I50" s="1" t="str">
        <f>IF(OR($B50="",I$7=""),"",IF($B50="MEANS",INDEX('1-DATA'!$1:$1048576,$A49-1,COLUMN('1-DATA'!H48)),ROUND(INDEX('1-DATA'!$1:$1048576,IF(OR($B50="STD. DEVIATION",$C$1=1),$A50,$A50+1),COLUMN('1-DATA'!H48)),IF($B50="STD. DEVIATION",2,$F$1))))</f>
        <v/>
      </c>
      <c r="J50" s="1" t="str">
        <f>IF(OR($B50="",J$7=""),"",IF($B50="MEANS",INDEX('1-DATA'!$1:$1048576,$A49-1,COLUMN('1-DATA'!I48)),ROUND(INDEX('1-DATA'!$1:$1048576,IF(OR($B50="STD. DEVIATION",$C$1=1),$A50,$A50+1),COLUMN('1-DATA'!I48)),IF($B50="STD. DEVIATION",2,$F$1))))</f>
        <v/>
      </c>
      <c r="K50" s="1" t="str">
        <f>IF(OR($B50="",K$7=""),"",IF($B50="MEANS",INDEX('1-DATA'!$1:$1048576,$A49-1,COLUMN('1-DATA'!J48)),ROUND(INDEX('1-DATA'!$1:$1048576,IF(OR($B50="STD. DEVIATION",$C$1=1),$A50,$A50+1),COLUMN('1-DATA'!J48)),IF($B50="STD. DEVIATION",2,$F$1))))</f>
        <v/>
      </c>
      <c r="L50" s="1" t="str">
        <f>IF(OR($B50="",L$7=""),"",IF($B50="MEANS",INDEX('1-DATA'!$1:$1048576,$A49-1,COLUMN('1-DATA'!K48)),ROUND(INDEX('1-DATA'!$1:$1048576,IF(OR($B50="STD. DEVIATION",$C$1=1),$A50,$A50+1),COLUMN('1-DATA'!K48)),IF($B50="STD. DEVIATION",2,$F$1))))</f>
        <v/>
      </c>
      <c r="M50" s="1" t="str">
        <f>IF(OR($B50="",M$7=""),"",IF($B50="MEANS",INDEX('1-DATA'!$1:$1048576,$A49-1,COLUMN('1-DATA'!L48)),ROUND(INDEX('1-DATA'!$1:$1048576,IF(OR($B50="STD. DEVIATION",$C$1=1),$A50,$A50+1),COLUMN('1-DATA'!L48)),IF($B50="STD. DEVIATION",2,$F$1))))</f>
        <v/>
      </c>
      <c r="N50" s="1" t="str">
        <f>IF(OR($B50="",N$7=""),"",IF($B50="MEANS",INDEX('1-DATA'!$1:$1048576,$A49-1,COLUMN('1-DATA'!M48)),ROUND(INDEX('1-DATA'!$1:$1048576,IF(OR($B50="STD. DEVIATION",$C$1=1),$A50,$A50+1),COLUMN('1-DATA'!M48)),IF($B50="STD. DEVIATION",2,$F$1))))</f>
        <v/>
      </c>
      <c r="O50" s="1" t="str">
        <f>IF(OR($B50="",O$7=""),"",IF($B50="MEANS",INDEX('1-DATA'!$1:$1048576,$A49-1,COLUMN('1-DATA'!N48)),ROUND(INDEX('1-DATA'!$1:$1048576,IF(OR($B50="STD. DEVIATION",$C$1=1),$A50,$A50+1),COLUMN('1-DATA'!N48)),IF($B50="STD. DEVIATION",2,$F$1))))</f>
        <v/>
      </c>
      <c r="P50" s="1" t="str">
        <f>IF(OR($B50="",P$7=""),"",IF($B50="MEANS",INDEX('1-DATA'!$1:$1048576,$A49-1,COLUMN('1-DATA'!O48)),ROUND(INDEX('1-DATA'!$1:$1048576,IF(OR($B50="STD. DEVIATION",$C$1=1),$A50,$A50+1),COLUMN('1-DATA'!O48)),IF($B50="STD. DEVIATION",2,$F$1))))</f>
        <v/>
      </c>
      <c r="Q50" s="1" t="str">
        <f>IF(OR($B50="",Q$7=""),"",IF($B50="MEANS",INDEX('1-DATA'!$1:$1048576,$A49-1,COLUMN('1-DATA'!P48)),ROUND(INDEX('1-DATA'!$1:$1048576,IF(OR($B50="STD. DEVIATION",$C$1=1),$A50,$A50+1),COLUMN('1-DATA'!P48)),IF($B50="STD. DEVIATION",2,$F$1))))</f>
        <v/>
      </c>
      <c r="R50" s="1" t="str">
        <f>IF(OR($B50="",R$7=""),"",IF($B50="MEANS",INDEX('1-DATA'!$1:$1048576,$A49-1,COLUMN('1-DATA'!Q48)),ROUND(INDEX('1-DATA'!$1:$1048576,IF(OR($B50="STD. DEVIATION",$C$1=1),$A50,$A50+1),COLUMN('1-DATA'!Q48)),IF($B50="STD. DEVIATION",2,$F$1))))</f>
        <v/>
      </c>
      <c r="S50" s="1" t="str">
        <f>IF(OR($B50="",S$7=""),"",IF($B50="MEANS",INDEX('1-DATA'!$1:$1048576,$A49-1,COLUMN('1-DATA'!R48)),ROUND(INDEX('1-DATA'!$1:$1048576,IF(OR($B50="STD. DEVIATION",$C$1=1),$A50,$A50+1),COLUMN('1-DATA'!R48)),IF($B50="STD. DEVIATION",2,$F$1))))</f>
        <v/>
      </c>
      <c r="T50" s="1" t="str">
        <f>IF(OR($B50="",T$7=""),"",IF($B50="MEANS",INDEX('1-DATA'!$1:$1048576,$A49-1,COLUMN('1-DATA'!S48)),ROUND(INDEX('1-DATA'!$1:$1048576,IF(OR($B50="STD. DEVIATION",$C$1=1),$A50,$A50+1),COLUMN('1-DATA'!S48)),IF($B50="STD. DEVIATION",2,$F$1))))</f>
        <v/>
      </c>
      <c r="U50" s="1" t="str">
        <f>IF(OR($B50="",U$7=""),"",IF($B50="MEANS",INDEX('1-DATA'!$1:$1048576,$A49-1,COLUMN('1-DATA'!T48)),ROUND(INDEX('1-DATA'!$1:$1048576,IF(OR($B50="STD. DEVIATION",$C$1=1),$A50,$A50+1),COLUMN('1-DATA'!T48)),IF($B50="STD. DEVIATION",2,$F$1))))</f>
        <v/>
      </c>
      <c r="V50" s="1" t="str">
        <f>IF(OR($B50="",V$7=""),"",IF($B50="MEANS",INDEX('1-DATA'!$1:$1048576,$A49-1,COLUMN('1-DATA'!U48)),ROUND(INDEX('1-DATA'!$1:$1048576,IF(OR($B50="STD. DEVIATION",$C$1=1),$A50,$A50+1),COLUMN('1-DATA'!U48)),IF($B50="STD. DEVIATION",2,$F$1))))</f>
        <v/>
      </c>
      <c r="W50" s="1" t="str">
        <f>IF(OR($B50="",W$7=""),"",IF($B50="MEANS",INDEX('1-DATA'!$1:$1048576,$A49-1,COLUMN('1-DATA'!V48)),ROUND(INDEX('1-DATA'!$1:$1048576,IF(OR($B50="STD. DEVIATION",$C$1=1),$A50,$A50+1),COLUMN('1-DATA'!V48)),IF($B50="STD. DEVIATION",2,$F$1))))</f>
        <v/>
      </c>
      <c r="X50" s="1" t="str">
        <f>IF(OR($B50="",X$7=""),"",IF($B50="MEANS",INDEX('1-DATA'!$1:$1048576,$A49-1,COLUMN('1-DATA'!W48)),ROUND(INDEX('1-DATA'!$1:$1048576,IF(OR($B50="STD. DEVIATION",$C$1=1),$A50,$A50+1),COLUMN('1-DATA'!W48)),IF($B50="STD. DEVIATION",2,$F$1))))</f>
        <v/>
      </c>
      <c r="Y50" s="1" t="str">
        <f>IF(OR($B50="",Y$7=""),"",IF($B50="MEANS",INDEX('1-DATA'!$1:$1048576,$A49-1,COLUMN('1-DATA'!X48)),ROUND(INDEX('1-DATA'!$1:$1048576,IF(OR($B50="STD. DEVIATION",$C$1=1),$A50,$A50+1),COLUMN('1-DATA'!X48)),IF($B50="STD. DEVIATION",2,$F$1))))</f>
        <v/>
      </c>
      <c r="Z50" s="1" t="str">
        <f>IF(OR($B50="",Z$7=""),"",IF($B50="MEANS",INDEX('1-DATA'!$1:$1048576,$A49-1,COLUMN('1-DATA'!Y48)),ROUND(INDEX('1-DATA'!$1:$1048576,IF(OR($B50="STD. DEVIATION",$C$1=1),$A50,$A50+1),COLUMN('1-DATA'!Y48)),IF($B50="STD. DEVIATION",2,$F$1))))</f>
        <v/>
      </c>
      <c r="AA50" s="1" t="str">
        <f>IF(OR($B50="",AA$7=""),"",IF($B50="MEANS",INDEX('1-DATA'!$1:$1048576,$A49-1,COLUMN('1-DATA'!Z48)),ROUND(INDEX('1-DATA'!$1:$1048576,IF(OR($B50="STD. DEVIATION",$C$1=1),$A50,$A50+1),COLUMN('1-DATA'!Z48)),IF($B50="STD. DEVIATION",2,$F$1))))</f>
        <v/>
      </c>
      <c r="AB50" s="1" t="str">
        <f>IF(OR($B50="",AB$7=""),"",IF($B50="MEANS",INDEX('1-DATA'!$1:$1048576,$A49-1,COLUMN('1-DATA'!AA48)),ROUND(INDEX('1-DATA'!$1:$1048576,IF(OR($B50="STD. DEVIATION",$C$1=1),$A50,$A50+1),COLUMN('1-DATA'!AA48)),IF($B50="STD. DEVIATION",2,$F$1))))</f>
        <v/>
      </c>
      <c r="AC50" s="1" t="str">
        <f>IF(OR($B50="",AC$7=""),"",IF($B50="MEANS",INDEX('1-DATA'!$1:$1048576,$A49-1,COLUMN('1-DATA'!AB48)),ROUND(INDEX('1-DATA'!$1:$1048576,IF(OR($B50="STD. DEVIATION",$C$1=1),$A50,$A50+1),COLUMN('1-DATA'!AB48)),IF($B50="STD. DEVIATION",2,$F$1))))</f>
        <v/>
      </c>
      <c r="AD50" s="1" t="str">
        <f>IF(OR($B50="",AD$7=""),"",IF($B50="MEANS",INDEX('1-DATA'!$1:$1048576,$A49-1,COLUMN('1-DATA'!AC48)),ROUND(INDEX('1-DATA'!$1:$1048576,IF(OR($B50="STD. DEVIATION",$C$1=1),$A50,$A50+1),COLUMN('1-DATA'!AC48)),IF($B50="STD. DEVIATION",2,$F$1))))</f>
        <v/>
      </c>
      <c r="AE50" s="1" t="str">
        <f>IF(OR($B50="",AE$7=""),"",IF($B50="MEANS",INDEX('1-DATA'!$1:$1048576,$A49-1,COLUMN('1-DATA'!AD48)),ROUND(INDEX('1-DATA'!$1:$1048576,IF(OR($B50="STD. DEVIATION",$C$1=1),$A50,$A50+1),COLUMN('1-DATA'!AD48)),IF($B50="STD. DEVIATION",2,$F$1))))</f>
        <v/>
      </c>
      <c r="AF50" s="1" t="str">
        <f>IF(OR($B50="",AF$7=""),"",IF($B50="MEANS",INDEX('1-DATA'!$1:$1048576,$A49-1,COLUMN('1-DATA'!AE48)),ROUND(INDEX('1-DATA'!$1:$1048576,IF(OR($B50="STD. DEVIATION",$C$1=1),$A50,$A50+1),COLUMN('1-DATA'!AE48)),IF($B50="STD. DEVIATION",2,$F$1))))</f>
        <v/>
      </c>
      <c r="AG50" s="1" t="str">
        <f>IF(OR($B50="",AG$7=""),"",IF($B50="MEANS",INDEX('1-DATA'!$1:$1048576,$A49-1,COLUMN('1-DATA'!AF48)),ROUND(INDEX('1-DATA'!$1:$1048576,IF(OR($B50="STD. DEVIATION",$C$1=1),$A50,$A50+1),COLUMN('1-DATA'!AF48)),IF($B50="STD. DEVIATION",2,$F$1))))</f>
        <v/>
      </c>
      <c r="AH50" s="1" t="str">
        <f>IF(OR($B50="",AH$7=""),"",IF($B50="MEANS",INDEX('1-DATA'!$1:$1048576,$A49-1,COLUMN('1-DATA'!AG48)),ROUND(INDEX('1-DATA'!$1:$1048576,IF(OR($B50="STD. DEVIATION",$C$1=1),$A50,$A50+1),COLUMN('1-DATA'!AG48)),IF($B50="STD. DEVIATION",2,$F$1))))</f>
        <v/>
      </c>
      <c r="AI50" s="1" t="str">
        <f>IF(OR($B50="",AI$7=""),"",IF($B50="MEANS",INDEX('1-DATA'!$1:$1048576,$A49-1,COLUMN('1-DATA'!AH48)),ROUND(INDEX('1-DATA'!$1:$1048576,IF(OR($B50="STD. DEVIATION",$C$1=1),$A50,$A50+1),COLUMN('1-DATA'!AH48)),IF($B50="STD. DEVIATION",2,$F$1))))</f>
        <v/>
      </c>
      <c r="AJ50" s="1" t="str">
        <f>IF(OR($B50="",AJ$7=""),"",IF($B50="MEANS",INDEX('1-DATA'!$1:$1048576,$A49-1,COLUMN('1-DATA'!AI48)),ROUND(INDEX('1-DATA'!$1:$1048576,IF(OR($B50="STD. DEVIATION",$C$1=1),$A50,$A50+1),COLUMN('1-DATA'!AI48)),IF($B50="STD. DEVIATION",2,$F$1))))</f>
        <v/>
      </c>
      <c r="AK50" s="1" t="str">
        <f>IF(OR($B50="",AK$7=""),"",IF($B50="MEANS",INDEX('1-DATA'!$1:$1048576,$A49-1,COLUMN('1-DATA'!AJ48)),ROUND(INDEX('1-DATA'!$1:$1048576,IF(OR($B50="STD. DEVIATION",$C$1=1),$A50,$A50+1),COLUMN('1-DATA'!AJ48)),IF($B50="STD. DEVIATION",2,$F$1))))</f>
        <v/>
      </c>
      <c r="AL50" s="1" t="str">
        <f>IF(OR($B50="",AL$7=""),"",IF($B50="MEANS",INDEX('1-DATA'!$1:$1048576,$A49-1,COLUMN('1-DATA'!AK48)),ROUND(INDEX('1-DATA'!$1:$1048576,IF(OR($B50="STD. DEVIATION",$C$1=1),$A50,$A50+1),COLUMN('1-DATA'!AK48)),IF($B50="STD. DEVIATION",2,$F$1))))</f>
        <v/>
      </c>
      <c r="AM50" s="1" t="str">
        <f>IF(OR($B50="",AM$7=""),"",IF($B50="MEANS",INDEX('1-DATA'!$1:$1048576,$A49-1,COLUMN('1-DATA'!AL48)),ROUND(INDEX('1-DATA'!$1:$1048576,IF(OR($B50="STD. DEVIATION",$C$1=1),$A50,$A50+1),COLUMN('1-DATA'!AL48)),IF($B50="STD. DEVIATION",2,$F$1))))</f>
        <v/>
      </c>
      <c r="AN50" s="1" t="str">
        <f>IF(OR($B50="",AN$7=""),"",IF($B50="MEANS",INDEX('1-DATA'!$1:$1048576,$A49-1,COLUMN('1-DATA'!AM48)),ROUND(INDEX('1-DATA'!$1:$1048576,IF(OR($B50="STD. DEVIATION",$C$1=1),$A50,$A50+1),COLUMN('1-DATA'!AM48)),IF($B50="STD. DEVIATION",2,$F$1))))</f>
        <v/>
      </c>
      <c r="AO50" s="1" t="str">
        <f>IF(OR($B50="",AO$7=""),"",IF($B50="MEANS",INDEX('1-DATA'!$1:$1048576,$A49-1,COLUMN('1-DATA'!AN48)),ROUND(INDEX('1-DATA'!$1:$1048576,IF(OR($B50="STD. DEVIATION",$C$1=1),$A50,$A50+1),COLUMN('1-DATA'!AN48)),IF($B50="STD. DEVIATION",2,$F$1))))</f>
        <v/>
      </c>
      <c r="AP50" s="1" t="str">
        <f>IF(OR($B50="",AP$7=""),"",IF($B50="MEANS",INDEX('1-DATA'!$1:$1048576,$A49-1,COLUMN('1-DATA'!AO48)),ROUND(INDEX('1-DATA'!$1:$1048576,IF(OR($B50="STD. DEVIATION",$C$1=1),$A50,$A50+1),COLUMN('1-DATA'!AO48)),IF($B50="STD. DEVIATION",2,$F$1))))</f>
        <v/>
      </c>
      <c r="AQ50" s="1" t="str">
        <f>IF(OR($B50="",AQ$7=""),"",IF($B50="MEANS",INDEX('1-DATA'!$1:$1048576,$A49-1,COLUMN('1-DATA'!AP48)),ROUND(INDEX('1-DATA'!$1:$1048576,IF(OR($B50="STD. DEVIATION",$C$1=1),$A50,$A50+1),COLUMN('1-DATA'!AP48)),IF($B50="STD. DEVIATION",2,$F$1))))</f>
        <v/>
      </c>
      <c r="AR50" s="1" t="str">
        <f>IF(OR($B50="",AR$7=""),"",IF($B50="MEANS",INDEX('1-DATA'!$1:$1048576,$A49-1,COLUMN('1-DATA'!AQ48)),ROUND(INDEX('1-DATA'!$1:$1048576,IF(OR($B50="STD. DEVIATION",$C$1=1),$A50,$A50+1),COLUMN('1-DATA'!AQ48)),IF($B50="STD. DEVIATION",2,$F$1))))</f>
        <v/>
      </c>
      <c r="AS50" s="1" t="str">
        <f>IF(OR($B50="",AS$7=""),"",IF($B50="MEANS",INDEX('1-DATA'!$1:$1048576,$A49-1,COLUMN('1-DATA'!AR48)),ROUND(INDEX('1-DATA'!$1:$1048576,IF(OR($B50="STD. DEVIATION",$C$1=1),$A50,$A50+1),COLUMN('1-DATA'!AR48)),IF($B50="STD. DEVIATION",2,$F$1))))</f>
        <v/>
      </c>
      <c r="AT50" s="1" t="str">
        <f>IF(OR($B50="",AT$7=""),"",IF($B50="MEANS",INDEX('1-DATA'!$1:$1048576,$A49-1,COLUMN('1-DATA'!AS48)),ROUND(INDEX('1-DATA'!$1:$1048576,IF(OR($B50="STD. DEVIATION",$C$1=1),$A50,$A50+1),COLUMN('1-DATA'!AS48)),IF($B50="STD. DEVIATION",2,$F$1))))</f>
        <v/>
      </c>
      <c r="AU50" s="1" t="str">
        <f>IF(OR($B50="",AU$7=""),"",IF($B50="MEANS",INDEX('1-DATA'!$1:$1048576,$A49-1,COLUMN('1-DATA'!AT48)),ROUND(INDEX('1-DATA'!$1:$1048576,IF(OR($B50="STD. DEVIATION",$C$1=1),$A50,$A50+1),COLUMN('1-DATA'!AT48)),IF($B50="STD. DEVIATION",2,$F$1))))</f>
        <v/>
      </c>
      <c r="AV50" s="1" t="str">
        <f>IF(OR($B50="",AV$7=""),"",IF($B50="MEANS",INDEX('1-DATA'!$1:$1048576,$A49-1,COLUMN('1-DATA'!AU48)),ROUND(INDEX('1-DATA'!$1:$1048576,IF(OR($B50="STD. DEVIATION",$C$1=1),$A50,$A50+1),COLUMN('1-DATA'!AU48)),IF($B50="STD. DEVIATION",2,$F$1))))</f>
        <v/>
      </c>
      <c r="AW50" s="1" t="str">
        <f>IF(OR($B50="",AW$7=""),"",IF($B50="MEANS",INDEX('1-DATA'!$1:$1048576,$A49-1,COLUMN('1-DATA'!AV48)),ROUND(INDEX('1-DATA'!$1:$1048576,IF(OR($B50="STD. DEVIATION",$C$1=1),$A50,$A50+1),COLUMN('1-DATA'!AV48)),IF($B50="STD. DEVIATION",2,$F$1))))</f>
        <v/>
      </c>
      <c r="AX50" s="1" t="str">
        <f>IF(OR($B50="",AX$7=""),"",IF($B50="MEANS",INDEX('1-DATA'!$1:$1048576,$A49-1,COLUMN('1-DATA'!AW48)),ROUND(INDEX('1-DATA'!$1:$1048576,IF(OR($B50="STD. DEVIATION",$C$1=1),$A50,$A50+1),COLUMN('1-DATA'!AW48)),IF($B50="STD. DEVIATION",2,$F$1))))</f>
        <v/>
      </c>
      <c r="AY50" s="1" t="str">
        <f>IF(OR($B50="",AY$7=""),"",IF($B50="MEANS",INDEX('1-DATA'!$1:$1048576,$A49-1,COLUMN('1-DATA'!AX48)),ROUND(INDEX('1-DATA'!$1:$1048576,IF(OR($B50="STD. DEVIATION",$C$1=1),$A50,$A50+1),COLUMN('1-DATA'!AX48)),IF($B50="STD. DEVIATION",2,$F$1))))</f>
        <v/>
      </c>
      <c r="AZ50" s="1" t="str">
        <f>IF(OR($B50="",AZ$7=""),"",IF($B50="MEANS",INDEX('1-DATA'!$1:$1048576,$A49-1,COLUMN('1-DATA'!AY48)),ROUND(INDEX('1-DATA'!$1:$1048576,IF(OR($B50="STD. DEVIATION",$C$1=1),$A50,$A50+1),COLUMN('1-DATA'!AY48)),IF($B50="STD. DEVIATION",2,$F$1))))</f>
        <v/>
      </c>
    </row>
    <row r="51" spans="1:52" x14ac:dyDescent="0.25">
      <c r="A51" s="11">
        <f t="shared" si="1"/>
        <v>139</v>
      </c>
      <c r="B51" s="1" t="str">
        <f>IF(B50="STD. DEVIATION",INDEX('1-DATA'!$1:$1048576,$A50-1,1),IF(INDEX('1-DATA'!$1:$1048576,$A51,1)&lt;&gt;"",INDEX('1-DATA'!$1:$1048576,$A51,1),""))</f>
        <v/>
      </c>
      <c r="C51" s="1" t="str">
        <f>IF(OR($B51="",C$7=""),"",IF($B51="MEANS",INDEX('1-DATA'!$1:$1048576,$A50-1,COLUMN('1-DATA'!B49)),ROUND(INDEX('1-DATA'!$1:$1048576,IF(OR($B51="STD. DEVIATION",$C$1=1),$A51,$A51+1),COLUMN('1-DATA'!B49)),IF($B51="STD. DEVIATION",2,$F$1))))</f>
        <v/>
      </c>
      <c r="D51" s="1" t="str">
        <f>IF(OR($B51="",D$7=""),"",IF($B51="MEANS",INDEX('1-DATA'!$1:$1048576,$A50-1,COLUMN('1-DATA'!C49)),ROUND(INDEX('1-DATA'!$1:$1048576,IF(OR($B51="STD. DEVIATION",$C$1=1),$A51,$A51+1),COLUMN('1-DATA'!C49)),IF($B51="STD. DEVIATION",2,$F$1))))</f>
        <v/>
      </c>
      <c r="E51" s="1" t="str">
        <f>IF(OR($B51="",E$7=""),"",IF($B51="MEANS",INDEX('1-DATA'!$1:$1048576,$A50-1,COLUMN('1-DATA'!D49)),ROUND(INDEX('1-DATA'!$1:$1048576,IF(OR($B51="STD. DEVIATION",$C$1=1),$A51,$A51+1),COLUMN('1-DATA'!D49)),IF($B51="STD. DEVIATION",2,$F$1))))</f>
        <v/>
      </c>
      <c r="F51" s="1" t="str">
        <f>IF(OR($B51="",F$7=""),"",IF($B51="MEANS",INDEX('1-DATA'!$1:$1048576,$A50-1,COLUMN('1-DATA'!E49)),ROUND(INDEX('1-DATA'!$1:$1048576,IF(OR($B51="STD. DEVIATION",$C$1=1),$A51,$A51+1),COLUMN('1-DATA'!E49)),IF($B51="STD. DEVIATION",2,$F$1))))</f>
        <v/>
      </c>
      <c r="G51" s="1" t="str">
        <f>IF(OR($B51="",G$7=""),"",IF($B51="MEANS",INDEX('1-DATA'!$1:$1048576,$A50-1,COLUMN('1-DATA'!F49)),ROUND(INDEX('1-DATA'!$1:$1048576,IF(OR($B51="STD. DEVIATION",$C$1=1),$A51,$A51+1),COLUMN('1-DATA'!F49)),IF($B51="STD. DEVIATION",2,$F$1))))</f>
        <v/>
      </c>
      <c r="H51" s="1" t="str">
        <f>IF(OR($B51="",H$7=""),"",IF($B51="MEANS",INDEX('1-DATA'!$1:$1048576,$A50-1,COLUMN('1-DATA'!G49)),ROUND(INDEX('1-DATA'!$1:$1048576,IF(OR($B51="STD. DEVIATION",$C$1=1),$A51,$A51+1),COLUMN('1-DATA'!G49)),IF($B51="STD. DEVIATION",2,$F$1))))</f>
        <v/>
      </c>
      <c r="I51" s="1" t="str">
        <f>IF(OR($B51="",I$7=""),"",IF($B51="MEANS",INDEX('1-DATA'!$1:$1048576,$A50-1,COLUMN('1-DATA'!H49)),ROUND(INDEX('1-DATA'!$1:$1048576,IF(OR($B51="STD. DEVIATION",$C$1=1),$A51,$A51+1),COLUMN('1-DATA'!H49)),IF($B51="STD. DEVIATION",2,$F$1))))</f>
        <v/>
      </c>
      <c r="J51" s="1" t="str">
        <f>IF(OR($B51="",J$7=""),"",IF($B51="MEANS",INDEX('1-DATA'!$1:$1048576,$A50-1,COLUMN('1-DATA'!I49)),ROUND(INDEX('1-DATA'!$1:$1048576,IF(OR($B51="STD. DEVIATION",$C$1=1),$A51,$A51+1),COLUMN('1-DATA'!I49)),IF($B51="STD. DEVIATION",2,$F$1))))</f>
        <v/>
      </c>
      <c r="K51" s="1" t="str">
        <f>IF(OR($B51="",K$7=""),"",IF($B51="MEANS",INDEX('1-DATA'!$1:$1048576,$A50-1,COLUMN('1-DATA'!J49)),ROUND(INDEX('1-DATA'!$1:$1048576,IF(OR($B51="STD. DEVIATION",$C$1=1),$A51,$A51+1),COLUMN('1-DATA'!J49)),IF($B51="STD. DEVIATION",2,$F$1))))</f>
        <v/>
      </c>
      <c r="L51" s="1" t="str">
        <f>IF(OR($B51="",L$7=""),"",IF($B51="MEANS",INDEX('1-DATA'!$1:$1048576,$A50-1,COLUMN('1-DATA'!K49)),ROUND(INDEX('1-DATA'!$1:$1048576,IF(OR($B51="STD. DEVIATION",$C$1=1),$A51,$A51+1),COLUMN('1-DATA'!K49)),IF($B51="STD. DEVIATION",2,$F$1))))</f>
        <v/>
      </c>
      <c r="M51" s="1" t="str">
        <f>IF(OR($B51="",M$7=""),"",IF($B51="MEANS",INDEX('1-DATA'!$1:$1048576,$A50-1,COLUMN('1-DATA'!L49)),ROUND(INDEX('1-DATA'!$1:$1048576,IF(OR($B51="STD. DEVIATION",$C$1=1),$A51,$A51+1),COLUMN('1-DATA'!L49)),IF($B51="STD. DEVIATION",2,$F$1))))</f>
        <v/>
      </c>
      <c r="N51" s="1" t="str">
        <f>IF(OR($B51="",N$7=""),"",IF($B51="MEANS",INDEX('1-DATA'!$1:$1048576,$A50-1,COLUMN('1-DATA'!M49)),ROUND(INDEX('1-DATA'!$1:$1048576,IF(OR($B51="STD. DEVIATION",$C$1=1),$A51,$A51+1),COLUMN('1-DATA'!M49)),IF($B51="STD. DEVIATION",2,$F$1))))</f>
        <v/>
      </c>
      <c r="O51" s="1" t="str">
        <f>IF(OR($B51="",O$7=""),"",IF($B51="MEANS",INDEX('1-DATA'!$1:$1048576,$A50-1,COLUMN('1-DATA'!N49)),ROUND(INDEX('1-DATA'!$1:$1048576,IF(OR($B51="STD. DEVIATION",$C$1=1),$A51,$A51+1),COLUMN('1-DATA'!N49)),IF($B51="STD. DEVIATION",2,$F$1))))</f>
        <v/>
      </c>
      <c r="P51" s="1" t="str">
        <f>IF(OR($B51="",P$7=""),"",IF($B51="MEANS",INDEX('1-DATA'!$1:$1048576,$A50-1,COLUMN('1-DATA'!O49)),ROUND(INDEX('1-DATA'!$1:$1048576,IF(OR($B51="STD. DEVIATION",$C$1=1),$A51,$A51+1),COLUMN('1-DATA'!O49)),IF($B51="STD. DEVIATION",2,$F$1))))</f>
        <v/>
      </c>
      <c r="Q51" s="1" t="str">
        <f>IF(OR($B51="",Q$7=""),"",IF($B51="MEANS",INDEX('1-DATA'!$1:$1048576,$A50-1,COLUMN('1-DATA'!P49)),ROUND(INDEX('1-DATA'!$1:$1048576,IF(OR($B51="STD. DEVIATION",$C$1=1),$A51,$A51+1),COLUMN('1-DATA'!P49)),IF($B51="STD. DEVIATION",2,$F$1))))</f>
        <v/>
      </c>
      <c r="R51" s="1" t="str">
        <f>IF(OR($B51="",R$7=""),"",IF($B51="MEANS",INDEX('1-DATA'!$1:$1048576,$A50-1,COLUMN('1-DATA'!Q49)),ROUND(INDEX('1-DATA'!$1:$1048576,IF(OR($B51="STD. DEVIATION",$C$1=1),$A51,$A51+1),COLUMN('1-DATA'!Q49)),IF($B51="STD. DEVIATION",2,$F$1))))</f>
        <v/>
      </c>
      <c r="S51" s="1" t="str">
        <f>IF(OR($B51="",S$7=""),"",IF($B51="MEANS",INDEX('1-DATA'!$1:$1048576,$A50-1,COLUMN('1-DATA'!R49)),ROUND(INDEX('1-DATA'!$1:$1048576,IF(OR($B51="STD. DEVIATION",$C$1=1),$A51,$A51+1),COLUMN('1-DATA'!R49)),IF($B51="STD. DEVIATION",2,$F$1))))</f>
        <v/>
      </c>
      <c r="T51" s="1" t="str">
        <f>IF(OR($B51="",T$7=""),"",IF($B51="MEANS",INDEX('1-DATA'!$1:$1048576,$A50-1,COLUMN('1-DATA'!S49)),ROUND(INDEX('1-DATA'!$1:$1048576,IF(OR($B51="STD. DEVIATION",$C$1=1),$A51,$A51+1),COLUMN('1-DATA'!S49)),IF($B51="STD. DEVIATION",2,$F$1))))</f>
        <v/>
      </c>
      <c r="U51" s="1" t="str">
        <f>IF(OR($B51="",U$7=""),"",IF($B51="MEANS",INDEX('1-DATA'!$1:$1048576,$A50-1,COLUMN('1-DATA'!T49)),ROUND(INDEX('1-DATA'!$1:$1048576,IF(OR($B51="STD. DEVIATION",$C$1=1),$A51,$A51+1),COLUMN('1-DATA'!T49)),IF($B51="STD. DEVIATION",2,$F$1))))</f>
        <v/>
      </c>
      <c r="V51" s="1" t="str">
        <f>IF(OR($B51="",V$7=""),"",IF($B51="MEANS",INDEX('1-DATA'!$1:$1048576,$A50-1,COLUMN('1-DATA'!U49)),ROUND(INDEX('1-DATA'!$1:$1048576,IF(OR($B51="STD. DEVIATION",$C$1=1),$A51,$A51+1),COLUMN('1-DATA'!U49)),IF($B51="STD. DEVIATION",2,$F$1))))</f>
        <v/>
      </c>
      <c r="W51" s="1" t="str">
        <f>IF(OR($B51="",W$7=""),"",IF($B51="MEANS",INDEX('1-DATA'!$1:$1048576,$A50-1,COLUMN('1-DATA'!V49)),ROUND(INDEX('1-DATA'!$1:$1048576,IF(OR($B51="STD. DEVIATION",$C$1=1),$A51,$A51+1),COLUMN('1-DATA'!V49)),IF($B51="STD. DEVIATION",2,$F$1))))</f>
        <v/>
      </c>
      <c r="X51" s="1" t="str">
        <f>IF(OR($B51="",X$7=""),"",IF($B51="MEANS",INDEX('1-DATA'!$1:$1048576,$A50-1,COLUMN('1-DATA'!W49)),ROUND(INDEX('1-DATA'!$1:$1048576,IF(OR($B51="STD. DEVIATION",$C$1=1),$A51,$A51+1),COLUMN('1-DATA'!W49)),IF($B51="STD. DEVIATION",2,$F$1))))</f>
        <v/>
      </c>
      <c r="Y51" s="1" t="str">
        <f>IF(OR($B51="",Y$7=""),"",IF($B51="MEANS",INDEX('1-DATA'!$1:$1048576,$A50-1,COLUMN('1-DATA'!X49)),ROUND(INDEX('1-DATA'!$1:$1048576,IF(OR($B51="STD. DEVIATION",$C$1=1),$A51,$A51+1),COLUMN('1-DATA'!X49)),IF($B51="STD. DEVIATION",2,$F$1))))</f>
        <v/>
      </c>
      <c r="Z51" s="1" t="str">
        <f>IF(OR($B51="",Z$7=""),"",IF($B51="MEANS",INDEX('1-DATA'!$1:$1048576,$A50-1,COLUMN('1-DATA'!Y49)),ROUND(INDEX('1-DATA'!$1:$1048576,IF(OR($B51="STD. DEVIATION",$C$1=1),$A51,$A51+1),COLUMN('1-DATA'!Y49)),IF($B51="STD. DEVIATION",2,$F$1))))</f>
        <v/>
      </c>
      <c r="AA51" s="1" t="str">
        <f>IF(OR($B51="",AA$7=""),"",IF($B51="MEANS",INDEX('1-DATA'!$1:$1048576,$A50-1,COLUMN('1-DATA'!Z49)),ROUND(INDEX('1-DATA'!$1:$1048576,IF(OR($B51="STD. DEVIATION",$C$1=1),$A51,$A51+1),COLUMN('1-DATA'!Z49)),IF($B51="STD. DEVIATION",2,$F$1))))</f>
        <v/>
      </c>
      <c r="AB51" s="1" t="str">
        <f>IF(OR($B51="",AB$7=""),"",IF($B51="MEANS",INDEX('1-DATA'!$1:$1048576,$A50-1,COLUMN('1-DATA'!AA49)),ROUND(INDEX('1-DATA'!$1:$1048576,IF(OR($B51="STD. DEVIATION",$C$1=1),$A51,$A51+1),COLUMN('1-DATA'!AA49)),IF($B51="STD. DEVIATION",2,$F$1))))</f>
        <v/>
      </c>
      <c r="AC51" s="1" t="str">
        <f>IF(OR($B51="",AC$7=""),"",IF($B51="MEANS",INDEX('1-DATA'!$1:$1048576,$A50-1,COLUMN('1-DATA'!AB49)),ROUND(INDEX('1-DATA'!$1:$1048576,IF(OR($B51="STD. DEVIATION",$C$1=1),$A51,$A51+1),COLUMN('1-DATA'!AB49)),IF($B51="STD. DEVIATION",2,$F$1))))</f>
        <v/>
      </c>
      <c r="AD51" s="1" t="str">
        <f>IF(OR($B51="",AD$7=""),"",IF($B51="MEANS",INDEX('1-DATA'!$1:$1048576,$A50-1,COLUMN('1-DATA'!AC49)),ROUND(INDEX('1-DATA'!$1:$1048576,IF(OR($B51="STD. DEVIATION",$C$1=1),$A51,$A51+1),COLUMN('1-DATA'!AC49)),IF($B51="STD. DEVIATION",2,$F$1))))</f>
        <v/>
      </c>
      <c r="AE51" s="1" t="str">
        <f>IF(OR($B51="",AE$7=""),"",IF($B51="MEANS",INDEX('1-DATA'!$1:$1048576,$A50-1,COLUMN('1-DATA'!AD49)),ROUND(INDEX('1-DATA'!$1:$1048576,IF(OR($B51="STD. DEVIATION",$C$1=1),$A51,$A51+1),COLUMN('1-DATA'!AD49)),IF($B51="STD. DEVIATION",2,$F$1))))</f>
        <v/>
      </c>
      <c r="AF51" s="1" t="str">
        <f>IF(OR($B51="",AF$7=""),"",IF($B51="MEANS",INDEX('1-DATA'!$1:$1048576,$A50-1,COLUMN('1-DATA'!AE49)),ROUND(INDEX('1-DATA'!$1:$1048576,IF(OR($B51="STD. DEVIATION",$C$1=1),$A51,$A51+1),COLUMN('1-DATA'!AE49)),IF($B51="STD. DEVIATION",2,$F$1))))</f>
        <v/>
      </c>
      <c r="AG51" s="1" t="str">
        <f>IF(OR($B51="",AG$7=""),"",IF($B51="MEANS",INDEX('1-DATA'!$1:$1048576,$A50-1,COLUMN('1-DATA'!AF49)),ROUND(INDEX('1-DATA'!$1:$1048576,IF(OR($B51="STD. DEVIATION",$C$1=1),$A51,$A51+1),COLUMN('1-DATA'!AF49)),IF($B51="STD. DEVIATION",2,$F$1))))</f>
        <v/>
      </c>
      <c r="AH51" s="1" t="str">
        <f>IF(OR($B51="",AH$7=""),"",IF($B51="MEANS",INDEX('1-DATA'!$1:$1048576,$A50-1,COLUMN('1-DATA'!AG49)),ROUND(INDEX('1-DATA'!$1:$1048576,IF(OR($B51="STD. DEVIATION",$C$1=1),$A51,$A51+1),COLUMN('1-DATA'!AG49)),IF($B51="STD. DEVIATION",2,$F$1))))</f>
        <v/>
      </c>
      <c r="AI51" s="1" t="str">
        <f>IF(OR($B51="",AI$7=""),"",IF($B51="MEANS",INDEX('1-DATA'!$1:$1048576,$A50-1,COLUMN('1-DATA'!AH49)),ROUND(INDEX('1-DATA'!$1:$1048576,IF(OR($B51="STD. DEVIATION",$C$1=1),$A51,$A51+1),COLUMN('1-DATA'!AH49)),IF($B51="STD. DEVIATION",2,$F$1))))</f>
        <v/>
      </c>
      <c r="AJ51" s="1" t="str">
        <f>IF(OR($B51="",AJ$7=""),"",IF($B51="MEANS",INDEX('1-DATA'!$1:$1048576,$A50-1,COLUMN('1-DATA'!AI49)),ROUND(INDEX('1-DATA'!$1:$1048576,IF(OR($B51="STD. DEVIATION",$C$1=1),$A51,$A51+1),COLUMN('1-DATA'!AI49)),IF($B51="STD. DEVIATION",2,$F$1))))</f>
        <v/>
      </c>
      <c r="AK51" s="1" t="str">
        <f>IF(OR($B51="",AK$7=""),"",IF($B51="MEANS",INDEX('1-DATA'!$1:$1048576,$A50-1,COLUMN('1-DATA'!AJ49)),ROUND(INDEX('1-DATA'!$1:$1048576,IF(OR($B51="STD. DEVIATION",$C$1=1),$A51,$A51+1),COLUMN('1-DATA'!AJ49)),IF($B51="STD. DEVIATION",2,$F$1))))</f>
        <v/>
      </c>
      <c r="AL51" s="1" t="str">
        <f>IF(OR($B51="",AL$7=""),"",IF($B51="MEANS",INDEX('1-DATA'!$1:$1048576,$A50-1,COLUMN('1-DATA'!AK49)),ROUND(INDEX('1-DATA'!$1:$1048576,IF(OR($B51="STD. DEVIATION",$C$1=1),$A51,$A51+1),COLUMN('1-DATA'!AK49)),IF($B51="STD. DEVIATION",2,$F$1))))</f>
        <v/>
      </c>
      <c r="AM51" s="1" t="str">
        <f>IF(OR($B51="",AM$7=""),"",IF($B51="MEANS",INDEX('1-DATA'!$1:$1048576,$A50-1,COLUMN('1-DATA'!AL49)),ROUND(INDEX('1-DATA'!$1:$1048576,IF(OR($B51="STD. DEVIATION",$C$1=1),$A51,$A51+1),COLUMN('1-DATA'!AL49)),IF($B51="STD. DEVIATION",2,$F$1))))</f>
        <v/>
      </c>
      <c r="AN51" s="1" t="str">
        <f>IF(OR($B51="",AN$7=""),"",IF($B51="MEANS",INDEX('1-DATA'!$1:$1048576,$A50-1,COLUMN('1-DATA'!AM49)),ROUND(INDEX('1-DATA'!$1:$1048576,IF(OR($B51="STD. DEVIATION",$C$1=1),$A51,$A51+1),COLUMN('1-DATA'!AM49)),IF($B51="STD. DEVIATION",2,$F$1))))</f>
        <v/>
      </c>
      <c r="AO51" s="1" t="str">
        <f>IF(OR($B51="",AO$7=""),"",IF($B51="MEANS",INDEX('1-DATA'!$1:$1048576,$A50-1,COLUMN('1-DATA'!AN49)),ROUND(INDEX('1-DATA'!$1:$1048576,IF(OR($B51="STD. DEVIATION",$C$1=1),$A51,$A51+1),COLUMN('1-DATA'!AN49)),IF($B51="STD. DEVIATION",2,$F$1))))</f>
        <v/>
      </c>
      <c r="AP51" s="1" t="str">
        <f>IF(OR($B51="",AP$7=""),"",IF($B51="MEANS",INDEX('1-DATA'!$1:$1048576,$A50-1,COLUMN('1-DATA'!AO49)),ROUND(INDEX('1-DATA'!$1:$1048576,IF(OR($B51="STD. DEVIATION",$C$1=1),$A51,$A51+1),COLUMN('1-DATA'!AO49)),IF($B51="STD. DEVIATION",2,$F$1))))</f>
        <v/>
      </c>
      <c r="AQ51" s="1" t="str">
        <f>IF(OR($B51="",AQ$7=""),"",IF($B51="MEANS",INDEX('1-DATA'!$1:$1048576,$A50-1,COLUMN('1-DATA'!AP49)),ROUND(INDEX('1-DATA'!$1:$1048576,IF(OR($B51="STD. DEVIATION",$C$1=1),$A51,$A51+1),COLUMN('1-DATA'!AP49)),IF($B51="STD. DEVIATION",2,$F$1))))</f>
        <v/>
      </c>
      <c r="AR51" s="1" t="str">
        <f>IF(OR($B51="",AR$7=""),"",IF($B51="MEANS",INDEX('1-DATA'!$1:$1048576,$A50-1,COLUMN('1-DATA'!AQ49)),ROUND(INDEX('1-DATA'!$1:$1048576,IF(OR($B51="STD. DEVIATION",$C$1=1),$A51,$A51+1),COLUMN('1-DATA'!AQ49)),IF($B51="STD. DEVIATION",2,$F$1))))</f>
        <v/>
      </c>
      <c r="AS51" s="1" t="str">
        <f>IF(OR($B51="",AS$7=""),"",IF($B51="MEANS",INDEX('1-DATA'!$1:$1048576,$A50-1,COLUMN('1-DATA'!AR49)),ROUND(INDEX('1-DATA'!$1:$1048576,IF(OR($B51="STD. DEVIATION",$C$1=1),$A51,$A51+1),COLUMN('1-DATA'!AR49)),IF($B51="STD. DEVIATION",2,$F$1))))</f>
        <v/>
      </c>
      <c r="AT51" s="1" t="str">
        <f>IF(OR($B51="",AT$7=""),"",IF($B51="MEANS",INDEX('1-DATA'!$1:$1048576,$A50-1,COLUMN('1-DATA'!AS49)),ROUND(INDEX('1-DATA'!$1:$1048576,IF(OR($B51="STD. DEVIATION",$C$1=1),$A51,$A51+1),COLUMN('1-DATA'!AS49)),IF($B51="STD. DEVIATION",2,$F$1))))</f>
        <v/>
      </c>
      <c r="AU51" s="1" t="str">
        <f>IF(OR($B51="",AU$7=""),"",IF($B51="MEANS",INDEX('1-DATA'!$1:$1048576,$A50-1,COLUMN('1-DATA'!AT49)),ROUND(INDEX('1-DATA'!$1:$1048576,IF(OR($B51="STD. DEVIATION",$C$1=1),$A51,$A51+1),COLUMN('1-DATA'!AT49)),IF($B51="STD. DEVIATION",2,$F$1))))</f>
        <v/>
      </c>
      <c r="AV51" s="1" t="str">
        <f>IF(OR($B51="",AV$7=""),"",IF($B51="MEANS",INDEX('1-DATA'!$1:$1048576,$A50-1,COLUMN('1-DATA'!AU49)),ROUND(INDEX('1-DATA'!$1:$1048576,IF(OR($B51="STD. DEVIATION",$C$1=1),$A51,$A51+1),COLUMN('1-DATA'!AU49)),IF($B51="STD. DEVIATION",2,$F$1))))</f>
        <v/>
      </c>
      <c r="AW51" s="1" t="str">
        <f>IF(OR($B51="",AW$7=""),"",IF($B51="MEANS",INDEX('1-DATA'!$1:$1048576,$A50-1,COLUMN('1-DATA'!AV49)),ROUND(INDEX('1-DATA'!$1:$1048576,IF(OR($B51="STD. DEVIATION",$C$1=1),$A51,$A51+1),COLUMN('1-DATA'!AV49)),IF($B51="STD. DEVIATION",2,$F$1))))</f>
        <v/>
      </c>
      <c r="AX51" s="1" t="str">
        <f>IF(OR($B51="",AX$7=""),"",IF($B51="MEANS",INDEX('1-DATA'!$1:$1048576,$A50-1,COLUMN('1-DATA'!AW49)),ROUND(INDEX('1-DATA'!$1:$1048576,IF(OR($B51="STD. DEVIATION",$C$1=1),$A51,$A51+1),COLUMN('1-DATA'!AW49)),IF($B51="STD. DEVIATION",2,$F$1))))</f>
        <v/>
      </c>
      <c r="AY51" s="1" t="str">
        <f>IF(OR($B51="",AY$7=""),"",IF($B51="MEANS",INDEX('1-DATA'!$1:$1048576,$A50-1,COLUMN('1-DATA'!AX49)),ROUND(INDEX('1-DATA'!$1:$1048576,IF(OR($B51="STD. DEVIATION",$C$1=1),$A51,$A51+1),COLUMN('1-DATA'!AX49)),IF($B51="STD. DEVIATION",2,$F$1))))</f>
        <v/>
      </c>
      <c r="AZ51" s="1" t="str">
        <f>IF(OR($B51="",AZ$7=""),"",IF($B51="MEANS",INDEX('1-DATA'!$1:$1048576,$A50-1,COLUMN('1-DATA'!AY49)),ROUND(INDEX('1-DATA'!$1:$1048576,IF(OR($B51="STD. DEVIATION",$C$1=1),$A51,$A51+1),COLUMN('1-DATA'!AY49)),IF($B51="STD. DEVIATION",2,$F$1))))</f>
        <v/>
      </c>
    </row>
    <row r="52" spans="1:52" x14ac:dyDescent="0.25">
      <c r="A52" s="11">
        <f t="shared" si="1"/>
        <v>142</v>
      </c>
      <c r="B52" s="1" t="str">
        <f>IF(B51="STD. DEVIATION",INDEX('1-DATA'!$1:$1048576,$A51-1,1),IF(INDEX('1-DATA'!$1:$1048576,$A52,1)&lt;&gt;"",INDEX('1-DATA'!$1:$1048576,$A52,1),""))</f>
        <v/>
      </c>
      <c r="C52" s="1" t="str">
        <f>IF(OR($B52="",C$7=""),"",IF($B52="MEANS",INDEX('1-DATA'!$1:$1048576,$A51-1,COLUMN('1-DATA'!B50)),ROUND(INDEX('1-DATA'!$1:$1048576,IF(OR($B52="STD. DEVIATION",$C$1=1),$A52,$A52+1),COLUMN('1-DATA'!B50)),IF($B52="STD. DEVIATION",2,$F$1))))</f>
        <v/>
      </c>
      <c r="D52" s="1" t="str">
        <f>IF(OR($B52="",D$7=""),"",IF($B52="MEANS",INDEX('1-DATA'!$1:$1048576,$A51-1,COLUMN('1-DATA'!C50)),ROUND(INDEX('1-DATA'!$1:$1048576,IF(OR($B52="STD. DEVIATION",$C$1=1),$A52,$A52+1),COLUMN('1-DATA'!C50)),IF($B52="STD. DEVIATION",2,$F$1))))</f>
        <v/>
      </c>
      <c r="E52" s="1" t="str">
        <f>IF(OR($B52="",E$7=""),"",IF($B52="MEANS",INDEX('1-DATA'!$1:$1048576,$A51-1,COLUMN('1-DATA'!D50)),ROUND(INDEX('1-DATA'!$1:$1048576,IF(OR($B52="STD. DEVIATION",$C$1=1),$A52,$A52+1),COLUMN('1-DATA'!D50)),IF($B52="STD. DEVIATION",2,$F$1))))</f>
        <v/>
      </c>
      <c r="F52" s="1" t="str">
        <f>IF(OR($B52="",F$7=""),"",IF($B52="MEANS",INDEX('1-DATA'!$1:$1048576,$A51-1,COLUMN('1-DATA'!E50)),ROUND(INDEX('1-DATA'!$1:$1048576,IF(OR($B52="STD. DEVIATION",$C$1=1),$A52,$A52+1),COLUMN('1-DATA'!E50)),IF($B52="STD. DEVIATION",2,$F$1))))</f>
        <v/>
      </c>
      <c r="G52" s="1" t="str">
        <f>IF(OR($B52="",G$7=""),"",IF($B52="MEANS",INDEX('1-DATA'!$1:$1048576,$A51-1,COLUMN('1-DATA'!F50)),ROUND(INDEX('1-DATA'!$1:$1048576,IF(OR($B52="STD. DEVIATION",$C$1=1),$A52,$A52+1),COLUMN('1-DATA'!F50)),IF($B52="STD. DEVIATION",2,$F$1))))</f>
        <v/>
      </c>
      <c r="H52" s="1" t="str">
        <f>IF(OR($B52="",H$7=""),"",IF($B52="MEANS",INDEX('1-DATA'!$1:$1048576,$A51-1,COLUMN('1-DATA'!G50)),ROUND(INDEX('1-DATA'!$1:$1048576,IF(OR($B52="STD. DEVIATION",$C$1=1),$A52,$A52+1),COLUMN('1-DATA'!G50)),IF($B52="STD. DEVIATION",2,$F$1))))</f>
        <v/>
      </c>
      <c r="I52" s="1" t="str">
        <f>IF(OR($B52="",I$7=""),"",IF($B52="MEANS",INDEX('1-DATA'!$1:$1048576,$A51-1,COLUMN('1-DATA'!H50)),ROUND(INDEX('1-DATA'!$1:$1048576,IF(OR($B52="STD. DEVIATION",$C$1=1),$A52,$A52+1),COLUMN('1-DATA'!H50)),IF($B52="STD. DEVIATION",2,$F$1))))</f>
        <v/>
      </c>
      <c r="J52" s="1" t="str">
        <f>IF(OR($B52="",J$7=""),"",IF($B52="MEANS",INDEX('1-DATA'!$1:$1048576,$A51-1,COLUMN('1-DATA'!I50)),ROUND(INDEX('1-DATA'!$1:$1048576,IF(OR($B52="STD. DEVIATION",$C$1=1),$A52,$A52+1),COLUMN('1-DATA'!I50)),IF($B52="STD. DEVIATION",2,$F$1))))</f>
        <v/>
      </c>
      <c r="K52" s="1" t="str">
        <f>IF(OR($B52="",K$7=""),"",IF($B52="MEANS",INDEX('1-DATA'!$1:$1048576,$A51-1,COLUMN('1-DATA'!J50)),ROUND(INDEX('1-DATA'!$1:$1048576,IF(OR($B52="STD. DEVIATION",$C$1=1),$A52,$A52+1),COLUMN('1-DATA'!J50)),IF($B52="STD. DEVIATION",2,$F$1))))</f>
        <v/>
      </c>
      <c r="L52" s="1" t="str">
        <f>IF(OR($B52="",L$7=""),"",IF($B52="MEANS",INDEX('1-DATA'!$1:$1048576,$A51-1,COLUMN('1-DATA'!K50)),ROUND(INDEX('1-DATA'!$1:$1048576,IF(OR($B52="STD. DEVIATION",$C$1=1),$A52,$A52+1),COLUMN('1-DATA'!K50)),IF($B52="STD. DEVIATION",2,$F$1))))</f>
        <v/>
      </c>
      <c r="M52" s="1" t="str">
        <f>IF(OR($B52="",M$7=""),"",IF($B52="MEANS",INDEX('1-DATA'!$1:$1048576,$A51-1,COLUMN('1-DATA'!L50)),ROUND(INDEX('1-DATA'!$1:$1048576,IF(OR($B52="STD. DEVIATION",$C$1=1),$A52,$A52+1),COLUMN('1-DATA'!L50)),IF($B52="STD. DEVIATION",2,$F$1))))</f>
        <v/>
      </c>
      <c r="N52" s="1" t="str">
        <f>IF(OR($B52="",N$7=""),"",IF($B52="MEANS",INDEX('1-DATA'!$1:$1048576,$A51-1,COLUMN('1-DATA'!M50)),ROUND(INDEX('1-DATA'!$1:$1048576,IF(OR($B52="STD. DEVIATION",$C$1=1),$A52,$A52+1),COLUMN('1-DATA'!M50)),IF($B52="STD. DEVIATION",2,$F$1))))</f>
        <v/>
      </c>
      <c r="O52" s="1" t="str">
        <f>IF(OR($B52="",O$7=""),"",IF($B52="MEANS",INDEX('1-DATA'!$1:$1048576,$A51-1,COLUMN('1-DATA'!N50)),ROUND(INDEX('1-DATA'!$1:$1048576,IF(OR($B52="STD. DEVIATION",$C$1=1),$A52,$A52+1),COLUMN('1-DATA'!N50)),IF($B52="STD. DEVIATION",2,$F$1))))</f>
        <v/>
      </c>
      <c r="P52" s="1" t="str">
        <f>IF(OR($B52="",P$7=""),"",IF($B52="MEANS",INDEX('1-DATA'!$1:$1048576,$A51-1,COLUMN('1-DATA'!O50)),ROUND(INDEX('1-DATA'!$1:$1048576,IF(OR($B52="STD. DEVIATION",$C$1=1),$A52,$A52+1),COLUMN('1-DATA'!O50)),IF($B52="STD. DEVIATION",2,$F$1))))</f>
        <v/>
      </c>
      <c r="Q52" s="1" t="str">
        <f>IF(OR($B52="",Q$7=""),"",IF($B52="MEANS",INDEX('1-DATA'!$1:$1048576,$A51-1,COLUMN('1-DATA'!P50)),ROUND(INDEX('1-DATA'!$1:$1048576,IF(OR($B52="STD. DEVIATION",$C$1=1),$A52,$A52+1),COLUMN('1-DATA'!P50)),IF($B52="STD. DEVIATION",2,$F$1))))</f>
        <v/>
      </c>
      <c r="R52" s="1" t="str">
        <f>IF(OR($B52="",R$7=""),"",IF($B52="MEANS",INDEX('1-DATA'!$1:$1048576,$A51-1,COLUMN('1-DATA'!Q50)),ROUND(INDEX('1-DATA'!$1:$1048576,IF(OR($B52="STD. DEVIATION",$C$1=1),$A52,$A52+1),COLUMN('1-DATA'!Q50)),IF($B52="STD. DEVIATION",2,$F$1))))</f>
        <v/>
      </c>
      <c r="S52" s="1" t="str">
        <f>IF(OR($B52="",S$7=""),"",IF($B52="MEANS",INDEX('1-DATA'!$1:$1048576,$A51-1,COLUMN('1-DATA'!R50)),ROUND(INDEX('1-DATA'!$1:$1048576,IF(OR($B52="STD. DEVIATION",$C$1=1),$A52,$A52+1),COLUMN('1-DATA'!R50)),IF($B52="STD. DEVIATION",2,$F$1))))</f>
        <v/>
      </c>
      <c r="T52" s="1" t="str">
        <f>IF(OR($B52="",T$7=""),"",IF($B52="MEANS",INDEX('1-DATA'!$1:$1048576,$A51-1,COLUMN('1-DATA'!S50)),ROUND(INDEX('1-DATA'!$1:$1048576,IF(OR($B52="STD. DEVIATION",$C$1=1),$A52,$A52+1),COLUMN('1-DATA'!S50)),IF($B52="STD. DEVIATION",2,$F$1))))</f>
        <v/>
      </c>
      <c r="U52" s="1" t="str">
        <f>IF(OR($B52="",U$7=""),"",IF($B52="MEANS",INDEX('1-DATA'!$1:$1048576,$A51-1,COLUMN('1-DATA'!T50)),ROUND(INDEX('1-DATA'!$1:$1048576,IF(OR($B52="STD. DEVIATION",$C$1=1),$A52,$A52+1),COLUMN('1-DATA'!T50)),IF($B52="STD. DEVIATION",2,$F$1))))</f>
        <v/>
      </c>
      <c r="V52" s="1" t="str">
        <f>IF(OR($B52="",V$7=""),"",IF($B52="MEANS",INDEX('1-DATA'!$1:$1048576,$A51-1,COLUMN('1-DATA'!U50)),ROUND(INDEX('1-DATA'!$1:$1048576,IF(OR($B52="STD. DEVIATION",$C$1=1),$A52,$A52+1),COLUMN('1-DATA'!U50)),IF($B52="STD. DEVIATION",2,$F$1))))</f>
        <v/>
      </c>
      <c r="W52" s="1" t="str">
        <f>IF(OR($B52="",W$7=""),"",IF($B52="MEANS",INDEX('1-DATA'!$1:$1048576,$A51-1,COLUMN('1-DATA'!V50)),ROUND(INDEX('1-DATA'!$1:$1048576,IF(OR($B52="STD. DEVIATION",$C$1=1),$A52,$A52+1),COLUMN('1-DATA'!V50)),IF($B52="STD. DEVIATION",2,$F$1))))</f>
        <v/>
      </c>
      <c r="X52" s="1" t="str">
        <f>IF(OR($B52="",X$7=""),"",IF($B52="MEANS",INDEX('1-DATA'!$1:$1048576,$A51-1,COLUMN('1-DATA'!W50)),ROUND(INDEX('1-DATA'!$1:$1048576,IF(OR($B52="STD. DEVIATION",$C$1=1),$A52,$A52+1),COLUMN('1-DATA'!W50)),IF($B52="STD. DEVIATION",2,$F$1))))</f>
        <v/>
      </c>
      <c r="Y52" s="1" t="str">
        <f>IF(OR($B52="",Y$7=""),"",IF($B52="MEANS",INDEX('1-DATA'!$1:$1048576,$A51-1,COLUMN('1-DATA'!X50)),ROUND(INDEX('1-DATA'!$1:$1048576,IF(OR($B52="STD. DEVIATION",$C$1=1),$A52,$A52+1),COLUMN('1-DATA'!X50)),IF($B52="STD. DEVIATION",2,$F$1))))</f>
        <v/>
      </c>
      <c r="Z52" s="1" t="str">
        <f>IF(OR($B52="",Z$7=""),"",IF($B52="MEANS",INDEX('1-DATA'!$1:$1048576,$A51-1,COLUMN('1-DATA'!Y50)),ROUND(INDEX('1-DATA'!$1:$1048576,IF(OR($B52="STD. DEVIATION",$C$1=1),$A52,$A52+1),COLUMN('1-DATA'!Y50)),IF($B52="STD. DEVIATION",2,$F$1))))</f>
        <v/>
      </c>
      <c r="AA52" s="1" t="str">
        <f>IF(OR($B52="",AA$7=""),"",IF($B52="MEANS",INDEX('1-DATA'!$1:$1048576,$A51-1,COLUMN('1-DATA'!Z50)),ROUND(INDEX('1-DATA'!$1:$1048576,IF(OR($B52="STD. DEVIATION",$C$1=1),$A52,$A52+1),COLUMN('1-DATA'!Z50)),IF($B52="STD. DEVIATION",2,$F$1))))</f>
        <v/>
      </c>
      <c r="AB52" s="1" t="str">
        <f>IF(OR($B52="",AB$7=""),"",IF($B52="MEANS",INDEX('1-DATA'!$1:$1048576,$A51-1,COLUMN('1-DATA'!AA50)),ROUND(INDEX('1-DATA'!$1:$1048576,IF(OR($B52="STD. DEVIATION",$C$1=1),$A52,$A52+1),COLUMN('1-DATA'!AA50)),IF($B52="STD. DEVIATION",2,$F$1))))</f>
        <v/>
      </c>
      <c r="AC52" s="1" t="str">
        <f>IF(OR($B52="",AC$7=""),"",IF($B52="MEANS",INDEX('1-DATA'!$1:$1048576,$A51-1,COLUMN('1-DATA'!AB50)),ROUND(INDEX('1-DATA'!$1:$1048576,IF(OR($B52="STD. DEVIATION",$C$1=1),$A52,$A52+1),COLUMN('1-DATA'!AB50)),IF($B52="STD. DEVIATION",2,$F$1))))</f>
        <v/>
      </c>
      <c r="AD52" s="1" t="str">
        <f>IF(OR($B52="",AD$7=""),"",IF($B52="MEANS",INDEX('1-DATA'!$1:$1048576,$A51-1,COLUMN('1-DATA'!AC50)),ROUND(INDEX('1-DATA'!$1:$1048576,IF(OR($B52="STD. DEVIATION",$C$1=1),$A52,$A52+1),COLUMN('1-DATA'!AC50)),IF($B52="STD. DEVIATION",2,$F$1))))</f>
        <v/>
      </c>
      <c r="AE52" s="1" t="str">
        <f>IF(OR($B52="",AE$7=""),"",IF($B52="MEANS",INDEX('1-DATA'!$1:$1048576,$A51-1,COLUMN('1-DATA'!AD50)),ROUND(INDEX('1-DATA'!$1:$1048576,IF(OR($B52="STD. DEVIATION",$C$1=1),$A52,$A52+1),COLUMN('1-DATA'!AD50)),IF($B52="STD. DEVIATION",2,$F$1))))</f>
        <v/>
      </c>
      <c r="AF52" s="1" t="str">
        <f>IF(OR($B52="",AF$7=""),"",IF($B52="MEANS",INDEX('1-DATA'!$1:$1048576,$A51-1,COLUMN('1-DATA'!AE50)),ROUND(INDEX('1-DATA'!$1:$1048576,IF(OR($B52="STD. DEVIATION",$C$1=1),$A52,$A52+1),COLUMN('1-DATA'!AE50)),IF($B52="STD. DEVIATION",2,$F$1))))</f>
        <v/>
      </c>
      <c r="AG52" s="1" t="str">
        <f>IF(OR($B52="",AG$7=""),"",IF($B52="MEANS",INDEX('1-DATA'!$1:$1048576,$A51-1,COLUMN('1-DATA'!AF50)),ROUND(INDEX('1-DATA'!$1:$1048576,IF(OR($B52="STD. DEVIATION",$C$1=1),$A52,$A52+1),COLUMN('1-DATA'!AF50)),IF($B52="STD. DEVIATION",2,$F$1))))</f>
        <v/>
      </c>
      <c r="AH52" s="1" t="str">
        <f>IF(OR($B52="",AH$7=""),"",IF($B52="MEANS",INDEX('1-DATA'!$1:$1048576,$A51-1,COLUMN('1-DATA'!AG50)),ROUND(INDEX('1-DATA'!$1:$1048576,IF(OR($B52="STD. DEVIATION",$C$1=1),$A52,$A52+1),COLUMN('1-DATA'!AG50)),IF($B52="STD. DEVIATION",2,$F$1))))</f>
        <v/>
      </c>
      <c r="AI52" s="1" t="str">
        <f>IF(OR($B52="",AI$7=""),"",IF($B52="MEANS",INDEX('1-DATA'!$1:$1048576,$A51-1,COLUMN('1-DATA'!AH50)),ROUND(INDEX('1-DATA'!$1:$1048576,IF(OR($B52="STD. DEVIATION",$C$1=1),$A52,$A52+1),COLUMN('1-DATA'!AH50)),IF($B52="STD. DEVIATION",2,$F$1))))</f>
        <v/>
      </c>
      <c r="AJ52" s="1" t="str">
        <f>IF(OR($B52="",AJ$7=""),"",IF($B52="MEANS",INDEX('1-DATA'!$1:$1048576,$A51-1,COLUMN('1-DATA'!AI50)),ROUND(INDEX('1-DATA'!$1:$1048576,IF(OR($B52="STD. DEVIATION",$C$1=1),$A52,$A52+1),COLUMN('1-DATA'!AI50)),IF($B52="STD. DEVIATION",2,$F$1))))</f>
        <v/>
      </c>
      <c r="AK52" s="1" t="str">
        <f>IF(OR($B52="",AK$7=""),"",IF($B52="MEANS",INDEX('1-DATA'!$1:$1048576,$A51-1,COLUMN('1-DATA'!AJ50)),ROUND(INDEX('1-DATA'!$1:$1048576,IF(OR($B52="STD. DEVIATION",$C$1=1),$A52,$A52+1),COLUMN('1-DATA'!AJ50)),IF($B52="STD. DEVIATION",2,$F$1))))</f>
        <v/>
      </c>
      <c r="AL52" s="1" t="str">
        <f>IF(OR($B52="",AL$7=""),"",IF($B52="MEANS",INDEX('1-DATA'!$1:$1048576,$A51-1,COLUMN('1-DATA'!AK50)),ROUND(INDEX('1-DATA'!$1:$1048576,IF(OR($B52="STD. DEVIATION",$C$1=1),$A52,$A52+1),COLUMN('1-DATA'!AK50)),IF($B52="STD. DEVIATION",2,$F$1))))</f>
        <v/>
      </c>
      <c r="AM52" s="1" t="str">
        <f>IF(OR($B52="",AM$7=""),"",IF($B52="MEANS",INDEX('1-DATA'!$1:$1048576,$A51-1,COLUMN('1-DATA'!AL50)),ROUND(INDEX('1-DATA'!$1:$1048576,IF(OR($B52="STD. DEVIATION",$C$1=1),$A52,$A52+1),COLUMN('1-DATA'!AL50)),IF($B52="STD. DEVIATION",2,$F$1))))</f>
        <v/>
      </c>
      <c r="AN52" s="1" t="str">
        <f>IF(OR($B52="",AN$7=""),"",IF($B52="MEANS",INDEX('1-DATA'!$1:$1048576,$A51-1,COLUMN('1-DATA'!AM50)),ROUND(INDEX('1-DATA'!$1:$1048576,IF(OR($B52="STD. DEVIATION",$C$1=1),$A52,$A52+1),COLUMN('1-DATA'!AM50)),IF($B52="STD. DEVIATION",2,$F$1))))</f>
        <v/>
      </c>
      <c r="AO52" s="1" t="str">
        <f>IF(OR($B52="",AO$7=""),"",IF($B52="MEANS",INDEX('1-DATA'!$1:$1048576,$A51-1,COLUMN('1-DATA'!AN50)),ROUND(INDEX('1-DATA'!$1:$1048576,IF(OR($B52="STD. DEVIATION",$C$1=1),$A52,$A52+1),COLUMN('1-DATA'!AN50)),IF($B52="STD. DEVIATION",2,$F$1))))</f>
        <v/>
      </c>
      <c r="AP52" s="1" t="str">
        <f>IF(OR($B52="",AP$7=""),"",IF($B52="MEANS",INDEX('1-DATA'!$1:$1048576,$A51-1,COLUMN('1-DATA'!AO50)),ROUND(INDEX('1-DATA'!$1:$1048576,IF(OR($B52="STD. DEVIATION",$C$1=1),$A52,$A52+1),COLUMN('1-DATA'!AO50)),IF($B52="STD. DEVIATION",2,$F$1))))</f>
        <v/>
      </c>
      <c r="AQ52" s="1" t="str">
        <f>IF(OR($B52="",AQ$7=""),"",IF($B52="MEANS",INDEX('1-DATA'!$1:$1048576,$A51-1,COLUMN('1-DATA'!AP50)),ROUND(INDEX('1-DATA'!$1:$1048576,IF(OR($B52="STD. DEVIATION",$C$1=1),$A52,$A52+1),COLUMN('1-DATA'!AP50)),IF($B52="STD. DEVIATION",2,$F$1))))</f>
        <v/>
      </c>
      <c r="AR52" s="1" t="str">
        <f>IF(OR($B52="",AR$7=""),"",IF($B52="MEANS",INDEX('1-DATA'!$1:$1048576,$A51-1,COLUMN('1-DATA'!AQ50)),ROUND(INDEX('1-DATA'!$1:$1048576,IF(OR($B52="STD. DEVIATION",$C$1=1),$A52,$A52+1),COLUMN('1-DATA'!AQ50)),IF($B52="STD. DEVIATION",2,$F$1))))</f>
        <v/>
      </c>
      <c r="AS52" s="1" t="str">
        <f>IF(OR($B52="",AS$7=""),"",IF($B52="MEANS",INDEX('1-DATA'!$1:$1048576,$A51-1,COLUMN('1-DATA'!AR50)),ROUND(INDEX('1-DATA'!$1:$1048576,IF(OR($B52="STD. DEVIATION",$C$1=1),$A52,$A52+1),COLUMN('1-DATA'!AR50)),IF($B52="STD. DEVIATION",2,$F$1))))</f>
        <v/>
      </c>
      <c r="AT52" s="1" t="str">
        <f>IF(OR($B52="",AT$7=""),"",IF($B52="MEANS",INDEX('1-DATA'!$1:$1048576,$A51-1,COLUMN('1-DATA'!AS50)),ROUND(INDEX('1-DATA'!$1:$1048576,IF(OR($B52="STD. DEVIATION",$C$1=1),$A52,$A52+1),COLUMN('1-DATA'!AS50)),IF($B52="STD. DEVIATION",2,$F$1))))</f>
        <v/>
      </c>
      <c r="AU52" s="1" t="str">
        <f>IF(OR($B52="",AU$7=""),"",IF($B52="MEANS",INDEX('1-DATA'!$1:$1048576,$A51-1,COLUMN('1-DATA'!AT50)),ROUND(INDEX('1-DATA'!$1:$1048576,IF(OR($B52="STD. DEVIATION",$C$1=1),$A52,$A52+1),COLUMN('1-DATA'!AT50)),IF($B52="STD. DEVIATION",2,$F$1))))</f>
        <v/>
      </c>
      <c r="AV52" s="1" t="str">
        <f>IF(OR($B52="",AV$7=""),"",IF($B52="MEANS",INDEX('1-DATA'!$1:$1048576,$A51-1,COLUMN('1-DATA'!AU50)),ROUND(INDEX('1-DATA'!$1:$1048576,IF(OR($B52="STD. DEVIATION",$C$1=1),$A52,$A52+1),COLUMN('1-DATA'!AU50)),IF($B52="STD. DEVIATION",2,$F$1))))</f>
        <v/>
      </c>
      <c r="AW52" s="1" t="str">
        <f>IF(OR($B52="",AW$7=""),"",IF($B52="MEANS",INDEX('1-DATA'!$1:$1048576,$A51-1,COLUMN('1-DATA'!AV50)),ROUND(INDEX('1-DATA'!$1:$1048576,IF(OR($B52="STD. DEVIATION",$C$1=1),$A52,$A52+1),COLUMN('1-DATA'!AV50)),IF($B52="STD. DEVIATION",2,$F$1))))</f>
        <v/>
      </c>
      <c r="AX52" s="1" t="str">
        <f>IF(OR($B52="",AX$7=""),"",IF($B52="MEANS",INDEX('1-DATA'!$1:$1048576,$A51-1,COLUMN('1-DATA'!AW50)),ROUND(INDEX('1-DATA'!$1:$1048576,IF(OR($B52="STD. DEVIATION",$C$1=1),$A52,$A52+1),COLUMN('1-DATA'!AW50)),IF($B52="STD. DEVIATION",2,$F$1))))</f>
        <v/>
      </c>
      <c r="AY52" s="1" t="str">
        <f>IF(OR($B52="",AY$7=""),"",IF($B52="MEANS",INDEX('1-DATA'!$1:$1048576,$A51-1,COLUMN('1-DATA'!AX50)),ROUND(INDEX('1-DATA'!$1:$1048576,IF(OR($B52="STD. DEVIATION",$C$1=1),$A52,$A52+1),COLUMN('1-DATA'!AX50)),IF($B52="STD. DEVIATION",2,$F$1))))</f>
        <v/>
      </c>
      <c r="AZ52" s="1" t="str">
        <f>IF(OR($B52="",AZ$7=""),"",IF($B52="MEANS",INDEX('1-DATA'!$1:$1048576,$A51-1,COLUMN('1-DATA'!AY50)),ROUND(INDEX('1-DATA'!$1:$1048576,IF(OR($B52="STD. DEVIATION",$C$1=1),$A52,$A52+1),COLUMN('1-DATA'!AY50)),IF($B52="STD. DEVIATION",2,$F$1))))</f>
        <v/>
      </c>
    </row>
    <row r="53" spans="1:52" x14ac:dyDescent="0.25">
      <c r="A53" s="11">
        <f t="shared" si="1"/>
        <v>145</v>
      </c>
      <c r="B53" s="1" t="str">
        <f>IF(B52="STD. DEVIATION",INDEX('1-DATA'!$1:$1048576,$A52-1,1),IF(INDEX('1-DATA'!$1:$1048576,$A53,1)&lt;&gt;"",INDEX('1-DATA'!$1:$1048576,$A53,1),""))</f>
        <v/>
      </c>
      <c r="C53" s="1" t="str">
        <f>IF(OR($B53="",C$7=""),"",IF($B53="MEANS",INDEX('1-DATA'!$1:$1048576,$A52-1,COLUMN('1-DATA'!B51)),ROUND(INDEX('1-DATA'!$1:$1048576,IF(OR($B53="STD. DEVIATION",$C$1=1),$A53,$A53+1),COLUMN('1-DATA'!B51)),IF($B53="STD. DEVIATION",2,$F$1))))</f>
        <v/>
      </c>
      <c r="D53" s="1" t="str">
        <f>IF(OR($B53="",D$7=""),"",IF($B53="MEANS",INDEX('1-DATA'!$1:$1048576,$A52-1,COLUMN('1-DATA'!C51)),ROUND(INDEX('1-DATA'!$1:$1048576,IF(OR($B53="STD. DEVIATION",$C$1=1),$A53,$A53+1),COLUMN('1-DATA'!C51)),IF($B53="STD. DEVIATION",2,$F$1))))</f>
        <v/>
      </c>
      <c r="E53" s="1" t="str">
        <f>IF(OR($B53="",E$7=""),"",IF($B53="MEANS",INDEX('1-DATA'!$1:$1048576,$A52-1,COLUMN('1-DATA'!D51)),ROUND(INDEX('1-DATA'!$1:$1048576,IF(OR($B53="STD. DEVIATION",$C$1=1),$A53,$A53+1),COLUMN('1-DATA'!D51)),IF($B53="STD. DEVIATION",2,$F$1))))</f>
        <v/>
      </c>
      <c r="F53" s="1" t="str">
        <f>IF(OR($B53="",F$7=""),"",IF($B53="MEANS",INDEX('1-DATA'!$1:$1048576,$A52-1,COLUMN('1-DATA'!E51)),ROUND(INDEX('1-DATA'!$1:$1048576,IF(OR($B53="STD. DEVIATION",$C$1=1),$A53,$A53+1),COLUMN('1-DATA'!E51)),IF($B53="STD. DEVIATION",2,$F$1))))</f>
        <v/>
      </c>
      <c r="G53" s="1" t="str">
        <f>IF(OR($B53="",G$7=""),"",IF($B53="MEANS",INDEX('1-DATA'!$1:$1048576,$A52-1,COLUMN('1-DATA'!F51)),ROUND(INDEX('1-DATA'!$1:$1048576,IF(OR($B53="STD. DEVIATION",$C$1=1),$A53,$A53+1),COLUMN('1-DATA'!F51)),IF($B53="STD. DEVIATION",2,$F$1))))</f>
        <v/>
      </c>
      <c r="H53" s="1" t="str">
        <f>IF(OR($B53="",H$7=""),"",IF($B53="MEANS",INDEX('1-DATA'!$1:$1048576,$A52-1,COLUMN('1-DATA'!G51)),ROUND(INDEX('1-DATA'!$1:$1048576,IF(OR($B53="STD. DEVIATION",$C$1=1),$A53,$A53+1),COLUMN('1-DATA'!G51)),IF($B53="STD. DEVIATION",2,$F$1))))</f>
        <v/>
      </c>
      <c r="I53" s="1" t="str">
        <f>IF(OR($B53="",I$7=""),"",IF($B53="MEANS",INDEX('1-DATA'!$1:$1048576,$A52-1,COLUMN('1-DATA'!H51)),ROUND(INDEX('1-DATA'!$1:$1048576,IF(OR($B53="STD. DEVIATION",$C$1=1),$A53,$A53+1),COLUMN('1-DATA'!H51)),IF($B53="STD. DEVIATION",2,$F$1))))</f>
        <v/>
      </c>
      <c r="J53" s="1" t="str">
        <f>IF(OR($B53="",J$7=""),"",IF($B53="MEANS",INDEX('1-DATA'!$1:$1048576,$A52-1,COLUMN('1-DATA'!I51)),ROUND(INDEX('1-DATA'!$1:$1048576,IF(OR($B53="STD. DEVIATION",$C$1=1),$A53,$A53+1),COLUMN('1-DATA'!I51)),IF($B53="STD. DEVIATION",2,$F$1))))</f>
        <v/>
      </c>
      <c r="K53" s="1" t="str">
        <f>IF(OR($B53="",K$7=""),"",IF($B53="MEANS",INDEX('1-DATA'!$1:$1048576,$A52-1,COLUMN('1-DATA'!J51)),ROUND(INDEX('1-DATA'!$1:$1048576,IF(OR($B53="STD. DEVIATION",$C$1=1),$A53,$A53+1),COLUMN('1-DATA'!J51)),IF($B53="STD. DEVIATION",2,$F$1))))</f>
        <v/>
      </c>
      <c r="L53" s="1" t="str">
        <f>IF(OR($B53="",L$7=""),"",IF($B53="MEANS",INDEX('1-DATA'!$1:$1048576,$A52-1,COLUMN('1-DATA'!K51)),ROUND(INDEX('1-DATA'!$1:$1048576,IF(OR($B53="STD. DEVIATION",$C$1=1),$A53,$A53+1),COLUMN('1-DATA'!K51)),IF($B53="STD. DEVIATION",2,$F$1))))</f>
        <v/>
      </c>
      <c r="M53" s="1" t="str">
        <f>IF(OR($B53="",M$7=""),"",IF($B53="MEANS",INDEX('1-DATA'!$1:$1048576,$A52-1,COLUMN('1-DATA'!L51)),ROUND(INDEX('1-DATA'!$1:$1048576,IF(OR($B53="STD. DEVIATION",$C$1=1),$A53,$A53+1),COLUMN('1-DATA'!L51)),IF($B53="STD. DEVIATION",2,$F$1))))</f>
        <v/>
      </c>
      <c r="N53" s="1" t="str">
        <f>IF(OR($B53="",N$7=""),"",IF($B53="MEANS",INDEX('1-DATA'!$1:$1048576,$A52-1,COLUMN('1-DATA'!M51)),ROUND(INDEX('1-DATA'!$1:$1048576,IF(OR($B53="STD. DEVIATION",$C$1=1),$A53,$A53+1),COLUMN('1-DATA'!M51)),IF($B53="STD. DEVIATION",2,$F$1))))</f>
        <v/>
      </c>
      <c r="O53" s="1" t="str">
        <f>IF(OR($B53="",O$7=""),"",IF($B53="MEANS",INDEX('1-DATA'!$1:$1048576,$A52-1,COLUMN('1-DATA'!N51)),ROUND(INDEX('1-DATA'!$1:$1048576,IF(OR($B53="STD. DEVIATION",$C$1=1),$A53,$A53+1),COLUMN('1-DATA'!N51)),IF($B53="STD. DEVIATION",2,$F$1))))</f>
        <v/>
      </c>
      <c r="P53" s="1" t="str">
        <f>IF(OR($B53="",P$7=""),"",IF($B53="MEANS",INDEX('1-DATA'!$1:$1048576,$A52-1,COLUMN('1-DATA'!O51)),ROUND(INDEX('1-DATA'!$1:$1048576,IF(OR($B53="STD. DEVIATION",$C$1=1),$A53,$A53+1),COLUMN('1-DATA'!O51)),IF($B53="STD. DEVIATION",2,$F$1))))</f>
        <v/>
      </c>
      <c r="Q53" s="1" t="str">
        <f>IF(OR($B53="",Q$7=""),"",IF($B53="MEANS",INDEX('1-DATA'!$1:$1048576,$A52-1,COLUMN('1-DATA'!P51)),ROUND(INDEX('1-DATA'!$1:$1048576,IF(OR($B53="STD. DEVIATION",$C$1=1),$A53,$A53+1),COLUMN('1-DATA'!P51)),IF($B53="STD. DEVIATION",2,$F$1))))</f>
        <v/>
      </c>
      <c r="R53" s="1" t="str">
        <f>IF(OR($B53="",R$7=""),"",IF($B53="MEANS",INDEX('1-DATA'!$1:$1048576,$A52-1,COLUMN('1-DATA'!Q51)),ROUND(INDEX('1-DATA'!$1:$1048576,IF(OR($B53="STD. DEVIATION",$C$1=1),$A53,$A53+1),COLUMN('1-DATA'!Q51)),IF($B53="STD. DEVIATION",2,$F$1))))</f>
        <v/>
      </c>
      <c r="S53" s="1" t="str">
        <f>IF(OR($B53="",S$7=""),"",IF($B53="MEANS",INDEX('1-DATA'!$1:$1048576,$A52-1,COLUMN('1-DATA'!R51)),ROUND(INDEX('1-DATA'!$1:$1048576,IF(OR($B53="STD. DEVIATION",$C$1=1),$A53,$A53+1),COLUMN('1-DATA'!R51)),IF($B53="STD. DEVIATION",2,$F$1))))</f>
        <v/>
      </c>
      <c r="T53" s="1" t="str">
        <f>IF(OR($B53="",T$7=""),"",IF($B53="MEANS",INDEX('1-DATA'!$1:$1048576,$A52-1,COLUMN('1-DATA'!S51)),ROUND(INDEX('1-DATA'!$1:$1048576,IF(OR($B53="STD. DEVIATION",$C$1=1),$A53,$A53+1),COLUMN('1-DATA'!S51)),IF($B53="STD. DEVIATION",2,$F$1))))</f>
        <v/>
      </c>
      <c r="U53" s="1" t="str">
        <f>IF(OR($B53="",U$7=""),"",IF($B53="MEANS",INDEX('1-DATA'!$1:$1048576,$A52-1,COLUMN('1-DATA'!T51)),ROUND(INDEX('1-DATA'!$1:$1048576,IF(OR($B53="STD. DEVIATION",$C$1=1),$A53,$A53+1),COLUMN('1-DATA'!T51)),IF($B53="STD. DEVIATION",2,$F$1))))</f>
        <v/>
      </c>
      <c r="V53" s="1" t="str">
        <f>IF(OR($B53="",V$7=""),"",IF($B53="MEANS",INDEX('1-DATA'!$1:$1048576,$A52-1,COLUMN('1-DATA'!U51)),ROUND(INDEX('1-DATA'!$1:$1048576,IF(OR($B53="STD. DEVIATION",$C$1=1),$A53,$A53+1),COLUMN('1-DATA'!U51)),IF($B53="STD. DEVIATION",2,$F$1))))</f>
        <v/>
      </c>
      <c r="W53" s="1" t="str">
        <f>IF(OR($B53="",W$7=""),"",IF($B53="MEANS",INDEX('1-DATA'!$1:$1048576,$A52-1,COLUMN('1-DATA'!V51)),ROUND(INDEX('1-DATA'!$1:$1048576,IF(OR($B53="STD. DEVIATION",$C$1=1),$A53,$A53+1),COLUMN('1-DATA'!V51)),IF($B53="STD. DEVIATION",2,$F$1))))</f>
        <v/>
      </c>
      <c r="X53" s="1" t="str">
        <f>IF(OR($B53="",X$7=""),"",IF($B53="MEANS",INDEX('1-DATA'!$1:$1048576,$A52-1,COLUMN('1-DATA'!W51)),ROUND(INDEX('1-DATA'!$1:$1048576,IF(OR($B53="STD. DEVIATION",$C$1=1),$A53,$A53+1),COLUMN('1-DATA'!W51)),IF($B53="STD. DEVIATION",2,$F$1))))</f>
        <v/>
      </c>
      <c r="Y53" s="1" t="str">
        <f>IF(OR($B53="",Y$7=""),"",IF($B53="MEANS",INDEX('1-DATA'!$1:$1048576,$A52-1,COLUMN('1-DATA'!X51)),ROUND(INDEX('1-DATA'!$1:$1048576,IF(OR($B53="STD. DEVIATION",$C$1=1),$A53,$A53+1),COLUMN('1-DATA'!X51)),IF($B53="STD. DEVIATION",2,$F$1))))</f>
        <v/>
      </c>
      <c r="Z53" s="1" t="str">
        <f>IF(OR($B53="",Z$7=""),"",IF($B53="MEANS",INDEX('1-DATA'!$1:$1048576,$A52-1,COLUMN('1-DATA'!Y51)),ROUND(INDEX('1-DATA'!$1:$1048576,IF(OR($B53="STD. DEVIATION",$C$1=1),$A53,$A53+1),COLUMN('1-DATA'!Y51)),IF($B53="STD. DEVIATION",2,$F$1))))</f>
        <v/>
      </c>
      <c r="AA53" s="1" t="str">
        <f>IF(OR($B53="",AA$7=""),"",IF($B53="MEANS",INDEX('1-DATA'!$1:$1048576,$A52-1,COLUMN('1-DATA'!Z51)),ROUND(INDEX('1-DATA'!$1:$1048576,IF(OR($B53="STD. DEVIATION",$C$1=1),$A53,$A53+1),COLUMN('1-DATA'!Z51)),IF($B53="STD. DEVIATION",2,$F$1))))</f>
        <v/>
      </c>
      <c r="AB53" s="1" t="str">
        <f>IF(OR($B53="",AB$7=""),"",IF($B53="MEANS",INDEX('1-DATA'!$1:$1048576,$A52-1,COLUMN('1-DATA'!AA51)),ROUND(INDEX('1-DATA'!$1:$1048576,IF(OR($B53="STD. DEVIATION",$C$1=1),$A53,$A53+1),COLUMN('1-DATA'!AA51)),IF($B53="STD. DEVIATION",2,$F$1))))</f>
        <v/>
      </c>
      <c r="AC53" s="1" t="str">
        <f>IF(OR($B53="",AC$7=""),"",IF($B53="MEANS",INDEX('1-DATA'!$1:$1048576,$A52-1,COLUMN('1-DATA'!AB51)),ROUND(INDEX('1-DATA'!$1:$1048576,IF(OR($B53="STD. DEVIATION",$C$1=1),$A53,$A53+1),COLUMN('1-DATA'!AB51)),IF($B53="STD. DEVIATION",2,$F$1))))</f>
        <v/>
      </c>
      <c r="AD53" s="1" t="str">
        <f>IF(OR($B53="",AD$7=""),"",IF($B53="MEANS",INDEX('1-DATA'!$1:$1048576,$A52-1,COLUMN('1-DATA'!AC51)),ROUND(INDEX('1-DATA'!$1:$1048576,IF(OR($B53="STD. DEVIATION",$C$1=1),$A53,$A53+1),COLUMN('1-DATA'!AC51)),IF($B53="STD. DEVIATION",2,$F$1))))</f>
        <v/>
      </c>
      <c r="AE53" s="1" t="str">
        <f>IF(OR($B53="",AE$7=""),"",IF($B53="MEANS",INDEX('1-DATA'!$1:$1048576,$A52-1,COLUMN('1-DATA'!AD51)),ROUND(INDEX('1-DATA'!$1:$1048576,IF(OR($B53="STD. DEVIATION",$C$1=1),$A53,$A53+1),COLUMN('1-DATA'!AD51)),IF($B53="STD. DEVIATION",2,$F$1))))</f>
        <v/>
      </c>
      <c r="AF53" s="1" t="str">
        <f>IF(OR($B53="",AF$7=""),"",IF($B53="MEANS",INDEX('1-DATA'!$1:$1048576,$A52-1,COLUMN('1-DATA'!AE51)),ROUND(INDEX('1-DATA'!$1:$1048576,IF(OR($B53="STD. DEVIATION",$C$1=1),$A53,$A53+1),COLUMN('1-DATA'!AE51)),IF($B53="STD. DEVIATION",2,$F$1))))</f>
        <v/>
      </c>
      <c r="AG53" s="1" t="str">
        <f>IF(OR($B53="",AG$7=""),"",IF($B53="MEANS",INDEX('1-DATA'!$1:$1048576,$A52-1,COLUMN('1-DATA'!AF51)),ROUND(INDEX('1-DATA'!$1:$1048576,IF(OR($B53="STD. DEVIATION",$C$1=1),$A53,$A53+1),COLUMN('1-DATA'!AF51)),IF($B53="STD. DEVIATION",2,$F$1))))</f>
        <v/>
      </c>
      <c r="AH53" s="1" t="str">
        <f>IF(OR($B53="",AH$7=""),"",IF($B53="MEANS",INDEX('1-DATA'!$1:$1048576,$A52-1,COLUMN('1-DATA'!AG51)),ROUND(INDEX('1-DATA'!$1:$1048576,IF(OR($B53="STD. DEVIATION",$C$1=1),$A53,$A53+1),COLUMN('1-DATA'!AG51)),IF($B53="STD. DEVIATION",2,$F$1))))</f>
        <v/>
      </c>
      <c r="AI53" s="1" t="str">
        <f>IF(OR($B53="",AI$7=""),"",IF($B53="MEANS",INDEX('1-DATA'!$1:$1048576,$A52-1,COLUMN('1-DATA'!AH51)),ROUND(INDEX('1-DATA'!$1:$1048576,IF(OR($B53="STD. DEVIATION",$C$1=1),$A53,$A53+1),COLUMN('1-DATA'!AH51)),IF($B53="STD. DEVIATION",2,$F$1))))</f>
        <v/>
      </c>
      <c r="AJ53" s="1" t="str">
        <f>IF(OR($B53="",AJ$7=""),"",IF($B53="MEANS",INDEX('1-DATA'!$1:$1048576,$A52-1,COLUMN('1-DATA'!AI51)),ROUND(INDEX('1-DATA'!$1:$1048576,IF(OR($B53="STD. DEVIATION",$C$1=1),$A53,$A53+1),COLUMN('1-DATA'!AI51)),IF($B53="STD. DEVIATION",2,$F$1))))</f>
        <v/>
      </c>
      <c r="AK53" s="1" t="str">
        <f>IF(OR($B53="",AK$7=""),"",IF($B53="MEANS",INDEX('1-DATA'!$1:$1048576,$A52-1,COLUMN('1-DATA'!AJ51)),ROUND(INDEX('1-DATA'!$1:$1048576,IF(OR($B53="STD. DEVIATION",$C$1=1),$A53,$A53+1),COLUMN('1-DATA'!AJ51)),IF($B53="STD. DEVIATION",2,$F$1))))</f>
        <v/>
      </c>
      <c r="AL53" s="1" t="str">
        <f>IF(OR($B53="",AL$7=""),"",IF($B53="MEANS",INDEX('1-DATA'!$1:$1048576,$A52-1,COLUMN('1-DATA'!AK51)),ROUND(INDEX('1-DATA'!$1:$1048576,IF(OR($B53="STD. DEVIATION",$C$1=1),$A53,$A53+1),COLUMN('1-DATA'!AK51)),IF($B53="STD. DEVIATION",2,$F$1))))</f>
        <v/>
      </c>
      <c r="AM53" s="1" t="str">
        <f>IF(OR($B53="",AM$7=""),"",IF($B53="MEANS",INDEX('1-DATA'!$1:$1048576,$A52-1,COLUMN('1-DATA'!AL51)),ROUND(INDEX('1-DATA'!$1:$1048576,IF(OR($B53="STD. DEVIATION",$C$1=1),$A53,$A53+1),COLUMN('1-DATA'!AL51)),IF($B53="STD. DEVIATION",2,$F$1))))</f>
        <v/>
      </c>
      <c r="AN53" s="1" t="str">
        <f>IF(OR($B53="",AN$7=""),"",IF($B53="MEANS",INDEX('1-DATA'!$1:$1048576,$A52-1,COLUMN('1-DATA'!AM51)),ROUND(INDEX('1-DATA'!$1:$1048576,IF(OR($B53="STD. DEVIATION",$C$1=1),$A53,$A53+1),COLUMN('1-DATA'!AM51)),IF($B53="STD. DEVIATION",2,$F$1))))</f>
        <v/>
      </c>
      <c r="AO53" s="1" t="str">
        <f>IF(OR($B53="",AO$7=""),"",IF($B53="MEANS",INDEX('1-DATA'!$1:$1048576,$A52-1,COLUMN('1-DATA'!AN51)),ROUND(INDEX('1-DATA'!$1:$1048576,IF(OR($B53="STD. DEVIATION",$C$1=1),$A53,$A53+1),COLUMN('1-DATA'!AN51)),IF($B53="STD. DEVIATION",2,$F$1))))</f>
        <v/>
      </c>
      <c r="AP53" s="1" t="str">
        <f>IF(OR($B53="",AP$7=""),"",IF($B53="MEANS",INDEX('1-DATA'!$1:$1048576,$A52-1,COLUMN('1-DATA'!AO51)),ROUND(INDEX('1-DATA'!$1:$1048576,IF(OR($B53="STD. DEVIATION",$C$1=1),$A53,$A53+1),COLUMN('1-DATA'!AO51)),IF($B53="STD. DEVIATION",2,$F$1))))</f>
        <v/>
      </c>
      <c r="AQ53" s="1" t="str">
        <f>IF(OR($B53="",AQ$7=""),"",IF($B53="MEANS",INDEX('1-DATA'!$1:$1048576,$A52-1,COLUMN('1-DATA'!AP51)),ROUND(INDEX('1-DATA'!$1:$1048576,IF(OR($B53="STD. DEVIATION",$C$1=1),$A53,$A53+1),COLUMN('1-DATA'!AP51)),IF($B53="STD. DEVIATION",2,$F$1))))</f>
        <v/>
      </c>
      <c r="AR53" s="1" t="str">
        <f>IF(OR($B53="",AR$7=""),"",IF($B53="MEANS",INDEX('1-DATA'!$1:$1048576,$A52-1,COLUMN('1-DATA'!AQ51)),ROUND(INDEX('1-DATA'!$1:$1048576,IF(OR($B53="STD. DEVIATION",$C$1=1),$A53,$A53+1),COLUMN('1-DATA'!AQ51)),IF($B53="STD. DEVIATION",2,$F$1))))</f>
        <v/>
      </c>
      <c r="AS53" s="1" t="str">
        <f>IF(OR($B53="",AS$7=""),"",IF($B53="MEANS",INDEX('1-DATA'!$1:$1048576,$A52-1,COLUMN('1-DATA'!AR51)),ROUND(INDEX('1-DATA'!$1:$1048576,IF(OR($B53="STD. DEVIATION",$C$1=1),$A53,$A53+1),COLUMN('1-DATA'!AR51)),IF($B53="STD. DEVIATION",2,$F$1))))</f>
        <v/>
      </c>
      <c r="AT53" s="1" t="str">
        <f>IF(OR($B53="",AT$7=""),"",IF($B53="MEANS",INDEX('1-DATA'!$1:$1048576,$A52-1,COLUMN('1-DATA'!AS51)),ROUND(INDEX('1-DATA'!$1:$1048576,IF(OR($B53="STD. DEVIATION",$C$1=1),$A53,$A53+1),COLUMN('1-DATA'!AS51)),IF($B53="STD. DEVIATION",2,$F$1))))</f>
        <v/>
      </c>
      <c r="AU53" s="1" t="str">
        <f>IF(OR($B53="",AU$7=""),"",IF($B53="MEANS",INDEX('1-DATA'!$1:$1048576,$A52-1,COLUMN('1-DATA'!AT51)),ROUND(INDEX('1-DATA'!$1:$1048576,IF(OR($B53="STD. DEVIATION",$C$1=1),$A53,$A53+1),COLUMN('1-DATA'!AT51)),IF($B53="STD. DEVIATION",2,$F$1))))</f>
        <v/>
      </c>
      <c r="AV53" s="1" t="str">
        <f>IF(OR($B53="",AV$7=""),"",IF($B53="MEANS",INDEX('1-DATA'!$1:$1048576,$A52-1,COLUMN('1-DATA'!AU51)),ROUND(INDEX('1-DATA'!$1:$1048576,IF(OR($B53="STD. DEVIATION",$C$1=1),$A53,$A53+1),COLUMN('1-DATA'!AU51)),IF($B53="STD. DEVIATION",2,$F$1))))</f>
        <v/>
      </c>
      <c r="AW53" s="1" t="str">
        <f>IF(OR($B53="",AW$7=""),"",IF($B53="MEANS",INDEX('1-DATA'!$1:$1048576,$A52-1,COLUMN('1-DATA'!AV51)),ROUND(INDEX('1-DATA'!$1:$1048576,IF(OR($B53="STD. DEVIATION",$C$1=1),$A53,$A53+1),COLUMN('1-DATA'!AV51)),IF($B53="STD. DEVIATION",2,$F$1))))</f>
        <v/>
      </c>
      <c r="AX53" s="1" t="str">
        <f>IF(OR($B53="",AX$7=""),"",IF($B53="MEANS",INDEX('1-DATA'!$1:$1048576,$A52-1,COLUMN('1-DATA'!AW51)),ROUND(INDEX('1-DATA'!$1:$1048576,IF(OR($B53="STD. DEVIATION",$C$1=1),$A53,$A53+1),COLUMN('1-DATA'!AW51)),IF($B53="STD. DEVIATION",2,$F$1))))</f>
        <v/>
      </c>
      <c r="AY53" s="1" t="str">
        <f>IF(OR($B53="",AY$7=""),"",IF($B53="MEANS",INDEX('1-DATA'!$1:$1048576,$A52-1,COLUMN('1-DATA'!AX51)),ROUND(INDEX('1-DATA'!$1:$1048576,IF(OR($B53="STD. DEVIATION",$C$1=1),$A53,$A53+1),COLUMN('1-DATA'!AX51)),IF($B53="STD. DEVIATION",2,$F$1))))</f>
        <v/>
      </c>
      <c r="AZ53" s="1" t="str">
        <f>IF(OR($B53="",AZ$7=""),"",IF($B53="MEANS",INDEX('1-DATA'!$1:$1048576,$A52-1,COLUMN('1-DATA'!AY51)),ROUND(INDEX('1-DATA'!$1:$1048576,IF(OR($B53="STD. DEVIATION",$C$1=1),$A53,$A53+1),COLUMN('1-DATA'!AY51)),IF($B53="STD. DEVIATION",2,$F$1))))</f>
        <v/>
      </c>
    </row>
    <row r="54" spans="1:52" x14ac:dyDescent="0.25">
      <c r="A54" s="11">
        <f t="shared" si="1"/>
        <v>148</v>
      </c>
      <c r="B54" s="1" t="str">
        <f>IF(B53="STD. DEVIATION",INDEX('1-DATA'!$1:$1048576,$A53-1,1),IF(INDEX('1-DATA'!$1:$1048576,$A54,1)&lt;&gt;"",INDEX('1-DATA'!$1:$1048576,$A54,1),""))</f>
        <v/>
      </c>
      <c r="C54" s="1" t="str">
        <f>IF(OR($B54="",C$7=""),"",IF($B54="MEANS",INDEX('1-DATA'!$1:$1048576,$A53-1,COLUMN('1-DATA'!B52)),ROUND(INDEX('1-DATA'!$1:$1048576,IF(OR($B54="STD. DEVIATION",$C$1=1),$A54,$A54+1),COLUMN('1-DATA'!B52)),IF($B54="STD. DEVIATION",2,$F$1))))</f>
        <v/>
      </c>
      <c r="D54" s="1" t="str">
        <f>IF(OR($B54="",D$7=""),"",IF($B54="MEANS",INDEX('1-DATA'!$1:$1048576,$A53-1,COLUMN('1-DATA'!C52)),ROUND(INDEX('1-DATA'!$1:$1048576,IF(OR($B54="STD. DEVIATION",$C$1=1),$A54,$A54+1),COLUMN('1-DATA'!C52)),IF($B54="STD. DEVIATION",2,$F$1))))</f>
        <v/>
      </c>
      <c r="E54" s="1" t="str">
        <f>IF(OR($B54="",E$7=""),"",IF($B54="MEANS",INDEX('1-DATA'!$1:$1048576,$A53-1,COLUMN('1-DATA'!D52)),ROUND(INDEX('1-DATA'!$1:$1048576,IF(OR($B54="STD. DEVIATION",$C$1=1),$A54,$A54+1),COLUMN('1-DATA'!D52)),IF($B54="STD. DEVIATION",2,$F$1))))</f>
        <v/>
      </c>
      <c r="F54" s="1" t="str">
        <f>IF(OR($B54="",F$7=""),"",IF($B54="MEANS",INDEX('1-DATA'!$1:$1048576,$A53-1,COLUMN('1-DATA'!E52)),ROUND(INDEX('1-DATA'!$1:$1048576,IF(OR($B54="STD. DEVIATION",$C$1=1),$A54,$A54+1),COLUMN('1-DATA'!E52)),IF($B54="STD. DEVIATION",2,$F$1))))</f>
        <v/>
      </c>
      <c r="G54" s="1" t="str">
        <f>IF(OR($B54="",G$7=""),"",IF($B54="MEANS",INDEX('1-DATA'!$1:$1048576,$A53-1,COLUMN('1-DATA'!F52)),ROUND(INDEX('1-DATA'!$1:$1048576,IF(OR($B54="STD. DEVIATION",$C$1=1),$A54,$A54+1),COLUMN('1-DATA'!F52)),IF($B54="STD. DEVIATION",2,$F$1))))</f>
        <v/>
      </c>
      <c r="H54" s="1" t="str">
        <f>IF(OR($B54="",H$7=""),"",IF($B54="MEANS",INDEX('1-DATA'!$1:$1048576,$A53-1,COLUMN('1-DATA'!G52)),ROUND(INDEX('1-DATA'!$1:$1048576,IF(OR($B54="STD. DEVIATION",$C$1=1),$A54,$A54+1),COLUMN('1-DATA'!G52)),IF($B54="STD. DEVIATION",2,$F$1))))</f>
        <v/>
      </c>
      <c r="I54" s="1" t="str">
        <f>IF(OR($B54="",I$7=""),"",IF($B54="MEANS",INDEX('1-DATA'!$1:$1048576,$A53-1,COLUMN('1-DATA'!H52)),ROUND(INDEX('1-DATA'!$1:$1048576,IF(OR($B54="STD. DEVIATION",$C$1=1),$A54,$A54+1),COLUMN('1-DATA'!H52)),IF($B54="STD. DEVIATION",2,$F$1))))</f>
        <v/>
      </c>
      <c r="J54" s="1" t="str">
        <f>IF(OR($B54="",J$7=""),"",IF($B54="MEANS",INDEX('1-DATA'!$1:$1048576,$A53-1,COLUMN('1-DATA'!I52)),ROUND(INDEX('1-DATA'!$1:$1048576,IF(OR($B54="STD. DEVIATION",$C$1=1),$A54,$A54+1),COLUMN('1-DATA'!I52)),IF($B54="STD. DEVIATION",2,$F$1))))</f>
        <v/>
      </c>
      <c r="K54" s="1" t="str">
        <f>IF(OR($B54="",K$7=""),"",IF($B54="MEANS",INDEX('1-DATA'!$1:$1048576,$A53-1,COLUMN('1-DATA'!J52)),ROUND(INDEX('1-DATA'!$1:$1048576,IF(OR($B54="STD. DEVIATION",$C$1=1),$A54,$A54+1),COLUMN('1-DATA'!J52)),IF($B54="STD. DEVIATION",2,$F$1))))</f>
        <v/>
      </c>
      <c r="L54" s="1" t="str">
        <f>IF(OR($B54="",L$7=""),"",IF($B54="MEANS",INDEX('1-DATA'!$1:$1048576,$A53-1,COLUMN('1-DATA'!K52)),ROUND(INDEX('1-DATA'!$1:$1048576,IF(OR($B54="STD. DEVIATION",$C$1=1),$A54,$A54+1),COLUMN('1-DATA'!K52)),IF($B54="STD. DEVIATION",2,$F$1))))</f>
        <v/>
      </c>
      <c r="M54" s="1" t="str">
        <f>IF(OR($B54="",M$7=""),"",IF($B54="MEANS",INDEX('1-DATA'!$1:$1048576,$A53-1,COLUMN('1-DATA'!L52)),ROUND(INDEX('1-DATA'!$1:$1048576,IF(OR($B54="STD. DEVIATION",$C$1=1),$A54,$A54+1),COLUMN('1-DATA'!L52)),IF($B54="STD. DEVIATION",2,$F$1))))</f>
        <v/>
      </c>
      <c r="N54" s="1" t="str">
        <f>IF(OR($B54="",N$7=""),"",IF($B54="MEANS",INDEX('1-DATA'!$1:$1048576,$A53-1,COLUMN('1-DATA'!M52)),ROUND(INDEX('1-DATA'!$1:$1048576,IF(OR($B54="STD. DEVIATION",$C$1=1),$A54,$A54+1),COLUMN('1-DATA'!M52)),IF($B54="STD. DEVIATION",2,$F$1))))</f>
        <v/>
      </c>
      <c r="O54" s="1" t="str">
        <f>IF(OR($B54="",O$7=""),"",IF($B54="MEANS",INDEX('1-DATA'!$1:$1048576,$A53-1,COLUMN('1-DATA'!N52)),ROUND(INDEX('1-DATA'!$1:$1048576,IF(OR($B54="STD. DEVIATION",$C$1=1),$A54,$A54+1),COLUMN('1-DATA'!N52)),IF($B54="STD. DEVIATION",2,$F$1))))</f>
        <v/>
      </c>
      <c r="P54" s="1" t="str">
        <f>IF(OR($B54="",P$7=""),"",IF($B54="MEANS",INDEX('1-DATA'!$1:$1048576,$A53-1,COLUMN('1-DATA'!O52)),ROUND(INDEX('1-DATA'!$1:$1048576,IF(OR($B54="STD. DEVIATION",$C$1=1),$A54,$A54+1),COLUMN('1-DATA'!O52)),IF($B54="STD. DEVIATION",2,$F$1))))</f>
        <v/>
      </c>
      <c r="Q54" s="1" t="str">
        <f>IF(OR($B54="",Q$7=""),"",IF($B54="MEANS",INDEX('1-DATA'!$1:$1048576,$A53-1,COLUMN('1-DATA'!P52)),ROUND(INDEX('1-DATA'!$1:$1048576,IF(OR($B54="STD. DEVIATION",$C$1=1),$A54,$A54+1),COLUMN('1-DATA'!P52)),IF($B54="STD. DEVIATION",2,$F$1))))</f>
        <v/>
      </c>
      <c r="R54" s="1" t="str">
        <f>IF(OR($B54="",R$7=""),"",IF($B54="MEANS",INDEX('1-DATA'!$1:$1048576,$A53-1,COLUMN('1-DATA'!Q52)),ROUND(INDEX('1-DATA'!$1:$1048576,IF(OR($B54="STD. DEVIATION",$C$1=1),$A54,$A54+1),COLUMN('1-DATA'!Q52)),IF($B54="STD. DEVIATION",2,$F$1))))</f>
        <v/>
      </c>
      <c r="S54" s="1" t="str">
        <f>IF(OR($B54="",S$7=""),"",IF($B54="MEANS",INDEX('1-DATA'!$1:$1048576,$A53-1,COLUMN('1-DATA'!R52)),ROUND(INDEX('1-DATA'!$1:$1048576,IF(OR($B54="STD. DEVIATION",$C$1=1),$A54,$A54+1),COLUMN('1-DATA'!R52)),IF($B54="STD. DEVIATION",2,$F$1))))</f>
        <v/>
      </c>
      <c r="T54" s="1" t="str">
        <f>IF(OR($B54="",T$7=""),"",IF($B54="MEANS",INDEX('1-DATA'!$1:$1048576,$A53-1,COLUMN('1-DATA'!S52)),ROUND(INDEX('1-DATA'!$1:$1048576,IF(OR($B54="STD. DEVIATION",$C$1=1),$A54,$A54+1),COLUMN('1-DATA'!S52)),IF($B54="STD. DEVIATION",2,$F$1))))</f>
        <v/>
      </c>
      <c r="U54" s="1" t="str">
        <f>IF(OR($B54="",U$7=""),"",IF($B54="MEANS",INDEX('1-DATA'!$1:$1048576,$A53-1,COLUMN('1-DATA'!T52)),ROUND(INDEX('1-DATA'!$1:$1048576,IF(OR($B54="STD. DEVIATION",$C$1=1),$A54,$A54+1),COLUMN('1-DATA'!T52)),IF($B54="STD. DEVIATION",2,$F$1))))</f>
        <v/>
      </c>
      <c r="V54" s="1" t="str">
        <f>IF(OR($B54="",V$7=""),"",IF($B54="MEANS",INDEX('1-DATA'!$1:$1048576,$A53-1,COLUMN('1-DATA'!U52)),ROUND(INDEX('1-DATA'!$1:$1048576,IF(OR($B54="STD. DEVIATION",$C$1=1),$A54,$A54+1),COLUMN('1-DATA'!U52)),IF($B54="STD. DEVIATION",2,$F$1))))</f>
        <v/>
      </c>
      <c r="W54" s="1" t="str">
        <f>IF(OR($B54="",W$7=""),"",IF($B54="MEANS",INDEX('1-DATA'!$1:$1048576,$A53-1,COLUMN('1-DATA'!V52)),ROUND(INDEX('1-DATA'!$1:$1048576,IF(OR($B54="STD. DEVIATION",$C$1=1),$A54,$A54+1),COLUMN('1-DATA'!V52)),IF($B54="STD. DEVIATION",2,$F$1))))</f>
        <v/>
      </c>
      <c r="X54" s="1" t="str">
        <f>IF(OR($B54="",X$7=""),"",IF($B54="MEANS",INDEX('1-DATA'!$1:$1048576,$A53-1,COLUMN('1-DATA'!W52)),ROUND(INDEX('1-DATA'!$1:$1048576,IF(OR($B54="STD. DEVIATION",$C$1=1),$A54,$A54+1),COLUMN('1-DATA'!W52)),IF($B54="STD. DEVIATION",2,$F$1))))</f>
        <v/>
      </c>
      <c r="Y54" s="1" t="str">
        <f>IF(OR($B54="",Y$7=""),"",IF($B54="MEANS",INDEX('1-DATA'!$1:$1048576,$A53-1,COLUMN('1-DATA'!X52)),ROUND(INDEX('1-DATA'!$1:$1048576,IF(OR($B54="STD. DEVIATION",$C$1=1),$A54,$A54+1),COLUMN('1-DATA'!X52)),IF($B54="STD. DEVIATION",2,$F$1))))</f>
        <v/>
      </c>
      <c r="Z54" s="1" t="str">
        <f>IF(OR($B54="",Z$7=""),"",IF($B54="MEANS",INDEX('1-DATA'!$1:$1048576,$A53-1,COLUMN('1-DATA'!Y52)),ROUND(INDEX('1-DATA'!$1:$1048576,IF(OR($B54="STD. DEVIATION",$C$1=1),$A54,$A54+1),COLUMN('1-DATA'!Y52)),IF($B54="STD. DEVIATION",2,$F$1))))</f>
        <v/>
      </c>
      <c r="AA54" s="1" t="str">
        <f>IF(OR($B54="",AA$7=""),"",IF($B54="MEANS",INDEX('1-DATA'!$1:$1048576,$A53-1,COLUMN('1-DATA'!Z52)),ROUND(INDEX('1-DATA'!$1:$1048576,IF(OR($B54="STD. DEVIATION",$C$1=1),$A54,$A54+1),COLUMN('1-DATA'!Z52)),IF($B54="STD. DEVIATION",2,$F$1))))</f>
        <v/>
      </c>
      <c r="AB54" s="1" t="str">
        <f>IF(OR($B54="",AB$7=""),"",IF($B54="MEANS",INDEX('1-DATA'!$1:$1048576,$A53-1,COLUMN('1-DATA'!AA52)),ROUND(INDEX('1-DATA'!$1:$1048576,IF(OR($B54="STD. DEVIATION",$C$1=1),$A54,$A54+1),COLUMN('1-DATA'!AA52)),IF($B54="STD. DEVIATION",2,$F$1))))</f>
        <v/>
      </c>
      <c r="AC54" s="1" t="str">
        <f>IF(OR($B54="",AC$7=""),"",IF($B54="MEANS",INDEX('1-DATA'!$1:$1048576,$A53-1,COLUMN('1-DATA'!AB52)),ROUND(INDEX('1-DATA'!$1:$1048576,IF(OR($B54="STD. DEVIATION",$C$1=1),$A54,$A54+1),COLUMN('1-DATA'!AB52)),IF($B54="STD. DEVIATION",2,$F$1))))</f>
        <v/>
      </c>
      <c r="AD54" s="1" t="str">
        <f>IF(OR($B54="",AD$7=""),"",IF($B54="MEANS",INDEX('1-DATA'!$1:$1048576,$A53-1,COLUMN('1-DATA'!AC52)),ROUND(INDEX('1-DATA'!$1:$1048576,IF(OR($B54="STD. DEVIATION",$C$1=1),$A54,$A54+1),COLUMN('1-DATA'!AC52)),IF($B54="STD. DEVIATION",2,$F$1))))</f>
        <v/>
      </c>
      <c r="AE54" s="1" t="str">
        <f>IF(OR($B54="",AE$7=""),"",IF($B54="MEANS",INDEX('1-DATA'!$1:$1048576,$A53-1,COLUMN('1-DATA'!AD52)),ROUND(INDEX('1-DATA'!$1:$1048576,IF(OR($B54="STD. DEVIATION",$C$1=1),$A54,$A54+1),COLUMN('1-DATA'!AD52)),IF($B54="STD. DEVIATION",2,$F$1))))</f>
        <v/>
      </c>
      <c r="AF54" s="1" t="str">
        <f>IF(OR($B54="",AF$7=""),"",IF($B54="MEANS",INDEX('1-DATA'!$1:$1048576,$A53-1,COLUMN('1-DATA'!AE52)),ROUND(INDEX('1-DATA'!$1:$1048576,IF(OR($B54="STD. DEVIATION",$C$1=1),$A54,$A54+1),COLUMN('1-DATA'!AE52)),IF($B54="STD. DEVIATION",2,$F$1))))</f>
        <v/>
      </c>
      <c r="AG54" s="1" t="str">
        <f>IF(OR($B54="",AG$7=""),"",IF($B54="MEANS",INDEX('1-DATA'!$1:$1048576,$A53-1,COLUMN('1-DATA'!AF52)),ROUND(INDEX('1-DATA'!$1:$1048576,IF(OR($B54="STD. DEVIATION",$C$1=1),$A54,$A54+1),COLUMN('1-DATA'!AF52)),IF($B54="STD. DEVIATION",2,$F$1))))</f>
        <v/>
      </c>
      <c r="AH54" s="1" t="str">
        <f>IF(OR($B54="",AH$7=""),"",IF($B54="MEANS",INDEX('1-DATA'!$1:$1048576,$A53-1,COLUMN('1-DATA'!AG52)),ROUND(INDEX('1-DATA'!$1:$1048576,IF(OR($B54="STD. DEVIATION",$C$1=1),$A54,$A54+1),COLUMN('1-DATA'!AG52)),IF($B54="STD. DEVIATION",2,$F$1))))</f>
        <v/>
      </c>
      <c r="AI54" s="1" t="str">
        <f>IF(OR($B54="",AI$7=""),"",IF($B54="MEANS",INDEX('1-DATA'!$1:$1048576,$A53-1,COLUMN('1-DATA'!AH52)),ROUND(INDEX('1-DATA'!$1:$1048576,IF(OR($B54="STD. DEVIATION",$C$1=1),$A54,$A54+1),COLUMN('1-DATA'!AH52)),IF($B54="STD. DEVIATION",2,$F$1))))</f>
        <v/>
      </c>
      <c r="AJ54" s="1" t="str">
        <f>IF(OR($B54="",AJ$7=""),"",IF($B54="MEANS",INDEX('1-DATA'!$1:$1048576,$A53-1,COLUMN('1-DATA'!AI52)),ROUND(INDEX('1-DATA'!$1:$1048576,IF(OR($B54="STD. DEVIATION",$C$1=1),$A54,$A54+1),COLUMN('1-DATA'!AI52)),IF($B54="STD. DEVIATION",2,$F$1))))</f>
        <v/>
      </c>
      <c r="AK54" s="1" t="str">
        <f>IF(OR($B54="",AK$7=""),"",IF($B54="MEANS",INDEX('1-DATA'!$1:$1048576,$A53-1,COLUMN('1-DATA'!AJ52)),ROUND(INDEX('1-DATA'!$1:$1048576,IF(OR($B54="STD. DEVIATION",$C$1=1),$A54,$A54+1),COLUMN('1-DATA'!AJ52)),IF($B54="STD. DEVIATION",2,$F$1))))</f>
        <v/>
      </c>
      <c r="AL54" s="1" t="str">
        <f>IF(OR($B54="",AL$7=""),"",IF($B54="MEANS",INDEX('1-DATA'!$1:$1048576,$A53-1,COLUMN('1-DATA'!AK52)),ROUND(INDEX('1-DATA'!$1:$1048576,IF(OR($B54="STD. DEVIATION",$C$1=1),$A54,$A54+1),COLUMN('1-DATA'!AK52)),IF($B54="STD. DEVIATION",2,$F$1))))</f>
        <v/>
      </c>
      <c r="AM54" s="1" t="str">
        <f>IF(OR($B54="",AM$7=""),"",IF($B54="MEANS",INDEX('1-DATA'!$1:$1048576,$A53-1,COLUMN('1-DATA'!AL52)),ROUND(INDEX('1-DATA'!$1:$1048576,IF(OR($B54="STD. DEVIATION",$C$1=1),$A54,$A54+1),COLUMN('1-DATA'!AL52)),IF($B54="STD. DEVIATION",2,$F$1))))</f>
        <v/>
      </c>
      <c r="AN54" s="1" t="str">
        <f>IF(OR($B54="",AN$7=""),"",IF($B54="MEANS",INDEX('1-DATA'!$1:$1048576,$A53-1,COLUMN('1-DATA'!AM52)),ROUND(INDEX('1-DATA'!$1:$1048576,IF(OR($B54="STD. DEVIATION",$C$1=1),$A54,$A54+1),COLUMN('1-DATA'!AM52)),IF($B54="STD. DEVIATION",2,$F$1))))</f>
        <v/>
      </c>
      <c r="AO54" s="1" t="str">
        <f>IF(OR($B54="",AO$7=""),"",IF($B54="MEANS",INDEX('1-DATA'!$1:$1048576,$A53-1,COLUMN('1-DATA'!AN52)),ROUND(INDEX('1-DATA'!$1:$1048576,IF(OR($B54="STD. DEVIATION",$C$1=1),$A54,$A54+1),COLUMN('1-DATA'!AN52)),IF($B54="STD. DEVIATION",2,$F$1))))</f>
        <v/>
      </c>
      <c r="AP54" s="1" t="str">
        <f>IF(OR($B54="",AP$7=""),"",IF($B54="MEANS",INDEX('1-DATA'!$1:$1048576,$A53-1,COLUMN('1-DATA'!AO52)),ROUND(INDEX('1-DATA'!$1:$1048576,IF(OR($B54="STD. DEVIATION",$C$1=1),$A54,$A54+1),COLUMN('1-DATA'!AO52)),IF($B54="STD. DEVIATION",2,$F$1))))</f>
        <v/>
      </c>
      <c r="AQ54" s="1" t="str">
        <f>IF(OR($B54="",AQ$7=""),"",IF($B54="MEANS",INDEX('1-DATA'!$1:$1048576,$A53-1,COLUMN('1-DATA'!AP52)),ROUND(INDEX('1-DATA'!$1:$1048576,IF(OR($B54="STD. DEVIATION",$C$1=1),$A54,$A54+1),COLUMN('1-DATA'!AP52)),IF($B54="STD. DEVIATION",2,$F$1))))</f>
        <v/>
      </c>
      <c r="AR54" s="1" t="str">
        <f>IF(OR($B54="",AR$7=""),"",IF($B54="MEANS",INDEX('1-DATA'!$1:$1048576,$A53-1,COLUMN('1-DATA'!AQ52)),ROUND(INDEX('1-DATA'!$1:$1048576,IF(OR($B54="STD. DEVIATION",$C$1=1),$A54,$A54+1),COLUMN('1-DATA'!AQ52)),IF($B54="STD. DEVIATION",2,$F$1))))</f>
        <v/>
      </c>
      <c r="AS54" s="1" t="str">
        <f>IF(OR($B54="",AS$7=""),"",IF($B54="MEANS",INDEX('1-DATA'!$1:$1048576,$A53-1,COLUMN('1-DATA'!AR52)),ROUND(INDEX('1-DATA'!$1:$1048576,IF(OR($B54="STD. DEVIATION",$C$1=1),$A54,$A54+1),COLUMN('1-DATA'!AR52)),IF($B54="STD. DEVIATION",2,$F$1))))</f>
        <v/>
      </c>
      <c r="AT54" s="1" t="str">
        <f>IF(OR($B54="",AT$7=""),"",IF($B54="MEANS",INDEX('1-DATA'!$1:$1048576,$A53-1,COLUMN('1-DATA'!AS52)),ROUND(INDEX('1-DATA'!$1:$1048576,IF(OR($B54="STD. DEVIATION",$C$1=1),$A54,$A54+1),COLUMN('1-DATA'!AS52)),IF($B54="STD. DEVIATION",2,$F$1))))</f>
        <v/>
      </c>
      <c r="AU54" s="1" t="str">
        <f>IF(OR($B54="",AU$7=""),"",IF($B54="MEANS",INDEX('1-DATA'!$1:$1048576,$A53-1,COLUMN('1-DATA'!AT52)),ROUND(INDEX('1-DATA'!$1:$1048576,IF(OR($B54="STD. DEVIATION",$C$1=1),$A54,$A54+1),COLUMN('1-DATA'!AT52)),IF($B54="STD. DEVIATION",2,$F$1))))</f>
        <v/>
      </c>
      <c r="AV54" s="1" t="str">
        <f>IF(OR($B54="",AV$7=""),"",IF($B54="MEANS",INDEX('1-DATA'!$1:$1048576,$A53-1,COLUMN('1-DATA'!AU52)),ROUND(INDEX('1-DATA'!$1:$1048576,IF(OR($B54="STD. DEVIATION",$C$1=1),$A54,$A54+1),COLUMN('1-DATA'!AU52)),IF($B54="STD. DEVIATION",2,$F$1))))</f>
        <v/>
      </c>
      <c r="AW54" s="1" t="str">
        <f>IF(OR($B54="",AW$7=""),"",IF($B54="MEANS",INDEX('1-DATA'!$1:$1048576,$A53-1,COLUMN('1-DATA'!AV52)),ROUND(INDEX('1-DATA'!$1:$1048576,IF(OR($B54="STD. DEVIATION",$C$1=1),$A54,$A54+1),COLUMN('1-DATA'!AV52)),IF($B54="STD. DEVIATION",2,$F$1))))</f>
        <v/>
      </c>
      <c r="AX54" s="1" t="str">
        <f>IF(OR($B54="",AX$7=""),"",IF($B54="MEANS",INDEX('1-DATA'!$1:$1048576,$A53-1,COLUMN('1-DATA'!AW52)),ROUND(INDEX('1-DATA'!$1:$1048576,IF(OR($B54="STD. DEVIATION",$C$1=1),$A54,$A54+1),COLUMN('1-DATA'!AW52)),IF($B54="STD. DEVIATION",2,$F$1))))</f>
        <v/>
      </c>
      <c r="AY54" s="1" t="str">
        <f>IF(OR($B54="",AY$7=""),"",IF($B54="MEANS",INDEX('1-DATA'!$1:$1048576,$A53-1,COLUMN('1-DATA'!AX52)),ROUND(INDEX('1-DATA'!$1:$1048576,IF(OR($B54="STD. DEVIATION",$C$1=1),$A54,$A54+1),COLUMN('1-DATA'!AX52)),IF($B54="STD. DEVIATION",2,$F$1))))</f>
        <v/>
      </c>
      <c r="AZ54" s="1" t="str">
        <f>IF(OR($B54="",AZ$7=""),"",IF($B54="MEANS",INDEX('1-DATA'!$1:$1048576,$A53-1,COLUMN('1-DATA'!AY52)),ROUND(INDEX('1-DATA'!$1:$1048576,IF(OR($B54="STD. DEVIATION",$C$1=1),$A54,$A54+1),COLUMN('1-DATA'!AY52)),IF($B54="STD. DEVIATION",2,$F$1))))</f>
        <v/>
      </c>
    </row>
    <row r="55" spans="1:52" x14ac:dyDescent="0.25">
      <c r="A55" s="11">
        <f t="shared" si="1"/>
        <v>151</v>
      </c>
      <c r="B55" s="1" t="str">
        <f>IF(B54="STD. DEVIATION",INDEX('1-DATA'!$1:$1048576,$A54-1,1),IF(INDEX('1-DATA'!$1:$1048576,$A55,1)&lt;&gt;"",INDEX('1-DATA'!$1:$1048576,$A55,1),""))</f>
        <v/>
      </c>
      <c r="C55" s="1" t="str">
        <f>IF(OR($B55="",C$7=""),"",IF($B55="MEANS",INDEX('1-DATA'!$1:$1048576,$A54-1,COLUMN('1-DATA'!B53)),ROUND(INDEX('1-DATA'!$1:$1048576,IF(OR($B55="STD. DEVIATION",$C$1=1),$A55,$A55+1),COLUMN('1-DATA'!B53)),IF($B55="STD. DEVIATION",2,$F$1))))</f>
        <v/>
      </c>
      <c r="D55" s="1" t="str">
        <f>IF(OR($B55="",D$7=""),"",IF($B55="MEANS",INDEX('1-DATA'!$1:$1048576,$A54-1,COLUMN('1-DATA'!C53)),ROUND(INDEX('1-DATA'!$1:$1048576,IF(OR($B55="STD. DEVIATION",$C$1=1),$A55,$A55+1),COLUMN('1-DATA'!C53)),IF($B55="STD. DEVIATION",2,$F$1))))</f>
        <v/>
      </c>
      <c r="E55" s="1" t="str">
        <f>IF(OR($B55="",E$7=""),"",IF($B55="MEANS",INDEX('1-DATA'!$1:$1048576,$A54-1,COLUMN('1-DATA'!D53)),ROUND(INDEX('1-DATA'!$1:$1048576,IF(OR($B55="STD. DEVIATION",$C$1=1),$A55,$A55+1),COLUMN('1-DATA'!D53)),IF($B55="STD. DEVIATION",2,$F$1))))</f>
        <v/>
      </c>
      <c r="F55" s="1" t="str">
        <f>IF(OR($B55="",F$7=""),"",IF($B55="MEANS",INDEX('1-DATA'!$1:$1048576,$A54-1,COLUMN('1-DATA'!E53)),ROUND(INDEX('1-DATA'!$1:$1048576,IF(OR($B55="STD. DEVIATION",$C$1=1),$A55,$A55+1),COLUMN('1-DATA'!E53)),IF($B55="STD. DEVIATION",2,$F$1))))</f>
        <v/>
      </c>
      <c r="G55" s="1" t="str">
        <f>IF(OR($B55="",G$7=""),"",IF($B55="MEANS",INDEX('1-DATA'!$1:$1048576,$A54-1,COLUMN('1-DATA'!F53)),ROUND(INDEX('1-DATA'!$1:$1048576,IF(OR($B55="STD. DEVIATION",$C$1=1),$A55,$A55+1),COLUMN('1-DATA'!F53)),IF($B55="STD. DEVIATION",2,$F$1))))</f>
        <v/>
      </c>
      <c r="H55" s="1" t="str">
        <f>IF(OR($B55="",H$7=""),"",IF($B55="MEANS",INDEX('1-DATA'!$1:$1048576,$A54-1,COLUMN('1-DATA'!G53)),ROUND(INDEX('1-DATA'!$1:$1048576,IF(OR($B55="STD. DEVIATION",$C$1=1),$A55,$A55+1),COLUMN('1-DATA'!G53)),IF($B55="STD. DEVIATION",2,$F$1))))</f>
        <v/>
      </c>
      <c r="I55" s="1" t="str">
        <f>IF(OR($B55="",I$7=""),"",IF($B55="MEANS",INDEX('1-DATA'!$1:$1048576,$A54-1,COLUMN('1-DATA'!H53)),ROUND(INDEX('1-DATA'!$1:$1048576,IF(OR($B55="STD. DEVIATION",$C$1=1),$A55,$A55+1),COLUMN('1-DATA'!H53)),IF($B55="STD. DEVIATION",2,$F$1))))</f>
        <v/>
      </c>
      <c r="J55" s="1" t="str">
        <f>IF(OR($B55="",J$7=""),"",IF($B55="MEANS",INDEX('1-DATA'!$1:$1048576,$A54-1,COLUMN('1-DATA'!I53)),ROUND(INDEX('1-DATA'!$1:$1048576,IF(OR($B55="STD. DEVIATION",$C$1=1),$A55,$A55+1),COLUMN('1-DATA'!I53)),IF($B55="STD. DEVIATION",2,$F$1))))</f>
        <v/>
      </c>
      <c r="K55" s="1" t="str">
        <f>IF(OR($B55="",K$7=""),"",IF($B55="MEANS",INDEX('1-DATA'!$1:$1048576,$A54-1,COLUMN('1-DATA'!J53)),ROUND(INDEX('1-DATA'!$1:$1048576,IF(OR($B55="STD. DEVIATION",$C$1=1),$A55,$A55+1),COLUMN('1-DATA'!J53)),IF($B55="STD. DEVIATION",2,$F$1))))</f>
        <v/>
      </c>
      <c r="L55" s="1" t="str">
        <f>IF(OR($B55="",L$7=""),"",IF($B55="MEANS",INDEX('1-DATA'!$1:$1048576,$A54-1,COLUMN('1-DATA'!K53)),ROUND(INDEX('1-DATA'!$1:$1048576,IF(OR($B55="STD. DEVIATION",$C$1=1),$A55,$A55+1),COLUMN('1-DATA'!K53)),IF($B55="STD. DEVIATION",2,$F$1))))</f>
        <v/>
      </c>
      <c r="M55" s="1" t="str">
        <f>IF(OR($B55="",M$7=""),"",IF($B55="MEANS",INDEX('1-DATA'!$1:$1048576,$A54-1,COLUMN('1-DATA'!L53)),ROUND(INDEX('1-DATA'!$1:$1048576,IF(OR($B55="STD. DEVIATION",$C$1=1),$A55,$A55+1),COLUMN('1-DATA'!L53)),IF($B55="STD. DEVIATION",2,$F$1))))</f>
        <v/>
      </c>
      <c r="N55" s="1" t="str">
        <f>IF(OR($B55="",N$7=""),"",IF($B55="MEANS",INDEX('1-DATA'!$1:$1048576,$A54-1,COLUMN('1-DATA'!M53)),ROUND(INDEX('1-DATA'!$1:$1048576,IF(OR($B55="STD. DEVIATION",$C$1=1),$A55,$A55+1),COLUMN('1-DATA'!M53)),IF($B55="STD. DEVIATION",2,$F$1))))</f>
        <v/>
      </c>
      <c r="O55" s="1" t="str">
        <f>IF(OR($B55="",O$7=""),"",IF($B55="MEANS",INDEX('1-DATA'!$1:$1048576,$A54-1,COLUMN('1-DATA'!N53)),ROUND(INDEX('1-DATA'!$1:$1048576,IF(OR($B55="STD. DEVIATION",$C$1=1),$A55,$A55+1),COLUMN('1-DATA'!N53)),IF($B55="STD. DEVIATION",2,$F$1))))</f>
        <v/>
      </c>
      <c r="P55" s="1" t="str">
        <f>IF(OR($B55="",P$7=""),"",IF($B55="MEANS",INDEX('1-DATA'!$1:$1048576,$A54-1,COLUMN('1-DATA'!O53)),ROUND(INDEX('1-DATA'!$1:$1048576,IF(OR($B55="STD. DEVIATION",$C$1=1),$A55,$A55+1),COLUMN('1-DATA'!O53)),IF($B55="STD. DEVIATION",2,$F$1))))</f>
        <v/>
      </c>
      <c r="Q55" s="1" t="str">
        <f>IF(OR($B55="",Q$7=""),"",IF($B55="MEANS",INDEX('1-DATA'!$1:$1048576,$A54-1,COLUMN('1-DATA'!P53)),ROUND(INDEX('1-DATA'!$1:$1048576,IF(OR($B55="STD. DEVIATION",$C$1=1),$A55,$A55+1),COLUMN('1-DATA'!P53)),IF($B55="STD. DEVIATION",2,$F$1))))</f>
        <v/>
      </c>
      <c r="R55" s="1" t="str">
        <f>IF(OR($B55="",R$7=""),"",IF($B55="MEANS",INDEX('1-DATA'!$1:$1048576,$A54-1,COLUMN('1-DATA'!Q53)),ROUND(INDEX('1-DATA'!$1:$1048576,IF(OR($B55="STD. DEVIATION",$C$1=1),$A55,$A55+1),COLUMN('1-DATA'!Q53)),IF($B55="STD. DEVIATION",2,$F$1))))</f>
        <v/>
      </c>
      <c r="S55" s="1" t="str">
        <f>IF(OR($B55="",S$7=""),"",IF($B55="MEANS",INDEX('1-DATA'!$1:$1048576,$A54-1,COLUMN('1-DATA'!R53)),ROUND(INDEX('1-DATA'!$1:$1048576,IF(OR($B55="STD. DEVIATION",$C$1=1),$A55,$A55+1),COLUMN('1-DATA'!R53)),IF($B55="STD. DEVIATION",2,$F$1))))</f>
        <v/>
      </c>
      <c r="T55" s="1" t="str">
        <f>IF(OR($B55="",T$7=""),"",IF($B55="MEANS",INDEX('1-DATA'!$1:$1048576,$A54-1,COLUMN('1-DATA'!S53)),ROUND(INDEX('1-DATA'!$1:$1048576,IF(OR($B55="STD. DEVIATION",$C$1=1),$A55,$A55+1),COLUMN('1-DATA'!S53)),IF($B55="STD. DEVIATION",2,$F$1))))</f>
        <v/>
      </c>
      <c r="U55" s="1" t="str">
        <f>IF(OR($B55="",U$7=""),"",IF($B55="MEANS",INDEX('1-DATA'!$1:$1048576,$A54-1,COLUMN('1-DATA'!T53)),ROUND(INDEX('1-DATA'!$1:$1048576,IF(OR($B55="STD. DEVIATION",$C$1=1),$A55,$A55+1),COLUMN('1-DATA'!T53)),IF($B55="STD. DEVIATION",2,$F$1))))</f>
        <v/>
      </c>
      <c r="V55" s="1" t="str">
        <f>IF(OR($B55="",V$7=""),"",IF($B55="MEANS",INDEX('1-DATA'!$1:$1048576,$A54-1,COLUMN('1-DATA'!U53)),ROUND(INDEX('1-DATA'!$1:$1048576,IF(OR($B55="STD. DEVIATION",$C$1=1),$A55,$A55+1),COLUMN('1-DATA'!U53)),IF($B55="STD. DEVIATION",2,$F$1))))</f>
        <v/>
      </c>
      <c r="W55" s="1" t="str">
        <f>IF(OR($B55="",W$7=""),"",IF($B55="MEANS",INDEX('1-DATA'!$1:$1048576,$A54-1,COLUMN('1-DATA'!V53)),ROUND(INDEX('1-DATA'!$1:$1048576,IF(OR($B55="STD. DEVIATION",$C$1=1),$A55,$A55+1),COLUMN('1-DATA'!V53)),IF($B55="STD. DEVIATION",2,$F$1))))</f>
        <v/>
      </c>
      <c r="X55" s="1" t="str">
        <f>IF(OR($B55="",X$7=""),"",IF($B55="MEANS",INDEX('1-DATA'!$1:$1048576,$A54-1,COLUMN('1-DATA'!W53)),ROUND(INDEX('1-DATA'!$1:$1048576,IF(OR($B55="STD. DEVIATION",$C$1=1),$A55,$A55+1),COLUMN('1-DATA'!W53)),IF($B55="STD. DEVIATION",2,$F$1))))</f>
        <v/>
      </c>
      <c r="Y55" s="1" t="str">
        <f>IF(OR($B55="",Y$7=""),"",IF($B55="MEANS",INDEX('1-DATA'!$1:$1048576,$A54-1,COLUMN('1-DATA'!X53)),ROUND(INDEX('1-DATA'!$1:$1048576,IF(OR($B55="STD. DEVIATION",$C$1=1),$A55,$A55+1),COLUMN('1-DATA'!X53)),IF($B55="STD. DEVIATION",2,$F$1))))</f>
        <v/>
      </c>
      <c r="Z55" s="1" t="str">
        <f>IF(OR($B55="",Z$7=""),"",IF($B55="MEANS",INDEX('1-DATA'!$1:$1048576,$A54-1,COLUMN('1-DATA'!Y53)),ROUND(INDEX('1-DATA'!$1:$1048576,IF(OR($B55="STD. DEVIATION",$C$1=1),$A55,$A55+1),COLUMN('1-DATA'!Y53)),IF($B55="STD. DEVIATION",2,$F$1))))</f>
        <v/>
      </c>
      <c r="AA55" s="1" t="str">
        <f>IF(OR($B55="",AA$7=""),"",IF($B55="MEANS",INDEX('1-DATA'!$1:$1048576,$A54-1,COLUMN('1-DATA'!Z53)),ROUND(INDEX('1-DATA'!$1:$1048576,IF(OR($B55="STD. DEVIATION",$C$1=1),$A55,$A55+1),COLUMN('1-DATA'!Z53)),IF($B55="STD. DEVIATION",2,$F$1))))</f>
        <v/>
      </c>
      <c r="AB55" s="1" t="str">
        <f>IF(OR($B55="",AB$7=""),"",IF($B55="MEANS",INDEX('1-DATA'!$1:$1048576,$A54-1,COLUMN('1-DATA'!AA53)),ROUND(INDEX('1-DATA'!$1:$1048576,IF(OR($B55="STD. DEVIATION",$C$1=1),$A55,$A55+1),COLUMN('1-DATA'!AA53)),IF($B55="STD. DEVIATION",2,$F$1))))</f>
        <v/>
      </c>
      <c r="AC55" s="1" t="str">
        <f>IF(OR($B55="",AC$7=""),"",IF($B55="MEANS",INDEX('1-DATA'!$1:$1048576,$A54-1,COLUMN('1-DATA'!AB53)),ROUND(INDEX('1-DATA'!$1:$1048576,IF(OR($B55="STD. DEVIATION",$C$1=1),$A55,$A55+1),COLUMN('1-DATA'!AB53)),IF($B55="STD. DEVIATION",2,$F$1))))</f>
        <v/>
      </c>
      <c r="AD55" s="1" t="str">
        <f>IF(OR($B55="",AD$7=""),"",IF($B55="MEANS",INDEX('1-DATA'!$1:$1048576,$A54-1,COLUMN('1-DATA'!AC53)),ROUND(INDEX('1-DATA'!$1:$1048576,IF(OR($B55="STD. DEVIATION",$C$1=1),$A55,$A55+1),COLUMN('1-DATA'!AC53)),IF($B55="STD. DEVIATION",2,$F$1))))</f>
        <v/>
      </c>
      <c r="AE55" s="1" t="str">
        <f>IF(OR($B55="",AE$7=""),"",IF($B55="MEANS",INDEX('1-DATA'!$1:$1048576,$A54-1,COLUMN('1-DATA'!AD53)),ROUND(INDEX('1-DATA'!$1:$1048576,IF(OR($B55="STD. DEVIATION",$C$1=1),$A55,$A55+1),COLUMN('1-DATA'!AD53)),IF($B55="STD. DEVIATION",2,$F$1))))</f>
        <v/>
      </c>
      <c r="AF55" s="1" t="str">
        <f>IF(OR($B55="",AF$7=""),"",IF($B55="MEANS",INDEX('1-DATA'!$1:$1048576,$A54-1,COLUMN('1-DATA'!AE53)),ROUND(INDEX('1-DATA'!$1:$1048576,IF(OR($B55="STD. DEVIATION",$C$1=1),$A55,$A55+1),COLUMN('1-DATA'!AE53)),IF($B55="STD. DEVIATION",2,$F$1))))</f>
        <v/>
      </c>
      <c r="AG55" s="1" t="str">
        <f>IF(OR($B55="",AG$7=""),"",IF($B55="MEANS",INDEX('1-DATA'!$1:$1048576,$A54-1,COLUMN('1-DATA'!AF53)),ROUND(INDEX('1-DATA'!$1:$1048576,IF(OR($B55="STD. DEVIATION",$C$1=1),$A55,$A55+1),COLUMN('1-DATA'!AF53)),IF($B55="STD. DEVIATION",2,$F$1))))</f>
        <v/>
      </c>
      <c r="AH55" s="1" t="str">
        <f>IF(OR($B55="",AH$7=""),"",IF($B55="MEANS",INDEX('1-DATA'!$1:$1048576,$A54-1,COLUMN('1-DATA'!AG53)),ROUND(INDEX('1-DATA'!$1:$1048576,IF(OR($B55="STD. DEVIATION",$C$1=1),$A55,$A55+1),COLUMN('1-DATA'!AG53)),IF($B55="STD. DEVIATION",2,$F$1))))</f>
        <v/>
      </c>
      <c r="AI55" s="1" t="str">
        <f>IF(OR($B55="",AI$7=""),"",IF($B55="MEANS",INDEX('1-DATA'!$1:$1048576,$A54-1,COLUMN('1-DATA'!AH53)),ROUND(INDEX('1-DATA'!$1:$1048576,IF(OR($B55="STD. DEVIATION",$C$1=1),$A55,$A55+1),COLUMN('1-DATA'!AH53)),IF($B55="STD. DEVIATION",2,$F$1))))</f>
        <v/>
      </c>
      <c r="AJ55" s="1" t="str">
        <f>IF(OR($B55="",AJ$7=""),"",IF($B55="MEANS",INDEX('1-DATA'!$1:$1048576,$A54-1,COLUMN('1-DATA'!AI53)),ROUND(INDEX('1-DATA'!$1:$1048576,IF(OR($B55="STD. DEVIATION",$C$1=1),$A55,$A55+1),COLUMN('1-DATA'!AI53)),IF($B55="STD. DEVIATION",2,$F$1))))</f>
        <v/>
      </c>
      <c r="AK55" s="1" t="str">
        <f>IF(OR($B55="",AK$7=""),"",IF($B55="MEANS",INDEX('1-DATA'!$1:$1048576,$A54-1,COLUMN('1-DATA'!AJ53)),ROUND(INDEX('1-DATA'!$1:$1048576,IF(OR($B55="STD. DEVIATION",$C$1=1),$A55,$A55+1),COLUMN('1-DATA'!AJ53)),IF($B55="STD. DEVIATION",2,$F$1))))</f>
        <v/>
      </c>
      <c r="AL55" s="1" t="str">
        <f>IF(OR($B55="",AL$7=""),"",IF($B55="MEANS",INDEX('1-DATA'!$1:$1048576,$A54-1,COLUMN('1-DATA'!AK53)),ROUND(INDEX('1-DATA'!$1:$1048576,IF(OR($B55="STD. DEVIATION",$C$1=1),$A55,$A55+1),COLUMN('1-DATA'!AK53)),IF($B55="STD. DEVIATION",2,$F$1))))</f>
        <v/>
      </c>
      <c r="AM55" s="1" t="str">
        <f>IF(OR($B55="",AM$7=""),"",IF($B55="MEANS",INDEX('1-DATA'!$1:$1048576,$A54-1,COLUMN('1-DATA'!AL53)),ROUND(INDEX('1-DATA'!$1:$1048576,IF(OR($B55="STD. DEVIATION",$C$1=1),$A55,$A55+1),COLUMN('1-DATA'!AL53)),IF($B55="STD. DEVIATION",2,$F$1))))</f>
        <v/>
      </c>
      <c r="AN55" s="1" t="str">
        <f>IF(OR($B55="",AN$7=""),"",IF($B55="MEANS",INDEX('1-DATA'!$1:$1048576,$A54-1,COLUMN('1-DATA'!AM53)),ROUND(INDEX('1-DATA'!$1:$1048576,IF(OR($B55="STD. DEVIATION",$C$1=1),$A55,$A55+1),COLUMN('1-DATA'!AM53)),IF($B55="STD. DEVIATION",2,$F$1))))</f>
        <v/>
      </c>
      <c r="AO55" s="1" t="str">
        <f>IF(OR($B55="",AO$7=""),"",IF($B55="MEANS",INDEX('1-DATA'!$1:$1048576,$A54-1,COLUMN('1-DATA'!AN53)),ROUND(INDEX('1-DATA'!$1:$1048576,IF(OR($B55="STD. DEVIATION",$C$1=1),$A55,$A55+1),COLUMN('1-DATA'!AN53)),IF($B55="STD. DEVIATION",2,$F$1))))</f>
        <v/>
      </c>
      <c r="AP55" s="1" t="str">
        <f>IF(OR($B55="",AP$7=""),"",IF($B55="MEANS",INDEX('1-DATA'!$1:$1048576,$A54-1,COLUMN('1-DATA'!AO53)),ROUND(INDEX('1-DATA'!$1:$1048576,IF(OR($B55="STD. DEVIATION",$C$1=1),$A55,$A55+1),COLUMN('1-DATA'!AO53)),IF($B55="STD. DEVIATION",2,$F$1))))</f>
        <v/>
      </c>
      <c r="AQ55" s="1" t="str">
        <f>IF(OR($B55="",AQ$7=""),"",IF($B55="MEANS",INDEX('1-DATA'!$1:$1048576,$A54-1,COLUMN('1-DATA'!AP53)),ROUND(INDEX('1-DATA'!$1:$1048576,IF(OR($B55="STD. DEVIATION",$C$1=1),$A55,$A55+1),COLUMN('1-DATA'!AP53)),IF($B55="STD. DEVIATION",2,$F$1))))</f>
        <v/>
      </c>
      <c r="AR55" s="1" t="str">
        <f>IF(OR($B55="",AR$7=""),"",IF($B55="MEANS",INDEX('1-DATA'!$1:$1048576,$A54-1,COLUMN('1-DATA'!AQ53)),ROUND(INDEX('1-DATA'!$1:$1048576,IF(OR($B55="STD. DEVIATION",$C$1=1),$A55,$A55+1),COLUMN('1-DATA'!AQ53)),IF($B55="STD. DEVIATION",2,$F$1))))</f>
        <v/>
      </c>
      <c r="AS55" s="1" t="str">
        <f>IF(OR($B55="",AS$7=""),"",IF($B55="MEANS",INDEX('1-DATA'!$1:$1048576,$A54-1,COLUMN('1-DATA'!AR53)),ROUND(INDEX('1-DATA'!$1:$1048576,IF(OR($B55="STD. DEVIATION",$C$1=1),$A55,$A55+1),COLUMN('1-DATA'!AR53)),IF($B55="STD. DEVIATION",2,$F$1))))</f>
        <v/>
      </c>
      <c r="AT55" s="1" t="str">
        <f>IF(OR($B55="",AT$7=""),"",IF($B55="MEANS",INDEX('1-DATA'!$1:$1048576,$A54-1,COLUMN('1-DATA'!AS53)),ROUND(INDEX('1-DATA'!$1:$1048576,IF(OR($B55="STD. DEVIATION",$C$1=1),$A55,$A55+1),COLUMN('1-DATA'!AS53)),IF($B55="STD. DEVIATION",2,$F$1))))</f>
        <v/>
      </c>
      <c r="AU55" s="1" t="str">
        <f>IF(OR($B55="",AU$7=""),"",IF($B55="MEANS",INDEX('1-DATA'!$1:$1048576,$A54-1,COLUMN('1-DATA'!AT53)),ROUND(INDEX('1-DATA'!$1:$1048576,IF(OR($B55="STD. DEVIATION",$C$1=1),$A55,$A55+1),COLUMN('1-DATA'!AT53)),IF($B55="STD. DEVIATION",2,$F$1))))</f>
        <v/>
      </c>
      <c r="AV55" s="1" t="str">
        <f>IF(OR($B55="",AV$7=""),"",IF($B55="MEANS",INDEX('1-DATA'!$1:$1048576,$A54-1,COLUMN('1-DATA'!AU53)),ROUND(INDEX('1-DATA'!$1:$1048576,IF(OR($B55="STD. DEVIATION",$C$1=1),$A55,$A55+1),COLUMN('1-DATA'!AU53)),IF($B55="STD. DEVIATION",2,$F$1))))</f>
        <v/>
      </c>
      <c r="AW55" s="1" t="str">
        <f>IF(OR($B55="",AW$7=""),"",IF($B55="MEANS",INDEX('1-DATA'!$1:$1048576,$A54-1,COLUMN('1-DATA'!AV53)),ROUND(INDEX('1-DATA'!$1:$1048576,IF(OR($B55="STD. DEVIATION",$C$1=1),$A55,$A55+1),COLUMN('1-DATA'!AV53)),IF($B55="STD. DEVIATION",2,$F$1))))</f>
        <v/>
      </c>
      <c r="AX55" s="1" t="str">
        <f>IF(OR($B55="",AX$7=""),"",IF($B55="MEANS",INDEX('1-DATA'!$1:$1048576,$A54-1,COLUMN('1-DATA'!AW53)),ROUND(INDEX('1-DATA'!$1:$1048576,IF(OR($B55="STD. DEVIATION",$C$1=1),$A55,$A55+1),COLUMN('1-DATA'!AW53)),IF($B55="STD. DEVIATION",2,$F$1))))</f>
        <v/>
      </c>
      <c r="AY55" s="1" t="str">
        <f>IF(OR($B55="",AY$7=""),"",IF($B55="MEANS",INDEX('1-DATA'!$1:$1048576,$A54-1,COLUMN('1-DATA'!AX53)),ROUND(INDEX('1-DATA'!$1:$1048576,IF(OR($B55="STD. DEVIATION",$C$1=1),$A55,$A55+1),COLUMN('1-DATA'!AX53)),IF($B55="STD. DEVIATION",2,$F$1))))</f>
        <v/>
      </c>
      <c r="AZ55" s="1" t="str">
        <f>IF(OR($B55="",AZ$7=""),"",IF($B55="MEANS",INDEX('1-DATA'!$1:$1048576,$A54-1,COLUMN('1-DATA'!AY53)),ROUND(INDEX('1-DATA'!$1:$1048576,IF(OR($B55="STD. DEVIATION",$C$1=1),$A55,$A55+1),COLUMN('1-DATA'!AY53)),IF($B55="STD. DEVIATION",2,$F$1))))</f>
        <v/>
      </c>
    </row>
    <row r="56" spans="1:52" x14ac:dyDescent="0.25">
      <c r="A56" s="11">
        <f t="shared" si="1"/>
        <v>154</v>
      </c>
      <c r="B56" s="1" t="str">
        <f>IF(B55="STD. DEVIATION",INDEX('1-DATA'!$1:$1048576,$A55-1,1),IF(INDEX('1-DATA'!$1:$1048576,$A56,1)&lt;&gt;"",INDEX('1-DATA'!$1:$1048576,$A56,1),""))</f>
        <v/>
      </c>
      <c r="C56" s="1" t="str">
        <f>IF(OR($B56="",C$7=""),"",IF($B56="MEANS",INDEX('1-DATA'!$1:$1048576,$A55-1,COLUMN('1-DATA'!B54)),ROUND(INDEX('1-DATA'!$1:$1048576,IF(OR($B56="STD. DEVIATION",$C$1=1),$A56,$A56+1),COLUMN('1-DATA'!B54)),IF($B56="STD. DEVIATION",2,$F$1))))</f>
        <v/>
      </c>
      <c r="D56" s="1" t="str">
        <f>IF(OR($B56="",D$7=""),"",IF($B56="MEANS",INDEX('1-DATA'!$1:$1048576,$A55-1,COLUMN('1-DATA'!C54)),ROUND(INDEX('1-DATA'!$1:$1048576,IF(OR($B56="STD. DEVIATION",$C$1=1),$A56,$A56+1),COLUMN('1-DATA'!C54)),IF($B56="STD. DEVIATION",2,$F$1))))</f>
        <v/>
      </c>
      <c r="E56" s="1" t="str">
        <f>IF(OR($B56="",E$7=""),"",IF($B56="MEANS",INDEX('1-DATA'!$1:$1048576,$A55-1,COLUMN('1-DATA'!D54)),ROUND(INDEX('1-DATA'!$1:$1048576,IF(OR($B56="STD. DEVIATION",$C$1=1),$A56,$A56+1),COLUMN('1-DATA'!D54)),IF($B56="STD. DEVIATION",2,$F$1))))</f>
        <v/>
      </c>
      <c r="F56" s="1" t="str">
        <f>IF(OR($B56="",F$7=""),"",IF($B56="MEANS",INDEX('1-DATA'!$1:$1048576,$A55-1,COLUMN('1-DATA'!E54)),ROUND(INDEX('1-DATA'!$1:$1048576,IF(OR($B56="STD. DEVIATION",$C$1=1),$A56,$A56+1),COLUMN('1-DATA'!E54)),IF($B56="STD. DEVIATION",2,$F$1))))</f>
        <v/>
      </c>
      <c r="G56" s="1" t="str">
        <f>IF(OR($B56="",G$7=""),"",IF($B56="MEANS",INDEX('1-DATA'!$1:$1048576,$A55-1,COLUMN('1-DATA'!F54)),ROUND(INDEX('1-DATA'!$1:$1048576,IF(OR($B56="STD. DEVIATION",$C$1=1),$A56,$A56+1),COLUMN('1-DATA'!F54)),IF($B56="STD. DEVIATION",2,$F$1))))</f>
        <v/>
      </c>
      <c r="H56" s="1" t="str">
        <f>IF(OR($B56="",H$7=""),"",IF($B56="MEANS",INDEX('1-DATA'!$1:$1048576,$A55-1,COLUMN('1-DATA'!G54)),ROUND(INDEX('1-DATA'!$1:$1048576,IF(OR($B56="STD. DEVIATION",$C$1=1),$A56,$A56+1),COLUMN('1-DATA'!G54)),IF($B56="STD. DEVIATION",2,$F$1))))</f>
        <v/>
      </c>
      <c r="I56" s="1" t="str">
        <f>IF(OR($B56="",I$7=""),"",IF($B56="MEANS",INDEX('1-DATA'!$1:$1048576,$A55-1,COLUMN('1-DATA'!H54)),ROUND(INDEX('1-DATA'!$1:$1048576,IF(OR($B56="STD. DEVIATION",$C$1=1),$A56,$A56+1),COLUMN('1-DATA'!H54)),IF($B56="STD. DEVIATION",2,$F$1))))</f>
        <v/>
      </c>
      <c r="J56" s="1" t="str">
        <f>IF(OR($B56="",J$7=""),"",IF($B56="MEANS",INDEX('1-DATA'!$1:$1048576,$A55-1,COLUMN('1-DATA'!I54)),ROUND(INDEX('1-DATA'!$1:$1048576,IF(OR($B56="STD. DEVIATION",$C$1=1),$A56,$A56+1),COLUMN('1-DATA'!I54)),IF($B56="STD. DEVIATION",2,$F$1))))</f>
        <v/>
      </c>
      <c r="K56" s="1" t="str">
        <f>IF(OR($B56="",K$7=""),"",IF($B56="MEANS",INDEX('1-DATA'!$1:$1048576,$A55-1,COLUMN('1-DATA'!J54)),ROUND(INDEX('1-DATA'!$1:$1048576,IF(OR($B56="STD. DEVIATION",$C$1=1),$A56,$A56+1),COLUMN('1-DATA'!J54)),IF($B56="STD. DEVIATION",2,$F$1))))</f>
        <v/>
      </c>
      <c r="L56" s="1" t="str">
        <f>IF(OR($B56="",L$7=""),"",IF($B56="MEANS",INDEX('1-DATA'!$1:$1048576,$A55-1,COLUMN('1-DATA'!K54)),ROUND(INDEX('1-DATA'!$1:$1048576,IF(OR($B56="STD. DEVIATION",$C$1=1),$A56,$A56+1),COLUMN('1-DATA'!K54)),IF($B56="STD. DEVIATION",2,$F$1))))</f>
        <v/>
      </c>
      <c r="M56" s="1" t="str">
        <f>IF(OR($B56="",M$7=""),"",IF($B56="MEANS",INDEX('1-DATA'!$1:$1048576,$A55-1,COLUMN('1-DATA'!L54)),ROUND(INDEX('1-DATA'!$1:$1048576,IF(OR($B56="STD. DEVIATION",$C$1=1),$A56,$A56+1),COLUMN('1-DATA'!L54)),IF($B56="STD. DEVIATION",2,$F$1))))</f>
        <v/>
      </c>
      <c r="N56" s="1" t="str">
        <f>IF(OR($B56="",N$7=""),"",IF($B56="MEANS",INDEX('1-DATA'!$1:$1048576,$A55-1,COLUMN('1-DATA'!M54)),ROUND(INDEX('1-DATA'!$1:$1048576,IF(OR($B56="STD. DEVIATION",$C$1=1),$A56,$A56+1),COLUMN('1-DATA'!M54)),IF($B56="STD. DEVIATION",2,$F$1))))</f>
        <v/>
      </c>
      <c r="O56" s="1" t="str">
        <f>IF(OR($B56="",O$7=""),"",IF($B56="MEANS",INDEX('1-DATA'!$1:$1048576,$A55-1,COLUMN('1-DATA'!N54)),ROUND(INDEX('1-DATA'!$1:$1048576,IF(OR($B56="STD. DEVIATION",$C$1=1),$A56,$A56+1),COLUMN('1-DATA'!N54)),IF($B56="STD. DEVIATION",2,$F$1))))</f>
        <v/>
      </c>
      <c r="P56" s="1" t="str">
        <f>IF(OR($B56="",P$7=""),"",IF($B56="MEANS",INDEX('1-DATA'!$1:$1048576,$A55-1,COLUMN('1-DATA'!O54)),ROUND(INDEX('1-DATA'!$1:$1048576,IF(OR($B56="STD. DEVIATION",$C$1=1),$A56,$A56+1),COLUMN('1-DATA'!O54)),IF($B56="STD. DEVIATION",2,$F$1))))</f>
        <v/>
      </c>
      <c r="Q56" s="1" t="str">
        <f>IF(OR($B56="",Q$7=""),"",IF($B56="MEANS",INDEX('1-DATA'!$1:$1048576,$A55-1,COLUMN('1-DATA'!P54)),ROUND(INDEX('1-DATA'!$1:$1048576,IF(OR($B56="STD. DEVIATION",$C$1=1),$A56,$A56+1),COLUMN('1-DATA'!P54)),IF($B56="STD. DEVIATION",2,$F$1))))</f>
        <v/>
      </c>
      <c r="R56" s="1" t="str">
        <f>IF(OR($B56="",R$7=""),"",IF($B56="MEANS",INDEX('1-DATA'!$1:$1048576,$A55-1,COLUMN('1-DATA'!Q54)),ROUND(INDEX('1-DATA'!$1:$1048576,IF(OR($B56="STD. DEVIATION",$C$1=1),$A56,$A56+1),COLUMN('1-DATA'!Q54)),IF($B56="STD. DEVIATION",2,$F$1))))</f>
        <v/>
      </c>
      <c r="S56" s="1" t="str">
        <f>IF(OR($B56="",S$7=""),"",IF($B56="MEANS",INDEX('1-DATA'!$1:$1048576,$A55-1,COLUMN('1-DATA'!R54)),ROUND(INDEX('1-DATA'!$1:$1048576,IF(OR($B56="STD. DEVIATION",$C$1=1),$A56,$A56+1),COLUMN('1-DATA'!R54)),IF($B56="STD. DEVIATION",2,$F$1))))</f>
        <v/>
      </c>
      <c r="T56" s="1" t="str">
        <f>IF(OR($B56="",T$7=""),"",IF($B56="MEANS",INDEX('1-DATA'!$1:$1048576,$A55-1,COLUMN('1-DATA'!S54)),ROUND(INDEX('1-DATA'!$1:$1048576,IF(OR($B56="STD. DEVIATION",$C$1=1),$A56,$A56+1),COLUMN('1-DATA'!S54)),IF($B56="STD. DEVIATION",2,$F$1))))</f>
        <v/>
      </c>
      <c r="U56" s="1" t="str">
        <f>IF(OR($B56="",U$7=""),"",IF($B56="MEANS",INDEX('1-DATA'!$1:$1048576,$A55-1,COLUMN('1-DATA'!T54)),ROUND(INDEX('1-DATA'!$1:$1048576,IF(OR($B56="STD. DEVIATION",$C$1=1),$A56,$A56+1),COLUMN('1-DATA'!T54)),IF($B56="STD. DEVIATION",2,$F$1))))</f>
        <v/>
      </c>
      <c r="V56" s="1" t="str">
        <f>IF(OR($B56="",V$7=""),"",IF($B56="MEANS",INDEX('1-DATA'!$1:$1048576,$A55-1,COLUMN('1-DATA'!U54)),ROUND(INDEX('1-DATA'!$1:$1048576,IF(OR($B56="STD. DEVIATION",$C$1=1),$A56,$A56+1),COLUMN('1-DATA'!U54)),IF($B56="STD. DEVIATION",2,$F$1))))</f>
        <v/>
      </c>
      <c r="W56" s="1" t="str">
        <f>IF(OR($B56="",W$7=""),"",IF($B56="MEANS",INDEX('1-DATA'!$1:$1048576,$A55-1,COLUMN('1-DATA'!V54)),ROUND(INDEX('1-DATA'!$1:$1048576,IF(OR($B56="STD. DEVIATION",$C$1=1),$A56,$A56+1),COLUMN('1-DATA'!V54)),IF($B56="STD. DEVIATION",2,$F$1))))</f>
        <v/>
      </c>
      <c r="X56" s="1" t="str">
        <f>IF(OR($B56="",X$7=""),"",IF($B56="MEANS",INDEX('1-DATA'!$1:$1048576,$A55-1,COLUMN('1-DATA'!W54)),ROUND(INDEX('1-DATA'!$1:$1048576,IF(OR($B56="STD. DEVIATION",$C$1=1),$A56,$A56+1),COLUMN('1-DATA'!W54)),IF($B56="STD. DEVIATION",2,$F$1))))</f>
        <v/>
      </c>
      <c r="Y56" s="1" t="str">
        <f>IF(OR($B56="",Y$7=""),"",IF($B56="MEANS",INDEX('1-DATA'!$1:$1048576,$A55-1,COLUMN('1-DATA'!X54)),ROUND(INDEX('1-DATA'!$1:$1048576,IF(OR($B56="STD. DEVIATION",$C$1=1),$A56,$A56+1),COLUMN('1-DATA'!X54)),IF($B56="STD. DEVIATION",2,$F$1))))</f>
        <v/>
      </c>
      <c r="Z56" s="1" t="str">
        <f>IF(OR($B56="",Z$7=""),"",IF($B56="MEANS",INDEX('1-DATA'!$1:$1048576,$A55-1,COLUMN('1-DATA'!Y54)),ROUND(INDEX('1-DATA'!$1:$1048576,IF(OR($B56="STD. DEVIATION",$C$1=1),$A56,$A56+1),COLUMN('1-DATA'!Y54)),IF($B56="STD. DEVIATION",2,$F$1))))</f>
        <v/>
      </c>
      <c r="AA56" s="1" t="str">
        <f>IF(OR($B56="",AA$7=""),"",IF($B56="MEANS",INDEX('1-DATA'!$1:$1048576,$A55-1,COLUMN('1-DATA'!Z54)),ROUND(INDEX('1-DATA'!$1:$1048576,IF(OR($B56="STD. DEVIATION",$C$1=1),$A56,$A56+1),COLUMN('1-DATA'!Z54)),IF($B56="STD. DEVIATION",2,$F$1))))</f>
        <v/>
      </c>
      <c r="AB56" s="1" t="str">
        <f>IF(OR($B56="",AB$7=""),"",IF($B56="MEANS",INDEX('1-DATA'!$1:$1048576,$A55-1,COLUMN('1-DATA'!AA54)),ROUND(INDEX('1-DATA'!$1:$1048576,IF(OR($B56="STD. DEVIATION",$C$1=1),$A56,$A56+1),COLUMN('1-DATA'!AA54)),IF($B56="STD. DEVIATION",2,$F$1))))</f>
        <v/>
      </c>
      <c r="AC56" s="1" t="str">
        <f>IF(OR($B56="",AC$7=""),"",IF($B56="MEANS",INDEX('1-DATA'!$1:$1048576,$A55-1,COLUMN('1-DATA'!AB54)),ROUND(INDEX('1-DATA'!$1:$1048576,IF(OR($B56="STD. DEVIATION",$C$1=1),$A56,$A56+1),COLUMN('1-DATA'!AB54)),IF($B56="STD. DEVIATION",2,$F$1))))</f>
        <v/>
      </c>
      <c r="AD56" s="1" t="str">
        <f>IF(OR($B56="",AD$7=""),"",IF($B56="MEANS",INDEX('1-DATA'!$1:$1048576,$A55-1,COLUMN('1-DATA'!AC54)),ROUND(INDEX('1-DATA'!$1:$1048576,IF(OR($B56="STD. DEVIATION",$C$1=1),$A56,$A56+1),COLUMN('1-DATA'!AC54)),IF($B56="STD. DEVIATION",2,$F$1))))</f>
        <v/>
      </c>
      <c r="AE56" s="1" t="str">
        <f>IF(OR($B56="",AE$7=""),"",IF($B56="MEANS",INDEX('1-DATA'!$1:$1048576,$A55-1,COLUMN('1-DATA'!AD54)),ROUND(INDEX('1-DATA'!$1:$1048576,IF(OR($B56="STD. DEVIATION",$C$1=1),$A56,$A56+1),COLUMN('1-DATA'!AD54)),IF($B56="STD. DEVIATION",2,$F$1))))</f>
        <v/>
      </c>
      <c r="AF56" s="1" t="str">
        <f>IF(OR($B56="",AF$7=""),"",IF($B56="MEANS",INDEX('1-DATA'!$1:$1048576,$A55-1,COLUMN('1-DATA'!AE54)),ROUND(INDEX('1-DATA'!$1:$1048576,IF(OR($B56="STD. DEVIATION",$C$1=1),$A56,$A56+1),COLUMN('1-DATA'!AE54)),IF($B56="STD. DEVIATION",2,$F$1))))</f>
        <v/>
      </c>
      <c r="AG56" s="1" t="str">
        <f>IF(OR($B56="",AG$7=""),"",IF($B56="MEANS",INDEX('1-DATA'!$1:$1048576,$A55-1,COLUMN('1-DATA'!AF54)),ROUND(INDEX('1-DATA'!$1:$1048576,IF(OR($B56="STD. DEVIATION",$C$1=1),$A56,$A56+1),COLUMN('1-DATA'!AF54)),IF($B56="STD. DEVIATION",2,$F$1))))</f>
        <v/>
      </c>
      <c r="AH56" s="1" t="str">
        <f>IF(OR($B56="",AH$7=""),"",IF($B56="MEANS",INDEX('1-DATA'!$1:$1048576,$A55-1,COLUMN('1-DATA'!AG54)),ROUND(INDEX('1-DATA'!$1:$1048576,IF(OR($B56="STD. DEVIATION",$C$1=1),$A56,$A56+1),COLUMN('1-DATA'!AG54)),IF($B56="STD. DEVIATION",2,$F$1))))</f>
        <v/>
      </c>
      <c r="AI56" s="1" t="str">
        <f>IF(OR($B56="",AI$7=""),"",IF($B56="MEANS",INDEX('1-DATA'!$1:$1048576,$A55-1,COLUMN('1-DATA'!AH54)),ROUND(INDEX('1-DATA'!$1:$1048576,IF(OR($B56="STD. DEVIATION",$C$1=1),$A56,$A56+1),COLUMN('1-DATA'!AH54)),IF($B56="STD. DEVIATION",2,$F$1))))</f>
        <v/>
      </c>
      <c r="AJ56" s="1" t="str">
        <f>IF(OR($B56="",AJ$7=""),"",IF($B56="MEANS",INDEX('1-DATA'!$1:$1048576,$A55-1,COLUMN('1-DATA'!AI54)),ROUND(INDEX('1-DATA'!$1:$1048576,IF(OR($B56="STD. DEVIATION",$C$1=1),$A56,$A56+1),COLUMN('1-DATA'!AI54)),IF($B56="STD. DEVIATION",2,$F$1))))</f>
        <v/>
      </c>
      <c r="AK56" s="1" t="str">
        <f>IF(OR($B56="",AK$7=""),"",IF($B56="MEANS",INDEX('1-DATA'!$1:$1048576,$A55-1,COLUMN('1-DATA'!AJ54)),ROUND(INDEX('1-DATA'!$1:$1048576,IF(OR($B56="STD. DEVIATION",$C$1=1),$A56,$A56+1),COLUMN('1-DATA'!AJ54)),IF($B56="STD. DEVIATION",2,$F$1))))</f>
        <v/>
      </c>
      <c r="AL56" s="1" t="str">
        <f>IF(OR($B56="",AL$7=""),"",IF($B56="MEANS",INDEX('1-DATA'!$1:$1048576,$A55-1,COLUMN('1-DATA'!AK54)),ROUND(INDEX('1-DATA'!$1:$1048576,IF(OR($B56="STD. DEVIATION",$C$1=1),$A56,$A56+1),COLUMN('1-DATA'!AK54)),IF($B56="STD. DEVIATION",2,$F$1))))</f>
        <v/>
      </c>
      <c r="AM56" s="1" t="str">
        <f>IF(OR($B56="",AM$7=""),"",IF($B56="MEANS",INDEX('1-DATA'!$1:$1048576,$A55-1,COLUMN('1-DATA'!AL54)),ROUND(INDEX('1-DATA'!$1:$1048576,IF(OR($B56="STD. DEVIATION",$C$1=1),$A56,$A56+1),COLUMN('1-DATA'!AL54)),IF($B56="STD. DEVIATION",2,$F$1))))</f>
        <v/>
      </c>
      <c r="AN56" s="1" t="str">
        <f>IF(OR($B56="",AN$7=""),"",IF($B56="MEANS",INDEX('1-DATA'!$1:$1048576,$A55-1,COLUMN('1-DATA'!AM54)),ROUND(INDEX('1-DATA'!$1:$1048576,IF(OR($B56="STD. DEVIATION",$C$1=1),$A56,$A56+1),COLUMN('1-DATA'!AM54)),IF($B56="STD. DEVIATION",2,$F$1))))</f>
        <v/>
      </c>
      <c r="AO56" s="1" t="str">
        <f>IF(OR($B56="",AO$7=""),"",IF($B56="MEANS",INDEX('1-DATA'!$1:$1048576,$A55-1,COLUMN('1-DATA'!AN54)),ROUND(INDEX('1-DATA'!$1:$1048576,IF(OR($B56="STD. DEVIATION",$C$1=1),$A56,$A56+1),COLUMN('1-DATA'!AN54)),IF($B56="STD. DEVIATION",2,$F$1))))</f>
        <v/>
      </c>
      <c r="AP56" s="1" t="str">
        <f>IF(OR($B56="",AP$7=""),"",IF($B56="MEANS",INDEX('1-DATA'!$1:$1048576,$A55-1,COLUMN('1-DATA'!AO54)),ROUND(INDEX('1-DATA'!$1:$1048576,IF(OR($B56="STD. DEVIATION",$C$1=1),$A56,$A56+1),COLUMN('1-DATA'!AO54)),IF($B56="STD. DEVIATION",2,$F$1))))</f>
        <v/>
      </c>
      <c r="AQ56" s="1" t="str">
        <f>IF(OR($B56="",AQ$7=""),"",IF($B56="MEANS",INDEX('1-DATA'!$1:$1048576,$A55-1,COLUMN('1-DATA'!AP54)),ROUND(INDEX('1-DATA'!$1:$1048576,IF(OR($B56="STD. DEVIATION",$C$1=1),$A56,$A56+1),COLUMN('1-DATA'!AP54)),IF($B56="STD. DEVIATION",2,$F$1))))</f>
        <v/>
      </c>
      <c r="AR56" s="1" t="str">
        <f>IF(OR($B56="",AR$7=""),"",IF($B56="MEANS",INDEX('1-DATA'!$1:$1048576,$A55-1,COLUMN('1-DATA'!AQ54)),ROUND(INDEX('1-DATA'!$1:$1048576,IF(OR($B56="STD. DEVIATION",$C$1=1),$A56,$A56+1),COLUMN('1-DATA'!AQ54)),IF($B56="STD. DEVIATION",2,$F$1))))</f>
        <v/>
      </c>
      <c r="AS56" s="1" t="str">
        <f>IF(OR($B56="",AS$7=""),"",IF($B56="MEANS",INDEX('1-DATA'!$1:$1048576,$A55-1,COLUMN('1-DATA'!AR54)),ROUND(INDEX('1-DATA'!$1:$1048576,IF(OR($B56="STD. DEVIATION",$C$1=1),$A56,$A56+1),COLUMN('1-DATA'!AR54)),IF($B56="STD. DEVIATION",2,$F$1))))</f>
        <v/>
      </c>
      <c r="AT56" s="1" t="str">
        <f>IF(OR($B56="",AT$7=""),"",IF($B56="MEANS",INDEX('1-DATA'!$1:$1048576,$A55-1,COLUMN('1-DATA'!AS54)),ROUND(INDEX('1-DATA'!$1:$1048576,IF(OR($B56="STD. DEVIATION",$C$1=1),$A56,$A56+1),COLUMN('1-DATA'!AS54)),IF($B56="STD. DEVIATION",2,$F$1))))</f>
        <v/>
      </c>
      <c r="AU56" s="1" t="str">
        <f>IF(OR($B56="",AU$7=""),"",IF($B56="MEANS",INDEX('1-DATA'!$1:$1048576,$A55-1,COLUMN('1-DATA'!AT54)),ROUND(INDEX('1-DATA'!$1:$1048576,IF(OR($B56="STD. DEVIATION",$C$1=1),$A56,$A56+1),COLUMN('1-DATA'!AT54)),IF($B56="STD. DEVIATION",2,$F$1))))</f>
        <v/>
      </c>
      <c r="AV56" s="1" t="str">
        <f>IF(OR($B56="",AV$7=""),"",IF($B56="MEANS",INDEX('1-DATA'!$1:$1048576,$A55-1,COLUMN('1-DATA'!AU54)),ROUND(INDEX('1-DATA'!$1:$1048576,IF(OR($B56="STD. DEVIATION",$C$1=1),$A56,$A56+1),COLUMN('1-DATA'!AU54)),IF($B56="STD. DEVIATION",2,$F$1))))</f>
        <v/>
      </c>
      <c r="AW56" s="1" t="str">
        <f>IF(OR($B56="",AW$7=""),"",IF($B56="MEANS",INDEX('1-DATA'!$1:$1048576,$A55-1,COLUMN('1-DATA'!AV54)),ROUND(INDEX('1-DATA'!$1:$1048576,IF(OR($B56="STD. DEVIATION",$C$1=1),$A56,$A56+1),COLUMN('1-DATA'!AV54)),IF($B56="STD. DEVIATION",2,$F$1))))</f>
        <v/>
      </c>
      <c r="AX56" s="1" t="str">
        <f>IF(OR($B56="",AX$7=""),"",IF($B56="MEANS",INDEX('1-DATA'!$1:$1048576,$A55-1,COLUMN('1-DATA'!AW54)),ROUND(INDEX('1-DATA'!$1:$1048576,IF(OR($B56="STD. DEVIATION",$C$1=1),$A56,$A56+1),COLUMN('1-DATA'!AW54)),IF($B56="STD. DEVIATION",2,$F$1))))</f>
        <v/>
      </c>
      <c r="AY56" s="1" t="str">
        <f>IF(OR($B56="",AY$7=""),"",IF($B56="MEANS",INDEX('1-DATA'!$1:$1048576,$A55-1,COLUMN('1-DATA'!AX54)),ROUND(INDEX('1-DATA'!$1:$1048576,IF(OR($B56="STD. DEVIATION",$C$1=1),$A56,$A56+1),COLUMN('1-DATA'!AX54)),IF($B56="STD. DEVIATION",2,$F$1))))</f>
        <v/>
      </c>
      <c r="AZ56" s="1" t="str">
        <f>IF(OR($B56="",AZ$7=""),"",IF($B56="MEANS",INDEX('1-DATA'!$1:$1048576,$A55-1,COLUMN('1-DATA'!AY54)),ROUND(INDEX('1-DATA'!$1:$1048576,IF(OR($B56="STD. DEVIATION",$C$1=1),$A56,$A56+1),COLUMN('1-DATA'!AY54)),IF($B56="STD. DEVIATION",2,$F$1))))</f>
        <v/>
      </c>
    </row>
    <row r="57" spans="1:52" x14ac:dyDescent="0.25">
      <c r="A57" s="11">
        <f t="shared" si="1"/>
        <v>157</v>
      </c>
      <c r="B57" s="1" t="str">
        <f>IF(B56="STD. DEVIATION",INDEX('1-DATA'!$1:$1048576,$A56-1,1),IF(INDEX('1-DATA'!$1:$1048576,$A57,1)&lt;&gt;"",INDEX('1-DATA'!$1:$1048576,$A57,1),""))</f>
        <v/>
      </c>
      <c r="C57" s="1" t="str">
        <f>IF(OR($B57="",C$7=""),"",IF($B57="MEANS",INDEX('1-DATA'!$1:$1048576,$A56-1,COLUMN('1-DATA'!B55)),ROUND(INDEX('1-DATA'!$1:$1048576,IF(OR($B57="STD. DEVIATION",$C$1=1),$A57,$A57+1),COLUMN('1-DATA'!B55)),IF($B57="STD. DEVIATION",2,$F$1))))</f>
        <v/>
      </c>
      <c r="D57" s="1" t="str">
        <f>IF(OR($B57="",D$7=""),"",IF($B57="MEANS",INDEX('1-DATA'!$1:$1048576,$A56-1,COLUMN('1-DATA'!C55)),ROUND(INDEX('1-DATA'!$1:$1048576,IF(OR($B57="STD. DEVIATION",$C$1=1),$A57,$A57+1),COLUMN('1-DATA'!C55)),IF($B57="STD. DEVIATION",2,$F$1))))</f>
        <v/>
      </c>
      <c r="E57" s="1" t="str">
        <f>IF(OR($B57="",E$7=""),"",IF($B57="MEANS",INDEX('1-DATA'!$1:$1048576,$A56-1,COLUMN('1-DATA'!D55)),ROUND(INDEX('1-DATA'!$1:$1048576,IF(OR($B57="STD. DEVIATION",$C$1=1),$A57,$A57+1),COLUMN('1-DATA'!D55)),IF($B57="STD. DEVIATION",2,$F$1))))</f>
        <v/>
      </c>
      <c r="F57" s="1" t="str">
        <f>IF(OR($B57="",F$7=""),"",IF($B57="MEANS",INDEX('1-DATA'!$1:$1048576,$A56-1,COLUMN('1-DATA'!E55)),ROUND(INDEX('1-DATA'!$1:$1048576,IF(OR($B57="STD. DEVIATION",$C$1=1),$A57,$A57+1),COLUMN('1-DATA'!E55)),IF($B57="STD. DEVIATION",2,$F$1))))</f>
        <v/>
      </c>
      <c r="G57" s="1" t="str">
        <f>IF(OR($B57="",G$7=""),"",IF($B57="MEANS",INDEX('1-DATA'!$1:$1048576,$A56-1,COLUMN('1-DATA'!F55)),ROUND(INDEX('1-DATA'!$1:$1048576,IF(OR($B57="STD. DEVIATION",$C$1=1),$A57,$A57+1),COLUMN('1-DATA'!F55)),IF($B57="STD. DEVIATION",2,$F$1))))</f>
        <v/>
      </c>
      <c r="H57" s="1" t="str">
        <f>IF(OR($B57="",H$7=""),"",IF($B57="MEANS",INDEX('1-DATA'!$1:$1048576,$A56-1,COLUMN('1-DATA'!G55)),ROUND(INDEX('1-DATA'!$1:$1048576,IF(OR($B57="STD. DEVIATION",$C$1=1),$A57,$A57+1),COLUMN('1-DATA'!G55)),IF($B57="STD. DEVIATION",2,$F$1))))</f>
        <v/>
      </c>
      <c r="I57" s="1" t="str">
        <f>IF(OR($B57="",I$7=""),"",IF($B57="MEANS",INDEX('1-DATA'!$1:$1048576,$A56-1,COLUMN('1-DATA'!H55)),ROUND(INDEX('1-DATA'!$1:$1048576,IF(OR($B57="STD. DEVIATION",$C$1=1),$A57,$A57+1),COLUMN('1-DATA'!H55)),IF($B57="STD. DEVIATION",2,$F$1))))</f>
        <v/>
      </c>
      <c r="J57" s="1" t="str">
        <f>IF(OR($B57="",J$7=""),"",IF($B57="MEANS",INDEX('1-DATA'!$1:$1048576,$A56-1,COLUMN('1-DATA'!I55)),ROUND(INDEX('1-DATA'!$1:$1048576,IF(OR($B57="STD. DEVIATION",$C$1=1),$A57,$A57+1),COLUMN('1-DATA'!I55)),IF($B57="STD. DEVIATION",2,$F$1))))</f>
        <v/>
      </c>
      <c r="K57" s="1" t="str">
        <f>IF(OR($B57="",K$7=""),"",IF($B57="MEANS",INDEX('1-DATA'!$1:$1048576,$A56-1,COLUMN('1-DATA'!J55)),ROUND(INDEX('1-DATA'!$1:$1048576,IF(OR($B57="STD. DEVIATION",$C$1=1),$A57,$A57+1),COLUMN('1-DATA'!J55)),IF($B57="STD. DEVIATION",2,$F$1))))</f>
        <v/>
      </c>
      <c r="L57" s="1" t="str">
        <f>IF(OR($B57="",L$7=""),"",IF($B57="MEANS",INDEX('1-DATA'!$1:$1048576,$A56-1,COLUMN('1-DATA'!K55)),ROUND(INDEX('1-DATA'!$1:$1048576,IF(OR($B57="STD. DEVIATION",$C$1=1),$A57,$A57+1),COLUMN('1-DATA'!K55)),IF($B57="STD. DEVIATION",2,$F$1))))</f>
        <v/>
      </c>
      <c r="M57" s="1" t="str">
        <f>IF(OR($B57="",M$7=""),"",IF($B57="MEANS",INDEX('1-DATA'!$1:$1048576,$A56-1,COLUMN('1-DATA'!L55)),ROUND(INDEX('1-DATA'!$1:$1048576,IF(OR($B57="STD. DEVIATION",$C$1=1),$A57,$A57+1),COLUMN('1-DATA'!L55)),IF($B57="STD. DEVIATION",2,$F$1))))</f>
        <v/>
      </c>
      <c r="N57" s="1" t="str">
        <f>IF(OR($B57="",N$7=""),"",IF($B57="MEANS",INDEX('1-DATA'!$1:$1048576,$A56-1,COLUMN('1-DATA'!M55)),ROUND(INDEX('1-DATA'!$1:$1048576,IF(OR($B57="STD. DEVIATION",$C$1=1),$A57,$A57+1),COLUMN('1-DATA'!M55)),IF($B57="STD. DEVIATION",2,$F$1))))</f>
        <v/>
      </c>
      <c r="O57" s="1" t="str">
        <f>IF(OR($B57="",O$7=""),"",IF($B57="MEANS",INDEX('1-DATA'!$1:$1048576,$A56-1,COLUMN('1-DATA'!N55)),ROUND(INDEX('1-DATA'!$1:$1048576,IF(OR($B57="STD. DEVIATION",$C$1=1),$A57,$A57+1),COLUMN('1-DATA'!N55)),IF($B57="STD. DEVIATION",2,$F$1))))</f>
        <v/>
      </c>
      <c r="P57" s="1" t="str">
        <f>IF(OR($B57="",P$7=""),"",IF($B57="MEANS",INDEX('1-DATA'!$1:$1048576,$A56-1,COLUMN('1-DATA'!O55)),ROUND(INDEX('1-DATA'!$1:$1048576,IF(OR($B57="STD. DEVIATION",$C$1=1),$A57,$A57+1),COLUMN('1-DATA'!O55)),IF($B57="STD. DEVIATION",2,$F$1))))</f>
        <v/>
      </c>
      <c r="Q57" s="1" t="str">
        <f>IF(OR($B57="",Q$7=""),"",IF($B57="MEANS",INDEX('1-DATA'!$1:$1048576,$A56-1,COLUMN('1-DATA'!P55)),ROUND(INDEX('1-DATA'!$1:$1048576,IF(OR($B57="STD. DEVIATION",$C$1=1),$A57,$A57+1),COLUMN('1-DATA'!P55)),IF($B57="STD. DEVIATION",2,$F$1))))</f>
        <v/>
      </c>
      <c r="R57" s="1" t="str">
        <f>IF(OR($B57="",R$7=""),"",IF($B57="MEANS",INDEX('1-DATA'!$1:$1048576,$A56-1,COLUMN('1-DATA'!Q55)),ROUND(INDEX('1-DATA'!$1:$1048576,IF(OR($B57="STD. DEVIATION",$C$1=1),$A57,$A57+1),COLUMN('1-DATA'!Q55)),IF($B57="STD. DEVIATION",2,$F$1))))</f>
        <v/>
      </c>
      <c r="S57" s="1" t="str">
        <f>IF(OR($B57="",S$7=""),"",IF($B57="MEANS",INDEX('1-DATA'!$1:$1048576,$A56-1,COLUMN('1-DATA'!R55)),ROUND(INDEX('1-DATA'!$1:$1048576,IF(OR($B57="STD. DEVIATION",$C$1=1),$A57,$A57+1),COLUMN('1-DATA'!R55)),IF($B57="STD. DEVIATION",2,$F$1))))</f>
        <v/>
      </c>
      <c r="T57" s="1" t="str">
        <f>IF(OR($B57="",T$7=""),"",IF($B57="MEANS",INDEX('1-DATA'!$1:$1048576,$A56-1,COLUMN('1-DATA'!S55)),ROUND(INDEX('1-DATA'!$1:$1048576,IF(OR($B57="STD. DEVIATION",$C$1=1),$A57,$A57+1),COLUMN('1-DATA'!S55)),IF($B57="STD. DEVIATION",2,$F$1))))</f>
        <v/>
      </c>
      <c r="U57" s="1" t="str">
        <f>IF(OR($B57="",U$7=""),"",IF($B57="MEANS",INDEX('1-DATA'!$1:$1048576,$A56-1,COLUMN('1-DATA'!T55)),ROUND(INDEX('1-DATA'!$1:$1048576,IF(OR($B57="STD. DEVIATION",$C$1=1),$A57,$A57+1),COLUMN('1-DATA'!T55)),IF($B57="STD. DEVIATION",2,$F$1))))</f>
        <v/>
      </c>
      <c r="V57" s="1" t="str">
        <f>IF(OR($B57="",V$7=""),"",IF($B57="MEANS",INDEX('1-DATA'!$1:$1048576,$A56-1,COLUMN('1-DATA'!U55)),ROUND(INDEX('1-DATA'!$1:$1048576,IF(OR($B57="STD. DEVIATION",$C$1=1),$A57,$A57+1),COLUMN('1-DATA'!U55)),IF($B57="STD. DEVIATION",2,$F$1))))</f>
        <v/>
      </c>
      <c r="W57" s="1" t="str">
        <f>IF(OR($B57="",W$7=""),"",IF($B57="MEANS",INDEX('1-DATA'!$1:$1048576,$A56-1,COLUMN('1-DATA'!V55)),ROUND(INDEX('1-DATA'!$1:$1048576,IF(OR($B57="STD. DEVIATION",$C$1=1),$A57,$A57+1),COLUMN('1-DATA'!V55)),IF($B57="STD. DEVIATION",2,$F$1))))</f>
        <v/>
      </c>
      <c r="X57" s="1" t="str">
        <f>IF(OR($B57="",X$7=""),"",IF($B57="MEANS",INDEX('1-DATA'!$1:$1048576,$A56-1,COLUMN('1-DATA'!W55)),ROUND(INDEX('1-DATA'!$1:$1048576,IF(OR($B57="STD. DEVIATION",$C$1=1),$A57,$A57+1),COLUMN('1-DATA'!W55)),IF($B57="STD. DEVIATION",2,$F$1))))</f>
        <v/>
      </c>
      <c r="Y57" s="1" t="str">
        <f>IF(OR($B57="",Y$7=""),"",IF($B57="MEANS",INDEX('1-DATA'!$1:$1048576,$A56-1,COLUMN('1-DATA'!X55)),ROUND(INDEX('1-DATA'!$1:$1048576,IF(OR($B57="STD. DEVIATION",$C$1=1),$A57,$A57+1),COLUMN('1-DATA'!X55)),IF($B57="STD. DEVIATION",2,$F$1))))</f>
        <v/>
      </c>
      <c r="Z57" s="1" t="str">
        <f>IF(OR($B57="",Z$7=""),"",IF($B57="MEANS",INDEX('1-DATA'!$1:$1048576,$A56-1,COLUMN('1-DATA'!Y55)),ROUND(INDEX('1-DATA'!$1:$1048576,IF(OR($B57="STD. DEVIATION",$C$1=1),$A57,$A57+1),COLUMN('1-DATA'!Y55)),IF($B57="STD. DEVIATION",2,$F$1))))</f>
        <v/>
      </c>
      <c r="AA57" s="1" t="str">
        <f>IF(OR($B57="",AA$7=""),"",IF($B57="MEANS",INDEX('1-DATA'!$1:$1048576,$A56-1,COLUMN('1-DATA'!Z55)),ROUND(INDEX('1-DATA'!$1:$1048576,IF(OR($B57="STD. DEVIATION",$C$1=1),$A57,$A57+1),COLUMN('1-DATA'!Z55)),IF($B57="STD. DEVIATION",2,$F$1))))</f>
        <v/>
      </c>
      <c r="AB57" s="1" t="str">
        <f>IF(OR($B57="",AB$7=""),"",IF($B57="MEANS",INDEX('1-DATA'!$1:$1048576,$A56-1,COLUMN('1-DATA'!AA55)),ROUND(INDEX('1-DATA'!$1:$1048576,IF(OR($B57="STD. DEVIATION",$C$1=1),$A57,$A57+1),COLUMN('1-DATA'!AA55)),IF($B57="STD. DEVIATION",2,$F$1))))</f>
        <v/>
      </c>
      <c r="AC57" s="1" t="str">
        <f>IF(OR($B57="",AC$7=""),"",IF($B57="MEANS",INDEX('1-DATA'!$1:$1048576,$A56-1,COLUMN('1-DATA'!AB55)),ROUND(INDEX('1-DATA'!$1:$1048576,IF(OR($B57="STD. DEVIATION",$C$1=1),$A57,$A57+1),COLUMN('1-DATA'!AB55)),IF($B57="STD. DEVIATION",2,$F$1))))</f>
        <v/>
      </c>
      <c r="AD57" s="1" t="str">
        <f>IF(OR($B57="",AD$7=""),"",IF($B57="MEANS",INDEX('1-DATA'!$1:$1048576,$A56-1,COLUMN('1-DATA'!AC55)),ROUND(INDEX('1-DATA'!$1:$1048576,IF(OR($B57="STD. DEVIATION",$C$1=1),$A57,$A57+1),COLUMN('1-DATA'!AC55)),IF($B57="STD. DEVIATION",2,$F$1))))</f>
        <v/>
      </c>
      <c r="AE57" s="1" t="str">
        <f>IF(OR($B57="",AE$7=""),"",IF($B57="MEANS",INDEX('1-DATA'!$1:$1048576,$A56-1,COLUMN('1-DATA'!AD55)),ROUND(INDEX('1-DATA'!$1:$1048576,IF(OR($B57="STD. DEVIATION",$C$1=1),$A57,$A57+1),COLUMN('1-DATA'!AD55)),IF($B57="STD. DEVIATION",2,$F$1))))</f>
        <v/>
      </c>
      <c r="AF57" s="1" t="str">
        <f>IF(OR($B57="",AF$7=""),"",IF($B57="MEANS",INDEX('1-DATA'!$1:$1048576,$A56-1,COLUMN('1-DATA'!AE55)),ROUND(INDEX('1-DATA'!$1:$1048576,IF(OR($B57="STD. DEVIATION",$C$1=1),$A57,$A57+1),COLUMN('1-DATA'!AE55)),IF($B57="STD. DEVIATION",2,$F$1))))</f>
        <v/>
      </c>
      <c r="AG57" s="1" t="str">
        <f>IF(OR($B57="",AG$7=""),"",IF($B57="MEANS",INDEX('1-DATA'!$1:$1048576,$A56-1,COLUMN('1-DATA'!AF55)),ROUND(INDEX('1-DATA'!$1:$1048576,IF(OR($B57="STD. DEVIATION",$C$1=1),$A57,$A57+1),COLUMN('1-DATA'!AF55)),IF($B57="STD. DEVIATION",2,$F$1))))</f>
        <v/>
      </c>
      <c r="AH57" s="1" t="str">
        <f>IF(OR($B57="",AH$7=""),"",IF($B57="MEANS",INDEX('1-DATA'!$1:$1048576,$A56-1,COLUMN('1-DATA'!AG55)),ROUND(INDEX('1-DATA'!$1:$1048576,IF(OR($B57="STD. DEVIATION",$C$1=1),$A57,$A57+1),COLUMN('1-DATA'!AG55)),IF($B57="STD. DEVIATION",2,$F$1))))</f>
        <v/>
      </c>
      <c r="AI57" s="1" t="str">
        <f>IF(OR($B57="",AI$7=""),"",IF($B57="MEANS",INDEX('1-DATA'!$1:$1048576,$A56-1,COLUMN('1-DATA'!AH55)),ROUND(INDEX('1-DATA'!$1:$1048576,IF(OR($B57="STD. DEVIATION",$C$1=1),$A57,$A57+1),COLUMN('1-DATA'!AH55)),IF($B57="STD. DEVIATION",2,$F$1))))</f>
        <v/>
      </c>
      <c r="AJ57" s="1" t="str">
        <f>IF(OR($B57="",AJ$7=""),"",IF($B57="MEANS",INDEX('1-DATA'!$1:$1048576,$A56-1,COLUMN('1-DATA'!AI55)),ROUND(INDEX('1-DATA'!$1:$1048576,IF(OR($B57="STD. DEVIATION",$C$1=1),$A57,$A57+1),COLUMN('1-DATA'!AI55)),IF($B57="STD. DEVIATION",2,$F$1))))</f>
        <v/>
      </c>
      <c r="AK57" s="1" t="str">
        <f>IF(OR($B57="",AK$7=""),"",IF($B57="MEANS",INDEX('1-DATA'!$1:$1048576,$A56-1,COLUMN('1-DATA'!AJ55)),ROUND(INDEX('1-DATA'!$1:$1048576,IF(OR($B57="STD. DEVIATION",$C$1=1),$A57,$A57+1),COLUMN('1-DATA'!AJ55)),IF($B57="STD. DEVIATION",2,$F$1))))</f>
        <v/>
      </c>
      <c r="AL57" s="1" t="str">
        <f>IF(OR($B57="",AL$7=""),"",IF($B57="MEANS",INDEX('1-DATA'!$1:$1048576,$A56-1,COLUMN('1-DATA'!AK55)),ROUND(INDEX('1-DATA'!$1:$1048576,IF(OR($B57="STD. DEVIATION",$C$1=1),$A57,$A57+1),COLUMN('1-DATA'!AK55)),IF($B57="STD. DEVIATION",2,$F$1))))</f>
        <v/>
      </c>
      <c r="AM57" s="1" t="str">
        <f>IF(OR($B57="",AM$7=""),"",IF($B57="MEANS",INDEX('1-DATA'!$1:$1048576,$A56-1,COLUMN('1-DATA'!AL55)),ROUND(INDEX('1-DATA'!$1:$1048576,IF(OR($B57="STD. DEVIATION",$C$1=1),$A57,$A57+1),COLUMN('1-DATA'!AL55)),IF($B57="STD. DEVIATION",2,$F$1))))</f>
        <v/>
      </c>
      <c r="AN57" s="1" t="str">
        <f>IF(OR($B57="",AN$7=""),"",IF($B57="MEANS",INDEX('1-DATA'!$1:$1048576,$A56-1,COLUMN('1-DATA'!AM55)),ROUND(INDEX('1-DATA'!$1:$1048576,IF(OR($B57="STD. DEVIATION",$C$1=1),$A57,$A57+1),COLUMN('1-DATA'!AM55)),IF($B57="STD. DEVIATION",2,$F$1))))</f>
        <v/>
      </c>
      <c r="AO57" s="1" t="str">
        <f>IF(OR($B57="",AO$7=""),"",IF($B57="MEANS",INDEX('1-DATA'!$1:$1048576,$A56-1,COLUMN('1-DATA'!AN55)),ROUND(INDEX('1-DATA'!$1:$1048576,IF(OR($B57="STD. DEVIATION",$C$1=1),$A57,$A57+1),COLUMN('1-DATA'!AN55)),IF($B57="STD. DEVIATION",2,$F$1))))</f>
        <v/>
      </c>
      <c r="AP57" s="1" t="str">
        <f>IF(OR($B57="",AP$7=""),"",IF($B57="MEANS",INDEX('1-DATA'!$1:$1048576,$A56-1,COLUMN('1-DATA'!AO55)),ROUND(INDEX('1-DATA'!$1:$1048576,IF(OR($B57="STD. DEVIATION",$C$1=1),$A57,$A57+1),COLUMN('1-DATA'!AO55)),IF($B57="STD. DEVIATION",2,$F$1))))</f>
        <v/>
      </c>
      <c r="AQ57" s="1" t="str">
        <f>IF(OR($B57="",AQ$7=""),"",IF($B57="MEANS",INDEX('1-DATA'!$1:$1048576,$A56-1,COLUMN('1-DATA'!AP55)),ROUND(INDEX('1-DATA'!$1:$1048576,IF(OR($B57="STD. DEVIATION",$C$1=1),$A57,$A57+1),COLUMN('1-DATA'!AP55)),IF($B57="STD. DEVIATION",2,$F$1))))</f>
        <v/>
      </c>
      <c r="AR57" s="1" t="str">
        <f>IF(OR($B57="",AR$7=""),"",IF($B57="MEANS",INDEX('1-DATA'!$1:$1048576,$A56-1,COLUMN('1-DATA'!AQ55)),ROUND(INDEX('1-DATA'!$1:$1048576,IF(OR($B57="STD. DEVIATION",$C$1=1),$A57,$A57+1),COLUMN('1-DATA'!AQ55)),IF($B57="STD. DEVIATION",2,$F$1))))</f>
        <v/>
      </c>
      <c r="AS57" s="1" t="str">
        <f>IF(OR($B57="",AS$7=""),"",IF($B57="MEANS",INDEX('1-DATA'!$1:$1048576,$A56-1,COLUMN('1-DATA'!AR55)),ROUND(INDEX('1-DATA'!$1:$1048576,IF(OR($B57="STD. DEVIATION",$C$1=1),$A57,$A57+1),COLUMN('1-DATA'!AR55)),IF($B57="STD. DEVIATION",2,$F$1))))</f>
        <v/>
      </c>
      <c r="AT57" s="1" t="str">
        <f>IF(OR($B57="",AT$7=""),"",IF($B57="MEANS",INDEX('1-DATA'!$1:$1048576,$A56-1,COLUMN('1-DATA'!AS55)),ROUND(INDEX('1-DATA'!$1:$1048576,IF(OR($B57="STD. DEVIATION",$C$1=1),$A57,$A57+1),COLUMN('1-DATA'!AS55)),IF($B57="STD. DEVIATION",2,$F$1))))</f>
        <v/>
      </c>
      <c r="AU57" s="1" t="str">
        <f>IF(OR($B57="",AU$7=""),"",IF($B57="MEANS",INDEX('1-DATA'!$1:$1048576,$A56-1,COLUMN('1-DATA'!AT55)),ROUND(INDEX('1-DATA'!$1:$1048576,IF(OR($B57="STD. DEVIATION",$C$1=1),$A57,$A57+1),COLUMN('1-DATA'!AT55)),IF($B57="STD. DEVIATION",2,$F$1))))</f>
        <v/>
      </c>
      <c r="AV57" s="1" t="str">
        <f>IF(OR($B57="",AV$7=""),"",IF($B57="MEANS",INDEX('1-DATA'!$1:$1048576,$A56-1,COLUMN('1-DATA'!AU55)),ROUND(INDEX('1-DATA'!$1:$1048576,IF(OR($B57="STD. DEVIATION",$C$1=1),$A57,$A57+1),COLUMN('1-DATA'!AU55)),IF($B57="STD. DEVIATION",2,$F$1))))</f>
        <v/>
      </c>
      <c r="AW57" s="1" t="str">
        <f>IF(OR($B57="",AW$7=""),"",IF($B57="MEANS",INDEX('1-DATA'!$1:$1048576,$A56-1,COLUMN('1-DATA'!AV55)),ROUND(INDEX('1-DATA'!$1:$1048576,IF(OR($B57="STD. DEVIATION",$C$1=1),$A57,$A57+1),COLUMN('1-DATA'!AV55)),IF($B57="STD. DEVIATION",2,$F$1))))</f>
        <v/>
      </c>
      <c r="AX57" s="1" t="str">
        <f>IF(OR($B57="",AX$7=""),"",IF($B57="MEANS",INDEX('1-DATA'!$1:$1048576,$A56-1,COLUMN('1-DATA'!AW55)),ROUND(INDEX('1-DATA'!$1:$1048576,IF(OR($B57="STD. DEVIATION",$C$1=1),$A57,$A57+1),COLUMN('1-DATA'!AW55)),IF($B57="STD. DEVIATION",2,$F$1))))</f>
        <v/>
      </c>
      <c r="AY57" s="1" t="str">
        <f>IF(OR($B57="",AY$7=""),"",IF($B57="MEANS",INDEX('1-DATA'!$1:$1048576,$A56-1,COLUMN('1-DATA'!AX55)),ROUND(INDEX('1-DATA'!$1:$1048576,IF(OR($B57="STD. DEVIATION",$C$1=1),$A57,$A57+1),COLUMN('1-DATA'!AX55)),IF($B57="STD. DEVIATION",2,$F$1))))</f>
        <v/>
      </c>
      <c r="AZ57" s="1" t="str">
        <f>IF(OR($B57="",AZ$7=""),"",IF($B57="MEANS",INDEX('1-DATA'!$1:$1048576,$A56-1,COLUMN('1-DATA'!AY55)),ROUND(INDEX('1-DATA'!$1:$1048576,IF(OR($B57="STD. DEVIATION",$C$1=1),$A57,$A57+1),COLUMN('1-DATA'!AY55)),IF($B57="STD. DEVIATION",2,$F$1))))</f>
        <v/>
      </c>
    </row>
    <row r="58" spans="1:52" x14ac:dyDescent="0.25">
      <c r="A58" s="11">
        <f t="shared" si="1"/>
        <v>160</v>
      </c>
      <c r="B58" s="1" t="str">
        <f>IF(B57="STD. DEVIATION",INDEX('1-DATA'!$1:$1048576,$A57-1,1),IF(INDEX('1-DATA'!$1:$1048576,$A58,1)&lt;&gt;"",INDEX('1-DATA'!$1:$1048576,$A58,1),""))</f>
        <v/>
      </c>
      <c r="C58" s="1" t="str">
        <f>IF(OR($B58="",C$7=""),"",IF($B58="MEANS",INDEX('1-DATA'!$1:$1048576,$A57-1,COLUMN('1-DATA'!B56)),ROUND(INDEX('1-DATA'!$1:$1048576,IF(OR($B58="STD. DEVIATION",$C$1=1),$A58,$A58+1),COLUMN('1-DATA'!B56)),IF($B58="STD. DEVIATION",2,$F$1))))</f>
        <v/>
      </c>
      <c r="D58" s="1" t="str">
        <f>IF(OR($B58="",D$7=""),"",IF($B58="MEANS",INDEX('1-DATA'!$1:$1048576,$A57-1,COLUMN('1-DATA'!C56)),ROUND(INDEX('1-DATA'!$1:$1048576,IF(OR($B58="STD. DEVIATION",$C$1=1),$A58,$A58+1),COLUMN('1-DATA'!C56)),IF($B58="STD. DEVIATION",2,$F$1))))</f>
        <v/>
      </c>
      <c r="E58" s="1" t="str">
        <f>IF(OR($B58="",E$7=""),"",IF($B58="MEANS",INDEX('1-DATA'!$1:$1048576,$A57-1,COLUMN('1-DATA'!D56)),ROUND(INDEX('1-DATA'!$1:$1048576,IF(OR($B58="STD. DEVIATION",$C$1=1),$A58,$A58+1),COLUMN('1-DATA'!D56)),IF($B58="STD. DEVIATION",2,$F$1))))</f>
        <v/>
      </c>
      <c r="F58" s="1" t="str">
        <f>IF(OR($B58="",F$7=""),"",IF($B58="MEANS",INDEX('1-DATA'!$1:$1048576,$A57-1,COLUMN('1-DATA'!E56)),ROUND(INDEX('1-DATA'!$1:$1048576,IF(OR($B58="STD. DEVIATION",$C$1=1),$A58,$A58+1),COLUMN('1-DATA'!E56)),IF($B58="STD. DEVIATION",2,$F$1))))</f>
        <v/>
      </c>
      <c r="G58" s="1" t="str">
        <f>IF(OR($B58="",G$7=""),"",IF($B58="MEANS",INDEX('1-DATA'!$1:$1048576,$A57-1,COLUMN('1-DATA'!F56)),ROUND(INDEX('1-DATA'!$1:$1048576,IF(OR($B58="STD. DEVIATION",$C$1=1),$A58,$A58+1),COLUMN('1-DATA'!F56)),IF($B58="STD. DEVIATION",2,$F$1))))</f>
        <v/>
      </c>
      <c r="H58" s="1" t="str">
        <f>IF(OR($B58="",H$7=""),"",IF($B58="MEANS",INDEX('1-DATA'!$1:$1048576,$A57-1,COLUMN('1-DATA'!G56)),ROUND(INDEX('1-DATA'!$1:$1048576,IF(OR($B58="STD. DEVIATION",$C$1=1),$A58,$A58+1),COLUMN('1-DATA'!G56)),IF($B58="STD. DEVIATION",2,$F$1))))</f>
        <v/>
      </c>
      <c r="I58" s="1" t="str">
        <f>IF(OR($B58="",I$7=""),"",IF($B58="MEANS",INDEX('1-DATA'!$1:$1048576,$A57-1,COLUMN('1-DATA'!H56)),ROUND(INDEX('1-DATA'!$1:$1048576,IF(OR($B58="STD. DEVIATION",$C$1=1),$A58,$A58+1),COLUMN('1-DATA'!H56)),IF($B58="STD. DEVIATION",2,$F$1))))</f>
        <v/>
      </c>
      <c r="J58" s="1" t="str">
        <f>IF(OR($B58="",J$7=""),"",IF($B58="MEANS",INDEX('1-DATA'!$1:$1048576,$A57-1,COLUMN('1-DATA'!I56)),ROUND(INDEX('1-DATA'!$1:$1048576,IF(OR($B58="STD. DEVIATION",$C$1=1),$A58,$A58+1),COLUMN('1-DATA'!I56)),IF($B58="STD. DEVIATION",2,$F$1))))</f>
        <v/>
      </c>
      <c r="K58" s="1" t="str">
        <f>IF(OR($B58="",K$7=""),"",IF($B58="MEANS",INDEX('1-DATA'!$1:$1048576,$A57-1,COLUMN('1-DATA'!J56)),ROUND(INDEX('1-DATA'!$1:$1048576,IF(OR($B58="STD. DEVIATION",$C$1=1),$A58,$A58+1),COLUMN('1-DATA'!J56)),IF($B58="STD. DEVIATION",2,$F$1))))</f>
        <v/>
      </c>
      <c r="L58" s="1" t="str">
        <f>IF(OR($B58="",L$7=""),"",IF($B58="MEANS",INDEX('1-DATA'!$1:$1048576,$A57-1,COLUMN('1-DATA'!K56)),ROUND(INDEX('1-DATA'!$1:$1048576,IF(OR($B58="STD. DEVIATION",$C$1=1),$A58,$A58+1),COLUMN('1-DATA'!K56)),IF($B58="STD. DEVIATION",2,$F$1))))</f>
        <v/>
      </c>
      <c r="M58" s="1" t="str">
        <f>IF(OR($B58="",M$7=""),"",IF($B58="MEANS",INDEX('1-DATA'!$1:$1048576,$A57-1,COLUMN('1-DATA'!L56)),ROUND(INDEX('1-DATA'!$1:$1048576,IF(OR($B58="STD. DEVIATION",$C$1=1),$A58,$A58+1),COLUMN('1-DATA'!L56)),IF($B58="STD. DEVIATION",2,$F$1))))</f>
        <v/>
      </c>
      <c r="N58" s="1" t="str">
        <f>IF(OR($B58="",N$7=""),"",IF($B58="MEANS",INDEX('1-DATA'!$1:$1048576,$A57-1,COLUMN('1-DATA'!M56)),ROUND(INDEX('1-DATA'!$1:$1048576,IF(OR($B58="STD. DEVIATION",$C$1=1),$A58,$A58+1),COLUMN('1-DATA'!M56)),IF($B58="STD. DEVIATION",2,$F$1))))</f>
        <v/>
      </c>
      <c r="O58" s="1" t="str">
        <f>IF(OR($B58="",O$7=""),"",IF($B58="MEANS",INDEX('1-DATA'!$1:$1048576,$A57-1,COLUMN('1-DATA'!N56)),ROUND(INDEX('1-DATA'!$1:$1048576,IF(OR($B58="STD. DEVIATION",$C$1=1),$A58,$A58+1),COLUMN('1-DATA'!N56)),IF($B58="STD. DEVIATION",2,$F$1))))</f>
        <v/>
      </c>
      <c r="P58" s="1" t="str">
        <f>IF(OR($B58="",P$7=""),"",IF($B58="MEANS",INDEX('1-DATA'!$1:$1048576,$A57-1,COLUMN('1-DATA'!O56)),ROUND(INDEX('1-DATA'!$1:$1048576,IF(OR($B58="STD. DEVIATION",$C$1=1),$A58,$A58+1),COLUMN('1-DATA'!O56)),IF($B58="STD. DEVIATION",2,$F$1))))</f>
        <v/>
      </c>
      <c r="Q58" s="1" t="str">
        <f>IF(OR($B58="",Q$7=""),"",IF($B58="MEANS",INDEX('1-DATA'!$1:$1048576,$A57-1,COLUMN('1-DATA'!P56)),ROUND(INDEX('1-DATA'!$1:$1048576,IF(OR($B58="STD. DEVIATION",$C$1=1),$A58,$A58+1),COLUMN('1-DATA'!P56)),IF($B58="STD. DEVIATION",2,$F$1))))</f>
        <v/>
      </c>
      <c r="R58" s="1" t="str">
        <f>IF(OR($B58="",R$7=""),"",IF($B58="MEANS",INDEX('1-DATA'!$1:$1048576,$A57-1,COLUMN('1-DATA'!Q56)),ROUND(INDEX('1-DATA'!$1:$1048576,IF(OR($B58="STD. DEVIATION",$C$1=1),$A58,$A58+1),COLUMN('1-DATA'!Q56)),IF($B58="STD. DEVIATION",2,$F$1))))</f>
        <v/>
      </c>
      <c r="S58" s="1" t="str">
        <f>IF(OR($B58="",S$7=""),"",IF($B58="MEANS",INDEX('1-DATA'!$1:$1048576,$A57-1,COLUMN('1-DATA'!R56)),ROUND(INDEX('1-DATA'!$1:$1048576,IF(OR($B58="STD. DEVIATION",$C$1=1),$A58,$A58+1),COLUMN('1-DATA'!R56)),IF($B58="STD. DEVIATION",2,$F$1))))</f>
        <v/>
      </c>
      <c r="T58" s="1" t="str">
        <f>IF(OR($B58="",T$7=""),"",IF($B58="MEANS",INDEX('1-DATA'!$1:$1048576,$A57-1,COLUMN('1-DATA'!S56)),ROUND(INDEX('1-DATA'!$1:$1048576,IF(OR($B58="STD. DEVIATION",$C$1=1),$A58,$A58+1),COLUMN('1-DATA'!S56)),IF($B58="STD. DEVIATION",2,$F$1))))</f>
        <v/>
      </c>
      <c r="U58" s="1" t="str">
        <f>IF(OR($B58="",U$7=""),"",IF($B58="MEANS",INDEX('1-DATA'!$1:$1048576,$A57-1,COLUMN('1-DATA'!T56)),ROUND(INDEX('1-DATA'!$1:$1048576,IF(OR($B58="STD. DEVIATION",$C$1=1),$A58,$A58+1),COLUMN('1-DATA'!T56)),IF($B58="STD. DEVIATION",2,$F$1))))</f>
        <v/>
      </c>
      <c r="V58" s="1" t="str">
        <f>IF(OR($B58="",V$7=""),"",IF($B58="MEANS",INDEX('1-DATA'!$1:$1048576,$A57-1,COLUMN('1-DATA'!U56)),ROUND(INDEX('1-DATA'!$1:$1048576,IF(OR($B58="STD. DEVIATION",$C$1=1),$A58,$A58+1),COLUMN('1-DATA'!U56)),IF($B58="STD. DEVIATION",2,$F$1))))</f>
        <v/>
      </c>
      <c r="W58" s="1" t="str">
        <f>IF(OR($B58="",W$7=""),"",IF($B58="MEANS",INDEX('1-DATA'!$1:$1048576,$A57-1,COLUMN('1-DATA'!V56)),ROUND(INDEX('1-DATA'!$1:$1048576,IF(OR($B58="STD. DEVIATION",$C$1=1),$A58,$A58+1),COLUMN('1-DATA'!V56)),IF($B58="STD. DEVIATION",2,$F$1))))</f>
        <v/>
      </c>
      <c r="X58" s="1" t="str">
        <f>IF(OR($B58="",X$7=""),"",IF($B58="MEANS",INDEX('1-DATA'!$1:$1048576,$A57-1,COLUMN('1-DATA'!W56)),ROUND(INDEX('1-DATA'!$1:$1048576,IF(OR($B58="STD. DEVIATION",$C$1=1),$A58,$A58+1),COLUMN('1-DATA'!W56)),IF($B58="STD. DEVIATION",2,$F$1))))</f>
        <v/>
      </c>
      <c r="Y58" s="1" t="str">
        <f>IF(OR($B58="",Y$7=""),"",IF($B58="MEANS",INDEX('1-DATA'!$1:$1048576,$A57-1,COLUMN('1-DATA'!X56)),ROUND(INDEX('1-DATA'!$1:$1048576,IF(OR($B58="STD. DEVIATION",$C$1=1),$A58,$A58+1),COLUMN('1-DATA'!X56)),IF($B58="STD. DEVIATION",2,$F$1))))</f>
        <v/>
      </c>
      <c r="Z58" s="1" t="str">
        <f>IF(OR($B58="",Z$7=""),"",IF($B58="MEANS",INDEX('1-DATA'!$1:$1048576,$A57-1,COLUMN('1-DATA'!Y56)),ROUND(INDEX('1-DATA'!$1:$1048576,IF(OR($B58="STD. DEVIATION",$C$1=1),$A58,$A58+1),COLUMN('1-DATA'!Y56)),IF($B58="STD. DEVIATION",2,$F$1))))</f>
        <v/>
      </c>
      <c r="AA58" s="1" t="str">
        <f>IF(OR($B58="",AA$7=""),"",IF($B58="MEANS",INDEX('1-DATA'!$1:$1048576,$A57-1,COLUMN('1-DATA'!Z56)),ROUND(INDEX('1-DATA'!$1:$1048576,IF(OR($B58="STD. DEVIATION",$C$1=1),$A58,$A58+1),COLUMN('1-DATA'!Z56)),IF($B58="STD. DEVIATION",2,$F$1))))</f>
        <v/>
      </c>
      <c r="AB58" s="1" t="str">
        <f>IF(OR($B58="",AB$7=""),"",IF($B58="MEANS",INDEX('1-DATA'!$1:$1048576,$A57-1,COLUMN('1-DATA'!AA56)),ROUND(INDEX('1-DATA'!$1:$1048576,IF(OR($B58="STD. DEVIATION",$C$1=1),$A58,$A58+1),COLUMN('1-DATA'!AA56)),IF($B58="STD. DEVIATION",2,$F$1))))</f>
        <v/>
      </c>
      <c r="AC58" s="1" t="str">
        <f>IF(OR($B58="",AC$7=""),"",IF($B58="MEANS",INDEX('1-DATA'!$1:$1048576,$A57-1,COLUMN('1-DATA'!AB56)),ROUND(INDEX('1-DATA'!$1:$1048576,IF(OR($B58="STD. DEVIATION",$C$1=1),$A58,$A58+1),COLUMN('1-DATA'!AB56)),IF($B58="STD. DEVIATION",2,$F$1))))</f>
        <v/>
      </c>
      <c r="AD58" s="1" t="str">
        <f>IF(OR($B58="",AD$7=""),"",IF($B58="MEANS",INDEX('1-DATA'!$1:$1048576,$A57-1,COLUMN('1-DATA'!AC56)),ROUND(INDEX('1-DATA'!$1:$1048576,IF(OR($B58="STD. DEVIATION",$C$1=1),$A58,$A58+1),COLUMN('1-DATA'!AC56)),IF($B58="STD. DEVIATION",2,$F$1))))</f>
        <v/>
      </c>
      <c r="AE58" s="1" t="str">
        <f>IF(OR($B58="",AE$7=""),"",IF($B58="MEANS",INDEX('1-DATA'!$1:$1048576,$A57-1,COLUMN('1-DATA'!AD56)),ROUND(INDEX('1-DATA'!$1:$1048576,IF(OR($B58="STD. DEVIATION",$C$1=1),$A58,$A58+1),COLUMN('1-DATA'!AD56)),IF($B58="STD. DEVIATION",2,$F$1))))</f>
        <v/>
      </c>
      <c r="AF58" s="1" t="str">
        <f>IF(OR($B58="",AF$7=""),"",IF($B58="MEANS",INDEX('1-DATA'!$1:$1048576,$A57-1,COLUMN('1-DATA'!AE56)),ROUND(INDEX('1-DATA'!$1:$1048576,IF(OR($B58="STD. DEVIATION",$C$1=1),$A58,$A58+1),COLUMN('1-DATA'!AE56)),IF($B58="STD. DEVIATION",2,$F$1))))</f>
        <v/>
      </c>
      <c r="AG58" s="1" t="str">
        <f>IF(OR($B58="",AG$7=""),"",IF($B58="MEANS",INDEX('1-DATA'!$1:$1048576,$A57-1,COLUMN('1-DATA'!AF56)),ROUND(INDEX('1-DATA'!$1:$1048576,IF(OR($B58="STD. DEVIATION",$C$1=1),$A58,$A58+1),COLUMN('1-DATA'!AF56)),IF($B58="STD. DEVIATION",2,$F$1))))</f>
        <v/>
      </c>
      <c r="AH58" s="1" t="str">
        <f>IF(OR($B58="",AH$7=""),"",IF($B58="MEANS",INDEX('1-DATA'!$1:$1048576,$A57-1,COLUMN('1-DATA'!AG56)),ROUND(INDEX('1-DATA'!$1:$1048576,IF(OR($B58="STD. DEVIATION",$C$1=1),$A58,$A58+1),COLUMN('1-DATA'!AG56)),IF($B58="STD. DEVIATION",2,$F$1))))</f>
        <v/>
      </c>
      <c r="AI58" s="1" t="str">
        <f>IF(OR($B58="",AI$7=""),"",IF($B58="MEANS",INDEX('1-DATA'!$1:$1048576,$A57-1,COLUMN('1-DATA'!AH56)),ROUND(INDEX('1-DATA'!$1:$1048576,IF(OR($B58="STD. DEVIATION",$C$1=1),$A58,$A58+1),COLUMN('1-DATA'!AH56)),IF($B58="STD. DEVIATION",2,$F$1))))</f>
        <v/>
      </c>
      <c r="AJ58" s="1" t="str">
        <f>IF(OR($B58="",AJ$7=""),"",IF($B58="MEANS",INDEX('1-DATA'!$1:$1048576,$A57-1,COLUMN('1-DATA'!AI56)),ROUND(INDEX('1-DATA'!$1:$1048576,IF(OR($B58="STD. DEVIATION",$C$1=1),$A58,$A58+1),COLUMN('1-DATA'!AI56)),IF($B58="STD. DEVIATION",2,$F$1))))</f>
        <v/>
      </c>
      <c r="AK58" s="1" t="str">
        <f>IF(OR($B58="",AK$7=""),"",IF($B58="MEANS",INDEX('1-DATA'!$1:$1048576,$A57-1,COLUMN('1-DATA'!AJ56)),ROUND(INDEX('1-DATA'!$1:$1048576,IF(OR($B58="STD. DEVIATION",$C$1=1),$A58,$A58+1),COLUMN('1-DATA'!AJ56)),IF($B58="STD. DEVIATION",2,$F$1))))</f>
        <v/>
      </c>
      <c r="AL58" s="1" t="str">
        <f>IF(OR($B58="",AL$7=""),"",IF($B58="MEANS",INDEX('1-DATA'!$1:$1048576,$A57-1,COLUMN('1-DATA'!AK56)),ROUND(INDEX('1-DATA'!$1:$1048576,IF(OR($B58="STD. DEVIATION",$C$1=1),$A58,$A58+1),COLUMN('1-DATA'!AK56)),IF($B58="STD. DEVIATION",2,$F$1))))</f>
        <v/>
      </c>
      <c r="AM58" s="1" t="str">
        <f>IF(OR($B58="",AM$7=""),"",IF($B58="MEANS",INDEX('1-DATA'!$1:$1048576,$A57-1,COLUMN('1-DATA'!AL56)),ROUND(INDEX('1-DATA'!$1:$1048576,IF(OR($B58="STD. DEVIATION",$C$1=1),$A58,$A58+1),COLUMN('1-DATA'!AL56)),IF($B58="STD. DEVIATION",2,$F$1))))</f>
        <v/>
      </c>
      <c r="AN58" s="1" t="str">
        <f>IF(OR($B58="",AN$7=""),"",IF($B58="MEANS",INDEX('1-DATA'!$1:$1048576,$A57-1,COLUMN('1-DATA'!AM56)),ROUND(INDEX('1-DATA'!$1:$1048576,IF(OR($B58="STD. DEVIATION",$C$1=1),$A58,$A58+1),COLUMN('1-DATA'!AM56)),IF($B58="STD. DEVIATION",2,$F$1))))</f>
        <v/>
      </c>
      <c r="AO58" s="1" t="str">
        <f>IF(OR($B58="",AO$7=""),"",IF($B58="MEANS",INDEX('1-DATA'!$1:$1048576,$A57-1,COLUMN('1-DATA'!AN56)),ROUND(INDEX('1-DATA'!$1:$1048576,IF(OR($B58="STD. DEVIATION",$C$1=1),$A58,$A58+1),COLUMN('1-DATA'!AN56)),IF($B58="STD. DEVIATION",2,$F$1))))</f>
        <v/>
      </c>
      <c r="AP58" s="1" t="str">
        <f>IF(OR($B58="",AP$7=""),"",IF($B58="MEANS",INDEX('1-DATA'!$1:$1048576,$A57-1,COLUMN('1-DATA'!AO56)),ROUND(INDEX('1-DATA'!$1:$1048576,IF(OR($B58="STD. DEVIATION",$C$1=1),$A58,$A58+1),COLUMN('1-DATA'!AO56)),IF($B58="STD. DEVIATION",2,$F$1))))</f>
        <v/>
      </c>
      <c r="AQ58" s="1" t="str">
        <f>IF(OR($B58="",AQ$7=""),"",IF($B58="MEANS",INDEX('1-DATA'!$1:$1048576,$A57-1,COLUMN('1-DATA'!AP56)),ROUND(INDEX('1-DATA'!$1:$1048576,IF(OR($B58="STD. DEVIATION",$C$1=1),$A58,$A58+1),COLUMN('1-DATA'!AP56)),IF($B58="STD. DEVIATION",2,$F$1))))</f>
        <v/>
      </c>
      <c r="AR58" s="1" t="str">
        <f>IF(OR($B58="",AR$7=""),"",IF($B58="MEANS",INDEX('1-DATA'!$1:$1048576,$A57-1,COLUMN('1-DATA'!AQ56)),ROUND(INDEX('1-DATA'!$1:$1048576,IF(OR($B58="STD. DEVIATION",$C$1=1),$A58,$A58+1),COLUMN('1-DATA'!AQ56)),IF($B58="STD. DEVIATION",2,$F$1))))</f>
        <v/>
      </c>
      <c r="AS58" s="1" t="str">
        <f>IF(OR($B58="",AS$7=""),"",IF($B58="MEANS",INDEX('1-DATA'!$1:$1048576,$A57-1,COLUMN('1-DATA'!AR56)),ROUND(INDEX('1-DATA'!$1:$1048576,IF(OR($B58="STD. DEVIATION",$C$1=1),$A58,$A58+1),COLUMN('1-DATA'!AR56)),IF($B58="STD. DEVIATION",2,$F$1))))</f>
        <v/>
      </c>
      <c r="AT58" s="1" t="str">
        <f>IF(OR($B58="",AT$7=""),"",IF($B58="MEANS",INDEX('1-DATA'!$1:$1048576,$A57-1,COLUMN('1-DATA'!AS56)),ROUND(INDEX('1-DATA'!$1:$1048576,IF(OR($B58="STD. DEVIATION",$C$1=1),$A58,$A58+1),COLUMN('1-DATA'!AS56)),IF($B58="STD. DEVIATION",2,$F$1))))</f>
        <v/>
      </c>
      <c r="AU58" s="1" t="str">
        <f>IF(OR($B58="",AU$7=""),"",IF($B58="MEANS",INDEX('1-DATA'!$1:$1048576,$A57-1,COLUMN('1-DATA'!AT56)),ROUND(INDEX('1-DATA'!$1:$1048576,IF(OR($B58="STD. DEVIATION",$C$1=1),$A58,$A58+1),COLUMN('1-DATA'!AT56)),IF($B58="STD. DEVIATION",2,$F$1))))</f>
        <v/>
      </c>
      <c r="AV58" s="1" t="str">
        <f>IF(OR($B58="",AV$7=""),"",IF($B58="MEANS",INDEX('1-DATA'!$1:$1048576,$A57-1,COLUMN('1-DATA'!AU56)),ROUND(INDEX('1-DATA'!$1:$1048576,IF(OR($B58="STD. DEVIATION",$C$1=1),$A58,$A58+1),COLUMN('1-DATA'!AU56)),IF($B58="STD. DEVIATION",2,$F$1))))</f>
        <v/>
      </c>
      <c r="AW58" s="1" t="str">
        <f>IF(OR($B58="",AW$7=""),"",IF($B58="MEANS",INDEX('1-DATA'!$1:$1048576,$A57-1,COLUMN('1-DATA'!AV56)),ROUND(INDEX('1-DATA'!$1:$1048576,IF(OR($B58="STD. DEVIATION",$C$1=1),$A58,$A58+1),COLUMN('1-DATA'!AV56)),IF($B58="STD. DEVIATION",2,$F$1))))</f>
        <v/>
      </c>
      <c r="AX58" s="1" t="str">
        <f>IF(OR($B58="",AX$7=""),"",IF($B58="MEANS",INDEX('1-DATA'!$1:$1048576,$A57-1,COLUMN('1-DATA'!AW56)),ROUND(INDEX('1-DATA'!$1:$1048576,IF(OR($B58="STD. DEVIATION",$C$1=1),$A58,$A58+1),COLUMN('1-DATA'!AW56)),IF($B58="STD. DEVIATION",2,$F$1))))</f>
        <v/>
      </c>
      <c r="AY58" s="1" t="str">
        <f>IF(OR($B58="",AY$7=""),"",IF($B58="MEANS",INDEX('1-DATA'!$1:$1048576,$A57-1,COLUMN('1-DATA'!AX56)),ROUND(INDEX('1-DATA'!$1:$1048576,IF(OR($B58="STD. DEVIATION",$C$1=1),$A58,$A58+1),COLUMN('1-DATA'!AX56)),IF($B58="STD. DEVIATION",2,$F$1))))</f>
        <v/>
      </c>
      <c r="AZ58" s="1" t="str">
        <f>IF(OR($B58="",AZ$7=""),"",IF($B58="MEANS",INDEX('1-DATA'!$1:$1048576,$A57-1,COLUMN('1-DATA'!AY56)),ROUND(INDEX('1-DATA'!$1:$1048576,IF(OR($B58="STD. DEVIATION",$C$1=1),$A58,$A58+1),COLUMN('1-DATA'!AY56)),IF($B58="STD. DEVIATION",2,$F$1))))</f>
        <v/>
      </c>
    </row>
    <row r="59" spans="1:52" x14ac:dyDescent="0.25">
      <c r="A59" s="11">
        <f t="shared" si="1"/>
        <v>163</v>
      </c>
      <c r="B59" s="1" t="str">
        <f>IF(B58="STD. DEVIATION",INDEX('1-DATA'!$1:$1048576,$A58-1,1),IF(INDEX('1-DATA'!$1:$1048576,$A59,1)&lt;&gt;"",INDEX('1-DATA'!$1:$1048576,$A59,1),""))</f>
        <v/>
      </c>
      <c r="C59" s="1" t="str">
        <f>IF(OR($B59="",C$7=""),"",IF($B59="MEANS",INDEX('1-DATA'!$1:$1048576,$A58-1,COLUMN('1-DATA'!B57)),ROUND(INDEX('1-DATA'!$1:$1048576,IF(OR($B59="STD. DEVIATION",$C$1=1),$A59,$A59+1),COLUMN('1-DATA'!B57)),IF($B59="STD. DEVIATION",2,$F$1))))</f>
        <v/>
      </c>
      <c r="D59" s="1" t="str">
        <f>IF(OR($B59="",D$7=""),"",IF($B59="MEANS",INDEX('1-DATA'!$1:$1048576,$A58-1,COLUMN('1-DATA'!C57)),ROUND(INDEX('1-DATA'!$1:$1048576,IF(OR($B59="STD. DEVIATION",$C$1=1),$A59,$A59+1),COLUMN('1-DATA'!C57)),IF($B59="STD. DEVIATION",2,$F$1))))</f>
        <v/>
      </c>
      <c r="E59" s="1" t="str">
        <f>IF(OR($B59="",E$7=""),"",IF($B59="MEANS",INDEX('1-DATA'!$1:$1048576,$A58-1,COLUMN('1-DATA'!D57)),ROUND(INDEX('1-DATA'!$1:$1048576,IF(OR($B59="STD. DEVIATION",$C$1=1),$A59,$A59+1),COLUMN('1-DATA'!D57)),IF($B59="STD. DEVIATION",2,$F$1))))</f>
        <v/>
      </c>
      <c r="F59" s="1" t="str">
        <f>IF(OR($B59="",F$7=""),"",IF($B59="MEANS",INDEX('1-DATA'!$1:$1048576,$A58-1,COLUMN('1-DATA'!E57)),ROUND(INDEX('1-DATA'!$1:$1048576,IF(OR($B59="STD. DEVIATION",$C$1=1),$A59,$A59+1),COLUMN('1-DATA'!E57)),IF($B59="STD. DEVIATION",2,$F$1))))</f>
        <v/>
      </c>
      <c r="G59" s="1" t="str">
        <f>IF(OR($B59="",G$7=""),"",IF($B59="MEANS",INDEX('1-DATA'!$1:$1048576,$A58-1,COLUMN('1-DATA'!F57)),ROUND(INDEX('1-DATA'!$1:$1048576,IF(OR($B59="STD. DEVIATION",$C$1=1),$A59,$A59+1),COLUMN('1-DATA'!F57)),IF($B59="STD. DEVIATION",2,$F$1))))</f>
        <v/>
      </c>
      <c r="H59" s="1" t="str">
        <f>IF(OR($B59="",H$7=""),"",IF($B59="MEANS",INDEX('1-DATA'!$1:$1048576,$A58-1,COLUMN('1-DATA'!G57)),ROUND(INDEX('1-DATA'!$1:$1048576,IF(OR($B59="STD. DEVIATION",$C$1=1),$A59,$A59+1),COLUMN('1-DATA'!G57)),IF($B59="STD. DEVIATION",2,$F$1))))</f>
        <v/>
      </c>
      <c r="I59" s="1" t="str">
        <f>IF(OR($B59="",I$7=""),"",IF($B59="MEANS",INDEX('1-DATA'!$1:$1048576,$A58-1,COLUMN('1-DATA'!H57)),ROUND(INDEX('1-DATA'!$1:$1048576,IF(OR($B59="STD. DEVIATION",$C$1=1),$A59,$A59+1),COLUMN('1-DATA'!H57)),IF($B59="STD. DEVIATION",2,$F$1))))</f>
        <v/>
      </c>
      <c r="J59" s="1" t="str">
        <f>IF(OR($B59="",J$7=""),"",IF($B59="MEANS",INDEX('1-DATA'!$1:$1048576,$A58-1,COLUMN('1-DATA'!I57)),ROUND(INDEX('1-DATA'!$1:$1048576,IF(OR($B59="STD. DEVIATION",$C$1=1),$A59,$A59+1),COLUMN('1-DATA'!I57)),IF($B59="STD. DEVIATION",2,$F$1))))</f>
        <v/>
      </c>
      <c r="K59" s="1" t="str">
        <f>IF(OR($B59="",K$7=""),"",IF($B59="MEANS",INDEX('1-DATA'!$1:$1048576,$A58-1,COLUMN('1-DATA'!J57)),ROUND(INDEX('1-DATA'!$1:$1048576,IF(OR($B59="STD. DEVIATION",$C$1=1),$A59,$A59+1),COLUMN('1-DATA'!J57)),IF($B59="STD. DEVIATION",2,$F$1))))</f>
        <v/>
      </c>
      <c r="L59" s="1" t="str">
        <f>IF(OR($B59="",L$7=""),"",IF($B59="MEANS",INDEX('1-DATA'!$1:$1048576,$A58-1,COLUMN('1-DATA'!K57)),ROUND(INDEX('1-DATA'!$1:$1048576,IF(OR($B59="STD. DEVIATION",$C$1=1),$A59,$A59+1),COLUMN('1-DATA'!K57)),IF($B59="STD. DEVIATION",2,$F$1))))</f>
        <v/>
      </c>
      <c r="M59" s="1" t="str">
        <f>IF(OR($B59="",M$7=""),"",IF($B59="MEANS",INDEX('1-DATA'!$1:$1048576,$A58-1,COLUMN('1-DATA'!L57)),ROUND(INDEX('1-DATA'!$1:$1048576,IF(OR($B59="STD. DEVIATION",$C$1=1),$A59,$A59+1),COLUMN('1-DATA'!L57)),IF($B59="STD. DEVIATION",2,$F$1))))</f>
        <v/>
      </c>
      <c r="N59" s="1" t="str">
        <f>IF(OR($B59="",N$7=""),"",IF($B59="MEANS",INDEX('1-DATA'!$1:$1048576,$A58-1,COLUMN('1-DATA'!M57)),ROUND(INDEX('1-DATA'!$1:$1048576,IF(OR($B59="STD. DEVIATION",$C$1=1),$A59,$A59+1),COLUMN('1-DATA'!M57)),IF($B59="STD. DEVIATION",2,$F$1))))</f>
        <v/>
      </c>
      <c r="O59" s="1" t="str">
        <f>IF(OR($B59="",O$7=""),"",IF($B59="MEANS",INDEX('1-DATA'!$1:$1048576,$A58-1,COLUMN('1-DATA'!N57)),ROUND(INDEX('1-DATA'!$1:$1048576,IF(OR($B59="STD. DEVIATION",$C$1=1),$A59,$A59+1),COLUMN('1-DATA'!N57)),IF($B59="STD. DEVIATION",2,$F$1))))</f>
        <v/>
      </c>
      <c r="P59" s="1" t="str">
        <f>IF(OR($B59="",P$7=""),"",IF($B59="MEANS",INDEX('1-DATA'!$1:$1048576,$A58-1,COLUMN('1-DATA'!O57)),ROUND(INDEX('1-DATA'!$1:$1048576,IF(OR($B59="STD. DEVIATION",$C$1=1),$A59,$A59+1),COLUMN('1-DATA'!O57)),IF($B59="STD. DEVIATION",2,$F$1))))</f>
        <v/>
      </c>
      <c r="Q59" s="1" t="str">
        <f>IF(OR($B59="",Q$7=""),"",IF($B59="MEANS",INDEX('1-DATA'!$1:$1048576,$A58-1,COLUMN('1-DATA'!P57)),ROUND(INDEX('1-DATA'!$1:$1048576,IF(OR($B59="STD. DEVIATION",$C$1=1),$A59,$A59+1),COLUMN('1-DATA'!P57)),IF($B59="STD. DEVIATION",2,$F$1))))</f>
        <v/>
      </c>
      <c r="R59" s="1" t="str">
        <f>IF(OR($B59="",R$7=""),"",IF($B59="MEANS",INDEX('1-DATA'!$1:$1048576,$A58-1,COLUMN('1-DATA'!Q57)),ROUND(INDEX('1-DATA'!$1:$1048576,IF(OR($B59="STD. DEVIATION",$C$1=1),$A59,$A59+1),COLUMN('1-DATA'!Q57)),IF($B59="STD. DEVIATION",2,$F$1))))</f>
        <v/>
      </c>
      <c r="S59" s="1" t="str">
        <f>IF(OR($B59="",S$7=""),"",IF($B59="MEANS",INDEX('1-DATA'!$1:$1048576,$A58-1,COLUMN('1-DATA'!R57)),ROUND(INDEX('1-DATA'!$1:$1048576,IF(OR($B59="STD. DEVIATION",$C$1=1),$A59,$A59+1),COLUMN('1-DATA'!R57)),IF($B59="STD. DEVIATION",2,$F$1))))</f>
        <v/>
      </c>
      <c r="T59" s="1" t="str">
        <f>IF(OR($B59="",T$7=""),"",IF($B59="MEANS",INDEX('1-DATA'!$1:$1048576,$A58-1,COLUMN('1-DATA'!S57)),ROUND(INDEX('1-DATA'!$1:$1048576,IF(OR($B59="STD. DEVIATION",$C$1=1),$A59,$A59+1),COLUMN('1-DATA'!S57)),IF($B59="STD. DEVIATION",2,$F$1))))</f>
        <v/>
      </c>
      <c r="U59" s="1" t="str">
        <f>IF(OR($B59="",U$7=""),"",IF($B59="MEANS",INDEX('1-DATA'!$1:$1048576,$A58-1,COLUMN('1-DATA'!T57)),ROUND(INDEX('1-DATA'!$1:$1048576,IF(OR($B59="STD. DEVIATION",$C$1=1),$A59,$A59+1),COLUMN('1-DATA'!T57)),IF($B59="STD. DEVIATION",2,$F$1))))</f>
        <v/>
      </c>
      <c r="V59" s="1" t="str">
        <f>IF(OR($B59="",V$7=""),"",IF($B59="MEANS",INDEX('1-DATA'!$1:$1048576,$A58-1,COLUMN('1-DATA'!U57)),ROUND(INDEX('1-DATA'!$1:$1048576,IF(OR($B59="STD. DEVIATION",$C$1=1),$A59,$A59+1),COLUMN('1-DATA'!U57)),IF($B59="STD. DEVIATION",2,$F$1))))</f>
        <v/>
      </c>
      <c r="W59" s="1" t="str">
        <f>IF(OR($B59="",W$7=""),"",IF($B59="MEANS",INDEX('1-DATA'!$1:$1048576,$A58-1,COLUMN('1-DATA'!V57)),ROUND(INDEX('1-DATA'!$1:$1048576,IF(OR($B59="STD. DEVIATION",$C$1=1),$A59,$A59+1),COLUMN('1-DATA'!V57)),IF($B59="STD. DEVIATION",2,$F$1))))</f>
        <v/>
      </c>
      <c r="X59" s="1" t="str">
        <f>IF(OR($B59="",X$7=""),"",IF($B59="MEANS",INDEX('1-DATA'!$1:$1048576,$A58-1,COLUMN('1-DATA'!W57)),ROUND(INDEX('1-DATA'!$1:$1048576,IF(OR($B59="STD. DEVIATION",$C$1=1),$A59,$A59+1),COLUMN('1-DATA'!W57)),IF($B59="STD. DEVIATION",2,$F$1))))</f>
        <v/>
      </c>
      <c r="Y59" s="1" t="str">
        <f>IF(OR($B59="",Y$7=""),"",IF($B59="MEANS",INDEX('1-DATA'!$1:$1048576,$A58-1,COLUMN('1-DATA'!X57)),ROUND(INDEX('1-DATA'!$1:$1048576,IF(OR($B59="STD. DEVIATION",$C$1=1),$A59,$A59+1),COLUMN('1-DATA'!X57)),IF($B59="STD. DEVIATION",2,$F$1))))</f>
        <v/>
      </c>
      <c r="Z59" s="1" t="str">
        <f>IF(OR($B59="",Z$7=""),"",IF($B59="MEANS",INDEX('1-DATA'!$1:$1048576,$A58-1,COLUMN('1-DATA'!Y57)),ROUND(INDEX('1-DATA'!$1:$1048576,IF(OR($B59="STD. DEVIATION",$C$1=1),$A59,$A59+1),COLUMN('1-DATA'!Y57)),IF($B59="STD. DEVIATION",2,$F$1))))</f>
        <v/>
      </c>
      <c r="AA59" s="1" t="str">
        <f>IF(OR($B59="",AA$7=""),"",IF($B59="MEANS",INDEX('1-DATA'!$1:$1048576,$A58-1,COLUMN('1-DATA'!Z57)),ROUND(INDEX('1-DATA'!$1:$1048576,IF(OR($B59="STD. DEVIATION",$C$1=1),$A59,$A59+1),COLUMN('1-DATA'!Z57)),IF($B59="STD. DEVIATION",2,$F$1))))</f>
        <v/>
      </c>
      <c r="AB59" s="1" t="str">
        <f>IF(OR($B59="",AB$7=""),"",IF($B59="MEANS",INDEX('1-DATA'!$1:$1048576,$A58-1,COLUMN('1-DATA'!AA57)),ROUND(INDEX('1-DATA'!$1:$1048576,IF(OR($B59="STD. DEVIATION",$C$1=1),$A59,$A59+1),COLUMN('1-DATA'!AA57)),IF($B59="STD. DEVIATION",2,$F$1))))</f>
        <v/>
      </c>
      <c r="AC59" s="1" t="str">
        <f>IF(OR($B59="",AC$7=""),"",IF($B59="MEANS",INDEX('1-DATA'!$1:$1048576,$A58-1,COLUMN('1-DATA'!AB57)),ROUND(INDEX('1-DATA'!$1:$1048576,IF(OR($B59="STD. DEVIATION",$C$1=1),$A59,$A59+1),COLUMN('1-DATA'!AB57)),IF($B59="STD. DEVIATION",2,$F$1))))</f>
        <v/>
      </c>
      <c r="AD59" s="1" t="str">
        <f>IF(OR($B59="",AD$7=""),"",IF($B59="MEANS",INDEX('1-DATA'!$1:$1048576,$A58-1,COLUMN('1-DATA'!AC57)),ROUND(INDEX('1-DATA'!$1:$1048576,IF(OR($B59="STD. DEVIATION",$C$1=1),$A59,$A59+1),COLUMN('1-DATA'!AC57)),IF($B59="STD. DEVIATION",2,$F$1))))</f>
        <v/>
      </c>
      <c r="AE59" s="1" t="str">
        <f>IF(OR($B59="",AE$7=""),"",IF($B59="MEANS",INDEX('1-DATA'!$1:$1048576,$A58-1,COLUMN('1-DATA'!AD57)),ROUND(INDEX('1-DATA'!$1:$1048576,IF(OR($B59="STD. DEVIATION",$C$1=1),$A59,$A59+1),COLUMN('1-DATA'!AD57)),IF($B59="STD. DEVIATION",2,$F$1))))</f>
        <v/>
      </c>
      <c r="AF59" s="1" t="str">
        <f>IF(OR($B59="",AF$7=""),"",IF($B59="MEANS",INDEX('1-DATA'!$1:$1048576,$A58-1,COLUMN('1-DATA'!AE57)),ROUND(INDEX('1-DATA'!$1:$1048576,IF(OR($B59="STD. DEVIATION",$C$1=1),$A59,$A59+1),COLUMN('1-DATA'!AE57)),IF($B59="STD. DEVIATION",2,$F$1))))</f>
        <v/>
      </c>
      <c r="AG59" s="1" t="str">
        <f>IF(OR($B59="",AG$7=""),"",IF($B59="MEANS",INDEX('1-DATA'!$1:$1048576,$A58-1,COLUMN('1-DATA'!AF57)),ROUND(INDEX('1-DATA'!$1:$1048576,IF(OR($B59="STD. DEVIATION",$C$1=1),$A59,$A59+1),COLUMN('1-DATA'!AF57)),IF($B59="STD. DEVIATION",2,$F$1))))</f>
        <v/>
      </c>
      <c r="AH59" s="1" t="str">
        <f>IF(OR($B59="",AH$7=""),"",IF($B59="MEANS",INDEX('1-DATA'!$1:$1048576,$A58-1,COLUMN('1-DATA'!AG57)),ROUND(INDEX('1-DATA'!$1:$1048576,IF(OR($B59="STD. DEVIATION",$C$1=1),$A59,$A59+1),COLUMN('1-DATA'!AG57)),IF($B59="STD. DEVIATION",2,$F$1))))</f>
        <v/>
      </c>
      <c r="AI59" s="1" t="str">
        <f>IF(OR($B59="",AI$7=""),"",IF($B59="MEANS",INDEX('1-DATA'!$1:$1048576,$A58-1,COLUMN('1-DATA'!AH57)),ROUND(INDEX('1-DATA'!$1:$1048576,IF(OR($B59="STD. DEVIATION",$C$1=1),$A59,$A59+1),COLUMN('1-DATA'!AH57)),IF($B59="STD. DEVIATION",2,$F$1))))</f>
        <v/>
      </c>
      <c r="AJ59" s="1" t="str">
        <f>IF(OR($B59="",AJ$7=""),"",IF($B59="MEANS",INDEX('1-DATA'!$1:$1048576,$A58-1,COLUMN('1-DATA'!AI57)),ROUND(INDEX('1-DATA'!$1:$1048576,IF(OR($B59="STD. DEVIATION",$C$1=1),$A59,$A59+1),COLUMN('1-DATA'!AI57)),IF($B59="STD. DEVIATION",2,$F$1))))</f>
        <v/>
      </c>
      <c r="AK59" s="1" t="str">
        <f>IF(OR($B59="",AK$7=""),"",IF($B59="MEANS",INDEX('1-DATA'!$1:$1048576,$A58-1,COLUMN('1-DATA'!AJ57)),ROUND(INDEX('1-DATA'!$1:$1048576,IF(OR($B59="STD. DEVIATION",$C$1=1),$A59,$A59+1),COLUMN('1-DATA'!AJ57)),IF($B59="STD. DEVIATION",2,$F$1))))</f>
        <v/>
      </c>
      <c r="AL59" s="1" t="str">
        <f>IF(OR($B59="",AL$7=""),"",IF($B59="MEANS",INDEX('1-DATA'!$1:$1048576,$A58-1,COLUMN('1-DATA'!AK57)),ROUND(INDEX('1-DATA'!$1:$1048576,IF(OR($B59="STD. DEVIATION",$C$1=1),$A59,$A59+1),COLUMN('1-DATA'!AK57)),IF($B59="STD. DEVIATION",2,$F$1))))</f>
        <v/>
      </c>
      <c r="AM59" s="1" t="str">
        <f>IF(OR($B59="",AM$7=""),"",IF($B59="MEANS",INDEX('1-DATA'!$1:$1048576,$A58-1,COLUMN('1-DATA'!AL57)),ROUND(INDEX('1-DATA'!$1:$1048576,IF(OR($B59="STD. DEVIATION",$C$1=1),$A59,$A59+1),COLUMN('1-DATA'!AL57)),IF($B59="STD. DEVIATION",2,$F$1))))</f>
        <v/>
      </c>
      <c r="AN59" s="1" t="str">
        <f>IF(OR($B59="",AN$7=""),"",IF($B59="MEANS",INDEX('1-DATA'!$1:$1048576,$A58-1,COLUMN('1-DATA'!AM57)),ROUND(INDEX('1-DATA'!$1:$1048576,IF(OR($B59="STD. DEVIATION",$C$1=1),$A59,$A59+1),COLUMN('1-DATA'!AM57)),IF($B59="STD. DEVIATION",2,$F$1))))</f>
        <v/>
      </c>
      <c r="AO59" s="1" t="str">
        <f>IF(OR($B59="",AO$7=""),"",IF($B59="MEANS",INDEX('1-DATA'!$1:$1048576,$A58-1,COLUMN('1-DATA'!AN57)),ROUND(INDEX('1-DATA'!$1:$1048576,IF(OR($B59="STD. DEVIATION",$C$1=1),$A59,$A59+1),COLUMN('1-DATA'!AN57)),IF($B59="STD. DEVIATION",2,$F$1))))</f>
        <v/>
      </c>
      <c r="AP59" s="1" t="str">
        <f>IF(OR($B59="",AP$7=""),"",IF($B59="MEANS",INDEX('1-DATA'!$1:$1048576,$A58-1,COLUMN('1-DATA'!AO57)),ROUND(INDEX('1-DATA'!$1:$1048576,IF(OR($B59="STD. DEVIATION",$C$1=1),$A59,$A59+1),COLUMN('1-DATA'!AO57)),IF($B59="STD. DEVIATION",2,$F$1))))</f>
        <v/>
      </c>
      <c r="AQ59" s="1" t="str">
        <f>IF(OR($B59="",AQ$7=""),"",IF($B59="MEANS",INDEX('1-DATA'!$1:$1048576,$A58-1,COLUMN('1-DATA'!AP57)),ROUND(INDEX('1-DATA'!$1:$1048576,IF(OR($B59="STD. DEVIATION",$C$1=1),$A59,$A59+1),COLUMN('1-DATA'!AP57)),IF($B59="STD. DEVIATION",2,$F$1))))</f>
        <v/>
      </c>
      <c r="AR59" s="1" t="str">
        <f>IF(OR($B59="",AR$7=""),"",IF($B59="MEANS",INDEX('1-DATA'!$1:$1048576,$A58-1,COLUMN('1-DATA'!AQ57)),ROUND(INDEX('1-DATA'!$1:$1048576,IF(OR($B59="STD. DEVIATION",$C$1=1),$A59,$A59+1),COLUMN('1-DATA'!AQ57)),IF($B59="STD. DEVIATION",2,$F$1))))</f>
        <v/>
      </c>
      <c r="AS59" s="1" t="str">
        <f>IF(OR($B59="",AS$7=""),"",IF($B59="MEANS",INDEX('1-DATA'!$1:$1048576,$A58-1,COLUMN('1-DATA'!AR57)),ROUND(INDEX('1-DATA'!$1:$1048576,IF(OR($B59="STD. DEVIATION",$C$1=1),$A59,$A59+1),COLUMN('1-DATA'!AR57)),IF($B59="STD. DEVIATION",2,$F$1))))</f>
        <v/>
      </c>
      <c r="AT59" s="1" t="str">
        <f>IF(OR($B59="",AT$7=""),"",IF($B59="MEANS",INDEX('1-DATA'!$1:$1048576,$A58-1,COLUMN('1-DATA'!AS57)),ROUND(INDEX('1-DATA'!$1:$1048576,IF(OR($B59="STD. DEVIATION",$C$1=1),$A59,$A59+1),COLUMN('1-DATA'!AS57)),IF($B59="STD. DEVIATION",2,$F$1))))</f>
        <v/>
      </c>
      <c r="AU59" s="1" t="str">
        <f>IF(OR($B59="",AU$7=""),"",IF($B59="MEANS",INDEX('1-DATA'!$1:$1048576,$A58-1,COLUMN('1-DATA'!AT57)),ROUND(INDEX('1-DATA'!$1:$1048576,IF(OR($B59="STD. DEVIATION",$C$1=1),$A59,$A59+1),COLUMN('1-DATA'!AT57)),IF($B59="STD. DEVIATION",2,$F$1))))</f>
        <v/>
      </c>
      <c r="AV59" s="1" t="str">
        <f>IF(OR($B59="",AV$7=""),"",IF($B59="MEANS",INDEX('1-DATA'!$1:$1048576,$A58-1,COLUMN('1-DATA'!AU57)),ROUND(INDEX('1-DATA'!$1:$1048576,IF(OR($B59="STD. DEVIATION",$C$1=1),$A59,$A59+1),COLUMN('1-DATA'!AU57)),IF($B59="STD. DEVIATION",2,$F$1))))</f>
        <v/>
      </c>
      <c r="AW59" s="1" t="str">
        <f>IF(OR($B59="",AW$7=""),"",IF($B59="MEANS",INDEX('1-DATA'!$1:$1048576,$A58-1,COLUMN('1-DATA'!AV57)),ROUND(INDEX('1-DATA'!$1:$1048576,IF(OR($B59="STD. DEVIATION",$C$1=1),$A59,$A59+1),COLUMN('1-DATA'!AV57)),IF($B59="STD. DEVIATION",2,$F$1))))</f>
        <v/>
      </c>
      <c r="AX59" s="1" t="str">
        <f>IF(OR($B59="",AX$7=""),"",IF($B59="MEANS",INDEX('1-DATA'!$1:$1048576,$A58-1,COLUMN('1-DATA'!AW57)),ROUND(INDEX('1-DATA'!$1:$1048576,IF(OR($B59="STD. DEVIATION",$C$1=1),$A59,$A59+1),COLUMN('1-DATA'!AW57)),IF($B59="STD. DEVIATION",2,$F$1))))</f>
        <v/>
      </c>
      <c r="AY59" s="1" t="str">
        <f>IF(OR($B59="",AY$7=""),"",IF($B59="MEANS",INDEX('1-DATA'!$1:$1048576,$A58-1,COLUMN('1-DATA'!AX57)),ROUND(INDEX('1-DATA'!$1:$1048576,IF(OR($B59="STD. DEVIATION",$C$1=1),$A59,$A59+1),COLUMN('1-DATA'!AX57)),IF($B59="STD. DEVIATION",2,$F$1))))</f>
        <v/>
      </c>
      <c r="AZ59" s="1" t="str">
        <f>IF(OR($B59="",AZ$7=""),"",IF($B59="MEANS",INDEX('1-DATA'!$1:$1048576,$A58-1,COLUMN('1-DATA'!AY57)),ROUND(INDEX('1-DATA'!$1:$1048576,IF(OR($B59="STD. DEVIATION",$C$1=1),$A59,$A59+1),COLUMN('1-DATA'!AY57)),IF($B59="STD. DEVIATION",2,$F$1))))</f>
        <v/>
      </c>
    </row>
    <row r="60" spans="1:52" x14ac:dyDescent="0.25">
      <c r="A60" s="11">
        <f t="shared" si="1"/>
        <v>166</v>
      </c>
      <c r="B60" s="1" t="str">
        <f>IF(B59="STD. DEVIATION",INDEX('1-DATA'!$1:$1048576,$A59-1,1),IF(INDEX('1-DATA'!$1:$1048576,$A60,1)&lt;&gt;"",INDEX('1-DATA'!$1:$1048576,$A60,1),""))</f>
        <v/>
      </c>
      <c r="C60" s="1" t="str">
        <f>IF(OR($B60="",C$7=""),"",IF($B60="MEANS",INDEX('1-DATA'!$1:$1048576,$A59-1,COLUMN('1-DATA'!B58)),ROUND(INDEX('1-DATA'!$1:$1048576,IF(OR($B60="STD. DEVIATION",$C$1=1),$A60,$A60+1),COLUMN('1-DATA'!B58)),IF($B60="STD. DEVIATION",2,$F$1))))</f>
        <v/>
      </c>
      <c r="D60" s="1" t="str">
        <f>IF(OR($B60="",D$7=""),"",IF($B60="MEANS",INDEX('1-DATA'!$1:$1048576,$A59-1,COLUMN('1-DATA'!C58)),ROUND(INDEX('1-DATA'!$1:$1048576,IF(OR($B60="STD. DEVIATION",$C$1=1),$A60,$A60+1),COLUMN('1-DATA'!C58)),IF($B60="STD. DEVIATION",2,$F$1))))</f>
        <v/>
      </c>
      <c r="E60" s="1" t="str">
        <f>IF(OR($B60="",E$7=""),"",IF($B60="MEANS",INDEX('1-DATA'!$1:$1048576,$A59-1,COLUMN('1-DATA'!D58)),ROUND(INDEX('1-DATA'!$1:$1048576,IF(OR($B60="STD. DEVIATION",$C$1=1),$A60,$A60+1),COLUMN('1-DATA'!D58)),IF($B60="STD. DEVIATION",2,$F$1))))</f>
        <v/>
      </c>
      <c r="F60" s="1" t="str">
        <f>IF(OR($B60="",F$7=""),"",IF($B60="MEANS",INDEX('1-DATA'!$1:$1048576,$A59-1,COLUMN('1-DATA'!E58)),ROUND(INDEX('1-DATA'!$1:$1048576,IF(OR($B60="STD. DEVIATION",$C$1=1),$A60,$A60+1),COLUMN('1-DATA'!E58)),IF($B60="STD. DEVIATION",2,$F$1))))</f>
        <v/>
      </c>
      <c r="G60" s="1" t="str">
        <f>IF(OR($B60="",G$7=""),"",IF($B60="MEANS",INDEX('1-DATA'!$1:$1048576,$A59-1,COLUMN('1-DATA'!F58)),ROUND(INDEX('1-DATA'!$1:$1048576,IF(OR($B60="STD. DEVIATION",$C$1=1),$A60,$A60+1),COLUMN('1-DATA'!F58)),IF($B60="STD. DEVIATION",2,$F$1))))</f>
        <v/>
      </c>
      <c r="H60" s="1" t="str">
        <f>IF(OR($B60="",H$7=""),"",IF($B60="MEANS",INDEX('1-DATA'!$1:$1048576,$A59-1,COLUMN('1-DATA'!G58)),ROUND(INDEX('1-DATA'!$1:$1048576,IF(OR($B60="STD. DEVIATION",$C$1=1),$A60,$A60+1),COLUMN('1-DATA'!G58)),IF($B60="STD. DEVIATION",2,$F$1))))</f>
        <v/>
      </c>
      <c r="I60" s="1" t="str">
        <f>IF(OR($B60="",I$7=""),"",IF($B60="MEANS",INDEX('1-DATA'!$1:$1048576,$A59-1,COLUMN('1-DATA'!H58)),ROUND(INDEX('1-DATA'!$1:$1048576,IF(OR($B60="STD. DEVIATION",$C$1=1),$A60,$A60+1),COLUMN('1-DATA'!H58)),IF($B60="STD. DEVIATION",2,$F$1))))</f>
        <v/>
      </c>
      <c r="J60" s="1" t="str">
        <f>IF(OR($B60="",J$7=""),"",IF($B60="MEANS",INDEX('1-DATA'!$1:$1048576,$A59-1,COLUMN('1-DATA'!I58)),ROUND(INDEX('1-DATA'!$1:$1048576,IF(OR($B60="STD. DEVIATION",$C$1=1),$A60,$A60+1),COLUMN('1-DATA'!I58)),IF($B60="STD. DEVIATION",2,$F$1))))</f>
        <v/>
      </c>
      <c r="K60" s="1" t="str">
        <f>IF(OR($B60="",K$7=""),"",IF($B60="MEANS",INDEX('1-DATA'!$1:$1048576,$A59-1,COLUMN('1-DATA'!J58)),ROUND(INDEX('1-DATA'!$1:$1048576,IF(OR($B60="STD. DEVIATION",$C$1=1),$A60,$A60+1),COLUMN('1-DATA'!J58)),IF($B60="STD. DEVIATION",2,$F$1))))</f>
        <v/>
      </c>
      <c r="L60" s="1" t="str">
        <f>IF(OR($B60="",L$7=""),"",IF($B60="MEANS",INDEX('1-DATA'!$1:$1048576,$A59-1,COLUMN('1-DATA'!K58)),ROUND(INDEX('1-DATA'!$1:$1048576,IF(OR($B60="STD. DEVIATION",$C$1=1),$A60,$A60+1),COLUMN('1-DATA'!K58)),IF($B60="STD. DEVIATION",2,$F$1))))</f>
        <v/>
      </c>
      <c r="M60" s="1" t="str">
        <f>IF(OR($B60="",M$7=""),"",IF($B60="MEANS",INDEX('1-DATA'!$1:$1048576,$A59-1,COLUMN('1-DATA'!L58)),ROUND(INDEX('1-DATA'!$1:$1048576,IF(OR($B60="STD. DEVIATION",$C$1=1),$A60,$A60+1),COLUMN('1-DATA'!L58)),IF($B60="STD. DEVIATION",2,$F$1))))</f>
        <v/>
      </c>
      <c r="N60" s="1" t="str">
        <f>IF(OR($B60="",N$7=""),"",IF($B60="MEANS",INDEX('1-DATA'!$1:$1048576,$A59-1,COLUMN('1-DATA'!M58)),ROUND(INDEX('1-DATA'!$1:$1048576,IF(OR($B60="STD. DEVIATION",$C$1=1),$A60,$A60+1),COLUMN('1-DATA'!M58)),IF($B60="STD. DEVIATION",2,$F$1))))</f>
        <v/>
      </c>
      <c r="O60" s="1" t="str">
        <f>IF(OR($B60="",O$7=""),"",IF($B60="MEANS",INDEX('1-DATA'!$1:$1048576,$A59-1,COLUMN('1-DATA'!N58)),ROUND(INDEX('1-DATA'!$1:$1048576,IF(OR($B60="STD. DEVIATION",$C$1=1),$A60,$A60+1),COLUMN('1-DATA'!N58)),IF($B60="STD. DEVIATION",2,$F$1))))</f>
        <v/>
      </c>
      <c r="P60" s="1" t="str">
        <f>IF(OR($B60="",P$7=""),"",IF($B60="MEANS",INDEX('1-DATA'!$1:$1048576,$A59-1,COLUMN('1-DATA'!O58)),ROUND(INDEX('1-DATA'!$1:$1048576,IF(OR($B60="STD. DEVIATION",$C$1=1),$A60,$A60+1),COLUMN('1-DATA'!O58)),IF($B60="STD. DEVIATION",2,$F$1))))</f>
        <v/>
      </c>
      <c r="Q60" s="1" t="str">
        <f>IF(OR($B60="",Q$7=""),"",IF($B60="MEANS",INDEX('1-DATA'!$1:$1048576,$A59-1,COLUMN('1-DATA'!P58)),ROUND(INDEX('1-DATA'!$1:$1048576,IF(OR($B60="STD. DEVIATION",$C$1=1),$A60,$A60+1),COLUMN('1-DATA'!P58)),IF($B60="STD. DEVIATION",2,$F$1))))</f>
        <v/>
      </c>
      <c r="R60" s="1" t="str">
        <f>IF(OR($B60="",R$7=""),"",IF($B60="MEANS",INDEX('1-DATA'!$1:$1048576,$A59-1,COLUMN('1-DATA'!Q58)),ROUND(INDEX('1-DATA'!$1:$1048576,IF(OR($B60="STD. DEVIATION",$C$1=1),$A60,$A60+1),COLUMN('1-DATA'!Q58)),IF($B60="STD. DEVIATION",2,$F$1))))</f>
        <v/>
      </c>
      <c r="S60" s="1" t="str">
        <f>IF(OR($B60="",S$7=""),"",IF($B60="MEANS",INDEX('1-DATA'!$1:$1048576,$A59-1,COLUMN('1-DATA'!R58)),ROUND(INDEX('1-DATA'!$1:$1048576,IF(OR($B60="STD. DEVIATION",$C$1=1),$A60,$A60+1),COLUMN('1-DATA'!R58)),IF($B60="STD. DEVIATION",2,$F$1))))</f>
        <v/>
      </c>
      <c r="T60" s="1" t="str">
        <f>IF(OR($B60="",T$7=""),"",IF($B60="MEANS",INDEX('1-DATA'!$1:$1048576,$A59-1,COLUMN('1-DATA'!S58)),ROUND(INDEX('1-DATA'!$1:$1048576,IF(OR($B60="STD. DEVIATION",$C$1=1),$A60,$A60+1),COLUMN('1-DATA'!S58)),IF($B60="STD. DEVIATION",2,$F$1))))</f>
        <v/>
      </c>
      <c r="U60" s="1" t="str">
        <f>IF(OR($B60="",U$7=""),"",IF($B60="MEANS",INDEX('1-DATA'!$1:$1048576,$A59-1,COLUMN('1-DATA'!T58)),ROUND(INDEX('1-DATA'!$1:$1048576,IF(OR($B60="STD. DEVIATION",$C$1=1),$A60,$A60+1),COLUMN('1-DATA'!T58)),IF($B60="STD. DEVIATION",2,$F$1))))</f>
        <v/>
      </c>
      <c r="V60" s="1" t="str">
        <f>IF(OR($B60="",V$7=""),"",IF($B60="MEANS",INDEX('1-DATA'!$1:$1048576,$A59-1,COLUMN('1-DATA'!U58)),ROUND(INDEX('1-DATA'!$1:$1048576,IF(OR($B60="STD. DEVIATION",$C$1=1),$A60,$A60+1),COLUMN('1-DATA'!U58)),IF($B60="STD. DEVIATION",2,$F$1))))</f>
        <v/>
      </c>
      <c r="W60" s="1" t="str">
        <f>IF(OR($B60="",W$7=""),"",IF($B60="MEANS",INDEX('1-DATA'!$1:$1048576,$A59-1,COLUMN('1-DATA'!V58)),ROUND(INDEX('1-DATA'!$1:$1048576,IF(OR($B60="STD. DEVIATION",$C$1=1),$A60,$A60+1),COLUMN('1-DATA'!V58)),IF($B60="STD. DEVIATION",2,$F$1))))</f>
        <v/>
      </c>
      <c r="X60" s="1" t="str">
        <f>IF(OR($B60="",X$7=""),"",IF($B60="MEANS",INDEX('1-DATA'!$1:$1048576,$A59-1,COLUMN('1-DATA'!W58)),ROUND(INDEX('1-DATA'!$1:$1048576,IF(OR($B60="STD. DEVIATION",$C$1=1),$A60,$A60+1),COLUMN('1-DATA'!W58)),IF($B60="STD. DEVIATION",2,$F$1))))</f>
        <v/>
      </c>
      <c r="Y60" s="1" t="str">
        <f>IF(OR($B60="",Y$7=""),"",IF($B60="MEANS",INDEX('1-DATA'!$1:$1048576,$A59-1,COLUMN('1-DATA'!X58)),ROUND(INDEX('1-DATA'!$1:$1048576,IF(OR($B60="STD. DEVIATION",$C$1=1),$A60,$A60+1),COLUMN('1-DATA'!X58)),IF($B60="STD. DEVIATION",2,$F$1))))</f>
        <v/>
      </c>
      <c r="Z60" s="1" t="str">
        <f>IF(OR($B60="",Z$7=""),"",IF($B60="MEANS",INDEX('1-DATA'!$1:$1048576,$A59-1,COLUMN('1-DATA'!Y58)),ROUND(INDEX('1-DATA'!$1:$1048576,IF(OR($B60="STD. DEVIATION",$C$1=1),$A60,$A60+1),COLUMN('1-DATA'!Y58)),IF($B60="STD. DEVIATION",2,$F$1))))</f>
        <v/>
      </c>
      <c r="AA60" s="1" t="str">
        <f>IF(OR($B60="",AA$7=""),"",IF($B60="MEANS",INDEX('1-DATA'!$1:$1048576,$A59-1,COLUMN('1-DATA'!Z58)),ROUND(INDEX('1-DATA'!$1:$1048576,IF(OR($B60="STD. DEVIATION",$C$1=1),$A60,$A60+1),COLUMN('1-DATA'!Z58)),IF($B60="STD. DEVIATION",2,$F$1))))</f>
        <v/>
      </c>
      <c r="AB60" s="1" t="str">
        <f>IF(OR($B60="",AB$7=""),"",IF($B60="MEANS",INDEX('1-DATA'!$1:$1048576,$A59-1,COLUMN('1-DATA'!AA58)),ROUND(INDEX('1-DATA'!$1:$1048576,IF(OR($B60="STD. DEVIATION",$C$1=1),$A60,$A60+1),COLUMN('1-DATA'!AA58)),IF($B60="STD. DEVIATION",2,$F$1))))</f>
        <v/>
      </c>
      <c r="AC60" s="1" t="str">
        <f>IF(OR($B60="",AC$7=""),"",IF($B60="MEANS",INDEX('1-DATA'!$1:$1048576,$A59-1,COLUMN('1-DATA'!AB58)),ROUND(INDEX('1-DATA'!$1:$1048576,IF(OR($B60="STD. DEVIATION",$C$1=1),$A60,$A60+1),COLUMN('1-DATA'!AB58)),IF($B60="STD. DEVIATION",2,$F$1))))</f>
        <v/>
      </c>
      <c r="AD60" s="1" t="str">
        <f>IF(OR($B60="",AD$7=""),"",IF($B60="MEANS",INDEX('1-DATA'!$1:$1048576,$A59-1,COLUMN('1-DATA'!AC58)),ROUND(INDEX('1-DATA'!$1:$1048576,IF(OR($B60="STD. DEVIATION",$C$1=1),$A60,$A60+1),COLUMN('1-DATA'!AC58)),IF($B60="STD. DEVIATION",2,$F$1))))</f>
        <v/>
      </c>
      <c r="AE60" s="1" t="str">
        <f>IF(OR($B60="",AE$7=""),"",IF($B60="MEANS",INDEX('1-DATA'!$1:$1048576,$A59-1,COLUMN('1-DATA'!AD58)),ROUND(INDEX('1-DATA'!$1:$1048576,IF(OR($B60="STD. DEVIATION",$C$1=1),$A60,$A60+1),COLUMN('1-DATA'!AD58)),IF($B60="STD. DEVIATION",2,$F$1))))</f>
        <v/>
      </c>
      <c r="AF60" s="1" t="str">
        <f>IF(OR($B60="",AF$7=""),"",IF($B60="MEANS",INDEX('1-DATA'!$1:$1048576,$A59-1,COLUMN('1-DATA'!AE58)),ROUND(INDEX('1-DATA'!$1:$1048576,IF(OR($B60="STD. DEVIATION",$C$1=1),$A60,$A60+1),COLUMN('1-DATA'!AE58)),IF($B60="STD. DEVIATION",2,$F$1))))</f>
        <v/>
      </c>
      <c r="AG60" s="1" t="str">
        <f>IF(OR($B60="",AG$7=""),"",IF($B60="MEANS",INDEX('1-DATA'!$1:$1048576,$A59-1,COLUMN('1-DATA'!AF58)),ROUND(INDEX('1-DATA'!$1:$1048576,IF(OR($B60="STD. DEVIATION",$C$1=1),$A60,$A60+1),COLUMN('1-DATA'!AF58)),IF($B60="STD. DEVIATION",2,$F$1))))</f>
        <v/>
      </c>
      <c r="AH60" s="1" t="str">
        <f>IF(OR($B60="",AH$7=""),"",IF($B60="MEANS",INDEX('1-DATA'!$1:$1048576,$A59-1,COLUMN('1-DATA'!AG58)),ROUND(INDEX('1-DATA'!$1:$1048576,IF(OR($B60="STD. DEVIATION",$C$1=1),$A60,$A60+1),COLUMN('1-DATA'!AG58)),IF($B60="STD. DEVIATION",2,$F$1))))</f>
        <v/>
      </c>
      <c r="AI60" s="1" t="str">
        <f>IF(OR($B60="",AI$7=""),"",IF($B60="MEANS",INDEX('1-DATA'!$1:$1048576,$A59-1,COLUMN('1-DATA'!AH58)),ROUND(INDEX('1-DATA'!$1:$1048576,IF(OR($B60="STD. DEVIATION",$C$1=1),$A60,$A60+1),COLUMN('1-DATA'!AH58)),IF($B60="STD. DEVIATION",2,$F$1))))</f>
        <v/>
      </c>
      <c r="AJ60" s="1" t="str">
        <f>IF(OR($B60="",AJ$7=""),"",IF($B60="MEANS",INDEX('1-DATA'!$1:$1048576,$A59-1,COLUMN('1-DATA'!AI58)),ROUND(INDEX('1-DATA'!$1:$1048576,IF(OR($B60="STD. DEVIATION",$C$1=1),$A60,$A60+1),COLUMN('1-DATA'!AI58)),IF($B60="STD. DEVIATION",2,$F$1))))</f>
        <v/>
      </c>
      <c r="AK60" s="1" t="str">
        <f>IF(OR($B60="",AK$7=""),"",IF($B60="MEANS",INDEX('1-DATA'!$1:$1048576,$A59-1,COLUMN('1-DATA'!AJ58)),ROUND(INDEX('1-DATA'!$1:$1048576,IF(OR($B60="STD. DEVIATION",$C$1=1),$A60,$A60+1),COLUMN('1-DATA'!AJ58)),IF($B60="STD. DEVIATION",2,$F$1))))</f>
        <v/>
      </c>
      <c r="AL60" s="1" t="str">
        <f>IF(OR($B60="",AL$7=""),"",IF($B60="MEANS",INDEX('1-DATA'!$1:$1048576,$A59-1,COLUMN('1-DATA'!AK58)),ROUND(INDEX('1-DATA'!$1:$1048576,IF(OR($B60="STD. DEVIATION",$C$1=1),$A60,$A60+1),COLUMN('1-DATA'!AK58)),IF($B60="STD. DEVIATION",2,$F$1))))</f>
        <v/>
      </c>
      <c r="AM60" s="1" t="str">
        <f>IF(OR($B60="",AM$7=""),"",IF($B60="MEANS",INDEX('1-DATA'!$1:$1048576,$A59-1,COLUMN('1-DATA'!AL58)),ROUND(INDEX('1-DATA'!$1:$1048576,IF(OR($B60="STD. DEVIATION",$C$1=1),$A60,$A60+1),COLUMN('1-DATA'!AL58)),IF($B60="STD. DEVIATION",2,$F$1))))</f>
        <v/>
      </c>
      <c r="AN60" s="1" t="str">
        <f>IF(OR($B60="",AN$7=""),"",IF($B60="MEANS",INDEX('1-DATA'!$1:$1048576,$A59-1,COLUMN('1-DATA'!AM58)),ROUND(INDEX('1-DATA'!$1:$1048576,IF(OR($B60="STD. DEVIATION",$C$1=1),$A60,$A60+1),COLUMN('1-DATA'!AM58)),IF($B60="STD. DEVIATION",2,$F$1))))</f>
        <v/>
      </c>
      <c r="AO60" s="1" t="str">
        <f>IF(OR($B60="",AO$7=""),"",IF($B60="MEANS",INDEX('1-DATA'!$1:$1048576,$A59-1,COLUMN('1-DATA'!AN58)),ROUND(INDEX('1-DATA'!$1:$1048576,IF(OR($B60="STD. DEVIATION",$C$1=1),$A60,$A60+1),COLUMN('1-DATA'!AN58)),IF($B60="STD. DEVIATION",2,$F$1))))</f>
        <v/>
      </c>
      <c r="AP60" s="1" t="str">
        <f>IF(OR($B60="",AP$7=""),"",IF($B60="MEANS",INDEX('1-DATA'!$1:$1048576,$A59-1,COLUMN('1-DATA'!AO58)),ROUND(INDEX('1-DATA'!$1:$1048576,IF(OR($B60="STD. DEVIATION",$C$1=1),$A60,$A60+1),COLUMN('1-DATA'!AO58)),IF($B60="STD. DEVIATION",2,$F$1))))</f>
        <v/>
      </c>
      <c r="AQ60" s="1" t="str">
        <f>IF(OR($B60="",AQ$7=""),"",IF($B60="MEANS",INDEX('1-DATA'!$1:$1048576,$A59-1,COLUMN('1-DATA'!AP58)),ROUND(INDEX('1-DATA'!$1:$1048576,IF(OR($B60="STD. DEVIATION",$C$1=1),$A60,$A60+1),COLUMN('1-DATA'!AP58)),IF($B60="STD. DEVIATION",2,$F$1))))</f>
        <v/>
      </c>
      <c r="AR60" s="1" t="str">
        <f>IF(OR($B60="",AR$7=""),"",IF($B60="MEANS",INDEX('1-DATA'!$1:$1048576,$A59-1,COLUMN('1-DATA'!AQ58)),ROUND(INDEX('1-DATA'!$1:$1048576,IF(OR($B60="STD. DEVIATION",$C$1=1),$A60,$A60+1),COLUMN('1-DATA'!AQ58)),IF($B60="STD. DEVIATION",2,$F$1))))</f>
        <v/>
      </c>
      <c r="AS60" s="1" t="str">
        <f>IF(OR($B60="",AS$7=""),"",IF($B60="MEANS",INDEX('1-DATA'!$1:$1048576,$A59-1,COLUMN('1-DATA'!AR58)),ROUND(INDEX('1-DATA'!$1:$1048576,IF(OR($B60="STD. DEVIATION",$C$1=1),$A60,$A60+1),COLUMN('1-DATA'!AR58)),IF($B60="STD. DEVIATION",2,$F$1))))</f>
        <v/>
      </c>
      <c r="AT60" s="1" t="str">
        <f>IF(OR($B60="",AT$7=""),"",IF($B60="MEANS",INDEX('1-DATA'!$1:$1048576,$A59-1,COLUMN('1-DATA'!AS58)),ROUND(INDEX('1-DATA'!$1:$1048576,IF(OR($B60="STD. DEVIATION",$C$1=1),$A60,$A60+1),COLUMN('1-DATA'!AS58)),IF($B60="STD. DEVIATION",2,$F$1))))</f>
        <v/>
      </c>
      <c r="AU60" s="1" t="str">
        <f>IF(OR($B60="",AU$7=""),"",IF($B60="MEANS",INDEX('1-DATA'!$1:$1048576,$A59-1,COLUMN('1-DATA'!AT58)),ROUND(INDEX('1-DATA'!$1:$1048576,IF(OR($B60="STD. DEVIATION",$C$1=1),$A60,$A60+1),COLUMN('1-DATA'!AT58)),IF($B60="STD. DEVIATION",2,$F$1))))</f>
        <v/>
      </c>
      <c r="AV60" s="1" t="str">
        <f>IF(OR($B60="",AV$7=""),"",IF($B60="MEANS",INDEX('1-DATA'!$1:$1048576,$A59-1,COLUMN('1-DATA'!AU58)),ROUND(INDEX('1-DATA'!$1:$1048576,IF(OR($B60="STD. DEVIATION",$C$1=1),$A60,$A60+1),COLUMN('1-DATA'!AU58)),IF($B60="STD. DEVIATION",2,$F$1))))</f>
        <v/>
      </c>
      <c r="AW60" s="1" t="str">
        <f>IF(OR($B60="",AW$7=""),"",IF($B60="MEANS",INDEX('1-DATA'!$1:$1048576,$A59-1,COLUMN('1-DATA'!AV58)),ROUND(INDEX('1-DATA'!$1:$1048576,IF(OR($B60="STD. DEVIATION",$C$1=1),$A60,$A60+1),COLUMN('1-DATA'!AV58)),IF($B60="STD. DEVIATION",2,$F$1))))</f>
        <v/>
      </c>
      <c r="AX60" s="1" t="str">
        <f>IF(OR($B60="",AX$7=""),"",IF($B60="MEANS",INDEX('1-DATA'!$1:$1048576,$A59-1,COLUMN('1-DATA'!AW58)),ROUND(INDEX('1-DATA'!$1:$1048576,IF(OR($B60="STD. DEVIATION",$C$1=1),$A60,$A60+1),COLUMN('1-DATA'!AW58)),IF($B60="STD. DEVIATION",2,$F$1))))</f>
        <v/>
      </c>
      <c r="AY60" s="1" t="str">
        <f>IF(OR($B60="",AY$7=""),"",IF($B60="MEANS",INDEX('1-DATA'!$1:$1048576,$A59-1,COLUMN('1-DATA'!AX58)),ROUND(INDEX('1-DATA'!$1:$1048576,IF(OR($B60="STD. DEVIATION",$C$1=1),$A60,$A60+1),COLUMN('1-DATA'!AX58)),IF($B60="STD. DEVIATION",2,$F$1))))</f>
        <v/>
      </c>
      <c r="AZ60" s="1" t="str">
        <f>IF(OR($B60="",AZ$7=""),"",IF($B60="MEANS",INDEX('1-DATA'!$1:$1048576,$A59-1,COLUMN('1-DATA'!AY58)),ROUND(INDEX('1-DATA'!$1:$1048576,IF(OR($B60="STD. DEVIATION",$C$1=1),$A60,$A60+1),COLUMN('1-DATA'!AY58)),IF($B60="STD. DEVIATION",2,$F$1))))</f>
        <v/>
      </c>
    </row>
    <row r="61" spans="1:52" x14ac:dyDescent="0.25">
      <c r="A61" s="11">
        <f t="shared" si="1"/>
        <v>169</v>
      </c>
      <c r="B61" s="1" t="str">
        <f>IF(B60="STD. DEVIATION",INDEX('1-DATA'!$1:$1048576,$A60-1,1),IF(INDEX('1-DATA'!$1:$1048576,$A61,1)&lt;&gt;"",INDEX('1-DATA'!$1:$1048576,$A61,1),""))</f>
        <v/>
      </c>
      <c r="C61" s="1" t="str">
        <f>IF(OR($B61="",C$7=""),"",IF($B61="MEANS",INDEX('1-DATA'!$1:$1048576,$A60-1,COLUMN('1-DATA'!B59)),ROUND(INDEX('1-DATA'!$1:$1048576,IF(OR($B61="STD. DEVIATION",$C$1=1),$A61,$A61+1),COLUMN('1-DATA'!B59)),IF($B61="STD. DEVIATION",2,$F$1))))</f>
        <v/>
      </c>
      <c r="D61" s="1" t="str">
        <f>IF(OR($B61="",D$7=""),"",IF($B61="MEANS",INDEX('1-DATA'!$1:$1048576,$A60-1,COLUMN('1-DATA'!C59)),ROUND(INDEX('1-DATA'!$1:$1048576,IF(OR($B61="STD. DEVIATION",$C$1=1),$A61,$A61+1),COLUMN('1-DATA'!C59)),IF($B61="STD. DEVIATION",2,$F$1))))</f>
        <v/>
      </c>
      <c r="E61" s="1" t="str">
        <f>IF(OR($B61="",E$7=""),"",IF($B61="MEANS",INDEX('1-DATA'!$1:$1048576,$A60-1,COLUMN('1-DATA'!D59)),ROUND(INDEX('1-DATA'!$1:$1048576,IF(OR($B61="STD. DEVIATION",$C$1=1),$A61,$A61+1),COLUMN('1-DATA'!D59)),IF($B61="STD. DEVIATION",2,$F$1))))</f>
        <v/>
      </c>
      <c r="F61" s="1" t="str">
        <f>IF(OR($B61="",F$7=""),"",IF($B61="MEANS",INDEX('1-DATA'!$1:$1048576,$A60-1,COLUMN('1-DATA'!E59)),ROUND(INDEX('1-DATA'!$1:$1048576,IF(OR($B61="STD. DEVIATION",$C$1=1),$A61,$A61+1),COLUMN('1-DATA'!E59)),IF($B61="STD. DEVIATION",2,$F$1))))</f>
        <v/>
      </c>
      <c r="G61" s="1" t="str">
        <f>IF(OR($B61="",G$7=""),"",IF($B61="MEANS",INDEX('1-DATA'!$1:$1048576,$A60-1,COLUMN('1-DATA'!F59)),ROUND(INDEX('1-DATA'!$1:$1048576,IF(OR($B61="STD. DEVIATION",$C$1=1),$A61,$A61+1),COLUMN('1-DATA'!F59)),IF($B61="STD. DEVIATION",2,$F$1))))</f>
        <v/>
      </c>
      <c r="H61" s="1" t="str">
        <f>IF(OR($B61="",H$7=""),"",IF($B61="MEANS",INDEX('1-DATA'!$1:$1048576,$A60-1,COLUMN('1-DATA'!G59)),ROUND(INDEX('1-DATA'!$1:$1048576,IF(OR($B61="STD. DEVIATION",$C$1=1),$A61,$A61+1),COLUMN('1-DATA'!G59)),IF($B61="STD. DEVIATION",2,$F$1))))</f>
        <v/>
      </c>
      <c r="I61" s="1" t="str">
        <f>IF(OR($B61="",I$7=""),"",IF($B61="MEANS",INDEX('1-DATA'!$1:$1048576,$A60-1,COLUMN('1-DATA'!H59)),ROUND(INDEX('1-DATA'!$1:$1048576,IF(OR($B61="STD. DEVIATION",$C$1=1),$A61,$A61+1),COLUMN('1-DATA'!H59)),IF($B61="STD. DEVIATION",2,$F$1))))</f>
        <v/>
      </c>
      <c r="J61" s="1" t="str">
        <f>IF(OR($B61="",J$7=""),"",IF($B61="MEANS",INDEX('1-DATA'!$1:$1048576,$A60-1,COLUMN('1-DATA'!I59)),ROUND(INDEX('1-DATA'!$1:$1048576,IF(OR($B61="STD. DEVIATION",$C$1=1),$A61,$A61+1),COLUMN('1-DATA'!I59)),IF($B61="STD. DEVIATION",2,$F$1))))</f>
        <v/>
      </c>
      <c r="K61" s="1" t="str">
        <f>IF(OR($B61="",K$7=""),"",IF($B61="MEANS",INDEX('1-DATA'!$1:$1048576,$A60-1,COLUMN('1-DATA'!J59)),ROUND(INDEX('1-DATA'!$1:$1048576,IF(OR($B61="STD. DEVIATION",$C$1=1),$A61,$A61+1),COLUMN('1-DATA'!J59)),IF($B61="STD. DEVIATION",2,$F$1))))</f>
        <v/>
      </c>
      <c r="L61" s="1" t="str">
        <f>IF(OR($B61="",L$7=""),"",IF($B61="MEANS",INDEX('1-DATA'!$1:$1048576,$A60-1,COLUMN('1-DATA'!K59)),ROUND(INDEX('1-DATA'!$1:$1048576,IF(OR($B61="STD. DEVIATION",$C$1=1),$A61,$A61+1),COLUMN('1-DATA'!K59)),IF($B61="STD. DEVIATION",2,$F$1))))</f>
        <v/>
      </c>
      <c r="M61" s="1" t="str">
        <f>IF(OR($B61="",M$7=""),"",IF($B61="MEANS",INDEX('1-DATA'!$1:$1048576,$A60-1,COLUMN('1-DATA'!L59)),ROUND(INDEX('1-DATA'!$1:$1048576,IF(OR($B61="STD. DEVIATION",$C$1=1),$A61,$A61+1),COLUMN('1-DATA'!L59)),IF($B61="STD. DEVIATION",2,$F$1))))</f>
        <v/>
      </c>
      <c r="N61" s="1" t="str">
        <f>IF(OR($B61="",N$7=""),"",IF($B61="MEANS",INDEX('1-DATA'!$1:$1048576,$A60-1,COLUMN('1-DATA'!M59)),ROUND(INDEX('1-DATA'!$1:$1048576,IF(OR($B61="STD. DEVIATION",$C$1=1),$A61,$A61+1),COLUMN('1-DATA'!M59)),IF($B61="STD. DEVIATION",2,$F$1))))</f>
        <v/>
      </c>
      <c r="O61" s="1" t="str">
        <f>IF(OR($B61="",O$7=""),"",IF($B61="MEANS",INDEX('1-DATA'!$1:$1048576,$A60-1,COLUMN('1-DATA'!N59)),ROUND(INDEX('1-DATA'!$1:$1048576,IF(OR($B61="STD. DEVIATION",$C$1=1),$A61,$A61+1),COLUMN('1-DATA'!N59)),IF($B61="STD. DEVIATION",2,$F$1))))</f>
        <v/>
      </c>
      <c r="P61" s="1" t="str">
        <f>IF(OR($B61="",P$7=""),"",IF($B61="MEANS",INDEX('1-DATA'!$1:$1048576,$A60-1,COLUMN('1-DATA'!O59)),ROUND(INDEX('1-DATA'!$1:$1048576,IF(OR($B61="STD. DEVIATION",$C$1=1),$A61,$A61+1),COLUMN('1-DATA'!O59)),IF($B61="STD. DEVIATION",2,$F$1))))</f>
        <v/>
      </c>
      <c r="Q61" s="1" t="str">
        <f>IF(OR($B61="",Q$7=""),"",IF($B61="MEANS",INDEX('1-DATA'!$1:$1048576,$A60-1,COLUMN('1-DATA'!P59)),ROUND(INDEX('1-DATA'!$1:$1048576,IF(OR($B61="STD. DEVIATION",$C$1=1),$A61,$A61+1),COLUMN('1-DATA'!P59)),IF($B61="STD. DEVIATION",2,$F$1))))</f>
        <v/>
      </c>
      <c r="R61" s="1" t="str">
        <f>IF(OR($B61="",R$7=""),"",IF($B61="MEANS",INDEX('1-DATA'!$1:$1048576,$A60-1,COLUMN('1-DATA'!Q59)),ROUND(INDEX('1-DATA'!$1:$1048576,IF(OR($B61="STD. DEVIATION",$C$1=1),$A61,$A61+1),COLUMN('1-DATA'!Q59)),IF($B61="STD. DEVIATION",2,$F$1))))</f>
        <v/>
      </c>
      <c r="S61" s="1" t="str">
        <f>IF(OR($B61="",S$7=""),"",IF($B61="MEANS",INDEX('1-DATA'!$1:$1048576,$A60-1,COLUMN('1-DATA'!R59)),ROUND(INDEX('1-DATA'!$1:$1048576,IF(OR($B61="STD. DEVIATION",$C$1=1),$A61,$A61+1),COLUMN('1-DATA'!R59)),IF($B61="STD. DEVIATION",2,$F$1))))</f>
        <v/>
      </c>
      <c r="T61" s="1" t="str">
        <f>IF(OR($B61="",T$7=""),"",IF($B61="MEANS",INDEX('1-DATA'!$1:$1048576,$A60-1,COLUMN('1-DATA'!S59)),ROUND(INDEX('1-DATA'!$1:$1048576,IF(OR($B61="STD. DEVIATION",$C$1=1),$A61,$A61+1),COLUMN('1-DATA'!S59)),IF($B61="STD. DEVIATION",2,$F$1))))</f>
        <v/>
      </c>
      <c r="U61" s="1" t="str">
        <f>IF(OR($B61="",U$7=""),"",IF($B61="MEANS",INDEX('1-DATA'!$1:$1048576,$A60-1,COLUMN('1-DATA'!T59)),ROUND(INDEX('1-DATA'!$1:$1048576,IF(OR($B61="STD. DEVIATION",$C$1=1),$A61,$A61+1),COLUMN('1-DATA'!T59)),IF($B61="STD. DEVIATION",2,$F$1))))</f>
        <v/>
      </c>
      <c r="V61" s="1" t="str">
        <f>IF(OR($B61="",V$7=""),"",IF($B61="MEANS",INDEX('1-DATA'!$1:$1048576,$A60-1,COLUMN('1-DATA'!U59)),ROUND(INDEX('1-DATA'!$1:$1048576,IF(OR($B61="STD. DEVIATION",$C$1=1),$A61,$A61+1),COLUMN('1-DATA'!U59)),IF($B61="STD. DEVIATION",2,$F$1))))</f>
        <v/>
      </c>
      <c r="W61" s="1" t="str">
        <f>IF(OR($B61="",W$7=""),"",IF($B61="MEANS",INDEX('1-DATA'!$1:$1048576,$A60-1,COLUMN('1-DATA'!V59)),ROUND(INDEX('1-DATA'!$1:$1048576,IF(OR($B61="STD. DEVIATION",$C$1=1),$A61,$A61+1),COLUMN('1-DATA'!V59)),IF($B61="STD. DEVIATION",2,$F$1))))</f>
        <v/>
      </c>
      <c r="X61" s="1" t="str">
        <f>IF(OR($B61="",X$7=""),"",IF($B61="MEANS",INDEX('1-DATA'!$1:$1048576,$A60-1,COLUMN('1-DATA'!W59)),ROUND(INDEX('1-DATA'!$1:$1048576,IF(OR($B61="STD. DEVIATION",$C$1=1),$A61,$A61+1),COLUMN('1-DATA'!W59)),IF($B61="STD. DEVIATION",2,$F$1))))</f>
        <v/>
      </c>
      <c r="Y61" s="1" t="str">
        <f>IF(OR($B61="",Y$7=""),"",IF($B61="MEANS",INDEX('1-DATA'!$1:$1048576,$A60-1,COLUMN('1-DATA'!X59)),ROUND(INDEX('1-DATA'!$1:$1048576,IF(OR($B61="STD. DEVIATION",$C$1=1),$A61,$A61+1),COLUMN('1-DATA'!X59)),IF($B61="STD. DEVIATION",2,$F$1))))</f>
        <v/>
      </c>
      <c r="Z61" s="1" t="str">
        <f>IF(OR($B61="",Z$7=""),"",IF($B61="MEANS",INDEX('1-DATA'!$1:$1048576,$A60-1,COLUMN('1-DATA'!Y59)),ROUND(INDEX('1-DATA'!$1:$1048576,IF(OR($B61="STD. DEVIATION",$C$1=1),$A61,$A61+1),COLUMN('1-DATA'!Y59)),IF($B61="STD. DEVIATION",2,$F$1))))</f>
        <v/>
      </c>
      <c r="AA61" s="1" t="str">
        <f>IF(OR($B61="",AA$7=""),"",IF($B61="MEANS",INDEX('1-DATA'!$1:$1048576,$A60-1,COLUMN('1-DATA'!Z59)),ROUND(INDEX('1-DATA'!$1:$1048576,IF(OR($B61="STD. DEVIATION",$C$1=1),$A61,$A61+1),COLUMN('1-DATA'!Z59)),IF($B61="STD. DEVIATION",2,$F$1))))</f>
        <v/>
      </c>
      <c r="AB61" s="1" t="str">
        <f>IF(OR($B61="",AB$7=""),"",IF($B61="MEANS",INDEX('1-DATA'!$1:$1048576,$A60-1,COLUMN('1-DATA'!AA59)),ROUND(INDEX('1-DATA'!$1:$1048576,IF(OR($B61="STD. DEVIATION",$C$1=1),$A61,$A61+1),COLUMN('1-DATA'!AA59)),IF($B61="STD. DEVIATION",2,$F$1))))</f>
        <v/>
      </c>
      <c r="AC61" s="1" t="str">
        <f>IF(OR($B61="",AC$7=""),"",IF($B61="MEANS",INDEX('1-DATA'!$1:$1048576,$A60-1,COLUMN('1-DATA'!AB59)),ROUND(INDEX('1-DATA'!$1:$1048576,IF(OR($B61="STD. DEVIATION",$C$1=1),$A61,$A61+1),COLUMN('1-DATA'!AB59)),IF($B61="STD. DEVIATION",2,$F$1))))</f>
        <v/>
      </c>
      <c r="AD61" s="1" t="str">
        <f>IF(OR($B61="",AD$7=""),"",IF($B61="MEANS",INDEX('1-DATA'!$1:$1048576,$A60-1,COLUMN('1-DATA'!AC59)),ROUND(INDEX('1-DATA'!$1:$1048576,IF(OR($B61="STD. DEVIATION",$C$1=1),$A61,$A61+1),COLUMN('1-DATA'!AC59)),IF($B61="STD. DEVIATION",2,$F$1))))</f>
        <v/>
      </c>
      <c r="AE61" s="1" t="str">
        <f>IF(OR($B61="",AE$7=""),"",IF($B61="MEANS",INDEX('1-DATA'!$1:$1048576,$A60-1,COLUMN('1-DATA'!AD59)),ROUND(INDEX('1-DATA'!$1:$1048576,IF(OR($B61="STD. DEVIATION",$C$1=1),$A61,$A61+1),COLUMN('1-DATA'!AD59)),IF($B61="STD. DEVIATION",2,$F$1))))</f>
        <v/>
      </c>
      <c r="AF61" s="1" t="str">
        <f>IF(OR($B61="",AF$7=""),"",IF($B61="MEANS",INDEX('1-DATA'!$1:$1048576,$A60-1,COLUMN('1-DATA'!AE59)),ROUND(INDEX('1-DATA'!$1:$1048576,IF(OR($B61="STD. DEVIATION",$C$1=1),$A61,$A61+1),COLUMN('1-DATA'!AE59)),IF($B61="STD. DEVIATION",2,$F$1))))</f>
        <v/>
      </c>
      <c r="AG61" s="1" t="str">
        <f>IF(OR($B61="",AG$7=""),"",IF($B61="MEANS",INDEX('1-DATA'!$1:$1048576,$A60-1,COLUMN('1-DATA'!AF59)),ROUND(INDEX('1-DATA'!$1:$1048576,IF(OR($B61="STD. DEVIATION",$C$1=1),$A61,$A61+1),COLUMN('1-DATA'!AF59)),IF($B61="STD. DEVIATION",2,$F$1))))</f>
        <v/>
      </c>
      <c r="AH61" s="1" t="str">
        <f>IF(OR($B61="",AH$7=""),"",IF($B61="MEANS",INDEX('1-DATA'!$1:$1048576,$A60-1,COLUMN('1-DATA'!AG59)),ROUND(INDEX('1-DATA'!$1:$1048576,IF(OR($B61="STD. DEVIATION",$C$1=1),$A61,$A61+1),COLUMN('1-DATA'!AG59)),IF($B61="STD. DEVIATION",2,$F$1))))</f>
        <v/>
      </c>
      <c r="AI61" s="1" t="str">
        <f>IF(OR($B61="",AI$7=""),"",IF($B61="MEANS",INDEX('1-DATA'!$1:$1048576,$A60-1,COLUMN('1-DATA'!AH59)),ROUND(INDEX('1-DATA'!$1:$1048576,IF(OR($B61="STD. DEVIATION",$C$1=1),$A61,$A61+1),COLUMN('1-DATA'!AH59)),IF($B61="STD. DEVIATION",2,$F$1))))</f>
        <v/>
      </c>
      <c r="AJ61" s="1" t="str">
        <f>IF(OR($B61="",AJ$7=""),"",IF($B61="MEANS",INDEX('1-DATA'!$1:$1048576,$A60-1,COLUMN('1-DATA'!AI59)),ROUND(INDEX('1-DATA'!$1:$1048576,IF(OR($B61="STD. DEVIATION",$C$1=1),$A61,$A61+1),COLUMN('1-DATA'!AI59)),IF($B61="STD. DEVIATION",2,$F$1))))</f>
        <v/>
      </c>
      <c r="AK61" s="1" t="str">
        <f>IF(OR($B61="",AK$7=""),"",IF($B61="MEANS",INDEX('1-DATA'!$1:$1048576,$A60-1,COLUMN('1-DATA'!AJ59)),ROUND(INDEX('1-DATA'!$1:$1048576,IF(OR($B61="STD. DEVIATION",$C$1=1),$A61,$A61+1),COLUMN('1-DATA'!AJ59)),IF($B61="STD. DEVIATION",2,$F$1))))</f>
        <v/>
      </c>
      <c r="AL61" s="1" t="str">
        <f>IF(OR($B61="",AL$7=""),"",IF($B61="MEANS",INDEX('1-DATA'!$1:$1048576,$A60-1,COLUMN('1-DATA'!AK59)),ROUND(INDEX('1-DATA'!$1:$1048576,IF(OR($B61="STD. DEVIATION",$C$1=1),$A61,$A61+1),COLUMN('1-DATA'!AK59)),IF($B61="STD. DEVIATION",2,$F$1))))</f>
        <v/>
      </c>
      <c r="AM61" s="1" t="str">
        <f>IF(OR($B61="",AM$7=""),"",IF($B61="MEANS",INDEX('1-DATA'!$1:$1048576,$A60-1,COLUMN('1-DATA'!AL59)),ROUND(INDEX('1-DATA'!$1:$1048576,IF(OR($B61="STD. DEVIATION",$C$1=1),$A61,$A61+1),COLUMN('1-DATA'!AL59)),IF($B61="STD. DEVIATION",2,$F$1))))</f>
        <v/>
      </c>
      <c r="AN61" s="1" t="str">
        <f>IF(OR($B61="",AN$7=""),"",IF($B61="MEANS",INDEX('1-DATA'!$1:$1048576,$A60-1,COLUMN('1-DATA'!AM59)),ROUND(INDEX('1-DATA'!$1:$1048576,IF(OR($B61="STD. DEVIATION",$C$1=1),$A61,$A61+1),COLUMN('1-DATA'!AM59)),IF($B61="STD. DEVIATION",2,$F$1))))</f>
        <v/>
      </c>
      <c r="AO61" s="1" t="str">
        <f>IF(OR($B61="",AO$7=""),"",IF($B61="MEANS",INDEX('1-DATA'!$1:$1048576,$A60-1,COLUMN('1-DATA'!AN59)),ROUND(INDEX('1-DATA'!$1:$1048576,IF(OR($B61="STD. DEVIATION",$C$1=1),$A61,$A61+1),COLUMN('1-DATA'!AN59)),IF($B61="STD. DEVIATION",2,$F$1))))</f>
        <v/>
      </c>
      <c r="AP61" s="1" t="str">
        <f>IF(OR($B61="",AP$7=""),"",IF($B61="MEANS",INDEX('1-DATA'!$1:$1048576,$A60-1,COLUMN('1-DATA'!AO59)),ROUND(INDEX('1-DATA'!$1:$1048576,IF(OR($B61="STD. DEVIATION",$C$1=1),$A61,$A61+1),COLUMN('1-DATA'!AO59)),IF($B61="STD. DEVIATION",2,$F$1))))</f>
        <v/>
      </c>
      <c r="AQ61" s="1" t="str">
        <f>IF(OR($B61="",AQ$7=""),"",IF($B61="MEANS",INDEX('1-DATA'!$1:$1048576,$A60-1,COLUMN('1-DATA'!AP59)),ROUND(INDEX('1-DATA'!$1:$1048576,IF(OR($B61="STD. DEVIATION",$C$1=1),$A61,$A61+1),COLUMN('1-DATA'!AP59)),IF($B61="STD. DEVIATION",2,$F$1))))</f>
        <v/>
      </c>
      <c r="AR61" s="1" t="str">
        <f>IF(OR($B61="",AR$7=""),"",IF($B61="MEANS",INDEX('1-DATA'!$1:$1048576,$A60-1,COLUMN('1-DATA'!AQ59)),ROUND(INDEX('1-DATA'!$1:$1048576,IF(OR($B61="STD. DEVIATION",$C$1=1),$A61,$A61+1),COLUMN('1-DATA'!AQ59)),IF($B61="STD. DEVIATION",2,$F$1))))</f>
        <v/>
      </c>
      <c r="AS61" s="1" t="str">
        <f>IF(OR($B61="",AS$7=""),"",IF($B61="MEANS",INDEX('1-DATA'!$1:$1048576,$A60-1,COLUMN('1-DATA'!AR59)),ROUND(INDEX('1-DATA'!$1:$1048576,IF(OR($B61="STD. DEVIATION",$C$1=1),$A61,$A61+1),COLUMN('1-DATA'!AR59)),IF($B61="STD. DEVIATION",2,$F$1))))</f>
        <v/>
      </c>
      <c r="AT61" s="1" t="str">
        <f>IF(OR($B61="",AT$7=""),"",IF($B61="MEANS",INDEX('1-DATA'!$1:$1048576,$A60-1,COLUMN('1-DATA'!AS59)),ROUND(INDEX('1-DATA'!$1:$1048576,IF(OR($B61="STD. DEVIATION",$C$1=1),$A61,$A61+1),COLUMN('1-DATA'!AS59)),IF($B61="STD. DEVIATION",2,$F$1))))</f>
        <v/>
      </c>
      <c r="AU61" s="1" t="str">
        <f>IF(OR($B61="",AU$7=""),"",IF($B61="MEANS",INDEX('1-DATA'!$1:$1048576,$A60-1,COLUMN('1-DATA'!AT59)),ROUND(INDEX('1-DATA'!$1:$1048576,IF(OR($B61="STD. DEVIATION",$C$1=1),$A61,$A61+1),COLUMN('1-DATA'!AT59)),IF($B61="STD. DEVIATION",2,$F$1))))</f>
        <v/>
      </c>
      <c r="AV61" s="1" t="str">
        <f>IF(OR($B61="",AV$7=""),"",IF($B61="MEANS",INDEX('1-DATA'!$1:$1048576,$A60-1,COLUMN('1-DATA'!AU59)),ROUND(INDEX('1-DATA'!$1:$1048576,IF(OR($B61="STD. DEVIATION",$C$1=1),$A61,$A61+1),COLUMN('1-DATA'!AU59)),IF($B61="STD. DEVIATION",2,$F$1))))</f>
        <v/>
      </c>
      <c r="AW61" s="1" t="str">
        <f>IF(OR($B61="",AW$7=""),"",IF($B61="MEANS",INDEX('1-DATA'!$1:$1048576,$A60-1,COLUMN('1-DATA'!AV59)),ROUND(INDEX('1-DATA'!$1:$1048576,IF(OR($B61="STD. DEVIATION",$C$1=1),$A61,$A61+1),COLUMN('1-DATA'!AV59)),IF($B61="STD. DEVIATION",2,$F$1))))</f>
        <v/>
      </c>
      <c r="AX61" s="1" t="str">
        <f>IF(OR($B61="",AX$7=""),"",IF($B61="MEANS",INDEX('1-DATA'!$1:$1048576,$A60-1,COLUMN('1-DATA'!AW59)),ROUND(INDEX('1-DATA'!$1:$1048576,IF(OR($B61="STD. DEVIATION",$C$1=1),$A61,$A61+1),COLUMN('1-DATA'!AW59)),IF($B61="STD. DEVIATION",2,$F$1))))</f>
        <v/>
      </c>
      <c r="AY61" s="1" t="str">
        <f>IF(OR($B61="",AY$7=""),"",IF($B61="MEANS",INDEX('1-DATA'!$1:$1048576,$A60-1,COLUMN('1-DATA'!AX59)),ROUND(INDEX('1-DATA'!$1:$1048576,IF(OR($B61="STD. DEVIATION",$C$1=1),$A61,$A61+1),COLUMN('1-DATA'!AX59)),IF($B61="STD. DEVIATION",2,$F$1))))</f>
        <v/>
      </c>
      <c r="AZ61" s="1" t="str">
        <f>IF(OR($B61="",AZ$7=""),"",IF($B61="MEANS",INDEX('1-DATA'!$1:$1048576,$A60-1,COLUMN('1-DATA'!AY59)),ROUND(INDEX('1-DATA'!$1:$1048576,IF(OR($B61="STD. DEVIATION",$C$1=1),$A61,$A61+1),COLUMN('1-DATA'!AY59)),IF($B61="STD. DEVIATION",2,$F$1))))</f>
        <v/>
      </c>
    </row>
    <row r="62" spans="1:52" x14ac:dyDescent="0.25">
      <c r="A62" s="11">
        <f t="shared" si="1"/>
        <v>172</v>
      </c>
      <c r="B62" s="1" t="str">
        <f>IF(B61="STD. DEVIATION",INDEX('1-DATA'!$1:$1048576,$A61-1,1),IF(INDEX('1-DATA'!$1:$1048576,$A62,1)&lt;&gt;"",INDEX('1-DATA'!$1:$1048576,$A62,1),""))</f>
        <v/>
      </c>
      <c r="C62" s="1" t="str">
        <f>IF(OR($B62="",C$7=""),"",IF($B62="MEANS",INDEX('1-DATA'!$1:$1048576,$A61-1,COLUMN('1-DATA'!B60)),ROUND(INDEX('1-DATA'!$1:$1048576,IF(OR($B62="STD. DEVIATION",$C$1=1),$A62,$A62+1),COLUMN('1-DATA'!B60)),IF($B62="STD. DEVIATION",2,$F$1))))</f>
        <v/>
      </c>
      <c r="D62" s="1" t="str">
        <f>IF(OR($B62="",D$7=""),"",IF($B62="MEANS",INDEX('1-DATA'!$1:$1048576,$A61-1,COLUMN('1-DATA'!C60)),ROUND(INDEX('1-DATA'!$1:$1048576,IF(OR($B62="STD. DEVIATION",$C$1=1),$A62,$A62+1),COLUMN('1-DATA'!C60)),IF($B62="STD. DEVIATION",2,$F$1))))</f>
        <v/>
      </c>
      <c r="E62" s="1" t="str">
        <f>IF(OR($B62="",E$7=""),"",IF($B62="MEANS",INDEX('1-DATA'!$1:$1048576,$A61-1,COLUMN('1-DATA'!D60)),ROUND(INDEX('1-DATA'!$1:$1048576,IF(OR($B62="STD. DEVIATION",$C$1=1),$A62,$A62+1),COLUMN('1-DATA'!D60)),IF($B62="STD. DEVIATION",2,$F$1))))</f>
        <v/>
      </c>
      <c r="F62" s="1" t="str">
        <f>IF(OR($B62="",F$7=""),"",IF($B62="MEANS",INDEX('1-DATA'!$1:$1048576,$A61-1,COLUMN('1-DATA'!E60)),ROUND(INDEX('1-DATA'!$1:$1048576,IF(OR($B62="STD. DEVIATION",$C$1=1),$A62,$A62+1),COLUMN('1-DATA'!E60)),IF($B62="STD. DEVIATION",2,$F$1))))</f>
        <v/>
      </c>
      <c r="G62" s="1" t="str">
        <f>IF(OR($B62="",G$7=""),"",IF($B62="MEANS",INDEX('1-DATA'!$1:$1048576,$A61-1,COLUMN('1-DATA'!F60)),ROUND(INDEX('1-DATA'!$1:$1048576,IF(OR($B62="STD. DEVIATION",$C$1=1),$A62,$A62+1),COLUMN('1-DATA'!F60)),IF($B62="STD. DEVIATION",2,$F$1))))</f>
        <v/>
      </c>
      <c r="H62" s="1" t="str">
        <f>IF(OR($B62="",H$7=""),"",IF($B62="MEANS",INDEX('1-DATA'!$1:$1048576,$A61-1,COLUMN('1-DATA'!G60)),ROUND(INDEX('1-DATA'!$1:$1048576,IF(OR($B62="STD. DEVIATION",$C$1=1),$A62,$A62+1),COLUMN('1-DATA'!G60)),IF($B62="STD. DEVIATION",2,$F$1))))</f>
        <v/>
      </c>
      <c r="I62" s="1" t="str">
        <f>IF(OR($B62="",I$7=""),"",IF($B62="MEANS",INDEX('1-DATA'!$1:$1048576,$A61-1,COLUMN('1-DATA'!H60)),ROUND(INDEX('1-DATA'!$1:$1048576,IF(OR($B62="STD. DEVIATION",$C$1=1),$A62,$A62+1),COLUMN('1-DATA'!H60)),IF($B62="STD. DEVIATION",2,$F$1))))</f>
        <v/>
      </c>
      <c r="J62" s="1" t="str">
        <f>IF(OR($B62="",J$7=""),"",IF($B62="MEANS",INDEX('1-DATA'!$1:$1048576,$A61-1,COLUMN('1-DATA'!I60)),ROUND(INDEX('1-DATA'!$1:$1048576,IF(OR($B62="STD. DEVIATION",$C$1=1),$A62,$A62+1),COLUMN('1-DATA'!I60)),IF($B62="STD. DEVIATION",2,$F$1))))</f>
        <v/>
      </c>
      <c r="K62" s="1" t="str">
        <f>IF(OR($B62="",K$7=""),"",IF($B62="MEANS",INDEX('1-DATA'!$1:$1048576,$A61-1,COLUMN('1-DATA'!J60)),ROUND(INDEX('1-DATA'!$1:$1048576,IF(OR($B62="STD. DEVIATION",$C$1=1),$A62,$A62+1),COLUMN('1-DATA'!J60)),IF($B62="STD. DEVIATION",2,$F$1))))</f>
        <v/>
      </c>
      <c r="L62" s="1" t="str">
        <f>IF(OR($B62="",L$7=""),"",IF($B62="MEANS",INDEX('1-DATA'!$1:$1048576,$A61-1,COLUMN('1-DATA'!K60)),ROUND(INDEX('1-DATA'!$1:$1048576,IF(OR($B62="STD. DEVIATION",$C$1=1),$A62,$A62+1),COLUMN('1-DATA'!K60)),IF($B62="STD. DEVIATION",2,$F$1))))</f>
        <v/>
      </c>
      <c r="M62" s="1" t="str">
        <f>IF(OR($B62="",M$7=""),"",IF($B62="MEANS",INDEX('1-DATA'!$1:$1048576,$A61-1,COLUMN('1-DATA'!L60)),ROUND(INDEX('1-DATA'!$1:$1048576,IF(OR($B62="STD. DEVIATION",$C$1=1),$A62,$A62+1),COLUMN('1-DATA'!L60)),IF($B62="STD. DEVIATION",2,$F$1))))</f>
        <v/>
      </c>
      <c r="N62" s="1" t="str">
        <f>IF(OR($B62="",N$7=""),"",IF($B62="MEANS",INDEX('1-DATA'!$1:$1048576,$A61-1,COLUMN('1-DATA'!M60)),ROUND(INDEX('1-DATA'!$1:$1048576,IF(OR($B62="STD. DEVIATION",$C$1=1),$A62,$A62+1),COLUMN('1-DATA'!M60)),IF($B62="STD. DEVIATION",2,$F$1))))</f>
        <v/>
      </c>
      <c r="O62" s="1" t="str">
        <f>IF(OR($B62="",O$7=""),"",IF($B62="MEANS",INDEX('1-DATA'!$1:$1048576,$A61-1,COLUMN('1-DATA'!N60)),ROUND(INDEX('1-DATA'!$1:$1048576,IF(OR($B62="STD. DEVIATION",$C$1=1),$A62,$A62+1),COLUMN('1-DATA'!N60)),IF($B62="STD. DEVIATION",2,$F$1))))</f>
        <v/>
      </c>
      <c r="P62" s="1" t="str">
        <f>IF(OR($B62="",P$7=""),"",IF($B62="MEANS",INDEX('1-DATA'!$1:$1048576,$A61-1,COLUMN('1-DATA'!O60)),ROUND(INDEX('1-DATA'!$1:$1048576,IF(OR($B62="STD. DEVIATION",$C$1=1),$A62,$A62+1),COLUMN('1-DATA'!O60)),IF($B62="STD. DEVIATION",2,$F$1))))</f>
        <v/>
      </c>
      <c r="Q62" s="1" t="str">
        <f>IF(OR($B62="",Q$7=""),"",IF($B62="MEANS",INDEX('1-DATA'!$1:$1048576,$A61-1,COLUMN('1-DATA'!P60)),ROUND(INDEX('1-DATA'!$1:$1048576,IF(OR($B62="STD. DEVIATION",$C$1=1),$A62,$A62+1),COLUMN('1-DATA'!P60)),IF($B62="STD. DEVIATION",2,$F$1))))</f>
        <v/>
      </c>
      <c r="R62" s="1" t="str">
        <f>IF(OR($B62="",R$7=""),"",IF($B62="MEANS",INDEX('1-DATA'!$1:$1048576,$A61-1,COLUMN('1-DATA'!Q60)),ROUND(INDEX('1-DATA'!$1:$1048576,IF(OR($B62="STD. DEVIATION",$C$1=1),$A62,$A62+1),COLUMN('1-DATA'!Q60)),IF($B62="STD. DEVIATION",2,$F$1))))</f>
        <v/>
      </c>
      <c r="S62" s="1" t="str">
        <f>IF(OR($B62="",S$7=""),"",IF($B62="MEANS",INDEX('1-DATA'!$1:$1048576,$A61-1,COLUMN('1-DATA'!R60)),ROUND(INDEX('1-DATA'!$1:$1048576,IF(OR($B62="STD. DEVIATION",$C$1=1),$A62,$A62+1),COLUMN('1-DATA'!R60)),IF($B62="STD. DEVIATION",2,$F$1))))</f>
        <v/>
      </c>
      <c r="T62" s="1" t="str">
        <f>IF(OR($B62="",T$7=""),"",IF($B62="MEANS",INDEX('1-DATA'!$1:$1048576,$A61-1,COLUMN('1-DATA'!S60)),ROUND(INDEX('1-DATA'!$1:$1048576,IF(OR($B62="STD. DEVIATION",$C$1=1),$A62,$A62+1),COLUMN('1-DATA'!S60)),IF($B62="STD. DEVIATION",2,$F$1))))</f>
        <v/>
      </c>
      <c r="U62" s="1" t="str">
        <f>IF(OR($B62="",U$7=""),"",IF($B62="MEANS",INDEX('1-DATA'!$1:$1048576,$A61-1,COLUMN('1-DATA'!T60)),ROUND(INDEX('1-DATA'!$1:$1048576,IF(OR($B62="STD. DEVIATION",$C$1=1),$A62,$A62+1),COLUMN('1-DATA'!T60)),IF($B62="STD. DEVIATION",2,$F$1))))</f>
        <v/>
      </c>
      <c r="V62" s="1" t="str">
        <f>IF(OR($B62="",V$7=""),"",IF($B62="MEANS",INDEX('1-DATA'!$1:$1048576,$A61-1,COLUMN('1-DATA'!U60)),ROUND(INDEX('1-DATA'!$1:$1048576,IF(OR($B62="STD. DEVIATION",$C$1=1),$A62,$A62+1),COLUMN('1-DATA'!U60)),IF($B62="STD. DEVIATION",2,$F$1))))</f>
        <v/>
      </c>
      <c r="W62" s="1" t="str">
        <f>IF(OR($B62="",W$7=""),"",IF($B62="MEANS",INDEX('1-DATA'!$1:$1048576,$A61-1,COLUMN('1-DATA'!V60)),ROUND(INDEX('1-DATA'!$1:$1048576,IF(OR($B62="STD. DEVIATION",$C$1=1),$A62,$A62+1),COLUMN('1-DATA'!V60)),IF($B62="STD. DEVIATION",2,$F$1))))</f>
        <v/>
      </c>
      <c r="X62" s="1" t="str">
        <f>IF(OR($B62="",X$7=""),"",IF($B62="MEANS",INDEX('1-DATA'!$1:$1048576,$A61-1,COLUMN('1-DATA'!W60)),ROUND(INDEX('1-DATA'!$1:$1048576,IF(OR($B62="STD. DEVIATION",$C$1=1),$A62,$A62+1),COLUMN('1-DATA'!W60)),IF($B62="STD. DEVIATION",2,$F$1))))</f>
        <v/>
      </c>
      <c r="Y62" s="1" t="str">
        <f>IF(OR($B62="",Y$7=""),"",IF($B62="MEANS",INDEX('1-DATA'!$1:$1048576,$A61-1,COLUMN('1-DATA'!X60)),ROUND(INDEX('1-DATA'!$1:$1048576,IF(OR($B62="STD. DEVIATION",$C$1=1),$A62,$A62+1),COLUMN('1-DATA'!X60)),IF($B62="STD. DEVIATION",2,$F$1))))</f>
        <v/>
      </c>
      <c r="Z62" s="1" t="str">
        <f>IF(OR($B62="",Z$7=""),"",IF($B62="MEANS",INDEX('1-DATA'!$1:$1048576,$A61-1,COLUMN('1-DATA'!Y60)),ROUND(INDEX('1-DATA'!$1:$1048576,IF(OR($B62="STD. DEVIATION",$C$1=1),$A62,$A62+1),COLUMN('1-DATA'!Y60)),IF($B62="STD. DEVIATION",2,$F$1))))</f>
        <v/>
      </c>
      <c r="AA62" s="1" t="str">
        <f>IF(OR($B62="",AA$7=""),"",IF($B62="MEANS",INDEX('1-DATA'!$1:$1048576,$A61-1,COLUMN('1-DATA'!Z60)),ROUND(INDEX('1-DATA'!$1:$1048576,IF(OR($B62="STD. DEVIATION",$C$1=1),$A62,$A62+1),COLUMN('1-DATA'!Z60)),IF($B62="STD. DEVIATION",2,$F$1))))</f>
        <v/>
      </c>
      <c r="AB62" s="1" t="str">
        <f>IF(OR($B62="",AB$7=""),"",IF($B62="MEANS",INDEX('1-DATA'!$1:$1048576,$A61-1,COLUMN('1-DATA'!AA60)),ROUND(INDEX('1-DATA'!$1:$1048576,IF(OR($B62="STD. DEVIATION",$C$1=1),$A62,$A62+1),COLUMN('1-DATA'!AA60)),IF($B62="STD. DEVIATION",2,$F$1))))</f>
        <v/>
      </c>
      <c r="AC62" s="1" t="str">
        <f>IF(OR($B62="",AC$7=""),"",IF($B62="MEANS",INDEX('1-DATA'!$1:$1048576,$A61-1,COLUMN('1-DATA'!AB60)),ROUND(INDEX('1-DATA'!$1:$1048576,IF(OR($B62="STD. DEVIATION",$C$1=1),$A62,$A62+1),COLUMN('1-DATA'!AB60)),IF($B62="STD. DEVIATION",2,$F$1))))</f>
        <v/>
      </c>
      <c r="AD62" s="1" t="str">
        <f>IF(OR($B62="",AD$7=""),"",IF($B62="MEANS",INDEX('1-DATA'!$1:$1048576,$A61-1,COLUMN('1-DATA'!AC60)),ROUND(INDEX('1-DATA'!$1:$1048576,IF(OR($B62="STD. DEVIATION",$C$1=1),$A62,$A62+1),COLUMN('1-DATA'!AC60)),IF($B62="STD. DEVIATION",2,$F$1))))</f>
        <v/>
      </c>
      <c r="AE62" s="1" t="str">
        <f>IF(OR($B62="",AE$7=""),"",IF($B62="MEANS",INDEX('1-DATA'!$1:$1048576,$A61-1,COLUMN('1-DATA'!AD60)),ROUND(INDEX('1-DATA'!$1:$1048576,IF(OR($B62="STD. DEVIATION",$C$1=1),$A62,$A62+1),COLUMN('1-DATA'!AD60)),IF($B62="STD. DEVIATION",2,$F$1))))</f>
        <v/>
      </c>
      <c r="AF62" s="1" t="str">
        <f>IF(OR($B62="",AF$7=""),"",IF($B62="MEANS",INDEX('1-DATA'!$1:$1048576,$A61-1,COLUMN('1-DATA'!AE60)),ROUND(INDEX('1-DATA'!$1:$1048576,IF(OR($B62="STD. DEVIATION",$C$1=1),$A62,$A62+1),COLUMN('1-DATA'!AE60)),IF($B62="STD. DEVIATION",2,$F$1))))</f>
        <v/>
      </c>
      <c r="AG62" s="1" t="str">
        <f>IF(OR($B62="",AG$7=""),"",IF($B62="MEANS",INDEX('1-DATA'!$1:$1048576,$A61-1,COLUMN('1-DATA'!AF60)),ROUND(INDEX('1-DATA'!$1:$1048576,IF(OR($B62="STD. DEVIATION",$C$1=1),$A62,$A62+1),COLUMN('1-DATA'!AF60)),IF($B62="STD. DEVIATION",2,$F$1))))</f>
        <v/>
      </c>
      <c r="AH62" s="1" t="str">
        <f>IF(OR($B62="",AH$7=""),"",IF($B62="MEANS",INDEX('1-DATA'!$1:$1048576,$A61-1,COLUMN('1-DATA'!AG60)),ROUND(INDEX('1-DATA'!$1:$1048576,IF(OR($B62="STD. DEVIATION",$C$1=1),$A62,$A62+1),COLUMN('1-DATA'!AG60)),IF($B62="STD. DEVIATION",2,$F$1))))</f>
        <v/>
      </c>
      <c r="AI62" s="1" t="str">
        <f>IF(OR($B62="",AI$7=""),"",IF($B62="MEANS",INDEX('1-DATA'!$1:$1048576,$A61-1,COLUMN('1-DATA'!AH60)),ROUND(INDEX('1-DATA'!$1:$1048576,IF(OR($B62="STD. DEVIATION",$C$1=1),$A62,$A62+1),COLUMN('1-DATA'!AH60)),IF($B62="STD. DEVIATION",2,$F$1))))</f>
        <v/>
      </c>
      <c r="AJ62" s="1" t="str">
        <f>IF(OR($B62="",AJ$7=""),"",IF($B62="MEANS",INDEX('1-DATA'!$1:$1048576,$A61-1,COLUMN('1-DATA'!AI60)),ROUND(INDEX('1-DATA'!$1:$1048576,IF(OR($B62="STD. DEVIATION",$C$1=1),$A62,$A62+1),COLUMN('1-DATA'!AI60)),IF($B62="STD. DEVIATION",2,$F$1))))</f>
        <v/>
      </c>
      <c r="AK62" s="1" t="str">
        <f>IF(OR($B62="",AK$7=""),"",IF($B62="MEANS",INDEX('1-DATA'!$1:$1048576,$A61-1,COLUMN('1-DATA'!AJ60)),ROUND(INDEX('1-DATA'!$1:$1048576,IF(OR($B62="STD. DEVIATION",$C$1=1),$A62,$A62+1),COLUMN('1-DATA'!AJ60)),IF($B62="STD. DEVIATION",2,$F$1))))</f>
        <v/>
      </c>
      <c r="AL62" s="1" t="str">
        <f>IF(OR($B62="",AL$7=""),"",IF($B62="MEANS",INDEX('1-DATA'!$1:$1048576,$A61-1,COLUMN('1-DATA'!AK60)),ROUND(INDEX('1-DATA'!$1:$1048576,IF(OR($B62="STD. DEVIATION",$C$1=1),$A62,$A62+1),COLUMN('1-DATA'!AK60)),IF($B62="STD. DEVIATION",2,$F$1))))</f>
        <v/>
      </c>
      <c r="AM62" s="1" t="str">
        <f>IF(OR($B62="",AM$7=""),"",IF($B62="MEANS",INDEX('1-DATA'!$1:$1048576,$A61-1,COLUMN('1-DATA'!AL60)),ROUND(INDEX('1-DATA'!$1:$1048576,IF(OR($B62="STD. DEVIATION",$C$1=1),$A62,$A62+1),COLUMN('1-DATA'!AL60)),IF($B62="STD. DEVIATION",2,$F$1))))</f>
        <v/>
      </c>
      <c r="AN62" s="1" t="str">
        <f>IF(OR($B62="",AN$7=""),"",IF($B62="MEANS",INDEX('1-DATA'!$1:$1048576,$A61-1,COLUMN('1-DATA'!AM60)),ROUND(INDEX('1-DATA'!$1:$1048576,IF(OR($B62="STD. DEVIATION",$C$1=1),$A62,$A62+1),COLUMN('1-DATA'!AM60)),IF($B62="STD. DEVIATION",2,$F$1))))</f>
        <v/>
      </c>
      <c r="AO62" s="1" t="str">
        <f>IF(OR($B62="",AO$7=""),"",IF($B62="MEANS",INDEX('1-DATA'!$1:$1048576,$A61-1,COLUMN('1-DATA'!AN60)),ROUND(INDEX('1-DATA'!$1:$1048576,IF(OR($B62="STD. DEVIATION",$C$1=1),$A62,$A62+1),COLUMN('1-DATA'!AN60)),IF($B62="STD. DEVIATION",2,$F$1))))</f>
        <v/>
      </c>
      <c r="AP62" s="1" t="str">
        <f>IF(OR($B62="",AP$7=""),"",IF($B62="MEANS",INDEX('1-DATA'!$1:$1048576,$A61-1,COLUMN('1-DATA'!AO60)),ROUND(INDEX('1-DATA'!$1:$1048576,IF(OR($B62="STD. DEVIATION",$C$1=1),$A62,$A62+1),COLUMN('1-DATA'!AO60)),IF($B62="STD. DEVIATION",2,$F$1))))</f>
        <v/>
      </c>
      <c r="AQ62" s="1" t="str">
        <f>IF(OR($B62="",AQ$7=""),"",IF($B62="MEANS",INDEX('1-DATA'!$1:$1048576,$A61-1,COLUMN('1-DATA'!AP60)),ROUND(INDEX('1-DATA'!$1:$1048576,IF(OR($B62="STD. DEVIATION",$C$1=1),$A62,$A62+1),COLUMN('1-DATA'!AP60)),IF($B62="STD. DEVIATION",2,$F$1))))</f>
        <v/>
      </c>
      <c r="AR62" s="1" t="str">
        <f>IF(OR($B62="",AR$7=""),"",IF($B62="MEANS",INDEX('1-DATA'!$1:$1048576,$A61-1,COLUMN('1-DATA'!AQ60)),ROUND(INDEX('1-DATA'!$1:$1048576,IF(OR($B62="STD. DEVIATION",$C$1=1),$A62,$A62+1),COLUMN('1-DATA'!AQ60)),IF($B62="STD. DEVIATION",2,$F$1))))</f>
        <v/>
      </c>
      <c r="AS62" s="1" t="str">
        <f>IF(OR($B62="",AS$7=""),"",IF($B62="MEANS",INDEX('1-DATA'!$1:$1048576,$A61-1,COLUMN('1-DATA'!AR60)),ROUND(INDEX('1-DATA'!$1:$1048576,IF(OR($B62="STD. DEVIATION",$C$1=1),$A62,$A62+1),COLUMN('1-DATA'!AR60)),IF($B62="STD. DEVIATION",2,$F$1))))</f>
        <v/>
      </c>
      <c r="AT62" s="1" t="str">
        <f>IF(OR($B62="",AT$7=""),"",IF($B62="MEANS",INDEX('1-DATA'!$1:$1048576,$A61-1,COLUMN('1-DATA'!AS60)),ROUND(INDEX('1-DATA'!$1:$1048576,IF(OR($B62="STD. DEVIATION",$C$1=1),$A62,$A62+1),COLUMN('1-DATA'!AS60)),IF($B62="STD. DEVIATION",2,$F$1))))</f>
        <v/>
      </c>
      <c r="AU62" s="1" t="str">
        <f>IF(OR($B62="",AU$7=""),"",IF($B62="MEANS",INDEX('1-DATA'!$1:$1048576,$A61-1,COLUMN('1-DATA'!AT60)),ROUND(INDEX('1-DATA'!$1:$1048576,IF(OR($B62="STD. DEVIATION",$C$1=1),$A62,$A62+1),COLUMN('1-DATA'!AT60)),IF($B62="STD. DEVIATION",2,$F$1))))</f>
        <v/>
      </c>
      <c r="AV62" s="1" t="str">
        <f>IF(OR($B62="",AV$7=""),"",IF($B62="MEANS",INDEX('1-DATA'!$1:$1048576,$A61-1,COLUMN('1-DATA'!AU60)),ROUND(INDEX('1-DATA'!$1:$1048576,IF(OR($B62="STD. DEVIATION",$C$1=1),$A62,$A62+1),COLUMN('1-DATA'!AU60)),IF($B62="STD. DEVIATION",2,$F$1))))</f>
        <v/>
      </c>
      <c r="AW62" s="1" t="str">
        <f>IF(OR($B62="",AW$7=""),"",IF($B62="MEANS",INDEX('1-DATA'!$1:$1048576,$A61-1,COLUMN('1-DATA'!AV60)),ROUND(INDEX('1-DATA'!$1:$1048576,IF(OR($B62="STD. DEVIATION",$C$1=1),$A62,$A62+1),COLUMN('1-DATA'!AV60)),IF($B62="STD. DEVIATION",2,$F$1))))</f>
        <v/>
      </c>
      <c r="AX62" s="1" t="str">
        <f>IF(OR($B62="",AX$7=""),"",IF($B62="MEANS",INDEX('1-DATA'!$1:$1048576,$A61-1,COLUMN('1-DATA'!AW60)),ROUND(INDEX('1-DATA'!$1:$1048576,IF(OR($B62="STD. DEVIATION",$C$1=1),$A62,$A62+1),COLUMN('1-DATA'!AW60)),IF($B62="STD. DEVIATION",2,$F$1))))</f>
        <v/>
      </c>
      <c r="AY62" s="1" t="str">
        <f>IF(OR($B62="",AY$7=""),"",IF($B62="MEANS",INDEX('1-DATA'!$1:$1048576,$A61-1,COLUMN('1-DATA'!AX60)),ROUND(INDEX('1-DATA'!$1:$1048576,IF(OR($B62="STD. DEVIATION",$C$1=1),$A62,$A62+1),COLUMN('1-DATA'!AX60)),IF($B62="STD. DEVIATION",2,$F$1))))</f>
        <v/>
      </c>
      <c r="AZ62" s="1" t="str">
        <f>IF(OR($B62="",AZ$7=""),"",IF($B62="MEANS",INDEX('1-DATA'!$1:$1048576,$A61-1,COLUMN('1-DATA'!AY60)),ROUND(INDEX('1-DATA'!$1:$1048576,IF(OR($B62="STD. DEVIATION",$C$1=1),$A62,$A62+1),COLUMN('1-DATA'!AY60)),IF($B62="STD. DEVIATION",2,$F$1))))</f>
        <v/>
      </c>
    </row>
    <row r="63" spans="1:52" x14ac:dyDescent="0.25">
      <c r="A63" s="11">
        <f t="shared" si="1"/>
        <v>175</v>
      </c>
      <c r="B63" s="1" t="str">
        <f>IF(B62="STD. DEVIATION",INDEX('1-DATA'!$1:$1048576,$A62-1,1),IF(INDEX('1-DATA'!$1:$1048576,$A63,1)&lt;&gt;"",INDEX('1-DATA'!$1:$1048576,$A63,1),""))</f>
        <v/>
      </c>
      <c r="C63" s="1" t="str">
        <f>IF(OR($B63="",C$7=""),"",IF($B63="MEANS",INDEX('1-DATA'!$1:$1048576,$A62-1,COLUMN('1-DATA'!B61)),ROUND(INDEX('1-DATA'!$1:$1048576,IF(OR($B63="STD. DEVIATION",$C$1=1),$A63,$A63+1),COLUMN('1-DATA'!B61)),IF($B63="STD. DEVIATION",2,$F$1))))</f>
        <v/>
      </c>
      <c r="D63" s="1" t="str">
        <f>IF(OR($B63="",D$7=""),"",IF($B63="MEANS",INDEX('1-DATA'!$1:$1048576,$A62-1,COLUMN('1-DATA'!C61)),ROUND(INDEX('1-DATA'!$1:$1048576,IF(OR($B63="STD. DEVIATION",$C$1=1),$A63,$A63+1),COLUMN('1-DATA'!C61)),IF($B63="STD. DEVIATION",2,$F$1))))</f>
        <v/>
      </c>
      <c r="E63" s="1" t="str">
        <f>IF(OR($B63="",E$7=""),"",IF($B63="MEANS",INDEX('1-DATA'!$1:$1048576,$A62-1,COLUMN('1-DATA'!D61)),ROUND(INDEX('1-DATA'!$1:$1048576,IF(OR($B63="STD. DEVIATION",$C$1=1),$A63,$A63+1),COLUMN('1-DATA'!D61)),IF($B63="STD. DEVIATION",2,$F$1))))</f>
        <v/>
      </c>
      <c r="F63" s="1" t="str">
        <f>IF(OR($B63="",F$7=""),"",IF($B63="MEANS",INDEX('1-DATA'!$1:$1048576,$A62-1,COLUMN('1-DATA'!E61)),ROUND(INDEX('1-DATA'!$1:$1048576,IF(OR($B63="STD. DEVIATION",$C$1=1),$A63,$A63+1),COLUMN('1-DATA'!E61)),IF($B63="STD. DEVIATION",2,$F$1))))</f>
        <v/>
      </c>
      <c r="G63" s="1" t="str">
        <f>IF(OR($B63="",G$7=""),"",IF($B63="MEANS",INDEX('1-DATA'!$1:$1048576,$A62-1,COLUMN('1-DATA'!F61)),ROUND(INDEX('1-DATA'!$1:$1048576,IF(OR($B63="STD. DEVIATION",$C$1=1),$A63,$A63+1),COLUMN('1-DATA'!F61)),IF($B63="STD. DEVIATION",2,$F$1))))</f>
        <v/>
      </c>
      <c r="H63" s="1" t="str">
        <f>IF(OR($B63="",H$7=""),"",IF($B63="MEANS",INDEX('1-DATA'!$1:$1048576,$A62-1,COLUMN('1-DATA'!G61)),ROUND(INDEX('1-DATA'!$1:$1048576,IF(OR($B63="STD. DEVIATION",$C$1=1),$A63,$A63+1),COLUMN('1-DATA'!G61)),IF($B63="STD. DEVIATION",2,$F$1))))</f>
        <v/>
      </c>
      <c r="I63" s="1" t="str">
        <f>IF(OR($B63="",I$7=""),"",IF($B63="MEANS",INDEX('1-DATA'!$1:$1048576,$A62-1,COLUMN('1-DATA'!H61)),ROUND(INDEX('1-DATA'!$1:$1048576,IF(OR($B63="STD. DEVIATION",$C$1=1),$A63,$A63+1),COLUMN('1-DATA'!H61)),IF($B63="STD. DEVIATION",2,$F$1))))</f>
        <v/>
      </c>
      <c r="J63" s="1" t="str">
        <f>IF(OR($B63="",J$7=""),"",IF($B63="MEANS",INDEX('1-DATA'!$1:$1048576,$A62-1,COLUMN('1-DATA'!I61)),ROUND(INDEX('1-DATA'!$1:$1048576,IF(OR($B63="STD. DEVIATION",$C$1=1),$A63,$A63+1),COLUMN('1-DATA'!I61)),IF($B63="STD. DEVIATION",2,$F$1))))</f>
        <v/>
      </c>
      <c r="K63" s="1" t="str">
        <f>IF(OR($B63="",K$7=""),"",IF($B63="MEANS",INDEX('1-DATA'!$1:$1048576,$A62-1,COLUMN('1-DATA'!J61)),ROUND(INDEX('1-DATA'!$1:$1048576,IF(OR($B63="STD. DEVIATION",$C$1=1),$A63,$A63+1),COLUMN('1-DATA'!J61)),IF($B63="STD. DEVIATION",2,$F$1))))</f>
        <v/>
      </c>
      <c r="L63" s="1" t="str">
        <f>IF(OR($B63="",L$7=""),"",IF($B63="MEANS",INDEX('1-DATA'!$1:$1048576,$A62-1,COLUMN('1-DATA'!K61)),ROUND(INDEX('1-DATA'!$1:$1048576,IF(OR($B63="STD. DEVIATION",$C$1=1),$A63,$A63+1),COLUMN('1-DATA'!K61)),IF($B63="STD. DEVIATION",2,$F$1))))</f>
        <v/>
      </c>
      <c r="M63" s="1" t="str">
        <f>IF(OR($B63="",M$7=""),"",IF($B63="MEANS",INDEX('1-DATA'!$1:$1048576,$A62-1,COLUMN('1-DATA'!L61)),ROUND(INDEX('1-DATA'!$1:$1048576,IF(OR($B63="STD. DEVIATION",$C$1=1),$A63,$A63+1),COLUMN('1-DATA'!L61)),IF($B63="STD. DEVIATION",2,$F$1))))</f>
        <v/>
      </c>
      <c r="N63" s="1" t="str">
        <f>IF(OR($B63="",N$7=""),"",IF($B63="MEANS",INDEX('1-DATA'!$1:$1048576,$A62-1,COLUMN('1-DATA'!M61)),ROUND(INDEX('1-DATA'!$1:$1048576,IF(OR($B63="STD. DEVIATION",$C$1=1),$A63,$A63+1),COLUMN('1-DATA'!M61)),IF($B63="STD. DEVIATION",2,$F$1))))</f>
        <v/>
      </c>
      <c r="O63" s="1" t="str">
        <f>IF(OR($B63="",O$7=""),"",IF($B63="MEANS",INDEX('1-DATA'!$1:$1048576,$A62-1,COLUMN('1-DATA'!N61)),ROUND(INDEX('1-DATA'!$1:$1048576,IF(OR($B63="STD. DEVIATION",$C$1=1),$A63,$A63+1),COLUMN('1-DATA'!N61)),IF($B63="STD. DEVIATION",2,$F$1))))</f>
        <v/>
      </c>
      <c r="P63" s="1" t="str">
        <f>IF(OR($B63="",P$7=""),"",IF($B63="MEANS",INDEX('1-DATA'!$1:$1048576,$A62-1,COLUMN('1-DATA'!O61)),ROUND(INDEX('1-DATA'!$1:$1048576,IF(OR($B63="STD. DEVIATION",$C$1=1),$A63,$A63+1),COLUMN('1-DATA'!O61)),IF($B63="STD. DEVIATION",2,$F$1))))</f>
        <v/>
      </c>
      <c r="Q63" s="1" t="str">
        <f>IF(OR($B63="",Q$7=""),"",IF($B63="MEANS",INDEX('1-DATA'!$1:$1048576,$A62-1,COLUMN('1-DATA'!P61)),ROUND(INDEX('1-DATA'!$1:$1048576,IF(OR($B63="STD. DEVIATION",$C$1=1),$A63,$A63+1),COLUMN('1-DATA'!P61)),IF($B63="STD. DEVIATION",2,$F$1))))</f>
        <v/>
      </c>
      <c r="R63" s="1" t="str">
        <f>IF(OR($B63="",R$7=""),"",IF($B63="MEANS",INDEX('1-DATA'!$1:$1048576,$A62-1,COLUMN('1-DATA'!Q61)),ROUND(INDEX('1-DATA'!$1:$1048576,IF(OR($B63="STD. DEVIATION",$C$1=1),$A63,$A63+1),COLUMN('1-DATA'!Q61)),IF($B63="STD. DEVIATION",2,$F$1))))</f>
        <v/>
      </c>
      <c r="S63" s="1" t="str">
        <f>IF(OR($B63="",S$7=""),"",IF($B63="MEANS",INDEX('1-DATA'!$1:$1048576,$A62-1,COLUMN('1-DATA'!R61)),ROUND(INDEX('1-DATA'!$1:$1048576,IF(OR($B63="STD. DEVIATION",$C$1=1),$A63,$A63+1),COLUMN('1-DATA'!R61)),IF($B63="STD. DEVIATION",2,$F$1))))</f>
        <v/>
      </c>
      <c r="T63" s="1" t="str">
        <f>IF(OR($B63="",T$7=""),"",IF($B63="MEANS",INDEX('1-DATA'!$1:$1048576,$A62-1,COLUMN('1-DATA'!S61)),ROUND(INDEX('1-DATA'!$1:$1048576,IF(OR($B63="STD. DEVIATION",$C$1=1),$A63,$A63+1),COLUMN('1-DATA'!S61)),IF($B63="STD. DEVIATION",2,$F$1))))</f>
        <v/>
      </c>
      <c r="U63" s="1" t="str">
        <f>IF(OR($B63="",U$7=""),"",IF($B63="MEANS",INDEX('1-DATA'!$1:$1048576,$A62-1,COLUMN('1-DATA'!T61)),ROUND(INDEX('1-DATA'!$1:$1048576,IF(OR($B63="STD. DEVIATION",$C$1=1),$A63,$A63+1),COLUMN('1-DATA'!T61)),IF($B63="STD. DEVIATION",2,$F$1))))</f>
        <v/>
      </c>
      <c r="V63" s="1" t="str">
        <f>IF(OR($B63="",V$7=""),"",IF($B63="MEANS",INDEX('1-DATA'!$1:$1048576,$A62-1,COLUMN('1-DATA'!U61)),ROUND(INDEX('1-DATA'!$1:$1048576,IF(OR($B63="STD. DEVIATION",$C$1=1),$A63,$A63+1),COLUMN('1-DATA'!U61)),IF($B63="STD. DEVIATION",2,$F$1))))</f>
        <v/>
      </c>
      <c r="W63" s="1" t="str">
        <f>IF(OR($B63="",W$7=""),"",IF($B63="MEANS",INDEX('1-DATA'!$1:$1048576,$A62-1,COLUMN('1-DATA'!V61)),ROUND(INDEX('1-DATA'!$1:$1048576,IF(OR($B63="STD. DEVIATION",$C$1=1),$A63,$A63+1),COLUMN('1-DATA'!V61)),IF($B63="STD. DEVIATION",2,$F$1))))</f>
        <v/>
      </c>
      <c r="X63" s="1" t="str">
        <f>IF(OR($B63="",X$7=""),"",IF($B63="MEANS",INDEX('1-DATA'!$1:$1048576,$A62-1,COLUMN('1-DATA'!W61)),ROUND(INDEX('1-DATA'!$1:$1048576,IF(OR($B63="STD. DEVIATION",$C$1=1),$A63,$A63+1),COLUMN('1-DATA'!W61)),IF($B63="STD. DEVIATION",2,$F$1))))</f>
        <v/>
      </c>
      <c r="Y63" s="1" t="str">
        <f>IF(OR($B63="",Y$7=""),"",IF($B63="MEANS",INDEX('1-DATA'!$1:$1048576,$A62-1,COLUMN('1-DATA'!X61)),ROUND(INDEX('1-DATA'!$1:$1048576,IF(OR($B63="STD. DEVIATION",$C$1=1),$A63,$A63+1),COLUMN('1-DATA'!X61)),IF($B63="STD. DEVIATION",2,$F$1))))</f>
        <v/>
      </c>
      <c r="Z63" s="1" t="str">
        <f>IF(OR($B63="",Z$7=""),"",IF($B63="MEANS",INDEX('1-DATA'!$1:$1048576,$A62-1,COLUMN('1-DATA'!Y61)),ROUND(INDEX('1-DATA'!$1:$1048576,IF(OR($B63="STD. DEVIATION",$C$1=1),$A63,$A63+1),COLUMN('1-DATA'!Y61)),IF($B63="STD. DEVIATION",2,$F$1))))</f>
        <v/>
      </c>
      <c r="AA63" s="1" t="str">
        <f>IF(OR($B63="",AA$7=""),"",IF($B63="MEANS",INDEX('1-DATA'!$1:$1048576,$A62-1,COLUMN('1-DATA'!Z61)),ROUND(INDEX('1-DATA'!$1:$1048576,IF(OR($B63="STD. DEVIATION",$C$1=1),$A63,$A63+1),COLUMN('1-DATA'!Z61)),IF($B63="STD. DEVIATION",2,$F$1))))</f>
        <v/>
      </c>
      <c r="AB63" s="1" t="str">
        <f>IF(OR($B63="",AB$7=""),"",IF($B63="MEANS",INDEX('1-DATA'!$1:$1048576,$A62-1,COLUMN('1-DATA'!AA61)),ROUND(INDEX('1-DATA'!$1:$1048576,IF(OR($B63="STD. DEVIATION",$C$1=1),$A63,$A63+1),COLUMN('1-DATA'!AA61)),IF($B63="STD. DEVIATION",2,$F$1))))</f>
        <v/>
      </c>
      <c r="AC63" s="1" t="str">
        <f>IF(OR($B63="",AC$7=""),"",IF($B63="MEANS",INDEX('1-DATA'!$1:$1048576,$A62-1,COLUMN('1-DATA'!AB61)),ROUND(INDEX('1-DATA'!$1:$1048576,IF(OR($B63="STD. DEVIATION",$C$1=1),$A63,$A63+1),COLUMN('1-DATA'!AB61)),IF($B63="STD. DEVIATION",2,$F$1))))</f>
        <v/>
      </c>
      <c r="AD63" s="1" t="str">
        <f>IF(OR($B63="",AD$7=""),"",IF($B63="MEANS",INDEX('1-DATA'!$1:$1048576,$A62-1,COLUMN('1-DATA'!AC61)),ROUND(INDEX('1-DATA'!$1:$1048576,IF(OR($B63="STD. DEVIATION",$C$1=1),$A63,$A63+1),COLUMN('1-DATA'!AC61)),IF($B63="STD. DEVIATION",2,$F$1))))</f>
        <v/>
      </c>
      <c r="AE63" s="1" t="str">
        <f>IF(OR($B63="",AE$7=""),"",IF($B63="MEANS",INDEX('1-DATA'!$1:$1048576,$A62-1,COLUMN('1-DATA'!AD61)),ROUND(INDEX('1-DATA'!$1:$1048576,IF(OR($B63="STD. DEVIATION",$C$1=1),$A63,$A63+1),COLUMN('1-DATA'!AD61)),IF($B63="STD. DEVIATION",2,$F$1))))</f>
        <v/>
      </c>
      <c r="AF63" s="1" t="str">
        <f>IF(OR($B63="",AF$7=""),"",IF($B63="MEANS",INDEX('1-DATA'!$1:$1048576,$A62-1,COLUMN('1-DATA'!AE61)),ROUND(INDEX('1-DATA'!$1:$1048576,IF(OR($B63="STD. DEVIATION",$C$1=1),$A63,$A63+1),COLUMN('1-DATA'!AE61)),IF($B63="STD. DEVIATION",2,$F$1))))</f>
        <v/>
      </c>
      <c r="AG63" s="1" t="str">
        <f>IF(OR($B63="",AG$7=""),"",IF($B63="MEANS",INDEX('1-DATA'!$1:$1048576,$A62-1,COLUMN('1-DATA'!AF61)),ROUND(INDEX('1-DATA'!$1:$1048576,IF(OR($B63="STD. DEVIATION",$C$1=1),$A63,$A63+1),COLUMN('1-DATA'!AF61)),IF($B63="STD. DEVIATION",2,$F$1))))</f>
        <v/>
      </c>
      <c r="AH63" s="1" t="str">
        <f>IF(OR($B63="",AH$7=""),"",IF($B63="MEANS",INDEX('1-DATA'!$1:$1048576,$A62-1,COLUMN('1-DATA'!AG61)),ROUND(INDEX('1-DATA'!$1:$1048576,IF(OR($B63="STD. DEVIATION",$C$1=1),$A63,$A63+1),COLUMN('1-DATA'!AG61)),IF($B63="STD. DEVIATION",2,$F$1))))</f>
        <v/>
      </c>
      <c r="AI63" s="1" t="str">
        <f>IF(OR($B63="",AI$7=""),"",IF($B63="MEANS",INDEX('1-DATA'!$1:$1048576,$A62-1,COLUMN('1-DATA'!AH61)),ROUND(INDEX('1-DATA'!$1:$1048576,IF(OR($B63="STD. DEVIATION",$C$1=1),$A63,$A63+1),COLUMN('1-DATA'!AH61)),IF($B63="STD. DEVIATION",2,$F$1))))</f>
        <v/>
      </c>
      <c r="AJ63" s="1" t="str">
        <f>IF(OR($B63="",AJ$7=""),"",IF($B63="MEANS",INDEX('1-DATA'!$1:$1048576,$A62-1,COLUMN('1-DATA'!AI61)),ROUND(INDEX('1-DATA'!$1:$1048576,IF(OR($B63="STD. DEVIATION",$C$1=1),$A63,$A63+1),COLUMN('1-DATA'!AI61)),IF($B63="STD. DEVIATION",2,$F$1))))</f>
        <v/>
      </c>
      <c r="AK63" s="1" t="str">
        <f>IF(OR($B63="",AK$7=""),"",IF($B63="MEANS",INDEX('1-DATA'!$1:$1048576,$A62-1,COLUMN('1-DATA'!AJ61)),ROUND(INDEX('1-DATA'!$1:$1048576,IF(OR($B63="STD. DEVIATION",$C$1=1),$A63,$A63+1),COLUMN('1-DATA'!AJ61)),IF($B63="STD. DEVIATION",2,$F$1))))</f>
        <v/>
      </c>
      <c r="AL63" s="1" t="str">
        <f>IF(OR($B63="",AL$7=""),"",IF($B63="MEANS",INDEX('1-DATA'!$1:$1048576,$A62-1,COLUMN('1-DATA'!AK61)),ROUND(INDEX('1-DATA'!$1:$1048576,IF(OR($B63="STD. DEVIATION",$C$1=1),$A63,$A63+1),COLUMN('1-DATA'!AK61)),IF($B63="STD. DEVIATION",2,$F$1))))</f>
        <v/>
      </c>
      <c r="AM63" s="1" t="str">
        <f>IF(OR($B63="",AM$7=""),"",IF($B63="MEANS",INDEX('1-DATA'!$1:$1048576,$A62-1,COLUMN('1-DATA'!AL61)),ROUND(INDEX('1-DATA'!$1:$1048576,IF(OR($B63="STD. DEVIATION",$C$1=1),$A63,$A63+1),COLUMN('1-DATA'!AL61)),IF($B63="STD. DEVIATION",2,$F$1))))</f>
        <v/>
      </c>
      <c r="AN63" s="1" t="str">
        <f>IF(OR($B63="",AN$7=""),"",IF($B63="MEANS",INDEX('1-DATA'!$1:$1048576,$A62-1,COLUMN('1-DATA'!AM61)),ROUND(INDEX('1-DATA'!$1:$1048576,IF(OR($B63="STD. DEVIATION",$C$1=1),$A63,$A63+1),COLUMN('1-DATA'!AM61)),IF($B63="STD. DEVIATION",2,$F$1))))</f>
        <v/>
      </c>
      <c r="AO63" s="1" t="str">
        <f>IF(OR($B63="",AO$7=""),"",IF($B63="MEANS",INDEX('1-DATA'!$1:$1048576,$A62-1,COLUMN('1-DATA'!AN61)),ROUND(INDEX('1-DATA'!$1:$1048576,IF(OR($B63="STD. DEVIATION",$C$1=1),$A63,$A63+1),COLUMN('1-DATA'!AN61)),IF($B63="STD. DEVIATION",2,$F$1))))</f>
        <v/>
      </c>
      <c r="AP63" s="1" t="str">
        <f>IF(OR($B63="",AP$7=""),"",IF($B63="MEANS",INDEX('1-DATA'!$1:$1048576,$A62-1,COLUMN('1-DATA'!AO61)),ROUND(INDEX('1-DATA'!$1:$1048576,IF(OR($B63="STD. DEVIATION",$C$1=1),$A63,$A63+1),COLUMN('1-DATA'!AO61)),IF($B63="STD. DEVIATION",2,$F$1))))</f>
        <v/>
      </c>
      <c r="AQ63" s="1" t="str">
        <f>IF(OR($B63="",AQ$7=""),"",IF($B63="MEANS",INDEX('1-DATA'!$1:$1048576,$A62-1,COLUMN('1-DATA'!AP61)),ROUND(INDEX('1-DATA'!$1:$1048576,IF(OR($B63="STD. DEVIATION",$C$1=1),$A63,$A63+1),COLUMN('1-DATA'!AP61)),IF($B63="STD. DEVIATION",2,$F$1))))</f>
        <v/>
      </c>
      <c r="AR63" s="1" t="str">
        <f>IF(OR($B63="",AR$7=""),"",IF($B63="MEANS",INDEX('1-DATA'!$1:$1048576,$A62-1,COLUMN('1-DATA'!AQ61)),ROUND(INDEX('1-DATA'!$1:$1048576,IF(OR($B63="STD. DEVIATION",$C$1=1),$A63,$A63+1),COLUMN('1-DATA'!AQ61)),IF($B63="STD. DEVIATION",2,$F$1))))</f>
        <v/>
      </c>
      <c r="AS63" s="1" t="str">
        <f>IF(OR($B63="",AS$7=""),"",IF($B63="MEANS",INDEX('1-DATA'!$1:$1048576,$A62-1,COLUMN('1-DATA'!AR61)),ROUND(INDEX('1-DATA'!$1:$1048576,IF(OR($B63="STD. DEVIATION",$C$1=1),$A63,$A63+1),COLUMN('1-DATA'!AR61)),IF($B63="STD. DEVIATION",2,$F$1))))</f>
        <v/>
      </c>
      <c r="AT63" s="1" t="str">
        <f>IF(OR($B63="",AT$7=""),"",IF($B63="MEANS",INDEX('1-DATA'!$1:$1048576,$A62-1,COLUMN('1-DATA'!AS61)),ROUND(INDEX('1-DATA'!$1:$1048576,IF(OR($B63="STD. DEVIATION",$C$1=1),$A63,$A63+1),COLUMN('1-DATA'!AS61)),IF($B63="STD. DEVIATION",2,$F$1))))</f>
        <v/>
      </c>
      <c r="AU63" s="1" t="str">
        <f>IF(OR($B63="",AU$7=""),"",IF($B63="MEANS",INDEX('1-DATA'!$1:$1048576,$A62-1,COLUMN('1-DATA'!AT61)),ROUND(INDEX('1-DATA'!$1:$1048576,IF(OR($B63="STD. DEVIATION",$C$1=1),$A63,$A63+1),COLUMN('1-DATA'!AT61)),IF($B63="STD. DEVIATION",2,$F$1))))</f>
        <v/>
      </c>
      <c r="AV63" s="1" t="str">
        <f>IF(OR($B63="",AV$7=""),"",IF($B63="MEANS",INDEX('1-DATA'!$1:$1048576,$A62-1,COLUMN('1-DATA'!AU61)),ROUND(INDEX('1-DATA'!$1:$1048576,IF(OR($B63="STD. DEVIATION",$C$1=1),$A63,$A63+1),COLUMN('1-DATA'!AU61)),IF($B63="STD. DEVIATION",2,$F$1))))</f>
        <v/>
      </c>
      <c r="AW63" s="1" t="str">
        <f>IF(OR($B63="",AW$7=""),"",IF($B63="MEANS",INDEX('1-DATA'!$1:$1048576,$A62-1,COLUMN('1-DATA'!AV61)),ROUND(INDEX('1-DATA'!$1:$1048576,IF(OR($B63="STD. DEVIATION",$C$1=1),$A63,$A63+1),COLUMN('1-DATA'!AV61)),IF($B63="STD. DEVIATION",2,$F$1))))</f>
        <v/>
      </c>
      <c r="AX63" s="1" t="str">
        <f>IF(OR($B63="",AX$7=""),"",IF($B63="MEANS",INDEX('1-DATA'!$1:$1048576,$A62-1,COLUMN('1-DATA'!AW61)),ROUND(INDEX('1-DATA'!$1:$1048576,IF(OR($B63="STD. DEVIATION",$C$1=1),$A63,$A63+1),COLUMN('1-DATA'!AW61)),IF($B63="STD. DEVIATION",2,$F$1))))</f>
        <v/>
      </c>
      <c r="AY63" s="1" t="str">
        <f>IF(OR($B63="",AY$7=""),"",IF($B63="MEANS",INDEX('1-DATA'!$1:$1048576,$A62-1,COLUMN('1-DATA'!AX61)),ROUND(INDEX('1-DATA'!$1:$1048576,IF(OR($B63="STD. DEVIATION",$C$1=1),$A63,$A63+1),COLUMN('1-DATA'!AX61)),IF($B63="STD. DEVIATION",2,$F$1))))</f>
        <v/>
      </c>
      <c r="AZ63" s="1" t="str">
        <f>IF(OR($B63="",AZ$7=""),"",IF($B63="MEANS",INDEX('1-DATA'!$1:$1048576,$A62-1,COLUMN('1-DATA'!AY61)),ROUND(INDEX('1-DATA'!$1:$1048576,IF(OR($B63="STD. DEVIATION",$C$1=1),$A63,$A63+1),COLUMN('1-DATA'!AY61)),IF($B63="STD. DEVIATION",2,$F$1))))</f>
        <v/>
      </c>
    </row>
    <row r="64" spans="1:52" x14ac:dyDescent="0.25">
      <c r="A64" s="11">
        <f t="shared" si="1"/>
        <v>178</v>
      </c>
      <c r="B64" s="1" t="str">
        <f>IF(B63="STD. DEVIATION",INDEX('1-DATA'!$1:$1048576,$A63-1,1),IF(INDEX('1-DATA'!$1:$1048576,$A64,1)&lt;&gt;"",INDEX('1-DATA'!$1:$1048576,$A64,1),""))</f>
        <v/>
      </c>
      <c r="C64" s="1" t="str">
        <f>IF(OR($B64="",C$7=""),"",IF($B64="MEANS",INDEX('1-DATA'!$1:$1048576,$A63-1,COLUMN('1-DATA'!B62)),ROUND(INDEX('1-DATA'!$1:$1048576,IF(OR($B64="STD. DEVIATION",$C$1=1),$A64,$A64+1),COLUMN('1-DATA'!B62)),IF($B64="STD. DEVIATION",2,$F$1))))</f>
        <v/>
      </c>
      <c r="D64" s="1" t="str">
        <f>IF(OR($B64="",D$7=""),"",IF($B64="MEANS",INDEX('1-DATA'!$1:$1048576,$A63-1,COLUMN('1-DATA'!C62)),ROUND(INDEX('1-DATA'!$1:$1048576,IF(OR($B64="STD. DEVIATION",$C$1=1),$A64,$A64+1),COLUMN('1-DATA'!C62)),IF($B64="STD. DEVIATION",2,$F$1))))</f>
        <v/>
      </c>
      <c r="E64" s="1" t="str">
        <f>IF(OR($B64="",E$7=""),"",IF($B64="MEANS",INDEX('1-DATA'!$1:$1048576,$A63-1,COLUMN('1-DATA'!D62)),ROUND(INDEX('1-DATA'!$1:$1048576,IF(OR($B64="STD. DEVIATION",$C$1=1),$A64,$A64+1),COLUMN('1-DATA'!D62)),IF($B64="STD. DEVIATION",2,$F$1))))</f>
        <v/>
      </c>
      <c r="F64" s="1" t="str">
        <f>IF(OR($B64="",F$7=""),"",IF($B64="MEANS",INDEX('1-DATA'!$1:$1048576,$A63-1,COLUMN('1-DATA'!E62)),ROUND(INDEX('1-DATA'!$1:$1048576,IF(OR($B64="STD. DEVIATION",$C$1=1),$A64,$A64+1),COLUMN('1-DATA'!E62)),IF($B64="STD. DEVIATION",2,$F$1))))</f>
        <v/>
      </c>
      <c r="G64" s="1" t="str">
        <f>IF(OR($B64="",G$7=""),"",IF($B64="MEANS",INDEX('1-DATA'!$1:$1048576,$A63-1,COLUMN('1-DATA'!F62)),ROUND(INDEX('1-DATA'!$1:$1048576,IF(OR($B64="STD. DEVIATION",$C$1=1),$A64,$A64+1),COLUMN('1-DATA'!F62)),IF($B64="STD. DEVIATION",2,$F$1))))</f>
        <v/>
      </c>
      <c r="H64" s="1" t="str">
        <f>IF(OR($B64="",H$7=""),"",IF($B64="MEANS",INDEX('1-DATA'!$1:$1048576,$A63-1,COLUMN('1-DATA'!G62)),ROUND(INDEX('1-DATA'!$1:$1048576,IF(OR($B64="STD. DEVIATION",$C$1=1),$A64,$A64+1),COLUMN('1-DATA'!G62)),IF($B64="STD. DEVIATION",2,$F$1))))</f>
        <v/>
      </c>
      <c r="I64" s="1" t="str">
        <f>IF(OR($B64="",I$7=""),"",IF($B64="MEANS",INDEX('1-DATA'!$1:$1048576,$A63-1,COLUMN('1-DATA'!H62)),ROUND(INDEX('1-DATA'!$1:$1048576,IF(OR($B64="STD. DEVIATION",$C$1=1),$A64,$A64+1),COLUMN('1-DATA'!H62)),IF($B64="STD. DEVIATION",2,$F$1))))</f>
        <v/>
      </c>
      <c r="J64" s="1" t="str">
        <f>IF(OR($B64="",J$7=""),"",IF($B64="MEANS",INDEX('1-DATA'!$1:$1048576,$A63-1,COLUMN('1-DATA'!I62)),ROUND(INDEX('1-DATA'!$1:$1048576,IF(OR($B64="STD. DEVIATION",$C$1=1),$A64,$A64+1),COLUMN('1-DATA'!I62)),IF($B64="STD. DEVIATION",2,$F$1))))</f>
        <v/>
      </c>
      <c r="K64" s="1" t="str">
        <f>IF(OR($B64="",K$7=""),"",IF($B64="MEANS",INDEX('1-DATA'!$1:$1048576,$A63-1,COLUMN('1-DATA'!J62)),ROUND(INDEX('1-DATA'!$1:$1048576,IF(OR($B64="STD. DEVIATION",$C$1=1),$A64,$A64+1),COLUMN('1-DATA'!J62)),IF($B64="STD. DEVIATION",2,$F$1))))</f>
        <v/>
      </c>
      <c r="L64" s="1" t="str">
        <f>IF(OR($B64="",L$7=""),"",IF($B64="MEANS",INDEX('1-DATA'!$1:$1048576,$A63-1,COLUMN('1-DATA'!K62)),ROUND(INDEX('1-DATA'!$1:$1048576,IF(OR($B64="STD. DEVIATION",$C$1=1),$A64,$A64+1),COLUMN('1-DATA'!K62)),IF($B64="STD. DEVIATION",2,$F$1))))</f>
        <v/>
      </c>
      <c r="M64" s="1" t="str">
        <f>IF(OR($B64="",M$7=""),"",IF($B64="MEANS",INDEX('1-DATA'!$1:$1048576,$A63-1,COLUMN('1-DATA'!L62)),ROUND(INDEX('1-DATA'!$1:$1048576,IF(OR($B64="STD. DEVIATION",$C$1=1),$A64,$A64+1),COLUMN('1-DATA'!L62)),IF($B64="STD. DEVIATION",2,$F$1))))</f>
        <v/>
      </c>
      <c r="N64" s="1" t="str">
        <f>IF(OR($B64="",N$7=""),"",IF($B64="MEANS",INDEX('1-DATA'!$1:$1048576,$A63-1,COLUMN('1-DATA'!M62)),ROUND(INDEX('1-DATA'!$1:$1048576,IF(OR($B64="STD. DEVIATION",$C$1=1),$A64,$A64+1),COLUMN('1-DATA'!M62)),IF($B64="STD. DEVIATION",2,$F$1))))</f>
        <v/>
      </c>
      <c r="O64" s="1" t="str">
        <f>IF(OR($B64="",O$7=""),"",IF($B64="MEANS",INDEX('1-DATA'!$1:$1048576,$A63-1,COLUMN('1-DATA'!N62)),ROUND(INDEX('1-DATA'!$1:$1048576,IF(OR($B64="STD. DEVIATION",$C$1=1),$A64,$A64+1),COLUMN('1-DATA'!N62)),IF($B64="STD. DEVIATION",2,$F$1))))</f>
        <v/>
      </c>
      <c r="P64" s="1" t="str">
        <f>IF(OR($B64="",P$7=""),"",IF($B64="MEANS",INDEX('1-DATA'!$1:$1048576,$A63-1,COLUMN('1-DATA'!O62)),ROUND(INDEX('1-DATA'!$1:$1048576,IF(OR($B64="STD. DEVIATION",$C$1=1),$A64,$A64+1),COLUMN('1-DATA'!O62)),IF($B64="STD. DEVIATION",2,$F$1))))</f>
        <v/>
      </c>
      <c r="Q64" s="1" t="str">
        <f>IF(OR($B64="",Q$7=""),"",IF($B64="MEANS",INDEX('1-DATA'!$1:$1048576,$A63-1,COLUMN('1-DATA'!P62)),ROUND(INDEX('1-DATA'!$1:$1048576,IF(OR($B64="STD. DEVIATION",$C$1=1),$A64,$A64+1),COLUMN('1-DATA'!P62)),IF($B64="STD. DEVIATION",2,$F$1))))</f>
        <v/>
      </c>
      <c r="R64" s="1" t="str">
        <f>IF(OR($B64="",R$7=""),"",IF($B64="MEANS",INDEX('1-DATA'!$1:$1048576,$A63-1,COLUMN('1-DATA'!Q62)),ROUND(INDEX('1-DATA'!$1:$1048576,IF(OR($B64="STD. DEVIATION",$C$1=1),$A64,$A64+1),COLUMN('1-DATA'!Q62)),IF($B64="STD. DEVIATION",2,$F$1))))</f>
        <v/>
      </c>
      <c r="S64" s="1" t="str">
        <f>IF(OR($B64="",S$7=""),"",IF($B64="MEANS",INDEX('1-DATA'!$1:$1048576,$A63-1,COLUMN('1-DATA'!R62)),ROUND(INDEX('1-DATA'!$1:$1048576,IF(OR($B64="STD. DEVIATION",$C$1=1),$A64,$A64+1),COLUMN('1-DATA'!R62)),IF($B64="STD. DEVIATION",2,$F$1))))</f>
        <v/>
      </c>
      <c r="T64" s="1" t="str">
        <f>IF(OR($B64="",T$7=""),"",IF($B64="MEANS",INDEX('1-DATA'!$1:$1048576,$A63-1,COLUMN('1-DATA'!S62)),ROUND(INDEX('1-DATA'!$1:$1048576,IF(OR($B64="STD. DEVIATION",$C$1=1),$A64,$A64+1),COLUMN('1-DATA'!S62)),IF($B64="STD. DEVIATION",2,$F$1))))</f>
        <v/>
      </c>
      <c r="U64" s="1" t="str">
        <f>IF(OR($B64="",U$7=""),"",IF($B64="MEANS",INDEX('1-DATA'!$1:$1048576,$A63-1,COLUMN('1-DATA'!T62)),ROUND(INDEX('1-DATA'!$1:$1048576,IF(OR($B64="STD. DEVIATION",$C$1=1),$A64,$A64+1),COLUMN('1-DATA'!T62)),IF($B64="STD. DEVIATION",2,$F$1))))</f>
        <v/>
      </c>
      <c r="V64" s="1" t="str">
        <f>IF(OR($B64="",V$7=""),"",IF($B64="MEANS",INDEX('1-DATA'!$1:$1048576,$A63-1,COLUMN('1-DATA'!U62)),ROUND(INDEX('1-DATA'!$1:$1048576,IF(OR($B64="STD. DEVIATION",$C$1=1),$A64,$A64+1),COLUMN('1-DATA'!U62)),IF($B64="STD. DEVIATION",2,$F$1))))</f>
        <v/>
      </c>
      <c r="W64" s="1" t="str">
        <f>IF(OR($B64="",W$7=""),"",IF($B64="MEANS",INDEX('1-DATA'!$1:$1048576,$A63-1,COLUMN('1-DATA'!V62)),ROUND(INDEX('1-DATA'!$1:$1048576,IF(OR($B64="STD. DEVIATION",$C$1=1),$A64,$A64+1),COLUMN('1-DATA'!V62)),IF($B64="STD. DEVIATION",2,$F$1))))</f>
        <v/>
      </c>
      <c r="X64" s="1" t="str">
        <f>IF(OR($B64="",X$7=""),"",IF($B64="MEANS",INDEX('1-DATA'!$1:$1048576,$A63-1,COLUMN('1-DATA'!W62)),ROUND(INDEX('1-DATA'!$1:$1048576,IF(OR($B64="STD. DEVIATION",$C$1=1),$A64,$A64+1),COLUMN('1-DATA'!W62)),IF($B64="STD. DEVIATION",2,$F$1))))</f>
        <v/>
      </c>
      <c r="Y64" s="1" t="str">
        <f>IF(OR($B64="",Y$7=""),"",IF($B64="MEANS",INDEX('1-DATA'!$1:$1048576,$A63-1,COLUMN('1-DATA'!X62)),ROUND(INDEX('1-DATA'!$1:$1048576,IF(OR($B64="STD. DEVIATION",$C$1=1),$A64,$A64+1),COLUMN('1-DATA'!X62)),IF($B64="STD. DEVIATION",2,$F$1))))</f>
        <v/>
      </c>
      <c r="Z64" s="1" t="str">
        <f>IF(OR($B64="",Z$7=""),"",IF($B64="MEANS",INDEX('1-DATA'!$1:$1048576,$A63-1,COLUMN('1-DATA'!Y62)),ROUND(INDEX('1-DATA'!$1:$1048576,IF(OR($B64="STD. DEVIATION",$C$1=1),$A64,$A64+1),COLUMN('1-DATA'!Y62)),IF($B64="STD. DEVIATION",2,$F$1))))</f>
        <v/>
      </c>
      <c r="AA64" s="1" t="str">
        <f>IF(OR($B64="",AA$7=""),"",IF($B64="MEANS",INDEX('1-DATA'!$1:$1048576,$A63-1,COLUMN('1-DATA'!Z62)),ROUND(INDEX('1-DATA'!$1:$1048576,IF(OR($B64="STD. DEVIATION",$C$1=1),$A64,$A64+1),COLUMN('1-DATA'!Z62)),IF($B64="STD. DEVIATION",2,$F$1))))</f>
        <v/>
      </c>
      <c r="AB64" s="1" t="str">
        <f>IF(OR($B64="",AB$7=""),"",IF($B64="MEANS",INDEX('1-DATA'!$1:$1048576,$A63-1,COLUMN('1-DATA'!AA62)),ROUND(INDEX('1-DATA'!$1:$1048576,IF(OR($B64="STD. DEVIATION",$C$1=1),$A64,$A64+1),COLUMN('1-DATA'!AA62)),IF($B64="STD. DEVIATION",2,$F$1))))</f>
        <v/>
      </c>
      <c r="AC64" s="1" t="str">
        <f>IF(OR($B64="",AC$7=""),"",IF($B64="MEANS",INDEX('1-DATA'!$1:$1048576,$A63-1,COLUMN('1-DATA'!AB62)),ROUND(INDEX('1-DATA'!$1:$1048576,IF(OR($B64="STD. DEVIATION",$C$1=1),$A64,$A64+1),COLUMN('1-DATA'!AB62)),IF($B64="STD. DEVIATION",2,$F$1))))</f>
        <v/>
      </c>
      <c r="AD64" s="1" t="str">
        <f>IF(OR($B64="",AD$7=""),"",IF($B64="MEANS",INDEX('1-DATA'!$1:$1048576,$A63-1,COLUMN('1-DATA'!AC62)),ROUND(INDEX('1-DATA'!$1:$1048576,IF(OR($B64="STD. DEVIATION",$C$1=1),$A64,$A64+1),COLUMN('1-DATA'!AC62)),IF($B64="STD. DEVIATION",2,$F$1))))</f>
        <v/>
      </c>
      <c r="AE64" s="1" t="str">
        <f>IF(OR($B64="",AE$7=""),"",IF($B64="MEANS",INDEX('1-DATA'!$1:$1048576,$A63-1,COLUMN('1-DATA'!AD62)),ROUND(INDEX('1-DATA'!$1:$1048576,IF(OR($B64="STD. DEVIATION",$C$1=1),$A64,$A64+1),COLUMN('1-DATA'!AD62)),IF($B64="STD. DEVIATION",2,$F$1))))</f>
        <v/>
      </c>
      <c r="AF64" s="1" t="str">
        <f>IF(OR($B64="",AF$7=""),"",IF($B64="MEANS",INDEX('1-DATA'!$1:$1048576,$A63-1,COLUMN('1-DATA'!AE62)),ROUND(INDEX('1-DATA'!$1:$1048576,IF(OR($B64="STD. DEVIATION",$C$1=1),$A64,$A64+1),COLUMN('1-DATA'!AE62)),IF($B64="STD. DEVIATION",2,$F$1))))</f>
        <v/>
      </c>
      <c r="AG64" s="1" t="str">
        <f>IF(OR($B64="",AG$7=""),"",IF($B64="MEANS",INDEX('1-DATA'!$1:$1048576,$A63-1,COLUMN('1-DATA'!AF62)),ROUND(INDEX('1-DATA'!$1:$1048576,IF(OR($B64="STD. DEVIATION",$C$1=1),$A64,$A64+1),COLUMN('1-DATA'!AF62)),IF($B64="STD. DEVIATION",2,$F$1))))</f>
        <v/>
      </c>
      <c r="AH64" s="1" t="str">
        <f>IF(OR($B64="",AH$7=""),"",IF($B64="MEANS",INDEX('1-DATA'!$1:$1048576,$A63-1,COLUMN('1-DATA'!AG62)),ROUND(INDEX('1-DATA'!$1:$1048576,IF(OR($B64="STD. DEVIATION",$C$1=1),$A64,$A64+1),COLUMN('1-DATA'!AG62)),IF($B64="STD. DEVIATION",2,$F$1))))</f>
        <v/>
      </c>
      <c r="AI64" s="1" t="str">
        <f>IF(OR($B64="",AI$7=""),"",IF($B64="MEANS",INDEX('1-DATA'!$1:$1048576,$A63-1,COLUMN('1-DATA'!AH62)),ROUND(INDEX('1-DATA'!$1:$1048576,IF(OR($B64="STD. DEVIATION",$C$1=1),$A64,$A64+1),COLUMN('1-DATA'!AH62)),IF($B64="STD. DEVIATION",2,$F$1))))</f>
        <v/>
      </c>
      <c r="AJ64" s="1" t="str">
        <f>IF(OR($B64="",AJ$7=""),"",IF($B64="MEANS",INDEX('1-DATA'!$1:$1048576,$A63-1,COLUMN('1-DATA'!AI62)),ROUND(INDEX('1-DATA'!$1:$1048576,IF(OR($B64="STD. DEVIATION",$C$1=1),$A64,$A64+1),COLUMN('1-DATA'!AI62)),IF($B64="STD. DEVIATION",2,$F$1))))</f>
        <v/>
      </c>
      <c r="AK64" s="1" t="str">
        <f>IF(OR($B64="",AK$7=""),"",IF($B64="MEANS",INDEX('1-DATA'!$1:$1048576,$A63-1,COLUMN('1-DATA'!AJ62)),ROUND(INDEX('1-DATA'!$1:$1048576,IF(OR($B64="STD. DEVIATION",$C$1=1),$A64,$A64+1),COLUMN('1-DATA'!AJ62)),IF($B64="STD. DEVIATION",2,$F$1))))</f>
        <v/>
      </c>
      <c r="AL64" s="1" t="str">
        <f>IF(OR($B64="",AL$7=""),"",IF($B64="MEANS",INDEX('1-DATA'!$1:$1048576,$A63-1,COLUMN('1-DATA'!AK62)),ROUND(INDEX('1-DATA'!$1:$1048576,IF(OR($B64="STD. DEVIATION",$C$1=1),$A64,$A64+1),COLUMN('1-DATA'!AK62)),IF($B64="STD. DEVIATION",2,$F$1))))</f>
        <v/>
      </c>
      <c r="AM64" s="1" t="str">
        <f>IF(OR($B64="",AM$7=""),"",IF($B64="MEANS",INDEX('1-DATA'!$1:$1048576,$A63-1,COLUMN('1-DATA'!AL62)),ROUND(INDEX('1-DATA'!$1:$1048576,IF(OR($B64="STD. DEVIATION",$C$1=1),$A64,$A64+1),COLUMN('1-DATA'!AL62)),IF($B64="STD. DEVIATION",2,$F$1))))</f>
        <v/>
      </c>
      <c r="AN64" s="1" t="str">
        <f>IF(OR($B64="",AN$7=""),"",IF($B64="MEANS",INDEX('1-DATA'!$1:$1048576,$A63-1,COLUMN('1-DATA'!AM62)),ROUND(INDEX('1-DATA'!$1:$1048576,IF(OR($B64="STD. DEVIATION",$C$1=1),$A64,$A64+1),COLUMN('1-DATA'!AM62)),IF($B64="STD. DEVIATION",2,$F$1))))</f>
        <v/>
      </c>
      <c r="AO64" s="1" t="str">
        <f>IF(OR($B64="",AO$7=""),"",IF($B64="MEANS",INDEX('1-DATA'!$1:$1048576,$A63-1,COLUMN('1-DATA'!AN62)),ROUND(INDEX('1-DATA'!$1:$1048576,IF(OR($B64="STD. DEVIATION",$C$1=1),$A64,$A64+1),COLUMN('1-DATA'!AN62)),IF($B64="STD. DEVIATION",2,$F$1))))</f>
        <v/>
      </c>
      <c r="AP64" s="1" t="str">
        <f>IF(OR($B64="",AP$7=""),"",IF($B64="MEANS",INDEX('1-DATA'!$1:$1048576,$A63-1,COLUMN('1-DATA'!AO62)),ROUND(INDEX('1-DATA'!$1:$1048576,IF(OR($B64="STD. DEVIATION",$C$1=1),$A64,$A64+1),COLUMN('1-DATA'!AO62)),IF($B64="STD. DEVIATION",2,$F$1))))</f>
        <v/>
      </c>
      <c r="AQ64" s="1" t="str">
        <f>IF(OR($B64="",AQ$7=""),"",IF($B64="MEANS",INDEX('1-DATA'!$1:$1048576,$A63-1,COLUMN('1-DATA'!AP62)),ROUND(INDEX('1-DATA'!$1:$1048576,IF(OR($B64="STD. DEVIATION",$C$1=1),$A64,$A64+1),COLUMN('1-DATA'!AP62)),IF($B64="STD. DEVIATION",2,$F$1))))</f>
        <v/>
      </c>
      <c r="AR64" s="1" t="str">
        <f>IF(OR($B64="",AR$7=""),"",IF($B64="MEANS",INDEX('1-DATA'!$1:$1048576,$A63-1,COLUMN('1-DATA'!AQ62)),ROUND(INDEX('1-DATA'!$1:$1048576,IF(OR($B64="STD. DEVIATION",$C$1=1),$A64,$A64+1),COLUMN('1-DATA'!AQ62)),IF($B64="STD. DEVIATION",2,$F$1))))</f>
        <v/>
      </c>
      <c r="AS64" s="1" t="str">
        <f>IF(OR($B64="",AS$7=""),"",IF($B64="MEANS",INDEX('1-DATA'!$1:$1048576,$A63-1,COLUMN('1-DATA'!AR62)),ROUND(INDEX('1-DATA'!$1:$1048576,IF(OR($B64="STD. DEVIATION",$C$1=1),$A64,$A64+1),COLUMN('1-DATA'!AR62)),IF($B64="STD. DEVIATION",2,$F$1))))</f>
        <v/>
      </c>
      <c r="AT64" s="1" t="str">
        <f>IF(OR($B64="",AT$7=""),"",IF($B64="MEANS",INDEX('1-DATA'!$1:$1048576,$A63-1,COLUMN('1-DATA'!AS62)),ROUND(INDEX('1-DATA'!$1:$1048576,IF(OR($B64="STD. DEVIATION",$C$1=1),$A64,$A64+1),COLUMN('1-DATA'!AS62)),IF($B64="STD. DEVIATION",2,$F$1))))</f>
        <v/>
      </c>
      <c r="AU64" s="1" t="str">
        <f>IF(OR($B64="",AU$7=""),"",IF($B64="MEANS",INDEX('1-DATA'!$1:$1048576,$A63-1,COLUMN('1-DATA'!AT62)),ROUND(INDEX('1-DATA'!$1:$1048576,IF(OR($B64="STD. DEVIATION",$C$1=1),$A64,$A64+1),COLUMN('1-DATA'!AT62)),IF($B64="STD. DEVIATION",2,$F$1))))</f>
        <v/>
      </c>
      <c r="AV64" s="1" t="str">
        <f>IF(OR($B64="",AV$7=""),"",IF($B64="MEANS",INDEX('1-DATA'!$1:$1048576,$A63-1,COLUMN('1-DATA'!AU62)),ROUND(INDEX('1-DATA'!$1:$1048576,IF(OR($B64="STD. DEVIATION",$C$1=1),$A64,$A64+1),COLUMN('1-DATA'!AU62)),IF($B64="STD. DEVIATION",2,$F$1))))</f>
        <v/>
      </c>
      <c r="AW64" s="1" t="str">
        <f>IF(OR($B64="",AW$7=""),"",IF($B64="MEANS",INDEX('1-DATA'!$1:$1048576,$A63-1,COLUMN('1-DATA'!AV62)),ROUND(INDEX('1-DATA'!$1:$1048576,IF(OR($B64="STD. DEVIATION",$C$1=1),$A64,$A64+1),COLUMN('1-DATA'!AV62)),IF($B64="STD. DEVIATION",2,$F$1))))</f>
        <v/>
      </c>
      <c r="AX64" s="1" t="str">
        <f>IF(OR($B64="",AX$7=""),"",IF($B64="MEANS",INDEX('1-DATA'!$1:$1048576,$A63-1,COLUMN('1-DATA'!AW62)),ROUND(INDEX('1-DATA'!$1:$1048576,IF(OR($B64="STD. DEVIATION",$C$1=1),$A64,$A64+1),COLUMN('1-DATA'!AW62)),IF($B64="STD. DEVIATION",2,$F$1))))</f>
        <v/>
      </c>
      <c r="AY64" s="1" t="str">
        <f>IF(OR($B64="",AY$7=""),"",IF($B64="MEANS",INDEX('1-DATA'!$1:$1048576,$A63-1,COLUMN('1-DATA'!AX62)),ROUND(INDEX('1-DATA'!$1:$1048576,IF(OR($B64="STD. DEVIATION",$C$1=1),$A64,$A64+1),COLUMN('1-DATA'!AX62)),IF($B64="STD. DEVIATION",2,$F$1))))</f>
        <v/>
      </c>
      <c r="AZ64" s="1" t="str">
        <f>IF(OR($B64="",AZ$7=""),"",IF($B64="MEANS",INDEX('1-DATA'!$1:$1048576,$A63-1,COLUMN('1-DATA'!AY62)),ROUND(INDEX('1-DATA'!$1:$1048576,IF(OR($B64="STD. DEVIATION",$C$1=1),$A64,$A64+1),COLUMN('1-DATA'!AY62)),IF($B64="STD. DEVIATION",2,$F$1))))</f>
        <v/>
      </c>
    </row>
    <row r="65" spans="1:52" x14ac:dyDescent="0.25">
      <c r="A65" s="11">
        <f t="shared" si="1"/>
        <v>181</v>
      </c>
      <c r="B65" s="1" t="str">
        <f>IF(B64="STD. DEVIATION",INDEX('1-DATA'!$1:$1048576,$A64-1,1),IF(INDEX('1-DATA'!$1:$1048576,$A65,1)&lt;&gt;"",INDEX('1-DATA'!$1:$1048576,$A65,1),""))</f>
        <v/>
      </c>
      <c r="C65" s="1" t="str">
        <f>IF(OR($B65="",C$7=""),"",IF($B65="MEANS",INDEX('1-DATA'!$1:$1048576,$A64-1,COLUMN('1-DATA'!B63)),ROUND(INDEX('1-DATA'!$1:$1048576,IF(OR($B65="STD. DEVIATION",$C$1=1),$A65,$A65+1),COLUMN('1-DATA'!B63)),IF($B65="STD. DEVIATION",2,$F$1))))</f>
        <v/>
      </c>
      <c r="D65" s="1" t="str">
        <f>IF(OR($B65="",D$7=""),"",IF($B65="MEANS",INDEX('1-DATA'!$1:$1048576,$A64-1,COLUMN('1-DATA'!C63)),ROUND(INDEX('1-DATA'!$1:$1048576,IF(OR($B65="STD. DEVIATION",$C$1=1),$A65,$A65+1),COLUMN('1-DATA'!C63)),IF($B65="STD. DEVIATION",2,$F$1))))</f>
        <v/>
      </c>
      <c r="E65" s="1" t="str">
        <f>IF(OR($B65="",E$7=""),"",IF($B65="MEANS",INDEX('1-DATA'!$1:$1048576,$A64-1,COLUMN('1-DATA'!D63)),ROUND(INDEX('1-DATA'!$1:$1048576,IF(OR($B65="STD. DEVIATION",$C$1=1),$A65,$A65+1),COLUMN('1-DATA'!D63)),IF($B65="STD. DEVIATION",2,$F$1))))</f>
        <v/>
      </c>
      <c r="F65" s="1" t="str">
        <f>IF(OR($B65="",F$7=""),"",IF($B65="MEANS",INDEX('1-DATA'!$1:$1048576,$A64-1,COLUMN('1-DATA'!E63)),ROUND(INDEX('1-DATA'!$1:$1048576,IF(OR($B65="STD. DEVIATION",$C$1=1),$A65,$A65+1),COLUMN('1-DATA'!E63)),IF($B65="STD. DEVIATION",2,$F$1))))</f>
        <v/>
      </c>
      <c r="G65" s="1" t="str">
        <f>IF(OR($B65="",G$7=""),"",IF($B65="MEANS",INDEX('1-DATA'!$1:$1048576,$A64-1,COLUMN('1-DATA'!F63)),ROUND(INDEX('1-DATA'!$1:$1048576,IF(OR($B65="STD. DEVIATION",$C$1=1),$A65,$A65+1),COLUMN('1-DATA'!F63)),IF($B65="STD. DEVIATION",2,$F$1))))</f>
        <v/>
      </c>
      <c r="H65" s="1" t="str">
        <f>IF(OR($B65="",H$7=""),"",IF($B65="MEANS",INDEX('1-DATA'!$1:$1048576,$A64-1,COLUMN('1-DATA'!G63)),ROUND(INDEX('1-DATA'!$1:$1048576,IF(OR($B65="STD. DEVIATION",$C$1=1),$A65,$A65+1),COLUMN('1-DATA'!G63)),IF($B65="STD. DEVIATION",2,$F$1))))</f>
        <v/>
      </c>
      <c r="I65" s="1" t="str">
        <f>IF(OR($B65="",I$7=""),"",IF($B65="MEANS",INDEX('1-DATA'!$1:$1048576,$A64-1,COLUMN('1-DATA'!H63)),ROUND(INDEX('1-DATA'!$1:$1048576,IF(OR($B65="STD. DEVIATION",$C$1=1),$A65,$A65+1),COLUMN('1-DATA'!H63)),IF($B65="STD. DEVIATION",2,$F$1))))</f>
        <v/>
      </c>
      <c r="J65" s="1" t="str">
        <f>IF(OR($B65="",J$7=""),"",IF($B65="MEANS",INDEX('1-DATA'!$1:$1048576,$A64-1,COLUMN('1-DATA'!I63)),ROUND(INDEX('1-DATA'!$1:$1048576,IF(OR($B65="STD. DEVIATION",$C$1=1),$A65,$A65+1),COLUMN('1-DATA'!I63)),IF($B65="STD. DEVIATION",2,$F$1))))</f>
        <v/>
      </c>
      <c r="K65" s="1" t="str">
        <f>IF(OR($B65="",K$7=""),"",IF($B65="MEANS",INDEX('1-DATA'!$1:$1048576,$A64-1,COLUMN('1-DATA'!J63)),ROUND(INDEX('1-DATA'!$1:$1048576,IF(OR($B65="STD. DEVIATION",$C$1=1),$A65,$A65+1),COLUMN('1-DATA'!J63)),IF($B65="STD. DEVIATION",2,$F$1))))</f>
        <v/>
      </c>
      <c r="L65" s="1" t="str">
        <f>IF(OR($B65="",L$7=""),"",IF($B65="MEANS",INDEX('1-DATA'!$1:$1048576,$A64-1,COLUMN('1-DATA'!K63)),ROUND(INDEX('1-DATA'!$1:$1048576,IF(OR($B65="STD. DEVIATION",$C$1=1),$A65,$A65+1),COLUMN('1-DATA'!K63)),IF($B65="STD. DEVIATION",2,$F$1))))</f>
        <v/>
      </c>
      <c r="M65" s="1" t="str">
        <f>IF(OR($B65="",M$7=""),"",IF($B65="MEANS",INDEX('1-DATA'!$1:$1048576,$A64-1,COLUMN('1-DATA'!L63)),ROUND(INDEX('1-DATA'!$1:$1048576,IF(OR($B65="STD. DEVIATION",$C$1=1),$A65,$A65+1),COLUMN('1-DATA'!L63)),IF($B65="STD. DEVIATION",2,$F$1))))</f>
        <v/>
      </c>
      <c r="N65" s="1" t="str">
        <f>IF(OR($B65="",N$7=""),"",IF($B65="MEANS",INDEX('1-DATA'!$1:$1048576,$A64-1,COLUMN('1-DATA'!M63)),ROUND(INDEX('1-DATA'!$1:$1048576,IF(OR($B65="STD. DEVIATION",$C$1=1),$A65,$A65+1),COLUMN('1-DATA'!M63)),IF($B65="STD. DEVIATION",2,$F$1))))</f>
        <v/>
      </c>
      <c r="O65" s="1" t="str">
        <f>IF(OR($B65="",O$7=""),"",IF($B65="MEANS",INDEX('1-DATA'!$1:$1048576,$A64-1,COLUMN('1-DATA'!N63)),ROUND(INDEX('1-DATA'!$1:$1048576,IF(OR($B65="STD. DEVIATION",$C$1=1),$A65,$A65+1),COLUMN('1-DATA'!N63)),IF($B65="STD. DEVIATION",2,$F$1))))</f>
        <v/>
      </c>
      <c r="P65" s="1" t="str">
        <f>IF(OR($B65="",P$7=""),"",IF($B65="MEANS",INDEX('1-DATA'!$1:$1048576,$A64-1,COLUMN('1-DATA'!O63)),ROUND(INDEX('1-DATA'!$1:$1048576,IF(OR($B65="STD. DEVIATION",$C$1=1),$A65,$A65+1),COLUMN('1-DATA'!O63)),IF($B65="STD. DEVIATION",2,$F$1))))</f>
        <v/>
      </c>
      <c r="Q65" s="1" t="str">
        <f>IF(OR($B65="",Q$7=""),"",IF($B65="MEANS",INDEX('1-DATA'!$1:$1048576,$A64-1,COLUMN('1-DATA'!P63)),ROUND(INDEX('1-DATA'!$1:$1048576,IF(OR($B65="STD. DEVIATION",$C$1=1),$A65,$A65+1),COLUMN('1-DATA'!P63)),IF($B65="STD. DEVIATION",2,$F$1))))</f>
        <v/>
      </c>
      <c r="R65" s="1" t="str">
        <f>IF(OR($B65="",R$7=""),"",IF($B65="MEANS",INDEX('1-DATA'!$1:$1048576,$A64-1,COLUMN('1-DATA'!Q63)),ROUND(INDEX('1-DATA'!$1:$1048576,IF(OR($B65="STD. DEVIATION",$C$1=1),$A65,$A65+1),COLUMN('1-DATA'!Q63)),IF($B65="STD. DEVIATION",2,$F$1))))</f>
        <v/>
      </c>
      <c r="S65" s="1" t="str">
        <f>IF(OR($B65="",S$7=""),"",IF($B65="MEANS",INDEX('1-DATA'!$1:$1048576,$A64-1,COLUMN('1-DATA'!R63)),ROUND(INDEX('1-DATA'!$1:$1048576,IF(OR($B65="STD. DEVIATION",$C$1=1),$A65,$A65+1),COLUMN('1-DATA'!R63)),IF($B65="STD. DEVIATION",2,$F$1))))</f>
        <v/>
      </c>
      <c r="T65" s="1" t="str">
        <f>IF(OR($B65="",T$7=""),"",IF($B65="MEANS",INDEX('1-DATA'!$1:$1048576,$A64-1,COLUMN('1-DATA'!S63)),ROUND(INDEX('1-DATA'!$1:$1048576,IF(OR($B65="STD. DEVIATION",$C$1=1),$A65,$A65+1),COLUMN('1-DATA'!S63)),IF($B65="STD. DEVIATION",2,$F$1))))</f>
        <v/>
      </c>
      <c r="U65" s="1" t="str">
        <f>IF(OR($B65="",U$7=""),"",IF($B65="MEANS",INDEX('1-DATA'!$1:$1048576,$A64-1,COLUMN('1-DATA'!T63)),ROUND(INDEX('1-DATA'!$1:$1048576,IF(OR($B65="STD. DEVIATION",$C$1=1),$A65,$A65+1),COLUMN('1-DATA'!T63)),IF($B65="STD. DEVIATION",2,$F$1))))</f>
        <v/>
      </c>
      <c r="V65" s="1" t="str">
        <f>IF(OR($B65="",V$7=""),"",IF($B65="MEANS",INDEX('1-DATA'!$1:$1048576,$A64-1,COLUMN('1-DATA'!U63)),ROUND(INDEX('1-DATA'!$1:$1048576,IF(OR($B65="STD. DEVIATION",$C$1=1),$A65,$A65+1),COLUMN('1-DATA'!U63)),IF($B65="STD. DEVIATION",2,$F$1))))</f>
        <v/>
      </c>
      <c r="W65" s="1" t="str">
        <f>IF(OR($B65="",W$7=""),"",IF($B65="MEANS",INDEX('1-DATA'!$1:$1048576,$A64-1,COLUMN('1-DATA'!V63)),ROUND(INDEX('1-DATA'!$1:$1048576,IF(OR($B65="STD. DEVIATION",$C$1=1),$A65,$A65+1),COLUMN('1-DATA'!V63)),IF($B65="STD. DEVIATION",2,$F$1))))</f>
        <v/>
      </c>
      <c r="X65" s="1" t="str">
        <f>IF(OR($B65="",X$7=""),"",IF($B65="MEANS",INDEX('1-DATA'!$1:$1048576,$A64-1,COLUMN('1-DATA'!W63)),ROUND(INDEX('1-DATA'!$1:$1048576,IF(OR($B65="STD. DEVIATION",$C$1=1),$A65,$A65+1),COLUMN('1-DATA'!W63)),IF($B65="STD. DEVIATION",2,$F$1))))</f>
        <v/>
      </c>
      <c r="Y65" s="1" t="str">
        <f>IF(OR($B65="",Y$7=""),"",IF($B65="MEANS",INDEX('1-DATA'!$1:$1048576,$A64-1,COLUMN('1-DATA'!X63)),ROUND(INDEX('1-DATA'!$1:$1048576,IF(OR($B65="STD. DEVIATION",$C$1=1),$A65,$A65+1),COLUMN('1-DATA'!X63)),IF($B65="STD. DEVIATION",2,$F$1))))</f>
        <v/>
      </c>
      <c r="Z65" s="1" t="str">
        <f>IF(OR($B65="",Z$7=""),"",IF($B65="MEANS",INDEX('1-DATA'!$1:$1048576,$A64-1,COLUMN('1-DATA'!Y63)),ROUND(INDEX('1-DATA'!$1:$1048576,IF(OR($B65="STD. DEVIATION",$C$1=1),$A65,$A65+1),COLUMN('1-DATA'!Y63)),IF($B65="STD. DEVIATION",2,$F$1))))</f>
        <v/>
      </c>
      <c r="AA65" s="1" t="str">
        <f>IF(OR($B65="",AA$7=""),"",IF($B65="MEANS",INDEX('1-DATA'!$1:$1048576,$A64-1,COLUMN('1-DATA'!Z63)),ROUND(INDEX('1-DATA'!$1:$1048576,IF(OR($B65="STD. DEVIATION",$C$1=1),$A65,$A65+1),COLUMN('1-DATA'!Z63)),IF($B65="STD. DEVIATION",2,$F$1))))</f>
        <v/>
      </c>
      <c r="AB65" s="1" t="str">
        <f>IF(OR($B65="",AB$7=""),"",IF($B65="MEANS",INDEX('1-DATA'!$1:$1048576,$A64-1,COLUMN('1-DATA'!AA63)),ROUND(INDEX('1-DATA'!$1:$1048576,IF(OR($B65="STD. DEVIATION",$C$1=1),$A65,$A65+1),COLUMN('1-DATA'!AA63)),IF($B65="STD. DEVIATION",2,$F$1))))</f>
        <v/>
      </c>
      <c r="AC65" s="1" t="str">
        <f>IF(OR($B65="",AC$7=""),"",IF($B65="MEANS",INDEX('1-DATA'!$1:$1048576,$A64-1,COLUMN('1-DATA'!AB63)),ROUND(INDEX('1-DATA'!$1:$1048576,IF(OR($B65="STD. DEVIATION",$C$1=1),$A65,$A65+1),COLUMN('1-DATA'!AB63)),IF($B65="STD. DEVIATION",2,$F$1))))</f>
        <v/>
      </c>
      <c r="AD65" s="1" t="str">
        <f>IF(OR($B65="",AD$7=""),"",IF($B65="MEANS",INDEX('1-DATA'!$1:$1048576,$A64-1,COLUMN('1-DATA'!AC63)),ROUND(INDEX('1-DATA'!$1:$1048576,IF(OR($B65="STD. DEVIATION",$C$1=1),$A65,$A65+1),COLUMN('1-DATA'!AC63)),IF($B65="STD. DEVIATION",2,$F$1))))</f>
        <v/>
      </c>
      <c r="AE65" s="1" t="str">
        <f>IF(OR($B65="",AE$7=""),"",IF($B65="MEANS",INDEX('1-DATA'!$1:$1048576,$A64-1,COLUMN('1-DATA'!AD63)),ROUND(INDEX('1-DATA'!$1:$1048576,IF(OR($B65="STD. DEVIATION",$C$1=1),$A65,$A65+1),COLUMN('1-DATA'!AD63)),IF($B65="STD. DEVIATION",2,$F$1))))</f>
        <v/>
      </c>
      <c r="AF65" s="1" t="str">
        <f>IF(OR($B65="",AF$7=""),"",IF($B65="MEANS",INDEX('1-DATA'!$1:$1048576,$A64-1,COLUMN('1-DATA'!AE63)),ROUND(INDEX('1-DATA'!$1:$1048576,IF(OR($B65="STD. DEVIATION",$C$1=1),$A65,$A65+1),COLUMN('1-DATA'!AE63)),IF($B65="STD. DEVIATION",2,$F$1))))</f>
        <v/>
      </c>
      <c r="AG65" s="1" t="str">
        <f>IF(OR($B65="",AG$7=""),"",IF($B65="MEANS",INDEX('1-DATA'!$1:$1048576,$A64-1,COLUMN('1-DATA'!AF63)),ROUND(INDEX('1-DATA'!$1:$1048576,IF(OR($B65="STD. DEVIATION",$C$1=1),$A65,$A65+1),COLUMN('1-DATA'!AF63)),IF($B65="STD. DEVIATION",2,$F$1))))</f>
        <v/>
      </c>
      <c r="AH65" s="1" t="str">
        <f>IF(OR($B65="",AH$7=""),"",IF($B65="MEANS",INDEX('1-DATA'!$1:$1048576,$A64-1,COLUMN('1-DATA'!AG63)),ROUND(INDEX('1-DATA'!$1:$1048576,IF(OR($B65="STD. DEVIATION",$C$1=1),$A65,$A65+1),COLUMN('1-DATA'!AG63)),IF($B65="STD. DEVIATION",2,$F$1))))</f>
        <v/>
      </c>
      <c r="AI65" s="1" t="str">
        <f>IF(OR($B65="",AI$7=""),"",IF($B65="MEANS",INDEX('1-DATA'!$1:$1048576,$A64-1,COLUMN('1-DATA'!AH63)),ROUND(INDEX('1-DATA'!$1:$1048576,IF(OR($B65="STD. DEVIATION",$C$1=1),$A65,$A65+1),COLUMN('1-DATA'!AH63)),IF($B65="STD. DEVIATION",2,$F$1))))</f>
        <v/>
      </c>
      <c r="AJ65" s="1" t="str">
        <f>IF(OR($B65="",AJ$7=""),"",IF($B65="MEANS",INDEX('1-DATA'!$1:$1048576,$A64-1,COLUMN('1-DATA'!AI63)),ROUND(INDEX('1-DATA'!$1:$1048576,IF(OR($B65="STD. DEVIATION",$C$1=1),$A65,$A65+1),COLUMN('1-DATA'!AI63)),IF($B65="STD. DEVIATION",2,$F$1))))</f>
        <v/>
      </c>
      <c r="AK65" s="1" t="str">
        <f>IF(OR($B65="",AK$7=""),"",IF($B65="MEANS",INDEX('1-DATA'!$1:$1048576,$A64-1,COLUMN('1-DATA'!AJ63)),ROUND(INDEX('1-DATA'!$1:$1048576,IF(OR($B65="STD. DEVIATION",$C$1=1),$A65,$A65+1),COLUMN('1-DATA'!AJ63)),IF($B65="STD. DEVIATION",2,$F$1))))</f>
        <v/>
      </c>
      <c r="AL65" s="1" t="str">
        <f>IF(OR($B65="",AL$7=""),"",IF($B65="MEANS",INDEX('1-DATA'!$1:$1048576,$A64-1,COLUMN('1-DATA'!AK63)),ROUND(INDEX('1-DATA'!$1:$1048576,IF(OR($B65="STD. DEVIATION",$C$1=1),$A65,$A65+1),COLUMN('1-DATA'!AK63)),IF($B65="STD. DEVIATION",2,$F$1))))</f>
        <v/>
      </c>
      <c r="AM65" s="1" t="str">
        <f>IF(OR($B65="",AM$7=""),"",IF($B65="MEANS",INDEX('1-DATA'!$1:$1048576,$A64-1,COLUMN('1-DATA'!AL63)),ROUND(INDEX('1-DATA'!$1:$1048576,IF(OR($B65="STD. DEVIATION",$C$1=1),$A65,$A65+1),COLUMN('1-DATA'!AL63)),IF($B65="STD. DEVIATION",2,$F$1))))</f>
        <v/>
      </c>
      <c r="AN65" s="1" t="str">
        <f>IF(OR($B65="",AN$7=""),"",IF($B65="MEANS",INDEX('1-DATA'!$1:$1048576,$A64-1,COLUMN('1-DATA'!AM63)),ROUND(INDEX('1-DATA'!$1:$1048576,IF(OR($B65="STD. DEVIATION",$C$1=1),$A65,$A65+1),COLUMN('1-DATA'!AM63)),IF($B65="STD. DEVIATION",2,$F$1))))</f>
        <v/>
      </c>
      <c r="AO65" s="1" t="str">
        <f>IF(OR($B65="",AO$7=""),"",IF($B65="MEANS",INDEX('1-DATA'!$1:$1048576,$A64-1,COLUMN('1-DATA'!AN63)),ROUND(INDEX('1-DATA'!$1:$1048576,IF(OR($B65="STD. DEVIATION",$C$1=1),$A65,$A65+1),COLUMN('1-DATA'!AN63)),IF($B65="STD. DEVIATION",2,$F$1))))</f>
        <v/>
      </c>
      <c r="AP65" s="1" t="str">
        <f>IF(OR($B65="",AP$7=""),"",IF($B65="MEANS",INDEX('1-DATA'!$1:$1048576,$A64-1,COLUMN('1-DATA'!AO63)),ROUND(INDEX('1-DATA'!$1:$1048576,IF(OR($B65="STD. DEVIATION",$C$1=1),$A65,$A65+1),COLUMN('1-DATA'!AO63)),IF($B65="STD. DEVIATION",2,$F$1))))</f>
        <v/>
      </c>
      <c r="AQ65" s="1" t="str">
        <f>IF(OR($B65="",AQ$7=""),"",IF($B65="MEANS",INDEX('1-DATA'!$1:$1048576,$A64-1,COLUMN('1-DATA'!AP63)),ROUND(INDEX('1-DATA'!$1:$1048576,IF(OR($B65="STD. DEVIATION",$C$1=1),$A65,$A65+1),COLUMN('1-DATA'!AP63)),IF($B65="STD. DEVIATION",2,$F$1))))</f>
        <v/>
      </c>
      <c r="AR65" s="1" t="str">
        <f>IF(OR($B65="",AR$7=""),"",IF($B65="MEANS",INDEX('1-DATA'!$1:$1048576,$A64-1,COLUMN('1-DATA'!AQ63)),ROUND(INDEX('1-DATA'!$1:$1048576,IF(OR($B65="STD. DEVIATION",$C$1=1),$A65,$A65+1),COLUMN('1-DATA'!AQ63)),IF($B65="STD. DEVIATION",2,$F$1))))</f>
        <v/>
      </c>
      <c r="AS65" s="1" t="str">
        <f>IF(OR($B65="",AS$7=""),"",IF($B65="MEANS",INDEX('1-DATA'!$1:$1048576,$A64-1,COLUMN('1-DATA'!AR63)),ROUND(INDEX('1-DATA'!$1:$1048576,IF(OR($B65="STD. DEVIATION",$C$1=1),$A65,$A65+1),COLUMN('1-DATA'!AR63)),IF($B65="STD. DEVIATION",2,$F$1))))</f>
        <v/>
      </c>
      <c r="AT65" s="1" t="str">
        <f>IF(OR($B65="",AT$7=""),"",IF($B65="MEANS",INDEX('1-DATA'!$1:$1048576,$A64-1,COLUMN('1-DATA'!AS63)),ROUND(INDEX('1-DATA'!$1:$1048576,IF(OR($B65="STD. DEVIATION",$C$1=1),$A65,$A65+1),COLUMN('1-DATA'!AS63)),IF($B65="STD. DEVIATION",2,$F$1))))</f>
        <v/>
      </c>
      <c r="AU65" s="1" t="str">
        <f>IF(OR($B65="",AU$7=""),"",IF($B65="MEANS",INDEX('1-DATA'!$1:$1048576,$A64-1,COLUMN('1-DATA'!AT63)),ROUND(INDEX('1-DATA'!$1:$1048576,IF(OR($B65="STD. DEVIATION",$C$1=1),$A65,$A65+1),COLUMN('1-DATA'!AT63)),IF($B65="STD. DEVIATION",2,$F$1))))</f>
        <v/>
      </c>
      <c r="AV65" s="1" t="str">
        <f>IF(OR($B65="",AV$7=""),"",IF($B65="MEANS",INDEX('1-DATA'!$1:$1048576,$A64-1,COLUMN('1-DATA'!AU63)),ROUND(INDEX('1-DATA'!$1:$1048576,IF(OR($B65="STD. DEVIATION",$C$1=1),$A65,$A65+1),COLUMN('1-DATA'!AU63)),IF($B65="STD. DEVIATION",2,$F$1))))</f>
        <v/>
      </c>
      <c r="AW65" s="1" t="str">
        <f>IF(OR($B65="",AW$7=""),"",IF($B65="MEANS",INDEX('1-DATA'!$1:$1048576,$A64-1,COLUMN('1-DATA'!AV63)),ROUND(INDEX('1-DATA'!$1:$1048576,IF(OR($B65="STD. DEVIATION",$C$1=1),$A65,$A65+1),COLUMN('1-DATA'!AV63)),IF($B65="STD. DEVIATION",2,$F$1))))</f>
        <v/>
      </c>
      <c r="AX65" s="1" t="str">
        <f>IF(OR($B65="",AX$7=""),"",IF($B65="MEANS",INDEX('1-DATA'!$1:$1048576,$A64-1,COLUMN('1-DATA'!AW63)),ROUND(INDEX('1-DATA'!$1:$1048576,IF(OR($B65="STD. DEVIATION",$C$1=1),$A65,$A65+1),COLUMN('1-DATA'!AW63)),IF($B65="STD. DEVIATION",2,$F$1))))</f>
        <v/>
      </c>
      <c r="AY65" s="1" t="str">
        <f>IF(OR($B65="",AY$7=""),"",IF($B65="MEANS",INDEX('1-DATA'!$1:$1048576,$A64-1,COLUMN('1-DATA'!AX63)),ROUND(INDEX('1-DATA'!$1:$1048576,IF(OR($B65="STD. DEVIATION",$C$1=1),$A65,$A65+1),COLUMN('1-DATA'!AX63)),IF($B65="STD. DEVIATION",2,$F$1))))</f>
        <v/>
      </c>
      <c r="AZ65" s="1" t="str">
        <f>IF(OR($B65="",AZ$7=""),"",IF($B65="MEANS",INDEX('1-DATA'!$1:$1048576,$A64-1,COLUMN('1-DATA'!AY63)),ROUND(INDEX('1-DATA'!$1:$1048576,IF(OR($B65="STD. DEVIATION",$C$1=1),$A65,$A65+1),COLUMN('1-DATA'!AY63)),IF($B65="STD. DEVIATION",2,$F$1))))</f>
        <v/>
      </c>
    </row>
    <row r="66" spans="1:52" x14ac:dyDescent="0.25">
      <c r="A66" s="11">
        <f t="shared" si="1"/>
        <v>184</v>
      </c>
      <c r="B66" s="1" t="str">
        <f>IF(B65="STD. DEVIATION",INDEX('1-DATA'!$1:$1048576,$A65-1,1),IF(INDEX('1-DATA'!$1:$1048576,$A66,1)&lt;&gt;"",INDEX('1-DATA'!$1:$1048576,$A66,1),""))</f>
        <v/>
      </c>
      <c r="C66" s="1" t="str">
        <f>IF(OR($B66="",C$7=""),"",IF($B66="MEANS",INDEX('1-DATA'!$1:$1048576,$A65-1,COLUMN('1-DATA'!B64)),ROUND(INDEX('1-DATA'!$1:$1048576,IF(OR($B66="STD. DEVIATION",$C$1=1),$A66,$A66+1),COLUMN('1-DATA'!B64)),IF($B66="STD. DEVIATION",2,$F$1))))</f>
        <v/>
      </c>
      <c r="D66" s="1" t="str">
        <f>IF(OR($B66="",D$7=""),"",IF($B66="MEANS",INDEX('1-DATA'!$1:$1048576,$A65-1,COLUMN('1-DATA'!C64)),ROUND(INDEX('1-DATA'!$1:$1048576,IF(OR($B66="STD. DEVIATION",$C$1=1),$A66,$A66+1),COLUMN('1-DATA'!C64)),IF($B66="STD. DEVIATION",2,$F$1))))</f>
        <v/>
      </c>
      <c r="E66" s="1" t="str">
        <f>IF(OR($B66="",E$7=""),"",IF($B66="MEANS",INDEX('1-DATA'!$1:$1048576,$A65-1,COLUMN('1-DATA'!D64)),ROUND(INDEX('1-DATA'!$1:$1048576,IF(OR($B66="STD. DEVIATION",$C$1=1),$A66,$A66+1),COLUMN('1-DATA'!D64)),IF($B66="STD. DEVIATION",2,$F$1))))</f>
        <v/>
      </c>
      <c r="F66" s="1" t="str">
        <f>IF(OR($B66="",F$7=""),"",IF($B66="MEANS",INDEX('1-DATA'!$1:$1048576,$A65-1,COLUMN('1-DATA'!E64)),ROUND(INDEX('1-DATA'!$1:$1048576,IF(OR($B66="STD. DEVIATION",$C$1=1),$A66,$A66+1),COLUMN('1-DATA'!E64)),IF($B66="STD. DEVIATION",2,$F$1))))</f>
        <v/>
      </c>
      <c r="G66" s="1" t="str">
        <f>IF(OR($B66="",G$7=""),"",IF($B66="MEANS",INDEX('1-DATA'!$1:$1048576,$A65-1,COLUMN('1-DATA'!F64)),ROUND(INDEX('1-DATA'!$1:$1048576,IF(OR($B66="STD. DEVIATION",$C$1=1),$A66,$A66+1),COLUMN('1-DATA'!F64)),IF($B66="STD. DEVIATION",2,$F$1))))</f>
        <v/>
      </c>
      <c r="H66" s="1" t="str">
        <f>IF(OR($B66="",H$7=""),"",IF($B66="MEANS",INDEX('1-DATA'!$1:$1048576,$A65-1,COLUMN('1-DATA'!G64)),ROUND(INDEX('1-DATA'!$1:$1048576,IF(OR($B66="STD. DEVIATION",$C$1=1),$A66,$A66+1),COLUMN('1-DATA'!G64)),IF($B66="STD. DEVIATION",2,$F$1))))</f>
        <v/>
      </c>
      <c r="I66" s="1" t="str">
        <f>IF(OR($B66="",I$7=""),"",IF($B66="MEANS",INDEX('1-DATA'!$1:$1048576,$A65-1,COLUMN('1-DATA'!H64)),ROUND(INDEX('1-DATA'!$1:$1048576,IF(OR($B66="STD. DEVIATION",$C$1=1),$A66,$A66+1),COLUMN('1-DATA'!H64)),IF($B66="STD. DEVIATION",2,$F$1))))</f>
        <v/>
      </c>
      <c r="J66" s="1" t="str">
        <f>IF(OR($B66="",J$7=""),"",IF($B66="MEANS",INDEX('1-DATA'!$1:$1048576,$A65-1,COLUMN('1-DATA'!I64)),ROUND(INDEX('1-DATA'!$1:$1048576,IF(OR($B66="STD. DEVIATION",$C$1=1),$A66,$A66+1),COLUMN('1-DATA'!I64)),IF($B66="STD. DEVIATION",2,$F$1))))</f>
        <v/>
      </c>
      <c r="K66" s="1" t="str">
        <f>IF(OR($B66="",K$7=""),"",IF($B66="MEANS",INDEX('1-DATA'!$1:$1048576,$A65-1,COLUMN('1-DATA'!J64)),ROUND(INDEX('1-DATA'!$1:$1048576,IF(OR($B66="STD. DEVIATION",$C$1=1),$A66,$A66+1),COLUMN('1-DATA'!J64)),IF($B66="STD. DEVIATION",2,$F$1))))</f>
        <v/>
      </c>
      <c r="L66" s="1" t="str">
        <f>IF(OR($B66="",L$7=""),"",IF($B66="MEANS",INDEX('1-DATA'!$1:$1048576,$A65-1,COLUMN('1-DATA'!K64)),ROUND(INDEX('1-DATA'!$1:$1048576,IF(OR($B66="STD. DEVIATION",$C$1=1),$A66,$A66+1),COLUMN('1-DATA'!K64)),IF($B66="STD. DEVIATION",2,$F$1))))</f>
        <v/>
      </c>
      <c r="M66" s="1" t="str">
        <f>IF(OR($B66="",M$7=""),"",IF($B66="MEANS",INDEX('1-DATA'!$1:$1048576,$A65-1,COLUMN('1-DATA'!L64)),ROUND(INDEX('1-DATA'!$1:$1048576,IF(OR($B66="STD. DEVIATION",$C$1=1),$A66,$A66+1),COLUMN('1-DATA'!L64)),IF($B66="STD. DEVIATION",2,$F$1))))</f>
        <v/>
      </c>
      <c r="N66" s="1" t="str">
        <f>IF(OR($B66="",N$7=""),"",IF($B66="MEANS",INDEX('1-DATA'!$1:$1048576,$A65-1,COLUMN('1-DATA'!M64)),ROUND(INDEX('1-DATA'!$1:$1048576,IF(OR($B66="STD. DEVIATION",$C$1=1),$A66,$A66+1),COLUMN('1-DATA'!M64)),IF($B66="STD. DEVIATION",2,$F$1))))</f>
        <v/>
      </c>
      <c r="O66" s="1" t="str">
        <f>IF(OR($B66="",O$7=""),"",IF($B66="MEANS",INDEX('1-DATA'!$1:$1048576,$A65-1,COLUMN('1-DATA'!N64)),ROUND(INDEX('1-DATA'!$1:$1048576,IF(OR($B66="STD. DEVIATION",$C$1=1),$A66,$A66+1),COLUMN('1-DATA'!N64)),IF($B66="STD. DEVIATION",2,$F$1))))</f>
        <v/>
      </c>
      <c r="P66" s="1" t="str">
        <f>IF(OR($B66="",P$7=""),"",IF($B66="MEANS",INDEX('1-DATA'!$1:$1048576,$A65-1,COLUMN('1-DATA'!O64)),ROUND(INDEX('1-DATA'!$1:$1048576,IF(OR($B66="STD. DEVIATION",$C$1=1),$A66,$A66+1),COLUMN('1-DATA'!O64)),IF($B66="STD. DEVIATION",2,$F$1))))</f>
        <v/>
      </c>
      <c r="Q66" s="1" t="str">
        <f>IF(OR($B66="",Q$7=""),"",IF($B66="MEANS",INDEX('1-DATA'!$1:$1048576,$A65-1,COLUMN('1-DATA'!P64)),ROUND(INDEX('1-DATA'!$1:$1048576,IF(OR($B66="STD. DEVIATION",$C$1=1),$A66,$A66+1),COLUMN('1-DATA'!P64)),IF($B66="STD. DEVIATION",2,$F$1))))</f>
        <v/>
      </c>
      <c r="R66" s="1" t="str">
        <f>IF(OR($B66="",R$7=""),"",IF($B66="MEANS",INDEX('1-DATA'!$1:$1048576,$A65-1,COLUMN('1-DATA'!Q64)),ROUND(INDEX('1-DATA'!$1:$1048576,IF(OR($B66="STD. DEVIATION",$C$1=1),$A66,$A66+1),COLUMN('1-DATA'!Q64)),IF($B66="STD. DEVIATION",2,$F$1))))</f>
        <v/>
      </c>
      <c r="S66" s="1" t="str">
        <f>IF(OR($B66="",S$7=""),"",IF($B66="MEANS",INDEX('1-DATA'!$1:$1048576,$A65-1,COLUMN('1-DATA'!R64)),ROUND(INDEX('1-DATA'!$1:$1048576,IF(OR($B66="STD. DEVIATION",$C$1=1),$A66,$A66+1),COLUMN('1-DATA'!R64)),IF($B66="STD. DEVIATION",2,$F$1))))</f>
        <v/>
      </c>
      <c r="T66" s="1" t="str">
        <f>IF(OR($B66="",T$7=""),"",IF($B66="MEANS",INDEX('1-DATA'!$1:$1048576,$A65-1,COLUMN('1-DATA'!S64)),ROUND(INDEX('1-DATA'!$1:$1048576,IF(OR($B66="STD. DEVIATION",$C$1=1),$A66,$A66+1),COLUMN('1-DATA'!S64)),IF($B66="STD. DEVIATION",2,$F$1))))</f>
        <v/>
      </c>
      <c r="U66" s="1" t="str">
        <f>IF(OR($B66="",U$7=""),"",IF($B66="MEANS",INDEX('1-DATA'!$1:$1048576,$A65-1,COLUMN('1-DATA'!T64)),ROUND(INDEX('1-DATA'!$1:$1048576,IF(OR($B66="STD. DEVIATION",$C$1=1),$A66,$A66+1),COLUMN('1-DATA'!T64)),IF($B66="STD. DEVIATION",2,$F$1))))</f>
        <v/>
      </c>
      <c r="V66" s="1" t="str">
        <f>IF(OR($B66="",V$7=""),"",IF($B66="MEANS",INDEX('1-DATA'!$1:$1048576,$A65-1,COLUMN('1-DATA'!U64)),ROUND(INDEX('1-DATA'!$1:$1048576,IF(OR($B66="STD. DEVIATION",$C$1=1),$A66,$A66+1),COLUMN('1-DATA'!U64)),IF($B66="STD. DEVIATION",2,$F$1))))</f>
        <v/>
      </c>
      <c r="W66" s="1" t="str">
        <f>IF(OR($B66="",W$7=""),"",IF($B66="MEANS",INDEX('1-DATA'!$1:$1048576,$A65-1,COLUMN('1-DATA'!V64)),ROUND(INDEX('1-DATA'!$1:$1048576,IF(OR($B66="STD. DEVIATION",$C$1=1),$A66,$A66+1),COLUMN('1-DATA'!V64)),IF($B66="STD. DEVIATION",2,$F$1))))</f>
        <v/>
      </c>
      <c r="X66" s="1" t="str">
        <f>IF(OR($B66="",X$7=""),"",IF($B66="MEANS",INDEX('1-DATA'!$1:$1048576,$A65-1,COLUMN('1-DATA'!W64)),ROUND(INDEX('1-DATA'!$1:$1048576,IF(OR($B66="STD. DEVIATION",$C$1=1),$A66,$A66+1),COLUMN('1-DATA'!W64)),IF($B66="STD. DEVIATION",2,$F$1))))</f>
        <v/>
      </c>
      <c r="Y66" s="1" t="str">
        <f>IF(OR($B66="",Y$7=""),"",IF($B66="MEANS",INDEX('1-DATA'!$1:$1048576,$A65-1,COLUMN('1-DATA'!X64)),ROUND(INDEX('1-DATA'!$1:$1048576,IF(OR($B66="STD. DEVIATION",$C$1=1),$A66,$A66+1),COLUMN('1-DATA'!X64)),IF($B66="STD. DEVIATION",2,$F$1))))</f>
        <v/>
      </c>
      <c r="Z66" s="1" t="str">
        <f>IF(OR($B66="",Z$7=""),"",IF($B66="MEANS",INDEX('1-DATA'!$1:$1048576,$A65-1,COLUMN('1-DATA'!Y64)),ROUND(INDEX('1-DATA'!$1:$1048576,IF(OR($B66="STD. DEVIATION",$C$1=1),$A66,$A66+1),COLUMN('1-DATA'!Y64)),IF($B66="STD. DEVIATION",2,$F$1))))</f>
        <v/>
      </c>
      <c r="AA66" s="1" t="str">
        <f>IF(OR($B66="",AA$7=""),"",IF($B66="MEANS",INDEX('1-DATA'!$1:$1048576,$A65-1,COLUMN('1-DATA'!Z64)),ROUND(INDEX('1-DATA'!$1:$1048576,IF(OR($B66="STD. DEVIATION",$C$1=1),$A66,$A66+1),COLUMN('1-DATA'!Z64)),IF($B66="STD. DEVIATION",2,$F$1))))</f>
        <v/>
      </c>
      <c r="AB66" s="1" t="str">
        <f>IF(OR($B66="",AB$7=""),"",IF($B66="MEANS",INDEX('1-DATA'!$1:$1048576,$A65-1,COLUMN('1-DATA'!AA64)),ROUND(INDEX('1-DATA'!$1:$1048576,IF(OR($B66="STD. DEVIATION",$C$1=1),$A66,$A66+1),COLUMN('1-DATA'!AA64)),IF($B66="STD. DEVIATION",2,$F$1))))</f>
        <v/>
      </c>
      <c r="AC66" s="1" t="str">
        <f>IF(OR($B66="",AC$7=""),"",IF($B66="MEANS",INDEX('1-DATA'!$1:$1048576,$A65-1,COLUMN('1-DATA'!AB64)),ROUND(INDEX('1-DATA'!$1:$1048576,IF(OR($B66="STD. DEVIATION",$C$1=1),$A66,$A66+1),COLUMN('1-DATA'!AB64)),IF($B66="STD. DEVIATION",2,$F$1))))</f>
        <v/>
      </c>
      <c r="AD66" s="1" t="str">
        <f>IF(OR($B66="",AD$7=""),"",IF($B66="MEANS",INDEX('1-DATA'!$1:$1048576,$A65-1,COLUMN('1-DATA'!AC64)),ROUND(INDEX('1-DATA'!$1:$1048576,IF(OR($B66="STD. DEVIATION",$C$1=1),$A66,$A66+1),COLUMN('1-DATA'!AC64)),IF($B66="STD. DEVIATION",2,$F$1))))</f>
        <v/>
      </c>
      <c r="AE66" s="1" t="str">
        <f>IF(OR($B66="",AE$7=""),"",IF($B66="MEANS",INDEX('1-DATA'!$1:$1048576,$A65-1,COLUMN('1-DATA'!AD64)),ROUND(INDEX('1-DATA'!$1:$1048576,IF(OR($B66="STD. DEVIATION",$C$1=1),$A66,$A66+1),COLUMN('1-DATA'!AD64)),IF($B66="STD. DEVIATION",2,$F$1))))</f>
        <v/>
      </c>
      <c r="AF66" s="1" t="str">
        <f>IF(OR($B66="",AF$7=""),"",IF($B66="MEANS",INDEX('1-DATA'!$1:$1048576,$A65-1,COLUMN('1-DATA'!AE64)),ROUND(INDEX('1-DATA'!$1:$1048576,IF(OR($B66="STD. DEVIATION",$C$1=1),$A66,$A66+1),COLUMN('1-DATA'!AE64)),IF($B66="STD. DEVIATION",2,$F$1))))</f>
        <v/>
      </c>
      <c r="AG66" s="1" t="str">
        <f>IF(OR($B66="",AG$7=""),"",IF($B66="MEANS",INDEX('1-DATA'!$1:$1048576,$A65-1,COLUMN('1-DATA'!AF64)),ROUND(INDEX('1-DATA'!$1:$1048576,IF(OR($B66="STD. DEVIATION",$C$1=1),$A66,$A66+1),COLUMN('1-DATA'!AF64)),IF($B66="STD. DEVIATION",2,$F$1))))</f>
        <v/>
      </c>
      <c r="AH66" s="1" t="str">
        <f>IF(OR($B66="",AH$7=""),"",IF($B66="MEANS",INDEX('1-DATA'!$1:$1048576,$A65-1,COLUMN('1-DATA'!AG64)),ROUND(INDEX('1-DATA'!$1:$1048576,IF(OR($B66="STD. DEVIATION",$C$1=1),$A66,$A66+1),COLUMN('1-DATA'!AG64)),IF($B66="STD. DEVIATION",2,$F$1))))</f>
        <v/>
      </c>
      <c r="AI66" s="1" t="str">
        <f>IF(OR($B66="",AI$7=""),"",IF($B66="MEANS",INDEX('1-DATA'!$1:$1048576,$A65-1,COLUMN('1-DATA'!AH64)),ROUND(INDEX('1-DATA'!$1:$1048576,IF(OR($B66="STD. DEVIATION",$C$1=1),$A66,$A66+1),COLUMN('1-DATA'!AH64)),IF($B66="STD. DEVIATION",2,$F$1))))</f>
        <v/>
      </c>
      <c r="AJ66" s="1" t="str">
        <f>IF(OR($B66="",AJ$7=""),"",IF($B66="MEANS",INDEX('1-DATA'!$1:$1048576,$A65-1,COLUMN('1-DATA'!AI64)),ROUND(INDEX('1-DATA'!$1:$1048576,IF(OR($B66="STD. DEVIATION",$C$1=1),$A66,$A66+1),COLUMN('1-DATA'!AI64)),IF($B66="STD. DEVIATION",2,$F$1))))</f>
        <v/>
      </c>
      <c r="AK66" s="1" t="str">
        <f>IF(OR($B66="",AK$7=""),"",IF($B66="MEANS",INDEX('1-DATA'!$1:$1048576,$A65-1,COLUMN('1-DATA'!AJ64)),ROUND(INDEX('1-DATA'!$1:$1048576,IF(OR($B66="STD. DEVIATION",$C$1=1),$A66,$A66+1),COLUMN('1-DATA'!AJ64)),IF($B66="STD. DEVIATION",2,$F$1))))</f>
        <v/>
      </c>
      <c r="AL66" s="1" t="str">
        <f>IF(OR($B66="",AL$7=""),"",IF($B66="MEANS",INDEX('1-DATA'!$1:$1048576,$A65-1,COLUMN('1-DATA'!AK64)),ROUND(INDEX('1-DATA'!$1:$1048576,IF(OR($B66="STD. DEVIATION",$C$1=1),$A66,$A66+1),COLUMN('1-DATA'!AK64)),IF($B66="STD. DEVIATION",2,$F$1))))</f>
        <v/>
      </c>
      <c r="AM66" s="1" t="str">
        <f>IF(OR($B66="",AM$7=""),"",IF($B66="MEANS",INDEX('1-DATA'!$1:$1048576,$A65-1,COLUMN('1-DATA'!AL64)),ROUND(INDEX('1-DATA'!$1:$1048576,IF(OR($B66="STD. DEVIATION",$C$1=1),$A66,$A66+1),COLUMN('1-DATA'!AL64)),IF($B66="STD. DEVIATION",2,$F$1))))</f>
        <v/>
      </c>
      <c r="AN66" s="1" t="str">
        <f>IF(OR($B66="",AN$7=""),"",IF($B66="MEANS",INDEX('1-DATA'!$1:$1048576,$A65-1,COLUMN('1-DATA'!AM64)),ROUND(INDEX('1-DATA'!$1:$1048576,IF(OR($B66="STD. DEVIATION",$C$1=1),$A66,$A66+1),COLUMN('1-DATA'!AM64)),IF($B66="STD. DEVIATION",2,$F$1))))</f>
        <v/>
      </c>
      <c r="AO66" s="1" t="str">
        <f>IF(OR($B66="",AO$7=""),"",IF($B66="MEANS",INDEX('1-DATA'!$1:$1048576,$A65-1,COLUMN('1-DATA'!AN64)),ROUND(INDEX('1-DATA'!$1:$1048576,IF(OR($B66="STD. DEVIATION",$C$1=1),$A66,$A66+1),COLUMN('1-DATA'!AN64)),IF($B66="STD. DEVIATION",2,$F$1))))</f>
        <v/>
      </c>
      <c r="AP66" s="1" t="str">
        <f>IF(OR($B66="",AP$7=""),"",IF($B66="MEANS",INDEX('1-DATA'!$1:$1048576,$A65-1,COLUMN('1-DATA'!AO64)),ROUND(INDEX('1-DATA'!$1:$1048576,IF(OR($B66="STD. DEVIATION",$C$1=1),$A66,$A66+1),COLUMN('1-DATA'!AO64)),IF($B66="STD. DEVIATION",2,$F$1))))</f>
        <v/>
      </c>
      <c r="AQ66" s="1" t="str">
        <f>IF(OR($B66="",AQ$7=""),"",IF($B66="MEANS",INDEX('1-DATA'!$1:$1048576,$A65-1,COLUMN('1-DATA'!AP64)),ROUND(INDEX('1-DATA'!$1:$1048576,IF(OR($B66="STD. DEVIATION",$C$1=1),$A66,$A66+1),COLUMN('1-DATA'!AP64)),IF($B66="STD. DEVIATION",2,$F$1))))</f>
        <v/>
      </c>
      <c r="AR66" s="1" t="str">
        <f>IF(OR($B66="",AR$7=""),"",IF($B66="MEANS",INDEX('1-DATA'!$1:$1048576,$A65-1,COLUMN('1-DATA'!AQ64)),ROUND(INDEX('1-DATA'!$1:$1048576,IF(OR($B66="STD. DEVIATION",$C$1=1),$A66,$A66+1),COLUMN('1-DATA'!AQ64)),IF($B66="STD. DEVIATION",2,$F$1))))</f>
        <v/>
      </c>
      <c r="AS66" s="1" t="str">
        <f>IF(OR($B66="",AS$7=""),"",IF($B66="MEANS",INDEX('1-DATA'!$1:$1048576,$A65-1,COLUMN('1-DATA'!AR64)),ROUND(INDEX('1-DATA'!$1:$1048576,IF(OR($B66="STD. DEVIATION",$C$1=1),$A66,$A66+1),COLUMN('1-DATA'!AR64)),IF($B66="STD. DEVIATION",2,$F$1))))</f>
        <v/>
      </c>
      <c r="AT66" s="1" t="str">
        <f>IF(OR($B66="",AT$7=""),"",IF($B66="MEANS",INDEX('1-DATA'!$1:$1048576,$A65-1,COLUMN('1-DATA'!AS64)),ROUND(INDEX('1-DATA'!$1:$1048576,IF(OR($B66="STD. DEVIATION",$C$1=1),$A66,$A66+1),COLUMN('1-DATA'!AS64)),IF($B66="STD. DEVIATION",2,$F$1))))</f>
        <v/>
      </c>
      <c r="AU66" s="1" t="str">
        <f>IF(OR($B66="",AU$7=""),"",IF($B66="MEANS",INDEX('1-DATA'!$1:$1048576,$A65-1,COLUMN('1-DATA'!AT64)),ROUND(INDEX('1-DATA'!$1:$1048576,IF(OR($B66="STD. DEVIATION",$C$1=1),$A66,$A66+1),COLUMN('1-DATA'!AT64)),IF($B66="STD. DEVIATION",2,$F$1))))</f>
        <v/>
      </c>
      <c r="AV66" s="1" t="str">
        <f>IF(OR($B66="",AV$7=""),"",IF($B66="MEANS",INDEX('1-DATA'!$1:$1048576,$A65-1,COLUMN('1-DATA'!AU64)),ROUND(INDEX('1-DATA'!$1:$1048576,IF(OR($B66="STD. DEVIATION",$C$1=1),$A66,$A66+1),COLUMN('1-DATA'!AU64)),IF($B66="STD. DEVIATION",2,$F$1))))</f>
        <v/>
      </c>
      <c r="AW66" s="1" t="str">
        <f>IF(OR($B66="",AW$7=""),"",IF($B66="MEANS",INDEX('1-DATA'!$1:$1048576,$A65-1,COLUMN('1-DATA'!AV64)),ROUND(INDEX('1-DATA'!$1:$1048576,IF(OR($B66="STD. DEVIATION",$C$1=1),$A66,$A66+1),COLUMN('1-DATA'!AV64)),IF($B66="STD. DEVIATION",2,$F$1))))</f>
        <v/>
      </c>
      <c r="AX66" s="1" t="str">
        <f>IF(OR($B66="",AX$7=""),"",IF($B66="MEANS",INDEX('1-DATA'!$1:$1048576,$A65-1,COLUMN('1-DATA'!AW64)),ROUND(INDEX('1-DATA'!$1:$1048576,IF(OR($B66="STD. DEVIATION",$C$1=1),$A66,$A66+1),COLUMN('1-DATA'!AW64)),IF($B66="STD. DEVIATION",2,$F$1))))</f>
        <v/>
      </c>
      <c r="AY66" s="1" t="str">
        <f>IF(OR($B66="",AY$7=""),"",IF($B66="MEANS",INDEX('1-DATA'!$1:$1048576,$A65-1,COLUMN('1-DATA'!AX64)),ROUND(INDEX('1-DATA'!$1:$1048576,IF(OR($B66="STD. DEVIATION",$C$1=1),$A66,$A66+1),COLUMN('1-DATA'!AX64)),IF($B66="STD. DEVIATION",2,$F$1))))</f>
        <v/>
      </c>
      <c r="AZ66" s="1" t="str">
        <f>IF(OR($B66="",AZ$7=""),"",IF($B66="MEANS",INDEX('1-DATA'!$1:$1048576,$A65-1,COLUMN('1-DATA'!AY64)),ROUND(INDEX('1-DATA'!$1:$1048576,IF(OR($B66="STD. DEVIATION",$C$1=1),$A66,$A66+1),COLUMN('1-DATA'!AY64)),IF($B66="STD. DEVIATION",2,$F$1))))</f>
        <v/>
      </c>
    </row>
    <row r="67" spans="1:52" x14ac:dyDescent="0.25">
      <c r="A67" s="11">
        <f t="shared" si="1"/>
        <v>187</v>
      </c>
      <c r="B67" s="1" t="str">
        <f>IF(B66="STD. DEVIATION",INDEX('1-DATA'!$1:$1048576,$A66-1,1),IF(INDEX('1-DATA'!$1:$1048576,$A67,1)&lt;&gt;"",INDEX('1-DATA'!$1:$1048576,$A67,1),""))</f>
        <v/>
      </c>
      <c r="C67" s="1" t="str">
        <f>IF(OR($B67="",C$7=""),"",IF($B67="MEANS",INDEX('1-DATA'!$1:$1048576,$A66-1,COLUMN('1-DATA'!B65)),ROUND(INDEX('1-DATA'!$1:$1048576,IF(OR($B67="STD. DEVIATION",$C$1=1),$A67,$A67+1),COLUMN('1-DATA'!B65)),IF($B67="STD. DEVIATION",2,$F$1))))</f>
        <v/>
      </c>
      <c r="D67" s="1" t="str">
        <f>IF(OR($B67="",D$7=""),"",IF($B67="MEANS",INDEX('1-DATA'!$1:$1048576,$A66-1,COLUMN('1-DATA'!C65)),ROUND(INDEX('1-DATA'!$1:$1048576,IF(OR($B67="STD. DEVIATION",$C$1=1),$A67,$A67+1),COLUMN('1-DATA'!C65)),IF($B67="STD. DEVIATION",2,$F$1))))</f>
        <v/>
      </c>
      <c r="E67" s="1" t="str">
        <f>IF(OR($B67="",E$7=""),"",IF($B67="MEANS",INDEX('1-DATA'!$1:$1048576,$A66-1,COLUMN('1-DATA'!D65)),ROUND(INDEX('1-DATA'!$1:$1048576,IF(OR($B67="STD. DEVIATION",$C$1=1),$A67,$A67+1),COLUMN('1-DATA'!D65)),IF($B67="STD. DEVIATION",2,$F$1))))</f>
        <v/>
      </c>
      <c r="F67" s="1" t="str">
        <f>IF(OR($B67="",F$7=""),"",IF($B67="MEANS",INDEX('1-DATA'!$1:$1048576,$A66-1,COLUMN('1-DATA'!E65)),ROUND(INDEX('1-DATA'!$1:$1048576,IF(OR($B67="STD. DEVIATION",$C$1=1),$A67,$A67+1),COLUMN('1-DATA'!E65)),IF($B67="STD. DEVIATION",2,$F$1))))</f>
        <v/>
      </c>
      <c r="G67" s="1" t="str">
        <f>IF(OR($B67="",G$7=""),"",IF($B67="MEANS",INDEX('1-DATA'!$1:$1048576,$A66-1,COLUMN('1-DATA'!F65)),ROUND(INDEX('1-DATA'!$1:$1048576,IF(OR($B67="STD. DEVIATION",$C$1=1),$A67,$A67+1),COLUMN('1-DATA'!F65)),IF($B67="STD. DEVIATION",2,$F$1))))</f>
        <v/>
      </c>
      <c r="H67" s="1" t="str">
        <f>IF(OR($B67="",H$7=""),"",IF($B67="MEANS",INDEX('1-DATA'!$1:$1048576,$A66-1,COLUMN('1-DATA'!G65)),ROUND(INDEX('1-DATA'!$1:$1048576,IF(OR($B67="STD. DEVIATION",$C$1=1),$A67,$A67+1),COLUMN('1-DATA'!G65)),IF($B67="STD. DEVIATION",2,$F$1))))</f>
        <v/>
      </c>
      <c r="I67" s="1" t="str">
        <f>IF(OR($B67="",I$7=""),"",IF($B67="MEANS",INDEX('1-DATA'!$1:$1048576,$A66-1,COLUMN('1-DATA'!H65)),ROUND(INDEX('1-DATA'!$1:$1048576,IF(OR($B67="STD. DEVIATION",$C$1=1),$A67,$A67+1),COLUMN('1-DATA'!H65)),IF($B67="STD. DEVIATION",2,$F$1))))</f>
        <v/>
      </c>
      <c r="J67" s="1" t="str">
        <f>IF(OR($B67="",J$7=""),"",IF($B67="MEANS",INDEX('1-DATA'!$1:$1048576,$A66-1,COLUMN('1-DATA'!I65)),ROUND(INDEX('1-DATA'!$1:$1048576,IF(OR($B67="STD. DEVIATION",$C$1=1),$A67,$A67+1),COLUMN('1-DATA'!I65)),IF($B67="STD. DEVIATION",2,$F$1))))</f>
        <v/>
      </c>
      <c r="K67" s="1" t="str">
        <f>IF(OR($B67="",K$7=""),"",IF($B67="MEANS",INDEX('1-DATA'!$1:$1048576,$A66-1,COLUMN('1-DATA'!J65)),ROUND(INDEX('1-DATA'!$1:$1048576,IF(OR($B67="STD. DEVIATION",$C$1=1),$A67,$A67+1),COLUMN('1-DATA'!J65)),IF($B67="STD. DEVIATION",2,$F$1))))</f>
        <v/>
      </c>
      <c r="L67" s="1" t="str">
        <f>IF(OR($B67="",L$7=""),"",IF($B67="MEANS",INDEX('1-DATA'!$1:$1048576,$A66-1,COLUMN('1-DATA'!K65)),ROUND(INDEX('1-DATA'!$1:$1048576,IF(OR($B67="STD. DEVIATION",$C$1=1),$A67,$A67+1),COLUMN('1-DATA'!K65)),IF($B67="STD. DEVIATION",2,$F$1))))</f>
        <v/>
      </c>
      <c r="M67" s="1" t="str">
        <f>IF(OR($B67="",M$7=""),"",IF($B67="MEANS",INDEX('1-DATA'!$1:$1048576,$A66-1,COLUMN('1-DATA'!L65)),ROUND(INDEX('1-DATA'!$1:$1048576,IF(OR($B67="STD. DEVIATION",$C$1=1),$A67,$A67+1),COLUMN('1-DATA'!L65)),IF($B67="STD. DEVIATION",2,$F$1))))</f>
        <v/>
      </c>
      <c r="N67" s="1" t="str">
        <f>IF(OR($B67="",N$7=""),"",IF($B67="MEANS",INDEX('1-DATA'!$1:$1048576,$A66-1,COLUMN('1-DATA'!M65)),ROUND(INDEX('1-DATA'!$1:$1048576,IF(OR($B67="STD. DEVIATION",$C$1=1),$A67,$A67+1),COLUMN('1-DATA'!M65)),IF($B67="STD. DEVIATION",2,$F$1))))</f>
        <v/>
      </c>
      <c r="O67" s="1" t="str">
        <f>IF(OR($B67="",O$7=""),"",IF($B67="MEANS",INDEX('1-DATA'!$1:$1048576,$A66-1,COLUMN('1-DATA'!N65)),ROUND(INDEX('1-DATA'!$1:$1048576,IF(OR($B67="STD. DEVIATION",$C$1=1),$A67,$A67+1),COLUMN('1-DATA'!N65)),IF($B67="STD. DEVIATION",2,$F$1))))</f>
        <v/>
      </c>
      <c r="P67" s="1" t="str">
        <f>IF(OR($B67="",P$7=""),"",IF($B67="MEANS",INDEX('1-DATA'!$1:$1048576,$A66-1,COLUMN('1-DATA'!O65)),ROUND(INDEX('1-DATA'!$1:$1048576,IF(OR($B67="STD. DEVIATION",$C$1=1),$A67,$A67+1),COLUMN('1-DATA'!O65)),IF($B67="STD. DEVIATION",2,$F$1))))</f>
        <v/>
      </c>
      <c r="Q67" s="1" t="str">
        <f>IF(OR($B67="",Q$7=""),"",IF($B67="MEANS",INDEX('1-DATA'!$1:$1048576,$A66-1,COLUMN('1-DATA'!P65)),ROUND(INDEX('1-DATA'!$1:$1048576,IF(OR($B67="STD. DEVIATION",$C$1=1),$A67,$A67+1),COLUMN('1-DATA'!P65)),IF($B67="STD. DEVIATION",2,$F$1))))</f>
        <v/>
      </c>
      <c r="R67" s="1" t="str">
        <f>IF(OR($B67="",R$7=""),"",IF($B67="MEANS",INDEX('1-DATA'!$1:$1048576,$A66-1,COLUMN('1-DATA'!Q65)),ROUND(INDEX('1-DATA'!$1:$1048576,IF(OR($B67="STD. DEVIATION",$C$1=1),$A67,$A67+1),COLUMN('1-DATA'!Q65)),IF($B67="STD. DEVIATION",2,$F$1))))</f>
        <v/>
      </c>
      <c r="S67" s="1" t="str">
        <f>IF(OR($B67="",S$7=""),"",IF($B67="MEANS",INDEX('1-DATA'!$1:$1048576,$A66-1,COLUMN('1-DATA'!R65)),ROUND(INDEX('1-DATA'!$1:$1048576,IF(OR($B67="STD. DEVIATION",$C$1=1),$A67,$A67+1),COLUMN('1-DATA'!R65)),IF($B67="STD. DEVIATION",2,$F$1))))</f>
        <v/>
      </c>
      <c r="T67" s="1" t="str">
        <f>IF(OR($B67="",T$7=""),"",IF($B67="MEANS",INDEX('1-DATA'!$1:$1048576,$A66-1,COLUMN('1-DATA'!S65)),ROUND(INDEX('1-DATA'!$1:$1048576,IF(OR($B67="STD. DEVIATION",$C$1=1),$A67,$A67+1),COLUMN('1-DATA'!S65)),IF($B67="STD. DEVIATION",2,$F$1))))</f>
        <v/>
      </c>
      <c r="U67" s="1" t="str">
        <f>IF(OR($B67="",U$7=""),"",IF($B67="MEANS",INDEX('1-DATA'!$1:$1048576,$A66-1,COLUMN('1-DATA'!T65)),ROUND(INDEX('1-DATA'!$1:$1048576,IF(OR($B67="STD. DEVIATION",$C$1=1),$A67,$A67+1),COLUMN('1-DATA'!T65)),IF($B67="STD. DEVIATION",2,$F$1))))</f>
        <v/>
      </c>
      <c r="V67" s="1" t="str">
        <f>IF(OR($B67="",V$7=""),"",IF($B67="MEANS",INDEX('1-DATA'!$1:$1048576,$A66-1,COLUMN('1-DATA'!U65)),ROUND(INDEX('1-DATA'!$1:$1048576,IF(OR($B67="STD. DEVIATION",$C$1=1),$A67,$A67+1),COLUMN('1-DATA'!U65)),IF($B67="STD. DEVIATION",2,$F$1))))</f>
        <v/>
      </c>
      <c r="W67" s="1" t="str">
        <f>IF(OR($B67="",W$7=""),"",IF($B67="MEANS",INDEX('1-DATA'!$1:$1048576,$A66-1,COLUMN('1-DATA'!V65)),ROUND(INDEX('1-DATA'!$1:$1048576,IF(OR($B67="STD. DEVIATION",$C$1=1),$A67,$A67+1),COLUMN('1-DATA'!V65)),IF($B67="STD. DEVIATION",2,$F$1))))</f>
        <v/>
      </c>
      <c r="X67" s="1" t="str">
        <f>IF(OR($B67="",X$7=""),"",IF($B67="MEANS",INDEX('1-DATA'!$1:$1048576,$A66-1,COLUMN('1-DATA'!W65)),ROUND(INDEX('1-DATA'!$1:$1048576,IF(OR($B67="STD. DEVIATION",$C$1=1),$A67,$A67+1),COLUMN('1-DATA'!W65)),IF($B67="STD. DEVIATION",2,$F$1))))</f>
        <v/>
      </c>
      <c r="Y67" s="1" t="str">
        <f>IF(OR($B67="",Y$7=""),"",IF($B67="MEANS",INDEX('1-DATA'!$1:$1048576,$A66-1,COLUMN('1-DATA'!X65)),ROUND(INDEX('1-DATA'!$1:$1048576,IF(OR($B67="STD. DEVIATION",$C$1=1),$A67,$A67+1),COLUMN('1-DATA'!X65)),IF($B67="STD. DEVIATION",2,$F$1))))</f>
        <v/>
      </c>
      <c r="Z67" s="1" t="str">
        <f>IF(OR($B67="",Z$7=""),"",IF($B67="MEANS",INDEX('1-DATA'!$1:$1048576,$A66-1,COLUMN('1-DATA'!Y65)),ROUND(INDEX('1-DATA'!$1:$1048576,IF(OR($B67="STD. DEVIATION",$C$1=1),$A67,$A67+1),COLUMN('1-DATA'!Y65)),IF($B67="STD. DEVIATION",2,$F$1))))</f>
        <v/>
      </c>
      <c r="AA67" s="1" t="str">
        <f>IF(OR($B67="",AA$7=""),"",IF($B67="MEANS",INDEX('1-DATA'!$1:$1048576,$A66-1,COLUMN('1-DATA'!Z65)),ROUND(INDEX('1-DATA'!$1:$1048576,IF(OR($B67="STD. DEVIATION",$C$1=1),$A67,$A67+1),COLUMN('1-DATA'!Z65)),IF($B67="STD. DEVIATION",2,$F$1))))</f>
        <v/>
      </c>
      <c r="AB67" s="1" t="str">
        <f>IF(OR($B67="",AB$7=""),"",IF($B67="MEANS",INDEX('1-DATA'!$1:$1048576,$A66-1,COLUMN('1-DATA'!AA65)),ROUND(INDEX('1-DATA'!$1:$1048576,IF(OR($B67="STD. DEVIATION",$C$1=1),$A67,$A67+1),COLUMN('1-DATA'!AA65)),IF($B67="STD. DEVIATION",2,$F$1))))</f>
        <v/>
      </c>
      <c r="AC67" s="1" t="str">
        <f>IF(OR($B67="",AC$7=""),"",IF($B67="MEANS",INDEX('1-DATA'!$1:$1048576,$A66-1,COLUMN('1-DATA'!AB65)),ROUND(INDEX('1-DATA'!$1:$1048576,IF(OR($B67="STD. DEVIATION",$C$1=1),$A67,$A67+1),COLUMN('1-DATA'!AB65)),IF($B67="STD. DEVIATION",2,$F$1))))</f>
        <v/>
      </c>
      <c r="AD67" s="1" t="str">
        <f>IF(OR($B67="",AD$7=""),"",IF($B67="MEANS",INDEX('1-DATA'!$1:$1048576,$A66-1,COLUMN('1-DATA'!AC65)),ROUND(INDEX('1-DATA'!$1:$1048576,IF(OR($B67="STD. DEVIATION",$C$1=1),$A67,$A67+1),COLUMN('1-DATA'!AC65)),IF($B67="STD. DEVIATION",2,$F$1))))</f>
        <v/>
      </c>
      <c r="AE67" s="1" t="str">
        <f>IF(OR($B67="",AE$7=""),"",IF($B67="MEANS",INDEX('1-DATA'!$1:$1048576,$A66-1,COLUMN('1-DATA'!AD65)),ROUND(INDEX('1-DATA'!$1:$1048576,IF(OR($B67="STD. DEVIATION",$C$1=1),$A67,$A67+1),COLUMN('1-DATA'!AD65)),IF($B67="STD. DEVIATION",2,$F$1))))</f>
        <v/>
      </c>
      <c r="AF67" s="1" t="str">
        <f>IF(OR($B67="",AF$7=""),"",IF($B67="MEANS",INDEX('1-DATA'!$1:$1048576,$A66-1,COLUMN('1-DATA'!AE65)),ROUND(INDEX('1-DATA'!$1:$1048576,IF(OR($B67="STD. DEVIATION",$C$1=1),$A67,$A67+1),COLUMN('1-DATA'!AE65)),IF($B67="STD. DEVIATION",2,$F$1))))</f>
        <v/>
      </c>
      <c r="AG67" s="1" t="str">
        <f>IF(OR($B67="",AG$7=""),"",IF($B67="MEANS",INDEX('1-DATA'!$1:$1048576,$A66-1,COLUMN('1-DATA'!AF65)),ROUND(INDEX('1-DATA'!$1:$1048576,IF(OR($B67="STD. DEVIATION",$C$1=1),$A67,$A67+1),COLUMN('1-DATA'!AF65)),IF($B67="STD. DEVIATION",2,$F$1))))</f>
        <v/>
      </c>
      <c r="AH67" s="1" t="str">
        <f>IF(OR($B67="",AH$7=""),"",IF($B67="MEANS",INDEX('1-DATA'!$1:$1048576,$A66-1,COLUMN('1-DATA'!AG65)),ROUND(INDEX('1-DATA'!$1:$1048576,IF(OR($B67="STD. DEVIATION",$C$1=1),$A67,$A67+1),COLUMN('1-DATA'!AG65)),IF($B67="STD. DEVIATION",2,$F$1))))</f>
        <v/>
      </c>
      <c r="AI67" s="1" t="str">
        <f>IF(OR($B67="",AI$7=""),"",IF($B67="MEANS",INDEX('1-DATA'!$1:$1048576,$A66-1,COLUMN('1-DATA'!AH65)),ROUND(INDEX('1-DATA'!$1:$1048576,IF(OR($B67="STD. DEVIATION",$C$1=1),$A67,$A67+1),COLUMN('1-DATA'!AH65)),IF($B67="STD. DEVIATION",2,$F$1))))</f>
        <v/>
      </c>
      <c r="AJ67" s="1" t="str">
        <f>IF(OR($B67="",AJ$7=""),"",IF($B67="MEANS",INDEX('1-DATA'!$1:$1048576,$A66-1,COLUMN('1-DATA'!AI65)),ROUND(INDEX('1-DATA'!$1:$1048576,IF(OR($B67="STD. DEVIATION",$C$1=1),$A67,$A67+1),COLUMN('1-DATA'!AI65)),IF($B67="STD. DEVIATION",2,$F$1))))</f>
        <v/>
      </c>
      <c r="AK67" s="1" t="str">
        <f>IF(OR($B67="",AK$7=""),"",IF($B67="MEANS",INDEX('1-DATA'!$1:$1048576,$A66-1,COLUMN('1-DATA'!AJ65)),ROUND(INDEX('1-DATA'!$1:$1048576,IF(OR($B67="STD. DEVIATION",$C$1=1),$A67,$A67+1),COLUMN('1-DATA'!AJ65)),IF($B67="STD. DEVIATION",2,$F$1))))</f>
        <v/>
      </c>
      <c r="AL67" s="1" t="str">
        <f>IF(OR($B67="",AL$7=""),"",IF($B67="MEANS",INDEX('1-DATA'!$1:$1048576,$A66-1,COLUMN('1-DATA'!AK65)),ROUND(INDEX('1-DATA'!$1:$1048576,IF(OR($B67="STD. DEVIATION",$C$1=1),$A67,$A67+1),COLUMN('1-DATA'!AK65)),IF($B67="STD. DEVIATION",2,$F$1))))</f>
        <v/>
      </c>
      <c r="AM67" s="1" t="str">
        <f>IF(OR($B67="",AM$7=""),"",IF($B67="MEANS",INDEX('1-DATA'!$1:$1048576,$A66-1,COLUMN('1-DATA'!AL65)),ROUND(INDEX('1-DATA'!$1:$1048576,IF(OR($B67="STD. DEVIATION",$C$1=1),$A67,$A67+1),COLUMN('1-DATA'!AL65)),IF($B67="STD. DEVIATION",2,$F$1))))</f>
        <v/>
      </c>
      <c r="AN67" s="1" t="str">
        <f>IF(OR($B67="",AN$7=""),"",IF($B67="MEANS",INDEX('1-DATA'!$1:$1048576,$A66-1,COLUMN('1-DATA'!AM65)),ROUND(INDEX('1-DATA'!$1:$1048576,IF(OR($B67="STD. DEVIATION",$C$1=1),$A67,$A67+1),COLUMN('1-DATA'!AM65)),IF($B67="STD. DEVIATION",2,$F$1))))</f>
        <v/>
      </c>
      <c r="AO67" s="1" t="str">
        <f>IF(OR($B67="",AO$7=""),"",IF($B67="MEANS",INDEX('1-DATA'!$1:$1048576,$A66-1,COLUMN('1-DATA'!AN65)),ROUND(INDEX('1-DATA'!$1:$1048576,IF(OR($B67="STD. DEVIATION",$C$1=1),$A67,$A67+1),COLUMN('1-DATA'!AN65)),IF($B67="STD. DEVIATION",2,$F$1))))</f>
        <v/>
      </c>
      <c r="AP67" s="1" t="str">
        <f>IF(OR($B67="",AP$7=""),"",IF($B67="MEANS",INDEX('1-DATA'!$1:$1048576,$A66-1,COLUMN('1-DATA'!AO65)),ROUND(INDEX('1-DATA'!$1:$1048576,IF(OR($B67="STD. DEVIATION",$C$1=1),$A67,$A67+1),COLUMN('1-DATA'!AO65)),IF($B67="STD. DEVIATION",2,$F$1))))</f>
        <v/>
      </c>
      <c r="AQ67" s="1" t="str">
        <f>IF(OR($B67="",AQ$7=""),"",IF($B67="MEANS",INDEX('1-DATA'!$1:$1048576,$A66-1,COLUMN('1-DATA'!AP65)),ROUND(INDEX('1-DATA'!$1:$1048576,IF(OR($B67="STD. DEVIATION",$C$1=1),$A67,$A67+1),COLUMN('1-DATA'!AP65)),IF($B67="STD. DEVIATION",2,$F$1))))</f>
        <v/>
      </c>
      <c r="AR67" s="1" t="str">
        <f>IF(OR($B67="",AR$7=""),"",IF($B67="MEANS",INDEX('1-DATA'!$1:$1048576,$A66-1,COLUMN('1-DATA'!AQ65)),ROUND(INDEX('1-DATA'!$1:$1048576,IF(OR($B67="STD. DEVIATION",$C$1=1),$A67,$A67+1),COLUMN('1-DATA'!AQ65)),IF($B67="STD. DEVIATION",2,$F$1))))</f>
        <v/>
      </c>
      <c r="AS67" s="1" t="str">
        <f>IF(OR($B67="",AS$7=""),"",IF($B67="MEANS",INDEX('1-DATA'!$1:$1048576,$A66-1,COLUMN('1-DATA'!AR65)),ROUND(INDEX('1-DATA'!$1:$1048576,IF(OR($B67="STD. DEVIATION",$C$1=1),$A67,$A67+1),COLUMN('1-DATA'!AR65)),IF($B67="STD. DEVIATION",2,$F$1))))</f>
        <v/>
      </c>
      <c r="AT67" s="1" t="str">
        <f>IF(OR($B67="",AT$7=""),"",IF($B67="MEANS",INDEX('1-DATA'!$1:$1048576,$A66-1,COLUMN('1-DATA'!AS65)),ROUND(INDEX('1-DATA'!$1:$1048576,IF(OR($B67="STD. DEVIATION",$C$1=1),$A67,$A67+1),COLUMN('1-DATA'!AS65)),IF($B67="STD. DEVIATION",2,$F$1))))</f>
        <v/>
      </c>
      <c r="AU67" s="1" t="str">
        <f>IF(OR($B67="",AU$7=""),"",IF($B67="MEANS",INDEX('1-DATA'!$1:$1048576,$A66-1,COLUMN('1-DATA'!AT65)),ROUND(INDEX('1-DATA'!$1:$1048576,IF(OR($B67="STD. DEVIATION",$C$1=1),$A67,$A67+1),COLUMN('1-DATA'!AT65)),IF($B67="STD. DEVIATION",2,$F$1))))</f>
        <v/>
      </c>
      <c r="AV67" s="1" t="str">
        <f>IF(OR($B67="",AV$7=""),"",IF($B67="MEANS",INDEX('1-DATA'!$1:$1048576,$A66-1,COLUMN('1-DATA'!AU65)),ROUND(INDEX('1-DATA'!$1:$1048576,IF(OR($B67="STD. DEVIATION",$C$1=1),$A67,$A67+1),COLUMN('1-DATA'!AU65)),IF($B67="STD. DEVIATION",2,$F$1))))</f>
        <v/>
      </c>
      <c r="AW67" s="1" t="str">
        <f>IF(OR($B67="",AW$7=""),"",IF($B67="MEANS",INDEX('1-DATA'!$1:$1048576,$A66-1,COLUMN('1-DATA'!AV65)),ROUND(INDEX('1-DATA'!$1:$1048576,IF(OR($B67="STD. DEVIATION",$C$1=1),$A67,$A67+1),COLUMN('1-DATA'!AV65)),IF($B67="STD. DEVIATION",2,$F$1))))</f>
        <v/>
      </c>
      <c r="AX67" s="1" t="str">
        <f>IF(OR($B67="",AX$7=""),"",IF($B67="MEANS",INDEX('1-DATA'!$1:$1048576,$A66-1,COLUMN('1-DATA'!AW65)),ROUND(INDEX('1-DATA'!$1:$1048576,IF(OR($B67="STD. DEVIATION",$C$1=1),$A67,$A67+1),COLUMN('1-DATA'!AW65)),IF($B67="STD. DEVIATION",2,$F$1))))</f>
        <v/>
      </c>
      <c r="AY67" s="1" t="str">
        <f>IF(OR($B67="",AY$7=""),"",IF($B67="MEANS",INDEX('1-DATA'!$1:$1048576,$A66-1,COLUMN('1-DATA'!AX65)),ROUND(INDEX('1-DATA'!$1:$1048576,IF(OR($B67="STD. DEVIATION",$C$1=1),$A67,$A67+1),COLUMN('1-DATA'!AX65)),IF($B67="STD. DEVIATION",2,$F$1))))</f>
        <v/>
      </c>
      <c r="AZ67" s="1" t="str">
        <f>IF(OR($B67="",AZ$7=""),"",IF($B67="MEANS",INDEX('1-DATA'!$1:$1048576,$A66-1,COLUMN('1-DATA'!AY65)),ROUND(INDEX('1-DATA'!$1:$1048576,IF(OR($B67="STD. DEVIATION",$C$1=1),$A67,$A67+1),COLUMN('1-DATA'!AY65)),IF($B67="STD. DEVIATION",2,$F$1))))</f>
        <v/>
      </c>
    </row>
    <row r="68" spans="1:52" x14ac:dyDescent="0.25">
      <c r="A68" s="11">
        <f t="shared" si="1"/>
        <v>190</v>
      </c>
      <c r="B68" s="1" t="str">
        <f>IF(B67="STD. DEVIATION",INDEX('1-DATA'!$1:$1048576,$A67-1,1),IF(INDEX('1-DATA'!$1:$1048576,$A68,1)&lt;&gt;"",INDEX('1-DATA'!$1:$1048576,$A68,1),""))</f>
        <v/>
      </c>
      <c r="C68" s="1" t="str">
        <f>IF(OR($B68="",C$7=""),"",IF($B68="MEANS",INDEX('1-DATA'!$1:$1048576,$A67-1,COLUMN('1-DATA'!B66)),ROUND(INDEX('1-DATA'!$1:$1048576,IF(OR($B68="STD. DEVIATION",$C$1=1),$A68,$A68+1),COLUMN('1-DATA'!B66)),IF($B68="STD. DEVIATION",2,$F$1))))</f>
        <v/>
      </c>
      <c r="D68" s="1" t="str">
        <f>IF(OR($B68="",D$7=""),"",IF($B68="MEANS",INDEX('1-DATA'!$1:$1048576,$A67-1,COLUMN('1-DATA'!C66)),ROUND(INDEX('1-DATA'!$1:$1048576,IF(OR($B68="STD. DEVIATION",$C$1=1),$A68,$A68+1),COLUMN('1-DATA'!C66)),IF($B68="STD. DEVIATION",2,$F$1))))</f>
        <v/>
      </c>
      <c r="E68" s="1" t="str">
        <f>IF(OR($B68="",E$7=""),"",IF($B68="MEANS",INDEX('1-DATA'!$1:$1048576,$A67-1,COLUMN('1-DATA'!D66)),ROUND(INDEX('1-DATA'!$1:$1048576,IF(OR($B68="STD. DEVIATION",$C$1=1),$A68,$A68+1),COLUMN('1-DATA'!D66)),IF($B68="STD. DEVIATION",2,$F$1))))</f>
        <v/>
      </c>
      <c r="F68" s="1" t="str">
        <f>IF(OR($B68="",F$7=""),"",IF($B68="MEANS",INDEX('1-DATA'!$1:$1048576,$A67-1,COLUMN('1-DATA'!E66)),ROUND(INDEX('1-DATA'!$1:$1048576,IF(OR($B68="STD. DEVIATION",$C$1=1),$A68,$A68+1),COLUMN('1-DATA'!E66)),IF($B68="STD. DEVIATION",2,$F$1))))</f>
        <v/>
      </c>
      <c r="G68" s="1" t="str">
        <f>IF(OR($B68="",G$7=""),"",IF($B68="MEANS",INDEX('1-DATA'!$1:$1048576,$A67-1,COLUMN('1-DATA'!F66)),ROUND(INDEX('1-DATA'!$1:$1048576,IF(OR($B68="STD. DEVIATION",$C$1=1),$A68,$A68+1),COLUMN('1-DATA'!F66)),IF($B68="STD. DEVIATION",2,$F$1))))</f>
        <v/>
      </c>
      <c r="H68" s="1" t="str">
        <f>IF(OR($B68="",H$7=""),"",IF($B68="MEANS",INDEX('1-DATA'!$1:$1048576,$A67-1,COLUMN('1-DATA'!G66)),ROUND(INDEX('1-DATA'!$1:$1048576,IF(OR($B68="STD. DEVIATION",$C$1=1),$A68,$A68+1),COLUMN('1-DATA'!G66)),IF($B68="STD. DEVIATION",2,$F$1))))</f>
        <v/>
      </c>
      <c r="I68" s="1" t="str">
        <f>IF(OR($B68="",I$7=""),"",IF($B68="MEANS",INDEX('1-DATA'!$1:$1048576,$A67-1,COLUMN('1-DATA'!H66)),ROUND(INDEX('1-DATA'!$1:$1048576,IF(OR($B68="STD. DEVIATION",$C$1=1),$A68,$A68+1),COLUMN('1-DATA'!H66)),IF($B68="STD. DEVIATION",2,$F$1))))</f>
        <v/>
      </c>
      <c r="J68" s="1" t="str">
        <f>IF(OR($B68="",J$7=""),"",IF($B68="MEANS",INDEX('1-DATA'!$1:$1048576,$A67-1,COLUMN('1-DATA'!I66)),ROUND(INDEX('1-DATA'!$1:$1048576,IF(OR($B68="STD. DEVIATION",$C$1=1),$A68,$A68+1),COLUMN('1-DATA'!I66)),IF($B68="STD. DEVIATION",2,$F$1))))</f>
        <v/>
      </c>
      <c r="K68" s="1" t="str">
        <f>IF(OR($B68="",K$7=""),"",IF($B68="MEANS",INDEX('1-DATA'!$1:$1048576,$A67-1,COLUMN('1-DATA'!J66)),ROUND(INDEX('1-DATA'!$1:$1048576,IF(OR($B68="STD. DEVIATION",$C$1=1),$A68,$A68+1),COLUMN('1-DATA'!J66)),IF($B68="STD. DEVIATION",2,$F$1))))</f>
        <v/>
      </c>
      <c r="L68" s="1" t="str">
        <f>IF(OR($B68="",L$7=""),"",IF($B68="MEANS",INDEX('1-DATA'!$1:$1048576,$A67-1,COLUMN('1-DATA'!K66)),ROUND(INDEX('1-DATA'!$1:$1048576,IF(OR($B68="STD. DEVIATION",$C$1=1),$A68,$A68+1),COLUMN('1-DATA'!K66)),IF($B68="STD. DEVIATION",2,$F$1))))</f>
        <v/>
      </c>
      <c r="M68" s="1" t="str">
        <f>IF(OR($B68="",M$7=""),"",IF($B68="MEANS",INDEX('1-DATA'!$1:$1048576,$A67-1,COLUMN('1-DATA'!L66)),ROUND(INDEX('1-DATA'!$1:$1048576,IF(OR($B68="STD. DEVIATION",$C$1=1),$A68,$A68+1),COLUMN('1-DATA'!L66)),IF($B68="STD. DEVIATION",2,$F$1))))</f>
        <v/>
      </c>
      <c r="N68" s="1" t="str">
        <f>IF(OR($B68="",N$7=""),"",IF($B68="MEANS",INDEX('1-DATA'!$1:$1048576,$A67-1,COLUMN('1-DATA'!M66)),ROUND(INDEX('1-DATA'!$1:$1048576,IF(OR($B68="STD. DEVIATION",$C$1=1),$A68,$A68+1),COLUMN('1-DATA'!M66)),IF($B68="STD. DEVIATION",2,$F$1))))</f>
        <v/>
      </c>
      <c r="O68" s="1" t="str">
        <f>IF(OR($B68="",O$7=""),"",IF($B68="MEANS",INDEX('1-DATA'!$1:$1048576,$A67-1,COLUMN('1-DATA'!N66)),ROUND(INDEX('1-DATA'!$1:$1048576,IF(OR($B68="STD. DEVIATION",$C$1=1),$A68,$A68+1),COLUMN('1-DATA'!N66)),IF($B68="STD. DEVIATION",2,$F$1))))</f>
        <v/>
      </c>
      <c r="P68" s="1" t="str">
        <f>IF(OR($B68="",P$7=""),"",IF($B68="MEANS",INDEX('1-DATA'!$1:$1048576,$A67-1,COLUMN('1-DATA'!O66)),ROUND(INDEX('1-DATA'!$1:$1048576,IF(OR($B68="STD. DEVIATION",$C$1=1),$A68,$A68+1),COLUMN('1-DATA'!O66)),IF($B68="STD. DEVIATION",2,$F$1))))</f>
        <v/>
      </c>
      <c r="Q68" s="1" t="str">
        <f>IF(OR($B68="",Q$7=""),"",IF($B68="MEANS",INDEX('1-DATA'!$1:$1048576,$A67-1,COLUMN('1-DATA'!P66)),ROUND(INDEX('1-DATA'!$1:$1048576,IF(OR($B68="STD. DEVIATION",$C$1=1),$A68,$A68+1),COLUMN('1-DATA'!P66)),IF($B68="STD. DEVIATION",2,$F$1))))</f>
        <v/>
      </c>
      <c r="R68" s="1" t="str">
        <f>IF(OR($B68="",R$7=""),"",IF($B68="MEANS",INDEX('1-DATA'!$1:$1048576,$A67-1,COLUMN('1-DATA'!Q66)),ROUND(INDEX('1-DATA'!$1:$1048576,IF(OR($B68="STD. DEVIATION",$C$1=1),$A68,$A68+1),COLUMN('1-DATA'!Q66)),IF($B68="STD. DEVIATION",2,$F$1))))</f>
        <v/>
      </c>
      <c r="S68" s="1" t="str">
        <f>IF(OR($B68="",S$7=""),"",IF($B68="MEANS",INDEX('1-DATA'!$1:$1048576,$A67-1,COLUMN('1-DATA'!R66)),ROUND(INDEX('1-DATA'!$1:$1048576,IF(OR($B68="STD. DEVIATION",$C$1=1),$A68,$A68+1),COLUMN('1-DATA'!R66)),IF($B68="STD. DEVIATION",2,$F$1))))</f>
        <v/>
      </c>
      <c r="T68" s="1" t="str">
        <f>IF(OR($B68="",T$7=""),"",IF($B68="MEANS",INDEX('1-DATA'!$1:$1048576,$A67-1,COLUMN('1-DATA'!S66)),ROUND(INDEX('1-DATA'!$1:$1048576,IF(OR($B68="STD. DEVIATION",$C$1=1),$A68,$A68+1),COLUMN('1-DATA'!S66)),IF($B68="STD. DEVIATION",2,$F$1))))</f>
        <v/>
      </c>
      <c r="U68" s="1" t="str">
        <f>IF(OR($B68="",U$7=""),"",IF($B68="MEANS",INDEX('1-DATA'!$1:$1048576,$A67-1,COLUMN('1-DATA'!T66)),ROUND(INDEX('1-DATA'!$1:$1048576,IF(OR($B68="STD. DEVIATION",$C$1=1),$A68,$A68+1),COLUMN('1-DATA'!T66)),IF($B68="STD. DEVIATION",2,$F$1))))</f>
        <v/>
      </c>
      <c r="V68" s="1" t="str">
        <f>IF(OR($B68="",V$7=""),"",IF($B68="MEANS",INDEX('1-DATA'!$1:$1048576,$A67-1,COLUMN('1-DATA'!U66)),ROUND(INDEX('1-DATA'!$1:$1048576,IF(OR($B68="STD. DEVIATION",$C$1=1),$A68,$A68+1),COLUMN('1-DATA'!U66)),IF($B68="STD. DEVIATION",2,$F$1))))</f>
        <v/>
      </c>
      <c r="W68" s="1" t="str">
        <f>IF(OR($B68="",W$7=""),"",IF($B68="MEANS",INDEX('1-DATA'!$1:$1048576,$A67-1,COLUMN('1-DATA'!V66)),ROUND(INDEX('1-DATA'!$1:$1048576,IF(OR($B68="STD. DEVIATION",$C$1=1),$A68,$A68+1),COLUMN('1-DATA'!V66)),IF($B68="STD. DEVIATION",2,$F$1))))</f>
        <v/>
      </c>
      <c r="X68" s="1" t="str">
        <f>IF(OR($B68="",X$7=""),"",IF($B68="MEANS",INDEX('1-DATA'!$1:$1048576,$A67-1,COLUMN('1-DATA'!W66)),ROUND(INDEX('1-DATA'!$1:$1048576,IF(OR($B68="STD. DEVIATION",$C$1=1),$A68,$A68+1),COLUMN('1-DATA'!W66)),IF($B68="STD. DEVIATION",2,$F$1))))</f>
        <v/>
      </c>
      <c r="Y68" s="1" t="str">
        <f>IF(OR($B68="",Y$7=""),"",IF($B68="MEANS",INDEX('1-DATA'!$1:$1048576,$A67-1,COLUMN('1-DATA'!X66)),ROUND(INDEX('1-DATA'!$1:$1048576,IF(OR($B68="STD. DEVIATION",$C$1=1),$A68,$A68+1),COLUMN('1-DATA'!X66)),IF($B68="STD. DEVIATION",2,$F$1))))</f>
        <v/>
      </c>
      <c r="Z68" s="1" t="str">
        <f>IF(OR($B68="",Z$7=""),"",IF($B68="MEANS",INDEX('1-DATA'!$1:$1048576,$A67-1,COLUMN('1-DATA'!Y66)),ROUND(INDEX('1-DATA'!$1:$1048576,IF(OR($B68="STD. DEVIATION",$C$1=1),$A68,$A68+1),COLUMN('1-DATA'!Y66)),IF($B68="STD. DEVIATION",2,$F$1))))</f>
        <v/>
      </c>
      <c r="AA68" s="1" t="str">
        <f>IF(OR($B68="",AA$7=""),"",IF($B68="MEANS",INDEX('1-DATA'!$1:$1048576,$A67-1,COLUMN('1-DATA'!Z66)),ROUND(INDEX('1-DATA'!$1:$1048576,IF(OR($B68="STD. DEVIATION",$C$1=1),$A68,$A68+1),COLUMN('1-DATA'!Z66)),IF($B68="STD. DEVIATION",2,$F$1))))</f>
        <v/>
      </c>
      <c r="AB68" s="1" t="str">
        <f>IF(OR($B68="",AB$7=""),"",IF($B68="MEANS",INDEX('1-DATA'!$1:$1048576,$A67-1,COLUMN('1-DATA'!AA66)),ROUND(INDEX('1-DATA'!$1:$1048576,IF(OR($B68="STD. DEVIATION",$C$1=1),$A68,$A68+1),COLUMN('1-DATA'!AA66)),IF($B68="STD. DEVIATION",2,$F$1))))</f>
        <v/>
      </c>
      <c r="AC68" s="1" t="str">
        <f>IF(OR($B68="",AC$7=""),"",IF($B68="MEANS",INDEX('1-DATA'!$1:$1048576,$A67-1,COLUMN('1-DATA'!AB66)),ROUND(INDEX('1-DATA'!$1:$1048576,IF(OR($B68="STD. DEVIATION",$C$1=1),$A68,$A68+1),COLUMN('1-DATA'!AB66)),IF($B68="STD. DEVIATION",2,$F$1))))</f>
        <v/>
      </c>
      <c r="AD68" s="1" t="str">
        <f>IF(OR($B68="",AD$7=""),"",IF($B68="MEANS",INDEX('1-DATA'!$1:$1048576,$A67-1,COLUMN('1-DATA'!AC66)),ROUND(INDEX('1-DATA'!$1:$1048576,IF(OR($B68="STD. DEVIATION",$C$1=1),$A68,$A68+1),COLUMN('1-DATA'!AC66)),IF($B68="STD. DEVIATION",2,$F$1))))</f>
        <v/>
      </c>
      <c r="AE68" s="1" t="str">
        <f>IF(OR($B68="",AE$7=""),"",IF($B68="MEANS",INDEX('1-DATA'!$1:$1048576,$A67-1,COLUMN('1-DATA'!AD66)),ROUND(INDEX('1-DATA'!$1:$1048576,IF(OR($B68="STD. DEVIATION",$C$1=1),$A68,$A68+1),COLUMN('1-DATA'!AD66)),IF($B68="STD. DEVIATION",2,$F$1))))</f>
        <v/>
      </c>
      <c r="AF68" s="1" t="str">
        <f>IF(OR($B68="",AF$7=""),"",IF($B68="MEANS",INDEX('1-DATA'!$1:$1048576,$A67-1,COLUMN('1-DATA'!AE66)),ROUND(INDEX('1-DATA'!$1:$1048576,IF(OR($B68="STD. DEVIATION",$C$1=1),$A68,$A68+1),COLUMN('1-DATA'!AE66)),IF($B68="STD. DEVIATION",2,$F$1))))</f>
        <v/>
      </c>
      <c r="AG68" s="1" t="str">
        <f>IF(OR($B68="",AG$7=""),"",IF($B68="MEANS",INDEX('1-DATA'!$1:$1048576,$A67-1,COLUMN('1-DATA'!AF66)),ROUND(INDEX('1-DATA'!$1:$1048576,IF(OR($B68="STD. DEVIATION",$C$1=1),$A68,$A68+1),COLUMN('1-DATA'!AF66)),IF($B68="STD. DEVIATION",2,$F$1))))</f>
        <v/>
      </c>
      <c r="AH68" s="1" t="str">
        <f>IF(OR($B68="",AH$7=""),"",IF($B68="MEANS",INDEX('1-DATA'!$1:$1048576,$A67-1,COLUMN('1-DATA'!AG66)),ROUND(INDEX('1-DATA'!$1:$1048576,IF(OR($B68="STD. DEVIATION",$C$1=1),$A68,$A68+1),COLUMN('1-DATA'!AG66)),IF($B68="STD. DEVIATION",2,$F$1))))</f>
        <v/>
      </c>
      <c r="AI68" s="1" t="str">
        <f>IF(OR($B68="",AI$7=""),"",IF($B68="MEANS",INDEX('1-DATA'!$1:$1048576,$A67-1,COLUMN('1-DATA'!AH66)),ROUND(INDEX('1-DATA'!$1:$1048576,IF(OR($B68="STD. DEVIATION",$C$1=1),$A68,$A68+1),COLUMN('1-DATA'!AH66)),IF($B68="STD. DEVIATION",2,$F$1))))</f>
        <v/>
      </c>
      <c r="AJ68" s="1" t="str">
        <f>IF(OR($B68="",AJ$7=""),"",IF($B68="MEANS",INDEX('1-DATA'!$1:$1048576,$A67-1,COLUMN('1-DATA'!AI66)),ROUND(INDEX('1-DATA'!$1:$1048576,IF(OR($B68="STD. DEVIATION",$C$1=1),$A68,$A68+1),COLUMN('1-DATA'!AI66)),IF($B68="STD. DEVIATION",2,$F$1))))</f>
        <v/>
      </c>
      <c r="AK68" s="1" t="str">
        <f>IF(OR($B68="",AK$7=""),"",IF($B68="MEANS",INDEX('1-DATA'!$1:$1048576,$A67-1,COLUMN('1-DATA'!AJ66)),ROUND(INDEX('1-DATA'!$1:$1048576,IF(OR($B68="STD. DEVIATION",$C$1=1),$A68,$A68+1),COLUMN('1-DATA'!AJ66)),IF($B68="STD. DEVIATION",2,$F$1))))</f>
        <v/>
      </c>
      <c r="AL68" s="1" t="str">
        <f>IF(OR($B68="",AL$7=""),"",IF($B68="MEANS",INDEX('1-DATA'!$1:$1048576,$A67-1,COLUMN('1-DATA'!AK66)),ROUND(INDEX('1-DATA'!$1:$1048576,IF(OR($B68="STD. DEVIATION",$C$1=1),$A68,$A68+1),COLUMN('1-DATA'!AK66)),IF($B68="STD. DEVIATION",2,$F$1))))</f>
        <v/>
      </c>
      <c r="AM68" s="1" t="str">
        <f>IF(OR($B68="",AM$7=""),"",IF($B68="MEANS",INDEX('1-DATA'!$1:$1048576,$A67-1,COLUMN('1-DATA'!AL66)),ROUND(INDEX('1-DATA'!$1:$1048576,IF(OR($B68="STD. DEVIATION",$C$1=1),$A68,$A68+1),COLUMN('1-DATA'!AL66)),IF($B68="STD. DEVIATION",2,$F$1))))</f>
        <v/>
      </c>
      <c r="AN68" s="1" t="str">
        <f>IF(OR($B68="",AN$7=""),"",IF($B68="MEANS",INDEX('1-DATA'!$1:$1048576,$A67-1,COLUMN('1-DATA'!AM66)),ROUND(INDEX('1-DATA'!$1:$1048576,IF(OR($B68="STD. DEVIATION",$C$1=1),$A68,$A68+1),COLUMN('1-DATA'!AM66)),IF($B68="STD. DEVIATION",2,$F$1))))</f>
        <v/>
      </c>
      <c r="AO68" s="1" t="str">
        <f>IF(OR($B68="",AO$7=""),"",IF($B68="MEANS",INDEX('1-DATA'!$1:$1048576,$A67-1,COLUMN('1-DATA'!AN66)),ROUND(INDEX('1-DATA'!$1:$1048576,IF(OR($B68="STD. DEVIATION",$C$1=1),$A68,$A68+1),COLUMN('1-DATA'!AN66)),IF($B68="STD. DEVIATION",2,$F$1))))</f>
        <v/>
      </c>
      <c r="AP68" s="1" t="str">
        <f>IF(OR($B68="",AP$7=""),"",IF($B68="MEANS",INDEX('1-DATA'!$1:$1048576,$A67-1,COLUMN('1-DATA'!AO66)),ROUND(INDEX('1-DATA'!$1:$1048576,IF(OR($B68="STD. DEVIATION",$C$1=1),$A68,$A68+1),COLUMN('1-DATA'!AO66)),IF($B68="STD. DEVIATION",2,$F$1))))</f>
        <v/>
      </c>
      <c r="AQ68" s="1" t="str">
        <f>IF(OR($B68="",AQ$7=""),"",IF($B68="MEANS",INDEX('1-DATA'!$1:$1048576,$A67-1,COLUMN('1-DATA'!AP66)),ROUND(INDEX('1-DATA'!$1:$1048576,IF(OR($B68="STD. DEVIATION",$C$1=1),$A68,$A68+1),COLUMN('1-DATA'!AP66)),IF($B68="STD. DEVIATION",2,$F$1))))</f>
        <v/>
      </c>
      <c r="AR68" s="1" t="str">
        <f>IF(OR($B68="",AR$7=""),"",IF($B68="MEANS",INDEX('1-DATA'!$1:$1048576,$A67-1,COLUMN('1-DATA'!AQ66)),ROUND(INDEX('1-DATA'!$1:$1048576,IF(OR($B68="STD. DEVIATION",$C$1=1),$A68,$A68+1),COLUMN('1-DATA'!AQ66)),IF($B68="STD. DEVIATION",2,$F$1))))</f>
        <v/>
      </c>
      <c r="AS68" s="1" t="str">
        <f>IF(OR($B68="",AS$7=""),"",IF($B68="MEANS",INDEX('1-DATA'!$1:$1048576,$A67-1,COLUMN('1-DATA'!AR66)),ROUND(INDEX('1-DATA'!$1:$1048576,IF(OR($B68="STD. DEVIATION",$C$1=1),$A68,$A68+1),COLUMN('1-DATA'!AR66)),IF($B68="STD. DEVIATION",2,$F$1))))</f>
        <v/>
      </c>
      <c r="AT68" s="1" t="str">
        <f>IF(OR($B68="",AT$7=""),"",IF($B68="MEANS",INDEX('1-DATA'!$1:$1048576,$A67-1,COLUMN('1-DATA'!AS66)),ROUND(INDEX('1-DATA'!$1:$1048576,IF(OR($B68="STD. DEVIATION",$C$1=1),$A68,$A68+1),COLUMN('1-DATA'!AS66)),IF($B68="STD. DEVIATION",2,$F$1))))</f>
        <v/>
      </c>
      <c r="AU68" s="1" t="str">
        <f>IF(OR($B68="",AU$7=""),"",IF($B68="MEANS",INDEX('1-DATA'!$1:$1048576,$A67-1,COLUMN('1-DATA'!AT66)),ROUND(INDEX('1-DATA'!$1:$1048576,IF(OR($B68="STD. DEVIATION",$C$1=1),$A68,$A68+1),COLUMN('1-DATA'!AT66)),IF($B68="STD. DEVIATION",2,$F$1))))</f>
        <v/>
      </c>
      <c r="AV68" s="1" t="str">
        <f>IF(OR($B68="",AV$7=""),"",IF($B68="MEANS",INDEX('1-DATA'!$1:$1048576,$A67-1,COLUMN('1-DATA'!AU66)),ROUND(INDEX('1-DATA'!$1:$1048576,IF(OR($B68="STD. DEVIATION",$C$1=1),$A68,$A68+1),COLUMN('1-DATA'!AU66)),IF($B68="STD. DEVIATION",2,$F$1))))</f>
        <v/>
      </c>
      <c r="AW68" s="1" t="str">
        <f>IF(OR($B68="",AW$7=""),"",IF($B68="MEANS",INDEX('1-DATA'!$1:$1048576,$A67-1,COLUMN('1-DATA'!AV66)),ROUND(INDEX('1-DATA'!$1:$1048576,IF(OR($B68="STD. DEVIATION",$C$1=1),$A68,$A68+1),COLUMN('1-DATA'!AV66)),IF($B68="STD. DEVIATION",2,$F$1))))</f>
        <v/>
      </c>
      <c r="AX68" s="1" t="str">
        <f>IF(OR($B68="",AX$7=""),"",IF($B68="MEANS",INDEX('1-DATA'!$1:$1048576,$A67-1,COLUMN('1-DATA'!AW66)),ROUND(INDEX('1-DATA'!$1:$1048576,IF(OR($B68="STD. DEVIATION",$C$1=1),$A68,$A68+1),COLUMN('1-DATA'!AW66)),IF($B68="STD. DEVIATION",2,$F$1))))</f>
        <v/>
      </c>
      <c r="AY68" s="1" t="str">
        <f>IF(OR($B68="",AY$7=""),"",IF($B68="MEANS",INDEX('1-DATA'!$1:$1048576,$A67-1,COLUMN('1-DATA'!AX66)),ROUND(INDEX('1-DATA'!$1:$1048576,IF(OR($B68="STD. DEVIATION",$C$1=1),$A68,$A68+1),COLUMN('1-DATA'!AX66)),IF($B68="STD. DEVIATION",2,$F$1))))</f>
        <v/>
      </c>
      <c r="AZ68" s="1" t="str">
        <f>IF(OR($B68="",AZ$7=""),"",IF($B68="MEANS",INDEX('1-DATA'!$1:$1048576,$A67-1,COLUMN('1-DATA'!AY66)),ROUND(INDEX('1-DATA'!$1:$1048576,IF(OR($B68="STD. DEVIATION",$C$1=1),$A68,$A68+1),COLUMN('1-DATA'!AY66)),IF($B68="STD. DEVIATION",2,$F$1))))</f>
        <v/>
      </c>
    </row>
    <row r="69" spans="1:52" x14ac:dyDescent="0.25">
      <c r="A69" s="11">
        <f t="shared" si="1"/>
        <v>193</v>
      </c>
      <c r="B69" s="1" t="str">
        <f>IF(B68="STD. DEVIATION",INDEX('1-DATA'!$1:$1048576,$A68-1,1),IF(INDEX('1-DATA'!$1:$1048576,$A69,1)&lt;&gt;"",INDEX('1-DATA'!$1:$1048576,$A69,1),""))</f>
        <v/>
      </c>
      <c r="C69" s="1" t="str">
        <f>IF(OR($B69="",C$7=""),"",IF($B69="MEANS",INDEX('1-DATA'!$1:$1048576,$A68-1,COLUMN('1-DATA'!B67)),ROUND(INDEX('1-DATA'!$1:$1048576,IF(OR($B69="STD. DEVIATION",$C$1=1),$A69,$A69+1),COLUMN('1-DATA'!B67)),IF($B69="STD. DEVIATION",2,$F$1))))</f>
        <v/>
      </c>
      <c r="D69" s="1" t="str">
        <f>IF(OR($B69="",D$7=""),"",IF($B69="MEANS",INDEX('1-DATA'!$1:$1048576,$A68-1,COLUMN('1-DATA'!C67)),ROUND(INDEX('1-DATA'!$1:$1048576,IF(OR($B69="STD. DEVIATION",$C$1=1),$A69,$A69+1),COLUMN('1-DATA'!C67)),IF($B69="STD. DEVIATION",2,$F$1))))</f>
        <v/>
      </c>
      <c r="E69" s="1" t="str">
        <f>IF(OR($B69="",E$7=""),"",IF($B69="MEANS",INDEX('1-DATA'!$1:$1048576,$A68-1,COLUMN('1-DATA'!D67)),ROUND(INDEX('1-DATA'!$1:$1048576,IF(OR($B69="STD. DEVIATION",$C$1=1),$A69,$A69+1),COLUMN('1-DATA'!D67)),IF($B69="STD. DEVIATION",2,$F$1))))</f>
        <v/>
      </c>
      <c r="F69" s="1" t="str">
        <f>IF(OR($B69="",F$7=""),"",IF($B69="MEANS",INDEX('1-DATA'!$1:$1048576,$A68-1,COLUMN('1-DATA'!E67)),ROUND(INDEX('1-DATA'!$1:$1048576,IF(OR($B69="STD. DEVIATION",$C$1=1),$A69,$A69+1),COLUMN('1-DATA'!E67)),IF($B69="STD. DEVIATION",2,$F$1))))</f>
        <v/>
      </c>
      <c r="G69" s="1" t="str">
        <f>IF(OR($B69="",G$7=""),"",IF($B69="MEANS",INDEX('1-DATA'!$1:$1048576,$A68-1,COLUMN('1-DATA'!F67)),ROUND(INDEX('1-DATA'!$1:$1048576,IF(OR($B69="STD. DEVIATION",$C$1=1),$A69,$A69+1),COLUMN('1-DATA'!F67)),IF($B69="STD. DEVIATION",2,$F$1))))</f>
        <v/>
      </c>
      <c r="H69" s="1" t="str">
        <f>IF(OR($B69="",H$7=""),"",IF($B69="MEANS",INDEX('1-DATA'!$1:$1048576,$A68-1,COLUMN('1-DATA'!G67)),ROUND(INDEX('1-DATA'!$1:$1048576,IF(OR($B69="STD. DEVIATION",$C$1=1),$A69,$A69+1),COLUMN('1-DATA'!G67)),IF($B69="STD. DEVIATION",2,$F$1))))</f>
        <v/>
      </c>
      <c r="I69" s="1" t="str">
        <f>IF(OR($B69="",I$7=""),"",IF($B69="MEANS",INDEX('1-DATA'!$1:$1048576,$A68-1,COLUMN('1-DATA'!H67)),ROUND(INDEX('1-DATA'!$1:$1048576,IF(OR($B69="STD. DEVIATION",$C$1=1),$A69,$A69+1),COLUMN('1-DATA'!H67)),IF($B69="STD. DEVIATION",2,$F$1))))</f>
        <v/>
      </c>
      <c r="J69" s="1" t="str">
        <f>IF(OR($B69="",J$7=""),"",IF($B69="MEANS",INDEX('1-DATA'!$1:$1048576,$A68-1,COLUMN('1-DATA'!I67)),ROUND(INDEX('1-DATA'!$1:$1048576,IF(OR($B69="STD. DEVIATION",$C$1=1),$A69,$A69+1),COLUMN('1-DATA'!I67)),IF($B69="STD. DEVIATION",2,$F$1))))</f>
        <v/>
      </c>
      <c r="K69" s="1" t="str">
        <f>IF(OR($B69="",K$7=""),"",IF($B69="MEANS",INDEX('1-DATA'!$1:$1048576,$A68-1,COLUMN('1-DATA'!J67)),ROUND(INDEX('1-DATA'!$1:$1048576,IF(OR($B69="STD. DEVIATION",$C$1=1),$A69,$A69+1),COLUMN('1-DATA'!J67)),IF($B69="STD. DEVIATION",2,$F$1))))</f>
        <v/>
      </c>
      <c r="L69" s="1" t="str">
        <f>IF(OR($B69="",L$7=""),"",IF($B69="MEANS",INDEX('1-DATA'!$1:$1048576,$A68-1,COLUMN('1-DATA'!K67)),ROUND(INDEX('1-DATA'!$1:$1048576,IF(OR($B69="STD. DEVIATION",$C$1=1),$A69,$A69+1),COLUMN('1-DATA'!K67)),IF($B69="STD. DEVIATION",2,$F$1))))</f>
        <v/>
      </c>
      <c r="M69" s="1" t="str">
        <f>IF(OR($B69="",M$7=""),"",IF($B69="MEANS",INDEX('1-DATA'!$1:$1048576,$A68-1,COLUMN('1-DATA'!L67)),ROUND(INDEX('1-DATA'!$1:$1048576,IF(OR($B69="STD. DEVIATION",$C$1=1),$A69,$A69+1),COLUMN('1-DATA'!L67)),IF($B69="STD. DEVIATION",2,$F$1))))</f>
        <v/>
      </c>
      <c r="N69" s="1" t="str">
        <f>IF(OR($B69="",N$7=""),"",IF($B69="MEANS",INDEX('1-DATA'!$1:$1048576,$A68-1,COLUMN('1-DATA'!M67)),ROUND(INDEX('1-DATA'!$1:$1048576,IF(OR($B69="STD. DEVIATION",$C$1=1),$A69,$A69+1),COLUMN('1-DATA'!M67)),IF($B69="STD. DEVIATION",2,$F$1))))</f>
        <v/>
      </c>
      <c r="O69" s="1" t="str">
        <f>IF(OR($B69="",O$7=""),"",IF($B69="MEANS",INDEX('1-DATA'!$1:$1048576,$A68-1,COLUMN('1-DATA'!N67)),ROUND(INDEX('1-DATA'!$1:$1048576,IF(OR($B69="STD. DEVIATION",$C$1=1),$A69,$A69+1),COLUMN('1-DATA'!N67)),IF($B69="STD. DEVIATION",2,$F$1))))</f>
        <v/>
      </c>
      <c r="P69" s="1" t="str">
        <f>IF(OR($B69="",P$7=""),"",IF($B69="MEANS",INDEX('1-DATA'!$1:$1048576,$A68-1,COLUMN('1-DATA'!O67)),ROUND(INDEX('1-DATA'!$1:$1048576,IF(OR($B69="STD. DEVIATION",$C$1=1),$A69,$A69+1),COLUMN('1-DATA'!O67)),IF($B69="STD. DEVIATION",2,$F$1))))</f>
        <v/>
      </c>
      <c r="Q69" s="1" t="str">
        <f>IF(OR($B69="",Q$7=""),"",IF($B69="MEANS",INDEX('1-DATA'!$1:$1048576,$A68-1,COLUMN('1-DATA'!P67)),ROUND(INDEX('1-DATA'!$1:$1048576,IF(OR($B69="STD. DEVIATION",$C$1=1),$A69,$A69+1),COLUMN('1-DATA'!P67)),IF($B69="STD. DEVIATION",2,$F$1))))</f>
        <v/>
      </c>
      <c r="R69" s="1" t="str">
        <f>IF(OR($B69="",R$7=""),"",IF($B69="MEANS",INDEX('1-DATA'!$1:$1048576,$A68-1,COLUMN('1-DATA'!Q67)),ROUND(INDEX('1-DATA'!$1:$1048576,IF(OR($B69="STD. DEVIATION",$C$1=1),$A69,$A69+1),COLUMN('1-DATA'!Q67)),IF($B69="STD. DEVIATION",2,$F$1))))</f>
        <v/>
      </c>
      <c r="S69" s="1" t="str">
        <f>IF(OR($B69="",S$7=""),"",IF($B69="MEANS",INDEX('1-DATA'!$1:$1048576,$A68-1,COLUMN('1-DATA'!R67)),ROUND(INDEX('1-DATA'!$1:$1048576,IF(OR($B69="STD. DEVIATION",$C$1=1),$A69,$A69+1),COLUMN('1-DATA'!R67)),IF($B69="STD. DEVIATION",2,$F$1))))</f>
        <v/>
      </c>
      <c r="T69" s="1" t="str">
        <f>IF(OR($B69="",T$7=""),"",IF($B69="MEANS",INDEX('1-DATA'!$1:$1048576,$A68-1,COLUMN('1-DATA'!S67)),ROUND(INDEX('1-DATA'!$1:$1048576,IF(OR($B69="STD. DEVIATION",$C$1=1),$A69,$A69+1),COLUMN('1-DATA'!S67)),IF($B69="STD. DEVIATION",2,$F$1))))</f>
        <v/>
      </c>
      <c r="U69" s="1" t="str">
        <f>IF(OR($B69="",U$7=""),"",IF($B69="MEANS",INDEX('1-DATA'!$1:$1048576,$A68-1,COLUMN('1-DATA'!T67)),ROUND(INDEX('1-DATA'!$1:$1048576,IF(OR($B69="STD. DEVIATION",$C$1=1),$A69,$A69+1),COLUMN('1-DATA'!T67)),IF($B69="STD. DEVIATION",2,$F$1))))</f>
        <v/>
      </c>
      <c r="V69" s="1" t="str">
        <f>IF(OR($B69="",V$7=""),"",IF($B69="MEANS",INDEX('1-DATA'!$1:$1048576,$A68-1,COLUMN('1-DATA'!U67)),ROUND(INDEX('1-DATA'!$1:$1048576,IF(OR($B69="STD. DEVIATION",$C$1=1),$A69,$A69+1),COLUMN('1-DATA'!U67)),IF($B69="STD. DEVIATION",2,$F$1))))</f>
        <v/>
      </c>
      <c r="W69" s="1" t="str">
        <f>IF(OR($B69="",W$7=""),"",IF($B69="MEANS",INDEX('1-DATA'!$1:$1048576,$A68-1,COLUMN('1-DATA'!V67)),ROUND(INDEX('1-DATA'!$1:$1048576,IF(OR($B69="STD. DEVIATION",$C$1=1),$A69,$A69+1),COLUMN('1-DATA'!V67)),IF($B69="STD. DEVIATION",2,$F$1))))</f>
        <v/>
      </c>
      <c r="X69" s="1" t="str">
        <f>IF(OR($B69="",X$7=""),"",IF($B69="MEANS",INDEX('1-DATA'!$1:$1048576,$A68-1,COLUMN('1-DATA'!W67)),ROUND(INDEX('1-DATA'!$1:$1048576,IF(OR($B69="STD. DEVIATION",$C$1=1),$A69,$A69+1),COLUMN('1-DATA'!W67)),IF($B69="STD. DEVIATION",2,$F$1))))</f>
        <v/>
      </c>
      <c r="Y69" s="1" t="str">
        <f>IF(OR($B69="",Y$7=""),"",IF($B69="MEANS",INDEX('1-DATA'!$1:$1048576,$A68-1,COLUMN('1-DATA'!X67)),ROUND(INDEX('1-DATA'!$1:$1048576,IF(OR($B69="STD. DEVIATION",$C$1=1),$A69,$A69+1),COLUMN('1-DATA'!X67)),IF($B69="STD. DEVIATION",2,$F$1))))</f>
        <v/>
      </c>
      <c r="Z69" s="1" t="str">
        <f>IF(OR($B69="",Z$7=""),"",IF($B69="MEANS",INDEX('1-DATA'!$1:$1048576,$A68-1,COLUMN('1-DATA'!Y67)),ROUND(INDEX('1-DATA'!$1:$1048576,IF(OR($B69="STD. DEVIATION",$C$1=1),$A69,$A69+1),COLUMN('1-DATA'!Y67)),IF($B69="STD. DEVIATION",2,$F$1))))</f>
        <v/>
      </c>
      <c r="AA69" s="1" t="str">
        <f>IF(OR($B69="",AA$7=""),"",IF($B69="MEANS",INDEX('1-DATA'!$1:$1048576,$A68-1,COLUMN('1-DATA'!Z67)),ROUND(INDEX('1-DATA'!$1:$1048576,IF(OR($B69="STD. DEVIATION",$C$1=1),$A69,$A69+1),COLUMN('1-DATA'!Z67)),IF($B69="STD. DEVIATION",2,$F$1))))</f>
        <v/>
      </c>
      <c r="AB69" s="1" t="str">
        <f>IF(OR($B69="",AB$7=""),"",IF($B69="MEANS",INDEX('1-DATA'!$1:$1048576,$A68-1,COLUMN('1-DATA'!AA67)),ROUND(INDEX('1-DATA'!$1:$1048576,IF(OR($B69="STD. DEVIATION",$C$1=1),$A69,$A69+1),COLUMN('1-DATA'!AA67)),IF($B69="STD. DEVIATION",2,$F$1))))</f>
        <v/>
      </c>
      <c r="AC69" s="1" t="str">
        <f>IF(OR($B69="",AC$7=""),"",IF($B69="MEANS",INDEX('1-DATA'!$1:$1048576,$A68-1,COLUMN('1-DATA'!AB67)),ROUND(INDEX('1-DATA'!$1:$1048576,IF(OR($B69="STD. DEVIATION",$C$1=1),$A69,$A69+1),COLUMN('1-DATA'!AB67)),IF($B69="STD. DEVIATION",2,$F$1))))</f>
        <v/>
      </c>
      <c r="AD69" s="1" t="str">
        <f>IF(OR($B69="",AD$7=""),"",IF($B69="MEANS",INDEX('1-DATA'!$1:$1048576,$A68-1,COLUMN('1-DATA'!AC67)),ROUND(INDEX('1-DATA'!$1:$1048576,IF(OR($B69="STD. DEVIATION",$C$1=1),$A69,$A69+1),COLUMN('1-DATA'!AC67)),IF($B69="STD. DEVIATION",2,$F$1))))</f>
        <v/>
      </c>
      <c r="AE69" s="1" t="str">
        <f>IF(OR($B69="",AE$7=""),"",IF($B69="MEANS",INDEX('1-DATA'!$1:$1048576,$A68-1,COLUMN('1-DATA'!AD67)),ROUND(INDEX('1-DATA'!$1:$1048576,IF(OR($B69="STD. DEVIATION",$C$1=1),$A69,$A69+1),COLUMN('1-DATA'!AD67)),IF($B69="STD. DEVIATION",2,$F$1))))</f>
        <v/>
      </c>
      <c r="AF69" s="1" t="str">
        <f>IF(OR($B69="",AF$7=""),"",IF($B69="MEANS",INDEX('1-DATA'!$1:$1048576,$A68-1,COLUMN('1-DATA'!AE67)),ROUND(INDEX('1-DATA'!$1:$1048576,IF(OR($B69="STD. DEVIATION",$C$1=1),$A69,$A69+1),COLUMN('1-DATA'!AE67)),IF($B69="STD. DEVIATION",2,$F$1))))</f>
        <v/>
      </c>
      <c r="AG69" s="1" t="str">
        <f>IF(OR($B69="",AG$7=""),"",IF($B69="MEANS",INDEX('1-DATA'!$1:$1048576,$A68-1,COLUMN('1-DATA'!AF67)),ROUND(INDEX('1-DATA'!$1:$1048576,IF(OR($B69="STD. DEVIATION",$C$1=1),$A69,$A69+1),COLUMN('1-DATA'!AF67)),IF($B69="STD. DEVIATION",2,$F$1))))</f>
        <v/>
      </c>
      <c r="AH69" s="1" t="str">
        <f>IF(OR($B69="",AH$7=""),"",IF($B69="MEANS",INDEX('1-DATA'!$1:$1048576,$A68-1,COLUMN('1-DATA'!AG67)),ROUND(INDEX('1-DATA'!$1:$1048576,IF(OR($B69="STD. DEVIATION",$C$1=1),$A69,$A69+1),COLUMN('1-DATA'!AG67)),IF($B69="STD. DEVIATION",2,$F$1))))</f>
        <v/>
      </c>
      <c r="AI69" s="1" t="str">
        <f>IF(OR($B69="",AI$7=""),"",IF($B69="MEANS",INDEX('1-DATA'!$1:$1048576,$A68-1,COLUMN('1-DATA'!AH67)),ROUND(INDEX('1-DATA'!$1:$1048576,IF(OR($B69="STD. DEVIATION",$C$1=1),$A69,$A69+1),COLUMN('1-DATA'!AH67)),IF($B69="STD. DEVIATION",2,$F$1))))</f>
        <v/>
      </c>
      <c r="AJ69" s="1" t="str">
        <f>IF(OR($B69="",AJ$7=""),"",IF($B69="MEANS",INDEX('1-DATA'!$1:$1048576,$A68-1,COLUMN('1-DATA'!AI67)),ROUND(INDEX('1-DATA'!$1:$1048576,IF(OR($B69="STD. DEVIATION",$C$1=1),$A69,$A69+1),COLUMN('1-DATA'!AI67)),IF($B69="STD. DEVIATION",2,$F$1))))</f>
        <v/>
      </c>
      <c r="AK69" s="1" t="str">
        <f>IF(OR($B69="",AK$7=""),"",IF($B69="MEANS",INDEX('1-DATA'!$1:$1048576,$A68-1,COLUMN('1-DATA'!AJ67)),ROUND(INDEX('1-DATA'!$1:$1048576,IF(OR($B69="STD. DEVIATION",$C$1=1),$A69,$A69+1),COLUMN('1-DATA'!AJ67)),IF($B69="STD. DEVIATION",2,$F$1))))</f>
        <v/>
      </c>
      <c r="AL69" s="1" t="str">
        <f>IF(OR($B69="",AL$7=""),"",IF($B69="MEANS",INDEX('1-DATA'!$1:$1048576,$A68-1,COLUMN('1-DATA'!AK67)),ROUND(INDEX('1-DATA'!$1:$1048576,IF(OR($B69="STD. DEVIATION",$C$1=1),$A69,$A69+1),COLUMN('1-DATA'!AK67)),IF($B69="STD. DEVIATION",2,$F$1))))</f>
        <v/>
      </c>
      <c r="AM69" s="1" t="str">
        <f>IF(OR($B69="",AM$7=""),"",IF($B69="MEANS",INDEX('1-DATA'!$1:$1048576,$A68-1,COLUMN('1-DATA'!AL67)),ROUND(INDEX('1-DATA'!$1:$1048576,IF(OR($B69="STD. DEVIATION",$C$1=1),$A69,$A69+1),COLUMN('1-DATA'!AL67)),IF($B69="STD. DEVIATION",2,$F$1))))</f>
        <v/>
      </c>
      <c r="AN69" s="1" t="str">
        <f>IF(OR($B69="",AN$7=""),"",IF($B69="MEANS",INDEX('1-DATA'!$1:$1048576,$A68-1,COLUMN('1-DATA'!AM67)),ROUND(INDEX('1-DATA'!$1:$1048576,IF(OR($B69="STD. DEVIATION",$C$1=1),$A69,$A69+1),COLUMN('1-DATA'!AM67)),IF($B69="STD. DEVIATION",2,$F$1))))</f>
        <v/>
      </c>
      <c r="AO69" s="1" t="str">
        <f>IF(OR($B69="",AO$7=""),"",IF($B69="MEANS",INDEX('1-DATA'!$1:$1048576,$A68-1,COLUMN('1-DATA'!AN67)),ROUND(INDEX('1-DATA'!$1:$1048576,IF(OR($B69="STD. DEVIATION",$C$1=1),$A69,$A69+1),COLUMN('1-DATA'!AN67)),IF($B69="STD. DEVIATION",2,$F$1))))</f>
        <v/>
      </c>
      <c r="AP69" s="1" t="str">
        <f>IF(OR($B69="",AP$7=""),"",IF($B69="MEANS",INDEX('1-DATA'!$1:$1048576,$A68-1,COLUMN('1-DATA'!AO67)),ROUND(INDEX('1-DATA'!$1:$1048576,IF(OR($B69="STD. DEVIATION",$C$1=1),$A69,$A69+1),COLUMN('1-DATA'!AO67)),IF($B69="STD. DEVIATION",2,$F$1))))</f>
        <v/>
      </c>
      <c r="AQ69" s="1" t="str">
        <f>IF(OR($B69="",AQ$7=""),"",IF($B69="MEANS",INDEX('1-DATA'!$1:$1048576,$A68-1,COLUMN('1-DATA'!AP67)),ROUND(INDEX('1-DATA'!$1:$1048576,IF(OR($B69="STD. DEVIATION",$C$1=1),$A69,$A69+1),COLUMN('1-DATA'!AP67)),IF($B69="STD. DEVIATION",2,$F$1))))</f>
        <v/>
      </c>
      <c r="AR69" s="1" t="str">
        <f>IF(OR($B69="",AR$7=""),"",IF($B69="MEANS",INDEX('1-DATA'!$1:$1048576,$A68-1,COLUMN('1-DATA'!AQ67)),ROUND(INDEX('1-DATA'!$1:$1048576,IF(OR($B69="STD. DEVIATION",$C$1=1),$A69,$A69+1),COLUMN('1-DATA'!AQ67)),IF($B69="STD. DEVIATION",2,$F$1))))</f>
        <v/>
      </c>
      <c r="AS69" s="1" t="str">
        <f>IF(OR($B69="",AS$7=""),"",IF($B69="MEANS",INDEX('1-DATA'!$1:$1048576,$A68-1,COLUMN('1-DATA'!AR67)),ROUND(INDEX('1-DATA'!$1:$1048576,IF(OR($B69="STD. DEVIATION",$C$1=1),$A69,$A69+1),COLUMN('1-DATA'!AR67)),IF($B69="STD. DEVIATION",2,$F$1))))</f>
        <v/>
      </c>
      <c r="AT69" s="1" t="str">
        <f>IF(OR($B69="",AT$7=""),"",IF($B69="MEANS",INDEX('1-DATA'!$1:$1048576,$A68-1,COLUMN('1-DATA'!AS67)),ROUND(INDEX('1-DATA'!$1:$1048576,IF(OR($B69="STD. DEVIATION",$C$1=1),$A69,$A69+1),COLUMN('1-DATA'!AS67)),IF($B69="STD. DEVIATION",2,$F$1))))</f>
        <v/>
      </c>
      <c r="AU69" s="1" t="str">
        <f>IF(OR($B69="",AU$7=""),"",IF($B69="MEANS",INDEX('1-DATA'!$1:$1048576,$A68-1,COLUMN('1-DATA'!AT67)),ROUND(INDEX('1-DATA'!$1:$1048576,IF(OR($B69="STD. DEVIATION",$C$1=1),$A69,$A69+1),COLUMN('1-DATA'!AT67)),IF($B69="STD. DEVIATION",2,$F$1))))</f>
        <v/>
      </c>
      <c r="AV69" s="1" t="str">
        <f>IF(OR($B69="",AV$7=""),"",IF($B69="MEANS",INDEX('1-DATA'!$1:$1048576,$A68-1,COLUMN('1-DATA'!AU67)),ROUND(INDEX('1-DATA'!$1:$1048576,IF(OR($B69="STD. DEVIATION",$C$1=1),$A69,$A69+1),COLUMN('1-DATA'!AU67)),IF($B69="STD. DEVIATION",2,$F$1))))</f>
        <v/>
      </c>
      <c r="AW69" s="1" t="str">
        <f>IF(OR($B69="",AW$7=""),"",IF($B69="MEANS",INDEX('1-DATA'!$1:$1048576,$A68-1,COLUMN('1-DATA'!AV67)),ROUND(INDEX('1-DATA'!$1:$1048576,IF(OR($B69="STD. DEVIATION",$C$1=1),$A69,$A69+1),COLUMN('1-DATA'!AV67)),IF($B69="STD. DEVIATION",2,$F$1))))</f>
        <v/>
      </c>
      <c r="AX69" s="1" t="str">
        <f>IF(OR($B69="",AX$7=""),"",IF($B69="MEANS",INDEX('1-DATA'!$1:$1048576,$A68-1,COLUMN('1-DATA'!AW67)),ROUND(INDEX('1-DATA'!$1:$1048576,IF(OR($B69="STD. DEVIATION",$C$1=1),$A69,$A69+1),COLUMN('1-DATA'!AW67)),IF($B69="STD. DEVIATION",2,$F$1))))</f>
        <v/>
      </c>
      <c r="AY69" s="1" t="str">
        <f>IF(OR($B69="",AY$7=""),"",IF($B69="MEANS",INDEX('1-DATA'!$1:$1048576,$A68-1,COLUMN('1-DATA'!AX67)),ROUND(INDEX('1-DATA'!$1:$1048576,IF(OR($B69="STD. DEVIATION",$C$1=1),$A69,$A69+1),COLUMN('1-DATA'!AX67)),IF($B69="STD. DEVIATION",2,$F$1))))</f>
        <v/>
      </c>
      <c r="AZ69" s="1" t="str">
        <f>IF(OR($B69="",AZ$7=""),"",IF($B69="MEANS",INDEX('1-DATA'!$1:$1048576,$A68-1,COLUMN('1-DATA'!AY67)),ROUND(INDEX('1-DATA'!$1:$1048576,IF(OR($B69="STD. DEVIATION",$C$1=1),$A69,$A69+1),COLUMN('1-DATA'!AY67)),IF($B69="STD. DEVIATION",2,$F$1))))</f>
        <v/>
      </c>
    </row>
    <row r="70" spans="1:52" x14ac:dyDescent="0.25">
      <c r="A70" s="11">
        <f t="shared" si="1"/>
        <v>196</v>
      </c>
      <c r="B70" s="1" t="str">
        <f>IF(B69="STD. DEVIATION",INDEX('1-DATA'!$1:$1048576,$A69-1,1),IF(INDEX('1-DATA'!$1:$1048576,$A70,1)&lt;&gt;"",INDEX('1-DATA'!$1:$1048576,$A70,1),""))</f>
        <v/>
      </c>
      <c r="C70" s="1" t="str">
        <f>IF(OR($B70="",C$7=""),"",IF($B70="MEANS",INDEX('1-DATA'!$1:$1048576,$A69-1,COLUMN('1-DATA'!B68)),ROUND(INDEX('1-DATA'!$1:$1048576,IF(OR($B70="STD. DEVIATION",$C$1=1),$A70,$A70+1),COLUMN('1-DATA'!B68)),IF($B70="STD. DEVIATION",2,$F$1))))</f>
        <v/>
      </c>
      <c r="D70" s="1" t="str">
        <f>IF(OR($B70="",D$7=""),"",IF($B70="MEANS",INDEX('1-DATA'!$1:$1048576,$A69-1,COLUMN('1-DATA'!C68)),ROUND(INDEX('1-DATA'!$1:$1048576,IF(OR($B70="STD. DEVIATION",$C$1=1),$A70,$A70+1),COLUMN('1-DATA'!C68)),IF($B70="STD. DEVIATION",2,$F$1))))</f>
        <v/>
      </c>
      <c r="E70" s="1" t="str">
        <f>IF(OR($B70="",E$7=""),"",IF($B70="MEANS",INDEX('1-DATA'!$1:$1048576,$A69-1,COLUMN('1-DATA'!D68)),ROUND(INDEX('1-DATA'!$1:$1048576,IF(OR($B70="STD. DEVIATION",$C$1=1),$A70,$A70+1),COLUMN('1-DATA'!D68)),IF($B70="STD. DEVIATION",2,$F$1))))</f>
        <v/>
      </c>
      <c r="F70" s="1" t="str">
        <f>IF(OR($B70="",F$7=""),"",IF($B70="MEANS",INDEX('1-DATA'!$1:$1048576,$A69-1,COLUMN('1-DATA'!E68)),ROUND(INDEX('1-DATA'!$1:$1048576,IF(OR($B70="STD. DEVIATION",$C$1=1),$A70,$A70+1),COLUMN('1-DATA'!E68)),IF($B70="STD. DEVIATION",2,$F$1))))</f>
        <v/>
      </c>
      <c r="G70" s="1" t="str">
        <f>IF(OR($B70="",G$7=""),"",IF($B70="MEANS",INDEX('1-DATA'!$1:$1048576,$A69-1,COLUMN('1-DATA'!F68)),ROUND(INDEX('1-DATA'!$1:$1048576,IF(OR($B70="STD. DEVIATION",$C$1=1),$A70,$A70+1),COLUMN('1-DATA'!F68)),IF($B70="STD. DEVIATION",2,$F$1))))</f>
        <v/>
      </c>
      <c r="H70" s="1" t="str">
        <f>IF(OR($B70="",H$7=""),"",IF($B70="MEANS",INDEX('1-DATA'!$1:$1048576,$A69-1,COLUMN('1-DATA'!G68)),ROUND(INDEX('1-DATA'!$1:$1048576,IF(OR($B70="STD. DEVIATION",$C$1=1),$A70,$A70+1),COLUMN('1-DATA'!G68)),IF($B70="STD. DEVIATION",2,$F$1))))</f>
        <v/>
      </c>
      <c r="I70" s="1" t="str">
        <f>IF(OR($B70="",I$7=""),"",IF($B70="MEANS",INDEX('1-DATA'!$1:$1048576,$A69-1,COLUMN('1-DATA'!H68)),ROUND(INDEX('1-DATA'!$1:$1048576,IF(OR($B70="STD. DEVIATION",$C$1=1),$A70,$A70+1),COLUMN('1-DATA'!H68)),IF($B70="STD. DEVIATION",2,$F$1))))</f>
        <v/>
      </c>
      <c r="J70" s="1" t="str">
        <f>IF(OR($B70="",J$7=""),"",IF($B70="MEANS",INDEX('1-DATA'!$1:$1048576,$A69-1,COLUMN('1-DATA'!I68)),ROUND(INDEX('1-DATA'!$1:$1048576,IF(OR($B70="STD. DEVIATION",$C$1=1),$A70,$A70+1),COLUMN('1-DATA'!I68)),IF($B70="STD. DEVIATION",2,$F$1))))</f>
        <v/>
      </c>
      <c r="K70" s="1" t="str">
        <f>IF(OR($B70="",K$7=""),"",IF($B70="MEANS",INDEX('1-DATA'!$1:$1048576,$A69-1,COLUMN('1-DATA'!J68)),ROUND(INDEX('1-DATA'!$1:$1048576,IF(OR($B70="STD. DEVIATION",$C$1=1),$A70,$A70+1),COLUMN('1-DATA'!J68)),IF($B70="STD. DEVIATION",2,$F$1))))</f>
        <v/>
      </c>
      <c r="L70" s="1" t="str">
        <f>IF(OR($B70="",L$7=""),"",IF($B70="MEANS",INDEX('1-DATA'!$1:$1048576,$A69-1,COLUMN('1-DATA'!K68)),ROUND(INDEX('1-DATA'!$1:$1048576,IF(OR($B70="STD. DEVIATION",$C$1=1),$A70,$A70+1),COLUMN('1-DATA'!K68)),IF($B70="STD. DEVIATION",2,$F$1))))</f>
        <v/>
      </c>
      <c r="M70" s="1" t="str">
        <f>IF(OR($B70="",M$7=""),"",IF($B70="MEANS",INDEX('1-DATA'!$1:$1048576,$A69-1,COLUMN('1-DATA'!L68)),ROUND(INDEX('1-DATA'!$1:$1048576,IF(OR($B70="STD. DEVIATION",$C$1=1),$A70,$A70+1),COLUMN('1-DATA'!L68)),IF($B70="STD. DEVIATION",2,$F$1))))</f>
        <v/>
      </c>
      <c r="N70" s="1" t="str">
        <f>IF(OR($B70="",N$7=""),"",IF($B70="MEANS",INDEX('1-DATA'!$1:$1048576,$A69-1,COLUMN('1-DATA'!M68)),ROUND(INDEX('1-DATA'!$1:$1048576,IF(OR($B70="STD. DEVIATION",$C$1=1),$A70,$A70+1),COLUMN('1-DATA'!M68)),IF($B70="STD. DEVIATION",2,$F$1))))</f>
        <v/>
      </c>
      <c r="O70" s="1" t="str">
        <f>IF(OR($B70="",O$7=""),"",IF($B70="MEANS",INDEX('1-DATA'!$1:$1048576,$A69-1,COLUMN('1-DATA'!N68)),ROUND(INDEX('1-DATA'!$1:$1048576,IF(OR($B70="STD. DEVIATION",$C$1=1),$A70,$A70+1),COLUMN('1-DATA'!N68)),IF($B70="STD. DEVIATION",2,$F$1))))</f>
        <v/>
      </c>
      <c r="P70" s="1" t="str">
        <f>IF(OR($B70="",P$7=""),"",IF($B70="MEANS",INDEX('1-DATA'!$1:$1048576,$A69-1,COLUMN('1-DATA'!O68)),ROUND(INDEX('1-DATA'!$1:$1048576,IF(OR($B70="STD. DEVIATION",$C$1=1),$A70,$A70+1),COLUMN('1-DATA'!O68)),IF($B70="STD. DEVIATION",2,$F$1))))</f>
        <v/>
      </c>
      <c r="Q70" s="1" t="str">
        <f>IF(OR($B70="",Q$7=""),"",IF($B70="MEANS",INDEX('1-DATA'!$1:$1048576,$A69-1,COLUMN('1-DATA'!P68)),ROUND(INDEX('1-DATA'!$1:$1048576,IF(OR($B70="STD. DEVIATION",$C$1=1),$A70,$A70+1),COLUMN('1-DATA'!P68)),IF($B70="STD. DEVIATION",2,$F$1))))</f>
        <v/>
      </c>
      <c r="R70" s="1" t="str">
        <f>IF(OR($B70="",R$7=""),"",IF($B70="MEANS",INDEX('1-DATA'!$1:$1048576,$A69-1,COLUMN('1-DATA'!Q68)),ROUND(INDEX('1-DATA'!$1:$1048576,IF(OR($B70="STD. DEVIATION",$C$1=1),$A70,$A70+1),COLUMN('1-DATA'!Q68)),IF($B70="STD. DEVIATION",2,$F$1))))</f>
        <v/>
      </c>
      <c r="S70" s="1" t="str">
        <f>IF(OR($B70="",S$7=""),"",IF($B70="MEANS",INDEX('1-DATA'!$1:$1048576,$A69-1,COLUMN('1-DATA'!R68)),ROUND(INDEX('1-DATA'!$1:$1048576,IF(OR($B70="STD. DEVIATION",$C$1=1),$A70,$A70+1),COLUMN('1-DATA'!R68)),IF($B70="STD. DEVIATION",2,$F$1))))</f>
        <v/>
      </c>
      <c r="T70" s="1" t="str">
        <f>IF(OR($B70="",T$7=""),"",IF($B70="MEANS",INDEX('1-DATA'!$1:$1048576,$A69-1,COLUMN('1-DATA'!S68)),ROUND(INDEX('1-DATA'!$1:$1048576,IF(OR($B70="STD. DEVIATION",$C$1=1),$A70,$A70+1),COLUMN('1-DATA'!S68)),IF($B70="STD. DEVIATION",2,$F$1))))</f>
        <v/>
      </c>
      <c r="U70" s="1" t="str">
        <f>IF(OR($B70="",U$7=""),"",IF($B70="MEANS",INDEX('1-DATA'!$1:$1048576,$A69-1,COLUMN('1-DATA'!T68)),ROUND(INDEX('1-DATA'!$1:$1048576,IF(OR($B70="STD. DEVIATION",$C$1=1),$A70,$A70+1),COLUMN('1-DATA'!T68)),IF($B70="STD. DEVIATION",2,$F$1))))</f>
        <v/>
      </c>
      <c r="V70" s="1" t="str">
        <f>IF(OR($B70="",V$7=""),"",IF($B70="MEANS",INDEX('1-DATA'!$1:$1048576,$A69-1,COLUMN('1-DATA'!U68)),ROUND(INDEX('1-DATA'!$1:$1048576,IF(OR($B70="STD. DEVIATION",$C$1=1),$A70,$A70+1),COLUMN('1-DATA'!U68)),IF($B70="STD. DEVIATION",2,$F$1))))</f>
        <v/>
      </c>
      <c r="W70" s="1" t="str">
        <f>IF(OR($B70="",W$7=""),"",IF($B70="MEANS",INDEX('1-DATA'!$1:$1048576,$A69-1,COLUMN('1-DATA'!V68)),ROUND(INDEX('1-DATA'!$1:$1048576,IF(OR($B70="STD. DEVIATION",$C$1=1),$A70,$A70+1),COLUMN('1-DATA'!V68)),IF($B70="STD. DEVIATION",2,$F$1))))</f>
        <v/>
      </c>
      <c r="X70" s="1" t="str">
        <f>IF(OR($B70="",X$7=""),"",IF($B70="MEANS",INDEX('1-DATA'!$1:$1048576,$A69-1,COLUMN('1-DATA'!W68)),ROUND(INDEX('1-DATA'!$1:$1048576,IF(OR($B70="STD. DEVIATION",$C$1=1),$A70,$A70+1),COLUMN('1-DATA'!W68)),IF($B70="STD. DEVIATION",2,$F$1))))</f>
        <v/>
      </c>
      <c r="Y70" s="1" t="str">
        <f>IF(OR($B70="",Y$7=""),"",IF($B70="MEANS",INDEX('1-DATA'!$1:$1048576,$A69-1,COLUMN('1-DATA'!X68)),ROUND(INDEX('1-DATA'!$1:$1048576,IF(OR($B70="STD. DEVIATION",$C$1=1),$A70,$A70+1),COLUMN('1-DATA'!X68)),IF($B70="STD. DEVIATION",2,$F$1))))</f>
        <v/>
      </c>
      <c r="Z70" s="1" t="str">
        <f>IF(OR($B70="",Z$7=""),"",IF($B70="MEANS",INDEX('1-DATA'!$1:$1048576,$A69-1,COLUMN('1-DATA'!Y68)),ROUND(INDEX('1-DATA'!$1:$1048576,IF(OR($B70="STD. DEVIATION",$C$1=1),$A70,$A70+1),COLUMN('1-DATA'!Y68)),IF($B70="STD. DEVIATION",2,$F$1))))</f>
        <v/>
      </c>
      <c r="AA70" s="1" t="str">
        <f>IF(OR($B70="",AA$7=""),"",IF($B70="MEANS",INDEX('1-DATA'!$1:$1048576,$A69-1,COLUMN('1-DATA'!Z68)),ROUND(INDEX('1-DATA'!$1:$1048576,IF(OR($B70="STD. DEVIATION",$C$1=1),$A70,$A70+1),COLUMN('1-DATA'!Z68)),IF($B70="STD. DEVIATION",2,$F$1))))</f>
        <v/>
      </c>
      <c r="AB70" s="1" t="str">
        <f>IF(OR($B70="",AB$7=""),"",IF($B70="MEANS",INDEX('1-DATA'!$1:$1048576,$A69-1,COLUMN('1-DATA'!AA68)),ROUND(INDEX('1-DATA'!$1:$1048576,IF(OR($B70="STD. DEVIATION",$C$1=1),$A70,$A70+1),COLUMN('1-DATA'!AA68)),IF($B70="STD. DEVIATION",2,$F$1))))</f>
        <v/>
      </c>
      <c r="AC70" s="1" t="str">
        <f>IF(OR($B70="",AC$7=""),"",IF($B70="MEANS",INDEX('1-DATA'!$1:$1048576,$A69-1,COLUMN('1-DATA'!AB68)),ROUND(INDEX('1-DATA'!$1:$1048576,IF(OR($B70="STD. DEVIATION",$C$1=1),$A70,$A70+1),COLUMN('1-DATA'!AB68)),IF($B70="STD. DEVIATION",2,$F$1))))</f>
        <v/>
      </c>
      <c r="AD70" s="1" t="str">
        <f>IF(OR($B70="",AD$7=""),"",IF($B70="MEANS",INDEX('1-DATA'!$1:$1048576,$A69-1,COLUMN('1-DATA'!AC68)),ROUND(INDEX('1-DATA'!$1:$1048576,IF(OR($B70="STD. DEVIATION",$C$1=1),$A70,$A70+1),COLUMN('1-DATA'!AC68)),IF($B70="STD. DEVIATION",2,$F$1))))</f>
        <v/>
      </c>
      <c r="AE70" s="1" t="str">
        <f>IF(OR($B70="",AE$7=""),"",IF($B70="MEANS",INDEX('1-DATA'!$1:$1048576,$A69-1,COLUMN('1-DATA'!AD68)),ROUND(INDEX('1-DATA'!$1:$1048576,IF(OR($B70="STD. DEVIATION",$C$1=1),$A70,$A70+1),COLUMN('1-DATA'!AD68)),IF($B70="STD. DEVIATION",2,$F$1))))</f>
        <v/>
      </c>
      <c r="AF70" s="1" t="str">
        <f>IF(OR($B70="",AF$7=""),"",IF($B70="MEANS",INDEX('1-DATA'!$1:$1048576,$A69-1,COLUMN('1-DATA'!AE68)),ROUND(INDEX('1-DATA'!$1:$1048576,IF(OR($B70="STD. DEVIATION",$C$1=1),$A70,$A70+1),COLUMN('1-DATA'!AE68)),IF($B70="STD. DEVIATION",2,$F$1))))</f>
        <v/>
      </c>
      <c r="AG70" s="1" t="str">
        <f>IF(OR($B70="",AG$7=""),"",IF($B70="MEANS",INDEX('1-DATA'!$1:$1048576,$A69-1,COLUMN('1-DATA'!AF68)),ROUND(INDEX('1-DATA'!$1:$1048576,IF(OR($B70="STD. DEVIATION",$C$1=1),$A70,$A70+1),COLUMN('1-DATA'!AF68)),IF($B70="STD. DEVIATION",2,$F$1))))</f>
        <v/>
      </c>
      <c r="AH70" s="1" t="str">
        <f>IF(OR($B70="",AH$7=""),"",IF($B70="MEANS",INDEX('1-DATA'!$1:$1048576,$A69-1,COLUMN('1-DATA'!AG68)),ROUND(INDEX('1-DATA'!$1:$1048576,IF(OR($B70="STD. DEVIATION",$C$1=1),$A70,$A70+1),COLUMN('1-DATA'!AG68)),IF($B70="STD. DEVIATION",2,$F$1))))</f>
        <v/>
      </c>
      <c r="AI70" s="1" t="str">
        <f>IF(OR($B70="",AI$7=""),"",IF($B70="MEANS",INDEX('1-DATA'!$1:$1048576,$A69-1,COLUMN('1-DATA'!AH68)),ROUND(INDEX('1-DATA'!$1:$1048576,IF(OR($B70="STD. DEVIATION",$C$1=1),$A70,$A70+1),COLUMN('1-DATA'!AH68)),IF($B70="STD. DEVIATION",2,$F$1))))</f>
        <v/>
      </c>
      <c r="AJ70" s="1" t="str">
        <f>IF(OR($B70="",AJ$7=""),"",IF($B70="MEANS",INDEX('1-DATA'!$1:$1048576,$A69-1,COLUMN('1-DATA'!AI68)),ROUND(INDEX('1-DATA'!$1:$1048576,IF(OR($B70="STD. DEVIATION",$C$1=1),$A70,$A70+1),COLUMN('1-DATA'!AI68)),IF($B70="STD. DEVIATION",2,$F$1))))</f>
        <v/>
      </c>
      <c r="AK70" s="1" t="str">
        <f>IF(OR($B70="",AK$7=""),"",IF($B70="MEANS",INDEX('1-DATA'!$1:$1048576,$A69-1,COLUMN('1-DATA'!AJ68)),ROUND(INDEX('1-DATA'!$1:$1048576,IF(OR($B70="STD. DEVIATION",$C$1=1),$A70,$A70+1),COLUMN('1-DATA'!AJ68)),IF($B70="STD. DEVIATION",2,$F$1))))</f>
        <v/>
      </c>
      <c r="AL70" s="1" t="str">
        <f>IF(OR($B70="",AL$7=""),"",IF($B70="MEANS",INDEX('1-DATA'!$1:$1048576,$A69-1,COLUMN('1-DATA'!AK68)),ROUND(INDEX('1-DATA'!$1:$1048576,IF(OR($B70="STD. DEVIATION",$C$1=1),$A70,$A70+1),COLUMN('1-DATA'!AK68)),IF($B70="STD. DEVIATION",2,$F$1))))</f>
        <v/>
      </c>
      <c r="AM70" s="1" t="str">
        <f>IF(OR($B70="",AM$7=""),"",IF($B70="MEANS",INDEX('1-DATA'!$1:$1048576,$A69-1,COLUMN('1-DATA'!AL68)),ROUND(INDEX('1-DATA'!$1:$1048576,IF(OR($B70="STD. DEVIATION",$C$1=1),$A70,$A70+1),COLUMN('1-DATA'!AL68)),IF($B70="STD. DEVIATION",2,$F$1))))</f>
        <v/>
      </c>
      <c r="AN70" s="1" t="str">
        <f>IF(OR($B70="",AN$7=""),"",IF($B70="MEANS",INDEX('1-DATA'!$1:$1048576,$A69-1,COLUMN('1-DATA'!AM68)),ROUND(INDEX('1-DATA'!$1:$1048576,IF(OR($B70="STD. DEVIATION",$C$1=1),$A70,$A70+1),COLUMN('1-DATA'!AM68)),IF($B70="STD. DEVIATION",2,$F$1))))</f>
        <v/>
      </c>
      <c r="AO70" s="1" t="str">
        <f>IF(OR($B70="",AO$7=""),"",IF($B70="MEANS",INDEX('1-DATA'!$1:$1048576,$A69-1,COLUMN('1-DATA'!AN68)),ROUND(INDEX('1-DATA'!$1:$1048576,IF(OR($B70="STD. DEVIATION",$C$1=1),$A70,$A70+1),COLUMN('1-DATA'!AN68)),IF($B70="STD. DEVIATION",2,$F$1))))</f>
        <v/>
      </c>
      <c r="AP70" s="1" t="str">
        <f>IF(OR($B70="",AP$7=""),"",IF($B70="MEANS",INDEX('1-DATA'!$1:$1048576,$A69-1,COLUMN('1-DATA'!AO68)),ROUND(INDEX('1-DATA'!$1:$1048576,IF(OR($B70="STD. DEVIATION",$C$1=1),$A70,$A70+1),COLUMN('1-DATA'!AO68)),IF($B70="STD. DEVIATION",2,$F$1))))</f>
        <v/>
      </c>
      <c r="AQ70" s="1" t="str">
        <f>IF(OR($B70="",AQ$7=""),"",IF($B70="MEANS",INDEX('1-DATA'!$1:$1048576,$A69-1,COLUMN('1-DATA'!AP68)),ROUND(INDEX('1-DATA'!$1:$1048576,IF(OR($B70="STD. DEVIATION",$C$1=1),$A70,$A70+1),COLUMN('1-DATA'!AP68)),IF($B70="STD. DEVIATION",2,$F$1))))</f>
        <v/>
      </c>
      <c r="AR70" s="1" t="str">
        <f>IF(OR($B70="",AR$7=""),"",IF($B70="MEANS",INDEX('1-DATA'!$1:$1048576,$A69-1,COLUMN('1-DATA'!AQ68)),ROUND(INDEX('1-DATA'!$1:$1048576,IF(OR($B70="STD. DEVIATION",$C$1=1),$A70,$A70+1),COLUMN('1-DATA'!AQ68)),IF($B70="STD. DEVIATION",2,$F$1))))</f>
        <v/>
      </c>
      <c r="AS70" s="1" t="str">
        <f>IF(OR($B70="",AS$7=""),"",IF($B70="MEANS",INDEX('1-DATA'!$1:$1048576,$A69-1,COLUMN('1-DATA'!AR68)),ROUND(INDEX('1-DATA'!$1:$1048576,IF(OR($B70="STD. DEVIATION",$C$1=1),$A70,$A70+1),COLUMN('1-DATA'!AR68)),IF($B70="STD. DEVIATION",2,$F$1))))</f>
        <v/>
      </c>
      <c r="AT70" s="1" t="str">
        <f>IF(OR($B70="",AT$7=""),"",IF($B70="MEANS",INDEX('1-DATA'!$1:$1048576,$A69-1,COLUMN('1-DATA'!AS68)),ROUND(INDEX('1-DATA'!$1:$1048576,IF(OR($B70="STD. DEVIATION",$C$1=1),$A70,$A70+1),COLUMN('1-DATA'!AS68)),IF($B70="STD. DEVIATION",2,$F$1))))</f>
        <v/>
      </c>
      <c r="AU70" s="1" t="str">
        <f>IF(OR($B70="",AU$7=""),"",IF($B70="MEANS",INDEX('1-DATA'!$1:$1048576,$A69-1,COLUMN('1-DATA'!AT68)),ROUND(INDEX('1-DATA'!$1:$1048576,IF(OR($B70="STD. DEVIATION",$C$1=1),$A70,$A70+1),COLUMN('1-DATA'!AT68)),IF($B70="STD. DEVIATION",2,$F$1))))</f>
        <v/>
      </c>
      <c r="AV70" s="1" t="str">
        <f>IF(OR($B70="",AV$7=""),"",IF($B70="MEANS",INDEX('1-DATA'!$1:$1048576,$A69-1,COLUMN('1-DATA'!AU68)),ROUND(INDEX('1-DATA'!$1:$1048576,IF(OR($B70="STD. DEVIATION",$C$1=1),$A70,$A70+1),COLUMN('1-DATA'!AU68)),IF($B70="STD. DEVIATION",2,$F$1))))</f>
        <v/>
      </c>
      <c r="AW70" s="1" t="str">
        <f>IF(OR($B70="",AW$7=""),"",IF($B70="MEANS",INDEX('1-DATA'!$1:$1048576,$A69-1,COLUMN('1-DATA'!AV68)),ROUND(INDEX('1-DATA'!$1:$1048576,IF(OR($B70="STD. DEVIATION",$C$1=1),$A70,$A70+1),COLUMN('1-DATA'!AV68)),IF($B70="STD. DEVIATION",2,$F$1))))</f>
        <v/>
      </c>
      <c r="AX70" s="1" t="str">
        <f>IF(OR($B70="",AX$7=""),"",IF($B70="MEANS",INDEX('1-DATA'!$1:$1048576,$A69-1,COLUMN('1-DATA'!AW68)),ROUND(INDEX('1-DATA'!$1:$1048576,IF(OR($B70="STD. DEVIATION",$C$1=1),$A70,$A70+1),COLUMN('1-DATA'!AW68)),IF($B70="STD. DEVIATION",2,$F$1))))</f>
        <v/>
      </c>
      <c r="AY70" s="1" t="str">
        <f>IF(OR($B70="",AY$7=""),"",IF($B70="MEANS",INDEX('1-DATA'!$1:$1048576,$A69-1,COLUMN('1-DATA'!AX68)),ROUND(INDEX('1-DATA'!$1:$1048576,IF(OR($B70="STD. DEVIATION",$C$1=1),$A70,$A70+1),COLUMN('1-DATA'!AX68)),IF($B70="STD. DEVIATION",2,$F$1))))</f>
        <v/>
      </c>
      <c r="AZ70" s="1" t="str">
        <f>IF(OR($B70="",AZ$7=""),"",IF($B70="MEANS",INDEX('1-DATA'!$1:$1048576,$A69-1,COLUMN('1-DATA'!AY68)),ROUND(INDEX('1-DATA'!$1:$1048576,IF(OR($B70="STD. DEVIATION",$C$1=1),$A70,$A70+1),COLUMN('1-DATA'!AY68)),IF($B70="STD. DEVIATION",2,$F$1))))</f>
        <v/>
      </c>
    </row>
    <row r="71" spans="1:52" x14ac:dyDescent="0.25">
      <c r="A71" s="11">
        <f t="shared" si="1"/>
        <v>199</v>
      </c>
      <c r="B71" s="1" t="str">
        <f>IF(B70="STD. DEVIATION",INDEX('1-DATA'!$1:$1048576,$A70-1,1),IF(INDEX('1-DATA'!$1:$1048576,$A71,1)&lt;&gt;"",INDEX('1-DATA'!$1:$1048576,$A71,1),""))</f>
        <v/>
      </c>
      <c r="C71" s="1" t="str">
        <f>IF(OR($B71="",C$7=""),"",IF($B71="MEANS",INDEX('1-DATA'!$1:$1048576,$A70-1,COLUMN('1-DATA'!B69)),ROUND(INDEX('1-DATA'!$1:$1048576,IF(OR($B71="STD. DEVIATION",$C$1=1),$A71,$A71+1),COLUMN('1-DATA'!B69)),IF($B71="STD. DEVIATION",2,$F$1))))</f>
        <v/>
      </c>
      <c r="D71" s="1" t="str">
        <f>IF(OR($B71="",D$7=""),"",IF($B71="MEANS",INDEX('1-DATA'!$1:$1048576,$A70-1,COLUMN('1-DATA'!C69)),ROUND(INDEX('1-DATA'!$1:$1048576,IF(OR($B71="STD. DEVIATION",$C$1=1),$A71,$A71+1),COLUMN('1-DATA'!C69)),IF($B71="STD. DEVIATION",2,$F$1))))</f>
        <v/>
      </c>
      <c r="E71" s="1" t="str">
        <f>IF(OR($B71="",E$7=""),"",IF($B71="MEANS",INDEX('1-DATA'!$1:$1048576,$A70-1,COLUMN('1-DATA'!D69)),ROUND(INDEX('1-DATA'!$1:$1048576,IF(OR($B71="STD. DEVIATION",$C$1=1),$A71,$A71+1),COLUMN('1-DATA'!D69)),IF($B71="STD. DEVIATION",2,$F$1))))</f>
        <v/>
      </c>
      <c r="F71" s="1" t="str">
        <f>IF(OR($B71="",F$7=""),"",IF($B71="MEANS",INDEX('1-DATA'!$1:$1048576,$A70-1,COLUMN('1-DATA'!E69)),ROUND(INDEX('1-DATA'!$1:$1048576,IF(OR($B71="STD. DEVIATION",$C$1=1),$A71,$A71+1),COLUMN('1-DATA'!E69)),IF($B71="STD. DEVIATION",2,$F$1))))</f>
        <v/>
      </c>
      <c r="G71" s="1" t="str">
        <f>IF(OR($B71="",G$7=""),"",IF($B71="MEANS",INDEX('1-DATA'!$1:$1048576,$A70-1,COLUMN('1-DATA'!F69)),ROUND(INDEX('1-DATA'!$1:$1048576,IF(OR($B71="STD. DEVIATION",$C$1=1),$A71,$A71+1),COLUMN('1-DATA'!F69)),IF($B71="STD. DEVIATION",2,$F$1))))</f>
        <v/>
      </c>
      <c r="H71" s="1" t="str">
        <f>IF(OR($B71="",H$7=""),"",IF($B71="MEANS",INDEX('1-DATA'!$1:$1048576,$A70-1,COLUMN('1-DATA'!G69)),ROUND(INDEX('1-DATA'!$1:$1048576,IF(OR($B71="STD. DEVIATION",$C$1=1),$A71,$A71+1),COLUMN('1-DATA'!G69)),IF($B71="STD. DEVIATION",2,$F$1))))</f>
        <v/>
      </c>
      <c r="I71" s="1" t="str">
        <f>IF(OR($B71="",I$7=""),"",IF($B71="MEANS",INDEX('1-DATA'!$1:$1048576,$A70-1,COLUMN('1-DATA'!H69)),ROUND(INDEX('1-DATA'!$1:$1048576,IF(OR($B71="STD. DEVIATION",$C$1=1),$A71,$A71+1),COLUMN('1-DATA'!H69)),IF($B71="STD. DEVIATION",2,$F$1))))</f>
        <v/>
      </c>
      <c r="J71" s="1" t="str">
        <f>IF(OR($B71="",J$7=""),"",IF($B71="MEANS",INDEX('1-DATA'!$1:$1048576,$A70-1,COLUMN('1-DATA'!I69)),ROUND(INDEX('1-DATA'!$1:$1048576,IF(OR($B71="STD. DEVIATION",$C$1=1),$A71,$A71+1),COLUMN('1-DATA'!I69)),IF($B71="STD. DEVIATION",2,$F$1))))</f>
        <v/>
      </c>
      <c r="K71" s="1" t="str">
        <f>IF(OR($B71="",K$7=""),"",IF($B71="MEANS",INDEX('1-DATA'!$1:$1048576,$A70-1,COLUMN('1-DATA'!J69)),ROUND(INDEX('1-DATA'!$1:$1048576,IF(OR($B71="STD. DEVIATION",$C$1=1),$A71,$A71+1),COLUMN('1-DATA'!J69)),IF($B71="STD. DEVIATION",2,$F$1))))</f>
        <v/>
      </c>
      <c r="L71" s="1" t="str">
        <f>IF(OR($B71="",L$7=""),"",IF($B71="MEANS",INDEX('1-DATA'!$1:$1048576,$A70-1,COLUMN('1-DATA'!K69)),ROUND(INDEX('1-DATA'!$1:$1048576,IF(OR($B71="STD. DEVIATION",$C$1=1),$A71,$A71+1),COLUMN('1-DATA'!K69)),IF($B71="STD. DEVIATION",2,$F$1))))</f>
        <v/>
      </c>
      <c r="M71" s="1" t="str">
        <f>IF(OR($B71="",M$7=""),"",IF($B71="MEANS",INDEX('1-DATA'!$1:$1048576,$A70-1,COLUMN('1-DATA'!L69)),ROUND(INDEX('1-DATA'!$1:$1048576,IF(OR($B71="STD. DEVIATION",$C$1=1),$A71,$A71+1),COLUMN('1-DATA'!L69)),IF($B71="STD. DEVIATION",2,$F$1))))</f>
        <v/>
      </c>
      <c r="N71" s="1" t="str">
        <f>IF(OR($B71="",N$7=""),"",IF($B71="MEANS",INDEX('1-DATA'!$1:$1048576,$A70-1,COLUMN('1-DATA'!M69)),ROUND(INDEX('1-DATA'!$1:$1048576,IF(OR($B71="STD. DEVIATION",$C$1=1),$A71,$A71+1),COLUMN('1-DATA'!M69)),IF($B71="STD. DEVIATION",2,$F$1))))</f>
        <v/>
      </c>
      <c r="O71" s="1" t="str">
        <f>IF(OR($B71="",O$7=""),"",IF($B71="MEANS",INDEX('1-DATA'!$1:$1048576,$A70-1,COLUMN('1-DATA'!N69)),ROUND(INDEX('1-DATA'!$1:$1048576,IF(OR($B71="STD. DEVIATION",$C$1=1),$A71,$A71+1),COLUMN('1-DATA'!N69)),IF($B71="STD. DEVIATION",2,$F$1))))</f>
        <v/>
      </c>
      <c r="P71" s="1" t="str">
        <f>IF(OR($B71="",P$7=""),"",IF($B71="MEANS",INDEX('1-DATA'!$1:$1048576,$A70-1,COLUMN('1-DATA'!O69)),ROUND(INDEX('1-DATA'!$1:$1048576,IF(OR($B71="STD. DEVIATION",$C$1=1),$A71,$A71+1),COLUMN('1-DATA'!O69)),IF($B71="STD. DEVIATION",2,$F$1))))</f>
        <v/>
      </c>
      <c r="Q71" s="1" t="str">
        <f>IF(OR($B71="",Q$7=""),"",IF($B71="MEANS",INDEX('1-DATA'!$1:$1048576,$A70-1,COLUMN('1-DATA'!P69)),ROUND(INDEX('1-DATA'!$1:$1048576,IF(OR($B71="STD. DEVIATION",$C$1=1),$A71,$A71+1),COLUMN('1-DATA'!P69)),IF($B71="STD. DEVIATION",2,$F$1))))</f>
        <v/>
      </c>
      <c r="R71" s="1" t="str">
        <f>IF(OR($B71="",R$7=""),"",IF($B71="MEANS",INDEX('1-DATA'!$1:$1048576,$A70-1,COLUMN('1-DATA'!Q69)),ROUND(INDEX('1-DATA'!$1:$1048576,IF(OR($B71="STD. DEVIATION",$C$1=1),$A71,$A71+1),COLUMN('1-DATA'!Q69)),IF($B71="STD. DEVIATION",2,$F$1))))</f>
        <v/>
      </c>
      <c r="S71" s="1" t="str">
        <f>IF(OR($B71="",S$7=""),"",IF($B71="MEANS",INDEX('1-DATA'!$1:$1048576,$A70-1,COLUMN('1-DATA'!R69)),ROUND(INDEX('1-DATA'!$1:$1048576,IF(OR($B71="STD. DEVIATION",$C$1=1),$A71,$A71+1),COLUMN('1-DATA'!R69)),IF($B71="STD. DEVIATION",2,$F$1))))</f>
        <v/>
      </c>
      <c r="T71" s="1" t="str">
        <f>IF(OR($B71="",T$7=""),"",IF($B71="MEANS",INDEX('1-DATA'!$1:$1048576,$A70-1,COLUMN('1-DATA'!S69)),ROUND(INDEX('1-DATA'!$1:$1048576,IF(OR($B71="STD. DEVIATION",$C$1=1),$A71,$A71+1),COLUMN('1-DATA'!S69)),IF($B71="STD. DEVIATION",2,$F$1))))</f>
        <v/>
      </c>
      <c r="U71" s="1" t="str">
        <f>IF(OR($B71="",U$7=""),"",IF($B71="MEANS",INDEX('1-DATA'!$1:$1048576,$A70-1,COLUMN('1-DATA'!T69)),ROUND(INDEX('1-DATA'!$1:$1048576,IF(OR($B71="STD. DEVIATION",$C$1=1),$A71,$A71+1),COLUMN('1-DATA'!T69)),IF($B71="STD. DEVIATION",2,$F$1))))</f>
        <v/>
      </c>
      <c r="V71" s="1" t="str">
        <f>IF(OR($B71="",V$7=""),"",IF($B71="MEANS",INDEX('1-DATA'!$1:$1048576,$A70-1,COLUMN('1-DATA'!U69)),ROUND(INDEX('1-DATA'!$1:$1048576,IF(OR($B71="STD. DEVIATION",$C$1=1),$A71,$A71+1),COLUMN('1-DATA'!U69)),IF($B71="STD. DEVIATION",2,$F$1))))</f>
        <v/>
      </c>
      <c r="W71" s="1" t="str">
        <f>IF(OR($B71="",W$7=""),"",IF($B71="MEANS",INDEX('1-DATA'!$1:$1048576,$A70-1,COLUMN('1-DATA'!V69)),ROUND(INDEX('1-DATA'!$1:$1048576,IF(OR($B71="STD. DEVIATION",$C$1=1),$A71,$A71+1),COLUMN('1-DATA'!V69)),IF($B71="STD. DEVIATION",2,$F$1))))</f>
        <v/>
      </c>
      <c r="X71" s="1" t="str">
        <f>IF(OR($B71="",X$7=""),"",IF($B71="MEANS",INDEX('1-DATA'!$1:$1048576,$A70-1,COLUMN('1-DATA'!W69)),ROUND(INDEX('1-DATA'!$1:$1048576,IF(OR($B71="STD. DEVIATION",$C$1=1),$A71,$A71+1),COLUMN('1-DATA'!W69)),IF($B71="STD. DEVIATION",2,$F$1))))</f>
        <v/>
      </c>
      <c r="Y71" s="1" t="str">
        <f>IF(OR($B71="",Y$7=""),"",IF($B71="MEANS",INDEX('1-DATA'!$1:$1048576,$A70-1,COLUMN('1-DATA'!X69)),ROUND(INDEX('1-DATA'!$1:$1048576,IF(OR($B71="STD. DEVIATION",$C$1=1),$A71,$A71+1),COLUMN('1-DATA'!X69)),IF($B71="STD. DEVIATION",2,$F$1))))</f>
        <v/>
      </c>
      <c r="Z71" s="1" t="str">
        <f>IF(OR($B71="",Z$7=""),"",IF($B71="MEANS",INDEX('1-DATA'!$1:$1048576,$A70-1,COLUMN('1-DATA'!Y69)),ROUND(INDEX('1-DATA'!$1:$1048576,IF(OR($B71="STD. DEVIATION",$C$1=1),$A71,$A71+1),COLUMN('1-DATA'!Y69)),IF($B71="STD. DEVIATION",2,$F$1))))</f>
        <v/>
      </c>
      <c r="AA71" s="1" t="str">
        <f>IF(OR($B71="",AA$7=""),"",IF($B71="MEANS",INDEX('1-DATA'!$1:$1048576,$A70-1,COLUMN('1-DATA'!Z69)),ROUND(INDEX('1-DATA'!$1:$1048576,IF(OR($B71="STD. DEVIATION",$C$1=1),$A71,$A71+1),COLUMN('1-DATA'!Z69)),IF($B71="STD. DEVIATION",2,$F$1))))</f>
        <v/>
      </c>
      <c r="AB71" s="1" t="str">
        <f>IF(OR($B71="",AB$7=""),"",IF($B71="MEANS",INDEX('1-DATA'!$1:$1048576,$A70-1,COLUMN('1-DATA'!AA69)),ROUND(INDEX('1-DATA'!$1:$1048576,IF(OR($B71="STD. DEVIATION",$C$1=1),$A71,$A71+1),COLUMN('1-DATA'!AA69)),IF($B71="STD. DEVIATION",2,$F$1))))</f>
        <v/>
      </c>
      <c r="AC71" s="1" t="str">
        <f>IF(OR($B71="",AC$7=""),"",IF($B71="MEANS",INDEX('1-DATA'!$1:$1048576,$A70-1,COLUMN('1-DATA'!AB69)),ROUND(INDEX('1-DATA'!$1:$1048576,IF(OR($B71="STD. DEVIATION",$C$1=1),$A71,$A71+1),COLUMN('1-DATA'!AB69)),IF($B71="STD. DEVIATION",2,$F$1))))</f>
        <v/>
      </c>
      <c r="AD71" s="1" t="str">
        <f>IF(OR($B71="",AD$7=""),"",IF($B71="MEANS",INDEX('1-DATA'!$1:$1048576,$A70-1,COLUMN('1-DATA'!AC69)),ROUND(INDEX('1-DATA'!$1:$1048576,IF(OR($B71="STD. DEVIATION",$C$1=1),$A71,$A71+1),COLUMN('1-DATA'!AC69)),IF($B71="STD. DEVIATION",2,$F$1))))</f>
        <v/>
      </c>
      <c r="AE71" s="1" t="str">
        <f>IF(OR($B71="",AE$7=""),"",IF($B71="MEANS",INDEX('1-DATA'!$1:$1048576,$A70-1,COLUMN('1-DATA'!AD69)),ROUND(INDEX('1-DATA'!$1:$1048576,IF(OR($B71="STD. DEVIATION",$C$1=1),$A71,$A71+1),COLUMN('1-DATA'!AD69)),IF($B71="STD. DEVIATION",2,$F$1))))</f>
        <v/>
      </c>
      <c r="AF71" s="1" t="str">
        <f>IF(OR($B71="",AF$7=""),"",IF($B71="MEANS",INDEX('1-DATA'!$1:$1048576,$A70-1,COLUMN('1-DATA'!AE69)),ROUND(INDEX('1-DATA'!$1:$1048576,IF(OR($B71="STD. DEVIATION",$C$1=1),$A71,$A71+1),COLUMN('1-DATA'!AE69)),IF($B71="STD. DEVIATION",2,$F$1))))</f>
        <v/>
      </c>
      <c r="AG71" s="1" t="str">
        <f>IF(OR($B71="",AG$7=""),"",IF($B71="MEANS",INDEX('1-DATA'!$1:$1048576,$A70-1,COLUMN('1-DATA'!AF69)),ROUND(INDEX('1-DATA'!$1:$1048576,IF(OR($B71="STD. DEVIATION",$C$1=1),$A71,$A71+1),COLUMN('1-DATA'!AF69)),IF($B71="STD. DEVIATION",2,$F$1))))</f>
        <v/>
      </c>
      <c r="AH71" s="1" t="str">
        <f>IF(OR($B71="",AH$7=""),"",IF($B71="MEANS",INDEX('1-DATA'!$1:$1048576,$A70-1,COLUMN('1-DATA'!AG69)),ROUND(INDEX('1-DATA'!$1:$1048576,IF(OR($B71="STD. DEVIATION",$C$1=1),$A71,$A71+1),COLUMN('1-DATA'!AG69)),IF($B71="STD. DEVIATION",2,$F$1))))</f>
        <v/>
      </c>
      <c r="AI71" s="1" t="str">
        <f>IF(OR($B71="",AI$7=""),"",IF($B71="MEANS",INDEX('1-DATA'!$1:$1048576,$A70-1,COLUMN('1-DATA'!AH69)),ROUND(INDEX('1-DATA'!$1:$1048576,IF(OR($B71="STD. DEVIATION",$C$1=1),$A71,$A71+1),COLUMN('1-DATA'!AH69)),IF($B71="STD. DEVIATION",2,$F$1))))</f>
        <v/>
      </c>
      <c r="AJ71" s="1" t="str">
        <f>IF(OR($B71="",AJ$7=""),"",IF($B71="MEANS",INDEX('1-DATA'!$1:$1048576,$A70-1,COLUMN('1-DATA'!AI69)),ROUND(INDEX('1-DATA'!$1:$1048576,IF(OR($B71="STD. DEVIATION",$C$1=1),$A71,$A71+1),COLUMN('1-DATA'!AI69)),IF($B71="STD. DEVIATION",2,$F$1))))</f>
        <v/>
      </c>
      <c r="AK71" s="1" t="str">
        <f>IF(OR($B71="",AK$7=""),"",IF($B71="MEANS",INDEX('1-DATA'!$1:$1048576,$A70-1,COLUMN('1-DATA'!AJ69)),ROUND(INDEX('1-DATA'!$1:$1048576,IF(OR($B71="STD. DEVIATION",$C$1=1),$A71,$A71+1),COLUMN('1-DATA'!AJ69)),IF($B71="STD. DEVIATION",2,$F$1))))</f>
        <v/>
      </c>
      <c r="AL71" s="1" t="str">
        <f>IF(OR($B71="",AL$7=""),"",IF($B71="MEANS",INDEX('1-DATA'!$1:$1048576,$A70-1,COLUMN('1-DATA'!AK69)),ROUND(INDEX('1-DATA'!$1:$1048576,IF(OR($B71="STD. DEVIATION",$C$1=1),$A71,$A71+1),COLUMN('1-DATA'!AK69)),IF($B71="STD. DEVIATION",2,$F$1))))</f>
        <v/>
      </c>
      <c r="AM71" s="1" t="str">
        <f>IF(OR($B71="",AM$7=""),"",IF($B71="MEANS",INDEX('1-DATA'!$1:$1048576,$A70-1,COLUMN('1-DATA'!AL69)),ROUND(INDEX('1-DATA'!$1:$1048576,IF(OR($B71="STD. DEVIATION",$C$1=1),$A71,$A71+1),COLUMN('1-DATA'!AL69)),IF($B71="STD. DEVIATION",2,$F$1))))</f>
        <v/>
      </c>
      <c r="AN71" s="1" t="str">
        <f>IF(OR($B71="",AN$7=""),"",IF($B71="MEANS",INDEX('1-DATA'!$1:$1048576,$A70-1,COLUMN('1-DATA'!AM69)),ROUND(INDEX('1-DATA'!$1:$1048576,IF(OR($B71="STD. DEVIATION",$C$1=1),$A71,$A71+1),COLUMN('1-DATA'!AM69)),IF($B71="STD. DEVIATION",2,$F$1))))</f>
        <v/>
      </c>
      <c r="AO71" s="1" t="str">
        <f>IF(OR($B71="",AO$7=""),"",IF($B71="MEANS",INDEX('1-DATA'!$1:$1048576,$A70-1,COLUMN('1-DATA'!AN69)),ROUND(INDEX('1-DATA'!$1:$1048576,IF(OR($B71="STD. DEVIATION",$C$1=1),$A71,$A71+1),COLUMN('1-DATA'!AN69)),IF($B71="STD. DEVIATION",2,$F$1))))</f>
        <v/>
      </c>
      <c r="AP71" s="1" t="str">
        <f>IF(OR($B71="",AP$7=""),"",IF($B71="MEANS",INDEX('1-DATA'!$1:$1048576,$A70-1,COLUMN('1-DATA'!AO69)),ROUND(INDEX('1-DATA'!$1:$1048576,IF(OR($B71="STD. DEVIATION",$C$1=1),$A71,$A71+1),COLUMN('1-DATA'!AO69)),IF($B71="STD. DEVIATION",2,$F$1))))</f>
        <v/>
      </c>
      <c r="AQ71" s="1" t="str">
        <f>IF(OR($B71="",AQ$7=""),"",IF($B71="MEANS",INDEX('1-DATA'!$1:$1048576,$A70-1,COLUMN('1-DATA'!AP69)),ROUND(INDEX('1-DATA'!$1:$1048576,IF(OR($B71="STD. DEVIATION",$C$1=1),$A71,$A71+1),COLUMN('1-DATA'!AP69)),IF($B71="STD. DEVIATION",2,$F$1))))</f>
        <v/>
      </c>
      <c r="AR71" s="1" t="str">
        <f>IF(OR($B71="",AR$7=""),"",IF($B71="MEANS",INDEX('1-DATA'!$1:$1048576,$A70-1,COLUMN('1-DATA'!AQ69)),ROUND(INDEX('1-DATA'!$1:$1048576,IF(OR($B71="STD. DEVIATION",$C$1=1),$A71,$A71+1),COLUMN('1-DATA'!AQ69)),IF($B71="STD. DEVIATION",2,$F$1))))</f>
        <v/>
      </c>
      <c r="AS71" s="1" t="str">
        <f>IF(OR($B71="",AS$7=""),"",IF($B71="MEANS",INDEX('1-DATA'!$1:$1048576,$A70-1,COLUMN('1-DATA'!AR69)),ROUND(INDEX('1-DATA'!$1:$1048576,IF(OR($B71="STD. DEVIATION",$C$1=1),$A71,$A71+1),COLUMN('1-DATA'!AR69)),IF($B71="STD. DEVIATION",2,$F$1))))</f>
        <v/>
      </c>
      <c r="AT71" s="1" t="str">
        <f>IF(OR($B71="",AT$7=""),"",IF($B71="MEANS",INDEX('1-DATA'!$1:$1048576,$A70-1,COLUMN('1-DATA'!AS69)),ROUND(INDEX('1-DATA'!$1:$1048576,IF(OR($B71="STD. DEVIATION",$C$1=1),$A71,$A71+1),COLUMN('1-DATA'!AS69)),IF($B71="STD. DEVIATION",2,$F$1))))</f>
        <v/>
      </c>
      <c r="AU71" s="1" t="str">
        <f>IF(OR($B71="",AU$7=""),"",IF($B71="MEANS",INDEX('1-DATA'!$1:$1048576,$A70-1,COLUMN('1-DATA'!AT69)),ROUND(INDEX('1-DATA'!$1:$1048576,IF(OR($B71="STD. DEVIATION",$C$1=1),$A71,$A71+1),COLUMN('1-DATA'!AT69)),IF($B71="STD. DEVIATION",2,$F$1))))</f>
        <v/>
      </c>
      <c r="AV71" s="1" t="str">
        <f>IF(OR($B71="",AV$7=""),"",IF($B71="MEANS",INDEX('1-DATA'!$1:$1048576,$A70-1,COLUMN('1-DATA'!AU69)),ROUND(INDEX('1-DATA'!$1:$1048576,IF(OR($B71="STD. DEVIATION",$C$1=1),$A71,$A71+1),COLUMN('1-DATA'!AU69)),IF($B71="STD. DEVIATION",2,$F$1))))</f>
        <v/>
      </c>
      <c r="AW71" s="1" t="str">
        <f>IF(OR($B71="",AW$7=""),"",IF($B71="MEANS",INDEX('1-DATA'!$1:$1048576,$A70-1,COLUMN('1-DATA'!AV69)),ROUND(INDEX('1-DATA'!$1:$1048576,IF(OR($B71="STD. DEVIATION",$C$1=1),$A71,$A71+1),COLUMN('1-DATA'!AV69)),IF($B71="STD. DEVIATION",2,$F$1))))</f>
        <v/>
      </c>
      <c r="AX71" s="1" t="str">
        <f>IF(OR($B71="",AX$7=""),"",IF($B71="MEANS",INDEX('1-DATA'!$1:$1048576,$A70-1,COLUMN('1-DATA'!AW69)),ROUND(INDEX('1-DATA'!$1:$1048576,IF(OR($B71="STD. DEVIATION",$C$1=1),$A71,$A71+1),COLUMN('1-DATA'!AW69)),IF($B71="STD. DEVIATION",2,$F$1))))</f>
        <v/>
      </c>
      <c r="AY71" s="1" t="str">
        <f>IF(OR($B71="",AY$7=""),"",IF($B71="MEANS",INDEX('1-DATA'!$1:$1048576,$A70-1,COLUMN('1-DATA'!AX69)),ROUND(INDEX('1-DATA'!$1:$1048576,IF(OR($B71="STD. DEVIATION",$C$1=1),$A71,$A71+1),COLUMN('1-DATA'!AX69)),IF($B71="STD. DEVIATION",2,$F$1))))</f>
        <v/>
      </c>
      <c r="AZ71" s="1" t="str">
        <f>IF(OR($B71="",AZ$7=""),"",IF($B71="MEANS",INDEX('1-DATA'!$1:$1048576,$A70-1,COLUMN('1-DATA'!AY69)),ROUND(INDEX('1-DATA'!$1:$1048576,IF(OR($B71="STD. DEVIATION",$C$1=1),$A71,$A71+1),COLUMN('1-DATA'!AY69)),IF($B71="STD. DEVIATION",2,$F$1))))</f>
        <v/>
      </c>
    </row>
    <row r="72" spans="1:52" x14ac:dyDescent="0.25">
      <c r="A72" s="11">
        <f t="shared" si="1"/>
        <v>202</v>
      </c>
      <c r="B72" s="1" t="str">
        <f>IF(B71="STD. DEVIATION",INDEX('1-DATA'!$1:$1048576,$A71-1,1),IF(INDEX('1-DATA'!$1:$1048576,$A72,1)&lt;&gt;"",INDEX('1-DATA'!$1:$1048576,$A72,1),""))</f>
        <v/>
      </c>
      <c r="C72" s="1" t="str">
        <f>IF(OR($B72="",C$7=""),"",IF($B72="MEANS",INDEX('1-DATA'!$1:$1048576,$A71-1,COLUMN('1-DATA'!B70)),ROUND(INDEX('1-DATA'!$1:$1048576,IF(OR($B72="STD. DEVIATION",$C$1=1),$A72,$A72+1),COLUMN('1-DATA'!B70)),IF($B72="STD. DEVIATION",2,$F$1))))</f>
        <v/>
      </c>
      <c r="D72" s="1" t="str">
        <f>IF(OR($B72="",D$7=""),"",IF($B72="MEANS",INDEX('1-DATA'!$1:$1048576,$A71-1,COLUMN('1-DATA'!C70)),ROUND(INDEX('1-DATA'!$1:$1048576,IF(OR($B72="STD. DEVIATION",$C$1=1),$A72,$A72+1),COLUMN('1-DATA'!C70)),IF($B72="STD. DEVIATION",2,$F$1))))</f>
        <v/>
      </c>
      <c r="E72" s="1" t="str">
        <f>IF(OR($B72="",E$7=""),"",IF($B72="MEANS",INDEX('1-DATA'!$1:$1048576,$A71-1,COLUMN('1-DATA'!D70)),ROUND(INDEX('1-DATA'!$1:$1048576,IF(OR($B72="STD. DEVIATION",$C$1=1),$A72,$A72+1),COLUMN('1-DATA'!D70)),IF($B72="STD. DEVIATION",2,$F$1))))</f>
        <v/>
      </c>
      <c r="F72" s="1" t="str">
        <f>IF(OR($B72="",F$7=""),"",IF($B72="MEANS",INDEX('1-DATA'!$1:$1048576,$A71-1,COLUMN('1-DATA'!E70)),ROUND(INDEX('1-DATA'!$1:$1048576,IF(OR($B72="STD. DEVIATION",$C$1=1),$A72,$A72+1),COLUMN('1-DATA'!E70)),IF($B72="STD. DEVIATION",2,$F$1))))</f>
        <v/>
      </c>
      <c r="G72" s="1" t="str">
        <f>IF(OR($B72="",G$7=""),"",IF($B72="MEANS",INDEX('1-DATA'!$1:$1048576,$A71-1,COLUMN('1-DATA'!F70)),ROUND(INDEX('1-DATA'!$1:$1048576,IF(OR($B72="STD. DEVIATION",$C$1=1),$A72,$A72+1),COLUMN('1-DATA'!F70)),IF($B72="STD. DEVIATION",2,$F$1))))</f>
        <v/>
      </c>
      <c r="H72" s="1" t="str">
        <f>IF(OR($B72="",H$7=""),"",IF($B72="MEANS",INDEX('1-DATA'!$1:$1048576,$A71-1,COLUMN('1-DATA'!G70)),ROUND(INDEX('1-DATA'!$1:$1048576,IF(OR($B72="STD. DEVIATION",$C$1=1),$A72,$A72+1),COLUMN('1-DATA'!G70)),IF($B72="STD. DEVIATION",2,$F$1))))</f>
        <v/>
      </c>
      <c r="I72" s="1" t="str">
        <f>IF(OR($B72="",I$7=""),"",IF($B72="MEANS",INDEX('1-DATA'!$1:$1048576,$A71-1,COLUMN('1-DATA'!H70)),ROUND(INDEX('1-DATA'!$1:$1048576,IF(OR($B72="STD. DEVIATION",$C$1=1),$A72,$A72+1),COLUMN('1-DATA'!H70)),IF($B72="STD. DEVIATION",2,$F$1))))</f>
        <v/>
      </c>
      <c r="J72" s="1" t="str">
        <f>IF(OR($B72="",J$7=""),"",IF($B72="MEANS",INDEX('1-DATA'!$1:$1048576,$A71-1,COLUMN('1-DATA'!I70)),ROUND(INDEX('1-DATA'!$1:$1048576,IF(OR($B72="STD. DEVIATION",$C$1=1),$A72,$A72+1),COLUMN('1-DATA'!I70)),IF($B72="STD. DEVIATION",2,$F$1))))</f>
        <v/>
      </c>
      <c r="K72" s="1" t="str">
        <f>IF(OR($B72="",K$7=""),"",IF($B72="MEANS",INDEX('1-DATA'!$1:$1048576,$A71-1,COLUMN('1-DATA'!J70)),ROUND(INDEX('1-DATA'!$1:$1048576,IF(OR($B72="STD. DEVIATION",$C$1=1),$A72,$A72+1),COLUMN('1-DATA'!J70)),IF($B72="STD. DEVIATION",2,$F$1))))</f>
        <v/>
      </c>
      <c r="L72" s="1" t="str">
        <f>IF(OR($B72="",L$7=""),"",IF($B72="MEANS",INDEX('1-DATA'!$1:$1048576,$A71-1,COLUMN('1-DATA'!K70)),ROUND(INDEX('1-DATA'!$1:$1048576,IF(OR($B72="STD. DEVIATION",$C$1=1),$A72,$A72+1),COLUMN('1-DATA'!K70)),IF($B72="STD. DEVIATION",2,$F$1))))</f>
        <v/>
      </c>
      <c r="M72" s="1" t="str">
        <f>IF(OR($B72="",M$7=""),"",IF($B72="MEANS",INDEX('1-DATA'!$1:$1048576,$A71-1,COLUMN('1-DATA'!L70)),ROUND(INDEX('1-DATA'!$1:$1048576,IF(OR($B72="STD. DEVIATION",$C$1=1),$A72,$A72+1),COLUMN('1-DATA'!L70)),IF($B72="STD. DEVIATION",2,$F$1))))</f>
        <v/>
      </c>
      <c r="N72" s="1" t="str">
        <f>IF(OR($B72="",N$7=""),"",IF($B72="MEANS",INDEX('1-DATA'!$1:$1048576,$A71-1,COLUMN('1-DATA'!M70)),ROUND(INDEX('1-DATA'!$1:$1048576,IF(OR($B72="STD. DEVIATION",$C$1=1),$A72,$A72+1),COLUMN('1-DATA'!M70)),IF($B72="STD. DEVIATION",2,$F$1))))</f>
        <v/>
      </c>
      <c r="O72" s="1" t="str">
        <f>IF(OR($B72="",O$7=""),"",IF($B72="MEANS",INDEX('1-DATA'!$1:$1048576,$A71-1,COLUMN('1-DATA'!N70)),ROUND(INDEX('1-DATA'!$1:$1048576,IF(OR($B72="STD. DEVIATION",$C$1=1),$A72,$A72+1),COLUMN('1-DATA'!N70)),IF($B72="STD. DEVIATION",2,$F$1))))</f>
        <v/>
      </c>
      <c r="P72" s="1" t="str">
        <f>IF(OR($B72="",P$7=""),"",IF($B72="MEANS",INDEX('1-DATA'!$1:$1048576,$A71-1,COLUMN('1-DATA'!O70)),ROUND(INDEX('1-DATA'!$1:$1048576,IF(OR($B72="STD. DEVIATION",$C$1=1),$A72,$A72+1),COLUMN('1-DATA'!O70)),IF($B72="STD. DEVIATION",2,$F$1))))</f>
        <v/>
      </c>
      <c r="Q72" s="1" t="str">
        <f>IF(OR($B72="",Q$7=""),"",IF($B72="MEANS",INDEX('1-DATA'!$1:$1048576,$A71-1,COLUMN('1-DATA'!P70)),ROUND(INDEX('1-DATA'!$1:$1048576,IF(OR($B72="STD. DEVIATION",$C$1=1),$A72,$A72+1),COLUMN('1-DATA'!P70)),IF($B72="STD. DEVIATION",2,$F$1))))</f>
        <v/>
      </c>
      <c r="R72" s="1" t="str">
        <f>IF(OR($B72="",R$7=""),"",IF($B72="MEANS",INDEX('1-DATA'!$1:$1048576,$A71-1,COLUMN('1-DATA'!Q70)),ROUND(INDEX('1-DATA'!$1:$1048576,IF(OR($B72="STD. DEVIATION",$C$1=1),$A72,$A72+1),COLUMN('1-DATA'!Q70)),IF($B72="STD. DEVIATION",2,$F$1))))</f>
        <v/>
      </c>
      <c r="S72" s="1" t="str">
        <f>IF(OR($B72="",S$7=""),"",IF($B72="MEANS",INDEX('1-DATA'!$1:$1048576,$A71-1,COLUMN('1-DATA'!R70)),ROUND(INDEX('1-DATA'!$1:$1048576,IF(OR($B72="STD. DEVIATION",$C$1=1),$A72,$A72+1),COLUMN('1-DATA'!R70)),IF($B72="STD. DEVIATION",2,$F$1))))</f>
        <v/>
      </c>
      <c r="T72" s="1" t="str">
        <f>IF(OR($B72="",T$7=""),"",IF($B72="MEANS",INDEX('1-DATA'!$1:$1048576,$A71-1,COLUMN('1-DATA'!S70)),ROUND(INDEX('1-DATA'!$1:$1048576,IF(OR($B72="STD. DEVIATION",$C$1=1),$A72,$A72+1),COLUMN('1-DATA'!S70)),IF($B72="STD. DEVIATION",2,$F$1))))</f>
        <v/>
      </c>
      <c r="U72" s="1" t="str">
        <f>IF(OR($B72="",U$7=""),"",IF($B72="MEANS",INDEX('1-DATA'!$1:$1048576,$A71-1,COLUMN('1-DATA'!T70)),ROUND(INDEX('1-DATA'!$1:$1048576,IF(OR($B72="STD. DEVIATION",$C$1=1),$A72,$A72+1),COLUMN('1-DATA'!T70)),IF($B72="STD. DEVIATION",2,$F$1))))</f>
        <v/>
      </c>
      <c r="V72" s="1" t="str">
        <f>IF(OR($B72="",V$7=""),"",IF($B72="MEANS",INDEX('1-DATA'!$1:$1048576,$A71-1,COLUMN('1-DATA'!U70)),ROUND(INDEX('1-DATA'!$1:$1048576,IF(OR($B72="STD. DEVIATION",$C$1=1),$A72,$A72+1),COLUMN('1-DATA'!U70)),IF($B72="STD. DEVIATION",2,$F$1))))</f>
        <v/>
      </c>
      <c r="W72" s="1" t="str">
        <f>IF(OR($B72="",W$7=""),"",IF($B72="MEANS",INDEX('1-DATA'!$1:$1048576,$A71-1,COLUMN('1-DATA'!V70)),ROUND(INDEX('1-DATA'!$1:$1048576,IF(OR($B72="STD. DEVIATION",$C$1=1),$A72,$A72+1),COLUMN('1-DATA'!V70)),IF($B72="STD. DEVIATION",2,$F$1))))</f>
        <v/>
      </c>
      <c r="X72" s="1" t="str">
        <f>IF(OR($B72="",X$7=""),"",IF($B72="MEANS",INDEX('1-DATA'!$1:$1048576,$A71-1,COLUMN('1-DATA'!W70)),ROUND(INDEX('1-DATA'!$1:$1048576,IF(OR($B72="STD. DEVIATION",$C$1=1),$A72,$A72+1),COLUMN('1-DATA'!W70)),IF($B72="STD. DEVIATION",2,$F$1))))</f>
        <v/>
      </c>
      <c r="Y72" s="1" t="str">
        <f>IF(OR($B72="",Y$7=""),"",IF($B72="MEANS",INDEX('1-DATA'!$1:$1048576,$A71-1,COLUMN('1-DATA'!X70)),ROUND(INDEX('1-DATA'!$1:$1048576,IF(OR($B72="STD. DEVIATION",$C$1=1),$A72,$A72+1),COLUMN('1-DATA'!X70)),IF($B72="STD. DEVIATION",2,$F$1))))</f>
        <v/>
      </c>
      <c r="Z72" s="1" t="str">
        <f>IF(OR($B72="",Z$7=""),"",IF($B72="MEANS",INDEX('1-DATA'!$1:$1048576,$A71-1,COLUMN('1-DATA'!Y70)),ROUND(INDEX('1-DATA'!$1:$1048576,IF(OR($B72="STD. DEVIATION",$C$1=1),$A72,$A72+1),COLUMN('1-DATA'!Y70)),IF($B72="STD. DEVIATION",2,$F$1))))</f>
        <v/>
      </c>
      <c r="AA72" s="1" t="str">
        <f>IF(OR($B72="",AA$7=""),"",IF($B72="MEANS",INDEX('1-DATA'!$1:$1048576,$A71-1,COLUMN('1-DATA'!Z70)),ROUND(INDEX('1-DATA'!$1:$1048576,IF(OR($B72="STD. DEVIATION",$C$1=1),$A72,$A72+1),COLUMN('1-DATA'!Z70)),IF($B72="STD. DEVIATION",2,$F$1))))</f>
        <v/>
      </c>
      <c r="AB72" s="1" t="str">
        <f>IF(OR($B72="",AB$7=""),"",IF($B72="MEANS",INDEX('1-DATA'!$1:$1048576,$A71-1,COLUMN('1-DATA'!AA70)),ROUND(INDEX('1-DATA'!$1:$1048576,IF(OR($B72="STD. DEVIATION",$C$1=1),$A72,$A72+1),COLUMN('1-DATA'!AA70)),IF($B72="STD. DEVIATION",2,$F$1))))</f>
        <v/>
      </c>
      <c r="AC72" s="1" t="str">
        <f>IF(OR($B72="",AC$7=""),"",IF($B72="MEANS",INDEX('1-DATA'!$1:$1048576,$A71-1,COLUMN('1-DATA'!AB70)),ROUND(INDEX('1-DATA'!$1:$1048576,IF(OR($B72="STD. DEVIATION",$C$1=1),$A72,$A72+1),COLUMN('1-DATA'!AB70)),IF($B72="STD. DEVIATION",2,$F$1))))</f>
        <v/>
      </c>
      <c r="AD72" s="1" t="str">
        <f>IF(OR($B72="",AD$7=""),"",IF($B72="MEANS",INDEX('1-DATA'!$1:$1048576,$A71-1,COLUMN('1-DATA'!AC70)),ROUND(INDEX('1-DATA'!$1:$1048576,IF(OR($B72="STD. DEVIATION",$C$1=1),$A72,$A72+1),COLUMN('1-DATA'!AC70)),IF($B72="STD. DEVIATION",2,$F$1))))</f>
        <v/>
      </c>
      <c r="AE72" s="1" t="str">
        <f>IF(OR($B72="",AE$7=""),"",IF($B72="MEANS",INDEX('1-DATA'!$1:$1048576,$A71-1,COLUMN('1-DATA'!AD70)),ROUND(INDEX('1-DATA'!$1:$1048576,IF(OR($B72="STD. DEVIATION",$C$1=1),$A72,$A72+1),COLUMN('1-DATA'!AD70)),IF($B72="STD. DEVIATION",2,$F$1))))</f>
        <v/>
      </c>
      <c r="AF72" s="1" t="str">
        <f>IF(OR($B72="",AF$7=""),"",IF($B72="MEANS",INDEX('1-DATA'!$1:$1048576,$A71-1,COLUMN('1-DATA'!AE70)),ROUND(INDEX('1-DATA'!$1:$1048576,IF(OR($B72="STD. DEVIATION",$C$1=1),$A72,$A72+1),COLUMN('1-DATA'!AE70)),IF($B72="STD. DEVIATION",2,$F$1))))</f>
        <v/>
      </c>
      <c r="AG72" s="1" t="str">
        <f>IF(OR($B72="",AG$7=""),"",IF($B72="MEANS",INDEX('1-DATA'!$1:$1048576,$A71-1,COLUMN('1-DATA'!AF70)),ROUND(INDEX('1-DATA'!$1:$1048576,IF(OR($B72="STD. DEVIATION",$C$1=1),$A72,$A72+1),COLUMN('1-DATA'!AF70)),IF($B72="STD. DEVIATION",2,$F$1))))</f>
        <v/>
      </c>
      <c r="AH72" s="1" t="str">
        <f>IF(OR($B72="",AH$7=""),"",IF($B72="MEANS",INDEX('1-DATA'!$1:$1048576,$A71-1,COLUMN('1-DATA'!AG70)),ROUND(INDEX('1-DATA'!$1:$1048576,IF(OR($B72="STD. DEVIATION",$C$1=1),$A72,$A72+1),COLUMN('1-DATA'!AG70)),IF($B72="STD. DEVIATION",2,$F$1))))</f>
        <v/>
      </c>
      <c r="AI72" s="1" t="str">
        <f>IF(OR($B72="",AI$7=""),"",IF($B72="MEANS",INDEX('1-DATA'!$1:$1048576,$A71-1,COLUMN('1-DATA'!AH70)),ROUND(INDEX('1-DATA'!$1:$1048576,IF(OR($B72="STD. DEVIATION",$C$1=1),$A72,$A72+1),COLUMN('1-DATA'!AH70)),IF($B72="STD. DEVIATION",2,$F$1))))</f>
        <v/>
      </c>
      <c r="AJ72" s="1" t="str">
        <f>IF(OR($B72="",AJ$7=""),"",IF($B72="MEANS",INDEX('1-DATA'!$1:$1048576,$A71-1,COLUMN('1-DATA'!AI70)),ROUND(INDEX('1-DATA'!$1:$1048576,IF(OR($B72="STD. DEVIATION",$C$1=1),$A72,$A72+1),COLUMN('1-DATA'!AI70)),IF($B72="STD. DEVIATION",2,$F$1))))</f>
        <v/>
      </c>
      <c r="AK72" s="1" t="str">
        <f>IF(OR($B72="",AK$7=""),"",IF($B72="MEANS",INDEX('1-DATA'!$1:$1048576,$A71-1,COLUMN('1-DATA'!AJ70)),ROUND(INDEX('1-DATA'!$1:$1048576,IF(OR($B72="STD. DEVIATION",$C$1=1),$A72,$A72+1),COLUMN('1-DATA'!AJ70)),IF($B72="STD. DEVIATION",2,$F$1))))</f>
        <v/>
      </c>
      <c r="AL72" s="1" t="str">
        <f>IF(OR($B72="",AL$7=""),"",IF($B72="MEANS",INDEX('1-DATA'!$1:$1048576,$A71-1,COLUMN('1-DATA'!AK70)),ROUND(INDEX('1-DATA'!$1:$1048576,IF(OR($B72="STD. DEVIATION",$C$1=1),$A72,$A72+1),COLUMN('1-DATA'!AK70)),IF($B72="STD. DEVIATION",2,$F$1))))</f>
        <v/>
      </c>
      <c r="AM72" s="1" t="str">
        <f>IF(OR($B72="",AM$7=""),"",IF($B72="MEANS",INDEX('1-DATA'!$1:$1048576,$A71-1,COLUMN('1-DATA'!AL70)),ROUND(INDEX('1-DATA'!$1:$1048576,IF(OR($B72="STD. DEVIATION",$C$1=1),$A72,$A72+1),COLUMN('1-DATA'!AL70)),IF($B72="STD. DEVIATION",2,$F$1))))</f>
        <v/>
      </c>
      <c r="AN72" s="1" t="str">
        <f>IF(OR($B72="",AN$7=""),"",IF($B72="MEANS",INDEX('1-DATA'!$1:$1048576,$A71-1,COLUMN('1-DATA'!AM70)),ROUND(INDEX('1-DATA'!$1:$1048576,IF(OR($B72="STD. DEVIATION",$C$1=1),$A72,$A72+1),COLUMN('1-DATA'!AM70)),IF($B72="STD. DEVIATION",2,$F$1))))</f>
        <v/>
      </c>
      <c r="AO72" s="1" t="str">
        <f>IF(OR($B72="",AO$7=""),"",IF($B72="MEANS",INDEX('1-DATA'!$1:$1048576,$A71-1,COLUMN('1-DATA'!AN70)),ROUND(INDEX('1-DATA'!$1:$1048576,IF(OR($B72="STD. DEVIATION",$C$1=1),$A72,$A72+1),COLUMN('1-DATA'!AN70)),IF($B72="STD. DEVIATION",2,$F$1))))</f>
        <v/>
      </c>
      <c r="AP72" s="1" t="str">
        <f>IF(OR($B72="",AP$7=""),"",IF($B72="MEANS",INDEX('1-DATA'!$1:$1048576,$A71-1,COLUMN('1-DATA'!AO70)),ROUND(INDEX('1-DATA'!$1:$1048576,IF(OR($B72="STD. DEVIATION",$C$1=1),$A72,$A72+1),COLUMN('1-DATA'!AO70)),IF($B72="STD. DEVIATION",2,$F$1))))</f>
        <v/>
      </c>
      <c r="AQ72" s="1" t="str">
        <f>IF(OR($B72="",AQ$7=""),"",IF($B72="MEANS",INDEX('1-DATA'!$1:$1048576,$A71-1,COLUMN('1-DATA'!AP70)),ROUND(INDEX('1-DATA'!$1:$1048576,IF(OR($B72="STD. DEVIATION",$C$1=1),$A72,$A72+1),COLUMN('1-DATA'!AP70)),IF($B72="STD. DEVIATION",2,$F$1))))</f>
        <v/>
      </c>
      <c r="AR72" s="1" t="str">
        <f>IF(OR($B72="",AR$7=""),"",IF($B72="MEANS",INDEX('1-DATA'!$1:$1048576,$A71-1,COLUMN('1-DATA'!AQ70)),ROUND(INDEX('1-DATA'!$1:$1048576,IF(OR($B72="STD. DEVIATION",$C$1=1),$A72,$A72+1),COLUMN('1-DATA'!AQ70)),IF($B72="STD. DEVIATION",2,$F$1))))</f>
        <v/>
      </c>
      <c r="AS72" s="1" t="str">
        <f>IF(OR($B72="",AS$7=""),"",IF($B72="MEANS",INDEX('1-DATA'!$1:$1048576,$A71-1,COLUMN('1-DATA'!AR70)),ROUND(INDEX('1-DATA'!$1:$1048576,IF(OR($B72="STD. DEVIATION",$C$1=1),$A72,$A72+1),COLUMN('1-DATA'!AR70)),IF($B72="STD. DEVIATION",2,$F$1))))</f>
        <v/>
      </c>
      <c r="AT72" s="1" t="str">
        <f>IF(OR($B72="",AT$7=""),"",IF($B72="MEANS",INDEX('1-DATA'!$1:$1048576,$A71-1,COLUMN('1-DATA'!AS70)),ROUND(INDEX('1-DATA'!$1:$1048576,IF(OR($B72="STD. DEVIATION",$C$1=1),$A72,$A72+1),COLUMN('1-DATA'!AS70)),IF($B72="STD. DEVIATION",2,$F$1))))</f>
        <v/>
      </c>
      <c r="AU72" s="1" t="str">
        <f>IF(OR($B72="",AU$7=""),"",IF($B72="MEANS",INDEX('1-DATA'!$1:$1048576,$A71-1,COLUMN('1-DATA'!AT70)),ROUND(INDEX('1-DATA'!$1:$1048576,IF(OR($B72="STD. DEVIATION",$C$1=1),$A72,$A72+1),COLUMN('1-DATA'!AT70)),IF($B72="STD. DEVIATION",2,$F$1))))</f>
        <v/>
      </c>
      <c r="AV72" s="1" t="str">
        <f>IF(OR($B72="",AV$7=""),"",IF($B72="MEANS",INDEX('1-DATA'!$1:$1048576,$A71-1,COLUMN('1-DATA'!AU70)),ROUND(INDEX('1-DATA'!$1:$1048576,IF(OR($B72="STD. DEVIATION",$C$1=1),$A72,$A72+1),COLUMN('1-DATA'!AU70)),IF($B72="STD. DEVIATION",2,$F$1))))</f>
        <v/>
      </c>
      <c r="AW72" s="1" t="str">
        <f>IF(OR($B72="",AW$7=""),"",IF($B72="MEANS",INDEX('1-DATA'!$1:$1048576,$A71-1,COLUMN('1-DATA'!AV70)),ROUND(INDEX('1-DATA'!$1:$1048576,IF(OR($B72="STD. DEVIATION",$C$1=1),$A72,$A72+1),COLUMN('1-DATA'!AV70)),IF($B72="STD. DEVIATION",2,$F$1))))</f>
        <v/>
      </c>
      <c r="AX72" s="1" t="str">
        <f>IF(OR($B72="",AX$7=""),"",IF($B72="MEANS",INDEX('1-DATA'!$1:$1048576,$A71-1,COLUMN('1-DATA'!AW70)),ROUND(INDEX('1-DATA'!$1:$1048576,IF(OR($B72="STD. DEVIATION",$C$1=1),$A72,$A72+1),COLUMN('1-DATA'!AW70)),IF($B72="STD. DEVIATION",2,$F$1))))</f>
        <v/>
      </c>
      <c r="AY72" s="1" t="str">
        <f>IF(OR($B72="",AY$7=""),"",IF($B72="MEANS",INDEX('1-DATA'!$1:$1048576,$A71-1,COLUMN('1-DATA'!AX70)),ROUND(INDEX('1-DATA'!$1:$1048576,IF(OR($B72="STD. DEVIATION",$C$1=1),$A72,$A72+1),COLUMN('1-DATA'!AX70)),IF($B72="STD. DEVIATION",2,$F$1))))</f>
        <v/>
      </c>
      <c r="AZ72" s="1" t="str">
        <f>IF(OR($B72="",AZ$7=""),"",IF($B72="MEANS",INDEX('1-DATA'!$1:$1048576,$A71-1,COLUMN('1-DATA'!AY70)),ROUND(INDEX('1-DATA'!$1:$1048576,IF(OR($B72="STD. DEVIATION",$C$1=1),$A72,$A72+1),COLUMN('1-DATA'!AY70)),IF($B72="STD. DEVIATION",2,$F$1))))</f>
        <v/>
      </c>
    </row>
    <row r="73" spans="1:52" x14ac:dyDescent="0.25">
      <c r="A73" s="11">
        <f t="shared" si="1"/>
        <v>205</v>
      </c>
      <c r="B73" s="1" t="str">
        <f>IF(B72="STD. DEVIATION",INDEX('1-DATA'!$1:$1048576,$A72-1,1),IF(INDEX('1-DATA'!$1:$1048576,$A73,1)&lt;&gt;"",INDEX('1-DATA'!$1:$1048576,$A73,1),""))</f>
        <v/>
      </c>
      <c r="C73" s="1" t="str">
        <f>IF(OR($B73="",C$7=""),"",IF($B73="MEANS",INDEX('1-DATA'!$1:$1048576,$A72-1,COLUMN('1-DATA'!B71)),ROUND(INDEX('1-DATA'!$1:$1048576,IF(OR($B73="STD. DEVIATION",$C$1=1),$A73,$A73+1),COLUMN('1-DATA'!B71)),IF($B73="STD. DEVIATION",2,$F$1))))</f>
        <v/>
      </c>
      <c r="D73" s="1" t="str">
        <f>IF(OR($B73="",D$7=""),"",IF($B73="MEANS",INDEX('1-DATA'!$1:$1048576,$A72-1,COLUMN('1-DATA'!C71)),ROUND(INDEX('1-DATA'!$1:$1048576,IF(OR($B73="STD. DEVIATION",$C$1=1),$A73,$A73+1),COLUMN('1-DATA'!C71)),IF($B73="STD. DEVIATION",2,$F$1))))</f>
        <v/>
      </c>
      <c r="E73" s="1" t="str">
        <f>IF(OR($B73="",E$7=""),"",IF($B73="MEANS",INDEX('1-DATA'!$1:$1048576,$A72-1,COLUMN('1-DATA'!D71)),ROUND(INDEX('1-DATA'!$1:$1048576,IF(OR($B73="STD. DEVIATION",$C$1=1),$A73,$A73+1),COLUMN('1-DATA'!D71)),IF($B73="STD. DEVIATION",2,$F$1))))</f>
        <v/>
      </c>
      <c r="F73" s="1" t="str">
        <f>IF(OR($B73="",F$7=""),"",IF($B73="MEANS",INDEX('1-DATA'!$1:$1048576,$A72-1,COLUMN('1-DATA'!E71)),ROUND(INDEX('1-DATA'!$1:$1048576,IF(OR($B73="STD. DEVIATION",$C$1=1),$A73,$A73+1),COLUMN('1-DATA'!E71)),IF($B73="STD. DEVIATION",2,$F$1))))</f>
        <v/>
      </c>
      <c r="G73" s="1" t="str">
        <f>IF(OR($B73="",G$7=""),"",IF($B73="MEANS",INDEX('1-DATA'!$1:$1048576,$A72-1,COLUMN('1-DATA'!F71)),ROUND(INDEX('1-DATA'!$1:$1048576,IF(OR($B73="STD. DEVIATION",$C$1=1),$A73,$A73+1),COLUMN('1-DATA'!F71)),IF($B73="STD. DEVIATION",2,$F$1))))</f>
        <v/>
      </c>
      <c r="H73" s="1" t="str">
        <f>IF(OR($B73="",H$7=""),"",IF($B73="MEANS",INDEX('1-DATA'!$1:$1048576,$A72-1,COLUMN('1-DATA'!G71)),ROUND(INDEX('1-DATA'!$1:$1048576,IF(OR($B73="STD. DEVIATION",$C$1=1),$A73,$A73+1),COLUMN('1-DATA'!G71)),IF($B73="STD. DEVIATION",2,$F$1))))</f>
        <v/>
      </c>
      <c r="I73" s="1" t="str">
        <f>IF(OR($B73="",I$7=""),"",IF($B73="MEANS",INDEX('1-DATA'!$1:$1048576,$A72-1,COLUMN('1-DATA'!H71)),ROUND(INDEX('1-DATA'!$1:$1048576,IF(OR($B73="STD. DEVIATION",$C$1=1),$A73,$A73+1),COLUMN('1-DATA'!H71)),IF($B73="STD. DEVIATION",2,$F$1))))</f>
        <v/>
      </c>
      <c r="J73" s="1" t="str">
        <f>IF(OR($B73="",J$7=""),"",IF($B73="MEANS",INDEX('1-DATA'!$1:$1048576,$A72-1,COLUMN('1-DATA'!I71)),ROUND(INDEX('1-DATA'!$1:$1048576,IF(OR($B73="STD. DEVIATION",$C$1=1),$A73,$A73+1),COLUMN('1-DATA'!I71)),IF($B73="STD. DEVIATION",2,$F$1))))</f>
        <v/>
      </c>
      <c r="K73" s="1" t="str">
        <f>IF(OR($B73="",K$7=""),"",IF($B73="MEANS",INDEX('1-DATA'!$1:$1048576,$A72-1,COLUMN('1-DATA'!J71)),ROUND(INDEX('1-DATA'!$1:$1048576,IF(OR($B73="STD. DEVIATION",$C$1=1),$A73,$A73+1),COLUMN('1-DATA'!J71)),IF($B73="STD. DEVIATION",2,$F$1))))</f>
        <v/>
      </c>
      <c r="L73" s="1" t="str">
        <f>IF(OR($B73="",L$7=""),"",IF($B73="MEANS",INDEX('1-DATA'!$1:$1048576,$A72-1,COLUMN('1-DATA'!K71)),ROUND(INDEX('1-DATA'!$1:$1048576,IF(OR($B73="STD. DEVIATION",$C$1=1),$A73,$A73+1),COLUMN('1-DATA'!K71)),IF($B73="STD. DEVIATION",2,$F$1))))</f>
        <v/>
      </c>
      <c r="M73" s="1" t="str">
        <f>IF(OR($B73="",M$7=""),"",IF($B73="MEANS",INDEX('1-DATA'!$1:$1048576,$A72-1,COLUMN('1-DATA'!L71)),ROUND(INDEX('1-DATA'!$1:$1048576,IF(OR($B73="STD. DEVIATION",$C$1=1),$A73,$A73+1),COLUMN('1-DATA'!L71)),IF($B73="STD. DEVIATION",2,$F$1))))</f>
        <v/>
      </c>
      <c r="N73" s="1" t="str">
        <f>IF(OR($B73="",N$7=""),"",IF($B73="MEANS",INDEX('1-DATA'!$1:$1048576,$A72-1,COLUMN('1-DATA'!M71)),ROUND(INDEX('1-DATA'!$1:$1048576,IF(OR($B73="STD. DEVIATION",$C$1=1),$A73,$A73+1),COLUMN('1-DATA'!M71)),IF($B73="STD. DEVIATION",2,$F$1))))</f>
        <v/>
      </c>
      <c r="O73" s="1" t="str">
        <f>IF(OR($B73="",O$7=""),"",IF($B73="MEANS",INDEX('1-DATA'!$1:$1048576,$A72-1,COLUMN('1-DATA'!N71)),ROUND(INDEX('1-DATA'!$1:$1048576,IF(OR($B73="STD. DEVIATION",$C$1=1),$A73,$A73+1),COLUMN('1-DATA'!N71)),IF($B73="STD. DEVIATION",2,$F$1))))</f>
        <v/>
      </c>
      <c r="P73" s="1" t="str">
        <f>IF(OR($B73="",P$7=""),"",IF($B73="MEANS",INDEX('1-DATA'!$1:$1048576,$A72-1,COLUMN('1-DATA'!O71)),ROUND(INDEX('1-DATA'!$1:$1048576,IF(OR($B73="STD. DEVIATION",$C$1=1),$A73,$A73+1),COLUMN('1-DATA'!O71)),IF($B73="STD. DEVIATION",2,$F$1))))</f>
        <v/>
      </c>
      <c r="Q73" s="1" t="str">
        <f>IF(OR($B73="",Q$7=""),"",IF($B73="MEANS",INDEX('1-DATA'!$1:$1048576,$A72-1,COLUMN('1-DATA'!P71)),ROUND(INDEX('1-DATA'!$1:$1048576,IF(OR($B73="STD. DEVIATION",$C$1=1),$A73,$A73+1),COLUMN('1-DATA'!P71)),IF($B73="STD. DEVIATION",2,$F$1))))</f>
        <v/>
      </c>
      <c r="R73" s="1" t="str">
        <f>IF(OR($B73="",R$7=""),"",IF($B73="MEANS",INDEX('1-DATA'!$1:$1048576,$A72-1,COLUMN('1-DATA'!Q71)),ROUND(INDEX('1-DATA'!$1:$1048576,IF(OR($B73="STD. DEVIATION",$C$1=1),$A73,$A73+1),COLUMN('1-DATA'!Q71)),IF($B73="STD. DEVIATION",2,$F$1))))</f>
        <v/>
      </c>
      <c r="S73" s="1" t="str">
        <f>IF(OR($B73="",S$7=""),"",IF($B73="MEANS",INDEX('1-DATA'!$1:$1048576,$A72-1,COLUMN('1-DATA'!R71)),ROUND(INDEX('1-DATA'!$1:$1048576,IF(OR($B73="STD. DEVIATION",$C$1=1),$A73,$A73+1),COLUMN('1-DATA'!R71)),IF($B73="STD. DEVIATION",2,$F$1))))</f>
        <v/>
      </c>
      <c r="T73" s="1" t="str">
        <f>IF(OR($B73="",T$7=""),"",IF($B73="MEANS",INDEX('1-DATA'!$1:$1048576,$A72-1,COLUMN('1-DATA'!S71)),ROUND(INDEX('1-DATA'!$1:$1048576,IF(OR($B73="STD. DEVIATION",$C$1=1),$A73,$A73+1),COLUMN('1-DATA'!S71)),IF($B73="STD. DEVIATION",2,$F$1))))</f>
        <v/>
      </c>
      <c r="U73" s="1" t="str">
        <f>IF(OR($B73="",U$7=""),"",IF($B73="MEANS",INDEX('1-DATA'!$1:$1048576,$A72-1,COLUMN('1-DATA'!T71)),ROUND(INDEX('1-DATA'!$1:$1048576,IF(OR($B73="STD. DEVIATION",$C$1=1),$A73,$A73+1),COLUMN('1-DATA'!T71)),IF($B73="STD. DEVIATION",2,$F$1))))</f>
        <v/>
      </c>
      <c r="V73" s="1" t="str">
        <f>IF(OR($B73="",V$7=""),"",IF($B73="MEANS",INDEX('1-DATA'!$1:$1048576,$A72-1,COLUMN('1-DATA'!U71)),ROUND(INDEX('1-DATA'!$1:$1048576,IF(OR($B73="STD. DEVIATION",$C$1=1),$A73,$A73+1),COLUMN('1-DATA'!U71)),IF($B73="STD. DEVIATION",2,$F$1))))</f>
        <v/>
      </c>
      <c r="W73" s="1" t="str">
        <f>IF(OR($B73="",W$7=""),"",IF($B73="MEANS",INDEX('1-DATA'!$1:$1048576,$A72-1,COLUMN('1-DATA'!V71)),ROUND(INDEX('1-DATA'!$1:$1048576,IF(OR($B73="STD. DEVIATION",$C$1=1),$A73,$A73+1),COLUMN('1-DATA'!V71)),IF($B73="STD. DEVIATION",2,$F$1))))</f>
        <v/>
      </c>
      <c r="X73" s="1" t="str">
        <f>IF(OR($B73="",X$7=""),"",IF($B73="MEANS",INDEX('1-DATA'!$1:$1048576,$A72-1,COLUMN('1-DATA'!W71)),ROUND(INDEX('1-DATA'!$1:$1048576,IF(OR($B73="STD. DEVIATION",$C$1=1),$A73,$A73+1),COLUMN('1-DATA'!W71)),IF($B73="STD. DEVIATION",2,$F$1))))</f>
        <v/>
      </c>
      <c r="Y73" s="1" t="str">
        <f>IF(OR($B73="",Y$7=""),"",IF($B73="MEANS",INDEX('1-DATA'!$1:$1048576,$A72-1,COLUMN('1-DATA'!X71)),ROUND(INDEX('1-DATA'!$1:$1048576,IF(OR($B73="STD. DEVIATION",$C$1=1),$A73,$A73+1),COLUMN('1-DATA'!X71)),IF($B73="STD. DEVIATION",2,$F$1))))</f>
        <v/>
      </c>
      <c r="Z73" s="1" t="str">
        <f>IF(OR($B73="",Z$7=""),"",IF($B73="MEANS",INDEX('1-DATA'!$1:$1048576,$A72-1,COLUMN('1-DATA'!Y71)),ROUND(INDEX('1-DATA'!$1:$1048576,IF(OR($B73="STD. DEVIATION",$C$1=1),$A73,$A73+1),COLUMN('1-DATA'!Y71)),IF($B73="STD. DEVIATION",2,$F$1))))</f>
        <v/>
      </c>
      <c r="AA73" s="1" t="str">
        <f>IF(OR($B73="",AA$7=""),"",IF($B73="MEANS",INDEX('1-DATA'!$1:$1048576,$A72-1,COLUMN('1-DATA'!Z71)),ROUND(INDEX('1-DATA'!$1:$1048576,IF(OR($B73="STD. DEVIATION",$C$1=1),$A73,$A73+1),COLUMN('1-DATA'!Z71)),IF($B73="STD. DEVIATION",2,$F$1))))</f>
        <v/>
      </c>
      <c r="AB73" s="1" t="str">
        <f>IF(OR($B73="",AB$7=""),"",IF($B73="MEANS",INDEX('1-DATA'!$1:$1048576,$A72-1,COLUMN('1-DATA'!AA71)),ROUND(INDEX('1-DATA'!$1:$1048576,IF(OR($B73="STD. DEVIATION",$C$1=1),$A73,$A73+1),COLUMN('1-DATA'!AA71)),IF($B73="STD. DEVIATION",2,$F$1))))</f>
        <v/>
      </c>
      <c r="AC73" s="1" t="str">
        <f>IF(OR($B73="",AC$7=""),"",IF($B73="MEANS",INDEX('1-DATA'!$1:$1048576,$A72-1,COLUMN('1-DATA'!AB71)),ROUND(INDEX('1-DATA'!$1:$1048576,IF(OR($B73="STD. DEVIATION",$C$1=1),$A73,$A73+1),COLUMN('1-DATA'!AB71)),IF($B73="STD. DEVIATION",2,$F$1))))</f>
        <v/>
      </c>
      <c r="AD73" s="1" t="str">
        <f>IF(OR($B73="",AD$7=""),"",IF($B73="MEANS",INDEX('1-DATA'!$1:$1048576,$A72-1,COLUMN('1-DATA'!AC71)),ROUND(INDEX('1-DATA'!$1:$1048576,IF(OR($B73="STD. DEVIATION",$C$1=1),$A73,$A73+1),COLUMN('1-DATA'!AC71)),IF($B73="STD. DEVIATION",2,$F$1))))</f>
        <v/>
      </c>
      <c r="AE73" s="1" t="str">
        <f>IF(OR($B73="",AE$7=""),"",IF($B73="MEANS",INDEX('1-DATA'!$1:$1048576,$A72-1,COLUMN('1-DATA'!AD71)),ROUND(INDEX('1-DATA'!$1:$1048576,IF(OR($B73="STD. DEVIATION",$C$1=1),$A73,$A73+1),COLUMN('1-DATA'!AD71)),IF($B73="STD. DEVIATION",2,$F$1))))</f>
        <v/>
      </c>
      <c r="AF73" s="1" t="str">
        <f>IF(OR($B73="",AF$7=""),"",IF($B73="MEANS",INDEX('1-DATA'!$1:$1048576,$A72-1,COLUMN('1-DATA'!AE71)),ROUND(INDEX('1-DATA'!$1:$1048576,IF(OR($B73="STD. DEVIATION",$C$1=1),$A73,$A73+1),COLUMN('1-DATA'!AE71)),IF($B73="STD. DEVIATION",2,$F$1))))</f>
        <v/>
      </c>
      <c r="AG73" s="1" t="str">
        <f>IF(OR($B73="",AG$7=""),"",IF($B73="MEANS",INDEX('1-DATA'!$1:$1048576,$A72-1,COLUMN('1-DATA'!AF71)),ROUND(INDEX('1-DATA'!$1:$1048576,IF(OR($B73="STD. DEVIATION",$C$1=1),$A73,$A73+1),COLUMN('1-DATA'!AF71)),IF($B73="STD. DEVIATION",2,$F$1))))</f>
        <v/>
      </c>
      <c r="AH73" s="1" t="str">
        <f>IF(OR($B73="",AH$7=""),"",IF($B73="MEANS",INDEX('1-DATA'!$1:$1048576,$A72-1,COLUMN('1-DATA'!AG71)),ROUND(INDEX('1-DATA'!$1:$1048576,IF(OR($B73="STD. DEVIATION",$C$1=1),$A73,$A73+1),COLUMN('1-DATA'!AG71)),IF($B73="STD. DEVIATION",2,$F$1))))</f>
        <v/>
      </c>
      <c r="AI73" s="1" t="str">
        <f>IF(OR($B73="",AI$7=""),"",IF($B73="MEANS",INDEX('1-DATA'!$1:$1048576,$A72-1,COLUMN('1-DATA'!AH71)),ROUND(INDEX('1-DATA'!$1:$1048576,IF(OR($B73="STD. DEVIATION",$C$1=1),$A73,$A73+1),COLUMN('1-DATA'!AH71)),IF($B73="STD. DEVIATION",2,$F$1))))</f>
        <v/>
      </c>
      <c r="AJ73" s="1" t="str">
        <f>IF(OR($B73="",AJ$7=""),"",IF($B73="MEANS",INDEX('1-DATA'!$1:$1048576,$A72-1,COLUMN('1-DATA'!AI71)),ROUND(INDEX('1-DATA'!$1:$1048576,IF(OR($B73="STD. DEVIATION",$C$1=1),$A73,$A73+1),COLUMN('1-DATA'!AI71)),IF($B73="STD. DEVIATION",2,$F$1))))</f>
        <v/>
      </c>
      <c r="AK73" s="1" t="str">
        <f>IF(OR($B73="",AK$7=""),"",IF($B73="MEANS",INDEX('1-DATA'!$1:$1048576,$A72-1,COLUMN('1-DATA'!AJ71)),ROUND(INDEX('1-DATA'!$1:$1048576,IF(OR($B73="STD. DEVIATION",$C$1=1),$A73,$A73+1),COLUMN('1-DATA'!AJ71)),IF($B73="STD. DEVIATION",2,$F$1))))</f>
        <v/>
      </c>
      <c r="AL73" s="1" t="str">
        <f>IF(OR($B73="",AL$7=""),"",IF($B73="MEANS",INDEX('1-DATA'!$1:$1048576,$A72-1,COLUMN('1-DATA'!AK71)),ROUND(INDEX('1-DATA'!$1:$1048576,IF(OR($B73="STD. DEVIATION",$C$1=1),$A73,$A73+1),COLUMN('1-DATA'!AK71)),IF($B73="STD. DEVIATION",2,$F$1))))</f>
        <v/>
      </c>
      <c r="AM73" s="1" t="str">
        <f>IF(OR($B73="",AM$7=""),"",IF($B73="MEANS",INDEX('1-DATA'!$1:$1048576,$A72-1,COLUMN('1-DATA'!AL71)),ROUND(INDEX('1-DATA'!$1:$1048576,IF(OR($B73="STD. DEVIATION",$C$1=1),$A73,$A73+1),COLUMN('1-DATA'!AL71)),IF($B73="STD. DEVIATION",2,$F$1))))</f>
        <v/>
      </c>
      <c r="AN73" s="1" t="str">
        <f>IF(OR($B73="",AN$7=""),"",IF($B73="MEANS",INDEX('1-DATA'!$1:$1048576,$A72-1,COLUMN('1-DATA'!AM71)),ROUND(INDEX('1-DATA'!$1:$1048576,IF(OR($B73="STD. DEVIATION",$C$1=1),$A73,$A73+1),COLUMN('1-DATA'!AM71)),IF($B73="STD. DEVIATION",2,$F$1))))</f>
        <v/>
      </c>
      <c r="AO73" s="1" t="str">
        <f>IF(OR($B73="",AO$7=""),"",IF($B73="MEANS",INDEX('1-DATA'!$1:$1048576,$A72-1,COLUMN('1-DATA'!AN71)),ROUND(INDEX('1-DATA'!$1:$1048576,IF(OR($B73="STD. DEVIATION",$C$1=1),$A73,$A73+1),COLUMN('1-DATA'!AN71)),IF($B73="STD. DEVIATION",2,$F$1))))</f>
        <v/>
      </c>
      <c r="AP73" s="1" t="str">
        <f>IF(OR($B73="",AP$7=""),"",IF($B73="MEANS",INDEX('1-DATA'!$1:$1048576,$A72-1,COLUMN('1-DATA'!AO71)),ROUND(INDEX('1-DATA'!$1:$1048576,IF(OR($B73="STD. DEVIATION",$C$1=1),$A73,$A73+1),COLUMN('1-DATA'!AO71)),IF($B73="STD. DEVIATION",2,$F$1))))</f>
        <v/>
      </c>
      <c r="AQ73" s="1" t="str">
        <f>IF(OR($B73="",AQ$7=""),"",IF($B73="MEANS",INDEX('1-DATA'!$1:$1048576,$A72-1,COLUMN('1-DATA'!AP71)),ROUND(INDEX('1-DATA'!$1:$1048576,IF(OR($B73="STD. DEVIATION",$C$1=1),$A73,$A73+1),COLUMN('1-DATA'!AP71)),IF($B73="STD. DEVIATION",2,$F$1))))</f>
        <v/>
      </c>
      <c r="AR73" s="1" t="str">
        <f>IF(OR($B73="",AR$7=""),"",IF($B73="MEANS",INDEX('1-DATA'!$1:$1048576,$A72-1,COLUMN('1-DATA'!AQ71)),ROUND(INDEX('1-DATA'!$1:$1048576,IF(OR($B73="STD. DEVIATION",$C$1=1),$A73,$A73+1),COLUMN('1-DATA'!AQ71)),IF($B73="STD. DEVIATION",2,$F$1))))</f>
        <v/>
      </c>
      <c r="AS73" s="1" t="str">
        <f>IF(OR($B73="",AS$7=""),"",IF($B73="MEANS",INDEX('1-DATA'!$1:$1048576,$A72-1,COLUMN('1-DATA'!AR71)),ROUND(INDEX('1-DATA'!$1:$1048576,IF(OR($B73="STD. DEVIATION",$C$1=1),$A73,$A73+1),COLUMN('1-DATA'!AR71)),IF($B73="STD. DEVIATION",2,$F$1))))</f>
        <v/>
      </c>
      <c r="AT73" s="1" t="str">
        <f>IF(OR($B73="",AT$7=""),"",IF($B73="MEANS",INDEX('1-DATA'!$1:$1048576,$A72-1,COLUMN('1-DATA'!AS71)),ROUND(INDEX('1-DATA'!$1:$1048576,IF(OR($B73="STD. DEVIATION",$C$1=1),$A73,$A73+1),COLUMN('1-DATA'!AS71)),IF($B73="STD. DEVIATION",2,$F$1))))</f>
        <v/>
      </c>
      <c r="AU73" s="1" t="str">
        <f>IF(OR($B73="",AU$7=""),"",IF($B73="MEANS",INDEX('1-DATA'!$1:$1048576,$A72-1,COLUMN('1-DATA'!AT71)),ROUND(INDEX('1-DATA'!$1:$1048576,IF(OR($B73="STD. DEVIATION",$C$1=1),$A73,$A73+1),COLUMN('1-DATA'!AT71)),IF($B73="STD. DEVIATION",2,$F$1))))</f>
        <v/>
      </c>
      <c r="AV73" s="1" t="str">
        <f>IF(OR($B73="",AV$7=""),"",IF($B73="MEANS",INDEX('1-DATA'!$1:$1048576,$A72-1,COLUMN('1-DATA'!AU71)),ROUND(INDEX('1-DATA'!$1:$1048576,IF(OR($B73="STD. DEVIATION",$C$1=1),$A73,$A73+1),COLUMN('1-DATA'!AU71)),IF($B73="STD. DEVIATION",2,$F$1))))</f>
        <v/>
      </c>
      <c r="AW73" s="1" t="str">
        <f>IF(OR($B73="",AW$7=""),"",IF($B73="MEANS",INDEX('1-DATA'!$1:$1048576,$A72-1,COLUMN('1-DATA'!AV71)),ROUND(INDEX('1-DATA'!$1:$1048576,IF(OR($B73="STD. DEVIATION",$C$1=1),$A73,$A73+1),COLUMN('1-DATA'!AV71)),IF($B73="STD. DEVIATION",2,$F$1))))</f>
        <v/>
      </c>
      <c r="AX73" s="1" t="str">
        <f>IF(OR($B73="",AX$7=""),"",IF($B73="MEANS",INDEX('1-DATA'!$1:$1048576,$A72-1,COLUMN('1-DATA'!AW71)),ROUND(INDEX('1-DATA'!$1:$1048576,IF(OR($B73="STD. DEVIATION",$C$1=1),$A73,$A73+1),COLUMN('1-DATA'!AW71)),IF($B73="STD. DEVIATION",2,$F$1))))</f>
        <v/>
      </c>
      <c r="AY73" s="1" t="str">
        <f>IF(OR($B73="",AY$7=""),"",IF($B73="MEANS",INDEX('1-DATA'!$1:$1048576,$A72-1,COLUMN('1-DATA'!AX71)),ROUND(INDEX('1-DATA'!$1:$1048576,IF(OR($B73="STD. DEVIATION",$C$1=1),$A73,$A73+1),COLUMN('1-DATA'!AX71)),IF($B73="STD. DEVIATION",2,$F$1))))</f>
        <v/>
      </c>
      <c r="AZ73" s="1" t="str">
        <f>IF(OR($B73="",AZ$7=""),"",IF($B73="MEANS",INDEX('1-DATA'!$1:$1048576,$A72-1,COLUMN('1-DATA'!AY71)),ROUND(INDEX('1-DATA'!$1:$1048576,IF(OR($B73="STD. DEVIATION",$C$1=1),$A73,$A73+1),COLUMN('1-DATA'!AY71)),IF($B73="STD. DEVIATION",2,$F$1))))</f>
        <v/>
      </c>
    </row>
    <row r="74" spans="1:52" x14ac:dyDescent="0.25">
      <c r="A74" s="11">
        <f t="shared" si="1"/>
        <v>208</v>
      </c>
      <c r="B74" s="1" t="str">
        <f>IF(B73="STD. DEVIATION",INDEX('1-DATA'!$1:$1048576,$A73-1,1),IF(INDEX('1-DATA'!$1:$1048576,$A74,1)&lt;&gt;"",INDEX('1-DATA'!$1:$1048576,$A74,1),""))</f>
        <v/>
      </c>
      <c r="C74" s="1" t="str">
        <f>IF(OR($B74="",C$7=""),"",IF($B74="MEANS",INDEX('1-DATA'!$1:$1048576,$A73-1,COLUMN('1-DATA'!B72)),ROUND(INDEX('1-DATA'!$1:$1048576,IF(OR($B74="STD. DEVIATION",$C$1=1),$A74,$A74+1),COLUMN('1-DATA'!B72)),IF($B74="STD. DEVIATION",2,$F$1))))</f>
        <v/>
      </c>
      <c r="D74" s="1" t="str">
        <f>IF(OR($B74="",D$7=""),"",IF($B74="MEANS",INDEX('1-DATA'!$1:$1048576,$A73-1,COLUMN('1-DATA'!C72)),ROUND(INDEX('1-DATA'!$1:$1048576,IF(OR($B74="STD. DEVIATION",$C$1=1),$A74,$A74+1),COLUMN('1-DATA'!C72)),IF($B74="STD. DEVIATION",2,$F$1))))</f>
        <v/>
      </c>
      <c r="E74" s="1" t="str">
        <f>IF(OR($B74="",E$7=""),"",IF($B74="MEANS",INDEX('1-DATA'!$1:$1048576,$A73-1,COLUMN('1-DATA'!D72)),ROUND(INDEX('1-DATA'!$1:$1048576,IF(OR($B74="STD. DEVIATION",$C$1=1),$A74,$A74+1),COLUMN('1-DATA'!D72)),IF($B74="STD. DEVIATION",2,$F$1))))</f>
        <v/>
      </c>
      <c r="F74" s="1" t="str">
        <f>IF(OR($B74="",F$7=""),"",IF($B74="MEANS",INDEX('1-DATA'!$1:$1048576,$A73-1,COLUMN('1-DATA'!E72)),ROUND(INDEX('1-DATA'!$1:$1048576,IF(OR($B74="STD. DEVIATION",$C$1=1),$A74,$A74+1),COLUMN('1-DATA'!E72)),IF($B74="STD. DEVIATION",2,$F$1))))</f>
        <v/>
      </c>
      <c r="G74" s="1" t="str">
        <f>IF(OR($B74="",G$7=""),"",IF($B74="MEANS",INDEX('1-DATA'!$1:$1048576,$A73-1,COLUMN('1-DATA'!F72)),ROUND(INDEX('1-DATA'!$1:$1048576,IF(OR($B74="STD. DEVIATION",$C$1=1),$A74,$A74+1),COLUMN('1-DATA'!F72)),IF($B74="STD. DEVIATION",2,$F$1))))</f>
        <v/>
      </c>
      <c r="H74" s="1" t="str">
        <f>IF(OR($B74="",H$7=""),"",IF($B74="MEANS",INDEX('1-DATA'!$1:$1048576,$A73-1,COLUMN('1-DATA'!G72)),ROUND(INDEX('1-DATA'!$1:$1048576,IF(OR($B74="STD. DEVIATION",$C$1=1),$A74,$A74+1),COLUMN('1-DATA'!G72)),IF($B74="STD. DEVIATION",2,$F$1))))</f>
        <v/>
      </c>
      <c r="I74" s="1" t="str">
        <f>IF(OR($B74="",I$7=""),"",IF($B74="MEANS",INDEX('1-DATA'!$1:$1048576,$A73-1,COLUMN('1-DATA'!H72)),ROUND(INDEX('1-DATA'!$1:$1048576,IF(OR($B74="STD. DEVIATION",$C$1=1),$A74,$A74+1),COLUMN('1-DATA'!H72)),IF($B74="STD. DEVIATION",2,$F$1))))</f>
        <v/>
      </c>
      <c r="J74" s="1" t="str">
        <f>IF(OR($B74="",J$7=""),"",IF($B74="MEANS",INDEX('1-DATA'!$1:$1048576,$A73-1,COLUMN('1-DATA'!I72)),ROUND(INDEX('1-DATA'!$1:$1048576,IF(OR($B74="STD. DEVIATION",$C$1=1),$A74,$A74+1),COLUMN('1-DATA'!I72)),IF($B74="STD. DEVIATION",2,$F$1))))</f>
        <v/>
      </c>
      <c r="K74" s="1" t="str">
        <f>IF(OR($B74="",K$7=""),"",IF($B74="MEANS",INDEX('1-DATA'!$1:$1048576,$A73-1,COLUMN('1-DATA'!J72)),ROUND(INDEX('1-DATA'!$1:$1048576,IF(OR($B74="STD. DEVIATION",$C$1=1),$A74,$A74+1),COLUMN('1-DATA'!J72)),IF($B74="STD. DEVIATION",2,$F$1))))</f>
        <v/>
      </c>
      <c r="L74" s="1" t="str">
        <f>IF(OR($B74="",L$7=""),"",IF($B74="MEANS",INDEX('1-DATA'!$1:$1048576,$A73-1,COLUMN('1-DATA'!K72)),ROUND(INDEX('1-DATA'!$1:$1048576,IF(OR($B74="STD. DEVIATION",$C$1=1),$A74,$A74+1),COLUMN('1-DATA'!K72)),IF($B74="STD. DEVIATION",2,$F$1))))</f>
        <v/>
      </c>
      <c r="M74" s="1" t="str">
        <f>IF(OR($B74="",M$7=""),"",IF($B74="MEANS",INDEX('1-DATA'!$1:$1048576,$A73-1,COLUMN('1-DATA'!L72)),ROUND(INDEX('1-DATA'!$1:$1048576,IF(OR($B74="STD. DEVIATION",$C$1=1),$A74,$A74+1),COLUMN('1-DATA'!L72)),IF($B74="STD. DEVIATION",2,$F$1))))</f>
        <v/>
      </c>
      <c r="N74" s="1" t="str">
        <f>IF(OR($B74="",N$7=""),"",IF($B74="MEANS",INDEX('1-DATA'!$1:$1048576,$A73-1,COLUMN('1-DATA'!M72)),ROUND(INDEX('1-DATA'!$1:$1048576,IF(OR($B74="STD. DEVIATION",$C$1=1),$A74,$A74+1),COLUMN('1-DATA'!M72)),IF($B74="STD. DEVIATION",2,$F$1))))</f>
        <v/>
      </c>
      <c r="O74" s="1" t="str">
        <f>IF(OR($B74="",O$7=""),"",IF($B74="MEANS",INDEX('1-DATA'!$1:$1048576,$A73-1,COLUMN('1-DATA'!N72)),ROUND(INDEX('1-DATA'!$1:$1048576,IF(OR($B74="STD. DEVIATION",$C$1=1),$A74,$A74+1),COLUMN('1-DATA'!N72)),IF($B74="STD. DEVIATION",2,$F$1))))</f>
        <v/>
      </c>
      <c r="P74" s="1" t="str">
        <f>IF(OR($B74="",P$7=""),"",IF($B74="MEANS",INDEX('1-DATA'!$1:$1048576,$A73-1,COLUMN('1-DATA'!O72)),ROUND(INDEX('1-DATA'!$1:$1048576,IF(OR($B74="STD. DEVIATION",$C$1=1),$A74,$A74+1),COLUMN('1-DATA'!O72)),IF($B74="STD. DEVIATION",2,$F$1))))</f>
        <v/>
      </c>
      <c r="Q74" s="1" t="str">
        <f>IF(OR($B74="",Q$7=""),"",IF($B74="MEANS",INDEX('1-DATA'!$1:$1048576,$A73-1,COLUMN('1-DATA'!P72)),ROUND(INDEX('1-DATA'!$1:$1048576,IF(OR($B74="STD. DEVIATION",$C$1=1),$A74,$A74+1),COLUMN('1-DATA'!P72)),IF($B74="STD. DEVIATION",2,$F$1))))</f>
        <v/>
      </c>
      <c r="R74" s="1" t="str">
        <f>IF(OR($B74="",R$7=""),"",IF($B74="MEANS",INDEX('1-DATA'!$1:$1048576,$A73-1,COLUMN('1-DATA'!Q72)),ROUND(INDEX('1-DATA'!$1:$1048576,IF(OR($B74="STD. DEVIATION",$C$1=1),$A74,$A74+1),COLUMN('1-DATA'!Q72)),IF($B74="STD. DEVIATION",2,$F$1))))</f>
        <v/>
      </c>
      <c r="S74" s="1" t="str">
        <f>IF(OR($B74="",S$7=""),"",IF($B74="MEANS",INDEX('1-DATA'!$1:$1048576,$A73-1,COLUMN('1-DATA'!R72)),ROUND(INDEX('1-DATA'!$1:$1048576,IF(OR($B74="STD. DEVIATION",$C$1=1),$A74,$A74+1),COLUMN('1-DATA'!R72)),IF($B74="STD. DEVIATION",2,$F$1))))</f>
        <v/>
      </c>
      <c r="T74" s="1" t="str">
        <f>IF(OR($B74="",T$7=""),"",IF($B74="MEANS",INDEX('1-DATA'!$1:$1048576,$A73-1,COLUMN('1-DATA'!S72)),ROUND(INDEX('1-DATA'!$1:$1048576,IF(OR($B74="STD. DEVIATION",$C$1=1),$A74,$A74+1),COLUMN('1-DATA'!S72)),IF($B74="STD. DEVIATION",2,$F$1))))</f>
        <v/>
      </c>
      <c r="U74" s="1" t="str">
        <f>IF(OR($B74="",U$7=""),"",IF($B74="MEANS",INDEX('1-DATA'!$1:$1048576,$A73-1,COLUMN('1-DATA'!T72)),ROUND(INDEX('1-DATA'!$1:$1048576,IF(OR($B74="STD. DEVIATION",$C$1=1),$A74,$A74+1),COLUMN('1-DATA'!T72)),IF($B74="STD. DEVIATION",2,$F$1))))</f>
        <v/>
      </c>
      <c r="V74" s="1" t="str">
        <f>IF(OR($B74="",V$7=""),"",IF($B74="MEANS",INDEX('1-DATA'!$1:$1048576,$A73-1,COLUMN('1-DATA'!U72)),ROUND(INDEX('1-DATA'!$1:$1048576,IF(OR($B74="STD. DEVIATION",$C$1=1),$A74,$A74+1),COLUMN('1-DATA'!U72)),IF($B74="STD. DEVIATION",2,$F$1))))</f>
        <v/>
      </c>
      <c r="W74" s="1" t="str">
        <f>IF(OR($B74="",W$7=""),"",IF($B74="MEANS",INDEX('1-DATA'!$1:$1048576,$A73-1,COLUMN('1-DATA'!V72)),ROUND(INDEX('1-DATA'!$1:$1048576,IF(OR($B74="STD. DEVIATION",$C$1=1),$A74,$A74+1),COLUMN('1-DATA'!V72)),IF($B74="STD. DEVIATION",2,$F$1))))</f>
        <v/>
      </c>
      <c r="X74" s="1" t="str">
        <f>IF(OR($B74="",X$7=""),"",IF($B74="MEANS",INDEX('1-DATA'!$1:$1048576,$A73-1,COLUMN('1-DATA'!W72)),ROUND(INDEX('1-DATA'!$1:$1048576,IF(OR($B74="STD. DEVIATION",$C$1=1),$A74,$A74+1),COLUMN('1-DATA'!W72)),IF($B74="STD. DEVIATION",2,$F$1))))</f>
        <v/>
      </c>
      <c r="Y74" s="1" t="str">
        <f>IF(OR($B74="",Y$7=""),"",IF($B74="MEANS",INDEX('1-DATA'!$1:$1048576,$A73-1,COLUMN('1-DATA'!X72)),ROUND(INDEX('1-DATA'!$1:$1048576,IF(OR($B74="STD. DEVIATION",$C$1=1),$A74,$A74+1),COLUMN('1-DATA'!X72)),IF($B74="STD. DEVIATION",2,$F$1))))</f>
        <v/>
      </c>
      <c r="Z74" s="1" t="str">
        <f>IF(OR($B74="",Z$7=""),"",IF($B74="MEANS",INDEX('1-DATA'!$1:$1048576,$A73-1,COLUMN('1-DATA'!Y72)),ROUND(INDEX('1-DATA'!$1:$1048576,IF(OR($B74="STD. DEVIATION",$C$1=1),$A74,$A74+1),COLUMN('1-DATA'!Y72)),IF($B74="STD. DEVIATION",2,$F$1))))</f>
        <v/>
      </c>
      <c r="AA74" s="1" t="str">
        <f>IF(OR($B74="",AA$7=""),"",IF($B74="MEANS",INDEX('1-DATA'!$1:$1048576,$A73-1,COLUMN('1-DATA'!Z72)),ROUND(INDEX('1-DATA'!$1:$1048576,IF(OR($B74="STD. DEVIATION",$C$1=1),$A74,$A74+1),COLUMN('1-DATA'!Z72)),IF($B74="STD. DEVIATION",2,$F$1))))</f>
        <v/>
      </c>
      <c r="AB74" s="1" t="str">
        <f>IF(OR($B74="",AB$7=""),"",IF($B74="MEANS",INDEX('1-DATA'!$1:$1048576,$A73-1,COLUMN('1-DATA'!AA72)),ROUND(INDEX('1-DATA'!$1:$1048576,IF(OR($B74="STD. DEVIATION",$C$1=1),$A74,$A74+1),COLUMN('1-DATA'!AA72)),IF($B74="STD. DEVIATION",2,$F$1))))</f>
        <v/>
      </c>
      <c r="AC74" s="1" t="str">
        <f>IF(OR($B74="",AC$7=""),"",IF($B74="MEANS",INDEX('1-DATA'!$1:$1048576,$A73-1,COLUMN('1-DATA'!AB72)),ROUND(INDEX('1-DATA'!$1:$1048576,IF(OR($B74="STD. DEVIATION",$C$1=1),$A74,$A74+1),COLUMN('1-DATA'!AB72)),IF($B74="STD. DEVIATION",2,$F$1))))</f>
        <v/>
      </c>
      <c r="AD74" s="1" t="str">
        <f>IF(OR($B74="",AD$7=""),"",IF($B74="MEANS",INDEX('1-DATA'!$1:$1048576,$A73-1,COLUMN('1-DATA'!AC72)),ROUND(INDEX('1-DATA'!$1:$1048576,IF(OR($B74="STD. DEVIATION",$C$1=1),$A74,$A74+1),COLUMN('1-DATA'!AC72)),IF($B74="STD. DEVIATION",2,$F$1))))</f>
        <v/>
      </c>
      <c r="AE74" s="1" t="str">
        <f>IF(OR($B74="",AE$7=""),"",IF($B74="MEANS",INDEX('1-DATA'!$1:$1048576,$A73-1,COLUMN('1-DATA'!AD72)),ROUND(INDEX('1-DATA'!$1:$1048576,IF(OR($B74="STD. DEVIATION",$C$1=1),$A74,$A74+1),COLUMN('1-DATA'!AD72)),IF($B74="STD. DEVIATION",2,$F$1))))</f>
        <v/>
      </c>
      <c r="AF74" s="1" t="str">
        <f>IF(OR($B74="",AF$7=""),"",IF($B74="MEANS",INDEX('1-DATA'!$1:$1048576,$A73-1,COLUMN('1-DATA'!AE72)),ROUND(INDEX('1-DATA'!$1:$1048576,IF(OR($B74="STD. DEVIATION",$C$1=1),$A74,$A74+1),COLUMN('1-DATA'!AE72)),IF($B74="STD. DEVIATION",2,$F$1))))</f>
        <v/>
      </c>
      <c r="AG74" s="1" t="str">
        <f>IF(OR($B74="",AG$7=""),"",IF($B74="MEANS",INDEX('1-DATA'!$1:$1048576,$A73-1,COLUMN('1-DATA'!AF72)),ROUND(INDEX('1-DATA'!$1:$1048576,IF(OR($B74="STD. DEVIATION",$C$1=1),$A74,$A74+1),COLUMN('1-DATA'!AF72)),IF($B74="STD. DEVIATION",2,$F$1))))</f>
        <v/>
      </c>
      <c r="AH74" s="1" t="str">
        <f>IF(OR($B74="",AH$7=""),"",IF($B74="MEANS",INDEX('1-DATA'!$1:$1048576,$A73-1,COLUMN('1-DATA'!AG72)),ROUND(INDEX('1-DATA'!$1:$1048576,IF(OR($B74="STD. DEVIATION",$C$1=1),$A74,$A74+1),COLUMN('1-DATA'!AG72)),IF($B74="STD. DEVIATION",2,$F$1))))</f>
        <v/>
      </c>
      <c r="AI74" s="1" t="str">
        <f>IF(OR($B74="",AI$7=""),"",IF($B74="MEANS",INDEX('1-DATA'!$1:$1048576,$A73-1,COLUMN('1-DATA'!AH72)),ROUND(INDEX('1-DATA'!$1:$1048576,IF(OR($B74="STD. DEVIATION",$C$1=1),$A74,$A74+1),COLUMN('1-DATA'!AH72)),IF($B74="STD. DEVIATION",2,$F$1))))</f>
        <v/>
      </c>
      <c r="AJ74" s="1" t="str">
        <f>IF(OR($B74="",AJ$7=""),"",IF($B74="MEANS",INDEX('1-DATA'!$1:$1048576,$A73-1,COLUMN('1-DATA'!AI72)),ROUND(INDEX('1-DATA'!$1:$1048576,IF(OR($B74="STD. DEVIATION",$C$1=1),$A74,$A74+1),COLUMN('1-DATA'!AI72)),IF($B74="STD. DEVIATION",2,$F$1))))</f>
        <v/>
      </c>
      <c r="AK74" s="1" t="str">
        <f>IF(OR($B74="",AK$7=""),"",IF($B74="MEANS",INDEX('1-DATA'!$1:$1048576,$A73-1,COLUMN('1-DATA'!AJ72)),ROUND(INDEX('1-DATA'!$1:$1048576,IF(OR($B74="STD. DEVIATION",$C$1=1),$A74,$A74+1),COLUMN('1-DATA'!AJ72)),IF($B74="STD. DEVIATION",2,$F$1))))</f>
        <v/>
      </c>
      <c r="AL74" s="1" t="str">
        <f>IF(OR($B74="",AL$7=""),"",IF($B74="MEANS",INDEX('1-DATA'!$1:$1048576,$A73-1,COLUMN('1-DATA'!AK72)),ROUND(INDEX('1-DATA'!$1:$1048576,IF(OR($B74="STD. DEVIATION",$C$1=1),$A74,$A74+1),COLUMN('1-DATA'!AK72)),IF($B74="STD. DEVIATION",2,$F$1))))</f>
        <v/>
      </c>
      <c r="AM74" s="1" t="str">
        <f>IF(OR($B74="",AM$7=""),"",IF($B74="MEANS",INDEX('1-DATA'!$1:$1048576,$A73-1,COLUMN('1-DATA'!AL72)),ROUND(INDEX('1-DATA'!$1:$1048576,IF(OR($B74="STD. DEVIATION",$C$1=1),$A74,$A74+1),COLUMN('1-DATA'!AL72)),IF($B74="STD. DEVIATION",2,$F$1))))</f>
        <v/>
      </c>
      <c r="AN74" s="1" t="str">
        <f>IF(OR($B74="",AN$7=""),"",IF($B74="MEANS",INDEX('1-DATA'!$1:$1048576,$A73-1,COLUMN('1-DATA'!AM72)),ROUND(INDEX('1-DATA'!$1:$1048576,IF(OR($B74="STD. DEVIATION",$C$1=1),$A74,$A74+1),COLUMN('1-DATA'!AM72)),IF($B74="STD. DEVIATION",2,$F$1))))</f>
        <v/>
      </c>
      <c r="AO74" s="1" t="str">
        <f>IF(OR($B74="",AO$7=""),"",IF($B74="MEANS",INDEX('1-DATA'!$1:$1048576,$A73-1,COLUMN('1-DATA'!AN72)),ROUND(INDEX('1-DATA'!$1:$1048576,IF(OR($B74="STD. DEVIATION",$C$1=1),$A74,$A74+1),COLUMN('1-DATA'!AN72)),IF($B74="STD. DEVIATION",2,$F$1))))</f>
        <v/>
      </c>
      <c r="AP74" s="1" t="str">
        <f>IF(OR($B74="",AP$7=""),"",IF($B74="MEANS",INDEX('1-DATA'!$1:$1048576,$A73-1,COLUMN('1-DATA'!AO72)),ROUND(INDEX('1-DATA'!$1:$1048576,IF(OR($B74="STD. DEVIATION",$C$1=1),$A74,$A74+1),COLUMN('1-DATA'!AO72)),IF($B74="STD. DEVIATION",2,$F$1))))</f>
        <v/>
      </c>
      <c r="AQ74" s="1" t="str">
        <f>IF(OR($B74="",AQ$7=""),"",IF($B74="MEANS",INDEX('1-DATA'!$1:$1048576,$A73-1,COLUMN('1-DATA'!AP72)),ROUND(INDEX('1-DATA'!$1:$1048576,IF(OR($B74="STD. DEVIATION",$C$1=1),$A74,$A74+1),COLUMN('1-DATA'!AP72)),IF($B74="STD. DEVIATION",2,$F$1))))</f>
        <v/>
      </c>
      <c r="AR74" s="1" t="str">
        <f>IF(OR($B74="",AR$7=""),"",IF($B74="MEANS",INDEX('1-DATA'!$1:$1048576,$A73-1,COLUMN('1-DATA'!AQ72)),ROUND(INDEX('1-DATA'!$1:$1048576,IF(OR($B74="STD. DEVIATION",$C$1=1),$A74,$A74+1),COLUMN('1-DATA'!AQ72)),IF($B74="STD. DEVIATION",2,$F$1))))</f>
        <v/>
      </c>
      <c r="AS74" s="1" t="str">
        <f>IF(OR($B74="",AS$7=""),"",IF($B74="MEANS",INDEX('1-DATA'!$1:$1048576,$A73-1,COLUMN('1-DATA'!AR72)),ROUND(INDEX('1-DATA'!$1:$1048576,IF(OR($B74="STD. DEVIATION",$C$1=1),$A74,$A74+1),COLUMN('1-DATA'!AR72)),IF($B74="STD. DEVIATION",2,$F$1))))</f>
        <v/>
      </c>
      <c r="AT74" s="1" t="str">
        <f>IF(OR($B74="",AT$7=""),"",IF($B74="MEANS",INDEX('1-DATA'!$1:$1048576,$A73-1,COLUMN('1-DATA'!AS72)),ROUND(INDEX('1-DATA'!$1:$1048576,IF(OR($B74="STD. DEVIATION",$C$1=1),$A74,$A74+1),COLUMN('1-DATA'!AS72)),IF($B74="STD. DEVIATION",2,$F$1))))</f>
        <v/>
      </c>
      <c r="AU74" s="1" t="str">
        <f>IF(OR($B74="",AU$7=""),"",IF($B74="MEANS",INDEX('1-DATA'!$1:$1048576,$A73-1,COLUMN('1-DATA'!AT72)),ROUND(INDEX('1-DATA'!$1:$1048576,IF(OR($B74="STD. DEVIATION",$C$1=1),$A74,$A74+1),COLUMN('1-DATA'!AT72)),IF($B74="STD. DEVIATION",2,$F$1))))</f>
        <v/>
      </c>
      <c r="AV74" s="1" t="str">
        <f>IF(OR($B74="",AV$7=""),"",IF($B74="MEANS",INDEX('1-DATA'!$1:$1048576,$A73-1,COLUMN('1-DATA'!AU72)),ROUND(INDEX('1-DATA'!$1:$1048576,IF(OR($B74="STD. DEVIATION",$C$1=1),$A74,$A74+1),COLUMN('1-DATA'!AU72)),IF($B74="STD. DEVIATION",2,$F$1))))</f>
        <v/>
      </c>
      <c r="AW74" s="1" t="str">
        <f>IF(OR($B74="",AW$7=""),"",IF($B74="MEANS",INDEX('1-DATA'!$1:$1048576,$A73-1,COLUMN('1-DATA'!AV72)),ROUND(INDEX('1-DATA'!$1:$1048576,IF(OR($B74="STD. DEVIATION",$C$1=1),$A74,$A74+1),COLUMN('1-DATA'!AV72)),IF($B74="STD. DEVIATION",2,$F$1))))</f>
        <v/>
      </c>
      <c r="AX74" s="1" t="str">
        <f>IF(OR($B74="",AX$7=""),"",IF($B74="MEANS",INDEX('1-DATA'!$1:$1048576,$A73-1,COLUMN('1-DATA'!AW72)),ROUND(INDEX('1-DATA'!$1:$1048576,IF(OR($B74="STD. DEVIATION",$C$1=1),$A74,$A74+1),COLUMN('1-DATA'!AW72)),IF($B74="STD. DEVIATION",2,$F$1))))</f>
        <v/>
      </c>
      <c r="AY74" s="1" t="str">
        <f>IF(OR($B74="",AY$7=""),"",IF($B74="MEANS",INDEX('1-DATA'!$1:$1048576,$A73-1,COLUMN('1-DATA'!AX72)),ROUND(INDEX('1-DATA'!$1:$1048576,IF(OR($B74="STD. DEVIATION",$C$1=1),$A74,$A74+1),COLUMN('1-DATA'!AX72)),IF($B74="STD. DEVIATION",2,$F$1))))</f>
        <v/>
      </c>
      <c r="AZ74" s="1" t="str">
        <f>IF(OR($B74="",AZ$7=""),"",IF($B74="MEANS",INDEX('1-DATA'!$1:$1048576,$A73-1,COLUMN('1-DATA'!AY72)),ROUND(INDEX('1-DATA'!$1:$1048576,IF(OR($B74="STD. DEVIATION",$C$1=1),$A74,$A74+1),COLUMN('1-DATA'!AY72)),IF($B74="STD. DEVIATION",2,$F$1))))</f>
        <v/>
      </c>
    </row>
    <row r="75" spans="1:52" x14ac:dyDescent="0.25">
      <c r="A75" s="11">
        <f t="shared" si="1"/>
        <v>211</v>
      </c>
      <c r="B75" s="1" t="str">
        <f>IF(B74="STD. DEVIATION",INDEX('1-DATA'!$1:$1048576,$A74-1,1),IF(INDEX('1-DATA'!$1:$1048576,$A75,1)&lt;&gt;"",INDEX('1-DATA'!$1:$1048576,$A75,1),""))</f>
        <v/>
      </c>
      <c r="C75" s="1" t="str">
        <f>IF(OR($B75="",C$7=""),"",IF($B75="MEANS",INDEX('1-DATA'!$1:$1048576,$A74-1,COLUMN('1-DATA'!B73)),ROUND(INDEX('1-DATA'!$1:$1048576,IF(OR($B75="STD. DEVIATION",$C$1=1),$A75,$A75+1),COLUMN('1-DATA'!B73)),IF($B75="STD. DEVIATION",2,$F$1))))</f>
        <v/>
      </c>
      <c r="D75" s="1" t="str">
        <f>IF(OR($B75="",D$7=""),"",IF($B75="MEANS",INDEX('1-DATA'!$1:$1048576,$A74-1,COLUMN('1-DATA'!C73)),ROUND(INDEX('1-DATA'!$1:$1048576,IF(OR($B75="STD. DEVIATION",$C$1=1),$A75,$A75+1),COLUMN('1-DATA'!C73)),IF($B75="STD. DEVIATION",2,$F$1))))</f>
        <v/>
      </c>
      <c r="E75" s="1" t="str">
        <f>IF(OR($B75="",E$7=""),"",IF($B75="MEANS",INDEX('1-DATA'!$1:$1048576,$A74-1,COLUMN('1-DATA'!D73)),ROUND(INDEX('1-DATA'!$1:$1048576,IF(OR($B75="STD. DEVIATION",$C$1=1),$A75,$A75+1),COLUMN('1-DATA'!D73)),IF($B75="STD. DEVIATION",2,$F$1))))</f>
        <v/>
      </c>
      <c r="F75" s="1" t="str">
        <f>IF(OR($B75="",F$7=""),"",IF($B75="MEANS",INDEX('1-DATA'!$1:$1048576,$A74-1,COLUMN('1-DATA'!E73)),ROUND(INDEX('1-DATA'!$1:$1048576,IF(OR($B75="STD. DEVIATION",$C$1=1),$A75,$A75+1),COLUMN('1-DATA'!E73)),IF($B75="STD. DEVIATION",2,$F$1))))</f>
        <v/>
      </c>
      <c r="G75" s="1" t="str">
        <f>IF(OR($B75="",G$7=""),"",IF($B75="MEANS",INDEX('1-DATA'!$1:$1048576,$A74-1,COLUMN('1-DATA'!F73)),ROUND(INDEX('1-DATA'!$1:$1048576,IF(OR($B75="STD. DEVIATION",$C$1=1),$A75,$A75+1),COLUMN('1-DATA'!F73)),IF($B75="STD. DEVIATION",2,$F$1))))</f>
        <v/>
      </c>
      <c r="H75" s="1" t="str">
        <f>IF(OR($B75="",H$7=""),"",IF($B75="MEANS",INDEX('1-DATA'!$1:$1048576,$A74-1,COLUMN('1-DATA'!G73)),ROUND(INDEX('1-DATA'!$1:$1048576,IF(OR($B75="STD. DEVIATION",$C$1=1),$A75,$A75+1),COLUMN('1-DATA'!G73)),IF($B75="STD. DEVIATION",2,$F$1))))</f>
        <v/>
      </c>
      <c r="I75" s="1" t="str">
        <f>IF(OR($B75="",I$7=""),"",IF($B75="MEANS",INDEX('1-DATA'!$1:$1048576,$A74-1,COLUMN('1-DATA'!H73)),ROUND(INDEX('1-DATA'!$1:$1048576,IF(OR($B75="STD. DEVIATION",$C$1=1),$A75,$A75+1),COLUMN('1-DATA'!H73)),IF($B75="STD. DEVIATION",2,$F$1))))</f>
        <v/>
      </c>
      <c r="J75" s="1" t="str">
        <f>IF(OR($B75="",J$7=""),"",IF($B75="MEANS",INDEX('1-DATA'!$1:$1048576,$A74-1,COLUMN('1-DATA'!I73)),ROUND(INDEX('1-DATA'!$1:$1048576,IF(OR($B75="STD. DEVIATION",$C$1=1),$A75,$A75+1),COLUMN('1-DATA'!I73)),IF($B75="STD. DEVIATION",2,$F$1))))</f>
        <v/>
      </c>
      <c r="K75" s="1" t="str">
        <f>IF(OR($B75="",K$7=""),"",IF($B75="MEANS",INDEX('1-DATA'!$1:$1048576,$A74-1,COLUMN('1-DATA'!J73)),ROUND(INDEX('1-DATA'!$1:$1048576,IF(OR($B75="STD. DEVIATION",$C$1=1),$A75,$A75+1),COLUMN('1-DATA'!J73)),IF($B75="STD. DEVIATION",2,$F$1))))</f>
        <v/>
      </c>
      <c r="L75" s="1" t="str">
        <f>IF(OR($B75="",L$7=""),"",IF($B75="MEANS",INDEX('1-DATA'!$1:$1048576,$A74-1,COLUMN('1-DATA'!K73)),ROUND(INDEX('1-DATA'!$1:$1048576,IF(OR($B75="STD. DEVIATION",$C$1=1),$A75,$A75+1),COLUMN('1-DATA'!K73)),IF($B75="STD. DEVIATION",2,$F$1))))</f>
        <v/>
      </c>
      <c r="M75" s="1" t="str">
        <f>IF(OR($B75="",M$7=""),"",IF($B75="MEANS",INDEX('1-DATA'!$1:$1048576,$A74-1,COLUMN('1-DATA'!L73)),ROUND(INDEX('1-DATA'!$1:$1048576,IF(OR($B75="STD. DEVIATION",$C$1=1),$A75,$A75+1),COLUMN('1-DATA'!L73)),IF($B75="STD. DEVIATION",2,$F$1))))</f>
        <v/>
      </c>
      <c r="N75" s="1" t="str">
        <f>IF(OR($B75="",N$7=""),"",IF($B75="MEANS",INDEX('1-DATA'!$1:$1048576,$A74-1,COLUMN('1-DATA'!M73)),ROUND(INDEX('1-DATA'!$1:$1048576,IF(OR($B75="STD. DEVIATION",$C$1=1),$A75,$A75+1),COLUMN('1-DATA'!M73)),IF($B75="STD. DEVIATION",2,$F$1))))</f>
        <v/>
      </c>
      <c r="O75" s="1" t="str">
        <f>IF(OR($B75="",O$7=""),"",IF($B75="MEANS",INDEX('1-DATA'!$1:$1048576,$A74-1,COLUMN('1-DATA'!N73)),ROUND(INDEX('1-DATA'!$1:$1048576,IF(OR($B75="STD. DEVIATION",$C$1=1),$A75,$A75+1),COLUMN('1-DATA'!N73)),IF($B75="STD. DEVIATION",2,$F$1))))</f>
        <v/>
      </c>
      <c r="P75" s="1" t="str">
        <f>IF(OR($B75="",P$7=""),"",IF($B75="MEANS",INDEX('1-DATA'!$1:$1048576,$A74-1,COLUMN('1-DATA'!O73)),ROUND(INDEX('1-DATA'!$1:$1048576,IF(OR($B75="STD. DEVIATION",$C$1=1),$A75,$A75+1),COLUMN('1-DATA'!O73)),IF($B75="STD. DEVIATION",2,$F$1))))</f>
        <v/>
      </c>
      <c r="Q75" s="1" t="str">
        <f>IF(OR($B75="",Q$7=""),"",IF($B75="MEANS",INDEX('1-DATA'!$1:$1048576,$A74-1,COLUMN('1-DATA'!P73)),ROUND(INDEX('1-DATA'!$1:$1048576,IF(OR($B75="STD. DEVIATION",$C$1=1),$A75,$A75+1),COLUMN('1-DATA'!P73)),IF($B75="STD. DEVIATION",2,$F$1))))</f>
        <v/>
      </c>
      <c r="R75" s="1" t="str">
        <f>IF(OR($B75="",R$7=""),"",IF($B75="MEANS",INDEX('1-DATA'!$1:$1048576,$A74-1,COLUMN('1-DATA'!Q73)),ROUND(INDEX('1-DATA'!$1:$1048576,IF(OR($B75="STD. DEVIATION",$C$1=1),$A75,$A75+1),COLUMN('1-DATA'!Q73)),IF($B75="STD. DEVIATION",2,$F$1))))</f>
        <v/>
      </c>
      <c r="S75" s="1" t="str">
        <f>IF(OR($B75="",S$7=""),"",IF($B75="MEANS",INDEX('1-DATA'!$1:$1048576,$A74-1,COLUMN('1-DATA'!R73)),ROUND(INDEX('1-DATA'!$1:$1048576,IF(OR($B75="STD. DEVIATION",$C$1=1),$A75,$A75+1),COLUMN('1-DATA'!R73)),IF($B75="STD. DEVIATION",2,$F$1))))</f>
        <v/>
      </c>
      <c r="T75" s="1" t="str">
        <f>IF(OR($B75="",T$7=""),"",IF($B75="MEANS",INDEX('1-DATA'!$1:$1048576,$A74-1,COLUMN('1-DATA'!S73)),ROUND(INDEX('1-DATA'!$1:$1048576,IF(OR($B75="STD. DEVIATION",$C$1=1),$A75,$A75+1),COLUMN('1-DATA'!S73)),IF($B75="STD. DEVIATION",2,$F$1))))</f>
        <v/>
      </c>
      <c r="U75" s="1" t="str">
        <f>IF(OR($B75="",U$7=""),"",IF($B75="MEANS",INDEX('1-DATA'!$1:$1048576,$A74-1,COLUMN('1-DATA'!T73)),ROUND(INDEX('1-DATA'!$1:$1048576,IF(OR($B75="STD. DEVIATION",$C$1=1),$A75,$A75+1),COLUMN('1-DATA'!T73)),IF($B75="STD. DEVIATION",2,$F$1))))</f>
        <v/>
      </c>
      <c r="V75" s="1" t="str">
        <f>IF(OR($B75="",V$7=""),"",IF($B75="MEANS",INDEX('1-DATA'!$1:$1048576,$A74-1,COLUMN('1-DATA'!U73)),ROUND(INDEX('1-DATA'!$1:$1048576,IF(OR($B75="STD. DEVIATION",$C$1=1),$A75,$A75+1),COLUMN('1-DATA'!U73)),IF($B75="STD. DEVIATION",2,$F$1))))</f>
        <v/>
      </c>
      <c r="W75" s="1" t="str">
        <f>IF(OR($B75="",W$7=""),"",IF($B75="MEANS",INDEX('1-DATA'!$1:$1048576,$A74-1,COLUMN('1-DATA'!V73)),ROUND(INDEX('1-DATA'!$1:$1048576,IF(OR($B75="STD. DEVIATION",$C$1=1),$A75,$A75+1),COLUMN('1-DATA'!V73)),IF($B75="STD. DEVIATION",2,$F$1))))</f>
        <v/>
      </c>
      <c r="X75" s="1" t="str">
        <f>IF(OR($B75="",X$7=""),"",IF($B75="MEANS",INDEX('1-DATA'!$1:$1048576,$A74-1,COLUMN('1-DATA'!W73)),ROUND(INDEX('1-DATA'!$1:$1048576,IF(OR($B75="STD. DEVIATION",$C$1=1),$A75,$A75+1),COLUMN('1-DATA'!W73)),IF($B75="STD. DEVIATION",2,$F$1))))</f>
        <v/>
      </c>
      <c r="Y75" s="1" t="str">
        <f>IF(OR($B75="",Y$7=""),"",IF($B75="MEANS",INDEX('1-DATA'!$1:$1048576,$A74-1,COLUMN('1-DATA'!X73)),ROUND(INDEX('1-DATA'!$1:$1048576,IF(OR($B75="STD. DEVIATION",$C$1=1),$A75,$A75+1),COLUMN('1-DATA'!X73)),IF($B75="STD. DEVIATION",2,$F$1))))</f>
        <v/>
      </c>
      <c r="Z75" s="1" t="str">
        <f>IF(OR($B75="",Z$7=""),"",IF($B75="MEANS",INDEX('1-DATA'!$1:$1048576,$A74-1,COLUMN('1-DATA'!Y73)),ROUND(INDEX('1-DATA'!$1:$1048576,IF(OR($B75="STD. DEVIATION",$C$1=1),$A75,$A75+1),COLUMN('1-DATA'!Y73)),IF($B75="STD. DEVIATION",2,$F$1))))</f>
        <v/>
      </c>
      <c r="AA75" s="1" t="str">
        <f>IF(OR($B75="",AA$7=""),"",IF($B75="MEANS",INDEX('1-DATA'!$1:$1048576,$A74-1,COLUMN('1-DATA'!Z73)),ROUND(INDEX('1-DATA'!$1:$1048576,IF(OR($B75="STD. DEVIATION",$C$1=1),$A75,$A75+1),COLUMN('1-DATA'!Z73)),IF($B75="STD. DEVIATION",2,$F$1))))</f>
        <v/>
      </c>
      <c r="AB75" s="1" t="str">
        <f>IF(OR($B75="",AB$7=""),"",IF($B75="MEANS",INDEX('1-DATA'!$1:$1048576,$A74-1,COLUMN('1-DATA'!AA73)),ROUND(INDEX('1-DATA'!$1:$1048576,IF(OR($B75="STD. DEVIATION",$C$1=1),$A75,$A75+1),COLUMN('1-DATA'!AA73)),IF($B75="STD. DEVIATION",2,$F$1))))</f>
        <v/>
      </c>
      <c r="AC75" s="1" t="str">
        <f>IF(OR($B75="",AC$7=""),"",IF($B75="MEANS",INDEX('1-DATA'!$1:$1048576,$A74-1,COLUMN('1-DATA'!AB73)),ROUND(INDEX('1-DATA'!$1:$1048576,IF(OR($B75="STD. DEVIATION",$C$1=1),$A75,$A75+1),COLUMN('1-DATA'!AB73)),IF($B75="STD. DEVIATION",2,$F$1))))</f>
        <v/>
      </c>
      <c r="AD75" s="1" t="str">
        <f>IF(OR($B75="",AD$7=""),"",IF($B75="MEANS",INDEX('1-DATA'!$1:$1048576,$A74-1,COLUMN('1-DATA'!AC73)),ROUND(INDEX('1-DATA'!$1:$1048576,IF(OR($B75="STD. DEVIATION",$C$1=1),$A75,$A75+1),COLUMN('1-DATA'!AC73)),IF($B75="STD. DEVIATION",2,$F$1))))</f>
        <v/>
      </c>
      <c r="AE75" s="1" t="str">
        <f>IF(OR($B75="",AE$7=""),"",IF($B75="MEANS",INDEX('1-DATA'!$1:$1048576,$A74-1,COLUMN('1-DATA'!AD73)),ROUND(INDEX('1-DATA'!$1:$1048576,IF(OR($B75="STD. DEVIATION",$C$1=1),$A75,$A75+1),COLUMN('1-DATA'!AD73)),IF($B75="STD. DEVIATION",2,$F$1))))</f>
        <v/>
      </c>
      <c r="AF75" s="1" t="str">
        <f>IF(OR($B75="",AF$7=""),"",IF($B75="MEANS",INDEX('1-DATA'!$1:$1048576,$A74-1,COLUMN('1-DATA'!AE73)),ROUND(INDEX('1-DATA'!$1:$1048576,IF(OR($B75="STD. DEVIATION",$C$1=1),$A75,$A75+1),COLUMN('1-DATA'!AE73)),IF($B75="STD. DEVIATION",2,$F$1))))</f>
        <v/>
      </c>
      <c r="AG75" s="1" t="str">
        <f>IF(OR($B75="",AG$7=""),"",IF($B75="MEANS",INDEX('1-DATA'!$1:$1048576,$A74-1,COLUMN('1-DATA'!AF73)),ROUND(INDEX('1-DATA'!$1:$1048576,IF(OR($B75="STD. DEVIATION",$C$1=1),$A75,$A75+1),COLUMN('1-DATA'!AF73)),IF($B75="STD. DEVIATION",2,$F$1))))</f>
        <v/>
      </c>
      <c r="AH75" s="1" t="str">
        <f>IF(OR($B75="",AH$7=""),"",IF($B75="MEANS",INDEX('1-DATA'!$1:$1048576,$A74-1,COLUMN('1-DATA'!AG73)),ROUND(INDEX('1-DATA'!$1:$1048576,IF(OR($B75="STD. DEVIATION",$C$1=1),$A75,$A75+1),COLUMN('1-DATA'!AG73)),IF($B75="STD. DEVIATION",2,$F$1))))</f>
        <v/>
      </c>
      <c r="AI75" s="1" t="str">
        <f>IF(OR($B75="",AI$7=""),"",IF($B75="MEANS",INDEX('1-DATA'!$1:$1048576,$A74-1,COLUMN('1-DATA'!AH73)),ROUND(INDEX('1-DATA'!$1:$1048576,IF(OR($B75="STD. DEVIATION",$C$1=1),$A75,$A75+1),COLUMN('1-DATA'!AH73)),IF($B75="STD. DEVIATION",2,$F$1))))</f>
        <v/>
      </c>
      <c r="AJ75" s="1" t="str">
        <f>IF(OR($B75="",AJ$7=""),"",IF($B75="MEANS",INDEX('1-DATA'!$1:$1048576,$A74-1,COLUMN('1-DATA'!AI73)),ROUND(INDEX('1-DATA'!$1:$1048576,IF(OR($B75="STD. DEVIATION",$C$1=1),$A75,$A75+1),COLUMN('1-DATA'!AI73)),IF($B75="STD. DEVIATION",2,$F$1))))</f>
        <v/>
      </c>
      <c r="AK75" s="1" t="str">
        <f>IF(OR($B75="",AK$7=""),"",IF($B75="MEANS",INDEX('1-DATA'!$1:$1048576,$A74-1,COLUMN('1-DATA'!AJ73)),ROUND(INDEX('1-DATA'!$1:$1048576,IF(OR($B75="STD. DEVIATION",$C$1=1),$A75,$A75+1),COLUMN('1-DATA'!AJ73)),IF($B75="STD. DEVIATION",2,$F$1))))</f>
        <v/>
      </c>
      <c r="AL75" s="1" t="str">
        <f>IF(OR($B75="",AL$7=""),"",IF($B75="MEANS",INDEX('1-DATA'!$1:$1048576,$A74-1,COLUMN('1-DATA'!AK73)),ROUND(INDEX('1-DATA'!$1:$1048576,IF(OR($B75="STD. DEVIATION",$C$1=1),$A75,$A75+1),COLUMN('1-DATA'!AK73)),IF($B75="STD. DEVIATION",2,$F$1))))</f>
        <v/>
      </c>
      <c r="AM75" s="1" t="str">
        <f>IF(OR($B75="",AM$7=""),"",IF($B75="MEANS",INDEX('1-DATA'!$1:$1048576,$A74-1,COLUMN('1-DATA'!AL73)),ROUND(INDEX('1-DATA'!$1:$1048576,IF(OR($B75="STD. DEVIATION",$C$1=1),$A75,$A75+1),COLUMN('1-DATA'!AL73)),IF($B75="STD. DEVIATION",2,$F$1))))</f>
        <v/>
      </c>
      <c r="AN75" s="1" t="str">
        <f>IF(OR($B75="",AN$7=""),"",IF($B75="MEANS",INDEX('1-DATA'!$1:$1048576,$A74-1,COLUMN('1-DATA'!AM73)),ROUND(INDEX('1-DATA'!$1:$1048576,IF(OR($B75="STD. DEVIATION",$C$1=1),$A75,$A75+1),COLUMN('1-DATA'!AM73)),IF($B75="STD. DEVIATION",2,$F$1))))</f>
        <v/>
      </c>
      <c r="AO75" s="1" t="str">
        <f>IF(OR($B75="",AO$7=""),"",IF($B75="MEANS",INDEX('1-DATA'!$1:$1048576,$A74-1,COLUMN('1-DATA'!AN73)),ROUND(INDEX('1-DATA'!$1:$1048576,IF(OR($B75="STD. DEVIATION",$C$1=1),$A75,$A75+1),COLUMN('1-DATA'!AN73)),IF($B75="STD. DEVIATION",2,$F$1))))</f>
        <v/>
      </c>
      <c r="AP75" s="1" t="str">
        <f>IF(OR($B75="",AP$7=""),"",IF($B75="MEANS",INDEX('1-DATA'!$1:$1048576,$A74-1,COLUMN('1-DATA'!AO73)),ROUND(INDEX('1-DATA'!$1:$1048576,IF(OR($B75="STD. DEVIATION",$C$1=1),$A75,$A75+1),COLUMN('1-DATA'!AO73)),IF($B75="STD. DEVIATION",2,$F$1))))</f>
        <v/>
      </c>
      <c r="AQ75" s="1" t="str">
        <f>IF(OR($B75="",AQ$7=""),"",IF($B75="MEANS",INDEX('1-DATA'!$1:$1048576,$A74-1,COLUMN('1-DATA'!AP73)),ROUND(INDEX('1-DATA'!$1:$1048576,IF(OR($B75="STD. DEVIATION",$C$1=1),$A75,$A75+1),COLUMN('1-DATA'!AP73)),IF($B75="STD. DEVIATION",2,$F$1))))</f>
        <v/>
      </c>
      <c r="AR75" s="1" t="str">
        <f>IF(OR($B75="",AR$7=""),"",IF($B75="MEANS",INDEX('1-DATA'!$1:$1048576,$A74-1,COLUMN('1-DATA'!AQ73)),ROUND(INDEX('1-DATA'!$1:$1048576,IF(OR($B75="STD. DEVIATION",$C$1=1),$A75,$A75+1),COLUMN('1-DATA'!AQ73)),IF($B75="STD. DEVIATION",2,$F$1))))</f>
        <v/>
      </c>
      <c r="AS75" s="1" t="str">
        <f>IF(OR($B75="",AS$7=""),"",IF($B75="MEANS",INDEX('1-DATA'!$1:$1048576,$A74-1,COLUMN('1-DATA'!AR73)),ROUND(INDEX('1-DATA'!$1:$1048576,IF(OR($B75="STD. DEVIATION",$C$1=1),$A75,$A75+1),COLUMN('1-DATA'!AR73)),IF($B75="STD. DEVIATION",2,$F$1))))</f>
        <v/>
      </c>
      <c r="AT75" s="1" t="str">
        <f>IF(OR($B75="",AT$7=""),"",IF($B75="MEANS",INDEX('1-DATA'!$1:$1048576,$A74-1,COLUMN('1-DATA'!AS73)),ROUND(INDEX('1-DATA'!$1:$1048576,IF(OR($B75="STD. DEVIATION",$C$1=1),$A75,$A75+1),COLUMN('1-DATA'!AS73)),IF($B75="STD. DEVIATION",2,$F$1))))</f>
        <v/>
      </c>
      <c r="AU75" s="1" t="str">
        <f>IF(OR($B75="",AU$7=""),"",IF($B75="MEANS",INDEX('1-DATA'!$1:$1048576,$A74-1,COLUMN('1-DATA'!AT73)),ROUND(INDEX('1-DATA'!$1:$1048576,IF(OR($B75="STD. DEVIATION",$C$1=1),$A75,$A75+1),COLUMN('1-DATA'!AT73)),IF($B75="STD. DEVIATION",2,$F$1))))</f>
        <v/>
      </c>
      <c r="AV75" s="1" t="str">
        <f>IF(OR($B75="",AV$7=""),"",IF($B75="MEANS",INDEX('1-DATA'!$1:$1048576,$A74-1,COLUMN('1-DATA'!AU73)),ROUND(INDEX('1-DATA'!$1:$1048576,IF(OR($B75="STD. DEVIATION",$C$1=1),$A75,$A75+1),COLUMN('1-DATA'!AU73)),IF($B75="STD. DEVIATION",2,$F$1))))</f>
        <v/>
      </c>
      <c r="AW75" s="1" t="str">
        <f>IF(OR($B75="",AW$7=""),"",IF($B75="MEANS",INDEX('1-DATA'!$1:$1048576,$A74-1,COLUMN('1-DATA'!AV73)),ROUND(INDEX('1-DATA'!$1:$1048576,IF(OR($B75="STD. DEVIATION",$C$1=1),$A75,$A75+1),COLUMN('1-DATA'!AV73)),IF($B75="STD. DEVIATION",2,$F$1))))</f>
        <v/>
      </c>
      <c r="AX75" s="1" t="str">
        <f>IF(OR($B75="",AX$7=""),"",IF($B75="MEANS",INDEX('1-DATA'!$1:$1048576,$A74-1,COLUMN('1-DATA'!AW73)),ROUND(INDEX('1-DATA'!$1:$1048576,IF(OR($B75="STD. DEVIATION",$C$1=1),$A75,$A75+1),COLUMN('1-DATA'!AW73)),IF($B75="STD. DEVIATION",2,$F$1))))</f>
        <v/>
      </c>
      <c r="AY75" s="1" t="str">
        <f>IF(OR($B75="",AY$7=""),"",IF($B75="MEANS",INDEX('1-DATA'!$1:$1048576,$A74-1,COLUMN('1-DATA'!AX73)),ROUND(INDEX('1-DATA'!$1:$1048576,IF(OR($B75="STD. DEVIATION",$C$1=1),$A75,$A75+1),COLUMN('1-DATA'!AX73)),IF($B75="STD. DEVIATION",2,$F$1))))</f>
        <v/>
      </c>
      <c r="AZ75" s="1" t="str">
        <f>IF(OR($B75="",AZ$7=""),"",IF($B75="MEANS",INDEX('1-DATA'!$1:$1048576,$A74-1,COLUMN('1-DATA'!AY73)),ROUND(INDEX('1-DATA'!$1:$1048576,IF(OR($B75="STD. DEVIATION",$C$1=1),$A75,$A75+1),COLUMN('1-DATA'!AY73)),IF($B75="STD. DEVIATION",2,$F$1))))</f>
        <v/>
      </c>
    </row>
    <row r="76" spans="1:52" x14ac:dyDescent="0.25">
      <c r="A76" s="11">
        <f t="shared" si="1"/>
        <v>214</v>
      </c>
      <c r="B76" s="1" t="str">
        <f>IF(B75="STD. DEVIATION",INDEX('1-DATA'!$1:$1048576,$A75-1,1),IF(INDEX('1-DATA'!$1:$1048576,$A76,1)&lt;&gt;"",INDEX('1-DATA'!$1:$1048576,$A76,1),""))</f>
        <v/>
      </c>
      <c r="C76" s="1" t="str">
        <f>IF(OR($B76="",C$7=""),"",IF($B76="MEANS",INDEX('1-DATA'!$1:$1048576,$A75-1,COLUMN('1-DATA'!B74)),ROUND(INDEX('1-DATA'!$1:$1048576,IF(OR($B76="STD. DEVIATION",$C$1=1),$A76,$A76+1),COLUMN('1-DATA'!B74)),IF($B76="STD. DEVIATION",2,$F$1))))</f>
        <v/>
      </c>
      <c r="D76" s="1" t="str">
        <f>IF(OR($B76="",D$7=""),"",IF($B76="MEANS",INDEX('1-DATA'!$1:$1048576,$A75-1,COLUMN('1-DATA'!C74)),ROUND(INDEX('1-DATA'!$1:$1048576,IF(OR($B76="STD. DEVIATION",$C$1=1),$A76,$A76+1),COLUMN('1-DATA'!C74)),IF($B76="STD. DEVIATION",2,$F$1))))</f>
        <v/>
      </c>
      <c r="E76" s="1" t="str">
        <f>IF(OR($B76="",E$7=""),"",IF($B76="MEANS",INDEX('1-DATA'!$1:$1048576,$A75-1,COLUMN('1-DATA'!D74)),ROUND(INDEX('1-DATA'!$1:$1048576,IF(OR($B76="STD. DEVIATION",$C$1=1),$A76,$A76+1),COLUMN('1-DATA'!D74)),IF($B76="STD. DEVIATION",2,$F$1))))</f>
        <v/>
      </c>
      <c r="F76" s="1" t="str">
        <f>IF(OR($B76="",F$7=""),"",IF($B76="MEANS",INDEX('1-DATA'!$1:$1048576,$A75-1,COLUMN('1-DATA'!E74)),ROUND(INDEX('1-DATA'!$1:$1048576,IF(OR($B76="STD. DEVIATION",$C$1=1),$A76,$A76+1),COLUMN('1-DATA'!E74)),IF($B76="STD. DEVIATION",2,$F$1))))</f>
        <v/>
      </c>
      <c r="G76" s="1" t="str">
        <f>IF(OR($B76="",G$7=""),"",IF($B76="MEANS",INDEX('1-DATA'!$1:$1048576,$A75-1,COLUMN('1-DATA'!F74)),ROUND(INDEX('1-DATA'!$1:$1048576,IF(OR($B76="STD. DEVIATION",$C$1=1),$A76,$A76+1),COLUMN('1-DATA'!F74)),IF($B76="STD. DEVIATION",2,$F$1))))</f>
        <v/>
      </c>
      <c r="H76" s="1" t="str">
        <f>IF(OR($B76="",H$7=""),"",IF($B76="MEANS",INDEX('1-DATA'!$1:$1048576,$A75-1,COLUMN('1-DATA'!G74)),ROUND(INDEX('1-DATA'!$1:$1048576,IF(OR($B76="STD. DEVIATION",$C$1=1),$A76,$A76+1),COLUMN('1-DATA'!G74)),IF($B76="STD. DEVIATION",2,$F$1))))</f>
        <v/>
      </c>
      <c r="I76" s="1" t="str">
        <f>IF(OR($B76="",I$7=""),"",IF($B76="MEANS",INDEX('1-DATA'!$1:$1048576,$A75-1,COLUMN('1-DATA'!H74)),ROUND(INDEX('1-DATA'!$1:$1048576,IF(OR($B76="STD. DEVIATION",$C$1=1),$A76,$A76+1),COLUMN('1-DATA'!H74)),IF($B76="STD. DEVIATION",2,$F$1))))</f>
        <v/>
      </c>
      <c r="J76" s="1" t="str">
        <f>IF(OR($B76="",J$7=""),"",IF($B76="MEANS",INDEX('1-DATA'!$1:$1048576,$A75-1,COLUMN('1-DATA'!I74)),ROUND(INDEX('1-DATA'!$1:$1048576,IF(OR($B76="STD. DEVIATION",$C$1=1),$A76,$A76+1),COLUMN('1-DATA'!I74)),IF($B76="STD. DEVIATION",2,$F$1))))</f>
        <v/>
      </c>
      <c r="K76" s="1" t="str">
        <f>IF(OR($B76="",K$7=""),"",IF($B76="MEANS",INDEX('1-DATA'!$1:$1048576,$A75-1,COLUMN('1-DATA'!J74)),ROUND(INDEX('1-DATA'!$1:$1048576,IF(OR($B76="STD. DEVIATION",$C$1=1),$A76,$A76+1),COLUMN('1-DATA'!J74)),IF($B76="STD. DEVIATION",2,$F$1))))</f>
        <v/>
      </c>
      <c r="L76" s="1" t="str">
        <f>IF(OR($B76="",L$7=""),"",IF($B76="MEANS",INDEX('1-DATA'!$1:$1048576,$A75-1,COLUMN('1-DATA'!K74)),ROUND(INDEX('1-DATA'!$1:$1048576,IF(OR($B76="STD. DEVIATION",$C$1=1),$A76,$A76+1),COLUMN('1-DATA'!K74)),IF($B76="STD. DEVIATION",2,$F$1))))</f>
        <v/>
      </c>
      <c r="M76" s="1" t="str">
        <f>IF(OR($B76="",M$7=""),"",IF($B76="MEANS",INDEX('1-DATA'!$1:$1048576,$A75-1,COLUMN('1-DATA'!L74)),ROUND(INDEX('1-DATA'!$1:$1048576,IF(OR($B76="STD. DEVIATION",$C$1=1),$A76,$A76+1),COLUMN('1-DATA'!L74)),IF($B76="STD. DEVIATION",2,$F$1))))</f>
        <v/>
      </c>
      <c r="N76" s="1" t="str">
        <f>IF(OR($B76="",N$7=""),"",IF($B76="MEANS",INDEX('1-DATA'!$1:$1048576,$A75-1,COLUMN('1-DATA'!M74)),ROUND(INDEX('1-DATA'!$1:$1048576,IF(OR($B76="STD. DEVIATION",$C$1=1),$A76,$A76+1),COLUMN('1-DATA'!M74)),IF($B76="STD. DEVIATION",2,$F$1))))</f>
        <v/>
      </c>
      <c r="O76" s="1" t="str">
        <f>IF(OR($B76="",O$7=""),"",IF($B76="MEANS",INDEX('1-DATA'!$1:$1048576,$A75-1,COLUMN('1-DATA'!N74)),ROUND(INDEX('1-DATA'!$1:$1048576,IF(OR($B76="STD. DEVIATION",$C$1=1),$A76,$A76+1),COLUMN('1-DATA'!N74)),IF($B76="STD. DEVIATION",2,$F$1))))</f>
        <v/>
      </c>
      <c r="P76" s="1" t="str">
        <f>IF(OR($B76="",P$7=""),"",IF($B76="MEANS",INDEX('1-DATA'!$1:$1048576,$A75-1,COLUMN('1-DATA'!O74)),ROUND(INDEX('1-DATA'!$1:$1048576,IF(OR($B76="STD. DEVIATION",$C$1=1),$A76,$A76+1),COLUMN('1-DATA'!O74)),IF($B76="STD. DEVIATION",2,$F$1))))</f>
        <v/>
      </c>
      <c r="Q76" s="1" t="str">
        <f>IF(OR($B76="",Q$7=""),"",IF($B76="MEANS",INDEX('1-DATA'!$1:$1048576,$A75-1,COLUMN('1-DATA'!P74)),ROUND(INDEX('1-DATA'!$1:$1048576,IF(OR($B76="STD. DEVIATION",$C$1=1),$A76,$A76+1),COLUMN('1-DATA'!P74)),IF($B76="STD. DEVIATION",2,$F$1))))</f>
        <v/>
      </c>
      <c r="R76" s="1" t="str">
        <f>IF(OR($B76="",R$7=""),"",IF($B76="MEANS",INDEX('1-DATA'!$1:$1048576,$A75-1,COLUMN('1-DATA'!Q74)),ROUND(INDEX('1-DATA'!$1:$1048576,IF(OR($B76="STD. DEVIATION",$C$1=1),$A76,$A76+1),COLUMN('1-DATA'!Q74)),IF($B76="STD. DEVIATION",2,$F$1))))</f>
        <v/>
      </c>
      <c r="S76" s="1" t="str">
        <f>IF(OR($B76="",S$7=""),"",IF($B76="MEANS",INDEX('1-DATA'!$1:$1048576,$A75-1,COLUMN('1-DATA'!R74)),ROUND(INDEX('1-DATA'!$1:$1048576,IF(OR($B76="STD. DEVIATION",$C$1=1),$A76,$A76+1),COLUMN('1-DATA'!R74)),IF($B76="STD. DEVIATION",2,$F$1))))</f>
        <v/>
      </c>
      <c r="T76" s="1" t="str">
        <f>IF(OR($B76="",T$7=""),"",IF($B76="MEANS",INDEX('1-DATA'!$1:$1048576,$A75-1,COLUMN('1-DATA'!S74)),ROUND(INDEX('1-DATA'!$1:$1048576,IF(OR($B76="STD. DEVIATION",$C$1=1),$A76,$A76+1),COLUMN('1-DATA'!S74)),IF($B76="STD. DEVIATION",2,$F$1))))</f>
        <v/>
      </c>
      <c r="U76" s="1" t="str">
        <f>IF(OR($B76="",U$7=""),"",IF($B76="MEANS",INDEX('1-DATA'!$1:$1048576,$A75-1,COLUMN('1-DATA'!T74)),ROUND(INDEX('1-DATA'!$1:$1048576,IF(OR($B76="STD. DEVIATION",$C$1=1),$A76,$A76+1),COLUMN('1-DATA'!T74)),IF($B76="STD. DEVIATION",2,$F$1))))</f>
        <v/>
      </c>
      <c r="V76" s="1" t="str">
        <f>IF(OR($B76="",V$7=""),"",IF($B76="MEANS",INDEX('1-DATA'!$1:$1048576,$A75-1,COLUMN('1-DATA'!U74)),ROUND(INDEX('1-DATA'!$1:$1048576,IF(OR($B76="STD. DEVIATION",$C$1=1),$A76,$A76+1),COLUMN('1-DATA'!U74)),IF($B76="STD. DEVIATION",2,$F$1))))</f>
        <v/>
      </c>
      <c r="W76" s="1" t="str">
        <f>IF(OR($B76="",W$7=""),"",IF($B76="MEANS",INDEX('1-DATA'!$1:$1048576,$A75-1,COLUMN('1-DATA'!V74)),ROUND(INDEX('1-DATA'!$1:$1048576,IF(OR($B76="STD. DEVIATION",$C$1=1),$A76,$A76+1),COLUMN('1-DATA'!V74)),IF($B76="STD. DEVIATION",2,$F$1))))</f>
        <v/>
      </c>
      <c r="X76" s="1" t="str">
        <f>IF(OR($B76="",X$7=""),"",IF($B76="MEANS",INDEX('1-DATA'!$1:$1048576,$A75-1,COLUMN('1-DATA'!W74)),ROUND(INDEX('1-DATA'!$1:$1048576,IF(OR($B76="STD. DEVIATION",$C$1=1),$A76,$A76+1),COLUMN('1-DATA'!W74)),IF($B76="STD. DEVIATION",2,$F$1))))</f>
        <v/>
      </c>
      <c r="Y76" s="1" t="str">
        <f>IF(OR($B76="",Y$7=""),"",IF($B76="MEANS",INDEX('1-DATA'!$1:$1048576,$A75-1,COLUMN('1-DATA'!X74)),ROUND(INDEX('1-DATA'!$1:$1048576,IF(OR($B76="STD. DEVIATION",$C$1=1),$A76,$A76+1),COLUMN('1-DATA'!X74)),IF($B76="STD. DEVIATION",2,$F$1))))</f>
        <v/>
      </c>
      <c r="Z76" s="1" t="str">
        <f>IF(OR($B76="",Z$7=""),"",IF($B76="MEANS",INDEX('1-DATA'!$1:$1048576,$A75-1,COLUMN('1-DATA'!Y74)),ROUND(INDEX('1-DATA'!$1:$1048576,IF(OR($B76="STD. DEVIATION",$C$1=1),$A76,$A76+1),COLUMN('1-DATA'!Y74)),IF($B76="STD. DEVIATION",2,$F$1))))</f>
        <v/>
      </c>
      <c r="AA76" s="1" t="str">
        <f>IF(OR($B76="",AA$7=""),"",IF($B76="MEANS",INDEX('1-DATA'!$1:$1048576,$A75-1,COLUMN('1-DATA'!Z74)),ROUND(INDEX('1-DATA'!$1:$1048576,IF(OR($B76="STD. DEVIATION",$C$1=1),$A76,$A76+1),COLUMN('1-DATA'!Z74)),IF($B76="STD. DEVIATION",2,$F$1))))</f>
        <v/>
      </c>
      <c r="AB76" s="1" t="str">
        <f>IF(OR($B76="",AB$7=""),"",IF($B76="MEANS",INDEX('1-DATA'!$1:$1048576,$A75-1,COLUMN('1-DATA'!AA74)),ROUND(INDEX('1-DATA'!$1:$1048576,IF(OR($B76="STD. DEVIATION",$C$1=1),$A76,$A76+1),COLUMN('1-DATA'!AA74)),IF($B76="STD. DEVIATION",2,$F$1))))</f>
        <v/>
      </c>
      <c r="AC76" s="1" t="str">
        <f>IF(OR($B76="",AC$7=""),"",IF($B76="MEANS",INDEX('1-DATA'!$1:$1048576,$A75-1,COLUMN('1-DATA'!AB74)),ROUND(INDEX('1-DATA'!$1:$1048576,IF(OR($B76="STD. DEVIATION",$C$1=1),$A76,$A76+1),COLUMN('1-DATA'!AB74)),IF($B76="STD. DEVIATION",2,$F$1))))</f>
        <v/>
      </c>
      <c r="AD76" s="1" t="str">
        <f>IF(OR($B76="",AD$7=""),"",IF($B76="MEANS",INDEX('1-DATA'!$1:$1048576,$A75-1,COLUMN('1-DATA'!AC74)),ROUND(INDEX('1-DATA'!$1:$1048576,IF(OR($B76="STD. DEVIATION",$C$1=1),$A76,$A76+1),COLUMN('1-DATA'!AC74)),IF($B76="STD. DEVIATION",2,$F$1))))</f>
        <v/>
      </c>
      <c r="AE76" s="1" t="str">
        <f>IF(OR($B76="",AE$7=""),"",IF($B76="MEANS",INDEX('1-DATA'!$1:$1048576,$A75-1,COLUMN('1-DATA'!AD74)),ROUND(INDEX('1-DATA'!$1:$1048576,IF(OR($B76="STD. DEVIATION",$C$1=1),$A76,$A76+1),COLUMN('1-DATA'!AD74)),IF($B76="STD. DEVIATION",2,$F$1))))</f>
        <v/>
      </c>
      <c r="AF76" s="1" t="str">
        <f>IF(OR($B76="",AF$7=""),"",IF($B76="MEANS",INDEX('1-DATA'!$1:$1048576,$A75-1,COLUMN('1-DATA'!AE74)),ROUND(INDEX('1-DATA'!$1:$1048576,IF(OR($B76="STD. DEVIATION",$C$1=1),$A76,$A76+1),COLUMN('1-DATA'!AE74)),IF($B76="STD. DEVIATION",2,$F$1))))</f>
        <v/>
      </c>
      <c r="AG76" s="1" t="str">
        <f>IF(OR($B76="",AG$7=""),"",IF($B76="MEANS",INDEX('1-DATA'!$1:$1048576,$A75-1,COLUMN('1-DATA'!AF74)),ROUND(INDEX('1-DATA'!$1:$1048576,IF(OR($B76="STD. DEVIATION",$C$1=1),$A76,$A76+1),COLUMN('1-DATA'!AF74)),IF($B76="STD. DEVIATION",2,$F$1))))</f>
        <v/>
      </c>
      <c r="AH76" s="1" t="str">
        <f>IF(OR($B76="",AH$7=""),"",IF($B76="MEANS",INDEX('1-DATA'!$1:$1048576,$A75-1,COLUMN('1-DATA'!AG74)),ROUND(INDEX('1-DATA'!$1:$1048576,IF(OR($B76="STD. DEVIATION",$C$1=1),$A76,$A76+1),COLUMN('1-DATA'!AG74)),IF($B76="STD. DEVIATION",2,$F$1))))</f>
        <v/>
      </c>
      <c r="AI76" s="1" t="str">
        <f>IF(OR($B76="",AI$7=""),"",IF($B76="MEANS",INDEX('1-DATA'!$1:$1048576,$A75-1,COLUMN('1-DATA'!AH74)),ROUND(INDEX('1-DATA'!$1:$1048576,IF(OR($B76="STD. DEVIATION",$C$1=1),$A76,$A76+1),COLUMN('1-DATA'!AH74)),IF($B76="STD. DEVIATION",2,$F$1))))</f>
        <v/>
      </c>
      <c r="AJ76" s="1" t="str">
        <f>IF(OR($B76="",AJ$7=""),"",IF($B76="MEANS",INDEX('1-DATA'!$1:$1048576,$A75-1,COLUMN('1-DATA'!AI74)),ROUND(INDEX('1-DATA'!$1:$1048576,IF(OR($B76="STD. DEVIATION",$C$1=1),$A76,$A76+1),COLUMN('1-DATA'!AI74)),IF($B76="STD. DEVIATION",2,$F$1))))</f>
        <v/>
      </c>
      <c r="AK76" s="1" t="str">
        <f>IF(OR($B76="",AK$7=""),"",IF($B76="MEANS",INDEX('1-DATA'!$1:$1048576,$A75-1,COLUMN('1-DATA'!AJ74)),ROUND(INDEX('1-DATA'!$1:$1048576,IF(OR($B76="STD. DEVIATION",$C$1=1),$A76,$A76+1),COLUMN('1-DATA'!AJ74)),IF($B76="STD. DEVIATION",2,$F$1))))</f>
        <v/>
      </c>
      <c r="AL76" s="1" t="str">
        <f>IF(OR($B76="",AL$7=""),"",IF($B76="MEANS",INDEX('1-DATA'!$1:$1048576,$A75-1,COLUMN('1-DATA'!AK74)),ROUND(INDEX('1-DATA'!$1:$1048576,IF(OR($B76="STD. DEVIATION",$C$1=1),$A76,$A76+1),COLUMN('1-DATA'!AK74)),IF($B76="STD. DEVIATION",2,$F$1))))</f>
        <v/>
      </c>
      <c r="AM76" s="1" t="str">
        <f>IF(OR($B76="",AM$7=""),"",IF($B76="MEANS",INDEX('1-DATA'!$1:$1048576,$A75-1,COLUMN('1-DATA'!AL74)),ROUND(INDEX('1-DATA'!$1:$1048576,IF(OR($B76="STD. DEVIATION",$C$1=1),$A76,$A76+1),COLUMN('1-DATA'!AL74)),IF($B76="STD. DEVIATION",2,$F$1))))</f>
        <v/>
      </c>
      <c r="AN76" s="1" t="str">
        <f>IF(OR($B76="",AN$7=""),"",IF($B76="MEANS",INDEX('1-DATA'!$1:$1048576,$A75-1,COLUMN('1-DATA'!AM74)),ROUND(INDEX('1-DATA'!$1:$1048576,IF(OR($B76="STD. DEVIATION",$C$1=1),$A76,$A76+1),COLUMN('1-DATA'!AM74)),IF($B76="STD. DEVIATION",2,$F$1))))</f>
        <v/>
      </c>
      <c r="AO76" s="1" t="str">
        <f>IF(OR($B76="",AO$7=""),"",IF($B76="MEANS",INDEX('1-DATA'!$1:$1048576,$A75-1,COLUMN('1-DATA'!AN74)),ROUND(INDEX('1-DATA'!$1:$1048576,IF(OR($B76="STD. DEVIATION",$C$1=1),$A76,$A76+1),COLUMN('1-DATA'!AN74)),IF($B76="STD. DEVIATION",2,$F$1))))</f>
        <v/>
      </c>
      <c r="AP76" s="1" t="str">
        <f>IF(OR($B76="",AP$7=""),"",IF($B76="MEANS",INDEX('1-DATA'!$1:$1048576,$A75-1,COLUMN('1-DATA'!AO74)),ROUND(INDEX('1-DATA'!$1:$1048576,IF(OR($B76="STD. DEVIATION",$C$1=1),$A76,$A76+1),COLUMN('1-DATA'!AO74)),IF($B76="STD. DEVIATION",2,$F$1))))</f>
        <v/>
      </c>
      <c r="AQ76" s="1" t="str">
        <f>IF(OR($B76="",AQ$7=""),"",IF($B76="MEANS",INDEX('1-DATA'!$1:$1048576,$A75-1,COLUMN('1-DATA'!AP74)),ROUND(INDEX('1-DATA'!$1:$1048576,IF(OR($B76="STD. DEVIATION",$C$1=1),$A76,$A76+1),COLUMN('1-DATA'!AP74)),IF($B76="STD. DEVIATION",2,$F$1))))</f>
        <v/>
      </c>
      <c r="AR76" s="1" t="str">
        <f>IF(OR($B76="",AR$7=""),"",IF($B76="MEANS",INDEX('1-DATA'!$1:$1048576,$A75-1,COLUMN('1-DATA'!AQ74)),ROUND(INDEX('1-DATA'!$1:$1048576,IF(OR($B76="STD. DEVIATION",$C$1=1),$A76,$A76+1),COLUMN('1-DATA'!AQ74)),IF($B76="STD. DEVIATION",2,$F$1))))</f>
        <v/>
      </c>
      <c r="AS76" s="1" t="str">
        <f>IF(OR($B76="",AS$7=""),"",IF($B76="MEANS",INDEX('1-DATA'!$1:$1048576,$A75-1,COLUMN('1-DATA'!AR74)),ROUND(INDEX('1-DATA'!$1:$1048576,IF(OR($B76="STD. DEVIATION",$C$1=1),$A76,$A76+1),COLUMN('1-DATA'!AR74)),IF($B76="STD. DEVIATION",2,$F$1))))</f>
        <v/>
      </c>
      <c r="AT76" s="1" t="str">
        <f>IF(OR($B76="",AT$7=""),"",IF($B76="MEANS",INDEX('1-DATA'!$1:$1048576,$A75-1,COLUMN('1-DATA'!AS74)),ROUND(INDEX('1-DATA'!$1:$1048576,IF(OR($B76="STD. DEVIATION",$C$1=1),$A76,$A76+1),COLUMN('1-DATA'!AS74)),IF($B76="STD. DEVIATION",2,$F$1))))</f>
        <v/>
      </c>
      <c r="AU76" s="1" t="str">
        <f>IF(OR($B76="",AU$7=""),"",IF($B76="MEANS",INDEX('1-DATA'!$1:$1048576,$A75-1,COLUMN('1-DATA'!AT74)),ROUND(INDEX('1-DATA'!$1:$1048576,IF(OR($B76="STD. DEVIATION",$C$1=1),$A76,$A76+1),COLUMN('1-DATA'!AT74)),IF($B76="STD. DEVIATION",2,$F$1))))</f>
        <v/>
      </c>
      <c r="AV76" s="1" t="str">
        <f>IF(OR($B76="",AV$7=""),"",IF($B76="MEANS",INDEX('1-DATA'!$1:$1048576,$A75-1,COLUMN('1-DATA'!AU74)),ROUND(INDEX('1-DATA'!$1:$1048576,IF(OR($B76="STD. DEVIATION",$C$1=1),$A76,$A76+1),COLUMN('1-DATA'!AU74)),IF($B76="STD. DEVIATION",2,$F$1))))</f>
        <v/>
      </c>
      <c r="AW76" s="1" t="str">
        <f>IF(OR($B76="",AW$7=""),"",IF($B76="MEANS",INDEX('1-DATA'!$1:$1048576,$A75-1,COLUMN('1-DATA'!AV74)),ROUND(INDEX('1-DATA'!$1:$1048576,IF(OR($B76="STD. DEVIATION",$C$1=1),$A76,$A76+1),COLUMN('1-DATA'!AV74)),IF($B76="STD. DEVIATION",2,$F$1))))</f>
        <v/>
      </c>
      <c r="AX76" s="1" t="str">
        <f>IF(OR($B76="",AX$7=""),"",IF($B76="MEANS",INDEX('1-DATA'!$1:$1048576,$A75-1,COLUMN('1-DATA'!AW74)),ROUND(INDEX('1-DATA'!$1:$1048576,IF(OR($B76="STD. DEVIATION",$C$1=1),$A76,$A76+1),COLUMN('1-DATA'!AW74)),IF($B76="STD. DEVIATION",2,$F$1))))</f>
        <v/>
      </c>
      <c r="AY76" s="1" t="str">
        <f>IF(OR($B76="",AY$7=""),"",IF($B76="MEANS",INDEX('1-DATA'!$1:$1048576,$A75-1,COLUMN('1-DATA'!AX74)),ROUND(INDEX('1-DATA'!$1:$1048576,IF(OR($B76="STD. DEVIATION",$C$1=1),$A76,$A76+1),COLUMN('1-DATA'!AX74)),IF($B76="STD. DEVIATION",2,$F$1))))</f>
        <v/>
      </c>
      <c r="AZ76" s="1" t="str">
        <f>IF(OR($B76="",AZ$7=""),"",IF($B76="MEANS",INDEX('1-DATA'!$1:$1048576,$A75-1,COLUMN('1-DATA'!AY74)),ROUND(INDEX('1-DATA'!$1:$1048576,IF(OR($B76="STD. DEVIATION",$C$1=1),$A76,$A76+1),COLUMN('1-DATA'!AY74)),IF($B76="STD. DEVIATION",2,$F$1))))</f>
        <v/>
      </c>
    </row>
    <row r="77" spans="1:52" x14ac:dyDescent="0.25">
      <c r="A77" s="11">
        <f t="shared" si="1"/>
        <v>217</v>
      </c>
      <c r="B77" s="1" t="str">
        <f>IF(B76="STD. DEVIATION",INDEX('1-DATA'!$1:$1048576,$A76-1,1),IF(INDEX('1-DATA'!$1:$1048576,$A77,1)&lt;&gt;"",INDEX('1-DATA'!$1:$1048576,$A77,1),""))</f>
        <v/>
      </c>
      <c r="C77" s="1" t="str">
        <f>IF(OR($B77="",C$7=""),"",IF($B77="MEANS",INDEX('1-DATA'!$1:$1048576,$A76-1,COLUMN('1-DATA'!B75)),ROUND(INDEX('1-DATA'!$1:$1048576,IF(OR($B77="STD. DEVIATION",$C$1=1),$A77,$A77+1),COLUMN('1-DATA'!B75)),IF($B77="STD. DEVIATION",2,$F$1))))</f>
        <v/>
      </c>
      <c r="D77" s="1" t="str">
        <f>IF(OR($B77="",D$7=""),"",IF($B77="MEANS",INDEX('1-DATA'!$1:$1048576,$A76-1,COLUMN('1-DATA'!C75)),ROUND(INDEX('1-DATA'!$1:$1048576,IF(OR($B77="STD. DEVIATION",$C$1=1),$A77,$A77+1),COLUMN('1-DATA'!C75)),IF($B77="STD. DEVIATION",2,$F$1))))</f>
        <v/>
      </c>
      <c r="E77" s="1" t="str">
        <f>IF(OR($B77="",E$7=""),"",IF($B77="MEANS",INDEX('1-DATA'!$1:$1048576,$A76-1,COLUMN('1-DATA'!D75)),ROUND(INDEX('1-DATA'!$1:$1048576,IF(OR($B77="STD. DEVIATION",$C$1=1),$A77,$A77+1),COLUMN('1-DATA'!D75)),IF($B77="STD. DEVIATION",2,$F$1))))</f>
        <v/>
      </c>
      <c r="F77" s="1" t="str">
        <f>IF(OR($B77="",F$7=""),"",IF($B77="MEANS",INDEX('1-DATA'!$1:$1048576,$A76-1,COLUMN('1-DATA'!E75)),ROUND(INDEX('1-DATA'!$1:$1048576,IF(OR($B77="STD. DEVIATION",$C$1=1),$A77,$A77+1),COLUMN('1-DATA'!E75)),IF($B77="STD. DEVIATION",2,$F$1))))</f>
        <v/>
      </c>
      <c r="G77" s="1" t="str">
        <f>IF(OR($B77="",G$7=""),"",IF($B77="MEANS",INDEX('1-DATA'!$1:$1048576,$A76-1,COLUMN('1-DATA'!F75)),ROUND(INDEX('1-DATA'!$1:$1048576,IF(OR($B77="STD. DEVIATION",$C$1=1),$A77,$A77+1),COLUMN('1-DATA'!F75)),IF($B77="STD. DEVIATION",2,$F$1))))</f>
        <v/>
      </c>
      <c r="H77" s="1" t="str">
        <f>IF(OR($B77="",H$7=""),"",IF($B77="MEANS",INDEX('1-DATA'!$1:$1048576,$A76-1,COLUMN('1-DATA'!G75)),ROUND(INDEX('1-DATA'!$1:$1048576,IF(OR($B77="STD. DEVIATION",$C$1=1),$A77,$A77+1),COLUMN('1-DATA'!G75)),IF($B77="STD. DEVIATION",2,$F$1))))</f>
        <v/>
      </c>
      <c r="I77" s="1" t="str">
        <f>IF(OR($B77="",I$7=""),"",IF($B77="MEANS",INDEX('1-DATA'!$1:$1048576,$A76-1,COLUMN('1-DATA'!H75)),ROUND(INDEX('1-DATA'!$1:$1048576,IF(OR($B77="STD. DEVIATION",$C$1=1),$A77,$A77+1),COLUMN('1-DATA'!H75)),IF($B77="STD. DEVIATION",2,$F$1))))</f>
        <v/>
      </c>
      <c r="J77" s="1" t="str">
        <f>IF(OR($B77="",J$7=""),"",IF($B77="MEANS",INDEX('1-DATA'!$1:$1048576,$A76-1,COLUMN('1-DATA'!I75)),ROUND(INDEX('1-DATA'!$1:$1048576,IF(OR($B77="STD. DEVIATION",$C$1=1),$A77,$A77+1),COLUMN('1-DATA'!I75)),IF($B77="STD. DEVIATION",2,$F$1))))</f>
        <v/>
      </c>
      <c r="K77" s="1" t="str">
        <f>IF(OR($B77="",K$7=""),"",IF($B77="MEANS",INDEX('1-DATA'!$1:$1048576,$A76-1,COLUMN('1-DATA'!J75)),ROUND(INDEX('1-DATA'!$1:$1048576,IF(OR($B77="STD. DEVIATION",$C$1=1),$A77,$A77+1),COLUMN('1-DATA'!J75)),IF($B77="STD. DEVIATION",2,$F$1))))</f>
        <v/>
      </c>
      <c r="L77" s="1" t="str">
        <f>IF(OR($B77="",L$7=""),"",IF($B77="MEANS",INDEX('1-DATA'!$1:$1048576,$A76-1,COLUMN('1-DATA'!K75)),ROUND(INDEX('1-DATA'!$1:$1048576,IF(OR($B77="STD. DEVIATION",$C$1=1),$A77,$A77+1),COLUMN('1-DATA'!K75)),IF($B77="STD. DEVIATION",2,$F$1))))</f>
        <v/>
      </c>
      <c r="M77" s="1" t="str">
        <f>IF(OR($B77="",M$7=""),"",IF($B77="MEANS",INDEX('1-DATA'!$1:$1048576,$A76-1,COLUMN('1-DATA'!L75)),ROUND(INDEX('1-DATA'!$1:$1048576,IF(OR($B77="STD. DEVIATION",$C$1=1),$A77,$A77+1),COLUMN('1-DATA'!L75)),IF($B77="STD. DEVIATION",2,$F$1))))</f>
        <v/>
      </c>
      <c r="N77" s="1" t="str">
        <f>IF(OR($B77="",N$7=""),"",IF($B77="MEANS",INDEX('1-DATA'!$1:$1048576,$A76-1,COLUMN('1-DATA'!M75)),ROUND(INDEX('1-DATA'!$1:$1048576,IF(OR($B77="STD. DEVIATION",$C$1=1),$A77,$A77+1),COLUMN('1-DATA'!M75)),IF($B77="STD. DEVIATION",2,$F$1))))</f>
        <v/>
      </c>
      <c r="O77" s="1" t="str">
        <f>IF(OR($B77="",O$7=""),"",IF($B77="MEANS",INDEX('1-DATA'!$1:$1048576,$A76-1,COLUMN('1-DATA'!N75)),ROUND(INDEX('1-DATA'!$1:$1048576,IF(OR($B77="STD. DEVIATION",$C$1=1),$A77,$A77+1),COLUMN('1-DATA'!N75)),IF($B77="STD. DEVIATION",2,$F$1))))</f>
        <v/>
      </c>
      <c r="P77" s="1" t="str">
        <f>IF(OR($B77="",P$7=""),"",IF($B77="MEANS",INDEX('1-DATA'!$1:$1048576,$A76-1,COLUMN('1-DATA'!O75)),ROUND(INDEX('1-DATA'!$1:$1048576,IF(OR($B77="STD. DEVIATION",$C$1=1),$A77,$A77+1),COLUMN('1-DATA'!O75)),IF($B77="STD. DEVIATION",2,$F$1))))</f>
        <v/>
      </c>
      <c r="Q77" s="1" t="str">
        <f>IF(OR($B77="",Q$7=""),"",IF($B77="MEANS",INDEX('1-DATA'!$1:$1048576,$A76-1,COLUMN('1-DATA'!P75)),ROUND(INDEX('1-DATA'!$1:$1048576,IF(OR($B77="STD. DEVIATION",$C$1=1),$A77,$A77+1),COLUMN('1-DATA'!P75)),IF($B77="STD. DEVIATION",2,$F$1))))</f>
        <v/>
      </c>
      <c r="R77" s="1" t="str">
        <f>IF(OR($B77="",R$7=""),"",IF($B77="MEANS",INDEX('1-DATA'!$1:$1048576,$A76-1,COLUMN('1-DATA'!Q75)),ROUND(INDEX('1-DATA'!$1:$1048576,IF(OR($B77="STD. DEVIATION",$C$1=1),$A77,$A77+1),COLUMN('1-DATA'!Q75)),IF($B77="STD. DEVIATION",2,$F$1))))</f>
        <v/>
      </c>
      <c r="S77" s="1" t="str">
        <f>IF(OR($B77="",S$7=""),"",IF($B77="MEANS",INDEX('1-DATA'!$1:$1048576,$A76-1,COLUMN('1-DATA'!R75)),ROUND(INDEX('1-DATA'!$1:$1048576,IF(OR($B77="STD. DEVIATION",$C$1=1),$A77,$A77+1),COLUMN('1-DATA'!R75)),IF($B77="STD. DEVIATION",2,$F$1))))</f>
        <v/>
      </c>
      <c r="T77" s="1" t="str">
        <f>IF(OR($B77="",T$7=""),"",IF($B77="MEANS",INDEX('1-DATA'!$1:$1048576,$A76-1,COLUMN('1-DATA'!S75)),ROUND(INDEX('1-DATA'!$1:$1048576,IF(OR($B77="STD. DEVIATION",$C$1=1),$A77,$A77+1),COLUMN('1-DATA'!S75)),IF($B77="STD. DEVIATION",2,$F$1))))</f>
        <v/>
      </c>
      <c r="U77" s="1" t="str">
        <f>IF(OR($B77="",U$7=""),"",IF($B77="MEANS",INDEX('1-DATA'!$1:$1048576,$A76-1,COLUMN('1-DATA'!T75)),ROUND(INDEX('1-DATA'!$1:$1048576,IF(OR($B77="STD. DEVIATION",$C$1=1),$A77,$A77+1),COLUMN('1-DATA'!T75)),IF($B77="STD. DEVIATION",2,$F$1))))</f>
        <v/>
      </c>
      <c r="V77" s="1" t="str">
        <f>IF(OR($B77="",V$7=""),"",IF($B77="MEANS",INDEX('1-DATA'!$1:$1048576,$A76-1,COLUMN('1-DATA'!U75)),ROUND(INDEX('1-DATA'!$1:$1048576,IF(OR($B77="STD. DEVIATION",$C$1=1),$A77,$A77+1),COLUMN('1-DATA'!U75)),IF($B77="STD. DEVIATION",2,$F$1))))</f>
        <v/>
      </c>
      <c r="W77" s="1" t="str">
        <f>IF(OR($B77="",W$7=""),"",IF($B77="MEANS",INDEX('1-DATA'!$1:$1048576,$A76-1,COLUMN('1-DATA'!V75)),ROUND(INDEX('1-DATA'!$1:$1048576,IF(OR($B77="STD. DEVIATION",$C$1=1),$A77,$A77+1),COLUMN('1-DATA'!V75)),IF($B77="STD. DEVIATION",2,$F$1))))</f>
        <v/>
      </c>
      <c r="X77" s="1" t="str">
        <f>IF(OR($B77="",X$7=""),"",IF($B77="MEANS",INDEX('1-DATA'!$1:$1048576,$A76-1,COLUMN('1-DATA'!W75)),ROUND(INDEX('1-DATA'!$1:$1048576,IF(OR($B77="STD. DEVIATION",$C$1=1),$A77,$A77+1),COLUMN('1-DATA'!W75)),IF($B77="STD. DEVIATION",2,$F$1))))</f>
        <v/>
      </c>
      <c r="Y77" s="1" t="str">
        <f>IF(OR($B77="",Y$7=""),"",IF($B77="MEANS",INDEX('1-DATA'!$1:$1048576,$A76-1,COLUMN('1-DATA'!X75)),ROUND(INDEX('1-DATA'!$1:$1048576,IF(OR($B77="STD. DEVIATION",$C$1=1),$A77,$A77+1),COLUMN('1-DATA'!X75)),IF($B77="STD. DEVIATION",2,$F$1))))</f>
        <v/>
      </c>
      <c r="Z77" s="1" t="str">
        <f>IF(OR($B77="",Z$7=""),"",IF($B77="MEANS",INDEX('1-DATA'!$1:$1048576,$A76-1,COLUMN('1-DATA'!Y75)),ROUND(INDEX('1-DATA'!$1:$1048576,IF(OR($B77="STD. DEVIATION",$C$1=1),$A77,$A77+1),COLUMN('1-DATA'!Y75)),IF($B77="STD. DEVIATION",2,$F$1))))</f>
        <v/>
      </c>
      <c r="AA77" s="1" t="str">
        <f>IF(OR($B77="",AA$7=""),"",IF($B77="MEANS",INDEX('1-DATA'!$1:$1048576,$A76-1,COLUMN('1-DATA'!Z75)),ROUND(INDEX('1-DATA'!$1:$1048576,IF(OR($B77="STD. DEVIATION",$C$1=1),$A77,$A77+1),COLUMN('1-DATA'!Z75)),IF($B77="STD. DEVIATION",2,$F$1))))</f>
        <v/>
      </c>
      <c r="AB77" s="1" t="str">
        <f>IF(OR($B77="",AB$7=""),"",IF($B77="MEANS",INDEX('1-DATA'!$1:$1048576,$A76-1,COLUMN('1-DATA'!AA75)),ROUND(INDEX('1-DATA'!$1:$1048576,IF(OR($B77="STD. DEVIATION",$C$1=1),$A77,$A77+1),COLUMN('1-DATA'!AA75)),IF($B77="STD. DEVIATION",2,$F$1))))</f>
        <v/>
      </c>
      <c r="AC77" s="1" t="str">
        <f>IF(OR($B77="",AC$7=""),"",IF($B77="MEANS",INDEX('1-DATA'!$1:$1048576,$A76-1,COLUMN('1-DATA'!AB75)),ROUND(INDEX('1-DATA'!$1:$1048576,IF(OR($B77="STD. DEVIATION",$C$1=1),$A77,$A77+1),COLUMN('1-DATA'!AB75)),IF($B77="STD. DEVIATION",2,$F$1))))</f>
        <v/>
      </c>
      <c r="AD77" s="1" t="str">
        <f>IF(OR($B77="",AD$7=""),"",IF($B77="MEANS",INDEX('1-DATA'!$1:$1048576,$A76-1,COLUMN('1-DATA'!AC75)),ROUND(INDEX('1-DATA'!$1:$1048576,IF(OR($B77="STD. DEVIATION",$C$1=1),$A77,$A77+1),COLUMN('1-DATA'!AC75)),IF($B77="STD. DEVIATION",2,$F$1))))</f>
        <v/>
      </c>
      <c r="AE77" s="1" t="str">
        <f>IF(OR($B77="",AE$7=""),"",IF($B77="MEANS",INDEX('1-DATA'!$1:$1048576,$A76-1,COLUMN('1-DATA'!AD75)),ROUND(INDEX('1-DATA'!$1:$1048576,IF(OR($B77="STD. DEVIATION",$C$1=1),$A77,$A77+1),COLUMN('1-DATA'!AD75)),IF($B77="STD. DEVIATION",2,$F$1))))</f>
        <v/>
      </c>
      <c r="AF77" s="1" t="str">
        <f>IF(OR($B77="",AF$7=""),"",IF($B77="MEANS",INDEX('1-DATA'!$1:$1048576,$A76-1,COLUMN('1-DATA'!AE75)),ROUND(INDEX('1-DATA'!$1:$1048576,IF(OR($B77="STD. DEVIATION",$C$1=1),$A77,$A77+1),COLUMN('1-DATA'!AE75)),IF($B77="STD. DEVIATION",2,$F$1))))</f>
        <v/>
      </c>
      <c r="AG77" s="1" t="str">
        <f>IF(OR($B77="",AG$7=""),"",IF($B77="MEANS",INDEX('1-DATA'!$1:$1048576,$A76-1,COLUMN('1-DATA'!AF75)),ROUND(INDEX('1-DATA'!$1:$1048576,IF(OR($B77="STD. DEVIATION",$C$1=1),$A77,$A77+1),COLUMN('1-DATA'!AF75)),IF($B77="STD. DEVIATION",2,$F$1))))</f>
        <v/>
      </c>
      <c r="AH77" s="1" t="str">
        <f>IF(OR($B77="",AH$7=""),"",IF($B77="MEANS",INDEX('1-DATA'!$1:$1048576,$A76-1,COLUMN('1-DATA'!AG75)),ROUND(INDEX('1-DATA'!$1:$1048576,IF(OR($B77="STD. DEVIATION",$C$1=1),$A77,$A77+1),COLUMN('1-DATA'!AG75)),IF($B77="STD. DEVIATION",2,$F$1))))</f>
        <v/>
      </c>
      <c r="AI77" s="1" t="str">
        <f>IF(OR($B77="",AI$7=""),"",IF($B77="MEANS",INDEX('1-DATA'!$1:$1048576,$A76-1,COLUMN('1-DATA'!AH75)),ROUND(INDEX('1-DATA'!$1:$1048576,IF(OR($B77="STD. DEVIATION",$C$1=1),$A77,$A77+1),COLUMN('1-DATA'!AH75)),IF($B77="STD. DEVIATION",2,$F$1))))</f>
        <v/>
      </c>
      <c r="AJ77" s="1" t="str">
        <f>IF(OR($B77="",AJ$7=""),"",IF($B77="MEANS",INDEX('1-DATA'!$1:$1048576,$A76-1,COLUMN('1-DATA'!AI75)),ROUND(INDEX('1-DATA'!$1:$1048576,IF(OR($B77="STD. DEVIATION",$C$1=1),$A77,$A77+1),COLUMN('1-DATA'!AI75)),IF($B77="STD. DEVIATION",2,$F$1))))</f>
        <v/>
      </c>
      <c r="AK77" s="1" t="str">
        <f>IF(OR($B77="",AK$7=""),"",IF($B77="MEANS",INDEX('1-DATA'!$1:$1048576,$A76-1,COLUMN('1-DATA'!AJ75)),ROUND(INDEX('1-DATA'!$1:$1048576,IF(OR($B77="STD. DEVIATION",$C$1=1),$A77,$A77+1),COLUMN('1-DATA'!AJ75)),IF($B77="STD. DEVIATION",2,$F$1))))</f>
        <v/>
      </c>
      <c r="AL77" s="1" t="str">
        <f>IF(OR($B77="",AL$7=""),"",IF($B77="MEANS",INDEX('1-DATA'!$1:$1048576,$A76-1,COLUMN('1-DATA'!AK75)),ROUND(INDEX('1-DATA'!$1:$1048576,IF(OR($B77="STD. DEVIATION",$C$1=1),$A77,$A77+1),COLUMN('1-DATA'!AK75)),IF($B77="STD. DEVIATION",2,$F$1))))</f>
        <v/>
      </c>
      <c r="AM77" s="1" t="str">
        <f>IF(OR($B77="",AM$7=""),"",IF($B77="MEANS",INDEX('1-DATA'!$1:$1048576,$A76-1,COLUMN('1-DATA'!AL75)),ROUND(INDEX('1-DATA'!$1:$1048576,IF(OR($B77="STD. DEVIATION",$C$1=1),$A77,$A77+1),COLUMN('1-DATA'!AL75)),IF($B77="STD. DEVIATION",2,$F$1))))</f>
        <v/>
      </c>
      <c r="AN77" s="1" t="str">
        <f>IF(OR($B77="",AN$7=""),"",IF($B77="MEANS",INDEX('1-DATA'!$1:$1048576,$A76-1,COLUMN('1-DATA'!AM75)),ROUND(INDEX('1-DATA'!$1:$1048576,IF(OR($B77="STD. DEVIATION",$C$1=1),$A77,$A77+1),COLUMN('1-DATA'!AM75)),IF($B77="STD. DEVIATION",2,$F$1))))</f>
        <v/>
      </c>
      <c r="AO77" s="1" t="str">
        <f>IF(OR($B77="",AO$7=""),"",IF($B77="MEANS",INDEX('1-DATA'!$1:$1048576,$A76-1,COLUMN('1-DATA'!AN75)),ROUND(INDEX('1-DATA'!$1:$1048576,IF(OR($B77="STD. DEVIATION",$C$1=1),$A77,$A77+1),COLUMN('1-DATA'!AN75)),IF($B77="STD. DEVIATION",2,$F$1))))</f>
        <v/>
      </c>
      <c r="AP77" s="1" t="str">
        <f>IF(OR($B77="",AP$7=""),"",IF($B77="MEANS",INDEX('1-DATA'!$1:$1048576,$A76-1,COLUMN('1-DATA'!AO75)),ROUND(INDEX('1-DATA'!$1:$1048576,IF(OR($B77="STD. DEVIATION",$C$1=1),$A77,$A77+1),COLUMN('1-DATA'!AO75)),IF($B77="STD. DEVIATION",2,$F$1))))</f>
        <v/>
      </c>
      <c r="AQ77" s="1" t="str">
        <f>IF(OR($B77="",AQ$7=""),"",IF($B77="MEANS",INDEX('1-DATA'!$1:$1048576,$A76-1,COLUMN('1-DATA'!AP75)),ROUND(INDEX('1-DATA'!$1:$1048576,IF(OR($B77="STD. DEVIATION",$C$1=1),$A77,$A77+1),COLUMN('1-DATA'!AP75)),IF($B77="STD. DEVIATION",2,$F$1))))</f>
        <v/>
      </c>
      <c r="AR77" s="1" t="str">
        <f>IF(OR($B77="",AR$7=""),"",IF($B77="MEANS",INDEX('1-DATA'!$1:$1048576,$A76-1,COLUMN('1-DATA'!AQ75)),ROUND(INDEX('1-DATA'!$1:$1048576,IF(OR($B77="STD. DEVIATION",$C$1=1),$A77,$A77+1),COLUMN('1-DATA'!AQ75)),IF($B77="STD. DEVIATION",2,$F$1))))</f>
        <v/>
      </c>
      <c r="AS77" s="1" t="str">
        <f>IF(OR($B77="",AS$7=""),"",IF($B77="MEANS",INDEX('1-DATA'!$1:$1048576,$A76-1,COLUMN('1-DATA'!AR75)),ROUND(INDEX('1-DATA'!$1:$1048576,IF(OR($B77="STD. DEVIATION",$C$1=1),$A77,$A77+1),COLUMN('1-DATA'!AR75)),IF($B77="STD. DEVIATION",2,$F$1))))</f>
        <v/>
      </c>
      <c r="AT77" s="1" t="str">
        <f>IF(OR($B77="",AT$7=""),"",IF($B77="MEANS",INDEX('1-DATA'!$1:$1048576,$A76-1,COLUMN('1-DATA'!AS75)),ROUND(INDEX('1-DATA'!$1:$1048576,IF(OR($B77="STD. DEVIATION",$C$1=1),$A77,$A77+1),COLUMN('1-DATA'!AS75)),IF($B77="STD. DEVIATION",2,$F$1))))</f>
        <v/>
      </c>
      <c r="AU77" s="1" t="str">
        <f>IF(OR($B77="",AU$7=""),"",IF($B77="MEANS",INDEX('1-DATA'!$1:$1048576,$A76-1,COLUMN('1-DATA'!AT75)),ROUND(INDEX('1-DATA'!$1:$1048576,IF(OR($B77="STD. DEVIATION",$C$1=1),$A77,$A77+1),COLUMN('1-DATA'!AT75)),IF($B77="STD. DEVIATION",2,$F$1))))</f>
        <v/>
      </c>
      <c r="AV77" s="1" t="str">
        <f>IF(OR($B77="",AV$7=""),"",IF($B77="MEANS",INDEX('1-DATA'!$1:$1048576,$A76-1,COLUMN('1-DATA'!AU75)),ROUND(INDEX('1-DATA'!$1:$1048576,IF(OR($B77="STD. DEVIATION",$C$1=1),$A77,$A77+1),COLUMN('1-DATA'!AU75)),IF($B77="STD. DEVIATION",2,$F$1))))</f>
        <v/>
      </c>
      <c r="AW77" s="1" t="str">
        <f>IF(OR($B77="",AW$7=""),"",IF($B77="MEANS",INDEX('1-DATA'!$1:$1048576,$A76-1,COLUMN('1-DATA'!AV75)),ROUND(INDEX('1-DATA'!$1:$1048576,IF(OR($B77="STD. DEVIATION",$C$1=1),$A77,$A77+1),COLUMN('1-DATA'!AV75)),IF($B77="STD. DEVIATION",2,$F$1))))</f>
        <v/>
      </c>
      <c r="AX77" s="1" t="str">
        <f>IF(OR($B77="",AX$7=""),"",IF($B77="MEANS",INDEX('1-DATA'!$1:$1048576,$A76-1,COLUMN('1-DATA'!AW75)),ROUND(INDEX('1-DATA'!$1:$1048576,IF(OR($B77="STD. DEVIATION",$C$1=1),$A77,$A77+1),COLUMN('1-DATA'!AW75)),IF($B77="STD. DEVIATION",2,$F$1))))</f>
        <v/>
      </c>
      <c r="AY77" s="1" t="str">
        <f>IF(OR($B77="",AY$7=""),"",IF($B77="MEANS",INDEX('1-DATA'!$1:$1048576,$A76-1,COLUMN('1-DATA'!AX75)),ROUND(INDEX('1-DATA'!$1:$1048576,IF(OR($B77="STD. DEVIATION",$C$1=1),$A77,$A77+1),COLUMN('1-DATA'!AX75)),IF($B77="STD. DEVIATION",2,$F$1))))</f>
        <v/>
      </c>
      <c r="AZ77" s="1" t="str">
        <f>IF(OR($B77="",AZ$7=""),"",IF($B77="MEANS",INDEX('1-DATA'!$1:$1048576,$A76-1,COLUMN('1-DATA'!AY75)),ROUND(INDEX('1-DATA'!$1:$1048576,IF(OR($B77="STD. DEVIATION",$C$1=1),$A77,$A77+1),COLUMN('1-DATA'!AY75)),IF($B77="STD. DEVIATION",2,$F$1))))</f>
        <v/>
      </c>
    </row>
    <row r="78" spans="1:52" x14ac:dyDescent="0.25">
      <c r="A78" s="11">
        <f t="shared" si="1"/>
        <v>220</v>
      </c>
      <c r="B78" s="1" t="str">
        <f>IF(B77="STD. DEVIATION",INDEX('1-DATA'!$1:$1048576,$A77-1,1),IF(INDEX('1-DATA'!$1:$1048576,$A78,1)&lt;&gt;"",INDEX('1-DATA'!$1:$1048576,$A78,1),""))</f>
        <v/>
      </c>
      <c r="C78" s="1" t="str">
        <f>IF(OR($B78="",C$7=""),"",IF($B78="MEANS",INDEX('1-DATA'!$1:$1048576,$A77-1,COLUMN('1-DATA'!B76)),ROUND(INDEX('1-DATA'!$1:$1048576,IF(OR($B78="STD. DEVIATION",$C$1=1),$A78,$A78+1),COLUMN('1-DATA'!B76)),IF($B78="STD. DEVIATION",2,$F$1))))</f>
        <v/>
      </c>
      <c r="D78" s="1" t="str">
        <f>IF(OR($B78="",D$7=""),"",IF($B78="MEANS",INDEX('1-DATA'!$1:$1048576,$A77-1,COLUMN('1-DATA'!C76)),ROUND(INDEX('1-DATA'!$1:$1048576,IF(OR($B78="STD. DEVIATION",$C$1=1),$A78,$A78+1),COLUMN('1-DATA'!C76)),IF($B78="STD. DEVIATION",2,$F$1))))</f>
        <v/>
      </c>
      <c r="E78" s="1" t="str">
        <f>IF(OR($B78="",E$7=""),"",IF($B78="MEANS",INDEX('1-DATA'!$1:$1048576,$A77-1,COLUMN('1-DATA'!D76)),ROUND(INDEX('1-DATA'!$1:$1048576,IF(OR($B78="STD. DEVIATION",$C$1=1),$A78,$A78+1),COLUMN('1-DATA'!D76)),IF($B78="STD. DEVIATION",2,$F$1))))</f>
        <v/>
      </c>
      <c r="F78" s="1" t="str">
        <f>IF(OR($B78="",F$7=""),"",IF($B78="MEANS",INDEX('1-DATA'!$1:$1048576,$A77-1,COLUMN('1-DATA'!E76)),ROUND(INDEX('1-DATA'!$1:$1048576,IF(OR($B78="STD. DEVIATION",$C$1=1),$A78,$A78+1),COLUMN('1-DATA'!E76)),IF($B78="STD. DEVIATION",2,$F$1))))</f>
        <v/>
      </c>
      <c r="G78" s="1" t="str">
        <f>IF(OR($B78="",G$7=""),"",IF($B78="MEANS",INDEX('1-DATA'!$1:$1048576,$A77-1,COLUMN('1-DATA'!F76)),ROUND(INDEX('1-DATA'!$1:$1048576,IF(OR($B78="STD. DEVIATION",$C$1=1),$A78,$A78+1),COLUMN('1-DATA'!F76)),IF($B78="STD. DEVIATION",2,$F$1))))</f>
        <v/>
      </c>
      <c r="H78" s="1" t="str">
        <f>IF(OR($B78="",H$7=""),"",IF($B78="MEANS",INDEX('1-DATA'!$1:$1048576,$A77-1,COLUMN('1-DATA'!G76)),ROUND(INDEX('1-DATA'!$1:$1048576,IF(OR($B78="STD. DEVIATION",$C$1=1),$A78,$A78+1),COLUMN('1-DATA'!G76)),IF($B78="STD. DEVIATION",2,$F$1))))</f>
        <v/>
      </c>
      <c r="I78" s="1" t="str">
        <f>IF(OR($B78="",I$7=""),"",IF($B78="MEANS",INDEX('1-DATA'!$1:$1048576,$A77-1,COLUMN('1-DATA'!H76)),ROUND(INDEX('1-DATA'!$1:$1048576,IF(OR($B78="STD. DEVIATION",$C$1=1),$A78,$A78+1),COLUMN('1-DATA'!H76)),IF($B78="STD. DEVIATION",2,$F$1))))</f>
        <v/>
      </c>
      <c r="J78" s="1" t="str">
        <f>IF(OR($B78="",J$7=""),"",IF($B78="MEANS",INDEX('1-DATA'!$1:$1048576,$A77-1,COLUMN('1-DATA'!I76)),ROUND(INDEX('1-DATA'!$1:$1048576,IF(OR($B78="STD. DEVIATION",$C$1=1),$A78,$A78+1),COLUMN('1-DATA'!I76)),IF($B78="STD. DEVIATION",2,$F$1))))</f>
        <v/>
      </c>
      <c r="K78" s="1" t="str">
        <f>IF(OR($B78="",K$7=""),"",IF($B78="MEANS",INDEX('1-DATA'!$1:$1048576,$A77-1,COLUMN('1-DATA'!J76)),ROUND(INDEX('1-DATA'!$1:$1048576,IF(OR($B78="STD. DEVIATION",$C$1=1),$A78,$A78+1),COLUMN('1-DATA'!J76)),IF($B78="STD. DEVIATION",2,$F$1))))</f>
        <v/>
      </c>
      <c r="L78" s="1" t="str">
        <f>IF(OR($B78="",L$7=""),"",IF($B78="MEANS",INDEX('1-DATA'!$1:$1048576,$A77-1,COLUMN('1-DATA'!K76)),ROUND(INDEX('1-DATA'!$1:$1048576,IF(OR($B78="STD. DEVIATION",$C$1=1),$A78,$A78+1),COLUMN('1-DATA'!K76)),IF($B78="STD. DEVIATION",2,$F$1))))</f>
        <v/>
      </c>
      <c r="M78" s="1" t="str">
        <f>IF(OR($B78="",M$7=""),"",IF($B78="MEANS",INDEX('1-DATA'!$1:$1048576,$A77-1,COLUMN('1-DATA'!L76)),ROUND(INDEX('1-DATA'!$1:$1048576,IF(OR($B78="STD. DEVIATION",$C$1=1),$A78,$A78+1),COLUMN('1-DATA'!L76)),IF($B78="STD. DEVIATION",2,$F$1))))</f>
        <v/>
      </c>
      <c r="N78" s="1" t="str">
        <f>IF(OR($B78="",N$7=""),"",IF($B78="MEANS",INDEX('1-DATA'!$1:$1048576,$A77-1,COLUMN('1-DATA'!M76)),ROUND(INDEX('1-DATA'!$1:$1048576,IF(OR($B78="STD. DEVIATION",$C$1=1),$A78,$A78+1),COLUMN('1-DATA'!M76)),IF($B78="STD. DEVIATION",2,$F$1))))</f>
        <v/>
      </c>
      <c r="O78" s="1" t="str">
        <f>IF(OR($B78="",O$7=""),"",IF($B78="MEANS",INDEX('1-DATA'!$1:$1048576,$A77-1,COLUMN('1-DATA'!N76)),ROUND(INDEX('1-DATA'!$1:$1048576,IF(OR($B78="STD. DEVIATION",$C$1=1),$A78,$A78+1),COLUMN('1-DATA'!N76)),IF($B78="STD. DEVIATION",2,$F$1))))</f>
        <v/>
      </c>
      <c r="P78" s="1" t="str">
        <f>IF(OR($B78="",P$7=""),"",IF($B78="MEANS",INDEX('1-DATA'!$1:$1048576,$A77-1,COLUMN('1-DATA'!O76)),ROUND(INDEX('1-DATA'!$1:$1048576,IF(OR($B78="STD. DEVIATION",$C$1=1),$A78,$A78+1),COLUMN('1-DATA'!O76)),IF($B78="STD. DEVIATION",2,$F$1))))</f>
        <v/>
      </c>
      <c r="Q78" s="1" t="str">
        <f>IF(OR($B78="",Q$7=""),"",IF($B78="MEANS",INDEX('1-DATA'!$1:$1048576,$A77-1,COLUMN('1-DATA'!P76)),ROUND(INDEX('1-DATA'!$1:$1048576,IF(OR($B78="STD. DEVIATION",$C$1=1),$A78,$A78+1),COLUMN('1-DATA'!P76)),IF($B78="STD. DEVIATION",2,$F$1))))</f>
        <v/>
      </c>
      <c r="R78" s="1" t="str">
        <f>IF(OR($B78="",R$7=""),"",IF($B78="MEANS",INDEX('1-DATA'!$1:$1048576,$A77-1,COLUMN('1-DATA'!Q76)),ROUND(INDEX('1-DATA'!$1:$1048576,IF(OR($B78="STD. DEVIATION",$C$1=1),$A78,$A78+1),COLUMN('1-DATA'!Q76)),IF($B78="STD. DEVIATION",2,$F$1))))</f>
        <v/>
      </c>
      <c r="S78" s="1" t="str">
        <f>IF(OR($B78="",S$7=""),"",IF($B78="MEANS",INDEX('1-DATA'!$1:$1048576,$A77-1,COLUMN('1-DATA'!R76)),ROUND(INDEX('1-DATA'!$1:$1048576,IF(OR($B78="STD. DEVIATION",$C$1=1),$A78,$A78+1),COLUMN('1-DATA'!R76)),IF($B78="STD. DEVIATION",2,$F$1))))</f>
        <v/>
      </c>
      <c r="T78" s="1" t="str">
        <f>IF(OR($B78="",T$7=""),"",IF($B78="MEANS",INDEX('1-DATA'!$1:$1048576,$A77-1,COLUMN('1-DATA'!S76)),ROUND(INDEX('1-DATA'!$1:$1048576,IF(OR($B78="STD. DEVIATION",$C$1=1),$A78,$A78+1),COLUMN('1-DATA'!S76)),IF($B78="STD. DEVIATION",2,$F$1))))</f>
        <v/>
      </c>
      <c r="U78" s="1" t="str">
        <f>IF(OR($B78="",U$7=""),"",IF($B78="MEANS",INDEX('1-DATA'!$1:$1048576,$A77-1,COLUMN('1-DATA'!T76)),ROUND(INDEX('1-DATA'!$1:$1048576,IF(OR($B78="STD. DEVIATION",$C$1=1),$A78,$A78+1),COLUMN('1-DATA'!T76)),IF($B78="STD. DEVIATION",2,$F$1))))</f>
        <v/>
      </c>
      <c r="V78" s="1" t="str">
        <f>IF(OR($B78="",V$7=""),"",IF($B78="MEANS",INDEX('1-DATA'!$1:$1048576,$A77-1,COLUMN('1-DATA'!U76)),ROUND(INDEX('1-DATA'!$1:$1048576,IF(OR($B78="STD. DEVIATION",$C$1=1),$A78,$A78+1),COLUMN('1-DATA'!U76)),IF($B78="STD. DEVIATION",2,$F$1))))</f>
        <v/>
      </c>
      <c r="W78" s="1" t="str">
        <f>IF(OR($B78="",W$7=""),"",IF($B78="MEANS",INDEX('1-DATA'!$1:$1048576,$A77-1,COLUMN('1-DATA'!V76)),ROUND(INDEX('1-DATA'!$1:$1048576,IF(OR($B78="STD. DEVIATION",$C$1=1),$A78,$A78+1),COLUMN('1-DATA'!V76)),IF($B78="STD. DEVIATION",2,$F$1))))</f>
        <v/>
      </c>
      <c r="X78" s="1" t="str">
        <f>IF(OR($B78="",X$7=""),"",IF($B78="MEANS",INDEX('1-DATA'!$1:$1048576,$A77-1,COLUMN('1-DATA'!W76)),ROUND(INDEX('1-DATA'!$1:$1048576,IF(OR($B78="STD. DEVIATION",$C$1=1),$A78,$A78+1),COLUMN('1-DATA'!W76)),IF($B78="STD. DEVIATION",2,$F$1))))</f>
        <v/>
      </c>
      <c r="Y78" s="1" t="str">
        <f>IF(OR($B78="",Y$7=""),"",IF($B78="MEANS",INDEX('1-DATA'!$1:$1048576,$A77-1,COLUMN('1-DATA'!X76)),ROUND(INDEX('1-DATA'!$1:$1048576,IF(OR($B78="STD. DEVIATION",$C$1=1),$A78,$A78+1),COLUMN('1-DATA'!X76)),IF($B78="STD. DEVIATION",2,$F$1))))</f>
        <v/>
      </c>
      <c r="Z78" s="1" t="str">
        <f>IF(OR($B78="",Z$7=""),"",IF($B78="MEANS",INDEX('1-DATA'!$1:$1048576,$A77-1,COLUMN('1-DATA'!Y76)),ROUND(INDEX('1-DATA'!$1:$1048576,IF(OR($B78="STD. DEVIATION",$C$1=1),$A78,$A78+1),COLUMN('1-DATA'!Y76)),IF($B78="STD. DEVIATION",2,$F$1))))</f>
        <v/>
      </c>
      <c r="AA78" s="1" t="str">
        <f>IF(OR($B78="",AA$7=""),"",IF($B78="MEANS",INDEX('1-DATA'!$1:$1048576,$A77-1,COLUMN('1-DATA'!Z76)),ROUND(INDEX('1-DATA'!$1:$1048576,IF(OR($B78="STD. DEVIATION",$C$1=1),$A78,$A78+1),COLUMN('1-DATA'!Z76)),IF($B78="STD. DEVIATION",2,$F$1))))</f>
        <v/>
      </c>
      <c r="AB78" s="1" t="str">
        <f>IF(OR($B78="",AB$7=""),"",IF($B78="MEANS",INDEX('1-DATA'!$1:$1048576,$A77-1,COLUMN('1-DATA'!AA76)),ROUND(INDEX('1-DATA'!$1:$1048576,IF(OR($B78="STD. DEVIATION",$C$1=1),$A78,$A78+1),COLUMN('1-DATA'!AA76)),IF($B78="STD. DEVIATION",2,$F$1))))</f>
        <v/>
      </c>
      <c r="AC78" s="1" t="str">
        <f>IF(OR($B78="",AC$7=""),"",IF($B78="MEANS",INDEX('1-DATA'!$1:$1048576,$A77-1,COLUMN('1-DATA'!AB76)),ROUND(INDEX('1-DATA'!$1:$1048576,IF(OR($B78="STD. DEVIATION",$C$1=1),$A78,$A78+1),COLUMN('1-DATA'!AB76)),IF($B78="STD. DEVIATION",2,$F$1))))</f>
        <v/>
      </c>
      <c r="AD78" s="1" t="str">
        <f>IF(OR($B78="",AD$7=""),"",IF($B78="MEANS",INDEX('1-DATA'!$1:$1048576,$A77-1,COLUMN('1-DATA'!AC76)),ROUND(INDEX('1-DATA'!$1:$1048576,IF(OR($B78="STD. DEVIATION",$C$1=1),$A78,$A78+1),COLUMN('1-DATA'!AC76)),IF($B78="STD. DEVIATION",2,$F$1))))</f>
        <v/>
      </c>
      <c r="AE78" s="1" t="str">
        <f>IF(OR($B78="",AE$7=""),"",IF($B78="MEANS",INDEX('1-DATA'!$1:$1048576,$A77-1,COLUMN('1-DATA'!AD76)),ROUND(INDEX('1-DATA'!$1:$1048576,IF(OR($B78="STD. DEVIATION",$C$1=1),$A78,$A78+1),COLUMN('1-DATA'!AD76)),IF($B78="STD. DEVIATION",2,$F$1))))</f>
        <v/>
      </c>
      <c r="AF78" s="1" t="str">
        <f>IF(OR($B78="",AF$7=""),"",IF($B78="MEANS",INDEX('1-DATA'!$1:$1048576,$A77-1,COLUMN('1-DATA'!AE76)),ROUND(INDEX('1-DATA'!$1:$1048576,IF(OR($B78="STD. DEVIATION",$C$1=1),$A78,$A78+1),COLUMN('1-DATA'!AE76)),IF($B78="STD. DEVIATION",2,$F$1))))</f>
        <v/>
      </c>
      <c r="AG78" s="1" t="str">
        <f>IF(OR($B78="",AG$7=""),"",IF($B78="MEANS",INDEX('1-DATA'!$1:$1048576,$A77-1,COLUMN('1-DATA'!AF76)),ROUND(INDEX('1-DATA'!$1:$1048576,IF(OR($B78="STD. DEVIATION",$C$1=1),$A78,$A78+1),COLUMN('1-DATA'!AF76)),IF($B78="STD. DEVIATION",2,$F$1))))</f>
        <v/>
      </c>
      <c r="AH78" s="1" t="str">
        <f>IF(OR($B78="",AH$7=""),"",IF($B78="MEANS",INDEX('1-DATA'!$1:$1048576,$A77-1,COLUMN('1-DATA'!AG76)),ROUND(INDEX('1-DATA'!$1:$1048576,IF(OR($B78="STD. DEVIATION",$C$1=1),$A78,$A78+1),COLUMN('1-DATA'!AG76)),IF($B78="STD. DEVIATION",2,$F$1))))</f>
        <v/>
      </c>
      <c r="AI78" s="1" t="str">
        <f>IF(OR($B78="",AI$7=""),"",IF($B78="MEANS",INDEX('1-DATA'!$1:$1048576,$A77-1,COLUMN('1-DATA'!AH76)),ROUND(INDEX('1-DATA'!$1:$1048576,IF(OR($B78="STD. DEVIATION",$C$1=1),$A78,$A78+1),COLUMN('1-DATA'!AH76)),IF($B78="STD. DEVIATION",2,$F$1))))</f>
        <v/>
      </c>
      <c r="AJ78" s="1" t="str">
        <f>IF(OR($B78="",AJ$7=""),"",IF($B78="MEANS",INDEX('1-DATA'!$1:$1048576,$A77-1,COLUMN('1-DATA'!AI76)),ROUND(INDEX('1-DATA'!$1:$1048576,IF(OR($B78="STD. DEVIATION",$C$1=1),$A78,$A78+1),COLUMN('1-DATA'!AI76)),IF($B78="STD. DEVIATION",2,$F$1))))</f>
        <v/>
      </c>
      <c r="AK78" s="1" t="str">
        <f>IF(OR($B78="",AK$7=""),"",IF($B78="MEANS",INDEX('1-DATA'!$1:$1048576,$A77-1,COLUMN('1-DATA'!AJ76)),ROUND(INDEX('1-DATA'!$1:$1048576,IF(OR($B78="STD. DEVIATION",$C$1=1),$A78,$A78+1),COLUMN('1-DATA'!AJ76)),IF($B78="STD. DEVIATION",2,$F$1))))</f>
        <v/>
      </c>
      <c r="AL78" s="1" t="str">
        <f>IF(OR($B78="",AL$7=""),"",IF($B78="MEANS",INDEX('1-DATA'!$1:$1048576,$A77-1,COLUMN('1-DATA'!AK76)),ROUND(INDEX('1-DATA'!$1:$1048576,IF(OR($B78="STD. DEVIATION",$C$1=1),$A78,$A78+1),COLUMN('1-DATA'!AK76)),IF($B78="STD. DEVIATION",2,$F$1))))</f>
        <v/>
      </c>
      <c r="AM78" s="1" t="str">
        <f>IF(OR($B78="",AM$7=""),"",IF($B78="MEANS",INDEX('1-DATA'!$1:$1048576,$A77-1,COLUMN('1-DATA'!AL76)),ROUND(INDEX('1-DATA'!$1:$1048576,IF(OR($B78="STD. DEVIATION",$C$1=1),$A78,$A78+1),COLUMN('1-DATA'!AL76)),IF($B78="STD. DEVIATION",2,$F$1))))</f>
        <v/>
      </c>
      <c r="AN78" s="1" t="str">
        <f>IF(OR($B78="",AN$7=""),"",IF($B78="MEANS",INDEX('1-DATA'!$1:$1048576,$A77-1,COLUMN('1-DATA'!AM76)),ROUND(INDEX('1-DATA'!$1:$1048576,IF(OR($B78="STD. DEVIATION",$C$1=1),$A78,$A78+1),COLUMN('1-DATA'!AM76)),IF($B78="STD. DEVIATION",2,$F$1))))</f>
        <v/>
      </c>
      <c r="AO78" s="1" t="str">
        <f>IF(OR($B78="",AO$7=""),"",IF($B78="MEANS",INDEX('1-DATA'!$1:$1048576,$A77-1,COLUMN('1-DATA'!AN76)),ROUND(INDEX('1-DATA'!$1:$1048576,IF(OR($B78="STD. DEVIATION",$C$1=1),$A78,$A78+1),COLUMN('1-DATA'!AN76)),IF($B78="STD. DEVIATION",2,$F$1))))</f>
        <v/>
      </c>
      <c r="AP78" s="1" t="str">
        <f>IF(OR($B78="",AP$7=""),"",IF($B78="MEANS",INDEX('1-DATA'!$1:$1048576,$A77-1,COLUMN('1-DATA'!AO76)),ROUND(INDEX('1-DATA'!$1:$1048576,IF(OR($B78="STD. DEVIATION",$C$1=1),$A78,$A78+1),COLUMN('1-DATA'!AO76)),IF($B78="STD. DEVIATION",2,$F$1))))</f>
        <v/>
      </c>
      <c r="AQ78" s="1" t="str">
        <f>IF(OR($B78="",AQ$7=""),"",IF($B78="MEANS",INDEX('1-DATA'!$1:$1048576,$A77-1,COLUMN('1-DATA'!AP76)),ROUND(INDEX('1-DATA'!$1:$1048576,IF(OR($B78="STD. DEVIATION",$C$1=1),$A78,$A78+1),COLUMN('1-DATA'!AP76)),IF($B78="STD. DEVIATION",2,$F$1))))</f>
        <v/>
      </c>
      <c r="AR78" s="1" t="str">
        <f>IF(OR($B78="",AR$7=""),"",IF($B78="MEANS",INDEX('1-DATA'!$1:$1048576,$A77-1,COLUMN('1-DATA'!AQ76)),ROUND(INDEX('1-DATA'!$1:$1048576,IF(OR($B78="STD. DEVIATION",$C$1=1),$A78,$A78+1),COLUMN('1-DATA'!AQ76)),IF($B78="STD. DEVIATION",2,$F$1))))</f>
        <v/>
      </c>
      <c r="AS78" s="1" t="str">
        <f>IF(OR($B78="",AS$7=""),"",IF($B78="MEANS",INDEX('1-DATA'!$1:$1048576,$A77-1,COLUMN('1-DATA'!AR76)),ROUND(INDEX('1-DATA'!$1:$1048576,IF(OR($B78="STD. DEVIATION",$C$1=1),$A78,$A78+1),COLUMN('1-DATA'!AR76)),IF($B78="STD. DEVIATION",2,$F$1))))</f>
        <v/>
      </c>
      <c r="AT78" s="1" t="str">
        <f>IF(OR($B78="",AT$7=""),"",IF($B78="MEANS",INDEX('1-DATA'!$1:$1048576,$A77-1,COLUMN('1-DATA'!AS76)),ROUND(INDEX('1-DATA'!$1:$1048576,IF(OR($B78="STD. DEVIATION",$C$1=1),$A78,$A78+1),COLUMN('1-DATA'!AS76)),IF($B78="STD. DEVIATION",2,$F$1))))</f>
        <v/>
      </c>
      <c r="AU78" s="1" t="str">
        <f>IF(OR($B78="",AU$7=""),"",IF($B78="MEANS",INDEX('1-DATA'!$1:$1048576,$A77-1,COLUMN('1-DATA'!AT76)),ROUND(INDEX('1-DATA'!$1:$1048576,IF(OR($B78="STD. DEVIATION",$C$1=1),$A78,$A78+1),COLUMN('1-DATA'!AT76)),IF($B78="STD. DEVIATION",2,$F$1))))</f>
        <v/>
      </c>
      <c r="AV78" s="1" t="str">
        <f>IF(OR($B78="",AV$7=""),"",IF($B78="MEANS",INDEX('1-DATA'!$1:$1048576,$A77-1,COLUMN('1-DATA'!AU76)),ROUND(INDEX('1-DATA'!$1:$1048576,IF(OR($B78="STD. DEVIATION",$C$1=1),$A78,$A78+1),COLUMN('1-DATA'!AU76)),IF($B78="STD. DEVIATION",2,$F$1))))</f>
        <v/>
      </c>
      <c r="AW78" s="1" t="str">
        <f>IF(OR($B78="",AW$7=""),"",IF($B78="MEANS",INDEX('1-DATA'!$1:$1048576,$A77-1,COLUMN('1-DATA'!AV76)),ROUND(INDEX('1-DATA'!$1:$1048576,IF(OR($B78="STD. DEVIATION",$C$1=1),$A78,$A78+1),COLUMN('1-DATA'!AV76)),IF($B78="STD. DEVIATION",2,$F$1))))</f>
        <v/>
      </c>
      <c r="AX78" s="1" t="str">
        <f>IF(OR($B78="",AX$7=""),"",IF($B78="MEANS",INDEX('1-DATA'!$1:$1048576,$A77-1,COLUMN('1-DATA'!AW76)),ROUND(INDEX('1-DATA'!$1:$1048576,IF(OR($B78="STD. DEVIATION",$C$1=1),$A78,$A78+1),COLUMN('1-DATA'!AW76)),IF($B78="STD. DEVIATION",2,$F$1))))</f>
        <v/>
      </c>
      <c r="AY78" s="1" t="str">
        <f>IF(OR($B78="",AY$7=""),"",IF($B78="MEANS",INDEX('1-DATA'!$1:$1048576,$A77-1,COLUMN('1-DATA'!AX76)),ROUND(INDEX('1-DATA'!$1:$1048576,IF(OR($B78="STD. DEVIATION",$C$1=1),$A78,$A78+1),COLUMN('1-DATA'!AX76)),IF($B78="STD. DEVIATION",2,$F$1))))</f>
        <v/>
      </c>
      <c r="AZ78" s="1" t="str">
        <f>IF(OR($B78="",AZ$7=""),"",IF($B78="MEANS",INDEX('1-DATA'!$1:$1048576,$A77-1,COLUMN('1-DATA'!AY76)),ROUND(INDEX('1-DATA'!$1:$1048576,IF(OR($B78="STD. DEVIATION",$C$1=1),$A78,$A78+1),COLUMN('1-DATA'!AY76)),IF($B78="STD. DEVIATION",2,$F$1))))</f>
        <v/>
      </c>
    </row>
    <row r="79" spans="1:52" x14ac:dyDescent="0.25">
      <c r="A79" s="11">
        <f t="shared" si="1"/>
        <v>223</v>
      </c>
      <c r="B79" s="1" t="str">
        <f>IF(B78="STD. DEVIATION",INDEX('1-DATA'!$1:$1048576,$A78-1,1),IF(INDEX('1-DATA'!$1:$1048576,$A79,1)&lt;&gt;"",INDEX('1-DATA'!$1:$1048576,$A79,1),""))</f>
        <v/>
      </c>
      <c r="C79" s="1" t="str">
        <f>IF(OR($B79="",C$7=""),"",IF($B79="MEANS",INDEX('1-DATA'!$1:$1048576,$A78-1,COLUMN('1-DATA'!B77)),ROUND(INDEX('1-DATA'!$1:$1048576,IF(OR($B79="STD. DEVIATION",$C$1=1),$A79,$A79+1),COLUMN('1-DATA'!B77)),IF($B79="STD. DEVIATION",2,$F$1))))</f>
        <v/>
      </c>
      <c r="D79" s="1" t="str">
        <f>IF(OR($B79="",D$7=""),"",IF($B79="MEANS",INDEX('1-DATA'!$1:$1048576,$A78-1,COLUMN('1-DATA'!C77)),ROUND(INDEX('1-DATA'!$1:$1048576,IF(OR($B79="STD. DEVIATION",$C$1=1),$A79,$A79+1),COLUMN('1-DATA'!C77)),IF($B79="STD. DEVIATION",2,$F$1))))</f>
        <v/>
      </c>
      <c r="E79" s="1" t="str">
        <f>IF(OR($B79="",E$7=""),"",IF($B79="MEANS",INDEX('1-DATA'!$1:$1048576,$A78-1,COLUMN('1-DATA'!D77)),ROUND(INDEX('1-DATA'!$1:$1048576,IF(OR($B79="STD. DEVIATION",$C$1=1),$A79,$A79+1),COLUMN('1-DATA'!D77)),IF($B79="STD. DEVIATION",2,$F$1))))</f>
        <v/>
      </c>
      <c r="F79" s="1" t="str">
        <f>IF(OR($B79="",F$7=""),"",IF($B79="MEANS",INDEX('1-DATA'!$1:$1048576,$A78-1,COLUMN('1-DATA'!E77)),ROUND(INDEX('1-DATA'!$1:$1048576,IF(OR($B79="STD. DEVIATION",$C$1=1),$A79,$A79+1),COLUMN('1-DATA'!E77)),IF($B79="STD. DEVIATION",2,$F$1))))</f>
        <v/>
      </c>
      <c r="G79" s="1" t="str">
        <f>IF(OR($B79="",G$7=""),"",IF($B79="MEANS",INDEX('1-DATA'!$1:$1048576,$A78-1,COLUMN('1-DATA'!F77)),ROUND(INDEX('1-DATA'!$1:$1048576,IF(OR($B79="STD. DEVIATION",$C$1=1),$A79,$A79+1),COLUMN('1-DATA'!F77)),IF($B79="STD. DEVIATION",2,$F$1))))</f>
        <v/>
      </c>
      <c r="H79" s="1" t="str">
        <f>IF(OR($B79="",H$7=""),"",IF($B79="MEANS",INDEX('1-DATA'!$1:$1048576,$A78-1,COLUMN('1-DATA'!G77)),ROUND(INDEX('1-DATA'!$1:$1048576,IF(OR($B79="STD. DEVIATION",$C$1=1),$A79,$A79+1),COLUMN('1-DATA'!G77)),IF($B79="STD. DEVIATION",2,$F$1))))</f>
        <v/>
      </c>
      <c r="I79" s="1" t="str">
        <f>IF(OR($B79="",I$7=""),"",IF($B79="MEANS",INDEX('1-DATA'!$1:$1048576,$A78-1,COLUMN('1-DATA'!H77)),ROUND(INDEX('1-DATA'!$1:$1048576,IF(OR($B79="STD. DEVIATION",$C$1=1),$A79,$A79+1),COLUMN('1-DATA'!H77)),IF($B79="STD. DEVIATION",2,$F$1))))</f>
        <v/>
      </c>
      <c r="J79" s="1" t="str">
        <f>IF(OR($B79="",J$7=""),"",IF($B79="MEANS",INDEX('1-DATA'!$1:$1048576,$A78-1,COLUMN('1-DATA'!I77)),ROUND(INDEX('1-DATA'!$1:$1048576,IF(OR($B79="STD. DEVIATION",$C$1=1),$A79,$A79+1),COLUMN('1-DATA'!I77)),IF($B79="STD. DEVIATION",2,$F$1))))</f>
        <v/>
      </c>
      <c r="K79" s="1" t="str">
        <f>IF(OR($B79="",K$7=""),"",IF($B79="MEANS",INDEX('1-DATA'!$1:$1048576,$A78-1,COLUMN('1-DATA'!J77)),ROUND(INDEX('1-DATA'!$1:$1048576,IF(OR($B79="STD. DEVIATION",$C$1=1),$A79,$A79+1),COLUMN('1-DATA'!J77)),IF($B79="STD. DEVIATION",2,$F$1))))</f>
        <v/>
      </c>
      <c r="L79" s="1" t="str">
        <f>IF(OR($B79="",L$7=""),"",IF($B79="MEANS",INDEX('1-DATA'!$1:$1048576,$A78-1,COLUMN('1-DATA'!K77)),ROUND(INDEX('1-DATA'!$1:$1048576,IF(OR($B79="STD. DEVIATION",$C$1=1),$A79,$A79+1),COLUMN('1-DATA'!K77)),IF($B79="STD. DEVIATION",2,$F$1))))</f>
        <v/>
      </c>
      <c r="M79" s="1" t="str">
        <f>IF(OR($B79="",M$7=""),"",IF($B79="MEANS",INDEX('1-DATA'!$1:$1048576,$A78-1,COLUMN('1-DATA'!L77)),ROUND(INDEX('1-DATA'!$1:$1048576,IF(OR($B79="STD. DEVIATION",$C$1=1),$A79,$A79+1),COLUMN('1-DATA'!L77)),IF($B79="STD. DEVIATION",2,$F$1))))</f>
        <v/>
      </c>
      <c r="N79" s="1" t="str">
        <f>IF(OR($B79="",N$7=""),"",IF($B79="MEANS",INDEX('1-DATA'!$1:$1048576,$A78-1,COLUMN('1-DATA'!M77)),ROUND(INDEX('1-DATA'!$1:$1048576,IF(OR($B79="STD. DEVIATION",$C$1=1),$A79,$A79+1),COLUMN('1-DATA'!M77)),IF($B79="STD. DEVIATION",2,$F$1))))</f>
        <v/>
      </c>
      <c r="O79" s="1" t="str">
        <f>IF(OR($B79="",O$7=""),"",IF($B79="MEANS",INDEX('1-DATA'!$1:$1048576,$A78-1,COLUMN('1-DATA'!N77)),ROUND(INDEX('1-DATA'!$1:$1048576,IF(OR($B79="STD. DEVIATION",$C$1=1),$A79,$A79+1),COLUMN('1-DATA'!N77)),IF($B79="STD. DEVIATION",2,$F$1))))</f>
        <v/>
      </c>
      <c r="P79" s="1" t="str">
        <f>IF(OR($B79="",P$7=""),"",IF($B79="MEANS",INDEX('1-DATA'!$1:$1048576,$A78-1,COLUMN('1-DATA'!O77)),ROUND(INDEX('1-DATA'!$1:$1048576,IF(OR($B79="STD. DEVIATION",$C$1=1),$A79,$A79+1),COLUMN('1-DATA'!O77)),IF($B79="STD. DEVIATION",2,$F$1))))</f>
        <v/>
      </c>
      <c r="Q79" s="1" t="str">
        <f>IF(OR($B79="",Q$7=""),"",IF($B79="MEANS",INDEX('1-DATA'!$1:$1048576,$A78-1,COLUMN('1-DATA'!P77)),ROUND(INDEX('1-DATA'!$1:$1048576,IF(OR($B79="STD. DEVIATION",$C$1=1),$A79,$A79+1),COLUMN('1-DATA'!P77)),IF($B79="STD. DEVIATION",2,$F$1))))</f>
        <v/>
      </c>
      <c r="R79" s="1" t="str">
        <f>IF(OR($B79="",R$7=""),"",IF($B79="MEANS",INDEX('1-DATA'!$1:$1048576,$A78-1,COLUMN('1-DATA'!Q77)),ROUND(INDEX('1-DATA'!$1:$1048576,IF(OR($B79="STD. DEVIATION",$C$1=1),$A79,$A79+1),COLUMN('1-DATA'!Q77)),IF($B79="STD. DEVIATION",2,$F$1))))</f>
        <v/>
      </c>
      <c r="S79" s="1" t="str">
        <f>IF(OR($B79="",S$7=""),"",IF($B79="MEANS",INDEX('1-DATA'!$1:$1048576,$A78-1,COLUMN('1-DATA'!R77)),ROUND(INDEX('1-DATA'!$1:$1048576,IF(OR($B79="STD. DEVIATION",$C$1=1),$A79,$A79+1),COLUMN('1-DATA'!R77)),IF($B79="STD. DEVIATION",2,$F$1))))</f>
        <v/>
      </c>
      <c r="T79" s="1" t="str">
        <f>IF(OR($B79="",T$7=""),"",IF($B79="MEANS",INDEX('1-DATA'!$1:$1048576,$A78-1,COLUMN('1-DATA'!S77)),ROUND(INDEX('1-DATA'!$1:$1048576,IF(OR($B79="STD. DEVIATION",$C$1=1),$A79,$A79+1),COLUMN('1-DATA'!S77)),IF($B79="STD. DEVIATION",2,$F$1))))</f>
        <v/>
      </c>
      <c r="U79" s="1" t="str">
        <f>IF(OR($B79="",U$7=""),"",IF($B79="MEANS",INDEX('1-DATA'!$1:$1048576,$A78-1,COLUMN('1-DATA'!T77)),ROUND(INDEX('1-DATA'!$1:$1048576,IF(OR($B79="STD. DEVIATION",$C$1=1),$A79,$A79+1),COLUMN('1-DATA'!T77)),IF($B79="STD. DEVIATION",2,$F$1))))</f>
        <v/>
      </c>
      <c r="V79" s="1" t="str">
        <f>IF(OR($B79="",V$7=""),"",IF($B79="MEANS",INDEX('1-DATA'!$1:$1048576,$A78-1,COLUMN('1-DATA'!U77)),ROUND(INDEX('1-DATA'!$1:$1048576,IF(OR($B79="STD. DEVIATION",$C$1=1),$A79,$A79+1),COLUMN('1-DATA'!U77)),IF($B79="STD. DEVIATION",2,$F$1))))</f>
        <v/>
      </c>
      <c r="W79" s="1" t="str">
        <f>IF(OR($B79="",W$7=""),"",IF($B79="MEANS",INDEX('1-DATA'!$1:$1048576,$A78-1,COLUMN('1-DATA'!V77)),ROUND(INDEX('1-DATA'!$1:$1048576,IF(OR($B79="STD. DEVIATION",$C$1=1),$A79,$A79+1),COLUMN('1-DATA'!V77)),IF($B79="STD. DEVIATION",2,$F$1))))</f>
        <v/>
      </c>
      <c r="X79" s="1" t="str">
        <f>IF(OR($B79="",X$7=""),"",IF($B79="MEANS",INDEX('1-DATA'!$1:$1048576,$A78-1,COLUMN('1-DATA'!W77)),ROUND(INDEX('1-DATA'!$1:$1048576,IF(OR($B79="STD. DEVIATION",$C$1=1),$A79,$A79+1),COLUMN('1-DATA'!W77)),IF($B79="STD. DEVIATION",2,$F$1))))</f>
        <v/>
      </c>
      <c r="Y79" s="1" t="str">
        <f>IF(OR($B79="",Y$7=""),"",IF($B79="MEANS",INDEX('1-DATA'!$1:$1048576,$A78-1,COLUMN('1-DATA'!X77)),ROUND(INDEX('1-DATA'!$1:$1048576,IF(OR($B79="STD. DEVIATION",$C$1=1),$A79,$A79+1),COLUMN('1-DATA'!X77)),IF($B79="STD. DEVIATION",2,$F$1))))</f>
        <v/>
      </c>
      <c r="Z79" s="1" t="str">
        <f>IF(OR($B79="",Z$7=""),"",IF($B79="MEANS",INDEX('1-DATA'!$1:$1048576,$A78-1,COLUMN('1-DATA'!Y77)),ROUND(INDEX('1-DATA'!$1:$1048576,IF(OR($B79="STD. DEVIATION",$C$1=1),$A79,$A79+1),COLUMN('1-DATA'!Y77)),IF($B79="STD. DEVIATION",2,$F$1))))</f>
        <v/>
      </c>
      <c r="AA79" s="1" t="str">
        <f>IF(OR($B79="",AA$7=""),"",IF($B79="MEANS",INDEX('1-DATA'!$1:$1048576,$A78-1,COLUMN('1-DATA'!Z77)),ROUND(INDEX('1-DATA'!$1:$1048576,IF(OR($B79="STD. DEVIATION",$C$1=1),$A79,$A79+1),COLUMN('1-DATA'!Z77)),IF($B79="STD. DEVIATION",2,$F$1))))</f>
        <v/>
      </c>
      <c r="AB79" s="1" t="str">
        <f>IF(OR($B79="",AB$7=""),"",IF($B79="MEANS",INDEX('1-DATA'!$1:$1048576,$A78-1,COLUMN('1-DATA'!AA77)),ROUND(INDEX('1-DATA'!$1:$1048576,IF(OR($B79="STD. DEVIATION",$C$1=1),$A79,$A79+1),COLUMN('1-DATA'!AA77)),IF($B79="STD. DEVIATION",2,$F$1))))</f>
        <v/>
      </c>
      <c r="AC79" s="1" t="str">
        <f>IF(OR($B79="",AC$7=""),"",IF($B79="MEANS",INDEX('1-DATA'!$1:$1048576,$A78-1,COLUMN('1-DATA'!AB77)),ROUND(INDEX('1-DATA'!$1:$1048576,IF(OR($B79="STD. DEVIATION",$C$1=1),$A79,$A79+1),COLUMN('1-DATA'!AB77)),IF($B79="STD. DEVIATION",2,$F$1))))</f>
        <v/>
      </c>
      <c r="AD79" s="1" t="str">
        <f>IF(OR($B79="",AD$7=""),"",IF($B79="MEANS",INDEX('1-DATA'!$1:$1048576,$A78-1,COLUMN('1-DATA'!AC77)),ROUND(INDEX('1-DATA'!$1:$1048576,IF(OR($B79="STD. DEVIATION",$C$1=1),$A79,$A79+1),COLUMN('1-DATA'!AC77)),IF($B79="STD. DEVIATION",2,$F$1))))</f>
        <v/>
      </c>
      <c r="AE79" s="1" t="str">
        <f>IF(OR($B79="",AE$7=""),"",IF($B79="MEANS",INDEX('1-DATA'!$1:$1048576,$A78-1,COLUMN('1-DATA'!AD77)),ROUND(INDEX('1-DATA'!$1:$1048576,IF(OR($B79="STD. DEVIATION",$C$1=1),$A79,$A79+1),COLUMN('1-DATA'!AD77)),IF($B79="STD. DEVIATION",2,$F$1))))</f>
        <v/>
      </c>
      <c r="AF79" s="1" t="str">
        <f>IF(OR($B79="",AF$7=""),"",IF($B79="MEANS",INDEX('1-DATA'!$1:$1048576,$A78-1,COLUMN('1-DATA'!AE77)),ROUND(INDEX('1-DATA'!$1:$1048576,IF(OR($B79="STD. DEVIATION",$C$1=1),$A79,$A79+1),COLUMN('1-DATA'!AE77)),IF($B79="STD. DEVIATION",2,$F$1))))</f>
        <v/>
      </c>
      <c r="AG79" s="1" t="str">
        <f>IF(OR($B79="",AG$7=""),"",IF($B79="MEANS",INDEX('1-DATA'!$1:$1048576,$A78-1,COLUMN('1-DATA'!AF77)),ROUND(INDEX('1-DATA'!$1:$1048576,IF(OR($B79="STD. DEVIATION",$C$1=1),$A79,$A79+1),COLUMN('1-DATA'!AF77)),IF($B79="STD. DEVIATION",2,$F$1))))</f>
        <v/>
      </c>
      <c r="AH79" s="1" t="str">
        <f>IF(OR($B79="",AH$7=""),"",IF($B79="MEANS",INDEX('1-DATA'!$1:$1048576,$A78-1,COLUMN('1-DATA'!AG77)),ROUND(INDEX('1-DATA'!$1:$1048576,IF(OR($B79="STD. DEVIATION",$C$1=1),$A79,$A79+1),COLUMN('1-DATA'!AG77)),IF($B79="STD. DEVIATION",2,$F$1))))</f>
        <v/>
      </c>
      <c r="AI79" s="1" t="str">
        <f>IF(OR($B79="",AI$7=""),"",IF($B79="MEANS",INDEX('1-DATA'!$1:$1048576,$A78-1,COLUMN('1-DATA'!AH77)),ROUND(INDEX('1-DATA'!$1:$1048576,IF(OR($B79="STD. DEVIATION",$C$1=1),$A79,$A79+1),COLUMN('1-DATA'!AH77)),IF($B79="STD. DEVIATION",2,$F$1))))</f>
        <v/>
      </c>
      <c r="AJ79" s="1" t="str">
        <f>IF(OR($B79="",AJ$7=""),"",IF($B79="MEANS",INDEX('1-DATA'!$1:$1048576,$A78-1,COLUMN('1-DATA'!AI77)),ROUND(INDEX('1-DATA'!$1:$1048576,IF(OR($B79="STD. DEVIATION",$C$1=1),$A79,$A79+1),COLUMN('1-DATA'!AI77)),IF($B79="STD. DEVIATION",2,$F$1))))</f>
        <v/>
      </c>
      <c r="AK79" s="1" t="str">
        <f>IF(OR($B79="",AK$7=""),"",IF($B79="MEANS",INDEX('1-DATA'!$1:$1048576,$A78-1,COLUMN('1-DATA'!AJ77)),ROUND(INDEX('1-DATA'!$1:$1048576,IF(OR($B79="STD. DEVIATION",$C$1=1),$A79,$A79+1),COLUMN('1-DATA'!AJ77)),IF($B79="STD. DEVIATION",2,$F$1))))</f>
        <v/>
      </c>
      <c r="AL79" s="1" t="str">
        <f>IF(OR($B79="",AL$7=""),"",IF($B79="MEANS",INDEX('1-DATA'!$1:$1048576,$A78-1,COLUMN('1-DATA'!AK77)),ROUND(INDEX('1-DATA'!$1:$1048576,IF(OR($B79="STD. DEVIATION",$C$1=1),$A79,$A79+1),COLUMN('1-DATA'!AK77)),IF($B79="STD. DEVIATION",2,$F$1))))</f>
        <v/>
      </c>
      <c r="AM79" s="1" t="str">
        <f>IF(OR($B79="",AM$7=""),"",IF($B79="MEANS",INDEX('1-DATA'!$1:$1048576,$A78-1,COLUMN('1-DATA'!AL77)),ROUND(INDEX('1-DATA'!$1:$1048576,IF(OR($B79="STD. DEVIATION",$C$1=1),$A79,$A79+1),COLUMN('1-DATA'!AL77)),IF($B79="STD. DEVIATION",2,$F$1))))</f>
        <v/>
      </c>
      <c r="AN79" s="1" t="str">
        <f>IF(OR($B79="",AN$7=""),"",IF($B79="MEANS",INDEX('1-DATA'!$1:$1048576,$A78-1,COLUMN('1-DATA'!AM77)),ROUND(INDEX('1-DATA'!$1:$1048576,IF(OR($B79="STD. DEVIATION",$C$1=1),$A79,$A79+1),COLUMN('1-DATA'!AM77)),IF($B79="STD. DEVIATION",2,$F$1))))</f>
        <v/>
      </c>
      <c r="AO79" s="1" t="str">
        <f>IF(OR($B79="",AO$7=""),"",IF($B79="MEANS",INDEX('1-DATA'!$1:$1048576,$A78-1,COLUMN('1-DATA'!AN77)),ROUND(INDEX('1-DATA'!$1:$1048576,IF(OR($B79="STD. DEVIATION",$C$1=1),$A79,$A79+1),COLUMN('1-DATA'!AN77)),IF($B79="STD. DEVIATION",2,$F$1))))</f>
        <v/>
      </c>
      <c r="AP79" s="1" t="str">
        <f>IF(OR($B79="",AP$7=""),"",IF($B79="MEANS",INDEX('1-DATA'!$1:$1048576,$A78-1,COLUMN('1-DATA'!AO77)),ROUND(INDEX('1-DATA'!$1:$1048576,IF(OR($B79="STD. DEVIATION",$C$1=1),$A79,$A79+1),COLUMN('1-DATA'!AO77)),IF($B79="STD. DEVIATION",2,$F$1))))</f>
        <v/>
      </c>
      <c r="AQ79" s="1" t="str">
        <f>IF(OR($B79="",AQ$7=""),"",IF($B79="MEANS",INDEX('1-DATA'!$1:$1048576,$A78-1,COLUMN('1-DATA'!AP77)),ROUND(INDEX('1-DATA'!$1:$1048576,IF(OR($B79="STD. DEVIATION",$C$1=1),$A79,$A79+1),COLUMN('1-DATA'!AP77)),IF($B79="STD. DEVIATION",2,$F$1))))</f>
        <v/>
      </c>
      <c r="AR79" s="1" t="str">
        <f>IF(OR($B79="",AR$7=""),"",IF($B79="MEANS",INDEX('1-DATA'!$1:$1048576,$A78-1,COLUMN('1-DATA'!AQ77)),ROUND(INDEX('1-DATA'!$1:$1048576,IF(OR($B79="STD. DEVIATION",$C$1=1),$A79,$A79+1),COLUMN('1-DATA'!AQ77)),IF($B79="STD. DEVIATION",2,$F$1))))</f>
        <v/>
      </c>
      <c r="AS79" s="1" t="str">
        <f>IF(OR($B79="",AS$7=""),"",IF($B79="MEANS",INDEX('1-DATA'!$1:$1048576,$A78-1,COLUMN('1-DATA'!AR77)),ROUND(INDEX('1-DATA'!$1:$1048576,IF(OR($B79="STD. DEVIATION",$C$1=1),$A79,$A79+1),COLUMN('1-DATA'!AR77)),IF($B79="STD. DEVIATION",2,$F$1))))</f>
        <v/>
      </c>
      <c r="AT79" s="1" t="str">
        <f>IF(OR($B79="",AT$7=""),"",IF($B79="MEANS",INDEX('1-DATA'!$1:$1048576,$A78-1,COLUMN('1-DATA'!AS77)),ROUND(INDEX('1-DATA'!$1:$1048576,IF(OR($B79="STD. DEVIATION",$C$1=1),$A79,$A79+1),COLUMN('1-DATA'!AS77)),IF($B79="STD. DEVIATION",2,$F$1))))</f>
        <v/>
      </c>
      <c r="AU79" s="1" t="str">
        <f>IF(OR($B79="",AU$7=""),"",IF($B79="MEANS",INDEX('1-DATA'!$1:$1048576,$A78-1,COLUMN('1-DATA'!AT77)),ROUND(INDEX('1-DATA'!$1:$1048576,IF(OR($B79="STD. DEVIATION",$C$1=1),$A79,$A79+1),COLUMN('1-DATA'!AT77)),IF($B79="STD. DEVIATION",2,$F$1))))</f>
        <v/>
      </c>
      <c r="AV79" s="1" t="str">
        <f>IF(OR($B79="",AV$7=""),"",IF($B79="MEANS",INDEX('1-DATA'!$1:$1048576,$A78-1,COLUMN('1-DATA'!AU77)),ROUND(INDEX('1-DATA'!$1:$1048576,IF(OR($B79="STD. DEVIATION",$C$1=1),$A79,$A79+1),COLUMN('1-DATA'!AU77)),IF($B79="STD. DEVIATION",2,$F$1))))</f>
        <v/>
      </c>
      <c r="AW79" s="1" t="str">
        <f>IF(OR($B79="",AW$7=""),"",IF($B79="MEANS",INDEX('1-DATA'!$1:$1048576,$A78-1,COLUMN('1-DATA'!AV77)),ROUND(INDEX('1-DATA'!$1:$1048576,IF(OR($B79="STD. DEVIATION",$C$1=1),$A79,$A79+1),COLUMN('1-DATA'!AV77)),IF($B79="STD. DEVIATION",2,$F$1))))</f>
        <v/>
      </c>
      <c r="AX79" s="1" t="str">
        <f>IF(OR($B79="",AX$7=""),"",IF($B79="MEANS",INDEX('1-DATA'!$1:$1048576,$A78-1,COLUMN('1-DATA'!AW77)),ROUND(INDEX('1-DATA'!$1:$1048576,IF(OR($B79="STD. DEVIATION",$C$1=1),$A79,$A79+1),COLUMN('1-DATA'!AW77)),IF($B79="STD. DEVIATION",2,$F$1))))</f>
        <v/>
      </c>
      <c r="AY79" s="1" t="str">
        <f>IF(OR($B79="",AY$7=""),"",IF($B79="MEANS",INDEX('1-DATA'!$1:$1048576,$A78-1,COLUMN('1-DATA'!AX77)),ROUND(INDEX('1-DATA'!$1:$1048576,IF(OR($B79="STD. DEVIATION",$C$1=1),$A79,$A79+1),COLUMN('1-DATA'!AX77)),IF($B79="STD. DEVIATION",2,$F$1))))</f>
        <v/>
      </c>
      <c r="AZ79" s="1" t="str">
        <f>IF(OR($B79="",AZ$7=""),"",IF($B79="MEANS",INDEX('1-DATA'!$1:$1048576,$A78-1,COLUMN('1-DATA'!AY77)),ROUND(INDEX('1-DATA'!$1:$1048576,IF(OR($B79="STD. DEVIATION",$C$1=1),$A79,$A79+1),COLUMN('1-DATA'!AY77)),IF($B79="STD. DEVIATION",2,$F$1))))</f>
        <v/>
      </c>
    </row>
    <row r="80" spans="1:52" x14ac:dyDescent="0.25">
      <c r="A80" s="11">
        <f t="shared" si="1"/>
        <v>226</v>
      </c>
      <c r="B80" s="1" t="str">
        <f>IF(B79="STD. DEVIATION",INDEX('1-DATA'!$1:$1048576,$A79-1,1),IF(INDEX('1-DATA'!$1:$1048576,$A80,1)&lt;&gt;"",INDEX('1-DATA'!$1:$1048576,$A80,1),""))</f>
        <v/>
      </c>
      <c r="C80" s="1" t="str">
        <f>IF(OR($B80="",C$7=""),"",IF($B80="MEANS",INDEX('1-DATA'!$1:$1048576,$A79-1,COLUMN('1-DATA'!B78)),ROUND(INDEX('1-DATA'!$1:$1048576,IF(OR($B80="STD. DEVIATION",$C$1=1),$A80,$A80+1),COLUMN('1-DATA'!B78)),IF($B80="STD. DEVIATION",2,$F$1))))</f>
        <v/>
      </c>
      <c r="D80" s="1" t="str">
        <f>IF(OR($B80="",D$7=""),"",IF($B80="MEANS",INDEX('1-DATA'!$1:$1048576,$A79-1,COLUMN('1-DATA'!C78)),ROUND(INDEX('1-DATA'!$1:$1048576,IF(OR($B80="STD. DEVIATION",$C$1=1),$A80,$A80+1),COLUMN('1-DATA'!C78)),IF($B80="STD. DEVIATION",2,$F$1))))</f>
        <v/>
      </c>
      <c r="E80" s="1" t="str">
        <f>IF(OR($B80="",E$7=""),"",IF($B80="MEANS",INDEX('1-DATA'!$1:$1048576,$A79-1,COLUMN('1-DATA'!D78)),ROUND(INDEX('1-DATA'!$1:$1048576,IF(OR($B80="STD. DEVIATION",$C$1=1),$A80,$A80+1),COLUMN('1-DATA'!D78)),IF($B80="STD. DEVIATION",2,$F$1))))</f>
        <v/>
      </c>
      <c r="F80" s="1" t="str">
        <f>IF(OR($B80="",F$7=""),"",IF($B80="MEANS",INDEX('1-DATA'!$1:$1048576,$A79-1,COLUMN('1-DATA'!E78)),ROUND(INDEX('1-DATA'!$1:$1048576,IF(OR($B80="STD. DEVIATION",$C$1=1),$A80,$A80+1),COLUMN('1-DATA'!E78)),IF($B80="STD. DEVIATION",2,$F$1))))</f>
        <v/>
      </c>
      <c r="G80" s="1" t="str">
        <f>IF(OR($B80="",G$7=""),"",IF($B80="MEANS",INDEX('1-DATA'!$1:$1048576,$A79-1,COLUMN('1-DATA'!F78)),ROUND(INDEX('1-DATA'!$1:$1048576,IF(OR($B80="STD. DEVIATION",$C$1=1),$A80,$A80+1),COLUMN('1-DATA'!F78)),IF($B80="STD. DEVIATION",2,$F$1))))</f>
        <v/>
      </c>
      <c r="H80" s="1" t="str">
        <f>IF(OR($B80="",H$7=""),"",IF($B80="MEANS",INDEX('1-DATA'!$1:$1048576,$A79-1,COLUMN('1-DATA'!G78)),ROUND(INDEX('1-DATA'!$1:$1048576,IF(OR($B80="STD. DEVIATION",$C$1=1),$A80,$A80+1),COLUMN('1-DATA'!G78)),IF($B80="STD. DEVIATION",2,$F$1))))</f>
        <v/>
      </c>
      <c r="I80" s="1" t="str">
        <f>IF(OR($B80="",I$7=""),"",IF($B80="MEANS",INDEX('1-DATA'!$1:$1048576,$A79-1,COLUMN('1-DATA'!H78)),ROUND(INDEX('1-DATA'!$1:$1048576,IF(OR($B80="STD. DEVIATION",$C$1=1),$A80,$A80+1),COLUMN('1-DATA'!H78)),IF($B80="STD. DEVIATION",2,$F$1))))</f>
        <v/>
      </c>
      <c r="J80" s="1" t="str">
        <f>IF(OR($B80="",J$7=""),"",IF($B80="MEANS",INDEX('1-DATA'!$1:$1048576,$A79-1,COLUMN('1-DATA'!I78)),ROUND(INDEX('1-DATA'!$1:$1048576,IF(OR($B80="STD. DEVIATION",$C$1=1),$A80,$A80+1),COLUMN('1-DATA'!I78)),IF($B80="STD. DEVIATION",2,$F$1))))</f>
        <v/>
      </c>
      <c r="K80" s="1" t="str">
        <f>IF(OR($B80="",K$7=""),"",IF($B80="MEANS",INDEX('1-DATA'!$1:$1048576,$A79-1,COLUMN('1-DATA'!J78)),ROUND(INDEX('1-DATA'!$1:$1048576,IF(OR($B80="STD. DEVIATION",$C$1=1),$A80,$A80+1),COLUMN('1-DATA'!J78)),IF($B80="STD. DEVIATION",2,$F$1))))</f>
        <v/>
      </c>
      <c r="L80" s="1" t="str">
        <f>IF(OR($B80="",L$7=""),"",IF($B80="MEANS",INDEX('1-DATA'!$1:$1048576,$A79-1,COLUMN('1-DATA'!K78)),ROUND(INDEX('1-DATA'!$1:$1048576,IF(OR($B80="STD. DEVIATION",$C$1=1),$A80,$A80+1),COLUMN('1-DATA'!K78)),IF($B80="STD. DEVIATION",2,$F$1))))</f>
        <v/>
      </c>
      <c r="M80" s="1" t="str">
        <f>IF(OR($B80="",M$7=""),"",IF($B80="MEANS",INDEX('1-DATA'!$1:$1048576,$A79-1,COLUMN('1-DATA'!L78)),ROUND(INDEX('1-DATA'!$1:$1048576,IF(OR($B80="STD. DEVIATION",$C$1=1),$A80,$A80+1),COLUMN('1-DATA'!L78)),IF($B80="STD. DEVIATION",2,$F$1))))</f>
        <v/>
      </c>
      <c r="N80" s="1" t="str">
        <f>IF(OR($B80="",N$7=""),"",IF($B80="MEANS",INDEX('1-DATA'!$1:$1048576,$A79-1,COLUMN('1-DATA'!M78)),ROUND(INDEX('1-DATA'!$1:$1048576,IF(OR($B80="STD. DEVIATION",$C$1=1),$A80,$A80+1),COLUMN('1-DATA'!M78)),IF($B80="STD. DEVIATION",2,$F$1))))</f>
        <v/>
      </c>
      <c r="O80" s="1" t="str">
        <f>IF(OR($B80="",O$7=""),"",IF($B80="MEANS",INDEX('1-DATA'!$1:$1048576,$A79-1,COLUMN('1-DATA'!N78)),ROUND(INDEX('1-DATA'!$1:$1048576,IF(OR($B80="STD. DEVIATION",$C$1=1),$A80,$A80+1),COLUMN('1-DATA'!N78)),IF($B80="STD. DEVIATION",2,$F$1))))</f>
        <v/>
      </c>
      <c r="P80" s="1" t="str">
        <f>IF(OR($B80="",P$7=""),"",IF($B80="MEANS",INDEX('1-DATA'!$1:$1048576,$A79-1,COLUMN('1-DATA'!O78)),ROUND(INDEX('1-DATA'!$1:$1048576,IF(OR($B80="STD. DEVIATION",$C$1=1),$A80,$A80+1),COLUMN('1-DATA'!O78)),IF($B80="STD. DEVIATION",2,$F$1))))</f>
        <v/>
      </c>
      <c r="Q80" s="1" t="str">
        <f>IF(OR($B80="",Q$7=""),"",IF($B80="MEANS",INDEX('1-DATA'!$1:$1048576,$A79-1,COLUMN('1-DATA'!P78)),ROUND(INDEX('1-DATA'!$1:$1048576,IF(OR($B80="STD. DEVIATION",$C$1=1),$A80,$A80+1),COLUMN('1-DATA'!P78)),IF($B80="STD. DEVIATION",2,$F$1))))</f>
        <v/>
      </c>
      <c r="R80" s="1" t="str">
        <f>IF(OR($B80="",R$7=""),"",IF($B80="MEANS",INDEX('1-DATA'!$1:$1048576,$A79-1,COLUMN('1-DATA'!Q78)),ROUND(INDEX('1-DATA'!$1:$1048576,IF(OR($B80="STD. DEVIATION",$C$1=1),$A80,$A80+1),COLUMN('1-DATA'!Q78)),IF($B80="STD. DEVIATION",2,$F$1))))</f>
        <v/>
      </c>
      <c r="S80" s="1" t="str">
        <f>IF(OR($B80="",S$7=""),"",IF($B80="MEANS",INDEX('1-DATA'!$1:$1048576,$A79-1,COLUMN('1-DATA'!R78)),ROUND(INDEX('1-DATA'!$1:$1048576,IF(OR($B80="STD. DEVIATION",$C$1=1),$A80,$A80+1),COLUMN('1-DATA'!R78)),IF($B80="STD. DEVIATION",2,$F$1))))</f>
        <v/>
      </c>
      <c r="T80" s="1" t="str">
        <f>IF(OR($B80="",T$7=""),"",IF($B80="MEANS",INDEX('1-DATA'!$1:$1048576,$A79-1,COLUMN('1-DATA'!S78)),ROUND(INDEX('1-DATA'!$1:$1048576,IF(OR($B80="STD. DEVIATION",$C$1=1),$A80,$A80+1),COLUMN('1-DATA'!S78)),IF($B80="STD. DEVIATION",2,$F$1))))</f>
        <v/>
      </c>
      <c r="U80" s="1" t="str">
        <f>IF(OR($B80="",U$7=""),"",IF($B80="MEANS",INDEX('1-DATA'!$1:$1048576,$A79-1,COLUMN('1-DATA'!T78)),ROUND(INDEX('1-DATA'!$1:$1048576,IF(OR($B80="STD. DEVIATION",$C$1=1),$A80,$A80+1),COLUMN('1-DATA'!T78)),IF($B80="STD. DEVIATION",2,$F$1))))</f>
        <v/>
      </c>
      <c r="V80" s="1" t="str">
        <f>IF(OR($B80="",V$7=""),"",IF($B80="MEANS",INDEX('1-DATA'!$1:$1048576,$A79-1,COLUMN('1-DATA'!U78)),ROUND(INDEX('1-DATA'!$1:$1048576,IF(OR($B80="STD. DEVIATION",$C$1=1),$A80,$A80+1),COLUMN('1-DATA'!U78)),IF($B80="STD. DEVIATION",2,$F$1))))</f>
        <v/>
      </c>
      <c r="W80" s="1" t="str">
        <f>IF(OR($B80="",W$7=""),"",IF($B80="MEANS",INDEX('1-DATA'!$1:$1048576,$A79-1,COLUMN('1-DATA'!V78)),ROUND(INDEX('1-DATA'!$1:$1048576,IF(OR($B80="STD. DEVIATION",$C$1=1),$A80,$A80+1),COLUMN('1-DATA'!V78)),IF($B80="STD. DEVIATION",2,$F$1))))</f>
        <v/>
      </c>
      <c r="X80" s="1" t="str">
        <f>IF(OR($B80="",X$7=""),"",IF($B80="MEANS",INDEX('1-DATA'!$1:$1048576,$A79-1,COLUMN('1-DATA'!W78)),ROUND(INDEX('1-DATA'!$1:$1048576,IF(OR($B80="STD. DEVIATION",$C$1=1),$A80,$A80+1),COLUMN('1-DATA'!W78)),IF($B80="STD. DEVIATION",2,$F$1))))</f>
        <v/>
      </c>
      <c r="Y80" s="1" t="str">
        <f>IF(OR($B80="",Y$7=""),"",IF($B80="MEANS",INDEX('1-DATA'!$1:$1048576,$A79-1,COLUMN('1-DATA'!X78)),ROUND(INDEX('1-DATA'!$1:$1048576,IF(OR($B80="STD. DEVIATION",$C$1=1),$A80,$A80+1),COLUMN('1-DATA'!X78)),IF($B80="STD. DEVIATION",2,$F$1))))</f>
        <v/>
      </c>
      <c r="Z80" s="1" t="str">
        <f>IF(OR($B80="",Z$7=""),"",IF($B80="MEANS",INDEX('1-DATA'!$1:$1048576,$A79-1,COLUMN('1-DATA'!Y78)),ROUND(INDEX('1-DATA'!$1:$1048576,IF(OR($B80="STD. DEVIATION",$C$1=1),$A80,$A80+1),COLUMN('1-DATA'!Y78)),IF($B80="STD. DEVIATION",2,$F$1))))</f>
        <v/>
      </c>
      <c r="AA80" s="1" t="str">
        <f>IF(OR($B80="",AA$7=""),"",IF($B80="MEANS",INDEX('1-DATA'!$1:$1048576,$A79-1,COLUMN('1-DATA'!Z78)),ROUND(INDEX('1-DATA'!$1:$1048576,IF(OR($B80="STD. DEVIATION",$C$1=1),$A80,$A80+1),COLUMN('1-DATA'!Z78)),IF($B80="STD. DEVIATION",2,$F$1))))</f>
        <v/>
      </c>
      <c r="AB80" s="1" t="str">
        <f>IF(OR($B80="",AB$7=""),"",IF($B80="MEANS",INDEX('1-DATA'!$1:$1048576,$A79-1,COLUMN('1-DATA'!AA78)),ROUND(INDEX('1-DATA'!$1:$1048576,IF(OR($B80="STD. DEVIATION",$C$1=1),$A80,$A80+1),COLUMN('1-DATA'!AA78)),IF($B80="STD. DEVIATION",2,$F$1))))</f>
        <v/>
      </c>
      <c r="AC80" s="1" t="str">
        <f>IF(OR($B80="",AC$7=""),"",IF($B80="MEANS",INDEX('1-DATA'!$1:$1048576,$A79-1,COLUMN('1-DATA'!AB78)),ROUND(INDEX('1-DATA'!$1:$1048576,IF(OR($B80="STD. DEVIATION",$C$1=1),$A80,$A80+1),COLUMN('1-DATA'!AB78)),IF($B80="STD. DEVIATION",2,$F$1))))</f>
        <v/>
      </c>
      <c r="AD80" s="1" t="str">
        <f>IF(OR($B80="",AD$7=""),"",IF($B80="MEANS",INDEX('1-DATA'!$1:$1048576,$A79-1,COLUMN('1-DATA'!AC78)),ROUND(INDEX('1-DATA'!$1:$1048576,IF(OR($B80="STD. DEVIATION",$C$1=1),$A80,$A80+1),COLUMN('1-DATA'!AC78)),IF($B80="STD. DEVIATION",2,$F$1))))</f>
        <v/>
      </c>
      <c r="AE80" s="1" t="str">
        <f>IF(OR($B80="",AE$7=""),"",IF($B80="MEANS",INDEX('1-DATA'!$1:$1048576,$A79-1,COLUMN('1-DATA'!AD78)),ROUND(INDEX('1-DATA'!$1:$1048576,IF(OR($B80="STD. DEVIATION",$C$1=1),$A80,$A80+1),COLUMN('1-DATA'!AD78)),IF($B80="STD. DEVIATION",2,$F$1))))</f>
        <v/>
      </c>
      <c r="AF80" s="1" t="str">
        <f>IF(OR($B80="",AF$7=""),"",IF($B80="MEANS",INDEX('1-DATA'!$1:$1048576,$A79-1,COLUMN('1-DATA'!AE78)),ROUND(INDEX('1-DATA'!$1:$1048576,IF(OR($B80="STD. DEVIATION",$C$1=1),$A80,$A80+1),COLUMN('1-DATA'!AE78)),IF($B80="STD. DEVIATION",2,$F$1))))</f>
        <v/>
      </c>
      <c r="AG80" s="1" t="str">
        <f>IF(OR($B80="",AG$7=""),"",IF($B80="MEANS",INDEX('1-DATA'!$1:$1048576,$A79-1,COLUMN('1-DATA'!AF78)),ROUND(INDEX('1-DATA'!$1:$1048576,IF(OR($B80="STD. DEVIATION",$C$1=1),$A80,$A80+1),COLUMN('1-DATA'!AF78)),IF($B80="STD. DEVIATION",2,$F$1))))</f>
        <v/>
      </c>
      <c r="AH80" s="1" t="str">
        <f>IF(OR($B80="",AH$7=""),"",IF($B80="MEANS",INDEX('1-DATA'!$1:$1048576,$A79-1,COLUMN('1-DATA'!AG78)),ROUND(INDEX('1-DATA'!$1:$1048576,IF(OR($B80="STD. DEVIATION",$C$1=1),$A80,$A80+1),COLUMN('1-DATA'!AG78)),IF($B80="STD. DEVIATION",2,$F$1))))</f>
        <v/>
      </c>
      <c r="AI80" s="1" t="str">
        <f>IF(OR($B80="",AI$7=""),"",IF($B80="MEANS",INDEX('1-DATA'!$1:$1048576,$A79-1,COLUMN('1-DATA'!AH78)),ROUND(INDEX('1-DATA'!$1:$1048576,IF(OR($B80="STD. DEVIATION",$C$1=1),$A80,$A80+1),COLUMN('1-DATA'!AH78)),IF($B80="STD. DEVIATION",2,$F$1))))</f>
        <v/>
      </c>
      <c r="AJ80" s="1" t="str">
        <f>IF(OR($B80="",AJ$7=""),"",IF($B80="MEANS",INDEX('1-DATA'!$1:$1048576,$A79-1,COLUMN('1-DATA'!AI78)),ROUND(INDEX('1-DATA'!$1:$1048576,IF(OR($B80="STD. DEVIATION",$C$1=1),$A80,$A80+1),COLUMN('1-DATA'!AI78)),IF($B80="STD. DEVIATION",2,$F$1))))</f>
        <v/>
      </c>
      <c r="AK80" s="1" t="str">
        <f>IF(OR($B80="",AK$7=""),"",IF($B80="MEANS",INDEX('1-DATA'!$1:$1048576,$A79-1,COLUMN('1-DATA'!AJ78)),ROUND(INDEX('1-DATA'!$1:$1048576,IF(OR($B80="STD. DEVIATION",$C$1=1),$A80,$A80+1),COLUMN('1-DATA'!AJ78)),IF($B80="STD. DEVIATION",2,$F$1))))</f>
        <v/>
      </c>
      <c r="AL80" s="1" t="str">
        <f>IF(OR($B80="",AL$7=""),"",IF($B80="MEANS",INDEX('1-DATA'!$1:$1048576,$A79-1,COLUMN('1-DATA'!AK78)),ROUND(INDEX('1-DATA'!$1:$1048576,IF(OR($B80="STD. DEVIATION",$C$1=1),$A80,$A80+1),COLUMN('1-DATA'!AK78)),IF($B80="STD. DEVIATION",2,$F$1))))</f>
        <v/>
      </c>
      <c r="AM80" s="1" t="str">
        <f>IF(OR($B80="",AM$7=""),"",IF($B80="MEANS",INDEX('1-DATA'!$1:$1048576,$A79-1,COLUMN('1-DATA'!AL78)),ROUND(INDEX('1-DATA'!$1:$1048576,IF(OR($B80="STD. DEVIATION",$C$1=1),$A80,$A80+1),COLUMN('1-DATA'!AL78)),IF($B80="STD. DEVIATION",2,$F$1))))</f>
        <v/>
      </c>
      <c r="AN80" s="1" t="str">
        <f>IF(OR($B80="",AN$7=""),"",IF($B80="MEANS",INDEX('1-DATA'!$1:$1048576,$A79-1,COLUMN('1-DATA'!AM78)),ROUND(INDEX('1-DATA'!$1:$1048576,IF(OR($B80="STD. DEVIATION",$C$1=1),$A80,$A80+1),COLUMN('1-DATA'!AM78)),IF($B80="STD. DEVIATION",2,$F$1))))</f>
        <v/>
      </c>
      <c r="AO80" s="1" t="str">
        <f>IF(OR($B80="",AO$7=""),"",IF($B80="MEANS",INDEX('1-DATA'!$1:$1048576,$A79-1,COLUMN('1-DATA'!AN78)),ROUND(INDEX('1-DATA'!$1:$1048576,IF(OR($B80="STD. DEVIATION",$C$1=1),$A80,$A80+1),COLUMN('1-DATA'!AN78)),IF($B80="STD. DEVIATION",2,$F$1))))</f>
        <v/>
      </c>
      <c r="AP80" s="1" t="str">
        <f>IF(OR($B80="",AP$7=""),"",IF($B80="MEANS",INDEX('1-DATA'!$1:$1048576,$A79-1,COLUMN('1-DATA'!AO78)),ROUND(INDEX('1-DATA'!$1:$1048576,IF(OR($B80="STD. DEVIATION",$C$1=1),$A80,$A80+1),COLUMN('1-DATA'!AO78)),IF($B80="STD. DEVIATION",2,$F$1))))</f>
        <v/>
      </c>
      <c r="AQ80" s="1" t="str">
        <f>IF(OR($B80="",AQ$7=""),"",IF($B80="MEANS",INDEX('1-DATA'!$1:$1048576,$A79-1,COLUMN('1-DATA'!AP78)),ROUND(INDEX('1-DATA'!$1:$1048576,IF(OR($B80="STD. DEVIATION",$C$1=1),$A80,$A80+1),COLUMN('1-DATA'!AP78)),IF($B80="STD. DEVIATION",2,$F$1))))</f>
        <v/>
      </c>
      <c r="AR80" s="1" t="str">
        <f>IF(OR($B80="",AR$7=""),"",IF($B80="MEANS",INDEX('1-DATA'!$1:$1048576,$A79-1,COLUMN('1-DATA'!AQ78)),ROUND(INDEX('1-DATA'!$1:$1048576,IF(OR($B80="STD. DEVIATION",$C$1=1),$A80,$A80+1),COLUMN('1-DATA'!AQ78)),IF($B80="STD. DEVIATION",2,$F$1))))</f>
        <v/>
      </c>
      <c r="AS80" s="1" t="str">
        <f>IF(OR($B80="",AS$7=""),"",IF($B80="MEANS",INDEX('1-DATA'!$1:$1048576,$A79-1,COLUMN('1-DATA'!AR78)),ROUND(INDEX('1-DATA'!$1:$1048576,IF(OR($B80="STD. DEVIATION",$C$1=1),$A80,$A80+1),COLUMN('1-DATA'!AR78)),IF($B80="STD. DEVIATION",2,$F$1))))</f>
        <v/>
      </c>
      <c r="AT80" s="1" t="str">
        <f>IF(OR($B80="",AT$7=""),"",IF($B80="MEANS",INDEX('1-DATA'!$1:$1048576,$A79-1,COLUMN('1-DATA'!AS78)),ROUND(INDEX('1-DATA'!$1:$1048576,IF(OR($B80="STD. DEVIATION",$C$1=1),$A80,$A80+1),COLUMN('1-DATA'!AS78)),IF($B80="STD. DEVIATION",2,$F$1))))</f>
        <v/>
      </c>
      <c r="AU80" s="1" t="str">
        <f>IF(OR($B80="",AU$7=""),"",IF($B80="MEANS",INDEX('1-DATA'!$1:$1048576,$A79-1,COLUMN('1-DATA'!AT78)),ROUND(INDEX('1-DATA'!$1:$1048576,IF(OR($B80="STD. DEVIATION",$C$1=1),$A80,$A80+1),COLUMN('1-DATA'!AT78)),IF($B80="STD. DEVIATION",2,$F$1))))</f>
        <v/>
      </c>
      <c r="AV80" s="1" t="str">
        <f>IF(OR($B80="",AV$7=""),"",IF($B80="MEANS",INDEX('1-DATA'!$1:$1048576,$A79-1,COLUMN('1-DATA'!AU78)),ROUND(INDEX('1-DATA'!$1:$1048576,IF(OR($B80="STD. DEVIATION",$C$1=1),$A80,$A80+1),COLUMN('1-DATA'!AU78)),IF($B80="STD. DEVIATION",2,$F$1))))</f>
        <v/>
      </c>
      <c r="AW80" s="1" t="str">
        <f>IF(OR($B80="",AW$7=""),"",IF($B80="MEANS",INDEX('1-DATA'!$1:$1048576,$A79-1,COLUMN('1-DATA'!AV78)),ROUND(INDEX('1-DATA'!$1:$1048576,IF(OR($B80="STD. DEVIATION",$C$1=1),$A80,$A80+1),COLUMN('1-DATA'!AV78)),IF($B80="STD. DEVIATION",2,$F$1))))</f>
        <v/>
      </c>
      <c r="AX80" s="1" t="str">
        <f>IF(OR($B80="",AX$7=""),"",IF($B80="MEANS",INDEX('1-DATA'!$1:$1048576,$A79-1,COLUMN('1-DATA'!AW78)),ROUND(INDEX('1-DATA'!$1:$1048576,IF(OR($B80="STD. DEVIATION",$C$1=1),$A80,$A80+1),COLUMN('1-DATA'!AW78)),IF($B80="STD. DEVIATION",2,$F$1))))</f>
        <v/>
      </c>
      <c r="AY80" s="1" t="str">
        <f>IF(OR($B80="",AY$7=""),"",IF($B80="MEANS",INDEX('1-DATA'!$1:$1048576,$A79-1,COLUMN('1-DATA'!AX78)),ROUND(INDEX('1-DATA'!$1:$1048576,IF(OR($B80="STD. DEVIATION",$C$1=1),$A80,$A80+1),COLUMN('1-DATA'!AX78)),IF($B80="STD. DEVIATION",2,$F$1))))</f>
        <v/>
      </c>
      <c r="AZ80" s="1" t="str">
        <f>IF(OR($B80="",AZ$7=""),"",IF($B80="MEANS",INDEX('1-DATA'!$1:$1048576,$A79-1,COLUMN('1-DATA'!AY78)),ROUND(INDEX('1-DATA'!$1:$1048576,IF(OR($B80="STD. DEVIATION",$C$1=1),$A80,$A80+1),COLUMN('1-DATA'!AY78)),IF($B80="STD. DEVIATION",2,$F$1))))</f>
        <v/>
      </c>
    </row>
    <row r="81" spans="1:52" x14ac:dyDescent="0.25">
      <c r="A81" s="11">
        <f t="shared" si="1"/>
        <v>229</v>
      </c>
      <c r="B81" s="1" t="str">
        <f>IF(B80="STD. DEVIATION",INDEX('1-DATA'!$1:$1048576,$A80-1,1),IF(INDEX('1-DATA'!$1:$1048576,$A81,1)&lt;&gt;"",INDEX('1-DATA'!$1:$1048576,$A81,1),""))</f>
        <v/>
      </c>
      <c r="C81" s="1" t="str">
        <f>IF(OR($B81="",C$7=""),"",IF($B81="MEANS",INDEX('1-DATA'!$1:$1048576,$A80-1,COLUMN('1-DATA'!B79)),ROUND(INDEX('1-DATA'!$1:$1048576,IF(OR($B81="STD. DEVIATION",$C$1=1),$A81,$A81+1),COLUMN('1-DATA'!B79)),IF($B81="STD. DEVIATION",2,$F$1))))</f>
        <v/>
      </c>
      <c r="D81" s="1" t="str">
        <f>IF(OR($B81="",D$7=""),"",IF($B81="MEANS",INDEX('1-DATA'!$1:$1048576,$A80-1,COLUMN('1-DATA'!C79)),ROUND(INDEX('1-DATA'!$1:$1048576,IF(OR($B81="STD. DEVIATION",$C$1=1),$A81,$A81+1),COLUMN('1-DATA'!C79)),IF($B81="STD. DEVIATION",2,$F$1))))</f>
        <v/>
      </c>
      <c r="E81" s="1" t="str">
        <f>IF(OR($B81="",E$7=""),"",IF($B81="MEANS",INDEX('1-DATA'!$1:$1048576,$A80-1,COLUMN('1-DATA'!D79)),ROUND(INDEX('1-DATA'!$1:$1048576,IF(OR($B81="STD. DEVIATION",$C$1=1),$A81,$A81+1),COLUMN('1-DATA'!D79)),IF($B81="STD. DEVIATION",2,$F$1))))</f>
        <v/>
      </c>
      <c r="F81" s="1" t="str">
        <f>IF(OR($B81="",F$7=""),"",IF($B81="MEANS",INDEX('1-DATA'!$1:$1048576,$A80-1,COLUMN('1-DATA'!E79)),ROUND(INDEX('1-DATA'!$1:$1048576,IF(OR($B81="STD. DEVIATION",$C$1=1),$A81,$A81+1),COLUMN('1-DATA'!E79)),IF($B81="STD. DEVIATION",2,$F$1))))</f>
        <v/>
      </c>
      <c r="G81" s="1" t="str">
        <f>IF(OR($B81="",G$7=""),"",IF($B81="MEANS",INDEX('1-DATA'!$1:$1048576,$A80-1,COLUMN('1-DATA'!F79)),ROUND(INDEX('1-DATA'!$1:$1048576,IF(OR($B81="STD. DEVIATION",$C$1=1),$A81,$A81+1),COLUMN('1-DATA'!F79)),IF($B81="STD. DEVIATION",2,$F$1))))</f>
        <v/>
      </c>
      <c r="H81" s="1" t="str">
        <f>IF(OR($B81="",H$7=""),"",IF($B81="MEANS",INDEX('1-DATA'!$1:$1048576,$A80-1,COLUMN('1-DATA'!G79)),ROUND(INDEX('1-DATA'!$1:$1048576,IF(OR($B81="STD. DEVIATION",$C$1=1),$A81,$A81+1),COLUMN('1-DATA'!G79)),IF($B81="STD. DEVIATION",2,$F$1))))</f>
        <v/>
      </c>
      <c r="I81" s="1" t="str">
        <f>IF(OR($B81="",I$7=""),"",IF($B81="MEANS",INDEX('1-DATA'!$1:$1048576,$A80-1,COLUMN('1-DATA'!H79)),ROUND(INDEX('1-DATA'!$1:$1048576,IF(OR($B81="STD. DEVIATION",$C$1=1),$A81,$A81+1),COLUMN('1-DATA'!H79)),IF($B81="STD. DEVIATION",2,$F$1))))</f>
        <v/>
      </c>
      <c r="J81" s="1" t="str">
        <f>IF(OR($B81="",J$7=""),"",IF($B81="MEANS",INDEX('1-DATA'!$1:$1048576,$A80-1,COLUMN('1-DATA'!I79)),ROUND(INDEX('1-DATA'!$1:$1048576,IF(OR($B81="STD. DEVIATION",$C$1=1),$A81,$A81+1),COLUMN('1-DATA'!I79)),IF($B81="STD. DEVIATION",2,$F$1))))</f>
        <v/>
      </c>
      <c r="K81" s="1" t="str">
        <f>IF(OR($B81="",K$7=""),"",IF($B81="MEANS",INDEX('1-DATA'!$1:$1048576,$A80-1,COLUMN('1-DATA'!J79)),ROUND(INDEX('1-DATA'!$1:$1048576,IF(OR($B81="STD. DEVIATION",$C$1=1),$A81,$A81+1),COLUMN('1-DATA'!J79)),IF($B81="STD. DEVIATION",2,$F$1))))</f>
        <v/>
      </c>
      <c r="L81" s="1" t="str">
        <f>IF(OR($B81="",L$7=""),"",IF($B81="MEANS",INDEX('1-DATA'!$1:$1048576,$A80-1,COLUMN('1-DATA'!K79)),ROUND(INDEX('1-DATA'!$1:$1048576,IF(OR($B81="STD. DEVIATION",$C$1=1),$A81,$A81+1),COLUMN('1-DATA'!K79)),IF($B81="STD. DEVIATION",2,$F$1))))</f>
        <v/>
      </c>
      <c r="M81" s="1" t="str">
        <f>IF(OR($B81="",M$7=""),"",IF($B81="MEANS",INDEX('1-DATA'!$1:$1048576,$A80-1,COLUMN('1-DATA'!L79)),ROUND(INDEX('1-DATA'!$1:$1048576,IF(OR($B81="STD. DEVIATION",$C$1=1),$A81,$A81+1),COLUMN('1-DATA'!L79)),IF($B81="STD. DEVIATION",2,$F$1))))</f>
        <v/>
      </c>
      <c r="N81" s="1" t="str">
        <f>IF(OR($B81="",N$7=""),"",IF($B81="MEANS",INDEX('1-DATA'!$1:$1048576,$A80-1,COLUMN('1-DATA'!M79)),ROUND(INDEX('1-DATA'!$1:$1048576,IF(OR($B81="STD. DEVIATION",$C$1=1),$A81,$A81+1),COLUMN('1-DATA'!M79)),IF($B81="STD. DEVIATION",2,$F$1))))</f>
        <v/>
      </c>
      <c r="O81" s="1" t="str">
        <f>IF(OR($B81="",O$7=""),"",IF($B81="MEANS",INDEX('1-DATA'!$1:$1048576,$A80-1,COLUMN('1-DATA'!N79)),ROUND(INDEX('1-DATA'!$1:$1048576,IF(OR($B81="STD. DEVIATION",$C$1=1),$A81,$A81+1),COLUMN('1-DATA'!N79)),IF($B81="STD. DEVIATION",2,$F$1))))</f>
        <v/>
      </c>
      <c r="P81" s="1" t="str">
        <f>IF(OR($B81="",P$7=""),"",IF($B81="MEANS",INDEX('1-DATA'!$1:$1048576,$A80-1,COLUMN('1-DATA'!O79)),ROUND(INDEX('1-DATA'!$1:$1048576,IF(OR($B81="STD. DEVIATION",$C$1=1),$A81,$A81+1),COLUMN('1-DATA'!O79)),IF($B81="STD. DEVIATION",2,$F$1))))</f>
        <v/>
      </c>
      <c r="Q81" s="1" t="str">
        <f>IF(OR($B81="",Q$7=""),"",IF($B81="MEANS",INDEX('1-DATA'!$1:$1048576,$A80-1,COLUMN('1-DATA'!P79)),ROUND(INDEX('1-DATA'!$1:$1048576,IF(OR($B81="STD. DEVIATION",$C$1=1),$A81,$A81+1),COLUMN('1-DATA'!P79)),IF($B81="STD. DEVIATION",2,$F$1))))</f>
        <v/>
      </c>
      <c r="R81" s="1" t="str">
        <f>IF(OR($B81="",R$7=""),"",IF($B81="MEANS",INDEX('1-DATA'!$1:$1048576,$A80-1,COLUMN('1-DATA'!Q79)),ROUND(INDEX('1-DATA'!$1:$1048576,IF(OR($B81="STD. DEVIATION",$C$1=1),$A81,$A81+1),COLUMN('1-DATA'!Q79)),IF($B81="STD. DEVIATION",2,$F$1))))</f>
        <v/>
      </c>
      <c r="S81" s="1" t="str">
        <f>IF(OR($B81="",S$7=""),"",IF($B81="MEANS",INDEX('1-DATA'!$1:$1048576,$A80-1,COLUMN('1-DATA'!R79)),ROUND(INDEX('1-DATA'!$1:$1048576,IF(OR($B81="STD. DEVIATION",$C$1=1),$A81,$A81+1),COLUMN('1-DATA'!R79)),IF($B81="STD. DEVIATION",2,$F$1))))</f>
        <v/>
      </c>
      <c r="T81" s="1" t="str">
        <f>IF(OR($B81="",T$7=""),"",IF($B81="MEANS",INDEX('1-DATA'!$1:$1048576,$A80-1,COLUMN('1-DATA'!S79)),ROUND(INDEX('1-DATA'!$1:$1048576,IF(OR($B81="STD. DEVIATION",$C$1=1),$A81,$A81+1),COLUMN('1-DATA'!S79)),IF($B81="STD. DEVIATION",2,$F$1))))</f>
        <v/>
      </c>
      <c r="U81" s="1" t="str">
        <f>IF(OR($B81="",U$7=""),"",IF($B81="MEANS",INDEX('1-DATA'!$1:$1048576,$A80-1,COLUMN('1-DATA'!T79)),ROUND(INDEX('1-DATA'!$1:$1048576,IF(OR($B81="STD. DEVIATION",$C$1=1),$A81,$A81+1),COLUMN('1-DATA'!T79)),IF($B81="STD. DEVIATION",2,$F$1))))</f>
        <v/>
      </c>
      <c r="V81" s="1" t="str">
        <f>IF(OR($B81="",V$7=""),"",IF($B81="MEANS",INDEX('1-DATA'!$1:$1048576,$A80-1,COLUMN('1-DATA'!U79)),ROUND(INDEX('1-DATA'!$1:$1048576,IF(OR($B81="STD. DEVIATION",$C$1=1),$A81,$A81+1),COLUMN('1-DATA'!U79)),IF($B81="STD. DEVIATION",2,$F$1))))</f>
        <v/>
      </c>
      <c r="W81" s="1" t="str">
        <f>IF(OR($B81="",W$7=""),"",IF($B81="MEANS",INDEX('1-DATA'!$1:$1048576,$A80-1,COLUMN('1-DATA'!V79)),ROUND(INDEX('1-DATA'!$1:$1048576,IF(OR($B81="STD. DEVIATION",$C$1=1),$A81,$A81+1),COLUMN('1-DATA'!V79)),IF($B81="STD. DEVIATION",2,$F$1))))</f>
        <v/>
      </c>
      <c r="X81" s="1" t="str">
        <f>IF(OR($B81="",X$7=""),"",IF($B81="MEANS",INDEX('1-DATA'!$1:$1048576,$A80-1,COLUMN('1-DATA'!W79)),ROUND(INDEX('1-DATA'!$1:$1048576,IF(OR($B81="STD. DEVIATION",$C$1=1),$A81,$A81+1),COLUMN('1-DATA'!W79)),IF($B81="STD. DEVIATION",2,$F$1))))</f>
        <v/>
      </c>
      <c r="Y81" s="1" t="str">
        <f>IF(OR($B81="",Y$7=""),"",IF($B81="MEANS",INDEX('1-DATA'!$1:$1048576,$A80-1,COLUMN('1-DATA'!X79)),ROUND(INDEX('1-DATA'!$1:$1048576,IF(OR($B81="STD. DEVIATION",$C$1=1),$A81,$A81+1),COLUMN('1-DATA'!X79)),IF($B81="STD. DEVIATION",2,$F$1))))</f>
        <v/>
      </c>
      <c r="Z81" s="1" t="str">
        <f>IF(OR($B81="",Z$7=""),"",IF($B81="MEANS",INDEX('1-DATA'!$1:$1048576,$A80-1,COLUMN('1-DATA'!Y79)),ROUND(INDEX('1-DATA'!$1:$1048576,IF(OR($B81="STD. DEVIATION",$C$1=1),$A81,$A81+1),COLUMN('1-DATA'!Y79)),IF($B81="STD. DEVIATION",2,$F$1))))</f>
        <v/>
      </c>
      <c r="AA81" s="1" t="str">
        <f>IF(OR($B81="",AA$7=""),"",IF($B81="MEANS",INDEX('1-DATA'!$1:$1048576,$A80-1,COLUMN('1-DATA'!Z79)),ROUND(INDEX('1-DATA'!$1:$1048576,IF(OR($B81="STD. DEVIATION",$C$1=1),$A81,$A81+1),COLUMN('1-DATA'!Z79)),IF($B81="STD. DEVIATION",2,$F$1))))</f>
        <v/>
      </c>
      <c r="AB81" s="1" t="str">
        <f>IF(OR($B81="",AB$7=""),"",IF($B81="MEANS",INDEX('1-DATA'!$1:$1048576,$A80-1,COLUMN('1-DATA'!AA79)),ROUND(INDEX('1-DATA'!$1:$1048576,IF(OR($B81="STD. DEVIATION",$C$1=1),$A81,$A81+1),COLUMN('1-DATA'!AA79)),IF($B81="STD. DEVIATION",2,$F$1))))</f>
        <v/>
      </c>
      <c r="AC81" s="1" t="str">
        <f>IF(OR($B81="",AC$7=""),"",IF($B81="MEANS",INDEX('1-DATA'!$1:$1048576,$A80-1,COLUMN('1-DATA'!AB79)),ROUND(INDEX('1-DATA'!$1:$1048576,IF(OR($B81="STD. DEVIATION",$C$1=1),$A81,$A81+1),COLUMN('1-DATA'!AB79)),IF($B81="STD. DEVIATION",2,$F$1))))</f>
        <v/>
      </c>
      <c r="AD81" s="1" t="str">
        <f>IF(OR($B81="",AD$7=""),"",IF($B81="MEANS",INDEX('1-DATA'!$1:$1048576,$A80-1,COLUMN('1-DATA'!AC79)),ROUND(INDEX('1-DATA'!$1:$1048576,IF(OR($B81="STD. DEVIATION",$C$1=1),$A81,$A81+1),COLUMN('1-DATA'!AC79)),IF($B81="STD. DEVIATION",2,$F$1))))</f>
        <v/>
      </c>
      <c r="AE81" s="1" t="str">
        <f>IF(OR($B81="",AE$7=""),"",IF($B81="MEANS",INDEX('1-DATA'!$1:$1048576,$A80-1,COLUMN('1-DATA'!AD79)),ROUND(INDEX('1-DATA'!$1:$1048576,IF(OR($B81="STD. DEVIATION",$C$1=1),$A81,$A81+1),COLUMN('1-DATA'!AD79)),IF($B81="STD. DEVIATION",2,$F$1))))</f>
        <v/>
      </c>
      <c r="AF81" s="1" t="str">
        <f>IF(OR($B81="",AF$7=""),"",IF($B81="MEANS",INDEX('1-DATA'!$1:$1048576,$A80-1,COLUMN('1-DATA'!AE79)),ROUND(INDEX('1-DATA'!$1:$1048576,IF(OR($B81="STD. DEVIATION",$C$1=1),$A81,$A81+1),COLUMN('1-DATA'!AE79)),IF($B81="STD. DEVIATION",2,$F$1))))</f>
        <v/>
      </c>
      <c r="AG81" s="1" t="str">
        <f>IF(OR($B81="",AG$7=""),"",IF($B81="MEANS",INDEX('1-DATA'!$1:$1048576,$A80-1,COLUMN('1-DATA'!AF79)),ROUND(INDEX('1-DATA'!$1:$1048576,IF(OR($B81="STD. DEVIATION",$C$1=1),$A81,$A81+1),COLUMN('1-DATA'!AF79)),IF($B81="STD. DEVIATION",2,$F$1))))</f>
        <v/>
      </c>
      <c r="AH81" s="1" t="str">
        <f>IF(OR($B81="",AH$7=""),"",IF($B81="MEANS",INDEX('1-DATA'!$1:$1048576,$A80-1,COLUMN('1-DATA'!AG79)),ROUND(INDEX('1-DATA'!$1:$1048576,IF(OR($B81="STD. DEVIATION",$C$1=1),$A81,$A81+1),COLUMN('1-DATA'!AG79)),IF($B81="STD. DEVIATION",2,$F$1))))</f>
        <v/>
      </c>
      <c r="AI81" s="1" t="str">
        <f>IF(OR($B81="",AI$7=""),"",IF($B81="MEANS",INDEX('1-DATA'!$1:$1048576,$A80-1,COLUMN('1-DATA'!AH79)),ROUND(INDEX('1-DATA'!$1:$1048576,IF(OR($B81="STD. DEVIATION",$C$1=1),$A81,$A81+1),COLUMN('1-DATA'!AH79)),IF($B81="STD. DEVIATION",2,$F$1))))</f>
        <v/>
      </c>
      <c r="AJ81" s="1" t="str">
        <f>IF(OR($B81="",AJ$7=""),"",IF($B81="MEANS",INDEX('1-DATA'!$1:$1048576,$A80-1,COLUMN('1-DATA'!AI79)),ROUND(INDEX('1-DATA'!$1:$1048576,IF(OR($B81="STD. DEVIATION",$C$1=1),$A81,$A81+1),COLUMN('1-DATA'!AI79)),IF($B81="STD. DEVIATION",2,$F$1))))</f>
        <v/>
      </c>
      <c r="AK81" s="1" t="str">
        <f>IF(OR($B81="",AK$7=""),"",IF($B81="MEANS",INDEX('1-DATA'!$1:$1048576,$A80-1,COLUMN('1-DATA'!AJ79)),ROUND(INDEX('1-DATA'!$1:$1048576,IF(OR($B81="STD. DEVIATION",$C$1=1),$A81,$A81+1),COLUMN('1-DATA'!AJ79)),IF($B81="STD. DEVIATION",2,$F$1))))</f>
        <v/>
      </c>
      <c r="AL81" s="1" t="str">
        <f>IF(OR($B81="",AL$7=""),"",IF($B81="MEANS",INDEX('1-DATA'!$1:$1048576,$A80-1,COLUMN('1-DATA'!AK79)),ROUND(INDEX('1-DATA'!$1:$1048576,IF(OR($B81="STD. DEVIATION",$C$1=1),$A81,$A81+1),COLUMN('1-DATA'!AK79)),IF($B81="STD. DEVIATION",2,$F$1))))</f>
        <v/>
      </c>
      <c r="AM81" s="1" t="str">
        <f>IF(OR($B81="",AM$7=""),"",IF($B81="MEANS",INDEX('1-DATA'!$1:$1048576,$A80-1,COLUMN('1-DATA'!AL79)),ROUND(INDEX('1-DATA'!$1:$1048576,IF(OR($B81="STD. DEVIATION",$C$1=1),$A81,$A81+1),COLUMN('1-DATA'!AL79)),IF($B81="STD. DEVIATION",2,$F$1))))</f>
        <v/>
      </c>
      <c r="AN81" s="1" t="str">
        <f>IF(OR($B81="",AN$7=""),"",IF($B81="MEANS",INDEX('1-DATA'!$1:$1048576,$A80-1,COLUMN('1-DATA'!AM79)),ROUND(INDEX('1-DATA'!$1:$1048576,IF(OR($B81="STD. DEVIATION",$C$1=1),$A81,$A81+1),COLUMN('1-DATA'!AM79)),IF($B81="STD. DEVIATION",2,$F$1))))</f>
        <v/>
      </c>
      <c r="AO81" s="1" t="str">
        <f>IF(OR($B81="",AO$7=""),"",IF($B81="MEANS",INDEX('1-DATA'!$1:$1048576,$A80-1,COLUMN('1-DATA'!AN79)),ROUND(INDEX('1-DATA'!$1:$1048576,IF(OR($B81="STD. DEVIATION",$C$1=1),$A81,$A81+1),COLUMN('1-DATA'!AN79)),IF($B81="STD. DEVIATION",2,$F$1))))</f>
        <v/>
      </c>
      <c r="AP81" s="1" t="str">
        <f>IF(OR($B81="",AP$7=""),"",IF($B81="MEANS",INDEX('1-DATA'!$1:$1048576,$A80-1,COLUMN('1-DATA'!AO79)),ROUND(INDEX('1-DATA'!$1:$1048576,IF(OR($B81="STD. DEVIATION",$C$1=1),$A81,$A81+1),COLUMN('1-DATA'!AO79)),IF($B81="STD. DEVIATION",2,$F$1))))</f>
        <v/>
      </c>
      <c r="AQ81" s="1" t="str">
        <f>IF(OR($B81="",AQ$7=""),"",IF($B81="MEANS",INDEX('1-DATA'!$1:$1048576,$A80-1,COLUMN('1-DATA'!AP79)),ROUND(INDEX('1-DATA'!$1:$1048576,IF(OR($B81="STD. DEVIATION",$C$1=1),$A81,$A81+1),COLUMN('1-DATA'!AP79)),IF($B81="STD. DEVIATION",2,$F$1))))</f>
        <v/>
      </c>
      <c r="AR81" s="1" t="str">
        <f>IF(OR($B81="",AR$7=""),"",IF($B81="MEANS",INDEX('1-DATA'!$1:$1048576,$A80-1,COLUMN('1-DATA'!AQ79)),ROUND(INDEX('1-DATA'!$1:$1048576,IF(OR($B81="STD. DEVIATION",$C$1=1),$A81,$A81+1),COLUMN('1-DATA'!AQ79)),IF($B81="STD. DEVIATION",2,$F$1))))</f>
        <v/>
      </c>
      <c r="AS81" s="1" t="str">
        <f>IF(OR($B81="",AS$7=""),"",IF($B81="MEANS",INDEX('1-DATA'!$1:$1048576,$A80-1,COLUMN('1-DATA'!AR79)),ROUND(INDEX('1-DATA'!$1:$1048576,IF(OR($B81="STD. DEVIATION",$C$1=1),$A81,$A81+1),COLUMN('1-DATA'!AR79)),IF($B81="STD. DEVIATION",2,$F$1))))</f>
        <v/>
      </c>
      <c r="AT81" s="1" t="str">
        <f>IF(OR($B81="",AT$7=""),"",IF($B81="MEANS",INDEX('1-DATA'!$1:$1048576,$A80-1,COLUMN('1-DATA'!AS79)),ROUND(INDEX('1-DATA'!$1:$1048576,IF(OR($B81="STD. DEVIATION",$C$1=1),$A81,$A81+1),COLUMN('1-DATA'!AS79)),IF($B81="STD. DEVIATION",2,$F$1))))</f>
        <v/>
      </c>
      <c r="AU81" s="1" t="str">
        <f>IF(OR($B81="",AU$7=""),"",IF($B81="MEANS",INDEX('1-DATA'!$1:$1048576,$A80-1,COLUMN('1-DATA'!AT79)),ROUND(INDEX('1-DATA'!$1:$1048576,IF(OR($B81="STD. DEVIATION",$C$1=1),$A81,$A81+1),COLUMN('1-DATA'!AT79)),IF($B81="STD. DEVIATION",2,$F$1))))</f>
        <v/>
      </c>
      <c r="AV81" s="1" t="str">
        <f>IF(OR($B81="",AV$7=""),"",IF($B81="MEANS",INDEX('1-DATA'!$1:$1048576,$A80-1,COLUMN('1-DATA'!AU79)),ROUND(INDEX('1-DATA'!$1:$1048576,IF(OR($B81="STD. DEVIATION",$C$1=1),$A81,$A81+1),COLUMN('1-DATA'!AU79)),IF($B81="STD. DEVIATION",2,$F$1))))</f>
        <v/>
      </c>
      <c r="AW81" s="1" t="str">
        <f>IF(OR($B81="",AW$7=""),"",IF($B81="MEANS",INDEX('1-DATA'!$1:$1048576,$A80-1,COLUMN('1-DATA'!AV79)),ROUND(INDEX('1-DATA'!$1:$1048576,IF(OR($B81="STD. DEVIATION",$C$1=1),$A81,$A81+1),COLUMN('1-DATA'!AV79)),IF($B81="STD. DEVIATION",2,$F$1))))</f>
        <v/>
      </c>
      <c r="AX81" s="1" t="str">
        <f>IF(OR($B81="",AX$7=""),"",IF($B81="MEANS",INDEX('1-DATA'!$1:$1048576,$A80-1,COLUMN('1-DATA'!AW79)),ROUND(INDEX('1-DATA'!$1:$1048576,IF(OR($B81="STD. DEVIATION",$C$1=1),$A81,$A81+1),COLUMN('1-DATA'!AW79)),IF($B81="STD. DEVIATION",2,$F$1))))</f>
        <v/>
      </c>
      <c r="AY81" s="1" t="str">
        <f>IF(OR($B81="",AY$7=""),"",IF($B81="MEANS",INDEX('1-DATA'!$1:$1048576,$A80-1,COLUMN('1-DATA'!AX79)),ROUND(INDEX('1-DATA'!$1:$1048576,IF(OR($B81="STD. DEVIATION",$C$1=1),$A81,$A81+1),COLUMN('1-DATA'!AX79)),IF($B81="STD. DEVIATION",2,$F$1))))</f>
        <v/>
      </c>
      <c r="AZ81" s="1" t="str">
        <f>IF(OR($B81="",AZ$7=""),"",IF($B81="MEANS",INDEX('1-DATA'!$1:$1048576,$A80-1,COLUMN('1-DATA'!AY79)),ROUND(INDEX('1-DATA'!$1:$1048576,IF(OR($B81="STD. DEVIATION",$C$1=1),$A81,$A81+1),COLUMN('1-DATA'!AY79)),IF($B81="STD. DEVIATION",2,$F$1))))</f>
        <v/>
      </c>
    </row>
    <row r="82" spans="1:52" x14ac:dyDescent="0.25">
      <c r="A82" s="11">
        <f t="shared" si="1"/>
        <v>232</v>
      </c>
      <c r="B82" s="1" t="str">
        <f>IF(B81="STD. DEVIATION",INDEX('1-DATA'!$1:$1048576,$A81-1,1),IF(INDEX('1-DATA'!$1:$1048576,$A82,1)&lt;&gt;"",INDEX('1-DATA'!$1:$1048576,$A82,1),""))</f>
        <v/>
      </c>
      <c r="C82" s="1" t="str">
        <f>IF(OR($B82="",C$7=""),"",IF($B82="MEANS",INDEX('1-DATA'!$1:$1048576,$A81-1,COLUMN('1-DATA'!B80)),ROUND(INDEX('1-DATA'!$1:$1048576,IF(OR($B82="STD. DEVIATION",$C$1=1),$A82,$A82+1),COLUMN('1-DATA'!B80)),IF($B82="STD. DEVIATION",2,$F$1))))</f>
        <v/>
      </c>
      <c r="D82" s="1" t="str">
        <f>IF(OR($B82="",D$7=""),"",IF($B82="MEANS",INDEX('1-DATA'!$1:$1048576,$A81-1,COLUMN('1-DATA'!C80)),ROUND(INDEX('1-DATA'!$1:$1048576,IF(OR($B82="STD. DEVIATION",$C$1=1),$A82,$A82+1),COLUMN('1-DATA'!C80)),IF($B82="STD. DEVIATION",2,$F$1))))</f>
        <v/>
      </c>
      <c r="E82" s="1" t="str">
        <f>IF(OR($B82="",E$7=""),"",IF($B82="MEANS",INDEX('1-DATA'!$1:$1048576,$A81-1,COLUMN('1-DATA'!D80)),ROUND(INDEX('1-DATA'!$1:$1048576,IF(OR($B82="STD. DEVIATION",$C$1=1),$A82,$A82+1),COLUMN('1-DATA'!D80)),IF($B82="STD. DEVIATION",2,$F$1))))</f>
        <v/>
      </c>
      <c r="F82" s="1" t="str">
        <f>IF(OR($B82="",F$7=""),"",IF($B82="MEANS",INDEX('1-DATA'!$1:$1048576,$A81-1,COLUMN('1-DATA'!E80)),ROUND(INDEX('1-DATA'!$1:$1048576,IF(OR($B82="STD. DEVIATION",$C$1=1),$A82,$A82+1),COLUMN('1-DATA'!E80)),IF($B82="STD. DEVIATION",2,$F$1))))</f>
        <v/>
      </c>
      <c r="G82" s="1" t="str">
        <f>IF(OR($B82="",G$7=""),"",IF($B82="MEANS",INDEX('1-DATA'!$1:$1048576,$A81-1,COLUMN('1-DATA'!F80)),ROUND(INDEX('1-DATA'!$1:$1048576,IF(OR($B82="STD. DEVIATION",$C$1=1),$A82,$A82+1),COLUMN('1-DATA'!F80)),IF($B82="STD. DEVIATION",2,$F$1))))</f>
        <v/>
      </c>
      <c r="H82" s="1" t="str">
        <f>IF(OR($B82="",H$7=""),"",IF($B82="MEANS",INDEX('1-DATA'!$1:$1048576,$A81-1,COLUMN('1-DATA'!G80)),ROUND(INDEX('1-DATA'!$1:$1048576,IF(OR($B82="STD. DEVIATION",$C$1=1),$A82,$A82+1),COLUMN('1-DATA'!G80)),IF($B82="STD. DEVIATION",2,$F$1))))</f>
        <v/>
      </c>
      <c r="I82" s="1" t="str">
        <f>IF(OR($B82="",I$7=""),"",IF($B82="MEANS",INDEX('1-DATA'!$1:$1048576,$A81-1,COLUMN('1-DATA'!H80)),ROUND(INDEX('1-DATA'!$1:$1048576,IF(OR($B82="STD. DEVIATION",$C$1=1),$A82,$A82+1),COLUMN('1-DATA'!H80)),IF($B82="STD. DEVIATION",2,$F$1))))</f>
        <v/>
      </c>
      <c r="J82" s="1" t="str">
        <f>IF(OR($B82="",J$7=""),"",IF($B82="MEANS",INDEX('1-DATA'!$1:$1048576,$A81-1,COLUMN('1-DATA'!I80)),ROUND(INDEX('1-DATA'!$1:$1048576,IF(OR($B82="STD. DEVIATION",$C$1=1),$A82,$A82+1),COLUMN('1-DATA'!I80)),IF($B82="STD. DEVIATION",2,$F$1))))</f>
        <v/>
      </c>
      <c r="K82" s="1" t="str">
        <f>IF(OR($B82="",K$7=""),"",IF($B82="MEANS",INDEX('1-DATA'!$1:$1048576,$A81-1,COLUMN('1-DATA'!J80)),ROUND(INDEX('1-DATA'!$1:$1048576,IF(OR($B82="STD. DEVIATION",$C$1=1),$A82,$A82+1),COLUMN('1-DATA'!J80)),IF($B82="STD. DEVIATION",2,$F$1))))</f>
        <v/>
      </c>
      <c r="L82" s="1" t="str">
        <f>IF(OR($B82="",L$7=""),"",IF($B82="MEANS",INDEX('1-DATA'!$1:$1048576,$A81-1,COLUMN('1-DATA'!K80)),ROUND(INDEX('1-DATA'!$1:$1048576,IF(OR($B82="STD. DEVIATION",$C$1=1),$A82,$A82+1),COLUMN('1-DATA'!K80)),IF($B82="STD. DEVIATION",2,$F$1))))</f>
        <v/>
      </c>
      <c r="M82" s="1" t="str">
        <f>IF(OR($B82="",M$7=""),"",IF($B82="MEANS",INDEX('1-DATA'!$1:$1048576,$A81-1,COLUMN('1-DATA'!L80)),ROUND(INDEX('1-DATA'!$1:$1048576,IF(OR($B82="STD. DEVIATION",$C$1=1),$A82,$A82+1),COLUMN('1-DATA'!L80)),IF($B82="STD. DEVIATION",2,$F$1))))</f>
        <v/>
      </c>
      <c r="N82" s="1" t="str">
        <f>IF(OR($B82="",N$7=""),"",IF($B82="MEANS",INDEX('1-DATA'!$1:$1048576,$A81-1,COLUMN('1-DATA'!M80)),ROUND(INDEX('1-DATA'!$1:$1048576,IF(OR($B82="STD. DEVIATION",$C$1=1),$A82,$A82+1),COLUMN('1-DATA'!M80)),IF($B82="STD. DEVIATION",2,$F$1))))</f>
        <v/>
      </c>
      <c r="O82" s="1" t="str">
        <f>IF(OR($B82="",O$7=""),"",IF($B82="MEANS",INDEX('1-DATA'!$1:$1048576,$A81-1,COLUMN('1-DATA'!N80)),ROUND(INDEX('1-DATA'!$1:$1048576,IF(OR($B82="STD. DEVIATION",$C$1=1),$A82,$A82+1),COLUMN('1-DATA'!N80)),IF($B82="STD. DEVIATION",2,$F$1))))</f>
        <v/>
      </c>
      <c r="P82" s="1" t="str">
        <f>IF(OR($B82="",P$7=""),"",IF($B82="MEANS",INDEX('1-DATA'!$1:$1048576,$A81-1,COLUMN('1-DATA'!O80)),ROUND(INDEX('1-DATA'!$1:$1048576,IF(OR($B82="STD. DEVIATION",$C$1=1),$A82,$A82+1),COLUMN('1-DATA'!O80)),IF($B82="STD. DEVIATION",2,$F$1))))</f>
        <v/>
      </c>
      <c r="Q82" s="1" t="str">
        <f>IF(OR($B82="",Q$7=""),"",IF($B82="MEANS",INDEX('1-DATA'!$1:$1048576,$A81-1,COLUMN('1-DATA'!P80)),ROUND(INDEX('1-DATA'!$1:$1048576,IF(OR($B82="STD. DEVIATION",$C$1=1),$A82,$A82+1),COLUMN('1-DATA'!P80)),IF($B82="STD. DEVIATION",2,$F$1))))</f>
        <v/>
      </c>
      <c r="R82" s="1" t="str">
        <f>IF(OR($B82="",R$7=""),"",IF($B82="MEANS",INDEX('1-DATA'!$1:$1048576,$A81-1,COLUMN('1-DATA'!Q80)),ROUND(INDEX('1-DATA'!$1:$1048576,IF(OR($B82="STD. DEVIATION",$C$1=1),$A82,$A82+1),COLUMN('1-DATA'!Q80)),IF($B82="STD. DEVIATION",2,$F$1))))</f>
        <v/>
      </c>
      <c r="S82" s="1" t="str">
        <f>IF(OR($B82="",S$7=""),"",IF($B82="MEANS",INDEX('1-DATA'!$1:$1048576,$A81-1,COLUMN('1-DATA'!R80)),ROUND(INDEX('1-DATA'!$1:$1048576,IF(OR($B82="STD. DEVIATION",$C$1=1),$A82,$A82+1),COLUMN('1-DATA'!R80)),IF($B82="STD. DEVIATION",2,$F$1))))</f>
        <v/>
      </c>
      <c r="T82" s="1" t="str">
        <f>IF(OR($B82="",T$7=""),"",IF($B82="MEANS",INDEX('1-DATA'!$1:$1048576,$A81-1,COLUMN('1-DATA'!S80)),ROUND(INDEX('1-DATA'!$1:$1048576,IF(OR($B82="STD. DEVIATION",$C$1=1),$A82,$A82+1),COLUMN('1-DATA'!S80)),IF($B82="STD. DEVIATION",2,$F$1))))</f>
        <v/>
      </c>
      <c r="U82" s="1" t="str">
        <f>IF(OR($B82="",U$7=""),"",IF($B82="MEANS",INDEX('1-DATA'!$1:$1048576,$A81-1,COLUMN('1-DATA'!T80)),ROUND(INDEX('1-DATA'!$1:$1048576,IF(OR($B82="STD. DEVIATION",$C$1=1),$A82,$A82+1),COLUMN('1-DATA'!T80)),IF($B82="STD. DEVIATION",2,$F$1))))</f>
        <v/>
      </c>
      <c r="V82" s="1" t="str">
        <f>IF(OR($B82="",V$7=""),"",IF($B82="MEANS",INDEX('1-DATA'!$1:$1048576,$A81-1,COLUMN('1-DATA'!U80)),ROUND(INDEX('1-DATA'!$1:$1048576,IF(OR($B82="STD. DEVIATION",$C$1=1),$A82,$A82+1),COLUMN('1-DATA'!U80)),IF($B82="STD. DEVIATION",2,$F$1))))</f>
        <v/>
      </c>
      <c r="W82" s="1" t="str">
        <f>IF(OR($B82="",W$7=""),"",IF($B82="MEANS",INDEX('1-DATA'!$1:$1048576,$A81-1,COLUMN('1-DATA'!V80)),ROUND(INDEX('1-DATA'!$1:$1048576,IF(OR($B82="STD. DEVIATION",$C$1=1),$A82,$A82+1),COLUMN('1-DATA'!V80)),IF($B82="STD. DEVIATION",2,$F$1))))</f>
        <v/>
      </c>
      <c r="X82" s="1" t="str">
        <f>IF(OR($B82="",X$7=""),"",IF($B82="MEANS",INDEX('1-DATA'!$1:$1048576,$A81-1,COLUMN('1-DATA'!W80)),ROUND(INDEX('1-DATA'!$1:$1048576,IF(OR($B82="STD. DEVIATION",$C$1=1),$A82,$A82+1),COLUMN('1-DATA'!W80)),IF($B82="STD. DEVIATION",2,$F$1))))</f>
        <v/>
      </c>
      <c r="Y82" s="1" t="str">
        <f>IF(OR($B82="",Y$7=""),"",IF($B82="MEANS",INDEX('1-DATA'!$1:$1048576,$A81-1,COLUMN('1-DATA'!X80)),ROUND(INDEX('1-DATA'!$1:$1048576,IF(OR($B82="STD. DEVIATION",$C$1=1),$A82,$A82+1),COLUMN('1-DATA'!X80)),IF($B82="STD. DEVIATION",2,$F$1))))</f>
        <v/>
      </c>
      <c r="Z82" s="1" t="str">
        <f>IF(OR($B82="",Z$7=""),"",IF($B82="MEANS",INDEX('1-DATA'!$1:$1048576,$A81-1,COLUMN('1-DATA'!Y80)),ROUND(INDEX('1-DATA'!$1:$1048576,IF(OR($B82="STD. DEVIATION",$C$1=1),$A82,$A82+1),COLUMN('1-DATA'!Y80)),IF($B82="STD. DEVIATION",2,$F$1))))</f>
        <v/>
      </c>
      <c r="AA82" s="1" t="str">
        <f>IF(OR($B82="",AA$7=""),"",IF($B82="MEANS",INDEX('1-DATA'!$1:$1048576,$A81-1,COLUMN('1-DATA'!Z80)),ROUND(INDEX('1-DATA'!$1:$1048576,IF(OR($B82="STD. DEVIATION",$C$1=1),$A82,$A82+1),COLUMN('1-DATA'!Z80)),IF($B82="STD. DEVIATION",2,$F$1))))</f>
        <v/>
      </c>
      <c r="AB82" s="1" t="str">
        <f>IF(OR($B82="",AB$7=""),"",IF($B82="MEANS",INDEX('1-DATA'!$1:$1048576,$A81-1,COLUMN('1-DATA'!AA80)),ROUND(INDEX('1-DATA'!$1:$1048576,IF(OR($B82="STD. DEVIATION",$C$1=1),$A82,$A82+1),COLUMN('1-DATA'!AA80)),IF($B82="STD. DEVIATION",2,$F$1))))</f>
        <v/>
      </c>
      <c r="AC82" s="1" t="str">
        <f>IF(OR($B82="",AC$7=""),"",IF($B82="MEANS",INDEX('1-DATA'!$1:$1048576,$A81-1,COLUMN('1-DATA'!AB80)),ROUND(INDEX('1-DATA'!$1:$1048576,IF(OR($B82="STD. DEVIATION",$C$1=1),$A82,$A82+1),COLUMN('1-DATA'!AB80)),IF($B82="STD. DEVIATION",2,$F$1))))</f>
        <v/>
      </c>
      <c r="AD82" s="1" t="str">
        <f>IF(OR($B82="",AD$7=""),"",IF($B82="MEANS",INDEX('1-DATA'!$1:$1048576,$A81-1,COLUMN('1-DATA'!AC80)),ROUND(INDEX('1-DATA'!$1:$1048576,IF(OR($B82="STD. DEVIATION",$C$1=1),$A82,$A82+1),COLUMN('1-DATA'!AC80)),IF($B82="STD. DEVIATION",2,$F$1))))</f>
        <v/>
      </c>
      <c r="AE82" s="1" t="str">
        <f>IF(OR($B82="",AE$7=""),"",IF($B82="MEANS",INDEX('1-DATA'!$1:$1048576,$A81-1,COLUMN('1-DATA'!AD80)),ROUND(INDEX('1-DATA'!$1:$1048576,IF(OR($B82="STD. DEVIATION",$C$1=1),$A82,$A82+1),COLUMN('1-DATA'!AD80)),IF($B82="STD. DEVIATION",2,$F$1))))</f>
        <v/>
      </c>
      <c r="AF82" s="1" t="str">
        <f>IF(OR($B82="",AF$7=""),"",IF($B82="MEANS",INDEX('1-DATA'!$1:$1048576,$A81-1,COLUMN('1-DATA'!AE80)),ROUND(INDEX('1-DATA'!$1:$1048576,IF(OR($B82="STD. DEVIATION",$C$1=1),$A82,$A82+1),COLUMN('1-DATA'!AE80)),IF($B82="STD. DEVIATION",2,$F$1))))</f>
        <v/>
      </c>
      <c r="AG82" s="1" t="str">
        <f>IF(OR($B82="",AG$7=""),"",IF($B82="MEANS",INDEX('1-DATA'!$1:$1048576,$A81-1,COLUMN('1-DATA'!AF80)),ROUND(INDEX('1-DATA'!$1:$1048576,IF(OR($B82="STD. DEVIATION",$C$1=1),$A82,$A82+1),COLUMN('1-DATA'!AF80)),IF($B82="STD. DEVIATION",2,$F$1))))</f>
        <v/>
      </c>
      <c r="AH82" s="1" t="str">
        <f>IF(OR($B82="",AH$7=""),"",IF($B82="MEANS",INDEX('1-DATA'!$1:$1048576,$A81-1,COLUMN('1-DATA'!AG80)),ROUND(INDEX('1-DATA'!$1:$1048576,IF(OR($B82="STD. DEVIATION",$C$1=1),$A82,$A82+1),COLUMN('1-DATA'!AG80)),IF($B82="STD. DEVIATION",2,$F$1))))</f>
        <v/>
      </c>
      <c r="AI82" s="1" t="str">
        <f>IF(OR($B82="",AI$7=""),"",IF($B82="MEANS",INDEX('1-DATA'!$1:$1048576,$A81-1,COLUMN('1-DATA'!AH80)),ROUND(INDEX('1-DATA'!$1:$1048576,IF(OR($B82="STD. DEVIATION",$C$1=1),$A82,$A82+1),COLUMN('1-DATA'!AH80)),IF($B82="STD. DEVIATION",2,$F$1))))</f>
        <v/>
      </c>
      <c r="AJ82" s="1" t="str">
        <f>IF(OR($B82="",AJ$7=""),"",IF($B82="MEANS",INDEX('1-DATA'!$1:$1048576,$A81-1,COLUMN('1-DATA'!AI80)),ROUND(INDEX('1-DATA'!$1:$1048576,IF(OR($B82="STD. DEVIATION",$C$1=1),$A82,$A82+1),COLUMN('1-DATA'!AI80)),IF($B82="STD. DEVIATION",2,$F$1))))</f>
        <v/>
      </c>
      <c r="AK82" s="1" t="str">
        <f>IF(OR($B82="",AK$7=""),"",IF($B82="MEANS",INDEX('1-DATA'!$1:$1048576,$A81-1,COLUMN('1-DATA'!AJ80)),ROUND(INDEX('1-DATA'!$1:$1048576,IF(OR($B82="STD. DEVIATION",$C$1=1),$A82,$A82+1),COLUMN('1-DATA'!AJ80)),IF($B82="STD. DEVIATION",2,$F$1))))</f>
        <v/>
      </c>
      <c r="AL82" s="1" t="str">
        <f>IF(OR($B82="",AL$7=""),"",IF($B82="MEANS",INDEX('1-DATA'!$1:$1048576,$A81-1,COLUMN('1-DATA'!AK80)),ROUND(INDEX('1-DATA'!$1:$1048576,IF(OR($B82="STD. DEVIATION",$C$1=1),$A82,$A82+1),COLUMN('1-DATA'!AK80)),IF($B82="STD. DEVIATION",2,$F$1))))</f>
        <v/>
      </c>
      <c r="AM82" s="1" t="str">
        <f>IF(OR($B82="",AM$7=""),"",IF($B82="MEANS",INDEX('1-DATA'!$1:$1048576,$A81-1,COLUMN('1-DATA'!AL80)),ROUND(INDEX('1-DATA'!$1:$1048576,IF(OR($B82="STD. DEVIATION",$C$1=1),$A82,$A82+1),COLUMN('1-DATA'!AL80)),IF($B82="STD. DEVIATION",2,$F$1))))</f>
        <v/>
      </c>
      <c r="AN82" s="1" t="str">
        <f>IF(OR($B82="",AN$7=""),"",IF($B82="MEANS",INDEX('1-DATA'!$1:$1048576,$A81-1,COLUMN('1-DATA'!AM80)),ROUND(INDEX('1-DATA'!$1:$1048576,IF(OR($B82="STD. DEVIATION",$C$1=1),$A82,$A82+1),COLUMN('1-DATA'!AM80)),IF($B82="STD. DEVIATION",2,$F$1))))</f>
        <v/>
      </c>
      <c r="AO82" s="1" t="str">
        <f>IF(OR($B82="",AO$7=""),"",IF($B82="MEANS",INDEX('1-DATA'!$1:$1048576,$A81-1,COLUMN('1-DATA'!AN80)),ROUND(INDEX('1-DATA'!$1:$1048576,IF(OR($B82="STD. DEVIATION",$C$1=1),$A82,$A82+1),COLUMN('1-DATA'!AN80)),IF($B82="STD. DEVIATION",2,$F$1))))</f>
        <v/>
      </c>
      <c r="AP82" s="1" t="str">
        <f>IF(OR($B82="",AP$7=""),"",IF($B82="MEANS",INDEX('1-DATA'!$1:$1048576,$A81-1,COLUMN('1-DATA'!AO80)),ROUND(INDEX('1-DATA'!$1:$1048576,IF(OR($B82="STD. DEVIATION",$C$1=1),$A82,$A82+1),COLUMN('1-DATA'!AO80)),IF($B82="STD. DEVIATION",2,$F$1))))</f>
        <v/>
      </c>
      <c r="AQ82" s="1" t="str">
        <f>IF(OR($B82="",AQ$7=""),"",IF($B82="MEANS",INDEX('1-DATA'!$1:$1048576,$A81-1,COLUMN('1-DATA'!AP80)),ROUND(INDEX('1-DATA'!$1:$1048576,IF(OR($B82="STD. DEVIATION",$C$1=1),$A82,$A82+1),COLUMN('1-DATA'!AP80)),IF($B82="STD. DEVIATION",2,$F$1))))</f>
        <v/>
      </c>
      <c r="AR82" s="1" t="str">
        <f>IF(OR($B82="",AR$7=""),"",IF($B82="MEANS",INDEX('1-DATA'!$1:$1048576,$A81-1,COLUMN('1-DATA'!AQ80)),ROUND(INDEX('1-DATA'!$1:$1048576,IF(OR($B82="STD. DEVIATION",$C$1=1),$A82,$A82+1),COLUMN('1-DATA'!AQ80)),IF($B82="STD. DEVIATION",2,$F$1))))</f>
        <v/>
      </c>
      <c r="AS82" s="1" t="str">
        <f>IF(OR($B82="",AS$7=""),"",IF($B82="MEANS",INDEX('1-DATA'!$1:$1048576,$A81-1,COLUMN('1-DATA'!AR80)),ROUND(INDEX('1-DATA'!$1:$1048576,IF(OR($B82="STD. DEVIATION",$C$1=1),$A82,$A82+1),COLUMN('1-DATA'!AR80)),IF($B82="STD. DEVIATION",2,$F$1))))</f>
        <v/>
      </c>
      <c r="AT82" s="1" t="str">
        <f>IF(OR($B82="",AT$7=""),"",IF($B82="MEANS",INDEX('1-DATA'!$1:$1048576,$A81-1,COLUMN('1-DATA'!AS80)),ROUND(INDEX('1-DATA'!$1:$1048576,IF(OR($B82="STD. DEVIATION",$C$1=1),$A82,$A82+1),COLUMN('1-DATA'!AS80)),IF($B82="STD. DEVIATION",2,$F$1))))</f>
        <v/>
      </c>
      <c r="AU82" s="1" t="str">
        <f>IF(OR($B82="",AU$7=""),"",IF($B82="MEANS",INDEX('1-DATA'!$1:$1048576,$A81-1,COLUMN('1-DATA'!AT80)),ROUND(INDEX('1-DATA'!$1:$1048576,IF(OR($B82="STD. DEVIATION",$C$1=1),$A82,$A82+1),COLUMN('1-DATA'!AT80)),IF($B82="STD. DEVIATION",2,$F$1))))</f>
        <v/>
      </c>
      <c r="AV82" s="1" t="str">
        <f>IF(OR($B82="",AV$7=""),"",IF($B82="MEANS",INDEX('1-DATA'!$1:$1048576,$A81-1,COLUMN('1-DATA'!AU80)),ROUND(INDEX('1-DATA'!$1:$1048576,IF(OR($B82="STD. DEVIATION",$C$1=1),$A82,$A82+1),COLUMN('1-DATA'!AU80)),IF($B82="STD. DEVIATION",2,$F$1))))</f>
        <v/>
      </c>
      <c r="AW82" s="1" t="str">
        <f>IF(OR($B82="",AW$7=""),"",IF($B82="MEANS",INDEX('1-DATA'!$1:$1048576,$A81-1,COLUMN('1-DATA'!AV80)),ROUND(INDEX('1-DATA'!$1:$1048576,IF(OR($B82="STD. DEVIATION",$C$1=1),$A82,$A82+1),COLUMN('1-DATA'!AV80)),IF($B82="STD. DEVIATION",2,$F$1))))</f>
        <v/>
      </c>
      <c r="AX82" s="1" t="str">
        <f>IF(OR($B82="",AX$7=""),"",IF($B82="MEANS",INDEX('1-DATA'!$1:$1048576,$A81-1,COLUMN('1-DATA'!AW80)),ROUND(INDEX('1-DATA'!$1:$1048576,IF(OR($B82="STD. DEVIATION",$C$1=1),$A82,$A82+1),COLUMN('1-DATA'!AW80)),IF($B82="STD. DEVIATION",2,$F$1))))</f>
        <v/>
      </c>
      <c r="AY82" s="1" t="str">
        <f>IF(OR($B82="",AY$7=""),"",IF($B82="MEANS",INDEX('1-DATA'!$1:$1048576,$A81-1,COLUMN('1-DATA'!AX80)),ROUND(INDEX('1-DATA'!$1:$1048576,IF(OR($B82="STD. DEVIATION",$C$1=1),$A82,$A82+1),COLUMN('1-DATA'!AX80)),IF($B82="STD. DEVIATION",2,$F$1))))</f>
        <v/>
      </c>
      <c r="AZ82" s="1" t="str">
        <f>IF(OR($B82="",AZ$7=""),"",IF($B82="MEANS",INDEX('1-DATA'!$1:$1048576,$A81-1,COLUMN('1-DATA'!AY80)),ROUND(INDEX('1-DATA'!$1:$1048576,IF(OR($B82="STD. DEVIATION",$C$1=1),$A82,$A82+1),COLUMN('1-DATA'!AY80)),IF($B82="STD. DEVIATION",2,$F$1))))</f>
        <v/>
      </c>
    </row>
    <row r="83" spans="1:52" x14ac:dyDescent="0.25">
      <c r="A83" s="11">
        <f t="shared" si="1"/>
        <v>235</v>
      </c>
      <c r="B83" s="1" t="str">
        <f>IF(B82="STD. DEVIATION",INDEX('1-DATA'!$1:$1048576,$A82-1,1),IF(INDEX('1-DATA'!$1:$1048576,$A83,1)&lt;&gt;"",INDEX('1-DATA'!$1:$1048576,$A83,1),""))</f>
        <v/>
      </c>
      <c r="C83" s="1" t="str">
        <f>IF(OR($B83="",C$7=""),"",IF($B83="MEANS",INDEX('1-DATA'!$1:$1048576,$A82-1,COLUMN('1-DATA'!B81)),ROUND(INDEX('1-DATA'!$1:$1048576,IF(OR($B83="STD. DEVIATION",$C$1=1),$A83,$A83+1),COLUMN('1-DATA'!B81)),IF($B83="STD. DEVIATION",2,$F$1))))</f>
        <v/>
      </c>
      <c r="D83" s="1" t="str">
        <f>IF(OR($B83="",D$7=""),"",IF($B83="MEANS",INDEX('1-DATA'!$1:$1048576,$A82-1,COLUMN('1-DATA'!C81)),ROUND(INDEX('1-DATA'!$1:$1048576,IF(OR($B83="STD. DEVIATION",$C$1=1),$A83,$A83+1),COLUMN('1-DATA'!C81)),IF($B83="STD. DEVIATION",2,$F$1))))</f>
        <v/>
      </c>
      <c r="E83" s="1" t="str">
        <f>IF(OR($B83="",E$7=""),"",IF($B83="MEANS",INDEX('1-DATA'!$1:$1048576,$A82-1,COLUMN('1-DATA'!D81)),ROUND(INDEX('1-DATA'!$1:$1048576,IF(OR($B83="STD. DEVIATION",$C$1=1),$A83,$A83+1),COLUMN('1-DATA'!D81)),IF($B83="STD. DEVIATION",2,$F$1))))</f>
        <v/>
      </c>
      <c r="F83" s="1" t="str">
        <f>IF(OR($B83="",F$7=""),"",IF($B83="MEANS",INDEX('1-DATA'!$1:$1048576,$A82-1,COLUMN('1-DATA'!E81)),ROUND(INDEX('1-DATA'!$1:$1048576,IF(OR($B83="STD. DEVIATION",$C$1=1),$A83,$A83+1),COLUMN('1-DATA'!E81)),IF($B83="STD. DEVIATION",2,$F$1))))</f>
        <v/>
      </c>
      <c r="G83" s="1" t="str">
        <f>IF(OR($B83="",G$7=""),"",IF($B83="MEANS",INDEX('1-DATA'!$1:$1048576,$A82-1,COLUMN('1-DATA'!F81)),ROUND(INDEX('1-DATA'!$1:$1048576,IF(OR($B83="STD. DEVIATION",$C$1=1),$A83,$A83+1),COLUMN('1-DATA'!F81)),IF($B83="STD. DEVIATION",2,$F$1))))</f>
        <v/>
      </c>
      <c r="H83" s="1" t="str">
        <f>IF(OR($B83="",H$7=""),"",IF($B83="MEANS",INDEX('1-DATA'!$1:$1048576,$A82-1,COLUMN('1-DATA'!G81)),ROUND(INDEX('1-DATA'!$1:$1048576,IF(OR($B83="STD. DEVIATION",$C$1=1),$A83,$A83+1),COLUMN('1-DATA'!G81)),IF($B83="STD. DEVIATION",2,$F$1))))</f>
        <v/>
      </c>
      <c r="I83" s="1" t="str">
        <f>IF(OR($B83="",I$7=""),"",IF($B83="MEANS",INDEX('1-DATA'!$1:$1048576,$A82-1,COLUMN('1-DATA'!H81)),ROUND(INDEX('1-DATA'!$1:$1048576,IF(OR($B83="STD. DEVIATION",$C$1=1),$A83,$A83+1),COLUMN('1-DATA'!H81)),IF($B83="STD. DEVIATION",2,$F$1))))</f>
        <v/>
      </c>
      <c r="J83" s="1" t="str">
        <f>IF(OR($B83="",J$7=""),"",IF($B83="MEANS",INDEX('1-DATA'!$1:$1048576,$A82-1,COLUMN('1-DATA'!I81)),ROUND(INDEX('1-DATA'!$1:$1048576,IF(OR($B83="STD. DEVIATION",$C$1=1),$A83,$A83+1),COLUMN('1-DATA'!I81)),IF($B83="STD. DEVIATION",2,$F$1))))</f>
        <v/>
      </c>
      <c r="K83" s="1" t="str">
        <f>IF(OR($B83="",K$7=""),"",IF($B83="MEANS",INDEX('1-DATA'!$1:$1048576,$A82-1,COLUMN('1-DATA'!J81)),ROUND(INDEX('1-DATA'!$1:$1048576,IF(OR($B83="STD. DEVIATION",$C$1=1),$A83,$A83+1),COLUMN('1-DATA'!J81)),IF($B83="STD. DEVIATION",2,$F$1))))</f>
        <v/>
      </c>
      <c r="L83" s="1" t="str">
        <f>IF(OR($B83="",L$7=""),"",IF($B83="MEANS",INDEX('1-DATA'!$1:$1048576,$A82-1,COLUMN('1-DATA'!K81)),ROUND(INDEX('1-DATA'!$1:$1048576,IF(OR($B83="STD. DEVIATION",$C$1=1),$A83,$A83+1),COLUMN('1-DATA'!K81)),IF($B83="STD. DEVIATION",2,$F$1))))</f>
        <v/>
      </c>
      <c r="M83" s="1" t="str">
        <f>IF(OR($B83="",M$7=""),"",IF($B83="MEANS",INDEX('1-DATA'!$1:$1048576,$A82-1,COLUMN('1-DATA'!L81)),ROUND(INDEX('1-DATA'!$1:$1048576,IF(OR($B83="STD. DEVIATION",$C$1=1),$A83,$A83+1),COLUMN('1-DATA'!L81)),IF($B83="STD. DEVIATION",2,$F$1))))</f>
        <v/>
      </c>
      <c r="N83" s="1" t="str">
        <f>IF(OR($B83="",N$7=""),"",IF($B83="MEANS",INDEX('1-DATA'!$1:$1048576,$A82-1,COLUMN('1-DATA'!M81)),ROUND(INDEX('1-DATA'!$1:$1048576,IF(OR($B83="STD. DEVIATION",$C$1=1),$A83,$A83+1),COLUMN('1-DATA'!M81)),IF($B83="STD. DEVIATION",2,$F$1))))</f>
        <v/>
      </c>
      <c r="O83" s="1" t="str">
        <f>IF(OR($B83="",O$7=""),"",IF($B83="MEANS",INDEX('1-DATA'!$1:$1048576,$A82-1,COLUMN('1-DATA'!N81)),ROUND(INDEX('1-DATA'!$1:$1048576,IF(OR($B83="STD. DEVIATION",$C$1=1),$A83,$A83+1),COLUMN('1-DATA'!N81)),IF($B83="STD. DEVIATION",2,$F$1))))</f>
        <v/>
      </c>
      <c r="P83" s="1" t="str">
        <f>IF(OR($B83="",P$7=""),"",IF($B83="MEANS",INDEX('1-DATA'!$1:$1048576,$A82-1,COLUMN('1-DATA'!O81)),ROUND(INDEX('1-DATA'!$1:$1048576,IF(OR($B83="STD. DEVIATION",$C$1=1),$A83,$A83+1),COLUMN('1-DATA'!O81)),IF($B83="STD. DEVIATION",2,$F$1))))</f>
        <v/>
      </c>
      <c r="Q83" s="1" t="str">
        <f>IF(OR($B83="",Q$7=""),"",IF($B83="MEANS",INDEX('1-DATA'!$1:$1048576,$A82-1,COLUMN('1-DATA'!P81)),ROUND(INDEX('1-DATA'!$1:$1048576,IF(OR($B83="STD. DEVIATION",$C$1=1),$A83,$A83+1),COLUMN('1-DATA'!P81)),IF($B83="STD. DEVIATION",2,$F$1))))</f>
        <v/>
      </c>
      <c r="R83" s="1" t="str">
        <f>IF(OR($B83="",R$7=""),"",IF($B83="MEANS",INDEX('1-DATA'!$1:$1048576,$A82-1,COLUMN('1-DATA'!Q81)),ROUND(INDEX('1-DATA'!$1:$1048576,IF(OR($B83="STD. DEVIATION",$C$1=1),$A83,$A83+1),COLUMN('1-DATA'!Q81)),IF($B83="STD. DEVIATION",2,$F$1))))</f>
        <v/>
      </c>
      <c r="S83" s="1" t="str">
        <f>IF(OR($B83="",S$7=""),"",IF($B83="MEANS",INDEX('1-DATA'!$1:$1048576,$A82-1,COLUMN('1-DATA'!R81)),ROUND(INDEX('1-DATA'!$1:$1048576,IF(OR($B83="STD. DEVIATION",$C$1=1),$A83,$A83+1),COLUMN('1-DATA'!R81)),IF($B83="STD. DEVIATION",2,$F$1))))</f>
        <v/>
      </c>
      <c r="T83" s="1" t="str">
        <f>IF(OR($B83="",T$7=""),"",IF($B83="MEANS",INDEX('1-DATA'!$1:$1048576,$A82-1,COLUMN('1-DATA'!S81)),ROUND(INDEX('1-DATA'!$1:$1048576,IF(OR($B83="STD. DEVIATION",$C$1=1),$A83,$A83+1),COLUMN('1-DATA'!S81)),IF($B83="STD. DEVIATION",2,$F$1))))</f>
        <v/>
      </c>
      <c r="U83" s="1" t="str">
        <f>IF(OR($B83="",U$7=""),"",IF($B83="MEANS",INDEX('1-DATA'!$1:$1048576,$A82-1,COLUMN('1-DATA'!T81)),ROUND(INDEX('1-DATA'!$1:$1048576,IF(OR($B83="STD. DEVIATION",$C$1=1),$A83,$A83+1),COLUMN('1-DATA'!T81)),IF($B83="STD. DEVIATION",2,$F$1))))</f>
        <v/>
      </c>
      <c r="V83" s="1" t="str">
        <f>IF(OR($B83="",V$7=""),"",IF($B83="MEANS",INDEX('1-DATA'!$1:$1048576,$A82-1,COLUMN('1-DATA'!U81)),ROUND(INDEX('1-DATA'!$1:$1048576,IF(OR($B83="STD. DEVIATION",$C$1=1),$A83,$A83+1),COLUMN('1-DATA'!U81)),IF($B83="STD. DEVIATION",2,$F$1))))</f>
        <v/>
      </c>
      <c r="W83" s="1" t="str">
        <f>IF(OR($B83="",W$7=""),"",IF($B83="MEANS",INDEX('1-DATA'!$1:$1048576,$A82-1,COLUMN('1-DATA'!V81)),ROUND(INDEX('1-DATA'!$1:$1048576,IF(OR($B83="STD. DEVIATION",$C$1=1),$A83,$A83+1),COLUMN('1-DATA'!V81)),IF($B83="STD. DEVIATION",2,$F$1))))</f>
        <v/>
      </c>
      <c r="X83" s="1" t="str">
        <f>IF(OR($B83="",X$7=""),"",IF($B83="MEANS",INDEX('1-DATA'!$1:$1048576,$A82-1,COLUMN('1-DATA'!W81)),ROUND(INDEX('1-DATA'!$1:$1048576,IF(OR($B83="STD. DEVIATION",$C$1=1),$A83,$A83+1),COLUMN('1-DATA'!W81)),IF($B83="STD. DEVIATION",2,$F$1))))</f>
        <v/>
      </c>
      <c r="Y83" s="1" t="str">
        <f>IF(OR($B83="",Y$7=""),"",IF($B83="MEANS",INDEX('1-DATA'!$1:$1048576,$A82-1,COLUMN('1-DATA'!X81)),ROUND(INDEX('1-DATA'!$1:$1048576,IF(OR($B83="STD. DEVIATION",$C$1=1),$A83,$A83+1),COLUMN('1-DATA'!X81)),IF($B83="STD. DEVIATION",2,$F$1))))</f>
        <v/>
      </c>
      <c r="Z83" s="1" t="str">
        <f>IF(OR($B83="",Z$7=""),"",IF($B83="MEANS",INDEX('1-DATA'!$1:$1048576,$A82-1,COLUMN('1-DATA'!Y81)),ROUND(INDEX('1-DATA'!$1:$1048576,IF(OR($B83="STD. DEVIATION",$C$1=1),$A83,$A83+1),COLUMN('1-DATA'!Y81)),IF($B83="STD. DEVIATION",2,$F$1))))</f>
        <v/>
      </c>
      <c r="AA83" s="1" t="str">
        <f>IF(OR($B83="",AA$7=""),"",IF($B83="MEANS",INDEX('1-DATA'!$1:$1048576,$A82-1,COLUMN('1-DATA'!Z81)),ROUND(INDEX('1-DATA'!$1:$1048576,IF(OR($B83="STD. DEVIATION",$C$1=1),$A83,$A83+1),COLUMN('1-DATA'!Z81)),IF($B83="STD. DEVIATION",2,$F$1))))</f>
        <v/>
      </c>
      <c r="AB83" s="1" t="str">
        <f>IF(OR($B83="",AB$7=""),"",IF($B83="MEANS",INDEX('1-DATA'!$1:$1048576,$A82-1,COLUMN('1-DATA'!AA81)),ROUND(INDEX('1-DATA'!$1:$1048576,IF(OR($B83="STD. DEVIATION",$C$1=1),$A83,$A83+1),COLUMN('1-DATA'!AA81)),IF($B83="STD. DEVIATION",2,$F$1))))</f>
        <v/>
      </c>
      <c r="AC83" s="1" t="str">
        <f>IF(OR($B83="",AC$7=""),"",IF($B83="MEANS",INDEX('1-DATA'!$1:$1048576,$A82-1,COLUMN('1-DATA'!AB81)),ROUND(INDEX('1-DATA'!$1:$1048576,IF(OR($B83="STD. DEVIATION",$C$1=1),$A83,$A83+1),COLUMN('1-DATA'!AB81)),IF($B83="STD. DEVIATION",2,$F$1))))</f>
        <v/>
      </c>
      <c r="AD83" s="1" t="str">
        <f>IF(OR($B83="",AD$7=""),"",IF($B83="MEANS",INDEX('1-DATA'!$1:$1048576,$A82-1,COLUMN('1-DATA'!AC81)),ROUND(INDEX('1-DATA'!$1:$1048576,IF(OR($B83="STD. DEVIATION",$C$1=1),$A83,$A83+1),COLUMN('1-DATA'!AC81)),IF($B83="STD. DEVIATION",2,$F$1))))</f>
        <v/>
      </c>
      <c r="AE83" s="1" t="str">
        <f>IF(OR($B83="",AE$7=""),"",IF($B83="MEANS",INDEX('1-DATA'!$1:$1048576,$A82-1,COLUMN('1-DATA'!AD81)),ROUND(INDEX('1-DATA'!$1:$1048576,IF(OR($B83="STD. DEVIATION",$C$1=1),$A83,$A83+1),COLUMN('1-DATA'!AD81)),IF($B83="STD. DEVIATION",2,$F$1))))</f>
        <v/>
      </c>
      <c r="AF83" s="1" t="str">
        <f>IF(OR($B83="",AF$7=""),"",IF($B83="MEANS",INDEX('1-DATA'!$1:$1048576,$A82-1,COLUMN('1-DATA'!AE81)),ROUND(INDEX('1-DATA'!$1:$1048576,IF(OR($B83="STD. DEVIATION",$C$1=1),$A83,$A83+1),COLUMN('1-DATA'!AE81)),IF($B83="STD. DEVIATION",2,$F$1))))</f>
        <v/>
      </c>
      <c r="AG83" s="1" t="str">
        <f>IF(OR($B83="",AG$7=""),"",IF($B83="MEANS",INDEX('1-DATA'!$1:$1048576,$A82-1,COLUMN('1-DATA'!AF81)),ROUND(INDEX('1-DATA'!$1:$1048576,IF(OR($B83="STD. DEVIATION",$C$1=1),$A83,$A83+1),COLUMN('1-DATA'!AF81)),IF($B83="STD. DEVIATION",2,$F$1))))</f>
        <v/>
      </c>
      <c r="AH83" s="1" t="str">
        <f>IF(OR($B83="",AH$7=""),"",IF($B83="MEANS",INDEX('1-DATA'!$1:$1048576,$A82-1,COLUMN('1-DATA'!AG81)),ROUND(INDEX('1-DATA'!$1:$1048576,IF(OR($B83="STD. DEVIATION",$C$1=1),$A83,$A83+1),COLUMN('1-DATA'!AG81)),IF($B83="STD. DEVIATION",2,$F$1))))</f>
        <v/>
      </c>
      <c r="AI83" s="1" t="str">
        <f>IF(OR($B83="",AI$7=""),"",IF($B83="MEANS",INDEX('1-DATA'!$1:$1048576,$A82-1,COLUMN('1-DATA'!AH81)),ROUND(INDEX('1-DATA'!$1:$1048576,IF(OR($B83="STD. DEVIATION",$C$1=1),$A83,$A83+1),COLUMN('1-DATA'!AH81)),IF($B83="STD. DEVIATION",2,$F$1))))</f>
        <v/>
      </c>
      <c r="AJ83" s="1" t="str">
        <f>IF(OR($B83="",AJ$7=""),"",IF($B83="MEANS",INDEX('1-DATA'!$1:$1048576,$A82-1,COLUMN('1-DATA'!AI81)),ROUND(INDEX('1-DATA'!$1:$1048576,IF(OR($B83="STD. DEVIATION",$C$1=1),$A83,$A83+1),COLUMN('1-DATA'!AI81)),IF($B83="STD. DEVIATION",2,$F$1))))</f>
        <v/>
      </c>
      <c r="AK83" s="1" t="str">
        <f>IF(OR($B83="",AK$7=""),"",IF($B83="MEANS",INDEX('1-DATA'!$1:$1048576,$A82-1,COLUMN('1-DATA'!AJ81)),ROUND(INDEX('1-DATA'!$1:$1048576,IF(OR($B83="STD. DEVIATION",$C$1=1),$A83,$A83+1),COLUMN('1-DATA'!AJ81)),IF($B83="STD. DEVIATION",2,$F$1))))</f>
        <v/>
      </c>
      <c r="AL83" s="1" t="str">
        <f>IF(OR($B83="",AL$7=""),"",IF($B83="MEANS",INDEX('1-DATA'!$1:$1048576,$A82-1,COLUMN('1-DATA'!AK81)),ROUND(INDEX('1-DATA'!$1:$1048576,IF(OR($B83="STD. DEVIATION",$C$1=1),$A83,$A83+1),COLUMN('1-DATA'!AK81)),IF($B83="STD. DEVIATION",2,$F$1))))</f>
        <v/>
      </c>
      <c r="AM83" s="1" t="str">
        <f>IF(OR($B83="",AM$7=""),"",IF($B83="MEANS",INDEX('1-DATA'!$1:$1048576,$A82-1,COLUMN('1-DATA'!AL81)),ROUND(INDEX('1-DATA'!$1:$1048576,IF(OR($B83="STD. DEVIATION",$C$1=1),$A83,$A83+1),COLUMN('1-DATA'!AL81)),IF($B83="STD. DEVIATION",2,$F$1))))</f>
        <v/>
      </c>
      <c r="AN83" s="1" t="str">
        <f>IF(OR($B83="",AN$7=""),"",IF($B83="MEANS",INDEX('1-DATA'!$1:$1048576,$A82-1,COLUMN('1-DATA'!AM81)),ROUND(INDEX('1-DATA'!$1:$1048576,IF(OR($B83="STD. DEVIATION",$C$1=1),$A83,$A83+1),COLUMN('1-DATA'!AM81)),IF($B83="STD. DEVIATION",2,$F$1))))</f>
        <v/>
      </c>
      <c r="AO83" s="1" t="str">
        <f>IF(OR($B83="",AO$7=""),"",IF($B83="MEANS",INDEX('1-DATA'!$1:$1048576,$A82-1,COLUMN('1-DATA'!AN81)),ROUND(INDEX('1-DATA'!$1:$1048576,IF(OR($B83="STD. DEVIATION",$C$1=1),$A83,$A83+1),COLUMN('1-DATA'!AN81)),IF($B83="STD. DEVIATION",2,$F$1))))</f>
        <v/>
      </c>
      <c r="AP83" s="1" t="str">
        <f>IF(OR($B83="",AP$7=""),"",IF($B83="MEANS",INDEX('1-DATA'!$1:$1048576,$A82-1,COLUMN('1-DATA'!AO81)),ROUND(INDEX('1-DATA'!$1:$1048576,IF(OR($B83="STD. DEVIATION",$C$1=1),$A83,$A83+1),COLUMN('1-DATA'!AO81)),IF($B83="STD. DEVIATION",2,$F$1))))</f>
        <v/>
      </c>
      <c r="AQ83" s="1" t="str">
        <f>IF(OR($B83="",AQ$7=""),"",IF($B83="MEANS",INDEX('1-DATA'!$1:$1048576,$A82-1,COLUMN('1-DATA'!AP81)),ROUND(INDEX('1-DATA'!$1:$1048576,IF(OR($B83="STD. DEVIATION",$C$1=1),$A83,$A83+1),COLUMN('1-DATA'!AP81)),IF($B83="STD. DEVIATION",2,$F$1))))</f>
        <v/>
      </c>
      <c r="AR83" s="1" t="str">
        <f>IF(OR($B83="",AR$7=""),"",IF($B83="MEANS",INDEX('1-DATA'!$1:$1048576,$A82-1,COLUMN('1-DATA'!AQ81)),ROUND(INDEX('1-DATA'!$1:$1048576,IF(OR($B83="STD. DEVIATION",$C$1=1),$A83,$A83+1),COLUMN('1-DATA'!AQ81)),IF($B83="STD. DEVIATION",2,$F$1))))</f>
        <v/>
      </c>
      <c r="AS83" s="1" t="str">
        <f>IF(OR($B83="",AS$7=""),"",IF($B83="MEANS",INDEX('1-DATA'!$1:$1048576,$A82-1,COLUMN('1-DATA'!AR81)),ROUND(INDEX('1-DATA'!$1:$1048576,IF(OR($B83="STD. DEVIATION",$C$1=1),$A83,$A83+1),COLUMN('1-DATA'!AR81)),IF($B83="STD. DEVIATION",2,$F$1))))</f>
        <v/>
      </c>
      <c r="AT83" s="1" t="str">
        <f>IF(OR($B83="",AT$7=""),"",IF($B83="MEANS",INDEX('1-DATA'!$1:$1048576,$A82-1,COLUMN('1-DATA'!AS81)),ROUND(INDEX('1-DATA'!$1:$1048576,IF(OR($B83="STD. DEVIATION",$C$1=1),$A83,$A83+1),COLUMN('1-DATA'!AS81)),IF($B83="STD. DEVIATION",2,$F$1))))</f>
        <v/>
      </c>
      <c r="AU83" s="1" t="str">
        <f>IF(OR($B83="",AU$7=""),"",IF($B83="MEANS",INDEX('1-DATA'!$1:$1048576,$A82-1,COLUMN('1-DATA'!AT81)),ROUND(INDEX('1-DATA'!$1:$1048576,IF(OR($B83="STD. DEVIATION",$C$1=1),$A83,$A83+1),COLUMN('1-DATA'!AT81)),IF($B83="STD. DEVIATION",2,$F$1))))</f>
        <v/>
      </c>
      <c r="AV83" s="1" t="str">
        <f>IF(OR($B83="",AV$7=""),"",IF($B83="MEANS",INDEX('1-DATA'!$1:$1048576,$A82-1,COLUMN('1-DATA'!AU81)),ROUND(INDEX('1-DATA'!$1:$1048576,IF(OR($B83="STD. DEVIATION",$C$1=1),$A83,$A83+1),COLUMN('1-DATA'!AU81)),IF($B83="STD. DEVIATION",2,$F$1))))</f>
        <v/>
      </c>
      <c r="AW83" s="1" t="str">
        <f>IF(OR($B83="",AW$7=""),"",IF($B83="MEANS",INDEX('1-DATA'!$1:$1048576,$A82-1,COLUMN('1-DATA'!AV81)),ROUND(INDEX('1-DATA'!$1:$1048576,IF(OR($B83="STD. DEVIATION",$C$1=1),$A83,$A83+1),COLUMN('1-DATA'!AV81)),IF($B83="STD. DEVIATION",2,$F$1))))</f>
        <v/>
      </c>
      <c r="AX83" s="1" t="str">
        <f>IF(OR($B83="",AX$7=""),"",IF($B83="MEANS",INDEX('1-DATA'!$1:$1048576,$A82-1,COLUMN('1-DATA'!AW81)),ROUND(INDEX('1-DATA'!$1:$1048576,IF(OR($B83="STD. DEVIATION",$C$1=1),$A83,$A83+1),COLUMN('1-DATA'!AW81)),IF($B83="STD. DEVIATION",2,$F$1))))</f>
        <v/>
      </c>
      <c r="AY83" s="1" t="str">
        <f>IF(OR($B83="",AY$7=""),"",IF($B83="MEANS",INDEX('1-DATA'!$1:$1048576,$A82-1,COLUMN('1-DATA'!AX81)),ROUND(INDEX('1-DATA'!$1:$1048576,IF(OR($B83="STD. DEVIATION",$C$1=1),$A83,$A83+1),COLUMN('1-DATA'!AX81)),IF($B83="STD. DEVIATION",2,$F$1))))</f>
        <v/>
      </c>
      <c r="AZ83" s="1" t="str">
        <f>IF(OR($B83="",AZ$7=""),"",IF($B83="MEANS",INDEX('1-DATA'!$1:$1048576,$A82-1,COLUMN('1-DATA'!AY81)),ROUND(INDEX('1-DATA'!$1:$1048576,IF(OR($B83="STD. DEVIATION",$C$1=1),$A83,$A83+1),COLUMN('1-DATA'!AY81)),IF($B83="STD. DEVIATION",2,$F$1))))</f>
        <v/>
      </c>
    </row>
    <row r="84" spans="1:52" x14ac:dyDescent="0.25">
      <c r="A84" s="11">
        <f t="shared" si="1"/>
        <v>238</v>
      </c>
      <c r="B84" s="1" t="str">
        <f>IF(B83="STD. DEVIATION",INDEX('1-DATA'!$1:$1048576,$A83-1,1),IF(INDEX('1-DATA'!$1:$1048576,$A84,1)&lt;&gt;"",INDEX('1-DATA'!$1:$1048576,$A84,1),""))</f>
        <v/>
      </c>
      <c r="C84" s="1" t="str">
        <f>IF(OR($B84="",C$7=""),"",IF($B84="MEANS",INDEX('1-DATA'!$1:$1048576,$A83-1,COLUMN('1-DATA'!B82)),ROUND(INDEX('1-DATA'!$1:$1048576,IF(OR($B84="STD. DEVIATION",$C$1=1),$A84,$A84+1),COLUMN('1-DATA'!B82)),IF($B84="STD. DEVIATION",2,$F$1))))</f>
        <v/>
      </c>
      <c r="D84" s="1" t="str">
        <f>IF(OR($B84="",D$7=""),"",IF($B84="MEANS",INDEX('1-DATA'!$1:$1048576,$A83-1,COLUMN('1-DATA'!C82)),ROUND(INDEX('1-DATA'!$1:$1048576,IF(OR($B84="STD. DEVIATION",$C$1=1),$A84,$A84+1),COLUMN('1-DATA'!C82)),IF($B84="STD. DEVIATION",2,$F$1))))</f>
        <v/>
      </c>
      <c r="E84" s="1" t="str">
        <f>IF(OR($B84="",E$7=""),"",IF($B84="MEANS",INDEX('1-DATA'!$1:$1048576,$A83-1,COLUMN('1-DATA'!D82)),ROUND(INDEX('1-DATA'!$1:$1048576,IF(OR($B84="STD. DEVIATION",$C$1=1),$A84,$A84+1),COLUMN('1-DATA'!D82)),IF($B84="STD. DEVIATION",2,$F$1))))</f>
        <v/>
      </c>
      <c r="F84" s="1" t="str">
        <f>IF(OR($B84="",F$7=""),"",IF($B84="MEANS",INDEX('1-DATA'!$1:$1048576,$A83-1,COLUMN('1-DATA'!E82)),ROUND(INDEX('1-DATA'!$1:$1048576,IF(OR($B84="STD. DEVIATION",$C$1=1),$A84,$A84+1),COLUMN('1-DATA'!E82)),IF($B84="STD. DEVIATION",2,$F$1))))</f>
        <v/>
      </c>
      <c r="G84" s="1" t="str">
        <f>IF(OR($B84="",G$7=""),"",IF($B84="MEANS",INDEX('1-DATA'!$1:$1048576,$A83-1,COLUMN('1-DATA'!F82)),ROUND(INDEX('1-DATA'!$1:$1048576,IF(OR($B84="STD. DEVIATION",$C$1=1),$A84,$A84+1),COLUMN('1-DATA'!F82)),IF($B84="STD. DEVIATION",2,$F$1))))</f>
        <v/>
      </c>
      <c r="H84" s="1" t="str">
        <f>IF(OR($B84="",H$7=""),"",IF($B84="MEANS",INDEX('1-DATA'!$1:$1048576,$A83-1,COLUMN('1-DATA'!G82)),ROUND(INDEX('1-DATA'!$1:$1048576,IF(OR($B84="STD. DEVIATION",$C$1=1),$A84,$A84+1),COLUMN('1-DATA'!G82)),IF($B84="STD. DEVIATION",2,$F$1))))</f>
        <v/>
      </c>
      <c r="I84" s="1" t="str">
        <f>IF(OR($B84="",I$7=""),"",IF($B84="MEANS",INDEX('1-DATA'!$1:$1048576,$A83-1,COLUMN('1-DATA'!H82)),ROUND(INDEX('1-DATA'!$1:$1048576,IF(OR($B84="STD. DEVIATION",$C$1=1),$A84,$A84+1),COLUMN('1-DATA'!H82)),IF($B84="STD. DEVIATION",2,$F$1))))</f>
        <v/>
      </c>
      <c r="J84" s="1" t="str">
        <f>IF(OR($B84="",J$7=""),"",IF($B84="MEANS",INDEX('1-DATA'!$1:$1048576,$A83-1,COLUMN('1-DATA'!I82)),ROUND(INDEX('1-DATA'!$1:$1048576,IF(OR($B84="STD. DEVIATION",$C$1=1),$A84,$A84+1),COLUMN('1-DATA'!I82)),IF($B84="STD. DEVIATION",2,$F$1))))</f>
        <v/>
      </c>
      <c r="K84" s="1" t="str">
        <f>IF(OR($B84="",K$7=""),"",IF($B84="MEANS",INDEX('1-DATA'!$1:$1048576,$A83-1,COLUMN('1-DATA'!J82)),ROUND(INDEX('1-DATA'!$1:$1048576,IF(OR($B84="STD. DEVIATION",$C$1=1),$A84,$A84+1),COLUMN('1-DATA'!J82)),IF($B84="STD. DEVIATION",2,$F$1))))</f>
        <v/>
      </c>
      <c r="L84" s="1" t="str">
        <f>IF(OR($B84="",L$7=""),"",IF($B84="MEANS",INDEX('1-DATA'!$1:$1048576,$A83-1,COLUMN('1-DATA'!K82)),ROUND(INDEX('1-DATA'!$1:$1048576,IF(OR($B84="STD. DEVIATION",$C$1=1),$A84,$A84+1),COLUMN('1-DATA'!K82)),IF($B84="STD. DEVIATION",2,$F$1))))</f>
        <v/>
      </c>
      <c r="M84" s="1" t="str">
        <f>IF(OR($B84="",M$7=""),"",IF($B84="MEANS",INDEX('1-DATA'!$1:$1048576,$A83-1,COLUMN('1-DATA'!L82)),ROUND(INDEX('1-DATA'!$1:$1048576,IF(OR($B84="STD. DEVIATION",$C$1=1),$A84,$A84+1),COLUMN('1-DATA'!L82)),IF($B84="STD. DEVIATION",2,$F$1))))</f>
        <v/>
      </c>
      <c r="N84" s="1" t="str">
        <f>IF(OR($B84="",N$7=""),"",IF($B84="MEANS",INDEX('1-DATA'!$1:$1048576,$A83-1,COLUMN('1-DATA'!M82)),ROUND(INDEX('1-DATA'!$1:$1048576,IF(OR($B84="STD. DEVIATION",$C$1=1),$A84,$A84+1),COLUMN('1-DATA'!M82)),IF($B84="STD. DEVIATION",2,$F$1))))</f>
        <v/>
      </c>
      <c r="O84" s="1" t="str">
        <f>IF(OR($B84="",O$7=""),"",IF($B84="MEANS",INDEX('1-DATA'!$1:$1048576,$A83-1,COLUMN('1-DATA'!N82)),ROUND(INDEX('1-DATA'!$1:$1048576,IF(OR($B84="STD. DEVIATION",$C$1=1),$A84,$A84+1),COLUMN('1-DATA'!N82)),IF($B84="STD. DEVIATION",2,$F$1))))</f>
        <v/>
      </c>
      <c r="P84" s="1" t="str">
        <f>IF(OR($B84="",P$7=""),"",IF($B84="MEANS",INDEX('1-DATA'!$1:$1048576,$A83-1,COLUMN('1-DATA'!O82)),ROUND(INDEX('1-DATA'!$1:$1048576,IF(OR($B84="STD. DEVIATION",$C$1=1),$A84,$A84+1),COLUMN('1-DATA'!O82)),IF($B84="STD. DEVIATION",2,$F$1))))</f>
        <v/>
      </c>
      <c r="Q84" s="1" t="str">
        <f>IF(OR($B84="",Q$7=""),"",IF($B84="MEANS",INDEX('1-DATA'!$1:$1048576,$A83-1,COLUMN('1-DATA'!P82)),ROUND(INDEX('1-DATA'!$1:$1048576,IF(OR($B84="STD. DEVIATION",$C$1=1),$A84,$A84+1),COLUMN('1-DATA'!P82)),IF($B84="STD. DEVIATION",2,$F$1))))</f>
        <v/>
      </c>
      <c r="R84" s="1" t="str">
        <f>IF(OR($B84="",R$7=""),"",IF($B84="MEANS",INDEX('1-DATA'!$1:$1048576,$A83-1,COLUMN('1-DATA'!Q82)),ROUND(INDEX('1-DATA'!$1:$1048576,IF(OR($B84="STD. DEVIATION",$C$1=1),$A84,$A84+1),COLUMN('1-DATA'!Q82)),IF($B84="STD. DEVIATION",2,$F$1))))</f>
        <v/>
      </c>
      <c r="S84" s="1" t="str">
        <f>IF(OR($B84="",S$7=""),"",IF($B84="MEANS",INDEX('1-DATA'!$1:$1048576,$A83-1,COLUMN('1-DATA'!R82)),ROUND(INDEX('1-DATA'!$1:$1048576,IF(OR($B84="STD. DEVIATION",$C$1=1),$A84,$A84+1),COLUMN('1-DATA'!R82)),IF($B84="STD. DEVIATION",2,$F$1))))</f>
        <v/>
      </c>
      <c r="T84" s="1" t="str">
        <f>IF(OR($B84="",T$7=""),"",IF($B84="MEANS",INDEX('1-DATA'!$1:$1048576,$A83-1,COLUMN('1-DATA'!S82)),ROUND(INDEX('1-DATA'!$1:$1048576,IF(OR($B84="STD. DEVIATION",$C$1=1),$A84,$A84+1),COLUMN('1-DATA'!S82)),IF($B84="STD. DEVIATION",2,$F$1))))</f>
        <v/>
      </c>
      <c r="U84" s="1" t="str">
        <f>IF(OR($B84="",U$7=""),"",IF($B84="MEANS",INDEX('1-DATA'!$1:$1048576,$A83-1,COLUMN('1-DATA'!T82)),ROUND(INDEX('1-DATA'!$1:$1048576,IF(OR($B84="STD. DEVIATION",$C$1=1),$A84,$A84+1),COLUMN('1-DATA'!T82)),IF($B84="STD. DEVIATION",2,$F$1))))</f>
        <v/>
      </c>
      <c r="V84" s="1" t="str">
        <f>IF(OR($B84="",V$7=""),"",IF($B84="MEANS",INDEX('1-DATA'!$1:$1048576,$A83-1,COLUMN('1-DATA'!U82)),ROUND(INDEX('1-DATA'!$1:$1048576,IF(OR($B84="STD. DEVIATION",$C$1=1),$A84,$A84+1),COLUMN('1-DATA'!U82)),IF($B84="STD. DEVIATION",2,$F$1))))</f>
        <v/>
      </c>
      <c r="W84" s="1" t="str">
        <f>IF(OR($B84="",W$7=""),"",IF($B84="MEANS",INDEX('1-DATA'!$1:$1048576,$A83-1,COLUMN('1-DATA'!V82)),ROUND(INDEX('1-DATA'!$1:$1048576,IF(OR($B84="STD. DEVIATION",$C$1=1),$A84,$A84+1),COLUMN('1-DATA'!V82)),IF($B84="STD. DEVIATION",2,$F$1))))</f>
        <v/>
      </c>
      <c r="X84" s="1" t="str">
        <f>IF(OR($B84="",X$7=""),"",IF($B84="MEANS",INDEX('1-DATA'!$1:$1048576,$A83-1,COLUMN('1-DATA'!W82)),ROUND(INDEX('1-DATA'!$1:$1048576,IF(OR($B84="STD. DEVIATION",$C$1=1),$A84,$A84+1),COLUMN('1-DATA'!W82)),IF($B84="STD. DEVIATION",2,$F$1))))</f>
        <v/>
      </c>
      <c r="Y84" s="1" t="str">
        <f>IF(OR($B84="",Y$7=""),"",IF($B84="MEANS",INDEX('1-DATA'!$1:$1048576,$A83-1,COLUMN('1-DATA'!X82)),ROUND(INDEX('1-DATA'!$1:$1048576,IF(OR($B84="STD. DEVIATION",$C$1=1),$A84,$A84+1),COLUMN('1-DATA'!X82)),IF($B84="STD. DEVIATION",2,$F$1))))</f>
        <v/>
      </c>
      <c r="Z84" s="1" t="str">
        <f>IF(OR($B84="",Z$7=""),"",IF($B84="MEANS",INDEX('1-DATA'!$1:$1048576,$A83-1,COLUMN('1-DATA'!Y82)),ROUND(INDEX('1-DATA'!$1:$1048576,IF(OR($B84="STD. DEVIATION",$C$1=1),$A84,$A84+1),COLUMN('1-DATA'!Y82)),IF($B84="STD. DEVIATION",2,$F$1))))</f>
        <v/>
      </c>
      <c r="AA84" s="1" t="str">
        <f>IF(OR($B84="",AA$7=""),"",IF($B84="MEANS",INDEX('1-DATA'!$1:$1048576,$A83-1,COLUMN('1-DATA'!Z82)),ROUND(INDEX('1-DATA'!$1:$1048576,IF(OR($B84="STD. DEVIATION",$C$1=1),$A84,$A84+1),COLUMN('1-DATA'!Z82)),IF($B84="STD. DEVIATION",2,$F$1))))</f>
        <v/>
      </c>
      <c r="AB84" s="1" t="str">
        <f>IF(OR($B84="",AB$7=""),"",IF($B84="MEANS",INDEX('1-DATA'!$1:$1048576,$A83-1,COLUMN('1-DATA'!AA82)),ROUND(INDEX('1-DATA'!$1:$1048576,IF(OR($B84="STD. DEVIATION",$C$1=1),$A84,$A84+1),COLUMN('1-DATA'!AA82)),IF($B84="STD. DEVIATION",2,$F$1))))</f>
        <v/>
      </c>
      <c r="AC84" s="1" t="str">
        <f>IF(OR($B84="",AC$7=""),"",IF($B84="MEANS",INDEX('1-DATA'!$1:$1048576,$A83-1,COLUMN('1-DATA'!AB82)),ROUND(INDEX('1-DATA'!$1:$1048576,IF(OR($B84="STD. DEVIATION",$C$1=1),$A84,$A84+1),COLUMN('1-DATA'!AB82)),IF($B84="STD. DEVIATION",2,$F$1))))</f>
        <v/>
      </c>
      <c r="AD84" s="1" t="str">
        <f>IF(OR($B84="",AD$7=""),"",IF($B84="MEANS",INDEX('1-DATA'!$1:$1048576,$A83-1,COLUMN('1-DATA'!AC82)),ROUND(INDEX('1-DATA'!$1:$1048576,IF(OR($B84="STD. DEVIATION",$C$1=1),$A84,$A84+1),COLUMN('1-DATA'!AC82)),IF($B84="STD. DEVIATION",2,$F$1))))</f>
        <v/>
      </c>
      <c r="AE84" s="1" t="str">
        <f>IF(OR($B84="",AE$7=""),"",IF($B84="MEANS",INDEX('1-DATA'!$1:$1048576,$A83-1,COLUMN('1-DATA'!AD82)),ROUND(INDEX('1-DATA'!$1:$1048576,IF(OR($B84="STD. DEVIATION",$C$1=1),$A84,$A84+1),COLUMN('1-DATA'!AD82)),IF($B84="STD. DEVIATION",2,$F$1))))</f>
        <v/>
      </c>
      <c r="AF84" s="1" t="str">
        <f>IF(OR($B84="",AF$7=""),"",IF($B84="MEANS",INDEX('1-DATA'!$1:$1048576,$A83-1,COLUMN('1-DATA'!AE82)),ROUND(INDEX('1-DATA'!$1:$1048576,IF(OR($B84="STD. DEVIATION",$C$1=1),$A84,$A84+1),COLUMN('1-DATA'!AE82)),IF($B84="STD. DEVIATION",2,$F$1))))</f>
        <v/>
      </c>
      <c r="AG84" s="1" t="str">
        <f>IF(OR($B84="",AG$7=""),"",IF($B84="MEANS",INDEX('1-DATA'!$1:$1048576,$A83-1,COLUMN('1-DATA'!AF82)),ROUND(INDEX('1-DATA'!$1:$1048576,IF(OR($B84="STD. DEVIATION",$C$1=1),$A84,$A84+1),COLUMN('1-DATA'!AF82)),IF($B84="STD. DEVIATION",2,$F$1))))</f>
        <v/>
      </c>
      <c r="AH84" s="1" t="str">
        <f>IF(OR($B84="",AH$7=""),"",IF($B84="MEANS",INDEX('1-DATA'!$1:$1048576,$A83-1,COLUMN('1-DATA'!AG82)),ROUND(INDEX('1-DATA'!$1:$1048576,IF(OR($B84="STD. DEVIATION",$C$1=1),$A84,$A84+1),COLUMN('1-DATA'!AG82)),IF($B84="STD. DEVIATION",2,$F$1))))</f>
        <v/>
      </c>
      <c r="AI84" s="1" t="str">
        <f>IF(OR($B84="",AI$7=""),"",IF($B84="MEANS",INDEX('1-DATA'!$1:$1048576,$A83-1,COLUMN('1-DATA'!AH82)),ROUND(INDEX('1-DATA'!$1:$1048576,IF(OR($B84="STD. DEVIATION",$C$1=1),$A84,$A84+1),COLUMN('1-DATA'!AH82)),IF($B84="STD. DEVIATION",2,$F$1))))</f>
        <v/>
      </c>
      <c r="AJ84" s="1" t="str">
        <f>IF(OR($B84="",AJ$7=""),"",IF($B84="MEANS",INDEX('1-DATA'!$1:$1048576,$A83-1,COLUMN('1-DATA'!AI82)),ROUND(INDEX('1-DATA'!$1:$1048576,IF(OR($B84="STD. DEVIATION",$C$1=1),$A84,$A84+1),COLUMN('1-DATA'!AI82)),IF($B84="STD. DEVIATION",2,$F$1))))</f>
        <v/>
      </c>
      <c r="AK84" s="1" t="str">
        <f>IF(OR($B84="",AK$7=""),"",IF($B84="MEANS",INDEX('1-DATA'!$1:$1048576,$A83-1,COLUMN('1-DATA'!AJ82)),ROUND(INDEX('1-DATA'!$1:$1048576,IF(OR($B84="STD. DEVIATION",$C$1=1),$A84,$A84+1),COLUMN('1-DATA'!AJ82)),IF($B84="STD. DEVIATION",2,$F$1))))</f>
        <v/>
      </c>
      <c r="AL84" s="1" t="str">
        <f>IF(OR($B84="",AL$7=""),"",IF($B84="MEANS",INDEX('1-DATA'!$1:$1048576,$A83-1,COLUMN('1-DATA'!AK82)),ROUND(INDEX('1-DATA'!$1:$1048576,IF(OR($B84="STD. DEVIATION",$C$1=1),$A84,$A84+1),COLUMN('1-DATA'!AK82)),IF($B84="STD. DEVIATION",2,$F$1))))</f>
        <v/>
      </c>
      <c r="AM84" s="1" t="str">
        <f>IF(OR($B84="",AM$7=""),"",IF($B84="MEANS",INDEX('1-DATA'!$1:$1048576,$A83-1,COLUMN('1-DATA'!AL82)),ROUND(INDEX('1-DATA'!$1:$1048576,IF(OR($B84="STD. DEVIATION",$C$1=1),$A84,$A84+1),COLUMN('1-DATA'!AL82)),IF($B84="STD. DEVIATION",2,$F$1))))</f>
        <v/>
      </c>
      <c r="AN84" s="1" t="str">
        <f>IF(OR($B84="",AN$7=""),"",IF($B84="MEANS",INDEX('1-DATA'!$1:$1048576,$A83-1,COLUMN('1-DATA'!AM82)),ROUND(INDEX('1-DATA'!$1:$1048576,IF(OR($B84="STD. DEVIATION",$C$1=1),$A84,$A84+1),COLUMN('1-DATA'!AM82)),IF($B84="STD. DEVIATION",2,$F$1))))</f>
        <v/>
      </c>
      <c r="AO84" s="1" t="str">
        <f>IF(OR($B84="",AO$7=""),"",IF($B84="MEANS",INDEX('1-DATA'!$1:$1048576,$A83-1,COLUMN('1-DATA'!AN82)),ROUND(INDEX('1-DATA'!$1:$1048576,IF(OR($B84="STD. DEVIATION",$C$1=1),$A84,$A84+1),COLUMN('1-DATA'!AN82)),IF($B84="STD. DEVIATION",2,$F$1))))</f>
        <v/>
      </c>
      <c r="AP84" s="1" t="str">
        <f>IF(OR($B84="",AP$7=""),"",IF($B84="MEANS",INDEX('1-DATA'!$1:$1048576,$A83-1,COLUMN('1-DATA'!AO82)),ROUND(INDEX('1-DATA'!$1:$1048576,IF(OR($B84="STD. DEVIATION",$C$1=1),$A84,$A84+1),COLUMN('1-DATA'!AO82)),IF($B84="STD. DEVIATION",2,$F$1))))</f>
        <v/>
      </c>
      <c r="AQ84" s="1" t="str">
        <f>IF(OR($B84="",AQ$7=""),"",IF($B84="MEANS",INDEX('1-DATA'!$1:$1048576,$A83-1,COLUMN('1-DATA'!AP82)),ROUND(INDEX('1-DATA'!$1:$1048576,IF(OR($B84="STD. DEVIATION",$C$1=1),$A84,$A84+1),COLUMN('1-DATA'!AP82)),IF($B84="STD. DEVIATION",2,$F$1))))</f>
        <v/>
      </c>
      <c r="AR84" s="1" t="str">
        <f>IF(OR($B84="",AR$7=""),"",IF($B84="MEANS",INDEX('1-DATA'!$1:$1048576,$A83-1,COLUMN('1-DATA'!AQ82)),ROUND(INDEX('1-DATA'!$1:$1048576,IF(OR($B84="STD. DEVIATION",$C$1=1),$A84,$A84+1),COLUMN('1-DATA'!AQ82)),IF($B84="STD. DEVIATION",2,$F$1))))</f>
        <v/>
      </c>
      <c r="AS84" s="1" t="str">
        <f>IF(OR($B84="",AS$7=""),"",IF($B84="MEANS",INDEX('1-DATA'!$1:$1048576,$A83-1,COLUMN('1-DATA'!AR82)),ROUND(INDEX('1-DATA'!$1:$1048576,IF(OR($B84="STD. DEVIATION",$C$1=1),$A84,$A84+1),COLUMN('1-DATA'!AR82)),IF($B84="STD. DEVIATION",2,$F$1))))</f>
        <v/>
      </c>
      <c r="AT84" s="1" t="str">
        <f>IF(OR($B84="",AT$7=""),"",IF($B84="MEANS",INDEX('1-DATA'!$1:$1048576,$A83-1,COLUMN('1-DATA'!AS82)),ROUND(INDEX('1-DATA'!$1:$1048576,IF(OR($B84="STD. DEVIATION",$C$1=1),$A84,$A84+1),COLUMN('1-DATA'!AS82)),IF($B84="STD. DEVIATION",2,$F$1))))</f>
        <v/>
      </c>
      <c r="AU84" s="1" t="str">
        <f>IF(OR($B84="",AU$7=""),"",IF($B84="MEANS",INDEX('1-DATA'!$1:$1048576,$A83-1,COLUMN('1-DATA'!AT82)),ROUND(INDEX('1-DATA'!$1:$1048576,IF(OR($B84="STD. DEVIATION",$C$1=1),$A84,$A84+1),COLUMN('1-DATA'!AT82)),IF($B84="STD. DEVIATION",2,$F$1))))</f>
        <v/>
      </c>
      <c r="AV84" s="1" t="str">
        <f>IF(OR($B84="",AV$7=""),"",IF($B84="MEANS",INDEX('1-DATA'!$1:$1048576,$A83-1,COLUMN('1-DATA'!AU82)),ROUND(INDEX('1-DATA'!$1:$1048576,IF(OR($B84="STD. DEVIATION",$C$1=1),$A84,$A84+1),COLUMN('1-DATA'!AU82)),IF($B84="STD. DEVIATION",2,$F$1))))</f>
        <v/>
      </c>
      <c r="AW84" s="1" t="str">
        <f>IF(OR($B84="",AW$7=""),"",IF($B84="MEANS",INDEX('1-DATA'!$1:$1048576,$A83-1,COLUMN('1-DATA'!AV82)),ROUND(INDEX('1-DATA'!$1:$1048576,IF(OR($B84="STD. DEVIATION",$C$1=1),$A84,$A84+1),COLUMN('1-DATA'!AV82)),IF($B84="STD. DEVIATION",2,$F$1))))</f>
        <v/>
      </c>
      <c r="AX84" s="1" t="str">
        <f>IF(OR($B84="",AX$7=""),"",IF($B84="MEANS",INDEX('1-DATA'!$1:$1048576,$A83-1,COLUMN('1-DATA'!AW82)),ROUND(INDEX('1-DATA'!$1:$1048576,IF(OR($B84="STD. DEVIATION",$C$1=1),$A84,$A84+1),COLUMN('1-DATA'!AW82)),IF($B84="STD. DEVIATION",2,$F$1))))</f>
        <v/>
      </c>
      <c r="AY84" s="1" t="str">
        <f>IF(OR($B84="",AY$7=""),"",IF($B84="MEANS",INDEX('1-DATA'!$1:$1048576,$A83-1,COLUMN('1-DATA'!AX82)),ROUND(INDEX('1-DATA'!$1:$1048576,IF(OR($B84="STD. DEVIATION",$C$1=1),$A84,$A84+1),COLUMN('1-DATA'!AX82)),IF($B84="STD. DEVIATION",2,$F$1))))</f>
        <v/>
      </c>
      <c r="AZ84" s="1" t="str">
        <f>IF(OR($B84="",AZ$7=""),"",IF($B84="MEANS",INDEX('1-DATA'!$1:$1048576,$A83-1,COLUMN('1-DATA'!AY82)),ROUND(INDEX('1-DATA'!$1:$1048576,IF(OR($B84="STD. DEVIATION",$C$1=1),$A84,$A84+1),COLUMN('1-DATA'!AY82)),IF($B84="STD. DEVIATION",2,$F$1))))</f>
        <v/>
      </c>
    </row>
    <row r="85" spans="1:52" x14ac:dyDescent="0.25">
      <c r="A85" s="11">
        <f t="shared" si="1"/>
        <v>241</v>
      </c>
      <c r="B85" s="1" t="str">
        <f>IF(B84="STD. DEVIATION",INDEX('1-DATA'!$1:$1048576,$A84-1,1),IF(INDEX('1-DATA'!$1:$1048576,$A85,1)&lt;&gt;"",INDEX('1-DATA'!$1:$1048576,$A85,1),""))</f>
        <v/>
      </c>
      <c r="C85" s="1" t="str">
        <f>IF(OR($B85="",C$7=""),"",IF($B85="MEANS",INDEX('1-DATA'!$1:$1048576,$A84-1,COLUMN('1-DATA'!B83)),ROUND(INDEX('1-DATA'!$1:$1048576,IF(OR($B85="STD. DEVIATION",$C$1=1),$A85,$A85+1),COLUMN('1-DATA'!B83)),IF($B85="STD. DEVIATION",2,$F$1))))</f>
        <v/>
      </c>
      <c r="D85" s="1" t="str">
        <f>IF(OR($B85="",D$7=""),"",IF($B85="MEANS",INDEX('1-DATA'!$1:$1048576,$A84-1,COLUMN('1-DATA'!C83)),ROUND(INDEX('1-DATA'!$1:$1048576,IF(OR($B85="STD. DEVIATION",$C$1=1),$A85,$A85+1),COLUMN('1-DATA'!C83)),IF($B85="STD. DEVIATION",2,$F$1))))</f>
        <v/>
      </c>
      <c r="E85" s="1" t="str">
        <f>IF(OR($B85="",E$7=""),"",IF($B85="MEANS",INDEX('1-DATA'!$1:$1048576,$A84-1,COLUMN('1-DATA'!D83)),ROUND(INDEX('1-DATA'!$1:$1048576,IF(OR($B85="STD. DEVIATION",$C$1=1),$A85,$A85+1),COLUMN('1-DATA'!D83)),IF($B85="STD. DEVIATION",2,$F$1))))</f>
        <v/>
      </c>
      <c r="F85" s="1" t="str">
        <f>IF(OR($B85="",F$7=""),"",IF($B85="MEANS",INDEX('1-DATA'!$1:$1048576,$A84-1,COLUMN('1-DATA'!E83)),ROUND(INDEX('1-DATA'!$1:$1048576,IF(OR($B85="STD. DEVIATION",$C$1=1),$A85,$A85+1),COLUMN('1-DATA'!E83)),IF($B85="STD. DEVIATION",2,$F$1))))</f>
        <v/>
      </c>
      <c r="G85" s="1" t="str">
        <f>IF(OR($B85="",G$7=""),"",IF($B85="MEANS",INDEX('1-DATA'!$1:$1048576,$A84-1,COLUMN('1-DATA'!F83)),ROUND(INDEX('1-DATA'!$1:$1048576,IF(OR($B85="STD. DEVIATION",$C$1=1),$A85,$A85+1),COLUMN('1-DATA'!F83)),IF($B85="STD. DEVIATION",2,$F$1))))</f>
        <v/>
      </c>
      <c r="H85" s="1" t="str">
        <f>IF(OR($B85="",H$7=""),"",IF($B85="MEANS",INDEX('1-DATA'!$1:$1048576,$A84-1,COLUMN('1-DATA'!G83)),ROUND(INDEX('1-DATA'!$1:$1048576,IF(OR($B85="STD. DEVIATION",$C$1=1),$A85,$A85+1),COLUMN('1-DATA'!G83)),IF($B85="STD. DEVIATION",2,$F$1))))</f>
        <v/>
      </c>
      <c r="I85" s="1" t="str">
        <f>IF(OR($B85="",I$7=""),"",IF($B85="MEANS",INDEX('1-DATA'!$1:$1048576,$A84-1,COLUMN('1-DATA'!H83)),ROUND(INDEX('1-DATA'!$1:$1048576,IF(OR($B85="STD. DEVIATION",$C$1=1),$A85,$A85+1),COLUMN('1-DATA'!H83)),IF($B85="STD. DEVIATION",2,$F$1))))</f>
        <v/>
      </c>
      <c r="J85" s="1" t="str">
        <f>IF(OR($B85="",J$7=""),"",IF($B85="MEANS",INDEX('1-DATA'!$1:$1048576,$A84-1,COLUMN('1-DATA'!I83)),ROUND(INDEX('1-DATA'!$1:$1048576,IF(OR($B85="STD. DEVIATION",$C$1=1),$A85,$A85+1),COLUMN('1-DATA'!I83)),IF($B85="STD. DEVIATION",2,$F$1))))</f>
        <v/>
      </c>
      <c r="K85" s="1" t="str">
        <f>IF(OR($B85="",K$7=""),"",IF($B85="MEANS",INDEX('1-DATA'!$1:$1048576,$A84-1,COLUMN('1-DATA'!J83)),ROUND(INDEX('1-DATA'!$1:$1048576,IF(OR($B85="STD. DEVIATION",$C$1=1),$A85,$A85+1),COLUMN('1-DATA'!J83)),IF($B85="STD. DEVIATION",2,$F$1))))</f>
        <v/>
      </c>
      <c r="L85" s="1" t="str">
        <f>IF(OR($B85="",L$7=""),"",IF($B85="MEANS",INDEX('1-DATA'!$1:$1048576,$A84-1,COLUMN('1-DATA'!K83)),ROUND(INDEX('1-DATA'!$1:$1048576,IF(OR($B85="STD. DEVIATION",$C$1=1),$A85,$A85+1),COLUMN('1-DATA'!K83)),IF($B85="STD. DEVIATION",2,$F$1))))</f>
        <v/>
      </c>
      <c r="M85" s="1" t="str">
        <f>IF(OR($B85="",M$7=""),"",IF($B85="MEANS",INDEX('1-DATA'!$1:$1048576,$A84-1,COLUMN('1-DATA'!L83)),ROUND(INDEX('1-DATA'!$1:$1048576,IF(OR($B85="STD. DEVIATION",$C$1=1),$A85,$A85+1),COLUMN('1-DATA'!L83)),IF($B85="STD. DEVIATION",2,$F$1))))</f>
        <v/>
      </c>
      <c r="N85" s="1" t="str">
        <f>IF(OR($B85="",N$7=""),"",IF($B85="MEANS",INDEX('1-DATA'!$1:$1048576,$A84-1,COLUMN('1-DATA'!M83)),ROUND(INDEX('1-DATA'!$1:$1048576,IF(OR($B85="STD. DEVIATION",$C$1=1),$A85,$A85+1),COLUMN('1-DATA'!M83)),IF($B85="STD. DEVIATION",2,$F$1))))</f>
        <v/>
      </c>
      <c r="O85" s="1" t="str">
        <f>IF(OR($B85="",O$7=""),"",IF($B85="MEANS",INDEX('1-DATA'!$1:$1048576,$A84-1,COLUMN('1-DATA'!N83)),ROUND(INDEX('1-DATA'!$1:$1048576,IF(OR($B85="STD. DEVIATION",$C$1=1),$A85,$A85+1),COLUMN('1-DATA'!N83)),IF($B85="STD. DEVIATION",2,$F$1))))</f>
        <v/>
      </c>
      <c r="P85" s="1" t="str">
        <f>IF(OR($B85="",P$7=""),"",IF($B85="MEANS",INDEX('1-DATA'!$1:$1048576,$A84-1,COLUMN('1-DATA'!O83)),ROUND(INDEX('1-DATA'!$1:$1048576,IF(OR($B85="STD. DEVIATION",$C$1=1),$A85,$A85+1),COLUMN('1-DATA'!O83)),IF($B85="STD. DEVIATION",2,$F$1))))</f>
        <v/>
      </c>
      <c r="Q85" s="1" t="str">
        <f>IF(OR($B85="",Q$7=""),"",IF($B85="MEANS",INDEX('1-DATA'!$1:$1048576,$A84-1,COLUMN('1-DATA'!P83)),ROUND(INDEX('1-DATA'!$1:$1048576,IF(OR($B85="STD. DEVIATION",$C$1=1),$A85,$A85+1),COLUMN('1-DATA'!P83)),IF($B85="STD. DEVIATION",2,$F$1))))</f>
        <v/>
      </c>
      <c r="R85" s="1" t="str">
        <f>IF(OR($B85="",R$7=""),"",IF($B85="MEANS",INDEX('1-DATA'!$1:$1048576,$A84-1,COLUMN('1-DATA'!Q83)),ROUND(INDEX('1-DATA'!$1:$1048576,IF(OR($B85="STD. DEVIATION",$C$1=1),$A85,$A85+1),COLUMN('1-DATA'!Q83)),IF($B85="STD. DEVIATION",2,$F$1))))</f>
        <v/>
      </c>
      <c r="S85" s="1" t="str">
        <f>IF(OR($B85="",S$7=""),"",IF($B85="MEANS",INDEX('1-DATA'!$1:$1048576,$A84-1,COLUMN('1-DATA'!R83)),ROUND(INDEX('1-DATA'!$1:$1048576,IF(OR($B85="STD. DEVIATION",$C$1=1),$A85,$A85+1),COLUMN('1-DATA'!R83)),IF($B85="STD. DEVIATION",2,$F$1))))</f>
        <v/>
      </c>
      <c r="T85" s="1" t="str">
        <f>IF(OR($B85="",T$7=""),"",IF($B85="MEANS",INDEX('1-DATA'!$1:$1048576,$A84-1,COLUMN('1-DATA'!S83)),ROUND(INDEX('1-DATA'!$1:$1048576,IF(OR($B85="STD. DEVIATION",$C$1=1),$A85,$A85+1),COLUMN('1-DATA'!S83)),IF($B85="STD. DEVIATION",2,$F$1))))</f>
        <v/>
      </c>
      <c r="U85" s="1" t="str">
        <f>IF(OR($B85="",U$7=""),"",IF($B85="MEANS",INDEX('1-DATA'!$1:$1048576,$A84-1,COLUMN('1-DATA'!T83)),ROUND(INDEX('1-DATA'!$1:$1048576,IF(OR($B85="STD. DEVIATION",$C$1=1),$A85,$A85+1),COLUMN('1-DATA'!T83)),IF($B85="STD. DEVIATION",2,$F$1))))</f>
        <v/>
      </c>
      <c r="V85" s="1" t="str">
        <f>IF(OR($B85="",V$7=""),"",IF($B85="MEANS",INDEX('1-DATA'!$1:$1048576,$A84-1,COLUMN('1-DATA'!U83)),ROUND(INDEX('1-DATA'!$1:$1048576,IF(OR($B85="STD. DEVIATION",$C$1=1),$A85,$A85+1),COLUMN('1-DATA'!U83)),IF($B85="STD. DEVIATION",2,$F$1))))</f>
        <v/>
      </c>
      <c r="W85" s="1" t="str">
        <f>IF(OR($B85="",W$7=""),"",IF($B85="MEANS",INDEX('1-DATA'!$1:$1048576,$A84-1,COLUMN('1-DATA'!V83)),ROUND(INDEX('1-DATA'!$1:$1048576,IF(OR($B85="STD. DEVIATION",$C$1=1),$A85,$A85+1),COLUMN('1-DATA'!V83)),IF($B85="STD. DEVIATION",2,$F$1))))</f>
        <v/>
      </c>
      <c r="X85" s="1" t="str">
        <f>IF(OR($B85="",X$7=""),"",IF($B85="MEANS",INDEX('1-DATA'!$1:$1048576,$A84-1,COLUMN('1-DATA'!W83)),ROUND(INDEX('1-DATA'!$1:$1048576,IF(OR($B85="STD. DEVIATION",$C$1=1),$A85,$A85+1),COLUMN('1-DATA'!W83)),IF($B85="STD. DEVIATION",2,$F$1))))</f>
        <v/>
      </c>
      <c r="Y85" s="1" t="str">
        <f>IF(OR($B85="",Y$7=""),"",IF($B85="MEANS",INDEX('1-DATA'!$1:$1048576,$A84-1,COLUMN('1-DATA'!X83)),ROUND(INDEX('1-DATA'!$1:$1048576,IF(OR($B85="STD. DEVIATION",$C$1=1),$A85,$A85+1),COLUMN('1-DATA'!X83)),IF($B85="STD. DEVIATION",2,$F$1))))</f>
        <v/>
      </c>
      <c r="Z85" s="1" t="str">
        <f>IF(OR($B85="",Z$7=""),"",IF($B85="MEANS",INDEX('1-DATA'!$1:$1048576,$A84-1,COLUMN('1-DATA'!Y83)),ROUND(INDEX('1-DATA'!$1:$1048576,IF(OR($B85="STD. DEVIATION",$C$1=1),$A85,$A85+1),COLUMN('1-DATA'!Y83)),IF($B85="STD. DEVIATION",2,$F$1))))</f>
        <v/>
      </c>
      <c r="AA85" s="1" t="str">
        <f>IF(OR($B85="",AA$7=""),"",IF($B85="MEANS",INDEX('1-DATA'!$1:$1048576,$A84-1,COLUMN('1-DATA'!Z83)),ROUND(INDEX('1-DATA'!$1:$1048576,IF(OR($B85="STD. DEVIATION",$C$1=1),$A85,$A85+1),COLUMN('1-DATA'!Z83)),IF($B85="STD. DEVIATION",2,$F$1))))</f>
        <v/>
      </c>
      <c r="AB85" s="1" t="str">
        <f>IF(OR($B85="",AB$7=""),"",IF($B85="MEANS",INDEX('1-DATA'!$1:$1048576,$A84-1,COLUMN('1-DATA'!AA83)),ROUND(INDEX('1-DATA'!$1:$1048576,IF(OR($B85="STD. DEVIATION",$C$1=1),$A85,$A85+1),COLUMN('1-DATA'!AA83)),IF($B85="STD. DEVIATION",2,$F$1))))</f>
        <v/>
      </c>
      <c r="AC85" s="1" t="str">
        <f>IF(OR($B85="",AC$7=""),"",IF($B85="MEANS",INDEX('1-DATA'!$1:$1048576,$A84-1,COLUMN('1-DATA'!AB83)),ROUND(INDEX('1-DATA'!$1:$1048576,IF(OR($B85="STD. DEVIATION",$C$1=1),$A85,$A85+1),COLUMN('1-DATA'!AB83)),IF($B85="STD. DEVIATION",2,$F$1))))</f>
        <v/>
      </c>
      <c r="AD85" s="1" t="str">
        <f>IF(OR($B85="",AD$7=""),"",IF($B85="MEANS",INDEX('1-DATA'!$1:$1048576,$A84-1,COLUMN('1-DATA'!AC83)),ROUND(INDEX('1-DATA'!$1:$1048576,IF(OR($B85="STD. DEVIATION",$C$1=1),$A85,$A85+1),COLUMN('1-DATA'!AC83)),IF($B85="STD. DEVIATION",2,$F$1))))</f>
        <v/>
      </c>
      <c r="AE85" s="1" t="str">
        <f>IF(OR($B85="",AE$7=""),"",IF($B85="MEANS",INDEX('1-DATA'!$1:$1048576,$A84-1,COLUMN('1-DATA'!AD83)),ROUND(INDEX('1-DATA'!$1:$1048576,IF(OR($B85="STD. DEVIATION",$C$1=1),$A85,$A85+1),COLUMN('1-DATA'!AD83)),IF($B85="STD. DEVIATION",2,$F$1))))</f>
        <v/>
      </c>
      <c r="AF85" s="1" t="str">
        <f>IF(OR($B85="",AF$7=""),"",IF($B85="MEANS",INDEX('1-DATA'!$1:$1048576,$A84-1,COLUMN('1-DATA'!AE83)),ROUND(INDEX('1-DATA'!$1:$1048576,IF(OR($B85="STD. DEVIATION",$C$1=1),$A85,$A85+1),COLUMN('1-DATA'!AE83)),IF($B85="STD. DEVIATION",2,$F$1))))</f>
        <v/>
      </c>
      <c r="AG85" s="1" t="str">
        <f>IF(OR($B85="",AG$7=""),"",IF($B85="MEANS",INDEX('1-DATA'!$1:$1048576,$A84-1,COLUMN('1-DATA'!AF83)),ROUND(INDEX('1-DATA'!$1:$1048576,IF(OR($B85="STD. DEVIATION",$C$1=1),$A85,$A85+1),COLUMN('1-DATA'!AF83)),IF($B85="STD. DEVIATION",2,$F$1))))</f>
        <v/>
      </c>
      <c r="AH85" s="1" t="str">
        <f>IF(OR($B85="",AH$7=""),"",IF($B85="MEANS",INDEX('1-DATA'!$1:$1048576,$A84-1,COLUMN('1-DATA'!AG83)),ROUND(INDEX('1-DATA'!$1:$1048576,IF(OR($B85="STD. DEVIATION",$C$1=1),$A85,$A85+1),COLUMN('1-DATA'!AG83)),IF($B85="STD. DEVIATION",2,$F$1))))</f>
        <v/>
      </c>
      <c r="AI85" s="1" t="str">
        <f>IF(OR($B85="",AI$7=""),"",IF($B85="MEANS",INDEX('1-DATA'!$1:$1048576,$A84-1,COLUMN('1-DATA'!AH83)),ROUND(INDEX('1-DATA'!$1:$1048576,IF(OR($B85="STD. DEVIATION",$C$1=1),$A85,$A85+1),COLUMN('1-DATA'!AH83)),IF($B85="STD. DEVIATION",2,$F$1))))</f>
        <v/>
      </c>
      <c r="AJ85" s="1" t="str">
        <f>IF(OR($B85="",AJ$7=""),"",IF($B85="MEANS",INDEX('1-DATA'!$1:$1048576,$A84-1,COLUMN('1-DATA'!AI83)),ROUND(INDEX('1-DATA'!$1:$1048576,IF(OR($B85="STD. DEVIATION",$C$1=1),$A85,$A85+1),COLUMN('1-DATA'!AI83)),IF($B85="STD. DEVIATION",2,$F$1))))</f>
        <v/>
      </c>
      <c r="AK85" s="1" t="str">
        <f>IF(OR($B85="",AK$7=""),"",IF($B85="MEANS",INDEX('1-DATA'!$1:$1048576,$A84-1,COLUMN('1-DATA'!AJ83)),ROUND(INDEX('1-DATA'!$1:$1048576,IF(OR($B85="STD. DEVIATION",$C$1=1),$A85,$A85+1),COLUMN('1-DATA'!AJ83)),IF($B85="STD. DEVIATION",2,$F$1))))</f>
        <v/>
      </c>
      <c r="AL85" s="1" t="str">
        <f>IF(OR($B85="",AL$7=""),"",IF($B85="MEANS",INDEX('1-DATA'!$1:$1048576,$A84-1,COLUMN('1-DATA'!AK83)),ROUND(INDEX('1-DATA'!$1:$1048576,IF(OR($B85="STD. DEVIATION",$C$1=1),$A85,$A85+1),COLUMN('1-DATA'!AK83)),IF($B85="STD. DEVIATION",2,$F$1))))</f>
        <v/>
      </c>
      <c r="AM85" s="1" t="str">
        <f>IF(OR($B85="",AM$7=""),"",IF($B85="MEANS",INDEX('1-DATA'!$1:$1048576,$A84-1,COLUMN('1-DATA'!AL83)),ROUND(INDEX('1-DATA'!$1:$1048576,IF(OR($B85="STD. DEVIATION",$C$1=1),$A85,$A85+1),COLUMN('1-DATA'!AL83)),IF($B85="STD. DEVIATION",2,$F$1))))</f>
        <v/>
      </c>
      <c r="AN85" s="1" t="str">
        <f>IF(OR($B85="",AN$7=""),"",IF($B85="MEANS",INDEX('1-DATA'!$1:$1048576,$A84-1,COLUMN('1-DATA'!AM83)),ROUND(INDEX('1-DATA'!$1:$1048576,IF(OR($B85="STD. DEVIATION",$C$1=1),$A85,$A85+1),COLUMN('1-DATA'!AM83)),IF($B85="STD. DEVIATION",2,$F$1))))</f>
        <v/>
      </c>
      <c r="AO85" s="1" t="str">
        <f>IF(OR($B85="",AO$7=""),"",IF($B85="MEANS",INDEX('1-DATA'!$1:$1048576,$A84-1,COLUMN('1-DATA'!AN83)),ROUND(INDEX('1-DATA'!$1:$1048576,IF(OR($B85="STD. DEVIATION",$C$1=1),$A85,$A85+1),COLUMN('1-DATA'!AN83)),IF($B85="STD. DEVIATION",2,$F$1))))</f>
        <v/>
      </c>
      <c r="AP85" s="1" t="str">
        <f>IF(OR($B85="",AP$7=""),"",IF($B85="MEANS",INDEX('1-DATA'!$1:$1048576,$A84-1,COLUMN('1-DATA'!AO83)),ROUND(INDEX('1-DATA'!$1:$1048576,IF(OR($B85="STD. DEVIATION",$C$1=1),$A85,$A85+1),COLUMN('1-DATA'!AO83)),IF($B85="STD. DEVIATION",2,$F$1))))</f>
        <v/>
      </c>
      <c r="AQ85" s="1" t="str">
        <f>IF(OR($B85="",AQ$7=""),"",IF($B85="MEANS",INDEX('1-DATA'!$1:$1048576,$A84-1,COLUMN('1-DATA'!AP83)),ROUND(INDEX('1-DATA'!$1:$1048576,IF(OR($B85="STD. DEVIATION",$C$1=1),$A85,$A85+1),COLUMN('1-DATA'!AP83)),IF($B85="STD. DEVIATION",2,$F$1))))</f>
        <v/>
      </c>
      <c r="AR85" s="1" t="str">
        <f>IF(OR($B85="",AR$7=""),"",IF($B85="MEANS",INDEX('1-DATA'!$1:$1048576,$A84-1,COLUMN('1-DATA'!AQ83)),ROUND(INDEX('1-DATA'!$1:$1048576,IF(OR($B85="STD. DEVIATION",$C$1=1),$A85,$A85+1),COLUMN('1-DATA'!AQ83)),IF($B85="STD. DEVIATION",2,$F$1))))</f>
        <v/>
      </c>
      <c r="AS85" s="1" t="str">
        <f>IF(OR($B85="",AS$7=""),"",IF($B85="MEANS",INDEX('1-DATA'!$1:$1048576,$A84-1,COLUMN('1-DATA'!AR83)),ROUND(INDEX('1-DATA'!$1:$1048576,IF(OR($B85="STD. DEVIATION",$C$1=1),$A85,$A85+1),COLUMN('1-DATA'!AR83)),IF($B85="STD. DEVIATION",2,$F$1))))</f>
        <v/>
      </c>
      <c r="AT85" s="1" t="str">
        <f>IF(OR($B85="",AT$7=""),"",IF($B85="MEANS",INDEX('1-DATA'!$1:$1048576,$A84-1,COLUMN('1-DATA'!AS83)),ROUND(INDEX('1-DATA'!$1:$1048576,IF(OR($B85="STD. DEVIATION",$C$1=1),$A85,$A85+1),COLUMN('1-DATA'!AS83)),IF($B85="STD. DEVIATION",2,$F$1))))</f>
        <v/>
      </c>
      <c r="AU85" s="1" t="str">
        <f>IF(OR($B85="",AU$7=""),"",IF($B85="MEANS",INDEX('1-DATA'!$1:$1048576,$A84-1,COLUMN('1-DATA'!AT83)),ROUND(INDEX('1-DATA'!$1:$1048576,IF(OR($B85="STD. DEVIATION",$C$1=1),$A85,$A85+1),COLUMN('1-DATA'!AT83)),IF($B85="STD. DEVIATION",2,$F$1))))</f>
        <v/>
      </c>
      <c r="AV85" s="1" t="str">
        <f>IF(OR($B85="",AV$7=""),"",IF($B85="MEANS",INDEX('1-DATA'!$1:$1048576,$A84-1,COLUMN('1-DATA'!AU83)),ROUND(INDEX('1-DATA'!$1:$1048576,IF(OR($B85="STD. DEVIATION",$C$1=1),$A85,$A85+1),COLUMN('1-DATA'!AU83)),IF($B85="STD. DEVIATION",2,$F$1))))</f>
        <v/>
      </c>
      <c r="AW85" s="1" t="str">
        <f>IF(OR($B85="",AW$7=""),"",IF($B85="MEANS",INDEX('1-DATA'!$1:$1048576,$A84-1,COLUMN('1-DATA'!AV83)),ROUND(INDEX('1-DATA'!$1:$1048576,IF(OR($B85="STD. DEVIATION",$C$1=1),$A85,$A85+1),COLUMN('1-DATA'!AV83)),IF($B85="STD. DEVIATION",2,$F$1))))</f>
        <v/>
      </c>
      <c r="AX85" s="1" t="str">
        <f>IF(OR($B85="",AX$7=""),"",IF($B85="MEANS",INDEX('1-DATA'!$1:$1048576,$A84-1,COLUMN('1-DATA'!AW83)),ROUND(INDEX('1-DATA'!$1:$1048576,IF(OR($B85="STD. DEVIATION",$C$1=1),$A85,$A85+1),COLUMN('1-DATA'!AW83)),IF($B85="STD. DEVIATION",2,$F$1))))</f>
        <v/>
      </c>
      <c r="AY85" s="1" t="str">
        <f>IF(OR($B85="",AY$7=""),"",IF($B85="MEANS",INDEX('1-DATA'!$1:$1048576,$A84-1,COLUMN('1-DATA'!AX83)),ROUND(INDEX('1-DATA'!$1:$1048576,IF(OR($B85="STD. DEVIATION",$C$1=1),$A85,$A85+1),COLUMN('1-DATA'!AX83)),IF($B85="STD. DEVIATION",2,$F$1))))</f>
        <v/>
      </c>
      <c r="AZ85" s="1" t="str">
        <f>IF(OR($B85="",AZ$7=""),"",IF($B85="MEANS",INDEX('1-DATA'!$1:$1048576,$A84-1,COLUMN('1-DATA'!AY83)),ROUND(INDEX('1-DATA'!$1:$1048576,IF(OR($B85="STD. DEVIATION",$C$1=1),$A85,$A85+1),COLUMN('1-DATA'!AY83)),IF($B85="STD. DEVIATION",2,$F$1))))</f>
        <v/>
      </c>
    </row>
    <row r="86" spans="1:52" x14ac:dyDescent="0.25">
      <c r="A86" s="11">
        <f t="shared" si="1"/>
        <v>244</v>
      </c>
      <c r="B86" s="1" t="str">
        <f>IF(B85="STD. DEVIATION",INDEX('1-DATA'!$1:$1048576,$A85-1,1),IF(INDEX('1-DATA'!$1:$1048576,$A86,1)&lt;&gt;"",INDEX('1-DATA'!$1:$1048576,$A86,1),""))</f>
        <v/>
      </c>
      <c r="C86" s="1" t="str">
        <f>IF(OR($B86="",C$7=""),"",IF($B86="MEANS",INDEX('1-DATA'!$1:$1048576,$A85-1,COLUMN('1-DATA'!B84)),ROUND(INDEX('1-DATA'!$1:$1048576,IF(OR($B86="STD. DEVIATION",$C$1=1),$A86,$A86+1),COLUMN('1-DATA'!B84)),IF($B86="STD. DEVIATION",2,$F$1))))</f>
        <v/>
      </c>
      <c r="D86" s="1" t="str">
        <f>IF(OR($B86="",D$7=""),"",IF($B86="MEANS",INDEX('1-DATA'!$1:$1048576,$A85-1,COLUMN('1-DATA'!C84)),ROUND(INDEX('1-DATA'!$1:$1048576,IF(OR($B86="STD. DEVIATION",$C$1=1),$A86,$A86+1),COLUMN('1-DATA'!C84)),IF($B86="STD. DEVIATION",2,$F$1))))</f>
        <v/>
      </c>
      <c r="E86" s="1" t="str">
        <f>IF(OR($B86="",E$7=""),"",IF($B86="MEANS",INDEX('1-DATA'!$1:$1048576,$A85-1,COLUMN('1-DATA'!D84)),ROUND(INDEX('1-DATA'!$1:$1048576,IF(OR($B86="STD. DEVIATION",$C$1=1),$A86,$A86+1),COLUMN('1-DATA'!D84)),IF($B86="STD. DEVIATION",2,$F$1))))</f>
        <v/>
      </c>
      <c r="F86" s="1" t="str">
        <f>IF(OR($B86="",F$7=""),"",IF($B86="MEANS",INDEX('1-DATA'!$1:$1048576,$A85-1,COLUMN('1-DATA'!E84)),ROUND(INDEX('1-DATA'!$1:$1048576,IF(OR($B86="STD. DEVIATION",$C$1=1),$A86,$A86+1),COLUMN('1-DATA'!E84)),IF($B86="STD. DEVIATION",2,$F$1))))</f>
        <v/>
      </c>
      <c r="G86" s="1" t="str">
        <f>IF(OR($B86="",G$7=""),"",IF($B86="MEANS",INDEX('1-DATA'!$1:$1048576,$A85-1,COLUMN('1-DATA'!F84)),ROUND(INDEX('1-DATA'!$1:$1048576,IF(OR($B86="STD. DEVIATION",$C$1=1),$A86,$A86+1),COLUMN('1-DATA'!F84)),IF($B86="STD. DEVIATION",2,$F$1))))</f>
        <v/>
      </c>
      <c r="H86" s="1" t="str">
        <f>IF(OR($B86="",H$7=""),"",IF($B86="MEANS",INDEX('1-DATA'!$1:$1048576,$A85-1,COLUMN('1-DATA'!G84)),ROUND(INDEX('1-DATA'!$1:$1048576,IF(OR($B86="STD. DEVIATION",$C$1=1),$A86,$A86+1),COLUMN('1-DATA'!G84)),IF($B86="STD. DEVIATION",2,$F$1))))</f>
        <v/>
      </c>
      <c r="I86" s="1" t="str">
        <f>IF(OR($B86="",I$7=""),"",IF($B86="MEANS",INDEX('1-DATA'!$1:$1048576,$A85-1,COLUMN('1-DATA'!H84)),ROUND(INDEX('1-DATA'!$1:$1048576,IF(OR($B86="STD. DEVIATION",$C$1=1),$A86,$A86+1),COLUMN('1-DATA'!H84)),IF($B86="STD. DEVIATION",2,$F$1))))</f>
        <v/>
      </c>
      <c r="J86" s="1" t="str">
        <f>IF(OR($B86="",J$7=""),"",IF($B86="MEANS",INDEX('1-DATA'!$1:$1048576,$A85-1,COLUMN('1-DATA'!I84)),ROUND(INDEX('1-DATA'!$1:$1048576,IF(OR($B86="STD. DEVIATION",$C$1=1),$A86,$A86+1),COLUMN('1-DATA'!I84)),IF($B86="STD. DEVIATION",2,$F$1))))</f>
        <v/>
      </c>
      <c r="K86" s="1" t="str">
        <f>IF(OR($B86="",K$7=""),"",IF($B86="MEANS",INDEX('1-DATA'!$1:$1048576,$A85-1,COLUMN('1-DATA'!J84)),ROUND(INDEX('1-DATA'!$1:$1048576,IF(OR($B86="STD. DEVIATION",$C$1=1),$A86,$A86+1),COLUMN('1-DATA'!J84)),IF($B86="STD. DEVIATION",2,$F$1))))</f>
        <v/>
      </c>
      <c r="L86" s="1" t="str">
        <f>IF(OR($B86="",L$7=""),"",IF($B86="MEANS",INDEX('1-DATA'!$1:$1048576,$A85-1,COLUMN('1-DATA'!K84)),ROUND(INDEX('1-DATA'!$1:$1048576,IF(OR($B86="STD. DEVIATION",$C$1=1),$A86,$A86+1),COLUMN('1-DATA'!K84)),IF($B86="STD. DEVIATION",2,$F$1))))</f>
        <v/>
      </c>
      <c r="M86" s="1" t="str">
        <f>IF(OR($B86="",M$7=""),"",IF($B86="MEANS",INDEX('1-DATA'!$1:$1048576,$A85-1,COLUMN('1-DATA'!L84)),ROUND(INDEX('1-DATA'!$1:$1048576,IF(OR($B86="STD. DEVIATION",$C$1=1),$A86,$A86+1),COLUMN('1-DATA'!L84)),IF($B86="STD. DEVIATION",2,$F$1))))</f>
        <v/>
      </c>
      <c r="N86" s="1" t="str">
        <f>IF(OR($B86="",N$7=""),"",IF($B86="MEANS",INDEX('1-DATA'!$1:$1048576,$A85-1,COLUMN('1-DATA'!M84)),ROUND(INDEX('1-DATA'!$1:$1048576,IF(OR($B86="STD. DEVIATION",$C$1=1),$A86,$A86+1),COLUMN('1-DATA'!M84)),IF($B86="STD. DEVIATION",2,$F$1))))</f>
        <v/>
      </c>
      <c r="O86" s="1" t="str">
        <f>IF(OR($B86="",O$7=""),"",IF($B86="MEANS",INDEX('1-DATA'!$1:$1048576,$A85-1,COLUMN('1-DATA'!N84)),ROUND(INDEX('1-DATA'!$1:$1048576,IF(OR($B86="STD. DEVIATION",$C$1=1),$A86,$A86+1),COLUMN('1-DATA'!N84)),IF($B86="STD. DEVIATION",2,$F$1))))</f>
        <v/>
      </c>
      <c r="P86" s="1" t="str">
        <f>IF(OR($B86="",P$7=""),"",IF($B86="MEANS",INDEX('1-DATA'!$1:$1048576,$A85-1,COLUMN('1-DATA'!O84)),ROUND(INDEX('1-DATA'!$1:$1048576,IF(OR($B86="STD. DEVIATION",$C$1=1),$A86,$A86+1),COLUMN('1-DATA'!O84)),IF($B86="STD. DEVIATION",2,$F$1))))</f>
        <v/>
      </c>
      <c r="Q86" s="1" t="str">
        <f>IF(OR($B86="",Q$7=""),"",IF($B86="MEANS",INDEX('1-DATA'!$1:$1048576,$A85-1,COLUMN('1-DATA'!P84)),ROUND(INDEX('1-DATA'!$1:$1048576,IF(OR($B86="STD. DEVIATION",$C$1=1),$A86,$A86+1),COLUMN('1-DATA'!P84)),IF($B86="STD. DEVIATION",2,$F$1))))</f>
        <v/>
      </c>
      <c r="R86" s="1" t="str">
        <f>IF(OR($B86="",R$7=""),"",IF($B86="MEANS",INDEX('1-DATA'!$1:$1048576,$A85-1,COLUMN('1-DATA'!Q84)),ROUND(INDEX('1-DATA'!$1:$1048576,IF(OR($B86="STD. DEVIATION",$C$1=1),$A86,$A86+1),COLUMN('1-DATA'!Q84)),IF($B86="STD. DEVIATION",2,$F$1))))</f>
        <v/>
      </c>
      <c r="S86" s="1" t="str">
        <f>IF(OR($B86="",S$7=""),"",IF($B86="MEANS",INDEX('1-DATA'!$1:$1048576,$A85-1,COLUMN('1-DATA'!R84)),ROUND(INDEX('1-DATA'!$1:$1048576,IF(OR($B86="STD. DEVIATION",$C$1=1),$A86,$A86+1),COLUMN('1-DATA'!R84)),IF($B86="STD. DEVIATION",2,$F$1))))</f>
        <v/>
      </c>
      <c r="T86" s="1" t="str">
        <f>IF(OR($B86="",T$7=""),"",IF($B86="MEANS",INDEX('1-DATA'!$1:$1048576,$A85-1,COLUMN('1-DATA'!S84)),ROUND(INDEX('1-DATA'!$1:$1048576,IF(OR($B86="STD. DEVIATION",$C$1=1),$A86,$A86+1),COLUMN('1-DATA'!S84)),IF($B86="STD. DEVIATION",2,$F$1))))</f>
        <v/>
      </c>
      <c r="U86" s="1" t="str">
        <f>IF(OR($B86="",U$7=""),"",IF($B86="MEANS",INDEX('1-DATA'!$1:$1048576,$A85-1,COLUMN('1-DATA'!T84)),ROUND(INDEX('1-DATA'!$1:$1048576,IF(OR($B86="STD. DEVIATION",$C$1=1),$A86,$A86+1),COLUMN('1-DATA'!T84)),IF($B86="STD. DEVIATION",2,$F$1))))</f>
        <v/>
      </c>
      <c r="V86" s="1" t="str">
        <f>IF(OR($B86="",V$7=""),"",IF($B86="MEANS",INDEX('1-DATA'!$1:$1048576,$A85-1,COLUMN('1-DATA'!U84)),ROUND(INDEX('1-DATA'!$1:$1048576,IF(OR($B86="STD. DEVIATION",$C$1=1),$A86,$A86+1),COLUMN('1-DATA'!U84)),IF($B86="STD. DEVIATION",2,$F$1))))</f>
        <v/>
      </c>
      <c r="W86" s="1" t="str">
        <f>IF(OR($B86="",W$7=""),"",IF($B86="MEANS",INDEX('1-DATA'!$1:$1048576,$A85-1,COLUMN('1-DATA'!V84)),ROUND(INDEX('1-DATA'!$1:$1048576,IF(OR($B86="STD. DEVIATION",$C$1=1),$A86,$A86+1),COLUMN('1-DATA'!V84)),IF($B86="STD. DEVIATION",2,$F$1))))</f>
        <v/>
      </c>
      <c r="X86" s="1" t="str">
        <f>IF(OR($B86="",X$7=""),"",IF($B86="MEANS",INDEX('1-DATA'!$1:$1048576,$A85-1,COLUMN('1-DATA'!W84)),ROUND(INDEX('1-DATA'!$1:$1048576,IF(OR($B86="STD. DEVIATION",$C$1=1),$A86,$A86+1),COLUMN('1-DATA'!W84)),IF($B86="STD. DEVIATION",2,$F$1))))</f>
        <v/>
      </c>
      <c r="Y86" s="1" t="str">
        <f>IF(OR($B86="",Y$7=""),"",IF($B86="MEANS",INDEX('1-DATA'!$1:$1048576,$A85-1,COLUMN('1-DATA'!X84)),ROUND(INDEX('1-DATA'!$1:$1048576,IF(OR($B86="STD. DEVIATION",$C$1=1),$A86,$A86+1),COLUMN('1-DATA'!X84)),IF($B86="STD. DEVIATION",2,$F$1))))</f>
        <v/>
      </c>
      <c r="Z86" s="1" t="str">
        <f>IF(OR($B86="",Z$7=""),"",IF($B86="MEANS",INDEX('1-DATA'!$1:$1048576,$A85-1,COLUMN('1-DATA'!Y84)),ROUND(INDEX('1-DATA'!$1:$1048576,IF(OR($B86="STD. DEVIATION",$C$1=1),$A86,$A86+1),COLUMN('1-DATA'!Y84)),IF($B86="STD. DEVIATION",2,$F$1))))</f>
        <v/>
      </c>
      <c r="AA86" s="1" t="str">
        <f>IF(OR($B86="",AA$7=""),"",IF($B86="MEANS",INDEX('1-DATA'!$1:$1048576,$A85-1,COLUMN('1-DATA'!Z84)),ROUND(INDEX('1-DATA'!$1:$1048576,IF(OR($B86="STD. DEVIATION",$C$1=1),$A86,$A86+1),COLUMN('1-DATA'!Z84)),IF($B86="STD. DEVIATION",2,$F$1))))</f>
        <v/>
      </c>
      <c r="AB86" s="1" t="str">
        <f>IF(OR($B86="",AB$7=""),"",IF($B86="MEANS",INDEX('1-DATA'!$1:$1048576,$A85-1,COLUMN('1-DATA'!AA84)),ROUND(INDEX('1-DATA'!$1:$1048576,IF(OR($B86="STD. DEVIATION",$C$1=1),$A86,$A86+1),COLUMN('1-DATA'!AA84)),IF($B86="STD. DEVIATION",2,$F$1))))</f>
        <v/>
      </c>
      <c r="AC86" s="1" t="str">
        <f>IF(OR($B86="",AC$7=""),"",IF($B86="MEANS",INDEX('1-DATA'!$1:$1048576,$A85-1,COLUMN('1-DATA'!AB84)),ROUND(INDEX('1-DATA'!$1:$1048576,IF(OR($B86="STD. DEVIATION",$C$1=1),$A86,$A86+1),COLUMN('1-DATA'!AB84)),IF($B86="STD. DEVIATION",2,$F$1))))</f>
        <v/>
      </c>
      <c r="AD86" s="1" t="str">
        <f>IF(OR($B86="",AD$7=""),"",IF($B86="MEANS",INDEX('1-DATA'!$1:$1048576,$A85-1,COLUMN('1-DATA'!AC84)),ROUND(INDEX('1-DATA'!$1:$1048576,IF(OR($B86="STD. DEVIATION",$C$1=1),$A86,$A86+1),COLUMN('1-DATA'!AC84)),IF($B86="STD. DEVIATION",2,$F$1))))</f>
        <v/>
      </c>
      <c r="AE86" s="1" t="str">
        <f>IF(OR($B86="",AE$7=""),"",IF($B86="MEANS",INDEX('1-DATA'!$1:$1048576,$A85-1,COLUMN('1-DATA'!AD84)),ROUND(INDEX('1-DATA'!$1:$1048576,IF(OR($B86="STD. DEVIATION",$C$1=1),$A86,$A86+1),COLUMN('1-DATA'!AD84)),IF($B86="STD. DEVIATION",2,$F$1))))</f>
        <v/>
      </c>
      <c r="AF86" s="1" t="str">
        <f>IF(OR($B86="",AF$7=""),"",IF($B86="MEANS",INDEX('1-DATA'!$1:$1048576,$A85-1,COLUMN('1-DATA'!AE84)),ROUND(INDEX('1-DATA'!$1:$1048576,IF(OR($B86="STD. DEVIATION",$C$1=1),$A86,$A86+1),COLUMN('1-DATA'!AE84)),IF($B86="STD. DEVIATION",2,$F$1))))</f>
        <v/>
      </c>
      <c r="AG86" s="1" t="str">
        <f>IF(OR($B86="",AG$7=""),"",IF($B86="MEANS",INDEX('1-DATA'!$1:$1048576,$A85-1,COLUMN('1-DATA'!AF84)),ROUND(INDEX('1-DATA'!$1:$1048576,IF(OR($B86="STD. DEVIATION",$C$1=1),$A86,$A86+1),COLUMN('1-DATA'!AF84)),IF($B86="STD. DEVIATION",2,$F$1))))</f>
        <v/>
      </c>
      <c r="AH86" s="1" t="str">
        <f>IF(OR($B86="",AH$7=""),"",IF($B86="MEANS",INDEX('1-DATA'!$1:$1048576,$A85-1,COLUMN('1-DATA'!AG84)),ROUND(INDEX('1-DATA'!$1:$1048576,IF(OR($B86="STD. DEVIATION",$C$1=1),$A86,$A86+1),COLUMN('1-DATA'!AG84)),IF($B86="STD. DEVIATION",2,$F$1))))</f>
        <v/>
      </c>
      <c r="AI86" s="1" t="str">
        <f>IF(OR($B86="",AI$7=""),"",IF($B86="MEANS",INDEX('1-DATA'!$1:$1048576,$A85-1,COLUMN('1-DATA'!AH84)),ROUND(INDEX('1-DATA'!$1:$1048576,IF(OR($B86="STD. DEVIATION",$C$1=1),$A86,$A86+1),COLUMN('1-DATA'!AH84)),IF($B86="STD. DEVIATION",2,$F$1))))</f>
        <v/>
      </c>
      <c r="AJ86" s="1" t="str">
        <f>IF(OR($B86="",AJ$7=""),"",IF($B86="MEANS",INDEX('1-DATA'!$1:$1048576,$A85-1,COLUMN('1-DATA'!AI84)),ROUND(INDEX('1-DATA'!$1:$1048576,IF(OR($B86="STD. DEVIATION",$C$1=1),$A86,$A86+1),COLUMN('1-DATA'!AI84)),IF($B86="STD. DEVIATION",2,$F$1))))</f>
        <v/>
      </c>
      <c r="AK86" s="1" t="str">
        <f>IF(OR($B86="",AK$7=""),"",IF($B86="MEANS",INDEX('1-DATA'!$1:$1048576,$A85-1,COLUMN('1-DATA'!AJ84)),ROUND(INDEX('1-DATA'!$1:$1048576,IF(OR($B86="STD. DEVIATION",$C$1=1),$A86,$A86+1),COLUMN('1-DATA'!AJ84)),IF($B86="STD. DEVIATION",2,$F$1))))</f>
        <v/>
      </c>
      <c r="AL86" s="1" t="str">
        <f>IF(OR($B86="",AL$7=""),"",IF($B86="MEANS",INDEX('1-DATA'!$1:$1048576,$A85-1,COLUMN('1-DATA'!AK84)),ROUND(INDEX('1-DATA'!$1:$1048576,IF(OR($B86="STD. DEVIATION",$C$1=1),$A86,$A86+1),COLUMN('1-DATA'!AK84)),IF($B86="STD. DEVIATION",2,$F$1))))</f>
        <v/>
      </c>
      <c r="AM86" s="1" t="str">
        <f>IF(OR($B86="",AM$7=""),"",IF($B86="MEANS",INDEX('1-DATA'!$1:$1048576,$A85-1,COLUMN('1-DATA'!AL84)),ROUND(INDEX('1-DATA'!$1:$1048576,IF(OR($B86="STD. DEVIATION",$C$1=1),$A86,$A86+1),COLUMN('1-DATA'!AL84)),IF($B86="STD. DEVIATION",2,$F$1))))</f>
        <v/>
      </c>
      <c r="AN86" s="1" t="str">
        <f>IF(OR($B86="",AN$7=""),"",IF($B86="MEANS",INDEX('1-DATA'!$1:$1048576,$A85-1,COLUMN('1-DATA'!AM84)),ROUND(INDEX('1-DATA'!$1:$1048576,IF(OR($B86="STD. DEVIATION",$C$1=1),$A86,$A86+1),COLUMN('1-DATA'!AM84)),IF($B86="STD. DEVIATION",2,$F$1))))</f>
        <v/>
      </c>
      <c r="AO86" s="1" t="str">
        <f>IF(OR($B86="",AO$7=""),"",IF($B86="MEANS",INDEX('1-DATA'!$1:$1048576,$A85-1,COLUMN('1-DATA'!AN84)),ROUND(INDEX('1-DATA'!$1:$1048576,IF(OR($B86="STD. DEVIATION",$C$1=1),$A86,$A86+1),COLUMN('1-DATA'!AN84)),IF($B86="STD. DEVIATION",2,$F$1))))</f>
        <v/>
      </c>
      <c r="AP86" s="1" t="str">
        <f>IF(OR($B86="",AP$7=""),"",IF($B86="MEANS",INDEX('1-DATA'!$1:$1048576,$A85-1,COLUMN('1-DATA'!AO84)),ROUND(INDEX('1-DATA'!$1:$1048576,IF(OR($B86="STD. DEVIATION",$C$1=1),$A86,$A86+1),COLUMN('1-DATA'!AO84)),IF($B86="STD. DEVIATION",2,$F$1))))</f>
        <v/>
      </c>
      <c r="AQ86" s="1" t="str">
        <f>IF(OR($B86="",AQ$7=""),"",IF($B86="MEANS",INDEX('1-DATA'!$1:$1048576,$A85-1,COLUMN('1-DATA'!AP84)),ROUND(INDEX('1-DATA'!$1:$1048576,IF(OR($B86="STD. DEVIATION",$C$1=1),$A86,$A86+1),COLUMN('1-DATA'!AP84)),IF($B86="STD. DEVIATION",2,$F$1))))</f>
        <v/>
      </c>
      <c r="AR86" s="1" t="str">
        <f>IF(OR($B86="",AR$7=""),"",IF($B86="MEANS",INDEX('1-DATA'!$1:$1048576,$A85-1,COLUMN('1-DATA'!AQ84)),ROUND(INDEX('1-DATA'!$1:$1048576,IF(OR($B86="STD. DEVIATION",$C$1=1),$A86,$A86+1),COLUMN('1-DATA'!AQ84)),IF($B86="STD. DEVIATION",2,$F$1))))</f>
        <v/>
      </c>
      <c r="AS86" s="1" t="str">
        <f>IF(OR($B86="",AS$7=""),"",IF($B86="MEANS",INDEX('1-DATA'!$1:$1048576,$A85-1,COLUMN('1-DATA'!AR84)),ROUND(INDEX('1-DATA'!$1:$1048576,IF(OR($B86="STD. DEVIATION",$C$1=1),$A86,$A86+1),COLUMN('1-DATA'!AR84)),IF($B86="STD. DEVIATION",2,$F$1))))</f>
        <v/>
      </c>
      <c r="AT86" s="1" t="str">
        <f>IF(OR($B86="",AT$7=""),"",IF($B86="MEANS",INDEX('1-DATA'!$1:$1048576,$A85-1,COLUMN('1-DATA'!AS84)),ROUND(INDEX('1-DATA'!$1:$1048576,IF(OR($B86="STD. DEVIATION",$C$1=1),$A86,$A86+1),COLUMN('1-DATA'!AS84)),IF($B86="STD. DEVIATION",2,$F$1))))</f>
        <v/>
      </c>
      <c r="AU86" s="1" t="str">
        <f>IF(OR($B86="",AU$7=""),"",IF($B86="MEANS",INDEX('1-DATA'!$1:$1048576,$A85-1,COLUMN('1-DATA'!AT84)),ROUND(INDEX('1-DATA'!$1:$1048576,IF(OR($B86="STD. DEVIATION",$C$1=1),$A86,$A86+1),COLUMN('1-DATA'!AT84)),IF($B86="STD. DEVIATION",2,$F$1))))</f>
        <v/>
      </c>
      <c r="AV86" s="1" t="str">
        <f>IF(OR($B86="",AV$7=""),"",IF($B86="MEANS",INDEX('1-DATA'!$1:$1048576,$A85-1,COLUMN('1-DATA'!AU84)),ROUND(INDEX('1-DATA'!$1:$1048576,IF(OR($B86="STD. DEVIATION",$C$1=1),$A86,$A86+1),COLUMN('1-DATA'!AU84)),IF($B86="STD. DEVIATION",2,$F$1))))</f>
        <v/>
      </c>
      <c r="AW86" s="1" t="str">
        <f>IF(OR($B86="",AW$7=""),"",IF($B86="MEANS",INDEX('1-DATA'!$1:$1048576,$A85-1,COLUMN('1-DATA'!AV84)),ROUND(INDEX('1-DATA'!$1:$1048576,IF(OR($B86="STD. DEVIATION",$C$1=1),$A86,$A86+1),COLUMN('1-DATA'!AV84)),IF($B86="STD. DEVIATION",2,$F$1))))</f>
        <v/>
      </c>
      <c r="AX86" s="1" t="str">
        <f>IF(OR($B86="",AX$7=""),"",IF($B86="MEANS",INDEX('1-DATA'!$1:$1048576,$A85-1,COLUMN('1-DATA'!AW84)),ROUND(INDEX('1-DATA'!$1:$1048576,IF(OR($B86="STD. DEVIATION",$C$1=1),$A86,$A86+1),COLUMN('1-DATA'!AW84)),IF($B86="STD. DEVIATION",2,$F$1))))</f>
        <v/>
      </c>
      <c r="AY86" s="1" t="str">
        <f>IF(OR($B86="",AY$7=""),"",IF($B86="MEANS",INDEX('1-DATA'!$1:$1048576,$A85-1,COLUMN('1-DATA'!AX84)),ROUND(INDEX('1-DATA'!$1:$1048576,IF(OR($B86="STD. DEVIATION",$C$1=1),$A86,$A86+1),COLUMN('1-DATA'!AX84)),IF($B86="STD. DEVIATION",2,$F$1))))</f>
        <v/>
      </c>
      <c r="AZ86" s="1" t="str">
        <f>IF(OR($B86="",AZ$7=""),"",IF($B86="MEANS",INDEX('1-DATA'!$1:$1048576,$A85-1,COLUMN('1-DATA'!AY84)),ROUND(INDEX('1-DATA'!$1:$1048576,IF(OR($B86="STD. DEVIATION",$C$1=1),$A86,$A86+1),COLUMN('1-DATA'!AY84)),IF($B86="STD. DEVIATION",2,$F$1))))</f>
        <v/>
      </c>
    </row>
    <row r="87" spans="1:52" x14ac:dyDescent="0.25">
      <c r="A87" s="11">
        <f t="shared" si="1"/>
        <v>247</v>
      </c>
      <c r="B87" s="1" t="str">
        <f>IF(B86="STD. DEVIATION",INDEX('1-DATA'!$1:$1048576,$A86-1,1),IF(INDEX('1-DATA'!$1:$1048576,$A87,1)&lt;&gt;"",INDEX('1-DATA'!$1:$1048576,$A87,1),""))</f>
        <v/>
      </c>
      <c r="C87" s="1" t="str">
        <f>IF(OR($B87="",C$7=""),"",IF($B87="MEANS",INDEX('1-DATA'!$1:$1048576,$A86-1,COLUMN('1-DATA'!B85)),ROUND(INDEX('1-DATA'!$1:$1048576,IF(OR($B87="STD. DEVIATION",$C$1=1),$A87,$A87+1),COLUMN('1-DATA'!B85)),IF($B87="STD. DEVIATION",2,$F$1))))</f>
        <v/>
      </c>
      <c r="D87" s="1" t="str">
        <f>IF(OR($B87="",D$7=""),"",IF($B87="MEANS",INDEX('1-DATA'!$1:$1048576,$A86-1,COLUMN('1-DATA'!C85)),ROUND(INDEX('1-DATA'!$1:$1048576,IF(OR($B87="STD. DEVIATION",$C$1=1),$A87,$A87+1),COLUMN('1-DATA'!C85)),IF($B87="STD. DEVIATION",2,$F$1))))</f>
        <v/>
      </c>
      <c r="E87" s="1" t="str">
        <f>IF(OR($B87="",E$7=""),"",IF($B87="MEANS",INDEX('1-DATA'!$1:$1048576,$A86-1,COLUMN('1-DATA'!D85)),ROUND(INDEX('1-DATA'!$1:$1048576,IF(OR($B87="STD. DEVIATION",$C$1=1),$A87,$A87+1),COLUMN('1-DATA'!D85)),IF($B87="STD. DEVIATION",2,$F$1))))</f>
        <v/>
      </c>
      <c r="F87" s="1" t="str">
        <f>IF(OR($B87="",F$7=""),"",IF($B87="MEANS",INDEX('1-DATA'!$1:$1048576,$A86-1,COLUMN('1-DATA'!E85)),ROUND(INDEX('1-DATA'!$1:$1048576,IF(OR($B87="STD. DEVIATION",$C$1=1),$A87,$A87+1),COLUMN('1-DATA'!E85)),IF($B87="STD. DEVIATION",2,$F$1))))</f>
        <v/>
      </c>
      <c r="G87" s="1" t="str">
        <f>IF(OR($B87="",G$7=""),"",IF($B87="MEANS",INDEX('1-DATA'!$1:$1048576,$A86-1,COLUMN('1-DATA'!F85)),ROUND(INDEX('1-DATA'!$1:$1048576,IF(OR($B87="STD. DEVIATION",$C$1=1),$A87,$A87+1),COLUMN('1-DATA'!F85)),IF($B87="STD. DEVIATION",2,$F$1))))</f>
        <v/>
      </c>
      <c r="H87" s="1" t="str">
        <f>IF(OR($B87="",H$7=""),"",IF($B87="MEANS",INDEX('1-DATA'!$1:$1048576,$A86-1,COLUMN('1-DATA'!G85)),ROUND(INDEX('1-DATA'!$1:$1048576,IF(OR($B87="STD. DEVIATION",$C$1=1),$A87,$A87+1),COLUMN('1-DATA'!G85)),IF($B87="STD. DEVIATION",2,$F$1))))</f>
        <v/>
      </c>
      <c r="I87" s="1" t="str">
        <f>IF(OR($B87="",I$7=""),"",IF($B87="MEANS",INDEX('1-DATA'!$1:$1048576,$A86-1,COLUMN('1-DATA'!H85)),ROUND(INDEX('1-DATA'!$1:$1048576,IF(OR($B87="STD. DEVIATION",$C$1=1),$A87,$A87+1),COLUMN('1-DATA'!H85)),IF($B87="STD. DEVIATION",2,$F$1))))</f>
        <v/>
      </c>
      <c r="J87" s="1" t="str">
        <f>IF(OR($B87="",J$7=""),"",IF($B87="MEANS",INDEX('1-DATA'!$1:$1048576,$A86-1,COLUMN('1-DATA'!I85)),ROUND(INDEX('1-DATA'!$1:$1048576,IF(OR($B87="STD. DEVIATION",$C$1=1),$A87,$A87+1),COLUMN('1-DATA'!I85)),IF($B87="STD. DEVIATION",2,$F$1))))</f>
        <v/>
      </c>
      <c r="K87" s="1" t="str">
        <f>IF(OR($B87="",K$7=""),"",IF($B87="MEANS",INDEX('1-DATA'!$1:$1048576,$A86-1,COLUMN('1-DATA'!J85)),ROUND(INDEX('1-DATA'!$1:$1048576,IF(OR($B87="STD. DEVIATION",$C$1=1),$A87,$A87+1),COLUMN('1-DATA'!J85)),IF($B87="STD. DEVIATION",2,$F$1))))</f>
        <v/>
      </c>
      <c r="L87" s="1" t="str">
        <f>IF(OR($B87="",L$7=""),"",IF($B87="MEANS",INDEX('1-DATA'!$1:$1048576,$A86-1,COLUMN('1-DATA'!K85)),ROUND(INDEX('1-DATA'!$1:$1048576,IF(OR($B87="STD. DEVIATION",$C$1=1),$A87,$A87+1),COLUMN('1-DATA'!K85)),IF($B87="STD. DEVIATION",2,$F$1))))</f>
        <v/>
      </c>
      <c r="M87" s="1" t="str">
        <f>IF(OR($B87="",M$7=""),"",IF($B87="MEANS",INDEX('1-DATA'!$1:$1048576,$A86-1,COLUMN('1-DATA'!L85)),ROUND(INDEX('1-DATA'!$1:$1048576,IF(OR($B87="STD. DEVIATION",$C$1=1),$A87,$A87+1),COLUMN('1-DATA'!L85)),IF($B87="STD. DEVIATION",2,$F$1))))</f>
        <v/>
      </c>
      <c r="N87" s="1" t="str">
        <f>IF(OR($B87="",N$7=""),"",IF($B87="MEANS",INDEX('1-DATA'!$1:$1048576,$A86-1,COLUMN('1-DATA'!M85)),ROUND(INDEX('1-DATA'!$1:$1048576,IF(OR($B87="STD. DEVIATION",$C$1=1),$A87,$A87+1),COLUMN('1-DATA'!M85)),IF($B87="STD. DEVIATION",2,$F$1))))</f>
        <v/>
      </c>
      <c r="O87" s="1" t="str">
        <f>IF(OR($B87="",O$7=""),"",IF($B87="MEANS",INDEX('1-DATA'!$1:$1048576,$A86-1,COLUMN('1-DATA'!N85)),ROUND(INDEX('1-DATA'!$1:$1048576,IF(OR($B87="STD. DEVIATION",$C$1=1),$A87,$A87+1),COLUMN('1-DATA'!N85)),IF($B87="STD. DEVIATION",2,$F$1))))</f>
        <v/>
      </c>
      <c r="P87" s="1" t="str">
        <f>IF(OR($B87="",P$7=""),"",IF($B87="MEANS",INDEX('1-DATA'!$1:$1048576,$A86-1,COLUMN('1-DATA'!O85)),ROUND(INDEX('1-DATA'!$1:$1048576,IF(OR($B87="STD. DEVIATION",$C$1=1),$A87,$A87+1),COLUMN('1-DATA'!O85)),IF($B87="STD. DEVIATION",2,$F$1))))</f>
        <v/>
      </c>
      <c r="Q87" s="1" t="str">
        <f>IF(OR($B87="",Q$7=""),"",IF($B87="MEANS",INDEX('1-DATA'!$1:$1048576,$A86-1,COLUMN('1-DATA'!P85)),ROUND(INDEX('1-DATA'!$1:$1048576,IF(OR($B87="STD. DEVIATION",$C$1=1),$A87,$A87+1),COLUMN('1-DATA'!P85)),IF($B87="STD. DEVIATION",2,$F$1))))</f>
        <v/>
      </c>
      <c r="R87" s="1" t="str">
        <f>IF(OR($B87="",R$7=""),"",IF($B87="MEANS",INDEX('1-DATA'!$1:$1048576,$A86-1,COLUMN('1-DATA'!Q85)),ROUND(INDEX('1-DATA'!$1:$1048576,IF(OR($B87="STD. DEVIATION",$C$1=1),$A87,$A87+1),COLUMN('1-DATA'!Q85)),IF($B87="STD. DEVIATION",2,$F$1))))</f>
        <v/>
      </c>
      <c r="S87" s="1" t="str">
        <f>IF(OR($B87="",S$7=""),"",IF($B87="MEANS",INDEX('1-DATA'!$1:$1048576,$A86-1,COLUMN('1-DATA'!R85)),ROUND(INDEX('1-DATA'!$1:$1048576,IF(OR($B87="STD. DEVIATION",$C$1=1),$A87,$A87+1),COLUMN('1-DATA'!R85)),IF($B87="STD. DEVIATION",2,$F$1))))</f>
        <v/>
      </c>
      <c r="T87" s="1" t="str">
        <f>IF(OR($B87="",T$7=""),"",IF($B87="MEANS",INDEX('1-DATA'!$1:$1048576,$A86-1,COLUMN('1-DATA'!S85)),ROUND(INDEX('1-DATA'!$1:$1048576,IF(OR($B87="STD. DEVIATION",$C$1=1),$A87,$A87+1),COLUMN('1-DATA'!S85)),IF($B87="STD. DEVIATION",2,$F$1))))</f>
        <v/>
      </c>
      <c r="U87" s="1" t="str">
        <f>IF(OR($B87="",U$7=""),"",IF($B87="MEANS",INDEX('1-DATA'!$1:$1048576,$A86-1,COLUMN('1-DATA'!T85)),ROUND(INDEX('1-DATA'!$1:$1048576,IF(OR($B87="STD. DEVIATION",$C$1=1),$A87,$A87+1),COLUMN('1-DATA'!T85)),IF($B87="STD. DEVIATION",2,$F$1))))</f>
        <v/>
      </c>
      <c r="V87" s="1" t="str">
        <f>IF(OR($B87="",V$7=""),"",IF($B87="MEANS",INDEX('1-DATA'!$1:$1048576,$A86-1,COLUMN('1-DATA'!U85)),ROUND(INDEX('1-DATA'!$1:$1048576,IF(OR($B87="STD. DEVIATION",$C$1=1),$A87,$A87+1),COLUMN('1-DATA'!U85)),IF($B87="STD. DEVIATION",2,$F$1))))</f>
        <v/>
      </c>
      <c r="W87" s="1" t="str">
        <f>IF(OR($B87="",W$7=""),"",IF($B87="MEANS",INDEX('1-DATA'!$1:$1048576,$A86-1,COLUMN('1-DATA'!V85)),ROUND(INDEX('1-DATA'!$1:$1048576,IF(OR($B87="STD. DEVIATION",$C$1=1),$A87,$A87+1),COLUMN('1-DATA'!V85)),IF($B87="STD. DEVIATION",2,$F$1))))</f>
        <v/>
      </c>
      <c r="X87" s="1" t="str">
        <f>IF(OR($B87="",X$7=""),"",IF($B87="MEANS",INDEX('1-DATA'!$1:$1048576,$A86-1,COLUMN('1-DATA'!W85)),ROUND(INDEX('1-DATA'!$1:$1048576,IF(OR($B87="STD. DEVIATION",$C$1=1),$A87,$A87+1),COLUMN('1-DATA'!W85)),IF($B87="STD. DEVIATION",2,$F$1))))</f>
        <v/>
      </c>
      <c r="Y87" s="1" t="str">
        <f>IF(OR($B87="",Y$7=""),"",IF($B87="MEANS",INDEX('1-DATA'!$1:$1048576,$A86-1,COLUMN('1-DATA'!X85)),ROUND(INDEX('1-DATA'!$1:$1048576,IF(OR($B87="STD. DEVIATION",$C$1=1),$A87,$A87+1),COLUMN('1-DATA'!X85)),IF($B87="STD. DEVIATION",2,$F$1))))</f>
        <v/>
      </c>
      <c r="Z87" s="1" t="str">
        <f>IF(OR($B87="",Z$7=""),"",IF($B87="MEANS",INDEX('1-DATA'!$1:$1048576,$A86-1,COLUMN('1-DATA'!Y85)),ROUND(INDEX('1-DATA'!$1:$1048576,IF(OR($B87="STD. DEVIATION",$C$1=1),$A87,$A87+1),COLUMN('1-DATA'!Y85)),IF($B87="STD. DEVIATION",2,$F$1))))</f>
        <v/>
      </c>
      <c r="AA87" s="1" t="str">
        <f>IF(OR($B87="",AA$7=""),"",IF($B87="MEANS",INDEX('1-DATA'!$1:$1048576,$A86-1,COLUMN('1-DATA'!Z85)),ROUND(INDEX('1-DATA'!$1:$1048576,IF(OR($B87="STD. DEVIATION",$C$1=1),$A87,$A87+1),COLUMN('1-DATA'!Z85)),IF($B87="STD. DEVIATION",2,$F$1))))</f>
        <v/>
      </c>
      <c r="AB87" s="1" t="str">
        <f>IF(OR($B87="",AB$7=""),"",IF($B87="MEANS",INDEX('1-DATA'!$1:$1048576,$A86-1,COLUMN('1-DATA'!AA85)),ROUND(INDEX('1-DATA'!$1:$1048576,IF(OR($B87="STD. DEVIATION",$C$1=1),$A87,$A87+1),COLUMN('1-DATA'!AA85)),IF($B87="STD. DEVIATION",2,$F$1))))</f>
        <v/>
      </c>
      <c r="AC87" s="1" t="str">
        <f>IF(OR($B87="",AC$7=""),"",IF($B87="MEANS",INDEX('1-DATA'!$1:$1048576,$A86-1,COLUMN('1-DATA'!AB85)),ROUND(INDEX('1-DATA'!$1:$1048576,IF(OR($B87="STD. DEVIATION",$C$1=1),$A87,$A87+1),COLUMN('1-DATA'!AB85)),IF($B87="STD. DEVIATION",2,$F$1))))</f>
        <v/>
      </c>
      <c r="AD87" s="1" t="str">
        <f>IF(OR($B87="",AD$7=""),"",IF($B87="MEANS",INDEX('1-DATA'!$1:$1048576,$A86-1,COLUMN('1-DATA'!AC85)),ROUND(INDEX('1-DATA'!$1:$1048576,IF(OR($B87="STD. DEVIATION",$C$1=1),$A87,$A87+1),COLUMN('1-DATA'!AC85)),IF($B87="STD. DEVIATION",2,$F$1))))</f>
        <v/>
      </c>
      <c r="AE87" s="1" t="str">
        <f>IF(OR($B87="",AE$7=""),"",IF($B87="MEANS",INDEX('1-DATA'!$1:$1048576,$A86-1,COLUMN('1-DATA'!AD85)),ROUND(INDEX('1-DATA'!$1:$1048576,IF(OR($B87="STD. DEVIATION",$C$1=1),$A87,$A87+1),COLUMN('1-DATA'!AD85)),IF($B87="STD. DEVIATION",2,$F$1))))</f>
        <v/>
      </c>
      <c r="AF87" s="1" t="str">
        <f>IF(OR($B87="",AF$7=""),"",IF($B87="MEANS",INDEX('1-DATA'!$1:$1048576,$A86-1,COLUMN('1-DATA'!AE85)),ROUND(INDEX('1-DATA'!$1:$1048576,IF(OR($B87="STD. DEVIATION",$C$1=1),$A87,$A87+1),COLUMN('1-DATA'!AE85)),IF($B87="STD. DEVIATION",2,$F$1))))</f>
        <v/>
      </c>
      <c r="AG87" s="1" t="str">
        <f>IF(OR($B87="",AG$7=""),"",IF($B87="MEANS",INDEX('1-DATA'!$1:$1048576,$A86-1,COLUMN('1-DATA'!AF85)),ROUND(INDEX('1-DATA'!$1:$1048576,IF(OR($B87="STD. DEVIATION",$C$1=1),$A87,$A87+1),COLUMN('1-DATA'!AF85)),IF($B87="STD. DEVIATION",2,$F$1))))</f>
        <v/>
      </c>
      <c r="AH87" s="1" t="str">
        <f>IF(OR($B87="",AH$7=""),"",IF($B87="MEANS",INDEX('1-DATA'!$1:$1048576,$A86-1,COLUMN('1-DATA'!AG85)),ROUND(INDEX('1-DATA'!$1:$1048576,IF(OR($B87="STD. DEVIATION",$C$1=1),$A87,$A87+1),COLUMN('1-DATA'!AG85)),IF($B87="STD. DEVIATION",2,$F$1))))</f>
        <v/>
      </c>
      <c r="AI87" s="1" t="str">
        <f>IF(OR($B87="",AI$7=""),"",IF($B87="MEANS",INDEX('1-DATA'!$1:$1048576,$A86-1,COLUMN('1-DATA'!AH85)),ROUND(INDEX('1-DATA'!$1:$1048576,IF(OR($B87="STD. DEVIATION",$C$1=1),$A87,$A87+1),COLUMN('1-DATA'!AH85)),IF($B87="STD. DEVIATION",2,$F$1))))</f>
        <v/>
      </c>
      <c r="AJ87" s="1" t="str">
        <f>IF(OR($B87="",AJ$7=""),"",IF($B87="MEANS",INDEX('1-DATA'!$1:$1048576,$A86-1,COLUMN('1-DATA'!AI85)),ROUND(INDEX('1-DATA'!$1:$1048576,IF(OR($B87="STD. DEVIATION",$C$1=1),$A87,$A87+1),COLUMN('1-DATA'!AI85)),IF($B87="STD. DEVIATION",2,$F$1))))</f>
        <v/>
      </c>
      <c r="AK87" s="1" t="str">
        <f>IF(OR($B87="",AK$7=""),"",IF($B87="MEANS",INDEX('1-DATA'!$1:$1048576,$A86-1,COLUMN('1-DATA'!AJ85)),ROUND(INDEX('1-DATA'!$1:$1048576,IF(OR($B87="STD. DEVIATION",$C$1=1),$A87,$A87+1),COLUMN('1-DATA'!AJ85)),IF($B87="STD. DEVIATION",2,$F$1))))</f>
        <v/>
      </c>
      <c r="AL87" s="1" t="str">
        <f>IF(OR($B87="",AL$7=""),"",IF($B87="MEANS",INDEX('1-DATA'!$1:$1048576,$A86-1,COLUMN('1-DATA'!AK85)),ROUND(INDEX('1-DATA'!$1:$1048576,IF(OR($B87="STD. DEVIATION",$C$1=1),$A87,$A87+1),COLUMN('1-DATA'!AK85)),IF($B87="STD. DEVIATION",2,$F$1))))</f>
        <v/>
      </c>
      <c r="AM87" s="1" t="str">
        <f>IF(OR($B87="",AM$7=""),"",IF($B87="MEANS",INDEX('1-DATA'!$1:$1048576,$A86-1,COLUMN('1-DATA'!AL85)),ROUND(INDEX('1-DATA'!$1:$1048576,IF(OR($B87="STD. DEVIATION",$C$1=1),$A87,$A87+1),COLUMN('1-DATA'!AL85)),IF($B87="STD. DEVIATION",2,$F$1))))</f>
        <v/>
      </c>
      <c r="AN87" s="1" t="str">
        <f>IF(OR($B87="",AN$7=""),"",IF($B87="MEANS",INDEX('1-DATA'!$1:$1048576,$A86-1,COLUMN('1-DATA'!AM85)),ROUND(INDEX('1-DATA'!$1:$1048576,IF(OR($B87="STD. DEVIATION",$C$1=1),$A87,$A87+1),COLUMN('1-DATA'!AM85)),IF($B87="STD. DEVIATION",2,$F$1))))</f>
        <v/>
      </c>
      <c r="AO87" s="1" t="str">
        <f>IF(OR($B87="",AO$7=""),"",IF($B87="MEANS",INDEX('1-DATA'!$1:$1048576,$A86-1,COLUMN('1-DATA'!AN85)),ROUND(INDEX('1-DATA'!$1:$1048576,IF(OR($B87="STD. DEVIATION",$C$1=1),$A87,$A87+1),COLUMN('1-DATA'!AN85)),IF($B87="STD. DEVIATION",2,$F$1))))</f>
        <v/>
      </c>
      <c r="AP87" s="1" t="str">
        <f>IF(OR($B87="",AP$7=""),"",IF($B87="MEANS",INDEX('1-DATA'!$1:$1048576,$A86-1,COLUMN('1-DATA'!AO85)),ROUND(INDEX('1-DATA'!$1:$1048576,IF(OR($B87="STD. DEVIATION",$C$1=1),$A87,$A87+1),COLUMN('1-DATA'!AO85)),IF($B87="STD. DEVIATION",2,$F$1))))</f>
        <v/>
      </c>
      <c r="AQ87" s="1" t="str">
        <f>IF(OR($B87="",AQ$7=""),"",IF($B87="MEANS",INDEX('1-DATA'!$1:$1048576,$A86-1,COLUMN('1-DATA'!AP85)),ROUND(INDEX('1-DATA'!$1:$1048576,IF(OR($B87="STD. DEVIATION",$C$1=1),$A87,$A87+1),COLUMN('1-DATA'!AP85)),IF($B87="STD. DEVIATION",2,$F$1))))</f>
        <v/>
      </c>
      <c r="AR87" s="1" t="str">
        <f>IF(OR($B87="",AR$7=""),"",IF($B87="MEANS",INDEX('1-DATA'!$1:$1048576,$A86-1,COLUMN('1-DATA'!AQ85)),ROUND(INDEX('1-DATA'!$1:$1048576,IF(OR($B87="STD. DEVIATION",$C$1=1),$A87,$A87+1),COLUMN('1-DATA'!AQ85)),IF($B87="STD. DEVIATION",2,$F$1))))</f>
        <v/>
      </c>
      <c r="AS87" s="1" t="str">
        <f>IF(OR($B87="",AS$7=""),"",IF($B87="MEANS",INDEX('1-DATA'!$1:$1048576,$A86-1,COLUMN('1-DATA'!AR85)),ROUND(INDEX('1-DATA'!$1:$1048576,IF(OR($B87="STD. DEVIATION",$C$1=1),$A87,$A87+1),COLUMN('1-DATA'!AR85)),IF($B87="STD. DEVIATION",2,$F$1))))</f>
        <v/>
      </c>
      <c r="AT87" s="1" t="str">
        <f>IF(OR($B87="",AT$7=""),"",IF($B87="MEANS",INDEX('1-DATA'!$1:$1048576,$A86-1,COLUMN('1-DATA'!AS85)),ROUND(INDEX('1-DATA'!$1:$1048576,IF(OR($B87="STD. DEVIATION",$C$1=1),$A87,$A87+1),COLUMN('1-DATA'!AS85)),IF($B87="STD. DEVIATION",2,$F$1))))</f>
        <v/>
      </c>
      <c r="AU87" s="1" t="str">
        <f>IF(OR($B87="",AU$7=""),"",IF($B87="MEANS",INDEX('1-DATA'!$1:$1048576,$A86-1,COLUMN('1-DATA'!AT85)),ROUND(INDEX('1-DATA'!$1:$1048576,IF(OR($B87="STD. DEVIATION",$C$1=1),$A87,$A87+1),COLUMN('1-DATA'!AT85)),IF($B87="STD. DEVIATION",2,$F$1))))</f>
        <v/>
      </c>
      <c r="AV87" s="1" t="str">
        <f>IF(OR($B87="",AV$7=""),"",IF($B87="MEANS",INDEX('1-DATA'!$1:$1048576,$A86-1,COLUMN('1-DATA'!AU85)),ROUND(INDEX('1-DATA'!$1:$1048576,IF(OR($B87="STD. DEVIATION",$C$1=1),$A87,$A87+1),COLUMN('1-DATA'!AU85)),IF($B87="STD. DEVIATION",2,$F$1))))</f>
        <v/>
      </c>
      <c r="AW87" s="1" t="str">
        <f>IF(OR($B87="",AW$7=""),"",IF($B87="MEANS",INDEX('1-DATA'!$1:$1048576,$A86-1,COLUMN('1-DATA'!AV85)),ROUND(INDEX('1-DATA'!$1:$1048576,IF(OR($B87="STD. DEVIATION",$C$1=1),$A87,$A87+1),COLUMN('1-DATA'!AV85)),IF($B87="STD. DEVIATION",2,$F$1))))</f>
        <v/>
      </c>
      <c r="AX87" s="1" t="str">
        <f>IF(OR($B87="",AX$7=""),"",IF($B87="MEANS",INDEX('1-DATA'!$1:$1048576,$A86-1,COLUMN('1-DATA'!AW85)),ROUND(INDEX('1-DATA'!$1:$1048576,IF(OR($B87="STD. DEVIATION",$C$1=1),$A87,$A87+1),COLUMN('1-DATA'!AW85)),IF($B87="STD. DEVIATION",2,$F$1))))</f>
        <v/>
      </c>
      <c r="AY87" s="1" t="str">
        <f>IF(OR($B87="",AY$7=""),"",IF($B87="MEANS",INDEX('1-DATA'!$1:$1048576,$A86-1,COLUMN('1-DATA'!AX85)),ROUND(INDEX('1-DATA'!$1:$1048576,IF(OR($B87="STD. DEVIATION",$C$1=1),$A87,$A87+1),COLUMN('1-DATA'!AX85)),IF($B87="STD. DEVIATION",2,$F$1))))</f>
        <v/>
      </c>
      <c r="AZ87" s="1" t="str">
        <f>IF(OR($B87="",AZ$7=""),"",IF($B87="MEANS",INDEX('1-DATA'!$1:$1048576,$A86-1,COLUMN('1-DATA'!AY85)),ROUND(INDEX('1-DATA'!$1:$1048576,IF(OR($B87="STD. DEVIATION",$C$1=1),$A87,$A87+1),COLUMN('1-DATA'!AY85)),IF($B87="STD. DEVIATION",2,$F$1))))</f>
        <v/>
      </c>
    </row>
    <row r="88" spans="1:52" x14ac:dyDescent="0.25">
      <c r="A88" s="11">
        <f t="shared" si="1"/>
        <v>250</v>
      </c>
      <c r="B88" s="1" t="str">
        <f>IF(B87="STD. DEVIATION",INDEX('1-DATA'!$1:$1048576,$A87-1,1),IF(INDEX('1-DATA'!$1:$1048576,$A88,1)&lt;&gt;"",INDEX('1-DATA'!$1:$1048576,$A88,1),""))</f>
        <v/>
      </c>
      <c r="C88" s="1" t="str">
        <f>IF(OR($B88="",C$7=""),"",IF($B88="MEANS",INDEX('1-DATA'!$1:$1048576,$A87-1,COLUMN('1-DATA'!B86)),ROUND(INDEX('1-DATA'!$1:$1048576,IF(OR($B88="STD. DEVIATION",$C$1=1),$A88,$A88+1),COLUMN('1-DATA'!B86)),IF($B88="STD. DEVIATION",2,$F$1))))</f>
        <v/>
      </c>
      <c r="D88" s="1" t="str">
        <f>IF(OR($B88="",D$7=""),"",IF($B88="MEANS",INDEX('1-DATA'!$1:$1048576,$A87-1,COLUMN('1-DATA'!C86)),ROUND(INDEX('1-DATA'!$1:$1048576,IF(OR($B88="STD. DEVIATION",$C$1=1),$A88,$A88+1),COLUMN('1-DATA'!C86)),IF($B88="STD. DEVIATION",2,$F$1))))</f>
        <v/>
      </c>
      <c r="E88" s="1" t="str">
        <f>IF(OR($B88="",E$7=""),"",IF($B88="MEANS",INDEX('1-DATA'!$1:$1048576,$A87-1,COLUMN('1-DATA'!D86)),ROUND(INDEX('1-DATA'!$1:$1048576,IF(OR($B88="STD. DEVIATION",$C$1=1),$A88,$A88+1),COLUMN('1-DATA'!D86)),IF($B88="STD. DEVIATION",2,$F$1))))</f>
        <v/>
      </c>
      <c r="F88" s="1" t="str">
        <f>IF(OR($B88="",F$7=""),"",IF($B88="MEANS",INDEX('1-DATA'!$1:$1048576,$A87-1,COLUMN('1-DATA'!E86)),ROUND(INDEX('1-DATA'!$1:$1048576,IF(OR($B88="STD. DEVIATION",$C$1=1),$A88,$A88+1),COLUMN('1-DATA'!E86)),IF($B88="STD. DEVIATION",2,$F$1))))</f>
        <v/>
      </c>
      <c r="G88" s="1" t="str">
        <f>IF(OR($B88="",G$7=""),"",IF($B88="MEANS",INDEX('1-DATA'!$1:$1048576,$A87-1,COLUMN('1-DATA'!F86)),ROUND(INDEX('1-DATA'!$1:$1048576,IF(OR($B88="STD. DEVIATION",$C$1=1),$A88,$A88+1),COLUMN('1-DATA'!F86)),IF($B88="STD. DEVIATION",2,$F$1))))</f>
        <v/>
      </c>
      <c r="H88" s="1" t="str">
        <f>IF(OR($B88="",H$7=""),"",IF($B88="MEANS",INDEX('1-DATA'!$1:$1048576,$A87-1,COLUMN('1-DATA'!G86)),ROUND(INDEX('1-DATA'!$1:$1048576,IF(OR($B88="STD. DEVIATION",$C$1=1),$A88,$A88+1),COLUMN('1-DATA'!G86)),IF($B88="STD. DEVIATION",2,$F$1))))</f>
        <v/>
      </c>
      <c r="I88" s="1" t="str">
        <f>IF(OR($B88="",I$7=""),"",IF($B88="MEANS",INDEX('1-DATA'!$1:$1048576,$A87-1,COLUMN('1-DATA'!H86)),ROUND(INDEX('1-DATA'!$1:$1048576,IF(OR($B88="STD. DEVIATION",$C$1=1),$A88,$A88+1),COLUMN('1-DATA'!H86)),IF($B88="STD. DEVIATION",2,$F$1))))</f>
        <v/>
      </c>
      <c r="J88" s="1" t="str">
        <f>IF(OR($B88="",J$7=""),"",IF($B88="MEANS",INDEX('1-DATA'!$1:$1048576,$A87-1,COLUMN('1-DATA'!I86)),ROUND(INDEX('1-DATA'!$1:$1048576,IF(OR($B88="STD. DEVIATION",$C$1=1),$A88,$A88+1),COLUMN('1-DATA'!I86)),IF($B88="STD. DEVIATION",2,$F$1))))</f>
        <v/>
      </c>
      <c r="K88" s="1" t="str">
        <f>IF(OR($B88="",K$7=""),"",IF($B88="MEANS",INDEX('1-DATA'!$1:$1048576,$A87-1,COLUMN('1-DATA'!J86)),ROUND(INDEX('1-DATA'!$1:$1048576,IF(OR($B88="STD. DEVIATION",$C$1=1),$A88,$A88+1),COLUMN('1-DATA'!J86)),IF($B88="STD. DEVIATION",2,$F$1))))</f>
        <v/>
      </c>
      <c r="L88" s="1" t="str">
        <f>IF(OR($B88="",L$7=""),"",IF($B88="MEANS",INDEX('1-DATA'!$1:$1048576,$A87-1,COLUMN('1-DATA'!K86)),ROUND(INDEX('1-DATA'!$1:$1048576,IF(OR($B88="STD. DEVIATION",$C$1=1),$A88,$A88+1),COLUMN('1-DATA'!K86)),IF($B88="STD. DEVIATION",2,$F$1))))</f>
        <v/>
      </c>
      <c r="M88" s="1" t="str">
        <f>IF(OR($B88="",M$7=""),"",IF($B88="MEANS",INDEX('1-DATA'!$1:$1048576,$A87-1,COLUMN('1-DATA'!L86)),ROUND(INDEX('1-DATA'!$1:$1048576,IF(OR($B88="STD. DEVIATION",$C$1=1),$A88,$A88+1),COLUMN('1-DATA'!L86)),IF($B88="STD. DEVIATION",2,$F$1))))</f>
        <v/>
      </c>
      <c r="N88" s="1" t="str">
        <f>IF(OR($B88="",N$7=""),"",IF($B88="MEANS",INDEX('1-DATA'!$1:$1048576,$A87-1,COLUMN('1-DATA'!M86)),ROUND(INDEX('1-DATA'!$1:$1048576,IF(OR($B88="STD. DEVIATION",$C$1=1),$A88,$A88+1),COLUMN('1-DATA'!M86)),IF($B88="STD. DEVIATION",2,$F$1))))</f>
        <v/>
      </c>
      <c r="O88" s="1" t="str">
        <f>IF(OR($B88="",O$7=""),"",IF($B88="MEANS",INDEX('1-DATA'!$1:$1048576,$A87-1,COLUMN('1-DATA'!N86)),ROUND(INDEX('1-DATA'!$1:$1048576,IF(OR($B88="STD. DEVIATION",$C$1=1),$A88,$A88+1),COLUMN('1-DATA'!N86)),IF($B88="STD. DEVIATION",2,$F$1))))</f>
        <v/>
      </c>
      <c r="P88" s="1" t="str">
        <f>IF(OR($B88="",P$7=""),"",IF($B88="MEANS",INDEX('1-DATA'!$1:$1048576,$A87-1,COLUMN('1-DATA'!O86)),ROUND(INDEX('1-DATA'!$1:$1048576,IF(OR($B88="STD. DEVIATION",$C$1=1),$A88,$A88+1),COLUMN('1-DATA'!O86)),IF($B88="STD. DEVIATION",2,$F$1))))</f>
        <v/>
      </c>
      <c r="Q88" s="1" t="str">
        <f>IF(OR($B88="",Q$7=""),"",IF($B88="MEANS",INDEX('1-DATA'!$1:$1048576,$A87-1,COLUMN('1-DATA'!P86)),ROUND(INDEX('1-DATA'!$1:$1048576,IF(OR($B88="STD. DEVIATION",$C$1=1),$A88,$A88+1),COLUMN('1-DATA'!P86)),IF($B88="STD. DEVIATION",2,$F$1))))</f>
        <v/>
      </c>
      <c r="R88" s="1" t="str">
        <f>IF(OR($B88="",R$7=""),"",IF($B88="MEANS",INDEX('1-DATA'!$1:$1048576,$A87-1,COLUMN('1-DATA'!Q86)),ROUND(INDEX('1-DATA'!$1:$1048576,IF(OR($B88="STD. DEVIATION",$C$1=1),$A88,$A88+1),COLUMN('1-DATA'!Q86)),IF($B88="STD. DEVIATION",2,$F$1))))</f>
        <v/>
      </c>
      <c r="S88" s="1" t="str">
        <f>IF(OR($B88="",S$7=""),"",IF($B88="MEANS",INDEX('1-DATA'!$1:$1048576,$A87-1,COLUMN('1-DATA'!R86)),ROUND(INDEX('1-DATA'!$1:$1048576,IF(OR($B88="STD. DEVIATION",$C$1=1),$A88,$A88+1),COLUMN('1-DATA'!R86)),IF($B88="STD. DEVIATION",2,$F$1))))</f>
        <v/>
      </c>
      <c r="T88" s="1" t="str">
        <f>IF(OR($B88="",T$7=""),"",IF($B88="MEANS",INDEX('1-DATA'!$1:$1048576,$A87-1,COLUMN('1-DATA'!S86)),ROUND(INDEX('1-DATA'!$1:$1048576,IF(OR($B88="STD. DEVIATION",$C$1=1),$A88,$A88+1),COLUMN('1-DATA'!S86)),IF($B88="STD. DEVIATION",2,$F$1))))</f>
        <v/>
      </c>
      <c r="U88" s="1" t="str">
        <f>IF(OR($B88="",U$7=""),"",IF($B88="MEANS",INDEX('1-DATA'!$1:$1048576,$A87-1,COLUMN('1-DATA'!T86)),ROUND(INDEX('1-DATA'!$1:$1048576,IF(OR($B88="STD. DEVIATION",$C$1=1),$A88,$A88+1),COLUMN('1-DATA'!T86)),IF($B88="STD. DEVIATION",2,$F$1))))</f>
        <v/>
      </c>
      <c r="V88" s="1" t="str">
        <f>IF(OR($B88="",V$7=""),"",IF($B88="MEANS",INDEX('1-DATA'!$1:$1048576,$A87-1,COLUMN('1-DATA'!U86)),ROUND(INDEX('1-DATA'!$1:$1048576,IF(OR($B88="STD. DEVIATION",$C$1=1),$A88,$A88+1),COLUMN('1-DATA'!U86)),IF($B88="STD. DEVIATION",2,$F$1))))</f>
        <v/>
      </c>
      <c r="W88" s="1" t="str">
        <f>IF(OR($B88="",W$7=""),"",IF($B88="MEANS",INDEX('1-DATA'!$1:$1048576,$A87-1,COLUMN('1-DATA'!V86)),ROUND(INDEX('1-DATA'!$1:$1048576,IF(OR($B88="STD. DEVIATION",$C$1=1),$A88,$A88+1),COLUMN('1-DATA'!V86)),IF($B88="STD. DEVIATION",2,$F$1))))</f>
        <v/>
      </c>
      <c r="X88" s="1" t="str">
        <f>IF(OR($B88="",X$7=""),"",IF($B88="MEANS",INDEX('1-DATA'!$1:$1048576,$A87-1,COLUMN('1-DATA'!W86)),ROUND(INDEX('1-DATA'!$1:$1048576,IF(OR($B88="STD. DEVIATION",$C$1=1),$A88,$A88+1),COLUMN('1-DATA'!W86)),IF($B88="STD. DEVIATION",2,$F$1))))</f>
        <v/>
      </c>
      <c r="Y88" s="1" t="str">
        <f>IF(OR($B88="",Y$7=""),"",IF($B88="MEANS",INDEX('1-DATA'!$1:$1048576,$A87-1,COLUMN('1-DATA'!X86)),ROUND(INDEX('1-DATA'!$1:$1048576,IF(OR($B88="STD. DEVIATION",$C$1=1),$A88,$A88+1),COLUMN('1-DATA'!X86)),IF($B88="STD. DEVIATION",2,$F$1))))</f>
        <v/>
      </c>
      <c r="Z88" s="1" t="str">
        <f>IF(OR($B88="",Z$7=""),"",IF($B88="MEANS",INDEX('1-DATA'!$1:$1048576,$A87-1,COLUMN('1-DATA'!Y86)),ROUND(INDEX('1-DATA'!$1:$1048576,IF(OR($B88="STD. DEVIATION",$C$1=1),$A88,$A88+1),COLUMN('1-DATA'!Y86)),IF($B88="STD. DEVIATION",2,$F$1))))</f>
        <v/>
      </c>
      <c r="AA88" s="1" t="str">
        <f>IF(OR($B88="",AA$7=""),"",IF($B88="MEANS",INDEX('1-DATA'!$1:$1048576,$A87-1,COLUMN('1-DATA'!Z86)),ROUND(INDEX('1-DATA'!$1:$1048576,IF(OR($B88="STD. DEVIATION",$C$1=1),$A88,$A88+1),COLUMN('1-DATA'!Z86)),IF($B88="STD. DEVIATION",2,$F$1))))</f>
        <v/>
      </c>
      <c r="AB88" s="1" t="str">
        <f>IF(OR($B88="",AB$7=""),"",IF($B88="MEANS",INDEX('1-DATA'!$1:$1048576,$A87-1,COLUMN('1-DATA'!AA86)),ROUND(INDEX('1-DATA'!$1:$1048576,IF(OR($B88="STD. DEVIATION",$C$1=1),$A88,$A88+1),COLUMN('1-DATA'!AA86)),IF($B88="STD. DEVIATION",2,$F$1))))</f>
        <v/>
      </c>
      <c r="AC88" s="1" t="str">
        <f>IF(OR($B88="",AC$7=""),"",IF($B88="MEANS",INDEX('1-DATA'!$1:$1048576,$A87-1,COLUMN('1-DATA'!AB86)),ROUND(INDEX('1-DATA'!$1:$1048576,IF(OR($B88="STD. DEVIATION",$C$1=1),$A88,$A88+1),COLUMN('1-DATA'!AB86)),IF($B88="STD. DEVIATION",2,$F$1))))</f>
        <v/>
      </c>
      <c r="AD88" s="1" t="str">
        <f>IF(OR($B88="",AD$7=""),"",IF($B88="MEANS",INDEX('1-DATA'!$1:$1048576,$A87-1,COLUMN('1-DATA'!AC86)),ROUND(INDEX('1-DATA'!$1:$1048576,IF(OR($B88="STD. DEVIATION",$C$1=1),$A88,$A88+1),COLUMN('1-DATA'!AC86)),IF($B88="STD. DEVIATION",2,$F$1))))</f>
        <v/>
      </c>
      <c r="AE88" s="1" t="str">
        <f>IF(OR($B88="",AE$7=""),"",IF($B88="MEANS",INDEX('1-DATA'!$1:$1048576,$A87-1,COLUMN('1-DATA'!AD86)),ROUND(INDEX('1-DATA'!$1:$1048576,IF(OR($B88="STD. DEVIATION",$C$1=1),$A88,$A88+1),COLUMN('1-DATA'!AD86)),IF($B88="STD. DEVIATION",2,$F$1))))</f>
        <v/>
      </c>
      <c r="AF88" s="1" t="str">
        <f>IF(OR($B88="",AF$7=""),"",IF($B88="MEANS",INDEX('1-DATA'!$1:$1048576,$A87-1,COLUMN('1-DATA'!AE86)),ROUND(INDEX('1-DATA'!$1:$1048576,IF(OR($B88="STD. DEVIATION",$C$1=1),$A88,$A88+1),COLUMN('1-DATA'!AE86)),IF($B88="STD. DEVIATION",2,$F$1))))</f>
        <v/>
      </c>
      <c r="AG88" s="1" t="str">
        <f>IF(OR($B88="",AG$7=""),"",IF($B88="MEANS",INDEX('1-DATA'!$1:$1048576,$A87-1,COLUMN('1-DATA'!AF86)),ROUND(INDEX('1-DATA'!$1:$1048576,IF(OR($B88="STD. DEVIATION",$C$1=1),$A88,$A88+1),COLUMN('1-DATA'!AF86)),IF($B88="STD. DEVIATION",2,$F$1))))</f>
        <v/>
      </c>
      <c r="AH88" s="1" t="str">
        <f>IF(OR($B88="",AH$7=""),"",IF($B88="MEANS",INDEX('1-DATA'!$1:$1048576,$A87-1,COLUMN('1-DATA'!AG86)),ROUND(INDEX('1-DATA'!$1:$1048576,IF(OR($B88="STD. DEVIATION",$C$1=1),$A88,$A88+1),COLUMN('1-DATA'!AG86)),IF($B88="STD. DEVIATION",2,$F$1))))</f>
        <v/>
      </c>
      <c r="AI88" s="1" t="str">
        <f>IF(OR($B88="",AI$7=""),"",IF($B88="MEANS",INDEX('1-DATA'!$1:$1048576,$A87-1,COLUMN('1-DATA'!AH86)),ROUND(INDEX('1-DATA'!$1:$1048576,IF(OR($B88="STD. DEVIATION",$C$1=1),$A88,$A88+1),COLUMN('1-DATA'!AH86)),IF($B88="STD. DEVIATION",2,$F$1))))</f>
        <v/>
      </c>
      <c r="AJ88" s="1" t="str">
        <f>IF(OR($B88="",AJ$7=""),"",IF($B88="MEANS",INDEX('1-DATA'!$1:$1048576,$A87-1,COLUMN('1-DATA'!AI86)),ROUND(INDEX('1-DATA'!$1:$1048576,IF(OR($B88="STD. DEVIATION",$C$1=1),$A88,$A88+1),COLUMN('1-DATA'!AI86)),IF($B88="STD. DEVIATION",2,$F$1))))</f>
        <v/>
      </c>
      <c r="AK88" s="1" t="str">
        <f>IF(OR($B88="",AK$7=""),"",IF($B88="MEANS",INDEX('1-DATA'!$1:$1048576,$A87-1,COLUMN('1-DATA'!AJ86)),ROUND(INDEX('1-DATA'!$1:$1048576,IF(OR($B88="STD. DEVIATION",$C$1=1),$A88,$A88+1),COLUMN('1-DATA'!AJ86)),IF($B88="STD. DEVIATION",2,$F$1))))</f>
        <v/>
      </c>
      <c r="AL88" s="1" t="str">
        <f>IF(OR($B88="",AL$7=""),"",IF($B88="MEANS",INDEX('1-DATA'!$1:$1048576,$A87-1,COLUMN('1-DATA'!AK86)),ROUND(INDEX('1-DATA'!$1:$1048576,IF(OR($B88="STD. DEVIATION",$C$1=1),$A88,$A88+1),COLUMN('1-DATA'!AK86)),IF($B88="STD. DEVIATION",2,$F$1))))</f>
        <v/>
      </c>
      <c r="AM88" s="1" t="str">
        <f>IF(OR($B88="",AM$7=""),"",IF($B88="MEANS",INDEX('1-DATA'!$1:$1048576,$A87-1,COLUMN('1-DATA'!AL86)),ROUND(INDEX('1-DATA'!$1:$1048576,IF(OR($B88="STD. DEVIATION",$C$1=1),$A88,$A88+1),COLUMN('1-DATA'!AL86)),IF($B88="STD. DEVIATION",2,$F$1))))</f>
        <v/>
      </c>
      <c r="AN88" s="1" t="str">
        <f>IF(OR($B88="",AN$7=""),"",IF($B88="MEANS",INDEX('1-DATA'!$1:$1048576,$A87-1,COLUMN('1-DATA'!AM86)),ROUND(INDEX('1-DATA'!$1:$1048576,IF(OR($B88="STD. DEVIATION",$C$1=1),$A88,$A88+1),COLUMN('1-DATA'!AM86)),IF($B88="STD. DEVIATION",2,$F$1))))</f>
        <v/>
      </c>
      <c r="AO88" s="1" t="str">
        <f>IF(OR($B88="",AO$7=""),"",IF($B88="MEANS",INDEX('1-DATA'!$1:$1048576,$A87-1,COLUMN('1-DATA'!AN86)),ROUND(INDEX('1-DATA'!$1:$1048576,IF(OR($B88="STD. DEVIATION",$C$1=1),$A88,$A88+1),COLUMN('1-DATA'!AN86)),IF($B88="STD. DEVIATION",2,$F$1))))</f>
        <v/>
      </c>
      <c r="AP88" s="1" t="str">
        <f>IF(OR($B88="",AP$7=""),"",IF($B88="MEANS",INDEX('1-DATA'!$1:$1048576,$A87-1,COLUMN('1-DATA'!AO86)),ROUND(INDEX('1-DATA'!$1:$1048576,IF(OR($B88="STD. DEVIATION",$C$1=1),$A88,$A88+1),COLUMN('1-DATA'!AO86)),IF($B88="STD. DEVIATION",2,$F$1))))</f>
        <v/>
      </c>
      <c r="AQ88" s="1" t="str">
        <f>IF(OR($B88="",AQ$7=""),"",IF($B88="MEANS",INDEX('1-DATA'!$1:$1048576,$A87-1,COLUMN('1-DATA'!AP86)),ROUND(INDEX('1-DATA'!$1:$1048576,IF(OR($B88="STD. DEVIATION",$C$1=1),$A88,$A88+1),COLUMN('1-DATA'!AP86)),IF($B88="STD. DEVIATION",2,$F$1))))</f>
        <v/>
      </c>
      <c r="AR88" s="1" t="str">
        <f>IF(OR($B88="",AR$7=""),"",IF($B88="MEANS",INDEX('1-DATA'!$1:$1048576,$A87-1,COLUMN('1-DATA'!AQ86)),ROUND(INDEX('1-DATA'!$1:$1048576,IF(OR($B88="STD. DEVIATION",$C$1=1),$A88,$A88+1),COLUMN('1-DATA'!AQ86)),IF($B88="STD. DEVIATION",2,$F$1))))</f>
        <v/>
      </c>
      <c r="AS88" s="1" t="str">
        <f>IF(OR($B88="",AS$7=""),"",IF($B88="MEANS",INDEX('1-DATA'!$1:$1048576,$A87-1,COLUMN('1-DATA'!AR86)),ROUND(INDEX('1-DATA'!$1:$1048576,IF(OR($B88="STD. DEVIATION",$C$1=1),$A88,$A88+1),COLUMN('1-DATA'!AR86)),IF($B88="STD. DEVIATION",2,$F$1))))</f>
        <v/>
      </c>
      <c r="AT88" s="1" t="str">
        <f>IF(OR($B88="",AT$7=""),"",IF($B88="MEANS",INDEX('1-DATA'!$1:$1048576,$A87-1,COLUMN('1-DATA'!AS86)),ROUND(INDEX('1-DATA'!$1:$1048576,IF(OR($B88="STD. DEVIATION",$C$1=1),$A88,$A88+1),COLUMN('1-DATA'!AS86)),IF($B88="STD. DEVIATION",2,$F$1))))</f>
        <v/>
      </c>
      <c r="AU88" s="1" t="str">
        <f>IF(OR($B88="",AU$7=""),"",IF($B88="MEANS",INDEX('1-DATA'!$1:$1048576,$A87-1,COLUMN('1-DATA'!AT86)),ROUND(INDEX('1-DATA'!$1:$1048576,IF(OR($B88="STD. DEVIATION",$C$1=1),$A88,$A88+1),COLUMN('1-DATA'!AT86)),IF($B88="STD. DEVIATION",2,$F$1))))</f>
        <v/>
      </c>
      <c r="AV88" s="1" t="str">
        <f>IF(OR($B88="",AV$7=""),"",IF($B88="MEANS",INDEX('1-DATA'!$1:$1048576,$A87-1,COLUMN('1-DATA'!AU86)),ROUND(INDEX('1-DATA'!$1:$1048576,IF(OR($B88="STD. DEVIATION",$C$1=1),$A88,$A88+1),COLUMN('1-DATA'!AU86)),IF($B88="STD. DEVIATION",2,$F$1))))</f>
        <v/>
      </c>
      <c r="AW88" s="1" t="str">
        <f>IF(OR($B88="",AW$7=""),"",IF($B88="MEANS",INDEX('1-DATA'!$1:$1048576,$A87-1,COLUMN('1-DATA'!AV86)),ROUND(INDEX('1-DATA'!$1:$1048576,IF(OR($B88="STD. DEVIATION",$C$1=1),$A88,$A88+1),COLUMN('1-DATA'!AV86)),IF($B88="STD. DEVIATION",2,$F$1))))</f>
        <v/>
      </c>
      <c r="AX88" s="1" t="str">
        <f>IF(OR($B88="",AX$7=""),"",IF($B88="MEANS",INDEX('1-DATA'!$1:$1048576,$A87-1,COLUMN('1-DATA'!AW86)),ROUND(INDEX('1-DATA'!$1:$1048576,IF(OR($B88="STD. DEVIATION",$C$1=1),$A88,$A88+1),COLUMN('1-DATA'!AW86)),IF($B88="STD. DEVIATION",2,$F$1))))</f>
        <v/>
      </c>
      <c r="AY88" s="1" t="str">
        <f>IF(OR($B88="",AY$7=""),"",IF($B88="MEANS",INDEX('1-DATA'!$1:$1048576,$A87-1,COLUMN('1-DATA'!AX86)),ROUND(INDEX('1-DATA'!$1:$1048576,IF(OR($B88="STD. DEVIATION",$C$1=1),$A88,$A88+1),COLUMN('1-DATA'!AX86)),IF($B88="STD. DEVIATION",2,$F$1))))</f>
        <v/>
      </c>
      <c r="AZ88" s="1" t="str">
        <f>IF(OR($B88="",AZ$7=""),"",IF($B88="MEANS",INDEX('1-DATA'!$1:$1048576,$A87-1,COLUMN('1-DATA'!AY86)),ROUND(INDEX('1-DATA'!$1:$1048576,IF(OR($B88="STD. DEVIATION",$C$1=1),$A88,$A88+1),COLUMN('1-DATA'!AY86)),IF($B88="STD. DEVIATION",2,$F$1))))</f>
        <v/>
      </c>
    </row>
    <row r="89" spans="1:52" x14ac:dyDescent="0.25">
      <c r="A89" s="11">
        <f t="shared" si="1"/>
        <v>253</v>
      </c>
      <c r="B89" s="1" t="str">
        <f>IF(B88="STD. DEVIATION",INDEX('1-DATA'!$1:$1048576,$A88-1,1),IF(INDEX('1-DATA'!$1:$1048576,$A89,1)&lt;&gt;"",INDEX('1-DATA'!$1:$1048576,$A89,1),""))</f>
        <v/>
      </c>
      <c r="C89" s="1" t="str">
        <f>IF(OR($B89="",C$7=""),"",IF($B89="MEANS",INDEX('1-DATA'!$1:$1048576,$A88-1,COLUMN('1-DATA'!B87)),ROUND(INDEX('1-DATA'!$1:$1048576,IF(OR($B89="STD. DEVIATION",$C$1=1),$A89,$A89+1),COLUMN('1-DATA'!B87)),IF($B89="STD. DEVIATION",2,$F$1))))</f>
        <v/>
      </c>
      <c r="D89" s="1" t="str">
        <f>IF(OR($B89="",D$7=""),"",IF($B89="MEANS",INDEX('1-DATA'!$1:$1048576,$A88-1,COLUMN('1-DATA'!C87)),ROUND(INDEX('1-DATA'!$1:$1048576,IF(OR($B89="STD. DEVIATION",$C$1=1),$A89,$A89+1),COLUMN('1-DATA'!C87)),IF($B89="STD. DEVIATION",2,$F$1))))</f>
        <v/>
      </c>
      <c r="E89" s="1" t="str">
        <f>IF(OR($B89="",E$7=""),"",IF($B89="MEANS",INDEX('1-DATA'!$1:$1048576,$A88-1,COLUMN('1-DATA'!D87)),ROUND(INDEX('1-DATA'!$1:$1048576,IF(OR($B89="STD. DEVIATION",$C$1=1),$A89,$A89+1),COLUMN('1-DATA'!D87)),IF($B89="STD. DEVIATION",2,$F$1))))</f>
        <v/>
      </c>
      <c r="F89" s="1" t="str">
        <f>IF(OR($B89="",F$7=""),"",IF($B89="MEANS",INDEX('1-DATA'!$1:$1048576,$A88-1,COLUMN('1-DATA'!E87)),ROUND(INDEX('1-DATA'!$1:$1048576,IF(OR($B89="STD. DEVIATION",$C$1=1),$A89,$A89+1),COLUMN('1-DATA'!E87)),IF($B89="STD. DEVIATION",2,$F$1))))</f>
        <v/>
      </c>
      <c r="G89" s="1" t="str">
        <f>IF(OR($B89="",G$7=""),"",IF($B89="MEANS",INDEX('1-DATA'!$1:$1048576,$A88-1,COLUMN('1-DATA'!F87)),ROUND(INDEX('1-DATA'!$1:$1048576,IF(OR($B89="STD. DEVIATION",$C$1=1),$A89,$A89+1),COLUMN('1-DATA'!F87)),IF($B89="STD. DEVIATION",2,$F$1))))</f>
        <v/>
      </c>
      <c r="H89" s="1" t="str">
        <f>IF(OR($B89="",H$7=""),"",IF($B89="MEANS",INDEX('1-DATA'!$1:$1048576,$A88-1,COLUMN('1-DATA'!G87)),ROUND(INDEX('1-DATA'!$1:$1048576,IF(OR($B89="STD. DEVIATION",$C$1=1),$A89,$A89+1),COLUMN('1-DATA'!G87)),IF($B89="STD. DEVIATION",2,$F$1))))</f>
        <v/>
      </c>
      <c r="I89" s="1" t="str">
        <f>IF(OR($B89="",I$7=""),"",IF($B89="MEANS",INDEX('1-DATA'!$1:$1048576,$A88-1,COLUMN('1-DATA'!H87)),ROUND(INDEX('1-DATA'!$1:$1048576,IF(OR($B89="STD. DEVIATION",$C$1=1),$A89,$A89+1),COLUMN('1-DATA'!H87)),IF($B89="STD. DEVIATION",2,$F$1))))</f>
        <v/>
      </c>
      <c r="J89" s="1" t="str">
        <f>IF(OR($B89="",J$7=""),"",IF($B89="MEANS",INDEX('1-DATA'!$1:$1048576,$A88-1,COLUMN('1-DATA'!I87)),ROUND(INDEX('1-DATA'!$1:$1048576,IF(OR($B89="STD. DEVIATION",$C$1=1),$A89,$A89+1),COLUMN('1-DATA'!I87)),IF($B89="STD. DEVIATION",2,$F$1))))</f>
        <v/>
      </c>
      <c r="K89" s="1" t="str">
        <f>IF(OR($B89="",K$7=""),"",IF($B89="MEANS",INDEX('1-DATA'!$1:$1048576,$A88-1,COLUMN('1-DATA'!J87)),ROUND(INDEX('1-DATA'!$1:$1048576,IF(OR($B89="STD. DEVIATION",$C$1=1),$A89,$A89+1),COLUMN('1-DATA'!J87)),IF($B89="STD. DEVIATION",2,$F$1))))</f>
        <v/>
      </c>
      <c r="L89" s="1" t="str">
        <f>IF(OR($B89="",L$7=""),"",IF($B89="MEANS",INDEX('1-DATA'!$1:$1048576,$A88-1,COLUMN('1-DATA'!K87)),ROUND(INDEX('1-DATA'!$1:$1048576,IF(OR($B89="STD. DEVIATION",$C$1=1),$A89,$A89+1),COLUMN('1-DATA'!K87)),IF($B89="STD. DEVIATION",2,$F$1))))</f>
        <v/>
      </c>
      <c r="M89" s="1" t="str">
        <f>IF(OR($B89="",M$7=""),"",IF($B89="MEANS",INDEX('1-DATA'!$1:$1048576,$A88-1,COLUMN('1-DATA'!L87)),ROUND(INDEX('1-DATA'!$1:$1048576,IF(OR($B89="STD. DEVIATION",$C$1=1),$A89,$A89+1),COLUMN('1-DATA'!L87)),IF($B89="STD. DEVIATION",2,$F$1))))</f>
        <v/>
      </c>
      <c r="N89" s="1" t="str">
        <f>IF(OR($B89="",N$7=""),"",IF($B89="MEANS",INDEX('1-DATA'!$1:$1048576,$A88-1,COLUMN('1-DATA'!M87)),ROUND(INDEX('1-DATA'!$1:$1048576,IF(OR($B89="STD. DEVIATION",$C$1=1),$A89,$A89+1),COLUMN('1-DATA'!M87)),IF($B89="STD. DEVIATION",2,$F$1))))</f>
        <v/>
      </c>
      <c r="O89" s="1" t="str">
        <f>IF(OR($B89="",O$7=""),"",IF($B89="MEANS",INDEX('1-DATA'!$1:$1048576,$A88-1,COLUMN('1-DATA'!N87)),ROUND(INDEX('1-DATA'!$1:$1048576,IF(OR($B89="STD. DEVIATION",$C$1=1),$A89,$A89+1),COLUMN('1-DATA'!N87)),IF($B89="STD. DEVIATION",2,$F$1))))</f>
        <v/>
      </c>
      <c r="P89" s="1" t="str">
        <f>IF(OR($B89="",P$7=""),"",IF($B89="MEANS",INDEX('1-DATA'!$1:$1048576,$A88-1,COLUMN('1-DATA'!O87)),ROUND(INDEX('1-DATA'!$1:$1048576,IF(OR($B89="STD. DEVIATION",$C$1=1),$A89,$A89+1),COLUMN('1-DATA'!O87)),IF($B89="STD. DEVIATION",2,$F$1))))</f>
        <v/>
      </c>
      <c r="Q89" s="1" t="str">
        <f>IF(OR($B89="",Q$7=""),"",IF($B89="MEANS",INDEX('1-DATA'!$1:$1048576,$A88-1,COLUMN('1-DATA'!P87)),ROUND(INDEX('1-DATA'!$1:$1048576,IF(OR($B89="STD. DEVIATION",$C$1=1),$A89,$A89+1),COLUMN('1-DATA'!P87)),IF($B89="STD. DEVIATION",2,$F$1))))</f>
        <v/>
      </c>
      <c r="R89" s="1" t="str">
        <f>IF(OR($B89="",R$7=""),"",IF($B89="MEANS",INDEX('1-DATA'!$1:$1048576,$A88-1,COLUMN('1-DATA'!Q87)),ROUND(INDEX('1-DATA'!$1:$1048576,IF(OR($B89="STD. DEVIATION",$C$1=1),$A89,$A89+1),COLUMN('1-DATA'!Q87)),IF($B89="STD. DEVIATION",2,$F$1))))</f>
        <v/>
      </c>
      <c r="S89" s="1" t="str">
        <f>IF(OR($B89="",S$7=""),"",IF($B89="MEANS",INDEX('1-DATA'!$1:$1048576,$A88-1,COLUMN('1-DATA'!R87)),ROUND(INDEX('1-DATA'!$1:$1048576,IF(OR($B89="STD. DEVIATION",$C$1=1),$A89,$A89+1),COLUMN('1-DATA'!R87)),IF($B89="STD. DEVIATION",2,$F$1))))</f>
        <v/>
      </c>
      <c r="T89" s="1" t="str">
        <f>IF(OR($B89="",T$7=""),"",IF($B89="MEANS",INDEX('1-DATA'!$1:$1048576,$A88-1,COLUMN('1-DATA'!S87)),ROUND(INDEX('1-DATA'!$1:$1048576,IF(OR($B89="STD. DEVIATION",$C$1=1),$A89,$A89+1),COLUMN('1-DATA'!S87)),IF($B89="STD. DEVIATION",2,$F$1))))</f>
        <v/>
      </c>
      <c r="U89" s="1" t="str">
        <f>IF(OR($B89="",U$7=""),"",IF($B89="MEANS",INDEX('1-DATA'!$1:$1048576,$A88-1,COLUMN('1-DATA'!T87)),ROUND(INDEX('1-DATA'!$1:$1048576,IF(OR($B89="STD. DEVIATION",$C$1=1),$A89,$A89+1),COLUMN('1-DATA'!T87)),IF($B89="STD. DEVIATION",2,$F$1))))</f>
        <v/>
      </c>
      <c r="V89" s="1" t="str">
        <f>IF(OR($B89="",V$7=""),"",IF($B89="MEANS",INDEX('1-DATA'!$1:$1048576,$A88-1,COLUMN('1-DATA'!U87)),ROUND(INDEX('1-DATA'!$1:$1048576,IF(OR($B89="STD. DEVIATION",$C$1=1),$A89,$A89+1),COLUMN('1-DATA'!U87)),IF($B89="STD. DEVIATION",2,$F$1))))</f>
        <v/>
      </c>
      <c r="W89" s="1" t="str">
        <f>IF(OR($B89="",W$7=""),"",IF($B89="MEANS",INDEX('1-DATA'!$1:$1048576,$A88-1,COLUMN('1-DATA'!V87)),ROUND(INDEX('1-DATA'!$1:$1048576,IF(OR($B89="STD. DEVIATION",$C$1=1),$A89,$A89+1),COLUMN('1-DATA'!V87)),IF($B89="STD. DEVIATION",2,$F$1))))</f>
        <v/>
      </c>
      <c r="X89" s="1" t="str">
        <f>IF(OR($B89="",X$7=""),"",IF($B89="MEANS",INDEX('1-DATA'!$1:$1048576,$A88-1,COLUMN('1-DATA'!W87)),ROUND(INDEX('1-DATA'!$1:$1048576,IF(OR($B89="STD. DEVIATION",$C$1=1),$A89,$A89+1),COLUMN('1-DATA'!W87)),IF($B89="STD. DEVIATION",2,$F$1))))</f>
        <v/>
      </c>
      <c r="Y89" s="1" t="str">
        <f>IF(OR($B89="",Y$7=""),"",IF($B89="MEANS",INDEX('1-DATA'!$1:$1048576,$A88-1,COLUMN('1-DATA'!X87)),ROUND(INDEX('1-DATA'!$1:$1048576,IF(OR($B89="STD. DEVIATION",$C$1=1),$A89,$A89+1),COLUMN('1-DATA'!X87)),IF($B89="STD. DEVIATION",2,$F$1))))</f>
        <v/>
      </c>
      <c r="Z89" s="1" t="str">
        <f>IF(OR($B89="",Z$7=""),"",IF($B89="MEANS",INDEX('1-DATA'!$1:$1048576,$A88-1,COLUMN('1-DATA'!Y87)),ROUND(INDEX('1-DATA'!$1:$1048576,IF(OR($B89="STD. DEVIATION",$C$1=1),$A89,$A89+1),COLUMN('1-DATA'!Y87)),IF($B89="STD. DEVIATION",2,$F$1))))</f>
        <v/>
      </c>
      <c r="AA89" s="1" t="str">
        <f>IF(OR($B89="",AA$7=""),"",IF($B89="MEANS",INDEX('1-DATA'!$1:$1048576,$A88-1,COLUMN('1-DATA'!Z87)),ROUND(INDEX('1-DATA'!$1:$1048576,IF(OR($B89="STD. DEVIATION",$C$1=1),$A89,$A89+1),COLUMN('1-DATA'!Z87)),IF($B89="STD. DEVIATION",2,$F$1))))</f>
        <v/>
      </c>
      <c r="AB89" s="1" t="str">
        <f>IF(OR($B89="",AB$7=""),"",IF($B89="MEANS",INDEX('1-DATA'!$1:$1048576,$A88-1,COLUMN('1-DATA'!AA87)),ROUND(INDEX('1-DATA'!$1:$1048576,IF(OR($B89="STD. DEVIATION",$C$1=1),$A89,$A89+1),COLUMN('1-DATA'!AA87)),IF($B89="STD. DEVIATION",2,$F$1))))</f>
        <v/>
      </c>
      <c r="AC89" s="1" t="str">
        <f>IF(OR($B89="",AC$7=""),"",IF($B89="MEANS",INDEX('1-DATA'!$1:$1048576,$A88-1,COLUMN('1-DATA'!AB87)),ROUND(INDEX('1-DATA'!$1:$1048576,IF(OR($B89="STD. DEVIATION",$C$1=1),$A89,$A89+1),COLUMN('1-DATA'!AB87)),IF($B89="STD. DEVIATION",2,$F$1))))</f>
        <v/>
      </c>
      <c r="AD89" s="1" t="str">
        <f>IF(OR($B89="",AD$7=""),"",IF($B89="MEANS",INDEX('1-DATA'!$1:$1048576,$A88-1,COLUMN('1-DATA'!AC87)),ROUND(INDEX('1-DATA'!$1:$1048576,IF(OR($B89="STD. DEVIATION",$C$1=1),$A89,$A89+1),COLUMN('1-DATA'!AC87)),IF($B89="STD. DEVIATION",2,$F$1))))</f>
        <v/>
      </c>
      <c r="AE89" s="1" t="str">
        <f>IF(OR($B89="",AE$7=""),"",IF($B89="MEANS",INDEX('1-DATA'!$1:$1048576,$A88-1,COLUMN('1-DATA'!AD87)),ROUND(INDEX('1-DATA'!$1:$1048576,IF(OR($B89="STD. DEVIATION",$C$1=1),$A89,$A89+1),COLUMN('1-DATA'!AD87)),IF($B89="STD. DEVIATION",2,$F$1))))</f>
        <v/>
      </c>
      <c r="AF89" s="1" t="str">
        <f>IF(OR($B89="",AF$7=""),"",IF($B89="MEANS",INDEX('1-DATA'!$1:$1048576,$A88-1,COLUMN('1-DATA'!AE87)),ROUND(INDEX('1-DATA'!$1:$1048576,IF(OR($B89="STD. DEVIATION",$C$1=1),$A89,$A89+1),COLUMN('1-DATA'!AE87)),IF($B89="STD. DEVIATION",2,$F$1))))</f>
        <v/>
      </c>
      <c r="AG89" s="1" t="str">
        <f>IF(OR($B89="",AG$7=""),"",IF($B89="MEANS",INDEX('1-DATA'!$1:$1048576,$A88-1,COLUMN('1-DATA'!AF87)),ROUND(INDEX('1-DATA'!$1:$1048576,IF(OR($B89="STD. DEVIATION",$C$1=1),$A89,$A89+1),COLUMN('1-DATA'!AF87)),IF($B89="STD. DEVIATION",2,$F$1))))</f>
        <v/>
      </c>
      <c r="AH89" s="1" t="str">
        <f>IF(OR($B89="",AH$7=""),"",IF($B89="MEANS",INDEX('1-DATA'!$1:$1048576,$A88-1,COLUMN('1-DATA'!AG87)),ROUND(INDEX('1-DATA'!$1:$1048576,IF(OR($B89="STD. DEVIATION",$C$1=1),$A89,$A89+1),COLUMN('1-DATA'!AG87)),IF($B89="STD. DEVIATION",2,$F$1))))</f>
        <v/>
      </c>
      <c r="AI89" s="1" t="str">
        <f>IF(OR($B89="",AI$7=""),"",IF($B89="MEANS",INDEX('1-DATA'!$1:$1048576,$A88-1,COLUMN('1-DATA'!AH87)),ROUND(INDEX('1-DATA'!$1:$1048576,IF(OR($B89="STD. DEVIATION",$C$1=1),$A89,$A89+1),COLUMN('1-DATA'!AH87)),IF($B89="STD. DEVIATION",2,$F$1))))</f>
        <v/>
      </c>
      <c r="AJ89" s="1" t="str">
        <f>IF(OR($B89="",AJ$7=""),"",IF($B89="MEANS",INDEX('1-DATA'!$1:$1048576,$A88-1,COLUMN('1-DATA'!AI87)),ROUND(INDEX('1-DATA'!$1:$1048576,IF(OR($B89="STD. DEVIATION",$C$1=1),$A89,$A89+1),COLUMN('1-DATA'!AI87)),IF($B89="STD. DEVIATION",2,$F$1))))</f>
        <v/>
      </c>
      <c r="AK89" s="1" t="str">
        <f>IF(OR($B89="",AK$7=""),"",IF($B89="MEANS",INDEX('1-DATA'!$1:$1048576,$A88-1,COLUMN('1-DATA'!AJ87)),ROUND(INDEX('1-DATA'!$1:$1048576,IF(OR($B89="STD. DEVIATION",$C$1=1),$A89,$A89+1),COLUMN('1-DATA'!AJ87)),IF($B89="STD. DEVIATION",2,$F$1))))</f>
        <v/>
      </c>
      <c r="AL89" s="1" t="str">
        <f>IF(OR($B89="",AL$7=""),"",IF($B89="MEANS",INDEX('1-DATA'!$1:$1048576,$A88-1,COLUMN('1-DATA'!AK87)),ROUND(INDEX('1-DATA'!$1:$1048576,IF(OR($B89="STD. DEVIATION",$C$1=1),$A89,$A89+1),COLUMN('1-DATA'!AK87)),IF($B89="STD. DEVIATION",2,$F$1))))</f>
        <v/>
      </c>
      <c r="AM89" s="1" t="str">
        <f>IF(OR($B89="",AM$7=""),"",IF($B89="MEANS",INDEX('1-DATA'!$1:$1048576,$A88-1,COLUMN('1-DATA'!AL87)),ROUND(INDEX('1-DATA'!$1:$1048576,IF(OR($B89="STD. DEVIATION",$C$1=1),$A89,$A89+1),COLUMN('1-DATA'!AL87)),IF($B89="STD. DEVIATION",2,$F$1))))</f>
        <v/>
      </c>
      <c r="AN89" s="1" t="str">
        <f>IF(OR($B89="",AN$7=""),"",IF($B89="MEANS",INDEX('1-DATA'!$1:$1048576,$A88-1,COLUMN('1-DATA'!AM87)),ROUND(INDEX('1-DATA'!$1:$1048576,IF(OR($B89="STD. DEVIATION",$C$1=1),$A89,$A89+1),COLUMN('1-DATA'!AM87)),IF($B89="STD. DEVIATION",2,$F$1))))</f>
        <v/>
      </c>
      <c r="AO89" s="1" t="str">
        <f>IF(OR($B89="",AO$7=""),"",IF($B89="MEANS",INDEX('1-DATA'!$1:$1048576,$A88-1,COLUMN('1-DATA'!AN87)),ROUND(INDEX('1-DATA'!$1:$1048576,IF(OR($B89="STD. DEVIATION",$C$1=1),$A89,$A89+1),COLUMN('1-DATA'!AN87)),IF($B89="STD. DEVIATION",2,$F$1))))</f>
        <v/>
      </c>
      <c r="AP89" s="1" t="str">
        <f>IF(OR($B89="",AP$7=""),"",IF($B89="MEANS",INDEX('1-DATA'!$1:$1048576,$A88-1,COLUMN('1-DATA'!AO87)),ROUND(INDEX('1-DATA'!$1:$1048576,IF(OR($B89="STD. DEVIATION",$C$1=1),$A89,$A89+1),COLUMN('1-DATA'!AO87)),IF($B89="STD. DEVIATION",2,$F$1))))</f>
        <v/>
      </c>
      <c r="AQ89" s="1" t="str">
        <f>IF(OR($B89="",AQ$7=""),"",IF($B89="MEANS",INDEX('1-DATA'!$1:$1048576,$A88-1,COLUMN('1-DATA'!AP87)),ROUND(INDEX('1-DATA'!$1:$1048576,IF(OR($B89="STD. DEVIATION",$C$1=1),$A89,$A89+1),COLUMN('1-DATA'!AP87)),IF($B89="STD. DEVIATION",2,$F$1))))</f>
        <v/>
      </c>
      <c r="AR89" s="1" t="str">
        <f>IF(OR($B89="",AR$7=""),"",IF($B89="MEANS",INDEX('1-DATA'!$1:$1048576,$A88-1,COLUMN('1-DATA'!AQ87)),ROUND(INDEX('1-DATA'!$1:$1048576,IF(OR($B89="STD. DEVIATION",$C$1=1),$A89,$A89+1),COLUMN('1-DATA'!AQ87)),IF($B89="STD. DEVIATION",2,$F$1))))</f>
        <v/>
      </c>
      <c r="AS89" s="1" t="str">
        <f>IF(OR($B89="",AS$7=""),"",IF($B89="MEANS",INDEX('1-DATA'!$1:$1048576,$A88-1,COLUMN('1-DATA'!AR87)),ROUND(INDEX('1-DATA'!$1:$1048576,IF(OR($B89="STD. DEVIATION",$C$1=1),$A89,$A89+1),COLUMN('1-DATA'!AR87)),IF($B89="STD. DEVIATION",2,$F$1))))</f>
        <v/>
      </c>
      <c r="AT89" s="1" t="str">
        <f>IF(OR($B89="",AT$7=""),"",IF($B89="MEANS",INDEX('1-DATA'!$1:$1048576,$A88-1,COLUMN('1-DATA'!AS87)),ROUND(INDEX('1-DATA'!$1:$1048576,IF(OR($B89="STD. DEVIATION",$C$1=1),$A89,$A89+1),COLUMN('1-DATA'!AS87)),IF($B89="STD. DEVIATION",2,$F$1))))</f>
        <v/>
      </c>
      <c r="AU89" s="1" t="str">
        <f>IF(OR($B89="",AU$7=""),"",IF($B89="MEANS",INDEX('1-DATA'!$1:$1048576,$A88-1,COLUMN('1-DATA'!AT87)),ROUND(INDEX('1-DATA'!$1:$1048576,IF(OR($B89="STD. DEVIATION",$C$1=1),$A89,$A89+1),COLUMN('1-DATA'!AT87)),IF($B89="STD. DEVIATION",2,$F$1))))</f>
        <v/>
      </c>
      <c r="AV89" s="1" t="str">
        <f>IF(OR($B89="",AV$7=""),"",IF($B89="MEANS",INDEX('1-DATA'!$1:$1048576,$A88-1,COLUMN('1-DATA'!AU87)),ROUND(INDEX('1-DATA'!$1:$1048576,IF(OR($B89="STD. DEVIATION",$C$1=1),$A89,$A89+1),COLUMN('1-DATA'!AU87)),IF($B89="STD. DEVIATION",2,$F$1))))</f>
        <v/>
      </c>
      <c r="AW89" s="1" t="str">
        <f>IF(OR($B89="",AW$7=""),"",IF($B89="MEANS",INDEX('1-DATA'!$1:$1048576,$A88-1,COLUMN('1-DATA'!AV87)),ROUND(INDEX('1-DATA'!$1:$1048576,IF(OR($B89="STD. DEVIATION",$C$1=1),$A89,$A89+1),COLUMN('1-DATA'!AV87)),IF($B89="STD. DEVIATION",2,$F$1))))</f>
        <v/>
      </c>
      <c r="AX89" s="1" t="str">
        <f>IF(OR($B89="",AX$7=""),"",IF($B89="MEANS",INDEX('1-DATA'!$1:$1048576,$A88-1,COLUMN('1-DATA'!AW87)),ROUND(INDEX('1-DATA'!$1:$1048576,IF(OR($B89="STD. DEVIATION",$C$1=1),$A89,$A89+1),COLUMN('1-DATA'!AW87)),IF($B89="STD. DEVIATION",2,$F$1))))</f>
        <v/>
      </c>
      <c r="AY89" s="1" t="str">
        <f>IF(OR($B89="",AY$7=""),"",IF($B89="MEANS",INDEX('1-DATA'!$1:$1048576,$A88-1,COLUMN('1-DATA'!AX87)),ROUND(INDEX('1-DATA'!$1:$1048576,IF(OR($B89="STD. DEVIATION",$C$1=1),$A89,$A89+1),COLUMN('1-DATA'!AX87)),IF($B89="STD. DEVIATION",2,$F$1))))</f>
        <v/>
      </c>
      <c r="AZ89" s="1" t="str">
        <f>IF(OR($B89="",AZ$7=""),"",IF($B89="MEANS",INDEX('1-DATA'!$1:$1048576,$A88-1,COLUMN('1-DATA'!AY87)),ROUND(INDEX('1-DATA'!$1:$1048576,IF(OR($B89="STD. DEVIATION",$C$1=1),$A89,$A89+1),COLUMN('1-DATA'!AY87)),IF($B89="STD. DEVIATION",2,$F$1))))</f>
        <v/>
      </c>
    </row>
    <row r="90" spans="1:52" x14ac:dyDescent="0.25">
      <c r="A90" s="11">
        <f t="shared" si="1"/>
        <v>256</v>
      </c>
      <c r="B90" s="1" t="str">
        <f>IF(B89="STD. DEVIATION",INDEX('1-DATA'!$1:$1048576,$A89-1,1),IF(INDEX('1-DATA'!$1:$1048576,$A90,1)&lt;&gt;"",INDEX('1-DATA'!$1:$1048576,$A90,1),""))</f>
        <v/>
      </c>
      <c r="C90" s="1" t="str">
        <f>IF(OR($B90="",C$7=""),"",IF($B90="MEANS",INDEX('1-DATA'!$1:$1048576,$A89-1,COLUMN('1-DATA'!B88)),ROUND(INDEX('1-DATA'!$1:$1048576,IF(OR($B90="STD. DEVIATION",$C$1=1),$A90,$A90+1),COLUMN('1-DATA'!B88)),IF($B90="STD. DEVIATION",2,$F$1))))</f>
        <v/>
      </c>
      <c r="D90" s="1" t="str">
        <f>IF(OR($B90="",D$7=""),"",IF($B90="MEANS",INDEX('1-DATA'!$1:$1048576,$A89-1,COLUMN('1-DATA'!C88)),ROUND(INDEX('1-DATA'!$1:$1048576,IF(OR($B90="STD. DEVIATION",$C$1=1),$A90,$A90+1),COLUMN('1-DATA'!C88)),IF($B90="STD. DEVIATION",2,$F$1))))</f>
        <v/>
      </c>
      <c r="E90" s="1" t="str">
        <f>IF(OR($B90="",E$7=""),"",IF($B90="MEANS",INDEX('1-DATA'!$1:$1048576,$A89-1,COLUMN('1-DATA'!D88)),ROUND(INDEX('1-DATA'!$1:$1048576,IF(OR($B90="STD. DEVIATION",$C$1=1),$A90,$A90+1),COLUMN('1-DATA'!D88)),IF($B90="STD. DEVIATION",2,$F$1))))</f>
        <v/>
      </c>
      <c r="F90" s="1" t="str">
        <f>IF(OR($B90="",F$7=""),"",IF($B90="MEANS",INDEX('1-DATA'!$1:$1048576,$A89-1,COLUMN('1-DATA'!E88)),ROUND(INDEX('1-DATA'!$1:$1048576,IF(OR($B90="STD. DEVIATION",$C$1=1),$A90,$A90+1),COLUMN('1-DATA'!E88)),IF($B90="STD. DEVIATION",2,$F$1))))</f>
        <v/>
      </c>
      <c r="G90" s="1" t="str">
        <f>IF(OR($B90="",G$7=""),"",IF($B90="MEANS",INDEX('1-DATA'!$1:$1048576,$A89-1,COLUMN('1-DATA'!F88)),ROUND(INDEX('1-DATA'!$1:$1048576,IF(OR($B90="STD. DEVIATION",$C$1=1),$A90,$A90+1),COLUMN('1-DATA'!F88)),IF($B90="STD. DEVIATION",2,$F$1))))</f>
        <v/>
      </c>
      <c r="H90" s="1" t="str">
        <f>IF(OR($B90="",H$7=""),"",IF($B90="MEANS",INDEX('1-DATA'!$1:$1048576,$A89-1,COLUMN('1-DATA'!G88)),ROUND(INDEX('1-DATA'!$1:$1048576,IF(OR($B90="STD. DEVIATION",$C$1=1),$A90,$A90+1),COLUMN('1-DATA'!G88)),IF($B90="STD. DEVIATION",2,$F$1))))</f>
        <v/>
      </c>
      <c r="I90" s="1" t="str">
        <f>IF(OR($B90="",I$7=""),"",IF($B90="MEANS",INDEX('1-DATA'!$1:$1048576,$A89-1,COLUMN('1-DATA'!H88)),ROUND(INDEX('1-DATA'!$1:$1048576,IF(OR($B90="STD. DEVIATION",$C$1=1),$A90,$A90+1),COLUMN('1-DATA'!H88)),IF($B90="STD. DEVIATION",2,$F$1))))</f>
        <v/>
      </c>
      <c r="J90" s="1" t="str">
        <f>IF(OR($B90="",J$7=""),"",IF($B90="MEANS",INDEX('1-DATA'!$1:$1048576,$A89-1,COLUMN('1-DATA'!I88)),ROUND(INDEX('1-DATA'!$1:$1048576,IF(OR($B90="STD. DEVIATION",$C$1=1),$A90,$A90+1),COLUMN('1-DATA'!I88)),IF($B90="STD. DEVIATION",2,$F$1))))</f>
        <v/>
      </c>
      <c r="K90" s="1" t="str">
        <f>IF(OR($B90="",K$7=""),"",IF($B90="MEANS",INDEX('1-DATA'!$1:$1048576,$A89-1,COLUMN('1-DATA'!J88)),ROUND(INDEX('1-DATA'!$1:$1048576,IF(OR($B90="STD. DEVIATION",$C$1=1),$A90,$A90+1),COLUMN('1-DATA'!J88)),IF($B90="STD. DEVIATION",2,$F$1))))</f>
        <v/>
      </c>
      <c r="L90" s="1" t="str">
        <f>IF(OR($B90="",L$7=""),"",IF($B90="MEANS",INDEX('1-DATA'!$1:$1048576,$A89-1,COLUMN('1-DATA'!K88)),ROUND(INDEX('1-DATA'!$1:$1048576,IF(OR($B90="STD. DEVIATION",$C$1=1),$A90,$A90+1),COLUMN('1-DATA'!K88)),IF($B90="STD. DEVIATION",2,$F$1))))</f>
        <v/>
      </c>
      <c r="M90" s="1" t="str">
        <f>IF(OR($B90="",M$7=""),"",IF($B90="MEANS",INDEX('1-DATA'!$1:$1048576,$A89-1,COLUMN('1-DATA'!L88)),ROUND(INDEX('1-DATA'!$1:$1048576,IF(OR($B90="STD. DEVIATION",$C$1=1),$A90,$A90+1),COLUMN('1-DATA'!L88)),IF($B90="STD. DEVIATION",2,$F$1))))</f>
        <v/>
      </c>
      <c r="N90" s="1" t="str">
        <f>IF(OR($B90="",N$7=""),"",IF($B90="MEANS",INDEX('1-DATA'!$1:$1048576,$A89-1,COLUMN('1-DATA'!M88)),ROUND(INDEX('1-DATA'!$1:$1048576,IF(OR($B90="STD. DEVIATION",$C$1=1),$A90,$A90+1),COLUMN('1-DATA'!M88)),IF($B90="STD. DEVIATION",2,$F$1))))</f>
        <v/>
      </c>
      <c r="O90" s="1" t="str">
        <f>IF(OR($B90="",O$7=""),"",IF($B90="MEANS",INDEX('1-DATA'!$1:$1048576,$A89-1,COLUMN('1-DATA'!N88)),ROUND(INDEX('1-DATA'!$1:$1048576,IF(OR($B90="STD. DEVIATION",$C$1=1),$A90,$A90+1),COLUMN('1-DATA'!N88)),IF($B90="STD. DEVIATION",2,$F$1))))</f>
        <v/>
      </c>
      <c r="P90" s="1" t="str">
        <f>IF(OR($B90="",P$7=""),"",IF($B90="MEANS",INDEX('1-DATA'!$1:$1048576,$A89-1,COLUMN('1-DATA'!O88)),ROUND(INDEX('1-DATA'!$1:$1048576,IF(OR($B90="STD. DEVIATION",$C$1=1),$A90,$A90+1),COLUMN('1-DATA'!O88)),IF($B90="STD. DEVIATION",2,$F$1))))</f>
        <v/>
      </c>
      <c r="Q90" s="1" t="str">
        <f>IF(OR($B90="",Q$7=""),"",IF($B90="MEANS",INDEX('1-DATA'!$1:$1048576,$A89-1,COLUMN('1-DATA'!P88)),ROUND(INDEX('1-DATA'!$1:$1048576,IF(OR($B90="STD. DEVIATION",$C$1=1),$A90,$A90+1),COLUMN('1-DATA'!P88)),IF($B90="STD. DEVIATION",2,$F$1))))</f>
        <v/>
      </c>
      <c r="R90" s="1" t="str">
        <f>IF(OR($B90="",R$7=""),"",IF($B90="MEANS",INDEX('1-DATA'!$1:$1048576,$A89-1,COLUMN('1-DATA'!Q88)),ROUND(INDEX('1-DATA'!$1:$1048576,IF(OR($B90="STD. DEVIATION",$C$1=1),$A90,$A90+1),COLUMN('1-DATA'!Q88)),IF($B90="STD. DEVIATION",2,$F$1))))</f>
        <v/>
      </c>
      <c r="S90" s="1" t="str">
        <f>IF(OR($B90="",S$7=""),"",IF($B90="MEANS",INDEX('1-DATA'!$1:$1048576,$A89-1,COLUMN('1-DATA'!R88)),ROUND(INDEX('1-DATA'!$1:$1048576,IF(OR($B90="STD. DEVIATION",$C$1=1),$A90,$A90+1),COLUMN('1-DATA'!R88)),IF($B90="STD. DEVIATION",2,$F$1))))</f>
        <v/>
      </c>
      <c r="T90" s="1" t="str">
        <f>IF(OR($B90="",T$7=""),"",IF($B90="MEANS",INDEX('1-DATA'!$1:$1048576,$A89-1,COLUMN('1-DATA'!S88)),ROUND(INDEX('1-DATA'!$1:$1048576,IF(OR($B90="STD. DEVIATION",$C$1=1),$A90,$A90+1),COLUMN('1-DATA'!S88)),IF($B90="STD. DEVIATION",2,$F$1))))</f>
        <v/>
      </c>
      <c r="U90" s="1" t="str">
        <f>IF(OR($B90="",U$7=""),"",IF($B90="MEANS",INDEX('1-DATA'!$1:$1048576,$A89-1,COLUMN('1-DATA'!T88)),ROUND(INDEX('1-DATA'!$1:$1048576,IF(OR($B90="STD. DEVIATION",$C$1=1),$A90,$A90+1),COLUMN('1-DATA'!T88)),IF($B90="STD. DEVIATION",2,$F$1))))</f>
        <v/>
      </c>
      <c r="V90" s="1" t="str">
        <f>IF(OR($B90="",V$7=""),"",IF($B90="MEANS",INDEX('1-DATA'!$1:$1048576,$A89-1,COLUMN('1-DATA'!U88)),ROUND(INDEX('1-DATA'!$1:$1048576,IF(OR($B90="STD. DEVIATION",$C$1=1),$A90,$A90+1),COLUMN('1-DATA'!U88)),IF($B90="STD. DEVIATION",2,$F$1))))</f>
        <v/>
      </c>
      <c r="W90" s="1" t="str">
        <f>IF(OR($B90="",W$7=""),"",IF($B90="MEANS",INDEX('1-DATA'!$1:$1048576,$A89-1,COLUMN('1-DATA'!V88)),ROUND(INDEX('1-DATA'!$1:$1048576,IF(OR($B90="STD. DEVIATION",$C$1=1),$A90,$A90+1),COLUMN('1-DATA'!V88)),IF($B90="STD. DEVIATION",2,$F$1))))</f>
        <v/>
      </c>
      <c r="X90" s="1" t="str">
        <f>IF(OR($B90="",X$7=""),"",IF($B90="MEANS",INDEX('1-DATA'!$1:$1048576,$A89-1,COLUMN('1-DATA'!W88)),ROUND(INDEX('1-DATA'!$1:$1048576,IF(OR($B90="STD. DEVIATION",$C$1=1),$A90,$A90+1),COLUMN('1-DATA'!W88)),IF($B90="STD. DEVIATION",2,$F$1))))</f>
        <v/>
      </c>
      <c r="Y90" s="1" t="str">
        <f>IF(OR($B90="",Y$7=""),"",IF($B90="MEANS",INDEX('1-DATA'!$1:$1048576,$A89-1,COLUMN('1-DATA'!X88)),ROUND(INDEX('1-DATA'!$1:$1048576,IF(OR($B90="STD. DEVIATION",$C$1=1),$A90,$A90+1),COLUMN('1-DATA'!X88)),IF($B90="STD. DEVIATION",2,$F$1))))</f>
        <v/>
      </c>
      <c r="Z90" s="1" t="str">
        <f>IF(OR($B90="",Z$7=""),"",IF($B90="MEANS",INDEX('1-DATA'!$1:$1048576,$A89-1,COLUMN('1-DATA'!Y88)),ROUND(INDEX('1-DATA'!$1:$1048576,IF(OR($B90="STD. DEVIATION",$C$1=1),$A90,$A90+1),COLUMN('1-DATA'!Y88)),IF($B90="STD. DEVIATION",2,$F$1))))</f>
        <v/>
      </c>
      <c r="AA90" s="1" t="str">
        <f>IF(OR($B90="",AA$7=""),"",IF($B90="MEANS",INDEX('1-DATA'!$1:$1048576,$A89-1,COLUMN('1-DATA'!Z88)),ROUND(INDEX('1-DATA'!$1:$1048576,IF(OR($B90="STD. DEVIATION",$C$1=1),$A90,$A90+1),COLUMN('1-DATA'!Z88)),IF($B90="STD. DEVIATION",2,$F$1))))</f>
        <v/>
      </c>
      <c r="AB90" s="1" t="str">
        <f>IF(OR($B90="",AB$7=""),"",IF($B90="MEANS",INDEX('1-DATA'!$1:$1048576,$A89-1,COLUMN('1-DATA'!AA88)),ROUND(INDEX('1-DATA'!$1:$1048576,IF(OR($B90="STD. DEVIATION",$C$1=1),$A90,$A90+1),COLUMN('1-DATA'!AA88)),IF($B90="STD. DEVIATION",2,$F$1))))</f>
        <v/>
      </c>
      <c r="AC90" s="1" t="str">
        <f>IF(OR($B90="",AC$7=""),"",IF($B90="MEANS",INDEX('1-DATA'!$1:$1048576,$A89-1,COLUMN('1-DATA'!AB88)),ROUND(INDEX('1-DATA'!$1:$1048576,IF(OR($B90="STD. DEVIATION",$C$1=1),$A90,$A90+1),COLUMN('1-DATA'!AB88)),IF($B90="STD. DEVIATION",2,$F$1))))</f>
        <v/>
      </c>
      <c r="AD90" s="1" t="str">
        <f>IF(OR($B90="",AD$7=""),"",IF($B90="MEANS",INDEX('1-DATA'!$1:$1048576,$A89-1,COLUMN('1-DATA'!AC88)),ROUND(INDEX('1-DATA'!$1:$1048576,IF(OR($B90="STD. DEVIATION",$C$1=1),$A90,$A90+1),COLUMN('1-DATA'!AC88)),IF($B90="STD. DEVIATION",2,$F$1))))</f>
        <v/>
      </c>
      <c r="AE90" s="1" t="str">
        <f>IF(OR($B90="",AE$7=""),"",IF($B90="MEANS",INDEX('1-DATA'!$1:$1048576,$A89-1,COLUMN('1-DATA'!AD88)),ROUND(INDEX('1-DATA'!$1:$1048576,IF(OR($B90="STD. DEVIATION",$C$1=1),$A90,$A90+1),COLUMN('1-DATA'!AD88)),IF($B90="STD. DEVIATION",2,$F$1))))</f>
        <v/>
      </c>
      <c r="AF90" s="1" t="str">
        <f>IF(OR($B90="",AF$7=""),"",IF($B90="MEANS",INDEX('1-DATA'!$1:$1048576,$A89-1,COLUMN('1-DATA'!AE88)),ROUND(INDEX('1-DATA'!$1:$1048576,IF(OR($B90="STD. DEVIATION",$C$1=1),$A90,$A90+1),COLUMN('1-DATA'!AE88)),IF($B90="STD. DEVIATION",2,$F$1))))</f>
        <v/>
      </c>
      <c r="AG90" s="1" t="str">
        <f>IF(OR($B90="",AG$7=""),"",IF($B90="MEANS",INDEX('1-DATA'!$1:$1048576,$A89-1,COLUMN('1-DATA'!AF88)),ROUND(INDEX('1-DATA'!$1:$1048576,IF(OR($B90="STD. DEVIATION",$C$1=1),$A90,$A90+1),COLUMN('1-DATA'!AF88)),IF($B90="STD. DEVIATION",2,$F$1))))</f>
        <v/>
      </c>
      <c r="AH90" s="1" t="str">
        <f>IF(OR($B90="",AH$7=""),"",IF($B90="MEANS",INDEX('1-DATA'!$1:$1048576,$A89-1,COLUMN('1-DATA'!AG88)),ROUND(INDEX('1-DATA'!$1:$1048576,IF(OR($B90="STD. DEVIATION",$C$1=1),$A90,$A90+1),COLUMN('1-DATA'!AG88)),IF($B90="STD. DEVIATION",2,$F$1))))</f>
        <v/>
      </c>
      <c r="AI90" s="1" t="str">
        <f>IF(OR($B90="",AI$7=""),"",IF($B90="MEANS",INDEX('1-DATA'!$1:$1048576,$A89-1,COLUMN('1-DATA'!AH88)),ROUND(INDEX('1-DATA'!$1:$1048576,IF(OR($B90="STD. DEVIATION",$C$1=1),$A90,$A90+1),COLUMN('1-DATA'!AH88)),IF($B90="STD. DEVIATION",2,$F$1))))</f>
        <v/>
      </c>
      <c r="AJ90" s="1" t="str">
        <f>IF(OR($B90="",AJ$7=""),"",IF($B90="MEANS",INDEX('1-DATA'!$1:$1048576,$A89-1,COLUMN('1-DATA'!AI88)),ROUND(INDEX('1-DATA'!$1:$1048576,IF(OR($B90="STD. DEVIATION",$C$1=1),$A90,$A90+1),COLUMN('1-DATA'!AI88)),IF($B90="STD. DEVIATION",2,$F$1))))</f>
        <v/>
      </c>
      <c r="AK90" s="1" t="str">
        <f>IF(OR($B90="",AK$7=""),"",IF($B90="MEANS",INDEX('1-DATA'!$1:$1048576,$A89-1,COLUMN('1-DATA'!AJ88)),ROUND(INDEX('1-DATA'!$1:$1048576,IF(OR($B90="STD. DEVIATION",$C$1=1),$A90,$A90+1),COLUMN('1-DATA'!AJ88)),IF($B90="STD. DEVIATION",2,$F$1))))</f>
        <v/>
      </c>
      <c r="AL90" s="1" t="str">
        <f>IF(OR($B90="",AL$7=""),"",IF($B90="MEANS",INDEX('1-DATA'!$1:$1048576,$A89-1,COLUMN('1-DATA'!AK88)),ROUND(INDEX('1-DATA'!$1:$1048576,IF(OR($B90="STD. DEVIATION",$C$1=1),$A90,$A90+1),COLUMN('1-DATA'!AK88)),IF($B90="STD. DEVIATION",2,$F$1))))</f>
        <v/>
      </c>
      <c r="AM90" s="1" t="str">
        <f>IF(OR($B90="",AM$7=""),"",IF($B90="MEANS",INDEX('1-DATA'!$1:$1048576,$A89-1,COLUMN('1-DATA'!AL88)),ROUND(INDEX('1-DATA'!$1:$1048576,IF(OR($B90="STD. DEVIATION",$C$1=1),$A90,$A90+1),COLUMN('1-DATA'!AL88)),IF($B90="STD. DEVIATION",2,$F$1))))</f>
        <v/>
      </c>
      <c r="AN90" s="1" t="str">
        <f>IF(OR($B90="",AN$7=""),"",IF($B90="MEANS",INDEX('1-DATA'!$1:$1048576,$A89-1,COLUMN('1-DATA'!AM88)),ROUND(INDEX('1-DATA'!$1:$1048576,IF(OR($B90="STD. DEVIATION",$C$1=1),$A90,$A90+1),COLUMN('1-DATA'!AM88)),IF($B90="STD. DEVIATION",2,$F$1))))</f>
        <v/>
      </c>
      <c r="AO90" s="1" t="str">
        <f>IF(OR($B90="",AO$7=""),"",IF($B90="MEANS",INDEX('1-DATA'!$1:$1048576,$A89-1,COLUMN('1-DATA'!AN88)),ROUND(INDEX('1-DATA'!$1:$1048576,IF(OR($B90="STD. DEVIATION",$C$1=1),$A90,$A90+1),COLUMN('1-DATA'!AN88)),IF($B90="STD. DEVIATION",2,$F$1))))</f>
        <v/>
      </c>
      <c r="AP90" s="1" t="str">
        <f>IF(OR($B90="",AP$7=""),"",IF($B90="MEANS",INDEX('1-DATA'!$1:$1048576,$A89-1,COLUMN('1-DATA'!AO88)),ROUND(INDEX('1-DATA'!$1:$1048576,IF(OR($B90="STD. DEVIATION",$C$1=1),$A90,$A90+1),COLUMN('1-DATA'!AO88)),IF($B90="STD. DEVIATION",2,$F$1))))</f>
        <v/>
      </c>
      <c r="AQ90" s="1" t="str">
        <f>IF(OR($B90="",AQ$7=""),"",IF($B90="MEANS",INDEX('1-DATA'!$1:$1048576,$A89-1,COLUMN('1-DATA'!AP88)),ROUND(INDEX('1-DATA'!$1:$1048576,IF(OR($B90="STD. DEVIATION",$C$1=1),$A90,$A90+1),COLUMN('1-DATA'!AP88)),IF($B90="STD. DEVIATION",2,$F$1))))</f>
        <v/>
      </c>
      <c r="AR90" s="1" t="str">
        <f>IF(OR($B90="",AR$7=""),"",IF($B90="MEANS",INDEX('1-DATA'!$1:$1048576,$A89-1,COLUMN('1-DATA'!AQ88)),ROUND(INDEX('1-DATA'!$1:$1048576,IF(OR($B90="STD. DEVIATION",$C$1=1),$A90,$A90+1),COLUMN('1-DATA'!AQ88)),IF($B90="STD. DEVIATION",2,$F$1))))</f>
        <v/>
      </c>
      <c r="AS90" s="1" t="str">
        <f>IF(OR($B90="",AS$7=""),"",IF($B90="MEANS",INDEX('1-DATA'!$1:$1048576,$A89-1,COLUMN('1-DATA'!AR88)),ROUND(INDEX('1-DATA'!$1:$1048576,IF(OR($B90="STD. DEVIATION",$C$1=1),$A90,$A90+1),COLUMN('1-DATA'!AR88)),IF($B90="STD. DEVIATION",2,$F$1))))</f>
        <v/>
      </c>
      <c r="AT90" s="1" t="str">
        <f>IF(OR($B90="",AT$7=""),"",IF($B90="MEANS",INDEX('1-DATA'!$1:$1048576,$A89-1,COLUMN('1-DATA'!AS88)),ROUND(INDEX('1-DATA'!$1:$1048576,IF(OR($B90="STD. DEVIATION",$C$1=1),$A90,$A90+1),COLUMN('1-DATA'!AS88)),IF($B90="STD. DEVIATION",2,$F$1))))</f>
        <v/>
      </c>
      <c r="AU90" s="1" t="str">
        <f>IF(OR($B90="",AU$7=""),"",IF($B90="MEANS",INDEX('1-DATA'!$1:$1048576,$A89-1,COLUMN('1-DATA'!AT88)),ROUND(INDEX('1-DATA'!$1:$1048576,IF(OR($B90="STD. DEVIATION",$C$1=1),$A90,$A90+1),COLUMN('1-DATA'!AT88)),IF($B90="STD. DEVIATION",2,$F$1))))</f>
        <v/>
      </c>
      <c r="AV90" s="1" t="str">
        <f>IF(OR($B90="",AV$7=""),"",IF($B90="MEANS",INDEX('1-DATA'!$1:$1048576,$A89-1,COLUMN('1-DATA'!AU88)),ROUND(INDEX('1-DATA'!$1:$1048576,IF(OR($B90="STD. DEVIATION",$C$1=1),$A90,$A90+1),COLUMN('1-DATA'!AU88)),IF($B90="STD. DEVIATION",2,$F$1))))</f>
        <v/>
      </c>
      <c r="AW90" s="1" t="str">
        <f>IF(OR($B90="",AW$7=""),"",IF($B90="MEANS",INDEX('1-DATA'!$1:$1048576,$A89-1,COLUMN('1-DATA'!AV88)),ROUND(INDEX('1-DATA'!$1:$1048576,IF(OR($B90="STD. DEVIATION",$C$1=1),$A90,$A90+1),COLUMN('1-DATA'!AV88)),IF($B90="STD. DEVIATION",2,$F$1))))</f>
        <v/>
      </c>
      <c r="AX90" s="1" t="str">
        <f>IF(OR($B90="",AX$7=""),"",IF($B90="MEANS",INDEX('1-DATA'!$1:$1048576,$A89-1,COLUMN('1-DATA'!AW88)),ROUND(INDEX('1-DATA'!$1:$1048576,IF(OR($B90="STD. DEVIATION",$C$1=1),$A90,$A90+1),COLUMN('1-DATA'!AW88)),IF($B90="STD. DEVIATION",2,$F$1))))</f>
        <v/>
      </c>
      <c r="AY90" s="1" t="str">
        <f>IF(OR($B90="",AY$7=""),"",IF($B90="MEANS",INDEX('1-DATA'!$1:$1048576,$A89-1,COLUMN('1-DATA'!AX88)),ROUND(INDEX('1-DATA'!$1:$1048576,IF(OR($B90="STD. DEVIATION",$C$1=1),$A90,$A90+1),COLUMN('1-DATA'!AX88)),IF($B90="STD. DEVIATION",2,$F$1))))</f>
        <v/>
      </c>
      <c r="AZ90" s="1" t="str">
        <f>IF(OR($B90="",AZ$7=""),"",IF($B90="MEANS",INDEX('1-DATA'!$1:$1048576,$A89-1,COLUMN('1-DATA'!AY88)),ROUND(INDEX('1-DATA'!$1:$1048576,IF(OR($B90="STD. DEVIATION",$C$1=1),$A90,$A90+1),COLUMN('1-DATA'!AY88)),IF($B90="STD. DEVIATION",2,$F$1))))</f>
        <v/>
      </c>
    </row>
    <row r="91" spans="1:52" x14ac:dyDescent="0.25">
      <c r="A91" s="11">
        <f t="shared" si="1"/>
        <v>259</v>
      </c>
      <c r="B91" s="1" t="str">
        <f>IF(B90="STD. DEVIATION",INDEX('1-DATA'!$1:$1048576,$A90-1,1),IF(INDEX('1-DATA'!$1:$1048576,$A91,1)&lt;&gt;"",INDEX('1-DATA'!$1:$1048576,$A91,1),""))</f>
        <v/>
      </c>
      <c r="C91" s="1" t="str">
        <f>IF(OR($B91="",C$7=""),"",IF($B91="MEANS",INDEX('1-DATA'!$1:$1048576,$A90-1,COLUMN('1-DATA'!B89)),ROUND(INDEX('1-DATA'!$1:$1048576,IF(OR($B91="STD. DEVIATION",$C$1=1),$A91,$A91+1),COLUMN('1-DATA'!B89)),IF($B91="STD. DEVIATION",2,$F$1))))</f>
        <v/>
      </c>
      <c r="D91" s="1" t="str">
        <f>IF(OR($B91="",D$7=""),"",IF($B91="MEANS",INDEX('1-DATA'!$1:$1048576,$A90-1,COLUMN('1-DATA'!C89)),ROUND(INDEX('1-DATA'!$1:$1048576,IF(OR($B91="STD. DEVIATION",$C$1=1),$A91,$A91+1),COLUMN('1-DATA'!C89)),IF($B91="STD. DEVIATION",2,$F$1))))</f>
        <v/>
      </c>
      <c r="E91" s="1" t="str">
        <f>IF(OR($B91="",E$7=""),"",IF($B91="MEANS",INDEX('1-DATA'!$1:$1048576,$A90-1,COLUMN('1-DATA'!D89)),ROUND(INDEX('1-DATA'!$1:$1048576,IF(OR($B91="STD. DEVIATION",$C$1=1),$A91,$A91+1),COLUMN('1-DATA'!D89)),IF($B91="STD. DEVIATION",2,$F$1))))</f>
        <v/>
      </c>
      <c r="F91" s="1" t="str">
        <f>IF(OR($B91="",F$7=""),"",IF($B91="MEANS",INDEX('1-DATA'!$1:$1048576,$A90-1,COLUMN('1-DATA'!E89)),ROUND(INDEX('1-DATA'!$1:$1048576,IF(OR($B91="STD. DEVIATION",$C$1=1),$A91,$A91+1),COLUMN('1-DATA'!E89)),IF($B91="STD. DEVIATION",2,$F$1))))</f>
        <v/>
      </c>
      <c r="G91" s="1" t="str">
        <f>IF(OR($B91="",G$7=""),"",IF($B91="MEANS",INDEX('1-DATA'!$1:$1048576,$A90-1,COLUMN('1-DATA'!F89)),ROUND(INDEX('1-DATA'!$1:$1048576,IF(OR($B91="STD. DEVIATION",$C$1=1),$A91,$A91+1),COLUMN('1-DATA'!F89)),IF($B91="STD. DEVIATION",2,$F$1))))</f>
        <v/>
      </c>
      <c r="H91" s="1" t="str">
        <f>IF(OR($B91="",H$7=""),"",IF($B91="MEANS",INDEX('1-DATA'!$1:$1048576,$A90-1,COLUMN('1-DATA'!G89)),ROUND(INDEX('1-DATA'!$1:$1048576,IF(OR($B91="STD. DEVIATION",$C$1=1),$A91,$A91+1),COLUMN('1-DATA'!G89)),IF($B91="STD. DEVIATION",2,$F$1))))</f>
        <v/>
      </c>
      <c r="I91" s="1" t="str">
        <f>IF(OR($B91="",I$7=""),"",IF($B91="MEANS",INDEX('1-DATA'!$1:$1048576,$A90-1,COLUMN('1-DATA'!H89)),ROUND(INDEX('1-DATA'!$1:$1048576,IF(OR($B91="STD. DEVIATION",$C$1=1),$A91,$A91+1),COLUMN('1-DATA'!H89)),IF($B91="STD. DEVIATION",2,$F$1))))</f>
        <v/>
      </c>
      <c r="J91" s="1" t="str">
        <f>IF(OR($B91="",J$7=""),"",IF($B91="MEANS",INDEX('1-DATA'!$1:$1048576,$A90-1,COLUMN('1-DATA'!I89)),ROUND(INDEX('1-DATA'!$1:$1048576,IF(OR($B91="STD. DEVIATION",$C$1=1),$A91,$A91+1),COLUMN('1-DATA'!I89)),IF($B91="STD. DEVIATION",2,$F$1))))</f>
        <v/>
      </c>
      <c r="K91" s="1" t="str">
        <f>IF(OR($B91="",K$7=""),"",IF($B91="MEANS",INDEX('1-DATA'!$1:$1048576,$A90-1,COLUMN('1-DATA'!J89)),ROUND(INDEX('1-DATA'!$1:$1048576,IF(OR($B91="STD. DEVIATION",$C$1=1),$A91,$A91+1),COLUMN('1-DATA'!J89)),IF($B91="STD. DEVIATION",2,$F$1))))</f>
        <v/>
      </c>
      <c r="L91" s="1" t="str">
        <f>IF(OR($B91="",L$7=""),"",IF($B91="MEANS",INDEX('1-DATA'!$1:$1048576,$A90-1,COLUMN('1-DATA'!K89)),ROUND(INDEX('1-DATA'!$1:$1048576,IF(OR($B91="STD. DEVIATION",$C$1=1),$A91,$A91+1),COLUMN('1-DATA'!K89)),IF($B91="STD. DEVIATION",2,$F$1))))</f>
        <v/>
      </c>
      <c r="M91" s="1" t="str">
        <f>IF(OR($B91="",M$7=""),"",IF($B91="MEANS",INDEX('1-DATA'!$1:$1048576,$A90-1,COLUMN('1-DATA'!L89)),ROUND(INDEX('1-DATA'!$1:$1048576,IF(OR($B91="STD. DEVIATION",$C$1=1),$A91,$A91+1),COLUMN('1-DATA'!L89)),IF($B91="STD. DEVIATION",2,$F$1))))</f>
        <v/>
      </c>
      <c r="N91" s="1" t="str">
        <f>IF(OR($B91="",N$7=""),"",IF($B91="MEANS",INDEX('1-DATA'!$1:$1048576,$A90-1,COLUMN('1-DATA'!M89)),ROUND(INDEX('1-DATA'!$1:$1048576,IF(OR($B91="STD. DEVIATION",$C$1=1),$A91,$A91+1),COLUMN('1-DATA'!M89)),IF($B91="STD. DEVIATION",2,$F$1))))</f>
        <v/>
      </c>
      <c r="O91" s="1" t="str">
        <f>IF(OR($B91="",O$7=""),"",IF($B91="MEANS",INDEX('1-DATA'!$1:$1048576,$A90-1,COLUMN('1-DATA'!N89)),ROUND(INDEX('1-DATA'!$1:$1048576,IF(OR($B91="STD. DEVIATION",$C$1=1),$A91,$A91+1),COLUMN('1-DATA'!N89)),IF($B91="STD. DEVIATION",2,$F$1))))</f>
        <v/>
      </c>
      <c r="P91" s="1" t="str">
        <f>IF(OR($B91="",P$7=""),"",IF($B91="MEANS",INDEX('1-DATA'!$1:$1048576,$A90-1,COLUMN('1-DATA'!O89)),ROUND(INDEX('1-DATA'!$1:$1048576,IF(OR($B91="STD. DEVIATION",$C$1=1),$A91,$A91+1),COLUMN('1-DATA'!O89)),IF($B91="STD. DEVIATION",2,$F$1))))</f>
        <v/>
      </c>
      <c r="Q91" s="1" t="str">
        <f>IF(OR($B91="",Q$7=""),"",IF($B91="MEANS",INDEX('1-DATA'!$1:$1048576,$A90-1,COLUMN('1-DATA'!P89)),ROUND(INDEX('1-DATA'!$1:$1048576,IF(OR($B91="STD. DEVIATION",$C$1=1),$A91,$A91+1),COLUMN('1-DATA'!P89)),IF($B91="STD. DEVIATION",2,$F$1))))</f>
        <v/>
      </c>
      <c r="R91" s="1" t="str">
        <f>IF(OR($B91="",R$7=""),"",IF($B91="MEANS",INDEX('1-DATA'!$1:$1048576,$A90-1,COLUMN('1-DATA'!Q89)),ROUND(INDEX('1-DATA'!$1:$1048576,IF(OR($B91="STD. DEVIATION",$C$1=1),$A91,$A91+1),COLUMN('1-DATA'!Q89)),IF($B91="STD. DEVIATION",2,$F$1))))</f>
        <v/>
      </c>
      <c r="S91" s="1" t="str">
        <f>IF(OR($B91="",S$7=""),"",IF($B91="MEANS",INDEX('1-DATA'!$1:$1048576,$A90-1,COLUMN('1-DATA'!R89)),ROUND(INDEX('1-DATA'!$1:$1048576,IF(OR($B91="STD. DEVIATION",$C$1=1),$A91,$A91+1),COLUMN('1-DATA'!R89)),IF($B91="STD. DEVIATION",2,$F$1))))</f>
        <v/>
      </c>
      <c r="T91" s="1" t="str">
        <f>IF(OR($B91="",T$7=""),"",IF($B91="MEANS",INDEX('1-DATA'!$1:$1048576,$A90-1,COLUMN('1-DATA'!S89)),ROUND(INDEX('1-DATA'!$1:$1048576,IF(OR($B91="STD. DEVIATION",$C$1=1),$A91,$A91+1),COLUMN('1-DATA'!S89)),IF($B91="STD. DEVIATION",2,$F$1))))</f>
        <v/>
      </c>
      <c r="U91" s="1" t="str">
        <f>IF(OR($B91="",U$7=""),"",IF($B91="MEANS",INDEX('1-DATA'!$1:$1048576,$A90-1,COLUMN('1-DATA'!T89)),ROUND(INDEX('1-DATA'!$1:$1048576,IF(OR($B91="STD. DEVIATION",$C$1=1),$A91,$A91+1),COLUMN('1-DATA'!T89)),IF($B91="STD. DEVIATION",2,$F$1))))</f>
        <v/>
      </c>
      <c r="V91" s="1" t="str">
        <f>IF(OR($B91="",V$7=""),"",IF($B91="MEANS",INDEX('1-DATA'!$1:$1048576,$A90-1,COLUMN('1-DATA'!U89)),ROUND(INDEX('1-DATA'!$1:$1048576,IF(OR($B91="STD. DEVIATION",$C$1=1),$A91,$A91+1),COLUMN('1-DATA'!U89)),IF($B91="STD. DEVIATION",2,$F$1))))</f>
        <v/>
      </c>
      <c r="W91" s="1" t="str">
        <f>IF(OR($B91="",W$7=""),"",IF($B91="MEANS",INDEX('1-DATA'!$1:$1048576,$A90-1,COLUMN('1-DATA'!V89)),ROUND(INDEX('1-DATA'!$1:$1048576,IF(OR($B91="STD. DEVIATION",$C$1=1),$A91,$A91+1),COLUMN('1-DATA'!V89)),IF($B91="STD. DEVIATION",2,$F$1))))</f>
        <v/>
      </c>
      <c r="X91" s="1" t="str">
        <f>IF(OR($B91="",X$7=""),"",IF($B91="MEANS",INDEX('1-DATA'!$1:$1048576,$A90-1,COLUMN('1-DATA'!W89)),ROUND(INDEX('1-DATA'!$1:$1048576,IF(OR($B91="STD. DEVIATION",$C$1=1),$A91,$A91+1),COLUMN('1-DATA'!W89)),IF($B91="STD. DEVIATION",2,$F$1))))</f>
        <v/>
      </c>
      <c r="Y91" s="1" t="str">
        <f>IF(OR($B91="",Y$7=""),"",IF($B91="MEANS",INDEX('1-DATA'!$1:$1048576,$A90-1,COLUMN('1-DATA'!X89)),ROUND(INDEX('1-DATA'!$1:$1048576,IF(OR($B91="STD. DEVIATION",$C$1=1),$A91,$A91+1),COLUMN('1-DATA'!X89)),IF($B91="STD. DEVIATION",2,$F$1))))</f>
        <v/>
      </c>
      <c r="Z91" s="1" t="str">
        <f>IF(OR($B91="",Z$7=""),"",IF($B91="MEANS",INDEX('1-DATA'!$1:$1048576,$A90-1,COLUMN('1-DATA'!Y89)),ROUND(INDEX('1-DATA'!$1:$1048576,IF(OR($B91="STD. DEVIATION",$C$1=1),$A91,$A91+1),COLUMN('1-DATA'!Y89)),IF($B91="STD. DEVIATION",2,$F$1))))</f>
        <v/>
      </c>
      <c r="AA91" s="1" t="str">
        <f>IF(OR($B91="",AA$7=""),"",IF($B91="MEANS",INDEX('1-DATA'!$1:$1048576,$A90-1,COLUMN('1-DATA'!Z89)),ROUND(INDEX('1-DATA'!$1:$1048576,IF(OR($B91="STD. DEVIATION",$C$1=1),$A91,$A91+1),COLUMN('1-DATA'!Z89)),IF($B91="STD. DEVIATION",2,$F$1))))</f>
        <v/>
      </c>
      <c r="AB91" s="1" t="str">
        <f>IF(OR($B91="",AB$7=""),"",IF($B91="MEANS",INDEX('1-DATA'!$1:$1048576,$A90-1,COLUMN('1-DATA'!AA89)),ROUND(INDEX('1-DATA'!$1:$1048576,IF(OR($B91="STD. DEVIATION",$C$1=1),$A91,$A91+1),COLUMN('1-DATA'!AA89)),IF($B91="STD. DEVIATION",2,$F$1))))</f>
        <v/>
      </c>
      <c r="AC91" s="1" t="str">
        <f>IF(OR($B91="",AC$7=""),"",IF($B91="MEANS",INDEX('1-DATA'!$1:$1048576,$A90-1,COLUMN('1-DATA'!AB89)),ROUND(INDEX('1-DATA'!$1:$1048576,IF(OR($B91="STD. DEVIATION",$C$1=1),$A91,$A91+1),COLUMN('1-DATA'!AB89)),IF($B91="STD. DEVIATION",2,$F$1))))</f>
        <v/>
      </c>
      <c r="AD91" s="1" t="str">
        <f>IF(OR($B91="",AD$7=""),"",IF($B91="MEANS",INDEX('1-DATA'!$1:$1048576,$A90-1,COLUMN('1-DATA'!AC89)),ROUND(INDEX('1-DATA'!$1:$1048576,IF(OR($B91="STD. DEVIATION",$C$1=1),$A91,$A91+1),COLUMN('1-DATA'!AC89)),IF($B91="STD. DEVIATION",2,$F$1))))</f>
        <v/>
      </c>
      <c r="AE91" s="1" t="str">
        <f>IF(OR($B91="",AE$7=""),"",IF($B91="MEANS",INDEX('1-DATA'!$1:$1048576,$A90-1,COLUMN('1-DATA'!AD89)),ROUND(INDEX('1-DATA'!$1:$1048576,IF(OR($B91="STD. DEVIATION",$C$1=1),$A91,$A91+1),COLUMN('1-DATA'!AD89)),IF($B91="STD. DEVIATION",2,$F$1))))</f>
        <v/>
      </c>
      <c r="AF91" s="1" t="str">
        <f>IF(OR($B91="",AF$7=""),"",IF($B91="MEANS",INDEX('1-DATA'!$1:$1048576,$A90-1,COLUMN('1-DATA'!AE89)),ROUND(INDEX('1-DATA'!$1:$1048576,IF(OR($B91="STD. DEVIATION",$C$1=1),$A91,$A91+1),COLUMN('1-DATA'!AE89)),IF($B91="STD. DEVIATION",2,$F$1))))</f>
        <v/>
      </c>
      <c r="AG91" s="1" t="str">
        <f>IF(OR($B91="",AG$7=""),"",IF($B91="MEANS",INDEX('1-DATA'!$1:$1048576,$A90-1,COLUMN('1-DATA'!AF89)),ROUND(INDEX('1-DATA'!$1:$1048576,IF(OR($B91="STD. DEVIATION",$C$1=1),$A91,$A91+1),COLUMN('1-DATA'!AF89)),IF($B91="STD. DEVIATION",2,$F$1))))</f>
        <v/>
      </c>
      <c r="AH91" s="1" t="str">
        <f>IF(OR($B91="",AH$7=""),"",IF($B91="MEANS",INDEX('1-DATA'!$1:$1048576,$A90-1,COLUMN('1-DATA'!AG89)),ROUND(INDEX('1-DATA'!$1:$1048576,IF(OR($B91="STD. DEVIATION",$C$1=1),$A91,$A91+1),COLUMN('1-DATA'!AG89)),IF($B91="STD. DEVIATION",2,$F$1))))</f>
        <v/>
      </c>
      <c r="AI91" s="1" t="str">
        <f>IF(OR($B91="",AI$7=""),"",IF($B91="MEANS",INDEX('1-DATA'!$1:$1048576,$A90-1,COLUMN('1-DATA'!AH89)),ROUND(INDEX('1-DATA'!$1:$1048576,IF(OR($B91="STD. DEVIATION",$C$1=1),$A91,$A91+1),COLUMN('1-DATA'!AH89)),IF($B91="STD. DEVIATION",2,$F$1))))</f>
        <v/>
      </c>
      <c r="AJ91" s="1" t="str">
        <f>IF(OR($B91="",AJ$7=""),"",IF($B91="MEANS",INDEX('1-DATA'!$1:$1048576,$A90-1,COLUMN('1-DATA'!AI89)),ROUND(INDEX('1-DATA'!$1:$1048576,IF(OR($B91="STD. DEVIATION",$C$1=1),$A91,$A91+1),COLUMN('1-DATA'!AI89)),IF($B91="STD. DEVIATION",2,$F$1))))</f>
        <v/>
      </c>
      <c r="AK91" s="1" t="str">
        <f>IF(OR($B91="",AK$7=""),"",IF($B91="MEANS",INDEX('1-DATA'!$1:$1048576,$A90-1,COLUMN('1-DATA'!AJ89)),ROUND(INDEX('1-DATA'!$1:$1048576,IF(OR($B91="STD. DEVIATION",$C$1=1),$A91,$A91+1),COLUMN('1-DATA'!AJ89)),IF($B91="STD. DEVIATION",2,$F$1))))</f>
        <v/>
      </c>
      <c r="AL91" s="1" t="str">
        <f>IF(OR($B91="",AL$7=""),"",IF($B91="MEANS",INDEX('1-DATA'!$1:$1048576,$A90-1,COLUMN('1-DATA'!AK89)),ROUND(INDEX('1-DATA'!$1:$1048576,IF(OR($B91="STD. DEVIATION",$C$1=1),$A91,$A91+1),COLUMN('1-DATA'!AK89)),IF($B91="STD. DEVIATION",2,$F$1))))</f>
        <v/>
      </c>
      <c r="AM91" s="1" t="str">
        <f>IF(OR($B91="",AM$7=""),"",IF($B91="MEANS",INDEX('1-DATA'!$1:$1048576,$A90-1,COLUMN('1-DATA'!AL89)),ROUND(INDEX('1-DATA'!$1:$1048576,IF(OR($B91="STD. DEVIATION",$C$1=1),$A91,$A91+1),COLUMN('1-DATA'!AL89)),IF($B91="STD. DEVIATION",2,$F$1))))</f>
        <v/>
      </c>
      <c r="AN91" s="1" t="str">
        <f>IF(OR($B91="",AN$7=""),"",IF($B91="MEANS",INDEX('1-DATA'!$1:$1048576,$A90-1,COLUMN('1-DATA'!AM89)),ROUND(INDEX('1-DATA'!$1:$1048576,IF(OR($B91="STD. DEVIATION",$C$1=1),$A91,$A91+1),COLUMN('1-DATA'!AM89)),IF($B91="STD. DEVIATION",2,$F$1))))</f>
        <v/>
      </c>
      <c r="AO91" s="1" t="str">
        <f>IF(OR($B91="",AO$7=""),"",IF($B91="MEANS",INDEX('1-DATA'!$1:$1048576,$A90-1,COLUMN('1-DATA'!AN89)),ROUND(INDEX('1-DATA'!$1:$1048576,IF(OR($B91="STD. DEVIATION",$C$1=1),$A91,$A91+1),COLUMN('1-DATA'!AN89)),IF($B91="STD. DEVIATION",2,$F$1))))</f>
        <v/>
      </c>
      <c r="AP91" s="1" t="str">
        <f>IF(OR($B91="",AP$7=""),"",IF($B91="MEANS",INDEX('1-DATA'!$1:$1048576,$A90-1,COLUMN('1-DATA'!AO89)),ROUND(INDEX('1-DATA'!$1:$1048576,IF(OR($B91="STD. DEVIATION",$C$1=1),$A91,$A91+1),COLUMN('1-DATA'!AO89)),IF($B91="STD. DEVIATION",2,$F$1))))</f>
        <v/>
      </c>
      <c r="AQ91" s="1" t="str">
        <f>IF(OR($B91="",AQ$7=""),"",IF($B91="MEANS",INDEX('1-DATA'!$1:$1048576,$A90-1,COLUMN('1-DATA'!AP89)),ROUND(INDEX('1-DATA'!$1:$1048576,IF(OR($B91="STD. DEVIATION",$C$1=1),$A91,$A91+1),COLUMN('1-DATA'!AP89)),IF($B91="STD. DEVIATION",2,$F$1))))</f>
        <v/>
      </c>
      <c r="AR91" s="1" t="str">
        <f>IF(OR($B91="",AR$7=""),"",IF($B91="MEANS",INDEX('1-DATA'!$1:$1048576,$A90-1,COLUMN('1-DATA'!AQ89)),ROUND(INDEX('1-DATA'!$1:$1048576,IF(OR($B91="STD. DEVIATION",$C$1=1),$A91,$A91+1),COLUMN('1-DATA'!AQ89)),IF($B91="STD. DEVIATION",2,$F$1))))</f>
        <v/>
      </c>
      <c r="AS91" s="1" t="str">
        <f>IF(OR($B91="",AS$7=""),"",IF($B91="MEANS",INDEX('1-DATA'!$1:$1048576,$A90-1,COLUMN('1-DATA'!AR89)),ROUND(INDEX('1-DATA'!$1:$1048576,IF(OR($B91="STD. DEVIATION",$C$1=1),$A91,$A91+1),COLUMN('1-DATA'!AR89)),IF($B91="STD. DEVIATION",2,$F$1))))</f>
        <v/>
      </c>
      <c r="AT91" s="1" t="str">
        <f>IF(OR($B91="",AT$7=""),"",IF($B91="MEANS",INDEX('1-DATA'!$1:$1048576,$A90-1,COLUMN('1-DATA'!AS89)),ROUND(INDEX('1-DATA'!$1:$1048576,IF(OR($B91="STD. DEVIATION",$C$1=1),$A91,$A91+1),COLUMN('1-DATA'!AS89)),IF($B91="STD. DEVIATION",2,$F$1))))</f>
        <v/>
      </c>
      <c r="AU91" s="1" t="str">
        <f>IF(OR($B91="",AU$7=""),"",IF($B91="MEANS",INDEX('1-DATA'!$1:$1048576,$A90-1,COLUMN('1-DATA'!AT89)),ROUND(INDEX('1-DATA'!$1:$1048576,IF(OR($B91="STD. DEVIATION",$C$1=1),$A91,$A91+1),COLUMN('1-DATA'!AT89)),IF($B91="STD. DEVIATION",2,$F$1))))</f>
        <v/>
      </c>
      <c r="AV91" s="1" t="str">
        <f>IF(OR($B91="",AV$7=""),"",IF($B91="MEANS",INDEX('1-DATA'!$1:$1048576,$A90-1,COLUMN('1-DATA'!AU89)),ROUND(INDEX('1-DATA'!$1:$1048576,IF(OR($B91="STD. DEVIATION",$C$1=1),$A91,$A91+1),COLUMN('1-DATA'!AU89)),IF($B91="STD. DEVIATION",2,$F$1))))</f>
        <v/>
      </c>
      <c r="AW91" s="1" t="str">
        <f>IF(OR($B91="",AW$7=""),"",IF($B91="MEANS",INDEX('1-DATA'!$1:$1048576,$A90-1,COLUMN('1-DATA'!AV89)),ROUND(INDEX('1-DATA'!$1:$1048576,IF(OR($B91="STD. DEVIATION",$C$1=1),$A91,$A91+1),COLUMN('1-DATA'!AV89)),IF($B91="STD. DEVIATION",2,$F$1))))</f>
        <v/>
      </c>
      <c r="AX91" s="1" t="str">
        <f>IF(OR($B91="",AX$7=""),"",IF($B91="MEANS",INDEX('1-DATA'!$1:$1048576,$A90-1,COLUMN('1-DATA'!AW89)),ROUND(INDEX('1-DATA'!$1:$1048576,IF(OR($B91="STD. DEVIATION",$C$1=1),$A91,$A91+1),COLUMN('1-DATA'!AW89)),IF($B91="STD. DEVIATION",2,$F$1))))</f>
        <v/>
      </c>
      <c r="AY91" s="1" t="str">
        <f>IF(OR($B91="",AY$7=""),"",IF($B91="MEANS",INDEX('1-DATA'!$1:$1048576,$A90-1,COLUMN('1-DATA'!AX89)),ROUND(INDEX('1-DATA'!$1:$1048576,IF(OR($B91="STD. DEVIATION",$C$1=1),$A91,$A91+1),COLUMN('1-DATA'!AX89)),IF($B91="STD. DEVIATION",2,$F$1))))</f>
        <v/>
      </c>
      <c r="AZ91" s="1" t="str">
        <f>IF(OR($B91="",AZ$7=""),"",IF($B91="MEANS",INDEX('1-DATA'!$1:$1048576,$A90-1,COLUMN('1-DATA'!AY89)),ROUND(INDEX('1-DATA'!$1:$1048576,IF(OR($B91="STD. DEVIATION",$C$1=1),$A91,$A91+1),COLUMN('1-DATA'!AY89)),IF($B91="STD. DEVIATION",2,$F$1))))</f>
        <v/>
      </c>
    </row>
    <row r="92" spans="1:52" x14ac:dyDescent="0.25">
      <c r="A92" s="11">
        <f t="shared" si="1"/>
        <v>262</v>
      </c>
      <c r="B92" s="1" t="str">
        <f>IF(B91="STD. DEVIATION",INDEX('1-DATA'!$1:$1048576,$A91-1,1),IF(INDEX('1-DATA'!$1:$1048576,$A92,1)&lt;&gt;"",INDEX('1-DATA'!$1:$1048576,$A92,1),""))</f>
        <v/>
      </c>
      <c r="C92" s="1" t="str">
        <f>IF(OR($B92="",C$7=""),"",IF($B92="MEANS",INDEX('1-DATA'!$1:$1048576,$A91-1,COLUMN('1-DATA'!B90)),ROUND(INDEX('1-DATA'!$1:$1048576,IF(OR($B92="STD. DEVIATION",$C$1=1),$A92,$A92+1),COLUMN('1-DATA'!B90)),IF($B92="STD. DEVIATION",2,$F$1))))</f>
        <v/>
      </c>
      <c r="D92" s="1" t="str">
        <f>IF(OR($B92="",D$7=""),"",IF($B92="MEANS",INDEX('1-DATA'!$1:$1048576,$A91-1,COLUMN('1-DATA'!C90)),ROUND(INDEX('1-DATA'!$1:$1048576,IF(OR($B92="STD. DEVIATION",$C$1=1),$A92,$A92+1),COLUMN('1-DATA'!C90)),IF($B92="STD. DEVIATION",2,$F$1))))</f>
        <v/>
      </c>
      <c r="E92" s="1" t="str">
        <f>IF(OR($B92="",E$7=""),"",IF($B92="MEANS",INDEX('1-DATA'!$1:$1048576,$A91-1,COLUMN('1-DATA'!D90)),ROUND(INDEX('1-DATA'!$1:$1048576,IF(OR($B92="STD. DEVIATION",$C$1=1),$A92,$A92+1),COLUMN('1-DATA'!D90)),IF($B92="STD. DEVIATION",2,$F$1))))</f>
        <v/>
      </c>
      <c r="F92" s="1" t="str">
        <f>IF(OR($B92="",F$7=""),"",IF($B92="MEANS",INDEX('1-DATA'!$1:$1048576,$A91-1,COLUMN('1-DATA'!E90)),ROUND(INDEX('1-DATA'!$1:$1048576,IF(OR($B92="STD. DEVIATION",$C$1=1),$A92,$A92+1),COLUMN('1-DATA'!E90)),IF($B92="STD. DEVIATION",2,$F$1))))</f>
        <v/>
      </c>
      <c r="G92" s="1" t="str">
        <f>IF(OR($B92="",G$7=""),"",IF($B92="MEANS",INDEX('1-DATA'!$1:$1048576,$A91-1,COLUMN('1-DATA'!F90)),ROUND(INDEX('1-DATA'!$1:$1048576,IF(OR($B92="STD. DEVIATION",$C$1=1),$A92,$A92+1),COLUMN('1-DATA'!F90)),IF($B92="STD. DEVIATION",2,$F$1))))</f>
        <v/>
      </c>
      <c r="H92" s="1" t="str">
        <f>IF(OR($B92="",H$7=""),"",IF($B92="MEANS",INDEX('1-DATA'!$1:$1048576,$A91-1,COLUMN('1-DATA'!G90)),ROUND(INDEX('1-DATA'!$1:$1048576,IF(OR($B92="STD. DEVIATION",$C$1=1),$A92,$A92+1),COLUMN('1-DATA'!G90)),IF($B92="STD. DEVIATION",2,$F$1))))</f>
        <v/>
      </c>
      <c r="I92" s="1" t="str">
        <f>IF(OR($B92="",I$7=""),"",IF($B92="MEANS",INDEX('1-DATA'!$1:$1048576,$A91-1,COLUMN('1-DATA'!H90)),ROUND(INDEX('1-DATA'!$1:$1048576,IF(OR($B92="STD. DEVIATION",$C$1=1),$A92,$A92+1),COLUMN('1-DATA'!H90)),IF($B92="STD. DEVIATION",2,$F$1))))</f>
        <v/>
      </c>
      <c r="J92" s="1" t="str">
        <f>IF(OR($B92="",J$7=""),"",IF($B92="MEANS",INDEX('1-DATA'!$1:$1048576,$A91-1,COLUMN('1-DATA'!I90)),ROUND(INDEX('1-DATA'!$1:$1048576,IF(OR($B92="STD. DEVIATION",$C$1=1),$A92,$A92+1),COLUMN('1-DATA'!I90)),IF($B92="STD. DEVIATION",2,$F$1))))</f>
        <v/>
      </c>
      <c r="K92" s="1" t="str">
        <f>IF(OR($B92="",K$7=""),"",IF($B92="MEANS",INDEX('1-DATA'!$1:$1048576,$A91-1,COLUMN('1-DATA'!J90)),ROUND(INDEX('1-DATA'!$1:$1048576,IF(OR($B92="STD. DEVIATION",$C$1=1),$A92,$A92+1),COLUMN('1-DATA'!J90)),IF($B92="STD. DEVIATION",2,$F$1))))</f>
        <v/>
      </c>
      <c r="L92" s="1" t="str">
        <f>IF(OR($B92="",L$7=""),"",IF($B92="MEANS",INDEX('1-DATA'!$1:$1048576,$A91-1,COLUMN('1-DATA'!K90)),ROUND(INDEX('1-DATA'!$1:$1048576,IF(OR($B92="STD. DEVIATION",$C$1=1),$A92,$A92+1),COLUMN('1-DATA'!K90)),IF($B92="STD. DEVIATION",2,$F$1))))</f>
        <v/>
      </c>
      <c r="M92" s="1" t="str">
        <f>IF(OR($B92="",M$7=""),"",IF($B92="MEANS",INDEX('1-DATA'!$1:$1048576,$A91-1,COLUMN('1-DATA'!L90)),ROUND(INDEX('1-DATA'!$1:$1048576,IF(OR($B92="STD. DEVIATION",$C$1=1),$A92,$A92+1),COLUMN('1-DATA'!L90)),IF($B92="STD. DEVIATION",2,$F$1))))</f>
        <v/>
      </c>
      <c r="N92" s="1" t="str">
        <f>IF(OR($B92="",N$7=""),"",IF($B92="MEANS",INDEX('1-DATA'!$1:$1048576,$A91-1,COLUMN('1-DATA'!M90)),ROUND(INDEX('1-DATA'!$1:$1048576,IF(OR($B92="STD. DEVIATION",$C$1=1),$A92,$A92+1),COLUMN('1-DATA'!M90)),IF($B92="STD. DEVIATION",2,$F$1))))</f>
        <v/>
      </c>
      <c r="O92" s="1" t="str">
        <f>IF(OR($B92="",O$7=""),"",IF($B92="MEANS",INDEX('1-DATA'!$1:$1048576,$A91-1,COLUMN('1-DATA'!N90)),ROUND(INDEX('1-DATA'!$1:$1048576,IF(OR($B92="STD. DEVIATION",$C$1=1),$A92,$A92+1),COLUMN('1-DATA'!N90)),IF($B92="STD. DEVIATION",2,$F$1))))</f>
        <v/>
      </c>
      <c r="P92" s="1" t="str">
        <f>IF(OR($B92="",P$7=""),"",IF($B92="MEANS",INDEX('1-DATA'!$1:$1048576,$A91-1,COLUMN('1-DATA'!O90)),ROUND(INDEX('1-DATA'!$1:$1048576,IF(OR($B92="STD. DEVIATION",$C$1=1),$A92,$A92+1),COLUMN('1-DATA'!O90)),IF($B92="STD. DEVIATION",2,$F$1))))</f>
        <v/>
      </c>
      <c r="Q92" s="1" t="str">
        <f>IF(OR($B92="",Q$7=""),"",IF($B92="MEANS",INDEX('1-DATA'!$1:$1048576,$A91-1,COLUMN('1-DATA'!P90)),ROUND(INDEX('1-DATA'!$1:$1048576,IF(OR($B92="STD. DEVIATION",$C$1=1),$A92,$A92+1),COLUMN('1-DATA'!P90)),IF($B92="STD. DEVIATION",2,$F$1))))</f>
        <v/>
      </c>
      <c r="R92" s="1" t="str">
        <f>IF(OR($B92="",R$7=""),"",IF($B92="MEANS",INDEX('1-DATA'!$1:$1048576,$A91-1,COLUMN('1-DATA'!Q90)),ROUND(INDEX('1-DATA'!$1:$1048576,IF(OR($B92="STD. DEVIATION",$C$1=1),$A92,$A92+1),COLUMN('1-DATA'!Q90)),IF($B92="STD. DEVIATION",2,$F$1))))</f>
        <v/>
      </c>
      <c r="S92" s="1" t="str">
        <f>IF(OR($B92="",S$7=""),"",IF($B92="MEANS",INDEX('1-DATA'!$1:$1048576,$A91-1,COLUMN('1-DATA'!R90)),ROUND(INDEX('1-DATA'!$1:$1048576,IF(OR($B92="STD. DEVIATION",$C$1=1),$A92,$A92+1),COLUMN('1-DATA'!R90)),IF($B92="STD. DEVIATION",2,$F$1))))</f>
        <v/>
      </c>
      <c r="T92" s="1" t="str">
        <f>IF(OR($B92="",T$7=""),"",IF($B92="MEANS",INDEX('1-DATA'!$1:$1048576,$A91-1,COLUMN('1-DATA'!S90)),ROUND(INDEX('1-DATA'!$1:$1048576,IF(OR($B92="STD. DEVIATION",$C$1=1),$A92,$A92+1),COLUMN('1-DATA'!S90)),IF($B92="STD. DEVIATION",2,$F$1))))</f>
        <v/>
      </c>
      <c r="U92" s="1" t="str">
        <f>IF(OR($B92="",U$7=""),"",IF($B92="MEANS",INDEX('1-DATA'!$1:$1048576,$A91-1,COLUMN('1-DATA'!T90)),ROUND(INDEX('1-DATA'!$1:$1048576,IF(OR($B92="STD. DEVIATION",$C$1=1),$A92,$A92+1),COLUMN('1-DATA'!T90)),IF($B92="STD. DEVIATION",2,$F$1))))</f>
        <v/>
      </c>
      <c r="V92" s="1" t="str">
        <f>IF(OR($B92="",V$7=""),"",IF($B92="MEANS",INDEX('1-DATA'!$1:$1048576,$A91-1,COLUMN('1-DATA'!U90)),ROUND(INDEX('1-DATA'!$1:$1048576,IF(OR($B92="STD. DEVIATION",$C$1=1),$A92,$A92+1),COLUMN('1-DATA'!U90)),IF($B92="STD. DEVIATION",2,$F$1))))</f>
        <v/>
      </c>
      <c r="W92" s="1" t="str">
        <f>IF(OR($B92="",W$7=""),"",IF($B92="MEANS",INDEX('1-DATA'!$1:$1048576,$A91-1,COLUMN('1-DATA'!V90)),ROUND(INDEX('1-DATA'!$1:$1048576,IF(OR($B92="STD. DEVIATION",$C$1=1),$A92,$A92+1),COLUMN('1-DATA'!V90)),IF($B92="STD. DEVIATION",2,$F$1))))</f>
        <v/>
      </c>
      <c r="X92" s="1" t="str">
        <f>IF(OR($B92="",X$7=""),"",IF($B92="MEANS",INDEX('1-DATA'!$1:$1048576,$A91-1,COLUMN('1-DATA'!W90)),ROUND(INDEX('1-DATA'!$1:$1048576,IF(OR($B92="STD. DEVIATION",$C$1=1),$A92,$A92+1),COLUMN('1-DATA'!W90)),IF($B92="STD. DEVIATION",2,$F$1))))</f>
        <v/>
      </c>
      <c r="Y92" s="1" t="str">
        <f>IF(OR($B92="",Y$7=""),"",IF($B92="MEANS",INDEX('1-DATA'!$1:$1048576,$A91-1,COLUMN('1-DATA'!X90)),ROUND(INDEX('1-DATA'!$1:$1048576,IF(OR($B92="STD. DEVIATION",$C$1=1),$A92,$A92+1),COLUMN('1-DATA'!X90)),IF($B92="STD. DEVIATION",2,$F$1))))</f>
        <v/>
      </c>
      <c r="Z92" s="1" t="str">
        <f>IF(OR($B92="",Z$7=""),"",IF($B92="MEANS",INDEX('1-DATA'!$1:$1048576,$A91-1,COLUMN('1-DATA'!Y90)),ROUND(INDEX('1-DATA'!$1:$1048576,IF(OR($B92="STD. DEVIATION",$C$1=1),$A92,$A92+1),COLUMN('1-DATA'!Y90)),IF($B92="STD. DEVIATION",2,$F$1))))</f>
        <v/>
      </c>
      <c r="AA92" s="1" t="str">
        <f>IF(OR($B92="",AA$7=""),"",IF($B92="MEANS",INDEX('1-DATA'!$1:$1048576,$A91-1,COLUMN('1-DATA'!Z90)),ROUND(INDEX('1-DATA'!$1:$1048576,IF(OR($B92="STD. DEVIATION",$C$1=1),$A92,$A92+1),COLUMN('1-DATA'!Z90)),IF($B92="STD. DEVIATION",2,$F$1))))</f>
        <v/>
      </c>
      <c r="AB92" s="1" t="str">
        <f>IF(OR($B92="",AB$7=""),"",IF($B92="MEANS",INDEX('1-DATA'!$1:$1048576,$A91-1,COLUMN('1-DATA'!AA90)),ROUND(INDEX('1-DATA'!$1:$1048576,IF(OR($B92="STD. DEVIATION",$C$1=1),$A92,$A92+1),COLUMN('1-DATA'!AA90)),IF($B92="STD. DEVIATION",2,$F$1))))</f>
        <v/>
      </c>
      <c r="AC92" s="1" t="str">
        <f>IF(OR($B92="",AC$7=""),"",IF($B92="MEANS",INDEX('1-DATA'!$1:$1048576,$A91-1,COLUMN('1-DATA'!AB90)),ROUND(INDEX('1-DATA'!$1:$1048576,IF(OR($B92="STD. DEVIATION",$C$1=1),$A92,$A92+1),COLUMN('1-DATA'!AB90)),IF($B92="STD. DEVIATION",2,$F$1))))</f>
        <v/>
      </c>
      <c r="AD92" s="1" t="str">
        <f>IF(OR($B92="",AD$7=""),"",IF($B92="MEANS",INDEX('1-DATA'!$1:$1048576,$A91-1,COLUMN('1-DATA'!AC90)),ROUND(INDEX('1-DATA'!$1:$1048576,IF(OR($B92="STD. DEVIATION",$C$1=1),$A92,$A92+1),COLUMN('1-DATA'!AC90)),IF($B92="STD. DEVIATION",2,$F$1))))</f>
        <v/>
      </c>
      <c r="AE92" s="1" t="str">
        <f>IF(OR($B92="",AE$7=""),"",IF($B92="MEANS",INDEX('1-DATA'!$1:$1048576,$A91-1,COLUMN('1-DATA'!AD90)),ROUND(INDEX('1-DATA'!$1:$1048576,IF(OR($B92="STD. DEVIATION",$C$1=1),$A92,$A92+1),COLUMN('1-DATA'!AD90)),IF($B92="STD. DEVIATION",2,$F$1))))</f>
        <v/>
      </c>
      <c r="AF92" s="1" t="str">
        <f>IF(OR($B92="",AF$7=""),"",IF($B92="MEANS",INDEX('1-DATA'!$1:$1048576,$A91-1,COLUMN('1-DATA'!AE90)),ROUND(INDEX('1-DATA'!$1:$1048576,IF(OR($B92="STD. DEVIATION",$C$1=1),$A92,$A92+1),COLUMN('1-DATA'!AE90)),IF($B92="STD. DEVIATION",2,$F$1))))</f>
        <v/>
      </c>
      <c r="AG92" s="1" t="str">
        <f>IF(OR($B92="",AG$7=""),"",IF($B92="MEANS",INDEX('1-DATA'!$1:$1048576,$A91-1,COLUMN('1-DATA'!AF90)),ROUND(INDEX('1-DATA'!$1:$1048576,IF(OR($B92="STD. DEVIATION",$C$1=1),$A92,$A92+1),COLUMN('1-DATA'!AF90)),IF($B92="STD. DEVIATION",2,$F$1))))</f>
        <v/>
      </c>
      <c r="AH92" s="1" t="str">
        <f>IF(OR($B92="",AH$7=""),"",IF($B92="MEANS",INDEX('1-DATA'!$1:$1048576,$A91-1,COLUMN('1-DATA'!AG90)),ROUND(INDEX('1-DATA'!$1:$1048576,IF(OR($B92="STD. DEVIATION",$C$1=1),$A92,$A92+1),COLUMN('1-DATA'!AG90)),IF($B92="STD. DEVIATION",2,$F$1))))</f>
        <v/>
      </c>
      <c r="AI92" s="1" t="str">
        <f>IF(OR($B92="",AI$7=""),"",IF($B92="MEANS",INDEX('1-DATA'!$1:$1048576,$A91-1,COLUMN('1-DATA'!AH90)),ROUND(INDEX('1-DATA'!$1:$1048576,IF(OR($B92="STD. DEVIATION",$C$1=1),$A92,$A92+1),COLUMN('1-DATA'!AH90)),IF($B92="STD. DEVIATION",2,$F$1))))</f>
        <v/>
      </c>
      <c r="AJ92" s="1" t="str">
        <f>IF(OR($B92="",AJ$7=""),"",IF($B92="MEANS",INDEX('1-DATA'!$1:$1048576,$A91-1,COLUMN('1-DATA'!AI90)),ROUND(INDEX('1-DATA'!$1:$1048576,IF(OR($B92="STD. DEVIATION",$C$1=1),$A92,$A92+1),COLUMN('1-DATA'!AI90)),IF($B92="STD. DEVIATION",2,$F$1))))</f>
        <v/>
      </c>
      <c r="AK92" s="1" t="str">
        <f>IF(OR($B92="",AK$7=""),"",IF($B92="MEANS",INDEX('1-DATA'!$1:$1048576,$A91-1,COLUMN('1-DATA'!AJ90)),ROUND(INDEX('1-DATA'!$1:$1048576,IF(OR($B92="STD. DEVIATION",$C$1=1),$A92,$A92+1),COLUMN('1-DATA'!AJ90)),IF($B92="STD. DEVIATION",2,$F$1))))</f>
        <v/>
      </c>
      <c r="AL92" s="1" t="str">
        <f>IF(OR($B92="",AL$7=""),"",IF($B92="MEANS",INDEX('1-DATA'!$1:$1048576,$A91-1,COLUMN('1-DATA'!AK90)),ROUND(INDEX('1-DATA'!$1:$1048576,IF(OR($B92="STD. DEVIATION",$C$1=1),$A92,$A92+1),COLUMN('1-DATA'!AK90)),IF($B92="STD. DEVIATION",2,$F$1))))</f>
        <v/>
      </c>
      <c r="AM92" s="1" t="str">
        <f>IF(OR($B92="",AM$7=""),"",IF($B92="MEANS",INDEX('1-DATA'!$1:$1048576,$A91-1,COLUMN('1-DATA'!AL90)),ROUND(INDEX('1-DATA'!$1:$1048576,IF(OR($B92="STD. DEVIATION",$C$1=1),$A92,$A92+1),COLUMN('1-DATA'!AL90)),IF($B92="STD. DEVIATION",2,$F$1))))</f>
        <v/>
      </c>
      <c r="AN92" s="1" t="str">
        <f>IF(OR($B92="",AN$7=""),"",IF($B92="MEANS",INDEX('1-DATA'!$1:$1048576,$A91-1,COLUMN('1-DATA'!AM90)),ROUND(INDEX('1-DATA'!$1:$1048576,IF(OR($B92="STD. DEVIATION",$C$1=1),$A92,$A92+1),COLUMN('1-DATA'!AM90)),IF($B92="STD. DEVIATION",2,$F$1))))</f>
        <v/>
      </c>
      <c r="AO92" s="1" t="str">
        <f>IF(OR($B92="",AO$7=""),"",IF($B92="MEANS",INDEX('1-DATA'!$1:$1048576,$A91-1,COLUMN('1-DATA'!AN90)),ROUND(INDEX('1-DATA'!$1:$1048576,IF(OR($B92="STD. DEVIATION",$C$1=1),$A92,$A92+1),COLUMN('1-DATA'!AN90)),IF($B92="STD. DEVIATION",2,$F$1))))</f>
        <v/>
      </c>
      <c r="AP92" s="1" t="str">
        <f>IF(OR($B92="",AP$7=""),"",IF($B92="MEANS",INDEX('1-DATA'!$1:$1048576,$A91-1,COLUMN('1-DATA'!AO90)),ROUND(INDEX('1-DATA'!$1:$1048576,IF(OR($B92="STD. DEVIATION",$C$1=1),$A92,$A92+1),COLUMN('1-DATA'!AO90)),IF($B92="STD. DEVIATION",2,$F$1))))</f>
        <v/>
      </c>
      <c r="AQ92" s="1" t="str">
        <f>IF(OR($B92="",AQ$7=""),"",IF($B92="MEANS",INDEX('1-DATA'!$1:$1048576,$A91-1,COLUMN('1-DATA'!AP90)),ROUND(INDEX('1-DATA'!$1:$1048576,IF(OR($B92="STD. DEVIATION",$C$1=1),$A92,$A92+1),COLUMN('1-DATA'!AP90)),IF($B92="STD. DEVIATION",2,$F$1))))</f>
        <v/>
      </c>
      <c r="AR92" s="1" t="str">
        <f>IF(OR($B92="",AR$7=""),"",IF($B92="MEANS",INDEX('1-DATA'!$1:$1048576,$A91-1,COLUMN('1-DATA'!AQ90)),ROUND(INDEX('1-DATA'!$1:$1048576,IF(OR($B92="STD. DEVIATION",$C$1=1),$A92,$A92+1),COLUMN('1-DATA'!AQ90)),IF($B92="STD. DEVIATION",2,$F$1))))</f>
        <v/>
      </c>
      <c r="AS92" s="1" t="str">
        <f>IF(OR($B92="",AS$7=""),"",IF($B92="MEANS",INDEX('1-DATA'!$1:$1048576,$A91-1,COLUMN('1-DATA'!AR90)),ROUND(INDEX('1-DATA'!$1:$1048576,IF(OR($B92="STD. DEVIATION",$C$1=1),$A92,$A92+1),COLUMN('1-DATA'!AR90)),IF($B92="STD. DEVIATION",2,$F$1))))</f>
        <v/>
      </c>
      <c r="AT92" s="1" t="str">
        <f>IF(OR($B92="",AT$7=""),"",IF($B92="MEANS",INDEX('1-DATA'!$1:$1048576,$A91-1,COLUMN('1-DATA'!AS90)),ROUND(INDEX('1-DATA'!$1:$1048576,IF(OR($B92="STD. DEVIATION",$C$1=1),$A92,$A92+1),COLUMN('1-DATA'!AS90)),IF($B92="STD. DEVIATION",2,$F$1))))</f>
        <v/>
      </c>
      <c r="AU92" s="1" t="str">
        <f>IF(OR($B92="",AU$7=""),"",IF($B92="MEANS",INDEX('1-DATA'!$1:$1048576,$A91-1,COLUMN('1-DATA'!AT90)),ROUND(INDEX('1-DATA'!$1:$1048576,IF(OR($B92="STD. DEVIATION",$C$1=1),$A92,$A92+1),COLUMN('1-DATA'!AT90)),IF($B92="STD. DEVIATION",2,$F$1))))</f>
        <v/>
      </c>
      <c r="AV92" s="1" t="str">
        <f>IF(OR($B92="",AV$7=""),"",IF($B92="MEANS",INDEX('1-DATA'!$1:$1048576,$A91-1,COLUMN('1-DATA'!AU90)),ROUND(INDEX('1-DATA'!$1:$1048576,IF(OR($B92="STD. DEVIATION",$C$1=1),$A92,$A92+1),COLUMN('1-DATA'!AU90)),IF($B92="STD. DEVIATION",2,$F$1))))</f>
        <v/>
      </c>
      <c r="AW92" s="1" t="str">
        <f>IF(OR($B92="",AW$7=""),"",IF($B92="MEANS",INDEX('1-DATA'!$1:$1048576,$A91-1,COLUMN('1-DATA'!AV90)),ROUND(INDEX('1-DATA'!$1:$1048576,IF(OR($B92="STD. DEVIATION",$C$1=1),$A92,$A92+1),COLUMN('1-DATA'!AV90)),IF($B92="STD. DEVIATION",2,$F$1))))</f>
        <v/>
      </c>
      <c r="AX92" s="1" t="str">
        <f>IF(OR($B92="",AX$7=""),"",IF($B92="MEANS",INDEX('1-DATA'!$1:$1048576,$A91-1,COLUMN('1-DATA'!AW90)),ROUND(INDEX('1-DATA'!$1:$1048576,IF(OR($B92="STD. DEVIATION",$C$1=1),$A92,$A92+1),COLUMN('1-DATA'!AW90)),IF($B92="STD. DEVIATION",2,$F$1))))</f>
        <v/>
      </c>
      <c r="AY92" s="1" t="str">
        <f>IF(OR($B92="",AY$7=""),"",IF($B92="MEANS",INDEX('1-DATA'!$1:$1048576,$A91-1,COLUMN('1-DATA'!AX90)),ROUND(INDEX('1-DATA'!$1:$1048576,IF(OR($B92="STD. DEVIATION",$C$1=1),$A92,$A92+1),COLUMN('1-DATA'!AX90)),IF($B92="STD. DEVIATION",2,$F$1))))</f>
        <v/>
      </c>
      <c r="AZ92" s="1" t="str">
        <f>IF(OR($B92="",AZ$7=""),"",IF($B92="MEANS",INDEX('1-DATA'!$1:$1048576,$A91-1,COLUMN('1-DATA'!AY90)),ROUND(INDEX('1-DATA'!$1:$1048576,IF(OR($B92="STD. DEVIATION",$C$1=1),$A92,$A92+1),COLUMN('1-DATA'!AY90)),IF($B92="STD. DEVIATION",2,$F$1))))</f>
        <v/>
      </c>
    </row>
    <row r="93" spans="1:52" x14ac:dyDescent="0.25">
      <c r="A93" s="11">
        <f t="shared" si="1"/>
        <v>265</v>
      </c>
      <c r="B93" s="1" t="str">
        <f>IF(B92="STD. DEVIATION",INDEX('1-DATA'!$1:$1048576,$A92-1,1),IF(INDEX('1-DATA'!$1:$1048576,$A93,1)&lt;&gt;"",INDEX('1-DATA'!$1:$1048576,$A93,1),""))</f>
        <v/>
      </c>
      <c r="C93" s="1" t="str">
        <f>IF(OR($B93="",C$7=""),"",IF($B93="MEANS",INDEX('1-DATA'!$1:$1048576,$A92-1,COLUMN('1-DATA'!B91)),ROUND(INDEX('1-DATA'!$1:$1048576,IF(OR($B93="STD. DEVIATION",$C$1=1),$A93,$A93+1),COLUMN('1-DATA'!B91)),IF($B93="STD. DEVIATION",2,$F$1))))</f>
        <v/>
      </c>
      <c r="D93" s="1" t="str">
        <f>IF(OR($B93="",D$7=""),"",IF($B93="MEANS",INDEX('1-DATA'!$1:$1048576,$A92-1,COLUMN('1-DATA'!C91)),ROUND(INDEX('1-DATA'!$1:$1048576,IF(OR($B93="STD. DEVIATION",$C$1=1),$A93,$A93+1),COLUMN('1-DATA'!C91)),IF($B93="STD. DEVIATION",2,$F$1))))</f>
        <v/>
      </c>
      <c r="E93" s="1" t="str">
        <f>IF(OR($B93="",E$7=""),"",IF($B93="MEANS",INDEX('1-DATA'!$1:$1048576,$A92-1,COLUMN('1-DATA'!D91)),ROUND(INDEX('1-DATA'!$1:$1048576,IF(OR($B93="STD. DEVIATION",$C$1=1),$A93,$A93+1),COLUMN('1-DATA'!D91)),IF($B93="STD. DEVIATION",2,$F$1))))</f>
        <v/>
      </c>
      <c r="F93" s="1" t="str">
        <f>IF(OR($B93="",F$7=""),"",IF($B93="MEANS",INDEX('1-DATA'!$1:$1048576,$A92-1,COLUMN('1-DATA'!E91)),ROUND(INDEX('1-DATA'!$1:$1048576,IF(OR($B93="STD. DEVIATION",$C$1=1),$A93,$A93+1),COLUMN('1-DATA'!E91)),IF($B93="STD. DEVIATION",2,$F$1))))</f>
        <v/>
      </c>
      <c r="G93" s="1" t="str">
        <f>IF(OR($B93="",G$7=""),"",IF($B93="MEANS",INDEX('1-DATA'!$1:$1048576,$A92-1,COLUMN('1-DATA'!F91)),ROUND(INDEX('1-DATA'!$1:$1048576,IF(OR($B93="STD. DEVIATION",$C$1=1),$A93,$A93+1),COLUMN('1-DATA'!F91)),IF($B93="STD. DEVIATION",2,$F$1))))</f>
        <v/>
      </c>
      <c r="H93" s="1" t="str">
        <f>IF(OR($B93="",H$7=""),"",IF($B93="MEANS",INDEX('1-DATA'!$1:$1048576,$A92-1,COLUMN('1-DATA'!G91)),ROUND(INDEX('1-DATA'!$1:$1048576,IF(OR($B93="STD. DEVIATION",$C$1=1),$A93,$A93+1),COLUMN('1-DATA'!G91)),IF($B93="STD. DEVIATION",2,$F$1))))</f>
        <v/>
      </c>
      <c r="I93" s="1" t="str">
        <f>IF(OR($B93="",I$7=""),"",IF($B93="MEANS",INDEX('1-DATA'!$1:$1048576,$A92-1,COLUMN('1-DATA'!H91)),ROUND(INDEX('1-DATA'!$1:$1048576,IF(OR($B93="STD. DEVIATION",$C$1=1),$A93,$A93+1),COLUMN('1-DATA'!H91)),IF($B93="STD. DEVIATION",2,$F$1))))</f>
        <v/>
      </c>
      <c r="J93" s="1" t="str">
        <f>IF(OR($B93="",J$7=""),"",IF($B93="MEANS",INDEX('1-DATA'!$1:$1048576,$A92-1,COLUMN('1-DATA'!I91)),ROUND(INDEX('1-DATA'!$1:$1048576,IF(OR($B93="STD. DEVIATION",$C$1=1),$A93,$A93+1),COLUMN('1-DATA'!I91)),IF($B93="STD. DEVIATION",2,$F$1))))</f>
        <v/>
      </c>
      <c r="K93" s="1" t="str">
        <f>IF(OR($B93="",K$7=""),"",IF($B93="MEANS",INDEX('1-DATA'!$1:$1048576,$A92-1,COLUMN('1-DATA'!J91)),ROUND(INDEX('1-DATA'!$1:$1048576,IF(OR($B93="STD. DEVIATION",$C$1=1),$A93,$A93+1),COLUMN('1-DATA'!J91)),IF($B93="STD. DEVIATION",2,$F$1))))</f>
        <v/>
      </c>
      <c r="L93" s="1" t="str">
        <f>IF(OR($B93="",L$7=""),"",IF($B93="MEANS",INDEX('1-DATA'!$1:$1048576,$A92-1,COLUMN('1-DATA'!K91)),ROUND(INDEX('1-DATA'!$1:$1048576,IF(OR($B93="STD. DEVIATION",$C$1=1),$A93,$A93+1),COLUMN('1-DATA'!K91)),IF($B93="STD. DEVIATION",2,$F$1))))</f>
        <v/>
      </c>
      <c r="M93" s="1" t="str">
        <f>IF(OR($B93="",M$7=""),"",IF($B93="MEANS",INDEX('1-DATA'!$1:$1048576,$A92-1,COLUMN('1-DATA'!L91)),ROUND(INDEX('1-DATA'!$1:$1048576,IF(OR($B93="STD. DEVIATION",$C$1=1),$A93,$A93+1),COLUMN('1-DATA'!L91)),IF($B93="STD. DEVIATION",2,$F$1))))</f>
        <v/>
      </c>
      <c r="N93" s="1" t="str">
        <f>IF(OR($B93="",N$7=""),"",IF($B93="MEANS",INDEX('1-DATA'!$1:$1048576,$A92-1,COLUMN('1-DATA'!M91)),ROUND(INDEX('1-DATA'!$1:$1048576,IF(OR($B93="STD. DEVIATION",$C$1=1),$A93,$A93+1),COLUMN('1-DATA'!M91)),IF($B93="STD. DEVIATION",2,$F$1))))</f>
        <v/>
      </c>
      <c r="O93" s="1" t="str">
        <f>IF(OR($B93="",O$7=""),"",IF($B93="MEANS",INDEX('1-DATA'!$1:$1048576,$A92-1,COLUMN('1-DATA'!N91)),ROUND(INDEX('1-DATA'!$1:$1048576,IF(OR($B93="STD. DEVIATION",$C$1=1),$A93,$A93+1),COLUMN('1-DATA'!N91)),IF($B93="STD. DEVIATION",2,$F$1))))</f>
        <v/>
      </c>
      <c r="P93" s="1" t="str">
        <f>IF(OR($B93="",P$7=""),"",IF($B93="MEANS",INDEX('1-DATA'!$1:$1048576,$A92-1,COLUMN('1-DATA'!O91)),ROUND(INDEX('1-DATA'!$1:$1048576,IF(OR($B93="STD. DEVIATION",$C$1=1),$A93,$A93+1),COLUMN('1-DATA'!O91)),IF($B93="STD. DEVIATION",2,$F$1))))</f>
        <v/>
      </c>
      <c r="Q93" s="1" t="str">
        <f>IF(OR($B93="",Q$7=""),"",IF($B93="MEANS",INDEX('1-DATA'!$1:$1048576,$A92-1,COLUMN('1-DATA'!P91)),ROUND(INDEX('1-DATA'!$1:$1048576,IF(OR($B93="STD. DEVIATION",$C$1=1),$A93,$A93+1),COLUMN('1-DATA'!P91)),IF($B93="STD. DEVIATION",2,$F$1))))</f>
        <v/>
      </c>
      <c r="R93" s="1" t="str">
        <f>IF(OR($B93="",R$7=""),"",IF($B93="MEANS",INDEX('1-DATA'!$1:$1048576,$A92-1,COLUMN('1-DATA'!Q91)),ROUND(INDEX('1-DATA'!$1:$1048576,IF(OR($B93="STD. DEVIATION",$C$1=1),$A93,$A93+1),COLUMN('1-DATA'!Q91)),IF($B93="STD. DEVIATION",2,$F$1))))</f>
        <v/>
      </c>
      <c r="S93" s="1" t="str">
        <f>IF(OR($B93="",S$7=""),"",IF($B93="MEANS",INDEX('1-DATA'!$1:$1048576,$A92-1,COLUMN('1-DATA'!R91)),ROUND(INDEX('1-DATA'!$1:$1048576,IF(OR($B93="STD. DEVIATION",$C$1=1),$A93,$A93+1),COLUMN('1-DATA'!R91)),IF($B93="STD. DEVIATION",2,$F$1))))</f>
        <v/>
      </c>
      <c r="T93" s="1" t="str">
        <f>IF(OR($B93="",T$7=""),"",IF($B93="MEANS",INDEX('1-DATA'!$1:$1048576,$A92-1,COLUMN('1-DATA'!S91)),ROUND(INDEX('1-DATA'!$1:$1048576,IF(OR($B93="STD. DEVIATION",$C$1=1),$A93,$A93+1),COLUMN('1-DATA'!S91)),IF($B93="STD. DEVIATION",2,$F$1))))</f>
        <v/>
      </c>
      <c r="U93" s="1" t="str">
        <f>IF(OR($B93="",U$7=""),"",IF($B93="MEANS",INDEX('1-DATA'!$1:$1048576,$A92-1,COLUMN('1-DATA'!T91)),ROUND(INDEX('1-DATA'!$1:$1048576,IF(OR($B93="STD. DEVIATION",$C$1=1),$A93,$A93+1),COLUMN('1-DATA'!T91)),IF($B93="STD. DEVIATION",2,$F$1))))</f>
        <v/>
      </c>
      <c r="V93" s="1" t="str">
        <f>IF(OR($B93="",V$7=""),"",IF($B93="MEANS",INDEX('1-DATA'!$1:$1048576,$A92-1,COLUMN('1-DATA'!U91)),ROUND(INDEX('1-DATA'!$1:$1048576,IF(OR($B93="STD. DEVIATION",$C$1=1),$A93,$A93+1),COLUMN('1-DATA'!U91)),IF($B93="STD. DEVIATION",2,$F$1))))</f>
        <v/>
      </c>
      <c r="W93" s="1" t="str">
        <f>IF(OR($B93="",W$7=""),"",IF($B93="MEANS",INDEX('1-DATA'!$1:$1048576,$A92-1,COLUMN('1-DATA'!V91)),ROUND(INDEX('1-DATA'!$1:$1048576,IF(OR($B93="STD. DEVIATION",$C$1=1),$A93,$A93+1),COLUMN('1-DATA'!V91)),IF($B93="STD. DEVIATION",2,$F$1))))</f>
        <v/>
      </c>
      <c r="X93" s="1" t="str">
        <f>IF(OR($B93="",X$7=""),"",IF($B93="MEANS",INDEX('1-DATA'!$1:$1048576,$A92-1,COLUMN('1-DATA'!W91)),ROUND(INDEX('1-DATA'!$1:$1048576,IF(OR($B93="STD. DEVIATION",$C$1=1),$A93,$A93+1),COLUMN('1-DATA'!W91)),IF($B93="STD. DEVIATION",2,$F$1))))</f>
        <v/>
      </c>
      <c r="Y93" s="1" t="str">
        <f>IF(OR($B93="",Y$7=""),"",IF($B93="MEANS",INDEX('1-DATA'!$1:$1048576,$A92-1,COLUMN('1-DATA'!X91)),ROUND(INDEX('1-DATA'!$1:$1048576,IF(OR($B93="STD. DEVIATION",$C$1=1),$A93,$A93+1),COLUMN('1-DATA'!X91)),IF($B93="STD. DEVIATION",2,$F$1))))</f>
        <v/>
      </c>
      <c r="Z93" s="1" t="str">
        <f>IF(OR($B93="",Z$7=""),"",IF($B93="MEANS",INDEX('1-DATA'!$1:$1048576,$A92-1,COLUMN('1-DATA'!Y91)),ROUND(INDEX('1-DATA'!$1:$1048576,IF(OR($B93="STD. DEVIATION",$C$1=1),$A93,$A93+1),COLUMN('1-DATA'!Y91)),IF($B93="STD. DEVIATION",2,$F$1))))</f>
        <v/>
      </c>
      <c r="AA93" s="1" t="str">
        <f>IF(OR($B93="",AA$7=""),"",IF($B93="MEANS",INDEX('1-DATA'!$1:$1048576,$A92-1,COLUMN('1-DATA'!Z91)),ROUND(INDEX('1-DATA'!$1:$1048576,IF(OR($B93="STD. DEVIATION",$C$1=1),$A93,$A93+1),COLUMN('1-DATA'!Z91)),IF($B93="STD. DEVIATION",2,$F$1))))</f>
        <v/>
      </c>
      <c r="AB93" s="1" t="str">
        <f>IF(OR($B93="",AB$7=""),"",IF($B93="MEANS",INDEX('1-DATA'!$1:$1048576,$A92-1,COLUMN('1-DATA'!AA91)),ROUND(INDEX('1-DATA'!$1:$1048576,IF(OR($B93="STD. DEVIATION",$C$1=1),$A93,$A93+1),COLUMN('1-DATA'!AA91)),IF($B93="STD. DEVIATION",2,$F$1))))</f>
        <v/>
      </c>
      <c r="AC93" s="1" t="str">
        <f>IF(OR($B93="",AC$7=""),"",IF($B93="MEANS",INDEX('1-DATA'!$1:$1048576,$A92-1,COLUMN('1-DATA'!AB91)),ROUND(INDEX('1-DATA'!$1:$1048576,IF(OR($B93="STD. DEVIATION",$C$1=1),$A93,$A93+1),COLUMN('1-DATA'!AB91)),IF($B93="STD. DEVIATION",2,$F$1))))</f>
        <v/>
      </c>
      <c r="AD93" s="1" t="str">
        <f>IF(OR($B93="",AD$7=""),"",IF($B93="MEANS",INDEX('1-DATA'!$1:$1048576,$A92-1,COLUMN('1-DATA'!AC91)),ROUND(INDEX('1-DATA'!$1:$1048576,IF(OR($B93="STD. DEVIATION",$C$1=1),$A93,$A93+1),COLUMN('1-DATA'!AC91)),IF($B93="STD. DEVIATION",2,$F$1))))</f>
        <v/>
      </c>
      <c r="AE93" s="1" t="str">
        <f>IF(OR($B93="",AE$7=""),"",IF($B93="MEANS",INDEX('1-DATA'!$1:$1048576,$A92-1,COLUMN('1-DATA'!AD91)),ROUND(INDEX('1-DATA'!$1:$1048576,IF(OR($B93="STD. DEVIATION",$C$1=1),$A93,$A93+1),COLUMN('1-DATA'!AD91)),IF($B93="STD. DEVIATION",2,$F$1))))</f>
        <v/>
      </c>
      <c r="AF93" s="1" t="str">
        <f>IF(OR($B93="",AF$7=""),"",IF($B93="MEANS",INDEX('1-DATA'!$1:$1048576,$A92-1,COLUMN('1-DATA'!AE91)),ROUND(INDEX('1-DATA'!$1:$1048576,IF(OR($B93="STD. DEVIATION",$C$1=1),$A93,$A93+1),COLUMN('1-DATA'!AE91)),IF($B93="STD. DEVIATION",2,$F$1))))</f>
        <v/>
      </c>
      <c r="AG93" s="1" t="str">
        <f>IF(OR($B93="",AG$7=""),"",IF($B93="MEANS",INDEX('1-DATA'!$1:$1048576,$A92-1,COLUMN('1-DATA'!AF91)),ROUND(INDEX('1-DATA'!$1:$1048576,IF(OR($B93="STD. DEVIATION",$C$1=1),$A93,$A93+1),COLUMN('1-DATA'!AF91)),IF($B93="STD. DEVIATION",2,$F$1))))</f>
        <v/>
      </c>
      <c r="AH93" s="1" t="str">
        <f>IF(OR($B93="",AH$7=""),"",IF($B93="MEANS",INDEX('1-DATA'!$1:$1048576,$A92-1,COLUMN('1-DATA'!AG91)),ROUND(INDEX('1-DATA'!$1:$1048576,IF(OR($B93="STD. DEVIATION",$C$1=1),$A93,$A93+1),COLUMN('1-DATA'!AG91)),IF($B93="STD. DEVIATION",2,$F$1))))</f>
        <v/>
      </c>
      <c r="AI93" s="1" t="str">
        <f>IF(OR($B93="",AI$7=""),"",IF($B93="MEANS",INDEX('1-DATA'!$1:$1048576,$A92-1,COLUMN('1-DATA'!AH91)),ROUND(INDEX('1-DATA'!$1:$1048576,IF(OR($B93="STD. DEVIATION",$C$1=1),$A93,$A93+1),COLUMN('1-DATA'!AH91)),IF($B93="STD. DEVIATION",2,$F$1))))</f>
        <v/>
      </c>
      <c r="AJ93" s="1" t="str">
        <f>IF(OR($B93="",AJ$7=""),"",IF($B93="MEANS",INDEX('1-DATA'!$1:$1048576,$A92-1,COLUMN('1-DATA'!AI91)),ROUND(INDEX('1-DATA'!$1:$1048576,IF(OR($B93="STD. DEVIATION",$C$1=1),$A93,$A93+1),COLUMN('1-DATA'!AI91)),IF($B93="STD. DEVIATION",2,$F$1))))</f>
        <v/>
      </c>
      <c r="AK93" s="1" t="str">
        <f>IF(OR($B93="",AK$7=""),"",IF($B93="MEANS",INDEX('1-DATA'!$1:$1048576,$A92-1,COLUMN('1-DATA'!AJ91)),ROUND(INDEX('1-DATA'!$1:$1048576,IF(OR($B93="STD. DEVIATION",$C$1=1),$A93,$A93+1),COLUMN('1-DATA'!AJ91)),IF($B93="STD. DEVIATION",2,$F$1))))</f>
        <v/>
      </c>
      <c r="AL93" s="1" t="str">
        <f>IF(OR($B93="",AL$7=""),"",IF($B93="MEANS",INDEX('1-DATA'!$1:$1048576,$A92-1,COLUMN('1-DATA'!AK91)),ROUND(INDEX('1-DATA'!$1:$1048576,IF(OR($B93="STD. DEVIATION",$C$1=1),$A93,$A93+1),COLUMN('1-DATA'!AK91)),IF($B93="STD. DEVIATION",2,$F$1))))</f>
        <v/>
      </c>
      <c r="AM93" s="1" t="str">
        <f>IF(OR($B93="",AM$7=""),"",IF($B93="MEANS",INDEX('1-DATA'!$1:$1048576,$A92-1,COLUMN('1-DATA'!AL91)),ROUND(INDEX('1-DATA'!$1:$1048576,IF(OR($B93="STD. DEVIATION",$C$1=1),$A93,$A93+1),COLUMN('1-DATA'!AL91)),IF($B93="STD. DEVIATION",2,$F$1))))</f>
        <v/>
      </c>
      <c r="AN93" s="1" t="str">
        <f>IF(OR($B93="",AN$7=""),"",IF($B93="MEANS",INDEX('1-DATA'!$1:$1048576,$A92-1,COLUMN('1-DATA'!AM91)),ROUND(INDEX('1-DATA'!$1:$1048576,IF(OR($B93="STD. DEVIATION",$C$1=1),$A93,$A93+1),COLUMN('1-DATA'!AM91)),IF($B93="STD. DEVIATION",2,$F$1))))</f>
        <v/>
      </c>
      <c r="AO93" s="1" t="str">
        <f>IF(OR($B93="",AO$7=""),"",IF($B93="MEANS",INDEX('1-DATA'!$1:$1048576,$A92-1,COLUMN('1-DATA'!AN91)),ROUND(INDEX('1-DATA'!$1:$1048576,IF(OR($B93="STD. DEVIATION",$C$1=1),$A93,$A93+1),COLUMN('1-DATA'!AN91)),IF($B93="STD. DEVIATION",2,$F$1))))</f>
        <v/>
      </c>
      <c r="AP93" s="1" t="str">
        <f>IF(OR($B93="",AP$7=""),"",IF($B93="MEANS",INDEX('1-DATA'!$1:$1048576,$A92-1,COLUMN('1-DATA'!AO91)),ROUND(INDEX('1-DATA'!$1:$1048576,IF(OR($B93="STD. DEVIATION",$C$1=1),$A93,$A93+1),COLUMN('1-DATA'!AO91)),IF($B93="STD. DEVIATION",2,$F$1))))</f>
        <v/>
      </c>
      <c r="AQ93" s="1" t="str">
        <f>IF(OR($B93="",AQ$7=""),"",IF($B93="MEANS",INDEX('1-DATA'!$1:$1048576,$A92-1,COLUMN('1-DATA'!AP91)),ROUND(INDEX('1-DATA'!$1:$1048576,IF(OR($B93="STD. DEVIATION",$C$1=1),$A93,$A93+1),COLUMN('1-DATA'!AP91)),IF($B93="STD. DEVIATION",2,$F$1))))</f>
        <v/>
      </c>
      <c r="AR93" s="1" t="str">
        <f>IF(OR($B93="",AR$7=""),"",IF($B93="MEANS",INDEX('1-DATA'!$1:$1048576,$A92-1,COLUMN('1-DATA'!AQ91)),ROUND(INDEX('1-DATA'!$1:$1048576,IF(OR($B93="STD. DEVIATION",$C$1=1),$A93,$A93+1),COLUMN('1-DATA'!AQ91)),IF($B93="STD. DEVIATION",2,$F$1))))</f>
        <v/>
      </c>
      <c r="AS93" s="1" t="str">
        <f>IF(OR($B93="",AS$7=""),"",IF($B93="MEANS",INDEX('1-DATA'!$1:$1048576,$A92-1,COLUMN('1-DATA'!AR91)),ROUND(INDEX('1-DATA'!$1:$1048576,IF(OR($B93="STD. DEVIATION",$C$1=1),$A93,$A93+1),COLUMN('1-DATA'!AR91)),IF($B93="STD. DEVIATION",2,$F$1))))</f>
        <v/>
      </c>
      <c r="AT93" s="1" t="str">
        <f>IF(OR($B93="",AT$7=""),"",IF($B93="MEANS",INDEX('1-DATA'!$1:$1048576,$A92-1,COLUMN('1-DATA'!AS91)),ROUND(INDEX('1-DATA'!$1:$1048576,IF(OR($B93="STD. DEVIATION",$C$1=1),$A93,$A93+1),COLUMN('1-DATA'!AS91)),IF($B93="STD. DEVIATION",2,$F$1))))</f>
        <v/>
      </c>
      <c r="AU93" s="1" t="str">
        <f>IF(OR($B93="",AU$7=""),"",IF($B93="MEANS",INDEX('1-DATA'!$1:$1048576,$A92-1,COLUMN('1-DATA'!AT91)),ROUND(INDEX('1-DATA'!$1:$1048576,IF(OR($B93="STD. DEVIATION",$C$1=1),$A93,$A93+1),COLUMN('1-DATA'!AT91)),IF($B93="STD. DEVIATION",2,$F$1))))</f>
        <v/>
      </c>
      <c r="AV93" s="1" t="str">
        <f>IF(OR($B93="",AV$7=""),"",IF($B93="MEANS",INDEX('1-DATA'!$1:$1048576,$A92-1,COLUMN('1-DATA'!AU91)),ROUND(INDEX('1-DATA'!$1:$1048576,IF(OR($B93="STD. DEVIATION",$C$1=1),$A93,$A93+1),COLUMN('1-DATA'!AU91)),IF($B93="STD. DEVIATION",2,$F$1))))</f>
        <v/>
      </c>
      <c r="AW93" s="1" t="str">
        <f>IF(OR($B93="",AW$7=""),"",IF($B93="MEANS",INDEX('1-DATA'!$1:$1048576,$A92-1,COLUMN('1-DATA'!AV91)),ROUND(INDEX('1-DATA'!$1:$1048576,IF(OR($B93="STD. DEVIATION",$C$1=1),$A93,$A93+1),COLUMN('1-DATA'!AV91)),IF($B93="STD. DEVIATION",2,$F$1))))</f>
        <v/>
      </c>
      <c r="AX93" s="1" t="str">
        <f>IF(OR($B93="",AX$7=""),"",IF($B93="MEANS",INDEX('1-DATA'!$1:$1048576,$A92-1,COLUMN('1-DATA'!AW91)),ROUND(INDEX('1-DATA'!$1:$1048576,IF(OR($B93="STD. DEVIATION",$C$1=1),$A93,$A93+1),COLUMN('1-DATA'!AW91)),IF($B93="STD. DEVIATION",2,$F$1))))</f>
        <v/>
      </c>
      <c r="AY93" s="1" t="str">
        <f>IF(OR($B93="",AY$7=""),"",IF($B93="MEANS",INDEX('1-DATA'!$1:$1048576,$A92-1,COLUMN('1-DATA'!AX91)),ROUND(INDEX('1-DATA'!$1:$1048576,IF(OR($B93="STD. DEVIATION",$C$1=1),$A93,$A93+1),COLUMN('1-DATA'!AX91)),IF($B93="STD. DEVIATION",2,$F$1))))</f>
        <v/>
      </c>
      <c r="AZ93" s="1" t="str">
        <f>IF(OR($B93="",AZ$7=""),"",IF($B93="MEANS",INDEX('1-DATA'!$1:$1048576,$A92-1,COLUMN('1-DATA'!AY91)),ROUND(INDEX('1-DATA'!$1:$1048576,IF(OR($B93="STD. DEVIATION",$C$1=1),$A93,$A93+1),COLUMN('1-DATA'!AY91)),IF($B93="STD. DEVIATION",2,$F$1))))</f>
        <v/>
      </c>
    </row>
    <row r="94" spans="1:52" x14ac:dyDescent="0.25">
      <c r="A94" s="11">
        <f t="shared" ref="A94:A157" si="2">A93+3</f>
        <v>268</v>
      </c>
      <c r="B94" s="1" t="str">
        <f>IF(B93="STD. DEVIATION",INDEX('1-DATA'!$1:$1048576,$A93-1,1),IF(INDEX('1-DATA'!$1:$1048576,$A94,1)&lt;&gt;"",INDEX('1-DATA'!$1:$1048576,$A94,1),""))</f>
        <v/>
      </c>
      <c r="C94" s="1" t="str">
        <f>IF(OR($B94="",C$7=""),"",IF($B94="MEANS",INDEX('1-DATA'!$1:$1048576,$A93-1,COLUMN('1-DATA'!B92)),ROUND(INDEX('1-DATA'!$1:$1048576,IF(OR($B94="STD. DEVIATION",$C$1=1),$A94,$A94+1),COLUMN('1-DATA'!B92)),IF($B94="STD. DEVIATION",2,$F$1))))</f>
        <v/>
      </c>
      <c r="D94" s="1" t="str">
        <f>IF(OR($B94="",D$7=""),"",IF($B94="MEANS",INDEX('1-DATA'!$1:$1048576,$A93-1,COLUMN('1-DATA'!C92)),ROUND(INDEX('1-DATA'!$1:$1048576,IF(OR($B94="STD. DEVIATION",$C$1=1),$A94,$A94+1),COLUMN('1-DATA'!C92)),IF($B94="STD. DEVIATION",2,$F$1))))</f>
        <v/>
      </c>
      <c r="E94" s="1" t="str">
        <f>IF(OR($B94="",E$7=""),"",IF($B94="MEANS",INDEX('1-DATA'!$1:$1048576,$A93-1,COLUMN('1-DATA'!D92)),ROUND(INDEX('1-DATA'!$1:$1048576,IF(OR($B94="STD. DEVIATION",$C$1=1),$A94,$A94+1),COLUMN('1-DATA'!D92)),IF($B94="STD. DEVIATION",2,$F$1))))</f>
        <v/>
      </c>
      <c r="F94" s="1" t="str">
        <f>IF(OR($B94="",F$7=""),"",IF($B94="MEANS",INDEX('1-DATA'!$1:$1048576,$A93-1,COLUMN('1-DATA'!E92)),ROUND(INDEX('1-DATA'!$1:$1048576,IF(OR($B94="STD. DEVIATION",$C$1=1),$A94,$A94+1),COLUMN('1-DATA'!E92)),IF($B94="STD. DEVIATION",2,$F$1))))</f>
        <v/>
      </c>
      <c r="G94" s="1" t="str">
        <f>IF(OR($B94="",G$7=""),"",IF($B94="MEANS",INDEX('1-DATA'!$1:$1048576,$A93-1,COLUMN('1-DATA'!F92)),ROUND(INDEX('1-DATA'!$1:$1048576,IF(OR($B94="STD. DEVIATION",$C$1=1),$A94,$A94+1),COLUMN('1-DATA'!F92)),IF($B94="STD. DEVIATION",2,$F$1))))</f>
        <v/>
      </c>
      <c r="H94" s="1" t="str">
        <f>IF(OR($B94="",H$7=""),"",IF($B94="MEANS",INDEX('1-DATA'!$1:$1048576,$A93-1,COLUMN('1-DATA'!G92)),ROUND(INDEX('1-DATA'!$1:$1048576,IF(OR($B94="STD. DEVIATION",$C$1=1),$A94,$A94+1),COLUMN('1-DATA'!G92)),IF($B94="STD. DEVIATION",2,$F$1))))</f>
        <v/>
      </c>
      <c r="I94" s="1" t="str">
        <f>IF(OR($B94="",I$7=""),"",IF($B94="MEANS",INDEX('1-DATA'!$1:$1048576,$A93-1,COLUMN('1-DATA'!H92)),ROUND(INDEX('1-DATA'!$1:$1048576,IF(OR($B94="STD. DEVIATION",$C$1=1),$A94,$A94+1),COLUMN('1-DATA'!H92)),IF($B94="STD. DEVIATION",2,$F$1))))</f>
        <v/>
      </c>
      <c r="J94" s="1" t="str">
        <f>IF(OR($B94="",J$7=""),"",IF($B94="MEANS",INDEX('1-DATA'!$1:$1048576,$A93-1,COLUMN('1-DATA'!I92)),ROUND(INDEX('1-DATA'!$1:$1048576,IF(OR($B94="STD. DEVIATION",$C$1=1),$A94,$A94+1),COLUMN('1-DATA'!I92)),IF($B94="STD. DEVIATION",2,$F$1))))</f>
        <v/>
      </c>
      <c r="K94" s="1" t="str">
        <f>IF(OR($B94="",K$7=""),"",IF($B94="MEANS",INDEX('1-DATA'!$1:$1048576,$A93-1,COLUMN('1-DATA'!J92)),ROUND(INDEX('1-DATA'!$1:$1048576,IF(OR($B94="STD. DEVIATION",$C$1=1),$A94,$A94+1),COLUMN('1-DATA'!J92)),IF($B94="STD. DEVIATION",2,$F$1))))</f>
        <v/>
      </c>
      <c r="L94" s="1" t="str">
        <f>IF(OR($B94="",L$7=""),"",IF($B94="MEANS",INDEX('1-DATA'!$1:$1048576,$A93-1,COLUMN('1-DATA'!K92)),ROUND(INDEX('1-DATA'!$1:$1048576,IF(OR($B94="STD. DEVIATION",$C$1=1),$A94,$A94+1),COLUMN('1-DATA'!K92)),IF($B94="STD. DEVIATION",2,$F$1))))</f>
        <v/>
      </c>
      <c r="M94" s="1" t="str">
        <f>IF(OR($B94="",M$7=""),"",IF($B94="MEANS",INDEX('1-DATA'!$1:$1048576,$A93-1,COLUMN('1-DATA'!L92)),ROUND(INDEX('1-DATA'!$1:$1048576,IF(OR($B94="STD. DEVIATION",$C$1=1),$A94,$A94+1),COLUMN('1-DATA'!L92)),IF($B94="STD. DEVIATION",2,$F$1))))</f>
        <v/>
      </c>
      <c r="N94" s="1" t="str">
        <f>IF(OR($B94="",N$7=""),"",IF($B94="MEANS",INDEX('1-DATA'!$1:$1048576,$A93-1,COLUMN('1-DATA'!M92)),ROUND(INDEX('1-DATA'!$1:$1048576,IF(OR($B94="STD. DEVIATION",$C$1=1),$A94,$A94+1),COLUMN('1-DATA'!M92)),IF($B94="STD. DEVIATION",2,$F$1))))</f>
        <v/>
      </c>
      <c r="O94" s="1" t="str">
        <f>IF(OR($B94="",O$7=""),"",IF($B94="MEANS",INDEX('1-DATA'!$1:$1048576,$A93-1,COLUMN('1-DATA'!N92)),ROUND(INDEX('1-DATA'!$1:$1048576,IF(OR($B94="STD. DEVIATION",$C$1=1),$A94,$A94+1),COLUMN('1-DATA'!N92)),IF($B94="STD. DEVIATION",2,$F$1))))</f>
        <v/>
      </c>
      <c r="P94" s="1" t="str">
        <f>IF(OR($B94="",P$7=""),"",IF($B94="MEANS",INDEX('1-DATA'!$1:$1048576,$A93-1,COLUMN('1-DATA'!O92)),ROUND(INDEX('1-DATA'!$1:$1048576,IF(OR($B94="STD. DEVIATION",$C$1=1),$A94,$A94+1),COLUMN('1-DATA'!O92)),IF($B94="STD. DEVIATION",2,$F$1))))</f>
        <v/>
      </c>
      <c r="Q94" s="1" t="str">
        <f>IF(OR($B94="",Q$7=""),"",IF($B94="MEANS",INDEX('1-DATA'!$1:$1048576,$A93-1,COLUMN('1-DATA'!P92)),ROUND(INDEX('1-DATA'!$1:$1048576,IF(OR($B94="STD. DEVIATION",$C$1=1),$A94,$A94+1),COLUMN('1-DATA'!P92)),IF($B94="STD. DEVIATION",2,$F$1))))</f>
        <v/>
      </c>
      <c r="R94" s="1" t="str">
        <f>IF(OR($B94="",R$7=""),"",IF($B94="MEANS",INDEX('1-DATA'!$1:$1048576,$A93-1,COLUMN('1-DATA'!Q92)),ROUND(INDEX('1-DATA'!$1:$1048576,IF(OR($B94="STD. DEVIATION",$C$1=1),$A94,$A94+1),COLUMN('1-DATA'!Q92)),IF($B94="STD. DEVIATION",2,$F$1))))</f>
        <v/>
      </c>
      <c r="S94" s="1" t="str">
        <f>IF(OR($B94="",S$7=""),"",IF($B94="MEANS",INDEX('1-DATA'!$1:$1048576,$A93-1,COLUMN('1-DATA'!R92)),ROUND(INDEX('1-DATA'!$1:$1048576,IF(OR($B94="STD. DEVIATION",$C$1=1),$A94,$A94+1),COLUMN('1-DATA'!R92)),IF($B94="STD. DEVIATION",2,$F$1))))</f>
        <v/>
      </c>
      <c r="T94" s="1" t="str">
        <f>IF(OR($B94="",T$7=""),"",IF($B94="MEANS",INDEX('1-DATA'!$1:$1048576,$A93-1,COLUMN('1-DATA'!S92)),ROUND(INDEX('1-DATA'!$1:$1048576,IF(OR($B94="STD. DEVIATION",$C$1=1),$A94,$A94+1),COLUMN('1-DATA'!S92)),IF($B94="STD. DEVIATION",2,$F$1))))</f>
        <v/>
      </c>
      <c r="U94" s="1" t="str">
        <f>IF(OR($B94="",U$7=""),"",IF($B94="MEANS",INDEX('1-DATA'!$1:$1048576,$A93-1,COLUMN('1-DATA'!T92)),ROUND(INDEX('1-DATA'!$1:$1048576,IF(OR($B94="STD. DEVIATION",$C$1=1),$A94,$A94+1),COLUMN('1-DATA'!T92)),IF($B94="STD. DEVIATION",2,$F$1))))</f>
        <v/>
      </c>
      <c r="V94" s="1" t="str">
        <f>IF(OR($B94="",V$7=""),"",IF($B94="MEANS",INDEX('1-DATA'!$1:$1048576,$A93-1,COLUMN('1-DATA'!U92)),ROUND(INDEX('1-DATA'!$1:$1048576,IF(OR($B94="STD. DEVIATION",$C$1=1),$A94,$A94+1),COLUMN('1-DATA'!U92)),IF($B94="STD. DEVIATION",2,$F$1))))</f>
        <v/>
      </c>
      <c r="W94" s="1" t="str">
        <f>IF(OR($B94="",W$7=""),"",IF($B94="MEANS",INDEX('1-DATA'!$1:$1048576,$A93-1,COLUMN('1-DATA'!V92)),ROUND(INDEX('1-DATA'!$1:$1048576,IF(OR($B94="STD. DEVIATION",$C$1=1),$A94,$A94+1),COLUMN('1-DATA'!V92)),IF($B94="STD. DEVIATION",2,$F$1))))</f>
        <v/>
      </c>
      <c r="X94" s="1" t="str">
        <f>IF(OR($B94="",X$7=""),"",IF($B94="MEANS",INDEX('1-DATA'!$1:$1048576,$A93-1,COLUMN('1-DATA'!W92)),ROUND(INDEX('1-DATA'!$1:$1048576,IF(OR($B94="STD. DEVIATION",$C$1=1),$A94,$A94+1),COLUMN('1-DATA'!W92)),IF($B94="STD. DEVIATION",2,$F$1))))</f>
        <v/>
      </c>
      <c r="Y94" s="1" t="str">
        <f>IF(OR($B94="",Y$7=""),"",IF($B94="MEANS",INDEX('1-DATA'!$1:$1048576,$A93-1,COLUMN('1-DATA'!X92)),ROUND(INDEX('1-DATA'!$1:$1048576,IF(OR($B94="STD. DEVIATION",$C$1=1),$A94,$A94+1),COLUMN('1-DATA'!X92)),IF($B94="STD. DEVIATION",2,$F$1))))</f>
        <v/>
      </c>
      <c r="Z94" s="1" t="str">
        <f>IF(OR($B94="",Z$7=""),"",IF($B94="MEANS",INDEX('1-DATA'!$1:$1048576,$A93-1,COLUMN('1-DATA'!Y92)),ROUND(INDEX('1-DATA'!$1:$1048576,IF(OR($B94="STD. DEVIATION",$C$1=1),$A94,$A94+1),COLUMN('1-DATA'!Y92)),IF($B94="STD. DEVIATION",2,$F$1))))</f>
        <v/>
      </c>
      <c r="AA94" s="1" t="str">
        <f>IF(OR($B94="",AA$7=""),"",IF($B94="MEANS",INDEX('1-DATA'!$1:$1048576,$A93-1,COLUMN('1-DATA'!Z92)),ROUND(INDEX('1-DATA'!$1:$1048576,IF(OR($B94="STD. DEVIATION",$C$1=1),$A94,$A94+1),COLUMN('1-DATA'!Z92)),IF($B94="STD. DEVIATION",2,$F$1))))</f>
        <v/>
      </c>
      <c r="AB94" s="1" t="str">
        <f>IF(OR($B94="",AB$7=""),"",IF($B94="MEANS",INDEX('1-DATA'!$1:$1048576,$A93-1,COLUMN('1-DATA'!AA92)),ROUND(INDEX('1-DATA'!$1:$1048576,IF(OR($B94="STD. DEVIATION",$C$1=1),$A94,$A94+1),COLUMN('1-DATA'!AA92)),IF($B94="STD. DEVIATION",2,$F$1))))</f>
        <v/>
      </c>
      <c r="AC94" s="1" t="str">
        <f>IF(OR($B94="",AC$7=""),"",IF($B94="MEANS",INDEX('1-DATA'!$1:$1048576,$A93-1,COLUMN('1-DATA'!AB92)),ROUND(INDEX('1-DATA'!$1:$1048576,IF(OR($B94="STD. DEVIATION",$C$1=1),$A94,$A94+1),COLUMN('1-DATA'!AB92)),IF($B94="STD. DEVIATION",2,$F$1))))</f>
        <v/>
      </c>
      <c r="AD94" s="1" t="str">
        <f>IF(OR($B94="",AD$7=""),"",IF($B94="MEANS",INDEX('1-DATA'!$1:$1048576,$A93-1,COLUMN('1-DATA'!AC92)),ROUND(INDEX('1-DATA'!$1:$1048576,IF(OR($B94="STD. DEVIATION",$C$1=1),$A94,$A94+1),COLUMN('1-DATA'!AC92)),IF($B94="STD. DEVIATION",2,$F$1))))</f>
        <v/>
      </c>
      <c r="AE94" s="1" t="str">
        <f>IF(OR($B94="",AE$7=""),"",IF($B94="MEANS",INDEX('1-DATA'!$1:$1048576,$A93-1,COLUMN('1-DATA'!AD92)),ROUND(INDEX('1-DATA'!$1:$1048576,IF(OR($B94="STD. DEVIATION",$C$1=1),$A94,$A94+1),COLUMN('1-DATA'!AD92)),IF($B94="STD. DEVIATION",2,$F$1))))</f>
        <v/>
      </c>
      <c r="AF94" s="1" t="str">
        <f>IF(OR($B94="",AF$7=""),"",IF($B94="MEANS",INDEX('1-DATA'!$1:$1048576,$A93-1,COLUMN('1-DATA'!AE92)),ROUND(INDEX('1-DATA'!$1:$1048576,IF(OR($B94="STD. DEVIATION",$C$1=1),$A94,$A94+1),COLUMN('1-DATA'!AE92)),IF($B94="STD. DEVIATION",2,$F$1))))</f>
        <v/>
      </c>
      <c r="AG94" s="1" t="str">
        <f>IF(OR($B94="",AG$7=""),"",IF($B94="MEANS",INDEX('1-DATA'!$1:$1048576,$A93-1,COLUMN('1-DATA'!AF92)),ROUND(INDEX('1-DATA'!$1:$1048576,IF(OR($B94="STD. DEVIATION",$C$1=1),$A94,$A94+1),COLUMN('1-DATA'!AF92)),IF($B94="STD. DEVIATION",2,$F$1))))</f>
        <v/>
      </c>
      <c r="AH94" s="1" t="str">
        <f>IF(OR($B94="",AH$7=""),"",IF($B94="MEANS",INDEX('1-DATA'!$1:$1048576,$A93-1,COLUMN('1-DATA'!AG92)),ROUND(INDEX('1-DATA'!$1:$1048576,IF(OR($B94="STD. DEVIATION",$C$1=1),$A94,$A94+1),COLUMN('1-DATA'!AG92)),IF($B94="STD. DEVIATION",2,$F$1))))</f>
        <v/>
      </c>
      <c r="AI94" s="1" t="str">
        <f>IF(OR($B94="",AI$7=""),"",IF($B94="MEANS",INDEX('1-DATA'!$1:$1048576,$A93-1,COLUMN('1-DATA'!AH92)),ROUND(INDEX('1-DATA'!$1:$1048576,IF(OR($B94="STD. DEVIATION",$C$1=1),$A94,$A94+1),COLUMN('1-DATA'!AH92)),IF($B94="STD. DEVIATION",2,$F$1))))</f>
        <v/>
      </c>
      <c r="AJ94" s="1" t="str">
        <f>IF(OR($B94="",AJ$7=""),"",IF($B94="MEANS",INDEX('1-DATA'!$1:$1048576,$A93-1,COLUMN('1-DATA'!AI92)),ROUND(INDEX('1-DATA'!$1:$1048576,IF(OR($B94="STD. DEVIATION",$C$1=1),$A94,$A94+1),COLUMN('1-DATA'!AI92)),IF($B94="STD. DEVIATION",2,$F$1))))</f>
        <v/>
      </c>
      <c r="AK94" s="1" t="str">
        <f>IF(OR($B94="",AK$7=""),"",IF($B94="MEANS",INDEX('1-DATA'!$1:$1048576,$A93-1,COLUMN('1-DATA'!AJ92)),ROUND(INDEX('1-DATA'!$1:$1048576,IF(OR($B94="STD. DEVIATION",$C$1=1),$A94,$A94+1),COLUMN('1-DATA'!AJ92)),IF($B94="STD. DEVIATION",2,$F$1))))</f>
        <v/>
      </c>
      <c r="AL94" s="1" t="str">
        <f>IF(OR($B94="",AL$7=""),"",IF($B94="MEANS",INDEX('1-DATA'!$1:$1048576,$A93-1,COLUMN('1-DATA'!AK92)),ROUND(INDEX('1-DATA'!$1:$1048576,IF(OR($B94="STD. DEVIATION",$C$1=1),$A94,$A94+1),COLUMN('1-DATA'!AK92)),IF($B94="STD. DEVIATION",2,$F$1))))</f>
        <v/>
      </c>
      <c r="AM94" s="1" t="str">
        <f>IF(OR($B94="",AM$7=""),"",IF($B94="MEANS",INDEX('1-DATA'!$1:$1048576,$A93-1,COLUMN('1-DATA'!AL92)),ROUND(INDEX('1-DATA'!$1:$1048576,IF(OR($B94="STD. DEVIATION",$C$1=1),$A94,$A94+1),COLUMN('1-DATA'!AL92)),IF($B94="STD. DEVIATION",2,$F$1))))</f>
        <v/>
      </c>
      <c r="AN94" s="1" t="str">
        <f>IF(OR($B94="",AN$7=""),"",IF($B94="MEANS",INDEX('1-DATA'!$1:$1048576,$A93-1,COLUMN('1-DATA'!AM92)),ROUND(INDEX('1-DATA'!$1:$1048576,IF(OR($B94="STD. DEVIATION",$C$1=1),$A94,$A94+1),COLUMN('1-DATA'!AM92)),IF($B94="STD. DEVIATION",2,$F$1))))</f>
        <v/>
      </c>
      <c r="AO94" s="1" t="str">
        <f>IF(OR($B94="",AO$7=""),"",IF($B94="MEANS",INDEX('1-DATA'!$1:$1048576,$A93-1,COLUMN('1-DATA'!AN92)),ROUND(INDEX('1-DATA'!$1:$1048576,IF(OR($B94="STD. DEVIATION",$C$1=1),$A94,$A94+1),COLUMN('1-DATA'!AN92)),IF($B94="STD. DEVIATION",2,$F$1))))</f>
        <v/>
      </c>
      <c r="AP94" s="1" t="str">
        <f>IF(OR($B94="",AP$7=""),"",IF($B94="MEANS",INDEX('1-DATA'!$1:$1048576,$A93-1,COLUMN('1-DATA'!AO92)),ROUND(INDEX('1-DATA'!$1:$1048576,IF(OR($B94="STD. DEVIATION",$C$1=1),$A94,$A94+1),COLUMN('1-DATA'!AO92)),IF($B94="STD. DEVIATION",2,$F$1))))</f>
        <v/>
      </c>
      <c r="AQ94" s="1" t="str">
        <f>IF(OR($B94="",AQ$7=""),"",IF($B94="MEANS",INDEX('1-DATA'!$1:$1048576,$A93-1,COLUMN('1-DATA'!AP92)),ROUND(INDEX('1-DATA'!$1:$1048576,IF(OR($B94="STD. DEVIATION",$C$1=1),$A94,$A94+1),COLUMN('1-DATA'!AP92)),IF($B94="STD. DEVIATION",2,$F$1))))</f>
        <v/>
      </c>
      <c r="AR94" s="1" t="str">
        <f>IF(OR($B94="",AR$7=""),"",IF($B94="MEANS",INDEX('1-DATA'!$1:$1048576,$A93-1,COLUMN('1-DATA'!AQ92)),ROUND(INDEX('1-DATA'!$1:$1048576,IF(OR($B94="STD. DEVIATION",$C$1=1),$A94,$A94+1),COLUMN('1-DATA'!AQ92)),IF($B94="STD. DEVIATION",2,$F$1))))</f>
        <v/>
      </c>
      <c r="AS94" s="1" t="str">
        <f>IF(OR($B94="",AS$7=""),"",IF($B94="MEANS",INDEX('1-DATA'!$1:$1048576,$A93-1,COLUMN('1-DATA'!AR92)),ROUND(INDEX('1-DATA'!$1:$1048576,IF(OR($B94="STD. DEVIATION",$C$1=1),$A94,$A94+1),COLUMN('1-DATA'!AR92)),IF($B94="STD. DEVIATION",2,$F$1))))</f>
        <v/>
      </c>
      <c r="AT94" s="1" t="str">
        <f>IF(OR($B94="",AT$7=""),"",IF($B94="MEANS",INDEX('1-DATA'!$1:$1048576,$A93-1,COLUMN('1-DATA'!AS92)),ROUND(INDEX('1-DATA'!$1:$1048576,IF(OR($B94="STD. DEVIATION",$C$1=1),$A94,$A94+1),COLUMN('1-DATA'!AS92)),IF($B94="STD. DEVIATION",2,$F$1))))</f>
        <v/>
      </c>
      <c r="AU94" s="1" t="str">
        <f>IF(OR($B94="",AU$7=""),"",IF($B94="MEANS",INDEX('1-DATA'!$1:$1048576,$A93-1,COLUMN('1-DATA'!AT92)),ROUND(INDEX('1-DATA'!$1:$1048576,IF(OR($B94="STD. DEVIATION",$C$1=1),$A94,$A94+1),COLUMN('1-DATA'!AT92)),IF($B94="STD. DEVIATION",2,$F$1))))</f>
        <v/>
      </c>
      <c r="AV94" s="1" t="str">
        <f>IF(OR($B94="",AV$7=""),"",IF($B94="MEANS",INDEX('1-DATA'!$1:$1048576,$A93-1,COLUMN('1-DATA'!AU92)),ROUND(INDEX('1-DATA'!$1:$1048576,IF(OR($B94="STD. DEVIATION",$C$1=1),$A94,$A94+1),COLUMN('1-DATA'!AU92)),IF($B94="STD. DEVIATION",2,$F$1))))</f>
        <v/>
      </c>
      <c r="AW94" s="1" t="str">
        <f>IF(OR($B94="",AW$7=""),"",IF($B94="MEANS",INDEX('1-DATA'!$1:$1048576,$A93-1,COLUMN('1-DATA'!AV92)),ROUND(INDEX('1-DATA'!$1:$1048576,IF(OR($B94="STD. DEVIATION",$C$1=1),$A94,$A94+1),COLUMN('1-DATA'!AV92)),IF($B94="STD. DEVIATION",2,$F$1))))</f>
        <v/>
      </c>
      <c r="AX94" s="1" t="str">
        <f>IF(OR($B94="",AX$7=""),"",IF($B94="MEANS",INDEX('1-DATA'!$1:$1048576,$A93-1,COLUMN('1-DATA'!AW92)),ROUND(INDEX('1-DATA'!$1:$1048576,IF(OR($B94="STD. DEVIATION",$C$1=1),$A94,$A94+1),COLUMN('1-DATA'!AW92)),IF($B94="STD. DEVIATION",2,$F$1))))</f>
        <v/>
      </c>
      <c r="AY94" s="1" t="str">
        <f>IF(OR($B94="",AY$7=""),"",IF($B94="MEANS",INDEX('1-DATA'!$1:$1048576,$A93-1,COLUMN('1-DATA'!AX92)),ROUND(INDEX('1-DATA'!$1:$1048576,IF(OR($B94="STD. DEVIATION",$C$1=1),$A94,$A94+1),COLUMN('1-DATA'!AX92)),IF($B94="STD. DEVIATION",2,$F$1))))</f>
        <v/>
      </c>
      <c r="AZ94" s="1" t="str">
        <f>IF(OR($B94="",AZ$7=""),"",IF($B94="MEANS",INDEX('1-DATA'!$1:$1048576,$A93-1,COLUMN('1-DATA'!AY92)),ROUND(INDEX('1-DATA'!$1:$1048576,IF(OR($B94="STD. DEVIATION",$C$1=1),$A94,$A94+1),COLUMN('1-DATA'!AY92)),IF($B94="STD. DEVIATION",2,$F$1))))</f>
        <v/>
      </c>
    </row>
    <row r="95" spans="1:52" x14ac:dyDescent="0.25">
      <c r="A95" s="11">
        <f t="shared" si="2"/>
        <v>271</v>
      </c>
      <c r="B95" s="1" t="str">
        <f>IF(B94="STD. DEVIATION",INDEX('1-DATA'!$1:$1048576,$A94-1,1),IF(INDEX('1-DATA'!$1:$1048576,$A95,1)&lt;&gt;"",INDEX('1-DATA'!$1:$1048576,$A95,1),""))</f>
        <v/>
      </c>
      <c r="C95" s="1" t="str">
        <f>IF(OR($B95="",C$7=""),"",IF($B95="MEANS",INDEX('1-DATA'!$1:$1048576,$A94-1,COLUMN('1-DATA'!B93)),ROUND(INDEX('1-DATA'!$1:$1048576,IF(OR($B95="STD. DEVIATION",$C$1=1),$A95,$A95+1),COLUMN('1-DATA'!B93)),IF($B95="STD. DEVIATION",2,$F$1))))</f>
        <v/>
      </c>
      <c r="D95" s="1" t="str">
        <f>IF(OR($B95="",D$7=""),"",IF($B95="MEANS",INDEX('1-DATA'!$1:$1048576,$A94-1,COLUMN('1-DATA'!C93)),ROUND(INDEX('1-DATA'!$1:$1048576,IF(OR($B95="STD. DEVIATION",$C$1=1),$A95,$A95+1),COLUMN('1-DATA'!C93)),IF($B95="STD. DEVIATION",2,$F$1))))</f>
        <v/>
      </c>
      <c r="E95" s="1" t="str">
        <f>IF(OR($B95="",E$7=""),"",IF($B95="MEANS",INDEX('1-DATA'!$1:$1048576,$A94-1,COLUMN('1-DATA'!D93)),ROUND(INDEX('1-DATA'!$1:$1048576,IF(OR($B95="STD. DEVIATION",$C$1=1),$A95,$A95+1),COLUMN('1-DATA'!D93)),IF($B95="STD. DEVIATION",2,$F$1))))</f>
        <v/>
      </c>
      <c r="F95" s="1" t="str">
        <f>IF(OR($B95="",F$7=""),"",IF($B95="MEANS",INDEX('1-DATA'!$1:$1048576,$A94-1,COLUMN('1-DATA'!E93)),ROUND(INDEX('1-DATA'!$1:$1048576,IF(OR($B95="STD. DEVIATION",$C$1=1),$A95,$A95+1),COLUMN('1-DATA'!E93)),IF($B95="STD. DEVIATION",2,$F$1))))</f>
        <v/>
      </c>
      <c r="G95" s="1" t="str">
        <f>IF(OR($B95="",G$7=""),"",IF($B95="MEANS",INDEX('1-DATA'!$1:$1048576,$A94-1,COLUMN('1-DATA'!F93)),ROUND(INDEX('1-DATA'!$1:$1048576,IF(OR($B95="STD. DEVIATION",$C$1=1),$A95,$A95+1),COLUMN('1-DATA'!F93)),IF($B95="STD. DEVIATION",2,$F$1))))</f>
        <v/>
      </c>
      <c r="H95" s="1" t="str">
        <f>IF(OR($B95="",H$7=""),"",IF($B95="MEANS",INDEX('1-DATA'!$1:$1048576,$A94-1,COLUMN('1-DATA'!G93)),ROUND(INDEX('1-DATA'!$1:$1048576,IF(OR($B95="STD. DEVIATION",$C$1=1),$A95,$A95+1),COLUMN('1-DATA'!G93)),IF($B95="STD. DEVIATION",2,$F$1))))</f>
        <v/>
      </c>
      <c r="I95" s="1" t="str">
        <f>IF(OR($B95="",I$7=""),"",IF($B95="MEANS",INDEX('1-DATA'!$1:$1048576,$A94-1,COLUMN('1-DATA'!H93)),ROUND(INDEX('1-DATA'!$1:$1048576,IF(OR($B95="STD. DEVIATION",$C$1=1),$A95,$A95+1),COLUMN('1-DATA'!H93)),IF($B95="STD. DEVIATION",2,$F$1))))</f>
        <v/>
      </c>
      <c r="J95" s="1" t="str">
        <f>IF(OR($B95="",J$7=""),"",IF($B95="MEANS",INDEX('1-DATA'!$1:$1048576,$A94-1,COLUMN('1-DATA'!I93)),ROUND(INDEX('1-DATA'!$1:$1048576,IF(OR($B95="STD. DEVIATION",$C$1=1),$A95,$A95+1),COLUMN('1-DATA'!I93)),IF($B95="STD. DEVIATION",2,$F$1))))</f>
        <v/>
      </c>
      <c r="K95" s="1" t="str">
        <f>IF(OR($B95="",K$7=""),"",IF($B95="MEANS",INDEX('1-DATA'!$1:$1048576,$A94-1,COLUMN('1-DATA'!J93)),ROUND(INDEX('1-DATA'!$1:$1048576,IF(OR($B95="STD. DEVIATION",$C$1=1),$A95,$A95+1),COLUMN('1-DATA'!J93)),IF($B95="STD. DEVIATION",2,$F$1))))</f>
        <v/>
      </c>
      <c r="L95" s="1" t="str">
        <f>IF(OR($B95="",L$7=""),"",IF($B95="MEANS",INDEX('1-DATA'!$1:$1048576,$A94-1,COLUMN('1-DATA'!K93)),ROUND(INDEX('1-DATA'!$1:$1048576,IF(OR($B95="STD. DEVIATION",$C$1=1),$A95,$A95+1),COLUMN('1-DATA'!K93)),IF($B95="STD. DEVIATION",2,$F$1))))</f>
        <v/>
      </c>
      <c r="M95" s="1" t="str">
        <f>IF(OR($B95="",M$7=""),"",IF($B95="MEANS",INDEX('1-DATA'!$1:$1048576,$A94-1,COLUMN('1-DATA'!L93)),ROUND(INDEX('1-DATA'!$1:$1048576,IF(OR($B95="STD. DEVIATION",$C$1=1),$A95,$A95+1),COLUMN('1-DATA'!L93)),IF($B95="STD. DEVIATION",2,$F$1))))</f>
        <v/>
      </c>
      <c r="N95" s="1" t="str">
        <f>IF(OR($B95="",N$7=""),"",IF($B95="MEANS",INDEX('1-DATA'!$1:$1048576,$A94-1,COLUMN('1-DATA'!M93)),ROUND(INDEX('1-DATA'!$1:$1048576,IF(OR($B95="STD. DEVIATION",$C$1=1),$A95,$A95+1),COLUMN('1-DATA'!M93)),IF($B95="STD. DEVIATION",2,$F$1))))</f>
        <v/>
      </c>
      <c r="O95" s="1" t="str">
        <f>IF(OR($B95="",O$7=""),"",IF($B95="MEANS",INDEX('1-DATA'!$1:$1048576,$A94-1,COLUMN('1-DATA'!N93)),ROUND(INDEX('1-DATA'!$1:$1048576,IF(OR($B95="STD. DEVIATION",$C$1=1),$A95,$A95+1),COLUMN('1-DATA'!N93)),IF($B95="STD. DEVIATION",2,$F$1))))</f>
        <v/>
      </c>
      <c r="P95" s="1" t="str">
        <f>IF(OR($B95="",P$7=""),"",IF($B95="MEANS",INDEX('1-DATA'!$1:$1048576,$A94-1,COLUMN('1-DATA'!O93)),ROUND(INDEX('1-DATA'!$1:$1048576,IF(OR($B95="STD. DEVIATION",$C$1=1),$A95,$A95+1),COLUMN('1-DATA'!O93)),IF($B95="STD. DEVIATION",2,$F$1))))</f>
        <v/>
      </c>
      <c r="Q95" s="1" t="str">
        <f>IF(OR($B95="",Q$7=""),"",IF($B95="MEANS",INDEX('1-DATA'!$1:$1048576,$A94-1,COLUMN('1-DATA'!P93)),ROUND(INDEX('1-DATA'!$1:$1048576,IF(OR($B95="STD. DEVIATION",$C$1=1),$A95,$A95+1),COLUMN('1-DATA'!P93)),IF($B95="STD. DEVIATION",2,$F$1))))</f>
        <v/>
      </c>
      <c r="R95" s="1" t="str">
        <f>IF(OR($B95="",R$7=""),"",IF($B95="MEANS",INDEX('1-DATA'!$1:$1048576,$A94-1,COLUMN('1-DATA'!Q93)),ROUND(INDEX('1-DATA'!$1:$1048576,IF(OR($B95="STD. DEVIATION",$C$1=1),$A95,$A95+1),COLUMN('1-DATA'!Q93)),IF($B95="STD. DEVIATION",2,$F$1))))</f>
        <v/>
      </c>
      <c r="S95" s="1" t="str">
        <f>IF(OR($B95="",S$7=""),"",IF($B95="MEANS",INDEX('1-DATA'!$1:$1048576,$A94-1,COLUMN('1-DATA'!R93)),ROUND(INDEX('1-DATA'!$1:$1048576,IF(OR($B95="STD. DEVIATION",$C$1=1),$A95,$A95+1),COLUMN('1-DATA'!R93)),IF($B95="STD. DEVIATION",2,$F$1))))</f>
        <v/>
      </c>
      <c r="T95" s="1" t="str">
        <f>IF(OR($B95="",T$7=""),"",IF($B95="MEANS",INDEX('1-DATA'!$1:$1048576,$A94-1,COLUMN('1-DATA'!S93)),ROUND(INDEX('1-DATA'!$1:$1048576,IF(OR($B95="STD. DEVIATION",$C$1=1),$A95,$A95+1),COLUMN('1-DATA'!S93)),IF($B95="STD. DEVIATION",2,$F$1))))</f>
        <v/>
      </c>
      <c r="U95" s="1" t="str">
        <f>IF(OR($B95="",U$7=""),"",IF($B95="MEANS",INDEX('1-DATA'!$1:$1048576,$A94-1,COLUMN('1-DATA'!T93)),ROUND(INDEX('1-DATA'!$1:$1048576,IF(OR($B95="STD. DEVIATION",$C$1=1),$A95,$A95+1),COLUMN('1-DATA'!T93)),IF($B95="STD. DEVIATION",2,$F$1))))</f>
        <v/>
      </c>
      <c r="V95" s="1" t="str">
        <f>IF(OR($B95="",V$7=""),"",IF($B95="MEANS",INDEX('1-DATA'!$1:$1048576,$A94-1,COLUMN('1-DATA'!U93)),ROUND(INDEX('1-DATA'!$1:$1048576,IF(OR($B95="STD. DEVIATION",$C$1=1),$A95,$A95+1),COLUMN('1-DATA'!U93)),IF($B95="STD. DEVIATION",2,$F$1))))</f>
        <v/>
      </c>
      <c r="W95" s="1" t="str">
        <f>IF(OR($B95="",W$7=""),"",IF($B95="MEANS",INDEX('1-DATA'!$1:$1048576,$A94-1,COLUMN('1-DATA'!V93)),ROUND(INDEX('1-DATA'!$1:$1048576,IF(OR($B95="STD. DEVIATION",$C$1=1),$A95,$A95+1),COLUMN('1-DATA'!V93)),IF($B95="STD. DEVIATION",2,$F$1))))</f>
        <v/>
      </c>
      <c r="X95" s="1" t="str">
        <f>IF(OR($B95="",X$7=""),"",IF($B95="MEANS",INDEX('1-DATA'!$1:$1048576,$A94-1,COLUMN('1-DATA'!W93)),ROUND(INDEX('1-DATA'!$1:$1048576,IF(OR($B95="STD. DEVIATION",$C$1=1),$A95,$A95+1),COLUMN('1-DATA'!W93)),IF($B95="STD. DEVIATION",2,$F$1))))</f>
        <v/>
      </c>
      <c r="Y95" s="1" t="str">
        <f>IF(OR($B95="",Y$7=""),"",IF($B95="MEANS",INDEX('1-DATA'!$1:$1048576,$A94-1,COLUMN('1-DATA'!X93)),ROUND(INDEX('1-DATA'!$1:$1048576,IF(OR($B95="STD. DEVIATION",$C$1=1),$A95,$A95+1),COLUMN('1-DATA'!X93)),IF($B95="STD. DEVIATION",2,$F$1))))</f>
        <v/>
      </c>
      <c r="Z95" s="1" t="str">
        <f>IF(OR($B95="",Z$7=""),"",IF($B95="MEANS",INDEX('1-DATA'!$1:$1048576,$A94-1,COLUMN('1-DATA'!Y93)),ROUND(INDEX('1-DATA'!$1:$1048576,IF(OR($B95="STD. DEVIATION",$C$1=1),$A95,$A95+1),COLUMN('1-DATA'!Y93)),IF($B95="STD. DEVIATION",2,$F$1))))</f>
        <v/>
      </c>
      <c r="AA95" s="1" t="str">
        <f>IF(OR($B95="",AA$7=""),"",IF($B95="MEANS",INDEX('1-DATA'!$1:$1048576,$A94-1,COLUMN('1-DATA'!Z93)),ROUND(INDEX('1-DATA'!$1:$1048576,IF(OR($B95="STD. DEVIATION",$C$1=1),$A95,$A95+1),COLUMN('1-DATA'!Z93)),IF($B95="STD. DEVIATION",2,$F$1))))</f>
        <v/>
      </c>
      <c r="AB95" s="1" t="str">
        <f>IF(OR($B95="",AB$7=""),"",IF($B95="MEANS",INDEX('1-DATA'!$1:$1048576,$A94-1,COLUMN('1-DATA'!AA93)),ROUND(INDEX('1-DATA'!$1:$1048576,IF(OR($B95="STD. DEVIATION",$C$1=1),$A95,$A95+1),COLUMN('1-DATA'!AA93)),IF($B95="STD. DEVIATION",2,$F$1))))</f>
        <v/>
      </c>
      <c r="AC95" s="1" t="str">
        <f>IF(OR($B95="",AC$7=""),"",IF($B95="MEANS",INDEX('1-DATA'!$1:$1048576,$A94-1,COLUMN('1-DATA'!AB93)),ROUND(INDEX('1-DATA'!$1:$1048576,IF(OR($B95="STD. DEVIATION",$C$1=1),$A95,$A95+1),COLUMN('1-DATA'!AB93)),IF($B95="STD. DEVIATION",2,$F$1))))</f>
        <v/>
      </c>
      <c r="AD95" s="1" t="str">
        <f>IF(OR($B95="",AD$7=""),"",IF($B95="MEANS",INDEX('1-DATA'!$1:$1048576,$A94-1,COLUMN('1-DATA'!AC93)),ROUND(INDEX('1-DATA'!$1:$1048576,IF(OR($B95="STD. DEVIATION",$C$1=1),$A95,$A95+1),COLUMN('1-DATA'!AC93)),IF($B95="STD. DEVIATION",2,$F$1))))</f>
        <v/>
      </c>
      <c r="AE95" s="1" t="str">
        <f>IF(OR($B95="",AE$7=""),"",IF($B95="MEANS",INDEX('1-DATA'!$1:$1048576,$A94-1,COLUMN('1-DATA'!AD93)),ROUND(INDEX('1-DATA'!$1:$1048576,IF(OR($B95="STD. DEVIATION",$C$1=1),$A95,$A95+1),COLUMN('1-DATA'!AD93)),IF($B95="STD. DEVIATION",2,$F$1))))</f>
        <v/>
      </c>
      <c r="AF95" s="1" t="str">
        <f>IF(OR($B95="",AF$7=""),"",IF($B95="MEANS",INDEX('1-DATA'!$1:$1048576,$A94-1,COLUMN('1-DATA'!AE93)),ROUND(INDEX('1-DATA'!$1:$1048576,IF(OR($B95="STD. DEVIATION",$C$1=1),$A95,$A95+1),COLUMN('1-DATA'!AE93)),IF($B95="STD. DEVIATION",2,$F$1))))</f>
        <v/>
      </c>
      <c r="AG95" s="1" t="str">
        <f>IF(OR($B95="",AG$7=""),"",IF($B95="MEANS",INDEX('1-DATA'!$1:$1048576,$A94-1,COLUMN('1-DATA'!AF93)),ROUND(INDEX('1-DATA'!$1:$1048576,IF(OR($B95="STD. DEVIATION",$C$1=1),$A95,$A95+1),COLUMN('1-DATA'!AF93)),IF($B95="STD. DEVIATION",2,$F$1))))</f>
        <v/>
      </c>
      <c r="AH95" s="1" t="str">
        <f>IF(OR($B95="",AH$7=""),"",IF($B95="MEANS",INDEX('1-DATA'!$1:$1048576,$A94-1,COLUMN('1-DATA'!AG93)),ROUND(INDEX('1-DATA'!$1:$1048576,IF(OR($B95="STD. DEVIATION",$C$1=1),$A95,$A95+1),COLUMN('1-DATA'!AG93)),IF($B95="STD. DEVIATION",2,$F$1))))</f>
        <v/>
      </c>
      <c r="AI95" s="1" t="str">
        <f>IF(OR($B95="",AI$7=""),"",IF($B95="MEANS",INDEX('1-DATA'!$1:$1048576,$A94-1,COLUMN('1-DATA'!AH93)),ROUND(INDEX('1-DATA'!$1:$1048576,IF(OR($B95="STD. DEVIATION",$C$1=1),$A95,$A95+1),COLUMN('1-DATA'!AH93)),IF($B95="STD. DEVIATION",2,$F$1))))</f>
        <v/>
      </c>
      <c r="AJ95" s="1" t="str">
        <f>IF(OR($B95="",AJ$7=""),"",IF($B95="MEANS",INDEX('1-DATA'!$1:$1048576,$A94-1,COLUMN('1-DATA'!AI93)),ROUND(INDEX('1-DATA'!$1:$1048576,IF(OR($B95="STD. DEVIATION",$C$1=1),$A95,$A95+1),COLUMN('1-DATA'!AI93)),IF($B95="STD. DEVIATION",2,$F$1))))</f>
        <v/>
      </c>
      <c r="AK95" s="1" t="str">
        <f>IF(OR($B95="",AK$7=""),"",IF($B95="MEANS",INDEX('1-DATA'!$1:$1048576,$A94-1,COLUMN('1-DATA'!AJ93)),ROUND(INDEX('1-DATA'!$1:$1048576,IF(OR($B95="STD. DEVIATION",$C$1=1),$A95,$A95+1),COLUMN('1-DATA'!AJ93)),IF($B95="STD. DEVIATION",2,$F$1))))</f>
        <v/>
      </c>
      <c r="AL95" s="1" t="str">
        <f>IF(OR($B95="",AL$7=""),"",IF($B95="MEANS",INDEX('1-DATA'!$1:$1048576,$A94-1,COLUMN('1-DATA'!AK93)),ROUND(INDEX('1-DATA'!$1:$1048576,IF(OR($B95="STD. DEVIATION",$C$1=1),$A95,$A95+1),COLUMN('1-DATA'!AK93)),IF($B95="STD. DEVIATION",2,$F$1))))</f>
        <v/>
      </c>
      <c r="AM95" s="1" t="str">
        <f>IF(OR($B95="",AM$7=""),"",IF($B95="MEANS",INDEX('1-DATA'!$1:$1048576,$A94-1,COLUMN('1-DATA'!AL93)),ROUND(INDEX('1-DATA'!$1:$1048576,IF(OR($B95="STD. DEVIATION",$C$1=1),$A95,$A95+1),COLUMN('1-DATA'!AL93)),IF($B95="STD. DEVIATION",2,$F$1))))</f>
        <v/>
      </c>
      <c r="AN95" s="1" t="str">
        <f>IF(OR($B95="",AN$7=""),"",IF($B95="MEANS",INDEX('1-DATA'!$1:$1048576,$A94-1,COLUMN('1-DATA'!AM93)),ROUND(INDEX('1-DATA'!$1:$1048576,IF(OR($B95="STD. DEVIATION",$C$1=1),$A95,$A95+1),COLUMN('1-DATA'!AM93)),IF($B95="STD. DEVIATION",2,$F$1))))</f>
        <v/>
      </c>
      <c r="AO95" s="1" t="str">
        <f>IF(OR($B95="",AO$7=""),"",IF($B95="MEANS",INDEX('1-DATA'!$1:$1048576,$A94-1,COLUMN('1-DATA'!AN93)),ROUND(INDEX('1-DATA'!$1:$1048576,IF(OR($B95="STD. DEVIATION",$C$1=1),$A95,$A95+1),COLUMN('1-DATA'!AN93)),IF($B95="STD. DEVIATION",2,$F$1))))</f>
        <v/>
      </c>
      <c r="AP95" s="1" t="str">
        <f>IF(OR($B95="",AP$7=""),"",IF($B95="MEANS",INDEX('1-DATA'!$1:$1048576,$A94-1,COLUMN('1-DATA'!AO93)),ROUND(INDEX('1-DATA'!$1:$1048576,IF(OR($B95="STD. DEVIATION",$C$1=1),$A95,$A95+1),COLUMN('1-DATA'!AO93)),IF($B95="STD. DEVIATION",2,$F$1))))</f>
        <v/>
      </c>
      <c r="AQ95" s="1" t="str">
        <f>IF(OR($B95="",AQ$7=""),"",IF($B95="MEANS",INDEX('1-DATA'!$1:$1048576,$A94-1,COLUMN('1-DATA'!AP93)),ROUND(INDEX('1-DATA'!$1:$1048576,IF(OR($B95="STD. DEVIATION",$C$1=1),$A95,$A95+1),COLUMN('1-DATA'!AP93)),IF($B95="STD. DEVIATION",2,$F$1))))</f>
        <v/>
      </c>
      <c r="AR95" s="1" t="str">
        <f>IF(OR($B95="",AR$7=""),"",IF($B95="MEANS",INDEX('1-DATA'!$1:$1048576,$A94-1,COLUMN('1-DATA'!AQ93)),ROUND(INDEX('1-DATA'!$1:$1048576,IF(OR($B95="STD. DEVIATION",$C$1=1),$A95,$A95+1),COLUMN('1-DATA'!AQ93)),IF($B95="STD. DEVIATION",2,$F$1))))</f>
        <v/>
      </c>
      <c r="AS95" s="1" t="str">
        <f>IF(OR($B95="",AS$7=""),"",IF($B95="MEANS",INDEX('1-DATA'!$1:$1048576,$A94-1,COLUMN('1-DATA'!AR93)),ROUND(INDEX('1-DATA'!$1:$1048576,IF(OR($B95="STD. DEVIATION",$C$1=1),$A95,$A95+1),COLUMN('1-DATA'!AR93)),IF($B95="STD. DEVIATION",2,$F$1))))</f>
        <v/>
      </c>
      <c r="AT95" s="1" t="str">
        <f>IF(OR($B95="",AT$7=""),"",IF($B95="MEANS",INDEX('1-DATA'!$1:$1048576,$A94-1,COLUMN('1-DATA'!AS93)),ROUND(INDEX('1-DATA'!$1:$1048576,IF(OR($B95="STD. DEVIATION",$C$1=1),$A95,$A95+1),COLUMN('1-DATA'!AS93)),IF($B95="STD. DEVIATION",2,$F$1))))</f>
        <v/>
      </c>
      <c r="AU95" s="1" t="str">
        <f>IF(OR($B95="",AU$7=""),"",IF($B95="MEANS",INDEX('1-DATA'!$1:$1048576,$A94-1,COLUMN('1-DATA'!AT93)),ROUND(INDEX('1-DATA'!$1:$1048576,IF(OR($B95="STD. DEVIATION",$C$1=1),$A95,$A95+1),COLUMN('1-DATA'!AT93)),IF($B95="STD. DEVIATION",2,$F$1))))</f>
        <v/>
      </c>
      <c r="AV95" s="1" t="str">
        <f>IF(OR($B95="",AV$7=""),"",IF($B95="MEANS",INDEX('1-DATA'!$1:$1048576,$A94-1,COLUMN('1-DATA'!AU93)),ROUND(INDEX('1-DATA'!$1:$1048576,IF(OR($B95="STD. DEVIATION",$C$1=1),$A95,$A95+1),COLUMN('1-DATA'!AU93)),IF($B95="STD. DEVIATION",2,$F$1))))</f>
        <v/>
      </c>
      <c r="AW95" s="1" t="str">
        <f>IF(OR($B95="",AW$7=""),"",IF($B95="MEANS",INDEX('1-DATA'!$1:$1048576,$A94-1,COLUMN('1-DATA'!AV93)),ROUND(INDEX('1-DATA'!$1:$1048576,IF(OR($B95="STD. DEVIATION",$C$1=1),$A95,$A95+1),COLUMN('1-DATA'!AV93)),IF($B95="STD. DEVIATION",2,$F$1))))</f>
        <v/>
      </c>
      <c r="AX95" s="1" t="str">
        <f>IF(OR($B95="",AX$7=""),"",IF($B95="MEANS",INDEX('1-DATA'!$1:$1048576,$A94-1,COLUMN('1-DATA'!AW93)),ROUND(INDEX('1-DATA'!$1:$1048576,IF(OR($B95="STD. DEVIATION",$C$1=1),$A95,$A95+1),COLUMN('1-DATA'!AW93)),IF($B95="STD. DEVIATION",2,$F$1))))</f>
        <v/>
      </c>
      <c r="AY95" s="1" t="str">
        <f>IF(OR($B95="",AY$7=""),"",IF($B95="MEANS",INDEX('1-DATA'!$1:$1048576,$A94-1,COLUMN('1-DATA'!AX93)),ROUND(INDEX('1-DATA'!$1:$1048576,IF(OR($B95="STD. DEVIATION",$C$1=1),$A95,$A95+1),COLUMN('1-DATA'!AX93)),IF($B95="STD. DEVIATION",2,$F$1))))</f>
        <v/>
      </c>
      <c r="AZ95" s="1" t="str">
        <f>IF(OR($B95="",AZ$7=""),"",IF($B95="MEANS",INDEX('1-DATA'!$1:$1048576,$A94-1,COLUMN('1-DATA'!AY93)),ROUND(INDEX('1-DATA'!$1:$1048576,IF(OR($B95="STD. DEVIATION",$C$1=1),$A95,$A95+1),COLUMN('1-DATA'!AY93)),IF($B95="STD. DEVIATION",2,$F$1))))</f>
        <v/>
      </c>
    </row>
    <row r="96" spans="1:52" x14ac:dyDescent="0.25">
      <c r="A96" s="11">
        <f t="shared" si="2"/>
        <v>274</v>
      </c>
      <c r="B96" s="1" t="str">
        <f>IF(B95="STD. DEVIATION",INDEX('1-DATA'!$1:$1048576,$A95-1,1),IF(INDEX('1-DATA'!$1:$1048576,$A96,1)&lt;&gt;"",INDEX('1-DATA'!$1:$1048576,$A96,1),""))</f>
        <v/>
      </c>
      <c r="C96" s="1" t="str">
        <f>IF(OR($B96="",C$7=""),"",IF($B96="MEANS",INDEX('1-DATA'!$1:$1048576,$A95-1,COLUMN('1-DATA'!B94)),ROUND(INDEX('1-DATA'!$1:$1048576,IF(OR($B96="STD. DEVIATION",$C$1=1),$A96,$A96+1),COLUMN('1-DATA'!B94)),IF($B96="STD. DEVIATION",2,$F$1))))</f>
        <v/>
      </c>
      <c r="D96" s="1" t="str">
        <f>IF(OR($B96="",D$7=""),"",IF($B96="MEANS",INDEX('1-DATA'!$1:$1048576,$A95-1,COLUMN('1-DATA'!C94)),ROUND(INDEX('1-DATA'!$1:$1048576,IF(OR($B96="STD. DEVIATION",$C$1=1),$A96,$A96+1),COLUMN('1-DATA'!C94)),IF($B96="STD. DEVIATION",2,$F$1))))</f>
        <v/>
      </c>
      <c r="E96" s="1" t="str">
        <f>IF(OR($B96="",E$7=""),"",IF($B96="MEANS",INDEX('1-DATA'!$1:$1048576,$A95-1,COLUMN('1-DATA'!D94)),ROUND(INDEX('1-DATA'!$1:$1048576,IF(OR($B96="STD. DEVIATION",$C$1=1),$A96,$A96+1),COLUMN('1-DATA'!D94)),IF($B96="STD. DEVIATION",2,$F$1))))</f>
        <v/>
      </c>
      <c r="F96" s="1" t="str">
        <f>IF(OR($B96="",F$7=""),"",IF($B96="MEANS",INDEX('1-DATA'!$1:$1048576,$A95-1,COLUMN('1-DATA'!E94)),ROUND(INDEX('1-DATA'!$1:$1048576,IF(OR($B96="STD. DEVIATION",$C$1=1),$A96,$A96+1),COLUMN('1-DATA'!E94)),IF($B96="STD. DEVIATION",2,$F$1))))</f>
        <v/>
      </c>
      <c r="G96" s="1" t="str">
        <f>IF(OR($B96="",G$7=""),"",IF($B96="MEANS",INDEX('1-DATA'!$1:$1048576,$A95-1,COLUMN('1-DATA'!F94)),ROUND(INDEX('1-DATA'!$1:$1048576,IF(OR($B96="STD. DEVIATION",$C$1=1),$A96,$A96+1),COLUMN('1-DATA'!F94)),IF($B96="STD. DEVIATION",2,$F$1))))</f>
        <v/>
      </c>
      <c r="H96" s="1" t="str">
        <f>IF(OR($B96="",H$7=""),"",IF($B96="MEANS",INDEX('1-DATA'!$1:$1048576,$A95-1,COLUMN('1-DATA'!G94)),ROUND(INDEX('1-DATA'!$1:$1048576,IF(OR($B96="STD. DEVIATION",$C$1=1),$A96,$A96+1),COLUMN('1-DATA'!G94)),IF($B96="STD. DEVIATION",2,$F$1))))</f>
        <v/>
      </c>
      <c r="I96" s="1" t="str">
        <f>IF(OR($B96="",I$7=""),"",IF($B96="MEANS",INDEX('1-DATA'!$1:$1048576,$A95-1,COLUMN('1-DATA'!H94)),ROUND(INDEX('1-DATA'!$1:$1048576,IF(OR($B96="STD. DEVIATION",$C$1=1),$A96,$A96+1),COLUMN('1-DATA'!H94)),IF($B96="STD. DEVIATION",2,$F$1))))</f>
        <v/>
      </c>
      <c r="J96" s="1" t="str">
        <f>IF(OR($B96="",J$7=""),"",IF($B96="MEANS",INDEX('1-DATA'!$1:$1048576,$A95-1,COLUMN('1-DATA'!I94)),ROUND(INDEX('1-DATA'!$1:$1048576,IF(OR($B96="STD. DEVIATION",$C$1=1),$A96,$A96+1),COLUMN('1-DATA'!I94)),IF($B96="STD. DEVIATION",2,$F$1))))</f>
        <v/>
      </c>
      <c r="K96" s="1" t="str">
        <f>IF(OR($B96="",K$7=""),"",IF($B96="MEANS",INDEX('1-DATA'!$1:$1048576,$A95-1,COLUMN('1-DATA'!J94)),ROUND(INDEX('1-DATA'!$1:$1048576,IF(OR($B96="STD. DEVIATION",$C$1=1),$A96,$A96+1),COLUMN('1-DATA'!J94)),IF($B96="STD. DEVIATION",2,$F$1))))</f>
        <v/>
      </c>
      <c r="L96" s="1" t="str">
        <f>IF(OR($B96="",L$7=""),"",IF($B96="MEANS",INDEX('1-DATA'!$1:$1048576,$A95-1,COLUMN('1-DATA'!K94)),ROUND(INDEX('1-DATA'!$1:$1048576,IF(OR($B96="STD. DEVIATION",$C$1=1),$A96,$A96+1),COLUMN('1-DATA'!K94)),IF($B96="STD. DEVIATION",2,$F$1))))</f>
        <v/>
      </c>
      <c r="M96" s="1" t="str">
        <f>IF(OR($B96="",M$7=""),"",IF($B96="MEANS",INDEX('1-DATA'!$1:$1048576,$A95-1,COLUMN('1-DATA'!L94)),ROUND(INDEX('1-DATA'!$1:$1048576,IF(OR($B96="STD. DEVIATION",$C$1=1),$A96,$A96+1),COLUMN('1-DATA'!L94)),IF($B96="STD. DEVIATION",2,$F$1))))</f>
        <v/>
      </c>
      <c r="N96" s="1" t="str">
        <f>IF(OR($B96="",N$7=""),"",IF($B96="MEANS",INDEX('1-DATA'!$1:$1048576,$A95-1,COLUMN('1-DATA'!M94)),ROUND(INDEX('1-DATA'!$1:$1048576,IF(OR($B96="STD. DEVIATION",$C$1=1),$A96,$A96+1),COLUMN('1-DATA'!M94)),IF($B96="STD. DEVIATION",2,$F$1))))</f>
        <v/>
      </c>
      <c r="O96" s="1" t="str">
        <f>IF(OR($B96="",O$7=""),"",IF($B96="MEANS",INDEX('1-DATA'!$1:$1048576,$A95-1,COLUMN('1-DATA'!N94)),ROUND(INDEX('1-DATA'!$1:$1048576,IF(OR($B96="STD. DEVIATION",$C$1=1),$A96,$A96+1),COLUMN('1-DATA'!N94)),IF($B96="STD. DEVIATION",2,$F$1))))</f>
        <v/>
      </c>
      <c r="P96" s="1" t="str">
        <f>IF(OR($B96="",P$7=""),"",IF($B96="MEANS",INDEX('1-DATA'!$1:$1048576,$A95-1,COLUMN('1-DATA'!O94)),ROUND(INDEX('1-DATA'!$1:$1048576,IF(OR($B96="STD. DEVIATION",$C$1=1),$A96,$A96+1),COLUMN('1-DATA'!O94)),IF($B96="STD. DEVIATION",2,$F$1))))</f>
        <v/>
      </c>
      <c r="Q96" s="1" t="str">
        <f>IF(OR($B96="",Q$7=""),"",IF($B96="MEANS",INDEX('1-DATA'!$1:$1048576,$A95-1,COLUMN('1-DATA'!P94)),ROUND(INDEX('1-DATA'!$1:$1048576,IF(OR($B96="STD. DEVIATION",$C$1=1),$A96,$A96+1),COLUMN('1-DATA'!P94)),IF($B96="STD. DEVIATION",2,$F$1))))</f>
        <v/>
      </c>
      <c r="R96" s="1" t="str">
        <f>IF(OR($B96="",R$7=""),"",IF($B96="MEANS",INDEX('1-DATA'!$1:$1048576,$A95-1,COLUMN('1-DATA'!Q94)),ROUND(INDEX('1-DATA'!$1:$1048576,IF(OR($B96="STD. DEVIATION",$C$1=1),$A96,$A96+1),COLUMN('1-DATA'!Q94)),IF($B96="STD. DEVIATION",2,$F$1))))</f>
        <v/>
      </c>
      <c r="S96" s="1" t="str">
        <f>IF(OR($B96="",S$7=""),"",IF($B96="MEANS",INDEX('1-DATA'!$1:$1048576,$A95-1,COLUMN('1-DATA'!R94)),ROUND(INDEX('1-DATA'!$1:$1048576,IF(OR($B96="STD. DEVIATION",$C$1=1),$A96,$A96+1),COLUMN('1-DATA'!R94)),IF($B96="STD. DEVIATION",2,$F$1))))</f>
        <v/>
      </c>
      <c r="T96" s="1" t="str">
        <f>IF(OR($B96="",T$7=""),"",IF($B96="MEANS",INDEX('1-DATA'!$1:$1048576,$A95-1,COLUMN('1-DATA'!S94)),ROUND(INDEX('1-DATA'!$1:$1048576,IF(OR($B96="STD. DEVIATION",$C$1=1),$A96,$A96+1),COLUMN('1-DATA'!S94)),IF($B96="STD. DEVIATION",2,$F$1))))</f>
        <v/>
      </c>
      <c r="U96" s="1" t="str">
        <f>IF(OR($B96="",U$7=""),"",IF($B96="MEANS",INDEX('1-DATA'!$1:$1048576,$A95-1,COLUMN('1-DATA'!T94)),ROUND(INDEX('1-DATA'!$1:$1048576,IF(OR($B96="STD. DEVIATION",$C$1=1),$A96,$A96+1),COLUMN('1-DATA'!T94)),IF($B96="STD. DEVIATION",2,$F$1))))</f>
        <v/>
      </c>
      <c r="V96" s="1" t="str">
        <f>IF(OR($B96="",V$7=""),"",IF($B96="MEANS",INDEX('1-DATA'!$1:$1048576,$A95-1,COLUMN('1-DATA'!U94)),ROUND(INDEX('1-DATA'!$1:$1048576,IF(OR($B96="STD. DEVIATION",$C$1=1),$A96,$A96+1),COLUMN('1-DATA'!U94)),IF($B96="STD. DEVIATION",2,$F$1))))</f>
        <v/>
      </c>
      <c r="W96" s="1" t="str">
        <f>IF(OR($B96="",W$7=""),"",IF($B96="MEANS",INDEX('1-DATA'!$1:$1048576,$A95-1,COLUMN('1-DATA'!V94)),ROUND(INDEX('1-DATA'!$1:$1048576,IF(OR($B96="STD. DEVIATION",$C$1=1),$A96,$A96+1),COLUMN('1-DATA'!V94)),IF($B96="STD. DEVIATION",2,$F$1))))</f>
        <v/>
      </c>
      <c r="X96" s="1" t="str">
        <f>IF(OR($B96="",X$7=""),"",IF($B96="MEANS",INDEX('1-DATA'!$1:$1048576,$A95-1,COLUMN('1-DATA'!W94)),ROUND(INDEX('1-DATA'!$1:$1048576,IF(OR($B96="STD. DEVIATION",$C$1=1),$A96,$A96+1),COLUMN('1-DATA'!W94)),IF($B96="STD. DEVIATION",2,$F$1))))</f>
        <v/>
      </c>
      <c r="Y96" s="1" t="str">
        <f>IF(OR($B96="",Y$7=""),"",IF($B96="MEANS",INDEX('1-DATA'!$1:$1048576,$A95-1,COLUMN('1-DATA'!X94)),ROUND(INDEX('1-DATA'!$1:$1048576,IF(OR($B96="STD. DEVIATION",$C$1=1),$A96,$A96+1),COLUMN('1-DATA'!X94)),IF($B96="STD. DEVIATION",2,$F$1))))</f>
        <v/>
      </c>
      <c r="Z96" s="1" t="str">
        <f>IF(OR($B96="",Z$7=""),"",IF($B96="MEANS",INDEX('1-DATA'!$1:$1048576,$A95-1,COLUMN('1-DATA'!Y94)),ROUND(INDEX('1-DATA'!$1:$1048576,IF(OR($B96="STD. DEVIATION",$C$1=1),$A96,$A96+1),COLUMN('1-DATA'!Y94)),IF($B96="STD. DEVIATION",2,$F$1))))</f>
        <v/>
      </c>
      <c r="AA96" s="1" t="str">
        <f>IF(OR($B96="",AA$7=""),"",IF($B96="MEANS",INDEX('1-DATA'!$1:$1048576,$A95-1,COLUMN('1-DATA'!Z94)),ROUND(INDEX('1-DATA'!$1:$1048576,IF(OR($B96="STD. DEVIATION",$C$1=1),$A96,$A96+1),COLUMN('1-DATA'!Z94)),IF($B96="STD. DEVIATION",2,$F$1))))</f>
        <v/>
      </c>
      <c r="AB96" s="1" t="str">
        <f>IF(OR($B96="",AB$7=""),"",IF($B96="MEANS",INDEX('1-DATA'!$1:$1048576,$A95-1,COLUMN('1-DATA'!AA94)),ROUND(INDEX('1-DATA'!$1:$1048576,IF(OR($B96="STD. DEVIATION",$C$1=1),$A96,$A96+1),COLUMN('1-DATA'!AA94)),IF($B96="STD. DEVIATION",2,$F$1))))</f>
        <v/>
      </c>
      <c r="AC96" s="1" t="str">
        <f>IF(OR($B96="",AC$7=""),"",IF($B96="MEANS",INDEX('1-DATA'!$1:$1048576,$A95-1,COLUMN('1-DATA'!AB94)),ROUND(INDEX('1-DATA'!$1:$1048576,IF(OR($B96="STD. DEVIATION",$C$1=1),$A96,$A96+1),COLUMN('1-DATA'!AB94)),IF($B96="STD. DEVIATION",2,$F$1))))</f>
        <v/>
      </c>
      <c r="AD96" s="1" t="str">
        <f>IF(OR($B96="",AD$7=""),"",IF($B96="MEANS",INDEX('1-DATA'!$1:$1048576,$A95-1,COLUMN('1-DATA'!AC94)),ROUND(INDEX('1-DATA'!$1:$1048576,IF(OR($B96="STD. DEVIATION",$C$1=1),$A96,$A96+1),COLUMN('1-DATA'!AC94)),IF($B96="STD. DEVIATION",2,$F$1))))</f>
        <v/>
      </c>
      <c r="AE96" s="1" t="str">
        <f>IF(OR($B96="",AE$7=""),"",IF($B96="MEANS",INDEX('1-DATA'!$1:$1048576,$A95-1,COLUMN('1-DATA'!AD94)),ROUND(INDEX('1-DATA'!$1:$1048576,IF(OR($B96="STD. DEVIATION",$C$1=1),$A96,$A96+1),COLUMN('1-DATA'!AD94)),IF($B96="STD. DEVIATION",2,$F$1))))</f>
        <v/>
      </c>
      <c r="AF96" s="1" t="str">
        <f>IF(OR($B96="",AF$7=""),"",IF($B96="MEANS",INDEX('1-DATA'!$1:$1048576,$A95-1,COLUMN('1-DATA'!AE94)),ROUND(INDEX('1-DATA'!$1:$1048576,IF(OR($B96="STD. DEVIATION",$C$1=1),$A96,$A96+1),COLUMN('1-DATA'!AE94)),IF($B96="STD. DEVIATION",2,$F$1))))</f>
        <v/>
      </c>
      <c r="AG96" s="1" t="str">
        <f>IF(OR($B96="",AG$7=""),"",IF($B96="MEANS",INDEX('1-DATA'!$1:$1048576,$A95-1,COLUMN('1-DATA'!AF94)),ROUND(INDEX('1-DATA'!$1:$1048576,IF(OR($B96="STD. DEVIATION",$C$1=1),$A96,$A96+1),COLUMN('1-DATA'!AF94)),IF($B96="STD. DEVIATION",2,$F$1))))</f>
        <v/>
      </c>
      <c r="AH96" s="1" t="str">
        <f>IF(OR($B96="",AH$7=""),"",IF($B96="MEANS",INDEX('1-DATA'!$1:$1048576,$A95-1,COLUMN('1-DATA'!AG94)),ROUND(INDEX('1-DATA'!$1:$1048576,IF(OR($B96="STD. DEVIATION",$C$1=1),$A96,$A96+1),COLUMN('1-DATA'!AG94)),IF($B96="STD. DEVIATION",2,$F$1))))</f>
        <v/>
      </c>
      <c r="AI96" s="1" t="str">
        <f>IF(OR($B96="",AI$7=""),"",IF($B96="MEANS",INDEX('1-DATA'!$1:$1048576,$A95-1,COLUMN('1-DATA'!AH94)),ROUND(INDEX('1-DATA'!$1:$1048576,IF(OR($B96="STD. DEVIATION",$C$1=1),$A96,$A96+1),COLUMN('1-DATA'!AH94)),IF($B96="STD. DEVIATION",2,$F$1))))</f>
        <v/>
      </c>
      <c r="AJ96" s="1" t="str">
        <f>IF(OR($B96="",AJ$7=""),"",IF($B96="MEANS",INDEX('1-DATA'!$1:$1048576,$A95-1,COLUMN('1-DATA'!AI94)),ROUND(INDEX('1-DATA'!$1:$1048576,IF(OR($B96="STD. DEVIATION",$C$1=1),$A96,$A96+1),COLUMN('1-DATA'!AI94)),IF($B96="STD. DEVIATION",2,$F$1))))</f>
        <v/>
      </c>
      <c r="AK96" s="1" t="str">
        <f>IF(OR($B96="",AK$7=""),"",IF($B96="MEANS",INDEX('1-DATA'!$1:$1048576,$A95-1,COLUMN('1-DATA'!AJ94)),ROUND(INDEX('1-DATA'!$1:$1048576,IF(OR($B96="STD. DEVIATION",$C$1=1),$A96,$A96+1),COLUMN('1-DATA'!AJ94)),IF($B96="STD. DEVIATION",2,$F$1))))</f>
        <v/>
      </c>
      <c r="AL96" s="1" t="str">
        <f>IF(OR($B96="",AL$7=""),"",IF($B96="MEANS",INDEX('1-DATA'!$1:$1048576,$A95-1,COLUMN('1-DATA'!AK94)),ROUND(INDEX('1-DATA'!$1:$1048576,IF(OR($B96="STD. DEVIATION",$C$1=1),$A96,$A96+1),COLUMN('1-DATA'!AK94)),IF($B96="STD. DEVIATION",2,$F$1))))</f>
        <v/>
      </c>
      <c r="AM96" s="1" t="str">
        <f>IF(OR($B96="",AM$7=""),"",IF($B96="MEANS",INDEX('1-DATA'!$1:$1048576,$A95-1,COLUMN('1-DATA'!AL94)),ROUND(INDEX('1-DATA'!$1:$1048576,IF(OR($B96="STD. DEVIATION",$C$1=1),$A96,$A96+1),COLUMN('1-DATA'!AL94)),IF($B96="STD. DEVIATION",2,$F$1))))</f>
        <v/>
      </c>
      <c r="AN96" s="1" t="str">
        <f>IF(OR($B96="",AN$7=""),"",IF($B96="MEANS",INDEX('1-DATA'!$1:$1048576,$A95-1,COLUMN('1-DATA'!AM94)),ROUND(INDEX('1-DATA'!$1:$1048576,IF(OR($B96="STD. DEVIATION",$C$1=1),$A96,$A96+1),COLUMN('1-DATA'!AM94)),IF($B96="STD. DEVIATION",2,$F$1))))</f>
        <v/>
      </c>
      <c r="AO96" s="1" t="str">
        <f>IF(OR($B96="",AO$7=""),"",IF($B96="MEANS",INDEX('1-DATA'!$1:$1048576,$A95-1,COLUMN('1-DATA'!AN94)),ROUND(INDEX('1-DATA'!$1:$1048576,IF(OR($B96="STD. DEVIATION",$C$1=1),$A96,$A96+1),COLUMN('1-DATA'!AN94)),IF($B96="STD. DEVIATION",2,$F$1))))</f>
        <v/>
      </c>
      <c r="AP96" s="1" t="str">
        <f>IF(OR($B96="",AP$7=""),"",IF($B96="MEANS",INDEX('1-DATA'!$1:$1048576,$A95-1,COLUMN('1-DATA'!AO94)),ROUND(INDEX('1-DATA'!$1:$1048576,IF(OR($B96="STD. DEVIATION",$C$1=1),$A96,$A96+1),COLUMN('1-DATA'!AO94)),IF($B96="STD. DEVIATION",2,$F$1))))</f>
        <v/>
      </c>
      <c r="AQ96" s="1" t="str">
        <f>IF(OR($B96="",AQ$7=""),"",IF($B96="MEANS",INDEX('1-DATA'!$1:$1048576,$A95-1,COLUMN('1-DATA'!AP94)),ROUND(INDEX('1-DATA'!$1:$1048576,IF(OR($B96="STD. DEVIATION",$C$1=1),$A96,$A96+1),COLUMN('1-DATA'!AP94)),IF($B96="STD. DEVIATION",2,$F$1))))</f>
        <v/>
      </c>
      <c r="AR96" s="1" t="str">
        <f>IF(OR($B96="",AR$7=""),"",IF($B96="MEANS",INDEX('1-DATA'!$1:$1048576,$A95-1,COLUMN('1-DATA'!AQ94)),ROUND(INDEX('1-DATA'!$1:$1048576,IF(OR($B96="STD. DEVIATION",$C$1=1),$A96,$A96+1),COLUMN('1-DATA'!AQ94)),IF($B96="STD. DEVIATION",2,$F$1))))</f>
        <v/>
      </c>
      <c r="AS96" s="1" t="str">
        <f>IF(OR($B96="",AS$7=""),"",IF($B96="MEANS",INDEX('1-DATA'!$1:$1048576,$A95-1,COLUMN('1-DATA'!AR94)),ROUND(INDEX('1-DATA'!$1:$1048576,IF(OR($B96="STD. DEVIATION",$C$1=1),$A96,$A96+1),COLUMN('1-DATA'!AR94)),IF($B96="STD. DEVIATION",2,$F$1))))</f>
        <v/>
      </c>
      <c r="AT96" s="1" t="str">
        <f>IF(OR($B96="",AT$7=""),"",IF($B96="MEANS",INDEX('1-DATA'!$1:$1048576,$A95-1,COLUMN('1-DATA'!AS94)),ROUND(INDEX('1-DATA'!$1:$1048576,IF(OR($B96="STD. DEVIATION",$C$1=1),$A96,$A96+1),COLUMN('1-DATA'!AS94)),IF($B96="STD. DEVIATION",2,$F$1))))</f>
        <v/>
      </c>
      <c r="AU96" s="1" t="str">
        <f>IF(OR($B96="",AU$7=""),"",IF($B96="MEANS",INDEX('1-DATA'!$1:$1048576,$A95-1,COLUMN('1-DATA'!AT94)),ROUND(INDEX('1-DATA'!$1:$1048576,IF(OR($B96="STD. DEVIATION",$C$1=1),$A96,$A96+1),COLUMN('1-DATA'!AT94)),IF($B96="STD. DEVIATION",2,$F$1))))</f>
        <v/>
      </c>
      <c r="AV96" s="1" t="str">
        <f>IF(OR($B96="",AV$7=""),"",IF($B96="MEANS",INDEX('1-DATA'!$1:$1048576,$A95-1,COLUMN('1-DATA'!AU94)),ROUND(INDEX('1-DATA'!$1:$1048576,IF(OR($B96="STD. DEVIATION",$C$1=1),$A96,$A96+1),COLUMN('1-DATA'!AU94)),IF($B96="STD. DEVIATION",2,$F$1))))</f>
        <v/>
      </c>
      <c r="AW96" s="1" t="str">
        <f>IF(OR($B96="",AW$7=""),"",IF($B96="MEANS",INDEX('1-DATA'!$1:$1048576,$A95-1,COLUMN('1-DATA'!AV94)),ROUND(INDEX('1-DATA'!$1:$1048576,IF(OR($B96="STD. DEVIATION",$C$1=1),$A96,$A96+1),COLUMN('1-DATA'!AV94)),IF($B96="STD. DEVIATION",2,$F$1))))</f>
        <v/>
      </c>
      <c r="AX96" s="1" t="str">
        <f>IF(OR($B96="",AX$7=""),"",IF($B96="MEANS",INDEX('1-DATA'!$1:$1048576,$A95-1,COLUMN('1-DATA'!AW94)),ROUND(INDEX('1-DATA'!$1:$1048576,IF(OR($B96="STD. DEVIATION",$C$1=1),$A96,$A96+1),COLUMN('1-DATA'!AW94)),IF($B96="STD. DEVIATION",2,$F$1))))</f>
        <v/>
      </c>
      <c r="AY96" s="1" t="str">
        <f>IF(OR($B96="",AY$7=""),"",IF($B96="MEANS",INDEX('1-DATA'!$1:$1048576,$A95-1,COLUMN('1-DATA'!AX94)),ROUND(INDEX('1-DATA'!$1:$1048576,IF(OR($B96="STD. DEVIATION",$C$1=1),$A96,$A96+1),COLUMN('1-DATA'!AX94)),IF($B96="STD. DEVIATION",2,$F$1))))</f>
        <v/>
      </c>
      <c r="AZ96" s="1" t="str">
        <f>IF(OR($B96="",AZ$7=""),"",IF($B96="MEANS",INDEX('1-DATA'!$1:$1048576,$A95-1,COLUMN('1-DATA'!AY94)),ROUND(INDEX('1-DATA'!$1:$1048576,IF(OR($B96="STD. DEVIATION",$C$1=1),$A96,$A96+1),COLUMN('1-DATA'!AY94)),IF($B96="STD. DEVIATION",2,$F$1))))</f>
        <v/>
      </c>
    </row>
    <row r="97" spans="1:52" x14ac:dyDescent="0.25">
      <c r="A97" s="11">
        <f t="shared" si="2"/>
        <v>277</v>
      </c>
      <c r="B97" s="1" t="str">
        <f>IF(B96="STD. DEVIATION",INDEX('1-DATA'!$1:$1048576,$A96-1,1),IF(INDEX('1-DATA'!$1:$1048576,$A97,1)&lt;&gt;"",INDEX('1-DATA'!$1:$1048576,$A97,1),""))</f>
        <v/>
      </c>
      <c r="C97" s="1" t="str">
        <f>IF(OR($B97="",C$7=""),"",IF($B97="MEANS",INDEX('1-DATA'!$1:$1048576,$A96-1,COLUMN('1-DATA'!B95)),ROUND(INDEX('1-DATA'!$1:$1048576,IF(OR($B97="STD. DEVIATION",$C$1=1),$A97,$A97+1),COLUMN('1-DATA'!B95)),IF($B97="STD. DEVIATION",2,$F$1))))</f>
        <v/>
      </c>
      <c r="D97" s="1" t="str">
        <f>IF(OR($B97="",D$7=""),"",IF($B97="MEANS",INDEX('1-DATA'!$1:$1048576,$A96-1,COLUMN('1-DATA'!C95)),ROUND(INDEX('1-DATA'!$1:$1048576,IF(OR($B97="STD. DEVIATION",$C$1=1),$A97,$A97+1),COLUMN('1-DATA'!C95)),IF($B97="STD. DEVIATION",2,$F$1))))</f>
        <v/>
      </c>
      <c r="E97" s="1" t="str">
        <f>IF(OR($B97="",E$7=""),"",IF($B97="MEANS",INDEX('1-DATA'!$1:$1048576,$A96-1,COLUMN('1-DATA'!D95)),ROUND(INDEX('1-DATA'!$1:$1048576,IF(OR($B97="STD. DEVIATION",$C$1=1),$A97,$A97+1),COLUMN('1-DATA'!D95)),IF($B97="STD. DEVIATION",2,$F$1))))</f>
        <v/>
      </c>
      <c r="F97" s="1" t="str">
        <f>IF(OR($B97="",F$7=""),"",IF($B97="MEANS",INDEX('1-DATA'!$1:$1048576,$A96-1,COLUMN('1-DATA'!E95)),ROUND(INDEX('1-DATA'!$1:$1048576,IF(OR($B97="STD. DEVIATION",$C$1=1),$A97,$A97+1),COLUMN('1-DATA'!E95)),IF($B97="STD. DEVIATION",2,$F$1))))</f>
        <v/>
      </c>
      <c r="G97" s="1" t="str">
        <f>IF(OR($B97="",G$7=""),"",IF($B97="MEANS",INDEX('1-DATA'!$1:$1048576,$A96-1,COLUMN('1-DATA'!F95)),ROUND(INDEX('1-DATA'!$1:$1048576,IF(OR($B97="STD. DEVIATION",$C$1=1),$A97,$A97+1),COLUMN('1-DATA'!F95)),IF($B97="STD. DEVIATION",2,$F$1))))</f>
        <v/>
      </c>
      <c r="H97" s="1" t="str">
        <f>IF(OR($B97="",H$7=""),"",IF($B97="MEANS",INDEX('1-DATA'!$1:$1048576,$A96-1,COLUMN('1-DATA'!G95)),ROUND(INDEX('1-DATA'!$1:$1048576,IF(OR($B97="STD. DEVIATION",$C$1=1),$A97,$A97+1),COLUMN('1-DATA'!G95)),IF($B97="STD. DEVIATION",2,$F$1))))</f>
        <v/>
      </c>
      <c r="I97" s="1" t="str">
        <f>IF(OR($B97="",I$7=""),"",IF($B97="MEANS",INDEX('1-DATA'!$1:$1048576,$A96-1,COLUMN('1-DATA'!H95)),ROUND(INDEX('1-DATA'!$1:$1048576,IF(OR($B97="STD. DEVIATION",$C$1=1),$A97,$A97+1),COLUMN('1-DATA'!H95)),IF($B97="STD. DEVIATION",2,$F$1))))</f>
        <v/>
      </c>
      <c r="J97" s="1" t="str">
        <f>IF(OR($B97="",J$7=""),"",IF($B97="MEANS",INDEX('1-DATA'!$1:$1048576,$A96-1,COLUMN('1-DATA'!I95)),ROUND(INDEX('1-DATA'!$1:$1048576,IF(OR($B97="STD. DEVIATION",$C$1=1),$A97,$A97+1),COLUMN('1-DATA'!I95)),IF($B97="STD. DEVIATION",2,$F$1))))</f>
        <v/>
      </c>
      <c r="K97" s="1" t="str">
        <f>IF(OR($B97="",K$7=""),"",IF($B97="MEANS",INDEX('1-DATA'!$1:$1048576,$A96-1,COLUMN('1-DATA'!J95)),ROUND(INDEX('1-DATA'!$1:$1048576,IF(OR($B97="STD. DEVIATION",$C$1=1),$A97,$A97+1),COLUMN('1-DATA'!J95)),IF($B97="STD. DEVIATION",2,$F$1))))</f>
        <v/>
      </c>
      <c r="L97" s="1" t="str">
        <f>IF(OR($B97="",L$7=""),"",IF($B97="MEANS",INDEX('1-DATA'!$1:$1048576,$A96-1,COLUMN('1-DATA'!K95)),ROUND(INDEX('1-DATA'!$1:$1048576,IF(OR($B97="STD. DEVIATION",$C$1=1),$A97,$A97+1),COLUMN('1-DATA'!K95)),IF($B97="STD. DEVIATION",2,$F$1))))</f>
        <v/>
      </c>
      <c r="M97" s="1" t="str">
        <f>IF(OR($B97="",M$7=""),"",IF($B97="MEANS",INDEX('1-DATA'!$1:$1048576,$A96-1,COLUMN('1-DATA'!L95)),ROUND(INDEX('1-DATA'!$1:$1048576,IF(OR($B97="STD. DEVIATION",$C$1=1),$A97,$A97+1),COLUMN('1-DATA'!L95)),IF($B97="STD. DEVIATION",2,$F$1))))</f>
        <v/>
      </c>
      <c r="N97" s="1" t="str">
        <f>IF(OR($B97="",N$7=""),"",IF($B97="MEANS",INDEX('1-DATA'!$1:$1048576,$A96-1,COLUMN('1-DATA'!M95)),ROUND(INDEX('1-DATA'!$1:$1048576,IF(OR($B97="STD. DEVIATION",$C$1=1),$A97,$A97+1),COLUMN('1-DATA'!M95)),IF($B97="STD. DEVIATION",2,$F$1))))</f>
        <v/>
      </c>
      <c r="O97" s="1" t="str">
        <f>IF(OR($B97="",O$7=""),"",IF($B97="MEANS",INDEX('1-DATA'!$1:$1048576,$A96-1,COLUMN('1-DATA'!N95)),ROUND(INDEX('1-DATA'!$1:$1048576,IF(OR($B97="STD. DEVIATION",$C$1=1),$A97,$A97+1),COLUMN('1-DATA'!N95)),IF($B97="STD. DEVIATION",2,$F$1))))</f>
        <v/>
      </c>
      <c r="P97" s="1" t="str">
        <f>IF(OR($B97="",P$7=""),"",IF($B97="MEANS",INDEX('1-DATA'!$1:$1048576,$A96-1,COLUMN('1-DATA'!O95)),ROUND(INDEX('1-DATA'!$1:$1048576,IF(OR($B97="STD. DEVIATION",$C$1=1),$A97,$A97+1),COLUMN('1-DATA'!O95)),IF($B97="STD. DEVIATION",2,$F$1))))</f>
        <v/>
      </c>
      <c r="Q97" s="1" t="str">
        <f>IF(OR($B97="",Q$7=""),"",IF($B97="MEANS",INDEX('1-DATA'!$1:$1048576,$A96-1,COLUMN('1-DATA'!P95)),ROUND(INDEX('1-DATA'!$1:$1048576,IF(OR($B97="STD. DEVIATION",$C$1=1),$A97,$A97+1),COLUMN('1-DATA'!P95)),IF($B97="STD. DEVIATION",2,$F$1))))</f>
        <v/>
      </c>
      <c r="R97" s="1" t="str">
        <f>IF(OR($B97="",R$7=""),"",IF($B97="MEANS",INDEX('1-DATA'!$1:$1048576,$A96-1,COLUMN('1-DATA'!Q95)),ROUND(INDEX('1-DATA'!$1:$1048576,IF(OR($B97="STD. DEVIATION",$C$1=1),$A97,$A97+1),COLUMN('1-DATA'!Q95)),IF($B97="STD. DEVIATION",2,$F$1))))</f>
        <v/>
      </c>
      <c r="S97" s="1" t="str">
        <f>IF(OR($B97="",S$7=""),"",IF($B97="MEANS",INDEX('1-DATA'!$1:$1048576,$A96-1,COLUMN('1-DATA'!R95)),ROUND(INDEX('1-DATA'!$1:$1048576,IF(OR($B97="STD. DEVIATION",$C$1=1),$A97,$A97+1),COLUMN('1-DATA'!R95)),IF($B97="STD. DEVIATION",2,$F$1))))</f>
        <v/>
      </c>
      <c r="T97" s="1" t="str">
        <f>IF(OR($B97="",T$7=""),"",IF($B97="MEANS",INDEX('1-DATA'!$1:$1048576,$A96-1,COLUMN('1-DATA'!S95)),ROUND(INDEX('1-DATA'!$1:$1048576,IF(OR($B97="STD. DEVIATION",$C$1=1),$A97,$A97+1),COLUMN('1-DATA'!S95)),IF($B97="STD. DEVIATION",2,$F$1))))</f>
        <v/>
      </c>
      <c r="U97" s="1" t="str">
        <f>IF(OR($B97="",U$7=""),"",IF($B97="MEANS",INDEX('1-DATA'!$1:$1048576,$A96-1,COLUMN('1-DATA'!T95)),ROUND(INDEX('1-DATA'!$1:$1048576,IF(OR($B97="STD. DEVIATION",$C$1=1),$A97,$A97+1),COLUMN('1-DATA'!T95)),IF($B97="STD. DEVIATION",2,$F$1))))</f>
        <v/>
      </c>
      <c r="V97" s="1" t="str">
        <f>IF(OR($B97="",V$7=""),"",IF($B97="MEANS",INDEX('1-DATA'!$1:$1048576,$A96-1,COLUMN('1-DATA'!U95)),ROUND(INDEX('1-DATA'!$1:$1048576,IF(OR($B97="STD. DEVIATION",$C$1=1),$A97,$A97+1),COLUMN('1-DATA'!U95)),IF($B97="STD. DEVIATION",2,$F$1))))</f>
        <v/>
      </c>
      <c r="W97" s="1" t="str">
        <f>IF(OR($B97="",W$7=""),"",IF($B97="MEANS",INDEX('1-DATA'!$1:$1048576,$A96-1,COLUMN('1-DATA'!V95)),ROUND(INDEX('1-DATA'!$1:$1048576,IF(OR($B97="STD. DEVIATION",$C$1=1),$A97,$A97+1),COLUMN('1-DATA'!V95)),IF($B97="STD. DEVIATION",2,$F$1))))</f>
        <v/>
      </c>
      <c r="X97" s="1" t="str">
        <f>IF(OR($B97="",X$7=""),"",IF($B97="MEANS",INDEX('1-DATA'!$1:$1048576,$A96-1,COLUMN('1-DATA'!W95)),ROUND(INDEX('1-DATA'!$1:$1048576,IF(OR($B97="STD. DEVIATION",$C$1=1),$A97,$A97+1),COLUMN('1-DATA'!W95)),IF($B97="STD. DEVIATION",2,$F$1))))</f>
        <v/>
      </c>
      <c r="Y97" s="1" t="str">
        <f>IF(OR($B97="",Y$7=""),"",IF($B97="MEANS",INDEX('1-DATA'!$1:$1048576,$A96-1,COLUMN('1-DATA'!X95)),ROUND(INDEX('1-DATA'!$1:$1048576,IF(OR($B97="STD. DEVIATION",$C$1=1),$A97,$A97+1),COLUMN('1-DATA'!X95)),IF($B97="STD. DEVIATION",2,$F$1))))</f>
        <v/>
      </c>
      <c r="Z97" s="1" t="str">
        <f>IF(OR($B97="",Z$7=""),"",IF($B97="MEANS",INDEX('1-DATA'!$1:$1048576,$A96-1,COLUMN('1-DATA'!Y95)),ROUND(INDEX('1-DATA'!$1:$1048576,IF(OR($B97="STD. DEVIATION",$C$1=1),$A97,$A97+1),COLUMN('1-DATA'!Y95)),IF($B97="STD. DEVIATION",2,$F$1))))</f>
        <v/>
      </c>
      <c r="AA97" s="1" t="str">
        <f>IF(OR($B97="",AA$7=""),"",IF($B97="MEANS",INDEX('1-DATA'!$1:$1048576,$A96-1,COLUMN('1-DATA'!Z95)),ROUND(INDEX('1-DATA'!$1:$1048576,IF(OR($B97="STD. DEVIATION",$C$1=1),$A97,$A97+1),COLUMN('1-DATA'!Z95)),IF($B97="STD. DEVIATION",2,$F$1))))</f>
        <v/>
      </c>
      <c r="AB97" s="1" t="str">
        <f>IF(OR($B97="",AB$7=""),"",IF($B97="MEANS",INDEX('1-DATA'!$1:$1048576,$A96-1,COLUMN('1-DATA'!AA95)),ROUND(INDEX('1-DATA'!$1:$1048576,IF(OR($B97="STD. DEVIATION",$C$1=1),$A97,$A97+1),COLUMN('1-DATA'!AA95)),IF($B97="STD. DEVIATION",2,$F$1))))</f>
        <v/>
      </c>
      <c r="AC97" s="1" t="str">
        <f>IF(OR($B97="",AC$7=""),"",IF($B97="MEANS",INDEX('1-DATA'!$1:$1048576,$A96-1,COLUMN('1-DATA'!AB95)),ROUND(INDEX('1-DATA'!$1:$1048576,IF(OR($B97="STD. DEVIATION",$C$1=1),$A97,$A97+1),COLUMN('1-DATA'!AB95)),IF($B97="STD. DEVIATION",2,$F$1))))</f>
        <v/>
      </c>
      <c r="AD97" s="1" t="str">
        <f>IF(OR($B97="",AD$7=""),"",IF($B97="MEANS",INDEX('1-DATA'!$1:$1048576,$A96-1,COLUMN('1-DATA'!AC95)),ROUND(INDEX('1-DATA'!$1:$1048576,IF(OR($B97="STD. DEVIATION",$C$1=1),$A97,$A97+1),COLUMN('1-DATA'!AC95)),IF($B97="STD. DEVIATION",2,$F$1))))</f>
        <v/>
      </c>
      <c r="AE97" s="1" t="str">
        <f>IF(OR($B97="",AE$7=""),"",IF($B97="MEANS",INDEX('1-DATA'!$1:$1048576,$A96-1,COLUMN('1-DATA'!AD95)),ROUND(INDEX('1-DATA'!$1:$1048576,IF(OR($B97="STD. DEVIATION",$C$1=1),$A97,$A97+1),COLUMN('1-DATA'!AD95)),IF($B97="STD. DEVIATION",2,$F$1))))</f>
        <v/>
      </c>
      <c r="AF97" s="1" t="str">
        <f>IF(OR($B97="",AF$7=""),"",IF($B97="MEANS",INDEX('1-DATA'!$1:$1048576,$A96-1,COLUMN('1-DATA'!AE95)),ROUND(INDEX('1-DATA'!$1:$1048576,IF(OR($B97="STD. DEVIATION",$C$1=1),$A97,$A97+1),COLUMN('1-DATA'!AE95)),IF($B97="STD. DEVIATION",2,$F$1))))</f>
        <v/>
      </c>
      <c r="AG97" s="1" t="str">
        <f>IF(OR($B97="",AG$7=""),"",IF($B97="MEANS",INDEX('1-DATA'!$1:$1048576,$A96-1,COLUMN('1-DATA'!AF95)),ROUND(INDEX('1-DATA'!$1:$1048576,IF(OR($B97="STD. DEVIATION",$C$1=1),$A97,$A97+1),COLUMN('1-DATA'!AF95)),IF($B97="STD. DEVIATION",2,$F$1))))</f>
        <v/>
      </c>
      <c r="AH97" s="1" t="str">
        <f>IF(OR($B97="",AH$7=""),"",IF($B97="MEANS",INDEX('1-DATA'!$1:$1048576,$A96-1,COLUMN('1-DATA'!AG95)),ROUND(INDEX('1-DATA'!$1:$1048576,IF(OR($B97="STD. DEVIATION",$C$1=1),$A97,$A97+1),COLUMN('1-DATA'!AG95)),IF($B97="STD. DEVIATION",2,$F$1))))</f>
        <v/>
      </c>
      <c r="AI97" s="1" t="str">
        <f>IF(OR($B97="",AI$7=""),"",IF($B97="MEANS",INDEX('1-DATA'!$1:$1048576,$A96-1,COLUMN('1-DATA'!AH95)),ROUND(INDEX('1-DATA'!$1:$1048576,IF(OR($B97="STD. DEVIATION",$C$1=1),$A97,$A97+1),COLUMN('1-DATA'!AH95)),IF($B97="STD. DEVIATION",2,$F$1))))</f>
        <v/>
      </c>
      <c r="AJ97" s="1" t="str">
        <f>IF(OR($B97="",AJ$7=""),"",IF($B97="MEANS",INDEX('1-DATA'!$1:$1048576,$A96-1,COLUMN('1-DATA'!AI95)),ROUND(INDEX('1-DATA'!$1:$1048576,IF(OR($B97="STD. DEVIATION",$C$1=1),$A97,$A97+1),COLUMN('1-DATA'!AI95)),IF($B97="STD. DEVIATION",2,$F$1))))</f>
        <v/>
      </c>
      <c r="AK97" s="1" t="str">
        <f>IF(OR($B97="",AK$7=""),"",IF($B97="MEANS",INDEX('1-DATA'!$1:$1048576,$A96-1,COLUMN('1-DATA'!AJ95)),ROUND(INDEX('1-DATA'!$1:$1048576,IF(OR($B97="STD. DEVIATION",$C$1=1),$A97,$A97+1),COLUMN('1-DATA'!AJ95)),IF($B97="STD. DEVIATION",2,$F$1))))</f>
        <v/>
      </c>
      <c r="AL97" s="1" t="str">
        <f>IF(OR($B97="",AL$7=""),"",IF($B97="MEANS",INDEX('1-DATA'!$1:$1048576,$A96-1,COLUMN('1-DATA'!AK95)),ROUND(INDEX('1-DATA'!$1:$1048576,IF(OR($B97="STD. DEVIATION",$C$1=1),$A97,$A97+1),COLUMN('1-DATA'!AK95)),IF($B97="STD. DEVIATION",2,$F$1))))</f>
        <v/>
      </c>
      <c r="AM97" s="1" t="str">
        <f>IF(OR($B97="",AM$7=""),"",IF($B97="MEANS",INDEX('1-DATA'!$1:$1048576,$A96-1,COLUMN('1-DATA'!AL95)),ROUND(INDEX('1-DATA'!$1:$1048576,IF(OR($B97="STD. DEVIATION",$C$1=1),$A97,$A97+1),COLUMN('1-DATA'!AL95)),IF($B97="STD. DEVIATION",2,$F$1))))</f>
        <v/>
      </c>
      <c r="AN97" s="1" t="str">
        <f>IF(OR($B97="",AN$7=""),"",IF($B97="MEANS",INDEX('1-DATA'!$1:$1048576,$A96-1,COLUMN('1-DATA'!AM95)),ROUND(INDEX('1-DATA'!$1:$1048576,IF(OR($B97="STD. DEVIATION",$C$1=1),$A97,$A97+1),COLUMN('1-DATA'!AM95)),IF($B97="STD. DEVIATION",2,$F$1))))</f>
        <v/>
      </c>
      <c r="AO97" s="1" t="str">
        <f>IF(OR($B97="",AO$7=""),"",IF($B97="MEANS",INDEX('1-DATA'!$1:$1048576,$A96-1,COLUMN('1-DATA'!AN95)),ROUND(INDEX('1-DATA'!$1:$1048576,IF(OR($B97="STD. DEVIATION",$C$1=1),$A97,$A97+1),COLUMN('1-DATA'!AN95)),IF($B97="STD. DEVIATION",2,$F$1))))</f>
        <v/>
      </c>
      <c r="AP97" s="1" t="str">
        <f>IF(OR($B97="",AP$7=""),"",IF($B97="MEANS",INDEX('1-DATA'!$1:$1048576,$A96-1,COLUMN('1-DATA'!AO95)),ROUND(INDEX('1-DATA'!$1:$1048576,IF(OR($B97="STD. DEVIATION",$C$1=1),$A97,$A97+1),COLUMN('1-DATA'!AO95)),IF($B97="STD. DEVIATION",2,$F$1))))</f>
        <v/>
      </c>
      <c r="AQ97" s="1" t="str">
        <f>IF(OR($B97="",AQ$7=""),"",IF($B97="MEANS",INDEX('1-DATA'!$1:$1048576,$A96-1,COLUMN('1-DATA'!AP95)),ROUND(INDEX('1-DATA'!$1:$1048576,IF(OR($B97="STD. DEVIATION",$C$1=1),$A97,$A97+1),COLUMN('1-DATA'!AP95)),IF($B97="STD. DEVIATION",2,$F$1))))</f>
        <v/>
      </c>
      <c r="AR97" s="1" t="str">
        <f>IF(OR($B97="",AR$7=""),"",IF($B97="MEANS",INDEX('1-DATA'!$1:$1048576,$A96-1,COLUMN('1-DATA'!AQ95)),ROUND(INDEX('1-DATA'!$1:$1048576,IF(OR($B97="STD. DEVIATION",$C$1=1),$A97,$A97+1),COLUMN('1-DATA'!AQ95)),IF($B97="STD. DEVIATION",2,$F$1))))</f>
        <v/>
      </c>
      <c r="AS97" s="1" t="str">
        <f>IF(OR($B97="",AS$7=""),"",IF($B97="MEANS",INDEX('1-DATA'!$1:$1048576,$A96-1,COLUMN('1-DATA'!AR95)),ROUND(INDEX('1-DATA'!$1:$1048576,IF(OR($B97="STD. DEVIATION",$C$1=1),$A97,$A97+1),COLUMN('1-DATA'!AR95)),IF($B97="STD. DEVIATION",2,$F$1))))</f>
        <v/>
      </c>
      <c r="AT97" s="1" t="str">
        <f>IF(OR($B97="",AT$7=""),"",IF($B97="MEANS",INDEX('1-DATA'!$1:$1048576,$A96-1,COLUMN('1-DATA'!AS95)),ROUND(INDEX('1-DATA'!$1:$1048576,IF(OR($B97="STD. DEVIATION",$C$1=1),$A97,$A97+1),COLUMN('1-DATA'!AS95)),IF($B97="STD. DEVIATION",2,$F$1))))</f>
        <v/>
      </c>
      <c r="AU97" s="1" t="str">
        <f>IF(OR($B97="",AU$7=""),"",IF($B97="MEANS",INDEX('1-DATA'!$1:$1048576,$A96-1,COLUMN('1-DATA'!AT95)),ROUND(INDEX('1-DATA'!$1:$1048576,IF(OR($B97="STD. DEVIATION",$C$1=1),$A97,$A97+1),COLUMN('1-DATA'!AT95)),IF($B97="STD. DEVIATION",2,$F$1))))</f>
        <v/>
      </c>
      <c r="AV97" s="1" t="str">
        <f>IF(OR($B97="",AV$7=""),"",IF($B97="MEANS",INDEX('1-DATA'!$1:$1048576,$A96-1,COLUMN('1-DATA'!AU95)),ROUND(INDEX('1-DATA'!$1:$1048576,IF(OR($B97="STD. DEVIATION",$C$1=1),$A97,$A97+1),COLUMN('1-DATA'!AU95)),IF($B97="STD. DEVIATION",2,$F$1))))</f>
        <v/>
      </c>
      <c r="AW97" s="1" t="str">
        <f>IF(OR($B97="",AW$7=""),"",IF($B97="MEANS",INDEX('1-DATA'!$1:$1048576,$A96-1,COLUMN('1-DATA'!AV95)),ROUND(INDEX('1-DATA'!$1:$1048576,IF(OR($B97="STD. DEVIATION",$C$1=1),$A97,$A97+1),COLUMN('1-DATA'!AV95)),IF($B97="STD. DEVIATION",2,$F$1))))</f>
        <v/>
      </c>
      <c r="AX97" s="1" t="str">
        <f>IF(OR($B97="",AX$7=""),"",IF($B97="MEANS",INDEX('1-DATA'!$1:$1048576,$A96-1,COLUMN('1-DATA'!AW95)),ROUND(INDEX('1-DATA'!$1:$1048576,IF(OR($B97="STD. DEVIATION",$C$1=1),$A97,$A97+1),COLUMN('1-DATA'!AW95)),IF($B97="STD. DEVIATION",2,$F$1))))</f>
        <v/>
      </c>
      <c r="AY97" s="1" t="str">
        <f>IF(OR($B97="",AY$7=""),"",IF($B97="MEANS",INDEX('1-DATA'!$1:$1048576,$A96-1,COLUMN('1-DATA'!AX95)),ROUND(INDEX('1-DATA'!$1:$1048576,IF(OR($B97="STD. DEVIATION",$C$1=1),$A97,$A97+1),COLUMN('1-DATA'!AX95)),IF($B97="STD. DEVIATION",2,$F$1))))</f>
        <v/>
      </c>
      <c r="AZ97" s="1" t="str">
        <f>IF(OR($B97="",AZ$7=""),"",IF($B97="MEANS",INDEX('1-DATA'!$1:$1048576,$A96-1,COLUMN('1-DATA'!AY95)),ROUND(INDEX('1-DATA'!$1:$1048576,IF(OR($B97="STD. DEVIATION",$C$1=1),$A97,$A97+1),COLUMN('1-DATA'!AY95)),IF($B97="STD. DEVIATION",2,$F$1))))</f>
        <v/>
      </c>
    </row>
    <row r="98" spans="1:52" x14ac:dyDescent="0.25">
      <c r="A98" s="11">
        <f t="shared" si="2"/>
        <v>280</v>
      </c>
      <c r="B98" s="1" t="str">
        <f>IF(B97="STD. DEVIATION",INDEX('1-DATA'!$1:$1048576,$A97-1,1),IF(INDEX('1-DATA'!$1:$1048576,$A98,1)&lt;&gt;"",INDEX('1-DATA'!$1:$1048576,$A98,1),""))</f>
        <v/>
      </c>
      <c r="C98" s="1" t="str">
        <f>IF(OR($B98="",C$7=""),"",IF($B98="MEANS",INDEX('1-DATA'!$1:$1048576,$A97-1,COLUMN('1-DATA'!B96)),ROUND(INDEX('1-DATA'!$1:$1048576,IF(OR($B98="STD. DEVIATION",$C$1=1),$A98,$A98+1),COLUMN('1-DATA'!B96)),IF($B98="STD. DEVIATION",2,$F$1))))</f>
        <v/>
      </c>
      <c r="D98" s="1" t="str">
        <f>IF(OR($B98="",D$7=""),"",IF($B98="MEANS",INDEX('1-DATA'!$1:$1048576,$A97-1,COLUMN('1-DATA'!C96)),ROUND(INDEX('1-DATA'!$1:$1048576,IF(OR($B98="STD. DEVIATION",$C$1=1),$A98,$A98+1),COLUMN('1-DATA'!C96)),IF($B98="STD. DEVIATION",2,$F$1))))</f>
        <v/>
      </c>
      <c r="E98" s="1" t="str">
        <f>IF(OR($B98="",E$7=""),"",IF($B98="MEANS",INDEX('1-DATA'!$1:$1048576,$A97-1,COLUMN('1-DATA'!D96)),ROUND(INDEX('1-DATA'!$1:$1048576,IF(OR($B98="STD. DEVIATION",$C$1=1),$A98,$A98+1),COLUMN('1-DATA'!D96)),IF($B98="STD. DEVIATION",2,$F$1))))</f>
        <v/>
      </c>
      <c r="F98" s="1" t="str">
        <f>IF(OR($B98="",F$7=""),"",IF($B98="MEANS",INDEX('1-DATA'!$1:$1048576,$A97-1,COLUMN('1-DATA'!E96)),ROUND(INDEX('1-DATA'!$1:$1048576,IF(OR($B98="STD. DEVIATION",$C$1=1),$A98,$A98+1),COLUMN('1-DATA'!E96)),IF($B98="STD. DEVIATION",2,$F$1))))</f>
        <v/>
      </c>
      <c r="G98" s="1" t="str">
        <f>IF(OR($B98="",G$7=""),"",IF($B98="MEANS",INDEX('1-DATA'!$1:$1048576,$A97-1,COLUMN('1-DATA'!F96)),ROUND(INDEX('1-DATA'!$1:$1048576,IF(OR($B98="STD. DEVIATION",$C$1=1),$A98,$A98+1),COLUMN('1-DATA'!F96)),IF($B98="STD. DEVIATION",2,$F$1))))</f>
        <v/>
      </c>
      <c r="H98" s="1" t="str">
        <f>IF(OR($B98="",H$7=""),"",IF($B98="MEANS",INDEX('1-DATA'!$1:$1048576,$A97-1,COLUMN('1-DATA'!G96)),ROUND(INDEX('1-DATA'!$1:$1048576,IF(OR($B98="STD. DEVIATION",$C$1=1),$A98,$A98+1),COLUMN('1-DATA'!G96)),IF($B98="STD. DEVIATION",2,$F$1))))</f>
        <v/>
      </c>
      <c r="I98" s="1" t="str">
        <f>IF(OR($B98="",I$7=""),"",IF($B98="MEANS",INDEX('1-DATA'!$1:$1048576,$A97-1,COLUMN('1-DATA'!H96)),ROUND(INDEX('1-DATA'!$1:$1048576,IF(OR($B98="STD. DEVIATION",$C$1=1),$A98,$A98+1),COLUMN('1-DATA'!H96)),IF($B98="STD. DEVIATION",2,$F$1))))</f>
        <v/>
      </c>
      <c r="J98" s="1" t="str">
        <f>IF(OR($B98="",J$7=""),"",IF($B98="MEANS",INDEX('1-DATA'!$1:$1048576,$A97-1,COLUMN('1-DATA'!I96)),ROUND(INDEX('1-DATA'!$1:$1048576,IF(OR($B98="STD. DEVIATION",$C$1=1),$A98,$A98+1),COLUMN('1-DATA'!I96)),IF($B98="STD. DEVIATION",2,$F$1))))</f>
        <v/>
      </c>
      <c r="K98" s="1" t="str">
        <f>IF(OR($B98="",K$7=""),"",IF($B98="MEANS",INDEX('1-DATA'!$1:$1048576,$A97-1,COLUMN('1-DATA'!J96)),ROUND(INDEX('1-DATA'!$1:$1048576,IF(OR($B98="STD. DEVIATION",$C$1=1),$A98,$A98+1),COLUMN('1-DATA'!J96)),IF($B98="STD. DEVIATION",2,$F$1))))</f>
        <v/>
      </c>
      <c r="L98" s="1" t="str">
        <f>IF(OR($B98="",L$7=""),"",IF($B98="MEANS",INDEX('1-DATA'!$1:$1048576,$A97-1,COLUMN('1-DATA'!K96)),ROUND(INDEX('1-DATA'!$1:$1048576,IF(OR($B98="STD. DEVIATION",$C$1=1),$A98,$A98+1),COLUMN('1-DATA'!K96)),IF($B98="STD. DEVIATION",2,$F$1))))</f>
        <v/>
      </c>
      <c r="M98" s="1" t="str">
        <f>IF(OR($B98="",M$7=""),"",IF($B98="MEANS",INDEX('1-DATA'!$1:$1048576,$A97-1,COLUMN('1-DATA'!L96)),ROUND(INDEX('1-DATA'!$1:$1048576,IF(OR($B98="STD. DEVIATION",$C$1=1),$A98,$A98+1),COLUMN('1-DATA'!L96)),IF($B98="STD. DEVIATION",2,$F$1))))</f>
        <v/>
      </c>
      <c r="N98" s="1" t="str">
        <f>IF(OR($B98="",N$7=""),"",IF($B98="MEANS",INDEX('1-DATA'!$1:$1048576,$A97-1,COLUMN('1-DATA'!M96)),ROUND(INDEX('1-DATA'!$1:$1048576,IF(OR($B98="STD. DEVIATION",$C$1=1),$A98,$A98+1),COLUMN('1-DATA'!M96)),IF($B98="STD. DEVIATION",2,$F$1))))</f>
        <v/>
      </c>
      <c r="O98" s="1" t="str">
        <f>IF(OR($B98="",O$7=""),"",IF($B98="MEANS",INDEX('1-DATA'!$1:$1048576,$A97-1,COLUMN('1-DATA'!N96)),ROUND(INDEX('1-DATA'!$1:$1048576,IF(OR($B98="STD. DEVIATION",$C$1=1),$A98,$A98+1),COLUMN('1-DATA'!N96)),IF($B98="STD. DEVIATION",2,$F$1))))</f>
        <v/>
      </c>
      <c r="P98" s="1" t="str">
        <f>IF(OR($B98="",P$7=""),"",IF($B98="MEANS",INDEX('1-DATA'!$1:$1048576,$A97-1,COLUMN('1-DATA'!O96)),ROUND(INDEX('1-DATA'!$1:$1048576,IF(OR($B98="STD. DEVIATION",$C$1=1),$A98,$A98+1),COLUMN('1-DATA'!O96)),IF($B98="STD. DEVIATION",2,$F$1))))</f>
        <v/>
      </c>
      <c r="Q98" s="1" t="str">
        <f>IF(OR($B98="",Q$7=""),"",IF($B98="MEANS",INDEX('1-DATA'!$1:$1048576,$A97-1,COLUMN('1-DATA'!P96)),ROUND(INDEX('1-DATA'!$1:$1048576,IF(OR($B98="STD. DEVIATION",$C$1=1),$A98,$A98+1),COLUMN('1-DATA'!P96)),IF($B98="STD. DEVIATION",2,$F$1))))</f>
        <v/>
      </c>
      <c r="R98" s="1" t="str">
        <f>IF(OR($B98="",R$7=""),"",IF($B98="MEANS",INDEX('1-DATA'!$1:$1048576,$A97-1,COLUMN('1-DATA'!Q96)),ROUND(INDEX('1-DATA'!$1:$1048576,IF(OR($B98="STD. DEVIATION",$C$1=1),$A98,$A98+1),COLUMN('1-DATA'!Q96)),IF($B98="STD. DEVIATION",2,$F$1))))</f>
        <v/>
      </c>
      <c r="S98" s="1" t="str">
        <f>IF(OR($B98="",S$7=""),"",IF($B98="MEANS",INDEX('1-DATA'!$1:$1048576,$A97-1,COLUMN('1-DATA'!R96)),ROUND(INDEX('1-DATA'!$1:$1048576,IF(OR($B98="STD. DEVIATION",$C$1=1),$A98,$A98+1),COLUMN('1-DATA'!R96)),IF($B98="STD. DEVIATION",2,$F$1))))</f>
        <v/>
      </c>
      <c r="T98" s="1" t="str">
        <f>IF(OR($B98="",T$7=""),"",IF($B98="MEANS",INDEX('1-DATA'!$1:$1048576,$A97-1,COLUMN('1-DATA'!S96)),ROUND(INDEX('1-DATA'!$1:$1048576,IF(OR($B98="STD. DEVIATION",$C$1=1),$A98,$A98+1),COLUMN('1-DATA'!S96)),IF($B98="STD. DEVIATION",2,$F$1))))</f>
        <v/>
      </c>
      <c r="U98" s="1" t="str">
        <f>IF(OR($B98="",U$7=""),"",IF($B98="MEANS",INDEX('1-DATA'!$1:$1048576,$A97-1,COLUMN('1-DATA'!T96)),ROUND(INDEX('1-DATA'!$1:$1048576,IF(OR($B98="STD. DEVIATION",$C$1=1),$A98,$A98+1),COLUMN('1-DATA'!T96)),IF($B98="STD. DEVIATION",2,$F$1))))</f>
        <v/>
      </c>
      <c r="V98" s="1" t="str">
        <f>IF(OR($B98="",V$7=""),"",IF($B98="MEANS",INDEX('1-DATA'!$1:$1048576,$A97-1,COLUMN('1-DATA'!U96)),ROUND(INDEX('1-DATA'!$1:$1048576,IF(OR($B98="STD. DEVIATION",$C$1=1),$A98,$A98+1),COLUMN('1-DATA'!U96)),IF($B98="STD. DEVIATION",2,$F$1))))</f>
        <v/>
      </c>
      <c r="W98" s="1" t="str">
        <f>IF(OR($B98="",W$7=""),"",IF($B98="MEANS",INDEX('1-DATA'!$1:$1048576,$A97-1,COLUMN('1-DATA'!V96)),ROUND(INDEX('1-DATA'!$1:$1048576,IF(OR($B98="STD. DEVIATION",$C$1=1),$A98,$A98+1),COLUMN('1-DATA'!V96)),IF($B98="STD. DEVIATION",2,$F$1))))</f>
        <v/>
      </c>
      <c r="X98" s="1" t="str">
        <f>IF(OR($B98="",X$7=""),"",IF($B98="MEANS",INDEX('1-DATA'!$1:$1048576,$A97-1,COLUMN('1-DATA'!W96)),ROUND(INDEX('1-DATA'!$1:$1048576,IF(OR($B98="STD. DEVIATION",$C$1=1),$A98,$A98+1),COLUMN('1-DATA'!W96)),IF($B98="STD. DEVIATION",2,$F$1))))</f>
        <v/>
      </c>
      <c r="Y98" s="1" t="str">
        <f>IF(OR($B98="",Y$7=""),"",IF($B98="MEANS",INDEX('1-DATA'!$1:$1048576,$A97-1,COLUMN('1-DATA'!X96)),ROUND(INDEX('1-DATA'!$1:$1048576,IF(OR($B98="STD. DEVIATION",$C$1=1),$A98,$A98+1),COLUMN('1-DATA'!X96)),IF($B98="STD. DEVIATION",2,$F$1))))</f>
        <v/>
      </c>
      <c r="Z98" s="1" t="str">
        <f>IF(OR($B98="",Z$7=""),"",IF($B98="MEANS",INDEX('1-DATA'!$1:$1048576,$A97-1,COLUMN('1-DATA'!Y96)),ROUND(INDEX('1-DATA'!$1:$1048576,IF(OR($B98="STD. DEVIATION",$C$1=1),$A98,$A98+1),COLUMN('1-DATA'!Y96)),IF($B98="STD. DEVIATION",2,$F$1))))</f>
        <v/>
      </c>
      <c r="AA98" s="1" t="str">
        <f>IF(OR($B98="",AA$7=""),"",IF($B98="MEANS",INDEX('1-DATA'!$1:$1048576,$A97-1,COLUMN('1-DATA'!Z96)),ROUND(INDEX('1-DATA'!$1:$1048576,IF(OR($B98="STD. DEVIATION",$C$1=1),$A98,$A98+1),COLUMN('1-DATA'!Z96)),IF($B98="STD. DEVIATION",2,$F$1))))</f>
        <v/>
      </c>
      <c r="AB98" s="1" t="str">
        <f>IF(OR($B98="",AB$7=""),"",IF($B98="MEANS",INDEX('1-DATA'!$1:$1048576,$A97-1,COLUMN('1-DATA'!AA96)),ROUND(INDEX('1-DATA'!$1:$1048576,IF(OR($B98="STD. DEVIATION",$C$1=1),$A98,$A98+1),COLUMN('1-DATA'!AA96)),IF($B98="STD. DEVIATION",2,$F$1))))</f>
        <v/>
      </c>
      <c r="AC98" s="1" t="str">
        <f>IF(OR($B98="",AC$7=""),"",IF($B98="MEANS",INDEX('1-DATA'!$1:$1048576,$A97-1,COLUMN('1-DATA'!AB96)),ROUND(INDEX('1-DATA'!$1:$1048576,IF(OR($B98="STD. DEVIATION",$C$1=1),$A98,$A98+1),COLUMN('1-DATA'!AB96)),IF($B98="STD. DEVIATION",2,$F$1))))</f>
        <v/>
      </c>
      <c r="AD98" s="1" t="str">
        <f>IF(OR($B98="",AD$7=""),"",IF($B98="MEANS",INDEX('1-DATA'!$1:$1048576,$A97-1,COLUMN('1-DATA'!AC96)),ROUND(INDEX('1-DATA'!$1:$1048576,IF(OR($B98="STD. DEVIATION",$C$1=1),$A98,$A98+1),COLUMN('1-DATA'!AC96)),IF($B98="STD. DEVIATION",2,$F$1))))</f>
        <v/>
      </c>
      <c r="AE98" s="1" t="str">
        <f>IF(OR($B98="",AE$7=""),"",IF($B98="MEANS",INDEX('1-DATA'!$1:$1048576,$A97-1,COLUMN('1-DATA'!AD96)),ROUND(INDEX('1-DATA'!$1:$1048576,IF(OR($B98="STD. DEVIATION",$C$1=1),$A98,$A98+1),COLUMN('1-DATA'!AD96)),IF($B98="STD. DEVIATION",2,$F$1))))</f>
        <v/>
      </c>
      <c r="AF98" s="1" t="str">
        <f>IF(OR($B98="",AF$7=""),"",IF($B98="MEANS",INDEX('1-DATA'!$1:$1048576,$A97-1,COLUMN('1-DATA'!AE96)),ROUND(INDEX('1-DATA'!$1:$1048576,IF(OR($B98="STD. DEVIATION",$C$1=1),$A98,$A98+1),COLUMN('1-DATA'!AE96)),IF($B98="STD. DEVIATION",2,$F$1))))</f>
        <v/>
      </c>
      <c r="AG98" s="1" t="str">
        <f>IF(OR($B98="",AG$7=""),"",IF($B98="MEANS",INDEX('1-DATA'!$1:$1048576,$A97-1,COLUMN('1-DATA'!AF96)),ROUND(INDEX('1-DATA'!$1:$1048576,IF(OR($B98="STD. DEVIATION",$C$1=1),$A98,$A98+1),COLUMN('1-DATA'!AF96)),IF($B98="STD. DEVIATION",2,$F$1))))</f>
        <v/>
      </c>
      <c r="AH98" s="1" t="str">
        <f>IF(OR($B98="",AH$7=""),"",IF($B98="MEANS",INDEX('1-DATA'!$1:$1048576,$A97-1,COLUMN('1-DATA'!AG96)),ROUND(INDEX('1-DATA'!$1:$1048576,IF(OR($B98="STD. DEVIATION",$C$1=1),$A98,$A98+1),COLUMN('1-DATA'!AG96)),IF($B98="STD. DEVIATION",2,$F$1))))</f>
        <v/>
      </c>
      <c r="AI98" s="1" t="str">
        <f>IF(OR($B98="",AI$7=""),"",IF($B98="MEANS",INDEX('1-DATA'!$1:$1048576,$A97-1,COLUMN('1-DATA'!AH96)),ROUND(INDEX('1-DATA'!$1:$1048576,IF(OR($B98="STD. DEVIATION",$C$1=1),$A98,$A98+1),COLUMN('1-DATA'!AH96)),IF($B98="STD. DEVIATION",2,$F$1))))</f>
        <v/>
      </c>
      <c r="AJ98" s="1" t="str">
        <f>IF(OR($B98="",AJ$7=""),"",IF($B98="MEANS",INDEX('1-DATA'!$1:$1048576,$A97-1,COLUMN('1-DATA'!AI96)),ROUND(INDEX('1-DATA'!$1:$1048576,IF(OR($B98="STD. DEVIATION",$C$1=1),$A98,$A98+1),COLUMN('1-DATA'!AI96)),IF($B98="STD. DEVIATION",2,$F$1))))</f>
        <v/>
      </c>
      <c r="AK98" s="1" t="str">
        <f>IF(OR($B98="",AK$7=""),"",IF($B98="MEANS",INDEX('1-DATA'!$1:$1048576,$A97-1,COLUMN('1-DATA'!AJ96)),ROUND(INDEX('1-DATA'!$1:$1048576,IF(OR($B98="STD. DEVIATION",$C$1=1),$A98,$A98+1),COLUMN('1-DATA'!AJ96)),IF($B98="STD. DEVIATION",2,$F$1))))</f>
        <v/>
      </c>
      <c r="AL98" s="1" t="str">
        <f>IF(OR($B98="",AL$7=""),"",IF($B98="MEANS",INDEX('1-DATA'!$1:$1048576,$A97-1,COLUMN('1-DATA'!AK96)),ROUND(INDEX('1-DATA'!$1:$1048576,IF(OR($B98="STD. DEVIATION",$C$1=1),$A98,$A98+1),COLUMN('1-DATA'!AK96)),IF($B98="STD. DEVIATION",2,$F$1))))</f>
        <v/>
      </c>
      <c r="AM98" s="1" t="str">
        <f>IF(OR($B98="",AM$7=""),"",IF($B98="MEANS",INDEX('1-DATA'!$1:$1048576,$A97-1,COLUMN('1-DATA'!AL96)),ROUND(INDEX('1-DATA'!$1:$1048576,IF(OR($B98="STD. DEVIATION",$C$1=1),$A98,$A98+1),COLUMN('1-DATA'!AL96)),IF($B98="STD. DEVIATION",2,$F$1))))</f>
        <v/>
      </c>
      <c r="AN98" s="1" t="str">
        <f>IF(OR($B98="",AN$7=""),"",IF($B98="MEANS",INDEX('1-DATA'!$1:$1048576,$A97-1,COLUMN('1-DATA'!AM96)),ROUND(INDEX('1-DATA'!$1:$1048576,IF(OR($B98="STD. DEVIATION",$C$1=1),$A98,$A98+1),COLUMN('1-DATA'!AM96)),IF($B98="STD. DEVIATION",2,$F$1))))</f>
        <v/>
      </c>
      <c r="AO98" s="1" t="str">
        <f>IF(OR($B98="",AO$7=""),"",IF($B98="MEANS",INDEX('1-DATA'!$1:$1048576,$A97-1,COLUMN('1-DATA'!AN96)),ROUND(INDEX('1-DATA'!$1:$1048576,IF(OR($B98="STD. DEVIATION",$C$1=1),$A98,$A98+1),COLUMN('1-DATA'!AN96)),IF($B98="STD. DEVIATION",2,$F$1))))</f>
        <v/>
      </c>
      <c r="AP98" s="1" t="str">
        <f>IF(OR($B98="",AP$7=""),"",IF($B98="MEANS",INDEX('1-DATA'!$1:$1048576,$A97-1,COLUMN('1-DATA'!AO96)),ROUND(INDEX('1-DATA'!$1:$1048576,IF(OR($B98="STD. DEVIATION",$C$1=1),$A98,$A98+1),COLUMN('1-DATA'!AO96)),IF($B98="STD. DEVIATION",2,$F$1))))</f>
        <v/>
      </c>
      <c r="AQ98" s="1" t="str">
        <f>IF(OR($B98="",AQ$7=""),"",IF($B98="MEANS",INDEX('1-DATA'!$1:$1048576,$A97-1,COLUMN('1-DATA'!AP96)),ROUND(INDEX('1-DATA'!$1:$1048576,IF(OR($B98="STD. DEVIATION",$C$1=1),$A98,$A98+1),COLUMN('1-DATA'!AP96)),IF($B98="STD. DEVIATION",2,$F$1))))</f>
        <v/>
      </c>
      <c r="AR98" s="1" t="str">
        <f>IF(OR($B98="",AR$7=""),"",IF($B98="MEANS",INDEX('1-DATA'!$1:$1048576,$A97-1,COLUMN('1-DATA'!AQ96)),ROUND(INDEX('1-DATA'!$1:$1048576,IF(OR($B98="STD. DEVIATION",$C$1=1),$A98,$A98+1),COLUMN('1-DATA'!AQ96)),IF($B98="STD. DEVIATION",2,$F$1))))</f>
        <v/>
      </c>
      <c r="AS98" s="1" t="str">
        <f>IF(OR($B98="",AS$7=""),"",IF($B98="MEANS",INDEX('1-DATA'!$1:$1048576,$A97-1,COLUMN('1-DATA'!AR96)),ROUND(INDEX('1-DATA'!$1:$1048576,IF(OR($B98="STD. DEVIATION",$C$1=1),$A98,$A98+1),COLUMN('1-DATA'!AR96)),IF($B98="STD. DEVIATION",2,$F$1))))</f>
        <v/>
      </c>
      <c r="AT98" s="1" t="str">
        <f>IF(OR($B98="",AT$7=""),"",IF($B98="MEANS",INDEX('1-DATA'!$1:$1048576,$A97-1,COLUMN('1-DATA'!AS96)),ROUND(INDEX('1-DATA'!$1:$1048576,IF(OR($B98="STD. DEVIATION",$C$1=1),$A98,$A98+1),COLUMN('1-DATA'!AS96)),IF($B98="STD. DEVIATION",2,$F$1))))</f>
        <v/>
      </c>
      <c r="AU98" s="1" t="str">
        <f>IF(OR($B98="",AU$7=""),"",IF($B98="MEANS",INDEX('1-DATA'!$1:$1048576,$A97-1,COLUMN('1-DATA'!AT96)),ROUND(INDEX('1-DATA'!$1:$1048576,IF(OR($B98="STD. DEVIATION",$C$1=1),$A98,$A98+1),COLUMN('1-DATA'!AT96)),IF($B98="STD. DEVIATION",2,$F$1))))</f>
        <v/>
      </c>
      <c r="AV98" s="1" t="str">
        <f>IF(OR($B98="",AV$7=""),"",IF($B98="MEANS",INDEX('1-DATA'!$1:$1048576,$A97-1,COLUMN('1-DATA'!AU96)),ROUND(INDEX('1-DATA'!$1:$1048576,IF(OR($B98="STD. DEVIATION",$C$1=1),$A98,$A98+1),COLUMN('1-DATA'!AU96)),IF($B98="STD. DEVIATION",2,$F$1))))</f>
        <v/>
      </c>
      <c r="AW98" s="1" t="str">
        <f>IF(OR($B98="",AW$7=""),"",IF($B98="MEANS",INDEX('1-DATA'!$1:$1048576,$A97-1,COLUMN('1-DATA'!AV96)),ROUND(INDEX('1-DATA'!$1:$1048576,IF(OR($B98="STD. DEVIATION",$C$1=1),$A98,$A98+1),COLUMN('1-DATA'!AV96)),IF($B98="STD. DEVIATION",2,$F$1))))</f>
        <v/>
      </c>
      <c r="AX98" s="1" t="str">
        <f>IF(OR($B98="",AX$7=""),"",IF($B98="MEANS",INDEX('1-DATA'!$1:$1048576,$A97-1,COLUMN('1-DATA'!AW96)),ROUND(INDEX('1-DATA'!$1:$1048576,IF(OR($B98="STD. DEVIATION",$C$1=1),$A98,$A98+1),COLUMN('1-DATA'!AW96)),IF($B98="STD. DEVIATION",2,$F$1))))</f>
        <v/>
      </c>
      <c r="AY98" s="1" t="str">
        <f>IF(OR($B98="",AY$7=""),"",IF($B98="MEANS",INDEX('1-DATA'!$1:$1048576,$A97-1,COLUMN('1-DATA'!AX96)),ROUND(INDEX('1-DATA'!$1:$1048576,IF(OR($B98="STD. DEVIATION",$C$1=1),$A98,$A98+1),COLUMN('1-DATA'!AX96)),IF($B98="STD. DEVIATION",2,$F$1))))</f>
        <v/>
      </c>
      <c r="AZ98" s="1" t="str">
        <f>IF(OR($B98="",AZ$7=""),"",IF($B98="MEANS",INDEX('1-DATA'!$1:$1048576,$A97-1,COLUMN('1-DATA'!AY96)),ROUND(INDEX('1-DATA'!$1:$1048576,IF(OR($B98="STD. DEVIATION",$C$1=1),$A98,$A98+1),COLUMN('1-DATA'!AY96)),IF($B98="STD. DEVIATION",2,$F$1))))</f>
        <v/>
      </c>
    </row>
    <row r="99" spans="1:52" x14ac:dyDescent="0.25">
      <c r="A99" s="11">
        <f t="shared" si="2"/>
        <v>283</v>
      </c>
      <c r="B99" s="1" t="str">
        <f>IF(B98="STD. DEVIATION",INDEX('1-DATA'!$1:$1048576,$A98-1,1),IF(INDEX('1-DATA'!$1:$1048576,$A99,1)&lt;&gt;"",INDEX('1-DATA'!$1:$1048576,$A99,1),""))</f>
        <v/>
      </c>
      <c r="C99" s="1" t="str">
        <f>IF(OR($B99="",C$7=""),"",IF($B99="MEANS",INDEX('1-DATA'!$1:$1048576,$A98-1,COLUMN('1-DATA'!B97)),ROUND(INDEX('1-DATA'!$1:$1048576,IF(OR($B99="STD. DEVIATION",$C$1=1),$A99,$A99+1),COLUMN('1-DATA'!B97)),IF($B99="STD. DEVIATION",2,$F$1))))</f>
        <v/>
      </c>
      <c r="D99" s="1" t="str">
        <f>IF(OR($B99="",D$7=""),"",IF($B99="MEANS",INDEX('1-DATA'!$1:$1048576,$A98-1,COLUMN('1-DATA'!C97)),ROUND(INDEX('1-DATA'!$1:$1048576,IF(OR($B99="STD. DEVIATION",$C$1=1),$A99,$A99+1),COLUMN('1-DATA'!C97)),IF($B99="STD. DEVIATION",2,$F$1))))</f>
        <v/>
      </c>
      <c r="E99" s="1" t="str">
        <f>IF(OR($B99="",E$7=""),"",IF($B99="MEANS",INDEX('1-DATA'!$1:$1048576,$A98-1,COLUMN('1-DATA'!D97)),ROUND(INDEX('1-DATA'!$1:$1048576,IF(OR($B99="STD. DEVIATION",$C$1=1),$A99,$A99+1),COLUMN('1-DATA'!D97)),IF($B99="STD. DEVIATION",2,$F$1))))</f>
        <v/>
      </c>
      <c r="F99" s="1" t="str">
        <f>IF(OR($B99="",F$7=""),"",IF($B99="MEANS",INDEX('1-DATA'!$1:$1048576,$A98-1,COLUMN('1-DATA'!E97)),ROUND(INDEX('1-DATA'!$1:$1048576,IF(OR($B99="STD. DEVIATION",$C$1=1),$A99,$A99+1),COLUMN('1-DATA'!E97)),IF($B99="STD. DEVIATION",2,$F$1))))</f>
        <v/>
      </c>
      <c r="G99" s="1" t="str">
        <f>IF(OR($B99="",G$7=""),"",IF($B99="MEANS",INDEX('1-DATA'!$1:$1048576,$A98-1,COLUMN('1-DATA'!F97)),ROUND(INDEX('1-DATA'!$1:$1048576,IF(OR($B99="STD. DEVIATION",$C$1=1),$A99,$A99+1),COLUMN('1-DATA'!F97)),IF($B99="STD. DEVIATION",2,$F$1))))</f>
        <v/>
      </c>
      <c r="H99" s="1" t="str">
        <f>IF(OR($B99="",H$7=""),"",IF($B99="MEANS",INDEX('1-DATA'!$1:$1048576,$A98-1,COLUMN('1-DATA'!G97)),ROUND(INDEX('1-DATA'!$1:$1048576,IF(OR($B99="STD. DEVIATION",$C$1=1),$A99,$A99+1),COLUMN('1-DATA'!G97)),IF($B99="STD. DEVIATION",2,$F$1))))</f>
        <v/>
      </c>
      <c r="I99" s="1" t="str">
        <f>IF(OR($B99="",I$7=""),"",IF($B99="MEANS",INDEX('1-DATA'!$1:$1048576,$A98-1,COLUMN('1-DATA'!H97)),ROUND(INDEX('1-DATA'!$1:$1048576,IF(OR($B99="STD. DEVIATION",$C$1=1),$A99,$A99+1),COLUMN('1-DATA'!H97)),IF($B99="STD. DEVIATION",2,$F$1))))</f>
        <v/>
      </c>
      <c r="J99" s="1" t="str">
        <f>IF(OR($B99="",J$7=""),"",IF($B99="MEANS",INDEX('1-DATA'!$1:$1048576,$A98-1,COLUMN('1-DATA'!I97)),ROUND(INDEX('1-DATA'!$1:$1048576,IF(OR($B99="STD. DEVIATION",$C$1=1),$A99,$A99+1),COLUMN('1-DATA'!I97)),IF($B99="STD. DEVIATION",2,$F$1))))</f>
        <v/>
      </c>
      <c r="K99" s="1" t="str">
        <f>IF(OR($B99="",K$7=""),"",IF($B99="MEANS",INDEX('1-DATA'!$1:$1048576,$A98-1,COLUMN('1-DATA'!J97)),ROUND(INDEX('1-DATA'!$1:$1048576,IF(OR($B99="STD. DEVIATION",$C$1=1),$A99,$A99+1),COLUMN('1-DATA'!J97)),IF($B99="STD. DEVIATION",2,$F$1))))</f>
        <v/>
      </c>
      <c r="L99" s="1" t="str">
        <f>IF(OR($B99="",L$7=""),"",IF($B99="MEANS",INDEX('1-DATA'!$1:$1048576,$A98-1,COLUMN('1-DATA'!K97)),ROUND(INDEX('1-DATA'!$1:$1048576,IF(OR($B99="STD. DEVIATION",$C$1=1),$A99,$A99+1),COLUMN('1-DATA'!K97)),IF($B99="STD. DEVIATION",2,$F$1))))</f>
        <v/>
      </c>
      <c r="M99" s="1" t="str">
        <f>IF(OR($B99="",M$7=""),"",IF($B99="MEANS",INDEX('1-DATA'!$1:$1048576,$A98-1,COLUMN('1-DATA'!L97)),ROUND(INDEX('1-DATA'!$1:$1048576,IF(OR($B99="STD. DEVIATION",$C$1=1),$A99,$A99+1),COLUMN('1-DATA'!L97)),IF($B99="STD. DEVIATION",2,$F$1))))</f>
        <v/>
      </c>
      <c r="N99" s="1" t="str">
        <f>IF(OR($B99="",N$7=""),"",IF($B99="MEANS",INDEX('1-DATA'!$1:$1048576,$A98-1,COLUMN('1-DATA'!M97)),ROUND(INDEX('1-DATA'!$1:$1048576,IF(OR($B99="STD. DEVIATION",$C$1=1),$A99,$A99+1),COLUMN('1-DATA'!M97)),IF($B99="STD. DEVIATION",2,$F$1))))</f>
        <v/>
      </c>
      <c r="O99" s="1" t="str">
        <f>IF(OR($B99="",O$7=""),"",IF($B99="MEANS",INDEX('1-DATA'!$1:$1048576,$A98-1,COLUMN('1-DATA'!N97)),ROUND(INDEX('1-DATA'!$1:$1048576,IF(OR($B99="STD. DEVIATION",$C$1=1),$A99,$A99+1),COLUMN('1-DATA'!N97)),IF($B99="STD. DEVIATION",2,$F$1))))</f>
        <v/>
      </c>
      <c r="P99" s="1" t="str">
        <f>IF(OR($B99="",P$7=""),"",IF($B99="MEANS",INDEX('1-DATA'!$1:$1048576,$A98-1,COLUMN('1-DATA'!O97)),ROUND(INDEX('1-DATA'!$1:$1048576,IF(OR($B99="STD. DEVIATION",$C$1=1),$A99,$A99+1),COLUMN('1-DATA'!O97)),IF($B99="STD. DEVIATION",2,$F$1))))</f>
        <v/>
      </c>
      <c r="Q99" s="1" t="str">
        <f>IF(OR($B99="",Q$7=""),"",IF($B99="MEANS",INDEX('1-DATA'!$1:$1048576,$A98-1,COLUMN('1-DATA'!P97)),ROUND(INDEX('1-DATA'!$1:$1048576,IF(OR($B99="STD. DEVIATION",$C$1=1),$A99,$A99+1),COLUMN('1-DATA'!P97)),IF($B99="STD. DEVIATION",2,$F$1))))</f>
        <v/>
      </c>
      <c r="R99" s="1" t="str">
        <f>IF(OR($B99="",R$7=""),"",IF($B99="MEANS",INDEX('1-DATA'!$1:$1048576,$A98-1,COLUMN('1-DATA'!Q97)),ROUND(INDEX('1-DATA'!$1:$1048576,IF(OR($B99="STD. DEVIATION",$C$1=1),$A99,$A99+1),COLUMN('1-DATA'!Q97)),IF($B99="STD. DEVIATION",2,$F$1))))</f>
        <v/>
      </c>
      <c r="S99" s="1" t="str">
        <f>IF(OR($B99="",S$7=""),"",IF($B99="MEANS",INDEX('1-DATA'!$1:$1048576,$A98-1,COLUMN('1-DATA'!R97)),ROUND(INDEX('1-DATA'!$1:$1048576,IF(OR($B99="STD. DEVIATION",$C$1=1),$A99,$A99+1),COLUMN('1-DATA'!R97)),IF($B99="STD. DEVIATION",2,$F$1))))</f>
        <v/>
      </c>
      <c r="T99" s="1" t="str">
        <f>IF(OR($B99="",T$7=""),"",IF($B99="MEANS",INDEX('1-DATA'!$1:$1048576,$A98-1,COLUMN('1-DATA'!S97)),ROUND(INDEX('1-DATA'!$1:$1048576,IF(OR($B99="STD. DEVIATION",$C$1=1),$A99,$A99+1),COLUMN('1-DATA'!S97)),IF($B99="STD. DEVIATION",2,$F$1))))</f>
        <v/>
      </c>
      <c r="U99" s="1" t="str">
        <f>IF(OR($B99="",U$7=""),"",IF($B99="MEANS",INDEX('1-DATA'!$1:$1048576,$A98-1,COLUMN('1-DATA'!T97)),ROUND(INDEX('1-DATA'!$1:$1048576,IF(OR($B99="STD. DEVIATION",$C$1=1),$A99,$A99+1),COLUMN('1-DATA'!T97)),IF($B99="STD. DEVIATION",2,$F$1))))</f>
        <v/>
      </c>
      <c r="V99" s="1" t="str">
        <f>IF(OR($B99="",V$7=""),"",IF($B99="MEANS",INDEX('1-DATA'!$1:$1048576,$A98-1,COLUMN('1-DATA'!U97)),ROUND(INDEX('1-DATA'!$1:$1048576,IF(OR($B99="STD. DEVIATION",$C$1=1),$A99,$A99+1),COLUMN('1-DATA'!U97)),IF($B99="STD. DEVIATION",2,$F$1))))</f>
        <v/>
      </c>
      <c r="W99" s="1" t="str">
        <f>IF(OR($B99="",W$7=""),"",IF($B99="MEANS",INDEX('1-DATA'!$1:$1048576,$A98-1,COLUMN('1-DATA'!V97)),ROUND(INDEX('1-DATA'!$1:$1048576,IF(OR($B99="STD. DEVIATION",$C$1=1),$A99,$A99+1),COLUMN('1-DATA'!V97)),IF($B99="STD. DEVIATION",2,$F$1))))</f>
        <v/>
      </c>
      <c r="X99" s="1" t="str">
        <f>IF(OR($B99="",X$7=""),"",IF($B99="MEANS",INDEX('1-DATA'!$1:$1048576,$A98-1,COLUMN('1-DATA'!W97)),ROUND(INDEX('1-DATA'!$1:$1048576,IF(OR($B99="STD. DEVIATION",$C$1=1),$A99,$A99+1),COLUMN('1-DATA'!W97)),IF($B99="STD. DEVIATION",2,$F$1))))</f>
        <v/>
      </c>
      <c r="Y99" s="1" t="str">
        <f>IF(OR($B99="",Y$7=""),"",IF($B99="MEANS",INDEX('1-DATA'!$1:$1048576,$A98-1,COLUMN('1-DATA'!X97)),ROUND(INDEX('1-DATA'!$1:$1048576,IF(OR($B99="STD. DEVIATION",$C$1=1),$A99,$A99+1),COLUMN('1-DATA'!X97)),IF($B99="STD. DEVIATION",2,$F$1))))</f>
        <v/>
      </c>
      <c r="Z99" s="1" t="str">
        <f>IF(OR($B99="",Z$7=""),"",IF($B99="MEANS",INDEX('1-DATA'!$1:$1048576,$A98-1,COLUMN('1-DATA'!Y97)),ROUND(INDEX('1-DATA'!$1:$1048576,IF(OR($B99="STD. DEVIATION",$C$1=1),$A99,$A99+1),COLUMN('1-DATA'!Y97)),IF($B99="STD. DEVIATION",2,$F$1))))</f>
        <v/>
      </c>
      <c r="AA99" s="1" t="str">
        <f>IF(OR($B99="",AA$7=""),"",IF($B99="MEANS",INDEX('1-DATA'!$1:$1048576,$A98-1,COLUMN('1-DATA'!Z97)),ROUND(INDEX('1-DATA'!$1:$1048576,IF(OR($B99="STD. DEVIATION",$C$1=1),$A99,$A99+1),COLUMN('1-DATA'!Z97)),IF($B99="STD. DEVIATION",2,$F$1))))</f>
        <v/>
      </c>
      <c r="AB99" s="1" t="str">
        <f>IF(OR($B99="",AB$7=""),"",IF($B99="MEANS",INDEX('1-DATA'!$1:$1048576,$A98-1,COLUMN('1-DATA'!AA97)),ROUND(INDEX('1-DATA'!$1:$1048576,IF(OR($B99="STD. DEVIATION",$C$1=1),$A99,$A99+1),COLUMN('1-DATA'!AA97)),IF($B99="STD. DEVIATION",2,$F$1))))</f>
        <v/>
      </c>
      <c r="AC99" s="1" t="str">
        <f>IF(OR($B99="",AC$7=""),"",IF($B99="MEANS",INDEX('1-DATA'!$1:$1048576,$A98-1,COLUMN('1-DATA'!AB97)),ROUND(INDEX('1-DATA'!$1:$1048576,IF(OR($B99="STD. DEVIATION",$C$1=1),$A99,$A99+1),COLUMN('1-DATA'!AB97)),IF($B99="STD. DEVIATION",2,$F$1))))</f>
        <v/>
      </c>
      <c r="AD99" s="1" t="str">
        <f>IF(OR($B99="",AD$7=""),"",IF($B99="MEANS",INDEX('1-DATA'!$1:$1048576,$A98-1,COLUMN('1-DATA'!AC97)),ROUND(INDEX('1-DATA'!$1:$1048576,IF(OR($B99="STD. DEVIATION",$C$1=1),$A99,$A99+1),COLUMN('1-DATA'!AC97)),IF($B99="STD. DEVIATION",2,$F$1))))</f>
        <v/>
      </c>
      <c r="AE99" s="1" t="str">
        <f>IF(OR($B99="",AE$7=""),"",IF($B99="MEANS",INDEX('1-DATA'!$1:$1048576,$A98-1,COLUMN('1-DATA'!AD97)),ROUND(INDEX('1-DATA'!$1:$1048576,IF(OR($B99="STD. DEVIATION",$C$1=1),$A99,$A99+1),COLUMN('1-DATA'!AD97)),IF($B99="STD. DEVIATION",2,$F$1))))</f>
        <v/>
      </c>
      <c r="AF99" s="1" t="str">
        <f>IF(OR($B99="",AF$7=""),"",IF($B99="MEANS",INDEX('1-DATA'!$1:$1048576,$A98-1,COLUMN('1-DATA'!AE97)),ROUND(INDEX('1-DATA'!$1:$1048576,IF(OR($B99="STD. DEVIATION",$C$1=1),$A99,$A99+1),COLUMN('1-DATA'!AE97)),IF($B99="STD. DEVIATION",2,$F$1))))</f>
        <v/>
      </c>
      <c r="AG99" s="1" t="str">
        <f>IF(OR($B99="",AG$7=""),"",IF($B99="MEANS",INDEX('1-DATA'!$1:$1048576,$A98-1,COLUMN('1-DATA'!AF97)),ROUND(INDEX('1-DATA'!$1:$1048576,IF(OR($B99="STD. DEVIATION",$C$1=1),$A99,$A99+1),COLUMN('1-DATA'!AF97)),IF($B99="STD. DEVIATION",2,$F$1))))</f>
        <v/>
      </c>
      <c r="AH99" s="1" t="str">
        <f>IF(OR($B99="",AH$7=""),"",IF($B99="MEANS",INDEX('1-DATA'!$1:$1048576,$A98-1,COLUMN('1-DATA'!AG97)),ROUND(INDEX('1-DATA'!$1:$1048576,IF(OR($B99="STD. DEVIATION",$C$1=1),$A99,$A99+1),COLUMN('1-DATA'!AG97)),IF($B99="STD. DEVIATION",2,$F$1))))</f>
        <v/>
      </c>
      <c r="AI99" s="1" t="str">
        <f>IF(OR($B99="",AI$7=""),"",IF($B99="MEANS",INDEX('1-DATA'!$1:$1048576,$A98-1,COLUMN('1-DATA'!AH97)),ROUND(INDEX('1-DATA'!$1:$1048576,IF(OR($B99="STD. DEVIATION",$C$1=1),$A99,$A99+1),COLUMN('1-DATA'!AH97)),IF($B99="STD. DEVIATION",2,$F$1))))</f>
        <v/>
      </c>
      <c r="AJ99" s="1" t="str">
        <f>IF(OR($B99="",AJ$7=""),"",IF($B99="MEANS",INDEX('1-DATA'!$1:$1048576,$A98-1,COLUMN('1-DATA'!AI97)),ROUND(INDEX('1-DATA'!$1:$1048576,IF(OR($B99="STD. DEVIATION",$C$1=1),$A99,$A99+1),COLUMN('1-DATA'!AI97)),IF($B99="STD. DEVIATION",2,$F$1))))</f>
        <v/>
      </c>
      <c r="AK99" s="1" t="str">
        <f>IF(OR($B99="",AK$7=""),"",IF($B99="MEANS",INDEX('1-DATA'!$1:$1048576,$A98-1,COLUMN('1-DATA'!AJ97)),ROUND(INDEX('1-DATA'!$1:$1048576,IF(OR($B99="STD. DEVIATION",$C$1=1),$A99,$A99+1),COLUMN('1-DATA'!AJ97)),IF($B99="STD. DEVIATION",2,$F$1))))</f>
        <v/>
      </c>
      <c r="AL99" s="1" t="str">
        <f>IF(OR($B99="",AL$7=""),"",IF($B99="MEANS",INDEX('1-DATA'!$1:$1048576,$A98-1,COLUMN('1-DATA'!AK97)),ROUND(INDEX('1-DATA'!$1:$1048576,IF(OR($B99="STD. DEVIATION",$C$1=1),$A99,$A99+1),COLUMN('1-DATA'!AK97)),IF($B99="STD. DEVIATION",2,$F$1))))</f>
        <v/>
      </c>
      <c r="AM99" s="1" t="str">
        <f>IF(OR($B99="",AM$7=""),"",IF($B99="MEANS",INDEX('1-DATA'!$1:$1048576,$A98-1,COLUMN('1-DATA'!AL97)),ROUND(INDEX('1-DATA'!$1:$1048576,IF(OR($B99="STD. DEVIATION",$C$1=1),$A99,$A99+1),COLUMN('1-DATA'!AL97)),IF($B99="STD. DEVIATION",2,$F$1))))</f>
        <v/>
      </c>
      <c r="AN99" s="1" t="str">
        <f>IF(OR($B99="",AN$7=""),"",IF($B99="MEANS",INDEX('1-DATA'!$1:$1048576,$A98-1,COLUMN('1-DATA'!AM97)),ROUND(INDEX('1-DATA'!$1:$1048576,IF(OR($B99="STD. DEVIATION",$C$1=1),$A99,$A99+1),COLUMN('1-DATA'!AM97)),IF($B99="STD. DEVIATION",2,$F$1))))</f>
        <v/>
      </c>
      <c r="AO99" s="1" t="str">
        <f>IF(OR($B99="",AO$7=""),"",IF($B99="MEANS",INDEX('1-DATA'!$1:$1048576,$A98-1,COLUMN('1-DATA'!AN97)),ROUND(INDEX('1-DATA'!$1:$1048576,IF(OR($B99="STD. DEVIATION",$C$1=1),$A99,$A99+1),COLUMN('1-DATA'!AN97)),IF($B99="STD. DEVIATION",2,$F$1))))</f>
        <v/>
      </c>
      <c r="AP99" s="1" t="str">
        <f>IF(OR($B99="",AP$7=""),"",IF($B99="MEANS",INDEX('1-DATA'!$1:$1048576,$A98-1,COLUMN('1-DATA'!AO97)),ROUND(INDEX('1-DATA'!$1:$1048576,IF(OR($B99="STD. DEVIATION",$C$1=1),$A99,$A99+1),COLUMN('1-DATA'!AO97)),IF($B99="STD. DEVIATION",2,$F$1))))</f>
        <v/>
      </c>
      <c r="AQ99" s="1" t="str">
        <f>IF(OR($B99="",AQ$7=""),"",IF($B99="MEANS",INDEX('1-DATA'!$1:$1048576,$A98-1,COLUMN('1-DATA'!AP97)),ROUND(INDEX('1-DATA'!$1:$1048576,IF(OR($B99="STD. DEVIATION",$C$1=1),$A99,$A99+1),COLUMN('1-DATA'!AP97)),IF($B99="STD. DEVIATION",2,$F$1))))</f>
        <v/>
      </c>
      <c r="AR99" s="1" t="str">
        <f>IF(OR($B99="",AR$7=""),"",IF($B99="MEANS",INDEX('1-DATA'!$1:$1048576,$A98-1,COLUMN('1-DATA'!AQ97)),ROUND(INDEX('1-DATA'!$1:$1048576,IF(OR($B99="STD. DEVIATION",$C$1=1),$A99,$A99+1),COLUMN('1-DATA'!AQ97)),IF($B99="STD. DEVIATION",2,$F$1))))</f>
        <v/>
      </c>
      <c r="AS99" s="1" t="str">
        <f>IF(OR($B99="",AS$7=""),"",IF($B99="MEANS",INDEX('1-DATA'!$1:$1048576,$A98-1,COLUMN('1-DATA'!AR97)),ROUND(INDEX('1-DATA'!$1:$1048576,IF(OR($B99="STD. DEVIATION",$C$1=1),$A99,$A99+1),COLUMN('1-DATA'!AR97)),IF($B99="STD. DEVIATION",2,$F$1))))</f>
        <v/>
      </c>
      <c r="AT99" s="1" t="str">
        <f>IF(OR($B99="",AT$7=""),"",IF($B99="MEANS",INDEX('1-DATA'!$1:$1048576,$A98-1,COLUMN('1-DATA'!AS97)),ROUND(INDEX('1-DATA'!$1:$1048576,IF(OR($B99="STD. DEVIATION",$C$1=1),$A99,$A99+1),COLUMN('1-DATA'!AS97)),IF($B99="STD. DEVIATION",2,$F$1))))</f>
        <v/>
      </c>
      <c r="AU99" s="1" t="str">
        <f>IF(OR($B99="",AU$7=""),"",IF($B99="MEANS",INDEX('1-DATA'!$1:$1048576,$A98-1,COLUMN('1-DATA'!AT97)),ROUND(INDEX('1-DATA'!$1:$1048576,IF(OR($B99="STD. DEVIATION",$C$1=1),$A99,$A99+1),COLUMN('1-DATA'!AT97)),IF($B99="STD. DEVIATION",2,$F$1))))</f>
        <v/>
      </c>
      <c r="AV99" s="1" t="str">
        <f>IF(OR($B99="",AV$7=""),"",IF($B99="MEANS",INDEX('1-DATA'!$1:$1048576,$A98-1,COLUMN('1-DATA'!AU97)),ROUND(INDEX('1-DATA'!$1:$1048576,IF(OR($B99="STD. DEVIATION",$C$1=1),$A99,$A99+1),COLUMN('1-DATA'!AU97)),IF($B99="STD. DEVIATION",2,$F$1))))</f>
        <v/>
      </c>
      <c r="AW99" s="1" t="str">
        <f>IF(OR($B99="",AW$7=""),"",IF($B99="MEANS",INDEX('1-DATA'!$1:$1048576,$A98-1,COLUMN('1-DATA'!AV97)),ROUND(INDEX('1-DATA'!$1:$1048576,IF(OR($B99="STD. DEVIATION",$C$1=1),$A99,$A99+1),COLUMN('1-DATA'!AV97)),IF($B99="STD. DEVIATION",2,$F$1))))</f>
        <v/>
      </c>
      <c r="AX99" s="1" t="str">
        <f>IF(OR($B99="",AX$7=""),"",IF($B99="MEANS",INDEX('1-DATA'!$1:$1048576,$A98-1,COLUMN('1-DATA'!AW97)),ROUND(INDEX('1-DATA'!$1:$1048576,IF(OR($B99="STD. DEVIATION",$C$1=1),$A99,$A99+1),COLUMN('1-DATA'!AW97)),IF($B99="STD. DEVIATION",2,$F$1))))</f>
        <v/>
      </c>
      <c r="AY99" s="1" t="str">
        <f>IF(OR($B99="",AY$7=""),"",IF($B99="MEANS",INDEX('1-DATA'!$1:$1048576,$A98-1,COLUMN('1-DATA'!AX97)),ROUND(INDEX('1-DATA'!$1:$1048576,IF(OR($B99="STD. DEVIATION",$C$1=1),$A99,$A99+1),COLUMN('1-DATA'!AX97)),IF($B99="STD. DEVIATION",2,$F$1))))</f>
        <v/>
      </c>
      <c r="AZ99" s="1" t="str">
        <f>IF(OR($B99="",AZ$7=""),"",IF($B99="MEANS",INDEX('1-DATA'!$1:$1048576,$A98-1,COLUMN('1-DATA'!AY97)),ROUND(INDEX('1-DATA'!$1:$1048576,IF(OR($B99="STD. DEVIATION",$C$1=1),$A99,$A99+1),COLUMN('1-DATA'!AY97)),IF($B99="STD. DEVIATION",2,$F$1))))</f>
        <v/>
      </c>
    </row>
    <row r="100" spans="1:52" x14ac:dyDescent="0.25">
      <c r="A100" s="11">
        <f t="shared" si="2"/>
        <v>286</v>
      </c>
      <c r="B100" s="1" t="str">
        <f>IF(B99="STD. DEVIATION",INDEX('1-DATA'!$1:$1048576,$A99-1,1),IF(INDEX('1-DATA'!$1:$1048576,$A100,1)&lt;&gt;"",INDEX('1-DATA'!$1:$1048576,$A100,1),""))</f>
        <v/>
      </c>
      <c r="C100" s="1" t="str">
        <f>IF(OR($B100="",C$7=""),"",IF($B100="MEANS",INDEX('1-DATA'!$1:$1048576,$A99-1,COLUMN('1-DATA'!B98)),ROUND(INDEX('1-DATA'!$1:$1048576,IF(OR($B100="STD. DEVIATION",$C$1=1),$A100,$A100+1),COLUMN('1-DATA'!B98)),IF($B100="STD. DEVIATION",2,$F$1))))</f>
        <v/>
      </c>
      <c r="D100" s="1" t="str">
        <f>IF(OR($B100="",D$7=""),"",IF($B100="MEANS",INDEX('1-DATA'!$1:$1048576,$A99-1,COLUMN('1-DATA'!C98)),ROUND(INDEX('1-DATA'!$1:$1048576,IF(OR($B100="STD. DEVIATION",$C$1=1),$A100,$A100+1),COLUMN('1-DATA'!C98)),IF($B100="STD. DEVIATION",2,$F$1))))</f>
        <v/>
      </c>
      <c r="E100" s="1" t="str">
        <f>IF(OR($B100="",E$7=""),"",IF($B100="MEANS",INDEX('1-DATA'!$1:$1048576,$A99-1,COLUMN('1-DATA'!D98)),ROUND(INDEX('1-DATA'!$1:$1048576,IF(OR($B100="STD. DEVIATION",$C$1=1),$A100,$A100+1),COLUMN('1-DATA'!D98)),IF($B100="STD. DEVIATION",2,$F$1))))</f>
        <v/>
      </c>
      <c r="F100" s="1" t="str">
        <f>IF(OR($B100="",F$7=""),"",IF($B100="MEANS",INDEX('1-DATA'!$1:$1048576,$A99-1,COLUMN('1-DATA'!E98)),ROUND(INDEX('1-DATA'!$1:$1048576,IF(OR($B100="STD. DEVIATION",$C$1=1),$A100,$A100+1),COLUMN('1-DATA'!E98)),IF($B100="STD. DEVIATION",2,$F$1))))</f>
        <v/>
      </c>
      <c r="G100" s="1" t="str">
        <f>IF(OR($B100="",G$7=""),"",IF($B100="MEANS",INDEX('1-DATA'!$1:$1048576,$A99-1,COLUMN('1-DATA'!F98)),ROUND(INDEX('1-DATA'!$1:$1048576,IF(OR($B100="STD. DEVIATION",$C$1=1),$A100,$A100+1),COLUMN('1-DATA'!F98)),IF($B100="STD. DEVIATION",2,$F$1))))</f>
        <v/>
      </c>
      <c r="H100" s="1" t="str">
        <f>IF(OR($B100="",H$7=""),"",IF($B100="MEANS",INDEX('1-DATA'!$1:$1048576,$A99-1,COLUMN('1-DATA'!G98)),ROUND(INDEX('1-DATA'!$1:$1048576,IF(OR($B100="STD. DEVIATION",$C$1=1),$A100,$A100+1),COLUMN('1-DATA'!G98)),IF($B100="STD. DEVIATION",2,$F$1))))</f>
        <v/>
      </c>
      <c r="I100" s="1" t="str">
        <f>IF(OR($B100="",I$7=""),"",IF($B100="MEANS",INDEX('1-DATA'!$1:$1048576,$A99-1,COLUMN('1-DATA'!H98)),ROUND(INDEX('1-DATA'!$1:$1048576,IF(OR($B100="STD. DEVIATION",$C$1=1),$A100,$A100+1),COLUMN('1-DATA'!H98)),IF($B100="STD. DEVIATION",2,$F$1))))</f>
        <v/>
      </c>
      <c r="J100" s="1" t="str">
        <f>IF(OR($B100="",J$7=""),"",IF($B100="MEANS",INDEX('1-DATA'!$1:$1048576,$A99-1,COLUMN('1-DATA'!I98)),ROUND(INDEX('1-DATA'!$1:$1048576,IF(OR($B100="STD. DEVIATION",$C$1=1),$A100,$A100+1),COLUMN('1-DATA'!I98)),IF($B100="STD. DEVIATION",2,$F$1))))</f>
        <v/>
      </c>
      <c r="K100" s="1" t="str">
        <f>IF(OR($B100="",K$7=""),"",IF($B100="MEANS",INDEX('1-DATA'!$1:$1048576,$A99-1,COLUMN('1-DATA'!J98)),ROUND(INDEX('1-DATA'!$1:$1048576,IF(OR($B100="STD. DEVIATION",$C$1=1),$A100,$A100+1),COLUMN('1-DATA'!J98)),IF($B100="STD. DEVIATION",2,$F$1))))</f>
        <v/>
      </c>
      <c r="L100" s="1" t="str">
        <f>IF(OR($B100="",L$7=""),"",IF($B100="MEANS",INDEX('1-DATA'!$1:$1048576,$A99-1,COLUMN('1-DATA'!K98)),ROUND(INDEX('1-DATA'!$1:$1048576,IF(OR($B100="STD. DEVIATION",$C$1=1),$A100,$A100+1),COLUMN('1-DATA'!K98)),IF($B100="STD. DEVIATION",2,$F$1))))</f>
        <v/>
      </c>
      <c r="M100" s="1" t="str">
        <f>IF(OR($B100="",M$7=""),"",IF($B100="MEANS",INDEX('1-DATA'!$1:$1048576,$A99-1,COLUMN('1-DATA'!L98)),ROUND(INDEX('1-DATA'!$1:$1048576,IF(OR($B100="STD. DEVIATION",$C$1=1),$A100,$A100+1),COLUMN('1-DATA'!L98)),IF($B100="STD. DEVIATION",2,$F$1))))</f>
        <v/>
      </c>
      <c r="N100" s="1" t="str">
        <f>IF(OR($B100="",N$7=""),"",IF($B100="MEANS",INDEX('1-DATA'!$1:$1048576,$A99-1,COLUMN('1-DATA'!M98)),ROUND(INDEX('1-DATA'!$1:$1048576,IF(OR($B100="STD. DEVIATION",$C$1=1),$A100,$A100+1),COLUMN('1-DATA'!M98)),IF($B100="STD. DEVIATION",2,$F$1))))</f>
        <v/>
      </c>
      <c r="O100" s="1" t="str">
        <f>IF(OR($B100="",O$7=""),"",IF($B100="MEANS",INDEX('1-DATA'!$1:$1048576,$A99-1,COLUMN('1-DATA'!N98)),ROUND(INDEX('1-DATA'!$1:$1048576,IF(OR($B100="STD. DEVIATION",$C$1=1),$A100,$A100+1),COLUMN('1-DATA'!N98)),IF($B100="STD. DEVIATION",2,$F$1))))</f>
        <v/>
      </c>
      <c r="P100" s="1" t="str">
        <f>IF(OR($B100="",P$7=""),"",IF($B100="MEANS",INDEX('1-DATA'!$1:$1048576,$A99-1,COLUMN('1-DATA'!O98)),ROUND(INDEX('1-DATA'!$1:$1048576,IF(OR($B100="STD. DEVIATION",$C$1=1),$A100,$A100+1),COLUMN('1-DATA'!O98)),IF($B100="STD. DEVIATION",2,$F$1))))</f>
        <v/>
      </c>
      <c r="Q100" s="1" t="str">
        <f>IF(OR($B100="",Q$7=""),"",IF($B100="MEANS",INDEX('1-DATA'!$1:$1048576,$A99-1,COLUMN('1-DATA'!P98)),ROUND(INDEX('1-DATA'!$1:$1048576,IF(OR($B100="STD. DEVIATION",$C$1=1),$A100,$A100+1),COLUMN('1-DATA'!P98)),IF($B100="STD. DEVIATION",2,$F$1))))</f>
        <v/>
      </c>
      <c r="R100" s="1" t="str">
        <f>IF(OR($B100="",R$7=""),"",IF($B100="MEANS",INDEX('1-DATA'!$1:$1048576,$A99-1,COLUMN('1-DATA'!Q98)),ROUND(INDEX('1-DATA'!$1:$1048576,IF(OR($B100="STD. DEVIATION",$C$1=1),$A100,$A100+1),COLUMN('1-DATA'!Q98)),IF($B100="STD. DEVIATION",2,$F$1))))</f>
        <v/>
      </c>
      <c r="S100" s="1" t="str">
        <f>IF(OR($B100="",S$7=""),"",IF($B100="MEANS",INDEX('1-DATA'!$1:$1048576,$A99-1,COLUMN('1-DATA'!R98)),ROUND(INDEX('1-DATA'!$1:$1048576,IF(OR($B100="STD. DEVIATION",$C$1=1),$A100,$A100+1),COLUMN('1-DATA'!R98)),IF($B100="STD. DEVIATION",2,$F$1))))</f>
        <v/>
      </c>
      <c r="T100" s="1" t="str">
        <f>IF(OR($B100="",T$7=""),"",IF($B100="MEANS",INDEX('1-DATA'!$1:$1048576,$A99-1,COLUMN('1-DATA'!S98)),ROUND(INDEX('1-DATA'!$1:$1048576,IF(OR($B100="STD. DEVIATION",$C$1=1),$A100,$A100+1),COLUMN('1-DATA'!S98)),IF($B100="STD. DEVIATION",2,$F$1))))</f>
        <v/>
      </c>
      <c r="U100" s="1" t="str">
        <f>IF(OR($B100="",U$7=""),"",IF($B100="MEANS",INDEX('1-DATA'!$1:$1048576,$A99-1,COLUMN('1-DATA'!T98)),ROUND(INDEX('1-DATA'!$1:$1048576,IF(OR($B100="STD. DEVIATION",$C$1=1),$A100,$A100+1),COLUMN('1-DATA'!T98)),IF($B100="STD. DEVIATION",2,$F$1))))</f>
        <v/>
      </c>
      <c r="V100" s="1" t="str">
        <f>IF(OR($B100="",V$7=""),"",IF($B100="MEANS",INDEX('1-DATA'!$1:$1048576,$A99-1,COLUMN('1-DATA'!U98)),ROUND(INDEX('1-DATA'!$1:$1048576,IF(OR($B100="STD. DEVIATION",$C$1=1),$A100,$A100+1),COLUMN('1-DATA'!U98)),IF($B100="STD. DEVIATION",2,$F$1))))</f>
        <v/>
      </c>
      <c r="W100" s="1" t="str">
        <f>IF(OR($B100="",W$7=""),"",IF($B100="MEANS",INDEX('1-DATA'!$1:$1048576,$A99-1,COLUMN('1-DATA'!V98)),ROUND(INDEX('1-DATA'!$1:$1048576,IF(OR($B100="STD. DEVIATION",$C$1=1),$A100,$A100+1),COLUMN('1-DATA'!V98)),IF($B100="STD. DEVIATION",2,$F$1))))</f>
        <v/>
      </c>
      <c r="X100" s="1" t="str">
        <f>IF(OR($B100="",X$7=""),"",IF($B100="MEANS",INDEX('1-DATA'!$1:$1048576,$A99-1,COLUMN('1-DATA'!W98)),ROUND(INDEX('1-DATA'!$1:$1048576,IF(OR($B100="STD. DEVIATION",$C$1=1),$A100,$A100+1),COLUMN('1-DATA'!W98)),IF($B100="STD. DEVIATION",2,$F$1))))</f>
        <v/>
      </c>
      <c r="Y100" s="1" t="str">
        <f>IF(OR($B100="",Y$7=""),"",IF($B100="MEANS",INDEX('1-DATA'!$1:$1048576,$A99-1,COLUMN('1-DATA'!X98)),ROUND(INDEX('1-DATA'!$1:$1048576,IF(OR($B100="STD. DEVIATION",$C$1=1),$A100,$A100+1),COLUMN('1-DATA'!X98)),IF($B100="STD. DEVIATION",2,$F$1))))</f>
        <v/>
      </c>
      <c r="Z100" s="1" t="str">
        <f>IF(OR($B100="",Z$7=""),"",IF($B100="MEANS",INDEX('1-DATA'!$1:$1048576,$A99-1,COLUMN('1-DATA'!Y98)),ROUND(INDEX('1-DATA'!$1:$1048576,IF(OR($B100="STD. DEVIATION",$C$1=1),$A100,$A100+1),COLUMN('1-DATA'!Y98)),IF($B100="STD. DEVIATION",2,$F$1))))</f>
        <v/>
      </c>
      <c r="AA100" s="1" t="str">
        <f>IF(OR($B100="",AA$7=""),"",IF($B100="MEANS",INDEX('1-DATA'!$1:$1048576,$A99-1,COLUMN('1-DATA'!Z98)),ROUND(INDEX('1-DATA'!$1:$1048576,IF(OR($B100="STD. DEVIATION",$C$1=1),$A100,$A100+1),COLUMN('1-DATA'!Z98)),IF($B100="STD. DEVIATION",2,$F$1))))</f>
        <v/>
      </c>
      <c r="AB100" s="1" t="str">
        <f>IF(OR($B100="",AB$7=""),"",IF($B100="MEANS",INDEX('1-DATA'!$1:$1048576,$A99-1,COLUMN('1-DATA'!AA98)),ROUND(INDEX('1-DATA'!$1:$1048576,IF(OR($B100="STD. DEVIATION",$C$1=1),$A100,$A100+1),COLUMN('1-DATA'!AA98)),IF($B100="STD. DEVIATION",2,$F$1))))</f>
        <v/>
      </c>
      <c r="AC100" s="1" t="str">
        <f>IF(OR($B100="",AC$7=""),"",IF($B100="MEANS",INDEX('1-DATA'!$1:$1048576,$A99-1,COLUMN('1-DATA'!AB98)),ROUND(INDEX('1-DATA'!$1:$1048576,IF(OR($B100="STD. DEVIATION",$C$1=1),$A100,$A100+1),COLUMN('1-DATA'!AB98)),IF($B100="STD. DEVIATION",2,$F$1))))</f>
        <v/>
      </c>
      <c r="AD100" s="1" t="str">
        <f>IF(OR($B100="",AD$7=""),"",IF($B100="MEANS",INDEX('1-DATA'!$1:$1048576,$A99-1,COLUMN('1-DATA'!AC98)),ROUND(INDEX('1-DATA'!$1:$1048576,IF(OR($B100="STD. DEVIATION",$C$1=1),$A100,$A100+1),COLUMN('1-DATA'!AC98)),IF($B100="STD. DEVIATION",2,$F$1))))</f>
        <v/>
      </c>
      <c r="AE100" s="1" t="str">
        <f>IF(OR($B100="",AE$7=""),"",IF($B100="MEANS",INDEX('1-DATA'!$1:$1048576,$A99-1,COLUMN('1-DATA'!AD98)),ROUND(INDEX('1-DATA'!$1:$1048576,IF(OR($B100="STD. DEVIATION",$C$1=1),$A100,$A100+1),COLUMN('1-DATA'!AD98)),IF($B100="STD. DEVIATION",2,$F$1))))</f>
        <v/>
      </c>
      <c r="AF100" s="1" t="str">
        <f>IF(OR($B100="",AF$7=""),"",IF($B100="MEANS",INDEX('1-DATA'!$1:$1048576,$A99-1,COLUMN('1-DATA'!AE98)),ROUND(INDEX('1-DATA'!$1:$1048576,IF(OR($B100="STD. DEVIATION",$C$1=1),$A100,$A100+1),COLUMN('1-DATA'!AE98)),IF($B100="STD. DEVIATION",2,$F$1))))</f>
        <v/>
      </c>
      <c r="AG100" s="1" t="str">
        <f>IF(OR($B100="",AG$7=""),"",IF($B100="MEANS",INDEX('1-DATA'!$1:$1048576,$A99-1,COLUMN('1-DATA'!AF98)),ROUND(INDEX('1-DATA'!$1:$1048576,IF(OR($B100="STD. DEVIATION",$C$1=1),$A100,$A100+1),COLUMN('1-DATA'!AF98)),IF($B100="STD. DEVIATION",2,$F$1))))</f>
        <v/>
      </c>
      <c r="AH100" s="1" t="str">
        <f>IF(OR($B100="",AH$7=""),"",IF($B100="MEANS",INDEX('1-DATA'!$1:$1048576,$A99-1,COLUMN('1-DATA'!AG98)),ROUND(INDEX('1-DATA'!$1:$1048576,IF(OR($B100="STD. DEVIATION",$C$1=1),$A100,$A100+1),COLUMN('1-DATA'!AG98)),IF($B100="STD. DEVIATION",2,$F$1))))</f>
        <v/>
      </c>
      <c r="AI100" s="1" t="str">
        <f>IF(OR($B100="",AI$7=""),"",IF($B100="MEANS",INDEX('1-DATA'!$1:$1048576,$A99-1,COLUMN('1-DATA'!AH98)),ROUND(INDEX('1-DATA'!$1:$1048576,IF(OR($B100="STD. DEVIATION",$C$1=1),$A100,$A100+1),COLUMN('1-DATA'!AH98)),IF($B100="STD. DEVIATION",2,$F$1))))</f>
        <v/>
      </c>
      <c r="AJ100" s="1" t="str">
        <f>IF(OR($B100="",AJ$7=""),"",IF($B100="MEANS",INDEX('1-DATA'!$1:$1048576,$A99-1,COLUMN('1-DATA'!AI98)),ROUND(INDEX('1-DATA'!$1:$1048576,IF(OR($B100="STD. DEVIATION",$C$1=1),$A100,$A100+1),COLUMN('1-DATA'!AI98)),IF($B100="STD. DEVIATION",2,$F$1))))</f>
        <v/>
      </c>
      <c r="AK100" s="1" t="str">
        <f>IF(OR($B100="",AK$7=""),"",IF($B100="MEANS",INDEX('1-DATA'!$1:$1048576,$A99-1,COLUMN('1-DATA'!AJ98)),ROUND(INDEX('1-DATA'!$1:$1048576,IF(OR($B100="STD. DEVIATION",$C$1=1),$A100,$A100+1),COLUMN('1-DATA'!AJ98)),IF($B100="STD. DEVIATION",2,$F$1))))</f>
        <v/>
      </c>
      <c r="AL100" s="1" t="str">
        <f>IF(OR($B100="",AL$7=""),"",IF($B100="MEANS",INDEX('1-DATA'!$1:$1048576,$A99-1,COLUMN('1-DATA'!AK98)),ROUND(INDEX('1-DATA'!$1:$1048576,IF(OR($B100="STD. DEVIATION",$C$1=1),$A100,$A100+1),COLUMN('1-DATA'!AK98)),IF($B100="STD. DEVIATION",2,$F$1))))</f>
        <v/>
      </c>
      <c r="AM100" s="1" t="str">
        <f>IF(OR($B100="",AM$7=""),"",IF($B100="MEANS",INDEX('1-DATA'!$1:$1048576,$A99-1,COLUMN('1-DATA'!AL98)),ROUND(INDEX('1-DATA'!$1:$1048576,IF(OR($B100="STD. DEVIATION",$C$1=1),$A100,$A100+1),COLUMN('1-DATA'!AL98)),IF($B100="STD. DEVIATION",2,$F$1))))</f>
        <v/>
      </c>
      <c r="AN100" s="1" t="str">
        <f>IF(OR($B100="",AN$7=""),"",IF($B100="MEANS",INDEX('1-DATA'!$1:$1048576,$A99-1,COLUMN('1-DATA'!AM98)),ROUND(INDEX('1-DATA'!$1:$1048576,IF(OR($B100="STD. DEVIATION",$C$1=1),$A100,$A100+1),COLUMN('1-DATA'!AM98)),IF($B100="STD. DEVIATION",2,$F$1))))</f>
        <v/>
      </c>
      <c r="AO100" s="1" t="str">
        <f>IF(OR($B100="",AO$7=""),"",IF($B100="MEANS",INDEX('1-DATA'!$1:$1048576,$A99-1,COLUMN('1-DATA'!AN98)),ROUND(INDEX('1-DATA'!$1:$1048576,IF(OR($B100="STD. DEVIATION",$C$1=1),$A100,$A100+1),COLUMN('1-DATA'!AN98)),IF($B100="STD. DEVIATION",2,$F$1))))</f>
        <v/>
      </c>
      <c r="AP100" s="1" t="str">
        <f>IF(OR($B100="",AP$7=""),"",IF($B100="MEANS",INDEX('1-DATA'!$1:$1048576,$A99-1,COLUMN('1-DATA'!AO98)),ROUND(INDEX('1-DATA'!$1:$1048576,IF(OR($B100="STD. DEVIATION",$C$1=1),$A100,$A100+1),COLUMN('1-DATA'!AO98)),IF($B100="STD. DEVIATION",2,$F$1))))</f>
        <v/>
      </c>
      <c r="AQ100" s="1" t="str">
        <f>IF(OR($B100="",AQ$7=""),"",IF($B100="MEANS",INDEX('1-DATA'!$1:$1048576,$A99-1,COLUMN('1-DATA'!AP98)),ROUND(INDEX('1-DATA'!$1:$1048576,IF(OR($B100="STD. DEVIATION",$C$1=1),$A100,$A100+1),COLUMN('1-DATA'!AP98)),IF($B100="STD. DEVIATION",2,$F$1))))</f>
        <v/>
      </c>
      <c r="AR100" s="1" t="str">
        <f>IF(OR($B100="",AR$7=""),"",IF($B100="MEANS",INDEX('1-DATA'!$1:$1048576,$A99-1,COLUMN('1-DATA'!AQ98)),ROUND(INDEX('1-DATA'!$1:$1048576,IF(OR($B100="STD. DEVIATION",$C$1=1),$A100,$A100+1),COLUMN('1-DATA'!AQ98)),IF($B100="STD. DEVIATION",2,$F$1))))</f>
        <v/>
      </c>
      <c r="AS100" s="1" t="str">
        <f>IF(OR($B100="",AS$7=""),"",IF($B100="MEANS",INDEX('1-DATA'!$1:$1048576,$A99-1,COLUMN('1-DATA'!AR98)),ROUND(INDEX('1-DATA'!$1:$1048576,IF(OR($B100="STD. DEVIATION",$C$1=1),$A100,$A100+1),COLUMN('1-DATA'!AR98)),IF($B100="STD. DEVIATION",2,$F$1))))</f>
        <v/>
      </c>
      <c r="AT100" s="1" t="str">
        <f>IF(OR($B100="",AT$7=""),"",IF($B100="MEANS",INDEX('1-DATA'!$1:$1048576,$A99-1,COLUMN('1-DATA'!AS98)),ROUND(INDEX('1-DATA'!$1:$1048576,IF(OR($B100="STD. DEVIATION",$C$1=1),$A100,$A100+1),COLUMN('1-DATA'!AS98)),IF($B100="STD. DEVIATION",2,$F$1))))</f>
        <v/>
      </c>
      <c r="AU100" s="1" t="str">
        <f>IF(OR($B100="",AU$7=""),"",IF($B100="MEANS",INDEX('1-DATA'!$1:$1048576,$A99-1,COLUMN('1-DATA'!AT98)),ROUND(INDEX('1-DATA'!$1:$1048576,IF(OR($B100="STD. DEVIATION",$C$1=1),$A100,$A100+1),COLUMN('1-DATA'!AT98)),IF($B100="STD. DEVIATION",2,$F$1))))</f>
        <v/>
      </c>
      <c r="AV100" s="1" t="str">
        <f>IF(OR($B100="",AV$7=""),"",IF($B100="MEANS",INDEX('1-DATA'!$1:$1048576,$A99-1,COLUMN('1-DATA'!AU98)),ROUND(INDEX('1-DATA'!$1:$1048576,IF(OR($B100="STD. DEVIATION",$C$1=1),$A100,$A100+1),COLUMN('1-DATA'!AU98)),IF($B100="STD. DEVIATION",2,$F$1))))</f>
        <v/>
      </c>
      <c r="AW100" s="1" t="str">
        <f>IF(OR($B100="",AW$7=""),"",IF($B100="MEANS",INDEX('1-DATA'!$1:$1048576,$A99-1,COLUMN('1-DATA'!AV98)),ROUND(INDEX('1-DATA'!$1:$1048576,IF(OR($B100="STD. DEVIATION",$C$1=1),$A100,$A100+1),COLUMN('1-DATA'!AV98)),IF($B100="STD. DEVIATION",2,$F$1))))</f>
        <v/>
      </c>
      <c r="AX100" s="1" t="str">
        <f>IF(OR($B100="",AX$7=""),"",IF($B100="MEANS",INDEX('1-DATA'!$1:$1048576,$A99-1,COLUMN('1-DATA'!AW98)),ROUND(INDEX('1-DATA'!$1:$1048576,IF(OR($B100="STD. DEVIATION",$C$1=1),$A100,$A100+1),COLUMN('1-DATA'!AW98)),IF($B100="STD. DEVIATION",2,$F$1))))</f>
        <v/>
      </c>
      <c r="AY100" s="1" t="str">
        <f>IF(OR($B100="",AY$7=""),"",IF($B100="MEANS",INDEX('1-DATA'!$1:$1048576,$A99-1,COLUMN('1-DATA'!AX98)),ROUND(INDEX('1-DATA'!$1:$1048576,IF(OR($B100="STD. DEVIATION",$C$1=1),$A100,$A100+1),COLUMN('1-DATA'!AX98)),IF($B100="STD. DEVIATION",2,$F$1))))</f>
        <v/>
      </c>
      <c r="AZ100" s="1" t="str">
        <f>IF(OR($B100="",AZ$7=""),"",IF($B100="MEANS",INDEX('1-DATA'!$1:$1048576,$A99-1,COLUMN('1-DATA'!AY98)),ROUND(INDEX('1-DATA'!$1:$1048576,IF(OR($B100="STD. DEVIATION",$C$1=1),$A100,$A100+1),COLUMN('1-DATA'!AY98)),IF($B100="STD. DEVIATION",2,$F$1))))</f>
        <v/>
      </c>
    </row>
    <row r="101" spans="1:52" x14ac:dyDescent="0.25">
      <c r="A101" s="11">
        <f t="shared" si="2"/>
        <v>289</v>
      </c>
      <c r="B101" s="1" t="str">
        <f>IF(B100="STD. DEVIATION",INDEX('1-DATA'!$1:$1048576,$A100-1,1),IF(INDEX('1-DATA'!$1:$1048576,$A101,1)&lt;&gt;"",INDEX('1-DATA'!$1:$1048576,$A101,1),""))</f>
        <v/>
      </c>
      <c r="C101" s="1" t="str">
        <f>IF(OR($B101="",C$7=""),"",IF($B101="MEANS",INDEX('1-DATA'!$1:$1048576,$A100-1,COLUMN('1-DATA'!B99)),ROUND(INDEX('1-DATA'!$1:$1048576,IF(OR($B101="STD. DEVIATION",$C$1=1),$A101,$A101+1),COLUMN('1-DATA'!B99)),IF($B101="STD. DEVIATION",2,$F$1))))</f>
        <v/>
      </c>
      <c r="D101" s="1" t="str">
        <f>IF(OR($B101="",D$7=""),"",IF($B101="MEANS",INDEX('1-DATA'!$1:$1048576,$A100-1,COLUMN('1-DATA'!C99)),ROUND(INDEX('1-DATA'!$1:$1048576,IF(OR($B101="STD. DEVIATION",$C$1=1),$A101,$A101+1),COLUMN('1-DATA'!C99)),IF($B101="STD. DEVIATION",2,$F$1))))</f>
        <v/>
      </c>
      <c r="E101" s="1" t="str">
        <f>IF(OR($B101="",E$7=""),"",IF($B101="MEANS",INDEX('1-DATA'!$1:$1048576,$A100-1,COLUMN('1-DATA'!D99)),ROUND(INDEX('1-DATA'!$1:$1048576,IF(OR($B101="STD. DEVIATION",$C$1=1),$A101,$A101+1),COLUMN('1-DATA'!D99)),IF($B101="STD. DEVIATION",2,$F$1))))</f>
        <v/>
      </c>
      <c r="F101" s="1" t="str">
        <f>IF(OR($B101="",F$7=""),"",IF($B101="MEANS",INDEX('1-DATA'!$1:$1048576,$A100-1,COLUMN('1-DATA'!E99)),ROUND(INDEX('1-DATA'!$1:$1048576,IF(OR($B101="STD. DEVIATION",$C$1=1),$A101,$A101+1),COLUMN('1-DATA'!E99)),IF($B101="STD. DEVIATION",2,$F$1))))</f>
        <v/>
      </c>
      <c r="G101" s="1" t="str">
        <f>IF(OR($B101="",G$7=""),"",IF($B101="MEANS",INDEX('1-DATA'!$1:$1048576,$A100-1,COLUMN('1-DATA'!F99)),ROUND(INDEX('1-DATA'!$1:$1048576,IF(OR($B101="STD. DEVIATION",$C$1=1),$A101,$A101+1),COLUMN('1-DATA'!F99)),IF($B101="STD. DEVIATION",2,$F$1))))</f>
        <v/>
      </c>
      <c r="H101" s="1" t="str">
        <f>IF(OR($B101="",H$7=""),"",IF($B101="MEANS",INDEX('1-DATA'!$1:$1048576,$A100-1,COLUMN('1-DATA'!G99)),ROUND(INDEX('1-DATA'!$1:$1048576,IF(OR($B101="STD. DEVIATION",$C$1=1),$A101,$A101+1),COLUMN('1-DATA'!G99)),IF($B101="STD. DEVIATION",2,$F$1))))</f>
        <v/>
      </c>
      <c r="I101" s="1" t="str">
        <f>IF(OR($B101="",I$7=""),"",IF($B101="MEANS",INDEX('1-DATA'!$1:$1048576,$A100-1,COLUMN('1-DATA'!H99)),ROUND(INDEX('1-DATA'!$1:$1048576,IF(OR($B101="STD. DEVIATION",$C$1=1),$A101,$A101+1),COLUMN('1-DATA'!H99)),IF($B101="STD. DEVIATION",2,$F$1))))</f>
        <v/>
      </c>
      <c r="J101" s="1" t="str">
        <f>IF(OR($B101="",J$7=""),"",IF($B101="MEANS",INDEX('1-DATA'!$1:$1048576,$A100-1,COLUMN('1-DATA'!I99)),ROUND(INDEX('1-DATA'!$1:$1048576,IF(OR($B101="STD. DEVIATION",$C$1=1),$A101,$A101+1),COLUMN('1-DATA'!I99)),IF($B101="STD. DEVIATION",2,$F$1))))</f>
        <v/>
      </c>
      <c r="K101" s="1" t="str">
        <f>IF(OR($B101="",K$7=""),"",IF($B101="MEANS",INDEX('1-DATA'!$1:$1048576,$A100-1,COLUMN('1-DATA'!J99)),ROUND(INDEX('1-DATA'!$1:$1048576,IF(OR($B101="STD. DEVIATION",$C$1=1),$A101,$A101+1),COLUMN('1-DATA'!J99)),IF($B101="STD. DEVIATION",2,$F$1))))</f>
        <v/>
      </c>
      <c r="L101" s="1" t="str">
        <f>IF(OR($B101="",L$7=""),"",IF($B101="MEANS",INDEX('1-DATA'!$1:$1048576,$A100-1,COLUMN('1-DATA'!K99)),ROUND(INDEX('1-DATA'!$1:$1048576,IF(OR($B101="STD. DEVIATION",$C$1=1),$A101,$A101+1),COLUMN('1-DATA'!K99)),IF($B101="STD. DEVIATION",2,$F$1))))</f>
        <v/>
      </c>
      <c r="M101" s="1" t="str">
        <f>IF(OR($B101="",M$7=""),"",IF($B101="MEANS",INDEX('1-DATA'!$1:$1048576,$A100-1,COLUMN('1-DATA'!L99)),ROUND(INDEX('1-DATA'!$1:$1048576,IF(OR($B101="STD. DEVIATION",$C$1=1),$A101,$A101+1),COLUMN('1-DATA'!L99)),IF($B101="STD. DEVIATION",2,$F$1))))</f>
        <v/>
      </c>
      <c r="N101" s="1" t="str">
        <f>IF(OR($B101="",N$7=""),"",IF($B101="MEANS",INDEX('1-DATA'!$1:$1048576,$A100-1,COLUMN('1-DATA'!M99)),ROUND(INDEX('1-DATA'!$1:$1048576,IF(OR($B101="STD. DEVIATION",$C$1=1),$A101,$A101+1),COLUMN('1-DATA'!M99)),IF($B101="STD. DEVIATION",2,$F$1))))</f>
        <v/>
      </c>
      <c r="O101" s="1" t="str">
        <f>IF(OR($B101="",O$7=""),"",IF($B101="MEANS",INDEX('1-DATA'!$1:$1048576,$A100-1,COLUMN('1-DATA'!N99)),ROUND(INDEX('1-DATA'!$1:$1048576,IF(OR($B101="STD. DEVIATION",$C$1=1),$A101,$A101+1),COLUMN('1-DATA'!N99)),IF($B101="STD. DEVIATION",2,$F$1))))</f>
        <v/>
      </c>
      <c r="P101" s="1" t="str">
        <f>IF(OR($B101="",P$7=""),"",IF($B101="MEANS",INDEX('1-DATA'!$1:$1048576,$A100-1,COLUMN('1-DATA'!O99)),ROUND(INDEX('1-DATA'!$1:$1048576,IF(OR($B101="STD. DEVIATION",$C$1=1),$A101,$A101+1),COLUMN('1-DATA'!O99)),IF($B101="STD. DEVIATION",2,$F$1))))</f>
        <v/>
      </c>
      <c r="Q101" s="1" t="str">
        <f>IF(OR($B101="",Q$7=""),"",IF($B101="MEANS",INDEX('1-DATA'!$1:$1048576,$A100-1,COLUMN('1-DATA'!P99)),ROUND(INDEX('1-DATA'!$1:$1048576,IF(OR($B101="STD. DEVIATION",$C$1=1),$A101,$A101+1),COLUMN('1-DATA'!P99)),IF($B101="STD. DEVIATION",2,$F$1))))</f>
        <v/>
      </c>
      <c r="R101" s="1" t="str">
        <f>IF(OR($B101="",R$7=""),"",IF($B101="MEANS",INDEX('1-DATA'!$1:$1048576,$A100-1,COLUMN('1-DATA'!Q99)),ROUND(INDEX('1-DATA'!$1:$1048576,IF(OR($B101="STD. DEVIATION",$C$1=1),$A101,$A101+1),COLUMN('1-DATA'!Q99)),IF($B101="STD. DEVIATION",2,$F$1))))</f>
        <v/>
      </c>
      <c r="S101" s="1" t="str">
        <f>IF(OR($B101="",S$7=""),"",IF($B101="MEANS",INDEX('1-DATA'!$1:$1048576,$A100-1,COLUMN('1-DATA'!R99)),ROUND(INDEX('1-DATA'!$1:$1048576,IF(OR($B101="STD. DEVIATION",$C$1=1),$A101,$A101+1),COLUMN('1-DATA'!R99)),IF($B101="STD. DEVIATION",2,$F$1))))</f>
        <v/>
      </c>
      <c r="T101" s="1" t="str">
        <f>IF(OR($B101="",T$7=""),"",IF($B101="MEANS",INDEX('1-DATA'!$1:$1048576,$A100-1,COLUMN('1-DATA'!S99)),ROUND(INDEX('1-DATA'!$1:$1048576,IF(OR($B101="STD. DEVIATION",$C$1=1),$A101,$A101+1),COLUMN('1-DATA'!S99)),IF($B101="STD. DEVIATION",2,$F$1))))</f>
        <v/>
      </c>
      <c r="U101" s="1" t="str">
        <f>IF(OR($B101="",U$7=""),"",IF($B101="MEANS",INDEX('1-DATA'!$1:$1048576,$A100-1,COLUMN('1-DATA'!T99)),ROUND(INDEX('1-DATA'!$1:$1048576,IF(OR($B101="STD. DEVIATION",$C$1=1),$A101,$A101+1),COLUMN('1-DATA'!T99)),IF($B101="STD. DEVIATION",2,$F$1))))</f>
        <v/>
      </c>
      <c r="V101" s="1" t="str">
        <f>IF(OR($B101="",V$7=""),"",IF($B101="MEANS",INDEX('1-DATA'!$1:$1048576,$A100-1,COLUMN('1-DATA'!U99)),ROUND(INDEX('1-DATA'!$1:$1048576,IF(OR($B101="STD. DEVIATION",$C$1=1),$A101,$A101+1),COLUMN('1-DATA'!U99)),IF($B101="STD. DEVIATION",2,$F$1))))</f>
        <v/>
      </c>
      <c r="W101" s="1" t="str">
        <f>IF(OR($B101="",W$7=""),"",IF($B101="MEANS",INDEX('1-DATA'!$1:$1048576,$A100-1,COLUMN('1-DATA'!V99)),ROUND(INDEX('1-DATA'!$1:$1048576,IF(OR($B101="STD. DEVIATION",$C$1=1),$A101,$A101+1),COLUMN('1-DATA'!V99)),IF($B101="STD. DEVIATION",2,$F$1))))</f>
        <v/>
      </c>
      <c r="X101" s="1" t="str">
        <f>IF(OR($B101="",X$7=""),"",IF($B101="MEANS",INDEX('1-DATA'!$1:$1048576,$A100-1,COLUMN('1-DATA'!W99)),ROUND(INDEX('1-DATA'!$1:$1048576,IF(OR($B101="STD. DEVIATION",$C$1=1),$A101,$A101+1),COLUMN('1-DATA'!W99)),IF($B101="STD. DEVIATION",2,$F$1))))</f>
        <v/>
      </c>
      <c r="Y101" s="1" t="str">
        <f>IF(OR($B101="",Y$7=""),"",IF($B101="MEANS",INDEX('1-DATA'!$1:$1048576,$A100-1,COLUMN('1-DATA'!X99)),ROUND(INDEX('1-DATA'!$1:$1048576,IF(OR($B101="STD. DEVIATION",$C$1=1),$A101,$A101+1),COLUMN('1-DATA'!X99)),IF($B101="STD. DEVIATION",2,$F$1))))</f>
        <v/>
      </c>
      <c r="Z101" s="1" t="str">
        <f>IF(OR($B101="",Z$7=""),"",IF($B101="MEANS",INDEX('1-DATA'!$1:$1048576,$A100-1,COLUMN('1-DATA'!Y99)),ROUND(INDEX('1-DATA'!$1:$1048576,IF(OR($B101="STD. DEVIATION",$C$1=1),$A101,$A101+1),COLUMN('1-DATA'!Y99)),IF($B101="STD. DEVIATION",2,$F$1))))</f>
        <v/>
      </c>
      <c r="AA101" s="1" t="str">
        <f>IF(OR($B101="",AA$7=""),"",IF($B101="MEANS",INDEX('1-DATA'!$1:$1048576,$A100-1,COLUMN('1-DATA'!Z99)),ROUND(INDEX('1-DATA'!$1:$1048576,IF(OR($B101="STD. DEVIATION",$C$1=1),$A101,$A101+1),COLUMN('1-DATA'!Z99)),IF($B101="STD. DEVIATION",2,$F$1))))</f>
        <v/>
      </c>
      <c r="AB101" s="1" t="str">
        <f>IF(OR($B101="",AB$7=""),"",IF($B101="MEANS",INDEX('1-DATA'!$1:$1048576,$A100-1,COLUMN('1-DATA'!AA99)),ROUND(INDEX('1-DATA'!$1:$1048576,IF(OR($B101="STD. DEVIATION",$C$1=1),$A101,$A101+1),COLUMN('1-DATA'!AA99)),IF($B101="STD. DEVIATION",2,$F$1))))</f>
        <v/>
      </c>
      <c r="AC101" s="1" t="str">
        <f>IF(OR($B101="",AC$7=""),"",IF($B101="MEANS",INDEX('1-DATA'!$1:$1048576,$A100-1,COLUMN('1-DATA'!AB99)),ROUND(INDEX('1-DATA'!$1:$1048576,IF(OR($B101="STD. DEVIATION",$C$1=1),$A101,$A101+1),COLUMN('1-DATA'!AB99)),IF($B101="STD. DEVIATION",2,$F$1))))</f>
        <v/>
      </c>
      <c r="AD101" s="1" t="str">
        <f>IF(OR($B101="",AD$7=""),"",IF($B101="MEANS",INDEX('1-DATA'!$1:$1048576,$A100-1,COLUMN('1-DATA'!AC99)),ROUND(INDEX('1-DATA'!$1:$1048576,IF(OR($B101="STD. DEVIATION",$C$1=1),$A101,$A101+1),COLUMN('1-DATA'!AC99)),IF($B101="STD. DEVIATION",2,$F$1))))</f>
        <v/>
      </c>
      <c r="AE101" s="1" t="str">
        <f>IF(OR($B101="",AE$7=""),"",IF($B101="MEANS",INDEX('1-DATA'!$1:$1048576,$A100-1,COLUMN('1-DATA'!AD99)),ROUND(INDEX('1-DATA'!$1:$1048576,IF(OR($B101="STD. DEVIATION",$C$1=1),$A101,$A101+1),COLUMN('1-DATA'!AD99)),IF($B101="STD. DEVIATION",2,$F$1))))</f>
        <v/>
      </c>
      <c r="AF101" s="1" t="str">
        <f>IF(OR($B101="",AF$7=""),"",IF($B101="MEANS",INDEX('1-DATA'!$1:$1048576,$A100-1,COLUMN('1-DATA'!AE99)),ROUND(INDEX('1-DATA'!$1:$1048576,IF(OR($B101="STD. DEVIATION",$C$1=1),$A101,$A101+1),COLUMN('1-DATA'!AE99)),IF($B101="STD. DEVIATION",2,$F$1))))</f>
        <v/>
      </c>
      <c r="AG101" s="1" t="str">
        <f>IF(OR($B101="",AG$7=""),"",IF($B101="MEANS",INDEX('1-DATA'!$1:$1048576,$A100-1,COLUMN('1-DATA'!AF99)),ROUND(INDEX('1-DATA'!$1:$1048576,IF(OR($B101="STD. DEVIATION",$C$1=1),$A101,$A101+1),COLUMN('1-DATA'!AF99)),IF($B101="STD. DEVIATION",2,$F$1))))</f>
        <v/>
      </c>
      <c r="AH101" s="1" t="str">
        <f>IF(OR($B101="",AH$7=""),"",IF($B101="MEANS",INDEX('1-DATA'!$1:$1048576,$A100-1,COLUMN('1-DATA'!AG99)),ROUND(INDEX('1-DATA'!$1:$1048576,IF(OR($B101="STD. DEVIATION",$C$1=1),$A101,$A101+1),COLUMN('1-DATA'!AG99)),IF($B101="STD. DEVIATION",2,$F$1))))</f>
        <v/>
      </c>
      <c r="AI101" s="1" t="str">
        <f>IF(OR($B101="",AI$7=""),"",IF($B101="MEANS",INDEX('1-DATA'!$1:$1048576,$A100-1,COLUMN('1-DATA'!AH99)),ROUND(INDEX('1-DATA'!$1:$1048576,IF(OR($B101="STD. DEVIATION",$C$1=1),$A101,$A101+1),COLUMN('1-DATA'!AH99)),IF($B101="STD. DEVIATION",2,$F$1))))</f>
        <v/>
      </c>
      <c r="AJ101" s="1" t="str">
        <f>IF(OR($B101="",AJ$7=""),"",IF($B101="MEANS",INDEX('1-DATA'!$1:$1048576,$A100-1,COLUMN('1-DATA'!AI99)),ROUND(INDEX('1-DATA'!$1:$1048576,IF(OR($B101="STD. DEVIATION",$C$1=1),$A101,$A101+1),COLUMN('1-DATA'!AI99)),IF($B101="STD. DEVIATION",2,$F$1))))</f>
        <v/>
      </c>
      <c r="AK101" s="1" t="str">
        <f>IF(OR($B101="",AK$7=""),"",IF($B101="MEANS",INDEX('1-DATA'!$1:$1048576,$A100-1,COLUMN('1-DATA'!AJ99)),ROUND(INDEX('1-DATA'!$1:$1048576,IF(OR($B101="STD. DEVIATION",$C$1=1),$A101,$A101+1),COLUMN('1-DATA'!AJ99)),IF($B101="STD. DEVIATION",2,$F$1))))</f>
        <v/>
      </c>
      <c r="AL101" s="1" t="str">
        <f>IF(OR($B101="",AL$7=""),"",IF($B101="MEANS",INDEX('1-DATA'!$1:$1048576,$A100-1,COLUMN('1-DATA'!AK99)),ROUND(INDEX('1-DATA'!$1:$1048576,IF(OR($B101="STD. DEVIATION",$C$1=1),$A101,$A101+1),COLUMN('1-DATA'!AK99)),IF($B101="STD. DEVIATION",2,$F$1))))</f>
        <v/>
      </c>
      <c r="AM101" s="1" t="str">
        <f>IF(OR($B101="",AM$7=""),"",IF($B101="MEANS",INDEX('1-DATA'!$1:$1048576,$A100-1,COLUMN('1-DATA'!AL99)),ROUND(INDEX('1-DATA'!$1:$1048576,IF(OR($B101="STD. DEVIATION",$C$1=1),$A101,$A101+1),COLUMN('1-DATA'!AL99)),IF($B101="STD. DEVIATION",2,$F$1))))</f>
        <v/>
      </c>
      <c r="AN101" s="1" t="str">
        <f>IF(OR($B101="",AN$7=""),"",IF($B101="MEANS",INDEX('1-DATA'!$1:$1048576,$A100-1,COLUMN('1-DATA'!AM99)),ROUND(INDEX('1-DATA'!$1:$1048576,IF(OR($B101="STD. DEVIATION",$C$1=1),$A101,$A101+1),COLUMN('1-DATA'!AM99)),IF($B101="STD. DEVIATION",2,$F$1))))</f>
        <v/>
      </c>
      <c r="AO101" s="1" t="str">
        <f>IF(OR($B101="",AO$7=""),"",IF($B101="MEANS",INDEX('1-DATA'!$1:$1048576,$A100-1,COLUMN('1-DATA'!AN99)),ROUND(INDEX('1-DATA'!$1:$1048576,IF(OR($B101="STD. DEVIATION",$C$1=1),$A101,$A101+1),COLUMN('1-DATA'!AN99)),IF($B101="STD. DEVIATION",2,$F$1))))</f>
        <v/>
      </c>
      <c r="AP101" s="1" t="str">
        <f>IF(OR($B101="",AP$7=""),"",IF($B101="MEANS",INDEX('1-DATA'!$1:$1048576,$A100-1,COLUMN('1-DATA'!AO99)),ROUND(INDEX('1-DATA'!$1:$1048576,IF(OR($B101="STD. DEVIATION",$C$1=1),$A101,$A101+1),COLUMN('1-DATA'!AO99)),IF($B101="STD. DEVIATION",2,$F$1))))</f>
        <v/>
      </c>
      <c r="AQ101" s="1" t="str">
        <f>IF(OR($B101="",AQ$7=""),"",IF($B101="MEANS",INDEX('1-DATA'!$1:$1048576,$A100-1,COLUMN('1-DATA'!AP99)),ROUND(INDEX('1-DATA'!$1:$1048576,IF(OR($B101="STD. DEVIATION",$C$1=1),$A101,$A101+1),COLUMN('1-DATA'!AP99)),IF($B101="STD. DEVIATION",2,$F$1))))</f>
        <v/>
      </c>
      <c r="AR101" s="1" t="str">
        <f>IF(OR($B101="",AR$7=""),"",IF($B101="MEANS",INDEX('1-DATA'!$1:$1048576,$A100-1,COLUMN('1-DATA'!AQ99)),ROUND(INDEX('1-DATA'!$1:$1048576,IF(OR($B101="STD. DEVIATION",$C$1=1),$A101,$A101+1),COLUMN('1-DATA'!AQ99)),IF($B101="STD. DEVIATION",2,$F$1))))</f>
        <v/>
      </c>
      <c r="AS101" s="1" t="str">
        <f>IF(OR($B101="",AS$7=""),"",IF($B101="MEANS",INDEX('1-DATA'!$1:$1048576,$A100-1,COLUMN('1-DATA'!AR99)),ROUND(INDEX('1-DATA'!$1:$1048576,IF(OR($B101="STD. DEVIATION",$C$1=1),$A101,$A101+1),COLUMN('1-DATA'!AR99)),IF($B101="STD. DEVIATION",2,$F$1))))</f>
        <v/>
      </c>
      <c r="AT101" s="1" t="str">
        <f>IF(OR($B101="",AT$7=""),"",IF($B101="MEANS",INDEX('1-DATA'!$1:$1048576,$A100-1,COLUMN('1-DATA'!AS99)),ROUND(INDEX('1-DATA'!$1:$1048576,IF(OR($B101="STD. DEVIATION",$C$1=1),$A101,$A101+1),COLUMN('1-DATA'!AS99)),IF($B101="STD. DEVIATION",2,$F$1))))</f>
        <v/>
      </c>
      <c r="AU101" s="1" t="str">
        <f>IF(OR($B101="",AU$7=""),"",IF($B101="MEANS",INDEX('1-DATA'!$1:$1048576,$A100-1,COLUMN('1-DATA'!AT99)),ROUND(INDEX('1-DATA'!$1:$1048576,IF(OR($B101="STD. DEVIATION",$C$1=1),$A101,$A101+1),COLUMN('1-DATA'!AT99)),IF($B101="STD. DEVIATION",2,$F$1))))</f>
        <v/>
      </c>
      <c r="AV101" s="1" t="str">
        <f>IF(OR($B101="",AV$7=""),"",IF($B101="MEANS",INDEX('1-DATA'!$1:$1048576,$A100-1,COLUMN('1-DATA'!AU99)),ROUND(INDEX('1-DATA'!$1:$1048576,IF(OR($B101="STD. DEVIATION",$C$1=1),$A101,$A101+1),COLUMN('1-DATA'!AU99)),IF($B101="STD. DEVIATION",2,$F$1))))</f>
        <v/>
      </c>
      <c r="AW101" s="1" t="str">
        <f>IF(OR($B101="",AW$7=""),"",IF($B101="MEANS",INDEX('1-DATA'!$1:$1048576,$A100-1,COLUMN('1-DATA'!AV99)),ROUND(INDEX('1-DATA'!$1:$1048576,IF(OR($B101="STD. DEVIATION",$C$1=1),$A101,$A101+1),COLUMN('1-DATA'!AV99)),IF($B101="STD. DEVIATION",2,$F$1))))</f>
        <v/>
      </c>
      <c r="AX101" s="1" t="str">
        <f>IF(OR($B101="",AX$7=""),"",IF($B101="MEANS",INDEX('1-DATA'!$1:$1048576,$A100-1,COLUMN('1-DATA'!AW99)),ROUND(INDEX('1-DATA'!$1:$1048576,IF(OR($B101="STD. DEVIATION",$C$1=1),$A101,$A101+1),COLUMN('1-DATA'!AW99)),IF($B101="STD. DEVIATION",2,$F$1))))</f>
        <v/>
      </c>
      <c r="AY101" s="1" t="str">
        <f>IF(OR($B101="",AY$7=""),"",IF($B101="MEANS",INDEX('1-DATA'!$1:$1048576,$A100-1,COLUMN('1-DATA'!AX99)),ROUND(INDEX('1-DATA'!$1:$1048576,IF(OR($B101="STD. DEVIATION",$C$1=1),$A101,$A101+1),COLUMN('1-DATA'!AX99)),IF($B101="STD. DEVIATION",2,$F$1))))</f>
        <v/>
      </c>
      <c r="AZ101" s="1" t="str">
        <f>IF(OR($B101="",AZ$7=""),"",IF($B101="MEANS",INDEX('1-DATA'!$1:$1048576,$A100-1,COLUMN('1-DATA'!AY99)),ROUND(INDEX('1-DATA'!$1:$1048576,IF(OR($B101="STD. DEVIATION",$C$1=1),$A101,$A101+1),COLUMN('1-DATA'!AY99)),IF($B101="STD. DEVIATION",2,$F$1))))</f>
        <v/>
      </c>
    </row>
    <row r="102" spans="1:52" x14ac:dyDescent="0.25">
      <c r="A102" s="11">
        <f t="shared" si="2"/>
        <v>292</v>
      </c>
      <c r="B102" s="1" t="str">
        <f>IF(B101="STD. DEVIATION",INDEX('1-DATA'!$1:$1048576,$A101-1,1),IF(INDEX('1-DATA'!$1:$1048576,$A102,1)&lt;&gt;"",INDEX('1-DATA'!$1:$1048576,$A102,1),""))</f>
        <v/>
      </c>
      <c r="C102" s="1" t="str">
        <f>IF(OR($B102="",C$7=""),"",IF($B102="MEANS",INDEX('1-DATA'!$1:$1048576,$A101-1,COLUMN('1-DATA'!B100)),ROUND(INDEX('1-DATA'!$1:$1048576,IF(OR($B102="STD. DEVIATION",$C$1=1),$A102,$A102+1),COLUMN('1-DATA'!B100)),IF($B102="STD. DEVIATION",2,$F$1))))</f>
        <v/>
      </c>
      <c r="D102" s="1" t="str">
        <f>IF(OR($B102="",D$7=""),"",IF($B102="MEANS",INDEX('1-DATA'!$1:$1048576,$A101-1,COLUMN('1-DATA'!C100)),ROUND(INDEX('1-DATA'!$1:$1048576,IF(OR($B102="STD. DEVIATION",$C$1=1),$A102,$A102+1),COLUMN('1-DATA'!C100)),IF($B102="STD. DEVIATION",2,$F$1))))</f>
        <v/>
      </c>
      <c r="E102" s="1" t="str">
        <f>IF(OR($B102="",E$7=""),"",IF($B102="MEANS",INDEX('1-DATA'!$1:$1048576,$A101-1,COLUMN('1-DATA'!D100)),ROUND(INDEX('1-DATA'!$1:$1048576,IF(OR($B102="STD. DEVIATION",$C$1=1),$A102,$A102+1),COLUMN('1-DATA'!D100)),IF($B102="STD. DEVIATION",2,$F$1))))</f>
        <v/>
      </c>
      <c r="F102" s="1" t="str">
        <f>IF(OR($B102="",F$7=""),"",IF($B102="MEANS",INDEX('1-DATA'!$1:$1048576,$A101-1,COLUMN('1-DATA'!E100)),ROUND(INDEX('1-DATA'!$1:$1048576,IF(OR($B102="STD. DEVIATION",$C$1=1),$A102,$A102+1),COLUMN('1-DATA'!E100)),IF($B102="STD. DEVIATION",2,$F$1))))</f>
        <v/>
      </c>
      <c r="G102" s="1" t="str">
        <f>IF(OR($B102="",G$7=""),"",IF($B102="MEANS",INDEX('1-DATA'!$1:$1048576,$A101-1,COLUMN('1-DATA'!F100)),ROUND(INDEX('1-DATA'!$1:$1048576,IF(OR($B102="STD. DEVIATION",$C$1=1),$A102,$A102+1),COLUMN('1-DATA'!F100)),IF($B102="STD. DEVIATION",2,$F$1))))</f>
        <v/>
      </c>
      <c r="H102" s="1" t="str">
        <f>IF(OR($B102="",H$7=""),"",IF($B102="MEANS",INDEX('1-DATA'!$1:$1048576,$A101-1,COLUMN('1-DATA'!G100)),ROUND(INDEX('1-DATA'!$1:$1048576,IF(OR($B102="STD. DEVIATION",$C$1=1),$A102,$A102+1),COLUMN('1-DATA'!G100)),IF($B102="STD. DEVIATION",2,$F$1))))</f>
        <v/>
      </c>
      <c r="I102" s="1" t="str">
        <f>IF(OR($B102="",I$7=""),"",IF($B102="MEANS",INDEX('1-DATA'!$1:$1048576,$A101-1,COLUMN('1-DATA'!H100)),ROUND(INDEX('1-DATA'!$1:$1048576,IF(OR($B102="STD. DEVIATION",$C$1=1),$A102,$A102+1),COLUMN('1-DATA'!H100)),IF($B102="STD. DEVIATION",2,$F$1))))</f>
        <v/>
      </c>
      <c r="J102" s="1" t="str">
        <f>IF(OR($B102="",J$7=""),"",IF($B102="MEANS",INDEX('1-DATA'!$1:$1048576,$A101-1,COLUMN('1-DATA'!I100)),ROUND(INDEX('1-DATA'!$1:$1048576,IF(OR($B102="STD. DEVIATION",$C$1=1),$A102,$A102+1),COLUMN('1-DATA'!I100)),IF($B102="STD. DEVIATION",2,$F$1))))</f>
        <v/>
      </c>
      <c r="K102" s="1" t="str">
        <f>IF(OR($B102="",K$7=""),"",IF($B102="MEANS",INDEX('1-DATA'!$1:$1048576,$A101-1,COLUMN('1-DATA'!J100)),ROUND(INDEX('1-DATA'!$1:$1048576,IF(OR($B102="STD. DEVIATION",$C$1=1),$A102,$A102+1),COLUMN('1-DATA'!J100)),IF($B102="STD. DEVIATION",2,$F$1))))</f>
        <v/>
      </c>
      <c r="L102" s="1" t="str">
        <f>IF(OR($B102="",L$7=""),"",IF($B102="MEANS",INDEX('1-DATA'!$1:$1048576,$A101-1,COLUMN('1-DATA'!K100)),ROUND(INDEX('1-DATA'!$1:$1048576,IF(OR($B102="STD. DEVIATION",$C$1=1),$A102,$A102+1),COLUMN('1-DATA'!K100)),IF($B102="STD. DEVIATION",2,$F$1))))</f>
        <v/>
      </c>
      <c r="M102" s="1" t="str">
        <f>IF(OR($B102="",M$7=""),"",IF($B102="MEANS",INDEX('1-DATA'!$1:$1048576,$A101-1,COLUMN('1-DATA'!L100)),ROUND(INDEX('1-DATA'!$1:$1048576,IF(OR($B102="STD. DEVIATION",$C$1=1),$A102,$A102+1),COLUMN('1-DATA'!L100)),IF($B102="STD. DEVIATION",2,$F$1))))</f>
        <v/>
      </c>
      <c r="N102" s="1" t="str">
        <f>IF(OR($B102="",N$7=""),"",IF($B102="MEANS",INDEX('1-DATA'!$1:$1048576,$A101-1,COLUMN('1-DATA'!M100)),ROUND(INDEX('1-DATA'!$1:$1048576,IF(OR($B102="STD. DEVIATION",$C$1=1),$A102,$A102+1),COLUMN('1-DATA'!M100)),IF($B102="STD. DEVIATION",2,$F$1))))</f>
        <v/>
      </c>
      <c r="O102" s="1" t="str">
        <f>IF(OR($B102="",O$7=""),"",IF($B102="MEANS",INDEX('1-DATA'!$1:$1048576,$A101-1,COLUMN('1-DATA'!N100)),ROUND(INDEX('1-DATA'!$1:$1048576,IF(OR($B102="STD. DEVIATION",$C$1=1),$A102,$A102+1),COLUMN('1-DATA'!N100)),IF($B102="STD. DEVIATION",2,$F$1))))</f>
        <v/>
      </c>
      <c r="P102" s="1" t="str">
        <f>IF(OR($B102="",P$7=""),"",IF($B102="MEANS",INDEX('1-DATA'!$1:$1048576,$A101-1,COLUMN('1-DATA'!O100)),ROUND(INDEX('1-DATA'!$1:$1048576,IF(OR($B102="STD. DEVIATION",$C$1=1),$A102,$A102+1),COLUMN('1-DATA'!O100)),IF($B102="STD. DEVIATION",2,$F$1))))</f>
        <v/>
      </c>
      <c r="Q102" s="1" t="str">
        <f>IF(OR($B102="",Q$7=""),"",IF($B102="MEANS",INDEX('1-DATA'!$1:$1048576,$A101-1,COLUMN('1-DATA'!P100)),ROUND(INDEX('1-DATA'!$1:$1048576,IF(OR($B102="STD. DEVIATION",$C$1=1),$A102,$A102+1),COLUMN('1-DATA'!P100)),IF($B102="STD. DEVIATION",2,$F$1))))</f>
        <v/>
      </c>
      <c r="R102" s="1" t="str">
        <f>IF(OR($B102="",R$7=""),"",IF($B102="MEANS",INDEX('1-DATA'!$1:$1048576,$A101-1,COLUMN('1-DATA'!Q100)),ROUND(INDEX('1-DATA'!$1:$1048576,IF(OR($B102="STD. DEVIATION",$C$1=1),$A102,$A102+1),COLUMN('1-DATA'!Q100)),IF($B102="STD. DEVIATION",2,$F$1))))</f>
        <v/>
      </c>
      <c r="S102" s="1" t="str">
        <f>IF(OR($B102="",S$7=""),"",IF($B102="MEANS",INDEX('1-DATA'!$1:$1048576,$A101-1,COLUMN('1-DATA'!R100)),ROUND(INDEX('1-DATA'!$1:$1048576,IF(OR($B102="STD. DEVIATION",$C$1=1),$A102,$A102+1),COLUMN('1-DATA'!R100)),IF($B102="STD. DEVIATION",2,$F$1))))</f>
        <v/>
      </c>
      <c r="T102" s="1" t="str">
        <f>IF(OR($B102="",T$7=""),"",IF($B102="MEANS",INDEX('1-DATA'!$1:$1048576,$A101-1,COLUMN('1-DATA'!S100)),ROUND(INDEX('1-DATA'!$1:$1048576,IF(OR($B102="STD. DEVIATION",$C$1=1),$A102,$A102+1),COLUMN('1-DATA'!S100)),IF($B102="STD. DEVIATION",2,$F$1))))</f>
        <v/>
      </c>
      <c r="U102" s="1" t="str">
        <f>IF(OR($B102="",U$7=""),"",IF($B102="MEANS",INDEX('1-DATA'!$1:$1048576,$A101-1,COLUMN('1-DATA'!T100)),ROUND(INDEX('1-DATA'!$1:$1048576,IF(OR($B102="STD. DEVIATION",$C$1=1),$A102,$A102+1),COLUMN('1-DATA'!T100)),IF($B102="STD. DEVIATION",2,$F$1))))</f>
        <v/>
      </c>
      <c r="V102" s="1" t="str">
        <f>IF(OR($B102="",V$7=""),"",IF($B102="MEANS",INDEX('1-DATA'!$1:$1048576,$A101-1,COLUMN('1-DATA'!U100)),ROUND(INDEX('1-DATA'!$1:$1048576,IF(OR($B102="STD. DEVIATION",$C$1=1),$A102,$A102+1),COLUMN('1-DATA'!U100)),IF($B102="STD. DEVIATION",2,$F$1))))</f>
        <v/>
      </c>
      <c r="W102" s="1" t="str">
        <f>IF(OR($B102="",W$7=""),"",IF($B102="MEANS",INDEX('1-DATA'!$1:$1048576,$A101-1,COLUMN('1-DATA'!V100)),ROUND(INDEX('1-DATA'!$1:$1048576,IF(OR($B102="STD. DEVIATION",$C$1=1),$A102,$A102+1),COLUMN('1-DATA'!V100)),IF($B102="STD. DEVIATION",2,$F$1))))</f>
        <v/>
      </c>
      <c r="X102" s="1" t="str">
        <f>IF(OR($B102="",X$7=""),"",IF($B102="MEANS",INDEX('1-DATA'!$1:$1048576,$A101-1,COLUMN('1-DATA'!W100)),ROUND(INDEX('1-DATA'!$1:$1048576,IF(OR($B102="STD. DEVIATION",$C$1=1),$A102,$A102+1),COLUMN('1-DATA'!W100)),IF($B102="STD. DEVIATION",2,$F$1))))</f>
        <v/>
      </c>
      <c r="Y102" s="1" t="str">
        <f>IF(OR($B102="",Y$7=""),"",IF($B102="MEANS",INDEX('1-DATA'!$1:$1048576,$A101-1,COLUMN('1-DATA'!X100)),ROUND(INDEX('1-DATA'!$1:$1048576,IF(OR($B102="STD. DEVIATION",$C$1=1),$A102,$A102+1),COLUMN('1-DATA'!X100)),IF($B102="STD. DEVIATION",2,$F$1))))</f>
        <v/>
      </c>
      <c r="Z102" s="1" t="str">
        <f>IF(OR($B102="",Z$7=""),"",IF($B102="MEANS",INDEX('1-DATA'!$1:$1048576,$A101-1,COLUMN('1-DATA'!Y100)),ROUND(INDEX('1-DATA'!$1:$1048576,IF(OR($B102="STD. DEVIATION",$C$1=1),$A102,$A102+1),COLUMN('1-DATA'!Y100)),IF($B102="STD. DEVIATION",2,$F$1))))</f>
        <v/>
      </c>
      <c r="AA102" s="1" t="str">
        <f>IF(OR($B102="",AA$7=""),"",IF($B102="MEANS",INDEX('1-DATA'!$1:$1048576,$A101-1,COLUMN('1-DATA'!Z100)),ROUND(INDEX('1-DATA'!$1:$1048576,IF(OR($B102="STD. DEVIATION",$C$1=1),$A102,$A102+1),COLUMN('1-DATA'!Z100)),IF($B102="STD. DEVIATION",2,$F$1))))</f>
        <v/>
      </c>
      <c r="AB102" s="1" t="str">
        <f>IF(OR($B102="",AB$7=""),"",IF($B102="MEANS",INDEX('1-DATA'!$1:$1048576,$A101-1,COLUMN('1-DATA'!AA100)),ROUND(INDEX('1-DATA'!$1:$1048576,IF(OR($B102="STD. DEVIATION",$C$1=1),$A102,$A102+1),COLUMN('1-DATA'!AA100)),IF($B102="STD. DEVIATION",2,$F$1))))</f>
        <v/>
      </c>
      <c r="AC102" s="1" t="str">
        <f>IF(OR($B102="",AC$7=""),"",IF($B102="MEANS",INDEX('1-DATA'!$1:$1048576,$A101-1,COLUMN('1-DATA'!AB100)),ROUND(INDEX('1-DATA'!$1:$1048576,IF(OR($B102="STD. DEVIATION",$C$1=1),$A102,$A102+1),COLUMN('1-DATA'!AB100)),IF($B102="STD. DEVIATION",2,$F$1))))</f>
        <v/>
      </c>
      <c r="AD102" s="1" t="str">
        <f>IF(OR($B102="",AD$7=""),"",IF($B102="MEANS",INDEX('1-DATA'!$1:$1048576,$A101-1,COLUMN('1-DATA'!AC100)),ROUND(INDEX('1-DATA'!$1:$1048576,IF(OR($B102="STD. DEVIATION",$C$1=1),$A102,$A102+1),COLUMN('1-DATA'!AC100)),IF($B102="STD. DEVIATION",2,$F$1))))</f>
        <v/>
      </c>
      <c r="AE102" s="1" t="str">
        <f>IF(OR($B102="",AE$7=""),"",IF($B102="MEANS",INDEX('1-DATA'!$1:$1048576,$A101-1,COLUMN('1-DATA'!AD100)),ROUND(INDEX('1-DATA'!$1:$1048576,IF(OR($B102="STD. DEVIATION",$C$1=1),$A102,$A102+1),COLUMN('1-DATA'!AD100)),IF($B102="STD. DEVIATION",2,$F$1))))</f>
        <v/>
      </c>
      <c r="AF102" s="1" t="str">
        <f>IF(OR($B102="",AF$7=""),"",IF($B102="MEANS",INDEX('1-DATA'!$1:$1048576,$A101-1,COLUMN('1-DATA'!AE100)),ROUND(INDEX('1-DATA'!$1:$1048576,IF(OR($B102="STD. DEVIATION",$C$1=1),$A102,$A102+1),COLUMN('1-DATA'!AE100)),IF($B102="STD. DEVIATION",2,$F$1))))</f>
        <v/>
      </c>
      <c r="AG102" s="1" t="str">
        <f>IF(OR($B102="",AG$7=""),"",IF($B102="MEANS",INDEX('1-DATA'!$1:$1048576,$A101-1,COLUMN('1-DATA'!AF100)),ROUND(INDEX('1-DATA'!$1:$1048576,IF(OR($B102="STD. DEVIATION",$C$1=1),$A102,$A102+1),COLUMN('1-DATA'!AF100)),IF($B102="STD. DEVIATION",2,$F$1))))</f>
        <v/>
      </c>
      <c r="AH102" s="1" t="str">
        <f>IF(OR($B102="",AH$7=""),"",IF($B102="MEANS",INDEX('1-DATA'!$1:$1048576,$A101-1,COLUMN('1-DATA'!AG100)),ROUND(INDEX('1-DATA'!$1:$1048576,IF(OR($B102="STD. DEVIATION",$C$1=1),$A102,$A102+1),COLUMN('1-DATA'!AG100)),IF($B102="STD. DEVIATION",2,$F$1))))</f>
        <v/>
      </c>
      <c r="AI102" s="1" t="str">
        <f>IF(OR($B102="",AI$7=""),"",IF($B102="MEANS",INDEX('1-DATA'!$1:$1048576,$A101-1,COLUMN('1-DATA'!AH100)),ROUND(INDEX('1-DATA'!$1:$1048576,IF(OR($B102="STD. DEVIATION",$C$1=1),$A102,$A102+1),COLUMN('1-DATA'!AH100)),IF($B102="STD. DEVIATION",2,$F$1))))</f>
        <v/>
      </c>
      <c r="AJ102" s="1" t="str">
        <f>IF(OR($B102="",AJ$7=""),"",IF($B102="MEANS",INDEX('1-DATA'!$1:$1048576,$A101-1,COLUMN('1-DATA'!AI100)),ROUND(INDEX('1-DATA'!$1:$1048576,IF(OR($B102="STD. DEVIATION",$C$1=1),$A102,$A102+1),COLUMN('1-DATA'!AI100)),IF($B102="STD. DEVIATION",2,$F$1))))</f>
        <v/>
      </c>
      <c r="AK102" s="1" t="str">
        <f>IF(OR($B102="",AK$7=""),"",IF($B102="MEANS",INDEX('1-DATA'!$1:$1048576,$A101-1,COLUMN('1-DATA'!AJ100)),ROUND(INDEX('1-DATA'!$1:$1048576,IF(OR($B102="STD. DEVIATION",$C$1=1),$A102,$A102+1),COLUMN('1-DATA'!AJ100)),IF($B102="STD. DEVIATION",2,$F$1))))</f>
        <v/>
      </c>
      <c r="AL102" s="1" t="str">
        <f>IF(OR($B102="",AL$7=""),"",IF($B102="MEANS",INDEX('1-DATA'!$1:$1048576,$A101-1,COLUMN('1-DATA'!AK100)),ROUND(INDEX('1-DATA'!$1:$1048576,IF(OR($B102="STD. DEVIATION",$C$1=1),$A102,$A102+1),COLUMN('1-DATA'!AK100)),IF($B102="STD. DEVIATION",2,$F$1))))</f>
        <v/>
      </c>
      <c r="AM102" s="1" t="str">
        <f>IF(OR($B102="",AM$7=""),"",IF($B102="MEANS",INDEX('1-DATA'!$1:$1048576,$A101-1,COLUMN('1-DATA'!AL100)),ROUND(INDEX('1-DATA'!$1:$1048576,IF(OR($B102="STD. DEVIATION",$C$1=1),$A102,$A102+1),COLUMN('1-DATA'!AL100)),IF($B102="STD. DEVIATION",2,$F$1))))</f>
        <v/>
      </c>
      <c r="AN102" s="1" t="str">
        <f>IF(OR($B102="",AN$7=""),"",IF($B102="MEANS",INDEX('1-DATA'!$1:$1048576,$A101-1,COLUMN('1-DATA'!AM100)),ROUND(INDEX('1-DATA'!$1:$1048576,IF(OR($B102="STD. DEVIATION",$C$1=1),$A102,$A102+1),COLUMN('1-DATA'!AM100)),IF($B102="STD. DEVIATION",2,$F$1))))</f>
        <v/>
      </c>
      <c r="AO102" s="1" t="str">
        <f>IF(OR($B102="",AO$7=""),"",IF($B102="MEANS",INDEX('1-DATA'!$1:$1048576,$A101-1,COLUMN('1-DATA'!AN100)),ROUND(INDEX('1-DATA'!$1:$1048576,IF(OR($B102="STD. DEVIATION",$C$1=1),$A102,$A102+1),COLUMN('1-DATA'!AN100)),IF($B102="STD. DEVIATION",2,$F$1))))</f>
        <v/>
      </c>
      <c r="AP102" s="1" t="str">
        <f>IF(OR($B102="",AP$7=""),"",IF($B102="MEANS",INDEX('1-DATA'!$1:$1048576,$A101-1,COLUMN('1-DATA'!AO100)),ROUND(INDEX('1-DATA'!$1:$1048576,IF(OR($B102="STD. DEVIATION",$C$1=1),$A102,$A102+1),COLUMN('1-DATA'!AO100)),IF($B102="STD. DEVIATION",2,$F$1))))</f>
        <v/>
      </c>
      <c r="AQ102" s="1" t="str">
        <f>IF(OR($B102="",AQ$7=""),"",IF($B102="MEANS",INDEX('1-DATA'!$1:$1048576,$A101-1,COLUMN('1-DATA'!AP100)),ROUND(INDEX('1-DATA'!$1:$1048576,IF(OR($B102="STD. DEVIATION",$C$1=1),$A102,$A102+1),COLUMN('1-DATA'!AP100)),IF($B102="STD. DEVIATION",2,$F$1))))</f>
        <v/>
      </c>
      <c r="AR102" s="1" t="str">
        <f>IF(OR($B102="",AR$7=""),"",IF($B102="MEANS",INDEX('1-DATA'!$1:$1048576,$A101-1,COLUMN('1-DATA'!AQ100)),ROUND(INDEX('1-DATA'!$1:$1048576,IF(OR($B102="STD. DEVIATION",$C$1=1),$A102,$A102+1),COLUMN('1-DATA'!AQ100)),IF($B102="STD. DEVIATION",2,$F$1))))</f>
        <v/>
      </c>
      <c r="AS102" s="1" t="str">
        <f>IF(OR($B102="",AS$7=""),"",IF($B102="MEANS",INDEX('1-DATA'!$1:$1048576,$A101-1,COLUMN('1-DATA'!AR100)),ROUND(INDEX('1-DATA'!$1:$1048576,IF(OR($B102="STD. DEVIATION",$C$1=1),$A102,$A102+1),COLUMN('1-DATA'!AR100)),IF($B102="STD. DEVIATION",2,$F$1))))</f>
        <v/>
      </c>
      <c r="AT102" s="1" t="str">
        <f>IF(OR($B102="",AT$7=""),"",IF($B102="MEANS",INDEX('1-DATA'!$1:$1048576,$A101-1,COLUMN('1-DATA'!AS100)),ROUND(INDEX('1-DATA'!$1:$1048576,IF(OR($B102="STD. DEVIATION",$C$1=1),$A102,$A102+1),COLUMN('1-DATA'!AS100)),IF($B102="STD. DEVIATION",2,$F$1))))</f>
        <v/>
      </c>
      <c r="AU102" s="1" t="str">
        <f>IF(OR($B102="",AU$7=""),"",IF($B102="MEANS",INDEX('1-DATA'!$1:$1048576,$A101-1,COLUMN('1-DATA'!AT100)),ROUND(INDEX('1-DATA'!$1:$1048576,IF(OR($B102="STD. DEVIATION",$C$1=1),$A102,$A102+1),COLUMN('1-DATA'!AT100)),IF($B102="STD. DEVIATION",2,$F$1))))</f>
        <v/>
      </c>
      <c r="AV102" s="1" t="str">
        <f>IF(OR($B102="",AV$7=""),"",IF($B102="MEANS",INDEX('1-DATA'!$1:$1048576,$A101-1,COLUMN('1-DATA'!AU100)),ROUND(INDEX('1-DATA'!$1:$1048576,IF(OR($B102="STD. DEVIATION",$C$1=1),$A102,$A102+1),COLUMN('1-DATA'!AU100)),IF($B102="STD. DEVIATION",2,$F$1))))</f>
        <v/>
      </c>
      <c r="AW102" s="1" t="str">
        <f>IF(OR($B102="",AW$7=""),"",IF($B102="MEANS",INDEX('1-DATA'!$1:$1048576,$A101-1,COLUMN('1-DATA'!AV100)),ROUND(INDEX('1-DATA'!$1:$1048576,IF(OR($B102="STD. DEVIATION",$C$1=1),$A102,$A102+1),COLUMN('1-DATA'!AV100)),IF($B102="STD. DEVIATION",2,$F$1))))</f>
        <v/>
      </c>
      <c r="AX102" s="1" t="str">
        <f>IF(OR($B102="",AX$7=""),"",IF($B102="MEANS",INDEX('1-DATA'!$1:$1048576,$A101-1,COLUMN('1-DATA'!AW100)),ROUND(INDEX('1-DATA'!$1:$1048576,IF(OR($B102="STD. DEVIATION",$C$1=1),$A102,$A102+1),COLUMN('1-DATA'!AW100)),IF($B102="STD. DEVIATION",2,$F$1))))</f>
        <v/>
      </c>
      <c r="AY102" s="1" t="str">
        <f>IF(OR($B102="",AY$7=""),"",IF($B102="MEANS",INDEX('1-DATA'!$1:$1048576,$A101-1,COLUMN('1-DATA'!AX100)),ROUND(INDEX('1-DATA'!$1:$1048576,IF(OR($B102="STD. DEVIATION",$C$1=1),$A102,$A102+1),COLUMN('1-DATA'!AX100)),IF($B102="STD. DEVIATION",2,$F$1))))</f>
        <v/>
      </c>
      <c r="AZ102" s="1" t="str">
        <f>IF(OR($B102="",AZ$7=""),"",IF($B102="MEANS",INDEX('1-DATA'!$1:$1048576,$A101-1,COLUMN('1-DATA'!AY100)),ROUND(INDEX('1-DATA'!$1:$1048576,IF(OR($B102="STD. DEVIATION",$C$1=1),$A102,$A102+1),COLUMN('1-DATA'!AY100)),IF($B102="STD. DEVIATION",2,$F$1))))</f>
        <v/>
      </c>
    </row>
    <row r="103" spans="1:52" x14ac:dyDescent="0.25">
      <c r="A103" s="11">
        <f t="shared" si="2"/>
        <v>295</v>
      </c>
      <c r="B103" s="1" t="str">
        <f>IF(B102="STD. DEVIATION",INDEX('1-DATA'!$1:$1048576,$A102-1,1),IF(INDEX('1-DATA'!$1:$1048576,$A103,1)&lt;&gt;"",INDEX('1-DATA'!$1:$1048576,$A103,1),""))</f>
        <v/>
      </c>
      <c r="C103" s="1" t="str">
        <f>IF(OR($B103="",C$7=""),"",IF($B103="MEANS",INDEX('1-DATA'!$1:$1048576,$A102-1,COLUMN('1-DATA'!B101)),ROUND(INDEX('1-DATA'!$1:$1048576,IF(OR($B103="STD. DEVIATION",$C$1=1),$A103,$A103+1),COLUMN('1-DATA'!B101)),IF($B103="STD. DEVIATION",2,$F$1))))</f>
        <v/>
      </c>
      <c r="D103" s="1" t="str">
        <f>IF(OR($B103="",D$7=""),"",IF($B103="MEANS",INDEX('1-DATA'!$1:$1048576,$A102-1,COLUMN('1-DATA'!C101)),ROUND(INDEX('1-DATA'!$1:$1048576,IF(OR($B103="STD. DEVIATION",$C$1=1),$A103,$A103+1),COLUMN('1-DATA'!C101)),IF($B103="STD. DEVIATION",2,$F$1))))</f>
        <v/>
      </c>
      <c r="E103" s="1" t="str">
        <f>IF(OR($B103="",E$7=""),"",IF($B103="MEANS",INDEX('1-DATA'!$1:$1048576,$A102-1,COLUMN('1-DATA'!D101)),ROUND(INDEX('1-DATA'!$1:$1048576,IF(OR($B103="STD. DEVIATION",$C$1=1),$A103,$A103+1),COLUMN('1-DATA'!D101)),IF($B103="STD. DEVIATION",2,$F$1))))</f>
        <v/>
      </c>
      <c r="F103" s="1" t="str">
        <f>IF(OR($B103="",F$7=""),"",IF($B103="MEANS",INDEX('1-DATA'!$1:$1048576,$A102-1,COLUMN('1-DATA'!E101)),ROUND(INDEX('1-DATA'!$1:$1048576,IF(OR($B103="STD. DEVIATION",$C$1=1),$A103,$A103+1),COLUMN('1-DATA'!E101)),IF($B103="STD. DEVIATION",2,$F$1))))</f>
        <v/>
      </c>
      <c r="G103" s="1" t="str">
        <f>IF(OR($B103="",G$7=""),"",IF($B103="MEANS",INDEX('1-DATA'!$1:$1048576,$A102-1,COLUMN('1-DATA'!F101)),ROUND(INDEX('1-DATA'!$1:$1048576,IF(OR($B103="STD. DEVIATION",$C$1=1),$A103,$A103+1),COLUMN('1-DATA'!F101)),IF($B103="STD. DEVIATION",2,$F$1))))</f>
        <v/>
      </c>
      <c r="H103" s="1" t="str">
        <f>IF(OR($B103="",H$7=""),"",IF($B103="MEANS",INDEX('1-DATA'!$1:$1048576,$A102-1,COLUMN('1-DATA'!G101)),ROUND(INDEX('1-DATA'!$1:$1048576,IF(OR($B103="STD. DEVIATION",$C$1=1),$A103,$A103+1),COLUMN('1-DATA'!G101)),IF($B103="STD. DEVIATION",2,$F$1))))</f>
        <v/>
      </c>
      <c r="I103" s="1" t="str">
        <f>IF(OR($B103="",I$7=""),"",IF($B103="MEANS",INDEX('1-DATA'!$1:$1048576,$A102-1,COLUMN('1-DATA'!H101)),ROUND(INDEX('1-DATA'!$1:$1048576,IF(OR($B103="STD. DEVIATION",$C$1=1),$A103,$A103+1),COLUMN('1-DATA'!H101)),IF($B103="STD. DEVIATION",2,$F$1))))</f>
        <v/>
      </c>
      <c r="J103" s="1" t="str">
        <f>IF(OR($B103="",J$7=""),"",IF($B103="MEANS",INDEX('1-DATA'!$1:$1048576,$A102-1,COLUMN('1-DATA'!I101)),ROUND(INDEX('1-DATA'!$1:$1048576,IF(OR($B103="STD. DEVIATION",$C$1=1),$A103,$A103+1),COLUMN('1-DATA'!I101)),IF($B103="STD. DEVIATION",2,$F$1))))</f>
        <v/>
      </c>
      <c r="K103" s="1" t="str">
        <f>IF(OR($B103="",K$7=""),"",IF($B103="MEANS",INDEX('1-DATA'!$1:$1048576,$A102-1,COLUMN('1-DATA'!J101)),ROUND(INDEX('1-DATA'!$1:$1048576,IF(OR($B103="STD. DEVIATION",$C$1=1),$A103,$A103+1),COLUMN('1-DATA'!J101)),IF($B103="STD. DEVIATION",2,$F$1))))</f>
        <v/>
      </c>
      <c r="L103" s="1" t="str">
        <f>IF(OR($B103="",L$7=""),"",IF($B103="MEANS",INDEX('1-DATA'!$1:$1048576,$A102-1,COLUMN('1-DATA'!K101)),ROUND(INDEX('1-DATA'!$1:$1048576,IF(OR($B103="STD. DEVIATION",$C$1=1),$A103,$A103+1),COLUMN('1-DATA'!K101)),IF($B103="STD. DEVIATION",2,$F$1))))</f>
        <v/>
      </c>
      <c r="M103" s="1" t="str">
        <f>IF(OR($B103="",M$7=""),"",IF($B103="MEANS",INDEX('1-DATA'!$1:$1048576,$A102-1,COLUMN('1-DATA'!L101)),ROUND(INDEX('1-DATA'!$1:$1048576,IF(OR($B103="STD. DEVIATION",$C$1=1),$A103,$A103+1),COLUMN('1-DATA'!L101)),IF($B103="STD. DEVIATION",2,$F$1))))</f>
        <v/>
      </c>
      <c r="N103" s="1" t="str">
        <f>IF(OR($B103="",N$7=""),"",IF($B103="MEANS",INDEX('1-DATA'!$1:$1048576,$A102-1,COLUMN('1-DATA'!M101)),ROUND(INDEX('1-DATA'!$1:$1048576,IF(OR($B103="STD. DEVIATION",$C$1=1),$A103,$A103+1),COLUMN('1-DATA'!M101)),IF($B103="STD. DEVIATION",2,$F$1))))</f>
        <v/>
      </c>
      <c r="O103" s="1" t="str">
        <f>IF(OR($B103="",O$7=""),"",IF($B103="MEANS",INDEX('1-DATA'!$1:$1048576,$A102-1,COLUMN('1-DATA'!N101)),ROUND(INDEX('1-DATA'!$1:$1048576,IF(OR($B103="STD. DEVIATION",$C$1=1),$A103,$A103+1),COLUMN('1-DATA'!N101)),IF($B103="STD. DEVIATION",2,$F$1))))</f>
        <v/>
      </c>
      <c r="P103" s="1" t="str">
        <f>IF(OR($B103="",P$7=""),"",IF($B103="MEANS",INDEX('1-DATA'!$1:$1048576,$A102-1,COLUMN('1-DATA'!O101)),ROUND(INDEX('1-DATA'!$1:$1048576,IF(OR($B103="STD. DEVIATION",$C$1=1),$A103,$A103+1),COLUMN('1-DATA'!O101)),IF($B103="STD. DEVIATION",2,$F$1))))</f>
        <v/>
      </c>
      <c r="Q103" s="1" t="str">
        <f>IF(OR($B103="",Q$7=""),"",IF($B103="MEANS",INDEX('1-DATA'!$1:$1048576,$A102-1,COLUMN('1-DATA'!P101)),ROUND(INDEX('1-DATA'!$1:$1048576,IF(OR($B103="STD. DEVIATION",$C$1=1),$A103,$A103+1),COLUMN('1-DATA'!P101)),IF($B103="STD. DEVIATION",2,$F$1))))</f>
        <v/>
      </c>
      <c r="R103" s="1" t="str">
        <f>IF(OR($B103="",R$7=""),"",IF($B103="MEANS",INDEX('1-DATA'!$1:$1048576,$A102-1,COLUMN('1-DATA'!Q101)),ROUND(INDEX('1-DATA'!$1:$1048576,IF(OR($B103="STD. DEVIATION",$C$1=1),$A103,$A103+1),COLUMN('1-DATA'!Q101)),IF($B103="STD. DEVIATION",2,$F$1))))</f>
        <v/>
      </c>
      <c r="S103" s="1" t="str">
        <f>IF(OR($B103="",S$7=""),"",IF($B103="MEANS",INDEX('1-DATA'!$1:$1048576,$A102-1,COLUMN('1-DATA'!R101)),ROUND(INDEX('1-DATA'!$1:$1048576,IF(OR($B103="STD. DEVIATION",$C$1=1),$A103,$A103+1),COLUMN('1-DATA'!R101)),IF($B103="STD. DEVIATION",2,$F$1))))</f>
        <v/>
      </c>
      <c r="T103" s="1" t="str">
        <f>IF(OR($B103="",T$7=""),"",IF($B103="MEANS",INDEX('1-DATA'!$1:$1048576,$A102-1,COLUMN('1-DATA'!S101)),ROUND(INDEX('1-DATA'!$1:$1048576,IF(OR($B103="STD. DEVIATION",$C$1=1),$A103,$A103+1),COLUMN('1-DATA'!S101)),IF($B103="STD. DEVIATION",2,$F$1))))</f>
        <v/>
      </c>
      <c r="U103" s="1" t="str">
        <f>IF(OR($B103="",U$7=""),"",IF($B103="MEANS",INDEX('1-DATA'!$1:$1048576,$A102-1,COLUMN('1-DATA'!T101)),ROUND(INDEX('1-DATA'!$1:$1048576,IF(OR($B103="STD. DEVIATION",$C$1=1),$A103,$A103+1),COLUMN('1-DATA'!T101)),IF($B103="STD. DEVIATION",2,$F$1))))</f>
        <v/>
      </c>
      <c r="V103" s="1" t="str">
        <f>IF(OR($B103="",V$7=""),"",IF($B103="MEANS",INDEX('1-DATA'!$1:$1048576,$A102-1,COLUMN('1-DATA'!U101)),ROUND(INDEX('1-DATA'!$1:$1048576,IF(OR($B103="STD. DEVIATION",$C$1=1),$A103,$A103+1),COLUMN('1-DATA'!U101)),IF($B103="STD. DEVIATION",2,$F$1))))</f>
        <v/>
      </c>
      <c r="W103" s="1" t="str">
        <f>IF(OR($B103="",W$7=""),"",IF($B103="MEANS",INDEX('1-DATA'!$1:$1048576,$A102-1,COLUMN('1-DATA'!V101)),ROUND(INDEX('1-DATA'!$1:$1048576,IF(OR($B103="STD. DEVIATION",$C$1=1),$A103,$A103+1),COLUMN('1-DATA'!V101)),IF($B103="STD. DEVIATION",2,$F$1))))</f>
        <v/>
      </c>
      <c r="X103" s="1" t="str">
        <f>IF(OR($B103="",X$7=""),"",IF($B103="MEANS",INDEX('1-DATA'!$1:$1048576,$A102-1,COLUMN('1-DATA'!W101)),ROUND(INDEX('1-DATA'!$1:$1048576,IF(OR($B103="STD. DEVIATION",$C$1=1),$A103,$A103+1),COLUMN('1-DATA'!W101)),IF($B103="STD. DEVIATION",2,$F$1))))</f>
        <v/>
      </c>
      <c r="Y103" s="1" t="str">
        <f>IF(OR($B103="",Y$7=""),"",IF($B103="MEANS",INDEX('1-DATA'!$1:$1048576,$A102-1,COLUMN('1-DATA'!X101)),ROUND(INDEX('1-DATA'!$1:$1048576,IF(OR($B103="STD. DEVIATION",$C$1=1),$A103,$A103+1),COLUMN('1-DATA'!X101)),IF($B103="STD. DEVIATION",2,$F$1))))</f>
        <v/>
      </c>
      <c r="Z103" s="1" t="str">
        <f>IF(OR($B103="",Z$7=""),"",IF($B103="MEANS",INDEX('1-DATA'!$1:$1048576,$A102-1,COLUMN('1-DATA'!Y101)),ROUND(INDEX('1-DATA'!$1:$1048576,IF(OR($B103="STD. DEVIATION",$C$1=1),$A103,$A103+1),COLUMN('1-DATA'!Y101)),IF($B103="STD. DEVIATION",2,$F$1))))</f>
        <v/>
      </c>
      <c r="AA103" s="1" t="str">
        <f>IF(OR($B103="",AA$7=""),"",IF($B103="MEANS",INDEX('1-DATA'!$1:$1048576,$A102-1,COLUMN('1-DATA'!Z101)),ROUND(INDEX('1-DATA'!$1:$1048576,IF(OR($B103="STD. DEVIATION",$C$1=1),$A103,$A103+1),COLUMN('1-DATA'!Z101)),IF($B103="STD. DEVIATION",2,$F$1))))</f>
        <v/>
      </c>
      <c r="AB103" s="1" t="str">
        <f>IF(OR($B103="",AB$7=""),"",IF($B103="MEANS",INDEX('1-DATA'!$1:$1048576,$A102-1,COLUMN('1-DATA'!AA101)),ROUND(INDEX('1-DATA'!$1:$1048576,IF(OR($B103="STD. DEVIATION",$C$1=1),$A103,$A103+1),COLUMN('1-DATA'!AA101)),IF($B103="STD. DEVIATION",2,$F$1))))</f>
        <v/>
      </c>
      <c r="AC103" s="1" t="str">
        <f>IF(OR($B103="",AC$7=""),"",IF($B103="MEANS",INDEX('1-DATA'!$1:$1048576,$A102-1,COLUMN('1-DATA'!AB101)),ROUND(INDEX('1-DATA'!$1:$1048576,IF(OR($B103="STD. DEVIATION",$C$1=1),$A103,$A103+1),COLUMN('1-DATA'!AB101)),IF($B103="STD. DEVIATION",2,$F$1))))</f>
        <v/>
      </c>
      <c r="AD103" s="1" t="str">
        <f>IF(OR($B103="",AD$7=""),"",IF($B103="MEANS",INDEX('1-DATA'!$1:$1048576,$A102-1,COLUMN('1-DATA'!AC101)),ROUND(INDEX('1-DATA'!$1:$1048576,IF(OR($B103="STD. DEVIATION",$C$1=1),$A103,$A103+1),COLUMN('1-DATA'!AC101)),IF($B103="STD. DEVIATION",2,$F$1))))</f>
        <v/>
      </c>
      <c r="AE103" s="1" t="str">
        <f>IF(OR($B103="",AE$7=""),"",IF($B103="MEANS",INDEX('1-DATA'!$1:$1048576,$A102-1,COLUMN('1-DATA'!AD101)),ROUND(INDEX('1-DATA'!$1:$1048576,IF(OR($B103="STD. DEVIATION",$C$1=1),$A103,$A103+1),COLUMN('1-DATA'!AD101)),IF($B103="STD. DEVIATION",2,$F$1))))</f>
        <v/>
      </c>
      <c r="AF103" s="1" t="str">
        <f>IF(OR($B103="",AF$7=""),"",IF($B103="MEANS",INDEX('1-DATA'!$1:$1048576,$A102-1,COLUMN('1-DATA'!AE101)),ROUND(INDEX('1-DATA'!$1:$1048576,IF(OR($B103="STD. DEVIATION",$C$1=1),$A103,$A103+1),COLUMN('1-DATA'!AE101)),IF($B103="STD. DEVIATION",2,$F$1))))</f>
        <v/>
      </c>
      <c r="AG103" s="1" t="str">
        <f>IF(OR($B103="",AG$7=""),"",IF($B103="MEANS",INDEX('1-DATA'!$1:$1048576,$A102-1,COLUMN('1-DATA'!AF101)),ROUND(INDEX('1-DATA'!$1:$1048576,IF(OR($B103="STD. DEVIATION",$C$1=1),$A103,$A103+1),COLUMN('1-DATA'!AF101)),IF($B103="STD. DEVIATION",2,$F$1))))</f>
        <v/>
      </c>
      <c r="AH103" s="1" t="str">
        <f>IF(OR($B103="",AH$7=""),"",IF($B103="MEANS",INDEX('1-DATA'!$1:$1048576,$A102-1,COLUMN('1-DATA'!AG101)),ROUND(INDEX('1-DATA'!$1:$1048576,IF(OR($B103="STD. DEVIATION",$C$1=1),$A103,$A103+1),COLUMN('1-DATA'!AG101)),IF($B103="STD. DEVIATION",2,$F$1))))</f>
        <v/>
      </c>
      <c r="AI103" s="1" t="str">
        <f>IF(OR($B103="",AI$7=""),"",IF($B103="MEANS",INDEX('1-DATA'!$1:$1048576,$A102-1,COLUMN('1-DATA'!AH101)),ROUND(INDEX('1-DATA'!$1:$1048576,IF(OR($B103="STD. DEVIATION",$C$1=1),$A103,$A103+1),COLUMN('1-DATA'!AH101)),IF($B103="STD. DEVIATION",2,$F$1))))</f>
        <v/>
      </c>
      <c r="AJ103" s="1" t="str">
        <f>IF(OR($B103="",AJ$7=""),"",IF($B103="MEANS",INDEX('1-DATA'!$1:$1048576,$A102-1,COLUMN('1-DATA'!AI101)),ROUND(INDEX('1-DATA'!$1:$1048576,IF(OR($B103="STD. DEVIATION",$C$1=1),$A103,$A103+1),COLUMN('1-DATA'!AI101)),IF($B103="STD. DEVIATION",2,$F$1))))</f>
        <v/>
      </c>
      <c r="AK103" s="1" t="str">
        <f>IF(OR($B103="",AK$7=""),"",IF($B103="MEANS",INDEX('1-DATA'!$1:$1048576,$A102-1,COLUMN('1-DATA'!AJ101)),ROUND(INDEX('1-DATA'!$1:$1048576,IF(OR($B103="STD. DEVIATION",$C$1=1),$A103,$A103+1),COLUMN('1-DATA'!AJ101)),IF($B103="STD. DEVIATION",2,$F$1))))</f>
        <v/>
      </c>
      <c r="AL103" s="1" t="str">
        <f>IF(OR($B103="",AL$7=""),"",IF($B103="MEANS",INDEX('1-DATA'!$1:$1048576,$A102-1,COLUMN('1-DATA'!AK101)),ROUND(INDEX('1-DATA'!$1:$1048576,IF(OR($B103="STD. DEVIATION",$C$1=1),$A103,$A103+1),COLUMN('1-DATA'!AK101)),IF($B103="STD. DEVIATION",2,$F$1))))</f>
        <v/>
      </c>
      <c r="AM103" s="1" t="str">
        <f>IF(OR($B103="",AM$7=""),"",IF($B103="MEANS",INDEX('1-DATA'!$1:$1048576,$A102-1,COLUMN('1-DATA'!AL101)),ROUND(INDEX('1-DATA'!$1:$1048576,IF(OR($B103="STD. DEVIATION",$C$1=1),$A103,$A103+1),COLUMN('1-DATA'!AL101)),IF($B103="STD. DEVIATION",2,$F$1))))</f>
        <v/>
      </c>
      <c r="AN103" s="1" t="str">
        <f>IF(OR($B103="",AN$7=""),"",IF($B103="MEANS",INDEX('1-DATA'!$1:$1048576,$A102-1,COLUMN('1-DATA'!AM101)),ROUND(INDEX('1-DATA'!$1:$1048576,IF(OR($B103="STD. DEVIATION",$C$1=1),$A103,$A103+1),COLUMN('1-DATA'!AM101)),IF($B103="STD. DEVIATION",2,$F$1))))</f>
        <v/>
      </c>
      <c r="AO103" s="1" t="str">
        <f>IF(OR($B103="",AO$7=""),"",IF($B103="MEANS",INDEX('1-DATA'!$1:$1048576,$A102-1,COLUMN('1-DATA'!AN101)),ROUND(INDEX('1-DATA'!$1:$1048576,IF(OR($B103="STD. DEVIATION",$C$1=1),$A103,$A103+1),COLUMN('1-DATA'!AN101)),IF($B103="STD. DEVIATION",2,$F$1))))</f>
        <v/>
      </c>
      <c r="AP103" s="1" t="str">
        <f>IF(OR($B103="",AP$7=""),"",IF($B103="MEANS",INDEX('1-DATA'!$1:$1048576,$A102-1,COLUMN('1-DATA'!AO101)),ROUND(INDEX('1-DATA'!$1:$1048576,IF(OR($B103="STD. DEVIATION",$C$1=1),$A103,$A103+1),COLUMN('1-DATA'!AO101)),IF($B103="STD. DEVIATION",2,$F$1))))</f>
        <v/>
      </c>
      <c r="AQ103" s="1" t="str">
        <f>IF(OR($B103="",AQ$7=""),"",IF($B103="MEANS",INDEX('1-DATA'!$1:$1048576,$A102-1,COLUMN('1-DATA'!AP101)),ROUND(INDEX('1-DATA'!$1:$1048576,IF(OR($B103="STD. DEVIATION",$C$1=1),$A103,$A103+1),COLUMN('1-DATA'!AP101)),IF($B103="STD. DEVIATION",2,$F$1))))</f>
        <v/>
      </c>
      <c r="AR103" s="1" t="str">
        <f>IF(OR($B103="",AR$7=""),"",IF($B103="MEANS",INDEX('1-DATA'!$1:$1048576,$A102-1,COLUMN('1-DATA'!AQ101)),ROUND(INDEX('1-DATA'!$1:$1048576,IF(OR($B103="STD. DEVIATION",$C$1=1),$A103,$A103+1),COLUMN('1-DATA'!AQ101)),IF($B103="STD. DEVIATION",2,$F$1))))</f>
        <v/>
      </c>
      <c r="AS103" s="1" t="str">
        <f>IF(OR($B103="",AS$7=""),"",IF($B103="MEANS",INDEX('1-DATA'!$1:$1048576,$A102-1,COLUMN('1-DATA'!AR101)),ROUND(INDEX('1-DATA'!$1:$1048576,IF(OR($B103="STD. DEVIATION",$C$1=1),$A103,$A103+1),COLUMN('1-DATA'!AR101)),IF($B103="STD. DEVIATION",2,$F$1))))</f>
        <v/>
      </c>
      <c r="AT103" s="1" t="str">
        <f>IF(OR($B103="",AT$7=""),"",IF($B103="MEANS",INDEX('1-DATA'!$1:$1048576,$A102-1,COLUMN('1-DATA'!AS101)),ROUND(INDEX('1-DATA'!$1:$1048576,IF(OR($B103="STD. DEVIATION",$C$1=1),$A103,$A103+1),COLUMN('1-DATA'!AS101)),IF($B103="STD. DEVIATION",2,$F$1))))</f>
        <v/>
      </c>
      <c r="AU103" s="1" t="str">
        <f>IF(OR($B103="",AU$7=""),"",IF($B103="MEANS",INDEX('1-DATA'!$1:$1048576,$A102-1,COLUMN('1-DATA'!AT101)),ROUND(INDEX('1-DATA'!$1:$1048576,IF(OR($B103="STD. DEVIATION",$C$1=1),$A103,$A103+1),COLUMN('1-DATA'!AT101)),IF($B103="STD. DEVIATION",2,$F$1))))</f>
        <v/>
      </c>
      <c r="AV103" s="1" t="str">
        <f>IF(OR($B103="",AV$7=""),"",IF($B103="MEANS",INDEX('1-DATA'!$1:$1048576,$A102-1,COLUMN('1-DATA'!AU101)),ROUND(INDEX('1-DATA'!$1:$1048576,IF(OR($B103="STD. DEVIATION",$C$1=1),$A103,$A103+1),COLUMN('1-DATA'!AU101)),IF($B103="STD. DEVIATION",2,$F$1))))</f>
        <v/>
      </c>
      <c r="AW103" s="1" t="str">
        <f>IF(OR($B103="",AW$7=""),"",IF($B103="MEANS",INDEX('1-DATA'!$1:$1048576,$A102-1,COLUMN('1-DATA'!AV101)),ROUND(INDEX('1-DATA'!$1:$1048576,IF(OR($B103="STD. DEVIATION",$C$1=1),$A103,$A103+1),COLUMN('1-DATA'!AV101)),IF($B103="STD. DEVIATION",2,$F$1))))</f>
        <v/>
      </c>
      <c r="AX103" s="1" t="str">
        <f>IF(OR($B103="",AX$7=""),"",IF($B103="MEANS",INDEX('1-DATA'!$1:$1048576,$A102-1,COLUMN('1-DATA'!AW101)),ROUND(INDEX('1-DATA'!$1:$1048576,IF(OR($B103="STD. DEVIATION",$C$1=1),$A103,$A103+1),COLUMN('1-DATA'!AW101)),IF($B103="STD. DEVIATION",2,$F$1))))</f>
        <v/>
      </c>
      <c r="AY103" s="1" t="str">
        <f>IF(OR($B103="",AY$7=""),"",IF($B103="MEANS",INDEX('1-DATA'!$1:$1048576,$A102-1,COLUMN('1-DATA'!AX101)),ROUND(INDEX('1-DATA'!$1:$1048576,IF(OR($B103="STD. DEVIATION",$C$1=1),$A103,$A103+1),COLUMN('1-DATA'!AX101)),IF($B103="STD. DEVIATION",2,$F$1))))</f>
        <v/>
      </c>
      <c r="AZ103" s="1" t="str">
        <f>IF(OR($B103="",AZ$7=""),"",IF($B103="MEANS",INDEX('1-DATA'!$1:$1048576,$A102-1,COLUMN('1-DATA'!AY101)),ROUND(INDEX('1-DATA'!$1:$1048576,IF(OR($B103="STD. DEVIATION",$C$1=1),$A103,$A103+1),COLUMN('1-DATA'!AY101)),IF($B103="STD. DEVIATION",2,$F$1))))</f>
        <v/>
      </c>
    </row>
    <row r="104" spans="1:52" x14ac:dyDescent="0.25">
      <c r="A104" s="11">
        <f t="shared" si="2"/>
        <v>298</v>
      </c>
      <c r="B104" s="1" t="str">
        <f>IF(B103="STD. DEVIATION",INDEX('1-DATA'!$1:$1048576,$A103-1,1),IF(INDEX('1-DATA'!$1:$1048576,$A104,1)&lt;&gt;"",INDEX('1-DATA'!$1:$1048576,$A104,1),""))</f>
        <v/>
      </c>
      <c r="C104" s="1" t="str">
        <f>IF(OR($B104="",C$7=""),"",IF($B104="MEANS",INDEX('1-DATA'!$1:$1048576,$A103-1,COLUMN('1-DATA'!B102)),ROUND(INDEX('1-DATA'!$1:$1048576,IF(OR($B104="STD. DEVIATION",$C$1=1),$A104,$A104+1),COLUMN('1-DATA'!B102)),IF($B104="STD. DEVIATION",2,$F$1))))</f>
        <v/>
      </c>
      <c r="D104" s="1" t="str">
        <f>IF(OR($B104="",D$7=""),"",IF($B104="MEANS",INDEX('1-DATA'!$1:$1048576,$A103-1,COLUMN('1-DATA'!C102)),ROUND(INDEX('1-DATA'!$1:$1048576,IF(OR($B104="STD. DEVIATION",$C$1=1),$A104,$A104+1),COLUMN('1-DATA'!C102)),IF($B104="STD. DEVIATION",2,$F$1))))</f>
        <v/>
      </c>
      <c r="E104" s="1" t="str">
        <f>IF(OR($B104="",E$7=""),"",IF($B104="MEANS",INDEX('1-DATA'!$1:$1048576,$A103-1,COLUMN('1-DATA'!D102)),ROUND(INDEX('1-DATA'!$1:$1048576,IF(OR($B104="STD. DEVIATION",$C$1=1),$A104,$A104+1),COLUMN('1-DATA'!D102)),IF($B104="STD. DEVIATION",2,$F$1))))</f>
        <v/>
      </c>
      <c r="F104" s="1" t="str">
        <f>IF(OR($B104="",F$7=""),"",IF($B104="MEANS",INDEX('1-DATA'!$1:$1048576,$A103-1,COLUMN('1-DATA'!E102)),ROUND(INDEX('1-DATA'!$1:$1048576,IF(OR($B104="STD. DEVIATION",$C$1=1),$A104,$A104+1),COLUMN('1-DATA'!E102)),IF($B104="STD. DEVIATION",2,$F$1))))</f>
        <v/>
      </c>
      <c r="G104" s="1" t="str">
        <f>IF(OR($B104="",G$7=""),"",IF($B104="MEANS",INDEX('1-DATA'!$1:$1048576,$A103-1,COLUMN('1-DATA'!F102)),ROUND(INDEX('1-DATA'!$1:$1048576,IF(OR($B104="STD. DEVIATION",$C$1=1),$A104,$A104+1),COLUMN('1-DATA'!F102)),IF($B104="STD. DEVIATION",2,$F$1))))</f>
        <v/>
      </c>
      <c r="H104" s="1" t="str">
        <f>IF(OR($B104="",H$7=""),"",IF($B104="MEANS",INDEX('1-DATA'!$1:$1048576,$A103-1,COLUMN('1-DATA'!G102)),ROUND(INDEX('1-DATA'!$1:$1048576,IF(OR($B104="STD. DEVIATION",$C$1=1),$A104,$A104+1),COLUMN('1-DATA'!G102)),IF($B104="STD. DEVIATION",2,$F$1))))</f>
        <v/>
      </c>
      <c r="I104" s="1" t="str">
        <f>IF(OR($B104="",I$7=""),"",IF($B104="MEANS",INDEX('1-DATA'!$1:$1048576,$A103-1,COLUMN('1-DATA'!H102)),ROUND(INDEX('1-DATA'!$1:$1048576,IF(OR($B104="STD. DEVIATION",$C$1=1),$A104,$A104+1),COLUMN('1-DATA'!H102)),IF($B104="STD. DEVIATION",2,$F$1))))</f>
        <v/>
      </c>
      <c r="J104" s="1" t="str">
        <f>IF(OR($B104="",J$7=""),"",IF($B104="MEANS",INDEX('1-DATA'!$1:$1048576,$A103-1,COLUMN('1-DATA'!I102)),ROUND(INDEX('1-DATA'!$1:$1048576,IF(OR($B104="STD. DEVIATION",$C$1=1),$A104,$A104+1),COLUMN('1-DATA'!I102)),IF($B104="STD. DEVIATION",2,$F$1))))</f>
        <v/>
      </c>
      <c r="K104" s="1" t="str">
        <f>IF(OR($B104="",K$7=""),"",IF($B104="MEANS",INDEX('1-DATA'!$1:$1048576,$A103-1,COLUMN('1-DATA'!J102)),ROUND(INDEX('1-DATA'!$1:$1048576,IF(OR($B104="STD. DEVIATION",$C$1=1),$A104,$A104+1),COLUMN('1-DATA'!J102)),IF($B104="STD. DEVIATION",2,$F$1))))</f>
        <v/>
      </c>
      <c r="L104" s="1" t="str">
        <f>IF(OR($B104="",L$7=""),"",IF($B104="MEANS",INDEX('1-DATA'!$1:$1048576,$A103-1,COLUMN('1-DATA'!K102)),ROUND(INDEX('1-DATA'!$1:$1048576,IF(OR($B104="STD. DEVIATION",$C$1=1),$A104,$A104+1),COLUMN('1-DATA'!K102)),IF($B104="STD. DEVIATION",2,$F$1))))</f>
        <v/>
      </c>
      <c r="M104" s="1" t="str">
        <f>IF(OR($B104="",M$7=""),"",IF($B104="MEANS",INDEX('1-DATA'!$1:$1048576,$A103-1,COLUMN('1-DATA'!L102)),ROUND(INDEX('1-DATA'!$1:$1048576,IF(OR($B104="STD. DEVIATION",$C$1=1),$A104,$A104+1),COLUMN('1-DATA'!L102)),IF($B104="STD. DEVIATION",2,$F$1))))</f>
        <v/>
      </c>
      <c r="N104" s="1" t="str">
        <f>IF(OR($B104="",N$7=""),"",IF($B104="MEANS",INDEX('1-DATA'!$1:$1048576,$A103-1,COLUMN('1-DATA'!M102)),ROUND(INDEX('1-DATA'!$1:$1048576,IF(OR($B104="STD. DEVIATION",$C$1=1),$A104,$A104+1),COLUMN('1-DATA'!M102)),IF($B104="STD. DEVIATION",2,$F$1))))</f>
        <v/>
      </c>
      <c r="O104" s="1" t="str">
        <f>IF(OR($B104="",O$7=""),"",IF($B104="MEANS",INDEX('1-DATA'!$1:$1048576,$A103-1,COLUMN('1-DATA'!N102)),ROUND(INDEX('1-DATA'!$1:$1048576,IF(OR($B104="STD. DEVIATION",$C$1=1),$A104,$A104+1),COLUMN('1-DATA'!N102)),IF($B104="STD. DEVIATION",2,$F$1))))</f>
        <v/>
      </c>
      <c r="P104" s="1" t="str">
        <f>IF(OR($B104="",P$7=""),"",IF($B104="MEANS",INDEX('1-DATA'!$1:$1048576,$A103-1,COLUMN('1-DATA'!O102)),ROUND(INDEX('1-DATA'!$1:$1048576,IF(OR($B104="STD. DEVIATION",$C$1=1),$A104,$A104+1),COLUMN('1-DATA'!O102)),IF($B104="STD. DEVIATION",2,$F$1))))</f>
        <v/>
      </c>
      <c r="Q104" s="1" t="str">
        <f>IF(OR($B104="",Q$7=""),"",IF($B104="MEANS",INDEX('1-DATA'!$1:$1048576,$A103-1,COLUMN('1-DATA'!P102)),ROUND(INDEX('1-DATA'!$1:$1048576,IF(OR($B104="STD. DEVIATION",$C$1=1),$A104,$A104+1),COLUMN('1-DATA'!P102)),IF($B104="STD. DEVIATION",2,$F$1))))</f>
        <v/>
      </c>
      <c r="R104" s="1" t="str">
        <f>IF(OR($B104="",R$7=""),"",IF($B104="MEANS",INDEX('1-DATA'!$1:$1048576,$A103-1,COLUMN('1-DATA'!Q102)),ROUND(INDEX('1-DATA'!$1:$1048576,IF(OR($B104="STD. DEVIATION",$C$1=1),$A104,$A104+1),COLUMN('1-DATA'!Q102)),IF($B104="STD. DEVIATION",2,$F$1))))</f>
        <v/>
      </c>
      <c r="S104" s="1" t="str">
        <f>IF(OR($B104="",S$7=""),"",IF($B104="MEANS",INDEX('1-DATA'!$1:$1048576,$A103-1,COLUMN('1-DATA'!R102)),ROUND(INDEX('1-DATA'!$1:$1048576,IF(OR($B104="STD. DEVIATION",$C$1=1),$A104,$A104+1),COLUMN('1-DATA'!R102)),IF($B104="STD. DEVIATION",2,$F$1))))</f>
        <v/>
      </c>
      <c r="T104" s="1" t="str">
        <f>IF(OR($B104="",T$7=""),"",IF($B104="MEANS",INDEX('1-DATA'!$1:$1048576,$A103-1,COLUMN('1-DATA'!S102)),ROUND(INDEX('1-DATA'!$1:$1048576,IF(OR($B104="STD. DEVIATION",$C$1=1),$A104,$A104+1),COLUMN('1-DATA'!S102)),IF($B104="STD. DEVIATION",2,$F$1))))</f>
        <v/>
      </c>
      <c r="U104" s="1" t="str">
        <f>IF(OR($B104="",U$7=""),"",IF($B104="MEANS",INDEX('1-DATA'!$1:$1048576,$A103-1,COLUMN('1-DATA'!T102)),ROUND(INDEX('1-DATA'!$1:$1048576,IF(OR($B104="STD. DEVIATION",$C$1=1),$A104,$A104+1),COLUMN('1-DATA'!T102)),IF($B104="STD. DEVIATION",2,$F$1))))</f>
        <v/>
      </c>
      <c r="V104" s="1" t="str">
        <f>IF(OR($B104="",V$7=""),"",IF($B104="MEANS",INDEX('1-DATA'!$1:$1048576,$A103-1,COLUMN('1-DATA'!U102)),ROUND(INDEX('1-DATA'!$1:$1048576,IF(OR($B104="STD. DEVIATION",$C$1=1),$A104,$A104+1),COLUMN('1-DATA'!U102)),IF($B104="STD. DEVIATION",2,$F$1))))</f>
        <v/>
      </c>
      <c r="W104" s="1" t="str">
        <f>IF(OR($B104="",W$7=""),"",IF($B104="MEANS",INDEX('1-DATA'!$1:$1048576,$A103-1,COLUMN('1-DATA'!V102)),ROUND(INDEX('1-DATA'!$1:$1048576,IF(OR($B104="STD. DEVIATION",$C$1=1),$A104,$A104+1),COLUMN('1-DATA'!V102)),IF($B104="STD. DEVIATION",2,$F$1))))</f>
        <v/>
      </c>
      <c r="X104" s="1" t="str">
        <f>IF(OR($B104="",X$7=""),"",IF($B104="MEANS",INDEX('1-DATA'!$1:$1048576,$A103-1,COLUMN('1-DATA'!W102)),ROUND(INDEX('1-DATA'!$1:$1048576,IF(OR($B104="STD. DEVIATION",$C$1=1),$A104,$A104+1),COLUMN('1-DATA'!W102)),IF($B104="STD. DEVIATION",2,$F$1))))</f>
        <v/>
      </c>
      <c r="Y104" s="1" t="str">
        <f>IF(OR($B104="",Y$7=""),"",IF($B104="MEANS",INDEX('1-DATA'!$1:$1048576,$A103-1,COLUMN('1-DATA'!X102)),ROUND(INDEX('1-DATA'!$1:$1048576,IF(OR($B104="STD. DEVIATION",$C$1=1),$A104,$A104+1),COLUMN('1-DATA'!X102)),IF($B104="STD. DEVIATION",2,$F$1))))</f>
        <v/>
      </c>
      <c r="Z104" s="1" t="str">
        <f>IF(OR($B104="",Z$7=""),"",IF($B104="MEANS",INDEX('1-DATA'!$1:$1048576,$A103-1,COLUMN('1-DATA'!Y102)),ROUND(INDEX('1-DATA'!$1:$1048576,IF(OR($B104="STD. DEVIATION",$C$1=1),$A104,$A104+1),COLUMN('1-DATA'!Y102)),IF($B104="STD. DEVIATION",2,$F$1))))</f>
        <v/>
      </c>
      <c r="AA104" s="1" t="str">
        <f>IF(OR($B104="",AA$7=""),"",IF($B104="MEANS",INDEX('1-DATA'!$1:$1048576,$A103-1,COLUMN('1-DATA'!Z102)),ROUND(INDEX('1-DATA'!$1:$1048576,IF(OR($B104="STD. DEVIATION",$C$1=1),$A104,$A104+1),COLUMN('1-DATA'!Z102)),IF($B104="STD. DEVIATION",2,$F$1))))</f>
        <v/>
      </c>
      <c r="AB104" s="1" t="str">
        <f>IF(OR($B104="",AB$7=""),"",IF($B104="MEANS",INDEX('1-DATA'!$1:$1048576,$A103-1,COLUMN('1-DATA'!AA102)),ROUND(INDEX('1-DATA'!$1:$1048576,IF(OR($B104="STD. DEVIATION",$C$1=1),$A104,$A104+1),COLUMN('1-DATA'!AA102)),IF($B104="STD. DEVIATION",2,$F$1))))</f>
        <v/>
      </c>
      <c r="AC104" s="1" t="str">
        <f>IF(OR($B104="",AC$7=""),"",IF($B104="MEANS",INDEX('1-DATA'!$1:$1048576,$A103-1,COLUMN('1-DATA'!AB102)),ROUND(INDEX('1-DATA'!$1:$1048576,IF(OR($B104="STD. DEVIATION",$C$1=1),$A104,$A104+1),COLUMN('1-DATA'!AB102)),IF($B104="STD. DEVIATION",2,$F$1))))</f>
        <v/>
      </c>
      <c r="AD104" s="1" t="str">
        <f>IF(OR($B104="",AD$7=""),"",IF($B104="MEANS",INDEX('1-DATA'!$1:$1048576,$A103-1,COLUMN('1-DATA'!AC102)),ROUND(INDEX('1-DATA'!$1:$1048576,IF(OR($B104="STD. DEVIATION",$C$1=1),$A104,$A104+1),COLUMN('1-DATA'!AC102)),IF($B104="STD. DEVIATION",2,$F$1))))</f>
        <v/>
      </c>
      <c r="AE104" s="1" t="str">
        <f>IF(OR($B104="",AE$7=""),"",IF($B104="MEANS",INDEX('1-DATA'!$1:$1048576,$A103-1,COLUMN('1-DATA'!AD102)),ROUND(INDEX('1-DATA'!$1:$1048576,IF(OR($B104="STD. DEVIATION",$C$1=1),$A104,$A104+1),COLUMN('1-DATA'!AD102)),IF($B104="STD. DEVIATION",2,$F$1))))</f>
        <v/>
      </c>
      <c r="AF104" s="1" t="str">
        <f>IF(OR($B104="",AF$7=""),"",IF($B104="MEANS",INDEX('1-DATA'!$1:$1048576,$A103-1,COLUMN('1-DATA'!AE102)),ROUND(INDEX('1-DATA'!$1:$1048576,IF(OR($B104="STD. DEVIATION",$C$1=1),$A104,$A104+1),COLUMN('1-DATA'!AE102)),IF($B104="STD. DEVIATION",2,$F$1))))</f>
        <v/>
      </c>
      <c r="AG104" s="1" t="str">
        <f>IF(OR($B104="",AG$7=""),"",IF($B104="MEANS",INDEX('1-DATA'!$1:$1048576,$A103-1,COLUMN('1-DATA'!AF102)),ROUND(INDEX('1-DATA'!$1:$1048576,IF(OR($B104="STD. DEVIATION",$C$1=1),$A104,$A104+1),COLUMN('1-DATA'!AF102)),IF($B104="STD. DEVIATION",2,$F$1))))</f>
        <v/>
      </c>
      <c r="AH104" s="1" t="str">
        <f>IF(OR($B104="",AH$7=""),"",IF($B104="MEANS",INDEX('1-DATA'!$1:$1048576,$A103-1,COLUMN('1-DATA'!AG102)),ROUND(INDEX('1-DATA'!$1:$1048576,IF(OR($B104="STD. DEVIATION",$C$1=1),$A104,$A104+1),COLUMN('1-DATA'!AG102)),IF($B104="STD. DEVIATION",2,$F$1))))</f>
        <v/>
      </c>
      <c r="AI104" s="1" t="str">
        <f>IF(OR($B104="",AI$7=""),"",IF($B104="MEANS",INDEX('1-DATA'!$1:$1048576,$A103-1,COLUMN('1-DATA'!AH102)),ROUND(INDEX('1-DATA'!$1:$1048576,IF(OR($B104="STD. DEVIATION",$C$1=1),$A104,$A104+1),COLUMN('1-DATA'!AH102)),IF($B104="STD. DEVIATION",2,$F$1))))</f>
        <v/>
      </c>
      <c r="AJ104" s="1" t="str">
        <f>IF(OR($B104="",AJ$7=""),"",IF($B104="MEANS",INDEX('1-DATA'!$1:$1048576,$A103-1,COLUMN('1-DATA'!AI102)),ROUND(INDEX('1-DATA'!$1:$1048576,IF(OR($B104="STD. DEVIATION",$C$1=1),$A104,$A104+1),COLUMN('1-DATA'!AI102)),IF($B104="STD. DEVIATION",2,$F$1))))</f>
        <v/>
      </c>
      <c r="AK104" s="1" t="str">
        <f>IF(OR($B104="",AK$7=""),"",IF($B104="MEANS",INDEX('1-DATA'!$1:$1048576,$A103-1,COLUMN('1-DATA'!AJ102)),ROUND(INDEX('1-DATA'!$1:$1048576,IF(OR($B104="STD. DEVIATION",$C$1=1),$A104,$A104+1),COLUMN('1-DATA'!AJ102)),IF($B104="STD. DEVIATION",2,$F$1))))</f>
        <v/>
      </c>
      <c r="AL104" s="1" t="str">
        <f>IF(OR($B104="",AL$7=""),"",IF($B104="MEANS",INDEX('1-DATA'!$1:$1048576,$A103-1,COLUMN('1-DATA'!AK102)),ROUND(INDEX('1-DATA'!$1:$1048576,IF(OR($B104="STD. DEVIATION",$C$1=1),$A104,$A104+1),COLUMN('1-DATA'!AK102)),IF($B104="STD. DEVIATION",2,$F$1))))</f>
        <v/>
      </c>
      <c r="AM104" s="1" t="str">
        <f>IF(OR($B104="",AM$7=""),"",IF($B104="MEANS",INDEX('1-DATA'!$1:$1048576,$A103-1,COLUMN('1-DATA'!AL102)),ROUND(INDEX('1-DATA'!$1:$1048576,IF(OR($B104="STD. DEVIATION",$C$1=1),$A104,$A104+1),COLUMN('1-DATA'!AL102)),IF($B104="STD. DEVIATION",2,$F$1))))</f>
        <v/>
      </c>
      <c r="AN104" s="1" t="str">
        <f>IF(OR($B104="",AN$7=""),"",IF($B104="MEANS",INDEX('1-DATA'!$1:$1048576,$A103-1,COLUMN('1-DATA'!AM102)),ROUND(INDEX('1-DATA'!$1:$1048576,IF(OR($B104="STD. DEVIATION",$C$1=1),$A104,$A104+1),COLUMN('1-DATA'!AM102)),IF($B104="STD. DEVIATION",2,$F$1))))</f>
        <v/>
      </c>
      <c r="AO104" s="1" t="str">
        <f>IF(OR($B104="",AO$7=""),"",IF($B104="MEANS",INDEX('1-DATA'!$1:$1048576,$A103-1,COLUMN('1-DATA'!AN102)),ROUND(INDEX('1-DATA'!$1:$1048576,IF(OR($B104="STD. DEVIATION",$C$1=1),$A104,$A104+1),COLUMN('1-DATA'!AN102)),IF($B104="STD. DEVIATION",2,$F$1))))</f>
        <v/>
      </c>
      <c r="AP104" s="1" t="str">
        <f>IF(OR($B104="",AP$7=""),"",IF($B104="MEANS",INDEX('1-DATA'!$1:$1048576,$A103-1,COLUMN('1-DATA'!AO102)),ROUND(INDEX('1-DATA'!$1:$1048576,IF(OR($B104="STD. DEVIATION",$C$1=1),$A104,$A104+1),COLUMN('1-DATA'!AO102)),IF($B104="STD. DEVIATION",2,$F$1))))</f>
        <v/>
      </c>
      <c r="AQ104" s="1" t="str">
        <f>IF(OR($B104="",AQ$7=""),"",IF($B104="MEANS",INDEX('1-DATA'!$1:$1048576,$A103-1,COLUMN('1-DATA'!AP102)),ROUND(INDEX('1-DATA'!$1:$1048576,IF(OR($B104="STD. DEVIATION",$C$1=1),$A104,$A104+1),COLUMN('1-DATA'!AP102)),IF($B104="STD. DEVIATION",2,$F$1))))</f>
        <v/>
      </c>
      <c r="AR104" s="1" t="str">
        <f>IF(OR($B104="",AR$7=""),"",IF($B104="MEANS",INDEX('1-DATA'!$1:$1048576,$A103-1,COLUMN('1-DATA'!AQ102)),ROUND(INDEX('1-DATA'!$1:$1048576,IF(OR($B104="STD. DEVIATION",$C$1=1),$A104,$A104+1),COLUMN('1-DATA'!AQ102)),IF($B104="STD. DEVIATION",2,$F$1))))</f>
        <v/>
      </c>
      <c r="AS104" s="1" t="str">
        <f>IF(OR($B104="",AS$7=""),"",IF($B104="MEANS",INDEX('1-DATA'!$1:$1048576,$A103-1,COLUMN('1-DATA'!AR102)),ROUND(INDEX('1-DATA'!$1:$1048576,IF(OR($B104="STD. DEVIATION",$C$1=1),$A104,$A104+1),COLUMN('1-DATA'!AR102)),IF($B104="STD. DEVIATION",2,$F$1))))</f>
        <v/>
      </c>
      <c r="AT104" s="1" t="str">
        <f>IF(OR($B104="",AT$7=""),"",IF($B104="MEANS",INDEX('1-DATA'!$1:$1048576,$A103-1,COLUMN('1-DATA'!AS102)),ROUND(INDEX('1-DATA'!$1:$1048576,IF(OR($B104="STD. DEVIATION",$C$1=1),$A104,$A104+1),COLUMN('1-DATA'!AS102)),IF($B104="STD. DEVIATION",2,$F$1))))</f>
        <v/>
      </c>
      <c r="AU104" s="1" t="str">
        <f>IF(OR($B104="",AU$7=""),"",IF($B104="MEANS",INDEX('1-DATA'!$1:$1048576,$A103-1,COLUMN('1-DATA'!AT102)),ROUND(INDEX('1-DATA'!$1:$1048576,IF(OR($B104="STD. DEVIATION",$C$1=1),$A104,$A104+1),COLUMN('1-DATA'!AT102)),IF($B104="STD. DEVIATION",2,$F$1))))</f>
        <v/>
      </c>
      <c r="AV104" s="1" t="str">
        <f>IF(OR($B104="",AV$7=""),"",IF($B104="MEANS",INDEX('1-DATA'!$1:$1048576,$A103-1,COLUMN('1-DATA'!AU102)),ROUND(INDEX('1-DATA'!$1:$1048576,IF(OR($B104="STD. DEVIATION",$C$1=1),$A104,$A104+1),COLUMN('1-DATA'!AU102)),IF($B104="STD. DEVIATION",2,$F$1))))</f>
        <v/>
      </c>
      <c r="AW104" s="1" t="str">
        <f>IF(OR($B104="",AW$7=""),"",IF($B104="MEANS",INDEX('1-DATA'!$1:$1048576,$A103-1,COLUMN('1-DATA'!AV102)),ROUND(INDEX('1-DATA'!$1:$1048576,IF(OR($B104="STD. DEVIATION",$C$1=1),$A104,$A104+1),COLUMN('1-DATA'!AV102)),IF($B104="STD. DEVIATION",2,$F$1))))</f>
        <v/>
      </c>
      <c r="AX104" s="1" t="str">
        <f>IF(OR($B104="",AX$7=""),"",IF($B104="MEANS",INDEX('1-DATA'!$1:$1048576,$A103-1,COLUMN('1-DATA'!AW102)),ROUND(INDEX('1-DATA'!$1:$1048576,IF(OR($B104="STD. DEVIATION",$C$1=1),$A104,$A104+1),COLUMN('1-DATA'!AW102)),IF($B104="STD. DEVIATION",2,$F$1))))</f>
        <v/>
      </c>
      <c r="AY104" s="1" t="str">
        <f>IF(OR($B104="",AY$7=""),"",IF($B104="MEANS",INDEX('1-DATA'!$1:$1048576,$A103-1,COLUMN('1-DATA'!AX102)),ROUND(INDEX('1-DATA'!$1:$1048576,IF(OR($B104="STD. DEVIATION",$C$1=1),$A104,$A104+1),COLUMN('1-DATA'!AX102)),IF($B104="STD. DEVIATION",2,$F$1))))</f>
        <v/>
      </c>
      <c r="AZ104" s="1" t="str">
        <f>IF(OR($B104="",AZ$7=""),"",IF($B104="MEANS",INDEX('1-DATA'!$1:$1048576,$A103-1,COLUMN('1-DATA'!AY102)),ROUND(INDEX('1-DATA'!$1:$1048576,IF(OR($B104="STD. DEVIATION",$C$1=1),$A104,$A104+1),COLUMN('1-DATA'!AY102)),IF($B104="STD. DEVIATION",2,$F$1))))</f>
        <v/>
      </c>
    </row>
    <row r="105" spans="1:52" x14ac:dyDescent="0.25">
      <c r="A105" s="11">
        <f t="shared" si="2"/>
        <v>301</v>
      </c>
      <c r="B105" s="1" t="str">
        <f>IF(B104="STD. DEVIATION",INDEX('1-DATA'!$1:$1048576,$A104-1,1),IF(INDEX('1-DATA'!$1:$1048576,$A105,1)&lt;&gt;"",INDEX('1-DATA'!$1:$1048576,$A105,1),""))</f>
        <v/>
      </c>
      <c r="C105" s="1" t="str">
        <f>IF(OR($B105="",C$7=""),"",IF($B105="MEANS",INDEX('1-DATA'!$1:$1048576,$A104-1,COLUMN('1-DATA'!B103)),ROUND(INDEX('1-DATA'!$1:$1048576,IF(OR($B105="STD. DEVIATION",$C$1=1),$A105,$A105+1),COLUMN('1-DATA'!B103)),IF($B105="STD. DEVIATION",2,$F$1))))</f>
        <v/>
      </c>
      <c r="D105" s="1" t="str">
        <f>IF(OR($B105="",D$7=""),"",IF($B105="MEANS",INDEX('1-DATA'!$1:$1048576,$A104-1,COLUMN('1-DATA'!C103)),ROUND(INDEX('1-DATA'!$1:$1048576,IF(OR($B105="STD. DEVIATION",$C$1=1),$A105,$A105+1),COLUMN('1-DATA'!C103)),IF($B105="STD. DEVIATION",2,$F$1))))</f>
        <v/>
      </c>
      <c r="E105" s="1" t="str">
        <f>IF(OR($B105="",E$7=""),"",IF($B105="MEANS",INDEX('1-DATA'!$1:$1048576,$A104-1,COLUMN('1-DATA'!D103)),ROUND(INDEX('1-DATA'!$1:$1048576,IF(OR($B105="STD. DEVIATION",$C$1=1),$A105,$A105+1),COLUMN('1-DATA'!D103)),IF($B105="STD. DEVIATION",2,$F$1))))</f>
        <v/>
      </c>
      <c r="F105" s="1" t="str">
        <f>IF(OR($B105="",F$7=""),"",IF($B105="MEANS",INDEX('1-DATA'!$1:$1048576,$A104-1,COLUMN('1-DATA'!E103)),ROUND(INDEX('1-DATA'!$1:$1048576,IF(OR($B105="STD. DEVIATION",$C$1=1),$A105,$A105+1),COLUMN('1-DATA'!E103)),IF($B105="STD. DEVIATION",2,$F$1))))</f>
        <v/>
      </c>
      <c r="G105" s="1" t="str">
        <f>IF(OR($B105="",G$7=""),"",IF($B105="MEANS",INDEX('1-DATA'!$1:$1048576,$A104-1,COLUMN('1-DATA'!F103)),ROUND(INDEX('1-DATA'!$1:$1048576,IF(OR($B105="STD. DEVIATION",$C$1=1),$A105,$A105+1),COLUMN('1-DATA'!F103)),IF($B105="STD. DEVIATION",2,$F$1))))</f>
        <v/>
      </c>
      <c r="H105" s="1" t="str">
        <f>IF(OR($B105="",H$7=""),"",IF($B105="MEANS",INDEX('1-DATA'!$1:$1048576,$A104-1,COLUMN('1-DATA'!G103)),ROUND(INDEX('1-DATA'!$1:$1048576,IF(OR($B105="STD. DEVIATION",$C$1=1),$A105,$A105+1),COLUMN('1-DATA'!G103)),IF($B105="STD. DEVIATION",2,$F$1))))</f>
        <v/>
      </c>
      <c r="I105" s="1" t="str">
        <f>IF(OR($B105="",I$7=""),"",IF($B105="MEANS",INDEX('1-DATA'!$1:$1048576,$A104-1,COLUMN('1-DATA'!H103)),ROUND(INDEX('1-DATA'!$1:$1048576,IF(OR($B105="STD. DEVIATION",$C$1=1),$A105,$A105+1),COLUMN('1-DATA'!H103)),IF($B105="STD. DEVIATION",2,$F$1))))</f>
        <v/>
      </c>
      <c r="J105" s="1" t="str">
        <f>IF(OR($B105="",J$7=""),"",IF($B105="MEANS",INDEX('1-DATA'!$1:$1048576,$A104-1,COLUMN('1-DATA'!I103)),ROUND(INDEX('1-DATA'!$1:$1048576,IF(OR($B105="STD. DEVIATION",$C$1=1),$A105,$A105+1),COLUMN('1-DATA'!I103)),IF($B105="STD. DEVIATION",2,$F$1))))</f>
        <v/>
      </c>
      <c r="K105" s="1" t="str">
        <f>IF(OR($B105="",K$7=""),"",IF($B105="MEANS",INDEX('1-DATA'!$1:$1048576,$A104-1,COLUMN('1-DATA'!J103)),ROUND(INDEX('1-DATA'!$1:$1048576,IF(OR($B105="STD. DEVIATION",$C$1=1),$A105,$A105+1),COLUMN('1-DATA'!J103)),IF($B105="STD. DEVIATION",2,$F$1))))</f>
        <v/>
      </c>
      <c r="L105" s="1" t="str">
        <f>IF(OR($B105="",L$7=""),"",IF($B105="MEANS",INDEX('1-DATA'!$1:$1048576,$A104-1,COLUMN('1-DATA'!K103)),ROUND(INDEX('1-DATA'!$1:$1048576,IF(OR($B105="STD. DEVIATION",$C$1=1),$A105,$A105+1),COLUMN('1-DATA'!K103)),IF($B105="STD. DEVIATION",2,$F$1))))</f>
        <v/>
      </c>
      <c r="M105" s="1" t="str">
        <f>IF(OR($B105="",M$7=""),"",IF($B105="MEANS",INDEX('1-DATA'!$1:$1048576,$A104-1,COLUMN('1-DATA'!L103)),ROUND(INDEX('1-DATA'!$1:$1048576,IF(OR($B105="STD. DEVIATION",$C$1=1),$A105,$A105+1),COLUMN('1-DATA'!L103)),IF($B105="STD. DEVIATION",2,$F$1))))</f>
        <v/>
      </c>
      <c r="N105" s="1" t="str">
        <f>IF(OR($B105="",N$7=""),"",IF($B105="MEANS",INDEX('1-DATA'!$1:$1048576,$A104-1,COLUMN('1-DATA'!M103)),ROUND(INDEX('1-DATA'!$1:$1048576,IF(OR($B105="STD. DEVIATION",$C$1=1),$A105,$A105+1),COLUMN('1-DATA'!M103)),IF($B105="STD. DEVIATION",2,$F$1))))</f>
        <v/>
      </c>
      <c r="O105" s="1" t="str">
        <f>IF(OR($B105="",O$7=""),"",IF($B105="MEANS",INDEX('1-DATA'!$1:$1048576,$A104-1,COLUMN('1-DATA'!N103)),ROUND(INDEX('1-DATA'!$1:$1048576,IF(OR($B105="STD. DEVIATION",$C$1=1),$A105,$A105+1),COLUMN('1-DATA'!N103)),IF($B105="STD. DEVIATION",2,$F$1))))</f>
        <v/>
      </c>
      <c r="P105" s="1" t="str">
        <f>IF(OR($B105="",P$7=""),"",IF($B105="MEANS",INDEX('1-DATA'!$1:$1048576,$A104-1,COLUMN('1-DATA'!O103)),ROUND(INDEX('1-DATA'!$1:$1048576,IF(OR($B105="STD. DEVIATION",$C$1=1),$A105,$A105+1),COLUMN('1-DATA'!O103)),IF($B105="STD. DEVIATION",2,$F$1))))</f>
        <v/>
      </c>
      <c r="Q105" s="1" t="str">
        <f>IF(OR($B105="",Q$7=""),"",IF($B105="MEANS",INDEX('1-DATA'!$1:$1048576,$A104-1,COLUMN('1-DATA'!P103)),ROUND(INDEX('1-DATA'!$1:$1048576,IF(OR($B105="STD. DEVIATION",$C$1=1),$A105,$A105+1),COLUMN('1-DATA'!P103)),IF($B105="STD. DEVIATION",2,$F$1))))</f>
        <v/>
      </c>
      <c r="R105" s="1" t="str">
        <f>IF(OR($B105="",R$7=""),"",IF($B105="MEANS",INDEX('1-DATA'!$1:$1048576,$A104-1,COLUMN('1-DATA'!Q103)),ROUND(INDEX('1-DATA'!$1:$1048576,IF(OR($B105="STD. DEVIATION",$C$1=1),$A105,$A105+1),COLUMN('1-DATA'!Q103)),IF($B105="STD. DEVIATION",2,$F$1))))</f>
        <v/>
      </c>
      <c r="S105" s="1" t="str">
        <f>IF(OR($B105="",S$7=""),"",IF($B105="MEANS",INDEX('1-DATA'!$1:$1048576,$A104-1,COLUMN('1-DATA'!R103)),ROUND(INDEX('1-DATA'!$1:$1048576,IF(OR($B105="STD. DEVIATION",$C$1=1),$A105,$A105+1),COLUMN('1-DATA'!R103)),IF($B105="STD. DEVIATION",2,$F$1))))</f>
        <v/>
      </c>
      <c r="T105" s="1" t="str">
        <f>IF(OR($B105="",T$7=""),"",IF($B105="MEANS",INDEX('1-DATA'!$1:$1048576,$A104-1,COLUMN('1-DATA'!S103)),ROUND(INDEX('1-DATA'!$1:$1048576,IF(OR($B105="STD. DEVIATION",$C$1=1),$A105,$A105+1),COLUMN('1-DATA'!S103)),IF($B105="STD. DEVIATION",2,$F$1))))</f>
        <v/>
      </c>
      <c r="U105" s="1" t="str">
        <f>IF(OR($B105="",U$7=""),"",IF($B105="MEANS",INDEX('1-DATA'!$1:$1048576,$A104-1,COLUMN('1-DATA'!T103)),ROUND(INDEX('1-DATA'!$1:$1048576,IF(OR($B105="STD. DEVIATION",$C$1=1),$A105,$A105+1),COLUMN('1-DATA'!T103)),IF($B105="STD. DEVIATION",2,$F$1))))</f>
        <v/>
      </c>
      <c r="V105" s="1" t="str">
        <f>IF(OR($B105="",V$7=""),"",IF($B105="MEANS",INDEX('1-DATA'!$1:$1048576,$A104-1,COLUMN('1-DATA'!U103)),ROUND(INDEX('1-DATA'!$1:$1048576,IF(OR($B105="STD. DEVIATION",$C$1=1),$A105,$A105+1),COLUMN('1-DATA'!U103)),IF($B105="STD. DEVIATION",2,$F$1))))</f>
        <v/>
      </c>
      <c r="W105" s="1" t="str">
        <f>IF(OR($B105="",W$7=""),"",IF($B105="MEANS",INDEX('1-DATA'!$1:$1048576,$A104-1,COLUMN('1-DATA'!V103)),ROUND(INDEX('1-DATA'!$1:$1048576,IF(OR($B105="STD. DEVIATION",$C$1=1),$A105,$A105+1),COLUMN('1-DATA'!V103)),IF($B105="STD. DEVIATION",2,$F$1))))</f>
        <v/>
      </c>
      <c r="X105" s="1" t="str">
        <f>IF(OR($B105="",X$7=""),"",IF($B105="MEANS",INDEX('1-DATA'!$1:$1048576,$A104-1,COLUMN('1-DATA'!W103)),ROUND(INDEX('1-DATA'!$1:$1048576,IF(OR($B105="STD. DEVIATION",$C$1=1),$A105,$A105+1),COLUMN('1-DATA'!W103)),IF($B105="STD. DEVIATION",2,$F$1))))</f>
        <v/>
      </c>
      <c r="Y105" s="1" t="str">
        <f>IF(OR($B105="",Y$7=""),"",IF($B105="MEANS",INDEX('1-DATA'!$1:$1048576,$A104-1,COLUMN('1-DATA'!X103)),ROUND(INDEX('1-DATA'!$1:$1048576,IF(OR($B105="STD. DEVIATION",$C$1=1),$A105,$A105+1),COLUMN('1-DATA'!X103)),IF($B105="STD. DEVIATION",2,$F$1))))</f>
        <v/>
      </c>
      <c r="Z105" s="1" t="str">
        <f>IF(OR($B105="",Z$7=""),"",IF($B105="MEANS",INDEX('1-DATA'!$1:$1048576,$A104-1,COLUMN('1-DATA'!Y103)),ROUND(INDEX('1-DATA'!$1:$1048576,IF(OR($B105="STD. DEVIATION",$C$1=1),$A105,$A105+1),COLUMN('1-DATA'!Y103)),IF($B105="STD. DEVIATION",2,$F$1))))</f>
        <v/>
      </c>
      <c r="AA105" s="1" t="str">
        <f>IF(OR($B105="",AA$7=""),"",IF($B105="MEANS",INDEX('1-DATA'!$1:$1048576,$A104-1,COLUMN('1-DATA'!Z103)),ROUND(INDEX('1-DATA'!$1:$1048576,IF(OR($B105="STD. DEVIATION",$C$1=1),$A105,$A105+1),COLUMN('1-DATA'!Z103)),IF($B105="STD. DEVIATION",2,$F$1))))</f>
        <v/>
      </c>
      <c r="AB105" s="1" t="str">
        <f>IF(OR($B105="",AB$7=""),"",IF($B105="MEANS",INDEX('1-DATA'!$1:$1048576,$A104-1,COLUMN('1-DATA'!AA103)),ROUND(INDEX('1-DATA'!$1:$1048576,IF(OR($B105="STD. DEVIATION",$C$1=1),$A105,$A105+1),COLUMN('1-DATA'!AA103)),IF($B105="STD. DEVIATION",2,$F$1))))</f>
        <v/>
      </c>
      <c r="AC105" s="1" t="str">
        <f>IF(OR($B105="",AC$7=""),"",IF($B105="MEANS",INDEX('1-DATA'!$1:$1048576,$A104-1,COLUMN('1-DATA'!AB103)),ROUND(INDEX('1-DATA'!$1:$1048576,IF(OR($B105="STD. DEVIATION",$C$1=1),$A105,$A105+1),COLUMN('1-DATA'!AB103)),IF($B105="STD. DEVIATION",2,$F$1))))</f>
        <v/>
      </c>
      <c r="AD105" s="1" t="str">
        <f>IF(OR($B105="",AD$7=""),"",IF($B105="MEANS",INDEX('1-DATA'!$1:$1048576,$A104-1,COLUMN('1-DATA'!AC103)),ROUND(INDEX('1-DATA'!$1:$1048576,IF(OR($B105="STD. DEVIATION",$C$1=1),$A105,$A105+1),COLUMN('1-DATA'!AC103)),IF($B105="STD. DEVIATION",2,$F$1))))</f>
        <v/>
      </c>
      <c r="AE105" s="1" t="str">
        <f>IF(OR($B105="",AE$7=""),"",IF($B105="MEANS",INDEX('1-DATA'!$1:$1048576,$A104-1,COLUMN('1-DATA'!AD103)),ROUND(INDEX('1-DATA'!$1:$1048576,IF(OR($B105="STD. DEVIATION",$C$1=1),$A105,$A105+1),COLUMN('1-DATA'!AD103)),IF($B105="STD. DEVIATION",2,$F$1))))</f>
        <v/>
      </c>
      <c r="AF105" s="1" t="str">
        <f>IF(OR($B105="",AF$7=""),"",IF($B105="MEANS",INDEX('1-DATA'!$1:$1048576,$A104-1,COLUMN('1-DATA'!AE103)),ROUND(INDEX('1-DATA'!$1:$1048576,IF(OR($B105="STD. DEVIATION",$C$1=1),$A105,$A105+1),COLUMN('1-DATA'!AE103)),IF($B105="STD. DEVIATION",2,$F$1))))</f>
        <v/>
      </c>
      <c r="AG105" s="1" t="str">
        <f>IF(OR($B105="",AG$7=""),"",IF($B105="MEANS",INDEX('1-DATA'!$1:$1048576,$A104-1,COLUMN('1-DATA'!AF103)),ROUND(INDEX('1-DATA'!$1:$1048576,IF(OR($B105="STD. DEVIATION",$C$1=1),$A105,$A105+1),COLUMN('1-DATA'!AF103)),IF($B105="STD. DEVIATION",2,$F$1))))</f>
        <v/>
      </c>
      <c r="AH105" s="1" t="str">
        <f>IF(OR($B105="",AH$7=""),"",IF($B105="MEANS",INDEX('1-DATA'!$1:$1048576,$A104-1,COLUMN('1-DATA'!AG103)),ROUND(INDEX('1-DATA'!$1:$1048576,IF(OR($B105="STD. DEVIATION",$C$1=1),$A105,$A105+1),COLUMN('1-DATA'!AG103)),IF($B105="STD. DEVIATION",2,$F$1))))</f>
        <v/>
      </c>
      <c r="AI105" s="1" t="str">
        <f>IF(OR($B105="",AI$7=""),"",IF($B105="MEANS",INDEX('1-DATA'!$1:$1048576,$A104-1,COLUMN('1-DATA'!AH103)),ROUND(INDEX('1-DATA'!$1:$1048576,IF(OR($B105="STD. DEVIATION",$C$1=1),$A105,$A105+1),COLUMN('1-DATA'!AH103)),IF($B105="STD. DEVIATION",2,$F$1))))</f>
        <v/>
      </c>
      <c r="AJ105" s="1" t="str">
        <f>IF(OR($B105="",AJ$7=""),"",IF($B105="MEANS",INDEX('1-DATA'!$1:$1048576,$A104-1,COLUMN('1-DATA'!AI103)),ROUND(INDEX('1-DATA'!$1:$1048576,IF(OR($B105="STD. DEVIATION",$C$1=1),$A105,$A105+1),COLUMN('1-DATA'!AI103)),IF($B105="STD. DEVIATION",2,$F$1))))</f>
        <v/>
      </c>
      <c r="AK105" s="1" t="str">
        <f>IF(OR($B105="",AK$7=""),"",IF($B105="MEANS",INDEX('1-DATA'!$1:$1048576,$A104-1,COLUMN('1-DATA'!AJ103)),ROUND(INDEX('1-DATA'!$1:$1048576,IF(OR($B105="STD. DEVIATION",$C$1=1),$A105,$A105+1),COLUMN('1-DATA'!AJ103)),IF($B105="STD. DEVIATION",2,$F$1))))</f>
        <v/>
      </c>
      <c r="AL105" s="1" t="str">
        <f>IF(OR($B105="",AL$7=""),"",IF($B105="MEANS",INDEX('1-DATA'!$1:$1048576,$A104-1,COLUMN('1-DATA'!AK103)),ROUND(INDEX('1-DATA'!$1:$1048576,IF(OR($B105="STD. DEVIATION",$C$1=1),$A105,$A105+1),COLUMN('1-DATA'!AK103)),IF($B105="STD. DEVIATION",2,$F$1))))</f>
        <v/>
      </c>
      <c r="AM105" s="1" t="str">
        <f>IF(OR($B105="",AM$7=""),"",IF($B105="MEANS",INDEX('1-DATA'!$1:$1048576,$A104-1,COLUMN('1-DATA'!AL103)),ROUND(INDEX('1-DATA'!$1:$1048576,IF(OR($B105="STD. DEVIATION",$C$1=1),$A105,$A105+1),COLUMN('1-DATA'!AL103)),IF($B105="STD. DEVIATION",2,$F$1))))</f>
        <v/>
      </c>
      <c r="AN105" s="1" t="str">
        <f>IF(OR($B105="",AN$7=""),"",IF($B105="MEANS",INDEX('1-DATA'!$1:$1048576,$A104-1,COLUMN('1-DATA'!AM103)),ROUND(INDEX('1-DATA'!$1:$1048576,IF(OR($B105="STD. DEVIATION",$C$1=1),$A105,$A105+1),COLUMN('1-DATA'!AM103)),IF($B105="STD. DEVIATION",2,$F$1))))</f>
        <v/>
      </c>
      <c r="AO105" s="1" t="str">
        <f>IF(OR($B105="",AO$7=""),"",IF($B105="MEANS",INDEX('1-DATA'!$1:$1048576,$A104-1,COLUMN('1-DATA'!AN103)),ROUND(INDEX('1-DATA'!$1:$1048576,IF(OR($B105="STD. DEVIATION",$C$1=1),$A105,$A105+1),COLUMN('1-DATA'!AN103)),IF($B105="STD. DEVIATION",2,$F$1))))</f>
        <v/>
      </c>
      <c r="AP105" s="1" t="str">
        <f>IF(OR($B105="",AP$7=""),"",IF($B105="MEANS",INDEX('1-DATA'!$1:$1048576,$A104-1,COLUMN('1-DATA'!AO103)),ROUND(INDEX('1-DATA'!$1:$1048576,IF(OR($B105="STD. DEVIATION",$C$1=1),$A105,$A105+1),COLUMN('1-DATA'!AO103)),IF($B105="STD. DEVIATION",2,$F$1))))</f>
        <v/>
      </c>
      <c r="AQ105" s="1" t="str">
        <f>IF(OR($B105="",AQ$7=""),"",IF($B105="MEANS",INDEX('1-DATA'!$1:$1048576,$A104-1,COLUMN('1-DATA'!AP103)),ROUND(INDEX('1-DATA'!$1:$1048576,IF(OR($B105="STD. DEVIATION",$C$1=1),$A105,$A105+1),COLUMN('1-DATA'!AP103)),IF($B105="STD. DEVIATION",2,$F$1))))</f>
        <v/>
      </c>
      <c r="AR105" s="1" t="str">
        <f>IF(OR($B105="",AR$7=""),"",IF($B105="MEANS",INDEX('1-DATA'!$1:$1048576,$A104-1,COLUMN('1-DATA'!AQ103)),ROUND(INDEX('1-DATA'!$1:$1048576,IF(OR($B105="STD. DEVIATION",$C$1=1),$A105,$A105+1),COLUMN('1-DATA'!AQ103)),IF($B105="STD. DEVIATION",2,$F$1))))</f>
        <v/>
      </c>
      <c r="AS105" s="1" t="str">
        <f>IF(OR($B105="",AS$7=""),"",IF($B105="MEANS",INDEX('1-DATA'!$1:$1048576,$A104-1,COLUMN('1-DATA'!AR103)),ROUND(INDEX('1-DATA'!$1:$1048576,IF(OR($B105="STD. DEVIATION",$C$1=1),$A105,$A105+1),COLUMN('1-DATA'!AR103)),IF($B105="STD. DEVIATION",2,$F$1))))</f>
        <v/>
      </c>
      <c r="AT105" s="1" t="str">
        <f>IF(OR($B105="",AT$7=""),"",IF($B105="MEANS",INDEX('1-DATA'!$1:$1048576,$A104-1,COLUMN('1-DATA'!AS103)),ROUND(INDEX('1-DATA'!$1:$1048576,IF(OR($B105="STD. DEVIATION",$C$1=1),$A105,$A105+1),COLUMN('1-DATA'!AS103)),IF($B105="STD. DEVIATION",2,$F$1))))</f>
        <v/>
      </c>
      <c r="AU105" s="1" t="str">
        <f>IF(OR($B105="",AU$7=""),"",IF($B105="MEANS",INDEX('1-DATA'!$1:$1048576,$A104-1,COLUMN('1-DATA'!AT103)),ROUND(INDEX('1-DATA'!$1:$1048576,IF(OR($B105="STD. DEVIATION",$C$1=1),$A105,$A105+1),COLUMN('1-DATA'!AT103)),IF($B105="STD. DEVIATION",2,$F$1))))</f>
        <v/>
      </c>
      <c r="AV105" s="1" t="str">
        <f>IF(OR($B105="",AV$7=""),"",IF($B105="MEANS",INDEX('1-DATA'!$1:$1048576,$A104-1,COLUMN('1-DATA'!AU103)),ROUND(INDEX('1-DATA'!$1:$1048576,IF(OR($B105="STD. DEVIATION",$C$1=1),$A105,$A105+1),COLUMN('1-DATA'!AU103)),IF($B105="STD. DEVIATION",2,$F$1))))</f>
        <v/>
      </c>
      <c r="AW105" s="1" t="str">
        <f>IF(OR($B105="",AW$7=""),"",IF($B105="MEANS",INDEX('1-DATA'!$1:$1048576,$A104-1,COLUMN('1-DATA'!AV103)),ROUND(INDEX('1-DATA'!$1:$1048576,IF(OR($B105="STD. DEVIATION",$C$1=1),$A105,$A105+1),COLUMN('1-DATA'!AV103)),IF($B105="STD. DEVIATION",2,$F$1))))</f>
        <v/>
      </c>
      <c r="AX105" s="1" t="str">
        <f>IF(OR($B105="",AX$7=""),"",IF($B105="MEANS",INDEX('1-DATA'!$1:$1048576,$A104-1,COLUMN('1-DATA'!AW103)),ROUND(INDEX('1-DATA'!$1:$1048576,IF(OR($B105="STD. DEVIATION",$C$1=1),$A105,$A105+1),COLUMN('1-DATA'!AW103)),IF($B105="STD. DEVIATION",2,$F$1))))</f>
        <v/>
      </c>
      <c r="AY105" s="1" t="str">
        <f>IF(OR($B105="",AY$7=""),"",IF($B105="MEANS",INDEX('1-DATA'!$1:$1048576,$A104-1,COLUMN('1-DATA'!AX103)),ROUND(INDEX('1-DATA'!$1:$1048576,IF(OR($B105="STD. DEVIATION",$C$1=1),$A105,$A105+1),COLUMN('1-DATA'!AX103)),IF($B105="STD. DEVIATION",2,$F$1))))</f>
        <v/>
      </c>
      <c r="AZ105" s="1" t="str">
        <f>IF(OR($B105="",AZ$7=""),"",IF($B105="MEANS",INDEX('1-DATA'!$1:$1048576,$A104-1,COLUMN('1-DATA'!AY103)),ROUND(INDEX('1-DATA'!$1:$1048576,IF(OR($B105="STD. DEVIATION",$C$1=1),$A105,$A105+1),COLUMN('1-DATA'!AY103)),IF($B105="STD. DEVIATION",2,$F$1))))</f>
        <v/>
      </c>
    </row>
    <row r="106" spans="1:52" x14ac:dyDescent="0.25">
      <c r="A106" s="11">
        <f t="shared" si="2"/>
        <v>304</v>
      </c>
      <c r="B106" s="1" t="str">
        <f>IF(B105="STD. DEVIATION",INDEX('1-DATA'!$1:$1048576,$A105-1,1),IF(INDEX('1-DATA'!$1:$1048576,$A106,1)&lt;&gt;"",INDEX('1-DATA'!$1:$1048576,$A106,1),""))</f>
        <v/>
      </c>
      <c r="C106" s="1" t="str">
        <f>IF(OR($B106="",C$7=""),"",IF($B106="MEANS",INDEX('1-DATA'!$1:$1048576,$A105-1,COLUMN('1-DATA'!B104)),ROUND(INDEX('1-DATA'!$1:$1048576,IF(OR($B106="STD. DEVIATION",$C$1=1),$A106,$A106+1),COLUMN('1-DATA'!B104)),IF($B106="STD. DEVIATION",2,$F$1))))</f>
        <v/>
      </c>
      <c r="D106" s="1" t="str">
        <f>IF(OR($B106="",D$7=""),"",IF($B106="MEANS",INDEX('1-DATA'!$1:$1048576,$A105-1,COLUMN('1-DATA'!C104)),ROUND(INDEX('1-DATA'!$1:$1048576,IF(OR($B106="STD. DEVIATION",$C$1=1),$A106,$A106+1),COLUMN('1-DATA'!C104)),IF($B106="STD. DEVIATION",2,$F$1))))</f>
        <v/>
      </c>
      <c r="E106" s="1" t="str">
        <f>IF(OR($B106="",E$7=""),"",IF($B106="MEANS",INDEX('1-DATA'!$1:$1048576,$A105-1,COLUMN('1-DATA'!D104)),ROUND(INDEX('1-DATA'!$1:$1048576,IF(OR($B106="STD. DEVIATION",$C$1=1),$A106,$A106+1),COLUMN('1-DATA'!D104)),IF($B106="STD. DEVIATION",2,$F$1))))</f>
        <v/>
      </c>
      <c r="F106" s="1" t="str">
        <f>IF(OR($B106="",F$7=""),"",IF($B106="MEANS",INDEX('1-DATA'!$1:$1048576,$A105-1,COLUMN('1-DATA'!E104)),ROUND(INDEX('1-DATA'!$1:$1048576,IF(OR($B106="STD. DEVIATION",$C$1=1),$A106,$A106+1),COLUMN('1-DATA'!E104)),IF($B106="STD. DEVIATION",2,$F$1))))</f>
        <v/>
      </c>
      <c r="G106" s="1" t="str">
        <f>IF(OR($B106="",G$7=""),"",IF($B106="MEANS",INDEX('1-DATA'!$1:$1048576,$A105-1,COLUMN('1-DATA'!F104)),ROUND(INDEX('1-DATA'!$1:$1048576,IF(OR($B106="STD. DEVIATION",$C$1=1),$A106,$A106+1),COLUMN('1-DATA'!F104)),IF($B106="STD. DEVIATION",2,$F$1))))</f>
        <v/>
      </c>
      <c r="H106" s="1" t="str">
        <f>IF(OR($B106="",H$7=""),"",IF($B106="MEANS",INDEX('1-DATA'!$1:$1048576,$A105-1,COLUMN('1-DATA'!G104)),ROUND(INDEX('1-DATA'!$1:$1048576,IF(OR($B106="STD. DEVIATION",$C$1=1),$A106,$A106+1),COLUMN('1-DATA'!G104)),IF($B106="STD. DEVIATION",2,$F$1))))</f>
        <v/>
      </c>
      <c r="I106" s="1" t="str">
        <f>IF(OR($B106="",I$7=""),"",IF($B106="MEANS",INDEX('1-DATA'!$1:$1048576,$A105-1,COLUMN('1-DATA'!H104)),ROUND(INDEX('1-DATA'!$1:$1048576,IF(OR($B106="STD. DEVIATION",$C$1=1),$A106,$A106+1),COLUMN('1-DATA'!H104)),IF($B106="STD. DEVIATION",2,$F$1))))</f>
        <v/>
      </c>
      <c r="J106" s="1" t="str">
        <f>IF(OR($B106="",J$7=""),"",IF($B106="MEANS",INDEX('1-DATA'!$1:$1048576,$A105-1,COLUMN('1-DATA'!I104)),ROUND(INDEX('1-DATA'!$1:$1048576,IF(OR($B106="STD. DEVIATION",$C$1=1),$A106,$A106+1),COLUMN('1-DATA'!I104)),IF($B106="STD. DEVIATION",2,$F$1))))</f>
        <v/>
      </c>
      <c r="K106" s="1" t="str">
        <f>IF(OR($B106="",K$7=""),"",IF($B106="MEANS",INDEX('1-DATA'!$1:$1048576,$A105-1,COLUMN('1-DATA'!J104)),ROUND(INDEX('1-DATA'!$1:$1048576,IF(OR($B106="STD. DEVIATION",$C$1=1),$A106,$A106+1),COLUMN('1-DATA'!J104)),IF($B106="STD. DEVIATION",2,$F$1))))</f>
        <v/>
      </c>
      <c r="L106" s="1" t="str">
        <f>IF(OR($B106="",L$7=""),"",IF($B106="MEANS",INDEX('1-DATA'!$1:$1048576,$A105-1,COLUMN('1-DATA'!K104)),ROUND(INDEX('1-DATA'!$1:$1048576,IF(OR($B106="STD. DEVIATION",$C$1=1),$A106,$A106+1),COLUMN('1-DATA'!K104)),IF($B106="STD. DEVIATION",2,$F$1))))</f>
        <v/>
      </c>
      <c r="M106" s="1" t="str">
        <f>IF(OR($B106="",M$7=""),"",IF($B106="MEANS",INDEX('1-DATA'!$1:$1048576,$A105-1,COLUMN('1-DATA'!L104)),ROUND(INDEX('1-DATA'!$1:$1048576,IF(OR($B106="STD. DEVIATION",$C$1=1),$A106,$A106+1),COLUMN('1-DATA'!L104)),IF($B106="STD. DEVIATION",2,$F$1))))</f>
        <v/>
      </c>
      <c r="N106" s="1" t="str">
        <f>IF(OR($B106="",N$7=""),"",IF($B106="MEANS",INDEX('1-DATA'!$1:$1048576,$A105-1,COLUMN('1-DATA'!M104)),ROUND(INDEX('1-DATA'!$1:$1048576,IF(OR($B106="STD. DEVIATION",$C$1=1),$A106,$A106+1),COLUMN('1-DATA'!M104)),IF($B106="STD. DEVIATION",2,$F$1))))</f>
        <v/>
      </c>
      <c r="O106" s="1" t="str">
        <f>IF(OR($B106="",O$7=""),"",IF($B106="MEANS",INDEX('1-DATA'!$1:$1048576,$A105-1,COLUMN('1-DATA'!N104)),ROUND(INDEX('1-DATA'!$1:$1048576,IF(OR($B106="STD. DEVIATION",$C$1=1),$A106,$A106+1),COLUMN('1-DATA'!N104)),IF($B106="STD. DEVIATION",2,$F$1))))</f>
        <v/>
      </c>
      <c r="P106" s="1" t="str">
        <f>IF(OR($B106="",P$7=""),"",IF($B106="MEANS",INDEX('1-DATA'!$1:$1048576,$A105-1,COLUMN('1-DATA'!O104)),ROUND(INDEX('1-DATA'!$1:$1048576,IF(OR($B106="STD. DEVIATION",$C$1=1),$A106,$A106+1),COLUMN('1-DATA'!O104)),IF($B106="STD. DEVIATION",2,$F$1))))</f>
        <v/>
      </c>
      <c r="Q106" s="1" t="str">
        <f>IF(OR($B106="",Q$7=""),"",IF($B106="MEANS",INDEX('1-DATA'!$1:$1048576,$A105-1,COLUMN('1-DATA'!P104)),ROUND(INDEX('1-DATA'!$1:$1048576,IF(OR($B106="STD. DEVIATION",$C$1=1),$A106,$A106+1),COLUMN('1-DATA'!P104)),IF($B106="STD. DEVIATION",2,$F$1))))</f>
        <v/>
      </c>
      <c r="R106" s="1" t="str">
        <f>IF(OR($B106="",R$7=""),"",IF($B106="MEANS",INDEX('1-DATA'!$1:$1048576,$A105-1,COLUMN('1-DATA'!Q104)),ROUND(INDEX('1-DATA'!$1:$1048576,IF(OR($B106="STD. DEVIATION",$C$1=1),$A106,$A106+1),COLUMN('1-DATA'!Q104)),IF($B106="STD. DEVIATION",2,$F$1))))</f>
        <v/>
      </c>
      <c r="S106" s="1" t="str">
        <f>IF(OR($B106="",S$7=""),"",IF($B106="MEANS",INDEX('1-DATA'!$1:$1048576,$A105-1,COLUMN('1-DATA'!R104)),ROUND(INDEX('1-DATA'!$1:$1048576,IF(OR($B106="STD. DEVIATION",$C$1=1),$A106,$A106+1),COLUMN('1-DATA'!R104)),IF($B106="STD. DEVIATION",2,$F$1))))</f>
        <v/>
      </c>
      <c r="T106" s="1" t="str">
        <f>IF(OR($B106="",T$7=""),"",IF($B106="MEANS",INDEX('1-DATA'!$1:$1048576,$A105-1,COLUMN('1-DATA'!S104)),ROUND(INDEX('1-DATA'!$1:$1048576,IF(OR($B106="STD. DEVIATION",$C$1=1),$A106,$A106+1),COLUMN('1-DATA'!S104)),IF($B106="STD. DEVIATION",2,$F$1))))</f>
        <v/>
      </c>
      <c r="U106" s="1" t="str">
        <f>IF(OR($B106="",U$7=""),"",IF($B106="MEANS",INDEX('1-DATA'!$1:$1048576,$A105-1,COLUMN('1-DATA'!T104)),ROUND(INDEX('1-DATA'!$1:$1048576,IF(OR($B106="STD. DEVIATION",$C$1=1),$A106,$A106+1),COLUMN('1-DATA'!T104)),IF($B106="STD. DEVIATION",2,$F$1))))</f>
        <v/>
      </c>
      <c r="V106" s="1" t="str">
        <f>IF(OR($B106="",V$7=""),"",IF($B106="MEANS",INDEX('1-DATA'!$1:$1048576,$A105-1,COLUMN('1-DATA'!U104)),ROUND(INDEX('1-DATA'!$1:$1048576,IF(OR($B106="STD. DEVIATION",$C$1=1),$A106,$A106+1),COLUMN('1-DATA'!U104)),IF($B106="STD. DEVIATION",2,$F$1))))</f>
        <v/>
      </c>
      <c r="W106" s="1" t="str">
        <f>IF(OR($B106="",W$7=""),"",IF($B106="MEANS",INDEX('1-DATA'!$1:$1048576,$A105-1,COLUMN('1-DATA'!V104)),ROUND(INDEX('1-DATA'!$1:$1048576,IF(OR($B106="STD. DEVIATION",$C$1=1),$A106,$A106+1),COLUMN('1-DATA'!V104)),IF($B106="STD. DEVIATION",2,$F$1))))</f>
        <v/>
      </c>
      <c r="X106" s="1" t="str">
        <f>IF(OR($B106="",X$7=""),"",IF($B106="MEANS",INDEX('1-DATA'!$1:$1048576,$A105-1,COLUMN('1-DATA'!W104)),ROUND(INDEX('1-DATA'!$1:$1048576,IF(OR($B106="STD. DEVIATION",$C$1=1),$A106,$A106+1),COLUMN('1-DATA'!W104)),IF($B106="STD. DEVIATION",2,$F$1))))</f>
        <v/>
      </c>
      <c r="Y106" s="1" t="str">
        <f>IF(OR($B106="",Y$7=""),"",IF($B106="MEANS",INDEX('1-DATA'!$1:$1048576,$A105-1,COLUMN('1-DATA'!X104)),ROUND(INDEX('1-DATA'!$1:$1048576,IF(OR($B106="STD. DEVIATION",$C$1=1),$A106,$A106+1),COLUMN('1-DATA'!X104)),IF($B106="STD. DEVIATION",2,$F$1))))</f>
        <v/>
      </c>
      <c r="Z106" s="1" t="str">
        <f>IF(OR($B106="",Z$7=""),"",IF($B106="MEANS",INDEX('1-DATA'!$1:$1048576,$A105-1,COLUMN('1-DATA'!Y104)),ROUND(INDEX('1-DATA'!$1:$1048576,IF(OR($B106="STD. DEVIATION",$C$1=1),$A106,$A106+1),COLUMN('1-DATA'!Y104)),IF($B106="STD. DEVIATION",2,$F$1))))</f>
        <v/>
      </c>
      <c r="AA106" s="1" t="str">
        <f>IF(OR($B106="",AA$7=""),"",IF($B106="MEANS",INDEX('1-DATA'!$1:$1048576,$A105-1,COLUMN('1-DATA'!Z104)),ROUND(INDEX('1-DATA'!$1:$1048576,IF(OR($B106="STD. DEVIATION",$C$1=1),$A106,$A106+1),COLUMN('1-DATA'!Z104)),IF($B106="STD. DEVIATION",2,$F$1))))</f>
        <v/>
      </c>
      <c r="AB106" s="1" t="str">
        <f>IF(OR($B106="",AB$7=""),"",IF($B106="MEANS",INDEX('1-DATA'!$1:$1048576,$A105-1,COLUMN('1-DATA'!AA104)),ROUND(INDEX('1-DATA'!$1:$1048576,IF(OR($B106="STD. DEVIATION",$C$1=1),$A106,$A106+1),COLUMN('1-DATA'!AA104)),IF($B106="STD. DEVIATION",2,$F$1))))</f>
        <v/>
      </c>
      <c r="AC106" s="1" t="str">
        <f>IF(OR($B106="",AC$7=""),"",IF($B106="MEANS",INDEX('1-DATA'!$1:$1048576,$A105-1,COLUMN('1-DATA'!AB104)),ROUND(INDEX('1-DATA'!$1:$1048576,IF(OR($B106="STD. DEVIATION",$C$1=1),$A106,$A106+1),COLUMN('1-DATA'!AB104)),IF($B106="STD. DEVIATION",2,$F$1))))</f>
        <v/>
      </c>
      <c r="AD106" s="1" t="str">
        <f>IF(OR($B106="",AD$7=""),"",IF($B106="MEANS",INDEX('1-DATA'!$1:$1048576,$A105-1,COLUMN('1-DATA'!AC104)),ROUND(INDEX('1-DATA'!$1:$1048576,IF(OR($B106="STD. DEVIATION",$C$1=1),$A106,$A106+1),COLUMN('1-DATA'!AC104)),IF($B106="STD. DEVIATION",2,$F$1))))</f>
        <v/>
      </c>
      <c r="AE106" s="1" t="str">
        <f>IF(OR($B106="",AE$7=""),"",IF($B106="MEANS",INDEX('1-DATA'!$1:$1048576,$A105-1,COLUMN('1-DATA'!AD104)),ROUND(INDEX('1-DATA'!$1:$1048576,IF(OR($B106="STD. DEVIATION",$C$1=1),$A106,$A106+1),COLUMN('1-DATA'!AD104)),IF($B106="STD. DEVIATION",2,$F$1))))</f>
        <v/>
      </c>
      <c r="AF106" s="1" t="str">
        <f>IF(OR($B106="",AF$7=""),"",IF($B106="MEANS",INDEX('1-DATA'!$1:$1048576,$A105-1,COLUMN('1-DATA'!AE104)),ROUND(INDEX('1-DATA'!$1:$1048576,IF(OR($B106="STD. DEVIATION",$C$1=1),$A106,$A106+1),COLUMN('1-DATA'!AE104)),IF($B106="STD. DEVIATION",2,$F$1))))</f>
        <v/>
      </c>
      <c r="AG106" s="1" t="str">
        <f>IF(OR($B106="",AG$7=""),"",IF($B106="MEANS",INDEX('1-DATA'!$1:$1048576,$A105-1,COLUMN('1-DATA'!AF104)),ROUND(INDEX('1-DATA'!$1:$1048576,IF(OR($B106="STD. DEVIATION",$C$1=1),$A106,$A106+1),COLUMN('1-DATA'!AF104)),IF($B106="STD. DEVIATION",2,$F$1))))</f>
        <v/>
      </c>
      <c r="AH106" s="1" t="str">
        <f>IF(OR($B106="",AH$7=""),"",IF($B106="MEANS",INDEX('1-DATA'!$1:$1048576,$A105-1,COLUMN('1-DATA'!AG104)),ROUND(INDEX('1-DATA'!$1:$1048576,IF(OR($B106="STD. DEVIATION",$C$1=1),$A106,$A106+1),COLUMN('1-DATA'!AG104)),IF($B106="STD. DEVIATION",2,$F$1))))</f>
        <v/>
      </c>
      <c r="AI106" s="1" t="str">
        <f>IF(OR($B106="",AI$7=""),"",IF($B106="MEANS",INDEX('1-DATA'!$1:$1048576,$A105-1,COLUMN('1-DATA'!AH104)),ROUND(INDEX('1-DATA'!$1:$1048576,IF(OR($B106="STD. DEVIATION",$C$1=1),$A106,$A106+1),COLUMN('1-DATA'!AH104)),IF($B106="STD. DEVIATION",2,$F$1))))</f>
        <v/>
      </c>
      <c r="AJ106" s="1" t="str">
        <f>IF(OR($B106="",AJ$7=""),"",IF($B106="MEANS",INDEX('1-DATA'!$1:$1048576,$A105-1,COLUMN('1-DATA'!AI104)),ROUND(INDEX('1-DATA'!$1:$1048576,IF(OR($B106="STD. DEVIATION",$C$1=1),$A106,$A106+1),COLUMN('1-DATA'!AI104)),IF($B106="STD. DEVIATION",2,$F$1))))</f>
        <v/>
      </c>
      <c r="AK106" s="1" t="str">
        <f>IF(OR($B106="",AK$7=""),"",IF($B106="MEANS",INDEX('1-DATA'!$1:$1048576,$A105-1,COLUMN('1-DATA'!AJ104)),ROUND(INDEX('1-DATA'!$1:$1048576,IF(OR($B106="STD. DEVIATION",$C$1=1),$A106,$A106+1),COLUMN('1-DATA'!AJ104)),IF($B106="STD. DEVIATION",2,$F$1))))</f>
        <v/>
      </c>
      <c r="AL106" s="1" t="str">
        <f>IF(OR($B106="",AL$7=""),"",IF($B106="MEANS",INDEX('1-DATA'!$1:$1048576,$A105-1,COLUMN('1-DATA'!AK104)),ROUND(INDEX('1-DATA'!$1:$1048576,IF(OR($B106="STD. DEVIATION",$C$1=1),$A106,$A106+1),COLUMN('1-DATA'!AK104)),IF($B106="STD. DEVIATION",2,$F$1))))</f>
        <v/>
      </c>
      <c r="AM106" s="1" t="str">
        <f>IF(OR($B106="",AM$7=""),"",IF($B106="MEANS",INDEX('1-DATA'!$1:$1048576,$A105-1,COLUMN('1-DATA'!AL104)),ROUND(INDEX('1-DATA'!$1:$1048576,IF(OR($B106="STD. DEVIATION",$C$1=1),$A106,$A106+1),COLUMN('1-DATA'!AL104)),IF($B106="STD. DEVIATION",2,$F$1))))</f>
        <v/>
      </c>
      <c r="AN106" s="1" t="str">
        <f>IF(OR($B106="",AN$7=""),"",IF($B106="MEANS",INDEX('1-DATA'!$1:$1048576,$A105-1,COLUMN('1-DATA'!AM104)),ROUND(INDEX('1-DATA'!$1:$1048576,IF(OR($B106="STD. DEVIATION",$C$1=1),$A106,$A106+1),COLUMN('1-DATA'!AM104)),IF($B106="STD. DEVIATION",2,$F$1))))</f>
        <v/>
      </c>
      <c r="AO106" s="1" t="str">
        <f>IF(OR($B106="",AO$7=""),"",IF($B106="MEANS",INDEX('1-DATA'!$1:$1048576,$A105-1,COLUMN('1-DATA'!AN104)),ROUND(INDEX('1-DATA'!$1:$1048576,IF(OR($B106="STD. DEVIATION",$C$1=1),$A106,$A106+1),COLUMN('1-DATA'!AN104)),IF($B106="STD. DEVIATION",2,$F$1))))</f>
        <v/>
      </c>
      <c r="AP106" s="1" t="str">
        <f>IF(OR($B106="",AP$7=""),"",IF($B106="MEANS",INDEX('1-DATA'!$1:$1048576,$A105-1,COLUMN('1-DATA'!AO104)),ROUND(INDEX('1-DATA'!$1:$1048576,IF(OR($B106="STD. DEVIATION",$C$1=1),$A106,$A106+1),COLUMN('1-DATA'!AO104)),IF($B106="STD. DEVIATION",2,$F$1))))</f>
        <v/>
      </c>
      <c r="AQ106" s="1" t="str">
        <f>IF(OR($B106="",AQ$7=""),"",IF($B106="MEANS",INDEX('1-DATA'!$1:$1048576,$A105-1,COLUMN('1-DATA'!AP104)),ROUND(INDEX('1-DATA'!$1:$1048576,IF(OR($B106="STD. DEVIATION",$C$1=1),$A106,$A106+1),COLUMN('1-DATA'!AP104)),IF($B106="STD. DEVIATION",2,$F$1))))</f>
        <v/>
      </c>
      <c r="AR106" s="1" t="str">
        <f>IF(OR($B106="",AR$7=""),"",IF($B106="MEANS",INDEX('1-DATA'!$1:$1048576,$A105-1,COLUMN('1-DATA'!AQ104)),ROUND(INDEX('1-DATA'!$1:$1048576,IF(OR($B106="STD. DEVIATION",$C$1=1),$A106,$A106+1),COLUMN('1-DATA'!AQ104)),IF($B106="STD. DEVIATION",2,$F$1))))</f>
        <v/>
      </c>
      <c r="AS106" s="1" t="str">
        <f>IF(OR($B106="",AS$7=""),"",IF($B106="MEANS",INDEX('1-DATA'!$1:$1048576,$A105-1,COLUMN('1-DATA'!AR104)),ROUND(INDEX('1-DATA'!$1:$1048576,IF(OR($B106="STD. DEVIATION",$C$1=1),$A106,$A106+1),COLUMN('1-DATA'!AR104)),IF($B106="STD. DEVIATION",2,$F$1))))</f>
        <v/>
      </c>
      <c r="AT106" s="1" t="str">
        <f>IF(OR($B106="",AT$7=""),"",IF($B106="MEANS",INDEX('1-DATA'!$1:$1048576,$A105-1,COLUMN('1-DATA'!AS104)),ROUND(INDEX('1-DATA'!$1:$1048576,IF(OR($B106="STD. DEVIATION",$C$1=1),$A106,$A106+1),COLUMN('1-DATA'!AS104)),IF($B106="STD. DEVIATION",2,$F$1))))</f>
        <v/>
      </c>
      <c r="AU106" s="1" t="str">
        <f>IF(OR($B106="",AU$7=""),"",IF($B106="MEANS",INDEX('1-DATA'!$1:$1048576,$A105-1,COLUMN('1-DATA'!AT104)),ROUND(INDEX('1-DATA'!$1:$1048576,IF(OR($B106="STD. DEVIATION",$C$1=1),$A106,$A106+1),COLUMN('1-DATA'!AT104)),IF($B106="STD. DEVIATION",2,$F$1))))</f>
        <v/>
      </c>
      <c r="AV106" s="1" t="str">
        <f>IF(OR($B106="",AV$7=""),"",IF($B106="MEANS",INDEX('1-DATA'!$1:$1048576,$A105-1,COLUMN('1-DATA'!AU104)),ROUND(INDEX('1-DATA'!$1:$1048576,IF(OR($B106="STD. DEVIATION",$C$1=1),$A106,$A106+1),COLUMN('1-DATA'!AU104)),IF($B106="STD. DEVIATION",2,$F$1))))</f>
        <v/>
      </c>
      <c r="AW106" s="1" t="str">
        <f>IF(OR($B106="",AW$7=""),"",IF($B106="MEANS",INDEX('1-DATA'!$1:$1048576,$A105-1,COLUMN('1-DATA'!AV104)),ROUND(INDEX('1-DATA'!$1:$1048576,IF(OR($B106="STD. DEVIATION",$C$1=1),$A106,$A106+1),COLUMN('1-DATA'!AV104)),IF($B106="STD. DEVIATION",2,$F$1))))</f>
        <v/>
      </c>
      <c r="AX106" s="1" t="str">
        <f>IF(OR($B106="",AX$7=""),"",IF($B106="MEANS",INDEX('1-DATA'!$1:$1048576,$A105-1,COLUMN('1-DATA'!AW104)),ROUND(INDEX('1-DATA'!$1:$1048576,IF(OR($B106="STD. DEVIATION",$C$1=1),$A106,$A106+1),COLUMN('1-DATA'!AW104)),IF($B106="STD. DEVIATION",2,$F$1))))</f>
        <v/>
      </c>
      <c r="AY106" s="1" t="str">
        <f>IF(OR($B106="",AY$7=""),"",IF($B106="MEANS",INDEX('1-DATA'!$1:$1048576,$A105-1,COLUMN('1-DATA'!AX104)),ROUND(INDEX('1-DATA'!$1:$1048576,IF(OR($B106="STD. DEVIATION",$C$1=1),$A106,$A106+1),COLUMN('1-DATA'!AX104)),IF($B106="STD. DEVIATION",2,$F$1))))</f>
        <v/>
      </c>
      <c r="AZ106" s="1" t="str">
        <f>IF(OR($B106="",AZ$7=""),"",IF($B106="MEANS",INDEX('1-DATA'!$1:$1048576,$A105-1,COLUMN('1-DATA'!AY104)),ROUND(INDEX('1-DATA'!$1:$1048576,IF(OR($B106="STD. DEVIATION",$C$1=1),$A106,$A106+1),COLUMN('1-DATA'!AY104)),IF($B106="STD. DEVIATION",2,$F$1))))</f>
        <v/>
      </c>
    </row>
    <row r="107" spans="1:52" x14ac:dyDescent="0.25">
      <c r="A107" s="11">
        <f t="shared" si="2"/>
        <v>307</v>
      </c>
      <c r="B107" s="1" t="str">
        <f>IF(B106="STD. DEVIATION",INDEX('1-DATA'!$1:$1048576,$A106-1,1),IF(INDEX('1-DATA'!$1:$1048576,$A107,1)&lt;&gt;"",INDEX('1-DATA'!$1:$1048576,$A107,1),""))</f>
        <v/>
      </c>
      <c r="C107" s="1" t="str">
        <f>IF(OR($B107="",C$7=""),"",IF($B107="MEANS",INDEX('1-DATA'!$1:$1048576,$A106-1,COLUMN('1-DATA'!B105)),ROUND(INDEX('1-DATA'!$1:$1048576,IF(OR($B107="STD. DEVIATION",$C$1=1),$A107,$A107+1),COLUMN('1-DATA'!B105)),IF($B107="STD. DEVIATION",2,$F$1))))</f>
        <v/>
      </c>
      <c r="D107" s="1" t="str">
        <f>IF(OR($B107="",D$7=""),"",IF($B107="MEANS",INDEX('1-DATA'!$1:$1048576,$A106-1,COLUMN('1-DATA'!C105)),ROUND(INDEX('1-DATA'!$1:$1048576,IF(OR($B107="STD. DEVIATION",$C$1=1),$A107,$A107+1),COLUMN('1-DATA'!C105)),IF($B107="STD. DEVIATION",2,$F$1))))</f>
        <v/>
      </c>
      <c r="E107" s="1" t="str">
        <f>IF(OR($B107="",E$7=""),"",IF($B107="MEANS",INDEX('1-DATA'!$1:$1048576,$A106-1,COLUMN('1-DATA'!D105)),ROUND(INDEX('1-DATA'!$1:$1048576,IF(OR($B107="STD. DEVIATION",$C$1=1),$A107,$A107+1),COLUMN('1-DATA'!D105)),IF($B107="STD. DEVIATION",2,$F$1))))</f>
        <v/>
      </c>
      <c r="F107" s="1" t="str">
        <f>IF(OR($B107="",F$7=""),"",IF($B107="MEANS",INDEX('1-DATA'!$1:$1048576,$A106-1,COLUMN('1-DATA'!E105)),ROUND(INDEX('1-DATA'!$1:$1048576,IF(OR($B107="STD. DEVIATION",$C$1=1),$A107,$A107+1),COLUMN('1-DATA'!E105)),IF($B107="STD. DEVIATION",2,$F$1))))</f>
        <v/>
      </c>
      <c r="G107" s="1" t="str">
        <f>IF(OR($B107="",G$7=""),"",IF($B107="MEANS",INDEX('1-DATA'!$1:$1048576,$A106-1,COLUMN('1-DATA'!F105)),ROUND(INDEX('1-DATA'!$1:$1048576,IF(OR($B107="STD. DEVIATION",$C$1=1),$A107,$A107+1),COLUMN('1-DATA'!F105)),IF($B107="STD. DEVIATION",2,$F$1))))</f>
        <v/>
      </c>
      <c r="H107" s="1" t="str">
        <f>IF(OR($B107="",H$7=""),"",IF($B107="MEANS",INDEX('1-DATA'!$1:$1048576,$A106-1,COLUMN('1-DATA'!G105)),ROUND(INDEX('1-DATA'!$1:$1048576,IF(OR($B107="STD. DEVIATION",$C$1=1),$A107,$A107+1),COLUMN('1-DATA'!G105)),IF($B107="STD. DEVIATION",2,$F$1))))</f>
        <v/>
      </c>
      <c r="I107" s="1" t="str">
        <f>IF(OR($B107="",I$7=""),"",IF($B107="MEANS",INDEX('1-DATA'!$1:$1048576,$A106-1,COLUMN('1-DATA'!H105)),ROUND(INDEX('1-DATA'!$1:$1048576,IF(OR($B107="STD. DEVIATION",$C$1=1),$A107,$A107+1),COLUMN('1-DATA'!H105)),IF($B107="STD. DEVIATION",2,$F$1))))</f>
        <v/>
      </c>
      <c r="J107" s="1" t="str">
        <f>IF(OR($B107="",J$7=""),"",IF($B107="MEANS",INDEX('1-DATA'!$1:$1048576,$A106-1,COLUMN('1-DATA'!I105)),ROUND(INDEX('1-DATA'!$1:$1048576,IF(OR($B107="STD. DEVIATION",$C$1=1),$A107,$A107+1),COLUMN('1-DATA'!I105)),IF($B107="STD. DEVIATION",2,$F$1))))</f>
        <v/>
      </c>
      <c r="K107" s="1" t="str">
        <f>IF(OR($B107="",K$7=""),"",IF($B107="MEANS",INDEX('1-DATA'!$1:$1048576,$A106-1,COLUMN('1-DATA'!J105)),ROUND(INDEX('1-DATA'!$1:$1048576,IF(OR($B107="STD. DEVIATION",$C$1=1),$A107,$A107+1),COLUMN('1-DATA'!J105)),IF($B107="STD. DEVIATION",2,$F$1))))</f>
        <v/>
      </c>
      <c r="L107" s="1" t="str">
        <f>IF(OR($B107="",L$7=""),"",IF($B107="MEANS",INDEX('1-DATA'!$1:$1048576,$A106-1,COLUMN('1-DATA'!K105)),ROUND(INDEX('1-DATA'!$1:$1048576,IF(OR($B107="STD. DEVIATION",$C$1=1),$A107,$A107+1),COLUMN('1-DATA'!K105)),IF($B107="STD. DEVIATION",2,$F$1))))</f>
        <v/>
      </c>
      <c r="M107" s="1" t="str">
        <f>IF(OR($B107="",M$7=""),"",IF($B107="MEANS",INDEX('1-DATA'!$1:$1048576,$A106-1,COLUMN('1-DATA'!L105)),ROUND(INDEX('1-DATA'!$1:$1048576,IF(OR($B107="STD. DEVIATION",$C$1=1),$A107,$A107+1),COLUMN('1-DATA'!L105)),IF($B107="STD. DEVIATION",2,$F$1))))</f>
        <v/>
      </c>
      <c r="N107" s="1" t="str">
        <f>IF(OR($B107="",N$7=""),"",IF($B107="MEANS",INDEX('1-DATA'!$1:$1048576,$A106-1,COLUMN('1-DATA'!M105)),ROUND(INDEX('1-DATA'!$1:$1048576,IF(OR($B107="STD. DEVIATION",$C$1=1),$A107,$A107+1),COLUMN('1-DATA'!M105)),IF($B107="STD. DEVIATION",2,$F$1))))</f>
        <v/>
      </c>
      <c r="O107" s="1" t="str">
        <f>IF(OR($B107="",O$7=""),"",IF($B107="MEANS",INDEX('1-DATA'!$1:$1048576,$A106-1,COLUMN('1-DATA'!N105)),ROUND(INDEX('1-DATA'!$1:$1048576,IF(OR($B107="STD. DEVIATION",$C$1=1),$A107,$A107+1),COLUMN('1-DATA'!N105)),IF($B107="STD. DEVIATION",2,$F$1))))</f>
        <v/>
      </c>
      <c r="P107" s="1" t="str">
        <f>IF(OR($B107="",P$7=""),"",IF($B107="MEANS",INDEX('1-DATA'!$1:$1048576,$A106-1,COLUMN('1-DATA'!O105)),ROUND(INDEX('1-DATA'!$1:$1048576,IF(OR($B107="STD. DEVIATION",$C$1=1),$A107,$A107+1),COLUMN('1-DATA'!O105)),IF($B107="STD. DEVIATION",2,$F$1))))</f>
        <v/>
      </c>
      <c r="Q107" s="1" t="str">
        <f>IF(OR($B107="",Q$7=""),"",IF($B107="MEANS",INDEX('1-DATA'!$1:$1048576,$A106-1,COLUMN('1-DATA'!P105)),ROUND(INDEX('1-DATA'!$1:$1048576,IF(OR($B107="STD. DEVIATION",$C$1=1),$A107,$A107+1),COLUMN('1-DATA'!P105)),IF($B107="STD. DEVIATION",2,$F$1))))</f>
        <v/>
      </c>
      <c r="R107" s="1" t="str">
        <f>IF(OR($B107="",R$7=""),"",IF($B107="MEANS",INDEX('1-DATA'!$1:$1048576,$A106-1,COLUMN('1-DATA'!Q105)),ROUND(INDEX('1-DATA'!$1:$1048576,IF(OR($B107="STD. DEVIATION",$C$1=1),$A107,$A107+1),COLUMN('1-DATA'!Q105)),IF($B107="STD. DEVIATION",2,$F$1))))</f>
        <v/>
      </c>
      <c r="S107" s="1" t="str">
        <f>IF(OR($B107="",S$7=""),"",IF($B107="MEANS",INDEX('1-DATA'!$1:$1048576,$A106-1,COLUMN('1-DATA'!R105)),ROUND(INDEX('1-DATA'!$1:$1048576,IF(OR($B107="STD. DEVIATION",$C$1=1),$A107,$A107+1),COLUMN('1-DATA'!R105)),IF($B107="STD. DEVIATION",2,$F$1))))</f>
        <v/>
      </c>
      <c r="T107" s="1" t="str">
        <f>IF(OR($B107="",T$7=""),"",IF($B107="MEANS",INDEX('1-DATA'!$1:$1048576,$A106-1,COLUMN('1-DATA'!S105)),ROUND(INDEX('1-DATA'!$1:$1048576,IF(OR($B107="STD. DEVIATION",$C$1=1),$A107,$A107+1),COLUMN('1-DATA'!S105)),IF($B107="STD. DEVIATION",2,$F$1))))</f>
        <v/>
      </c>
      <c r="U107" s="1" t="str">
        <f>IF(OR($B107="",U$7=""),"",IF($B107="MEANS",INDEX('1-DATA'!$1:$1048576,$A106-1,COLUMN('1-DATA'!T105)),ROUND(INDEX('1-DATA'!$1:$1048576,IF(OR($B107="STD. DEVIATION",$C$1=1),$A107,$A107+1),COLUMN('1-DATA'!T105)),IF($B107="STD. DEVIATION",2,$F$1))))</f>
        <v/>
      </c>
      <c r="V107" s="1" t="str">
        <f>IF(OR($B107="",V$7=""),"",IF($B107="MEANS",INDEX('1-DATA'!$1:$1048576,$A106-1,COLUMN('1-DATA'!U105)),ROUND(INDEX('1-DATA'!$1:$1048576,IF(OR($B107="STD. DEVIATION",$C$1=1),$A107,$A107+1),COLUMN('1-DATA'!U105)),IF($B107="STD. DEVIATION",2,$F$1))))</f>
        <v/>
      </c>
      <c r="W107" s="1" t="str">
        <f>IF(OR($B107="",W$7=""),"",IF($B107="MEANS",INDEX('1-DATA'!$1:$1048576,$A106-1,COLUMN('1-DATA'!V105)),ROUND(INDEX('1-DATA'!$1:$1048576,IF(OR($B107="STD. DEVIATION",$C$1=1),$A107,$A107+1),COLUMN('1-DATA'!V105)),IF($B107="STD. DEVIATION",2,$F$1))))</f>
        <v/>
      </c>
      <c r="X107" s="1" t="str">
        <f>IF(OR($B107="",X$7=""),"",IF($B107="MEANS",INDEX('1-DATA'!$1:$1048576,$A106-1,COLUMN('1-DATA'!W105)),ROUND(INDEX('1-DATA'!$1:$1048576,IF(OR($B107="STD. DEVIATION",$C$1=1),$A107,$A107+1),COLUMN('1-DATA'!W105)),IF($B107="STD. DEVIATION",2,$F$1))))</f>
        <v/>
      </c>
      <c r="Y107" s="1" t="str">
        <f>IF(OR($B107="",Y$7=""),"",IF($B107="MEANS",INDEX('1-DATA'!$1:$1048576,$A106-1,COLUMN('1-DATA'!X105)),ROUND(INDEX('1-DATA'!$1:$1048576,IF(OR($B107="STD. DEVIATION",$C$1=1),$A107,$A107+1),COLUMN('1-DATA'!X105)),IF($B107="STD. DEVIATION",2,$F$1))))</f>
        <v/>
      </c>
      <c r="Z107" s="1" t="str">
        <f>IF(OR($B107="",Z$7=""),"",IF($B107="MEANS",INDEX('1-DATA'!$1:$1048576,$A106-1,COLUMN('1-DATA'!Y105)),ROUND(INDEX('1-DATA'!$1:$1048576,IF(OR($B107="STD. DEVIATION",$C$1=1),$A107,$A107+1),COLUMN('1-DATA'!Y105)),IF($B107="STD. DEVIATION",2,$F$1))))</f>
        <v/>
      </c>
      <c r="AA107" s="1" t="str">
        <f>IF(OR($B107="",AA$7=""),"",IF($B107="MEANS",INDEX('1-DATA'!$1:$1048576,$A106-1,COLUMN('1-DATA'!Z105)),ROUND(INDEX('1-DATA'!$1:$1048576,IF(OR($B107="STD. DEVIATION",$C$1=1),$A107,$A107+1),COLUMN('1-DATA'!Z105)),IF($B107="STD. DEVIATION",2,$F$1))))</f>
        <v/>
      </c>
      <c r="AB107" s="1" t="str">
        <f>IF(OR($B107="",AB$7=""),"",IF($B107="MEANS",INDEX('1-DATA'!$1:$1048576,$A106-1,COLUMN('1-DATA'!AA105)),ROUND(INDEX('1-DATA'!$1:$1048576,IF(OR($B107="STD. DEVIATION",$C$1=1),$A107,$A107+1),COLUMN('1-DATA'!AA105)),IF($B107="STD. DEVIATION",2,$F$1))))</f>
        <v/>
      </c>
      <c r="AC107" s="1" t="str">
        <f>IF(OR($B107="",AC$7=""),"",IF($B107="MEANS",INDEX('1-DATA'!$1:$1048576,$A106-1,COLUMN('1-DATA'!AB105)),ROUND(INDEX('1-DATA'!$1:$1048576,IF(OR($B107="STD. DEVIATION",$C$1=1),$A107,$A107+1),COLUMN('1-DATA'!AB105)),IF($B107="STD. DEVIATION",2,$F$1))))</f>
        <v/>
      </c>
      <c r="AD107" s="1" t="str">
        <f>IF(OR($B107="",AD$7=""),"",IF($B107="MEANS",INDEX('1-DATA'!$1:$1048576,$A106-1,COLUMN('1-DATA'!AC105)),ROUND(INDEX('1-DATA'!$1:$1048576,IF(OR($B107="STD. DEVIATION",$C$1=1),$A107,$A107+1),COLUMN('1-DATA'!AC105)),IF($B107="STD. DEVIATION",2,$F$1))))</f>
        <v/>
      </c>
      <c r="AE107" s="1" t="str">
        <f>IF(OR($B107="",AE$7=""),"",IF($B107="MEANS",INDEX('1-DATA'!$1:$1048576,$A106-1,COLUMN('1-DATA'!AD105)),ROUND(INDEX('1-DATA'!$1:$1048576,IF(OR($B107="STD. DEVIATION",$C$1=1),$A107,$A107+1),COLUMN('1-DATA'!AD105)),IF($B107="STD. DEVIATION",2,$F$1))))</f>
        <v/>
      </c>
      <c r="AF107" s="1" t="str">
        <f>IF(OR($B107="",AF$7=""),"",IF($B107="MEANS",INDEX('1-DATA'!$1:$1048576,$A106-1,COLUMN('1-DATA'!AE105)),ROUND(INDEX('1-DATA'!$1:$1048576,IF(OR($B107="STD. DEVIATION",$C$1=1),$A107,$A107+1),COLUMN('1-DATA'!AE105)),IF($B107="STD. DEVIATION",2,$F$1))))</f>
        <v/>
      </c>
      <c r="AG107" s="1" t="str">
        <f>IF(OR($B107="",AG$7=""),"",IF($B107="MEANS",INDEX('1-DATA'!$1:$1048576,$A106-1,COLUMN('1-DATA'!AF105)),ROUND(INDEX('1-DATA'!$1:$1048576,IF(OR($B107="STD. DEVIATION",$C$1=1),$A107,$A107+1),COLUMN('1-DATA'!AF105)),IF($B107="STD. DEVIATION",2,$F$1))))</f>
        <v/>
      </c>
      <c r="AH107" s="1" t="str">
        <f>IF(OR($B107="",AH$7=""),"",IF($B107="MEANS",INDEX('1-DATA'!$1:$1048576,$A106-1,COLUMN('1-DATA'!AG105)),ROUND(INDEX('1-DATA'!$1:$1048576,IF(OR($B107="STD. DEVIATION",$C$1=1),$A107,$A107+1),COLUMN('1-DATA'!AG105)),IF($B107="STD. DEVIATION",2,$F$1))))</f>
        <v/>
      </c>
      <c r="AI107" s="1" t="str">
        <f>IF(OR($B107="",AI$7=""),"",IF($B107="MEANS",INDEX('1-DATA'!$1:$1048576,$A106-1,COLUMN('1-DATA'!AH105)),ROUND(INDEX('1-DATA'!$1:$1048576,IF(OR($B107="STD. DEVIATION",$C$1=1),$A107,$A107+1),COLUMN('1-DATA'!AH105)),IF($B107="STD. DEVIATION",2,$F$1))))</f>
        <v/>
      </c>
      <c r="AJ107" s="1" t="str">
        <f>IF(OR($B107="",AJ$7=""),"",IF($B107="MEANS",INDEX('1-DATA'!$1:$1048576,$A106-1,COLUMN('1-DATA'!AI105)),ROUND(INDEX('1-DATA'!$1:$1048576,IF(OR($B107="STD. DEVIATION",$C$1=1),$A107,$A107+1),COLUMN('1-DATA'!AI105)),IF($B107="STD. DEVIATION",2,$F$1))))</f>
        <v/>
      </c>
      <c r="AK107" s="1" t="str">
        <f>IF(OR($B107="",AK$7=""),"",IF($B107="MEANS",INDEX('1-DATA'!$1:$1048576,$A106-1,COLUMN('1-DATA'!AJ105)),ROUND(INDEX('1-DATA'!$1:$1048576,IF(OR($B107="STD. DEVIATION",$C$1=1),$A107,$A107+1),COLUMN('1-DATA'!AJ105)),IF($B107="STD. DEVIATION",2,$F$1))))</f>
        <v/>
      </c>
      <c r="AL107" s="1" t="str">
        <f>IF(OR($B107="",AL$7=""),"",IF($B107="MEANS",INDEX('1-DATA'!$1:$1048576,$A106-1,COLUMN('1-DATA'!AK105)),ROUND(INDEX('1-DATA'!$1:$1048576,IF(OR($B107="STD. DEVIATION",$C$1=1),$A107,$A107+1),COLUMN('1-DATA'!AK105)),IF($B107="STD. DEVIATION",2,$F$1))))</f>
        <v/>
      </c>
      <c r="AM107" s="1" t="str">
        <f>IF(OR($B107="",AM$7=""),"",IF($B107="MEANS",INDEX('1-DATA'!$1:$1048576,$A106-1,COLUMN('1-DATA'!AL105)),ROUND(INDEX('1-DATA'!$1:$1048576,IF(OR($B107="STD. DEVIATION",$C$1=1),$A107,$A107+1),COLUMN('1-DATA'!AL105)),IF($B107="STD. DEVIATION",2,$F$1))))</f>
        <v/>
      </c>
      <c r="AN107" s="1" t="str">
        <f>IF(OR($B107="",AN$7=""),"",IF($B107="MEANS",INDEX('1-DATA'!$1:$1048576,$A106-1,COLUMN('1-DATA'!AM105)),ROUND(INDEX('1-DATA'!$1:$1048576,IF(OR($B107="STD. DEVIATION",$C$1=1),$A107,$A107+1),COLUMN('1-DATA'!AM105)),IF($B107="STD. DEVIATION",2,$F$1))))</f>
        <v/>
      </c>
      <c r="AO107" s="1" t="str">
        <f>IF(OR($B107="",AO$7=""),"",IF($B107="MEANS",INDEX('1-DATA'!$1:$1048576,$A106-1,COLUMN('1-DATA'!AN105)),ROUND(INDEX('1-DATA'!$1:$1048576,IF(OR($B107="STD. DEVIATION",$C$1=1),$A107,$A107+1),COLUMN('1-DATA'!AN105)),IF($B107="STD. DEVIATION",2,$F$1))))</f>
        <v/>
      </c>
      <c r="AP107" s="1" t="str">
        <f>IF(OR($B107="",AP$7=""),"",IF($B107="MEANS",INDEX('1-DATA'!$1:$1048576,$A106-1,COLUMN('1-DATA'!AO105)),ROUND(INDEX('1-DATA'!$1:$1048576,IF(OR($B107="STD. DEVIATION",$C$1=1),$A107,$A107+1),COLUMN('1-DATA'!AO105)),IF($B107="STD. DEVIATION",2,$F$1))))</f>
        <v/>
      </c>
      <c r="AQ107" s="1" t="str">
        <f>IF(OR($B107="",AQ$7=""),"",IF($B107="MEANS",INDEX('1-DATA'!$1:$1048576,$A106-1,COLUMN('1-DATA'!AP105)),ROUND(INDEX('1-DATA'!$1:$1048576,IF(OR($B107="STD. DEVIATION",$C$1=1),$A107,$A107+1),COLUMN('1-DATA'!AP105)),IF($B107="STD. DEVIATION",2,$F$1))))</f>
        <v/>
      </c>
      <c r="AR107" s="1" t="str">
        <f>IF(OR($B107="",AR$7=""),"",IF($B107="MEANS",INDEX('1-DATA'!$1:$1048576,$A106-1,COLUMN('1-DATA'!AQ105)),ROUND(INDEX('1-DATA'!$1:$1048576,IF(OR($B107="STD. DEVIATION",$C$1=1),$A107,$A107+1),COLUMN('1-DATA'!AQ105)),IF($B107="STD. DEVIATION",2,$F$1))))</f>
        <v/>
      </c>
      <c r="AS107" s="1" t="str">
        <f>IF(OR($B107="",AS$7=""),"",IF($B107="MEANS",INDEX('1-DATA'!$1:$1048576,$A106-1,COLUMN('1-DATA'!AR105)),ROUND(INDEX('1-DATA'!$1:$1048576,IF(OR($B107="STD. DEVIATION",$C$1=1),$A107,$A107+1),COLUMN('1-DATA'!AR105)),IF($B107="STD. DEVIATION",2,$F$1))))</f>
        <v/>
      </c>
      <c r="AT107" s="1" t="str">
        <f>IF(OR($B107="",AT$7=""),"",IF($B107="MEANS",INDEX('1-DATA'!$1:$1048576,$A106-1,COLUMN('1-DATA'!AS105)),ROUND(INDEX('1-DATA'!$1:$1048576,IF(OR($B107="STD. DEVIATION",$C$1=1),$A107,$A107+1),COLUMN('1-DATA'!AS105)),IF($B107="STD. DEVIATION",2,$F$1))))</f>
        <v/>
      </c>
      <c r="AU107" s="1" t="str">
        <f>IF(OR($B107="",AU$7=""),"",IF($B107="MEANS",INDEX('1-DATA'!$1:$1048576,$A106-1,COLUMN('1-DATA'!AT105)),ROUND(INDEX('1-DATA'!$1:$1048576,IF(OR($B107="STD. DEVIATION",$C$1=1),$A107,$A107+1),COLUMN('1-DATA'!AT105)),IF($B107="STD. DEVIATION",2,$F$1))))</f>
        <v/>
      </c>
      <c r="AV107" s="1" t="str">
        <f>IF(OR($B107="",AV$7=""),"",IF($B107="MEANS",INDEX('1-DATA'!$1:$1048576,$A106-1,COLUMN('1-DATA'!AU105)),ROUND(INDEX('1-DATA'!$1:$1048576,IF(OR($B107="STD. DEVIATION",$C$1=1),$A107,$A107+1),COLUMN('1-DATA'!AU105)),IF($B107="STD. DEVIATION",2,$F$1))))</f>
        <v/>
      </c>
      <c r="AW107" s="1" t="str">
        <f>IF(OR($B107="",AW$7=""),"",IF($B107="MEANS",INDEX('1-DATA'!$1:$1048576,$A106-1,COLUMN('1-DATA'!AV105)),ROUND(INDEX('1-DATA'!$1:$1048576,IF(OR($B107="STD. DEVIATION",$C$1=1),$A107,$A107+1),COLUMN('1-DATA'!AV105)),IF($B107="STD. DEVIATION",2,$F$1))))</f>
        <v/>
      </c>
      <c r="AX107" s="1" t="str">
        <f>IF(OR($B107="",AX$7=""),"",IF($B107="MEANS",INDEX('1-DATA'!$1:$1048576,$A106-1,COLUMN('1-DATA'!AW105)),ROUND(INDEX('1-DATA'!$1:$1048576,IF(OR($B107="STD. DEVIATION",$C$1=1),$A107,$A107+1),COLUMN('1-DATA'!AW105)),IF($B107="STD. DEVIATION",2,$F$1))))</f>
        <v/>
      </c>
      <c r="AY107" s="1" t="str">
        <f>IF(OR($B107="",AY$7=""),"",IF($B107="MEANS",INDEX('1-DATA'!$1:$1048576,$A106-1,COLUMN('1-DATA'!AX105)),ROUND(INDEX('1-DATA'!$1:$1048576,IF(OR($B107="STD. DEVIATION",$C$1=1),$A107,$A107+1),COLUMN('1-DATA'!AX105)),IF($B107="STD. DEVIATION",2,$F$1))))</f>
        <v/>
      </c>
      <c r="AZ107" s="1" t="str">
        <f>IF(OR($B107="",AZ$7=""),"",IF($B107="MEANS",INDEX('1-DATA'!$1:$1048576,$A106-1,COLUMN('1-DATA'!AY105)),ROUND(INDEX('1-DATA'!$1:$1048576,IF(OR($B107="STD. DEVIATION",$C$1=1),$A107,$A107+1),COLUMN('1-DATA'!AY105)),IF($B107="STD. DEVIATION",2,$F$1))))</f>
        <v/>
      </c>
    </row>
    <row r="108" spans="1:52" x14ac:dyDescent="0.25">
      <c r="A108" s="11">
        <f t="shared" si="2"/>
        <v>310</v>
      </c>
      <c r="B108" s="1" t="str">
        <f>IF(B107="STD. DEVIATION",INDEX('1-DATA'!$1:$1048576,$A107-1,1),IF(INDEX('1-DATA'!$1:$1048576,$A108,1)&lt;&gt;"",INDEX('1-DATA'!$1:$1048576,$A108,1),""))</f>
        <v/>
      </c>
      <c r="C108" s="1" t="str">
        <f>IF(OR($B108="",C$7=""),"",IF($B108="MEANS",INDEX('1-DATA'!$1:$1048576,$A107-1,COLUMN('1-DATA'!B106)),ROUND(INDEX('1-DATA'!$1:$1048576,IF(OR($B108="STD. DEVIATION",$C$1=1),$A108,$A108+1),COLUMN('1-DATA'!B106)),IF($B108="STD. DEVIATION",2,$F$1))))</f>
        <v/>
      </c>
      <c r="D108" s="1" t="str">
        <f>IF(OR($B108="",D$7=""),"",IF($B108="MEANS",INDEX('1-DATA'!$1:$1048576,$A107-1,COLUMN('1-DATA'!C106)),ROUND(INDEX('1-DATA'!$1:$1048576,IF(OR($B108="STD. DEVIATION",$C$1=1),$A108,$A108+1),COLUMN('1-DATA'!C106)),IF($B108="STD. DEVIATION",2,$F$1))))</f>
        <v/>
      </c>
      <c r="E108" s="1" t="str">
        <f>IF(OR($B108="",E$7=""),"",IF($B108="MEANS",INDEX('1-DATA'!$1:$1048576,$A107-1,COLUMN('1-DATA'!D106)),ROUND(INDEX('1-DATA'!$1:$1048576,IF(OR($B108="STD. DEVIATION",$C$1=1),$A108,$A108+1),COLUMN('1-DATA'!D106)),IF($B108="STD. DEVIATION",2,$F$1))))</f>
        <v/>
      </c>
      <c r="F108" s="1" t="str">
        <f>IF(OR($B108="",F$7=""),"",IF($B108="MEANS",INDEX('1-DATA'!$1:$1048576,$A107-1,COLUMN('1-DATA'!E106)),ROUND(INDEX('1-DATA'!$1:$1048576,IF(OR($B108="STD. DEVIATION",$C$1=1),$A108,$A108+1),COLUMN('1-DATA'!E106)),IF($B108="STD. DEVIATION",2,$F$1))))</f>
        <v/>
      </c>
      <c r="G108" s="1" t="str">
        <f>IF(OR($B108="",G$7=""),"",IF($B108="MEANS",INDEX('1-DATA'!$1:$1048576,$A107-1,COLUMN('1-DATA'!F106)),ROUND(INDEX('1-DATA'!$1:$1048576,IF(OR($B108="STD. DEVIATION",$C$1=1),$A108,$A108+1),COLUMN('1-DATA'!F106)),IF($B108="STD. DEVIATION",2,$F$1))))</f>
        <v/>
      </c>
      <c r="H108" s="1" t="str">
        <f>IF(OR($B108="",H$7=""),"",IF($B108="MEANS",INDEX('1-DATA'!$1:$1048576,$A107-1,COLUMN('1-DATA'!G106)),ROUND(INDEX('1-DATA'!$1:$1048576,IF(OR($B108="STD. DEVIATION",$C$1=1),$A108,$A108+1),COLUMN('1-DATA'!G106)),IF($B108="STD. DEVIATION",2,$F$1))))</f>
        <v/>
      </c>
      <c r="I108" s="1" t="str">
        <f>IF(OR($B108="",I$7=""),"",IF($B108="MEANS",INDEX('1-DATA'!$1:$1048576,$A107-1,COLUMN('1-DATA'!H106)),ROUND(INDEX('1-DATA'!$1:$1048576,IF(OR($B108="STD. DEVIATION",$C$1=1),$A108,$A108+1),COLUMN('1-DATA'!H106)),IF($B108="STD. DEVIATION",2,$F$1))))</f>
        <v/>
      </c>
      <c r="J108" s="1" t="str">
        <f>IF(OR($B108="",J$7=""),"",IF($B108="MEANS",INDEX('1-DATA'!$1:$1048576,$A107-1,COLUMN('1-DATA'!I106)),ROUND(INDEX('1-DATA'!$1:$1048576,IF(OR($B108="STD. DEVIATION",$C$1=1),$A108,$A108+1),COLUMN('1-DATA'!I106)),IF($B108="STD. DEVIATION",2,$F$1))))</f>
        <v/>
      </c>
      <c r="K108" s="1" t="str">
        <f>IF(OR($B108="",K$7=""),"",IF($B108="MEANS",INDEX('1-DATA'!$1:$1048576,$A107-1,COLUMN('1-DATA'!J106)),ROUND(INDEX('1-DATA'!$1:$1048576,IF(OR($B108="STD. DEVIATION",$C$1=1),$A108,$A108+1),COLUMN('1-DATA'!J106)),IF($B108="STD. DEVIATION",2,$F$1))))</f>
        <v/>
      </c>
      <c r="L108" s="1" t="str">
        <f>IF(OR($B108="",L$7=""),"",IF($B108="MEANS",INDEX('1-DATA'!$1:$1048576,$A107-1,COLUMN('1-DATA'!K106)),ROUND(INDEX('1-DATA'!$1:$1048576,IF(OR($B108="STD. DEVIATION",$C$1=1),$A108,$A108+1),COLUMN('1-DATA'!K106)),IF($B108="STD. DEVIATION",2,$F$1))))</f>
        <v/>
      </c>
      <c r="M108" s="1" t="str">
        <f>IF(OR($B108="",M$7=""),"",IF($B108="MEANS",INDEX('1-DATA'!$1:$1048576,$A107-1,COLUMN('1-DATA'!L106)),ROUND(INDEX('1-DATA'!$1:$1048576,IF(OR($B108="STD. DEVIATION",$C$1=1),$A108,$A108+1),COLUMN('1-DATA'!L106)),IF($B108="STD. DEVIATION",2,$F$1))))</f>
        <v/>
      </c>
      <c r="N108" s="1" t="str">
        <f>IF(OR($B108="",N$7=""),"",IF($B108="MEANS",INDEX('1-DATA'!$1:$1048576,$A107-1,COLUMN('1-DATA'!M106)),ROUND(INDEX('1-DATA'!$1:$1048576,IF(OR($B108="STD. DEVIATION",$C$1=1),$A108,$A108+1),COLUMN('1-DATA'!M106)),IF($B108="STD. DEVIATION",2,$F$1))))</f>
        <v/>
      </c>
      <c r="O108" s="1" t="str">
        <f>IF(OR($B108="",O$7=""),"",IF($B108="MEANS",INDEX('1-DATA'!$1:$1048576,$A107-1,COLUMN('1-DATA'!N106)),ROUND(INDEX('1-DATA'!$1:$1048576,IF(OR($B108="STD. DEVIATION",$C$1=1),$A108,$A108+1),COLUMN('1-DATA'!N106)),IF($B108="STD. DEVIATION",2,$F$1))))</f>
        <v/>
      </c>
      <c r="P108" s="1" t="str">
        <f>IF(OR($B108="",P$7=""),"",IF($B108="MEANS",INDEX('1-DATA'!$1:$1048576,$A107-1,COLUMN('1-DATA'!O106)),ROUND(INDEX('1-DATA'!$1:$1048576,IF(OR($B108="STD. DEVIATION",$C$1=1),$A108,$A108+1),COLUMN('1-DATA'!O106)),IF($B108="STD. DEVIATION",2,$F$1))))</f>
        <v/>
      </c>
      <c r="Q108" s="1" t="str">
        <f>IF(OR($B108="",Q$7=""),"",IF($B108="MEANS",INDEX('1-DATA'!$1:$1048576,$A107-1,COLUMN('1-DATA'!P106)),ROUND(INDEX('1-DATA'!$1:$1048576,IF(OR($B108="STD. DEVIATION",$C$1=1),$A108,$A108+1),COLUMN('1-DATA'!P106)),IF($B108="STD. DEVIATION",2,$F$1))))</f>
        <v/>
      </c>
      <c r="R108" s="1" t="str">
        <f>IF(OR($B108="",R$7=""),"",IF($B108="MEANS",INDEX('1-DATA'!$1:$1048576,$A107-1,COLUMN('1-DATA'!Q106)),ROUND(INDEX('1-DATA'!$1:$1048576,IF(OR($B108="STD. DEVIATION",$C$1=1),$A108,$A108+1),COLUMN('1-DATA'!Q106)),IF($B108="STD. DEVIATION",2,$F$1))))</f>
        <v/>
      </c>
      <c r="S108" s="1" t="str">
        <f>IF(OR($B108="",S$7=""),"",IF($B108="MEANS",INDEX('1-DATA'!$1:$1048576,$A107-1,COLUMN('1-DATA'!R106)),ROUND(INDEX('1-DATA'!$1:$1048576,IF(OR($B108="STD. DEVIATION",$C$1=1),$A108,$A108+1),COLUMN('1-DATA'!R106)),IF($B108="STD. DEVIATION",2,$F$1))))</f>
        <v/>
      </c>
      <c r="T108" s="1" t="str">
        <f>IF(OR($B108="",T$7=""),"",IF($B108="MEANS",INDEX('1-DATA'!$1:$1048576,$A107-1,COLUMN('1-DATA'!S106)),ROUND(INDEX('1-DATA'!$1:$1048576,IF(OR($B108="STD. DEVIATION",$C$1=1),$A108,$A108+1),COLUMN('1-DATA'!S106)),IF($B108="STD. DEVIATION",2,$F$1))))</f>
        <v/>
      </c>
      <c r="U108" s="1" t="str">
        <f>IF(OR($B108="",U$7=""),"",IF($B108="MEANS",INDEX('1-DATA'!$1:$1048576,$A107-1,COLUMN('1-DATA'!T106)),ROUND(INDEX('1-DATA'!$1:$1048576,IF(OR($B108="STD. DEVIATION",$C$1=1),$A108,$A108+1),COLUMN('1-DATA'!T106)),IF($B108="STD. DEVIATION",2,$F$1))))</f>
        <v/>
      </c>
      <c r="V108" s="1" t="str">
        <f>IF(OR($B108="",V$7=""),"",IF($B108="MEANS",INDEX('1-DATA'!$1:$1048576,$A107-1,COLUMN('1-DATA'!U106)),ROUND(INDEX('1-DATA'!$1:$1048576,IF(OR($B108="STD. DEVIATION",$C$1=1),$A108,$A108+1),COLUMN('1-DATA'!U106)),IF($B108="STD. DEVIATION",2,$F$1))))</f>
        <v/>
      </c>
      <c r="W108" s="1" t="str">
        <f>IF(OR($B108="",W$7=""),"",IF($B108="MEANS",INDEX('1-DATA'!$1:$1048576,$A107-1,COLUMN('1-DATA'!V106)),ROUND(INDEX('1-DATA'!$1:$1048576,IF(OR($B108="STD. DEVIATION",$C$1=1),$A108,$A108+1),COLUMN('1-DATA'!V106)),IF($B108="STD. DEVIATION",2,$F$1))))</f>
        <v/>
      </c>
      <c r="X108" s="1" t="str">
        <f>IF(OR($B108="",X$7=""),"",IF($B108="MEANS",INDEX('1-DATA'!$1:$1048576,$A107-1,COLUMN('1-DATA'!W106)),ROUND(INDEX('1-DATA'!$1:$1048576,IF(OR($B108="STD. DEVIATION",$C$1=1),$A108,$A108+1),COLUMN('1-DATA'!W106)),IF($B108="STD. DEVIATION",2,$F$1))))</f>
        <v/>
      </c>
      <c r="Y108" s="1" t="str">
        <f>IF(OR($B108="",Y$7=""),"",IF($B108="MEANS",INDEX('1-DATA'!$1:$1048576,$A107-1,COLUMN('1-DATA'!X106)),ROUND(INDEX('1-DATA'!$1:$1048576,IF(OR($B108="STD. DEVIATION",$C$1=1),$A108,$A108+1),COLUMN('1-DATA'!X106)),IF($B108="STD. DEVIATION",2,$F$1))))</f>
        <v/>
      </c>
      <c r="Z108" s="1" t="str">
        <f>IF(OR($B108="",Z$7=""),"",IF($B108="MEANS",INDEX('1-DATA'!$1:$1048576,$A107-1,COLUMN('1-DATA'!Y106)),ROUND(INDEX('1-DATA'!$1:$1048576,IF(OR($B108="STD. DEVIATION",$C$1=1),$A108,$A108+1),COLUMN('1-DATA'!Y106)),IF($B108="STD. DEVIATION",2,$F$1))))</f>
        <v/>
      </c>
      <c r="AA108" s="1" t="str">
        <f>IF(OR($B108="",AA$7=""),"",IF($B108="MEANS",INDEX('1-DATA'!$1:$1048576,$A107-1,COLUMN('1-DATA'!Z106)),ROUND(INDEX('1-DATA'!$1:$1048576,IF(OR($B108="STD. DEVIATION",$C$1=1),$A108,$A108+1),COLUMN('1-DATA'!Z106)),IF($B108="STD. DEVIATION",2,$F$1))))</f>
        <v/>
      </c>
      <c r="AB108" s="1" t="str">
        <f>IF(OR($B108="",AB$7=""),"",IF($B108="MEANS",INDEX('1-DATA'!$1:$1048576,$A107-1,COLUMN('1-DATA'!AA106)),ROUND(INDEX('1-DATA'!$1:$1048576,IF(OR($B108="STD. DEVIATION",$C$1=1),$A108,$A108+1),COLUMN('1-DATA'!AA106)),IF($B108="STD. DEVIATION",2,$F$1))))</f>
        <v/>
      </c>
      <c r="AC108" s="1" t="str">
        <f>IF(OR($B108="",AC$7=""),"",IF($B108="MEANS",INDEX('1-DATA'!$1:$1048576,$A107-1,COLUMN('1-DATA'!AB106)),ROUND(INDEX('1-DATA'!$1:$1048576,IF(OR($B108="STD. DEVIATION",$C$1=1),$A108,$A108+1),COLUMN('1-DATA'!AB106)),IF($B108="STD. DEVIATION",2,$F$1))))</f>
        <v/>
      </c>
      <c r="AD108" s="1" t="str">
        <f>IF(OR($B108="",AD$7=""),"",IF($B108="MEANS",INDEX('1-DATA'!$1:$1048576,$A107-1,COLUMN('1-DATA'!AC106)),ROUND(INDEX('1-DATA'!$1:$1048576,IF(OR($B108="STD. DEVIATION",$C$1=1),$A108,$A108+1),COLUMN('1-DATA'!AC106)),IF($B108="STD. DEVIATION",2,$F$1))))</f>
        <v/>
      </c>
      <c r="AE108" s="1" t="str">
        <f>IF(OR($B108="",AE$7=""),"",IF($B108="MEANS",INDEX('1-DATA'!$1:$1048576,$A107-1,COLUMN('1-DATA'!AD106)),ROUND(INDEX('1-DATA'!$1:$1048576,IF(OR($B108="STD. DEVIATION",$C$1=1),$A108,$A108+1),COLUMN('1-DATA'!AD106)),IF($B108="STD. DEVIATION",2,$F$1))))</f>
        <v/>
      </c>
      <c r="AF108" s="1" t="str">
        <f>IF(OR($B108="",AF$7=""),"",IF($B108="MEANS",INDEX('1-DATA'!$1:$1048576,$A107-1,COLUMN('1-DATA'!AE106)),ROUND(INDEX('1-DATA'!$1:$1048576,IF(OR($B108="STD. DEVIATION",$C$1=1),$A108,$A108+1),COLUMN('1-DATA'!AE106)),IF($B108="STD. DEVIATION",2,$F$1))))</f>
        <v/>
      </c>
      <c r="AG108" s="1" t="str">
        <f>IF(OR($B108="",AG$7=""),"",IF($B108="MEANS",INDEX('1-DATA'!$1:$1048576,$A107-1,COLUMN('1-DATA'!AF106)),ROUND(INDEX('1-DATA'!$1:$1048576,IF(OR($B108="STD. DEVIATION",$C$1=1),$A108,$A108+1),COLUMN('1-DATA'!AF106)),IF($B108="STD. DEVIATION",2,$F$1))))</f>
        <v/>
      </c>
      <c r="AH108" s="1" t="str">
        <f>IF(OR($B108="",AH$7=""),"",IF($B108="MEANS",INDEX('1-DATA'!$1:$1048576,$A107-1,COLUMN('1-DATA'!AG106)),ROUND(INDEX('1-DATA'!$1:$1048576,IF(OR($B108="STD. DEVIATION",$C$1=1),$A108,$A108+1),COLUMN('1-DATA'!AG106)),IF($B108="STD. DEVIATION",2,$F$1))))</f>
        <v/>
      </c>
      <c r="AI108" s="1" t="str">
        <f>IF(OR($B108="",AI$7=""),"",IF($B108="MEANS",INDEX('1-DATA'!$1:$1048576,$A107-1,COLUMN('1-DATA'!AH106)),ROUND(INDEX('1-DATA'!$1:$1048576,IF(OR($B108="STD. DEVIATION",$C$1=1),$A108,$A108+1),COLUMN('1-DATA'!AH106)),IF($B108="STD. DEVIATION",2,$F$1))))</f>
        <v/>
      </c>
      <c r="AJ108" s="1" t="str">
        <f>IF(OR($B108="",AJ$7=""),"",IF($B108="MEANS",INDEX('1-DATA'!$1:$1048576,$A107-1,COLUMN('1-DATA'!AI106)),ROUND(INDEX('1-DATA'!$1:$1048576,IF(OR($B108="STD. DEVIATION",$C$1=1),$A108,$A108+1),COLUMN('1-DATA'!AI106)),IF($B108="STD. DEVIATION",2,$F$1))))</f>
        <v/>
      </c>
      <c r="AK108" s="1" t="str">
        <f>IF(OR($B108="",AK$7=""),"",IF($B108="MEANS",INDEX('1-DATA'!$1:$1048576,$A107-1,COLUMN('1-DATA'!AJ106)),ROUND(INDEX('1-DATA'!$1:$1048576,IF(OR($B108="STD. DEVIATION",$C$1=1),$A108,$A108+1),COLUMN('1-DATA'!AJ106)),IF($B108="STD. DEVIATION",2,$F$1))))</f>
        <v/>
      </c>
      <c r="AL108" s="1" t="str">
        <f>IF(OR($B108="",AL$7=""),"",IF($B108="MEANS",INDEX('1-DATA'!$1:$1048576,$A107-1,COLUMN('1-DATA'!AK106)),ROUND(INDEX('1-DATA'!$1:$1048576,IF(OR($B108="STD. DEVIATION",$C$1=1),$A108,$A108+1),COLUMN('1-DATA'!AK106)),IF($B108="STD. DEVIATION",2,$F$1))))</f>
        <v/>
      </c>
      <c r="AM108" s="1" t="str">
        <f>IF(OR($B108="",AM$7=""),"",IF($B108="MEANS",INDEX('1-DATA'!$1:$1048576,$A107-1,COLUMN('1-DATA'!AL106)),ROUND(INDEX('1-DATA'!$1:$1048576,IF(OR($B108="STD. DEVIATION",$C$1=1),$A108,$A108+1),COLUMN('1-DATA'!AL106)),IF($B108="STD. DEVIATION",2,$F$1))))</f>
        <v/>
      </c>
      <c r="AN108" s="1" t="str">
        <f>IF(OR($B108="",AN$7=""),"",IF($B108="MEANS",INDEX('1-DATA'!$1:$1048576,$A107-1,COLUMN('1-DATA'!AM106)),ROUND(INDEX('1-DATA'!$1:$1048576,IF(OR($B108="STD. DEVIATION",$C$1=1),$A108,$A108+1),COLUMN('1-DATA'!AM106)),IF($B108="STD. DEVIATION",2,$F$1))))</f>
        <v/>
      </c>
      <c r="AO108" s="1" t="str">
        <f>IF(OR($B108="",AO$7=""),"",IF($B108="MEANS",INDEX('1-DATA'!$1:$1048576,$A107-1,COLUMN('1-DATA'!AN106)),ROUND(INDEX('1-DATA'!$1:$1048576,IF(OR($B108="STD. DEVIATION",$C$1=1),$A108,$A108+1),COLUMN('1-DATA'!AN106)),IF($B108="STD. DEVIATION",2,$F$1))))</f>
        <v/>
      </c>
      <c r="AP108" s="1" t="str">
        <f>IF(OR($B108="",AP$7=""),"",IF($B108="MEANS",INDEX('1-DATA'!$1:$1048576,$A107-1,COLUMN('1-DATA'!AO106)),ROUND(INDEX('1-DATA'!$1:$1048576,IF(OR($B108="STD. DEVIATION",$C$1=1),$A108,$A108+1),COLUMN('1-DATA'!AO106)),IF($B108="STD. DEVIATION",2,$F$1))))</f>
        <v/>
      </c>
      <c r="AQ108" s="1" t="str">
        <f>IF(OR($B108="",AQ$7=""),"",IF($B108="MEANS",INDEX('1-DATA'!$1:$1048576,$A107-1,COLUMN('1-DATA'!AP106)),ROUND(INDEX('1-DATA'!$1:$1048576,IF(OR($B108="STD. DEVIATION",$C$1=1),$A108,$A108+1),COLUMN('1-DATA'!AP106)),IF($B108="STD. DEVIATION",2,$F$1))))</f>
        <v/>
      </c>
      <c r="AR108" s="1" t="str">
        <f>IF(OR($B108="",AR$7=""),"",IF($B108="MEANS",INDEX('1-DATA'!$1:$1048576,$A107-1,COLUMN('1-DATA'!AQ106)),ROUND(INDEX('1-DATA'!$1:$1048576,IF(OR($B108="STD. DEVIATION",$C$1=1),$A108,$A108+1),COLUMN('1-DATA'!AQ106)),IF($B108="STD. DEVIATION",2,$F$1))))</f>
        <v/>
      </c>
      <c r="AS108" s="1" t="str">
        <f>IF(OR($B108="",AS$7=""),"",IF($B108="MEANS",INDEX('1-DATA'!$1:$1048576,$A107-1,COLUMN('1-DATA'!AR106)),ROUND(INDEX('1-DATA'!$1:$1048576,IF(OR($B108="STD. DEVIATION",$C$1=1),$A108,$A108+1),COLUMN('1-DATA'!AR106)),IF($B108="STD. DEVIATION",2,$F$1))))</f>
        <v/>
      </c>
      <c r="AT108" s="1" t="str">
        <f>IF(OR($B108="",AT$7=""),"",IF($B108="MEANS",INDEX('1-DATA'!$1:$1048576,$A107-1,COLUMN('1-DATA'!AS106)),ROUND(INDEX('1-DATA'!$1:$1048576,IF(OR($B108="STD. DEVIATION",$C$1=1),$A108,$A108+1),COLUMN('1-DATA'!AS106)),IF($B108="STD. DEVIATION",2,$F$1))))</f>
        <v/>
      </c>
      <c r="AU108" s="1" t="str">
        <f>IF(OR($B108="",AU$7=""),"",IF($B108="MEANS",INDEX('1-DATA'!$1:$1048576,$A107-1,COLUMN('1-DATA'!AT106)),ROUND(INDEX('1-DATA'!$1:$1048576,IF(OR($B108="STD. DEVIATION",$C$1=1),$A108,$A108+1),COLUMN('1-DATA'!AT106)),IF($B108="STD. DEVIATION",2,$F$1))))</f>
        <v/>
      </c>
      <c r="AV108" s="1" t="str">
        <f>IF(OR($B108="",AV$7=""),"",IF($B108="MEANS",INDEX('1-DATA'!$1:$1048576,$A107-1,COLUMN('1-DATA'!AU106)),ROUND(INDEX('1-DATA'!$1:$1048576,IF(OR($B108="STD. DEVIATION",$C$1=1),$A108,$A108+1),COLUMN('1-DATA'!AU106)),IF($B108="STD. DEVIATION",2,$F$1))))</f>
        <v/>
      </c>
      <c r="AW108" s="1" t="str">
        <f>IF(OR($B108="",AW$7=""),"",IF($B108="MEANS",INDEX('1-DATA'!$1:$1048576,$A107-1,COLUMN('1-DATA'!AV106)),ROUND(INDEX('1-DATA'!$1:$1048576,IF(OR($B108="STD. DEVIATION",$C$1=1),$A108,$A108+1),COLUMN('1-DATA'!AV106)),IF($B108="STD. DEVIATION",2,$F$1))))</f>
        <v/>
      </c>
      <c r="AX108" s="1" t="str">
        <f>IF(OR($B108="",AX$7=""),"",IF($B108="MEANS",INDEX('1-DATA'!$1:$1048576,$A107-1,COLUMN('1-DATA'!AW106)),ROUND(INDEX('1-DATA'!$1:$1048576,IF(OR($B108="STD. DEVIATION",$C$1=1),$A108,$A108+1),COLUMN('1-DATA'!AW106)),IF($B108="STD. DEVIATION",2,$F$1))))</f>
        <v/>
      </c>
      <c r="AY108" s="1" t="str">
        <f>IF(OR($B108="",AY$7=""),"",IF($B108="MEANS",INDEX('1-DATA'!$1:$1048576,$A107-1,COLUMN('1-DATA'!AX106)),ROUND(INDEX('1-DATA'!$1:$1048576,IF(OR($B108="STD. DEVIATION",$C$1=1),$A108,$A108+1),COLUMN('1-DATA'!AX106)),IF($B108="STD. DEVIATION",2,$F$1))))</f>
        <v/>
      </c>
      <c r="AZ108" s="1" t="str">
        <f>IF(OR($B108="",AZ$7=""),"",IF($B108="MEANS",INDEX('1-DATA'!$1:$1048576,$A107-1,COLUMN('1-DATA'!AY106)),ROUND(INDEX('1-DATA'!$1:$1048576,IF(OR($B108="STD. DEVIATION",$C$1=1),$A108,$A108+1),COLUMN('1-DATA'!AY106)),IF($B108="STD. DEVIATION",2,$F$1))))</f>
        <v/>
      </c>
    </row>
    <row r="109" spans="1:52" x14ac:dyDescent="0.25">
      <c r="A109" s="11">
        <f t="shared" si="2"/>
        <v>313</v>
      </c>
      <c r="B109" s="1" t="str">
        <f>IF(B108="STD. DEVIATION",INDEX('1-DATA'!$1:$1048576,$A108-1,1),IF(INDEX('1-DATA'!$1:$1048576,$A109,1)&lt;&gt;"",INDEX('1-DATA'!$1:$1048576,$A109,1),""))</f>
        <v/>
      </c>
      <c r="C109" s="1" t="str">
        <f>IF(OR($B109="",C$7=""),"",IF($B109="MEANS",INDEX('1-DATA'!$1:$1048576,$A108-1,COLUMN('1-DATA'!B107)),ROUND(INDEX('1-DATA'!$1:$1048576,IF(OR($B109="STD. DEVIATION",$C$1=1),$A109,$A109+1),COLUMN('1-DATA'!B107)),IF($B109="STD. DEVIATION",2,$F$1))))</f>
        <v/>
      </c>
      <c r="D109" s="1" t="str">
        <f>IF(OR($B109="",D$7=""),"",IF($B109="MEANS",INDEX('1-DATA'!$1:$1048576,$A108-1,COLUMN('1-DATA'!C107)),ROUND(INDEX('1-DATA'!$1:$1048576,IF(OR($B109="STD. DEVIATION",$C$1=1),$A109,$A109+1),COLUMN('1-DATA'!C107)),IF($B109="STD. DEVIATION",2,$F$1))))</f>
        <v/>
      </c>
      <c r="E109" s="1" t="str">
        <f>IF(OR($B109="",E$7=""),"",IF($B109="MEANS",INDEX('1-DATA'!$1:$1048576,$A108-1,COLUMN('1-DATA'!D107)),ROUND(INDEX('1-DATA'!$1:$1048576,IF(OR($B109="STD. DEVIATION",$C$1=1),$A109,$A109+1),COLUMN('1-DATA'!D107)),IF($B109="STD. DEVIATION",2,$F$1))))</f>
        <v/>
      </c>
      <c r="F109" s="1" t="str">
        <f>IF(OR($B109="",F$7=""),"",IF($B109="MEANS",INDEX('1-DATA'!$1:$1048576,$A108-1,COLUMN('1-DATA'!E107)),ROUND(INDEX('1-DATA'!$1:$1048576,IF(OR($B109="STD. DEVIATION",$C$1=1),$A109,$A109+1),COLUMN('1-DATA'!E107)),IF($B109="STD. DEVIATION",2,$F$1))))</f>
        <v/>
      </c>
      <c r="G109" s="1" t="str">
        <f>IF(OR($B109="",G$7=""),"",IF($B109="MEANS",INDEX('1-DATA'!$1:$1048576,$A108-1,COLUMN('1-DATA'!F107)),ROUND(INDEX('1-DATA'!$1:$1048576,IF(OR($B109="STD. DEVIATION",$C$1=1),$A109,$A109+1),COLUMN('1-DATA'!F107)),IF($B109="STD. DEVIATION",2,$F$1))))</f>
        <v/>
      </c>
      <c r="H109" s="1" t="str">
        <f>IF(OR($B109="",H$7=""),"",IF($B109="MEANS",INDEX('1-DATA'!$1:$1048576,$A108-1,COLUMN('1-DATA'!G107)),ROUND(INDEX('1-DATA'!$1:$1048576,IF(OR($B109="STD. DEVIATION",$C$1=1),$A109,$A109+1),COLUMN('1-DATA'!G107)),IF($B109="STD. DEVIATION",2,$F$1))))</f>
        <v/>
      </c>
      <c r="I109" s="1" t="str">
        <f>IF(OR($B109="",I$7=""),"",IF($B109="MEANS",INDEX('1-DATA'!$1:$1048576,$A108-1,COLUMN('1-DATA'!H107)),ROUND(INDEX('1-DATA'!$1:$1048576,IF(OR($B109="STD. DEVIATION",$C$1=1),$A109,$A109+1),COLUMN('1-DATA'!H107)),IF($B109="STD. DEVIATION",2,$F$1))))</f>
        <v/>
      </c>
      <c r="J109" s="1" t="str">
        <f>IF(OR($B109="",J$7=""),"",IF($B109="MEANS",INDEX('1-DATA'!$1:$1048576,$A108-1,COLUMN('1-DATA'!I107)),ROUND(INDEX('1-DATA'!$1:$1048576,IF(OR($B109="STD. DEVIATION",$C$1=1),$A109,$A109+1),COLUMN('1-DATA'!I107)),IF($B109="STD. DEVIATION",2,$F$1))))</f>
        <v/>
      </c>
      <c r="K109" s="1" t="str">
        <f>IF(OR($B109="",K$7=""),"",IF($B109="MEANS",INDEX('1-DATA'!$1:$1048576,$A108-1,COLUMN('1-DATA'!J107)),ROUND(INDEX('1-DATA'!$1:$1048576,IF(OR($B109="STD. DEVIATION",$C$1=1),$A109,$A109+1),COLUMN('1-DATA'!J107)),IF($B109="STD. DEVIATION",2,$F$1))))</f>
        <v/>
      </c>
      <c r="L109" s="1" t="str">
        <f>IF(OR($B109="",L$7=""),"",IF($B109="MEANS",INDEX('1-DATA'!$1:$1048576,$A108-1,COLUMN('1-DATA'!K107)),ROUND(INDEX('1-DATA'!$1:$1048576,IF(OR($B109="STD. DEVIATION",$C$1=1),$A109,$A109+1),COLUMN('1-DATA'!K107)),IF($B109="STD. DEVIATION",2,$F$1))))</f>
        <v/>
      </c>
      <c r="M109" s="1" t="str">
        <f>IF(OR($B109="",M$7=""),"",IF($B109="MEANS",INDEX('1-DATA'!$1:$1048576,$A108-1,COLUMN('1-DATA'!L107)),ROUND(INDEX('1-DATA'!$1:$1048576,IF(OR($B109="STD. DEVIATION",$C$1=1),$A109,$A109+1),COLUMN('1-DATA'!L107)),IF($B109="STD. DEVIATION",2,$F$1))))</f>
        <v/>
      </c>
      <c r="N109" s="1" t="str">
        <f>IF(OR($B109="",N$7=""),"",IF($B109="MEANS",INDEX('1-DATA'!$1:$1048576,$A108-1,COLUMN('1-DATA'!M107)),ROUND(INDEX('1-DATA'!$1:$1048576,IF(OR($B109="STD. DEVIATION",$C$1=1),$A109,$A109+1),COLUMN('1-DATA'!M107)),IF($B109="STD. DEVIATION",2,$F$1))))</f>
        <v/>
      </c>
      <c r="O109" s="1" t="str">
        <f>IF(OR($B109="",O$7=""),"",IF($B109="MEANS",INDEX('1-DATA'!$1:$1048576,$A108-1,COLUMN('1-DATA'!N107)),ROUND(INDEX('1-DATA'!$1:$1048576,IF(OR($B109="STD. DEVIATION",$C$1=1),$A109,$A109+1),COLUMN('1-DATA'!N107)),IF($B109="STD. DEVIATION",2,$F$1))))</f>
        <v/>
      </c>
      <c r="P109" s="1" t="str">
        <f>IF(OR($B109="",P$7=""),"",IF($B109="MEANS",INDEX('1-DATA'!$1:$1048576,$A108-1,COLUMN('1-DATA'!O107)),ROUND(INDEX('1-DATA'!$1:$1048576,IF(OR($B109="STD. DEVIATION",$C$1=1),$A109,$A109+1),COLUMN('1-DATA'!O107)),IF($B109="STD. DEVIATION",2,$F$1))))</f>
        <v/>
      </c>
      <c r="Q109" s="1" t="str">
        <f>IF(OR($B109="",Q$7=""),"",IF($B109="MEANS",INDEX('1-DATA'!$1:$1048576,$A108-1,COLUMN('1-DATA'!P107)),ROUND(INDEX('1-DATA'!$1:$1048576,IF(OR($B109="STD. DEVIATION",$C$1=1),$A109,$A109+1),COLUMN('1-DATA'!P107)),IF($B109="STD. DEVIATION",2,$F$1))))</f>
        <v/>
      </c>
      <c r="R109" s="1" t="str">
        <f>IF(OR($B109="",R$7=""),"",IF($B109="MEANS",INDEX('1-DATA'!$1:$1048576,$A108-1,COLUMN('1-DATA'!Q107)),ROUND(INDEX('1-DATA'!$1:$1048576,IF(OR($B109="STD. DEVIATION",$C$1=1),$A109,$A109+1),COLUMN('1-DATA'!Q107)),IF($B109="STD. DEVIATION",2,$F$1))))</f>
        <v/>
      </c>
      <c r="S109" s="1" t="str">
        <f>IF(OR($B109="",S$7=""),"",IF($B109="MEANS",INDEX('1-DATA'!$1:$1048576,$A108-1,COLUMN('1-DATA'!R107)),ROUND(INDEX('1-DATA'!$1:$1048576,IF(OR($B109="STD. DEVIATION",$C$1=1),$A109,$A109+1),COLUMN('1-DATA'!R107)),IF($B109="STD. DEVIATION",2,$F$1))))</f>
        <v/>
      </c>
      <c r="T109" s="1" t="str">
        <f>IF(OR($B109="",T$7=""),"",IF($B109="MEANS",INDEX('1-DATA'!$1:$1048576,$A108-1,COLUMN('1-DATA'!S107)),ROUND(INDEX('1-DATA'!$1:$1048576,IF(OR($B109="STD. DEVIATION",$C$1=1),$A109,$A109+1),COLUMN('1-DATA'!S107)),IF($B109="STD. DEVIATION",2,$F$1))))</f>
        <v/>
      </c>
      <c r="U109" s="1" t="str">
        <f>IF(OR($B109="",U$7=""),"",IF($B109="MEANS",INDEX('1-DATA'!$1:$1048576,$A108-1,COLUMN('1-DATA'!T107)),ROUND(INDEX('1-DATA'!$1:$1048576,IF(OR($B109="STD. DEVIATION",$C$1=1),$A109,$A109+1),COLUMN('1-DATA'!T107)),IF($B109="STD. DEVIATION",2,$F$1))))</f>
        <v/>
      </c>
      <c r="V109" s="1" t="str">
        <f>IF(OR($B109="",V$7=""),"",IF($B109="MEANS",INDEX('1-DATA'!$1:$1048576,$A108-1,COLUMN('1-DATA'!U107)),ROUND(INDEX('1-DATA'!$1:$1048576,IF(OR($B109="STD. DEVIATION",$C$1=1),$A109,$A109+1),COLUMN('1-DATA'!U107)),IF($B109="STD. DEVIATION",2,$F$1))))</f>
        <v/>
      </c>
      <c r="W109" s="1" t="str">
        <f>IF(OR($B109="",W$7=""),"",IF($B109="MEANS",INDEX('1-DATA'!$1:$1048576,$A108-1,COLUMN('1-DATA'!V107)),ROUND(INDEX('1-DATA'!$1:$1048576,IF(OR($B109="STD. DEVIATION",$C$1=1),$A109,$A109+1),COLUMN('1-DATA'!V107)),IF($B109="STD. DEVIATION",2,$F$1))))</f>
        <v/>
      </c>
      <c r="X109" s="1" t="str">
        <f>IF(OR($B109="",X$7=""),"",IF($B109="MEANS",INDEX('1-DATA'!$1:$1048576,$A108-1,COLUMN('1-DATA'!W107)),ROUND(INDEX('1-DATA'!$1:$1048576,IF(OR($B109="STD. DEVIATION",$C$1=1),$A109,$A109+1),COLUMN('1-DATA'!W107)),IF($B109="STD. DEVIATION",2,$F$1))))</f>
        <v/>
      </c>
      <c r="Y109" s="1" t="str">
        <f>IF(OR($B109="",Y$7=""),"",IF($B109="MEANS",INDEX('1-DATA'!$1:$1048576,$A108-1,COLUMN('1-DATA'!X107)),ROUND(INDEX('1-DATA'!$1:$1048576,IF(OR($B109="STD. DEVIATION",$C$1=1),$A109,$A109+1),COLUMN('1-DATA'!X107)),IF($B109="STD. DEVIATION",2,$F$1))))</f>
        <v/>
      </c>
      <c r="Z109" s="1" t="str">
        <f>IF(OR($B109="",Z$7=""),"",IF($B109="MEANS",INDEX('1-DATA'!$1:$1048576,$A108-1,COLUMN('1-DATA'!Y107)),ROUND(INDEX('1-DATA'!$1:$1048576,IF(OR($B109="STD. DEVIATION",$C$1=1),$A109,$A109+1),COLUMN('1-DATA'!Y107)),IF($B109="STD. DEVIATION",2,$F$1))))</f>
        <v/>
      </c>
      <c r="AA109" s="1" t="str">
        <f>IF(OR($B109="",AA$7=""),"",IF($B109="MEANS",INDEX('1-DATA'!$1:$1048576,$A108-1,COLUMN('1-DATA'!Z107)),ROUND(INDEX('1-DATA'!$1:$1048576,IF(OR($B109="STD. DEVIATION",$C$1=1),$A109,$A109+1),COLUMN('1-DATA'!Z107)),IF($B109="STD. DEVIATION",2,$F$1))))</f>
        <v/>
      </c>
      <c r="AB109" s="1" t="str">
        <f>IF(OR($B109="",AB$7=""),"",IF($B109="MEANS",INDEX('1-DATA'!$1:$1048576,$A108-1,COLUMN('1-DATA'!AA107)),ROUND(INDEX('1-DATA'!$1:$1048576,IF(OR($B109="STD. DEVIATION",$C$1=1),$A109,$A109+1),COLUMN('1-DATA'!AA107)),IF($B109="STD. DEVIATION",2,$F$1))))</f>
        <v/>
      </c>
      <c r="AC109" s="1" t="str">
        <f>IF(OR($B109="",AC$7=""),"",IF($B109="MEANS",INDEX('1-DATA'!$1:$1048576,$A108-1,COLUMN('1-DATA'!AB107)),ROUND(INDEX('1-DATA'!$1:$1048576,IF(OR($B109="STD. DEVIATION",$C$1=1),$A109,$A109+1),COLUMN('1-DATA'!AB107)),IF($B109="STD. DEVIATION",2,$F$1))))</f>
        <v/>
      </c>
      <c r="AD109" s="1" t="str">
        <f>IF(OR($B109="",AD$7=""),"",IF($B109="MEANS",INDEX('1-DATA'!$1:$1048576,$A108-1,COLUMN('1-DATA'!AC107)),ROUND(INDEX('1-DATA'!$1:$1048576,IF(OR($B109="STD. DEVIATION",$C$1=1),$A109,$A109+1),COLUMN('1-DATA'!AC107)),IF($B109="STD. DEVIATION",2,$F$1))))</f>
        <v/>
      </c>
      <c r="AE109" s="1" t="str">
        <f>IF(OR($B109="",AE$7=""),"",IF($B109="MEANS",INDEX('1-DATA'!$1:$1048576,$A108-1,COLUMN('1-DATA'!AD107)),ROUND(INDEX('1-DATA'!$1:$1048576,IF(OR($B109="STD. DEVIATION",$C$1=1),$A109,$A109+1),COLUMN('1-DATA'!AD107)),IF($B109="STD. DEVIATION",2,$F$1))))</f>
        <v/>
      </c>
      <c r="AF109" s="1" t="str">
        <f>IF(OR($B109="",AF$7=""),"",IF($B109="MEANS",INDEX('1-DATA'!$1:$1048576,$A108-1,COLUMN('1-DATA'!AE107)),ROUND(INDEX('1-DATA'!$1:$1048576,IF(OR($B109="STD. DEVIATION",$C$1=1),$A109,$A109+1),COLUMN('1-DATA'!AE107)),IF($B109="STD. DEVIATION",2,$F$1))))</f>
        <v/>
      </c>
      <c r="AG109" s="1" t="str">
        <f>IF(OR($B109="",AG$7=""),"",IF($B109="MEANS",INDEX('1-DATA'!$1:$1048576,$A108-1,COLUMN('1-DATA'!AF107)),ROUND(INDEX('1-DATA'!$1:$1048576,IF(OR($B109="STD. DEVIATION",$C$1=1),$A109,$A109+1),COLUMN('1-DATA'!AF107)),IF($B109="STD. DEVIATION",2,$F$1))))</f>
        <v/>
      </c>
      <c r="AH109" s="1" t="str">
        <f>IF(OR($B109="",AH$7=""),"",IF($B109="MEANS",INDEX('1-DATA'!$1:$1048576,$A108-1,COLUMN('1-DATA'!AG107)),ROUND(INDEX('1-DATA'!$1:$1048576,IF(OR($B109="STD. DEVIATION",$C$1=1),$A109,$A109+1),COLUMN('1-DATA'!AG107)),IF($B109="STD. DEVIATION",2,$F$1))))</f>
        <v/>
      </c>
      <c r="AI109" s="1" t="str">
        <f>IF(OR($B109="",AI$7=""),"",IF($B109="MEANS",INDEX('1-DATA'!$1:$1048576,$A108-1,COLUMN('1-DATA'!AH107)),ROUND(INDEX('1-DATA'!$1:$1048576,IF(OR($B109="STD. DEVIATION",$C$1=1),$A109,$A109+1),COLUMN('1-DATA'!AH107)),IF($B109="STD. DEVIATION",2,$F$1))))</f>
        <v/>
      </c>
      <c r="AJ109" s="1" t="str">
        <f>IF(OR($B109="",AJ$7=""),"",IF($B109="MEANS",INDEX('1-DATA'!$1:$1048576,$A108-1,COLUMN('1-DATA'!AI107)),ROUND(INDEX('1-DATA'!$1:$1048576,IF(OR($B109="STD. DEVIATION",$C$1=1),$A109,$A109+1),COLUMN('1-DATA'!AI107)),IF($B109="STD. DEVIATION",2,$F$1))))</f>
        <v/>
      </c>
      <c r="AK109" s="1" t="str">
        <f>IF(OR($B109="",AK$7=""),"",IF($B109="MEANS",INDEX('1-DATA'!$1:$1048576,$A108-1,COLUMN('1-DATA'!AJ107)),ROUND(INDEX('1-DATA'!$1:$1048576,IF(OR($B109="STD. DEVIATION",$C$1=1),$A109,$A109+1),COLUMN('1-DATA'!AJ107)),IF($B109="STD. DEVIATION",2,$F$1))))</f>
        <v/>
      </c>
      <c r="AL109" s="1" t="str">
        <f>IF(OR($B109="",AL$7=""),"",IF($B109="MEANS",INDEX('1-DATA'!$1:$1048576,$A108-1,COLUMN('1-DATA'!AK107)),ROUND(INDEX('1-DATA'!$1:$1048576,IF(OR($B109="STD. DEVIATION",$C$1=1),$A109,$A109+1),COLUMN('1-DATA'!AK107)),IF($B109="STD. DEVIATION",2,$F$1))))</f>
        <v/>
      </c>
      <c r="AM109" s="1" t="str">
        <f>IF(OR($B109="",AM$7=""),"",IF($B109="MEANS",INDEX('1-DATA'!$1:$1048576,$A108-1,COLUMN('1-DATA'!AL107)),ROUND(INDEX('1-DATA'!$1:$1048576,IF(OR($B109="STD. DEVIATION",$C$1=1),$A109,$A109+1),COLUMN('1-DATA'!AL107)),IF($B109="STD. DEVIATION",2,$F$1))))</f>
        <v/>
      </c>
      <c r="AN109" s="1" t="str">
        <f>IF(OR($B109="",AN$7=""),"",IF($B109="MEANS",INDEX('1-DATA'!$1:$1048576,$A108-1,COLUMN('1-DATA'!AM107)),ROUND(INDEX('1-DATA'!$1:$1048576,IF(OR($B109="STD. DEVIATION",$C$1=1),$A109,$A109+1),COLUMN('1-DATA'!AM107)),IF($B109="STD. DEVIATION",2,$F$1))))</f>
        <v/>
      </c>
      <c r="AO109" s="1" t="str">
        <f>IF(OR($B109="",AO$7=""),"",IF($B109="MEANS",INDEX('1-DATA'!$1:$1048576,$A108-1,COLUMN('1-DATA'!AN107)),ROUND(INDEX('1-DATA'!$1:$1048576,IF(OR($B109="STD. DEVIATION",$C$1=1),$A109,$A109+1),COLUMN('1-DATA'!AN107)),IF($B109="STD. DEVIATION",2,$F$1))))</f>
        <v/>
      </c>
      <c r="AP109" s="1" t="str">
        <f>IF(OR($B109="",AP$7=""),"",IF($B109="MEANS",INDEX('1-DATA'!$1:$1048576,$A108-1,COLUMN('1-DATA'!AO107)),ROUND(INDEX('1-DATA'!$1:$1048576,IF(OR($B109="STD. DEVIATION",$C$1=1),$A109,$A109+1),COLUMN('1-DATA'!AO107)),IF($B109="STD. DEVIATION",2,$F$1))))</f>
        <v/>
      </c>
      <c r="AQ109" s="1" t="str">
        <f>IF(OR($B109="",AQ$7=""),"",IF($B109="MEANS",INDEX('1-DATA'!$1:$1048576,$A108-1,COLUMN('1-DATA'!AP107)),ROUND(INDEX('1-DATA'!$1:$1048576,IF(OR($B109="STD. DEVIATION",$C$1=1),$A109,$A109+1),COLUMN('1-DATA'!AP107)),IF($B109="STD. DEVIATION",2,$F$1))))</f>
        <v/>
      </c>
      <c r="AR109" s="1" t="str">
        <f>IF(OR($B109="",AR$7=""),"",IF($B109="MEANS",INDEX('1-DATA'!$1:$1048576,$A108-1,COLUMN('1-DATA'!AQ107)),ROUND(INDEX('1-DATA'!$1:$1048576,IF(OR($B109="STD. DEVIATION",$C$1=1),$A109,$A109+1),COLUMN('1-DATA'!AQ107)),IF($B109="STD. DEVIATION",2,$F$1))))</f>
        <v/>
      </c>
      <c r="AS109" s="1" t="str">
        <f>IF(OR($B109="",AS$7=""),"",IF($B109="MEANS",INDEX('1-DATA'!$1:$1048576,$A108-1,COLUMN('1-DATA'!AR107)),ROUND(INDEX('1-DATA'!$1:$1048576,IF(OR($B109="STD. DEVIATION",$C$1=1),$A109,$A109+1),COLUMN('1-DATA'!AR107)),IF($B109="STD. DEVIATION",2,$F$1))))</f>
        <v/>
      </c>
      <c r="AT109" s="1" t="str">
        <f>IF(OR($B109="",AT$7=""),"",IF($B109="MEANS",INDEX('1-DATA'!$1:$1048576,$A108-1,COLUMN('1-DATA'!AS107)),ROUND(INDEX('1-DATA'!$1:$1048576,IF(OR($B109="STD. DEVIATION",$C$1=1),$A109,$A109+1),COLUMN('1-DATA'!AS107)),IF($B109="STD. DEVIATION",2,$F$1))))</f>
        <v/>
      </c>
      <c r="AU109" s="1" t="str">
        <f>IF(OR($B109="",AU$7=""),"",IF($B109="MEANS",INDEX('1-DATA'!$1:$1048576,$A108-1,COLUMN('1-DATA'!AT107)),ROUND(INDEX('1-DATA'!$1:$1048576,IF(OR($B109="STD. DEVIATION",$C$1=1),$A109,$A109+1),COLUMN('1-DATA'!AT107)),IF($B109="STD. DEVIATION",2,$F$1))))</f>
        <v/>
      </c>
      <c r="AV109" s="1" t="str">
        <f>IF(OR($B109="",AV$7=""),"",IF($B109="MEANS",INDEX('1-DATA'!$1:$1048576,$A108-1,COLUMN('1-DATA'!AU107)),ROUND(INDEX('1-DATA'!$1:$1048576,IF(OR($B109="STD. DEVIATION",$C$1=1),$A109,$A109+1),COLUMN('1-DATA'!AU107)),IF($B109="STD. DEVIATION",2,$F$1))))</f>
        <v/>
      </c>
      <c r="AW109" s="1" t="str">
        <f>IF(OR($B109="",AW$7=""),"",IF($B109="MEANS",INDEX('1-DATA'!$1:$1048576,$A108-1,COLUMN('1-DATA'!AV107)),ROUND(INDEX('1-DATA'!$1:$1048576,IF(OR($B109="STD. DEVIATION",$C$1=1),$A109,$A109+1),COLUMN('1-DATA'!AV107)),IF($B109="STD. DEVIATION",2,$F$1))))</f>
        <v/>
      </c>
      <c r="AX109" s="1" t="str">
        <f>IF(OR($B109="",AX$7=""),"",IF($B109="MEANS",INDEX('1-DATA'!$1:$1048576,$A108-1,COLUMN('1-DATA'!AW107)),ROUND(INDEX('1-DATA'!$1:$1048576,IF(OR($B109="STD. DEVIATION",$C$1=1),$A109,$A109+1),COLUMN('1-DATA'!AW107)),IF($B109="STD. DEVIATION",2,$F$1))))</f>
        <v/>
      </c>
      <c r="AY109" s="1" t="str">
        <f>IF(OR($B109="",AY$7=""),"",IF($B109="MEANS",INDEX('1-DATA'!$1:$1048576,$A108-1,COLUMN('1-DATA'!AX107)),ROUND(INDEX('1-DATA'!$1:$1048576,IF(OR($B109="STD. DEVIATION",$C$1=1),$A109,$A109+1),COLUMN('1-DATA'!AX107)),IF($B109="STD. DEVIATION",2,$F$1))))</f>
        <v/>
      </c>
      <c r="AZ109" s="1" t="str">
        <f>IF(OR($B109="",AZ$7=""),"",IF($B109="MEANS",INDEX('1-DATA'!$1:$1048576,$A108-1,COLUMN('1-DATA'!AY107)),ROUND(INDEX('1-DATA'!$1:$1048576,IF(OR($B109="STD. DEVIATION",$C$1=1),$A109,$A109+1),COLUMN('1-DATA'!AY107)),IF($B109="STD. DEVIATION",2,$F$1))))</f>
        <v/>
      </c>
    </row>
    <row r="110" spans="1:52" x14ac:dyDescent="0.25">
      <c r="A110" s="11">
        <f t="shared" si="2"/>
        <v>316</v>
      </c>
      <c r="B110" s="1" t="str">
        <f>IF(B109="STD. DEVIATION",INDEX('1-DATA'!$1:$1048576,$A109-1,1),IF(INDEX('1-DATA'!$1:$1048576,$A110,1)&lt;&gt;"",INDEX('1-DATA'!$1:$1048576,$A110,1),""))</f>
        <v/>
      </c>
      <c r="C110" s="1" t="str">
        <f>IF(OR($B110="",C$7=""),"",IF($B110="MEANS",INDEX('1-DATA'!$1:$1048576,$A109-1,COLUMN('1-DATA'!B108)),ROUND(INDEX('1-DATA'!$1:$1048576,IF(OR($B110="STD. DEVIATION",$C$1=1),$A110,$A110+1),COLUMN('1-DATA'!B108)),IF($B110="STD. DEVIATION",2,$F$1))))</f>
        <v/>
      </c>
      <c r="D110" s="1" t="str">
        <f>IF(OR($B110="",D$7=""),"",IF($B110="MEANS",INDEX('1-DATA'!$1:$1048576,$A109-1,COLUMN('1-DATA'!C108)),ROUND(INDEX('1-DATA'!$1:$1048576,IF(OR($B110="STD. DEVIATION",$C$1=1),$A110,$A110+1),COLUMN('1-DATA'!C108)),IF($B110="STD. DEVIATION",2,$F$1))))</f>
        <v/>
      </c>
      <c r="E110" s="1" t="str">
        <f>IF(OR($B110="",E$7=""),"",IF($B110="MEANS",INDEX('1-DATA'!$1:$1048576,$A109-1,COLUMN('1-DATA'!D108)),ROUND(INDEX('1-DATA'!$1:$1048576,IF(OR($B110="STD. DEVIATION",$C$1=1),$A110,$A110+1),COLUMN('1-DATA'!D108)),IF($B110="STD. DEVIATION",2,$F$1))))</f>
        <v/>
      </c>
      <c r="F110" s="1" t="str">
        <f>IF(OR($B110="",F$7=""),"",IF($B110="MEANS",INDEX('1-DATA'!$1:$1048576,$A109-1,COLUMN('1-DATA'!E108)),ROUND(INDEX('1-DATA'!$1:$1048576,IF(OR($B110="STD. DEVIATION",$C$1=1),$A110,$A110+1),COLUMN('1-DATA'!E108)),IF($B110="STD. DEVIATION",2,$F$1))))</f>
        <v/>
      </c>
      <c r="G110" s="1" t="str">
        <f>IF(OR($B110="",G$7=""),"",IF($B110="MEANS",INDEX('1-DATA'!$1:$1048576,$A109-1,COLUMN('1-DATA'!F108)),ROUND(INDEX('1-DATA'!$1:$1048576,IF(OR($B110="STD. DEVIATION",$C$1=1),$A110,$A110+1),COLUMN('1-DATA'!F108)),IF($B110="STD. DEVIATION",2,$F$1))))</f>
        <v/>
      </c>
      <c r="H110" s="1" t="str">
        <f>IF(OR($B110="",H$7=""),"",IF($B110="MEANS",INDEX('1-DATA'!$1:$1048576,$A109-1,COLUMN('1-DATA'!G108)),ROUND(INDEX('1-DATA'!$1:$1048576,IF(OR($B110="STD. DEVIATION",$C$1=1),$A110,$A110+1),COLUMN('1-DATA'!G108)),IF($B110="STD. DEVIATION",2,$F$1))))</f>
        <v/>
      </c>
      <c r="I110" s="1" t="str">
        <f>IF(OR($B110="",I$7=""),"",IF($B110="MEANS",INDEX('1-DATA'!$1:$1048576,$A109-1,COLUMN('1-DATA'!H108)),ROUND(INDEX('1-DATA'!$1:$1048576,IF(OR($B110="STD. DEVIATION",$C$1=1),$A110,$A110+1),COLUMN('1-DATA'!H108)),IF($B110="STD. DEVIATION",2,$F$1))))</f>
        <v/>
      </c>
      <c r="J110" s="1" t="str">
        <f>IF(OR($B110="",J$7=""),"",IF($B110="MEANS",INDEX('1-DATA'!$1:$1048576,$A109-1,COLUMN('1-DATA'!I108)),ROUND(INDEX('1-DATA'!$1:$1048576,IF(OR($B110="STD. DEVIATION",$C$1=1),$A110,$A110+1),COLUMN('1-DATA'!I108)),IF($B110="STD. DEVIATION",2,$F$1))))</f>
        <v/>
      </c>
      <c r="K110" s="1" t="str">
        <f>IF(OR($B110="",K$7=""),"",IF($B110="MEANS",INDEX('1-DATA'!$1:$1048576,$A109-1,COLUMN('1-DATA'!J108)),ROUND(INDEX('1-DATA'!$1:$1048576,IF(OR($B110="STD. DEVIATION",$C$1=1),$A110,$A110+1),COLUMN('1-DATA'!J108)),IF($B110="STD. DEVIATION",2,$F$1))))</f>
        <v/>
      </c>
      <c r="L110" s="1" t="str">
        <f>IF(OR($B110="",L$7=""),"",IF($B110="MEANS",INDEX('1-DATA'!$1:$1048576,$A109-1,COLUMN('1-DATA'!K108)),ROUND(INDEX('1-DATA'!$1:$1048576,IF(OR($B110="STD. DEVIATION",$C$1=1),$A110,$A110+1),COLUMN('1-DATA'!K108)),IF($B110="STD. DEVIATION",2,$F$1))))</f>
        <v/>
      </c>
      <c r="M110" s="1" t="str">
        <f>IF(OR($B110="",M$7=""),"",IF($B110="MEANS",INDEX('1-DATA'!$1:$1048576,$A109-1,COLUMN('1-DATA'!L108)),ROUND(INDEX('1-DATA'!$1:$1048576,IF(OR($B110="STD. DEVIATION",$C$1=1),$A110,$A110+1),COLUMN('1-DATA'!L108)),IF($B110="STD. DEVIATION",2,$F$1))))</f>
        <v/>
      </c>
      <c r="N110" s="1" t="str">
        <f>IF(OR($B110="",N$7=""),"",IF($B110="MEANS",INDEX('1-DATA'!$1:$1048576,$A109-1,COLUMN('1-DATA'!M108)),ROUND(INDEX('1-DATA'!$1:$1048576,IF(OR($B110="STD. DEVIATION",$C$1=1),$A110,$A110+1),COLUMN('1-DATA'!M108)),IF($B110="STD. DEVIATION",2,$F$1))))</f>
        <v/>
      </c>
      <c r="O110" s="1" t="str">
        <f>IF(OR($B110="",O$7=""),"",IF($B110="MEANS",INDEX('1-DATA'!$1:$1048576,$A109-1,COLUMN('1-DATA'!N108)),ROUND(INDEX('1-DATA'!$1:$1048576,IF(OR($B110="STD. DEVIATION",$C$1=1),$A110,$A110+1),COLUMN('1-DATA'!N108)),IF($B110="STD. DEVIATION",2,$F$1))))</f>
        <v/>
      </c>
      <c r="P110" s="1" t="str">
        <f>IF(OR($B110="",P$7=""),"",IF($B110="MEANS",INDEX('1-DATA'!$1:$1048576,$A109-1,COLUMN('1-DATA'!O108)),ROUND(INDEX('1-DATA'!$1:$1048576,IF(OR($B110="STD. DEVIATION",$C$1=1),$A110,$A110+1),COLUMN('1-DATA'!O108)),IF($B110="STD. DEVIATION",2,$F$1))))</f>
        <v/>
      </c>
      <c r="Q110" s="1" t="str">
        <f>IF(OR($B110="",Q$7=""),"",IF($B110="MEANS",INDEX('1-DATA'!$1:$1048576,$A109-1,COLUMN('1-DATA'!P108)),ROUND(INDEX('1-DATA'!$1:$1048576,IF(OR($B110="STD. DEVIATION",$C$1=1),$A110,$A110+1),COLUMN('1-DATA'!P108)),IF($B110="STD. DEVIATION",2,$F$1))))</f>
        <v/>
      </c>
      <c r="R110" s="1" t="str">
        <f>IF(OR($B110="",R$7=""),"",IF($B110="MEANS",INDEX('1-DATA'!$1:$1048576,$A109-1,COLUMN('1-DATA'!Q108)),ROUND(INDEX('1-DATA'!$1:$1048576,IF(OR($B110="STD. DEVIATION",$C$1=1),$A110,$A110+1),COLUMN('1-DATA'!Q108)),IF($B110="STD. DEVIATION",2,$F$1))))</f>
        <v/>
      </c>
      <c r="S110" s="1" t="str">
        <f>IF(OR($B110="",S$7=""),"",IF($B110="MEANS",INDEX('1-DATA'!$1:$1048576,$A109-1,COLUMN('1-DATA'!R108)),ROUND(INDEX('1-DATA'!$1:$1048576,IF(OR($B110="STD. DEVIATION",$C$1=1),$A110,$A110+1),COLUMN('1-DATA'!R108)),IF($B110="STD. DEVIATION",2,$F$1))))</f>
        <v/>
      </c>
      <c r="T110" s="1" t="str">
        <f>IF(OR($B110="",T$7=""),"",IF($B110="MEANS",INDEX('1-DATA'!$1:$1048576,$A109-1,COLUMN('1-DATA'!S108)),ROUND(INDEX('1-DATA'!$1:$1048576,IF(OR($B110="STD. DEVIATION",$C$1=1),$A110,$A110+1),COLUMN('1-DATA'!S108)),IF($B110="STD. DEVIATION",2,$F$1))))</f>
        <v/>
      </c>
      <c r="U110" s="1" t="str">
        <f>IF(OR($B110="",U$7=""),"",IF($B110="MEANS",INDEX('1-DATA'!$1:$1048576,$A109-1,COLUMN('1-DATA'!T108)),ROUND(INDEX('1-DATA'!$1:$1048576,IF(OR($B110="STD. DEVIATION",$C$1=1),$A110,$A110+1),COLUMN('1-DATA'!T108)),IF($B110="STD. DEVIATION",2,$F$1))))</f>
        <v/>
      </c>
      <c r="V110" s="1" t="str">
        <f>IF(OR($B110="",V$7=""),"",IF($B110="MEANS",INDEX('1-DATA'!$1:$1048576,$A109-1,COLUMN('1-DATA'!U108)),ROUND(INDEX('1-DATA'!$1:$1048576,IF(OR($B110="STD. DEVIATION",$C$1=1),$A110,$A110+1),COLUMN('1-DATA'!U108)),IF($B110="STD. DEVIATION",2,$F$1))))</f>
        <v/>
      </c>
      <c r="W110" s="1" t="str">
        <f>IF(OR($B110="",W$7=""),"",IF($B110="MEANS",INDEX('1-DATA'!$1:$1048576,$A109-1,COLUMN('1-DATA'!V108)),ROUND(INDEX('1-DATA'!$1:$1048576,IF(OR($B110="STD. DEVIATION",$C$1=1),$A110,$A110+1),COLUMN('1-DATA'!V108)),IF($B110="STD. DEVIATION",2,$F$1))))</f>
        <v/>
      </c>
      <c r="X110" s="1" t="str">
        <f>IF(OR($B110="",X$7=""),"",IF($B110="MEANS",INDEX('1-DATA'!$1:$1048576,$A109-1,COLUMN('1-DATA'!W108)),ROUND(INDEX('1-DATA'!$1:$1048576,IF(OR($B110="STD. DEVIATION",$C$1=1),$A110,$A110+1),COLUMN('1-DATA'!W108)),IF($B110="STD. DEVIATION",2,$F$1))))</f>
        <v/>
      </c>
      <c r="Y110" s="1" t="str">
        <f>IF(OR($B110="",Y$7=""),"",IF($B110="MEANS",INDEX('1-DATA'!$1:$1048576,$A109-1,COLUMN('1-DATA'!X108)),ROUND(INDEX('1-DATA'!$1:$1048576,IF(OR($B110="STD. DEVIATION",$C$1=1),$A110,$A110+1),COLUMN('1-DATA'!X108)),IF($B110="STD. DEVIATION",2,$F$1))))</f>
        <v/>
      </c>
      <c r="Z110" s="1" t="str">
        <f>IF(OR($B110="",Z$7=""),"",IF($B110="MEANS",INDEX('1-DATA'!$1:$1048576,$A109-1,COLUMN('1-DATA'!Y108)),ROUND(INDEX('1-DATA'!$1:$1048576,IF(OR($B110="STD. DEVIATION",$C$1=1),$A110,$A110+1),COLUMN('1-DATA'!Y108)),IF($B110="STD. DEVIATION",2,$F$1))))</f>
        <v/>
      </c>
      <c r="AA110" s="1" t="str">
        <f>IF(OR($B110="",AA$7=""),"",IF($B110="MEANS",INDEX('1-DATA'!$1:$1048576,$A109-1,COLUMN('1-DATA'!Z108)),ROUND(INDEX('1-DATA'!$1:$1048576,IF(OR($B110="STD. DEVIATION",$C$1=1),$A110,$A110+1),COLUMN('1-DATA'!Z108)),IF($B110="STD. DEVIATION",2,$F$1))))</f>
        <v/>
      </c>
      <c r="AB110" s="1" t="str">
        <f>IF(OR($B110="",AB$7=""),"",IF($B110="MEANS",INDEX('1-DATA'!$1:$1048576,$A109-1,COLUMN('1-DATA'!AA108)),ROUND(INDEX('1-DATA'!$1:$1048576,IF(OR($B110="STD. DEVIATION",$C$1=1),$A110,$A110+1),COLUMN('1-DATA'!AA108)),IF($B110="STD. DEVIATION",2,$F$1))))</f>
        <v/>
      </c>
      <c r="AC110" s="1" t="str">
        <f>IF(OR($B110="",AC$7=""),"",IF($B110="MEANS",INDEX('1-DATA'!$1:$1048576,$A109-1,COLUMN('1-DATA'!AB108)),ROUND(INDEX('1-DATA'!$1:$1048576,IF(OR($B110="STD. DEVIATION",$C$1=1),$A110,$A110+1),COLUMN('1-DATA'!AB108)),IF($B110="STD. DEVIATION",2,$F$1))))</f>
        <v/>
      </c>
      <c r="AD110" s="1" t="str">
        <f>IF(OR($B110="",AD$7=""),"",IF($B110="MEANS",INDEX('1-DATA'!$1:$1048576,$A109-1,COLUMN('1-DATA'!AC108)),ROUND(INDEX('1-DATA'!$1:$1048576,IF(OR($B110="STD. DEVIATION",$C$1=1),$A110,$A110+1),COLUMN('1-DATA'!AC108)),IF($B110="STD. DEVIATION",2,$F$1))))</f>
        <v/>
      </c>
      <c r="AE110" s="1" t="str">
        <f>IF(OR($B110="",AE$7=""),"",IF($B110="MEANS",INDEX('1-DATA'!$1:$1048576,$A109-1,COLUMN('1-DATA'!AD108)),ROUND(INDEX('1-DATA'!$1:$1048576,IF(OR($B110="STD. DEVIATION",$C$1=1),$A110,$A110+1),COLUMN('1-DATA'!AD108)),IF($B110="STD. DEVIATION",2,$F$1))))</f>
        <v/>
      </c>
      <c r="AF110" s="1" t="str">
        <f>IF(OR($B110="",AF$7=""),"",IF($B110="MEANS",INDEX('1-DATA'!$1:$1048576,$A109-1,COLUMN('1-DATA'!AE108)),ROUND(INDEX('1-DATA'!$1:$1048576,IF(OR($B110="STD. DEVIATION",$C$1=1),$A110,$A110+1),COLUMN('1-DATA'!AE108)),IF($B110="STD. DEVIATION",2,$F$1))))</f>
        <v/>
      </c>
      <c r="AG110" s="1" t="str">
        <f>IF(OR($B110="",AG$7=""),"",IF($B110="MEANS",INDEX('1-DATA'!$1:$1048576,$A109-1,COLUMN('1-DATA'!AF108)),ROUND(INDEX('1-DATA'!$1:$1048576,IF(OR($B110="STD. DEVIATION",$C$1=1),$A110,$A110+1),COLUMN('1-DATA'!AF108)),IF($B110="STD. DEVIATION",2,$F$1))))</f>
        <v/>
      </c>
      <c r="AH110" s="1" t="str">
        <f>IF(OR($B110="",AH$7=""),"",IF($B110="MEANS",INDEX('1-DATA'!$1:$1048576,$A109-1,COLUMN('1-DATA'!AG108)),ROUND(INDEX('1-DATA'!$1:$1048576,IF(OR($B110="STD. DEVIATION",$C$1=1),$A110,$A110+1),COLUMN('1-DATA'!AG108)),IF($B110="STD. DEVIATION",2,$F$1))))</f>
        <v/>
      </c>
      <c r="AI110" s="1" t="str">
        <f>IF(OR($B110="",AI$7=""),"",IF($B110="MEANS",INDEX('1-DATA'!$1:$1048576,$A109-1,COLUMN('1-DATA'!AH108)),ROUND(INDEX('1-DATA'!$1:$1048576,IF(OR($B110="STD. DEVIATION",$C$1=1),$A110,$A110+1),COLUMN('1-DATA'!AH108)),IF($B110="STD. DEVIATION",2,$F$1))))</f>
        <v/>
      </c>
      <c r="AJ110" s="1" t="str">
        <f>IF(OR($B110="",AJ$7=""),"",IF($B110="MEANS",INDEX('1-DATA'!$1:$1048576,$A109-1,COLUMN('1-DATA'!AI108)),ROUND(INDEX('1-DATA'!$1:$1048576,IF(OR($B110="STD. DEVIATION",$C$1=1),$A110,$A110+1),COLUMN('1-DATA'!AI108)),IF($B110="STD. DEVIATION",2,$F$1))))</f>
        <v/>
      </c>
      <c r="AK110" s="1" t="str">
        <f>IF(OR($B110="",AK$7=""),"",IF($B110="MEANS",INDEX('1-DATA'!$1:$1048576,$A109-1,COLUMN('1-DATA'!AJ108)),ROUND(INDEX('1-DATA'!$1:$1048576,IF(OR($B110="STD. DEVIATION",$C$1=1),$A110,$A110+1),COLUMN('1-DATA'!AJ108)),IF($B110="STD. DEVIATION",2,$F$1))))</f>
        <v/>
      </c>
      <c r="AL110" s="1" t="str">
        <f>IF(OR($B110="",AL$7=""),"",IF($B110="MEANS",INDEX('1-DATA'!$1:$1048576,$A109-1,COLUMN('1-DATA'!AK108)),ROUND(INDEX('1-DATA'!$1:$1048576,IF(OR($B110="STD. DEVIATION",$C$1=1),$A110,$A110+1),COLUMN('1-DATA'!AK108)),IF($B110="STD. DEVIATION",2,$F$1))))</f>
        <v/>
      </c>
      <c r="AM110" s="1" t="str">
        <f>IF(OR($B110="",AM$7=""),"",IF($B110="MEANS",INDEX('1-DATA'!$1:$1048576,$A109-1,COLUMN('1-DATA'!AL108)),ROUND(INDEX('1-DATA'!$1:$1048576,IF(OR($B110="STD. DEVIATION",$C$1=1),$A110,$A110+1),COLUMN('1-DATA'!AL108)),IF($B110="STD. DEVIATION",2,$F$1))))</f>
        <v/>
      </c>
      <c r="AN110" s="1" t="str">
        <f>IF(OR($B110="",AN$7=""),"",IF($B110="MEANS",INDEX('1-DATA'!$1:$1048576,$A109-1,COLUMN('1-DATA'!AM108)),ROUND(INDEX('1-DATA'!$1:$1048576,IF(OR($B110="STD. DEVIATION",$C$1=1),$A110,$A110+1),COLUMN('1-DATA'!AM108)),IF($B110="STD. DEVIATION",2,$F$1))))</f>
        <v/>
      </c>
      <c r="AO110" s="1" t="str">
        <f>IF(OR($B110="",AO$7=""),"",IF($B110="MEANS",INDEX('1-DATA'!$1:$1048576,$A109-1,COLUMN('1-DATA'!AN108)),ROUND(INDEX('1-DATA'!$1:$1048576,IF(OR($B110="STD. DEVIATION",$C$1=1),$A110,$A110+1),COLUMN('1-DATA'!AN108)),IF($B110="STD. DEVIATION",2,$F$1))))</f>
        <v/>
      </c>
      <c r="AP110" s="1" t="str">
        <f>IF(OR($B110="",AP$7=""),"",IF($B110="MEANS",INDEX('1-DATA'!$1:$1048576,$A109-1,COLUMN('1-DATA'!AO108)),ROUND(INDEX('1-DATA'!$1:$1048576,IF(OR($B110="STD. DEVIATION",$C$1=1),$A110,$A110+1),COLUMN('1-DATA'!AO108)),IF($B110="STD. DEVIATION",2,$F$1))))</f>
        <v/>
      </c>
      <c r="AQ110" s="1" t="str">
        <f>IF(OR($B110="",AQ$7=""),"",IF($B110="MEANS",INDEX('1-DATA'!$1:$1048576,$A109-1,COLUMN('1-DATA'!AP108)),ROUND(INDEX('1-DATA'!$1:$1048576,IF(OR($B110="STD. DEVIATION",$C$1=1),$A110,$A110+1),COLUMN('1-DATA'!AP108)),IF($B110="STD. DEVIATION",2,$F$1))))</f>
        <v/>
      </c>
      <c r="AR110" s="1" t="str">
        <f>IF(OR($B110="",AR$7=""),"",IF($B110="MEANS",INDEX('1-DATA'!$1:$1048576,$A109-1,COLUMN('1-DATA'!AQ108)),ROUND(INDEX('1-DATA'!$1:$1048576,IF(OR($B110="STD. DEVIATION",$C$1=1),$A110,$A110+1),COLUMN('1-DATA'!AQ108)),IF($B110="STD. DEVIATION",2,$F$1))))</f>
        <v/>
      </c>
      <c r="AS110" s="1" t="str">
        <f>IF(OR($B110="",AS$7=""),"",IF($B110="MEANS",INDEX('1-DATA'!$1:$1048576,$A109-1,COLUMN('1-DATA'!AR108)),ROUND(INDEX('1-DATA'!$1:$1048576,IF(OR($B110="STD. DEVIATION",$C$1=1),$A110,$A110+1),COLUMN('1-DATA'!AR108)),IF($B110="STD. DEVIATION",2,$F$1))))</f>
        <v/>
      </c>
      <c r="AT110" s="1" t="str">
        <f>IF(OR($B110="",AT$7=""),"",IF($B110="MEANS",INDEX('1-DATA'!$1:$1048576,$A109-1,COLUMN('1-DATA'!AS108)),ROUND(INDEX('1-DATA'!$1:$1048576,IF(OR($B110="STD. DEVIATION",$C$1=1),$A110,$A110+1),COLUMN('1-DATA'!AS108)),IF($B110="STD. DEVIATION",2,$F$1))))</f>
        <v/>
      </c>
      <c r="AU110" s="1" t="str">
        <f>IF(OR($B110="",AU$7=""),"",IF($B110="MEANS",INDEX('1-DATA'!$1:$1048576,$A109-1,COLUMN('1-DATA'!AT108)),ROUND(INDEX('1-DATA'!$1:$1048576,IF(OR($B110="STD. DEVIATION",$C$1=1),$A110,$A110+1),COLUMN('1-DATA'!AT108)),IF($B110="STD. DEVIATION",2,$F$1))))</f>
        <v/>
      </c>
      <c r="AV110" s="1" t="str">
        <f>IF(OR($B110="",AV$7=""),"",IF($B110="MEANS",INDEX('1-DATA'!$1:$1048576,$A109-1,COLUMN('1-DATA'!AU108)),ROUND(INDEX('1-DATA'!$1:$1048576,IF(OR($B110="STD. DEVIATION",$C$1=1),$A110,$A110+1),COLUMN('1-DATA'!AU108)),IF($B110="STD. DEVIATION",2,$F$1))))</f>
        <v/>
      </c>
      <c r="AW110" s="1" t="str">
        <f>IF(OR($B110="",AW$7=""),"",IF($B110="MEANS",INDEX('1-DATA'!$1:$1048576,$A109-1,COLUMN('1-DATA'!AV108)),ROUND(INDEX('1-DATA'!$1:$1048576,IF(OR($B110="STD. DEVIATION",$C$1=1),$A110,$A110+1),COLUMN('1-DATA'!AV108)),IF($B110="STD. DEVIATION",2,$F$1))))</f>
        <v/>
      </c>
      <c r="AX110" s="1" t="str">
        <f>IF(OR($B110="",AX$7=""),"",IF($B110="MEANS",INDEX('1-DATA'!$1:$1048576,$A109-1,COLUMN('1-DATA'!AW108)),ROUND(INDEX('1-DATA'!$1:$1048576,IF(OR($B110="STD. DEVIATION",$C$1=1),$A110,$A110+1),COLUMN('1-DATA'!AW108)),IF($B110="STD. DEVIATION",2,$F$1))))</f>
        <v/>
      </c>
      <c r="AY110" s="1" t="str">
        <f>IF(OR($B110="",AY$7=""),"",IF($B110="MEANS",INDEX('1-DATA'!$1:$1048576,$A109-1,COLUMN('1-DATA'!AX108)),ROUND(INDEX('1-DATA'!$1:$1048576,IF(OR($B110="STD. DEVIATION",$C$1=1),$A110,$A110+1),COLUMN('1-DATA'!AX108)),IF($B110="STD. DEVIATION",2,$F$1))))</f>
        <v/>
      </c>
      <c r="AZ110" s="1" t="str">
        <f>IF(OR($B110="",AZ$7=""),"",IF($B110="MEANS",INDEX('1-DATA'!$1:$1048576,$A109-1,COLUMN('1-DATA'!AY108)),ROUND(INDEX('1-DATA'!$1:$1048576,IF(OR($B110="STD. DEVIATION",$C$1=1),$A110,$A110+1),COLUMN('1-DATA'!AY108)),IF($B110="STD. DEVIATION",2,$F$1))))</f>
        <v/>
      </c>
    </row>
    <row r="111" spans="1:52" x14ac:dyDescent="0.25">
      <c r="A111" s="11">
        <f t="shared" si="2"/>
        <v>319</v>
      </c>
      <c r="B111" s="1" t="str">
        <f>IF(B110="STD. DEVIATION",INDEX('1-DATA'!$1:$1048576,$A110-1,1),IF(INDEX('1-DATA'!$1:$1048576,$A111,1)&lt;&gt;"",INDEX('1-DATA'!$1:$1048576,$A111,1),""))</f>
        <v/>
      </c>
      <c r="C111" s="1" t="str">
        <f>IF(OR($B111="",C$7=""),"",IF($B111="MEANS",INDEX('1-DATA'!$1:$1048576,$A110-1,COLUMN('1-DATA'!B109)),ROUND(INDEX('1-DATA'!$1:$1048576,IF(OR($B111="STD. DEVIATION",$C$1=1),$A111,$A111+1),COLUMN('1-DATA'!B109)),IF($B111="STD. DEVIATION",2,$F$1))))</f>
        <v/>
      </c>
      <c r="D111" s="1" t="str">
        <f>IF(OR($B111="",D$7=""),"",IF($B111="MEANS",INDEX('1-DATA'!$1:$1048576,$A110-1,COLUMN('1-DATA'!C109)),ROUND(INDEX('1-DATA'!$1:$1048576,IF(OR($B111="STD. DEVIATION",$C$1=1),$A111,$A111+1),COLUMN('1-DATA'!C109)),IF($B111="STD. DEVIATION",2,$F$1))))</f>
        <v/>
      </c>
      <c r="E111" s="1" t="str">
        <f>IF(OR($B111="",E$7=""),"",IF($B111="MEANS",INDEX('1-DATA'!$1:$1048576,$A110-1,COLUMN('1-DATA'!D109)),ROUND(INDEX('1-DATA'!$1:$1048576,IF(OR($B111="STD. DEVIATION",$C$1=1),$A111,$A111+1),COLUMN('1-DATA'!D109)),IF($B111="STD. DEVIATION",2,$F$1))))</f>
        <v/>
      </c>
      <c r="F111" s="1" t="str">
        <f>IF(OR($B111="",F$7=""),"",IF($B111="MEANS",INDEX('1-DATA'!$1:$1048576,$A110-1,COLUMN('1-DATA'!E109)),ROUND(INDEX('1-DATA'!$1:$1048576,IF(OR($B111="STD. DEVIATION",$C$1=1),$A111,$A111+1),COLUMN('1-DATA'!E109)),IF($B111="STD. DEVIATION",2,$F$1))))</f>
        <v/>
      </c>
      <c r="G111" s="1" t="str">
        <f>IF(OR($B111="",G$7=""),"",IF($B111="MEANS",INDEX('1-DATA'!$1:$1048576,$A110-1,COLUMN('1-DATA'!F109)),ROUND(INDEX('1-DATA'!$1:$1048576,IF(OR($B111="STD. DEVIATION",$C$1=1),$A111,$A111+1),COLUMN('1-DATA'!F109)),IF($B111="STD. DEVIATION",2,$F$1))))</f>
        <v/>
      </c>
      <c r="H111" s="1" t="str">
        <f>IF(OR($B111="",H$7=""),"",IF($B111="MEANS",INDEX('1-DATA'!$1:$1048576,$A110-1,COLUMN('1-DATA'!G109)),ROUND(INDEX('1-DATA'!$1:$1048576,IF(OR($B111="STD. DEVIATION",$C$1=1),$A111,$A111+1),COLUMN('1-DATA'!G109)),IF($B111="STD. DEVIATION",2,$F$1))))</f>
        <v/>
      </c>
      <c r="I111" s="1" t="str">
        <f>IF(OR($B111="",I$7=""),"",IF($B111="MEANS",INDEX('1-DATA'!$1:$1048576,$A110-1,COLUMN('1-DATA'!H109)),ROUND(INDEX('1-DATA'!$1:$1048576,IF(OR($B111="STD. DEVIATION",$C$1=1),$A111,$A111+1),COLUMN('1-DATA'!H109)),IF($B111="STD. DEVIATION",2,$F$1))))</f>
        <v/>
      </c>
      <c r="J111" s="1" t="str">
        <f>IF(OR($B111="",J$7=""),"",IF($B111="MEANS",INDEX('1-DATA'!$1:$1048576,$A110-1,COLUMN('1-DATA'!I109)),ROUND(INDEX('1-DATA'!$1:$1048576,IF(OR($B111="STD. DEVIATION",$C$1=1),$A111,$A111+1),COLUMN('1-DATA'!I109)),IF($B111="STD. DEVIATION",2,$F$1))))</f>
        <v/>
      </c>
      <c r="K111" s="1" t="str">
        <f>IF(OR($B111="",K$7=""),"",IF($B111="MEANS",INDEX('1-DATA'!$1:$1048576,$A110-1,COLUMN('1-DATA'!J109)),ROUND(INDEX('1-DATA'!$1:$1048576,IF(OR($B111="STD. DEVIATION",$C$1=1),$A111,$A111+1),COLUMN('1-DATA'!J109)),IF($B111="STD. DEVIATION",2,$F$1))))</f>
        <v/>
      </c>
      <c r="L111" s="1" t="str">
        <f>IF(OR($B111="",L$7=""),"",IF($B111="MEANS",INDEX('1-DATA'!$1:$1048576,$A110-1,COLUMN('1-DATA'!K109)),ROUND(INDEX('1-DATA'!$1:$1048576,IF(OR($B111="STD. DEVIATION",$C$1=1),$A111,$A111+1),COLUMN('1-DATA'!K109)),IF($B111="STD. DEVIATION",2,$F$1))))</f>
        <v/>
      </c>
      <c r="M111" s="1" t="str">
        <f>IF(OR($B111="",M$7=""),"",IF($B111="MEANS",INDEX('1-DATA'!$1:$1048576,$A110-1,COLUMN('1-DATA'!L109)),ROUND(INDEX('1-DATA'!$1:$1048576,IF(OR($B111="STD. DEVIATION",$C$1=1),$A111,$A111+1),COLUMN('1-DATA'!L109)),IF($B111="STD. DEVIATION",2,$F$1))))</f>
        <v/>
      </c>
      <c r="N111" s="1" t="str">
        <f>IF(OR($B111="",N$7=""),"",IF($B111="MEANS",INDEX('1-DATA'!$1:$1048576,$A110-1,COLUMN('1-DATA'!M109)),ROUND(INDEX('1-DATA'!$1:$1048576,IF(OR($B111="STD. DEVIATION",$C$1=1),$A111,$A111+1),COLUMN('1-DATA'!M109)),IF($B111="STD. DEVIATION",2,$F$1))))</f>
        <v/>
      </c>
      <c r="O111" s="1" t="str">
        <f>IF(OR($B111="",O$7=""),"",IF($B111="MEANS",INDEX('1-DATA'!$1:$1048576,$A110-1,COLUMN('1-DATA'!N109)),ROUND(INDEX('1-DATA'!$1:$1048576,IF(OR($B111="STD. DEVIATION",$C$1=1),$A111,$A111+1),COLUMN('1-DATA'!N109)),IF($B111="STD. DEVIATION",2,$F$1))))</f>
        <v/>
      </c>
      <c r="P111" s="1" t="str">
        <f>IF(OR($B111="",P$7=""),"",IF($B111="MEANS",INDEX('1-DATA'!$1:$1048576,$A110-1,COLUMN('1-DATA'!O109)),ROUND(INDEX('1-DATA'!$1:$1048576,IF(OR($B111="STD. DEVIATION",$C$1=1),$A111,$A111+1),COLUMN('1-DATA'!O109)),IF($B111="STD. DEVIATION",2,$F$1))))</f>
        <v/>
      </c>
      <c r="Q111" s="1" t="str">
        <f>IF(OR($B111="",Q$7=""),"",IF($B111="MEANS",INDEX('1-DATA'!$1:$1048576,$A110-1,COLUMN('1-DATA'!P109)),ROUND(INDEX('1-DATA'!$1:$1048576,IF(OR($B111="STD. DEVIATION",$C$1=1),$A111,$A111+1),COLUMN('1-DATA'!P109)),IF($B111="STD. DEVIATION",2,$F$1))))</f>
        <v/>
      </c>
      <c r="R111" s="1" t="str">
        <f>IF(OR($B111="",R$7=""),"",IF($B111="MEANS",INDEX('1-DATA'!$1:$1048576,$A110-1,COLUMN('1-DATA'!Q109)),ROUND(INDEX('1-DATA'!$1:$1048576,IF(OR($B111="STD. DEVIATION",$C$1=1),$A111,$A111+1),COLUMN('1-DATA'!Q109)),IF($B111="STD. DEVIATION",2,$F$1))))</f>
        <v/>
      </c>
      <c r="S111" s="1" t="str">
        <f>IF(OR($B111="",S$7=""),"",IF($B111="MEANS",INDEX('1-DATA'!$1:$1048576,$A110-1,COLUMN('1-DATA'!R109)),ROUND(INDEX('1-DATA'!$1:$1048576,IF(OR($B111="STD. DEVIATION",$C$1=1),$A111,$A111+1),COLUMN('1-DATA'!R109)),IF($B111="STD. DEVIATION",2,$F$1))))</f>
        <v/>
      </c>
      <c r="T111" s="1" t="str">
        <f>IF(OR($B111="",T$7=""),"",IF($B111="MEANS",INDEX('1-DATA'!$1:$1048576,$A110-1,COLUMN('1-DATA'!S109)),ROUND(INDEX('1-DATA'!$1:$1048576,IF(OR($B111="STD. DEVIATION",$C$1=1),$A111,$A111+1),COLUMN('1-DATA'!S109)),IF($B111="STD. DEVIATION",2,$F$1))))</f>
        <v/>
      </c>
      <c r="U111" s="1" t="str">
        <f>IF(OR($B111="",U$7=""),"",IF($B111="MEANS",INDEX('1-DATA'!$1:$1048576,$A110-1,COLUMN('1-DATA'!T109)),ROUND(INDEX('1-DATA'!$1:$1048576,IF(OR($B111="STD. DEVIATION",$C$1=1),$A111,$A111+1),COLUMN('1-DATA'!T109)),IF($B111="STD. DEVIATION",2,$F$1))))</f>
        <v/>
      </c>
      <c r="V111" s="1" t="str">
        <f>IF(OR($B111="",V$7=""),"",IF($B111="MEANS",INDEX('1-DATA'!$1:$1048576,$A110-1,COLUMN('1-DATA'!U109)),ROUND(INDEX('1-DATA'!$1:$1048576,IF(OR($B111="STD. DEVIATION",$C$1=1),$A111,$A111+1),COLUMN('1-DATA'!U109)),IF($B111="STD. DEVIATION",2,$F$1))))</f>
        <v/>
      </c>
      <c r="W111" s="1" t="str">
        <f>IF(OR($B111="",W$7=""),"",IF($B111="MEANS",INDEX('1-DATA'!$1:$1048576,$A110-1,COLUMN('1-DATA'!V109)),ROUND(INDEX('1-DATA'!$1:$1048576,IF(OR($B111="STD. DEVIATION",$C$1=1),$A111,$A111+1),COLUMN('1-DATA'!V109)),IF($B111="STD. DEVIATION",2,$F$1))))</f>
        <v/>
      </c>
      <c r="X111" s="1" t="str">
        <f>IF(OR($B111="",X$7=""),"",IF($B111="MEANS",INDEX('1-DATA'!$1:$1048576,$A110-1,COLUMN('1-DATA'!W109)),ROUND(INDEX('1-DATA'!$1:$1048576,IF(OR($B111="STD. DEVIATION",$C$1=1),$A111,$A111+1),COLUMN('1-DATA'!W109)),IF($B111="STD. DEVIATION",2,$F$1))))</f>
        <v/>
      </c>
      <c r="Y111" s="1" t="str">
        <f>IF(OR($B111="",Y$7=""),"",IF($B111="MEANS",INDEX('1-DATA'!$1:$1048576,$A110-1,COLUMN('1-DATA'!X109)),ROUND(INDEX('1-DATA'!$1:$1048576,IF(OR($B111="STD. DEVIATION",$C$1=1),$A111,$A111+1),COLUMN('1-DATA'!X109)),IF($B111="STD. DEVIATION",2,$F$1))))</f>
        <v/>
      </c>
      <c r="Z111" s="1" t="str">
        <f>IF(OR($B111="",Z$7=""),"",IF($B111="MEANS",INDEX('1-DATA'!$1:$1048576,$A110-1,COLUMN('1-DATA'!Y109)),ROUND(INDEX('1-DATA'!$1:$1048576,IF(OR($B111="STD. DEVIATION",$C$1=1),$A111,$A111+1),COLUMN('1-DATA'!Y109)),IF($B111="STD. DEVIATION",2,$F$1))))</f>
        <v/>
      </c>
      <c r="AA111" s="1" t="str">
        <f>IF(OR($B111="",AA$7=""),"",IF($B111="MEANS",INDEX('1-DATA'!$1:$1048576,$A110-1,COLUMN('1-DATA'!Z109)),ROUND(INDEX('1-DATA'!$1:$1048576,IF(OR($B111="STD. DEVIATION",$C$1=1),$A111,$A111+1),COLUMN('1-DATA'!Z109)),IF($B111="STD. DEVIATION",2,$F$1))))</f>
        <v/>
      </c>
      <c r="AB111" s="1" t="str">
        <f>IF(OR($B111="",AB$7=""),"",IF($B111="MEANS",INDEX('1-DATA'!$1:$1048576,$A110-1,COLUMN('1-DATA'!AA109)),ROUND(INDEX('1-DATA'!$1:$1048576,IF(OR($B111="STD. DEVIATION",$C$1=1),$A111,$A111+1),COLUMN('1-DATA'!AA109)),IF($B111="STD. DEVIATION",2,$F$1))))</f>
        <v/>
      </c>
      <c r="AC111" s="1" t="str">
        <f>IF(OR($B111="",AC$7=""),"",IF($B111="MEANS",INDEX('1-DATA'!$1:$1048576,$A110-1,COLUMN('1-DATA'!AB109)),ROUND(INDEX('1-DATA'!$1:$1048576,IF(OR($B111="STD. DEVIATION",$C$1=1),$A111,$A111+1),COLUMN('1-DATA'!AB109)),IF($B111="STD. DEVIATION",2,$F$1))))</f>
        <v/>
      </c>
      <c r="AD111" s="1" t="str">
        <f>IF(OR($B111="",AD$7=""),"",IF($B111="MEANS",INDEX('1-DATA'!$1:$1048576,$A110-1,COLUMN('1-DATA'!AC109)),ROUND(INDEX('1-DATA'!$1:$1048576,IF(OR($B111="STD. DEVIATION",$C$1=1),$A111,$A111+1),COLUMN('1-DATA'!AC109)),IF($B111="STD. DEVIATION",2,$F$1))))</f>
        <v/>
      </c>
      <c r="AE111" s="1" t="str">
        <f>IF(OR($B111="",AE$7=""),"",IF($B111="MEANS",INDEX('1-DATA'!$1:$1048576,$A110-1,COLUMN('1-DATA'!AD109)),ROUND(INDEX('1-DATA'!$1:$1048576,IF(OR($B111="STD. DEVIATION",$C$1=1),$A111,$A111+1),COLUMN('1-DATA'!AD109)),IF($B111="STD. DEVIATION",2,$F$1))))</f>
        <v/>
      </c>
      <c r="AF111" s="1" t="str">
        <f>IF(OR($B111="",AF$7=""),"",IF($B111="MEANS",INDEX('1-DATA'!$1:$1048576,$A110-1,COLUMN('1-DATA'!AE109)),ROUND(INDEX('1-DATA'!$1:$1048576,IF(OR($B111="STD. DEVIATION",$C$1=1),$A111,$A111+1),COLUMN('1-DATA'!AE109)),IF($B111="STD. DEVIATION",2,$F$1))))</f>
        <v/>
      </c>
      <c r="AG111" s="1" t="str">
        <f>IF(OR($B111="",AG$7=""),"",IF($B111="MEANS",INDEX('1-DATA'!$1:$1048576,$A110-1,COLUMN('1-DATA'!AF109)),ROUND(INDEX('1-DATA'!$1:$1048576,IF(OR($B111="STD. DEVIATION",$C$1=1),$A111,$A111+1),COLUMN('1-DATA'!AF109)),IF($B111="STD. DEVIATION",2,$F$1))))</f>
        <v/>
      </c>
      <c r="AH111" s="1" t="str">
        <f>IF(OR($B111="",AH$7=""),"",IF($B111="MEANS",INDEX('1-DATA'!$1:$1048576,$A110-1,COLUMN('1-DATA'!AG109)),ROUND(INDEX('1-DATA'!$1:$1048576,IF(OR($B111="STD. DEVIATION",$C$1=1),$A111,$A111+1),COLUMN('1-DATA'!AG109)),IF($B111="STD. DEVIATION",2,$F$1))))</f>
        <v/>
      </c>
      <c r="AI111" s="1" t="str">
        <f>IF(OR($B111="",AI$7=""),"",IF($B111="MEANS",INDEX('1-DATA'!$1:$1048576,$A110-1,COLUMN('1-DATA'!AH109)),ROUND(INDEX('1-DATA'!$1:$1048576,IF(OR($B111="STD. DEVIATION",$C$1=1),$A111,$A111+1),COLUMN('1-DATA'!AH109)),IF($B111="STD. DEVIATION",2,$F$1))))</f>
        <v/>
      </c>
      <c r="AJ111" s="1" t="str">
        <f>IF(OR($B111="",AJ$7=""),"",IF($B111="MEANS",INDEX('1-DATA'!$1:$1048576,$A110-1,COLUMN('1-DATA'!AI109)),ROUND(INDEX('1-DATA'!$1:$1048576,IF(OR($B111="STD. DEVIATION",$C$1=1),$A111,$A111+1),COLUMN('1-DATA'!AI109)),IF($B111="STD. DEVIATION",2,$F$1))))</f>
        <v/>
      </c>
      <c r="AK111" s="1" t="str">
        <f>IF(OR($B111="",AK$7=""),"",IF($B111="MEANS",INDEX('1-DATA'!$1:$1048576,$A110-1,COLUMN('1-DATA'!AJ109)),ROUND(INDEX('1-DATA'!$1:$1048576,IF(OR($B111="STD. DEVIATION",$C$1=1),$A111,$A111+1),COLUMN('1-DATA'!AJ109)),IF($B111="STD. DEVIATION",2,$F$1))))</f>
        <v/>
      </c>
      <c r="AL111" s="1" t="str">
        <f>IF(OR($B111="",AL$7=""),"",IF($B111="MEANS",INDEX('1-DATA'!$1:$1048576,$A110-1,COLUMN('1-DATA'!AK109)),ROUND(INDEX('1-DATA'!$1:$1048576,IF(OR($B111="STD. DEVIATION",$C$1=1),$A111,$A111+1),COLUMN('1-DATA'!AK109)),IF($B111="STD. DEVIATION",2,$F$1))))</f>
        <v/>
      </c>
      <c r="AM111" s="1" t="str">
        <f>IF(OR($B111="",AM$7=""),"",IF($B111="MEANS",INDEX('1-DATA'!$1:$1048576,$A110-1,COLUMN('1-DATA'!AL109)),ROUND(INDEX('1-DATA'!$1:$1048576,IF(OR($B111="STD. DEVIATION",$C$1=1),$A111,$A111+1),COLUMN('1-DATA'!AL109)),IF($B111="STD. DEVIATION",2,$F$1))))</f>
        <v/>
      </c>
      <c r="AN111" s="1" t="str">
        <f>IF(OR($B111="",AN$7=""),"",IF($B111="MEANS",INDEX('1-DATA'!$1:$1048576,$A110-1,COLUMN('1-DATA'!AM109)),ROUND(INDEX('1-DATA'!$1:$1048576,IF(OR($B111="STD. DEVIATION",$C$1=1),$A111,$A111+1),COLUMN('1-DATA'!AM109)),IF($B111="STD. DEVIATION",2,$F$1))))</f>
        <v/>
      </c>
      <c r="AO111" s="1" t="str">
        <f>IF(OR($B111="",AO$7=""),"",IF($B111="MEANS",INDEX('1-DATA'!$1:$1048576,$A110-1,COLUMN('1-DATA'!AN109)),ROUND(INDEX('1-DATA'!$1:$1048576,IF(OR($B111="STD. DEVIATION",$C$1=1),$A111,$A111+1),COLUMN('1-DATA'!AN109)),IF($B111="STD. DEVIATION",2,$F$1))))</f>
        <v/>
      </c>
      <c r="AP111" s="1" t="str">
        <f>IF(OR($B111="",AP$7=""),"",IF($B111="MEANS",INDEX('1-DATA'!$1:$1048576,$A110-1,COLUMN('1-DATA'!AO109)),ROUND(INDEX('1-DATA'!$1:$1048576,IF(OR($B111="STD. DEVIATION",$C$1=1),$A111,$A111+1),COLUMN('1-DATA'!AO109)),IF($B111="STD. DEVIATION",2,$F$1))))</f>
        <v/>
      </c>
      <c r="AQ111" s="1" t="str">
        <f>IF(OR($B111="",AQ$7=""),"",IF($B111="MEANS",INDEX('1-DATA'!$1:$1048576,$A110-1,COLUMN('1-DATA'!AP109)),ROUND(INDEX('1-DATA'!$1:$1048576,IF(OR($B111="STD. DEVIATION",$C$1=1),$A111,$A111+1),COLUMN('1-DATA'!AP109)),IF($B111="STD. DEVIATION",2,$F$1))))</f>
        <v/>
      </c>
      <c r="AR111" s="1" t="str">
        <f>IF(OR($B111="",AR$7=""),"",IF($B111="MEANS",INDEX('1-DATA'!$1:$1048576,$A110-1,COLUMN('1-DATA'!AQ109)),ROUND(INDEX('1-DATA'!$1:$1048576,IF(OR($B111="STD. DEVIATION",$C$1=1),$A111,$A111+1),COLUMN('1-DATA'!AQ109)),IF($B111="STD. DEVIATION",2,$F$1))))</f>
        <v/>
      </c>
      <c r="AS111" s="1" t="str">
        <f>IF(OR($B111="",AS$7=""),"",IF($B111="MEANS",INDEX('1-DATA'!$1:$1048576,$A110-1,COLUMN('1-DATA'!AR109)),ROUND(INDEX('1-DATA'!$1:$1048576,IF(OR($B111="STD. DEVIATION",$C$1=1),$A111,$A111+1),COLUMN('1-DATA'!AR109)),IF($B111="STD. DEVIATION",2,$F$1))))</f>
        <v/>
      </c>
      <c r="AT111" s="1" t="str">
        <f>IF(OR($B111="",AT$7=""),"",IF($B111="MEANS",INDEX('1-DATA'!$1:$1048576,$A110-1,COLUMN('1-DATA'!AS109)),ROUND(INDEX('1-DATA'!$1:$1048576,IF(OR($B111="STD. DEVIATION",$C$1=1),$A111,$A111+1),COLUMN('1-DATA'!AS109)),IF($B111="STD. DEVIATION",2,$F$1))))</f>
        <v/>
      </c>
      <c r="AU111" s="1" t="str">
        <f>IF(OR($B111="",AU$7=""),"",IF($B111="MEANS",INDEX('1-DATA'!$1:$1048576,$A110-1,COLUMN('1-DATA'!AT109)),ROUND(INDEX('1-DATA'!$1:$1048576,IF(OR($B111="STD. DEVIATION",$C$1=1),$A111,$A111+1),COLUMN('1-DATA'!AT109)),IF($B111="STD. DEVIATION",2,$F$1))))</f>
        <v/>
      </c>
      <c r="AV111" s="1" t="str">
        <f>IF(OR($B111="",AV$7=""),"",IF($B111="MEANS",INDEX('1-DATA'!$1:$1048576,$A110-1,COLUMN('1-DATA'!AU109)),ROUND(INDEX('1-DATA'!$1:$1048576,IF(OR($B111="STD. DEVIATION",$C$1=1),$A111,$A111+1),COLUMN('1-DATA'!AU109)),IF($B111="STD. DEVIATION",2,$F$1))))</f>
        <v/>
      </c>
      <c r="AW111" s="1" t="str">
        <f>IF(OR($B111="",AW$7=""),"",IF($B111="MEANS",INDEX('1-DATA'!$1:$1048576,$A110-1,COLUMN('1-DATA'!AV109)),ROUND(INDEX('1-DATA'!$1:$1048576,IF(OR($B111="STD. DEVIATION",$C$1=1),$A111,$A111+1),COLUMN('1-DATA'!AV109)),IF($B111="STD. DEVIATION",2,$F$1))))</f>
        <v/>
      </c>
      <c r="AX111" s="1" t="str">
        <f>IF(OR($B111="",AX$7=""),"",IF($B111="MEANS",INDEX('1-DATA'!$1:$1048576,$A110-1,COLUMN('1-DATA'!AW109)),ROUND(INDEX('1-DATA'!$1:$1048576,IF(OR($B111="STD. DEVIATION",$C$1=1),$A111,$A111+1),COLUMN('1-DATA'!AW109)),IF($B111="STD. DEVIATION",2,$F$1))))</f>
        <v/>
      </c>
      <c r="AY111" s="1" t="str">
        <f>IF(OR($B111="",AY$7=""),"",IF($B111="MEANS",INDEX('1-DATA'!$1:$1048576,$A110-1,COLUMN('1-DATA'!AX109)),ROUND(INDEX('1-DATA'!$1:$1048576,IF(OR($B111="STD. DEVIATION",$C$1=1),$A111,$A111+1),COLUMN('1-DATA'!AX109)),IF($B111="STD. DEVIATION",2,$F$1))))</f>
        <v/>
      </c>
      <c r="AZ111" s="1" t="str">
        <f>IF(OR($B111="",AZ$7=""),"",IF($B111="MEANS",INDEX('1-DATA'!$1:$1048576,$A110-1,COLUMN('1-DATA'!AY109)),ROUND(INDEX('1-DATA'!$1:$1048576,IF(OR($B111="STD. DEVIATION",$C$1=1),$A111,$A111+1),COLUMN('1-DATA'!AY109)),IF($B111="STD. DEVIATION",2,$F$1))))</f>
        <v/>
      </c>
    </row>
    <row r="112" spans="1:52" x14ac:dyDescent="0.25">
      <c r="A112" s="11">
        <f t="shared" si="2"/>
        <v>322</v>
      </c>
      <c r="B112" s="1" t="str">
        <f>IF(B111="STD. DEVIATION",INDEX('1-DATA'!$1:$1048576,$A111-1,1),IF(INDEX('1-DATA'!$1:$1048576,$A112,1)&lt;&gt;"",INDEX('1-DATA'!$1:$1048576,$A112,1),""))</f>
        <v/>
      </c>
      <c r="C112" s="1" t="str">
        <f>IF(OR($B112="",C$7=""),"",IF($B112="MEANS",INDEX('1-DATA'!$1:$1048576,$A111-1,COLUMN('1-DATA'!B110)),ROUND(INDEX('1-DATA'!$1:$1048576,IF(OR($B112="STD. DEVIATION",$C$1=1),$A112,$A112+1),COLUMN('1-DATA'!B110)),IF($B112="STD. DEVIATION",2,$F$1))))</f>
        <v/>
      </c>
      <c r="D112" s="1" t="str">
        <f>IF(OR($B112="",D$7=""),"",IF($B112="MEANS",INDEX('1-DATA'!$1:$1048576,$A111-1,COLUMN('1-DATA'!C110)),ROUND(INDEX('1-DATA'!$1:$1048576,IF(OR($B112="STD. DEVIATION",$C$1=1),$A112,$A112+1),COLUMN('1-DATA'!C110)),IF($B112="STD. DEVIATION",2,$F$1))))</f>
        <v/>
      </c>
      <c r="E112" s="1" t="str">
        <f>IF(OR($B112="",E$7=""),"",IF($B112="MEANS",INDEX('1-DATA'!$1:$1048576,$A111-1,COLUMN('1-DATA'!D110)),ROUND(INDEX('1-DATA'!$1:$1048576,IF(OR($B112="STD. DEVIATION",$C$1=1),$A112,$A112+1),COLUMN('1-DATA'!D110)),IF($B112="STD. DEVIATION",2,$F$1))))</f>
        <v/>
      </c>
      <c r="F112" s="1" t="str">
        <f>IF(OR($B112="",F$7=""),"",IF($B112="MEANS",INDEX('1-DATA'!$1:$1048576,$A111-1,COLUMN('1-DATA'!E110)),ROUND(INDEX('1-DATA'!$1:$1048576,IF(OR($B112="STD. DEVIATION",$C$1=1),$A112,$A112+1),COLUMN('1-DATA'!E110)),IF($B112="STD. DEVIATION",2,$F$1))))</f>
        <v/>
      </c>
      <c r="G112" s="1" t="str">
        <f>IF(OR($B112="",G$7=""),"",IF($B112="MEANS",INDEX('1-DATA'!$1:$1048576,$A111-1,COLUMN('1-DATA'!F110)),ROUND(INDEX('1-DATA'!$1:$1048576,IF(OR($B112="STD. DEVIATION",$C$1=1),$A112,$A112+1),COLUMN('1-DATA'!F110)),IF($B112="STD. DEVIATION",2,$F$1))))</f>
        <v/>
      </c>
      <c r="H112" s="1" t="str">
        <f>IF(OR($B112="",H$7=""),"",IF($B112="MEANS",INDEX('1-DATA'!$1:$1048576,$A111-1,COLUMN('1-DATA'!G110)),ROUND(INDEX('1-DATA'!$1:$1048576,IF(OR($B112="STD. DEVIATION",$C$1=1),$A112,$A112+1),COLUMN('1-DATA'!G110)),IF($B112="STD. DEVIATION",2,$F$1))))</f>
        <v/>
      </c>
      <c r="I112" s="1" t="str">
        <f>IF(OR($B112="",I$7=""),"",IF($B112="MEANS",INDEX('1-DATA'!$1:$1048576,$A111-1,COLUMN('1-DATA'!H110)),ROUND(INDEX('1-DATA'!$1:$1048576,IF(OR($B112="STD. DEVIATION",$C$1=1),$A112,$A112+1),COLUMN('1-DATA'!H110)),IF($B112="STD. DEVIATION",2,$F$1))))</f>
        <v/>
      </c>
      <c r="J112" s="1" t="str">
        <f>IF(OR($B112="",J$7=""),"",IF($B112="MEANS",INDEX('1-DATA'!$1:$1048576,$A111-1,COLUMN('1-DATA'!I110)),ROUND(INDEX('1-DATA'!$1:$1048576,IF(OR($B112="STD. DEVIATION",$C$1=1),$A112,$A112+1),COLUMN('1-DATA'!I110)),IF($B112="STD. DEVIATION",2,$F$1))))</f>
        <v/>
      </c>
      <c r="K112" s="1" t="str">
        <f>IF(OR($B112="",K$7=""),"",IF($B112="MEANS",INDEX('1-DATA'!$1:$1048576,$A111-1,COLUMN('1-DATA'!J110)),ROUND(INDEX('1-DATA'!$1:$1048576,IF(OR($B112="STD. DEVIATION",$C$1=1),$A112,$A112+1),COLUMN('1-DATA'!J110)),IF($B112="STD. DEVIATION",2,$F$1))))</f>
        <v/>
      </c>
      <c r="L112" s="1" t="str">
        <f>IF(OR($B112="",L$7=""),"",IF($B112="MEANS",INDEX('1-DATA'!$1:$1048576,$A111-1,COLUMN('1-DATA'!K110)),ROUND(INDEX('1-DATA'!$1:$1048576,IF(OR($B112="STD. DEVIATION",$C$1=1),$A112,$A112+1),COLUMN('1-DATA'!K110)),IF($B112="STD. DEVIATION",2,$F$1))))</f>
        <v/>
      </c>
      <c r="M112" s="1" t="str">
        <f>IF(OR($B112="",M$7=""),"",IF($B112="MEANS",INDEX('1-DATA'!$1:$1048576,$A111-1,COLUMN('1-DATA'!L110)),ROUND(INDEX('1-DATA'!$1:$1048576,IF(OR($B112="STD. DEVIATION",$C$1=1),$A112,$A112+1),COLUMN('1-DATA'!L110)),IF($B112="STD. DEVIATION",2,$F$1))))</f>
        <v/>
      </c>
      <c r="N112" s="1" t="str">
        <f>IF(OR($B112="",N$7=""),"",IF($B112="MEANS",INDEX('1-DATA'!$1:$1048576,$A111-1,COLUMN('1-DATA'!M110)),ROUND(INDEX('1-DATA'!$1:$1048576,IF(OR($B112="STD. DEVIATION",$C$1=1),$A112,$A112+1),COLUMN('1-DATA'!M110)),IF($B112="STD. DEVIATION",2,$F$1))))</f>
        <v/>
      </c>
      <c r="O112" s="1" t="str">
        <f>IF(OR($B112="",O$7=""),"",IF($B112="MEANS",INDEX('1-DATA'!$1:$1048576,$A111-1,COLUMN('1-DATA'!N110)),ROUND(INDEX('1-DATA'!$1:$1048576,IF(OR($B112="STD. DEVIATION",$C$1=1),$A112,$A112+1),COLUMN('1-DATA'!N110)),IF($B112="STD. DEVIATION",2,$F$1))))</f>
        <v/>
      </c>
      <c r="P112" s="1" t="str">
        <f>IF(OR($B112="",P$7=""),"",IF($B112="MEANS",INDEX('1-DATA'!$1:$1048576,$A111-1,COLUMN('1-DATA'!O110)),ROUND(INDEX('1-DATA'!$1:$1048576,IF(OR($B112="STD. DEVIATION",$C$1=1),$A112,$A112+1),COLUMN('1-DATA'!O110)),IF($B112="STD. DEVIATION",2,$F$1))))</f>
        <v/>
      </c>
      <c r="Q112" s="1" t="str">
        <f>IF(OR($B112="",Q$7=""),"",IF($B112="MEANS",INDEX('1-DATA'!$1:$1048576,$A111-1,COLUMN('1-DATA'!P110)),ROUND(INDEX('1-DATA'!$1:$1048576,IF(OR($B112="STD. DEVIATION",$C$1=1),$A112,$A112+1),COLUMN('1-DATA'!P110)),IF($B112="STD. DEVIATION",2,$F$1))))</f>
        <v/>
      </c>
      <c r="R112" s="1" t="str">
        <f>IF(OR($B112="",R$7=""),"",IF($B112="MEANS",INDEX('1-DATA'!$1:$1048576,$A111-1,COLUMN('1-DATA'!Q110)),ROUND(INDEX('1-DATA'!$1:$1048576,IF(OR($B112="STD. DEVIATION",$C$1=1),$A112,$A112+1),COLUMN('1-DATA'!Q110)),IF($B112="STD. DEVIATION",2,$F$1))))</f>
        <v/>
      </c>
      <c r="S112" s="1" t="str">
        <f>IF(OR($B112="",S$7=""),"",IF($B112="MEANS",INDEX('1-DATA'!$1:$1048576,$A111-1,COLUMN('1-DATA'!R110)),ROUND(INDEX('1-DATA'!$1:$1048576,IF(OR($B112="STD. DEVIATION",$C$1=1),$A112,$A112+1),COLUMN('1-DATA'!R110)),IF($B112="STD. DEVIATION",2,$F$1))))</f>
        <v/>
      </c>
      <c r="T112" s="1" t="str">
        <f>IF(OR($B112="",T$7=""),"",IF($B112="MEANS",INDEX('1-DATA'!$1:$1048576,$A111-1,COLUMN('1-DATA'!S110)),ROUND(INDEX('1-DATA'!$1:$1048576,IF(OR($B112="STD. DEVIATION",$C$1=1),$A112,$A112+1),COLUMN('1-DATA'!S110)),IF($B112="STD. DEVIATION",2,$F$1))))</f>
        <v/>
      </c>
      <c r="U112" s="1" t="str">
        <f>IF(OR($B112="",U$7=""),"",IF($B112="MEANS",INDEX('1-DATA'!$1:$1048576,$A111-1,COLUMN('1-DATA'!T110)),ROUND(INDEX('1-DATA'!$1:$1048576,IF(OR($B112="STD. DEVIATION",$C$1=1),$A112,$A112+1),COLUMN('1-DATA'!T110)),IF($B112="STD. DEVIATION",2,$F$1))))</f>
        <v/>
      </c>
      <c r="V112" s="1" t="str">
        <f>IF(OR($B112="",V$7=""),"",IF($B112="MEANS",INDEX('1-DATA'!$1:$1048576,$A111-1,COLUMN('1-DATA'!U110)),ROUND(INDEX('1-DATA'!$1:$1048576,IF(OR($B112="STD. DEVIATION",$C$1=1),$A112,$A112+1),COLUMN('1-DATA'!U110)),IF($B112="STD. DEVIATION",2,$F$1))))</f>
        <v/>
      </c>
      <c r="W112" s="1" t="str">
        <f>IF(OR($B112="",W$7=""),"",IF($B112="MEANS",INDEX('1-DATA'!$1:$1048576,$A111-1,COLUMN('1-DATA'!V110)),ROUND(INDEX('1-DATA'!$1:$1048576,IF(OR($B112="STD. DEVIATION",$C$1=1),$A112,$A112+1),COLUMN('1-DATA'!V110)),IF($B112="STD. DEVIATION",2,$F$1))))</f>
        <v/>
      </c>
      <c r="X112" s="1" t="str">
        <f>IF(OR($B112="",X$7=""),"",IF($B112="MEANS",INDEX('1-DATA'!$1:$1048576,$A111-1,COLUMN('1-DATA'!W110)),ROUND(INDEX('1-DATA'!$1:$1048576,IF(OR($B112="STD. DEVIATION",$C$1=1),$A112,$A112+1),COLUMN('1-DATA'!W110)),IF($B112="STD. DEVIATION",2,$F$1))))</f>
        <v/>
      </c>
      <c r="Y112" s="1" t="str">
        <f>IF(OR($B112="",Y$7=""),"",IF($B112="MEANS",INDEX('1-DATA'!$1:$1048576,$A111-1,COLUMN('1-DATA'!X110)),ROUND(INDEX('1-DATA'!$1:$1048576,IF(OR($B112="STD. DEVIATION",$C$1=1),$A112,$A112+1),COLUMN('1-DATA'!X110)),IF($B112="STD. DEVIATION",2,$F$1))))</f>
        <v/>
      </c>
      <c r="Z112" s="1" t="str">
        <f>IF(OR($B112="",Z$7=""),"",IF($B112="MEANS",INDEX('1-DATA'!$1:$1048576,$A111-1,COLUMN('1-DATA'!Y110)),ROUND(INDEX('1-DATA'!$1:$1048576,IF(OR($B112="STD. DEVIATION",$C$1=1),$A112,$A112+1),COLUMN('1-DATA'!Y110)),IF($B112="STD. DEVIATION",2,$F$1))))</f>
        <v/>
      </c>
      <c r="AA112" s="1" t="str">
        <f>IF(OR($B112="",AA$7=""),"",IF($B112="MEANS",INDEX('1-DATA'!$1:$1048576,$A111-1,COLUMN('1-DATA'!Z110)),ROUND(INDEX('1-DATA'!$1:$1048576,IF(OR($B112="STD. DEVIATION",$C$1=1),$A112,$A112+1),COLUMN('1-DATA'!Z110)),IF($B112="STD. DEVIATION",2,$F$1))))</f>
        <v/>
      </c>
      <c r="AB112" s="1" t="str">
        <f>IF(OR($B112="",AB$7=""),"",IF($B112="MEANS",INDEX('1-DATA'!$1:$1048576,$A111-1,COLUMN('1-DATA'!AA110)),ROUND(INDEX('1-DATA'!$1:$1048576,IF(OR($B112="STD. DEVIATION",$C$1=1),$A112,$A112+1),COLUMN('1-DATA'!AA110)),IF($B112="STD. DEVIATION",2,$F$1))))</f>
        <v/>
      </c>
      <c r="AC112" s="1" t="str">
        <f>IF(OR($B112="",AC$7=""),"",IF($B112="MEANS",INDEX('1-DATA'!$1:$1048576,$A111-1,COLUMN('1-DATA'!AB110)),ROUND(INDEX('1-DATA'!$1:$1048576,IF(OR($B112="STD. DEVIATION",$C$1=1),$A112,$A112+1),COLUMN('1-DATA'!AB110)),IF($B112="STD. DEVIATION",2,$F$1))))</f>
        <v/>
      </c>
      <c r="AD112" s="1" t="str">
        <f>IF(OR($B112="",AD$7=""),"",IF($B112="MEANS",INDEX('1-DATA'!$1:$1048576,$A111-1,COLUMN('1-DATA'!AC110)),ROUND(INDEX('1-DATA'!$1:$1048576,IF(OR($B112="STD. DEVIATION",$C$1=1),$A112,$A112+1),COLUMN('1-DATA'!AC110)),IF($B112="STD. DEVIATION",2,$F$1))))</f>
        <v/>
      </c>
      <c r="AE112" s="1" t="str">
        <f>IF(OR($B112="",AE$7=""),"",IF($B112="MEANS",INDEX('1-DATA'!$1:$1048576,$A111-1,COLUMN('1-DATA'!AD110)),ROUND(INDEX('1-DATA'!$1:$1048576,IF(OR($B112="STD. DEVIATION",$C$1=1),$A112,$A112+1),COLUMN('1-DATA'!AD110)),IF($B112="STD. DEVIATION",2,$F$1))))</f>
        <v/>
      </c>
      <c r="AF112" s="1" t="str">
        <f>IF(OR($B112="",AF$7=""),"",IF($B112="MEANS",INDEX('1-DATA'!$1:$1048576,$A111-1,COLUMN('1-DATA'!AE110)),ROUND(INDEX('1-DATA'!$1:$1048576,IF(OR($B112="STD. DEVIATION",$C$1=1),$A112,$A112+1),COLUMN('1-DATA'!AE110)),IF($B112="STD. DEVIATION",2,$F$1))))</f>
        <v/>
      </c>
      <c r="AG112" s="1" t="str">
        <f>IF(OR($B112="",AG$7=""),"",IF($B112="MEANS",INDEX('1-DATA'!$1:$1048576,$A111-1,COLUMN('1-DATA'!AF110)),ROUND(INDEX('1-DATA'!$1:$1048576,IF(OR($B112="STD. DEVIATION",$C$1=1),$A112,$A112+1),COLUMN('1-DATA'!AF110)),IF($B112="STD. DEVIATION",2,$F$1))))</f>
        <v/>
      </c>
      <c r="AH112" s="1" t="str">
        <f>IF(OR($B112="",AH$7=""),"",IF($B112="MEANS",INDEX('1-DATA'!$1:$1048576,$A111-1,COLUMN('1-DATA'!AG110)),ROUND(INDEX('1-DATA'!$1:$1048576,IF(OR($B112="STD. DEVIATION",$C$1=1),$A112,$A112+1),COLUMN('1-DATA'!AG110)),IF($B112="STD. DEVIATION",2,$F$1))))</f>
        <v/>
      </c>
      <c r="AI112" s="1" t="str">
        <f>IF(OR($B112="",AI$7=""),"",IF($B112="MEANS",INDEX('1-DATA'!$1:$1048576,$A111-1,COLUMN('1-DATA'!AH110)),ROUND(INDEX('1-DATA'!$1:$1048576,IF(OR($B112="STD. DEVIATION",$C$1=1),$A112,$A112+1),COLUMN('1-DATA'!AH110)),IF($B112="STD. DEVIATION",2,$F$1))))</f>
        <v/>
      </c>
      <c r="AJ112" s="1" t="str">
        <f>IF(OR($B112="",AJ$7=""),"",IF($B112="MEANS",INDEX('1-DATA'!$1:$1048576,$A111-1,COLUMN('1-DATA'!AI110)),ROUND(INDEX('1-DATA'!$1:$1048576,IF(OR($B112="STD. DEVIATION",$C$1=1),$A112,$A112+1),COLUMN('1-DATA'!AI110)),IF($B112="STD. DEVIATION",2,$F$1))))</f>
        <v/>
      </c>
      <c r="AK112" s="1" t="str">
        <f>IF(OR($B112="",AK$7=""),"",IF($B112="MEANS",INDEX('1-DATA'!$1:$1048576,$A111-1,COLUMN('1-DATA'!AJ110)),ROUND(INDEX('1-DATA'!$1:$1048576,IF(OR($B112="STD. DEVIATION",$C$1=1),$A112,$A112+1),COLUMN('1-DATA'!AJ110)),IF($B112="STD. DEVIATION",2,$F$1))))</f>
        <v/>
      </c>
      <c r="AL112" s="1" t="str">
        <f>IF(OR($B112="",AL$7=""),"",IF($B112="MEANS",INDEX('1-DATA'!$1:$1048576,$A111-1,COLUMN('1-DATA'!AK110)),ROUND(INDEX('1-DATA'!$1:$1048576,IF(OR($B112="STD. DEVIATION",$C$1=1),$A112,$A112+1),COLUMN('1-DATA'!AK110)),IF($B112="STD. DEVIATION",2,$F$1))))</f>
        <v/>
      </c>
      <c r="AM112" s="1" t="str">
        <f>IF(OR($B112="",AM$7=""),"",IF($B112="MEANS",INDEX('1-DATA'!$1:$1048576,$A111-1,COLUMN('1-DATA'!AL110)),ROUND(INDEX('1-DATA'!$1:$1048576,IF(OR($B112="STD. DEVIATION",$C$1=1),$A112,$A112+1),COLUMN('1-DATA'!AL110)),IF($B112="STD. DEVIATION",2,$F$1))))</f>
        <v/>
      </c>
      <c r="AN112" s="1" t="str">
        <f>IF(OR($B112="",AN$7=""),"",IF($B112="MEANS",INDEX('1-DATA'!$1:$1048576,$A111-1,COLUMN('1-DATA'!AM110)),ROUND(INDEX('1-DATA'!$1:$1048576,IF(OR($B112="STD. DEVIATION",$C$1=1),$A112,$A112+1),COLUMN('1-DATA'!AM110)),IF($B112="STD. DEVIATION",2,$F$1))))</f>
        <v/>
      </c>
      <c r="AO112" s="1" t="str">
        <f>IF(OR($B112="",AO$7=""),"",IF($B112="MEANS",INDEX('1-DATA'!$1:$1048576,$A111-1,COLUMN('1-DATA'!AN110)),ROUND(INDEX('1-DATA'!$1:$1048576,IF(OR($B112="STD. DEVIATION",$C$1=1),$A112,$A112+1),COLUMN('1-DATA'!AN110)),IF($B112="STD. DEVIATION",2,$F$1))))</f>
        <v/>
      </c>
      <c r="AP112" s="1" t="str">
        <f>IF(OR($B112="",AP$7=""),"",IF($B112="MEANS",INDEX('1-DATA'!$1:$1048576,$A111-1,COLUMN('1-DATA'!AO110)),ROUND(INDEX('1-DATA'!$1:$1048576,IF(OR($B112="STD. DEVIATION",$C$1=1),$A112,$A112+1),COLUMN('1-DATA'!AO110)),IF($B112="STD. DEVIATION",2,$F$1))))</f>
        <v/>
      </c>
      <c r="AQ112" s="1" t="str">
        <f>IF(OR($B112="",AQ$7=""),"",IF($B112="MEANS",INDEX('1-DATA'!$1:$1048576,$A111-1,COLUMN('1-DATA'!AP110)),ROUND(INDEX('1-DATA'!$1:$1048576,IF(OR($B112="STD. DEVIATION",$C$1=1),$A112,$A112+1),COLUMN('1-DATA'!AP110)),IF($B112="STD. DEVIATION",2,$F$1))))</f>
        <v/>
      </c>
      <c r="AR112" s="1" t="str">
        <f>IF(OR($B112="",AR$7=""),"",IF($B112="MEANS",INDEX('1-DATA'!$1:$1048576,$A111-1,COLUMN('1-DATA'!AQ110)),ROUND(INDEX('1-DATA'!$1:$1048576,IF(OR($B112="STD. DEVIATION",$C$1=1),$A112,$A112+1),COLUMN('1-DATA'!AQ110)),IF($B112="STD. DEVIATION",2,$F$1))))</f>
        <v/>
      </c>
      <c r="AS112" s="1" t="str">
        <f>IF(OR($B112="",AS$7=""),"",IF($B112="MEANS",INDEX('1-DATA'!$1:$1048576,$A111-1,COLUMN('1-DATA'!AR110)),ROUND(INDEX('1-DATA'!$1:$1048576,IF(OR($B112="STD. DEVIATION",$C$1=1),$A112,$A112+1),COLUMN('1-DATA'!AR110)),IF($B112="STD. DEVIATION",2,$F$1))))</f>
        <v/>
      </c>
      <c r="AT112" s="1" t="str">
        <f>IF(OR($B112="",AT$7=""),"",IF($B112="MEANS",INDEX('1-DATA'!$1:$1048576,$A111-1,COLUMN('1-DATA'!AS110)),ROUND(INDEX('1-DATA'!$1:$1048576,IF(OR($B112="STD. DEVIATION",$C$1=1),$A112,$A112+1),COLUMN('1-DATA'!AS110)),IF($B112="STD. DEVIATION",2,$F$1))))</f>
        <v/>
      </c>
      <c r="AU112" s="1" t="str">
        <f>IF(OR($B112="",AU$7=""),"",IF($B112="MEANS",INDEX('1-DATA'!$1:$1048576,$A111-1,COLUMN('1-DATA'!AT110)),ROUND(INDEX('1-DATA'!$1:$1048576,IF(OR($B112="STD. DEVIATION",$C$1=1),$A112,$A112+1),COLUMN('1-DATA'!AT110)),IF($B112="STD. DEVIATION",2,$F$1))))</f>
        <v/>
      </c>
      <c r="AV112" s="1" t="str">
        <f>IF(OR($B112="",AV$7=""),"",IF($B112="MEANS",INDEX('1-DATA'!$1:$1048576,$A111-1,COLUMN('1-DATA'!AU110)),ROUND(INDEX('1-DATA'!$1:$1048576,IF(OR($B112="STD. DEVIATION",$C$1=1),$A112,$A112+1),COLUMN('1-DATA'!AU110)),IF($B112="STD. DEVIATION",2,$F$1))))</f>
        <v/>
      </c>
      <c r="AW112" s="1" t="str">
        <f>IF(OR($B112="",AW$7=""),"",IF($B112="MEANS",INDEX('1-DATA'!$1:$1048576,$A111-1,COLUMN('1-DATA'!AV110)),ROUND(INDEX('1-DATA'!$1:$1048576,IF(OR($B112="STD. DEVIATION",$C$1=1),$A112,$A112+1),COLUMN('1-DATA'!AV110)),IF($B112="STD. DEVIATION",2,$F$1))))</f>
        <v/>
      </c>
      <c r="AX112" s="1" t="str">
        <f>IF(OR($B112="",AX$7=""),"",IF($B112="MEANS",INDEX('1-DATA'!$1:$1048576,$A111-1,COLUMN('1-DATA'!AW110)),ROUND(INDEX('1-DATA'!$1:$1048576,IF(OR($B112="STD. DEVIATION",$C$1=1),$A112,$A112+1),COLUMN('1-DATA'!AW110)),IF($B112="STD. DEVIATION",2,$F$1))))</f>
        <v/>
      </c>
      <c r="AY112" s="1" t="str">
        <f>IF(OR($B112="",AY$7=""),"",IF($B112="MEANS",INDEX('1-DATA'!$1:$1048576,$A111-1,COLUMN('1-DATA'!AX110)),ROUND(INDEX('1-DATA'!$1:$1048576,IF(OR($B112="STD. DEVIATION",$C$1=1),$A112,$A112+1),COLUMN('1-DATA'!AX110)),IF($B112="STD. DEVIATION",2,$F$1))))</f>
        <v/>
      </c>
      <c r="AZ112" s="1" t="str">
        <f>IF(OR($B112="",AZ$7=""),"",IF($B112="MEANS",INDEX('1-DATA'!$1:$1048576,$A111-1,COLUMN('1-DATA'!AY110)),ROUND(INDEX('1-DATA'!$1:$1048576,IF(OR($B112="STD. DEVIATION",$C$1=1),$A112,$A112+1),COLUMN('1-DATA'!AY110)),IF($B112="STD. DEVIATION",2,$F$1))))</f>
        <v/>
      </c>
    </row>
    <row r="113" spans="1:52" x14ac:dyDescent="0.25">
      <c r="A113" s="11">
        <f t="shared" si="2"/>
        <v>325</v>
      </c>
      <c r="B113" s="1" t="str">
        <f>IF(B112="STD. DEVIATION",INDEX('1-DATA'!$1:$1048576,$A112-1,1),IF(INDEX('1-DATA'!$1:$1048576,$A113,1)&lt;&gt;"",INDEX('1-DATA'!$1:$1048576,$A113,1),""))</f>
        <v/>
      </c>
      <c r="C113" s="1" t="str">
        <f>IF(OR($B113="",C$7=""),"",IF($B113="MEANS",INDEX('1-DATA'!$1:$1048576,$A112-1,COLUMN('1-DATA'!B111)),ROUND(INDEX('1-DATA'!$1:$1048576,IF(OR($B113="STD. DEVIATION",$C$1=1),$A113,$A113+1),COLUMN('1-DATA'!B111)),IF($B113="STD. DEVIATION",2,$F$1))))</f>
        <v/>
      </c>
      <c r="D113" s="1" t="str">
        <f>IF(OR($B113="",D$7=""),"",IF($B113="MEANS",INDEX('1-DATA'!$1:$1048576,$A112-1,COLUMN('1-DATA'!C111)),ROUND(INDEX('1-DATA'!$1:$1048576,IF(OR($B113="STD. DEVIATION",$C$1=1),$A113,$A113+1),COLUMN('1-DATA'!C111)),IF($B113="STD. DEVIATION",2,$F$1))))</f>
        <v/>
      </c>
      <c r="E113" s="1" t="str">
        <f>IF(OR($B113="",E$7=""),"",IF($B113="MEANS",INDEX('1-DATA'!$1:$1048576,$A112-1,COLUMN('1-DATA'!D111)),ROUND(INDEX('1-DATA'!$1:$1048576,IF(OR($B113="STD. DEVIATION",$C$1=1),$A113,$A113+1),COLUMN('1-DATA'!D111)),IF($B113="STD. DEVIATION",2,$F$1))))</f>
        <v/>
      </c>
      <c r="F113" s="1" t="str">
        <f>IF(OR($B113="",F$7=""),"",IF($B113="MEANS",INDEX('1-DATA'!$1:$1048576,$A112-1,COLUMN('1-DATA'!E111)),ROUND(INDEX('1-DATA'!$1:$1048576,IF(OR($B113="STD. DEVIATION",$C$1=1),$A113,$A113+1),COLUMN('1-DATA'!E111)),IF($B113="STD. DEVIATION",2,$F$1))))</f>
        <v/>
      </c>
      <c r="G113" s="1" t="str">
        <f>IF(OR($B113="",G$7=""),"",IF($B113="MEANS",INDEX('1-DATA'!$1:$1048576,$A112-1,COLUMN('1-DATA'!F111)),ROUND(INDEX('1-DATA'!$1:$1048576,IF(OR($B113="STD. DEVIATION",$C$1=1),$A113,$A113+1),COLUMN('1-DATA'!F111)),IF($B113="STD. DEVIATION",2,$F$1))))</f>
        <v/>
      </c>
      <c r="H113" s="1" t="str">
        <f>IF(OR($B113="",H$7=""),"",IF($B113="MEANS",INDEX('1-DATA'!$1:$1048576,$A112-1,COLUMN('1-DATA'!G111)),ROUND(INDEX('1-DATA'!$1:$1048576,IF(OR($B113="STD. DEVIATION",$C$1=1),$A113,$A113+1),COLUMN('1-DATA'!G111)),IF($B113="STD. DEVIATION",2,$F$1))))</f>
        <v/>
      </c>
      <c r="I113" s="1" t="str">
        <f>IF(OR($B113="",I$7=""),"",IF($B113="MEANS",INDEX('1-DATA'!$1:$1048576,$A112-1,COLUMN('1-DATA'!H111)),ROUND(INDEX('1-DATA'!$1:$1048576,IF(OR($B113="STD. DEVIATION",$C$1=1),$A113,$A113+1),COLUMN('1-DATA'!H111)),IF($B113="STD. DEVIATION",2,$F$1))))</f>
        <v/>
      </c>
      <c r="J113" s="1" t="str">
        <f>IF(OR($B113="",J$7=""),"",IF($B113="MEANS",INDEX('1-DATA'!$1:$1048576,$A112-1,COLUMN('1-DATA'!I111)),ROUND(INDEX('1-DATA'!$1:$1048576,IF(OR($B113="STD. DEVIATION",$C$1=1),$A113,$A113+1),COLUMN('1-DATA'!I111)),IF($B113="STD. DEVIATION",2,$F$1))))</f>
        <v/>
      </c>
      <c r="K113" s="1" t="str">
        <f>IF(OR($B113="",K$7=""),"",IF($B113="MEANS",INDEX('1-DATA'!$1:$1048576,$A112-1,COLUMN('1-DATA'!J111)),ROUND(INDEX('1-DATA'!$1:$1048576,IF(OR($B113="STD. DEVIATION",$C$1=1),$A113,$A113+1),COLUMN('1-DATA'!J111)),IF($B113="STD. DEVIATION",2,$F$1))))</f>
        <v/>
      </c>
      <c r="L113" s="1" t="str">
        <f>IF(OR($B113="",L$7=""),"",IF($B113="MEANS",INDEX('1-DATA'!$1:$1048576,$A112-1,COLUMN('1-DATA'!K111)),ROUND(INDEX('1-DATA'!$1:$1048576,IF(OR($B113="STD. DEVIATION",$C$1=1),$A113,$A113+1),COLUMN('1-DATA'!K111)),IF($B113="STD. DEVIATION",2,$F$1))))</f>
        <v/>
      </c>
      <c r="M113" s="1" t="str">
        <f>IF(OR($B113="",M$7=""),"",IF($B113="MEANS",INDEX('1-DATA'!$1:$1048576,$A112-1,COLUMN('1-DATA'!L111)),ROUND(INDEX('1-DATA'!$1:$1048576,IF(OR($B113="STD. DEVIATION",$C$1=1),$A113,$A113+1),COLUMN('1-DATA'!L111)),IF($B113="STD. DEVIATION",2,$F$1))))</f>
        <v/>
      </c>
      <c r="N113" s="1" t="str">
        <f>IF(OR($B113="",N$7=""),"",IF($B113="MEANS",INDEX('1-DATA'!$1:$1048576,$A112-1,COLUMN('1-DATA'!M111)),ROUND(INDEX('1-DATA'!$1:$1048576,IF(OR($B113="STD. DEVIATION",$C$1=1),$A113,$A113+1),COLUMN('1-DATA'!M111)),IF($B113="STD. DEVIATION",2,$F$1))))</f>
        <v/>
      </c>
      <c r="O113" s="1" t="str">
        <f>IF(OR($B113="",O$7=""),"",IF($B113="MEANS",INDEX('1-DATA'!$1:$1048576,$A112-1,COLUMN('1-DATA'!N111)),ROUND(INDEX('1-DATA'!$1:$1048576,IF(OR($B113="STD. DEVIATION",$C$1=1),$A113,$A113+1),COLUMN('1-DATA'!N111)),IF($B113="STD. DEVIATION",2,$F$1))))</f>
        <v/>
      </c>
      <c r="P113" s="1" t="str">
        <f>IF(OR($B113="",P$7=""),"",IF($B113="MEANS",INDEX('1-DATA'!$1:$1048576,$A112-1,COLUMN('1-DATA'!O111)),ROUND(INDEX('1-DATA'!$1:$1048576,IF(OR($B113="STD. DEVIATION",$C$1=1),$A113,$A113+1),COLUMN('1-DATA'!O111)),IF($B113="STD. DEVIATION",2,$F$1))))</f>
        <v/>
      </c>
      <c r="Q113" s="1" t="str">
        <f>IF(OR($B113="",Q$7=""),"",IF($B113="MEANS",INDEX('1-DATA'!$1:$1048576,$A112-1,COLUMN('1-DATA'!P111)),ROUND(INDEX('1-DATA'!$1:$1048576,IF(OR($B113="STD. DEVIATION",$C$1=1),$A113,$A113+1),COLUMN('1-DATA'!P111)),IF($B113="STD. DEVIATION",2,$F$1))))</f>
        <v/>
      </c>
      <c r="R113" s="1" t="str">
        <f>IF(OR($B113="",R$7=""),"",IF($B113="MEANS",INDEX('1-DATA'!$1:$1048576,$A112-1,COLUMN('1-DATA'!Q111)),ROUND(INDEX('1-DATA'!$1:$1048576,IF(OR($B113="STD. DEVIATION",$C$1=1),$A113,$A113+1),COLUMN('1-DATA'!Q111)),IF($B113="STD. DEVIATION",2,$F$1))))</f>
        <v/>
      </c>
      <c r="S113" s="1" t="str">
        <f>IF(OR($B113="",S$7=""),"",IF($B113="MEANS",INDEX('1-DATA'!$1:$1048576,$A112-1,COLUMN('1-DATA'!R111)),ROUND(INDEX('1-DATA'!$1:$1048576,IF(OR($B113="STD. DEVIATION",$C$1=1),$A113,$A113+1),COLUMN('1-DATA'!R111)),IF($B113="STD. DEVIATION",2,$F$1))))</f>
        <v/>
      </c>
      <c r="T113" s="1" t="str">
        <f>IF(OR($B113="",T$7=""),"",IF($B113="MEANS",INDEX('1-DATA'!$1:$1048576,$A112-1,COLUMN('1-DATA'!S111)),ROUND(INDEX('1-DATA'!$1:$1048576,IF(OR($B113="STD. DEVIATION",$C$1=1),$A113,$A113+1),COLUMN('1-DATA'!S111)),IF($B113="STD. DEVIATION",2,$F$1))))</f>
        <v/>
      </c>
      <c r="U113" s="1" t="str">
        <f>IF(OR($B113="",U$7=""),"",IF($B113="MEANS",INDEX('1-DATA'!$1:$1048576,$A112-1,COLUMN('1-DATA'!T111)),ROUND(INDEX('1-DATA'!$1:$1048576,IF(OR($B113="STD. DEVIATION",$C$1=1),$A113,$A113+1),COLUMN('1-DATA'!T111)),IF($B113="STD. DEVIATION",2,$F$1))))</f>
        <v/>
      </c>
      <c r="V113" s="1" t="str">
        <f>IF(OR($B113="",V$7=""),"",IF($B113="MEANS",INDEX('1-DATA'!$1:$1048576,$A112-1,COLUMN('1-DATA'!U111)),ROUND(INDEX('1-DATA'!$1:$1048576,IF(OR($B113="STD. DEVIATION",$C$1=1),$A113,$A113+1),COLUMN('1-DATA'!U111)),IF($B113="STD. DEVIATION",2,$F$1))))</f>
        <v/>
      </c>
      <c r="W113" s="1" t="str">
        <f>IF(OR($B113="",W$7=""),"",IF($B113="MEANS",INDEX('1-DATA'!$1:$1048576,$A112-1,COLUMN('1-DATA'!V111)),ROUND(INDEX('1-DATA'!$1:$1048576,IF(OR($B113="STD. DEVIATION",$C$1=1),$A113,$A113+1),COLUMN('1-DATA'!V111)),IF($B113="STD. DEVIATION",2,$F$1))))</f>
        <v/>
      </c>
      <c r="X113" s="1" t="str">
        <f>IF(OR($B113="",X$7=""),"",IF($B113="MEANS",INDEX('1-DATA'!$1:$1048576,$A112-1,COLUMN('1-DATA'!W111)),ROUND(INDEX('1-DATA'!$1:$1048576,IF(OR($B113="STD. DEVIATION",$C$1=1),$A113,$A113+1),COLUMN('1-DATA'!W111)),IF($B113="STD. DEVIATION",2,$F$1))))</f>
        <v/>
      </c>
      <c r="Y113" s="1" t="str">
        <f>IF(OR($B113="",Y$7=""),"",IF($B113="MEANS",INDEX('1-DATA'!$1:$1048576,$A112-1,COLUMN('1-DATA'!X111)),ROUND(INDEX('1-DATA'!$1:$1048576,IF(OR($B113="STD. DEVIATION",$C$1=1),$A113,$A113+1),COLUMN('1-DATA'!X111)),IF($B113="STD. DEVIATION",2,$F$1))))</f>
        <v/>
      </c>
      <c r="Z113" s="1" t="str">
        <f>IF(OR($B113="",Z$7=""),"",IF($B113="MEANS",INDEX('1-DATA'!$1:$1048576,$A112-1,COLUMN('1-DATA'!Y111)),ROUND(INDEX('1-DATA'!$1:$1048576,IF(OR($B113="STD. DEVIATION",$C$1=1),$A113,$A113+1),COLUMN('1-DATA'!Y111)),IF($B113="STD. DEVIATION",2,$F$1))))</f>
        <v/>
      </c>
      <c r="AA113" s="1" t="str">
        <f>IF(OR($B113="",AA$7=""),"",IF($B113="MEANS",INDEX('1-DATA'!$1:$1048576,$A112-1,COLUMN('1-DATA'!Z111)),ROUND(INDEX('1-DATA'!$1:$1048576,IF(OR($B113="STD. DEVIATION",$C$1=1),$A113,$A113+1),COLUMN('1-DATA'!Z111)),IF($B113="STD. DEVIATION",2,$F$1))))</f>
        <v/>
      </c>
      <c r="AB113" s="1" t="str">
        <f>IF(OR($B113="",AB$7=""),"",IF($B113="MEANS",INDEX('1-DATA'!$1:$1048576,$A112-1,COLUMN('1-DATA'!AA111)),ROUND(INDEX('1-DATA'!$1:$1048576,IF(OR($B113="STD. DEVIATION",$C$1=1),$A113,$A113+1),COLUMN('1-DATA'!AA111)),IF($B113="STD. DEVIATION",2,$F$1))))</f>
        <v/>
      </c>
      <c r="AC113" s="1" t="str">
        <f>IF(OR($B113="",AC$7=""),"",IF($B113="MEANS",INDEX('1-DATA'!$1:$1048576,$A112-1,COLUMN('1-DATA'!AB111)),ROUND(INDEX('1-DATA'!$1:$1048576,IF(OR($B113="STD. DEVIATION",$C$1=1),$A113,$A113+1),COLUMN('1-DATA'!AB111)),IF($B113="STD. DEVIATION",2,$F$1))))</f>
        <v/>
      </c>
      <c r="AD113" s="1" t="str">
        <f>IF(OR($B113="",AD$7=""),"",IF($B113="MEANS",INDEX('1-DATA'!$1:$1048576,$A112-1,COLUMN('1-DATA'!AC111)),ROUND(INDEX('1-DATA'!$1:$1048576,IF(OR($B113="STD. DEVIATION",$C$1=1),$A113,$A113+1),COLUMN('1-DATA'!AC111)),IF($B113="STD. DEVIATION",2,$F$1))))</f>
        <v/>
      </c>
      <c r="AE113" s="1" t="str">
        <f>IF(OR($B113="",AE$7=""),"",IF($B113="MEANS",INDEX('1-DATA'!$1:$1048576,$A112-1,COLUMN('1-DATA'!AD111)),ROUND(INDEX('1-DATA'!$1:$1048576,IF(OR($B113="STD. DEVIATION",$C$1=1),$A113,$A113+1),COLUMN('1-DATA'!AD111)),IF($B113="STD. DEVIATION",2,$F$1))))</f>
        <v/>
      </c>
      <c r="AF113" s="1" t="str">
        <f>IF(OR($B113="",AF$7=""),"",IF($B113="MEANS",INDEX('1-DATA'!$1:$1048576,$A112-1,COLUMN('1-DATA'!AE111)),ROUND(INDEX('1-DATA'!$1:$1048576,IF(OR($B113="STD. DEVIATION",$C$1=1),$A113,$A113+1),COLUMN('1-DATA'!AE111)),IF($B113="STD. DEVIATION",2,$F$1))))</f>
        <v/>
      </c>
      <c r="AG113" s="1" t="str">
        <f>IF(OR($B113="",AG$7=""),"",IF($B113="MEANS",INDEX('1-DATA'!$1:$1048576,$A112-1,COLUMN('1-DATA'!AF111)),ROUND(INDEX('1-DATA'!$1:$1048576,IF(OR($B113="STD. DEVIATION",$C$1=1),$A113,$A113+1),COLUMN('1-DATA'!AF111)),IF($B113="STD. DEVIATION",2,$F$1))))</f>
        <v/>
      </c>
      <c r="AH113" s="1" t="str">
        <f>IF(OR($B113="",AH$7=""),"",IF($B113="MEANS",INDEX('1-DATA'!$1:$1048576,$A112-1,COLUMN('1-DATA'!AG111)),ROUND(INDEX('1-DATA'!$1:$1048576,IF(OR($B113="STD. DEVIATION",$C$1=1),$A113,$A113+1),COLUMN('1-DATA'!AG111)),IF($B113="STD. DEVIATION",2,$F$1))))</f>
        <v/>
      </c>
      <c r="AI113" s="1" t="str">
        <f>IF(OR($B113="",AI$7=""),"",IF($B113="MEANS",INDEX('1-DATA'!$1:$1048576,$A112-1,COLUMN('1-DATA'!AH111)),ROUND(INDEX('1-DATA'!$1:$1048576,IF(OR($B113="STD. DEVIATION",$C$1=1),$A113,$A113+1),COLUMN('1-DATA'!AH111)),IF($B113="STD. DEVIATION",2,$F$1))))</f>
        <v/>
      </c>
      <c r="AJ113" s="1" t="str">
        <f>IF(OR($B113="",AJ$7=""),"",IF($B113="MEANS",INDEX('1-DATA'!$1:$1048576,$A112-1,COLUMN('1-DATA'!AI111)),ROUND(INDEX('1-DATA'!$1:$1048576,IF(OR($B113="STD. DEVIATION",$C$1=1),$A113,$A113+1),COLUMN('1-DATA'!AI111)),IF($B113="STD. DEVIATION",2,$F$1))))</f>
        <v/>
      </c>
      <c r="AK113" s="1" t="str">
        <f>IF(OR($B113="",AK$7=""),"",IF($B113="MEANS",INDEX('1-DATA'!$1:$1048576,$A112-1,COLUMN('1-DATA'!AJ111)),ROUND(INDEX('1-DATA'!$1:$1048576,IF(OR($B113="STD. DEVIATION",$C$1=1),$A113,$A113+1),COLUMN('1-DATA'!AJ111)),IF($B113="STD. DEVIATION",2,$F$1))))</f>
        <v/>
      </c>
      <c r="AL113" s="1" t="str">
        <f>IF(OR($B113="",AL$7=""),"",IF($B113="MEANS",INDEX('1-DATA'!$1:$1048576,$A112-1,COLUMN('1-DATA'!AK111)),ROUND(INDEX('1-DATA'!$1:$1048576,IF(OR($B113="STD. DEVIATION",$C$1=1),$A113,$A113+1),COLUMN('1-DATA'!AK111)),IF($B113="STD. DEVIATION",2,$F$1))))</f>
        <v/>
      </c>
      <c r="AM113" s="1" t="str">
        <f>IF(OR($B113="",AM$7=""),"",IF($B113="MEANS",INDEX('1-DATA'!$1:$1048576,$A112-1,COLUMN('1-DATA'!AL111)),ROUND(INDEX('1-DATA'!$1:$1048576,IF(OR($B113="STD. DEVIATION",$C$1=1),$A113,$A113+1),COLUMN('1-DATA'!AL111)),IF($B113="STD. DEVIATION",2,$F$1))))</f>
        <v/>
      </c>
      <c r="AN113" s="1" t="str">
        <f>IF(OR($B113="",AN$7=""),"",IF($B113="MEANS",INDEX('1-DATA'!$1:$1048576,$A112-1,COLUMN('1-DATA'!AM111)),ROUND(INDEX('1-DATA'!$1:$1048576,IF(OR($B113="STD. DEVIATION",$C$1=1),$A113,$A113+1),COLUMN('1-DATA'!AM111)),IF($B113="STD. DEVIATION",2,$F$1))))</f>
        <v/>
      </c>
      <c r="AO113" s="1" t="str">
        <f>IF(OR($B113="",AO$7=""),"",IF($B113="MEANS",INDEX('1-DATA'!$1:$1048576,$A112-1,COLUMN('1-DATA'!AN111)),ROUND(INDEX('1-DATA'!$1:$1048576,IF(OR($B113="STD. DEVIATION",$C$1=1),$A113,$A113+1),COLUMN('1-DATA'!AN111)),IF($B113="STD. DEVIATION",2,$F$1))))</f>
        <v/>
      </c>
      <c r="AP113" s="1" t="str">
        <f>IF(OR($B113="",AP$7=""),"",IF($B113="MEANS",INDEX('1-DATA'!$1:$1048576,$A112-1,COLUMN('1-DATA'!AO111)),ROUND(INDEX('1-DATA'!$1:$1048576,IF(OR($B113="STD. DEVIATION",$C$1=1),$A113,$A113+1),COLUMN('1-DATA'!AO111)),IF($B113="STD. DEVIATION",2,$F$1))))</f>
        <v/>
      </c>
      <c r="AQ113" s="1" t="str">
        <f>IF(OR($B113="",AQ$7=""),"",IF($B113="MEANS",INDEX('1-DATA'!$1:$1048576,$A112-1,COLUMN('1-DATA'!AP111)),ROUND(INDEX('1-DATA'!$1:$1048576,IF(OR($B113="STD. DEVIATION",$C$1=1),$A113,$A113+1),COLUMN('1-DATA'!AP111)),IF($B113="STD. DEVIATION",2,$F$1))))</f>
        <v/>
      </c>
      <c r="AR113" s="1" t="str">
        <f>IF(OR($B113="",AR$7=""),"",IF($B113="MEANS",INDEX('1-DATA'!$1:$1048576,$A112-1,COLUMN('1-DATA'!AQ111)),ROUND(INDEX('1-DATA'!$1:$1048576,IF(OR($B113="STD. DEVIATION",$C$1=1),$A113,$A113+1),COLUMN('1-DATA'!AQ111)),IF($B113="STD. DEVIATION",2,$F$1))))</f>
        <v/>
      </c>
      <c r="AS113" s="1" t="str">
        <f>IF(OR($B113="",AS$7=""),"",IF($B113="MEANS",INDEX('1-DATA'!$1:$1048576,$A112-1,COLUMN('1-DATA'!AR111)),ROUND(INDEX('1-DATA'!$1:$1048576,IF(OR($B113="STD. DEVIATION",$C$1=1),$A113,$A113+1),COLUMN('1-DATA'!AR111)),IF($B113="STD. DEVIATION",2,$F$1))))</f>
        <v/>
      </c>
      <c r="AT113" s="1" t="str">
        <f>IF(OR($B113="",AT$7=""),"",IF($B113="MEANS",INDEX('1-DATA'!$1:$1048576,$A112-1,COLUMN('1-DATA'!AS111)),ROUND(INDEX('1-DATA'!$1:$1048576,IF(OR($B113="STD. DEVIATION",$C$1=1),$A113,$A113+1),COLUMN('1-DATA'!AS111)),IF($B113="STD. DEVIATION",2,$F$1))))</f>
        <v/>
      </c>
      <c r="AU113" s="1" t="str">
        <f>IF(OR($B113="",AU$7=""),"",IF($B113="MEANS",INDEX('1-DATA'!$1:$1048576,$A112-1,COLUMN('1-DATA'!AT111)),ROUND(INDEX('1-DATA'!$1:$1048576,IF(OR($B113="STD. DEVIATION",$C$1=1),$A113,$A113+1),COLUMN('1-DATA'!AT111)),IF($B113="STD. DEVIATION",2,$F$1))))</f>
        <v/>
      </c>
      <c r="AV113" s="1" t="str">
        <f>IF(OR($B113="",AV$7=""),"",IF($B113="MEANS",INDEX('1-DATA'!$1:$1048576,$A112-1,COLUMN('1-DATA'!AU111)),ROUND(INDEX('1-DATA'!$1:$1048576,IF(OR($B113="STD. DEVIATION",$C$1=1),$A113,$A113+1),COLUMN('1-DATA'!AU111)),IF($B113="STD. DEVIATION",2,$F$1))))</f>
        <v/>
      </c>
      <c r="AW113" s="1" t="str">
        <f>IF(OR($B113="",AW$7=""),"",IF($B113="MEANS",INDEX('1-DATA'!$1:$1048576,$A112-1,COLUMN('1-DATA'!AV111)),ROUND(INDEX('1-DATA'!$1:$1048576,IF(OR($B113="STD. DEVIATION",$C$1=1),$A113,$A113+1),COLUMN('1-DATA'!AV111)),IF($B113="STD. DEVIATION",2,$F$1))))</f>
        <v/>
      </c>
      <c r="AX113" s="1" t="str">
        <f>IF(OR($B113="",AX$7=""),"",IF($B113="MEANS",INDEX('1-DATA'!$1:$1048576,$A112-1,COLUMN('1-DATA'!AW111)),ROUND(INDEX('1-DATA'!$1:$1048576,IF(OR($B113="STD. DEVIATION",$C$1=1),$A113,$A113+1),COLUMN('1-DATA'!AW111)),IF($B113="STD. DEVIATION",2,$F$1))))</f>
        <v/>
      </c>
      <c r="AY113" s="1" t="str">
        <f>IF(OR($B113="",AY$7=""),"",IF($B113="MEANS",INDEX('1-DATA'!$1:$1048576,$A112-1,COLUMN('1-DATA'!AX111)),ROUND(INDEX('1-DATA'!$1:$1048576,IF(OR($B113="STD. DEVIATION",$C$1=1),$A113,$A113+1),COLUMN('1-DATA'!AX111)),IF($B113="STD. DEVIATION",2,$F$1))))</f>
        <v/>
      </c>
      <c r="AZ113" s="1" t="str">
        <f>IF(OR($B113="",AZ$7=""),"",IF($B113="MEANS",INDEX('1-DATA'!$1:$1048576,$A112-1,COLUMN('1-DATA'!AY111)),ROUND(INDEX('1-DATA'!$1:$1048576,IF(OR($B113="STD. DEVIATION",$C$1=1),$A113,$A113+1),COLUMN('1-DATA'!AY111)),IF($B113="STD. DEVIATION",2,$F$1))))</f>
        <v/>
      </c>
    </row>
    <row r="114" spans="1:52" x14ac:dyDescent="0.25">
      <c r="A114" s="11">
        <f t="shared" si="2"/>
        <v>328</v>
      </c>
      <c r="B114" s="1" t="str">
        <f>IF(B113="STD. DEVIATION",INDEX('1-DATA'!$1:$1048576,$A113-1,1),IF(INDEX('1-DATA'!$1:$1048576,$A114,1)&lt;&gt;"",INDEX('1-DATA'!$1:$1048576,$A114,1),""))</f>
        <v/>
      </c>
      <c r="C114" s="1" t="str">
        <f>IF(OR($B114="",C$7=""),"",IF($B114="MEANS",INDEX('1-DATA'!$1:$1048576,$A113-1,COLUMN('1-DATA'!B112)),ROUND(INDEX('1-DATA'!$1:$1048576,IF(OR($B114="STD. DEVIATION",$C$1=1),$A114,$A114+1),COLUMN('1-DATA'!B112)),IF($B114="STD. DEVIATION",2,$F$1))))</f>
        <v/>
      </c>
      <c r="D114" s="1" t="str">
        <f>IF(OR($B114="",D$7=""),"",IF($B114="MEANS",INDEX('1-DATA'!$1:$1048576,$A113-1,COLUMN('1-DATA'!C112)),ROUND(INDEX('1-DATA'!$1:$1048576,IF(OR($B114="STD. DEVIATION",$C$1=1),$A114,$A114+1),COLUMN('1-DATA'!C112)),IF($B114="STD. DEVIATION",2,$F$1))))</f>
        <v/>
      </c>
      <c r="E114" s="1" t="str">
        <f>IF(OR($B114="",E$7=""),"",IF($B114="MEANS",INDEX('1-DATA'!$1:$1048576,$A113-1,COLUMN('1-DATA'!D112)),ROUND(INDEX('1-DATA'!$1:$1048576,IF(OR($B114="STD. DEVIATION",$C$1=1),$A114,$A114+1),COLUMN('1-DATA'!D112)),IF($B114="STD. DEVIATION",2,$F$1))))</f>
        <v/>
      </c>
      <c r="F114" s="1" t="str">
        <f>IF(OR($B114="",F$7=""),"",IF($B114="MEANS",INDEX('1-DATA'!$1:$1048576,$A113-1,COLUMN('1-DATA'!E112)),ROUND(INDEX('1-DATA'!$1:$1048576,IF(OR($B114="STD. DEVIATION",$C$1=1),$A114,$A114+1),COLUMN('1-DATA'!E112)),IF($B114="STD. DEVIATION",2,$F$1))))</f>
        <v/>
      </c>
      <c r="G114" s="1" t="str">
        <f>IF(OR($B114="",G$7=""),"",IF($B114="MEANS",INDEX('1-DATA'!$1:$1048576,$A113-1,COLUMN('1-DATA'!F112)),ROUND(INDEX('1-DATA'!$1:$1048576,IF(OR($B114="STD. DEVIATION",$C$1=1),$A114,$A114+1),COLUMN('1-DATA'!F112)),IF($B114="STD. DEVIATION",2,$F$1))))</f>
        <v/>
      </c>
      <c r="H114" s="1" t="str">
        <f>IF(OR($B114="",H$7=""),"",IF($B114="MEANS",INDEX('1-DATA'!$1:$1048576,$A113-1,COLUMN('1-DATA'!G112)),ROUND(INDEX('1-DATA'!$1:$1048576,IF(OR($B114="STD. DEVIATION",$C$1=1),$A114,$A114+1),COLUMN('1-DATA'!G112)),IF($B114="STD. DEVIATION",2,$F$1))))</f>
        <v/>
      </c>
      <c r="I114" s="1" t="str">
        <f>IF(OR($B114="",I$7=""),"",IF($B114="MEANS",INDEX('1-DATA'!$1:$1048576,$A113-1,COLUMN('1-DATA'!H112)),ROUND(INDEX('1-DATA'!$1:$1048576,IF(OR($B114="STD. DEVIATION",$C$1=1),$A114,$A114+1),COLUMN('1-DATA'!H112)),IF($B114="STD. DEVIATION",2,$F$1))))</f>
        <v/>
      </c>
      <c r="J114" s="1" t="str">
        <f>IF(OR($B114="",J$7=""),"",IF($B114="MEANS",INDEX('1-DATA'!$1:$1048576,$A113-1,COLUMN('1-DATA'!I112)),ROUND(INDEX('1-DATA'!$1:$1048576,IF(OR($B114="STD. DEVIATION",$C$1=1),$A114,$A114+1),COLUMN('1-DATA'!I112)),IF($B114="STD. DEVIATION",2,$F$1))))</f>
        <v/>
      </c>
      <c r="K114" s="1" t="str">
        <f>IF(OR($B114="",K$7=""),"",IF($B114="MEANS",INDEX('1-DATA'!$1:$1048576,$A113-1,COLUMN('1-DATA'!J112)),ROUND(INDEX('1-DATA'!$1:$1048576,IF(OR($B114="STD. DEVIATION",$C$1=1),$A114,$A114+1),COLUMN('1-DATA'!J112)),IF($B114="STD. DEVIATION",2,$F$1))))</f>
        <v/>
      </c>
      <c r="L114" s="1" t="str">
        <f>IF(OR($B114="",L$7=""),"",IF($B114="MEANS",INDEX('1-DATA'!$1:$1048576,$A113-1,COLUMN('1-DATA'!K112)),ROUND(INDEX('1-DATA'!$1:$1048576,IF(OR($B114="STD. DEVIATION",$C$1=1),$A114,$A114+1),COLUMN('1-DATA'!K112)),IF($B114="STD. DEVIATION",2,$F$1))))</f>
        <v/>
      </c>
      <c r="M114" s="1" t="str">
        <f>IF(OR($B114="",M$7=""),"",IF($B114="MEANS",INDEX('1-DATA'!$1:$1048576,$A113-1,COLUMN('1-DATA'!L112)),ROUND(INDEX('1-DATA'!$1:$1048576,IF(OR($B114="STD. DEVIATION",$C$1=1),$A114,$A114+1),COLUMN('1-DATA'!L112)),IF($B114="STD. DEVIATION",2,$F$1))))</f>
        <v/>
      </c>
      <c r="N114" s="1" t="str">
        <f>IF(OR($B114="",N$7=""),"",IF($B114="MEANS",INDEX('1-DATA'!$1:$1048576,$A113-1,COLUMN('1-DATA'!M112)),ROUND(INDEX('1-DATA'!$1:$1048576,IF(OR($B114="STD. DEVIATION",$C$1=1),$A114,$A114+1),COLUMN('1-DATA'!M112)),IF($B114="STD. DEVIATION",2,$F$1))))</f>
        <v/>
      </c>
      <c r="O114" s="1" t="str">
        <f>IF(OR($B114="",O$7=""),"",IF($B114="MEANS",INDEX('1-DATA'!$1:$1048576,$A113-1,COLUMN('1-DATA'!N112)),ROUND(INDEX('1-DATA'!$1:$1048576,IF(OR($B114="STD. DEVIATION",$C$1=1),$A114,$A114+1),COLUMN('1-DATA'!N112)),IF($B114="STD. DEVIATION",2,$F$1))))</f>
        <v/>
      </c>
      <c r="P114" s="1" t="str">
        <f>IF(OR($B114="",P$7=""),"",IF($B114="MEANS",INDEX('1-DATA'!$1:$1048576,$A113-1,COLUMN('1-DATA'!O112)),ROUND(INDEX('1-DATA'!$1:$1048576,IF(OR($B114="STD. DEVIATION",$C$1=1),$A114,$A114+1),COLUMN('1-DATA'!O112)),IF($B114="STD. DEVIATION",2,$F$1))))</f>
        <v/>
      </c>
      <c r="Q114" s="1" t="str">
        <f>IF(OR($B114="",Q$7=""),"",IF($B114="MEANS",INDEX('1-DATA'!$1:$1048576,$A113-1,COLUMN('1-DATA'!P112)),ROUND(INDEX('1-DATA'!$1:$1048576,IF(OR($B114="STD. DEVIATION",$C$1=1),$A114,$A114+1),COLUMN('1-DATA'!P112)),IF($B114="STD. DEVIATION",2,$F$1))))</f>
        <v/>
      </c>
      <c r="R114" s="1" t="str">
        <f>IF(OR($B114="",R$7=""),"",IF($B114="MEANS",INDEX('1-DATA'!$1:$1048576,$A113-1,COLUMN('1-DATA'!Q112)),ROUND(INDEX('1-DATA'!$1:$1048576,IF(OR($B114="STD. DEVIATION",$C$1=1),$A114,$A114+1),COLUMN('1-DATA'!Q112)),IF($B114="STD. DEVIATION",2,$F$1))))</f>
        <v/>
      </c>
      <c r="S114" s="1" t="str">
        <f>IF(OR($B114="",S$7=""),"",IF($B114="MEANS",INDEX('1-DATA'!$1:$1048576,$A113-1,COLUMN('1-DATA'!R112)),ROUND(INDEX('1-DATA'!$1:$1048576,IF(OR($B114="STD. DEVIATION",$C$1=1),$A114,$A114+1),COLUMN('1-DATA'!R112)),IF($B114="STD. DEVIATION",2,$F$1))))</f>
        <v/>
      </c>
      <c r="T114" s="1" t="str">
        <f>IF(OR($B114="",T$7=""),"",IF($B114="MEANS",INDEX('1-DATA'!$1:$1048576,$A113-1,COLUMN('1-DATA'!S112)),ROUND(INDEX('1-DATA'!$1:$1048576,IF(OR($B114="STD. DEVIATION",$C$1=1),$A114,$A114+1),COLUMN('1-DATA'!S112)),IF($B114="STD. DEVIATION",2,$F$1))))</f>
        <v/>
      </c>
      <c r="U114" s="1" t="str">
        <f>IF(OR($B114="",U$7=""),"",IF($B114="MEANS",INDEX('1-DATA'!$1:$1048576,$A113-1,COLUMN('1-DATA'!T112)),ROUND(INDEX('1-DATA'!$1:$1048576,IF(OR($B114="STD. DEVIATION",$C$1=1),$A114,$A114+1),COLUMN('1-DATA'!T112)),IF($B114="STD. DEVIATION",2,$F$1))))</f>
        <v/>
      </c>
      <c r="V114" s="1" t="str">
        <f>IF(OR($B114="",V$7=""),"",IF($B114="MEANS",INDEX('1-DATA'!$1:$1048576,$A113-1,COLUMN('1-DATA'!U112)),ROUND(INDEX('1-DATA'!$1:$1048576,IF(OR($B114="STD. DEVIATION",$C$1=1),$A114,$A114+1),COLUMN('1-DATA'!U112)),IF($B114="STD. DEVIATION",2,$F$1))))</f>
        <v/>
      </c>
      <c r="W114" s="1" t="str">
        <f>IF(OR($B114="",W$7=""),"",IF($B114="MEANS",INDEX('1-DATA'!$1:$1048576,$A113-1,COLUMN('1-DATA'!V112)),ROUND(INDEX('1-DATA'!$1:$1048576,IF(OR($B114="STD. DEVIATION",$C$1=1),$A114,$A114+1),COLUMN('1-DATA'!V112)),IF($B114="STD. DEVIATION",2,$F$1))))</f>
        <v/>
      </c>
      <c r="X114" s="1" t="str">
        <f>IF(OR($B114="",X$7=""),"",IF($B114="MEANS",INDEX('1-DATA'!$1:$1048576,$A113-1,COLUMN('1-DATA'!W112)),ROUND(INDEX('1-DATA'!$1:$1048576,IF(OR($B114="STD. DEVIATION",$C$1=1),$A114,$A114+1),COLUMN('1-DATA'!W112)),IF($B114="STD. DEVIATION",2,$F$1))))</f>
        <v/>
      </c>
      <c r="Y114" s="1" t="str">
        <f>IF(OR($B114="",Y$7=""),"",IF($B114="MEANS",INDEX('1-DATA'!$1:$1048576,$A113-1,COLUMN('1-DATA'!X112)),ROUND(INDEX('1-DATA'!$1:$1048576,IF(OR($B114="STD. DEVIATION",$C$1=1),$A114,$A114+1),COLUMN('1-DATA'!X112)),IF($B114="STD. DEVIATION",2,$F$1))))</f>
        <v/>
      </c>
      <c r="Z114" s="1" t="str">
        <f>IF(OR($B114="",Z$7=""),"",IF($B114="MEANS",INDEX('1-DATA'!$1:$1048576,$A113-1,COLUMN('1-DATA'!Y112)),ROUND(INDEX('1-DATA'!$1:$1048576,IF(OR($B114="STD. DEVIATION",$C$1=1),$A114,$A114+1),COLUMN('1-DATA'!Y112)),IF($B114="STD. DEVIATION",2,$F$1))))</f>
        <v/>
      </c>
      <c r="AA114" s="1" t="str">
        <f>IF(OR($B114="",AA$7=""),"",IF($B114="MEANS",INDEX('1-DATA'!$1:$1048576,$A113-1,COLUMN('1-DATA'!Z112)),ROUND(INDEX('1-DATA'!$1:$1048576,IF(OR($B114="STD. DEVIATION",$C$1=1),$A114,$A114+1),COLUMN('1-DATA'!Z112)),IF($B114="STD. DEVIATION",2,$F$1))))</f>
        <v/>
      </c>
      <c r="AB114" s="1" t="str">
        <f>IF(OR($B114="",AB$7=""),"",IF($B114="MEANS",INDEX('1-DATA'!$1:$1048576,$A113-1,COLUMN('1-DATA'!AA112)),ROUND(INDEX('1-DATA'!$1:$1048576,IF(OR($B114="STD. DEVIATION",$C$1=1),$A114,$A114+1),COLUMN('1-DATA'!AA112)),IF($B114="STD. DEVIATION",2,$F$1))))</f>
        <v/>
      </c>
      <c r="AC114" s="1" t="str">
        <f>IF(OR($B114="",AC$7=""),"",IF($B114="MEANS",INDEX('1-DATA'!$1:$1048576,$A113-1,COLUMN('1-DATA'!AB112)),ROUND(INDEX('1-DATA'!$1:$1048576,IF(OR($B114="STD. DEVIATION",$C$1=1),$A114,$A114+1),COLUMN('1-DATA'!AB112)),IF($B114="STD. DEVIATION",2,$F$1))))</f>
        <v/>
      </c>
      <c r="AD114" s="1" t="str">
        <f>IF(OR($B114="",AD$7=""),"",IF($B114="MEANS",INDEX('1-DATA'!$1:$1048576,$A113-1,COLUMN('1-DATA'!AC112)),ROUND(INDEX('1-DATA'!$1:$1048576,IF(OR($B114="STD. DEVIATION",$C$1=1),$A114,$A114+1),COLUMN('1-DATA'!AC112)),IF($B114="STD. DEVIATION",2,$F$1))))</f>
        <v/>
      </c>
      <c r="AE114" s="1" t="str">
        <f>IF(OR($B114="",AE$7=""),"",IF($B114="MEANS",INDEX('1-DATA'!$1:$1048576,$A113-1,COLUMN('1-DATA'!AD112)),ROUND(INDEX('1-DATA'!$1:$1048576,IF(OR($B114="STD. DEVIATION",$C$1=1),$A114,$A114+1),COLUMN('1-DATA'!AD112)),IF($B114="STD. DEVIATION",2,$F$1))))</f>
        <v/>
      </c>
      <c r="AF114" s="1" t="str">
        <f>IF(OR($B114="",AF$7=""),"",IF($B114="MEANS",INDEX('1-DATA'!$1:$1048576,$A113-1,COLUMN('1-DATA'!AE112)),ROUND(INDEX('1-DATA'!$1:$1048576,IF(OR($B114="STD. DEVIATION",$C$1=1),$A114,$A114+1),COLUMN('1-DATA'!AE112)),IF($B114="STD. DEVIATION",2,$F$1))))</f>
        <v/>
      </c>
      <c r="AG114" s="1" t="str">
        <f>IF(OR($B114="",AG$7=""),"",IF($B114="MEANS",INDEX('1-DATA'!$1:$1048576,$A113-1,COLUMN('1-DATA'!AF112)),ROUND(INDEX('1-DATA'!$1:$1048576,IF(OR($B114="STD. DEVIATION",$C$1=1),$A114,$A114+1),COLUMN('1-DATA'!AF112)),IF($B114="STD. DEVIATION",2,$F$1))))</f>
        <v/>
      </c>
      <c r="AH114" s="1" t="str">
        <f>IF(OR($B114="",AH$7=""),"",IF($B114="MEANS",INDEX('1-DATA'!$1:$1048576,$A113-1,COLUMN('1-DATA'!AG112)),ROUND(INDEX('1-DATA'!$1:$1048576,IF(OR($B114="STD. DEVIATION",$C$1=1),$A114,$A114+1),COLUMN('1-DATA'!AG112)),IF($B114="STD. DEVIATION",2,$F$1))))</f>
        <v/>
      </c>
      <c r="AI114" s="1" t="str">
        <f>IF(OR($B114="",AI$7=""),"",IF($B114="MEANS",INDEX('1-DATA'!$1:$1048576,$A113-1,COLUMN('1-DATA'!AH112)),ROUND(INDEX('1-DATA'!$1:$1048576,IF(OR($B114="STD. DEVIATION",$C$1=1),$A114,$A114+1),COLUMN('1-DATA'!AH112)),IF($B114="STD. DEVIATION",2,$F$1))))</f>
        <v/>
      </c>
      <c r="AJ114" s="1" t="str">
        <f>IF(OR($B114="",AJ$7=""),"",IF($B114="MEANS",INDEX('1-DATA'!$1:$1048576,$A113-1,COLUMN('1-DATA'!AI112)),ROUND(INDEX('1-DATA'!$1:$1048576,IF(OR($B114="STD. DEVIATION",$C$1=1),$A114,$A114+1),COLUMN('1-DATA'!AI112)),IF($B114="STD. DEVIATION",2,$F$1))))</f>
        <v/>
      </c>
      <c r="AK114" s="1" t="str">
        <f>IF(OR($B114="",AK$7=""),"",IF($B114="MEANS",INDEX('1-DATA'!$1:$1048576,$A113-1,COLUMN('1-DATA'!AJ112)),ROUND(INDEX('1-DATA'!$1:$1048576,IF(OR($B114="STD. DEVIATION",$C$1=1),$A114,$A114+1),COLUMN('1-DATA'!AJ112)),IF($B114="STD. DEVIATION",2,$F$1))))</f>
        <v/>
      </c>
      <c r="AL114" s="1" t="str">
        <f>IF(OR($B114="",AL$7=""),"",IF($B114="MEANS",INDEX('1-DATA'!$1:$1048576,$A113-1,COLUMN('1-DATA'!AK112)),ROUND(INDEX('1-DATA'!$1:$1048576,IF(OR($B114="STD. DEVIATION",$C$1=1),$A114,$A114+1),COLUMN('1-DATA'!AK112)),IF($B114="STD. DEVIATION",2,$F$1))))</f>
        <v/>
      </c>
      <c r="AM114" s="1" t="str">
        <f>IF(OR($B114="",AM$7=""),"",IF($B114="MEANS",INDEX('1-DATA'!$1:$1048576,$A113-1,COLUMN('1-DATA'!AL112)),ROUND(INDEX('1-DATA'!$1:$1048576,IF(OR($B114="STD. DEVIATION",$C$1=1),$A114,$A114+1),COLUMN('1-DATA'!AL112)),IF($B114="STD. DEVIATION",2,$F$1))))</f>
        <v/>
      </c>
      <c r="AN114" s="1" t="str">
        <f>IF(OR($B114="",AN$7=""),"",IF($B114="MEANS",INDEX('1-DATA'!$1:$1048576,$A113-1,COLUMN('1-DATA'!AM112)),ROUND(INDEX('1-DATA'!$1:$1048576,IF(OR($B114="STD. DEVIATION",$C$1=1),$A114,$A114+1),COLUMN('1-DATA'!AM112)),IF($B114="STD. DEVIATION",2,$F$1))))</f>
        <v/>
      </c>
      <c r="AO114" s="1" t="str">
        <f>IF(OR($B114="",AO$7=""),"",IF($B114="MEANS",INDEX('1-DATA'!$1:$1048576,$A113-1,COLUMN('1-DATA'!AN112)),ROUND(INDEX('1-DATA'!$1:$1048576,IF(OR($B114="STD. DEVIATION",$C$1=1),$A114,$A114+1),COLUMN('1-DATA'!AN112)),IF($B114="STD. DEVIATION",2,$F$1))))</f>
        <v/>
      </c>
      <c r="AP114" s="1" t="str">
        <f>IF(OR($B114="",AP$7=""),"",IF($B114="MEANS",INDEX('1-DATA'!$1:$1048576,$A113-1,COLUMN('1-DATA'!AO112)),ROUND(INDEX('1-DATA'!$1:$1048576,IF(OR($B114="STD. DEVIATION",$C$1=1),$A114,$A114+1),COLUMN('1-DATA'!AO112)),IF($B114="STD. DEVIATION",2,$F$1))))</f>
        <v/>
      </c>
      <c r="AQ114" s="1" t="str">
        <f>IF(OR($B114="",AQ$7=""),"",IF($B114="MEANS",INDEX('1-DATA'!$1:$1048576,$A113-1,COLUMN('1-DATA'!AP112)),ROUND(INDEX('1-DATA'!$1:$1048576,IF(OR($B114="STD. DEVIATION",$C$1=1),$A114,$A114+1),COLUMN('1-DATA'!AP112)),IF($B114="STD. DEVIATION",2,$F$1))))</f>
        <v/>
      </c>
      <c r="AR114" s="1" t="str">
        <f>IF(OR($B114="",AR$7=""),"",IF($B114="MEANS",INDEX('1-DATA'!$1:$1048576,$A113-1,COLUMN('1-DATA'!AQ112)),ROUND(INDEX('1-DATA'!$1:$1048576,IF(OR($B114="STD. DEVIATION",$C$1=1),$A114,$A114+1),COLUMN('1-DATA'!AQ112)),IF($B114="STD. DEVIATION",2,$F$1))))</f>
        <v/>
      </c>
      <c r="AS114" s="1" t="str">
        <f>IF(OR($B114="",AS$7=""),"",IF($B114="MEANS",INDEX('1-DATA'!$1:$1048576,$A113-1,COLUMN('1-DATA'!AR112)),ROUND(INDEX('1-DATA'!$1:$1048576,IF(OR($B114="STD. DEVIATION",$C$1=1),$A114,$A114+1),COLUMN('1-DATA'!AR112)),IF($B114="STD. DEVIATION",2,$F$1))))</f>
        <v/>
      </c>
      <c r="AT114" s="1" t="str">
        <f>IF(OR($B114="",AT$7=""),"",IF($B114="MEANS",INDEX('1-DATA'!$1:$1048576,$A113-1,COLUMN('1-DATA'!AS112)),ROUND(INDEX('1-DATA'!$1:$1048576,IF(OR($B114="STD. DEVIATION",$C$1=1),$A114,$A114+1),COLUMN('1-DATA'!AS112)),IF($B114="STD. DEVIATION",2,$F$1))))</f>
        <v/>
      </c>
      <c r="AU114" s="1" t="str">
        <f>IF(OR($B114="",AU$7=""),"",IF($B114="MEANS",INDEX('1-DATA'!$1:$1048576,$A113-1,COLUMN('1-DATA'!AT112)),ROUND(INDEX('1-DATA'!$1:$1048576,IF(OR($B114="STD. DEVIATION",$C$1=1),$A114,$A114+1),COLUMN('1-DATA'!AT112)),IF($B114="STD. DEVIATION",2,$F$1))))</f>
        <v/>
      </c>
      <c r="AV114" s="1" t="str">
        <f>IF(OR($B114="",AV$7=""),"",IF($B114="MEANS",INDEX('1-DATA'!$1:$1048576,$A113-1,COLUMN('1-DATA'!AU112)),ROUND(INDEX('1-DATA'!$1:$1048576,IF(OR($B114="STD. DEVIATION",$C$1=1),$A114,$A114+1),COLUMN('1-DATA'!AU112)),IF($B114="STD. DEVIATION",2,$F$1))))</f>
        <v/>
      </c>
      <c r="AW114" s="1" t="str">
        <f>IF(OR($B114="",AW$7=""),"",IF($B114="MEANS",INDEX('1-DATA'!$1:$1048576,$A113-1,COLUMN('1-DATA'!AV112)),ROUND(INDEX('1-DATA'!$1:$1048576,IF(OR($B114="STD. DEVIATION",$C$1=1),$A114,$A114+1),COLUMN('1-DATA'!AV112)),IF($B114="STD. DEVIATION",2,$F$1))))</f>
        <v/>
      </c>
      <c r="AX114" s="1" t="str">
        <f>IF(OR($B114="",AX$7=""),"",IF($B114="MEANS",INDEX('1-DATA'!$1:$1048576,$A113-1,COLUMN('1-DATA'!AW112)),ROUND(INDEX('1-DATA'!$1:$1048576,IF(OR($B114="STD. DEVIATION",$C$1=1),$A114,$A114+1),COLUMN('1-DATA'!AW112)),IF($B114="STD. DEVIATION",2,$F$1))))</f>
        <v/>
      </c>
      <c r="AY114" s="1" t="str">
        <f>IF(OR($B114="",AY$7=""),"",IF($B114="MEANS",INDEX('1-DATA'!$1:$1048576,$A113-1,COLUMN('1-DATA'!AX112)),ROUND(INDEX('1-DATA'!$1:$1048576,IF(OR($B114="STD. DEVIATION",$C$1=1),$A114,$A114+1),COLUMN('1-DATA'!AX112)),IF($B114="STD. DEVIATION",2,$F$1))))</f>
        <v/>
      </c>
      <c r="AZ114" s="1" t="str">
        <f>IF(OR($B114="",AZ$7=""),"",IF($B114="MEANS",INDEX('1-DATA'!$1:$1048576,$A113-1,COLUMN('1-DATA'!AY112)),ROUND(INDEX('1-DATA'!$1:$1048576,IF(OR($B114="STD. DEVIATION",$C$1=1),$A114,$A114+1),COLUMN('1-DATA'!AY112)),IF($B114="STD. DEVIATION",2,$F$1))))</f>
        <v/>
      </c>
    </row>
    <row r="115" spans="1:52" x14ac:dyDescent="0.25">
      <c r="A115" s="11">
        <f t="shared" si="2"/>
        <v>331</v>
      </c>
      <c r="B115" s="1" t="str">
        <f>IF(B114="STD. DEVIATION",INDEX('1-DATA'!$1:$1048576,$A114-1,1),IF(INDEX('1-DATA'!$1:$1048576,$A115,1)&lt;&gt;"",INDEX('1-DATA'!$1:$1048576,$A115,1),""))</f>
        <v/>
      </c>
      <c r="C115" s="1" t="str">
        <f>IF(OR($B115="",C$7=""),"",IF($B115="MEANS",INDEX('1-DATA'!$1:$1048576,$A114-1,COLUMN('1-DATA'!B113)),ROUND(INDEX('1-DATA'!$1:$1048576,IF(OR($B115="STD. DEVIATION",$C$1=1),$A115,$A115+1),COLUMN('1-DATA'!B113)),IF($B115="STD. DEVIATION",2,$F$1))))</f>
        <v/>
      </c>
      <c r="D115" s="1" t="str">
        <f>IF(OR($B115="",D$7=""),"",IF($B115="MEANS",INDEX('1-DATA'!$1:$1048576,$A114-1,COLUMN('1-DATA'!C113)),ROUND(INDEX('1-DATA'!$1:$1048576,IF(OR($B115="STD. DEVIATION",$C$1=1),$A115,$A115+1),COLUMN('1-DATA'!C113)),IF($B115="STD. DEVIATION",2,$F$1))))</f>
        <v/>
      </c>
      <c r="E115" s="1" t="str">
        <f>IF(OR($B115="",E$7=""),"",IF($B115="MEANS",INDEX('1-DATA'!$1:$1048576,$A114-1,COLUMN('1-DATA'!D113)),ROUND(INDEX('1-DATA'!$1:$1048576,IF(OR($B115="STD. DEVIATION",$C$1=1),$A115,$A115+1),COLUMN('1-DATA'!D113)),IF($B115="STD. DEVIATION",2,$F$1))))</f>
        <v/>
      </c>
      <c r="F115" s="1" t="str">
        <f>IF(OR($B115="",F$7=""),"",IF($B115="MEANS",INDEX('1-DATA'!$1:$1048576,$A114-1,COLUMN('1-DATA'!E113)),ROUND(INDEX('1-DATA'!$1:$1048576,IF(OR($B115="STD. DEVIATION",$C$1=1),$A115,$A115+1),COLUMN('1-DATA'!E113)),IF($B115="STD. DEVIATION",2,$F$1))))</f>
        <v/>
      </c>
      <c r="G115" s="1" t="str">
        <f>IF(OR($B115="",G$7=""),"",IF($B115="MEANS",INDEX('1-DATA'!$1:$1048576,$A114-1,COLUMN('1-DATA'!F113)),ROUND(INDEX('1-DATA'!$1:$1048576,IF(OR($B115="STD. DEVIATION",$C$1=1),$A115,$A115+1),COLUMN('1-DATA'!F113)),IF($B115="STD. DEVIATION",2,$F$1))))</f>
        <v/>
      </c>
      <c r="H115" s="1" t="str">
        <f>IF(OR($B115="",H$7=""),"",IF($B115="MEANS",INDEX('1-DATA'!$1:$1048576,$A114-1,COLUMN('1-DATA'!G113)),ROUND(INDEX('1-DATA'!$1:$1048576,IF(OR($B115="STD. DEVIATION",$C$1=1),$A115,$A115+1),COLUMN('1-DATA'!G113)),IF($B115="STD. DEVIATION",2,$F$1))))</f>
        <v/>
      </c>
      <c r="I115" s="1" t="str">
        <f>IF(OR($B115="",I$7=""),"",IF($B115="MEANS",INDEX('1-DATA'!$1:$1048576,$A114-1,COLUMN('1-DATA'!H113)),ROUND(INDEX('1-DATA'!$1:$1048576,IF(OR($B115="STD. DEVIATION",$C$1=1),$A115,$A115+1),COLUMN('1-DATA'!H113)),IF($B115="STD. DEVIATION",2,$F$1))))</f>
        <v/>
      </c>
      <c r="J115" s="1" t="str">
        <f>IF(OR($B115="",J$7=""),"",IF($B115="MEANS",INDEX('1-DATA'!$1:$1048576,$A114-1,COLUMN('1-DATA'!I113)),ROUND(INDEX('1-DATA'!$1:$1048576,IF(OR($B115="STD. DEVIATION",$C$1=1),$A115,$A115+1),COLUMN('1-DATA'!I113)),IF($B115="STD. DEVIATION",2,$F$1))))</f>
        <v/>
      </c>
      <c r="K115" s="1" t="str">
        <f>IF(OR($B115="",K$7=""),"",IF($B115="MEANS",INDEX('1-DATA'!$1:$1048576,$A114-1,COLUMN('1-DATA'!J113)),ROUND(INDEX('1-DATA'!$1:$1048576,IF(OR($B115="STD. DEVIATION",$C$1=1),$A115,$A115+1),COLUMN('1-DATA'!J113)),IF($B115="STD. DEVIATION",2,$F$1))))</f>
        <v/>
      </c>
      <c r="L115" s="1" t="str">
        <f>IF(OR($B115="",L$7=""),"",IF($B115="MEANS",INDEX('1-DATA'!$1:$1048576,$A114-1,COLUMN('1-DATA'!K113)),ROUND(INDEX('1-DATA'!$1:$1048576,IF(OR($B115="STD. DEVIATION",$C$1=1),$A115,$A115+1),COLUMN('1-DATA'!K113)),IF($B115="STD. DEVIATION",2,$F$1))))</f>
        <v/>
      </c>
      <c r="M115" s="1" t="str">
        <f>IF(OR($B115="",M$7=""),"",IF($B115="MEANS",INDEX('1-DATA'!$1:$1048576,$A114-1,COLUMN('1-DATA'!L113)),ROUND(INDEX('1-DATA'!$1:$1048576,IF(OR($B115="STD. DEVIATION",$C$1=1),$A115,$A115+1),COLUMN('1-DATA'!L113)),IF($B115="STD. DEVIATION",2,$F$1))))</f>
        <v/>
      </c>
      <c r="N115" s="1" t="str">
        <f>IF(OR($B115="",N$7=""),"",IF($B115="MEANS",INDEX('1-DATA'!$1:$1048576,$A114-1,COLUMN('1-DATA'!M113)),ROUND(INDEX('1-DATA'!$1:$1048576,IF(OR($B115="STD. DEVIATION",$C$1=1),$A115,$A115+1),COLUMN('1-DATA'!M113)),IF($B115="STD. DEVIATION",2,$F$1))))</f>
        <v/>
      </c>
      <c r="O115" s="1" t="str">
        <f>IF(OR($B115="",O$7=""),"",IF($B115="MEANS",INDEX('1-DATA'!$1:$1048576,$A114-1,COLUMN('1-DATA'!N113)),ROUND(INDEX('1-DATA'!$1:$1048576,IF(OR($B115="STD. DEVIATION",$C$1=1),$A115,$A115+1),COLUMN('1-DATA'!N113)),IF($B115="STD. DEVIATION",2,$F$1))))</f>
        <v/>
      </c>
      <c r="P115" s="1" t="str">
        <f>IF(OR($B115="",P$7=""),"",IF($B115="MEANS",INDEX('1-DATA'!$1:$1048576,$A114-1,COLUMN('1-DATA'!O113)),ROUND(INDEX('1-DATA'!$1:$1048576,IF(OR($B115="STD. DEVIATION",$C$1=1),$A115,$A115+1),COLUMN('1-DATA'!O113)),IF($B115="STD. DEVIATION",2,$F$1))))</f>
        <v/>
      </c>
      <c r="Q115" s="1" t="str">
        <f>IF(OR($B115="",Q$7=""),"",IF($B115="MEANS",INDEX('1-DATA'!$1:$1048576,$A114-1,COLUMN('1-DATA'!P113)),ROUND(INDEX('1-DATA'!$1:$1048576,IF(OR($B115="STD. DEVIATION",$C$1=1),$A115,$A115+1),COLUMN('1-DATA'!P113)),IF($B115="STD. DEVIATION",2,$F$1))))</f>
        <v/>
      </c>
      <c r="R115" s="1" t="str">
        <f>IF(OR($B115="",R$7=""),"",IF($B115="MEANS",INDEX('1-DATA'!$1:$1048576,$A114-1,COLUMN('1-DATA'!Q113)),ROUND(INDEX('1-DATA'!$1:$1048576,IF(OR($B115="STD. DEVIATION",$C$1=1),$A115,$A115+1),COLUMN('1-DATA'!Q113)),IF($B115="STD. DEVIATION",2,$F$1))))</f>
        <v/>
      </c>
      <c r="S115" s="1" t="str">
        <f>IF(OR($B115="",S$7=""),"",IF($B115="MEANS",INDEX('1-DATA'!$1:$1048576,$A114-1,COLUMN('1-DATA'!R113)),ROUND(INDEX('1-DATA'!$1:$1048576,IF(OR($B115="STD. DEVIATION",$C$1=1),$A115,$A115+1),COLUMN('1-DATA'!R113)),IF($B115="STD. DEVIATION",2,$F$1))))</f>
        <v/>
      </c>
      <c r="T115" s="1" t="str">
        <f>IF(OR($B115="",T$7=""),"",IF($B115="MEANS",INDEX('1-DATA'!$1:$1048576,$A114-1,COLUMN('1-DATA'!S113)),ROUND(INDEX('1-DATA'!$1:$1048576,IF(OR($B115="STD. DEVIATION",$C$1=1),$A115,$A115+1),COLUMN('1-DATA'!S113)),IF($B115="STD. DEVIATION",2,$F$1))))</f>
        <v/>
      </c>
      <c r="U115" s="1" t="str">
        <f>IF(OR($B115="",U$7=""),"",IF($B115="MEANS",INDEX('1-DATA'!$1:$1048576,$A114-1,COLUMN('1-DATA'!T113)),ROUND(INDEX('1-DATA'!$1:$1048576,IF(OR($B115="STD. DEVIATION",$C$1=1),$A115,$A115+1),COLUMN('1-DATA'!T113)),IF($B115="STD. DEVIATION",2,$F$1))))</f>
        <v/>
      </c>
      <c r="V115" s="1" t="str">
        <f>IF(OR($B115="",V$7=""),"",IF($B115="MEANS",INDEX('1-DATA'!$1:$1048576,$A114-1,COLUMN('1-DATA'!U113)),ROUND(INDEX('1-DATA'!$1:$1048576,IF(OR($B115="STD. DEVIATION",$C$1=1),$A115,$A115+1),COLUMN('1-DATA'!U113)),IF($B115="STD. DEVIATION",2,$F$1))))</f>
        <v/>
      </c>
      <c r="W115" s="1" t="str">
        <f>IF(OR($B115="",W$7=""),"",IF($B115="MEANS",INDEX('1-DATA'!$1:$1048576,$A114-1,COLUMN('1-DATA'!V113)),ROUND(INDEX('1-DATA'!$1:$1048576,IF(OR($B115="STD. DEVIATION",$C$1=1),$A115,$A115+1),COLUMN('1-DATA'!V113)),IF($B115="STD. DEVIATION",2,$F$1))))</f>
        <v/>
      </c>
      <c r="X115" s="1" t="str">
        <f>IF(OR($B115="",X$7=""),"",IF($B115="MEANS",INDEX('1-DATA'!$1:$1048576,$A114-1,COLUMN('1-DATA'!W113)),ROUND(INDEX('1-DATA'!$1:$1048576,IF(OR($B115="STD. DEVIATION",$C$1=1),$A115,$A115+1),COLUMN('1-DATA'!W113)),IF($B115="STD. DEVIATION",2,$F$1))))</f>
        <v/>
      </c>
      <c r="Y115" s="1" t="str">
        <f>IF(OR($B115="",Y$7=""),"",IF($B115="MEANS",INDEX('1-DATA'!$1:$1048576,$A114-1,COLUMN('1-DATA'!X113)),ROUND(INDEX('1-DATA'!$1:$1048576,IF(OR($B115="STD. DEVIATION",$C$1=1),$A115,$A115+1),COLUMN('1-DATA'!X113)),IF($B115="STD. DEVIATION",2,$F$1))))</f>
        <v/>
      </c>
      <c r="Z115" s="1" t="str">
        <f>IF(OR($B115="",Z$7=""),"",IF($B115="MEANS",INDEX('1-DATA'!$1:$1048576,$A114-1,COLUMN('1-DATA'!Y113)),ROUND(INDEX('1-DATA'!$1:$1048576,IF(OR($B115="STD. DEVIATION",$C$1=1),$A115,$A115+1),COLUMN('1-DATA'!Y113)),IF($B115="STD. DEVIATION",2,$F$1))))</f>
        <v/>
      </c>
      <c r="AA115" s="1" t="str">
        <f>IF(OR($B115="",AA$7=""),"",IF($B115="MEANS",INDEX('1-DATA'!$1:$1048576,$A114-1,COLUMN('1-DATA'!Z113)),ROUND(INDEX('1-DATA'!$1:$1048576,IF(OR($B115="STD. DEVIATION",$C$1=1),$A115,$A115+1),COLUMN('1-DATA'!Z113)),IF($B115="STD. DEVIATION",2,$F$1))))</f>
        <v/>
      </c>
      <c r="AB115" s="1" t="str">
        <f>IF(OR($B115="",AB$7=""),"",IF($B115="MEANS",INDEX('1-DATA'!$1:$1048576,$A114-1,COLUMN('1-DATA'!AA113)),ROUND(INDEX('1-DATA'!$1:$1048576,IF(OR($B115="STD. DEVIATION",$C$1=1),$A115,$A115+1),COLUMN('1-DATA'!AA113)),IF($B115="STD. DEVIATION",2,$F$1))))</f>
        <v/>
      </c>
      <c r="AC115" s="1" t="str">
        <f>IF(OR($B115="",AC$7=""),"",IF($B115="MEANS",INDEX('1-DATA'!$1:$1048576,$A114-1,COLUMN('1-DATA'!AB113)),ROUND(INDEX('1-DATA'!$1:$1048576,IF(OR($B115="STD. DEVIATION",$C$1=1),$A115,$A115+1),COLUMN('1-DATA'!AB113)),IF($B115="STD. DEVIATION",2,$F$1))))</f>
        <v/>
      </c>
      <c r="AD115" s="1" t="str">
        <f>IF(OR($B115="",AD$7=""),"",IF($B115="MEANS",INDEX('1-DATA'!$1:$1048576,$A114-1,COLUMN('1-DATA'!AC113)),ROUND(INDEX('1-DATA'!$1:$1048576,IF(OR($B115="STD. DEVIATION",$C$1=1),$A115,$A115+1),COLUMN('1-DATA'!AC113)),IF($B115="STD. DEVIATION",2,$F$1))))</f>
        <v/>
      </c>
      <c r="AE115" s="1" t="str">
        <f>IF(OR($B115="",AE$7=""),"",IF($B115="MEANS",INDEX('1-DATA'!$1:$1048576,$A114-1,COLUMN('1-DATA'!AD113)),ROUND(INDEX('1-DATA'!$1:$1048576,IF(OR($B115="STD. DEVIATION",$C$1=1),$A115,$A115+1),COLUMN('1-DATA'!AD113)),IF($B115="STD. DEVIATION",2,$F$1))))</f>
        <v/>
      </c>
      <c r="AF115" s="1" t="str">
        <f>IF(OR($B115="",AF$7=""),"",IF($B115="MEANS",INDEX('1-DATA'!$1:$1048576,$A114-1,COLUMN('1-DATA'!AE113)),ROUND(INDEX('1-DATA'!$1:$1048576,IF(OR($B115="STD. DEVIATION",$C$1=1),$A115,$A115+1),COLUMN('1-DATA'!AE113)),IF($B115="STD. DEVIATION",2,$F$1))))</f>
        <v/>
      </c>
      <c r="AG115" s="1" t="str">
        <f>IF(OR($B115="",AG$7=""),"",IF($B115="MEANS",INDEX('1-DATA'!$1:$1048576,$A114-1,COLUMN('1-DATA'!AF113)),ROUND(INDEX('1-DATA'!$1:$1048576,IF(OR($B115="STD. DEVIATION",$C$1=1),$A115,$A115+1),COLUMN('1-DATA'!AF113)),IF($B115="STD. DEVIATION",2,$F$1))))</f>
        <v/>
      </c>
      <c r="AH115" s="1" t="str">
        <f>IF(OR($B115="",AH$7=""),"",IF($B115="MEANS",INDEX('1-DATA'!$1:$1048576,$A114-1,COLUMN('1-DATA'!AG113)),ROUND(INDEX('1-DATA'!$1:$1048576,IF(OR($B115="STD. DEVIATION",$C$1=1),$A115,$A115+1),COLUMN('1-DATA'!AG113)),IF($B115="STD. DEVIATION",2,$F$1))))</f>
        <v/>
      </c>
      <c r="AI115" s="1" t="str">
        <f>IF(OR($B115="",AI$7=""),"",IF($B115="MEANS",INDEX('1-DATA'!$1:$1048576,$A114-1,COLUMN('1-DATA'!AH113)),ROUND(INDEX('1-DATA'!$1:$1048576,IF(OR($B115="STD. DEVIATION",$C$1=1),$A115,$A115+1),COLUMN('1-DATA'!AH113)),IF($B115="STD. DEVIATION",2,$F$1))))</f>
        <v/>
      </c>
      <c r="AJ115" s="1" t="str">
        <f>IF(OR($B115="",AJ$7=""),"",IF($B115="MEANS",INDEX('1-DATA'!$1:$1048576,$A114-1,COLUMN('1-DATA'!AI113)),ROUND(INDEX('1-DATA'!$1:$1048576,IF(OR($B115="STD. DEVIATION",$C$1=1),$A115,$A115+1),COLUMN('1-DATA'!AI113)),IF($B115="STD. DEVIATION",2,$F$1))))</f>
        <v/>
      </c>
      <c r="AK115" s="1" t="str">
        <f>IF(OR($B115="",AK$7=""),"",IF($B115="MEANS",INDEX('1-DATA'!$1:$1048576,$A114-1,COLUMN('1-DATA'!AJ113)),ROUND(INDEX('1-DATA'!$1:$1048576,IF(OR($B115="STD. DEVIATION",$C$1=1),$A115,$A115+1),COLUMN('1-DATA'!AJ113)),IF($B115="STD. DEVIATION",2,$F$1))))</f>
        <v/>
      </c>
      <c r="AL115" s="1" t="str">
        <f>IF(OR($B115="",AL$7=""),"",IF($B115="MEANS",INDEX('1-DATA'!$1:$1048576,$A114-1,COLUMN('1-DATA'!AK113)),ROUND(INDEX('1-DATA'!$1:$1048576,IF(OR($B115="STD. DEVIATION",$C$1=1),$A115,$A115+1),COLUMN('1-DATA'!AK113)),IF($B115="STD. DEVIATION",2,$F$1))))</f>
        <v/>
      </c>
      <c r="AM115" s="1" t="str">
        <f>IF(OR($B115="",AM$7=""),"",IF($B115="MEANS",INDEX('1-DATA'!$1:$1048576,$A114-1,COLUMN('1-DATA'!AL113)),ROUND(INDEX('1-DATA'!$1:$1048576,IF(OR($B115="STD. DEVIATION",$C$1=1),$A115,$A115+1),COLUMN('1-DATA'!AL113)),IF($B115="STD. DEVIATION",2,$F$1))))</f>
        <v/>
      </c>
      <c r="AN115" s="1" t="str">
        <f>IF(OR($B115="",AN$7=""),"",IF($B115="MEANS",INDEX('1-DATA'!$1:$1048576,$A114-1,COLUMN('1-DATA'!AM113)),ROUND(INDEX('1-DATA'!$1:$1048576,IF(OR($B115="STD. DEVIATION",$C$1=1),$A115,$A115+1),COLUMN('1-DATA'!AM113)),IF($B115="STD. DEVIATION",2,$F$1))))</f>
        <v/>
      </c>
      <c r="AO115" s="1" t="str">
        <f>IF(OR($B115="",AO$7=""),"",IF($B115="MEANS",INDEX('1-DATA'!$1:$1048576,$A114-1,COLUMN('1-DATA'!AN113)),ROUND(INDEX('1-DATA'!$1:$1048576,IF(OR($B115="STD. DEVIATION",$C$1=1),$A115,$A115+1),COLUMN('1-DATA'!AN113)),IF($B115="STD. DEVIATION",2,$F$1))))</f>
        <v/>
      </c>
      <c r="AP115" s="1" t="str">
        <f>IF(OR($B115="",AP$7=""),"",IF($B115="MEANS",INDEX('1-DATA'!$1:$1048576,$A114-1,COLUMN('1-DATA'!AO113)),ROUND(INDEX('1-DATA'!$1:$1048576,IF(OR($B115="STD. DEVIATION",$C$1=1),$A115,$A115+1),COLUMN('1-DATA'!AO113)),IF($B115="STD. DEVIATION",2,$F$1))))</f>
        <v/>
      </c>
      <c r="AQ115" s="1" t="str">
        <f>IF(OR($B115="",AQ$7=""),"",IF($B115="MEANS",INDEX('1-DATA'!$1:$1048576,$A114-1,COLUMN('1-DATA'!AP113)),ROUND(INDEX('1-DATA'!$1:$1048576,IF(OR($B115="STD. DEVIATION",$C$1=1),$A115,$A115+1),COLUMN('1-DATA'!AP113)),IF($B115="STD. DEVIATION",2,$F$1))))</f>
        <v/>
      </c>
      <c r="AR115" s="1" t="str">
        <f>IF(OR($B115="",AR$7=""),"",IF($B115="MEANS",INDEX('1-DATA'!$1:$1048576,$A114-1,COLUMN('1-DATA'!AQ113)),ROUND(INDEX('1-DATA'!$1:$1048576,IF(OR($B115="STD. DEVIATION",$C$1=1),$A115,$A115+1),COLUMN('1-DATA'!AQ113)),IF($B115="STD. DEVIATION",2,$F$1))))</f>
        <v/>
      </c>
      <c r="AS115" s="1" t="str">
        <f>IF(OR($B115="",AS$7=""),"",IF($B115="MEANS",INDEX('1-DATA'!$1:$1048576,$A114-1,COLUMN('1-DATA'!AR113)),ROUND(INDEX('1-DATA'!$1:$1048576,IF(OR($B115="STD. DEVIATION",$C$1=1),$A115,$A115+1),COLUMN('1-DATA'!AR113)),IF($B115="STD. DEVIATION",2,$F$1))))</f>
        <v/>
      </c>
      <c r="AT115" s="1" t="str">
        <f>IF(OR($B115="",AT$7=""),"",IF($B115="MEANS",INDEX('1-DATA'!$1:$1048576,$A114-1,COLUMN('1-DATA'!AS113)),ROUND(INDEX('1-DATA'!$1:$1048576,IF(OR($B115="STD. DEVIATION",$C$1=1),$A115,$A115+1),COLUMN('1-DATA'!AS113)),IF($B115="STD. DEVIATION",2,$F$1))))</f>
        <v/>
      </c>
      <c r="AU115" s="1" t="str">
        <f>IF(OR($B115="",AU$7=""),"",IF($B115="MEANS",INDEX('1-DATA'!$1:$1048576,$A114-1,COLUMN('1-DATA'!AT113)),ROUND(INDEX('1-DATA'!$1:$1048576,IF(OR($B115="STD. DEVIATION",$C$1=1),$A115,$A115+1),COLUMN('1-DATA'!AT113)),IF($B115="STD. DEVIATION",2,$F$1))))</f>
        <v/>
      </c>
      <c r="AV115" s="1" t="str">
        <f>IF(OR($B115="",AV$7=""),"",IF($B115="MEANS",INDEX('1-DATA'!$1:$1048576,$A114-1,COLUMN('1-DATA'!AU113)),ROUND(INDEX('1-DATA'!$1:$1048576,IF(OR($B115="STD. DEVIATION",$C$1=1),$A115,$A115+1),COLUMN('1-DATA'!AU113)),IF($B115="STD. DEVIATION",2,$F$1))))</f>
        <v/>
      </c>
      <c r="AW115" s="1" t="str">
        <f>IF(OR($B115="",AW$7=""),"",IF($B115="MEANS",INDEX('1-DATA'!$1:$1048576,$A114-1,COLUMN('1-DATA'!AV113)),ROUND(INDEX('1-DATA'!$1:$1048576,IF(OR($B115="STD. DEVIATION",$C$1=1),$A115,$A115+1),COLUMN('1-DATA'!AV113)),IF($B115="STD. DEVIATION",2,$F$1))))</f>
        <v/>
      </c>
      <c r="AX115" s="1" t="str">
        <f>IF(OR($B115="",AX$7=""),"",IF($B115="MEANS",INDEX('1-DATA'!$1:$1048576,$A114-1,COLUMN('1-DATA'!AW113)),ROUND(INDEX('1-DATA'!$1:$1048576,IF(OR($B115="STD. DEVIATION",$C$1=1),$A115,$A115+1),COLUMN('1-DATA'!AW113)),IF($B115="STD. DEVIATION",2,$F$1))))</f>
        <v/>
      </c>
      <c r="AY115" s="1" t="str">
        <f>IF(OR($B115="",AY$7=""),"",IF($B115="MEANS",INDEX('1-DATA'!$1:$1048576,$A114-1,COLUMN('1-DATA'!AX113)),ROUND(INDEX('1-DATA'!$1:$1048576,IF(OR($B115="STD. DEVIATION",$C$1=1),$A115,$A115+1),COLUMN('1-DATA'!AX113)),IF($B115="STD. DEVIATION",2,$F$1))))</f>
        <v/>
      </c>
      <c r="AZ115" s="1" t="str">
        <f>IF(OR($B115="",AZ$7=""),"",IF($B115="MEANS",INDEX('1-DATA'!$1:$1048576,$A114-1,COLUMN('1-DATA'!AY113)),ROUND(INDEX('1-DATA'!$1:$1048576,IF(OR($B115="STD. DEVIATION",$C$1=1),$A115,$A115+1),COLUMN('1-DATA'!AY113)),IF($B115="STD. DEVIATION",2,$F$1))))</f>
        <v/>
      </c>
    </row>
    <row r="116" spans="1:52" x14ac:dyDescent="0.25">
      <c r="A116" s="11">
        <f t="shared" si="2"/>
        <v>334</v>
      </c>
      <c r="B116" s="1" t="str">
        <f>IF(B115="STD. DEVIATION",INDEX('1-DATA'!$1:$1048576,$A115-1,1),IF(INDEX('1-DATA'!$1:$1048576,$A116,1)&lt;&gt;"",INDEX('1-DATA'!$1:$1048576,$A116,1),""))</f>
        <v/>
      </c>
      <c r="C116" s="1" t="str">
        <f>IF(OR($B116="",C$7=""),"",IF($B116="MEANS",INDEX('1-DATA'!$1:$1048576,$A115-1,COLUMN('1-DATA'!B114)),ROUND(INDEX('1-DATA'!$1:$1048576,IF(OR($B116="STD. DEVIATION",$C$1=1),$A116,$A116+1),COLUMN('1-DATA'!B114)),IF($B116="STD. DEVIATION",2,$F$1))))</f>
        <v/>
      </c>
      <c r="D116" s="1" t="str">
        <f>IF(OR($B116="",D$7=""),"",IF($B116="MEANS",INDEX('1-DATA'!$1:$1048576,$A115-1,COLUMN('1-DATA'!C114)),ROUND(INDEX('1-DATA'!$1:$1048576,IF(OR($B116="STD. DEVIATION",$C$1=1),$A116,$A116+1),COLUMN('1-DATA'!C114)),IF($B116="STD. DEVIATION",2,$F$1))))</f>
        <v/>
      </c>
      <c r="E116" s="1" t="str">
        <f>IF(OR($B116="",E$7=""),"",IF($B116="MEANS",INDEX('1-DATA'!$1:$1048576,$A115-1,COLUMN('1-DATA'!D114)),ROUND(INDEX('1-DATA'!$1:$1048576,IF(OR($B116="STD. DEVIATION",$C$1=1),$A116,$A116+1),COLUMN('1-DATA'!D114)),IF($B116="STD. DEVIATION",2,$F$1))))</f>
        <v/>
      </c>
      <c r="F116" s="1" t="str">
        <f>IF(OR($B116="",F$7=""),"",IF($B116="MEANS",INDEX('1-DATA'!$1:$1048576,$A115-1,COLUMN('1-DATA'!E114)),ROUND(INDEX('1-DATA'!$1:$1048576,IF(OR($B116="STD. DEVIATION",$C$1=1),$A116,$A116+1),COLUMN('1-DATA'!E114)),IF($B116="STD. DEVIATION",2,$F$1))))</f>
        <v/>
      </c>
      <c r="G116" s="1" t="str">
        <f>IF(OR($B116="",G$7=""),"",IF($B116="MEANS",INDEX('1-DATA'!$1:$1048576,$A115-1,COLUMN('1-DATA'!F114)),ROUND(INDEX('1-DATA'!$1:$1048576,IF(OR($B116="STD. DEVIATION",$C$1=1),$A116,$A116+1),COLUMN('1-DATA'!F114)),IF($B116="STD. DEVIATION",2,$F$1))))</f>
        <v/>
      </c>
      <c r="H116" s="1" t="str">
        <f>IF(OR($B116="",H$7=""),"",IF($B116="MEANS",INDEX('1-DATA'!$1:$1048576,$A115-1,COLUMN('1-DATA'!G114)),ROUND(INDEX('1-DATA'!$1:$1048576,IF(OR($B116="STD. DEVIATION",$C$1=1),$A116,$A116+1),COLUMN('1-DATA'!G114)),IF($B116="STD. DEVIATION",2,$F$1))))</f>
        <v/>
      </c>
      <c r="I116" s="1" t="str">
        <f>IF(OR($B116="",I$7=""),"",IF($B116="MEANS",INDEX('1-DATA'!$1:$1048576,$A115-1,COLUMN('1-DATA'!H114)),ROUND(INDEX('1-DATA'!$1:$1048576,IF(OR($B116="STD. DEVIATION",$C$1=1),$A116,$A116+1),COLUMN('1-DATA'!H114)),IF($B116="STD. DEVIATION",2,$F$1))))</f>
        <v/>
      </c>
      <c r="J116" s="1" t="str">
        <f>IF(OR($B116="",J$7=""),"",IF($B116="MEANS",INDEX('1-DATA'!$1:$1048576,$A115-1,COLUMN('1-DATA'!I114)),ROUND(INDEX('1-DATA'!$1:$1048576,IF(OR($B116="STD. DEVIATION",$C$1=1),$A116,$A116+1),COLUMN('1-DATA'!I114)),IF($B116="STD. DEVIATION",2,$F$1))))</f>
        <v/>
      </c>
      <c r="K116" s="1" t="str">
        <f>IF(OR($B116="",K$7=""),"",IF($B116="MEANS",INDEX('1-DATA'!$1:$1048576,$A115-1,COLUMN('1-DATA'!J114)),ROUND(INDEX('1-DATA'!$1:$1048576,IF(OR($B116="STD. DEVIATION",$C$1=1),$A116,$A116+1),COLUMN('1-DATA'!J114)),IF($B116="STD. DEVIATION",2,$F$1))))</f>
        <v/>
      </c>
      <c r="L116" s="1" t="str">
        <f>IF(OR($B116="",L$7=""),"",IF($B116="MEANS",INDEX('1-DATA'!$1:$1048576,$A115-1,COLUMN('1-DATA'!K114)),ROUND(INDEX('1-DATA'!$1:$1048576,IF(OR($B116="STD. DEVIATION",$C$1=1),$A116,$A116+1),COLUMN('1-DATA'!K114)),IF($B116="STD. DEVIATION",2,$F$1))))</f>
        <v/>
      </c>
      <c r="M116" s="1" t="str">
        <f>IF(OR($B116="",M$7=""),"",IF($B116="MEANS",INDEX('1-DATA'!$1:$1048576,$A115-1,COLUMN('1-DATA'!L114)),ROUND(INDEX('1-DATA'!$1:$1048576,IF(OR($B116="STD. DEVIATION",$C$1=1),$A116,$A116+1),COLUMN('1-DATA'!L114)),IF($B116="STD. DEVIATION",2,$F$1))))</f>
        <v/>
      </c>
      <c r="N116" s="1" t="str">
        <f>IF(OR($B116="",N$7=""),"",IF($B116="MEANS",INDEX('1-DATA'!$1:$1048576,$A115-1,COLUMN('1-DATA'!M114)),ROUND(INDEX('1-DATA'!$1:$1048576,IF(OR($B116="STD. DEVIATION",$C$1=1),$A116,$A116+1),COLUMN('1-DATA'!M114)),IF($B116="STD. DEVIATION",2,$F$1))))</f>
        <v/>
      </c>
      <c r="O116" s="1" t="str">
        <f>IF(OR($B116="",O$7=""),"",IF($B116="MEANS",INDEX('1-DATA'!$1:$1048576,$A115-1,COLUMN('1-DATA'!N114)),ROUND(INDEX('1-DATA'!$1:$1048576,IF(OR($B116="STD. DEVIATION",$C$1=1),$A116,$A116+1),COLUMN('1-DATA'!N114)),IF($B116="STD. DEVIATION",2,$F$1))))</f>
        <v/>
      </c>
      <c r="P116" s="1" t="str">
        <f>IF(OR($B116="",P$7=""),"",IF($B116="MEANS",INDEX('1-DATA'!$1:$1048576,$A115-1,COLUMN('1-DATA'!O114)),ROUND(INDEX('1-DATA'!$1:$1048576,IF(OR($B116="STD. DEVIATION",$C$1=1),$A116,$A116+1),COLUMN('1-DATA'!O114)),IF($B116="STD. DEVIATION",2,$F$1))))</f>
        <v/>
      </c>
      <c r="Q116" s="1" t="str">
        <f>IF(OR($B116="",Q$7=""),"",IF($B116="MEANS",INDEX('1-DATA'!$1:$1048576,$A115-1,COLUMN('1-DATA'!P114)),ROUND(INDEX('1-DATA'!$1:$1048576,IF(OR($B116="STD. DEVIATION",$C$1=1),$A116,$A116+1),COLUMN('1-DATA'!P114)),IF($B116="STD. DEVIATION",2,$F$1))))</f>
        <v/>
      </c>
      <c r="R116" s="1" t="str">
        <f>IF(OR($B116="",R$7=""),"",IF($B116="MEANS",INDEX('1-DATA'!$1:$1048576,$A115-1,COLUMN('1-DATA'!Q114)),ROUND(INDEX('1-DATA'!$1:$1048576,IF(OR($B116="STD. DEVIATION",$C$1=1),$A116,$A116+1),COLUMN('1-DATA'!Q114)),IF($B116="STD. DEVIATION",2,$F$1))))</f>
        <v/>
      </c>
      <c r="S116" s="1" t="str">
        <f>IF(OR($B116="",S$7=""),"",IF($B116="MEANS",INDEX('1-DATA'!$1:$1048576,$A115-1,COLUMN('1-DATA'!R114)),ROUND(INDEX('1-DATA'!$1:$1048576,IF(OR($B116="STD. DEVIATION",$C$1=1),$A116,$A116+1),COLUMN('1-DATA'!R114)),IF($B116="STD. DEVIATION",2,$F$1))))</f>
        <v/>
      </c>
      <c r="T116" s="1" t="str">
        <f>IF(OR($B116="",T$7=""),"",IF($B116="MEANS",INDEX('1-DATA'!$1:$1048576,$A115-1,COLUMN('1-DATA'!S114)),ROUND(INDEX('1-DATA'!$1:$1048576,IF(OR($B116="STD. DEVIATION",$C$1=1),$A116,$A116+1),COLUMN('1-DATA'!S114)),IF($B116="STD. DEVIATION",2,$F$1))))</f>
        <v/>
      </c>
      <c r="U116" s="1" t="str">
        <f>IF(OR($B116="",U$7=""),"",IF($B116="MEANS",INDEX('1-DATA'!$1:$1048576,$A115-1,COLUMN('1-DATA'!T114)),ROUND(INDEX('1-DATA'!$1:$1048576,IF(OR($B116="STD. DEVIATION",$C$1=1),$A116,$A116+1),COLUMN('1-DATA'!T114)),IF($B116="STD. DEVIATION",2,$F$1))))</f>
        <v/>
      </c>
      <c r="V116" s="1" t="str">
        <f>IF(OR($B116="",V$7=""),"",IF($B116="MEANS",INDEX('1-DATA'!$1:$1048576,$A115-1,COLUMN('1-DATA'!U114)),ROUND(INDEX('1-DATA'!$1:$1048576,IF(OR($B116="STD. DEVIATION",$C$1=1),$A116,$A116+1),COLUMN('1-DATA'!U114)),IF($B116="STD. DEVIATION",2,$F$1))))</f>
        <v/>
      </c>
      <c r="W116" s="1" t="str">
        <f>IF(OR($B116="",W$7=""),"",IF($B116="MEANS",INDEX('1-DATA'!$1:$1048576,$A115-1,COLUMN('1-DATA'!V114)),ROUND(INDEX('1-DATA'!$1:$1048576,IF(OR($B116="STD. DEVIATION",$C$1=1),$A116,$A116+1),COLUMN('1-DATA'!V114)),IF($B116="STD. DEVIATION",2,$F$1))))</f>
        <v/>
      </c>
      <c r="X116" s="1" t="str">
        <f>IF(OR($B116="",X$7=""),"",IF($B116="MEANS",INDEX('1-DATA'!$1:$1048576,$A115-1,COLUMN('1-DATA'!W114)),ROUND(INDEX('1-DATA'!$1:$1048576,IF(OR($B116="STD. DEVIATION",$C$1=1),$A116,$A116+1),COLUMN('1-DATA'!W114)),IF($B116="STD. DEVIATION",2,$F$1))))</f>
        <v/>
      </c>
      <c r="Y116" s="1" t="str">
        <f>IF(OR($B116="",Y$7=""),"",IF($B116="MEANS",INDEX('1-DATA'!$1:$1048576,$A115-1,COLUMN('1-DATA'!X114)),ROUND(INDEX('1-DATA'!$1:$1048576,IF(OR($B116="STD. DEVIATION",$C$1=1),$A116,$A116+1),COLUMN('1-DATA'!X114)),IF($B116="STD. DEVIATION",2,$F$1))))</f>
        <v/>
      </c>
      <c r="Z116" s="1" t="str">
        <f>IF(OR($B116="",Z$7=""),"",IF($B116="MEANS",INDEX('1-DATA'!$1:$1048576,$A115-1,COLUMN('1-DATA'!Y114)),ROUND(INDEX('1-DATA'!$1:$1048576,IF(OR($B116="STD. DEVIATION",$C$1=1),$A116,$A116+1),COLUMN('1-DATA'!Y114)),IF($B116="STD. DEVIATION",2,$F$1))))</f>
        <v/>
      </c>
      <c r="AA116" s="1" t="str">
        <f>IF(OR($B116="",AA$7=""),"",IF($B116="MEANS",INDEX('1-DATA'!$1:$1048576,$A115-1,COLUMN('1-DATA'!Z114)),ROUND(INDEX('1-DATA'!$1:$1048576,IF(OR($B116="STD. DEVIATION",$C$1=1),$A116,$A116+1),COLUMN('1-DATA'!Z114)),IF($B116="STD. DEVIATION",2,$F$1))))</f>
        <v/>
      </c>
      <c r="AB116" s="1" t="str">
        <f>IF(OR($B116="",AB$7=""),"",IF($B116="MEANS",INDEX('1-DATA'!$1:$1048576,$A115-1,COLUMN('1-DATA'!AA114)),ROUND(INDEX('1-DATA'!$1:$1048576,IF(OR($B116="STD. DEVIATION",$C$1=1),$A116,$A116+1),COLUMN('1-DATA'!AA114)),IF($B116="STD. DEVIATION",2,$F$1))))</f>
        <v/>
      </c>
      <c r="AC116" s="1" t="str">
        <f>IF(OR($B116="",AC$7=""),"",IF($B116="MEANS",INDEX('1-DATA'!$1:$1048576,$A115-1,COLUMN('1-DATA'!AB114)),ROUND(INDEX('1-DATA'!$1:$1048576,IF(OR($B116="STD. DEVIATION",$C$1=1),$A116,$A116+1),COLUMN('1-DATA'!AB114)),IF($B116="STD. DEVIATION",2,$F$1))))</f>
        <v/>
      </c>
      <c r="AD116" s="1" t="str">
        <f>IF(OR($B116="",AD$7=""),"",IF($B116="MEANS",INDEX('1-DATA'!$1:$1048576,$A115-1,COLUMN('1-DATA'!AC114)),ROUND(INDEX('1-DATA'!$1:$1048576,IF(OR($B116="STD. DEVIATION",$C$1=1),$A116,$A116+1),COLUMN('1-DATA'!AC114)),IF($B116="STD. DEVIATION",2,$F$1))))</f>
        <v/>
      </c>
      <c r="AE116" s="1" t="str">
        <f>IF(OR($B116="",AE$7=""),"",IF($B116="MEANS",INDEX('1-DATA'!$1:$1048576,$A115-1,COLUMN('1-DATA'!AD114)),ROUND(INDEX('1-DATA'!$1:$1048576,IF(OR($B116="STD. DEVIATION",$C$1=1),$A116,$A116+1),COLUMN('1-DATA'!AD114)),IF($B116="STD. DEVIATION",2,$F$1))))</f>
        <v/>
      </c>
      <c r="AF116" s="1" t="str">
        <f>IF(OR($B116="",AF$7=""),"",IF($B116="MEANS",INDEX('1-DATA'!$1:$1048576,$A115-1,COLUMN('1-DATA'!AE114)),ROUND(INDEX('1-DATA'!$1:$1048576,IF(OR($B116="STD. DEVIATION",$C$1=1),$A116,$A116+1),COLUMN('1-DATA'!AE114)),IF($B116="STD. DEVIATION",2,$F$1))))</f>
        <v/>
      </c>
      <c r="AG116" s="1" t="str">
        <f>IF(OR($B116="",AG$7=""),"",IF($B116="MEANS",INDEX('1-DATA'!$1:$1048576,$A115-1,COLUMN('1-DATA'!AF114)),ROUND(INDEX('1-DATA'!$1:$1048576,IF(OR($B116="STD. DEVIATION",$C$1=1),$A116,$A116+1),COLUMN('1-DATA'!AF114)),IF($B116="STD. DEVIATION",2,$F$1))))</f>
        <v/>
      </c>
      <c r="AH116" s="1" t="str">
        <f>IF(OR($B116="",AH$7=""),"",IF($B116="MEANS",INDEX('1-DATA'!$1:$1048576,$A115-1,COLUMN('1-DATA'!AG114)),ROUND(INDEX('1-DATA'!$1:$1048576,IF(OR($B116="STD. DEVIATION",$C$1=1),$A116,$A116+1),COLUMN('1-DATA'!AG114)),IF($B116="STD. DEVIATION",2,$F$1))))</f>
        <v/>
      </c>
      <c r="AI116" s="1" t="str">
        <f>IF(OR($B116="",AI$7=""),"",IF($B116="MEANS",INDEX('1-DATA'!$1:$1048576,$A115-1,COLUMN('1-DATA'!AH114)),ROUND(INDEX('1-DATA'!$1:$1048576,IF(OR($B116="STD. DEVIATION",$C$1=1),$A116,$A116+1),COLUMN('1-DATA'!AH114)),IF($B116="STD. DEVIATION",2,$F$1))))</f>
        <v/>
      </c>
      <c r="AJ116" s="1" t="str">
        <f>IF(OR($B116="",AJ$7=""),"",IF($B116="MEANS",INDEX('1-DATA'!$1:$1048576,$A115-1,COLUMN('1-DATA'!AI114)),ROUND(INDEX('1-DATA'!$1:$1048576,IF(OR($B116="STD. DEVIATION",$C$1=1),$A116,$A116+1),COLUMN('1-DATA'!AI114)),IF($B116="STD. DEVIATION",2,$F$1))))</f>
        <v/>
      </c>
      <c r="AK116" s="1" t="str">
        <f>IF(OR($B116="",AK$7=""),"",IF($B116="MEANS",INDEX('1-DATA'!$1:$1048576,$A115-1,COLUMN('1-DATA'!AJ114)),ROUND(INDEX('1-DATA'!$1:$1048576,IF(OR($B116="STD. DEVIATION",$C$1=1),$A116,$A116+1),COLUMN('1-DATA'!AJ114)),IF($B116="STD. DEVIATION",2,$F$1))))</f>
        <v/>
      </c>
      <c r="AL116" s="1" t="str">
        <f>IF(OR($B116="",AL$7=""),"",IF($B116="MEANS",INDEX('1-DATA'!$1:$1048576,$A115-1,COLUMN('1-DATA'!AK114)),ROUND(INDEX('1-DATA'!$1:$1048576,IF(OR($B116="STD. DEVIATION",$C$1=1),$A116,$A116+1),COLUMN('1-DATA'!AK114)),IF($B116="STD. DEVIATION",2,$F$1))))</f>
        <v/>
      </c>
      <c r="AM116" s="1" t="str">
        <f>IF(OR($B116="",AM$7=""),"",IF($B116="MEANS",INDEX('1-DATA'!$1:$1048576,$A115-1,COLUMN('1-DATA'!AL114)),ROUND(INDEX('1-DATA'!$1:$1048576,IF(OR($B116="STD. DEVIATION",$C$1=1),$A116,$A116+1),COLUMN('1-DATA'!AL114)),IF($B116="STD. DEVIATION",2,$F$1))))</f>
        <v/>
      </c>
      <c r="AN116" s="1" t="str">
        <f>IF(OR($B116="",AN$7=""),"",IF($B116="MEANS",INDEX('1-DATA'!$1:$1048576,$A115-1,COLUMN('1-DATA'!AM114)),ROUND(INDEX('1-DATA'!$1:$1048576,IF(OR($B116="STD. DEVIATION",$C$1=1),$A116,$A116+1),COLUMN('1-DATA'!AM114)),IF($B116="STD. DEVIATION",2,$F$1))))</f>
        <v/>
      </c>
      <c r="AO116" s="1" t="str">
        <f>IF(OR($B116="",AO$7=""),"",IF($B116="MEANS",INDEX('1-DATA'!$1:$1048576,$A115-1,COLUMN('1-DATA'!AN114)),ROUND(INDEX('1-DATA'!$1:$1048576,IF(OR($B116="STD. DEVIATION",$C$1=1),$A116,$A116+1),COLUMN('1-DATA'!AN114)),IF($B116="STD. DEVIATION",2,$F$1))))</f>
        <v/>
      </c>
      <c r="AP116" s="1" t="str">
        <f>IF(OR($B116="",AP$7=""),"",IF($B116="MEANS",INDEX('1-DATA'!$1:$1048576,$A115-1,COLUMN('1-DATA'!AO114)),ROUND(INDEX('1-DATA'!$1:$1048576,IF(OR($B116="STD. DEVIATION",$C$1=1),$A116,$A116+1),COLUMN('1-DATA'!AO114)),IF($B116="STD. DEVIATION",2,$F$1))))</f>
        <v/>
      </c>
      <c r="AQ116" s="1" t="str">
        <f>IF(OR($B116="",AQ$7=""),"",IF($B116="MEANS",INDEX('1-DATA'!$1:$1048576,$A115-1,COLUMN('1-DATA'!AP114)),ROUND(INDEX('1-DATA'!$1:$1048576,IF(OR($B116="STD. DEVIATION",$C$1=1),$A116,$A116+1),COLUMN('1-DATA'!AP114)),IF($B116="STD. DEVIATION",2,$F$1))))</f>
        <v/>
      </c>
      <c r="AR116" s="1" t="str">
        <f>IF(OR($B116="",AR$7=""),"",IF($B116="MEANS",INDEX('1-DATA'!$1:$1048576,$A115-1,COLUMN('1-DATA'!AQ114)),ROUND(INDEX('1-DATA'!$1:$1048576,IF(OR($B116="STD. DEVIATION",$C$1=1),$A116,$A116+1),COLUMN('1-DATA'!AQ114)),IF($B116="STD. DEVIATION",2,$F$1))))</f>
        <v/>
      </c>
      <c r="AS116" s="1" t="str">
        <f>IF(OR($B116="",AS$7=""),"",IF($B116="MEANS",INDEX('1-DATA'!$1:$1048576,$A115-1,COLUMN('1-DATA'!AR114)),ROUND(INDEX('1-DATA'!$1:$1048576,IF(OR($B116="STD. DEVIATION",$C$1=1),$A116,$A116+1),COLUMN('1-DATA'!AR114)),IF($B116="STD. DEVIATION",2,$F$1))))</f>
        <v/>
      </c>
      <c r="AT116" s="1" t="str">
        <f>IF(OR($B116="",AT$7=""),"",IF($B116="MEANS",INDEX('1-DATA'!$1:$1048576,$A115-1,COLUMN('1-DATA'!AS114)),ROUND(INDEX('1-DATA'!$1:$1048576,IF(OR($B116="STD. DEVIATION",$C$1=1),$A116,$A116+1),COLUMN('1-DATA'!AS114)),IF($B116="STD. DEVIATION",2,$F$1))))</f>
        <v/>
      </c>
      <c r="AU116" s="1" t="str">
        <f>IF(OR($B116="",AU$7=""),"",IF($B116="MEANS",INDEX('1-DATA'!$1:$1048576,$A115-1,COLUMN('1-DATA'!AT114)),ROUND(INDEX('1-DATA'!$1:$1048576,IF(OR($B116="STD. DEVIATION",$C$1=1),$A116,$A116+1),COLUMN('1-DATA'!AT114)),IF($B116="STD. DEVIATION",2,$F$1))))</f>
        <v/>
      </c>
      <c r="AV116" s="1" t="str">
        <f>IF(OR($B116="",AV$7=""),"",IF($B116="MEANS",INDEX('1-DATA'!$1:$1048576,$A115-1,COLUMN('1-DATA'!AU114)),ROUND(INDEX('1-DATA'!$1:$1048576,IF(OR($B116="STD. DEVIATION",$C$1=1),$A116,$A116+1),COLUMN('1-DATA'!AU114)),IF($B116="STD. DEVIATION",2,$F$1))))</f>
        <v/>
      </c>
      <c r="AW116" s="1" t="str">
        <f>IF(OR($B116="",AW$7=""),"",IF($B116="MEANS",INDEX('1-DATA'!$1:$1048576,$A115-1,COLUMN('1-DATA'!AV114)),ROUND(INDEX('1-DATA'!$1:$1048576,IF(OR($B116="STD. DEVIATION",$C$1=1),$A116,$A116+1),COLUMN('1-DATA'!AV114)),IF($B116="STD. DEVIATION",2,$F$1))))</f>
        <v/>
      </c>
      <c r="AX116" s="1" t="str">
        <f>IF(OR($B116="",AX$7=""),"",IF($B116="MEANS",INDEX('1-DATA'!$1:$1048576,$A115-1,COLUMN('1-DATA'!AW114)),ROUND(INDEX('1-DATA'!$1:$1048576,IF(OR($B116="STD. DEVIATION",$C$1=1),$A116,$A116+1),COLUMN('1-DATA'!AW114)),IF($B116="STD. DEVIATION",2,$F$1))))</f>
        <v/>
      </c>
      <c r="AY116" s="1" t="str">
        <f>IF(OR($B116="",AY$7=""),"",IF($B116="MEANS",INDEX('1-DATA'!$1:$1048576,$A115-1,COLUMN('1-DATA'!AX114)),ROUND(INDEX('1-DATA'!$1:$1048576,IF(OR($B116="STD. DEVIATION",$C$1=1),$A116,$A116+1),COLUMN('1-DATA'!AX114)),IF($B116="STD. DEVIATION",2,$F$1))))</f>
        <v/>
      </c>
      <c r="AZ116" s="1" t="str">
        <f>IF(OR($B116="",AZ$7=""),"",IF($B116="MEANS",INDEX('1-DATA'!$1:$1048576,$A115-1,COLUMN('1-DATA'!AY114)),ROUND(INDEX('1-DATA'!$1:$1048576,IF(OR($B116="STD. DEVIATION",$C$1=1),$A116,$A116+1),COLUMN('1-DATA'!AY114)),IF($B116="STD. DEVIATION",2,$F$1))))</f>
        <v/>
      </c>
    </row>
    <row r="117" spans="1:52" x14ac:dyDescent="0.25">
      <c r="A117" s="11">
        <f t="shared" si="2"/>
        <v>337</v>
      </c>
      <c r="B117" s="1" t="str">
        <f>IF(B116="STD. DEVIATION",INDEX('1-DATA'!$1:$1048576,$A116-1,1),IF(INDEX('1-DATA'!$1:$1048576,$A117,1)&lt;&gt;"",INDEX('1-DATA'!$1:$1048576,$A117,1),""))</f>
        <v/>
      </c>
      <c r="C117" s="1" t="str">
        <f>IF(OR($B117="",C$7=""),"",IF($B117="MEANS",INDEX('1-DATA'!$1:$1048576,$A116-1,COLUMN('1-DATA'!B115)),ROUND(INDEX('1-DATA'!$1:$1048576,IF(OR($B117="STD. DEVIATION",$C$1=1),$A117,$A117+1),COLUMN('1-DATA'!B115)),IF($B117="STD. DEVIATION",2,$F$1))))</f>
        <v/>
      </c>
      <c r="D117" s="1" t="str">
        <f>IF(OR($B117="",D$7=""),"",IF($B117="MEANS",INDEX('1-DATA'!$1:$1048576,$A116-1,COLUMN('1-DATA'!C115)),ROUND(INDEX('1-DATA'!$1:$1048576,IF(OR($B117="STD. DEVIATION",$C$1=1),$A117,$A117+1),COLUMN('1-DATA'!C115)),IF($B117="STD. DEVIATION",2,$F$1))))</f>
        <v/>
      </c>
      <c r="E117" s="1" t="str">
        <f>IF(OR($B117="",E$7=""),"",IF($B117="MEANS",INDEX('1-DATA'!$1:$1048576,$A116-1,COLUMN('1-DATA'!D115)),ROUND(INDEX('1-DATA'!$1:$1048576,IF(OR($B117="STD. DEVIATION",$C$1=1),$A117,$A117+1),COLUMN('1-DATA'!D115)),IF($B117="STD. DEVIATION",2,$F$1))))</f>
        <v/>
      </c>
      <c r="F117" s="1" t="str">
        <f>IF(OR($B117="",F$7=""),"",IF($B117="MEANS",INDEX('1-DATA'!$1:$1048576,$A116-1,COLUMN('1-DATA'!E115)),ROUND(INDEX('1-DATA'!$1:$1048576,IF(OR($B117="STD. DEVIATION",$C$1=1),$A117,$A117+1),COLUMN('1-DATA'!E115)),IF($B117="STD. DEVIATION",2,$F$1))))</f>
        <v/>
      </c>
      <c r="G117" s="1" t="str">
        <f>IF(OR($B117="",G$7=""),"",IF($B117="MEANS",INDEX('1-DATA'!$1:$1048576,$A116-1,COLUMN('1-DATA'!F115)),ROUND(INDEX('1-DATA'!$1:$1048576,IF(OR($B117="STD. DEVIATION",$C$1=1),$A117,$A117+1),COLUMN('1-DATA'!F115)),IF($B117="STD. DEVIATION",2,$F$1))))</f>
        <v/>
      </c>
      <c r="H117" s="1" t="str">
        <f>IF(OR($B117="",H$7=""),"",IF($B117="MEANS",INDEX('1-DATA'!$1:$1048576,$A116-1,COLUMN('1-DATA'!G115)),ROUND(INDEX('1-DATA'!$1:$1048576,IF(OR($B117="STD. DEVIATION",$C$1=1),$A117,$A117+1),COLUMN('1-DATA'!G115)),IF($B117="STD. DEVIATION",2,$F$1))))</f>
        <v/>
      </c>
      <c r="I117" s="1" t="str">
        <f>IF(OR($B117="",I$7=""),"",IF($B117="MEANS",INDEX('1-DATA'!$1:$1048576,$A116-1,COLUMN('1-DATA'!H115)),ROUND(INDEX('1-DATA'!$1:$1048576,IF(OR($B117="STD. DEVIATION",$C$1=1),$A117,$A117+1),COLUMN('1-DATA'!H115)),IF($B117="STD. DEVIATION",2,$F$1))))</f>
        <v/>
      </c>
      <c r="J117" s="1" t="str">
        <f>IF(OR($B117="",J$7=""),"",IF($B117="MEANS",INDEX('1-DATA'!$1:$1048576,$A116-1,COLUMN('1-DATA'!I115)),ROUND(INDEX('1-DATA'!$1:$1048576,IF(OR($B117="STD. DEVIATION",$C$1=1),$A117,$A117+1),COLUMN('1-DATA'!I115)),IF($B117="STD. DEVIATION",2,$F$1))))</f>
        <v/>
      </c>
      <c r="K117" s="1" t="str">
        <f>IF(OR($B117="",K$7=""),"",IF($B117="MEANS",INDEX('1-DATA'!$1:$1048576,$A116-1,COLUMN('1-DATA'!J115)),ROUND(INDEX('1-DATA'!$1:$1048576,IF(OR($B117="STD. DEVIATION",$C$1=1),$A117,$A117+1),COLUMN('1-DATA'!J115)),IF($B117="STD. DEVIATION",2,$F$1))))</f>
        <v/>
      </c>
      <c r="L117" s="1" t="str">
        <f>IF(OR($B117="",L$7=""),"",IF($B117="MEANS",INDEX('1-DATA'!$1:$1048576,$A116-1,COLUMN('1-DATA'!K115)),ROUND(INDEX('1-DATA'!$1:$1048576,IF(OR($B117="STD. DEVIATION",$C$1=1),$A117,$A117+1),COLUMN('1-DATA'!K115)),IF($B117="STD. DEVIATION",2,$F$1))))</f>
        <v/>
      </c>
      <c r="M117" s="1" t="str">
        <f>IF(OR($B117="",M$7=""),"",IF($B117="MEANS",INDEX('1-DATA'!$1:$1048576,$A116-1,COLUMN('1-DATA'!L115)),ROUND(INDEX('1-DATA'!$1:$1048576,IF(OR($B117="STD. DEVIATION",$C$1=1),$A117,$A117+1),COLUMN('1-DATA'!L115)),IF($B117="STD. DEVIATION",2,$F$1))))</f>
        <v/>
      </c>
      <c r="N117" s="1" t="str">
        <f>IF(OR($B117="",N$7=""),"",IF($B117="MEANS",INDEX('1-DATA'!$1:$1048576,$A116-1,COLUMN('1-DATA'!M115)),ROUND(INDEX('1-DATA'!$1:$1048576,IF(OR($B117="STD. DEVIATION",$C$1=1),$A117,$A117+1),COLUMN('1-DATA'!M115)),IF($B117="STD. DEVIATION",2,$F$1))))</f>
        <v/>
      </c>
      <c r="O117" s="1" t="str">
        <f>IF(OR($B117="",O$7=""),"",IF($B117="MEANS",INDEX('1-DATA'!$1:$1048576,$A116-1,COLUMN('1-DATA'!N115)),ROUND(INDEX('1-DATA'!$1:$1048576,IF(OR($B117="STD. DEVIATION",$C$1=1),$A117,$A117+1),COLUMN('1-DATA'!N115)),IF($B117="STD. DEVIATION",2,$F$1))))</f>
        <v/>
      </c>
      <c r="P117" s="1" t="str">
        <f>IF(OR($B117="",P$7=""),"",IF($B117="MEANS",INDEX('1-DATA'!$1:$1048576,$A116-1,COLUMN('1-DATA'!O115)),ROUND(INDEX('1-DATA'!$1:$1048576,IF(OR($B117="STD. DEVIATION",$C$1=1),$A117,$A117+1),COLUMN('1-DATA'!O115)),IF($B117="STD. DEVIATION",2,$F$1))))</f>
        <v/>
      </c>
      <c r="Q117" s="1" t="str">
        <f>IF(OR($B117="",Q$7=""),"",IF($B117="MEANS",INDEX('1-DATA'!$1:$1048576,$A116-1,COLUMN('1-DATA'!P115)),ROUND(INDEX('1-DATA'!$1:$1048576,IF(OR($B117="STD. DEVIATION",$C$1=1),$A117,$A117+1),COLUMN('1-DATA'!P115)),IF($B117="STD. DEVIATION",2,$F$1))))</f>
        <v/>
      </c>
      <c r="R117" s="1" t="str">
        <f>IF(OR($B117="",R$7=""),"",IF($B117="MEANS",INDEX('1-DATA'!$1:$1048576,$A116-1,COLUMN('1-DATA'!Q115)),ROUND(INDEX('1-DATA'!$1:$1048576,IF(OR($B117="STD. DEVIATION",$C$1=1),$A117,$A117+1),COLUMN('1-DATA'!Q115)),IF($B117="STD. DEVIATION",2,$F$1))))</f>
        <v/>
      </c>
      <c r="S117" s="1" t="str">
        <f>IF(OR($B117="",S$7=""),"",IF($B117="MEANS",INDEX('1-DATA'!$1:$1048576,$A116-1,COLUMN('1-DATA'!R115)),ROUND(INDEX('1-DATA'!$1:$1048576,IF(OR($B117="STD. DEVIATION",$C$1=1),$A117,$A117+1),COLUMN('1-DATA'!R115)),IF($B117="STD. DEVIATION",2,$F$1))))</f>
        <v/>
      </c>
      <c r="T117" s="1" t="str">
        <f>IF(OR($B117="",T$7=""),"",IF($B117="MEANS",INDEX('1-DATA'!$1:$1048576,$A116-1,COLUMN('1-DATA'!S115)),ROUND(INDEX('1-DATA'!$1:$1048576,IF(OR($B117="STD. DEVIATION",$C$1=1),$A117,$A117+1),COLUMN('1-DATA'!S115)),IF($B117="STD. DEVIATION",2,$F$1))))</f>
        <v/>
      </c>
      <c r="U117" s="1" t="str">
        <f>IF(OR($B117="",U$7=""),"",IF($B117="MEANS",INDEX('1-DATA'!$1:$1048576,$A116-1,COLUMN('1-DATA'!T115)),ROUND(INDEX('1-DATA'!$1:$1048576,IF(OR($B117="STD. DEVIATION",$C$1=1),$A117,$A117+1),COLUMN('1-DATA'!T115)),IF($B117="STD. DEVIATION",2,$F$1))))</f>
        <v/>
      </c>
      <c r="V117" s="1" t="str">
        <f>IF(OR($B117="",V$7=""),"",IF($B117="MEANS",INDEX('1-DATA'!$1:$1048576,$A116-1,COLUMN('1-DATA'!U115)),ROUND(INDEX('1-DATA'!$1:$1048576,IF(OR($B117="STD. DEVIATION",$C$1=1),$A117,$A117+1),COLUMN('1-DATA'!U115)),IF($B117="STD. DEVIATION",2,$F$1))))</f>
        <v/>
      </c>
      <c r="W117" s="1" t="str">
        <f>IF(OR($B117="",W$7=""),"",IF($B117="MEANS",INDEX('1-DATA'!$1:$1048576,$A116-1,COLUMN('1-DATA'!V115)),ROUND(INDEX('1-DATA'!$1:$1048576,IF(OR($B117="STD. DEVIATION",$C$1=1),$A117,$A117+1),COLUMN('1-DATA'!V115)),IF($B117="STD. DEVIATION",2,$F$1))))</f>
        <v/>
      </c>
      <c r="X117" s="1" t="str">
        <f>IF(OR($B117="",X$7=""),"",IF($B117="MEANS",INDEX('1-DATA'!$1:$1048576,$A116-1,COLUMN('1-DATA'!W115)),ROUND(INDEX('1-DATA'!$1:$1048576,IF(OR($B117="STD. DEVIATION",$C$1=1),$A117,$A117+1),COLUMN('1-DATA'!W115)),IF($B117="STD. DEVIATION",2,$F$1))))</f>
        <v/>
      </c>
      <c r="Y117" s="1" t="str">
        <f>IF(OR($B117="",Y$7=""),"",IF($B117="MEANS",INDEX('1-DATA'!$1:$1048576,$A116-1,COLUMN('1-DATA'!X115)),ROUND(INDEX('1-DATA'!$1:$1048576,IF(OR($B117="STD. DEVIATION",$C$1=1),$A117,$A117+1),COLUMN('1-DATA'!X115)),IF($B117="STD. DEVIATION",2,$F$1))))</f>
        <v/>
      </c>
      <c r="Z117" s="1" t="str">
        <f>IF(OR($B117="",Z$7=""),"",IF($B117="MEANS",INDEX('1-DATA'!$1:$1048576,$A116-1,COLUMN('1-DATA'!Y115)),ROUND(INDEX('1-DATA'!$1:$1048576,IF(OR($B117="STD. DEVIATION",$C$1=1),$A117,$A117+1),COLUMN('1-DATA'!Y115)),IF($B117="STD. DEVIATION",2,$F$1))))</f>
        <v/>
      </c>
      <c r="AA117" s="1" t="str">
        <f>IF(OR($B117="",AA$7=""),"",IF($B117="MEANS",INDEX('1-DATA'!$1:$1048576,$A116-1,COLUMN('1-DATA'!Z115)),ROUND(INDEX('1-DATA'!$1:$1048576,IF(OR($B117="STD. DEVIATION",$C$1=1),$A117,$A117+1),COLUMN('1-DATA'!Z115)),IF($B117="STD. DEVIATION",2,$F$1))))</f>
        <v/>
      </c>
      <c r="AB117" s="1" t="str">
        <f>IF(OR($B117="",AB$7=""),"",IF($B117="MEANS",INDEX('1-DATA'!$1:$1048576,$A116-1,COLUMN('1-DATA'!AA115)),ROUND(INDEX('1-DATA'!$1:$1048576,IF(OR($B117="STD. DEVIATION",$C$1=1),$A117,$A117+1),COLUMN('1-DATA'!AA115)),IF($B117="STD. DEVIATION",2,$F$1))))</f>
        <v/>
      </c>
      <c r="AC117" s="1" t="str">
        <f>IF(OR($B117="",AC$7=""),"",IF($B117="MEANS",INDEX('1-DATA'!$1:$1048576,$A116-1,COLUMN('1-DATA'!AB115)),ROUND(INDEX('1-DATA'!$1:$1048576,IF(OR($B117="STD. DEVIATION",$C$1=1),$A117,$A117+1),COLUMN('1-DATA'!AB115)),IF($B117="STD. DEVIATION",2,$F$1))))</f>
        <v/>
      </c>
      <c r="AD117" s="1" t="str">
        <f>IF(OR($B117="",AD$7=""),"",IF($B117="MEANS",INDEX('1-DATA'!$1:$1048576,$A116-1,COLUMN('1-DATA'!AC115)),ROUND(INDEX('1-DATA'!$1:$1048576,IF(OR($B117="STD. DEVIATION",$C$1=1),$A117,$A117+1),COLUMN('1-DATA'!AC115)),IF($B117="STD. DEVIATION",2,$F$1))))</f>
        <v/>
      </c>
      <c r="AE117" s="1" t="str">
        <f>IF(OR($B117="",AE$7=""),"",IF($B117="MEANS",INDEX('1-DATA'!$1:$1048576,$A116-1,COLUMN('1-DATA'!AD115)),ROUND(INDEX('1-DATA'!$1:$1048576,IF(OR($B117="STD. DEVIATION",$C$1=1),$A117,$A117+1),COLUMN('1-DATA'!AD115)),IF($B117="STD. DEVIATION",2,$F$1))))</f>
        <v/>
      </c>
      <c r="AF117" s="1" t="str">
        <f>IF(OR($B117="",AF$7=""),"",IF($B117="MEANS",INDEX('1-DATA'!$1:$1048576,$A116-1,COLUMN('1-DATA'!AE115)),ROUND(INDEX('1-DATA'!$1:$1048576,IF(OR($B117="STD. DEVIATION",$C$1=1),$A117,$A117+1),COLUMN('1-DATA'!AE115)),IF($B117="STD. DEVIATION",2,$F$1))))</f>
        <v/>
      </c>
      <c r="AG117" s="1" t="str">
        <f>IF(OR($B117="",AG$7=""),"",IF($B117="MEANS",INDEX('1-DATA'!$1:$1048576,$A116-1,COLUMN('1-DATA'!AF115)),ROUND(INDEX('1-DATA'!$1:$1048576,IF(OR($B117="STD. DEVIATION",$C$1=1),$A117,$A117+1),COLUMN('1-DATA'!AF115)),IF($B117="STD. DEVIATION",2,$F$1))))</f>
        <v/>
      </c>
      <c r="AH117" s="1" t="str">
        <f>IF(OR($B117="",AH$7=""),"",IF($B117="MEANS",INDEX('1-DATA'!$1:$1048576,$A116-1,COLUMN('1-DATA'!AG115)),ROUND(INDEX('1-DATA'!$1:$1048576,IF(OR($B117="STD. DEVIATION",$C$1=1),$A117,$A117+1),COLUMN('1-DATA'!AG115)),IF($B117="STD. DEVIATION",2,$F$1))))</f>
        <v/>
      </c>
      <c r="AI117" s="1" t="str">
        <f>IF(OR($B117="",AI$7=""),"",IF($B117="MEANS",INDEX('1-DATA'!$1:$1048576,$A116-1,COLUMN('1-DATA'!AH115)),ROUND(INDEX('1-DATA'!$1:$1048576,IF(OR($B117="STD. DEVIATION",$C$1=1),$A117,$A117+1),COLUMN('1-DATA'!AH115)),IF($B117="STD. DEVIATION",2,$F$1))))</f>
        <v/>
      </c>
      <c r="AJ117" s="1" t="str">
        <f>IF(OR($B117="",AJ$7=""),"",IF($B117="MEANS",INDEX('1-DATA'!$1:$1048576,$A116-1,COLUMN('1-DATA'!AI115)),ROUND(INDEX('1-DATA'!$1:$1048576,IF(OR($B117="STD. DEVIATION",$C$1=1),$A117,$A117+1),COLUMN('1-DATA'!AI115)),IF($B117="STD. DEVIATION",2,$F$1))))</f>
        <v/>
      </c>
      <c r="AK117" s="1" t="str">
        <f>IF(OR($B117="",AK$7=""),"",IF($B117="MEANS",INDEX('1-DATA'!$1:$1048576,$A116-1,COLUMN('1-DATA'!AJ115)),ROUND(INDEX('1-DATA'!$1:$1048576,IF(OR($B117="STD. DEVIATION",$C$1=1),$A117,$A117+1),COLUMN('1-DATA'!AJ115)),IF($B117="STD. DEVIATION",2,$F$1))))</f>
        <v/>
      </c>
      <c r="AL117" s="1" t="str">
        <f>IF(OR($B117="",AL$7=""),"",IF($B117="MEANS",INDEX('1-DATA'!$1:$1048576,$A116-1,COLUMN('1-DATA'!AK115)),ROUND(INDEX('1-DATA'!$1:$1048576,IF(OR($B117="STD. DEVIATION",$C$1=1),$A117,$A117+1),COLUMN('1-DATA'!AK115)),IF($B117="STD. DEVIATION",2,$F$1))))</f>
        <v/>
      </c>
      <c r="AM117" s="1" t="str">
        <f>IF(OR($B117="",AM$7=""),"",IF($B117="MEANS",INDEX('1-DATA'!$1:$1048576,$A116-1,COLUMN('1-DATA'!AL115)),ROUND(INDEX('1-DATA'!$1:$1048576,IF(OR($B117="STD. DEVIATION",$C$1=1),$A117,$A117+1),COLUMN('1-DATA'!AL115)),IF($B117="STD. DEVIATION",2,$F$1))))</f>
        <v/>
      </c>
      <c r="AN117" s="1" t="str">
        <f>IF(OR($B117="",AN$7=""),"",IF($B117="MEANS",INDEX('1-DATA'!$1:$1048576,$A116-1,COLUMN('1-DATA'!AM115)),ROUND(INDEX('1-DATA'!$1:$1048576,IF(OR($B117="STD. DEVIATION",$C$1=1),$A117,$A117+1),COLUMN('1-DATA'!AM115)),IF($B117="STD. DEVIATION",2,$F$1))))</f>
        <v/>
      </c>
      <c r="AO117" s="1" t="str">
        <f>IF(OR($B117="",AO$7=""),"",IF($B117="MEANS",INDEX('1-DATA'!$1:$1048576,$A116-1,COLUMN('1-DATA'!AN115)),ROUND(INDEX('1-DATA'!$1:$1048576,IF(OR($B117="STD. DEVIATION",$C$1=1),$A117,$A117+1),COLUMN('1-DATA'!AN115)),IF($B117="STD. DEVIATION",2,$F$1))))</f>
        <v/>
      </c>
      <c r="AP117" s="1" t="str">
        <f>IF(OR($B117="",AP$7=""),"",IF($B117="MEANS",INDEX('1-DATA'!$1:$1048576,$A116-1,COLUMN('1-DATA'!AO115)),ROUND(INDEX('1-DATA'!$1:$1048576,IF(OR($B117="STD. DEVIATION",$C$1=1),$A117,$A117+1),COLUMN('1-DATA'!AO115)),IF($B117="STD. DEVIATION",2,$F$1))))</f>
        <v/>
      </c>
      <c r="AQ117" s="1" t="str">
        <f>IF(OR($B117="",AQ$7=""),"",IF($B117="MEANS",INDEX('1-DATA'!$1:$1048576,$A116-1,COLUMN('1-DATA'!AP115)),ROUND(INDEX('1-DATA'!$1:$1048576,IF(OR($B117="STD. DEVIATION",$C$1=1),$A117,$A117+1),COLUMN('1-DATA'!AP115)),IF($B117="STD. DEVIATION",2,$F$1))))</f>
        <v/>
      </c>
      <c r="AR117" s="1" t="str">
        <f>IF(OR($B117="",AR$7=""),"",IF($B117="MEANS",INDEX('1-DATA'!$1:$1048576,$A116-1,COLUMN('1-DATA'!AQ115)),ROUND(INDEX('1-DATA'!$1:$1048576,IF(OR($B117="STD. DEVIATION",$C$1=1),$A117,$A117+1),COLUMN('1-DATA'!AQ115)),IF($B117="STD. DEVIATION",2,$F$1))))</f>
        <v/>
      </c>
      <c r="AS117" s="1" t="str">
        <f>IF(OR($B117="",AS$7=""),"",IF($B117="MEANS",INDEX('1-DATA'!$1:$1048576,$A116-1,COLUMN('1-DATA'!AR115)),ROUND(INDEX('1-DATA'!$1:$1048576,IF(OR($B117="STD. DEVIATION",$C$1=1),$A117,$A117+1),COLUMN('1-DATA'!AR115)),IF($B117="STD. DEVIATION",2,$F$1))))</f>
        <v/>
      </c>
      <c r="AT117" s="1" t="str">
        <f>IF(OR($B117="",AT$7=""),"",IF($B117="MEANS",INDEX('1-DATA'!$1:$1048576,$A116-1,COLUMN('1-DATA'!AS115)),ROUND(INDEX('1-DATA'!$1:$1048576,IF(OR($B117="STD. DEVIATION",$C$1=1),$A117,$A117+1),COLUMN('1-DATA'!AS115)),IF($B117="STD. DEVIATION",2,$F$1))))</f>
        <v/>
      </c>
      <c r="AU117" s="1" t="str">
        <f>IF(OR($B117="",AU$7=""),"",IF($B117="MEANS",INDEX('1-DATA'!$1:$1048576,$A116-1,COLUMN('1-DATA'!AT115)),ROUND(INDEX('1-DATA'!$1:$1048576,IF(OR($B117="STD. DEVIATION",$C$1=1),$A117,$A117+1),COLUMN('1-DATA'!AT115)),IF($B117="STD. DEVIATION",2,$F$1))))</f>
        <v/>
      </c>
      <c r="AV117" s="1" t="str">
        <f>IF(OR($B117="",AV$7=""),"",IF($B117="MEANS",INDEX('1-DATA'!$1:$1048576,$A116-1,COLUMN('1-DATA'!AU115)),ROUND(INDEX('1-DATA'!$1:$1048576,IF(OR($B117="STD. DEVIATION",$C$1=1),$A117,$A117+1),COLUMN('1-DATA'!AU115)),IF($B117="STD. DEVIATION",2,$F$1))))</f>
        <v/>
      </c>
      <c r="AW117" s="1" t="str">
        <f>IF(OR($B117="",AW$7=""),"",IF($B117="MEANS",INDEX('1-DATA'!$1:$1048576,$A116-1,COLUMN('1-DATA'!AV115)),ROUND(INDEX('1-DATA'!$1:$1048576,IF(OR($B117="STD. DEVIATION",$C$1=1),$A117,$A117+1),COLUMN('1-DATA'!AV115)),IF($B117="STD. DEVIATION",2,$F$1))))</f>
        <v/>
      </c>
      <c r="AX117" s="1" t="str">
        <f>IF(OR($B117="",AX$7=""),"",IF($B117="MEANS",INDEX('1-DATA'!$1:$1048576,$A116-1,COLUMN('1-DATA'!AW115)),ROUND(INDEX('1-DATA'!$1:$1048576,IF(OR($B117="STD. DEVIATION",$C$1=1),$A117,$A117+1),COLUMN('1-DATA'!AW115)),IF($B117="STD. DEVIATION",2,$F$1))))</f>
        <v/>
      </c>
      <c r="AY117" s="1" t="str">
        <f>IF(OR($B117="",AY$7=""),"",IF($B117="MEANS",INDEX('1-DATA'!$1:$1048576,$A116-1,COLUMN('1-DATA'!AX115)),ROUND(INDEX('1-DATA'!$1:$1048576,IF(OR($B117="STD. DEVIATION",$C$1=1),$A117,$A117+1),COLUMN('1-DATA'!AX115)),IF($B117="STD. DEVIATION",2,$F$1))))</f>
        <v/>
      </c>
      <c r="AZ117" s="1" t="str">
        <f>IF(OR($B117="",AZ$7=""),"",IF($B117="MEANS",INDEX('1-DATA'!$1:$1048576,$A116-1,COLUMN('1-DATA'!AY115)),ROUND(INDEX('1-DATA'!$1:$1048576,IF(OR($B117="STD. DEVIATION",$C$1=1),$A117,$A117+1),COLUMN('1-DATA'!AY115)),IF($B117="STD. DEVIATION",2,$F$1))))</f>
        <v/>
      </c>
    </row>
    <row r="118" spans="1:52" x14ac:dyDescent="0.25">
      <c r="A118" s="11">
        <f t="shared" si="2"/>
        <v>340</v>
      </c>
      <c r="B118" s="1" t="str">
        <f>IF(B117="STD. DEVIATION",INDEX('1-DATA'!$1:$1048576,$A117-1,1),IF(INDEX('1-DATA'!$1:$1048576,$A118,1)&lt;&gt;"",INDEX('1-DATA'!$1:$1048576,$A118,1),""))</f>
        <v/>
      </c>
      <c r="C118" s="1" t="str">
        <f>IF(OR($B118="",C$7=""),"",IF($B118="MEANS",INDEX('1-DATA'!$1:$1048576,$A117-1,COLUMN('1-DATA'!B116)),ROUND(INDEX('1-DATA'!$1:$1048576,IF(OR($B118="STD. DEVIATION",$C$1=1),$A118,$A118+1),COLUMN('1-DATA'!B116)),IF($B118="STD. DEVIATION",2,$F$1))))</f>
        <v/>
      </c>
      <c r="D118" s="1" t="str">
        <f>IF(OR($B118="",D$7=""),"",IF($B118="MEANS",INDEX('1-DATA'!$1:$1048576,$A117-1,COLUMN('1-DATA'!C116)),ROUND(INDEX('1-DATA'!$1:$1048576,IF(OR($B118="STD. DEVIATION",$C$1=1),$A118,$A118+1),COLUMN('1-DATA'!C116)),IF($B118="STD. DEVIATION",2,$F$1))))</f>
        <v/>
      </c>
      <c r="E118" s="1" t="str">
        <f>IF(OR($B118="",E$7=""),"",IF($B118="MEANS",INDEX('1-DATA'!$1:$1048576,$A117-1,COLUMN('1-DATA'!D116)),ROUND(INDEX('1-DATA'!$1:$1048576,IF(OR($B118="STD. DEVIATION",$C$1=1),$A118,$A118+1),COLUMN('1-DATA'!D116)),IF($B118="STD. DEVIATION",2,$F$1))))</f>
        <v/>
      </c>
      <c r="F118" s="1" t="str">
        <f>IF(OR($B118="",F$7=""),"",IF($B118="MEANS",INDEX('1-DATA'!$1:$1048576,$A117-1,COLUMN('1-DATA'!E116)),ROUND(INDEX('1-DATA'!$1:$1048576,IF(OR($B118="STD. DEVIATION",$C$1=1),$A118,$A118+1),COLUMN('1-DATA'!E116)),IF($B118="STD. DEVIATION",2,$F$1))))</f>
        <v/>
      </c>
      <c r="G118" s="1" t="str">
        <f>IF(OR($B118="",G$7=""),"",IF($B118="MEANS",INDEX('1-DATA'!$1:$1048576,$A117-1,COLUMN('1-DATA'!F116)),ROUND(INDEX('1-DATA'!$1:$1048576,IF(OR($B118="STD. DEVIATION",$C$1=1),$A118,$A118+1),COLUMN('1-DATA'!F116)),IF($B118="STD. DEVIATION",2,$F$1))))</f>
        <v/>
      </c>
      <c r="H118" s="1" t="str">
        <f>IF(OR($B118="",H$7=""),"",IF($B118="MEANS",INDEX('1-DATA'!$1:$1048576,$A117-1,COLUMN('1-DATA'!G116)),ROUND(INDEX('1-DATA'!$1:$1048576,IF(OR($B118="STD. DEVIATION",$C$1=1),$A118,$A118+1),COLUMN('1-DATA'!G116)),IF($B118="STD. DEVIATION",2,$F$1))))</f>
        <v/>
      </c>
      <c r="I118" s="1" t="str">
        <f>IF(OR($B118="",I$7=""),"",IF($B118="MEANS",INDEX('1-DATA'!$1:$1048576,$A117-1,COLUMN('1-DATA'!H116)),ROUND(INDEX('1-DATA'!$1:$1048576,IF(OR($B118="STD. DEVIATION",$C$1=1),$A118,$A118+1),COLUMN('1-DATA'!H116)),IF($B118="STD. DEVIATION",2,$F$1))))</f>
        <v/>
      </c>
      <c r="J118" s="1" t="str">
        <f>IF(OR($B118="",J$7=""),"",IF($B118="MEANS",INDEX('1-DATA'!$1:$1048576,$A117-1,COLUMN('1-DATA'!I116)),ROUND(INDEX('1-DATA'!$1:$1048576,IF(OR($B118="STD. DEVIATION",$C$1=1),$A118,$A118+1),COLUMN('1-DATA'!I116)),IF($B118="STD. DEVIATION",2,$F$1))))</f>
        <v/>
      </c>
      <c r="K118" s="1" t="str">
        <f>IF(OR($B118="",K$7=""),"",IF($B118="MEANS",INDEX('1-DATA'!$1:$1048576,$A117-1,COLUMN('1-DATA'!J116)),ROUND(INDEX('1-DATA'!$1:$1048576,IF(OR($B118="STD. DEVIATION",$C$1=1),$A118,$A118+1),COLUMN('1-DATA'!J116)),IF($B118="STD. DEVIATION",2,$F$1))))</f>
        <v/>
      </c>
      <c r="L118" s="1" t="str">
        <f>IF(OR($B118="",L$7=""),"",IF($B118="MEANS",INDEX('1-DATA'!$1:$1048576,$A117-1,COLUMN('1-DATA'!K116)),ROUND(INDEX('1-DATA'!$1:$1048576,IF(OR($B118="STD. DEVIATION",$C$1=1),$A118,$A118+1),COLUMN('1-DATA'!K116)),IF($B118="STD. DEVIATION",2,$F$1))))</f>
        <v/>
      </c>
      <c r="M118" s="1" t="str">
        <f>IF(OR($B118="",M$7=""),"",IF($B118="MEANS",INDEX('1-DATA'!$1:$1048576,$A117-1,COLUMN('1-DATA'!L116)),ROUND(INDEX('1-DATA'!$1:$1048576,IF(OR($B118="STD. DEVIATION",$C$1=1),$A118,$A118+1),COLUMN('1-DATA'!L116)),IF($B118="STD. DEVIATION",2,$F$1))))</f>
        <v/>
      </c>
      <c r="N118" s="1" t="str">
        <f>IF(OR($B118="",N$7=""),"",IF($B118="MEANS",INDEX('1-DATA'!$1:$1048576,$A117-1,COLUMN('1-DATA'!M116)),ROUND(INDEX('1-DATA'!$1:$1048576,IF(OR($B118="STD. DEVIATION",$C$1=1),$A118,$A118+1),COLUMN('1-DATA'!M116)),IF($B118="STD. DEVIATION",2,$F$1))))</f>
        <v/>
      </c>
      <c r="O118" s="1" t="str">
        <f>IF(OR($B118="",O$7=""),"",IF($B118="MEANS",INDEX('1-DATA'!$1:$1048576,$A117-1,COLUMN('1-DATA'!N116)),ROUND(INDEX('1-DATA'!$1:$1048576,IF(OR($B118="STD. DEVIATION",$C$1=1),$A118,$A118+1),COLUMN('1-DATA'!N116)),IF($B118="STD. DEVIATION",2,$F$1))))</f>
        <v/>
      </c>
      <c r="P118" s="1" t="str">
        <f>IF(OR($B118="",P$7=""),"",IF($B118="MEANS",INDEX('1-DATA'!$1:$1048576,$A117-1,COLUMN('1-DATA'!O116)),ROUND(INDEX('1-DATA'!$1:$1048576,IF(OR($B118="STD. DEVIATION",$C$1=1),$A118,$A118+1),COLUMN('1-DATA'!O116)),IF($B118="STD. DEVIATION",2,$F$1))))</f>
        <v/>
      </c>
      <c r="Q118" s="1" t="str">
        <f>IF(OR($B118="",Q$7=""),"",IF($B118="MEANS",INDEX('1-DATA'!$1:$1048576,$A117-1,COLUMN('1-DATA'!P116)),ROUND(INDEX('1-DATA'!$1:$1048576,IF(OR($B118="STD. DEVIATION",$C$1=1),$A118,$A118+1),COLUMN('1-DATA'!P116)),IF($B118="STD. DEVIATION",2,$F$1))))</f>
        <v/>
      </c>
      <c r="R118" s="1" t="str">
        <f>IF(OR($B118="",R$7=""),"",IF($B118="MEANS",INDEX('1-DATA'!$1:$1048576,$A117-1,COLUMN('1-DATA'!Q116)),ROUND(INDEX('1-DATA'!$1:$1048576,IF(OR($B118="STD. DEVIATION",$C$1=1),$A118,$A118+1),COLUMN('1-DATA'!Q116)),IF($B118="STD. DEVIATION",2,$F$1))))</f>
        <v/>
      </c>
      <c r="S118" s="1" t="str">
        <f>IF(OR($B118="",S$7=""),"",IF($B118="MEANS",INDEX('1-DATA'!$1:$1048576,$A117-1,COLUMN('1-DATA'!R116)),ROUND(INDEX('1-DATA'!$1:$1048576,IF(OR($B118="STD. DEVIATION",$C$1=1),$A118,$A118+1),COLUMN('1-DATA'!R116)),IF($B118="STD. DEVIATION",2,$F$1))))</f>
        <v/>
      </c>
      <c r="T118" s="1" t="str">
        <f>IF(OR($B118="",T$7=""),"",IF($B118="MEANS",INDEX('1-DATA'!$1:$1048576,$A117-1,COLUMN('1-DATA'!S116)),ROUND(INDEX('1-DATA'!$1:$1048576,IF(OR($B118="STD. DEVIATION",$C$1=1),$A118,$A118+1),COLUMN('1-DATA'!S116)),IF($B118="STD. DEVIATION",2,$F$1))))</f>
        <v/>
      </c>
      <c r="U118" s="1" t="str">
        <f>IF(OR($B118="",U$7=""),"",IF($B118="MEANS",INDEX('1-DATA'!$1:$1048576,$A117-1,COLUMN('1-DATA'!T116)),ROUND(INDEX('1-DATA'!$1:$1048576,IF(OR($B118="STD. DEVIATION",$C$1=1),$A118,$A118+1),COLUMN('1-DATA'!T116)),IF($B118="STD. DEVIATION",2,$F$1))))</f>
        <v/>
      </c>
      <c r="V118" s="1" t="str">
        <f>IF(OR($B118="",V$7=""),"",IF($B118="MEANS",INDEX('1-DATA'!$1:$1048576,$A117-1,COLUMN('1-DATA'!U116)),ROUND(INDEX('1-DATA'!$1:$1048576,IF(OR($B118="STD. DEVIATION",$C$1=1),$A118,$A118+1),COLUMN('1-DATA'!U116)),IF($B118="STD. DEVIATION",2,$F$1))))</f>
        <v/>
      </c>
      <c r="W118" s="1" t="str">
        <f>IF(OR($B118="",W$7=""),"",IF($B118="MEANS",INDEX('1-DATA'!$1:$1048576,$A117-1,COLUMN('1-DATA'!V116)),ROUND(INDEX('1-DATA'!$1:$1048576,IF(OR($B118="STD. DEVIATION",$C$1=1),$A118,$A118+1),COLUMN('1-DATA'!V116)),IF($B118="STD. DEVIATION",2,$F$1))))</f>
        <v/>
      </c>
      <c r="X118" s="1" t="str">
        <f>IF(OR($B118="",X$7=""),"",IF($B118="MEANS",INDEX('1-DATA'!$1:$1048576,$A117-1,COLUMN('1-DATA'!W116)),ROUND(INDEX('1-DATA'!$1:$1048576,IF(OR($B118="STD. DEVIATION",$C$1=1),$A118,$A118+1),COLUMN('1-DATA'!W116)),IF($B118="STD. DEVIATION",2,$F$1))))</f>
        <v/>
      </c>
      <c r="Y118" s="1" t="str">
        <f>IF(OR($B118="",Y$7=""),"",IF($B118="MEANS",INDEX('1-DATA'!$1:$1048576,$A117-1,COLUMN('1-DATA'!X116)),ROUND(INDEX('1-DATA'!$1:$1048576,IF(OR($B118="STD. DEVIATION",$C$1=1),$A118,$A118+1),COLUMN('1-DATA'!X116)),IF($B118="STD. DEVIATION",2,$F$1))))</f>
        <v/>
      </c>
      <c r="Z118" s="1" t="str">
        <f>IF(OR($B118="",Z$7=""),"",IF($B118="MEANS",INDEX('1-DATA'!$1:$1048576,$A117-1,COLUMN('1-DATA'!Y116)),ROUND(INDEX('1-DATA'!$1:$1048576,IF(OR($B118="STD. DEVIATION",$C$1=1),$A118,$A118+1),COLUMN('1-DATA'!Y116)),IF($B118="STD. DEVIATION",2,$F$1))))</f>
        <v/>
      </c>
      <c r="AA118" s="1" t="str">
        <f>IF(OR($B118="",AA$7=""),"",IF($B118="MEANS",INDEX('1-DATA'!$1:$1048576,$A117-1,COLUMN('1-DATA'!Z116)),ROUND(INDEX('1-DATA'!$1:$1048576,IF(OR($B118="STD. DEVIATION",$C$1=1),$A118,$A118+1),COLUMN('1-DATA'!Z116)),IF($B118="STD. DEVIATION",2,$F$1))))</f>
        <v/>
      </c>
      <c r="AB118" s="1" t="str">
        <f>IF(OR($B118="",AB$7=""),"",IF($B118="MEANS",INDEX('1-DATA'!$1:$1048576,$A117-1,COLUMN('1-DATA'!AA116)),ROUND(INDEX('1-DATA'!$1:$1048576,IF(OR($B118="STD. DEVIATION",$C$1=1),$A118,$A118+1),COLUMN('1-DATA'!AA116)),IF($B118="STD. DEVIATION",2,$F$1))))</f>
        <v/>
      </c>
      <c r="AC118" s="1" t="str">
        <f>IF(OR($B118="",AC$7=""),"",IF($B118="MEANS",INDEX('1-DATA'!$1:$1048576,$A117-1,COLUMN('1-DATA'!AB116)),ROUND(INDEX('1-DATA'!$1:$1048576,IF(OR($B118="STD. DEVIATION",$C$1=1),$A118,$A118+1),COLUMN('1-DATA'!AB116)),IF($B118="STD. DEVIATION",2,$F$1))))</f>
        <v/>
      </c>
      <c r="AD118" s="1" t="str">
        <f>IF(OR($B118="",AD$7=""),"",IF($B118="MEANS",INDEX('1-DATA'!$1:$1048576,$A117-1,COLUMN('1-DATA'!AC116)),ROUND(INDEX('1-DATA'!$1:$1048576,IF(OR($B118="STD. DEVIATION",$C$1=1),$A118,$A118+1),COLUMN('1-DATA'!AC116)),IF($B118="STD. DEVIATION",2,$F$1))))</f>
        <v/>
      </c>
      <c r="AE118" s="1" t="str">
        <f>IF(OR($B118="",AE$7=""),"",IF($B118="MEANS",INDEX('1-DATA'!$1:$1048576,$A117-1,COLUMN('1-DATA'!AD116)),ROUND(INDEX('1-DATA'!$1:$1048576,IF(OR($B118="STD. DEVIATION",$C$1=1),$A118,$A118+1),COLUMN('1-DATA'!AD116)),IF($B118="STD. DEVIATION",2,$F$1))))</f>
        <v/>
      </c>
      <c r="AF118" s="1" t="str">
        <f>IF(OR($B118="",AF$7=""),"",IF($B118="MEANS",INDEX('1-DATA'!$1:$1048576,$A117-1,COLUMN('1-DATA'!AE116)),ROUND(INDEX('1-DATA'!$1:$1048576,IF(OR($B118="STD. DEVIATION",$C$1=1),$A118,$A118+1),COLUMN('1-DATA'!AE116)),IF($B118="STD. DEVIATION",2,$F$1))))</f>
        <v/>
      </c>
      <c r="AG118" s="1" t="str">
        <f>IF(OR($B118="",AG$7=""),"",IF($B118="MEANS",INDEX('1-DATA'!$1:$1048576,$A117-1,COLUMN('1-DATA'!AF116)),ROUND(INDEX('1-DATA'!$1:$1048576,IF(OR($B118="STD. DEVIATION",$C$1=1),$A118,$A118+1),COLUMN('1-DATA'!AF116)),IF($B118="STD. DEVIATION",2,$F$1))))</f>
        <v/>
      </c>
      <c r="AH118" s="1" t="str">
        <f>IF(OR($B118="",AH$7=""),"",IF($B118="MEANS",INDEX('1-DATA'!$1:$1048576,$A117-1,COLUMN('1-DATA'!AG116)),ROUND(INDEX('1-DATA'!$1:$1048576,IF(OR($B118="STD. DEVIATION",$C$1=1),$A118,$A118+1),COLUMN('1-DATA'!AG116)),IF($B118="STD. DEVIATION",2,$F$1))))</f>
        <v/>
      </c>
      <c r="AI118" s="1" t="str">
        <f>IF(OR($B118="",AI$7=""),"",IF($B118="MEANS",INDEX('1-DATA'!$1:$1048576,$A117-1,COLUMN('1-DATA'!AH116)),ROUND(INDEX('1-DATA'!$1:$1048576,IF(OR($B118="STD. DEVIATION",$C$1=1),$A118,$A118+1),COLUMN('1-DATA'!AH116)),IF($B118="STD. DEVIATION",2,$F$1))))</f>
        <v/>
      </c>
      <c r="AJ118" s="1" t="str">
        <f>IF(OR($B118="",AJ$7=""),"",IF($B118="MEANS",INDEX('1-DATA'!$1:$1048576,$A117-1,COLUMN('1-DATA'!AI116)),ROUND(INDEX('1-DATA'!$1:$1048576,IF(OR($B118="STD. DEVIATION",$C$1=1),$A118,$A118+1),COLUMN('1-DATA'!AI116)),IF($B118="STD. DEVIATION",2,$F$1))))</f>
        <v/>
      </c>
      <c r="AK118" s="1" t="str">
        <f>IF(OR($B118="",AK$7=""),"",IF($B118="MEANS",INDEX('1-DATA'!$1:$1048576,$A117-1,COLUMN('1-DATA'!AJ116)),ROUND(INDEX('1-DATA'!$1:$1048576,IF(OR($B118="STD. DEVIATION",$C$1=1),$A118,$A118+1),COLUMN('1-DATA'!AJ116)),IF($B118="STD. DEVIATION",2,$F$1))))</f>
        <v/>
      </c>
      <c r="AL118" s="1" t="str">
        <f>IF(OR($B118="",AL$7=""),"",IF($B118="MEANS",INDEX('1-DATA'!$1:$1048576,$A117-1,COLUMN('1-DATA'!AK116)),ROUND(INDEX('1-DATA'!$1:$1048576,IF(OR($B118="STD. DEVIATION",$C$1=1),$A118,$A118+1),COLUMN('1-DATA'!AK116)),IF($B118="STD. DEVIATION",2,$F$1))))</f>
        <v/>
      </c>
      <c r="AM118" s="1" t="str">
        <f>IF(OR($B118="",AM$7=""),"",IF($B118="MEANS",INDEX('1-DATA'!$1:$1048576,$A117-1,COLUMN('1-DATA'!AL116)),ROUND(INDEX('1-DATA'!$1:$1048576,IF(OR($B118="STD. DEVIATION",$C$1=1),$A118,$A118+1),COLUMN('1-DATA'!AL116)),IF($B118="STD. DEVIATION",2,$F$1))))</f>
        <v/>
      </c>
      <c r="AN118" s="1" t="str">
        <f>IF(OR($B118="",AN$7=""),"",IF($B118="MEANS",INDEX('1-DATA'!$1:$1048576,$A117-1,COLUMN('1-DATA'!AM116)),ROUND(INDEX('1-DATA'!$1:$1048576,IF(OR($B118="STD. DEVIATION",$C$1=1),$A118,$A118+1),COLUMN('1-DATA'!AM116)),IF($B118="STD. DEVIATION",2,$F$1))))</f>
        <v/>
      </c>
      <c r="AO118" s="1" t="str">
        <f>IF(OR($B118="",AO$7=""),"",IF($B118="MEANS",INDEX('1-DATA'!$1:$1048576,$A117-1,COLUMN('1-DATA'!AN116)),ROUND(INDEX('1-DATA'!$1:$1048576,IF(OR($B118="STD. DEVIATION",$C$1=1),$A118,$A118+1),COLUMN('1-DATA'!AN116)),IF($B118="STD. DEVIATION",2,$F$1))))</f>
        <v/>
      </c>
      <c r="AP118" s="1" t="str">
        <f>IF(OR($B118="",AP$7=""),"",IF($B118="MEANS",INDEX('1-DATA'!$1:$1048576,$A117-1,COLUMN('1-DATA'!AO116)),ROUND(INDEX('1-DATA'!$1:$1048576,IF(OR($B118="STD. DEVIATION",$C$1=1),$A118,$A118+1),COLUMN('1-DATA'!AO116)),IF($B118="STD. DEVIATION",2,$F$1))))</f>
        <v/>
      </c>
      <c r="AQ118" s="1" t="str">
        <f>IF(OR($B118="",AQ$7=""),"",IF($B118="MEANS",INDEX('1-DATA'!$1:$1048576,$A117-1,COLUMN('1-DATA'!AP116)),ROUND(INDEX('1-DATA'!$1:$1048576,IF(OR($B118="STD. DEVIATION",$C$1=1),$A118,$A118+1),COLUMN('1-DATA'!AP116)),IF($B118="STD. DEVIATION",2,$F$1))))</f>
        <v/>
      </c>
      <c r="AR118" s="1" t="str">
        <f>IF(OR($B118="",AR$7=""),"",IF($B118="MEANS",INDEX('1-DATA'!$1:$1048576,$A117-1,COLUMN('1-DATA'!AQ116)),ROUND(INDEX('1-DATA'!$1:$1048576,IF(OR($B118="STD. DEVIATION",$C$1=1),$A118,$A118+1),COLUMN('1-DATA'!AQ116)),IF($B118="STD. DEVIATION",2,$F$1))))</f>
        <v/>
      </c>
      <c r="AS118" s="1" t="str">
        <f>IF(OR($B118="",AS$7=""),"",IF($B118="MEANS",INDEX('1-DATA'!$1:$1048576,$A117-1,COLUMN('1-DATA'!AR116)),ROUND(INDEX('1-DATA'!$1:$1048576,IF(OR($B118="STD. DEVIATION",$C$1=1),$A118,$A118+1),COLUMN('1-DATA'!AR116)),IF($B118="STD. DEVIATION",2,$F$1))))</f>
        <v/>
      </c>
      <c r="AT118" s="1" t="str">
        <f>IF(OR($B118="",AT$7=""),"",IF($B118="MEANS",INDEX('1-DATA'!$1:$1048576,$A117-1,COLUMN('1-DATA'!AS116)),ROUND(INDEX('1-DATA'!$1:$1048576,IF(OR($B118="STD. DEVIATION",$C$1=1),$A118,$A118+1),COLUMN('1-DATA'!AS116)),IF($B118="STD. DEVIATION",2,$F$1))))</f>
        <v/>
      </c>
      <c r="AU118" s="1" t="str">
        <f>IF(OR($B118="",AU$7=""),"",IF($B118="MEANS",INDEX('1-DATA'!$1:$1048576,$A117-1,COLUMN('1-DATA'!AT116)),ROUND(INDEX('1-DATA'!$1:$1048576,IF(OR($B118="STD. DEVIATION",$C$1=1),$A118,$A118+1),COLUMN('1-DATA'!AT116)),IF($B118="STD. DEVIATION",2,$F$1))))</f>
        <v/>
      </c>
      <c r="AV118" s="1" t="str">
        <f>IF(OR($B118="",AV$7=""),"",IF($B118="MEANS",INDEX('1-DATA'!$1:$1048576,$A117-1,COLUMN('1-DATA'!AU116)),ROUND(INDEX('1-DATA'!$1:$1048576,IF(OR($B118="STD. DEVIATION",$C$1=1),$A118,$A118+1),COLUMN('1-DATA'!AU116)),IF($B118="STD. DEVIATION",2,$F$1))))</f>
        <v/>
      </c>
      <c r="AW118" s="1" t="str">
        <f>IF(OR($B118="",AW$7=""),"",IF($B118="MEANS",INDEX('1-DATA'!$1:$1048576,$A117-1,COLUMN('1-DATA'!AV116)),ROUND(INDEX('1-DATA'!$1:$1048576,IF(OR($B118="STD. DEVIATION",$C$1=1),$A118,$A118+1),COLUMN('1-DATA'!AV116)),IF($B118="STD. DEVIATION",2,$F$1))))</f>
        <v/>
      </c>
      <c r="AX118" s="1" t="str">
        <f>IF(OR($B118="",AX$7=""),"",IF($B118="MEANS",INDEX('1-DATA'!$1:$1048576,$A117-1,COLUMN('1-DATA'!AW116)),ROUND(INDEX('1-DATA'!$1:$1048576,IF(OR($B118="STD. DEVIATION",$C$1=1),$A118,$A118+1),COLUMN('1-DATA'!AW116)),IF($B118="STD. DEVIATION",2,$F$1))))</f>
        <v/>
      </c>
      <c r="AY118" s="1" t="str">
        <f>IF(OR($B118="",AY$7=""),"",IF($B118="MEANS",INDEX('1-DATA'!$1:$1048576,$A117-1,COLUMN('1-DATA'!AX116)),ROUND(INDEX('1-DATA'!$1:$1048576,IF(OR($B118="STD. DEVIATION",$C$1=1),$A118,$A118+1),COLUMN('1-DATA'!AX116)),IF($B118="STD. DEVIATION",2,$F$1))))</f>
        <v/>
      </c>
      <c r="AZ118" s="1" t="str">
        <f>IF(OR($B118="",AZ$7=""),"",IF($B118="MEANS",INDEX('1-DATA'!$1:$1048576,$A117-1,COLUMN('1-DATA'!AY116)),ROUND(INDEX('1-DATA'!$1:$1048576,IF(OR($B118="STD. DEVIATION",$C$1=1),$A118,$A118+1),COLUMN('1-DATA'!AY116)),IF($B118="STD. DEVIATION",2,$F$1))))</f>
        <v/>
      </c>
    </row>
    <row r="119" spans="1:52" x14ac:dyDescent="0.25">
      <c r="A119" s="11">
        <f t="shared" si="2"/>
        <v>343</v>
      </c>
      <c r="B119" s="1" t="str">
        <f>IF(B118="STD. DEVIATION",INDEX('1-DATA'!$1:$1048576,$A118-1,1),IF(INDEX('1-DATA'!$1:$1048576,$A119,1)&lt;&gt;"",INDEX('1-DATA'!$1:$1048576,$A119,1),""))</f>
        <v/>
      </c>
      <c r="C119" s="1" t="str">
        <f>IF(OR($B119="",C$7=""),"",IF($B119="MEANS",INDEX('1-DATA'!$1:$1048576,$A118-1,COLUMN('1-DATA'!B117)),ROUND(INDEX('1-DATA'!$1:$1048576,IF(OR($B119="STD. DEVIATION",$C$1=1),$A119,$A119+1),COLUMN('1-DATA'!B117)),IF($B119="STD. DEVIATION",2,$F$1))))</f>
        <v/>
      </c>
      <c r="D119" s="1" t="str">
        <f>IF(OR($B119="",D$7=""),"",IF($B119="MEANS",INDEX('1-DATA'!$1:$1048576,$A118-1,COLUMN('1-DATA'!C117)),ROUND(INDEX('1-DATA'!$1:$1048576,IF(OR($B119="STD. DEVIATION",$C$1=1),$A119,$A119+1),COLUMN('1-DATA'!C117)),IF($B119="STD. DEVIATION",2,$F$1))))</f>
        <v/>
      </c>
      <c r="E119" s="1" t="str">
        <f>IF(OR($B119="",E$7=""),"",IF($B119="MEANS",INDEX('1-DATA'!$1:$1048576,$A118-1,COLUMN('1-DATA'!D117)),ROUND(INDEX('1-DATA'!$1:$1048576,IF(OR($B119="STD. DEVIATION",$C$1=1),$A119,$A119+1),COLUMN('1-DATA'!D117)),IF($B119="STD. DEVIATION",2,$F$1))))</f>
        <v/>
      </c>
      <c r="F119" s="1" t="str">
        <f>IF(OR($B119="",F$7=""),"",IF($B119="MEANS",INDEX('1-DATA'!$1:$1048576,$A118-1,COLUMN('1-DATA'!E117)),ROUND(INDEX('1-DATA'!$1:$1048576,IF(OR($B119="STD. DEVIATION",$C$1=1),$A119,$A119+1),COLUMN('1-DATA'!E117)),IF($B119="STD. DEVIATION",2,$F$1))))</f>
        <v/>
      </c>
      <c r="G119" s="1" t="str">
        <f>IF(OR($B119="",G$7=""),"",IF($B119="MEANS",INDEX('1-DATA'!$1:$1048576,$A118-1,COLUMN('1-DATA'!F117)),ROUND(INDEX('1-DATA'!$1:$1048576,IF(OR($B119="STD. DEVIATION",$C$1=1),$A119,$A119+1),COLUMN('1-DATA'!F117)),IF($B119="STD. DEVIATION",2,$F$1))))</f>
        <v/>
      </c>
      <c r="H119" s="1" t="str">
        <f>IF(OR($B119="",H$7=""),"",IF($B119="MEANS",INDEX('1-DATA'!$1:$1048576,$A118-1,COLUMN('1-DATA'!G117)),ROUND(INDEX('1-DATA'!$1:$1048576,IF(OR($B119="STD. DEVIATION",$C$1=1),$A119,$A119+1),COLUMN('1-DATA'!G117)),IF($B119="STD. DEVIATION",2,$F$1))))</f>
        <v/>
      </c>
      <c r="I119" s="1" t="str">
        <f>IF(OR($B119="",I$7=""),"",IF($B119="MEANS",INDEX('1-DATA'!$1:$1048576,$A118-1,COLUMN('1-DATA'!H117)),ROUND(INDEX('1-DATA'!$1:$1048576,IF(OR($B119="STD. DEVIATION",$C$1=1),$A119,$A119+1),COLUMN('1-DATA'!H117)),IF($B119="STD. DEVIATION",2,$F$1))))</f>
        <v/>
      </c>
      <c r="J119" s="1" t="str">
        <f>IF(OR($B119="",J$7=""),"",IF($B119="MEANS",INDEX('1-DATA'!$1:$1048576,$A118-1,COLUMN('1-DATA'!I117)),ROUND(INDEX('1-DATA'!$1:$1048576,IF(OR($B119="STD. DEVIATION",$C$1=1),$A119,$A119+1),COLUMN('1-DATA'!I117)),IF($B119="STD. DEVIATION",2,$F$1))))</f>
        <v/>
      </c>
      <c r="K119" s="1" t="str">
        <f>IF(OR($B119="",K$7=""),"",IF($B119="MEANS",INDEX('1-DATA'!$1:$1048576,$A118-1,COLUMN('1-DATA'!J117)),ROUND(INDEX('1-DATA'!$1:$1048576,IF(OR($B119="STD. DEVIATION",$C$1=1),$A119,$A119+1),COLUMN('1-DATA'!J117)),IF($B119="STD. DEVIATION",2,$F$1))))</f>
        <v/>
      </c>
      <c r="L119" s="1" t="str">
        <f>IF(OR($B119="",L$7=""),"",IF($B119="MEANS",INDEX('1-DATA'!$1:$1048576,$A118-1,COLUMN('1-DATA'!K117)),ROUND(INDEX('1-DATA'!$1:$1048576,IF(OR($B119="STD. DEVIATION",$C$1=1),$A119,$A119+1),COLUMN('1-DATA'!K117)),IF($B119="STD. DEVIATION",2,$F$1))))</f>
        <v/>
      </c>
      <c r="M119" s="1" t="str">
        <f>IF(OR($B119="",M$7=""),"",IF($B119="MEANS",INDEX('1-DATA'!$1:$1048576,$A118-1,COLUMN('1-DATA'!L117)),ROUND(INDEX('1-DATA'!$1:$1048576,IF(OR($B119="STD. DEVIATION",$C$1=1),$A119,$A119+1),COLUMN('1-DATA'!L117)),IF($B119="STD. DEVIATION",2,$F$1))))</f>
        <v/>
      </c>
      <c r="N119" s="1" t="str">
        <f>IF(OR($B119="",N$7=""),"",IF($B119="MEANS",INDEX('1-DATA'!$1:$1048576,$A118-1,COLUMN('1-DATA'!M117)),ROUND(INDEX('1-DATA'!$1:$1048576,IF(OR($B119="STD. DEVIATION",$C$1=1),$A119,$A119+1),COLUMN('1-DATA'!M117)),IF($B119="STD. DEVIATION",2,$F$1))))</f>
        <v/>
      </c>
      <c r="O119" s="1" t="str">
        <f>IF(OR($B119="",O$7=""),"",IF($B119="MEANS",INDEX('1-DATA'!$1:$1048576,$A118-1,COLUMN('1-DATA'!N117)),ROUND(INDEX('1-DATA'!$1:$1048576,IF(OR($B119="STD. DEVIATION",$C$1=1),$A119,$A119+1),COLUMN('1-DATA'!N117)),IF($B119="STD. DEVIATION",2,$F$1))))</f>
        <v/>
      </c>
      <c r="P119" s="1" t="str">
        <f>IF(OR($B119="",P$7=""),"",IF($B119="MEANS",INDEX('1-DATA'!$1:$1048576,$A118-1,COLUMN('1-DATA'!O117)),ROUND(INDEX('1-DATA'!$1:$1048576,IF(OR($B119="STD. DEVIATION",$C$1=1),$A119,$A119+1),COLUMN('1-DATA'!O117)),IF($B119="STD. DEVIATION",2,$F$1))))</f>
        <v/>
      </c>
      <c r="Q119" s="1" t="str">
        <f>IF(OR($B119="",Q$7=""),"",IF($B119="MEANS",INDEX('1-DATA'!$1:$1048576,$A118-1,COLUMN('1-DATA'!P117)),ROUND(INDEX('1-DATA'!$1:$1048576,IF(OR($B119="STD. DEVIATION",$C$1=1),$A119,$A119+1),COLUMN('1-DATA'!P117)),IF($B119="STD. DEVIATION",2,$F$1))))</f>
        <v/>
      </c>
      <c r="R119" s="1" t="str">
        <f>IF(OR($B119="",R$7=""),"",IF($B119="MEANS",INDEX('1-DATA'!$1:$1048576,$A118-1,COLUMN('1-DATA'!Q117)),ROUND(INDEX('1-DATA'!$1:$1048576,IF(OR($B119="STD. DEVIATION",$C$1=1),$A119,$A119+1),COLUMN('1-DATA'!Q117)),IF($B119="STD. DEVIATION",2,$F$1))))</f>
        <v/>
      </c>
      <c r="S119" s="1" t="str">
        <f>IF(OR($B119="",S$7=""),"",IF($B119="MEANS",INDEX('1-DATA'!$1:$1048576,$A118-1,COLUMN('1-DATA'!R117)),ROUND(INDEX('1-DATA'!$1:$1048576,IF(OR($B119="STD. DEVIATION",$C$1=1),$A119,$A119+1),COLUMN('1-DATA'!R117)),IF($B119="STD. DEVIATION",2,$F$1))))</f>
        <v/>
      </c>
      <c r="T119" s="1" t="str">
        <f>IF(OR($B119="",T$7=""),"",IF($B119="MEANS",INDEX('1-DATA'!$1:$1048576,$A118-1,COLUMN('1-DATA'!S117)),ROUND(INDEX('1-DATA'!$1:$1048576,IF(OR($B119="STD. DEVIATION",$C$1=1),$A119,$A119+1),COLUMN('1-DATA'!S117)),IF($B119="STD. DEVIATION",2,$F$1))))</f>
        <v/>
      </c>
      <c r="U119" s="1" t="str">
        <f>IF(OR($B119="",U$7=""),"",IF($B119="MEANS",INDEX('1-DATA'!$1:$1048576,$A118-1,COLUMN('1-DATA'!T117)),ROUND(INDEX('1-DATA'!$1:$1048576,IF(OR($B119="STD. DEVIATION",$C$1=1),$A119,$A119+1),COLUMN('1-DATA'!T117)),IF($B119="STD. DEVIATION",2,$F$1))))</f>
        <v/>
      </c>
      <c r="V119" s="1" t="str">
        <f>IF(OR($B119="",V$7=""),"",IF($B119="MEANS",INDEX('1-DATA'!$1:$1048576,$A118-1,COLUMN('1-DATA'!U117)),ROUND(INDEX('1-DATA'!$1:$1048576,IF(OR($B119="STD. DEVIATION",$C$1=1),$A119,$A119+1),COLUMN('1-DATA'!U117)),IF($B119="STD. DEVIATION",2,$F$1))))</f>
        <v/>
      </c>
      <c r="W119" s="1" t="str">
        <f>IF(OR($B119="",W$7=""),"",IF($B119="MEANS",INDEX('1-DATA'!$1:$1048576,$A118-1,COLUMN('1-DATA'!V117)),ROUND(INDEX('1-DATA'!$1:$1048576,IF(OR($B119="STD. DEVIATION",$C$1=1),$A119,$A119+1),COLUMN('1-DATA'!V117)),IF($B119="STD. DEVIATION",2,$F$1))))</f>
        <v/>
      </c>
      <c r="X119" s="1" t="str">
        <f>IF(OR($B119="",X$7=""),"",IF($B119="MEANS",INDEX('1-DATA'!$1:$1048576,$A118-1,COLUMN('1-DATA'!W117)),ROUND(INDEX('1-DATA'!$1:$1048576,IF(OR($B119="STD. DEVIATION",$C$1=1),$A119,$A119+1),COLUMN('1-DATA'!W117)),IF($B119="STD. DEVIATION",2,$F$1))))</f>
        <v/>
      </c>
      <c r="Y119" s="1" t="str">
        <f>IF(OR($B119="",Y$7=""),"",IF($B119="MEANS",INDEX('1-DATA'!$1:$1048576,$A118-1,COLUMN('1-DATA'!X117)),ROUND(INDEX('1-DATA'!$1:$1048576,IF(OR($B119="STD. DEVIATION",$C$1=1),$A119,$A119+1),COLUMN('1-DATA'!X117)),IF($B119="STD. DEVIATION",2,$F$1))))</f>
        <v/>
      </c>
      <c r="Z119" s="1" t="str">
        <f>IF(OR($B119="",Z$7=""),"",IF($B119="MEANS",INDEX('1-DATA'!$1:$1048576,$A118-1,COLUMN('1-DATA'!Y117)),ROUND(INDEX('1-DATA'!$1:$1048576,IF(OR($B119="STD. DEVIATION",$C$1=1),$A119,$A119+1),COLUMN('1-DATA'!Y117)),IF($B119="STD. DEVIATION",2,$F$1))))</f>
        <v/>
      </c>
      <c r="AA119" s="1" t="str">
        <f>IF(OR($B119="",AA$7=""),"",IF($B119="MEANS",INDEX('1-DATA'!$1:$1048576,$A118-1,COLUMN('1-DATA'!Z117)),ROUND(INDEX('1-DATA'!$1:$1048576,IF(OR($B119="STD. DEVIATION",$C$1=1),$A119,$A119+1),COLUMN('1-DATA'!Z117)),IF($B119="STD. DEVIATION",2,$F$1))))</f>
        <v/>
      </c>
      <c r="AB119" s="1" t="str">
        <f>IF(OR($B119="",AB$7=""),"",IF($B119="MEANS",INDEX('1-DATA'!$1:$1048576,$A118-1,COLUMN('1-DATA'!AA117)),ROUND(INDEX('1-DATA'!$1:$1048576,IF(OR($B119="STD. DEVIATION",$C$1=1),$A119,$A119+1),COLUMN('1-DATA'!AA117)),IF($B119="STD. DEVIATION",2,$F$1))))</f>
        <v/>
      </c>
      <c r="AC119" s="1" t="str">
        <f>IF(OR($B119="",AC$7=""),"",IF($B119="MEANS",INDEX('1-DATA'!$1:$1048576,$A118-1,COLUMN('1-DATA'!AB117)),ROUND(INDEX('1-DATA'!$1:$1048576,IF(OR($B119="STD. DEVIATION",$C$1=1),$A119,$A119+1),COLUMN('1-DATA'!AB117)),IF($B119="STD. DEVIATION",2,$F$1))))</f>
        <v/>
      </c>
      <c r="AD119" s="1" t="str">
        <f>IF(OR($B119="",AD$7=""),"",IF($B119="MEANS",INDEX('1-DATA'!$1:$1048576,$A118-1,COLUMN('1-DATA'!AC117)),ROUND(INDEX('1-DATA'!$1:$1048576,IF(OR($B119="STD. DEVIATION",$C$1=1),$A119,$A119+1),COLUMN('1-DATA'!AC117)),IF($B119="STD. DEVIATION",2,$F$1))))</f>
        <v/>
      </c>
      <c r="AE119" s="1" t="str">
        <f>IF(OR($B119="",AE$7=""),"",IF($B119="MEANS",INDEX('1-DATA'!$1:$1048576,$A118-1,COLUMN('1-DATA'!AD117)),ROUND(INDEX('1-DATA'!$1:$1048576,IF(OR($B119="STD. DEVIATION",$C$1=1),$A119,$A119+1),COLUMN('1-DATA'!AD117)),IF($B119="STD. DEVIATION",2,$F$1))))</f>
        <v/>
      </c>
      <c r="AF119" s="1" t="str">
        <f>IF(OR($B119="",AF$7=""),"",IF($B119="MEANS",INDEX('1-DATA'!$1:$1048576,$A118-1,COLUMN('1-DATA'!AE117)),ROUND(INDEX('1-DATA'!$1:$1048576,IF(OR($B119="STD. DEVIATION",$C$1=1),$A119,$A119+1),COLUMN('1-DATA'!AE117)),IF($B119="STD. DEVIATION",2,$F$1))))</f>
        <v/>
      </c>
      <c r="AG119" s="1" t="str">
        <f>IF(OR($B119="",AG$7=""),"",IF($B119="MEANS",INDEX('1-DATA'!$1:$1048576,$A118-1,COLUMN('1-DATA'!AF117)),ROUND(INDEX('1-DATA'!$1:$1048576,IF(OR($B119="STD. DEVIATION",$C$1=1),$A119,$A119+1),COLUMN('1-DATA'!AF117)),IF($B119="STD. DEVIATION",2,$F$1))))</f>
        <v/>
      </c>
      <c r="AH119" s="1" t="str">
        <f>IF(OR($B119="",AH$7=""),"",IF($B119="MEANS",INDEX('1-DATA'!$1:$1048576,$A118-1,COLUMN('1-DATA'!AG117)),ROUND(INDEX('1-DATA'!$1:$1048576,IF(OR($B119="STD. DEVIATION",$C$1=1),$A119,$A119+1),COLUMN('1-DATA'!AG117)),IF($B119="STD. DEVIATION",2,$F$1))))</f>
        <v/>
      </c>
      <c r="AI119" s="1" t="str">
        <f>IF(OR($B119="",AI$7=""),"",IF($B119="MEANS",INDEX('1-DATA'!$1:$1048576,$A118-1,COLUMN('1-DATA'!AH117)),ROUND(INDEX('1-DATA'!$1:$1048576,IF(OR($B119="STD. DEVIATION",$C$1=1),$A119,$A119+1),COLUMN('1-DATA'!AH117)),IF($B119="STD. DEVIATION",2,$F$1))))</f>
        <v/>
      </c>
      <c r="AJ119" s="1" t="str">
        <f>IF(OR($B119="",AJ$7=""),"",IF($B119="MEANS",INDEX('1-DATA'!$1:$1048576,$A118-1,COLUMN('1-DATA'!AI117)),ROUND(INDEX('1-DATA'!$1:$1048576,IF(OR($B119="STD. DEVIATION",$C$1=1),$A119,$A119+1),COLUMN('1-DATA'!AI117)),IF($B119="STD. DEVIATION",2,$F$1))))</f>
        <v/>
      </c>
      <c r="AK119" s="1" t="str">
        <f>IF(OR($B119="",AK$7=""),"",IF($B119="MEANS",INDEX('1-DATA'!$1:$1048576,$A118-1,COLUMN('1-DATA'!AJ117)),ROUND(INDEX('1-DATA'!$1:$1048576,IF(OR($B119="STD. DEVIATION",$C$1=1),$A119,$A119+1),COLUMN('1-DATA'!AJ117)),IF($B119="STD. DEVIATION",2,$F$1))))</f>
        <v/>
      </c>
      <c r="AL119" s="1" t="str">
        <f>IF(OR($B119="",AL$7=""),"",IF($B119="MEANS",INDEX('1-DATA'!$1:$1048576,$A118-1,COLUMN('1-DATA'!AK117)),ROUND(INDEX('1-DATA'!$1:$1048576,IF(OR($B119="STD. DEVIATION",$C$1=1),$A119,$A119+1),COLUMN('1-DATA'!AK117)),IF($B119="STD. DEVIATION",2,$F$1))))</f>
        <v/>
      </c>
      <c r="AM119" s="1" t="str">
        <f>IF(OR($B119="",AM$7=""),"",IF($B119="MEANS",INDEX('1-DATA'!$1:$1048576,$A118-1,COLUMN('1-DATA'!AL117)),ROUND(INDEX('1-DATA'!$1:$1048576,IF(OR($B119="STD. DEVIATION",$C$1=1),$A119,$A119+1),COLUMN('1-DATA'!AL117)),IF($B119="STD. DEVIATION",2,$F$1))))</f>
        <v/>
      </c>
      <c r="AN119" s="1" t="str">
        <f>IF(OR($B119="",AN$7=""),"",IF($B119="MEANS",INDEX('1-DATA'!$1:$1048576,$A118-1,COLUMN('1-DATA'!AM117)),ROUND(INDEX('1-DATA'!$1:$1048576,IF(OR($B119="STD. DEVIATION",$C$1=1),$A119,$A119+1),COLUMN('1-DATA'!AM117)),IF($B119="STD. DEVIATION",2,$F$1))))</f>
        <v/>
      </c>
      <c r="AO119" s="1" t="str">
        <f>IF(OR($B119="",AO$7=""),"",IF($B119="MEANS",INDEX('1-DATA'!$1:$1048576,$A118-1,COLUMN('1-DATA'!AN117)),ROUND(INDEX('1-DATA'!$1:$1048576,IF(OR($B119="STD. DEVIATION",$C$1=1),$A119,$A119+1),COLUMN('1-DATA'!AN117)),IF($B119="STD. DEVIATION",2,$F$1))))</f>
        <v/>
      </c>
      <c r="AP119" s="1" t="str">
        <f>IF(OR($B119="",AP$7=""),"",IF($B119="MEANS",INDEX('1-DATA'!$1:$1048576,$A118-1,COLUMN('1-DATA'!AO117)),ROUND(INDEX('1-DATA'!$1:$1048576,IF(OR($B119="STD. DEVIATION",$C$1=1),$A119,$A119+1),COLUMN('1-DATA'!AO117)),IF($B119="STD. DEVIATION",2,$F$1))))</f>
        <v/>
      </c>
      <c r="AQ119" s="1" t="str">
        <f>IF(OR($B119="",AQ$7=""),"",IF($B119="MEANS",INDEX('1-DATA'!$1:$1048576,$A118-1,COLUMN('1-DATA'!AP117)),ROUND(INDEX('1-DATA'!$1:$1048576,IF(OR($B119="STD. DEVIATION",$C$1=1),$A119,$A119+1),COLUMN('1-DATA'!AP117)),IF($B119="STD. DEVIATION",2,$F$1))))</f>
        <v/>
      </c>
      <c r="AR119" s="1" t="str">
        <f>IF(OR($B119="",AR$7=""),"",IF($B119="MEANS",INDEX('1-DATA'!$1:$1048576,$A118-1,COLUMN('1-DATA'!AQ117)),ROUND(INDEX('1-DATA'!$1:$1048576,IF(OR($B119="STD. DEVIATION",$C$1=1),$A119,$A119+1),COLUMN('1-DATA'!AQ117)),IF($B119="STD. DEVIATION",2,$F$1))))</f>
        <v/>
      </c>
      <c r="AS119" s="1" t="str">
        <f>IF(OR($B119="",AS$7=""),"",IF($B119="MEANS",INDEX('1-DATA'!$1:$1048576,$A118-1,COLUMN('1-DATA'!AR117)),ROUND(INDEX('1-DATA'!$1:$1048576,IF(OR($B119="STD. DEVIATION",$C$1=1),$A119,$A119+1),COLUMN('1-DATA'!AR117)),IF($B119="STD. DEVIATION",2,$F$1))))</f>
        <v/>
      </c>
      <c r="AT119" s="1" t="str">
        <f>IF(OR($B119="",AT$7=""),"",IF($B119="MEANS",INDEX('1-DATA'!$1:$1048576,$A118-1,COLUMN('1-DATA'!AS117)),ROUND(INDEX('1-DATA'!$1:$1048576,IF(OR($B119="STD. DEVIATION",$C$1=1),$A119,$A119+1),COLUMN('1-DATA'!AS117)),IF($B119="STD. DEVIATION",2,$F$1))))</f>
        <v/>
      </c>
      <c r="AU119" s="1" t="str">
        <f>IF(OR($B119="",AU$7=""),"",IF($B119="MEANS",INDEX('1-DATA'!$1:$1048576,$A118-1,COLUMN('1-DATA'!AT117)),ROUND(INDEX('1-DATA'!$1:$1048576,IF(OR($B119="STD. DEVIATION",$C$1=1),$A119,$A119+1),COLUMN('1-DATA'!AT117)),IF($B119="STD. DEVIATION",2,$F$1))))</f>
        <v/>
      </c>
      <c r="AV119" s="1" t="str">
        <f>IF(OR($B119="",AV$7=""),"",IF($B119="MEANS",INDEX('1-DATA'!$1:$1048576,$A118-1,COLUMN('1-DATA'!AU117)),ROUND(INDEX('1-DATA'!$1:$1048576,IF(OR($B119="STD. DEVIATION",$C$1=1),$A119,$A119+1),COLUMN('1-DATA'!AU117)),IF($B119="STD. DEVIATION",2,$F$1))))</f>
        <v/>
      </c>
      <c r="AW119" s="1" t="str">
        <f>IF(OR($B119="",AW$7=""),"",IF($B119="MEANS",INDEX('1-DATA'!$1:$1048576,$A118-1,COLUMN('1-DATA'!AV117)),ROUND(INDEX('1-DATA'!$1:$1048576,IF(OR($B119="STD. DEVIATION",$C$1=1),$A119,$A119+1),COLUMN('1-DATA'!AV117)),IF($B119="STD. DEVIATION",2,$F$1))))</f>
        <v/>
      </c>
      <c r="AX119" s="1" t="str">
        <f>IF(OR($B119="",AX$7=""),"",IF($B119="MEANS",INDEX('1-DATA'!$1:$1048576,$A118-1,COLUMN('1-DATA'!AW117)),ROUND(INDEX('1-DATA'!$1:$1048576,IF(OR($B119="STD. DEVIATION",$C$1=1),$A119,$A119+1),COLUMN('1-DATA'!AW117)),IF($B119="STD. DEVIATION",2,$F$1))))</f>
        <v/>
      </c>
      <c r="AY119" s="1" t="str">
        <f>IF(OR($B119="",AY$7=""),"",IF($B119="MEANS",INDEX('1-DATA'!$1:$1048576,$A118-1,COLUMN('1-DATA'!AX117)),ROUND(INDEX('1-DATA'!$1:$1048576,IF(OR($B119="STD. DEVIATION",$C$1=1),$A119,$A119+1),COLUMN('1-DATA'!AX117)),IF($B119="STD. DEVIATION",2,$F$1))))</f>
        <v/>
      </c>
      <c r="AZ119" s="1" t="str">
        <f>IF(OR($B119="",AZ$7=""),"",IF($B119="MEANS",INDEX('1-DATA'!$1:$1048576,$A118-1,COLUMN('1-DATA'!AY117)),ROUND(INDEX('1-DATA'!$1:$1048576,IF(OR($B119="STD. DEVIATION",$C$1=1),$A119,$A119+1),COLUMN('1-DATA'!AY117)),IF($B119="STD. DEVIATION",2,$F$1))))</f>
        <v/>
      </c>
    </row>
    <row r="120" spans="1:52" x14ac:dyDescent="0.25">
      <c r="A120" s="11">
        <f t="shared" si="2"/>
        <v>346</v>
      </c>
      <c r="B120" s="1" t="str">
        <f>IF(B119="STD. DEVIATION",INDEX('1-DATA'!$1:$1048576,$A119-1,1),IF(INDEX('1-DATA'!$1:$1048576,$A120,1)&lt;&gt;"",INDEX('1-DATA'!$1:$1048576,$A120,1),""))</f>
        <v/>
      </c>
      <c r="C120" s="1" t="str">
        <f>IF(OR($B120="",C$7=""),"",IF($B120="MEANS",INDEX('1-DATA'!$1:$1048576,$A119-1,COLUMN('1-DATA'!B118)),ROUND(INDEX('1-DATA'!$1:$1048576,IF(OR($B120="STD. DEVIATION",$C$1=1),$A120,$A120+1),COLUMN('1-DATA'!B118)),IF($B120="STD. DEVIATION",2,$F$1))))</f>
        <v/>
      </c>
      <c r="D120" s="1" t="str">
        <f>IF(OR($B120="",D$7=""),"",IF($B120="MEANS",INDEX('1-DATA'!$1:$1048576,$A119-1,COLUMN('1-DATA'!C118)),ROUND(INDEX('1-DATA'!$1:$1048576,IF(OR($B120="STD. DEVIATION",$C$1=1),$A120,$A120+1),COLUMN('1-DATA'!C118)),IF($B120="STD. DEVIATION",2,$F$1))))</f>
        <v/>
      </c>
      <c r="E120" s="1" t="str">
        <f>IF(OR($B120="",E$7=""),"",IF($B120="MEANS",INDEX('1-DATA'!$1:$1048576,$A119-1,COLUMN('1-DATA'!D118)),ROUND(INDEX('1-DATA'!$1:$1048576,IF(OR($B120="STD. DEVIATION",$C$1=1),$A120,$A120+1),COLUMN('1-DATA'!D118)),IF($B120="STD. DEVIATION",2,$F$1))))</f>
        <v/>
      </c>
      <c r="F120" s="1" t="str">
        <f>IF(OR($B120="",F$7=""),"",IF($B120="MEANS",INDEX('1-DATA'!$1:$1048576,$A119-1,COLUMN('1-DATA'!E118)),ROUND(INDEX('1-DATA'!$1:$1048576,IF(OR($B120="STD. DEVIATION",$C$1=1),$A120,$A120+1),COLUMN('1-DATA'!E118)),IF($B120="STD. DEVIATION",2,$F$1))))</f>
        <v/>
      </c>
      <c r="G120" s="1" t="str">
        <f>IF(OR($B120="",G$7=""),"",IF($B120="MEANS",INDEX('1-DATA'!$1:$1048576,$A119-1,COLUMN('1-DATA'!F118)),ROUND(INDEX('1-DATA'!$1:$1048576,IF(OR($B120="STD. DEVIATION",$C$1=1),$A120,$A120+1),COLUMN('1-DATA'!F118)),IF($B120="STD. DEVIATION",2,$F$1))))</f>
        <v/>
      </c>
      <c r="H120" s="1" t="str">
        <f>IF(OR($B120="",H$7=""),"",IF($B120="MEANS",INDEX('1-DATA'!$1:$1048576,$A119-1,COLUMN('1-DATA'!G118)),ROUND(INDEX('1-DATA'!$1:$1048576,IF(OR($B120="STD. DEVIATION",$C$1=1),$A120,$A120+1),COLUMN('1-DATA'!G118)),IF($B120="STD. DEVIATION",2,$F$1))))</f>
        <v/>
      </c>
      <c r="I120" s="1" t="str">
        <f>IF(OR($B120="",I$7=""),"",IF($B120="MEANS",INDEX('1-DATA'!$1:$1048576,$A119-1,COLUMN('1-DATA'!H118)),ROUND(INDEX('1-DATA'!$1:$1048576,IF(OR($B120="STD. DEVIATION",$C$1=1),$A120,$A120+1),COLUMN('1-DATA'!H118)),IF($B120="STD. DEVIATION",2,$F$1))))</f>
        <v/>
      </c>
      <c r="J120" s="1" t="str">
        <f>IF(OR($B120="",J$7=""),"",IF($B120="MEANS",INDEX('1-DATA'!$1:$1048576,$A119-1,COLUMN('1-DATA'!I118)),ROUND(INDEX('1-DATA'!$1:$1048576,IF(OR($B120="STD. DEVIATION",$C$1=1),$A120,$A120+1),COLUMN('1-DATA'!I118)),IF($B120="STD. DEVIATION",2,$F$1))))</f>
        <v/>
      </c>
      <c r="K120" s="1" t="str">
        <f>IF(OR($B120="",K$7=""),"",IF($B120="MEANS",INDEX('1-DATA'!$1:$1048576,$A119-1,COLUMN('1-DATA'!J118)),ROUND(INDEX('1-DATA'!$1:$1048576,IF(OR($B120="STD. DEVIATION",$C$1=1),$A120,$A120+1),COLUMN('1-DATA'!J118)),IF($B120="STD. DEVIATION",2,$F$1))))</f>
        <v/>
      </c>
      <c r="L120" s="1" t="str">
        <f>IF(OR($B120="",L$7=""),"",IF($B120="MEANS",INDEX('1-DATA'!$1:$1048576,$A119-1,COLUMN('1-DATA'!K118)),ROUND(INDEX('1-DATA'!$1:$1048576,IF(OR($B120="STD. DEVIATION",$C$1=1),$A120,$A120+1),COLUMN('1-DATA'!K118)),IF($B120="STD. DEVIATION",2,$F$1))))</f>
        <v/>
      </c>
      <c r="M120" s="1" t="str">
        <f>IF(OR($B120="",M$7=""),"",IF($B120="MEANS",INDEX('1-DATA'!$1:$1048576,$A119-1,COLUMN('1-DATA'!L118)),ROUND(INDEX('1-DATA'!$1:$1048576,IF(OR($B120="STD. DEVIATION",$C$1=1),$A120,$A120+1),COLUMN('1-DATA'!L118)),IF($B120="STD. DEVIATION",2,$F$1))))</f>
        <v/>
      </c>
      <c r="N120" s="1" t="str">
        <f>IF(OR($B120="",N$7=""),"",IF($B120="MEANS",INDEX('1-DATA'!$1:$1048576,$A119-1,COLUMN('1-DATA'!M118)),ROUND(INDEX('1-DATA'!$1:$1048576,IF(OR($B120="STD. DEVIATION",$C$1=1),$A120,$A120+1),COLUMN('1-DATA'!M118)),IF($B120="STD. DEVIATION",2,$F$1))))</f>
        <v/>
      </c>
      <c r="O120" s="1" t="str">
        <f>IF(OR($B120="",O$7=""),"",IF($B120="MEANS",INDEX('1-DATA'!$1:$1048576,$A119-1,COLUMN('1-DATA'!N118)),ROUND(INDEX('1-DATA'!$1:$1048576,IF(OR($B120="STD. DEVIATION",$C$1=1),$A120,$A120+1),COLUMN('1-DATA'!N118)),IF($B120="STD. DEVIATION",2,$F$1))))</f>
        <v/>
      </c>
      <c r="P120" s="1" t="str">
        <f>IF(OR($B120="",P$7=""),"",IF($B120="MEANS",INDEX('1-DATA'!$1:$1048576,$A119-1,COLUMN('1-DATA'!O118)),ROUND(INDEX('1-DATA'!$1:$1048576,IF(OR($B120="STD. DEVIATION",$C$1=1),$A120,$A120+1),COLUMN('1-DATA'!O118)),IF($B120="STD. DEVIATION",2,$F$1))))</f>
        <v/>
      </c>
      <c r="Q120" s="1" t="str">
        <f>IF(OR($B120="",Q$7=""),"",IF($B120="MEANS",INDEX('1-DATA'!$1:$1048576,$A119-1,COLUMN('1-DATA'!P118)),ROUND(INDEX('1-DATA'!$1:$1048576,IF(OR($B120="STD. DEVIATION",$C$1=1),$A120,$A120+1),COLUMN('1-DATA'!P118)),IF($B120="STD. DEVIATION",2,$F$1))))</f>
        <v/>
      </c>
      <c r="R120" s="1" t="str">
        <f>IF(OR($B120="",R$7=""),"",IF($B120="MEANS",INDEX('1-DATA'!$1:$1048576,$A119-1,COLUMN('1-DATA'!Q118)),ROUND(INDEX('1-DATA'!$1:$1048576,IF(OR($B120="STD. DEVIATION",$C$1=1),$A120,$A120+1),COLUMN('1-DATA'!Q118)),IF($B120="STD. DEVIATION",2,$F$1))))</f>
        <v/>
      </c>
      <c r="S120" s="1" t="str">
        <f>IF(OR($B120="",S$7=""),"",IF($B120="MEANS",INDEX('1-DATA'!$1:$1048576,$A119-1,COLUMN('1-DATA'!R118)),ROUND(INDEX('1-DATA'!$1:$1048576,IF(OR($B120="STD. DEVIATION",$C$1=1),$A120,$A120+1),COLUMN('1-DATA'!R118)),IF($B120="STD. DEVIATION",2,$F$1))))</f>
        <v/>
      </c>
      <c r="T120" s="1" t="str">
        <f>IF(OR($B120="",T$7=""),"",IF($B120="MEANS",INDEX('1-DATA'!$1:$1048576,$A119-1,COLUMN('1-DATA'!S118)),ROUND(INDEX('1-DATA'!$1:$1048576,IF(OR($B120="STD. DEVIATION",$C$1=1),$A120,$A120+1),COLUMN('1-DATA'!S118)),IF($B120="STD. DEVIATION",2,$F$1))))</f>
        <v/>
      </c>
      <c r="U120" s="1" t="str">
        <f>IF(OR($B120="",U$7=""),"",IF($B120="MEANS",INDEX('1-DATA'!$1:$1048576,$A119-1,COLUMN('1-DATA'!T118)),ROUND(INDEX('1-DATA'!$1:$1048576,IF(OR($B120="STD. DEVIATION",$C$1=1),$A120,$A120+1),COLUMN('1-DATA'!T118)),IF($B120="STD. DEVIATION",2,$F$1))))</f>
        <v/>
      </c>
      <c r="V120" s="1" t="str">
        <f>IF(OR($B120="",V$7=""),"",IF($B120="MEANS",INDEX('1-DATA'!$1:$1048576,$A119-1,COLUMN('1-DATA'!U118)),ROUND(INDEX('1-DATA'!$1:$1048576,IF(OR($B120="STD. DEVIATION",$C$1=1),$A120,$A120+1),COLUMN('1-DATA'!U118)),IF($B120="STD. DEVIATION",2,$F$1))))</f>
        <v/>
      </c>
      <c r="W120" s="1" t="str">
        <f>IF(OR($B120="",W$7=""),"",IF($B120="MEANS",INDEX('1-DATA'!$1:$1048576,$A119-1,COLUMN('1-DATA'!V118)),ROUND(INDEX('1-DATA'!$1:$1048576,IF(OR($B120="STD. DEVIATION",$C$1=1),$A120,$A120+1),COLUMN('1-DATA'!V118)),IF($B120="STD. DEVIATION",2,$F$1))))</f>
        <v/>
      </c>
      <c r="X120" s="1" t="str">
        <f>IF(OR($B120="",X$7=""),"",IF($B120="MEANS",INDEX('1-DATA'!$1:$1048576,$A119-1,COLUMN('1-DATA'!W118)),ROUND(INDEX('1-DATA'!$1:$1048576,IF(OR($B120="STD. DEVIATION",$C$1=1),$A120,$A120+1),COLUMN('1-DATA'!W118)),IF($B120="STD. DEVIATION",2,$F$1))))</f>
        <v/>
      </c>
      <c r="Y120" s="1" t="str">
        <f>IF(OR($B120="",Y$7=""),"",IF($B120="MEANS",INDEX('1-DATA'!$1:$1048576,$A119-1,COLUMN('1-DATA'!X118)),ROUND(INDEX('1-DATA'!$1:$1048576,IF(OR($B120="STD. DEVIATION",$C$1=1),$A120,$A120+1),COLUMN('1-DATA'!X118)),IF($B120="STD. DEVIATION",2,$F$1))))</f>
        <v/>
      </c>
      <c r="Z120" s="1" t="str">
        <f>IF(OR($B120="",Z$7=""),"",IF($B120="MEANS",INDEX('1-DATA'!$1:$1048576,$A119-1,COLUMN('1-DATA'!Y118)),ROUND(INDEX('1-DATA'!$1:$1048576,IF(OR($B120="STD. DEVIATION",$C$1=1),$A120,$A120+1),COLUMN('1-DATA'!Y118)),IF($B120="STD. DEVIATION",2,$F$1))))</f>
        <v/>
      </c>
      <c r="AA120" s="1" t="str">
        <f>IF(OR($B120="",AA$7=""),"",IF($B120="MEANS",INDEX('1-DATA'!$1:$1048576,$A119-1,COLUMN('1-DATA'!Z118)),ROUND(INDEX('1-DATA'!$1:$1048576,IF(OR($B120="STD. DEVIATION",$C$1=1),$A120,$A120+1),COLUMN('1-DATA'!Z118)),IF($B120="STD. DEVIATION",2,$F$1))))</f>
        <v/>
      </c>
      <c r="AB120" s="1" t="str">
        <f>IF(OR($B120="",AB$7=""),"",IF($B120="MEANS",INDEX('1-DATA'!$1:$1048576,$A119-1,COLUMN('1-DATA'!AA118)),ROUND(INDEX('1-DATA'!$1:$1048576,IF(OR($B120="STD. DEVIATION",$C$1=1),$A120,$A120+1),COLUMN('1-DATA'!AA118)),IF($B120="STD. DEVIATION",2,$F$1))))</f>
        <v/>
      </c>
      <c r="AC120" s="1" t="str">
        <f>IF(OR($B120="",AC$7=""),"",IF($B120="MEANS",INDEX('1-DATA'!$1:$1048576,$A119-1,COLUMN('1-DATA'!AB118)),ROUND(INDEX('1-DATA'!$1:$1048576,IF(OR($B120="STD. DEVIATION",$C$1=1),$A120,$A120+1),COLUMN('1-DATA'!AB118)),IF($B120="STD. DEVIATION",2,$F$1))))</f>
        <v/>
      </c>
      <c r="AD120" s="1" t="str">
        <f>IF(OR($B120="",AD$7=""),"",IF($B120="MEANS",INDEX('1-DATA'!$1:$1048576,$A119-1,COLUMN('1-DATA'!AC118)),ROUND(INDEX('1-DATA'!$1:$1048576,IF(OR($B120="STD. DEVIATION",$C$1=1),$A120,$A120+1),COLUMN('1-DATA'!AC118)),IF($B120="STD. DEVIATION",2,$F$1))))</f>
        <v/>
      </c>
      <c r="AE120" s="1" t="str">
        <f>IF(OR($B120="",AE$7=""),"",IF($B120="MEANS",INDEX('1-DATA'!$1:$1048576,$A119-1,COLUMN('1-DATA'!AD118)),ROUND(INDEX('1-DATA'!$1:$1048576,IF(OR($B120="STD. DEVIATION",$C$1=1),$A120,$A120+1),COLUMN('1-DATA'!AD118)),IF($B120="STD. DEVIATION",2,$F$1))))</f>
        <v/>
      </c>
      <c r="AF120" s="1" t="str">
        <f>IF(OR($B120="",AF$7=""),"",IF($B120="MEANS",INDEX('1-DATA'!$1:$1048576,$A119-1,COLUMN('1-DATA'!AE118)),ROUND(INDEX('1-DATA'!$1:$1048576,IF(OR($B120="STD. DEVIATION",$C$1=1),$A120,$A120+1),COLUMN('1-DATA'!AE118)),IF($B120="STD. DEVIATION",2,$F$1))))</f>
        <v/>
      </c>
      <c r="AG120" s="1" t="str">
        <f>IF(OR($B120="",AG$7=""),"",IF($B120="MEANS",INDEX('1-DATA'!$1:$1048576,$A119-1,COLUMN('1-DATA'!AF118)),ROUND(INDEX('1-DATA'!$1:$1048576,IF(OR($B120="STD. DEVIATION",$C$1=1),$A120,$A120+1),COLUMN('1-DATA'!AF118)),IF($B120="STD. DEVIATION",2,$F$1))))</f>
        <v/>
      </c>
      <c r="AH120" s="1" t="str">
        <f>IF(OR($B120="",AH$7=""),"",IF($B120="MEANS",INDEX('1-DATA'!$1:$1048576,$A119-1,COLUMN('1-DATA'!AG118)),ROUND(INDEX('1-DATA'!$1:$1048576,IF(OR($B120="STD. DEVIATION",$C$1=1),$A120,$A120+1),COLUMN('1-DATA'!AG118)),IF($B120="STD. DEVIATION",2,$F$1))))</f>
        <v/>
      </c>
      <c r="AI120" s="1" t="str">
        <f>IF(OR($B120="",AI$7=""),"",IF($B120="MEANS",INDEX('1-DATA'!$1:$1048576,$A119-1,COLUMN('1-DATA'!AH118)),ROUND(INDEX('1-DATA'!$1:$1048576,IF(OR($B120="STD. DEVIATION",$C$1=1),$A120,$A120+1),COLUMN('1-DATA'!AH118)),IF($B120="STD. DEVIATION",2,$F$1))))</f>
        <v/>
      </c>
      <c r="AJ120" s="1" t="str">
        <f>IF(OR($B120="",AJ$7=""),"",IF($B120="MEANS",INDEX('1-DATA'!$1:$1048576,$A119-1,COLUMN('1-DATA'!AI118)),ROUND(INDEX('1-DATA'!$1:$1048576,IF(OR($B120="STD. DEVIATION",$C$1=1),$A120,$A120+1),COLUMN('1-DATA'!AI118)),IF($B120="STD. DEVIATION",2,$F$1))))</f>
        <v/>
      </c>
      <c r="AK120" s="1" t="str">
        <f>IF(OR($B120="",AK$7=""),"",IF($B120="MEANS",INDEX('1-DATA'!$1:$1048576,$A119-1,COLUMN('1-DATA'!AJ118)),ROUND(INDEX('1-DATA'!$1:$1048576,IF(OR($B120="STD. DEVIATION",$C$1=1),$A120,$A120+1),COLUMN('1-DATA'!AJ118)),IF($B120="STD. DEVIATION",2,$F$1))))</f>
        <v/>
      </c>
      <c r="AL120" s="1" t="str">
        <f>IF(OR($B120="",AL$7=""),"",IF($B120="MEANS",INDEX('1-DATA'!$1:$1048576,$A119-1,COLUMN('1-DATA'!AK118)),ROUND(INDEX('1-DATA'!$1:$1048576,IF(OR($B120="STD. DEVIATION",$C$1=1),$A120,$A120+1),COLUMN('1-DATA'!AK118)),IF($B120="STD. DEVIATION",2,$F$1))))</f>
        <v/>
      </c>
      <c r="AM120" s="1" t="str">
        <f>IF(OR($B120="",AM$7=""),"",IF($B120="MEANS",INDEX('1-DATA'!$1:$1048576,$A119-1,COLUMN('1-DATA'!AL118)),ROUND(INDEX('1-DATA'!$1:$1048576,IF(OR($B120="STD. DEVIATION",$C$1=1),$A120,$A120+1),COLUMN('1-DATA'!AL118)),IF($B120="STD. DEVIATION",2,$F$1))))</f>
        <v/>
      </c>
      <c r="AN120" s="1" t="str">
        <f>IF(OR($B120="",AN$7=""),"",IF($B120="MEANS",INDEX('1-DATA'!$1:$1048576,$A119-1,COLUMN('1-DATA'!AM118)),ROUND(INDEX('1-DATA'!$1:$1048576,IF(OR($B120="STD. DEVIATION",$C$1=1),$A120,$A120+1),COLUMN('1-DATA'!AM118)),IF($B120="STD. DEVIATION",2,$F$1))))</f>
        <v/>
      </c>
      <c r="AO120" s="1" t="str">
        <f>IF(OR($B120="",AO$7=""),"",IF($B120="MEANS",INDEX('1-DATA'!$1:$1048576,$A119-1,COLUMN('1-DATA'!AN118)),ROUND(INDEX('1-DATA'!$1:$1048576,IF(OR($B120="STD. DEVIATION",$C$1=1),$A120,$A120+1),COLUMN('1-DATA'!AN118)),IF($B120="STD. DEVIATION",2,$F$1))))</f>
        <v/>
      </c>
      <c r="AP120" s="1" t="str">
        <f>IF(OR($B120="",AP$7=""),"",IF($B120="MEANS",INDEX('1-DATA'!$1:$1048576,$A119-1,COLUMN('1-DATA'!AO118)),ROUND(INDEX('1-DATA'!$1:$1048576,IF(OR($B120="STD. DEVIATION",$C$1=1),$A120,$A120+1),COLUMN('1-DATA'!AO118)),IF($B120="STD. DEVIATION",2,$F$1))))</f>
        <v/>
      </c>
      <c r="AQ120" s="1" t="str">
        <f>IF(OR($B120="",AQ$7=""),"",IF($B120="MEANS",INDEX('1-DATA'!$1:$1048576,$A119-1,COLUMN('1-DATA'!AP118)),ROUND(INDEX('1-DATA'!$1:$1048576,IF(OR($B120="STD. DEVIATION",$C$1=1),$A120,$A120+1),COLUMN('1-DATA'!AP118)),IF($B120="STD. DEVIATION",2,$F$1))))</f>
        <v/>
      </c>
      <c r="AR120" s="1" t="str">
        <f>IF(OR($B120="",AR$7=""),"",IF($B120="MEANS",INDEX('1-DATA'!$1:$1048576,$A119-1,COLUMN('1-DATA'!AQ118)),ROUND(INDEX('1-DATA'!$1:$1048576,IF(OR($B120="STD. DEVIATION",$C$1=1),$A120,$A120+1),COLUMN('1-DATA'!AQ118)),IF($B120="STD. DEVIATION",2,$F$1))))</f>
        <v/>
      </c>
      <c r="AS120" s="1" t="str">
        <f>IF(OR($B120="",AS$7=""),"",IF($B120="MEANS",INDEX('1-DATA'!$1:$1048576,$A119-1,COLUMN('1-DATA'!AR118)),ROUND(INDEX('1-DATA'!$1:$1048576,IF(OR($B120="STD. DEVIATION",$C$1=1),$A120,$A120+1),COLUMN('1-DATA'!AR118)),IF($B120="STD. DEVIATION",2,$F$1))))</f>
        <v/>
      </c>
      <c r="AT120" s="1" t="str">
        <f>IF(OR($B120="",AT$7=""),"",IF($B120="MEANS",INDEX('1-DATA'!$1:$1048576,$A119-1,COLUMN('1-DATA'!AS118)),ROUND(INDEX('1-DATA'!$1:$1048576,IF(OR($B120="STD. DEVIATION",$C$1=1),$A120,$A120+1),COLUMN('1-DATA'!AS118)),IF($B120="STD. DEVIATION",2,$F$1))))</f>
        <v/>
      </c>
      <c r="AU120" s="1" t="str">
        <f>IF(OR($B120="",AU$7=""),"",IF($B120="MEANS",INDEX('1-DATA'!$1:$1048576,$A119-1,COLUMN('1-DATA'!AT118)),ROUND(INDEX('1-DATA'!$1:$1048576,IF(OR($B120="STD. DEVIATION",$C$1=1),$A120,$A120+1),COLUMN('1-DATA'!AT118)),IF($B120="STD. DEVIATION",2,$F$1))))</f>
        <v/>
      </c>
      <c r="AV120" s="1" t="str">
        <f>IF(OR($B120="",AV$7=""),"",IF($B120="MEANS",INDEX('1-DATA'!$1:$1048576,$A119-1,COLUMN('1-DATA'!AU118)),ROUND(INDEX('1-DATA'!$1:$1048576,IF(OR($B120="STD. DEVIATION",$C$1=1),$A120,$A120+1),COLUMN('1-DATA'!AU118)),IF($B120="STD. DEVIATION",2,$F$1))))</f>
        <v/>
      </c>
      <c r="AW120" s="1" t="str">
        <f>IF(OR($B120="",AW$7=""),"",IF($B120="MEANS",INDEX('1-DATA'!$1:$1048576,$A119-1,COLUMN('1-DATA'!AV118)),ROUND(INDEX('1-DATA'!$1:$1048576,IF(OR($B120="STD. DEVIATION",$C$1=1),$A120,$A120+1),COLUMN('1-DATA'!AV118)),IF($B120="STD. DEVIATION",2,$F$1))))</f>
        <v/>
      </c>
      <c r="AX120" s="1" t="str">
        <f>IF(OR($B120="",AX$7=""),"",IF($B120="MEANS",INDEX('1-DATA'!$1:$1048576,$A119-1,COLUMN('1-DATA'!AW118)),ROUND(INDEX('1-DATA'!$1:$1048576,IF(OR($B120="STD. DEVIATION",$C$1=1),$A120,$A120+1),COLUMN('1-DATA'!AW118)),IF($B120="STD. DEVIATION",2,$F$1))))</f>
        <v/>
      </c>
      <c r="AY120" s="1" t="str">
        <f>IF(OR($B120="",AY$7=""),"",IF($B120="MEANS",INDEX('1-DATA'!$1:$1048576,$A119-1,COLUMN('1-DATA'!AX118)),ROUND(INDEX('1-DATA'!$1:$1048576,IF(OR($B120="STD. DEVIATION",$C$1=1),$A120,$A120+1),COLUMN('1-DATA'!AX118)),IF($B120="STD. DEVIATION",2,$F$1))))</f>
        <v/>
      </c>
      <c r="AZ120" s="1" t="str">
        <f>IF(OR($B120="",AZ$7=""),"",IF($B120="MEANS",INDEX('1-DATA'!$1:$1048576,$A119-1,COLUMN('1-DATA'!AY118)),ROUND(INDEX('1-DATA'!$1:$1048576,IF(OR($B120="STD. DEVIATION",$C$1=1),$A120,$A120+1),COLUMN('1-DATA'!AY118)),IF($B120="STD. DEVIATION",2,$F$1))))</f>
        <v/>
      </c>
    </row>
    <row r="121" spans="1:52" x14ac:dyDescent="0.25">
      <c r="A121" s="11">
        <f t="shared" si="2"/>
        <v>349</v>
      </c>
      <c r="B121" s="1" t="str">
        <f>IF(B120="STD. DEVIATION",INDEX('1-DATA'!$1:$1048576,$A120-1,1),IF(INDEX('1-DATA'!$1:$1048576,$A121,1)&lt;&gt;"",INDEX('1-DATA'!$1:$1048576,$A121,1),""))</f>
        <v/>
      </c>
      <c r="C121" s="1" t="str">
        <f>IF(OR($B121="",C$7=""),"",IF($B121="MEANS",INDEX('1-DATA'!$1:$1048576,$A120-1,COLUMN('1-DATA'!B119)),ROUND(INDEX('1-DATA'!$1:$1048576,IF(OR($B121="STD. DEVIATION",$C$1=1),$A121,$A121+1),COLUMN('1-DATA'!B119)),IF($B121="STD. DEVIATION",2,$F$1))))</f>
        <v/>
      </c>
      <c r="D121" s="1" t="str">
        <f>IF(OR($B121="",D$7=""),"",IF($B121="MEANS",INDEX('1-DATA'!$1:$1048576,$A120-1,COLUMN('1-DATA'!C119)),ROUND(INDEX('1-DATA'!$1:$1048576,IF(OR($B121="STD. DEVIATION",$C$1=1),$A121,$A121+1),COLUMN('1-DATA'!C119)),IF($B121="STD. DEVIATION",2,$F$1))))</f>
        <v/>
      </c>
      <c r="E121" s="1" t="str">
        <f>IF(OR($B121="",E$7=""),"",IF($B121="MEANS",INDEX('1-DATA'!$1:$1048576,$A120-1,COLUMN('1-DATA'!D119)),ROUND(INDEX('1-DATA'!$1:$1048576,IF(OR($B121="STD. DEVIATION",$C$1=1),$A121,$A121+1),COLUMN('1-DATA'!D119)),IF($B121="STD. DEVIATION",2,$F$1))))</f>
        <v/>
      </c>
      <c r="F121" s="1" t="str">
        <f>IF(OR($B121="",F$7=""),"",IF($B121="MEANS",INDEX('1-DATA'!$1:$1048576,$A120-1,COLUMN('1-DATA'!E119)),ROUND(INDEX('1-DATA'!$1:$1048576,IF(OR($B121="STD. DEVIATION",$C$1=1),$A121,$A121+1),COLUMN('1-DATA'!E119)),IF($B121="STD. DEVIATION",2,$F$1))))</f>
        <v/>
      </c>
      <c r="G121" s="1" t="str">
        <f>IF(OR($B121="",G$7=""),"",IF($B121="MEANS",INDEX('1-DATA'!$1:$1048576,$A120-1,COLUMN('1-DATA'!F119)),ROUND(INDEX('1-DATA'!$1:$1048576,IF(OR($B121="STD. DEVIATION",$C$1=1),$A121,$A121+1),COLUMN('1-DATA'!F119)),IF($B121="STD. DEVIATION",2,$F$1))))</f>
        <v/>
      </c>
      <c r="H121" s="1" t="str">
        <f>IF(OR($B121="",H$7=""),"",IF($B121="MEANS",INDEX('1-DATA'!$1:$1048576,$A120-1,COLUMN('1-DATA'!G119)),ROUND(INDEX('1-DATA'!$1:$1048576,IF(OR($B121="STD. DEVIATION",$C$1=1),$A121,$A121+1),COLUMN('1-DATA'!G119)),IF($B121="STD. DEVIATION",2,$F$1))))</f>
        <v/>
      </c>
      <c r="I121" s="1" t="str">
        <f>IF(OR($B121="",I$7=""),"",IF($B121="MEANS",INDEX('1-DATA'!$1:$1048576,$A120-1,COLUMN('1-DATA'!H119)),ROUND(INDEX('1-DATA'!$1:$1048576,IF(OR($B121="STD. DEVIATION",$C$1=1),$A121,$A121+1),COLUMN('1-DATA'!H119)),IF($B121="STD. DEVIATION",2,$F$1))))</f>
        <v/>
      </c>
      <c r="J121" s="1" t="str">
        <f>IF(OR($B121="",J$7=""),"",IF($B121="MEANS",INDEX('1-DATA'!$1:$1048576,$A120-1,COLUMN('1-DATA'!I119)),ROUND(INDEX('1-DATA'!$1:$1048576,IF(OR($B121="STD. DEVIATION",$C$1=1),$A121,$A121+1),COLUMN('1-DATA'!I119)),IF($B121="STD. DEVIATION",2,$F$1))))</f>
        <v/>
      </c>
      <c r="K121" s="1" t="str">
        <f>IF(OR($B121="",K$7=""),"",IF($B121="MEANS",INDEX('1-DATA'!$1:$1048576,$A120-1,COLUMN('1-DATA'!J119)),ROUND(INDEX('1-DATA'!$1:$1048576,IF(OR($B121="STD. DEVIATION",$C$1=1),$A121,$A121+1),COLUMN('1-DATA'!J119)),IF($B121="STD. DEVIATION",2,$F$1))))</f>
        <v/>
      </c>
      <c r="L121" s="1" t="str">
        <f>IF(OR($B121="",L$7=""),"",IF($B121="MEANS",INDEX('1-DATA'!$1:$1048576,$A120-1,COLUMN('1-DATA'!K119)),ROUND(INDEX('1-DATA'!$1:$1048576,IF(OR($B121="STD. DEVIATION",$C$1=1),$A121,$A121+1),COLUMN('1-DATA'!K119)),IF($B121="STD. DEVIATION",2,$F$1))))</f>
        <v/>
      </c>
      <c r="M121" s="1" t="str">
        <f>IF(OR($B121="",M$7=""),"",IF($B121="MEANS",INDEX('1-DATA'!$1:$1048576,$A120-1,COLUMN('1-DATA'!L119)),ROUND(INDEX('1-DATA'!$1:$1048576,IF(OR($B121="STD. DEVIATION",$C$1=1),$A121,$A121+1),COLUMN('1-DATA'!L119)),IF($B121="STD. DEVIATION",2,$F$1))))</f>
        <v/>
      </c>
      <c r="N121" s="1" t="str">
        <f>IF(OR($B121="",N$7=""),"",IF($B121="MEANS",INDEX('1-DATA'!$1:$1048576,$A120-1,COLUMN('1-DATA'!M119)),ROUND(INDEX('1-DATA'!$1:$1048576,IF(OR($B121="STD. DEVIATION",$C$1=1),$A121,$A121+1),COLUMN('1-DATA'!M119)),IF($B121="STD. DEVIATION",2,$F$1))))</f>
        <v/>
      </c>
      <c r="O121" s="1" t="str">
        <f>IF(OR($B121="",O$7=""),"",IF($B121="MEANS",INDEX('1-DATA'!$1:$1048576,$A120-1,COLUMN('1-DATA'!N119)),ROUND(INDEX('1-DATA'!$1:$1048576,IF(OR($B121="STD. DEVIATION",$C$1=1),$A121,$A121+1),COLUMN('1-DATA'!N119)),IF($B121="STD. DEVIATION",2,$F$1))))</f>
        <v/>
      </c>
      <c r="P121" s="1" t="str">
        <f>IF(OR($B121="",P$7=""),"",IF($B121="MEANS",INDEX('1-DATA'!$1:$1048576,$A120-1,COLUMN('1-DATA'!O119)),ROUND(INDEX('1-DATA'!$1:$1048576,IF(OR($B121="STD. DEVIATION",$C$1=1),$A121,$A121+1),COLUMN('1-DATA'!O119)),IF($B121="STD. DEVIATION",2,$F$1))))</f>
        <v/>
      </c>
      <c r="Q121" s="1" t="str">
        <f>IF(OR($B121="",Q$7=""),"",IF($B121="MEANS",INDEX('1-DATA'!$1:$1048576,$A120-1,COLUMN('1-DATA'!P119)),ROUND(INDEX('1-DATA'!$1:$1048576,IF(OR($B121="STD. DEVIATION",$C$1=1),$A121,$A121+1),COLUMN('1-DATA'!P119)),IF($B121="STD. DEVIATION",2,$F$1))))</f>
        <v/>
      </c>
      <c r="R121" s="1" t="str">
        <f>IF(OR($B121="",R$7=""),"",IF($B121="MEANS",INDEX('1-DATA'!$1:$1048576,$A120-1,COLUMN('1-DATA'!Q119)),ROUND(INDEX('1-DATA'!$1:$1048576,IF(OR($B121="STD. DEVIATION",$C$1=1),$A121,$A121+1),COLUMN('1-DATA'!Q119)),IF($B121="STD. DEVIATION",2,$F$1))))</f>
        <v/>
      </c>
      <c r="S121" s="1" t="str">
        <f>IF(OR($B121="",S$7=""),"",IF($B121="MEANS",INDEX('1-DATA'!$1:$1048576,$A120-1,COLUMN('1-DATA'!R119)),ROUND(INDEX('1-DATA'!$1:$1048576,IF(OR($B121="STD. DEVIATION",$C$1=1),$A121,$A121+1),COLUMN('1-DATA'!R119)),IF($B121="STD. DEVIATION",2,$F$1))))</f>
        <v/>
      </c>
      <c r="T121" s="1" t="str">
        <f>IF(OR($B121="",T$7=""),"",IF($B121="MEANS",INDEX('1-DATA'!$1:$1048576,$A120-1,COLUMN('1-DATA'!S119)),ROUND(INDEX('1-DATA'!$1:$1048576,IF(OR($B121="STD. DEVIATION",$C$1=1),$A121,$A121+1),COLUMN('1-DATA'!S119)),IF($B121="STD. DEVIATION",2,$F$1))))</f>
        <v/>
      </c>
      <c r="U121" s="1" t="str">
        <f>IF(OR($B121="",U$7=""),"",IF($B121="MEANS",INDEX('1-DATA'!$1:$1048576,$A120-1,COLUMN('1-DATA'!T119)),ROUND(INDEX('1-DATA'!$1:$1048576,IF(OR($B121="STD. DEVIATION",$C$1=1),$A121,$A121+1),COLUMN('1-DATA'!T119)),IF($B121="STD. DEVIATION",2,$F$1))))</f>
        <v/>
      </c>
      <c r="V121" s="1" t="str">
        <f>IF(OR($B121="",V$7=""),"",IF($B121="MEANS",INDEX('1-DATA'!$1:$1048576,$A120-1,COLUMN('1-DATA'!U119)),ROUND(INDEX('1-DATA'!$1:$1048576,IF(OR($B121="STD. DEVIATION",$C$1=1),$A121,$A121+1),COLUMN('1-DATA'!U119)),IF($B121="STD. DEVIATION",2,$F$1))))</f>
        <v/>
      </c>
      <c r="W121" s="1" t="str">
        <f>IF(OR($B121="",W$7=""),"",IF($B121="MEANS",INDEX('1-DATA'!$1:$1048576,$A120-1,COLUMN('1-DATA'!V119)),ROUND(INDEX('1-DATA'!$1:$1048576,IF(OR($B121="STD. DEVIATION",$C$1=1),$A121,$A121+1),COLUMN('1-DATA'!V119)),IF($B121="STD. DEVIATION",2,$F$1))))</f>
        <v/>
      </c>
      <c r="X121" s="1" t="str">
        <f>IF(OR($B121="",X$7=""),"",IF($B121="MEANS",INDEX('1-DATA'!$1:$1048576,$A120-1,COLUMN('1-DATA'!W119)),ROUND(INDEX('1-DATA'!$1:$1048576,IF(OR($B121="STD. DEVIATION",$C$1=1),$A121,$A121+1),COLUMN('1-DATA'!W119)),IF($B121="STD. DEVIATION",2,$F$1))))</f>
        <v/>
      </c>
      <c r="Y121" s="1" t="str">
        <f>IF(OR($B121="",Y$7=""),"",IF($B121="MEANS",INDEX('1-DATA'!$1:$1048576,$A120-1,COLUMN('1-DATA'!X119)),ROUND(INDEX('1-DATA'!$1:$1048576,IF(OR($B121="STD. DEVIATION",$C$1=1),$A121,$A121+1),COLUMN('1-DATA'!X119)),IF($B121="STD. DEVIATION",2,$F$1))))</f>
        <v/>
      </c>
      <c r="Z121" s="1" t="str">
        <f>IF(OR($B121="",Z$7=""),"",IF($B121="MEANS",INDEX('1-DATA'!$1:$1048576,$A120-1,COLUMN('1-DATA'!Y119)),ROUND(INDEX('1-DATA'!$1:$1048576,IF(OR($B121="STD. DEVIATION",$C$1=1),$A121,$A121+1),COLUMN('1-DATA'!Y119)),IF($B121="STD. DEVIATION",2,$F$1))))</f>
        <v/>
      </c>
      <c r="AA121" s="1" t="str">
        <f>IF(OR($B121="",AA$7=""),"",IF($B121="MEANS",INDEX('1-DATA'!$1:$1048576,$A120-1,COLUMN('1-DATA'!Z119)),ROUND(INDEX('1-DATA'!$1:$1048576,IF(OR($B121="STD. DEVIATION",$C$1=1),$A121,$A121+1),COLUMN('1-DATA'!Z119)),IF($B121="STD. DEVIATION",2,$F$1))))</f>
        <v/>
      </c>
      <c r="AB121" s="1" t="str">
        <f>IF(OR($B121="",AB$7=""),"",IF($B121="MEANS",INDEX('1-DATA'!$1:$1048576,$A120-1,COLUMN('1-DATA'!AA119)),ROUND(INDEX('1-DATA'!$1:$1048576,IF(OR($B121="STD. DEVIATION",$C$1=1),$A121,$A121+1),COLUMN('1-DATA'!AA119)),IF($B121="STD. DEVIATION",2,$F$1))))</f>
        <v/>
      </c>
      <c r="AC121" s="1" t="str">
        <f>IF(OR($B121="",AC$7=""),"",IF($B121="MEANS",INDEX('1-DATA'!$1:$1048576,$A120-1,COLUMN('1-DATA'!AB119)),ROUND(INDEX('1-DATA'!$1:$1048576,IF(OR($B121="STD. DEVIATION",$C$1=1),$A121,$A121+1),COLUMN('1-DATA'!AB119)),IF($B121="STD. DEVIATION",2,$F$1))))</f>
        <v/>
      </c>
      <c r="AD121" s="1" t="str">
        <f>IF(OR($B121="",AD$7=""),"",IF($B121="MEANS",INDEX('1-DATA'!$1:$1048576,$A120-1,COLUMN('1-DATA'!AC119)),ROUND(INDEX('1-DATA'!$1:$1048576,IF(OR($B121="STD. DEVIATION",$C$1=1),$A121,$A121+1),COLUMN('1-DATA'!AC119)),IF($B121="STD. DEVIATION",2,$F$1))))</f>
        <v/>
      </c>
      <c r="AE121" s="1" t="str">
        <f>IF(OR($B121="",AE$7=""),"",IF($B121="MEANS",INDEX('1-DATA'!$1:$1048576,$A120-1,COLUMN('1-DATA'!AD119)),ROUND(INDEX('1-DATA'!$1:$1048576,IF(OR($B121="STD. DEVIATION",$C$1=1),$A121,$A121+1),COLUMN('1-DATA'!AD119)),IF($B121="STD. DEVIATION",2,$F$1))))</f>
        <v/>
      </c>
      <c r="AF121" s="1" t="str">
        <f>IF(OR($B121="",AF$7=""),"",IF($B121="MEANS",INDEX('1-DATA'!$1:$1048576,$A120-1,COLUMN('1-DATA'!AE119)),ROUND(INDEX('1-DATA'!$1:$1048576,IF(OR($B121="STD. DEVIATION",$C$1=1),$A121,$A121+1),COLUMN('1-DATA'!AE119)),IF($B121="STD. DEVIATION",2,$F$1))))</f>
        <v/>
      </c>
      <c r="AG121" s="1" t="str">
        <f>IF(OR($B121="",AG$7=""),"",IF($B121="MEANS",INDEX('1-DATA'!$1:$1048576,$A120-1,COLUMN('1-DATA'!AF119)),ROUND(INDEX('1-DATA'!$1:$1048576,IF(OR($B121="STD. DEVIATION",$C$1=1),$A121,$A121+1),COLUMN('1-DATA'!AF119)),IF($B121="STD. DEVIATION",2,$F$1))))</f>
        <v/>
      </c>
      <c r="AH121" s="1" t="str">
        <f>IF(OR($B121="",AH$7=""),"",IF($B121="MEANS",INDEX('1-DATA'!$1:$1048576,$A120-1,COLUMN('1-DATA'!AG119)),ROUND(INDEX('1-DATA'!$1:$1048576,IF(OR($B121="STD. DEVIATION",$C$1=1),$A121,$A121+1),COLUMN('1-DATA'!AG119)),IF($B121="STD. DEVIATION",2,$F$1))))</f>
        <v/>
      </c>
      <c r="AI121" s="1" t="str">
        <f>IF(OR($B121="",AI$7=""),"",IF($B121="MEANS",INDEX('1-DATA'!$1:$1048576,$A120-1,COLUMN('1-DATA'!AH119)),ROUND(INDEX('1-DATA'!$1:$1048576,IF(OR($B121="STD. DEVIATION",$C$1=1),$A121,$A121+1),COLUMN('1-DATA'!AH119)),IF($B121="STD. DEVIATION",2,$F$1))))</f>
        <v/>
      </c>
      <c r="AJ121" s="1" t="str">
        <f>IF(OR($B121="",AJ$7=""),"",IF($B121="MEANS",INDEX('1-DATA'!$1:$1048576,$A120-1,COLUMN('1-DATA'!AI119)),ROUND(INDEX('1-DATA'!$1:$1048576,IF(OR($B121="STD. DEVIATION",$C$1=1),$A121,$A121+1),COLUMN('1-DATA'!AI119)),IF($B121="STD. DEVIATION",2,$F$1))))</f>
        <v/>
      </c>
      <c r="AK121" s="1" t="str">
        <f>IF(OR($B121="",AK$7=""),"",IF($B121="MEANS",INDEX('1-DATA'!$1:$1048576,$A120-1,COLUMN('1-DATA'!AJ119)),ROUND(INDEX('1-DATA'!$1:$1048576,IF(OR($B121="STD. DEVIATION",$C$1=1),$A121,$A121+1),COLUMN('1-DATA'!AJ119)),IF($B121="STD. DEVIATION",2,$F$1))))</f>
        <v/>
      </c>
      <c r="AL121" s="1" t="str">
        <f>IF(OR($B121="",AL$7=""),"",IF($B121="MEANS",INDEX('1-DATA'!$1:$1048576,$A120-1,COLUMN('1-DATA'!AK119)),ROUND(INDEX('1-DATA'!$1:$1048576,IF(OR($B121="STD. DEVIATION",$C$1=1),$A121,$A121+1),COLUMN('1-DATA'!AK119)),IF($B121="STD. DEVIATION",2,$F$1))))</f>
        <v/>
      </c>
      <c r="AM121" s="1" t="str">
        <f>IF(OR($B121="",AM$7=""),"",IF($B121="MEANS",INDEX('1-DATA'!$1:$1048576,$A120-1,COLUMN('1-DATA'!AL119)),ROUND(INDEX('1-DATA'!$1:$1048576,IF(OR($B121="STD. DEVIATION",$C$1=1),$A121,$A121+1),COLUMN('1-DATA'!AL119)),IF($B121="STD. DEVIATION",2,$F$1))))</f>
        <v/>
      </c>
      <c r="AN121" s="1" t="str">
        <f>IF(OR($B121="",AN$7=""),"",IF($B121="MEANS",INDEX('1-DATA'!$1:$1048576,$A120-1,COLUMN('1-DATA'!AM119)),ROUND(INDEX('1-DATA'!$1:$1048576,IF(OR($B121="STD. DEVIATION",$C$1=1),$A121,$A121+1),COLUMN('1-DATA'!AM119)),IF($B121="STD. DEVIATION",2,$F$1))))</f>
        <v/>
      </c>
      <c r="AO121" s="1" t="str">
        <f>IF(OR($B121="",AO$7=""),"",IF($B121="MEANS",INDEX('1-DATA'!$1:$1048576,$A120-1,COLUMN('1-DATA'!AN119)),ROUND(INDEX('1-DATA'!$1:$1048576,IF(OR($B121="STD. DEVIATION",$C$1=1),$A121,$A121+1),COLUMN('1-DATA'!AN119)),IF($B121="STD. DEVIATION",2,$F$1))))</f>
        <v/>
      </c>
      <c r="AP121" s="1" t="str">
        <f>IF(OR($B121="",AP$7=""),"",IF($B121="MEANS",INDEX('1-DATA'!$1:$1048576,$A120-1,COLUMN('1-DATA'!AO119)),ROUND(INDEX('1-DATA'!$1:$1048576,IF(OR($B121="STD. DEVIATION",$C$1=1),$A121,$A121+1),COLUMN('1-DATA'!AO119)),IF($B121="STD. DEVIATION",2,$F$1))))</f>
        <v/>
      </c>
      <c r="AQ121" s="1" t="str">
        <f>IF(OR($B121="",AQ$7=""),"",IF($B121="MEANS",INDEX('1-DATA'!$1:$1048576,$A120-1,COLUMN('1-DATA'!AP119)),ROUND(INDEX('1-DATA'!$1:$1048576,IF(OR($B121="STD. DEVIATION",$C$1=1),$A121,$A121+1),COLUMN('1-DATA'!AP119)),IF($B121="STD. DEVIATION",2,$F$1))))</f>
        <v/>
      </c>
      <c r="AR121" s="1" t="str">
        <f>IF(OR($B121="",AR$7=""),"",IF($B121="MEANS",INDEX('1-DATA'!$1:$1048576,$A120-1,COLUMN('1-DATA'!AQ119)),ROUND(INDEX('1-DATA'!$1:$1048576,IF(OR($B121="STD. DEVIATION",$C$1=1),$A121,$A121+1),COLUMN('1-DATA'!AQ119)),IF($B121="STD. DEVIATION",2,$F$1))))</f>
        <v/>
      </c>
      <c r="AS121" s="1" t="str">
        <f>IF(OR($B121="",AS$7=""),"",IF($B121="MEANS",INDEX('1-DATA'!$1:$1048576,$A120-1,COLUMN('1-DATA'!AR119)),ROUND(INDEX('1-DATA'!$1:$1048576,IF(OR($B121="STD. DEVIATION",$C$1=1),$A121,$A121+1),COLUMN('1-DATA'!AR119)),IF($B121="STD. DEVIATION",2,$F$1))))</f>
        <v/>
      </c>
      <c r="AT121" s="1" t="str">
        <f>IF(OR($B121="",AT$7=""),"",IF($B121="MEANS",INDEX('1-DATA'!$1:$1048576,$A120-1,COLUMN('1-DATA'!AS119)),ROUND(INDEX('1-DATA'!$1:$1048576,IF(OR($B121="STD. DEVIATION",$C$1=1),$A121,$A121+1),COLUMN('1-DATA'!AS119)),IF($B121="STD. DEVIATION",2,$F$1))))</f>
        <v/>
      </c>
      <c r="AU121" s="1" t="str">
        <f>IF(OR($B121="",AU$7=""),"",IF($B121="MEANS",INDEX('1-DATA'!$1:$1048576,$A120-1,COLUMN('1-DATA'!AT119)),ROUND(INDEX('1-DATA'!$1:$1048576,IF(OR($B121="STD. DEVIATION",$C$1=1),$A121,$A121+1),COLUMN('1-DATA'!AT119)),IF($B121="STD. DEVIATION",2,$F$1))))</f>
        <v/>
      </c>
      <c r="AV121" s="1" t="str">
        <f>IF(OR($B121="",AV$7=""),"",IF($B121="MEANS",INDEX('1-DATA'!$1:$1048576,$A120-1,COLUMN('1-DATA'!AU119)),ROUND(INDEX('1-DATA'!$1:$1048576,IF(OR($B121="STD. DEVIATION",$C$1=1),$A121,$A121+1),COLUMN('1-DATA'!AU119)),IF($B121="STD. DEVIATION",2,$F$1))))</f>
        <v/>
      </c>
      <c r="AW121" s="1" t="str">
        <f>IF(OR($B121="",AW$7=""),"",IF($B121="MEANS",INDEX('1-DATA'!$1:$1048576,$A120-1,COLUMN('1-DATA'!AV119)),ROUND(INDEX('1-DATA'!$1:$1048576,IF(OR($B121="STD. DEVIATION",$C$1=1),$A121,$A121+1),COLUMN('1-DATA'!AV119)),IF($B121="STD. DEVIATION",2,$F$1))))</f>
        <v/>
      </c>
      <c r="AX121" s="1" t="str">
        <f>IF(OR($B121="",AX$7=""),"",IF($B121="MEANS",INDEX('1-DATA'!$1:$1048576,$A120-1,COLUMN('1-DATA'!AW119)),ROUND(INDEX('1-DATA'!$1:$1048576,IF(OR($B121="STD. DEVIATION",$C$1=1),$A121,$A121+1),COLUMN('1-DATA'!AW119)),IF($B121="STD. DEVIATION",2,$F$1))))</f>
        <v/>
      </c>
      <c r="AY121" s="1" t="str">
        <f>IF(OR($B121="",AY$7=""),"",IF($B121="MEANS",INDEX('1-DATA'!$1:$1048576,$A120-1,COLUMN('1-DATA'!AX119)),ROUND(INDEX('1-DATA'!$1:$1048576,IF(OR($B121="STD. DEVIATION",$C$1=1),$A121,$A121+1),COLUMN('1-DATA'!AX119)),IF($B121="STD. DEVIATION",2,$F$1))))</f>
        <v/>
      </c>
      <c r="AZ121" s="1" t="str">
        <f>IF(OR($B121="",AZ$7=""),"",IF($B121="MEANS",INDEX('1-DATA'!$1:$1048576,$A120-1,COLUMN('1-DATA'!AY119)),ROUND(INDEX('1-DATA'!$1:$1048576,IF(OR($B121="STD. DEVIATION",$C$1=1),$A121,$A121+1),COLUMN('1-DATA'!AY119)),IF($B121="STD. DEVIATION",2,$F$1))))</f>
        <v/>
      </c>
    </row>
    <row r="122" spans="1:52" x14ac:dyDescent="0.25">
      <c r="A122" s="11">
        <f t="shared" si="2"/>
        <v>352</v>
      </c>
      <c r="B122" s="1" t="str">
        <f>IF(B121="STD. DEVIATION",INDEX('1-DATA'!$1:$1048576,$A121-1,1),IF(INDEX('1-DATA'!$1:$1048576,$A122,1)&lt;&gt;"",INDEX('1-DATA'!$1:$1048576,$A122,1),""))</f>
        <v/>
      </c>
      <c r="C122" s="1" t="str">
        <f>IF(OR($B122="",C$7=""),"",IF($B122="MEANS",INDEX('1-DATA'!$1:$1048576,$A121-1,COLUMN('1-DATA'!B120)),ROUND(INDEX('1-DATA'!$1:$1048576,IF(OR($B122="STD. DEVIATION",$C$1=1),$A122,$A122+1),COLUMN('1-DATA'!B120)),IF($B122="STD. DEVIATION",2,$F$1))))</f>
        <v/>
      </c>
      <c r="D122" s="1" t="str">
        <f>IF(OR($B122="",D$7=""),"",IF($B122="MEANS",INDEX('1-DATA'!$1:$1048576,$A121-1,COLUMN('1-DATA'!C120)),ROUND(INDEX('1-DATA'!$1:$1048576,IF(OR($B122="STD. DEVIATION",$C$1=1),$A122,$A122+1),COLUMN('1-DATA'!C120)),IF($B122="STD. DEVIATION",2,$F$1))))</f>
        <v/>
      </c>
      <c r="E122" s="1" t="str">
        <f>IF(OR($B122="",E$7=""),"",IF($B122="MEANS",INDEX('1-DATA'!$1:$1048576,$A121-1,COLUMN('1-DATA'!D120)),ROUND(INDEX('1-DATA'!$1:$1048576,IF(OR($B122="STD. DEVIATION",$C$1=1),$A122,$A122+1),COLUMN('1-DATA'!D120)),IF($B122="STD. DEVIATION",2,$F$1))))</f>
        <v/>
      </c>
      <c r="F122" s="1" t="str">
        <f>IF(OR($B122="",F$7=""),"",IF($B122="MEANS",INDEX('1-DATA'!$1:$1048576,$A121-1,COLUMN('1-DATA'!E120)),ROUND(INDEX('1-DATA'!$1:$1048576,IF(OR($B122="STD. DEVIATION",$C$1=1),$A122,$A122+1),COLUMN('1-DATA'!E120)),IF($B122="STD. DEVIATION",2,$F$1))))</f>
        <v/>
      </c>
      <c r="G122" s="1" t="str">
        <f>IF(OR($B122="",G$7=""),"",IF($B122="MEANS",INDEX('1-DATA'!$1:$1048576,$A121-1,COLUMN('1-DATA'!F120)),ROUND(INDEX('1-DATA'!$1:$1048576,IF(OR($B122="STD. DEVIATION",$C$1=1),$A122,$A122+1),COLUMN('1-DATA'!F120)),IF($B122="STD. DEVIATION",2,$F$1))))</f>
        <v/>
      </c>
      <c r="H122" s="1" t="str">
        <f>IF(OR($B122="",H$7=""),"",IF($B122="MEANS",INDEX('1-DATA'!$1:$1048576,$A121-1,COLUMN('1-DATA'!G120)),ROUND(INDEX('1-DATA'!$1:$1048576,IF(OR($B122="STD. DEVIATION",$C$1=1),$A122,$A122+1),COLUMN('1-DATA'!G120)),IF($B122="STD. DEVIATION",2,$F$1))))</f>
        <v/>
      </c>
      <c r="I122" s="1" t="str">
        <f>IF(OR($B122="",I$7=""),"",IF($B122="MEANS",INDEX('1-DATA'!$1:$1048576,$A121-1,COLUMN('1-DATA'!H120)),ROUND(INDEX('1-DATA'!$1:$1048576,IF(OR($B122="STD. DEVIATION",$C$1=1),$A122,$A122+1),COLUMN('1-DATA'!H120)),IF($B122="STD. DEVIATION",2,$F$1))))</f>
        <v/>
      </c>
      <c r="J122" s="1" t="str">
        <f>IF(OR($B122="",J$7=""),"",IF($B122="MEANS",INDEX('1-DATA'!$1:$1048576,$A121-1,COLUMN('1-DATA'!I120)),ROUND(INDEX('1-DATA'!$1:$1048576,IF(OR($B122="STD. DEVIATION",$C$1=1),$A122,$A122+1),COLUMN('1-DATA'!I120)),IF($B122="STD. DEVIATION",2,$F$1))))</f>
        <v/>
      </c>
      <c r="K122" s="1" t="str">
        <f>IF(OR($B122="",K$7=""),"",IF($B122="MEANS",INDEX('1-DATA'!$1:$1048576,$A121-1,COLUMN('1-DATA'!J120)),ROUND(INDEX('1-DATA'!$1:$1048576,IF(OR($B122="STD. DEVIATION",$C$1=1),$A122,$A122+1),COLUMN('1-DATA'!J120)),IF($B122="STD. DEVIATION",2,$F$1))))</f>
        <v/>
      </c>
      <c r="L122" s="1" t="str">
        <f>IF(OR($B122="",L$7=""),"",IF($B122="MEANS",INDEX('1-DATA'!$1:$1048576,$A121-1,COLUMN('1-DATA'!K120)),ROUND(INDEX('1-DATA'!$1:$1048576,IF(OR($B122="STD. DEVIATION",$C$1=1),$A122,$A122+1),COLUMN('1-DATA'!K120)),IF($B122="STD. DEVIATION",2,$F$1))))</f>
        <v/>
      </c>
      <c r="M122" s="1" t="str">
        <f>IF(OR($B122="",M$7=""),"",IF($B122="MEANS",INDEX('1-DATA'!$1:$1048576,$A121-1,COLUMN('1-DATA'!L120)),ROUND(INDEX('1-DATA'!$1:$1048576,IF(OR($B122="STD. DEVIATION",$C$1=1),$A122,$A122+1),COLUMN('1-DATA'!L120)),IF($B122="STD. DEVIATION",2,$F$1))))</f>
        <v/>
      </c>
      <c r="N122" s="1" t="str">
        <f>IF(OR($B122="",N$7=""),"",IF($B122="MEANS",INDEX('1-DATA'!$1:$1048576,$A121-1,COLUMN('1-DATA'!M120)),ROUND(INDEX('1-DATA'!$1:$1048576,IF(OR($B122="STD. DEVIATION",$C$1=1),$A122,$A122+1),COLUMN('1-DATA'!M120)),IF($B122="STD. DEVIATION",2,$F$1))))</f>
        <v/>
      </c>
      <c r="O122" s="1" t="str">
        <f>IF(OR($B122="",O$7=""),"",IF($B122="MEANS",INDEX('1-DATA'!$1:$1048576,$A121-1,COLUMN('1-DATA'!N120)),ROUND(INDEX('1-DATA'!$1:$1048576,IF(OR($B122="STD. DEVIATION",$C$1=1),$A122,$A122+1),COLUMN('1-DATA'!N120)),IF($B122="STD. DEVIATION",2,$F$1))))</f>
        <v/>
      </c>
      <c r="P122" s="1" t="str">
        <f>IF(OR($B122="",P$7=""),"",IF($B122="MEANS",INDEX('1-DATA'!$1:$1048576,$A121-1,COLUMN('1-DATA'!O120)),ROUND(INDEX('1-DATA'!$1:$1048576,IF(OR($B122="STD. DEVIATION",$C$1=1),$A122,$A122+1),COLUMN('1-DATA'!O120)),IF($B122="STD. DEVIATION",2,$F$1))))</f>
        <v/>
      </c>
      <c r="Q122" s="1" t="str">
        <f>IF(OR($B122="",Q$7=""),"",IF($B122="MEANS",INDEX('1-DATA'!$1:$1048576,$A121-1,COLUMN('1-DATA'!P120)),ROUND(INDEX('1-DATA'!$1:$1048576,IF(OR($B122="STD. DEVIATION",$C$1=1),$A122,$A122+1),COLUMN('1-DATA'!P120)),IF($B122="STD. DEVIATION",2,$F$1))))</f>
        <v/>
      </c>
      <c r="R122" s="1" t="str">
        <f>IF(OR($B122="",R$7=""),"",IF($B122="MEANS",INDEX('1-DATA'!$1:$1048576,$A121-1,COLUMN('1-DATA'!Q120)),ROUND(INDEX('1-DATA'!$1:$1048576,IF(OR($B122="STD. DEVIATION",$C$1=1),$A122,$A122+1),COLUMN('1-DATA'!Q120)),IF($B122="STD. DEVIATION",2,$F$1))))</f>
        <v/>
      </c>
      <c r="S122" s="1" t="str">
        <f>IF(OR($B122="",S$7=""),"",IF($B122="MEANS",INDEX('1-DATA'!$1:$1048576,$A121-1,COLUMN('1-DATA'!R120)),ROUND(INDEX('1-DATA'!$1:$1048576,IF(OR($B122="STD. DEVIATION",$C$1=1),$A122,$A122+1),COLUMN('1-DATA'!R120)),IF($B122="STD. DEVIATION",2,$F$1))))</f>
        <v/>
      </c>
      <c r="T122" s="1" t="str">
        <f>IF(OR($B122="",T$7=""),"",IF($B122="MEANS",INDEX('1-DATA'!$1:$1048576,$A121-1,COLUMN('1-DATA'!S120)),ROUND(INDEX('1-DATA'!$1:$1048576,IF(OR($B122="STD. DEVIATION",$C$1=1),$A122,$A122+1),COLUMN('1-DATA'!S120)),IF($B122="STD. DEVIATION",2,$F$1))))</f>
        <v/>
      </c>
      <c r="U122" s="1" t="str">
        <f>IF(OR($B122="",U$7=""),"",IF($B122="MEANS",INDEX('1-DATA'!$1:$1048576,$A121-1,COLUMN('1-DATA'!T120)),ROUND(INDEX('1-DATA'!$1:$1048576,IF(OR($B122="STD. DEVIATION",$C$1=1),$A122,$A122+1),COLUMN('1-DATA'!T120)),IF($B122="STD. DEVIATION",2,$F$1))))</f>
        <v/>
      </c>
      <c r="V122" s="1" t="str">
        <f>IF(OR($B122="",V$7=""),"",IF($B122="MEANS",INDEX('1-DATA'!$1:$1048576,$A121-1,COLUMN('1-DATA'!U120)),ROUND(INDEX('1-DATA'!$1:$1048576,IF(OR($B122="STD. DEVIATION",$C$1=1),$A122,$A122+1),COLUMN('1-DATA'!U120)),IF($B122="STD. DEVIATION",2,$F$1))))</f>
        <v/>
      </c>
      <c r="W122" s="1" t="str">
        <f>IF(OR($B122="",W$7=""),"",IF($B122="MEANS",INDEX('1-DATA'!$1:$1048576,$A121-1,COLUMN('1-DATA'!V120)),ROUND(INDEX('1-DATA'!$1:$1048576,IF(OR($B122="STD. DEVIATION",$C$1=1),$A122,$A122+1),COLUMN('1-DATA'!V120)),IF($B122="STD. DEVIATION",2,$F$1))))</f>
        <v/>
      </c>
      <c r="X122" s="1" t="str">
        <f>IF(OR($B122="",X$7=""),"",IF($B122="MEANS",INDEX('1-DATA'!$1:$1048576,$A121-1,COLUMN('1-DATA'!W120)),ROUND(INDEX('1-DATA'!$1:$1048576,IF(OR($B122="STD. DEVIATION",$C$1=1),$A122,$A122+1),COLUMN('1-DATA'!W120)),IF($B122="STD. DEVIATION",2,$F$1))))</f>
        <v/>
      </c>
      <c r="Y122" s="1" t="str">
        <f>IF(OR($B122="",Y$7=""),"",IF($B122="MEANS",INDEX('1-DATA'!$1:$1048576,$A121-1,COLUMN('1-DATA'!X120)),ROUND(INDEX('1-DATA'!$1:$1048576,IF(OR($B122="STD. DEVIATION",$C$1=1),$A122,$A122+1),COLUMN('1-DATA'!X120)),IF($B122="STD. DEVIATION",2,$F$1))))</f>
        <v/>
      </c>
      <c r="Z122" s="1" t="str">
        <f>IF(OR($B122="",Z$7=""),"",IF($B122="MEANS",INDEX('1-DATA'!$1:$1048576,$A121-1,COLUMN('1-DATA'!Y120)),ROUND(INDEX('1-DATA'!$1:$1048576,IF(OR($B122="STD. DEVIATION",$C$1=1),$A122,$A122+1),COLUMN('1-DATA'!Y120)),IF($B122="STD. DEVIATION",2,$F$1))))</f>
        <v/>
      </c>
      <c r="AA122" s="1" t="str">
        <f>IF(OR($B122="",AA$7=""),"",IF($B122="MEANS",INDEX('1-DATA'!$1:$1048576,$A121-1,COLUMN('1-DATA'!Z120)),ROUND(INDEX('1-DATA'!$1:$1048576,IF(OR($B122="STD. DEVIATION",$C$1=1),$A122,$A122+1),COLUMN('1-DATA'!Z120)),IF($B122="STD. DEVIATION",2,$F$1))))</f>
        <v/>
      </c>
      <c r="AB122" s="1" t="str">
        <f>IF(OR($B122="",AB$7=""),"",IF($B122="MEANS",INDEX('1-DATA'!$1:$1048576,$A121-1,COLUMN('1-DATA'!AA120)),ROUND(INDEX('1-DATA'!$1:$1048576,IF(OR($B122="STD. DEVIATION",$C$1=1),$A122,$A122+1),COLUMN('1-DATA'!AA120)),IF($B122="STD. DEVIATION",2,$F$1))))</f>
        <v/>
      </c>
      <c r="AC122" s="1" t="str">
        <f>IF(OR($B122="",AC$7=""),"",IF($B122="MEANS",INDEX('1-DATA'!$1:$1048576,$A121-1,COLUMN('1-DATA'!AB120)),ROUND(INDEX('1-DATA'!$1:$1048576,IF(OR($B122="STD. DEVIATION",$C$1=1),$A122,$A122+1),COLUMN('1-DATA'!AB120)),IF($B122="STD. DEVIATION",2,$F$1))))</f>
        <v/>
      </c>
      <c r="AD122" s="1" t="str">
        <f>IF(OR($B122="",AD$7=""),"",IF($B122="MEANS",INDEX('1-DATA'!$1:$1048576,$A121-1,COLUMN('1-DATA'!AC120)),ROUND(INDEX('1-DATA'!$1:$1048576,IF(OR($B122="STD. DEVIATION",$C$1=1),$A122,$A122+1),COLUMN('1-DATA'!AC120)),IF($B122="STD. DEVIATION",2,$F$1))))</f>
        <v/>
      </c>
      <c r="AE122" s="1" t="str">
        <f>IF(OR($B122="",AE$7=""),"",IF($B122="MEANS",INDEX('1-DATA'!$1:$1048576,$A121-1,COLUMN('1-DATA'!AD120)),ROUND(INDEX('1-DATA'!$1:$1048576,IF(OR($B122="STD. DEVIATION",$C$1=1),$A122,$A122+1),COLUMN('1-DATA'!AD120)),IF($B122="STD. DEVIATION",2,$F$1))))</f>
        <v/>
      </c>
      <c r="AF122" s="1" t="str">
        <f>IF(OR($B122="",AF$7=""),"",IF($B122="MEANS",INDEX('1-DATA'!$1:$1048576,$A121-1,COLUMN('1-DATA'!AE120)),ROUND(INDEX('1-DATA'!$1:$1048576,IF(OR($B122="STD. DEVIATION",$C$1=1),$A122,$A122+1),COLUMN('1-DATA'!AE120)),IF($B122="STD. DEVIATION",2,$F$1))))</f>
        <v/>
      </c>
      <c r="AG122" s="1" t="str">
        <f>IF(OR($B122="",AG$7=""),"",IF($B122="MEANS",INDEX('1-DATA'!$1:$1048576,$A121-1,COLUMN('1-DATA'!AF120)),ROUND(INDEX('1-DATA'!$1:$1048576,IF(OR($B122="STD. DEVIATION",$C$1=1),$A122,$A122+1),COLUMN('1-DATA'!AF120)),IF($B122="STD. DEVIATION",2,$F$1))))</f>
        <v/>
      </c>
      <c r="AH122" s="1" t="str">
        <f>IF(OR($B122="",AH$7=""),"",IF($B122="MEANS",INDEX('1-DATA'!$1:$1048576,$A121-1,COLUMN('1-DATA'!AG120)),ROUND(INDEX('1-DATA'!$1:$1048576,IF(OR($B122="STD. DEVIATION",$C$1=1),$A122,$A122+1),COLUMN('1-DATA'!AG120)),IF($B122="STD. DEVIATION",2,$F$1))))</f>
        <v/>
      </c>
      <c r="AI122" s="1" t="str">
        <f>IF(OR($B122="",AI$7=""),"",IF($B122="MEANS",INDEX('1-DATA'!$1:$1048576,$A121-1,COLUMN('1-DATA'!AH120)),ROUND(INDEX('1-DATA'!$1:$1048576,IF(OR($B122="STD. DEVIATION",$C$1=1),$A122,$A122+1),COLUMN('1-DATA'!AH120)),IF($B122="STD. DEVIATION",2,$F$1))))</f>
        <v/>
      </c>
      <c r="AJ122" s="1" t="str">
        <f>IF(OR($B122="",AJ$7=""),"",IF($B122="MEANS",INDEX('1-DATA'!$1:$1048576,$A121-1,COLUMN('1-DATA'!AI120)),ROUND(INDEX('1-DATA'!$1:$1048576,IF(OR($B122="STD. DEVIATION",$C$1=1),$A122,$A122+1),COLUMN('1-DATA'!AI120)),IF($B122="STD. DEVIATION",2,$F$1))))</f>
        <v/>
      </c>
      <c r="AK122" s="1" t="str">
        <f>IF(OR($B122="",AK$7=""),"",IF($B122="MEANS",INDEX('1-DATA'!$1:$1048576,$A121-1,COLUMN('1-DATA'!AJ120)),ROUND(INDEX('1-DATA'!$1:$1048576,IF(OR($B122="STD. DEVIATION",$C$1=1),$A122,$A122+1),COLUMN('1-DATA'!AJ120)),IF($B122="STD. DEVIATION",2,$F$1))))</f>
        <v/>
      </c>
      <c r="AL122" s="1" t="str">
        <f>IF(OR($B122="",AL$7=""),"",IF($B122="MEANS",INDEX('1-DATA'!$1:$1048576,$A121-1,COLUMN('1-DATA'!AK120)),ROUND(INDEX('1-DATA'!$1:$1048576,IF(OR($B122="STD. DEVIATION",$C$1=1),$A122,$A122+1),COLUMN('1-DATA'!AK120)),IF($B122="STD. DEVIATION",2,$F$1))))</f>
        <v/>
      </c>
      <c r="AM122" s="1" t="str">
        <f>IF(OR($B122="",AM$7=""),"",IF($B122="MEANS",INDEX('1-DATA'!$1:$1048576,$A121-1,COLUMN('1-DATA'!AL120)),ROUND(INDEX('1-DATA'!$1:$1048576,IF(OR($B122="STD. DEVIATION",$C$1=1),$A122,$A122+1),COLUMN('1-DATA'!AL120)),IF($B122="STD. DEVIATION",2,$F$1))))</f>
        <v/>
      </c>
      <c r="AN122" s="1" t="str">
        <f>IF(OR($B122="",AN$7=""),"",IF($B122="MEANS",INDEX('1-DATA'!$1:$1048576,$A121-1,COLUMN('1-DATA'!AM120)),ROUND(INDEX('1-DATA'!$1:$1048576,IF(OR($B122="STD. DEVIATION",$C$1=1),$A122,$A122+1),COLUMN('1-DATA'!AM120)),IF($B122="STD. DEVIATION",2,$F$1))))</f>
        <v/>
      </c>
      <c r="AO122" s="1" t="str">
        <f>IF(OR($B122="",AO$7=""),"",IF($B122="MEANS",INDEX('1-DATA'!$1:$1048576,$A121-1,COLUMN('1-DATA'!AN120)),ROUND(INDEX('1-DATA'!$1:$1048576,IF(OR($B122="STD. DEVIATION",$C$1=1),$A122,$A122+1),COLUMN('1-DATA'!AN120)),IF($B122="STD. DEVIATION",2,$F$1))))</f>
        <v/>
      </c>
      <c r="AP122" s="1" t="str">
        <f>IF(OR($B122="",AP$7=""),"",IF($B122="MEANS",INDEX('1-DATA'!$1:$1048576,$A121-1,COLUMN('1-DATA'!AO120)),ROUND(INDEX('1-DATA'!$1:$1048576,IF(OR($B122="STD. DEVIATION",$C$1=1),$A122,$A122+1),COLUMN('1-DATA'!AO120)),IF($B122="STD. DEVIATION",2,$F$1))))</f>
        <v/>
      </c>
      <c r="AQ122" s="1" t="str">
        <f>IF(OR($B122="",AQ$7=""),"",IF($B122="MEANS",INDEX('1-DATA'!$1:$1048576,$A121-1,COLUMN('1-DATA'!AP120)),ROUND(INDEX('1-DATA'!$1:$1048576,IF(OR($B122="STD. DEVIATION",$C$1=1),$A122,$A122+1),COLUMN('1-DATA'!AP120)),IF($B122="STD. DEVIATION",2,$F$1))))</f>
        <v/>
      </c>
      <c r="AR122" s="1" t="str">
        <f>IF(OR($B122="",AR$7=""),"",IF($B122="MEANS",INDEX('1-DATA'!$1:$1048576,$A121-1,COLUMN('1-DATA'!AQ120)),ROUND(INDEX('1-DATA'!$1:$1048576,IF(OR($B122="STD. DEVIATION",$C$1=1),$A122,$A122+1),COLUMN('1-DATA'!AQ120)),IF($B122="STD. DEVIATION",2,$F$1))))</f>
        <v/>
      </c>
      <c r="AS122" s="1" t="str">
        <f>IF(OR($B122="",AS$7=""),"",IF($B122="MEANS",INDEX('1-DATA'!$1:$1048576,$A121-1,COLUMN('1-DATA'!AR120)),ROUND(INDEX('1-DATA'!$1:$1048576,IF(OR($B122="STD. DEVIATION",$C$1=1),$A122,$A122+1),COLUMN('1-DATA'!AR120)),IF($B122="STD. DEVIATION",2,$F$1))))</f>
        <v/>
      </c>
      <c r="AT122" s="1" t="str">
        <f>IF(OR($B122="",AT$7=""),"",IF($B122="MEANS",INDEX('1-DATA'!$1:$1048576,$A121-1,COLUMN('1-DATA'!AS120)),ROUND(INDEX('1-DATA'!$1:$1048576,IF(OR($B122="STD. DEVIATION",$C$1=1),$A122,$A122+1),COLUMN('1-DATA'!AS120)),IF($B122="STD. DEVIATION",2,$F$1))))</f>
        <v/>
      </c>
      <c r="AU122" s="1" t="str">
        <f>IF(OR($B122="",AU$7=""),"",IF($B122="MEANS",INDEX('1-DATA'!$1:$1048576,$A121-1,COLUMN('1-DATA'!AT120)),ROUND(INDEX('1-DATA'!$1:$1048576,IF(OR($B122="STD. DEVIATION",$C$1=1),$A122,$A122+1),COLUMN('1-DATA'!AT120)),IF($B122="STD. DEVIATION",2,$F$1))))</f>
        <v/>
      </c>
      <c r="AV122" s="1" t="str">
        <f>IF(OR($B122="",AV$7=""),"",IF($B122="MEANS",INDEX('1-DATA'!$1:$1048576,$A121-1,COLUMN('1-DATA'!AU120)),ROUND(INDEX('1-DATA'!$1:$1048576,IF(OR($B122="STD. DEVIATION",$C$1=1),$A122,$A122+1),COLUMN('1-DATA'!AU120)),IF($B122="STD. DEVIATION",2,$F$1))))</f>
        <v/>
      </c>
      <c r="AW122" s="1" t="str">
        <f>IF(OR($B122="",AW$7=""),"",IF($B122="MEANS",INDEX('1-DATA'!$1:$1048576,$A121-1,COLUMN('1-DATA'!AV120)),ROUND(INDEX('1-DATA'!$1:$1048576,IF(OR($B122="STD. DEVIATION",$C$1=1),$A122,$A122+1),COLUMN('1-DATA'!AV120)),IF($B122="STD. DEVIATION",2,$F$1))))</f>
        <v/>
      </c>
      <c r="AX122" s="1" t="str">
        <f>IF(OR($B122="",AX$7=""),"",IF($B122="MEANS",INDEX('1-DATA'!$1:$1048576,$A121-1,COLUMN('1-DATA'!AW120)),ROUND(INDEX('1-DATA'!$1:$1048576,IF(OR($B122="STD. DEVIATION",$C$1=1),$A122,$A122+1),COLUMN('1-DATA'!AW120)),IF($B122="STD. DEVIATION",2,$F$1))))</f>
        <v/>
      </c>
      <c r="AY122" s="1" t="str">
        <f>IF(OR($B122="",AY$7=""),"",IF($B122="MEANS",INDEX('1-DATA'!$1:$1048576,$A121-1,COLUMN('1-DATA'!AX120)),ROUND(INDEX('1-DATA'!$1:$1048576,IF(OR($B122="STD. DEVIATION",$C$1=1),$A122,$A122+1),COLUMN('1-DATA'!AX120)),IF($B122="STD. DEVIATION",2,$F$1))))</f>
        <v/>
      </c>
      <c r="AZ122" s="1" t="str">
        <f>IF(OR($B122="",AZ$7=""),"",IF($B122="MEANS",INDEX('1-DATA'!$1:$1048576,$A121-1,COLUMN('1-DATA'!AY120)),ROUND(INDEX('1-DATA'!$1:$1048576,IF(OR($B122="STD. DEVIATION",$C$1=1),$A122,$A122+1),COLUMN('1-DATA'!AY120)),IF($B122="STD. DEVIATION",2,$F$1))))</f>
        <v/>
      </c>
    </row>
    <row r="123" spans="1:52" x14ac:dyDescent="0.25">
      <c r="A123" s="11">
        <f t="shared" si="2"/>
        <v>355</v>
      </c>
      <c r="B123" s="1" t="str">
        <f>IF(B122="STD. DEVIATION",INDEX('1-DATA'!$1:$1048576,$A122-1,1),IF(INDEX('1-DATA'!$1:$1048576,$A123,1)&lt;&gt;"",INDEX('1-DATA'!$1:$1048576,$A123,1),""))</f>
        <v/>
      </c>
      <c r="C123" s="1" t="str">
        <f>IF(OR($B123="",C$7=""),"",IF($B123="MEANS",INDEX('1-DATA'!$1:$1048576,$A122-1,COLUMN('1-DATA'!B121)),ROUND(INDEX('1-DATA'!$1:$1048576,IF(OR($B123="STD. DEVIATION",$C$1=1),$A123,$A123+1),COLUMN('1-DATA'!B121)),IF($B123="STD. DEVIATION",2,$F$1))))</f>
        <v/>
      </c>
      <c r="D123" s="1" t="str">
        <f>IF(OR($B123="",D$7=""),"",IF($B123="MEANS",INDEX('1-DATA'!$1:$1048576,$A122-1,COLUMN('1-DATA'!C121)),ROUND(INDEX('1-DATA'!$1:$1048576,IF(OR($B123="STD. DEVIATION",$C$1=1),$A123,$A123+1),COLUMN('1-DATA'!C121)),IF($B123="STD. DEVIATION",2,$F$1))))</f>
        <v/>
      </c>
      <c r="E123" s="1" t="str">
        <f>IF(OR($B123="",E$7=""),"",IF($B123="MEANS",INDEX('1-DATA'!$1:$1048576,$A122-1,COLUMN('1-DATA'!D121)),ROUND(INDEX('1-DATA'!$1:$1048576,IF(OR($B123="STD. DEVIATION",$C$1=1),$A123,$A123+1),COLUMN('1-DATA'!D121)),IF($B123="STD. DEVIATION",2,$F$1))))</f>
        <v/>
      </c>
      <c r="F123" s="1" t="str">
        <f>IF(OR($B123="",F$7=""),"",IF($B123="MEANS",INDEX('1-DATA'!$1:$1048576,$A122-1,COLUMN('1-DATA'!E121)),ROUND(INDEX('1-DATA'!$1:$1048576,IF(OR($B123="STD. DEVIATION",$C$1=1),$A123,$A123+1),COLUMN('1-DATA'!E121)),IF($B123="STD. DEVIATION",2,$F$1))))</f>
        <v/>
      </c>
      <c r="G123" s="1" t="str">
        <f>IF(OR($B123="",G$7=""),"",IF($B123="MEANS",INDEX('1-DATA'!$1:$1048576,$A122-1,COLUMN('1-DATA'!F121)),ROUND(INDEX('1-DATA'!$1:$1048576,IF(OR($B123="STD. DEVIATION",$C$1=1),$A123,$A123+1),COLUMN('1-DATA'!F121)),IF($B123="STD. DEVIATION",2,$F$1))))</f>
        <v/>
      </c>
      <c r="H123" s="1" t="str">
        <f>IF(OR($B123="",H$7=""),"",IF($B123="MEANS",INDEX('1-DATA'!$1:$1048576,$A122-1,COLUMN('1-DATA'!G121)),ROUND(INDEX('1-DATA'!$1:$1048576,IF(OR($B123="STD. DEVIATION",$C$1=1),$A123,$A123+1),COLUMN('1-DATA'!G121)),IF($B123="STD. DEVIATION",2,$F$1))))</f>
        <v/>
      </c>
      <c r="I123" s="1" t="str">
        <f>IF(OR($B123="",I$7=""),"",IF($B123="MEANS",INDEX('1-DATA'!$1:$1048576,$A122-1,COLUMN('1-DATA'!H121)),ROUND(INDEX('1-DATA'!$1:$1048576,IF(OR($B123="STD. DEVIATION",$C$1=1),$A123,$A123+1),COLUMN('1-DATA'!H121)),IF($B123="STD. DEVIATION",2,$F$1))))</f>
        <v/>
      </c>
      <c r="J123" s="1" t="str">
        <f>IF(OR($B123="",J$7=""),"",IF($B123="MEANS",INDEX('1-DATA'!$1:$1048576,$A122-1,COLUMN('1-DATA'!I121)),ROUND(INDEX('1-DATA'!$1:$1048576,IF(OR($B123="STD. DEVIATION",$C$1=1),$A123,$A123+1),COLUMN('1-DATA'!I121)),IF($B123="STD. DEVIATION",2,$F$1))))</f>
        <v/>
      </c>
      <c r="K123" s="1" t="str">
        <f>IF(OR($B123="",K$7=""),"",IF($B123="MEANS",INDEX('1-DATA'!$1:$1048576,$A122-1,COLUMN('1-DATA'!J121)),ROUND(INDEX('1-DATA'!$1:$1048576,IF(OR($B123="STD. DEVIATION",$C$1=1),$A123,$A123+1),COLUMN('1-DATA'!J121)),IF($B123="STD. DEVIATION",2,$F$1))))</f>
        <v/>
      </c>
      <c r="L123" s="1" t="str">
        <f>IF(OR($B123="",L$7=""),"",IF($B123="MEANS",INDEX('1-DATA'!$1:$1048576,$A122-1,COLUMN('1-DATA'!K121)),ROUND(INDEX('1-DATA'!$1:$1048576,IF(OR($B123="STD. DEVIATION",$C$1=1),$A123,$A123+1),COLUMN('1-DATA'!K121)),IF($B123="STD. DEVIATION",2,$F$1))))</f>
        <v/>
      </c>
      <c r="M123" s="1" t="str">
        <f>IF(OR($B123="",M$7=""),"",IF($B123="MEANS",INDEX('1-DATA'!$1:$1048576,$A122-1,COLUMN('1-DATA'!L121)),ROUND(INDEX('1-DATA'!$1:$1048576,IF(OR($B123="STD. DEVIATION",$C$1=1),$A123,$A123+1),COLUMN('1-DATA'!L121)),IF($B123="STD. DEVIATION",2,$F$1))))</f>
        <v/>
      </c>
      <c r="N123" s="1" t="str">
        <f>IF(OR($B123="",N$7=""),"",IF($B123="MEANS",INDEX('1-DATA'!$1:$1048576,$A122-1,COLUMN('1-DATA'!M121)),ROUND(INDEX('1-DATA'!$1:$1048576,IF(OR($B123="STD. DEVIATION",$C$1=1),$A123,$A123+1),COLUMN('1-DATA'!M121)),IF($B123="STD. DEVIATION",2,$F$1))))</f>
        <v/>
      </c>
      <c r="O123" s="1" t="str">
        <f>IF(OR($B123="",O$7=""),"",IF($B123="MEANS",INDEX('1-DATA'!$1:$1048576,$A122-1,COLUMN('1-DATA'!N121)),ROUND(INDEX('1-DATA'!$1:$1048576,IF(OR($B123="STD. DEVIATION",$C$1=1),$A123,$A123+1),COLUMN('1-DATA'!N121)),IF($B123="STD. DEVIATION",2,$F$1))))</f>
        <v/>
      </c>
      <c r="P123" s="1" t="str">
        <f>IF(OR($B123="",P$7=""),"",IF($B123="MEANS",INDEX('1-DATA'!$1:$1048576,$A122-1,COLUMN('1-DATA'!O121)),ROUND(INDEX('1-DATA'!$1:$1048576,IF(OR($B123="STD. DEVIATION",$C$1=1),$A123,$A123+1),COLUMN('1-DATA'!O121)),IF($B123="STD. DEVIATION",2,$F$1))))</f>
        <v/>
      </c>
      <c r="Q123" s="1" t="str">
        <f>IF(OR($B123="",Q$7=""),"",IF($B123="MEANS",INDEX('1-DATA'!$1:$1048576,$A122-1,COLUMN('1-DATA'!P121)),ROUND(INDEX('1-DATA'!$1:$1048576,IF(OR($B123="STD. DEVIATION",$C$1=1),$A123,$A123+1),COLUMN('1-DATA'!P121)),IF($B123="STD. DEVIATION",2,$F$1))))</f>
        <v/>
      </c>
      <c r="R123" s="1" t="str">
        <f>IF(OR($B123="",R$7=""),"",IF($B123="MEANS",INDEX('1-DATA'!$1:$1048576,$A122-1,COLUMN('1-DATA'!Q121)),ROUND(INDEX('1-DATA'!$1:$1048576,IF(OR($B123="STD. DEVIATION",$C$1=1),$A123,$A123+1),COLUMN('1-DATA'!Q121)),IF($B123="STD. DEVIATION",2,$F$1))))</f>
        <v/>
      </c>
      <c r="S123" s="1" t="str">
        <f>IF(OR($B123="",S$7=""),"",IF($B123="MEANS",INDEX('1-DATA'!$1:$1048576,$A122-1,COLUMN('1-DATA'!R121)),ROUND(INDEX('1-DATA'!$1:$1048576,IF(OR($B123="STD. DEVIATION",$C$1=1),$A123,$A123+1),COLUMN('1-DATA'!R121)),IF($B123="STD. DEVIATION",2,$F$1))))</f>
        <v/>
      </c>
      <c r="T123" s="1" t="str">
        <f>IF(OR($B123="",T$7=""),"",IF($B123="MEANS",INDEX('1-DATA'!$1:$1048576,$A122-1,COLUMN('1-DATA'!S121)),ROUND(INDEX('1-DATA'!$1:$1048576,IF(OR($B123="STD. DEVIATION",$C$1=1),$A123,$A123+1),COLUMN('1-DATA'!S121)),IF($B123="STD. DEVIATION",2,$F$1))))</f>
        <v/>
      </c>
      <c r="U123" s="1" t="str">
        <f>IF(OR($B123="",U$7=""),"",IF($B123="MEANS",INDEX('1-DATA'!$1:$1048576,$A122-1,COLUMN('1-DATA'!T121)),ROUND(INDEX('1-DATA'!$1:$1048576,IF(OR($B123="STD. DEVIATION",$C$1=1),$A123,$A123+1),COLUMN('1-DATA'!T121)),IF($B123="STD. DEVIATION",2,$F$1))))</f>
        <v/>
      </c>
      <c r="V123" s="1" t="str">
        <f>IF(OR($B123="",V$7=""),"",IF($B123="MEANS",INDEX('1-DATA'!$1:$1048576,$A122-1,COLUMN('1-DATA'!U121)),ROUND(INDEX('1-DATA'!$1:$1048576,IF(OR($B123="STD. DEVIATION",$C$1=1),$A123,$A123+1),COLUMN('1-DATA'!U121)),IF($B123="STD. DEVIATION",2,$F$1))))</f>
        <v/>
      </c>
      <c r="W123" s="1" t="str">
        <f>IF(OR($B123="",W$7=""),"",IF($B123="MEANS",INDEX('1-DATA'!$1:$1048576,$A122-1,COLUMN('1-DATA'!V121)),ROUND(INDEX('1-DATA'!$1:$1048576,IF(OR($B123="STD. DEVIATION",$C$1=1),$A123,$A123+1),COLUMN('1-DATA'!V121)),IF($B123="STD. DEVIATION",2,$F$1))))</f>
        <v/>
      </c>
      <c r="X123" s="1" t="str">
        <f>IF(OR($B123="",X$7=""),"",IF($B123="MEANS",INDEX('1-DATA'!$1:$1048576,$A122-1,COLUMN('1-DATA'!W121)),ROUND(INDEX('1-DATA'!$1:$1048576,IF(OR($B123="STD. DEVIATION",$C$1=1),$A123,$A123+1),COLUMN('1-DATA'!W121)),IF($B123="STD. DEVIATION",2,$F$1))))</f>
        <v/>
      </c>
      <c r="Y123" s="1" t="str">
        <f>IF(OR($B123="",Y$7=""),"",IF($B123="MEANS",INDEX('1-DATA'!$1:$1048576,$A122-1,COLUMN('1-DATA'!X121)),ROUND(INDEX('1-DATA'!$1:$1048576,IF(OR($B123="STD. DEVIATION",$C$1=1),$A123,$A123+1),COLUMN('1-DATA'!X121)),IF($B123="STD. DEVIATION",2,$F$1))))</f>
        <v/>
      </c>
      <c r="Z123" s="1" t="str">
        <f>IF(OR($B123="",Z$7=""),"",IF($B123="MEANS",INDEX('1-DATA'!$1:$1048576,$A122-1,COLUMN('1-DATA'!Y121)),ROUND(INDEX('1-DATA'!$1:$1048576,IF(OR($B123="STD. DEVIATION",$C$1=1),$A123,$A123+1),COLUMN('1-DATA'!Y121)),IF($B123="STD. DEVIATION",2,$F$1))))</f>
        <v/>
      </c>
      <c r="AA123" s="1" t="str">
        <f>IF(OR($B123="",AA$7=""),"",IF($B123="MEANS",INDEX('1-DATA'!$1:$1048576,$A122-1,COLUMN('1-DATA'!Z121)),ROUND(INDEX('1-DATA'!$1:$1048576,IF(OR($B123="STD. DEVIATION",$C$1=1),$A123,$A123+1),COLUMN('1-DATA'!Z121)),IF($B123="STD. DEVIATION",2,$F$1))))</f>
        <v/>
      </c>
      <c r="AB123" s="1" t="str">
        <f>IF(OR($B123="",AB$7=""),"",IF($B123="MEANS",INDEX('1-DATA'!$1:$1048576,$A122-1,COLUMN('1-DATA'!AA121)),ROUND(INDEX('1-DATA'!$1:$1048576,IF(OR($B123="STD. DEVIATION",$C$1=1),$A123,$A123+1),COLUMN('1-DATA'!AA121)),IF($B123="STD. DEVIATION",2,$F$1))))</f>
        <v/>
      </c>
      <c r="AC123" s="1" t="str">
        <f>IF(OR($B123="",AC$7=""),"",IF($B123="MEANS",INDEX('1-DATA'!$1:$1048576,$A122-1,COLUMN('1-DATA'!AB121)),ROUND(INDEX('1-DATA'!$1:$1048576,IF(OR($B123="STD. DEVIATION",$C$1=1),$A123,$A123+1),COLUMN('1-DATA'!AB121)),IF($B123="STD. DEVIATION",2,$F$1))))</f>
        <v/>
      </c>
      <c r="AD123" s="1" t="str">
        <f>IF(OR($B123="",AD$7=""),"",IF($B123="MEANS",INDEX('1-DATA'!$1:$1048576,$A122-1,COLUMN('1-DATA'!AC121)),ROUND(INDEX('1-DATA'!$1:$1048576,IF(OR($B123="STD. DEVIATION",$C$1=1),$A123,$A123+1),COLUMN('1-DATA'!AC121)),IF($B123="STD. DEVIATION",2,$F$1))))</f>
        <v/>
      </c>
      <c r="AE123" s="1" t="str">
        <f>IF(OR($B123="",AE$7=""),"",IF($B123="MEANS",INDEX('1-DATA'!$1:$1048576,$A122-1,COLUMN('1-DATA'!AD121)),ROUND(INDEX('1-DATA'!$1:$1048576,IF(OR($B123="STD. DEVIATION",$C$1=1),$A123,$A123+1),COLUMN('1-DATA'!AD121)),IF($B123="STD. DEVIATION",2,$F$1))))</f>
        <v/>
      </c>
      <c r="AF123" s="1" t="str">
        <f>IF(OR($B123="",AF$7=""),"",IF($B123="MEANS",INDEX('1-DATA'!$1:$1048576,$A122-1,COLUMN('1-DATA'!AE121)),ROUND(INDEX('1-DATA'!$1:$1048576,IF(OR($B123="STD. DEVIATION",$C$1=1),$A123,$A123+1),COLUMN('1-DATA'!AE121)),IF($B123="STD. DEVIATION",2,$F$1))))</f>
        <v/>
      </c>
      <c r="AG123" s="1" t="str">
        <f>IF(OR($B123="",AG$7=""),"",IF($B123="MEANS",INDEX('1-DATA'!$1:$1048576,$A122-1,COLUMN('1-DATA'!AF121)),ROUND(INDEX('1-DATA'!$1:$1048576,IF(OR($B123="STD. DEVIATION",$C$1=1),$A123,$A123+1),COLUMN('1-DATA'!AF121)),IF($B123="STD. DEVIATION",2,$F$1))))</f>
        <v/>
      </c>
      <c r="AH123" s="1" t="str">
        <f>IF(OR($B123="",AH$7=""),"",IF($B123="MEANS",INDEX('1-DATA'!$1:$1048576,$A122-1,COLUMN('1-DATA'!AG121)),ROUND(INDEX('1-DATA'!$1:$1048576,IF(OR($B123="STD. DEVIATION",$C$1=1),$A123,$A123+1),COLUMN('1-DATA'!AG121)),IF($B123="STD. DEVIATION",2,$F$1))))</f>
        <v/>
      </c>
      <c r="AI123" s="1" t="str">
        <f>IF(OR($B123="",AI$7=""),"",IF($B123="MEANS",INDEX('1-DATA'!$1:$1048576,$A122-1,COLUMN('1-DATA'!AH121)),ROUND(INDEX('1-DATA'!$1:$1048576,IF(OR($B123="STD. DEVIATION",$C$1=1),$A123,$A123+1),COLUMN('1-DATA'!AH121)),IF($B123="STD. DEVIATION",2,$F$1))))</f>
        <v/>
      </c>
      <c r="AJ123" s="1" t="str">
        <f>IF(OR($B123="",AJ$7=""),"",IF($B123="MEANS",INDEX('1-DATA'!$1:$1048576,$A122-1,COLUMN('1-DATA'!AI121)),ROUND(INDEX('1-DATA'!$1:$1048576,IF(OR($B123="STD. DEVIATION",$C$1=1),$A123,$A123+1),COLUMN('1-DATA'!AI121)),IF($B123="STD. DEVIATION",2,$F$1))))</f>
        <v/>
      </c>
      <c r="AK123" s="1" t="str">
        <f>IF(OR($B123="",AK$7=""),"",IF($B123="MEANS",INDEX('1-DATA'!$1:$1048576,$A122-1,COLUMN('1-DATA'!AJ121)),ROUND(INDEX('1-DATA'!$1:$1048576,IF(OR($B123="STD. DEVIATION",$C$1=1),$A123,$A123+1),COLUMN('1-DATA'!AJ121)),IF($B123="STD. DEVIATION",2,$F$1))))</f>
        <v/>
      </c>
      <c r="AL123" s="1" t="str">
        <f>IF(OR($B123="",AL$7=""),"",IF($B123="MEANS",INDEX('1-DATA'!$1:$1048576,$A122-1,COLUMN('1-DATA'!AK121)),ROUND(INDEX('1-DATA'!$1:$1048576,IF(OR($B123="STD. DEVIATION",$C$1=1),$A123,$A123+1),COLUMN('1-DATA'!AK121)),IF($B123="STD. DEVIATION",2,$F$1))))</f>
        <v/>
      </c>
      <c r="AM123" s="1" t="str">
        <f>IF(OR($B123="",AM$7=""),"",IF($B123="MEANS",INDEX('1-DATA'!$1:$1048576,$A122-1,COLUMN('1-DATA'!AL121)),ROUND(INDEX('1-DATA'!$1:$1048576,IF(OR($B123="STD. DEVIATION",$C$1=1),$A123,$A123+1),COLUMN('1-DATA'!AL121)),IF($B123="STD. DEVIATION",2,$F$1))))</f>
        <v/>
      </c>
      <c r="AN123" s="1" t="str">
        <f>IF(OR($B123="",AN$7=""),"",IF($B123="MEANS",INDEX('1-DATA'!$1:$1048576,$A122-1,COLUMN('1-DATA'!AM121)),ROUND(INDEX('1-DATA'!$1:$1048576,IF(OR($B123="STD. DEVIATION",$C$1=1),$A123,$A123+1),COLUMN('1-DATA'!AM121)),IF($B123="STD. DEVIATION",2,$F$1))))</f>
        <v/>
      </c>
      <c r="AO123" s="1" t="str">
        <f>IF(OR($B123="",AO$7=""),"",IF($B123="MEANS",INDEX('1-DATA'!$1:$1048576,$A122-1,COLUMN('1-DATA'!AN121)),ROUND(INDEX('1-DATA'!$1:$1048576,IF(OR($B123="STD. DEVIATION",$C$1=1),$A123,$A123+1),COLUMN('1-DATA'!AN121)),IF($B123="STD. DEVIATION",2,$F$1))))</f>
        <v/>
      </c>
      <c r="AP123" s="1" t="str">
        <f>IF(OR($B123="",AP$7=""),"",IF($B123="MEANS",INDEX('1-DATA'!$1:$1048576,$A122-1,COLUMN('1-DATA'!AO121)),ROUND(INDEX('1-DATA'!$1:$1048576,IF(OR($B123="STD. DEVIATION",$C$1=1),$A123,$A123+1),COLUMN('1-DATA'!AO121)),IF($B123="STD. DEVIATION",2,$F$1))))</f>
        <v/>
      </c>
      <c r="AQ123" s="1" t="str">
        <f>IF(OR($B123="",AQ$7=""),"",IF($B123="MEANS",INDEX('1-DATA'!$1:$1048576,$A122-1,COLUMN('1-DATA'!AP121)),ROUND(INDEX('1-DATA'!$1:$1048576,IF(OR($B123="STD. DEVIATION",$C$1=1),$A123,$A123+1),COLUMN('1-DATA'!AP121)),IF($B123="STD. DEVIATION",2,$F$1))))</f>
        <v/>
      </c>
      <c r="AR123" s="1" t="str">
        <f>IF(OR($B123="",AR$7=""),"",IF($B123="MEANS",INDEX('1-DATA'!$1:$1048576,$A122-1,COLUMN('1-DATA'!AQ121)),ROUND(INDEX('1-DATA'!$1:$1048576,IF(OR($B123="STD. DEVIATION",$C$1=1),$A123,$A123+1),COLUMN('1-DATA'!AQ121)),IF($B123="STD. DEVIATION",2,$F$1))))</f>
        <v/>
      </c>
      <c r="AS123" s="1" t="str">
        <f>IF(OR($B123="",AS$7=""),"",IF($B123="MEANS",INDEX('1-DATA'!$1:$1048576,$A122-1,COLUMN('1-DATA'!AR121)),ROUND(INDEX('1-DATA'!$1:$1048576,IF(OR($B123="STD. DEVIATION",$C$1=1),$A123,$A123+1),COLUMN('1-DATA'!AR121)),IF($B123="STD. DEVIATION",2,$F$1))))</f>
        <v/>
      </c>
      <c r="AT123" s="1" t="str">
        <f>IF(OR($B123="",AT$7=""),"",IF($B123="MEANS",INDEX('1-DATA'!$1:$1048576,$A122-1,COLUMN('1-DATA'!AS121)),ROUND(INDEX('1-DATA'!$1:$1048576,IF(OR($B123="STD. DEVIATION",$C$1=1),$A123,$A123+1),COLUMN('1-DATA'!AS121)),IF($B123="STD. DEVIATION",2,$F$1))))</f>
        <v/>
      </c>
      <c r="AU123" s="1" t="str">
        <f>IF(OR($B123="",AU$7=""),"",IF($B123="MEANS",INDEX('1-DATA'!$1:$1048576,$A122-1,COLUMN('1-DATA'!AT121)),ROUND(INDEX('1-DATA'!$1:$1048576,IF(OR($B123="STD. DEVIATION",$C$1=1),$A123,$A123+1),COLUMN('1-DATA'!AT121)),IF($B123="STD. DEVIATION",2,$F$1))))</f>
        <v/>
      </c>
      <c r="AV123" s="1" t="str">
        <f>IF(OR($B123="",AV$7=""),"",IF($B123="MEANS",INDEX('1-DATA'!$1:$1048576,$A122-1,COLUMN('1-DATA'!AU121)),ROUND(INDEX('1-DATA'!$1:$1048576,IF(OR($B123="STD. DEVIATION",$C$1=1),$A123,$A123+1),COLUMN('1-DATA'!AU121)),IF($B123="STD. DEVIATION",2,$F$1))))</f>
        <v/>
      </c>
      <c r="AW123" s="1" t="str">
        <f>IF(OR($B123="",AW$7=""),"",IF($B123="MEANS",INDEX('1-DATA'!$1:$1048576,$A122-1,COLUMN('1-DATA'!AV121)),ROUND(INDEX('1-DATA'!$1:$1048576,IF(OR($B123="STD. DEVIATION",$C$1=1),$A123,$A123+1),COLUMN('1-DATA'!AV121)),IF($B123="STD. DEVIATION",2,$F$1))))</f>
        <v/>
      </c>
      <c r="AX123" s="1" t="str">
        <f>IF(OR($B123="",AX$7=""),"",IF($B123="MEANS",INDEX('1-DATA'!$1:$1048576,$A122-1,COLUMN('1-DATA'!AW121)),ROUND(INDEX('1-DATA'!$1:$1048576,IF(OR($B123="STD. DEVIATION",$C$1=1),$A123,$A123+1),COLUMN('1-DATA'!AW121)),IF($B123="STD. DEVIATION",2,$F$1))))</f>
        <v/>
      </c>
      <c r="AY123" s="1" t="str">
        <f>IF(OR($B123="",AY$7=""),"",IF($B123="MEANS",INDEX('1-DATA'!$1:$1048576,$A122-1,COLUMN('1-DATA'!AX121)),ROUND(INDEX('1-DATA'!$1:$1048576,IF(OR($B123="STD. DEVIATION",$C$1=1),$A123,$A123+1),COLUMN('1-DATA'!AX121)),IF($B123="STD. DEVIATION",2,$F$1))))</f>
        <v/>
      </c>
      <c r="AZ123" s="1" t="str">
        <f>IF(OR($B123="",AZ$7=""),"",IF($B123="MEANS",INDEX('1-DATA'!$1:$1048576,$A122-1,COLUMN('1-DATA'!AY121)),ROUND(INDEX('1-DATA'!$1:$1048576,IF(OR($B123="STD. DEVIATION",$C$1=1),$A123,$A123+1),COLUMN('1-DATA'!AY121)),IF($B123="STD. DEVIATION",2,$F$1))))</f>
        <v/>
      </c>
    </row>
    <row r="124" spans="1:52" x14ac:dyDescent="0.25">
      <c r="A124" s="11">
        <f t="shared" si="2"/>
        <v>358</v>
      </c>
      <c r="B124" s="1" t="str">
        <f>IF(B123="STD. DEVIATION",INDEX('1-DATA'!$1:$1048576,$A123-1,1),IF(INDEX('1-DATA'!$1:$1048576,$A124,1)&lt;&gt;"",INDEX('1-DATA'!$1:$1048576,$A124,1),""))</f>
        <v/>
      </c>
      <c r="C124" s="1" t="str">
        <f>IF(OR($B124="",C$7=""),"",IF($B124="MEANS",INDEX('1-DATA'!$1:$1048576,$A123-1,COLUMN('1-DATA'!B122)),ROUND(INDEX('1-DATA'!$1:$1048576,IF(OR($B124="STD. DEVIATION",$C$1=1),$A124,$A124+1),COLUMN('1-DATA'!B122)),IF($B124="STD. DEVIATION",2,$F$1))))</f>
        <v/>
      </c>
      <c r="D124" s="1" t="str">
        <f>IF(OR($B124="",D$7=""),"",IF($B124="MEANS",INDEX('1-DATA'!$1:$1048576,$A123-1,COLUMN('1-DATA'!C122)),ROUND(INDEX('1-DATA'!$1:$1048576,IF(OR($B124="STD. DEVIATION",$C$1=1),$A124,$A124+1),COLUMN('1-DATA'!C122)),IF($B124="STD. DEVIATION",2,$F$1))))</f>
        <v/>
      </c>
      <c r="E124" s="1" t="str">
        <f>IF(OR($B124="",E$7=""),"",IF($B124="MEANS",INDEX('1-DATA'!$1:$1048576,$A123-1,COLUMN('1-DATA'!D122)),ROUND(INDEX('1-DATA'!$1:$1048576,IF(OR($B124="STD. DEVIATION",$C$1=1),$A124,$A124+1),COLUMN('1-DATA'!D122)),IF($B124="STD. DEVIATION",2,$F$1))))</f>
        <v/>
      </c>
      <c r="F124" s="1" t="str">
        <f>IF(OR($B124="",F$7=""),"",IF($B124="MEANS",INDEX('1-DATA'!$1:$1048576,$A123-1,COLUMN('1-DATA'!E122)),ROUND(INDEX('1-DATA'!$1:$1048576,IF(OR($B124="STD. DEVIATION",$C$1=1),$A124,$A124+1),COLUMN('1-DATA'!E122)),IF($B124="STD. DEVIATION",2,$F$1))))</f>
        <v/>
      </c>
      <c r="G124" s="1" t="str">
        <f>IF(OR($B124="",G$7=""),"",IF($B124="MEANS",INDEX('1-DATA'!$1:$1048576,$A123-1,COLUMN('1-DATA'!F122)),ROUND(INDEX('1-DATA'!$1:$1048576,IF(OR($B124="STD. DEVIATION",$C$1=1),$A124,$A124+1),COLUMN('1-DATA'!F122)),IF($B124="STD. DEVIATION",2,$F$1))))</f>
        <v/>
      </c>
      <c r="H124" s="1" t="str">
        <f>IF(OR($B124="",H$7=""),"",IF($B124="MEANS",INDEX('1-DATA'!$1:$1048576,$A123-1,COLUMN('1-DATA'!G122)),ROUND(INDEX('1-DATA'!$1:$1048576,IF(OR($B124="STD. DEVIATION",$C$1=1),$A124,$A124+1),COLUMN('1-DATA'!G122)),IF($B124="STD. DEVIATION",2,$F$1))))</f>
        <v/>
      </c>
      <c r="I124" s="1" t="str">
        <f>IF(OR($B124="",I$7=""),"",IF($B124="MEANS",INDEX('1-DATA'!$1:$1048576,$A123-1,COLUMN('1-DATA'!H122)),ROUND(INDEX('1-DATA'!$1:$1048576,IF(OR($B124="STD. DEVIATION",$C$1=1),$A124,$A124+1),COLUMN('1-DATA'!H122)),IF($B124="STD. DEVIATION",2,$F$1))))</f>
        <v/>
      </c>
      <c r="J124" s="1" t="str">
        <f>IF(OR($B124="",J$7=""),"",IF($B124="MEANS",INDEX('1-DATA'!$1:$1048576,$A123-1,COLUMN('1-DATA'!I122)),ROUND(INDEX('1-DATA'!$1:$1048576,IF(OR($B124="STD. DEVIATION",$C$1=1),$A124,$A124+1),COLUMN('1-DATA'!I122)),IF($B124="STD. DEVIATION",2,$F$1))))</f>
        <v/>
      </c>
      <c r="K124" s="1" t="str">
        <f>IF(OR($B124="",K$7=""),"",IF($B124="MEANS",INDEX('1-DATA'!$1:$1048576,$A123-1,COLUMN('1-DATA'!J122)),ROUND(INDEX('1-DATA'!$1:$1048576,IF(OR($B124="STD. DEVIATION",$C$1=1),$A124,$A124+1),COLUMN('1-DATA'!J122)),IF($B124="STD. DEVIATION",2,$F$1))))</f>
        <v/>
      </c>
      <c r="L124" s="1" t="str">
        <f>IF(OR($B124="",L$7=""),"",IF($B124="MEANS",INDEX('1-DATA'!$1:$1048576,$A123-1,COLUMN('1-DATA'!K122)),ROUND(INDEX('1-DATA'!$1:$1048576,IF(OR($B124="STD. DEVIATION",$C$1=1),$A124,$A124+1),COLUMN('1-DATA'!K122)),IF($B124="STD. DEVIATION",2,$F$1))))</f>
        <v/>
      </c>
      <c r="M124" s="1" t="str">
        <f>IF(OR($B124="",M$7=""),"",IF($B124="MEANS",INDEX('1-DATA'!$1:$1048576,$A123-1,COLUMN('1-DATA'!L122)),ROUND(INDEX('1-DATA'!$1:$1048576,IF(OR($B124="STD. DEVIATION",$C$1=1),$A124,$A124+1),COLUMN('1-DATA'!L122)),IF($B124="STD. DEVIATION",2,$F$1))))</f>
        <v/>
      </c>
      <c r="N124" s="1" t="str">
        <f>IF(OR($B124="",N$7=""),"",IF($B124="MEANS",INDEX('1-DATA'!$1:$1048576,$A123-1,COLUMN('1-DATA'!M122)),ROUND(INDEX('1-DATA'!$1:$1048576,IF(OR($B124="STD. DEVIATION",$C$1=1),$A124,$A124+1),COLUMN('1-DATA'!M122)),IF($B124="STD. DEVIATION",2,$F$1))))</f>
        <v/>
      </c>
      <c r="O124" s="1" t="str">
        <f>IF(OR($B124="",O$7=""),"",IF($B124="MEANS",INDEX('1-DATA'!$1:$1048576,$A123-1,COLUMN('1-DATA'!N122)),ROUND(INDEX('1-DATA'!$1:$1048576,IF(OR($B124="STD. DEVIATION",$C$1=1),$A124,$A124+1),COLUMN('1-DATA'!N122)),IF($B124="STD. DEVIATION",2,$F$1))))</f>
        <v/>
      </c>
      <c r="P124" s="1" t="str">
        <f>IF(OR($B124="",P$7=""),"",IF($B124="MEANS",INDEX('1-DATA'!$1:$1048576,$A123-1,COLUMN('1-DATA'!O122)),ROUND(INDEX('1-DATA'!$1:$1048576,IF(OR($B124="STD. DEVIATION",$C$1=1),$A124,$A124+1),COLUMN('1-DATA'!O122)),IF($B124="STD. DEVIATION",2,$F$1))))</f>
        <v/>
      </c>
      <c r="Q124" s="1" t="str">
        <f>IF(OR($B124="",Q$7=""),"",IF($B124="MEANS",INDEX('1-DATA'!$1:$1048576,$A123-1,COLUMN('1-DATA'!P122)),ROUND(INDEX('1-DATA'!$1:$1048576,IF(OR($B124="STD. DEVIATION",$C$1=1),$A124,$A124+1),COLUMN('1-DATA'!P122)),IF($B124="STD. DEVIATION",2,$F$1))))</f>
        <v/>
      </c>
      <c r="R124" s="1" t="str">
        <f>IF(OR($B124="",R$7=""),"",IF($B124="MEANS",INDEX('1-DATA'!$1:$1048576,$A123-1,COLUMN('1-DATA'!Q122)),ROUND(INDEX('1-DATA'!$1:$1048576,IF(OR($B124="STD. DEVIATION",$C$1=1),$A124,$A124+1),COLUMN('1-DATA'!Q122)),IF($B124="STD. DEVIATION",2,$F$1))))</f>
        <v/>
      </c>
      <c r="S124" s="1" t="str">
        <f>IF(OR($B124="",S$7=""),"",IF($B124="MEANS",INDEX('1-DATA'!$1:$1048576,$A123-1,COLUMN('1-DATA'!R122)),ROUND(INDEX('1-DATA'!$1:$1048576,IF(OR($B124="STD. DEVIATION",$C$1=1),$A124,$A124+1),COLUMN('1-DATA'!R122)),IF($B124="STD. DEVIATION",2,$F$1))))</f>
        <v/>
      </c>
      <c r="T124" s="1" t="str">
        <f>IF(OR($B124="",T$7=""),"",IF($B124="MEANS",INDEX('1-DATA'!$1:$1048576,$A123-1,COLUMN('1-DATA'!S122)),ROUND(INDEX('1-DATA'!$1:$1048576,IF(OR($B124="STD. DEVIATION",$C$1=1),$A124,$A124+1),COLUMN('1-DATA'!S122)),IF($B124="STD. DEVIATION",2,$F$1))))</f>
        <v/>
      </c>
      <c r="U124" s="1" t="str">
        <f>IF(OR($B124="",U$7=""),"",IF($B124="MEANS",INDEX('1-DATA'!$1:$1048576,$A123-1,COLUMN('1-DATA'!T122)),ROUND(INDEX('1-DATA'!$1:$1048576,IF(OR($B124="STD. DEVIATION",$C$1=1),$A124,$A124+1),COLUMN('1-DATA'!T122)),IF($B124="STD. DEVIATION",2,$F$1))))</f>
        <v/>
      </c>
      <c r="V124" s="1" t="str">
        <f>IF(OR($B124="",V$7=""),"",IF($B124="MEANS",INDEX('1-DATA'!$1:$1048576,$A123-1,COLUMN('1-DATA'!U122)),ROUND(INDEX('1-DATA'!$1:$1048576,IF(OR($B124="STD. DEVIATION",$C$1=1),$A124,$A124+1),COLUMN('1-DATA'!U122)),IF($B124="STD. DEVIATION",2,$F$1))))</f>
        <v/>
      </c>
      <c r="W124" s="1" t="str">
        <f>IF(OR($B124="",W$7=""),"",IF($B124="MEANS",INDEX('1-DATA'!$1:$1048576,$A123-1,COLUMN('1-DATA'!V122)),ROUND(INDEX('1-DATA'!$1:$1048576,IF(OR($B124="STD. DEVIATION",$C$1=1),$A124,$A124+1),COLUMN('1-DATA'!V122)),IF($B124="STD. DEVIATION",2,$F$1))))</f>
        <v/>
      </c>
      <c r="X124" s="1" t="str">
        <f>IF(OR($B124="",X$7=""),"",IF($B124="MEANS",INDEX('1-DATA'!$1:$1048576,$A123-1,COLUMN('1-DATA'!W122)),ROUND(INDEX('1-DATA'!$1:$1048576,IF(OR($B124="STD. DEVIATION",$C$1=1),$A124,$A124+1),COLUMN('1-DATA'!W122)),IF($B124="STD. DEVIATION",2,$F$1))))</f>
        <v/>
      </c>
      <c r="Y124" s="1" t="str">
        <f>IF(OR($B124="",Y$7=""),"",IF($B124="MEANS",INDEX('1-DATA'!$1:$1048576,$A123-1,COLUMN('1-DATA'!X122)),ROUND(INDEX('1-DATA'!$1:$1048576,IF(OR($B124="STD. DEVIATION",$C$1=1),$A124,$A124+1),COLUMN('1-DATA'!X122)),IF($B124="STD. DEVIATION",2,$F$1))))</f>
        <v/>
      </c>
      <c r="Z124" s="1" t="str">
        <f>IF(OR($B124="",Z$7=""),"",IF($B124="MEANS",INDEX('1-DATA'!$1:$1048576,$A123-1,COLUMN('1-DATA'!Y122)),ROUND(INDEX('1-DATA'!$1:$1048576,IF(OR($B124="STD. DEVIATION",$C$1=1),$A124,$A124+1),COLUMN('1-DATA'!Y122)),IF($B124="STD. DEVIATION",2,$F$1))))</f>
        <v/>
      </c>
      <c r="AA124" s="1" t="str">
        <f>IF(OR($B124="",AA$7=""),"",IF($B124="MEANS",INDEX('1-DATA'!$1:$1048576,$A123-1,COLUMN('1-DATA'!Z122)),ROUND(INDEX('1-DATA'!$1:$1048576,IF(OR($B124="STD. DEVIATION",$C$1=1),$A124,$A124+1),COLUMN('1-DATA'!Z122)),IF($B124="STD. DEVIATION",2,$F$1))))</f>
        <v/>
      </c>
      <c r="AB124" s="1" t="str">
        <f>IF(OR($B124="",AB$7=""),"",IF($B124="MEANS",INDEX('1-DATA'!$1:$1048576,$A123-1,COLUMN('1-DATA'!AA122)),ROUND(INDEX('1-DATA'!$1:$1048576,IF(OR($B124="STD. DEVIATION",$C$1=1),$A124,$A124+1),COLUMN('1-DATA'!AA122)),IF($B124="STD. DEVIATION",2,$F$1))))</f>
        <v/>
      </c>
      <c r="AC124" s="1" t="str">
        <f>IF(OR($B124="",AC$7=""),"",IF($B124="MEANS",INDEX('1-DATA'!$1:$1048576,$A123-1,COLUMN('1-DATA'!AB122)),ROUND(INDEX('1-DATA'!$1:$1048576,IF(OR($B124="STD. DEVIATION",$C$1=1),$A124,$A124+1),COLUMN('1-DATA'!AB122)),IF($B124="STD. DEVIATION",2,$F$1))))</f>
        <v/>
      </c>
      <c r="AD124" s="1" t="str">
        <f>IF(OR($B124="",AD$7=""),"",IF($B124="MEANS",INDEX('1-DATA'!$1:$1048576,$A123-1,COLUMN('1-DATA'!AC122)),ROUND(INDEX('1-DATA'!$1:$1048576,IF(OR($B124="STD. DEVIATION",$C$1=1),$A124,$A124+1),COLUMN('1-DATA'!AC122)),IF($B124="STD. DEVIATION",2,$F$1))))</f>
        <v/>
      </c>
      <c r="AE124" s="1" t="str">
        <f>IF(OR($B124="",AE$7=""),"",IF($B124="MEANS",INDEX('1-DATA'!$1:$1048576,$A123-1,COLUMN('1-DATA'!AD122)),ROUND(INDEX('1-DATA'!$1:$1048576,IF(OR($B124="STD. DEVIATION",$C$1=1),$A124,$A124+1),COLUMN('1-DATA'!AD122)),IF($B124="STD. DEVIATION",2,$F$1))))</f>
        <v/>
      </c>
      <c r="AF124" s="1" t="str">
        <f>IF(OR($B124="",AF$7=""),"",IF($B124="MEANS",INDEX('1-DATA'!$1:$1048576,$A123-1,COLUMN('1-DATA'!AE122)),ROUND(INDEX('1-DATA'!$1:$1048576,IF(OR($B124="STD. DEVIATION",$C$1=1),$A124,$A124+1),COLUMN('1-DATA'!AE122)),IF($B124="STD. DEVIATION",2,$F$1))))</f>
        <v/>
      </c>
      <c r="AG124" s="1" t="str">
        <f>IF(OR($B124="",AG$7=""),"",IF($B124="MEANS",INDEX('1-DATA'!$1:$1048576,$A123-1,COLUMN('1-DATA'!AF122)),ROUND(INDEX('1-DATA'!$1:$1048576,IF(OR($B124="STD. DEVIATION",$C$1=1),$A124,$A124+1),COLUMN('1-DATA'!AF122)),IF($B124="STD. DEVIATION",2,$F$1))))</f>
        <v/>
      </c>
      <c r="AH124" s="1" t="str">
        <f>IF(OR($B124="",AH$7=""),"",IF($B124="MEANS",INDEX('1-DATA'!$1:$1048576,$A123-1,COLUMN('1-DATA'!AG122)),ROUND(INDEX('1-DATA'!$1:$1048576,IF(OR($B124="STD. DEVIATION",$C$1=1),$A124,$A124+1),COLUMN('1-DATA'!AG122)),IF($B124="STD. DEVIATION",2,$F$1))))</f>
        <v/>
      </c>
      <c r="AI124" s="1" t="str">
        <f>IF(OR($B124="",AI$7=""),"",IF($B124="MEANS",INDEX('1-DATA'!$1:$1048576,$A123-1,COLUMN('1-DATA'!AH122)),ROUND(INDEX('1-DATA'!$1:$1048576,IF(OR($B124="STD. DEVIATION",$C$1=1),$A124,$A124+1),COLUMN('1-DATA'!AH122)),IF($B124="STD. DEVIATION",2,$F$1))))</f>
        <v/>
      </c>
      <c r="AJ124" s="1" t="str">
        <f>IF(OR($B124="",AJ$7=""),"",IF($B124="MEANS",INDEX('1-DATA'!$1:$1048576,$A123-1,COLUMN('1-DATA'!AI122)),ROUND(INDEX('1-DATA'!$1:$1048576,IF(OR($B124="STD. DEVIATION",$C$1=1),$A124,$A124+1),COLUMN('1-DATA'!AI122)),IF($B124="STD. DEVIATION",2,$F$1))))</f>
        <v/>
      </c>
      <c r="AK124" s="1" t="str">
        <f>IF(OR($B124="",AK$7=""),"",IF($B124="MEANS",INDEX('1-DATA'!$1:$1048576,$A123-1,COLUMN('1-DATA'!AJ122)),ROUND(INDEX('1-DATA'!$1:$1048576,IF(OR($B124="STD. DEVIATION",$C$1=1),$A124,$A124+1),COLUMN('1-DATA'!AJ122)),IF($B124="STD. DEVIATION",2,$F$1))))</f>
        <v/>
      </c>
      <c r="AL124" s="1" t="str">
        <f>IF(OR($B124="",AL$7=""),"",IF($B124="MEANS",INDEX('1-DATA'!$1:$1048576,$A123-1,COLUMN('1-DATA'!AK122)),ROUND(INDEX('1-DATA'!$1:$1048576,IF(OR($B124="STD. DEVIATION",$C$1=1),$A124,$A124+1),COLUMN('1-DATA'!AK122)),IF($B124="STD. DEVIATION",2,$F$1))))</f>
        <v/>
      </c>
      <c r="AM124" s="1" t="str">
        <f>IF(OR($B124="",AM$7=""),"",IF($B124="MEANS",INDEX('1-DATA'!$1:$1048576,$A123-1,COLUMN('1-DATA'!AL122)),ROUND(INDEX('1-DATA'!$1:$1048576,IF(OR($B124="STD. DEVIATION",$C$1=1),$A124,$A124+1),COLUMN('1-DATA'!AL122)),IF($B124="STD. DEVIATION",2,$F$1))))</f>
        <v/>
      </c>
      <c r="AN124" s="1" t="str">
        <f>IF(OR($B124="",AN$7=""),"",IF($B124="MEANS",INDEX('1-DATA'!$1:$1048576,$A123-1,COLUMN('1-DATA'!AM122)),ROUND(INDEX('1-DATA'!$1:$1048576,IF(OR($B124="STD. DEVIATION",$C$1=1),$A124,$A124+1),COLUMN('1-DATA'!AM122)),IF($B124="STD. DEVIATION",2,$F$1))))</f>
        <v/>
      </c>
      <c r="AO124" s="1" t="str">
        <f>IF(OR($B124="",AO$7=""),"",IF($B124="MEANS",INDEX('1-DATA'!$1:$1048576,$A123-1,COLUMN('1-DATA'!AN122)),ROUND(INDEX('1-DATA'!$1:$1048576,IF(OR($B124="STD. DEVIATION",$C$1=1),$A124,$A124+1),COLUMN('1-DATA'!AN122)),IF($B124="STD. DEVIATION",2,$F$1))))</f>
        <v/>
      </c>
      <c r="AP124" s="1" t="str">
        <f>IF(OR($B124="",AP$7=""),"",IF($B124="MEANS",INDEX('1-DATA'!$1:$1048576,$A123-1,COLUMN('1-DATA'!AO122)),ROUND(INDEX('1-DATA'!$1:$1048576,IF(OR($B124="STD. DEVIATION",$C$1=1),$A124,$A124+1),COLUMN('1-DATA'!AO122)),IF($B124="STD. DEVIATION",2,$F$1))))</f>
        <v/>
      </c>
      <c r="AQ124" s="1" t="str">
        <f>IF(OR($B124="",AQ$7=""),"",IF($B124="MEANS",INDEX('1-DATA'!$1:$1048576,$A123-1,COLUMN('1-DATA'!AP122)),ROUND(INDEX('1-DATA'!$1:$1048576,IF(OR($B124="STD. DEVIATION",$C$1=1),$A124,$A124+1),COLUMN('1-DATA'!AP122)),IF($B124="STD. DEVIATION",2,$F$1))))</f>
        <v/>
      </c>
      <c r="AR124" s="1" t="str">
        <f>IF(OR($B124="",AR$7=""),"",IF($B124="MEANS",INDEX('1-DATA'!$1:$1048576,$A123-1,COLUMN('1-DATA'!AQ122)),ROUND(INDEX('1-DATA'!$1:$1048576,IF(OR($B124="STD. DEVIATION",$C$1=1),$A124,$A124+1),COLUMN('1-DATA'!AQ122)),IF($B124="STD. DEVIATION",2,$F$1))))</f>
        <v/>
      </c>
      <c r="AS124" s="1" t="str">
        <f>IF(OR($B124="",AS$7=""),"",IF($B124="MEANS",INDEX('1-DATA'!$1:$1048576,$A123-1,COLUMN('1-DATA'!AR122)),ROUND(INDEX('1-DATA'!$1:$1048576,IF(OR($B124="STD. DEVIATION",$C$1=1),$A124,$A124+1),COLUMN('1-DATA'!AR122)),IF($B124="STD. DEVIATION",2,$F$1))))</f>
        <v/>
      </c>
      <c r="AT124" s="1" t="str">
        <f>IF(OR($B124="",AT$7=""),"",IF($B124="MEANS",INDEX('1-DATA'!$1:$1048576,$A123-1,COLUMN('1-DATA'!AS122)),ROUND(INDEX('1-DATA'!$1:$1048576,IF(OR($B124="STD. DEVIATION",$C$1=1),$A124,$A124+1),COLUMN('1-DATA'!AS122)),IF($B124="STD. DEVIATION",2,$F$1))))</f>
        <v/>
      </c>
      <c r="AU124" s="1" t="str">
        <f>IF(OR($B124="",AU$7=""),"",IF($B124="MEANS",INDEX('1-DATA'!$1:$1048576,$A123-1,COLUMN('1-DATA'!AT122)),ROUND(INDEX('1-DATA'!$1:$1048576,IF(OR($B124="STD. DEVIATION",$C$1=1),$A124,$A124+1),COLUMN('1-DATA'!AT122)),IF($B124="STD. DEVIATION",2,$F$1))))</f>
        <v/>
      </c>
      <c r="AV124" s="1" t="str">
        <f>IF(OR($B124="",AV$7=""),"",IF($B124="MEANS",INDEX('1-DATA'!$1:$1048576,$A123-1,COLUMN('1-DATA'!AU122)),ROUND(INDEX('1-DATA'!$1:$1048576,IF(OR($B124="STD. DEVIATION",$C$1=1),$A124,$A124+1),COLUMN('1-DATA'!AU122)),IF($B124="STD. DEVIATION",2,$F$1))))</f>
        <v/>
      </c>
      <c r="AW124" s="1" t="str">
        <f>IF(OR($B124="",AW$7=""),"",IF($B124="MEANS",INDEX('1-DATA'!$1:$1048576,$A123-1,COLUMN('1-DATA'!AV122)),ROUND(INDEX('1-DATA'!$1:$1048576,IF(OR($B124="STD. DEVIATION",$C$1=1),$A124,$A124+1),COLUMN('1-DATA'!AV122)),IF($B124="STD. DEVIATION",2,$F$1))))</f>
        <v/>
      </c>
      <c r="AX124" s="1" t="str">
        <f>IF(OR($B124="",AX$7=""),"",IF($B124="MEANS",INDEX('1-DATA'!$1:$1048576,$A123-1,COLUMN('1-DATA'!AW122)),ROUND(INDEX('1-DATA'!$1:$1048576,IF(OR($B124="STD. DEVIATION",$C$1=1),$A124,$A124+1),COLUMN('1-DATA'!AW122)),IF($B124="STD. DEVIATION",2,$F$1))))</f>
        <v/>
      </c>
      <c r="AY124" s="1" t="str">
        <f>IF(OR($B124="",AY$7=""),"",IF($B124="MEANS",INDEX('1-DATA'!$1:$1048576,$A123-1,COLUMN('1-DATA'!AX122)),ROUND(INDEX('1-DATA'!$1:$1048576,IF(OR($B124="STD. DEVIATION",$C$1=1),$A124,$A124+1),COLUMN('1-DATA'!AX122)),IF($B124="STD. DEVIATION",2,$F$1))))</f>
        <v/>
      </c>
      <c r="AZ124" s="1" t="str">
        <f>IF(OR($B124="",AZ$7=""),"",IF($B124="MEANS",INDEX('1-DATA'!$1:$1048576,$A123-1,COLUMN('1-DATA'!AY122)),ROUND(INDEX('1-DATA'!$1:$1048576,IF(OR($B124="STD. DEVIATION",$C$1=1),$A124,$A124+1),COLUMN('1-DATA'!AY122)),IF($B124="STD. DEVIATION",2,$F$1))))</f>
        <v/>
      </c>
    </row>
    <row r="125" spans="1:52" x14ac:dyDescent="0.25">
      <c r="A125" s="11">
        <f t="shared" si="2"/>
        <v>361</v>
      </c>
      <c r="B125" s="1" t="str">
        <f>IF(B124="STD. DEVIATION",INDEX('1-DATA'!$1:$1048576,$A124-1,1),IF(INDEX('1-DATA'!$1:$1048576,$A125,1)&lt;&gt;"",INDEX('1-DATA'!$1:$1048576,$A125,1),""))</f>
        <v/>
      </c>
      <c r="C125" s="1" t="str">
        <f>IF(OR($B125="",C$7=""),"",IF($B125="MEANS",INDEX('1-DATA'!$1:$1048576,$A124-1,COLUMN('1-DATA'!B123)),ROUND(INDEX('1-DATA'!$1:$1048576,IF(OR($B125="STD. DEVIATION",$C$1=1),$A125,$A125+1),COLUMN('1-DATA'!B123)),IF($B125="STD. DEVIATION",2,$F$1))))</f>
        <v/>
      </c>
      <c r="D125" s="1" t="str">
        <f>IF(OR($B125="",D$7=""),"",IF($B125="MEANS",INDEX('1-DATA'!$1:$1048576,$A124-1,COLUMN('1-DATA'!C123)),ROUND(INDEX('1-DATA'!$1:$1048576,IF(OR($B125="STD. DEVIATION",$C$1=1),$A125,$A125+1),COLUMN('1-DATA'!C123)),IF($B125="STD. DEVIATION",2,$F$1))))</f>
        <v/>
      </c>
      <c r="E125" s="1" t="str">
        <f>IF(OR($B125="",E$7=""),"",IF($B125="MEANS",INDEX('1-DATA'!$1:$1048576,$A124-1,COLUMN('1-DATA'!D123)),ROUND(INDEX('1-DATA'!$1:$1048576,IF(OR($B125="STD. DEVIATION",$C$1=1),$A125,$A125+1),COLUMN('1-DATA'!D123)),IF($B125="STD. DEVIATION",2,$F$1))))</f>
        <v/>
      </c>
      <c r="F125" s="1" t="str">
        <f>IF(OR($B125="",F$7=""),"",IF($B125="MEANS",INDEX('1-DATA'!$1:$1048576,$A124-1,COLUMN('1-DATA'!E123)),ROUND(INDEX('1-DATA'!$1:$1048576,IF(OR($B125="STD. DEVIATION",$C$1=1),$A125,$A125+1),COLUMN('1-DATA'!E123)),IF($B125="STD. DEVIATION",2,$F$1))))</f>
        <v/>
      </c>
      <c r="G125" s="1" t="str">
        <f>IF(OR($B125="",G$7=""),"",IF($B125="MEANS",INDEX('1-DATA'!$1:$1048576,$A124-1,COLUMN('1-DATA'!F123)),ROUND(INDEX('1-DATA'!$1:$1048576,IF(OR($B125="STD. DEVIATION",$C$1=1),$A125,$A125+1),COLUMN('1-DATA'!F123)),IF($B125="STD. DEVIATION",2,$F$1))))</f>
        <v/>
      </c>
      <c r="H125" s="1" t="str">
        <f>IF(OR($B125="",H$7=""),"",IF($B125="MEANS",INDEX('1-DATA'!$1:$1048576,$A124-1,COLUMN('1-DATA'!G123)),ROUND(INDEX('1-DATA'!$1:$1048576,IF(OR($B125="STD. DEVIATION",$C$1=1),$A125,$A125+1),COLUMN('1-DATA'!G123)),IF($B125="STD. DEVIATION",2,$F$1))))</f>
        <v/>
      </c>
      <c r="I125" s="1" t="str">
        <f>IF(OR($B125="",I$7=""),"",IF($B125="MEANS",INDEX('1-DATA'!$1:$1048576,$A124-1,COLUMN('1-DATA'!H123)),ROUND(INDEX('1-DATA'!$1:$1048576,IF(OR($B125="STD. DEVIATION",$C$1=1),$A125,$A125+1),COLUMN('1-DATA'!H123)),IF($B125="STD. DEVIATION",2,$F$1))))</f>
        <v/>
      </c>
      <c r="J125" s="1" t="str">
        <f>IF(OR($B125="",J$7=""),"",IF($B125="MEANS",INDEX('1-DATA'!$1:$1048576,$A124-1,COLUMN('1-DATA'!I123)),ROUND(INDEX('1-DATA'!$1:$1048576,IF(OR($B125="STD. DEVIATION",$C$1=1),$A125,$A125+1),COLUMN('1-DATA'!I123)),IF($B125="STD. DEVIATION",2,$F$1))))</f>
        <v/>
      </c>
      <c r="K125" s="1" t="str">
        <f>IF(OR($B125="",K$7=""),"",IF($B125="MEANS",INDEX('1-DATA'!$1:$1048576,$A124-1,COLUMN('1-DATA'!J123)),ROUND(INDEX('1-DATA'!$1:$1048576,IF(OR($B125="STD. DEVIATION",$C$1=1),$A125,$A125+1),COLUMN('1-DATA'!J123)),IF($B125="STD. DEVIATION",2,$F$1))))</f>
        <v/>
      </c>
      <c r="L125" s="1" t="str">
        <f>IF(OR($B125="",L$7=""),"",IF($B125="MEANS",INDEX('1-DATA'!$1:$1048576,$A124-1,COLUMN('1-DATA'!K123)),ROUND(INDEX('1-DATA'!$1:$1048576,IF(OR($B125="STD. DEVIATION",$C$1=1),$A125,$A125+1),COLUMN('1-DATA'!K123)),IF($B125="STD. DEVIATION",2,$F$1))))</f>
        <v/>
      </c>
      <c r="M125" s="1" t="str">
        <f>IF(OR($B125="",M$7=""),"",IF($B125="MEANS",INDEX('1-DATA'!$1:$1048576,$A124-1,COLUMN('1-DATA'!L123)),ROUND(INDEX('1-DATA'!$1:$1048576,IF(OR($B125="STD. DEVIATION",$C$1=1),$A125,$A125+1),COLUMN('1-DATA'!L123)),IF($B125="STD. DEVIATION",2,$F$1))))</f>
        <v/>
      </c>
      <c r="N125" s="1" t="str">
        <f>IF(OR($B125="",N$7=""),"",IF($B125="MEANS",INDEX('1-DATA'!$1:$1048576,$A124-1,COLUMN('1-DATA'!M123)),ROUND(INDEX('1-DATA'!$1:$1048576,IF(OR($B125="STD. DEVIATION",$C$1=1),$A125,$A125+1),COLUMN('1-DATA'!M123)),IF($B125="STD. DEVIATION",2,$F$1))))</f>
        <v/>
      </c>
      <c r="O125" s="1" t="str">
        <f>IF(OR($B125="",O$7=""),"",IF($B125="MEANS",INDEX('1-DATA'!$1:$1048576,$A124-1,COLUMN('1-DATA'!N123)),ROUND(INDEX('1-DATA'!$1:$1048576,IF(OR($B125="STD. DEVIATION",$C$1=1),$A125,$A125+1),COLUMN('1-DATA'!N123)),IF($B125="STD. DEVIATION",2,$F$1))))</f>
        <v/>
      </c>
      <c r="P125" s="1" t="str">
        <f>IF(OR($B125="",P$7=""),"",IF($B125="MEANS",INDEX('1-DATA'!$1:$1048576,$A124-1,COLUMN('1-DATA'!O123)),ROUND(INDEX('1-DATA'!$1:$1048576,IF(OR($B125="STD. DEVIATION",$C$1=1),$A125,$A125+1),COLUMN('1-DATA'!O123)),IF($B125="STD. DEVIATION",2,$F$1))))</f>
        <v/>
      </c>
      <c r="Q125" s="1" t="str">
        <f>IF(OR($B125="",Q$7=""),"",IF($B125="MEANS",INDEX('1-DATA'!$1:$1048576,$A124-1,COLUMN('1-DATA'!P123)),ROUND(INDEX('1-DATA'!$1:$1048576,IF(OR($B125="STD. DEVIATION",$C$1=1),$A125,$A125+1),COLUMN('1-DATA'!P123)),IF($B125="STD. DEVIATION",2,$F$1))))</f>
        <v/>
      </c>
      <c r="R125" s="1" t="str">
        <f>IF(OR($B125="",R$7=""),"",IF($B125="MEANS",INDEX('1-DATA'!$1:$1048576,$A124-1,COLUMN('1-DATA'!Q123)),ROUND(INDEX('1-DATA'!$1:$1048576,IF(OR($B125="STD. DEVIATION",$C$1=1),$A125,$A125+1),COLUMN('1-DATA'!Q123)),IF($B125="STD. DEVIATION",2,$F$1))))</f>
        <v/>
      </c>
      <c r="S125" s="1" t="str">
        <f>IF(OR($B125="",S$7=""),"",IF($B125="MEANS",INDEX('1-DATA'!$1:$1048576,$A124-1,COLUMN('1-DATA'!R123)),ROUND(INDEX('1-DATA'!$1:$1048576,IF(OR($B125="STD. DEVIATION",$C$1=1),$A125,$A125+1),COLUMN('1-DATA'!R123)),IF($B125="STD. DEVIATION",2,$F$1))))</f>
        <v/>
      </c>
      <c r="T125" s="1" t="str">
        <f>IF(OR($B125="",T$7=""),"",IF($B125="MEANS",INDEX('1-DATA'!$1:$1048576,$A124-1,COLUMN('1-DATA'!S123)),ROUND(INDEX('1-DATA'!$1:$1048576,IF(OR($B125="STD. DEVIATION",$C$1=1),$A125,$A125+1),COLUMN('1-DATA'!S123)),IF($B125="STD. DEVIATION",2,$F$1))))</f>
        <v/>
      </c>
      <c r="U125" s="1" t="str">
        <f>IF(OR($B125="",U$7=""),"",IF($B125="MEANS",INDEX('1-DATA'!$1:$1048576,$A124-1,COLUMN('1-DATA'!T123)),ROUND(INDEX('1-DATA'!$1:$1048576,IF(OR($B125="STD. DEVIATION",$C$1=1),$A125,$A125+1),COLUMN('1-DATA'!T123)),IF($B125="STD. DEVIATION",2,$F$1))))</f>
        <v/>
      </c>
      <c r="V125" s="1" t="str">
        <f>IF(OR($B125="",V$7=""),"",IF($B125="MEANS",INDEX('1-DATA'!$1:$1048576,$A124-1,COLUMN('1-DATA'!U123)),ROUND(INDEX('1-DATA'!$1:$1048576,IF(OR($B125="STD. DEVIATION",$C$1=1),$A125,$A125+1),COLUMN('1-DATA'!U123)),IF($B125="STD. DEVIATION",2,$F$1))))</f>
        <v/>
      </c>
      <c r="W125" s="1" t="str">
        <f>IF(OR($B125="",W$7=""),"",IF($B125="MEANS",INDEX('1-DATA'!$1:$1048576,$A124-1,COLUMN('1-DATA'!V123)),ROUND(INDEX('1-DATA'!$1:$1048576,IF(OR($B125="STD. DEVIATION",$C$1=1),$A125,$A125+1),COLUMN('1-DATA'!V123)),IF($B125="STD. DEVIATION",2,$F$1))))</f>
        <v/>
      </c>
      <c r="X125" s="1" t="str">
        <f>IF(OR($B125="",X$7=""),"",IF($B125="MEANS",INDEX('1-DATA'!$1:$1048576,$A124-1,COLUMN('1-DATA'!W123)),ROUND(INDEX('1-DATA'!$1:$1048576,IF(OR($B125="STD. DEVIATION",$C$1=1),$A125,$A125+1),COLUMN('1-DATA'!W123)),IF($B125="STD. DEVIATION",2,$F$1))))</f>
        <v/>
      </c>
      <c r="Y125" s="1" t="str">
        <f>IF(OR($B125="",Y$7=""),"",IF($B125="MEANS",INDEX('1-DATA'!$1:$1048576,$A124-1,COLUMN('1-DATA'!X123)),ROUND(INDEX('1-DATA'!$1:$1048576,IF(OR($B125="STD. DEVIATION",$C$1=1),$A125,$A125+1),COLUMN('1-DATA'!X123)),IF($B125="STD. DEVIATION",2,$F$1))))</f>
        <v/>
      </c>
      <c r="Z125" s="1" t="str">
        <f>IF(OR($B125="",Z$7=""),"",IF($B125="MEANS",INDEX('1-DATA'!$1:$1048576,$A124-1,COLUMN('1-DATA'!Y123)),ROUND(INDEX('1-DATA'!$1:$1048576,IF(OR($B125="STD. DEVIATION",$C$1=1),$A125,$A125+1),COLUMN('1-DATA'!Y123)),IF($B125="STD. DEVIATION",2,$F$1))))</f>
        <v/>
      </c>
      <c r="AA125" s="1" t="str">
        <f>IF(OR($B125="",AA$7=""),"",IF($B125="MEANS",INDEX('1-DATA'!$1:$1048576,$A124-1,COLUMN('1-DATA'!Z123)),ROUND(INDEX('1-DATA'!$1:$1048576,IF(OR($B125="STD. DEVIATION",$C$1=1),$A125,$A125+1),COLUMN('1-DATA'!Z123)),IF($B125="STD. DEVIATION",2,$F$1))))</f>
        <v/>
      </c>
      <c r="AB125" s="1" t="str">
        <f>IF(OR($B125="",AB$7=""),"",IF($B125="MEANS",INDEX('1-DATA'!$1:$1048576,$A124-1,COLUMN('1-DATA'!AA123)),ROUND(INDEX('1-DATA'!$1:$1048576,IF(OR($B125="STD. DEVIATION",$C$1=1),$A125,$A125+1),COLUMN('1-DATA'!AA123)),IF($B125="STD. DEVIATION",2,$F$1))))</f>
        <v/>
      </c>
      <c r="AC125" s="1" t="str">
        <f>IF(OR($B125="",AC$7=""),"",IF($B125="MEANS",INDEX('1-DATA'!$1:$1048576,$A124-1,COLUMN('1-DATA'!AB123)),ROUND(INDEX('1-DATA'!$1:$1048576,IF(OR($B125="STD. DEVIATION",$C$1=1),$A125,$A125+1),COLUMN('1-DATA'!AB123)),IF($B125="STD. DEVIATION",2,$F$1))))</f>
        <v/>
      </c>
      <c r="AD125" s="1" t="str">
        <f>IF(OR($B125="",AD$7=""),"",IF($B125="MEANS",INDEX('1-DATA'!$1:$1048576,$A124-1,COLUMN('1-DATA'!AC123)),ROUND(INDEX('1-DATA'!$1:$1048576,IF(OR($B125="STD. DEVIATION",$C$1=1),$A125,$A125+1),COLUMN('1-DATA'!AC123)),IF($B125="STD. DEVIATION",2,$F$1))))</f>
        <v/>
      </c>
      <c r="AE125" s="1" t="str">
        <f>IF(OR($B125="",AE$7=""),"",IF($B125="MEANS",INDEX('1-DATA'!$1:$1048576,$A124-1,COLUMN('1-DATA'!AD123)),ROUND(INDEX('1-DATA'!$1:$1048576,IF(OR($B125="STD. DEVIATION",$C$1=1),$A125,$A125+1),COLUMN('1-DATA'!AD123)),IF($B125="STD. DEVIATION",2,$F$1))))</f>
        <v/>
      </c>
      <c r="AF125" s="1" t="str">
        <f>IF(OR($B125="",AF$7=""),"",IF($B125="MEANS",INDEX('1-DATA'!$1:$1048576,$A124-1,COLUMN('1-DATA'!AE123)),ROUND(INDEX('1-DATA'!$1:$1048576,IF(OR($B125="STD. DEVIATION",$C$1=1),$A125,$A125+1),COLUMN('1-DATA'!AE123)),IF($B125="STD. DEVIATION",2,$F$1))))</f>
        <v/>
      </c>
      <c r="AG125" s="1" t="str">
        <f>IF(OR($B125="",AG$7=""),"",IF($B125="MEANS",INDEX('1-DATA'!$1:$1048576,$A124-1,COLUMN('1-DATA'!AF123)),ROUND(INDEX('1-DATA'!$1:$1048576,IF(OR($B125="STD. DEVIATION",$C$1=1),$A125,$A125+1),COLUMN('1-DATA'!AF123)),IF($B125="STD. DEVIATION",2,$F$1))))</f>
        <v/>
      </c>
      <c r="AH125" s="1" t="str">
        <f>IF(OR($B125="",AH$7=""),"",IF($B125="MEANS",INDEX('1-DATA'!$1:$1048576,$A124-1,COLUMN('1-DATA'!AG123)),ROUND(INDEX('1-DATA'!$1:$1048576,IF(OR($B125="STD. DEVIATION",$C$1=1),$A125,$A125+1),COLUMN('1-DATA'!AG123)),IF($B125="STD. DEVIATION",2,$F$1))))</f>
        <v/>
      </c>
      <c r="AI125" s="1" t="str">
        <f>IF(OR($B125="",AI$7=""),"",IF($B125="MEANS",INDEX('1-DATA'!$1:$1048576,$A124-1,COLUMN('1-DATA'!AH123)),ROUND(INDEX('1-DATA'!$1:$1048576,IF(OR($B125="STD. DEVIATION",$C$1=1),$A125,$A125+1),COLUMN('1-DATA'!AH123)),IF($B125="STD. DEVIATION",2,$F$1))))</f>
        <v/>
      </c>
      <c r="AJ125" s="1" t="str">
        <f>IF(OR($B125="",AJ$7=""),"",IF($B125="MEANS",INDEX('1-DATA'!$1:$1048576,$A124-1,COLUMN('1-DATA'!AI123)),ROUND(INDEX('1-DATA'!$1:$1048576,IF(OR($B125="STD. DEVIATION",$C$1=1),$A125,$A125+1),COLUMN('1-DATA'!AI123)),IF($B125="STD. DEVIATION",2,$F$1))))</f>
        <v/>
      </c>
      <c r="AK125" s="1" t="str">
        <f>IF(OR($B125="",AK$7=""),"",IF($B125="MEANS",INDEX('1-DATA'!$1:$1048576,$A124-1,COLUMN('1-DATA'!AJ123)),ROUND(INDEX('1-DATA'!$1:$1048576,IF(OR($B125="STD. DEVIATION",$C$1=1),$A125,$A125+1),COLUMN('1-DATA'!AJ123)),IF($B125="STD. DEVIATION",2,$F$1))))</f>
        <v/>
      </c>
      <c r="AL125" s="1" t="str">
        <f>IF(OR($B125="",AL$7=""),"",IF($B125="MEANS",INDEX('1-DATA'!$1:$1048576,$A124-1,COLUMN('1-DATA'!AK123)),ROUND(INDEX('1-DATA'!$1:$1048576,IF(OR($B125="STD. DEVIATION",$C$1=1),$A125,$A125+1),COLUMN('1-DATA'!AK123)),IF($B125="STD. DEVIATION",2,$F$1))))</f>
        <v/>
      </c>
      <c r="AM125" s="1" t="str">
        <f>IF(OR($B125="",AM$7=""),"",IF($B125="MEANS",INDEX('1-DATA'!$1:$1048576,$A124-1,COLUMN('1-DATA'!AL123)),ROUND(INDEX('1-DATA'!$1:$1048576,IF(OR($B125="STD. DEVIATION",$C$1=1),$A125,$A125+1),COLUMN('1-DATA'!AL123)),IF($B125="STD. DEVIATION",2,$F$1))))</f>
        <v/>
      </c>
      <c r="AN125" s="1" t="str">
        <f>IF(OR($B125="",AN$7=""),"",IF($B125="MEANS",INDEX('1-DATA'!$1:$1048576,$A124-1,COLUMN('1-DATA'!AM123)),ROUND(INDEX('1-DATA'!$1:$1048576,IF(OR($B125="STD. DEVIATION",$C$1=1),$A125,$A125+1),COLUMN('1-DATA'!AM123)),IF($B125="STD. DEVIATION",2,$F$1))))</f>
        <v/>
      </c>
      <c r="AO125" s="1" t="str">
        <f>IF(OR($B125="",AO$7=""),"",IF($B125="MEANS",INDEX('1-DATA'!$1:$1048576,$A124-1,COLUMN('1-DATA'!AN123)),ROUND(INDEX('1-DATA'!$1:$1048576,IF(OR($B125="STD. DEVIATION",$C$1=1),$A125,$A125+1),COLUMN('1-DATA'!AN123)),IF($B125="STD. DEVIATION",2,$F$1))))</f>
        <v/>
      </c>
      <c r="AP125" s="1" t="str">
        <f>IF(OR($B125="",AP$7=""),"",IF($B125="MEANS",INDEX('1-DATA'!$1:$1048576,$A124-1,COLUMN('1-DATA'!AO123)),ROUND(INDEX('1-DATA'!$1:$1048576,IF(OR($B125="STD. DEVIATION",$C$1=1),$A125,$A125+1),COLUMN('1-DATA'!AO123)),IF($B125="STD. DEVIATION",2,$F$1))))</f>
        <v/>
      </c>
      <c r="AQ125" s="1" t="str">
        <f>IF(OR($B125="",AQ$7=""),"",IF($B125="MEANS",INDEX('1-DATA'!$1:$1048576,$A124-1,COLUMN('1-DATA'!AP123)),ROUND(INDEX('1-DATA'!$1:$1048576,IF(OR($B125="STD. DEVIATION",$C$1=1),$A125,$A125+1),COLUMN('1-DATA'!AP123)),IF($B125="STD. DEVIATION",2,$F$1))))</f>
        <v/>
      </c>
      <c r="AR125" s="1" t="str">
        <f>IF(OR($B125="",AR$7=""),"",IF($B125="MEANS",INDEX('1-DATA'!$1:$1048576,$A124-1,COLUMN('1-DATA'!AQ123)),ROUND(INDEX('1-DATA'!$1:$1048576,IF(OR($B125="STD. DEVIATION",$C$1=1),$A125,$A125+1),COLUMN('1-DATA'!AQ123)),IF($B125="STD. DEVIATION",2,$F$1))))</f>
        <v/>
      </c>
      <c r="AS125" s="1" t="str">
        <f>IF(OR($B125="",AS$7=""),"",IF($B125="MEANS",INDEX('1-DATA'!$1:$1048576,$A124-1,COLUMN('1-DATA'!AR123)),ROUND(INDEX('1-DATA'!$1:$1048576,IF(OR($B125="STD. DEVIATION",$C$1=1),$A125,$A125+1),COLUMN('1-DATA'!AR123)),IF($B125="STD. DEVIATION",2,$F$1))))</f>
        <v/>
      </c>
      <c r="AT125" s="1" t="str">
        <f>IF(OR($B125="",AT$7=""),"",IF($B125="MEANS",INDEX('1-DATA'!$1:$1048576,$A124-1,COLUMN('1-DATA'!AS123)),ROUND(INDEX('1-DATA'!$1:$1048576,IF(OR($B125="STD. DEVIATION",$C$1=1),$A125,$A125+1),COLUMN('1-DATA'!AS123)),IF($B125="STD. DEVIATION",2,$F$1))))</f>
        <v/>
      </c>
      <c r="AU125" s="1" t="str">
        <f>IF(OR($B125="",AU$7=""),"",IF($B125="MEANS",INDEX('1-DATA'!$1:$1048576,$A124-1,COLUMN('1-DATA'!AT123)),ROUND(INDEX('1-DATA'!$1:$1048576,IF(OR($B125="STD. DEVIATION",$C$1=1),$A125,$A125+1),COLUMN('1-DATA'!AT123)),IF($B125="STD. DEVIATION",2,$F$1))))</f>
        <v/>
      </c>
      <c r="AV125" s="1" t="str">
        <f>IF(OR($B125="",AV$7=""),"",IF($B125="MEANS",INDEX('1-DATA'!$1:$1048576,$A124-1,COLUMN('1-DATA'!AU123)),ROUND(INDEX('1-DATA'!$1:$1048576,IF(OR($B125="STD. DEVIATION",$C$1=1),$A125,$A125+1),COLUMN('1-DATA'!AU123)),IF($B125="STD. DEVIATION",2,$F$1))))</f>
        <v/>
      </c>
      <c r="AW125" s="1" t="str">
        <f>IF(OR($B125="",AW$7=""),"",IF($B125="MEANS",INDEX('1-DATA'!$1:$1048576,$A124-1,COLUMN('1-DATA'!AV123)),ROUND(INDEX('1-DATA'!$1:$1048576,IF(OR($B125="STD. DEVIATION",$C$1=1),$A125,$A125+1),COLUMN('1-DATA'!AV123)),IF($B125="STD. DEVIATION",2,$F$1))))</f>
        <v/>
      </c>
      <c r="AX125" s="1" t="str">
        <f>IF(OR($B125="",AX$7=""),"",IF($B125="MEANS",INDEX('1-DATA'!$1:$1048576,$A124-1,COLUMN('1-DATA'!AW123)),ROUND(INDEX('1-DATA'!$1:$1048576,IF(OR($B125="STD. DEVIATION",$C$1=1),$A125,$A125+1),COLUMN('1-DATA'!AW123)),IF($B125="STD. DEVIATION",2,$F$1))))</f>
        <v/>
      </c>
      <c r="AY125" s="1" t="str">
        <f>IF(OR($B125="",AY$7=""),"",IF($B125="MEANS",INDEX('1-DATA'!$1:$1048576,$A124-1,COLUMN('1-DATA'!AX123)),ROUND(INDEX('1-DATA'!$1:$1048576,IF(OR($B125="STD. DEVIATION",$C$1=1),$A125,$A125+1),COLUMN('1-DATA'!AX123)),IF($B125="STD. DEVIATION",2,$F$1))))</f>
        <v/>
      </c>
      <c r="AZ125" s="1" t="str">
        <f>IF(OR($B125="",AZ$7=""),"",IF($B125="MEANS",INDEX('1-DATA'!$1:$1048576,$A124-1,COLUMN('1-DATA'!AY123)),ROUND(INDEX('1-DATA'!$1:$1048576,IF(OR($B125="STD. DEVIATION",$C$1=1),$A125,$A125+1),COLUMN('1-DATA'!AY123)),IF($B125="STD. DEVIATION",2,$F$1))))</f>
        <v/>
      </c>
    </row>
    <row r="126" spans="1:52" x14ac:dyDescent="0.25">
      <c r="A126" s="11">
        <f t="shared" si="2"/>
        <v>364</v>
      </c>
      <c r="B126" s="1" t="str">
        <f>IF(B125="STD. DEVIATION",INDEX('1-DATA'!$1:$1048576,$A125-1,1),IF(INDEX('1-DATA'!$1:$1048576,$A126,1)&lt;&gt;"",INDEX('1-DATA'!$1:$1048576,$A126,1),""))</f>
        <v/>
      </c>
      <c r="C126" s="1" t="str">
        <f>IF(OR($B126="",C$7=""),"",IF($B126="MEANS",INDEX('1-DATA'!$1:$1048576,$A125-1,COLUMN('1-DATA'!B124)),ROUND(INDEX('1-DATA'!$1:$1048576,IF(OR($B126="STD. DEVIATION",$C$1=1),$A126,$A126+1),COLUMN('1-DATA'!B124)),IF($B126="STD. DEVIATION",2,$F$1))))</f>
        <v/>
      </c>
      <c r="D126" s="1" t="str">
        <f>IF(OR($B126="",D$7=""),"",IF($B126="MEANS",INDEX('1-DATA'!$1:$1048576,$A125-1,COLUMN('1-DATA'!C124)),ROUND(INDEX('1-DATA'!$1:$1048576,IF(OR($B126="STD. DEVIATION",$C$1=1),$A126,$A126+1),COLUMN('1-DATA'!C124)),IF($B126="STD. DEVIATION",2,$F$1))))</f>
        <v/>
      </c>
      <c r="E126" s="1" t="str">
        <f>IF(OR($B126="",E$7=""),"",IF($B126="MEANS",INDEX('1-DATA'!$1:$1048576,$A125-1,COLUMN('1-DATA'!D124)),ROUND(INDEX('1-DATA'!$1:$1048576,IF(OR($B126="STD. DEVIATION",$C$1=1),$A126,$A126+1),COLUMN('1-DATA'!D124)),IF($B126="STD. DEVIATION",2,$F$1))))</f>
        <v/>
      </c>
      <c r="F126" s="1" t="str">
        <f>IF(OR($B126="",F$7=""),"",IF($B126="MEANS",INDEX('1-DATA'!$1:$1048576,$A125-1,COLUMN('1-DATA'!E124)),ROUND(INDEX('1-DATA'!$1:$1048576,IF(OR($B126="STD. DEVIATION",$C$1=1),$A126,$A126+1),COLUMN('1-DATA'!E124)),IF($B126="STD. DEVIATION",2,$F$1))))</f>
        <v/>
      </c>
      <c r="G126" s="1" t="str">
        <f>IF(OR($B126="",G$7=""),"",IF($B126="MEANS",INDEX('1-DATA'!$1:$1048576,$A125-1,COLUMN('1-DATA'!F124)),ROUND(INDEX('1-DATA'!$1:$1048576,IF(OR($B126="STD. DEVIATION",$C$1=1),$A126,$A126+1),COLUMN('1-DATA'!F124)),IF($B126="STD. DEVIATION",2,$F$1))))</f>
        <v/>
      </c>
      <c r="H126" s="1" t="str">
        <f>IF(OR($B126="",H$7=""),"",IF($B126="MEANS",INDEX('1-DATA'!$1:$1048576,$A125-1,COLUMN('1-DATA'!G124)),ROUND(INDEX('1-DATA'!$1:$1048576,IF(OR($B126="STD. DEVIATION",$C$1=1),$A126,$A126+1),COLUMN('1-DATA'!G124)),IF($B126="STD. DEVIATION",2,$F$1))))</f>
        <v/>
      </c>
      <c r="I126" s="1" t="str">
        <f>IF(OR($B126="",I$7=""),"",IF($B126="MEANS",INDEX('1-DATA'!$1:$1048576,$A125-1,COLUMN('1-DATA'!H124)),ROUND(INDEX('1-DATA'!$1:$1048576,IF(OR($B126="STD. DEVIATION",$C$1=1),$A126,$A126+1),COLUMN('1-DATA'!H124)),IF($B126="STD. DEVIATION",2,$F$1))))</f>
        <v/>
      </c>
      <c r="J126" s="1" t="str">
        <f>IF(OR($B126="",J$7=""),"",IF($B126="MEANS",INDEX('1-DATA'!$1:$1048576,$A125-1,COLUMN('1-DATA'!I124)),ROUND(INDEX('1-DATA'!$1:$1048576,IF(OR($B126="STD. DEVIATION",$C$1=1),$A126,$A126+1),COLUMN('1-DATA'!I124)),IF($B126="STD. DEVIATION",2,$F$1))))</f>
        <v/>
      </c>
      <c r="K126" s="1" t="str">
        <f>IF(OR($B126="",K$7=""),"",IF($B126="MEANS",INDEX('1-DATA'!$1:$1048576,$A125-1,COLUMN('1-DATA'!J124)),ROUND(INDEX('1-DATA'!$1:$1048576,IF(OR($B126="STD. DEVIATION",$C$1=1),$A126,$A126+1),COLUMN('1-DATA'!J124)),IF($B126="STD. DEVIATION",2,$F$1))))</f>
        <v/>
      </c>
      <c r="L126" s="1" t="str">
        <f>IF(OR($B126="",L$7=""),"",IF($B126="MEANS",INDEX('1-DATA'!$1:$1048576,$A125-1,COLUMN('1-DATA'!K124)),ROUND(INDEX('1-DATA'!$1:$1048576,IF(OR($B126="STD. DEVIATION",$C$1=1),$A126,$A126+1),COLUMN('1-DATA'!K124)),IF($B126="STD. DEVIATION",2,$F$1))))</f>
        <v/>
      </c>
      <c r="M126" s="1" t="str">
        <f>IF(OR($B126="",M$7=""),"",IF($B126="MEANS",INDEX('1-DATA'!$1:$1048576,$A125-1,COLUMN('1-DATA'!L124)),ROUND(INDEX('1-DATA'!$1:$1048576,IF(OR($B126="STD. DEVIATION",$C$1=1),$A126,$A126+1),COLUMN('1-DATA'!L124)),IF($B126="STD. DEVIATION",2,$F$1))))</f>
        <v/>
      </c>
      <c r="N126" s="1" t="str">
        <f>IF(OR($B126="",N$7=""),"",IF($B126="MEANS",INDEX('1-DATA'!$1:$1048576,$A125-1,COLUMN('1-DATA'!M124)),ROUND(INDEX('1-DATA'!$1:$1048576,IF(OR($B126="STD. DEVIATION",$C$1=1),$A126,$A126+1),COLUMN('1-DATA'!M124)),IF($B126="STD. DEVIATION",2,$F$1))))</f>
        <v/>
      </c>
      <c r="O126" s="1" t="str">
        <f>IF(OR($B126="",O$7=""),"",IF($B126="MEANS",INDEX('1-DATA'!$1:$1048576,$A125-1,COLUMN('1-DATA'!N124)),ROUND(INDEX('1-DATA'!$1:$1048576,IF(OR($B126="STD. DEVIATION",$C$1=1),$A126,$A126+1),COLUMN('1-DATA'!N124)),IF($B126="STD. DEVIATION",2,$F$1))))</f>
        <v/>
      </c>
      <c r="P126" s="1" t="str">
        <f>IF(OR($B126="",P$7=""),"",IF($B126="MEANS",INDEX('1-DATA'!$1:$1048576,$A125-1,COLUMN('1-DATA'!O124)),ROUND(INDEX('1-DATA'!$1:$1048576,IF(OR($B126="STD. DEVIATION",$C$1=1),$A126,$A126+1),COLUMN('1-DATA'!O124)),IF($B126="STD. DEVIATION",2,$F$1))))</f>
        <v/>
      </c>
      <c r="Q126" s="1" t="str">
        <f>IF(OR($B126="",Q$7=""),"",IF($B126="MEANS",INDEX('1-DATA'!$1:$1048576,$A125-1,COLUMN('1-DATA'!P124)),ROUND(INDEX('1-DATA'!$1:$1048576,IF(OR($B126="STD. DEVIATION",$C$1=1),$A126,$A126+1),COLUMN('1-DATA'!P124)),IF($B126="STD. DEVIATION",2,$F$1))))</f>
        <v/>
      </c>
      <c r="R126" s="1" t="str">
        <f>IF(OR($B126="",R$7=""),"",IF($B126="MEANS",INDEX('1-DATA'!$1:$1048576,$A125-1,COLUMN('1-DATA'!Q124)),ROUND(INDEX('1-DATA'!$1:$1048576,IF(OR($B126="STD. DEVIATION",$C$1=1),$A126,$A126+1),COLUMN('1-DATA'!Q124)),IF($B126="STD. DEVIATION",2,$F$1))))</f>
        <v/>
      </c>
      <c r="S126" s="1" t="str">
        <f>IF(OR($B126="",S$7=""),"",IF($B126="MEANS",INDEX('1-DATA'!$1:$1048576,$A125-1,COLUMN('1-DATA'!R124)),ROUND(INDEX('1-DATA'!$1:$1048576,IF(OR($B126="STD. DEVIATION",$C$1=1),$A126,$A126+1),COLUMN('1-DATA'!R124)),IF($B126="STD. DEVIATION",2,$F$1))))</f>
        <v/>
      </c>
      <c r="T126" s="1" t="str">
        <f>IF(OR($B126="",T$7=""),"",IF($B126="MEANS",INDEX('1-DATA'!$1:$1048576,$A125-1,COLUMN('1-DATA'!S124)),ROUND(INDEX('1-DATA'!$1:$1048576,IF(OR($B126="STD. DEVIATION",$C$1=1),$A126,$A126+1),COLUMN('1-DATA'!S124)),IF($B126="STD. DEVIATION",2,$F$1))))</f>
        <v/>
      </c>
      <c r="U126" s="1" t="str">
        <f>IF(OR($B126="",U$7=""),"",IF($B126="MEANS",INDEX('1-DATA'!$1:$1048576,$A125-1,COLUMN('1-DATA'!T124)),ROUND(INDEX('1-DATA'!$1:$1048576,IF(OR($B126="STD. DEVIATION",$C$1=1),$A126,$A126+1),COLUMN('1-DATA'!T124)),IF($B126="STD. DEVIATION",2,$F$1))))</f>
        <v/>
      </c>
      <c r="V126" s="1" t="str">
        <f>IF(OR($B126="",V$7=""),"",IF($B126="MEANS",INDEX('1-DATA'!$1:$1048576,$A125-1,COLUMN('1-DATA'!U124)),ROUND(INDEX('1-DATA'!$1:$1048576,IF(OR($B126="STD. DEVIATION",$C$1=1),$A126,$A126+1),COLUMN('1-DATA'!U124)),IF($B126="STD. DEVIATION",2,$F$1))))</f>
        <v/>
      </c>
      <c r="W126" s="1" t="str">
        <f>IF(OR($B126="",W$7=""),"",IF($B126="MEANS",INDEX('1-DATA'!$1:$1048576,$A125-1,COLUMN('1-DATA'!V124)),ROUND(INDEX('1-DATA'!$1:$1048576,IF(OR($B126="STD. DEVIATION",$C$1=1),$A126,$A126+1),COLUMN('1-DATA'!V124)),IF($B126="STD. DEVIATION",2,$F$1))))</f>
        <v/>
      </c>
      <c r="X126" s="1" t="str">
        <f>IF(OR($B126="",X$7=""),"",IF($B126="MEANS",INDEX('1-DATA'!$1:$1048576,$A125-1,COLUMN('1-DATA'!W124)),ROUND(INDEX('1-DATA'!$1:$1048576,IF(OR($B126="STD. DEVIATION",$C$1=1),$A126,$A126+1),COLUMN('1-DATA'!W124)),IF($B126="STD. DEVIATION",2,$F$1))))</f>
        <v/>
      </c>
      <c r="Y126" s="1" t="str">
        <f>IF(OR($B126="",Y$7=""),"",IF($B126="MEANS",INDEX('1-DATA'!$1:$1048576,$A125-1,COLUMN('1-DATA'!X124)),ROUND(INDEX('1-DATA'!$1:$1048576,IF(OR($B126="STD. DEVIATION",$C$1=1),$A126,$A126+1),COLUMN('1-DATA'!X124)),IF($B126="STD. DEVIATION",2,$F$1))))</f>
        <v/>
      </c>
      <c r="Z126" s="1" t="str">
        <f>IF(OR($B126="",Z$7=""),"",IF($B126="MEANS",INDEX('1-DATA'!$1:$1048576,$A125-1,COLUMN('1-DATA'!Y124)),ROUND(INDEX('1-DATA'!$1:$1048576,IF(OR($B126="STD. DEVIATION",$C$1=1),$A126,$A126+1),COLUMN('1-DATA'!Y124)),IF($B126="STD. DEVIATION",2,$F$1))))</f>
        <v/>
      </c>
      <c r="AA126" s="1" t="str">
        <f>IF(OR($B126="",AA$7=""),"",IF($B126="MEANS",INDEX('1-DATA'!$1:$1048576,$A125-1,COLUMN('1-DATA'!Z124)),ROUND(INDEX('1-DATA'!$1:$1048576,IF(OR($B126="STD. DEVIATION",$C$1=1),$A126,$A126+1),COLUMN('1-DATA'!Z124)),IF($B126="STD. DEVIATION",2,$F$1))))</f>
        <v/>
      </c>
      <c r="AB126" s="1" t="str">
        <f>IF(OR($B126="",AB$7=""),"",IF($B126="MEANS",INDEX('1-DATA'!$1:$1048576,$A125-1,COLUMN('1-DATA'!AA124)),ROUND(INDEX('1-DATA'!$1:$1048576,IF(OR($B126="STD. DEVIATION",$C$1=1),$A126,$A126+1),COLUMN('1-DATA'!AA124)),IF($B126="STD. DEVIATION",2,$F$1))))</f>
        <v/>
      </c>
      <c r="AC126" s="1" t="str">
        <f>IF(OR($B126="",AC$7=""),"",IF($B126="MEANS",INDEX('1-DATA'!$1:$1048576,$A125-1,COLUMN('1-DATA'!AB124)),ROUND(INDEX('1-DATA'!$1:$1048576,IF(OR($B126="STD. DEVIATION",$C$1=1),$A126,$A126+1),COLUMN('1-DATA'!AB124)),IF($B126="STD. DEVIATION",2,$F$1))))</f>
        <v/>
      </c>
      <c r="AD126" s="1" t="str">
        <f>IF(OR($B126="",AD$7=""),"",IF($B126="MEANS",INDEX('1-DATA'!$1:$1048576,$A125-1,COLUMN('1-DATA'!AC124)),ROUND(INDEX('1-DATA'!$1:$1048576,IF(OR($B126="STD. DEVIATION",$C$1=1),$A126,$A126+1),COLUMN('1-DATA'!AC124)),IF($B126="STD. DEVIATION",2,$F$1))))</f>
        <v/>
      </c>
      <c r="AE126" s="1" t="str">
        <f>IF(OR($B126="",AE$7=""),"",IF($B126="MEANS",INDEX('1-DATA'!$1:$1048576,$A125-1,COLUMN('1-DATA'!AD124)),ROUND(INDEX('1-DATA'!$1:$1048576,IF(OR($B126="STD. DEVIATION",$C$1=1),$A126,$A126+1),COLUMN('1-DATA'!AD124)),IF($B126="STD. DEVIATION",2,$F$1))))</f>
        <v/>
      </c>
      <c r="AF126" s="1" t="str">
        <f>IF(OR($B126="",AF$7=""),"",IF($B126="MEANS",INDEX('1-DATA'!$1:$1048576,$A125-1,COLUMN('1-DATA'!AE124)),ROUND(INDEX('1-DATA'!$1:$1048576,IF(OR($B126="STD. DEVIATION",$C$1=1),$A126,$A126+1),COLUMN('1-DATA'!AE124)),IF($B126="STD. DEVIATION",2,$F$1))))</f>
        <v/>
      </c>
      <c r="AG126" s="1" t="str">
        <f>IF(OR($B126="",AG$7=""),"",IF($B126="MEANS",INDEX('1-DATA'!$1:$1048576,$A125-1,COLUMN('1-DATA'!AF124)),ROUND(INDEX('1-DATA'!$1:$1048576,IF(OR($B126="STD. DEVIATION",$C$1=1),$A126,$A126+1),COLUMN('1-DATA'!AF124)),IF($B126="STD. DEVIATION",2,$F$1))))</f>
        <v/>
      </c>
      <c r="AH126" s="1" t="str">
        <f>IF(OR($B126="",AH$7=""),"",IF($B126="MEANS",INDEX('1-DATA'!$1:$1048576,$A125-1,COLUMN('1-DATA'!AG124)),ROUND(INDEX('1-DATA'!$1:$1048576,IF(OR($B126="STD. DEVIATION",$C$1=1),$A126,$A126+1),COLUMN('1-DATA'!AG124)),IF($B126="STD. DEVIATION",2,$F$1))))</f>
        <v/>
      </c>
      <c r="AI126" s="1" t="str">
        <f>IF(OR($B126="",AI$7=""),"",IF($B126="MEANS",INDEX('1-DATA'!$1:$1048576,$A125-1,COLUMN('1-DATA'!AH124)),ROUND(INDEX('1-DATA'!$1:$1048576,IF(OR($B126="STD. DEVIATION",$C$1=1),$A126,$A126+1),COLUMN('1-DATA'!AH124)),IF($B126="STD. DEVIATION",2,$F$1))))</f>
        <v/>
      </c>
      <c r="AJ126" s="1" t="str">
        <f>IF(OR($B126="",AJ$7=""),"",IF($B126="MEANS",INDEX('1-DATA'!$1:$1048576,$A125-1,COLUMN('1-DATA'!AI124)),ROUND(INDEX('1-DATA'!$1:$1048576,IF(OR($B126="STD. DEVIATION",$C$1=1),$A126,$A126+1),COLUMN('1-DATA'!AI124)),IF($B126="STD. DEVIATION",2,$F$1))))</f>
        <v/>
      </c>
      <c r="AK126" s="1" t="str">
        <f>IF(OR($B126="",AK$7=""),"",IF($B126="MEANS",INDEX('1-DATA'!$1:$1048576,$A125-1,COLUMN('1-DATA'!AJ124)),ROUND(INDEX('1-DATA'!$1:$1048576,IF(OR($B126="STD. DEVIATION",$C$1=1),$A126,$A126+1),COLUMN('1-DATA'!AJ124)),IF($B126="STD. DEVIATION",2,$F$1))))</f>
        <v/>
      </c>
      <c r="AL126" s="1" t="str">
        <f>IF(OR($B126="",AL$7=""),"",IF($B126="MEANS",INDEX('1-DATA'!$1:$1048576,$A125-1,COLUMN('1-DATA'!AK124)),ROUND(INDEX('1-DATA'!$1:$1048576,IF(OR($B126="STD. DEVIATION",$C$1=1),$A126,$A126+1),COLUMN('1-DATA'!AK124)),IF($B126="STD. DEVIATION",2,$F$1))))</f>
        <v/>
      </c>
      <c r="AM126" s="1" t="str">
        <f>IF(OR($B126="",AM$7=""),"",IF($B126="MEANS",INDEX('1-DATA'!$1:$1048576,$A125-1,COLUMN('1-DATA'!AL124)),ROUND(INDEX('1-DATA'!$1:$1048576,IF(OR($B126="STD. DEVIATION",$C$1=1),$A126,$A126+1),COLUMN('1-DATA'!AL124)),IF($B126="STD. DEVIATION",2,$F$1))))</f>
        <v/>
      </c>
      <c r="AN126" s="1" t="str">
        <f>IF(OR($B126="",AN$7=""),"",IF($B126="MEANS",INDEX('1-DATA'!$1:$1048576,$A125-1,COLUMN('1-DATA'!AM124)),ROUND(INDEX('1-DATA'!$1:$1048576,IF(OR($B126="STD. DEVIATION",$C$1=1),$A126,$A126+1),COLUMN('1-DATA'!AM124)),IF($B126="STD. DEVIATION",2,$F$1))))</f>
        <v/>
      </c>
      <c r="AO126" s="1" t="str">
        <f>IF(OR($B126="",AO$7=""),"",IF($B126="MEANS",INDEX('1-DATA'!$1:$1048576,$A125-1,COLUMN('1-DATA'!AN124)),ROUND(INDEX('1-DATA'!$1:$1048576,IF(OR($B126="STD. DEVIATION",$C$1=1),$A126,$A126+1),COLUMN('1-DATA'!AN124)),IF($B126="STD. DEVIATION",2,$F$1))))</f>
        <v/>
      </c>
      <c r="AP126" s="1" t="str">
        <f>IF(OR($B126="",AP$7=""),"",IF($B126="MEANS",INDEX('1-DATA'!$1:$1048576,$A125-1,COLUMN('1-DATA'!AO124)),ROUND(INDEX('1-DATA'!$1:$1048576,IF(OR($B126="STD. DEVIATION",$C$1=1),$A126,$A126+1),COLUMN('1-DATA'!AO124)),IF($B126="STD. DEVIATION",2,$F$1))))</f>
        <v/>
      </c>
      <c r="AQ126" s="1" t="str">
        <f>IF(OR($B126="",AQ$7=""),"",IF($B126="MEANS",INDEX('1-DATA'!$1:$1048576,$A125-1,COLUMN('1-DATA'!AP124)),ROUND(INDEX('1-DATA'!$1:$1048576,IF(OR($B126="STD. DEVIATION",$C$1=1),$A126,$A126+1),COLUMN('1-DATA'!AP124)),IF($B126="STD. DEVIATION",2,$F$1))))</f>
        <v/>
      </c>
      <c r="AR126" s="1" t="str">
        <f>IF(OR($B126="",AR$7=""),"",IF($B126="MEANS",INDEX('1-DATA'!$1:$1048576,$A125-1,COLUMN('1-DATA'!AQ124)),ROUND(INDEX('1-DATA'!$1:$1048576,IF(OR($B126="STD. DEVIATION",$C$1=1),$A126,$A126+1),COLUMN('1-DATA'!AQ124)),IF($B126="STD. DEVIATION",2,$F$1))))</f>
        <v/>
      </c>
      <c r="AS126" s="1" t="str">
        <f>IF(OR($B126="",AS$7=""),"",IF($B126="MEANS",INDEX('1-DATA'!$1:$1048576,$A125-1,COLUMN('1-DATA'!AR124)),ROUND(INDEX('1-DATA'!$1:$1048576,IF(OR($B126="STD. DEVIATION",$C$1=1),$A126,$A126+1),COLUMN('1-DATA'!AR124)),IF($B126="STD. DEVIATION",2,$F$1))))</f>
        <v/>
      </c>
      <c r="AT126" s="1" t="str">
        <f>IF(OR($B126="",AT$7=""),"",IF($B126="MEANS",INDEX('1-DATA'!$1:$1048576,$A125-1,COLUMN('1-DATA'!AS124)),ROUND(INDEX('1-DATA'!$1:$1048576,IF(OR($B126="STD. DEVIATION",$C$1=1),$A126,$A126+1),COLUMN('1-DATA'!AS124)),IF($B126="STD. DEVIATION",2,$F$1))))</f>
        <v/>
      </c>
      <c r="AU126" s="1" t="str">
        <f>IF(OR($B126="",AU$7=""),"",IF($B126="MEANS",INDEX('1-DATA'!$1:$1048576,$A125-1,COLUMN('1-DATA'!AT124)),ROUND(INDEX('1-DATA'!$1:$1048576,IF(OR($B126="STD. DEVIATION",$C$1=1),$A126,$A126+1),COLUMN('1-DATA'!AT124)),IF($B126="STD. DEVIATION",2,$F$1))))</f>
        <v/>
      </c>
      <c r="AV126" s="1" t="str">
        <f>IF(OR($B126="",AV$7=""),"",IF($B126="MEANS",INDEX('1-DATA'!$1:$1048576,$A125-1,COLUMN('1-DATA'!AU124)),ROUND(INDEX('1-DATA'!$1:$1048576,IF(OR($B126="STD. DEVIATION",$C$1=1),$A126,$A126+1),COLUMN('1-DATA'!AU124)),IF($B126="STD. DEVIATION",2,$F$1))))</f>
        <v/>
      </c>
      <c r="AW126" s="1" t="str">
        <f>IF(OR($B126="",AW$7=""),"",IF($B126="MEANS",INDEX('1-DATA'!$1:$1048576,$A125-1,COLUMN('1-DATA'!AV124)),ROUND(INDEX('1-DATA'!$1:$1048576,IF(OR($B126="STD. DEVIATION",$C$1=1),$A126,$A126+1),COLUMN('1-DATA'!AV124)),IF($B126="STD. DEVIATION",2,$F$1))))</f>
        <v/>
      </c>
      <c r="AX126" s="1" t="str">
        <f>IF(OR($B126="",AX$7=""),"",IF($B126="MEANS",INDEX('1-DATA'!$1:$1048576,$A125-1,COLUMN('1-DATA'!AW124)),ROUND(INDEX('1-DATA'!$1:$1048576,IF(OR($B126="STD. DEVIATION",$C$1=1),$A126,$A126+1),COLUMN('1-DATA'!AW124)),IF($B126="STD. DEVIATION",2,$F$1))))</f>
        <v/>
      </c>
      <c r="AY126" s="1" t="str">
        <f>IF(OR($B126="",AY$7=""),"",IF($B126="MEANS",INDEX('1-DATA'!$1:$1048576,$A125-1,COLUMN('1-DATA'!AX124)),ROUND(INDEX('1-DATA'!$1:$1048576,IF(OR($B126="STD. DEVIATION",$C$1=1),$A126,$A126+1),COLUMN('1-DATA'!AX124)),IF($B126="STD. DEVIATION",2,$F$1))))</f>
        <v/>
      </c>
      <c r="AZ126" s="1" t="str">
        <f>IF(OR($B126="",AZ$7=""),"",IF($B126="MEANS",INDEX('1-DATA'!$1:$1048576,$A125-1,COLUMN('1-DATA'!AY124)),ROUND(INDEX('1-DATA'!$1:$1048576,IF(OR($B126="STD. DEVIATION",$C$1=1),$A126,$A126+1),COLUMN('1-DATA'!AY124)),IF($B126="STD. DEVIATION",2,$F$1))))</f>
        <v/>
      </c>
    </row>
    <row r="127" spans="1:52" x14ac:dyDescent="0.25">
      <c r="A127" s="11">
        <f t="shared" si="2"/>
        <v>367</v>
      </c>
      <c r="B127" s="1" t="str">
        <f>IF(B126="STD. DEVIATION",INDEX('1-DATA'!$1:$1048576,$A126-1,1),IF(INDEX('1-DATA'!$1:$1048576,$A127,1)&lt;&gt;"",INDEX('1-DATA'!$1:$1048576,$A127,1),""))</f>
        <v/>
      </c>
      <c r="C127" s="1" t="str">
        <f>IF(OR($B127="",C$7=""),"",IF($B127="MEANS",INDEX('1-DATA'!$1:$1048576,$A126-1,COLUMN('1-DATA'!B125)),ROUND(INDEX('1-DATA'!$1:$1048576,IF(OR($B127="STD. DEVIATION",$C$1=1),$A127,$A127+1),COLUMN('1-DATA'!B125)),IF($B127="STD. DEVIATION",2,$F$1))))</f>
        <v/>
      </c>
      <c r="D127" s="1" t="str">
        <f>IF(OR($B127="",D$7=""),"",IF($B127="MEANS",INDEX('1-DATA'!$1:$1048576,$A126-1,COLUMN('1-DATA'!C125)),ROUND(INDEX('1-DATA'!$1:$1048576,IF(OR($B127="STD. DEVIATION",$C$1=1),$A127,$A127+1),COLUMN('1-DATA'!C125)),IF($B127="STD. DEVIATION",2,$F$1))))</f>
        <v/>
      </c>
      <c r="E127" s="1" t="str">
        <f>IF(OR($B127="",E$7=""),"",IF($B127="MEANS",INDEX('1-DATA'!$1:$1048576,$A126-1,COLUMN('1-DATA'!D125)),ROUND(INDEX('1-DATA'!$1:$1048576,IF(OR($B127="STD. DEVIATION",$C$1=1),$A127,$A127+1),COLUMN('1-DATA'!D125)),IF($B127="STD. DEVIATION",2,$F$1))))</f>
        <v/>
      </c>
      <c r="F127" s="1" t="str">
        <f>IF(OR($B127="",F$7=""),"",IF($B127="MEANS",INDEX('1-DATA'!$1:$1048576,$A126-1,COLUMN('1-DATA'!E125)),ROUND(INDEX('1-DATA'!$1:$1048576,IF(OR($B127="STD. DEVIATION",$C$1=1),$A127,$A127+1),COLUMN('1-DATA'!E125)),IF($B127="STD. DEVIATION",2,$F$1))))</f>
        <v/>
      </c>
      <c r="G127" s="1" t="str">
        <f>IF(OR($B127="",G$7=""),"",IF($B127="MEANS",INDEX('1-DATA'!$1:$1048576,$A126-1,COLUMN('1-DATA'!F125)),ROUND(INDEX('1-DATA'!$1:$1048576,IF(OR($B127="STD. DEVIATION",$C$1=1),$A127,$A127+1),COLUMN('1-DATA'!F125)),IF($B127="STD. DEVIATION",2,$F$1))))</f>
        <v/>
      </c>
      <c r="H127" s="1" t="str">
        <f>IF(OR($B127="",H$7=""),"",IF($B127="MEANS",INDEX('1-DATA'!$1:$1048576,$A126-1,COLUMN('1-DATA'!G125)),ROUND(INDEX('1-DATA'!$1:$1048576,IF(OR($B127="STD. DEVIATION",$C$1=1),$A127,$A127+1),COLUMN('1-DATA'!G125)),IF($B127="STD. DEVIATION",2,$F$1))))</f>
        <v/>
      </c>
      <c r="I127" s="1" t="str">
        <f>IF(OR($B127="",I$7=""),"",IF($B127="MEANS",INDEX('1-DATA'!$1:$1048576,$A126-1,COLUMN('1-DATA'!H125)),ROUND(INDEX('1-DATA'!$1:$1048576,IF(OR($B127="STD. DEVIATION",$C$1=1),$A127,$A127+1),COLUMN('1-DATA'!H125)),IF($B127="STD. DEVIATION",2,$F$1))))</f>
        <v/>
      </c>
      <c r="J127" s="1" t="str">
        <f>IF(OR($B127="",J$7=""),"",IF($B127="MEANS",INDEX('1-DATA'!$1:$1048576,$A126-1,COLUMN('1-DATA'!I125)),ROUND(INDEX('1-DATA'!$1:$1048576,IF(OR($B127="STD. DEVIATION",$C$1=1),$A127,$A127+1),COLUMN('1-DATA'!I125)),IF($B127="STD. DEVIATION",2,$F$1))))</f>
        <v/>
      </c>
      <c r="K127" s="1" t="str">
        <f>IF(OR($B127="",K$7=""),"",IF($B127="MEANS",INDEX('1-DATA'!$1:$1048576,$A126-1,COLUMN('1-DATA'!J125)),ROUND(INDEX('1-DATA'!$1:$1048576,IF(OR($B127="STD. DEVIATION",$C$1=1),$A127,$A127+1),COLUMN('1-DATA'!J125)),IF($B127="STD. DEVIATION",2,$F$1))))</f>
        <v/>
      </c>
      <c r="L127" s="1" t="str">
        <f>IF(OR($B127="",L$7=""),"",IF($B127="MEANS",INDEX('1-DATA'!$1:$1048576,$A126-1,COLUMN('1-DATA'!K125)),ROUND(INDEX('1-DATA'!$1:$1048576,IF(OR($B127="STD. DEVIATION",$C$1=1),$A127,$A127+1),COLUMN('1-DATA'!K125)),IF($B127="STD. DEVIATION",2,$F$1))))</f>
        <v/>
      </c>
      <c r="M127" s="1" t="str">
        <f>IF(OR($B127="",M$7=""),"",IF($B127="MEANS",INDEX('1-DATA'!$1:$1048576,$A126-1,COLUMN('1-DATA'!L125)),ROUND(INDEX('1-DATA'!$1:$1048576,IF(OR($B127="STD. DEVIATION",$C$1=1),$A127,$A127+1),COLUMN('1-DATA'!L125)),IF($B127="STD. DEVIATION",2,$F$1))))</f>
        <v/>
      </c>
      <c r="N127" s="1" t="str">
        <f>IF(OR($B127="",N$7=""),"",IF($B127="MEANS",INDEX('1-DATA'!$1:$1048576,$A126-1,COLUMN('1-DATA'!M125)),ROUND(INDEX('1-DATA'!$1:$1048576,IF(OR($B127="STD. DEVIATION",$C$1=1),$A127,$A127+1),COLUMN('1-DATA'!M125)),IF($B127="STD. DEVIATION",2,$F$1))))</f>
        <v/>
      </c>
      <c r="O127" s="1" t="str">
        <f>IF(OR($B127="",O$7=""),"",IF($B127="MEANS",INDEX('1-DATA'!$1:$1048576,$A126-1,COLUMN('1-DATA'!N125)),ROUND(INDEX('1-DATA'!$1:$1048576,IF(OR($B127="STD. DEVIATION",$C$1=1),$A127,$A127+1),COLUMN('1-DATA'!N125)),IF($B127="STD. DEVIATION",2,$F$1))))</f>
        <v/>
      </c>
      <c r="P127" s="1" t="str">
        <f>IF(OR($B127="",P$7=""),"",IF($B127="MEANS",INDEX('1-DATA'!$1:$1048576,$A126-1,COLUMN('1-DATA'!O125)),ROUND(INDEX('1-DATA'!$1:$1048576,IF(OR($B127="STD. DEVIATION",$C$1=1),$A127,$A127+1),COLUMN('1-DATA'!O125)),IF($B127="STD. DEVIATION",2,$F$1))))</f>
        <v/>
      </c>
      <c r="Q127" s="1" t="str">
        <f>IF(OR($B127="",Q$7=""),"",IF($B127="MEANS",INDEX('1-DATA'!$1:$1048576,$A126-1,COLUMN('1-DATA'!P125)),ROUND(INDEX('1-DATA'!$1:$1048576,IF(OR($B127="STD. DEVIATION",$C$1=1),$A127,$A127+1),COLUMN('1-DATA'!P125)),IF($B127="STD. DEVIATION",2,$F$1))))</f>
        <v/>
      </c>
      <c r="R127" s="1" t="str">
        <f>IF(OR($B127="",R$7=""),"",IF($B127="MEANS",INDEX('1-DATA'!$1:$1048576,$A126-1,COLUMN('1-DATA'!Q125)),ROUND(INDEX('1-DATA'!$1:$1048576,IF(OR($B127="STD. DEVIATION",$C$1=1),$A127,$A127+1),COLUMN('1-DATA'!Q125)),IF($B127="STD. DEVIATION",2,$F$1))))</f>
        <v/>
      </c>
      <c r="S127" s="1" t="str">
        <f>IF(OR($B127="",S$7=""),"",IF($B127="MEANS",INDEX('1-DATA'!$1:$1048576,$A126-1,COLUMN('1-DATA'!R125)),ROUND(INDEX('1-DATA'!$1:$1048576,IF(OR($B127="STD. DEVIATION",$C$1=1),$A127,$A127+1),COLUMN('1-DATA'!R125)),IF($B127="STD. DEVIATION",2,$F$1))))</f>
        <v/>
      </c>
      <c r="T127" s="1" t="str">
        <f>IF(OR($B127="",T$7=""),"",IF($B127="MEANS",INDEX('1-DATA'!$1:$1048576,$A126-1,COLUMN('1-DATA'!S125)),ROUND(INDEX('1-DATA'!$1:$1048576,IF(OR($B127="STD. DEVIATION",$C$1=1),$A127,$A127+1),COLUMN('1-DATA'!S125)),IF($B127="STD. DEVIATION",2,$F$1))))</f>
        <v/>
      </c>
      <c r="U127" s="1" t="str">
        <f>IF(OR($B127="",U$7=""),"",IF($B127="MEANS",INDEX('1-DATA'!$1:$1048576,$A126-1,COLUMN('1-DATA'!T125)),ROUND(INDEX('1-DATA'!$1:$1048576,IF(OR($B127="STD. DEVIATION",$C$1=1),$A127,$A127+1),COLUMN('1-DATA'!T125)),IF($B127="STD. DEVIATION",2,$F$1))))</f>
        <v/>
      </c>
      <c r="V127" s="1" t="str">
        <f>IF(OR($B127="",V$7=""),"",IF($B127="MEANS",INDEX('1-DATA'!$1:$1048576,$A126-1,COLUMN('1-DATA'!U125)),ROUND(INDEX('1-DATA'!$1:$1048576,IF(OR($B127="STD. DEVIATION",$C$1=1),$A127,$A127+1),COLUMN('1-DATA'!U125)),IF($B127="STD. DEVIATION",2,$F$1))))</f>
        <v/>
      </c>
      <c r="W127" s="1" t="str">
        <f>IF(OR($B127="",W$7=""),"",IF($B127="MEANS",INDEX('1-DATA'!$1:$1048576,$A126-1,COLUMN('1-DATA'!V125)),ROUND(INDEX('1-DATA'!$1:$1048576,IF(OR($B127="STD. DEVIATION",$C$1=1),$A127,$A127+1),COLUMN('1-DATA'!V125)),IF($B127="STD. DEVIATION",2,$F$1))))</f>
        <v/>
      </c>
      <c r="X127" s="1" t="str">
        <f>IF(OR($B127="",X$7=""),"",IF($B127="MEANS",INDEX('1-DATA'!$1:$1048576,$A126-1,COLUMN('1-DATA'!W125)),ROUND(INDEX('1-DATA'!$1:$1048576,IF(OR($B127="STD. DEVIATION",$C$1=1),$A127,$A127+1),COLUMN('1-DATA'!W125)),IF($B127="STD. DEVIATION",2,$F$1))))</f>
        <v/>
      </c>
      <c r="Y127" s="1" t="str">
        <f>IF(OR($B127="",Y$7=""),"",IF($B127="MEANS",INDEX('1-DATA'!$1:$1048576,$A126-1,COLUMN('1-DATA'!X125)),ROUND(INDEX('1-DATA'!$1:$1048576,IF(OR($B127="STD. DEVIATION",$C$1=1),$A127,$A127+1),COLUMN('1-DATA'!X125)),IF($B127="STD. DEVIATION",2,$F$1))))</f>
        <v/>
      </c>
      <c r="Z127" s="1" t="str">
        <f>IF(OR($B127="",Z$7=""),"",IF($B127="MEANS",INDEX('1-DATA'!$1:$1048576,$A126-1,COLUMN('1-DATA'!Y125)),ROUND(INDEX('1-DATA'!$1:$1048576,IF(OR($B127="STD. DEVIATION",$C$1=1),$A127,$A127+1),COLUMN('1-DATA'!Y125)),IF($B127="STD. DEVIATION",2,$F$1))))</f>
        <v/>
      </c>
      <c r="AA127" s="1" t="str">
        <f>IF(OR($B127="",AA$7=""),"",IF($B127="MEANS",INDEX('1-DATA'!$1:$1048576,$A126-1,COLUMN('1-DATA'!Z125)),ROUND(INDEX('1-DATA'!$1:$1048576,IF(OR($B127="STD. DEVIATION",$C$1=1),$A127,$A127+1),COLUMN('1-DATA'!Z125)),IF($B127="STD. DEVIATION",2,$F$1))))</f>
        <v/>
      </c>
      <c r="AB127" s="1" t="str">
        <f>IF(OR($B127="",AB$7=""),"",IF($B127="MEANS",INDEX('1-DATA'!$1:$1048576,$A126-1,COLUMN('1-DATA'!AA125)),ROUND(INDEX('1-DATA'!$1:$1048576,IF(OR($B127="STD. DEVIATION",$C$1=1),$A127,$A127+1),COLUMN('1-DATA'!AA125)),IF($B127="STD. DEVIATION",2,$F$1))))</f>
        <v/>
      </c>
      <c r="AC127" s="1" t="str">
        <f>IF(OR($B127="",AC$7=""),"",IF($B127="MEANS",INDEX('1-DATA'!$1:$1048576,$A126-1,COLUMN('1-DATA'!AB125)),ROUND(INDEX('1-DATA'!$1:$1048576,IF(OR($B127="STD. DEVIATION",$C$1=1),$A127,$A127+1),COLUMN('1-DATA'!AB125)),IF($B127="STD. DEVIATION",2,$F$1))))</f>
        <v/>
      </c>
      <c r="AD127" s="1" t="str">
        <f>IF(OR($B127="",AD$7=""),"",IF($B127="MEANS",INDEX('1-DATA'!$1:$1048576,$A126-1,COLUMN('1-DATA'!AC125)),ROUND(INDEX('1-DATA'!$1:$1048576,IF(OR($B127="STD. DEVIATION",$C$1=1),$A127,$A127+1),COLUMN('1-DATA'!AC125)),IF($B127="STD. DEVIATION",2,$F$1))))</f>
        <v/>
      </c>
      <c r="AE127" s="1" t="str">
        <f>IF(OR($B127="",AE$7=""),"",IF($B127="MEANS",INDEX('1-DATA'!$1:$1048576,$A126-1,COLUMN('1-DATA'!AD125)),ROUND(INDEX('1-DATA'!$1:$1048576,IF(OR($B127="STD. DEVIATION",$C$1=1),$A127,$A127+1),COLUMN('1-DATA'!AD125)),IF($B127="STD. DEVIATION",2,$F$1))))</f>
        <v/>
      </c>
      <c r="AF127" s="1" t="str">
        <f>IF(OR($B127="",AF$7=""),"",IF($B127="MEANS",INDEX('1-DATA'!$1:$1048576,$A126-1,COLUMN('1-DATA'!AE125)),ROUND(INDEX('1-DATA'!$1:$1048576,IF(OR($B127="STD. DEVIATION",$C$1=1),$A127,$A127+1),COLUMN('1-DATA'!AE125)),IF($B127="STD. DEVIATION",2,$F$1))))</f>
        <v/>
      </c>
      <c r="AG127" s="1" t="str">
        <f>IF(OR($B127="",AG$7=""),"",IF($B127="MEANS",INDEX('1-DATA'!$1:$1048576,$A126-1,COLUMN('1-DATA'!AF125)),ROUND(INDEX('1-DATA'!$1:$1048576,IF(OR($B127="STD. DEVIATION",$C$1=1),$A127,$A127+1),COLUMN('1-DATA'!AF125)),IF($B127="STD. DEVIATION",2,$F$1))))</f>
        <v/>
      </c>
      <c r="AH127" s="1" t="str">
        <f>IF(OR($B127="",AH$7=""),"",IF($B127="MEANS",INDEX('1-DATA'!$1:$1048576,$A126-1,COLUMN('1-DATA'!AG125)),ROUND(INDEX('1-DATA'!$1:$1048576,IF(OR($B127="STD. DEVIATION",$C$1=1),$A127,$A127+1),COLUMN('1-DATA'!AG125)),IF($B127="STD. DEVIATION",2,$F$1))))</f>
        <v/>
      </c>
      <c r="AI127" s="1" t="str">
        <f>IF(OR($B127="",AI$7=""),"",IF($B127="MEANS",INDEX('1-DATA'!$1:$1048576,$A126-1,COLUMN('1-DATA'!AH125)),ROUND(INDEX('1-DATA'!$1:$1048576,IF(OR($B127="STD. DEVIATION",$C$1=1),$A127,$A127+1),COLUMN('1-DATA'!AH125)),IF($B127="STD. DEVIATION",2,$F$1))))</f>
        <v/>
      </c>
      <c r="AJ127" s="1" t="str">
        <f>IF(OR($B127="",AJ$7=""),"",IF($B127="MEANS",INDEX('1-DATA'!$1:$1048576,$A126-1,COLUMN('1-DATA'!AI125)),ROUND(INDEX('1-DATA'!$1:$1048576,IF(OR($B127="STD. DEVIATION",$C$1=1),$A127,$A127+1),COLUMN('1-DATA'!AI125)),IF($B127="STD. DEVIATION",2,$F$1))))</f>
        <v/>
      </c>
      <c r="AK127" s="1" t="str">
        <f>IF(OR($B127="",AK$7=""),"",IF($B127="MEANS",INDEX('1-DATA'!$1:$1048576,$A126-1,COLUMN('1-DATA'!AJ125)),ROUND(INDEX('1-DATA'!$1:$1048576,IF(OR($B127="STD. DEVIATION",$C$1=1),$A127,$A127+1),COLUMN('1-DATA'!AJ125)),IF($B127="STD. DEVIATION",2,$F$1))))</f>
        <v/>
      </c>
      <c r="AL127" s="1" t="str">
        <f>IF(OR($B127="",AL$7=""),"",IF($B127="MEANS",INDEX('1-DATA'!$1:$1048576,$A126-1,COLUMN('1-DATA'!AK125)),ROUND(INDEX('1-DATA'!$1:$1048576,IF(OR($B127="STD. DEVIATION",$C$1=1),$A127,$A127+1),COLUMN('1-DATA'!AK125)),IF($B127="STD. DEVIATION",2,$F$1))))</f>
        <v/>
      </c>
      <c r="AM127" s="1" t="str">
        <f>IF(OR($B127="",AM$7=""),"",IF($B127="MEANS",INDEX('1-DATA'!$1:$1048576,$A126-1,COLUMN('1-DATA'!AL125)),ROUND(INDEX('1-DATA'!$1:$1048576,IF(OR($B127="STD. DEVIATION",$C$1=1),$A127,$A127+1),COLUMN('1-DATA'!AL125)),IF($B127="STD. DEVIATION",2,$F$1))))</f>
        <v/>
      </c>
      <c r="AN127" s="1" t="str">
        <f>IF(OR($B127="",AN$7=""),"",IF($B127="MEANS",INDEX('1-DATA'!$1:$1048576,$A126-1,COLUMN('1-DATA'!AM125)),ROUND(INDEX('1-DATA'!$1:$1048576,IF(OR($B127="STD. DEVIATION",$C$1=1),$A127,$A127+1),COLUMN('1-DATA'!AM125)),IF($B127="STD. DEVIATION",2,$F$1))))</f>
        <v/>
      </c>
      <c r="AO127" s="1" t="str">
        <f>IF(OR($B127="",AO$7=""),"",IF($B127="MEANS",INDEX('1-DATA'!$1:$1048576,$A126-1,COLUMN('1-DATA'!AN125)),ROUND(INDEX('1-DATA'!$1:$1048576,IF(OR($B127="STD. DEVIATION",$C$1=1),$A127,$A127+1),COLUMN('1-DATA'!AN125)),IF($B127="STD. DEVIATION",2,$F$1))))</f>
        <v/>
      </c>
      <c r="AP127" s="1" t="str">
        <f>IF(OR($B127="",AP$7=""),"",IF($B127="MEANS",INDEX('1-DATA'!$1:$1048576,$A126-1,COLUMN('1-DATA'!AO125)),ROUND(INDEX('1-DATA'!$1:$1048576,IF(OR($B127="STD. DEVIATION",$C$1=1),$A127,$A127+1),COLUMN('1-DATA'!AO125)),IF($B127="STD. DEVIATION",2,$F$1))))</f>
        <v/>
      </c>
      <c r="AQ127" s="1" t="str">
        <f>IF(OR($B127="",AQ$7=""),"",IF($B127="MEANS",INDEX('1-DATA'!$1:$1048576,$A126-1,COLUMN('1-DATA'!AP125)),ROUND(INDEX('1-DATA'!$1:$1048576,IF(OR($B127="STD. DEVIATION",$C$1=1),$A127,$A127+1),COLUMN('1-DATA'!AP125)),IF($B127="STD. DEVIATION",2,$F$1))))</f>
        <v/>
      </c>
      <c r="AR127" s="1" t="str">
        <f>IF(OR($B127="",AR$7=""),"",IF($B127="MEANS",INDEX('1-DATA'!$1:$1048576,$A126-1,COLUMN('1-DATA'!AQ125)),ROUND(INDEX('1-DATA'!$1:$1048576,IF(OR($B127="STD. DEVIATION",$C$1=1),$A127,$A127+1),COLUMN('1-DATA'!AQ125)),IF($B127="STD. DEVIATION",2,$F$1))))</f>
        <v/>
      </c>
      <c r="AS127" s="1" t="str">
        <f>IF(OR($B127="",AS$7=""),"",IF($B127="MEANS",INDEX('1-DATA'!$1:$1048576,$A126-1,COLUMN('1-DATA'!AR125)),ROUND(INDEX('1-DATA'!$1:$1048576,IF(OR($B127="STD. DEVIATION",$C$1=1),$A127,$A127+1),COLUMN('1-DATA'!AR125)),IF($B127="STD. DEVIATION",2,$F$1))))</f>
        <v/>
      </c>
      <c r="AT127" s="1" t="str">
        <f>IF(OR($B127="",AT$7=""),"",IF($B127="MEANS",INDEX('1-DATA'!$1:$1048576,$A126-1,COLUMN('1-DATA'!AS125)),ROUND(INDEX('1-DATA'!$1:$1048576,IF(OR($B127="STD. DEVIATION",$C$1=1),$A127,$A127+1),COLUMN('1-DATA'!AS125)),IF($B127="STD. DEVIATION",2,$F$1))))</f>
        <v/>
      </c>
      <c r="AU127" s="1" t="str">
        <f>IF(OR($B127="",AU$7=""),"",IF($B127="MEANS",INDEX('1-DATA'!$1:$1048576,$A126-1,COLUMN('1-DATA'!AT125)),ROUND(INDEX('1-DATA'!$1:$1048576,IF(OR($B127="STD. DEVIATION",$C$1=1),$A127,$A127+1),COLUMN('1-DATA'!AT125)),IF($B127="STD. DEVIATION",2,$F$1))))</f>
        <v/>
      </c>
      <c r="AV127" s="1" t="str">
        <f>IF(OR($B127="",AV$7=""),"",IF($B127="MEANS",INDEX('1-DATA'!$1:$1048576,$A126-1,COLUMN('1-DATA'!AU125)),ROUND(INDEX('1-DATA'!$1:$1048576,IF(OR($B127="STD. DEVIATION",$C$1=1),$A127,$A127+1),COLUMN('1-DATA'!AU125)),IF($B127="STD. DEVIATION",2,$F$1))))</f>
        <v/>
      </c>
      <c r="AW127" s="1" t="str">
        <f>IF(OR($B127="",AW$7=""),"",IF($B127="MEANS",INDEX('1-DATA'!$1:$1048576,$A126-1,COLUMN('1-DATA'!AV125)),ROUND(INDEX('1-DATA'!$1:$1048576,IF(OR($B127="STD. DEVIATION",$C$1=1),$A127,$A127+1),COLUMN('1-DATA'!AV125)),IF($B127="STD. DEVIATION",2,$F$1))))</f>
        <v/>
      </c>
      <c r="AX127" s="1" t="str">
        <f>IF(OR($B127="",AX$7=""),"",IF($B127="MEANS",INDEX('1-DATA'!$1:$1048576,$A126-1,COLUMN('1-DATA'!AW125)),ROUND(INDEX('1-DATA'!$1:$1048576,IF(OR($B127="STD. DEVIATION",$C$1=1),$A127,$A127+1),COLUMN('1-DATA'!AW125)),IF($B127="STD. DEVIATION",2,$F$1))))</f>
        <v/>
      </c>
      <c r="AY127" s="1" t="str">
        <f>IF(OR($B127="",AY$7=""),"",IF($B127="MEANS",INDEX('1-DATA'!$1:$1048576,$A126-1,COLUMN('1-DATA'!AX125)),ROUND(INDEX('1-DATA'!$1:$1048576,IF(OR($B127="STD. DEVIATION",$C$1=1),$A127,$A127+1),COLUMN('1-DATA'!AX125)),IF($B127="STD. DEVIATION",2,$F$1))))</f>
        <v/>
      </c>
      <c r="AZ127" s="1" t="str">
        <f>IF(OR($B127="",AZ$7=""),"",IF($B127="MEANS",INDEX('1-DATA'!$1:$1048576,$A126-1,COLUMN('1-DATA'!AY125)),ROUND(INDEX('1-DATA'!$1:$1048576,IF(OR($B127="STD. DEVIATION",$C$1=1),$A127,$A127+1),COLUMN('1-DATA'!AY125)),IF($B127="STD. DEVIATION",2,$F$1))))</f>
        <v/>
      </c>
    </row>
    <row r="128" spans="1:52" x14ac:dyDescent="0.25">
      <c r="A128" s="11">
        <f t="shared" si="2"/>
        <v>370</v>
      </c>
      <c r="B128" s="1" t="str">
        <f>IF(B127="STD. DEVIATION",INDEX('1-DATA'!$1:$1048576,$A127-1,1),IF(INDEX('1-DATA'!$1:$1048576,$A128,1)&lt;&gt;"",INDEX('1-DATA'!$1:$1048576,$A128,1),""))</f>
        <v/>
      </c>
      <c r="C128" s="1" t="str">
        <f>IF(OR($B128="",C$7=""),"",IF($B128="MEANS",INDEX('1-DATA'!$1:$1048576,$A127-1,COLUMN('1-DATA'!B126)),ROUND(INDEX('1-DATA'!$1:$1048576,IF(OR($B128="STD. DEVIATION",$C$1=1),$A128,$A128+1),COLUMN('1-DATA'!B126)),IF($B128="STD. DEVIATION",2,$F$1))))</f>
        <v/>
      </c>
      <c r="D128" s="1" t="str">
        <f>IF(OR($B128="",D$7=""),"",IF($B128="MEANS",INDEX('1-DATA'!$1:$1048576,$A127-1,COLUMN('1-DATA'!C126)),ROUND(INDEX('1-DATA'!$1:$1048576,IF(OR($B128="STD. DEVIATION",$C$1=1),$A128,$A128+1),COLUMN('1-DATA'!C126)),IF($B128="STD. DEVIATION",2,$F$1))))</f>
        <v/>
      </c>
      <c r="E128" s="1" t="str">
        <f>IF(OR($B128="",E$7=""),"",IF($B128="MEANS",INDEX('1-DATA'!$1:$1048576,$A127-1,COLUMN('1-DATA'!D126)),ROUND(INDEX('1-DATA'!$1:$1048576,IF(OR($B128="STD. DEVIATION",$C$1=1),$A128,$A128+1),COLUMN('1-DATA'!D126)),IF($B128="STD. DEVIATION",2,$F$1))))</f>
        <v/>
      </c>
      <c r="F128" s="1" t="str">
        <f>IF(OR($B128="",F$7=""),"",IF($B128="MEANS",INDEX('1-DATA'!$1:$1048576,$A127-1,COLUMN('1-DATA'!E126)),ROUND(INDEX('1-DATA'!$1:$1048576,IF(OR($B128="STD. DEVIATION",$C$1=1),$A128,$A128+1),COLUMN('1-DATA'!E126)),IF($B128="STD. DEVIATION",2,$F$1))))</f>
        <v/>
      </c>
      <c r="G128" s="1" t="str">
        <f>IF(OR($B128="",G$7=""),"",IF($B128="MEANS",INDEX('1-DATA'!$1:$1048576,$A127-1,COLUMN('1-DATA'!F126)),ROUND(INDEX('1-DATA'!$1:$1048576,IF(OR($B128="STD. DEVIATION",$C$1=1),$A128,$A128+1),COLUMN('1-DATA'!F126)),IF($B128="STD. DEVIATION",2,$F$1))))</f>
        <v/>
      </c>
      <c r="H128" s="1" t="str">
        <f>IF(OR($B128="",H$7=""),"",IF($B128="MEANS",INDEX('1-DATA'!$1:$1048576,$A127-1,COLUMN('1-DATA'!G126)),ROUND(INDEX('1-DATA'!$1:$1048576,IF(OR($B128="STD. DEVIATION",$C$1=1),$A128,$A128+1),COLUMN('1-DATA'!G126)),IF($B128="STD. DEVIATION",2,$F$1))))</f>
        <v/>
      </c>
      <c r="I128" s="1" t="str">
        <f>IF(OR($B128="",I$7=""),"",IF($B128="MEANS",INDEX('1-DATA'!$1:$1048576,$A127-1,COLUMN('1-DATA'!H126)),ROUND(INDEX('1-DATA'!$1:$1048576,IF(OR($B128="STD. DEVIATION",$C$1=1),$A128,$A128+1),COLUMN('1-DATA'!H126)),IF($B128="STD. DEVIATION",2,$F$1))))</f>
        <v/>
      </c>
      <c r="J128" s="1" t="str">
        <f>IF(OR($B128="",J$7=""),"",IF($B128="MEANS",INDEX('1-DATA'!$1:$1048576,$A127-1,COLUMN('1-DATA'!I126)),ROUND(INDEX('1-DATA'!$1:$1048576,IF(OR($B128="STD. DEVIATION",$C$1=1),$A128,$A128+1),COLUMN('1-DATA'!I126)),IF($B128="STD. DEVIATION",2,$F$1))))</f>
        <v/>
      </c>
      <c r="K128" s="1" t="str">
        <f>IF(OR($B128="",K$7=""),"",IF($B128="MEANS",INDEX('1-DATA'!$1:$1048576,$A127-1,COLUMN('1-DATA'!J126)),ROUND(INDEX('1-DATA'!$1:$1048576,IF(OR($B128="STD. DEVIATION",$C$1=1),$A128,$A128+1),COLUMN('1-DATA'!J126)),IF($B128="STD. DEVIATION",2,$F$1))))</f>
        <v/>
      </c>
      <c r="L128" s="1" t="str">
        <f>IF(OR($B128="",L$7=""),"",IF($B128="MEANS",INDEX('1-DATA'!$1:$1048576,$A127-1,COLUMN('1-DATA'!K126)),ROUND(INDEX('1-DATA'!$1:$1048576,IF(OR($B128="STD. DEVIATION",$C$1=1),$A128,$A128+1),COLUMN('1-DATA'!K126)),IF($B128="STD. DEVIATION",2,$F$1))))</f>
        <v/>
      </c>
      <c r="M128" s="1" t="str">
        <f>IF(OR($B128="",M$7=""),"",IF($B128="MEANS",INDEX('1-DATA'!$1:$1048576,$A127-1,COLUMN('1-DATA'!L126)),ROUND(INDEX('1-DATA'!$1:$1048576,IF(OR($B128="STD. DEVIATION",$C$1=1),$A128,$A128+1),COLUMN('1-DATA'!L126)),IF($B128="STD. DEVIATION",2,$F$1))))</f>
        <v/>
      </c>
      <c r="N128" s="1" t="str">
        <f>IF(OR($B128="",N$7=""),"",IF($B128="MEANS",INDEX('1-DATA'!$1:$1048576,$A127-1,COLUMN('1-DATA'!M126)),ROUND(INDEX('1-DATA'!$1:$1048576,IF(OR($B128="STD. DEVIATION",$C$1=1),$A128,$A128+1),COLUMN('1-DATA'!M126)),IF($B128="STD. DEVIATION",2,$F$1))))</f>
        <v/>
      </c>
      <c r="O128" s="1" t="str">
        <f>IF(OR($B128="",O$7=""),"",IF($B128="MEANS",INDEX('1-DATA'!$1:$1048576,$A127-1,COLUMN('1-DATA'!N126)),ROUND(INDEX('1-DATA'!$1:$1048576,IF(OR($B128="STD. DEVIATION",$C$1=1),$A128,$A128+1),COLUMN('1-DATA'!N126)),IF($B128="STD. DEVIATION",2,$F$1))))</f>
        <v/>
      </c>
      <c r="P128" s="1" t="str">
        <f>IF(OR($B128="",P$7=""),"",IF($B128="MEANS",INDEX('1-DATA'!$1:$1048576,$A127-1,COLUMN('1-DATA'!O126)),ROUND(INDEX('1-DATA'!$1:$1048576,IF(OR($B128="STD. DEVIATION",$C$1=1),$A128,$A128+1),COLUMN('1-DATA'!O126)),IF($B128="STD. DEVIATION",2,$F$1))))</f>
        <v/>
      </c>
      <c r="Q128" s="1" t="str">
        <f>IF(OR($B128="",Q$7=""),"",IF($B128="MEANS",INDEX('1-DATA'!$1:$1048576,$A127-1,COLUMN('1-DATA'!P126)),ROUND(INDEX('1-DATA'!$1:$1048576,IF(OR($B128="STD. DEVIATION",$C$1=1),$A128,$A128+1),COLUMN('1-DATA'!P126)),IF($B128="STD. DEVIATION",2,$F$1))))</f>
        <v/>
      </c>
      <c r="R128" s="1" t="str">
        <f>IF(OR($B128="",R$7=""),"",IF($B128="MEANS",INDEX('1-DATA'!$1:$1048576,$A127-1,COLUMN('1-DATA'!Q126)),ROUND(INDEX('1-DATA'!$1:$1048576,IF(OR($B128="STD. DEVIATION",$C$1=1),$A128,$A128+1),COLUMN('1-DATA'!Q126)),IF($B128="STD. DEVIATION",2,$F$1))))</f>
        <v/>
      </c>
      <c r="S128" s="1" t="str">
        <f>IF(OR($B128="",S$7=""),"",IF($B128="MEANS",INDEX('1-DATA'!$1:$1048576,$A127-1,COLUMN('1-DATA'!R126)),ROUND(INDEX('1-DATA'!$1:$1048576,IF(OR($B128="STD. DEVIATION",$C$1=1),$A128,$A128+1),COLUMN('1-DATA'!R126)),IF($B128="STD. DEVIATION",2,$F$1))))</f>
        <v/>
      </c>
      <c r="T128" s="1" t="str">
        <f>IF(OR($B128="",T$7=""),"",IF($B128="MEANS",INDEX('1-DATA'!$1:$1048576,$A127-1,COLUMN('1-DATA'!S126)),ROUND(INDEX('1-DATA'!$1:$1048576,IF(OR($B128="STD. DEVIATION",$C$1=1),$A128,$A128+1),COLUMN('1-DATA'!S126)),IF($B128="STD. DEVIATION",2,$F$1))))</f>
        <v/>
      </c>
      <c r="U128" s="1" t="str">
        <f>IF(OR($B128="",U$7=""),"",IF($B128="MEANS",INDEX('1-DATA'!$1:$1048576,$A127-1,COLUMN('1-DATA'!T126)),ROUND(INDEX('1-DATA'!$1:$1048576,IF(OR($B128="STD. DEVIATION",$C$1=1),$A128,$A128+1),COLUMN('1-DATA'!T126)),IF($B128="STD. DEVIATION",2,$F$1))))</f>
        <v/>
      </c>
      <c r="V128" s="1" t="str">
        <f>IF(OR($B128="",V$7=""),"",IF($B128="MEANS",INDEX('1-DATA'!$1:$1048576,$A127-1,COLUMN('1-DATA'!U126)),ROUND(INDEX('1-DATA'!$1:$1048576,IF(OR($B128="STD. DEVIATION",$C$1=1),$A128,$A128+1),COLUMN('1-DATA'!U126)),IF($B128="STD. DEVIATION",2,$F$1))))</f>
        <v/>
      </c>
      <c r="W128" s="1" t="str">
        <f>IF(OR($B128="",W$7=""),"",IF($B128="MEANS",INDEX('1-DATA'!$1:$1048576,$A127-1,COLUMN('1-DATA'!V126)),ROUND(INDEX('1-DATA'!$1:$1048576,IF(OR($B128="STD. DEVIATION",$C$1=1),$A128,$A128+1),COLUMN('1-DATA'!V126)),IF($B128="STD. DEVIATION",2,$F$1))))</f>
        <v/>
      </c>
      <c r="X128" s="1" t="str">
        <f>IF(OR($B128="",X$7=""),"",IF($B128="MEANS",INDEX('1-DATA'!$1:$1048576,$A127-1,COLUMN('1-DATA'!W126)),ROUND(INDEX('1-DATA'!$1:$1048576,IF(OR($B128="STD. DEVIATION",$C$1=1),$A128,$A128+1),COLUMN('1-DATA'!W126)),IF($B128="STD. DEVIATION",2,$F$1))))</f>
        <v/>
      </c>
      <c r="Y128" s="1" t="str">
        <f>IF(OR($B128="",Y$7=""),"",IF($B128="MEANS",INDEX('1-DATA'!$1:$1048576,$A127-1,COLUMN('1-DATA'!X126)),ROUND(INDEX('1-DATA'!$1:$1048576,IF(OR($B128="STD. DEVIATION",$C$1=1),$A128,$A128+1),COLUMN('1-DATA'!X126)),IF($B128="STD. DEVIATION",2,$F$1))))</f>
        <v/>
      </c>
      <c r="Z128" s="1" t="str">
        <f>IF(OR($B128="",Z$7=""),"",IF($B128="MEANS",INDEX('1-DATA'!$1:$1048576,$A127-1,COLUMN('1-DATA'!Y126)),ROUND(INDEX('1-DATA'!$1:$1048576,IF(OR($B128="STD. DEVIATION",$C$1=1),$A128,$A128+1),COLUMN('1-DATA'!Y126)),IF($B128="STD. DEVIATION",2,$F$1))))</f>
        <v/>
      </c>
      <c r="AA128" s="1" t="str">
        <f>IF(OR($B128="",AA$7=""),"",IF($B128="MEANS",INDEX('1-DATA'!$1:$1048576,$A127-1,COLUMN('1-DATA'!Z126)),ROUND(INDEX('1-DATA'!$1:$1048576,IF(OR($B128="STD. DEVIATION",$C$1=1),$A128,$A128+1),COLUMN('1-DATA'!Z126)),IF($B128="STD. DEVIATION",2,$F$1))))</f>
        <v/>
      </c>
      <c r="AB128" s="1" t="str">
        <f>IF(OR($B128="",AB$7=""),"",IF($B128="MEANS",INDEX('1-DATA'!$1:$1048576,$A127-1,COLUMN('1-DATA'!AA126)),ROUND(INDEX('1-DATA'!$1:$1048576,IF(OR($B128="STD. DEVIATION",$C$1=1),$A128,$A128+1),COLUMN('1-DATA'!AA126)),IF($B128="STD. DEVIATION",2,$F$1))))</f>
        <v/>
      </c>
      <c r="AC128" s="1" t="str">
        <f>IF(OR($B128="",AC$7=""),"",IF($B128="MEANS",INDEX('1-DATA'!$1:$1048576,$A127-1,COLUMN('1-DATA'!AB126)),ROUND(INDEX('1-DATA'!$1:$1048576,IF(OR($B128="STD. DEVIATION",$C$1=1),$A128,$A128+1),COLUMN('1-DATA'!AB126)),IF($B128="STD. DEVIATION",2,$F$1))))</f>
        <v/>
      </c>
      <c r="AD128" s="1" t="str">
        <f>IF(OR($B128="",AD$7=""),"",IF($B128="MEANS",INDEX('1-DATA'!$1:$1048576,$A127-1,COLUMN('1-DATA'!AC126)),ROUND(INDEX('1-DATA'!$1:$1048576,IF(OR($B128="STD. DEVIATION",$C$1=1),$A128,$A128+1),COLUMN('1-DATA'!AC126)),IF($B128="STD. DEVIATION",2,$F$1))))</f>
        <v/>
      </c>
      <c r="AE128" s="1" t="str">
        <f>IF(OR($B128="",AE$7=""),"",IF($B128="MEANS",INDEX('1-DATA'!$1:$1048576,$A127-1,COLUMN('1-DATA'!AD126)),ROUND(INDEX('1-DATA'!$1:$1048576,IF(OR($B128="STD. DEVIATION",$C$1=1),$A128,$A128+1),COLUMN('1-DATA'!AD126)),IF($B128="STD. DEVIATION",2,$F$1))))</f>
        <v/>
      </c>
      <c r="AF128" s="1" t="str">
        <f>IF(OR($B128="",AF$7=""),"",IF($B128="MEANS",INDEX('1-DATA'!$1:$1048576,$A127-1,COLUMN('1-DATA'!AE126)),ROUND(INDEX('1-DATA'!$1:$1048576,IF(OR($B128="STD. DEVIATION",$C$1=1),$A128,$A128+1),COLUMN('1-DATA'!AE126)),IF($B128="STD. DEVIATION",2,$F$1))))</f>
        <v/>
      </c>
      <c r="AG128" s="1" t="str">
        <f>IF(OR($B128="",AG$7=""),"",IF($B128="MEANS",INDEX('1-DATA'!$1:$1048576,$A127-1,COLUMN('1-DATA'!AF126)),ROUND(INDEX('1-DATA'!$1:$1048576,IF(OR($B128="STD. DEVIATION",$C$1=1),$A128,$A128+1),COLUMN('1-DATA'!AF126)),IF($B128="STD. DEVIATION",2,$F$1))))</f>
        <v/>
      </c>
      <c r="AH128" s="1" t="str">
        <f>IF(OR($B128="",AH$7=""),"",IF($B128="MEANS",INDEX('1-DATA'!$1:$1048576,$A127-1,COLUMN('1-DATA'!AG126)),ROUND(INDEX('1-DATA'!$1:$1048576,IF(OR($B128="STD. DEVIATION",$C$1=1),$A128,$A128+1),COLUMN('1-DATA'!AG126)),IF($B128="STD. DEVIATION",2,$F$1))))</f>
        <v/>
      </c>
      <c r="AI128" s="1" t="str">
        <f>IF(OR($B128="",AI$7=""),"",IF($B128="MEANS",INDEX('1-DATA'!$1:$1048576,$A127-1,COLUMN('1-DATA'!AH126)),ROUND(INDEX('1-DATA'!$1:$1048576,IF(OR($B128="STD. DEVIATION",$C$1=1),$A128,$A128+1),COLUMN('1-DATA'!AH126)),IF($B128="STD. DEVIATION",2,$F$1))))</f>
        <v/>
      </c>
      <c r="AJ128" s="1" t="str">
        <f>IF(OR($B128="",AJ$7=""),"",IF($B128="MEANS",INDEX('1-DATA'!$1:$1048576,$A127-1,COLUMN('1-DATA'!AI126)),ROUND(INDEX('1-DATA'!$1:$1048576,IF(OR($B128="STD. DEVIATION",$C$1=1),$A128,$A128+1),COLUMN('1-DATA'!AI126)),IF($B128="STD. DEVIATION",2,$F$1))))</f>
        <v/>
      </c>
      <c r="AK128" s="1" t="str">
        <f>IF(OR($B128="",AK$7=""),"",IF($B128="MEANS",INDEX('1-DATA'!$1:$1048576,$A127-1,COLUMN('1-DATA'!AJ126)),ROUND(INDEX('1-DATA'!$1:$1048576,IF(OR($B128="STD. DEVIATION",$C$1=1),$A128,$A128+1),COLUMN('1-DATA'!AJ126)),IF($B128="STD. DEVIATION",2,$F$1))))</f>
        <v/>
      </c>
      <c r="AL128" s="1" t="str">
        <f>IF(OR($B128="",AL$7=""),"",IF($B128="MEANS",INDEX('1-DATA'!$1:$1048576,$A127-1,COLUMN('1-DATA'!AK126)),ROUND(INDEX('1-DATA'!$1:$1048576,IF(OR($B128="STD. DEVIATION",$C$1=1),$A128,$A128+1),COLUMN('1-DATA'!AK126)),IF($B128="STD. DEVIATION",2,$F$1))))</f>
        <v/>
      </c>
      <c r="AM128" s="1" t="str">
        <f>IF(OR($B128="",AM$7=""),"",IF($B128="MEANS",INDEX('1-DATA'!$1:$1048576,$A127-1,COLUMN('1-DATA'!AL126)),ROUND(INDEX('1-DATA'!$1:$1048576,IF(OR($B128="STD. DEVIATION",$C$1=1),$A128,$A128+1),COLUMN('1-DATA'!AL126)),IF($B128="STD. DEVIATION",2,$F$1))))</f>
        <v/>
      </c>
      <c r="AN128" s="1" t="str">
        <f>IF(OR($B128="",AN$7=""),"",IF($B128="MEANS",INDEX('1-DATA'!$1:$1048576,$A127-1,COLUMN('1-DATA'!AM126)),ROUND(INDEX('1-DATA'!$1:$1048576,IF(OR($B128="STD. DEVIATION",$C$1=1),$A128,$A128+1),COLUMN('1-DATA'!AM126)),IF($B128="STD. DEVIATION",2,$F$1))))</f>
        <v/>
      </c>
      <c r="AO128" s="1" t="str">
        <f>IF(OR($B128="",AO$7=""),"",IF($B128="MEANS",INDEX('1-DATA'!$1:$1048576,$A127-1,COLUMN('1-DATA'!AN126)),ROUND(INDEX('1-DATA'!$1:$1048576,IF(OR($B128="STD. DEVIATION",$C$1=1),$A128,$A128+1),COLUMN('1-DATA'!AN126)),IF($B128="STD. DEVIATION",2,$F$1))))</f>
        <v/>
      </c>
      <c r="AP128" s="1" t="str">
        <f>IF(OR($B128="",AP$7=""),"",IF($B128="MEANS",INDEX('1-DATA'!$1:$1048576,$A127-1,COLUMN('1-DATA'!AO126)),ROUND(INDEX('1-DATA'!$1:$1048576,IF(OR($B128="STD. DEVIATION",$C$1=1),$A128,$A128+1),COLUMN('1-DATA'!AO126)),IF($B128="STD. DEVIATION",2,$F$1))))</f>
        <v/>
      </c>
      <c r="AQ128" s="1" t="str">
        <f>IF(OR($B128="",AQ$7=""),"",IF($B128="MEANS",INDEX('1-DATA'!$1:$1048576,$A127-1,COLUMN('1-DATA'!AP126)),ROUND(INDEX('1-DATA'!$1:$1048576,IF(OR($B128="STD. DEVIATION",$C$1=1),$A128,$A128+1),COLUMN('1-DATA'!AP126)),IF($B128="STD. DEVIATION",2,$F$1))))</f>
        <v/>
      </c>
      <c r="AR128" s="1" t="str">
        <f>IF(OR($B128="",AR$7=""),"",IF($B128="MEANS",INDEX('1-DATA'!$1:$1048576,$A127-1,COLUMN('1-DATA'!AQ126)),ROUND(INDEX('1-DATA'!$1:$1048576,IF(OR($B128="STD. DEVIATION",$C$1=1),$A128,$A128+1),COLUMN('1-DATA'!AQ126)),IF($B128="STD. DEVIATION",2,$F$1))))</f>
        <v/>
      </c>
      <c r="AS128" s="1" t="str">
        <f>IF(OR($B128="",AS$7=""),"",IF($B128="MEANS",INDEX('1-DATA'!$1:$1048576,$A127-1,COLUMN('1-DATA'!AR126)),ROUND(INDEX('1-DATA'!$1:$1048576,IF(OR($B128="STD. DEVIATION",$C$1=1),$A128,$A128+1),COLUMN('1-DATA'!AR126)),IF($B128="STD. DEVIATION",2,$F$1))))</f>
        <v/>
      </c>
      <c r="AT128" s="1" t="str">
        <f>IF(OR($B128="",AT$7=""),"",IF($B128="MEANS",INDEX('1-DATA'!$1:$1048576,$A127-1,COLUMN('1-DATA'!AS126)),ROUND(INDEX('1-DATA'!$1:$1048576,IF(OR($B128="STD. DEVIATION",$C$1=1),$A128,$A128+1),COLUMN('1-DATA'!AS126)),IF($B128="STD. DEVIATION",2,$F$1))))</f>
        <v/>
      </c>
      <c r="AU128" s="1" t="str">
        <f>IF(OR($B128="",AU$7=""),"",IF($B128="MEANS",INDEX('1-DATA'!$1:$1048576,$A127-1,COLUMN('1-DATA'!AT126)),ROUND(INDEX('1-DATA'!$1:$1048576,IF(OR($B128="STD. DEVIATION",$C$1=1),$A128,$A128+1),COLUMN('1-DATA'!AT126)),IF($B128="STD. DEVIATION",2,$F$1))))</f>
        <v/>
      </c>
      <c r="AV128" s="1" t="str">
        <f>IF(OR($B128="",AV$7=""),"",IF($B128="MEANS",INDEX('1-DATA'!$1:$1048576,$A127-1,COLUMN('1-DATA'!AU126)),ROUND(INDEX('1-DATA'!$1:$1048576,IF(OR($B128="STD. DEVIATION",$C$1=1),$A128,$A128+1),COLUMN('1-DATA'!AU126)),IF($B128="STD. DEVIATION",2,$F$1))))</f>
        <v/>
      </c>
      <c r="AW128" s="1" t="str">
        <f>IF(OR($B128="",AW$7=""),"",IF($B128="MEANS",INDEX('1-DATA'!$1:$1048576,$A127-1,COLUMN('1-DATA'!AV126)),ROUND(INDEX('1-DATA'!$1:$1048576,IF(OR($B128="STD. DEVIATION",$C$1=1),$A128,$A128+1),COLUMN('1-DATA'!AV126)),IF($B128="STD. DEVIATION",2,$F$1))))</f>
        <v/>
      </c>
      <c r="AX128" s="1" t="str">
        <f>IF(OR($B128="",AX$7=""),"",IF($B128="MEANS",INDEX('1-DATA'!$1:$1048576,$A127-1,COLUMN('1-DATA'!AW126)),ROUND(INDEX('1-DATA'!$1:$1048576,IF(OR($B128="STD. DEVIATION",$C$1=1),$A128,$A128+1),COLUMN('1-DATA'!AW126)),IF($B128="STD. DEVIATION",2,$F$1))))</f>
        <v/>
      </c>
      <c r="AY128" s="1" t="str">
        <f>IF(OR($B128="",AY$7=""),"",IF($B128="MEANS",INDEX('1-DATA'!$1:$1048576,$A127-1,COLUMN('1-DATA'!AX126)),ROUND(INDEX('1-DATA'!$1:$1048576,IF(OR($B128="STD. DEVIATION",$C$1=1),$A128,$A128+1),COLUMN('1-DATA'!AX126)),IF($B128="STD. DEVIATION",2,$F$1))))</f>
        <v/>
      </c>
      <c r="AZ128" s="1" t="str">
        <f>IF(OR($B128="",AZ$7=""),"",IF($B128="MEANS",INDEX('1-DATA'!$1:$1048576,$A127-1,COLUMN('1-DATA'!AY126)),ROUND(INDEX('1-DATA'!$1:$1048576,IF(OR($B128="STD. DEVIATION",$C$1=1),$A128,$A128+1),COLUMN('1-DATA'!AY126)),IF($B128="STD. DEVIATION",2,$F$1))))</f>
        <v/>
      </c>
    </row>
    <row r="129" spans="1:52" x14ac:dyDescent="0.25">
      <c r="A129" s="11">
        <f t="shared" si="2"/>
        <v>373</v>
      </c>
      <c r="B129" s="1" t="str">
        <f>IF(B128="STD. DEVIATION",INDEX('1-DATA'!$1:$1048576,$A128-1,1),IF(INDEX('1-DATA'!$1:$1048576,$A129,1)&lt;&gt;"",INDEX('1-DATA'!$1:$1048576,$A129,1),""))</f>
        <v/>
      </c>
      <c r="C129" s="1" t="str">
        <f>IF(OR($B129="",C$7=""),"",IF($B129="MEANS",INDEX('1-DATA'!$1:$1048576,$A128-1,COLUMN('1-DATA'!B127)),ROUND(INDEX('1-DATA'!$1:$1048576,IF(OR($B129="STD. DEVIATION",$C$1=1),$A129,$A129+1),COLUMN('1-DATA'!B127)),IF($B129="STD. DEVIATION",2,$F$1))))</f>
        <v/>
      </c>
      <c r="D129" s="1" t="str">
        <f>IF(OR($B129="",D$7=""),"",IF($B129="MEANS",INDEX('1-DATA'!$1:$1048576,$A128-1,COLUMN('1-DATA'!C127)),ROUND(INDEX('1-DATA'!$1:$1048576,IF(OR($B129="STD. DEVIATION",$C$1=1),$A129,$A129+1),COLUMN('1-DATA'!C127)),IF($B129="STD. DEVIATION",2,$F$1))))</f>
        <v/>
      </c>
      <c r="E129" s="1" t="str">
        <f>IF(OR($B129="",E$7=""),"",IF($B129="MEANS",INDEX('1-DATA'!$1:$1048576,$A128-1,COLUMN('1-DATA'!D127)),ROUND(INDEX('1-DATA'!$1:$1048576,IF(OR($B129="STD. DEVIATION",$C$1=1),$A129,$A129+1),COLUMN('1-DATA'!D127)),IF($B129="STD. DEVIATION",2,$F$1))))</f>
        <v/>
      </c>
      <c r="F129" s="1" t="str">
        <f>IF(OR($B129="",F$7=""),"",IF($B129="MEANS",INDEX('1-DATA'!$1:$1048576,$A128-1,COLUMN('1-DATA'!E127)),ROUND(INDEX('1-DATA'!$1:$1048576,IF(OR($B129="STD. DEVIATION",$C$1=1),$A129,$A129+1),COLUMN('1-DATA'!E127)),IF($B129="STD. DEVIATION",2,$F$1))))</f>
        <v/>
      </c>
      <c r="G129" s="1" t="str">
        <f>IF(OR($B129="",G$7=""),"",IF($B129="MEANS",INDEX('1-DATA'!$1:$1048576,$A128-1,COLUMN('1-DATA'!F127)),ROUND(INDEX('1-DATA'!$1:$1048576,IF(OR($B129="STD. DEVIATION",$C$1=1),$A129,$A129+1),COLUMN('1-DATA'!F127)),IF($B129="STD. DEVIATION",2,$F$1))))</f>
        <v/>
      </c>
      <c r="H129" s="1" t="str">
        <f>IF(OR($B129="",H$7=""),"",IF($B129="MEANS",INDEX('1-DATA'!$1:$1048576,$A128-1,COLUMN('1-DATA'!G127)),ROUND(INDEX('1-DATA'!$1:$1048576,IF(OR($B129="STD. DEVIATION",$C$1=1),$A129,$A129+1),COLUMN('1-DATA'!G127)),IF($B129="STD. DEVIATION",2,$F$1))))</f>
        <v/>
      </c>
      <c r="I129" s="1" t="str">
        <f>IF(OR($B129="",I$7=""),"",IF($B129="MEANS",INDEX('1-DATA'!$1:$1048576,$A128-1,COLUMN('1-DATA'!H127)),ROUND(INDEX('1-DATA'!$1:$1048576,IF(OR($B129="STD. DEVIATION",$C$1=1),$A129,$A129+1),COLUMN('1-DATA'!H127)),IF($B129="STD. DEVIATION",2,$F$1))))</f>
        <v/>
      </c>
      <c r="J129" s="1" t="str">
        <f>IF(OR($B129="",J$7=""),"",IF($B129="MEANS",INDEX('1-DATA'!$1:$1048576,$A128-1,COLUMN('1-DATA'!I127)),ROUND(INDEX('1-DATA'!$1:$1048576,IF(OR($B129="STD. DEVIATION",$C$1=1),$A129,$A129+1),COLUMN('1-DATA'!I127)),IF($B129="STD. DEVIATION",2,$F$1))))</f>
        <v/>
      </c>
      <c r="K129" s="1" t="str">
        <f>IF(OR($B129="",K$7=""),"",IF($B129="MEANS",INDEX('1-DATA'!$1:$1048576,$A128-1,COLUMN('1-DATA'!J127)),ROUND(INDEX('1-DATA'!$1:$1048576,IF(OR($B129="STD. DEVIATION",$C$1=1),$A129,$A129+1),COLUMN('1-DATA'!J127)),IF($B129="STD. DEVIATION",2,$F$1))))</f>
        <v/>
      </c>
      <c r="L129" s="1" t="str">
        <f>IF(OR($B129="",L$7=""),"",IF($B129="MEANS",INDEX('1-DATA'!$1:$1048576,$A128-1,COLUMN('1-DATA'!K127)),ROUND(INDEX('1-DATA'!$1:$1048576,IF(OR($B129="STD. DEVIATION",$C$1=1),$A129,$A129+1),COLUMN('1-DATA'!K127)),IF($B129="STD. DEVIATION",2,$F$1))))</f>
        <v/>
      </c>
      <c r="M129" s="1" t="str">
        <f>IF(OR($B129="",M$7=""),"",IF($B129="MEANS",INDEX('1-DATA'!$1:$1048576,$A128-1,COLUMN('1-DATA'!L127)),ROUND(INDEX('1-DATA'!$1:$1048576,IF(OR($B129="STD. DEVIATION",$C$1=1),$A129,$A129+1),COLUMN('1-DATA'!L127)),IF($B129="STD. DEVIATION",2,$F$1))))</f>
        <v/>
      </c>
      <c r="N129" s="1" t="str">
        <f>IF(OR($B129="",N$7=""),"",IF($B129="MEANS",INDEX('1-DATA'!$1:$1048576,$A128-1,COLUMN('1-DATA'!M127)),ROUND(INDEX('1-DATA'!$1:$1048576,IF(OR($B129="STD. DEVIATION",$C$1=1),$A129,$A129+1),COLUMN('1-DATA'!M127)),IF($B129="STD. DEVIATION",2,$F$1))))</f>
        <v/>
      </c>
      <c r="O129" s="1" t="str">
        <f>IF(OR($B129="",O$7=""),"",IF($B129="MEANS",INDEX('1-DATA'!$1:$1048576,$A128-1,COLUMN('1-DATA'!N127)),ROUND(INDEX('1-DATA'!$1:$1048576,IF(OR($B129="STD. DEVIATION",$C$1=1),$A129,$A129+1),COLUMN('1-DATA'!N127)),IF($B129="STD. DEVIATION",2,$F$1))))</f>
        <v/>
      </c>
      <c r="P129" s="1" t="str">
        <f>IF(OR($B129="",P$7=""),"",IF($B129="MEANS",INDEX('1-DATA'!$1:$1048576,$A128-1,COLUMN('1-DATA'!O127)),ROUND(INDEX('1-DATA'!$1:$1048576,IF(OR($B129="STD. DEVIATION",$C$1=1),$A129,$A129+1),COLUMN('1-DATA'!O127)),IF($B129="STD. DEVIATION",2,$F$1))))</f>
        <v/>
      </c>
      <c r="Q129" s="1" t="str">
        <f>IF(OR($B129="",Q$7=""),"",IF($B129="MEANS",INDEX('1-DATA'!$1:$1048576,$A128-1,COLUMN('1-DATA'!P127)),ROUND(INDEX('1-DATA'!$1:$1048576,IF(OR($B129="STD. DEVIATION",$C$1=1),$A129,$A129+1),COLUMN('1-DATA'!P127)),IF($B129="STD. DEVIATION",2,$F$1))))</f>
        <v/>
      </c>
      <c r="R129" s="1" t="str">
        <f>IF(OR($B129="",R$7=""),"",IF($B129="MEANS",INDEX('1-DATA'!$1:$1048576,$A128-1,COLUMN('1-DATA'!Q127)),ROUND(INDEX('1-DATA'!$1:$1048576,IF(OR($B129="STD. DEVIATION",$C$1=1),$A129,$A129+1),COLUMN('1-DATA'!Q127)),IF($B129="STD. DEVIATION",2,$F$1))))</f>
        <v/>
      </c>
      <c r="S129" s="1" t="str">
        <f>IF(OR($B129="",S$7=""),"",IF($B129="MEANS",INDEX('1-DATA'!$1:$1048576,$A128-1,COLUMN('1-DATA'!R127)),ROUND(INDEX('1-DATA'!$1:$1048576,IF(OR($B129="STD. DEVIATION",$C$1=1),$A129,$A129+1),COLUMN('1-DATA'!R127)),IF($B129="STD. DEVIATION",2,$F$1))))</f>
        <v/>
      </c>
      <c r="T129" s="1" t="str">
        <f>IF(OR($B129="",T$7=""),"",IF($B129="MEANS",INDEX('1-DATA'!$1:$1048576,$A128-1,COLUMN('1-DATA'!S127)),ROUND(INDEX('1-DATA'!$1:$1048576,IF(OR($B129="STD. DEVIATION",$C$1=1),$A129,$A129+1),COLUMN('1-DATA'!S127)),IF($B129="STD. DEVIATION",2,$F$1))))</f>
        <v/>
      </c>
      <c r="U129" s="1" t="str">
        <f>IF(OR($B129="",U$7=""),"",IF($B129="MEANS",INDEX('1-DATA'!$1:$1048576,$A128-1,COLUMN('1-DATA'!T127)),ROUND(INDEX('1-DATA'!$1:$1048576,IF(OR($B129="STD. DEVIATION",$C$1=1),$A129,$A129+1),COLUMN('1-DATA'!T127)),IF($B129="STD. DEVIATION",2,$F$1))))</f>
        <v/>
      </c>
      <c r="V129" s="1" t="str">
        <f>IF(OR($B129="",V$7=""),"",IF($B129="MEANS",INDEX('1-DATA'!$1:$1048576,$A128-1,COLUMN('1-DATA'!U127)),ROUND(INDEX('1-DATA'!$1:$1048576,IF(OR($B129="STD. DEVIATION",$C$1=1),$A129,$A129+1),COLUMN('1-DATA'!U127)),IF($B129="STD. DEVIATION",2,$F$1))))</f>
        <v/>
      </c>
      <c r="W129" s="1" t="str">
        <f>IF(OR($B129="",W$7=""),"",IF($B129="MEANS",INDEX('1-DATA'!$1:$1048576,$A128-1,COLUMN('1-DATA'!V127)),ROUND(INDEX('1-DATA'!$1:$1048576,IF(OR($B129="STD. DEVIATION",$C$1=1),$A129,$A129+1),COLUMN('1-DATA'!V127)),IF($B129="STD. DEVIATION",2,$F$1))))</f>
        <v/>
      </c>
      <c r="X129" s="1" t="str">
        <f>IF(OR($B129="",X$7=""),"",IF($B129="MEANS",INDEX('1-DATA'!$1:$1048576,$A128-1,COLUMN('1-DATA'!W127)),ROUND(INDEX('1-DATA'!$1:$1048576,IF(OR($B129="STD. DEVIATION",$C$1=1),$A129,$A129+1),COLUMN('1-DATA'!W127)),IF($B129="STD. DEVIATION",2,$F$1))))</f>
        <v/>
      </c>
      <c r="Y129" s="1" t="str">
        <f>IF(OR($B129="",Y$7=""),"",IF($B129="MEANS",INDEX('1-DATA'!$1:$1048576,$A128-1,COLUMN('1-DATA'!X127)),ROUND(INDEX('1-DATA'!$1:$1048576,IF(OR($B129="STD. DEVIATION",$C$1=1),$A129,$A129+1),COLUMN('1-DATA'!X127)),IF($B129="STD. DEVIATION",2,$F$1))))</f>
        <v/>
      </c>
      <c r="Z129" s="1" t="str">
        <f>IF(OR($B129="",Z$7=""),"",IF($B129="MEANS",INDEX('1-DATA'!$1:$1048576,$A128-1,COLUMN('1-DATA'!Y127)),ROUND(INDEX('1-DATA'!$1:$1048576,IF(OR($B129="STD. DEVIATION",$C$1=1),$A129,$A129+1),COLUMN('1-DATA'!Y127)),IF($B129="STD. DEVIATION",2,$F$1))))</f>
        <v/>
      </c>
      <c r="AA129" s="1" t="str">
        <f>IF(OR($B129="",AA$7=""),"",IF($B129="MEANS",INDEX('1-DATA'!$1:$1048576,$A128-1,COLUMN('1-DATA'!Z127)),ROUND(INDEX('1-DATA'!$1:$1048576,IF(OR($B129="STD. DEVIATION",$C$1=1),$A129,$A129+1),COLUMN('1-DATA'!Z127)),IF($B129="STD. DEVIATION",2,$F$1))))</f>
        <v/>
      </c>
      <c r="AB129" s="1" t="str">
        <f>IF(OR($B129="",AB$7=""),"",IF($B129="MEANS",INDEX('1-DATA'!$1:$1048576,$A128-1,COLUMN('1-DATA'!AA127)),ROUND(INDEX('1-DATA'!$1:$1048576,IF(OR($B129="STD. DEVIATION",$C$1=1),$A129,$A129+1),COLUMN('1-DATA'!AA127)),IF($B129="STD. DEVIATION",2,$F$1))))</f>
        <v/>
      </c>
      <c r="AC129" s="1" t="str">
        <f>IF(OR($B129="",AC$7=""),"",IF($B129="MEANS",INDEX('1-DATA'!$1:$1048576,$A128-1,COLUMN('1-DATA'!AB127)),ROUND(INDEX('1-DATA'!$1:$1048576,IF(OR($B129="STD. DEVIATION",$C$1=1),$A129,$A129+1),COLUMN('1-DATA'!AB127)),IF($B129="STD. DEVIATION",2,$F$1))))</f>
        <v/>
      </c>
      <c r="AD129" s="1" t="str">
        <f>IF(OR($B129="",AD$7=""),"",IF($B129="MEANS",INDEX('1-DATA'!$1:$1048576,$A128-1,COLUMN('1-DATA'!AC127)),ROUND(INDEX('1-DATA'!$1:$1048576,IF(OR($B129="STD. DEVIATION",$C$1=1),$A129,$A129+1),COLUMN('1-DATA'!AC127)),IF($B129="STD. DEVIATION",2,$F$1))))</f>
        <v/>
      </c>
      <c r="AE129" s="1" t="str">
        <f>IF(OR($B129="",AE$7=""),"",IF($B129="MEANS",INDEX('1-DATA'!$1:$1048576,$A128-1,COLUMN('1-DATA'!AD127)),ROUND(INDEX('1-DATA'!$1:$1048576,IF(OR($B129="STD. DEVIATION",$C$1=1),$A129,$A129+1),COLUMN('1-DATA'!AD127)),IF($B129="STD. DEVIATION",2,$F$1))))</f>
        <v/>
      </c>
      <c r="AF129" s="1" t="str">
        <f>IF(OR($B129="",AF$7=""),"",IF($B129="MEANS",INDEX('1-DATA'!$1:$1048576,$A128-1,COLUMN('1-DATA'!AE127)),ROUND(INDEX('1-DATA'!$1:$1048576,IF(OR($B129="STD. DEVIATION",$C$1=1),$A129,$A129+1),COLUMN('1-DATA'!AE127)),IF($B129="STD. DEVIATION",2,$F$1))))</f>
        <v/>
      </c>
      <c r="AG129" s="1" t="str">
        <f>IF(OR($B129="",AG$7=""),"",IF($B129="MEANS",INDEX('1-DATA'!$1:$1048576,$A128-1,COLUMN('1-DATA'!AF127)),ROUND(INDEX('1-DATA'!$1:$1048576,IF(OR($B129="STD. DEVIATION",$C$1=1),$A129,$A129+1),COLUMN('1-DATA'!AF127)),IF($B129="STD. DEVIATION",2,$F$1))))</f>
        <v/>
      </c>
      <c r="AH129" s="1" t="str">
        <f>IF(OR($B129="",AH$7=""),"",IF($B129="MEANS",INDEX('1-DATA'!$1:$1048576,$A128-1,COLUMN('1-DATA'!AG127)),ROUND(INDEX('1-DATA'!$1:$1048576,IF(OR($B129="STD. DEVIATION",$C$1=1),$A129,$A129+1),COLUMN('1-DATA'!AG127)),IF($B129="STD. DEVIATION",2,$F$1))))</f>
        <v/>
      </c>
      <c r="AI129" s="1" t="str">
        <f>IF(OR($B129="",AI$7=""),"",IF($B129="MEANS",INDEX('1-DATA'!$1:$1048576,$A128-1,COLUMN('1-DATA'!AH127)),ROUND(INDEX('1-DATA'!$1:$1048576,IF(OR($B129="STD. DEVIATION",$C$1=1),$A129,$A129+1),COLUMN('1-DATA'!AH127)),IF($B129="STD. DEVIATION",2,$F$1))))</f>
        <v/>
      </c>
      <c r="AJ129" s="1" t="str">
        <f>IF(OR($B129="",AJ$7=""),"",IF($B129="MEANS",INDEX('1-DATA'!$1:$1048576,$A128-1,COLUMN('1-DATA'!AI127)),ROUND(INDEX('1-DATA'!$1:$1048576,IF(OR($B129="STD. DEVIATION",$C$1=1),$A129,$A129+1),COLUMN('1-DATA'!AI127)),IF($B129="STD. DEVIATION",2,$F$1))))</f>
        <v/>
      </c>
      <c r="AK129" s="1" t="str">
        <f>IF(OR($B129="",AK$7=""),"",IF($B129="MEANS",INDEX('1-DATA'!$1:$1048576,$A128-1,COLUMN('1-DATA'!AJ127)),ROUND(INDEX('1-DATA'!$1:$1048576,IF(OR($B129="STD. DEVIATION",$C$1=1),$A129,$A129+1),COLUMN('1-DATA'!AJ127)),IF($B129="STD. DEVIATION",2,$F$1))))</f>
        <v/>
      </c>
      <c r="AL129" s="1" t="str">
        <f>IF(OR($B129="",AL$7=""),"",IF($B129="MEANS",INDEX('1-DATA'!$1:$1048576,$A128-1,COLUMN('1-DATA'!AK127)),ROUND(INDEX('1-DATA'!$1:$1048576,IF(OR($B129="STD. DEVIATION",$C$1=1),$A129,$A129+1),COLUMN('1-DATA'!AK127)),IF($B129="STD. DEVIATION",2,$F$1))))</f>
        <v/>
      </c>
      <c r="AM129" s="1" t="str">
        <f>IF(OR($B129="",AM$7=""),"",IF($B129="MEANS",INDEX('1-DATA'!$1:$1048576,$A128-1,COLUMN('1-DATA'!AL127)),ROUND(INDEX('1-DATA'!$1:$1048576,IF(OR($B129="STD. DEVIATION",$C$1=1),$A129,$A129+1),COLUMN('1-DATA'!AL127)),IF($B129="STD. DEVIATION",2,$F$1))))</f>
        <v/>
      </c>
      <c r="AN129" s="1" t="str">
        <f>IF(OR($B129="",AN$7=""),"",IF($B129="MEANS",INDEX('1-DATA'!$1:$1048576,$A128-1,COLUMN('1-DATA'!AM127)),ROUND(INDEX('1-DATA'!$1:$1048576,IF(OR($B129="STD. DEVIATION",$C$1=1),$A129,$A129+1),COLUMN('1-DATA'!AM127)),IF($B129="STD. DEVIATION",2,$F$1))))</f>
        <v/>
      </c>
      <c r="AO129" s="1" t="str">
        <f>IF(OR($B129="",AO$7=""),"",IF($B129="MEANS",INDEX('1-DATA'!$1:$1048576,$A128-1,COLUMN('1-DATA'!AN127)),ROUND(INDEX('1-DATA'!$1:$1048576,IF(OR($B129="STD. DEVIATION",$C$1=1),$A129,$A129+1),COLUMN('1-DATA'!AN127)),IF($B129="STD. DEVIATION",2,$F$1))))</f>
        <v/>
      </c>
      <c r="AP129" s="1" t="str">
        <f>IF(OR($B129="",AP$7=""),"",IF($B129="MEANS",INDEX('1-DATA'!$1:$1048576,$A128-1,COLUMN('1-DATA'!AO127)),ROUND(INDEX('1-DATA'!$1:$1048576,IF(OR($B129="STD. DEVIATION",$C$1=1),$A129,$A129+1),COLUMN('1-DATA'!AO127)),IF($B129="STD. DEVIATION",2,$F$1))))</f>
        <v/>
      </c>
      <c r="AQ129" s="1" t="str">
        <f>IF(OR($B129="",AQ$7=""),"",IF($B129="MEANS",INDEX('1-DATA'!$1:$1048576,$A128-1,COLUMN('1-DATA'!AP127)),ROUND(INDEX('1-DATA'!$1:$1048576,IF(OR($B129="STD. DEVIATION",$C$1=1),$A129,$A129+1),COLUMN('1-DATA'!AP127)),IF($B129="STD. DEVIATION",2,$F$1))))</f>
        <v/>
      </c>
      <c r="AR129" s="1" t="str">
        <f>IF(OR($B129="",AR$7=""),"",IF($B129="MEANS",INDEX('1-DATA'!$1:$1048576,$A128-1,COLUMN('1-DATA'!AQ127)),ROUND(INDEX('1-DATA'!$1:$1048576,IF(OR($B129="STD. DEVIATION",$C$1=1),$A129,$A129+1),COLUMN('1-DATA'!AQ127)),IF($B129="STD. DEVIATION",2,$F$1))))</f>
        <v/>
      </c>
      <c r="AS129" s="1" t="str">
        <f>IF(OR($B129="",AS$7=""),"",IF($B129="MEANS",INDEX('1-DATA'!$1:$1048576,$A128-1,COLUMN('1-DATA'!AR127)),ROUND(INDEX('1-DATA'!$1:$1048576,IF(OR($B129="STD. DEVIATION",$C$1=1),$A129,$A129+1),COLUMN('1-DATA'!AR127)),IF($B129="STD. DEVIATION",2,$F$1))))</f>
        <v/>
      </c>
      <c r="AT129" s="1" t="str">
        <f>IF(OR($B129="",AT$7=""),"",IF($B129="MEANS",INDEX('1-DATA'!$1:$1048576,$A128-1,COLUMN('1-DATA'!AS127)),ROUND(INDEX('1-DATA'!$1:$1048576,IF(OR($B129="STD. DEVIATION",$C$1=1),$A129,$A129+1),COLUMN('1-DATA'!AS127)),IF($B129="STD. DEVIATION",2,$F$1))))</f>
        <v/>
      </c>
      <c r="AU129" s="1" t="str">
        <f>IF(OR($B129="",AU$7=""),"",IF($B129="MEANS",INDEX('1-DATA'!$1:$1048576,$A128-1,COLUMN('1-DATA'!AT127)),ROUND(INDEX('1-DATA'!$1:$1048576,IF(OR($B129="STD. DEVIATION",$C$1=1),$A129,$A129+1),COLUMN('1-DATA'!AT127)),IF($B129="STD. DEVIATION",2,$F$1))))</f>
        <v/>
      </c>
      <c r="AV129" s="1" t="str">
        <f>IF(OR($B129="",AV$7=""),"",IF($B129="MEANS",INDEX('1-DATA'!$1:$1048576,$A128-1,COLUMN('1-DATA'!AU127)),ROUND(INDEX('1-DATA'!$1:$1048576,IF(OR($B129="STD. DEVIATION",$C$1=1),$A129,$A129+1),COLUMN('1-DATA'!AU127)),IF($B129="STD. DEVIATION",2,$F$1))))</f>
        <v/>
      </c>
      <c r="AW129" s="1" t="str">
        <f>IF(OR($B129="",AW$7=""),"",IF($B129="MEANS",INDEX('1-DATA'!$1:$1048576,$A128-1,COLUMN('1-DATA'!AV127)),ROUND(INDEX('1-DATA'!$1:$1048576,IF(OR($B129="STD. DEVIATION",$C$1=1),$A129,$A129+1),COLUMN('1-DATA'!AV127)),IF($B129="STD. DEVIATION",2,$F$1))))</f>
        <v/>
      </c>
      <c r="AX129" s="1" t="str">
        <f>IF(OR($B129="",AX$7=""),"",IF($B129="MEANS",INDEX('1-DATA'!$1:$1048576,$A128-1,COLUMN('1-DATA'!AW127)),ROUND(INDEX('1-DATA'!$1:$1048576,IF(OR($B129="STD. DEVIATION",$C$1=1),$A129,$A129+1),COLUMN('1-DATA'!AW127)),IF($B129="STD. DEVIATION",2,$F$1))))</f>
        <v/>
      </c>
      <c r="AY129" s="1" t="str">
        <f>IF(OR($B129="",AY$7=""),"",IF($B129="MEANS",INDEX('1-DATA'!$1:$1048576,$A128-1,COLUMN('1-DATA'!AX127)),ROUND(INDEX('1-DATA'!$1:$1048576,IF(OR($B129="STD. DEVIATION",$C$1=1),$A129,$A129+1),COLUMN('1-DATA'!AX127)),IF($B129="STD. DEVIATION",2,$F$1))))</f>
        <v/>
      </c>
      <c r="AZ129" s="1" t="str">
        <f>IF(OR($B129="",AZ$7=""),"",IF($B129="MEANS",INDEX('1-DATA'!$1:$1048576,$A128-1,COLUMN('1-DATA'!AY127)),ROUND(INDEX('1-DATA'!$1:$1048576,IF(OR($B129="STD. DEVIATION",$C$1=1),$A129,$A129+1),COLUMN('1-DATA'!AY127)),IF($B129="STD. DEVIATION",2,$F$1))))</f>
        <v/>
      </c>
    </row>
    <row r="130" spans="1:52" x14ac:dyDescent="0.25">
      <c r="A130" s="11">
        <f t="shared" si="2"/>
        <v>376</v>
      </c>
      <c r="B130" s="1" t="str">
        <f>IF(B129="STD. DEVIATION",INDEX('1-DATA'!$1:$1048576,$A129-1,1),IF(INDEX('1-DATA'!$1:$1048576,$A130,1)&lt;&gt;"",INDEX('1-DATA'!$1:$1048576,$A130,1),""))</f>
        <v/>
      </c>
      <c r="C130" s="1" t="str">
        <f>IF(OR($B130="",C$7=""),"",IF($B130="MEANS",INDEX('1-DATA'!$1:$1048576,$A129-1,COLUMN('1-DATA'!B128)),ROUND(INDEX('1-DATA'!$1:$1048576,IF(OR($B130="STD. DEVIATION",$C$1=1),$A130,$A130+1),COLUMN('1-DATA'!B128)),IF($B130="STD. DEVIATION",2,$F$1))))</f>
        <v/>
      </c>
      <c r="D130" s="1" t="str">
        <f>IF(OR($B130="",D$7=""),"",IF($B130="MEANS",INDEX('1-DATA'!$1:$1048576,$A129-1,COLUMN('1-DATA'!C128)),ROUND(INDEX('1-DATA'!$1:$1048576,IF(OR($B130="STD. DEVIATION",$C$1=1),$A130,$A130+1),COLUMN('1-DATA'!C128)),IF($B130="STD. DEVIATION",2,$F$1))))</f>
        <v/>
      </c>
      <c r="E130" s="1" t="str">
        <f>IF(OR($B130="",E$7=""),"",IF($B130="MEANS",INDEX('1-DATA'!$1:$1048576,$A129-1,COLUMN('1-DATA'!D128)),ROUND(INDEX('1-DATA'!$1:$1048576,IF(OR($B130="STD. DEVIATION",$C$1=1),$A130,$A130+1),COLUMN('1-DATA'!D128)),IF($B130="STD. DEVIATION",2,$F$1))))</f>
        <v/>
      </c>
      <c r="F130" s="1" t="str">
        <f>IF(OR($B130="",F$7=""),"",IF($B130="MEANS",INDEX('1-DATA'!$1:$1048576,$A129-1,COLUMN('1-DATA'!E128)),ROUND(INDEX('1-DATA'!$1:$1048576,IF(OR($B130="STD. DEVIATION",$C$1=1),$A130,$A130+1),COLUMN('1-DATA'!E128)),IF($B130="STD. DEVIATION",2,$F$1))))</f>
        <v/>
      </c>
      <c r="G130" s="1" t="str">
        <f>IF(OR($B130="",G$7=""),"",IF($B130="MEANS",INDEX('1-DATA'!$1:$1048576,$A129-1,COLUMN('1-DATA'!F128)),ROUND(INDEX('1-DATA'!$1:$1048576,IF(OR($B130="STD. DEVIATION",$C$1=1),$A130,$A130+1),COLUMN('1-DATA'!F128)),IF($B130="STD. DEVIATION",2,$F$1))))</f>
        <v/>
      </c>
      <c r="H130" s="1" t="str">
        <f>IF(OR($B130="",H$7=""),"",IF($B130="MEANS",INDEX('1-DATA'!$1:$1048576,$A129-1,COLUMN('1-DATA'!G128)),ROUND(INDEX('1-DATA'!$1:$1048576,IF(OR($B130="STD. DEVIATION",$C$1=1),$A130,$A130+1),COLUMN('1-DATA'!G128)),IF($B130="STD. DEVIATION",2,$F$1))))</f>
        <v/>
      </c>
      <c r="I130" s="1" t="str">
        <f>IF(OR($B130="",I$7=""),"",IF($B130="MEANS",INDEX('1-DATA'!$1:$1048576,$A129-1,COLUMN('1-DATA'!H128)),ROUND(INDEX('1-DATA'!$1:$1048576,IF(OR($B130="STD. DEVIATION",$C$1=1),$A130,$A130+1),COLUMN('1-DATA'!H128)),IF($B130="STD. DEVIATION",2,$F$1))))</f>
        <v/>
      </c>
      <c r="J130" s="1" t="str">
        <f>IF(OR($B130="",J$7=""),"",IF($B130="MEANS",INDEX('1-DATA'!$1:$1048576,$A129-1,COLUMN('1-DATA'!I128)),ROUND(INDEX('1-DATA'!$1:$1048576,IF(OR($B130="STD. DEVIATION",$C$1=1),$A130,$A130+1),COLUMN('1-DATA'!I128)),IF($B130="STD. DEVIATION",2,$F$1))))</f>
        <v/>
      </c>
      <c r="K130" s="1" t="str">
        <f>IF(OR($B130="",K$7=""),"",IF($B130="MEANS",INDEX('1-DATA'!$1:$1048576,$A129-1,COLUMN('1-DATA'!J128)),ROUND(INDEX('1-DATA'!$1:$1048576,IF(OR($B130="STD. DEVIATION",$C$1=1),$A130,$A130+1),COLUMN('1-DATA'!J128)),IF($B130="STD. DEVIATION",2,$F$1))))</f>
        <v/>
      </c>
      <c r="L130" s="1" t="str">
        <f>IF(OR($B130="",L$7=""),"",IF($B130="MEANS",INDEX('1-DATA'!$1:$1048576,$A129-1,COLUMN('1-DATA'!K128)),ROUND(INDEX('1-DATA'!$1:$1048576,IF(OR($B130="STD. DEVIATION",$C$1=1),$A130,$A130+1),COLUMN('1-DATA'!K128)),IF($B130="STD. DEVIATION",2,$F$1))))</f>
        <v/>
      </c>
      <c r="M130" s="1" t="str">
        <f>IF(OR($B130="",M$7=""),"",IF($B130="MEANS",INDEX('1-DATA'!$1:$1048576,$A129-1,COLUMN('1-DATA'!L128)),ROUND(INDEX('1-DATA'!$1:$1048576,IF(OR($B130="STD. DEVIATION",$C$1=1),$A130,$A130+1),COLUMN('1-DATA'!L128)),IF($B130="STD. DEVIATION",2,$F$1))))</f>
        <v/>
      </c>
      <c r="N130" s="1" t="str">
        <f>IF(OR($B130="",N$7=""),"",IF($B130="MEANS",INDEX('1-DATA'!$1:$1048576,$A129-1,COLUMN('1-DATA'!M128)),ROUND(INDEX('1-DATA'!$1:$1048576,IF(OR($B130="STD. DEVIATION",$C$1=1),$A130,$A130+1),COLUMN('1-DATA'!M128)),IF($B130="STD. DEVIATION",2,$F$1))))</f>
        <v/>
      </c>
      <c r="O130" s="1" t="str">
        <f>IF(OR($B130="",O$7=""),"",IF($B130="MEANS",INDEX('1-DATA'!$1:$1048576,$A129-1,COLUMN('1-DATA'!N128)),ROUND(INDEX('1-DATA'!$1:$1048576,IF(OR($B130="STD. DEVIATION",$C$1=1),$A130,$A130+1),COLUMN('1-DATA'!N128)),IF($B130="STD. DEVIATION",2,$F$1))))</f>
        <v/>
      </c>
      <c r="P130" s="1" t="str">
        <f>IF(OR($B130="",P$7=""),"",IF($B130="MEANS",INDEX('1-DATA'!$1:$1048576,$A129-1,COLUMN('1-DATA'!O128)),ROUND(INDEX('1-DATA'!$1:$1048576,IF(OR($B130="STD. DEVIATION",$C$1=1),$A130,$A130+1),COLUMN('1-DATA'!O128)),IF($B130="STD. DEVIATION",2,$F$1))))</f>
        <v/>
      </c>
      <c r="Q130" s="1" t="str">
        <f>IF(OR($B130="",Q$7=""),"",IF($B130="MEANS",INDEX('1-DATA'!$1:$1048576,$A129-1,COLUMN('1-DATA'!P128)),ROUND(INDEX('1-DATA'!$1:$1048576,IF(OR($B130="STD. DEVIATION",$C$1=1),$A130,$A130+1),COLUMN('1-DATA'!P128)),IF($B130="STD. DEVIATION",2,$F$1))))</f>
        <v/>
      </c>
      <c r="R130" s="1" t="str">
        <f>IF(OR($B130="",R$7=""),"",IF($B130="MEANS",INDEX('1-DATA'!$1:$1048576,$A129-1,COLUMN('1-DATA'!Q128)),ROUND(INDEX('1-DATA'!$1:$1048576,IF(OR($B130="STD. DEVIATION",$C$1=1),$A130,$A130+1),COLUMN('1-DATA'!Q128)),IF($B130="STD. DEVIATION",2,$F$1))))</f>
        <v/>
      </c>
      <c r="S130" s="1" t="str">
        <f>IF(OR($B130="",S$7=""),"",IF($B130="MEANS",INDEX('1-DATA'!$1:$1048576,$A129-1,COLUMN('1-DATA'!R128)),ROUND(INDEX('1-DATA'!$1:$1048576,IF(OR($B130="STD. DEVIATION",$C$1=1),$A130,$A130+1),COLUMN('1-DATA'!R128)),IF($B130="STD. DEVIATION",2,$F$1))))</f>
        <v/>
      </c>
      <c r="T130" s="1" t="str">
        <f>IF(OR($B130="",T$7=""),"",IF($B130="MEANS",INDEX('1-DATA'!$1:$1048576,$A129-1,COLUMN('1-DATA'!S128)),ROUND(INDEX('1-DATA'!$1:$1048576,IF(OR($B130="STD. DEVIATION",$C$1=1),$A130,$A130+1),COLUMN('1-DATA'!S128)),IF($B130="STD. DEVIATION",2,$F$1))))</f>
        <v/>
      </c>
      <c r="U130" s="1" t="str">
        <f>IF(OR($B130="",U$7=""),"",IF($B130="MEANS",INDEX('1-DATA'!$1:$1048576,$A129-1,COLUMN('1-DATA'!T128)),ROUND(INDEX('1-DATA'!$1:$1048576,IF(OR($B130="STD. DEVIATION",$C$1=1),$A130,$A130+1),COLUMN('1-DATA'!T128)),IF($B130="STD. DEVIATION",2,$F$1))))</f>
        <v/>
      </c>
      <c r="V130" s="1" t="str">
        <f>IF(OR($B130="",V$7=""),"",IF($B130="MEANS",INDEX('1-DATA'!$1:$1048576,$A129-1,COLUMN('1-DATA'!U128)),ROUND(INDEX('1-DATA'!$1:$1048576,IF(OR($B130="STD. DEVIATION",$C$1=1),$A130,$A130+1),COLUMN('1-DATA'!U128)),IF($B130="STD. DEVIATION",2,$F$1))))</f>
        <v/>
      </c>
      <c r="W130" s="1" t="str">
        <f>IF(OR($B130="",W$7=""),"",IF($B130="MEANS",INDEX('1-DATA'!$1:$1048576,$A129-1,COLUMN('1-DATA'!V128)),ROUND(INDEX('1-DATA'!$1:$1048576,IF(OR($B130="STD. DEVIATION",$C$1=1),$A130,$A130+1),COLUMN('1-DATA'!V128)),IF($B130="STD. DEVIATION",2,$F$1))))</f>
        <v/>
      </c>
      <c r="X130" s="1" t="str">
        <f>IF(OR($B130="",X$7=""),"",IF($B130="MEANS",INDEX('1-DATA'!$1:$1048576,$A129-1,COLUMN('1-DATA'!W128)),ROUND(INDEX('1-DATA'!$1:$1048576,IF(OR($B130="STD. DEVIATION",$C$1=1),$A130,$A130+1),COLUMN('1-DATA'!W128)),IF($B130="STD. DEVIATION",2,$F$1))))</f>
        <v/>
      </c>
      <c r="Y130" s="1" t="str">
        <f>IF(OR($B130="",Y$7=""),"",IF($B130="MEANS",INDEX('1-DATA'!$1:$1048576,$A129-1,COLUMN('1-DATA'!X128)),ROUND(INDEX('1-DATA'!$1:$1048576,IF(OR($B130="STD. DEVIATION",$C$1=1),$A130,$A130+1),COLUMN('1-DATA'!X128)),IF($B130="STD. DEVIATION",2,$F$1))))</f>
        <v/>
      </c>
      <c r="Z130" s="1" t="str">
        <f>IF(OR($B130="",Z$7=""),"",IF($B130="MEANS",INDEX('1-DATA'!$1:$1048576,$A129-1,COLUMN('1-DATA'!Y128)),ROUND(INDEX('1-DATA'!$1:$1048576,IF(OR($B130="STD. DEVIATION",$C$1=1),$A130,$A130+1),COLUMN('1-DATA'!Y128)),IF($B130="STD. DEVIATION",2,$F$1))))</f>
        <v/>
      </c>
      <c r="AA130" s="1" t="str">
        <f>IF(OR($B130="",AA$7=""),"",IF($B130="MEANS",INDEX('1-DATA'!$1:$1048576,$A129-1,COLUMN('1-DATA'!Z128)),ROUND(INDEX('1-DATA'!$1:$1048576,IF(OR($B130="STD. DEVIATION",$C$1=1),$A130,$A130+1),COLUMN('1-DATA'!Z128)),IF($B130="STD. DEVIATION",2,$F$1))))</f>
        <v/>
      </c>
      <c r="AB130" s="1" t="str">
        <f>IF(OR($B130="",AB$7=""),"",IF($B130="MEANS",INDEX('1-DATA'!$1:$1048576,$A129-1,COLUMN('1-DATA'!AA128)),ROUND(INDEX('1-DATA'!$1:$1048576,IF(OR($B130="STD. DEVIATION",$C$1=1),$A130,$A130+1),COLUMN('1-DATA'!AA128)),IF($B130="STD. DEVIATION",2,$F$1))))</f>
        <v/>
      </c>
      <c r="AC130" s="1" t="str">
        <f>IF(OR($B130="",AC$7=""),"",IF($B130="MEANS",INDEX('1-DATA'!$1:$1048576,$A129-1,COLUMN('1-DATA'!AB128)),ROUND(INDEX('1-DATA'!$1:$1048576,IF(OR($B130="STD. DEVIATION",$C$1=1),$A130,$A130+1),COLUMN('1-DATA'!AB128)),IF($B130="STD. DEVIATION",2,$F$1))))</f>
        <v/>
      </c>
      <c r="AD130" s="1" t="str">
        <f>IF(OR($B130="",AD$7=""),"",IF($B130="MEANS",INDEX('1-DATA'!$1:$1048576,$A129-1,COLUMN('1-DATA'!AC128)),ROUND(INDEX('1-DATA'!$1:$1048576,IF(OR($B130="STD. DEVIATION",$C$1=1),$A130,$A130+1),COLUMN('1-DATA'!AC128)),IF($B130="STD. DEVIATION",2,$F$1))))</f>
        <v/>
      </c>
      <c r="AE130" s="1" t="str">
        <f>IF(OR($B130="",AE$7=""),"",IF($B130="MEANS",INDEX('1-DATA'!$1:$1048576,$A129-1,COLUMN('1-DATA'!AD128)),ROUND(INDEX('1-DATA'!$1:$1048576,IF(OR($B130="STD. DEVIATION",$C$1=1),$A130,$A130+1),COLUMN('1-DATA'!AD128)),IF($B130="STD. DEVIATION",2,$F$1))))</f>
        <v/>
      </c>
      <c r="AF130" s="1" t="str">
        <f>IF(OR($B130="",AF$7=""),"",IF($B130="MEANS",INDEX('1-DATA'!$1:$1048576,$A129-1,COLUMN('1-DATA'!AE128)),ROUND(INDEX('1-DATA'!$1:$1048576,IF(OR($B130="STD. DEVIATION",$C$1=1),$A130,$A130+1),COLUMN('1-DATA'!AE128)),IF($B130="STD. DEVIATION",2,$F$1))))</f>
        <v/>
      </c>
      <c r="AG130" s="1" t="str">
        <f>IF(OR($B130="",AG$7=""),"",IF($B130="MEANS",INDEX('1-DATA'!$1:$1048576,$A129-1,COLUMN('1-DATA'!AF128)),ROUND(INDEX('1-DATA'!$1:$1048576,IF(OR($B130="STD. DEVIATION",$C$1=1),$A130,$A130+1),COLUMN('1-DATA'!AF128)),IF($B130="STD. DEVIATION",2,$F$1))))</f>
        <v/>
      </c>
      <c r="AH130" s="1" t="str">
        <f>IF(OR($B130="",AH$7=""),"",IF($B130="MEANS",INDEX('1-DATA'!$1:$1048576,$A129-1,COLUMN('1-DATA'!AG128)),ROUND(INDEX('1-DATA'!$1:$1048576,IF(OR($B130="STD. DEVIATION",$C$1=1),$A130,$A130+1),COLUMN('1-DATA'!AG128)),IF($B130="STD. DEVIATION",2,$F$1))))</f>
        <v/>
      </c>
      <c r="AI130" s="1" t="str">
        <f>IF(OR($B130="",AI$7=""),"",IF($B130="MEANS",INDEX('1-DATA'!$1:$1048576,$A129-1,COLUMN('1-DATA'!AH128)),ROUND(INDEX('1-DATA'!$1:$1048576,IF(OR($B130="STD. DEVIATION",$C$1=1),$A130,$A130+1),COLUMN('1-DATA'!AH128)),IF($B130="STD. DEVIATION",2,$F$1))))</f>
        <v/>
      </c>
      <c r="AJ130" s="1" t="str">
        <f>IF(OR($B130="",AJ$7=""),"",IF($B130="MEANS",INDEX('1-DATA'!$1:$1048576,$A129-1,COLUMN('1-DATA'!AI128)),ROUND(INDEX('1-DATA'!$1:$1048576,IF(OR($B130="STD. DEVIATION",$C$1=1),$A130,$A130+1),COLUMN('1-DATA'!AI128)),IF($B130="STD. DEVIATION",2,$F$1))))</f>
        <v/>
      </c>
      <c r="AK130" s="1" t="str">
        <f>IF(OR($B130="",AK$7=""),"",IF($B130="MEANS",INDEX('1-DATA'!$1:$1048576,$A129-1,COLUMN('1-DATA'!AJ128)),ROUND(INDEX('1-DATA'!$1:$1048576,IF(OR($B130="STD. DEVIATION",$C$1=1),$A130,$A130+1),COLUMN('1-DATA'!AJ128)),IF($B130="STD. DEVIATION",2,$F$1))))</f>
        <v/>
      </c>
      <c r="AL130" s="1" t="str">
        <f>IF(OR($B130="",AL$7=""),"",IF($B130="MEANS",INDEX('1-DATA'!$1:$1048576,$A129-1,COLUMN('1-DATA'!AK128)),ROUND(INDEX('1-DATA'!$1:$1048576,IF(OR($B130="STD. DEVIATION",$C$1=1),$A130,$A130+1),COLUMN('1-DATA'!AK128)),IF($B130="STD. DEVIATION",2,$F$1))))</f>
        <v/>
      </c>
      <c r="AM130" s="1" t="str">
        <f>IF(OR($B130="",AM$7=""),"",IF($B130="MEANS",INDEX('1-DATA'!$1:$1048576,$A129-1,COLUMN('1-DATA'!AL128)),ROUND(INDEX('1-DATA'!$1:$1048576,IF(OR($B130="STD. DEVIATION",$C$1=1),$A130,$A130+1),COLUMN('1-DATA'!AL128)),IF($B130="STD. DEVIATION",2,$F$1))))</f>
        <v/>
      </c>
      <c r="AN130" s="1" t="str">
        <f>IF(OR($B130="",AN$7=""),"",IF($B130="MEANS",INDEX('1-DATA'!$1:$1048576,$A129-1,COLUMN('1-DATA'!AM128)),ROUND(INDEX('1-DATA'!$1:$1048576,IF(OR($B130="STD. DEVIATION",$C$1=1),$A130,$A130+1),COLUMN('1-DATA'!AM128)),IF($B130="STD. DEVIATION",2,$F$1))))</f>
        <v/>
      </c>
      <c r="AO130" s="1" t="str">
        <f>IF(OR($B130="",AO$7=""),"",IF($B130="MEANS",INDEX('1-DATA'!$1:$1048576,$A129-1,COLUMN('1-DATA'!AN128)),ROUND(INDEX('1-DATA'!$1:$1048576,IF(OR($B130="STD. DEVIATION",$C$1=1),$A130,$A130+1),COLUMN('1-DATA'!AN128)),IF($B130="STD. DEVIATION",2,$F$1))))</f>
        <v/>
      </c>
      <c r="AP130" s="1" t="str">
        <f>IF(OR($B130="",AP$7=""),"",IF($B130="MEANS",INDEX('1-DATA'!$1:$1048576,$A129-1,COLUMN('1-DATA'!AO128)),ROUND(INDEX('1-DATA'!$1:$1048576,IF(OR($B130="STD. DEVIATION",$C$1=1),$A130,$A130+1),COLUMN('1-DATA'!AO128)),IF($B130="STD. DEVIATION",2,$F$1))))</f>
        <v/>
      </c>
      <c r="AQ130" s="1" t="str">
        <f>IF(OR($B130="",AQ$7=""),"",IF($B130="MEANS",INDEX('1-DATA'!$1:$1048576,$A129-1,COLUMN('1-DATA'!AP128)),ROUND(INDEX('1-DATA'!$1:$1048576,IF(OR($B130="STD. DEVIATION",$C$1=1),$A130,$A130+1),COLUMN('1-DATA'!AP128)),IF($B130="STD. DEVIATION",2,$F$1))))</f>
        <v/>
      </c>
      <c r="AR130" s="1" t="str">
        <f>IF(OR($B130="",AR$7=""),"",IF($B130="MEANS",INDEX('1-DATA'!$1:$1048576,$A129-1,COLUMN('1-DATA'!AQ128)),ROUND(INDEX('1-DATA'!$1:$1048576,IF(OR($B130="STD. DEVIATION",$C$1=1),$A130,$A130+1),COLUMN('1-DATA'!AQ128)),IF($B130="STD. DEVIATION",2,$F$1))))</f>
        <v/>
      </c>
      <c r="AS130" s="1" t="str">
        <f>IF(OR($B130="",AS$7=""),"",IF($B130="MEANS",INDEX('1-DATA'!$1:$1048576,$A129-1,COLUMN('1-DATA'!AR128)),ROUND(INDEX('1-DATA'!$1:$1048576,IF(OR($B130="STD. DEVIATION",$C$1=1),$A130,$A130+1),COLUMN('1-DATA'!AR128)),IF($B130="STD. DEVIATION",2,$F$1))))</f>
        <v/>
      </c>
      <c r="AT130" s="1" t="str">
        <f>IF(OR($B130="",AT$7=""),"",IF($B130="MEANS",INDEX('1-DATA'!$1:$1048576,$A129-1,COLUMN('1-DATA'!AS128)),ROUND(INDEX('1-DATA'!$1:$1048576,IF(OR($B130="STD. DEVIATION",$C$1=1),$A130,$A130+1),COLUMN('1-DATA'!AS128)),IF($B130="STD. DEVIATION",2,$F$1))))</f>
        <v/>
      </c>
      <c r="AU130" s="1" t="str">
        <f>IF(OR($B130="",AU$7=""),"",IF($B130="MEANS",INDEX('1-DATA'!$1:$1048576,$A129-1,COLUMN('1-DATA'!AT128)),ROUND(INDEX('1-DATA'!$1:$1048576,IF(OR($B130="STD. DEVIATION",$C$1=1),$A130,$A130+1),COLUMN('1-DATA'!AT128)),IF($B130="STD. DEVIATION",2,$F$1))))</f>
        <v/>
      </c>
      <c r="AV130" s="1" t="str">
        <f>IF(OR($B130="",AV$7=""),"",IF($B130="MEANS",INDEX('1-DATA'!$1:$1048576,$A129-1,COLUMN('1-DATA'!AU128)),ROUND(INDEX('1-DATA'!$1:$1048576,IF(OR($B130="STD. DEVIATION",$C$1=1),$A130,$A130+1),COLUMN('1-DATA'!AU128)),IF($B130="STD. DEVIATION",2,$F$1))))</f>
        <v/>
      </c>
      <c r="AW130" s="1" t="str">
        <f>IF(OR($B130="",AW$7=""),"",IF($B130="MEANS",INDEX('1-DATA'!$1:$1048576,$A129-1,COLUMN('1-DATA'!AV128)),ROUND(INDEX('1-DATA'!$1:$1048576,IF(OR($B130="STD. DEVIATION",$C$1=1),$A130,$A130+1),COLUMN('1-DATA'!AV128)),IF($B130="STD. DEVIATION",2,$F$1))))</f>
        <v/>
      </c>
      <c r="AX130" s="1" t="str">
        <f>IF(OR($B130="",AX$7=""),"",IF($B130="MEANS",INDEX('1-DATA'!$1:$1048576,$A129-1,COLUMN('1-DATA'!AW128)),ROUND(INDEX('1-DATA'!$1:$1048576,IF(OR($B130="STD. DEVIATION",$C$1=1),$A130,$A130+1),COLUMN('1-DATA'!AW128)),IF($B130="STD. DEVIATION",2,$F$1))))</f>
        <v/>
      </c>
      <c r="AY130" s="1" t="str">
        <f>IF(OR($B130="",AY$7=""),"",IF($B130="MEANS",INDEX('1-DATA'!$1:$1048576,$A129-1,COLUMN('1-DATA'!AX128)),ROUND(INDEX('1-DATA'!$1:$1048576,IF(OR($B130="STD. DEVIATION",$C$1=1),$A130,$A130+1),COLUMN('1-DATA'!AX128)),IF($B130="STD. DEVIATION",2,$F$1))))</f>
        <v/>
      </c>
      <c r="AZ130" s="1" t="str">
        <f>IF(OR($B130="",AZ$7=""),"",IF($B130="MEANS",INDEX('1-DATA'!$1:$1048576,$A129-1,COLUMN('1-DATA'!AY128)),ROUND(INDEX('1-DATA'!$1:$1048576,IF(OR($B130="STD. DEVIATION",$C$1=1),$A130,$A130+1),COLUMN('1-DATA'!AY128)),IF($B130="STD. DEVIATION",2,$F$1))))</f>
        <v/>
      </c>
    </row>
    <row r="131" spans="1:52" x14ac:dyDescent="0.25">
      <c r="A131" s="11">
        <f t="shared" si="2"/>
        <v>379</v>
      </c>
      <c r="B131" s="1" t="str">
        <f>IF(B130="STD. DEVIATION",INDEX('1-DATA'!$1:$1048576,$A130-1,1),IF(INDEX('1-DATA'!$1:$1048576,$A131,1)&lt;&gt;"",INDEX('1-DATA'!$1:$1048576,$A131,1),""))</f>
        <v/>
      </c>
      <c r="C131" s="1" t="str">
        <f>IF(OR($B131="",C$7=""),"",IF($B131="MEANS",INDEX('1-DATA'!$1:$1048576,$A130-1,COLUMN('1-DATA'!B129)),ROUND(INDEX('1-DATA'!$1:$1048576,IF(OR($B131="STD. DEVIATION",$C$1=1),$A131,$A131+1),COLUMN('1-DATA'!B129)),IF($B131="STD. DEVIATION",2,$F$1))))</f>
        <v/>
      </c>
      <c r="D131" s="1" t="str">
        <f>IF(OR($B131="",D$7=""),"",IF($B131="MEANS",INDEX('1-DATA'!$1:$1048576,$A130-1,COLUMN('1-DATA'!C129)),ROUND(INDEX('1-DATA'!$1:$1048576,IF(OR($B131="STD. DEVIATION",$C$1=1),$A131,$A131+1),COLUMN('1-DATA'!C129)),IF($B131="STD. DEVIATION",2,$F$1))))</f>
        <v/>
      </c>
      <c r="E131" s="1" t="str">
        <f>IF(OR($B131="",E$7=""),"",IF($B131="MEANS",INDEX('1-DATA'!$1:$1048576,$A130-1,COLUMN('1-DATA'!D129)),ROUND(INDEX('1-DATA'!$1:$1048576,IF(OR($B131="STD. DEVIATION",$C$1=1),$A131,$A131+1),COLUMN('1-DATA'!D129)),IF($B131="STD. DEVIATION",2,$F$1))))</f>
        <v/>
      </c>
      <c r="F131" s="1" t="str">
        <f>IF(OR($B131="",F$7=""),"",IF($B131="MEANS",INDEX('1-DATA'!$1:$1048576,$A130-1,COLUMN('1-DATA'!E129)),ROUND(INDEX('1-DATA'!$1:$1048576,IF(OR($B131="STD. DEVIATION",$C$1=1),$A131,$A131+1),COLUMN('1-DATA'!E129)),IF($B131="STD. DEVIATION",2,$F$1))))</f>
        <v/>
      </c>
      <c r="G131" s="1" t="str">
        <f>IF(OR($B131="",G$7=""),"",IF($B131="MEANS",INDEX('1-DATA'!$1:$1048576,$A130-1,COLUMN('1-DATA'!F129)),ROUND(INDEX('1-DATA'!$1:$1048576,IF(OR($B131="STD. DEVIATION",$C$1=1),$A131,$A131+1),COLUMN('1-DATA'!F129)),IF($B131="STD. DEVIATION",2,$F$1))))</f>
        <v/>
      </c>
      <c r="H131" s="1" t="str">
        <f>IF(OR($B131="",H$7=""),"",IF($B131="MEANS",INDEX('1-DATA'!$1:$1048576,$A130-1,COLUMN('1-DATA'!G129)),ROUND(INDEX('1-DATA'!$1:$1048576,IF(OR($B131="STD. DEVIATION",$C$1=1),$A131,$A131+1),COLUMN('1-DATA'!G129)),IF($B131="STD. DEVIATION",2,$F$1))))</f>
        <v/>
      </c>
      <c r="I131" s="1" t="str">
        <f>IF(OR($B131="",I$7=""),"",IF($B131="MEANS",INDEX('1-DATA'!$1:$1048576,$A130-1,COLUMN('1-DATA'!H129)),ROUND(INDEX('1-DATA'!$1:$1048576,IF(OR($B131="STD. DEVIATION",$C$1=1),$A131,$A131+1),COLUMN('1-DATA'!H129)),IF($B131="STD. DEVIATION",2,$F$1))))</f>
        <v/>
      </c>
      <c r="J131" s="1" t="str">
        <f>IF(OR($B131="",J$7=""),"",IF($B131="MEANS",INDEX('1-DATA'!$1:$1048576,$A130-1,COLUMN('1-DATA'!I129)),ROUND(INDEX('1-DATA'!$1:$1048576,IF(OR($B131="STD. DEVIATION",$C$1=1),$A131,$A131+1),COLUMN('1-DATA'!I129)),IF($B131="STD. DEVIATION",2,$F$1))))</f>
        <v/>
      </c>
      <c r="K131" s="1" t="str">
        <f>IF(OR($B131="",K$7=""),"",IF($B131="MEANS",INDEX('1-DATA'!$1:$1048576,$A130-1,COLUMN('1-DATA'!J129)),ROUND(INDEX('1-DATA'!$1:$1048576,IF(OR($B131="STD. DEVIATION",$C$1=1),$A131,$A131+1),COLUMN('1-DATA'!J129)),IF($B131="STD. DEVIATION",2,$F$1))))</f>
        <v/>
      </c>
      <c r="L131" s="1" t="str">
        <f>IF(OR($B131="",L$7=""),"",IF($B131="MEANS",INDEX('1-DATA'!$1:$1048576,$A130-1,COLUMN('1-DATA'!K129)),ROUND(INDEX('1-DATA'!$1:$1048576,IF(OR($B131="STD. DEVIATION",$C$1=1),$A131,$A131+1),COLUMN('1-DATA'!K129)),IF($B131="STD. DEVIATION",2,$F$1))))</f>
        <v/>
      </c>
      <c r="M131" s="1" t="str">
        <f>IF(OR($B131="",M$7=""),"",IF($B131="MEANS",INDEX('1-DATA'!$1:$1048576,$A130-1,COLUMN('1-DATA'!L129)),ROUND(INDEX('1-DATA'!$1:$1048576,IF(OR($B131="STD. DEVIATION",$C$1=1),$A131,$A131+1),COLUMN('1-DATA'!L129)),IF($B131="STD. DEVIATION",2,$F$1))))</f>
        <v/>
      </c>
      <c r="N131" s="1" t="str">
        <f>IF(OR($B131="",N$7=""),"",IF($B131="MEANS",INDEX('1-DATA'!$1:$1048576,$A130-1,COLUMN('1-DATA'!M129)),ROUND(INDEX('1-DATA'!$1:$1048576,IF(OR($B131="STD. DEVIATION",$C$1=1),$A131,$A131+1),COLUMN('1-DATA'!M129)),IF($B131="STD. DEVIATION",2,$F$1))))</f>
        <v/>
      </c>
      <c r="O131" s="1" t="str">
        <f>IF(OR($B131="",O$7=""),"",IF($B131="MEANS",INDEX('1-DATA'!$1:$1048576,$A130-1,COLUMN('1-DATA'!N129)),ROUND(INDEX('1-DATA'!$1:$1048576,IF(OR($B131="STD. DEVIATION",$C$1=1),$A131,$A131+1),COLUMN('1-DATA'!N129)),IF($B131="STD. DEVIATION",2,$F$1))))</f>
        <v/>
      </c>
      <c r="P131" s="1" t="str">
        <f>IF(OR($B131="",P$7=""),"",IF($B131="MEANS",INDEX('1-DATA'!$1:$1048576,$A130-1,COLUMN('1-DATA'!O129)),ROUND(INDEX('1-DATA'!$1:$1048576,IF(OR($B131="STD. DEVIATION",$C$1=1),$A131,$A131+1),COLUMN('1-DATA'!O129)),IF($B131="STD. DEVIATION",2,$F$1))))</f>
        <v/>
      </c>
      <c r="Q131" s="1" t="str">
        <f>IF(OR($B131="",Q$7=""),"",IF($B131="MEANS",INDEX('1-DATA'!$1:$1048576,$A130-1,COLUMN('1-DATA'!P129)),ROUND(INDEX('1-DATA'!$1:$1048576,IF(OR($B131="STD. DEVIATION",$C$1=1),$A131,$A131+1),COLUMN('1-DATA'!P129)),IF($B131="STD. DEVIATION",2,$F$1))))</f>
        <v/>
      </c>
      <c r="R131" s="1" t="str">
        <f>IF(OR($B131="",R$7=""),"",IF($B131="MEANS",INDEX('1-DATA'!$1:$1048576,$A130-1,COLUMN('1-DATA'!Q129)),ROUND(INDEX('1-DATA'!$1:$1048576,IF(OR($B131="STD. DEVIATION",$C$1=1),$A131,$A131+1),COLUMN('1-DATA'!Q129)),IF($B131="STD. DEVIATION",2,$F$1))))</f>
        <v/>
      </c>
      <c r="S131" s="1" t="str">
        <f>IF(OR($B131="",S$7=""),"",IF($B131="MEANS",INDEX('1-DATA'!$1:$1048576,$A130-1,COLUMN('1-DATA'!R129)),ROUND(INDEX('1-DATA'!$1:$1048576,IF(OR($B131="STD. DEVIATION",$C$1=1),$A131,$A131+1),COLUMN('1-DATA'!R129)),IF($B131="STD. DEVIATION",2,$F$1))))</f>
        <v/>
      </c>
      <c r="T131" s="1" t="str">
        <f>IF(OR($B131="",T$7=""),"",IF($B131="MEANS",INDEX('1-DATA'!$1:$1048576,$A130-1,COLUMN('1-DATA'!S129)),ROUND(INDEX('1-DATA'!$1:$1048576,IF(OR($B131="STD. DEVIATION",$C$1=1),$A131,$A131+1),COLUMN('1-DATA'!S129)),IF($B131="STD. DEVIATION",2,$F$1))))</f>
        <v/>
      </c>
      <c r="U131" s="1" t="str">
        <f>IF(OR($B131="",U$7=""),"",IF($B131="MEANS",INDEX('1-DATA'!$1:$1048576,$A130-1,COLUMN('1-DATA'!T129)),ROUND(INDEX('1-DATA'!$1:$1048576,IF(OR($B131="STD. DEVIATION",$C$1=1),$A131,$A131+1),COLUMN('1-DATA'!T129)),IF($B131="STD. DEVIATION",2,$F$1))))</f>
        <v/>
      </c>
      <c r="V131" s="1" t="str">
        <f>IF(OR($B131="",V$7=""),"",IF($B131="MEANS",INDEX('1-DATA'!$1:$1048576,$A130-1,COLUMN('1-DATA'!U129)),ROUND(INDEX('1-DATA'!$1:$1048576,IF(OR($B131="STD. DEVIATION",$C$1=1),$A131,$A131+1),COLUMN('1-DATA'!U129)),IF($B131="STD. DEVIATION",2,$F$1))))</f>
        <v/>
      </c>
      <c r="W131" s="1" t="str">
        <f>IF(OR($B131="",W$7=""),"",IF($B131="MEANS",INDEX('1-DATA'!$1:$1048576,$A130-1,COLUMN('1-DATA'!V129)),ROUND(INDEX('1-DATA'!$1:$1048576,IF(OR($B131="STD. DEVIATION",$C$1=1),$A131,$A131+1),COLUMN('1-DATA'!V129)),IF($B131="STD. DEVIATION",2,$F$1))))</f>
        <v/>
      </c>
      <c r="X131" s="1" t="str">
        <f>IF(OR($B131="",X$7=""),"",IF($B131="MEANS",INDEX('1-DATA'!$1:$1048576,$A130-1,COLUMN('1-DATA'!W129)),ROUND(INDEX('1-DATA'!$1:$1048576,IF(OR($B131="STD. DEVIATION",$C$1=1),$A131,$A131+1),COLUMN('1-DATA'!W129)),IF($B131="STD. DEVIATION",2,$F$1))))</f>
        <v/>
      </c>
      <c r="Y131" s="1" t="str">
        <f>IF(OR($B131="",Y$7=""),"",IF($B131="MEANS",INDEX('1-DATA'!$1:$1048576,$A130-1,COLUMN('1-DATA'!X129)),ROUND(INDEX('1-DATA'!$1:$1048576,IF(OR($B131="STD. DEVIATION",$C$1=1),$A131,$A131+1),COLUMN('1-DATA'!X129)),IF($B131="STD. DEVIATION",2,$F$1))))</f>
        <v/>
      </c>
      <c r="Z131" s="1" t="str">
        <f>IF(OR($B131="",Z$7=""),"",IF($B131="MEANS",INDEX('1-DATA'!$1:$1048576,$A130-1,COLUMN('1-DATA'!Y129)),ROUND(INDEX('1-DATA'!$1:$1048576,IF(OR($B131="STD. DEVIATION",$C$1=1),$A131,$A131+1),COLUMN('1-DATA'!Y129)),IF($B131="STD. DEVIATION",2,$F$1))))</f>
        <v/>
      </c>
      <c r="AA131" s="1" t="str">
        <f>IF(OR($B131="",AA$7=""),"",IF($B131="MEANS",INDEX('1-DATA'!$1:$1048576,$A130-1,COLUMN('1-DATA'!Z129)),ROUND(INDEX('1-DATA'!$1:$1048576,IF(OR($B131="STD. DEVIATION",$C$1=1),$A131,$A131+1),COLUMN('1-DATA'!Z129)),IF($B131="STD. DEVIATION",2,$F$1))))</f>
        <v/>
      </c>
      <c r="AB131" s="1" t="str">
        <f>IF(OR($B131="",AB$7=""),"",IF($B131="MEANS",INDEX('1-DATA'!$1:$1048576,$A130-1,COLUMN('1-DATA'!AA129)),ROUND(INDEX('1-DATA'!$1:$1048576,IF(OR($B131="STD. DEVIATION",$C$1=1),$A131,$A131+1),COLUMN('1-DATA'!AA129)),IF($B131="STD. DEVIATION",2,$F$1))))</f>
        <v/>
      </c>
      <c r="AC131" s="1" t="str">
        <f>IF(OR($B131="",AC$7=""),"",IF($B131="MEANS",INDEX('1-DATA'!$1:$1048576,$A130-1,COLUMN('1-DATA'!AB129)),ROUND(INDEX('1-DATA'!$1:$1048576,IF(OR($B131="STD. DEVIATION",$C$1=1),$A131,$A131+1),COLUMN('1-DATA'!AB129)),IF($B131="STD. DEVIATION",2,$F$1))))</f>
        <v/>
      </c>
      <c r="AD131" s="1" t="str">
        <f>IF(OR($B131="",AD$7=""),"",IF($B131="MEANS",INDEX('1-DATA'!$1:$1048576,$A130-1,COLUMN('1-DATA'!AC129)),ROUND(INDEX('1-DATA'!$1:$1048576,IF(OR($B131="STD. DEVIATION",$C$1=1),$A131,$A131+1),COLUMN('1-DATA'!AC129)),IF($B131="STD. DEVIATION",2,$F$1))))</f>
        <v/>
      </c>
      <c r="AE131" s="1" t="str">
        <f>IF(OR($B131="",AE$7=""),"",IF($B131="MEANS",INDEX('1-DATA'!$1:$1048576,$A130-1,COLUMN('1-DATA'!AD129)),ROUND(INDEX('1-DATA'!$1:$1048576,IF(OR($B131="STD. DEVIATION",$C$1=1),$A131,$A131+1),COLUMN('1-DATA'!AD129)),IF($B131="STD. DEVIATION",2,$F$1))))</f>
        <v/>
      </c>
      <c r="AF131" s="1" t="str">
        <f>IF(OR($B131="",AF$7=""),"",IF($B131="MEANS",INDEX('1-DATA'!$1:$1048576,$A130-1,COLUMN('1-DATA'!AE129)),ROUND(INDEX('1-DATA'!$1:$1048576,IF(OR($B131="STD. DEVIATION",$C$1=1),$A131,$A131+1),COLUMN('1-DATA'!AE129)),IF($B131="STD. DEVIATION",2,$F$1))))</f>
        <v/>
      </c>
      <c r="AG131" s="1" t="str">
        <f>IF(OR($B131="",AG$7=""),"",IF($B131="MEANS",INDEX('1-DATA'!$1:$1048576,$A130-1,COLUMN('1-DATA'!AF129)),ROUND(INDEX('1-DATA'!$1:$1048576,IF(OR($B131="STD. DEVIATION",$C$1=1),$A131,$A131+1),COLUMN('1-DATA'!AF129)),IF($B131="STD. DEVIATION",2,$F$1))))</f>
        <v/>
      </c>
      <c r="AH131" s="1" t="str">
        <f>IF(OR($B131="",AH$7=""),"",IF($B131="MEANS",INDEX('1-DATA'!$1:$1048576,$A130-1,COLUMN('1-DATA'!AG129)),ROUND(INDEX('1-DATA'!$1:$1048576,IF(OR($B131="STD. DEVIATION",$C$1=1),$A131,$A131+1),COLUMN('1-DATA'!AG129)),IF($B131="STD. DEVIATION",2,$F$1))))</f>
        <v/>
      </c>
      <c r="AI131" s="1" t="str">
        <f>IF(OR($B131="",AI$7=""),"",IF($B131="MEANS",INDEX('1-DATA'!$1:$1048576,$A130-1,COLUMN('1-DATA'!AH129)),ROUND(INDEX('1-DATA'!$1:$1048576,IF(OR($B131="STD. DEVIATION",$C$1=1),$A131,$A131+1),COLUMN('1-DATA'!AH129)),IF($B131="STD. DEVIATION",2,$F$1))))</f>
        <v/>
      </c>
      <c r="AJ131" s="1" t="str">
        <f>IF(OR($B131="",AJ$7=""),"",IF($B131="MEANS",INDEX('1-DATA'!$1:$1048576,$A130-1,COLUMN('1-DATA'!AI129)),ROUND(INDEX('1-DATA'!$1:$1048576,IF(OR($B131="STD. DEVIATION",$C$1=1),$A131,$A131+1),COLUMN('1-DATA'!AI129)),IF($B131="STD. DEVIATION",2,$F$1))))</f>
        <v/>
      </c>
      <c r="AK131" s="1" t="str">
        <f>IF(OR($B131="",AK$7=""),"",IF($B131="MEANS",INDEX('1-DATA'!$1:$1048576,$A130-1,COLUMN('1-DATA'!AJ129)),ROUND(INDEX('1-DATA'!$1:$1048576,IF(OR($B131="STD. DEVIATION",$C$1=1),$A131,$A131+1),COLUMN('1-DATA'!AJ129)),IF($B131="STD. DEVIATION",2,$F$1))))</f>
        <v/>
      </c>
      <c r="AL131" s="1" t="str">
        <f>IF(OR($B131="",AL$7=""),"",IF($B131="MEANS",INDEX('1-DATA'!$1:$1048576,$A130-1,COLUMN('1-DATA'!AK129)),ROUND(INDEX('1-DATA'!$1:$1048576,IF(OR($B131="STD. DEVIATION",$C$1=1),$A131,$A131+1),COLUMN('1-DATA'!AK129)),IF($B131="STD. DEVIATION",2,$F$1))))</f>
        <v/>
      </c>
      <c r="AM131" s="1" t="str">
        <f>IF(OR($B131="",AM$7=""),"",IF($B131="MEANS",INDEX('1-DATA'!$1:$1048576,$A130-1,COLUMN('1-DATA'!AL129)),ROUND(INDEX('1-DATA'!$1:$1048576,IF(OR($B131="STD. DEVIATION",$C$1=1),$A131,$A131+1),COLUMN('1-DATA'!AL129)),IF($B131="STD. DEVIATION",2,$F$1))))</f>
        <v/>
      </c>
      <c r="AN131" s="1" t="str">
        <f>IF(OR($B131="",AN$7=""),"",IF($B131="MEANS",INDEX('1-DATA'!$1:$1048576,$A130-1,COLUMN('1-DATA'!AM129)),ROUND(INDEX('1-DATA'!$1:$1048576,IF(OR($B131="STD. DEVIATION",$C$1=1),$A131,$A131+1),COLUMN('1-DATA'!AM129)),IF($B131="STD. DEVIATION",2,$F$1))))</f>
        <v/>
      </c>
      <c r="AO131" s="1" t="str">
        <f>IF(OR($B131="",AO$7=""),"",IF($B131="MEANS",INDEX('1-DATA'!$1:$1048576,$A130-1,COLUMN('1-DATA'!AN129)),ROUND(INDEX('1-DATA'!$1:$1048576,IF(OR($B131="STD. DEVIATION",$C$1=1),$A131,$A131+1),COLUMN('1-DATA'!AN129)),IF($B131="STD. DEVIATION",2,$F$1))))</f>
        <v/>
      </c>
      <c r="AP131" s="1" t="str">
        <f>IF(OR($B131="",AP$7=""),"",IF($B131="MEANS",INDEX('1-DATA'!$1:$1048576,$A130-1,COLUMN('1-DATA'!AO129)),ROUND(INDEX('1-DATA'!$1:$1048576,IF(OR($B131="STD. DEVIATION",$C$1=1),$A131,$A131+1),COLUMN('1-DATA'!AO129)),IF($B131="STD. DEVIATION",2,$F$1))))</f>
        <v/>
      </c>
      <c r="AQ131" s="1" t="str">
        <f>IF(OR($B131="",AQ$7=""),"",IF($B131="MEANS",INDEX('1-DATA'!$1:$1048576,$A130-1,COLUMN('1-DATA'!AP129)),ROUND(INDEX('1-DATA'!$1:$1048576,IF(OR($B131="STD. DEVIATION",$C$1=1),$A131,$A131+1),COLUMN('1-DATA'!AP129)),IF($B131="STD. DEVIATION",2,$F$1))))</f>
        <v/>
      </c>
      <c r="AR131" s="1" t="str">
        <f>IF(OR($B131="",AR$7=""),"",IF($B131="MEANS",INDEX('1-DATA'!$1:$1048576,$A130-1,COLUMN('1-DATA'!AQ129)),ROUND(INDEX('1-DATA'!$1:$1048576,IF(OR($B131="STD. DEVIATION",$C$1=1),$A131,$A131+1),COLUMN('1-DATA'!AQ129)),IF($B131="STD. DEVIATION",2,$F$1))))</f>
        <v/>
      </c>
      <c r="AS131" s="1" t="str">
        <f>IF(OR($B131="",AS$7=""),"",IF($B131="MEANS",INDEX('1-DATA'!$1:$1048576,$A130-1,COLUMN('1-DATA'!AR129)),ROUND(INDEX('1-DATA'!$1:$1048576,IF(OR($B131="STD. DEVIATION",$C$1=1),$A131,$A131+1),COLUMN('1-DATA'!AR129)),IF($B131="STD. DEVIATION",2,$F$1))))</f>
        <v/>
      </c>
      <c r="AT131" s="1" t="str">
        <f>IF(OR($B131="",AT$7=""),"",IF($B131="MEANS",INDEX('1-DATA'!$1:$1048576,$A130-1,COLUMN('1-DATA'!AS129)),ROUND(INDEX('1-DATA'!$1:$1048576,IF(OR($B131="STD. DEVIATION",$C$1=1),$A131,$A131+1),COLUMN('1-DATA'!AS129)),IF($B131="STD. DEVIATION",2,$F$1))))</f>
        <v/>
      </c>
      <c r="AU131" s="1" t="str">
        <f>IF(OR($B131="",AU$7=""),"",IF($B131="MEANS",INDEX('1-DATA'!$1:$1048576,$A130-1,COLUMN('1-DATA'!AT129)),ROUND(INDEX('1-DATA'!$1:$1048576,IF(OR($B131="STD. DEVIATION",$C$1=1),$A131,$A131+1),COLUMN('1-DATA'!AT129)),IF($B131="STD. DEVIATION",2,$F$1))))</f>
        <v/>
      </c>
      <c r="AV131" s="1" t="str">
        <f>IF(OR($B131="",AV$7=""),"",IF($B131="MEANS",INDEX('1-DATA'!$1:$1048576,$A130-1,COLUMN('1-DATA'!AU129)),ROUND(INDEX('1-DATA'!$1:$1048576,IF(OR($B131="STD. DEVIATION",$C$1=1),$A131,$A131+1),COLUMN('1-DATA'!AU129)),IF($B131="STD. DEVIATION",2,$F$1))))</f>
        <v/>
      </c>
      <c r="AW131" s="1" t="str">
        <f>IF(OR($B131="",AW$7=""),"",IF($B131="MEANS",INDEX('1-DATA'!$1:$1048576,$A130-1,COLUMN('1-DATA'!AV129)),ROUND(INDEX('1-DATA'!$1:$1048576,IF(OR($B131="STD. DEVIATION",$C$1=1),$A131,$A131+1),COLUMN('1-DATA'!AV129)),IF($B131="STD. DEVIATION",2,$F$1))))</f>
        <v/>
      </c>
      <c r="AX131" s="1" t="str">
        <f>IF(OR($B131="",AX$7=""),"",IF($B131="MEANS",INDEX('1-DATA'!$1:$1048576,$A130-1,COLUMN('1-DATA'!AW129)),ROUND(INDEX('1-DATA'!$1:$1048576,IF(OR($B131="STD. DEVIATION",$C$1=1),$A131,$A131+1),COLUMN('1-DATA'!AW129)),IF($B131="STD. DEVIATION",2,$F$1))))</f>
        <v/>
      </c>
      <c r="AY131" s="1" t="str">
        <f>IF(OR($B131="",AY$7=""),"",IF($B131="MEANS",INDEX('1-DATA'!$1:$1048576,$A130-1,COLUMN('1-DATA'!AX129)),ROUND(INDEX('1-DATA'!$1:$1048576,IF(OR($B131="STD. DEVIATION",$C$1=1),$A131,$A131+1),COLUMN('1-DATA'!AX129)),IF($B131="STD. DEVIATION",2,$F$1))))</f>
        <v/>
      </c>
      <c r="AZ131" s="1" t="str">
        <f>IF(OR($B131="",AZ$7=""),"",IF($B131="MEANS",INDEX('1-DATA'!$1:$1048576,$A130-1,COLUMN('1-DATA'!AY129)),ROUND(INDEX('1-DATA'!$1:$1048576,IF(OR($B131="STD. DEVIATION",$C$1=1),$A131,$A131+1),COLUMN('1-DATA'!AY129)),IF($B131="STD. DEVIATION",2,$F$1))))</f>
        <v/>
      </c>
    </row>
    <row r="132" spans="1:52" x14ac:dyDescent="0.25">
      <c r="A132" s="11">
        <f t="shared" si="2"/>
        <v>382</v>
      </c>
      <c r="B132" s="1" t="str">
        <f>IF(B131="STD. DEVIATION",INDEX('1-DATA'!$1:$1048576,$A131-1,1),IF(INDEX('1-DATA'!$1:$1048576,$A132,1)&lt;&gt;"",INDEX('1-DATA'!$1:$1048576,$A132,1),""))</f>
        <v/>
      </c>
      <c r="C132" s="1" t="str">
        <f>IF(OR($B132="",C$7=""),"",IF($B132="MEANS",INDEX('1-DATA'!$1:$1048576,$A131-1,COLUMN('1-DATA'!B130)),ROUND(INDEX('1-DATA'!$1:$1048576,IF(OR($B132="STD. DEVIATION",$C$1=1),$A132,$A132+1),COLUMN('1-DATA'!B130)),IF($B132="STD. DEVIATION",2,$F$1))))</f>
        <v/>
      </c>
      <c r="D132" s="1" t="str">
        <f>IF(OR($B132="",D$7=""),"",IF($B132="MEANS",INDEX('1-DATA'!$1:$1048576,$A131-1,COLUMN('1-DATA'!C130)),ROUND(INDEX('1-DATA'!$1:$1048576,IF(OR($B132="STD. DEVIATION",$C$1=1),$A132,$A132+1),COLUMN('1-DATA'!C130)),IF($B132="STD. DEVIATION",2,$F$1))))</f>
        <v/>
      </c>
      <c r="E132" s="1" t="str">
        <f>IF(OR($B132="",E$7=""),"",IF($B132="MEANS",INDEX('1-DATA'!$1:$1048576,$A131-1,COLUMN('1-DATA'!D130)),ROUND(INDEX('1-DATA'!$1:$1048576,IF(OR($B132="STD. DEVIATION",$C$1=1),$A132,$A132+1),COLUMN('1-DATA'!D130)),IF($B132="STD. DEVIATION",2,$F$1))))</f>
        <v/>
      </c>
      <c r="F132" s="1" t="str">
        <f>IF(OR($B132="",F$7=""),"",IF($B132="MEANS",INDEX('1-DATA'!$1:$1048576,$A131-1,COLUMN('1-DATA'!E130)),ROUND(INDEX('1-DATA'!$1:$1048576,IF(OR($B132="STD. DEVIATION",$C$1=1),$A132,$A132+1),COLUMN('1-DATA'!E130)),IF($B132="STD. DEVIATION",2,$F$1))))</f>
        <v/>
      </c>
      <c r="G132" s="1" t="str">
        <f>IF(OR($B132="",G$7=""),"",IF($B132="MEANS",INDEX('1-DATA'!$1:$1048576,$A131-1,COLUMN('1-DATA'!F130)),ROUND(INDEX('1-DATA'!$1:$1048576,IF(OR($B132="STD. DEVIATION",$C$1=1),$A132,$A132+1),COLUMN('1-DATA'!F130)),IF($B132="STD. DEVIATION",2,$F$1))))</f>
        <v/>
      </c>
      <c r="H132" s="1" t="str">
        <f>IF(OR($B132="",H$7=""),"",IF($B132="MEANS",INDEX('1-DATA'!$1:$1048576,$A131-1,COLUMN('1-DATA'!G130)),ROUND(INDEX('1-DATA'!$1:$1048576,IF(OR($B132="STD. DEVIATION",$C$1=1),$A132,$A132+1),COLUMN('1-DATA'!G130)),IF($B132="STD. DEVIATION",2,$F$1))))</f>
        <v/>
      </c>
      <c r="I132" s="1" t="str">
        <f>IF(OR($B132="",I$7=""),"",IF($B132="MEANS",INDEX('1-DATA'!$1:$1048576,$A131-1,COLUMN('1-DATA'!H130)),ROUND(INDEX('1-DATA'!$1:$1048576,IF(OR($B132="STD. DEVIATION",$C$1=1),$A132,$A132+1),COLUMN('1-DATA'!H130)),IF($B132="STD. DEVIATION",2,$F$1))))</f>
        <v/>
      </c>
      <c r="J132" s="1" t="str">
        <f>IF(OR($B132="",J$7=""),"",IF($B132="MEANS",INDEX('1-DATA'!$1:$1048576,$A131-1,COLUMN('1-DATA'!I130)),ROUND(INDEX('1-DATA'!$1:$1048576,IF(OR($B132="STD. DEVIATION",$C$1=1),$A132,$A132+1),COLUMN('1-DATA'!I130)),IF($B132="STD. DEVIATION",2,$F$1))))</f>
        <v/>
      </c>
      <c r="K132" s="1" t="str">
        <f>IF(OR($B132="",K$7=""),"",IF($B132="MEANS",INDEX('1-DATA'!$1:$1048576,$A131-1,COLUMN('1-DATA'!J130)),ROUND(INDEX('1-DATA'!$1:$1048576,IF(OR($B132="STD. DEVIATION",$C$1=1),$A132,$A132+1),COLUMN('1-DATA'!J130)),IF($B132="STD. DEVIATION",2,$F$1))))</f>
        <v/>
      </c>
      <c r="L132" s="1" t="str">
        <f>IF(OR($B132="",L$7=""),"",IF($B132="MEANS",INDEX('1-DATA'!$1:$1048576,$A131-1,COLUMN('1-DATA'!K130)),ROUND(INDEX('1-DATA'!$1:$1048576,IF(OR($B132="STD. DEVIATION",$C$1=1),$A132,$A132+1),COLUMN('1-DATA'!K130)),IF($B132="STD. DEVIATION",2,$F$1))))</f>
        <v/>
      </c>
      <c r="M132" s="1" t="str">
        <f>IF(OR($B132="",M$7=""),"",IF($B132="MEANS",INDEX('1-DATA'!$1:$1048576,$A131-1,COLUMN('1-DATA'!L130)),ROUND(INDEX('1-DATA'!$1:$1048576,IF(OR($B132="STD. DEVIATION",$C$1=1),$A132,$A132+1),COLUMN('1-DATA'!L130)),IF($B132="STD. DEVIATION",2,$F$1))))</f>
        <v/>
      </c>
      <c r="N132" s="1" t="str">
        <f>IF(OR($B132="",N$7=""),"",IF($B132="MEANS",INDEX('1-DATA'!$1:$1048576,$A131-1,COLUMN('1-DATA'!M130)),ROUND(INDEX('1-DATA'!$1:$1048576,IF(OR($B132="STD. DEVIATION",$C$1=1),$A132,$A132+1),COLUMN('1-DATA'!M130)),IF($B132="STD. DEVIATION",2,$F$1))))</f>
        <v/>
      </c>
      <c r="O132" s="1" t="str">
        <f>IF(OR($B132="",O$7=""),"",IF($B132="MEANS",INDEX('1-DATA'!$1:$1048576,$A131-1,COLUMN('1-DATA'!N130)),ROUND(INDEX('1-DATA'!$1:$1048576,IF(OR($B132="STD. DEVIATION",$C$1=1),$A132,$A132+1),COLUMN('1-DATA'!N130)),IF($B132="STD. DEVIATION",2,$F$1))))</f>
        <v/>
      </c>
      <c r="P132" s="1" t="str">
        <f>IF(OR($B132="",P$7=""),"",IF($B132="MEANS",INDEX('1-DATA'!$1:$1048576,$A131-1,COLUMN('1-DATA'!O130)),ROUND(INDEX('1-DATA'!$1:$1048576,IF(OR($B132="STD. DEVIATION",$C$1=1),$A132,$A132+1),COLUMN('1-DATA'!O130)),IF($B132="STD. DEVIATION",2,$F$1))))</f>
        <v/>
      </c>
      <c r="Q132" s="1" t="str">
        <f>IF(OR($B132="",Q$7=""),"",IF($B132="MEANS",INDEX('1-DATA'!$1:$1048576,$A131-1,COLUMN('1-DATA'!P130)),ROUND(INDEX('1-DATA'!$1:$1048576,IF(OR($B132="STD. DEVIATION",$C$1=1),$A132,$A132+1),COLUMN('1-DATA'!P130)),IF($B132="STD. DEVIATION",2,$F$1))))</f>
        <v/>
      </c>
      <c r="R132" s="1" t="str">
        <f>IF(OR($B132="",R$7=""),"",IF($B132="MEANS",INDEX('1-DATA'!$1:$1048576,$A131-1,COLUMN('1-DATA'!Q130)),ROUND(INDEX('1-DATA'!$1:$1048576,IF(OR($B132="STD. DEVIATION",$C$1=1),$A132,$A132+1),COLUMN('1-DATA'!Q130)),IF($B132="STD. DEVIATION",2,$F$1))))</f>
        <v/>
      </c>
      <c r="S132" s="1" t="str">
        <f>IF(OR($B132="",S$7=""),"",IF($B132="MEANS",INDEX('1-DATA'!$1:$1048576,$A131-1,COLUMN('1-DATA'!R130)),ROUND(INDEX('1-DATA'!$1:$1048576,IF(OR($B132="STD. DEVIATION",$C$1=1),$A132,$A132+1),COLUMN('1-DATA'!R130)),IF($B132="STD. DEVIATION",2,$F$1))))</f>
        <v/>
      </c>
      <c r="T132" s="1" t="str">
        <f>IF(OR($B132="",T$7=""),"",IF($B132="MEANS",INDEX('1-DATA'!$1:$1048576,$A131-1,COLUMN('1-DATA'!S130)),ROUND(INDEX('1-DATA'!$1:$1048576,IF(OR($B132="STD. DEVIATION",$C$1=1),$A132,$A132+1),COLUMN('1-DATA'!S130)),IF($B132="STD. DEVIATION",2,$F$1))))</f>
        <v/>
      </c>
      <c r="U132" s="1" t="str">
        <f>IF(OR($B132="",U$7=""),"",IF($B132="MEANS",INDEX('1-DATA'!$1:$1048576,$A131-1,COLUMN('1-DATA'!T130)),ROUND(INDEX('1-DATA'!$1:$1048576,IF(OR($B132="STD. DEVIATION",$C$1=1),$A132,$A132+1),COLUMN('1-DATA'!T130)),IF($B132="STD. DEVIATION",2,$F$1))))</f>
        <v/>
      </c>
      <c r="V132" s="1" t="str">
        <f>IF(OR($B132="",V$7=""),"",IF($B132="MEANS",INDEX('1-DATA'!$1:$1048576,$A131-1,COLUMN('1-DATA'!U130)),ROUND(INDEX('1-DATA'!$1:$1048576,IF(OR($B132="STD. DEVIATION",$C$1=1),$A132,$A132+1),COLUMN('1-DATA'!U130)),IF($B132="STD. DEVIATION",2,$F$1))))</f>
        <v/>
      </c>
      <c r="W132" s="1" t="str">
        <f>IF(OR($B132="",W$7=""),"",IF($B132="MEANS",INDEX('1-DATA'!$1:$1048576,$A131-1,COLUMN('1-DATA'!V130)),ROUND(INDEX('1-DATA'!$1:$1048576,IF(OR($B132="STD. DEVIATION",$C$1=1),$A132,$A132+1),COLUMN('1-DATA'!V130)),IF($B132="STD. DEVIATION",2,$F$1))))</f>
        <v/>
      </c>
      <c r="X132" s="1" t="str">
        <f>IF(OR($B132="",X$7=""),"",IF($B132="MEANS",INDEX('1-DATA'!$1:$1048576,$A131-1,COLUMN('1-DATA'!W130)),ROUND(INDEX('1-DATA'!$1:$1048576,IF(OR($B132="STD. DEVIATION",$C$1=1),$A132,$A132+1),COLUMN('1-DATA'!W130)),IF($B132="STD. DEVIATION",2,$F$1))))</f>
        <v/>
      </c>
      <c r="Y132" s="1" t="str">
        <f>IF(OR($B132="",Y$7=""),"",IF($B132="MEANS",INDEX('1-DATA'!$1:$1048576,$A131-1,COLUMN('1-DATA'!X130)),ROUND(INDEX('1-DATA'!$1:$1048576,IF(OR($B132="STD. DEVIATION",$C$1=1),$A132,$A132+1),COLUMN('1-DATA'!X130)),IF($B132="STD. DEVIATION",2,$F$1))))</f>
        <v/>
      </c>
      <c r="Z132" s="1" t="str">
        <f>IF(OR($B132="",Z$7=""),"",IF($B132="MEANS",INDEX('1-DATA'!$1:$1048576,$A131-1,COLUMN('1-DATA'!Y130)),ROUND(INDEX('1-DATA'!$1:$1048576,IF(OR($B132="STD. DEVIATION",$C$1=1),$A132,$A132+1),COLUMN('1-DATA'!Y130)),IF($B132="STD. DEVIATION",2,$F$1))))</f>
        <v/>
      </c>
      <c r="AA132" s="1" t="str">
        <f>IF(OR($B132="",AA$7=""),"",IF($B132="MEANS",INDEX('1-DATA'!$1:$1048576,$A131-1,COLUMN('1-DATA'!Z130)),ROUND(INDEX('1-DATA'!$1:$1048576,IF(OR($B132="STD. DEVIATION",$C$1=1),$A132,$A132+1),COLUMN('1-DATA'!Z130)),IF($B132="STD. DEVIATION",2,$F$1))))</f>
        <v/>
      </c>
      <c r="AB132" s="1" t="str">
        <f>IF(OR($B132="",AB$7=""),"",IF($B132="MEANS",INDEX('1-DATA'!$1:$1048576,$A131-1,COLUMN('1-DATA'!AA130)),ROUND(INDEX('1-DATA'!$1:$1048576,IF(OR($B132="STD. DEVIATION",$C$1=1),$A132,$A132+1),COLUMN('1-DATA'!AA130)),IF($B132="STD. DEVIATION",2,$F$1))))</f>
        <v/>
      </c>
      <c r="AC132" s="1" t="str">
        <f>IF(OR($B132="",AC$7=""),"",IF($B132="MEANS",INDEX('1-DATA'!$1:$1048576,$A131-1,COLUMN('1-DATA'!AB130)),ROUND(INDEX('1-DATA'!$1:$1048576,IF(OR($B132="STD. DEVIATION",$C$1=1),$A132,$A132+1),COLUMN('1-DATA'!AB130)),IF($B132="STD. DEVIATION",2,$F$1))))</f>
        <v/>
      </c>
      <c r="AD132" s="1" t="str">
        <f>IF(OR($B132="",AD$7=""),"",IF($B132="MEANS",INDEX('1-DATA'!$1:$1048576,$A131-1,COLUMN('1-DATA'!AC130)),ROUND(INDEX('1-DATA'!$1:$1048576,IF(OR($B132="STD. DEVIATION",$C$1=1),$A132,$A132+1),COLUMN('1-DATA'!AC130)),IF($B132="STD. DEVIATION",2,$F$1))))</f>
        <v/>
      </c>
      <c r="AE132" s="1" t="str">
        <f>IF(OR($B132="",AE$7=""),"",IF($B132="MEANS",INDEX('1-DATA'!$1:$1048576,$A131-1,COLUMN('1-DATA'!AD130)),ROUND(INDEX('1-DATA'!$1:$1048576,IF(OR($B132="STD. DEVIATION",$C$1=1),$A132,$A132+1),COLUMN('1-DATA'!AD130)),IF($B132="STD. DEVIATION",2,$F$1))))</f>
        <v/>
      </c>
      <c r="AF132" s="1" t="str">
        <f>IF(OR($B132="",AF$7=""),"",IF($B132="MEANS",INDEX('1-DATA'!$1:$1048576,$A131-1,COLUMN('1-DATA'!AE130)),ROUND(INDEX('1-DATA'!$1:$1048576,IF(OR($B132="STD. DEVIATION",$C$1=1),$A132,$A132+1),COLUMN('1-DATA'!AE130)),IF($B132="STD. DEVIATION",2,$F$1))))</f>
        <v/>
      </c>
      <c r="AG132" s="1" t="str">
        <f>IF(OR($B132="",AG$7=""),"",IF($B132="MEANS",INDEX('1-DATA'!$1:$1048576,$A131-1,COLUMN('1-DATA'!AF130)),ROUND(INDEX('1-DATA'!$1:$1048576,IF(OR($B132="STD. DEVIATION",$C$1=1),$A132,$A132+1),COLUMN('1-DATA'!AF130)),IF($B132="STD. DEVIATION",2,$F$1))))</f>
        <v/>
      </c>
      <c r="AH132" s="1" t="str">
        <f>IF(OR($B132="",AH$7=""),"",IF($B132="MEANS",INDEX('1-DATA'!$1:$1048576,$A131-1,COLUMN('1-DATA'!AG130)),ROUND(INDEX('1-DATA'!$1:$1048576,IF(OR($B132="STD. DEVIATION",$C$1=1),$A132,$A132+1),COLUMN('1-DATA'!AG130)),IF($B132="STD. DEVIATION",2,$F$1))))</f>
        <v/>
      </c>
      <c r="AI132" s="1" t="str">
        <f>IF(OR($B132="",AI$7=""),"",IF($B132="MEANS",INDEX('1-DATA'!$1:$1048576,$A131-1,COLUMN('1-DATA'!AH130)),ROUND(INDEX('1-DATA'!$1:$1048576,IF(OR($B132="STD. DEVIATION",$C$1=1),$A132,$A132+1),COLUMN('1-DATA'!AH130)),IF($B132="STD. DEVIATION",2,$F$1))))</f>
        <v/>
      </c>
      <c r="AJ132" s="1" t="str">
        <f>IF(OR($B132="",AJ$7=""),"",IF($B132="MEANS",INDEX('1-DATA'!$1:$1048576,$A131-1,COLUMN('1-DATA'!AI130)),ROUND(INDEX('1-DATA'!$1:$1048576,IF(OR($B132="STD. DEVIATION",$C$1=1),$A132,$A132+1),COLUMN('1-DATA'!AI130)),IF($B132="STD. DEVIATION",2,$F$1))))</f>
        <v/>
      </c>
      <c r="AK132" s="1" t="str">
        <f>IF(OR($B132="",AK$7=""),"",IF($B132="MEANS",INDEX('1-DATA'!$1:$1048576,$A131-1,COLUMN('1-DATA'!AJ130)),ROUND(INDEX('1-DATA'!$1:$1048576,IF(OR($B132="STD. DEVIATION",$C$1=1),$A132,$A132+1),COLUMN('1-DATA'!AJ130)),IF($B132="STD. DEVIATION",2,$F$1))))</f>
        <v/>
      </c>
      <c r="AL132" s="1" t="str">
        <f>IF(OR($B132="",AL$7=""),"",IF($B132="MEANS",INDEX('1-DATA'!$1:$1048576,$A131-1,COLUMN('1-DATA'!AK130)),ROUND(INDEX('1-DATA'!$1:$1048576,IF(OR($B132="STD. DEVIATION",$C$1=1),$A132,$A132+1),COLUMN('1-DATA'!AK130)),IF($B132="STD. DEVIATION",2,$F$1))))</f>
        <v/>
      </c>
      <c r="AM132" s="1" t="str">
        <f>IF(OR($B132="",AM$7=""),"",IF($B132="MEANS",INDEX('1-DATA'!$1:$1048576,$A131-1,COLUMN('1-DATA'!AL130)),ROUND(INDEX('1-DATA'!$1:$1048576,IF(OR($B132="STD. DEVIATION",$C$1=1),$A132,$A132+1),COLUMN('1-DATA'!AL130)),IF($B132="STD. DEVIATION",2,$F$1))))</f>
        <v/>
      </c>
      <c r="AN132" s="1" t="str">
        <f>IF(OR($B132="",AN$7=""),"",IF($B132="MEANS",INDEX('1-DATA'!$1:$1048576,$A131-1,COLUMN('1-DATA'!AM130)),ROUND(INDEX('1-DATA'!$1:$1048576,IF(OR($B132="STD. DEVIATION",$C$1=1),$A132,$A132+1),COLUMN('1-DATA'!AM130)),IF($B132="STD. DEVIATION",2,$F$1))))</f>
        <v/>
      </c>
      <c r="AO132" s="1" t="str">
        <f>IF(OR($B132="",AO$7=""),"",IF($B132="MEANS",INDEX('1-DATA'!$1:$1048576,$A131-1,COLUMN('1-DATA'!AN130)),ROUND(INDEX('1-DATA'!$1:$1048576,IF(OR($B132="STD. DEVIATION",$C$1=1),$A132,$A132+1),COLUMN('1-DATA'!AN130)),IF($B132="STD. DEVIATION",2,$F$1))))</f>
        <v/>
      </c>
      <c r="AP132" s="1" t="str">
        <f>IF(OR($B132="",AP$7=""),"",IF($B132="MEANS",INDEX('1-DATA'!$1:$1048576,$A131-1,COLUMN('1-DATA'!AO130)),ROUND(INDEX('1-DATA'!$1:$1048576,IF(OR($B132="STD. DEVIATION",$C$1=1),$A132,$A132+1),COLUMN('1-DATA'!AO130)),IF($B132="STD. DEVIATION",2,$F$1))))</f>
        <v/>
      </c>
      <c r="AQ132" s="1" t="str">
        <f>IF(OR($B132="",AQ$7=""),"",IF($B132="MEANS",INDEX('1-DATA'!$1:$1048576,$A131-1,COLUMN('1-DATA'!AP130)),ROUND(INDEX('1-DATA'!$1:$1048576,IF(OR($B132="STD. DEVIATION",$C$1=1),$A132,$A132+1),COLUMN('1-DATA'!AP130)),IF($B132="STD. DEVIATION",2,$F$1))))</f>
        <v/>
      </c>
      <c r="AR132" s="1" t="str">
        <f>IF(OR($B132="",AR$7=""),"",IF($B132="MEANS",INDEX('1-DATA'!$1:$1048576,$A131-1,COLUMN('1-DATA'!AQ130)),ROUND(INDEX('1-DATA'!$1:$1048576,IF(OR($B132="STD. DEVIATION",$C$1=1),$A132,$A132+1),COLUMN('1-DATA'!AQ130)),IF($B132="STD. DEVIATION",2,$F$1))))</f>
        <v/>
      </c>
      <c r="AS132" s="1" t="str">
        <f>IF(OR($B132="",AS$7=""),"",IF($B132="MEANS",INDEX('1-DATA'!$1:$1048576,$A131-1,COLUMN('1-DATA'!AR130)),ROUND(INDEX('1-DATA'!$1:$1048576,IF(OR($B132="STD. DEVIATION",$C$1=1),$A132,$A132+1),COLUMN('1-DATA'!AR130)),IF($B132="STD. DEVIATION",2,$F$1))))</f>
        <v/>
      </c>
      <c r="AT132" s="1" t="str">
        <f>IF(OR($B132="",AT$7=""),"",IF($B132="MEANS",INDEX('1-DATA'!$1:$1048576,$A131-1,COLUMN('1-DATA'!AS130)),ROUND(INDEX('1-DATA'!$1:$1048576,IF(OR($B132="STD. DEVIATION",$C$1=1),$A132,$A132+1),COLUMN('1-DATA'!AS130)),IF($B132="STD. DEVIATION",2,$F$1))))</f>
        <v/>
      </c>
      <c r="AU132" s="1" t="str">
        <f>IF(OR($B132="",AU$7=""),"",IF($B132="MEANS",INDEX('1-DATA'!$1:$1048576,$A131-1,COLUMN('1-DATA'!AT130)),ROUND(INDEX('1-DATA'!$1:$1048576,IF(OR($B132="STD. DEVIATION",$C$1=1),$A132,$A132+1),COLUMN('1-DATA'!AT130)),IF($B132="STD. DEVIATION",2,$F$1))))</f>
        <v/>
      </c>
      <c r="AV132" s="1" t="str">
        <f>IF(OR($B132="",AV$7=""),"",IF($B132="MEANS",INDEX('1-DATA'!$1:$1048576,$A131-1,COLUMN('1-DATA'!AU130)),ROUND(INDEX('1-DATA'!$1:$1048576,IF(OR($B132="STD. DEVIATION",$C$1=1),$A132,$A132+1),COLUMN('1-DATA'!AU130)),IF($B132="STD. DEVIATION",2,$F$1))))</f>
        <v/>
      </c>
      <c r="AW132" s="1" t="str">
        <f>IF(OR($B132="",AW$7=""),"",IF($B132="MEANS",INDEX('1-DATA'!$1:$1048576,$A131-1,COLUMN('1-DATA'!AV130)),ROUND(INDEX('1-DATA'!$1:$1048576,IF(OR($B132="STD. DEVIATION",$C$1=1),$A132,$A132+1),COLUMN('1-DATA'!AV130)),IF($B132="STD. DEVIATION",2,$F$1))))</f>
        <v/>
      </c>
      <c r="AX132" s="1" t="str">
        <f>IF(OR($B132="",AX$7=""),"",IF($B132="MEANS",INDEX('1-DATA'!$1:$1048576,$A131-1,COLUMN('1-DATA'!AW130)),ROUND(INDEX('1-DATA'!$1:$1048576,IF(OR($B132="STD. DEVIATION",$C$1=1),$A132,$A132+1),COLUMN('1-DATA'!AW130)),IF($B132="STD. DEVIATION",2,$F$1))))</f>
        <v/>
      </c>
      <c r="AY132" s="1" t="str">
        <f>IF(OR($B132="",AY$7=""),"",IF($B132="MEANS",INDEX('1-DATA'!$1:$1048576,$A131-1,COLUMN('1-DATA'!AX130)),ROUND(INDEX('1-DATA'!$1:$1048576,IF(OR($B132="STD. DEVIATION",$C$1=1),$A132,$A132+1),COLUMN('1-DATA'!AX130)),IF($B132="STD. DEVIATION",2,$F$1))))</f>
        <v/>
      </c>
      <c r="AZ132" s="1" t="str">
        <f>IF(OR($B132="",AZ$7=""),"",IF($B132="MEANS",INDEX('1-DATA'!$1:$1048576,$A131-1,COLUMN('1-DATA'!AY130)),ROUND(INDEX('1-DATA'!$1:$1048576,IF(OR($B132="STD. DEVIATION",$C$1=1),$A132,$A132+1),COLUMN('1-DATA'!AY130)),IF($B132="STD. DEVIATION",2,$F$1))))</f>
        <v/>
      </c>
    </row>
    <row r="133" spans="1:52" x14ac:dyDescent="0.25">
      <c r="A133" s="11">
        <f t="shared" si="2"/>
        <v>385</v>
      </c>
      <c r="B133" s="1" t="str">
        <f>IF(B132="STD. DEVIATION",INDEX('1-DATA'!$1:$1048576,$A132-1,1),IF(INDEX('1-DATA'!$1:$1048576,$A133,1)&lt;&gt;"",INDEX('1-DATA'!$1:$1048576,$A133,1),""))</f>
        <v/>
      </c>
      <c r="C133" s="1" t="str">
        <f>IF(OR($B133="",C$7=""),"",IF($B133="MEANS",INDEX('1-DATA'!$1:$1048576,$A132-1,COLUMN('1-DATA'!B131)),ROUND(INDEX('1-DATA'!$1:$1048576,IF(OR($B133="STD. DEVIATION",$C$1=1),$A133,$A133+1),COLUMN('1-DATA'!B131)),IF($B133="STD. DEVIATION",2,$F$1))))</f>
        <v/>
      </c>
      <c r="D133" s="1" t="str">
        <f>IF(OR($B133="",D$7=""),"",IF($B133="MEANS",INDEX('1-DATA'!$1:$1048576,$A132-1,COLUMN('1-DATA'!C131)),ROUND(INDEX('1-DATA'!$1:$1048576,IF(OR($B133="STD. DEVIATION",$C$1=1),$A133,$A133+1),COLUMN('1-DATA'!C131)),IF($B133="STD. DEVIATION",2,$F$1))))</f>
        <v/>
      </c>
      <c r="E133" s="1" t="str">
        <f>IF(OR($B133="",E$7=""),"",IF($B133="MEANS",INDEX('1-DATA'!$1:$1048576,$A132-1,COLUMN('1-DATA'!D131)),ROUND(INDEX('1-DATA'!$1:$1048576,IF(OR($B133="STD. DEVIATION",$C$1=1),$A133,$A133+1),COLUMN('1-DATA'!D131)),IF($B133="STD. DEVIATION",2,$F$1))))</f>
        <v/>
      </c>
      <c r="F133" s="1" t="str">
        <f>IF(OR($B133="",F$7=""),"",IF($B133="MEANS",INDEX('1-DATA'!$1:$1048576,$A132-1,COLUMN('1-DATA'!E131)),ROUND(INDEX('1-DATA'!$1:$1048576,IF(OR($B133="STD. DEVIATION",$C$1=1),$A133,$A133+1),COLUMN('1-DATA'!E131)),IF($B133="STD. DEVIATION",2,$F$1))))</f>
        <v/>
      </c>
      <c r="G133" s="1" t="str">
        <f>IF(OR($B133="",G$7=""),"",IF($B133="MEANS",INDEX('1-DATA'!$1:$1048576,$A132-1,COLUMN('1-DATA'!F131)),ROUND(INDEX('1-DATA'!$1:$1048576,IF(OR($B133="STD. DEVIATION",$C$1=1),$A133,$A133+1),COLUMN('1-DATA'!F131)),IF($B133="STD. DEVIATION",2,$F$1))))</f>
        <v/>
      </c>
      <c r="H133" s="1" t="str">
        <f>IF(OR($B133="",H$7=""),"",IF($B133="MEANS",INDEX('1-DATA'!$1:$1048576,$A132-1,COLUMN('1-DATA'!G131)),ROUND(INDEX('1-DATA'!$1:$1048576,IF(OR($B133="STD. DEVIATION",$C$1=1),$A133,$A133+1),COLUMN('1-DATA'!G131)),IF($B133="STD. DEVIATION",2,$F$1))))</f>
        <v/>
      </c>
      <c r="I133" s="1" t="str">
        <f>IF(OR($B133="",I$7=""),"",IF($B133="MEANS",INDEX('1-DATA'!$1:$1048576,$A132-1,COLUMN('1-DATA'!H131)),ROUND(INDEX('1-DATA'!$1:$1048576,IF(OR($B133="STD. DEVIATION",$C$1=1),$A133,$A133+1),COLUMN('1-DATA'!H131)),IF($B133="STD. DEVIATION",2,$F$1))))</f>
        <v/>
      </c>
      <c r="J133" s="1" t="str">
        <f>IF(OR($B133="",J$7=""),"",IF($B133="MEANS",INDEX('1-DATA'!$1:$1048576,$A132-1,COLUMN('1-DATA'!I131)),ROUND(INDEX('1-DATA'!$1:$1048576,IF(OR($B133="STD. DEVIATION",$C$1=1),$A133,$A133+1),COLUMN('1-DATA'!I131)),IF($B133="STD. DEVIATION",2,$F$1))))</f>
        <v/>
      </c>
      <c r="K133" s="1" t="str">
        <f>IF(OR($B133="",K$7=""),"",IF($B133="MEANS",INDEX('1-DATA'!$1:$1048576,$A132-1,COLUMN('1-DATA'!J131)),ROUND(INDEX('1-DATA'!$1:$1048576,IF(OR($B133="STD. DEVIATION",$C$1=1),$A133,$A133+1),COLUMN('1-DATA'!J131)),IF($B133="STD. DEVIATION",2,$F$1))))</f>
        <v/>
      </c>
      <c r="L133" s="1" t="str">
        <f>IF(OR($B133="",L$7=""),"",IF($B133="MEANS",INDEX('1-DATA'!$1:$1048576,$A132-1,COLUMN('1-DATA'!K131)),ROUND(INDEX('1-DATA'!$1:$1048576,IF(OR($B133="STD. DEVIATION",$C$1=1),$A133,$A133+1),COLUMN('1-DATA'!K131)),IF($B133="STD. DEVIATION",2,$F$1))))</f>
        <v/>
      </c>
      <c r="M133" s="1" t="str">
        <f>IF(OR($B133="",M$7=""),"",IF($B133="MEANS",INDEX('1-DATA'!$1:$1048576,$A132-1,COLUMN('1-DATA'!L131)),ROUND(INDEX('1-DATA'!$1:$1048576,IF(OR($B133="STD. DEVIATION",$C$1=1),$A133,$A133+1),COLUMN('1-DATA'!L131)),IF($B133="STD. DEVIATION",2,$F$1))))</f>
        <v/>
      </c>
      <c r="N133" s="1" t="str">
        <f>IF(OR($B133="",N$7=""),"",IF($B133="MEANS",INDEX('1-DATA'!$1:$1048576,$A132-1,COLUMN('1-DATA'!M131)),ROUND(INDEX('1-DATA'!$1:$1048576,IF(OR($B133="STD. DEVIATION",$C$1=1),$A133,$A133+1),COLUMN('1-DATA'!M131)),IF($B133="STD. DEVIATION",2,$F$1))))</f>
        <v/>
      </c>
      <c r="O133" s="1" t="str">
        <f>IF(OR($B133="",O$7=""),"",IF($B133="MEANS",INDEX('1-DATA'!$1:$1048576,$A132-1,COLUMN('1-DATA'!N131)),ROUND(INDEX('1-DATA'!$1:$1048576,IF(OR($B133="STD. DEVIATION",$C$1=1),$A133,$A133+1),COLUMN('1-DATA'!N131)),IF($B133="STD. DEVIATION",2,$F$1))))</f>
        <v/>
      </c>
      <c r="P133" s="1" t="str">
        <f>IF(OR($B133="",P$7=""),"",IF($B133="MEANS",INDEX('1-DATA'!$1:$1048576,$A132-1,COLUMN('1-DATA'!O131)),ROUND(INDEX('1-DATA'!$1:$1048576,IF(OR($B133="STD. DEVIATION",$C$1=1),$A133,$A133+1),COLUMN('1-DATA'!O131)),IF($B133="STD. DEVIATION",2,$F$1))))</f>
        <v/>
      </c>
      <c r="Q133" s="1" t="str">
        <f>IF(OR($B133="",Q$7=""),"",IF($B133="MEANS",INDEX('1-DATA'!$1:$1048576,$A132-1,COLUMN('1-DATA'!P131)),ROUND(INDEX('1-DATA'!$1:$1048576,IF(OR($B133="STD. DEVIATION",$C$1=1),$A133,$A133+1),COLUMN('1-DATA'!P131)),IF($B133="STD. DEVIATION",2,$F$1))))</f>
        <v/>
      </c>
      <c r="R133" s="1" t="str">
        <f>IF(OR($B133="",R$7=""),"",IF($B133="MEANS",INDEX('1-DATA'!$1:$1048576,$A132-1,COLUMN('1-DATA'!Q131)),ROUND(INDEX('1-DATA'!$1:$1048576,IF(OR($B133="STD. DEVIATION",$C$1=1),$A133,$A133+1),COLUMN('1-DATA'!Q131)),IF($B133="STD. DEVIATION",2,$F$1))))</f>
        <v/>
      </c>
      <c r="S133" s="1" t="str">
        <f>IF(OR($B133="",S$7=""),"",IF($B133="MEANS",INDEX('1-DATA'!$1:$1048576,$A132-1,COLUMN('1-DATA'!R131)),ROUND(INDEX('1-DATA'!$1:$1048576,IF(OR($B133="STD. DEVIATION",$C$1=1),$A133,$A133+1),COLUMN('1-DATA'!R131)),IF($B133="STD. DEVIATION",2,$F$1))))</f>
        <v/>
      </c>
      <c r="T133" s="1" t="str">
        <f>IF(OR($B133="",T$7=""),"",IF($B133="MEANS",INDEX('1-DATA'!$1:$1048576,$A132-1,COLUMN('1-DATA'!S131)),ROUND(INDEX('1-DATA'!$1:$1048576,IF(OR($B133="STD. DEVIATION",$C$1=1),$A133,$A133+1),COLUMN('1-DATA'!S131)),IF($B133="STD. DEVIATION",2,$F$1))))</f>
        <v/>
      </c>
      <c r="U133" s="1" t="str">
        <f>IF(OR($B133="",U$7=""),"",IF($B133="MEANS",INDEX('1-DATA'!$1:$1048576,$A132-1,COLUMN('1-DATA'!T131)),ROUND(INDEX('1-DATA'!$1:$1048576,IF(OR($B133="STD. DEVIATION",$C$1=1),$A133,$A133+1),COLUMN('1-DATA'!T131)),IF($B133="STD. DEVIATION",2,$F$1))))</f>
        <v/>
      </c>
      <c r="V133" s="1" t="str">
        <f>IF(OR($B133="",V$7=""),"",IF($B133="MEANS",INDEX('1-DATA'!$1:$1048576,$A132-1,COLUMN('1-DATA'!U131)),ROUND(INDEX('1-DATA'!$1:$1048576,IF(OR($B133="STD. DEVIATION",$C$1=1),$A133,$A133+1),COLUMN('1-DATA'!U131)),IF($B133="STD. DEVIATION",2,$F$1))))</f>
        <v/>
      </c>
      <c r="W133" s="1" t="str">
        <f>IF(OR($B133="",W$7=""),"",IF($B133="MEANS",INDEX('1-DATA'!$1:$1048576,$A132-1,COLUMN('1-DATA'!V131)),ROUND(INDEX('1-DATA'!$1:$1048576,IF(OR($B133="STD. DEVIATION",$C$1=1),$A133,$A133+1),COLUMN('1-DATA'!V131)),IF($B133="STD. DEVIATION",2,$F$1))))</f>
        <v/>
      </c>
      <c r="X133" s="1" t="str">
        <f>IF(OR($B133="",X$7=""),"",IF($B133="MEANS",INDEX('1-DATA'!$1:$1048576,$A132-1,COLUMN('1-DATA'!W131)),ROUND(INDEX('1-DATA'!$1:$1048576,IF(OR($B133="STD. DEVIATION",$C$1=1),$A133,$A133+1),COLUMN('1-DATA'!W131)),IF($B133="STD. DEVIATION",2,$F$1))))</f>
        <v/>
      </c>
      <c r="Y133" s="1" t="str">
        <f>IF(OR($B133="",Y$7=""),"",IF($B133="MEANS",INDEX('1-DATA'!$1:$1048576,$A132-1,COLUMN('1-DATA'!X131)),ROUND(INDEX('1-DATA'!$1:$1048576,IF(OR($B133="STD. DEVIATION",$C$1=1),$A133,$A133+1),COLUMN('1-DATA'!X131)),IF($B133="STD. DEVIATION",2,$F$1))))</f>
        <v/>
      </c>
      <c r="Z133" s="1" t="str">
        <f>IF(OR($B133="",Z$7=""),"",IF($B133="MEANS",INDEX('1-DATA'!$1:$1048576,$A132-1,COLUMN('1-DATA'!Y131)),ROUND(INDEX('1-DATA'!$1:$1048576,IF(OR($B133="STD. DEVIATION",$C$1=1),$A133,$A133+1),COLUMN('1-DATA'!Y131)),IF($B133="STD. DEVIATION",2,$F$1))))</f>
        <v/>
      </c>
      <c r="AA133" s="1" t="str">
        <f>IF(OR($B133="",AA$7=""),"",IF($B133="MEANS",INDEX('1-DATA'!$1:$1048576,$A132-1,COLUMN('1-DATA'!Z131)),ROUND(INDEX('1-DATA'!$1:$1048576,IF(OR($B133="STD. DEVIATION",$C$1=1),$A133,$A133+1),COLUMN('1-DATA'!Z131)),IF($B133="STD. DEVIATION",2,$F$1))))</f>
        <v/>
      </c>
      <c r="AB133" s="1" t="str">
        <f>IF(OR($B133="",AB$7=""),"",IF($B133="MEANS",INDEX('1-DATA'!$1:$1048576,$A132-1,COLUMN('1-DATA'!AA131)),ROUND(INDEX('1-DATA'!$1:$1048576,IF(OR($B133="STD. DEVIATION",$C$1=1),$A133,$A133+1),COLUMN('1-DATA'!AA131)),IF($B133="STD. DEVIATION",2,$F$1))))</f>
        <v/>
      </c>
      <c r="AC133" s="1" t="str">
        <f>IF(OR($B133="",AC$7=""),"",IF($B133="MEANS",INDEX('1-DATA'!$1:$1048576,$A132-1,COLUMN('1-DATA'!AB131)),ROUND(INDEX('1-DATA'!$1:$1048576,IF(OR($B133="STD. DEVIATION",$C$1=1),$A133,$A133+1),COLUMN('1-DATA'!AB131)),IF($B133="STD. DEVIATION",2,$F$1))))</f>
        <v/>
      </c>
      <c r="AD133" s="1" t="str">
        <f>IF(OR($B133="",AD$7=""),"",IF($B133="MEANS",INDEX('1-DATA'!$1:$1048576,$A132-1,COLUMN('1-DATA'!AC131)),ROUND(INDEX('1-DATA'!$1:$1048576,IF(OR($B133="STD. DEVIATION",$C$1=1),$A133,$A133+1),COLUMN('1-DATA'!AC131)),IF($B133="STD. DEVIATION",2,$F$1))))</f>
        <v/>
      </c>
      <c r="AE133" s="1" t="str">
        <f>IF(OR($B133="",AE$7=""),"",IF($B133="MEANS",INDEX('1-DATA'!$1:$1048576,$A132-1,COLUMN('1-DATA'!AD131)),ROUND(INDEX('1-DATA'!$1:$1048576,IF(OR($B133="STD. DEVIATION",$C$1=1),$A133,$A133+1),COLUMN('1-DATA'!AD131)),IF($B133="STD. DEVIATION",2,$F$1))))</f>
        <v/>
      </c>
      <c r="AF133" s="1" t="str">
        <f>IF(OR($B133="",AF$7=""),"",IF($B133="MEANS",INDEX('1-DATA'!$1:$1048576,$A132-1,COLUMN('1-DATA'!AE131)),ROUND(INDEX('1-DATA'!$1:$1048576,IF(OR($B133="STD. DEVIATION",$C$1=1),$A133,$A133+1),COLUMN('1-DATA'!AE131)),IF($B133="STD. DEVIATION",2,$F$1))))</f>
        <v/>
      </c>
      <c r="AG133" s="1" t="str">
        <f>IF(OR($B133="",AG$7=""),"",IF($B133="MEANS",INDEX('1-DATA'!$1:$1048576,$A132-1,COLUMN('1-DATA'!AF131)),ROUND(INDEX('1-DATA'!$1:$1048576,IF(OR($B133="STD. DEVIATION",$C$1=1),$A133,$A133+1),COLUMN('1-DATA'!AF131)),IF($B133="STD. DEVIATION",2,$F$1))))</f>
        <v/>
      </c>
      <c r="AH133" s="1" t="str">
        <f>IF(OR($B133="",AH$7=""),"",IF($B133="MEANS",INDEX('1-DATA'!$1:$1048576,$A132-1,COLUMN('1-DATA'!AG131)),ROUND(INDEX('1-DATA'!$1:$1048576,IF(OR($B133="STD. DEVIATION",$C$1=1),$A133,$A133+1),COLUMN('1-DATA'!AG131)),IF($B133="STD. DEVIATION",2,$F$1))))</f>
        <v/>
      </c>
      <c r="AI133" s="1" t="str">
        <f>IF(OR($B133="",AI$7=""),"",IF($B133="MEANS",INDEX('1-DATA'!$1:$1048576,$A132-1,COLUMN('1-DATA'!AH131)),ROUND(INDEX('1-DATA'!$1:$1048576,IF(OR($B133="STD. DEVIATION",$C$1=1),$A133,$A133+1),COLUMN('1-DATA'!AH131)),IF($B133="STD. DEVIATION",2,$F$1))))</f>
        <v/>
      </c>
      <c r="AJ133" s="1" t="str">
        <f>IF(OR($B133="",AJ$7=""),"",IF($B133="MEANS",INDEX('1-DATA'!$1:$1048576,$A132-1,COLUMN('1-DATA'!AI131)),ROUND(INDEX('1-DATA'!$1:$1048576,IF(OR($B133="STD. DEVIATION",$C$1=1),$A133,$A133+1),COLUMN('1-DATA'!AI131)),IF($B133="STD. DEVIATION",2,$F$1))))</f>
        <v/>
      </c>
      <c r="AK133" s="1" t="str">
        <f>IF(OR($B133="",AK$7=""),"",IF($B133="MEANS",INDEX('1-DATA'!$1:$1048576,$A132-1,COLUMN('1-DATA'!AJ131)),ROUND(INDEX('1-DATA'!$1:$1048576,IF(OR($B133="STD. DEVIATION",$C$1=1),$A133,$A133+1),COLUMN('1-DATA'!AJ131)),IF($B133="STD. DEVIATION",2,$F$1))))</f>
        <v/>
      </c>
      <c r="AL133" s="1" t="str">
        <f>IF(OR($B133="",AL$7=""),"",IF($B133="MEANS",INDEX('1-DATA'!$1:$1048576,$A132-1,COLUMN('1-DATA'!AK131)),ROUND(INDEX('1-DATA'!$1:$1048576,IF(OR($B133="STD. DEVIATION",$C$1=1),$A133,$A133+1),COLUMN('1-DATA'!AK131)),IF($B133="STD. DEVIATION",2,$F$1))))</f>
        <v/>
      </c>
      <c r="AM133" s="1" t="str">
        <f>IF(OR($B133="",AM$7=""),"",IF($B133="MEANS",INDEX('1-DATA'!$1:$1048576,$A132-1,COLUMN('1-DATA'!AL131)),ROUND(INDEX('1-DATA'!$1:$1048576,IF(OR($B133="STD. DEVIATION",$C$1=1),$A133,$A133+1),COLUMN('1-DATA'!AL131)),IF($B133="STD. DEVIATION",2,$F$1))))</f>
        <v/>
      </c>
      <c r="AN133" s="1" t="str">
        <f>IF(OR($B133="",AN$7=""),"",IF($B133="MEANS",INDEX('1-DATA'!$1:$1048576,$A132-1,COLUMN('1-DATA'!AM131)),ROUND(INDEX('1-DATA'!$1:$1048576,IF(OR($B133="STD. DEVIATION",$C$1=1),$A133,$A133+1),COLUMN('1-DATA'!AM131)),IF($B133="STD. DEVIATION",2,$F$1))))</f>
        <v/>
      </c>
      <c r="AO133" s="1" t="str">
        <f>IF(OR($B133="",AO$7=""),"",IF($B133="MEANS",INDEX('1-DATA'!$1:$1048576,$A132-1,COLUMN('1-DATA'!AN131)),ROUND(INDEX('1-DATA'!$1:$1048576,IF(OR($B133="STD. DEVIATION",$C$1=1),$A133,$A133+1),COLUMN('1-DATA'!AN131)),IF($B133="STD. DEVIATION",2,$F$1))))</f>
        <v/>
      </c>
      <c r="AP133" s="1" t="str">
        <f>IF(OR($B133="",AP$7=""),"",IF($B133="MEANS",INDEX('1-DATA'!$1:$1048576,$A132-1,COLUMN('1-DATA'!AO131)),ROUND(INDEX('1-DATA'!$1:$1048576,IF(OR($B133="STD. DEVIATION",$C$1=1),$A133,$A133+1),COLUMN('1-DATA'!AO131)),IF($B133="STD. DEVIATION",2,$F$1))))</f>
        <v/>
      </c>
      <c r="AQ133" s="1" t="str">
        <f>IF(OR($B133="",AQ$7=""),"",IF($B133="MEANS",INDEX('1-DATA'!$1:$1048576,$A132-1,COLUMN('1-DATA'!AP131)),ROUND(INDEX('1-DATA'!$1:$1048576,IF(OR($B133="STD. DEVIATION",$C$1=1),$A133,$A133+1),COLUMN('1-DATA'!AP131)),IF($B133="STD. DEVIATION",2,$F$1))))</f>
        <v/>
      </c>
      <c r="AR133" s="1" t="str">
        <f>IF(OR($B133="",AR$7=""),"",IF($B133="MEANS",INDEX('1-DATA'!$1:$1048576,$A132-1,COLUMN('1-DATA'!AQ131)),ROUND(INDEX('1-DATA'!$1:$1048576,IF(OR($B133="STD. DEVIATION",$C$1=1),$A133,$A133+1),COLUMN('1-DATA'!AQ131)),IF($B133="STD. DEVIATION",2,$F$1))))</f>
        <v/>
      </c>
      <c r="AS133" s="1" t="str">
        <f>IF(OR($B133="",AS$7=""),"",IF($B133="MEANS",INDEX('1-DATA'!$1:$1048576,$A132-1,COLUMN('1-DATA'!AR131)),ROUND(INDEX('1-DATA'!$1:$1048576,IF(OR($B133="STD. DEVIATION",$C$1=1),$A133,$A133+1),COLUMN('1-DATA'!AR131)),IF($B133="STD. DEVIATION",2,$F$1))))</f>
        <v/>
      </c>
      <c r="AT133" s="1" t="str">
        <f>IF(OR($B133="",AT$7=""),"",IF($B133="MEANS",INDEX('1-DATA'!$1:$1048576,$A132-1,COLUMN('1-DATA'!AS131)),ROUND(INDEX('1-DATA'!$1:$1048576,IF(OR($B133="STD. DEVIATION",$C$1=1),$A133,$A133+1),COLUMN('1-DATA'!AS131)),IF($B133="STD. DEVIATION",2,$F$1))))</f>
        <v/>
      </c>
      <c r="AU133" s="1" t="str">
        <f>IF(OR($B133="",AU$7=""),"",IF($B133="MEANS",INDEX('1-DATA'!$1:$1048576,$A132-1,COLUMN('1-DATA'!AT131)),ROUND(INDEX('1-DATA'!$1:$1048576,IF(OR($B133="STD. DEVIATION",$C$1=1),$A133,$A133+1),COLUMN('1-DATA'!AT131)),IF($B133="STD. DEVIATION",2,$F$1))))</f>
        <v/>
      </c>
      <c r="AV133" s="1" t="str">
        <f>IF(OR($B133="",AV$7=""),"",IF($B133="MEANS",INDEX('1-DATA'!$1:$1048576,$A132-1,COLUMN('1-DATA'!AU131)),ROUND(INDEX('1-DATA'!$1:$1048576,IF(OR($B133="STD. DEVIATION",$C$1=1),$A133,$A133+1),COLUMN('1-DATA'!AU131)),IF($B133="STD. DEVIATION",2,$F$1))))</f>
        <v/>
      </c>
      <c r="AW133" s="1" t="str">
        <f>IF(OR($B133="",AW$7=""),"",IF($B133="MEANS",INDEX('1-DATA'!$1:$1048576,$A132-1,COLUMN('1-DATA'!AV131)),ROUND(INDEX('1-DATA'!$1:$1048576,IF(OR($B133="STD. DEVIATION",$C$1=1),$A133,$A133+1),COLUMN('1-DATA'!AV131)),IF($B133="STD. DEVIATION",2,$F$1))))</f>
        <v/>
      </c>
      <c r="AX133" s="1" t="str">
        <f>IF(OR($B133="",AX$7=""),"",IF($B133="MEANS",INDEX('1-DATA'!$1:$1048576,$A132-1,COLUMN('1-DATA'!AW131)),ROUND(INDEX('1-DATA'!$1:$1048576,IF(OR($B133="STD. DEVIATION",$C$1=1),$A133,$A133+1),COLUMN('1-DATA'!AW131)),IF($B133="STD. DEVIATION",2,$F$1))))</f>
        <v/>
      </c>
      <c r="AY133" s="1" t="str">
        <f>IF(OR($B133="",AY$7=""),"",IF($B133="MEANS",INDEX('1-DATA'!$1:$1048576,$A132-1,COLUMN('1-DATA'!AX131)),ROUND(INDEX('1-DATA'!$1:$1048576,IF(OR($B133="STD. DEVIATION",$C$1=1),$A133,$A133+1),COLUMN('1-DATA'!AX131)),IF($B133="STD. DEVIATION",2,$F$1))))</f>
        <v/>
      </c>
      <c r="AZ133" s="1" t="str">
        <f>IF(OR($B133="",AZ$7=""),"",IF($B133="MEANS",INDEX('1-DATA'!$1:$1048576,$A132-1,COLUMN('1-DATA'!AY131)),ROUND(INDEX('1-DATA'!$1:$1048576,IF(OR($B133="STD. DEVIATION",$C$1=1),$A133,$A133+1),COLUMN('1-DATA'!AY131)),IF($B133="STD. DEVIATION",2,$F$1))))</f>
        <v/>
      </c>
    </row>
    <row r="134" spans="1:52" x14ac:dyDescent="0.25">
      <c r="A134" s="11">
        <f t="shared" si="2"/>
        <v>388</v>
      </c>
      <c r="B134" s="1" t="str">
        <f>IF(B133="STD. DEVIATION",INDEX('1-DATA'!$1:$1048576,$A133-1,1),IF(INDEX('1-DATA'!$1:$1048576,$A134,1)&lt;&gt;"",INDEX('1-DATA'!$1:$1048576,$A134,1),""))</f>
        <v/>
      </c>
      <c r="C134" s="1" t="str">
        <f>IF(OR($B134="",C$7=""),"",IF($B134="MEANS",INDEX('1-DATA'!$1:$1048576,$A133-1,COLUMN('1-DATA'!B132)),ROUND(INDEX('1-DATA'!$1:$1048576,IF(OR($B134="STD. DEVIATION",$C$1=1),$A134,$A134+1),COLUMN('1-DATA'!B132)),IF($B134="STD. DEVIATION",2,$F$1))))</f>
        <v/>
      </c>
      <c r="D134" s="1" t="str">
        <f>IF(OR($B134="",D$7=""),"",IF($B134="MEANS",INDEX('1-DATA'!$1:$1048576,$A133-1,COLUMN('1-DATA'!C132)),ROUND(INDEX('1-DATA'!$1:$1048576,IF(OR($B134="STD. DEVIATION",$C$1=1),$A134,$A134+1),COLUMN('1-DATA'!C132)),IF($B134="STD. DEVIATION",2,$F$1))))</f>
        <v/>
      </c>
      <c r="E134" s="1" t="str">
        <f>IF(OR($B134="",E$7=""),"",IF($B134="MEANS",INDEX('1-DATA'!$1:$1048576,$A133-1,COLUMN('1-DATA'!D132)),ROUND(INDEX('1-DATA'!$1:$1048576,IF(OR($B134="STD. DEVIATION",$C$1=1),$A134,$A134+1),COLUMN('1-DATA'!D132)),IF($B134="STD. DEVIATION",2,$F$1))))</f>
        <v/>
      </c>
      <c r="F134" s="1" t="str">
        <f>IF(OR($B134="",F$7=""),"",IF($B134="MEANS",INDEX('1-DATA'!$1:$1048576,$A133-1,COLUMN('1-DATA'!E132)),ROUND(INDEX('1-DATA'!$1:$1048576,IF(OR($B134="STD. DEVIATION",$C$1=1),$A134,$A134+1),COLUMN('1-DATA'!E132)),IF($B134="STD. DEVIATION",2,$F$1))))</f>
        <v/>
      </c>
      <c r="G134" s="1" t="str">
        <f>IF(OR($B134="",G$7=""),"",IF($B134="MEANS",INDEX('1-DATA'!$1:$1048576,$A133-1,COLUMN('1-DATA'!F132)),ROUND(INDEX('1-DATA'!$1:$1048576,IF(OR($B134="STD. DEVIATION",$C$1=1),$A134,$A134+1),COLUMN('1-DATA'!F132)),IF($B134="STD. DEVIATION",2,$F$1))))</f>
        <v/>
      </c>
      <c r="H134" s="1" t="str">
        <f>IF(OR($B134="",H$7=""),"",IF($B134="MEANS",INDEX('1-DATA'!$1:$1048576,$A133-1,COLUMN('1-DATA'!G132)),ROUND(INDEX('1-DATA'!$1:$1048576,IF(OR($B134="STD. DEVIATION",$C$1=1),$A134,$A134+1),COLUMN('1-DATA'!G132)),IF($B134="STD. DEVIATION",2,$F$1))))</f>
        <v/>
      </c>
      <c r="I134" s="1" t="str">
        <f>IF(OR($B134="",I$7=""),"",IF($B134="MEANS",INDEX('1-DATA'!$1:$1048576,$A133-1,COLUMN('1-DATA'!H132)),ROUND(INDEX('1-DATA'!$1:$1048576,IF(OR($B134="STD. DEVIATION",$C$1=1),$A134,$A134+1),COLUMN('1-DATA'!H132)),IF($B134="STD. DEVIATION",2,$F$1))))</f>
        <v/>
      </c>
      <c r="J134" s="1" t="str">
        <f>IF(OR($B134="",J$7=""),"",IF($B134="MEANS",INDEX('1-DATA'!$1:$1048576,$A133-1,COLUMN('1-DATA'!I132)),ROUND(INDEX('1-DATA'!$1:$1048576,IF(OR($B134="STD. DEVIATION",$C$1=1),$A134,$A134+1),COLUMN('1-DATA'!I132)),IF($B134="STD. DEVIATION",2,$F$1))))</f>
        <v/>
      </c>
      <c r="K134" s="1" t="str">
        <f>IF(OR($B134="",K$7=""),"",IF($B134="MEANS",INDEX('1-DATA'!$1:$1048576,$A133-1,COLUMN('1-DATA'!J132)),ROUND(INDEX('1-DATA'!$1:$1048576,IF(OR($B134="STD. DEVIATION",$C$1=1),$A134,$A134+1),COLUMN('1-DATA'!J132)),IF($B134="STD. DEVIATION",2,$F$1))))</f>
        <v/>
      </c>
      <c r="L134" s="1" t="str">
        <f>IF(OR($B134="",L$7=""),"",IF($B134="MEANS",INDEX('1-DATA'!$1:$1048576,$A133-1,COLUMN('1-DATA'!K132)),ROUND(INDEX('1-DATA'!$1:$1048576,IF(OR($B134="STD. DEVIATION",$C$1=1),$A134,$A134+1),COLUMN('1-DATA'!K132)),IF($B134="STD. DEVIATION",2,$F$1))))</f>
        <v/>
      </c>
      <c r="M134" s="1" t="str">
        <f>IF(OR($B134="",M$7=""),"",IF($B134="MEANS",INDEX('1-DATA'!$1:$1048576,$A133-1,COLUMN('1-DATA'!L132)),ROUND(INDEX('1-DATA'!$1:$1048576,IF(OR($B134="STD. DEVIATION",$C$1=1),$A134,$A134+1),COLUMN('1-DATA'!L132)),IF($B134="STD. DEVIATION",2,$F$1))))</f>
        <v/>
      </c>
      <c r="N134" s="1" t="str">
        <f>IF(OR($B134="",N$7=""),"",IF($B134="MEANS",INDEX('1-DATA'!$1:$1048576,$A133-1,COLUMN('1-DATA'!M132)),ROUND(INDEX('1-DATA'!$1:$1048576,IF(OR($B134="STD. DEVIATION",$C$1=1),$A134,$A134+1),COLUMN('1-DATA'!M132)),IF($B134="STD. DEVIATION",2,$F$1))))</f>
        <v/>
      </c>
      <c r="O134" s="1" t="str">
        <f>IF(OR($B134="",O$7=""),"",IF($B134="MEANS",INDEX('1-DATA'!$1:$1048576,$A133-1,COLUMN('1-DATA'!N132)),ROUND(INDEX('1-DATA'!$1:$1048576,IF(OR($B134="STD. DEVIATION",$C$1=1),$A134,$A134+1),COLUMN('1-DATA'!N132)),IF($B134="STD. DEVIATION",2,$F$1))))</f>
        <v/>
      </c>
      <c r="P134" s="1" t="str">
        <f>IF(OR($B134="",P$7=""),"",IF($B134="MEANS",INDEX('1-DATA'!$1:$1048576,$A133-1,COLUMN('1-DATA'!O132)),ROUND(INDEX('1-DATA'!$1:$1048576,IF(OR($B134="STD. DEVIATION",$C$1=1),$A134,$A134+1),COLUMN('1-DATA'!O132)),IF($B134="STD. DEVIATION",2,$F$1))))</f>
        <v/>
      </c>
      <c r="Q134" s="1" t="str">
        <f>IF(OR($B134="",Q$7=""),"",IF($B134="MEANS",INDEX('1-DATA'!$1:$1048576,$A133-1,COLUMN('1-DATA'!P132)),ROUND(INDEX('1-DATA'!$1:$1048576,IF(OR($B134="STD. DEVIATION",$C$1=1),$A134,$A134+1),COLUMN('1-DATA'!P132)),IF($B134="STD. DEVIATION",2,$F$1))))</f>
        <v/>
      </c>
      <c r="R134" s="1" t="str">
        <f>IF(OR($B134="",R$7=""),"",IF($B134="MEANS",INDEX('1-DATA'!$1:$1048576,$A133-1,COLUMN('1-DATA'!Q132)),ROUND(INDEX('1-DATA'!$1:$1048576,IF(OR($B134="STD. DEVIATION",$C$1=1),$A134,$A134+1),COLUMN('1-DATA'!Q132)),IF($B134="STD. DEVIATION",2,$F$1))))</f>
        <v/>
      </c>
      <c r="S134" s="1" t="str">
        <f>IF(OR($B134="",S$7=""),"",IF($B134="MEANS",INDEX('1-DATA'!$1:$1048576,$A133-1,COLUMN('1-DATA'!R132)),ROUND(INDEX('1-DATA'!$1:$1048576,IF(OR($B134="STD. DEVIATION",$C$1=1),$A134,$A134+1),COLUMN('1-DATA'!R132)),IF($B134="STD. DEVIATION",2,$F$1))))</f>
        <v/>
      </c>
      <c r="T134" s="1" t="str">
        <f>IF(OR($B134="",T$7=""),"",IF($B134="MEANS",INDEX('1-DATA'!$1:$1048576,$A133-1,COLUMN('1-DATA'!S132)),ROUND(INDEX('1-DATA'!$1:$1048576,IF(OR($B134="STD. DEVIATION",$C$1=1),$A134,$A134+1),COLUMN('1-DATA'!S132)),IF($B134="STD. DEVIATION",2,$F$1))))</f>
        <v/>
      </c>
      <c r="U134" s="1" t="str">
        <f>IF(OR($B134="",U$7=""),"",IF($B134="MEANS",INDEX('1-DATA'!$1:$1048576,$A133-1,COLUMN('1-DATA'!T132)),ROUND(INDEX('1-DATA'!$1:$1048576,IF(OR($B134="STD. DEVIATION",$C$1=1),$A134,$A134+1),COLUMN('1-DATA'!T132)),IF($B134="STD. DEVIATION",2,$F$1))))</f>
        <v/>
      </c>
      <c r="V134" s="1" t="str">
        <f>IF(OR($B134="",V$7=""),"",IF($B134="MEANS",INDEX('1-DATA'!$1:$1048576,$A133-1,COLUMN('1-DATA'!U132)),ROUND(INDEX('1-DATA'!$1:$1048576,IF(OR($B134="STD. DEVIATION",$C$1=1),$A134,$A134+1),COLUMN('1-DATA'!U132)),IF($B134="STD. DEVIATION",2,$F$1))))</f>
        <v/>
      </c>
      <c r="W134" s="1" t="str">
        <f>IF(OR($B134="",W$7=""),"",IF($B134="MEANS",INDEX('1-DATA'!$1:$1048576,$A133-1,COLUMN('1-DATA'!V132)),ROUND(INDEX('1-DATA'!$1:$1048576,IF(OR($B134="STD. DEVIATION",$C$1=1),$A134,$A134+1),COLUMN('1-DATA'!V132)),IF($B134="STD. DEVIATION",2,$F$1))))</f>
        <v/>
      </c>
      <c r="X134" s="1" t="str">
        <f>IF(OR($B134="",X$7=""),"",IF($B134="MEANS",INDEX('1-DATA'!$1:$1048576,$A133-1,COLUMN('1-DATA'!W132)),ROUND(INDEX('1-DATA'!$1:$1048576,IF(OR($B134="STD. DEVIATION",$C$1=1),$A134,$A134+1),COLUMN('1-DATA'!W132)),IF($B134="STD. DEVIATION",2,$F$1))))</f>
        <v/>
      </c>
      <c r="Y134" s="1" t="str">
        <f>IF(OR($B134="",Y$7=""),"",IF($B134="MEANS",INDEX('1-DATA'!$1:$1048576,$A133-1,COLUMN('1-DATA'!X132)),ROUND(INDEX('1-DATA'!$1:$1048576,IF(OR($B134="STD. DEVIATION",$C$1=1),$A134,$A134+1),COLUMN('1-DATA'!X132)),IF($B134="STD. DEVIATION",2,$F$1))))</f>
        <v/>
      </c>
      <c r="Z134" s="1" t="str">
        <f>IF(OR($B134="",Z$7=""),"",IF($B134="MEANS",INDEX('1-DATA'!$1:$1048576,$A133-1,COLUMN('1-DATA'!Y132)),ROUND(INDEX('1-DATA'!$1:$1048576,IF(OR($B134="STD. DEVIATION",$C$1=1),$A134,$A134+1),COLUMN('1-DATA'!Y132)),IF($B134="STD. DEVIATION",2,$F$1))))</f>
        <v/>
      </c>
      <c r="AA134" s="1" t="str">
        <f>IF(OR($B134="",AA$7=""),"",IF($B134="MEANS",INDEX('1-DATA'!$1:$1048576,$A133-1,COLUMN('1-DATA'!Z132)),ROUND(INDEX('1-DATA'!$1:$1048576,IF(OR($B134="STD. DEVIATION",$C$1=1),$A134,$A134+1),COLUMN('1-DATA'!Z132)),IF($B134="STD. DEVIATION",2,$F$1))))</f>
        <v/>
      </c>
      <c r="AB134" s="1" t="str">
        <f>IF(OR($B134="",AB$7=""),"",IF($B134="MEANS",INDEX('1-DATA'!$1:$1048576,$A133-1,COLUMN('1-DATA'!AA132)),ROUND(INDEX('1-DATA'!$1:$1048576,IF(OR($B134="STD. DEVIATION",$C$1=1),$A134,$A134+1),COLUMN('1-DATA'!AA132)),IF($B134="STD. DEVIATION",2,$F$1))))</f>
        <v/>
      </c>
      <c r="AC134" s="1" t="str">
        <f>IF(OR($B134="",AC$7=""),"",IF($B134="MEANS",INDEX('1-DATA'!$1:$1048576,$A133-1,COLUMN('1-DATA'!AB132)),ROUND(INDEX('1-DATA'!$1:$1048576,IF(OR($B134="STD. DEVIATION",$C$1=1),$A134,$A134+1),COLUMN('1-DATA'!AB132)),IF($B134="STD. DEVIATION",2,$F$1))))</f>
        <v/>
      </c>
      <c r="AD134" s="1" t="str">
        <f>IF(OR($B134="",AD$7=""),"",IF($B134="MEANS",INDEX('1-DATA'!$1:$1048576,$A133-1,COLUMN('1-DATA'!AC132)),ROUND(INDEX('1-DATA'!$1:$1048576,IF(OR($B134="STD. DEVIATION",$C$1=1),$A134,$A134+1),COLUMN('1-DATA'!AC132)),IF($B134="STD. DEVIATION",2,$F$1))))</f>
        <v/>
      </c>
      <c r="AE134" s="1" t="str">
        <f>IF(OR($B134="",AE$7=""),"",IF($B134="MEANS",INDEX('1-DATA'!$1:$1048576,$A133-1,COLUMN('1-DATA'!AD132)),ROUND(INDEX('1-DATA'!$1:$1048576,IF(OR($B134="STD. DEVIATION",$C$1=1),$A134,$A134+1),COLUMN('1-DATA'!AD132)),IF($B134="STD. DEVIATION",2,$F$1))))</f>
        <v/>
      </c>
      <c r="AF134" s="1" t="str">
        <f>IF(OR($B134="",AF$7=""),"",IF($B134="MEANS",INDEX('1-DATA'!$1:$1048576,$A133-1,COLUMN('1-DATA'!AE132)),ROUND(INDEX('1-DATA'!$1:$1048576,IF(OR($B134="STD. DEVIATION",$C$1=1),$A134,$A134+1),COLUMN('1-DATA'!AE132)),IF($B134="STD. DEVIATION",2,$F$1))))</f>
        <v/>
      </c>
      <c r="AG134" s="1" t="str">
        <f>IF(OR($B134="",AG$7=""),"",IF($B134="MEANS",INDEX('1-DATA'!$1:$1048576,$A133-1,COLUMN('1-DATA'!AF132)),ROUND(INDEX('1-DATA'!$1:$1048576,IF(OR($B134="STD. DEVIATION",$C$1=1),$A134,$A134+1),COLUMN('1-DATA'!AF132)),IF($B134="STD. DEVIATION",2,$F$1))))</f>
        <v/>
      </c>
      <c r="AH134" s="1" t="str">
        <f>IF(OR($B134="",AH$7=""),"",IF($B134="MEANS",INDEX('1-DATA'!$1:$1048576,$A133-1,COLUMN('1-DATA'!AG132)),ROUND(INDEX('1-DATA'!$1:$1048576,IF(OR($B134="STD. DEVIATION",$C$1=1),$A134,$A134+1),COLUMN('1-DATA'!AG132)),IF($B134="STD. DEVIATION",2,$F$1))))</f>
        <v/>
      </c>
      <c r="AI134" s="1" t="str">
        <f>IF(OR($B134="",AI$7=""),"",IF($B134="MEANS",INDEX('1-DATA'!$1:$1048576,$A133-1,COLUMN('1-DATA'!AH132)),ROUND(INDEX('1-DATA'!$1:$1048576,IF(OR($B134="STD. DEVIATION",$C$1=1),$A134,$A134+1),COLUMN('1-DATA'!AH132)),IF($B134="STD. DEVIATION",2,$F$1))))</f>
        <v/>
      </c>
      <c r="AJ134" s="1" t="str">
        <f>IF(OR($B134="",AJ$7=""),"",IF($B134="MEANS",INDEX('1-DATA'!$1:$1048576,$A133-1,COLUMN('1-DATA'!AI132)),ROUND(INDEX('1-DATA'!$1:$1048576,IF(OR($B134="STD. DEVIATION",$C$1=1),$A134,$A134+1),COLUMN('1-DATA'!AI132)),IF($B134="STD. DEVIATION",2,$F$1))))</f>
        <v/>
      </c>
      <c r="AK134" s="1" t="str">
        <f>IF(OR($B134="",AK$7=""),"",IF($B134="MEANS",INDEX('1-DATA'!$1:$1048576,$A133-1,COLUMN('1-DATA'!AJ132)),ROUND(INDEX('1-DATA'!$1:$1048576,IF(OR($B134="STD. DEVIATION",$C$1=1),$A134,$A134+1),COLUMN('1-DATA'!AJ132)),IF($B134="STD. DEVIATION",2,$F$1))))</f>
        <v/>
      </c>
      <c r="AL134" s="1" t="str">
        <f>IF(OR($B134="",AL$7=""),"",IF($B134="MEANS",INDEX('1-DATA'!$1:$1048576,$A133-1,COLUMN('1-DATA'!AK132)),ROUND(INDEX('1-DATA'!$1:$1048576,IF(OR($B134="STD. DEVIATION",$C$1=1),$A134,$A134+1),COLUMN('1-DATA'!AK132)),IF($B134="STD. DEVIATION",2,$F$1))))</f>
        <v/>
      </c>
      <c r="AM134" s="1" t="str">
        <f>IF(OR($B134="",AM$7=""),"",IF($B134="MEANS",INDEX('1-DATA'!$1:$1048576,$A133-1,COLUMN('1-DATA'!AL132)),ROUND(INDEX('1-DATA'!$1:$1048576,IF(OR($B134="STD. DEVIATION",$C$1=1),$A134,$A134+1),COLUMN('1-DATA'!AL132)),IF($B134="STD. DEVIATION",2,$F$1))))</f>
        <v/>
      </c>
      <c r="AN134" s="1" t="str">
        <f>IF(OR($B134="",AN$7=""),"",IF($B134="MEANS",INDEX('1-DATA'!$1:$1048576,$A133-1,COLUMN('1-DATA'!AM132)),ROUND(INDEX('1-DATA'!$1:$1048576,IF(OR($B134="STD. DEVIATION",$C$1=1),$A134,$A134+1),COLUMN('1-DATA'!AM132)),IF($B134="STD. DEVIATION",2,$F$1))))</f>
        <v/>
      </c>
      <c r="AO134" s="1" t="str">
        <f>IF(OR($B134="",AO$7=""),"",IF($B134="MEANS",INDEX('1-DATA'!$1:$1048576,$A133-1,COLUMN('1-DATA'!AN132)),ROUND(INDEX('1-DATA'!$1:$1048576,IF(OR($B134="STD. DEVIATION",$C$1=1),$A134,$A134+1),COLUMN('1-DATA'!AN132)),IF($B134="STD. DEVIATION",2,$F$1))))</f>
        <v/>
      </c>
      <c r="AP134" s="1" t="str">
        <f>IF(OR($B134="",AP$7=""),"",IF($B134="MEANS",INDEX('1-DATA'!$1:$1048576,$A133-1,COLUMN('1-DATA'!AO132)),ROUND(INDEX('1-DATA'!$1:$1048576,IF(OR($B134="STD. DEVIATION",$C$1=1),$A134,$A134+1),COLUMN('1-DATA'!AO132)),IF($B134="STD. DEVIATION",2,$F$1))))</f>
        <v/>
      </c>
      <c r="AQ134" s="1" t="str">
        <f>IF(OR($B134="",AQ$7=""),"",IF($B134="MEANS",INDEX('1-DATA'!$1:$1048576,$A133-1,COLUMN('1-DATA'!AP132)),ROUND(INDEX('1-DATA'!$1:$1048576,IF(OR($B134="STD. DEVIATION",$C$1=1),$A134,$A134+1),COLUMN('1-DATA'!AP132)),IF($B134="STD. DEVIATION",2,$F$1))))</f>
        <v/>
      </c>
      <c r="AR134" s="1" t="str">
        <f>IF(OR($B134="",AR$7=""),"",IF($B134="MEANS",INDEX('1-DATA'!$1:$1048576,$A133-1,COLUMN('1-DATA'!AQ132)),ROUND(INDEX('1-DATA'!$1:$1048576,IF(OR($B134="STD. DEVIATION",$C$1=1),$A134,$A134+1),COLUMN('1-DATA'!AQ132)),IF($B134="STD. DEVIATION",2,$F$1))))</f>
        <v/>
      </c>
      <c r="AS134" s="1" t="str">
        <f>IF(OR($B134="",AS$7=""),"",IF($B134="MEANS",INDEX('1-DATA'!$1:$1048576,$A133-1,COLUMN('1-DATA'!AR132)),ROUND(INDEX('1-DATA'!$1:$1048576,IF(OR($B134="STD. DEVIATION",$C$1=1),$A134,$A134+1),COLUMN('1-DATA'!AR132)),IF($B134="STD. DEVIATION",2,$F$1))))</f>
        <v/>
      </c>
      <c r="AT134" s="1" t="str">
        <f>IF(OR($B134="",AT$7=""),"",IF($B134="MEANS",INDEX('1-DATA'!$1:$1048576,$A133-1,COLUMN('1-DATA'!AS132)),ROUND(INDEX('1-DATA'!$1:$1048576,IF(OR($B134="STD. DEVIATION",$C$1=1),$A134,$A134+1),COLUMN('1-DATA'!AS132)),IF($B134="STD. DEVIATION",2,$F$1))))</f>
        <v/>
      </c>
      <c r="AU134" s="1" t="str">
        <f>IF(OR($B134="",AU$7=""),"",IF($B134="MEANS",INDEX('1-DATA'!$1:$1048576,$A133-1,COLUMN('1-DATA'!AT132)),ROUND(INDEX('1-DATA'!$1:$1048576,IF(OR($B134="STD. DEVIATION",$C$1=1),$A134,$A134+1),COLUMN('1-DATA'!AT132)),IF($B134="STD. DEVIATION",2,$F$1))))</f>
        <v/>
      </c>
      <c r="AV134" s="1" t="str">
        <f>IF(OR($B134="",AV$7=""),"",IF($B134="MEANS",INDEX('1-DATA'!$1:$1048576,$A133-1,COLUMN('1-DATA'!AU132)),ROUND(INDEX('1-DATA'!$1:$1048576,IF(OR($B134="STD. DEVIATION",$C$1=1),$A134,$A134+1),COLUMN('1-DATA'!AU132)),IF($B134="STD. DEVIATION",2,$F$1))))</f>
        <v/>
      </c>
      <c r="AW134" s="1" t="str">
        <f>IF(OR($B134="",AW$7=""),"",IF($B134="MEANS",INDEX('1-DATA'!$1:$1048576,$A133-1,COLUMN('1-DATA'!AV132)),ROUND(INDEX('1-DATA'!$1:$1048576,IF(OR($B134="STD. DEVIATION",$C$1=1),$A134,$A134+1),COLUMN('1-DATA'!AV132)),IF($B134="STD. DEVIATION",2,$F$1))))</f>
        <v/>
      </c>
      <c r="AX134" s="1" t="str">
        <f>IF(OR($B134="",AX$7=""),"",IF($B134="MEANS",INDEX('1-DATA'!$1:$1048576,$A133-1,COLUMN('1-DATA'!AW132)),ROUND(INDEX('1-DATA'!$1:$1048576,IF(OR($B134="STD. DEVIATION",$C$1=1),$A134,$A134+1),COLUMN('1-DATA'!AW132)),IF($B134="STD. DEVIATION",2,$F$1))))</f>
        <v/>
      </c>
      <c r="AY134" s="1" t="str">
        <f>IF(OR($B134="",AY$7=""),"",IF($B134="MEANS",INDEX('1-DATA'!$1:$1048576,$A133-1,COLUMN('1-DATA'!AX132)),ROUND(INDEX('1-DATA'!$1:$1048576,IF(OR($B134="STD. DEVIATION",$C$1=1),$A134,$A134+1),COLUMN('1-DATA'!AX132)),IF($B134="STD. DEVIATION",2,$F$1))))</f>
        <v/>
      </c>
      <c r="AZ134" s="1" t="str">
        <f>IF(OR($B134="",AZ$7=""),"",IF($B134="MEANS",INDEX('1-DATA'!$1:$1048576,$A133-1,COLUMN('1-DATA'!AY132)),ROUND(INDEX('1-DATA'!$1:$1048576,IF(OR($B134="STD. DEVIATION",$C$1=1),$A134,$A134+1),COLUMN('1-DATA'!AY132)),IF($B134="STD. DEVIATION",2,$F$1))))</f>
        <v/>
      </c>
    </row>
    <row r="135" spans="1:52" x14ac:dyDescent="0.25">
      <c r="A135" s="11">
        <f t="shared" si="2"/>
        <v>391</v>
      </c>
      <c r="B135" s="1" t="str">
        <f>IF(B134="STD. DEVIATION",INDEX('1-DATA'!$1:$1048576,$A134-1,1),IF(INDEX('1-DATA'!$1:$1048576,$A135,1)&lt;&gt;"",INDEX('1-DATA'!$1:$1048576,$A135,1),""))</f>
        <v/>
      </c>
      <c r="C135" s="1" t="str">
        <f>IF(OR($B135="",C$7=""),"",IF($B135="MEANS",INDEX('1-DATA'!$1:$1048576,$A134-1,COLUMN('1-DATA'!B133)),ROUND(INDEX('1-DATA'!$1:$1048576,IF(OR($B135="STD. DEVIATION",$C$1=1),$A135,$A135+1),COLUMN('1-DATA'!B133)),IF($B135="STD. DEVIATION",2,$F$1))))</f>
        <v/>
      </c>
      <c r="D135" s="1" t="str">
        <f>IF(OR($B135="",D$7=""),"",IF($B135="MEANS",INDEX('1-DATA'!$1:$1048576,$A134-1,COLUMN('1-DATA'!C133)),ROUND(INDEX('1-DATA'!$1:$1048576,IF(OR($B135="STD. DEVIATION",$C$1=1),$A135,$A135+1),COLUMN('1-DATA'!C133)),IF($B135="STD. DEVIATION",2,$F$1))))</f>
        <v/>
      </c>
      <c r="E135" s="1" t="str">
        <f>IF(OR($B135="",E$7=""),"",IF($B135="MEANS",INDEX('1-DATA'!$1:$1048576,$A134-1,COLUMN('1-DATA'!D133)),ROUND(INDEX('1-DATA'!$1:$1048576,IF(OR($B135="STD. DEVIATION",$C$1=1),$A135,$A135+1),COLUMN('1-DATA'!D133)),IF($B135="STD. DEVIATION",2,$F$1))))</f>
        <v/>
      </c>
      <c r="F135" s="1" t="str">
        <f>IF(OR($B135="",F$7=""),"",IF($B135="MEANS",INDEX('1-DATA'!$1:$1048576,$A134-1,COLUMN('1-DATA'!E133)),ROUND(INDEX('1-DATA'!$1:$1048576,IF(OR($B135="STD. DEVIATION",$C$1=1),$A135,$A135+1),COLUMN('1-DATA'!E133)),IF($B135="STD. DEVIATION",2,$F$1))))</f>
        <v/>
      </c>
      <c r="G135" s="1" t="str">
        <f>IF(OR($B135="",G$7=""),"",IF($B135="MEANS",INDEX('1-DATA'!$1:$1048576,$A134-1,COLUMN('1-DATA'!F133)),ROUND(INDEX('1-DATA'!$1:$1048576,IF(OR($B135="STD. DEVIATION",$C$1=1),$A135,$A135+1),COLUMN('1-DATA'!F133)),IF($B135="STD. DEVIATION",2,$F$1))))</f>
        <v/>
      </c>
      <c r="H135" s="1" t="str">
        <f>IF(OR($B135="",H$7=""),"",IF($B135="MEANS",INDEX('1-DATA'!$1:$1048576,$A134-1,COLUMN('1-DATA'!G133)),ROUND(INDEX('1-DATA'!$1:$1048576,IF(OR($B135="STD. DEVIATION",$C$1=1),$A135,$A135+1),COLUMN('1-DATA'!G133)),IF($B135="STD. DEVIATION",2,$F$1))))</f>
        <v/>
      </c>
      <c r="I135" s="1" t="str">
        <f>IF(OR($B135="",I$7=""),"",IF($B135="MEANS",INDEX('1-DATA'!$1:$1048576,$A134-1,COLUMN('1-DATA'!H133)),ROUND(INDEX('1-DATA'!$1:$1048576,IF(OR($B135="STD. DEVIATION",$C$1=1),$A135,$A135+1),COLUMN('1-DATA'!H133)),IF($B135="STD. DEVIATION",2,$F$1))))</f>
        <v/>
      </c>
      <c r="J135" s="1" t="str">
        <f>IF(OR($B135="",J$7=""),"",IF($B135="MEANS",INDEX('1-DATA'!$1:$1048576,$A134-1,COLUMN('1-DATA'!I133)),ROUND(INDEX('1-DATA'!$1:$1048576,IF(OR($B135="STD. DEVIATION",$C$1=1),$A135,$A135+1),COLUMN('1-DATA'!I133)),IF($B135="STD. DEVIATION",2,$F$1))))</f>
        <v/>
      </c>
      <c r="K135" s="1" t="str">
        <f>IF(OR($B135="",K$7=""),"",IF($B135="MEANS",INDEX('1-DATA'!$1:$1048576,$A134-1,COLUMN('1-DATA'!J133)),ROUND(INDEX('1-DATA'!$1:$1048576,IF(OR($B135="STD. DEVIATION",$C$1=1),$A135,$A135+1),COLUMN('1-DATA'!J133)),IF($B135="STD. DEVIATION",2,$F$1))))</f>
        <v/>
      </c>
      <c r="L135" s="1" t="str">
        <f>IF(OR($B135="",L$7=""),"",IF($B135="MEANS",INDEX('1-DATA'!$1:$1048576,$A134-1,COLUMN('1-DATA'!K133)),ROUND(INDEX('1-DATA'!$1:$1048576,IF(OR($B135="STD. DEVIATION",$C$1=1),$A135,$A135+1),COLUMN('1-DATA'!K133)),IF($B135="STD. DEVIATION",2,$F$1))))</f>
        <v/>
      </c>
      <c r="M135" s="1" t="str">
        <f>IF(OR($B135="",M$7=""),"",IF($B135="MEANS",INDEX('1-DATA'!$1:$1048576,$A134-1,COLUMN('1-DATA'!L133)),ROUND(INDEX('1-DATA'!$1:$1048576,IF(OR($B135="STD. DEVIATION",$C$1=1),$A135,$A135+1),COLUMN('1-DATA'!L133)),IF($B135="STD. DEVIATION",2,$F$1))))</f>
        <v/>
      </c>
      <c r="N135" s="1" t="str">
        <f>IF(OR($B135="",N$7=""),"",IF($B135="MEANS",INDEX('1-DATA'!$1:$1048576,$A134-1,COLUMN('1-DATA'!M133)),ROUND(INDEX('1-DATA'!$1:$1048576,IF(OR($B135="STD. DEVIATION",$C$1=1),$A135,$A135+1),COLUMN('1-DATA'!M133)),IF($B135="STD. DEVIATION",2,$F$1))))</f>
        <v/>
      </c>
      <c r="O135" s="1" t="str">
        <f>IF(OR($B135="",O$7=""),"",IF($B135="MEANS",INDEX('1-DATA'!$1:$1048576,$A134-1,COLUMN('1-DATA'!N133)),ROUND(INDEX('1-DATA'!$1:$1048576,IF(OR($B135="STD. DEVIATION",$C$1=1),$A135,$A135+1),COLUMN('1-DATA'!N133)),IF($B135="STD. DEVIATION",2,$F$1))))</f>
        <v/>
      </c>
      <c r="P135" s="1" t="str">
        <f>IF(OR($B135="",P$7=""),"",IF($B135="MEANS",INDEX('1-DATA'!$1:$1048576,$A134-1,COLUMN('1-DATA'!O133)),ROUND(INDEX('1-DATA'!$1:$1048576,IF(OR($B135="STD. DEVIATION",$C$1=1),$A135,$A135+1),COLUMN('1-DATA'!O133)),IF($B135="STD. DEVIATION",2,$F$1))))</f>
        <v/>
      </c>
      <c r="Q135" s="1" t="str">
        <f>IF(OR($B135="",Q$7=""),"",IF($B135="MEANS",INDEX('1-DATA'!$1:$1048576,$A134-1,COLUMN('1-DATA'!P133)),ROUND(INDEX('1-DATA'!$1:$1048576,IF(OR($B135="STD. DEVIATION",$C$1=1),$A135,$A135+1),COLUMN('1-DATA'!P133)),IF($B135="STD. DEVIATION",2,$F$1))))</f>
        <v/>
      </c>
      <c r="R135" s="1" t="str">
        <f>IF(OR($B135="",R$7=""),"",IF($B135="MEANS",INDEX('1-DATA'!$1:$1048576,$A134-1,COLUMN('1-DATA'!Q133)),ROUND(INDEX('1-DATA'!$1:$1048576,IF(OR($B135="STD. DEVIATION",$C$1=1),$A135,$A135+1),COLUMN('1-DATA'!Q133)),IF($B135="STD. DEVIATION",2,$F$1))))</f>
        <v/>
      </c>
      <c r="S135" s="1" t="str">
        <f>IF(OR($B135="",S$7=""),"",IF($B135="MEANS",INDEX('1-DATA'!$1:$1048576,$A134-1,COLUMN('1-DATA'!R133)),ROUND(INDEX('1-DATA'!$1:$1048576,IF(OR($B135="STD. DEVIATION",$C$1=1),$A135,$A135+1),COLUMN('1-DATA'!R133)),IF($B135="STD. DEVIATION",2,$F$1))))</f>
        <v/>
      </c>
      <c r="T135" s="1" t="str">
        <f>IF(OR($B135="",T$7=""),"",IF($B135="MEANS",INDEX('1-DATA'!$1:$1048576,$A134-1,COLUMN('1-DATA'!S133)),ROUND(INDEX('1-DATA'!$1:$1048576,IF(OR($B135="STD. DEVIATION",$C$1=1),$A135,$A135+1),COLUMN('1-DATA'!S133)),IF($B135="STD. DEVIATION",2,$F$1))))</f>
        <v/>
      </c>
      <c r="U135" s="1" t="str">
        <f>IF(OR($B135="",U$7=""),"",IF($B135="MEANS",INDEX('1-DATA'!$1:$1048576,$A134-1,COLUMN('1-DATA'!T133)),ROUND(INDEX('1-DATA'!$1:$1048576,IF(OR($B135="STD. DEVIATION",$C$1=1),$A135,$A135+1),COLUMN('1-DATA'!T133)),IF($B135="STD. DEVIATION",2,$F$1))))</f>
        <v/>
      </c>
      <c r="V135" s="1" t="str">
        <f>IF(OR($B135="",V$7=""),"",IF($B135="MEANS",INDEX('1-DATA'!$1:$1048576,$A134-1,COLUMN('1-DATA'!U133)),ROUND(INDEX('1-DATA'!$1:$1048576,IF(OR($B135="STD. DEVIATION",$C$1=1),$A135,$A135+1),COLUMN('1-DATA'!U133)),IF($B135="STD. DEVIATION",2,$F$1))))</f>
        <v/>
      </c>
      <c r="W135" s="1" t="str">
        <f>IF(OR($B135="",W$7=""),"",IF($B135="MEANS",INDEX('1-DATA'!$1:$1048576,$A134-1,COLUMN('1-DATA'!V133)),ROUND(INDEX('1-DATA'!$1:$1048576,IF(OR($B135="STD. DEVIATION",$C$1=1),$A135,$A135+1),COLUMN('1-DATA'!V133)),IF($B135="STD. DEVIATION",2,$F$1))))</f>
        <v/>
      </c>
      <c r="X135" s="1" t="str">
        <f>IF(OR($B135="",X$7=""),"",IF($B135="MEANS",INDEX('1-DATA'!$1:$1048576,$A134-1,COLUMN('1-DATA'!W133)),ROUND(INDEX('1-DATA'!$1:$1048576,IF(OR($B135="STD. DEVIATION",$C$1=1),$A135,$A135+1),COLUMN('1-DATA'!W133)),IF($B135="STD. DEVIATION",2,$F$1))))</f>
        <v/>
      </c>
      <c r="Y135" s="1" t="str">
        <f>IF(OR($B135="",Y$7=""),"",IF($B135="MEANS",INDEX('1-DATA'!$1:$1048576,$A134-1,COLUMN('1-DATA'!X133)),ROUND(INDEX('1-DATA'!$1:$1048576,IF(OR($B135="STD. DEVIATION",$C$1=1),$A135,$A135+1),COLUMN('1-DATA'!X133)),IF($B135="STD. DEVIATION",2,$F$1))))</f>
        <v/>
      </c>
      <c r="Z135" s="1" t="str">
        <f>IF(OR($B135="",Z$7=""),"",IF($B135="MEANS",INDEX('1-DATA'!$1:$1048576,$A134-1,COLUMN('1-DATA'!Y133)),ROUND(INDEX('1-DATA'!$1:$1048576,IF(OR($B135="STD. DEVIATION",$C$1=1),$A135,$A135+1),COLUMN('1-DATA'!Y133)),IF($B135="STD. DEVIATION",2,$F$1))))</f>
        <v/>
      </c>
      <c r="AA135" s="1" t="str">
        <f>IF(OR($B135="",AA$7=""),"",IF($B135="MEANS",INDEX('1-DATA'!$1:$1048576,$A134-1,COLUMN('1-DATA'!Z133)),ROUND(INDEX('1-DATA'!$1:$1048576,IF(OR($B135="STD. DEVIATION",$C$1=1),$A135,$A135+1),COLUMN('1-DATA'!Z133)),IF($B135="STD. DEVIATION",2,$F$1))))</f>
        <v/>
      </c>
      <c r="AB135" s="1" t="str">
        <f>IF(OR($B135="",AB$7=""),"",IF($B135="MEANS",INDEX('1-DATA'!$1:$1048576,$A134-1,COLUMN('1-DATA'!AA133)),ROUND(INDEX('1-DATA'!$1:$1048576,IF(OR($B135="STD. DEVIATION",$C$1=1),$A135,$A135+1),COLUMN('1-DATA'!AA133)),IF($B135="STD. DEVIATION",2,$F$1))))</f>
        <v/>
      </c>
      <c r="AC135" s="1" t="str">
        <f>IF(OR($B135="",AC$7=""),"",IF($B135="MEANS",INDEX('1-DATA'!$1:$1048576,$A134-1,COLUMN('1-DATA'!AB133)),ROUND(INDEX('1-DATA'!$1:$1048576,IF(OR($B135="STD. DEVIATION",$C$1=1),$A135,$A135+1),COLUMN('1-DATA'!AB133)),IF($B135="STD. DEVIATION",2,$F$1))))</f>
        <v/>
      </c>
      <c r="AD135" s="1" t="str">
        <f>IF(OR($B135="",AD$7=""),"",IF($B135="MEANS",INDEX('1-DATA'!$1:$1048576,$A134-1,COLUMN('1-DATA'!AC133)),ROUND(INDEX('1-DATA'!$1:$1048576,IF(OR($B135="STD. DEVIATION",$C$1=1),$A135,$A135+1),COLUMN('1-DATA'!AC133)),IF($B135="STD. DEVIATION",2,$F$1))))</f>
        <v/>
      </c>
      <c r="AE135" s="1" t="str">
        <f>IF(OR($B135="",AE$7=""),"",IF($B135="MEANS",INDEX('1-DATA'!$1:$1048576,$A134-1,COLUMN('1-DATA'!AD133)),ROUND(INDEX('1-DATA'!$1:$1048576,IF(OR($B135="STD. DEVIATION",$C$1=1),$A135,$A135+1),COLUMN('1-DATA'!AD133)),IF($B135="STD. DEVIATION",2,$F$1))))</f>
        <v/>
      </c>
      <c r="AF135" s="1" t="str">
        <f>IF(OR($B135="",AF$7=""),"",IF($B135="MEANS",INDEX('1-DATA'!$1:$1048576,$A134-1,COLUMN('1-DATA'!AE133)),ROUND(INDEX('1-DATA'!$1:$1048576,IF(OR($B135="STD. DEVIATION",$C$1=1),$A135,$A135+1),COLUMN('1-DATA'!AE133)),IF($B135="STD. DEVIATION",2,$F$1))))</f>
        <v/>
      </c>
      <c r="AG135" s="1" t="str">
        <f>IF(OR($B135="",AG$7=""),"",IF($B135="MEANS",INDEX('1-DATA'!$1:$1048576,$A134-1,COLUMN('1-DATA'!AF133)),ROUND(INDEX('1-DATA'!$1:$1048576,IF(OR($B135="STD. DEVIATION",$C$1=1),$A135,$A135+1),COLUMN('1-DATA'!AF133)),IF($B135="STD. DEVIATION",2,$F$1))))</f>
        <v/>
      </c>
      <c r="AH135" s="1" t="str">
        <f>IF(OR($B135="",AH$7=""),"",IF($B135="MEANS",INDEX('1-DATA'!$1:$1048576,$A134-1,COLUMN('1-DATA'!AG133)),ROUND(INDEX('1-DATA'!$1:$1048576,IF(OR($B135="STD. DEVIATION",$C$1=1),$A135,$A135+1),COLUMN('1-DATA'!AG133)),IF($B135="STD. DEVIATION",2,$F$1))))</f>
        <v/>
      </c>
      <c r="AI135" s="1" t="str">
        <f>IF(OR($B135="",AI$7=""),"",IF($B135="MEANS",INDEX('1-DATA'!$1:$1048576,$A134-1,COLUMN('1-DATA'!AH133)),ROUND(INDEX('1-DATA'!$1:$1048576,IF(OR($B135="STD. DEVIATION",$C$1=1),$A135,$A135+1),COLUMN('1-DATA'!AH133)),IF($B135="STD. DEVIATION",2,$F$1))))</f>
        <v/>
      </c>
      <c r="AJ135" s="1" t="str">
        <f>IF(OR($B135="",AJ$7=""),"",IF($B135="MEANS",INDEX('1-DATA'!$1:$1048576,$A134-1,COLUMN('1-DATA'!AI133)),ROUND(INDEX('1-DATA'!$1:$1048576,IF(OR($B135="STD. DEVIATION",$C$1=1),$A135,$A135+1),COLUMN('1-DATA'!AI133)),IF($B135="STD. DEVIATION",2,$F$1))))</f>
        <v/>
      </c>
      <c r="AK135" s="1" t="str">
        <f>IF(OR($B135="",AK$7=""),"",IF($B135="MEANS",INDEX('1-DATA'!$1:$1048576,$A134-1,COLUMN('1-DATA'!AJ133)),ROUND(INDEX('1-DATA'!$1:$1048576,IF(OR($B135="STD. DEVIATION",$C$1=1),$A135,$A135+1),COLUMN('1-DATA'!AJ133)),IF($B135="STD. DEVIATION",2,$F$1))))</f>
        <v/>
      </c>
      <c r="AL135" s="1" t="str">
        <f>IF(OR($B135="",AL$7=""),"",IF($B135="MEANS",INDEX('1-DATA'!$1:$1048576,$A134-1,COLUMN('1-DATA'!AK133)),ROUND(INDEX('1-DATA'!$1:$1048576,IF(OR($B135="STD. DEVIATION",$C$1=1),$A135,$A135+1),COLUMN('1-DATA'!AK133)),IF($B135="STD. DEVIATION",2,$F$1))))</f>
        <v/>
      </c>
      <c r="AM135" s="1" t="str">
        <f>IF(OR($B135="",AM$7=""),"",IF($B135="MEANS",INDEX('1-DATA'!$1:$1048576,$A134-1,COLUMN('1-DATA'!AL133)),ROUND(INDEX('1-DATA'!$1:$1048576,IF(OR($B135="STD. DEVIATION",$C$1=1),$A135,$A135+1),COLUMN('1-DATA'!AL133)),IF($B135="STD. DEVIATION",2,$F$1))))</f>
        <v/>
      </c>
      <c r="AN135" s="1" t="str">
        <f>IF(OR($B135="",AN$7=""),"",IF($B135="MEANS",INDEX('1-DATA'!$1:$1048576,$A134-1,COLUMN('1-DATA'!AM133)),ROUND(INDEX('1-DATA'!$1:$1048576,IF(OR($B135="STD. DEVIATION",$C$1=1),$A135,$A135+1),COLUMN('1-DATA'!AM133)),IF($B135="STD. DEVIATION",2,$F$1))))</f>
        <v/>
      </c>
      <c r="AO135" s="1" t="str">
        <f>IF(OR($B135="",AO$7=""),"",IF($B135="MEANS",INDEX('1-DATA'!$1:$1048576,$A134-1,COLUMN('1-DATA'!AN133)),ROUND(INDEX('1-DATA'!$1:$1048576,IF(OR($B135="STD. DEVIATION",$C$1=1),$A135,$A135+1),COLUMN('1-DATA'!AN133)),IF($B135="STD. DEVIATION",2,$F$1))))</f>
        <v/>
      </c>
      <c r="AP135" s="1" t="str">
        <f>IF(OR($B135="",AP$7=""),"",IF($B135="MEANS",INDEX('1-DATA'!$1:$1048576,$A134-1,COLUMN('1-DATA'!AO133)),ROUND(INDEX('1-DATA'!$1:$1048576,IF(OR($B135="STD. DEVIATION",$C$1=1),$A135,$A135+1),COLUMN('1-DATA'!AO133)),IF($B135="STD. DEVIATION",2,$F$1))))</f>
        <v/>
      </c>
      <c r="AQ135" s="1" t="str">
        <f>IF(OR($B135="",AQ$7=""),"",IF($B135="MEANS",INDEX('1-DATA'!$1:$1048576,$A134-1,COLUMN('1-DATA'!AP133)),ROUND(INDEX('1-DATA'!$1:$1048576,IF(OR($B135="STD. DEVIATION",$C$1=1),$A135,$A135+1),COLUMN('1-DATA'!AP133)),IF($B135="STD. DEVIATION",2,$F$1))))</f>
        <v/>
      </c>
      <c r="AR135" s="1" t="str">
        <f>IF(OR($B135="",AR$7=""),"",IF($B135="MEANS",INDEX('1-DATA'!$1:$1048576,$A134-1,COLUMN('1-DATA'!AQ133)),ROUND(INDEX('1-DATA'!$1:$1048576,IF(OR($B135="STD. DEVIATION",$C$1=1),$A135,$A135+1),COLUMN('1-DATA'!AQ133)),IF($B135="STD. DEVIATION",2,$F$1))))</f>
        <v/>
      </c>
      <c r="AS135" s="1" t="str">
        <f>IF(OR($B135="",AS$7=""),"",IF($B135="MEANS",INDEX('1-DATA'!$1:$1048576,$A134-1,COLUMN('1-DATA'!AR133)),ROUND(INDEX('1-DATA'!$1:$1048576,IF(OR($B135="STD. DEVIATION",$C$1=1),$A135,$A135+1),COLUMN('1-DATA'!AR133)),IF($B135="STD. DEVIATION",2,$F$1))))</f>
        <v/>
      </c>
      <c r="AT135" s="1" t="str">
        <f>IF(OR($B135="",AT$7=""),"",IF($B135="MEANS",INDEX('1-DATA'!$1:$1048576,$A134-1,COLUMN('1-DATA'!AS133)),ROUND(INDEX('1-DATA'!$1:$1048576,IF(OR($B135="STD. DEVIATION",$C$1=1),$A135,$A135+1),COLUMN('1-DATA'!AS133)),IF($B135="STD. DEVIATION",2,$F$1))))</f>
        <v/>
      </c>
      <c r="AU135" s="1" t="str">
        <f>IF(OR($B135="",AU$7=""),"",IF($B135="MEANS",INDEX('1-DATA'!$1:$1048576,$A134-1,COLUMN('1-DATA'!AT133)),ROUND(INDEX('1-DATA'!$1:$1048576,IF(OR($B135="STD. DEVIATION",$C$1=1),$A135,$A135+1),COLUMN('1-DATA'!AT133)),IF($B135="STD. DEVIATION",2,$F$1))))</f>
        <v/>
      </c>
      <c r="AV135" s="1" t="str">
        <f>IF(OR($B135="",AV$7=""),"",IF($B135="MEANS",INDEX('1-DATA'!$1:$1048576,$A134-1,COLUMN('1-DATA'!AU133)),ROUND(INDEX('1-DATA'!$1:$1048576,IF(OR($B135="STD. DEVIATION",$C$1=1),$A135,$A135+1),COLUMN('1-DATA'!AU133)),IF($B135="STD. DEVIATION",2,$F$1))))</f>
        <v/>
      </c>
      <c r="AW135" s="1" t="str">
        <f>IF(OR($B135="",AW$7=""),"",IF($B135="MEANS",INDEX('1-DATA'!$1:$1048576,$A134-1,COLUMN('1-DATA'!AV133)),ROUND(INDEX('1-DATA'!$1:$1048576,IF(OR($B135="STD. DEVIATION",$C$1=1),$A135,$A135+1),COLUMN('1-DATA'!AV133)),IF($B135="STD. DEVIATION",2,$F$1))))</f>
        <v/>
      </c>
      <c r="AX135" s="1" t="str">
        <f>IF(OR($B135="",AX$7=""),"",IF($B135="MEANS",INDEX('1-DATA'!$1:$1048576,$A134-1,COLUMN('1-DATA'!AW133)),ROUND(INDEX('1-DATA'!$1:$1048576,IF(OR($B135="STD. DEVIATION",$C$1=1),$A135,$A135+1),COLUMN('1-DATA'!AW133)),IF($B135="STD. DEVIATION",2,$F$1))))</f>
        <v/>
      </c>
      <c r="AY135" s="1" t="str">
        <f>IF(OR($B135="",AY$7=""),"",IF($B135="MEANS",INDEX('1-DATA'!$1:$1048576,$A134-1,COLUMN('1-DATA'!AX133)),ROUND(INDEX('1-DATA'!$1:$1048576,IF(OR($B135="STD. DEVIATION",$C$1=1),$A135,$A135+1),COLUMN('1-DATA'!AX133)),IF($B135="STD. DEVIATION",2,$F$1))))</f>
        <v/>
      </c>
      <c r="AZ135" s="1" t="str">
        <f>IF(OR($B135="",AZ$7=""),"",IF($B135="MEANS",INDEX('1-DATA'!$1:$1048576,$A134-1,COLUMN('1-DATA'!AY133)),ROUND(INDEX('1-DATA'!$1:$1048576,IF(OR($B135="STD. DEVIATION",$C$1=1),$A135,$A135+1),COLUMN('1-DATA'!AY133)),IF($B135="STD. DEVIATION",2,$F$1))))</f>
        <v/>
      </c>
    </row>
    <row r="136" spans="1:52" x14ac:dyDescent="0.25">
      <c r="A136" s="11">
        <f t="shared" si="2"/>
        <v>394</v>
      </c>
      <c r="B136" s="1" t="str">
        <f>IF(B135="STD. DEVIATION",INDEX('1-DATA'!$1:$1048576,$A135-1,1),IF(INDEX('1-DATA'!$1:$1048576,$A136,1)&lt;&gt;"",INDEX('1-DATA'!$1:$1048576,$A136,1),""))</f>
        <v/>
      </c>
      <c r="C136" s="1" t="str">
        <f>IF(OR($B136="",C$7=""),"",IF($B136="MEANS",INDEX('1-DATA'!$1:$1048576,$A135-1,COLUMN('1-DATA'!B134)),ROUND(INDEX('1-DATA'!$1:$1048576,IF(OR($B136="STD. DEVIATION",$C$1=1),$A136,$A136+1),COLUMN('1-DATA'!B134)),IF($B136="STD. DEVIATION",2,$F$1))))</f>
        <v/>
      </c>
      <c r="D136" s="1" t="str">
        <f>IF(OR($B136="",D$7=""),"",IF($B136="MEANS",INDEX('1-DATA'!$1:$1048576,$A135-1,COLUMN('1-DATA'!C134)),ROUND(INDEX('1-DATA'!$1:$1048576,IF(OR($B136="STD. DEVIATION",$C$1=1),$A136,$A136+1),COLUMN('1-DATA'!C134)),IF($B136="STD. DEVIATION",2,$F$1))))</f>
        <v/>
      </c>
      <c r="E136" s="1" t="str">
        <f>IF(OR($B136="",E$7=""),"",IF($B136="MEANS",INDEX('1-DATA'!$1:$1048576,$A135-1,COLUMN('1-DATA'!D134)),ROUND(INDEX('1-DATA'!$1:$1048576,IF(OR($B136="STD. DEVIATION",$C$1=1),$A136,$A136+1),COLUMN('1-DATA'!D134)),IF($B136="STD. DEVIATION",2,$F$1))))</f>
        <v/>
      </c>
      <c r="F136" s="1" t="str">
        <f>IF(OR($B136="",F$7=""),"",IF($B136="MEANS",INDEX('1-DATA'!$1:$1048576,$A135-1,COLUMN('1-DATA'!E134)),ROUND(INDEX('1-DATA'!$1:$1048576,IF(OR($B136="STD. DEVIATION",$C$1=1),$A136,$A136+1),COLUMN('1-DATA'!E134)),IF($B136="STD. DEVIATION",2,$F$1))))</f>
        <v/>
      </c>
      <c r="G136" s="1" t="str">
        <f>IF(OR($B136="",G$7=""),"",IF($B136="MEANS",INDEX('1-DATA'!$1:$1048576,$A135-1,COLUMN('1-DATA'!F134)),ROUND(INDEX('1-DATA'!$1:$1048576,IF(OR($B136="STD. DEVIATION",$C$1=1),$A136,$A136+1),COLUMN('1-DATA'!F134)),IF($B136="STD. DEVIATION",2,$F$1))))</f>
        <v/>
      </c>
      <c r="H136" s="1" t="str">
        <f>IF(OR($B136="",H$7=""),"",IF($B136="MEANS",INDEX('1-DATA'!$1:$1048576,$A135-1,COLUMN('1-DATA'!G134)),ROUND(INDEX('1-DATA'!$1:$1048576,IF(OR($B136="STD. DEVIATION",$C$1=1),$A136,$A136+1),COLUMN('1-DATA'!G134)),IF($B136="STD. DEVIATION",2,$F$1))))</f>
        <v/>
      </c>
      <c r="I136" s="1" t="str">
        <f>IF(OR($B136="",I$7=""),"",IF($B136="MEANS",INDEX('1-DATA'!$1:$1048576,$A135-1,COLUMN('1-DATA'!H134)),ROUND(INDEX('1-DATA'!$1:$1048576,IF(OR($B136="STD. DEVIATION",$C$1=1),$A136,$A136+1),COLUMN('1-DATA'!H134)),IF($B136="STD. DEVIATION",2,$F$1))))</f>
        <v/>
      </c>
      <c r="J136" s="1" t="str">
        <f>IF(OR($B136="",J$7=""),"",IF($B136="MEANS",INDEX('1-DATA'!$1:$1048576,$A135-1,COLUMN('1-DATA'!I134)),ROUND(INDEX('1-DATA'!$1:$1048576,IF(OR($B136="STD. DEVIATION",$C$1=1),$A136,$A136+1),COLUMN('1-DATA'!I134)),IF($B136="STD. DEVIATION",2,$F$1))))</f>
        <v/>
      </c>
      <c r="K136" s="1" t="str">
        <f>IF(OR($B136="",K$7=""),"",IF($B136="MEANS",INDEX('1-DATA'!$1:$1048576,$A135-1,COLUMN('1-DATA'!J134)),ROUND(INDEX('1-DATA'!$1:$1048576,IF(OR($B136="STD. DEVIATION",$C$1=1),$A136,$A136+1),COLUMN('1-DATA'!J134)),IF($B136="STD. DEVIATION",2,$F$1))))</f>
        <v/>
      </c>
      <c r="L136" s="1" t="str">
        <f>IF(OR($B136="",L$7=""),"",IF($B136="MEANS",INDEX('1-DATA'!$1:$1048576,$A135-1,COLUMN('1-DATA'!K134)),ROUND(INDEX('1-DATA'!$1:$1048576,IF(OR($B136="STD. DEVIATION",$C$1=1),$A136,$A136+1),COLUMN('1-DATA'!K134)),IF($B136="STD. DEVIATION",2,$F$1))))</f>
        <v/>
      </c>
      <c r="M136" s="1" t="str">
        <f>IF(OR($B136="",M$7=""),"",IF($B136="MEANS",INDEX('1-DATA'!$1:$1048576,$A135-1,COLUMN('1-DATA'!L134)),ROUND(INDEX('1-DATA'!$1:$1048576,IF(OR($B136="STD. DEVIATION",$C$1=1),$A136,$A136+1),COLUMN('1-DATA'!L134)),IF($B136="STD. DEVIATION",2,$F$1))))</f>
        <v/>
      </c>
      <c r="N136" s="1" t="str">
        <f>IF(OR($B136="",N$7=""),"",IF($B136="MEANS",INDEX('1-DATA'!$1:$1048576,$A135-1,COLUMN('1-DATA'!M134)),ROUND(INDEX('1-DATA'!$1:$1048576,IF(OR($B136="STD. DEVIATION",$C$1=1),$A136,$A136+1),COLUMN('1-DATA'!M134)),IF($B136="STD. DEVIATION",2,$F$1))))</f>
        <v/>
      </c>
      <c r="O136" s="1" t="str">
        <f>IF(OR($B136="",O$7=""),"",IF($B136="MEANS",INDEX('1-DATA'!$1:$1048576,$A135-1,COLUMN('1-DATA'!N134)),ROUND(INDEX('1-DATA'!$1:$1048576,IF(OR($B136="STD. DEVIATION",$C$1=1),$A136,$A136+1),COLUMN('1-DATA'!N134)),IF($B136="STD. DEVIATION",2,$F$1))))</f>
        <v/>
      </c>
      <c r="P136" s="1" t="str">
        <f>IF(OR($B136="",P$7=""),"",IF($B136="MEANS",INDEX('1-DATA'!$1:$1048576,$A135-1,COLUMN('1-DATA'!O134)),ROUND(INDEX('1-DATA'!$1:$1048576,IF(OR($B136="STD. DEVIATION",$C$1=1),$A136,$A136+1),COLUMN('1-DATA'!O134)),IF($B136="STD. DEVIATION",2,$F$1))))</f>
        <v/>
      </c>
      <c r="Q136" s="1" t="str">
        <f>IF(OR($B136="",Q$7=""),"",IF($B136="MEANS",INDEX('1-DATA'!$1:$1048576,$A135-1,COLUMN('1-DATA'!P134)),ROUND(INDEX('1-DATA'!$1:$1048576,IF(OR($B136="STD. DEVIATION",$C$1=1),$A136,$A136+1),COLUMN('1-DATA'!P134)),IF($B136="STD. DEVIATION",2,$F$1))))</f>
        <v/>
      </c>
      <c r="R136" s="1" t="str">
        <f>IF(OR($B136="",R$7=""),"",IF($B136="MEANS",INDEX('1-DATA'!$1:$1048576,$A135-1,COLUMN('1-DATA'!Q134)),ROUND(INDEX('1-DATA'!$1:$1048576,IF(OR($B136="STD. DEVIATION",$C$1=1),$A136,$A136+1),COLUMN('1-DATA'!Q134)),IF($B136="STD. DEVIATION",2,$F$1))))</f>
        <v/>
      </c>
      <c r="S136" s="1" t="str">
        <f>IF(OR($B136="",S$7=""),"",IF($B136="MEANS",INDEX('1-DATA'!$1:$1048576,$A135-1,COLUMN('1-DATA'!R134)),ROUND(INDEX('1-DATA'!$1:$1048576,IF(OR($B136="STD. DEVIATION",$C$1=1),$A136,$A136+1),COLUMN('1-DATA'!R134)),IF($B136="STD. DEVIATION",2,$F$1))))</f>
        <v/>
      </c>
      <c r="T136" s="1" t="str">
        <f>IF(OR($B136="",T$7=""),"",IF($B136="MEANS",INDEX('1-DATA'!$1:$1048576,$A135-1,COLUMN('1-DATA'!S134)),ROUND(INDEX('1-DATA'!$1:$1048576,IF(OR($B136="STD. DEVIATION",$C$1=1),$A136,$A136+1),COLUMN('1-DATA'!S134)),IF($B136="STD. DEVIATION",2,$F$1))))</f>
        <v/>
      </c>
      <c r="U136" s="1" t="str">
        <f>IF(OR($B136="",U$7=""),"",IF($B136="MEANS",INDEX('1-DATA'!$1:$1048576,$A135-1,COLUMN('1-DATA'!T134)),ROUND(INDEX('1-DATA'!$1:$1048576,IF(OR($B136="STD. DEVIATION",$C$1=1),$A136,$A136+1),COLUMN('1-DATA'!T134)),IF($B136="STD. DEVIATION",2,$F$1))))</f>
        <v/>
      </c>
      <c r="V136" s="1" t="str">
        <f>IF(OR($B136="",V$7=""),"",IF($B136="MEANS",INDEX('1-DATA'!$1:$1048576,$A135-1,COLUMN('1-DATA'!U134)),ROUND(INDEX('1-DATA'!$1:$1048576,IF(OR($B136="STD. DEVIATION",$C$1=1),$A136,$A136+1),COLUMN('1-DATA'!U134)),IF($B136="STD. DEVIATION",2,$F$1))))</f>
        <v/>
      </c>
      <c r="W136" s="1" t="str">
        <f>IF(OR($B136="",W$7=""),"",IF($B136="MEANS",INDEX('1-DATA'!$1:$1048576,$A135-1,COLUMN('1-DATA'!V134)),ROUND(INDEX('1-DATA'!$1:$1048576,IF(OR($B136="STD. DEVIATION",$C$1=1),$A136,$A136+1),COLUMN('1-DATA'!V134)),IF($B136="STD. DEVIATION",2,$F$1))))</f>
        <v/>
      </c>
      <c r="X136" s="1" t="str">
        <f>IF(OR($B136="",X$7=""),"",IF($B136="MEANS",INDEX('1-DATA'!$1:$1048576,$A135-1,COLUMN('1-DATA'!W134)),ROUND(INDEX('1-DATA'!$1:$1048576,IF(OR($B136="STD. DEVIATION",$C$1=1),$A136,$A136+1),COLUMN('1-DATA'!W134)),IF($B136="STD. DEVIATION",2,$F$1))))</f>
        <v/>
      </c>
      <c r="Y136" s="1" t="str">
        <f>IF(OR($B136="",Y$7=""),"",IF($B136="MEANS",INDEX('1-DATA'!$1:$1048576,$A135-1,COLUMN('1-DATA'!X134)),ROUND(INDEX('1-DATA'!$1:$1048576,IF(OR($B136="STD. DEVIATION",$C$1=1),$A136,$A136+1),COLUMN('1-DATA'!X134)),IF($B136="STD. DEVIATION",2,$F$1))))</f>
        <v/>
      </c>
      <c r="Z136" s="1" t="str">
        <f>IF(OR($B136="",Z$7=""),"",IF($B136="MEANS",INDEX('1-DATA'!$1:$1048576,$A135-1,COLUMN('1-DATA'!Y134)),ROUND(INDEX('1-DATA'!$1:$1048576,IF(OR($B136="STD. DEVIATION",$C$1=1),$A136,$A136+1),COLUMN('1-DATA'!Y134)),IF($B136="STD. DEVIATION",2,$F$1))))</f>
        <v/>
      </c>
      <c r="AA136" s="1" t="str">
        <f>IF(OR($B136="",AA$7=""),"",IF($B136="MEANS",INDEX('1-DATA'!$1:$1048576,$A135-1,COLUMN('1-DATA'!Z134)),ROUND(INDEX('1-DATA'!$1:$1048576,IF(OR($B136="STD. DEVIATION",$C$1=1),$A136,$A136+1),COLUMN('1-DATA'!Z134)),IF($B136="STD. DEVIATION",2,$F$1))))</f>
        <v/>
      </c>
      <c r="AB136" s="1" t="str">
        <f>IF(OR($B136="",AB$7=""),"",IF($B136="MEANS",INDEX('1-DATA'!$1:$1048576,$A135-1,COLUMN('1-DATA'!AA134)),ROUND(INDEX('1-DATA'!$1:$1048576,IF(OR($B136="STD. DEVIATION",$C$1=1),$A136,$A136+1),COLUMN('1-DATA'!AA134)),IF($B136="STD. DEVIATION",2,$F$1))))</f>
        <v/>
      </c>
      <c r="AC136" s="1" t="str">
        <f>IF(OR($B136="",AC$7=""),"",IF($B136="MEANS",INDEX('1-DATA'!$1:$1048576,$A135-1,COLUMN('1-DATA'!AB134)),ROUND(INDEX('1-DATA'!$1:$1048576,IF(OR($B136="STD. DEVIATION",$C$1=1),$A136,$A136+1),COLUMN('1-DATA'!AB134)),IF($B136="STD. DEVIATION",2,$F$1))))</f>
        <v/>
      </c>
      <c r="AD136" s="1" t="str">
        <f>IF(OR($B136="",AD$7=""),"",IF($B136="MEANS",INDEX('1-DATA'!$1:$1048576,$A135-1,COLUMN('1-DATA'!AC134)),ROUND(INDEX('1-DATA'!$1:$1048576,IF(OR($B136="STD. DEVIATION",$C$1=1),$A136,$A136+1),COLUMN('1-DATA'!AC134)),IF($B136="STD. DEVIATION",2,$F$1))))</f>
        <v/>
      </c>
      <c r="AE136" s="1" t="str">
        <f>IF(OR($B136="",AE$7=""),"",IF($B136="MEANS",INDEX('1-DATA'!$1:$1048576,$A135-1,COLUMN('1-DATA'!AD134)),ROUND(INDEX('1-DATA'!$1:$1048576,IF(OR($B136="STD. DEVIATION",$C$1=1),$A136,$A136+1),COLUMN('1-DATA'!AD134)),IF($B136="STD. DEVIATION",2,$F$1))))</f>
        <v/>
      </c>
      <c r="AF136" s="1" t="str">
        <f>IF(OR($B136="",AF$7=""),"",IF($B136="MEANS",INDEX('1-DATA'!$1:$1048576,$A135-1,COLUMN('1-DATA'!AE134)),ROUND(INDEX('1-DATA'!$1:$1048576,IF(OR($B136="STD. DEVIATION",$C$1=1),$A136,$A136+1),COLUMN('1-DATA'!AE134)),IF($B136="STD. DEVIATION",2,$F$1))))</f>
        <v/>
      </c>
      <c r="AG136" s="1" t="str">
        <f>IF(OR($B136="",AG$7=""),"",IF($B136="MEANS",INDEX('1-DATA'!$1:$1048576,$A135-1,COLUMN('1-DATA'!AF134)),ROUND(INDEX('1-DATA'!$1:$1048576,IF(OR($B136="STD. DEVIATION",$C$1=1),$A136,$A136+1),COLUMN('1-DATA'!AF134)),IF($B136="STD. DEVIATION",2,$F$1))))</f>
        <v/>
      </c>
      <c r="AH136" s="1" t="str">
        <f>IF(OR($B136="",AH$7=""),"",IF($B136="MEANS",INDEX('1-DATA'!$1:$1048576,$A135-1,COLUMN('1-DATA'!AG134)),ROUND(INDEX('1-DATA'!$1:$1048576,IF(OR($B136="STD. DEVIATION",$C$1=1),$A136,$A136+1),COLUMN('1-DATA'!AG134)),IF($B136="STD. DEVIATION",2,$F$1))))</f>
        <v/>
      </c>
      <c r="AI136" s="1" t="str">
        <f>IF(OR($B136="",AI$7=""),"",IF($B136="MEANS",INDEX('1-DATA'!$1:$1048576,$A135-1,COLUMN('1-DATA'!AH134)),ROUND(INDEX('1-DATA'!$1:$1048576,IF(OR($B136="STD. DEVIATION",$C$1=1),$A136,$A136+1),COLUMN('1-DATA'!AH134)),IF($B136="STD. DEVIATION",2,$F$1))))</f>
        <v/>
      </c>
      <c r="AJ136" s="1" t="str">
        <f>IF(OR($B136="",AJ$7=""),"",IF($B136="MEANS",INDEX('1-DATA'!$1:$1048576,$A135-1,COLUMN('1-DATA'!AI134)),ROUND(INDEX('1-DATA'!$1:$1048576,IF(OR($B136="STD. DEVIATION",$C$1=1),$A136,$A136+1),COLUMN('1-DATA'!AI134)),IF($B136="STD. DEVIATION",2,$F$1))))</f>
        <v/>
      </c>
      <c r="AK136" s="1" t="str">
        <f>IF(OR($B136="",AK$7=""),"",IF($B136="MEANS",INDEX('1-DATA'!$1:$1048576,$A135-1,COLUMN('1-DATA'!AJ134)),ROUND(INDEX('1-DATA'!$1:$1048576,IF(OR($B136="STD. DEVIATION",$C$1=1),$A136,$A136+1),COLUMN('1-DATA'!AJ134)),IF($B136="STD. DEVIATION",2,$F$1))))</f>
        <v/>
      </c>
      <c r="AL136" s="1" t="str">
        <f>IF(OR($B136="",AL$7=""),"",IF($B136="MEANS",INDEX('1-DATA'!$1:$1048576,$A135-1,COLUMN('1-DATA'!AK134)),ROUND(INDEX('1-DATA'!$1:$1048576,IF(OR($B136="STD. DEVIATION",$C$1=1),$A136,$A136+1),COLUMN('1-DATA'!AK134)),IF($B136="STD. DEVIATION",2,$F$1))))</f>
        <v/>
      </c>
      <c r="AM136" s="1" t="str">
        <f>IF(OR($B136="",AM$7=""),"",IF($B136="MEANS",INDEX('1-DATA'!$1:$1048576,$A135-1,COLUMN('1-DATA'!AL134)),ROUND(INDEX('1-DATA'!$1:$1048576,IF(OR($B136="STD. DEVIATION",$C$1=1),$A136,$A136+1),COLUMN('1-DATA'!AL134)),IF($B136="STD. DEVIATION",2,$F$1))))</f>
        <v/>
      </c>
      <c r="AN136" s="1" t="str">
        <f>IF(OR($B136="",AN$7=""),"",IF($B136="MEANS",INDEX('1-DATA'!$1:$1048576,$A135-1,COLUMN('1-DATA'!AM134)),ROUND(INDEX('1-DATA'!$1:$1048576,IF(OR($B136="STD. DEVIATION",$C$1=1),$A136,$A136+1),COLUMN('1-DATA'!AM134)),IF($B136="STD. DEVIATION",2,$F$1))))</f>
        <v/>
      </c>
      <c r="AO136" s="1" t="str">
        <f>IF(OR($B136="",AO$7=""),"",IF($B136="MEANS",INDEX('1-DATA'!$1:$1048576,$A135-1,COLUMN('1-DATA'!AN134)),ROUND(INDEX('1-DATA'!$1:$1048576,IF(OR($B136="STD. DEVIATION",$C$1=1),$A136,$A136+1),COLUMN('1-DATA'!AN134)),IF($B136="STD. DEVIATION",2,$F$1))))</f>
        <v/>
      </c>
      <c r="AP136" s="1" t="str">
        <f>IF(OR($B136="",AP$7=""),"",IF($B136="MEANS",INDEX('1-DATA'!$1:$1048576,$A135-1,COLUMN('1-DATA'!AO134)),ROUND(INDEX('1-DATA'!$1:$1048576,IF(OR($B136="STD. DEVIATION",$C$1=1),$A136,$A136+1),COLUMN('1-DATA'!AO134)),IF($B136="STD. DEVIATION",2,$F$1))))</f>
        <v/>
      </c>
      <c r="AQ136" s="1" t="str">
        <f>IF(OR($B136="",AQ$7=""),"",IF($B136="MEANS",INDEX('1-DATA'!$1:$1048576,$A135-1,COLUMN('1-DATA'!AP134)),ROUND(INDEX('1-DATA'!$1:$1048576,IF(OR($B136="STD. DEVIATION",$C$1=1),$A136,$A136+1),COLUMN('1-DATA'!AP134)),IF($B136="STD. DEVIATION",2,$F$1))))</f>
        <v/>
      </c>
      <c r="AR136" s="1" t="str">
        <f>IF(OR($B136="",AR$7=""),"",IF($B136="MEANS",INDEX('1-DATA'!$1:$1048576,$A135-1,COLUMN('1-DATA'!AQ134)),ROUND(INDEX('1-DATA'!$1:$1048576,IF(OR($B136="STD. DEVIATION",$C$1=1),$A136,$A136+1),COLUMN('1-DATA'!AQ134)),IF($B136="STD. DEVIATION",2,$F$1))))</f>
        <v/>
      </c>
      <c r="AS136" s="1" t="str">
        <f>IF(OR($B136="",AS$7=""),"",IF($B136="MEANS",INDEX('1-DATA'!$1:$1048576,$A135-1,COLUMN('1-DATA'!AR134)),ROUND(INDEX('1-DATA'!$1:$1048576,IF(OR($B136="STD. DEVIATION",$C$1=1),$A136,$A136+1),COLUMN('1-DATA'!AR134)),IF($B136="STD. DEVIATION",2,$F$1))))</f>
        <v/>
      </c>
      <c r="AT136" s="1" t="str">
        <f>IF(OR($B136="",AT$7=""),"",IF($B136="MEANS",INDEX('1-DATA'!$1:$1048576,$A135-1,COLUMN('1-DATA'!AS134)),ROUND(INDEX('1-DATA'!$1:$1048576,IF(OR($B136="STD. DEVIATION",$C$1=1),$A136,$A136+1),COLUMN('1-DATA'!AS134)),IF($B136="STD. DEVIATION",2,$F$1))))</f>
        <v/>
      </c>
      <c r="AU136" s="1" t="str">
        <f>IF(OR($B136="",AU$7=""),"",IF($B136="MEANS",INDEX('1-DATA'!$1:$1048576,$A135-1,COLUMN('1-DATA'!AT134)),ROUND(INDEX('1-DATA'!$1:$1048576,IF(OR($B136="STD. DEVIATION",$C$1=1),$A136,$A136+1),COLUMN('1-DATA'!AT134)),IF($B136="STD. DEVIATION",2,$F$1))))</f>
        <v/>
      </c>
      <c r="AV136" s="1" t="str">
        <f>IF(OR($B136="",AV$7=""),"",IF($B136="MEANS",INDEX('1-DATA'!$1:$1048576,$A135-1,COLUMN('1-DATA'!AU134)),ROUND(INDEX('1-DATA'!$1:$1048576,IF(OR($B136="STD. DEVIATION",$C$1=1),$A136,$A136+1),COLUMN('1-DATA'!AU134)),IF($B136="STD. DEVIATION",2,$F$1))))</f>
        <v/>
      </c>
      <c r="AW136" s="1" t="str">
        <f>IF(OR($B136="",AW$7=""),"",IF($B136="MEANS",INDEX('1-DATA'!$1:$1048576,$A135-1,COLUMN('1-DATA'!AV134)),ROUND(INDEX('1-DATA'!$1:$1048576,IF(OR($B136="STD. DEVIATION",$C$1=1),$A136,$A136+1),COLUMN('1-DATA'!AV134)),IF($B136="STD. DEVIATION",2,$F$1))))</f>
        <v/>
      </c>
      <c r="AX136" s="1" t="str">
        <f>IF(OR($B136="",AX$7=""),"",IF($B136="MEANS",INDEX('1-DATA'!$1:$1048576,$A135-1,COLUMN('1-DATA'!AW134)),ROUND(INDEX('1-DATA'!$1:$1048576,IF(OR($B136="STD. DEVIATION",$C$1=1),$A136,$A136+1),COLUMN('1-DATA'!AW134)),IF($B136="STD. DEVIATION",2,$F$1))))</f>
        <v/>
      </c>
      <c r="AY136" s="1" t="str">
        <f>IF(OR($B136="",AY$7=""),"",IF($B136="MEANS",INDEX('1-DATA'!$1:$1048576,$A135-1,COLUMN('1-DATA'!AX134)),ROUND(INDEX('1-DATA'!$1:$1048576,IF(OR($B136="STD. DEVIATION",$C$1=1),$A136,$A136+1),COLUMN('1-DATA'!AX134)),IF($B136="STD. DEVIATION",2,$F$1))))</f>
        <v/>
      </c>
      <c r="AZ136" s="1" t="str">
        <f>IF(OR($B136="",AZ$7=""),"",IF($B136="MEANS",INDEX('1-DATA'!$1:$1048576,$A135-1,COLUMN('1-DATA'!AY134)),ROUND(INDEX('1-DATA'!$1:$1048576,IF(OR($B136="STD. DEVIATION",$C$1=1),$A136,$A136+1),COLUMN('1-DATA'!AY134)),IF($B136="STD. DEVIATION",2,$F$1))))</f>
        <v/>
      </c>
    </row>
    <row r="137" spans="1:52" x14ac:dyDescent="0.25">
      <c r="A137" s="11">
        <f t="shared" si="2"/>
        <v>397</v>
      </c>
      <c r="B137" s="1" t="str">
        <f>IF(B136="STD. DEVIATION",INDEX('1-DATA'!$1:$1048576,$A136-1,1),IF(INDEX('1-DATA'!$1:$1048576,$A137,1)&lt;&gt;"",INDEX('1-DATA'!$1:$1048576,$A137,1),""))</f>
        <v/>
      </c>
      <c r="C137" s="1" t="str">
        <f>IF(OR($B137="",C$7=""),"",IF($B137="MEANS",INDEX('1-DATA'!$1:$1048576,$A136-1,COLUMN('1-DATA'!B135)),ROUND(INDEX('1-DATA'!$1:$1048576,IF(OR($B137="STD. DEVIATION",$C$1=1),$A137,$A137+1),COLUMN('1-DATA'!B135)),IF($B137="STD. DEVIATION",2,$F$1))))</f>
        <v/>
      </c>
      <c r="D137" s="1" t="str">
        <f>IF(OR($B137="",D$7=""),"",IF($B137="MEANS",INDEX('1-DATA'!$1:$1048576,$A136-1,COLUMN('1-DATA'!C135)),ROUND(INDEX('1-DATA'!$1:$1048576,IF(OR($B137="STD. DEVIATION",$C$1=1),$A137,$A137+1),COLUMN('1-DATA'!C135)),IF($B137="STD. DEVIATION",2,$F$1))))</f>
        <v/>
      </c>
      <c r="E137" s="1" t="str">
        <f>IF(OR($B137="",E$7=""),"",IF($B137="MEANS",INDEX('1-DATA'!$1:$1048576,$A136-1,COLUMN('1-DATA'!D135)),ROUND(INDEX('1-DATA'!$1:$1048576,IF(OR($B137="STD. DEVIATION",$C$1=1),$A137,$A137+1),COLUMN('1-DATA'!D135)),IF($B137="STD. DEVIATION",2,$F$1))))</f>
        <v/>
      </c>
      <c r="F137" s="1" t="str">
        <f>IF(OR($B137="",F$7=""),"",IF($B137="MEANS",INDEX('1-DATA'!$1:$1048576,$A136-1,COLUMN('1-DATA'!E135)),ROUND(INDEX('1-DATA'!$1:$1048576,IF(OR($B137="STD. DEVIATION",$C$1=1),$A137,$A137+1),COLUMN('1-DATA'!E135)),IF($B137="STD. DEVIATION",2,$F$1))))</f>
        <v/>
      </c>
      <c r="G137" s="1" t="str">
        <f>IF(OR($B137="",G$7=""),"",IF($B137="MEANS",INDEX('1-DATA'!$1:$1048576,$A136-1,COLUMN('1-DATA'!F135)),ROUND(INDEX('1-DATA'!$1:$1048576,IF(OR($B137="STD. DEVIATION",$C$1=1),$A137,$A137+1),COLUMN('1-DATA'!F135)),IF($B137="STD. DEVIATION",2,$F$1))))</f>
        <v/>
      </c>
      <c r="H137" s="1" t="str">
        <f>IF(OR($B137="",H$7=""),"",IF($B137="MEANS",INDEX('1-DATA'!$1:$1048576,$A136-1,COLUMN('1-DATA'!G135)),ROUND(INDEX('1-DATA'!$1:$1048576,IF(OR($B137="STD. DEVIATION",$C$1=1),$A137,$A137+1),COLUMN('1-DATA'!G135)),IF($B137="STD. DEVIATION",2,$F$1))))</f>
        <v/>
      </c>
      <c r="I137" s="1" t="str">
        <f>IF(OR($B137="",I$7=""),"",IF($B137="MEANS",INDEX('1-DATA'!$1:$1048576,$A136-1,COLUMN('1-DATA'!H135)),ROUND(INDEX('1-DATA'!$1:$1048576,IF(OR($B137="STD. DEVIATION",$C$1=1),$A137,$A137+1),COLUMN('1-DATA'!H135)),IF($B137="STD. DEVIATION",2,$F$1))))</f>
        <v/>
      </c>
      <c r="J137" s="1" t="str">
        <f>IF(OR($B137="",J$7=""),"",IF($B137="MEANS",INDEX('1-DATA'!$1:$1048576,$A136-1,COLUMN('1-DATA'!I135)),ROUND(INDEX('1-DATA'!$1:$1048576,IF(OR($B137="STD. DEVIATION",$C$1=1),$A137,$A137+1),COLUMN('1-DATA'!I135)),IF($B137="STD. DEVIATION",2,$F$1))))</f>
        <v/>
      </c>
      <c r="K137" s="1" t="str">
        <f>IF(OR($B137="",K$7=""),"",IF($B137="MEANS",INDEX('1-DATA'!$1:$1048576,$A136-1,COLUMN('1-DATA'!J135)),ROUND(INDEX('1-DATA'!$1:$1048576,IF(OR($B137="STD. DEVIATION",$C$1=1),$A137,$A137+1),COLUMN('1-DATA'!J135)),IF($B137="STD. DEVIATION",2,$F$1))))</f>
        <v/>
      </c>
      <c r="L137" s="1" t="str">
        <f>IF(OR($B137="",L$7=""),"",IF($B137="MEANS",INDEX('1-DATA'!$1:$1048576,$A136-1,COLUMN('1-DATA'!K135)),ROUND(INDEX('1-DATA'!$1:$1048576,IF(OR($B137="STD. DEVIATION",$C$1=1),$A137,$A137+1),COLUMN('1-DATA'!K135)),IF($B137="STD. DEVIATION",2,$F$1))))</f>
        <v/>
      </c>
      <c r="M137" s="1" t="str">
        <f>IF(OR($B137="",M$7=""),"",IF($B137="MEANS",INDEX('1-DATA'!$1:$1048576,$A136-1,COLUMN('1-DATA'!L135)),ROUND(INDEX('1-DATA'!$1:$1048576,IF(OR($B137="STD. DEVIATION",$C$1=1),$A137,$A137+1),COLUMN('1-DATA'!L135)),IF($B137="STD. DEVIATION",2,$F$1))))</f>
        <v/>
      </c>
      <c r="N137" s="1" t="str">
        <f>IF(OR($B137="",N$7=""),"",IF($B137="MEANS",INDEX('1-DATA'!$1:$1048576,$A136-1,COLUMN('1-DATA'!M135)),ROUND(INDEX('1-DATA'!$1:$1048576,IF(OR($B137="STD. DEVIATION",$C$1=1),$A137,$A137+1),COLUMN('1-DATA'!M135)),IF($B137="STD. DEVIATION",2,$F$1))))</f>
        <v/>
      </c>
      <c r="O137" s="1" t="str">
        <f>IF(OR($B137="",O$7=""),"",IF($B137="MEANS",INDEX('1-DATA'!$1:$1048576,$A136-1,COLUMN('1-DATA'!N135)),ROUND(INDEX('1-DATA'!$1:$1048576,IF(OR($B137="STD. DEVIATION",$C$1=1),$A137,$A137+1),COLUMN('1-DATA'!N135)),IF($B137="STD. DEVIATION",2,$F$1))))</f>
        <v/>
      </c>
      <c r="P137" s="1" t="str">
        <f>IF(OR($B137="",P$7=""),"",IF($B137="MEANS",INDEX('1-DATA'!$1:$1048576,$A136-1,COLUMN('1-DATA'!O135)),ROUND(INDEX('1-DATA'!$1:$1048576,IF(OR($B137="STD. DEVIATION",$C$1=1),$A137,$A137+1),COLUMN('1-DATA'!O135)),IF($B137="STD. DEVIATION",2,$F$1))))</f>
        <v/>
      </c>
      <c r="Q137" s="1" t="str">
        <f>IF(OR($B137="",Q$7=""),"",IF($B137="MEANS",INDEX('1-DATA'!$1:$1048576,$A136-1,COLUMN('1-DATA'!P135)),ROUND(INDEX('1-DATA'!$1:$1048576,IF(OR($B137="STD. DEVIATION",$C$1=1),$A137,$A137+1),COLUMN('1-DATA'!P135)),IF($B137="STD. DEVIATION",2,$F$1))))</f>
        <v/>
      </c>
      <c r="R137" s="1" t="str">
        <f>IF(OR($B137="",R$7=""),"",IF($B137="MEANS",INDEX('1-DATA'!$1:$1048576,$A136-1,COLUMN('1-DATA'!Q135)),ROUND(INDEX('1-DATA'!$1:$1048576,IF(OR($B137="STD. DEVIATION",$C$1=1),$A137,$A137+1),COLUMN('1-DATA'!Q135)),IF($B137="STD. DEVIATION",2,$F$1))))</f>
        <v/>
      </c>
      <c r="S137" s="1" t="str">
        <f>IF(OR($B137="",S$7=""),"",IF($B137="MEANS",INDEX('1-DATA'!$1:$1048576,$A136-1,COLUMN('1-DATA'!R135)),ROUND(INDEX('1-DATA'!$1:$1048576,IF(OR($B137="STD. DEVIATION",$C$1=1),$A137,$A137+1),COLUMN('1-DATA'!R135)),IF($B137="STD. DEVIATION",2,$F$1))))</f>
        <v/>
      </c>
      <c r="T137" s="1" t="str">
        <f>IF(OR($B137="",T$7=""),"",IF($B137="MEANS",INDEX('1-DATA'!$1:$1048576,$A136-1,COLUMN('1-DATA'!S135)),ROUND(INDEX('1-DATA'!$1:$1048576,IF(OR($B137="STD. DEVIATION",$C$1=1),$A137,$A137+1),COLUMN('1-DATA'!S135)),IF($B137="STD. DEVIATION",2,$F$1))))</f>
        <v/>
      </c>
      <c r="U137" s="1" t="str">
        <f>IF(OR($B137="",U$7=""),"",IF($B137="MEANS",INDEX('1-DATA'!$1:$1048576,$A136-1,COLUMN('1-DATA'!T135)),ROUND(INDEX('1-DATA'!$1:$1048576,IF(OR($B137="STD. DEVIATION",$C$1=1),$A137,$A137+1),COLUMN('1-DATA'!T135)),IF($B137="STD. DEVIATION",2,$F$1))))</f>
        <v/>
      </c>
      <c r="V137" s="1" t="str">
        <f>IF(OR($B137="",V$7=""),"",IF($B137="MEANS",INDEX('1-DATA'!$1:$1048576,$A136-1,COLUMN('1-DATA'!U135)),ROUND(INDEX('1-DATA'!$1:$1048576,IF(OR($B137="STD. DEVIATION",$C$1=1),$A137,$A137+1),COLUMN('1-DATA'!U135)),IF($B137="STD. DEVIATION",2,$F$1))))</f>
        <v/>
      </c>
      <c r="W137" s="1" t="str">
        <f>IF(OR($B137="",W$7=""),"",IF($B137="MEANS",INDEX('1-DATA'!$1:$1048576,$A136-1,COLUMN('1-DATA'!V135)),ROUND(INDEX('1-DATA'!$1:$1048576,IF(OR($B137="STD. DEVIATION",$C$1=1),$A137,$A137+1),COLUMN('1-DATA'!V135)),IF($B137="STD. DEVIATION",2,$F$1))))</f>
        <v/>
      </c>
      <c r="X137" s="1" t="str">
        <f>IF(OR($B137="",X$7=""),"",IF($B137="MEANS",INDEX('1-DATA'!$1:$1048576,$A136-1,COLUMN('1-DATA'!W135)),ROUND(INDEX('1-DATA'!$1:$1048576,IF(OR($B137="STD. DEVIATION",$C$1=1),$A137,$A137+1),COLUMN('1-DATA'!W135)),IF($B137="STD. DEVIATION",2,$F$1))))</f>
        <v/>
      </c>
      <c r="Y137" s="1" t="str">
        <f>IF(OR($B137="",Y$7=""),"",IF($B137="MEANS",INDEX('1-DATA'!$1:$1048576,$A136-1,COLUMN('1-DATA'!X135)),ROUND(INDEX('1-DATA'!$1:$1048576,IF(OR($B137="STD. DEVIATION",$C$1=1),$A137,$A137+1),COLUMN('1-DATA'!X135)),IF($B137="STD. DEVIATION",2,$F$1))))</f>
        <v/>
      </c>
      <c r="Z137" s="1" t="str">
        <f>IF(OR($B137="",Z$7=""),"",IF($B137="MEANS",INDEX('1-DATA'!$1:$1048576,$A136-1,COLUMN('1-DATA'!Y135)),ROUND(INDEX('1-DATA'!$1:$1048576,IF(OR($B137="STD. DEVIATION",$C$1=1),$A137,$A137+1),COLUMN('1-DATA'!Y135)),IF($B137="STD. DEVIATION",2,$F$1))))</f>
        <v/>
      </c>
      <c r="AA137" s="1" t="str">
        <f>IF(OR($B137="",AA$7=""),"",IF($B137="MEANS",INDEX('1-DATA'!$1:$1048576,$A136-1,COLUMN('1-DATA'!Z135)),ROUND(INDEX('1-DATA'!$1:$1048576,IF(OR($B137="STD. DEVIATION",$C$1=1),$A137,$A137+1),COLUMN('1-DATA'!Z135)),IF($B137="STD. DEVIATION",2,$F$1))))</f>
        <v/>
      </c>
      <c r="AB137" s="1" t="str">
        <f>IF(OR($B137="",AB$7=""),"",IF($B137="MEANS",INDEX('1-DATA'!$1:$1048576,$A136-1,COLUMN('1-DATA'!AA135)),ROUND(INDEX('1-DATA'!$1:$1048576,IF(OR($B137="STD. DEVIATION",$C$1=1),$A137,$A137+1),COLUMN('1-DATA'!AA135)),IF($B137="STD. DEVIATION",2,$F$1))))</f>
        <v/>
      </c>
      <c r="AC137" s="1" t="str">
        <f>IF(OR($B137="",AC$7=""),"",IF($B137="MEANS",INDEX('1-DATA'!$1:$1048576,$A136-1,COLUMN('1-DATA'!AB135)),ROUND(INDEX('1-DATA'!$1:$1048576,IF(OR($B137="STD. DEVIATION",$C$1=1),$A137,$A137+1),COLUMN('1-DATA'!AB135)),IF($B137="STD. DEVIATION",2,$F$1))))</f>
        <v/>
      </c>
      <c r="AD137" s="1" t="str">
        <f>IF(OR($B137="",AD$7=""),"",IF($B137="MEANS",INDEX('1-DATA'!$1:$1048576,$A136-1,COLUMN('1-DATA'!AC135)),ROUND(INDEX('1-DATA'!$1:$1048576,IF(OR($B137="STD. DEVIATION",$C$1=1),$A137,$A137+1),COLUMN('1-DATA'!AC135)),IF($B137="STD. DEVIATION",2,$F$1))))</f>
        <v/>
      </c>
      <c r="AE137" s="1" t="str">
        <f>IF(OR($B137="",AE$7=""),"",IF($B137="MEANS",INDEX('1-DATA'!$1:$1048576,$A136-1,COLUMN('1-DATA'!AD135)),ROUND(INDEX('1-DATA'!$1:$1048576,IF(OR($B137="STD. DEVIATION",$C$1=1),$A137,$A137+1),COLUMN('1-DATA'!AD135)),IF($B137="STD. DEVIATION",2,$F$1))))</f>
        <v/>
      </c>
      <c r="AF137" s="1" t="str">
        <f>IF(OR($B137="",AF$7=""),"",IF($B137="MEANS",INDEX('1-DATA'!$1:$1048576,$A136-1,COLUMN('1-DATA'!AE135)),ROUND(INDEX('1-DATA'!$1:$1048576,IF(OR($B137="STD. DEVIATION",$C$1=1),$A137,$A137+1),COLUMN('1-DATA'!AE135)),IF($B137="STD. DEVIATION",2,$F$1))))</f>
        <v/>
      </c>
      <c r="AG137" s="1" t="str">
        <f>IF(OR($B137="",AG$7=""),"",IF($B137="MEANS",INDEX('1-DATA'!$1:$1048576,$A136-1,COLUMN('1-DATA'!AF135)),ROUND(INDEX('1-DATA'!$1:$1048576,IF(OR($B137="STD. DEVIATION",$C$1=1),$A137,$A137+1),COLUMN('1-DATA'!AF135)),IF($B137="STD. DEVIATION",2,$F$1))))</f>
        <v/>
      </c>
      <c r="AH137" s="1" t="str">
        <f>IF(OR($B137="",AH$7=""),"",IF($B137="MEANS",INDEX('1-DATA'!$1:$1048576,$A136-1,COLUMN('1-DATA'!AG135)),ROUND(INDEX('1-DATA'!$1:$1048576,IF(OR($B137="STD. DEVIATION",$C$1=1),$A137,$A137+1),COLUMN('1-DATA'!AG135)),IF($B137="STD. DEVIATION",2,$F$1))))</f>
        <v/>
      </c>
      <c r="AI137" s="1" t="str">
        <f>IF(OR($B137="",AI$7=""),"",IF($B137="MEANS",INDEX('1-DATA'!$1:$1048576,$A136-1,COLUMN('1-DATA'!AH135)),ROUND(INDEX('1-DATA'!$1:$1048576,IF(OR($B137="STD. DEVIATION",$C$1=1),$A137,$A137+1),COLUMN('1-DATA'!AH135)),IF($B137="STD. DEVIATION",2,$F$1))))</f>
        <v/>
      </c>
      <c r="AJ137" s="1" t="str">
        <f>IF(OR($B137="",AJ$7=""),"",IF($B137="MEANS",INDEX('1-DATA'!$1:$1048576,$A136-1,COLUMN('1-DATA'!AI135)),ROUND(INDEX('1-DATA'!$1:$1048576,IF(OR($B137="STD. DEVIATION",$C$1=1),$A137,$A137+1),COLUMN('1-DATA'!AI135)),IF($B137="STD. DEVIATION",2,$F$1))))</f>
        <v/>
      </c>
      <c r="AK137" s="1" t="str">
        <f>IF(OR($B137="",AK$7=""),"",IF($B137="MEANS",INDEX('1-DATA'!$1:$1048576,$A136-1,COLUMN('1-DATA'!AJ135)),ROUND(INDEX('1-DATA'!$1:$1048576,IF(OR($B137="STD. DEVIATION",$C$1=1),$A137,$A137+1),COLUMN('1-DATA'!AJ135)),IF($B137="STD. DEVIATION",2,$F$1))))</f>
        <v/>
      </c>
      <c r="AL137" s="1" t="str">
        <f>IF(OR($B137="",AL$7=""),"",IF($B137="MEANS",INDEX('1-DATA'!$1:$1048576,$A136-1,COLUMN('1-DATA'!AK135)),ROUND(INDEX('1-DATA'!$1:$1048576,IF(OR($B137="STD. DEVIATION",$C$1=1),$A137,$A137+1),COLUMN('1-DATA'!AK135)),IF($B137="STD. DEVIATION",2,$F$1))))</f>
        <v/>
      </c>
      <c r="AM137" s="1" t="str">
        <f>IF(OR($B137="",AM$7=""),"",IF($B137="MEANS",INDEX('1-DATA'!$1:$1048576,$A136-1,COLUMN('1-DATA'!AL135)),ROUND(INDEX('1-DATA'!$1:$1048576,IF(OR($B137="STD. DEVIATION",$C$1=1),$A137,$A137+1),COLUMN('1-DATA'!AL135)),IF($B137="STD. DEVIATION",2,$F$1))))</f>
        <v/>
      </c>
      <c r="AN137" s="1" t="str">
        <f>IF(OR($B137="",AN$7=""),"",IF($B137="MEANS",INDEX('1-DATA'!$1:$1048576,$A136-1,COLUMN('1-DATA'!AM135)),ROUND(INDEX('1-DATA'!$1:$1048576,IF(OR($B137="STD. DEVIATION",$C$1=1),$A137,$A137+1),COLUMN('1-DATA'!AM135)),IF($B137="STD. DEVIATION",2,$F$1))))</f>
        <v/>
      </c>
      <c r="AO137" s="1" t="str">
        <f>IF(OR($B137="",AO$7=""),"",IF($B137="MEANS",INDEX('1-DATA'!$1:$1048576,$A136-1,COLUMN('1-DATA'!AN135)),ROUND(INDEX('1-DATA'!$1:$1048576,IF(OR($B137="STD. DEVIATION",$C$1=1),$A137,$A137+1),COLUMN('1-DATA'!AN135)),IF($B137="STD. DEVIATION",2,$F$1))))</f>
        <v/>
      </c>
      <c r="AP137" s="1" t="str">
        <f>IF(OR($B137="",AP$7=""),"",IF($B137="MEANS",INDEX('1-DATA'!$1:$1048576,$A136-1,COLUMN('1-DATA'!AO135)),ROUND(INDEX('1-DATA'!$1:$1048576,IF(OR($B137="STD. DEVIATION",$C$1=1),$A137,$A137+1),COLUMN('1-DATA'!AO135)),IF($B137="STD. DEVIATION",2,$F$1))))</f>
        <v/>
      </c>
      <c r="AQ137" s="1" t="str">
        <f>IF(OR($B137="",AQ$7=""),"",IF($B137="MEANS",INDEX('1-DATA'!$1:$1048576,$A136-1,COLUMN('1-DATA'!AP135)),ROUND(INDEX('1-DATA'!$1:$1048576,IF(OR($B137="STD. DEVIATION",$C$1=1),$A137,$A137+1),COLUMN('1-DATA'!AP135)),IF($B137="STD. DEVIATION",2,$F$1))))</f>
        <v/>
      </c>
      <c r="AR137" s="1" t="str">
        <f>IF(OR($B137="",AR$7=""),"",IF($B137="MEANS",INDEX('1-DATA'!$1:$1048576,$A136-1,COLUMN('1-DATA'!AQ135)),ROUND(INDEX('1-DATA'!$1:$1048576,IF(OR($B137="STD. DEVIATION",$C$1=1),$A137,$A137+1),COLUMN('1-DATA'!AQ135)),IF($B137="STD. DEVIATION",2,$F$1))))</f>
        <v/>
      </c>
      <c r="AS137" s="1" t="str">
        <f>IF(OR($B137="",AS$7=""),"",IF($B137="MEANS",INDEX('1-DATA'!$1:$1048576,$A136-1,COLUMN('1-DATA'!AR135)),ROUND(INDEX('1-DATA'!$1:$1048576,IF(OR($B137="STD. DEVIATION",$C$1=1),$A137,$A137+1),COLUMN('1-DATA'!AR135)),IF($B137="STD. DEVIATION",2,$F$1))))</f>
        <v/>
      </c>
      <c r="AT137" s="1" t="str">
        <f>IF(OR($B137="",AT$7=""),"",IF($B137="MEANS",INDEX('1-DATA'!$1:$1048576,$A136-1,COLUMN('1-DATA'!AS135)),ROUND(INDEX('1-DATA'!$1:$1048576,IF(OR($B137="STD. DEVIATION",$C$1=1),$A137,$A137+1),COLUMN('1-DATA'!AS135)),IF($B137="STD. DEVIATION",2,$F$1))))</f>
        <v/>
      </c>
      <c r="AU137" s="1" t="str">
        <f>IF(OR($B137="",AU$7=""),"",IF($B137="MEANS",INDEX('1-DATA'!$1:$1048576,$A136-1,COLUMN('1-DATA'!AT135)),ROUND(INDEX('1-DATA'!$1:$1048576,IF(OR($B137="STD. DEVIATION",$C$1=1),$A137,$A137+1),COLUMN('1-DATA'!AT135)),IF($B137="STD. DEVIATION",2,$F$1))))</f>
        <v/>
      </c>
      <c r="AV137" s="1" t="str">
        <f>IF(OR($B137="",AV$7=""),"",IF($B137="MEANS",INDEX('1-DATA'!$1:$1048576,$A136-1,COLUMN('1-DATA'!AU135)),ROUND(INDEX('1-DATA'!$1:$1048576,IF(OR($B137="STD. DEVIATION",$C$1=1),$A137,$A137+1),COLUMN('1-DATA'!AU135)),IF($B137="STD. DEVIATION",2,$F$1))))</f>
        <v/>
      </c>
      <c r="AW137" s="1" t="str">
        <f>IF(OR($B137="",AW$7=""),"",IF($B137="MEANS",INDEX('1-DATA'!$1:$1048576,$A136-1,COLUMN('1-DATA'!AV135)),ROUND(INDEX('1-DATA'!$1:$1048576,IF(OR($B137="STD. DEVIATION",$C$1=1),$A137,$A137+1),COLUMN('1-DATA'!AV135)),IF($B137="STD. DEVIATION",2,$F$1))))</f>
        <v/>
      </c>
      <c r="AX137" s="1" t="str">
        <f>IF(OR($B137="",AX$7=""),"",IF($B137="MEANS",INDEX('1-DATA'!$1:$1048576,$A136-1,COLUMN('1-DATA'!AW135)),ROUND(INDEX('1-DATA'!$1:$1048576,IF(OR($B137="STD. DEVIATION",$C$1=1),$A137,$A137+1),COLUMN('1-DATA'!AW135)),IF($B137="STD. DEVIATION",2,$F$1))))</f>
        <v/>
      </c>
      <c r="AY137" s="1" t="str">
        <f>IF(OR($B137="",AY$7=""),"",IF($B137="MEANS",INDEX('1-DATA'!$1:$1048576,$A136-1,COLUMN('1-DATA'!AX135)),ROUND(INDEX('1-DATA'!$1:$1048576,IF(OR($B137="STD. DEVIATION",$C$1=1),$A137,$A137+1),COLUMN('1-DATA'!AX135)),IF($B137="STD. DEVIATION",2,$F$1))))</f>
        <v/>
      </c>
      <c r="AZ137" s="1" t="str">
        <f>IF(OR($B137="",AZ$7=""),"",IF($B137="MEANS",INDEX('1-DATA'!$1:$1048576,$A136-1,COLUMN('1-DATA'!AY135)),ROUND(INDEX('1-DATA'!$1:$1048576,IF(OR($B137="STD. DEVIATION",$C$1=1),$A137,$A137+1),COLUMN('1-DATA'!AY135)),IF($B137="STD. DEVIATION",2,$F$1))))</f>
        <v/>
      </c>
    </row>
    <row r="138" spans="1:52" x14ac:dyDescent="0.25">
      <c r="A138" s="11">
        <f t="shared" si="2"/>
        <v>400</v>
      </c>
      <c r="B138" s="1" t="str">
        <f>IF(B137="STD. DEVIATION",INDEX('1-DATA'!$1:$1048576,$A137-1,1),IF(INDEX('1-DATA'!$1:$1048576,$A138,1)&lt;&gt;"",INDEX('1-DATA'!$1:$1048576,$A138,1),""))</f>
        <v/>
      </c>
      <c r="C138" s="1" t="str">
        <f>IF(OR($B138="",C$7=""),"",IF($B138="MEANS",INDEX('1-DATA'!$1:$1048576,$A137-1,COLUMN('1-DATA'!B136)),ROUND(INDEX('1-DATA'!$1:$1048576,IF(OR($B138="STD. DEVIATION",$C$1=1),$A138,$A138+1),COLUMN('1-DATA'!B136)),IF($B138="STD. DEVIATION",2,$F$1))))</f>
        <v/>
      </c>
      <c r="D138" s="1" t="str">
        <f>IF(OR($B138="",D$7=""),"",IF($B138="MEANS",INDEX('1-DATA'!$1:$1048576,$A137-1,COLUMN('1-DATA'!C136)),ROUND(INDEX('1-DATA'!$1:$1048576,IF(OR($B138="STD. DEVIATION",$C$1=1),$A138,$A138+1),COLUMN('1-DATA'!C136)),IF($B138="STD. DEVIATION",2,$F$1))))</f>
        <v/>
      </c>
      <c r="E138" s="1" t="str">
        <f>IF(OR($B138="",E$7=""),"",IF($B138="MEANS",INDEX('1-DATA'!$1:$1048576,$A137-1,COLUMN('1-DATA'!D136)),ROUND(INDEX('1-DATA'!$1:$1048576,IF(OR($B138="STD. DEVIATION",$C$1=1),$A138,$A138+1),COLUMN('1-DATA'!D136)),IF($B138="STD. DEVIATION",2,$F$1))))</f>
        <v/>
      </c>
      <c r="F138" s="1" t="str">
        <f>IF(OR($B138="",F$7=""),"",IF($B138="MEANS",INDEX('1-DATA'!$1:$1048576,$A137-1,COLUMN('1-DATA'!E136)),ROUND(INDEX('1-DATA'!$1:$1048576,IF(OR($B138="STD. DEVIATION",$C$1=1),$A138,$A138+1),COLUMN('1-DATA'!E136)),IF($B138="STD. DEVIATION",2,$F$1))))</f>
        <v/>
      </c>
      <c r="G138" s="1" t="str">
        <f>IF(OR($B138="",G$7=""),"",IF($B138="MEANS",INDEX('1-DATA'!$1:$1048576,$A137-1,COLUMN('1-DATA'!F136)),ROUND(INDEX('1-DATA'!$1:$1048576,IF(OR($B138="STD. DEVIATION",$C$1=1),$A138,$A138+1),COLUMN('1-DATA'!F136)),IF($B138="STD. DEVIATION",2,$F$1))))</f>
        <v/>
      </c>
      <c r="H138" s="1" t="str">
        <f>IF(OR($B138="",H$7=""),"",IF($B138="MEANS",INDEX('1-DATA'!$1:$1048576,$A137-1,COLUMN('1-DATA'!G136)),ROUND(INDEX('1-DATA'!$1:$1048576,IF(OR($B138="STD. DEVIATION",$C$1=1),$A138,$A138+1),COLUMN('1-DATA'!G136)),IF($B138="STD. DEVIATION",2,$F$1))))</f>
        <v/>
      </c>
      <c r="I138" s="1" t="str">
        <f>IF(OR($B138="",I$7=""),"",IF($B138="MEANS",INDEX('1-DATA'!$1:$1048576,$A137-1,COLUMN('1-DATA'!H136)),ROUND(INDEX('1-DATA'!$1:$1048576,IF(OR($B138="STD. DEVIATION",$C$1=1),$A138,$A138+1),COLUMN('1-DATA'!H136)),IF($B138="STD. DEVIATION",2,$F$1))))</f>
        <v/>
      </c>
      <c r="J138" s="1" t="str">
        <f>IF(OR($B138="",J$7=""),"",IF($B138="MEANS",INDEX('1-DATA'!$1:$1048576,$A137-1,COLUMN('1-DATA'!I136)),ROUND(INDEX('1-DATA'!$1:$1048576,IF(OR($B138="STD. DEVIATION",$C$1=1),$A138,$A138+1),COLUMN('1-DATA'!I136)),IF($B138="STD. DEVIATION",2,$F$1))))</f>
        <v/>
      </c>
      <c r="K138" s="1" t="str">
        <f>IF(OR($B138="",K$7=""),"",IF($B138="MEANS",INDEX('1-DATA'!$1:$1048576,$A137-1,COLUMN('1-DATA'!J136)),ROUND(INDEX('1-DATA'!$1:$1048576,IF(OR($B138="STD. DEVIATION",$C$1=1),$A138,$A138+1),COLUMN('1-DATA'!J136)),IF($B138="STD. DEVIATION",2,$F$1))))</f>
        <v/>
      </c>
      <c r="L138" s="1" t="str">
        <f>IF(OR($B138="",L$7=""),"",IF($B138="MEANS",INDEX('1-DATA'!$1:$1048576,$A137-1,COLUMN('1-DATA'!K136)),ROUND(INDEX('1-DATA'!$1:$1048576,IF(OR($B138="STD. DEVIATION",$C$1=1),$A138,$A138+1),COLUMN('1-DATA'!K136)),IF($B138="STD. DEVIATION",2,$F$1))))</f>
        <v/>
      </c>
      <c r="M138" s="1" t="str">
        <f>IF(OR($B138="",M$7=""),"",IF($B138="MEANS",INDEX('1-DATA'!$1:$1048576,$A137-1,COLUMN('1-DATA'!L136)),ROUND(INDEX('1-DATA'!$1:$1048576,IF(OR($B138="STD. DEVIATION",$C$1=1),$A138,$A138+1),COLUMN('1-DATA'!L136)),IF($B138="STD. DEVIATION",2,$F$1))))</f>
        <v/>
      </c>
      <c r="N138" s="1" t="str">
        <f>IF(OR($B138="",N$7=""),"",IF($B138="MEANS",INDEX('1-DATA'!$1:$1048576,$A137-1,COLUMN('1-DATA'!M136)),ROUND(INDEX('1-DATA'!$1:$1048576,IF(OR($B138="STD. DEVIATION",$C$1=1),$A138,$A138+1),COLUMN('1-DATA'!M136)),IF($B138="STD. DEVIATION",2,$F$1))))</f>
        <v/>
      </c>
      <c r="O138" s="1" t="str">
        <f>IF(OR($B138="",O$7=""),"",IF($B138="MEANS",INDEX('1-DATA'!$1:$1048576,$A137-1,COLUMN('1-DATA'!N136)),ROUND(INDEX('1-DATA'!$1:$1048576,IF(OR($B138="STD. DEVIATION",$C$1=1),$A138,$A138+1),COLUMN('1-DATA'!N136)),IF($B138="STD. DEVIATION",2,$F$1))))</f>
        <v/>
      </c>
      <c r="P138" s="1" t="str">
        <f>IF(OR($B138="",P$7=""),"",IF($B138="MEANS",INDEX('1-DATA'!$1:$1048576,$A137-1,COLUMN('1-DATA'!O136)),ROUND(INDEX('1-DATA'!$1:$1048576,IF(OR($B138="STD. DEVIATION",$C$1=1),$A138,$A138+1),COLUMN('1-DATA'!O136)),IF($B138="STD. DEVIATION",2,$F$1))))</f>
        <v/>
      </c>
      <c r="Q138" s="1" t="str">
        <f>IF(OR($B138="",Q$7=""),"",IF($B138="MEANS",INDEX('1-DATA'!$1:$1048576,$A137-1,COLUMN('1-DATA'!P136)),ROUND(INDEX('1-DATA'!$1:$1048576,IF(OR($B138="STD. DEVIATION",$C$1=1),$A138,$A138+1),COLUMN('1-DATA'!P136)),IF($B138="STD. DEVIATION",2,$F$1))))</f>
        <v/>
      </c>
      <c r="R138" s="1" t="str">
        <f>IF(OR($B138="",R$7=""),"",IF($B138="MEANS",INDEX('1-DATA'!$1:$1048576,$A137-1,COLUMN('1-DATA'!Q136)),ROUND(INDEX('1-DATA'!$1:$1048576,IF(OR($B138="STD. DEVIATION",$C$1=1),$A138,$A138+1),COLUMN('1-DATA'!Q136)),IF($B138="STD. DEVIATION",2,$F$1))))</f>
        <v/>
      </c>
      <c r="S138" s="1" t="str">
        <f>IF(OR($B138="",S$7=""),"",IF($B138="MEANS",INDEX('1-DATA'!$1:$1048576,$A137-1,COLUMN('1-DATA'!R136)),ROUND(INDEX('1-DATA'!$1:$1048576,IF(OR($B138="STD. DEVIATION",$C$1=1),$A138,$A138+1),COLUMN('1-DATA'!R136)),IF($B138="STD. DEVIATION",2,$F$1))))</f>
        <v/>
      </c>
      <c r="T138" s="1" t="str">
        <f>IF(OR($B138="",T$7=""),"",IF($B138="MEANS",INDEX('1-DATA'!$1:$1048576,$A137-1,COLUMN('1-DATA'!S136)),ROUND(INDEX('1-DATA'!$1:$1048576,IF(OR($B138="STD. DEVIATION",$C$1=1),$A138,$A138+1),COLUMN('1-DATA'!S136)),IF($B138="STD. DEVIATION",2,$F$1))))</f>
        <v/>
      </c>
      <c r="U138" s="1" t="str">
        <f>IF(OR($B138="",U$7=""),"",IF($B138="MEANS",INDEX('1-DATA'!$1:$1048576,$A137-1,COLUMN('1-DATA'!T136)),ROUND(INDEX('1-DATA'!$1:$1048576,IF(OR($B138="STD. DEVIATION",$C$1=1),$A138,$A138+1),COLUMN('1-DATA'!T136)),IF($B138="STD. DEVIATION",2,$F$1))))</f>
        <v/>
      </c>
      <c r="V138" s="1" t="str">
        <f>IF(OR($B138="",V$7=""),"",IF($B138="MEANS",INDEX('1-DATA'!$1:$1048576,$A137-1,COLUMN('1-DATA'!U136)),ROUND(INDEX('1-DATA'!$1:$1048576,IF(OR($B138="STD. DEVIATION",$C$1=1),$A138,$A138+1),COLUMN('1-DATA'!U136)),IF($B138="STD. DEVIATION",2,$F$1))))</f>
        <v/>
      </c>
      <c r="W138" s="1" t="str">
        <f>IF(OR($B138="",W$7=""),"",IF($B138="MEANS",INDEX('1-DATA'!$1:$1048576,$A137-1,COLUMN('1-DATA'!V136)),ROUND(INDEX('1-DATA'!$1:$1048576,IF(OR($B138="STD. DEVIATION",$C$1=1),$A138,$A138+1),COLUMN('1-DATA'!V136)),IF($B138="STD. DEVIATION",2,$F$1))))</f>
        <v/>
      </c>
      <c r="X138" s="1" t="str">
        <f>IF(OR($B138="",X$7=""),"",IF($B138="MEANS",INDEX('1-DATA'!$1:$1048576,$A137-1,COLUMN('1-DATA'!W136)),ROUND(INDEX('1-DATA'!$1:$1048576,IF(OR($B138="STD. DEVIATION",$C$1=1),$A138,$A138+1),COLUMN('1-DATA'!W136)),IF($B138="STD. DEVIATION",2,$F$1))))</f>
        <v/>
      </c>
      <c r="Y138" s="1" t="str">
        <f>IF(OR($B138="",Y$7=""),"",IF($B138="MEANS",INDEX('1-DATA'!$1:$1048576,$A137-1,COLUMN('1-DATA'!X136)),ROUND(INDEX('1-DATA'!$1:$1048576,IF(OR($B138="STD. DEVIATION",$C$1=1),$A138,$A138+1),COLUMN('1-DATA'!X136)),IF($B138="STD. DEVIATION",2,$F$1))))</f>
        <v/>
      </c>
      <c r="Z138" s="1" t="str">
        <f>IF(OR($B138="",Z$7=""),"",IF($B138="MEANS",INDEX('1-DATA'!$1:$1048576,$A137-1,COLUMN('1-DATA'!Y136)),ROUND(INDEX('1-DATA'!$1:$1048576,IF(OR($B138="STD. DEVIATION",$C$1=1),$A138,$A138+1),COLUMN('1-DATA'!Y136)),IF($B138="STD. DEVIATION",2,$F$1))))</f>
        <v/>
      </c>
      <c r="AA138" s="1" t="str">
        <f>IF(OR($B138="",AA$7=""),"",IF($B138="MEANS",INDEX('1-DATA'!$1:$1048576,$A137-1,COLUMN('1-DATA'!Z136)),ROUND(INDEX('1-DATA'!$1:$1048576,IF(OR($B138="STD. DEVIATION",$C$1=1),$A138,$A138+1),COLUMN('1-DATA'!Z136)),IF($B138="STD. DEVIATION",2,$F$1))))</f>
        <v/>
      </c>
      <c r="AB138" s="1" t="str">
        <f>IF(OR($B138="",AB$7=""),"",IF($B138="MEANS",INDEX('1-DATA'!$1:$1048576,$A137-1,COLUMN('1-DATA'!AA136)),ROUND(INDEX('1-DATA'!$1:$1048576,IF(OR($B138="STD. DEVIATION",$C$1=1),$A138,$A138+1),COLUMN('1-DATA'!AA136)),IF($B138="STD. DEVIATION",2,$F$1))))</f>
        <v/>
      </c>
      <c r="AC138" s="1" t="str">
        <f>IF(OR($B138="",AC$7=""),"",IF($B138="MEANS",INDEX('1-DATA'!$1:$1048576,$A137-1,COLUMN('1-DATA'!AB136)),ROUND(INDEX('1-DATA'!$1:$1048576,IF(OR($B138="STD. DEVIATION",$C$1=1),$A138,$A138+1),COLUMN('1-DATA'!AB136)),IF($B138="STD. DEVIATION",2,$F$1))))</f>
        <v/>
      </c>
      <c r="AD138" s="1" t="str">
        <f>IF(OR($B138="",AD$7=""),"",IF($B138="MEANS",INDEX('1-DATA'!$1:$1048576,$A137-1,COLUMN('1-DATA'!AC136)),ROUND(INDEX('1-DATA'!$1:$1048576,IF(OR($B138="STD. DEVIATION",$C$1=1),$A138,$A138+1),COLUMN('1-DATA'!AC136)),IF($B138="STD. DEVIATION",2,$F$1))))</f>
        <v/>
      </c>
      <c r="AE138" s="1" t="str">
        <f>IF(OR($B138="",AE$7=""),"",IF($B138="MEANS",INDEX('1-DATA'!$1:$1048576,$A137-1,COLUMN('1-DATA'!AD136)),ROUND(INDEX('1-DATA'!$1:$1048576,IF(OR($B138="STD. DEVIATION",$C$1=1),$A138,$A138+1),COLUMN('1-DATA'!AD136)),IF($B138="STD. DEVIATION",2,$F$1))))</f>
        <v/>
      </c>
      <c r="AF138" s="1" t="str">
        <f>IF(OR($B138="",AF$7=""),"",IF($B138="MEANS",INDEX('1-DATA'!$1:$1048576,$A137-1,COLUMN('1-DATA'!AE136)),ROUND(INDEX('1-DATA'!$1:$1048576,IF(OR($B138="STD. DEVIATION",$C$1=1),$A138,$A138+1),COLUMN('1-DATA'!AE136)),IF($B138="STD. DEVIATION",2,$F$1))))</f>
        <v/>
      </c>
      <c r="AG138" s="1" t="str">
        <f>IF(OR($B138="",AG$7=""),"",IF($B138="MEANS",INDEX('1-DATA'!$1:$1048576,$A137-1,COLUMN('1-DATA'!AF136)),ROUND(INDEX('1-DATA'!$1:$1048576,IF(OR($B138="STD. DEVIATION",$C$1=1),$A138,$A138+1),COLUMN('1-DATA'!AF136)),IF($B138="STD. DEVIATION",2,$F$1))))</f>
        <v/>
      </c>
      <c r="AH138" s="1" t="str">
        <f>IF(OR($B138="",AH$7=""),"",IF($B138="MEANS",INDEX('1-DATA'!$1:$1048576,$A137-1,COLUMN('1-DATA'!AG136)),ROUND(INDEX('1-DATA'!$1:$1048576,IF(OR($B138="STD. DEVIATION",$C$1=1),$A138,$A138+1),COLUMN('1-DATA'!AG136)),IF($B138="STD. DEVIATION",2,$F$1))))</f>
        <v/>
      </c>
      <c r="AI138" s="1" t="str">
        <f>IF(OR($B138="",AI$7=""),"",IF($B138="MEANS",INDEX('1-DATA'!$1:$1048576,$A137-1,COLUMN('1-DATA'!AH136)),ROUND(INDEX('1-DATA'!$1:$1048576,IF(OR($B138="STD. DEVIATION",$C$1=1),$A138,$A138+1),COLUMN('1-DATA'!AH136)),IF($B138="STD. DEVIATION",2,$F$1))))</f>
        <v/>
      </c>
      <c r="AJ138" s="1" t="str">
        <f>IF(OR($B138="",AJ$7=""),"",IF($B138="MEANS",INDEX('1-DATA'!$1:$1048576,$A137-1,COLUMN('1-DATA'!AI136)),ROUND(INDEX('1-DATA'!$1:$1048576,IF(OR($B138="STD. DEVIATION",$C$1=1),$A138,$A138+1),COLUMN('1-DATA'!AI136)),IF($B138="STD. DEVIATION",2,$F$1))))</f>
        <v/>
      </c>
      <c r="AK138" s="1" t="str">
        <f>IF(OR($B138="",AK$7=""),"",IF($B138="MEANS",INDEX('1-DATA'!$1:$1048576,$A137-1,COLUMN('1-DATA'!AJ136)),ROUND(INDEX('1-DATA'!$1:$1048576,IF(OR($B138="STD. DEVIATION",$C$1=1),$A138,$A138+1),COLUMN('1-DATA'!AJ136)),IF($B138="STD. DEVIATION",2,$F$1))))</f>
        <v/>
      </c>
      <c r="AL138" s="1" t="str">
        <f>IF(OR($B138="",AL$7=""),"",IF($B138="MEANS",INDEX('1-DATA'!$1:$1048576,$A137-1,COLUMN('1-DATA'!AK136)),ROUND(INDEX('1-DATA'!$1:$1048576,IF(OR($B138="STD. DEVIATION",$C$1=1),$A138,$A138+1),COLUMN('1-DATA'!AK136)),IF($B138="STD. DEVIATION",2,$F$1))))</f>
        <v/>
      </c>
      <c r="AM138" s="1" t="str">
        <f>IF(OR($B138="",AM$7=""),"",IF($B138="MEANS",INDEX('1-DATA'!$1:$1048576,$A137-1,COLUMN('1-DATA'!AL136)),ROUND(INDEX('1-DATA'!$1:$1048576,IF(OR($B138="STD. DEVIATION",$C$1=1),$A138,$A138+1),COLUMN('1-DATA'!AL136)),IF($B138="STD. DEVIATION",2,$F$1))))</f>
        <v/>
      </c>
      <c r="AN138" s="1" t="str">
        <f>IF(OR($B138="",AN$7=""),"",IF($B138="MEANS",INDEX('1-DATA'!$1:$1048576,$A137-1,COLUMN('1-DATA'!AM136)),ROUND(INDEX('1-DATA'!$1:$1048576,IF(OR($B138="STD. DEVIATION",$C$1=1),$A138,$A138+1),COLUMN('1-DATA'!AM136)),IF($B138="STD. DEVIATION",2,$F$1))))</f>
        <v/>
      </c>
      <c r="AO138" s="1" t="str">
        <f>IF(OR($B138="",AO$7=""),"",IF($B138="MEANS",INDEX('1-DATA'!$1:$1048576,$A137-1,COLUMN('1-DATA'!AN136)),ROUND(INDEX('1-DATA'!$1:$1048576,IF(OR($B138="STD. DEVIATION",$C$1=1),$A138,$A138+1),COLUMN('1-DATA'!AN136)),IF($B138="STD. DEVIATION",2,$F$1))))</f>
        <v/>
      </c>
      <c r="AP138" s="1" t="str">
        <f>IF(OR($B138="",AP$7=""),"",IF($B138="MEANS",INDEX('1-DATA'!$1:$1048576,$A137-1,COLUMN('1-DATA'!AO136)),ROUND(INDEX('1-DATA'!$1:$1048576,IF(OR($B138="STD. DEVIATION",$C$1=1),$A138,$A138+1),COLUMN('1-DATA'!AO136)),IF($B138="STD. DEVIATION",2,$F$1))))</f>
        <v/>
      </c>
      <c r="AQ138" s="1" t="str">
        <f>IF(OR($B138="",AQ$7=""),"",IF($B138="MEANS",INDEX('1-DATA'!$1:$1048576,$A137-1,COLUMN('1-DATA'!AP136)),ROUND(INDEX('1-DATA'!$1:$1048576,IF(OR($B138="STD. DEVIATION",$C$1=1),$A138,$A138+1),COLUMN('1-DATA'!AP136)),IF($B138="STD. DEVIATION",2,$F$1))))</f>
        <v/>
      </c>
      <c r="AR138" s="1" t="str">
        <f>IF(OR($B138="",AR$7=""),"",IF($B138="MEANS",INDEX('1-DATA'!$1:$1048576,$A137-1,COLUMN('1-DATA'!AQ136)),ROUND(INDEX('1-DATA'!$1:$1048576,IF(OR($B138="STD. DEVIATION",$C$1=1),$A138,$A138+1),COLUMN('1-DATA'!AQ136)),IF($B138="STD. DEVIATION",2,$F$1))))</f>
        <v/>
      </c>
      <c r="AS138" s="1" t="str">
        <f>IF(OR($B138="",AS$7=""),"",IF($B138="MEANS",INDEX('1-DATA'!$1:$1048576,$A137-1,COLUMN('1-DATA'!AR136)),ROUND(INDEX('1-DATA'!$1:$1048576,IF(OR($B138="STD. DEVIATION",$C$1=1),$A138,$A138+1),COLUMN('1-DATA'!AR136)),IF($B138="STD. DEVIATION",2,$F$1))))</f>
        <v/>
      </c>
      <c r="AT138" s="1" t="str">
        <f>IF(OR($B138="",AT$7=""),"",IF($B138="MEANS",INDEX('1-DATA'!$1:$1048576,$A137-1,COLUMN('1-DATA'!AS136)),ROUND(INDEX('1-DATA'!$1:$1048576,IF(OR($B138="STD. DEVIATION",$C$1=1),$A138,$A138+1),COLUMN('1-DATA'!AS136)),IF($B138="STD. DEVIATION",2,$F$1))))</f>
        <v/>
      </c>
      <c r="AU138" s="1" t="str">
        <f>IF(OR($B138="",AU$7=""),"",IF($B138="MEANS",INDEX('1-DATA'!$1:$1048576,$A137-1,COLUMN('1-DATA'!AT136)),ROUND(INDEX('1-DATA'!$1:$1048576,IF(OR($B138="STD. DEVIATION",$C$1=1),$A138,$A138+1),COLUMN('1-DATA'!AT136)),IF($B138="STD. DEVIATION",2,$F$1))))</f>
        <v/>
      </c>
      <c r="AV138" s="1" t="str">
        <f>IF(OR($B138="",AV$7=""),"",IF($B138="MEANS",INDEX('1-DATA'!$1:$1048576,$A137-1,COLUMN('1-DATA'!AU136)),ROUND(INDEX('1-DATA'!$1:$1048576,IF(OR($B138="STD. DEVIATION",$C$1=1),$A138,$A138+1),COLUMN('1-DATA'!AU136)),IF($B138="STD. DEVIATION",2,$F$1))))</f>
        <v/>
      </c>
      <c r="AW138" s="1" t="str">
        <f>IF(OR($B138="",AW$7=""),"",IF($B138="MEANS",INDEX('1-DATA'!$1:$1048576,$A137-1,COLUMN('1-DATA'!AV136)),ROUND(INDEX('1-DATA'!$1:$1048576,IF(OR($B138="STD. DEVIATION",$C$1=1),$A138,$A138+1),COLUMN('1-DATA'!AV136)),IF($B138="STD. DEVIATION",2,$F$1))))</f>
        <v/>
      </c>
      <c r="AX138" s="1" t="str">
        <f>IF(OR($B138="",AX$7=""),"",IF($B138="MEANS",INDEX('1-DATA'!$1:$1048576,$A137-1,COLUMN('1-DATA'!AW136)),ROUND(INDEX('1-DATA'!$1:$1048576,IF(OR($B138="STD. DEVIATION",$C$1=1),$A138,$A138+1),COLUMN('1-DATA'!AW136)),IF($B138="STD. DEVIATION",2,$F$1))))</f>
        <v/>
      </c>
      <c r="AY138" s="1" t="str">
        <f>IF(OR($B138="",AY$7=""),"",IF($B138="MEANS",INDEX('1-DATA'!$1:$1048576,$A137-1,COLUMN('1-DATA'!AX136)),ROUND(INDEX('1-DATA'!$1:$1048576,IF(OR($B138="STD. DEVIATION",$C$1=1),$A138,$A138+1),COLUMN('1-DATA'!AX136)),IF($B138="STD. DEVIATION",2,$F$1))))</f>
        <v/>
      </c>
      <c r="AZ138" s="1" t="str">
        <f>IF(OR($B138="",AZ$7=""),"",IF($B138="MEANS",INDEX('1-DATA'!$1:$1048576,$A137-1,COLUMN('1-DATA'!AY136)),ROUND(INDEX('1-DATA'!$1:$1048576,IF(OR($B138="STD. DEVIATION",$C$1=1),$A138,$A138+1),COLUMN('1-DATA'!AY136)),IF($B138="STD. DEVIATION",2,$F$1))))</f>
        <v/>
      </c>
    </row>
    <row r="139" spans="1:52" x14ac:dyDescent="0.25">
      <c r="A139" s="11">
        <f t="shared" si="2"/>
        <v>403</v>
      </c>
      <c r="B139" s="1" t="str">
        <f>IF(B138="STD. DEVIATION",INDEX('1-DATA'!$1:$1048576,$A138-1,1),IF(INDEX('1-DATA'!$1:$1048576,$A139,1)&lt;&gt;"",INDEX('1-DATA'!$1:$1048576,$A139,1),""))</f>
        <v/>
      </c>
      <c r="C139" s="1" t="str">
        <f>IF(OR($B139="",C$7=""),"",IF($B139="MEANS",INDEX('1-DATA'!$1:$1048576,$A138-1,COLUMN('1-DATA'!B137)),ROUND(INDEX('1-DATA'!$1:$1048576,IF(OR($B139="STD. DEVIATION",$C$1=1),$A139,$A139+1),COLUMN('1-DATA'!B137)),IF($B139="STD. DEVIATION",2,$F$1))))</f>
        <v/>
      </c>
      <c r="D139" s="1" t="str">
        <f>IF(OR($B139="",D$7=""),"",IF($B139="MEANS",INDEX('1-DATA'!$1:$1048576,$A138-1,COLUMN('1-DATA'!C137)),ROUND(INDEX('1-DATA'!$1:$1048576,IF(OR($B139="STD. DEVIATION",$C$1=1),$A139,$A139+1),COLUMN('1-DATA'!C137)),IF($B139="STD. DEVIATION",2,$F$1))))</f>
        <v/>
      </c>
      <c r="E139" s="1" t="str">
        <f>IF(OR($B139="",E$7=""),"",IF($B139="MEANS",INDEX('1-DATA'!$1:$1048576,$A138-1,COLUMN('1-DATA'!D137)),ROUND(INDEX('1-DATA'!$1:$1048576,IF(OR($B139="STD. DEVIATION",$C$1=1),$A139,$A139+1),COLUMN('1-DATA'!D137)),IF($B139="STD. DEVIATION",2,$F$1))))</f>
        <v/>
      </c>
      <c r="F139" s="1" t="str">
        <f>IF(OR($B139="",F$7=""),"",IF($B139="MEANS",INDEX('1-DATA'!$1:$1048576,$A138-1,COLUMN('1-DATA'!E137)),ROUND(INDEX('1-DATA'!$1:$1048576,IF(OR($B139="STD. DEVIATION",$C$1=1),$A139,$A139+1),COLUMN('1-DATA'!E137)),IF($B139="STD. DEVIATION",2,$F$1))))</f>
        <v/>
      </c>
      <c r="G139" s="1" t="str">
        <f>IF(OR($B139="",G$7=""),"",IF($B139="MEANS",INDEX('1-DATA'!$1:$1048576,$A138-1,COLUMN('1-DATA'!F137)),ROUND(INDEX('1-DATA'!$1:$1048576,IF(OR($B139="STD. DEVIATION",$C$1=1),$A139,$A139+1),COLUMN('1-DATA'!F137)),IF($B139="STD. DEVIATION",2,$F$1))))</f>
        <v/>
      </c>
      <c r="H139" s="1" t="str">
        <f>IF(OR($B139="",H$7=""),"",IF($B139="MEANS",INDEX('1-DATA'!$1:$1048576,$A138-1,COLUMN('1-DATA'!G137)),ROUND(INDEX('1-DATA'!$1:$1048576,IF(OR($B139="STD. DEVIATION",$C$1=1),$A139,$A139+1),COLUMN('1-DATA'!G137)),IF($B139="STD. DEVIATION",2,$F$1))))</f>
        <v/>
      </c>
      <c r="I139" s="1" t="str">
        <f>IF(OR($B139="",I$7=""),"",IF($B139="MEANS",INDEX('1-DATA'!$1:$1048576,$A138-1,COLUMN('1-DATA'!H137)),ROUND(INDEX('1-DATA'!$1:$1048576,IF(OR($B139="STD. DEVIATION",$C$1=1),$A139,$A139+1),COLUMN('1-DATA'!H137)),IF($B139="STD. DEVIATION",2,$F$1))))</f>
        <v/>
      </c>
      <c r="J139" s="1" t="str">
        <f>IF(OR($B139="",J$7=""),"",IF($B139="MEANS",INDEX('1-DATA'!$1:$1048576,$A138-1,COLUMN('1-DATA'!I137)),ROUND(INDEX('1-DATA'!$1:$1048576,IF(OR($B139="STD. DEVIATION",$C$1=1),$A139,$A139+1),COLUMN('1-DATA'!I137)),IF($B139="STD. DEVIATION",2,$F$1))))</f>
        <v/>
      </c>
      <c r="K139" s="1" t="str">
        <f>IF(OR($B139="",K$7=""),"",IF($B139="MEANS",INDEX('1-DATA'!$1:$1048576,$A138-1,COLUMN('1-DATA'!J137)),ROUND(INDEX('1-DATA'!$1:$1048576,IF(OR($B139="STD. DEVIATION",$C$1=1),$A139,$A139+1),COLUMN('1-DATA'!J137)),IF($B139="STD. DEVIATION",2,$F$1))))</f>
        <v/>
      </c>
      <c r="L139" s="1" t="str">
        <f>IF(OR($B139="",L$7=""),"",IF($B139="MEANS",INDEX('1-DATA'!$1:$1048576,$A138-1,COLUMN('1-DATA'!K137)),ROUND(INDEX('1-DATA'!$1:$1048576,IF(OR($B139="STD. DEVIATION",$C$1=1),$A139,$A139+1),COLUMN('1-DATA'!K137)),IF($B139="STD. DEVIATION",2,$F$1))))</f>
        <v/>
      </c>
      <c r="M139" s="1" t="str">
        <f>IF(OR($B139="",M$7=""),"",IF($B139="MEANS",INDEX('1-DATA'!$1:$1048576,$A138-1,COLUMN('1-DATA'!L137)),ROUND(INDEX('1-DATA'!$1:$1048576,IF(OR($B139="STD. DEVIATION",$C$1=1),$A139,$A139+1),COLUMN('1-DATA'!L137)),IF($B139="STD. DEVIATION",2,$F$1))))</f>
        <v/>
      </c>
      <c r="N139" s="1" t="str">
        <f>IF(OR($B139="",N$7=""),"",IF($B139="MEANS",INDEX('1-DATA'!$1:$1048576,$A138-1,COLUMN('1-DATA'!M137)),ROUND(INDEX('1-DATA'!$1:$1048576,IF(OR($B139="STD. DEVIATION",$C$1=1),$A139,$A139+1),COLUMN('1-DATA'!M137)),IF($B139="STD. DEVIATION",2,$F$1))))</f>
        <v/>
      </c>
      <c r="O139" s="1" t="str">
        <f>IF(OR($B139="",O$7=""),"",IF($B139="MEANS",INDEX('1-DATA'!$1:$1048576,$A138-1,COLUMN('1-DATA'!N137)),ROUND(INDEX('1-DATA'!$1:$1048576,IF(OR($B139="STD. DEVIATION",$C$1=1),$A139,$A139+1),COLUMN('1-DATA'!N137)),IF($B139="STD. DEVIATION",2,$F$1))))</f>
        <v/>
      </c>
      <c r="P139" s="1" t="str">
        <f>IF(OR($B139="",P$7=""),"",IF($B139="MEANS",INDEX('1-DATA'!$1:$1048576,$A138-1,COLUMN('1-DATA'!O137)),ROUND(INDEX('1-DATA'!$1:$1048576,IF(OR($B139="STD. DEVIATION",$C$1=1),$A139,$A139+1),COLUMN('1-DATA'!O137)),IF($B139="STD. DEVIATION",2,$F$1))))</f>
        <v/>
      </c>
      <c r="Q139" s="1" t="str">
        <f>IF(OR($B139="",Q$7=""),"",IF($B139="MEANS",INDEX('1-DATA'!$1:$1048576,$A138-1,COLUMN('1-DATA'!P137)),ROUND(INDEX('1-DATA'!$1:$1048576,IF(OR($B139="STD. DEVIATION",$C$1=1),$A139,$A139+1),COLUMN('1-DATA'!P137)),IF($B139="STD. DEVIATION",2,$F$1))))</f>
        <v/>
      </c>
      <c r="R139" s="1" t="str">
        <f>IF(OR($B139="",R$7=""),"",IF($B139="MEANS",INDEX('1-DATA'!$1:$1048576,$A138-1,COLUMN('1-DATA'!Q137)),ROUND(INDEX('1-DATA'!$1:$1048576,IF(OR($B139="STD. DEVIATION",$C$1=1),$A139,$A139+1),COLUMN('1-DATA'!Q137)),IF($B139="STD. DEVIATION",2,$F$1))))</f>
        <v/>
      </c>
      <c r="S139" s="1" t="str">
        <f>IF(OR($B139="",S$7=""),"",IF($B139="MEANS",INDEX('1-DATA'!$1:$1048576,$A138-1,COLUMN('1-DATA'!R137)),ROUND(INDEX('1-DATA'!$1:$1048576,IF(OR($B139="STD. DEVIATION",$C$1=1),$A139,$A139+1),COLUMN('1-DATA'!R137)),IF($B139="STD. DEVIATION",2,$F$1))))</f>
        <v/>
      </c>
      <c r="T139" s="1" t="str">
        <f>IF(OR($B139="",T$7=""),"",IF($B139="MEANS",INDEX('1-DATA'!$1:$1048576,$A138-1,COLUMN('1-DATA'!S137)),ROUND(INDEX('1-DATA'!$1:$1048576,IF(OR($B139="STD. DEVIATION",$C$1=1),$A139,$A139+1),COLUMN('1-DATA'!S137)),IF($B139="STD. DEVIATION",2,$F$1))))</f>
        <v/>
      </c>
      <c r="U139" s="1" t="str">
        <f>IF(OR($B139="",U$7=""),"",IF($B139="MEANS",INDEX('1-DATA'!$1:$1048576,$A138-1,COLUMN('1-DATA'!T137)),ROUND(INDEX('1-DATA'!$1:$1048576,IF(OR($B139="STD. DEVIATION",$C$1=1),$A139,$A139+1),COLUMN('1-DATA'!T137)),IF($B139="STD. DEVIATION",2,$F$1))))</f>
        <v/>
      </c>
      <c r="V139" s="1" t="str">
        <f>IF(OR($B139="",V$7=""),"",IF($B139="MEANS",INDEX('1-DATA'!$1:$1048576,$A138-1,COLUMN('1-DATA'!U137)),ROUND(INDEX('1-DATA'!$1:$1048576,IF(OR($B139="STD. DEVIATION",$C$1=1),$A139,$A139+1),COLUMN('1-DATA'!U137)),IF($B139="STD. DEVIATION",2,$F$1))))</f>
        <v/>
      </c>
      <c r="W139" s="1" t="str">
        <f>IF(OR($B139="",W$7=""),"",IF($B139="MEANS",INDEX('1-DATA'!$1:$1048576,$A138-1,COLUMN('1-DATA'!V137)),ROUND(INDEX('1-DATA'!$1:$1048576,IF(OR($B139="STD. DEVIATION",$C$1=1),$A139,$A139+1),COLUMN('1-DATA'!V137)),IF($B139="STD. DEVIATION",2,$F$1))))</f>
        <v/>
      </c>
      <c r="X139" s="1" t="str">
        <f>IF(OR($B139="",X$7=""),"",IF($B139="MEANS",INDEX('1-DATA'!$1:$1048576,$A138-1,COLUMN('1-DATA'!W137)),ROUND(INDEX('1-DATA'!$1:$1048576,IF(OR($B139="STD. DEVIATION",$C$1=1),$A139,$A139+1),COLUMN('1-DATA'!W137)),IF($B139="STD. DEVIATION",2,$F$1))))</f>
        <v/>
      </c>
      <c r="Y139" s="1" t="str">
        <f>IF(OR($B139="",Y$7=""),"",IF($B139="MEANS",INDEX('1-DATA'!$1:$1048576,$A138-1,COLUMN('1-DATA'!X137)),ROUND(INDEX('1-DATA'!$1:$1048576,IF(OR($B139="STD. DEVIATION",$C$1=1),$A139,$A139+1),COLUMN('1-DATA'!X137)),IF($B139="STD. DEVIATION",2,$F$1))))</f>
        <v/>
      </c>
      <c r="Z139" s="1" t="str">
        <f>IF(OR($B139="",Z$7=""),"",IF($B139="MEANS",INDEX('1-DATA'!$1:$1048576,$A138-1,COLUMN('1-DATA'!Y137)),ROUND(INDEX('1-DATA'!$1:$1048576,IF(OR($B139="STD. DEVIATION",$C$1=1),$A139,$A139+1),COLUMN('1-DATA'!Y137)),IF($B139="STD. DEVIATION",2,$F$1))))</f>
        <v/>
      </c>
      <c r="AA139" s="1" t="str">
        <f>IF(OR($B139="",AA$7=""),"",IF($B139="MEANS",INDEX('1-DATA'!$1:$1048576,$A138-1,COLUMN('1-DATA'!Z137)),ROUND(INDEX('1-DATA'!$1:$1048576,IF(OR($B139="STD. DEVIATION",$C$1=1),$A139,$A139+1),COLUMN('1-DATA'!Z137)),IF($B139="STD. DEVIATION",2,$F$1))))</f>
        <v/>
      </c>
      <c r="AB139" s="1" t="str">
        <f>IF(OR($B139="",AB$7=""),"",IF($B139="MEANS",INDEX('1-DATA'!$1:$1048576,$A138-1,COLUMN('1-DATA'!AA137)),ROUND(INDEX('1-DATA'!$1:$1048576,IF(OR($B139="STD. DEVIATION",$C$1=1),$A139,$A139+1),COLUMN('1-DATA'!AA137)),IF($B139="STD. DEVIATION",2,$F$1))))</f>
        <v/>
      </c>
      <c r="AC139" s="1" t="str">
        <f>IF(OR($B139="",AC$7=""),"",IF($B139="MEANS",INDEX('1-DATA'!$1:$1048576,$A138-1,COLUMN('1-DATA'!AB137)),ROUND(INDEX('1-DATA'!$1:$1048576,IF(OR($B139="STD. DEVIATION",$C$1=1),$A139,$A139+1),COLUMN('1-DATA'!AB137)),IF($B139="STD. DEVIATION",2,$F$1))))</f>
        <v/>
      </c>
      <c r="AD139" s="1" t="str">
        <f>IF(OR($B139="",AD$7=""),"",IF($B139="MEANS",INDEX('1-DATA'!$1:$1048576,$A138-1,COLUMN('1-DATA'!AC137)),ROUND(INDEX('1-DATA'!$1:$1048576,IF(OR($B139="STD. DEVIATION",$C$1=1),$A139,$A139+1),COLUMN('1-DATA'!AC137)),IF($B139="STD. DEVIATION",2,$F$1))))</f>
        <v/>
      </c>
      <c r="AE139" s="1" t="str">
        <f>IF(OR($B139="",AE$7=""),"",IF($B139="MEANS",INDEX('1-DATA'!$1:$1048576,$A138-1,COLUMN('1-DATA'!AD137)),ROUND(INDEX('1-DATA'!$1:$1048576,IF(OR($B139="STD. DEVIATION",$C$1=1),$A139,$A139+1),COLUMN('1-DATA'!AD137)),IF($B139="STD. DEVIATION",2,$F$1))))</f>
        <v/>
      </c>
      <c r="AF139" s="1" t="str">
        <f>IF(OR($B139="",AF$7=""),"",IF($B139="MEANS",INDEX('1-DATA'!$1:$1048576,$A138-1,COLUMN('1-DATA'!AE137)),ROUND(INDEX('1-DATA'!$1:$1048576,IF(OR($B139="STD. DEVIATION",$C$1=1),$A139,$A139+1),COLUMN('1-DATA'!AE137)),IF($B139="STD. DEVIATION",2,$F$1))))</f>
        <v/>
      </c>
      <c r="AG139" s="1" t="str">
        <f>IF(OR($B139="",AG$7=""),"",IF($B139="MEANS",INDEX('1-DATA'!$1:$1048576,$A138-1,COLUMN('1-DATA'!AF137)),ROUND(INDEX('1-DATA'!$1:$1048576,IF(OR($B139="STD. DEVIATION",$C$1=1),$A139,$A139+1),COLUMN('1-DATA'!AF137)),IF($B139="STD. DEVIATION",2,$F$1))))</f>
        <v/>
      </c>
      <c r="AH139" s="1" t="str">
        <f>IF(OR($B139="",AH$7=""),"",IF($B139="MEANS",INDEX('1-DATA'!$1:$1048576,$A138-1,COLUMN('1-DATA'!AG137)),ROUND(INDEX('1-DATA'!$1:$1048576,IF(OR($B139="STD. DEVIATION",$C$1=1),$A139,$A139+1),COLUMN('1-DATA'!AG137)),IF($B139="STD. DEVIATION",2,$F$1))))</f>
        <v/>
      </c>
      <c r="AI139" s="1" t="str">
        <f>IF(OR($B139="",AI$7=""),"",IF($B139="MEANS",INDEX('1-DATA'!$1:$1048576,$A138-1,COLUMN('1-DATA'!AH137)),ROUND(INDEX('1-DATA'!$1:$1048576,IF(OR($B139="STD. DEVIATION",$C$1=1),$A139,$A139+1),COLUMN('1-DATA'!AH137)),IF($B139="STD. DEVIATION",2,$F$1))))</f>
        <v/>
      </c>
      <c r="AJ139" s="1" t="str">
        <f>IF(OR($B139="",AJ$7=""),"",IF($B139="MEANS",INDEX('1-DATA'!$1:$1048576,$A138-1,COLUMN('1-DATA'!AI137)),ROUND(INDEX('1-DATA'!$1:$1048576,IF(OR($B139="STD. DEVIATION",$C$1=1),$A139,$A139+1),COLUMN('1-DATA'!AI137)),IF($B139="STD. DEVIATION",2,$F$1))))</f>
        <v/>
      </c>
      <c r="AK139" s="1" t="str">
        <f>IF(OR($B139="",AK$7=""),"",IF($B139="MEANS",INDEX('1-DATA'!$1:$1048576,$A138-1,COLUMN('1-DATA'!AJ137)),ROUND(INDEX('1-DATA'!$1:$1048576,IF(OR($B139="STD. DEVIATION",$C$1=1),$A139,$A139+1),COLUMN('1-DATA'!AJ137)),IF($B139="STD. DEVIATION",2,$F$1))))</f>
        <v/>
      </c>
      <c r="AL139" s="1" t="str">
        <f>IF(OR($B139="",AL$7=""),"",IF($B139="MEANS",INDEX('1-DATA'!$1:$1048576,$A138-1,COLUMN('1-DATA'!AK137)),ROUND(INDEX('1-DATA'!$1:$1048576,IF(OR($B139="STD. DEVIATION",$C$1=1),$A139,$A139+1),COLUMN('1-DATA'!AK137)),IF($B139="STD. DEVIATION",2,$F$1))))</f>
        <v/>
      </c>
      <c r="AM139" s="1" t="str">
        <f>IF(OR($B139="",AM$7=""),"",IF($B139="MEANS",INDEX('1-DATA'!$1:$1048576,$A138-1,COLUMN('1-DATA'!AL137)),ROUND(INDEX('1-DATA'!$1:$1048576,IF(OR($B139="STD. DEVIATION",$C$1=1),$A139,$A139+1),COLUMN('1-DATA'!AL137)),IF($B139="STD. DEVIATION",2,$F$1))))</f>
        <v/>
      </c>
      <c r="AN139" s="1" t="str">
        <f>IF(OR($B139="",AN$7=""),"",IF($B139="MEANS",INDEX('1-DATA'!$1:$1048576,$A138-1,COLUMN('1-DATA'!AM137)),ROUND(INDEX('1-DATA'!$1:$1048576,IF(OR($B139="STD. DEVIATION",$C$1=1),$A139,$A139+1),COLUMN('1-DATA'!AM137)),IF($B139="STD. DEVIATION",2,$F$1))))</f>
        <v/>
      </c>
      <c r="AO139" s="1" t="str">
        <f>IF(OR($B139="",AO$7=""),"",IF($B139="MEANS",INDEX('1-DATA'!$1:$1048576,$A138-1,COLUMN('1-DATA'!AN137)),ROUND(INDEX('1-DATA'!$1:$1048576,IF(OR($B139="STD. DEVIATION",$C$1=1),$A139,$A139+1),COLUMN('1-DATA'!AN137)),IF($B139="STD. DEVIATION",2,$F$1))))</f>
        <v/>
      </c>
      <c r="AP139" s="1" t="str">
        <f>IF(OR($B139="",AP$7=""),"",IF($B139="MEANS",INDEX('1-DATA'!$1:$1048576,$A138-1,COLUMN('1-DATA'!AO137)),ROUND(INDEX('1-DATA'!$1:$1048576,IF(OR($B139="STD. DEVIATION",$C$1=1),$A139,$A139+1),COLUMN('1-DATA'!AO137)),IF($B139="STD. DEVIATION",2,$F$1))))</f>
        <v/>
      </c>
      <c r="AQ139" s="1" t="str">
        <f>IF(OR($B139="",AQ$7=""),"",IF($B139="MEANS",INDEX('1-DATA'!$1:$1048576,$A138-1,COLUMN('1-DATA'!AP137)),ROUND(INDEX('1-DATA'!$1:$1048576,IF(OR($B139="STD. DEVIATION",$C$1=1),$A139,$A139+1),COLUMN('1-DATA'!AP137)),IF($B139="STD. DEVIATION",2,$F$1))))</f>
        <v/>
      </c>
      <c r="AR139" s="1" t="str">
        <f>IF(OR($B139="",AR$7=""),"",IF($B139="MEANS",INDEX('1-DATA'!$1:$1048576,$A138-1,COLUMN('1-DATA'!AQ137)),ROUND(INDEX('1-DATA'!$1:$1048576,IF(OR($B139="STD. DEVIATION",$C$1=1),$A139,$A139+1),COLUMN('1-DATA'!AQ137)),IF($B139="STD. DEVIATION",2,$F$1))))</f>
        <v/>
      </c>
      <c r="AS139" s="1" t="str">
        <f>IF(OR($B139="",AS$7=""),"",IF($B139="MEANS",INDEX('1-DATA'!$1:$1048576,$A138-1,COLUMN('1-DATA'!AR137)),ROUND(INDEX('1-DATA'!$1:$1048576,IF(OR($B139="STD. DEVIATION",$C$1=1),$A139,$A139+1),COLUMN('1-DATA'!AR137)),IF($B139="STD. DEVIATION",2,$F$1))))</f>
        <v/>
      </c>
      <c r="AT139" s="1" t="str">
        <f>IF(OR($B139="",AT$7=""),"",IF($B139="MEANS",INDEX('1-DATA'!$1:$1048576,$A138-1,COLUMN('1-DATA'!AS137)),ROUND(INDEX('1-DATA'!$1:$1048576,IF(OR($B139="STD. DEVIATION",$C$1=1),$A139,$A139+1),COLUMN('1-DATA'!AS137)),IF($B139="STD. DEVIATION",2,$F$1))))</f>
        <v/>
      </c>
      <c r="AU139" s="1" t="str">
        <f>IF(OR($B139="",AU$7=""),"",IF($B139="MEANS",INDEX('1-DATA'!$1:$1048576,$A138-1,COLUMN('1-DATA'!AT137)),ROUND(INDEX('1-DATA'!$1:$1048576,IF(OR($B139="STD. DEVIATION",$C$1=1),$A139,$A139+1),COLUMN('1-DATA'!AT137)),IF($B139="STD. DEVIATION",2,$F$1))))</f>
        <v/>
      </c>
      <c r="AV139" s="1" t="str">
        <f>IF(OR($B139="",AV$7=""),"",IF($B139="MEANS",INDEX('1-DATA'!$1:$1048576,$A138-1,COLUMN('1-DATA'!AU137)),ROUND(INDEX('1-DATA'!$1:$1048576,IF(OR($B139="STD. DEVIATION",$C$1=1),$A139,$A139+1),COLUMN('1-DATA'!AU137)),IF($B139="STD. DEVIATION",2,$F$1))))</f>
        <v/>
      </c>
      <c r="AW139" s="1" t="str">
        <f>IF(OR($B139="",AW$7=""),"",IF($B139="MEANS",INDEX('1-DATA'!$1:$1048576,$A138-1,COLUMN('1-DATA'!AV137)),ROUND(INDEX('1-DATA'!$1:$1048576,IF(OR($B139="STD. DEVIATION",$C$1=1),$A139,$A139+1),COLUMN('1-DATA'!AV137)),IF($B139="STD. DEVIATION",2,$F$1))))</f>
        <v/>
      </c>
      <c r="AX139" s="1" t="str">
        <f>IF(OR($B139="",AX$7=""),"",IF($B139="MEANS",INDEX('1-DATA'!$1:$1048576,$A138-1,COLUMN('1-DATA'!AW137)),ROUND(INDEX('1-DATA'!$1:$1048576,IF(OR($B139="STD. DEVIATION",$C$1=1),$A139,$A139+1),COLUMN('1-DATA'!AW137)),IF($B139="STD. DEVIATION",2,$F$1))))</f>
        <v/>
      </c>
      <c r="AY139" s="1" t="str">
        <f>IF(OR($B139="",AY$7=""),"",IF($B139="MEANS",INDEX('1-DATA'!$1:$1048576,$A138-1,COLUMN('1-DATA'!AX137)),ROUND(INDEX('1-DATA'!$1:$1048576,IF(OR($B139="STD. DEVIATION",$C$1=1),$A139,$A139+1),COLUMN('1-DATA'!AX137)),IF($B139="STD. DEVIATION",2,$F$1))))</f>
        <v/>
      </c>
      <c r="AZ139" s="1" t="str">
        <f>IF(OR($B139="",AZ$7=""),"",IF($B139="MEANS",INDEX('1-DATA'!$1:$1048576,$A138-1,COLUMN('1-DATA'!AY137)),ROUND(INDEX('1-DATA'!$1:$1048576,IF(OR($B139="STD. DEVIATION",$C$1=1),$A139,$A139+1),COLUMN('1-DATA'!AY137)),IF($B139="STD. DEVIATION",2,$F$1))))</f>
        <v/>
      </c>
    </row>
    <row r="140" spans="1:52" x14ac:dyDescent="0.25">
      <c r="A140" s="11">
        <f t="shared" si="2"/>
        <v>406</v>
      </c>
      <c r="B140" s="1" t="str">
        <f>IF(B139="STD. DEVIATION",INDEX('1-DATA'!$1:$1048576,$A139-1,1),IF(INDEX('1-DATA'!$1:$1048576,$A140,1)&lt;&gt;"",INDEX('1-DATA'!$1:$1048576,$A140,1),""))</f>
        <v/>
      </c>
      <c r="C140" s="1" t="str">
        <f>IF(OR($B140="",C$7=""),"",IF($B140="MEANS",INDEX('1-DATA'!$1:$1048576,$A139-1,COLUMN('1-DATA'!B138)),ROUND(INDEX('1-DATA'!$1:$1048576,IF(OR($B140="STD. DEVIATION",$C$1=1),$A140,$A140+1),COLUMN('1-DATA'!B138)),IF($B140="STD. DEVIATION",2,$F$1))))</f>
        <v/>
      </c>
      <c r="D140" s="1" t="str">
        <f>IF(OR($B140="",D$7=""),"",IF($B140="MEANS",INDEX('1-DATA'!$1:$1048576,$A139-1,COLUMN('1-DATA'!C138)),ROUND(INDEX('1-DATA'!$1:$1048576,IF(OR($B140="STD. DEVIATION",$C$1=1),$A140,$A140+1),COLUMN('1-DATA'!C138)),IF($B140="STD. DEVIATION",2,$F$1))))</f>
        <v/>
      </c>
      <c r="E140" s="1" t="str">
        <f>IF(OR($B140="",E$7=""),"",IF($B140="MEANS",INDEX('1-DATA'!$1:$1048576,$A139-1,COLUMN('1-DATA'!D138)),ROUND(INDEX('1-DATA'!$1:$1048576,IF(OR($B140="STD. DEVIATION",$C$1=1),$A140,$A140+1),COLUMN('1-DATA'!D138)),IF($B140="STD. DEVIATION",2,$F$1))))</f>
        <v/>
      </c>
      <c r="F140" s="1" t="str">
        <f>IF(OR($B140="",F$7=""),"",IF($B140="MEANS",INDEX('1-DATA'!$1:$1048576,$A139-1,COLUMN('1-DATA'!E138)),ROUND(INDEX('1-DATA'!$1:$1048576,IF(OR($B140="STD. DEVIATION",$C$1=1),$A140,$A140+1),COLUMN('1-DATA'!E138)),IF($B140="STD. DEVIATION",2,$F$1))))</f>
        <v/>
      </c>
      <c r="G140" s="1" t="str">
        <f>IF(OR($B140="",G$7=""),"",IF($B140="MEANS",INDEX('1-DATA'!$1:$1048576,$A139-1,COLUMN('1-DATA'!F138)),ROUND(INDEX('1-DATA'!$1:$1048576,IF(OR($B140="STD. DEVIATION",$C$1=1),$A140,$A140+1),COLUMN('1-DATA'!F138)),IF($B140="STD. DEVIATION",2,$F$1))))</f>
        <v/>
      </c>
      <c r="H140" s="1" t="str">
        <f>IF(OR($B140="",H$7=""),"",IF($B140="MEANS",INDEX('1-DATA'!$1:$1048576,$A139-1,COLUMN('1-DATA'!G138)),ROUND(INDEX('1-DATA'!$1:$1048576,IF(OR($B140="STD. DEVIATION",$C$1=1),$A140,$A140+1),COLUMN('1-DATA'!G138)),IF($B140="STD. DEVIATION",2,$F$1))))</f>
        <v/>
      </c>
      <c r="I140" s="1" t="str">
        <f>IF(OR($B140="",I$7=""),"",IF($B140="MEANS",INDEX('1-DATA'!$1:$1048576,$A139-1,COLUMN('1-DATA'!H138)),ROUND(INDEX('1-DATA'!$1:$1048576,IF(OR($B140="STD. DEVIATION",$C$1=1),$A140,$A140+1),COLUMN('1-DATA'!H138)),IF($B140="STD. DEVIATION",2,$F$1))))</f>
        <v/>
      </c>
      <c r="J140" s="1" t="str">
        <f>IF(OR($B140="",J$7=""),"",IF($B140="MEANS",INDEX('1-DATA'!$1:$1048576,$A139-1,COLUMN('1-DATA'!I138)),ROUND(INDEX('1-DATA'!$1:$1048576,IF(OR($B140="STD. DEVIATION",$C$1=1),$A140,$A140+1),COLUMN('1-DATA'!I138)),IF($B140="STD. DEVIATION",2,$F$1))))</f>
        <v/>
      </c>
      <c r="K140" s="1" t="str">
        <f>IF(OR($B140="",K$7=""),"",IF($B140="MEANS",INDEX('1-DATA'!$1:$1048576,$A139-1,COLUMN('1-DATA'!J138)),ROUND(INDEX('1-DATA'!$1:$1048576,IF(OR($B140="STD. DEVIATION",$C$1=1),$A140,$A140+1),COLUMN('1-DATA'!J138)),IF($B140="STD. DEVIATION",2,$F$1))))</f>
        <v/>
      </c>
      <c r="L140" s="1" t="str">
        <f>IF(OR($B140="",L$7=""),"",IF($B140="MEANS",INDEX('1-DATA'!$1:$1048576,$A139-1,COLUMN('1-DATA'!K138)),ROUND(INDEX('1-DATA'!$1:$1048576,IF(OR($B140="STD. DEVIATION",$C$1=1),$A140,$A140+1),COLUMN('1-DATA'!K138)),IF($B140="STD. DEVIATION",2,$F$1))))</f>
        <v/>
      </c>
      <c r="M140" s="1" t="str">
        <f>IF(OR($B140="",M$7=""),"",IF($B140="MEANS",INDEX('1-DATA'!$1:$1048576,$A139-1,COLUMN('1-DATA'!L138)),ROUND(INDEX('1-DATA'!$1:$1048576,IF(OR($B140="STD. DEVIATION",$C$1=1),$A140,$A140+1),COLUMN('1-DATA'!L138)),IF($B140="STD. DEVIATION",2,$F$1))))</f>
        <v/>
      </c>
      <c r="N140" s="1" t="str">
        <f>IF(OR($B140="",N$7=""),"",IF($B140="MEANS",INDEX('1-DATA'!$1:$1048576,$A139-1,COLUMN('1-DATA'!M138)),ROUND(INDEX('1-DATA'!$1:$1048576,IF(OR($B140="STD. DEVIATION",$C$1=1),$A140,$A140+1),COLUMN('1-DATA'!M138)),IF($B140="STD. DEVIATION",2,$F$1))))</f>
        <v/>
      </c>
      <c r="O140" s="1" t="str">
        <f>IF(OR($B140="",O$7=""),"",IF($B140="MEANS",INDEX('1-DATA'!$1:$1048576,$A139-1,COLUMN('1-DATA'!N138)),ROUND(INDEX('1-DATA'!$1:$1048576,IF(OR($B140="STD. DEVIATION",$C$1=1),$A140,$A140+1),COLUMN('1-DATA'!N138)),IF($B140="STD. DEVIATION",2,$F$1))))</f>
        <v/>
      </c>
      <c r="P140" s="1" t="str">
        <f>IF(OR($B140="",P$7=""),"",IF($B140="MEANS",INDEX('1-DATA'!$1:$1048576,$A139-1,COLUMN('1-DATA'!O138)),ROUND(INDEX('1-DATA'!$1:$1048576,IF(OR($B140="STD. DEVIATION",$C$1=1),$A140,$A140+1),COLUMN('1-DATA'!O138)),IF($B140="STD. DEVIATION",2,$F$1))))</f>
        <v/>
      </c>
      <c r="Q140" s="1" t="str">
        <f>IF(OR($B140="",Q$7=""),"",IF($B140="MEANS",INDEX('1-DATA'!$1:$1048576,$A139-1,COLUMN('1-DATA'!P138)),ROUND(INDEX('1-DATA'!$1:$1048576,IF(OR($B140="STD. DEVIATION",$C$1=1),$A140,$A140+1),COLUMN('1-DATA'!P138)),IF($B140="STD. DEVIATION",2,$F$1))))</f>
        <v/>
      </c>
      <c r="R140" s="1" t="str">
        <f>IF(OR($B140="",R$7=""),"",IF($B140="MEANS",INDEX('1-DATA'!$1:$1048576,$A139-1,COLUMN('1-DATA'!Q138)),ROUND(INDEX('1-DATA'!$1:$1048576,IF(OR($B140="STD. DEVIATION",$C$1=1),$A140,$A140+1),COLUMN('1-DATA'!Q138)),IF($B140="STD. DEVIATION",2,$F$1))))</f>
        <v/>
      </c>
      <c r="S140" s="1" t="str">
        <f>IF(OR($B140="",S$7=""),"",IF($B140="MEANS",INDEX('1-DATA'!$1:$1048576,$A139-1,COLUMN('1-DATA'!R138)),ROUND(INDEX('1-DATA'!$1:$1048576,IF(OR($B140="STD. DEVIATION",$C$1=1),$A140,$A140+1),COLUMN('1-DATA'!R138)),IF($B140="STD. DEVIATION",2,$F$1))))</f>
        <v/>
      </c>
      <c r="T140" s="1" t="str">
        <f>IF(OR($B140="",T$7=""),"",IF($B140="MEANS",INDEX('1-DATA'!$1:$1048576,$A139-1,COLUMN('1-DATA'!S138)),ROUND(INDEX('1-DATA'!$1:$1048576,IF(OR($B140="STD. DEVIATION",$C$1=1),$A140,$A140+1),COLUMN('1-DATA'!S138)),IF($B140="STD. DEVIATION",2,$F$1))))</f>
        <v/>
      </c>
      <c r="U140" s="1" t="str">
        <f>IF(OR($B140="",U$7=""),"",IF($B140="MEANS",INDEX('1-DATA'!$1:$1048576,$A139-1,COLUMN('1-DATA'!T138)),ROUND(INDEX('1-DATA'!$1:$1048576,IF(OR($B140="STD. DEVIATION",$C$1=1),$A140,$A140+1),COLUMN('1-DATA'!T138)),IF($B140="STD. DEVIATION",2,$F$1))))</f>
        <v/>
      </c>
      <c r="V140" s="1" t="str">
        <f>IF(OR($B140="",V$7=""),"",IF($B140="MEANS",INDEX('1-DATA'!$1:$1048576,$A139-1,COLUMN('1-DATA'!U138)),ROUND(INDEX('1-DATA'!$1:$1048576,IF(OR($B140="STD. DEVIATION",$C$1=1),$A140,$A140+1),COLUMN('1-DATA'!U138)),IF($B140="STD. DEVIATION",2,$F$1))))</f>
        <v/>
      </c>
      <c r="W140" s="1" t="str">
        <f>IF(OR($B140="",W$7=""),"",IF($B140="MEANS",INDEX('1-DATA'!$1:$1048576,$A139-1,COLUMN('1-DATA'!V138)),ROUND(INDEX('1-DATA'!$1:$1048576,IF(OR($B140="STD. DEVIATION",$C$1=1),$A140,$A140+1),COLUMN('1-DATA'!V138)),IF($B140="STD. DEVIATION",2,$F$1))))</f>
        <v/>
      </c>
      <c r="X140" s="1" t="str">
        <f>IF(OR($B140="",X$7=""),"",IF($B140="MEANS",INDEX('1-DATA'!$1:$1048576,$A139-1,COLUMN('1-DATA'!W138)),ROUND(INDEX('1-DATA'!$1:$1048576,IF(OR($B140="STD. DEVIATION",$C$1=1),$A140,$A140+1),COLUMN('1-DATA'!W138)),IF($B140="STD. DEVIATION",2,$F$1))))</f>
        <v/>
      </c>
      <c r="Y140" s="1" t="str">
        <f>IF(OR($B140="",Y$7=""),"",IF($B140="MEANS",INDEX('1-DATA'!$1:$1048576,$A139-1,COLUMN('1-DATA'!X138)),ROUND(INDEX('1-DATA'!$1:$1048576,IF(OR($B140="STD. DEVIATION",$C$1=1),$A140,$A140+1),COLUMN('1-DATA'!X138)),IF($B140="STD. DEVIATION",2,$F$1))))</f>
        <v/>
      </c>
      <c r="Z140" s="1" t="str">
        <f>IF(OR($B140="",Z$7=""),"",IF($B140="MEANS",INDEX('1-DATA'!$1:$1048576,$A139-1,COLUMN('1-DATA'!Y138)),ROUND(INDEX('1-DATA'!$1:$1048576,IF(OR($B140="STD. DEVIATION",$C$1=1),$A140,$A140+1),COLUMN('1-DATA'!Y138)),IF($B140="STD. DEVIATION",2,$F$1))))</f>
        <v/>
      </c>
      <c r="AA140" s="1" t="str">
        <f>IF(OR($B140="",AA$7=""),"",IF($B140="MEANS",INDEX('1-DATA'!$1:$1048576,$A139-1,COLUMN('1-DATA'!Z138)),ROUND(INDEX('1-DATA'!$1:$1048576,IF(OR($B140="STD. DEVIATION",$C$1=1),$A140,$A140+1),COLUMN('1-DATA'!Z138)),IF($B140="STD. DEVIATION",2,$F$1))))</f>
        <v/>
      </c>
      <c r="AB140" s="1" t="str">
        <f>IF(OR($B140="",AB$7=""),"",IF($B140="MEANS",INDEX('1-DATA'!$1:$1048576,$A139-1,COLUMN('1-DATA'!AA138)),ROUND(INDEX('1-DATA'!$1:$1048576,IF(OR($B140="STD. DEVIATION",$C$1=1),$A140,$A140+1),COLUMN('1-DATA'!AA138)),IF($B140="STD. DEVIATION",2,$F$1))))</f>
        <v/>
      </c>
      <c r="AC140" s="1" t="str">
        <f>IF(OR($B140="",AC$7=""),"",IF($B140="MEANS",INDEX('1-DATA'!$1:$1048576,$A139-1,COLUMN('1-DATA'!AB138)),ROUND(INDEX('1-DATA'!$1:$1048576,IF(OR($B140="STD. DEVIATION",$C$1=1),$A140,$A140+1),COLUMN('1-DATA'!AB138)),IF($B140="STD. DEVIATION",2,$F$1))))</f>
        <v/>
      </c>
      <c r="AD140" s="1" t="str">
        <f>IF(OR($B140="",AD$7=""),"",IF($B140="MEANS",INDEX('1-DATA'!$1:$1048576,$A139-1,COLUMN('1-DATA'!AC138)),ROUND(INDEX('1-DATA'!$1:$1048576,IF(OR($B140="STD. DEVIATION",$C$1=1),$A140,$A140+1),COLUMN('1-DATA'!AC138)),IF($B140="STD. DEVIATION",2,$F$1))))</f>
        <v/>
      </c>
      <c r="AE140" s="1" t="str">
        <f>IF(OR($B140="",AE$7=""),"",IF($B140="MEANS",INDEX('1-DATA'!$1:$1048576,$A139-1,COLUMN('1-DATA'!AD138)),ROUND(INDEX('1-DATA'!$1:$1048576,IF(OR($B140="STD. DEVIATION",$C$1=1),$A140,$A140+1),COLUMN('1-DATA'!AD138)),IF($B140="STD. DEVIATION",2,$F$1))))</f>
        <v/>
      </c>
      <c r="AF140" s="1" t="str">
        <f>IF(OR($B140="",AF$7=""),"",IF($B140="MEANS",INDEX('1-DATA'!$1:$1048576,$A139-1,COLUMN('1-DATA'!AE138)),ROUND(INDEX('1-DATA'!$1:$1048576,IF(OR($B140="STD. DEVIATION",$C$1=1),$A140,$A140+1),COLUMN('1-DATA'!AE138)),IF($B140="STD. DEVIATION",2,$F$1))))</f>
        <v/>
      </c>
      <c r="AG140" s="1" t="str">
        <f>IF(OR($B140="",AG$7=""),"",IF($B140="MEANS",INDEX('1-DATA'!$1:$1048576,$A139-1,COLUMN('1-DATA'!AF138)),ROUND(INDEX('1-DATA'!$1:$1048576,IF(OR($B140="STD. DEVIATION",$C$1=1),$A140,$A140+1),COLUMN('1-DATA'!AF138)),IF($B140="STD. DEVIATION",2,$F$1))))</f>
        <v/>
      </c>
      <c r="AH140" s="1" t="str">
        <f>IF(OR($B140="",AH$7=""),"",IF($B140="MEANS",INDEX('1-DATA'!$1:$1048576,$A139-1,COLUMN('1-DATA'!AG138)),ROUND(INDEX('1-DATA'!$1:$1048576,IF(OR($B140="STD. DEVIATION",$C$1=1),$A140,$A140+1),COLUMN('1-DATA'!AG138)),IF($B140="STD. DEVIATION",2,$F$1))))</f>
        <v/>
      </c>
      <c r="AI140" s="1" t="str">
        <f>IF(OR($B140="",AI$7=""),"",IF($B140="MEANS",INDEX('1-DATA'!$1:$1048576,$A139-1,COLUMN('1-DATA'!AH138)),ROUND(INDEX('1-DATA'!$1:$1048576,IF(OR($B140="STD. DEVIATION",$C$1=1),$A140,$A140+1),COLUMN('1-DATA'!AH138)),IF($B140="STD. DEVIATION",2,$F$1))))</f>
        <v/>
      </c>
      <c r="AJ140" s="1" t="str">
        <f>IF(OR($B140="",AJ$7=""),"",IF($B140="MEANS",INDEX('1-DATA'!$1:$1048576,$A139-1,COLUMN('1-DATA'!AI138)),ROUND(INDEX('1-DATA'!$1:$1048576,IF(OR($B140="STD. DEVIATION",$C$1=1),$A140,$A140+1),COLUMN('1-DATA'!AI138)),IF($B140="STD. DEVIATION",2,$F$1))))</f>
        <v/>
      </c>
      <c r="AK140" s="1" t="str">
        <f>IF(OR($B140="",AK$7=""),"",IF($B140="MEANS",INDEX('1-DATA'!$1:$1048576,$A139-1,COLUMN('1-DATA'!AJ138)),ROUND(INDEX('1-DATA'!$1:$1048576,IF(OR($B140="STD. DEVIATION",$C$1=1),$A140,$A140+1),COLUMN('1-DATA'!AJ138)),IF($B140="STD. DEVIATION",2,$F$1))))</f>
        <v/>
      </c>
      <c r="AL140" s="1" t="str">
        <f>IF(OR($B140="",AL$7=""),"",IF($B140="MEANS",INDEX('1-DATA'!$1:$1048576,$A139-1,COLUMN('1-DATA'!AK138)),ROUND(INDEX('1-DATA'!$1:$1048576,IF(OR($B140="STD. DEVIATION",$C$1=1),$A140,$A140+1),COLUMN('1-DATA'!AK138)),IF($B140="STD. DEVIATION",2,$F$1))))</f>
        <v/>
      </c>
      <c r="AM140" s="1" t="str">
        <f>IF(OR($B140="",AM$7=""),"",IF($B140="MEANS",INDEX('1-DATA'!$1:$1048576,$A139-1,COLUMN('1-DATA'!AL138)),ROUND(INDEX('1-DATA'!$1:$1048576,IF(OR($B140="STD. DEVIATION",$C$1=1),$A140,$A140+1),COLUMN('1-DATA'!AL138)),IF($B140="STD. DEVIATION",2,$F$1))))</f>
        <v/>
      </c>
      <c r="AN140" s="1" t="str">
        <f>IF(OR($B140="",AN$7=""),"",IF($B140="MEANS",INDEX('1-DATA'!$1:$1048576,$A139-1,COLUMN('1-DATA'!AM138)),ROUND(INDEX('1-DATA'!$1:$1048576,IF(OR($B140="STD. DEVIATION",$C$1=1),$A140,$A140+1),COLUMN('1-DATA'!AM138)),IF($B140="STD. DEVIATION",2,$F$1))))</f>
        <v/>
      </c>
      <c r="AO140" s="1" t="str">
        <f>IF(OR($B140="",AO$7=""),"",IF($B140="MEANS",INDEX('1-DATA'!$1:$1048576,$A139-1,COLUMN('1-DATA'!AN138)),ROUND(INDEX('1-DATA'!$1:$1048576,IF(OR($B140="STD. DEVIATION",$C$1=1),$A140,$A140+1),COLUMN('1-DATA'!AN138)),IF($B140="STD. DEVIATION",2,$F$1))))</f>
        <v/>
      </c>
      <c r="AP140" s="1" t="str">
        <f>IF(OR($B140="",AP$7=""),"",IF($B140="MEANS",INDEX('1-DATA'!$1:$1048576,$A139-1,COLUMN('1-DATA'!AO138)),ROUND(INDEX('1-DATA'!$1:$1048576,IF(OR($B140="STD. DEVIATION",$C$1=1),$A140,$A140+1),COLUMN('1-DATA'!AO138)),IF($B140="STD. DEVIATION",2,$F$1))))</f>
        <v/>
      </c>
      <c r="AQ140" s="1" t="str">
        <f>IF(OR($B140="",AQ$7=""),"",IF($B140="MEANS",INDEX('1-DATA'!$1:$1048576,$A139-1,COLUMN('1-DATA'!AP138)),ROUND(INDEX('1-DATA'!$1:$1048576,IF(OR($B140="STD. DEVIATION",$C$1=1),$A140,$A140+1),COLUMN('1-DATA'!AP138)),IF($B140="STD. DEVIATION",2,$F$1))))</f>
        <v/>
      </c>
      <c r="AR140" s="1" t="str">
        <f>IF(OR($B140="",AR$7=""),"",IF($B140="MEANS",INDEX('1-DATA'!$1:$1048576,$A139-1,COLUMN('1-DATA'!AQ138)),ROUND(INDEX('1-DATA'!$1:$1048576,IF(OR($B140="STD. DEVIATION",$C$1=1),$A140,$A140+1),COLUMN('1-DATA'!AQ138)),IF($B140="STD. DEVIATION",2,$F$1))))</f>
        <v/>
      </c>
      <c r="AS140" s="1" t="str">
        <f>IF(OR($B140="",AS$7=""),"",IF($B140="MEANS",INDEX('1-DATA'!$1:$1048576,$A139-1,COLUMN('1-DATA'!AR138)),ROUND(INDEX('1-DATA'!$1:$1048576,IF(OR($B140="STD. DEVIATION",$C$1=1),$A140,$A140+1),COLUMN('1-DATA'!AR138)),IF($B140="STD. DEVIATION",2,$F$1))))</f>
        <v/>
      </c>
      <c r="AT140" s="1" t="str">
        <f>IF(OR($B140="",AT$7=""),"",IF($B140="MEANS",INDEX('1-DATA'!$1:$1048576,$A139-1,COLUMN('1-DATA'!AS138)),ROUND(INDEX('1-DATA'!$1:$1048576,IF(OR($B140="STD. DEVIATION",$C$1=1),$A140,$A140+1),COLUMN('1-DATA'!AS138)),IF($B140="STD. DEVIATION",2,$F$1))))</f>
        <v/>
      </c>
      <c r="AU140" s="1" t="str">
        <f>IF(OR($B140="",AU$7=""),"",IF($B140="MEANS",INDEX('1-DATA'!$1:$1048576,$A139-1,COLUMN('1-DATA'!AT138)),ROUND(INDEX('1-DATA'!$1:$1048576,IF(OR($B140="STD. DEVIATION",$C$1=1),$A140,$A140+1),COLUMN('1-DATA'!AT138)),IF($B140="STD. DEVIATION",2,$F$1))))</f>
        <v/>
      </c>
      <c r="AV140" s="1" t="str">
        <f>IF(OR($B140="",AV$7=""),"",IF($B140="MEANS",INDEX('1-DATA'!$1:$1048576,$A139-1,COLUMN('1-DATA'!AU138)),ROUND(INDEX('1-DATA'!$1:$1048576,IF(OR($B140="STD. DEVIATION",$C$1=1),$A140,$A140+1),COLUMN('1-DATA'!AU138)),IF($B140="STD. DEVIATION",2,$F$1))))</f>
        <v/>
      </c>
      <c r="AW140" s="1" t="str">
        <f>IF(OR($B140="",AW$7=""),"",IF($B140="MEANS",INDEX('1-DATA'!$1:$1048576,$A139-1,COLUMN('1-DATA'!AV138)),ROUND(INDEX('1-DATA'!$1:$1048576,IF(OR($B140="STD. DEVIATION",$C$1=1),$A140,$A140+1),COLUMN('1-DATA'!AV138)),IF($B140="STD. DEVIATION",2,$F$1))))</f>
        <v/>
      </c>
      <c r="AX140" s="1" t="str">
        <f>IF(OR($B140="",AX$7=""),"",IF($B140="MEANS",INDEX('1-DATA'!$1:$1048576,$A139-1,COLUMN('1-DATA'!AW138)),ROUND(INDEX('1-DATA'!$1:$1048576,IF(OR($B140="STD. DEVIATION",$C$1=1),$A140,$A140+1),COLUMN('1-DATA'!AW138)),IF($B140="STD. DEVIATION",2,$F$1))))</f>
        <v/>
      </c>
      <c r="AY140" s="1" t="str">
        <f>IF(OR($B140="",AY$7=""),"",IF($B140="MEANS",INDEX('1-DATA'!$1:$1048576,$A139-1,COLUMN('1-DATA'!AX138)),ROUND(INDEX('1-DATA'!$1:$1048576,IF(OR($B140="STD. DEVIATION",$C$1=1),$A140,$A140+1),COLUMN('1-DATA'!AX138)),IF($B140="STD. DEVIATION",2,$F$1))))</f>
        <v/>
      </c>
      <c r="AZ140" s="1" t="str">
        <f>IF(OR($B140="",AZ$7=""),"",IF($B140="MEANS",INDEX('1-DATA'!$1:$1048576,$A139-1,COLUMN('1-DATA'!AY138)),ROUND(INDEX('1-DATA'!$1:$1048576,IF(OR($B140="STD. DEVIATION",$C$1=1),$A140,$A140+1),COLUMN('1-DATA'!AY138)),IF($B140="STD. DEVIATION",2,$F$1))))</f>
        <v/>
      </c>
    </row>
    <row r="141" spans="1:52" x14ac:dyDescent="0.25">
      <c r="A141" s="11">
        <f t="shared" si="2"/>
        <v>409</v>
      </c>
      <c r="B141" s="1" t="str">
        <f>IF(B140="STD. DEVIATION",INDEX('1-DATA'!$1:$1048576,$A140-1,1),IF(INDEX('1-DATA'!$1:$1048576,$A141,1)&lt;&gt;"",INDEX('1-DATA'!$1:$1048576,$A141,1),""))</f>
        <v/>
      </c>
      <c r="C141" s="1" t="str">
        <f>IF(OR($B141="",C$7=""),"",IF($B141="MEANS",INDEX('1-DATA'!$1:$1048576,$A140-1,COLUMN('1-DATA'!B139)),ROUND(INDEX('1-DATA'!$1:$1048576,IF(OR($B141="STD. DEVIATION",$C$1=1),$A141,$A141+1),COLUMN('1-DATA'!B139)),IF($B141="STD. DEVIATION",2,$F$1))))</f>
        <v/>
      </c>
      <c r="D141" s="1" t="str">
        <f>IF(OR($B141="",D$7=""),"",IF($B141="MEANS",INDEX('1-DATA'!$1:$1048576,$A140-1,COLUMN('1-DATA'!C139)),ROUND(INDEX('1-DATA'!$1:$1048576,IF(OR($B141="STD. DEVIATION",$C$1=1),$A141,$A141+1),COLUMN('1-DATA'!C139)),IF($B141="STD. DEVIATION",2,$F$1))))</f>
        <v/>
      </c>
      <c r="E141" s="1" t="str">
        <f>IF(OR($B141="",E$7=""),"",IF($B141="MEANS",INDEX('1-DATA'!$1:$1048576,$A140-1,COLUMN('1-DATA'!D139)),ROUND(INDEX('1-DATA'!$1:$1048576,IF(OR($B141="STD. DEVIATION",$C$1=1),$A141,$A141+1),COLUMN('1-DATA'!D139)),IF($B141="STD. DEVIATION",2,$F$1))))</f>
        <v/>
      </c>
      <c r="F141" s="1" t="str">
        <f>IF(OR($B141="",F$7=""),"",IF($B141="MEANS",INDEX('1-DATA'!$1:$1048576,$A140-1,COLUMN('1-DATA'!E139)),ROUND(INDEX('1-DATA'!$1:$1048576,IF(OR($B141="STD. DEVIATION",$C$1=1),$A141,$A141+1),COLUMN('1-DATA'!E139)),IF($B141="STD. DEVIATION",2,$F$1))))</f>
        <v/>
      </c>
      <c r="G141" s="1" t="str">
        <f>IF(OR($B141="",G$7=""),"",IF($B141="MEANS",INDEX('1-DATA'!$1:$1048576,$A140-1,COLUMN('1-DATA'!F139)),ROUND(INDEX('1-DATA'!$1:$1048576,IF(OR($B141="STD. DEVIATION",$C$1=1),$A141,$A141+1),COLUMN('1-DATA'!F139)),IF($B141="STD. DEVIATION",2,$F$1))))</f>
        <v/>
      </c>
      <c r="H141" s="1" t="str">
        <f>IF(OR($B141="",H$7=""),"",IF($B141="MEANS",INDEX('1-DATA'!$1:$1048576,$A140-1,COLUMN('1-DATA'!G139)),ROUND(INDEX('1-DATA'!$1:$1048576,IF(OR($B141="STD. DEVIATION",$C$1=1),$A141,$A141+1),COLUMN('1-DATA'!G139)),IF($B141="STD. DEVIATION",2,$F$1))))</f>
        <v/>
      </c>
      <c r="I141" s="1" t="str">
        <f>IF(OR($B141="",I$7=""),"",IF($B141="MEANS",INDEX('1-DATA'!$1:$1048576,$A140-1,COLUMN('1-DATA'!H139)),ROUND(INDEX('1-DATA'!$1:$1048576,IF(OR($B141="STD. DEVIATION",$C$1=1),$A141,$A141+1),COLUMN('1-DATA'!H139)),IF($B141="STD. DEVIATION",2,$F$1))))</f>
        <v/>
      </c>
      <c r="J141" s="1" t="str">
        <f>IF(OR($B141="",J$7=""),"",IF($B141="MEANS",INDEX('1-DATA'!$1:$1048576,$A140-1,COLUMN('1-DATA'!I139)),ROUND(INDEX('1-DATA'!$1:$1048576,IF(OR($B141="STD. DEVIATION",$C$1=1),$A141,$A141+1),COLUMN('1-DATA'!I139)),IF($B141="STD. DEVIATION",2,$F$1))))</f>
        <v/>
      </c>
      <c r="K141" s="1" t="str">
        <f>IF(OR($B141="",K$7=""),"",IF($B141="MEANS",INDEX('1-DATA'!$1:$1048576,$A140-1,COLUMN('1-DATA'!J139)),ROUND(INDEX('1-DATA'!$1:$1048576,IF(OR($B141="STD. DEVIATION",$C$1=1),$A141,$A141+1),COLUMN('1-DATA'!J139)),IF($B141="STD. DEVIATION",2,$F$1))))</f>
        <v/>
      </c>
      <c r="L141" s="1" t="str">
        <f>IF(OR($B141="",L$7=""),"",IF($B141="MEANS",INDEX('1-DATA'!$1:$1048576,$A140-1,COLUMN('1-DATA'!K139)),ROUND(INDEX('1-DATA'!$1:$1048576,IF(OR($B141="STD. DEVIATION",$C$1=1),$A141,$A141+1),COLUMN('1-DATA'!K139)),IF($B141="STD. DEVIATION",2,$F$1))))</f>
        <v/>
      </c>
      <c r="M141" s="1" t="str">
        <f>IF(OR($B141="",M$7=""),"",IF($B141="MEANS",INDEX('1-DATA'!$1:$1048576,$A140-1,COLUMN('1-DATA'!L139)),ROUND(INDEX('1-DATA'!$1:$1048576,IF(OR($B141="STD. DEVIATION",$C$1=1),$A141,$A141+1),COLUMN('1-DATA'!L139)),IF($B141="STD. DEVIATION",2,$F$1))))</f>
        <v/>
      </c>
      <c r="N141" s="1" t="str">
        <f>IF(OR($B141="",N$7=""),"",IF($B141="MEANS",INDEX('1-DATA'!$1:$1048576,$A140-1,COLUMN('1-DATA'!M139)),ROUND(INDEX('1-DATA'!$1:$1048576,IF(OR($B141="STD. DEVIATION",$C$1=1),$A141,$A141+1),COLUMN('1-DATA'!M139)),IF($B141="STD. DEVIATION",2,$F$1))))</f>
        <v/>
      </c>
      <c r="O141" s="1" t="str">
        <f>IF(OR($B141="",O$7=""),"",IF($B141="MEANS",INDEX('1-DATA'!$1:$1048576,$A140-1,COLUMN('1-DATA'!N139)),ROUND(INDEX('1-DATA'!$1:$1048576,IF(OR($B141="STD. DEVIATION",$C$1=1),$A141,$A141+1),COLUMN('1-DATA'!N139)),IF($B141="STD. DEVIATION",2,$F$1))))</f>
        <v/>
      </c>
      <c r="P141" s="1" t="str">
        <f>IF(OR($B141="",P$7=""),"",IF($B141="MEANS",INDEX('1-DATA'!$1:$1048576,$A140-1,COLUMN('1-DATA'!O139)),ROUND(INDEX('1-DATA'!$1:$1048576,IF(OR($B141="STD. DEVIATION",$C$1=1),$A141,$A141+1),COLUMN('1-DATA'!O139)),IF($B141="STD. DEVIATION",2,$F$1))))</f>
        <v/>
      </c>
      <c r="Q141" s="1" t="str">
        <f>IF(OR($B141="",Q$7=""),"",IF($B141="MEANS",INDEX('1-DATA'!$1:$1048576,$A140-1,COLUMN('1-DATA'!P139)),ROUND(INDEX('1-DATA'!$1:$1048576,IF(OR($B141="STD. DEVIATION",$C$1=1),$A141,$A141+1),COLUMN('1-DATA'!P139)),IF($B141="STD. DEVIATION",2,$F$1))))</f>
        <v/>
      </c>
      <c r="R141" s="1" t="str">
        <f>IF(OR($B141="",R$7=""),"",IF($B141="MEANS",INDEX('1-DATA'!$1:$1048576,$A140-1,COLUMN('1-DATA'!Q139)),ROUND(INDEX('1-DATA'!$1:$1048576,IF(OR($B141="STD. DEVIATION",$C$1=1),$A141,$A141+1),COLUMN('1-DATA'!Q139)),IF($B141="STD. DEVIATION",2,$F$1))))</f>
        <v/>
      </c>
      <c r="S141" s="1" t="str">
        <f>IF(OR($B141="",S$7=""),"",IF($B141="MEANS",INDEX('1-DATA'!$1:$1048576,$A140-1,COLUMN('1-DATA'!R139)),ROUND(INDEX('1-DATA'!$1:$1048576,IF(OR($B141="STD. DEVIATION",$C$1=1),$A141,$A141+1),COLUMN('1-DATA'!R139)),IF($B141="STD. DEVIATION",2,$F$1))))</f>
        <v/>
      </c>
      <c r="T141" s="1" t="str">
        <f>IF(OR($B141="",T$7=""),"",IF($B141="MEANS",INDEX('1-DATA'!$1:$1048576,$A140-1,COLUMN('1-DATA'!S139)),ROUND(INDEX('1-DATA'!$1:$1048576,IF(OR($B141="STD. DEVIATION",$C$1=1),$A141,$A141+1),COLUMN('1-DATA'!S139)),IF($B141="STD. DEVIATION",2,$F$1))))</f>
        <v/>
      </c>
      <c r="U141" s="1" t="str">
        <f>IF(OR($B141="",U$7=""),"",IF($B141="MEANS",INDEX('1-DATA'!$1:$1048576,$A140-1,COLUMN('1-DATA'!T139)),ROUND(INDEX('1-DATA'!$1:$1048576,IF(OR($B141="STD. DEVIATION",$C$1=1),$A141,$A141+1),COLUMN('1-DATA'!T139)),IF($B141="STD. DEVIATION",2,$F$1))))</f>
        <v/>
      </c>
      <c r="V141" s="1" t="str">
        <f>IF(OR($B141="",V$7=""),"",IF($B141="MEANS",INDEX('1-DATA'!$1:$1048576,$A140-1,COLUMN('1-DATA'!U139)),ROUND(INDEX('1-DATA'!$1:$1048576,IF(OR($B141="STD. DEVIATION",$C$1=1),$A141,$A141+1),COLUMN('1-DATA'!U139)),IF($B141="STD. DEVIATION",2,$F$1))))</f>
        <v/>
      </c>
      <c r="W141" s="1" t="str">
        <f>IF(OR($B141="",W$7=""),"",IF($B141="MEANS",INDEX('1-DATA'!$1:$1048576,$A140-1,COLUMN('1-DATA'!V139)),ROUND(INDEX('1-DATA'!$1:$1048576,IF(OR($B141="STD. DEVIATION",$C$1=1),$A141,$A141+1),COLUMN('1-DATA'!V139)),IF($B141="STD. DEVIATION",2,$F$1))))</f>
        <v/>
      </c>
      <c r="X141" s="1" t="str">
        <f>IF(OR($B141="",X$7=""),"",IF($B141="MEANS",INDEX('1-DATA'!$1:$1048576,$A140-1,COLUMN('1-DATA'!W139)),ROUND(INDEX('1-DATA'!$1:$1048576,IF(OR($B141="STD. DEVIATION",$C$1=1),$A141,$A141+1),COLUMN('1-DATA'!W139)),IF($B141="STD. DEVIATION",2,$F$1))))</f>
        <v/>
      </c>
      <c r="Y141" s="1" t="str">
        <f>IF(OR($B141="",Y$7=""),"",IF($B141="MEANS",INDEX('1-DATA'!$1:$1048576,$A140-1,COLUMN('1-DATA'!X139)),ROUND(INDEX('1-DATA'!$1:$1048576,IF(OR($B141="STD. DEVIATION",$C$1=1),$A141,$A141+1),COLUMN('1-DATA'!X139)),IF($B141="STD. DEVIATION",2,$F$1))))</f>
        <v/>
      </c>
      <c r="Z141" s="1" t="str">
        <f>IF(OR($B141="",Z$7=""),"",IF($B141="MEANS",INDEX('1-DATA'!$1:$1048576,$A140-1,COLUMN('1-DATA'!Y139)),ROUND(INDEX('1-DATA'!$1:$1048576,IF(OR($B141="STD. DEVIATION",$C$1=1),$A141,$A141+1),COLUMN('1-DATA'!Y139)),IF($B141="STD. DEVIATION",2,$F$1))))</f>
        <v/>
      </c>
      <c r="AA141" s="1" t="str">
        <f>IF(OR($B141="",AA$7=""),"",IF($B141="MEANS",INDEX('1-DATA'!$1:$1048576,$A140-1,COLUMN('1-DATA'!Z139)),ROUND(INDEX('1-DATA'!$1:$1048576,IF(OR($B141="STD. DEVIATION",$C$1=1),$A141,$A141+1),COLUMN('1-DATA'!Z139)),IF($B141="STD. DEVIATION",2,$F$1))))</f>
        <v/>
      </c>
      <c r="AB141" s="1" t="str">
        <f>IF(OR($B141="",AB$7=""),"",IF($B141="MEANS",INDEX('1-DATA'!$1:$1048576,$A140-1,COLUMN('1-DATA'!AA139)),ROUND(INDEX('1-DATA'!$1:$1048576,IF(OR($B141="STD. DEVIATION",$C$1=1),$A141,$A141+1),COLUMN('1-DATA'!AA139)),IF($B141="STD. DEVIATION",2,$F$1))))</f>
        <v/>
      </c>
      <c r="AC141" s="1" t="str">
        <f>IF(OR($B141="",AC$7=""),"",IF($B141="MEANS",INDEX('1-DATA'!$1:$1048576,$A140-1,COLUMN('1-DATA'!AB139)),ROUND(INDEX('1-DATA'!$1:$1048576,IF(OR($B141="STD. DEVIATION",$C$1=1),$A141,$A141+1),COLUMN('1-DATA'!AB139)),IF($B141="STD. DEVIATION",2,$F$1))))</f>
        <v/>
      </c>
      <c r="AD141" s="1" t="str">
        <f>IF(OR($B141="",AD$7=""),"",IF($B141="MEANS",INDEX('1-DATA'!$1:$1048576,$A140-1,COLUMN('1-DATA'!AC139)),ROUND(INDEX('1-DATA'!$1:$1048576,IF(OR($B141="STD. DEVIATION",$C$1=1),$A141,$A141+1),COLUMN('1-DATA'!AC139)),IF($B141="STD. DEVIATION",2,$F$1))))</f>
        <v/>
      </c>
      <c r="AE141" s="1" t="str">
        <f>IF(OR($B141="",AE$7=""),"",IF($B141="MEANS",INDEX('1-DATA'!$1:$1048576,$A140-1,COLUMN('1-DATA'!AD139)),ROUND(INDEX('1-DATA'!$1:$1048576,IF(OR($B141="STD. DEVIATION",$C$1=1),$A141,$A141+1),COLUMN('1-DATA'!AD139)),IF($B141="STD. DEVIATION",2,$F$1))))</f>
        <v/>
      </c>
      <c r="AF141" s="1" t="str">
        <f>IF(OR($B141="",AF$7=""),"",IF($B141="MEANS",INDEX('1-DATA'!$1:$1048576,$A140-1,COLUMN('1-DATA'!AE139)),ROUND(INDEX('1-DATA'!$1:$1048576,IF(OR($B141="STD. DEVIATION",$C$1=1),$A141,$A141+1),COLUMN('1-DATA'!AE139)),IF($B141="STD. DEVIATION",2,$F$1))))</f>
        <v/>
      </c>
      <c r="AG141" s="1" t="str">
        <f>IF(OR($B141="",AG$7=""),"",IF($B141="MEANS",INDEX('1-DATA'!$1:$1048576,$A140-1,COLUMN('1-DATA'!AF139)),ROUND(INDEX('1-DATA'!$1:$1048576,IF(OR($B141="STD. DEVIATION",$C$1=1),$A141,$A141+1),COLUMN('1-DATA'!AF139)),IF($B141="STD. DEVIATION",2,$F$1))))</f>
        <v/>
      </c>
      <c r="AH141" s="1" t="str">
        <f>IF(OR($B141="",AH$7=""),"",IF($B141="MEANS",INDEX('1-DATA'!$1:$1048576,$A140-1,COLUMN('1-DATA'!AG139)),ROUND(INDEX('1-DATA'!$1:$1048576,IF(OR($B141="STD. DEVIATION",$C$1=1),$A141,$A141+1),COLUMN('1-DATA'!AG139)),IF($B141="STD. DEVIATION",2,$F$1))))</f>
        <v/>
      </c>
      <c r="AI141" s="1" t="str">
        <f>IF(OR($B141="",AI$7=""),"",IF($B141="MEANS",INDEX('1-DATA'!$1:$1048576,$A140-1,COLUMN('1-DATA'!AH139)),ROUND(INDEX('1-DATA'!$1:$1048576,IF(OR($B141="STD. DEVIATION",$C$1=1),$A141,$A141+1),COLUMN('1-DATA'!AH139)),IF($B141="STD. DEVIATION",2,$F$1))))</f>
        <v/>
      </c>
      <c r="AJ141" s="1" t="str">
        <f>IF(OR($B141="",AJ$7=""),"",IF($B141="MEANS",INDEX('1-DATA'!$1:$1048576,$A140-1,COLUMN('1-DATA'!AI139)),ROUND(INDEX('1-DATA'!$1:$1048576,IF(OR($B141="STD. DEVIATION",$C$1=1),$A141,$A141+1),COLUMN('1-DATA'!AI139)),IF($B141="STD. DEVIATION",2,$F$1))))</f>
        <v/>
      </c>
      <c r="AK141" s="1" t="str">
        <f>IF(OR($B141="",AK$7=""),"",IF($B141="MEANS",INDEX('1-DATA'!$1:$1048576,$A140-1,COLUMN('1-DATA'!AJ139)),ROUND(INDEX('1-DATA'!$1:$1048576,IF(OR($B141="STD. DEVIATION",$C$1=1),$A141,$A141+1),COLUMN('1-DATA'!AJ139)),IF($B141="STD. DEVIATION",2,$F$1))))</f>
        <v/>
      </c>
      <c r="AL141" s="1" t="str">
        <f>IF(OR($B141="",AL$7=""),"",IF($B141="MEANS",INDEX('1-DATA'!$1:$1048576,$A140-1,COLUMN('1-DATA'!AK139)),ROUND(INDEX('1-DATA'!$1:$1048576,IF(OR($B141="STD. DEVIATION",$C$1=1),$A141,$A141+1),COLUMN('1-DATA'!AK139)),IF($B141="STD. DEVIATION",2,$F$1))))</f>
        <v/>
      </c>
      <c r="AM141" s="1" t="str">
        <f>IF(OR($B141="",AM$7=""),"",IF($B141="MEANS",INDEX('1-DATA'!$1:$1048576,$A140-1,COLUMN('1-DATA'!AL139)),ROUND(INDEX('1-DATA'!$1:$1048576,IF(OR($B141="STD. DEVIATION",$C$1=1),$A141,$A141+1),COLUMN('1-DATA'!AL139)),IF($B141="STD. DEVIATION",2,$F$1))))</f>
        <v/>
      </c>
      <c r="AN141" s="1" t="str">
        <f>IF(OR($B141="",AN$7=""),"",IF($B141="MEANS",INDEX('1-DATA'!$1:$1048576,$A140-1,COLUMN('1-DATA'!AM139)),ROUND(INDEX('1-DATA'!$1:$1048576,IF(OR($B141="STD. DEVIATION",$C$1=1),$A141,$A141+1),COLUMN('1-DATA'!AM139)),IF($B141="STD. DEVIATION",2,$F$1))))</f>
        <v/>
      </c>
      <c r="AO141" s="1" t="str">
        <f>IF(OR($B141="",AO$7=""),"",IF($B141="MEANS",INDEX('1-DATA'!$1:$1048576,$A140-1,COLUMN('1-DATA'!AN139)),ROUND(INDEX('1-DATA'!$1:$1048576,IF(OR($B141="STD. DEVIATION",$C$1=1),$A141,$A141+1),COLUMN('1-DATA'!AN139)),IF($B141="STD. DEVIATION",2,$F$1))))</f>
        <v/>
      </c>
      <c r="AP141" s="1" t="str">
        <f>IF(OR($B141="",AP$7=""),"",IF($B141="MEANS",INDEX('1-DATA'!$1:$1048576,$A140-1,COLUMN('1-DATA'!AO139)),ROUND(INDEX('1-DATA'!$1:$1048576,IF(OR($B141="STD. DEVIATION",$C$1=1),$A141,$A141+1),COLUMN('1-DATA'!AO139)),IF($B141="STD. DEVIATION",2,$F$1))))</f>
        <v/>
      </c>
      <c r="AQ141" s="1" t="str">
        <f>IF(OR($B141="",AQ$7=""),"",IF($B141="MEANS",INDEX('1-DATA'!$1:$1048576,$A140-1,COLUMN('1-DATA'!AP139)),ROUND(INDEX('1-DATA'!$1:$1048576,IF(OR($B141="STD. DEVIATION",$C$1=1),$A141,$A141+1),COLUMN('1-DATA'!AP139)),IF($B141="STD. DEVIATION",2,$F$1))))</f>
        <v/>
      </c>
      <c r="AR141" s="1" t="str">
        <f>IF(OR($B141="",AR$7=""),"",IF($B141="MEANS",INDEX('1-DATA'!$1:$1048576,$A140-1,COLUMN('1-DATA'!AQ139)),ROUND(INDEX('1-DATA'!$1:$1048576,IF(OR($B141="STD. DEVIATION",$C$1=1),$A141,$A141+1),COLUMN('1-DATA'!AQ139)),IF($B141="STD. DEVIATION",2,$F$1))))</f>
        <v/>
      </c>
      <c r="AS141" s="1" t="str">
        <f>IF(OR($B141="",AS$7=""),"",IF($B141="MEANS",INDEX('1-DATA'!$1:$1048576,$A140-1,COLUMN('1-DATA'!AR139)),ROUND(INDEX('1-DATA'!$1:$1048576,IF(OR($B141="STD. DEVIATION",$C$1=1),$A141,$A141+1),COLUMN('1-DATA'!AR139)),IF($B141="STD. DEVIATION",2,$F$1))))</f>
        <v/>
      </c>
      <c r="AT141" s="1" t="str">
        <f>IF(OR($B141="",AT$7=""),"",IF($B141="MEANS",INDEX('1-DATA'!$1:$1048576,$A140-1,COLUMN('1-DATA'!AS139)),ROUND(INDEX('1-DATA'!$1:$1048576,IF(OR($B141="STD. DEVIATION",$C$1=1),$A141,$A141+1),COLUMN('1-DATA'!AS139)),IF($B141="STD. DEVIATION",2,$F$1))))</f>
        <v/>
      </c>
      <c r="AU141" s="1" t="str">
        <f>IF(OR($B141="",AU$7=""),"",IF($B141="MEANS",INDEX('1-DATA'!$1:$1048576,$A140-1,COLUMN('1-DATA'!AT139)),ROUND(INDEX('1-DATA'!$1:$1048576,IF(OR($B141="STD. DEVIATION",$C$1=1),$A141,$A141+1),COLUMN('1-DATA'!AT139)),IF($B141="STD. DEVIATION",2,$F$1))))</f>
        <v/>
      </c>
      <c r="AV141" s="1" t="str">
        <f>IF(OR($B141="",AV$7=""),"",IF($B141="MEANS",INDEX('1-DATA'!$1:$1048576,$A140-1,COLUMN('1-DATA'!AU139)),ROUND(INDEX('1-DATA'!$1:$1048576,IF(OR($B141="STD. DEVIATION",$C$1=1),$A141,$A141+1),COLUMN('1-DATA'!AU139)),IF($B141="STD. DEVIATION",2,$F$1))))</f>
        <v/>
      </c>
      <c r="AW141" s="1" t="str">
        <f>IF(OR($B141="",AW$7=""),"",IF($B141="MEANS",INDEX('1-DATA'!$1:$1048576,$A140-1,COLUMN('1-DATA'!AV139)),ROUND(INDEX('1-DATA'!$1:$1048576,IF(OR($B141="STD. DEVIATION",$C$1=1),$A141,$A141+1),COLUMN('1-DATA'!AV139)),IF($B141="STD. DEVIATION",2,$F$1))))</f>
        <v/>
      </c>
      <c r="AX141" s="1" t="str">
        <f>IF(OR($B141="",AX$7=""),"",IF($B141="MEANS",INDEX('1-DATA'!$1:$1048576,$A140-1,COLUMN('1-DATA'!AW139)),ROUND(INDEX('1-DATA'!$1:$1048576,IF(OR($B141="STD. DEVIATION",$C$1=1),$A141,$A141+1),COLUMN('1-DATA'!AW139)),IF($B141="STD. DEVIATION",2,$F$1))))</f>
        <v/>
      </c>
      <c r="AY141" s="1" t="str">
        <f>IF(OR($B141="",AY$7=""),"",IF($B141="MEANS",INDEX('1-DATA'!$1:$1048576,$A140-1,COLUMN('1-DATA'!AX139)),ROUND(INDEX('1-DATA'!$1:$1048576,IF(OR($B141="STD. DEVIATION",$C$1=1),$A141,$A141+1),COLUMN('1-DATA'!AX139)),IF($B141="STD. DEVIATION",2,$F$1))))</f>
        <v/>
      </c>
      <c r="AZ141" s="1" t="str">
        <f>IF(OR($B141="",AZ$7=""),"",IF($B141="MEANS",INDEX('1-DATA'!$1:$1048576,$A140-1,COLUMN('1-DATA'!AY139)),ROUND(INDEX('1-DATA'!$1:$1048576,IF(OR($B141="STD. DEVIATION",$C$1=1),$A141,$A141+1),COLUMN('1-DATA'!AY139)),IF($B141="STD. DEVIATION",2,$F$1))))</f>
        <v/>
      </c>
    </row>
    <row r="142" spans="1:52" x14ac:dyDescent="0.25">
      <c r="A142" s="11">
        <f t="shared" si="2"/>
        <v>412</v>
      </c>
      <c r="B142" s="1" t="str">
        <f>IF(B141="STD. DEVIATION",INDEX('1-DATA'!$1:$1048576,$A141-1,1),IF(INDEX('1-DATA'!$1:$1048576,$A142,1)&lt;&gt;"",INDEX('1-DATA'!$1:$1048576,$A142,1),""))</f>
        <v/>
      </c>
      <c r="C142" s="1" t="str">
        <f>IF(OR($B142="",C$7=""),"",IF($B142="MEANS",INDEX('1-DATA'!$1:$1048576,$A141-1,COLUMN('1-DATA'!B140)),ROUND(INDEX('1-DATA'!$1:$1048576,IF(OR($B142="STD. DEVIATION",$C$1=1),$A142,$A142+1),COLUMN('1-DATA'!B140)),IF($B142="STD. DEVIATION",2,$F$1))))</f>
        <v/>
      </c>
      <c r="D142" s="1" t="str">
        <f>IF(OR($B142="",D$7=""),"",IF($B142="MEANS",INDEX('1-DATA'!$1:$1048576,$A141-1,COLUMN('1-DATA'!C140)),ROUND(INDEX('1-DATA'!$1:$1048576,IF(OR($B142="STD. DEVIATION",$C$1=1),$A142,$A142+1),COLUMN('1-DATA'!C140)),IF($B142="STD. DEVIATION",2,$F$1))))</f>
        <v/>
      </c>
      <c r="E142" s="1" t="str">
        <f>IF(OR($B142="",E$7=""),"",IF($B142="MEANS",INDEX('1-DATA'!$1:$1048576,$A141-1,COLUMN('1-DATA'!D140)),ROUND(INDEX('1-DATA'!$1:$1048576,IF(OR($B142="STD. DEVIATION",$C$1=1),$A142,$A142+1),COLUMN('1-DATA'!D140)),IF($B142="STD. DEVIATION",2,$F$1))))</f>
        <v/>
      </c>
      <c r="F142" s="1" t="str">
        <f>IF(OR($B142="",F$7=""),"",IF($B142="MEANS",INDEX('1-DATA'!$1:$1048576,$A141-1,COLUMN('1-DATA'!E140)),ROUND(INDEX('1-DATA'!$1:$1048576,IF(OR($B142="STD. DEVIATION",$C$1=1),$A142,$A142+1),COLUMN('1-DATA'!E140)),IF($B142="STD. DEVIATION",2,$F$1))))</f>
        <v/>
      </c>
      <c r="G142" s="1" t="str">
        <f>IF(OR($B142="",G$7=""),"",IF($B142="MEANS",INDEX('1-DATA'!$1:$1048576,$A141-1,COLUMN('1-DATA'!F140)),ROUND(INDEX('1-DATA'!$1:$1048576,IF(OR($B142="STD. DEVIATION",$C$1=1),$A142,$A142+1),COLUMN('1-DATA'!F140)),IF($B142="STD. DEVIATION",2,$F$1))))</f>
        <v/>
      </c>
      <c r="H142" s="1" t="str">
        <f>IF(OR($B142="",H$7=""),"",IF($B142="MEANS",INDEX('1-DATA'!$1:$1048576,$A141-1,COLUMN('1-DATA'!G140)),ROUND(INDEX('1-DATA'!$1:$1048576,IF(OR($B142="STD. DEVIATION",$C$1=1),$A142,$A142+1),COLUMN('1-DATA'!G140)),IF($B142="STD. DEVIATION",2,$F$1))))</f>
        <v/>
      </c>
      <c r="I142" s="1" t="str">
        <f>IF(OR($B142="",I$7=""),"",IF($B142="MEANS",INDEX('1-DATA'!$1:$1048576,$A141-1,COLUMN('1-DATA'!H140)),ROUND(INDEX('1-DATA'!$1:$1048576,IF(OR($B142="STD. DEVIATION",$C$1=1),$A142,$A142+1),COLUMN('1-DATA'!H140)),IF($B142="STD. DEVIATION",2,$F$1))))</f>
        <v/>
      </c>
      <c r="J142" s="1" t="str">
        <f>IF(OR($B142="",J$7=""),"",IF($B142="MEANS",INDEX('1-DATA'!$1:$1048576,$A141-1,COLUMN('1-DATA'!I140)),ROUND(INDEX('1-DATA'!$1:$1048576,IF(OR($B142="STD. DEVIATION",$C$1=1),$A142,$A142+1),COLUMN('1-DATA'!I140)),IF($B142="STD. DEVIATION",2,$F$1))))</f>
        <v/>
      </c>
      <c r="K142" s="1" t="str">
        <f>IF(OR($B142="",K$7=""),"",IF($B142="MEANS",INDEX('1-DATA'!$1:$1048576,$A141-1,COLUMN('1-DATA'!J140)),ROUND(INDEX('1-DATA'!$1:$1048576,IF(OR($B142="STD. DEVIATION",$C$1=1),$A142,$A142+1),COLUMN('1-DATA'!J140)),IF($B142="STD. DEVIATION",2,$F$1))))</f>
        <v/>
      </c>
      <c r="L142" s="1" t="str">
        <f>IF(OR($B142="",L$7=""),"",IF($B142="MEANS",INDEX('1-DATA'!$1:$1048576,$A141-1,COLUMN('1-DATA'!K140)),ROUND(INDEX('1-DATA'!$1:$1048576,IF(OR($B142="STD. DEVIATION",$C$1=1),$A142,$A142+1),COLUMN('1-DATA'!K140)),IF($B142="STD. DEVIATION",2,$F$1))))</f>
        <v/>
      </c>
      <c r="M142" s="1" t="str">
        <f>IF(OR($B142="",M$7=""),"",IF($B142="MEANS",INDEX('1-DATA'!$1:$1048576,$A141-1,COLUMN('1-DATA'!L140)),ROUND(INDEX('1-DATA'!$1:$1048576,IF(OR($B142="STD. DEVIATION",$C$1=1),$A142,$A142+1),COLUMN('1-DATA'!L140)),IF($B142="STD. DEVIATION",2,$F$1))))</f>
        <v/>
      </c>
      <c r="N142" s="1" t="str">
        <f>IF(OR($B142="",N$7=""),"",IF($B142="MEANS",INDEX('1-DATA'!$1:$1048576,$A141-1,COLUMN('1-DATA'!M140)),ROUND(INDEX('1-DATA'!$1:$1048576,IF(OR($B142="STD. DEVIATION",$C$1=1),$A142,$A142+1),COLUMN('1-DATA'!M140)),IF($B142="STD. DEVIATION",2,$F$1))))</f>
        <v/>
      </c>
      <c r="O142" s="1" t="str">
        <f>IF(OR($B142="",O$7=""),"",IF($B142="MEANS",INDEX('1-DATA'!$1:$1048576,$A141-1,COLUMN('1-DATA'!N140)),ROUND(INDEX('1-DATA'!$1:$1048576,IF(OR($B142="STD. DEVIATION",$C$1=1),$A142,$A142+1),COLUMN('1-DATA'!N140)),IF($B142="STD. DEVIATION",2,$F$1))))</f>
        <v/>
      </c>
      <c r="P142" s="1" t="str">
        <f>IF(OR($B142="",P$7=""),"",IF($B142="MEANS",INDEX('1-DATA'!$1:$1048576,$A141-1,COLUMN('1-DATA'!O140)),ROUND(INDEX('1-DATA'!$1:$1048576,IF(OR($B142="STD. DEVIATION",$C$1=1),$A142,$A142+1),COLUMN('1-DATA'!O140)),IF($B142="STD. DEVIATION",2,$F$1))))</f>
        <v/>
      </c>
      <c r="Q142" s="1" t="str">
        <f>IF(OR($B142="",Q$7=""),"",IF($B142="MEANS",INDEX('1-DATA'!$1:$1048576,$A141-1,COLUMN('1-DATA'!P140)),ROUND(INDEX('1-DATA'!$1:$1048576,IF(OR($B142="STD. DEVIATION",$C$1=1),$A142,$A142+1),COLUMN('1-DATA'!P140)),IF($B142="STD. DEVIATION",2,$F$1))))</f>
        <v/>
      </c>
      <c r="R142" s="1" t="str">
        <f>IF(OR($B142="",R$7=""),"",IF($B142="MEANS",INDEX('1-DATA'!$1:$1048576,$A141-1,COLUMN('1-DATA'!Q140)),ROUND(INDEX('1-DATA'!$1:$1048576,IF(OR($B142="STD. DEVIATION",$C$1=1),$A142,$A142+1),COLUMN('1-DATA'!Q140)),IF($B142="STD. DEVIATION",2,$F$1))))</f>
        <v/>
      </c>
      <c r="S142" s="1" t="str">
        <f>IF(OR($B142="",S$7=""),"",IF($B142="MEANS",INDEX('1-DATA'!$1:$1048576,$A141-1,COLUMN('1-DATA'!R140)),ROUND(INDEX('1-DATA'!$1:$1048576,IF(OR($B142="STD. DEVIATION",$C$1=1),$A142,$A142+1),COLUMN('1-DATA'!R140)),IF($B142="STD. DEVIATION",2,$F$1))))</f>
        <v/>
      </c>
      <c r="T142" s="1" t="str">
        <f>IF(OR($B142="",T$7=""),"",IF($B142="MEANS",INDEX('1-DATA'!$1:$1048576,$A141-1,COLUMN('1-DATA'!S140)),ROUND(INDEX('1-DATA'!$1:$1048576,IF(OR($B142="STD. DEVIATION",$C$1=1),$A142,$A142+1),COLUMN('1-DATA'!S140)),IF($B142="STD. DEVIATION",2,$F$1))))</f>
        <v/>
      </c>
      <c r="U142" s="1" t="str">
        <f>IF(OR($B142="",U$7=""),"",IF($B142="MEANS",INDEX('1-DATA'!$1:$1048576,$A141-1,COLUMN('1-DATA'!T140)),ROUND(INDEX('1-DATA'!$1:$1048576,IF(OR($B142="STD. DEVIATION",$C$1=1),$A142,$A142+1),COLUMN('1-DATA'!T140)),IF($B142="STD. DEVIATION",2,$F$1))))</f>
        <v/>
      </c>
      <c r="V142" s="1" t="str">
        <f>IF(OR($B142="",V$7=""),"",IF($B142="MEANS",INDEX('1-DATA'!$1:$1048576,$A141-1,COLUMN('1-DATA'!U140)),ROUND(INDEX('1-DATA'!$1:$1048576,IF(OR($B142="STD. DEVIATION",$C$1=1),$A142,$A142+1),COLUMN('1-DATA'!U140)),IF($B142="STD. DEVIATION",2,$F$1))))</f>
        <v/>
      </c>
      <c r="W142" s="1" t="str">
        <f>IF(OR($B142="",W$7=""),"",IF($B142="MEANS",INDEX('1-DATA'!$1:$1048576,$A141-1,COLUMN('1-DATA'!V140)),ROUND(INDEX('1-DATA'!$1:$1048576,IF(OR($B142="STD. DEVIATION",$C$1=1),$A142,$A142+1),COLUMN('1-DATA'!V140)),IF($B142="STD. DEVIATION",2,$F$1))))</f>
        <v/>
      </c>
      <c r="X142" s="1" t="str">
        <f>IF(OR($B142="",X$7=""),"",IF($B142="MEANS",INDEX('1-DATA'!$1:$1048576,$A141-1,COLUMN('1-DATA'!W140)),ROUND(INDEX('1-DATA'!$1:$1048576,IF(OR($B142="STD. DEVIATION",$C$1=1),$A142,$A142+1),COLUMN('1-DATA'!W140)),IF($B142="STD. DEVIATION",2,$F$1))))</f>
        <v/>
      </c>
      <c r="Y142" s="1" t="str">
        <f>IF(OR($B142="",Y$7=""),"",IF($B142="MEANS",INDEX('1-DATA'!$1:$1048576,$A141-1,COLUMN('1-DATA'!X140)),ROUND(INDEX('1-DATA'!$1:$1048576,IF(OR($B142="STD. DEVIATION",$C$1=1),$A142,$A142+1),COLUMN('1-DATA'!X140)),IF($B142="STD. DEVIATION",2,$F$1))))</f>
        <v/>
      </c>
      <c r="Z142" s="1" t="str">
        <f>IF(OR($B142="",Z$7=""),"",IF($B142="MEANS",INDEX('1-DATA'!$1:$1048576,$A141-1,COLUMN('1-DATA'!Y140)),ROUND(INDEX('1-DATA'!$1:$1048576,IF(OR($B142="STD. DEVIATION",$C$1=1),$A142,$A142+1),COLUMN('1-DATA'!Y140)),IF($B142="STD. DEVIATION",2,$F$1))))</f>
        <v/>
      </c>
      <c r="AA142" s="1" t="str">
        <f>IF(OR($B142="",AA$7=""),"",IF($B142="MEANS",INDEX('1-DATA'!$1:$1048576,$A141-1,COLUMN('1-DATA'!Z140)),ROUND(INDEX('1-DATA'!$1:$1048576,IF(OR($B142="STD. DEVIATION",$C$1=1),$A142,$A142+1),COLUMN('1-DATA'!Z140)),IF($B142="STD. DEVIATION",2,$F$1))))</f>
        <v/>
      </c>
      <c r="AB142" s="1" t="str">
        <f>IF(OR($B142="",AB$7=""),"",IF($B142="MEANS",INDEX('1-DATA'!$1:$1048576,$A141-1,COLUMN('1-DATA'!AA140)),ROUND(INDEX('1-DATA'!$1:$1048576,IF(OR($B142="STD. DEVIATION",$C$1=1),$A142,$A142+1),COLUMN('1-DATA'!AA140)),IF($B142="STD. DEVIATION",2,$F$1))))</f>
        <v/>
      </c>
      <c r="AC142" s="1" t="str">
        <f>IF(OR($B142="",AC$7=""),"",IF($B142="MEANS",INDEX('1-DATA'!$1:$1048576,$A141-1,COLUMN('1-DATA'!AB140)),ROUND(INDEX('1-DATA'!$1:$1048576,IF(OR($B142="STD. DEVIATION",$C$1=1),$A142,$A142+1),COLUMN('1-DATA'!AB140)),IF($B142="STD. DEVIATION",2,$F$1))))</f>
        <v/>
      </c>
      <c r="AD142" s="1" t="str">
        <f>IF(OR($B142="",AD$7=""),"",IF($B142="MEANS",INDEX('1-DATA'!$1:$1048576,$A141-1,COLUMN('1-DATA'!AC140)),ROUND(INDEX('1-DATA'!$1:$1048576,IF(OR($B142="STD. DEVIATION",$C$1=1),$A142,$A142+1),COLUMN('1-DATA'!AC140)),IF($B142="STD. DEVIATION",2,$F$1))))</f>
        <v/>
      </c>
      <c r="AE142" s="1" t="str">
        <f>IF(OR($B142="",AE$7=""),"",IF($B142="MEANS",INDEX('1-DATA'!$1:$1048576,$A141-1,COLUMN('1-DATA'!AD140)),ROUND(INDEX('1-DATA'!$1:$1048576,IF(OR($B142="STD. DEVIATION",$C$1=1),$A142,$A142+1),COLUMN('1-DATA'!AD140)),IF($B142="STD. DEVIATION",2,$F$1))))</f>
        <v/>
      </c>
      <c r="AF142" s="1" t="str">
        <f>IF(OR($B142="",AF$7=""),"",IF($B142="MEANS",INDEX('1-DATA'!$1:$1048576,$A141-1,COLUMN('1-DATA'!AE140)),ROUND(INDEX('1-DATA'!$1:$1048576,IF(OR($B142="STD. DEVIATION",$C$1=1),$A142,$A142+1),COLUMN('1-DATA'!AE140)),IF($B142="STD. DEVIATION",2,$F$1))))</f>
        <v/>
      </c>
      <c r="AG142" s="1" t="str">
        <f>IF(OR($B142="",AG$7=""),"",IF($B142="MEANS",INDEX('1-DATA'!$1:$1048576,$A141-1,COLUMN('1-DATA'!AF140)),ROUND(INDEX('1-DATA'!$1:$1048576,IF(OR($B142="STD. DEVIATION",$C$1=1),$A142,$A142+1),COLUMN('1-DATA'!AF140)),IF($B142="STD. DEVIATION",2,$F$1))))</f>
        <v/>
      </c>
      <c r="AH142" s="1" t="str">
        <f>IF(OR($B142="",AH$7=""),"",IF($B142="MEANS",INDEX('1-DATA'!$1:$1048576,$A141-1,COLUMN('1-DATA'!AG140)),ROUND(INDEX('1-DATA'!$1:$1048576,IF(OR($B142="STD. DEVIATION",$C$1=1),$A142,$A142+1),COLUMN('1-DATA'!AG140)),IF($B142="STD. DEVIATION",2,$F$1))))</f>
        <v/>
      </c>
      <c r="AI142" s="1" t="str">
        <f>IF(OR($B142="",AI$7=""),"",IF($B142="MEANS",INDEX('1-DATA'!$1:$1048576,$A141-1,COLUMN('1-DATA'!AH140)),ROUND(INDEX('1-DATA'!$1:$1048576,IF(OR($B142="STD. DEVIATION",$C$1=1),$A142,$A142+1),COLUMN('1-DATA'!AH140)),IF($B142="STD. DEVIATION",2,$F$1))))</f>
        <v/>
      </c>
      <c r="AJ142" s="1" t="str">
        <f>IF(OR($B142="",AJ$7=""),"",IF($B142="MEANS",INDEX('1-DATA'!$1:$1048576,$A141-1,COLUMN('1-DATA'!AI140)),ROUND(INDEX('1-DATA'!$1:$1048576,IF(OR($B142="STD. DEVIATION",$C$1=1),$A142,$A142+1),COLUMN('1-DATA'!AI140)),IF($B142="STD. DEVIATION",2,$F$1))))</f>
        <v/>
      </c>
      <c r="AK142" s="1" t="str">
        <f>IF(OR($B142="",AK$7=""),"",IF($B142="MEANS",INDEX('1-DATA'!$1:$1048576,$A141-1,COLUMN('1-DATA'!AJ140)),ROUND(INDEX('1-DATA'!$1:$1048576,IF(OR($B142="STD. DEVIATION",$C$1=1),$A142,$A142+1),COLUMN('1-DATA'!AJ140)),IF($B142="STD. DEVIATION",2,$F$1))))</f>
        <v/>
      </c>
      <c r="AL142" s="1" t="str">
        <f>IF(OR($B142="",AL$7=""),"",IF($B142="MEANS",INDEX('1-DATA'!$1:$1048576,$A141-1,COLUMN('1-DATA'!AK140)),ROUND(INDEX('1-DATA'!$1:$1048576,IF(OR($B142="STD. DEVIATION",$C$1=1),$A142,$A142+1),COLUMN('1-DATA'!AK140)),IF($B142="STD. DEVIATION",2,$F$1))))</f>
        <v/>
      </c>
      <c r="AM142" s="1" t="str">
        <f>IF(OR($B142="",AM$7=""),"",IF($B142="MEANS",INDEX('1-DATA'!$1:$1048576,$A141-1,COLUMN('1-DATA'!AL140)),ROUND(INDEX('1-DATA'!$1:$1048576,IF(OR($B142="STD. DEVIATION",$C$1=1),$A142,$A142+1),COLUMN('1-DATA'!AL140)),IF($B142="STD. DEVIATION",2,$F$1))))</f>
        <v/>
      </c>
      <c r="AN142" s="1" t="str">
        <f>IF(OR($B142="",AN$7=""),"",IF($B142="MEANS",INDEX('1-DATA'!$1:$1048576,$A141-1,COLUMN('1-DATA'!AM140)),ROUND(INDEX('1-DATA'!$1:$1048576,IF(OR($B142="STD. DEVIATION",$C$1=1),$A142,$A142+1),COLUMN('1-DATA'!AM140)),IF($B142="STD. DEVIATION",2,$F$1))))</f>
        <v/>
      </c>
      <c r="AO142" s="1" t="str">
        <f>IF(OR($B142="",AO$7=""),"",IF($B142="MEANS",INDEX('1-DATA'!$1:$1048576,$A141-1,COLUMN('1-DATA'!AN140)),ROUND(INDEX('1-DATA'!$1:$1048576,IF(OR($B142="STD. DEVIATION",$C$1=1),$A142,$A142+1),COLUMN('1-DATA'!AN140)),IF($B142="STD. DEVIATION",2,$F$1))))</f>
        <v/>
      </c>
      <c r="AP142" s="1" t="str">
        <f>IF(OR($B142="",AP$7=""),"",IF($B142="MEANS",INDEX('1-DATA'!$1:$1048576,$A141-1,COLUMN('1-DATA'!AO140)),ROUND(INDEX('1-DATA'!$1:$1048576,IF(OR($B142="STD. DEVIATION",$C$1=1),$A142,$A142+1),COLUMN('1-DATA'!AO140)),IF($B142="STD. DEVIATION",2,$F$1))))</f>
        <v/>
      </c>
      <c r="AQ142" s="1" t="str">
        <f>IF(OR($B142="",AQ$7=""),"",IF($B142="MEANS",INDEX('1-DATA'!$1:$1048576,$A141-1,COLUMN('1-DATA'!AP140)),ROUND(INDEX('1-DATA'!$1:$1048576,IF(OR($B142="STD. DEVIATION",$C$1=1),$A142,$A142+1),COLUMN('1-DATA'!AP140)),IF($B142="STD. DEVIATION",2,$F$1))))</f>
        <v/>
      </c>
      <c r="AR142" s="1" t="str">
        <f>IF(OR($B142="",AR$7=""),"",IF($B142="MEANS",INDEX('1-DATA'!$1:$1048576,$A141-1,COLUMN('1-DATA'!AQ140)),ROUND(INDEX('1-DATA'!$1:$1048576,IF(OR($B142="STD. DEVIATION",$C$1=1),$A142,$A142+1),COLUMN('1-DATA'!AQ140)),IF($B142="STD. DEVIATION",2,$F$1))))</f>
        <v/>
      </c>
      <c r="AS142" s="1" t="str">
        <f>IF(OR($B142="",AS$7=""),"",IF($B142="MEANS",INDEX('1-DATA'!$1:$1048576,$A141-1,COLUMN('1-DATA'!AR140)),ROUND(INDEX('1-DATA'!$1:$1048576,IF(OR($B142="STD. DEVIATION",$C$1=1),$A142,$A142+1),COLUMN('1-DATA'!AR140)),IF($B142="STD. DEVIATION",2,$F$1))))</f>
        <v/>
      </c>
      <c r="AT142" s="1" t="str">
        <f>IF(OR($B142="",AT$7=""),"",IF($B142="MEANS",INDEX('1-DATA'!$1:$1048576,$A141-1,COLUMN('1-DATA'!AS140)),ROUND(INDEX('1-DATA'!$1:$1048576,IF(OR($B142="STD. DEVIATION",$C$1=1),$A142,$A142+1),COLUMN('1-DATA'!AS140)),IF($B142="STD. DEVIATION",2,$F$1))))</f>
        <v/>
      </c>
      <c r="AU142" s="1" t="str">
        <f>IF(OR($B142="",AU$7=""),"",IF($B142="MEANS",INDEX('1-DATA'!$1:$1048576,$A141-1,COLUMN('1-DATA'!AT140)),ROUND(INDEX('1-DATA'!$1:$1048576,IF(OR($B142="STD. DEVIATION",$C$1=1),$A142,$A142+1),COLUMN('1-DATA'!AT140)),IF($B142="STD. DEVIATION",2,$F$1))))</f>
        <v/>
      </c>
      <c r="AV142" s="1" t="str">
        <f>IF(OR($B142="",AV$7=""),"",IF($B142="MEANS",INDEX('1-DATA'!$1:$1048576,$A141-1,COLUMN('1-DATA'!AU140)),ROUND(INDEX('1-DATA'!$1:$1048576,IF(OR($B142="STD. DEVIATION",$C$1=1),$A142,$A142+1),COLUMN('1-DATA'!AU140)),IF($B142="STD. DEVIATION",2,$F$1))))</f>
        <v/>
      </c>
      <c r="AW142" s="1" t="str">
        <f>IF(OR($B142="",AW$7=""),"",IF($B142="MEANS",INDEX('1-DATA'!$1:$1048576,$A141-1,COLUMN('1-DATA'!AV140)),ROUND(INDEX('1-DATA'!$1:$1048576,IF(OR($B142="STD. DEVIATION",$C$1=1),$A142,$A142+1),COLUMN('1-DATA'!AV140)),IF($B142="STD. DEVIATION",2,$F$1))))</f>
        <v/>
      </c>
      <c r="AX142" s="1" t="str">
        <f>IF(OR($B142="",AX$7=""),"",IF($B142="MEANS",INDEX('1-DATA'!$1:$1048576,$A141-1,COLUMN('1-DATA'!AW140)),ROUND(INDEX('1-DATA'!$1:$1048576,IF(OR($B142="STD. DEVIATION",$C$1=1),$A142,$A142+1),COLUMN('1-DATA'!AW140)),IF($B142="STD. DEVIATION",2,$F$1))))</f>
        <v/>
      </c>
      <c r="AY142" s="1" t="str">
        <f>IF(OR($B142="",AY$7=""),"",IF($B142="MEANS",INDEX('1-DATA'!$1:$1048576,$A141-1,COLUMN('1-DATA'!AX140)),ROUND(INDEX('1-DATA'!$1:$1048576,IF(OR($B142="STD. DEVIATION",$C$1=1),$A142,$A142+1),COLUMN('1-DATA'!AX140)),IF($B142="STD. DEVIATION",2,$F$1))))</f>
        <v/>
      </c>
      <c r="AZ142" s="1" t="str">
        <f>IF(OR($B142="",AZ$7=""),"",IF($B142="MEANS",INDEX('1-DATA'!$1:$1048576,$A141-1,COLUMN('1-DATA'!AY140)),ROUND(INDEX('1-DATA'!$1:$1048576,IF(OR($B142="STD. DEVIATION",$C$1=1),$A142,$A142+1),COLUMN('1-DATA'!AY140)),IF($B142="STD. DEVIATION",2,$F$1))))</f>
        <v/>
      </c>
    </row>
    <row r="143" spans="1:52" x14ac:dyDescent="0.25">
      <c r="A143" s="11">
        <f t="shared" si="2"/>
        <v>415</v>
      </c>
      <c r="B143" s="1" t="str">
        <f>IF(B142="STD. DEVIATION",INDEX('1-DATA'!$1:$1048576,$A142-1,1),IF(INDEX('1-DATA'!$1:$1048576,$A143,1)&lt;&gt;"",INDEX('1-DATA'!$1:$1048576,$A143,1),""))</f>
        <v/>
      </c>
      <c r="C143" s="1" t="str">
        <f>IF(OR($B143="",C$7=""),"",IF($B143="MEANS",INDEX('1-DATA'!$1:$1048576,$A142-1,COLUMN('1-DATA'!B141)),ROUND(INDEX('1-DATA'!$1:$1048576,IF(OR($B143="STD. DEVIATION",$C$1=1),$A143,$A143+1),COLUMN('1-DATA'!B141)),IF($B143="STD. DEVIATION",2,$F$1))))</f>
        <v/>
      </c>
      <c r="D143" s="1" t="str">
        <f>IF(OR($B143="",D$7=""),"",IF($B143="MEANS",INDEX('1-DATA'!$1:$1048576,$A142-1,COLUMN('1-DATA'!C141)),ROUND(INDEX('1-DATA'!$1:$1048576,IF(OR($B143="STD. DEVIATION",$C$1=1),$A143,$A143+1),COLUMN('1-DATA'!C141)),IF($B143="STD. DEVIATION",2,$F$1))))</f>
        <v/>
      </c>
      <c r="E143" s="1" t="str">
        <f>IF(OR($B143="",E$7=""),"",IF($B143="MEANS",INDEX('1-DATA'!$1:$1048576,$A142-1,COLUMN('1-DATA'!D141)),ROUND(INDEX('1-DATA'!$1:$1048576,IF(OR($B143="STD. DEVIATION",$C$1=1),$A143,$A143+1),COLUMN('1-DATA'!D141)),IF($B143="STD. DEVIATION",2,$F$1))))</f>
        <v/>
      </c>
      <c r="F143" s="1" t="str">
        <f>IF(OR($B143="",F$7=""),"",IF($B143="MEANS",INDEX('1-DATA'!$1:$1048576,$A142-1,COLUMN('1-DATA'!E141)),ROUND(INDEX('1-DATA'!$1:$1048576,IF(OR($B143="STD. DEVIATION",$C$1=1),$A143,$A143+1),COLUMN('1-DATA'!E141)),IF($B143="STD. DEVIATION",2,$F$1))))</f>
        <v/>
      </c>
      <c r="G143" s="1" t="str">
        <f>IF(OR($B143="",G$7=""),"",IF($B143="MEANS",INDEX('1-DATA'!$1:$1048576,$A142-1,COLUMN('1-DATA'!F141)),ROUND(INDEX('1-DATA'!$1:$1048576,IF(OR($B143="STD. DEVIATION",$C$1=1),$A143,$A143+1),COLUMN('1-DATA'!F141)),IF($B143="STD. DEVIATION",2,$F$1))))</f>
        <v/>
      </c>
      <c r="H143" s="1" t="str">
        <f>IF(OR($B143="",H$7=""),"",IF($B143="MEANS",INDEX('1-DATA'!$1:$1048576,$A142-1,COLUMN('1-DATA'!G141)),ROUND(INDEX('1-DATA'!$1:$1048576,IF(OR($B143="STD. DEVIATION",$C$1=1),$A143,$A143+1),COLUMN('1-DATA'!G141)),IF($B143="STD. DEVIATION",2,$F$1))))</f>
        <v/>
      </c>
      <c r="I143" s="1" t="str">
        <f>IF(OR($B143="",I$7=""),"",IF($B143="MEANS",INDEX('1-DATA'!$1:$1048576,$A142-1,COLUMN('1-DATA'!H141)),ROUND(INDEX('1-DATA'!$1:$1048576,IF(OR($B143="STD. DEVIATION",$C$1=1),$A143,$A143+1),COLUMN('1-DATA'!H141)),IF($B143="STD. DEVIATION",2,$F$1))))</f>
        <v/>
      </c>
      <c r="J143" s="1" t="str">
        <f>IF(OR($B143="",J$7=""),"",IF($B143="MEANS",INDEX('1-DATA'!$1:$1048576,$A142-1,COLUMN('1-DATA'!I141)),ROUND(INDEX('1-DATA'!$1:$1048576,IF(OR($B143="STD. DEVIATION",$C$1=1),$A143,$A143+1),COLUMN('1-DATA'!I141)),IF($B143="STD. DEVIATION",2,$F$1))))</f>
        <v/>
      </c>
      <c r="K143" s="1" t="str">
        <f>IF(OR($B143="",K$7=""),"",IF($B143="MEANS",INDEX('1-DATA'!$1:$1048576,$A142-1,COLUMN('1-DATA'!J141)),ROUND(INDEX('1-DATA'!$1:$1048576,IF(OR($B143="STD. DEVIATION",$C$1=1),$A143,$A143+1),COLUMN('1-DATA'!J141)),IF($B143="STD. DEVIATION",2,$F$1))))</f>
        <v/>
      </c>
      <c r="L143" s="1" t="str">
        <f>IF(OR($B143="",L$7=""),"",IF($B143="MEANS",INDEX('1-DATA'!$1:$1048576,$A142-1,COLUMN('1-DATA'!K141)),ROUND(INDEX('1-DATA'!$1:$1048576,IF(OR($B143="STD. DEVIATION",$C$1=1),$A143,$A143+1),COLUMN('1-DATA'!K141)),IF($B143="STD. DEVIATION",2,$F$1))))</f>
        <v/>
      </c>
      <c r="M143" s="1" t="str">
        <f>IF(OR($B143="",M$7=""),"",IF($B143="MEANS",INDEX('1-DATA'!$1:$1048576,$A142-1,COLUMN('1-DATA'!L141)),ROUND(INDEX('1-DATA'!$1:$1048576,IF(OR($B143="STD. DEVIATION",$C$1=1),$A143,$A143+1),COLUMN('1-DATA'!L141)),IF($B143="STD. DEVIATION",2,$F$1))))</f>
        <v/>
      </c>
      <c r="N143" s="1" t="str">
        <f>IF(OR($B143="",N$7=""),"",IF($B143="MEANS",INDEX('1-DATA'!$1:$1048576,$A142-1,COLUMN('1-DATA'!M141)),ROUND(INDEX('1-DATA'!$1:$1048576,IF(OR($B143="STD. DEVIATION",$C$1=1),$A143,$A143+1),COLUMN('1-DATA'!M141)),IF($B143="STD. DEVIATION",2,$F$1))))</f>
        <v/>
      </c>
      <c r="O143" s="1" t="str">
        <f>IF(OR($B143="",O$7=""),"",IF($B143="MEANS",INDEX('1-DATA'!$1:$1048576,$A142-1,COLUMN('1-DATA'!N141)),ROUND(INDEX('1-DATA'!$1:$1048576,IF(OR($B143="STD. DEVIATION",$C$1=1),$A143,$A143+1),COLUMN('1-DATA'!N141)),IF($B143="STD. DEVIATION",2,$F$1))))</f>
        <v/>
      </c>
      <c r="P143" s="1" t="str">
        <f>IF(OR($B143="",P$7=""),"",IF($B143="MEANS",INDEX('1-DATA'!$1:$1048576,$A142-1,COLUMN('1-DATA'!O141)),ROUND(INDEX('1-DATA'!$1:$1048576,IF(OR($B143="STD. DEVIATION",$C$1=1),$A143,$A143+1),COLUMN('1-DATA'!O141)),IF($B143="STD. DEVIATION",2,$F$1))))</f>
        <v/>
      </c>
      <c r="Q143" s="1" t="str">
        <f>IF(OR($B143="",Q$7=""),"",IF($B143="MEANS",INDEX('1-DATA'!$1:$1048576,$A142-1,COLUMN('1-DATA'!P141)),ROUND(INDEX('1-DATA'!$1:$1048576,IF(OR($B143="STD. DEVIATION",$C$1=1),$A143,$A143+1),COLUMN('1-DATA'!P141)),IF($B143="STD. DEVIATION",2,$F$1))))</f>
        <v/>
      </c>
      <c r="R143" s="1" t="str">
        <f>IF(OR($B143="",R$7=""),"",IF($B143="MEANS",INDEX('1-DATA'!$1:$1048576,$A142-1,COLUMN('1-DATA'!Q141)),ROUND(INDEX('1-DATA'!$1:$1048576,IF(OR($B143="STD. DEVIATION",$C$1=1),$A143,$A143+1),COLUMN('1-DATA'!Q141)),IF($B143="STD. DEVIATION",2,$F$1))))</f>
        <v/>
      </c>
      <c r="S143" s="1" t="str">
        <f>IF(OR($B143="",S$7=""),"",IF($B143="MEANS",INDEX('1-DATA'!$1:$1048576,$A142-1,COLUMN('1-DATA'!R141)),ROUND(INDEX('1-DATA'!$1:$1048576,IF(OR($B143="STD. DEVIATION",$C$1=1),$A143,$A143+1),COLUMN('1-DATA'!R141)),IF($B143="STD. DEVIATION",2,$F$1))))</f>
        <v/>
      </c>
      <c r="T143" s="1" t="str">
        <f>IF(OR($B143="",T$7=""),"",IF($B143="MEANS",INDEX('1-DATA'!$1:$1048576,$A142-1,COLUMN('1-DATA'!S141)),ROUND(INDEX('1-DATA'!$1:$1048576,IF(OR($B143="STD. DEVIATION",$C$1=1),$A143,$A143+1),COLUMN('1-DATA'!S141)),IF($B143="STD. DEVIATION",2,$F$1))))</f>
        <v/>
      </c>
      <c r="U143" s="1" t="str">
        <f>IF(OR($B143="",U$7=""),"",IF($B143="MEANS",INDEX('1-DATA'!$1:$1048576,$A142-1,COLUMN('1-DATA'!T141)),ROUND(INDEX('1-DATA'!$1:$1048576,IF(OR($B143="STD. DEVIATION",$C$1=1),$A143,$A143+1),COLUMN('1-DATA'!T141)),IF($B143="STD. DEVIATION",2,$F$1))))</f>
        <v/>
      </c>
      <c r="V143" s="1" t="str">
        <f>IF(OR($B143="",V$7=""),"",IF($B143="MEANS",INDEX('1-DATA'!$1:$1048576,$A142-1,COLUMN('1-DATA'!U141)),ROUND(INDEX('1-DATA'!$1:$1048576,IF(OR($B143="STD. DEVIATION",$C$1=1),$A143,$A143+1),COLUMN('1-DATA'!U141)),IF($B143="STD. DEVIATION",2,$F$1))))</f>
        <v/>
      </c>
      <c r="W143" s="1" t="str">
        <f>IF(OR($B143="",W$7=""),"",IF($B143="MEANS",INDEX('1-DATA'!$1:$1048576,$A142-1,COLUMN('1-DATA'!V141)),ROUND(INDEX('1-DATA'!$1:$1048576,IF(OR($B143="STD. DEVIATION",$C$1=1),$A143,$A143+1),COLUMN('1-DATA'!V141)),IF($B143="STD. DEVIATION",2,$F$1))))</f>
        <v/>
      </c>
      <c r="X143" s="1" t="str">
        <f>IF(OR($B143="",X$7=""),"",IF($B143="MEANS",INDEX('1-DATA'!$1:$1048576,$A142-1,COLUMN('1-DATA'!W141)),ROUND(INDEX('1-DATA'!$1:$1048576,IF(OR($B143="STD. DEVIATION",$C$1=1),$A143,$A143+1),COLUMN('1-DATA'!W141)),IF($B143="STD. DEVIATION",2,$F$1))))</f>
        <v/>
      </c>
      <c r="Y143" s="1" t="str">
        <f>IF(OR($B143="",Y$7=""),"",IF($B143="MEANS",INDEX('1-DATA'!$1:$1048576,$A142-1,COLUMN('1-DATA'!X141)),ROUND(INDEX('1-DATA'!$1:$1048576,IF(OR($B143="STD. DEVIATION",$C$1=1),$A143,$A143+1),COLUMN('1-DATA'!X141)),IF($B143="STD. DEVIATION",2,$F$1))))</f>
        <v/>
      </c>
      <c r="Z143" s="1" t="str">
        <f>IF(OR($B143="",Z$7=""),"",IF($B143="MEANS",INDEX('1-DATA'!$1:$1048576,$A142-1,COLUMN('1-DATA'!Y141)),ROUND(INDEX('1-DATA'!$1:$1048576,IF(OR($B143="STD. DEVIATION",$C$1=1),$A143,$A143+1),COLUMN('1-DATA'!Y141)),IF($B143="STD. DEVIATION",2,$F$1))))</f>
        <v/>
      </c>
      <c r="AA143" s="1" t="str">
        <f>IF(OR($B143="",AA$7=""),"",IF($B143="MEANS",INDEX('1-DATA'!$1:$1048576,$A142-1,COLUMN('1-DATA'!Z141)),ROUND(INDEX('1-DATA'!$1:$1048576,IF(OR($B143="STD. DEVIATION",$C$1=1),$A143,$A143+1),COLUMN('1-DATA'!Z141)),IF($B143="STD. DEVIATION",2,$F$1))))</f>
        <v/>
      </c>
      <c r="AB143" s="1" t="str">
        <f>IF(OR($B143="",AB$7=""),"",IF($B143="MEANS",INDEX('1-DATA'!$1:$1048576,$A142-1,COLUMN('1-DATA'!AA141)),ROUND(INDEX('1-DATA'!$1:$1048576,IF(OR($B143="STD. DEVIATION",$C$1=1),$A143,$A143+1),COLUMN('1-DATA'!AA141)),IF($B143="STD. DEVIATION",2,$F$1))))</f>
        <v/>
      </c>
      <c r="AC143" s="1" t="str">
        <f>IF(OR($B143="",AC$7=""),"",IF($B143="MEANS",INDEX('1-DATA'!$1:$1048576,$A142-1,COLUMN('1-DATA'!AB141)),ROUND(INDEX('1-DATA'!$1:$1048576,IF(OR($B143="STD. DEVIATION",$C$1=1),$A143,$A143+1),COLUMN('1-DATA'!AB141)),IF($B143="STD. DEVIATION",2,$F$1))))</f>
        <v/>
      </c>
      <c r="AD143" s="1" t="str">
        <f>IF(OR($B143="",AD$7=""),"",IF($B143="MEANS",INDEX('1-DATA'!$1:$1048576,$A142-1,COLUMN('1-DATA'!AC141)),ROUND(INDEX('1-DATA'!$1:$1048576,IF(OR($B143="STD. DEVIATION",$C$1=1),$A143,$A143+1),COLUMN('1-DATA'!AC141)),IF($B143="STD. DEVIATION",2,$F$1))))</f>
        <v/>
      </c>
      <c r="AE143" s="1" t="str">
        <f>IF(OR($B143="",AE$7=""),"",IF($B143="MEANS",INDEX('1-DATA'!$1:$1048576,$A142-1,COLUMN('1-DATA'!AD141)),ROUND(INDEX('1-DATA'!$1:$1048576,IF(OR($B143="STD. DEVIATION",$C$1=1),$A143,$A143+1),COLUMN('1-DATA'!AD141)),IF($B143="STD. DEVIATION",2,$F$1))))</f>
        <v/>
      </c>
      <c r="AF143" s="1" t="str">
        <f>IF(OR($B143="",AF$7=""),"",IF($B143="MEANS",INDEX('1-DATA'!$1:$1048576,$A142-1,COLUMN('1-DATA'!AE141)),ROUND(INDEX('1-DATA'!$1:$1048576,IF(OR($B143="STD. DEVIATION",$C$1=1),$A143,$A143+1),COLUMN('1-DATA'!AE141)),IF($B143="STD. DEVIATION",2,$F$1))))</f>
        <v/>
      </c>
      <c r="AG143" s="1" t="str">
        <f>IF(OR($B143="",AG$7=""),"",IF($B143="MEANS",INDEX('1-DATA'!$1:$1048576,$A142-1,COLUMN('1-DATA'!AF141)),ROUND(INDEX('1-DATA'!$1:$1048576,IF(OR($B143="STD. DEVIATION",$C$1=1),$A143,$A143+1),COLUMN('1-DATA'!AF141)),IF($B143="STD. DEVIATION",2,$F$1))))</f>
        <v/>
      </c>
      <c r="AH143" s="1" t="str">
        <f>IF(OR($B143="",AH$7=""),"",IF($B143="MEANS",INDEX('1-DATA'!$1:$1048576,$A142-1,COLUMN('1-DATA'!AG141)),ROUND(INDEX('1-DATA'!$1:$1048576,IF(OR($B143="STD. DEVIATION",$C$1=1),$A143,$A143+1),COLUMN('1-DATA'!AG141)),IF($B143="STD. DEVIATION",2,$F$1))))</f>
        <v/>
      </c>
      <c r="AI143" s="1" t="str">
        <f>IF(OR($B143="",AI$7=""),"",IF($B143="MEANS",INDEX('1-DATA'!$1:$1048576,$A142-1,COLUMN('1-DATA'!AH141)),ROUND(INDEX('1-DATA'!$1:$1048576,IF(OR($B143="STD. DEVIATION",$C$1=1),$A143,$A143+1),COLUMN('1-DATA'!AH141)),IF($B143="STD. DEVIATION",2,$F$1))))</f>
        <v/>
      </c>
      <c r="AJ143" s="1" t="str">
        <f>IF(OR($B143="",AJ$7=""),"",IF($B143="MEANS",INDEX('1-DATA'!$1:$1048576,$A142-1,COLUMN('1-DATA'!AI141)),ROUND(INDEX('1-DATA'!$1:$1048576,IF(OR($B143="STD. DEVIATION",$C$1=1),$A143,$A143+1),COLUMN('1-DATA'!AI141)),IF($B143="STD. DEVIATION",2,$F$1))))</f>
        <v/>
      </c>
      <c r="AK143" s="1" t="str">
        <f>IF(OR($B143="",AK$7=""),"",IF($B143="MEANS",INDEX('1-DATA'!$1:$1048576,$A142-1,COLUMN('1-DATA'!AJ141)),ROUND(INDEX('1-DATA'!$1:$1048576,IF(OR($B143="STD. DEVIATION",$C$1=1),$A143,$A143+1),COLUMN('1-DATA'!AJ141)),IF($B143="STD. DEVIATION",2,$F$1))))</f>
        <v/>
      </c>
      <c r="AL143" s="1" t="str">
        <f>IF(OR($B143="",AL$7=""),"",IF($B143="MEANS",INDEX('1-DATA'!$1:$1048576,$A142-1,COLUMN('1-DATA'!AK141)),ROUND(INDEX('1-DATA'!$1:$1048576,IF(OR($B143="STD. DEVIATION",$C$1=1),$A143,$A143+1),COLUMN('1-DATA'!AK141)),IF($B143="STD. DEVIATION",2,$F$1))))</f>
        <v/>
      </c>
      <c r="AM143" s="1" t="str">
        <f>IF(OR($B143="",AM$7=""),"",IF($B143="MEANS",INDEX('1-DATA'!$1:$1048576,$A142-1,COLUMN('1-DATA'!AL141)),ROUND(INDEX('1-DATA'!$1:$1048576,IF(OR($B143="STD. DEVIATION",$C$1=1),$A143,$A143+1),COLUMN('1-DATA'!AL141)),IF($B143="STD. DEVIATION",2,$F$1))))</f>
        <v/>
      </c>
      <c r="AN143" s="1" t="str">
        <f>IF(OR($B143="",AN$7=""),"",IF($B143="MEANS",INDEX('1-DATA'!$1:$1048576,$A142-1,COLUMN('1-DATA'!AM141)),ROUND(INDEX('1-DATA'!$1:$1048576,IF(OR($B143="STD. DEVIATION",$C$1=1),$A143,$A143+1),COLUMN('1-DATA'!AM141)),IF($B143="STD. DEVIATION",2,$F$1))))</f>
        <v/>
      </c>
      <c r="AO143" s="1" t="str">
        <f>IF(OR($B143="",AO$7=""),"",IF($B143="MEANS",INDEX('1-DATA'!$1:$1048576,$A142-1,COLUMN('1-DATA'!AN141)),ROUND(INDEX('1-DATA'!$1:$1048576,IF(OR($B143="STD. DEVIATION",$C$1=1),$A143,$A143+1),COLUMN('1-DATA'!AN141)),IF($B143="STD. DEVIATION",2,$F$1))))</f>
        <v/>
      </c>
      <c r="AP143" s="1" t="str">
        <f>IF(OR($B143="",AP$7=""),"",IF($B143="MEANS",INDEX('1-DATA'!$1:$1048576,$A142-1,COLUMN('1-DATA'!AO141)),ROUND(INDEX('1-DATA'!$1:$1048576,IF(OR($B143="STD. DEVIATION",$C$1=1),$A143,$A143+1),COLUMN('1-DATA'!AO141)),IF($B143="STD. DEVIATION",2,$F$1))))</f>
        <v/>
      </c>
      <c r="AQ143" s="1" t="str">
        <f>IF(OR($B143="",AQ$7=""),"",IF($B143="MEANS",INDEX('1-DATA'!$1:$1048576,$A142-1,COLUMN('1-DATA'!AP141)),ROUND(INDEX('1-DATA'!$1:$1048576,IF(OR($B143="STD. DEVIATION",$C$1=1),$A143,$A143+1),COLUMN('1-DATA'!AP141)),IF($B143="STD. DEVIATION",2,$F$1))))</f>
        <v/>
      </c>
      <c r="AR143" s="1" t="str">
        <f>IF(OR($B143="",AR$7=""),"",IF($B143="MEANS",INDEX('1-DATA'!$1:$1048576,$A142-1,COLUMN('1-DATA'!AQ141)),ROUND(INDEX('1-DATA'!$1:$1048576,IF(OR($B143="STD. DEVIATION",$C$1=1),$A143,$A143+1),COLUMN('1-DATA'!AQ141)),IF($B143="STD. DEVIATION",2,$F$1))))</f>
        <v/>
      </c>
      <c r="AS143" s="1" t="str">
        <f>IF(OR($B143="",AS$7=""),"",IF($B143="MEANS",INDEX('1-DATA'!$1:$1048576,$A142-1,COLUMN('1-DATA'!AR141)),ROUND(INDEX('1-DATA'!$1:$1048576,IF(OR($B143="STD. DEVIATION",$C$1=1),$A143,$A143+1),COLUMN('1-DATA'!AR141)),IF($B143="STD. DEVIATION",2,$F$1))))</f>
        <v/>
      </c>
      <c r="AT143" s="1" t="str">
        <f>IF(OR($B143="",AT$7=""),"",IF($B143="MEANS",INDEX('1-DATA'!$1:$1048576,$A142-1,COLUMN('1-DATA'!AS141)),ROUND(INDEX('1-DATA'!$1:$1048576,IF(OR($B143="STD. DEVIATION",$C$1=1),$A143,$A143+1),COLUMN('1-DATA'!AS141)),IF($B143="STD. DEVIATION",2,$F$1))))</f>
        <v/>
      </c>
      <c r="AU143" s="1" t="str">
        <f>IF(OR($B143="",AU$7=""),"",IF($B143="MEANS",INDEX('1-DATA'!$1:$1048576,$A142-1,COLUMN('1-DATA'!AT141)),ROUND(INDEX('1-DATA'!$1:$1048576,IF(OR($B143="STD. DEVIATION",$C$1=1),$A143,$A143+1),COLUMN('1-DATA'!AT141)),IF($B143="STD. DEVIATION",2,$F$1))))</f>
        <v/>
      </c>
      <c r="AV143" s="1" t="str">
        <f>IF(OR($B143="",AV$7=""),"",IF($B143="MEANS",INDEX('1-DATA'!$1:$1048576,$A142-1,COLUMN('1-DATA'!AU141)),ROUND(INDEX('1-DATA'!$1:$1048576,IF(OR($B143="STD. DEVIATION",$C$1=1),$A143,$A143+1),COLUMN('1-DATA'!AU141)),IF($B143="STD. DEVIATION",2,$F$1))))</f>
        <v/>
      </c>
      <c r="AW143" s="1" t="str">
        <f>IF(OR($B143="",AW$7=""),"",IF($B143="MEANS",INDEX('1-DATA'!$1:$1048576,$A142-1,COLUMN('1-DATA'!AV141)),ROUND(INDEX('1-DATA'!$1:$1048576,IF(OR($B143="STD. DEVIATION",$C$1=1),$A143,$A143+1),COLUMN('1-DATA'!AV141)),IF($B143="STD. DEVIATION",2,$F$1))))</f>
        <v/>
      </c>
      <c r="AX143" s="1" t="str">
        <f>IF(OR($B143="",AX$7=""),"",IF($B143="MEANS",INDEX('1-DATA'!$1:$1048576,$A142-1,COLUMN('1-DATA'!AW141)),ROUND(INDEX('1-DATA'!$1:$1048576,IF(OR($B143="STD. DEVIATION",$C$1=1),$A143,$A143+1),COLUMN('1-DATA'!AW141)),IF($B143="STD. DEVIATION",2,$F$1))))</f>
        <v/>
      </c>
      <c r="AY143" s="1" t="str">
        <f>IF(OR($B143="",AY$7=""),"",IF($B143="MEANS",INDEX('1-DATA'!$1:$1048576,$A142-1,COLUMN('1-DATA'!AX141)),ROUND(INDEX('1-DATA'!$1:$1048576,IF(OR($B143="STD. DEVIATION",$C$1=1),$A143,$A143+1),COLUMN('1-DATA'!AX141)),IF($B143="STD. DEVIATION",2,$F$1))))</f>
        <v/>
      </c>
      <c r="AZ143" s="1" t="str">
        <f>IF(OR($B143="",AZ$7=""),"",IF($B143="MEANS",INDEX('1-DATA'!$1:$1048576,$A142-1,COLUMN('1-DATA'!AY141)),ROUND(INDEX('1-DATA'!$1:$1048576,IF(OR($B143="STD. DEVIATION",$C$1=1),$A143,$A143+1),COLUMN('1-DATA'!AY141)),IF($B143="STD. DEVIATION",2,$F$1))))</f>
        <v/>
      </c>
    </row>
    <row r="144" spans="1:52" x14ac:dyDescent="0.25">
      <c r="A144" s="11">
        <f t="shared" si="2"/>
        <v>418</v>
      </c>
      <c r="B144" s="1" t="str">
        <f>IF(B143="STD. DEVIATION",INDEX('1-DATA'!$1:$1048576,$A143-1,1),IF(INDEX('1-DATA'!$1:$1048576,$A144,1)&lt;&gt;"",INDEX('1-DATA'!$1:$1048576,$A144,1),""))</f>
        <v/>
      </c>
      <c r="C144" s="1" t="str">
        <f>IF(OR($B144="",C$7=""),"",IF($B144="MEANS",INDEX('1-DATA'!$1:$1048576,$A143-1,COLUMN('1-DATA'!B142)),ROUND(INDEX('1-DATA'!$1:$1048576,IF(OR($B144="STD. DEVIATION",$C$1=1),$A144,$A144+1),COLUMN('1-DATA'!B142)),IF($B144="STD. DEVIATION",2,$F$1))))</f>
        <v/>
      </c>
      <c r="D144" s="1" t="str">
        <f>IF(OR($B144="",D$7=""),"",IF($B144="MEANS",INDEX('1-DATA'!$1:$1048576,$A143-1,COLUMN('1-DATA'!C142)),ROUND(INDEX('1-DATA'!$1:$1048576,IF(OR($B144="STD. DEVIATION",$C$1=1),$A144,$A144+1),COLUMN('1-DATA'!C142)),IF($B144="STD. DEVIATION",2,$F$1))))</f>
        <v/>
      </c>
      <c r="E144" s="1" t="str">
        <f>IF(OR($B144="",E$7=""),"",IF($B144="MEANS",INDEX('1-DATA'!$1:$1048576,$A143-1,COLUMN('1-DATA'!D142)),ROUND(INDEX('1-DATA'!$1:$1048576,IF(OR($B144="STD. DEVIATION",$C$1=1),$A144,$A144+1),COLUMN('1-DATA'!D142)),IF($B144="STD. DEVIATION",2,$F$1))))</f>
        <v/>
      </c>
      <c r="F144" s="1" t="str">
        <f>IF(OR($B144="",F$7=""),"",IF($B144="MEANS",INDEX('1-DATA'!$1:$1048576,$A143-1,COLUMN('1-DATA'!E142)),ROUND(INDEX('1-DATA'!$1:$1048576,IF(OR($B144="STD. DEVIATION",$C$1=1),$A144,$A144+1),COLUMN('1-DATA'!E142)),IF($B144="STD. DEVIATION",2,$F$1))))</f>
        <v/>
      </c>
      <c r="G144" s="1" t="str">
        <f>IF(OR($B144="",G$7=""),"",IF($B144="MEANS",INDEX('1-DATA'!$1:$1048576,$A143-1,COLUMN('1-DATA'!F142)),ROUND(INDEX('1-DATA'!$1:$1048576,IF(OR($B144="STD. DEVIATION",$C$1=1),$A144,$A144+1),COLUMN('1-DATA'!F142)),IF($B144="STD. DEVIATION",2,$F$1))))</f>
        <v/>
      </c>
      <c r="H144" s="1" t="str">
        <f>IF(OR($B144="",H$7=""),"",IF($B144="MEANS",INDEX('1-DATA'!$1:$1048576,$A143-1,COLUMN('1-DATA'!G142)),ROUND(INDEX('1-DATA'!$1:$1048576,IF(OR($B144="STD. DEVIATION",$C$1=1),$A144,$A144+1),COLUMN('1-DATA'!G142)),IF($B144="STD. DEVIATION",2,$F$1))))</f>
        <v/>
      </c>
      <c r="I144" s="1" t="str">
        <f>IF(OR($B144="",I$7=""),"",IF($B144="MEANS",INDEX('1-DATA'!$1:$1048576,$A143-1,COLUMN('1-DATA'!H142)),ROUND(INDEX('1-DATA'!$1:$1048576,IF(OR($B144="STD. DEVIATION",$C$1=1),$A144,$A144+1),COLUMN('1-DATA'!H142)),IF($B144="STD. DEVIATION",2,$F$1))))</f>
        <v/>
      </c>
      <c r="J144" s="1" t="str">
        <f>IF(OR($B144="",J$7=""),"",IF($B144="MEANS",INDEX('1-DATA'!$1:$1048576,$A143-1,COLUMN('1-DATA'!I142)),ROUND(INDEX('1-DATA'!$1:$1048576,IF(OR($B144="STD. DEVIATION",$C$1=1),$A144,$A144+1),COLUMN('1-DATA'!I142)),IF($B144="STD. DEVIATION",2,$F$1))))</f>
        <v/>
      </c>
      <c r="K144" s="1" t="str">
        <f>IF(OR($B144="",K$7=""),"",IF($B144="MEANS",INDEX('1-DATA'!$1:$1048576,$A143-1,COLUMN('1-DATA'!J142)),ROUND(INDEX('1-DATA'!$1:$1048576,IF(OR($B144="STD. DEVIATION",$C$1=1),$A144,$A144+1),COLUMN('1-DATA'!J142)),IF($B144="STD. DEVIATION",2,$F$1))))</f>
        <v/>
      </c>
      <c r="L144" s="1" t="str">
        <f>IF(OR($B144="",L$7=""),"",IF($B144="MEANS",INDEX('1-DATA'!$1:$1048576,$A143-1,COLUMN('1-DATA'!K142)),ROUND(INDEX('1-DATA'!$1:$1048576,IF(OR($B144="STD. DEVIATION",$C$1=1),$A144,$A144+1),COLUMN('1-DATA'!K142)),IF($B144="STD. DEVIATION",2,$F$1))))</f>
        <v/>
      </c>
      <c r="M144" s="1" t="str">
        <f>IF(OR($B144="",M$7=""),"",IF($B144="MEANS",INDEX('1-DATA'!$1:$1048576,$A143-1,COLUMN('1-DATA'!L142)),ROUND(INDEX('1-DATA'!$1:$1048576,IF(OR($B144="STD. DEVIATION",$C$1=1),$A144,$A144+1),COLUMN('1-DATA'!L142)),IF($B144="STD. DEVIATION",2,$F$1))))</f>
        <v/>
      </c>
      <c r="N144" s="1" t="str">
        <f>IF(OR($B144="",N$7=""),"",IF($B144="MEANS",INDEX('1-DATA'!$1:$1048576,$A143-1,COLUMN('1-DATA'!M142)),ROUND(INDEX('1-DATA'!$1:$1048576,IF(OR($B144="STD. DEVIATION",$C$1=1),$A144,$A144+1),COLUMN('1-DATA'!M142)),IF($B144="STD. DEVIATION",2,$F$1))))</f>
        <v/>
      </c>
      <c r="O144" s="1" t="str">
        <f>IF(OR($B144="",O$7=""),"",IF($B144="MEANS",INDEX('1-DATA'!$1:$1048576,$A143-1,COLUMN('1-DATA'!N142)),ROUND(INDEX('1-DATA'!$1:$1048576,IF(OR($B144="STD. DEVIATION",$C$1=1),$A144,$A144+1),COLUMN('1-DATA'!N142)),IF($B144="STD. DEVIATION",2,$F$1))))</f>
        <v/>
      </c>
      <c r="P144" s="1" t="str">
        <f>IF(OR($B144="",P$7=""),"",IF($B144="MEANS",INDEX('1-DATA'!$1:$1048576,$A143-1,COLUMN('1-DATA'!O142)),ROUND(INDEX('1-DATA'!$1:$1048576,IF(OR($B144="STD. DEVIATION",$C$1=1),$A144,$A144+1),COLUMN('1-DATA'!O142)),IF($B144="STD. DEVIATION",2,$F$1))))</f>
        <v/>
      </c>
      <c r="Q144" s="1" t="str">
        <f>IF(OR($B144="",Q$7=""),"",IF($B144="MEANS",INDEX('1-DATA'!$1:$1048576,$A143-1,COLUMN('1-DATA'!P142)),ROUND(INDEX('1-DATA'!$1:$1048576,IF(OR($B144="STD. DEVIATION",$C$1=1),$A144,$A144+1),COLUMN('1-DATA'!P142)),IF($B144="STD. DEVIATION",2,$F$1))))</f>
        <v/>
      </c>
      <c r="R144" s="1" t="str">
        <f>IF(OR($B144="",R$7=""),"",IF($B144="MEANS",INDEX('1-DATA'!$1:$1048576,$A143-1,COLUMN('1-DATA'!Q142)),ROUND(INDEX('1-DATA'!$1:$1048576,IF(OR($B144="STD. DEVIATION",$C$1=1),$A144,$A144+1),COLUMN('1-DATA'!Q142)),IF($B144="STD. DEVIATION",2,$F$1))))</f>
        <v/>
      </c>
      <c r="S144" s="1" t="str">
        <f>IF(OR($B144="",S$7=""),"",IF($B144="MEANS",INDEX('1-DATA'!$1:$1048576,$A143-1,COLUMN('1-DATA'!R142)),ROUND(INDEX('1-DATA'!$1:$1048576,IF(OR($B144="STD. DEVIATION",$C$1=1),$A144,$A144+1),COLUMN('1-DATA'!R142)),IF($B144="STD. DEVIATION",2,$F$1))))</f>
        <v/>
      </c>
      <c r="T144" s="1" t="str">
        <f>IF(OR($B144="",T$7=""),"",IF($B144="MEANS",INDEX('1-DATA'!$1:$1048576,$A143-1,COLUMN('1-DATA'!S142)),ROUND(INDEX('1-DATA'!$1:$1048576,IF(OR($B144="STD. DEVIATION",$C$1=1),$A144,$A144+1),COLUMN('1-DATA'!S142)),IF($B144="STD. DEVIATION",2,$F$1))))</f>
        <v/>
      </c>
      <c r="U144" s="1" t="str">
        <f>IF(OR($B144="",U$7=""),"",IF($B144="MEANS",INDEX('1-DATA'!$1:$1048576,$A143-1,COLUMN('1-DATA'!T142)),ROUND(INDEX('1-DATA'!$1:$1048576,IF(OR($B144="STD. DEVIATION",$C$1=1),$A144,$A144+1),COLUMN('1-DATA'!T142)),IF($B144="STD. DEVIATION",2,$F$1))))</f>
        <v/>
      </c>
      <c r="V144" s="1" t="str">
        <f>IF(OR($B144="",V$7=""),"",IF($B144="MEANS",INDEX('1-DATA'!$1:$1048576,$A143-1,COLUMN('1-DATA'!U142)),ROUND(INDEX('1-DATA'!$1:$1048576,IF(OR($B144="STD. DEVIATION",$C$1=1),$A144,$A144+1),COLUMN('1-DATA'!U142)),IF($B144="STD. DEVIATION",2,$F$1))))</f>
        <v/>
      </c>
      <c r="W144" s="1" t="str">
        <f>IF(OR($B144="",W$7=""),"",IF($B144="MEANS",INDEX('1-DATA'!$1:$1048576,$A143-1,COLUMN('1-DATA'!V142)),ROUND(INDEX('1-DATA'!$1:$1048576,IF(OR($B144="STD. DEVIATION",$C$1=1),$A144,$A144+1),COLUMN('1-DATA'!V142)),IF($B144="STD. DEVIATION",2,$F$1))))</f>
        <v/>
      </c>
      <c r="X144" s="1" t="str">
        <f>IF(OR($B144="",X$7=""),"",IF($B144="MEANS",INDEX('1-DATA'!$1:$1048576,$A143-1,COLUMN('1-DATA'!W142)),ROUND(INDEX('1-DATA'!$1:$1048576,IF(OR($B144="STD. DEVIATION",$C$1=1),$A144,$A144+1),COLUMN('1-DATA'!W142)),IF($B144="STD. DEVIATION",2,$F$1))))</f>
        <v/>
      </c>
      <c r="Y144" s="1" t="str">
        <f>IF(OR($B144="",Y$7=""),"",IF($B144="MEANS",INDEX('1-DATA'!$1:$1048576,$A143-1,COLUMN('1-DATA'!X142)),ROUND(INDEX('1-DATA'!$1:$1048576,IF(OR($B144="STD. DEVIATION",$C$1=1),$A144,$A144+1),COLUMN('1-DATA'!X142)),IF($B144="STD. DEVIATION",2,$F$1))))</f>
        <v/>
      </c>
      <c r="Z144" s="1" t="str">
        <f>IF(OR($B144="",Z$7=""),"",IF($B144="MEANS",INDEX('1-DATA'!$1:$1048576,$A143-1,COLUMN('1-DATA'!Y142)),ROUND(INDEX('1-DATA'!$1:$1048576,IF(OR($B144="STD. DEVIATION",$C$1=1),$A144,$A144+1),COLUMN('1-DATA'!Y142)),IF($B144="STD. DEVIATION",2,$F$1))))</f>
        <v/>
      </c>
      <c r="AA144" s="1" t="str">
        <f>IF(OR($B144="",AA$7=""),"",IF($B144="MEANS",INDEX('1-DATA'!$1:$1048576,$A143-1,COLUMN('1-DATA'!Z142)),ROUND(INDEX('1-DATA'!$1:$1048576,IF(OR($B144="STD. DEVIATION",$C$1=1),$A144,$A144+1),COLUMN('1-DATA'!Z142)),IF($B144="STD. DEVIATION",2,$F$1))))</f>
        <v/>
      </c>
      <c r="AB144" s="1" t="str">
        <f>IF(OR($B144="",AB$7=""),"",IF($B144="MEANS",INDEX('1-DATA'!$1:$1048576,$A143-1,COLUMN('1-DATA'!AA142)),ROUND(INDEX('1-DATA'!$1:$1048576,IF(OR($B144="STD. DEVIATION",$C$1=1),$A144,$A144+1),COLUMN('1-DATA'!AA142)),IF($B144="STD. DEVIATION",2,$F$1))))</f>
        <v/>
      </c>
      <c r="AC144" s="1" t="str">
        <f>IF(OR($B144="",AC$7=""),"",IF($B144="MEANS",INDEX('1-DATA'!$1:$1048576,$A143-1,COLUMN('1-DATA'!AB142)),ROUND(INDEX('1-DATA'!$1:$1048576,IF(OR($B144="STD. DEVIATION",$C$1=1),$A144,$A144+1),COLUMN('1-DATA'!AB142)),IF($B144="STD. DEVIATION",2,$F$1))))</f>
        <v/>
      </c>
      <c r="AD144" s="1" t="str">
        <f>IF(OR($B144="",AD$7=""),"",IF($B144="MEANS",INDEX('1-DATA'!$1:$1048576,$A143-1,COLUMN('1-DATA'!AC142)),ROUND(INDEX('1-DATA'!$1:$1048576,IF(OR($B144="STD. DEVIATION",$C$1=1),$A144,$A144+1),COLUMN('1-DATA'!AC142)),IF($B144="STD. DEVIATION",2,$F$1))))</f>
        <v/>
      </c>
      <c r="AE144" s="1" t="str">
        <f>IF(OR($B144="",AE$7=""),"",IF($B144="MEANS",INDEX('1-DATA'!$1:$1048576,$A143-1,COLUMN('1-DATA'!AD142)),ROUND(INDEX('1-DATA'!$1:$1048576,IF(OR($B144="STD. DEVIATION",$C$1=1),$A144,$A144+1),COLUMN('1-DATA'!AD142)),IF($B144="STD. DEVIATION",2,$F$1))))</f>
        <v/>
      </c>
      <c r="AF144" s="1" t="str">
        <f>IF(OR($B144="",AF$7=""),"",IF($B144="MEANS",INDEX('1-DATA'!$1:$1048576,$A143-1,COLUMN('1-DATA'!AE142)),ROUND(INDEX('1-DATA'!$1:$1048576,IF(OR($B144="STD. DEVIATION",$C$1=1),$A144,$A144+1),COLUMN('1-DATA'!AE142)),IF($B144="STD. DEVIATION",2,$F$1))))</f>
        <v/>
      </c>
      <c r="AG144" s="1" t="str">
        <f>IF(OR($B144="",AG$7=""),"",IF($B144="MEANS",INDEX('1-DATA'!$1:$1048576,$A143-1,COLUMN('1-DATA'!AF142)),ROUND(INDEX('1-DATA'!$1:$1048576,IF(OR($B144="STD. DEVIATION",$C$1=1),$A144,$A144+1),COLUMN('1-DATA'!AF142)),IF($B144="STD. DEVIATION",2,$F$1))))</f>
        <v/>
      </c>
      <c r="AH144" s="1" t="str">
        <f>IF(OR($B144="",AH$7=""),"",IF($B144="MEANS",INDEX('1-DATA'!$1:$1048576,$A143-1,COLUMN('1-DATA'!AG142)),ROUND(INDEX('1-DATA'!$1:$1048576,IF(OR($B144="STD. DEVIATION",$C$1=1),$A144,$A144+1),COLUMN('1-DATA'!AG142)),IF($B144="STD. DEVIATION",2,$F$1))))</f>
        <v/>
      </c>
      <c r="AI144" s="1" t="str">
        <f>IF(OR($B144="",AI$7=""),"",IF($B144="MEANS",INDEX('1-DATA'!$1:$1048576,$A143-1,COLUMN('1-DATA'!AH142)),ROUND(INDEX('1-DATA'!$1:$1048576,IF(OR($B144="STD. DEVIATION",$C$1=1),$A144,$A144+1),COLUMN('1-DATA'!AH142)),IF($B144="STD. DEVIATION",2,$F$1))))</f>
        <v/>
      </c>
      <c r="AJ144" s="1" t="str">
        <f>IF(OR($B144="",AJ$7=""),"",IF($B144="MEANS",INDEX('1-DATA'!$1:$1048576,$A143-1,COLUMN('1-DATA'!AI142)),ROUND(INDEX('1-DATA'!$1:$1048576,IF(OR($B144="STD. DEVIATION",$C$1=1),$A144,$A144+1),COLUMN('1-DATA'!AI142)),IF($B144="STD. DEVIATION",2,$F$1))))</f>
        <v/>
      </c>
      <c r="AK144" s="1" t="str">
        <f>IF(OR($B144="",AK$7=""),"",IF($B144="MEANS",INDEX('1-DATA'!$1:$1048576,$A143-1,COLUMN('1-DATA'!AJ142)),ROUND(INDEX('1-DATA'!$1:$1048576,IF(OR($B144="STD. DEVIATION",$C$1=1),$A144,$A144+1),COLUMN('1-DATA'!AJ142)),IF($B144="STD. DEVIATION",2,$F$1))))</f>
        <v/>
      </c>
      <c r="AL144" s="1" t="str">
        <f>IF(OR($B144="",AL$7=""),"",IF($B144="MEANS",INDEX('1-DATA'!$1:$1048576,$A143-1,COLUMN('1-DATA'!AK142)),ROUND(INDEX('1-DATA'!$1:$1048576,IF(OR($B144="STD. DEVIATION",$C$1=1),$A144,$A144+1),COLUMN('1-DATA'!AK142)),IF($B144="STD. DEVIATION",2,$F$1))))</f>
        <v/>
      </c>
      <c r="AM144" s="1" t="str">
        <f>IF(OR($B144="",AM$7=""),"",IF($B144="MEANS",INDEX('1-DATA'!$1:$1048576,$A143-1,COLUMN('1-DATA'!AL142)),ROUND(INDEX('1-DATA'!$1:$1048576,IF(OR($B144="STD. DEVIATION",$C$1=1),$A144,$A144+1),COLUMN('1-DATA'!AL142)),IF($B144="STD. DEVIATION",2,$F$1))))</f>
        <v/>
      </c>
      <c r="AN144" s="1" t="str">
        <f>IF(OR($B144="",AN$7=""),"",IF($B144="MEANS",INDEX('1-DATA'!$1:$1048576,$A143-1,COLUMN('1-DATA'!AM142)),ROUND(INDEX('1-DATA'!$1:$1048576,IF(OR($B144="STD. DEVIATION",$C$1=1),$A144,$A144+1),COLUMN('1-DATA'!AM142)),IF($B144="STD. DEVIATION",2,$F$1))))</f>
        <v/>
      </c>
      <c r="AO144" s="1" t="str">
        <f>IF(OR($B144="",AO$7=""),"",IF($B144="MEANS",INDEX('1-DATA'!$1:$1048576,$A143-1,COLUMN('1-DATA'!AN142)),ROUND(INDEX('1-DATA'!$1:$1048576,IF(OR($B144="STD. DEVIATION",$C$1=1),$A144,$A144+1),COLUMN('1-DATA'!AN142)),IF($B144="STD. DEVIATION",2,$F$1))))</f>
        <v/>
      </c>
      <c r="AP144" s="1" t="str">
        <f>IF(OR($B144="",AP$7=""),"",IF($B144="MEANS",INDEX('1-DATA'!$1:$1048576,$A143-1,COLUMN('1-DATA'!AO142)),ROUND(INDEX('1-DATA'!$1:$1048576,IF(OR($B144="STD. DEVIATION",$C$1=1),$A144,$A144+1),COLUMN('1-DATA'!AO142)),IF($B144="STD. DEVIATION",2,$F$1))))</f>
        <v/>
      </c>
      <c r="AQ144" s="1" t="str">
        <f>IF(OR($B144="",AQ$7=""),"",IF($B144="MEANS",INDEX('1-DATA'!$1:$1048576,$A143-1,COLUMN('1-DATA'!AP142)),ROUND(INDEX('1-DATA'!$1:$1048576,IF(OR($B144="STD. DEVIATION",$C$1=1),$A144,$A144+1),COLUMN('1-DATA'!AP142)),IF($B144="STD. DEVIATION",2,$F$1))))</f>
        <v/>
      </c>
      <c r="AR144" s="1" t="str">
        <f>IF(OR($B144="",AR$7=""),"",IF($B144="MEANS",INDEX('1-DATA'!$1:$1048576,$A143-1,COLUMN('1-DATA'!AQ142)),ROUND(INDEX('1-DATA'!$1:$1048576,IF(OR($B144="STD. DEVIATION",$C$1=1),$A144,$A144+1),COLUMN('1-DATA'!AQ142)),IF($B144="STD. DEVIATION",2,$F$1))))</f>
        <v/>
      </c>
      <c r="AS144" s="1" t="str">
        <f>IF(OR($B144="",AS$7=""),"",IF($B144="MEANS",INDEX('1-DATA'!$1:$1048576,$A143-1,COLUMN('1-DATA'!AR142)),ROUND(INDEX('1-DATA'!$1:$1048576,IF(OR($B144="STD. DEVIATION",$C$1=1),$A144,$A144+1),COLUMN('1-DATA'!AR142)),IF($B144="STD. DEVIATION",2,$F$1))))</f>
        <v/>
      </c>
      <c r="AT144" s="1" t="str">
        <f>IF(OR($B144="",AT$7=""),"",IF($B144="MEANS",INDEX('1-DATA'!$1:$1048576,$A143-1,COLUMN('1-DATA'!AS142)),ROUND(INDEX('1-DATA'!$1:$1048576,IF(OR($B144="STD. DEVIATION",$C$1=1),$A144,$A144+1),COLUMN('1-DATA'!AS142)),IF($B144="STD. DEVIATION",2,$F$1))))</f>
        <v/>
      </c>
      <c r="AU144" s="1" t="str">
        <f>IF(OR($B144="",AU$7=""),"",IF($B144="MEANS",INDEX('1-DATA'!$1:$1048576,$A143-1,COLUMN('1-DATA'!AT142)),ROUND(INDEX('1-DATA'!$1:$1048576,IF(OR($B144="STD. DEVIATION",$C$1=1),$A144,$A144+1),COLUMN('1-DATA'!AT142)),IF($B144="STD. DEVIATION",2,$F$1))))</f>
        <v/>
      </c>
      <c r="AV144" s="1" t="str">
        <f>IF(OR($B144="",AV$7=""),"",IF($B144="MEANS",INDEX('1-DATA'!$1:$1048576,$A143-1,COLUMN('1-DATA'!AU142)),ROUND(INDEX('1-DATA'!$1:$1048576,IF(OR($B144="STD. DEVIATION",$C$1=1),$A144,$A144+1),COLUMN('1-DATA'!AU142)),IF($B144="STD. DEVIATION",2,$F$1))))</f>
        <v/>
      </c>
      <c r="AW144" s="1" t="str">
        <f>IF(OR($B144="",AW$7=""),"",IF($B144="MEANS",INDEX('1-DATA'!$1:$1048576,$A143-1,COLUMN('1-DATA'!AV142)),ROUND(INDEX('1-DATA'!$1:$1048576,IF(OR($B144="STD. DEVIATION",$C$1=1),$A144,$A144+1),COLUMN('1-DATA'!AV142)),IF($B144="STD. DEVIATION",2,$F$1))))</f>
        <v/>
      </c>
      <c r="AX144" s="1" t="str">
        <f>IF(OR($B144="",AX$7=""),"",IF($B144="MEANS",INDEX('1-DATA'!$1:$1048576,$A143-1,COLUMN('1-DATA'!AW142)),ROUND(INDEX('1-DATA'!$1:$1048576,IF(OR($B144="STD. DEVIATION",$C$1=1),$A144,$A144+1),COLUMN('1-DATA'!AW142)),IF($B144="STD. DEVIATION",2,$F$1))))</f>
        <v/>
      </c>
      <c r="AY144" s="1" t="str">
        <f>IF(OR($B144="",AY$7=""),"",IF($B144="MEANS",INDEX('1-DATA'!$1:$1048576,$A143-1,COLUMN('1-DATA'!AX142)),ROUND(INDEX('1-DATA'!$1:$1048576,IF(OR($B144="STD. DEVIATION",$C$1=1),$A144,$A144+1),COLUMN('1-DATA'!AX142)),IF($B144="STD. DEVIATION",2,$F$1))))</f>
        <v/>
      </c>
      <c r="AZ144" s="1" t="str">
        <f>IF(OR($B144="",AZ$7=""),"",IF($B144="MEANS",INDEX('1-DATA'!$1:$1048576,$A143-1,COLUMN('1-DATA'!AY142)),ROUND(INDEX('1-DATA'!$1:$1048576,IF(OR($B144="STD. DEVIATION",$C$1=1),$A144,$A144+1),COLUMN('1-DATA'!AY142)),IF($B144="STD. DEVIATION",2,$F$1))))</f>
        <v/>
      </c>
    </row>
    <row r="145" spans="1:52" x14ac:dyDescent="0.25">
      <c r="A145" s="11">
        <f t="shared" si="2"/>
        <v>421</v>
      </c>
      <c r="B145" s="1" t="str">
        <f>IF(B144="STD. DEVIATION",INDEX('1-DATA'!$1:$1048576,$A144-1,1),IF(INDEX('1-DATA'!$1:$1048576,$A145,1)&lt;&gt;"",INDEX('1-DATA'!$1:$1048576,$A145,1),""))</f>
        <v/>
      </c>
      <c r="C145" s="1" t="str">
        <f>IF(OR($B145="",C$7=""),"",IF($B145="MEANS",INDEX('1-DATA'!$1:$1048576,$A144-1,COLUMN('1-DATA'!B143)),ROUND(INDEX('1-DATA'!$1:$1048576,IF(OR($B145="STD. DEVIATION",$C$1=1),$A145,$A145+1),COLUMN('1-DATA'!B143)),IF($B145="STD. DEVIATION",2,$F$1))))</f>
        <v/>
      </c>
      <c r="D145" s="1" t="str">
        <f>IF(OR($B145="",D$7=""),"",IF($B145="MEANS",INDEX('1-DATA'!$1:$1048576,$A144-1,COLUMN('1-DATA'!C143)),ROUND(INDEX('1-DATA'!$1:$1048576,IF(OR($B145="STD. DEVIATION",$C$1=1),$A145,$A145+1),COLUMN('1-DATA'!C143)),IF($B145="STD. DEVIATION",2,$F$1))))</f>
        <v/>
      </c>
      <c r="E145" s="1" t="str">
        <f>IF(OR($B145="",E$7=""),"",IF($B145="MEANS",INDEX('1-DATA'!$1:$1048576,$A144-1,COLUMN('1-DATA'!D143)),ROUND(INDEX('1-DATA'!$1:$1048576,IF(OR($B145="STD. DEVIATION",$C$1=1),$A145,$A145+1),COLUMN('1-DATA'!D143)),IF($B145="STD. DEVIATION",2,$F$1))))</f>
        <v/>
      </c>
      <c r="F145" s="1" t="str">
        <f>IF(OR($B145="",F$7=""),"",IF($B145="MEANS",INDEX('1-DATA'!$1:$1048576,$A144-1,COLUMN('1-DATA'!E143)),ROUND(INDEX('1-DATA'!$1:$1048576,IF(OR($B145="STD. DEVIATION",$C$1=1),$A145,$A145+1),COLUMN('1-DATA'!E143)),IF($B145="STD. DEVIATION",2,$F$1))))</f>
        <v/>
      </c>
      <c r="G145" s="1" t="str">
        <f>IF(OR($B145="",G$7=""),"",IF($B145="MEANS",INDEX('1-DATA'!$1:$1048576,$A144-1,COLUMN('1-DATA'!F143)),ROUND(INDEX('1-DATA'!$1:$1048576,IF(OR($B145="STD. DEVIATION",$C$1=1),$A145,$A145+1),COLUMN('1-DATA'!F143)),IF($B145="STD. DEVIATION",2,$F$1))))</f>
        <v/>
      </c>
      <c r="H145" s="1" t="str">
        <f>IF(OR($B145="",H$7=""),"",IF($B145="MEANS",INDEX('1-DATA'!$1:$1048576,$A144-1,COLUMN('1-DATA'!G143)),ROUND(INDEX('1-DATA'!$1:$1048576,IF(OR($B145="STD. DEVIATION",$C$1=1),$A145,$A145+1),COLUMN('1-DATA'!G143)),IF($B145="STD. DEVIATION",2,$F$1))))</f>
        <v/>
      </c>
      <c r="I145" s="1" t="str">
        <f>IF(OR($B145="",I$7=""),"",IF($B145="MEANS",INDEX('1-DATA'!$1:$1048576,$A144-1,COLUMN('1-DATA'!H143)),ROUND(INDEX('1-DATA'!$1:$1048576,IF(OR($B145="STD. DEVIATION",$C$1=1),$A145,$A145+1),COLUMN('1-DATA'!H143)),IF($B145="STD. DEVIATION",2,$F$1))))</f>
        <v/>
      </c>
      <c r="J145" s="1" t="str">
        <f>IF(OR($B145="",J$7=""),"",IF($B145="MEANS",INDEX('1-DATA'!$1:$1048576,$A144-1,COLUMN('1-DATA'!I143)),ROUND(INDEX('1-DATA'!$1:$1048576,IF(OR($B145="STD. DEVIATION",$C$1=1),$A145,$A145+1),COLUMN('1-DATA'!I143)),IF($B145="STD. DEVIATION",2,$F$1))))</f>
        <v/>
      </c>
      <c r="K145" s="1" t="str">
        <f>IF(OR($B145="",K$7=""),"",IF($B145="MEANS",INDEX('1-DATA'!$1:$1048576,$A144-1,COLUMN('1-DATA'!J143)),ROUND(INDEX('1-DATA'!$1:$1048576,IF(OR($B145="STD. DEVIATION",$C$1=1),$A145,$A145+1),COLUMN('1-DATA'!J143)),IF($B145="STD. DEVIATION",2,$F$1))))</f>
        <v/>
      </c>
      <c r="L145" s="1" t="str">
        <f>IF(OR($B145="",L$7=""),"",IF($B145="MEANS",INDEX('1-DATA'!$1:$1048576,$A144-1,COLUMN('1-DATA'!K143)),ROUND(INDEX('1-DATA'!$1:$1048576,IF(OR($B145="STD. DEVIATION",$C$1=1),$A145,$A145+1),COLUMN('1-DATA'!K143)),IF($B145="STD. DEVIATION",2,$F$1))))</f>
        <v/>
      </c>
      <c r="M145" s="1" t="str">
        <f>IF(OR($B145="",M$7=""),"",IF($B145="MEANS",INDEX('1-DATA'!$1:$1048576,$A144-1,COLUMN('1-DATA'!L143)),ROUND(INDEX('1-DATA'!$1:$1048576,IF(OR($B145="STD. DEVIATION",$C$1=1),$A145,$A145+1),COLUMN('1-DATA'!L143)),IF($B145="STD. DEVIATION",2,$F$1))))</f>
        <v/>
      </c>
      <c r="N145" s="1" t="str">
        <f>IF(OR($B145="",N$7=""),"",IF($B145="MEANS",INDEX('1-DATA'!$1:$1048576,$A144-1,COLUMN('1-DATA'!M143)),ROUND(INDEX('1-DATA'!$1:$1048576,IF(OR($B145="STD. DEVIATION",$C$1=1),$A145,$A145+1),COLUMN('1-DATA'!M143)),IF($B145="STD. DEVIATION",2,$F$1))))</f>
        <v/>
      </c>
      <c r="O145" s="1" t="str">
        <f>IF(OR($B145="",O$7=""),"",IF($B145="MEANS",INDEX('1-DATA'!$1:$1048576,$A144-1,COLUMN('1-DATA'!N143)),ROUND(INDEX('1-DATA'!$1:$1048576,IF(OR($B145="STD. DEVIATION",$C$1=1),$A145,$A145+1),COLUMN('1-DATA'!N143)),IF($B145="STD. DEVIATION",2,$F$1))))</f>
        <v/>
      </c>
      <c r="P145" s="1" t="str">
        <f>IF(OR($B145="",P$7=""),"",IF($B145="MEANS",INDEX('1-DATA'!$1:$1048576,$A144-1,COLUMN('1-DATA'!O143)),ROUND(INDEX('1-DATA'!$1:$1048576,IF(OR($B145="STD. DEVIATION",$C$1=1),$A145,$A145+1),COLUMN('1-DATA'!O143)),IF($B145="STD. DEVIATION",2,$F$1))))</f>
        <v/>
      </c>
      <c r="Q145" s="1" t="str">
        <f>IF(OR($B145="",Q$7=""),"",IF($B145="MEANS",INDEX('1-DATA'!$1:$1048576,$A144-1,COLUMN('1-DATA'!P143)),ROUND(INDEX('1-DATA'!$1:$1048576,IF(OR($B145="STD. DEVIATION",$C$1=1),$A145,$A145+1),COLUMN('1-DATA'!P143)),IF($B145="STD. DEVIATION",2,$F$1))))</f>
        <v/>
      </c>
      <c r="R145" s="1" t="str">
        <f>IF(OR($B145="",R$7=""),"",IF($B145="MEANS",INDEX('1-DATA'!$1:$1048576,$A144-1,COLUMN('1-DATA'!Q143)),ROUND(INDEX('1-DATA'!$1:$1048576,IF(OR($B145="STD. DEVIATION",$C$1=1),$A145,$A145+1),COLUMN('1-DATA'!Q143)),IF($B145="STD. DEVIATION",2,$F$1))))</f>
        <v/>
      </c>
      <c r="S145" s="1" t="str">
        <f>IF(OR($B145="",S$7=""),"",IF($B145="MEANS",INDEX('1-DATA'!$1:$1048576,$A144-1,COLUMN('1-DATA'!R143)),ROUND(INDEX('1-DATA'!$1:$1048576,IF(OR($B145="STD. DEVIATION",$C$1=1),$A145,$A145+1),COLUMN('1-DATA'!R143)),IF($B145="STD. DEVIATION",2,$F$1))))</f>
        <v/>
      </c>
      <c r="T145" s="1" t="str">
        <f>IF(OR($B145="",T$7=""),"",IF($B145="MEANS",INDEX('1-DATA'!$1:$1048576,$A144-1,COLUMN('1-DATA'!S143)),ROUND(INDEX('1-DATA'!$1:$1048576,IF(OR($B145="STD. DEVIATION",$C$1=1),$A145,$A145+1),COLUMN('1-DATA'!S143)),IF($B145="STD. DEVIATION",2,$F$1))))</f>
        <v/>
      </c>
      <c r="U145" s="1" t="str">
        <f>IF(OR($B145="",U$7=""),"",IF($B145="MEANS",INDEX('1-DATA'!$1:$1048576,$A144-1,COLUMN('1-DATA'!T143)),ROUND(INDEX('1-DATA'!$1:$1048576,IF(OR($B145="STD. DEVIATION",$C$1=1),$A145,$A145+1),COLUMN('1-DATA'!T143)),IF($B145="STD. DEVIATION",2,$F$1))))</f>
        <v/>
      </c>
      <c r="V145" s="1" t="str">
        <f>IF(OR($B145="",V$7=""),"",IF($B145="MEANS",INDEX('1-DATA'!$1:$1048576,$A144-1,COLUMN('1-DATA'!U143)),ROUND(INDEX('1-DATA'!$1:$1048576,IF(OR($B145="STD. DEVIATION",$C$1=1),$A145,$A145+1),COLUMN('1-DATA'!U143)),IF($B145="STD. DEVIATION",2,$F$1))))</f>
        <v/>
      </c>
      <c r="W145" s="1" t="str">
        <f>IF(OR($B145="",W$7=""),"",IF($B145="MEANS",INDEX('1-DATA'!$1:$1048576,$A144-1,COLUMN('1-DATA'!V143)),ROUND(INDEX('1-DATA'!$1:$1048576,IF(OR($B145="STD. DEVIATION",$C$1=1),$A145,$A145+1),COLUMN('1-DATA'!V143)),IF($B145="STD. DEVIATION",2,$F$1))))</f>
        <v/>
      </c>
      <c r="X145" s="1" t="str">
        <f>IF(OR($B145="",X$7=""),"",IF($B145="MEANS",INDEX('1-DATA'!$1:$1048576,$A144-1,COLUMN('1-DATA'!W143)),ROUND(INDEX('1-DATA'!$1:$1048576,IF(OR($B145="STD. DEVIATION",$C$1=1),$A145,$A145+1),COLUMN('1-DATA'!W143)),IF($B145="STD. DEVIATION",2,$F$1))))</f>
        <v/>
      </c>
      <c r="Y145" s="1" t="str">
        <f>IF(OR($B145="",Y$7=""),"",IF($B145="MEANS",INDEX('1-DATA'!$1:$1048576,$A144-1,COLUMN('1-DATA'!X143)),ROUND(INDEX('1-DATA'!$1:$1048576,IF(OR($B145="STD. DEVIATION",$C$1=1),$A145,$A145+1),COLUMN('1-DATA'!X143)),IF($B145="STD. DEVIATION",2,$F$1))))</f>
        <v/>
      </c>
      <c r="Z145" s="1" t="str">
        <f>IF(OR($B145="",Z$7=""),"",IF($B145="MEANS",INDEX('1-DATA'!$1:$1048576,$A144-1,COLUMN('1-DATA'!Y143)),ROUND(INDEX('1-DATA'!$1:$1048576,IF(OR($B145="STD. DEVIATION",$C$1=1),$A145,$A145+1),COLUMN('1-DATA'!Y143)),IF($B145="STD. DEVIATION",2,$F$1))))</f>
        <v/>
      </c>
      <c r="AA145" s="1" t="str">
        <f>IF(OR($B145="",AA$7=""),"",IF($B145="MEANS",INDEX('1-DATA'!$1:$1048576,$A144-1,COLUMN('1-DATA'!Z143)),ROUND(INDEX('1-DATA'!$1:$1048576,IF(OR($B145="STD. DEVIATION",$C$1=1),$A145,$A145+1),COLUMN('1-DATA'!Z143)),IF($B145="STD. DEVIATION",2,$F$1))))</f>
        <v/>
      </c>
      <c r="AB145" s="1" t="str">
        <f>IF(OR($B145="",AB$7=""),"",IF($B145="MEANS",INDEX('1-DATA'!$1:$1048576,$A144-1,COLUMN('1-DATA'!AA143)),ROUND(INDEX('1-DATA'!$1:$1048576,IF(OR($B145="STD. DEVIATION",$C$1=1),$A145,$A145+1),COLUMN('1-DATA'!AA143)),IF($B145="STD. DEVIATION",2,$F$1))))</f>
        <v/>
      </c>
      <c r="AC145" s="1" t="str">
        <f>IF(OR($B145="",AC$7=""),"",IF($B145="MEANS",INDEX('1-DATA'!$1:$1048576,$A144-1,COLUMN('1-DATA'!AB143)),ROUND(INDEX('1-DATA'!$1:$1048576,IF(OR($B145="STD. DEVIATION",$C$1=1),$A145,$A145+1),COLUMN('1-DATA'!AB143)),IF($B145="STD. DEVIATION",2,$F$1))))</f>
        <v/>
      </c>
      <c r="AD145" s="1" t="str">
        <f>IF(OR($B145="",AD$7=""),"",IF($B145="MEANS",INDEX('1-DATA'!$1:$1048576,$A144-1,COLUMN('1-DATA'!AC143)),ROUND(INDEX('1-DATA'!$1:$1048576,IF(OR($B145="STD. DEVIATION",$C$1=1),$A145,$A145+1),COLUMN('1-DATA'!AC143)),IF($B145="STD. DEVIATION",2,$F$1))))</f>
        <v/>
      </c>
      <c r="AE145" s="1" t="str">
        <f>IF(OR($B145="",AE$7=""),"",IF($B145="MEANS",INDEX('1-DATA'!$1:$1048576,$A144-1,COLUMN('1-DATA'!AD143)),ROUND(INDEX('1-DATA'!$1:$1048576,IF(OR($B145="STD. DEVIATION",$C$1=1),$A145,$A145+1),COLUMN('1-DATA'!AD143)),IF($B145="STD. DEVIATION",2,$F$1))))</f>
        <v/>
      </c>
      <c r="AF145" s="1" t="str">
        <f>IF(OR($B145="",AF$7=""),"",IF($B145="MEANS",INDEX('1-DATA'!$1:$1048576,$A144-1,COLUMN('1-DATA'!AE143)),ROUND(INDEX('1-DATA'!$1:$1048576,IF(OR($B145="STD. DEVIATION",$C$1=1),$A145,$A145+1),COLUMN('1-DATA'!AE143)),IF($B145="STD. DEVIATION",2,$F$1))))</f>
        <v/>
      </c>
      <c r="AG145" s="1" t="str">
        <f>IF(OR($B145="",AG$7=""),"",IF($B145="MEANS",INDEX('1-DATA'!$1:$1048576,$A144-1,COLUMN('1-DATA'!AF143)),ROUND(INDEX('1-DATA'!$1:$1048576,IF(OR($B145="STD. DEVIATION",$C$1=1),$A145,$A145+1),COLUMN('1-DATA'!AF143)),IF($B145="STD. DEVIATION",2,$F$1))))</f>
        <v/>
      </c>
      <c r="AH145" s="1" t="str">
        <f>IF(OR($B145="",AH$7=""),"",IF($B145="MEANS",INDEX('1-DATA'!$1:$1048576,$A144-1,COLUMN('1-DATA'!AG143)),ROUND(INDEX('1-DATA'!$1:$1048576,IF(OR($B145="STD. DEVIATION",$C$1=1),$A145,$A145+1),COLUMN('1-DATA'!AG143)),IF($B145="STD. DEVIATION",2,$F$1))))</f>
        <v/>
      </c>
      <c r="AI145" s="1" t="str">
        <f>IF(OR($B145="",AI$7=""),"",IF($B145="MEANS",INDEX('1-DATA'!$1:$1048576,$A144-1,COLUMN('1-DATA'!AH143)),ROUND(INDEX('1-DATA'!$1:$1048576,IF(OR($B145="STD. DEVIATION",$C$1=1),$A145,$A145+1),COLUMN('1-DATA'!AH143)),IF($B145="STD. DEVIATION",2,$F$1))))</f>
        <v/>
      </c>
      <c r="AJ145" s="1" t="str">
        <f>IF(OR($B145="",AJ$7=""),"",IF($B145="MEANS",INDEX('1-DATA'!$1:$1048576,$A144-1,COLUMN('1-DATA'!AI143)),ROUND(INDEX('1-DATA'!$1:$1048576,IF(OR($B145="STD. DEVIATION",$C$1=1),$A145,$A145+1),COLUMN('1-DATA'!AI143)),IF($B145="STD. DEVIATION",2,$F$1))))</f>
        <v/>
      </c>
      <c r="AK145" s="1" t="str">
        <f>IF(OR($B145="",AK$7=""),"",IF($B145="MEANS",INDEX('1-DATA'!$1:$1048576,$A144-1,COLUMN('1-DATA'!AJ143)),ROUND(INDEX('1-DATA'!$1:$1048576,IF(OR($B145="STD. DEVIATION",$C$1=1),$A145,$A145+1),COLUMN('1-DATA'!AJ143)),IF($B145="STD. DEVIATION",2,$F$1))))</f>
        <v/>
      </c>
      <c r="AL145" s="1" t="str">
        <f>IF(OR($B145="",AL$7=""),"",IF($B145="MEANS",INDEX('1-DATA'!$1:$1048576,$A144-1,COLUMN('1-DATA'!AK143)),ROUND(INDEX('1-DATA'!$1:$1048576,IF(OR($B145="STD. DEVIATION",$C$1=1),$A145,$A145+1),COLUMN('1-DATA'!AK143)),IF($B145="STD. DEVIATION",2,$F$1))))</f>
        <v/>
      </c>
      <c r="AM145" s="1" t="str">
        <f>IF(OR($B145="",AM$7=""),"",IF($B145="MEANS",INDEX('1-DATA'!$1:$1048576,$A144-1,COLUMN('1-DATA'!AL143)),ROUND(INDEX('1-DATA'!$1:$1048576,IF(OR($B145="STD. DEVIATION",$C$1=1),$A145,$A145+1),COLUMN('1-DATA'!AL143)),IF($B145="STD. DEVIATION",2,$F$1))))</f>
        <v/>
      </c>
      <c r="AN145" s="1" t="str">
        <f>IF(OR($B145="",AN$7=""),"",IF($B145="MEANS",INDEX('1-DATA'!$1:$1048576,$A144-1,COLUMN('1-DATA'!AM143)),ROUND(INDEX('1-DATA'!$1:$1048576,IF(OR($B145="STD. DEVIATION",$C$1=1),$A145,$A145+1),COLUMN('1-DATA'!AM143)),IF($B145="STD. DEVIATION",2,$F$1))))</f>
        <v/>
      </c>
      <c r="AO145" s="1" t="str">
        <f>IF(OR($B145="",AO$7=""),"",IF($B145="MEANS",INDEX('1-DATA'!$1:$1048576,$A144-1,COLUMN('1-DATA'!AN143)),ROUND(INDEX('1-DATA'!$1:$1048576,IF(OR($B145="STD. DEVIATION",$C$1=1),$A145,$A145+1),COLUMN('1-DATA'!AN143)),IF($B145="STD. DEVIATION",2,$F$1))))</f>
        <v/>
      </c>
      <c r="AP145" s="1" t="str">
        <f>IF(OR($B145="",AP$7=""),"",IF($B145="MEANS",INDEX('1-DATA'!$1:$1048576,$A144-1,COLUMN('1-DATA'!AO143)),ROUND(INDEX('1-DATA'!$1:$1048576,IF(OR($B145="STD. DEVIATION",$C$1=1),$A145,$A145+1),COLUMN('1-DATA'!AO143)),IF($B145="STD. DEVIATION",2,$F$1))))</f>
        <v/>
      </c>
      <c r="AQ145" s="1" t="str">
        <f>IF(OR($B145="",AQ$7=""),"",IF($B145="MEANS",INDEX('1-DATA'!$1:$1048576,$A144-1,COLUMN('1-DATA'!AP143)),ROUND(INDEX('1-DATA'!$1:$1048576,IF(OR($B145="STD. DEVIATION",$C$1=1),$A145,$A145+1),COLUMN('1-DATA'!AP143)),IF($B145="STD. DEVIATION",2,$F$1))))</f>
        <v/>
      </c>
      <c r="AR145" s="1" t="str">
        <f>IF(OR($B145="",AR$7=""),"",IF($B145="MEANS",INDEX('1-DATA'!$1:$1048576,$A144-1,COLUMN('1-DATA'!AQ143)),ROUND(INDEX('1-DATA'!$1:$1048576,IF(OR($B145="STD. DEVIATION",$C$1=1),$A145,$A145+1),COLUMN('1-DATA'!AQ143)),IF($B145="STD. DEVIATION",2,$F$1))))</f>
        <v/>
      </c>
      <c r="AS145" s="1" t="str">
        <f>IF(OR($B145="",AS$7=""),"",IF($B145="MEANS",INDEX('1-DATA'!$1:$1048576,$A144-1,COLUMN('1-DATA'!AR143)),ROUND(INDEX('1-DATA'!$1:$1048576,IF(OR($B145="STD. DEVIATION",$C$1=1),$A145,$A145+1),COLUMN('1-DATA'!AR143)),IF($B145="STD. DEVIATION",2,$F$1))))</f>
        <v/>
      </c>
      <c r="AT145" s="1" t="str">
        <f>IF(OR($B145="",AT$7=""),"",IF($B145="MEANS",INDEX('1-DATA'!$1:$1048576,$A144-1,COLUMN('1-DATA'!AS143)),ROUND(INDEX('1-DATA'!$1:$1048576,IF(OR($B145="STD. DEVIATION",$C$1=1),$A145,$A145+1),COLUMN('1-DATA'!AS143)),IF($B145="STD. DEVIATION",2,$F$1))))</f>
        <v/>
      </c>
      <c r="AU145" s="1" t="str">
        <f>IF(OR($B145="",AU$7=""),"",IF($B145="MEANS",INDEX('1-DATA'!$1:$1048576,$A144-1,COLUMN('1-DATA'!AT143)),ROUND(INDEX('1-DATA'!$1:$1048576,IF(OR($B145="STD. DEVIATION",$C$1=1),$A145,$A145+1),COLUMN('1-DATA'!AT143)),IF($B145="STD. DEVIATION",2,$F$1))))</f>
        <v/>
      </c>
      <c r="AV145" s="1" t="str">
        <f>IF(OR($B145="",AV$7=""),"",IF($B145="MEANS",INDEX('1-DATA'!$1:$1048576,$A144-1,COLUMN('1-DATA'!AU143)),ROUND(INDEX('1-DATA'!$1:$1048576,IF(OR($B145="STD. DEVIATION",$C$1=1),$A145,$A145+1),COLUMN('1-DATA'!AU143)),IF($B145="STD. DEVIATION",2,$F$1))))</f>
        <v/>
      </c>
      <c r="AW145" s="1" t="str">
        <f>IF(OR($B145="",AW$7=""),"",IF($B145="MEANS",INDEX('1-DATA'!$1:$1048576,$A144-1,COLUMN('1-DATA'!AV143)),ROUND(INDEX('1-DATA'!$1:$1048576,IF(OR($B145="STD. DEVIATION",$C$1=1),$A145,$A145+1),COLUMN('1-DATA'!AV143)),IF($B145="STD. DEVIATION",2,$F$1))))</f>
        <v/>
      </c>
      <c r="AX145" s="1" t="str">
        <f>IF(OR($B145="",AX$7=""),"",IF($B145="MEANS",INDEX('1-DATA'!$1:$1048576,$A144-1,COLUMN('1-DATA'!AW143)),ROUND(INDEX('1-DATA'!$1:$1048576,IF(OR($B145="STD. DEVIATION",$C$1=1),$A145,$A145+1),COLUMN('1-DATA'!AW143)),IF($B145="STD. DEVIATION",2,$F$1))))</f>
        <v/>
      </c>
      <c r="AY145" s="1" t="str">
        <f>IF(OR($B145="",AY$7=""),"",IF($B145="MEANS",INDEX('1-DATA'!$1:$1048576,$A144-1,COLUMN('1-DATA'!AX143)),ROUND(INDEX('1-DATA'!$1:$1048576,IF(OR($B145="STD. DEVIATION",$C$1=1),$A145,$A145+1),COLUMN('1-DATA'!AX143)),IF($B145="STD. DEVIATION",2,$F$1))))</f>
        <v/>
      </c>
      <c r="AZ145" s="1" t="str">
        <f>IF(OR($B145="",AZ$7=""),"",IF($B145="MEANS",INDEX('1-DATA'!$1:$1048576,$A144-1,COLUMN('1-DATA'!AY143)),ROUND(INDEX('1-DATA'!$1:$1048576,IF(OR($B145="STD. DEVIATION",$C$1=1),$A145,$A145+1),COLUMN('1-DATA'!AY143)),IF($B145="STD. DEVIATION",2,$F$1))))</f>
        <v/>
      </c>
    </row>
    <row r="146" spans="1:52" x14ac:dyDescent="0.25">
      <c r="A146" s="11">
        <f t="shared" si="2"/>
        <v>424</v>
      </c>
      <c r="B146" s="1" t="str">
        <f>IF(B145="STD. DEVIATION",INDEX('1-DATA'!$1:$1048576,$A145-1,1),IF(INDEX('1-DATA'!$1:$1048576,$A146,1)&lt;&gt;"",INDEX('1-DATA'!$1:$1048576,$A146,1),""))</f>
        <v/>
      </c>
      <c r="C146" s="1" t="str">
        <f>IF(OR($B146="",C$7=""),"",IF($B146="MEANS",INDEX('1-DATA'!$1:$1048576,$A145-1,COLUMN('1-DATA'!B144)),ROUND(INDEX('1-DATA'!$1:$1048576,IF(OR($B146="STD. DEVIATION",$C$1=1),$A146,$A146+1),COLUMN('1-DATA'!B144)),IF($B146="STD. DEVIATION",2,$F$1))))</f>
        <v/>
      </c>
      <c r="D146" s="1" t="str">
        <f>IF(OR($B146="",D$7=""),"",IF($B146="MEANS",INDEX('1-DATA'!$1:$1048576,$A145-1,COLUMN('1-DATA'!C144)),ROUND(INDEX('1-DATA'!$1:$1048576,IF(OR($B146="STD. DEVIATION",$C$1=1),$A146,$A146+1),COLUMN('1-DATA'!C144)),IF($B146="STD. DEVIATION",2,$F$1))))</f>
        <v/>
      </c>
      <c r="E146" s="1" t="str">
        <f>IF(OR($B146="",E$7=""),"",IF($B146="MEANS",INDEX('1-DATA'!$1:$1048576,$A145-1,COLUMN('1-DATA'!D144)),ROUND(INDEX('1-DATA'!$1:$1048576,IF(OR($B146="STD. DEVIATION",$C$1=1),$A146,$A146+1),COLUMN('1-DATA'!D144)),IF($B146="STD. DEVIATION",2,$F$1))))</f>
        <v/>
      </c>
      <c r="F146" s="1" t="str">
        <f>IF(OR($B146="",F$7=""),"",IF($B146="MEANS",INDEX('1-DATA'!$1:$1048576,$A145-1,COLUMN('1-DATA'!E144)),ROUND(INDEX('1-DATA'!$1:$1048576,IF(OR($B146="STD. DEVIATION",$C$1=1),$A146,$A146+1),COLUMN('1-DATA'!E144)),IF($B146="STD. DEVIATION",2,$F$1))))</f>
        <v/>
      </c>
      <c r="G146" s="1" t="str">
        <f>IF(OR($B146="",G$7=""),"",IF($B146="MEANS",INDEX('1-DATA'!$1:$1048576,$A145-1,COLUMN('1-DATA'!F144)),ROUND(INDEX('1-DATA'!$1:$1048576,IF(OR($B146="STD. DEVIATION",$C$1=1),$A146,$A146+1),COLUMN('1-DATA'!F144)),IF($B146="STD. DEVIATION",2,$F$1))))</f>
        <v/>
      </c>
      <c r="H146" s="1" t="str">
        <f>IF(OR($B146="",H$7=""),"",IF($B146="MEANS",INDEX('1-DATA'!$1:$1048576,$A145-1,COLUMN('1-DATA'!G144)),ROUND(INDEX('1-DATA'!$1:$1048576,IF(OR($B146="STD. DEVIATION",$C$1=1),$A146,$A146+1),COLUMN('1-DATA'!G144)),IF($B146="STD. DEVIATION",2,$F$1))))</f>
        <v/>
      </c>
      <c r="I146" s="1" t="str">
        <f>IF(OR($B146="",I$7=""),"",IF($B146="MEANS",INDEX('1-DATA'!$1:$1048576,$A145-1,COLUMN('1-DATA'!H144)),ROUND(INDEX('1-DATA'!$1:$1048576,IF(OR($B146="STD. DEVIATION",$C$1=1),$A146,$A146+1),COLUMN('1-DATA'!H144)),IF($B146="STD. DEVIATION",2,$F$1))))</f>
        <v/>
      </c>
      <c r="J146" s="1" t="str">
        <f>IF(OR($B146="",J$7=""),"",IF($B146="MEANS",INDEX('1-DATA'!$1:$1048576,$A145-1,COLUMN('1-DATA'!I144)),ROUND(INDEX('1-DATA'!$1:$1048576,IF(OR($B146="STD. DEVIATION",$C$1=1),$A146,$A146+1),COLUMN('1-DATA'!I144)),IF($B146="STD. DEVIATION",2,$F$1))))</f>
        <v/>
      </c>
      <c r="K146" s="1" t="str">
        <f>IF(OR($B146="",K$7=""),"",IF($B146="MEANS",INDEX('1-DATA'!$1:$1048576,$A145-1,COLUMN('1-DATA'!J144)),ROUND(INDEX('1-DATA'!$1:$1048576,IF(OR($B146="STD. DEVIATION",$C$1=1),$A146,$A146+1),COLUMN('1-DATA'!J144)),IF($B146="STD. DEVIATION",2,$F$1))))</f>
        <v/>
      </c>
      <c r="L146" s="1" t="str">
        <f>IF(OR($B146="",L$7=""),"",IF($B146="MEANS",INDEX('1-DATA'!$1:$1048576,$A145-1,COLUMN('1-DATA'!K144)),ROUND(INDEX('1-DATA'!$1:$1048576,IF(OR($B146="STD. DEVIATION",$C$1=1),$A146,$A146+1),COLUMN('1-DATA'!K144)),IF($B146="STD. DEVIATION",2,$F$1))))</f>
        <v/>
      </c>
      <c r="M146" s="1" t="str">
        <f>IF(OR($B146="",M$7=""),"",IF($B146="MEANS",INDEX('1-DATA'!$1:$1048576,$A145-1,COLUMN('1-DATA'!L144)),ROUND(INDEX('1-DATA'!$1:$1048576,IF(OR($B146="STD. DEVIATION",$C$1=1),$A146,$A146+1),COLUMN('1-DATA'!L144)),IF($B146="STD. DEVIATION",2,$F$1))))</f>
        <v/>
      </c>
      <c r="N146" s="1" t="str">
        <f>IF(OR($B146="",N$7=""),"",IF($B146="MEANS",INDEX('1-DATA'!$1:$1048576,$A145-1,COLUMN('1-DATA'!M144)),ROUND(INDEX('1-DATA'!$1:$1048576,IF(OR($B146="STD. DEVIATION",$C$1=1),$A146,$A146+1),COLUMN('1-DATA'!M144)),IF($B146="STD. DEVIATION",2,$F$1))))</f>
        <v/>
      </c>
      <c r="O146" s="1" t="str">
        <f>IF(OR($B146="",O$7=""),"",IF($B146="MEANS",INDEX('1-DATA'!$1:$1048576,$A145-1,COLUMN('1-DATA'!N144)),ROUND(INDEX('1-DATA'!$1:$1048576,IF(OR($B146="STD. DEVIATION",$C$1=1),$A146,$A146+1),COLUMN('1-DATA'!N144)),IF($B146="STD. DEVIATION",2,$F$1))))</f>
        <v/>
      </c>
      <c r="P146" s="1" t="str">
        <f>IF(OR($B146="",P$7=""),"",IF($B146="MEANS",INDEX('1-DATA'!$1:$1048576,$A145-1,COLUMN('1-DATA'!O144)),ROUND(INDEX('1-DATA'!$1:$1048576,IF(OR($B146="STD. DEVIATION",$C$1=1),$A146,$A146+1),COLUMN('1-DATA'!O144)),IF($B146="STD. DEVIATION",2,$F$1))))</f>
        <v/>
      </c>
      <c r="Q146" s="1" t="str">
        <f>IF(OR($B146="",Q$7=""),"",IF($B146="MEANS",INDEX('1-DATA'!$1:$1048576,$A145-1,COLUMN('1-DATA'!P144)),ROUND(INDEX('1-DATA'!$1:$1048576,IF(OR($B146="STD. DEVIATION",$C$1=1),$A146,$A146+1),COLUMN('1-DATA'!P144)),IF($B146="STD. DEVIATION",2,$F$1))))</f>
        <v/>
      </c>
      <c r="R146" s="1" t="str">
        <f>IF(OR($B146="",R$7=""),"",IF($B146="MEANS",INDEX('1-DATA'!$1:$1048576,$A145-1,COLUMN('1-DATA'!Q144)),ROUND(INDEX('1-DATA'!$1:$1048576,IF(OR($B146="STD. DEVIATION",$C$1=1),$A146,$A146+1),COLUMN('1-DATA'!Q144)),IF($B146="STD. DEVIATION",2,$F$1))))</f>
        <v/>
      </c>
      <c r="S146" s="1" t="str">
        <f>IF(OR($B146="",S$7=""),"",IF($B146="MEANS",INDEX('1-DATA'!$1:$1048576,$A145-1,COLUMN('1-DATA'!R144)),ROUND(INDEX('1-DATA'!$1:$1048576,IF(OR($B146="STD. DEVIATION",$C$1=1),$A146,$A146+1),COLUMN('1-DATA'!R144)),IF($B146="STD. DEVIATION",2,$F$1))))</f>
        <v/>
      </c>
      <c r="T146" s="1" t="str">
        <f>IF(OR($B146="",T$7=""),"",IF($B146="MEANS",INDEX('1-DATA'!$1:$1048576,$A145-1,COLUMN('1-DATA'!S144)),ROUND(INDEX('1-DATA'!$1:$1048576,IF(OR($B146="STD. DEVIATION",$C$1=1),$A146,$A146+1),COLUMN('1-DATA'!S144)),IF($B146="STD. DEVIATION",2,$F$1))))</f>
        <v/>
      </c>
      <c r="U146" s="1" t="str">
        <f>IF(OR($B146="",U$7=""),"",IF($B146="MEANS",INDEX('1-DATA'!$1:$1048576,$A145-1,COLUMN('1-DATA'!T144)),ROUND(INDEX('1-DATA'!$1:$1048576,IF(OR($B146="STD. DEVIATION",$C$1=1),$A146,$A146+1),COLUMN('1-DATA'!T144)),IF($B146="STD. DEVIATION",2,$F$1))))</f>
        <v/>
      </c>
      <c r="V146" s="1" t="str">
        <f>IF(OR($B146="",V$7=""),"",IF($B146="MEANS",INDEX('1-DATA'!$1:$1048576,$A145-1,COLUMN('1-DATA'!U144)),ROUND(INDEX('1-DATA'!$1:$1048576,IF(OR($B146="STD. DEVIATION",$C$1=1),$A146,$A146+1),COLUMN('1-DATA'!U144)),IF($B146="STD. DEVIATION",2,$F$1))))</f>
        <v/>
      </c>
      <c r="W146" s="1" t="str">
        <f>IF(OR($B146="",W$7=""),"",IF($B146="MEANS",INDEX('1-DATA'!$1:$1048576,$A145-1,COLUMN('1-DATA'!V144)),ROUND(INDEX('1-DATA'!$1:$1048576,IF(OR($B146="STD. DEVIATION",$C$1=1),$A146,$A146+1),COLUMN('1-DATA'!V144)),IF($B146="STD. DEVIATION",2,$F$1))))</f>
        <v/>
      </c>
      <c r="X146" s="1" t="str">
        <f>IF(OR($B146="",X$7=""),"",IF($B146="MEANS",INDEX('1-DATA'!$1:$1048576,$A145-1,COLUMN('1-DATA'!W144)),ROUND(INDEX('1-DATA'!$1:$1048576,IF(OR($B146="STD. DEVIATION",$C$1=1),$A146,$A146+1),COLUMN('1-DATA'!W144)),IF($B146="STD. DEVIATION",2,$F$1))))</f>
        <v/>
      </c>
      <c r="Y146" s="1" t="str">
        <f>IF(OR($B146="",Y$7=""),"",IF($B146="MEANS",INDEX('1-DATA'!$1:$1048576,$A145-1,COLUMN('1-DATA'!X144)),ROUND(INDEX('1-DATA'!$1:$1048576,IF(OR($B146="STD. DEVIATION",$C$1=1),$A146,$A146+1),COLUMN('1-DATA'!X144)),IF($B146="STD. DEVIATION",2,$F$1))))</f>
        <v/>
      </c>
      <c r="Z146" s="1" t="str">
        <f>IF(OR($B146="",Z$7=""),"",IF($B146="MEANS",INDEX('1-DATA'!$1:$1048576,$A145-1,COLUMN('1-DATA'!Y144)),ROUND(INDEX('1-DATA'!$1:$1048576,IF(OR($B146="STD. DEVIATION",$C$1=1),$A146,$A146+1),COLUMN('1-DATA'!Y144)),IF($B146="STD. DEVIATION",2,$F$1))))</f>
        <v/>
      </c>
      <c r="AA146" s="1" t="str">
        <f>IF(OR($B146="",AA$7=""),"",IF($B146="MEANS",INDEX('1-DATA'!$1:$1048576,$A145-1,COLUMN('1-DATA'!Z144)),ROUND(INDEX('1-DATA'!$1:$1048576,IF(OR($B146="STD. DEVIATION",$C$1=1),$A146,$A146+1),COLUMN('1-DATA'!Z144)),IF($B146="STD. DEVIATION",2,$F$1))))</f>
        <v/>
      </c>
      <c r="AB146" s="1" t="str">
        <f>IF(OR($B146="",AB$7=""),"",IF($B146="MEANS",INDEX('1-DATA'!$1:$1048576,$A145-1,COLUMN('1-DATA'!AA144)),ROUND(INDEX('1-DATA'!$1:$1048576,IF(OR($B146="STD. DEVIATION",$C$1=1),$A146,$A146+1),COLUMN('1-DATA'!AA144)),IF($B146="STD. DEVIATION",2,$F$1))))</f>
        <v/>
      </c>
      <c r="AC146" s="1" t="str">
        <f>IF(OR($B146="",AC$7=""),"",IF($B146="MEANS",INDEX('1-DATA'!$1:$1048576,$A145-1,COLUMN('1-DATA'!AB144)),ROUND(INDEX('1-DATA'!$1:$1048576,IF(OR($B146="STD. DEVIATION",$C$1=1),$A146,$A146+1),COLUMN('1-DATA'!AB144)),IF($B146="STD. DEVIATION",2,$F$1))))</f>
        <v/>
      </c>
      <c r="AD146" s="1" t="str">
        <f>IF(OR($B146="",AD$7=""),"",IF($B146="MEANS",INDEX('1-DATA'!$1:$1048576,$A145-1,COLUMN('1-DATA'!AC144)),ROUND(INDEX('1-DATA'!$1:$1048576,IF(OR($B146="STD. DEVIATION",$C$1=1),$A146,$A146+1),COLUMN('1-DATA'!AC144)),IF($B146="STD. DEVIATION",2,$F$1))))</f>
        <v/>
      </c>
      <c r="AE146" s="1" t="str">
        <f>IF(OR($B146="",AE$7=""),"",IF($B146="MEANS",INDEX('1-DATA'!$1:$1048576,$A145-1,COLUMN('1-DATA'!AD144)),ROUND(INDEX('1-DATA'!$1:$1048576,IF(OR($B146="STD. DEVIATION",$C$1=1),$A146,$A146+1),COLUMN('1-DATA'!AD144)),IF($B146="STD. DEVIATION",2,$F$1))))</f>
        <v/>
      </c>
      <c r="AF146" s="1" t="str">
        <f>IF(OR($B146="",AF$7=""),"",IF($B146="MEANS",INDEX('1-DATA'!$1:$1048576,$A145-1,COLUMN('1-DATA'!AE144)),ROUND(INDEX('1-DATA'!$1:$1048576,IF(OR($B146="STD. DEVIATION",$C$1=1),$A146,$A146+1),COLUMN('1-DATA'!AE144)),IF($B146="STD. DEVIATION",2,$F$1))))</f>
        <v/>
      </c>
      <c r="AG146" s="1" t="str">
        <f>IF(OR($B146="",AG$7=""),"",IF($B146="MEANS",INDEX('1-DATA'!$1:$1048576,$A145-1,COLUMN('1-DATA'!AF144)),ROUND(INDEX('1-DATA'!$1:$1048576,IF(OR($B146="STD. DEVIATION",$C$1=1),$A146,$A146+1),COLUMN('1-DATA'!AF144)),IF($B146="STD. DEVIATION",2,$F$1))))</f>
        <v/>
      </c>
      <c r="AH146" s="1" t="str">
        <f>IF(OR($B146="",AH$7=""),"",IF($B146="MEANS",INDEX('1-DATA'!$1:$1048576,$A145-1,COLUMN('1-DATA'!AG144)),ROUND(INDEX('1-DATA'!$1:$1048576,IF(OR($B146="STD. DEVIATION",$C$1=1),$A146,$A146+1),COLUMN('1-DATA'!AG144)),IF($B146="STD. DEVIATION",2,$F$1))))</f>
        <v/>
      </c>
      <c r="AI146" s="1" t="str">
        <f>IF(OR($B146="",AI$7=""),"",IF($B146="MEANS",INDEX('1-DATA'!$1:$1048576,$A145-1,COLUMN('1-DATA'!AH144)),ROUND(INDEX('1-DATA'!$1:$1048576,IF(OR($B146="STD. DEVIATION",$C$1=1),$A146,$A146+1),COLUMN('1-DATA'!AH144)),IF($B146="STD. DEVIATION",2,$F$1))))</f>
        <v/>
      </c>
      <c r="AJ146" s="1" t="str">
        <f>IF(OR($B146="",AJ$7=""),"",IF($B146="MEANS",INDEX('1-DATA'!$1:$1048576,$A145-1,COLUMN('1-DATA'!AI144)),ROUND(INDEX('1-DATA'!$1:$1048576,IF(OR($B146="STD. DEVIATION",$C$1=1),$A146,$A146+1),COLUMN('1-DATA'!AI144)),IF($B146="STD. DEVIATION",2,$F$1))))</f>
        <v/>
      </c>
      <c r="AK146" s="1" t="str">
        <f>IF(OR($B146="",AK$7=""),"",IF($B146="MEANS",INDEX('1-DATA'!$1:$1048576,$A145-1,COLUMN('1-DATA'!AJ144)),ROUND(INDEX('1-DATA'!$1:$1048576,IF(OR($B146="STD. DEVIATION",$C$1=1),$A146,$A146+1),COLUMN('1-DATA'!AJ144)),IF($B146="STD. DEVIATION",2,$F$1))))</f>
        <v/>
      </c>
      <c r="AL146" s="1" t="str">
        <f>IF(OR($B146="",AL$7=""),"",IF($B146="MEANS",INDEX('1-DATA'!$1:$1048576,$A145-1,COLUMN('1-DATA'!AK144)),ROUND(INDEX('1-DATA'!$1:$1048576,IF(OR($B146="STD. DEVIATION",$C$1=1),$A146,$A146+1),COLUMN('1-DATA'!AK144)),IF($B146="STD. DEVIATION",2,$F$1))))</f>
        <v/>
      </c>
      <c r="AM146" s="1" t="str">
        <f>IF(OR($B146="",AM$7=""),"",IF($B146="MEANS",INDEX('1-DATA'!$1:$1048576,$A145-1,COLUMN('1-DATA'!AL144)),ROUND(INDEX('1-DATA'!$1:$1048576,IF(OR($B146="STD. DEVIATION",$C$1=1),$A146,$A146+1),COLUMN('1-DATA'!AL144)),IF($B146="STD. DEVIATION",2,$F$1))))</f>
        <v/>
      </c>
      <c r="AN146" s="1" t="str">
        <f>IF(OR($B146="",AN$7=""),"",IF($B146="MEANS",INDEX('1-DATA'!$1:$1048576,$A145-1,COLUMN('1-DATA'!AM144)),ROUND(INDEX('1-DATA'!$1:$1048576,IF(OR($B146="STD. DEVIATION",$C$1=1),$A146,$A146+1),COLUMN('1-DATA'!AM144)),IF($B146="STD. DEVIATION",2,$F$1))))</f>
        <v/>
      </c>
      <c r="AO146" s="1" t="str">
        <f>IF(OR($B146="",AO$7=""),"",IF($B146="MEANS",INDEX('1-DATA'!$1:$1048576,$A145-1,COLUMN('1-DATA'!AN144)),ROUND(INDEX('1-DATA'!$1:$1048576,IF(OR($B146="STD. DEVIATION",$C$1=1),$A146,$A146+1),COLUMN('1-DATA'!AN144)),IF($B146="STD. DEVIATION",2,$F$1))))</f>
        <v/>
      </c>
      <c r="AP146" s="1" t="str">
        <f>IF(OR($B146="",AP$7=""),"",IF($B146="MEANS",INDEX('1-DATA'!$1:$1048576,$A145-1,COLUMN('1-DATA'!AO144)),ROUND(INDEX('1-DATA'!$1:$1048576,IF(OR($B146="STD. DEVIATION",$C$1=1),$A146,$A146+1),COLUMN('1-DATA'!AO144)),IF($B146="STD. DEVIATION",2,$F$1))))</f>
        <v/>
      </c>
      <c r="AQ146" s="1" t="str">
        <f>IF(OR($B146="",AQ$7=""),"",IF($B146="MEANS",INDEX('1-DATA'!$1:$1048576,$A145-1,COLUMN('1-DATA'!AP144)),ROUND(INDEX('1-DATA'!$1:$1048576,IF(OR($B146="STD. DEVIATION",$C$1=1),$A146,$A146+1),COLUMN('1-DATA'!AP144)),IF($B146="STD. DEVIATION",2,$F$1))))</f>
        <v/>
      </c>
      <c r="AR146" s="1" t="str">
        <f>IF(OR($B146="",AR$7=""),"",IF($B146="MEANS",INDEX('1-DATA'!$1:$1048576,$A145-1,COLUMN('1-DATA'!AQ144)),ROUND(INDEX('1-DATA'!$1:$1048576,IF(OR($B146="STD. DEVIATION",$C$1=1),$A146,$A146+1),COLUMN('1-DATA'!AQ144)),IF($B146="STD. DEVIATION",2,$F$1))))</f>
        <v/>
      </c>
      <c r="AS146" s="1" t="str">
        <f>IF(OR($B146="",AS$7=""),"",IF($B146="MEANS",INDEX('1-DATA'!$1:$1048576,$A145-1,COLUMN('1-DATA'!AR144)),ROUND(INDEX('1-DATA'!$1:$1048576,IF(OR($B146="STD. DEVIATION",$C$1=1),$A146,$A146+1),COLUMN('1-DATA'!AR144)),IF($B146="STD. DEVIATION",2,$F$1))))</f>
        <v/>
      </c>
      <c r="AT146" s="1" t="str">
        <f>IF(OR($B146="",AT$7=""),"",IF($B146="MEANS",INDEX('1-DATA'!$1:$1048576,$A145-1,COLUMN('1-DATA'!AS144)),ROUND(INDEX('1-DATA'!$1:$1048576,IF(OR($B146="STD. DEVIATION",$C$1=1),$A146,$A146+1),COLUMN('1-DATA'!AS144)),IF($B146="STD. DEVIATION",2,$F$1))))</f>
        <v/>
      </c>
      <c r="AU146" s="1" t="str">
        <f>IF(OR($B146="",AU$7=""),"",IF($B146="MEANS",INDEX('1-DATA'!$1:$1048576,$A145-1,COLUMN('1-DATA'!AT144)),ROUND(INDEX('1-DATA'!$1:$1048576,IF(OR($B146="STD. DEVIATION",$C$1=1),$A146,$A146+1),COLUMN('1-DATA'!AT144)),IF($B146="STD. DEVIATION",2,$F$1))))</f>
        <v/>
      </c>
      <c r="AV146" s="1" t="str">
        <f>IF(OR($B146="",AV$7=""),"",IF($B146="MEANS",INDEX('1-DATA'!$1:$1048576,$A145-1,COLUMN('1-DATA'!AU144)),ROUND(INDEX('1-DATA'!$1:$1048576,IF(OR($B146="STD. DEVIATION",$C$1=1),$A146,$A146+1),COLUMN('1-DATA'!AU144)),IF($B146="STD. DEVIATION",2,$F$1))))</f>
        <v/>
      </c>
      <c r="AW146" s="1" t="str">
        <f>IF(OR($B146="",AW$7=""),"",IF($B146="MEANS",INDEX('1-DATA'!$1:$1048576,$A145-1,COLUMN('1-DATA'!AV144)),ROUND(INDEX('1-DATA'!$1:$1048576,IF(OR($B146="STD. DEVIATION",$C$1=1),$A146,$A146+1),COLUMN('1-DATA'!AV144)),IF($B146="STD. DEVIATION",2,$F$1))))</f>
        <v/>
      </c>
      <c r="AX146" s="1" t="str">
        <f>IF(OR($B146="",AX$7=""),"",IF($B146="MEANS",INDEX('1-DATA'!$1:$1048576,$A145-1,COLUMN('1-DATA'!AW144)),ROUND(INDEX('1-DATA'!$1:$1048576,IF(OR($B146="STD. DEVIATION",$C$1=1),$A146,$A146+1),COLUMN('1-DATA'!AW144)),IF($B146="STD. DEVIATION",2,$F$1))))</f>
        <v/>
      </c>
      <c r="AY146" s="1" t="str">
        <f>IF(OR($B146="",AY$7=""),"",IF($B146="MEANS",INDEX('1-DATA'!$1:$1048576,$A145-1,COLUMN('1-DATA'!AX144)),ROUND(INDEX('1-DATA'!$1:$1048576,IF(OR($B146="STD. DEVIATION",$C$1=1),$A146,$A146+1),COLUMN('1-DATA'!AX144)),IF($B146="STD. DEVIATION",2,$F$1))))</f>
        <v/>
      </c>
      <c r="AZ146" s="1" t="str">
        <f>IF(OR($B146="",AZ$7=""),"",IF($B146="MEANS",INDEX('1-DATA'!$1:$1048576,$A145-1,COLUMN('1-DATA'!AY144)),ROUND(INDEX('1-DATA'!$1:$1048576,IF(OR($B146="STD. DEVIATION",$C$1=1),$A146,$A146+1),COLUMN('1-DATA'!AY144)),IF($B146="STD. DEVIATION",2,$F$1))))</f>
        <v/>
      </c>
    </row>
    <row r="147" spans="1:52" x14ac:dyDescent="0.25">
      <c r="A147" s="11">
        <f t="shared" si="2"/>
        <v>427</v>
      </c>
      <c r="B147" s="1" t="str">
        <f>IF(B146="STD. DEVIATION",INDEX('1-DATA'!$1:$1048576,$A146-1,1),IF(INDEX('1-DATA'!$1:$1048576,$A147,1)&lt;&gt;"",INDEX('1-DATA'!$1:$1048576,$A147,1),""))</f>
        <v/>
      </c>
      <c r="C147" s="1" t="str">
        <f>IF(OR($B147="",C$7=""),"",IF($B147="MEANS",INDEX('1-DATA'!$1:$1048576,$A146-1,COLUMN('1-DATA'!B145)),ROUND(INDEX('1-DATA'!$1:$1048576,IF(OR($B147="STD. DEVIATION",$C$1=1),$A147,$A147+1),COLUMN('1-DATA'!B145)),IF($B147="STD. DEVIATION",2,$F$1))))</f>
        <v/>
      </c>
      <c r="D147" s="1" t="str">
        <f>IF(OR($B147="",D$7=""),"",IF($B147="MEANS",INDEX('1-DATA'!$1:$1048576,$A146-1,COLUMN('1-DATA'!C145)),ROUND(INDEX('1-DATA'!$1:$1048576,IF(OR($B147="STD. DEVIATION",$C$1=1),$A147,$A147+1),COLUMN('1-DATA'!C145)),IF($B147="STD. DEVIATION",2,$F$1))))</f>
        <v/>
      </c>
      <c r="E147" s="1" t="str">
        <f>IF(OR($B147="",E$7=""),"",IF($B147="MEANS",INDEX('1-DATA'!$1:$1048576,$A146-1,COLUMN('1-DATA'!D145)),ROUND(INDEX('1-DATA'!$1:$1048576,IF(OR($B147="STD. DEVIATION",$C$1=1),$A147,$A147+1),COLUMN('1-DATA'!D145)),IF($B147="STD. DEVIATION",2,$F$1))))</f>
        <v/>
      </c>
      <c r="F147" s="1" t="str">
        <f>IF(OR($B147="",F$7=""),"",IF($B147="MEANS",INDEX('1-DATA'!$1:$1048576,$A146-1,COLUMN('1-DATA'!E145)),ROUND(INDEX('1-DATA'!$1:$1048576,IF(OR($B147="STD. DEVIATION",$C$1=1),$A147,$A147+1),COLUMN('1-DATA'!E145)),IF($B147="STD. DEVIATION",2,$F$1))))</f>
        <v/>
      </c>
      <c r="G147" s="1" t="str">
        <f>IF(OR($B147="",G$7=""),"",IF($B147="MEANS",INDEX('1-DATA'!$1:$1048576,$A146-1,COLUMN('1-DATA'!F145)),ROUND(INDEX('1-DATA'!$1:$1048576,IF(OR($B147="STD. DEVIATION",$C$1=1),$A147,$A147+1),COLUMN('1-DATA'!F145)),IF($B147="STD. DEVIATION",2,$F$1))))</f>
        <v/>
      </c>
      <c r="H147" s="1" t="str">
        <f>IF(OR($B147="",H$7=""),"",IF($B147="MEANS",INDEX('1-DATA'!$1:$1048576,$A146-1,COLUMN('1-DATA'!G145)),ROUND(INDEX('1-DATA'!$1:$1048576,IF(OR($B147="STD. DEVIATION",$C$1=1),$A147,$A147+1),COLUMN('1-DATA'!G145)),IF($B147="STD. DEVIATION",2,$F$1))))</f>
        <v/>
      </c>
      <c r="I147" s="1" t="str">
        <f>IF(OR($B147="",I$7=""),"",IF($B147="MEANS",INDEX('1-DATA'!$1:$1048576,$A146-1,COLUMN('1-DATA'!H145)),ROUND(INDEX('1-DATA'!$1:$1048576,IF(OR($B147="STD. DEVIATION",$C$1=1),$A147,$A147+1),COLUMN('1-DATA'!H145)),IF($B147="STD. DEVIATION",2,$F$1))))</f>
        <v/>
      </c>
      <c r="J147" s="1" t="str">
        <f>IF(OR($B147="",J$7=""),"",IF($B147="MEANS",INDEX('1-DATA'!$1:$1048576,$A146-1,COLUMN('1-DATA'!I145)),ROUND(INDEX('1-DATA'!$1:$1048576,IF(OR($B147="STD. DEVIATION",$C$1=1),$A147,$A147+1),COLUMN('1-DATA'!I145)),IF($B147="STD. DEVIATION",2,$F$1))))</f>
        <v/>
      </c>
      <c r="K147" s="1" t="str">
        <f>IF(OR($B147="",K$7=""),"",IF($B147="MEANS",INDEX('1-DATA'!$1:$1048576,$A146-1,COLUMN('1-DATA'!J145)),ROUND(INDEX('1-DATA'!$1:$1048576,IF(OR($B147="STD. DEVIATION",$C$1=1),$A147,$A147+1),COLUMN('1-DATA'!J145)),IF($B147="STD. DEVIATION",2,$F$1))))</f>
        <v/>
      </c>
      <c r="L147" s="1" t="str">
        <f>IF(OR($B147="",L$7=""),"",IF($B147="MEANS",INDEX('1-DATA'!$1:$1048576,$A146-1,COLUMN('1-DATA'!K145)),ROUND(INDEX('1-DATA'!$1:$1048576,IF(OR($B147="STD. DEVIATION",$C$1=1),$A147,$A147+1),COLUMN('1-DATA'!K145)),IF($B147="STD. DEVIATION",2,$F$1))))</f>
        <v/>
      </c>
      <c r="M147" s="1" t="str">
        <f>IF(OR($B147="",M$7=""),"",IF($B147="MEANS",INDEX('1-DATA'!$1:$1048576,$A146-1,COLUMN('1-DATA'!L145)),ROUND(INDEX('1-DATA'!$1:$1048576,IF(OR($B147="STD. DEVIATION",$C$1=1),$A147,$A147+1),COLUMN('1-DATA'!L145)),IF($B147="STD. DEVIATION",2,$F$1))))</f>
        <v/>
      </c>
      <c r="N147" s="1" t="str">
        <f>IF(OR($B147="",N$7=""),"",IF($B147="MEANS",INDEX('1-DATA'!$1:$1048576,$A146-1,COLUMN('1-DATA'!M145)),ROUND(INDEX('1-DATA'!$1:$1048576,IF(OR($B147="STD. DEVIATION",$C$1=1),$A147,$A147+1),COLUMN('1-DATA'!M145)),IF($B147="STD. DEVIATION",2,$F$1))))</f>
        <v/>
      </c>
      <c r="O147" s="1" t="str">
        <f>IF(OR($B147="",O$7=""),"",IF($B147="MEANS",INDEX('1-DATA'!$1:$1048576,$A146-1,COLUMN('1-DATA'!N145)),ROUND(INDEX('1-DATA'!$1:$1048576,IF(OR($B147="STD. DEVIATION",$C$1=1),$A147,$A147+1),COLUMN('1-DATA'!N145)),IF($B147="STD. DEVIATION",2,$F$1))))</f>
        <v/>
      </c>
      <c r="P147" s="1" t="str">
        <f>IF(OR($B147="",P$7=""),"",IF($B147="MEANS",INDEX('1-DATA'!$1:$1048576,$A146-1,COLUMN('1-DATA'!O145)),ROUND(INDEX('1-DATA'!$1:$1048576,IF(OR($B147="STD. DEVIATION",$C$1=1),$A147,$A147+1),COLUMN('1-DATA'!O145)),IF($B147="STD. DEVIATION",2,$F$1))))</f>
        <v/>
      </c>
      <c r="Q147" s="1" t="str">
        <f>IF(OR($B147="",Q$7=""),"",IF($B147="MEANS",INDEX('1-DATA'!$1:$1048576,$A146-1,COLUMN('1-DATA'!P145)),ROUND(INDEX('1-DATA'!$1:$1048576,IF(OR($B147="STD. DEVIATION",$C$1=1),$A147,$A147+1),COLUMN('1-DATA'!P145)),IF($B147="STD. DEVIATION",2,$F$1))))</f>
        <v/>
      </c>
      <c r="R147" s="1" t="str">
        <f>IF(OR($B147="",R$7=""),"",IF($B147="MEANS",INDEX('1-DATA'!$1:$1048576,$A146-1,COLUMN('1-DATA'!Q145)),ROUND(INDEX('1-DATA'!$1:$1048576,IF(OR($B147="STD. DEVIATION",$C$1=1),$A147,$A147+1),COLUMN('1-DATA'!Q145)),IF($B147="STD. DEVIATION",2,$F$1))))</f>
        <v/>
      </c>
      <c r="S147" s="1" t="str">
        <f>IF(OR($B147="",S$7=""),"",IF($B147="MEANS",INDEX('1-DATA'!$1:$1048576,$A146-1,COLUMN('1-DATA'!R145)),ROUND(INDEX('1-DATA'!$1:$1048576,IF(OR($B147="STD. DEVIATION",$C$1=1),$A147,$A147+1),COLUMN('1-DATA'!R145)),IF($B147="STD. DEVIATION",2,$F$1))))</f>
        <v/>
      </c>
      <c r="T147" s="1" t="str">
        <f>IF(OR($B147="",T$7=""),"",IF($B147="MEANS",INDEX('1-DATA'!$1:$1048576,$A146-1,COLUMN('1-DATA'!S145)),ROUND(INDEX('1-DATA'!$1:$1048576,IF(OR($B147="STD. DEVIATION",$C$1=1),$A147,$A147+1),COLUMN('1-DATA'!S145)),IF($B147="STD. DEVIATION",2,$F$1))))</f>
        <v/>
      </c>
      <c r="U147" s="1" t="str">
        <f>IF(OR($B147="",U$7=""),"",IF($B147="MEANS",INDEX('1-DATA'!$1:$1048576,$A146-1,COLUMN('1-DATA'!T145)),ROUND(INDEX('1-DATA'!$1:$1048576,IF(OR($B147="STD. DEVIATION",$C$1=1),$A147,$A147+1),COLUMN('1-DATA'!T145)),IF($B147="STD. DEVIATION",2,$F$1))))</f>
        <v/>
      </c>
      <c r="V147" s="1" t="str">
        <f>IF(OR($B147="",V$7=""),"",IF($B147="MEANS",INDEX('1-DATA'!$1:$1048576,$A146-1,COLUMN('1-DATA'!U145)),ROUND(INDEX('1-DATA'!$1:$1048576,IF(OR($B147="STD. DEVIATION",$C$1=1),$A147,$A147+1),COLUMN('1-DATA'!U145)),IF($B147="STD. DEVIATION",2,$F$1))))</f>
        <v/>
      </c>
      <c r="W147" s="1" t="str">
        <f>IF(OR($B147="",W$7=""),"",IF($B147="MEANS",INDEX('1-DATA'!$1:$1048576,$A146-1,COLUMN('1-DATA'!V145)),ROUND(INDEX('1-DATA'!$1:$1048576,IF(OR($B147="STD. DEVIATION",$C$1=1),$A147,$A147+1),COLUMN('1-DATA'!V145)),IF($B147="STD. DEVIATION",2,$F$1))))</f>
        <v/>
      </c>
      <c r="X147" s="1" t="str">
        <f>IF(OR($B147="",X$7=""),"",IF($B147="MEANS",INDEX('1-DATA'!$1:$1048576,$A146-1,COLUMN('1-DATA'!W145)),ROUND(INDEX('1-DATA'!$1:$1048576,IF(OR($B147="STD. DEVIATION",$C$1=1),$A147,$A147+1),COLUMN('1-DATA'!W145)),IF($B147="STD. DEVIATION",2,$F$1))))</f>
        <v/>
      </c>
      <c r="Y147" s="1" t="str">
        <f>IF(OR($B147="",Y$7=""),"",IF($B147="MEANS",INDEX('1-DATA'!$1:$1048576,$A146-1,COLUMN('1-DATA'!X145)),ROUND(INDEX('1-DATA'!$1:$1048576,IF(OR($B147="STD. DEVIATION",$C$1=1),$A147,$A147+1),COLUMN('1-DATA'!X145)),IF($B147="STD. DEVIATION",2,$F$1))))</f>
        <v/>
      </c>
      <c r="Z147" s="1" t="str">
        <f>IF(OR($B147="",Z$7=""),"",IF($B147="MEANS",INDEX('1-DATA'!$1:$1048576,$A146-1,COLUMN('1-DATA'!Y145)),ROUND(INDEX('1-DATA'!$1:$1048576,IF(OR($B147="STD. DEVIATION",$C$1=1),$A147,$A147+1),COLUMN('1-DATA'!Y145)),IF($B147="STD. DEVIATION",2,$F$1))))</f>
        <v/>
      </c>
      <c r="AA147" s="1" t="str">
        <f>IF(OR($B147="",AA$7=""),"",IF($B147="MEANS",INDEX('1-DATA'!$1:$1048576,$A146-1,COLUMN('1-DATA'!Z145)),ROUND(INDEX('1-DATA'!$1:$1048576,IF(OR($B147="STD. DEVIATION",$C$1=1),$A147,$A147+1),COLUMN('1-DATA'!Z145)),IF($B147="STD. DEVIATION",2,$F$1))))</f>
        <v/>
      </c>
      <c r="AB147" s="1" t="str">
        <f>IF(OR($B147="",AB$7=""),"",IF($B147="MEANS",INDEX('1-DATA'!$1:$1048576,$A146-1,COLUMN('1-DATA'!AA145)),ROUND(INDEX('1-DATA'!$1:$1048576,IF(OR($B147="STD. DEVIATION",$C$1=1),$A147,$A147+1),COLUMN('1-DATA'!AA145)),IF($B147="STD. DEVIATION",2,$F$1))))</f>
        <v/>
      </c>
      <c r="AC147" s="1" t="str">
        <f>IF(OR($B147="",AC$7=""),"",IF($B147="MEANS",INDEX('1-DATA'!$1:$1048576,$A146-1,COLUMN('1-DATA'!AB145)),ROUND(INDEX('1-DATA'!$1:$1048576,IF(OR($B147="STD. DEVIATION",$C$1=1),$A147,$A147+1),COLUMN('1-DATA'!AB145)),IF($B147="STD. DEVIATION",2,$F$1))))</f>
        <v/>
      </c>
      <c r="AD147" s="1" t="str">
        <f>IF(OR($B147="",AD$7=""),"",IF($B147="MEANS",INDEX('1-DATA'!$1:$1048576,$A146-1,COLUMN('1-DATA'!AC145)),ROUND(INDEX('1-DATA'!$1:$1048576,IF(OR($B147="STD. DEVIATION",$C$1=1),$A147,$A147+1),COLUMN('1-DATA'!AC145)),IF($B147="STD. DEVIATION",2,$F$1))))</f>
        <v/>
      </c>
      <c r="AE147" s="1" t="str">
        <f>IF(OR($B147="",AE$7=""),"",IF($B147="MEANS",INDEX('1-DATA'!$1:$1048576,$A146-1,COLUMN('1-DATA'!AD145)),ROUND(INDEX('1-DATA'!$1:$1048576,IF(OR($B147="STD. DEVIATION",$C$1=1),$A147,$A147+1),COLUMN('1-DATA'!AD145)),IF($B147="STD. DEVIATION",2,$F$1))))</f>
        <v/>
      </c>
      <c r="AF147" s="1" t="str">
        <f>IF(OR($B147="",AF$7=""),"",IF($B147="MEANS",INDEX('1-DATA'!$1:$1048576,$A146-1,COLUMN('1-DATA'!AE145)),ROUND(INDEX('1-DATA'!$1:$1048576,IF(OR($B147="STD. DEVIATION",$C$1=1),$A147,$A147+1),COLUMN('1-DATA'!AE145)),IF($B147="STD. DEVIATION",2,$F$1))))</f>
        <v/>
      </c>
      <c r="AG147" s="1" t="str">
        <f>IF(OR($B147="",AG$7=""),"",IF($B147="MEANS",INDEX('1-DATA'!$1:$1048576,$A146-1,COLUMN('1-DATA'!AF145)),ROUND(INDEX('1-DATA'!$1:$1048576,IF(OR($B147="STD. DEVIATION",$C$1=1),$A147,$A147+1),COLUMN('1-DATA'!AF145)),IF($B147="STD. DEVIATION",2,$F$1))))</f>
        <v/>
      </c>
      <c r="AH147" s="1" t="str">
        <f>IF(OR($B147="",AH$7=""),"",IF($B147="MEANS",INDEX('1-DATA'!$1:$1048576,$A146-1,COLUMN('1-DATA'!AG145)),ROUND(INDEX('1-DATA'!$1:$1048576,IF(OR($B147="STD. DEVIATION",$C$1=1),$A147,$A147+1),COLUMN('1-DATA'!AG145)),IF($B147="STD. DEVIATION",2,$F$1))))</f>
        <v/>
      </c>
      <c r="AI147" s="1" t="str">
        <f>IF(OR($B147="",AI$7=""),"",IF($B147="MEANS",INDEX('1-DATA'!$1:$1048576,$A146-1,COLUMN('1-DATA'!AH145)),ROUND(INDEX('1-DATA'!$1:$1048576,IF(OR($B147="STD. DEVIATION",$C$1=1),$A147,$A147+1),COLUMN('1-DATA'!AH145)),IF($B147="STD. DEVIATION",2,$F$1))))</f>
        <v/>
      </c>
      <c r="AJ147" s="1" t="str">
        <f>IF(OR($B147="",AJ$7=""),"",IF($B147="MEANS",INDEX('1-DATA'!$1:$1048576,$A146-1,COLUMN('1-DATA'!AI145)),ROUND(INDEX('1-DATA'!$1:$1048576,IF(OR($B147="STD. DEVIATION",$C$1=1),$A147,$A147+1),COLUMN('1-DATA'!AI145)),IF($B147="STD. DEVIATION",2,$F$1))))</f>
        <v/>
      </c>
      <c r="AK147" s="1" t="str">
        <f>IF(OR($B147="",AK$7=""),"",IF($B147="MEANS",INDEX('1-DATA'!$1:$1048576,$A146-1,COLUMN('1-DATA'!AJ145)),ROUND(INDEX('1-DATA'!$1:$1048576,IF(OR($B147="STD. DEVIATION",$C$1=1),$A147,$A147+1),COLUMN('1-DATA'!AJ145)),IF($B147="STD. DEVIATION",2,$F$1))))</f>
        <v/>
      </c>
      <c r="AL147" s="1" t="str">
        <f>IF(OR($B147="",AL$7=""),"",IF($B147="MEANS",INDEX('1-DATA'!$1:$1048576,$A146-1,COLUMN('1-DATA'!AK145)),ROUND(INDEX('1-DATA'!$1:$1048576,IF(OR($B147="STD. DEVIATION",$C$1=1),$A147,$A147+1),COLUMN('1-DATA'!AK145)),IF($B147="STD. DEVIATION",2,$F$1))))</f>
        <v/>
      </c>
      <c r="AM147" s="1" t="str">
        <f>IF(OR($B147="",AM$7=""),"",IF($B147="MEANS",INDEX('1-DATA'!$1:$1048576,$A146-1,COLUMN('1-DATA'!AL145)),ROUND(INDEX('1-DATA'!$1:$1048576,IF(OR($B147="STD. DEVIATION",$C$1=1),$A147,$A147+1),COLUMN('1-DATA'!AL145)),IF($B147="STD. DEVIATION",2,$F$1))))</f>
        <v/>
      </c>
      <c r="AN147" s="1" t="str">
        <f>IF(OR($B147="",AN$7=""),"",IF($B147="MEANS",INDEX('1-DATA'!$1:$1048576,$A146-1,COLUMN('1-DATA'!AM145)),ROUND(INDEX('1-DATA'!$1:$1048576,IF(OR($B147="STD. DEVIATION",$C$1=1),$A147,$A147+1),COLUMN('1-DATA'!AM145)),IF($B147="STD. DEVIATION",2,$F$1))))</f>
        <v/>
      </c>
      <c r="AO147" s="1" t="str">
        <f>IF(OR($B147="",AO$7=""),"",IF($B147="MEANS",INDEX('1-DATA'!$1:$1048576,$A146-1,COLUMN('1-DATA'!AN145)),ROUND(INDEX('1-DATA'!$1:$1048576,IF(OR($B147="STD. DEVIATION",$C$1=1),$A147,$A147+1),COLUMN('1-DATA'!AN145)),IF($B147="STD. DEVIATION",2,$F$1))))</f>
        <v/>
      </c>
      <c r="AP147" s="1" t="str">
        <f>IF(OR($B147="",AP$7=""),"",IF($B147="MEANS",INDEX('1-DATA'!$1:$1048576,$A146-1,COLUMN('1-DATA'!AO145)),ROUND(INDEX('1-DATA'!$1:$1048576,IF(OR($B147="STD. DEVIATION",$C$1=1),$A147,$A147+1),COLUMN('1-DATA'!AO145)),IF($B147="STD. DEVIATION",2,$F$1))))</f>
        <v/>
      </c>
      <c r="AQ147" s="1" t="str">
        <f>IF(OR($B147="",AQ$7=""),"",IF($B147="MEANS",INDEX('1-DATA'!$1:$1048576,$A146-1,COLUMN('1-DATA'!AP145)),ROUND(INDEX('1-DATA'!$1:$1048576,IF(OR($B147="STD. DEVIATION",$C$1=1),$A147,$A147+1),COLUMN('1-DATA'!AP145)),IF($B147="STD. DEVIATION",2,$F$1))))</f>
        <v/>
      </c>
      <c r="AR147" s="1" t="str">
        <f>IF(OR($B147="",AR$7=""),"",IF($B147="MEANS",INDEX('1-DATA'!$1:$1048576,$A146-1,COLUMN('1-DATA'!AQ145)),ROUND(INDEX('1-DATA'!$1:$1048576,IF(OR($B147="STD. DEVIATION",$C$1=1),$A147,$A147+1),COLUMN('1-DATA'!AQ145)),IF($B147="STD. DEVIATION",2,$F$1))))</f>
        <v/>
      </c>
      <c r="AS147" s="1" t="str">
        <f>IF(OR($B147="",AS$7=""),"",IF($B147="MEANS",INDEX('1-DATA'!$1:$1048576,$A146-1,COLUMN('1-DATA'!AR145)),ROUND(INDEX('1-DATA'!$1:$1048576,IF(OR($B147="STD. DEVIATION",$C$1=1),$A147,$A147+1),COLUMN('1-DATA'!AR145)),IF($B147="STD. DEVIATION",2,$F$1))))</f>
        <v/>
      </c>
      <c r="AT147" s="1" t="str">
        <f>IF(OR($B147="",AT$7=""),"",IF($B147="MEANS",INDEX('1-DATA'!$1:$1048576,$A146-1,COLUMN('1-DATA'!AS145)),ROUND(INDEX('1-DATA'!$1:$1048576,IF(OR($B147="STD. DEVIATION",$C$1=1),$A147,$A147+1),COLUMN('1-DATA'!AS145)),IF($B147="STD. DEVIATION",2,$F$1))))</f>
        <v/>
      </c>
      <c r="AU147" s="1" t="str">
        <f>IF(OR($B147="",AU$7=""),"",IF($B147="MEANS",INDEX('1-DATA'!$1:$1048576,$A146-1,COLUMN('1-DATA'!AT145)),ROUND(INDEX('1-DATA'!$1:$1048576,IF(OR($B147="STD. DEVIATION",$C$1=1),$A147,$A147+1),COLUMN('1-DATA'!AT145)),IF($B147="STD. DEVIATION",2,$F$1))))</f>
        <v/>
      </c>
      <c r="AV147" s="1" t="str">
        <f>IF(OR($B147="",AV$7=""),"",IF($B147="MEANS",INDEX('1-DATA'!$1:$1048576,$A146-1,COLUMN('1-DATA'!AU145)),ROUND(INDEX('1-DATA'!$1:$1048576,IF(OR($B147="STD. DEVIATION",$C$1=1),$A147,$A147+1),COLUMN('1-DATA'!AU145)),IF($B147="STD. DEVIATION",2,$F$1))))</f>
        <v/>
      </c>
      <c r="AW147" s="1" t="str">
        <f>IF(OR($B147="",AW$7=""),"",IF($B147="MEANS",INDEX('1-DATA'!$1:$1048576,$A146-1,COLUMN('1-DATA'!AV145)),ROUND(INDEX('1-DATA'!$1:$1048576,IF(OR($B147="STD. DEVIATION",$C$1=1),$A147,$A147+1),COLUMN('1-DATA'!AV145)),IF($B147="STD. DEVIATION",2,$F$1))))</f>
        <v/>
      </c>
      <c r="AX147" s="1" t="str">
        <f>IF(OR($B147="",AX$7=""),"",IF($B147="MEANS",INDEX('1-DATA'!$1:$1048576,$A146-1,COLUMN('1-DATA'!AW145)),ROUND(INDEX('1-DATA'!$1:$1048576,IF(OR($B147="STD. DEVIATION",$C$1=1),$A147,$A147+1),COLUMN('1-DATA'!AW145)),IF($B147="STD. DEVIATION",2,$F$1))))</f>
        <v/>
      </c>
      <c r="AY147" s="1" t="str">
        <f>IF(OR($B147="",AY$7=""),"",IF($B147="MEANS",INDEX('1-DATA'!$1:$1048576,$A146-1,COLUMN('1-DATA'!AX145)),ROUND(INDEX('1-DATA'!$1:$1048576,IF(OR($B147="STD. DEVIATION",$C$1=1),$A147,$A147+1),COLUMN('1-DATA'!AX145)),IF($B147="STD. DEVIATION",2,$F$1))))</f>
        <v/>
      </c>
      <c r="AZ147" s="1" t="str">
        <f>IF(OR($B147="",AZ$7=""),"",IF($B147="MEANS",INDEX('1-DATA'!$1:$1048576,$A146-1,COLUMN('1-DATA'!AY145)),ROUND(INDEX('1-DATA'!$1:$1048576,IF(OR($B147="STD. DEVIATION",$C$1=1),$A147,$A147+1),COLUMN('1-DATA'!AY145)),IF($B147="STD. DEVIATION",2,$F$1))))</f>
        <v/>
      </c>
    </row>
    <row r="148" spans="1:52" x14ac:dyDescent="0.25">
      <c r="A148" s="11">
        <f t="shared" si="2"/>
        <v>430</v>
      </c>
      <c r="B148" s="1" t="str">
        <f>IF(B147="STD. DEVIATION",INDEX('1-DATA'!$1:$1048576,$A147-1,1),IF(INDEX('1-DATA'!$1:$1048576,$A148,1)&lt;&gt;"",INDEX('1-DATA'!$1:$1048576,$A148,1),""))</f>
        <v/>
      </c>
      <c r="C148" s="1" t="str">
        <f>IF(OR($B148="",C$7=""),"",IF($B148="MEANS",INDEX('1-DATA'!$1:$1048576,$A147-1,COLUMN('1-DATA'!B146)),ROUND(INDEX('1-DATA'!$1:$1048576,IF(OR($B148="STD. DEVIATION",$C$1=1),$A148,$A148+1),COLUMN('1-DATA'!B146)),IF($B148="STD. DEVIATION",2,$F$1))))</f>
        <v/>
      </c>
      <c r="D148" s="1" t="str">
        <f>IF(OR($B148="",D$7=""),"",IF($B148="MEANS",INDEX('1-DATA'!$1:$1048576,$A147-1,COLUMN('1-DATA'!C146)),ROUND(INDEX('1-DATA'!$1:$1048576,IF(OR($B148="STD. DEVIATION",$C$1=1),$A148,$A148+1),COLUMN('1-DATA'!C146)),IF($B148="STD. DEVIATION",2,$F$1))))</f>
        <v/>
      </c>
      <c r="E148" s="1" t="str">
        <f>IF(OR($B148="",E$7=""),"",IF($B148="MEANS",INDEX('1-DATA'!$1:$1048576,$A147-1,COLUMN('1-DATA'!D146)),ROUND(INDEX('1-DATA'!$1:$1048576,IF(OR($B148="STD. DEVIATION",$C$1=1),$A148,$A148+1),COLUMN('1-DATA'!D146)),IF($B148="STD. DEVIATION",2,$F$1))))</f>
        <v/>
      </c>
      <c r="F148" s="1" t="str">
        <f>IF(OR($B148="",F$7=""),"",IF($B148="MEANS",INDEX('1-DATA'!$1:$1048576,$A147-1,COLUMN('1-DATA'!E146)),ROUND(INDEX('1-DATA'!$1:$1048576,IF(OR($B148="STD. DEVIATION",$C$1=1),$A148,$A148+1),COLUMN('1-DATA'!E146)),IF($B148="STD. DEVIATION",2,$F$1))))</f>
        <v/>
      </c>
      <c r="G148" s="1" t="str">
        <f>IF(OR($B148="",G$7=""),"",IF($B148="MEANS",INDEX('1-DATA'!$1:$1048576,$A147-1,COLUMN('1-DATA'!F146)),ROUND(INDEX('1-DATA'!$1:$1048576,IF(OR($B148="STD. DEVIATION",$C$1=1),$A148,$A148+1),COLUMN('1-DATA'!F146)),IF($B148="STD. DEVIATION",2,$F$1))))</f>
        <v/>
      </c>
      <c r="H148" s="1" t="str">
        <f>IF(OR($B148="",H$7=""),"",IF($B148="MEANS",INDEX('1-DATA'!$1:$1048576,$A147-1,COLUMN('1-DATA'!G146)),ROUND(INDEX('1-DATA'!$1:$1048576,IF(OR($B148="STD. DEVIATION",$C$1=1),$A148,$A148+1),COLUMN('1-DATA'!G146)),IF($B148="STD. DEVIATION",2,$F$1))))</f>
        <v/>
      </c>
      <c r="I148" s="1" t="str">
        <f>IF(OR($B148="",I$7=""),"",IF($B148="MEANS",INDEX('1-DATA'!$1:$1048576,$A147-1,COLUMN('1-DATA'!H146)),ROUND(INDEX('1-DATA'!$1:$1048576,IF(OR($B148="STD. DEVIATION",$C$1=1),$A148,$A148+1),COLUMN('1-DATA'!H146)),IF($B148="STD. DEVIATION",2,$F$1))))</f>
        <v/>
      </c>
      <c r="J148" s="1" t="str">
        <f>IF(OR($B148="",J$7=""),"",IF($B148="MEANS",INDEX('1-DATA'!$1:$1048576,$A147-1,COLUMN('1-DATA'!I146)),ROUND(INDEX('1-DATA'!$1:$1048576,IF(OR($B148="STD. DEVIATION",$C$1=1),$A148,$A148+1),COLUMN('1-DATA'!I146)),IF($B148="STD. DEVIATION",2,$F$1))))</f>
        <v/>
      </c>
      <c r="K148" s="1" t="str">
        <f>IF(OR($B148="",K$7=""),"",IF($B148="MEANS",INDEX('1-DATA'!$1:$1048576,$A147-1,COLUMN('1-DATA'!J146)),ROUND(INDEX('1-DATA'!$1:$1048576,IF(OR($B148="STD. DEVIATION",$C$1=1),$A148,$A148+1),COLUMN('1-DATA'!J146)),IF($B148="STD. DEVIATION",2,$F$1))))</f>
        <v/>
      </c>
      <c r="L148" s="1" t="str">
        <f>IF(OR($B148="",L$7=""),"",IF($B148="MEANS",INDEX('1-DATA'!$1:$1048576,$A147-1,COLUMN('1-DATA'!K146)),ROUND(INDEX('1-DATA'!$1:$1048576,IF(OR($B148="STD. DEVIATION",$C$1=1),$A148,$A148+1),COLUMN('1-DATA'!K146)),IF($B148="STD. DEVIATION",2,$F$1))))</f>
        <v/>
      </c>
      <c r="M148" s="1" t="str">
        <f>IF(OR($B148="",M$7=""),"",IF($B148="MEANS",INDEX('1-DATA'!$1:$1048576,$A147-1,COLUMN('1-DATA'!L146)),ROUND(INDEX('1-DATA'!$1:$1048576,IF(OR($B148="STD. DEVIATION",$C$1=1),$A148,$A148+1),COLUMN('1-DATA'!L146)),IF($B148="STD. DEVIATION",2,$F$1))))</f>
        <v/>
      </c>
      <c r="N148" s="1" t="str">
        <f>IF(OR($B148="",N$7=""),"",IF($B148="MEANS",INDEX('1-DATA'!$1:$1048576,$A147-1,COLUMN('1-DATA'!M146)),ROUND(INDEX('1-DATA'!$1:$1048576,IF(OR($B148="STD. DEVIATION",$C$1=1),$A148,$A148+1),COLUMN('1-DATA'!M146)),IF($B148="STD. DEVIATION",2,$F$1))))</f>
        <v/>
      </c>
      <c r="O148" s="1" t="str">
        <f>IF(OR($B148="",O$7=""),"",IF($B148="MEANS",INDEX('1-DATA'!$1:$1048576,$A147-1,COLUMN('1-DATA'!N146)),ROUND(INDEX('1-DATA'!$1:$1048576,IF(OR($B148="STD. DEVIATION",$C$1=1),$A148,$A148+1),COLUMN('1-DATA'!N146)),IF($B148="STD. DEVIATION",2,$F$1))))</f>
        <v/>
      </c>
      <c r="P148" s="1" t="str">
        <f>IF(OR($B148="",P$7=""),"",IF($B148="MEANS",INDEX('1-DATA'!$1:$1048576,$A147-1,COLUMN('1-DATA'!O146)),ROUND(INDEX('1-DATA'!$1:$1048576,IF(OR($B148="STD. DEVIATION",$C$1=1),$A148,$A148+1),COLUMN('1-DATA'!O146)),IF($B148="STD. DEVIATION",2,$F$1))))</f>
        <v/>
      </c>
      <c r="Q148" s="1" t="str">
        <f>IF(OR($B148="",Q$7=""),"",IF($B148="MEANS",INDEX('1-DATA'!$1:$1048576,$A147-1,COLUMN('1-DATA'!P146)),ROUND(INDEX('1-DATA'!$1:$1048576,IF(OR($B148="STD. DEVIATION",$C$1=1),$A148,$A148+1),COLUMN('1-DATA'!P146)),IF($B148="STD. DEVIATION",2,$F$1))))</f>
        <v/>
      </c>
      <c r="R148" s="1" t="str">
        <f>IF(OR($B148="",R$7=""),"",IF($B148="MEANS",INDEX('1-DATA'!$1:$1048576,$A147-1,COLUMN('1-DATA'!Q146)),ROUND(INDEX('1-DATA'!$1:$1048576,IF(OR($B148="STD. DEVIATION",$C$1=1),$A148,$A148+1),COLUMN('1-DATA'!Q146)),IF($B148="STD. DEVIATION",2,$F$1))))</f>
        <v/>
      </c>
      <c r="S148" s="1" t="str">
        <f>IF(OR($B148="",S$7=""),"",IF($B148="MEANS",INDEX('1-DATA'!$1:$1048576,$A147-1,COLUMN('1-DATA'!R146)),ROUND(INDEX('1-DATA'!$1:$1048576,IF(OR($B148="STD. DEVIATION",$C$1=1),$A148,$A148+1),COLUMN('1-DATA'!R146)),IF($B148="STD. DEVIATION",2,$F$1))))</f>
        <v/>
      </c>
      <c r="T148" s="1" t="str">
        <f>IF(OR($B148="",T$7=""),"",IF($B148="MEANS",INDEX('1-DATA'!$1:$1048576,$A147-1,COLUMN('1-DATA'!S146)),ROUND(INDEX('1-DATA'!$1:$1048576,IF(OR($B148="STD. DEVIATION",$C$1=1),$A148,$A148+1),COLUMN('1-DATA'!S146)),IF($B148="STD. DEVIATION",2,$F$1))))</f>
        <v/>
      </c>
      <c r="U148" s="1" t="str">
        <f>IF(OR($B148="",U$7=""),"",IF($B148="MEANS",INDEX('1-DATA'!$1:$1048576,$A147-1,COLUMN('1-DATA'!T146)),ROUND(INDEX('1-DATA'!$1:$1048576,IF(OR($B148="STD. DEVIATION",$C$1=1),$A148,$A148+1),COLUMN('1-DATA'!T146)),IF($B148="STD. DEVIATION",2,$F$1))))</f>
        <v/>
      </c>
      <c r="V148" s="1" t="str">
        <f>IF(OR($B148="",V$7=""),"",IF($B148="MEANS",INDEX('1-DATA'!$1:$1048576,$A147-1,COLUMN('1-DATA'!U146)),ROUND(INDEX('1-DATA'!$1:$1048576,IF(OR($B148="STD. DEVIATION",$C$1=1),$A148,$A148+1),COLUMN('1-DATA'!U146)),IF($B148="STD. DEVIATION",2,$F$1))))</f>
        <v/>
      </c>
      <c r="W148" s="1" t="str">
        <f>IF(OR($B148="",W$7=""),"",IF($B148="MEANS",INDEX('1-DATA'!$1:$1048576,$A147-1,COLUMN('1-DATA'!V146)),ROUND(INDEX('1-DATA'!$1:$1048576,IF(OR($B148="STD. DEVIATION",$C$1=1),$A148,$A148+1),COLUMN('1-DATA'!V146)),IF($B148="STD. DEVIATION",2,$F$1))))</f>
        <v/>
      </c>
      <c r="X148" s="1" t="str">
        <f>IF(OR($B148="",X$7=""),"",IF($B148="MEANS",INDEX('1-DATA'!$1:$1048576,$A147-1,COLUMN('1-DATA'!W146)),ROUND(INDEX('1-DATA'!$1:$1048576,IF(OR($B148="STD. DEVIATION",$C$1=1),$A148,$A148+1),COLUMN('1-DATA'!W146)),IF($B148="STD. DEVIATION",2,$F$1))))</f>
        <v/>
      </c>
      <c r="Y148" s="1" t="str">
        <f>IF(OR($B148="",Y$7=""),"",IF($B148="MEANS",INDEX('1-DATA'!$1:$1048576,$A147-1,COLUMN('1-DATA'!X146)),ROUND(INDEX('1-DATA'!$1:$1048576,IF(OR($B148="STD. DEVIATION",$C$1=1),$A148,$A148+1),COLUMN('1-DATA'!X146)),IF($B148="STD. DEVIATION",2,$F$1))))</f>
        <v/>
      </c>
      <c r="Z148" s="1" t="str">
        <f>IF(OR($B148="",Z$7=""),"",IF($B148="MEANS",INDEX('1-DATA'!$1:$1048576,$A147-1,COLUMN('1-DATA'!Y146)),ROUND(INDEX('1-DATA'!$1:$1048576,IF(OR($B148="STD. DEVIATION",$C$1=1),$A148,$A148+1),COLUMN('1-DATA'!Y146)),IF($B148="STD. DEVIATION",2,$F$1))))</f>
        <v/>
      </c>
      <c r="AA148" s="1" t="str">
        <f>IF(OR($B148="",AA$7=""),"",IF($B148="MEANS",INDEX('1-DATA'!$1:$1048576,$A147-1,COLUMN('1-DATA'!Z146)),ROUND(INDEX('1-DATA'!$1:$1048576,IF(OR($B148="STD. DEVIATION",$C$1=1),$A148,$A148+1),COLUMN('1-DATA'!Z146)),IF($B148="STD. DEVIATION",2,$F$1))))</f>
        <v/>
      </c>
      <c r="AB148" s="1" t="str">
        <f>IF(OR($B148="",AB$7=""),"",IF($B148="MEANS",INDEX('1-DATA'!$1:$1048576,$A147-1,COLUMN('1-DATA'!AA146)),ROUND(INDEX('1-DATA'!$1:$1048576,IF(OR($B148="STD. DEVIATION",$C$1=1),$A148,$A148+1),COLUMN('1-DATA'!AA146)),IF($B148="STD. DEVIATION",2,$F$1))))</f>
        <v/>
      </c>
      <c r="AC148" s="1" t="str">
        <f>IF(OR($B148="",AC$7=""),"",IF($B148="MEANS",INDEX('1-DATA'!$1:$1048576,$A147-1,COLUMN('1-DATA'!AB146)),ROUND(INDEX('1-DATA'!$1:$1048576,IF(OR($B148="STD. DEVIATION",$C$1=1),$A148,$A148+1),COLUMN('1-DATA'!AB146)),IF($B148="STD. DEVIATION",2,$F$1))))</f>
        <v/>
      </c>
      <c r="AD148" s="1" t="str">
        <f>IF(OR($B148="",AD$7=""),"",IF($B148="MEANS",INDEX('1-DATA'!$1:$1048576,$A147-1,COLUMN('1-DATA'!AC146)),ROUND(INDEX('1-DATA'!$1:$1048576,IF(OR($B148="STD. DEVIATION",$C$1=1),$A148,$A148+1),COLUMN('1-DATA'!AC146)),IF($B148="STD. DEVIATION",2,$F$1))))</f>
        <v/>
      </c>
      <c r="AE148" s="1" t="str">
        <f>IF(OR($B148="",AE$7=""),"",IF($B148="MEANS",INDEX('1-DATA'!$1:$1048576,$A147-1,COLUMN('1-DATA'!AD146)),ROUND(INDEX('1-DATA'!$1:$1048576,IF(OR($B148="STD. DEVIATION",$C$1=1),$A148,$A148+1),COLUMN('1-DATA'!AD146)),IF($B148="STD. DEVIATION",2,$F$1))))</f>
        <v/>
      </c>
      <c r="AF148" s="1" t="str">
        <f>IF(OR($B148="",AF$7=""),"",IF($B148="MEANS",INDEX('1-DATA'!$1:$1048576,$A147-1,COLUMN('1-DATA'!AE146)),ROUND(INDEX('1-DATA'!$1:$1048576,IF(OR($B148="STD. DEVIATION",$C$1=1),$A148,$A148+1),COLUMN('1-DATA'!AE146)),IF($B148="STD. DEVIATION",2,$F$1))))</f>
        <v/>
      </c>
      <c r="AG148" s="1" t="str">
        <f>IF(OR($B148="",AG$7=""),"",IF($B148="MEANS",INDEX('1-DATA'!$1:$1048576,$A147-1,COLUMN('1-DATA'!AF146)),ROUND(INDEX('1-DATA'!$1:$1048576,IF(OR($B148="STD. DEVIATION",$C$1=1),$A148,$A148+1),COLUMN('1-DATA'!AF146)),IF($B148="STD. DEVIATION",2,$F$1))))</f>
        <v/>
      </c>
      <c r="AH148" s="1" t="str">
        <f>IF(OR($B148="",AH$7=""),"",IF($B148="MEANS",INDEX('1-DATA'!$1:$1048576,$A147-1,COLUMN('1-DATA'!AG146)),ROUND(INDEX('1-DATA'!$1:$1048576,IF(OR($B148="STD. DEVIATION",$C$1=1),$A148,$A148+1),COLUMN('1-DATA'!AG146)),IF($B148="STD. DEVIATION",2,$F$1))))</f>
        <v/>
      </c>
      <c r="AI148" s="1" t="str">
        <f>IF(OR($B148="",AI$7=""),"",IF($B148="MEANS",INDEX('1-DATA'!$1:$1048576,$A147-1,COLUMN('1-DATA'!AH146)),ROUND(INDEX('1-DATA'!$1:$1048576,IF(OR($B148="STD. DEVIATION",$C$1=1),$A148,$A148+1),COLUMN('1-DATA'!AH146)),IF($B148="STD. DEVIATION",2,$F$1))))</f>
        <v/>
      </c>
      <c r="AJ148" s="1" t="str">
        <f>IF(OR($B148="",AJ$7=""),"",IF($B148="MEANS",INDEX('1-DATA'!$1:$1048576,$A147-1,COLUMN('1-DATA'!AI146)),ROUND(INDEX('1-DATA'!$1:$1048576,IF(OR($B148="STD. DEVIATION",$C$1=1),$A148,$A148+1),COLUMN('1-DATA'!AI146)),IF($B148="STD. DEVIATION",2,$F$1))))</f>
        <v/>
      </c>
      <c r="AK148" s="1" t="str">
        <f>IF(OR($B148="",AK$7=""),"",IF($B148="MEANS",INDEX('1-DATA'!$1:$1048576,$A147-1,COLUMN('1-DATA'!AJ146)),ROUND(INDEX('1-DATA'!$1:$1048576,IF(OR($B148="STD. DEVIATION",$C$1=1),$A148,$A148+1),COLUMN('1-DATA'!AJ146)),IF($B148="STD. DEVIATION",2,$F$1))))</f>
        <v/>
      </c>
      <c r="AL148" s="1" t="str">
        <f>IF(OR($B148="",AL$7=""),"",IF($B148="MEANS",INDEX('1-DATA'!$1:$1048576,$A147-1,COLUMN('1-DATA'!AK146)),ROUND(INDEX('1-DATA'!$1:$1048576,IF(OR($B148="STD. DEVIATION",$C$1=1),$A148,$A148+1),COLUMN('1-DATA'!AK146)),IF($B148="STD. DEVIATION",2,$F$1))))</f>
        <v/>
      </c>
      <c r="AM148" s="1" t="str">
        <f>IF(OR($B148="",AM$7=""),"",IF($B148="MEANS",INDEX('1-DATA'!$1:$1048576,$A147-1,COLUMN('1-DATA'!AL146)),ROUND(INDEX('1-DATA'!$1:$1048576,IF(OR($B148="STD. DEVIATION",$C$1=1),$A148,$A148+1),COLUMN('1-DATA'!AL146)),IF($B148="STD. DEVIATION",2,$F$1))))</f>
        <v/>
      </c>
      <c r="AN148" s="1" t="str">
        <f>IF(OR($B148="",AN$7=""),"",IF($B148="MEANS",INDEX('1-DATA'!$1:$1048576,$A147-1,COLUMN('1-DATA'!AM146)),ROUND(INDEX('1-DATA'!$1:$1048576,IF(OR($B148="STD. DEVIATION",$C$1=1),$A148,$A148+1),COLUMN('1-DATA'!AM146)),IF($B148="STD. DEVIATION",2,$F$1))))</f>
        <v/>
      </c>
      <c r="AO148" s="1" t="str">
        <f>IF(OR($B148="",AO$7=""),"",IF($B148="MEANS",INDEX('1-DATA'!$1:$1048576,$A147-1,COLUMN('1-DATA'!AN146)),ROUND(INDEX('1-DATA'!$1:$1048576,IF(OR($B148="STD. DEVIATION",$C$1=1),$A148,$A148+1),COLUMN('1-DATA'!AN146)),IF($B148="STD. DEVIATION",2,$F$1))))</f>
        <v/>
      </c>
      <c r="AP148" s="1" t="str">
        <f>IF(OR($B148="",AP$7=""),"",IF($B148="MEANS",INDEX('1-DATA'!$1:$1048576,$A147-1,COLUMN('1-DATA'!AO146)),ROUND(INDEX('1-DATA'!$1:$1048576,IF(OR($B148="STD. DEVIATION",$C$1=1),$A148,$A148+1),COLUMN('1-DATA'!AO146)),IF($B148="STD. DEVIATION",2,$F$1))))</f>
        <v/>
      </c>
      <c r="AQ148" s="1" t="str">
        <f>IF(OR($B148="",AQ$7=""),"",IF($B148="MEANS",INDEX('1-DATA'!$1:$1048576,$A147-1,COLUMN('1-DATA'!AP146)),ROUND(INDEX('1-DATA'!$1:$1048576,IF(OR($B148="STD. DEVIATION",$C$1=1),$A148,$A148+1),COLUMN('1-DATA'!AP146)),IF($B148="STD. DEVIATION",2,$F$1))))</f>
        <v/>
      </c>
      <c r="AR148" s="1" t="str">
        <f>IF(OR($B148="",AR$7=""),"",IF($B148="MEANS",INDEX('1-DATA'!$1:$1048576,$A147-1,COLUMN('1-DATA'!AQ146)),ROUND(INDEX('1-DATA'!$1:$1048576,IF(OR($B148="STD. DEVIATION",$C$1=1),$A148,$A148+1),COLUMN('1-DATA'!AQ146)),IF($B148="STD. DEVIATION",2,$F$1))))</f>
        <v/>
      </c>
      <c r="AS148" s="1" t="str">
        <f>IF(OR($B148="",AS$7=""),"",IF($B148="MEANS",INDEX('1-DATA'!$1:$1048576,$A147-1,COLUMN('1-DATA'!AR146)),ROUND(INDEX('1-DATA'!$1:$1048576,IF(OR($B148="STD. DEVIATION",$C$1=1),$A148,$A148+1),COLUMN('1-DATA'!AR146)),IF($B148="STD. DEVIATION",2,$F$1))))</f>
        <v/>
      </c>
      <c r="AT148" s="1" t="str">
        <f>IF(OR($B148="",AT$7=""),"",IF($B148="MEANS",INDEX('1-DATA'!$1:$1048576,$A147-1,COLUMN('1-DATA'!AS146)),ROUND(INDEX('1-DATA'!$1:$1048576,IF(OR($B148="STD. DEVIATION",$C$1=1),$A148,$A148+1),COLUMN('1-DATA'!AS146)),IF($B148="STD. DEVIATION",2,$F$1))))</f>
        <v/>
      </c>
      <c r="AU148" s="1" t="str">
        <f>IF(OR($B148="",AU$7=""),"",IF($B148="MEANS",INDEX('1-DATA'!$1:$1048576,$A147-1,COLUMN('1-DATA'!AT146)),ROUND(INDEX('1-DATA'!$1:$1048576,IF(OR($B148="STD. DEVIATION",$C$1=1),$A148,$A148+1),COLUMN('1-DATA'!AT146)),IF($B148="STD. DEVIATION",2,$F$1))))</f>
        <v/>
      </c>
      <c r="AV148" s="1" t="str">
        <f>IF(OR($B148="",AV$7=""),"",IF($B148="MEANS",INDEX('1-DATA'!$1:$1048576,$A147-1,COLUMN('1-DATA'!AU146)),ROUND(INDEX('1-DATA'!$1:$1048576,IF(OR($B148="STD. DEVIATION",$C$1=1),$A148,$A148+1),COLUMN('1-DATA'!AU146)),IF($B148="STD. DEVIATION",2,$F$1))))</f>
        <v/>
      </c>
      <c r="AW148" s="1" t="str">
        <f>IF(OR($B148="",AW$7=""),"",IF($B148="MEANS",INDEX('1-DATA'!$1:$1048576,$A147-1,COLUMN('1-DATA'!AV146)),ROUND(INDEX('1-DATA'!$1:$1048576,IF(OR($B148="STD. DEVIATION",$C$1=1),$A148,$A148+1),COLUMN('1-DATA'!AV146)),IF($B148="STD. DEVIATION",2,$F$1))))</f>
        <v/>
      </c>
      <c r="AX148" s="1" t="str">
        <f>IF(OR($B148="",AX$7=""),"",IF($B148="MEANS",INDEX('1-DATA'!$1:$1048576,$A147-1,COLUMN('1-DATA'!AW146)),ROUND(INDEX('1-DATA'!$1:$1048576,IF(OR($B148="STD. DEVIATION",$C$1=1),$A148,$A148+1),COLUMN('1-DATA'!AW146)),IF($B148="STD. DEVIATION",2,$F$1))))</f>
        <v/>
      </c>
      <c r="AY148" s="1" t="str">
        <f>IF(OR($B148="",AY$7=""),"",IF($B148="MEANS",INDEX('1-DATA'!$1:$1048576,$A147-1,COLUMN('1-DATA'!AX146)),ROUND(INDEX('1-DATA'!$1:$1048576,IF(OR($B148="STD. DEVIATION",$C$1=1),$A148,$A148+1),COLUMN('1-DATA'!AX146)),IF($B148="STD. DEVIATION",2,$F$1))))</f>
        <v/>
      </c>
      <c r="AZ148" s="1" t="str">
        <f>IF(OR($B148="",AZ$7=""),"",IF($B148="MEANS",INDEX('1-DATA'!$1:$1048576,$A147-1,COLUMN('1-DATA'!AY146)),ROUND(INDEX('1-DATA'!$1:$1048576,IF(OR($B148="STD. DEVIATION",$C$1=1),$A148,$A148+1),COLUMN('1-DATA'!AY146)),IF($B148="STD. DEVIATION",2,$F$1))))</f>
        <v/>
      </c>
    </row>
    <row r="149" spans="1:52" x14ac:dyDescent="0.25">
      <c r="A149" s="11">
        <f t="shared" si="2"/>
        <v>433</v>
      </c>
      <c r="B149" s="1" t="str">
        <f>IF(B148="STD. DEVIATION",INDEX('1-DATA'!$1:$1048576,$A148-1,1),IF(INDEX('1-DATA'!$1:$1048576,$A149,1)&lt;&gt;"",INDEX('1-DATA'!$1:$1048576,$A149,1),""))</f>
        <v/>
      </c>
      <c r="C149" s="1" t="str">
        <f>IF(OR($B149="",C$7=""),"",IF($B149="MEANS",INDEX('1-DATA'!$1:$1048576,$A148-1,COLUMN('1-DATA'!B147)),ROUND(INDEX('1-DATA'!$1:$1048576,IF(OR($B149="STD. DEVIATION",$C$1=1),$A149,$A149+1),COLUMN('1-DATA'!B147)),IF($B149="STD. DEVIATION",2,$F$1))))</f>
        <v/>
      </c>
      <c r="D149" s="1" t="str">
        <f>IF(OR($B149="",D$7=""),"",IF($B149="MEANS",INDEX('1-DATA'!$1:$1048576,$A148-1,COLUMN('1-DATA'!C147)),ROUND(INDEX('1-DATA'!$1:$1048576,IF(OR($B149="STD. DEVIATION",$C$1=1),$A149,$A149+1),COLUMN('1-DATA'!C147)),IF($B149="STD. DEVIATION",2,$F$1))))</f>
        <v/>
      </c>
      <c r="E149" s="1" t="str">
        <f>IF(OR($B149="",E$7=""),"",IF($B149="MEANS",INDEX('1-DATA'!$1:$1048576,$A148-1,COLUMN('1-DATA'!D147)),ROUND(INDEX('1-DATA'!$1:$1048576,IF(OR($B149="STD. DEVIATION",$C$1=1),$A149,$A149+1),COLUMN('1-DATA'!D147)),IF($B149="STD. DEVIATION",2,$F$1))))</f>
        <v/>
      </c>
      <c r="F149" s="1" t="str">
        <f>IF(OR($B149="",F$7=""),"",IF($B149="MEANS",INDEX('1-DATA'!$1:$1048576,$A148-1,COLUMN('1-DATA'!E147)),ROUND(INDEX('1-DATA'!$1:$1048576,IF(OR($B149="STD. DEVIATION",$C$1=1),$A149,$A149+1),COLUMN('1-DATA'!E147)),IF($B149="STD. DEVIATION",2,$F$1))))</f>
        <v/>
      </c>
      <c r="G149" s="1" t="str">
        <f>IF(OR($B149="",G$7=""),"",IF($B149="MEANS",INDEX('1-DATA'!$1:$1048576,$A148-1,COLUMN('1-DATA'!F147)),ROUND(INDEX('1-DATA'!$1:$1048576,IF(OR($B149="STD. DEVIATION",$C$1=1),$A149,$A149+1),COLUMN('1-DATA'!F147)),IF($B149="STD. DEVIATION",2,$F$1))))</f>
        <v/>
      </c>
      <c r="H149" s="1" t="str">
        <f>IF(OR($B149="",H$7=""),"",IF($B149="MEANS",INDEX('1-DATA'!$1:$1048576,$A148-1,COLUMN('1-DATA'!G147)),ROUND(INDEX('1-DATA'!$1:$1048576,IF(OR($B149="STD. DEVIATION",$C$1=1),$A149,$A149+1),COLUMN('1-DATA'!G147)),IF($B149="STD. DEVIATION",2,$F$1))))</f>
        <v/>
      </c>
      <c r="I149" s="1" t="str">
        <f>IF(OR($B149="",I$7=""),"",IF($B149="MEANS",INDEX('1-DATA'!$1:$1048576,$A148-1,COLUMN('1-DATA'!H147)),ROUND(INDEX('1-DATA'!$1:$1048576,IF(OR($B149="STD. DEVIATION",$C$1=1),$A149,$A149+1),COLUMN('1-DATA'!H147)),IF($B149="STD. DEVIATION",2,$F$1))))</f>
        <v/>
      </c>
      <c r="J149" s="1" t="str">
        <f>IF(OR($B149="",J$7=""),"",IF($B149="MEANS",INDEX('1-DATA'!$1:$1048576,$A148-1,COLUMN('1-DATA'!I147)),ROUND(INDEX('1-DATA'!$1:$1048576,IF(OR($B149="STD. DEVIATION",$C$1=1),$A149,$A149+1),COLUMN('1-DATA'!I147)),IF($B149="STD. DEVIATION",2,$F$1))))</f>
        <v/>
      </c>
      <c r="K149" s="1" t="str">
        <f>IF(OR($B149="",K$7=""),"",IF($B149="MEANS",INDEX('1-DATA'!$1:$1048576,$A148-1,COLUMN('1-DATA'!J147)),ROUND(INDEX('1-DATA'!$1:$1048576,IF(OR($B149="STD. DEVIATION",$C$1=1),$A149,$A149+1),COLUMN('1-DATA'!J147)),IF($B149="STD. DEVIATION",2,$F$1))))</f>
        <v/>
      </c>
      <c r="L149" s="1" t="str">
        <f>IF(OR($B149="",L$7=""),"",IF($B149="MEANS",INDEX('1-DATA'!$1:$1048576,$A148-1,COLUMN('1-DATA'!K147)),ROUND(INDEX('1-DATA'!$1:$1048576,IF(OR($B149="STD. DEVIATION",$C$1=1),$A149,$A149+1),COLUMN('1-DATA'!K147)),IF($B149="STD. DEVIATION",2,$F$1))))</f>
        <v/>
      </c>
      <c r="M149" s="1" t="str">
        <f>IF(OR($B149="",M$7=""),"",IF($B149="MEANS",INDEX('1-DATA'!$1:$1048576,$A148-1,COLUMN('1-DATA'!L147)),ROUND(INDEX('1-DATA'!$1:$1048576,IF(OR($B149="STD. DEVIATION",$C$1=1),$A149,$A149+1),COLUMN('1-DATA'!L147)),IF($B149="STD. DEVIATION",2,$F$1))))</f>
        <v/>
      </c>
      <c r="N149" s="1" t="str">
        <f>IF(OR($B149="",N$7=""),"",IF($B149="MEANS",INDEX('1-DATA'!$1:$1048576,$A148-1,COLUMN('1-DATA'!M147)),ROUND(INDEX('1-DATA'!$1:$1048576,IF(OR($B149="STD. DEVIATION",$C$1=1),$A149,$A149+1),COLUMN('1-DATA'!M147)),IF($B149="STD. DEVIATION",2,$F$1))))</f>
        <v/>
      </c>
      <c r="O149" s="1" t="str">
        <f>IF(OR($B149="",O$7=""),"",IF($B149="MEANS",INDEX('1-DATA'!$1:$1048576,$A148-1,COLUMN('1-DATA'!N147)),ROUND(INDEX('1-DATA'!$1:$1048576,IF(OR($B149="STD. DEVIATION",$C$1=1),$A149,$A149+1),COLUMN('1-DATA'!N147)),IF($B149="STD. DEVIATION",2,$F$1))))</f>
        <v/>
      </c>
      <c r="P149" s="1" t="str">
        <f>IF(OR($B149="",P$7=""),"",IF($B149="MEANS",INDEX('1-DATA'!$1:$1048576,$A148-1,COLUMN('1-DATA'!O147)),ROUND(INDEX('1-DATA'!$1:$1048576,IF(OR($B149="STD. DEVIATION",$C$1=1),$A149,$A149+1),COLUMN('1-DATA'!O147)),IF($B149="STD. DEVIATION",2,$F$1))))</f>
        <v/>
      </c>
      <c r="Q149" s="1" t="str">
        <f>IF(OR($B149="",Q$7=""),"",IF($B149="MEANS",INDEX('1-DATA'!$1:$1048576,$A148-1,COLUMN('1-DATA'!P147)),ROUND(INDEX('1-DATA'!$1:$1048576,IF(OR($B149="STD. DEVIATION",$C$1=1),$A149,$A149+1),COLUMN('1-DATA'!P147)),IF($B149="STD. DEVIATION",2,$F$1))))</f>
        <v/>
      </c>
      <c r="R149" s="1" t="str">
        <f>IF(OR($B149="",R$7=""),"",IF($B149="MEANS",INDEX('1-DATA'!$1:$1048576,$A148-1,COLUMN('1-DATA'!Q147)),ROUND(INDEX('1-DATA'!$1:$1048576,IF(OR($B149="STD. DEVIATION",$C$1=1),$A149,$A149+1),COLUMN('1-DATA'!Q147)),IF($B149="STD. DEVIATION",2,$F$1))))</f>
        <v/>
      </c>
      <c r="S149" s="1" t="str">
        <f>IF(OR($B149="",S$7=""),"",IF($B149="MEANS",INDEX('1-DATA'!$1:$1048576,$A148-1,COLUMN('1-DATA'!R147)),ROUND(INDEX('1-DATA'!$1:$1048576,IF(OR($B149="STD. DEVIATION",$C$1=1),$A149,$A149+1),COLUMN('1-DATA'!R147)),IF($B149="STD. DEVIATION",2,$F$1))))</f>
        <v/>
      </c>
      <c r="T149" s="1" t="str">
        <f>IF(OR($B149="",T$7=""),"",IF($B149="MEANS",INDEX('1-DATA'!$1:$1048576,$A148-1,COLUMN('1-DATA'!S147)),ROUND(INDEX('1-DATA'!$1:$1048576,IF(OR($B149="STD. DEVIATION",$C$1=1),$A149,$A149+1),COLUMN('1-DATA'!S147)),IF($B149="STD. DEVIATION",2,$F$1))))</f>
        <v/>
      </c>
      <c r="U149" s="1" t="str">
        <f>IF(OR($B149="",U$7=""),"",IF($B149="MEANS",INDEX('1-DATA'!$1:$1048576,$A148-1,COLUMN('1-DATA'!T147)),ROUND(INDEX('1-DATA'!$1:$1048576,IF(OR($B149="STD. DEVIATION",$C$1=1),$A149,$A149+1),COLUMN('1-DATA'!T147)),IF($B149="STD. DEVIATION",2,$F$1))))</f>
        <v/>
      </c>
      <c r="V149" s="1" t="str">
        <f>IF(OR($B149="",V$7=""),"",IF($B149="MEANS",INDEX('1-DATA'!$1:$1048576,$A148-1,COLUMN('1-DATA'!U147)),ROUND(INDEX('1-DATA'!$1:$1048576,IF(OR($B149="STD. DEVIATION",$C$1=1),$A149,$A149+1),COLUMN('1-DATA'!U147)),IF($B149="STD. DEVIATION",2,$F$1))))</f>
        <v/>
      </c>
      <c r="W149" s="1" t="str">
        <f>IF(OR($B149="",W$7=""),"",IF($B149="MEANS",INDEX('1-DATA'!$1:$1048576,$A148-1,COLUMN('1-DATA'!V147)),ROUND(INDEX('1-DATA'!$1:$1048576,IF(OR($B149="STD. DEVIATION",$C$1=1),$A149,$A149+1),COLUMN('1-DATA'!V147)),IF($B149="STD. DEVIATION",2,$F$1))))</f>
        <v/>
      </c>
      <c r="X149" s="1" t="str">
        <f>IF(OR($B149="",X$7=""),"",IF($B149="MEANS",INDEX('1-DATA'!$1:$1048576,$A148-1,COLUMN('1-DATA'!W147)),ROUND(INDEX('1-DATA'!$1:$1048576,IF(OR($B149="STD. DEVIATION",$C$1=1),$A149,$A149+1),COLUMN('1-DATA'!W147)),IF($B149="STD. DEVIATION",2,$F$1))))</f>
        <v/>
      </c>
      <c r="Y149" s="1" t="str">
        <f>IF(OR($B149="",Y$7=""),"",IF($B149="MEANS",INDEX('1-DATA'!$1:$1048576,$A148-1,COLUMN('1-DATA'!X147)),ROUND(INDEX('1-DATA'!$1:$1048576,IF(OR($B149="STD. DEVIATION",$C$1=1),$A149,$A149+1),COLUMN('1-DATA'!X147)),IF($B149="STD. DEVIATION",2,$F$1))))</f>
        <v/>
      </c>
      <c r="Z149" s="1" t="str">
        <f>IF(OR($B149="",Z$7=""),"",IF($B149="MEANS",INDEX('1-DATA'!$1:$1048576,$A148-1,COLUMN('1-DATA'!Y147)),ROUND(INDEX('1-DATA'!$1:$1048576,IF(OR($B149="STD. DEVIATION",$C$1=1),$A149,$A149+1),COLUMN('1-DATA'!Y147)),IF($B149="STD. DEVIATION",2,$F$1))))</f>
        <v/>
      </c>
      <c r="AA149" s="1" t="str">
        <f>IF(OR($B149="",AA$7=""),"",IF($B149="MEANS",INDEX('1-DATA'!$1:$1048576,$A148-1,COLUMN('1-DATA'!Z147)),ROUND(INDEX('1-DATA'!$1:$1048576,IF(OR($B149="STD. DEVIATION",$C$1=1),$A149,$A149+1),COLUMN('1-DATA'!Z147)),IF($B149="STD. DEVIATION",2,$F$1))))</f>
        <v/>
      </c>
      <c r="AB149" s="1" t="str">
        <f>IF(OR($B149="",AB$7=""),"",IF($B149="MEANS",INDEX('1-DATA'!$1:$1048576,$A148-1,COLUMN('1-DATA'!AA147)),ROUND(INDEX('1-DATA'!$1:$1048576,IF(OR($B149="STD. DEVIATION",$C$1=1),$A149,$A149+1),COLUMN('1-DATA'!AA147)),IF($B149="STD. DEVIATION",2,$F$1))))</f>
        <v/>
      </c>
      <c r="AC149" s="1" t="str">
        <f>IF(OR($B149="",AC$7=""),"",IF($B149="MEANS",INDEX('1-DATA'!$1:$1048576,$A148-1,COLUMN('1-DATA'!AB147)),ROUND(INDEX('1-DATA'!$1:$1048576,IF(OR($B149="STD. DEVIATION",$C$1=1),$A149,$A149+1),COLUMN('1-DATA'!AB147)),IF($B149="STD. DEVIATION",2,$F$1))))</f>
        <v/>
      </c>
      <c r="AD149" s="1" t="str">
        <f>IF(OR($B149="",AD$7=""),"",IF($B149="MEANS",INDEX('1-DATA'!$1:$1048576,$A148-1,COLUMN('1-DATA'!AC147)),ROUND(INDEX('1-DATA'!$1:$1048576,IF(OR($B149="STD. DEVIATION",$C$1=1),$A149,$A149+1),COLUMN('1-DATA'!AC147)),IF($B149="STD. DEVIATION",2,$F$1))))</f>
        <v/>
      </c>
      <c r="AE149" s="1" t="str">
        <f>IF(OR($B149="",AE$7=""),"",IF($B149="MEANS",INDEX('1-DATA'!$1:$1048576,$A148-1,COLUMN('1-DATA'!AD147)),ROUND(INDEX('1-DATA'!$1:$1048576,IF(OR($B149="STD. DEVIATION",$C$1=1),$A149,$A149+1),COLUMN('1-DATA'!AD147)),IF($B149="STD. DEVIATION",2,$F$1))))</f>
        <v/>
      </c>
      <c r="AF149" s="1" t="str">
        <f>IF(OR($B149="",AF$7=""),"",IF($B149="MEANS",INDEX('1-DATA'!$1:$1048576,$A148-1,COLUMN('1-DATA'!AE147)),ROUND(INDEX('1-DATA'!$1:$1048576,IF(OR($B149="STD. DEVIATION",$C$1=1),$A149,$A149+1),COLUMN('1-DATA'!AE147)),IF($B149="STD. DEVIATION",2,$F$1))))</f>
        <v/>
      </c>
      <c r="AG149" s="1" t="str">
        <f>IF(OR($B149="",AG$7=""),"",IF($B149="MEANS",INDEX('1-DATA'!$1:$1048576,$A148-1,COLUMN('1-DATA'!AF147)),ROUND(INDEX('1-DATA'!$1:$1048576,IF(OR($B149="STD. DEVIATION",$C$1=1),$A149,$A149+1),COLUMN('1-DATA'!AF147)),IF($B149="STD. DEVIATION",2,$F$1))))</f>
        <v/>
      </c>
      <c r="AH149" s="1" t="str">
        <f>IF(OR($B149="",AH$7=""),"",IF($B149="MEANS",INDEX('1-DATA'!$1:$1048576,$A148-1,COLUMN('1-DATA'!AG147)),ROUND(INDEX('1-DATA'!$1:$1048576,IF(OR($B149="STD. DEVIATION",$C$1=1),$A149,$A149+1),COLUMN('1-DATA'!AG147)),IF($B149="STD. DEVIATION",2,$F$1))))</f>
        <v/>
      </c>
      <c r="AI149" s="1" t="str">
        <f>IF(OR($B149="",AI$7=""),"",IF($B149="MEANS",INDEX('1-DATA'!$1:$1048576,$A148-1,COLUMN('1-DATA'!AH147)),ROUND(INDEX('1-DATA'!$1:$1048576,IF(OR($B149="STD. DEVIATION",$C$1=1),$A149,$A149+1),COLUMN('1-DATA'!AH147)),IF($B149="STD. DEVIATION",2,$F$1))))</f>
        <v/>
      </c>
      <c r="AJ149" s="1" t="str">
        <f>IF(OR($B149="",AJ$7=""),"",IF($B149="MEANS",INDEX('1-DATA'!$1:$1048576,$A148-1,COLUMN('1-DATA'!AI147)),ROUND(INDEX('1-DATA'!$1:$1048576,IF(OR($B149="STD. DEVIATION",$C$1=1),$A149,$A149+1),COLUMN('1-DATA'!AI147)),IF($B149="STD. DEVIATION",2,$F$1))))</f>
        <v/>
      </c>
      <c r="AK149" s="1" t="str">
        <f>IF(OR($B149="",AK$7=""),"",IF($B149="MEANS",INDEX('1-DATA'!$1:$1048576,$A148-1,COLUMN('1-DATA'!AJ147)),ROUND(INDEX('1-DATA'!$1:$1048576,IF(OR($B149="STD. DEVIATION",$C$1=1),$A149,$A149+1),COLUMN('1-DATA'!AJ147)),IF($B149="STD. DEVIATION",2,$F$1))))</f>
        <v/>
      </c>
      <c r="AL149" s="1" t="str">
        <f>IF(OR($B149="",AL$7=""),"",IF($B149="MEANS",INDEX('1-DATA'!$1:$1048576,$A148-1,COLUMN('1-DATA'!AK147)),ROUND(INDEX('1-DATA'!$1:$1048576,IF(OR($B149="STD. DEVIATION",$C$1=1),$A149,$A149+1),COLUMN('1-DATA'!AK147)),IF($B149="STD. DEVIATION",2,$F$1))))</f>
        <v/>
      </c>
      <c r="AM149" s="1" t="str">
        <f>IF(OR($B149="",AM$7=""),"",IF($B149="MEANS",INDEX('1-DATA'!$1:$1048576,$A148-1,COLUMN('1-DATA'!AL147)),ROUND(INDEX('1-DATA'!$1:$1048576,IF(OR($B149="STD. DEVIATION",$C$1=1),$A149,$A149+1),COLUMN('1-DATA'!AL147)),IF($B149="STD. DEVIATION",2,$F$1))))</f>
        <v/>
      </c>
      <c r="AN149" s="1" t="str">
        <f>IF(OR($B149="",AN$7=""),"",IF($B149="MEANS",INDEX('1-DATA'!$1:$1048576,$A148-1,COLUMN('1-DATA'!AM147)),ROUND(INDEX('1-DATA'!$1:$1048576,IF(OR($B149="STD. DEVIATION",$C$1=1),$A149,$A149+1),COLUMN('1-DATA'!AM147)),IF($B149="STD. DEVIATION",2,$F$1))))</f>
        <v/>
      </c>
      <c r="AO149" s="1" t="str">
        <f>IF(OR($B149="",AO$7=""),"",IF($B149="MEANS",INDEX('1-DATA'!$1:$1048576,$A148-1,COLUMN('1-DATA'!AN147)),ROUND(INDEX('1-DATA'!$1:$1048576,IF(OR($B149="STD. DEVIATION",$C$1=1),$A149,$A149+1),COLUMN('1-DATA'!AN147)),IF($B149="STD. DEVIATION",2,$F$1))))</f>
        <v/>
      </c>
      <c r="AP149" s="1" t="str">
        <f>IF(OR($B149="",AP$7=""),"",IF($B149="MEANS",INDEX('1-DATA'!$1:$1048576,$A148-1,COLUMN('1-DATA'!AO147)),ROUND(INDEX('1-DATA'!$1:$1048576,IF(OR($B149="STD. DEVIATION",$C$1=1),$A149,$A149+1),COLUMN('1-DATA'!AO147)),IF($B149="STD. DEVIATION",2,$F$1))))</f>
        <v/>
      </c>
      <c r="AQ149" s="1" t="str">
        <f>IF(OR($B149="",AQ$7=""),"",IF($B149="MEANS",INDEX('1-DATA'!$1:$1048576,$A148-1,COLUMN('1-DATA'!AP147)),ROUND(INDEX('1-DATA'!$1:$1048576,IF(OR($B149="STD. DEVIATION",$C$1=1),$A149,$A149+1),COLUMN('1-DATA'!AP147)),IF($B149="STD. DEVIATION",2,$F$1))))</f>
        <v/>
      </c>
      <c r="AR149" s="1" t="str">
        <f>IF(OR($B149="",AR$7=""),"",IF($B149="MEANS",INDEX('1-DATA'!$1:$1048576,$A148-1,COLUMN('1-DATA'!AQ147)),ROUND(INDEX('1-DATA'!$1:$1048576,IF(OR($B149="STD. DEVIATION",$C$1=1),$A149,$A149+1),COLUMN('1-DATA'!AQ147)),IF($B149="STD. DEVIATION",2,$F$1))))</f>
        <v/>
      </c>
      <c r="AS149" s="1" t="str">
        <f>IF(OR($B149="",AS$7=""),"",IF($B149="MEANS",INDEX('1-DATA'!$1:$1048576,$A148-1,COLUMN('1-DATA'!AR147)),ROUND(INDEX('1-DATA'!$1:$1048576,IF(OR($B149="STD. DEVIATION",$C$1=1),$A149,$A149+1),COLUMN('1-DATA'!AR147)),IF($B149="STD. DEVIATION",2,$F$1))))</f>
        <v/>
      </c>
      <c r="AT149" s="1" t="str">
        <f>IF(OR($B149="",AT$7=""),"",IF($B149="MEANS",INDEX('1-DATA'!$1:$1048576,$A148-1,COLUMN('1-DATA'!AS147)),ROUND(INDEX('1-DATA'!$1:$1048576,IF(OR($B149="STD. DEVIATION",$C$1=1),$A149,$A149+1),COLUMN('1-DATA'!AS147)),IF($B149="STD. DEVIATION",2,$F$1))))</f>
        <v/>
      </c>
      <c r="AU149" s="1" t="str">
        <f>IF(OR($B149="",AU$7=""),"",IF($B149="MEANS",INDEX('1-DATA'!$1:$1048576,$A148-1,COLUMN('1-DATA'!AT147)),ROUND(INDEX('1-DATA'!$1:$1048576,IF(OR($B149="STD. DEVIATION",$C$1=1),$A149,$A149+1),COLUMN('1-DATA'!AT147)),IF($B149="STD. DEVIATION",2,$F$1))))</f>
        <v/>
      </c>
      <c r="AV149" s="1" t="str">
        <f>IF(OR($B149="",AV$7=""),"",IF($B149="MEANS",INDEX('1-DATA'!$1:$1048576,$A148-1,COLUMN('1-DATA'!AU147)),ROUND(INDEX('1-DATA'!$1:$1048576,IF(OR($B149="STD. DEVIATION",$C$1=1),$A149,$A149+1),COLUMN('1-DATA'!AU147)),IF($B149="STD. DEVIATION",2,$F$1))))</f>
        <v/>
      </c>
      <c r="AW149" s="1" t="str">
        <f>IF(OR($B149="",AW$7=""),"",IF($B149="MEANS",INDEX('1-DATA'!$1:$1048576,$A148-1,COLUMN('1-DATA'!AV147)),ROUND(INDEX('1-DATA'!$1:$1048576,IF(OR($B149="STD. DEVIATION",$C$1=1),$A149,$A149+1),COLUMN('1-DATA'!AV147)),IF($B149="STD. DEVIATION",2,$F$1))))</f>
        <v/>
      </c>
      <c r="AX149" s="1" t="str">
        <f>IF(OR($B149="",AX$7=""),"",IF($B149="MEANS",INDEX('1-DATA'!$1:$1048576,$A148-1,COLUMN('1-DATA'!AW147)),ROUND(INDEX('1-DATA'!$1:$1048576,IF(OR($B149="STD. DEVIATION",$C$1=1),$A149,$A149+1),COLUMN('1-DATA'!AW147)),IF($B149="STD. DEVIATION",2,$F$1))))</f>
        <v/>
      </c>
      <c r="AY149" s="1" t="str">
        <f>IF(OR($B149="",AY$7=""),"",IF($B149="MEANS",INDEX('1-DATA'!$1:$1048576,$A148-1,COLUMN('1-DATA'!AX147)),ROUND(INDEX('1-DATA'!$1:$1048576,IF(OR($B149="STD. DEVIATION",$C$1=1),$A149,$A149+1),COLUMN('1-DATA'!AX147)),IF($B149="STD. DEVIATION",2,$F$1))))</f>
        <v/>
      </c>
      <c r="AZ149" s="1" t="str">
        <f>IF(OR($B149="",AZ$7=""),"",IF($B149="MEANS",INDEX('1-DATA'!$1:$1048576,$A148-1,COLUMN('1-DATA'!AY147)),ROUND(INDEX('1-DATA'!$1:$1048576,IF(OR($B149="STD. DEVIATION",$C$1=1),$A149,$A149+1),COLUMN('1-DATA'!AY147)),IF($B149="STD. DEVIATION",2,$F$1))))</f>
        <v/>
      </c>
    </row>
    <row r="150" spans="1:52" x14ac:dyDescent="0.25">
      <c r="A150" s="11">
        <f t="shared" si="2"/>
        <v>436</v>
      </c>
      <c r="B150" s="1" t="str">
        <f>IF(B149="STD. DEVIATION",INDEX('1-DATA'!$1:$1048576,$A149-1,1),IF(INDEX('1-DATA'!$1:$1048576,$A150,1)&lt;&gt;"",INDEX('1-DATA'!$1:$1048576,$A150,1),""))</f>
        <v/>
      </c>
      <c r="C150" s="1" t="str">
        <f>IF(OR($B150="",C$7=""),"",IF($B150="MEANS",INDEX('1-DATA'!$1:$1048576,$A149-1,COLUMN('1-DATA'!B148)),ROUND(INDEX('1-DATA'!$1:$1048576,IF(OR($B150="STD. DEVIATION",$C$1=1),$A150,$A150+1),COLUMN('1-DATA'!B148)),IF($B150="STD. DEVIATION",2,$F$1))))</f>
        <v/>
      </c>
      <c r="D150" s="1" t="str">
        <f>IF(OR($B150="",D$7=""),"",IF($B150="MEANS",INDEX('1-DATA'!$1:$1048576,$A149-1,COLUMN('1-DATA'!C148)),ROUND(INDEX('1-DATA'!$1:$1048576,IF(OR($B150="STD. DEVIATION",$C$1=1),$A150,$A150+1),COLUMN('1-DATA'!C148)),IF($B150="STD. DEVIATION",2,$F$1))))</f>
        <v/>
      </c>
      <c r="E150" s="1" t="str">
        <f>IF(OR($B150="",E$7=""),"",IF($B150="MEANS",INDEX('1-DATA'!$1:$1048576,$A149-1,COLUMN('1-DATA'!D148)),ROUND(INDEX('1-DATA'!$1:$1048576,IF(OR($B150="STD. DEVIATION",$C$1=1),$A150,$A150+1),COLUMN('1-DATA'!D148)),IF($B150="STD. DEVIATION",2,$F$1))))</f>
        <v/>
      </c>
      <c r="F150" s="1" t="str">
        <f>IF(OR($B150="",F$7=""),"",IF($B150="MEANS",INDEX('1-DATA'!$1:$1048576,$A149-1,COLUMN('1-DATA'!E148)),ROUND(INDEX('1-DATA'!$1:$1048576,IF(OR($B150="STD. DEVIATION",$C$1=1),$A150,$A150+1),COLUMN('1-DATA'!E148)),IF($B150="STD. DEVIATION",2,$F$1))))</f>
        <v/>
      </c>
      <c r="G150" s="1" t="str">
        <f>IF(OR($B150="",G$7=""),"",IF($B150="MEANS",INDEX('1-DATA'!$1:$1048576,$A149-1,COLUMN('1-DATA'!F148)),ROUND(INDEX('1-DATA'!$1:$1048576,IF(OR($B150="STD. DEVIATION",$C$1=1),$A150,$A150+1),COLUMN('1-DATA'!F148)),IF($B150="STD. DEVIATION",2,$F$1))))</f>
        <v/>
      </c>
      <c r="H150" s="1" t="str">
        <f>IF(OR($B150="",H$7=""),"",IF($B150="MEANS",INDEX('1-DATA'!$1:$1048576,$A149-1,COLUMN('1-DATA'!G148)),ROUND(INDEX('1-DATA'!$1:$1048576,IF(OR($B150="STD. DEVIATION",$C$1=1),$A150,$A150+1),COLUMN('1-DATA'!G148)),IF($B150="STD. DEVIATION",2,$F$1))))</f>
        <v/>
      </c>
      <c r="I150" s="1" t="str">
        <f>IF(OR($B150="",I$7=""),"",IF($B150="MEANS",INDEX('1-DATA'!$1:$1048576,$A149-1,COLUMN('1-DATA'!H148)),ROUND(INDEX('1-DATA'!$1:$1048576,IF(OR($B150="STD. DEVIATION",$C$1=1),$A150,$A150+1),COLUMN('1-DATA'!H148)),IF($B150="STD. DEVIATION",2,$F$1))))</f>
        <v/>
      </c>
      <c r="J150" s="1" t="str">
        <f>IF(OR($B150="",J$7=""),"",IF($B150="MEANS",INDEX('1-DATA'!$1:$1048576,$A149-1,COLUMN('1-DATA'!I148)),ROUND(INDEX('1-DATA'!$1:$1048576,IF(OR($B150="STD. DEVIATION",$C$1=1),$A150,$A150+1),COLUMN('1-DATA'!I148)),IF($B150="STD. DEVIATION",2,$F$1))))</f>
        <v/>
      </c>
      <c r="K150" s="1" t="str">
        <f>IF(OR($B150="",K$7=""),"",IF($B150="MEANS",INDEX('1-DATA'!$1:$1048576,$A149-1,COLUMN('1-DATA'!J148)),ROUND(INDEX('1-DATA'!$1:$1048576,IF(OR($B150="STD. DEVIATION",$C$1=1),$A150,$A150+1),COLUMN('1-DATA'!J148)),IF($B150="STD. DEVIATION",2,$F$1))))</f>
        <v/>
      </c>
      <c r="L150" s="1" t="str">
        <f>IF(OR($B150="",L$7=""),"",IF($B150="MEANS",INDEX('1-DATA'!$1:$1048576,$A149-1,COLUMN('1-DATA'!K148)),ROUND(INDEX('1-DATA'!$1:$1048576,IF(OR($B150="STD. DEVIATION",$C$1=1),$A150,$A150+1),COLUMN('1-DATA'!K148)),IF($B150="STD. DEVIATION",2,$F$1))))</f>
        <v/>
      </c>
      <c r="M150" s="1" t="str">
        <f>IF(OR($B150="",M$7=""),"",IF($B150="MEANS",INDEX('1-DATA'!$1:$1048576,$A149-1,COLUMN('1-DATA'!L148)),ROUND(INDEX('1-DATA'!$1:$1048576,IF(OR($B150="STD. DEVIATION",$C$1=1),$A150,$A150+1),COLUMN('1-DATA'!L148)),IF($B150="STD. DEVIATION",2,$F$1))))</f>
        <v/>
      </c>
      <c r="N150" s="1" t="str">
        <f>IF(OR($B150="",N$7=""),"",IF($B150="MEANS",INDEX('1-DATA'!$1:$1048576,$A149-1,COLUMN('1-DATA'!M148)),ROUND(INDEX('1-DATA'!$1:$1048576,IF(OR($B150="STD. DEVIATION",$C$1=1),$A150,$A150+1),COLUMN('1-DATA'!M148)),IF($B150="STD. DEVIATION",2,$F$1))))</f>
        <v/>
      </c>
      <c r="O150" s="1" t="str">
        <f>IF(OR($B150="",O$7=""),"",IF($B150="MEANS",INDEX('1-DATA'!$1:$1048576,$A149-1,COLUMN('1-DATA'!N148)),ROUND(INDEX('1-DATA'!$1:$1048576,IF(OR($B150="STD. DEVIATION",$C$1=1),$A150,$A150+1),COLUMN('1-DATA'!N148)),IF($B150="STD. DEVIATION",2,$F$1))))</f>
        <v/>
      </c>
      <c r="P150" s="1" t="str">
        <f>IF(OR($B150="",P$7=""),"",IF($B150="MEANS",INDEX('1-DATA'!$1:$1048576,$A149-1,COLUMN('1-DATA'!O148)),ROUND(INDEX('1-DATA'!$1:$1048576,IF(OR($B150="STD. DEVIATION",$C$1=1),$A150,$A150+1),COLUMN('1-DATA'!O148)),IF($B150="STD. DEVIATION",2,$F$1))))</f>
        <v/>
      </c>
      <c r="Q150" s="1" t="str">
        <f>IF(OR($B150="",Q$7=""),"",IF($B150="MEANS",INDEX('1-DATA'!$1:$1048576,$A149-1,COLUMN('1-DATA'!P148)),ROUND(INDEX('1-DATA'!$1:$1048576,IF(OR($B150="STD. DEVIATION",$C$1=1),$A150,$A150+1),COLUMN('1-DATA'!P148)),IF($B150="STD. DEVIATION",2,$F$1))))</f>
        <v/>
      </c>
      <c r="R150" s="1" t="str">
        <f>IF(OR($B150="",R$7=""),"",IF($B150="MEANS",INDEX('1-DATA'!$1:$1048576,$A149-1,COLUMN('1-DATA'!Q148)),ROUND(INDEX('1-DATA'!$1:$1048576,IF(OR($B150="STD. DEVIATION",$C$1=1),$A150,$A150+1),COLUMN('1-DATA'!Q148)),IF($B150="STD. DEVIATION",2,$F$1))))</f>
        <v/>
      </c>
      <c r="S150" s="1" t="str">
        <f>IF(OR($B150="",S$7=""),"",IF($B150="MEANS",INDEX('1-DATA'!$1:$1048576,$A149-1,COLUMN('1-DATA'!R148)),ROUND(INDEX('1-DATA'!$1:$1048576,IF(OR($B150="STD. DEVIATION",$C$1=1),$A150,$A150+1),COLUMN('1-DATA'!R148)),IF($B150="STD. DEVIATION",2,$F$1))))</f>
        <v/>
      </c>
      <c r="T150" s="1" t="str">
        <f>IF(OR($B150="",T$7=""),"",IF($B150="MEANS",INDEX('1-DATA'!$1:$1048576,$A149-1,COLUMN('1-DATA'!S148)),ROUND(INDEX('1-DATA'!$1:$1048576,IF(OR($B150="STD. DEVIATION",$C$1=1),$A150,$A150+1),COLUMN('1-DATA'!S148)),IF($B150="STD. DEVIATION",2,$F$1))))</f>
        <v/>
      </c>
      <c r="U150" s="1" t="str">
        <f>IF(OR($B150="",U$7=""),"",IF($B150="MEANS",INDEX('1-DATA'!$1:$1048576,$A149-1,COLUMN('1-DATA'!T148)),ROUND(INDEX('1-DATA'!$1:$1048576,IF(OR($B150="STD. DEVIATION",$C$1=1),$A150,$A150+1),COLUMN('1-DATA'!T148)),IF($B150="STD. DEVIATION",2,$F$1))))</f>
        <v/>
      </c>
      <c r="V150" s="1" t="str">
        <f>IF(OR($B150="",V$7=""),"",IF($B150="MEANS",INDEX('1-DATA'!$1:$1048576,$A149-1,COLUMN('1-DATA'!U148)),ROUND(INDEX('1-DATA'!$1:$1048576,IF(OR($B150="STD. DEVIATION",$C$1=1),$A150,$A150+1),COLUMN('1-DATA'!U148)),IF($B150="STD. DEVIATION",2,$F$1))))</f>
        <v/>
      </c>
      <c r="W150" s="1" t="str">
        <f>IF(OR($B150="",W$7=""),"",IF($B150="MEANS",INDEX('1-DATA'!$1:$1048576,$A149-1,COLUMN('1-DATA'!V148)),ROUND(INDEX('1-DATA'!$1:$1048576,IF(OR($B150="STD. DEVIATION",$C$1=1),$A150,$A150+1),COLUMN('1-DATA'!V148)),IF($B150="STD. DEVIATION",2,$F$1))))</f>
        <v/>
      </c>
      <c r="X150" s="1" t="str">
        <f>IF(OR($B150="",X$7=""),"",IF($B150="MEANS",INDEX('1-DATA'!$1:$1048576,$A149-1,COLUMN('1-DATA'!W148)),ROUND(INDEX('1-DATA'!$1:$1048576,IF(OR($B150="STD. DEVIATION",$C$1=1),$A150,$A150+1),COLUMN('1-DATA'!W148)),IF($B150="STD. DEVIATION",2,$F$1))))</f>
        <v/>
      </c>
      <c r="Y150" s="1" t="str">
        <f>IF(OR($B150="",Y$7=""),"",IF($B150="MEANS",INDEX('1-DATA'!$1:$1048576,$A149-1,COLUMN('1-DATA'!X148)),ROUND(INDEX('1-DATA'!$1:$1048576,IF(OR($B150="STD. DEVIATION",$C$1=1),$A150,$A150+1),COLUMN('1-DATA'!X148)),IF($B150="STD. DEVIATION",2,$F$1))))</f>
        <v/>
      </c>
      <c r="Z150" s="1" t="str">
        <f>IF(OR($B150="",Z$7=""),"",IF($B150="MEANS",INDEX('1-DATA'!$1:$1048576,$A149-1,COLUMN('1-DATA'!Y148)),ROUND(INDEX('1-DATA'!$1:$1048576,IF(OR($B150="STD. DEVIATION",$C$1=1),$A150,$A150+1),COLUMN('1-DATA'!Y148)),IF($B150="STD. DEVIATION",2,$F$1))))</f>
        <v/>
      </c>
      <c r="AA150" s="1" t="str">
        <f>IF(OR($B150="",AA$7=""),"",IF($B150="MEANS",INDEX('1-DATA'!$1:$1048576,$A149-1,COLUMN('1-DATA'!Z148)),ROUND(INDEX('1-DATA'!$1:$1048576,IF(OR($B150="STD. DEVIATION",$C$1=1),$A150,$A150+1),COLUMN('1-DATA'!Z148)),IF($B150="STD. DEVIATION",2,$F$1))))</f>
        <v/>
      </c>
      <c r="AB150" s="1" t="str">
        <f>IF(OR($B150="",AB$7=""),"",IF($B150="MEANS",INDEX('1-DATA'!$1:$1048576,$A149-1,COLUMN('1-DATA'!AA148)),ROUND(INDEX('1-DATA'!$1:$1048576,IF(OR($B150="STD. DEVIATION",$C$1=1),$A150,$A150+1),COLUMN('1-DATA'!AA148)),IF($B150="STD. DEVIATION",2,$F$1))))</f>
        <v/>
      </c>
      <c r="AC150" s="1" t="str">
        <f>IF(OR($B150="",AC$7=""),"",IF($B150="MEANS",INDEX('1-DATA'!$1:$1048576,$A149-1,COLUMN('1-DATA'!AB148)),ROUND(INDEX('1-DATA'!$1:$1048576,IF(OR($B150="STD. DEVIATION",$C$1=1),$A150,$A150+1),COLUMN('1-DATA'!AB148)),IF($B150="STD. DEVIATION",2,$F$1))))</f>
        <v/>
      </c>
      <c r="AD150" s="1" t="str">
        <f>IF(OR($B150="",AD$7=""),"",IF($B150="MEANS",INDEX('1-DATA'!$1:$1048576,$A149-1,COLUMN('1-DATA'!AC148)),ROUND(INDEX('1-DATA'!$1:$1048576,IF(OR($B150="STD. DEVIATION",$C$1=1),$A150,$A150+1),COLUMN('1-DATA'!AC148)),IF($B150="STD. DEVIATION",2,$F$1))))</f>
        <v/>
      </c>
      <c r="AE150" s="1" t="str">
        <f>IF(OR($B150="",AE$7=""),"",IF($B150="MEANS",INDEX('1-DATA'!$1:$1048576,$A149-1,COLUMN('1-DATA'!AD148)),ROUND(INDEX('1-DATA'!$1:$1048576,IF(OR($B150="STD. DEVIATION",$C$1=1),$A150,$A150+1),COLUMN('1-DATA'!AD148)),IF($B150="STD. DEVIATION",2,$F$1))))</f>
        <v/>
      </c>
      <c r="AF150" s="1" t="str">
        <f>IF(OR($B150="",AF$7=""),"",IF($B150="MEANS",INDEX('1-DATA'!$1:$1048576,$A149-1,COLUMN('1-DATA'!AE148)),ROUND(INDEX('1-DATA'!$1:$1048576,IF(OR($B150="STD. DEVIATION",$C$1=1),$A150,$A150+1),COLUMN('1-DATA'!AE148)),IF($B150="STD. DEVIATION",2,$F$1))))</f>
        <v/>
      </c>
      <c r="AG150" s="1" t="str">
        <f>IF(OR($B150="",AG$7=""),"",IF($B150="MEANS",INDEX('1-DATA'!$1:$1048576,$A149-1,COLUMN('1-DATA'!AF148)),ROUND(INDEX('1-DATA'!$1:$1048576,IF(OR($B150="STD. DEVIATION",$C$1=1),$A150,$A150+1),COLUMN('1-DATA'!AF148)),IF($B150="STD. DEVIATION",2,$F$1))))</f>
        <v/>
      </c>
      <c r="AH150" s="1" t="str">
        <f>IF(OR($B150="",AH$7=""),"",IF($B150="MEANS",INDEX('1-DATA'!$1:$1048576,$A149-1,COLUMN('1-DATA'!AG148)),ROUND(INDEX('1-DATA'!$1:$1048576,IF(OR($B150="STD. DEVIATION",$C$1=1),$A150,$A150+1),COLUMN('1-DATA'!AG148)),IF($B150="STD. DEVIATION",2,$F$1))))</f>
        <v/>
      </c>
      <c r="AI150" s="1" t="str">
        <f>IF(OR($B150="",AI$7=""),"",IF($B150="MEANS",INDEX('1-DATA'!$1:$1048576,$A149-1,COLUMN('1-DATA'!AH148)),ROUND(INDEX('1-DATA'!$1:$1048576,IF(OR($B150="STD. DEVIATION",$C$1=1),$A150,$A150+1),COLUMN('1-DATA'!AH148)),IF($B150="STD. DEVIATION",2,$F$1))))</f>
        <v/>
      </c>
      <c r="AJ150" s="1" t="str">
        <f>IF(OR($B150="",AJ$7=""),"",IF($B150="MEANS",INDEX('1-DATA'!$1:$1048576,$A149-1,COLUMN('1-DATA'!AI148)),ROUND(INDEX('1-DATA'!$1:$1048576,IF(OR($B150="STD. DEVIATION",$C$1=1),$A150,$A150+1),COLUMN('1-DATA'!AI148)),IF($B150="STD. DEVIATION",2,$F$1))))</f>
        <v/>
      </c>
      <c r="AK150" s="1" t="str">
        <f>IF(OR($B150="",AK$7=""),"",IF($B150="MEANS",INDEX('1-DATA'!$1:$1048576,$A149-1,COLUMN('1-DATA'!AJ148)),ROUND(INDEX('1-DATA'!$1:$1048576,IF(OR($B150="STD. DEVIATION",$C$1=1),$A150,$A150+1),COLUMN('1-DATA'!AJ148)),IF($B150="STD. DEVIATION",2,$F$1))))</f>
        <v/>
      </c>
      <c r="AL150" s="1" t="str">
        <f>IF(OR($B150="",AL$7=""),"",IF($B150="MEANS",INDEX('1-DATA'!$1:$1048576,$A149-1,COLUMN('1-DATA'!AK148)),ROUND(INDEX('1-DATA'!$1:$1048576,IF(OR($B150="STD. DEVIATION",$C$1=1),$A150,$A150+1),COLUMN('1-DATA'!AK148)),IF($B150="STD. DEVIATION",2,$F$1))))</f>
        <v/>
      </c>
      <c r="AM150" s="1" t="str">
        <f>IF(OR($B150="",AM$7=""),"",IF($B150="MEANS",INDEX('1-DATA'!$1:$1048576,$A149-1,COLUMN('1-DATA'!AL148)),ROUND(INDEX('1-DATA'!$1:$1048576,IF(OR($B150="STD. DEVIATION",$C$1=1),$A150,$A150+1),COLUMN('1-DATA'!AL148)),IF($B150="STD. DEVIATION",2,$F$1))))</f>
        <v/>
      </c>
      <c r="AN150" s="1" t="str">
        <f>IF(OR($B150="",AN$7=""),"",IF($B150="MEANS",INDEX('1-DATA'!$1:$1048576,$A149-1,COLUMN('1-DATA'!AM148)),ROUND(INDEX('1-DATA'!$1:$1048576,IF(OR($B150="STD. DEVIATION",$C$1=1),$A150,$A150+1),COLUMN('1-DATA'!AM148)),IF($B150="STD. DEVIATION",2,$F$1))))</f>
        <v/>
      </c>
      <c r="AO150" s="1" t="str">
        <f>IF(OR($B150="",AO$7=""),"",IF($B150="MEANS",INDEX('1-DATA'!$1:$1048576,$A149-1,COLUMN('1-DATA'!AN148)),ROUND(INDEX('1-DATA'!$1:$1048576,IF(OR($B150="STD. DEVIATION",$C$1=1),$A150,$A150+1),COLUMN('1-DATA'!AN148)),IF($B150="STD. DEVIATION",2,$F$1))))</f>
        <v/>
      </c>
      <c r="AP150" s="1" t="str">
        <f>IF(OR($B150="",AP$7=""),"",IF($B150="MEANS",INDEX('1-DATA'!$1:$1048576,$A149-1,COLUMN('1-DATA'!AO148)),ROUND(INDEX('1-DATA'!$1:$1048576,IF(OR($B150="STD. DEVIATION",$C$1=1),$A150,$A150+1),COLUMN('1-DATA'!AO148)),IF($B150="STD. DEVIATION",2,$F$1))))</f>
        <v/>
      </c>
      <c r="AQ150" s="1" t="str">
        <f>IF(OR($B150="",AQ$7=""),"",IF($B150="MEANS",INDEX('1-DATA'!$1:$1048576,$A149-1,COLUMN('1-DATA'!AP148)),ROUND(INDEX('1-DATA'!$1:$1048576,IF(OR($B150="STD. DEVIATION",$C$1=1),$A150,$A150+1),COLUMN('1-DATA'!AP148)),IF($B150="STD. DEVIATION",2,$F$1))))</f>
        <v/>
      </c>
      <c r="AR150" s="1" t="str">
        <f>IF(OR($B150="",AR$7=""),"",IF($B150="MEANS",INDEX('1-DATA'!$1:$1048576,$A149-1,COLUMN('1-DATA'!AQ148)),ROUND(INDEX('1-DATA'!$1:$1048576,IF(OR($B150="STD. DEVIATION",$C$1=1),$A150,$A150+1),COLUMN('1-DATA'!AQ148)),IF($B150="STD. DEVIATION",2,$F$1))))</f>
        <v/>
      </c>
      <c r="AS150" s="1" t="str">
        <f>IF(OR($B150="",AS$7=""),"",IF($B150="MEANS",INDEX('1-DATA'!$1:$1048576,$A149-1,COLUMN('1-DATA'!AR148)),ROUND(INDEX('1-DATA'!$1:$1048576,IF(OR($B150="STD. DEVIATION",$C$1=1),$A150,$A150+1),COLUMN('1-DATA'!AR148)),IF($B150="STD. DEVIATION",2,$F$1))))</f>
        <v/>
      </c>
      <c r="AT150" s="1" t="str">
        <f>IF(OR($B150="",AT$7=""),"",IF($B150="MEANS",INDEX('1-DATA'!$1:$1048576,$A149-1,COLUMN('1-DATA'!AS148)),ROUND(INDEX('1-DATA'!$1:$1048576,IF(OR($B150="STD. DEVIATION",$C$1=1),$A150,$A150+1),COLUMN('1-DATA'!AS148)),IF($B150="STD. DEVIATION",2,$F$1))))</f>
        <v/>
      </c>
      <c r="AU150" s="1" t="str">
        <f>IF(OR($B150="",AU$7=""),"",IF($B150="MEANS",INDEX('1-DATA'!$1:$1048576,$A149-1,COLUMN('1-DATA'!AT148)),ROUND(INDEX('1-DATA'!$1:$1048576,IF(OR($B150="STD. DEVIATION",$C$1=1),$A150,$A150+1),COLUMN('1-DATA'!AT148)),IF($B150="STD. DEVIATION",2,$F$1))))</f>
        <v/>
      </c>
      <c r="AV150" s="1" t="str">
        <f>IF(OR($B150="",AV$7=""),"",IF($B150="MEANS",INDEX('1-DATA'!$1:$1048576,$A149-1,COLUMN('1-DATA'!AU148)),ROUND(INDEX('1-DATA'!$1:$1048576,IF(OR($B150="STD. DEVIATION",$C$1=1),$A150,$A150+1),COLUMN('1-DATA'!AU148)),IF($B150="STD. DEVIATION",2,$F$1))))</f>
        <v/>
      </c>
      <c r="AW150" s="1" t="str">
        <f>IF(OR($B150="",AW$7=""),"",IF($B150="MEANS",INDEX('1-DATA'!$1:$1048576,$A149-1,COLUMN('1-DATA'!AV148)),ROUND(INDEX('1-DATA'!$1:$1048576,IF(OR($B150="STD. DEVIATION",$C$1=1),$A150,$A150+1),COLUMN('1-DATA'!AV148)),IF($B150="STD. DEVIATION",2,$F$1))))</f>
        <v/>
      </c>
      <c r="AX150" s="1" t="str">
        <f>IF(OR($B150="",AX$7=""),"",IF($B150="MEANS",INDEX('1-DATA'!$1:$1048576,$A149-1,COLUMN('1-DATA'!AW148)),ROUND(INDEX('1-DATA'!$1:$1048576,IF(OR($B150="STD. DEVIATION",$C$1=1),$A150,$A150+1),COLUMN('1-DATA'!AW148)),IF($B150="STD. DEVIATION",2,$F$1))))</f>
        <v/>
      </c>
      <c r="AY150" s="1" t="str">
        <f>IF(OR($B150="",AY$7=""),"",IF($B150="MEANS",INDEX('1-DATA'!$1:$1048576,$A149-1,COLUMN('1-DATA'!AX148)),ROUND(INDEX('1-DATA'!$1:$1048576,IF(OR($B150="STD. DEVIATION",$C$1=1),$A150,$A150+1),COLUMN('1-DATA'!AX148)),IF($B150="STD. DEVIATION",2,$F$1))))</f>
        <v/>
      </c>
      <c r="AZ150" s="1" t="str">
        <f>IF(OR($B150="",AZ$7=""),"",IF($B150="MEANS",INDEX('1-DATA'!$1:$1048576,$A149-1,COLUMN('1-DATA'!AY148)),ROUND(INDEX('1-DATA'!$1:$1048576,IF(OR($B150="STD. DEVIATION",$C$1=1),$A150,$A150+1),COLUMN('1-DATA'!AY148)),IF($B150="STD. DEVIATION",2,$F$1))))</f>
        <v/>
      </c>
    </row>
    <row r="151" spans="1:52" x14ac:dyDescent="0.25">
      <c r="A151" s="11">
        <f t="shared" si="2"/>
        <v>439</v>
      </c>
      <c r="B151" s="1" t="str">
        <f>IF(B150="STD. DEVIATION",INDEX('1-DATA'!$1:$1048576,$A150-1,1),IF(INDEX('1-DATA'!$1:$1048576,$A151,1)&lt;&gt;"",INDEX('1-DATA'!$1:$1048576,$A151,1),""))</f>
        <v/>
      </c>
      <c r="C151" s="1" t="str">
        <f>IF(OR($B151="",C$7=""),"",IF($B151="MEANS",INDEX('1-DATA'!$1:$1048576,$A150-1,COLUMN('1-DATA'!B149)),ROUND(INDEX('1-DATA'!$1:$1048576,IF(OR($B151="STD. DEVIATION",$C$1=1),$A151,$A151+1),COLUMN('1-DATA'!B149)),IF($B151="STD. DEVIATION",2,$F$1))))</f>
        <v/>
      </c>
      <c r="D151" s="1" t="str">
        <f>IF(OR($B151="",D$7=""),"",IF($B151="MEANS",INDEX('1-DATA'!$1:$1048576,$A150-1,COLUMN('1-DATA'!C149)),ROUND(INDEX('1-DATA'!$1:$1048576,IF(OR($B151="STD. DEVIATION",$C$1=1),$A151,$A151+1),COLUMN('1-DATA'!C149)),IF($B151="STD. DEVIATION",2,$F$1))))</f>
        <v/>
      </c>
      <c r="E151" s="1" t="str">
        <f>IF(OR($B151="",E$7=""),"",IF($B151="MEANS",INDEX('1-DATA'!$1:$1048576,$A150-1,COLUMN('1-DATA'!D149)),ROUND(INDEX('1-DATA'!$1:$1048576,IF(OR($B151="STD. DEVIATION",$C$1=1),$A151,$A151+1),COLUMN('1-DATA'!D149)),IF($B151="STD. DEVIATION",2,$F$1))))</f>
        <v/>
      </c>
      <c r="F151" s="1" t="str">
        <f>IF(OR($B151="",F$7=""),"",IF($B151="MEANS",INDEX('1-DATA'!$1:$1048576,$A150-1,COLUMN('1-DATA'!E149)),ROUND(INDEX('1-DATA'!$1:$1048576,IF(OR($B151="STD. DEVIATION",$C$1=1),$A151,$A151+1),COLUMN('1-DATA'!E149)),IF($B151="STD. DEVIATION",2,$F$1))))</f>
        <v/>
      </c>
      <c r="G151" s="1" t="str">
        <f>IF(OR($B151="",G$7=""),"",IF($B151="MEANS",INDEX('1-DATA'!$1:$1048576,$A150-1,COLUMN('1-DATA'!F149)),ROUND(INDEX('1-DATA'!$1:$1048576,IF(OR($B151="STD. DEVIATION",$C$1=1),$A151,$A151+1),COLUMN('1-DATA'!F149)),IF($B151="STD. DEVIATION",2,$F$1))))</f>
        <v/>
      </c>
      <c r="H151" s="1" t="str">
        <f>IF(OR($B151="",H$7=""),"",IF($B151="MEANS",INDEX('1-DATA'!$1:$1048576,$A150-1,COLUMN('1-DATA'!G149)),ROUND(INDEX('1-DATA'!$1:$1048576,IF(OR($B151="STD. DEVIATION",$C$1=1),$A151,$A151+1),COLUMN('1-DATA'!G149)),IF($B151="STD. DEVIATION",2,$F$1))))</f>
        <v/>
      </c>
      <c r="I151" s="1" t="str">
        <f>IF(OR($B151="",I$7=""),"",IF($B151="MEANS",INDEX('1-DATA'!$1:$1048576,$A150-1,COLUMN('1-DATA'!H149)),ROUND(INDEX('1-DATA'!$1:$1048576,IF(OR($B151="STD. DEVIATION",$C$1=1),$A151,$A151+1),COLUMN('1-DATA'!H149)),IF($B151="STD. DEVIATION",2,$F$1))))</f>
        <v/>
      </c>
      <c r="J151" s="1" t="str">
        <f>IF(OR($B151="",J$7=""),"",IF($B151="MEANS",INDEX('1-DATA'!$1:$1048576,$A150-1,COLUMN('1-DATA'!I149)),ROUND(INDEX('1-DATA'!$1:$1048576,IF(OR($B151="STD. DEVIATION",$C$1=1),$A151,$A151+1),COLUMN('1-DATA'!I149)),IF($B151="STD. DEVIATION",2,$F$1))))</f>
        <v/>
      </c>
      <c r="K151" s="1" t="str">
        <f>IF(OR($B151="",K$7=""),"",IF($B151="MEANS",INDEX('1-DATA'!$1:$1048576,$A150-1,COLUMN('1-DATA'!J149)),ROUND(INDEX('1-DATA'!$1:$1048576,IF(OR($B151="STD. DEVIATION",$C$1=1),$A151,$A151+1),COLUMN('1-DATA'!J149)),IF($B151="STD. DEVIATION",2,$F$1))))</f>
        <v/>
      </c>
      <c r="L151" s="1" t="str">
        <f>IF(OR($B151="",L$7=""),"",IF($B151="MEANS",INDEX('1-DATA'!$1:$1048576,$A150-1,COLUMN('1-DATA'!K149)),ROUND(INDEX('1-DATA'!$1:$1048576,IF(OR($B151="STD. DEVIATION",$C$1=1),$A151,$A151+1),COLUMN('1-DATA'!K149)),IF($B151="STD. DEVIATION",2,$F$1))))</f>
        <v/>
      </c>
      <c r="M151" s="1" t="str">
        <f>IF(OR($B151="",M$7=""),"",IF($B151="MEANS",INDEX('1-DATA'!$1:$1048576,$A150-1,COLUMN('1-DATA'!L149)),ROUND(INDEX('1-DATA'!$1:$1048576,IF(OR($B151="STD. DEVIATION",$C$1=1),$A151,$A151+1),COLUMN('1-DATA'!L149)),IF($B151="STD. DEVIATION",2,$F$1))))</f>
        <v/>
      </c>
      <c r="N151" s="1" t="str">
        <f>IF(OR($B151="",N$7=""),"",IF($B151="MEANS",INDEX('1-DATA'!$1:$1048576,$A150-1,COLUMN('1-DATA'!M149)),ROUND(INDEX('1-DATA'!$1:$1048576,IF(OR($B151="STD. DEVIATION",$C$1=1),$A151,$A151+1),COLUMN('1-DATA'!M149)),IF($B151="STD. DEVIATION",2,$F$1))))</f>
        <v/>
      </c>
      <c r="O151" s="1" t="str">
        <f>IF(OR($B151="",O$7=""),"",IF($B151="MEANS",INDEX('1-DATA'!$1:$1048576,$A150-1,COLUMN('1-DATA'!N149)),ROUND(INDEX('1-DATA'!$1:$1048576,IF(OR($B151="STD. DEVIATION",$C$1=1),$A151,$A151+1),COLUMN('1-DATA'!N149)),IF($B151="STD. DEVIATION",2,$F$1))))</f>
        <v/>
      </c>
      <c r="P151" s="1" t="str">
        <f>IF(OR($B151="",P$7=""),"",IF($B151="MEANS",INDEX('1-DATA'!$1:$1048576,$A150-1,COLUMN('1-DATA'!O149)),ROUND(INDEX('1-DATA'!$1:$1048576,IF(OR($B151="STD. DEVIATION",$C$1=1),$A151,$A151+1),COLUMN('1-DATA'!O149)),IF($B151="STD. DEVIATION",2,$F$1))))</f>
        <v/>
      </c>
      <c r="Q151" s="1" t="str">
        <f>IF(OR($B151="",Q$7=""),"",IF($B151="MEANS",INDEX('1-DATA'!$1:$1048576,$A150-1,COLUMN('1-DATA'!P149)),ROUND(INDEX('1-DATA'!$1:$1048576,IF(OR($B151="STD. DEVIATION",$C$1=1),$A151,$A151+1),COLUMN('1-DATA'!P149)),IF($B151="STD. DEVIATION",2,$F$1))))</f>
        <v/>
      </c>
      <c r="R151" s="1" t="str">
        <f>IF(OR($B151="",R$7=""),"",IF($B151="MEANS",INDEX('1-DATA'!$1:$1048576,$A150-1,COLUMN('1-DATA'!Q149)),ROUND(INDEX('1-DATA'!$1:$1048576,IF(OR($B151="STD. DEVIATION",$C$1=1),$A151,$A151+1),COLUMN('1-DATA'!Q149)),IF($B151="STD. DEVIATION",2,$F$1))))</f>
        <v/>
      </c>
      <c r="S151" s="1" t="str">
        <f>IF(OR($B151="",S$7=""),"",IF($B151="MEANS",INDEX('1-DATA'!$1:$1048576,$A150-1,COLUMN('1-DATA'!R149)),ROUND(INDEX('1-DATA'!$1:$1048576,IF(OR($B151="STD. DEVIATION",$C$1=1),$A151,$A151+1),COLUMN('1-DATA'!R149)),IF($B151="STD. DEVIATION",2,$F$1))))</f>
        <v/>
      </c>
      <c r="T151" s="1" t="str">
        <f>IF(OR($B151="",T$7=""),"",IF($B151="MEANS",INDEX('1-DATA'!$1:$1048576,$A150-1,COLUMN('1-DATA'!S149)),ROUND(INDEX('1-DATA'!$1:$1048576,IF(OR($B151="STD. DEVIATION",$C$1=1),$A151,$A151+1),COLUMN('1-DATA'!S149)),IF($B151="STD. DEVIATION",2,$F$1))))</f>
        <v/>
      </c>
      <c r="U151" s="1" t="str">
        <f>IF(OR($B151="",U$7=""),"",IF($B151="MEANS",INDEX('1-DATA'!$1:$1048576,$A150-1,COLUMN('1-DATA'!T149)),ROUND(INDEX('1-DATA'!$1:$1048576,IF(OR($B151="STD. DEVIATION",$C$1=1),$A151,$A151+1),COLUMN('1-DATA'!T149)),IF($B151="STD. DEVIATION",2,$F$1))))</f>
        <v/>
      </c>
      <c r="V151" s="1" t="str">
        <f>IF(OR($B151="",V$7=""),"",IF($B151="MEANS",INDEX('1-DATA'!$1:$1048576,$A150-1,COLUMN('1-DATA'!U149)),ROUND(INDEX('1-DATA'!$1:$1048576,IF(OR($B151="STD. DEVIATION",$C$1=1),$A151,$A151+1),COLUMN('1-DATA'!U149)),IF($B151="STD. DEVIATION",2,$F$1))))</f>
        <v/>
      </c>
      <c r="W151" s="1" t="str">
        <f>IF(OR($B151="",W$7=""),"",IF($B151="MEANS",INDEX('1-DATA'!$1:$1048576,$A150-1,COLUMN('1-DATA'!V149)),ROUND(INDEX('1-DATA'!$1:$1048576,IF(OR($B151="STD. DEVIATION",$C$1=1),$A151,$A151+1),COLUMN('1-DATA'!V149)),IF($B151="STD. DEVIATION",2,$F$1))))</f>
        <v/>
      </c>
      <c r="X151" s="1" t="str">
        <f>IF(OR($B151="",X$7=""),"",IF($B151="MEANS",INDEX('1-DATA'!$1:$1048576,$A150-1,COLUMN('1-DATA'!W149)),ROUND(INDEX('1-DATA'!$1:$1048576,IF(OR($B151="STD. DEVIATION",$C$1=1),$A151,$A151+1),COLUMN('1-DATA'!W149)),IF($B151="STD. DEVIATION",2,$F$1))))</f>
        <v/>
      </c>
      <c r="Y151" s="1" t="str">
        <f>IF(OR($B151="",Y$7=""),"",IF($B151="MEANS",INDEX('1-DATA'!$1:$1048576,$A150-1,COLUMN('1-DATA'!X149)),ROUND(INDEX('1-DATA'!$1:$1048576,IF(OR($B151="STD. DEVIATION",$C$1=1),$A151,$A151+1),COLUMN('1-DATA'!X149)),IF($B151="STD. DEVIATION",2,$F$1))))</f>
        <v/>
      </c>
      <c r="Z151" s="1" t="str">
        <f>IF(OR($B151="",Z$7=""),"",IF($B151="MEANS",INDEX('1-DATA'!$1:$1048576,$A150-1,COLUMN('1-DATA'!Y149)),ROUND(INDEX('1-DATA'!$1:$1048576,IF(OR($B151="STD. DEVIATION",$C$1=1),$A151,$A151+1),COLUMN('1-DATA'!Y149)),IF($B151="STD. DEVIATION",2,$F$1))))</f>
        <v/>
      </c>
      <c r="AA151" s="1" t="str">
        <f>IF(OR($B151="",AA$7=""),"",IF($B151="MEANS",INDEX('1-DATA'!$1:$1048576,$A150-1,COLUMN('1-DATA'!Z149)),ROUND(INDEX('1-DATA'!$1:$1048576,IF(OR($B151="STD. DEVIATION",$C$1=1),$A151,$A151+1),COLUMN('1-DATA'!Z149)),IF($B151="STD. DEVIATION",2,$F$1))))</f>
        <v/>
      </c>
      <c r="AB151" s="1" t="str">
        <f>IF(OR($B151="",AB$7=""),"",IF($B151="MEANS",INDEX('1-DATA'!$1:$1048576,$A150-1,COLUMN('1-DATA'!AA149)),ROUND(INDEX('1-DATA'!$1:$1048576,IF(OR($B151="STD. DEVIATION",$C$1=1),$A151,$A151+1),COLUMN('1-DATA'!AA149)),IF($B151="STD. DEVIATION",2,$F$1))))</f>
        <v/>
      </c>
      <c r="AC151" s="1" t="str">
        <f>IF(OR($B151="",AC$7=""),"",IF($B151="MEANS",INDEX('1-DATA'!$1:$1048576,$A150-1,COLUMN('1-DATA'!AB149)),ROUND(INDEX('1-DATA'!$1:$1048576,IF(OR($B151="STD. DEVIATION",$C$1=1),$A151,$A151+1),COLUMN('1-DATA'!AB149)),IF($B151="STD. DEVIATION",2,$F$1))))</f>
        <v/>
      </c>
      <c r="AD151" s="1" t="str">
        <f>IF(OR($B151="",AD$7=""),"",IF($B151="MEANS",INDEX('1-DATA'!$1:$1048576,$A150-1,COLUMN('1-DATA'!AC149)),ROUND(INDEX('1-DATA'!$1:$1048576,IF(OR($B151="STD. DEVIATION",$C$1=1),$A151,$A151+1),COLUMN('1-DATA'!AC149)),IF($B151="STD. DEVIATION",2,$F$1))))</f>
        <v/>
      </c>
      <c r="AE151" s="1" t="str">
        <f>IF(OR($B151="",AE$7=""),"",IF($B151="MEANS",INDEX('1-DATA'!$1:$1048576,$A150-1,COLUMN('1-DATA'!AD149)),ROUND(INDEX('1-DATA'!$1:$1048576,IF(OR($B151="STD. DEVIATION",$C$1=1),$A151,$A151+1),COLUMN('1-DATA'!AD149)),IF($B151="STD. DEVIATION",2,$F$1))))</f>
        <v/>
      </c>
      <c r="AF151" s="1" t="str">
        <f>IF(OR($B151="",AF$7=""),"",IF($B151="MEANS",INDEX('1-DATA'!$1:$1048576,$A150-1,COLUMN('1-DATA'!AE149)),ROUND(INDEX('1-DATA'!$1:$1048576,IF(OR($B151="STD. DEVIATION",$C$1=1),$A151,$A151+1),COLUMN('1-DATA'!AE149)),IF($B151="STD. DEVIATION",2,$F$1))))</f>
        <v/>
      </c>
      <c r="AG151" s="1" t="str">
        <f>IF(OR($B151="",AG$7=""),"",IF($B151="MEANS",INDEX('1-DATA'!$1:$1048576,$A150-1,COLUMN('1-DATA'!AF149)),ROUND(INDEX('1-DATA'!$1:$1048576,IF(OR($B151="STD. DEVIATION",$C$1=1),$A151,$A151+1),COLUMN('1-DATA'!AF149)),IF($B151="STD. DEVIATION",2,$F$1))))</f>
        <v/>
      </c>
      <c r="AH151" s="1" t="str">
        <f>IF(OR($B151="",AH$7=""),"",IF($B151="MEANS",INDEX('1-DATA'!$1:$1048576,$A150-1,COLUMN('1-DATA'!AG149)),ROUND(INDEX('1-DATA'!$1:$1048576,IF(OR($B151="STD. DEVIATION",$C$1=1),$A151,$A151+1),COLUMN('1-DATA'!AG149)),IF($B151="STD. DEVIATION",2,$F$1))))</f>
        <v/>
      </c>
      <c r="AI151" s="1" t="str">
        <f>IF(OR($B151="",AI$7=""),"",IF($B151="MEANS",INDEX('1-DATA'!$1:$1048576,$A150-1,COLUMN('1-DATA'!AH149)),ROUND(INDEX('1-DATA'!$1:$1048576,IF(OR($B151="STD. DEVIATION",$C$1=1),$A151,$A151+1),COLUMN('1-DATA'!AH149)),IF($B151="STD. DEVIATION",2,$F$1))))</f>
        <v/>
      </c>
      <c r="AJ151" s="1" t="str">
        <f>IF(OR($B151="",AJ$7=""),"",IF($B151="MEANS",INDEX('1-DATA'!$1:$1048576,$A150-1,COLUMN('1-DATA'!AI149)),ROUND(INDEX('1-DATA'!$1:$1048576,IF(OR($B151="STD. DEVIATION",$C$1=1),$A151,$A151+1),COLUMN('1-DATA'!AI149)),IF($B151="STD. DEVIATION",2,$F$1))))</f>
        <v/>
      </c>
      <c r="AK151" s="1" t="str">
        <f>IF(OR($B151="",AK$7=""),"",IF($B151="MEANS",INDEX('1-DATA'!$1:$1048576,$A150-1,COLUMN('1-DATA'!AJ149)),ROUND(INDEX('1-DATA'!$1:$1048576,IF(OR($B151="STD. DEVIATION",$C$1=1),$A151,$A151+1),COLUMN('1-DATA'!AJ149)),IF($B151="STD. DEVIATION",2,$F$1))))</f>
        <v/>
      </c>
      <c r="AL151" s="1" t="str">
        <f>IF(OR($B151="",AL$7=""),"",IF($B151="MEANS",INDEX('1-DATA'!$1:$1048576,$A150-1,COLUMN('1-DATA'!AK149)),ROUND(INDEX('1-DATA'!$1:$1048576,IF(OR($B151="STD. DEVIATION",$C$1=1),$A151,$A151+1),COLUMN('1-DATA'!AK149)),IF($B151="STD. DEVIATION",2,$F$1))))</f>
        <v/>
      </c>
      <c r="AM151" s="1" t="str">
        <f>IF(OR($B151="",AM$7=""),"",IF($B151="MEANS",INDEX('1-DATA'!$1:$1048576,$A150-1,COLUMN('1-DATA'!AL149)),ROUND(INDEX('1-DATA'!$1:$1048576,IF(OR($B151="STD. DEVIATION",$C$1=1),$A151,$A151+1),COLUMN('1-DATA'!AL149)),IF($B151="STD. DEVIATION",2,$F$1))))</f>
        <v/>
      </c>
      <c r="AN151" s="1" t="str">
        <f>IF(OR($B151="",AN$7=""),"",IF($B151="MEANS",INDEX('1-DATA'!$1:$1048576,$A150-1,COLUMN('1-DATA'!AM149)),ROUND(INDEX('1-DATA'!$1:$1048576,IF(OR($B151="STD. DEVIATION",$C$1=1),$A151,$A151+1),COLUMN('1-DATA'!AM149)),IF($B151="STD. DEVIATION",2,$F$1))))</f>
        <v/>
      </c>
      <c r="AO151" s="1" t="str">
        <f>IF(OR($B151="",AO$7=""),"",IF($B151="MEANS",INDEX('1-DATA'!$1:$1048576,$A150-1,COLUMN('1-DATA'!AN149)),ROUND(INDEX('1-DATA'!$1:$1048576,IF(OR($B151="STD. DEVIATION",$C$1=1),$A151,$A151+1),COLUMN('1-DATA'!AN149)),IF($B151="STD. DEVIATION",2,$F$1))))</f>
        <v/>
      </c>
      <c r="AP151" s="1" t="str">
        <f>IF(OR($B151="",AP$7=""),"",IF($B151="MEANS",INDEX('1-DATA'!$1:$1048576,$A150-1,COLUMN('1-DATA'!AO149)),ROUND(INDEX('1-DATA'!$1:$1048576,IF(OR($B151="STD. DEVIATION",$C$1=1),$A151,$A151+1),COLUMN('1-DATA'!AO149)),IF($B151="STD. DEVIATION",2,$F$1))))</f>
        <v/>
      </c>
      <c r="AQ151" s="1" t="str">
        <f>IF(OR($B151="",AQ$7=""),"",IF($B151="MEANS",INDEX('1-DATA'!$1:$1048576,$A150-1,COLUMN('1-DATA'!AP149)),ROUND(INDEX('1-DATA'!$1:$1048576,IF(OR($B151="STD. DEVIATION",$C$1=1),$A151,$A151+1),COLUMN('1-DATA'!AP149)),IF($B151="STD. DEVIATION",2,$F$1))))</f>
        <v/>
      </c>
      <c r="AR151" s="1" t="str">
        <f>IF(OR($B151="",AR$7=""),"",IF($B151="MEANS",INDEX('1-DATA'!$1:$1048576,$A150-1,COLUMN('1-DATA'!AQ149)),ROUND(INDEX('1-DATA'!$1:$1048576,IF(OR($B151="STD. DEVIATION",$C$1=1),$A151,$A151+1),COLUMN('1-DATA'!AQ149)),IF($B151="STD. DEVIATION",2,$F$1))))</f>
        <v/>
      </c>
      <c r="AS151" s="1" t="str">
        <f>IF(OR($B151="",AS$7=""),"",IF($B151="MEANS",INDEX('1-DATA'!$1:$1048576,$A150-1,COLUMN('1-DATA'!AR149)),ROUND(INDEX('1-DATA'!$1:$1048576,IF(OR($B151="STD. DEVIATION",$C$1=1),$A151,$A151+1),COLUMN('1-DATA'!AR149)),IF($B151="STD. DEVIATION",2,$F$1))))</f>
        <v/>
      </c>
      <c r="AT151" s="1" t="str">
        <f>IF(OR($B151="",AT$7=""),"",IF($B151="MEANS",INDEX('1-DATA'!$1:$1048576,$A150-1,COLUMN('1-DATA'!AS149)),ROUND(INDEX('1-DATA'!$1:$1048576,IF(OR($B151="STD. DEVIATION",$C$1=1),$A151,$A151+1),COLUMN('1-DATA'!AS149)),IF($B151="STD. DEVIATION",2,$F$1))))</f>
        <v/>
      </c>
      <c r="AU151" s="1" t="str">
        <f>IF(OR($B151="",AU$7=""),"",IF($B151="MEANS",INDEX('1-DATA'!$1:$1048576,$A150-1,COLUMN('1-DATA'!AT149)),ROUND(INDEX('1-DATA'!$1:$1048576,IF(OR($B151="STD. DEVIATION",$C$1=1),$A151,$A151+1),COLUMN('1-DATA'!AT149)),IF($B151="STD. DEVIATION",2,$F$1))))</f>
        <v/>
      </c>
      <c r="AV151" s="1" t="str">
        <f>IF(OR($B151="",AV$7=""),"",IF($B151="MEANS",INDEX('1-DATA'!$1:$1048576,$A150-1,COLUMN('1-DATA'!AU149)),ROUND(INDEX('1-DATA'!$1:$1048576,IF(OR($B151="STD. DEVIATION",$C$1=1),$A151,$A151+1),COLUMN('1-DATA'!AU149)),IF($B151="STD. DEVIATION",2,$F$1))))</f>
        <v/>
      </c>
      <c r="AW151" s="1" t="str">
        <f>IF(OR($B151="",AW$7=""),"",IF($B151="MEANS",INDEX('1-DATA'!$1:$1048576,$A150-1,COLUMN('1-DATA'!AV149)),ROUND(INDEX('1-DATA'!$1:$1048576,IF(OR($B151="STD. DEVIATION",$C$1=1),$A151,$A151+1),COLUMN('1-DATA'!AV149)),IF($B151="STD. DEVIATION",2,$F$1))))</f>
        <v/>
      </c>
      <c r="AX151" s="1" t="str">
        <f>IF(OR($B151="",AX$7=""),"",IF($B151="MEANS",INDEX('1-DATA'!$1:$1048576,$A150-1,COLUMN('1-DATA'!AW149)),ROUND(INDEX('1-DATA'!$1:$1048576,IF(OR($B151="STD. DEVIATION",$C$1=1),$A151,$A151+1),COLUMN('1-DATA'!AW149)),IF($B151="STD. DEVIATION",2,$F$1))))</f>
        <v/>
      </c>
      <c r="AY151" s="1" t="str">
        <f>IF(OR($B151="",AY$7=""),"",IF($B151="MEANS",INDEX('1-DATA'!$1:$1048576,$A150-1,COLUMN('1-DATA'!AX149)),ROUND(INDEX('1-DATA'!$1:$1048576,IF(OR($B151="STD. DEVIATION",$C$1=1),$A151,$A151+1),COLUMN('1-DATA'!AX149)),IF($B151="STD. DEVIATION",2,$F$1))))</f>
        <v/>
      </c>
      <c r="AZ151" s="1" t="str">
        <f>IF(OR($B151="",AZ$7=""),"",IF($B151="MEANS",INDEX('1-DATA'!$1:$1048576,$A150-1,COLUMN('1-DATA'!AY149)),ROUND(INDEX('1-DATA'!$1:$1048576,IF(OR($B151="STD. DEVIATION",$C$1=1),$A151,$A151+1),COLUMN('1-DATA'!AY149)),IF($B151="STD. DEVIATION",2,$F$1))))</f>
        <v/>
      </c>
    </row>
    <row r="152" spans="1:52" x14ac:dyDescent="0.25">
      <c r="A152" s="11">
        <f t="shared" si="2"/>
        <v>442</v>
      </c>
      <c r="B152" s="1" t="str">
        <f>IF(B151="STD. DEVIATION",INDEX('1-DATA'!$1:$1048576,$A151-1,1),IF(INDEX('1-DATA'!$1:$1048576,$A152,1)&lt;&gt;"",INDEX('1-DATA'!$1:$1048576,$A152,1),""))</f>
        <v/>
      </c>
      <c r="C152" s="1" t="str">
        <f>IF(OR($B152="",C$7=""),"",IF($B152="MEANS",INDEX('1-DATA'!$1:$1048576,$A151-1,COLUMN('1-DATA'!B150)),ROUND(INDEX('1-DATA'!$1:$1048576,IF(OR($B152="STD. DEVIATION",$C$1=1),$A152,$A152+1),COLUMN('1-DATA'!B150)),IF($B152="STD. DEVIATION",2,$F$1))))</f>
        <v/>
      </c>
      <c r="D152" s="1" t="str">
        <f>IF(OR($B152="",D$7=""),"",IF($B152="MEANS",INDEX('1-DATA'!$1:$1048576,$A151-1,COLUMN('1-DATA'!C150)),ROUND(INDEX('1-DATA'!$1:$1048576,IF(OR($B152="STD. DEVIATION",$C$1=1),$A152,$A152+1),COLUMN('1-DATA'!C150)),IF($B152="STD. DEVIATION",2,$F$1))))</f>
        <v/>
      </c>
      <c r="E152" s="1" t="str">
        <f>IF(OR($B152="",E$7=""),"",IF($B152="MEANS",INDEX('1-DATA'!$1:$1048576,$A151-1,COLUMN('1-DATA'!D150)),ROUND(INDEX('1-DATA'!$1:$1048576,IF(OR($B152="STD. DEVIATION",$C$1=1),$A152,$A152+1),COLUMN('1-DATA'!D150)),IF($B152="STD. DEVIATION",2,$F$1))))</f>
        <v/>
      </c>
      <c r="F152" s="1" t="str">
        <f>IF(OR($B152="",F$7=""),"",IF($B152="MEANS",INDEX('1-DATA'!$1:$1048576,$A151-1,COLUMN('1-DATA'!E150)),ROUND(INDEX('1-DATA'!$1:$1048576,IF(OR($B152="STD. DEVIATION",$C$1=1),$A152,$A152+1),COLUMN('1-DATA'!E150)),IF($B152="STD. DEVIATION",2,$F$1))))</f>
        <v/>
      </c>
      <c r="G152" s="1" t="str">
        <f>IF(OR($B152="",G$7=""),"",IF($B152="MEANS",INDEX('1-DATA'!$1:$1048576,$A151-1,COLUMN('1-DATA'!F150)),ROUND(INDEX('1-DATA'!$1:$1048576,IF(OR($B152="STD. DEVIATION",$C$1=1),$A152,$A152+1),COLUMN('1-DATA'!F150)),IF($B152="STD. DEVIATION",2,$F$1))))</f>
        <v/>
      </c>
      <c r="H152" s="1" t="str">
        <f>IF(OR($B152="",H$7=""),"",IF($B152="MEANS",INDEX('1-DATA'!$1:$1048576,$A151-1,COLUMN('1-DATA'!G150)),ROUND(INDEX('1-DATA'!$1:$1048576,IF(OR($B152="STD. DEVIATION",$C$1=1),$A152,$A152+1),COLUMN('1-DATA'!G150)),IF($B152="STD. DEVIATION",2,$F$1))))</f>
        <v/>
      </c>
      <c r="I152" s="1" t="str">
        <f>IF(OR($B152="",I$7=""),"",IF($B152="MEANS",INDEX('1-DATA'!$1:$1048576,$A151-1,COLUMN('1-DATA'!H150)),ROUND(INDEX('1-DATA'!$1:$1048576,IF(OR($B152="STD. DEVIATION",$C$1=1),$A152,$A152+1),COLUMN('1-DATA'!H150)),IF($B152="STD. DEVIATION",2,$F$1))))</f>
        <v/>
      </c>
      <c r="J152" s="1" t="str">
        <f>IF(OR($B152="",J$7=""),"",IF($B152="MEANS",INDEX('1-DATA'!$1:$1048576,$A151-1,COLUMN('1-DATA'!I150)),ROUND(INDEX('1-DATA'!$1:$1048576,IF(OR($B152="STD. DEVIATION",$C$1=1),$A152,$A152+1),COLUMN('1-DATA'!I150)),IF($B152="STD. DEVIATION",2,$F$1))))</f>
        <v/>
      </c>
      <c r="K152" s="1" t="str">
        <f>IF(OR($B152="",K$7=""),"",IF($B152="MEANS",INDEX('1-DATA'!$1:$1048576,$A151-1,COLUMN('1-DATA'!J150)),ROUND(INDEX('1-DATA'!$1:$1048576,IF(OR($B152="STD. DEVIATION",$C$1=1),$A152,$A152+1),COLUMN('1-DATA'!J150)),IF($B152="STD. DEVIATION",2,$F$1))))</f>
        <v/>
      </c>
      <c r="L152" s="1" t="str">
        <f>IF(OR($B152="",L$7=""),"",IF($B152="MEANS",INDEX('1-DATA'!$1:$1048576,$A151-1,COLUMN('1-DATA'!K150)),ROUND(INDEX('1-DATA'!$1:$1048576,IF(OR($B152="STD. DEVIATION",$C$1=1),$A152,$A152+1),COLUMN('1-DATA'!K150)),IF($B152="STD. DEVIATION",2,$F$1))))</f>
        <v/>
      </c>
      <c r="M152" s="1" t="str">
        <f>IF(OR($B152="",M$7=""),"",IF($B152="MEANS",INDEX('1-DATA'!$1:$1048576,$A151-1,COLUMN('1-DATA'!L150)),ROUND(INDEX('1-DATA'!$1:$1048576,IF(OR($B152="STD. DEVIATION",$C$1=1),$A152,$A152+1),COLUMN('1-DATA'!L150)),IF($B152="STD. DEVIATION",2,$F$1))))</f>
        <v/>
      </c>
      <c r="N152" s="1" t="str">
        <f>IF(OR($B152="",N$7=""),"",IF($B152="MEANS",INDEX('1-DATA'!$1:$1048576,$A151-1,COLUMN('1-DATA'!M150)),ROUND(INDEX('1-DATA'!$1:$1048576,IF(OR($B152="STD. DEVIATION",$C$1=1),$A152,$A152+1),COLUMN('1-DATA'!M150)),IF($B152="STD. DEVIATION",2,$F$1))))</f>
        <v/>
      </c>
      <c r="O152" s="1" t="str">
        <f>IF(OR($B152="",O$7=""),"",IF($B152="MEANS",INDEX('1-DATA'!$1:$1048576,$A151-1,COLUMN('1-DATA'!N150)),ROUND(INDEX('1-DATA'!$1:$1048576,IF(OR($B152="STD. DEVIATION",$C$1=1),$A152,$A152+1),COLUMN('1-DATA'!N150)),IF($B152="STD. DEVIATION",2,$F$1))))</f>
        <v/>
      </c>
      <c r="P152" s="1" t="str">
        <f>IF(OR($B152="",P$7=""),"",IF($B152="MEANS",INDEX('1-DATA'!$1:$1048576,$A151-1,COLUMN('1-DATA'!O150)),ROUND(INDEX('1-DATA'!$1:$1048576,IF(OR($B152="STD. DEVIATION",$C$1=1),$A152,$A152+1),COLUMN('1-DATA'!O150)),IF($B152="STD. DEVIATION",2,$F$1))))</f>
        <v/>
      </c>
      <c r="Q152" s="1" t="str">
        <f>IF(OR($B152="",Q$7=""),"",IF($B152="MEANS",INDEX('1-DATA'!$1:$1048576,$A151-1,COLUMN('1-DATA'!P150)),ROUND(INDEX('1-DATA'!$1:$1048576,IF(OR($B152="STD. DEVIATION",$C$1=1),$A152,$A152+1),COLUMN('1-DATA'!P150)),IF($B152="STD. DEVIATION",2,$F$1))))</f>
        <v/>
      </c>
      <c r="R152" s="1" t="str">
        <f>IF(OR($B152="",R$7=""),"",IF($B152="MEANS",INDEX('1-DATA'!$1:$1048576,$A151-1,COLUMN('1-DATA'!Q150)),ROUND(INDEX('1-DATA'!$1:$1048576,IF(OR($B152="STD. DEVIATION",$C$1=1),$A152,$A152+1),COLUMN('1-DATA'!Q150)),IF($B152="STD. DEVIATION",2,$F$1))))</f>
        <v/>
      </c>
      <c r="S152" s="1" t="str">
        <f>IF(OR($B152="",S$7=""),"",IF($B152="MEANS",INDEX('1-DATA'!$1:$1048576,$A151-1,COLUMN('1-DATA'!R150)),ROUND(INDEX('1-DATA'!$1:$1048576,IF(OR($B152="STD. DEVIATION",$C$1=1),$A152,$A152+1),COLUMN('1-DATA'!R150)),IF($B152="STD. DEVIATION",2,$F$1))))</f>
        <v/>
      </c>
      <c r="T152" s="1" t="str">
        <f>IF(OR($B152="",T$7=""),"",IF($B152="MEANS",INDEX('1-DATA'!$1:$1048576,$A151-1,COLUMN('1-DATA'!S150)),ROUND(INDEX('1-DATA'!$1:$1048576,IF(OR($B152="STD. DEVIATION",$C$1=1),$A152,$A152+1),COLUMN('1-DATA'!S150)),IF($B152="STD. DEVIATION",2,$F$1))))</f>
        <v/>
      </c>
      <c r="U152" s="1" t="str">
        <f>IF(OR($B152="",U$7=""),"",IF($B152="MEANS",INDEX('1-DATA'!$1:$1048576,$A151-1,COLUMN('1-DATA'!T150)),ROUND(INDEX('1-DATA'!$1:$1048576,IF(OR($B152="STD. DEVIATION",$C$1=1),$A152,$A152+1),COLUMN('1-DATA'!T150)),IF($B152="STD. DEVIATION",2,$F$1))))</f>
        <v/>
      </c>
      <c r="V152" s="1" t="str">
        <f>IF(OR($B152="",V$7=""),"",IF($B152="MEANS",INDEX('1-DATA'!$1:$1048576,$A151-1,COLUMN('1-DATA'!U150)),ROUND(INDEX('1-DATA'!$1:$1048576,IF(OR($B152="STD. DEVIATION",$C$1=1),$A152,$A152+1),COLUMN('1-DATA'!U150)),IF($B152="STD. DEVIATION",2,$F$1))))</f>
        <v/>
      </c>
      <c r="W152" s="1" t="str">
        <f>IF(OR($B152="",W$7=""),"",IF($B152="MEANS",INDEX('1-DATA'!$1:$1048576,$A151-1,COLUMN('1-DATA'!V150)),ROUND(INDEX('1-DATA'!$1:$1048576,IF(OR($B152="STD. DEVIATION",$C$1=1),$A152,$A152+1),COLUMN('1-DATA'!V150)),IF($B152="STD. DEVIATION",2,$F$1))))</f>
        <v/>
      </c>
      <c r="X152" s="1" t="str">
        <f>IF(OR($B152="",X$7=""),"",IF($B152="MEANS",INDEX('1-DATA'!$1:$1048576,$A151-1,COLUMN('1-DATA'!W150)),ROUND(INDEX('1-DATA'!$1:$1048576,IF(OR($B152="STD. DEVIATION",$C$1=1),$A152,$A152+1),COLUMN('1-DATA'!W150)),IF($B152="STD. DEVIATION",2,$F$1))))</f>
        <v/>
      </c>
      <c r="Y152" s="1" t="str">
        <f>IF(OR($B152="",Y$7=""),"",IF($B152="MEANS",INDEX('1-DATA'!$1:$1048576,$A151-1,COLUMN('1-DATA'!X150)),ROUND(INDEX('1-DATA'!$1:$1048576,IF(OR($B152="STD. DEVIATION",$C$1=1),$A152,$A152+1),COLUMN('1-DATA'!X150)),IF($B152="STD. DEVIATION",2,$F$1))))</f>
        <v/>
      </c>
      <c r="Z152" s="1" t="str">
        <f>IF(OR($B152="",Z$7=""),"",IF($B152="MEANS",INDEX('1-DATA'!$1:$1048576,$A151-1,COLUMN('1-DATA'!Y150)),ROUND(INDEX('1-DATA'!$1:$1048576,IF(OR($B152="STD. DEVIATION",$C$1=1),$A152,$A152+1),COLUMN('1-DATA'!Y150)),IF($B152="STD. DEVIATION",2,$F$1))))</f>
        <v/>
      </c>
      <c r="AA152" s="1" t="str">
        <f>IF(OR($B152="",AA$7=""),"",IF($B152="MEANS",INDEX('1-DATA'!$1:$1048576,$A151-1,COLUMN('1-DATA'!Z150)),ROUND(INDEX('1-DATA'!$1:$1048576,IF(OR($B152="STD. DEVIATION",$C$1=1),$A152,$A152+1),COLUMN('1-DATA'!Z150)),IF($B152="STD. DEVIATION",2,$F$1))))</f>
        <v/>
      </c>
      <c r="AB152" s="1" t="str">
        <f>IF(OR($B152="",AB$7=""),"",IF($B152="MEANS",INDEX('1-DATA'!$1:$1048576,$A151-1,COLUMN('1-DATA'!AA150)),ROUND(INDEX('1-DATA'!$1:$1048576,IF(OR($B152="STD. DEVIATION",$C$1=1),$A152,$A152+1),COLUMN('1-DATA'!AA150)),IF($B152="STD. DEVIATION",2,$F$1))))</f>
        <v/>
      </c>
      <c r="AC152" s="1" t="str">
        <f>IF(OR($B152="",AC$7=""),"",IF($B152="MEANS",INDEX('1-DATA'!$1:$1048576,$A151-1,COLUMN('1-DATA'!AB150)),ROUND(INDEX('1-DATA'!$1:$1048576,IF(OR($B152="STD. DEVIATION",$C$1=1),$A152,$A152+1),COLUMN('1-DATA'!AB150)),IF($B152="STD. DEVIATION",2,$F$1))))</f>
        <v/>
      </c>
      <c r="AD152" s="1" t="str">
        <f>IF(OR($B152="",AD$7=""),"",IF($B152="MEANS",INDEX('1-DATA'!$1:$1048576,$A151-1,COLUMN('1-DATA'!AC150)),ROUND(INDEX('1-DATA'!$1:$1048576,IF(OR($B152="STD. DEVIATION",$C$1=1),$A152,$A152+1),COLUMN('1-DATA'!AC150)),IF($B152="STD. DEVIATION",2,$F$1))))</f>
        <v/>
      </c>
      <c r="AE152" s="1" t="str">
        <f>IF(OR($B152="",AE$7=""),"",IF($B152="MEANS",INDEX('1-DATA'!$1:$1048576,$A151-1,COLUMN('1-DATA'!AD150)),ROUND(INDEX('1-DATA'!$1:$1048576,IF(OR($B152="STD. DEVIATION",$C$1=1),$A152,$A152+1),COLUMN('1-DATA'!AD150)),IF($B152="STD. DEVIATION",2,$F$1))))</f>
        <v/>
      </c>
      <c r="AF152" s="1" t="str">
        <f>IF(OR($B152="",AF$7=""),"",IF($B152="MEANS",INDEX('1-DATA'!$1:$1048576,$A151-1,COLUMN('1-DATA'!AE150)),ROUND(INDEX('1-DATA'!$1:$1048576,IF(OR($B152="STD. DEVIATION",$C$1=1),$A152,$A152+1),COLUMN('1-DATA'!AE150)),IF($B152="STD. DEVIATION",2,$F$1))))</f>
        <v/>
      </c>
      <c r="AG152" s="1" t="str">
        <f>IF(OR($B152="",AG$7=""),"",IF($B152="MEANS",INDEX('1-DATA'!$1:$1048576,$A151-1,COLUMN('1-DATA'!AF150)),ROUND(INDEX('1-DATA'!$1:$1048576,IF(OR($B152="STD. DEVIATION",$C$1=1),$A152,$A152+1),COLUMN('1-DATA'!AF150)),IF($B152="STD. DEVIATION",2,$F$1))))</f>
        <v/>
      </c>
      <c r="AH152" s="1" t="str">
        <f>IF(OR($B152="",AH$7=""),"",IF($B152="MEANS",INDEX('1-DATA'!$1:$1048576,$A151-1,COLUMN('1-DATA'!AG150)),ROUND(INDEX('1-DATA'!$1:$1048576,IF(OR($B152="STD. DEVIATION",$C$1=1),$A152,$A152+1),COLUMN('1-DATA'!AG150)),IF($B152="STD. DEVIATION",2,$F$1))))</f>
        <v/>
      </c>
      <c r="AI152" s="1" t="str">
        <f>IF(OR($B152="",AI$7=""),"",IF($B152="MEANS",INDEX('1-DATA'!$1:$1048576,$A151-1,COLUMN('1-DATA'!AH150)),ROUND(INDEX('1-DATA'!$1:$1048576,IF(OR($B152="STD. DEVIATION",$C$1=1),$A152,$A152+1),COLUMN('1-DATA'!AH150)),IF($B152="STD. DEVIATION",2,$F$1))))</f>
        <v/>
      </c>
      <c r="AJ152" s="1" t="str">
        <f>IF(OR($B152="",AJ$7=""),"",IF($B152="MEANS",INDEX('1-DATA'!$1:$1048576,$A151-1,COLUMN('1-DATA'!AI150)),ROUND(INDEX('1-DATA'!$1:$1048576,IF(OR($B152="STD. DEVIATION",$C$1=1),$A152,$A152+1),COLUMN('1-DATA'!AI150)),IF($B152="STD. DEVIATION",2,$F$1))))</f>
        <v/>
      </c>
      <c r="AK152" s="1" t="str">
        <f>IF(OR($B152="",AK$7=""),"",IF($B152="MEANS",INDEX('1-DATA'!$1:$1048576,$A151-1,COLUMN('1-DATA'!AJ150)),ROUND(INDEX('1-DATA'!$1:$1048576,IF(OR($B152="STD. DEVIATION",$C$1=1),$A152,$A152+1),COLUMN('1-DATA'!AJ150)),IF($B152="STD. DEVIATION",2,$F$1))))</f>
        <v/>
      </c>
      <c r="AL152" s="1" t="str">
        <f>IF(OR($B152="",AL$7=""),"",IF($B152="MEANS",INDEX('1-DATA'!$1:$1048576,$A151-1,COLUMN('1-DATA'!AK150)),ROUND(INDEX('1-DATA'!$1:$1048576,IF(OR($B152="STD. DEVIATION",$C$1=1),$A152,$A152+1),COLUMN('1-DATA'!AK150)),IF($B152="STD. DEVIATION",2,$F$1))))</f>
        <v/>
      </c>
      <c r="AM152" s="1" t="str">
        <f>IF(OR($B152="",AM$7=""),"",IF($B152="MEANS",INDEX('1-DATA'!$1:$1048576,$A151-1,COLUMN('1-DATA'!AL150)),ROUND(INDEX('1-DATA'!$1:$1048576,IF(OR($B152="STD. DEVIATION",$C$1=1),$A152,$A152+1),COLUMN('1-DATA'!AL150)),IF($B152="STD. DEVIATION",2,$F$1))))</f>
        <v/>
      </c>
      <c r="AN152" s="1" t="str">
        <f>IF(OR($B152="",AN$7=""),"",IF($B152="MEANS",INDEX('1-DATA'!$1:$1048576,$A151-1,COLUMN('1-DATA'!AM150)),ROUND(INDEX('1-DATA'!$1:$1048576,IF(OR($B152="STD. DEVIATION",$C$1=1),$A152,$A152+1),COLUMN('1-DATA'!AM150)),IF($B152="STD. DEVIATION",2,$F$1))))</f>
        <v/>
      </c>
      <c r="AO152" s="1" t="str">
        <f>IF(OR($B152="",AO$7=""),"",IF($B152="MEANS",INDEX('1-DATA'!$1:$1048576,$A151-1,COLUMN('1-DATA'!AN150)),ROUND(INDEX('1-DATA'!$1:$1048576,IF(OR($B152="STD. DEVIATION",$C$1=1),$A152,$A152+1),COLUMN('1-DATA'!AN150)),IF($B152="STD. DEVIATION",2,$F$1))))</f>
        <v/>
      </c>
      <c r="AP152" s="1" t="str">
        <f>IF(OR($B152="",AP$7=""),"",IF($B152="MEANS",INDEX('1-DATA'!$1:$1048576,$A151-1,COLUMN('1-DATA'!AO150)),ROUND(INDEX('1-DATA'!$1:$1048576,IF(OR($B152="STD. DEVIATION",$C$1=1),$A152,$A152+1),COLUMN('1-DATA'!AO150)),IF($B152="STD. DEVIATION",2,$F$1))))</f>
        <v/>
      </c>
      <c r="AQ152" s="1" t="str">
        <f>IF(OR($B152="",AQ$7=""),"",IF($B152="MEANS",INDEX('1-DATA'!$1:$1048576,$A151-1,COLUMN('1-DATA'!AP150)),ROUND(INDEX('1-DATA'!$1:$1048576,IF(OR($B152="STD. DEVIATION",$C$1=1),$A152,$A152+1),COLUMN('1-DATA'!AP150)),IF($B152="STD. DEVIATION",2,$F$1))))</f>
        <v/>
      </c>
      <c r="AR152" s="1" t="str">
        <f>IF(OR($B152="",AR$7=""),"",IF($B152="MEANS",INDEX('1-DATA'!$1:$1048576,$A151-1,COLUMN('1-DATA'!AQ150)),ROUND(INDEX('1-DATA'!$1:$1048576,IF(OR($B152="STD. DEVIATION",$C$1=1),$A152,$A152+1),COLUMN('1-DATA'!AQ150)),IF($B152="STD. DEVIATION",2,$F$1))))</f>
        <v/>
      </c>
      <c r="AS152" s="1" t="str">
        <f>IF(OR($B152="",AS$7=""),"",IF($B152="MEANS",INDEX('1-DATA'!$1:$1048576,$A151-1,COLUMN('1-DATA'!AR150)),ROUND(INDEX('1-DATA'!$1:$1048576,IF(OR($B152="STD. DEVIATION",$C$1=1),$A152,$A152+1),COLUMN('1-DATA'!AR150)),IF($B152="STD. DEVIATION",2,$F$1))))</f>
        <v/>
      </c>
      <c r="AT152" s="1" t="str">
        <f>IF(OR($B152="",AT$7=""),"",IF($B152="MEANS",INDEX('1-DATA'!$1:$1048576,$A151-1,COLUMN('1-DATA'!AS150)),ROUND(INDEX('1-DATA'!$1:$1048576,IF(OR($B152="STD. DEVIATION",$C$1=1),$A152,$A152+1),COLUMN('1-DATA'!AS150)),IF($B152="STD. DEVIATION",2,$F$1))))</f>
        <v/>
      </c>
      <c r="AU152" s="1" t="str">
        <f>IF(OR($B152="",AU$7=""),"",IF($B152="MEANS",INDEX('1-DATA'!$1:$1048576,$A151-1,COLUMN('1-DATA'!AT150)),ROUND(INDEX('1-DATA'!$1:$1048576,IF(OR($B152="STD. DEVIATION",$C$1=1),$A152,$A152+1),COLUMN('1-DATA'!AT150)),IF($B152="STD. DEVIATION",2,$F$1))))</f>
        <v/>
      </c>
      <c r="AV152" s="1" t="str">
        <f>IF(OR($B152="",AV$7=""),"",IF($B152="MEANS",INDEX('1-DATA'!$1:$1048576,$A151-1,COLUMN('1-DATA'!AU150)),ROUND(INDEX('1-DATA'!$1:$1048576,IF(OR($B152="STD. DEVIATION",$C$1=1),$A152,$A152+1),COLUMN('1-DATA'!AU150)),IF($B152="STD. DEVIATION",2,$F$1))))</f>
        <v/>
      </c>
      <c r="AW152" s="1" t="str">
        <f>IF(OR($B152="",AW$7=""),"",IF($B152="MEANS",INDEX('1-DATA'!$1:$1048576,$A151-1,COLUMN('1-DATA'!AV150)),ROUND(INDEX('1-DATA'!$1:$1048576,IF(OR($B152="STD. DEVIATION",$C$1=1),$A152,$A152+1),COLUMN('1-DATA'!AV150)),IF($B152="STD. DEVIATION",2,$F$1))))</f>
        <v/>
      </c>
      <c r="AX152" s="1" t="str">
        <f>IF(OR($B152="",AX$7=""),"",IF($B152="MEANS",INDEX('1-DATA'!$1:$1048576,$A151-1,COLUMN('1-DATA'!AW150)),ROUND(INDEX('1-DATA'!$1:$1048576,IF(OR($B152="STD. DEVIATION",$C$1=1),$A152,$A152+1),COLUMN('1-DATA'!AW150)),IF($B152="STD. DEVIATION",2,$F$1))))</f>
        <v/>
      </c>
      <c r="AY152" s="1" t="str">
        <f>IF(OR($B152="",AY$7=""),"",IF($B152="MEANS",INDEX('1-DATA'!$1:$1048576,$A151-1,COLUMN('1-DATA'!AX150)),ROUND(INDEX('1-DATA'!$1:$1048576,IF(OR($B152="STD. DEVIATION",$C$1=1),$A152,$A152+1),COLUMN('1-DATA'!AX150)),IF($B152="STD. DEVIATION",2,$F$1))))</f>
        <v/>
      </c>
      <c r="AZ152" s="1" t="str">
        <f>IF(OR($B152="",AZ$7=""),"",IF($B152="MEANS",INDEX('1-DATA'!$1:$1048576,$A151-1,COLUMN('1-DATA'!AY150)),ROUND(INDEX('1-DATA'!$1:$1048576,IF(OR($B152="STD. DEVIATION",$C$1=1),$A152,$A152+1),COLUMN('1-DATA'!AY150)),IF($B152="STD. DEVIATION",2,$F$1))))</f>
        <v/>
      </c>
    </row>
    <row r="153" spans="1:52" x14ac:dyDescent="0.25">
      <c r="A153" s="11">
        <f t="shared" si="2"/>
        <v>445</v>
      </c>
      <c r="B153" s="1" t="str">
        <f>IF(B152="STD. DEVIATION",INDEX('1-DATA'!$1:$1048576,$A152-1,1),IF(INDEX('1-DATA'!$1:$1048576,$A153,1)&lt;&gt;"",INDEX('1-DATA'!$1:$1048576,$A153,1),""))</f>
        <v/>
      </c>
      <c r="C153" s="1" t="str">
        <f>IF(OR($B153="",C$7=""),"",IF($B153="MEANS",INDEX('1-DATA'!$1:$1048576,$A152-1,COLUMN('1-DATA'!B151)),ROUND(INDEX('1-DATA'!$1:$1048576,IF(OR($B153="STD. DEVIATION",$C$1=1),$A153,$A153+1),COLUMN('1-DATA'!B151)),IF($B153="STD. DEVIATION",2,$F$1))))</f>
        <v/>
      </c>
      <c r="D153" s="1" t="str">
        <f>IF(OR($B153="",D$7=""),"",IF($B153="MEANS",INDEX('1-DATA'!$1:$1048576,$A152-1,COLUMN('1-DATA'!C151)),ROUND(INDEX('1-DATA'!$1:$1048576,IF(OR($B153="STD. DEVIATION",$C$1=1),$A153,$A153+1),COLUMN('1-DATA'!C151)),IF($B153="STD. DEVIATION",2,$F$1))))</f>
        <v/>
      </c>
      <c r="E153" s="1" t="str">
        <f>IF(OR($B153="",E$7=""),"",IF($B153="MEANS",INDEX('1-DATA'!$1:$1048576,$A152-1,COLUMN('1-DATA'!D151)),ROUND(INDEX('1-DATA'!$1:$1048576,IF(OR($B153="STD. DEVIATION",$C$1=1),$A153,$A153+1),COLUMN('1-DATA'!D151)),IF($B153="STD. DEVIATION",2,$F$1))))</f>
        <v/>
      </c>
      <c r="F153" s="1" t="str">
        <f>IF(OR($B153="",F$7=""),"",IF($B153="MEANS",INDEX('1-DATA'!$1:$1048576,$A152-1,COLUMN('1-DATA'!E151)),ROUND(INDEX('1-DATA'!$1:$1048576,IF(OR($B153="STD. DEVIATION",$C$1=1),$A153,$A153+1),COLUMN('1-DATA'!E151)),IF($B153="STD. DEVIATION",2,$F$1))))</f>
        <v/>
      </c>
      <c r="G153" s="1" t="str">
        <f>IF(OR($B153="",G$7=""),"",IF($B153="MEANS",INDEX('1-DATA'!$1:$1048576,$A152-1,COLUMN('1-DATA'!F151)),ROUND(INDEX('1-DATA'!$1:$1048576,IF(OR($B153="STD. DEVIATION",$C$1=1),$A153,$A153+1),COLUMN('1-DATA'!F151)),IF($B153="STD. DEVIATION",2,$F$1))))</f>
        <v/>
      </c>
      <c r="H153" s="1" t="str">
        <f>IF(OR($B153="",H$7=""),"",IF($B153="MEANS",INDEX('1-DATA'!$1:$1048576,$A152-1,COLUMN('1-DATA'!G151)),ROUND(INDEX('1-DATA'!$1:$1048576,IF(OR($B153="STD. DEVIATION",$C$1=1),$A153,$A153+1),COLUMN('1-DATA'!G151)),IF($B153="STD. DEVIATION",2,$F$1))))</f>
        <v/>
      </c>
      <c r="I153" s="1" t="str">
        <f>IF(OR($B153="",I$7=""),"",IF($B153="MEANS",INDEX('1-DATA'!$1:$1048576,$A152-1,COLUMN('1-DATA'!H151)),ROUND(INDEX('1-DATA'!$1:$1048576,IF(OR($B153="STD. DEVIATION",$C$1=1),$A153,$A153+1),COLUMN('1-DATA'!H151)),IF($B153="STD. DEVIATION",2,$F$1))))</f>
        <v/>
      </c>
      <c r="J153" s="1" t="str">
        <f>IF(OR($B153="",J$7=""),"",IF($B153="MEANS",INDEX('1-DATA'!$1:$1048576,$A152-1,COLUMN('1-DATA'!I151)),ROUND(INDEX('1-DATA'!$1:$1048576,IF(OR($B153="STD. DEVIATION",$C$1=1),$A153,$A153+1),COLUMN('1-DATA'!I151)),IF($B153="STD. DEVIATION",2,$F$1))))</f>
        <v/>
      </c>
      <c r="K153" s="1" t="str">
        <f>IF(OR($B153="",K$7=""),"",IF($B153="MEANS",INDEX('1-DATA'!$1:$1048576,$A152-1,COLUMN('1-DATA'!J151)),ROUND(INDEX('1-DATA'!$1:$1048576,IF(OR($B153="STD. DEVIATION",$C$1=1),$A153,$A153+1),COLUMN('1-DATA'!J151)),IF($B153="STD. DEVIATION",2,$F$1))))</f>
        <v/>
      </c>
      <c r="L153" s="1" t="str">
        <f>IF(OR($B153="",L$7=""),"",IF($B153="MEANS",INDEX('1-DATA'!$1:$1048576,$A152-1,COLUMN('1-DATA'!K151)),ROUND(INDEX('1-DATA'!$1:$1048576,IF(OR($B153="STD. DEVIATION",$C$1=1),$A153,$A153+1),COLUMN('1-DATA'!K151)),IF($B153="STD. DEVIATION",2,$F$1))))</f>
        <v/>
      </c>
      <c r="M153" s="1" t="str">
        <f>IF(OR($B153="",M$7=""),"",IF($B153="MEANS",INDEX('1-DATA'!$1:$1048576,$A152-1,COLUMN('1-DATA'!L151)),ROUND(INDEX('1-DATA'!$1:$1048576,IF(OR($B153="STD. DEVIATION",$C$1=1),$A153,$A153+1),COLUMN('1-DATA'!L151)),IF($B153="STD. DEVIATION",2,$F$1))))</f>
        <v/>
      </c>
      <c r="N153" s="1" t="str">
        <f>IF(OR($B153="",N$7=""),"",IF($B153="MEANS",INDEX('1-DATA'!$1:$1048576,$A152-1,COLUMN('1-DATA'!M151)),ROUND(INDEX('1-DATA'!$1:$1048576,IF(OR($B153="STD. DEVIATION",$C$1=1),$A153,$A153+1),COLUMN('1-DATA'!M151)),IF($B153="STD. DEVIATION",2,$F$1))))</f>
        <v/>
      </c>
      <c r="O153" s="1" t="str">
        <f>IF(OR($B153="",O$7=""),"",IF($B153="MEANS",INDEX('1-DATA'!$1:$1048576,$A152-1,COLUMN('1-DATA'!N151)),ROUND(INDEX('1-DATA'!$1:$1048576,IF(OR($B153="STD. DEVIATION",$C$1=1),$A153,$A153+1),COLUMN('1-DATA'!N151)),IF($B153="STD. DEVIATION",2,$F$1))))</f>
        <v/>
      </c>
      <c r="P153" s="1" t="str">
        <f>IF(OR($B153="",P$7=""),"",IF($B153="MEANS",INDEX('1-DATA'!$1:$1048576,$A152-1,COLUMN('1-DATA'!O151)),ROUND(INDEX('1-DATA'!$1:$1048576,IF(OR($B153="STD. DEVIATION",$C$1=1),$A153,$A153+1),COLUMN('1-DATA'!O151)),IF($B153="STD. DEVIATION",2,$F$1))))</f>
        <v/>
      </c>
      <c r="Q153" s="1" t="str">
        <f>IF(OR($B153="",Q$7=""),"",IF($B153="MEANS",INDEX('1-DATA'!$1:$1048576,$A152-1,COLUMN('1-DATA'!P151)),ROUND(INDEX('1-DATA'!$1:$1048576,IF(OR($B153="STD. DEVIATION",$C$1=1),$A153,$A153+1),COLUMN('1-DATA'!P151)),IF($B153="STD. DEVIATION",2,$F$1))))</f>
        <v/>
      </c>
      <c r="R153" s="1" t="str">
        <f>IF(OR($B153="",R$7=""),"",IF($B153="MEANS",INDEX('1-DATA'!$1:$1048576,$A152-1,COLUMN('1-DATA'!Q151)),ROUND(INDEX('1-DATA'!$1:$1048576,IF(OR($B153="STD. DEVIATION",$C$1=1),$A153,$A153+1),COLUMN('1-DATA'!Q151)),IF($B153="STD. DEVIATION",2,$F$1))))</f>
        <v/>
      </c>
      <c r="S153" s="1" t="str">
        <f>IF(OR($B153="",S$7=""),"",IF($B153="MEANS",INDEX('1-DATA'!$1:$1048576,$A152-1,COLUMN('1-DATA'!R151)),ROUND(INDEX('1-DATA'!$1:$1048576,IF(OR($B153="STD. DEVIATION",$C$1=1),$A153,$A153+1),COLUMN('1-DATA'!R151)),IF($B153="STD. DEVIATION",2,$F$1))))</f>
        <v/>
      </c>
      <c r="T153" s="1" t="str">
        <f>IF(OR($B153="",T$7=""),"",IF($B153="MEANS",INDEX('1-DATA'!$1:$1048576,$A152-1,COLUMN('1-DATA'!S151)),ROUND(INDEX('1-DATA'!$1:$1048576,IF(OR($B153="STD. DEVIATION",$C$1=1),$A153,$A153+1),COLUMN('1-DATA'!S151)),IF($B153="STD. DEVIATION",2,$F$1))))</f>
        <v/>
      </c>
      <c r="U153" s="1" t="str">
        <f>IF(OR($B153="",U$7=""),"",IF($B153="MEANS",INDEX('1-DATA'!$1:$1048576,$A152-1,COLUMN('1-DATA'!T151)),ROUND(INDEX('1-DATA'!$1:$1048576,IF(OR($B153="STD. DEVIATION",$C$1=1),$A153,$A153+1),COLUMN('1-DATA'!T151)),IF($B153="STD. DEVIATION",2,$F$1))))</f>
        <v/>
      </c>
      <c r="V153" s="1" t="str">
        <f>IF(OR($B153="",V$7=""),"",IF($B153="MEANS",INDEX('1-DATA'!$1:$1048576,$A152-1,COLUMN('1-DATA'!U151)),ROUND(INDEX('1-DATA'!$1:$1048576,IF(OR($B153="STD. DEVIATION",$C$1=1),$A153,$A153+1),COLUMN('1-DATA'!U151)),IF($B153="STD. DEVIATION",2,$F$1))))</f>
        <v/>
      </c>
      <c r="W153" s="1" t="str">
        <f>IF(OR($B153="",W$7=""),"",IF($B153="MEANS",INDEX('1-DATA'!$1:$1048576,$A152-1,COLUMN('1-DATA'!V151)),ROUND(INDEX('1-DATA'!$1:$1048576,IF(OR($B153="STD. DEVIATION",$C$1=1),$A153,$A153+1),COLUMN('1-DATA'!V151)),IF($B153="STD. DEVIATION",2,$F$1))))</f>
        <v/>
      </c>
      <c r="X153" s="1" t="str">
        <f>IF(OR($B153="",X$7=""),"",IF($B153="MEANS",INDEX('1-DATA'!$1:$1048576,$A152-1,COLUMN('1-DATA'!W151)),ROUND(INDEX('1-DATA'!$1:$1048576,IF(OR($B153="STD. DEVIATION",$C$1=1),$A153,$A153+1),COLUMN('1-DATA'!W151)),IF($B153="STD. DEVIATION",2,$F$1))))</f>
        <v/>
      </c>
      <c r="Y153" s="1" t="str">
        <f>IF(OR($B153="",Y$7=""),"",IF($B153="MEANS",INDEX('1-DATA'!$1:$1048576,$A152-1,COLUMN('1-DATA'!X151)),ROUND(INDEX('1-DATA'!$1:$1048576,IF(OR($B153="STD. DEVIATION",$C$1=1),$A153,$A153+1),COLUMN('1-DATA'!X151)),IF($B153="STD. DEVIATION",2,$F$1))))</f>
        <v/>
      </c>
      <c r="Z153" s="1" t="str">
        <f>IF(OR($B153="",Z$7=""),"",IF($B153="MEANS",INDEX('1-DATA'!$1:$1048576,$A152-1,COLUMN('1-DATA'!Y151)),ROUND(INDEX('1-DATA'!$1:$1048576,IF(OR($B153="STD. DEVIATION",$C$1=1),$A153,$A153+1),COLUMN('1-DATA'!Y151)),IF($B153="STD. DEVIATION",2,$F$1))))</f>
        <v/>
      </c>
      <c r="AA153" s="1" t="str">
        <f>IF(OR($B153="",AA$7=""),"",IF($B153="MEANS",INDEX('1-DATA'!$1:$1048576,$A152-1,COLUMN('1-DATA'!Z151)),ROUND(INDEX('1-DATA'!$1:$1048576,IF(OR($B153="STD. DEVIATION",$C$1=1),$A153,$A153+1),COLUMN('1-DATA'!Z151)),IF($B153="STD. DEVIATION",2,$F$1))))</f>
        <v/>
      </c>
      <c r="AB153" s="1" t="str">
        <f>IF(OR($B153="",AB$7=""),"",IF($B153="MEANS",INDEX('1-DATA'!$1:$1048576,$A152-1,COLUMN('1-DATA'!AA151)),ROUND(INDEX('1-DATA'!$1:$1048576,IF(OR($B153="STD. DEVIATION",$C$1=1),$A153,$A153+1),COLUMN('1-DATA'!AA151)),IF($B153="STD. DEVIATION",2,$F$1))))</f>
        <v/>
      </c>
      <c r="AC153" s="1" t="str">
        <f>IF(OR($B153="",AC$7=""),"",IF($B153="MEANS",INDEX('1-DATA'!$1:$1048576,$A152-1,COLUMN('1-DATA'!AB151)),ROUND(INDEX('1-DATA'!$1:$1048576,IF(OR($B153="STD. DEVIATION",$C$1=1),$A153,$A153+1),COLUMN('1-DATA'!AB151)),IF($B153="STD. DEVIATION",2,$F$1))))</f>
        <v/>
      </c>
      <c r="AD153" s="1" t="str">
        <f>IF(OR($B153="",AD$7=""),"",IF($B153="MEANS",INDEX('1-DATA'!$1:$1048576,$A152-1,COLUMN('1-DATA'!AC151)),ROUND(INDEX('1-DATA'!$1:$1048576,IF(OR($B153="STD. DEVIATION",$C$1=1),$A153,$A153+1),COLUMN('1-DATA'!AC151)),IF($B153="STD. DEVIATION",2,$F$1))))</f>
        <v/>
      </c>
      <c r="AE153" s="1" t="str">
        <f>IF(OR($B153="",AE$7=""),"",IF($B153="MEANS",INDEX('1-DATA'!$1:$1048576,$A152-1,COLUMN('1-DATA'!AD151)),ROUND(INDEX('1-DATA'!$1:$1048576,IF(OR($B153="STD. DEVIATION",$C$1=1),$A153,$A153+1),COLUMN('1-DATA'!AD151)),IF($B153="STD. DEVIATION",2,$F$1))))</f>
        <v/>
      </c>
      <c r="AF153" s="1" t="str">
        <f>IF(OR($B153="",AF$7=""),"",IF($B153="MEANS",INDEX('1-DATA'!$1:$1048576,$A152-1,COLUMN('1-DATA'!AE151)),ROUND(INDEX('1-DATA'!$1:$1048576,IF(OR($B153="STD. DEVIATION",$C$1=1),$A153,$A153+1),COLUMN('1-DATA'!AE151)),IF($B153="STD. DEVIATION",2,$F$1))))</f>
        <v/>
      </c>
      <c r="AG153" s="1" t="str">
        <f>IF(OR($B153="",AG$7=""),"",IF($B153="MEANS",INDEX('1-DATA'!$1:$1048576,$A152-1,COLUMN('1-DATA'!AF151)),ROUND(INDEX('1-DATA'!$1:$1048576,IF(OR($B153="STD. DEVIATION",$C$1=1),$A153,$A153+1),COLUMN('1-DATA'!AF151)),IF($B153="STD. DEVIATION",2,$F$1))))</f>
        <v/>
      </c>
      <c r="AH153" s="1" t="str">
        <f>IF(OR($B153="",AH$7=""),"",IF($B153="MEANS",INDEX('1-DATA'!$1:$1048576,$A152-1,COLUMN('1-DATA'!AG151)),ROUND(INDEX('1-DATA'!$1:$1048576,IF(OR($B153="STD. DEVIATION",$C$1=1),$A153,$A153+1),COLUMN('1-DATA'!AG151)),IF($B153="STD. DEVIATION",2,$F$1))))</f>
        <v/>
      </c>
      <c r="AI153" s="1" t="str">
        <f>IF(OR($B153="",AI$7=""),"",IF($B153="MEANS",INDEX('1-DATA'!$1:$1048576,$A152-1,COLUMN('1-DATA'!AH151)),ROUND(INDEX('1-DATA'!$1:$1048576,IF(OR($B153="STD. DEVIATION",$C$1=1),$A153,$A153+1),COLUMN('1-DATA'!AH151)),IF($B153="STD. DEVIATION",2,$F$1))))</f>
        <v/>
      </c>
      <c r="AJ153" s="1" t="str">
        <f>IF(OR($B153="",AJ$7=""),"",IF($B153="MEANS",INDEX('1-DATA'!$1:$1048576,$A152-1,COLUMN('1-DATA'!AI151)),ROUND(INDEX('1-DATA'!$1:$1048576,IF(OR($B153="STD. DEVIATION",$C$1=1),$A153,$A153+1),COLUMN('1-DATA'!AI151)),IF($B153="STD. DEVIATION",2,$F$1))))</f>
        <v/>
      </c>
      <c r="AK153" s="1" t="str">
        <f>IF(OR($B153="",AK$7=""),"",IF($B153="MEANS",INDEX('1-DATA'!$1:$1048576,$A152-1,COLUMN('1-DATA'!AJ151)),ROUND(INDEX('1-DATA'!$1:$1048576,IF(OR($B153="STD. DEVIATION",$C$1=1),$A153,$A153+1),COLUMN('1-DATA'!AJ151)),IF($B153="STD. DEVIATION",2,$F$1))))</f>
        <v/>
      </c>
      <c r="AL153" s="1" t="str">
        <f>IF(OR($B153="",AL$7=""),"",IF($B153="MEANS",INDEX('1-DATA'!$1:$1048576,$A152-1,COLUMN('1-DATA'!AK151)),ROUND(INDEX('1-DATA'!$1:$1048576,IF(OR($B153="STD. DEVIATION",$C$1=1),$A153,$A153+1),COLUMN('1-DATA'!AK151)),IF($B153="STD. DEVIATION",2,$F$1))))</f>
        <v/>
      </c>
      <c r="AM153" s="1" t="str">
        <f>IF(OR($B153="",AM$7=""),"",IF($B153="MEANS",INDEX('1-DATA'!$1:$1048576,$A152-1,COLUMN('1-DATA'!AL151)),ROUND(INDEX('1-DATA'!$1:$1048576,IF(OR($B153="STD. DEVIATION",$C$1=1),$A153,$A153+1),COLUMN('1-DATA'!AL151)),IF($B153="STD. DEVIATION",2,$F$1))))</f>
        <v/>
      </c>
      <c r="AN153" s="1" t="str">
        <f>IF(OR($B153="",AN$7=""),"",IF($B153="MEANS",INDEX('1-DATA'!$1:$1048576,$A152-1,COLUMN('1-DATA'!AM151)),ROUND(INDEX('1-DATA'!$1:$1048576,IF(OR($B153="STD. DEVIATION",$C$1=1),$A153,$A153+1),COLUMN('1-DATA'!AM151)),IF($B153="STD. DEVIATION",2,$F$1))))</f>
        <v/>
      </c>
      <c r="AO153" s="1" t="str">
        <f>IF(OR($B153="",AO$7=""),"",IF($B153="MEANS",INDEX('1-DATA'!$1:$1048576,$A152-1,COLUMN('1-DATA'!AN151)),ROUND(INDEX('1-DATA'!$1:$1048576,IF(OR($B153="STD. DEVIATION",$C$1=1),$A153,$A153+1),COLUMN('1-DATA'!AN151)),IF($B153="STD. DEVIATION",2,$F$1))))</f>
        <v/>
      </c>
      <c r="AP153" s="1" t="str">
        <f>IF(OR($B153="",AP$7=""),"",IF($B153="MEANS",INDEX('1-DATA'!$1:$1048576,$A152-1,COLUMN('1-DATA'!AO151)),ROUND(INDEX('1-DATA'!$1:$1048576,IF(OR($B153="STD. DEVIATION",$C$1=1),$A153,$A153+1),COLUMN('1-DATA'!AO151)),IF($B153="STD. DEVIATION",2,$F$1))))</f>
        <v/>
      </c>
      <c r="AQ153" s="1" t="str">
        <f>IF(OR($B153="",AQ$7=""),"",IF($B153="MEANS",INDEX('1-DATA'!$1:$1048576,$A152-1,COLUMN('1-DATA'!AP151)),ROUND(INDEX('1-DATA'!$1:$1048576,IF(OR($B153="STD. DEVIATION",$C$1=1),$A153,$A153+1),COLUMN('1-DATA'!AP151)),IF($B153="STD. DEVIATION",2,$F$1))))</f>
        <v/>
      </c>
      <c r="AR153" s="1" t="str">
        <f>IF(OR($B153="",AR$7=""),"",IF($B153="MEANS",INDEX('1-DATA'!$1:$1048576,$A152-1,COLUMN('1-DATA'!AQ151)),ROUND(INDEX('1-DATA'!$1:$1048576,IF(OR($B153="STD. DEVIATION",$C$1=1),$A153,$A153+1),COLUMN('1-DATA'!AQ151)),IF($B153="STD. DEVIATION",2,$F$1))))</f>
        <v/>
      </c>
      <c r="AS153" s="1" t="str">
        <f>IF(OR($B153="",AS$7=""),"",IF($B153="MEANS",INDEX('1-DATA'!$1:$1048576,$A152-1,COLUMN('1-DATA'!AR151)),ROUND(INDEX('1-DATA'!$1:$1048576,IF(OR($B153="STD. DEVIATION",$C$1=1),$A153,$A153+1),COLUMN('1-DATA'!AR151)),IF($B153="STD. DEVIATION",2,$F$1))))</f>
        <v/>
      </c>
      <c r="AT153" s="1" t="str">
        <f>IF(OR($B153="",AT$7=""),"",IF($B153="MEANS",INDEX('1-DATA'!$1:$1048576,$A152-1,COLUMN('1-DATA'!AS151)),ROUND(INDEX('1-DATA'!$1:$1048576,IF(OR($B153="STD. DEVIATION",$C$1=1),$A153,$A153+1),COLUMN('1-DATA'!AS151)),IF($B153="STD. DEVIATION",2,$F$1))))</f>
        <v/>
      </c>
      <c r="AU153" s="1" t="str">
        <f>IF(OR($B153="",AU$7=""),"",IF($B153="MEANS",INDEX('1-DATA'!$1:$1048576,$A152-1,COLUMN('1-DATA'!AT151)),ROUND(INDEX('1-DATA'!$1:$1048576,IF(OR($B153="STD. DEVIATION",$C$1=1),$A153,$A153+1),COLUMN('1-DATA'!AT151)),IF($B153="STD. DEVIATION",2,$F$1))))</f>
        <v/>
      </c>
      <c r="AV153" s="1" t="str">
        <f>IF(OR($B153="",AV$7=""),"",IF($B153="MEANS",INDEX('1-DATA'!$1:$1048576,$A152-1,COLUMN('1-DATA'!AU151)),ROUND(INDEX('1-DATA'!$1:$1048576,IF(OR($B153="STD. DEVIATION",$C$1=1),$A153,$A153+1),COLUMN('1-DATA'!AU151)),IF($B153="STD. DEVIATION",2,$F$1))))</f>
        <v/>
      </c>
      <c r="AW153" s="1" t="str">
        <f>IF(OR($B153="",AW$7=""),"",IF($B153="MEANS",INDEX('1-DATA'!$1:$1048576,$A152-1,COLUMN('1-DATA'!AV151)),ROUND(INDEX('1-DATA'!$1:$1048576,IF(OR($B153="STD. DEVIATION",$C$1=1),$A153,$A153+1),COLUMN('1-DATA'!AV151)),IF($B153="STD. DEVIATION",2,$F$1))))</f>
        <v/>
      </c>
      <c r="AX153" s="1" t="str">
        <f>IF(OR($B153="",AX$7=""),"",IF($B153="MEANS",INDEX('1-DATA'!$1:$1048576,$A152-1,COLUMN('1-DATA'!AW151)),ROUND(INDEX('1-DATA'!$1:$1048576,IF(OR($B153="STD. DEVIATION",$C$1=1),$A153,$A153+1),COLUMN('1-DATA'!AW151)),IF($B153="STD. DEVIATION",2,$F$1))))</f>
        <v/>
      </c>
      <c r="AY153" s="1" t="str">
        <f>IF(OR($B153="",AY$7=""),"",IF($B153="MEANS",INDEX('1-DATA'!$1:$1048576,$A152-1,COLUMN('1-DATA'!AX151)),ROUND(INDEX('1-DATA'!$1:$1048576,IF(OR($B153="STD. DEVIATION",$C$1=1),$A153,$A153+1),COLUMN('1-DATA'!AX151)),IF($B153="STD. DEVIATION",2,$F$1))))</f>
        <v/>
      </c>
      <c r="AZ153" s="1" t="str">
        <f>IF(OR($B153="",AZ$7=""),"",IF($B153="MEANS",INDEX('1-DATA'!$1:$1048576,$A152-1,COLUMN('1-DATA'!AY151)),ROUND(INDEX('1-DATA'!$1:$1048576,IF(OR($B153="STD. DEVIATION",$C$1=1),$A153,$A153+1),COLUMN('1-DATA'!AY151)),IF($B153="STD. DEVIATION",2,$F$1))))</f>
        <v/>
      </c>
    </row>
    <row r="154" spans="1:52" x14ac:dyDescent="0.25">
      <c r="A154" s="11">
        <f t="shared" si="2"/>
        <v>448</v>
      </c>
      <c r="B154" s="1" t="str">
        <f>IF(B153="STD. DEVIATION",INDEX('1-DATA'!$1:$1048576,$A153-1,1),IF(INDEX('1-DATA'!$1:$1048576,$A154,1)&lt;&gt;"",INDEX('1-DATA'!$1:$1048576,$A154,1),""))</f>
        <v/>
      </c>
      <c r="C154" s="1" t="str">
        <f>IF(OR($B154="",C$7=""),"",IF($B154="MEANS",INDEX('1-DATA'!$1:$1048576,$A153-1,COLUMN('1-DATA'!B152)),ROUND(INDEX('1-DATA'!$1:$1048576,IF(OR($B154="STD. DEVIATION",$C$1=1),$A154,$A154+1),COLUMN('1-DATA'!B152)),IF($B154="STD. DEVIATION",2,$F$1))))</f>
        <v/>
      </c>
      <c r="D154" s="1" t="str">
        <f>IF(OR($B154="",D$7=""),"",IF($B154="MEANS",INDEX('1-DATA'!$1:$1048576,$A153-1,COLUMN('1-DATA'!C152)),ROUND(INDEX('1-DATA'!$1:$1048576,IF(OR($B154="STD. DEVIATION",$C$1=1),$A154,$A154+1),COLUMN('1-DATA'!C152)),IF($B154="STD. DEVIATION",2,$F$1))))</f>
        <v/>
      </c>
      <c r="E154" s="1" t="str">
        <f>IF(OR($B154="",E$7=""),"",IF($B154="MEANS",INDEX('1-DATA'!$1:$1048576,$A153-1,COLUMN('1-DATA'!D152)),ROUND(INDEX('1-DATA'!$1:$1048576,IF(OR($B154="STD. DEVIATION",$C$1=1),$A154,$A154+1),COLUMN('1-DATA'!D152)),IF($B154="STD. DEVIATION",2,$F$1))))</f>
        <v/>
      </c>
      <c r="F154" s="1" t="str">
        <f>IF(OR($B154="",F$7=""),"",IF($B154="MEANS",INDEX('1-DATA'!$1:$1048576,$A153-1,COLUMN('1-DATA'!E152)),ROUND(INDEX('1-DATA'!$1:$1048576,IF(OR($B154="STD. DEVIATION",$C$1=1),$A154,$A154+1),COLUMN('1-DATA'!E152)),IF($B154="STD. DEVIATION",2,$F$1))))</f>
        <v/>
      </c>
      <c r="G154" s="1" t="str">
        <f>IF(OR($B154="",G$7=""),"",IF($B154="MEANS",INDEX('1-DATA'!$1:$1048576,$A153-1,COLUMN('1-DATA'!F152)),ROUND(INDEX('1-DATA'!$1:$1048576,IF(OR($B154="STD. DEVIATION",$C$1=1),$A154,$A154+1),COLUMN('1-DATA'!F152)),IF($B154="STD. DEVIATION",2,$F$1))))</f>
        <v/>
      </c>
      <c r="H154" s="1" t="str">
        <f>IF(OR($B154="",H$7=""),"",IF($B154="MEANS",INDEX('1-DATA'!$1:$1048576,$A153-1,COLUMN('1-DATA'!G152)),ROUND(INDEX('1-DATA'!$1:$1048576,IF(OR($B154="STD. DEVIATION",$C$1=1),$A154,$A154+1),COLUMN('1-DATA'!G152)),IF($B154="STD. DEVIATION",2,$F$1))))</f>
        <v/>
      </c>
      <c r="I154" s="1" t="str">
        <f>IF(OR($B154="",I$7=""),"",IF($B154="MEANS",INDEX('1-DATA'!$1:$1048576,$A153-1,COLUMN('1-DATA'!H152)),ROUND(INDEX('1-DATA'!$1:$1048576,IF(OR($B154="STD. DEVIATION",$C$1=1),$A154,$A154+1),COLUMN('1-DATA'!H152)),IF($B154="STD. DEVIATION",2,$F$1))))</f>
        <v/>
      </c>
      <c r="J154" s="1" t="str">
        <f>IF(OR($B154="",J$7=""),"",IF($B154="MEANS",INDEX('1-DATA'!$1:$1048576,$A153-1,COLUMN('1-DATA'!I152)),ROUND(INDEX('1-DATA'!$1:$1048576,IF(OR($B154="STD. DEVIATION",$C$1=1),$A154,$A154+1),COLUMN('1-DATA'!I152)),IF($B154="STD. DEVIATION",2,$F$1))))</f>
        <v/>
      </c>
      <c r="K154" s="1" t="str">
        <f>IF(OR($B154="",K$7=""),"",IF($B154="MEANS",INDEX('1-DATA'!$1:$1048576,$A153-1,COLUMN('1-DATA'!J152)),ROUND(INDEX('1-DATA'!$1:$1048576,IF(OR($B154="STD. DEVIATION",$C$1=1),$A154,$A154+1),COLUMN('1-DATA'!J152)),IF($B154="STD. DEVIATION",2,$F$1))))</f>
        <v/>
      </c>
      <c r="L154" s="1" t="str">
        <f>IF(OR($B154="",L$7=""),"",IF($B154="MEANS",INDEX('1-DATA'!$1:$1048576,$A153-1,COLUMN('1-DATA'!K152)),ROUND(INDEX('1-DATA'!$1:$1048576,IF(OR($B154="STD. DEVIATION",$C$1=1),$A154,$A154+1),COLUMN('1-DATA'!K152)),IF($B154="STD. DEVIATION",2,$F$1))))</f>
        <v/>
      </c>
      <c r="M154" s="1" t="str">
        <f>IF(OR($B154="",M$7=""),"",IF($B154="MEANS",INDEX('1-DATA'!$1:$1048576,$A153-1,COLUMN('1-DATA'!L152)),ROUND(INDEX('1-DATA'!$1:$1048576,IF(OR($B154="STD. DEVIATION",$C$1=1),$A154,$A154+1),COLUMN('1-DATA'!L152)),IF($B154="STD. DEVIATION",2,$F$1))))</f>
        <v/>
      </c>
      <c r="N154" s="1" t="str">
        <f>IF(OR($B154="",N$7=""),"",IF($B154="MEANS",INDEX('1-DATA'!$1:$1048576,$A153-1,COLUMN('1-DATA'!M152)),ROUND(INDEX('1-DATA'!$1:$1048576,IF(OR($B154="STD. DEVIATION",$C$1=1),$A154,$A154+1),COLUMN('1-DATA'!M152)),IF($B154="STD. DEVIATION",2,$F$1))))</f>
        <v/>
      </c>
      <c r="O154" s="1" t="str">
        <f>IF(OR($B154="",O$7=""),"",IF($B154="MEANS",INDEX('1-DATA'!$1:$1048576,$A153-1,COLUMN('1-DATA'!N152)),ROUND(INDEX('1-DATA'!$1:$1048576,IF(OR($B154="STD. DEVIATION",$C$1=1),$A154,$A154+1),COLUMN('1-DATA'!N152)),IF($B154="STD. DEVIATION",2,$F$1))))</f>
        <v/>
      </c>
      <c r="P154" s="1" t="str">
        <f>IF(OR($B154="",P$7=""),"",IF($B154="MEANS",INDEX('1-DATA'!$1:$1048576,$A153-1,COLUMN('1-DATA'!O152)),ROUND(INDEX('1-DATA'!$1:$1048576,IF(OR($B154="STD. DEVIATION",$C$1=1),$A154,$A154+1),COLUMN('1-DATA'!O152)),IF($B154="STD. DEVIATION",2,$F$1))))</f>
        <v/>
      </c>
      <c r="Q154" s="1" t="str">
        <f>IF(OR($B154="",Q$7=""),"",IF($B154="MEANS",INDEX('1-DATA'!$1:$1048576,$A153-1,COLUMN('1-DATA'!P152)),ROUND(INDEX('1-DATA'!$1:$1048576,IF(OR($B154="STD. DEVIATION",$C$1=1),$A154,$A154+1),COLUMN('1-DATA'!P152)),IF($B154="STD. DEVIATION",2,$F$1))))</f>
        <v/>
      </c>
      <c r="R154" s="1" t="str">
        <f>IF(OR($B154="",R$7=""),"",IF($B154="MEANS",INDEX('1-DATA'!$1:$1048576,$A153-1,COLUMN('1-DATA'!Q152)),ROUND(INDEX('1-DATA'!$1:$1048576,IF(OR($B154="STD. DEVIATION",$C$1=1),$A154,$A154+1),COLUMN('1-DATA'!Q152)),IF($B154="STD. DEVIATION",2,$F$1))))</f>
        <v/>
      </c>
      <c r="S154" s="1" t="str">
        <f>IF(OR($B154="",S$7=""),"",IF($B154="MEANS",INDEX('1-DATA'!$1:$1048576,$A153-1,COLUMN('1-DATA'!R152)),ROUND(INDEX('1-DATA'!$1:$1048576,IF(OR($B154="STD. DEVIATION",$C$1=1),$A154,$A154+1),COLUMN('1-DATA'!R152)),IF($B154="STD. DEVIATION",2,$F$1))))</f>
        <v/>
      </c>
      <c r="T154" s="1" t="str">
        <f>IF(OR($B154="",T$7=""),"",IF($B154="MEANS",INDEX('1-DATA'!$1:$1048576,$A153-1,COLUMN('1-DATA'!S152)),ROUND(INDEX('1-DATA'!$1:$1048576,IF(OR($B154="STD. DEVIATION",$C$1=1),$A154,$A154+1),COLUMN('1-DATA'!S152)),IF($B154="STD. DEVIATION",2,$F$1))))</f>
        <v/>
      </c>
      <c r="U154" s="1" t="str">
        <f>IF(OR($B154="",U$7=""),"",IF($B154="MEANS",INDEX('1-DATA'!$1:$1048576,$A153-1,COLUMN('1-DATA'!T152)),ROUND(INDEX('1-DATA'!$1:$1048576,IF(OR($B154="STD. DEVIATION",$C$1=1),$A154,$A154+1),COLUMN('1-DATA'!T152)),IF($B154="STD. DEVIATION",2,$F$1))))</f>
        <v/>
      </c>
      <c r="V154" s="1" t="str">
        <f>IF(OR($B154="",V$7=""),"",IF($B154="MEANS",INDEX('1-DATA'!$1:$1048576,$A153-1,COLUMN('1-DATA'!U152)),ROUND(INDEX('1-DATA'!$1:$1048576,IF(OR($B154="STD. DEVIATION",$C$1=1),$A154,$A154+1),COLUMN('1-DATA'!U152)),IF($B154="STD. DEVIATION",2,$F$1))))</f>
        <v/>
      </c>
      <c r="W154" s="1" t="str">
        <f>IF(OR($B154="",W$7=""),"",IF($B154="MEANS",INDEX('1-DATA'!$1:$1048576,$A153-1,COLUMN('1-DATA'!V152)),ROUND(INDEX('1-DATA'!$1:$1048576,IF(OR($B154="STD. DEVIATION",$C$1=1),$A154,$A154+1),COLUMN('1-DATA'!V152)),IF($B154="STD. DEVIATION",2,$F$1))))</f>
        <v/>
      </c>
      <c r="X154" s="1" t="str">
        <f>IF(OR($B154="",X$7=""),"",IF($B154="MEANS",INDEX('1-DATA'!$1:$1048576,$A153-1,COLUMN('1-DATA'!W152)),ROUND(INDEX('1-DATA'!$1:$1048576,IF(OR($B154="STD. DEVIATION",$C$1=1),$A154,$A154+1),COLUMN('1-DATA'!W152)),IF($B154="STD. DEVIATION",2,$F$1))))</f>
        <v/>
      </c>
      <c r="Y154" s="1" t="str">
        <f>IF(OR($B154="",Y$7=""),"",IF($B154="MEANS",INDEX('1-DATA'!$1:$1048576,$A153-1,COLUMN('1-DATA'!X152)),ROUND(INDEX('1-DATA'!$1:$1048576,IF(OR($B154="STD. DEVIATION",$C$1=1),$A154,$A154+1),COLUMN('1-DATA'!X152)),IF($B154="STD. DEVIATION",2,$F$1))))</f>
        <v/>
      </c>
      <c r="Z154" s="1" t="str">
        <f>IF(OR($B154="",Z$7=""),"",IF($B154="MEANS",INDEX('1-DATA'!$1:$1048576,$A153-1,COLUMN('1-DATA'!Y152)),ROUND(INDEX('1-DATA'!$1:$1048576,IF(OR($B154="STD. DEVIATION",$C$1=1),$A154,$A154+1),COLUMN('1-DATA'!Y152)),IF($B154="STD. DEVIATION",2,$F$1))))</f>
        <v/>
      </c>
      <c r="AA154" s="1" t="str">
        <f>IF(OR($B154="",AA$7=""),"",IF($B154="MEANS",INDEX('1-DATA'!$1:$1048576,$A153-1,COLUMN('1-DATA'!Z152)),ROUND(INDEX('1-DATA'!$1:$1048576,IF(OR($B154="STD. DEVIATION",$C$1=1),$A154,$A154+1),COLUMN('1-DATA'!Z152)),IF($B154="STD. DEVIATION",2,$F$1))))</f>
        <v/>
      </c>
      <c r="AB154" s="1" t="str">
        <f>IF(OR($B154="",AB$7=""),"",IF($B154="MEANS",INDEX('1-DATA'!$1:$1048576,$A153-1,COLUMN('1-DATA'!AA152)),ROUND(INDEX('1-DATA'!$1:$1048576,IF(OR($B154="STD. DEVIATION",$C$1=1),$A154,$A154+1),COLUMN('1-DATA'!AA152)),IF($B154="STD. DEVIATION",2,$F$1))))</f>
        <v/>
      </c>
      <c r="AC154" s="1" t="str">
        <f>IF(OR($B154="",AC$7=""),"",IF($B154="MEANS",INDEX('1-DATA'!$1:$1048576,$A153-1,COLUMN('1-DATA'!AB152)),ROUND(INDEX('1-DATA'!$1:$1048576,IF(OR($B154="STD. DEVIATION",$C$1=1),$A154,$A154+1),COLUMN('1-DATA'!AB152)),IF($B154="STD. DEVIATION",2,$F$1))))</f>
        <v/>
      </c>
      <c r="AD154" s="1" t="str">
        <f>IF(OR($B154="",AD$7=""),"",IF($B154="MEANS",INDEX('1-DATA'!$1:$1048576,$A153-1,COLUMN('1-DATA'!AC152)),ROUND(INDEX('1-DATA'!$1:$1048576,IF(OR($B154="STD. DEVIATION",$C$1=1),$A154,$A154+1),COLUMN('1-DATA'!AC152)),IF($B154="STD. DEVIATION",2,$F$1))))</f>
        <v/>
      </c>
      <c r="AE154" s="1" t="str">
        <f>IF(OR($B154="",AE$7=""),"",IF($B154="MEANS",INDEX('1-DATA'!$1:$1048576,$A153-1,COLUMN('1-DATA'!AD152)),ROUND(INDEX('1-DATA'!$1:$1048576,IF(OR($B154="STD. DEVIATION",$C$1=1),$A154,$A154+1),COLUMN('1-DATA'!AD152)),IF($B154="STD. DEVIATION",2,$F$1))))</f>
        <v/>
      </c>
      <c r="AF154" s="1" t="str">
        <f>IF(OR($B154="",AF$7=""),"",IF($B154="MEANS",INDEX('1-DATA'!$1:$1048576,$A153-1,COLUMN('1-DATA'!AE152)),ROUND(INDEX('1-DATA'!$1:$1048576,IF(OR($B154="STD. DEVIATION",$C$1=1),$A154,$A154+1),COLUMN('1-DATA'!AE152)),IF($B154="STD. DEVIATION",2,$F$1))))</f>
        <v/>
      </c>
      <c r="AG154" s="1" t="str">
        <f>IF(OR($B154="",AG$7=""),"",IF($B154="MEANS",INDEX('1-DATA'!$1:$1048576,$A153-1,COLUMN('1-DATA'!AF152)),ROUND(INDEX('1-DATA'!$1:$1048576,IF(OR($B154="STD. DEVIATION",$C$1=1),$A154,$A154+1),COLUMN('1-DATA'!AF152)),IF($B154="STD. DEVIATION",2,$F$1))))</f>
        <v/>
      </c>
      <c r="AH154" s="1" t="str">
        <f>IF(OR($B154="",AH$7=""),"",IF($B154="MEANS",INDEX('1-DATA'!$1:$1048576,$A153-1,COLUMN('1-DATA'!AG152)),ROUND(INDEX('1-DATA'!$1:$1048576,IF(OR($B154="STD. DEVIATION",$C$1=1),$A154,$A154+1),COLUMN('1-DATA'!AG152)),IF($B154="STD. DEVIATION",2,$F$1))))</f>
        <v/>
      </c>
      <c r="AI154" s="1" t="str">
        <f>IF(OR($B154="",AI$7=""),"",IF($B154="MEANS",INDEX('1-DATA'!$1:$1048576,$A153-1,COLUMN('1-DATA'!AH152)),ROUND(INDEX('1-DATA'!$1:$1048576,IF(OR($B154="STD. DEVIATION",$C$1=1),$A154,$A154+1),COLUMN('1-DATA'!AH152)),IF($B154="STD. DEVIATION",2,$F$1))))</f>
        <v/>
      </c>
      <c r="AJ154" s="1" t="str">
        <f>IF(OR($B154="",AJ$7=""),"",IF($B154="MEANS",INDEX('1-DATA'!$1:$1048576,$A153-1,COLUMN('1-DATA'!AI152)),ROUND(INDEX('1-DATA'!$1:$1048576,IF(OR($B154="STD. DEVIATION",$C$1=1),$A154,$A154+1),COLUMN('1-DATA'!AI152)),IF($B154="STD. DEVIATION",2,$F$1))))</f>
        <v/>
      </c>
      <c r="AK154" s="1" t="str">
        <f>IF(OR($B154="",AK$7=""),"",IF($B154="MEANS",INDEX('1-DATA'!$1:$1048576,$A153-1,COLUMN('1-DATA'!AJ152)),ROUND(INDEX('1-DATA'!$1:$1048576,IF(OR($B154="STD. DEVIATION",$C$1=1),$A154,$A154+1),COLUMN('1-DATA'!AJ152)),IF($B154="STD. DEVIATION",2,$F$1))))</f>
        <v/>
      </c>
      <c r="AL154" s="1" t="str">
        <f>IF(OR($B154="",AL$7=""),"",IF($B154="MEANS",INDEX('1-DATA'!$1:$1048576,$A153-1,COLUMN('1-DATA'!AK152)),ROUND(INDEX('1-DATA'!$1:$1048576,IF(OR($B154="STD. DEVIATION",$C$1=1),$A154,$A154+1),COLUMN('1-DATA'!AK152)),IF($B154="STD. DEVIATION",2,$F$1))))</f>
        <v/>
      </c>
      <c r="AM154" s="1" t="str">
        <f>IF(OR($B154="",AM$7=""),"",IF($B154="MEANS",INDEX('1-DATA'!$1:$1048576,$A153-1,COLUMN('1-DATA'!AL152)),ROUND(INDEX('1-DATA'!$1:$1048576,IF(OR($B154="STD. DEVIATION",$C$1=1),$A154,$A154+1),COLUMN('1-DATA'!AL152)),IF($B154="STD. DEVIATION",2,$F$1))))</f>
        <v/>
      </c>
      <c r="AN154" s="1" t="str">
        <f>IF(OR($B154="",AN$7=""),"",IF($B154="MEANS",INDEX('1-DATA'!$1:$1048576,$A153-1,COLUMN('1-DATA'!AM152)),ROUND(INDEX('1-DATA'!$1:$1048576,IF(OR($B154="STD. DEVIATION",$C$1=1),$A154,$A154+1),COLUMN('1-DATA'!AM152)),IF($B154="STD. DEVIATION",2,$F$1))))</f>
        <v/>
      </c>
      <c r="AO154" s="1" t="str">
        <f>IF(OR($B154="",AO$7=""),"",IF($B154="MEANS",INDEX('1-DATA'!$1:$1048576,$A153-1,COLUMN('1-DATA'!AN152)),ROUND(INDEX('1-DATA'!$1:$1048576,IF(OR($B154="STD. DEVIATION",$C$1=1),$A154,$A154+1),COLUMN('1-DATA'!AN152)),IF($B154="STD. DEVIATION",2,$F$1))))</f>
        <v/>
      </c>
      <c r="AP154" s="1" t="str">
        <f>IF(OR($B154="",AP$7=""),"",IF($B154="MEANS",INDEX('1-DATA'!$1:$1048576,$A153-1,COLUMN('1-DATA'!AO152)),ROUND(INDEX('1-DATA'!$1:$1048576,IF(OR($B154="STD. DEVIATION",$C$1=1),$A154,$A154+1),COLUMN('1-DATA'!AO152)),IF($B154="STD. DEVIATION",2,$F$1))))</f>
        <v/>
      </c>
      <c r="AQ154" s="1" t="str">
        <f>IF(OR($B154="",AQ$7=""),"",IF($B154="MEANS",INDEX('1-DATA'!$1:$1048576,$A153-1,COLUMN('1-DATA'!AP152)),ROUND(INDEX('1-DATA'!$1:$1048576,IF(OR($B154="STD. DEVIATION",$C$1=1),$A154,$A154+1),COLUMN('1-DATA'!AP152)),IF($B154="STD. DEVIATION",2,$F$1))))</f>
        <v/>
      </c>
      <c r="AR154" s="1" t="str">
        <f>IF(OR($B154="",AR$7=""),"",IF($B154="MEANS",INDEX('1-DATA'!$1:$1048576,$A153-1,COLUMN('1-DATA'!AQ152)),ROUND(INDEX('1-DATA'!$1:$1048576,IF(OR($B154="STD. DEVIATION",$C$1=1),$A154,$A154+1),COLUMN('1-DATA'!AQ152)),IF($B154="STD. DEVIATION",2,$F$1))))</f>
        <v/>
      </c>
      <c r="AS154" s="1" t="str">
        <f>IF(OR($B154="",AS$7=""),"",IF($B154="MEANS",INDEX('1-DATA'!$1:$1048576,$A153-1,COLUMN('1-DATA'!AR152)),ROUND(INDEX('1-DATA'!$1:$1048576,IF(OR($B154="STD. DEVIATION",$C$1=1),$A154,$A154+1),COLUMN('1-DATA'!AR152)),IF($B154="STD. DEVIATION",2,$F$1))))</f>
        <v/>
      </c>
      <c r="AT154" s="1" t="str">
        <f>IF(OR($B154="",AT$7=""),"",IF($B154="MEANS",INDEX('1-DATA'!$1:$1048576,$A153-1,COLUMN('1-DATA'!AS152)),ROUND(INDEX('1-DATA'!$1:$1048576,IF(OR($B154="STD. DEVIATION",$C$1=1),$A154,$A154+1),COLUMN('1-DATA'!AS152)),IF($B154="STD. DEVIATION",2,$F$1))))</f>
        <v/>
      </c>
      <c r="AU154" s="1" t="str">
        <f>IF(OR($B154="",AU$7=""),"",IF($B154="MEANS",INDEX('1-DATA'!$1:$1048576,$A153-1,COLUMN('1-DATA'!AT152)),ROUND(INDEX('1-DATA'!$1:$1048576,IF(OR($B154="STD. DEVIATION",$C$1=1),$A154,$A154+1),COLUMN('1-DATA'!AT152)),IF($B154="STD. DEVIATION",2,$F$1))))</f>
        <v/>
      </c>
      <c r="AV154" s="1" t="str">
        <f>IF(OR($B154="",AV$7=""),"",IF($B154="MEANS",INDEX('1-DATA'!$1:$1048576,$A153-1,COLUMN('1-DATA'!AU152)),ROUND(INDEX('1-DATA'!$1:$1048576,IF(OR($B154="STD. DEVIATION",$C$1=1),$A154,$A154+1),COLUMN('1-DATA'!AU152)),IF($B154="STD. DEVIATION",2,$F$1))))</f>
        <v/>
      </c>
      <c r="AW154" s="1" t="str">
        <f>IF(OR($B154="",AW$7=""),"",IF($B154="MEANS",INDEX('1-DATA'!$1:$1048576,$A153-1,COLUMN('1-DATA'!AV152)),ROUND(INDEX('1-DATA'!$1:$1048576,IF(OR($B154="STD. DEVIATION",$C$1=1),$A154,$A154+1),COLUMN('1-DATA'!AV152)),IF($B154="STD. DEVIATION",2,$F$1))))</f>
        <v/>
      </c>
      <c r="AX154" s="1" t="str">
        <f>IF(OR($B154="",AX$7=""),"",IF($B154="MEANS",INDEX('1-DATA'!$1:$1048576,$A153-1,COLUMN('1-DATA'!AW152)),ROUND(INDEX('1-DATA'!$1:$1048576,IF(OR($B154="STD. DEVIATION",$C$1=1),$A154,$A154+1),COLUMN('1-DATA'!AW152)),IF($B154="STD. DEVIATION",2,$F$1))))</f>
        <v/>
      </c>
      <c r="AY154" s="1" t="str">
        <f>IF(OR($B154="",AY$7=""),"",IF($B154="MEANS",INDEX('1-DATA'!$1:$1048576,$A153-1,COLUMN('1-DATA'!AX152)),ROUND(INDEX('1-DATA'!$1:$1048576,IF(OR($B154="STD. DEVIATION",$C$1=1),$A154,$A154+1),COLUMN('1-DATA'!AX152)),IF($B154="STD. DEVIATION",2,$F$1))))</f>
        <v/>
      </c>
      <c r="AZ154" s="1" t="str">
        <f>IF(OR($B154="",AZ$7=""),"",IF($B154="MEANS",INDEX('1-DATA'!$1:$1048576,$A153-1,COLUMN('1-DATA'!AY152)),ROUND(INDEX('1-DATA'!$1:$1048576,IF(OR($B154="STD. DEVIATION",$C$1=1),$A154,$A154+1),COLUMN('1-DATA'!AY152)),IF($B154="STD. DEVIATION",2,$F$1))))</f>
        <v/>
      </c>
    </row>
    <row r="155" spans="1:52" x14ac:dyDescent="0.25">
      <c r="A155" s="11">
        <f t="shared" si="2"/>
        <v>451</v>
      </c>
      <c r="B155" s="1" t="str">
        <f>IF(B154="STD. DEVIATION",INDEX('1-DATA'!$1:$1048576,$A154-1,1),IF(INDEX('1-DATA'!$1:$1048576,$A155,1)&lt;&gt;"",INDEX('1-DATA'!$1:$1048576,$A155,1),""))</f>
        <v/>
      </c>
      <c r="C155" s="1" t="str">
        <f>IF(OR($B155="",C$7=""),"",IF($B155="MEANS",INDEX('1-DATA'!$1:$1048576,$A154-1,COLUMN('1-DATA'!B153)),ROUND(INDEX('1-DATA'!$1:$1048576,IF(OR($B155="STD. DEVIATION",$C$1=1),$A155,$A155+1),COLUMN('1-DATA'!B153)),IF($B155="STD. DEVIATION",2,$F$1))))</f>
        <v/>
      </c>
      <c r="D155" s="1" t="str">
        <f>IF(OR($B155="",D$7=""),"",IF($B155="MEANS",INDEX('1-DATA'!$1:$1048576,$A154-1,COLUMN('1-DATA'!C153)),ROUND(INDEX('1-DATA'!$1:$1048576,IF(OR($B155="STD. DEVIATION",$C$1=1),$A155,$A155+1),COLUMN('1-DATA'!C153)),IF($B155="STD. DEVIATION",2,$F$1))))</f>
        <v/>
      </c>
      <c r="E155" s="1" t="str">
        <f>IF(OR($B155="",E$7=""),"",IF($B155="MEANS",INDEX('1-DATA'!$1:$1048576,$A154-1,COLUMN('1-DATA'!D153)),ROUND(INDEX('1-DATA'!$1:$1048576,IF(OR($B155="STD. DEVIATION",$C$1=1),$A155,$A155+1),COLUMN('1-DATA'!D153)),IF($B155="STD. DEVIATION",2,$F$1))))</f>
        <v/>
      </c>
      <c r="F155" s="1" t="str">
        <f>IF(OR($B155="",F$7=""),"",IF($B155="MEANS",INDEX('1-DATA'!$1:$1048576,$A154-1,COLUMN('1-DATA'!E153)),ROUND(INDEX('1-DATA'!$1:$1048576,IF(OR($B155="STD. DEVIATION",$C$1=1),$A155,$A155+1),COLUMN('1-DATA'!E153)),IF($B155="STD. DEVIATION",2,$F$1))))</f>
        <v/>
      </c>
      <c r="G155" s="1" t="str">
        <f>IF(OR($B155="",G$7=""),"",IF($B155="MEANS",INDEX('1-DATA'!$1:$1048576,$A154-1,COLUMN('1-DATA'!F153)),ROUND(INDEX('1-DATA'!$1:$1048576,IF(OR($B155="STD. DEVIATION",$C$1=1),$A155,$A155+1),COLUMN('1-DATA'!F153)),IF($B155="STD. DEVIATION",2,$F$1))))</f>
        <v/>
      </c>
      <c r="H155" s="1" t="str">
        <f>IF(OR($B155="",H$7=""),"",IF($B155="MEANS",INDEX('1-DATA'!$1:$1048576,$A154-1,COLUMN('1-DATA'!G153)),ROUND(INDEX('1-DATA'!$1:$1048576,IF(OR($B155="STD. DEVIATION",$C$1=1),$A155,$A155+1),COLUMN('1-DATA'!G153)),IF($B155="STD. DEVIATION",2,$F$1))))</f>
        <v/>
      </c>
      <c r="I155" s="1" t="str">
        <f>IF(OR($B155="",I$7=""),"",IF($B155="MEANS",INDEX('1-DATA'!$1:$1048576,$A154-1,COLUMN('1-DATA'!H153)),ROUND(INDEX('1-DATA'!$1:$1048576,IF(OR($B155="STD. DEVIATION",$C$1=1),$A155,$A155+1),COLUMN('1-DATA'!H153)),IF($B155="STD. DEVIATION",2,$F$1))))</f>
        <v/>
      </c>
      <c r="J155" s="1" t="str">
        <f>IF(OR($B155="",J$7=""),"",IF($B155="MEANS",INDEX('1-DATA'!$1:$1048576,$A154-1,COLUMN('1-DATA'!I153)),ROUND(INDEX('1-DATA'!$1:$1048576,IF(OR($B155="STD. DEVIATION",$C$1=1),$A155,$A155+1),COLUMN('1-DATA'!I153)),IF($B155="STD. DEVIATION",2,$F$1))))</f>
        <v/>
      </c>
      <c r="K155" s="1" t="str">
        <f>IF(OR($B155="",K$7=""),"",IF($B155="MEANS",INDEX('1-DATA'!$1:$1048576,$A154-1,COLUMN('1-DATA'!J153)),ROUND(INDEX('1-DATA'!$1:$1048576,IF(OR($B155="STD. DEVIATION",$C$1=1),$A155,$A155+1),COLUMN('1-DATA'!J153)),IF($B155="STD. DEVIATION",2,$F$1))))</f>
        <v/>
      </c>
      <c r="L155" s="1" t="str">
        <f>IF(OR($B155="",L$7=""),"",IF($B155="MEANS",INDEX('1-DATA'!$1:$1048576,$A154-1,COLUMN('1-DATA'!K153)),ROUND(INDEX('1-DATA'!$1:$1048576,IF(OR($B155="STD. DEVIATION",$C$1=1),$A155,$A155+1),COLUMN('1-DATA'!K153)),IF($B155="STD. DEVIATION",2,$F$1))))</f>
        <v/>
      </c>
      <c r="M155" s="1" t="str">
        <f>IF(OR($B155="",M$7=""),"",IF($B155="MEANS",INDEX('1-DATA'!$1:$1048576,$A154-1,COLUMN('1-DATA'!L153)),ROUND(INDEX('1-DATA'!$1:$1048576,IF(OR($B155="STD. DEVIATION",$C$1=1),$A155,$A155+1),COLUMN('1-DATA'!L153)),IF($B155="STD. DEVIATION",2,$F$1))))</f>
        <v/>
      </c>
      <c r="N155" s="1" t="str">
        <f>IF(OR($B155="",N$7=""),"",IF($B155="MEANS",INDEX('1-DATA'!$1:$1048576,$A154-1,COLUMN('1-DATA'!M153)),ROUND(INDEX('1-DATA'!$1:$1048576,IF(OR($B155="STD. DEVIATION",$C$1=1),$A155,$A155+1),COLUMN('1-DATA'!M153)),IF($B155="STD. DEVIATION",2,$F$1))))</f>
        <v/>
      </c>
      <c r="O155" s="1" t="str">
        <f>IF(OR($B155="",O$7=""),"",IF($B155="MEANS",INDEX('1-DATA'!$1:$1048576,$A154-1,COLUMN('1-DATA'!N153)),ROUND(INDEX('1-DATA'!$1:$1048576,IF(OR($B155="STD. DEVIATION",$C$1=1),$A155,$A155+1),COLUMN('1-DATA'!N153)),IF($B155="STD. DEVIATION",2,$F$1))))</f>
        <v/>
      </c>
      <c r="P155" s="1" t="str">
        <f>IF(OR($B155="",P$7=""),"",IF($B155="MEANS",INDEX('1-DATA'!$1:$1048576,$A154-1,COLUMN('1-DATA'!O153)),ROUND(INDEX('1-DATA'!$1:$1048576,IF(OR($B155="STD. DEVIATION",$C$1=1),$A155,$A155+1),COLUMN('1-DATA'!O153)),IF($B155="STD. DEVIATION",2,$F$1))))</f>
        <v/>
      </c>
      <c r="Q155" s="1" t="str">
        <f>IF(OR($B155="",Q$7=""),"",IF($B155="MEANS",INDEX('1-DATA'!$1:$1048576,$A154-1,COLUMN('1-DATA'!P153)),ROUND(INDEX('1-DATA'!$1:$1048576,IF(OR($B155="STD. DEVIATION",$C$1=1),$A155,$A155+1),COLUMN('1-DATA'!P153)),IF($B155="STD. DEVIATION",2,$F$1))))</f>
        <v/>
      </c>
      <c r="R155" s="1" t="str">
        <f>IF(OR($B155="",R$7=""),"",IF($B155="MEANS",INDEX('1-DATA'!$1:$1048576,$A154-1,COLUMN('1-DATA'!Q153)),ROUND(INDEX('1-DATA'!$1:$1048576,IF(OR($B155="STD. DEVIATION",$C$1=1),$A155,$A155+1),COLUMN('1-DATA'!Q153)),IF($B155="STD. DEVIATION",2,$F$1))))</f>
        <v/>
      </c>
      <c r="S155" s="1" t="str">
        <f>IF(OR($B155="",S$7=""),"",IF($B155="MEANS",INDEX('1-DATA'!$1:$1048576,$A154-1,COLUMN('1-DATA'!R153)),ROUND(INDEX('1-DATA'!$1:$1048576,IF(OR($B155="STD. DEVIATION",$C$1=1),$A155,$A155+1),COLUMN('1-DATA'!R153)),IF($B155="STD. DEVIATION",2,$F$1))))</f>
        <v/>
      </c>
      <c r="T155" s="1" t="str">
        <f>IF(OR($B155="",T$7=""),"",IF($B155="MEANS",INDEX('1-DATA'!$1:$1048576,$A154-1,COLUMN('1-DATA'!S153)),ROUND(INDEX('1-DATA'!$1:$1048576,IF(OR($B155="STD. DEVIATION",$C$1=1),$A155,$A155+1),COLUMN('1-DATA'!S153)),IF($B155="STD. DEVIATION",2,$F$1))))</f>
        <v/>
      </c>
      <c r="U155" s="1" t="str">
        <f>IF(OR($B155="",U$7=""),"",IF($B155="MEANS",INDEX('1-DATA'!$1:$1048576,$A154-1,COLUMN('1-DATA'!T153)),ROUND(INDEX('1-DATA'!$1:$1048576,IF(OR($B155="STD. DEVIATION",$C$1=1),$A155,$A155+1),COLUMN('1-DATA'!T153)),IF($B155="STD. DEVIATION",2,$F$1))))</f>
        <v/>
      </c>
      <c r="V155" s="1" t="str">
        <f>IF(OR($B155="",V$7=""),"",IF($B155="MEANS",INDEX('1-DATA'!$1:$1048576,$A154-1,COLUMN('1-DATA'!U153)),ROUND(INDEX('1-DATA'!$1:$1048576,IF(OR($B155="STD. DEVIATION",$C$1=1),$A155,$A155+1),COLUMN('1-DATA'!U153)),IF($B155="STD. DEVIATION",2,$F$1))))</f>
        <v/>
      </c>
      <c r="W155" s="1" t="str">
        <f>IF(OR($B155="",W$7=""),"",IF($B155="MEANS",INDEX('1-DATA'!$1:$1048576,$A154-1,COLUMN('1-DATA'!V153)),ROUND(INDEX('1-DATA'!$1:$1048576,IF(OR($B155="STD. DEVIATION",$C$1=1),$A155,$A155+1),COLUMN('1-DATA'!V153)),IF($B155="STD. DEVIATION",2,$F$1))))</f>
        <v/>
      </c>
      <c r="X155" s="1" t="str">
        <f>IF(OR($B155="",X$7=""),"",IF($B155="MEANS",INDEX('1-DATA'!$1:$1048576,$A154-1,COLUMN('1-DATA'!W153)),ROUND(INDEX('1-DATA'!$1:$1048576,IF(OR($B155="STD. DEVIATION",$C$1=1),$A155,$A155+1),COLUMN('1-DATA'!W153)),IF($B155="STD. DEVIATION",2,$F$1))))</f>
        <v/>
      </c>
      <c r="Y155" s="1" t="str">
        <f>IF(OR($B155="",Y$7=""),"",IF($B155="MEANS",INDEX('1-DATA'!$1:$1048576,$A154-1,COLUMN('1-DATA'!X153)),ROUND(INDEX('1-DATA'!$1:$1048576,IF(OR($B155="STD. DEVIATION",$C$1=1),$A155,$A155+1),COLUMN('1-DATA'!X153)),IF($B155="STD. DEVIATION",2,$F$1))))</f>
        <v/>
      </c>
      <c r="Z155" s="1" t="str">
        <f>IF(OR($B155="",Z$7=""),"",IF($B155="MEANS",INDEX('1-DATA'!$1:$1048576,$A154-1,COLUMN('1-DATA'!Y153)),ROUND(INDEX('1-DATA'!$1:$1048576,IF(OR($B155="STD. DEVIATION",$C$1=1),$A155,$A155+1),COLUMN('1-DATA'!Y153)),IF($B155="STD. DEVIATION",2,$F$1))))</f>
        <v/>
      </c>
      <c r="AA155" s="1" t="str">
        <f>IF(OR($B155="",AA$7=""),"",IF($B155="MEANS",INDEX('1-DATA'!$1:$1048576,$A154-1,COLUMN('1-DATA'!Z153)),ROUND(INDEX('1-DATA'!$1:$1048576,IF(OR($B155="STD. DEVIATION",$C$1=1),$A155,$A155+1),COLUMN('1-DATA'!Z153)),IF($B155="STD. DEVIATION",2,$F$1))))</f>
        <v/>
      </c>
      <c r="AB155" s="1" t="str">
        <f>IF(OR($B155="",AB$7=""),"",IF($B155="MEANS",INDEX('1-DATA'!$1:$1048576,$A154-1,COLUMN('1-DATA'!AA153)),ROUND(INDEX('1-DATA'!$1:$1048576,IF(OR($B155="STD. DEVIATION",$C$1=1),$A155,$A155+1),COLUMN('1-DATA'!AA153)),IF($B155="STD. DEVIATION",2,$F$1))))</f>
        <v/>
      </c>
      <c r="AC155" s="1" t="str">
        <f>IF(OR($B155="",AC$7=""),"",IF($B155="MEANS",INDEX('1-DATA'!$1:$1048576,$A154-1,COLUMN('1-DATA'!AB153)),ROUND(INDEX('1-DATA'!$1:$1048576,IF(OR($B155="STD. DEVIATION",$C$1=1),$A155,$A155+1),COLUMN('1-DATA'!AB153)),IF($B155="STD. DEVIATION",2,$F$1))))</f>
        <v/>
      </c>
      <c r="AD155" s="1" t="str">
        <f>IF(OR($B155="",AD$7=""),"",IF($B155="MEANS",INDEX('1-DATA'!$1:$1048576,$A154-1,COLUMN('1-DATA'!AC153)),ROUND(INDEX('1-DATA'!$1:$1048576,IF(OR($B155="STD. DEVIATION",$C$1=1),$A155,$A155+1),COLUMN('1-DATA'!AC153)),IF($B155="STD. DEVIATION",2,$F$1))))</f>
        <v/>
      </c>
      <c r="AE155" s="1" t="str">
        <f>IF(OR($B155="",AE$7=""),"",IF($B155="MEANS",INDEX('1-DATA'!$1:$1048576,$A154-1,COLUMN('1-DATA'!AD153)),ROUND(INDEX('1-DATA'!$1:$1048576,IF(OR($B155="STD. DEVIATION",$C$1=1),$A155,$A155+1),COLUMN('1-DATA'!AD153)),IF($B155="STD. DEVIATION",2,$F$1))))</f>
        <v/>
      </c>
      <c r="AF155" s="1" t="str">
        <f>IF(OR($B155="",AF$7=""),"",IF($B155="MEANS",INDEX('1-DATA'!$1:$1048576,$A154-1,COLUMN('1-DATA'!AE153)),ROUND(INDEX('1-DATA'!$1:$1048576,IF(OR($B155="STD. DEVIATION",$C$1=1),$A155,$A155+1),COLUMN('1-DATA'!AE153)),IF($B155="STD. DEVIATION",2,$F$1))))</f>
        <v/>
      </c>
      <c r="AG155" s="1" t="str">
        <f>IF(OR($B155="",AG$7=""),"",IF($B155="MEANS",INDEX('1-DATA'!$1:$1048576,$A154-1,COLUMN('1-DATA'!AF153)),ROUND(INDEX('1-DATA'!$1:$1048576,IF(OR($B155="STD. DEVIATION",$C$1=1),$A155,$A155+1),COLUMN('1-DATA'!AF153)),IF($B155="STD. DEVIATION",2,$F$1))))</f>
        <v/>
      </c>
      <c r="AH155" s="1" t="str">
        <f>IF(OR($B155="",AH$7=""),"",IF($B155="MEANS",INDEX('1-DATA'!$1:$1048576,$A154-1,COLUMN('1-DATA'!AG153)),ROUND(INDEX('1-DATA'!$1:$1048576,IF(OR($B155="STD. DEVIATION",$C$1=1),$A155,$A155+1),COLUMN('1-DATA'!AG153)),IF($B155="STD. DEVIATION",2,$F$1))))</f>
        <v/>
      </c>
      <c r="AI155" s="1" t="str">
        <f>IF(OR($B155="",AI$7=""),"",IF($B155="MEANS",INDEX('1-DATA'!$1:$1048576,$A154-1,COLUMN('1-DATA'!AH153)),ROUND(INDEX('1-DATA'!$1:$1048576,IF(OR($B155="STD. DEVIATION",$C$1=1),$A155,$A155+1),COLUMN('1-DATA'!AH153)),IF($B155="STD. DEVIATION",2,$F$1))))</f>
        <v/>
      </c>
      <c r="AJ155" s="1" t="str">
        <f>IF(OR($B155="",AJ$7=""),"",IF($B155="MEANS",INDEX('1-DATA'!$1:$1048576,$A154-1,COLUMN('1-DATA'!AI153)),ROUND(INDEX('1-DATA'!$1:$1048576,IF(OR($B155="STD. DEVIATION",$C$1=1),$A155,$A155+1),COLUMN('1-DATA'!AI153)),IF($B155="STD. DEVIATION",2,$F$1))))</f>
        <v/>
      </c>
      <c r="AK155" s="1" t="str">
        <f>IF(OR($B155="",AK$7=""),"",IF($B155="MEANS",INDEX('1-DATA'!$1:$1048576,$A154-1,COLUMN('1-DATA'!AJ153)),ROUND(INDEX('1-DATA'!$1:$1048576,IF(OR($B155="STD. DEVIATION",$C$1=1),$A155,$A155+1),COLUMN('1-DATA'!AJ153)),IF($B155="STD. DEVIATION",2,$F$1))))</f>
        <v/>
      </c>
      <c r="AL155" s="1" t="str">
        <f>IF(OR($B155="",AL$7=""),"",IF($B155="MEANS",INDEX('1-DATA'!$1:$1048576,$A154-1,COLUMN('1-DATA'!AK153)),ROUND(INDEX('1-DATA'!$1:$1048576,IF(OR($B155="STD. DEVIATION",$C$1=1),$A155,$A155+1),COLUMN('1-DATA'!AK153)),IF($B155="STD. DEVIATION",2,$F$1))))</f>
        <v/>
      </c>
      <c r="AM155" s="1" t="str">
        <f>IF(OR($B155="",AM$7=""),"",IF($B155="MEANS",INDEX('1-DATA'!$1:$1048576,$A154-1,COLUMN('1-DATA'!AL153)),ROUND(INDEX('1-DATA'!$1:$1048576,IF(OR($B155="STD. DEVIATION",$C$1=1),$A155,$A155+1),COLUMN('1-DATA'!AL153)),IF($B155="STD. DEVIATION",2,$F$1))))</f>
        <v/>
      </c>
      <c r="AN155" s="1" t="str">
        <f>IF(OR($B155="",AN$7=""),"",IF($B155="MEANS",INDEX('1-DATA'!$1:$1048576,$A154-1,COLUMN('1-DATA'!AM153)),ROUND(INDEX('1-DATA'!$1:$1048576,IF(OR($B155="STD. DEVIATION",$C$1=1),$A155,$A155+1),COLUMN('1-DATA'!AM153)),IF($B155="STD. DEVIATION",2,$F$1))))</f>
        <v/>
      </c>
      <c r="AO155" s="1" t="str">
        <f>IF(OR($B155="",AO$7=""),"",IF($B155="MEANS",INDEX('1-DATA'!$1:$1048576,$A154-1,COLUMN('1-DATA'!AN153)),ROUND(INDEX('1-DATA'!$1:$1048576,IF(OR($B155="STD. DEVIATION",$C$1=1),$A155,$A155+1),COLUMN('1-DATA'!AN153)),IF($B155="STD. DEVIATION",2,$F$1))))</f>
        <v/>
      </c>
      <c r="AP155" s="1" t="str">
        <f>IF(OR($B155="",AP$7=""),"",IF($B155="MEANS",INDEX('1-DATA'!$1:$1048576,$A154-1,COLUMN('1-DATA'!AO153)),ROUND(INDEX('1-DATA'!$1:$1048576,IF(OR($B155="STD. DEVIATION",$C$1=1),$A155,$A155+1),COLUMN('1-DATA'!AO153)),IF($B155="STD. DEVIATION",2,$F$1))))</f>
        <v/>
      </c>
      <c r="AQ155" s="1" t="str">
        <f>IF(OR($B155="",AQ$7=""),"",IF($B155="MEANS",INDEX('1-DATA'!$1:$1048576,$A154-1,COLUMN('1-DATA'!AP153)),ROUND(INDEX('1-DATA'!$1:$1048576,IF(OR($B155="STD. DEVIATION",$C$1=1),$A155,$A155+1),COLUMN('1-DATA'!AP153)),IF($B155="STD. DEVIATION",2,$F$1))))</f>
        <v/>
      </c>
      <c r="AR155" s="1" t="str">
        <f>IF(OR($B155="",AR$7=""),"",IF($B155="MEANS",INDEX('1-DATA'!$1:$1048576,$A154-1,COLUMN('1-DATA'!AQ153)),ROUND(INDEX('1-DATA'!$1:$1048576,IF(OR($B155="STD. DEVIATION",$C$1=1),$A155,$A155+1),COLUMN('1-DATA'!AQ153)),IF($B155="STD. DEVIATION",2,$F$1))))</f>
        <v/>
      </c>
      <c r="AS155" s="1" t="str">
        <f>IF(OR($B155="",AS$7=""),"",IF($B155="MEANS",INDEX('1-DATA'!$1:$1048576,$A154-1,COLUMN('1-DATA'!AR153)),ROUND(INDEX('1-DATA'!$1:$1048576,IF(OR($B155="STD. DEVIATION",$C$1=1),$A155,$A155+1),COLUMN('1-DATA'!AR153)),IF($B155="STD. DEVIATION",2,$F$1))))</f>
        <v/>
      </c>
      <c r="AT155" s="1" t="str">
        <f>IF(OR($B155="",AT$7=""),"",IF($B155="MEANS",INDEX('1-DATA'!$1:$1048576,$A154-1,COLUMN('1-DATA'!AS153)),ROUND(INDEX('1-DATA'!$1:$1048576,IF(OR($B155="STD. DEVIATION",$C$1=1),$A155,$A155+1),COLUMN('1-DATA'!AS153)),IF($B155="STD. DEVIATION",2,$F$1))))</f>
        <v/>
      </c>
      <c r="AU155" s="1" t="str">
        <f>IF(OR($B155="",AU$7=""),"",IF($B155="MEANS",INDEX('1-DATA'!$1:$1048576,$A154-1,COLUMN('1-DATA'!AT153)),ROUND(INDEX('1-DATA'!$1:$1048576,IF(OR($B155="STD. DEVIATION",$C$1=1),$A155,$A155+1),COLUMN('1-DATA'!AT153)),IF($B155="STD. DEVIATION",2,$F$1))))</f>
        <v/>
      </c>
      <c r="AV155" s="1" t="str">
        <f>IF(OR($B155="",AV$7=""),"",IF($B155="MEANS",INDEX('1-DATA'!$1:$1048576,$A154-1,COLUMN('1-DATA'!AU153)),ROUND(INDEX('1-DATA'!$1:$1048576,IF(OR($B155="STD. DEVIATION",$C$1=1),$A155,$A155+1),COLUMN('1-DATA'!AU153)),IF($B155="STD. DEVIATION",2,$F$1))))</f>
        <v/>
      </c>
      <c r="AW155" s="1" t="str">
        <f>IF(OR($B155="",AW$7=""),"",IF($B155="MEANS",INDEX('1-DATA'!$1:$1048576,$A154-1,COLUMN('1-DATA'!AV153)),ROUND(INDEX('1-DATA'!$1:$1048576,IF(OR($B155="STD. DEVIATION",$C$1=1),$A155,$A155+1),COLUMN('1-DATA'!AV153)),IF($B155="STD. DEVIATION",2,$F$1))))</f>
        <v/>
      </c>
      <c r="AX155" s="1" t="str">
        <f>IF(OR($B155="",AX$7=""),"",IF($B155="MEANS",INDEX('1-DATA'!$1:$1048576,$A154-1,COLUMN('1-DATA'!AW153)),ROUND(INDEX('1-DATA'!$1:$1048576,IF(OR($B155="STD. DEVIATION",$C$1=1),$A155,$A155+1),COLUMN('1-DATA'!AW153)),IF($B155="STD. DEVIATION",2,$F$1))))</f>
        <v/>
      </c>
      <c r="AY155" s="1" t="str">
        <f>IF(OR($B155="",AY$7=""),"",IF($B155="MEANS",INDEX('1-DATA'!$1:$1048576,$A154-1,COLUMN('1-DATA'!AX153)),ROUND(INDEX('1-DATA'!$1:$1048576,IF(OR($B155="STD. DEVIATION",$C$1=1),$A155,$A155+1),COLUMN('1-DATA'!AX153)),IF($B155="STD. DEVIATION",2,$F$1))))</f>
        <v/>
      </c>
      <c r="AZ155" s="1" t="str">
        <f>IF(OR($B155="",AZ$7=""),"",IF($B155="MEANS",INDEX('1-DATA'!$1:$1048576,$A154-1,COLUMN('1-DATA'!AY153)),ROUND(INDEX('1-DATA'!$1:$1048576,IF(OR($B155="STD. DEVIATION",$C$1=1),$A155,$A155+1),COLUMN('1-DATA'!AY153)),IF($B155="STD. DEVIATION",2,$F$1))))</f>
        <v/>
      </c>
    </row>
    <row r="156" spans="1:52" x14ac:dyDescent="0.25">
      <c r="A156" s="11">
        <f t="shared" si="2"/>
        <v>454</v>
      </c>
      <c r="B156" s="1" t="str">
        <f>IF(B155="STD. DEVIATION",INDEX('1-DATA'!$1:$1048576,$A155-1,1),IF(INDEX('1-DATA'!$1:$1048576,$A156,1)&lt;&gt;"",INDEX('1-DATA'!$1:$1048576,$A156,1),""))</f>
        <v/>
      </c>
      <c r="C156" s="1" t="str">
        <f>IF(OR($B156="",C$7=""),"",IF($B156="MEANS",INDEX('1-DATA'!$1:$1048576,$A155-1,COLUMN('1-DATA'!B154)),ROUND(INDEX('1-DATA'!$1:$1048576,IF(OR($B156="STD. DEVIATION",$C$1=1),$A156,$A156+1),COLUMN('1-DATA'!B154)),IF($B156="STD. DEVIATION",2,$F$1))))</f>
        <v/>
      </c>
      <c r="D156" s="1" t="str">
        <f>IF(OR($B156="",D$7=""),"",IF($B156="MEANS",INDEX('1-DATA'!$1:$1048576,$A155-1,COLUMN('1-DATA'!C154)),ROUND(INDEX('1-DATA'!$1:$1048576,IF(OR($B156="STD. DEVIATION",$C$1=1),$A156,$A156+1),COLUMN('1-DATA'!C154)),IF($B156="STD. DEVIATION",2,$F$1))))</f>
        <v/>
      </c>
      <c r="E156" s="1" t="str">
        <f>IF(OR($B156="",E$7=""),"",IF($B156="MEANS",INDEX('1-DATA'!$1:$1048576,$A155-1,COLUMN('1-DATA'!D154)),ROUND(INDEX('1-DATA'!$1:$1048576,IF(OR($B156="STD. DEVIATION",$C$1=1),$A156,$A156+1),COLUMN('1-DATA'!D154)),IF($B156="STD. DEVIATION",2,$F$1))))</f>
        <v/>
      </c>
      <c r="F156" s="1" t="str">
        <f>IF(OR($B156="",F$7=""),"",IF($B156="MEANS",INDEX('1-DATA'!$1:$1048576,$A155-1,COLUMN('1-DATA'!E154)),ROUND(INDEX('1-DATA'!$1:$1048576,IF(OR($B156="STD. DEVIATION",$C$1=1),$A156,$A156+1),COLUMN('1-DATA'!E154)),IF($B156="STD. DEVIATION",2,$F$1))))</f>
        <v/>
      </c>
      <c r="G156" s="1" t="str">
        <f>IF(OR($B156="",G$7=""),"",IF($B156="MEANS",INDEX('1-DATA'!$1:$1048576,$A155-1,COLUMN('1-DATA'!F154)),ROUND(INDEX('1-DATA'!$1:$1048576,IF(OR($B156="STD. DEVIATION",$C$1=1),$A156,$A156+1),COLUMN('1-DATA'!F154)),IF($B156="STD. DEVIATION",2,$F$1))))</f>
        <v/>
      </c>
      <c r="H156" s="1" t="str">
        <f>IF(OR($B156="",H$7=""),"",IF($B156="MEANS",INDEX('1-DATA'!$1:$1048576,$A155-1,COLUMN('1-DATA'!G154)),ROUND(INDEX('1-DATA'!$1:$1048576,IF(OR($B156="STD. DEVIATION",$C$1=1),$A156,$A156+1),COLUMN('1-DATA'!G154)),IF($B156="STD. DEVIATION",2,$F$1))))</f>
        <v/>
      </c>
      <c r="I156" s="1" t="str">
        <f>IF(OR($B156="",I$7=""),"",IF($B156="MEANS",INDEX('1-DATA'!$1:$1048576,$A155-1,COLUMN('1-DATA'!H154)),ROUND(INDEX('1-DATA'!$1:$1048576,IF(OR($B156="STD. DEVIATION",$C$1=1),$A156,$A156+1),COLUMN('1-DATA'!H154)),IF($B156="STD. DEVIATION",2,$F$1))))</f>
        <v/>
      </c>
      <c r="J156" s="1" t="str">
        <f>IF(OR($B156="",J$7=""),"",IF($B156="MEANS",INDEX('1-DATA'!$1:$1048576,$A155-1,COLUMN('1-DATA'!I154)),ROUND(INDEX('1-DATA'!$1:$1048576,IF(OR($B156="STD. DEVIATION",$C$1=1),$A156,$A156+1),COLUMN('1-DATA'!I154)),IF($B156="STD. DEVIATION",2,$F$1))))</f>
        <v/>
      </c>
      <c r="K156" s="1" t="str">
        <f>IF(OR($B156="",K$7=""),"",IF($B156="MEANS",INDEX('1-DATA'!$1:$1048576,$A155-1,COLUMN('1-DATA'!J154)),ROUND(INDEX('1-DATA'!$1:$1048576,IF(OR($B156="STD. DEVIATION",$C$1=1),$A156,$A156+1),COLUMN('1-DATA'!J154)),IF($B156="STD. DEVIATION",2,$F$1))))</f>
        <v/>
      </c>
      <c r="L156" s="1" t="str">
        <f>IF(OR($B156="",L$7=""),"",IF($B156="MEANS",INDEX('1-DATA'!$1:$1048576,$A155-1,COLUMN('1-DATA'!K154)),ROUND(INDEX('1-DATA'!$1:$1048576,IF(OR($B156="STD. DEVIATION",$C$1=1),$A156,$A156+1),COLUMN('1-DATA'!K154)),IF($B156="STD. DEVIATION",2,$F$1))))</f>
        <v/>
      </c>
      <c r="M156" s="1" t="str">
        <f>IF(OR($B156="",M$7=""),"",IF($B156="MEANS",INDEX('1-DATA'!$1:$1048576,$A155-1,COLUMN('1-DATA'!L154)),ROUND(INDEX('1-DATA'!$1:$1048576,IF(OR($B156="STD. DEVIATION",$C$1=1),$A156,$A156+1),COLUMN('1-DATA'!L154)),IF($B156="STD. DEVIATION",2,$F$1))))</f>
        <v/>
      </c>
      <c r="N156" s="1" t="str">
        <f>IF(OR($B156="",N$7=""),"",IF($B156="MEANS",INDEX('1-DATA'!$1:$1048576,$A155-1,COLUMN('1-DATA'!M154)),ROUND(INDEX('1-DATA'!$1:$1048576,IF(OR($B156="STD. DEVIATION",$C$1=1),$A156,$A156+1),COLUMN('1-DATA'!M154)),IF($B156="STD. DEVIATION",2,$F$1))))</f>
        <v/>
      </c>
      <c r="O156" s="1" t="str">
        <f>IF(OR($B156="",O$7=""),"",IF($B156="MEANS",INDEX('1-DATA'!$1:$1048576,$A155-1,COLUMN('1-DATA'!N154)),ROUND(INDEX('1-DATA'!$1:$1048576,IF(OR($B156="STD. DEVIATION",$C$1=1),$A156,$A156+1),COLUMN('1-DATA'!N154)),IF($B156="STD. DEVIATION",2,$F$1))))</f>
        <v/>
      </c>
      <c r="P156" s="1" t="str">
        <f>IF(OR($B156="",P$7=""),"",IF($B156="MEANS",INDEX('1-DATA'!$1:$1048576,$A155-1,COLUMN('1-DATA'!O154)),ROUND(INDEX('1-DATA'!$1:$1048576,IF(OR($B156="STD. DEVIATION",$C$1=1),$A156,$A156+1),COLUMN('1-DATA'!O154)),IF($B156="STD. DEVIATION",2,$F$1))))</f>
        <v/>
      </c>
      <c r="Q156" s="1" t="str">
        <f>IF(OR($B156="",Q$7=""),"",IF($B156="MEANS",INDEX('1-DATA'!$1:$1048576,$A155-1,COLUMN('1-DATA'!P154)),ROUND(INDEX('1-DATA'!$1:$1048576,IF(OR($B156="STD. DEVIATION",$C$1=1),$A156,$A156+1),COLUMN('1-DATA'!P154)),IF($B156="STD. DEVIATION",2,$F$1))))</f>
        <v/>
      </c>
      <c r="R156" s="1" t="str">
        <f>IF(OR($B156="",R$7=""),"",IF($B156="MEANS",INDEX('1-DATA'!$1:$1048576,$A155-1,COLUMN('1-DATA'!Q154)),ROUND(INDEX('1-DATA'!$1:$1048576,IF(OR($B156="STD. DEVIATION",$C$1=1),$A156,$A156+1),COLUMN('1-DATA'!Q154)),IF($B156="STD. DEVIATION",2,$F$1))))</f>
        <v/>
      </c>
      <c r="S156" s="1" t="str">
        <f>IF(OR($B156="",S$7=""),"",IF($B156="MEANS",INDEX('1-DATA'!$1:$1048576,$A155-1,COLUMN('1-DATA'!R154)),ROUND(INDEX('1-DATA'!$1:$1048576,IF(OR($B156="STD. DEVIATION",$C$1=1),$A156,$A156+1),COLUMN('1-DATA'!R154)),IF($B156="STD. DEVIATION",2,$F$1))))</f>
        <v/>
      </c>
      <c r="T156" s="1" t="str">
        <f>IF(OR($B156="",T$7=""),"",IF($B156="MEANS",INDEX('1-DATA'!$1:$1048576,$A155-1,COLUMN('1-DATA'!S154)),ROUND(INDEX('1-DATA'!$1:$1048576,IF(OR($B156="STD. DEVIATION",$C$1=1),$A156,$A156+1),COLUMN('1-DATA'!S154)),IF($B156="STD. DEVIATION",2,$F$1))))</f>
        <v/>
      </c>
      <c r="U156" s="1" t="str">
        <f>IF(OR($B156="",U$7=""),"",IF($B156="MEANS",INDEX('1-DATA'!$1:$1048576,$A155-1,COLUMN('1-DATA'!T154)),ROUND(INDEX('1-DATA'!$1:$1048576,IF(OR($B156="STD. DEVIATION",$C$1=1),$A156,$A156+1),COLUMN('1-DATA'!T154)),IF($B156="STD. DEVIATION",2,$F$1))))</f>
        <v/>
      </c>
      <c r="V156" s="1" t="str">
        <f>IF(OR($B156="",V$7=""),"",IF($B156="MEANS",INDEX('1-DATA'!$1:$1048576,$A155-1,COLUMN('1-DATA'!U154)),ROUND(INDEX('1-DATA'!$1:$1048576,IF(OR($B156="STD. DEVIATION",$C$1=1),$A156,$A156+1),COLUMN('1-DATA'!U154)),IF($B156="STD. DEVIATION",2,$F$1))))</f>
        <v/>
      </c>
      <c r="W156" s="1" t="str">
        <f>IF(OR($B156="",W$7=""),"",IF($B156="MEANS",INDEX('1-DATA'!$1:$1048576,$A155-1,COLUMN('1-DATA'!V154)),ROUND(INDEX('1-DATA'!$1:$1048576,IF(OR($B156="STD. DEVIATION",$C$1=1),$A156,$A156+1),COLUMN('1-DATA'!V154)),IF($B156="STD. DEVIATION",2,$F$1))))</f>
        <v/>
      </c>
      <c r="X156" s="1" t="str">
        <f>IF(OR($B156="",X$7=""),"",IF($B156="MEANS",INDEX('1-DATA'!$1:$1048576,$A155-1,COLUMN('1-DATA'!W154)),ROUND(INDEX('1-DATA'!$1:$1048576,IF(OR($B156="STD. DEVIATION",$C$1=1),$A156,$A156+1),COLUMN('1-DATA'!W154)),IF($B156="STD. DEVIATION",2,$F$1))))</f>
        <v/>
      </c>
      <c r="Y156" s="1" t="str">
        <f>IF(OR($B156="",Y$7=""),"",IF($B156="MEANS",INDEX('1-DATA'!$1:$1048576,$A155-1,COLUMN('1-DATA'!X154)),ROUND(INDEX('1-DATA'!$1:$1048576,IF(OR($B156="STD. DEVIATION",$C$1=1),$A156,$A156+1),COLUMN('1-DATA'!X154)),IF($B156="STD. DEVIATION",2,$F$1))))</f>
        <v/>
      </c>
      <c r="Z156" s="1" t="str">
        <f>IF(OR($B156="",Z$7=""),"",IF($B156="MEANS",INDEX('1-DATA'!$1:$1048576,$A155-1,COLUMN('1-DATA'!Y154)),ROUND(INDEX('1-DATA'!$1:$1048576,IF(OR($B156="STD. DEVIATION",$C$1=1),$A156,$A156+1),COLUMN('1-DATA'!Y154)),IF($B156="STD. DEVIATION",2,$F$1))))</f>
        <v/>
      </c>
      <c r="AA156" s="1" t="str">
        <f>IF(OR($B156="",AA$7=""),"",IF($B156="MEANS",INDEX('1-DATA'!$1:$1048576,$A155-1,COLUMN('1-DATA'!Z154)),ROUND(INDEX('1-DATA'!$1:$1048576,IF(OR($B156="STD. DEVIATION",$C$1=1),$A156,$A156+1),COLUMN('1-DATA'!Z154)),IF($B156="STD. DEVIATION",2,$F$1))))</f>
        <v/>
      </c>
      <c r="AB156" s="1" t="str">
        <f>IF(OR($B156="",AB$7=""),"",IF($B156="MEANS",INDEX('1-DATA'!$1:$1048576,$A155-1,COLUMN('1-DATA'!AA154)),ROUND(INDEX('1-DATA'!$1:$1048576,IF(OR($B156="STD. DEVIATION",$C$1=1),$A156,$A156+1),COLUMN('1-DATA'!AA154)),IF($B156="STD. DEVIATION",2,$F$1))))</f>
        <v/>
      </c>
      <c r="AC156" s="1" t="str">
        <f>IF(OR($B156="",AC$7=""),"",IF($B156="MEANS",INDEX('1-DATA'!$1:$1048576,$A155-1,COLUMN('1-DATA'!AB154)),ROUND(INDEX('1-DATA'!$1:$1048576,IF(OR($B156="STD. DEVIATION",$C$1=1),$A156,$A156+1),COLUMN('1-DATA'!AB154)),IF($B156="STD. DEVIATION",2,$F$1))))</f>
        <v/>
      </c>
      <c r="AD156" s="1" t="str">
        <f>IF(OR($B156="",AD$7=""),"",IF($B156="MEANS",INDEX('1-DATA'!$1:$1048576,$A155-1,COLUMN('1-DATA'!AC154)),ROUND(INDEX('1-DATA'!$1:$1048576,IF(OR($B156="STD. DEVIATION",$C$1=1),$A156,$A156+1),COLUMN('1-DATA'!AC154)),IF($B156="STD. DEVIATION",2,$F$1))))</f>
        <v/>
      </c>
      <c r="AE156" s="1" t="str">
        <f>IF(OR($B156="",AE$7=""),"",IF($B156="MEANS",INDEX('1-DATA'!$1:$1048576,$A155-1,COLUMN('1-DATA'!AD154)),ROUND(INDEX('1-DATA'!$1:$1048576,IF(OR($B156="STD. DEVIATION",$C$1=1),$A156,$A156+1),COLUMN('1-DATA'!AD154)),IF($B156="STD. DEVIATION",2,$F$1))))</f>
        <v/>
      </c>
      <c r="AF156" s="1" t="str">
        <f>IF(OR($B156="",AF$7=""),"",IF($B156="MEANS",INDEX('1-DATA'!$1:$1048576,$A155-1,COLUMN('1-DATA'!AE154)),ROUND(INDEX('1-DATA'!$1:$1048576,IF(OR($B156="STD. DEVIATION",$C$1=1),$A156,$A156+1),COLUMN('1-DATA'!AE154)),IF($B156="STD. DEVIATION",2,$F$1))))</f>
        <v/>
      </c>
      <c r="AG156" s="1" t="str">
        <f>IF(OR($B156="",AG$7=""),"",IF($B156="MEANS",INDEX('1-DATA'!$1:$1048576,$A155-1,COLUMN('1-DATA'!AF154)),ROUND(INDEX('1-DATA'!$1:$1048576,IF(OR($B156="STD. DEVIATION",$C$1=1),$A156,$A156+1),COLUMN('1-DATA'!AF154)),IF($B156="STD. DEVIATION",2,$F$1))))</f>
        <v/>
      </c>
      <c r="AH156" s="1" t="str">
        <f>IF(OR($B156="",AH$7=""),"",IF($B156="MEANS",INDEX('1-DATA'!$1:$1048576,$A155-1,COLUMN('1-DATA'!AG154)),ROUND(INDEX('1-DATA'!$1:$1048576,IF(OR($B156="STD. DEVIATION",$C$1=1),$A156,$A156+1),COLUMN('1-DATA'!AG154)),IF($B156="STD. DEVIATION",2,$F$1))))</f>
        <v/>
      </c>
      <c r="AI156" s="1" t="str">
        <f>IF(OR($B156="",AI$7=""),"",IF($B156="MEANS",INDEX('1-DATA'!$1:$1048576,$A155-1,COLUMN('1-DATA'!AH154)),ROUND(INDEX('1-DATA'!$1:$1048576,IF(OR($B156="STD. DEVIATION",$C$1=1),$A156,$A156+1),COLUMN('1-DATA'!AH154)),IF($B156="STD. DEVIATION",2,$F$1))))</f>
        <v/>
      </c>
      <c r="AJ156" s="1" t="str">
        <f>IF(OR($B156="",AJ$7=""),"",IF($B156="MEANS",INDEX('1-DATA'!$1:$1048576,$A155-1,COLUMN('1-DATA'!AI154)),ROUND(INDEX('1-DATA'!$1:$1048576,IF(OR($B156="STD. DEVIATION",$C$1=1),$A156,$A156+1),COLUMN('1-DATA'!AI154)),IF($B156="STD. DEVIATION",2,$F$1))))</f>
        <v/>
      </c>
      <c r="AK156" s="1" t="str">
        <f>IF(OR($B156="",AK$7=""),"",IF($B156="MEANS",INDEX('1-DATA'!$1:$1048576,$A155-1,COLUMN('1-DATA'!AJ154)),ROUND(INDEX('1-DATA'!$1:$1048576,IF(OR($B156="STD. DEVIATION",$C$1=1),$A156,$A156+1),COLUMN('1-DATA'!AJ154)),IF($B156="STD. DEVIATION",2,$F$1))))</f>
        <v/>
      </c>
      <c r="AL156" s="1" t="str">
        <f>IF(OR($B156="",AL$7=""),"",IF($B156="MEANS",INDEX('1-DATA'!$1:$1048576,$A155-1,COLUMN('1-DATA'!AK154)),ROUND(INDEX('1-DATA'!$1:$1048576,IF(OR($B156="STD. DEVIATION",$C$1=1),$A156,$A156+1),COLUMN('1-DATA'!AK154)),IF($B156="STD. DEVIATION",2,$F$1))))</f>
        <v/>
      </c>
      <c r="AM156" s="1" t="str">
        <f>IF(OR($B156="",AM$7=""),"",IF($B156="MEANS",INDEX('1-DATA'!$1:$1048576,$A155-1,COLUMN('1-DATA'!AL154)),ROUND(INDEX('1-DATA'!$1:$1048576,IF(OR($B156="STD. DEVIATION",$C$1=1),$A156,$A156+1),COLUMN('1-DATA'!AL154)),IF($B156="STD. DEVIATION",2,$F$1))))</f>
        <v/>
      </c>
      <c r="AN156" s="1" t="str">
        <f>IF(OR($B156="",AN$7=""),"",IF($B156="MEANS",INDEX('1-DATA'!$1:$1048576,$A155-1,COLUMN('1-DATA'!AM154)),ROUND(INDEX('1-DATA'!$1:$1048576,IF(OR($B156="STD. DEVIATION",$C$1=1),$A156,$A156+1),COLUMN('1-DATA'!AM154)),IF($B156="STD. DEVIATION",2,$F$1))))</f>
        <v/>
      </c>
      <c r="AO156" s="1" t="str">
        <f>IF(OR($B156="",AO$7=""),"",IF($B156="MEANS",INDEX('1-DATA'!$1:$1048576,$A155-1,COLUMN('1-DATA'!AN154)),ROUND(INDEX('1-DATA'!$1:$1048576,IF(OR($B156="STD. DEVIATION",$C$1=1),$A156,$A156+1),COLUMN('1-DATA'!AN154)),IF($B156="STD. DEVIATION",2,$F$1))))</f>
        <v/>
      </c>
      <c r="AP156" s="1" t="str">
        <f>IF(OR($B156="",AP$7=""),"",IF($B156="MEANS",INDEX('1-DATA'!$1:$1048576,$A155-1,COLUMN('1-DATA'!AO154)),ROUND(INDEX('1-DATA'!$1:$1048576,IF(OR($B156="STD. DEVIATION",$C$1=1),$A156,$A156+1),COLUMN('1-DATA'!AO154)),IF($B156="STD. DEVIATION",2,$F$1))))</f>
        <v/>
      </c>
      <c r="AQ156" s="1" t="str">
        <f>IF(OR($B156="",AQ$7=""),"",IF($B156="MEANS",INDEX('1-DATA'!$1:$1048576,$A155-1,COLUMN('1-DATA'!AP154)),ROUND(INDEX('1-DATA'!$1:$1048576,IF(OR($B156="STD. DEVIATION",$C$1=1),$A156,$A156+1),COLUMN('1-DATA'!AP154)),IF($B156="STD. DEVIATION",2,$F$1))))</f>
        <v/>
      </c>
      <c r="AR156" s="1" t="str">
        <f>IF(OR($B156="",AR$7=""),"",IF($B156="MEANS",INDEX('1-DATA'!$1:$1048576,$A155-1,COLUMN('1-DATA'!AQ154)),ROUND(INDEX('1-DATA'!$1:$1048576,IF(OR($B156="STD. DEVIATION",$C$1=1),$A156,$A156+1),COLUMN('1-DATA'!AQ154)),IF($B156="STD. DEVIATION",2,$F$1))))</f>
        <v/>
      </c>
      <c r="AS156" s="1" t="str">
        <f>IF(OR($B156="",AS$7=""),"",IF($B156="MEANS",INDEX('1-DATA'!$1:$1048576,$A155-1,COLUMN('1-DATA'!AR154)),ROUND(INDEX('1-DATA'!$1:$1048576,IF(OR($B156="STD. DEVIATION",$C$1=1),$A156,$A156+1),COLUMN('1-DATA'!AR154)),IF($B156="STD. DEVIATION",2,$F$1))))</f>
        <v/>
      </c>
      <c r="AT156" s="1" t="str">
        <f>IF(OR($B156="",AT$7=""),"",IF($B156="MEANS",INDEX('1-DATA'!$1:$1048576,$A155-1,COLUMN('1-DATA'!AS154)),ROUND(INDEX('1-DATA'!$1:$1048576,IF(OR($B156="STD. DEVIATION",$C$1=1),$A156,$A156+1),COLUMN('1-DATA'!AS154)),IF($B156="STD. DEVIATION",2,$F$1))))</f>
        <v/>
      </c>
      <c r="AU156" s="1" t="str">
        <f>IF(OR($B156="",AU$7=""),"",IF($B156="MEANS",INDEX('1-DATA'!$1:$1048576,$A155-1,COLUMN('1-DATA'!AT154)),ROUND(INDEX('1-DATA'!$1:$1048576,IF(OR($B156="STD. DEVIATION",$C$1=1),$A156,$A156+1),COLUMN('1-DATA'!AT154)),IF($B156="STD. DEVIATION",2,$F$1))))</f>
        <v/>
      </c>
      <c r="AV156" s="1" t="str">
        <f>IF(OR($B156="",AV$7=""),"",IF($B156="MEANS",INDEX('1-DATA'!$1:$1048576,$A155-1,COLUMN('1-DATA'!AU154)),ROUND(INDEX('1-DATA'!$1:$1048576,IF(OR($B156="STD. DEVIATION",$C$1=1),$A156,$A156+1),COLUMN('1-DATA'!AU154)),IF($B156="STD. DEVIATION",2,$F$1))))</f>
        <v/>
      </c>
      <c r="AW156" s="1" t="str">
        <f>IF(OR($B156="",AW$7=""),"",IF($B156="MEANS",INDEX('1-DATA'!$1:$1048576,$A155-1,COLUMN('1-DATA'!AV154)),ROUND(INDEX('1-DATA'!$1:$1048576,IF(OR($B156="STD. DEVIATION",$C$1=1),$A156,$A156+1),COLUMN('1-DATA'!AV154)),IF($B156="STD. DEVIATION",2,$F$1))))</f>
        <v/>
      </c>
      <c r="AX156" s="1" t="str">
        <f>IF(OR($B156="",AX$7=""),"",IF($B156="MEANS",INDEX('1-DATA'!$1:$1048576,$A155-1,COLUMN('1-DATA'!AW154)),ROUND(INDEX('1-DATA'!$1:$1048576,IF(OR($B156="STD. DEVIATION",$C$1=1),$A156,$A156+1),COLUMN('1-DATA'!AW154)),IF($B156="STD. DEVIATION",2,$F$1))))</f>
        <v/>
      </c>
      <c r="AY156" s="1" t="str">
        <f>IF(OR($B156="",AY$7=""),"",IF($B156="MEANS",INDEX('1-DATA'!$1:$1048576,$A155-1,COLUMN('1-DATA'!AX154)),ROUND(INDEX('1-DATA'!$1:$1048576,IF(OR($B156="STD. DEVIATION",$C$1=1),$A156,$A156+1),COLUMN('1-DATA'!AX154)),IF($B156="STD. DEVIATION",2,$F$1))))</f>
        <v/>
      </c>
      <c r="AZ156" s="1" t="str">
        <f>IF(OR($B156="",AZ$7=""),"",IF($B156="MEANS",INDEX('1-DATA'!$1:$1048576,$A155-1,COLUMN('1-DATA'!AY154)),ROUND(INDEX('1-DATA'!$1:$1048576,IF(OR($B156="STD. DEVIATION",$C$1=1),$A156,$A156+1),COLUMN('1-DATA'!AY154)),IF($B156="STD. DEVIATION",2,$F$1))))</f>
        <v/>
      </c>
    </row>
    <row r="157" spans="1:52" x14ac:dyDescent="0.25">
      <c r="A157" s="11">
        <f t="shared" si="2"/>
        <v>457</v>
      </c>
      <c r="B157" s="1" t="str">
        <f>IF(B156="STD. DEVIATION",INDEX('1-DATA'!$1:$1048576,$A156-1,1),IF(INDEX('1-DATA'!$1:$1048576,$A157,1)&lt;&gt;"",INDEX('1-DATA'!$1:$1048576,$A157,1),""))</f>
        <v/>
      </c>
      <c r="C157" s="1" t="str">
        <f>IF(OR($B157="",C$7=""),"",IF($B157="MEANS",INDEX('1-DATA'!$1:$1048576,$A156-1,COLUMN('1-DATA'!B155)),ROUND(INDEX('1-DATA'!$1:$1048576,IF(OR($B157="STD. DEVIATION",$C$1=1),$A157,$A157+1),COLUMN('1-DATA'!B155)),IF($B157="STD. DEVIATION",2,$F$1))))</f>
        <v/>
      </c>
      <c r="D157" s="1" t="str">
        <f>IF(OR($B157="",D$7=""),"",IF($B157="MEANS",INDEX('1-DATA'!$1:$1048576,$A156-1,COLUMN('1-DATA'!C155)),ROUND(INDEX('1-DATA'!$1:$1048576,IF(OR($B157="STD. DEVIATION",$C$1=1),$A157,$A157+1),COLUMN('1-DATA'!C155)),IF($B157="STD. DEVIATION",2,$F$1))))</f>
        <v/>
      </c>
      <c r="E157" s="1" t="str">
        <f>IF(OR($B157="",E$7=""),"",IF($B157="MEANS",INDEX('1-DATA'!$1:$1048576,$A156-1,COLUMN('1-DATA'!D155)),ROUND(INDEX('1-DATA'!$1:$1048576,IF(OR($B157="STD. DEVIATION",$C$1=1),$A157,$A157+1),COLUMN('1-DATA'!D155)),IF($B157="STD. DEVIATION",2,$F$1))))</f>
        <v/>
      </c>
      <c r="F157" s="1" t="str">
        <f>IF(OR($B157="",F$7=""),"",IF($B157="MEANS",INDEX('1-DATA'!$1:$1048576,$A156-1,COLUMN('1-DATA'!E155)),ROUND(INDEX('1-DATA'!$1:$1048576,IF(OR($B157="STD. DEVIATION",$C$1=1),$A157,$A157+1),COLUMN('1-DATA'!E155)),IF($B157="STD. DEVIATION",2,$F$1))))</f>
        <v/>
      </c>
      <c r="G157" s="1" t="str">
        <f>IF(OR($B157="",G$7=""),"",IF($B157="MEANS",INDEX('1-DATA'!$1:$1048576,$A156-1,COLUMN('1-DATA'!F155)),ROUND(INDEX('1-DATA'!$1:$1048576,IF(OR($B157="STD. DEVIATION",$C$1=1),$A157,$A157+1),COLUMN('1-DATA'!F155)),IF($B157="STD. DEVIATION",2,$F$1))))</f>
        <v/>
      </c>
      <c r="H157" s="1" t="str">
        <f>IF(OR($B157="",H$7=""),"",IF($B157="MEANS",INDEX('1-DATA'!$1:$1048576,$A156-1,COLUMN('1-DATA'!G155)),ROUND(INDEX('1-DATA'!$1:$1048576,IF(OR($B157="STD. DEVIATION",$C$1=1),$A157,$A157+1),COLUMN('1-DATA'!G155)),IF($B157="STD. DEVIATION",2,$F$1))))</f>
        <v/>
      </c>
      <c r="I157" s="1" t="str">
        <f>IF(OR($B157="",I$7=""),"",IF($B157="MEANS",INDEX('1-DATA'!$1:$1048576,$A156-1,COLUMN('1-DATA'!H155)),ROUND(INDEX('1-DATA'!$1:$1048576,IF(OR($B157="STD. DEVIATION",$C$1=1),$A157,$A157+1),COLUMN('1-DATA'!H155)),IF($B157="STD. DEVIATION",2,$F$1))))</f>
        <v/>
      </c>
      <c r="J157" s="1" t="str">
        <f>IF(OR($B157="",J$7=""),"",IF($B157="MEANS",INDEX('1-DATA'!$1:$1048576,$A156-1,COLUMN('1-DATA'!I155)),ROUND(INDEX('1-DATA'!$1:$1048576,IF(OR($B157="STD. DEVIATION",$C$1=1),$A157,$A157+1),COLUMN('1-DATA'!I155)),IF($B157="STD. DEVIATION",2,$F$1))))</f>
        <v/>
      </c>
      <c r="K157" s="1" t="str">
        <f>IF(OR($B157="",K$7=""),"",IF($B157="MEANS",INDEX('1-DATA'!$1:$1048576,$A156-1,COLUMN('1-DATA'!J155)),ROUND(INDEX('1-DATA'!$1:$1048576,IF(OR($B157="STD. DEVIATION",$C$1=1),$A157,$A157+1),COLUMN('1-DATA'!J155)),IF($B157="STD. DEVIATION",2,$F$1))))</f>
        <v/>
      </c>
      <c r="L157" s="1" t="str">
        <f>IF(OR($B157="",L$7=""),"",IF($B157="MEANS",INDEX('1-DATA'!$1:$1048576,$A156-1,COLUMN('1-DATA'!K155)),ROUND(INDEX('1-DATA'!$1:$1048576,IF(OR($B157="STD. DEVIATION",$C$1=1),$A157,$A157+1),COLUMN('1-DATA'!K155)),IF($B157="STD. DEVIATION",2,$F$1))))</f>
        <v/>
      </c>
      <c r="M157" s="1" t="str">
        <f>IF(OR($B157="",M$7=""),"",IF($B157="MEANS",INDEX('1-DATA'!$1:$1048576,$A156-1,COLUMN('1-DATA'!L155)),ROUND(INDEX('1-DATA'!$1:$1048576,IF(OR($B157="STD. DEVIATION",$C$1=1),$A157,$A157+1),COLUMN('1-DATA'!L155)),IF($B157="STD. DEVIATION",2,$F$1))))</f>
        <v/>
      </c>
      <c r="N157" s="1" t="str">
        <f>IF(OR($B157="",N$7=""),"",IF($B157="MEANS",INDEX('1-DATA'!$1:$1048576,$A156-1,COLUMN('1-DATA'!M155)),ROUND(INDEX('1-DATA'!$1:$1048576,IF(OR($B157="STD. DEVIATION",$C$1=1),$A157,$A157+1),COLUMN('1-DATA'!M155)),IF($B157="STD. DEVIATION",2,$F$1))))</f>
        <v/>
      </c>
      <c r="O157" s="1" t="str">
        <f>IF(OR($B157="",O$7=""),"",IF($B157="MEANS",INDEX('1-DATA'!$1:$1048576,$A156-1,COLUMN('1-DATA'!N155)),ROUND(INDEX('1-DATA'!$1:$1048576,IF(OR($B157="STD. DEVIATION",$C$1=1),$A157,$A157+1),COLUMN('1-DATA'!N155)),IF($B157="STD. DEVIATION",2,$F$1))))</f>
        <v/>
      </c>
      <c r="P157" s="1" t="str">
        <f>IF(OR($B157="",P$7=""),"",IF($B157="MEANS",INDEX('1-DATA'!$1:$1048576,$A156-1,COLUMN('1-DATA'!O155)),ROUND(INDEX('1-DATA'!$1:$1048576,IF(OR($B157="STD. DEVIATION",$C$1=1),$A157,$A157+1),COLUMN('1-DATA'!O155)),IF($B157="STD. DEVIATION",2,$F$1))))</f>
        <v/>
      </c>
      <c r="Q157" s="1" t="str">
        <f>IF(OR($B157="",Q$7=""),"",IF($B157="MEANS",INDEX('1-DATA'!$1:$1048576,$A156-1,COLUMN('1-DATA'!P155)),ROUND(INDEX('1-DATA'!$1:$1048576,IF(OR($B157="STD. DEVIATION",$C$1=1),$A157,$A157+1),COLUMN('1-DATA'!P155)),IF($B157="STD. DEVIATION",2,$F$1))))</f>
        <v/>
      </c>
      <c r="R157" s="1" t="str">
        <f>IF(OR($B157="",R$7=""),"",IF($B157="MEANS",INDEX('1-DATA'!$1:$1048576,$A156-1,COLUMN('1-DATA'!Q155)),ROUND(INDEX('1-DATA'!$1:$1048576,IF(OR($B157="STD. DEVIATION",$C$1=1),$A157,$A157+1),COLUMN('1-DATA'!Q155)),IF($B157="STD. DEVIATION",2,$F$1))))</f>
        <v/>
      </c>
      <c r="S157" s="1" t="str">
        <f>IF(OR($B157="",S$7=""),"",IF($B157="MEANS",INDEX('1-DATA'!$1:$1048576,$A156-1,COLUMN('1-DATA'!R155)),ROUND(INDEX('1-DATA'!$1:$1048576,IF(OR($B157="STD. DEVIATION",$C$1=1),$A157,$A157+1),COLUMN('1-DATA'!R155)),IF($B157="STD. DEVIATION",2,$F$1))))</f>
        <v/>
      </c>
      <c r="T157" s="1" t="str">
        <f>IF(OR($B157="",T$7=""),"",IF($B157="MEANS",INDEX('1-DATA'!$1:$1048576,$A156-1,COLUMN('1-DATA'!S155)),ROUND(INDEX('1-DATA'!$1:$1048576,IF(OR($B157="STD. DEVIATION",$C$1=1),$A157,$A157+1),COLUMN('1-DATA'!S155)),IF($B157="STD. DEVIATION",2,$F$1))))</f>
        <v/>
      </c>
      <c r="U157" s="1" t="str">
        <f>IF(OR($B157="",U$7=""),"",IF($B157="MEANS",INDEX('1-DATA'!$1:$1048576,$A156-1,COLUMN('1-DATA'!T155)),ROUND(INDEX('1-DATA'!$1:$1048576,IF(OR($B157="STD. DEVIATION",$C$1=1),$A157,$A157+1),COLUMN('1-DATA'!T155)),IF($B157="STD. DEVIATION",2,$F$1))))</f>
        <v/>
      </c>
      <c r="V157" s="1" t="str">
        <f>IF(OR($B157="",V$7=""),"",IF($B157="MEANS",INDEX('1-DATA'!$1:$1048576,$A156-1,COLUMN('1-DATA'!U155)),ROUND(INDEX('1-DATA'!$1:$1048576,IF(OR($B157="STD. DEVIATION",$C$1=1),$A157,$A157+1),COLUMN('1-DATA'!U155)),IF($B157="STD. DEVIATION",2,$F$1))))</f>
        <v/>
      </c>
      <c r="W157" s="1" t="str">
        <f>IF(OR($B157="",W$7=""),"",IF($B157="MEANS",INDEX('1-DATA'!$1:$1048576,$A156-1,COLUMN('1-DATA'!V155)),ROUND(INDEX('1-DATA'!$1:$1048576,IF(OR($B157="STD. DEVIATION",$C$1=1),$A157,$A157+1),COLUMN('1-DATA'!V155)),IF($B157="STD. DEVIATION",2,$F$1))))</f>
        <v/>
      </c>
      <c r="X157" s="1" t="str">
        <f>IF(OR($B157="",X$7=""),"",IF($B157="MEANS",INDEX('1-DATA'!$1:$1048576,$A156-1,COLUMN('1-DATA'!W155)),ROUND(INDEX('1-DATA'!$1:$1048576,IF(OR($B157="STD. DEVIATION",$C$1=1),$A157,$A157+1),COLUMN('1-DATA'!W155)),IF($B157="STD. DEVIATION",2,$F$1))))</f>
        <v/>
      </c>
      <c r="Y157" s="1" t="str">
        <f>IF(OR($B157="",Y$7=""),"",IF($B157="MEANS",INDEX('1-DATA'!$1:$1048576,$A156-1,COLUMN('1-DATA'!X155)),ROUND(INDEX('1-DATA'!$1:$1048576,IF(OR($B157="STD. DEVIATION",$C$1=1),$A157,$A157+1),COLUMN('1-DATA'!X155)),IF($B157="STD. DEVIATION",2,$F$1))))</f>
        <v/>
      </c>
      <c r="Z157" s="1" t="str">
        <f>IF(OR($B157="",Z$7=""),"",IF($B157="MEANS",INDEX('1-DATA'!$1:$1048576,$A156-1,COLUMN('1-DATA'!Y155)),ROUND(INDEX('1-DATA'!$1:$1048576,IF(OR($B157="STD. DEVIATION",$C$1=1),$A157,$A157+1),COLUMN('1-DATA'!Y155)),IF($B157="STD. DEVIATION",2,$F$1))))</f>
        <v/>
      </c>
      <c r="AA157" s="1" t="str">
        <f>IF(OR($B157="",AA$7=""),"",IF($B157="MEANS",INDEX('1-DATA'!$1:$1048576,$A156-1,COLUMN('1-DATA'!Z155)),ROUND(INDEX('1-DATA'!$1:$1048576,IF(OR($B157="STD. DEVIATION",$C$1=1),$A157,$A157+1),COLUMN('1-DATA'!Z155)),IF($B157="STD. DEVIATION",2,$F$1))))</f>
        <v/>
      </c>
      <c r="AB157" s="1" t="str">
        <f>IF(OR($B157="",AB$7=""),"",IF($B157="MEANS",INDEX('1-DATA'!$1:$1048576,$A156-1,COLUMN('1-DATA'!AA155)),ROUND(INDEX('1-DATA'!$1:$1048576,IF(OR($B157="STD. DEVIATION",$C$1=1),$A157,$A157+1),COLUMN('1-DATA'!AA155)),IF($B157="STD. DEVIATION",2,$F$1))))</f>
        <v/>
      </c>
      <c r="AC157" s="1" t="str">
        <f>IF(OR($B157="",AC$7=""),"",IF($B157="MEANS",INDEX('1-DATA'!$1:$1048576,$A156-1,COLUMN('1-DATA'!AB155)),ROUND(INDEX('1-DATA'!$1:$1048576,IF(OR($B157="STD. DEVIATION",$C$1=1),$A157,$A157+1),COLUMN('1-DATA'!AB155)),IF($B157="STD. DEVIATION",2,$F$1))))</f>
        <v/>
      </c>
      <c r="AD157" s="1" t="str">
        <f>IF(OR($B157="",AD$7=""),"",IF($B157="MEANS",INDEX('1-DATA'!$1:$1048576,$A156-1,COLUMN('1-DATA'!AC155)),ROUND(INDEX('1-DATA'!$1:$1048576,IF(OR($B157="STD. DEVIATION",$C$1=1),$A157,$A157+1),COLUMN('1-DATA'!AC155)),IF($B157="STD. DEVIATION",2,$F$1))))</f>
        <v/>
      </c>
      <c r="AE157" s="1" t="str">
        <f>IF(OR($B157="",AE$7=""),"",IF($B157="MEANS",INDEX('1-DATA'!$1:$1048576,$A156-1,COLUMN('1-DATA'!AD155)),ROUND(INDEX('1-DATA'!$1:$1048576,IF(OR($B157="STD. DEVIATION",$C$1=1),$A157,$A157+1),COLUMN('1-DATA'!AD155)),IF($B157="STD. DEVIATION",2,$F$1))))</f>
        <v/>
      </c>
      <c r="AF157" s="1" t="str">
        <f>IF(OR($B157="",AF$7=""),"",IF($B157="MEANS",INDEX('1-DATA'!$1:$1048576,$A156-1,COLUMN('1-DATA'!AE155)),ROUND(INDEX('1-DATA'!$1:$1048576,IF(OR($B157="STD. DEVIATION",$C$1=1),$A157,$A157+1),COLUMN('1-DATA'!AE155)),IF($B157="STD. DEVIATION",2,$F$1))))</f>
        <v/>
      </c>
      <c r="AG157" s="1" t="str">
        <f>IF(OR($B157="",AG$7=""),"",IF($B157="MEANS",INDEX('1-DATA'!$1:$1048576,$A156-1,COLUMN('1-DATA'!AF155)),ROUND(INDEX('1-DATA'!$1:$1048576,IF(OR($B157="STD. DEVIATION",$C$1=1),$A157,$A157+1),COLUMN('1-DATA'!AF155)),IF($B157="STD. DEVIATION",2,$F$1))))</f>
        <v/>
      </c>
      <c r="AH157" s="1" t="str">
        <f>IF(OR($B157="",AH$7=""),"",IF($B157="MEANS",INDEX('1-DATA'!$1:$1048576,$A156-1,COLUMN('1-DATA'!AG155)),ROUND(INDEX('1-DATA'!$1:$1048576,IF(OR($B157="STD. DEVIATION",$C$1=1),$A157,$A157+1),COLUMN('1-DATA'!AG155)),IF($B157="STD. DEVIATION",2,$F$1))))</f>
        <v/>
      </c>
      <c r="AI157" s="1" t="str">
        <f>IF(OR($B157="",AI$7=""),"",IF($B157="MEANS",INDEX('1-DATA'!$1:$1048576,$A156-1,COLUMN('1-DATA'!AH155)),ROUND(INDEX('1-DATA'!$1:$1048576,IF(OR($B157="STD. DEVIATION",$C$1=1),$A157,$A157+1),COLUMN('1-DATA'!AH155)),IF($B157="STD. DEVIATION",2,$F$1))))</f>
        <v/>
      </c>
      <c r="AJ157" s="1" t="str">
        <f>IF(OR($B157="",AJ$7=""),"",IF($B157="MEANS",INDEX('1-DATA'!$1:$1048576,$A156-1,COLUMN('1-DATA'!AI155)),ROUND(INDEX('1-DATA'!$1:$1048576,IF(OR($B157="STD. DEVIATION",$C$1=1),$A157,$A157+1),COLUMN('1-DATA'!AI155)),IF($B157="STD. DEVIATION",2,$F$1))))</f>
        <v/>
      </c>
      <c r="AK157" s="1" t="str">
        <f>IF(OR($B157="",AK$7=""),"",IF($B157="MEANS",INDEX('1-DATA'!$1:$1048576,$A156-1,COLUMN('1-DATA'!AJ155)),ROUND(INDEX('1-DATA'!$1:$1048576,IF(OR($B157="STD. DEVIATION",$C$1=1),$A157,$A157+1),COLUMN('1-DATA'!AJ155)),IF($B157="STD. DEVIATION",2,$F$1))))</f>
        <v/>
      </c>
      <c r="AL157" s="1" t="str">
        <f>IF(OR($B157="",AL$7=""),"",IF($B157="MEANS",INDEX('1-DATA'!$1:$1048576,$A156-1,COLUMN('1-DATA'!AK155)),ROUND(INDEX('1-DATA'!$1:$1048576,IF(OR($B157="STD. DEVIATION",$C$1=1),$A157,$A157+1),COLUMN('1-DATA'!AK155)),IF($B157="STD. DEVIATION",2,$F$1))))</f>
        <v/>
      </c>
      <c r="AM157" s="1" t="str">
        <f>IF(OR($B157="",AM$7=""),"",IF($B157="MEANS",INDEX('1-DATA'!$1:$1048576,$A156-1,COLUMN('1-DATA'!AL155)),ROUND(INDEX('1-DATA'!$1:$1048576,IF(OR($B157="STD. DEVIATION",$C$1=1),$A157,$A157+1),COLUMN('1-DATA'!AL155)),IF($B157="STD. DEVIATION",2,$F$1))))</f>
        <v/>
      </c>
      <c r="AN157" s="1" t="str">
        <f>IF(OR($B157="",AN$7=""),"",IF($B157="MEANS",INDEX('1-DATA'!$1:$1048576,$A156-1,COLUMN('1-DATA'!AM155)),ROUND(INDEX('1-DATA'!$1:$1048576,IF(OR($B157="STD. DEVIATION",$C$1=1),$A157,$A157+1),COLUMN('1-DATA'!AM155)),IF($B157="STD. DEVIATION",2,$F$1))))</f>
        <v/>
      </c>
      <c r="AO157" s="1" t="str">
        <f>IF(OR($B157="",AO$7=""),"",IF($B157="MEANS",INDEX('1-DATA'!$1:$1048576,$A156-1,COLUMN('1-DATA'!AN155)),ROUND(INDEX('1-DATA'!$1:$1048576,IF(OR($B157="STD. DEVIATION",$C$1=1),$A157,$A157+1),COLUMN('1-DATA'!AN155)),IF($B157="STD. DEVIATION",2,$F$1))))</f>
        <v/>
      </c>
      <c r="AP157" s="1" t="str">
        <f>IF(OR($B157="",AP$7=""),"",IF($B157="MEANS",INDEX('1-DATA'!$1:$1048576,$A156-1,COLUMN('1-DATA'!AO155)),ROUND(INDEX('1-DATA'!$1:$1048576,IF(OR($B157="STD. DEVIATION",$C$1=1),$A157,$A157+1),COLUMN('1-DATA'!AO155)),IF($B157="STD. DEVIATION",2,$F$1))))</f>
        <v/>
      </c>
      <c r="AQ157" s="1" t="str">
        <f>IF(OR($B157="",AQ$7=""),"",IF($B157="MEANS",INDEX('1-DATA'!$1:$1048576,$A156-1,COLUMN('1-DATA'!AP155)),ROUND(INDEX('1-DATA'!$1:$1048576,IF(OR($B157="STD. DEVIATION",$C$1=1),$A157,$A157+1),COLUMN('1-DATA'!AP155)),IF($B157="STD. DEVIATION",2,$F$1))))</f>
        <v/>
      </c>
      <c r="AR157" s="1" t="str">
        <f>IF(OR($B157="",AR$7=""),"",IF($B157="MEANS",INDEX('1-DATA'!$1:$1048576,$A156-1,COLUMN('1-DATA'!AQ155)),ROUND(INDEX('1-DATA'!$1:$1048576,IF(OR($B157="STD. DEVIATION",$C$1=1),$A157,$A157+1),COLUMN('1-DATA'!AQ155)),IF($B157="STD. DEVIATION",2,$F$1))))</f>
        <v/>
      </c>
      <c r="AS157" s="1" t="str">
        <f>IF(OR($B157="",AS$7=""),"",IF($B157="MEANS",INDEX('1-DATA'!$1:$1048576,$A156-1,COLUMN('1-DATA'!AR155)),ROUND(INDEX('1-DATA'!$1:$1048576,IF(OR($B157="STD. DEVIATION",$C$1=1),$A157,$A157+1),COLUMN('1-DATA'!AR155)),IF($B157="STD. DEVIATION",2,$F$1))))</f>
        <v/>
      </c>
      <c r="AT157" s="1" t="str">
        <f>IF(OR($B157="",AT$7=""),"",IF($B157="MEANS",INDEX('1-DATA'!$1:$1048576,$A156-1,COLUMN('1-DATA'!AS155)),ROUND(INDEX('1-DATA'!$1:$1048576,IF(OR($B157="STD. DEVIATION",$C$1=1),$A157,$A157+1),COLUMN('1-DATA'!AS155)),IF($B157="STD. DEVIATION",2,$F$1))))</f>
        <v/>
      </c>
      <c r="AU157" s="1" t="str">
        <f>IF(OR($B157="",AU$7=""),"",IF($B157="MEANS",INDEX('1-DATA'!$1:$1048576,$A156-1,COLUMN('1-DATA'!AT155)),ROUND(INDEX('1-DATA'!$1:$1048576,IF(OR($B157="STD. DEVIATION",$C$1=1),$A157,$A157+1),COLUMN('1-DATA'!AT155)),IF($B157="STD. DEVIATION",2,$F$1))))</f>
        <v/>
      </c>
      <c r="AV157" s="1" t="str">
        <f>IF(OR($B157="",AV$7=""),"",IF($B157="MEANS",INDEX('1-DATA'!$1:$1048576,$A156-1,COLUMN('1-DATA'!AU155)),ROUND(INDEX('1-DATA'!$1:$1048576,IF(OR($B157="STD. DEVIATION",$C$1=1),$A157,$A157+1),COLUMN('1-DATA'!AU155)),IF($B157="STD. DEVIATION",2,$F$1))))</f>
        <v/>
      </c>
      <c r="AW157" s="1" t="str">
        <f>IF(OR($B157="",AW$7=""),"",IF($B157="MEANS",INDEX('1-DATA'!$1:$1048576,$A156-1,COLUMN('1-DATA'!AV155)),ROUND(INDEX('1-DATA'!$1:$1048576,IF(OR($B157="STD. DEVIATION",$C$1=1),$A157,$A157+1),COLUMN('1-DATA'!AV155)),IF($B157="STD. DEVIATION",2,$F$1))))</f>
        <v/>
      </c>
      <c r="AX157" s="1" t="str">
        <f>IF(OR($B157="",AX$7=""),"",IF($B157="MEANS",INDEX('1-DATA'!$1:$1048576,$A156-1,COLUMN('1-DATA'!AW155)),ROUND(INDEX('1-DATA'!$1:$1048576,IF(OR($B157="STD. DEVIATION",$C$1=1),$A157,$A157+1),COLUMN('1-DATA'!AW155)),IF($B157="STD. DEVIATION",2,$F$1))))</f>
        <v/>
      </c>
      <c r="AY157" s="1" t="str">
        <f>IF(OR($B157="",AY$7=""),"",IF($B157="MEANS",INDEX('1-DATA'!$1:$1048576,$A156-1,COLUMN('1-DATA'!AX155)),ROUND(INDEX('1-DATA'!$1:$1048576,IF(OR($B157="STD. DEVIATION",$C$1=1),$A157,$A157+1),COLUMN('1-DATA'!AX155)),IF($B157="STD. DEVIATION",2,$F$1))))</f>
        <v/>
      </c>
      <c r="AZ157" s="1" t="str">
        <f>IF(OR($B157="",AZ$7=""),"",IF($B157="MEANS",INDEX('1-DATA'!$1:$1048576,$A156-1,COLUMN('1-DATA'!AY155)),ROUND(INDEX('1-DATA'!$1:$1048576,IF(OR($B157="STD. DEVIATION",$C$1=1),$A157,$A157+1),COLUMN('1-DATA'!AY155)),IF($B157="STD. DEVIATION",2,$F$1))))</f>
        <v/>
      </c>
    </row>
    <row r="158" spans="1:52" x14ac:dyDescent="0.25">
      <c r="A158" s="11">
        <f t="shared" ref="A158:A221" si="3">A157+3</f>
        <v>460</v>
      </c>
      <c r="B158" s="1" t="str">
        <f>IF(B157="STD. DEVIATION",INDEX('1-DATA'!$1:$1048576,$A157-1,1),IF(INDEX('1-DATA'!$1:$1048576,$A158,1)&lt;&gt;"",INDEX('1-DATA'!$1:$1048576,$A158,1),""))</f>
        <v/>
      </c>
      <c r="C158" s="1" t="str">
        <f>IF(OR($B158="",C$7=""),"",IF($B158="MEANS",INDEX('1-DATA'!$1:$1048576,$A157-1,COLUMN('1-DATA'!B156)),ROUND(INDEX('1-DATA'!$1:$1048576,IF(OR($B158="STD. DEVIATION",$C$1=1),$A158,$A158+1),COLUMN('1-DATA'!B156)),IF($B158="STD. DEVIATION",2,$F$1))))</f>
        <v/>
      </c>
      <c r="D158" s="1" t="str">
        <f>IF(OR($B158="",D$7=""),"",IF($B158="MEANS",INDEX('1-DATA'!$1:$1048576,$A157-1,COLUMN('1-DATA'!C156)),ROUND(INDEX('1-DATA'!$1:$1048576,IF(OR($B158="STD. DEVIATION",$C$1=1),$A158,$A158+1),COLUMN('1-DATA'!C156)),IF($B158="STD. DEVIATION",2,$F$1))))</f>
        <v/>
      </c>
      <c r="E158" s="1" t="str">
        <f>IF(OR($B158="",E$7=""),"",IF($B158="MEANS",INDEX('1-DATA'!$1:$1048576,$A157-1,COLUMN('1-DATA'!D156)),ROUND(INDEX('1-DATA'!$1:$1048576,IF(OR($B158="STD. DEVIATION",$C$1=1),$A158,$A158+1),COLUMN('1-DATA'!D156)),IF($B158="STD. DEVIATION",2,$F$1))))</f>
        <v/>
      </c>
      <c r="F158" s="1" t="str">
        <f>IF(OR($B158="",F$7=""),"",IF($B158="MEANS",INDEX('1-DATA'!$1:$1048576,$A157-1,COLUMN('1-DATA'!E156)),ROUND(INDEX('1-DATA'!$1:$1048576,IF(OR($B158="STD. DEVIATION",$C$1=1),$A158,$A158+1),COLUMN('1-DATA'!E156)),IF($B158="STD. DEVIATION",2,$F$1))))</f>
        <v/>
      </c>
      <c r="G158" s="1" t="str">
        <f>IF(OR($B158="",G$7=""),"",IF($B158="MEANS",INDEX('1-DATA'!$1:$1048576,$A157-1,COLUMN('1-DATA'!F156)),ROUND(INDEX('1-DATA'!$1:$1048576,IF(OR($B158="STD. DEVIATION",$C$1=1),$A158,$A158+1),COLUMN('1-DATA'!F156)),IF($B158="STD. DEVIATION",2,$F$1))))</f>
        <v/>
      </c>
      <c r="H158" s="1" t="str">
        <f>IF(OR($B158="",H$7=""),"",IF($B158="MEANS",INDEX('1-DATA'!$1:$1048576,$A157-1,COLUMN('1-DATA'!G156)),ROUND(INDEX('1-DATA'!$1:$1048576,IF(OR($B158="STD. DEVIATION",$C$1=1),$A158,$A158+1),COLUMN('1-DATA'!G156)),IF($B158="STD. DEVIATION",2,$F$1))))</f>
        <v/>
      </c>
      <c r="I158" s="1" t="str">
        <f>IF(OR($B158="",I$7=""),"",IF($B158="MEANS",INDEX('1-DATA'!$1:$1048576,$A157-1,COLUMN('1-DATA'!H156)),ROUND(INDEX('1-DATA'!$1:$1048576,IF(OR($B158="STD. DEVIATION",$C$1=1),$A158,$A158+1),COLUMN('1-DATA'!H156)),IF($B158="STD. DEVIATION",2,$F$1))))</f>
        <v/>
      </c>
      <c r="J158" s="1" t="str">
        <f>IF(OR($B158="",J$7=""),"",IF($B158="MEANS",INDEX('1-DATA'!$1:$1048576,$A157-1,COLUMN('1-DATA'!I156)),ROUND(INDEX('1-DATA'!$1:$1048576,IF(OR($B158="STD. DEVIATION",$C$1=1),$A158,$A158+1),COLUMN('1-DATA'!I156)),IF($B158="STD. DEVIATION",2,$F$1))))</f>
        <v/>
      </c>
      <c r="K158" s="1" t="str">
        <f>IF(OR($B158="",K$7=""),"",IF($B158="MEANS",INDEX('1-DATA'!$1:$1048576,$A157-1,COLUMN('1-DATA'!J156)),ROUND(INDEX('1-DATA'!$1:$1048576,IF(OR($B158="STD. DEVIATION",$C$1=1),$A158,$A158+1),COLUMN('1-DATA'!J156)),IF($B158="STD. DEVIATION",2,$F$1))))</f>
        <v/>
      </c>
      <c r="L158" s="1" t="str">
        <f>IF(OR($B158="",L$7=""),"",IF($B158="MEANS",INDEX('1-DATA'!$1:$1048576,$A157-1,COLUMN('1-DATA'!K156)),ROUND(INDEX('1-DATA'!$1:$1048576,IF(OR($B158="STD. DEVIATION",$C$1=1),$A158,$A158+1),COLUMN('1-DATA'!K156)),IF($B158="STD. DEVIATION",2,$F$1))))</f>
        <v/>
      </c>
      <c r="M158" s="1" t="str">
        <f>IF(OR($B158="",M$7=""),"",IF($B158="MEANS",INDEX('1-DATA'!$1:$1048576,$A157-1,COLUMN('1-DATA'!L156)),ROUND(INDEX('1-DATA'!$1:$1048576,IF(OR($B158="STD. DEVIATION",$C$1=1),$A158,$A158+1),COLUMN('1-DATA'!L156)),IF($B158="STD. DEVIATION",2,$F$1))))</f>
        <v/>
      </c>
      <c r="N158" s="1" t="str">
        <f>IF(OR($B158="",N$7=""),"",IF($B158="MEANS",INDEX('1-DATA'!$1:$1048576,$A157-1,COLUMN('1-DATA'!M156)),ROUND(INDEX('1-DATA'!$1:$1048576,IF(OR($B158="STD. DEVIATION",$C$1=1),$A158,$A158+1),COLUMN('1-DATA'!M156)),IF($B158="STD. DEVIATION",2,$F$1))))</f>
        <v/>
      </c>
      <c r="O158" s="1" t="str">
        <f>IF(OR($B158="",O$7=""),"",IF($B158="MEANS",INDEX('1-DATA'!$1:$1048576,$A157-1,COLUMN('1-DATA'!N156)),ROUND(INDEX('1-DATA'!$1:$1048576,IF(OR($B158="STD. DEVIATION",$C$1=1),$A158,$A158+1),COLUMN('1-DATA'!N156)),IF($B158="STD. DEVIATION",2,$F$1))))</f>
        <v/>
      </c>
      <c r="P158" s="1" t="str">
        <f>IF(OR($B158="",P$7=""),"",IF($B158="MEANS",INDEX('1-DATA'!$1:$1048576,$A157-1,COLUMN('1-DATA'!O156)),ROUND(INDEX('1-DATA'!$1:$1048576,IF(OR($B158="STD. DEVIATION",$C$1=1),$A158,$A158+1),COLUMN('1-DATA'!O156)),IF($B158="STD. DEVIATION",2,$F$1))))</f>
        <v/>
      </c>
      <c r="Q158" s="1" t="str">
        <f>IF(OR($B158="",Q$7=""),"",IF($B158="MEANS",INDEX('1-DATA'!$1:$1048576,$A157-1,COLUMN('1-DATA'!P156)),ROUND(INDEX('1-DATA'!$1:$1048576,IF(OR($B158="STD. DEVIATION",$C$1=1),$A158,$A158+1),COLUMN('1-DATA'!P156)),IF($B158="STD. DEVIATION",2,$F$1))))</f>
        <v/>
      </c>
      <c r="R158" s="1" t="str">
        <f>IF(OR($B158="",R$7=""),"",IF($B158="MEANS",INDEX('1-DATA'!$1:$1048576,$A157-1,COLUMN('1-DATA'!Q156)),ROUND(INDEX('1-DATA'!$1:$1048576,IF(OR($B158="STD. DEVIATION",$C$1=1),$A158,$A158+1),COLUMN('1-DATA'!Q156)),IF($B158="STD. DEVIATION",2,$F$1))))</f>
        <v/>
      </c>
      <c r="S158" s="1" t="str">
        <f>IF(OR($B158="",S$7=""),"",IF($B158="MEANS",INDEX('1-DATA'!$1:$1048576,$A157-1,COLUMN('1-DATA'!R156)),ROUND(INDEX('1-DATA'!$1:$1048576,IF(OR($B158="STD. DEVIATION",$C$1=1),$A158,$A158+1),COLUMN('1-DATA'!R156)),IF($B158="STD. DEVIATION",2,$F$1))))</f>
        <v/>
      </c>
      <c r="T158" s="1" t="str">
        <f>IF(OR($B158="",T$7=""),"",IF($B158="MEANS",INDEX('1-DATA'!$1:$1048576,$A157-1,COLUMN('1-DATA'!S156)),ROUND(INDEX('1-DATA'!$1:$1048576,IF(OR($B158="STD. DEVIATION",$C$1=1),$A158,$A158+1),COLUMN('1-DATA'!S156)),IF($B158="STD. DEVIATION",2,$F$1))))</f>
        <v/>
      </c>
      <c r="U158" s="1" t="str">
        <f>IF(OR($B158="",U$7=""),"",IF($B158="MEANS",INDEX('1-DATA'!$1:$1048576,$A157-1,COLUMN('1-DATA'!T156)),ROUND(INDEX('1-DATA'!$1:$1048576,IF(OR($B158="STD. DEVIATION",$C$1=1),$A158,$A158+1),COLUMN('1-DATA'!T156)),IF($B158="STD. DEVIATION",2,$F$1))))</f>
        <v/>
      </c>
      <c r="V158" s="1" t="str">
        <f>IF(OR($B158="",V$7=""),"",IF($B158="MEANS",INDEX('1-DATA'!$1:$1048576,$A157-1,COLUMN('1-DATA'!U156)),ROUND(INDEX('1-DATA'!$1:$1048576,IF(OR($B158="STD. DEVIATION",$C$1=1),$A158,$A158+1),COLUMN('1-DATA'!U156)),IF($B158="STD. DEVIATION",2,$F$1))))</f>
        <v/>
      </c>
      <c r="W158" s="1" t="str">
        <f>IF(OR($B158="",W$7=""),"",IF($B158="MEANS",INDEX('1-DATA'!$1:$1048576,$A157-1,COLUMN('1-DATA'!V156)),ROUND(INDEX('1-DATA'!$1:$1048576,IF(OR($B158="STD. DEVIATION",$C$1=1),$A158,$A158+1),COLUMN('1-DATA'!V156)),IF($B158="STD. DEVIATION",2,$F$1))))</f>
        <v/>
      </c>
      <c r="X158" s="1" t="str">
        <f>IF(OR($B158="",X$7=""),"",IF($B158="MEANS",INDEX('1-DATA'!$1:$1048576,$A157-1,COLUMN('1-DATA'!W156)),ROUND(INDEX('1-DATA'!$1:$1048576,IF(OR($B158="STD. DEVIATION",$C$1=1),$A158,$A158+1),COLUMN('1-DATA'!W156)),IF($B158="STD. DEVIATION",2,$F$1))))</f>
        <v/>
      </c>
      <c r="Y158" s="1" t="str">
        <f>IF(OR($B158="",Y$7=""),"",IF($B158="MEANS",INDEX('1-DATA'!$1:$1048576,$A157-1,COLUMN('1-DATA'!X156)),ROUND(INDEX('1-DATA'!$1:$1048576,IF(OR($B158="STD. DEVIATION",$C$1=1),$A158,$A158+1),COLUMN('1-DATA'!X156)),IF($B158="STD. DEVIATION",2,$F$1))))</f>
        <v/>
      </c>
      <c r="Z158" s="1" t="str">
        <f>IF(OR($B158="",Z$7=""),"",IF($B158="MEANS",INDEX('1-DATA'!$1:$1048576,$A157-1,COLUMN('1-DATA'!Y156)),ROUND(INDEX('1-DATA'!$1:$1048576,IF(OR($B158="STD. DEVIATION",$C$1=1),$A158,$A158+1),COLUMN('1-DATA'!Y156)),IF($B158="STD. DEVIATION",2,$F$1))))</f>
        <v/>
      </c>
      <c r="AA158" s="1" t="str">
        <f>IF(OR($B158="",AA$7=""),"",IF($B158="MEANS",INDEX('1-DATA'!$1:$1048576,$A157-1,COLUMN('1-DATA'!Z156)),ROUND(INDEX('1-DATA'!$1:$1048576,IF(OR($B158="STD. DEVIATION",$C$1=1),$A158,$A158+1),COLUMN('1-DATA'!Z156)),IF($B158="STD. DEVIATION",2,$F$1))))</f>
        <v/>
      </c>
      <c r="AB158" s="1" t="str">
        <f>IF(OR($B158="",AB$7=""),"",IF($B158="MEANS",INDEX('1-DATA'!$1:$1048576,$A157-1,COLUMN('1-DATA'!AA156)),ROUND(INDEX('1-DATA'!$1:$1048576,IF(OR($B158="STD. DEVIATION",$C$1=1),$A158,$A158+1),COLUMN('1-DATA'!AA156)),IF($B158="STD. DEVIATION",2,$F$1))))</f>
        <v/>
      </c>
      <c r="AC158" s="1" t="str">
        <f>IF(OR($B158="",AC$7=""),"",IF($B158="MEANS",INDEX('1-DATA'!$1:$1048576,$A157-1,COLUMN('1-DATA'!AB156)),ROUND(INDEX('1-DATA'!$1:$1048576,IF(OR($B158="STD. DEVIATION",$C$1=1),$A158,$A158+1),COLUMN('1-DATA'!AB156)),IF($B158="STD. DEVIATION",2,$F$1))))</f>
        <v/>
      </c>
      <c r="AD158" s="1" t="str">
        <f>IF(OR($B158="",AD$7=""),"",IF($B158="MEANS",INDEX('1-DATA'!$1:$1048576,$A157-1,COLUMN('1-DATA'!AC156)),ROUND(INDEX('1-DATA'!$1:$1048576,IF(OR($B158="STD. DEVIATION",$C$1=1),$A158,$A158+1),COLUMN('1-DATA'!AC156)),IF($B158="STD. DEVIATION",2,$F$1))))</f>
        <v/>
      </c>
      <c r="AE158" s="1" t="str">
        <f>IF(OR($B158="",AE$7=""),"",IF($B158="MEANS",INDEX('1-DATA'!$1:$1048576,$A157-1,COLUMN('1-DATA'!AD156)),ROUND(INDEX('1-DATA'!$1:$1048576,IF(OR($B158="STD. DEVIATION",$C$1=1),$A158,$A158+1),COLUMN('1-DATA'!AD156)),IF($B158="STD. DEVIATION",2,$F$1))))</f>
        <v/>
      </c>
      <c r="AF158" s="1" t="str">
        <f>IF(OR($B158="",AF$7=""),"",IF($B158="MEANS",INDEX('1-DATA'!$1:$1048576,$A157-1,COLUMN('1-DATA'!AE156)),ROUND(INDEX('1-DATA'!$1:$1048576,IF(OR($B158="STD. DEVIATION",$C$1=1),$A158,$A158+1),COLUMN('1-DATA'!AE156)),IF($B158="STD. DEVIATION",2,$F$1))))</f>
        <v/>
      </c>
      <c r="AG158" s="1" t="str">
        <f>IF(OR($B158="",AG$7=""),"",IF($B158="MEANS",INDEX('1-DATA'!$1:$1048576,$A157-1,COLUMN('1-DATA'!AF156)),ROUND(INDEX('1-DATA'!$1:$1048576,IF(OR($B158="STD. DEVIATION",$C$1=1),$A158,$A158+1),COLUMN('1-DATA'!AF156)),IF($B158="STD. DEVIATION",2,$F$1))))</f>
        <v/>
      </c>
      <c r="AH158" s="1" t="str">
        <f>IF(OR($B158="",AH$7=""),"",IF($B158="MEANS",INDEX('1-DATA'!$1:$1048576,$A157-1,COLUMN('1-DATA'!AG156)),ROUND(INDEX('1-DATA'!$1:$1048576,IF(OR($B158="STD. DEVIATION",$C$1=1),$A158,$A158+1),COLUMN('1-DATA'!AG156)),IF($B158="STD. DEVIATION",2,$F$1))))</f>
        <v/>
      </c>
      <c r="AI158" s="1" t="str">
        <f>IF(OR($B158="",AI$7=""),"",IF($B158="MEANS",INDEX('1-DATA'!$1:$1048576,$A157-1,COLUMN('1-DATA'!AH156)),ROUND(INDEX('1-DATA'!$1:$1048576,IF(OR($B158="STD. DEVIATION",$C$1=1),$A158,$A158+1),COLUMN('1-DATA'!AH156)),IF($B158="STD. DEVIATION",2,$F$1))))</f>
        <v/>
      </c>
      <c r="AJ158" s="1" t="str">
        <f>IF(OR($B158="",AJ$7=""),"",IF($B158="MEANS",INDEX('1-DATA'!$1:$1048576,$A157-1,COLUMN('1-DATA'!AI156)),ROUND(INDEX('1-DATA'!$1:$1048576,IF(OR($B158="STD. DEVIATION",$C$1=1),$A158,$A158+1),COLUMN('1-DATA'!AI156)),IF($B158="STD. DEVIATION",2,$F$1))))</f>
        <v/>
      </c>
      <c r="AK158" s="1" t="str">
        <f>IF(OR($B158="",AK$7=""),"",IF($B158="MEANS",INDEX('1-DATA'!$1:$1048576,$A157-1,COLUMN('1-DATA'!AJ156)),ROUND(INDEX('1-DATA'!$1:$1048576,IF(OR($B158="STD. DEVIATION",$C$1=1),$A158,$A158+1),COLUMN('1-DATA'!AJ156)),IF($B158="STD. DEVIATION",2,$F$1))))</f>
        <v/>
      </c>
      <c r="AL158" s="1" t="str">
        <f>IF(OR($B158="",AL$7=""),"",IF($B158="MEANS",INDEX('1-DATA'!$1:$1048576,$A157-1,COLUMN('1-DATA'!AK156)),ROUND(INDEX('1-DATA'!$1:$1048576,IF(OR($B158="STD. DEVIATION",$C$1=1),$A158,$A158+1),COLUMN('1-DATA'!AK156)),IF($B158="STD. DEVIATION",2,$F$1))))</f>
        <v/>
      </c>
      <c r="AM158" s="1" t="str">
        <f>IF(OR($B158="",AM$7=""),"",IF($B158="MEANS",INDEX('1-DATA'!$1:$1048576,$A157-1,COLUMN('1-DATA'!AL156)),ROUND(INDEX('1-DATA'!$1:$1048576,IF(OR($B158="STD. DEVIATION",$C$1=1),$A158,$A158+1),COLUMN('1-DATA'!AL156)),IF($B158="STD. DEVIATION",2,$F$1))))</f>
        <v/>
      </c>
      <c r="AN158" s="1" t="str">
        <f>IF(OR($B158="",AN$7=""),"",IF($B158="MEANS",INDEX('1-DATA'!$1:$1048576,$A157-1,COLUMN('1-DATA'!AM156)),ROUND(INDEX('1-DATA'!$1:$1048576,IF(OR($B158="STD. DEVIATION",$C$1=1),$A158,$A158+1),COLUMN('1-DATA'!AM156)),IF($B158="STD. DEVIATION",2,$F$1))))</f>
        <v/>
      </c>
      <c r="AO158" s="1" t="str">
        <f>IF(OR($B158="",AO$7=""),"",IF($B158="MEANS",INDEX('1-DATA'!$1:$1048576,$A157-1,COLUMN('1-DATA'!AN156)),ROUND(INDEX('1-DATA'!$1:$1048576,IF(OR($B158="STD. DEVIATION",$C$1=1),$A158,$A158+1),COLUMN('1-DATA'!AN156)),IF($B158="STD. DEVIATION",2,$F$1))))</f>
        <v/>
      </c>
      <c r="AP158" s="1" t="str">
        <f>IF(OR($B158="",AP$7=""),"",IF($B158="MEANS",INDEX('1-DATA'!$1:$1048576,$A157-1,COLUMN('1-DATA'!AO156)),ROUND(INDEX('1-DATA'!$1:$1048576,IF(OR($B158="STD. DEVIATION",$C$1=1),$A158,$A158+1),COLUMN('1-DATA'!AO156)),IF($B158="STD. DEVIATION",2,$F$1))))</f>
        <v/>
      </c>
      <c r="AQ158" s="1" t="str">
        <f>IF(OR($B158="",AQ$7=""),"",IF($B158="MEANS",INDEX('1-DATA'!$1:$1048576,$A157-1,COLUMN('1-DATA'!AP156)),ROUND(INDEX('1-DATA'!$1:$1048576,IF(OR($B158="STD. DEVIATION",$C$1=1),$A158,$A158+1),COLUMN('1-DATA'!AP156)),IF($B158="STD. DEVIATION",2,$F$1))))</f>
        <v/>
      </c>
      <c r="AR158" s="1" t="str">
        <f>IF(OR($B158="",AR$7=""),"",IF($B158="MEANS",INDEX('1-DATA'!$1:$1048576,$A157-1,COLUMN('1-DATA'!AQ156)),ROUND(INDEX('1-DATA'!$1:$1048576,IF(OR($B158="STD. DEVIATION",$C$1=1),$A158,$A158+1),COLUMN('1-DATA'!AQ156)),IF($B158="STD. DEVIATION",2,$F$1))))</f>
        <v/>
      </c>
      <c r="AS158" s="1" t="str">
        <f>IF(OR($B158="",AS$7=""),"",IF($B158="MEANS",INDEX('1-DATA'!$1:$1048576,$A157-1,COLUMN('1-DATA'!AR156)),ROUND(INDEX('1-DATA'!$1:$1048576,IF(OR($B158="STD. DEVIATION",$C$1=1),$A158,$A158+1),COLUMN('1-DATA'!AR156)),IF($B158="STD. DEVIATION",2,$F$1))))</f>
        <v/>
      </c>
      <c r="AT158" s="1" t="str">
        <f>IF(OR($B158="",AT$7=""),"",IF($B158="MEANS",INDEX('1-DATA'!$1:$1048576,$A157-1,COLUMN('1-DATA'!AS156)),ROUND(INDEX('1-DATA'!$1:$1048576,IF(OR($B158="STD. DEVIATION",$C$1=1),$A158,$A158+1),COLUMN('1-DATA'!AS156)),IF($B158="STD. DEVIATION",2,$F$1))))</f>
        <v/>
      </c>
      <c r="AU158" s="1" t="str">
        <f>IF(OR($B158="",AU$7=""),"",IF($B158="MEANS",INDEX('1-DATA'!$1:$1048576,$A157-1,COLUMN('1-DATA'!AT156)),ROUND(INDEX('1-DATA'!$1:$1048576,IF(OR($B158="STD. DEVIATION",$C$1=1),$A158,$A158+1),COLUMN('1-DATA'!AT156)),IF($B158="STD. DEVIATION",2,$F$1))))</f>
        <v/>
      </c>
      <c r="AV158" s="1" t="str">
        <f>IF(OR($B158="",AV$7=""),"",IF($B158="MEANS",INDEX('1-DATA'!$1:$1048576,$A157-1,COLUMN('1-DATA'!AU156)),ROUND(INDEX('1-DATA'!$1:$1048576,IF(OR($B158="STD. DEVIATION",$C$1=1),$A158,$A158+1),COLUMN('1-DATA'!AU156)),IF($B158="STD. DEVIATION",2,$F$1))))</f>
        <v/>
      </c>
      <c r="AW158" s="1" t="str">
        <f>IF(OR($B158="",AW$7=""),"",IF($B158="MEANS",INDEX('1-DATA'!$1:$1048576,$A157-1,COLUMN('1-DATA'!AV156)),ROUND(INDEX('1-DATA'!$1:$1048576,IF(OR($B158="STD. DEVIATION",$C$1=1),$A158,$A158+1),COLUMN('1-DATA'!AV156)),IF($B158="STD. DEVIATION",2,$F$1))))</f>
        <v/>
      </c>
      <c r="AX158" s="1" t="str">
        <f>IF(OR($B158="",AX$7=""),"",IF($B158="MEANS",INDEX('1-DATA'!$1:$1048576,$A157-1,COLUMN('1-DATA'!AW156)),ROUND(INDEX('1-DATA'!$1:$1048576,IF(OR($B158="STD. DEVIATION",$C$1=1),$A158,$A158+1),COLUMN('1-DATA'!AW156)),IF($B158="STD. DEVIATION",2,$F$1))))</f>
        <v/>
      </c>
      <c r="AY158" s="1" t="str">
        <f>IF(OR($B158="",AY$7=""),"",IF($B158="MEANS",INDEX('1-DATA'!$1:$1048576,$A157-1,COLUMN('1-DATA'!AX156)),ROUND(INDEX('1-DATA'!$1:$1048576,IF(OR($B158="STD. DEVIATION",$C$1=1),$A158,$A158+1),COLUMN('1-DATA'!AX156)),IF($B158="STD. DEVIATION",2,$F$1))))</f>
        <v/>
      </c>
      <c r="AZ158" s="1" t="str">
        <f>IF(OR($B158="",AZ$7=""),"",IF($B158="MEANS",INDEX('1-DATA'!$1:$1048576,$A157-1,COLUMN('1-DATA'!AY156)),ROUND(INDEX('1-DATA'!$1:$1048576,IF(OR($B158="STD. DEVIATION",$C$1=1),$A158,$A158+1),COLUMN('1-DATA'!AY156)),IF($B158="STD. DEVIATION",2,$F$1))))</f>
        <v/>
      </c>
    </row>
    <row r="159" spans="1:52" x14ac:dyDescent="0.25">
      <c r="A159" s="11">
        <f t="shared" si="3"/>
        <v>463</v>
      </c>
      <c r="B159" s="1" t="str">
        <f>IF(B158="STD. DEVIATION",INDEX('1-DATA'!$1:$1048576,$A158-1,1),IF(INDEX('1-DATA'!$1:$1048576,$A159,1)&lt;&gt;"",INDEX('1-DATA'!$1:$1048576,$A159,1),""))</f>
        <v/>
      </c>
      <c r="C159" s="1" t="str">
        <f>IF(OR($B159="",C$7=""),"",IF($B159="MEANS",INDEX('1-DATA'!$1:$1048576,$A158-1,COLUMN('1-DATA'!B157)),ROUND(INDEX('1-DATA'!$1:$1048576,IF(OR($B159="STD. DEVIATION",$C$1=1),$A159,$A159+1),COLUMN('1-DATA'!B157)),IF($B159="STD. DEVIATION",2,$F$1))))</f>
        <v/>
      </c>
      <c r="D159" s="1" t="str">
        <f>IF(OR($B159="",D$7=""),"",IF($B159="MEANS",INDEX('1-DATA'!$1:$1048576,$A158-1,COLUMN('1-DATA'!C157)),ROUND(INDEX('1-DATA'!$1:$1048576,IF(OR($B159="STD. DEVIATION",$C$1=1),$A159,$A159+1),COLUMN('1-DATA'!C157)),IF($B159="STD. DEVIATION",2,$F$1))))</f>
        <v/>
      </c>
      <c r="E159" s="1" t="str">
        <f>IF(OR($B159="",E$7=""),"",IF($B159="MEANS",INDEX('1-DATA'!$1:$1048576,$A158-1,COLUMN('1-DATA'!D157)),ROUND(INDEX('1-DATA'!$1:$1048576,IF(OR($B159="STD. DEVIATION",$C$1=1),$A159,$A159+1),COLUMN('1-DATA'!D157)),IF($B159="STD. DEVIATION",2,$F$1))))</f>
        <v/>
      </c>
      <c r="F159" s="1" t="str">
        <f>IF(OR($B159="",F$7=""),"",IF($B159="MEANS",INDEX('1-DATA'!$1:$1048576,$A158-1,COLUMN('1-DATA'!E157)),ROUND(INDEX('1-DATA'!$1:$1048576,IF(OR($B159="STD. DEVIATION",$C$1=1),$A159,$A159+1),COLUMN('1-DATA'!E157)),IF($B159="STD. DEVIATION",2,$F$1))))</f>
        <v/>
      </c>
      <c r="G159" s="1" t="str">
        <f>IF(OR($B159="",G$7=""),"",IF($B159="MEANS",INDEX('1-DATA'!$1:$1048576,$A158-1,COLUMN('1-DATA'!F157)),ROUND(INDEX('1-DATA'!$1:$1048576,IF(OR($B159="STD. DEVIATION",$C$1=1),$A159,$A159+1),COLUMN('1-DATA'!F157)),IF($B159="STD. DEVIATION",2,$F$1))))</f>
        <v/>
      </c>
      <c r="H159" s="1" t="str">
        <f>IF(OR($B159="",H$7=""),"",IF($B159="MEANS",INDEX('1-DATA'!$1:$1048576,$A158-1,COLUMN('1-DATA'!G157)),ROUND(INDEX('1-DATA'!$1:$1048576,IF(OR($B159="STD. DEVIATION",$C$1=1),$A159,$A159+1),COLUMN('1-DATA'!G157)),IF($B159="STD. DEVIATION",2,$F$1))))</f>
        <v/>
      </c>
      <c r="I159" s="1" t="str">
        <f>IF(OR($B159="",I$7=""),"",IF($B159="MEANS",INDEX('1-DATA'!$1:$1048576,$A158-1,COLUMN('1-DATA'!H157)),ROUND(INDEX('1-DATA'!$1:$1048576,IF(OR($B159="STD. DEVIATION",$C$1=1),$A159,$A159+1),COLUMN('1-DATA'!H157)),IF($B159="STD. DEVIATION",2,$F$1))))</f>
        <v/>
      </c>
      <c r="J159" s="1" t="str">
        <f>IF(OR($B159="",J$7=""),"",IF($B159="MEANS",INDEX('1-DATA'!$1:$1048576,$A158-1,COLUMN('1-DATA'!I157)),ROUND(INDEX('1-DATA'!$1:$1048576,IF(OR($B159="STD. DEVIATION",$C$1=1),$A159,$A159+1),COLUMN('1-DATA'!I157)),IF($B159="STD. DEVIATION",2,$F$1))))</f>
        <v/>
      </c>
      <c r="K159" s="1" t="str">
        <f>IF(OR($B159="",K$7=""),"",IF($B159="MEANS",INDEX('1-DATA'!$1:$1048576,$A158-1,COLUMN('1-DATA'!J157)),ROUND(INDEX('1-DATA'!$1:$1048576,IF(OR($B159="STD. DEVIATION",$C$1=1),$A159,$A159+1),COLUMN('1-DATA'!J157)),IF($B159="STD. DEVIATION",2,$F$1))))</f>
        <v/>
      </c>
      <c r="L159" s="1" t="str">
        <f>IF(OR($B159="",L$7=""),"",IF($B159="MEANS",INDEX('1-DATA'!$1:$1048576,$A158-1,COLUMN('1-DATA'!K157)),ROUND(INDEX('1-DATA'!$1:$1048576,IF(OR($B159="STD. DEVIATION",$C$1=1),$A159,$A159+1),COLUMN('1-DATA'!K157)),IF($B159="STD. DEVIATION",2,$F$1))))</f>
        <v/>
      </c>
      <c r="M159" s="1" t="str">
        <f>IF(OR($B159="",M$7=""),"",IF($B159="MEANS",INDEX('1-DATA'!$1:$1048576,$A158-1,COLUMN('1-DATA'!L157)),ROUND(INDEX('1-DATA'!$1:$1048576,IF(OR($B159="STD. DEVIATION",$C$1=1),$A159,$A159+1),COLUMN('1-DATA'!L157)),IF($B159="STD. DEVIATION",2,$F$1))))</f>
        <v/>
      </c>
      <c r="N159" s="1" t="str">
        <f>IF(OR($B159="",N$7=""),"",IF($B159="MEANS",INDEX('1-DATA'!$1:$1048576,$A158-1,COLUMN('1-DATA'!M157)),ROUND(INDEX('1-DATA'!$1:$1048576,IF(OR($B159="STD. DEVIATION",$C$1=1),$A159,$A159+1),COLUMN('1-DATA'!M157)),IF($B159="STD. DEVIATION",2,$F$1))))</f>
        <v/>
      </c>
      <c r="O159" s="1" t="str">
        <f>IF(OR($B159="",O$7=""),"",IF($B159="MEANS",INDEX('1-DATA'!$1:$1048576,$A158-1,COLUMN('1-DATA'!N157)),ROUND(INDEX('1-DATA'!$1:$1048576,IF(OR($B159="STD. DEVIATION",$C$1=1),$A159,$A159+1),COLUMN('1-DATA'!N157)),IF($B159="STD. DEVIATION",2,$F$1))))</f>
        <v/>
      </c>
      <c r="P159" s="1" t="str">
        <f>IF(OR($B159="",P$7=""),"",IF($B159="MEANS",INDEX('1-DATA'!$1:$1048576,$A158-1,COLUMN('1-DATA'!O157)),ROUND(INDEX('1-DATA'!$1:$1048576,IF(OR($B159="STD. DEVIATION",$C$1=1),$A159,$A159+1),COLUMN('1-DATA'!O157)),IF($B159="STD. DEVIATION",2,$F$1))))</f>
        <v/>
      </c>
      <c r="Q159" s="1" t="str">
        <f>IF(OR($B159="",Q$7=""),"",IF($B159="MEANS",INDEX('1-DATA'!$1:$1048576,$A158-1,COLUMN('1-DATA'!P157)),ROUND(INDEX('1-DATA'!$1:$1048576,IF(OR($B159="STD. DEVIATION",$C$1=1),$A159,$A159+1),COLUMN('1-DATA'!P157)),IF($B159="STD. DEVIATION",2,$F$1))))</f>
        <v/>
      </c>
      <c r="R159" s="1" t="str">
        <f>IF(OR($B159="",R$7=""),"",IF($B159="MEANS",INDEX('1-DATA'!$1:$1048576,$A158-1,COLUMN('1-DATA'!Q157)),ROUND(INDEX('1-DATA'!$1:$1048576,IF(OR($B159="STD. DEVIATION",$C$1=1),$A159,$A159+1),COLUMN('1-DATA'!Q157)),IF($B159="STD. DEVIATION",2,$F$1))))</f>
        <v/>
      </c>
      <c r="S159" s="1" t="str">
        <f>IF(OR($B159="",S$7=""),"",IF($B159="MEANS",INDEX('1-DATA'!$1:$1048576,$A158-1,COLUMN('1-DATA'!R157)),ROUND(INDEX('1-DATA'!$1:$1048576,IF(OR($B159="STD. DEVIATION",$C$1=1),$A159,$A159+1),COLUMN('1-DATA'!R157)),IF($B159="STD. DEVIATION",2,$F$1))))</f>
        <v/>
      </c>
      <c r="T159" s="1" t="str">
        <f>IF(OR($B159="",T$7=""),"",IF($B159="MEANS",INDEX('1-DATA'!$1:$1048576,$A158-1,COLUMN('1-DATA'!S157)),ROUND(INDEX('1-DATA'!$1:$1048576,IF(OR($B159="STD. DEVIATION",$C$1=1),$A159,$A159+1),COLUMN('1-DATA'!S157)),IF($B159="STD. DEVIATION",2,$F$1))))</f>
        <v/>
      </c>
      <c r="U159" s="1" t="str">
        <f>IF(OR($B159="",U$7=""),"",IF($B159="MEANS",INDEX('1-DATA'!$1:$1048576,$A158-1,COLUMN('1-DATA'!T157)),ROUND(INDEX('1-DATA'!$1:$1048576,IF(OR($B159="STD. DEVIATION",$C$1=1),$A159,$A159+1),COLUMN('1-DATA'!T157)),IF($B159="STD. DEVIATION",2,$F$1))))</f>
        <v/>
      </c>
      <c r="V159" s="1" t="str">
        <f>IF(OR($B159="",V$7=""),"",IF($B159="MEANS",INDEX('1-DATA'!$1:$1048576,$A158-1,COLUMN('1-DATA'!U157)),ROUND(INDEX('1-DATA'!$1:$1048576,IF(OR($B159="STD. DEVIATION",$C$1=1),$A159,$A159+1),COLUMN('1-DATA'!U157)),IF($B159="STD. DEVIATION",2,$F$1))))</f>
        <v/>
      </c>
      <c r="W159" s="1" t="str">
        <f>IF(OR($B159="",W$7=""),"",IF($B159="MEANS",INDEX('1-DATA'!$1:$1048576,$A158-1,COLUMN('1-DATA'!V157)),ROUND(INDEX('1-DATA'!$1:$1048576,IF(OR($B159="STD. DEVIATION",$C$1=1),$A159,$A159+1),COLUMN('1-DATA'!V157)),IF($B159="STD. DEVIATION",2,$F$1))))</f>
        <v/>
      </c>
      <c r="X159" s="1" t="str">
        <f>IF(OR($B159="",X$7=""),"",IF($B159="MEANS",INDEX('1-DATA'!$1:$1048576,$A158-1,COLUMN('1-DATA'!W157)),ROUND(INDEX('1-DATA'!$1:$1048576,IF(OR($B159="STD. DEVIATION",$C$1=1),$A159,$A159+1),COLUMN('1-DATA'!W157)),IF($B159="STD. DEVIATION",2,$F$1))))</f>
        <v/>
      </c>
      <c r="Y159" s="1" t="str">
        <f>IF(OR($B159="",Y$7=""),"",IF($B159="MEANS",INDEX('1-DATA'!$1:$1048576,$A158-1,COLUMN('1-DATA'!X157)),ROUND(INDEX('1-DATA'!$1:$1048576,IF(OR($B159="STD. DEVIATION",$C$1=1),$A159,$A159+1),COLUMN('1-DATA'!X157)),IF($B159="STD. DEVIATION",2,$F$1))))</f>
        <v/>
      </c>
      <c r="Z159" s="1" t="str">
        <f>IF(OR($B159="",Z$7=""),"",IF($B159="MEANS",INDEX('1-DATA'!$1:$1048576,$A158-1,COLUMN('1-DATA'!Y157)),ROUND(INDEX('1-DATA'!$1:$1048576,IF(OR($B159="STD. DEVIATION",$C$1=1),$A159,$A159+1),COLUMN('1-DATA'!Y157)),IF($B159="STD. DEVIATION",2,$F$1))))</f>
        <v/>
      </c>
      <c r="AA159" s="1" t="str">
        <f>IF(OR($B159="",AA$7=""),"",IF($B159="MEANS",INDEX('1-DATA'!$1:$1048576,$A158-1,COLUMN('1-DATA'!Z157)),ROUND(INDEX('1-DATA'!$1:$1048576,IF(OR($B159="STD. DEVIATION",$C$1=1),$A159,$A159+1),COLUMN('1-DATA'!Z157)),IF($B159="STD. DEVIATION",2,$F$1))))</f>
        <v/>
      </c>
      <c r="AB159" s="1" t="str">
        <f>IF(OR($B159="",AB$7=""),"",IF($B159="MEANS",INDEX('1-DATA'!$1:$1048576,$A158-1,COLUMN('1-DATA'!AA157)),ROUND(INDEX('1-DATA'!$1:$1048576,IF(OR($B159="STD. DEVIATION",$C$1=1),$A159,$A159+1),COLUMN('1-DATA'!AA157)),IF($B159="STD. DEVIATION",2,$F$1))))</f>
        <v/>
      </c>
      <c r="AC159" s="1" t="str">
        <f>IF(OR($B159="",AC$7=""),"",IF($B159="MEANS",INDEX('1-DATA'!$1:$1048576,$A158-1,COLUMN('1-DATA'!AB157)),ROUND(INDEX('1-DATA'!$1:$1048576,IF(OR($B159="STD. DEVIATION",$C$1=1),$A159,$A159+1),COLUMN('1-DATA'!AB157)),IF($B159="STD. DEVIATION",2,$F$1))))</f>
        <v/>
      </c>
      <c r="AD159" s="1" t="str">
        <f>IF(OR($B159="",AD$7=""),"",IF($B159="MEANS",INDEX('1-DATA'!$1:$1048576,$A158-1,COLUMN('1-DATA'!AC157)),ROUND(INDEX('1-DATA'!$1:$1048576,IF(OR($B159="STD. DEVIATION",$C$1=1),$A159,$A159+1),COLUMN('1-DATA'!AC157)),IF($B159="STD. DEVIATION",2,$F$1))))</f>
        <v/>
      </c>
      <c r="AE159" s="1" t="str">
        <f>IF(OR($B159="",AE$7=""),"",IF($B159="MEANS",INDEX('1-DATA'!$1:$1048576,$A158-1,COLUMN('1-DATA'!AD157)),ROUND(INDEX('1-DATA'!$1:$1048576,IF(OR($B159="STD. DEVIATION",$C$1=1),$A159,$A159+1),COLUMN('1-DATA'!AD157)),IF($B159="STD. DEVIATION",2,$F$1))))</f>
        <v/>
      </c>
      <c r="AF159" s="1" t="str">
        <f>IF(OR($B159="",AF$7=""),"",IF($B159="MEANS",INDEX('1-DATA'!$1:$1048576,$A158-1,COLUMN('1-DATA'!AE157)),ROUND(INDEX('1-DATA'!$1:$1048576,IF(OR($B159="STD. DEVIATION",$C$1=1),$A159,$A159+1),COLUMN('1-DATA'!AE157)),IF($B159="STD. DEVIATION",2,$F$1))))</f>
        <v/>
      </c>
      <c r="AG159" s="1" t="str">
        <f>IF(OR($B159="",AG$7=""),"",IF($B159="MEANS",INDEX('1-DATA'!$1:$1048576,$A158-1,COLUMN('1-DATA'!AF157)),ROUND(INDEX('1-DATA'!$1:$1048576,IF(OR($B159="STD. DEVIATION",$C$1=1),$A159,$A159+1),COLUMN('1-DATA'!AF157)),IF($B159="STD. DEVIATION",2,$F$1))))</f>
        <v/>
      </c>
      <c r="AH159" s="1" t="str">
        <f>IF(OR($B159="",AH$7=""),"",IF($B159="MEANS",INDEX('1-DATA'!$1:$1048576,$A158-1,COLUMN('1-DATA'!AG157)),ROUND(INDEX('1-DATA'!$1:$1048576,IF(OR($B159="STD. DEVIATION",$C$1=1),$A159,$A159+1),COLUMN('1-DATA'!AG157)),IF($B159="STD. DEVIATION",2,$F$1))))</f>
        <v/>
      </c>
      <c r="AI159" s="1" t="str">
        <f>IF(OR($B159="",AI$7=""),"",IF($B159="MEANS",INDEX('1-DATA'!$1:$1048576,$A158-1,COLUMN('1-DATA'!AH157)),ROUND(INDEX('1-DATA'!$1:$1048576,IF(OR($B159="STD. DEVIATION",$C$1=1),$A159,$A159+1),COLUMN('1-DATA'!AH157)),IF($B159="STD. DEVIATION",2,$F$1))))</f>
        <v/>
      </c>
      <c r="AJ159" s="1" t="str">
        <f>IF(OR($B159="",AJ$7=""),"",IF($B159="MEANS",INDEX('1-DATA'!$1:$1048576,$A158-1,COLUMN('1-DATA'!AI157)),ROUND(INDEX('1-DATA'!$1:$1048576,IF(OR($B159="STD. DEVIATION",$C$1=1),$A159,$A159+1),COLUMN('1-DATA'!AI157)),IF($B159="STD. DEVIATION",2,$F$1))))</f>
        <v/>
      </c>
      <c r="AK159" s="1" t="str">
        <f>IF(OR($B159="",AK$7=""),"",IF($B159="MEANS",INDEX('1-DATA'!$1:$1048576,$A158-1,COLUMN('1-DATA'!AJ157)),ROUND(INDEX('1-DATA'!$1:$1048576,IF(OR($B159="STD. DEVIATION",$C$1=1),$A159,$A159+1),COLUMN('1-DATA'!AJ157)),IF($B159="STD. DEVIATION",2,$F$1))))</f>
        <v/>
      </c>
      <c r="AL159" s="1" t="str">
        <f>IF(OR($B159="",AL$7=""),"",IF($B159="MEANS",INDEX('1-DATA'!$1:$1048576,$A158-1,COLUMN('1-DATA'!AK157)),ROUND(INDEX('1-DATA'!$1:$1048576,IF(OR($B159="STD. DEVIATION",$C$1=1),$A159,$A159+1),COLUMN('1-DATA'!AK157)),IF($B159="STD. DEVIATION",2,$F$1))))</f>
        <v/>
      </c>
      <c r="AM159" s="1" t="str">
        <f>IF(OR($B159="",AM$7=""),"",IF($B159="MEANS",INDEX('1-DATA'!$1:$1048576,$A158-1,COLUMN('1-DATA'!AL157)),ROUND(INDEX('1-DATA'!$1:$1048576,IF(OR($B159="STD. DEVIATION",$C$1=1),$A159,$A159+1),COLUMN('1-DATA'!AL157)),IF($B159="STD. DEVIATION",2,$F$1))))</f>
        <v/>
      </c>
      <c r="AN159" s="1" t="str">
        <f>IF(OR($B159="",AN$7=""),"",IF($B159="MEANS",INDEX('1-DATA'!$1:$1048576,$A158-1,COLUMN('1-DATA'!AM157)),ROUND(INDEX('1-DATA'!$1:$1048576,IF(OR($B159="STD. DEVIATION",$C$1=1),$A159,$A159+1),COLUMN('1-DATA'!AM157)),IF($B159="STD. DEVIATION",2,$F$1))))</f>
        <v/>
      </c>
      <c r="AO159" s="1" t="str">
        <f>IF(OR($B159="",AO$7=""),"",IF($B159="MEANS",INDEX('1-DATA'!$1:$1048576,$A158-1,COLUMN('1-DATA'!AN157)),ROUND(INDEX('1-DATA'!$1:$1048576,IF(OR($B159="STD. DEVIATION",$C$1=1),$A159,$A159+1),COLUMN('1-DATA'!AN157)),IF($B159="STD. DEVIATION",2,$F$1))))</f>
        <v/>
      </c>
      <c r="AP159" s="1" t="str">
        <f>IF(OR($B159="",AP$7=""),"",IF($B159="MEANS",INDEX('1-DATA'!$1:$1048576,$A158-1,COLUMN('1-DATA'!AO157)),ROUND(INDEX('1-DATA'!$1:$1048576,IF(OR($B159="STD. DEVIATION",$C$1=1),$A159,$A159+1),COLUMN('1-DATA'!AO157)),IF($B159="STD. DEVIATION",2,$F$1))))</f>
        <v/>
      </c>
      <c r="AQ159" s="1" t="str">
        <f>IF(OR($B159="",AQ$7=""),"",IF($B159="MEANS",INDEX('1-DATA'!$1:$1048576,$A158-1,COLUMN('1-DATA'!AP157)),ROUND(INDEX('1-DATA'!$1:$1048576,IF(OR($B159="STD. DEVIATION",$C$1=1),$A159,$A159+1),COLUMN('1-DATA'!AP157)),IF($B159="STD. DEVIATION",2,$F$1))))</f>
        <v/>
      </c>
      <c r="AR159" s="1" t="str">
        <f>IF(OR($B159="",AR$7=""),"",IF($B159="MEANS",INDEX('1-DATA'!$1:$1048576,$A158-1,COLUMN('1-DATA'!AQ157)),ROUND(INDEX('1-DATA'!$1:$1048576,IF(OR($B159="STD. DEVIATION",$C$1=1),$A159,$A159+1),COLUMN('1-DATA'!AQ157)),IF($B159="STD. DEVIATION",2,$F$1))))</f>
        <v/>
      </c>
      <c r="AS159" s="1" t="str">
        <f>IF(OR($B159="",AS$7=""),"",IF($B159="MEANS",INDEX('1-DATA'!$1:$1048576,$A158-1,COLUMN('1-DATA'!AR157)),ROUND(INDEX('1-DATA'!$1:$1048576,IF(OR($B159="STD. DEVIATION",$C$1=1),$A159,$A159+1),COLUMN('1-DATA'!AR157)),IF($B159="STD. DEVIATION",2,$F$1))))</f>
        <v/>
      </c>
      <c r="AT159" s="1" t="str">
        <f>IF(OR($B159="",AT$7=""),"",IF($B159="MEANS",INDEX('1-DATA'!$1:$1048576,$A158-1,COLUMN('1-DATA'!AS157)),ROUND(INDEX('1-DATA'!$1:$1048576,IF(OR($B159="STD. DEVIATION",$C$1=1),$A159,$A159+1),COLUMN('1-DATA'!AS157)),IF($B159="STD. DEVIATION",2,$F$1))))</f>
        <v/>
      </c>
      <c r="AU159" s="1" t="str">
        <f>IF(OR($B159="",AU$7=""),"",IF($B159="MEANS",INDEX('1-DATA'!$1:$1048576,$A158-1,COLUMN('1-DATA'!AT157)),ROUND(INDEX('1-DATA'!$1:$1048576,IF(OR($B159="STD. DEVIATION",$C$1=1),$A159,$A159+1),COLUMN('1-DATA'!AT157)),IF($B159="STD. DEVIATION",2,$F$1))))</f>
        <v/>
      </c>
      <c r="AV159" s="1" t="str">
        <f>IF(OR($B159="",AV$7=""),"",IF($B159="MEANS",INDEX('1-DATA'!$1:$1048576,$A158-1,COLUMN('1-DATA'!AU157)),ROUND(INDEX('1-DATA'!$1:$1048576,IF(OR($B159="STD. DEVIATION",$C$1=1),$A159,$A159+1),COLUMN('1-DATA'!AU157)),IF($B159="STD. DEVIATION",2,$F$1))))</f>
        <v/>
      </c>
      <c r="AW159" s="1" t="str">
        <f>IF(OR($B159="",AW$7=""),"",IF($B159="MEANS",INDEX('1-DATA'!$1:$1048576,$A158-1,COLUMN('1-DATA'!AV157)),ROUND(INDEX('1-DATA'!$1:$1048576,IF(OR($B159="STD. DEVIATION",$C$1=1),$A159,$A159+1),COLUMN('1-DATA'!AV157)),IF($B159="STD. DEVIATION",2,$F$1))))</f>
        <v/>
      </c>
      <c r="AX159" s="1" t="str">
        <f>IF(OR($B159="",AX$7=""),"",IF($B159="MEANS",INDEX('1-DATA'!$1:$1048576,$A158-1,COLUMN('1-DATA'!AW157)),ROUND(INDEX('1-DATA'!$1:$1048576,IF(OR($B159="STD. DEVIATION",$C$1=1),$A159,$A159+1),COLUMN('1-DATA'!AW157)),IF($B159="STD. DEVIATION",2,$F$1))))</f>
        <v/>
      </c>
      <c r="AY159" s="1" t="str">
        <f>IF(OR($B159="",AY$7=""),"",IF($B159="MEANS",INDEX('1-DATA'!$1:$1048576,$A158-1,COLUMN('1-DATA'!AX157)),ROUND(INDEX('1-DATA'!$1:$1048576,IF(OR($B159="STD. DEVIATION",$C$1=1),$A159,$A159+1),COLUMN('1-DATA'!AX157)),IF($B159="STD. DEVIATION",2,$F$1))))</f>
        <v/>
      </c>
      <c r="AZ159" s="1" t="str">
        <f>IF(OR($B159="",AZ$7=""),"",IF($B159="MEANS",INDEX('1-DATA'!$1:$1048576,$A158-1,COLUMN('1-DATA'!AY157)),ROUND(INDEX('1-DATA'!$1:$1048576,IF(OR($B159="STD. DEVIATION",$C$1=1),$A159,$A159+1),COLUMN('1-DATA'!AY157)),IF($B159="STD. DEVIATION",2,$F$1))))</f>
        <v/>
      </c>
    </row>
    <row r="160" spans="1:52" x14ac:dyDescent="0.25">
      <c r="A160" s="11">
        <f t="shared" si="3"/>
        <v>466</v>
      </c>
      <c r="B160" s="1" t="str">
        <f>IF(B159="STD. DEVIATION",INDEX('1-DATA'!$1:$1048576,$A159-1,1),IF(INDEX('1-DATA'!$1:$1048576,$A160,1)&lt;&gt;"",INDEX('1-DATA'!$1:$1048576,$A160,1),""))</f>
        <v/>
      </c>
      <c r="C160" s="1" t="str">
        <f>IF(OR($B160="",C$7=""),"",IF($B160="MEANS",INDEX('1-DATA'!$1:$1048576,$A159-1,COLUMN('1-DATA'!B158)),ROUND(INDEX('1-DATA'!$1:$1048576,IF(OR($B160="STD. DEVIATION",$C$1=1),$A160,$A160+1),COLUMN('1-DATA'!B158)),IF($B160="STD. DEVIATION",2,$F$1))))</f>
        <v/>
      </c>
      <c r="D160" s="1" t="str">
        <f>IF(OR($B160="",D$7=""),"",IF($B160="MEANS",INDEX('1-DATA'!$1:$1048576,$A159-1,COLUMN('1-DATA'!C158)),ROUND(INDEX('1-DATA'!$1:$1048576,IF(OR($B160="STD. DEVIATION",$C$1=1),$A160,$A160+1),COLUMN('1-DATA'!C158)),IF($B160="STD. DEVIATION",2,$F$1))))</f>
        <v/>
      </c>
      <c r="E160" s="1" t="str">
        <f>IF(OR($B160="",E$7=""),"",IF($B160="MEANS",INDEX('1-DATA'!$1:$1048576,$A159-1,COLUMN('1-DATA'!D158)),ROUND(INDEX('1-DATA'!$1:$1048576,IF(OR($B160="STD. DEVIATION",$C$1=1),$A160,$A160+1),COLUMN('1-DATA'!D158)),IF($B160="STD. DEVIATION",2,$F$1))))</f>
        <v/>
      </c>
      <c r="F160" s="1" t="str">
        <f>IF(OR($B160="",F$7=""),"",IF($B160="MEANS",INDEX('1-DATA'!$1:$1048576,$A159-1,COLUMN('1-DATA'!E158)),ROUND(INDEX('1-DATA'!$1:$1048576,IF(OR($B160="STD. DEVIATION",$C$1=1),$A160,$A160+1),COLUMN('1-DATA'!E158)),IF($B160="STD. DEVIATION",2,$F$1))))</f>
        <v/>
      </c>
      <c r="G160" s="1" t="str">
        <f>IF(OR($B160="",G$7=""),"",IF($B160="MEANS",INDEX('1-DATA'!$1:$1048576,$A159-1,COLUMN('1-DATA'!F158)),ROUND(INDEX('1-DATA'!$1:$1048576,IF(OR($B160="STD. DEVIATION",$C$1=1),$A160,$A160+1),COLUMN('1-DATA'!F158)),IF($B160="STD. DEVIATION",2,$F$1))))</f>
        <v/>
      </c>
      <c r="H160" s="1" t="str">
        <f>IF(OR($B160="",H$7=""),"",IF($B160="MEANS",INDEX('1-DATA'!$1:$1048576,$A159-1,COLUMN('1-DATA'!G158)),ROUND(INDEX('1-DATA'!$1:$1048576,IF(OR($B160="STD. DEVIATION",$C$1=1),$A160,$A160+1),COLUMN('1-DATA'!G158)),IF($B160="STD. DEVIATION",2,$F$1))))</f>
        <v/>
      </c>
      <c r="I160" s="1" t="str">
        <f>IF(OR($B160="",I$7=""),"",IF($B160="MEANS",INDEX('1-DATA'!$1:$1048576,$A159-1,COLUMN('1-DATA'!H158)),ROUND(INDEX('1-DATA'!$1:$1048576,IF(OR($B160="STD. DEVIATION",$C$1=1),$A160,$A160+1),COLUMN('1-DATA'!H158)),IF($B160="STD. DEVIATION",2,$F$1))))</f>
        <v/>
      </c>
      <c r="J160" s="1" t="str">
        <f>IF(OR($B160="",J$7=""),"",IF($B160="MEANS",INDEX('1-DATA'!$1:$1048576,$A159-1,COLUMN('1-DATA'!I158)),ROUND(INDEX('1-DATA'!$1:$1048576,IF(OR($B160="STD. DEVIATION",$C$1=1),$A160,$A160+1),COLUMN('1-DATA'!I158)),IF($B160="STD. DEVIATION",2,$F$1))))</f>
        <v/>
      </c>
      <c r="K160" s="1" t="str">
        <f>IF(OR($B160="",K$7=""),"",IF($B160="MEANS",INDEX('1-DATA'!$1:$1048576,$A159-1,COLUMN('1-DATA'!J158)),ROUND(INDEX('1-DATA'!$1:$1048576,IF(OR($B160="STD. DEVIATION",$C$1=1),$A160,$A160+1),COLUMN('1-DATA'!J158)),IF($B160="STD. DEVIATION",2,$F$1))))</f>
        <v/>
      </c>
      <c r="L160" s="1" t="str">
        <f>IF(OR($B160="",L$7=""),"",IF($B160="MEANS",INDEX('1-DATA'!$1:$1048576,$A159-1,COLUMN('1-DATA'!K158)),ROUND(INDEX('1-DATA'!$1:$1048576,IF(OR($B160="STD. DEVIATION",$C$1=1),$A160,$A160+1),COLUMN('1-DATA'!K158)),IF($B160="STD. DEVIATION",2,$F$1))))</f>
        <v/>
      </c>
      <c r="M160" s="1" t="str">
        <f>IF(OR($B160="",M$7=""),"",IF($B160="MEANS",INDEX('1-DATA'!$1:$1048576,$A159-1,COLUMN('1-DATA'!L158)),ROUND(INDEX('1-DATA'!$1:$1048576,IF(OR($B160="STD. DEVIATION",$C$1=1),$A160,$A160+1),COLUMN('1-DATA'!L158)),IF($B160="STD. DEVIATION",2,$F$1))))</f>
        <v/>
      </c>
      <c r="N160" s="1" t="str">
        <f>IF(OR($B160="",N$7=""),"",IF($B160="MEANS",INDEX('1-DATA'!$1:$1048576,$A159-1,COLUMN('1-DATA'!M158)),ROUND(INDEX('1-DATA'!$1:$1048576,IF(OR($B160="STD. DEVIATION",$C$1=1),$A160,$A160+1),COLUMN('1-DATA'!M158)),IF($B160="STD. DEVIATION",2,$F$1))))</f>
        <v/>
      </c>
      <c r="O160" s="1" t="str">
        <f>IF(OR($B160="",O$7=""),"",IF($B160="MEANS",INDEX('1-DATA'!$1:$1048576,$A159-1,COLUMN('1-DATA'!N158)),ROUND(INDEX('1-DATA'!$1:$1048576,IF(OR($B160="STD. DEVIATION",$C$1=1),$A160,$A160+1),COLUMN('1-DATA'!N158)),IF($B160="STD. DEVIATION",2,$F$1))))</f>
        <v/>
      </c>
      <c r="P160" s="1" t="str">
        <f>IF(OR($B160="",P$7=""),"",IF($B160="MEANS",INDEX('1-DATA'!$1:$1048576,$A159-1,COLUMN('1-DATA'!O158)),ROUND(INDEX('1-DATA'!$1:$1048576,IF(OR($B160="STD. DEVIATION",$C$1=1),$A160,$A160+1),COLUMN('1-DATA'!O158)),IF($B160="STD. DEVIATION",2,$F$1))))</f>
        <v/>
      </c>
      <c r="Q160" s="1" t="str">
        <f>IF(OR($B160="",Q$7=""),"",IF($B160="MEANS",INDEX('1-DATA'!$1:$1048576,$A159-1,COLUMN('1-DATA'!P158)),ROUND(INDEX('1-DATA'!$1:$1048576,IF(OR($B160="STD. DEVIATION",$C$1=1),$A160,$A160+1),COLUMN('1-DATA'!P158)),IF($B160="STD. DEVIATION",2,$F$1))))</f>
        <v/>
      </c>
      <c r="R160" s="1" t="str">
        <f>IF(OR($B160="",R$7=""),"",IF($B160="MEANS",INDEX('1-DATA'!$1:$1048576,$A159-1,COLUMN('1-DATA'!Q158)),ROUND(INDEX('1-DATA'!$1:$1048576,IF(OR($B160="STD. DEVIATION",$C$1=1),$A160,$A160+1),COLUMN('1-DATA'!Q158)),IF($B160="STD. DEVIATION",2,$F$1))))</f>
        <v/>
      </c>
      <c r="S160" s="1" t="str">
        <f>IF(OR($B160="",S$7=""),"",IF($B160="MEANS",INDEX('1-DATA'!$1:$1048576,$A159-1,COLUMN('1-DATA'!R158)),ROUND(INDEX('1-DATA'!$1:$1048576,IF(OR($B160="STD. DEVIATION",$C$1=1),$A160,$A160+1),COLUMN('1-DATA'!R158)),IF($B160="STD. DEVIATION",2,$F$1))))</f>
        <v/>
      </c>
      <c r="T160" s="1" t="str">
        <f>IF(OR($B160="",T$7=""),"",IF($B160="MEANS",INDEX('1-DATA'!$1:$1048576,$A159-1,COLUMN('1-DATA'!S158)),ROUND(INDEX('1-DATA'!$1:$1048576,IF(OR($B160="STD. DEVIATION",$C$1=1),$A160,$A160+1),COLUMN('1-DATA'!S158)),IF($B160="STD. DEVIATION",2,$F$1))))</f>
        <v/>
      </c>
      <c r="U160" s="1" t="str">
        <f>IF(OR($B160="",U$7=""),"",IF($B160="MEANS",INDEX('1-DATA'!$1:$1048576,$A159-1,COLUMN('1-DATA'!T158)),ROUND(INDEX('1-DATA'!$1:$1048576,IF(OR($B160="STD. DEVIATION",$C$1=1),$A160,$A160+1),COLUMN('1-DATA'!T158)),IF($B160="STD. DEVIATION",2,$F$1))))</f>
        <v/>
      </c>
      <c r="V160" s="1" t="str">
        <f>IF(OR($B160="",V$7=""),"",IF($B160="MEANS",INDEX('1-DATA'!$1:$1048576,$A159-1,COLUMN('1-DATA'!U158)),ROUND(INDEX('1-DATA'!$1:$1048576,IF(OR($B160="STD. DEVIATION",$C$1=1),$A160,$A160+1),COLUMN('1-DATA'!U158)),IF($B160="STD. DEVIATION",2,$F$1))))</f>
        <v/>
      </c>
      <c r="W160" s="1" t="str">
        <f>IF(OR($B160="",W$7=""),"",IF($B160="MEANS",INDEX('1-DATA'!$1:$1048576,$A159-1,COLUMN('1-DATA'!V158)),ROUND(INDEX('1-DATA'!$1:$1048576,IF(OR($B160="STD. DEVIATION",$C$1=1),$A160,$A160+1),COLUMN('1-DATA'!V158)),IF($B160="STD. DEVIATION",2,$F$1))))</f>
        <v/>
      </c>
      <c r="X160" s="1" t="str">
        <f>IF(OR($B160="",X$7=""),"",IF($B160="MEANS",INDEX('1-DATA'!$1:$1048576,$A159-1,COLUMN('1-DATA'!W158)),ROUND(INDEX('1-DATA'!$1:$1048576,IF(OR($B160="STD. DEVIATION",$C$1=1),$A160,$A160+1),COLUMN('1-DATA'!W158)),IF($B160="STD. DEVIATION",2,$F$1))))</f>
        <v/>
      </c>
      <c r="Y160" s="1" t="str">
        <f>IF(OR($B160="",Y$7=""),"",IF($B160="MEANS",INDEX('1-DATA'!$1:$1048576,$A159-1,COLUMN('1-DATA'!X158)),ROUND(INDEX('1-DATA'!$1:$1048576,IF(OR($B160="STD. DEVIATION",$C$1=1),$A160,$A160+1),COLUMN('1-DATA'!X158)),IF($B160="STD. DEVIATION",2,$F$1))))</f>
        <v/>
      </c>
      <c r="Z160" s="1" t="str">
        <f>IF(OR($B160="",Z$7=""),"",IF($B160="MEANS",INDEX('1-DATA'!$1:$1048576,$A159-1,COLUMN('1-DATA'!Y158)),ROUND(INDEX('1-DATA'!$1:$1048576,IF(OR($B160="STD. DEVIATION",$C$1=1),$A160,$A160+1),COLUMN('1-DATA'!Y158)),IF($B160="STD. DEVIATION",2,$F$1))))</f>
        <v/>
      </c>
      <c r="AA160" s="1" t="str">
        <f>IF(OR($B160="",AA$7=""),"",IF($B160="MEANS",INDEX('1-DATA'!$1:$1048576,$A159-1,COLUMN('1-DATA'!Z158)),ROUND(INDEX('1-DATA'!$1:$1048576,IF(OR($B160="STD. DEVIATION",$C$1=1),$A160,$A160+1),COLUMN('1-DATA'!Z158)),IF($B160="STD. DEVIATION",2,$F$1))))</f>
        <v/>
      </c>
      <c r="AB160" s="1" t="str">
        <f>IF(OR($B160="",AB$7=""),"",IF($B160="MEANS",INDEX('1-DATA'!$1:$1048576,$A159-1,COLUMN('1-DATA'!AA158)),ROUND(INDEX('1-DATA'!$1:$1048576,IF(OR($B160="STD. DEVIATION",$C$1=1),$A160,$A160+1),COLUMN('1-DATA'!AA158)),IF($B160="STD. DEVIATION",2,$F$1))))</f>
        <v/>
      </c>
      <c r="AC160" s="1" t="str">
        <f>IF(OR($B160="",AC$7=""),"",IF($B160="MEANS",INDEX('1-DATA'!$1:$1048576,$A159-1,COLUMN('1-DATA'!AB158)),ROUND(INDEX('1-DATA'!$1:$1048576,IF(OR($B160="STD. DEVIATION",$C$1=1),$A160,$A160+1),COLUMN('1-DATA'!AB158)),IF($B160="STD. DEVIATION",2,$F$1))))</f>
        <v/>
      </c>
      <c r="AD160" s="1" t="str">
        <f>IF(OR($B160="",AD$7=""),"",IF($B160="MEANS",INDEX('1-DATA'!$1:$1048576,$A159-1,COLUMN('1-DATA'!AC158)),ROUND(INDEX('1-DATA'!$1:$1048576,IF(OR($B160="STD. DEVIATION",$C$1=1),$A160,$A160+1),COLUMN('1-DATA'!AC158)),IF($B160="STD. DEVIATION",2,$F$1))))</f>
        <v/>
      </c>
      <c r="AE160" s="1" t="str">
        <f>IF(OR($B160="",AE$7=""),"",IF($B160="MEANS",INDEX('1-DATA'!$1:$1048576,$A159-1,COLUMN('1-DATA'!AD158)),ROUND(INDEX('1-DATA'!$1:$1048576,IF(OR($B160="STD. DEVIATION",$C$1=1),$A160,$A160+1),COLUMN('1-DATA'!AD158)),IF($B160="STD. DEVIATION",2,$F$1))))</f>
        <v/>
      </c>
      <c r="AF160" s="1" t="str">
        <f>IF(OR($B160="",AF$7=""),"",IF($B160="MEANS",INDEX('1-DATA'!$1:$1048576,$A159-1,COLUMN('1-DATA'!AE158)),ROUND(INDEX('1-DATA'!$1:$1048576,IF(OR($B160="STD. DEVIATION",$C$1=1),$A160,$A160+1),COLUMN('1-DATA'!AE158)),IF($B160="STD. DEVIATION",2,$F$1))))</f>
        <v/>
      </c>
      <c r="AG160" s="1" t="str">
        <f>IF(OR($B160="",AG$7=""),"",IF($B160="MEANS",INDEX('1-DATA'!$1:$1048576,$A159-1,COLUMN('1-DATA'!AF158)),ROUND(INDEX('1-DATA'!$1:$1048576,IF(OR($B160="STD. DEVIATION",$C$1=1),$A160,$A160+1),COLUMN('1-DATA'!AF158)),IF($B160="STD. DEVIATION",2,$F$1))))</f>
        <v/>
      </c>
      <c r="AH160" s="1" t="str">
        <f>IF(OR($B160="",AH$7=""),"",IF($B160="MEANS",INDEX('1-DATA'!$1:$1048576,$A159-1,COLUMN('1-DATA'!AG158)),ROUND(INDEX('1-DATA'!$1:$1048576,IF(OR($B160="STD. DEVIATION",$C$1=1),$A160,$A160+1),COLUMN('1-DATA'!AG158)),IF($B160="STD. DEVIATION",2,$F$1))))</f>
        <v/>
      </c>
      <c r="AI160" s="1" t="str">
        <f>IF(OR($B160="",AI$7=""),"",IF($B160="MEANS",INDEX('1-DATA'!$1:$1048576,$A159-1,COLUMN('1-DATA'!AH158)),ROUND(INDEX('1-DATA'!$1:$1048576,IF(OR($B160="STD. DEVIATION",$C$1=1),$A160,$A160+1),COLUMN('1-DATA'!AH158)),IF($B160="STD. DEVIATION",2,$F$1))))</f>
        <v/>
      </c>
      <c r="AJ160" s="1" t="str">
        <f>IF(OR($B160="",AJ$7=""),"",IF($B160="MEANS",INDEX('1-DATA'!$1:$1048576,$A159-1,COLUMN('1-DATA'!AI158)),ROUND(INDEX('1-DATA'!$1:$1048576,IF(OR($B160="STD. DEVIATION",$C$1=1),$A160,$A160+1),COLUMN('1-DATA'!AI158)),IF($B160="STD. DEVIATION",2,$F$1))))</f>
        <v/>
      </c>
      <c r="AK160" s="1" t="str">
        <f>IF(OR($B160="",AK$7=""),"",IF($B160="MEANS",INDEX('1-DATA'!$1:$1048576,$A159-1,COLUMN('1-DATA'!AJ158)),ROUND(INDEX('1-DATA'!$1:$1048576,IF(OR($B160="STD. DEVIATION",$C$1=1),$A160,$A160+1),COLUMN('1-DATA'!AJ158)),IF($B160="STD. DEVIATION",2,$F$1))))</f>
        <v/>
      </c>
      <c r="AL160" s="1" t="str">
        <f>IF(OR($B160="",AL$7=""),"",IF($B160="MEANS",INDEX('1-DATA'!$1:$1048576,$A159-1,COLUMN('1-DATA'!AK158)),ROUND(INDEX('1-DATA'!$1:$1048576,IF(OR($B160="STD. DEVIATION",$C$1=1),$A160,$A160+1),COLUMN('1-DATA'!AK158)),IF($B160="STD. DEVIATION",2,$F$1))))</f>
        <v/>
      </c>
      <c r="AM160" s="1" t="str">
        <f>IF(OR($B160="",AM$7=""),"",IF($B160="MEANS",INDEX('1-DATA'!$1:$1048576,$A159-1,COLUMN('1-DATA'!AL158)),ROUND(INDEX('1-DATA'!$1:$1048576,IF(OR($B160="STD. DEVIATION",$C$1=1),$A160,$A160+1),COLUMN('1-DATA'!AL158)),IF($B160="STD. DEVIATION",2,$F$1))))</f>
        <v/>
      </c>
      <c r="AN160" s="1" t="str">
        <f>IF(OR($B160="",AN$7=""),"",IF($B160="MEANS",INDEX('1-DATA'!$1:$1048576,$A159-1,COLUMN('1-DATA'!AM158)),ROUND(INDEX('1-DATA'!$1:$1048576,IF(OR($B160="STD. DEVIATION",$C$1=1),$A160,$A160+1),COLUMN('1-DATA'!AM158)),IF($B160="STD. DEVIATION",2,$F$1))))</f>
        <v/>
      </c>
      <c r="AO160" s="1" t="str">
        <f>IF(OR($B160="",AO$7=""),"",IF($B160="MEANS",INDEX('1-DATA'!$1:$1048576,$A159-1,COLUMN('1-DATA'!AN158)),ROUND(INDEX('1-DATA'!$1:$1048576,IF(OR($B160="STD. DEVIATION",$C$1=1),$A160,$A160+1),COLUMN('1-DATA'!AN158)),IF($B160="STD. DEVIATION",2,$F$1))))</f>
        <v/>
      </c>
      <c r="AP160" s="1" t="str">
        <f>IF(OR($B160="",AP$7=""),"",IF($B160="MEANS",INDEX('1-DATA'!$1:$1048576,$A159-1,COLUMN('1-DATA'!AO158)),ROUND(INDEX('1-DATA'!$1:$1048576,IF(OR($B160="STD. DEVIATION",$C$1=1),$A160,$A160+1),COLUMN('1-DATA'!AO158)),IF($B160="STD. DEVIATION",2,$F$1))))</f>
        <v/>
      </c>
      <c r="AQ160" s="1" t="str">
        <f>IF(OR($B160="",AQ$7=""),"",IF($B160="MEANS",INDEX('1-DATA'!$1:$1048576,$A159-1,COLUMN('1-DATA'!AP158)),ROUND(INDEX('1-DATA'!$1:$1048576,IF(OR($B160="STD. DEVIATION",$C$1=1),$A160,$A160+1),COLUMN('1-DATA'!AP158)),IF($B160="STD. DEVIATION",2,$F$1))))</f>
        <v/>
      </c>
      <c r="AR160" s="1" t="str">
        <f>IF(OR($B160="",AR$7=""),"",IF($B160="MEANS",INDEX('1-DATA'!$1:$1048576,$A159-1,COLUMN('1-DATA'!AQ158)),ROUND(INDEX('1-DATA'!$1:$1048576,IF(OR($B160="STD. DEVIATION",$C$1=1),$A160,$A160+1),COLUMN('1-DATA'!AQ158)),IF($B160="STD. DEVIATION",2,$F$1))))</f>
        <v/>
      </c>
      <c r="AS160" s="1" t="str">
        <f>IF(OR($B160="",AS$7=""),"",IF($B160="MEANS",INDEX('1-DATA'!$1:$1048576,$A159-1,COLUMN('1-DATA'!AR158)),ROUND(INDEX('1-DATA'!$1:$1048576,IF(OR($B160="STD. DEVIATION",$C$1=1),$A160,$A160+1),COLUMN('1-DATA'!AR158)),IF($B160="STD. DEVIATION",2,$F$1))))</f>
        <v/>
      </c>
      <c r="AT160" s="1" t="str">
        <f>IF(OR($B160="",AT$7=""),"",IF($B160="MEANS",INDEX('1-DATA'!$1:$1048576,$A159-1,COLUMN('1-DATA'!AS158)),ROUND(INDEX('1-DATA'!$1:$1048576,IF(OR($B160="STD. DEVIATION",$C$1=1),$A160,$A160+1),COLUMN('1-DATA'!AS158)),IF($B160="STD. DEVIATION",2,$F$1))))</f>
        <v/>
      </c>
      <c r="AU160" s="1" t="str">
        <f>IF(OR($B160="",AU$7=""),"",IF($B160="MEANS",INDEX('1-DATA'!$1:$1048576,$A159-1,COLUMN('1-DATA'!AT158)),ROUND(INDEX('1-DATA'!$1:$1048576,IF(OR($B160="STD. DEVIATION",$C$1=1),$A160,$A160+1),COLUMN('1-DATA'!AT158)),IF($B160="STD. DEVIATION",2,$F$1))))</f>
        <v/>
      </c>
      <c r="AV160" s="1" t="str">
        <f>IF(OR($B160="",AV$7=""),"",IF($B160="MEANS",INDEX('1-DATA'!$1:$1048576,$A159-1,COLUMN('1-DATA'!AU158)),ROUND(INDEX('1-DATA'!$1:$1048576,IF(OR($B160="STD. DEVIATION",$C$1=1),$A160,$A160+1),COLUMN('1-DATA'!AU158)),IF($B160="STD. DEVIATION",2,$F$1))))</f>
        <v/>
      </c>
      <c r="AW160" s="1" t="str">
        <f>IF(OR($B160="",AW$7=""),"",IF($B160="MEANS",INDEX('1-DATA'!$1:$1048576,$A159-1,COLUMN('1-DATA'!AV158)),ROUND(INDEX('1-DATA'!$1:$1048576,IF(OR($B160="STD. DEVIATION",$C$1=1),$A160,$A160+1),COLUMN('1-DATA'!AV158)),IF($B160="STD. DEVIATION",2,$F$1))))</f>
        <v/>
      </c>
      <c r="AX160" s="1" t="str">
        <f>IF(OR($B160="",AX$7=""),"",IF($B160="MEANS",INDEX('1-DATA'!$1:$1048576,$A159-1,COLUMN('1-DATA'!AW158)),ROUND(INDEX('1-DATA'!$1:$1048576,IF(OR($B160="STD. DEVIATION",$C$1=1),$A160,$A160+1),COLUMN('1-DATA'!AW158)),IF($B160="STD. DEVIATION",2,$F$1))))</f>
        <v/>
      </c>
      <c r="AY160" s="1" t="str">
        <f>IF(OR($B160="",AY$7=""),"",IF($B160="MEANS",INDEX('1-DATA'!$1:$1048576,$A159-1,COLUMN('1-DATA'!AX158)),ROUND(INDEX('1-DATA'!$1:$1048576,IF(OR($B160="STD. DEVIATION",$C$1=1),$A160,$A160+1),COLUMN('1-DATA'!AX158)),IF($B160="STD. DEVIATION",2,$F$1))))</f>
        <v/>
      </c>
      <c r="AZ160" s="1" t="str">
        <f>IF(OR($B160="",AZ$7=""),"",IF($B160="MEANS",INDEX('1-DATA'!$1:$1048576,$A159-1,COLUMN('1-DATA'!AY158)),ROUND(INDEX('1-DATA'!$1:$1048576,IF(OR($B160="STD. DEVIATION",$C$1=1),$A160,$A160+1),COLUMN('1-DATA'!AY158)),IF($B160="STD. DEVIATION",2,$F$1))))</f>
        <v/>
      </c>
    </row>
    <row r="161" spans="1:52" x14ac:dyDescent="0.25">
      <c r="A161" s="11">
        <f t="shared" si="3"/>
        <v>469</v>
      </c>
      <c r="B161" s="1" t="str">
        <f>IF(B160="STD. DEVIATION",INDEX('1-DATA'!$1:$1048576,$A160-1,1),IF(INDEX('1-DATA'!$1:$1048576,$A161,1)&lt;&gt;"",INDEX('1-DATA'!$1:$1048576,$A161,1),""))</f>
        <v/>
      </c>
      <c r="C161" s="1" t="str">
        <f>IF(OR($B161="",C$7=""),"",IF($B161="MEANS",INDEX('1-DATA'!$1:$1048576,$A160-1,COLUMN('1-DATA'!B159)),ROUND(INDEX('1-DATA'!$1:$1048576,IF(OR($B161="STD. DEVIATION",$C$1=1),$A161,$A161+1),COLUMN('1-DATA'!B159)),IF($B161="STD. DEVIATION",2,$F$1))))</f>
        <v/>
      </c>
      <c r="D161" s="1" t="str">
        <f>IF(OR($B161="",D$7=""),"",IF($B161="MEANS",INDEX('1-DATA'!$1:$1048576,$A160-1,COLUMN('1-DATA'!C159)),ROUND(INDEX('1-DATA'!$1:$1048576,IF(OR($B161="STD. DEVIATION",$C$1=1),$A161,$A161+1),COLUMN('1-DATA'!C159)),IF($B161="STD. DEVIATION",2,$F$1))))</f>
        <v/>
      </c>
      <c r="E161" s="1" t="str">
        <f>IF(OR($B161="",E$7=""),"",IF($B161="MEANS",INDEX('1-DATA'!$1:$1048576,$A160-1,COLUMN('1-DATA'!D159)),ROUND(INDEX('1-DATA'!$1:$1048576,IF(OR($B161="STD. DEVIATION",$C$1=1),$A161,$A161+1),COLUMN('1-DATA'!D159)),IF($B161="STD. DEVIATION",2,$F$1))))</f>
        <v/>
      </c>
      <c r="F161" s="1" t="str">
        <f>IF(OR($B161="",F$7=""),"",IF($B161="MEANS",INDEX('1-DATA'!$1:$1048576,$A160-1,COLUMN('1-DATA'!E159)),ROUND(INDEX('1-DATA'!$1:$1048576,IF(OR($B161="STD. DEVIATION",$C$1=1),$A161,$A161+1),COLUMN('1-DATA'!E159)),IF($B161="STD. DEVIATION",2,$F$1))))</f>
        <v/>
      </c>
      <c r="G161" s="1" t="str">
        <f>IF(OR($B161="",G$7=""),"",IF($B161="MEANS",INDEX('1-DATA'!$1:$1048576,$A160-1,COLUMN('1-DATA'!F159)),ROUND(INDEX('1-DATA'!$1:$1048576,IF(OR($B161="STD. DEVIATION",$C$1=1),$A161,$A161+1),COLUMN('1-DATA'!F159)),IF($B161="STD. DEVIATION",2,$F$1))))</f>
        <v/>
      </c>
      <c r="H161" s="1" t="str">
        <f>IF(OR($B161="",H$7=""),"",IF($B161="MEANS",INDEX('1-DATA'!$1:$1048576,$A160-1,COLUMN('1-DATA'!G159)),ROUND(INDEX('1-DATA'!$1:$1048576,IF(OR($B161="STD. DEVIATION",$C$1=1),$A161,$A161+1),COLUMN('1-DATA'!G159)),IF($B161="STD. DEVIATION",2,$F$1))))</f>
        <v/>
      </c>
      <c r="I161" s="1" t="str">
        <f>IF(OR($B161="",I$7=""),"",IF($B161="MEANS",INDEX('1-DATA'!$1:$1048576,$A160-1,COLUMN('1-DATA'!H159)),ROUND(INDEX('1-DATA'!$1:$1048576,IF(OR($B161="STD. DEVIATION",$C$1=1),$A161,$A161+1),COLUMN('1-DATA'!H159)),IF($B161="STD. DEVIATION",2,$F$1))))</f>
        <v/>
      </c>
      <c r="J161" s="1" t="str">
        <f>IF(OR($B161="",J$7=""),"",IF($B161="MEANS",INDEX('1-DATA'!$1:$1048576,$A160-1,COLUMN('1-DATA'!I159)),ROUND(INDEX('1-DATA'!$1:$1048576,IF(OR($B161="STD. DEVIATION",$C$1=1),$A161,$A161+1),COLUMN('1-DATA'!I159)),IF($B161="STD. DEVIATION",2,$F$1))))</f>
        <v/>
      </c>
      <c r="K161" s="1" t="str">
        <f>IF(OR($B161="",K$7=""),"",IF($B161="MEANS",INDEX('1-DATA'!$1:$1048576,$A160-1,COLUMN('1-DATA'!J159)),ROUND(INDEX('1-DATA'!$1:$1048576,IF(OR($B161="STD. DEVIATION",$C$1=1),$A161,$A161+1),COLUMN('1-DATA'!J159)),IF($B161="STD. DEVIATION",2,$F$1))))</f>
        <v/>
      </c>
      <c r="L161" s="1" t="str">
        <f>IF(OR($B161="",L$7=""),"",IF($B161="MEANS",INDEX('1-DATA'!$1:$1048576,$A160-1,COLUMN('1-DATA'!K159)),ROUND(INDEX('1-DATA'!$1:$1048576,IF(OR($B161="STD. DEVIATION",$C$1=1),$A161,$A161+1),COLUMN('1-DATA'!K159)),IF($B161="STD. DEVIATION",2,$F$1))))</f>
        <v/>
      </c>
      <c r="M161" s="1" t="str">
        <f>IF(OR($B161="",M$7=""),"",IF($B161="MEANS",INDEX('1-DATA'!$1:$1048576,$A160-1,COLUMN('1-DATA'!L159)),ROUND(INDEX('1-DATA'!$1:$1048576,IF(OR($B161="STD. DEVIATION",$C$1=1),$A161,$A161+1),COLUMN('1-DATA'!L159)),IF($B161="STD. DEVIATION",2,$F$1))))</f>
        <v/>
      </c>
      <c r="N161" s="1" t="str">
        <f>IF(OR($B161="",N$7=""),"",IF($B161="MEANS",INDEX('1-DATA'!$1:$1048576,$A160-1,COLUMN('1-DATA'!M159)),ROUND(INDEX('1-DATA'!$1:$1048576,IF(OR($B161="STD. DEVIATION",$C$1=1),$A161,$A161+1),COLUMN('1-DATA'!M159)),IF($B161="STD. DEVIATION",2,$F$1))))</f>
        <v/>
      </c>
      <c r="O161" s="1" t="str">
        <f>IF(OR($B161="",O$7=""),"",IF($B161="MEANS",INDEX('1-DATA'!$1:$1048576,$A160-1,COLUMN('1-DATA'!N159)),ROUND(INDEX('1-DATA'!$1:$1048576,IF(OR($B161="STD. DEVIATION",$C$1=1),$A161,$A161+1),COLUMN('1-DATA'!N159)),IF($B161="STD. DEVIATION",2,$F$1))))</f>
        <v/>
      </c>
      <c r="P161" s="1" t="str">
        <f>IF(OR($B161="",P$7=""),"",IF($B161="MEANS",INDEX('1-DATA'!$1:$1048576,$A160-1,COLUMN('1-DATA'!O159)),ROUND(INDEX('1-DATA'!$1:$1048576,IF(OR($B161="STD. DEVIATION",$C$1=1),$A161,$A161+1),COLUMN('1-DATA'!O159)),IF($B161="STD. DEVIATION",2,$F$1))))</f>
        <v/>
      </c>
      <c r="Q161" s="1" t="str">
        <f>IF(OR($B161="",Q$7=""),"",IF($B161="MEANS",INDEX('1-DATA'!$1:$1048576,$A160-1,COLUMN('1-DATA'!P159)),ROUND(INDEX('1-DATA'!$1:$1048576,IF(OR($B161="STD. DEVIATION",$C$1=1),$A161,$A161+1),COLUMN('1-DATA'!P159)),IF($B161="STD. DEVIATION",2,$F$1))))</f>
        <v/>
      </c>
      <c r="R161" s="1" t="str">
        <f>IF(OR($B161="",R$7=""),"",IF($B161="MEANS",INDEX('1-DATA'!$1:$1048576,$A160-1,COLUMN('1-DATA'!Q159)),ROUND(INDEX('1-DATA'!$1:$1048576,IF(OR($B161="STD. DEVIATION",$C$1=1),$A161,$A161+1),COLUMN('1-DATA'!Q159)),IF($B161="STD. DEVIATION",2,$F$1))))</f>
        <v/>
      </c>
      <c r="S161" s="1" t="str">
        <f>IF(OR($B161="",S$7=""),"",IF($B161="MEANS",INDEX('1-DATA'!$1:$1048576,$A160-1,COLUMN('1-DATA'!R159)),ROUND(INDEX('1-DATA'!$1:$1048576,IF(OR($B161="STD. DEVIATION",$C$1=1),$A161,$A161+1),COLUMN('1-DATA'!R159)),IF($B161="STD. DEVIATION",2,$F$1))))</f>
        <v/>
      </c>
      <c r="T161" s="1" t="str">
        <f>IF(OR($B161="",T$7=""),"",IF($B161="MEANS",INDEX('1-DATA'!$1:$1048576,$A160-1,COLUMN('1-DATA'!S159)),ROUND(INDEX('1-DATA'!$1:$1048576,IF(OR($B161="STD. DEVIATION",$C$1=1),$A161,$A161+1),COLUMN('1-DATA'!S159)),IF($B161="STD. DEVIATION",2,$F$1))))</f>
        <v/>
      </c>
      <c r="U161" s="1" t="str">
        <f>IF(OR($B161="",U$7=""),"",IF($B161="MEANS",INDEX('1-DATA'!$1:$1048576,$A160-1,COLUMN('1-DATA'!T159)),ROUND(INDEX('1-DATA'!$1:$1048576,IF(OR($B161="STD. DEVIATION",$C$1=1),$A161,$A161+1),COLUMN('1-DATA'!T159)),IF($B161="STD. DEVIATION",2,$F$1))))</f>
        <v/>
      </c>
      <c r="V161" s="1" t="str">
        <f>IF(OR($B161="",V$7=""),"",IF($B161="MEANS",INDEX('1-DATA'!$1:$1048576,$A160-1,COLUMN('1-DATA'!U159)),ROUND(INDEX('1-DATA'!$1:$1048576,IF(OR($B161="STD. DEVIATION",$C$1=1),$A161,$A161+1),COLUMN('1-DATA'!U159)),IF($B161="STD. DEVIATION",2,$F$1))))</f>
        <v/>
      </c>
      <c r="W161" s="1" t="str">
        <f>IF(OR($B161="",W$7=""),"",IF($B161="MEANS",INDEX('1-DATA'!$1:$1048576,$A160-1,COLUMN('1-DATA'!V159)),ROUND(INDEX('1-DATA'!$1:$1048576,IF(OR($B161="STD. DEVIATION",$C$1=1),$A161,$A161+1),COLUMN('1-DATA'!V159)),IF($B161="STD. DEVIATION",2,$F$1))))</f>
        <v/>
      </c>
      <c r="X161" s="1" t="str">
        <f>IF(OR($B161="",X$7=""),"",IF($B161="MEANS",INDEX('1-DATA'!$1:$1048576,$A160-1,COLUMN('1-DATA'!W159)),ROUND(INDEX('1-DATA'!$1:$1048576,IF(OR($B161="STD. DEVIATION",$C$1=1),$A161,$A161+1),COLUMN('1-DATA'!W159)),IF($B161="STD. DEVIATION",2,$F$1))))</f>
        <v/>
      </c>
      <c r="Y161" s="1" t="str">
        <f>IF(OR($B161="",Y$7=""),"",IF($B161="MEANS",INDEX('1-DATA'!$1:$1048576,$A160-1,COLUMN('1-DATA'!X159)),ROUND(INDEX('1-DATA'!$1:$1048576,IF(OR($B161="STD. DEVIATION",$C$1=1),$A161,$A161+1),COLUMN('1-DATA'!X159)),IF($B161="STD. DEVIATION",2,$F$1))))</f>
        <v/>
      </c>
      <c r="Z161" s="1" t="str">
        <f>IF(OR($B161="",Z$7=""),"",IF($B161="MEANS",INDEX('1-DATA'!$1:$1048576,$A160-1,COLUMN('1-DATA'!Y159)),ROUND(INDEX('1-DATA'!$1:$1048576,IF(OR($B161="STD. DEVIATION",$C$1=1),$A161,$A161+1),COLUMN('1-DATA'!Y159)),IF($B161="STD. DEVIATION",2,$F$1))))</f>
        <v/>
      </c>
      <c r="AA161" s="1" t="str">
        <f>IF(OR($B161="",AA$7=""),"",IF($B161="MEANS",INDEX('1-DATA'!$1:$1048576,$A160-1,COLUMN('1-DATA'!Z159)),ROUND(INDEX('1-DATA'!$1:$1048576,IF(OR($B161="STD. DEVIATION",$C$1=1),$A161,$A161+1),COLUMN('1-DATA'!Z159)),IF($B161="STD. DEVIATION",2,$F$1))))</f>
        <v/>
      </c>
      <c r="AB161" s="1" t="str">
        <f>IF(OR($B161="",AB$7=""),"",IF($B161="MEANS",INDEX('1-DATA'!$1:$1048576,$A160-1,COLUMN('1-DATA'!AA159)),ROUND(INDEX('1-DATA'!$1:$1048576,IF(OR($B161="STD. DEVIATION",$C$1=1),$A161,$A161+1),COLUMN('1-DATA'!AA159)),IF($B161="STD. DEVIATION",2,$F$1))))</f>
        <v/>
      </c>
      <c r="AC161" s="1" t="str">
        <f>IF(OR($B161="",AC$7=""),"",IF($B161="MEANS",INDEX('1-DATA'!$1:$1048576,$A160-1,COLUMN('1-DATA'!AB159)),ROUND(INDEX('1-DATA'!$1:$1048576,IF(OR($B161="STD. DEVIATION",$C$1=1),$A161,$A161+1),COLUMN('1-DATA'!AB159)),IF($B161="STD. DEVIATION",2,$F$1))))</f>
        <v/>
      </c>
      <c r="AD161" s="1" t="str">
        <f>IF(OR($B161="",AD$7=""),"",IF($B161="MEANS",INDEX('1-DATA'!$1:$1048576,$A160-1,COLUMN('1-DATA'!AC159)),ROUND(INDEX('1-DATA'!$1:$1048576,IF(OR($B161="STD. DEVIATION",$C$1=1),$A161,$A161+1),COLUMN('1-DATA'!AC159)),IF($B161="STD. DEVIATION",2,$F$1))))</f>
        <v/>
      </c>
      <c r="AE161" s="1" t="str">
        <f>IF(OR($B161="",AE$7=""),"",IF($B161="MEANS",INDEX('1-DATA'!$1:$1048576,$A160-1,COLUMN('1-DATA'!AD159)),ROUND(INDEX('1-DATA'!$1:$1048576,IF(OR($B161="STD. DEVIATION",$C$1=1),$A161,$A161+1),COLUMN('1-DATA'!AD159)),IF($B161="STD. DEVIATION",2,$F$1))))</f>
        <v/>
      </c>
      <c r="AF161" s="1" t="str">
        <f>IF(OR($B161="",AF$7=""),"",IF($B161="MEANS",INDEX('1-DATA'!$1:$1048576,$A160-1,COLUMN('1-DATA'!AE159)),ROUND(INDEX('1-DATA'!$1:$1048576,IF(OR($B161="STD. DEVIATION",$C$1=1),$A161,$A161+1),COLUMN('1-DATA'!AE159)),IF($B161="STD. DEVIATION",2,$F$1))))</f>
        <v/>
      </c>
      <c r="AG161" s="1" t="str">
        <f>IF(OR($B161="",AG$7=""),"",IF($B161="MEANS",INDEX('1-DATA'!$1:$1048576,$A160-1,COLUMN('1-DATA'!AF159)),ROUND(INDEX('1-DATA'!$1:$1048576,IF(OR($B161="STD. DEVIATION",$C$1=1),$A161,$A161+1),COLUMN('1-DATA'!AF159)),IF($B161="STD. DEVIATION",2,$F$1))))</f>
        <v/>
      </c>
      <c r="AH161" s="1" t="str">
        <f>IF(OR($B161="",AH$7=""),"",IF($B161="MEANS",INDEX('1-DATA'!$1:$1048576,$A160-1,COLUMN('1-DATA'!AG159)),ROUND(INDEX('1-DATA'!$1:$1048576,IF(OR($B161="STD. DEVIATION",$C$1=1),$A161,$A161+1),COLUMN('1-DATA'!AG159)),IF($B161="STD. DEVIATION",2,$F$1))))</f>
        <v/>
      </c>
      <c r="AI161" s="1" t="str">
        <f>IF(OR($B161="",AI$7=""),"",IF($B161="MEANS",INDEX('1-DATA'!$1:$1048576,$A160-1,COLUMN('1-DATA'!AH159)),ROUND(INDEX('1-DATA'!$1:$1048576,IF(OR($B161="STD. DEVIATION",$C$1=1),$A161,$A161+1),COLUMN('1-DATA'!AH159)),IF($B161="STD. DEVIATION",2,$F$1))))</f>
        <v/>
      </c>
      <c r="AJ161" s="1" t="str">
        <f>IF(OR($B161="",AJ$7=""),"",IF($B161="MEANS",INDEX('1-DATA'!$1:$1048576,$A160-1,COLUMN('1-DATA'!AI159)),ROUND(INDEX('1-DATA'!$1:$1048576,IF(OR($B161="STD. DEVIATION",$C$1=1),$A161,$A161+1),COLUMN('1-DATA'!AI159)),IF($B161="STD. DEVIATION",2,$F$1))))</f>
        <v/>
      </c>
      <c r="AK161" s="1" t="str">
        <f>IF(OR($B161="",AK$7=""),"",IF($B161="MEANS",INDEX('1-DATA'!$1:$1048576,$A160-1,COLUMN('1-DATA'!AJ159)),ROUND(INDEX('1-DATA'!$1:$1048576,IF(OR($B161="STD. DEVIATION",$C$1=1),$A161,$A161+1),COLUMN('1-DATA'!AJ159)),IF($B161="STD. DEVIATION",2,$F$1))))</f>
        <v/>
      </c>
      <c r="AL161" s="1" t="str">
        <f>IF(OR($B161="",AL$7=""),"",IF($B161="MEANS",INDEX('1-DATA'!$1:$1048576,$A160-1,COLUMN('1-DATA'!AK159)),ROUND(INDEX('1-DATA'!$1:$1048576,IF(OR($B161="STD. DEVIATION",$C$1=1),$A161,$A161+1),COLUMN('1-DATA'!AK159)),IF($B161="STD. DEVIATION",2,$F$1))))</f>
        <v/>
      </c>
      <c r="AM161" s="1" t="str">
        <f>IF(OR($B161="",AM$7=""),"",IF($B161="MEANS",INDEX('1-DATA'!$1:$1048576,$A160-1,COLUMN('1-DATA'!AL159)),ROUND(INDEX('1-DATA'!$1:$1048576,IF(OR($B161="STD. DEVIATION",$C$1=1),$A161,$A161+1),COLUMN('1-DATA'!AL159)),IF($B161="STD. DEVIATION",2,$F$1))))</f>
        <v/>
      </c>
      <c r="AN161" s="1" t="str">
        <f>IF(OR($B161="",AN$7=""),"",IF($B161="MEANS",INDEX('1-DATA'!$1:$1048576,$A160-1,COLUMN('1-DATA'!AM159)),ROUND(INDEX('1-DATA'!$1:$1048576,IF(OR($B161="STD. DEVIATION",$C$1=1),$A161,$A161+1),COLUMN('1-DATA'!AM159)),IF($B161="STD. DEVIATION",2,$F$1))))</f>
        <v/>
      </c>
      <c r="AO161" s="1" t="str">
        <f>IF(OR($B161="",AO$7=""),"",IF($B161="MEANS",INDEX('1-DATA'!$1:$1048576,$A160-1,COLUMN('1-DATA'!AN159)),ROUND(INDEX('1-DATA'!$1:$1048576,IF(OR($B161="STD. DEVIATION",$C$1=1),$A161,$A161+1),COLUMN('1-DATA'!AN159)),IF($B161="STD. DEVIATION",2,$F$1))))</f>
        <v/>
      </c>
      <c r="AP161" s="1" t="str">
        <f>IF(OR($B161="",AP$7=""),"",IF($B161="MEANS",INDEX('1-DATA'!$1:$1048576,$A160-1,COLUMN('1-DATA'!AO159)),ROUND(INDEX('1-DATA'!$1:$1048576,IF(OR($B161="STD. DEVIATION",$C$1=1),$A161,$A161+1),COLUMN('1-DATA'!AO159)),IF($B161="STD. DEVIATION",2,$F$1))))</f>
        <v/>
      </c>
      <c r="AQ161" s="1" t="str">
        <f>IF(OR($B161="",AQ$7=""),"",IF($B161="MEANS",INDEX('1-DATA'!$1:$1048576,$A160-1,COLUMN('1-DATA'!AP159)),ROUND(INDEX('1-DATA'!$1:$1048576,IF(OR($B161="STD. DEVIATION",$C$1=1),$A161,$A161+1),COLUMN('1-DATA'!AP159)),IF($B161="STD. DEVIATION",2,$F$1))))</f>
        <v/>
      </c>
      <c r="AR161" s="1" t="str">
        <f>IF(OR($B161="",AR$7=""),"",IF($B161="MEANS",INDEX('1-DATA'!$1:$1048576,$A160-1,COLUMN('1-DATA'!AQ159)),ROUND(INDEX('1-DATA'!$1:$1048576,IF(OR($B161="STD. DEVIATION",$C$1=1),$A161,$A161+1),COLUMN('1-DATA'!AQ159)),IF($B161="STD. DEVIATION",2,$F$1))))</f>
        <v/>
      </c>
      <c r="AS161" s="1" t="str">
        <f>IF(OR($B161="",AS$7=""),"",IF($B161="MEANS",INDEX('1-DATA'!$1:$1048576,$A160-1,COLUMN('1-DATA'!AR159)),ROUND(INDEX('1-DATA'!$1:$1048576,IF(OR($B161="STD. DEVIATION",$C$1=1),$A161,$A161+1),COLUMN('1-DATA'!AR159)),IF($B161="STD. DEVIATION",2,$F$1))))</f>
        <v/>
      </c>
      <c r="AT161" s="1" t="str">
        <f>IF(OR($B161="",AT$7=""),"",IF($B161="MEANS",INDEX('1-DATA'!$1:$1048576,$A160-1,COLUMN('1-DATA'!AS159)),ROUND(INDEX('1-DATA'!$1:$1048576,IF(OR($B161="STD. DEVIATION",$C$1=1),$A161,$A161+1),COLUMN('1-DATA'!AS159)),IF($B161="STD. DEVIATION",2,$F$1))))</f>
        <v/>
      </c>
      <c r="AU161" s="1" t="str">
        <f>IF(OR($B161="",AU$7=""),"",IF($B161="MEANS",INDEX('1-DATA'!$1:$1048576,$A160-1,COLUMN('1-DATA'!AT159)),ROUND(INDEX('1-DATA'!$1:$1048576,IF(OR($B161="STD. DEVIATION",$C$1=1),$A161,$A161+1),COLUMN('1-DATA'!AT159)),IF($B161="STD. DEVIATION",2,$F$1))))</f>
        <v/>
      </c>
      <c r="AV161" s="1" t="str">
        <f>IF(OR($B161="",AV$7=""),"",IF($B161="MEANS",INDEX('1-DATA'!$1:$1048576,$A160-1,COLUMN('1-DATA'!AU159)),ROUND(INDEX('1-DATA'!$1:$1048576,IF(OR($B161="STD. DEVIATION",$C$1=1),$A161,$A161+1),COLUMN('1-DATA'!AU159)),IF($B161="STD. DEVIATION",2,$F$1))))</f>
        <v/>
      </c>
      <c r="AW161" s="1" t="str">
        <f>IF(OR($B161="",AW$7=""),"",IF($B161="MEANS",INDEX('1-DATA'!$1:$1048576,$A160-1,COLUMN('1-DATA'!AV159)),ROUND(INDEX('1-DATA'!$1:$1048576,IF(OR($B161="STD. DEVIATION",$C$1=1),$A161,$A161+1),COLUMN('1-DATA'!AV159)),IF($B161="STD. DEVIATION",2,$F$1))))</f>
        <v/>
      </c>
      <c r="AX161" s="1" t="str">
        <f>IF(OR($B161="",AX$7=""),"",IF($B161="MEANS",INDEX('1-DATA'!$1:$1048576,$A160-1,COLUMN('1-DATA'!AW159)),ROUND(INDEX('1-DATA'!$1:$1048576,IF(OR($B161="STD. DEVIATION",$C$1=1),$A161,$A161+1),COLUMN('1-DATA'!AW159)),IF($B161="STD. DEVIATION",2,$F$1))))</f>
        <v/>
      </c>
      <c r="AY161" s="1" t="str">
        <f>IF(OR($B161="",AY$7=""),"",IF($B161="MEANS",INDEX('1-DATA'!$1:$1048576,$A160-1,COLUMN('1-DATA'!AX159)),ROUND(INDEX('1-DATA'!$1:$1048576,IF(OR($B161="STD. DEVIATION",$C$1=1),$A161,$A161+1),COLUMN('1-DATA'!AX159)),IF($B161="STD. DEVIATION",2,$F$1))))</f>
        <v/>
      </c>
      <c r="AZ161" s="1" t="str">
        <f>IF(OR($B161="",AZ$7=""),"",IF($B161="MEANS",INDEX('1-DATA'!$1:$1048576,$A160-1,COLUMN('1-DATA'!AY159)),ROUND(INDEX('1-DATA'!$1:$1048576,IF(OR($B161="STD. DEVIATION",$C$1=1),$A161,$A161+1),COLUMN('1-DATA'!AY159)),IF($B161="STD. DEVIATION",2,$F$1))))</f>
        <v/>
      </c>
    </row>
    <row r="162" spans="1:52" x14ac:dyDescent="0.25">
      <c r="A162" s="11">
        <f t="shared" si="3"/>
        <v>472</v>
      </c>
      <c r="B162" s="1" t="str">
        <f>IF(B161="STD. DEVIATION",INDEX('1-DATA'!$1:$1048576,$A161-1,1),IF(INDEX('1-DATA'!$1:$1048576,$A162,1)&lt;&gt;"",INDEX('1-DATA'!$1:$1048576,$A162,1),""))</f>
        <v/>
      </c>
      <c r="C162" s="1" t="str">
        <f>IF(OR($B162="",C$7=""),"",IF($B162="MEANS",INDEX('1-DATA'!$1:$1048576,$A161-1,COLUMN('1-DATA'!B160)),ROUND(INDEX('1-DATA'!$1:$1048576,IF(OR($B162="STD. DEVIATION",$C$1=1),$A162,$A162+1),COLUMN('1-DATA'!B160)),IF($B162="STD. DEVIATION",2,$F$1))))</f>
        <v/>
      </c>
      <c r="D162" s="1" t="str">
        <f>IF(OR($B162="",D$7=""),"",IF($B162="MEANS",INDEX('1-DATA'!$1:$1048576,$A161-1,COLUMN('1-DATA'!C160)),ROUND(INDEX('1-DATA'!$1:$1048576,IF(OR($B162="STD. DEVIATION",$C$1=1),$A162,$A162+1),COLUMN('1-DATA'!C160)),IF($B162="STD. DEVIATION",2,$F$1))))</f>
        <v/>
      </c>
      <c r="E162" s="1" t="str">
        <f>IF(OR($B162="",E$7=""),"",IF($B162="MEANS",INDEX('1-DATA'!$1:$1048576,$A161-1,COLUMN('1-DATA'!D160)),ROUND(INDEX('1-DATA'!$1:$1048576,IF(OR($B162="STD. DEVIATION",$C$1=1),$A162,$A162+1),COLUMN('1-DATA'!D160)),IF($B162="STD. DEVIATION",2,$F$1))))</f>
        <v/>
      </c>
      <c r="F162" s="1" t="str">
        <f>IF(OR($B162="",F$7=""),"",IF($B162="MEANS",INDEX('1-DATA'!$1:$1048576,$A161-1,COLUMN('1-DATA'!E160)),ROUND(INDEX('1-DATA'!$1:$1048576,IF(OR($B162="STD. DEVIATION",$C$1=1),$A162,$A162+1),COLUMN('1-DATA'!E160)),IF($B162="STD. DEVIATION",2,$F$1))))</f>
        <v/>
      </c>
      <c r="G162" s="1" t="str">
        <f>IF(OR($B162="",G$7=""),"",IF($B162="MEANS",INDEX('1-DATA'!$1:$1048576,$A161-1,COLUMN('1-DATA'!F160)),ROUND(INDEX('1-DATA'!$1:$1048576,IF(OR($B162="STD. DEVIATION",$C$1=1),$A162,$A162+1),COLUMN('1-DATA'!F160)),IF($B162="STD. DEVIATION",2,$F$1))))</f>
        <v/>
      </c>
      <c r="H162" s="1" t="str">
        <f>IF(OR($B162="",H$7=""),"",IF($B162="MEANS",INDEX('1-DATA'!$1:$1048576,$A161-1,COLUMN('1-DATA'!G160)),ROUND(INDEX('1-DATA'!$1:$1048576,IF(OR($B162="STD. DEVIATION",$C$1=1),$A162,$A162+1),COLUMN('1-DATA'!G160)),IF($B162="STD. DEVIATION",2,$F$1))))</f>
        <v/>
      </c>
      <c r="I162" s="1" t="str">
        <f>IF(OR($B162="",I$7=""),"",IF($B162="MEANS",INDEX('1-DATA'!$1:$1048576,$A161-1,COLUMN('1-DATA'!H160)),ROUND(INDEX('1-DATA'!$1:$1048576,IF(OR($B162="STD. DEVIATION",$C$1=1),$A162,$A162+1),COLUMN('1-DATA'!H160)),IF($B162="STD. DEVIATION",2,$F$1))))</f>
        <v/>
      </c>
      <c r="J162" s="1" t="str">
        <f>IF(OR($B162="",J$7=""),"",IF($B162="MEANS",INDEX('1-DATA'!$1:$1048576,$A161-1,COLUMN('1-DATA'!I160)),ROUND(INDEX('1-DATA'!$1:$1048576,IF(OR($B162="STD. DEVIATION",$C$1=1),$A162,$A162+1),COLUMN('1-DATA'!I160)),IF($B162="STD. DEVIATION",2,$F$1))))</f>
        <v/>
      </c>
      <c r="K162" s="1" t="str">
        <f>IF(OR($B162="",K$7=""),"",IF($B162="MEANS",INDEX('1-DATA'!$1:$1048576,$A161-1,COLUMN('1-DATA'!J160)),ROUND(INDEX('1-DATA'!$1:$1048576,IF(OR($B162="STD. DEVIATION",$C$1=1),$A162,$A162+1),COLUMN('1-DATA'!J160)),IF($B162="STD. DEVIATION",2,$F$1))))</f>
        <v/>
      </c>
      <c r="L162" s="1" t="str">
        <f>IF(OR($B162="",L$7=""),"",IF($B162="MEANS",INDEX('1-DATA'!$1:$1048576,$A161-1,COLUMN('1-DATA'!K160)),ROUND(INDEX('1-DATA'!$1:$1048576,IF(OR($B162="STD. DEVIATION",$C$1=1),$A162,$A162+1),COLUMN('1-DATA'!K160)),IF($B162="STD. DEVIATION",2,$F$1))))</f>
        <v/>
      </c>
      <c r="M162" s="1" t="str">
        <f>IF(OR($B162="",M$7=""),"",IF($B162="MEANS",INDEX('1-DATA'!$1:$1048576,$A161-1,COLUMN('1-DATA'!L160)),ROUND(INDEX('1-DATA'!$1:$1048576,IF(OR($B162="STD. DEVIATION",$C$1=1),$A162,$A162+1),COLUMN('1-DATA'!L160)),IF($B162="STD. DEVIATION",2,$F$1))))</f>
        <v/>
      </c>
      <c r="N162" s="1" t="str">
        <f>IF(OR($B162="",N$7=""),"",IF($B162="MEANS",INDEX('1-DATA'!$1:$1048576,$A161-1,COLUMN('1-DATA'!M160)),ROUND(INDEX('1-DATA'!$1:$1048576,IF(OR($B162="STD. DEVIATION",$C$1=1),$A162,$A162+1),COLUMN('1-DATA'!M160)),IF($B162="STD. DEVIATION",2,$F$1))))</f>
        <v/>
      </c>
      <c r="O162" s="1" t="str">
        <f>IF(OR($B162="",O$7=""),"",IF($B162="MEANS",INDEX('1-DATA'!$1:$1048576,$A161-1,COLUMN('1-DATA'!N160)),ROUND(INDEX('1-DATA'!$1:$1048576,IF(OR($B162="STD. DEVIATION",$C$1=1),$A162,$A162+1),COLUMN('1-DATA'!N160)),IF($B162="STD. DEVIATION",2,$F$1))))</f>
        <v/>
      </c>
      <c r="P162" s="1" t="str">
        <f>IF(OR($B162="",P$7=""),"",IF($B162="MEANS",INDEX('1-DATA'!$1:$1048576,$A161-1,COLUMN('1-DATA'!O160)),ROUND(INDEX('1-DATA'!$1:$1048576,IF(OR($B162="STD. DEVIATION",$C$1=1),$A162,$A162+1),COLUMN('1-DATA'!O160)),IF($B162="STD. DEVIATION",2,$F$1))))</f>
        <v/>
      </c>
      <c r="Q162" s="1" t="str">
        <f>IF(OR($B162="",Q$7=""),"",IF($B162="MEANS",INDEX('1-DATA'!$1:$1048576,$A161-1,COLUMN('1-DATA'!P160)),ROUND(INDEX('1-DATA'!$1:$1048576,IF(OR($B162="STD. DEVIATION",$C$1=1),$A162,$A162+1),COLUMN('1-DATA'!P160)),IF($B162="STD. DEVIATION",2,$F$1))))</f>
        <v/>
      </c>
      <c r="R162" s="1" t="str">
        <f>IF(OR($B162="",R$7=""),"",IF($B162="MEANS",INDEX('1-DATA'!$1:$1048576,$A161-1,COLUMN('1-DATA'!Q160)),ROUND(INDEX('1-DATA'!$1:$1048576,IF(OR($B162="STD. DEVIATION",$C$1=1),$A162,$A162+1),COLUMN('1-DATA'!Q160)),IF($B162="STD. DEVIATION",2,$F$1))))</f>
        <v/>
      </c>
      <c r="S162" s="1" t="str">
        <f>IF(OR($B162="",S$7=""),"",IF($B162="MEANS",INDEX('1-DATA'!$1:$1048576,$A161-1,COLUMN('1-DATA'!R160)),ROUND(INDEX('1-DATA'!$1:$1048576,IF(OR($B162="STD. DEVIATION",$C$1=1),$A162,$A162+1),COLUMN('1-DATA'!R160)),IF($B162="STD. DEVIATION",2,$F$1))))</f>
        <v/>
      </c>
      <c r="T162" s="1" t="str">
        <f>IF(OR($B162="",T$7=""),"",IF($B162="MEANS",INDEX('1-DATA'!$1:$1048576,$A161-1,COLUMN('1-DATA'!S160)),ROUND(INDEX('1-DATA'!$1:$1048576,IF(OR($B162="STD. DEVIATION",$C$1=1),$A162,$A162+1),COLUMN('1-DATA'!S160)),IF($B162="STD. DEVIATION",2,$F$1))))</f>
        <v/>
      </c>
      <c r="U162" s="1" t="str">
        <f>IF(OR($B162="",U$7=""),"",IF($B162="MEANS",INDEX('1-DATA'!$1:$1048576,$A161-1,COLUMN('1-DATA'!T160)),ROUND(INDEX('1-DATA'!$1:$1048576,IF(OR($B162="STD. DEVIATION",$C$1=1),$A162,$A162+1),COLUMN('1-DATA'!T160)),IF($B162="STD. DEVIATION",2,$F$1))))</f>
        <v/>
      </c>
      <c r="V162" s="1" t="str">
        <f>IF(OR($B162="",V$7=""),"",IF($B162="MEANS",INDEX('1-DATA'!$1:$1048576,$A161-1,COLUMN('1-DATA'!U160)),ROUND(INDEX('1-DATA'!$1:$1048576,IF(OR($B162="STD. DEVIATION",$C$1=1),$A162,$A162+1),COLUMN('1-DATA'!U160)),IF($B162="STD. DEVIATION",2,$F$1))))</f>
        <v/>
      </c>
      <c r="W162" s="1" t="str">
        <f>IF(OR($B162="",W$7=""),"",IF($B162="MEANS",INDEX('1-DATA'!$1:$1048576,$A161-1,COLUMN('1-DATA'!V160)),ROUND(INDEX('1-DATA'!$1:$1048576,IF(OR($B162="STD. DEVIATION",$C$1=1),$A162,$A162+1),COLUMN('1-DATA'!V160)),IF($B162="STD. DEVIATION",2,$F$1))))</f>
        <v/>
      </c>
      <c r="X162" s="1" t="str">
        <f>IF(OR($B162="",X$7=""),"",IF($B162="MEANS",INDEX('1-DATA'!$1:$1048576,$A161-1,COLUMN('1-DATA'!W160)),ROUND(INDEX('1-DATA'!$1:$1048576,IF(OR($B162="STD. DEVIATION",$C$1=1),$A162,$A162+1),COLUMN('1-DATA'!W160)),IF($B162="STD. DEVIATION",2,$F$1))))</f>
        <v/>
      </c>
      <c r="Y162" s="1" t="str">
        <f>IF(OR($B162="",Y$7=""),"",IF($B162="MEANS",INDEX('1-DATA'!$1:$1048576,$A161-1,COLUMN('1-DATA'!X160)),ROUND(INDEX('1-DATA'!$1:$1048576,IF(OR($B162="STD. DEVIATION",$C$1=1),$A162,$A162+1),COLUMN('1-DATA'!X160)),IF($B162="STD. DEVIATION",2,$F$1))))</f>
        <v/>
      </c>
      <c r="Z162" s="1" t="str">
        <f>IF(OR($B162="",Z$7=""),"",IF($B162="MEANS",INDEX('1-DATA'!$1:$1048576,$A161-1,COLUMN('1-DATA'!Y160)),ROUND(INDEX('1-DATA'!$1:$1048576,IF(OR($B162="STD. DEVIATION",$C$1=1),$A162,$A162+1),COLUMN('1-DATA'!Y160)),IF($B162="STD. DEVIATION",2,$F$1))))</f>
        <v/>
      </c>
      <c r="AA162" s="1" t="str">
        <f>IF(OR($B162="",AA$7=""),"",IF($B162="MEANS",INDEX('1-DATA'!$1:$1048576,$A161-1,COLUMN('1-DATA'!Z160)),ROUND(INDEX('1-DATA'!$1:$1048576,IF(OR($B162="STD. DEVIATION",$C$1=1),$A162,$A162+1),COLUMN('1-DATA'!Z160)),IF($B162="STD. DEVIATION",2,$F$1))))</f>
        <v/>
      </c>
      <c r="AB162" s="1" t="str">
        <f>IF(OR($B162="",AB$7=""),"",IF($B162="MEANS",INDEX('1-DATA'!$1:$1048576,$A161-1,COLUMN('1-DATA'!AA160)),ROUND(INDEX('1-DATA'!$1:$1048576,IF(OR($B162="STD. DEVIATION",$C$1=1),$A162,$A162+1),COLUMN('1-DATA'!AA160)),IF($B162="STD. DEVIATION",2,$F$1))))</f>
        <v/>
      </c>
      <c r="AC162" s="1" t="str">
        <f>IF(OR($B162="",AC$7=""),"",IF($B162="MEANS",INDEX('1-DATA'!$1:$1048576,$A161-1,COLUMN('1-DATA'!AB160)),ROUND(INDEX('1-DATA'!$1:$1048576,IF(OR($B162="STD. DEVIATION",$C$1=1),$A162,$A162+1),COLUMN('1-DATA'!AB160)),IF($B162="STD. DEVIATION",2,$F$1))))</f>
        <v/>
      </c>
      <c r="AD162" s="1" t="str">
        <f>IF(OR($B162="",AD$7=""),"",IF($B162="MEANS",INDEX('1-DATA'!$1:$1048576,$A161-1,COLUMN('1-DATA'!AC160)),ROUND(INDEX('1-DATA'!$1:$1048576,IF(OR($B162="STD. DEVIATION",$C$1=1),$A162,$A162+1),COLUMN('1-DATA'!AC160)),IF($B162="STD. DEVIATION",2,$F$1))))</f>
        <v/>
      </c>
      <c r="AE162" s="1" t="str">
        <f>IF(OR($B162="",AE$7=""),"",IF($B162="MEANS",INDEX('1-DATA'!$1:$1048576,$A161-1,COLUMN('1-DATA'!AD160)),ROUND(INDEX('1-DATA'!$1:$1048576,IF(OR($B162="STD. DEVIATION",$C$1=1),$A162,$A162+1),COLUMN('1-DATA'!AD160)),IF($B162="STD. DEVIATION",2,$F$1))))</f>
        <v/>
      </c>
      <c r="AF162" s="1" t="str">
        <f>IF(OR($B162="",AF$7=""),"",IF($B162="MEANS",INDEX('1-DATA'!$1:$1048576,$A161-1,COLUMN('1-DATA'!AE160)),ROUND(INDEX('1-DATA'!$1:$1048576,IF(OR($B162="STD. DEVIATION",$C$1=1),$A162,$A162+1),COLUMN('1-DATA'!AE160)),IF($B162="STD. DEVIATION",2,$F$1))))</f>
        <v/>
      </c>
      <c r="AG162" s="1" t="str">
        <f>IF(OR($B162="",AG$7=""),"",IF($B162="MEANS",INDEX('1-DATA'!$1:$1048576,$A161-1,COLUMN('1-DATA'!AF160)),ROUND(INDEX('1-DATA'!$1:$1048576,IF(OR($B162="STD. DEVIATION",$C$1=1),$A162,$A162+1),COLUMN('1-DATA'!AF160)),IF($B162="STD. DEVIATION",2,$F$1))))</f>
        <v/>
      </c>
      <c r="AH162" s="1" t="str">
        <f>IF(OR($B162="",AH$7=""),"",IF($B162="MEANS",INDEX('1-DATA'!$1:$1048576,$A161-1,COLUMN('1-DATA'!AG160)),ROUND(INDEX('1-DATA'!$1:$1048576,IF(OR($B162="STD. DEVIATION",$C$1=1),$A162,$A162+1),COLUMN('1-DATA'!AG160)),IF($B162="STD. DEVIATION",2,$F$1))))</f>
        <v/>
      </c>
      <c r="AI162" s="1" t="str">
        <f>IF(OR($B162="",AI$7=""),"",IF($B162="MEANS",INDEX('1-DATA'!$1:$1048576,$A161-1,COLUMN('1-DATA'!AH160)),ROUND(INDEX('1-DATA'!$1:$1048576,IF(OR($B162="STD. DEVIATION",$C$1=1),$A162,$A162+1),COLUMN('1-DATA'!AH160)),IF($B162="STD. DEVIATION",2,$F$1))))</f>
        <v/>
      </c>
      <c r="AJ162" s="1" t="str">
        <f>IF(OR($B162="",AJ$7=""),"",IF($B162="MEANS",INDEX('1-DATA'!$1:$1048576,$A161-1,COLUMN('1-DATA'!AI160)),ROUND(INDEX('1-DATA'!$1:$1048576,IF(OR($B162="STD. DEVIATION",$C$1=1),$A162,$A162+1),COLUMN('1-DATA'!AI160)),IF($B162="STD. DEVIATION",2,$F$1))))</f>
        <v/>
      </c>
      <c r="AK162" s="1" t="str">
        <f>IF(OR($B162="",AK$7=""),"",IF($B162="MEANS",INDEX('1-DATA'!$1:$1048576,$A161-1,COLUMN('1-DATA'!AJ160)),ROUND(INDEX('1-DATA'!$1:$1048576,IF(OR($B162="STD. DEVIATION",$C$1=1),$A162,$A162+1),COLUMN('1-DATA'!AJ160)),IF($B162="STD. DEVIATION",2,$F$1))))</f>
        <v/>
      </c>
      <c r="AL162" s="1" t="str">
        <f>IF(OR($B162="",AL$7=""),"",IF($B162="MEANS",INDEX('1-DATA'!$1:$1048576,$A161-1,COLUMN('1-DATA'!AK160)),ROUND(INDEX('1-DATA'!$1:$1048576,IF(OR($B162="STD. DEVIATION",$C$1=1),$A162,$A162+1),COLUMN('1-DATA'!AK160)),IF($B162="STD. DEVIATION",2,$F$1))))</f>
        <v/>
      </c>
      <c r="AM162" s="1" t="str">
        <f>IF(OR($B162="",AM$7=""),"",IF($B162="MEANS",INDEX('1-DATA'!$1:$1048576,$A161-1,COLUMN('1-DATA'!AL160)),ROUND(INDEX('1-DATA'!$1:$1048576,IF(OR($B162="STD. DEVIATION",$C$1=1),$A162,$A162+1),COLUMN('1-DATA'!AL160)),IF($B162="STD. DEVIATION",2,$F$1))))</f>
        <v/>
      </c>
      <c r="AN162" s="1" t="str">
        <f>IF(OR($B162="",AN$7=""),"",IF($B162="MEANS",INDEX('1-DATA'!$1:$1048576,$A161-1,COLUMN('1-DATA'!AM160)),ROUND(INDEX('1-DATA'!$1:$1048576,IF(OR($B162="STD. DEVIATION",$C$1=1),$A162,$A162+1),COLUMN('1-DATA'!AM160)),IF($B162="STD. DEVIATION",2,$F$1))))</f>
        <v/>
      </c>
      <c r="AO162" s="1" t="str">
        <f>IF(OR($B162="",AO$7=""),"",IF($B162="MEANS",INDEX('1-DATA'!$1:$1048576,$A161-1,COLUMN('1-DATA'!AN160)),ROUND(INDEX('1-DATA'!$1:$1048576,IF(OR($B162="STD. DEVIATION",$C$1=1),$A162,$A162+1),COLUMN('1-DATA'!AN160)),IF($B162="STD. DEVIATION",2,$F$1))))</f>
        <v/>
      </c>
      <c r="AP162" s="1" t="str">
        <f>IF(OR($B162="",AP$7=""),"",IF($B162="MEANS",INDEX('1-DATA'!$1:$1048576,$A161-1,COLUMN('1-DATA'!AO160)),ROUND(INDEX('1-DATA'!$1:$1048576,IF(OR($B162="STD. DEVIATION",$C$1=1),$A162,$A162+1),COLUMN('1-DATA'!AO160)),IF($B162="STD. DEVIATION",2,$F$1))))</f>
        <v/>
      </c>
      <c r="AQ162" s="1" t="str">
        <f>IF(OR($B162="",AQ$7=""),"",IF($B162="MEANS",INDEX('1-DATA'!$1:$1048576,$A161-1,COLUMN('1-DATA'!AP160)),ROUND(INDEX('1-DATA'!$1:$1048576,IF(OR($B162="STD. DEVIATION",$C$1=1),$A162,$A162+1),COLUMN('1-DATA'!AP160)),IF($B162="STD. DEVIATION",2,$F$1))))</f>
        <v/>
      </c>
      <c r="AR162" s="1" t="str">
        <f>IF(OR($B162="",AR$7=""),"",IF($B162="MEANS",INDEX('1-DATA'!$1:$1048576,$A161-1,COLUMN('1-DATA'!AQ160)),ROUND(INDEX('1-DATA'!$1:$1048576,IF(OR($B162="STD. DEVIATION",$C$1=1),$A162,$A162+1),COLUMN('1-DATA'!AQ160)),IF($B162="STD. DEVIATION",2,$F$1))))</f>
        <v/>
      </c>
      <c r="AS162" s="1" t="str">
        <f>IF(OR($B162="",AS$7=""),"",IF($B162="MEANS",INDEX('1-DATA'!$1:$1048576,$A161-1,COLUMN('1-DATA'!AR160)),ROUND(INDEX('1-DATA'!$1:$1048576,IF(OR($B162="STD. DEVIATION",$C$1=1),$A162,$A162+1),COLUMN('1-DATA'!AR160)),IF($B162="STD. DEVIATION",2,$F$1))))</f>
        <v/>
      </c>
      <c r="AT162" s="1" t="str">
        <f>IF(OR($B162="",AT$7=""),"",IF($B162="MEANS",INDEX('1-DATA'!$1:$1048576,$A161-1,COLUMN('1-DATA'!AS160)),ROUND(INDEX('1-DATA'!$1:$1048576,IF(OR($B162="STD. DEVIATION",$C$1=1),$A162,$A162+1),COLUMN('1-DATA'!AS160)),IF($B162="STD. DEVIATION",2,$F$1))))</f>
        <v/>
      </c>
      <c r="AU162" s="1" t="str">
        <f>IF(OR($B162="",AU$7=""),"",IF($B162="MEANS",INDEX('1-DATA'!$1:$1048576,$A161-1,COLUMN('1-DATA'!AT160)),ROUND(INDEX('1-DATA'!$1:$1048576,IF(OR($B162="STD. DEVIATION",$C$1=1),$A162,$A162+1),COLUMN('1-DATA'!AT160)),IF($B162="STD. DEVIATION",2,$F$1))))</f>
        <v/>
      </c>
      <c r="AV162" s="1" t="str">
        <f>IF(OR($B162="",AV$7=""),"",IF($B162="MEANS",INDEX('1-DATA'!$1:$1048576,$A161-1,COLUMN('1-DATA'!AU160)),ROUND(INDEX('1-DATA'!$1:$1048576,IF(OR($B162="STD. DEVIATION",$C$1=1),$A162,$A162+1),COLUMN('1-DATA'!AU160)),IF($B162="STD. DEVIATION",2,$F$1))))</f>
        <v/>
      </c>
      <c r="AW162" s="1" t="str">
        <f>IF(OR($B162="",AW$7=""),"",IF($B162="MEANS",INDEX('1-DATA'!$1:$1048576,$A161-1,COLUMN('1-DATA'!AV160)),ROUND(INDEX('1-DATA'!$1:$1048576,IF(OR($B162="STD. DEVIATION",$C$1=1),$A162,$A162+1),COLUMN('1-DATA'!AV160)),IF($B162="STD. DEVIATION",2,$F$1))))</f>
        <v/>
      </c>
      <c r="AX162" s="1" t="str">
        <f>IF(OR($B162="",AX$7=""),"",IF($B162="MEANS",INDEX('1-DATA'!$1:$1048576,$A161-1,COLUMN('1-DATA'!AW160)),ROUND(INDEX('1-DATA'!$1:$1048576,IF(OR($B162="STD. DEVIATION",$C$1=1),$A162,$A162+1),COLUMN('1-DATA'!AW160)),IF($B162="STD. DEVIATION",2,$F$1))))</f>
        <v/>
      </c>
      <c r="AY162" s="1" t="str">
        <f>IF(OR($B162="",AY$7=""),"",IF($B162="MEANS",INDEX('1-DATA'!$1:$1048576,$A161-1,COLUMN('1-DATA'!AX160)),ROUND(INDEX('1-DATA'!$1:$1048576,IF(OR($B162="STD. DEVIATION",$C$1=1),$A162,$A162+1),COLUMN('1-DATA'!AX160)),IF($B162="STD. DEVIATION",2,$F$1))))</f>
        <v/>
      </c>
      <c r="AZ162" s="1" t="str">
        <f>IF(OR($B162="",AZ$7=""),"",IF($B162="MEANS",INDEX('1-DATA'!$1:$1048576,$A161-1,COLUMN('1-DATA'!AY160)),ROUND(INDEX('1-DATA'!$1:$1048576,IF(OR($B162="STD. DEVIATION",$C$1=1),$A162,$A162+1),COLUMN('1-DATA'!AY160)),IF($B162="STD. DEVIATION",2,$F$1))))</f>
        <v/>
      </c>
    </row>
    <row r="163" spans="1:52" x14ac:dyDescent="0.25">
      <c r="A163" s="11">
        <f t="shared" si="3"/>
        <v>475</v>
      </c>
      <c r="B163" s="1" t="str">
        <f>IF(B162="STD. DEVIATION",INDEX('1-DATA'!$1:$1048576,$A162-1,1),IF(INDEX('1-DATA'!$1:$1048576,$A163,1)&lt;&gt;"",INDEX('1-DATA'!$1:$1048576,$A163,1),""))</f>
        <v/>
      </c>
      <c r="C163" s="1" t="str">
        <f>IF(OR($B163="",C$7=""),"",IF($B163="MEANS",INDEX('1-DATA'!$1:$1048576,$A162-1,COLUMN('1-DATA'!B161)),ROUND(INDEX('1-DATA'!$1:$1048576,IF(OR($B163="STD. DEVIATION",$C$1=1),$A163,$A163+1),COLUMN('1-DATA'!B161)),IF($B163="STD. DEVIATION",2,$F$1))))</f>
        <v/>
      </c>
      <c r="D163" s="1" t="str">
        <f>IF(OR($B163="",D$7=""),"",IF($B163="MEANS",INDEX('1-DATA'!$1:$1048576,$A162-1,COLUMN('1-DATA'!C161)),ROUND(INDEX('1-DATA'!$1:$1048576,IF(OR($B163="STD. DEVIATION",$C$1=1),$A163,$A163+1),COLUMN('1-DATA'!C161)),IF($B163="STD. DEVIATION",2,$F$1))))</f>
        <v/>
      </c>
      <c r="E163" s="1" t="str">
        <f>IF(OR($B163="",E$7=""),"",IF($B163="MEANS",INDEX('1-DATA'!$1:$1048576,$A162-1,COLUMN('1-DATA'!D161)),ROUND(INDEX('1-DATA'!$1:$1048576,IF(OR($B163="STD. DEVIATION",$C$1=1),$A163,$A163+1),COLUMN('1-DATA'!D161)),IF($B163="STD. DEVIATION",2,$F$1))))</f>
        <v/>
      </c>
      <c r="F163" s="1" t="str">
        <f>IF(OR($B163="",F$7=""),"",IF($B163="MEANS",INDEX('1-DATA'!$1:$1048576,$A162-1,COLUMN('1-DATA'!E161)),ROUND(INDEX('1-DATA'!$1:$1048576,IF(OR($B163="STD. DEVIATION",$C$1=1),$A163,$A163+1),COLUMN('1-DATA'!E161)),IF($B163="STD. DEVIATION",2,$F$1))))</f>
        <v/>
      </c>
      <c r="G163" s="1" t="str">
        <f>IF(OR($B163="",G$7=""),"",IF($B163="MEANS",INDEX('1-DATA'!$1:$1048576,$A162-1,COLUMN('1-DATA'!F161)),ROUND(INDEX('1-DATA'!$1:$1048576,IF(OR($B163="STD. DEVIATION",$C$1=1),$A163,$A163+1),COLUMN('1-DATA'!F161)),IF($B163="STD. DEVIATION",2,$F$1))))</f>
        <v/>
      </c>
      <c r="H163" s="1" t="str">
        <f>IF(OR($B163="",H$7=""),"",IF($B163="MEANS",INDEX('1-DATA'!$1:$1048576,$A162-1,COLUMN('1-DATA'!G161)),ROUND(INDEX('1-DATA'!$1:$1048576,IF(OR($B163="STD. DEVIATION",$C$1=1),$A163,$A163+1),COLUMN('1-DATA'!G161)),IF($B163="STD. DEVIATION",2,$F$1))))</f>
        <v/>
      </c>
      <c r="I163" s="1" t="str">
        <f>IF(OR($B163="",I$7=""),"",IF($B163="MEANS",INDEX('1-DATA'!$1:$1048576,$A162-1,COLUMN('1-DATA'!H161)),ROUND(INDEX('1-DATA'!$1:$1048576,IF(OR($B163="STD. DEVIATION",$C$1=1),$A163,$A163+1),COLUMN('1-DATA'!H161)),IF($B163="STD. DEVIATION",2,$F$1))))</f>
        <v/>
      </c>
      <c r="J163" s="1" t="str">
        <f>IF(OR($B163="",J$7=""),"",IF($B163="MEANS",INDEX('1-DATA'!$1:$1048576,$A162-1,COLUMN('1-DATA'!I161)),ROUND(INDEX('1-DATA'!$1:$1048576,IF(OR($B163="STD. DEVIATION",$C$1=1),$A163,$A163+1),COLUMN('1-DATA'!I161)),IF($B163="STD. DEVIATION",2,$F$1))))</f>
        <v/>
      </c>
      <c r="K163" s="1" t="str">
        <f>IF(OR($B163="",K$7=""),"",IF($B163="MEANS",INDEX('1-DATA'!$1:$1048576,$A162-1,COLUMN('1-DATA'!J161)),ROUND(INDEX('1-DATA'!$1:$1048576,IF(OR($B163="STD. DEVIATION",$C$1=1),$A163,$A163+1),COLUMN('1-DATA'!J161)),IF($B163="STD. DEVIATION",2,$F$1))))</f>
        <v/>
      </c>
      <c r="L163" s="1" t="str">
        <f>IF(OR($B163="",L$7=""),"",IF($B163="MEANS",INDEX('1-DATA'!$1:$1048576,$A162-1,COLUMN('1-DATA'!K161)),ROUND(INDEX('1-DATA'!$1:$1048576,IF(OR($B163="STD. DEVIATION",$C$1=1),$A163,$A163+1),COLUMN('1-DATA'!K161)),IF($B163="STD. DEVIATION",2,$F$1))))</f>
        <v/>
      </c>
      <c r="M163" s="1" t="str">
        <f>IF(OR($B163="",M$7=""),"",IF($B163="MEANS",INDEX('1-DATA'!$1:$1048576,$A162-1,COLUMN('1-DATA'!L161)),ROUND(INDEX('1-DATA'!$1:$1048576,IF(OR($B163="STD. DEVIATION",$C$1=1),$A163,$A163+1),COLUMN('1-DATA'!L161)),IF($B163="STD. DEVIATION",2,$F$1))))</f>
        <v/>
      </c>
      <c r="N163" s="1" t="str">
        <f>IF(OR($B163="",N$7=""),"",IF($B163="MEANS",INDEX('1-DATA'!$1:$1048576,$A162-1,COLUMN('1-DATA'!M161)),ROUND(INDEX('1-DATA'!$1:$1048576,IF(OR($B163="STD. DEVIATION",$C$1=1),$A163,$A163+1),COLUMN('1-DATA'!M161)),IF($B163="STD. DEVIATION",2,$F$1))))</f>
        <v/>
      </c>
      <c r="O163" s="1" t="str">
        <f>IF(OR($B163="",O$7=""),"",IF($B163="MEANS",INDEX('1-DATA'!$1:$1048576,$A162-1,COLUMN('1-DATA'!N161)),ROUND(INDEX('1-DATA'!$1:$1048576,IF(OR($B163="STD. DEVIATION",$C$1=1),$A163,$A163+1),COLUMN('1-DATA'!N161)),IF($B163="STD. DEVIATION",2,$F$1))))</f>
        <v/>
      </c>
      <c r="P163" s="1" t="str">
        <f>IF(OR($B163="",P$7=""),"",IF($B163="MEANS",INDEX('1-DATA'!$1:$1048576,$A162-1,COLUMN('1-DATA'!O161)),ROUND(INDEX('1-DATA'!$1:$1048576,IF(OR($B163="STD. DEVIATION",$C$1=1),$A163,$A163+1),COLUMN('1-DATA'!O161)),IF($B163="STD. DEVIATION",2,$F$1))))</f>
        <v/>
      </c>
      <c r="Q163" s="1" t="str">
        <f>IF(OR($B163="",Q$7=""),"",IF($B163="MEANS",INDEX('1-DATA'!$1:$1048576,$A162-1,COLUMN('1-DATA'!P161)),ROUND(INDEX('1-DATA'!$1:$1048576,IF(OR($B163="STD. DEVIATION",$C$1=1),$A163,$A163+1),COLUMN('1-DATA'!P161)),IF($B163="STD. DEVIATION",2,$F$1))))</f>
        <v/>
      </c>
      <c r="R163" s="1" t="str">
        <f>IF(OR($B163="",R$7=""),"",IF($B163="MEANS",INDEX('1-DATA'!$1:$1048576,$A162-1,COLUMN('1-DATA'!Q161)),ROUND(INDEX('1-DATA'!$1:$1048576,IF(OR($B163="STD. DEVIATION",$C$1=1),$A163,$A163+1),COLUMN('1-DATA'!Q161)),IF($B163="STD. DEVIATION",2,$F$1))))</f>
        <v/>
      </c>
      <c r="S163" s="1" t="str">
        <f>IF(OR($B163="",S$7=""),"",IF($B163="MEANS",INDEX('1-DATA'!$1:$1048576,$A162-1,COLUMN('1-DATA'!R161)),ROUND(INDEX('1-DATA'!$1:$1048576,IF(OR($B163="STD. DEVIATION",$C$1=1),$A163,$A163+1),COLUMN('1-DATA'!R161)),IF($B163="STD. DEVIATION",2,$F$1))))</f>
        <v/>
      </c>
      <c r="T163" s="1" t="str">
        <f>IF(OR($B163="",T$7=""),"",IF($B163="MEANS",INDEX('1-DATA'!$1:$1048576,$A162-1,COLUMN('1-DATA'!S161)),ROUND(INDEX('1-DATA'!$1:$1048576,IF(OR($B163="STD. DEVIATION",$C$1=1),$A163,$A163+1),COLUMN('1-DATA'!S161)),IF($B163="STD. DEVIATION",2,$F$1))))</f>
        <v/>
      </c>
      <c r="U163" s="1" t="str">
        <f>IF(OR($B163="",U$7=""),"",IF($B163="MEANS",INDEX('1-DATA'!$1:$1048576,$A162-1,COLUMN('1-DATA'!T161)),ROUND(INDEX('1-DATA'!$1:$1048576,IF(OR($B163="STD. DEVIATION",$C$1=1),$A163,$A163+1),COLUMN('1-DATA'!T161)),IF($B163="STD. DEVIATION",2,$F$1))))</f>
        <v/>
      </c>
      <c r="V163" s="1" t="str">
        <f>IF(OR($B163="",V$7=""),"",IF($B163="MEANS",INDEX('1-DATA'!$1:$1048576,$A162-1,COLUMN('1-DATA'!U161)),ROUND(INDEX('1-DATA'!$1:$1048576,IF(OR($B163="STD. DEVIATION",$C$1=1),$A163,$A163+1),COLUMN('1-DATA'!U161)),IF($B163="STD. DEVIATION",2,$F$1))))</f>
        <v/>
      </c>
      <c r="W163" s="1" t="str">
        <f>IF(OR($B163="",W$7=""),"",IF($B163="MEANS",INDEX('1-DATA'!$1:$1048576,$A162-1,COLUMN('1-DATA'!V161)),ROUND(INDEX('1-DATA'!$1:$1048576,IF(OR($B163="STD. DEVIATION",$C$1=1),$A163,$A163+1),COLUMN('1-DATA'!V161)),IF($B163="STD. DEVIATION",2,$F$1))))</f>
        <v/>
      </c>
      <c r="X163" s="1" t="str">
        <f>IF(OR($B163="",X$7=""),"",IF($B163="MEANS",INDEX('1-DATA'!$1:$1048576,$A162-1,COLUMN('1-DATA'!W161)),ROUND(INDEX('1-DATA'!$1:$1048576,IF(OR($B163="STD. DEVIATION",$C$1=1),$A163,$A163+1),COLUMN('1-DATA'!W161)),IF($B163="STD. DEVIATION",2,$F$1))))</f>
        <v/>
      </c>
      <c r="Y163" s="1" t="str">
        <f>IF(OR($B163="",Y$7=""),"",IF($B163="MEANS",INDEX('1-DATA'!$1:$1048576,$A162-1,COLUMN('1-DATA'!X161)),ROUND(INDEX('1-DATA'!$1:$1048576,IF(OR($B163="STD. DEVIATION",$C$1=1),$A163,$A163+1),COLUMN('1-DATA'!X161)),IF($B163="STD. DEVIATION",2,$F$1))))</f>
        <v/>
      </c>
      <c r="Z163" s="1" t="str">
        <f>IF(OR($B163="",Z$7=""),"",IF($B163="MEANS",INDEX('1-DATA'!$1:$1048576,$A162-1,COLUMN('1-DATA'!Y161)),ROUND(INDEX('1-DATA'!$1:$1048576,IF(OR($B163="STD. DEVIATION",$C$1=1),$A163,$A163+1),COLUMN('1-DATA'!Y161)),IF($B163="STD. DEVIATION",2,$F$1))))</f>
        <v/>
      </c>
      <c r="AA163" s="1" t="str">
        <f>IF(OR($B163="",AA$7=""),"",IF($B163="MEANS",INDEX('1-DATA'!$1:$1048576,$A162-1,COLUMN('1-DATA'!Z161)),ROUND(INDEX('1-DATA'!$1:$1048576,IF(OR($B163="STD. DEVIATION",$C$1=1),$A163,$A163+1),COLUMN('1-DATA'!Z161)),IF($B163="STD. DEVIATION",2,$F$1))))</f>
        <v/>
      </c>
      <c r="AB163" s="1" t="str">
        <f>IF(OR($B163="",AB$7=""),"",IF($B163="MEANS",INDEX('1-DATA'!$1:$1048576,$A162-1,COLUMN('1-DATA'!AA161)),ROUND(INDEX('1-DATA'!$1:$1048576,IF(OR($B163="STD. DEVIATION",$C$1=1),$A163,$A163+1),COLUMN('1-DATA'!AA161)),IF($B163="STD. DEVIATION",2,$F$1))))</f>
        <v/>
      </c>
      <c r="AC163" s="1" t="str">
        <f>IF(OR($B163="",AC$7=""),"",IF($B163="MEANS",INDEX('1-DATA'!$1:$1048576,$A162-1,COLUMN('1-DATA'!AB161)),ROUND(INDEX('1-DATA'!$1:$1048576,IF(OR($B163="STD. DEVIATION",$C$1=1),$A163,$A163+1),COLUMN('1-DATA'!AB161)),IF($B163="STD. DEVIATION",2,$F$1))))</f>
        <v/>
      </c>
      <c r="AD163" s="1" t="str">
        <f>IF(OR($B163="",AD$7=""),"",IF($B163="MEANS",INDEX('1-DATA'!$1:$1048576,$A162-1,COLUMN('1-DATA'!AC161)),ROUND(INDEX('1-DATA'!$1:$1048576,IF(OR($B163="STD. DEVIATION",$C$1=1),$A163,$A163+1),COLUMN('1-DATA'!AC161)),IF($B163="STD. DEVIATION",2,$F$1))))</f>
        <v/>
      </c>
      <c r="AE163" s="1" t="str">
        <f>IF(OR($B163="",AE$7=""),"",IF($B163="MEANS",INDEX('1-DATA'!$1:$1048576,$A162-1,COLUMN('1-DATA'!AD161)),ROUND(INDEX('1-DATA'!$1:$1048576,IF(OR($B163="STD. DEVIATION",$C$1=1),$A163,$A163+1),COLUMN('1-DATA'!AD161)),IF($B163="STD. DEVIATION",2,$F$1))))</f>
        <v/>
      </c>
      <c r="AF163" s="1" t="str">
        <f>IF(OR($B163="",AF$7=""),"",IF($B163="MEANS",INDEX('1-DATA'!$1:$1048576,$A162-1,COLUMN('1-DATA'!AE161)),ROUND(INDEX('1-DATA'!$1:$1048576,IF(OR($B163="STD. DEVIATION",$C$1=1),$A163,$A163+1),COLUMN('1-DATA'!AE161)),IF($B163="STD. DEVIATION",2,$F$1))))</f>
        <v/>
      </c>
      <c r="AG163" s="1" t="str">
        <f>IF(OR($B163="",AG$7=""),"",IF($B163="MEANS",INDEX('1-DATA'!$1:$1048576,$A162-1,COLUMN('1-DATA'!AF161)),ROUND(INDEX('1-DATA'!$1:$1048576,IF(OR($B163="STD. DEVIATION",$C$1=1),$A163,$A163+1),COLUMN('1-DATA'!AF161)),IF($B163="STD. DEVIATION",2,$F$1))))</f>
        <v/>
      </c>
      <c r="AH163" s="1" t="str">
        <f>IF(OR($B163="",AH$7=""),"",IF($B163="MEANS",INDEX('1-DATA'!$1:$1048576,$A162-1,COLUMN('1-DATA'!AG161)),ROUND(INDEX('1-DATA'!$1:$1048576,IF(OR($B163="STD. DEVIATION",$C$1=1),$A163,$A163+1),COLUMN('1-DATA'!AG161)),IF($B163="STD. DEVIATION",2,$F$1))))</f>
        <v/>
      </c>
      <c r="AI163" s="1" t="str">
        <f>IF(OR($B163="",AI$7=""),"",IF($B163="MEANS",INDEX('1-DATA'!$1:$1048576,$A162-1,COLUMN('1-DATA'!AH161)),ROUND(INDEX('1-DATA'!$1:$1048576,IF(OR($B163="STD. DEVIATION",$C$1=1),$A163,$A163+1),COLUMN('1-DATA'!AH161)),IF($B163="STD. DEVIATION",2,$F$1))))</f>
        <v/>
      </c>
      <c r="AJ163" s="1" t="str">
        <f>IF(OR($B163="",AJ$7=""),"",IF($B163="MEANS",INDEX('1-DATA'!$1:$1048576,$A162-1,COLUMN('1-DATA'!AI161)),ROUND(INDEX('1-DATA'!$1:$1048576,IF(OR($B163="STD. DEVIATION",$C$1=1),$A163,$A163+1),COLUMN('1-DATA'!AI161)),IF($B163="STD. DEVIATION",2,$F$1))))</f>
        <v/>
      </c>
      <c r="AK163" s="1" t="str">
        <f>IF(OR($B163="",AK$7=""),"",IF($B163="MEANS",INDEX('1-DATA'!$1:$1048576,$A162-1,COLUMN('1-DATA'!AJ161)),ROUND(INDEX('1-DATA'!$1:$1048576,IF(OR($B163="STD. DEVIATION",$C$1=1),$A163,$A163+1),COLUMN('1-DATA'!AJ161)),IF($B163="STD. DEVIATION",2,$F$1))))</f>
        <v/>
      </c>
      <c r="AL163" s="1" t="str">
        <f>IF(OR($B163="",AL$7=""),"",IF($B163="MEANS",INDEX('1-DATA'!$1:$1048576,$A162-1,COLUMN('1-DATA'!AK161)),ROUND(INDEX('1-DATA'!$1:$1048576,IF(OR($B163="STD. DEVIATION",$C$1=1),$A163,$A163+1),COLUMN('1-DATA'!AK161)),IF($B163="STD. DEVIATION",2,$F$1))))</f>
        <v/>
      </c>
      <c r="AM163" s="1" t="str">
        <f>IF(OR($B163="",AM$7=""),"",IF($B163="MEANS",INDEX('1-DATA'!$1:$1048576,$A162-1,COLUMN('1-DATA'!AL161)),ROUND(INDEX('1-DATA'!$1:$1048576,IF(OR($B163="STD. DEVIATION",$C$1=1),$A163,$A163+1),COLUMN('1-DATA'!AL161)),IF($B163="STD. DEVIATION",2,$F$1))))</f>
        <v/>
      </c>
      <c r="AN163" s="1" t="str">
        <f>IF(OR($B163="",AN$7=""),"",IF($B163="MEANS",INDEX('1-DATA'!$1:$1048576,$A162-1,COLUMN('1-DATA'!AM161)),ROUND(INDEX('1-DATA'!$1:$1048576,IF(OR($B163="STD. DEVIATION",$C$1=1),$A163,$A163+1),COLUMN('1-DATA'!AM161)),IF($B163="STD. DEVIATION",2,$F$1))))</f>
        <v/>
      </c>
      <c r="AO163" s="1" t="str">
        <f>IF(OR($B163="",AO$7=""),"",IF($B163="MEANS",INDEX('1-DATA'!$1:$1048576,$A162-1,COLUMN('1-DATA'!AN161)),ROUND(INDEX('1-DATA'!$1:$1048576,IF(OR($B163="STD. DEVIATION",$C$1=1),$A163,$A163+1),COLUMN('1-DATA'!AN161)),IF($B163="STD. DEVIATION",2,$F$1))))</f>
        <v/>
      </c>
      <c r="AP163" s="1" t="str">
        <f>IF(OR($B163="",AP$7=""),"",IF($B163="MEANS",INDEX('1-DATA'!$1:$1048576,$A162-1,COLUMN('1-DATA'!AO161)),ROUND(INDEX('1-DATA'!$1:$1048576,IF(OR($B163="STD. DEVIATION",$C$1=1),$A163,$A163+1),COLUMN('1-DATA'!AO161)),IF($B163="STD. DEVIATION",2,$F$1))))</f>
        <v/>
      </c>
      <c r="AQ163" s="1" t="str">
        <f>IF(OR($B163="",AQ$7=""),"",IF($B163="MEANS",INDEX('1-DATA'!$1:$1048576,$A162-1,COLUMN('1-DATA'!AP161)),ROUND(INDEX('1-DATA'!$1:$1048576,IF(OR($B163="STD. DEVIATION",$C$1=1),$A163,$A163+1),COLUMN('1-DATA'!AP161)),IF($B163="STD. DEVIATION",2,$F$1))))</f>
        <v/>
      </c>
      <c r="AR163" s="1" t="str">
        <f>IF(OR($B163="",AR$7=""),"",IF($B163="MEANS",INDEX('1-DATA'!$1:$1048576,$A162-1,COLUMN('1-DATA'!AQ161)),ROUND(INDEX('1-DATA'!$1:$1048576,IF(OR($B163="STD. DEVIATION",$C$1=1),$A163,$A163+1),COLUMN('1-DATA'!AQ161)),IF($B163="STD. DEVIATION",2,$F$1))))</f>
        <v/>
      </c>
      <c r="AS163" s="1" t="str">
        <f>IF(OR($B163="",AS$7=""),"",IF($B163="MEANS",INDEX('1-DATA'!$1:$1048576,$A162-1,COLUMN('1-DATA'!AR161)),ROUND(INDEX('1-DATA'!$1:$1048576,IF(OR($B163="STD. DEVIATION",$C$1=1),$A163,$A163+1),COLUMN('1-DATA'!AR161)),IF($B163="STD. DEVIATION",2,$F$1))))</f>
        <v/>
      </c>
      <c r="AT163" s="1" t="str">
        <f>IF(OR($B163="",AT$7=""),"",IF($B163="MEANS",INDEX('1-DATA'!$1:$1048576,$A162-1,COLUMN('1-DATA'!AS161)),ROUND(INDEX('1-DATA'!$1:$1048576,IF(OR($B163="STD. DEVIATION",$C$1=1),$A163,$A163+1),COLUMN('1-DATA'!AS161)),IF($B163="STD. DEVIATION",2,$F$1))))</f>
        <v/>
      </c>
      <c r="AU163" s="1" t="str">
        <f>IF(OR($B163="",AU$7=""),"",IF($B163="MEANS",INDEX('1-DATA'!$1:$1048576,$A162-1,COLUMN('1-DATA'!AT161)),ROUND(INDEX('1-DATA'!$1:$1048576,IF(OR($B163="STD. DEVIATION",$C$1=1),$A163,$A163+1),COLUMN('1-DATA'!AT161)),IF($B163="STD. DEVIATION",2,$F$1))))</f>
        <v/>
      </c>
      <c r="AV163" s="1" t="str">
        <f>IF(OR($B163="",AV$7=""),"",IF($B163="MEANS",INDEX('1-DATA'!$1:$1048576,$A162-1,COLUMN('1-DATA'!AU161)),ROUND(INDEX('1-DATA'!$1:$1048576,IF(OR($B163="STD. DEVIATION",$C$1=1),$A163,$A163+1),COLUMN('1-DATA'!AU161)),IF($B163="STD. DEVIATION",2,$F$1))))</f>
        <v/>
      </c>
      <c r="AW163" s="1" t="str">
        <f>IF(OR($B163="",AW$7=""),"",IF($B163="MEANS",INDEX('1-DATA'!$1:$1048576,$A162-1,COLUMN('1-DATA'!AV161)),ROUND(INDEX('1-DATA'!$1:$1048576,IF(OR($B163="STD. DEVIATION",$C$1=1),$A163,$A163+1),COLUMN('1-DATA'!AV161)),IF($B163="STD. DEVIATION",2,$F$1))))</f>
        <v/>
      </c>
      <c r="AX163" s="1" t="str">
        <f>IF(OR($B163="",AX$7=""),"",IF($B163="MEANS",INDEX('1-DATA'!$1:$1048576,$A162-1,COLUMN('1-DATA'!AW161)),ROUND(INDEX('1-DATA'!$1:$1048576,IF(OR($B163="STD. DEVIATION",$C$1=1),$A163,$A163+1),COLUMN('1-DATA'!AW161)),IF($B163="STD. DEVIATION",2,$F$1))))</f>
        <v/>
      </c>
      <c r="AY163" s="1" t="str">
        <f>IF(OR($B163="",AY$7=""),"",IF($B163="MEANS",INDEX('1-DATA'!$1:$1048576,$A162-1,COLUMN('1-DATA'!AX161)),ROUND(INDEX('1-DATA'!$1:$1048576,IF(OR($B163="STD. DEVIATION",$C$1=1),$A163,$A163+1),COLUMN('1-DATA'!AX161)),IF($B163="STD. DEVIATION",2,$F$1))))</f>
        <v/>
      </c>
      <c r="AZ163" s="1" t="str">
        <f>IF(OR($B163="",AZ$7=""),"",IF($B163="MEANS",INDEX('1-DATA'!$1:$1048576,$A162-1,COLUMN('1-DATA'!AY161)),ROUND(INDEX('1-DATA'!$1:$1048576,IF(OR($B163="STD. DEVIATION",$C$1=1),$A163,$A163+1),COLUMN('1-DATA'!AY161)),IF($B163="STD. DEVIATION",2,$F$1))))</f>
        <v/>
      </c>
    </row>
    <row r="164" spans="1:52" x14ac:dyDescent="0.25">
      <c r="A164" s="11">
        <f t="shared" si="3"/>
        <v>478</v>
      </c>
      <c r="B164" s="1" t="str">
        <f>IF(B163="STD. DEVIATION",INDEX('1-DATA'!$1:$1048576,$A163-1,1),IF(INDEX('1-DATA'!$1:$1048576,$A164,1)&lt;&gt;"",INDEX('1-DATA'!$1:$1048576,$A164,1),""))</f>
        <v/>
      </c>
      <c r="C164" s="1" t="str">
        <f>IF(OR($B164="",C$7=""),"",IF($B164="MEANS",INDEX('1-DATA'!$1:$1048576,$A163-1,COLUMN('1-DATA'!B162)),ROUND(INDEX('1-DATA'!$1:$1048576,IF(OR($B164="STD. DEVIATION",$C$1=1),$A164,$A164+1),COLUMN('1-DATA'!B162)),IF($B164="STD. DEVIATION",2,$F$1))))</f>
        <v/>
      </c>
      <c r="D164" s="1" t="str">
        <f>IF(OR($B164="",D$7=""),"",IF($B164="MEANS",INDEX('1-DATA'!$1:$1048576,$A163-1,COLUMN('1-DATA'!C162)),ROUND(INDEX('1-DATA'!$1:$1048576,IF(OR($B164="STD. DEVIATION",$C$1=1),$A164,$A164+1),COLUMN('1-DATA'!C162)),IF($B164="STD. DEVIATION",2,$F$1))))</f>
        <v/>
      </c>
      <c r="E164" s="1" t="str">
        <f>IF(OR($B164="",E$7=""),"",IF($B164="MEANS",INDEX('1-DATA'!$1:$1048576,$A163-1,COLUMN('1-DATA'!D162)),ROUND(INDEX('1-DATA'!$1:$1048576,IF(OR($B164="STD. DEVIATION",$C$1=1),$A164,$A164+1),COLUMN('1-DATA'!D162)),IF($B164="STD. DEVIATION",2,$F$1))))</f>
        <v/>
      </c>
      <c r="F164" s="1" t="str">
        <f>IF(OR($B164="",F$7=""),"",IF($B164="MEANS",INDEX('1-DATA'!$1:$1048576,$A163-1,COLUMN('1-DATA'!E162)),ROUND(INDEX('1-DATA'!$1:$1048576,IF(OR($B164="STD. DEVIATION",$C$1=1),$A164,$A164+1),COLUMN('1-DATA'!E162)),IF($B164="STD. DEVIATION",2,$F$1))))</f>
        <v/>
      </c>
      <c r="G164" s="1" t="str">
        <f>IF(OR($B164="",G$7=""),"",IF($B164="MEANS",INDEX('1-DATA'!$1:$1048576,$A163-1,COLUMN('1-DATA'!F162)),ROUND(INDEX('1-DATA'!$1:$1048576,IF(OR($B164="STD. DEVIATION",$C$1=1),$A164,$A164+1),COLUMN('1-DATA'!F162)),IF($B164="STD. DEVIATION",2,$F$1))))</f>
        <v/>
      </c>
      <c r="H164" s="1" t="str">
        <f>IF(OR($B164="",H$7=""),"",IF($B164="MEANS",INDEX('1-DATA'!$1:$1048576,$A163-1,COLUMN('1-DATA'!G162)),ROUND(INDEX('1-DATA'!$1:$1048576,IF(OR($B164="STD. DEVIATION",$C$1=1),$A164,$A164+1),COLUMN('1-DATA'!G162)),IF($B164="STD. DEVIATION",2,$F$1))))</f>
        <v/>
      </c>
      <c r="I164" s="1" t="str">
        <f>IF(OR($B164="",I$7=""),"",IF($B164="MEANS",INDEX('1-DATA'!$1:$1048576,$A163-1,COLUMN('1-DATA'!H162)),ROUND(INDEX('1-DATA'!$1:$1048576,IF(OR($B164="STD. DEVIATION",$C$1=1),$A164,$A164+1),COLUMN('1-DATA'!H162)),IF($B164="STD. DEVIATION",2,$F$1))))</f>
        <v/>
      </c>
      <c r="J164" s="1" t="str">
        <f>IF(OR($B164="",J$7=""),"",IF($B164="MEANS",INDEX('1-DATA'!$1:$1048576,$A163-1,COLUMN('1-DATA'!I162)),ROUND(INDEX('1-DATA'!$1:$1048576,IF(OR($B164="STD. DEVIATION",$C$1=1),$A164,$A164+1),COLUMN('1-DATA'!I162)),IF($B164="STD. DEVIATION",2,$F$1))))</f>
        <v/>
      </c>
      <c r="K164" s="1" t="str">
        <f>IF(OR($B164="",K$7=""),"",IF($B164="MEANS",INDEX('1-DATA'!$1:$1048576,$A163-1,COLUMN('1-DATA'!J162)),ROUND(INDEX('1-DATA'!$1:$1048576,IF(OR($B164="STD. DEVIATION",$C$1=1),$A164,$A164+1),COLUMN('1-DATA'!J162)),IF($B164="STD. DEVIATION",2,$F$1))))</f>
        <v/>
      </c>
      <c r="L164" s="1" t="str">
        <f>IF(OR($B164="",L$7=""),"",IF($B164="MEANS",INDEX('1-DATA'!$1:$1048576,$A163-1,COLUMN('1-DATA'!K162)),ROUND(INDEX('1-DATA'!$1:$1048576,IF(OR($B164="STD. DEVIATION",$C$1=1),$A164,$A164+1),COLUMN('1-DATA'!K162)),IF($B164="STD. DEVIATION",2,$F$1))))</f>
        <v/>
      </c>
      <c r="M164" s="1" t="str">
        <f>IF(OR($B164="",M$7=""),"",IF($B164="MEANS",INDEX('1-DATA'!$1:$1048576,$A163-1,COLUMN('1-DATA'!L162)),ROUND(INDEX('1-DATA'!$1:$1048576,IF(OR($B164="STD. DEVIATION",$C$1=1),$A164,$A164+1),COLUMN('1-DATA'!L162)),IF($B164="STD. DEVIATION",2,$F$1))))</f>
        <v/>
      </c>
      <c r="N164" s="1" t="str">
        <f>IF(OR($B164="",N$7=""),"",IF($B164="MEANS",INDEX('1-DATA'!$1:$1048576,$A163-1,COLUMN('1-DATA'!M162)),ROUND(INDEX('1-DATA'!$1:$1048576,IF(OR($B164="STD. DEVIATION",$C$1=1),$A164,$A164+1),COLUMN('1-DATA'!M162)),IF($B164="STD. DEVIATION",2,$F$1))))</f>
        <v/>
      </c>
      <c r="O164" s="1" t="str">
        <f>IF(OR($B164="",O$7=""),"",IF($B164="MEANS",INDEX('1-DATA'!$1:$1048576,$A163-1,COLUMN('1-DATA'!N162)),ROUND(INDEX('1-DATA'!$1:$1048576,IF(OR($B164="STD. DEVIATION",$C$1=1),$A164,$A164+1),COLUMN('1-DATA'!N162)),IF($B164="STD. DEVIATION",2,$F$1))))</f>
        <v/>
      </c>
      <c r="P164" s="1" t="str">
        <f>IF(OR($B164="",P$7=""),"",IF($B164="MEANS",INDEX('1-DATA'!$1:$1048576,$A163-1,COLUMN('1-DATA'!O162)),ROUND(INDEX('1-DATA'!$1:$1048576,IF(OR($B164="STD. DEVIATION",$C$1=1),$A164,$A164+1),COLUMN('1-DATA'!O162)),IF($B164="STD. DEVIATION",2,$F$1))))</f>
        <v/>
      </c>
      <c r="Q164" s="1" t="str">
        <f>IF(OR($B164="",Q$7=""),"",IF($B164="MEANS",INDEX('1-DATA'!$1:$1048576,$A163-1,COLUMN('1-DATA'!P162)),ROUND(INDEX('1-DATA'!$1:$1048576,IF(OR($B164="STD. DEVIATION",$C$1=1),$A164,$A164+1),COLUMN('1-DATA'!P162)),IF($B164="STD. DEVIATION",2,$F$1))))</f>
        <v/>
      </c>
      <c r="R164" s="1" t="str">
        <f>IF(OR($B164="",R$7=""),"",IF($B164="MEANS",INDEX('1-DATA'!$1:$1048576,$A163-1,COLUMN('1-DATA'!Q162)),ROUND(INDEX('1-DATA'!$1:$1048576,IF(OR($B164="STD. DEVIATION",$C$1=1),$A164,$A164+1),COLUMN('1-DATA'!Q162)),IF($B164="STD. DEVIATION",2,$F$1))))</f>
        <v/>
      </c>
      <c r="S164" s="1" t="str">
        <f>IF(OR($B164="",S$7=""),"",IF($B164="MEANS",INDEX('1-DATA'!$1:$1048576,$A163-1,COLUMN('1-DATA'!R162)),ROUND(INDEX('1-DATA'!$1:$1048576,IF(OR($B164="STD. DEVIATION",$C$1=1),$A164,$A164+1),COLUMN('1-DATA'!R162)),IF($B164="STD. DEVIATION",2,$F$1))))</f>
        <v/>
      </c>
      <c r="T164" s="1" t="str">
        <f>IF(OR($B164="",T$7=""),"",IF($B164="MEANS",INDEX('1-DATA'!$1:$1048576,$A163-1,COLUMN('1-DATA'!S162)),ROUND(INDEX('1-DATA'!$1:$1048576,IF(OR($B164="STD. DEVIATION",$C$1=1),$A164,$A164+1),COLUMN('1-DATA'!S162)),IF($B164="STD. DEVIATION",2,$F$1))))</f>
        <v/>
      </c>
      <c r="U164" s="1" t="str">
        <f>IF(OR($B164="",U$7=""),"",IF($B164="MEANS",INDEX('1-DATA'!$1:$1048576,$A163-1,COLUMN('1-DATA'!T162)),ROUND(INDEX('1-DATA'!$1:$1048576,IF(OR($B164="STD. DEVIATION",$C$1=1),$A164,$A164+1),COLUMN('1-DATA'!T162)),IF($B164="STD. DEVIATION",2,$F$1))))</f>
        <v/>
      </c>
      <c r="V164" s="1" t="str">
        <f>IF(OR($B164="",V$7=""),"",IF($B164="MEANS",INDEX('1-DATA'!$1:$1048576,$A163-1,COLUMN('1-DATA'!U162)),ROUND(INDEX('1-DATA'!$1:$1048576,IF(OR($B164="STD. DEVIATION",$C$1=1),$A164,$A164+1),COLUMN('1-DATA'!U162)),IF($B164="STD. DEVIATION",2,$F$1))))</f>
        <v/>
      </c>
      <c r="W164" s="1" t="str">
        <f>IF(OR($B164="",W$7=""),"",IF($B164="MEANS",INDEX('1-DATA'!$1:$1048576,$A163-1,COLUMN('1-DATA'!V162)),ROUND(INDEX('1-DATA'!$1:$1048576,IF(OR($B164="STD. DEVIATION",$C$1=1),$A164,$A164+1),COLUMN('1-DATA'!V162)),IF($B164="STD. DEVIATION",2,$F$1))))</f>
        <v/>
      </c>
      <c r="X164" s="1" t="str">
        <f>IF(OR($B164="",X$7=""),"",IF($B164="MEANS",INDEX('1-DATA'!$1:$1048576,$A163-1,COLUMN('1-DATA'!W162)),ROUND(INDEX('1-DATA'!$1:$1048576,IF(OR($B164="STD. DEVIATION",$C$1=1),$A164,$A164+1),COLUMN('1-DATA'!W162)),IF($B164="STD. DEVIATION",2,$F$1))))</f>
        <v/>
      </c>
      <c r="Y164" s="1" t="str">
        <f>IF(OR($B164="",Y$7=""),"",IF($B164="MEANS",INDEX('1-DATA'!$1:$1048576,$A163-1,COLUMN('1-DATA'!X162)),ROUND(INDEX('1-DATA'!$1:$1048576,IF(OR($B164="STD. DEVIATION",$C$1=1),$A164,$A164+1),COLUMN('1-DATA'!X162)),IF($B164="STD. DEVIATION",2,$F$1))))</f>
        <v/>
      </c>
      <c r="Z164" s="1" t="str">
        <f>IF(OR($B164="",Z$7=""),"",IF($B164="MEANS",INDEX('1-DATA'!$1:$1048576,$A163-1,COLUMN('1-DATA'!Y162)),ROUND(INDEX('1-DATA'!$1:$1048576,IF(OR($B164="STD. DEVIATION",$C$1=1),$A164,$A164+1),COLUMN('1-DATA'!Y162)),IF($B164="STD. DEVIATION",2,$F$1))))</f>
        <v/>
      </c>
      <c r="AA164" s="1" t="str">
        <f>IF(OR($B164="",AA$7=""),"",IF($B164="MEANS",INDEX('1-DATA'!$1:$1048576,$A163-1,COLUMN('1-DATA'!Z162)),ROUND(INDEX('1-DATA'!$1:$1048576,IF(OR($B164="STD. DEVIATION",$C$1=1),$A164,$A164+1),COLUMN('1-DATA'!Z162)),IF($B164="STD. DEVIATION",2,$F$1))))</f>
        <v/>
      </c>
      <c r="AB164" s="1" t="str">
        <f>IF(OR($B164="",AB$7=""),"",IF($B164="MEANS",INDEX('1-DATA'!$1:$1048576,$A163-1,COLUMN('1-DATA'!AA162)),ROUND(INDEX('1-DATA'!$1:$1048576,IF(OR($B164="STD. DEVIATION",$C$1=1),$A164,$A164+1),COLUMN('1-DATA'!AA162)),IF($B164="STD. DEVIATION",2,$F$1))))</f>
        <v/>
      </c>
      <c r="AC164" s="1" t="str">
        <f>IF(OR($B164="",AC$7=""),"",IF($B164="MEANS",INDEX('1-DATA'!$1:$1048576,$A163-1,COLUMN('1-DATA'!AB162)),ROUND(INDEX('1-DATA'!$1:$1048576,IF(OR($B164="STD. DEVIATION",$C$1=1),$A164,$A164+1),COLUMN('1-DATA'!AB162)),IF($B164="STD. DEVIATION",2,$F$1))))</f>
        <v/>
      </c>
      <c r="AD164" s="1" t="str">
        <f>IF(OR($B164="",AD$7=""),"",IF($B164="MEANS",INDEX('1-DATA'!$1:$1048576,$A163-1,COLUMN('1-DATA'!AC162)),ROUND(INDEX('1-DATA'!$1:$1048576,IF(OR($B164="STD. DEVIATION",$C$1=1),$A164,$A164+1),COLUMN('1-DATA'!AC162)),IF($B164="STD. DEVIATION",2,$F$1))))</f>
        <v/>
      </c>
      <c r="AE164" s="1" t="str">
        <f>IF(OR($B164="",AE$7=""),"",IF($B164="MEANS",INDEX('1-DATA'!$1:$1048576,$A163-1,COLUMN('1-DATA'!AD162)),ROUND(INDEX('1-DATA'!$1:$1048576,IF(OR($B164="STD. DEVIATION",$C$1=1),$A164,$A164+1),COLUMN('1-DATA'!AD162)),IF($B164="STD. DEVIATION",2,$F$1))))</f>
        <v/>
      </c>
      <c r="AF164" s="1" t="str">
        <f>IF(OR($B164="",AF$7=""),"",IF($B164="MEANS",INDEX('1-DATA'!$1:$1048576,$A163-1,COLUMN('1-DATA'!AE162)),ROUND(INDEX('1-DATA'!$1:$1048576,IF(OR($B164="STD. DEVIATION",$C$1=1),$A164,$A164+1),COLUMN('1-DATA'!AE162)),IF($B164="STD. DEVIATION",2,$F$1))))</f>
        <v/>
      </c>
      <c r="AG164" s="1" t="str">
        <f>IF(OR($B164="",AG$7=""),"",IF($B164="MEANS",INDEX('1-DATA'!$1:$1048576,$A163-1,COLUMN('1-DATA'!AF162)),ROUND(INDEX('1-DATA'!$1:$1048576,IF(OR($B164="STD. DEVIATION",$C$1=1),$A164,$A164+1),COLUMN('1-DATA'!AF162)),IF($B164="STD. DEVIATION",2,$F$1))))</f>
        <v/>
      </c>
      <c r="AH164" s="1" t="str">
        <f>IF(OR($B164="",AH$7=""),"",IF($B164="MEANS",INDEX('1-DATA'!$1:$1048576,$A163-1,COLUMN('1-DATA'!AG162)),ROUND(INDEX('1-DATA'!$1:$1048576,IF(OR($B164="STD. DEVIATION",$C$1=1),$A164,$A164+1),COLUMN('1-DATA'!AG162)),IF($B164="STD. DEVIATION",2,$F$1))))</f>
        <v/>
      </c>
      <c r="AI164" s="1" t="str">
        <f>IF(OR($B164="",AI$7=""),"",IF($B164="MEANS",INDEX('1-DATA'!$1:$1048576,$A163-1,COLUMN('1-DATA'!AH162)),ROUND(INDEX('1-DATA'!$1:$1048576,IF(OR($B164="STD. DEVIATION",$C$1=1),$A164,$A164+1),COLUMN('1-DATA'!AH162)),IF($B164="STD. DEVIATION",2,$F$1))))</f>
        <v/>
      </c>
      <c r="AJ164" s="1" t="str">
        <f>IF(OR($B164="",AJ$7=""),"",IF($B164="MEANS",INDEX('1-DATA'!$1:$1048576,$A163-1,COLUMN('1-DATA'!AI162)),ROUND(INDEX('1-DATA'!$1:$1048576,IF(OR($B164="STD. DEVIATION",$C$1=1),$A164,$A164+1),COLUMN('1-DATA'!AI162)),IF($B164="STD. DEVIATION",2,$F$1))))</f>
        <v/>
      </c>
      <c r="AK164" s="1" t="str">
        <f>IF(OR($B164="",AK$7=""),"",IF($B164="MEANS",INDEX('1-DATA'!$1:$1048576,$A163-1,COLUMN('1-DATA'!AJ162)),ROUND(INDEX('1-DATA'!$1:$1048576,IF(OR($B164="STD. DEVIATION",$C$1=1),$A164,$A164+1),COLUMN('1-DATA'!AJ162)),IF($B164="STD. DEVIATION",2,$F$1))))</f>
        <v/>
      </c>
      <c r="AL164" s="1" t="str">
        <f>IF(OR($B164="",AL$7=""),"",IF($B164="MEANS",INDEX('1-DATA'!$1:$1048576,$A163-1,COLUMN('1-DATA'!AK162)),ROUND(INDEX('1-DATA'!$1:$1048576,IF(OR($B164="STD. DEVIATION",$C$1=1),$A164,$A164+1),COLUMN('1-DATA'!AK162)),IF($B164="STD. DEVIATION",2,$F$1))))</f>
        <v/>
      </c>
      <c r="AM164" s="1" t="str">
        <f>IF(OR($B164="",AM$7=""),"",IF($B164="MEANS",INDEX('1-DATA'!$1:$1048576,$A163-1,COLUMN('1-DATA'!AL162)),ROUND(INDEX('1-DATA'!$1:$1048576,IF(OR($B164="STD. DEVIATION",$C$1=1),$A164,$A164+1),COLUMN('1-DATA'!AL162)),IF($B164="STD. DEVIATION",2,$F$1))))</f>
        <v/>
      </c>
      <c r="AN164" s="1" t="str">
        <f>IF(OR($B164="",AN$7=""),"",IF($B164="MEANS",INDEX('1-DATA'!$1:$1048576,$A163-1,COLUMN('1-DATA'!AM162)),ROUND(INDEX('1-DATA'!$1:$1048576,IF(OR($B164="STD. DEVIATION",$C$1=1),$A164,$A164+1),COLUMN('1-DATA'!AM162)),IF($B164="STD. DEVIATION",2,$F$1))))</f>
        <v/>
      </c>
      <c r="AO164" s="1" t="str">
        <f>IF(OR($B164="",AO$7=""),"",IF($B164="MEANS",INDEX('1-DATA'!$1:$1048576,$A163-1,COLUMN('1-DATA'!AN162)),ROUND(INDEX('1-DATA'!$1:$1048576,IF(OR($B164="STD. DEVIATION",$C$1=1),$A164,$A164+1),COLUMN('1-DATA'!AN162)),IF($B164="STD. DEVIATION",2,$F$1))))</f>
        <v/>
      </c>
      <c r="AP164" s="1" t="str">
        <f>IF(OR($B164="",AP$7=""),"",IF($B164="MEANS",INDEX('1-DATA'!$1:$1048576,$A163-1,COLUMN('1-DATA'!AO162)),ROUND(INDEX('1-DATA'!$1:$1048576,IF(OR($B164="STD. DEVIATION",$C$1=1),$A164,$A164+1),COLUMN('1-DATA'!AO162)),IF($B164="STD. DEVIATION",2,$F$1))))</f>
        <v/>
      </c>
      <c r="AQ164" s="1" t="str">
        <f>IF(OR($B164="",AQ$7=""),"",IF($B164="MEANS",INDEX('1-DATA'!$1:$1048576,$A163-1,COLUMN('1-DATA'!AP162)),ROUND(INDEX('1-DATA'!$1:$1048576,IF(OR($B164="STD. DEVIATION",$C$1=1),$A164,$A164+1),COLUMN('1-DATA'!AP162)),IF($B164="STD. DEVIATION",2,$F$1))))</f>
        <v/>
      </c>
      <c r="AR164" s="1" t="str">
        <f>IF(OR($B164="",AR$7=""),"",IF($B164="MEANS",INDEX('1-DATA'!$1:$1048576,$A163-1,COLUMN('1-DATA'!AQ162)),ROUND(INDEX('1-DATA'!$1:$1048576,IF(OR($B164="STD. DEVIATION",$C$1=1),$A164,$A164+1),COLUMN('1-DATA'!AQ162)),IF($B164="STD. DEVIATION",2,$F$1))))</f>
        <v/>
      </c>
      <c r="AS164" s="1" t="str">
        <f>IF(OR($B164="",AS$7=""),"",IF($B164="MEANS",INDEX('1-DATA'!$1:$1048576,$A163-1,COLUMN('1-DATA'!AR162)),ROUND(INDEX('1-DATA'!$1:$1048576,IF(OR($B164="STD. DEVIATION",$C$1=1),$A164,$A164+1),COLUMN('1-DATA'!AR162)),IF($B164="STD. DEVIATION",2,$F$1))))</f>
        <v/>
      </c>
      <c r="AT164" s="1" t="str">
        <f>IF(OR($B164="",AT$7=""),"",IF($B164="MEANS",INDEX('1-DATA'!$1:$1048576,$A163-1,COLUMN('1-DATA'!AS162)),ROUND(INDEX('1-DATA'!$1:$1048576,IF(OR($B164="STD. DEVIATION",$C$1=1),$A164,$A164+1),COLUMN('1-DATA'!AS162)),IF($B164="STD. DEVIATION",2,$F$1))))</f>
        <v/>
      </c>
      <c r="AU164" s="1" t="str">
        <f>IF(OR($B164="",AU$7=""),"",IF($B164="MEANS",INDEX('1-DATA'!$1:$1048576,$A163-1,COLUMN('1-DATA'!AT162)),ROUND(INDEX('1-DATA'!$1:$1048576,IF(OR($B164="STD. DEVIATION",$C$1=1),$A164,$A164+1),COLUMN('1-DATA'!AT162)),IF($B164="STD. DEVIATION",2,$F$1))))</f>
        <v/>
      </c>
      <c r="AV164" s="1" t="str">
        <f>IF(OR($B164="",AV$7=""),"",IF($B164="MEANS",INDEX('1-DATA'!$1:$1048576,$A163-1,COLUMN('1-DATA'!AU162)),ROUND(INDEX('1-DATA'!$1:$1048576,IF(OR($B164="STD. DEVIATION",$C$1=1),$A164,$A164+1),COLUMN('1-DATA'!AU162)),IF($B164="STD. DEVIATION",2,$F$1))))</f>
        <v/>
      </c>
      <c r="AW164" s="1" t="str">
        <f>IF(OR($B164="",AW$7=""),"",IF($B164="MEANS",INDEX('1-DATA'!$1:$1048576,$A163-1,COLUMN('1-DATA'!AV162)),ROUND(INDEX('1-DATA'!$1:$1048576,IF(OR($B164="STD. DEVIATION",$C$1=1),$A164,$A164+1),COLUMN('1-DATA'!AV162)),IF($B164="STD. DEVIATION",2,$F$1))))</f>
        <v/>
      </c>
      <c r="AX164" s="1" t="str">
        <f>IF(OR($B164="",AX$7=""),"",IF($B164="MEANS",INDEX('1-DATA'!$1:$1048576,$A163-1,COLUMN('1-DATA'!AW162)),ROUND(INDEX('1-DATA'!$1:$1048576,IF(OR($B164="STD. DEVIATION",$C$1=1),$A164,$A164+1),COLUMN('1-DATA'!AW162)),IF($B164="STD. DEVIATION",2,$F$1))))</f>
        <v/>
      </c>
      <c r="AY164" s="1" t="str">
        <f>IF(OR($B164="",AY$7=""),"",IF($B164="MEANS",INDEX('1-DATA'!$1:$1048576,$A163-1,COLUMN('1-DATA'!AX162)),ROUND(INDEX('1-DATA'!$1:$1048576,IF(OR($B164="STD. DEVIATION",$C$1=1),$A164,$A164+1),COLUMN('1-DATA'!AX162)),IF($B164="STD. DEVIATION",2,$F$1))))</f>
        <v/>
      </c>
      <c r="AZ164" s="1" t="str">
        <f>IF(OR($B164="",AZ$7=""),"",IF($B164="MEANS",INDEX('1-DATA'!$1:$1048576,$A163-1,COLUMN('1-DATA'!AY162)),ROUND(INDEX('1-DATA'!$1:$1048576,IF(OR($B164="STD. DEVIATION",$C$1=1),$A164,$A164+1),COLUMN('1-DATA'!AY162)),IF($B164="STD. DEVIATION",2,$F$1))))</f>
        <v/>
      </c>
    </row>
    <row r="165" spans="1:52" x14ac:dyDescent="0.25">
      <c r="A165" s="11">
        <f t="shared" si="3"/>
        <v>481</v>
      </c>
      <c r="B165" s="1" t="str">
        <f>IF(B164="STD. DEVIATION",INDEX('1-DATA'!$1:$1048576,$A164-1,1),IF(INDEX('1-DATA'!$1:$1048576,$A165,1)&lt;&gt;"",INDEX('1-DATA'!$1:$1048576,$A165,1),""))</f>
        <v/>
      </c>
      <c r="C165" s="1" t="str">
        <f>IF(OR($B165="",C$7=""),"",IF($B165="MEANS",INDEX('1-DATA'!$1:$1048576,$A164-1,COLUMN('1-DATA'!B163)),ROUND(INDEX('1-DATA'!$1:$1048576,IF(OR($B165="STD. DEVIATION",$C$1=1),$A165,$A165+1),COLUMN('1-DATA'!B163)),IF($B165="STD. DEVIATION",2,$F$1))))</f>
        <v/>
      </c>
      <c r="D165" s="1" t="str">
        <f>IF(OR($B165="",D$7=""),"",IF($B165="MEANS",INDEX('1-DATA'!$1:$1048576,$A164-1,COLUMN('1-DATA'!C163)),ROUND(INDEX('1-DATA'!$1:$1048576,IF(OR($B165="STD. DEVIATION",$C$1=1),$A165,$A165+1),COLUMN('1-DATA'!C163)),IF($B165="STD. DEVIATION",2,$F$1))))</f>
        <v/>
      </c>
      <c r="E165" s="1" t="str">
        <f>IF(OR($B165="",E$7=""),"",IF($B165="MEANS",INDEX('1-DATA'!$1:$1048576,$A164-1,COLUMN('1-DATA'!D163)),ROUND(INDEX('1-DATA'!$1:$1048576,IF(OR($B165="STD. DEVIATION",$C$1=1),$A165,$A165+1),COLUMN('1-DATA'!D163)),IF($B165="STD. DEVIATION",2,$F$1))))</f>
        <v/>
      </c>
      <c r="F165" s="1" t="str">
        <f>IF(OR($B165="",F$7=""),"",IF($B165="MEANS",INDEX('1-DATA'!$1:$1048576,$A164-1,COLUMN('1-DATA'!E163)),ROUND(INDEX('1-DATA'!$1:$1048576,IF(OR($B165="STD. DEVIATION",$C$1=1),$A165,$A165+1),COLUMN('1-DATA'!E163)),IF($B165="STD. DEVIATION",2,$F$1))))</f>
        <v/>
      </c>
      <c r="G165" s="1" t="str">
        <f>IF(OR($B165="",G$7=""),"",IF($B165="MEANS",INDEX('1-DATA'!$1:$1048576,$A164-1,COLUMN('1-DATA'!F163)),ROUND(INDEX('1-DATA'!$1:$1048576,IF(OR($B165="STD. DEVIATION",$C$1=1),$A165,$A165+1),COLUMN('1-DATA'!F163)),IF($B165="STD. DEVIATION",2,$F$1))))</f>
        <v/>
      </c>
      <c r="H165" s="1" t="str">
        <f>IF(OR($B165="",H$7=""),"",IF($B165="MEANS",INDEX('1-DATA'!$1:$1048576,$A164-1,COLUMN('1-DATA'!G163)),ROUND(INDEX('1-DATA'!$1:$1048576,IF(OR($B165="STD. DEVIATION",$C$1=1),$A165,$A165+1),COLUMN('1-DATA'!G163)),IF($B165="STD. DEVIATION",2,$F$1))))</f>
        <v/>
      </c>
      <c r="I165" s="1" t="str">
        <f>IF(OR($B165="",I$7=""),"",IF($B165="MEANS",INDEX('1-DATA'!$1:$1048576,$A164-1,COLUMN('1-DATA'!H163)),ROUND(INDEX('1-DATA'!$1:$1048576,IF(OR($B165="STD. DEVIATION",$C$1=1),$A165,$A165+1),COLUMN('1-DATA'!H163)),IF($B165="STD. DEVIATION",2,$F$1))))</f>
        <v/>
      </c>
      <c r="J165" s="1" t="str">
        <f>IF(OR($B165="",J$7=""),"",IF($B165="MEANS",INDEX('1-DATA'!$1:$1048576,$A164-1,COLUMN('1-DATA'!I163)),ROUND(INDEX('1-DATA'!$1:$1048576,IF(OR($B165="STD. DEVIATION",$C$1=1),$A165,$A165+1),COLUMN('1-DATA'!I163)),IF($B165="STD. DEVIATION",2,$F$1))))</f>
        <v/>
      </c>
      <c r="K165" s="1" t="str">
        <f>IF(OR($B165="",K$7=""),"",IF($B165="MEANS",INDEX('1-DATA'!$1:$1048576,$A164-1,COLUMN('1-DATA'!J163)),ROUND(INDEX('1-DATA'!$1:$1048576,IF(OR($B165="STD. DEVIATION",$C$1=1),$A165,$A165+1),COLUMN('1-DATA'!J163)),IF($B165="STD. DEVIATION",2,$F$1))))</f>
        <v/>
      </c>
      <c r="L165" s="1" t="str">
        <f>IF(OR($B165="",L$7=""),"",IF($B165="MEANS",INDEX('1-DATA'!$1:$1048576,$A164-1,COLUMN('1-DATA'!K163)),ROUND(INDEX('1-DATA'!$1:$1048576,IF(OR($B165="STD. DEVIATION",$C$1=1),$A165,$A165+1),COLUMN('1-DATA'!K163)),IF($B165="STD. DEVIATION",2,$F$1))))</f>
        <v/>
      </c>
      <c r="M165" s="1" t="str">
        <f>IF(OR($B165="",M$7=""),"",IF($B165="MEANS",INDEX('1-DATA'!$1:$1048576,$A164-1,COLUMN('1-DATA'!L163)),ROUND(INDEX('1-DATA'!$1:$1048576,IF(OR($B165="STD. DEVIATION",$C$1=1),$A165,$A165+1),COLUMN('1-DATA'!L163)),IF($B165="STD. DEVIATION",2,$F$1))))</f>
        <v/>
      </c>
      <c r="N165" s="1" t="str">
        <f>IF(OR($B165="",N$7=""),"",IF($B165="MEANS",INDEX('1-DATA'!$1:$1048576,$A164-1,COLUMN('1-DATA'!M163)),ROUND(INDEX('1-DATA'!$1:$1048576,IF(OR($B165="STD. DEVIATION",$C$1=1),$A165,$A165+1),COLUMN('1-DATA'!M163)),IF($B165="STD. DEVIATION",2,$F$1))))</f>
        <v/>
      </c>
      <c r="O165" s="1" t="str">
        <f>IF(OR($B165="",O$7=""),"",IF($B165="MEANS",INDEX('1-DATA'!$1:$1048576,$A164-1,COLUMN('1-DATA'!N163)),ROUND(INDEX('1-DATA'!$1:$1048576,IF(OR($B165="STD. DEVIATION",$C$1=1),$A165,$A165+1),COLUMN('1-DATA'!N163)),IF($B165="STD. DEVIATION",2,$F$1))))</f>
        <v/>
      </c>
      <c r="P165" s="1" t="str">
        <f>IF(OR($B165="",P$7=""),"",IF($B165="MEANS",INDEX('1-DATA'!$1:$1048576,$A164-1,COLUMN('1-DATA'!O163)),ROUND(INDEX('1-DATA'!$1:$1048576,IF(OR($B165="STD. DEVIATION",$C$1=1),$A165,$A165+1),COLUMN('1-DATA'!O163)),IF($B165="STD. DEVIATION",2,$F$1))))</f>
        <v/>
      </c>
      <c r="Q165" s="1" t="str">
        <f>IF(OR($B165="",Q$7=""),"",IF($B165="MEANS",INDEX('1-DATA'!$1:$1048576,$A164-1,COLUMN('1-DATA'!P163)),ROUND(INDEX('1-DATA'!$1:$1048576,IF(OR($B165="STD. DEVIATION",$C$1=1),$A165,$A165+1),COLUMN('1-DATA'!P163)),IF($B165="STD. DEVIATION",2,$F$1))))</f>
        <v/>
      </c>
      <c r="R165" s="1" t="str">
        <f>IF(OR($B165="",R$7=""),"",IF($B165="MEANS",INDEX('1-DATA'!$1:$1048576,$A164-1,COLUMN('1-DATA'!Q163)),ROUND(INDEX('1-DATA'!$1:$1048576,IF(OR($B165="STD. DEVIATION",$C$1=1),$A165,$A165+1),COLUMN('1-DATA'!Q163)),IF($B165="STD. DEVIATION",2,$F$1))))</f>
        <v/>
      </c>
      <c r="S165" s="1" t="str">
        <f>IF(OR($B165="",S$7=""),"",IF($B165="MEANS",INDEX('1-DATA'!$1:$1048576,$A164-1,COLUMN('1-DATA'!R163)),ROUND(INDEX('1-DATA'!$1:$1048576,IF(OR($B165="STD. DEVIATION",$C$1=1),$A165,$A165+1),COLUMN('1-DATA'!R163)),IF($B165="STD. DEVIATION",2,$F$1))))</f>
        <v/>
      </c>
      <c r="T165" s="1" t="str">
        <f>IF(OR($B165="",T$7=""),"",IF($B165="MEANS",INDEX('1-DATA'!$1:$1048576,$A164-1,COLUMN('1-DATA'!S163)),ROUND(INDEX('1-DATA'!$1:$1048576,IF(OR($B165="STD. DEVIATION",$C$1=1),$A165,$A165+1),COLUMN('1-DATA'!S163)),IF($B165="STD. DEVIATION",2,$F$1))))</f>
        <v/>
      </c>
      <c r="U165" s="1" t="str">
        <f>IF(OR($B165="",U$7=""),"",IF($B165="MEANS",INDEX('1-DATA'!$1:$1048576,$A164-1,COLUMN('1-DATA'!T163)),ROUND(INDEX('1-DATA'!$1:$1048576,IF(OR($B165="STD. DEVIATION",$C$1=1),$A165,$A165+1),COLUMN('1-DATA'!T163)),IF($B165="STD. DEVIATION",2,$F$1))))</f>
        <v/>
      </c>
      <c r="V165" s="1" t="str">
        <f>IF(OR($B165="",V$7=""),"",IF($B165="MEANS",INDEX('1-DATA'!$1:$1048576,$A164-1,COLUMN('1-DATA'!U163)),ROUND(INDEX('1-DATA'!$1:$1048576,IF(OR($B165="STD. DEVIATION",$C$1=1),$A165,$A165+1),COLUMN('1-DATA'!U163)),IF($B165="STD. DEVIATION",2,$F$1))))</f>
        <v/>
      </c>
      <c r="W165" s="1" t="str">
        <f>IF(OR($B165="",W$7=""),"",IF($B165="MEANS",INDEX('1-DATA'!$1:$1048576,$A164-1,COLUMN('1-DATA'!V163)),ROUND(INDEX('1-DATA'!$1:$1048576,IF(OR($B165="STD. DEVIATION",$C$1=1),$A165,$A165+1),COLUMN('1-DATA'!V163)),IF($B165="STD. DEVIATION",2,$F$1))))</f>
        <v/>
      </c>
      <c r="X165" s="1" t="str">
        <f>IF(OR($B165="",X$7=""),"",IF($B165="MEANS",INDEX('1-DATA'!$1:$1048576,$A164-1,COLUMN('1-DATA'!W163)),ROUND(INDEX('1-DATA'!$1:$1048576,IF(OR($B165="STD. DEVIATION",$C$1=1),$A165,$A165+1),COLUMN('1-DATA'!W163)),IF($B165="STD. DEVIATION",2,$F$1))))</f>
        <v/>
      </c>
      <c r="Y165" s="1" t="str">
        <f>IF(OR($B165="",Y$7=""),"",IF($B165="MEANS",INDEX('1-DATA'!$1:$1048576,$A164-1,COLUMN('1-DATA'!X163)),ROUND(INDEX('1-DATA'!$1:$1048576,IF(OR($B165="STD. DEVIATION",$C$1=1),$A165,$A165+1),COLUMN('1-DATA'!X163)),IF($B165="STD. DEVIATION",2,$F$1))))</f>
        <v/>
      </c>
      <c r="Z165" s="1" t="str">
        <f>IF(OR($B165="",Z$7=""),"",IF($B165="MEANS",INDEX('1-DATA'!$1:$1048576,$A164-1,COLUMN('1-DATA'!Y163)),ROUND(INDEX('1-DATA'!$1:$1048576,IF(OR($B165="STD. DEVIATION",$C$1=1),$A165,$A165+1),COLUMN('1-DATA'!Y163)),IF($B165="STD. DEVIATION",2,$F$1))))</f>
        <v/>
      </c>
      <c r="AA165" s="1" t="str">
        <f>IF(OR($B165="",AA$7=""),"",IF($B165="MEANS",INDEX('1-DATA'!$1:$1048576,$A164-1,COLUMN('1-DATA'!Z163)),ROUND(INDEX('1-DATA'!$1:$1048576,IF(OR($B165="STD. DEVIATION",$C$1=1),$A165,$A165+1),COLUMN('1-DATA'!Z163)),IF($B165="STD. DEVIATION",2,$F$1))))</f>
        <v/>
      </c>
      <c r="AB165" s="1" t="str">
        <f>IF(OR($B165="",AB$7=""),"",IF($B165="MEANS",INDEX('1-DATA'!$1:$1048576,$A164-1,COLUMN('1-DATA'!AA163)),ROUND(INDEX('1-DATA'!$1:$1048576,IF(OR($B165="STD. DEVIATION",$C$1=1),$A165,$A165+1),COLUMN('1-DATA'!AA163)),IF($B165="STD. DEVIATION",2,$F$1))))</f>
        <v/>
      </c>
      <c r="AC165" s="1" t="str">
        <f>IF(OR($B165="",AC$7=""),"",IF($B165="MEANS",INDEX('1-DATA'!$1:$1048576,$A164-1,COLUMN('1-DATA'!AB163)),ROUND(INDEX('1-DATA'!$1:$1048576,IF(OR($B165="STD. DEVIATION",$C$1=1),$A165,$A165+1),COLUMN('1-DATA'!AB163)),IF($B165="STD. DEVIATION",2,$F$1))))</f>
        <v/>
      </c>
      <c r="AD165" s="1" t="str">
        <f>IF(OR($B165="",AD$7=""),"",IF($B165="MEANS",INDEX('1-DATA'!$1:$1048576,$A164-1,COLUMN('1-DATA'!AC163)),ROUND(INDEX('1-DATA'!$1:$1048576,IF(OR($B165="STD. DEVIATION",$C$1=1),$A165,$A165+1),COLUMN('1-DATA'!AC163)),IF($B165="STD. DEVIATION",2,$F$1))))</f>
        <v/>
      </c>
      <c r="AE165" s="1" t="str">
        <f>IF(OR($B165="",AE$7=""),"",IF($B165="MEANS",INDEX('1-DATA'!$1:$1048576,$A164-1,COLUMN('1-DATA'!AD163)),ROUND(INDEX('1-DATA'!$1:$1048576,IF(OR($B165="STD. DEVIATION",$C$1=1),$A165,$A165+1),COLUMN('1-DATA'!AD163)),IF($B165="STD. DEVIATION",2,$F$1))))</f>
        <v/>
      </c>
      <c r="AF165" s="1" t="str">
        <f>IF(OR($B165="",AF$7=""),"",IF($B165="MEANS",INDEX('1-DATA'!$1:$1048576,$A164-1,COLUMN('1-DATA'!AE163)),ROUND(INDEX('1-DATA'!$1:$1048576,IF(OR($B165="STD. DEVIATION",$C$1=1),$A165,$A165+1),COLUMN('1-DATA'!AE163)),IF($B165="STD. DEVIATION",2,$F$1))))</f>
        <v/>
      </c>
      <c r="AG165" s="1" t="str">
        <f>IF(OR($B165="",AG$7=""),"",IF($B165="MEANS",INDEX('1-DATA'!$1:$1048576,$A164-1,COLUMN('1-DATA'!AF163)),ROUND(INDEX('1-DATA'!$1:$1048576,IF(OR($B165="STD. DEVIATION",$C$1=1),$A165,$A165+1),COLUMN('1-DATA'!AF163)),IF($B165="STD. DEVIATION",2,$F$1))))</f>
        <v/>
      </c>
      <c r="AH165" s="1" t="str">
        <f>IF(OR($B165="",AH$7=""),"",IF($B165="MEANS",INDEX('1-DATA'!$1:$1048576,$A164-1,COLUMN('1-DATA'!AG163)),ROUND(INDEX('1-DATA'!$1:$1048576,IF(OR($B165="STD. DEVIATION",$C$1=1),$A165,$A165+1),COLUMN('1-DATA'!AG163)),IF($B165="STD. DEVIATION",2,$F$1))))</f>
        <v/>
      </c>
      <c r="AI165" s="1" t="str">
        <f>IF(OR($B165="",AI$7=""),"",IF($B165="MEANS",INDEX('1-DATA'!$1:$1048576,$A164-1,COLUMN('1-DATA'!AH163)),ROUND(INDEX('1-DATA'!$1:$1048576,IF(OR($B165="STD. DEVIATION",$C$1=1),$A165,$A165+1),COLUMN('1-DATA'!AH163)),IF($B165="STD. DEVIATION",2,$F$1))))</f>
        <v/>
      </c>
      <c r="AJ165" s="1" t="str">
        <f>IF(OR($B165="",AJ$7=""),"",IF($B165="MEANS",INDEX('1-DATA'!$1:$1048576,$A164-1,COLUMN('1-DATA'!AI163)),ROUND(INDEX('1-DATA'!$1:$1048576,IF(OR($B165="STD. DEVIATION",$C$1=1),$A165,$A165+1),COLUMN('1-DATA'!AI163)),IF($B165="STD. DEVIATION",2,$F$1))))</f>
        <v/>
      </c>
      <c r="AK165" s="1" t="str">
        <f>IF(OR($B165="",AK$7=""),"",IF($B165="MEANS",INDEX('1-DATA'!$1:$1048576,$A164-1,COLUMN('1-DATA'!AJ163)),ROUND(INDEX('1-DATA'!$1:$1048576,IF(OR($B165="STD. DEVIATION",$C$1=1),$A165,$A165+1),COLUMN('1-DATA'!AJ163)),IF($B165="STD. DEVIATION",2,$F$1))))</f>
        <v/>
      </c>
      <c r="AL165" s="1" t="str">
        <f>IF(OR($B165="",AL$7=""),"",IF($B165="MEANS",INDEX('1-DATA'!$1:$1048576,$A164-1,COLUMN('1-DATA'!AK163)),ROUND(INDEX('1-DATA'!$1:$1048576,IF(OR($B165="STD. DEVIATION",$C$1=1),$A165,$A165+1),COLUMN('1-DATA'!AK163)),IF($B165="STD. DEVIATION",2,$F$1))))</f>
        <v/>
      </c>
      <c r="AM165" s="1" t="str">
        <f>IF(OR($B165="",AM$7=""),"",IF($B165="MEANS",INDEX('1-DATA'!$1:$1048576,$A164-1,COLUMN('1-DATA'!AL163)),ROUND(INDEX('1-DATA'!$1:$1048576,IF(OR($B165="STD. DEVIATION",$C$1=1),$A165,$A165+1),COLUMN('1-DATA'!AL163)),IF($B165="STD. DEVIATION",2,$F$1))))</f>
        <v/>
      </c>
      <c r="AN165" s="1" t="str">
        <f>IF(OR($B165="",AN$7=""),"",IF($B165="MEANS",INDEX('1-DATA'!$1:$1048576,$A164-1,COLUMN('1-DATA'!AM163)),ROUND(INDEX('1-DATA'!$1:$1048576,IF(OR($B165="STD. DEVIATION",$C$1=1),$A165,$A165+1),COLUMN('1-DATA'!AM163)),IF($B165="STD. DEVIATION",2,$F$1))))</f>
        <v/>
      </c>
      <c r="AO165" s="1" t="str">
        <f>IF(OR($B165="",AO$7=""),"",IF($B165="MEANS",INDEX('1-DATA'!$1:$1048576,$A164-1,COLUMN('1-DATA'!AN163)),ROUND(INDEX('1-DATA'!$1:$1048576,IF(OR($B165="STD. DEVIATION",$C$1=1),$A165,$A165+1),COLUMN('1-DATA'!AN163)),IF($B165="STD. DEVIATION",2,$F$1))))</f>
        <v/>
      </c>
      <c r="AP165" s="1" t="str">
        <f>IF(OR($B165="",AP$7=""),"",IF($B165="MEANS",INDEX('1-DATA'!$1:$1048576,$A164-1,COLUMN('1-DATA'!AO163)),ROUND(INDEX('1-DATA'!$1:$1048576,IF(OR($B165="STD. DEVIATION",$C$1=1),$A165,$A165+1),COLUMN('1-DATA'!AO163)),IF($B165="STD. DEVIATION",2,$F$1))))</f>
        <v/>
      </c>
      <c r="AQ165" s="1" t="str">
        <f>IF(OR($B165="",AQ$7=""),"",IF($B165="MEANS",INDEX('1-DATA'!$1:$1048576,$A164-1,COLUMN('1-DATA'!AP163)),ROUND(INDEX('1-DATA'!$1:$1048576,IF(OR($B165="STD. DEVIATION",$C$1=1),$A165,$A165+1),COLUMN('1-DATA'!AP163)),IF($B165="STD. DEVIATION",2,$F$1))))</f>
        <v/>
      </c>
      <c r="AR165" s="1" t="str">
        <f>IF(OR($B165="",AR$7=""),"",IF($B165="MEANS",INDEX('1-DATA'!$1:$1048576,$A164-1,COLUMN('1-DATA'!AQ163)),ROUND(INDEX('1-DATA'!$1:$1048576,IF(OR($B165="STD. DEVIATION",$C$1=1),$A165,$A165+1),COLUMN('1-DATA'!AQ163)),IF($B165="STD. DEVIATION",2,$F$1))))</f>
        <v/>
      </c>
      <c r="AS165" s="1" t="str">
        <f>IF(OR($B165="",AS$7=""),"",IF($B165="MEANS",INDEX('1-DATA'!$1:$1048576,$A164-1,COLUMN('1-DATA'!AR163)),ROUND(INDEX('1-DATA'!$1:$1048576,IF(OR($B165="STD. DEVIATION",$C$1=1),$A165,$A165+1),COLUMN('1-DATA'!AR163)),IF($B165="STD. DEVIATION",2,$F$1))))</f>
        <v/>
      </c>
      <c r="AT165" s="1" t="str">
        <f>IF(OR($B165="",AT$7=""),"",IF($B165="MEANS",INDEX('1-DATA'!$1:$1048576,$A164-1,COLUMN('1-DATA'!AS163)),ROUND(INDEX('1-DATA'!$1:$1048576,IF(OR($B165="STD. DEVIATION",$C$1=1),$A165,$A165+1),COLUMN('1-DATA'!AS163)),IF($B165="STD. DEVIATION",2,$F$1))))</f>
        <v/>
      </c>
      <c r="AU165" s="1" t="str">
        <f>IF(OR($B165="",AU$7=""),"",IF($B165="MEANS",INDEX('1-DATA'!$1:$1048576,$A164-1,COLUMN('1-DATA'!AT163)),ROUND(INDEX('1-DATA'!$1:$1048576,IF(OR($B165="STD. DEVIATION",$C$1=1),$A165,$A165+1),COLUMN('1-DATA'!AT163)),IF($B165="STD. DEVIATION",2,$F$1))))</f>
        <v/>
      </c>
      <c r="AV165" s="1" t="str">
        <f>IF(OR($B165="",AV$7=""),"",IF($B165="MEANS",INDEX('1-DATA'!$1:$1048576,$A164-1,COLUMN('1-DATA'!AU163)),ROUND(INDEX('1-DATA'!$1:$1048576,IF(OR($B165="STD. DEVIATION",$C$1=1),$A165,$A165+1),COLUMN('1-DATA'!AU163)),IF($B165="STD. DEVIATION",2,$F$1))))</f>
        <v/>
      </c>
      <c r="AW165" s="1" t="str">
        <f>IF(OR($B165="",AW$7=""),"",IF($B165="MEANS",INDEX('1-DATA'!$1:$1048576,$A164-1,COLUMN('1-DATA'!AV163)),ROUND(INDEX('1-DATA'!$1:$1048576,IF(OR($B165="STD. DEVIATION",$C$1=1),$A165,$A165+1),COLUMN('1-DATA'!AV163)),IF($B165="STD. DEVIATION",2,$F$1))))</f>
        <v/>
      </c>
      <c r="AX165" s="1" t="str">
        <f>IF(OR($B165="",AX$7=""),"",IF($B165="MEANS",INDEX('1-DATA'!$1:$1048576,$A164-1,COLUMN('1-DATA'!AW163)),ROUND(INDEX('1-DATA'!$1:$1048576,IF(OR($B165="STD. DEVIATION",$C$1=1),$A165,$A165+1),COLUMN('1-DATA'!AW163)),IF($B165="STD. DEVIATION",2,$F$1))))</f>
        <v/>
      </c>
      <c r="AY165" s="1" t="str">
        <f>IF(OR($B165="",AY$7=""),"",IF($B165="MEANS",INDEX('1-DATA'!$1:$1048576,$A164-1,COLUMN('1-DATA'!AX163)),ROUND(INDEX('1-DATA'!$1:$1048576,IF(OR($B165="STD. DEVIATION",$C$1=1),$A165,$A165+1),COLUMN('1-DATA'!AX163)),IF($B165="STD. DEVIATION",2,$F$1))))</f>
        <v/>
      </c>
      <c r="AZ165" s="1" t="str">
        <f>IF(OR($B165="",AZ$7=""),"",IF($B165="MEANS",INDEX('1-DATA'!$1:$1048576,$A164-1,COLUMN('1-DATA'!AY163)),ROUND(INDEX('1-DATA'!$1:$1048576,IF(OR($B165="STD. DEVIATION",$C$1=1),$A165,$A165+1),COLUMN('1-DATA'!AY163)),IF($B165="STD. DEVIATION",2,$F$1))))</f>
        <v/>
      </c>
    </row>
    <row r="166" spans="1:52" x14ac:dyDescent="0.25">
      <c r="A166" s="11">
        <f t="shared" si="3"/>
        <v>484</v>
      </c>
      <c r="B166" s="1" t="str">
        <f>IF(B165="STD. DEVIATION",INDEX('1-DATA'!$1:$1048576,$A165-1,1),IF(INDEX('1-DATA'!$1:$1048576,$A166,1)&lt;&gt;"",INDEX('1-DATA'!$1:$1048576,$A166,1),""))</f>
        <v/>
      </c>
      <c r="C166" s="1" t="str">
        <f>IF(OR($B166="",C$7=""),"",IF($B166="MEANS",INDEX('1-DATA'!$1:$1048576,$A165-1,COLUMN('1-DATA'!B164)),ROUND(INDEX('1-DATA'!$1:$1048576,IF(OR($B166="STD. DEVIATION",$C$1=1),$A166,$A166+1),COLUMN('1-DATA'!B164)),IF($B166="STD. DEVIATION",2,$F$1))))</f>
        <v/>
      </c>
      <c r="D166" s="1" t="str">
        <f>IF(OR($B166="",D$7=""),"",IF($B166="MEANS",INDEX('1-DATA'!$1:$1048576,$A165-1,COLUMN('1-DATA'!C164)),ROUND(INDEX('1-DATA'!$1:$1048576,IF(OR($B166="STD. DEVIATION",$C$1=1),$A166,$A166+1),COLUMN('1-DATA'!C164)),IF($B166="STD. DEVIATION",2,$F$1))))</f>
        <v/>
      </c>
      <c r="E166" s="1" t="str">
        <f>IF(OR($B166="",E$7=""),"",IF($B166="MEANS",INDEX('1-DATA'!$1:$1048576,$A165-1,COLUMN('1-DATA'!D164)),ROUND(INDEX('1-DATA'!$1:$1048576,IF(OR($B166="STD. DEVIATION",$C$1=1),$A166,$A166+1),COLUMN('1-DATA'!D164)),IF($B166="STD. DEVIATION",2,$F$1))))</f>
        <v/>
      </c>
      <c r="F166" s="1" t="str">
        <f>IF(OR($B166="",F$7=""),"",IF($B166="MEANS",INDEX('1-DATA'!$1:$1048576,$A165-1,COLUMN('1-DATA'!E164)),ROUND(INDEX('1-DATA'!$1:$1048576,IF(OR($B166="STD. DEVIATION",$C$1=1),$A166,$A166+1),COLUMN('1-DATA'!E164)),IF($B166="STD. DEVIATION",2,$F$1))))</f>
        <v/>
      </c>
      <c r="G166" s="1" t="str">
        <f>IF(OR($B166="",G$7=""),"",IF($B166="MEANS",INDEX('1-DATA'!$1:$1048576,$A165-1,COLUMN('1-DATA'!F164)),ROUND(INDEX('1-DATA'!$1:$1048576,IF(OR($B166="STD. DEVIATION",$C$1=1),$A166,$A166+1),COLUMN('1-DATA'!F164)),IF($B166="STD. DEVIATION",2,$F$1))))</f>
        <v/>
      </c>
      <c r="H166" s="1" t="str">
        <f>IF(OR($B166="",H$7=""),"",IF($B166="MEANS",INDEX('1-DATA'!$1:$1048576,$A165-1,COLUMN('1-DATA'!G164)),ROUND(INDEX('1-DATA'!$1:$1048576,IF(OR($B166="STD. DEVIATION",$C$1=1),$A166,$A166+1),COLUMN('1-DATA'!G164)),IF($B166="STD. DEVIATION",2,$F$1))))</f>
        <v/>
      </c>
      <c r="I166" s="1" t="str">
        <f>IF(OR($B166="",I$7=""),"",IF($B166="MEANS",INDEX('1-DATA'!$1:$1048576,$A165-1,COLUMN('1-DATA'!H164)),ROUND(INDEX('1-DATA'!$1:$1048576,IF(OR($B166="STD. DEVIATION",$C$1=1),$A166,$A166+1),COLUMN('1-DATA'!H164)),IF($B166="STD. DEVIATION",2,$F$1))))</f>
        <v/>
      </c>
      <c r="J166" s="1" t="str">
        <f>IF(OR($B166="",J$7=""),"",IF($B166="MEANS",INDEX('1-DATA'!$1:$1048576,$A165-1,COLUMN('1-DATA'!I164)),ROUND(INDEX('1-DATA'!$1:$1048576,IF(OR($B166="STD. DEVIATION",$C$1=1),$A166,$A166+1),COLUMN('1-DATA'!I164)),IF($B166="STD. DEVIATION",2,$F$1))))</f>
        <v/>
      </c>
      <c r="K166" s="1" t="str">
        <f>IF(OR($B166="",K$7=""),"",IF($B166="MEANS",INDEX('1-DATA'!$1:$1048576,$A165-1,COLUMN('1-DATA'!J164)),ROUND(INDEX('1-DATA'!$1:$1048576,IF(OR($B166="STD. DEVIATION",$C$1=1),$A166,$A166+1),COLUMN('1-DATA'!J164)),IF($B166="STD. DEVIATION",2,$F$1))))</f>
        <v/>
      </c>
      <c r="L166" s="1" t="str">
        <f>IF(OR($B166="",L$7=""),"",IF($B166="MEANS",INDEX('1-DATA'!$1:$1048576,$A165-1,COLUMN('1-DATA'!K164)),ROUND(INDEX('1-DATA'!$1:$1048576,IF(OR($B166="STD. DEVIATION",$C$1=1),$A166,$A166+1),COLUMN('1-DATA'!K164)),IF($B166="STD. DEVIATION",2,$F$1))))</f>
        <v/>
      </c>
      <c r="M166" s="1" t="str">
        <f>IF(OR($B166="",M$7=""),"",IF($B166="MEANS",INDEX('1-DATA'!$1:$1048576,$A165-1,COLUMN('1-DATA'!L164)),ROUND(INDEX('1-DATA'!$1:$1048576,IF(OR($B166="STD. DEVIATION",$C$1=1),$A166,$A166+1),COLUMN('1-DATA'!L164)),IF($B166="STD. DEVIATION",2,$F$1))))</f>
        <v/>
      </c>
      <c r="N166" s="1" t="str">
        <f>IF(OR($B166="",N$7=""),"",IF($B166="MEANS",INDEX('1-DATA'!$1:$1048576,$A165-1,COLUMN('1-DATA'!M164)),ROUND(INDEX('1-DATA'!$1:$1048576,IF(OR($B166="STD. DEVIATION",$C$1=1),$A166,$A166+1),COLUMN('1-DATA'!M164)),IF($B166="STD. DEVIATION",2,$F$1))))</f>
        <v/>
      </c>
      <c r="O166" s="1" t="str">
        <f>IF(OR($B166="",O$7=""),"",IF($B166="MEANS",INDEX('1-DATA'!$1:$1048576,$A165-1,COLUMN('1-DATA'!N164)),ROUND(INDEX('1-DATA'!$1:$1048576,IF(OR($B166="STD. DEVIATION",$C$1=1),$A166,$A166+1),COLUMN('1-DATA'!N164)),IF($B166="STD. DEVIATION",2,$F$1))))</f>
        <v/>
      </c>
      <c r="P166" s="1" t="str">
        <f>IF(OR($B166="",P$7=""),"",IF($B166="MEANS",INDEX('1-DATA'!$1:$1048576,$A165-1,COLUMN('1-DATA'!O164)),ROUND(INDEX('1-DATA'!$1:$1048576,IF(OR($B166="STD. DEVIATION",$C$1=1),$A166,$A166+1),COLUMN('1-DATA'!O164)),IF($B166="STD. DEVIATION",2,$F$1))))</f>
        <v/>
      </c>
      <c r="Q166" s="1" t="str">
        <f>IF(OR($B166="",Q$7=""),"",IF($B166="MEANS",INDEX('1-DATA'!$1:$1048576,$A165-1,COLUMN('1-DATA'!P164)),ROUND(INDEX('1-DATA'!$1:$1048576,IF(OR($B166="STD. DEVIATION",$C$1=1),$A166,$A166+1),COLUMN('1-DATA'!P164)),IF($B166="STD. DEVIATION",2,$F$1))))</f>
        <v/>
      </c>
      <c r="R166" s="1" t="str">
        <f>IF(OR($B166="",R$7=""),"",IF($B166="MEANS",INDEX('1-DATA'!$1:$1048576,$A165-1,COLUMN('1-DATA'!Q164)),ROUND(INDEX('1-DATA'!$1:$1048576,IF(OR($B166="STD. DEVIATION",$C$1=1),$A166,$A166+1),COLUMN('1-DATA'!Q164)),IF($B166="STD. DEVIATION",2,$F$1))))</f>
        <v/>
      </c>
      <c r="S166" s="1" t="str">
        <f>IF(OR($B166="",S$7=""),"",IF($B166="MEANS",INDEX('1-DATA'!$1:$1048576,$A165-1,COLUMN('1-DATA'!R164)),ROUND(INDEX('1-DATA'!$1:$1048576,IF(OR($B166="STD. DEVIATION",$C$1=1),$A166,$A166+1),COLUMN('1-DATA'!R164)),IF($B166="STD. DEVIATION",2,$F$1))))</f>
        <v/>
      </c>
      <c r="T166" s="1" t="str">
        <f>IF(OR($B166="",T$7=""),"",IF($B166="MEANS",INDEX('1-DATA'!$1:$1048576,$A165-1,COLUMN('1-DATA'!S164)),ROUND(INDEX('1-DATA'!$1:$1048576,IF(OR($B166="STD. DEVIATION",$C$1=1),$A166,$A166+1),COLUMN('1-DATA'!S164)),IF($B166="STD. DEVIATION",2,$F$1))))</f>
        <v/>
      </c>
      <c r="U166" s="1" t="str">
        <f>IF(OR($B166="",U$7=""),"",IF($B166="MEANS",INDEX('1-DATA'!$1:$1048576,$A165-1,COLUMN('1-DATA'!T164)),ROUND(INDEX('1-DATA'!$1:$1048576,IF(OR($B166="STD. DEVIATION",$C$1=1),$A166,$A166+1),COLUMN('1-DATA'!T164)),IF($B166="STD. DEVIATION",2,$F$1))))</f>
        <v/>
      </c>
      <c r="V166" s="1" t="str">
        <f>IF(OR($B166="",V$7=""),"",IF($B166="MEANS",INDEX('1-DATA'!$1:$1048576,$A165-1,COLUMN('1-DATA'!U164)),ROUND(INDEX('1-DATA'!$1:$1048576,IF(OR($B166="STD. DEVIATION",$C$1=1),$A166,$A166+1),COLUMN('1-DATA'!U164)),IF($B166="STD. DEVIATION",2,$F$1))))</f>
        <v/>
      </c>
      <c r="W166" s="1" t="str">
        <f>IF(OR($B166="",W$7=""),"",IF($B166="MEANS",INDEX('1-DATA'!$1:$1048576,$A165-1,COLUMN('1-DATA'!V164)),ROUND(INDEX('1-DATA'!$1:$1048576,IF(OR($B166="STD. DEVIATION",$C$1=1),$A166,$A166+1),COLUMN('1-DATA'!V164)),IF($B166="STD. DEVIATION",2,$F$1))))</f>
        <v/>
      </c>
      <c r="X166" s="1" t="str">
        <f>IF(OR($B166="",X$7=""),"",IF($B166="MEANS",INDEX('1-DATA'!$1:$1048576,$A165-1,COLUMN('1-DATA'!W164)),ROUND(INDEX('1-DATA'!$1:$1048576,IF(OR($B166="STD. DEVIATION",$C$1=1),$A166,$A166+1),COLUMN('1-DATA'!W164)),IF($B166="STD. DEVIATION",2,$F$1))))</f>
        <v/>
      </c>
      <c r="Y166" s="1" t="str">
        <f>IF(OR($B166="",Y$7=""),"",IF($B166="MEANS",INDEX('1-DATA'!$1:$1048576,$A165-1,COLUMN('1-DATA'!X164)),ROUND(INDEX('1-DATA'!$1:$1048576,IF(OR($B166="STD. DEVIATION",$C$1=1),$A166,$A166+1),COLUMN('1-DATA'!X164)),IF($B166="STD. DEVIATION",2,$F$1))))</f>
        <v/>
      </c>
      <c r="Z166" s="1" t="str">
        <f>IF(OR($B166="",Z$7=""),"",IF($B166="MEANS",INDEX('1-DATA'!$1:$1048576,$A165-1,COLUMN('1-DATA'!Y164)),ROUND(INDEX('1-DATA'!$1:$1048576,IF(OR($B166="STD. DEVIATION",$C$1=1),$A166,$A166+1),COLUMN('1-DATA'!Y164)),IF($B166="STD. DEVIATION",2,$F$1))))</f>
        <v/>
      </c>
      <c r="AA166" s="1" t="str">
        <f>IF(OR($B166="",AA$7=""),"",IF($B166="MEANS",INDEX('1-DATA'!$1:$1048576,$A165-1,COLUMN('1-DATA'!Z164)),ROUND(INDEX('1-DATA'!$1:$1048576,IF(OR($B166="STD. DEVIATION",$C$1=1),$A166,$A166+1),COLUMN('1-DATA'!Z164)),IF($B166="STD. DEVIATION",2,$F$1))))</f>
        <v/>
      </c>
      <c r="AB166" s="1" t="str">
        <f>IF(OR($B166="",AB$7=""),"",IF($B166="MEANS",INDEX('1-DATA'!$1:$1048576,$A165-1,COLUMN('1-DATA'!AA164)),ROUND(INDEX('1-DATA'!$1:$1048576,IF(OR($B166="STD. DEVIATION",$C$1=1),$A166,$A166+1),COLUMN('1-DATA'!AA164)),IF($B166="STD. DEVIATION",2,$F$1))))</f>
        <v/>
      </c>
      <c r="AC166" s="1" t="str">
        <f>IF(OR($B166="",AC$7=""),"",IF($B166="MEANS",INDEX('1-DATA'!$1:$1048576,$A165-1,COLUMN('1-DATA'!AB164)),ROUND(INDEX('1-DATA'!$1:$1048576,IF(OR($B166="STD. DEVIATION",$C$1=1),$A166,$A166+1),COLUMN('1-DATA'!AB164)),IF($B166="STD. DEVIATION",2,$F$1))))</f>
        <v/>
      </c>
      <c r="AD166" s="1" t="str">
        <f>IF(OR($B166="",AD$7=""),"",IF($B166="MEANS",INDEX('1-DATA'!$1:$1048576,$A165-1,COLUMN('1-DATA'!AC164)),ROUND(INDEX('1-DATA'!$1:$1048576,IF(OR($B166="STD. DEVIATION",$C$1=1),$A166,$A166+1),COLUMN('1-DATA'!AC164)),IF($B166="STD. DEVIATION",2,$F$1))))</f>
        <v/>
      </c>
      <c r="AE166" s="1" t="str">
        <f>IF(OR($B166="",AE$7=""),"",IF($B166="MEANS",INDEX('1-DATA'!$1:$1048576,$A165-1,COLUMN('1-DATA'!AD164)),ROUND(INDEX('1-DATA'!$1:$1048576,IF(OR($B166="STD. DEVIATION",$C$1=1),$A166,$A166+1),COLUMN('1-DATA'!AD164)),IF($B166="STD. DEVIATION",2,$F$1))))</f>
        <v/>
      </c>
      <c r="AF166" s="1" t="str">
        <f>IF(OR($B166="",AF$7=""),"",IF($B166="MEANS",INDEX('1-DATA'!$1:$1048576,$A165-1,COLUMN('1-DATA'!AE164)),ROUND(INDEX('1-DATA'!$1:$1048576,IF(OR($B166="STD. DEVIATION",$C$1=1),$A166,$A166+1),COLUMN('1-DATA'!AE164)),IF($B166="STD. DEVIATION",2,$F$1))))</f>
        <v/>
      </c>
      <c r="AG166" s="1" t="str">
        <f>IF(OR($B166="",AG$7=""),"",IF($B166="MEANS",INDEX('1-DATA'!$1:$1048576,$A165-1,COLUMN('1-DATA'!AF164)),ROUND(INDEX('1-DATA'!$1:$1048576,IF(OR($B166="STD. DEVIATION",$C$1=1),$A166,$A166+1),COLUMN('1-DATA'!AF164)),IF($B166="STD. DEVIATION",2,$F$1))))</f>
        <v/>
      </c>
      <c r="AH166" s="1" t="str">
        <f>IF(OR($B166="",AH$7=""),"",IF($B166="MEANS",INDEX('1-DATA'!$1:$1048576,$A165-1,COLUMN('1-DATA'!AG164)),ROUND(INDEX('1-DATA'!$1:$1048576,IF(OR($B166="STD. DEVIATION",$C$1=1),$A166,$A166+1),COLUMN('1-DATA'!AG164)),IF($B166="STD. DEVIATION",2,$F$1))))</f>
        <v/>
      </c>
      <c r="AI166" s="1" t="str">
        <f>IF(OR($B166="",AI$7=""),"",IF($B166="MEANS",INDEX('1-DATA'!$1:$1048576,$A165-1,COLUMN('1-DATA'!AH164)),ROUND(INDEX('1-DATA'!$1:$1048576,IF(OR($B166="STD. DEVIATION",$C$1=1),$A166,$A166+1),COLUMN('1-DATA'!AH164)),IF($B166="STD. DEVIATION",2,$F$1))))</f>
        <v/>
      </c>
      <c r="AJ166" s="1" t="str">
        <f>IF(OR($B166="",AJ$7=""),"",IF($B166="MEANS",INDEX('1-DATA'!$1:$1048576,$A165-1,COLUMN('1-DATA'!AI164)),ROUND(INDEX('1-DATA'!$1:$1048576,IF(OR($B166="STD. DEVIATION",$C$1=1),$A166,$A166+1),COLUMN('1-DATA'!AI164)),IF($B166="STD. DEVIATION",2,$F$1))))</f>
        <v/>
      </c>
      <c r="AK166" s="1" t="str">
        <f>IF(OR($B166="",AK$7=""),"",IF($B166="MEANS",INDEX('1-DATA'!$1:$1048576,$A165-1,COLUMN('1-DATA'!AJ164)),ROUND(INDEX('1-DATA'!$1:$1048576,IF(OR($B166="STD. DEVIATION",$C$1=1),$A166,$A166+1),COLUMN('1-DATA'!AJ164)),IF($B166="STD. DEVIATION",2,$F$1))))</f>
        <v/>
      </c>
      <c r="AL166" s="1" t="str">
        <f>IF(OR($B166="",AL$7=""),"",IF($B166="MEANS",INDEX('1-DATA'!$1:$1048576,$A165-1,COLUMN('1-DATA'!AK164)),ROUND(INDEX('1-DATA'!$1:$1048576,IF(OR($B166="STD. DEVIATION",$C$1=1),$A166,$A166+1),COLUMN('1-DATA'!AK164)),IF($B166="STD. DEVIATION",2,$F$1))))</f>
        <v/>
      </c>
      <c r="AM166" s="1" t="str">
        <f>IF(OR($B166="",AM$7=""),"",IF($B166="MEANS",INDEX('1-DATA'!$1:$1048576,$A165-1,COLUMN('1-DATA'!AL164)),ROUND(INDEX('1-DATA'!$1:$1048576,IF(OR($B166="STD. DEVIATION",$C$1=1),$A166,$A166+1),COLUMN('1-DATA'!AL164)),IF($B166="STD. DEVIATION",2,$F$1))))</f>
        <v/>
      </c>
      <c r="AN166" s="1" t="str">
        <f>IF(OR($B166="",AN$7=""),"",IF($B166="MEANS",INDEX('1-DATA'!$1:$1048576,$A165-1,COLUMN('1-DATA'!AM164)),ROUND(INDEX('1-DATA'!$1:$1048576,IF(OR($B166="STD. DEVIATION",$C$1=1),$A166,$A166+1),COLUMN('1-DATA'!AM164)),IF($B166="STD. DEVIATION",2,$F$1))))</f>
        <v/>
      </c>
      <c r="AO166" s="1" t="str">
        <f>IF(OR($B166="",AO$7=""),"",IF($B166="MEANS",INDEX('1-DATA'!$1:$1048576,$A165-1,COLUMN('1-DATA'!AN164)),ROUND(INDEX('1-DATA'!$1:$1048576,IF(OR($B166="STD. DEVIATION",$C$1=1),$A166,$A166+1),COLUMN('1-DATA'!AN164)),IF($B166="STD. DEVIATION",2,$F$1))))</f>
        <v/>
      </c>
      <c r="AP166" s="1" t="str">
        <f>IF(OR($B166="",AP$7=""),"",IF($B166="MEANS",INDEX('1-DATA'!$1:$1048576,$A165-1,COLUMN('1-DATA'!AO164)),ROUND(INDEX('1-DATA'!$1:$1048576,IF(OR($B166="STD. DEVIATION",$C$1=1),$A166,$A166+1),COLUMN('1-DATA'!AO164)),IF($B166="STD. DEVIATION",2,$F$1))))</f>
        <v/>
      </c>
      <c r="AQ166" s="1" t="str">
        <f>IF(OR($B166="",AQ$7=""),"",IF($B166="MEANS",INDEX('1-DATA'!$1:$1048576,$A165-1,COLUMN('1-DATA'!AP164)),ROUND(INDEX('1-DATA'!$1:$1048576,IF(OR($B166="STD. DEVIATION",$C$1=1),$A166,$A166+1),COLUMN('1-DATA'!AP164)),IF($B166="STD. DEVIATION",2,$F$1))))</f>
        <v/>
      </c>
      <c r="AR166" s="1" t="str">
        <f>IF(OR($B166="",AR$7=""),"",IF($B166="MEANS",INDEX('1-DATA'!$1:$1048576,$A165-1,COLUMN('1-DATA'!AQ164)),ROUND(INDEX('1-DATA'!$1:$1048576,IF(OR($B166="STD. DEVIATION",$C$1=1),$A166,$A166+1),COLUMN('1-DATA'!AQ164)),IF($B166="STD. DEVIATION",2,$F$1))))</f>
        <v/>
      </c>
      <c r="AS166" s="1" t="str">
        <f>IF(OR($B166="",AS$7=""),"",IF($B166="MEANS",INDEX('1-DATA'!$1:$1048576,$A165-1,COLUMN('1-DATA'!AR164)),ROUND(INDEX('1-DATA'!$1:$1048576,IF(OR($B166="STD. DEVIATION",$C$1=1),$A166,$A166+1),COLUMN('1-DATA'!AR164)),IF($B166="STD. DEVIATION",2,$F$1))))</f>
        <v/>
      </c>
      <c r="AT166" s="1" t="str">
        <f>IF(OR($B166="",AT$7=""),"",IF($B166="MEANS",INDEX('1-DATA'!$1:$1048576,$A165-1,COLUMN('1-DATA'!AS164)),ROUND(INDEX('1-DATA'!$1:$1048576,IF(OR($B166="STD. DEVIATION",$C$1=1),$A166,$A166+1),COLUMN('1-DATA'!AS164)),IF($B166="STD. DEVIATION",2,$F$1))))</f>
        <v/>
      </c>
      <c r="AU166" s="1" t="str">
        <f>IF(OR($B166="",AU$7=""),"",IF($B166="MEANS",INDEX('1-DATA'!$1:$1048576,$A165-1,COLUMN('1-DATA'!AT164)),ROUND(INDEX('1-DATA'!$1:$1048576,IF(OR($B166="STD. DEVIATION",$C$1=1),$A166,$A166+1),COLUMN('1-DATA'!AT164)),IF($B166="STD. DEVIATION",2,$F$1))))</f>
        <v/>
      </c>
      <c r="AV166" s="1" t="str">
        <f>IF(OR($B166="",AV$7=""),"",IF($B166="MEANS",INDEX('1-DATA'!$1:$1048576,$A165-1,COLUMN('1-DATA'!AU164)),ROUND(INDEX('1-DATA'!$1:$1048576,IF(OR($B166="STD. DEVIATION",$C$1=1),$A166,$A166+1),COLUMN('1-DATA'!AU164)),IF($B166="STD. DEVIATION",2,$F$1))))</f>
        <v/>
      </c>
      <c r="AW166" s="1" t="str">
        <f>IF(OR($B166="",AW$7=""),"",IF($B166="MEANS",INDEX('1-DATA'!$1:$1048576,$A165-1,COLUMN('1-DATA'!AV164)),ROUND(INDEX('1-DATA'!$1:$1048576,IF(OR($B166="STD. DEVIATION",$C$1=1),$A166,$A166+1),COLUMN('1-DATA'!AV164)),IF($B166="STD. DEVIATION",2,$F$1))))</f>
        <v/>
      </c>
      <c r="AX166" s="1" t="str">
        <f>IF(OR($B166="",AX$7=""),"",IF($B166="MEANS",INDEX('1-DATA'!$1:$1048576,$A165-1,COLUMN('1-DATA'!AW164)),ROUND(INDEX('1-DATA'!$1:$1048576,IF(OR($B166="STD. DEVIATION",$C$1=1),$A166,$A166+1),COLUMN('1-DATA'!AW164)),IF($B166="STD. DEVIATION",2,$F$1))))</f>
        <v/>
      </c>
      <c r="AY166" s="1" t="str">
        <f>IF(OR($B166="",AY$7=""),"",IF($B166="MEANS",INDEX('1-DATA'!$1:$1048576,$A165-1,COLUMN('1-DATA'!AX164)),ROUND(INDEX('1-DATA'!$1:$1048576,IF(OR($B166="STD. DEVIATION",$C$1=1),$A166,$A166+1),COLUMN('1-DATA'!AX164)),IF($B166="STD. DEVIATION",2,$F$1))))</f>
        <v/>
      </c>
      <c r="AZ166" s="1" t="str">
        <f>IF(OR($B166="",AZ$7=""),"",IF($B166="MEANS",INDEX('1-DATA'!$1:$1048576,$A165-1,COLUMN('1-DATA'!AY164)),ROUND(INDEX('1-DATA'!$1:$1048576,IF(OR($B166="STD. DEVIATION",$C$1=1),$A166,$A166+1),COLUMN('1-DATA'!AY164)),IF($B166="STD. DEVIATION",2,$F$1))))</f>
        <v/>
      </c>
    </row>
    <row r="167" spans="1:52" x14ac:dyDescent="0.25">
      <c r="A167" s="11">
        <f t="shared" si="3"/>
        <v>487</v>
      </c>
      <c r="B167" s="1" t="str">
        <f>IF(B166="STD. DEVIATION",INDEX('1-DATA'!$1:$1048576,$A166-1,1),IF(INDEX('1-DATA'!$1:$1048576,$A167,1)&lt;&gt;"",INDEX('1-DATA'!$1:$1048576,$A167,1),""))</f>
        <v/>
      </c>
      <c r="C167" s="1" t="str">
        <f>IF(OR($B167="",C$7=""),"",IF($B167="MEANS",INDEX('1-DATA'!$1:$1048576,$A166-1,COLUMN('1-DATA'!B165)),ROUND(INDEX('1-DATA'!$1:$1048576,IF(OR($B167="STD. DEVIATION",$C$1=1),$A167,$A167+1),COLUMN('1-DATA'!B165)),IF($B167="STD. DEVIATION",2,$F$1))))</f>
        <v/>
      </c>
      <c r="D167" s="1" t="str">
        <f>IF(OR($B167="",D$7=""),"",IF($B167="MEANS",INDEX('1-DATA'!$1:$1048576,$A166-1,COLUMN('1-DATA'!C165)),ROUND(INDEX('1-DATA'!$1:$1048576,IF(OR($B167="STD. DEVIATION",$C$1=1),$A167,$A167+1),COLUMN('1-DATA'!C165)),IF($B167="STD. DEVIATION",2,$F$1))))</f>
        <v/>
      </c>
      <c r="E167" s="1" t="str">
        <f>IF(OR($B167="",E$7=""),"",IF($B167="MEANS",INDEX('1-DATA'!$1:$1048576,$A166-1,COLUMN('1-DATA'!D165)),ROUND(INDEX('1-DATA'!$1:$1048576,IF(OR($B167="STD. DEVIATION",$C$1=1),$A167,$A167+1),COLUMN('1-DATA'!D165)),IF($B167="STD. DEVIATION",2,$F$1))))</f>
        <v/>
      </c>
      <c r="F167" s="1" t="str">
        <f>IF(OR($B167="",F$7=""),"",IF($B167="MEANS",INDEX('1-DATA'!$1:$1048576,$A166-1,COLUMN('1-DATA'!E165)),ROUND(INDEX('1-DATA'!$1:$1048576,IF(OR($B167="STD. DEVIATION",$C$1=1),$A167,$A167+1),COLUMN('1-DATA'!E165)),IF($B167="STD. DEVIATION",2,$F$1))))</f>
        <v/>
      </c>
      <c r="G167" s="1" t="str">
        <f>IF(OR($B167="",G$7=""),"",IF($B167="MEANS",INDEX('1-DATA'!$1:$1048576,$A166-1,COLUMN('1-DATA'!F165)),ROUND(INDEX('1-DATA'!$1:$1048576,IF(OR($B167="STD. DEVIATION",$C$1=1),$A167,$A167+1),COLUMN('1-DATA'!F165)),IF($B167="STD. DEVIATION",2,$F$1))))</f>
        <v/>
      </c>
      <c r="H167" s="1" t="str">
        <f>IF(OR($B167="",H$7=""),"",IF($B167="MEANS",INDEX('1-DATA'!$1:$1048576,$A166-1,COLUMN('1-DATA'!G165)),ROUND(INDEX('1-DATA'!$1:$1048576,IF(OR($B167="STD. DEVIATION",$C$1=1),$A167,$A167+1),COLUMN('1-DATA'!G165)),IF($B167="STD. DEVIATION",2,$F$1))))</f>
        <v/>
      </c>
      <c r="I167" s="1" t="str">
        <f>IF(OR($B167="",I$7=""),"",IF($B167="MEANS",INDEX('1-DATA'!$1:$1048576,$A166-1,COLUMN('1-DATA'!H165)),ROUND(INDEX('1-DATA'!$1:$1048576,IF(OR($B167="STD. DEVIATION",$C$1=1),$A167,$A167+1),COLUMN('1-DATA'!H165)),IF($B167="STD. DEVIATION",2,$F$1))))</f>
        <v/>
      </c>
      <c r="J167" s="1" t="str">
        <f>IF(OR($B167="",J$7=""),"",IF($B167="MEANS",INDEX('1-DATA'!$1:$1048576,$A166-1,COLUMN('1-DATA'!I165)),ROUND(INDEX('1-DATA'!$1:$1048576,IF(OR($B167="STD. DEVIATION",$C$1=1),$A167,$A167+1),COLUMN('1-DATA'!I165)),IF($B167="STD. DEVIATION",2,$F$1))))</f>
        <v/>
      </c>
      <c r="K167" s="1" t="str">
        <f>IF(OR($B167="",K$7=""),"",IF($B167="MEANS",INDEX('1-DATA'!$1:$1048576,$A166-1,COLUMN('1-DATA'!J165)),ROUND(INDEX('1-DATA'!$1:$1048576,IF(OR($B167="STD. DEVIATION",$C$1=1),$A167,$A167+1),COLUMN('1-DATA'!J165)),IF($B167="STD. DEVIATION",2,$F$1))))</f>
        <v/>
      </c>
      <c r="L167" s="1" t="str">
        <f>IF(OR($B167="",L$7=""),"",IF($B167="MEANS",INDEX('1-DATA'!$1:$1048576,$A166-1,COLUMN('1-DATA'!K165)),ROUND(INDEX('1-DATA'!$1:$1048576,IF(OR($B167="STD. DEVIATION",$C$1=1),$A167,$A167+1),COLUMN('1-DATA'!K165)),IF($B167="STD. DEVIATION",2,$F$1))))</f>
        <v/>
      </c>
      <c r="M167" s="1" t="str">
        <f>IF(OR($B167="",M$7=""),"",IF($B167="MEANS",INDEX('1-DATA'!$1:$1048576,$A166-1,COLUMN('1-DATA'!L165)),ROUND(INDEX('1-DATA'!$1:$1048576,IF(OR($B167="STD. DEVIATION",$C$1=1),$A167,$A167+1),COLUMN('1-DATA'!L165)),IF($B167="STD. DEVIATION",2,$F$1))))</f>
        <v/>
      </c>
      <c r="N167" s="1" t="str">
        <f>IF(OR($B167="",N$7=""),"",IF($B167="MEANS",INDEX('1-DATA'!$1:$1048576,$A166-1,COLUMN('1-DATA'!M165)),ROUND(INDEX('1-DATA'!$1:$1048576,IF(OR($B167="STD. DEVIATION",$C$1=1),$A167,$A167+1),COLUMN('1-DATA'!M165)),IF($B167="STD. DEVIATION",2,$F$1))))</f>
        <v/>
      </c>
      <c r="O167" s="1" t="str">
        <f>IF(OR($B167="",O$7=""),"",IF($B167="MEANS",INDEX('1-DATA'!$1:$1048576,$A166-1,COLUMN('1-DATA'!N165)),ROUND(INDEX('1-DATA'!$1:$1048576,IF(OR($B167="STD. DEVIATION",$C$1=1),$A167,$A167+1),COLUMN('1-DATA'!N165)),IF($B167="STD. DEVIATION",2,$F$1))))</f>
        <v/>
      </c>
      <c r="P167" s="1" t="str">
        <f>IF(OR($B167="",P$7=""),"",IF($B167="MEANS",INDEX('1-DATA'!$1:$1048576,$A166-1,COLUMN('1-DATA'!O165)),ROUND(INDEX('1-DATA'!$1:$1048576,IF(OR($B167="STD. DEVIATION",$C$1=1),$A167,$A167+1),COLUMN('1-DATA'!O165)),IF($B167="STD. DEVIATION",2,$F$1))))</f>
        <v/>
      </c>
      <c r="Q167" s="1" t="str">
        <f>IF(OR($B167="",Q$7=""),"",IF($B167="MEANS",INDEX('1-DATA'!$1:$1048576,$A166-1,COLUMN('1-DATA'!P165)),ROUND(INDEX('1-DATA'!$1:$1048576,IF(OR($B167="STD. DEVIATION",$C$1=1),$A167,$A167+1),COLUMN('1-DATA'!P165)),IF($B167="STD. DEVIATION",2,$F$1))))</f>
        <v/>
      </c>
      <c r="R167" s="1" t="str">
        <f>IF(OR($B167="",R$7=""),"",IF($B167="MEANS",INDEX('1-DATA'!$1:$1048576,$A166-1,COLUMN('1-DATA'!Q165)),ROUND(INDEX('1-DATA'!$1:$1048576,IF(OR($B167="STD. DEVIATION",$C$1=1),$A167,$A167+1),COLUMN('1-DATA'!Q165)),IF($B167="STD. DEVIATION",2,$F$1))))</f>
        <v/>
      </c>
      <c r="S167" s="1" t="str">
        <f>IF(OR($B167="",S$7=""),"",IF($B167="MEANS",INDEX('1-DATA'!$1:$1048576,$A166-1,COLUMN('1-DATA'!R165)),ROUND(INDEX('1-DATA'!$1:$1048576,IF(OR($B167="STD. DEVIATION",$C$1=1),$A167,$A167+1),COLUMN('1-DATA'!R165)),IF($B167="STD. DEVIATION",2,$F$1))))</f>
        <v/>
      </c>
      <c r="T167" s="1" t="str">
        <f>IF(OR($B167="",T$7=""),"",IF($B167="MEANS",INDEX('1-DATA'!$1:$1048576,$A166-1,COLUMN('1-DATA'!S165)),ROUND(INDEX('1-DATA'!$1:$1048576,IF(OR($B167="STD. DEVIATION",$C$1=1),$A167,$A167+1),COLUMN('1-DATA'!S165)),IF($B167="STD. DEVIATION",2,$F$1))))</f>
        <v/>
      </c>
      <c r="U167" s="1" t="str">
        <f>IF(OR($B167="",U$7=""),"",IF($B167="MEANS",INDEX('1-DATA'!$1:$1048576,$A166-1,COLUMN('1-DATA'!T165)),ROUND(INDEX('1-DATA'!$1:$1048576,IF(OR($B167="STD. DEVIATION",$C$1=1),$A167,$A167+1),COLUMN('1-DATA'!T165)),IF($B167="STD. DEVIATION",2,$F$1))))</f>
        <v/>
      </c>
      <c r="V167" s="1" t="str">
        <f>IF(OR($B167="",V$7=""),"",IF($B167="MEANS",INDEX('1-DATA'!$1:$1048576,$A166-1,COLUMN('1-DATA'!U165)),ROUND(INDEX('1-DATA'!$1:$1048576,IF(OR($B167="STD. DEVIATION",$C$1=1),$A167,$A167+1),COLUMN('1-DATA'!U165)),IF($B167="STD. DEVIATION",2,$F$1))))</f>
        <v/>
      </c>
      <c r="W167" s="1" t="str">
        <f>IF(OR($B167="",W$7=""),"",IF($B167="MEANS",INDEX('1-DATA'!$1:$1048576,$A166-1,COLUMN('1-DATA'!V165)),ROUND(INDEX('1-DATA'!$1:$1048576,IF(OR($B167="STD. DEVIATION",$C$1=1),$A167,$A167+1),COLUMN('1-DATA'!V165)),IF($B167="STD. DEVIATION",2,$F$1))))</f>
        <v/>
      </c>
      <c r="X167" s="1" t="str">
        <f>IF(OR($B167="",X$7=""),"",IF($B167="MEANS",INDEX('1-DATA'!$1:$1048576,$A166-1,COLUMN('1-DATA'!W165)),ROUND(INDEX('1-DATA'!$1:$1048576,IF(OR($B167="STD. DEVIATION",$C$1=1),$A167,$A167+1),COLUMN('1-DATA'!W165)),IF($B167="STD. DEVIATION",2,$F$1))))</f>
        <v/>
      </c>
      <c r="Y167" s="1" t="str">
        <f>IF(OR($B167="",Y$7=""),"",IF($B167="MEANS",INDEX('1-DATA'!$1:$1048576,$A166-1,COLUMN('1-DATA'!X165)),ROUND(INDEX('1-DATA'!$1:$1048576,IF(OR($B167="STD. DEVIATION",$C$1=1),$A167,$A167+1),COLUMN('1-DATA'!X165)),IF($B167="STD. DEVIATION",2,$F$1))))</f>
        <v/>
      </c>
      <c r="Z167" s="1" t="str">
        <f>IF(OR($B167="",Z$7=""),"",IF($B167="MEANS",INDEX('1-DATA'!$1:$1048576,$A166-1,COLUMN('1-DATA'!Y165)),ROUND(INDEX('1-DATA'!$1:$1048576,IF(OR($B167="STD. DEVIATION",$C$1=1),$A167,$A167+1),COLUMN('1-DATA'!Y165)),IF($B167="STD. DEVIATION",2,$F$1))))</f>
        <v/>
      </c>
      <c r="AA167" s="1" t="str">
        <f>IF(OR($B167="",AA$7=""),"",IF($B167="MEANS",INDEX('1-DATA'!$1:$1048576,$A166-1,COLUMN('1-DATA'!Z165)),ROUND(INDEX('1-DATA'!$1:$1048576,IF(OR($B167="STD. DEVIATION",$C$1=1),$A167,$A167+1),COLUMN('1-DATA'!Z165)),IF($B167="STD. DEVIATION",2,$F$1))))</f>
        <v/>
      </c>
      <c r="AB167" s="1" t="str">
        <f>IF(OR($B167="",AB$7=""),"",IF($B167="MEANS",INDEX('1-DATA'!$1:$1048576,$A166-1,COLUMN('1-DATA'!AA165)),ROUND(INDEX('1-DATA'!$1:$1048576,IF(OR($B167="STD. DEVIATION",$C$1=1),$A167,$A167+1),COLUMN('1-DATA'!AA165)),IF($B167="STD. DEVIATION",2,$F$1))))</f>
        <v/>
      </c>
      <c r="AC167" s="1" t="str">
        <f>IF(OR($B167="",AC$7=""),"",IF($B167="MEANS",INDEX('1-DATA'!$1:$1048576,$A166-1,COLUMN('1-DATA'!AB165)),ROUND(INDEX('1-DATA'!$1:$1048576,IF(OR($B167="STD. DEVIATION",$C$1=1),$A167,$A167+1),COLUMN('1-DATA'!AB165)),IF($B167="STD. DEVIATION",2,$F$1))))</f>
        <v/>
      </c>
      <c r="AD167" s="1" t="str">
        <f>IF(OR($B167="",AD$7=""),"",IF($B167="MEANS",INDEX('1-DATA'!$1:$1048576,$A166-1,COLUMN('1-DATA'!AC165)),ROUND(INDEX('1-DATA'!$1:$1048576,IF(OR($B167="STD. DEVIATION",$C$1=1),$A167,$A167+1),COLUMN('1-DATA'!AC165)),IF($B167="STD. DEVIATION",2,$F$1))))</f>
        <v/>
      </c>
      <c r="AE167" s="1" t="str">
        <f>IF(OR($B167="",AE$7=""),"",IF($B167="MEANS",INDEX('1-DATA'!$1:$1048576,$A166-1,COLUMN('1-DATA'!AD165)),ROUND(INDEX('1-DATA'!$1:$1048576,IF(OR($B167="STD. DEVIATION",$C$1=1),$A167,$A167+1),COLUMN('1-DATA'!AD165)),IF($B167="STD. DEVIATION",2,$F$1))))</f>
        <v/>
      </c>
      <c r="AF167" s="1" t="str">
        <f>IF(OR($B167="",AF$7=""),"",IF($B167="MEANS",INDEX('1-DATA'!$1:$1048576,$A166-1,COLUMN('1-DATA'!AE165)),ROUND(INDEX('1-DATA'!$1:$1048576,IF(OR($B167="STD. DEVIATION",$C$1=1),$A167,$A167+1),COLUMN('1-DATA'!AE165)),IF($B167="STD. DEVIATION",2,$F$1))))</f>
        <v/>
      </c>
      <c r="AG167" s="1" t="str">
        <f>IF(OR($B167="",AG$7=""),"",IF($B167="MEANS",INDEX('1-DATA'!$1:$1048576,$A166-1,COLUMN('1-DATA'!AF165)),ROUND(INDEX('1-DATA'!$1:$1048576,IF(OR($B167="STD. DEVIATION",$C$1=1),$A167,$A167+1),COLUMN('1-DATA'!AF165)),IF($B167="STD. DEVIATION",2,$F$1))))</f>
        <v/>
      </c>
      <c r="AH167" s="1" t="str">
        <f>IF(OR($B167="",AH$7=""),"",IF($B167="MEANS",INDEX('1-DATA'!$1:$1048576,$A166-1,COLUMN('1-DATA'!AG165)),ROUND(INDEX('1-DATA'!$1:$1048576,IF(OR($B167="STD. DEVIATION",$C$1=1),$A167,$A167+1),COLUMN('1-DATA'!AG165)),IF($B167="STD. DEVIATION",2,$F$1))))</f>
        <v/>
      </c>
      <c r="AI167" s="1" t="str">
        <f>IF(OR($B167="",AI$7=""),"",IF($B167="MEANS",INDEX('1-DATA'!$1:$1048576,$A166-1,COLUMN('1-DATA'!AH165)),ROUND(INDEX('1-DATA'!$1:$1048576,IF(OR($B167="STD. DEVIATION",$C$1=1),$A167,$A167+1),COLUMN('1-DATA'!AH165)),IF($B167="STD. DEVIATION",2,$F$1))))</f>
        <v/>
      </c>
      <c r="AJ167" s="1" t="str">
        <f>IF(OR($B167="",AJ$7=""),"",IF($B167="MEANS",INDEX('1-DATA'!$1:$1048576,$A166-1,COLUMN('1-DATA'!AI165)),ROUND(INDEX('1-DATA'!$1:$1048576,IF(OR($B167="STD. DEVIATION",$C$1=1),$A167,$A167+1),COLUMN('1-DATA'!AI165)),IF($B167="STD. DEVIATION",2,$F$1))))</f>
        <v/>
      </c>
      <c r="AK167" s="1" t="str">
        <f>IF(OR($B167="",AK$7=""),"",IF($B167="MEANS",INDEX('1-DATA'!$1:$1048576,$A166-1,COLUMN('1-DATA'!AJ165)),ROUND(INDEX('1-DATA'!$1:$1048576,IF(OR($B167="STD. DEVIATION",$C$1=1),$A167,$A167+1),COLUMN('1-DATA'!AJ165)),IF($B167="STD. DEVIATION",2,$F$1))))</f>
        <v/>
      </c>
      <c r="AL167" s="1" t="str">
        <f>IF(OR($B167="",AL$7=""),"",IF($B167="MEANS",INDEX('1-DATA'!$1:$1048576,$A166-1,COLUMN('1-DATA'!AK165)),ROUND(INDEX('1-DATA'!$1:$1048576,IF(OR($B167="STD. DEVIATION",$C$1=1),$A167,$A167+1),COLUMN('1-DATA'!AK165)),IF($B167="STD. DEVIATION",2,$F$1))))</f>
        <v/>
      </c>
      <c r="AM167" s="1" t="str">
        <f>IF(OR($B167="",AM$7=""),"",IF($B167="MEANS",INDEX('1-DATA'!$1:$1048576,$A166-1,COLUMN('1-DATA'!AL165)),ROUND(INDEX('1-DATA'!$1:$1048576,IF(OR($B167="STD. DEVIATION",$C$1=1),$A167,$A167+1),COLUMN('1-DATA'!AL165)),IF($B167="STD. DEVIATION",2,$F$1))))</f>
        <v/>
      </c>
      <c r="AN167" s="1" t="str">
        <f>IF(OR($B167="",AN$7=""),"",IF($B167="MEANS",INDEX('1-DATA'!$1:$1048576,$A166-1,COLUMN('1-DATA'!AM165)),ROUND(INDEX('1-DATA'!$1:$1048576,IF(OR($B167="STD. DEVIATION",$C$1=1),$A167,$A167+1),COLUMN('1-DATA'!AM165)),IF($B167="STD. DEVIATION",2,$F$1))))</f>
        <v/>
      </c>
      <c r="AO167" s="1" t="str">
        <f>IF(OR($B167="",AO$7=""),"",IF($B167="MEANS",INDEX('1-DATA'!$1:$1048576,$A166-1,COLUMN('1-DATA'!AN165)),ROUND(INDEX('1-DATA'!$1:$1048576,IF(OR($B167="STD. DEVIATION",$C$1=1),$A167,$A167+1),COLUMN('1-DATA'!AN165)),IF($B167="STD. DEVIATION",2,$F$1))))</f>
        <v/>
      </c>
      <c r="AP167" s="1" t="str">
        <f>IF(OR($B167="",AP$7=""),"",IF($B167="MEANS",INDEX('1-DATA'!$1:$1048576,$A166-1,COLUMN('1-DATA'!AO165)),ROUND(INDEX('1-DATA'!$1:$1048576,IF(OR($B167="STD. DEVIATION",$C$1=1),$A167,$A167+1),COLUMN('1-DATA'!AO165)),IF($B167="STD. DEVIATION",2,$F$1))))</f>
        <v/>
      </c>
      <c r="AQ167" s="1" t="str">
        <f>IF(OR($B167="",AQ$7=""),"",IF($B167="MEANS",INDEX('1-DATA'!$1:$1048576,$A166-1,COLUMN('1-DATA'!AP165)),ROUND(INDEX('1-DATA'!$1:$1048576,IF(OR($B167="STD. DEVIATION",$C$1=1),$A167,$A167+1),COLUMN('1-DATA'!AP165)),IF($B167="STD. DEVIATION",2,$F$1))))</f>
        <v/>
      </c>
      <c r="AR167" s="1" t="str">
        <f>IF(OR($B167="",AR$7=""),"",IF($B167="MEANS",INDEX('1-DATA'!$1:$1048576,$A166-1,COLUMN('1-DATA'!AQ165)),ROUND(INDEX('1-DATA'!$1:$1048576,IF(OR($B167="STD. DEVIATION",$C$1=1),$A167,$A167+1),COLUMN('1-DATA'!AQ165)),IF($B167="STD. DEVIATION",2,$F$1))))</f>
        <v/>
      </c>
      <c r="AS167" s="1" t="str">
        <f>IF(OR($B167="",AS$7=""),"",IF($B167="MEANS",INDEX('1-DATA'!$1:$1048576,$A166-1,COLUMN('1-DATA'!AR165)),ROUND(INDEX('1-DATA'!$1:$1048576,IF(OR($B167="STD. DEVIATION",$C$1=1),$A167,$A167+1),COLUMN('1-DATA'!AR165)),IF($B167="STD. DEVIATION",2,$F$1))))</f>
        <v/>
      </c>
      <c r="AT167" s="1" t="str">
        <f>IF(OR($B167="",AT$7=""),"",IF($B167="MEANS",INDEX('1-DATA'!$1:$1048576,$A166-1,COLUMN('1-DATA'!AS165)),ROUND(INDEX('1-DATA'!$1:$1048576,IF(OR($B167="STD. DEVIATION",$C$1=1),$A167,$A167+1),COLUMN('1-DATA'!AS165)),IF($B167="STD. DEVIATION",2,$F$1))))</f>
        <v/>
      </c>
      <c r="AU167" s="1" t="str">
        <f>IF(OR($B167="",AU$7=""),"",IF($B167="MEANS",INDEX('1-DATA'!$1:$1048576,$A166-1,COLUMN('1-DATA'!AT165)),ROUND(INDEX('1-DATA'!$1:$1048576,IF(OR($B167="STD. DEVIATION",$C$1=1),$A167,$A167+1),COLUMN('1-DATA'!AT165)),IF($B167="STD. DEVIATION",2,$F$1))))</f>
        <v/>
      </c>
      <c r="AV167" s="1" t="str">
        <f>IF(OR($B167="",AV$7=""),"",IF($B167="MEANS",INDEX('1-DATA'!$1:$1048576,$A166-1,COLUMN('1-DATA'!AU165)),ROUND(INDEX('1-DATA'!$1:$1048576,IF(OR($B167="STD. DEVIATION",$C$1=1),$A167,$A167+1),COLUMN('1-DATA'!AU165)),IF($B167="STD. DEVIATION",2,$F$1))))</f>
        <v/>
      </c>
      <c r="AW167" s="1" t="str">
        <f>IF(OR($B167="",AW$7=""),"",IF($B167="MEANS",INDEX('1-DATA'!$1:$1048576,$A166-1,COLUMN('1-DATA'!AV165)),ROUND(INDEX('1-DATA'!$1:$1048576,IF(OR($B167="STD. DEVIATION",$C$1=1),$A167,$A167+1),COLUMN('1-DATA'!AV165)),IF($B167="STD. DEVIATION",2,$F$1))))</f>
        <v/>
      </c>
      <c r="AX167" s="1" t="str">
        <f>IF(OR($B167="",AX$7=""),"",IF($B167="MEANS",INDEX('1-DATA'!$1:$1048576,$A166-1,COLUMN('1-DATA'!AW165)),ROUND(INDEX('1-DATA'!$1:$1048576,IF(OR($B167="STD. DEVIATION",$C$1=1),$A167,$A167+1),COLUMN('1-DATA'!AW165)),IF($B167="STD. DEVIATION",2,$F$1))))</f>
        <v/>
      </c>
      <c r="AY167" s="1" t="str">
        <f>IF(OR($B167="",AY$7=""),"",IF($B167="MEANS",INDEX('1-DATA'!$1:$1048576,$A166-1,COLUMN('1-DATA'!AX165)),ROUND(INDEX('1-DATA'!$1:$1048576,IF(OR($B167="STD. DEVIATION",$C$1=1),$A167,$A167+1),COLUMN('1-DATA'!AX165)),IF($B167="STD. DEVIATION",2,$F$1))))</f>
        <v/>
      </c>
      <c r="AZ167" s="1" t="str">
        <f>IF(OR($B167="",AZ$7=""),"",IF($B167="MEANS",INDEX('1-DATA'!$1:$1048576,$A166-1,COLUMN('1-DATA'!AY165)),ROUND(INDEX('1-DATA'!$1:$1048576,IF(OR($B167="STD. DEVIATION",$C$1=1),$A167,$A167+1),COLUMN('1-DATA'!AY165)),IF($B167="STD. DEVIATION",2,$F$1))))</f>
        <v/>
      </c>
    </row>
    <row r="168" spans="1:52" x14ac:dyDescent="0.25">
      <c r="A168" s="11">
        <f t="shared" si="3"/>
        <v>490</v>
      </c>
      <c r="B168" s="1" t="str">
        <f>IF(B167="STD. DEVIATION",INDEX('1-DATA'!$1:$1048576,$A167-1,1),IF(INDEX('1-DATA'!$1:$1048576,$A168,1)&lt;&gt;"",INDEX('1-DATA'!$1:$1048576,$A168,1),""))</f>
        <v/>
      </c>
      <c r="C168" s="1" t="str">
        <f>IF(OR($B168="",C$7=""),"",IF($B168="MEANS",INDEX('1-DATA'!$1:$1048576,$A167-1,COLUMN('1-DATA'!B166)),ROUND(INDEX('1-DATA'!$1:$1048576,IF(OR($B168="STD. DEVIATION",$C$1=1),$A168,$A168+1),COLUMN('1-DATA'!B166)),IF($B168="STD. DEVIATION",2,$F$1))))</f>
        <v/>
      </c>
      <c r="D168" s="1" t="str">
        <f>IF(OR($B168="",D$7=""),"",IF($B168="MEANS",INDEX('1-DATA'!$1:$1048576,$A167-1,COLUMN('1-DATA'!C166)),ROUND(INDEX('1-DATA'!$1:$1048576,IF(OR($B168="STD. DEVIATION",$C$1=1),$A168,$A168+1),COLUMN('1-DATA'!C166)),IF($B168="STD. DEVIATION",2,$F$1))))</f>
        <v/>
      </c>
      <c r="E168" s="1" t="str">
        <f>IF(OR($B168="",E$7=""),"",IF($B168="MEANS",INDEX('1-DATA'!$1:$1048576,$A167-1,COLUMN('1-DATA'!D166)),ROUND(INDEX('1-DATA'!$1:$1048576,IF(OR($B168="STD. DEVIATION",$C$1=1),$A168,$A168+1),COLUMN('1-DATA'!D166)),IF($B168="STD. DEVIATION",2,$F$1))))</f>
        <v/>
      </c>
      <c r="F168" s="1" t="str">
        <f>IF(OR($B168="",F$7=""),"",IF($B168="MEANS",INDEX('1-DATA'!$1:$1048576,$A167-1,COLUMN('1-DATA'!E166)),ROUND(INDEX('1-DATA'!$1:$1048576,IF(OR($B168="STD. DEVIATION",$C$1=1),$A168,$A168+1),COLUMN('1-DATA'!E166)),IF($B168="STD. DEVIATION",2,$F$1))))</f>
        <v/>
      </c>
      <c r="G168" s="1" t="str">
        <f>IF(OR($B168="",G$7=""),"",IF($B168="MEANS",INDEX('1-DATA'!$1:$1048576,$A167-1,COLUMN('1-DATA'!F166)),ROUND(INDEX('1-DATA'!$1:$1048576,IF(OR($B168="STD. DEVIATION",$C$1=1),$A168,$A168+1),COLUMN('1-DATA'!F166)),IF($B168="STD. DEVIATION",2,$F$1))))</f>
        <v/>
      </c>
      <c r="H168" s="1" t="str">
        <f>IF(OR($B168="",H$7=""),"",IF($B168="MEANS",INDEX('1-DATA'!$1:$1048576,$A167-1,COLUMN('1-DATA'!G166)),ROUND(INDEX('1-DATA'!$1:$1048576,IF(OR($B168="STD. DEVIATION",$C$1=1),$A168,$A168+1),COLUMN('1-DATA'!G166)),IF($B168="STD. DEVIATION",2,$F$1))))</f>
        <v/>
      </c>
      <c r="I168" s="1" t="str">
        <f>IF(OR($B168="",I$7=""),"",IF($B168="MEANS",INDEX('1-DATA'!$1:$1048576,$A167-1,COLUMN('1-DATA'!H166)),ROUND(INDEX('1-DATA'!$1:$1048576,IF(OR($B168="STD. DEVIATION",$C$1=1),$A168,$A168+1),COLUMN('1-DATA'!H166)),IF($B168="STD. DEVIATION",2,$F$1))))</f>
        <v/>
      </c>
      <c r="J168" s="1" t="str">
        <f>IF(OR($B168="",J$7=""),"",IF($B168="MEANS",INDEX('1-DATA'!$1:$1048576,$A167-1,COLUMN('1-DATA'!I166)),ROUND(INDEX('1-DATA'!$1:$1048576,IF(OR($B168="STD. DEVIATION",$C$1=1),$A168,$A168+1),COLUMN('1-DATA'!I166)),IF($B168="STD. DEVIATION",2,$F$1))))</f>
        <v/>
      </c>
      <c r="K168" s="1" t="str">
        <f>IF(OR($B168="",K$7=""),"",IF($B168="MEANS",INDEX('1-DATA'!$1:$1048576,$A167-1,COLUMN('1-DATA'!J166)),ROUND(INDEX('1-DATA'!$1:$1048576,IF(OR($B168="STD. DEVIATION",$C$1=1),$A168,$A168+1),COLUMN('1-DATA'!J166)),IF($B168="STD. DEVIATION",2,$F$1))))</f>
        <v/>
      </c>
      <c r="L168" s="1" t="str">
        <f>IF(OR($B168="",L$7=""),"",IF($B168="MEANS",INDEX('1-DATA'!$1:$1048576,$A167-1,COLUMN('1-DATA'!K166)),ROUND(INDEX('1-DATA'!$1:$1048576,IF(OR($B168="STD. DEVIATION",$C$1=1),$A168,$A168+1),COLUMN('1-DATA'!K166)),IF($B168="STD. DEVIATION",2,$F$1))))</f>
        <v/>
      </c>
      <c r="M168" s="1" t="str">
        <f>IF(OR($B168="",M$7=""),"",IF($B168="MEANS",INDEX('1-DATA'!$1:$1048576,$A167-1,COLUMN('1-DATA'!L166)),ROUND(INDEX('1-DATA'!$1:$1048576,IF(OR($B168="STD. DEVIATION",$C$1=1),$A168,$A168+1),COLUMN('1-DATA'!L166)),IF($B168="STD. DEVIATION",2,$F$1))))</f>
        <v/>
      </c>
      <c r="N168" s="1" t="str">
        <f>IF(OR($B168="",N$7=""),"",IF($B168="MEANS",INDEX('1-DATA'!$1:$1048576,$A167-1,COLUMN('1-DATA'!M166)),ROUND(INDEX('1-DATA'!$1:$1048576,IF(OR($B168="STD. DEVIATION",$C$1=1),$A168,$A168+1),COLUMN('1-DATA'!M166)),IF($B168="STD. DEVIATION",2,$F$1))))</f>
        <v/>
      </c>
      <c r="O168" s="1" t="str">
        <f>IF(OR($B168="",O$7=""),"",IF($B168="MEANS",INDEX('1-DATA'!$1:$1048576,$A167-1,COLUMN('1-DATA'!N166)),ROUND(INDEX('1-DATA'!$1:$1048576,IF(OR($B168="STD. DEVIATION",$C$1=1),$A168,$A168+1),COLUMN('1-DATA'!N166)),IF($B168="STD. DEVIATION",2,$F$1))))</f>
        <v/>
      </c>
      <c r="P168" s="1" t="str">
        <f>IF(OR($B168="",P$7=""),"",IF($B168="MEANS",INDEX('1-DATA'!$1:$1048576,$A167-1,COLUMN('1-DATA'!O166)),ROUND(INDEX('1-DATA'!$1:$1048576,IF(OR($B168="STD. DEVIATION",$C$1=1),$A168,$A168+1),COLUMN('1-DATA'!O166)),IF($B168="STD. DEVIATION",2,$F$1))))</f>
        <v/>
      </c>
      <c r="Q168" s="1" t="str">
        <f>IF(OR($B168="",Q$7=""),"",IF($B168="MEANS",INDEX('1-DATA'!$1:$1048576,$A167-1,COLUMN('1-DATA'!P166)),ROUND(INDEX('1-DATA'!$1:$1048576,IF(OR($B168="STD. DEVIATION",$C$1=1),$A168,$A168+1),COLUMN('1-DATA'!P166)),IF($B168="STD. DEVIATION",2,$F$1))))</f>
        <v/>
      </c>
      <c r="R168" s="1" t="str">
        <f>IF(OR($B168="",R$7=""),"",IF($B168="MEANS",INDEX('1-DATA'!$1:$1048576,$A167-1,COLUMN('1-DATA'!Q166)),ROUND(INDEX('1-DATA'!$1:$1048576,IF(OR($B168="STD. DEVIATION",$C$1=1),$A168,$A168+1),COLUMN('1-DATA'!Q166)),IF($B168="STD. DEVIATION",2,$F$1))))</f>
        <v/>
      </c>
      <c r="S168" s="1" t="str">
        <f>IF(OR($B168="",S$7=""),"",IF($B168="MEANS",INDEX('1-DATA'!$1:$1048576,$A167-1,COLUMN('1-DATA'!R166)),ROUND(INDEX('1-DATA'!$1:$1048576,IF(OR($B168="STD. DEVIATION",$C$1=1),$A168,$A168+1),COLUMN('1-DATA'!R166)),IF($B168="STD. DEVIATION",2,$F$1))))</f>
        <v/>
      </c>
      <c r="T168" s="1" t="str">
        <f>IF(OR($B168="",T$7=""),"",IF($B168="MEANS",INDEX('1-DATA'!$1:$1048576,$A167-1,COLUMN('1-DATA'!S166)),ROUND(INDEX('1-DATA'!$1:$1048576,IF(OR($B168="STD. DEVIATION",$C$1=1),$A168,$A168+1),COLUMN('1-DATA'!S166)),IF($B168="STD. DEVIATION",2,$F$1))))</f>
        <v/>
      </c>
      <c r="U168" s="1" t="str">
        <f>IF(OR($B168="",U$7=""),"",IF($B168="MEANS",INDEX('1-DATA'!$1:$1048576,$A167-1,COLUMN('1-DATA'!T166)),ROUND(INDEX('1-DATA'!$1:$1048576,IF(OR($B168="STD. DEVIATION",$C$1=1),$A168,$A168+1),COLUMN('1-DATA'!T166)),IF($B168="STD. DEVIATION",2,$F$1))))</f>
        <v/>
      </c>
      <c r="V168" s="1" t="str">
        <f>IF(OR($B168="",V$7=""),"",IF($B168="MEANS",INDEX('1-DATA'!$1:$1048576,$A167-1,COLUMN('1-DATA'!U166)),ROUND(INDEX('1-DATA'!$1:$1048576,IF(OR($B168="STD. DEVIATION",$C$1=1),$A168,$A168+1),COLUMN('1-DATA'!U166)),IF($B168="STD. DEVIATION",2,$F$1))))</f>
        <v/>
      </c>
      <c r="W168" s="1" t="str">
        <f>IF(OR($B168="",W$7=""),"",IF($B168="MEANS",INDEX('1-DATA'!$1:$1048576,$A167-1,COLUMN('1-DATA'!V166)),ROUND(INDEX('1-DATA'!$1:$1048576,IF(OR($B168="STD. DEVIATION",$C$1=1),$A168,$A168+1),COLUMN('1-DATA'!V166)),IF($B168="STD. DEVIATION",2,$F$1))))</f>
        <v/>
      </c>
      <c r="X168" s="1" t="str">
        <f>IF(OR($B168="",X$7=""),"",IF($B168="MEANS",INDEX('1-DATA'!$1:$1048576,$A167-1,COLUMN('1-DATA'!W166)),ROUND(INDEX('1-DATA'!$1:$1048576,IF(OR($B168="STD. DEVIATION",$C$1=1),$A168,$A168+1),COLUMN('1-DATA'!W166)),IF($B168="STD. DEVIATION",2,$F$1))))</f>
        <v/>
      </c>
      <c r="Y168" s="1" t="str">
        <f>IF(OR($B168="",Y$7=""),"",IF($B168="MEANS",INDEX('1-DATA'!$1:$1048576,$A167-1,COLUMN('1-DATA'!X166)),ROUND(INDEX('1-DATA'!$1:$1048576,IF(OR($B168="STD. DEVIATION",$C$1=1),$A168,$A168+1),COLUMN('1-DATA'!X166)),IF($B168="STD. DEVIATION",2,$F$1))))</f>
        <v/>
      </c>
      <c r="Z168" s="1" t="str">
        <f>IF(OR($B168="",Z$7=""),"",IF($B168="MEANS",INDEX('1-DATA'!$1:$1048576,$A167-1,COLUMN('1-DATA'!Y166)),ROUND(INDEX('1-DATA'!$1:$1048576,IF(OR($B168="STD. DEVIATION",$C$1=1),$A168,$A168+1),COLUMN('1-DATA'!Y166)),IF($B168="STD. DEVIATION",2,$F$1))))</f>
        <v/>
      </c>
      <c r="AA168" s="1" t="str">
        <f>IF(OR($B168="",AA$7=""),"",IF($B168="MEANS",INDEX('1-DATA'!$1:$1048576,$A167-1,COLUMN('1-DATA'!Z166)),ROUND(INDEX('1-DATA'!$1:$1048576,IF(OR($B168="STD. DEVIATION",$C$1=1),$A168,$A168+1),COLUMN('1-DATA'!Z166)),IF($B168="STD. DEVIATION",2,$F$1))))</f>
        <v/>
      </c>
      <c r="AB168" s="1" t="str">
        <f>IF(OR($B168="",AB$7=""),"",IF($B168="MEANS",INDEX('1-DATA'!$1:$1048576,$A167-1,COLUMN('1-DATA'!AA166)),ROUND(INDEX('1-DATA'!$1:$1048576,IF(OR($B168="STD. DEVIATION",$C$1=1),$A168,$A168+1),COLUMN('1-DATA'!AA166)),IF($B168="STD. DEVIATION",2,$F$1))))</f>
        <v/>
      </c>
      <c r="AC168" s="1" t="str">
        <f>IF(OR($B168="",AC$7=""),"",IF($B168="MEANS",INDEX('1-DATA'!$1:$1048576,$A167-1,COLUMN('1-DATA'!AB166)),ROUND(INDEX('1-DATA'!$1:$1048576,IF(OR($B168="STD. DEVIATION",$C$1=1),$A168,$A168+1),COLUMN('1-DATA'!AB166)),IF($B168="STD. DEVIATION",2,$F$1))))</f>
        <v/>
      </c>
      <c r="AD168" s="1" t="str">
        <f>IF(OR($B168="",AD$7=""),"",IF($B168="MEANS",INDEX('1-DATA'!$1:$1048576,$A167-1,COLUMN('1-DATA'!AC166)),ROUND(INDEX('1-DATA'!$1:$1048576,IF(OR($B168="STD. DEVIATION",$C$1=1),$A168,$A168+1),COLUMN('1-DATA'!AC166)),IF($B168="STD. DEVIATION",2,$F$1))))</f>
        <v/>
      </c>
      <c r="AE168" s="1" t="str">
        <f>IF(OR($B168="",AE$7=""),"",IF($B168="MEANS",INDEX('1-DATA'!$1:$1048576,$A167-1,COLUMN('1-DATA'!AD166)),ROUND(INDEX('1-DATA'!$1:$1048576,IF(OR($B168="STD. DEVIATION",$C$1=1),$A168,$A168+1),COLUMN('1-DATA'!AD166)),IF($B168="STD. DEVIATION",2,$F$1))))</f>
        <v/>
      </c>
      <c r="AF168" s="1" t="str">
        <f>IF(OR($B168="",AF$7=""),"",IF($B168="MEANS",INDEX('1-DATA'!$1:$1048576,$A167-1,COLUMN('1-DATA'!AE166)),ROUND(INDEX('1-DATA'!$1:$1048576,IF(OR($B168="STD. DEVIATION",$C$1=1),$A168,$A168+1),COLUMN('1-DATA'!AE166)),IF($B168="STD. DEVIATION",2,$F$1))))</f>
        <v/>
      </c>
      <c r="AG168" s="1" t="str">
        <f>IF(OR($B168="",AG$7=""),"",IF($B168="MEANS",INDEX('1-DATA'!$1:$1048576,$A167-1,COLUMN('1-DATA'!AF166)),ROUND(INDEX('1-DATA'!$1:$1048576,IF(OR($B168="STD. DEVIATION",$C$1=1),$A168,$A168+1),COLUMN('1-DATA'!AF166)),IF($B168="STD. DEVIATION",2,$F$1))))</f>
        <v/>
      </c>
      <c r="AH168" s="1" t="str">
        <f>IF(OR($B168="",AH$7=""),"",IF($B168="MEANS",INDEX('1-DATA'!$1:$1048576,$A167-1,COLUMN('1-DATA'!AG166)),ROUND(INDEX('1-DATA'!$1:$1048576,IF(OR($B168="STD. DEVIATION",$C$1=1),$A168,$A168+1),COLUMN('1-DATA'!AG166)),IF($B168="STD. DEVIATION",2,$F$1))))</f>
        <v/>
      </c>
      <c r="AI168" s="1" t="str">
        <f>IF(OR($B168="",AI$7=""),"",IF($B168="MEANS",INDEX('1-DATA'!$1:$1048576,$A167-1,COLUMN('1-DATA'!AH166)),ROUND(INDEX('1-DATA'!$1:$1048576,IF(OR($B168="STD. DEVIATION",$C$1=1),$A168,$A168+1),COLUMN('1-DATA'!AH166)),IF($B168="STD. DEVIATION",2,$F$1))))</f>
        <v/>
      </c>
      <c r="AJ168" s="1" t="str">
        <f>IF(OR($B168="",AJ$7=""),"",IF($B168="MEANS",INDEX('1-DATA'!$1:$1048576,$A167-1,COLUMN('1-DATA'!AI166)),ROUND(INDEX('1-DATA'!$1:$1048576,IF(OR($B168="STD. DEVIATION",$C$1=1),$A168,$A168+1),COLUMN('1-DATA'!AI166)),IF($B168="STD. DEVIATION",2,$F$1))))</f>
        <v/>
      </c>
      <c r="AK168" s="1" t="str">
        <f>IF(OR($B168="",AK$7=""),"",IF($B168="MEANS",INDEX('1-DATA'!$1:$1048576,$A167-1,COLUMN('1-DATA'!AJ166)),ROUND(INDEX('1-DATA'!$1:$1048576,IF(OR($B168="STD. DEVIATION",$C$1=1),$A168,$A168+1),COLUMN('1-DATA'!AJ166)),IF($B168="STD. DEVIATION",2,$F$1))))</f>
        <v/>
      </c>
      <c r="AL168" s="1" t="str">
        <f>IF(OR($B168="",AL$7=""),"",IF($B168="MEANS",INDEX('1-DATA'!$1:$1048576,$A167-1,COLUMN('1-DATA'!AK166)),ROUND(INDEX('1-DATA'!$1:$1048576,IF(OR($B168="STD. DEVIATION",$C$1=1),$A168,$A168+1),COLUMN('1-DATA'!AK166)),IF($B168="STD. DEVIATION",2,$F$1))))</f>
        <v/>
      </c>
      <c r="AM168" s="1" t="str">
        <f>IF(OR($B168="",AM$7=""),"",IF($B168="MEANS",INDEX('1-DATA'!$1:$1048576,$A167-1,COLUMN('1-DATA'!AL166)),ROUND(INDEX('1-DATA'!$1:$1048576,IF(OR($B168="STD. DEVIATION",$C$1=1),$A168,$A168+1),COLUMN('1-DATA'!AL166)),IF($B168="STD. DEVIATION",2,$F$1))))</f>
        <v/>
      </c>
      <c r="AN168" s="1" t="str">
        <f>IF(OR($B168="",AN$7=""),"",IF($B168="MEANS",INDEX('1-DATA'!$1:$1048576,$A167-1,COLUMN('1-DATA'!AM166)),ROUND(INDEX('1-DATA'!$1:$1048576,IF(OR($B168="STD. DEVIATION",$C$1=1),$A168,$A168+1),COLUMN('1-DATA'!AM166)),IF($B168="STD. DEVIATION",2,$F$1))))</f>
        <v/>
      </c>
      <c r="AO168" s="1" t="str">
        <f>IF(OR($B168="",AO$7=""),"",IF($B168="MEANS",INDEX('1-DATA'!$1:$1048576,$A167-1,COLUMN('1-DATA'!AN166)),ROUND(INDEX('1-DATA'!$1:$1048576,IF(OR($B168="STD. DEVIATION",$C$1=1),$A168,$A168+1),COLUMN('1-DATA'!AN166)),IF($B168="STD. DEVIATION",2,$F$1))))</f>
        <v/>
      </c>
      <c r="AP168" s="1" t="str">
        <f>IF(OR($B168="",AP$7=""),"",IF($B168="MEANS",INDEX('1-DATA'!$1:$1048576,$A167-1,COLUMN('1-DATA'!AO166)),ROUND(INDEX('1-DATA'!$1:$1048576,IF(OR($B168="STD. DEVIATION",$C$1=1),$A168,$A168+1),COLUMN('1-DATA'!AO166)),IF($B168="STD. DEVIATION",2,$F$1))))</f>
        <v/>
      </c>
      <c r="AQ168" s="1" t="str">
        <f>IF(OR($B168="",AQ$7=""),"",IF($B168="MEANS",INDEX('1-DATA'!$1:$1048576,$A167-1,COLUMN('1-DATA'!AP166)),ROUND(INDEX('1-DATA'!$1:$1048576,IF(OR($B168="STD. DEVIATION",$C$1=1),$A168,$A168+1),COLUMN('1-DATA'!AP166)),IF($B168="STD. DEVIATION",2,$F$1))))</f>
        <v/>
      </c>
      <c r="AR168" s="1" t="str">
        <f>IF(OR($B168="",AR$7=""),"",IF($B168="MEANS",INDEX('1-DATA'!$1:$1048576,$A167-1,COLUMN('1-DATA'!AQ166)),ROUND(INDEX('1-DATA'!$1:$1048576,IF(OR($B168="STD. DEVIATION",$C$1=1),$A168,$A168+1),COLUMN('1-DATA'!AQ166)),IF($B168="STD. DEVIATION",2,$F$1))))</f>
        <v/>
      </c>
      <c r="AS168" s="1" t="str">
        <f>IF(OR($B168="",AS$7=""),"",IF($B168="MEANS",INDEX('1-DATA'!$1:$1048576,$A167-1,COLUMN('1-DATA'!AR166)),ROUND(INDEX('1-DATA'!$1:$1048576,IF(OR($B168="STD. DEVIATION",$C$1=1),$A168,$A168+1),COLUMN('1-DATA'!AR166)),IF($B168="STD. DEVIATION",2,$F$1))))</f>
        <v/>
      </c>
      <c r="AT168" s="1" t="str">
        <f>IF(OR($B168="",AT$7=""),"",IF($B168="MEANS",INDEX('1-DATA'!$1:$1048576,$A167-1,COLUMN('1-DATA'!AS166)),ROUND(INDEX('1-DATA'!$1:$1048576,IF(OR($B168="STD. DEVIATION",$C$1=1),$A168,$A168+1),COLUMN('1-DATA'!AS166)),IF($B168="STD. DEVIATION",2,$F$1))))</f>
        <v/>
      </c>
      <c r="AU168" s="1" t="str">
        <f>IF(OR($B168="",AU$7=""),"",IF($B168="MEANS",INDEX('1-DATA'!$1:$1048576,$A167-1,COLUMN('1-DATA'!AT166)),ROUND(INDEX('1-DATA'!$1:$1048576,IF(OR($B168="STD. DEVIATION",$C$1=1),$A168,$A168+1),COLUMN('1-DATA'!AT166)),IF($B168="STD. DEVIATION",2,$F$1))))</f>
        <v/>
      </c>
      <c r="AV168" s="1" t="str">
        <f>IF(OR($B168="",AV$7=""),"",IF($B168="MEANS",INDEX('1-DATA'!$1:$1048576,$A167-1,COLUMN('1-DATA'!AU166)),ROUND(INDEX('1-DATA'!$1:$1048576,IF(OR($B168="STD. DEVIATION",$C$1=1),$A168,$A168+1),COLUMN('1-DATA'!AU166)),IF($B168="STD. DEVIATION",2,$F$1))))</f>
        <v/>
      </c>
      <c r="AW168" s="1" t="str">
        <f>IF(OR($B168="",AW$7=""),"",IF($B168="MEANS",INDEX('1-DATA'!$1:$1048576,$A167-1,COLUMN('1-DATA'!AV166)),ROUND(INDEX('1-DATA'!$1:$1048576,IF(OR($B168="STD. DEVIATION",$C$1=1),$A168,$A168+1),COLUMN('1-DATA'!AV166)),IF($B168="STD. DEVIATION",2,$F$1))))</f>
        <v/>
      </c>
      <c r="AX168" s="1" t="str">
        <f>IF(OR($B168="",AX$7=""),"",IF($B168="MEANS",INDEX('1-DATA'!$1:$1048576,$A167-1,COLUMN('1-DATA'!AW166)),ROUND(INDEX('1-DATA'!$1:$1048576,IF(OR($B168="STD. DEVIATION",$C$1=1),$A168,$A168+1),COLUMN('1-DATA'!AW166)),IF($B168="STD. DEVIATION",2,$F$1))))</f>
        <v/>
      </c>
      <c r="AY168" s="1" t="str">
        <f>IF(OR($B168="",AY$7=""),"",IF($B168="MEANS",INDEX('1-DATA'!$1:$1048576,$A167-1,COLUMN('1-DATA'!AX166)),ROUND(INDEX('1-DATA'!$1:$1048576,IF(OR($B168="STD. DEVIATION",$C$1=1),$A168,$A168+1),COLUMN('1-DATA'!AX166)),IF($B168="STD. DEVIATION",2,$F$1))))</f>
        <v/>
      </c>
      <c r="AZ168" s="1" t="str">
        <f>IF(OR($B168="",AZ$7=""),"",IF($B168="MEANS",INDEX('1-DATA'!$1:$1048576,$A167-1,COLUMN('1-DATA'!AY166)),ROUND(INDEX('1-DATA'!$1:$1048576,IF(OR($B168="STD. DEVIATION",$C$1=1),$A168,$A168+1),COLUMN('1-DATA'!AY166)),IF($B168="STD. DEVIATION",2,$F$1))))</f>
        <v/>
      </c>
    </row>
    <row r="169" spans="1:52" x14ac:dyDescent="0.25">
      <c r="A169" s="11">
        <f t="shared" si="3"/>
        <v>493</v>
      </c>
      <c r="B169" s="1" t="str">
        <f>IF(B168="STD. DEVIATION",INDEX('1-DATA'!$1:$1048576,$A168-1,1),IF(INDEX('1-DATA'!$1:$1048576,$A169,1)&lt;&gt;"",INDEX('1-DATA'!$1:$1048576,$A169,1),""))</f>
        <v/>
      </c>
      <c r="C169" s="1" t="str">
        <f>IF(OR($B169="",C$7=""),"",IF($B169="MEANS",INDEX('1-DATA'!$1:$1048576,$A168-1,COLUMN('1-DATA'!B167)),ROUND(INDEX('1-DATA'!$1:$1048576,IF(OR($B169="STD. DEVIATION",$C$1=1),$A169,$A169+1),COLUMN('1-DATA'!B167)),IF($B169="STD. DEVIATION",2,$F$1))))</f>
        <v/>
      </c>
      <c r="D169" s="1" t="str">
        <f>IF(OR($B169="",D$7=""),"",IF($B169="MEANS",INDEX('1-DATA'!$1:$1048576,$A168-1,COLUMN('1-DATA'!C167)),ROUND(INDEX('1-DATA'!$1:$1048576,IF(OR($B169="STD. DEVIATION",$C$1=1),$A169,$A169+1),COLUMN('1-DATA'!C167)),IF($B169="STD. DEVIATION",2,$F$1))))</f>
        <v/>
      </c>
      <c r="E169" s="1" t="str">
        <f>IF(OR($B169="",E$7=""),"",IF($B169="MEANS",INDEX('1-DATA'!$1:$1048576,$A168-1,COLUMN('1-DATA'!D167)),ROUND(INDEX('1-DATA'!$1:$1048576,IF(OR($B169="STD. DEVIATION",$C$1=1),$A169,$A169+1),COLUMN('1-DATA'!D167)),IF($B169="STD. DEVIATION",2,$F$1))))</f>
        <v/>
      </c>
      <c r="F169" s="1" t="str">
        <f>IF(OR($B169="",F$7=""),"",IF($B169="MEANS",INDEX('1-DATA'!$1:$1048576,$A168-1,COLUMN('1-DATA'!E167)),ROUND(INDEX('1-DATA'!$1:$1048576,IF(OR($B169="STD. DEVIATION",$C$1=1),$A169,$A169+1),COLUMN('1-DATA'!E167)),IF($B169="STD. DEVIATION",2,$F$1))))</f>
        <v/>
      </c>
      <c r="G169" s="1" t="str">
        <f>IF(OR($B169="",G$7=""),"",IF($B169="MEANS",INDEX('1-DATA'!$1:$1048576,$A168-1,COLUMN('1-DATA'!F167)),ROUND(INDEX('1-DATA'!$1:$1048576,IF(OR($B169="STD. DEVIATION",$C$1=1),$A169,$A169+1),COLUMN('1-DATA'!F167)),IF($B169="STD. DEVIATION",2,$F$1))))</f>
        <v/>
      </c>
      <c r="H169" s="1" t="str">
        <f>IF(OR($B169="",H$7=""),"",IF($B169="MEANS",INDEX('1-DATA'!$1:$1048576,$A168-1,COLUMN('1-DATA'!G167)),ROUND(INDEX('1-DATA'!$1:$1048576,IF(OR($B169="STD. DEVIATION",$C$1=1),$A169,$A169+1),COLUMN('1-DATA'!G167)),IF($B169="STD. DEVIATION",2,$F$1))))</f>
        <v/>
      </c>
      <c r="I169" s="1" t="str">
        <f>IF(OR($B169="",I$7=""),"",IF($B169="MEANS",INDEX('1-DATA'!$1:$1048576,$A168-1,COLUMN('1-DATA'!H167)),ROUND(INDEX('1-DATA'!$1:$1048576,IF(OR($B169="STD. DEVIATION",$C$1=1),$A169,$A169+1),COLUMN('1-DATA'!H167)),IF($B169="STD. DEVIATION",2,$F$1))))</f>
        <v/>
      </c>
      <c r="J169" s="1" t="str">
        <f>IF(OR($B169="",J$7=""),"",IF($B169="MEANS",INDEX('1-DATA'!$1:$1048576,$A168-1,COLUMN('1-DATA'!I167)),ROUND(INDEX('1-DATA'!$1:$1048576,IF(OR($B169="STD. DEVIATION",$C$1=1),$A169,$A169+1),COLUMN('1-DATA'!I167)),IF($B169="STD. DEVIATION",2,$F$1))))</f>
        <v/>
      </c>
      <c r="K169" s="1" t="str">
        <f>IF(OR($B169="",K$7=""),"",IF($B169="MEANS",INDEX('1-DATA'!$1:$1048576,$A168-1,COLUMN('1-DATA'!J167)),ROUND(INDEX('1-DATA'!$1:$1048576,IF(OR($B169="STD. DEVIATION",$C$1=1),$A169,$A169+1),COLUMN('1-DATA'!J167)),IF($B169="STD. DEVIATION",2,$F$1))))</f>
        <v/>
      </c>
      <c r="L169" s="1" t="str">
        <f>IF(OR($B169="",L$7=""),"",IF($B169="MEANS",INDEX('1-DATA'!$1:$1048576,$A168-1,COLUMN('1-DATA'!K167)),ROUND(INDEX('1-DATA'!$1:$1048576,IF(OR($B169="STD. DEVIATION",$C$1=1),$A169,$A169+1),COLUMN('1-DATA'!K167)),IF($B169="STD. DEVIATION",2,$F$1))))</f>
        <v/>
      </c>
      <c r="M169" s="1" t="str">
        <f>IF(OR($B169="",M$7=""),"",IF($B169="MEANS",INDEX('1-DATA'!$1:$1048576,$A168-1,COLUMN('1-DATA'!L167)),ROUND(INDEX('1-DATA'!$1:$1048576,IF(OR($B169="STD. DEVIATION",$C$1=1),$A169,$A169+1),COLUMN('1-DATA'!L167)),IF($B169="STD. DEVIATION",2,$F$1))))</f>
        <v/>
      </c>
      <c r="N169" s="1" t="str">
        <f>IF(OR($B169="",N$7=""),"",IF($B169="MEANS",INDEX('1-DATA'!$1:$1048576,$A168-1,COLUMN('1-DATA'!M167)),ROUND(INDEX('1-DATA'!$1:$1048576,IF(OR($B169="STD. DEVIATION",$C$1=1),$A169,$A169+1),COLUMN('1-DATA'!M167)),IF($B169="STD. DEVIATION",2,$F$1))))</f>
        <v/>
      </c>
      <c r="O169" s="1" t="str">
        <f>IF(OR($B169="",O$7=""),"",IF($B169="MEANS",INDEX('1-DATA'!$1:$1048576,$A168-1,COLUMN('1-DATA'!N167)),ROUND(INDEX('1-DATA'!$1:$1048576,IF(OR($B169="STD. DEVIATION",$C$1=1),$A169,$A169+1),COLUMN('1-DATA'!N167)),IF($B169="STD. DEVIATION",2,$F$1))))</f>
        <v/>
      </c>
      <c r="P169" s="1" t="str">
        <f>IF(OR($B169="",P$7=""),"",IF($B169="MEANS",INDEX('1-DATA'!$1:$1048576,$A168-1,COLUMN('1-DATA'!O167)),ROUND(INDEX('1-DATA'!$1:$1048576,IF(OR($B169="STD. DEVIATION",$C$1=1),$A169,$A169+1),COLUMN('1-DATA'!O167)),IF($B169="STD. DEVIATION",2,$F$1))))</f>
        <v/>
      </c>
      <c r="Q169" s="1" t="str">
        <f>IF(OR($B169="",Q$7=""),"",IF($B169="MEANS",INDEX('1-DATA'!$1:$1048576,$A168-1,COLUMN('1-DATA'!P167)),ROUND(INDEX('1-DATA'!$1:$1048576,IF(OR($B169="STD. DEVIATION",$C$1=1),$A169,$A169+1),COLUMN('1-DATA'!P167)),IF($B169="STD. DEVIATION",2,$F$1))))</f>
        <v/>
      </c>
      <c r="R169" s="1" t="str">
        <f>IF(OR($B169="",R$7=""),"",IF($B169="MEANS",INDEX('1-DATA'!$1:$1048576,$A168-1,COLUMN('1-DATA'!Q167)),ROUND(INDEX('1-DATA'!$1:$1048576,IF(OR($B169="STD. DEVIATION",$C$1=1),$A169,$A169+1),COLUMN('1-DATA'!Q167)),IF($B169="STD. DEVIATION",2,$F$1))))</f>
        <v/>
      </c>
      <c r="S169" s="1" t="str">
        <f>IF(OR($B169="",S$7=""),"",IF($B169="MEANS",INDEX('1-DATA'!$1:$1048576,$A168-1,COLUMN('1-DATA'!R167)),ROUND(INDEX('1-DATA'!$1:$1048576,IF(OR($B169="STD. DEVIATION",$C$1=1),$A169,$A169+1),COLUMN('1-DATA'!R167)),IF($B169="STD. DEVIATION",2,$F$1))))</f>
        <v/>
      </c>
      <c r="T169" s="1" t="str">
        <f>IF(OR($B169="",T$7=""),"",IF($B169="MEANS",INDEX('1-DATA'!$1:$1048576,$A168-1,COLUMN('1-DATA'!S167)),ROUND(INDEX('1-DATA'!$1:$1048576,IF(OR($B169="STD. DEVIATION",$C$1=1),$A169,$A169+1),COLUMN('1-DATA'!S167)),IF($B169="STD. DEVIATION",2,$F$1))))</f>
        <v/>
      </c>
      <c r="U169" s="1" t="str">
        <f>IF(OR($B169="",U$7=""),"",IF($B169="MEANS",INDEX('1-DATA'!$1:$1048576,$A168-1,COLUMN('1-DATA'!T167)),ROUND(INDEX('1-DATA'!$1:$1048576,IF(OR($B169="STD. DEVIATION",$C$1=1),$A169,$A169+1),COLUMN('1-DATA'!T167)),IF($B169="STD. DEVIATION",2,$F$1))))</f>
        <v/>
      </c>
      <c r="V169" s="1" t="str">
        <f>IF(OR($B169="",V$7=""),"",IF($B169="MEANS",INDEX('1-DATA'!$1:$1048576,$A168-1,COLUMN('1-DATA'!U167)),ROUND(INDEX('1-DATA'!$1:$1048576,IF(OR($B169="STD. DEVIATION",$C$1=1),$A169,$A169+1),COLUMN('1-DATA'!U167)),IF($B169="STD. DEVIATION",2,$F$1))))</f>
        <v/>
      </c>
      <c r="W169" s="1" t="str">
        <f>IF(OR($B169="",W$7=""),"",IF($B169="MEANS",INDEX('1-DATA'!$1:$1048576,$A168-1,COLUMN('1-DATA'!V167)),ROUND(INDEX('1-DATA'!$1:$1048576,IF(OR($B169="STD. DEVIATION",$C$1=1),$A169,$A169+1),COLUMN('1-DATA'!V167)),IF($B169="STD. DEVIATION",2,$F$1))))</f>
        <v/>
      </c>
      <c r="X169" s="1" t="str">
        <f>IF(OR($B169="",X$7=""),"",IF($B169="MEANS",INDEX('1-DATA'!$1:$1048576,$A168-1,COLUMN('1-DATA'!W167)),ROUND(INDEX('1-DATA'!$1:$1048576,IF(OR($B169="STD. DEVIATION",$C$1=1),$A169,$A169+1),COLUMN('1-DATA'!W167)),IF($B169="STD. DEVIATION",2,$F$1))))</f>
        <v/>
      </c>
      <c r="Y169" s="1" t="str">
        <f>IF(OR($B169="",Y$7=""),"",IF($B169="MEANS",INDEX('1-DATA'!$1:$1048576,$A168-1,COLUMN('1-DATA'!X167)),ROUND(INDEX('1-DATA'!$1:$1048576,IF(OR($B169="STD. DEVIATION",$C$1=1),$A169,$A169+1),COLUMN('1-DATA'!X167)),IF($B169="STD. DEVIATION",2,$F$1))))</f>
        <v/>
      </c>
      <c r="Z169" s="1" t="str">
        <f>IF(OR($B169="",Z$7=""),"",IF($B169="MEANS",INDEX('1-DATA'!$1:$1048576,$A168-1,COLUMN('1-DATA'!Y167)),ROUND(INDEX('1-DATA'!$1:$1048576,IF(OR($B169="STD. DEVIATION",$C$1=1),$A169,$A169+1),COLUMN('1-DATA'!Y167)),IF($B169="STD. DEVIATION",2,$F$1))))</f>
        <v/>
      </c>
      <c r="AA169" s="1" t="str">
        <f>IF(OR($B169="",AA$7=""),"",IF($B169="MEANS",INDEX('1-DATA'!$1:$1048576,$A168-1,COLUMN('1-DATA'!Z167)),ROUND(INDEX('1-DATA'!$1:$1048576,IF(OR($B169="STD. DEVIATION",$C$1=1),$A169,$A169+1),COLUMN('1-DATA'!Z167)),IF($B169="STD. DEVIATION",2,$F$1))))</f>
        <v/>
      </c>
      <c r="AB169" s="1" t="str">
        <f>IF(OR($B169="",AB$7=""),"",IF($B169="MEANS",INDEX('1-DATA'!$1:$1048576,$A168-1,COLUMN('1-DATA'!AA167)),ROUND(INDEX('1-DATA'!$1:$1048576,IF(OR($B169="STD. DEVIATION",$C$1=1),$A169,$A169+1),COLUMN('1-DATA'!AA167)),IF($B169="STD. DEVIATION",2,$F$1))))</f>
        <v/>
      </c>
      <c r="AC169" s="1" t="str">
        <f>IF(OR($B169="",AC$7=""),"",IF($B169="MEANS",INDEX('1-DATA'!$1:$1048576,$A168-1,COLUMN('1-DATA'!AB167)),ROUND(INDEX('1-DATA'!$1:$1048576,IF(OR($B169="STD. DEVIATION",$C$1=1),$A169,$A169+1),COLUMN('1-DATA'!AB167)),IF($B169="STD. DEVIATION",2,$F$1))))</f>
        <v/>
      </c>
      <c r="AD169" s="1" t="str">
        <f>IF(OR($B169="",AD$7=""),"",IF($B169="MEANS",INDEX('1-DATA'!$1:$1048576,$A168-1,COLUMN('1-DATA'!AC167)),ROUND(INDEX('1-DATA'!$1:$1048576,IF(OR($B169="STD. DEVIATION",$C$1=1),$A169,$A169+1),COLUMN('1-DATA'!AC167)),IF($B169="STD. DEVIATION",2,$F$1))))</f>
        <v/>
      </c>
      <c r="AE169" s="1" t="str">
        <f>IF(OR($B169="",AE$7=""),"",IF($B169="MEANS",INDEX('1-DATA'!$1:$1048576,$A168-1,COLUMN('1-DATA'!AD167)),ROUND(INDEX('1-DATA'!$1:$1048576,IF(OR($B169="STD. DEVIATION",$C$1=1),$A169,$A169+1),COLUMN('1-DATA'!AD167)),IF($B169="STD. DEVIATION",2,$F$1))))</f>
        <v/>
      </c>
      <c r="AF169" s="1" t="str">
        <f>IF(OR($B169="",AF$7=""),"",IF($B169="MEANS",INDEX('1-DATA'!$1:$1048576,$A168-1,COLUMN('1-DATA'!AE167)),ROUND(INDEX('1-DATA'!$1:$1048576,IF(OR($B169="STD. DEVIATION",$C$1=1),$A169,$A169+1),COLUMN('1-DATA'!AE167)),IF($B169="STD. DEVIATION",2,$F$1))))</f>
        <v/>
      </c>
      <c r="AG169" s="1" t="str">
        <f>IF(OR($B169="",AG$7=""),"",IF($B169="MEANS",INDEX('1-DATA'!$1:$1048576,$A168-1,COLUMN('1-DATA'!AF167)),ROUND(INDEX('1-DATA'!$1:$1048576,IF(OR($B169="STD. DEVIATION",$C$1=1),$A169,$A169+1),COLUMN('1-DATA'!AF167)),IF($B169="STD. DEVIATION",2,$F$1))))</f>
        <v/>
      </c>
      <c r="AH169" s="1" t="str">
        <f>IF(OR($B169="",AH$7=""),"",IF($B169="MEANS",INDEX('1-DATA'!$1:$1048576,$A168-1,COLUMN('1-DATA'!AG167)),ROUND(INDEX('1-DATA'!$1:$1048576,IF(OR($B169="STD. DEVIATION",$C$1=1),$A169,$A169+1),COLUMN('1-DATA'!AG167)),IF($B169="STD. DEVIATION",2,$F$1))))</f>
        <v/>
      </c>
      <c r="AI169" s="1" t="str">
        <f>IF(OR($B169="",AI$7=""),"",IF($B169="MEANS",INDEX('1-DATA'!$1:$1048576,$A168-1,COLUMN('1-DATA'!AH167)),ROUND(INDEX('1-DATA'!$1:$1048576,IF(OR($B169="STD. DEVIATION",$C$1=1),$A169,$A169+1),COLUMN('1-DATA'!AH167)),IF($B169="STD. DEVIATION",2,$F$1))))</f>
        <v/>
      </c>
      <c r="AJ169" s="1" t="str">
        <f>IF(OR($B169="",AJ$7=""),"",IF($B169="MEANS",INDEX('1-DATA'!$1:$1048576,$A168-1,COLUMN('1-DATA'!AI167)),ROUND(INDEX('1-DATA'!$1:$1048576,IF(OR($B169="STD. DEVIATION",$C$1=1),$A169,$A169+1),COLUMN('1-DATA'!AI167)),IF($B169="STD. DEVIATION",2,$F$1))))</f>
        <v/>
      </c>
      <c r="AK169" s="1" t="str">
        <f>IF(OR($B169="",AK$7=""),"",IF($B169="MEANS",INDEX('1-DATA'!$1:$1048576,$A168-1,COLUMN('1-DATA'!AJ167)),ROUND(INDEX('1-DATA'!$1:$1048576,IF(OR($B169="STD. DEVIATION",$C$1=1),$A169,$A169+1),COLUMN('1-DATA'!AJ167)),IF($B169="STD. DEVIATION",2,$F$1))))</f>
        <v/>
      </c>
      <c r="AL169" s="1" t="str">
        <f>IF(OR($B169="",AL$7=""),"",IF($B169="MEANS",INDEX('1-DATA'!$1:$1048576,$A168-1,COLUMN('1-DATA'!AK167)),ROUND(INDEX('1-DATA'!$1:$1048576,IF(OR($B169="STD. DEVIATION",$C$1=1),$A169,$A169+1),COLUMN('1-DATA'!AK167)),IF($B169="STD. DEVIATION",2,$F$1))))</f>
        <v/>
      </c>
      <c r="AM169" s="1" t="str">
        <f>IF(OR($B169="",AM$7=""),"",IF($B169="MEANS",INDEX('1-DATA'!$1:$1048576,$A168-1,COLUMN('1-DATA'!AL167)),ROUND(INDEX('1-DATA'!$1:$1048576,IF(OR($B169="STD. DEVIATION",$C$1=1),$A169,$A169+1),COLUMN('1-DATA'!AL167)),IF($B169="STD. DEVIATION",2,$F$1))))</f>
        <v/>
      </c>
      <c r="AN169" s="1" t="str">
        <f>IF(OR($B169="",AN$7=""),"",IF($B169="MEANS",INDEX('1-DATA'!$1:$1048576,$A168-1,COLUMN('1-DATA'!AM167)),ROUND(INDEX('1-DATA'!$1:$1048576,IF(OR($B169="STD. DEVIATION",$C$1=1),$A169,$A169+1),COLUMN('1-DATA'!AM167)),IF($B169="STD. DEVIATION",2,$F$1))))</f>
        <v/>
      </c>
      <c r="AO169" s="1" t="str">
        <f>IF(OR($B169="",AO$7=""),"",IF($B169="MEANS",INDEX('1-DATA'!$1:$1048576,$A168-1,COLUMN('1-DATA'!AN167)),ROUND(INDEX('1-DATA'!$1:$1048576,IF(OR($B169="STD. DEVIATION",$C$1=1),$A169,$A169+1),COLUMN('1-DATA'!AN167)),IF($B169="STD. DEVIATION",2,$F$1))))</f>
        <v/>
      </c>
      <c r="AP169" s="1" t="str">
        <f>IF(OR($B169="",AP$7=""),"",IF($B169="MEANS",INDEX('1-DATA'!$1:$1048576,$A168-1,COLUMN('1-DATA'!AO167)),ROUND(INDEX('1-DATA'!$1:$1048576,IF(OR($B169="STD. DEVIATION",$C$1=1),$A169,$A169+1),COLUMN('1-DATA'!AO167)),IF($B169="STD. DEVIATION",2,$F$1))))</f>
        <v/>
      </c>
      <c r="AQ169" s="1" t="str">
        <f>IF(OR($B169="",AQ$7=""),"",IF($B169="MEANS",INDEX('1-DATA'!$1:$1048576,$A168-1,COLUMN('1-DATA'!AP167)),ROUND(INDEX('1-DATA'!$1:$1048576,IF(OR($B169="STD. DEVIATION",$C$1=1),$A169,$A169+1),COLUMN('1-DATA'!AP167)),IF($B169="STD. DEVIATION",2,$F$1))))</f>
        <v/>
      </c>
      <c r="AR169" s="1" t="str">
        <f>IF(OR($B169="",AR$7=""),"",IF($B169="MEANS",INDEX('1-DATA'!$1:$1048576,$A168-1,COLUMN('1-DATA'!AQ167)),ROUND(INDEX('1-DATA'!$1:$1048576,IF(OR($B169="STD. DEVIATION",$C$1=1),$A169,$A169+1),COLUMN('1-DATA'!AQ167)),IF($B169="STD. DEVIATION",2,$F$1))))</f>
        <v/>
      </c>
      <c r="AS169" s="1" t="str">
        <f>IF(OR($B169="",AS$7=""),"",IF($B169="MEANS",INDEX('1-DATA'!$1:$1048576,$A168-1,COLUMN('1-DATA'!AR167)),ROUND(INDEX('1-DATA'!$1:$1048576,IF(OR($B169="STD. DEVIATION",$C$1=1),$A169,$A169+1),COLUMN('1-DATA'!AR167)),IF($B169="STD. DEVIATION",2,$F$1))))</f>
        <v/>
      </c>
      <c r="AT169" s="1" t="str">
        <f>IF(OR($B169="",AT$7=""),"",IF($B169="MEANS",INDEX('1-DATA'!$1:$1048576,$A168-1,COLUMN('1-DATA'!AS167)),ROUND(INDEX('1-DATA'!$1:$1048576,IF(OR($B169="STD. DEVIATION",$C$1=1),$A169,$A169+1),COLUMN('1-DATA'!AS167)),IF($B169="STD. DEVIATION",2,$F$1))))</f>
        <v/>
      </c>
      <c r="AU169" s="1" t="str">
        <f>IF(OR($B169="",AU$7=""),"",IF($B169="MEANS",INDEX('1-DATA'!$1:$1048576,$A168-1,COLUMN('1-DATA'!AT167)),ROUND(INDEX('1-DATA'!$1:$1048576,IF(OR($B169="STD. DEVIATION",$C$1=1),$A169,$A169+1),COLUMN('1-DATA'!AT167)),IF($B169="STD. DEVIATION",2,$F$1))))</f>
        <v/>
      </c>
      <c r="AV169" s="1" t="str">
        <f>IF(OR($B169="",AV$7=""),"",IF($B169="MEANS",INDEX('1-DATA'!$1:$1048576,$A168-1,COLUMN('1-DATA'!AU167)),ROUND(INDEX('1-DATA'!$1:$1048576,IF(OR($B169="STD. DEVIATION",$C$1=1),$A169,$A169+1),COLUMN('1-DATA'!AU167)),IF($B169="STD. DEVIATION",2,$F$1))))</f>
        <v/>
      </c>
      <c r="AW169" s="1" t="str">
        <f>IF(OR($B169="",AW$7=""),"",IF($B169="MEANS",INDEX('1-DATA'!$1:$1048576,$A168-1,COLUMN('1-DATA'!AV167)),ROUND(INDEX('1-DATA'!$1:$1048576,IF(OR($B169="STD. DEVIATION",$C$1=1),$A169,$A169+1),COLUMN('1-DATA'!AV167)),IF($B169="STD. DEVIATION",2,$F$1))))</f>
        <v/>
      </c>
      <c r="AX169" s="1" t="str">
        <f>IF(OR($B169="",AX$7=""),"",IF($B169="MEANS",INDEX('1-DATA'!$1:$1048576,$A168-1,COLUMN('1-DATA'!AW167)),ROUND(INDEX('1-DATA'!$1:$1048576,IF(OR($B169="STD. DEVIATION",$C$1=1),$A169,$A169+1),COLUMN('1-DATA'!AW167)),IF($B169="STD. DEVIATION",2,$F$1))))</f>
        <v/>
      </c>
      <c r="AY169" s="1" t="str">
        <f>IF(OR($B169="",AY$7=""),"",IF($B169="MEANS",INDEX('1-DATA'!$1:$1048576,$A168-1,COLUMN('1-DATA'!AX167)),ROUND(INDEX('1-DATA'!$1:$1048576,IF(OR($B169="STD. DEVIATION",$C$1=1),$A169,$A169+1),COLUMN('1-DATA'!AX167)),IF($B169="STD. DEVIATION",2,$F$1))))</f>
        <v/>
      </c>
      <c r="AZ169" s="1" t="str">
        <f>IF(OR($B169="",AZ$7=""),"",IF($B169="MEANS",INDEX('1-DATA'!$1:$1048576,$A168-1,COLUMN('1-DATA'!AY167)),ROUND(INDEX('1-DATA'!$1:$1048576,IF(OR($B169="STD. DEVIATION",$C$1=1),$A169,$A169+1),COLUMN('1-DATA'!AY167)),IF($B169="STD. DEVIATION",2,$F$1))))</f>
        <v/>
      </c>
    </row>
    <row r="170" spans="1:52" x14ac:dyDescent="0.25">
      <c r="A170" s="11">
        <f t="shared" si="3"/>
        <v>496</v>
      </c>
      <c r="B170" s="1" t="str">
        <f>IF(B169="STD. DEVIATION",INDEX('1-DATA'!$1:$1048576,$A169-1,1),IF(INDEX('1-DATA'!$1:$1048576,$A170,1)&lt;&gt;"",INDEX('1-DATA'!$1:$1048576,$A170,1),""))</f>
        <v/>
      </c>
      <c r="C170" s="1" t="str">
        <f>IF(OR($B170="",C$7=""),"",IF($B170="MEANS",INDEX('1-DATA'!$1:$1048576,$A169-1,COLUMN('1-DATA'!B168)),ROUND(INDEX('1-DATA'!$1:$1048576,IF(OR($B170="STD. DEVIATION",$C$1=1),$A170,$A170+1),COLUMN('1-DATA'!B168)),IF($B170="STD. DEVIATION",2,$F$1))))</f>
        <v/>
      </c>
      <c r="D170" s="1" t="str">
        <f>IF(OR($B170="",D$7=""),"",IF($B170="MEANS",INDEX('1-DATA'!$1:$1048576,$A169-1,COLUMN('1-DATA'!C168)),ROUND(INDEX('1-DATA'!$1:$1048576,IF(OR($B170="STD. DEVIATION",$C$1=1),$A170,$A170+1),COLUMN('1-DATA'!C168)),IF($B170="STD. DEVIATION",2,$F$1))))</f>
        <v/>
      </c>
      <c r="E170" s="1" t="str">
        <f>IF(OR($B170="",E$7=""),"",IF($B170="MEANS",INDEX('1-DATA'!$1:$1048576,$A169-1,COLUMN('1-DATA'!D168)),ROUND(INDEX('1-DATA'!$1:$1048576,IF(OR($B170="STD. DEVIATION",$C$1=1),$A170,$A170+1),COLUMN('1-DATA'!D168)),IF($B170="STD. DEVIATION",2,$F$1))))</f>
        <v/>
      </c>
      <c r="F170" s="1" t="str">
        <f>IF(OR($B170="",F$7=""),"",IF($B170="MEANS",INDEX('1-DATA'!$1:$1048576,$A169-1,COLUMN('1-DATA'!E168)),ROUND(INDEX('1-DATA'!$1:$1048576,IF(OR($B170="STD. DEVIATION",$C$1=1),$A170,$A170+1),COLUMN('1-DATA'!E168)),IF($B170="STD. DEVIATION",2,$F$1))))</f>
        <v/>
      </c>
      <c r="G170" s="1" t="str">
        <f>IF(OR($B170="",G$7=""),"",IF($B170="MEANS",INDEX('1-DATA'!$1:$1048576,$A169-1,COLUMN('1-DATA'!F168)),ROUND(INDEX('1-DATA'!$1:$1048576,IF(OR($B170="STD. DEVIATION",$C$1=1),$A170,$A170+1),COLUMN('1-DATA'!F168)),IF($B170="STD. DEVIATION",2,$F$1))))</f>
        <v/>
      </c>
      <c r="H170" s="1" t="str">
        <f>IF(OR($B170="",H$7=""),"",IF($B170="MEANS",INDEX('1-DATA'!$1:$1048576,$A169-1,COLUMN('1-DATA'!G168)),ROUND(INDEX('1-DATA'!$1:$1048576,IF(OR($B170="STD. DEVIATION",$C$1=1),$A170,$A170+1),COLUMN('1-DATA'!G168)),IF($B170="STD. DEVIATION",2,$F$1))))</f>
        <v/>
      </c>
      <c r="I170" s="1" t="str">
        <f>IF(OR($B170="",I$7=""),"",IF($B170="MEANS",INDEX('1-DATA'!$1:$1048576,$A169-1,COLUMN('1-DATA'!H168)),ROUND(INDEX('1-DATA'!$1:$1048576,IF(OR($B170="STD. DEVIATION",$C$1=1),$A170,$A170+1),COLUMN('1-DATA'!H168)),IF($B170="STD. DEVIATION",2,$F$1))))</f>
        <v/>
      </c>
      <c r="J170" s="1" t="str">
        <f>IF(OR($B170="",J$7=""),"",IF($B170="MEANS",INDEX('1-DATA'!$1:$1048576,$A169-1,COLUMN('1-DATA'!I168)),ROUND(INDEX('1-DATA'!$1:$1048576,IF(OR($B170="STD. DEVIATION",$C$1=1),$A170,$A170+1),COLUMN('1-DATA'!I168)),IF($B170="STD. DEVIATION",2,$F$1))))</f>
        <v/>
      </c>
      <c r="K170" s="1" t="str">
        <f>IF(OR($B170="",K$7=""),"",IF($B170="MEANS",INDEX('1-DATA'!$1:$1048576,$A169-1,COLUMN('1-DATA'!J168)),ROUND(INDEX('1-DATA'!$1:$1048576,IF(OR($B170="STD. DEVIATION",$C$1=1),$A170,$A170+1),COLUMN('1-DATA'!J168)),IF($B170="STD. DEVIATION",2,$F$1))))</f>
        <v/>
      </c>
      <c r="L170" s="1" t="str">
        <f>IF(OR($B170="",L$7=""),"",IF($B170="MEANS",INDEX('1-DATA'!$1:$1048576,$A169-1,COLUMN('1-DATA'!K168)),ROUND(INDEX('1-DATA'!$1:$1048576,IF(OR($B170="STD. DEVIATION",$C$1=1),$A170,$A170+1),COLUMN('1-DATA'!K168)),IF($B170="STD. DEVIATION",2,$F$1))))</f>
        <v/>
      </c>
      <c r="M170" s="1" t="str">
        <f>IF(OR($B170="",M$7=""),"",IF($B170="MEANS",INDEX('1-DATA'!$1:$1048576,$A169-1,COLUMN('1-DATA'!L168)),ROUND(INDEX('1-DATA'!$1:$1048576,IF(OR($B170="STD. DEVIATION",$C$1=1),$A170,$A170+1),COLUMN('1-DATA'!L168)),IF($B170="STD. DEVIATION",2,$F$1))))</f>
        <v/>
      </c>
      <c r="N170" s="1" t="str">
        <f>IF(OR($B170="",N$7=""),"",IF($B170="MEANS",INDEX('1-DATA'!$1:$1048576,$A169-1,COLUMN('1-DATA'!M168)),ROUND(INDEX('1-DATA'!$1:$1048576,IF(OR($B170="STD. DEVIATION",$C$1=1),$A170,$A170+1),COLUMN('1-DATA'!M168)),IF($B170="STD. DEVIATION",2,$F$1))))</f>
        <v/>
      </c>
      <c r="O170" s="1" t="str">
        <f>IF(OR($B170="",O$7=""),"",IF($B170="MEANS",INDEX('1-DATA'!$1:$1048576,$A169-1,COLUMN('1-DATA'!N168)),ROUND(INDEX('1-DATA'!$1:$1048576,IF(OR($B170="STD. DEVIATION",$C$1=1),$A170,$A170+1),COLUMN('1-DATA'!N168)),IF($B170="STD. DEVIATION",2,$F$1))))</f>
        <v/>
      </c>
      <c r="P170" s="1" t="str">
        <f>IF(OR($B170="",P$7=""),"",IF($B170="MEANS",INDEX('1-DATA'!$1:$1048576,$A169-1,COLUMN('1-DATA'!O168)),ROUND(INDEX('1-DATA'!$1:$1048576,IF(OR($B170="STD. DEVIATION",$C$1=1),$A170,$A170+1),COLUMN('1-DATA'!O168)),IF($B170="STD. DEVIATION",2,$F$1))))</f>
        <v/>
      </c>
      <c r="Q170" s="1" t="str">
        <f>IF(OR($B170="",Q$7=""),"",IF($B170="MEANS",INDEX('1-DATA'!$1:$1048576,$A169-1,COLUMN('1-DATA'!P168)),ROUND(INDEX('1-DATA'!$1:$1048576,IF(OR($B170="STD. DEVIATION",$C$1=1),$A170,$A170+1),COLUMN('1-DATA'!P168)),IF($B170="STD. DEVIATION",2,$F$1))))</f>
        <v/>
      </c>
      <c r="R170" s="1" t="str">
        <f>IF(OR($B170="",R$7=""),"",IF($B170="MEANS",INDEX('1-DATA'!$1:$1048576,$A169-1,COLUMN('1-DATA'!Q168)),ROUND(INDEX('1-DATA'!$1:$1048576,IF(OR($B170="STD. DEVIATION",$C$1=1),$A170,$A170+1),COLUMN('1-DATA'!Q168)),IF($B170="STD. DEVIATION",2,$F$1))))</f>
        <v/>
      </c>
      <c r="S170" s="1" t="str">
        <f>IF(OR($B170="",S$7=""),"",IF($B170="MEANS",INDEX('1-DATA'!$1:$1048576,$A169-1,COLUMN('1-DATA'!R168)),ROUND(INDEX('1-DATA'!$1:$1048576,IF(OR($B170="STD. DEVIATION",$C$1=1),$A170,$A170+1),COLUMN('1-DATA'!R168)),IF($B170="STD. DEVIATION",2,$F$1))))</f>
        <v/>
      </c>
      <c r="T170" s="1" t="str">
        <f>IF(OR($B170="",T$7=""),"",IF($B170="MEANS",INDEX('1-DATA'!$1:$1048576,$A169-1,COLUMN('1-DATA'!S168)),ROUND(INDEX('1-DATA'!$1:$1048576,IF(OR($B170="STD. DEVIATION",$C$1=1),$A170,$A170+1),COLUMN('1-DATA'!S168)),IF($B170="STD. DEVIATION",2,$F$1))))</f>
        <v/>
      </c>
      <c r="U170" s="1" t="str">
        <f>IF(OR($B170="",U$7=""),"",IF($B170="MEANS",INDEX('1-DATA'!$1:$1048576,$A169-1,COLUMN('1-DATA'!T168)),ROUND(INDEX('1-DATA'!$1:$1048576,IF(OR($B170="STD. DEVIATION",$C$1=1),$A170,$A170+1),COLUMN('1-DATA'!T168)),IF($B170="STD. DEVIATION",2,$F$1))))</f>
        <v/>
      </c>
      <c r="V170" s="1" t="str">
        <f>IF(OR($B170="",V$7=""),"",IF($B170="MEANS",INDEX('1-DATA'!$1:$1048576,$A169-1,COLUMN('1-DATA'!U168)),ROUND(INDEX('1-DATA'!$1:$1048576,IF(OR($B170="STD. DEVIATION",$C$1=1),$A170,$A170+1),COLUMN('1-DATA'!U168)),IF($B170="STD. DEVIATION",2,$F$1))))</f>
        <v/>
      </c>
      <c r="W170" s="1" t="str">
        <f>IF(OR($B170="",W$7=""),"",IF($B170="MEANS",INDEX('1-DATA'!$1:$1048576,$A169-1,COLUMN('1-DATA'!V168)),ROUND(INDEX('1-DATA'!$1:$1048576,IF(OR($B170="STD. DEVIATION",$C$1=1),$A170,$A170+1),COLUMN('1-DATA'!V168)),IF($B170="STD. DEVIATION",2,$F$1))))</f>
        <v/>
      </c>
      <c r="X170" s="1" t="str">
        <f>IF(OR($B170="",X$7=""),"",IF($B170="MEANS",INDEX('1-DATA'!$1:$1048576,$A169-1,COLUMN('1-DATA'!W168)),ROUND(INDEX('1-DATA'!$1:$1048576,IF(OR($B170="STD. DEVIATION",$C$1=1),$A170,$A170+1),COLUMN('1-DATA'!W168)),IF($B170="STD. DEVIATION",2,$F$1))))</f>
        <v/>
      </c>
      <c r="Y170" s="1" t="str">
        <f>IF(OR($B170="",Y$7=""),"",IF($B170="MEANS",INDEX('1-DATA'!$1:$1048576,$A169-1,COLUMN('1-DATA'!X168)),ROUND(INDEX('1-DATA'!$1:$1048576,IF(OR($B170="STD. DEVIATION",$C$1=1),$A170,$A170+1),COLUMN('1-DATA'!X168)),IF($B170="STD. DEVIATION",2,$F$1))))</f>
        <v/>
      </c>
      <c r="Z170" s="1" t="str">
        <f>IF(OR($B170="",Z$7=""),"",IF($B170="MEANS",INDEX('1-DATA'!$1:$1048576,$A169-1,COLUMN('1-DATA'!Y168)),ROUND(INDEX('1-DATA'!$1:$1048576,IF(OR($B170="STD. DEVIATION",$C$1=1),$A170,$A170+1),COLUMN('1-DATA'!Y168)),IF($B170="STD. DEVIATION",2,$F$1))))</f>
        <v/>
      </c>
      <c r="AA170" s="1" t="str">
        <f>IF(OR($B170="",AA$7=""),"",IF($B170="MEANS",INDEX('1-DATA'!$1:$1048576,$A169-1,COLUMN('1-DATA'!Z168)),ROUND(INDEX('1-DATA'!$1:$1048576,IF(OR($B170="STD. DEVIATION",$C$1=1),$A170,$A170+1),COLUMN('1-DATA'!Z168)),IF($B170="STD. DEVIATION",2,$F$1))))</f>
        <v/>
      </c>
      <c r="AB170" s="1" t="str">
        <f>IF(OR($B170="",AB$7=""),"",IF($B170="MEANS",INDEX('1-DATA'!$1:$1048576,$A169-1,COLUMN('1-DATA'!AA168)),ROUND(INDEX('1-DATA'!$1:$1048576,IF(OR($B170="STD. DEVIATION",$C$1=1),$A170,$A170+1),COLUMN('1-DATA'!AA168)),IF($B170="STD. DEVIATION",2,$F$1))))</f>
        <v/>
      </c>
      <c r="AC170" s="1" t="str">
        <f>IF(OR($B170="",AC$7=""),"",IF($B170="MEANS",INDEX('1-DATA'!$1:$1048576,$A169-1,COLUMN('1-DATA'!AB168)),ROUND(INDEX('1-DATA'!$1:$1048576,IF(OR($B170="STD. DEVIATION",$C$1=1),$A170,$A170+1),COLUMN('1-DATA'!AB168)),IF($B170="STD. DEVIATION",2,$F$1))))</f>
        <v/>
      </c>
      <c r="AD170" s="1" t="str">
        <f>IF(OR($B170="",AD$7=""),"",IF($B170="MEANS",INDEX('1-DATA'!$1:$1048576,$A169-1,COLUMN('1-DATA'!AC168)),ROUND(INDEX('1-DATA'!$1:$1048576,IF(OR($B170="STD. DEVIATION",$C$1=1),$A170,$A170+1),COLUMN('1-DATA'!AC168)),IF($B170="STD. DEVIATION",2,$F$1))))</f>
        <v/>
      </c>
      <c r="AE170" s="1" t="str">
        <f>IF(OR($B170="",AE$7=""),"",IF($B170="MEANS",INDEX('1-DATA'!$1:$1048576,$A169-1,COLUMN('1-DATA'!AD168)),ROUND(INDEX('1-DATA'!$1:$1048576,IF(OR($B170="STD. DEVIATION",$C$1=1),$A170,$A170+1),COLUMN('1-DATA'!AD168)),IF($B170="STD. DEVIATION",2,$F$1))))</f>
        <v/>
      </c>
      <c r="AF170" s="1" t="str">
        <f>IF(OR($B170="",AF$7=""),"",IF($B170="MEANS",INDEX('1-DATA'!$1:$1048576,$A169-1,COLUMN('1-DATA'!AE168)),ROUND(INDEX('1-DATA'!$1:$1048576,IF(OR($B170="STD. DEVIATION",$C$1=1),$A170,$A170+1),COLUMN('1-DATA'!AE168)),IF($B170="STD. DEVIATION",2,$F$1))))</f>
        <v/>
      </c>
      <c r="AG170" s="1" t="str">
        <f>IF(OR($B170="",AG$7=""),"",IF($B170="MEANS",INDEX('1-DATA'!$1:$1048576,$A169-1,COLUMN('1-DATA'!AF168)),ROUND(INDEX('1-DATA'!$1:$1048576,IF(OR($B170="STD. DEVIATION",$C$1=1),$A170,$A170+1),COLUMN('1-DATA'!AF168)),IF($B170="STD. DEVIATION",2,$F$1))))</f>
        <v/>
      </c>
      <c r="AH170" s="1" t="str">
        <f>IF(OR($B170="",AH$7=""),"",IF($B170="MEANS",INDEX('1-DATA'!$1:$1048576,$A169-1,COLUMN('1-DATA'!AG168)),ROUND(INDEX('1-DATA'!$1:$1048576,IF(OR($B170="STD. DEVIATION",$C$1=1),$A170,$A170+1),COLUMN('1-DATA'!AG168)),IF($B170="STD. DEVIATION",2,$F$1))))</f>
        <v/>
      </c>
      <c r="AI170" s="1" t="str">
        <f>IF(OR($B170="",AI$7=""),"",IF($B170="MEANS",INDEX('1-DATA'!$1:$1048576,$A169-1,COLUMN('1-DATA'!AH168)),ROUND(INDEX('1-DATA'!$1:$1048576,IF(OR($B170="STD. DEVIATION",$C$1=1),$A170,$A170+1),COLUMN('1-DATA'!AH168)),IF($B170="STD. DEVIATION",2,$F$1))))</f>
        <v/>
      </c>
      <c r="AJ170" s="1" t="str">
        <f>IF(OR($B170="",AJ$7=""),"",IF($B170="MEANS",INDEX('1-DATA'!$1:$1048576,$A169-1,COLUMN('1-DATA'!AI168)),ROUND(INDEX('1-DATA'!$1:$1048576,IF(OR($B170="STD. DEVIATION",$C$1=1),$A170,$A170+1),COLUMN('1-DATA'!AI168)),IF($B170="STD. DEVIATION",2,$F$1))))</f>
        <v/>
      </c>
      <c r="AK170" s="1" t="str">
        <f>IF(OR($B170="",AK$7=""),"",IF($B170="MEANS",INDEX('1-DATA'!$1:$1048576,$A169-1,COLUMN('1-DATA'!AJ168)),ROUND(INDEX('1-DATA'!$1:$1048576,IF(OR($B170="STD. DEVIATION",$C$1=1),$A170,$A170+1),COLUMN('1-DATA'!AJ168)),IF($B170="STD. DEVIATION",2,$F$1))))</f>
        <v/>
      </c>
      <c r="AL170" s="1" t="str">
        <f>IF(OR($B170="",AL$7=""),"",IF($B170="MEANS",INDEX('1-DATA'!$1:$1048576,$A169-1,COLUMN('1-DATA'!AK168)),ROUND(INDEX('1-DATA'!$1:$1048576,IF(OR($B170="STD. DEVIATION",$C$1=1),$A170,$A170+1),COLUMN('1-DATA'!AK168)),IF($B170="STD. DEVIATION",2,$F$1))))</f>
        <v/>
      </c>
      <c r="AM170" s="1" t="str">
        <f>IF(OR($B170="",AM$7=""),"",IF($B170="MEANS",INDEX('1-DATA'!$1:$1048576,$A169-1,COLUMN('1-DATA'!AL168)),ROUND(INDEX('1-DATA'!$1:$1048576,IF(OR($B170="STD. DEVIATION",$C$1=1),$A170,$A170+1),COLUMN('1-DATA'!AL168)),IF($B170="STD. DEVIATION",2,$F$1))))</f>
        <v/>
      </c>
      <c r="AN170" s="1" t="str">
        <f>IF(OR($B170="",AN$7=""),"",IF($B170="MEANS",INDEX('1-DATA'!$1:$1048576,$A169-1,COLUMN('1-DATA'!AM168)),ROUND(INDEX('1-DATA'!$1:$1048576,IF(OR($B170="STD. DEVIATION",$C$1=1),$A170,$A170+1),COLUMN('1-DATA'!AM168)),IF($B170="STD. DEVIATION",2,$F$1))))</f>
        <v/>
      </c>
      <c r="AO170" s="1" t="str">
        <f>IF(OR($B170="",AO$7=""),"",IF($B170="MEANS",INDEX('1-DATA'!$1:$1048576,$A169-1,COLUMN('1-DATA'!AN168)),ROUND(INDEX('1-DATA'!$1:$1048576,IF(OR($B170="STD. DEVIATION",$C$1=1),$A170,$A170+1),COLUMN('1-DATA'!AN168)),IF($B170="STD. DEVIATION",2,$F$1))))</f>
        <v/>
      </c>
      <c r="AP170" s="1" t="str">
        <f>IF(OR($B170="",AP$7=""),"",IF($B170="MEANS",INDEX('1-DATA'!$1:$1048576,$A169-1,COLUMN('1-DATA'!AO168)),ROUND(INDEX('1-DATA'!$1:$1048576,IF(OR($B170="STD. DEVIATION",$C$1=1),$A170,$A170+1),COLUMN('1-DATA'!AO168)),IF($B170="STD. DEVIATION",2,$F$1))))</f>
        <v/>
      </c>
      <c r="AQ170" s="1" t="str">
        <f>IF(OR($B170="",AQ$7=""),"",IF($B170="MEANS",INDEX('1-DATA'!$1:$1048576,$A169-1,COLUMN('1-DATA'!AP168)),ROUND(INDEX('1-DATA'!$1:$1048576,IF(OR($B170="STD. DEVIATION",$C$1=1),$A170,$A170+1),COLUMN('1-DATA'!AP168)),IF($B170="STD. DEVIATION",2,$F$1))))</f>
        <v/>
      </c>
      <c r="AR170" s="1" t="str">
        <f>IF(OR($B170="",AR$7=""),"",IF($B170="MEANS",INDEX('1-DATA'!$1:$1048576,$A169-1,COLUMN('1-DATA'!AQ168)),ROUND(INDEX('1-DATA'!$1:$1048576,IF(OR($B170="STD. DEVIATION",$C$1=1),$A170,$A170+1),COLUMN('1-DATA'!AQ168)),IF($B170="STD. DEVIATION",2,$F$1))))</f>
        <v/>
      </c>
      <c r="AS170" s="1" t="str">
        <f>IF(OR($B170="",AS$7=""),"",IF($B170="MEANS",INDEX('1-DATA'!$1:$1048576,$A169-1,COLUMN('1-DATA'!AR168)),ROUND(INDEX('1-DATA'!$1:$1048576,IF(OR($B170="STD. DEVIATION",$C$1=1),$A170,$A170+1),COLUMN('1-DATA'!AR168)),IF($B170="STD. DEVIATION",2,$F$1))))</f>
        <v/>
      </c>
      <c r="AT170" s="1" t="str">
        <f>IF(OR($B170="",AT$7=""),"",IF($B170="MEANS",INDEX('1-DATA'!$1:$1048576,$A169-1,COLUMN('1-DATA'!AS168)),ROUND(INDEX('1-DATA'!$1:$1048576,IF(OR($B170="STD. DEVIATION",$C$1=1),$A170,$A170+1),COLUMN('1-DATA'!AS168)),IF($B170="STD. DEVIATION",2,$F$1))))</f>
        <v/>
      </c>
      <c r="AU170" s="1" t="str">
        <f>IF(OR($B170="",AU$7=""),"",IF($B170="MEANS",INDEX('1-DATA'!$1:$1048576,$A169-1,COLUMN('1-DATA'!AT168)),ROUND(INDEX('1-DATA'!$1:$1048576,IF(OR($B170="STD. DEVIATION",$C$1=1),$A170,$A170+1),COLUMN('1-DATA'!AT168)),IF($B170="STD. DEVIATION",2,$F$1))))</f>
        <v/>
      </c>
      <c r="AV170" s="1" t="str">
        <f>IF(OR($B170="",AV$7=""),"",IF($B170="MEANS",INDEX('1-DATA'!$1:$1048576,$A169-1,COLUMN('1-DATA'!AU168)),ROUND(INDEX('1-DATA'!$1:$1048576,IF(OR($B170="STD. DEVIATION",$C$1=1),$A170,$A170+1),COLUMN('1-DATA'!AU168)),IF($B170="STD. DEVIATION",2,$F$1))))</f>
        <v/>
      </c>
      <c r="AW170" s="1" t="str">
        <f>IF(OR($B170="",AW$7=""),"",IF($B170="MEANS",INDEX('1-DATA'!$1:$1048576,$A169-1,COLUMN('1-DATA'!AV168)),ROUND(INDEX('1-DATA'!$1:$1048576,IF(OR($B170="STD. DEVIATION",$C$1=1),$A170,$A170+1),COLUMN('1-DATA'!AV168)),IF($B170="STD. DEVIATION",2,$F$1))))</f>
        <v/>
      </c>
      <c r="AX170" s="1" t="str">
        <f>IF(OR($B170="",AX$7=""),"",IF($B170="MEANS",INDEX('1-DATA'!$1:$1048576,$A169-1,COLUMN('1-DATA'!AW168)),ROUND(INDEX('1-DATA'!$1:$1048576,IF(OR($B170="STD. DEVIATION",$C$1=1),$A170,$A170+1),COLUMN('1-DATA'!AW168)),IF($B170="STD. DEVIATION",2,$F$1))))</f>
        <v/>
      </c>
      <c r="AY170" s="1" t="str">
        <f>IF(OR($B170="",AY$7=""),"",IF($B170="MEANS",INDEX('1-DATA'!$1:$1048576,$A169-1,COLUMN('1-DATA'!AX168)),ROUND(INDEX('1-DATA'!$1:$1048576,IF(OR($B170="STD. DEVIATION",$C$1=1),$A170,$A170+1),COLUMN('1-DATA'!AX168)),IF($B170="STD. DEVIATION",2,$F$1))))</f>
        <v/>
      </c>
      <c r="AZ170" s="1" t="str">
        <f>IF(OR($B170="",AZ$7=""),"",IF($B170="MEANS",INDEX('1-DATA'!$1:$1048576,$A169-1,COLUMN('1-DATA'!AY168)),ROUND(INDEX('1-DATA'!$1:$1048576,IF(OR($B170="STD. DEVIATION",$C$1=1),$A170,$A170+1),COLUMN('1-DATA'!AY168)),IF($B170="STD. DEVIATION",2,$F$1))))</f>
        <v/>
      </c>
    </row>
    <row r="171" spans="1:52" x14ac:dyDescent="0.25">
      <c r="A171" s="11">
        <f t="shared" si="3"/>
        <v>499</v>
      </c>
      <c r="B171" s="1" t="str">
        <f>IF(B170="STD. DEVIATION",INDEX('1-DATA'!$1:$1048576,$A170-1,1),IF(INDEX('1-DATA'!$1:$1048576,$A171,1)&lt;&gt;"",INDEX('1-DATA'!$1:$1048576,$A171,1),""))</f>
        <v/>
      </c>
      <c r="C171" s="1" t="str">
        <f>IF(OR($B171="",C$7=""),"",IF($B171="MEANS",INDEX('1-DATA'!$1:$1048576,$A170-1,COLUMN('1-DATA'!B169)),ROUND(INDEX('1-DATA'!$1:$1048576,IF(OR($B171="STD. DEVIATION",$C$1=1),$A171,$A171+1),COLUMN('1-DATA'!B169)),IF($B171="STD. DEVIATION",2,$F$1))))</f>
        <v/>
      </c>
      <c r="D171" s="1" t="str">
        <f>IF(OR($B171="",D$7=""),"",IF($B171="MEANS",INDEX('1-DATA'!$1:$1048576,$A170-1,COLUMN('1-DATA'!C169)),ROUND(INDEX('1-DATA'!$1:$1048576,IF(OR($B171="STD. DEVIATION",$C$1=1),$A171,$A171+1),COLUMN('1-DATA'!C169)),IF($B171="STD. DEVIATION",2,$F$1))))</f>
        <v/>
      </c>
      <c r="E171" s="1" t="str">
        <f>IF(OR($B171="",E$7=""),"",IF($B171="MEANS",INDEX('1-DATA'!$1:$1048576,$A170-1,COLUMN('1-DATA'!D169)),ROUND(INDEX('1-DATA'!$1:$1048576,IF(OR($B171="STD. DEVIATION",$C$1=1),$A171,$A171+1),COLUMN('1-DATA'!D169)),IF($B171="STD. DEVIATION",2,$F$1))))</f>
        <v/>
      </c>
      <c r="F171" s="1" t="str">
        <f>IF(OR($B171="",F$7=""),"",IF($B171="MEANS",INDEX('1-DATA'!$1:$1048576,$A170-1,COLUMN('1-DATA'!E169)),ROUND(INDEX('1-DATA'!$1:$1048576,IF(OR($B171="STD. DEVIATION",$C$1=1),$A171,$A171+1),COLUMN('1-DATA'!E169)),IF($B171="STD. DEVIATION",2,$F$1))))</f>
        <v/>
      </c>
      <c r="G171" s="1" t="str">
        <f>IF(OR($B171="",G$7=""),"",IF($B171="MEANS",INDEX('1-DATA'!$1:$1048576,$A170-1,COLUMN('1-DATA'!F169)),ROUND(INDEX('1-DATA'!$1:$1048576,IF(OR($B171="STD. DEVIATION",$C$1=1),$A171,$A171+1),COLUMN('1-DATA'!F169)),IF($B171="STD. DEVIATION",2,$F$1))))</f>
        <v/>
      </c>
      <c r="H171" s="1" t="str">
        <f>IF(OR($B171="",H$7=""),"",IF($B171="MEANS",INDEX('1-DATA'!$1:$1048576,$A170-1,COLUMN('1-DATA'!G169)),ROUND(INDEX('1-DATA'!$1:$1048576,IF(OR($B171="STD. DEVIATION",$C$1=1),$A171,$A171+1),COLUMN('1-DATA'!G169)),IF($B171="STD. DEVIATION",2,$F$1))))</f>
        <v/>
      </c>
      <c r="I171" s="1" t="str">
        <f>IF(OR($B171="",I$7=""),"",IF($B171="MEANS",INDEX('1-DATA'!$1:$1048576,$A170-1,COLUMN('1-DATA'!H169)),ROUND(INDEX('1-DATA'!$1:$1048576,IF(OR($B171="STD. DEVIATION",$C$1=1),$A171,$A171+1),COLUMN('1-DATA'!H169)),IF($B171="STD. DEVIATION",2,$F$1))))</f>
        <v/>
      </c>
      <c r="J171" s="1" t="str">
        <f>IF(OR($B171="",J$7=""),"",IF($B171="MEANS",INDEX('1-DATA'!$1:$1048576,$A170-1,COLUMN('1-DATA'!I169)),ROUND(INDEX('1-DATA'!$1:$1048576,IF(OR($B171="STD. DEVIATION",$C$1=1),$A171,$A171+1),COLUMN('1-DATA'!I169)),IF($B171="STD. DEVIATION",2,$F$1))))</f>
        <v/>
      </c>
      <c r="K171" s="1" t="str">
        <f>IF(OR($B171="",K$7=""),"",IF($B171="MEANS",INDEX('1-DATA'!$1:$1048576,$A170-1,COLUMN('1-DATA'!J169)),ROUND(INDEX('1-DATA'!$1:$1048576,IF(OR($B171="STD. DEVIATION",$C$1=1),$A171,$A171+1),COLUMN('1-DATA'!J169)),IF($B171="STD. DEVIATION",2,$F$1))))</f>
        <v/>
      </c>
      <c r="L171" s="1" t="str">
        <f>IF(OR($B171="",L$7=""),"",IF($B171="MEANS",INDEX('1-DATA'!$1:$1048576,$A170-1,COLUMN('1-DATA'!K169)),ROUND(INDEX('1-DATA'!$1:$1048576,IF(OR($B171="STD. DEVIATION",$C$1=1),$A171,$A171+1),COLUMN('1-DATA'!K169)),IF($B171="STD. DEVIATION",2,$F$1))))</f>
        <v/>
      </c>
      <c r="M171" s="1" t="str">
        <f>IF(OR($B171="",M$7=""),"",IF($B171="MEANS",INDEX('1-DATA'!$1:$1048576,$A170-1,COLUMN('1-DATA'!L169)),ROUND(INDEX('1-DATA'!$1:$1048576,IF(OR($B171="STD. DEVIATION",$C$1=1),$A171,$A171+1),COLUMN('1-DATA'!L169)),IF($B171="STD. DEVIATION",2,$F$1))))</f>
        <v/>
      </c>
      <c r="N171" s="1" t="str">
        <f>IF(OR($B171="",N$7=""),"",IF($B171="MEANS",INDEX('1-DATA'!$1:$1048576,$A170-1,COLUMN('1-DATA'!M169)),ROUND(INDEX('1-DATA'!$1:$1048576,IF(OR($B171="STD. DEVIATION",$C$1=1),$A171,$A171+1),COLUMN('1-DATA'!M169)),IF($B171="STD. DEVIATION",2,$F$1))))</f>
        <v/>
      </c>
      <c r="O171" s="1" t="str">
        <f>IF(OR($B171="",O$7=""),"",IF($B171="MEANS",INDEX('1-DATA'!$1:$1048576,$A170-1,COLUMN('1-DATA'!N169)),ROUND(INDEX('1-DATA'!$1:$1048576,IF(OR($B171="STD. DEVIATION",$C$1=1),$A171,$A171+1),COLUMN('1-DATA'!N169)),IF($B171="STD. DEVIATION",2,$F$1))))</f>
        <v/>
      </c>
      <c r="P171" s="1" t="str">
        <f>IF(OR($B171="",P$7=""),"",IF($B171="MEANS",INDEX('1-DATA'!$1:$1048576,$A170-1,COLUMN('1-DATA'!O169)),ROUND(INDEX('1-DATA'!$1:$1048576,IF(OR($B171="STD. DEVIATION",$C$1=1),$A171,$A171+1),COLUMN('1-DATA'!O169)),IF($B171="STD. DEVIATION",2,$F$1))))</f>
        <v/>
      </c>
      <c r="Q171" s="1" t="str">
        <f>IF(OR($B171="",Q$7=""),"",IF($B171="MEANS",INDEX('1-DATA'!$1:$1048576,$A170-1,COLUMN('1-DATA'!P169)),ROUND(INDEX('1-DATA'!$1:$1048576,IF(OR($B171="STD. DEVIATION",$C$1=1),$A171,$A171+1),COLUMN('1-DATA'!P169)),IF($B171="STD. DEVIATION",2,$F$1))))</f>
        <v/>
      </c>
      <c r="R171" s="1" t="str">
        <f>IF(OR($B171="",R$7=""),"",IF($B171="MEANS",INDEX('1-DATA'!$1:$1048576,$A170-1,COLUMN('1-DATA'!Q169)),ROUND(INDEX('1-DATA'!$1:$1048576,IF(OR($B171="STD. DEVIATION",$C$1=1),$A171,$A171+1),COLUMN('1-DATA'!Q169)),IF($B171="STD. DEVIATION",2,$F$1))))</f>
        <v/>
      </c>
      <c r="S171" s="1" t="str">
        <f>IF(OR($B171="",S$7=""),"",IF($B171="MEANS",INDEX('1-DATA'!$1:$1048576,$A170-1,COLUMN('1-DATA'!R169)),ROUND(INDEX('1-DATA'!$1:$1048576,IF(OR($B171="STD. DEVIATION",$C$1=1),$A171,$A171+1),COLUMN('1-DATA'!R169)),IF($B171="STD. DEVIATION",2,$F$1))))</f>
        <v/>
      </c>
      <c r="T171" s="1" t="str">
        <f>IF(OR($B171="",T$7=""),"",IF($B171="MEANS",INDEX('1-DATA'!$1:$1048576,$A170-1,COLUMN('1-DATA'!S169)),ROUND(INDEX('1-DATA'!$1:$1048576,IF(OR($B171="STD. DEVIATION",$C$1=1),$A171,$A171+1),COLUMN('1-DATA'!S169)),IF($B171="STD. DEVIATION",2,$F$1))))</f>
        <v/>
      </c>
      <c r="U171" s="1" t="str">
        <f>IF(OR($B171="",U$7=""),"",IF($B171="MEANS",INDEX('1-DATA'!$1:$1048576,$A170-1,COLUMN('1-DATA'!T169)),ROUND(INDEX('1-DATA'!$1:$1048576,IF(OR($B171="STD. DEVIATION",$C$1=1),$A171,$A171+1),COLUMN('1-DATA'!T169)),IF($B171="STD. DEVIATION",2,$F$1))))</f>
        <v/>
      </c>
      <c r="V171" s="1" t="str">
        <f>IF(OR($B171="",V$7=""),"",IF($B171="MEANS",INDEX('1-DATA'!$1:$1048576,$A170-1,COLUMN('1-DATA'!U169)),ROUND(INDEX('1-DATA'!$1:$1048576,IF(OR($B171="STD. DEVIATION",$C$1=1),$A171,$A171+1),COLUMN('1-DATA'!U169)),IF($B171="STD. DEVIATION",2,$F$1))))</f>
        <v/>
      </c>
      <c r="W171" s="1" t="str">
        <f>IF(OR($B171="",W$7=""),"",IF($B171="MEANS",INDEX('1-DATA'!$1:$1048576,$A170-1,COLUMN('1-DATA'!V169)),ROUND(INDEX('1-DATA'!$1:$1048576,IF(OR($B171="STD. DEVIATION",$C$1=1),$A171,$A171+1),COLUMN('1-DATA'!V169)),IF($B171="STD. DEVIATION",2,$F$1))))</f>
        <v/>
      </c>
      <c r="X171" s="1" t="str">
        <f>IF(OR($B171="",X$7=""),"",IF($B171="MEANS",INDEX('1-DATA'!$1:$1048576,$A170-1,COLUMN('1-DATA'!W169)),ROUND(INDEX('1-DATA'!$1:$1048576,IF(OR($B171="STD. DEVIATION",$C$1=1),$A171,$A171+1),COLUMN('1-DATA'!W169)),IF($B171="STD. DEVIATION",2,$F$1))))</f>
        <v/>
      </c>
      <c r="Y171" s="1" t="str">
        <f>IF(OR($B171="",Y$7=""),"",IF($B171="MEANS",INDEX('1-DATA'!$1:$1048576,$A170-1,COLUMN('1-DATA'!X169)),ROUND(INDEX('1-DATA'!$1:$1048576,IF(OR($B171="STD. DEVIATION",$C$1=1),$A171,$A171+1),COLUMN('1-DATA'!X169)),IF($B171="STD. DEVIATION",2,$F$1))))</f>
        <v/>
      </c>
      <c r="Z171" s="1" t="str">
        <f>IF(OR($B171="",Z$7=""),"",IF($B171="MEANS",INDEX('1-DATA'!$1:$1048576,$A170-1,COLUMN('1-DATA'!Y169)),ROUND(INDEX('1-DATA'!$1:$1048576,IF(OR($B171="STD. DEVIATION",$C$1=1),$A171,$A171+1),COLUMN('1-DATA'!Y169)),IF($B171="STD. DEVIATION",2,$F$1))))</f>
        <v/>
      </c>
      <c r="AA171" s="1" t="str">
        <f>IF(OR($B171="",AA$7=""),"",IF($B171="MEANS",INDEX('1-DATA'!$1:$1048576,$A170-1,COLUMN('1-DATA'!Z169)),ROUND(INDEX('1-DATA'!$1:$1048576,IF(OR($B171="STD. DEVIATION",$C$1=1),$A171,$A171+1),COLUMN('1-DATA'!Z169)),IF($B171="STD. DEVIATION",2,$F$1))))</f>
        <v/>
      </c>
      <c r="AB171" s="1" t="str">
        <f>IF(OR($B171="",AB$7=""),"",IF($B171="MEANS",INDEX('1-DATA'!$1:$1048576,$A170-1,COLUMN('1-DATA'!AA169)),ROUND(INDEX('1-DATA'!$1:$1048576,IF(OR($B171="STD. DEVIATION",$C$1=1),$A171,$A171+1),COLUMN('1-DATA'!AA169)),IF($B171="STD. DEVIATION",2,$F$1))))</f>
        <v/>
      </c>
      <c r="AC171" s="1" t="str">
        <f>IF(OR($B171="",AC$7=""),"",IF($B171="MEANS",INDEX('1-DATA'!$1:$1048576,$A170-1,COLUMN('1-DATA'!AB169)),ROUND(INDEX('1-DATA'!$1:$1048576,IF(OR($B171="STD. DEVIATION",$C$1=1),$A171,$A171+1),COLUMN('1-DATA'!AB169)),IF($B171="STD. DEVIATION",2,$F$1))))</f>
        <v/>
      </c>
      <c r="AD171" s="1" t="str">
        <f>IF(OR($B171="",AD$7=""),"",IF($B171="MEANS",INDEX('1-DATA'!$1:$1048576,$A170-1,COLUMN('1-DATA'!AC169)),ROUND(INDEX('1-DATA'!$1:$1048576,IF(OR($B171="STD. DEVIATION",$C$1=1),$A171,$A171+1),COLUMN('1-DATA'!AC169)),IF($B171="STD. DEVIATION",2,$F$1))))</f>
        <v/>
      </c>
      <c r="AE171" s="1" t="str">
        <f>IF(OR($B171="",AE$7=""),"",IF($B171="MEANS",INDEX('1-DATA'!$1:$1048576,$A170-1,COLUMN('1-DATA'!AD169)),ROUND(INDEX('1-DATA'!$1:$1048576,IF(OR($B171="STD. DEVIATION",$C$1=1),$A171,$A171+1),COLUMN('1-DATA'!AD169)),IF($B171="STD. DEVIATION",2,$F$1))))</f>
        <v/>
      </c>
      <c r="AF171" s="1" t="str">
        <f>IF(OR($B171="",AF$7=""),"",IF($B171="MEANS",INDEX('1-DATA'!$1:$1048576,$A170-1,COLUMN('1-DATA'!AE169)),ROUND(INDEX('1-DATA'!$1:$1048576,IF(OR($B171="STD. DEVIATION",$C$1=1),$A171,$A171+1),COLUMN('1-DATA'!AE169)),IF($B171="STD. DEVIATION",2,$F$1))))</f>
        <v/>
      </c>
      <c r="AG171" s="1" t="str">
        <f>IF(OR($B171="",AG$7=""),"",IF($B171="MEANS",INDEX('1-DATA'!$1:$1048576,$A170-1,COLUMN('1-DATA'!AF169)),ROUND(INDEX('1-DATA'!$1:$1048576,IF(OR($B171="STD. DEVIATION",$C$1=1),$A171,$A171+1),COLUMN('1-DATA'!AF169)),IF($B171="STD. DEVIATION",2,$F$1))))</f>
        <v/>
      </c>
      <c r="AH171" s="1" t="str">
        <f>IF(OR($B171="",AH$7=""),"",IF($B171="MEANS",INDEX('1-DATA'!$1:$1048576,$A170-1,COLUMN('1-DATA'!AG169)),ROUND(INDEX('1-DATA'!$1:$1048576,IF(OR($B171="STD. DEVIATION",$C$1=1),$A171,$A171+1),COLUMN('1-DATA'!AG169)),IF($B171="STD. DEVIATION",2,$F$1))))</f>
        <v/>
      </c>
      <c r="AI171" s="1" t="str">
        <f>IF(OR($B171="",AI$7=""),"",IF($B171="MEANS",INDEX('1-DATA'!$1:$1048576,$A170-1,COLUMN('1-DATA'!AH169)),ROUND(INDEX('1-DATA'!$1:$1048576,IF(OR($B171="STD. DEVIATION",$C$1=1),$A171,$A171+1),COLUMN('1-DATA'!AH169)),IF($B171="STD. DEVIATION",2,$F$1))))</f>
        <v/>
      </c>
      <c r="AJ171" s="1" t="str">
        <f>IF(OR($B171="",AJ$7=""),"",IF($B171="MEANS",INDEX('1-DATA'!$1:$1048576,$A170-1,COLUMN('1-DATA'!AI169)),ROUND(INDEX('1-DATA'!$1:$1048576,IF(OR($B171="STD. DEVIATION",$C$1=1),$A171,$A171+1),COLUMN('1-DATA'!AI169)),IF($B171="STD. DEVIATION",2,$F$1))))</f>
        <v/>
      </c>
      <c r="AK171" s="1" t="str">
        <f>IF(OR($B171="",AK$7=""),"",IF($B171="MEANS",INDEX('1-DATA'!$1:$1048576,$A170-1,COLUMN('1-DATA'!AJ169)),ROUND(INDEX('1-DATA'!$1:$1048576,IF(OR($B171="STD. DEVIATION",$C$1=1),$A171,$A171+1),COLUMN('1-DATA'!AJ169)),IF($B171="STD. DEVIATION",2,$F$1))))</f>
        <v/>
      </c>
      <c r="AL171" s="1" t="str">
        <f>IF(OR($B171="",AL$7=""),"",IF($B171="MEANS",INDEX('1-DATA'!$1:$1048576,$A170-1,COLUMN('1-DATA'!AK169)),ROUND(INDEX('1-DATA'!$1:$1048576,IF(OR($B171="STD. DEVIATION",$C$1=1),$A171,$A171+1),COLUMN('1-DATA'!AK169)),IF($B171="STD. DEVIATION",2,$F$1))))</f>
        <v/>
      </c>
      <c r="AM171" s="1" t="str">
        <f>IF(OR($B171="",AM$7=""),"",IF($B171="MEANS",INDEX('1-DATA'!$1:$1048576,$A170-1,COLUMN('1-DATA'!AL169)),ROUND(INDEX('1-DATA'!$1:$1048576,IF(OR($B171="STD. DEVIATION",$C$1=1),$A171,$A171+1),COLUMN('1-DATA'!AL169)),IF($B171="STD. DEVIATION",2,$F$1))))</f>
        <v/>
      </c>
      <c r="AN171" s="1" t="str">
        <f>IF(OR($B171="",AN$7=""),"",IF($B171="MEANS",INDEX('1-DATA'!$1:$1048576,$A170-1,COLUMN('1-DATA'!AM169)),ROUND(INDEX('1-DATA'!$1:$1048576,IF(OR($B171="STD. DEVIATION",$C$1=1),$A171,$A171+1),COLUMN('1-DATA'!AM169)),IF($B171="STD. DEVIATION",2,$F$1))))</f>
        <v/>
      </c>
      <c r="AO171" s="1" t="str">
        <f>IF(OR($B171="",AO$7=""),"",IF($B171="MEANS",INDEX('1-DATA'!$1:$1048576,$A170-1,COLUMN('1-DATA'!AN169)),ROUND(INDEX('1-DATA'!$1:$1048576,IF(OR($B171="STD. DEVIATION",$C$1=1),$A171,$A171+1),COLUMN('1-DATA'!AN169)),IF($B171="STD. DEVIATION",2,$F$1))))</f>
        <v/>
      </c>
      <c r="AP171" s="1" t="str">
        <f>IF(OR($B171="",AP$7=""),"",IF($B171="MEANS",INDEX('1-DATA'!$1:$1048576,$A170-1,COLUMN('1-DATA'!AO169)),ROUND(INDEX('1-DATA'!$1:$1048576,IF(OR($B171="STD. DEVIATION",$C$1=1),$A171,$A171+1),COLUMN('1-DATA'!AO169)),IF($B171="STD. DEVIATION",2,$F$1))))</f>
        <v/>
      </c>
      <c r="AQ171" s="1" t="str">
        <f>IF(OR($B171="",AQ$7=""),"",IF($B171="MEANS",INDEX('1-DATA'!$1:$1048576,$A170-1,COLUMN('1-DATA'!AP169)),ROUND(INDEX('1-DATA'!$1:$1048576,IF(OR($B171="STD. DEVIATION",$C$1=1),$A171,$A171+1),COLUMN('1-DATA'!AP169)),IF($B171="STD. DEVIATION",2,$F$1))))</f>
        <v/>
      </c>
      <c r="AR171" s="1" t="str">
        <f>IF(OR($B171="",AR$7=""),"",IF($B171="MEANS",INDEX('1-DATA'!$1:$1048576,$A170-1,COLUMN('1-DATA'!AQ169)),ROUND(INDEX('1-DATA'!$1:$1048576,IF(OR($B171="STD. DEVIATION",$C$1=1),$A171,$A171+1),COLUMN('1-DATA'!AQ169)),IF($B171="STD. DEVIATION",2,$F$1))))</f>
        <v/>
      </c>
      <c r="AS171" s="1" t="str">
        <f>IF(OR($B171="",AS$7=""),"",IF($B171="MEANS",INDEX('1-DATA'!$1:$1048576,$A170-1,COLUMN('1-DATA'!AR169)),ROUND(INDEX('1-DATA'!$1:$1048576,IF(OR($B171="STD. DEVIATION",$C$1=1),$A171,$A171+1),COLUMN('1-DATA'!AR169)),IF($B171="STD. DEVIATION",2,$F$1))))</f>
        <v/>
      </c>
      <c r="AT171" s="1" t="str">
        <f>IF(OR($B171="",AT$7=""),"",IF($B171="MEANS",INDEX('1-DATA'!$1:$1048576,$A170-1,COLUMN('1-DATA'!AS169)),ROUND(INDEX('1-DATA'!$1:$1048576,IF(OR($B171="STD. DEVIATION",$C$1=1),$A171,$A171+1),COLUMN('1-DATA'!AS169)),IF($B171="STD. DEVIATION",2,$F$1))))</f>
        <v/>
      </c>
      <c r="AU171" s="1" t="str">
        <f>IF(OR($B171="",AU$7=""),"",IF($B171="MEANS",INDEX('1-DATA'!$1:$1048576,$A170-1,COLUMN('1-DATA'!AT169)),ROUND(INDEX('1-DATA'!$1:$1048576,IF(OR($B171="STD. DEVIATION",$C$1=1),$A171,$A171+1),COLUMN('1-DATA'!AT169)),IF($B171="STD. DEVIATION",2,$F$1))))</f>
        <v/>
      </c>
      <c r="AV171" s="1" t="str">
        <f>IF(OR($B171="",AV$7=""),"",IF($B171="MEANS",INDEX('1-DATA'!$1:$1048576,$A170-1,COLUMN('1-DATA'!AU169)),ROUND(INDEX('1-DATA'!$1:$1048576,IF(OR($B171="STD. DEVIATION",$C$1=1),$A171,$A171+1),COLUMN('1-DATA'!AU169)),IF($B171="STD. DEVIATION",2,$F$1))))</f>
        <v/>
      </c>
      <c r="AW171" s="1" t="str">
        <f>IF(OR($B171="",AW$7=""),"",IF($B171="MEANS",INDEX('1-DATA'!$1:$1048576,$A170-1,COLUMN('1-DATA'!AV169)),ROUND(INDEX('1-DATA'!$1:$1048576,IF(OR($B171="STD. DEVIATION",$C$1=1),$A171,$A171+1),COLUMN('1-DATA'!AV169)),IF($B171="STD. DEVIATION",2,$F$1))))</f>
        <v/>
      </c>
      <c r="AX171" s="1" t="str">
        <f>IF(OR($B171="",AX$7=""),"",IF($B171="MEANS",INDEX('1-DATA'!$1:$1048576,$A170-1,COLUMN('1-DATA'!AW169)),ROUND(INDEX('1-DATA'!$1:$1048576,IF(OR($B171="STD. DEVIATION",$C$1=1),$A171,$A171+1),COLUMN('1-DATA'!AW169)),IF($B171="STD. DEVIATION",2,$F$1))))</f>
        <v/>
      </c>
      <c r="AY171" s="1" t="str">
        <f>IF(OR($B171="",AY$7=""),"",IF($B171="MEANS",INDEX('1-DATA'!$1:$1048576,$A170-1,COLUMN('1-DATA'!AX169)),ROUND(INDEX('1-DATA'!$1:$1048576,IF(OR($B171="STD. DEVIATION",$C$1=1),$A171,$A171+1),COLUMN('1-DATA'!AX169)),IF($B171="STD. DEVIATION",2,$F$1))))</f>
        <v/>
      </c>
      <c r="AZ171" s="1" t="str">
        <f>IF(OR($B171="",AZ$7=""),"",IF($B171="MEANS",INDEX('1-DATA'!$1:$1048576,$A170-1,COLUMN('1-DATA'!AY169)),ROUND(INDEX('1-DATA'!$1:$1048576,IF(OR($B171="STD. DEVIATION",$C$1=1),$A171,$A171+1),COLUMN('1-DATA'!AY169)),IF($B171="STD. DEVIATION",2,$F$1))))</f>
        <v/>
      </c>
    </row>
    <row r="172" spans="1:52" x14ac:dyDescent="0.25">
      <c r="A172" s="11">
        <f t="shared" si="3"/>
        <v>502</v>
      </c>
      <c r="B172" s="1" t="str">
        <f>IF(B171="STD. DEVIATION",INDEX('1-DATA'!$1:$1048576,$A171-1,1),IF(INDEX('1-DATA'!$1:$1048576,$A172,1)&lt;&gt;"",INDEX('1-DATA'!$1:$1048576,$A172,1),""))</f>
        <v/>
      </c>
      <c r="C172" s="1" t="str">
        <f>IF(OR($B172="",C$7=""),"",IF($B172="MEANS",INDEX('1-DATA'!$1:$1048576,$A171-1,COLUMN('1-DATA'!B170)),ROUND(INDEX('1-DATA'!$1:$1048576,IF(OR($B172="STD. DEVIATION",$C$1=1),$A172,$A172+1),COLUMN('1-DATA'!B170)),IF($B172="STD. DEVIATION",2,$F$1))))</f>
        <v/>
      </c>
      <c r="D172" s="1" t="str">
        <f>IF(OR($B172="",D$7=""),"",IF($B172="MEANS",INDEX('1-DATA'!$1:$1048576,$A171-1,COLUMN('1-DATA'!C170)),ROUND(INDEX('1-DATA'!$1:$1048576,IF(OR($B172="STD. DEVIATION",$C$1=1),$A172,$A172+1),COLUMN('1-DATA'!C170)),IF($B172="STD. DEVIATION",2,$F$1))))</f>
        <v/>
      </c>
      <c r="E172" s="1" t="str">
        <f>IF(OR($B172="",E$7=""),"",IF($B172="MEANS",INDEX('1-DATA'!$1:$1048576,$A171-1,COLUMN('1-DATA'!D170)),ROUND(INDEX('1-DATA'!$1:$1048576,IF(OR($B172="STD. DEVIATION",$C$1=1),$A172,$A172+1),COLUMN('1-DATA'!D170)),IF($B172="STD. DEVIATION",2,$F$1))))</f>
        <v/>
      </c>
      <c r="F172" s="1" t="str">
        <f>IF(OR($B172="",F$7=""),"",IF($B172="MEANS",INDEX('1-DATA'!$1:$1048576,$A171-1,COLUMN('1-DATA'!E170)),ROUND(INDEX('1-DATA'!$1:$1048576,IF(OR($B172="STD. DEVIATION",$C$1=1),$A172,$A172+1),COLUMN('1-DATA'!E170)),IF($B172="STD. DEVIATION",2,$F$1))))</f>
        <v/>
      </c>
      <c r="G172" s="1" t="str">
        <f>IF(OR($B172="",G$7=""),"",IF($B172="MEANS",INDEX('1-DATA'!$1:$1048576,$A171-1,COLUMN('1-DATA'!F170)),ROUND(INDEX('1-DATA'!$1:$1048576,IF(OR($B172="STD. DEVIATION",$C$1=1),$A172,$A172+1),COLUMN('1-DATA'!F170)),IF($B172="STD. DEVIATION",2,$F$1))))</f>
        <v/>
      </c>
      <c r="H172" s="1" t="str">
        <f>IF(OR($B172="",H$7=""),"",IF($B172="MEANS",INDEX('1-DATA'!$1:$1048576,$A171-1,COLUMN('1-DATA'!G170)),ROUND(INDEX('1-DATA'!$1:$1048576,IF(OR($B172="STD. DEVIATION",$C$1=1),$A172,$A172+1),COLUMN('1-DATA'!G170)),IF($B172="STD. DEVIATION",2,$F$1))))</f>
        <v/>
      </c>
      <c r="I172" s="1" t="str">
        <f>IF(OR($B172="",I$7=""),"",IF($B172="MEANS",INDEX('1-DATA'!$1:$1048576,$A171-1,COLUMN('1-DATA'!H170)),ROUND(INDEX('1-DATA'!$1:$1048576,IF(OR($B172="STD. DEVIATION",$C$1=1),$A172,$A172+1),COLUMN('1-DATA'!H170)),IF($B172="STD. DEVIATION",2,$F$1))))</f>
        <v/>
      </c>
      <c r="J172" s="1" t="str">
        <f>IF(OR($B172="",J$7=""),"",IF($B172="MEANS",INDEX('1-DATA'!$1:$1048576,$A171-1,COLUMN('1-DATA'!I170)),ROUND(INDEX('1-DATA'!$1:$1048576,IF(OR($B172="STD. DEVIATION",$C$1=1),$A172,$A172+1),COLUMN('1-DATA'!I170)),IF($B172="STD. DEVIATION",2,$F$1))))</f>
        <v/>
      </c>
      <c r="K172" s="1" t="str">
        <f>IF(OR($B172="",K$7=""),"",IF($B172="MEANS",INDEX('1-DATA'!$1:$1048576,$A171-1,COLUMN('1-DATA'!J170)),ROUND(INDEX('1-DATA'!$1:$1048576,IF(OR($B172="STD. DEVIATION",$C$1=1),$A172,$A172+1),COLUMN('1-DATA'!J170)),IF($B172="STD. DEVIATION",2,$F$1))))</f>
        <v/>
      </c>
      <c r="L172" s="1" t="str">
        <f>IF(OR($B172="",L$7=""),"",IF($B172="MEANS",INDEX('1-DATA'!$1:$1048576,$A171-1,COLUMN('1-DATA'!K170)),ROUND(INDEX('1-DATA'!$1:$1048576,IF(OR($B172="STD. DEVIATION",$C$1=1),$A172,$A172+1),COLUMN('1-DATA'!K170)),IF($B172="STD. DEVIATION",2,$F$1))))</f>
        <v/>
      </c>
      <c r="M172" s="1" t="str">
        <f>IF(OR($B172="",M$7=""),"",IF($B172="MEANS",INDEX('1-DATA'!$1:$1048576,$A171-1,COLUMN('1-DATA'!L170)),ROUND(INDEX('1-DATA'!$1:$1048576,IF(OR($B172="STD. DEVIATION",$C$1=1),$A172,$A172+1),COLUMN('1-DATA'!L170)),IF($B172="STD. DEVIATION",2,$F$1))))</f>
        <v/>
      </c>
      <c r="N172" s="1" t="str">
        <f>IF(OR($B172="",N$7=""),"",IF($B172="MEANS",INDEX('1-DATA'!$1:$1048576,$A171-1,COLUMN('1-DATA'!M170)),ROUND(INDEX('1-DATA'!$1:$1048576,IF(OR($B172="STD. DEVIATION",$C$1=1),$A172,$A172+1),COLUMN('1-DATA'!M170)),IF($B172="STD. DEVIATION",2,$F$1))))</f>
        <v/>
      </c>
      <c r="O172" s="1" t="str">
        <f>IF(OR($B172="",O$7=""),"",IF($B172="MEANS",INDEX('1-DATA'!$1:$1048576,$A171-1,COLUMN('1-DATA'!N170)),ROUND(INDEX('1-DATA'!$1:$1048576,IF(OR($B172="STD. DEVIATION",$C$1=1),$A172,$A172+1),COLUMN('1-DATA'!N170)),IF($B172="STD. DEVIATION",2,$F$1))))</f>
        <v/>
      </c>
      <c r="P172" s="1" t="str">
        <f>IF(OR($B172="",P$7=""),"",IF($B172="MEANS",INDEX('1-DATA'!$1:$1048576,$A171-1,COLUMN('1-DATA'!O170)),ROUND(INDEX('1-DATA'!$1:$1048576,IF(OR($B172="STD. DEVIATION",$C$1=1),$A172,$A172+1),COLUMN('1-DATA'!O170)),IF($B172="STD. DEVIATION",2,$F$1))))</f>
        <v/>
      </c>
      <c r="Q172" s="1" t="str">
        <f>IF(OR($B172="",Q$7=""),"",IF($B172="MEANS",INDEX('1-DATA'!$1:$1048576,$A171-1,COLUMN('1-DATA'!P170)),ROUND(INDEX('1-DATA'!$1:$1048576,IF(OR($B172="STD. DEVIATION",$C$1=1),$A172,$A172+1),COLUMN('1-DATA'!P170)),IF($B172="STD. DEVIATION",2,$F$1))))</f>
        <v/>
      </c>
      <c r="R172" s="1" t="str">
        <f>IF(OR($B172="",R$7=""),"",IF($B172="MEANS",INDEX('1-DATA'!$1:$1048576,$A171-1,COLUMN('1-DATA'!Q170)),ROUND(INDEX('1-DATA'!$1:$1048576,IF(OR($B172="STD. DEVIATION",$C$1=1),$A172,$A172+1),COLUMN('1-DATA'!Q170)),IF($B172="STD. DEVIATION",2,$F$1))))</f>
        <v/>
      </c>
      <c r="S172" s="1" t="str">
        <f>IF(OR($B172="",S$7=""),"",IF($B172="MEANS",INDEX('1-DATA'!$1:$1048576,$A171-1,COLUMN('1-DATA'!R170)),ROUND(INDEX('1-DATA'!$1:$1048576,IF(OR($B172="STD. DEVIATION",$C$1=1),$A172,$A172+1),COLUMN('1-DATA'!R170)),IF($B172="STD. DEVIATION",2,$F$1))))</f>
        <v/>
      </c>
      <c r="T172" s="1" t="str">
        <f>IF(OR($B172="",T$7=""),"",IF($B172="MEANS",INDEX('1-DATA'!$1:$1048576,$A171-1,COLUMN('1-DATA'!S170)),ROUND(INDEX('1-DATA'!$1:$1048576,IF(OR($B172="STD. DEVIATION",$C$1=1),$A172,$A172+1),COLUMN('1-DATA'!S170)),IF($B172="STD. DEVIATION",2,$F$1))))</f>
        <v/>
      </c>
      <c r="U172" s="1" t="str">
        <f>IF(OR($B172="",U$7=""),"",IF($B172="MEANS",INDEX('1-DATA'!$1:$1048576,$A171-1,COLUMN('1-DATA'!T170)),ROUND(INDEX('1-DATA'!$1:$1048576,IF(OR($B172="STD. DEVIATION",$C$1=1),$A172,$A172+1),COLUMN('1-DATA'!T170)),IF($B172="STD. DEVIATION",2,$F$1))))</f>
        <v/>
      </c>
      <c r="V172" s="1" t="str">
        <f>IF(OR($B172="",V$7=""),"",IF($B172="MEANS",INDEX('1-DATA'!$1:$1048576,$A171-1,COLUMN('1-DATA'!U170)),ROUND(INDEX('1-DATA'!$1:$1048576,IF(OR($B172="STD. DEVIATION",$C$1=1),$A172,$A172+1),COLUMN('1-DATA'!U170)),IF($B172="STD. DEVIATION",2,$F$1))))</f>
        <v/>
      </c>
      <c r="W172" s="1" t="str">
        <f>IF(OR($B172="",W$7=""),"",IF($B172="MEANS",INDEX('1-DATA'!$1:$1048576,$A171-1,COLUMN('1-DATA'!V170)),ROUND(INDEX('1-DATA'!$1:$1048576,IF(OR($B172="STD. DEVIATION",$C$1=1),$A172,$A172+1),COLUMN('1-DATA'!V170)),IF($B172="STD. DEVIATION",2,$F$1))))</f>
        <v/>
      </c>
      <c r="X172" s="1" t="str">
        <f>IF(OR($B172="",X$7=""),"",IF($B172="MEANS",INDEX('1-DATA'!$1:$1048576,$A171-1,COLUMN('1-DATA'!W170)),ROUND(INDEX('1-DATA'!$1:$1048576,IF(OR($B172="STD. DEVIATION",$C$1=1),$A172,$A172+1),COLUMN('1-DATA'!W170)),IF($B172="STD. DEVIATION",2,$F$1))))</f>
        <v/>
      </c>
      <c r="Y172" s="1" t="str">
        <f>IF(OR($B172="",Y$7=""),"",IF($B172="MEANS",INDEX('1-DATA'!$1:$1048576,$A171-1,COLUMN('1-DATA'!X170)),ROUND(INDEX('1-DATA'!$1:$1048576,IF(OR($B172="STD. DEVIATION",$C$1=1),$A172,$A172+1),COLUMN('1-DATA'!X170)),IF($B172="STD. DEVIATION",2,$F$1))))</f>
        <v/>
      </c>
      <c r="Z172" s="1" t="str">
        <f>IF(OR($B172="",Z$7=""),"",IF($B172="MEANS",INDEX('1-DATA'!$1:$1048576,$A171-1,COLUMN('1-DATA'!Y170)),ROUND(INDEX('1-DATA'!$1:$1048576,IF(OR($B172="STD. DEVIATION",$C$1=1),$A172,$A172+1),COLUMN('1-DATA'!Y170)),IF($B172="STD. DEVIATION",2,$F$1))))</f>
        <v/>
      </c>
      <c r="AA172" s="1" t="str">
        <f>IF(OR($B172="",AA$7=""),"",IF($B172="MEANS",INDEX('1-DATA'!$1:$1048576,$A171-1,COLUMN('1-DATA'!Z170)),ROUND(INDEX('1-DATA'!$1:$1048576,IF(OR($B172="STD. DEVIATION",$C$1=1),$A172,$A172+1),COLUMN('1-DATA'!Z170)),IF($B172="STD. DEVIATION",2,$F$1))))</f>
        <v/>
      </c>
      <c r="AB172" s="1" t="str">
        <f>IF(OR($B172="",AB$7=""),"",IF($B172="MEANS",INDEX('1-DATA'!$1:$1048576,$A171-1,COLUMN('1-DATA'!AA170)),ROUND(INDEX('1-DATA'!$1:$1048576,IF(OR($B172="STD. DEVIATION",$C$1=1),$A172,$A172+1),COLUMN('1-DATA'!AA170)),IF($B172="STD. DEVIATION",2,$F$1))))</f>
        <v/>
      </c>
      <c r="AC172" s="1" t="str">
        <f>IF(OR($B172="",AC$7=""),"",IF($B172="MEANS",INDEX('1-DATA'!$1:$1048576,$A171-1,COLUMN('1-DATA'!AB170)),ROUND(INDEX('1-DATA'!$1:$1048576,IF(OR($B172="STD. DEVIATION",$C$1=1),$A172,$A172+1),COLUMN('1-DATA'!AB170)),IF($B172="STD. DEVIATION",2,$F$1))))</f>
        <v/>
      </c>
      <c r="AD172" s="1" t="str">
        <f>IF(OR($B172="",AD$7=""),"",IF($B172="MEANS",INDEX('1-DATA'!$1:$1048576,$A171-1,COLUMN('1-DATA'!AC170)),ROUND(INDEX('1-DATA'!$1:$1048576,IF(OR($B172="STD. DEVIATION",$C$1=1),$A172,$A172+1),COLUMN('1-DATA'!AC170)),IF($B172="STD. DEVIATION",2,$F$1))))</f>
        <v/>
      </c>
      <c r="AE172" s="1" t="str">
        <f>IF(OR($B172="",AE$7=""),"",IF($B172="MEANS",INDEX('1-DATA'!$1:$1048576,$A171-1,COLUMN('1-DATA'!AD170)),ROUND(INDEX('1-DATA'!$1:$1048576,IF(OR($B172="STD. DEVIATION",$C$1=1),$A172,$A172+1),COLUMN('1-DATA'!AD170)),IF($B172="STD. DEVIATION",2,$F$1))))</f>
        <v/>
      </c>
      <c r="AF172" s="1" t="str">
        <f>IF(OR($B172="",AF$7=""),"",IF($B172="MEANS",INDEX('1-DATA'!$1:$1048576,$A171-1,COLUMN('1-DATA'!AE170)),ROUND(INDEX('1-DATA'!$1:$1048576,IF(OR($B172="STD. DEVIATION",$C$1=1),$A172,$A172+1),COLUMN('1-DATA'!AE170)),IF($B172="STD. DEVIATION",2,$F$1))))</f>
        <v/>
      </c>
      <c r="AG172" s="1" t="str">
        <f>IF(OR($B172="",AG$7=""),"",IF($B172="MEANS",INDEX('1-DATA'!$1:$1048576,$A171-1,COLUMN('1-DATA'!AF170)),ROUND(INDEX('1-DATA'!$1:$1048576,IF(OR($B172="STD. DEVIATION",$C$1=1),$A172,$A172+1),COLUMN('1-DATA'!AF170)),IF($B172="STD. DEVIATION",2,$F$1))))</f>
        <v/>
      </c>
      <c r="AH172" s="1" t="str">
        <f>IF(OR($B172="",AH$7=""),"",IF($B172="MEANS",INDEX('1-DATA'!$1:$1048576,$A171-1,COLUMN('1-DATA'!AG170)),ROUND(INDEX('1-DATA'!$1:$1048576,IF(OR($B172="STD. DEVIATION",$C$1=1),$A172,$A172+1),COLUMN('1-DATA'!AG170)),IF($B172="STD. DEVIATION",2,$F$1))))</f>
        <v/>
      </c>
      <c r="AI172" s="1" t="str">
        <f>IF(OR($B172="",AI$7=""),"",IF($B172="MEANS",INDEX('1-DATA'!$1:$1048576,$A171-1,COLUMN('1-DATA'!AH170)),ROUND(INDEX('1-DATA'!$1:$1048576,IF(OR($B172="STD. DEVIATION",$C$1=1),$A172,$A172+1),COLUMN('1-DATA'!AH170)),IF($B172="STD. DEVIATION",2,$F$1))))</f>
        <v/>
      </c>
      <c r="AJ172" s="1" t="str">
        <f>IF(OR($B172="",AJ$7=""),"",IF($B172="MEANS",INDEX('1-DATA'!$1:$1048576,$A171-1,COLUMN('1-DATA'!AI170)),ROUND(INDEX('1-DATA'!$1:$1048576,IF(OR($B172="STD. DEVIATION",$C$1=1),$A172,$A172+1),COLUMN('1-DATA'!AI170)),IF($B172="STD. DEVIATION",2,$F$1))))</f>
        <v/>
      </c>
      <c r="AK172" s="1" t="str">
        <f>IF(OR($B172="",AK$7=""),"",IF($B172="MEANS",INDEX('1-DATA'!$1:$1048576,$A171-1,COLUMN('1-DATA'!AJ170)),ROUND(INDEX('1-DATA'!$1:$1048576,IF(OR($B172="STD. DEVIATION",$C$1=1),$A172,$A172+1),COLUMN('1-DATA'!AJ170)),IF($B172="STD. DEVIATION",2,$F$1))))</f>
        <v/>
      </c>
      <c r="AL172" s="1" t="str">
        <f>IF(OR($B172="",AL$7=""),"",IF($B172="MEANS",INDEX('1-DATA'!$1:$1048576,$A171-1,COLUMN('1-DATA'!AK170)),ROUND(INDEX('1-DATA'!$1:$1048576,IF(OR($B172="STD. DEVIATION",$C$1=1),$A172,$A172+1),COLUMN('1-DATA'!AK170)),IF($B172="STD. DEVIATION",2,$F$1))))</f>
        <v/>
      </c>
      <c r="AM172" s="1" t="str">
        <f>IF(OR($B172="",AM$7=""),"",IF($B172="MEANS",INDEX('1-DATA'!$1:$1048576,$A171-1,COLUMN('1-DATA'!AL170)),ROUND(INDEX('1-DATA'!$1:$1048576,IF(OR($B172="STD. DEVIATION",$C$1=1),$A172,$A172+1),COLUMN('1-DATA'!AL170)),IF($B172="STD. DEVIATION",2,$F$1))))</f>
        <v/>
      </c>
      <c r="AN172" s="1" t="str">
        <f>IF(OR($B172="",AN$7=""),"",IF($B172="MEANS",INDEX('1-DATA'!$1:$1048576,$A171-1,COLUMN('1-DATA'!AM170)),ROUND(INDEX('1-DATA'!$1:$1048576,IF(OR($B172="STD. DEVIATION",$C$1=1),$A172,$A172+1),COLUMN('1-DATA'!AM170)),IF($B172="STD. DEVIATION",2,$F$1))))</f>
        <v/>
      </c>
      <c r="AO172" s="1" t="str">
        <f>IF(OR($B172="",AO$7=""),"",IF($B172="MEANS",INDEX('1-DATA'!$1:$1048576,$A171-1,COLUMN('1-DATA'!AN170)),ROUND(INDEX('1-DATA'!$1:$1048576,IF(OR($B172="STD. DEVIATION",$C$1=1),$A172,$A172+1),COLUMN('1-DATA'!AN170)),IF($B172="STD. DEVIATION",2,$F$1))))</f>
        <v/>
      </c>
      <c r="AP172" s="1" t="str">
        <f>IF(OR($B172="",AP$7=""),"",IF($B172="MEANS",INDEX('1-DATA'!$1:$1048576,$A171-1,COLUMN('1-DATA'!AO170)),ROUND(INDEX('1-DATA'!$1:$1048576,IF(OR($B172="STD. DEVIATION",$C$1=1),$A172,$A172+1),COLUMN('1-DATA'!AO170)),IF($B172="STD. DEVIATION",2,$F$1))))</f>
        <v/>
      </c>
      <c r="AQ172" s="1" t="str">
        <f>IF(OR($B172="",AQ$7=""),"",IF($B172="MEANS",INDEX('1-DATA'!$1:$1048576,$A171-1,COLUMN('1-DATA'!AP170)),ROUND(INDEX('1-DATA'!$1:$1048576,IF(OR($B172="STD. DEVIATION",$C$1=1),$A172,$A172+1),COLUMN('1-DATA'!AP170)),IF($B172="STD. DEVIATION",2,$F$1))))</f>
        <v/>
      </c>
      <c r="AR172" s="1" t="str">
        <f>IF(OR($B172="",AR$7=""),"",IF($B172="MEANS",INDEX('1-DATA'!$1:$1048576,$A171-1,COLUMN('1-DATA'!AQ170)),ROUND(INDEX('1-DATA'!$1:$1048576,IF(OR($B172="STD. DEVIATION",$C$1=1),$A172,$A172+1),COLUMN('1-DATA'!AQ170)),IF($B172="STD. DEVIATION",2,$F$1))))</f>
        <v/>
      </c>
      <c r="AS172" s="1" t="str">
        <f>IF(OR($B172="",AS$7=""),"",IF($B172="MEANS",INDEX('1-DATA'!$1:$1048576,$A171-1,COLUMN('1-DATA'!AR170)),ROUND(INDEX('1-DATA'!$1:$1048576,IF(OR($B172="STD. DEVIATION",$C$1=1),$A172,$A172+1),COLUMN('1-DATA'!AR170)),IF($B172="STD. DEVIATION",2,$F$1))))</f>
        <v/>
      </c>
      <c r="AT172" s="1" t="str">
        <f>IF(OR($B172="",AT$7=""),"",IF($B172="MEANS",INDEX('1-DATA'!$1:$1048576,$A171-1,COLUMN('1-DATA'!AS170)),ROUND(INDEX('1-DATA'!$1:$1048576,IF(OR($B172="STD. DEVIATION",$C$1=1),$A172,$A172+1),COLUMN('1-DATA'!AS170)),IF($B172="STD. DEVIATION",2,$F$1))))</f>
        <v/>
      </c>
      <c r="AU172" s="1" t="str">
        <f>IF(OR($B172="",AU$7=""),"",IF($B172="MEANS",INDEX('1-DATA'!$1:$1048576,$A171-1,COLUMN('1-DATA'!AT170)),ROUND(INDEX('1-DATA'!$1:$1048576,IF(OR($B172="STD. DEVIATION",$C$1=1),$A172,$A172+1),COLUMN('1-DATA'!AT170)),IF($B172="STD. DEVIATION",2,$F$1))))</f>
        <v/>
      </c>
      <c r="AV172" s="1" t="str">
        <f>IF(OR($B172="",AV$7=""),"",IF($B172="MEANS",INDEX('1-DATA'!$1:$1048576,$A171-1,COLUMN('1-DATA'!AU170)),ROUND(INDEX('1-DATA'!$1:$1048576,IF(OR($B172="STD. DEVIATION",$C$1=1),$A172,$A172+1),COLUMN('1-DATA'!AU170)),IF($B172="STD. DEVIATION",2,$F$1))))</f>
        <v/>
      </c>
      <c r="AW172" s="1" t="str">
        <f>IF(OR($B172="",AW$7=""),"",IF($B172="MEANS",INDEX('1-DATA'!$1:$1048576,$A171-1,COLUMN('1-DATA'!AV170)),ROUND(INDEX('1-DATA'!$1:$1048576,IF(OR($B172="STD. DEVIATION",$C$1=1),$A172,$A172+1),COLUMN('1-DATA'!AV170)),IF($B172="STD. DEVIATION",2,$F$1))))</f>
        <v/>
      </c>
      <c r="AX172" s="1" t="str">
        <f>IF(OR($B172="",AX$7=""),"",IF($B172="MEANS",INDEX('1-DATA'!$1:$1048576,$A171-1,COLUMN('1-DATA'!AW170)),ROUND(INDEX('1-DATA'!$1:$1048576,IF(OR($B172="STD. DEVIATION",$C$1=1),$A172,$A172+1),COLUMN('1-DATA'!AW170)),IF($B172="STD. DEVIATION",2,$F$1))))</f>
        <v/>
      </c>
      <c r="AY172" s="1" t="str">
        <f>IF(OR($B172="",AY$7=""),"",IF($B172="MEANS",INDEX('1-DATA'!$1:$1048576,$A171-1,COLUMN('1-DATA'!AX170)),ROUND(INDEX('1-DATA'!$1:$1048576,IF(OR($B172="STD. DEVIATION",$C$1=1),$A172,$A172+1),COLUMN('1-DATA'!AX170)),IF($B172="STD. DEVIATION",2,$F$1))))</f>
        <v/>
      </c>
      <c r="AZ172" s="1" t="str">
        <f>IF(OR($B172="",AZ$7=""),"",IF($B172="MEANS",INDEX('1-DATA'!$1:$1048576,$A171-1,COLUMN('1-DATA'!AY170)),ROUND(INDEX('1-DATA'!$1:$1048576,IF(OR($B172="STD. DEVIATION",$C$1=1),$A172,$A172+1),COLUMN('1-DATA'!AY170)),IF($B172="STD. DEVIATION",2,$F$1))))</f>
        <v/>
      </c>
    </row>
    <row r="173" spans="1:52" x14ac:dyDescent="0.25">
      <c r="A173" s="11">
        <f t="shared" si="3"/>
        <v>505</v>
      </c>
      <c r="B173" s="1" t="str">
        <f>IF(B172="STD. DEVIATION",INDEX('1-DATA'!$1:$1048576,$A172-1,1),IF(INDEX('1-DATA'!$1:$1048576,$A173,1)&lt;&gt;"",INDEX('1-DATA'!$1:$1048576,$A173,1),""))</f>
        <v/>
      </c>
      <c r="C173" s="1" t="str">
        <f>IF(OR($B173="",C$7=""),"",IF($B173="MEANS",INDEX('1-DATA'!$1:$1048576,$A172-1,COLUMN('1-DATA'!B171)),ROUND(INDEX('1-DATA'!$1:$1048576,IF(OR($B173="STD. DEVIATION",$C$1=1),$A173,$A173+1),COLUMN('1-DATA'!B171)),IF($B173="STD. DEVIATION",2,$F$1))))</f>
        <v/>
      </c>
      <c r="D173" s="1" t="str">
        <f>IF(OR($B173="",D$7=""),"",IF($B173="MEANS",INDEX('1-DATA'!$1:$1048576,$A172-1,COLUMN('1-DATA'!C171)),ROUND(INDEX('1-DATA'!$1:$1048576,IF(OR($B173="STD. DEVIATION",$C$1=1),$A173,$A173+1),COLUMN('1-DATA'!C171)),IF($B173="STD. DEVIATION",2,$F$1))))</f>
        <v/>
      </c>
      <c r="E173" s="1" t="str">
        <f>IF(OR($B173="",E$7=""),"",IF($B173="MEANS",INDEX('1-DATA'!$1:$1048576,$A172-1,COLUMN('1-DATA'!D171)),ROUND(INDEX('1-DATA'!$1:$1048576,IF(OR($B173="STD. DEVIATION",$C$1=1),$A173,$A173+1),COLUMN('1-DATA'!D171)),IF($B173="STD. DEVIATION",2,$F$1))))</f>
        <v/>
      </c>
      <c r="F173" s="1" t="str">
        <f>IF(OR($B173="",F$7=""),"",IF($B173="MEANS",INDEX('1-DATA'!$1:$1048576,$A172-1,COLUMN('1-DATA'!E171)),ROUND(INDEX('1-DATA'!$1:$1048576,IF(OR($B173="STD. DEVIATION",$C$1=1),$A173,$A173+1),COLUMN('1-DATA'!E171)),IF($B173="STD. DEVIATION",2,$F$1))))</f>
        <v/>
      </c>
      <c r="G173" s="1" t="str">
        <f>IF(OR($B173="",G$7=""),"",IF($B173="MEANS",INDEX('1-DATA'!$1:$1048576,$A172-1,COLUMN('1-DATA'!F171)),ROUND(INDEX('1-DATA'!$1:$1048576,IF(OR($B173="STD. DEVIATION",$C$1=1),$A173,$A173+1),COLUMN('1-DATA'!F171)),IF($B173="STD. DEVIATION",2,$F$1))))</f>
        <v/>
      </c>
      <c r="H173" s="1" t="str">
        <f>IF(OR($B173="",H$7=""),"",IF($B173="MEANS",INDEX('1-DATA'!$1:$1048576,$A172-1,COLUMN('1-DATA'!G171)),ROUND(INDEX('1-DATA'!$1:$1048576,IF(OR($B173="STD. DEVIATION",$C$1=1),$A173,$A173+1),COLUMN('1-DATA'!G171)),IF($B173="STD. DEVIATION",2,$F$1))))</f>
        <v/>
      </c>
      <c r="I173" s="1" t="str">
        <f>IF(OR($B173="",I$7=""),"",IF($B173="MEANS",INDEX('1-DATA'!$1:$1048576,$A172-1,COLUMN('1-DATA'!H171)),ROUND(INDEX('1-DATA'!$1:$1048576,IF(OR($B173="STD. DEVIATION",$C$1=1),$A173,$A173+1),COLUMN('1-DATA'!H171)),IF($B173="STD. DEVIATION",2,$F$1))))</f>
        <v/>
      </c>
      <c r="J173" s="1" t="str">
        <f>IF(OR($B173="",J$7=""),"",IF($B173="MEANS",INDEX('1-DATA'!$1:$1048576,$A172-1,COLUMN('1-DATA'!I171)),ROUND(INDEX('1-DATA'!$1:$1048576,IF(OR($B173="STD. DEVIATION",$C$1=1),$A173,$A173+1),COLUMN('1-DATA'!I171)),IF($B173="STD. DEVIATION",2,$F$1))))</f>
        <v/>
      </c>
      <c r="K173" s="1" t="str">
        <f>IF(OR($B173="",K$7=""),"",IF($B173="MEANS",INDEX('1-DATA'!$1:$1048576,$A172-1,COLUMN('1-DATA'!J171)),ROUND(INDEX('1-DATA'!$1:$1048576,IF(OR($B173="STD. DEVIATION",$C$1=1),$A173,$A173+1),COLUMN('1-DATA'!J171)),IF($B173="STD. DEVIATION",2,$F$1))))</f>
        <v/>
      </c>
      <c r="L173" s="1" t="str">
        <f>IF(OR($B173="",L$7=""),"",IF($B173="MEANS",INDEX('1-DATA'!$1:$1048576,$A172-1,COLUMN('1-DATA'!K171)),ROUND(INDEX('1-DATA'!$1:$1048576,IF(OR($B173="STD. DEVIATION",$C$1=1),$A173,$A173+1),COLUMN('1-DATA'!K171)),IF($B173="STD. DEVIATION",2,$F$1))))</f>
        <v/>
      </c>
      <c r="M173" s="1" t="str">
        <f>IF(OR($B173="",M$7=""),"",IF($B173="MEANS",INDEX('1-DATA'!$1:$1048576,$A172-1,COLUMN('1-DATA'!L171)),ROUND(INDEX('1-DATA'!$1:$1048576,IF(OR($B173="STD. DEVIATION",$C$1=1),$A173,$A173+1),COLUMN('1-DATA'!L171)),IF($B173="STD. DEVIATION",2,$F$1))))</f>
        <v/>
      </c>
      <c r="N173" s="1" t="str">
        <f>IF(OR($B173="",N$7=""),"",IF($B173="MEANS",INDEX('1-DATA'!$1:$1048576,$A172-1,COLUMN('1-DATA'!M171)),ROUND(INDEX('1-DATA'!$1:$1048576,IF(OR($B173="STD. DEVIATION",$C$1=1),$A173,$A173+1),COLUMN('1-DATA'!M171)),IF($B173="STD. DEVIATION",2,$F$1))))</f>
        <v/>
      </c>
      <c r="O173" s="1" t="str">
        <f>IF(OR($B173="",O$7=""),"",IF($B173="MEANS",INDEX('1-DATA'!$1:$1048576,$A172-1,COLUMN('1-DATA'!N171)),ROUND(INDEX('1-DATA'!$1:$1048576,IF(OR($B173="STD. DEVIATION",$C$1=1),$A173,$A173+1),COLUMN('1-DATA'!N171)),IF($B173="STD. DEVIATION",2,$F$1))))</f>
        <v/>
      </c>
      <c r="P173" s="1" t="str">
        <f>IF(OR($B173="",P$7=""),"",IF($B173="MEANS",INDEX('1-DATA'!$1:$1048576,$A172-1,COLUMN('1-DATA'!O171)),ROUND(INDEX('1-DATA'!$1:$1048576,IF(OR($B173="STD. DEVIATION",$C$1=1),$A173,$A173+1),COLUMN('1-DATA'!O171)),IF($B173="STD. DEVIATION",2,$F$1))))</f>
        <v/>
      </c>
      <c r="Q173" s="1" t="str">
        <f>IF(OR($B173="",Q$7=""),"",IF($B173="MEANS",INDEX('1-DATA'!$1:$1048576,$A172-1,COLUMN('1-DATA'!P171)),ROUND(INDEX('1-DATA'!$1:$1048576,IF(OR($B173="STD. DEVIATION",$C$1=1),$A173,$A173+1),COLUMN('1-DATA'!P171)),IF($B173="STD. DEVIATION",2,$F$1))))</f>
        <v/>
      </c>
      <c r="R173" s="1" t="str">
        <f>IF(OR($B173="",R$7=""),"",IF($B173="MEANS",INDEX('1-DATA'!$1:$1048576,$A172-1,COLUMN('1-DATA'!Q171)),ROUND(INDEX('1-DATA'!$1:$1048576,IF(OR($B173="STD. DEVIATION",$C$1=1),$A173,$A173+1),COLUMN('1-DATA'!Q171)),IF($B173="STD. DEVIATION",2,$F$1))))</f>
        <v/>
      </c>
      <c r="S173" s="1" t="str">
        <f>IF(OR($B173="",S$7=""),"",IF($B173="MEANS",INDEX('1-DATA'!$1:$1048576,$A172-1,COLUMN('1-DATA'!R171)),ROUND(INDEX('1-DATA'!$1:$1048576,IF(OR($B173="STD. DEVIATION",$C$1=1),$A173,$A173+1),COLUMN('1-DATA'!R171)),IF($B173="STD. DEVIATION",2,$F$1))))</f>
        <v/>
      </c>
      <c r="T173" s="1" t="str">
        <f>IF(OR($B173="",T$7=""),"",IF($B173="MEANS",INDEX('1-DATA'!$1:$1048576,$A172-1,COLUMN('1-DATA'!S171)),ROUND(INDEX('1-DATA'!$1:$1048576,IF(OR($B173="STD. DEVIATION",$C$1=1),$A173,$A173+1),COLUMN('1-DATA'!S171)),IF($B173="STD. DEVIATION",2,$F$1))))</f>
        <v/>
      </c>
      <c r="U173" s="1" t="str">
        <f>IF(OR($B173="",U$7=""),"",IF($B173="MEANS",INDEX('1-DATA'!$1:$1048576,$A172-1,COLUMN('1-DATA'!T171)),ROUND(INDEX('1-DATA'!$1:$1048576,IF(OR($B173="STD. DEVIATION",$C$1=1),$A173,$A173+1),COLUMN('1-DATA'!T171)),IF($B173="STD. DEVIATION",2,$F$1))))</f>
        <v/>
      </c>
      <c r="V173" s="1" t="str">
        <f>IF(OR($B173="",V$7=""),"",IF($B173="MEANS",INDEX('1-DATA'!$1:$1048576,$A172-1,COLUMN('1-DATA'!U171)),ROUND(INDEX('1-DATA'!$1:$1048576,IF(OR($B173="STD. DEVIATION",$C$1=1),$A173,$A173+1),COLUMN('1-DATA'!U171)),IF($B173="STD. DEVIATION",2,$F$1))))</f>
        <v/>
      </c>
      <c r="W173" s="1" t="str">
        <f>IF(OR($B173="",W$7=""),"",IF($B173="MEANS",INDEX('1-DATA'!$1:$1048576,$A172-1,COLUMN('1-DATA'!V171)),ROUND(INDEX('1-DATA'!$1:$1048576,IF(OR($B173="STD. DEVIATION",$C$1=1),$A173,$A173+1),COLUMN('1-DATA'!V171)),IF($B173="STD. DEVIATION",2,$F$1))))</f>
        <v/>
      </c>
      <c r="X173" s="1" t="str">
        <f>IF(OR($B173="",X$7=""),"",IF($B173="MEANS",INDEX('1-DATA'!$1:$1048576,$A172-1,COLUMN('1-DATA'!W171)),ROUND(INDEX('1-DATA'!$1:$1048576,IF(OR($B173="STD. DEVIATION",$C$1=1),$A173,$A173+1),COLUMN('1-DATA'!W171)),IF($B173="STD. DEVIATION",2,$F$1))))</f>
        <v/>
      </c>
      <c r="Y173" s="1" t="str">
        <f>IF(OR($B173="",Y$7=""),"",IF($B173="MEANS",INDEX('1-DATA'!$1:$1048576,$A172-1,COLUMN('1-DATA'!X171)),ROUND(INDEX('1-DATA'!$1:$1048576,IF(OR($B173="STD. DEVIATION",$C$1=1),$A173,$A173+1),COLUMN('1-DATA'!X171)),IF($B173="STD. DEVIATION",2,$F$1))))</f>
        <v/>
      </c>
      <c r="Z173" s="1" t="str">
        <f>IF(OR($B173="",Z$7=""),"",IF($B173="MEANS",INDEX('1-DATA'!$1:$1048576,$A172-1,COLUMN('1-DATA'!Y171)),ROUND(INDEX('1-DATA'!$1:$1048576,IF(OR($B173="STD. DEVIATION",$C$1=1),$A173,$A173+1),COLUMN('1-DATA'!Y171)),IF($B173="STD. DEVIATION",2,$F$1))))</f>
        <v/>
      </c>
      <c r="AA173" s="1" t="str">
        <f>IF(OR($B173="",AA$7=""),"",IF($B173="MEANS",INDEX('1-DATA'!$1:$1048576,$A172-1,COLUMN('1-DATA'!Z171)),ROUND(INDEX('1-DATA'!$1:$1048576,IF(OR($B173="STD. DEVIATION",$C$1=1),$A173,$A173+1),COLUMN('1-DATA'!Z171)),IF($B173="STD. DEVIATION",2,$F$1))))</f>
        <v/>
      </c>
      <c r="AB173" s="1" t="str">
        <f>IF(OR($B173="",AB$7=""),"",IF($B173="MEANS",INDEX('1-DATA'!$1:$1048576,$A172-1,COLUMN('1-DATA'!AA171)),ROUND(INDEX('1-DATA'!$1:$1048576,IF(OR($B173="STD. DEVIATION",$C$1=1),$A173,$A173+1),COLUMN('1-DATA'!AA171)),IF($B173="STD. DEVIATION",2,$F$1))))</f>
        <v/>
      </c>
      <c r="AC173" s="1" t="str">
        <f>IF(OR($B173="",AC$7=""),"",IF($B173="MEANS",INDEX('1-DATA'!$1:$1048576,$A172-1,COLUMN('1-DATA'!AB171)),ROUND(INDEX('1-DATA'!$1:$1048576,IF(OR($B173="STD. DEVIATION",$C$1=1),$A173,$A173+1),COLUMN('1-DATA'!AB171)),IF($B173="STD. DEVIATION",2,$F$1))))</f>
        <v/>
      </c>
      <c r="AD173" s="1" t="str">
        <f>IF(OR($B173="",AD$7=""),"",IF($B173="MEANS",INDEX('1-DATA'!$1:$1048576,$A172-1,COLUMN('1-DATA'!AC171)),ROUND(INDEX('1-DATA'!$1:$1048576,IF(OR($B173="STD. DEVIATION",$C$1=1),$A173,$A173+1),COLUMN('1-DATA'!AC171)),IF($B173="STD. DEVIATION",2,$F$1))))</f>
        <v/>
      </c>
      <c r="AE173" s="1" t="str">
        <f>IF(OR($B173="",AE$7=""),"",IF($B173="MEANS",INDEX('1-DATA'!$1:$1048576,$A172-1,COLUMN('1-DATA'!AD171)),ROUND(INDEX('1-DATA'!$1:$1048576,IF(OR($B173="STD. DEVIATION",$C$1=1),$A173,$A173+1),COLUMN('1-DATA'!AD171)),IF($B173="STD. DEVIATION",2,$F$1))))</f>
        <v/>
      </c>
      <c r="AF173" s="1" t="str">
        <f>IF(OR($B173="",AF$7=""),"",IF($B173="MEANS",INDEX('1-DATA'!$1:$1048576,$A172-1,COLUMN('1-DATA'!AE171)),ROUND(INDEX('1-DATA'!$1:$1048576,IF(OR($B173="STD. DEVIATION",$C$1=1),$A173,$A173+1),COLUMN('1-DATA'!AE171)),IF($B173="STD. DEVIATION",2,$F$1))))</f>
        <v/>
      </c>
      <c r="AG173" s="1" t="str">
        <f>IF(OR($B173="",AG$7=""),"",IF($B173="MEANS",INDEX('1-DATA'!$1:$1048576,$A172-1,COLUMN('1-DATA'!AF171)),ROUND(INDEX('1-DATA'!$1:$1048576,IF(OR($B173="STD. DEVIATION",$C$1=1),$A173,$A173+1),COLUMN('1-DATA'!AF171)),IF($B173="STD. DEVIATION",2,$F$1))))</f>
        <v/>
      </c>
      <c r="AH173" s="1" t="str">
        <f>IF(OR($B173="",AH$7=""),"",IF($B173="MEANS",INDEX('1-DATA'!$1:$1048576,$A172-1,COLUMN('1-DATA'!AG171)),ROUND(INDEX('1-DATA'!$1:$1048576,IF(OR($B173="STD. DEVIATION",$C$1=1),$A173,$A173+1),COLUMN('1-DATA'!AG171)),IF($B173="STD. DEVIATION",2,$F$1))))</f>
        <v/>
      </c>
      <c r="AI173" s="1" t="str">
        <f>IF(OR($B173="",AI$7=""),"",IF($B173="MEANS",INDEX('1-DATA'!$1:$1048576,$A172-1,COLUMN('1-DATA'!AH171)),ROUND(INDEX('1-DATA'!$1:$1048576,IF(OR($B173="STD. DEVIATION",$C$1=1),$A173,$A173+1),COLUMN('1-DATA'!AH171)),IF($B173="STD. DEVIATION",2,$F$1))))</f>
        <v/>
      </c>
      <c r="AJ173" s="1" t="str">
        <f>IF(OR($B173="",AJ$7=""),"",IF($B173="MEANS",INDEX('1-DATA'!$1:$1048576,$A172-1,COLUMN('1-DATA'!AI171)),ROUND(INDEX('1-DATA'!$1:$1048576,IF(OR($B173="STD. DEVIATION",$C$1=1),$A173,$A173+1),COLUMN('1-DATA'!AI171)),IF($B173="STD. DEVIATION",2,$F$1))))</f>
        <v/>
      </c>
      <c r="AK173" s="1" t="str">
        <f>IF(OR($B173="",AK$7=""),"",IF($B173="MEANS",INDEX('1-DATA'!$1:$1048576,$A172-1,COLUMN('1-DATA'!AJ171)),ROUND(INDEX('1-DATA'!$1:$1048576,IF(OR($B173="STD. DEVIATION",$C$1=1),$A173,$A173+1),COLUMN('1-DATA'!AJ171)),IF($B173="STD. DEVIATION",2,$F$1))))</f>
        <v/>
      </c>
      <c r="AL173" s="1" t="str">
        <f>IF(OR($B173="",AL$7=""),"",IF($B173="MEANS",INDEX('1-DATA'!$1:$1048576,$A172-1,COLUMN('1-DATA'!AK171)),ROUND(INDEX('1-DATA'!$1:$1048576,IF(OR($B173="STD. DEVIATION",$C$1=1),$A173,$A173+1),COLUMN('1-DATA'!AK171)),IF($B173="STD. DEVIATION",2,$F$1))))</f>
        <v/>
      </c>
      <c r="AM173" s="1" t="str">
        <f>IF(OR($B173="",AM$7=""),"",IF($B173="MEANS",INDEX('1-DATA'!$1:$1048576,$A172-1,COLUMN('1-DATA'!AL171)),ROUND(INDEX('1-DATA'!$1:$1048576,IF(OR($B173="STD. DEVIATION",$C$1=1),$A173,$A173+1),COLUMN('1-DATA'!AL171)),IF($B173="STD. DEVIATION",2,$F$1))))</f>
        <v/>
      </c>
      <c r="AN173" s="1" t="str">
        <f>IF(OR($B173="",AN$7=""),"",IF($B173="MEANS",INDEX('1-DATA'!$1:$1048576,$A172-1,COLUMN('1-DATA'!AM171)),ROUND(INDEX('1-DATA'!$1:$1048576,IF(OR($B173="STD. DEVIATION",$C$1=1),$A173,$A173+1),COLUMN('1-DATA'!AM171)),IF($B173="STD. DEVIATION",2,$F$1))))</f>
        <v/>
      </c>
      <c r="AO173" s="1" t="str">
        <f>IF(OR($B173="",AO$7=""),"",IF($B173="MEANS",INDEX('1-DATA'!$1:$1048576,$A172-1,COLUMN('1-DATA'!AN171)),ROUND(INDEX('1-DATA'!$1:$1048576,IF(OR($B173="STD. DEVIATION",$C$1=1),$A173,$A173+1),COLUMN('1-DATA'!AN171)),IF($B173="STD. DEVIATION",2,$F$1))))</f>
        <v/>
      </c>
      <c r="AP173" s="1" t="str">
        <f>IF(OR($B173="",AP$7=""),"",IF($B173="MEANS",INDEX('1-DATA'!$1:$1048576,$A172-1,COLUMN('1-DATA'!AO171)),ROUND(INDEX('1-DATA'!$1:$1048576,IF(OR($B173="STD. DEVIATION",$C$1=1),$A173,$A173+1),COLUMN('1-DATA'!AO171)),IF($B173="STD. DEVIATION",2,$F$1))))</f>
        <v/>
      </c>
      <c r="AQ173" s="1" t="str">
        <f>IF(OR($B173="",AQ$7=""),"",IF($B173="MEANS",INDEX('1-DATA'!$1:$1048576,$A172-1,COLUMN('1-DATA'!AP171)),ROUND(INDEX('1-DATA'!$1:$1048576,IF(OR($B173="STD. DEVIATION",$C$1=1),$A173,$A173+1),COLUMN('1-DATA'!AP171)),IF($B173="STD. DEVIATION",2,$F$1))))</f>
        <v/>
      </c>
      <c r="AR173" s="1" t="str">
        <f>IF(OR($B173="",AR$7=""),"",IF($B173="MEANS",INDEX('1-DATA'!$1:$1048576,$A172-1,COLUMN('1-DATA'!AQ171)),ROUND(INDEX('1-DATA'!$1:$1048576,IF(OR($B173="STD. DEVIATION",$C$1=1),$A173,$A173+1),COLUMN('1-DATA'!AQ171)),IF($B173="STD. DEVIATION",2,$F$1))))</f>
        <v/>
      </c>
      <c r="AS173" s="1" t="str">
        <f>IF(OR($B173="",AS$7=""),"",IF($B173="MEANS",INDEX('1-DATA'!$1:$1048576,$A172-1,COLUMN('1-DATA'!AR171)),ROUND(INDEX('1-DATA'!$1:$1048576,IF(OR($B173="STD. DEVIATION",$C$1=1),$A173,$A173+1),COLUMN('1-DATA'!AR171)),IF($B173="STD. DEVIATION",2,$F$1))))</f>
        <v/>
      </c>
      <c r="AT173" s="1" t="str">
        <f>IF(OR($B173="",AT$7=""),"",IF($B173="MEANS",INDEX('1-DATA'!$1:$1048576,$A172-1,COLUMN('1-DATA'!AS171)),ROUND(INDEX('1-DATA'!$1:$1048576,IF(OR($B173="STD. DEVIATION",$C$1=1),$A173,$A173+1),COLUMN('1-DATA'!AS171)),IF($B173="STD. DEVIATION",2,$F$1))))</f>
        <v/>
      </c>
      <c r="AU173" s="1" t="str">
        <f>IF(OR($B173="",AU$7=""),"",IF($B173="MEANS",INDEX('1-DATA'!$1:$1048576,$A172-1,COLUMN('1-DATA'!AT171)),ROUND(INDEX('1-DATA'!$1:$1048576,IF(OR($B173="STD. DEVIATION",$C$1=1),$A173,$A173+1),COLUMN('1-DATA'!AT171)),IF($B173="STD. DEVIATION",2,$F$1))))</f>
        <v/>
      </c>
      <c r="AV173" s="1" t="str">
        <f>IF(OR($B173="",AV$7=""),"",IF($B173="MEANS",INDEX('1-DATA'!$1:$1048576,$A172-1,COLUMN('1-DATA'!AU171)),ROUND(INDEX('1-DATA'!$1:$1048576,IF(OR($B173="STD. DEVIATION",$C$1=1),$A173,$A173+1),COLUMN('1-DATA'!AU171)),IF($B173="STD. DEVIATION",2,$F$1))))</f>
        <v/>
      </c>
      <c r="AW173" s="1" t="str">
        <f>IF(OR($B173="",AW$7=""),"",IF($B173="MEANS",INDEX('1-DATA'!$1:$1048576,$A172-1,COLUMN('1-DATA'!AV171)),ROUND(INDEX('1-DATA'!$1:$1048576,IF(OR($B173="STD. DEVIATION",$C$1=1),$A173,$A173+1),COLUMN('1-DATA'!AV171)),IF($B173="STD. DEVIATION",2,$F$1))))</f>
        <v/>
      </c>
      <c r="AX173" s="1" t="str">
        <f>IF(OR($B173="",AX$7=""),"",IF($B173="MEANS",INDEX('1-DATA'!$1:$1048576,$A172-1,COLUMN('1-DATA'!AW171)),ROUND(INDEX('1-DATA'!$1:$1048576,IF(OR($B173="STD. DEVIATION",$C$1=1),$A173,$A173+1),COLUMN('1-DATA'!AW171)),IF($B173="STD. DEVIATION",2,$F$1))))</f>
        <v/>
      </c>
      <c r="AY173" s="1" t="str">
        <f>IF(OR($B173="",AY$7=""),"",IF($B173="MEANS",INDEX('1-DATA'!$1:$1048576,$A172-1,COLUMN('1-DATA'!AX171)),ROUND(INDEX('1-DATA'!$1:$1048576,IF(OR($B173="STD. DEVIATION",$C$1=1),$A173,$A173+1),COLUMN('1-DATA'!AX171)),IF($B173="STD. DEVIATION",2,$F$1))))</f>
        <v/>
      </c>
      <c r="AZ173" s="1" t="str">
        <f>IF(OR($B173="",AZ$7=""),"",IF($B173="MEANS",INDEX('1-DATA'!$1:$1048576,$A172-1,COLUMN('1-DATA'!AY171)),ROUND(INDEX('1-DATA'!$1:$1048576,IF(OR($B173="STD. DEVIATION",$C$1=1),$A173,$A173+1),COLUMN('1-DATA'!AY171)),IF($B173="STD. DEVIATION",2,$F$1))))</f>
        <v/>
      </c>
    </row>
    <row r="174" spans="1:52" x14ac:dyDescent="0.25">
      <c r="A174" s="11">
        <f t="shared" si="3"/>
        <v>508</v>
      </c>
      <c r="B174" s="1" t="str">
        <f>IF(B173="STD. DEVIATION",INDEX('1-DATA'!$1:$1048576,$A173-1,1),IF(INDEX('1-DATA'!$1:$1048576,$A174,1)&lt;&gt;"",INDEX('1-DATA'!$1:$1048576,$A174,1),""))</f>
        <v/>
      </c>
      <c r="C174" s="1" t="str">
        <f>IF(OR($B174="",C$7=""),"",IF($B174="MEANS",INDEX('1-DATA'!$1:$1048576,$A173-1,COLUMN('1-DATA'!B172)),ROUND(INDEX('1-DATA'!$1:$1048576,IF(OR($B174="STD. DEVIATION",$C$1=1),$A174,$A174+1),COLUMN('1-DATA'!B172)),IF($B174="STD. DEVIATION",2,$F$1))))</f>
        <v/>
      </c>
      <c r="D174" s="1" t="str">
        <f>IF(OR($B174="",D$7=""),"",IF($B174="MEANS",INDEX('1-DATA'!$1:$1048576,$A173-1,COLUMN('1-DATA'!C172)),ROUND(INDEX('1-DATA'!$1:$1048576,IF(OR($B174="STD. DEVIATION",$C$1=1),$A174,$A174+1),COLUMN('1-DATA'!C172)),IF($B174="STD. DEVIATION",2,$F$1))))</f>
        <v/>
      </c>
      <c r="E174" s="1" t="str">
        <f>IF(OR($B174="",E$7=""),"",IF($B174="MEANS",INDEX('1-DATA'!$1:$1048576,$A173-1,COLUMN('1-DATA'!D172)),ROUND(INDEX('1-DATA'!$1:$1048576,IF(OR($B174="STD. DEVIATION",$C$1=1),$A174,$A174+1),COLUMN('1-DATA'!D172)),IF($B174="STD. DEVIATION",2,$F$1))))</f>
        <v/>
      </c>
      <c r="F174" s="1" t="str">
        <f>IF(OR($B174="",F$7=""),"",IF($B174="MEANS",INDEX('1-DATA'!$1:$1048576,$A173-1,COLUMN('1-DATA'!E172)),ROUND(INDEX('1-DATA'!$1:$1048576,IF(OR($B174="STD. DEVIATION",$C$1=1),$A174,$A174+1),COLUMN('1-DATA'!E172)),IF($B174="STD. DEVIATION",2,$F$1))))</f>
        <v/>
      </c>
      <c r="G174" s="1" t="str">
        <f>IF(OR($B174="",G$7=""),"",IF($B174="MEANS",INDEX('1-DATA'!$1:$1048576,$A173-1,COLUMN('1-DATA'!F172)),ROUND(INDEX('1-DATA'!$1:$1048576,IF(OR($B174="STD. DEVIATION",$C$1=1),$A174,$A174+1),COLUMN('1-DATA'!F172)),IF($B174="STD. DEVIATION",2,$F$1))))</f>
        <v/>
      </c>
      <c r="H174" s="1" t="str">
        <f>IF(OR($B174="",H$7=""),"",IF($B174="MEANS",INDEX('1-DATA'!$1:$1048576,$A173-1,COLUMN('1-DATA'!G172)),ROUND(INDEX('1-DATA'!$1:$1048576,IF(OR($B174="STD. DEVIATION",$C$1=1),$A174,$A174+1),COLUMN('1-DATA'!G172)),IF($B174="STD. DEVIATION",2,$F$1))))</f>
        <v/>
      </c>
      <c r="I174" s="1" t="str">
        <f>IF(OR($B174="",I$7=""),"",IF($B174="MEANS",INDEX('1-DATA'!$1:$1048576,$A173-1,COLUMN('1-DATA'!H172)),ROUND(INDEX('1-DATA'!$1:$1048576,IF(OR($B174="STD. DEVIATION",$C$1=1),$A174,$A174+1),COLUMN('1-DATA'!H172)),IF($B174="STD. DEVIATION",2,$F$1))))</f>
        <v/>
      </c>
      <c r="J174" s="1" t="str">
        <f>IF(OR($B174="",J$7=""),"",IF($B174="MEANS",INDEX('1-DATA'!$1:$1048576,$A173-1,COLUMN('1-DATA'!I172)),ROUND(INDEX('1-DATA'!$1:$1048576,IF(OR($B174="STD. DEVIATION",$C$1=1),$A174,$A174+1),COLUMN('1-DATA'!I172)),IF($B174="STD. DEVIATION",2,$F$1))))</f>
        <v/>
      </c>
      <c r="K174" s="1" t="str">
        <f>IF(OR($B174="",K$7=""),"",IF($B174="MEANS",INDEX('1-DATA'!$1:$1048576,$A173-1,COLUMN('1-DATA'!J172)),ROUND(INDEX('1-DATA'!$1:$1048576,IF(OR($B174="STD. DEVIATION",$C$1=1),$A174,$A174+1),COLUMN('1-DATA'!J172)),IF($B174="STD. DEVIATION",2,$F$1))))</f>
        <v/>
      </c>
      <c r="L174" s="1" t="str">
        <f>IF(OR($B174="",L$7=""),"",IF($B174="MEANS",INDEX('1-DATA'!$1:$1048576,$A173-1,COLUMN('1-DATA'!K172)),ROUND(INDEX('1-DATA'!$1:$1048576,IF(OR($B174="STD. DEVIATION",$C$1=1),$A174,$A174+1),COLUMN('1-DATA'!K172)),IF($B174="STD. DEVIATION",2,$F$1))))</f>
        <v/>
      </c>
      <c r="M174" s="1" t="str">
        <f>IF(OR($B174="",M$7=""),"",IF($B174="MEANS",INDEX('1-DATA'!$1:$1048576,$A173-1,COLUMN('1-DATA'!L172)),ROUND(INDEX('1-DATA'!$1:$1048576,IF(OR($B174="STD. DEVIATION",$C$1=1),$A174,$A174+1),COLUMN('1-DATA'!L172)),IF($B174="STD. DEVIATION",2,$F$1))))</f>
        <v/>
      </c>
      <c r="N174" s="1" t="str">
        <f>IF(OR($B174="",N$7=""),"",IF($B174="MEANS",INDEX('1-DATA'!$1:$1048576,$A173-1,COLUMN('1-DATA'!M172)),ROUND(INDEX('1-DATA'!$1:$1048576,IF(OR($B174="STD. DEVIATION",$C$1=1),$A174,$A174+1),COLUMN('1-DATA'!M172)),IF($B174="STD. DEVIATION",2,$F$1))))</f>
        <v/>
      </c>
      <c r="O174" s="1" t="str">
        <f>IF(OR($B174="",O$7=""),"",IF($B174="MEANS",INDEX('1-DATA'!$1:$1048576,$A173-1,COLUMN('1-DATA'!N172)),ROUND(INDEX('1-DATA'!$1:$1048576,IF(OR($B174="STD. DEVIATION",$C$1=1),$A174,$A174+1),COLUMN('1-DATA'!N172)),IF($B174="STD. DEVIATION",2,$F$1))))</f>
        <v/>
      </c>
      <c r="P174" s="1" t="str">
        <f>IF(OR($B174="",P$7=""),"",IF($B174="MEANS",INDEX('1-DATA'!$1:$1048576,$A173-1,COLUMN('1-DATA'!O172)),ROUND(INDEX('1-DATA'!$1:$1048576,IF(OR($B174="STD. DEVIATION",$C$1=1),$A174,$A174+1),COLUMN('1-DATA'!O172)),IF($B174="STD. DEVIATION",2,$F$1))))</f>
        <v/>
      </c>
      <c r="Q174" s="1" t="str">
        <f>IF(OR($B174="",Q$7=""),"",IF($B174="MEANS",INDEX('1-DATA'!$1:$1048576,$A173-1,COLUMN('1-DATA'!P172)),ROUND(INDEX('1-DATA'!$1:$1048576,IF(OR($B174="STD. DEVIATION",$C$1=1),$A174,$A174+1),COLUMN('1-DATA'!P172)),IF($B174="STD. DEVIATION",2,$F$1))))</f>
        <v/>
      </c>
      <c r="R174" s="1" t="str">
        <f>IF(OR($B174="",R$7=""),"",IF($B174="MEANS",INDEX('1-DATA'!$1:$1048576,$A173-1,COLUMN('1-DATA'!Q172)),ROUND(INDEX('1-DATA'!$1:$1048576,IF(OR($B174="STD. DEVIATION",$C$1=1),$A174,$A174+1),COLUMN('1-DATA'!Q172)),IF($B174="STD. DEVIATION",2,$F$1))))</f>
        <v/>
      </c>
      <c r="S174" s="1" t="str">
        <f>IF(OR($B174="",S$7=""),"",IF($B174="MEANS",INDEX('1-DATA'!$1:$1048576,$A173-1,COLUMN('1-DATA'!R172)),ROUND(INDEX('1-DATA'!$1:$1048576,IF(OR($B174="STD. DEVIATION",$C$1=1),$A174,$A174+1),COLUMN('1-DATA'!R172)),IF($B174="STD. DEVIATION",2,$F$1))))</f>
        <v/>
      </c>
      <c r="T174" s="1" t="str">
        <f>IF(OR($B174="",T$7=""),"",IF($B174="MEANS",INDEX('1-DATA'!$1:$1048576,$A173-1,COLUMN('1-DATA'!S172)),ROUND(INDEX('1-DATA'!$1:$1048576,IF(OR($B174="STD. DEVIATION",$C$1=1),$A174,$A174+1),COLUMN('1-DATA'!S172)),IF($B174="STD. DEVIATION",2,$F$1))))</f>
        <v/>
      </c>
      <c r="U174" s="1" t="str">
        <f>IF(OR($B174="",U$7=""),"",IF($B174="MEANS",INDEX('1-DATA'!$1:$1048576,$A173-1,COLUMN('1-DATA'!T172)),ROUND(INDEX('1-DATA'!$1:$1048576,IF(OR($B174="STD. DEVIATION",$C$1=1),$A174,$A174+1),COLUMN('1-DATA'!T172)),IF($B174="STD. DEVIATION",2,$F$1))))</f>
        <v/>
      </c>
      <c r="V174" s="1" t="str">
        <f>IF(OR($B174="",V$7=""),"",IF($B174="MEANS",INDEX('1-DATA'!$1:$1048576,$A173-1,COLUMN('1-DATA'!U172)),ROUND(INDEX('1-DATA'!$1:$1048576,IF(OR($B174="STD. DEVIATION",$C$1=1),$A174,$A174+1),COLUMN('1-DATA'!U172)),IF($B174="STD. DEVIATION",2,$F$1))))</f>
        <v/>
      </c>
      <c r="W174" s="1" t="str">
        <f>IF(OR($B174="",W$7=""),"",IF($B174="MEANS",INDEX('1-DATA'!$1:$1048576,$A173-1,COLUMN('1-DATA'!V172)),ROUND(INDEX('1-DATA'!$1:$1048576,IF(OR($B174="STD. DEVIATION",$C$1=1),$A174,$A174+1),COLUMN('1-DATA'!V172)),IF($B174="STD. DEVIATION",2,$F$1))))</f>
        <v/>
      </c>
      <c r="X174" s="1" t="str">
        <f>IF(OR($B174="",X$7=""),"",IF($B174="MEANS",INDEX('1-DATA'!$1:$1048576,$A173-1,COLUMN('1-DATA'!W172)),ROUND(INDEX('1-DATA'!$1:$1048576,IF(OR($B174="STD. DEVIATION",$C$1=1),$A174,$A174+1),COLUMN('1-DATA'!W172)),IF($B174="STD. DEVIATION",2,$F$1))))</f>
        <v/>
      </c>
      <c r="Y174" s="1" t="str">
        <f>IF(OR($B174="",Y$7=""),"",IF($B174="MEANS",INDEX('1-DATA'!$1:$1048576,$A173-1,COLUMN('1-DATA'!X172)),ROUND(INDEX('1-DATA'!$1:$1048576,IF(OR($B174="STD. DEVIATION",$C$1=1),$A174,$A174+1),COLUMN('1-DATA'!X172)),IF($B174="STD. DEVIATION",2,$F$1))))</f>
        <v/>
      </c>
      <c r="Z174" s="1" t="str">
        <f>IF(OR($B174="",Z$7=""),"",IF($B174="MEANS",INDEX('1-DATA'!$1:$1048576,$A173-1,COLUMN('1-DATA'!Y172)),ROUND(INDEX('1-DATA'!$1:$1048576,IF(OR($B174="STD. DEVIATION",$C$1=1),$A174,$A174+1),COLUMN('1-DATA'!Y172)),IF($B174="STD. DEVIATION",2,$F$1))))</f>
        <v/>
      </c>
      <c r="AA174" s="1" t="str">
        <f>IF(OR($B174="",AA$7=""),"",IF($B174="MEANS",INDEX('1-DATA'!$1:$1048576,$A173-1,COLUMN('1-DATA'!Z172)),ROUND(INDEX('1-DATA'!$1:$1048576,IF(OR($B174="STD. DEVIATION",$C$1=1),$A174,$A174+1),COLUMN('1-DATA'!Z172)),IF($B174="STD. DEVIATION",2,$F$1))))</f>
        <v/>
      </c>
      <c r="AB174" s="1" t="str">
        <f>IF(OR($B174="",AB$7=""),"",IF($B174="MEANS",INDEX('1-DATA'!$1:$1048576,$A173-1,COLUMN('1-DATA'!AA172)),ROUND(INDEX('1-DATA'!$1:$1048576,IF(OR($B174="STD. DEVIATION",$C$1=1),$A174,$A174+1),COLUMN('1-DATA'!AA172)),IF($B174="STD. DEVIATION",2,$F$1))))</f>
        <v/>
      </c>
      <c r="AC174" s="1" t="str">
        <f>IF(OR($B174="",AC$7=""),"",IF($B174="MEANS",INDEX('1-DATA'!$1:$1048576,$A173-1,COLUMN('1-DATA'!AB172)),ROUND(INDEX('1-DATA'!$1:$1048576,IF(OR($B174="STD. DEVIATION",$C$1=1),$A174,$A174+1),COLUMN('1-DATA'!AB172)),IF($B174="STD. DEVIATION",2,$F$1))))</f>
        <v/>
      </c>
      <c r="AD174" s="1" t="str">
        <f>IF(OR($B174="",AD$7=""),"",IF($B174="MEANS",INDEX('1-DATA'!$1:$1048576,$A173-1,COLUMN('1-DATA'!AC172)),ROUND(INDEX('1-DATA'!$1:$1048576,IF(OR($B174="STD. DEVIATION",$C$1=1),$A174,$A174+1),COLUMN('1-DATA'!AC172)),IF($B174="STD. DEVIATION",2,$F$1))))</f>
        <v/>
      </c>
      <c r="AE174" s="1" t="str">
        <f>IF(OR($B174="",AE$7=""),"",IF($B174="MEANS",INDEX('1-DATA'!$1:$1048576,$A173-1,COLUMN('1-DATA'!AD172)),ROUND(INDEX('1-DATA'!$1:$1048576,IF(OR($B174="STD. DEVIATION",$C$1=1),$A174,$A174+1),COLUMN('1-DATA'!AD172)),IF($B174="STD. DEVIATION",2,$F$1))))</f>
        <v/>
      </c>
      <c r="AF174" s="1" t="str">
        <f>IF(OR($B174="",AF$7=""),"",IF($B174="MEANS",INDEX('1-DATA'!$1:$1048576,$A173-1,COLUMN('1-DATA'!AE172)),ROUND(INDEX('1-DATA'!$1:$1048576,IF(OR($B174="STD. DEVIATION",$C$1=1),$A174,$A174+1),COLUMN('1-DATA'!AE172)),IF($B174="STD. DEVIATION",2,$F$1))))</f>
        <v/>
      </c>
      <c r="AG174" s="1" t="str">
        <f>IF(OR($B174="",AG$7=""),"",IF($B174="MEANS",INDEX('1-DATA'!$1:$1048576,$A173-1,COLUMN('1-DATA'!AF172)),ROUND(INDEX('1-DATA'!$1:$1048576,IF(OR($B174="STD. DEVIATION",$C$1=1),$A174,$A174+1),COLUMN('1-DATA'!AF172)),IF($B174="STD. DEVIATION",2,$F$1))))</f>
        <v/>
      </c>
      <c r="AH174" s="1" t="str">
        <f>IF(OR($B174="",AH$7=""),"",IF($B174="MEANS",INDEX('1-DATA'!$1:$1048576,$A173-1,COLUMN('1-DATA'!AG172)),ROUND(INDEX('1-DATA'!$1:$1048576,IF(OR($B174="STD. DEVIATION",$C$1=1),$A174,$A174+1),COLUMN('1-DATA'!AG172)),IF($B174="STD. DEVIATION",2,$F$1))))</f>
        <v/>
      </c>
      <c r="AI174" s="1" t="str">
        <f>IF(OR($B174="",AI$7=""),"",IF($B174="MEANS",INDEX('1-DATA'!$1:$1048576,$A173-1,COLUMN('1-DATA'!AH172)),ROUND(INDEX('1-DATA'!$1:$1048576,IF(OR($B174="STD. DEVIATION",$C$1=1),$A174,$A174+1),COLUMN('1-DATA'!AH172)),IF($B174="STD. DEVIATION",2,$F$1))))</f>
        <v/>
      </c>
      <c r="AJ174" s="1" t="str">
        <f>IF(OR($B174="",AJ$7=""),"",IF($B174="MEANS",INDEX('1-DATA'!$1:$1048576,$A173-1,COLUMN('1-DATA'!AI172)),ROUND(INDEX('1-DATA'!$1:$1048576,IF(OR($B174="STD. DEVIATION",$C$1=1),$A174,$A174+1),COLUMN('1-DATA'!AI172)),IF($B174="STD. DEVIATION",2,$F$1))))</f>
        <v/>
      </c>
      <c r="AK174" s="1" t="str">
        <f>IF(OR($B174="",AK$7=""),"",IF($B174="MEANS",INDEX('1-DATA'!$1:$1048576,$A173-1,COLUMN('1-DATA'!AJ172)),ROUND(INDEX('1-DATA'!$1:$1048576,IF(OR($B174="STD. DEVIATION",$C$1=1),$A174,$A174+1),COLUMN('1-DATA'!AJ172)),IF($B174="STD. DEVIATION",2,$F$1))))</f>
        <v/>
      </c>
      <c r="AL174" s="1" t="str">
        <f>IF(OR($B174="",AL$7=""),"",IF($B174="MEANS",INDEX('1-DATA'!$1:$1048576,$A173-1,COLUMN('1-DATA'!AK172)),ROUND(INDEX('1-DATA'!$1:$1048576,IF(OR($B174="STD. DEVIATION",$C$1=1),$A174,$A174+1),COLUMN('1-DATA'!AK172)),IF($B174="STD. DEVIATION",2,$F$1))))</f>
        <v/>
      </c>
      <c r="AM174" s="1" t="str">
        <f>IF(OR($B174="",AM$7=""),"",IF($B174="MEANS",INDEX('1-DATA'!$1:$1048576,$A173-1,COLUMN('1-DATA'!AL172)),ROUND(INDEX('1-DATA'!$1:$1048576,IF(OR($B174="STD. DEVIATION",$C$1=1),$A174,$A174+1),COLUMN('1-DATA'!AL172)),IF($B174="STD. DEVIATION",2,$F$1))))</f>
        <v/>
      </c>
      <c r="AN174" s="1" t="str">
        <f>IF(OR($B174="",AN$7=""),"",IF($B174="MEANS",INDEX('1-DATA'!$1:$1048576,$A173-1,COLUMN('1-DATA'!AM172)),ROUND(INDEX('1-DATA'!$1:$1048576,IF(OR($B174="STD. DEVIATION",$C$1=1),$A174,$A174+1),COLUMN('1-DATA'!AM172)),IF($B174="STD. DEVIATION",2,$F$1))))</f>
        <v/>
      </c>
      <c r="AO174" s="1" t="str">
        <f>IF(OR($B174="",AO$7=""),"",IF($B174="MEANS",INDEX('1-DATA'!$1:$1048576,$A173-1,COLUMN('1-DATA'!AN172)),ROUND(INDEX('1-DATA'!$1:$1048576,IF(OR($B174="STD. DEVIATION",$C$1=1),$A174,$A174+1),COLUMN('1-DATA'!AN172)),IF($B174="STD. DEVIATION",2,$F$1))))</f>
        <v/>
      </c>
      <c r="AP174" s="1" t="str">
        <f>IF(OR($B174="",AP$7=""),"",IF($B174="MEANS",INDEX('1-DATA'!$1:$1048576,$A173-1,COLUMN('1-DATA'!AO172)),ROUND(INDEX('1-DATA'!$1:$1048576,IF(OR($B174="STD. DEVIATION",$C$1=1),$A174,$A174+1),COLUMN('1-DATA'!AO172)),IF($B174="STD. DEVIATION",2,$F$1))))</f>
        <v/>
      </c>
      <c r="AQ174" s="1" t="str">
        <f>IF(OR($B174="",AQ$7=""),"",IF($B174="MEANS",INDEX('1-DATA'!$1:$1048576,$A173-1,COLUMN('1-DATA'!AP172)),ROUND(INDEX('1-DATA'!$1:$1048576,IF(OR($B174="STD. DEVIATION",$C$1=1),$A174,$A174+1),COLUMN('1-DATA'!AP172)),IF($B174="STD. DEVIATION",2,$F$1))))</f>
        <v/>
      </c>
      <c r="AR174" s="1" t="str">
        <f>IF(OR($B174="",AR$7=""),"",IF($B174="MEANS",INDEX('1-DATA'!$1:$1048576,$A173-1,COLUMN('1-DATA'!AQ172)),ROUND(INDEX('1-DATA'!$1:$1048576,IF(OR($B174="STD. DEVIATION",$C$1=1),$A174,$A174+1),COLUMN('1-DATA'!AQ172)),IF($B174="STD. DEVIATION",2,$F$1))))</f>
        <v/>
      </c>
      <c r="AS174" s="1" t="str">
        <f>IF(OR($B174="",AS$7=""),"",IF($B174="MEANS",INDEX('1-DATA'!$1:$1048576,$A173-1,COLUMN('1-DATA'!AR172)),ROUND(INDEX('1-DATA'!$1:$1048576,IF(OR($B174="STD. DEVIATION",$C$1=1),$A174,$A174+1),COLUMN('1-DATA'!AR172)),IF($B174="STD. DEVIATION",2,$F$1))))</f>
        <v/>
      </c>
      <c r="AT174" s="1" t="str">
        <f>IF(OR($B174="",AT$7=""),"",IF($B174="MEANS",INDEX('1-DATA'!$1:$1048576,$A173-1,COLUMN('1-DATA'!AS172)),ROUND(INDEX('1-DATA'!$1:$1048576,IF(OR($B174="STD. DEVIATION",$C$1=1),$A174,$A174+1),COLUMN('1-DATA'!AS172)),IF($B174="STD. DEVIATION",2,$F$1))))</f>
        <v/>
      </c>
      <c r="AU174" s="1" t="str">
        <f>IF(OR($B174="",AU$7=""),"",IF($B174="MEANS",INDEX('1-DATA'!$1:$1048576,$A173-1,COLUMN('1-DATA'!AT172)),ROUND(INDEX('1-DATA'!$1:$1048576,IF(OR($B174="STD. DEVIATION",$C$1=1),$A174,$A174+1),COLUMN('1-DATA'!AT172)),IF($B174="STD. DEVIATION",2,$F$1))))</f>
        <v/>
      </c>
      <c r="AV174" s="1" t="str">
        <f>IF(OR($B174="",AV$7=""),"",IF($B174="MEANS",INDEX('1-DATA'!$1:$1048576,$A173-1,COLUMN('1-DATA'!AU172)),ROUND(INDEX('1-DATA'!$1:$1048576,IF(OR($B174="STD. DEVIATION",$C$1=1),$A174,$A174+1),COLUMN('1-DATA'!AU172)),IF($B174="STD. DEVIATION",2,$F$1))))</f>
        <v/>
      </c>
      <c r="AW174" s="1" t="str">
        <f>IF(OR($B174="",AW$7=""),"",IF($B174="MEANS",INDEX('1-DATA'!$1:$1048576,$A173-1,COLUMN('1-DATA'!AV172)),ROUND(INDEX('1-DATA'!$1:$1048576,IF(OR($B174="STD. DEVIATION",$C$1=1),$A174,$A174+1),COLUMN('1-DATA'!AV172)),IF($B174="STD. DEVIATION",2,$F$1))))</f>
        <v/>
      </c>
      <c r="AX174" s="1" t="str">
        <f>IF(OR($B174="",AX$7=""),"",IF($B174="MEANS",INDEX('1-DATA'!$1:$1048576,$A173-1,COLUMN('1-DATA'!AW172)),ROUND(INDEX('1-DATA'!$1:$1048576,IF(OR($B174="STD. DEVIATION",$C$1=1),$A174,$A174+1),COLUMN('1-DATA'!AW172)),IF($B174="STD. DEVIATION",2,$F$1))))</f>
        <v/>
      </c>
      <c r="AY174" s="1" t="str">
        <f>IF(OR($B174="",AY$7=""),"",IF($B174="MEANS",INDEX('1-DATA'!$1:$1048576,$A173-1,COLUMN('1-DATA'!AX172)),ROUND(INDEX('1-DATA'!$1:$1048576,IF(OR($B174="STD. DEVIATION",$C$1=1),$A174,$A174+1),COLUMN('1-DATA'!AX172)),IF($B174="STD. DEVIATION",2,$F$1))))</f>
        <v/>
      </c>
      <c r="AZ174" s="1" t="str">
        <f>IF(OR($B174="",AZ$7=""),"",IF($B174="MEANS",INDEX('1-DATA'!$1:$1048576,$A173-1,COLUMN('1-DATA'!AY172)),ROUND(INDEX('1-DATA'!$1:$1048576,IF(OR($B174="STD. DEVIATION",$C$1=1),$A174,$A174+1),COLUMN('1-DATA'!AY172)),IF($B174="STD. DEVIATION",2,$F$1))))</f>
        <v/>
      </c>
    </row>
    <row r="175" spans="1:52" x14ac:dyDescent="0.25">
      <c r="A175" s="11">
        <f t="shared" si="3"/>
        <v>511</v>
      </c>
      <c r="B175" s="1" t="str">
        <f>IF(B174="STD. DEVIATION",INDEX('1-DATA'!$1:$1048576,$A174-1,1),IF(INDEX('1-DATA'!$1:$1048576,$A175,1)&lt;&gt;"",INDEX('1-DATA'!$1:$1048576,$A175,1),""))</f>
        <v/>
      </c>
      <c r="C175" s="1" t="str">
        <f>IF(OR($B175="",C$7=""),"",IF($B175="MEANS",INDEX('1-DATA'!$1:$1048576,$A174-1,COLUMN('1-DATA'!B173)),ROUND(INDEX('1-DATA'!$1:$1048576,IF(OR($B175="STD. DEVIATION",$C$1=1),$A175,$A175+1),COLUMN('1-DATA'!B173)),IF($B175="STD. DEVIATION",2,$F$1))))</f>
        <v/>
      </c>
      <c r="D175" s="1" t="str">
        <f>IF(OR($B175="",D$7=""),"",IF($B175="MEANS",INDEX('1-DATA'!$1:$1048576,$A174-1,COLUMN('1-DATA'!C173)),ROUND(INDEX('1-DATA'!$1:$1048576,IF(OR($B175="STD. DEVIATION",$C$1=1),$A175,$A175+1),COLUMN('1-DATA'!C173)),IF($B175="STD. DEVIATION",2,$F$1))))</f>
        <v/>
      </c>
      <c r="E175" s="1" t="str">
        <f>IF(OR($B175="",E$7=""),"",IF($B175="MEANS",INDEX('1-DATA'!$1:$1048576,$A174-1,COLUMN('1-DATA'!D173)),ROUND(INDEX('1-DATA'!$1:$1048576,IF(OR($B175="STD. DEVIATION",$C$1=1),$A175,$A175+1),COLUMN('1-DATA'!D173)),IF($B175="STD. DEVIATION",2,$F$1))))</f>
        <v/>
      </c>
      <c r="F175" s="1" t="str">
        <f>IF(OR($B175="",F$7=""),"",IF($B175="MEANS",INDEX('1-DATA'!$1:$1048576,$A174-1,COLUMN('1-DATA'!E173)),ROUND(INDEX('1-DATA'!$1:$1048576,IF(OR($B175="STD. DEVIATION",$C$1=1),$A175,$A175+1),COLUMN('1-DATA'!E173)),IF($B175="STD. DEVIATION",2,$F$1))))</f>
        <v/>
      </c>
      <c r="G175" s="1" t="str">
        <f>IF(OR($B175="",G$7=""),"",IF($B175="MEANS",INDEX('1-DATA'!$1:$1048576,$A174-1,COLUMN('1-DATA'!F173)),ROUND(INDEX('1-DATA'!$1:$1048576,IF(OR($B175="STD. DEVIATION",$C$1=1),$A175,$A175+1),COLUMN('1-DATA'!F173)),IF($B175="STD. DEVIATION",2,$F$1))))</f>
        <v/>
      </c>
      <c r="H175" s="1" t="str">
        <f>IF(OR($B175="",H$7=""),"",IF($B175="MEANS",INDEX('1-DATA'!$1:$1048576,$A174-1,COLUMN('1-DATA'!G173)),ROUND(INDEX('1-DATA'!$1:$1048576,IF(OR($B175="STD. DEVIATION",$C$1=1),$A175,$A175+1),COLUMN('1-DATA'!G173)),IF($B175="STD. DEVIATION",2,$F$1))))</f>
        <v/>
      </c>
      <c r="I175" s="1" t="str">
        <f>IF(OR($B175="",I$7=""),"",IF($B175="MEANS",INDEX('1-DATA'!$1:$1048576,$A174-1,COLUMN('1-DATA'!H173)),ROUND(INDEX('1-DATA'!$1:$1048576,IF(OR($B175="STD. DEVIATION",$C$1=1),$A175,$A175+1),COLUMN('1-DATA'!H173)),IF($B175="STD. DEVIATION",2,$F$1))))</f>
        <v/>
      </c>
      <c r="J175" s="1" t="str">
        <f>IF(OR($B175="",J$7=""),"",IF($B175="MEANS",INDEX('1-DATA'!$1:$1048576,$A174-1,COLUMN('1-DATA'!I173)),ROUND(INDEX('1-DATA'!$1:$1048576,IF(OR($B175="STD. DEVIATION",$C$1=1),$A175,$A175+1),COLUMN('1-DATA'!I173)),IF($B175="STD. DEVIATION",2,$F$1))))</f>
        <v/>
      </c>
      <c r="K175" s="1" t="str">
        <f>IF(OR($B175="",K$7=""),"",IF($B175="MEANS",INDEX('1-DATA'!$1:$1048576,$A174-1,COLUMN('1-DATA'!J173)),ROUND(INDEX('1-DATA'!$1:$1048576,IF(OR($B175="STD. DEVIATION",$C$1=1),$A175,$A175+1),COLUMN('1-DATA'!J173)),IF($B175="STD. DEVIATION",2,$F$1))))</f>
        <v/>
      </c>
      <c r="L175" s="1" t="str">
        <f>IF(OR($B175="",L$7=""),"",IF($B175="MEANS",INDEX('1-DATA'!$1:$1048576,$A174-1,COLUMN('1-DATA'!K173)),ROUND(INDEX('1-DATA'!$1:$1048576,IF(OR($B175="STD. DEVIATION",$C$1=1),$A175,$A175+1),COLUMN('1-DATA'!K173)),IF($B175="STD. DEVIATION",2,$F$1))))</f>
        <v/>
      </c>
      <c r="M175" s="1" t="str">
        <f>IF(OR($B175="",M$7=""),"",IF($B175="MEANS",INDEX('1-DATA'!$1:$1048576,$A174-1,COLUMN('1-DATA'!L173)),ROUND(INDEX('1-DATA'!$1:$1048576,IF(OR($B175="STD. DEVIATION",$C$1=1),$A175,$A175+1),COLUMN('1-DATA'!L173)),IF($B175="STD. DEVIATION",2,$F$1))))</f>
        <v/>
      </c>
      <c r="N175" s="1" t="str">
        <f>IF(OR($B175="",N$7=""),"",IF($B175="MEANS",INDEX('1-DATA'!$1:$1048576,$A174-1,COLUMN('1-DATA'!M173)),ROUND(INDEX('1-DATA'!$1:$1048576,IF(OR($B175="STD. DEVIATION",$C$1=1),$A175,$A175+1),COLUMN('1-DATA'!M173)),IF($B175="STD. DEVIATION",2,$F$1))))</f>
        <v/>
      </c>
      <c r="O175" s="1" t="str">
        <f>IF(OR($B175="",O$7=""),"",IF($B175="MEANS",INDEX('1-DATA'!$1:$1048576,$A174-1,COLUMN('1-DATA'!N173)),ROUND(INDEX('1-DATA'!$1:$1048576,IF(OR($B175="STD. DEVIATION",$C$1=1),$A175,$A175+1),COLUMN('1-DATA'!N173)),IF($B175="STD. DEVIATION",2,$F$1))))</f>
        <v/>
      </c>
      <c r="P175" s="1" t="str">
        <f>IF(OR($B175="",P$7=""),"",IF($B175="MEANS",INDEX('1-DATA'!$1:$1048576,$A174-1,COLUMN('1-DATA'!O173)),ROUND(INDEX('1-DATA'!$1:$1048576,IF(OR($B175="STD. DEVIATION",$C$1=1),$A175,$A175+1),COLUMN('1-DATA'!O173)),IF($B175="STD. DEVIATION",2,$F$1))))</f>
        <v/>
      </c>
      <c r="Q175" s="1" t="str">
        <f>IF(OR($B175="",Q$7=""),"",IF($B175="MEANS",INDEX('1-DATA'!$1:$1048576,$A174-1,COLUMN('1-DATA'!P173)),ROUND(INDEX('1-DATA'!$1:$1048576,IF(OR($B175="STD. DEVIATION",$C$1=1),$A175,$A175+1),COLUMN('1-DATA'!P173)),IF($B175="STD. DEVIATION",2,$F$1))))</f>
        <v/>
      </c>
      <c r="R175" s="1" t="str">
        <f>IF(OR($B175="",R$7=""),"",IF($B175="MEANS",INDEX('1-DATA'!$1:$1048576,$A174-1,COLUMN('1-DATA'!Q173)),ROUND(INDEX('1-DATA'!$1:$1048576,IF(OR($B175="STD. DEVIATION",$C$1=1),$A175,$A175+1),COLUMN('1-DATA'!Q173)),IF($B175="STD. DEVIATION",2,$F$1))))</f>
        <v/>
      </c>
      <c r="S175" s="1" t="str">
        <f>IF(OR($B175="",S$7=""),"",IF($B175="MEANS",INDEX('1-DATA'!$1:$1048576,$A174-1,COLUMN('1-DATA'!R173)),ROUND(INDEX('1-DATA'!$1:$1048576,IF(OR($B175="STD. DEVIATION",$C$1=1),$A175,$A175+1),COLUMN('1-DATA'!R173)),IF($B175="STD. DEVIATION",2,$F$1))))</f>
        <v/>
      </c>
      <c r="T175" s="1" t="str">
        <f>IF(OR($B175="",T$7=""),"",IF($B175="MEANS",INDEX('1-DATA'!$1:$1048576,$A174-1,COLUMN('1-DATA'!S173)),ROUND(INDEX('1-DATA'!$1:$1048576,IF(OR($B175="STD. DEVIATION",$C$1=1),$A175,$A175+1),COLUMN('1-DATA'!S173)),IF($B175="STD. DEVIATION",2,$F$1))))</f>
        <v/>
      </c>
      <c r="U175" s="1" t="str">
        <f>IF(OR($B175="",U$7=""),"",IF($B175="MEANS",INDEX('1-DATA'!$1:$1048576,$A174-1,COLUMN('1-DATA'!T173)),ROUND(INDEX('1-DATA'!$1:$1048576,IF(OR($B175="STD. DEVIATION",$C$1=1),$A175,$A175+1),COLUMN('1-DATA'!T173)),IF($B175="STD. DEVIATION",2,$F$1))))</f>
        <v/>
      </c>
      <c r="V175" s="1" t="str">
        <f>IF(OR($B175="",V$7=""),"",IF($B175="MEANS",INDEX('1-DATA'!$1:$1048576,$A174-1,COLUMN('1-DATA'!U173)),ROUND(INDEX('1-DATA'!$1:$1048576,IF(OR($B175="STD. DEVIATION",$C$1=1),$A175,$A175+1),COLUMN('1-DATA'!U173)),IF($B175="STD. DEVIATION",2,$F$1))))</f>
        <v/>
      </c>
      <c r="W175" s="1" t="str">
        <f>IF(OR($B175="",W$7=""),"",IF($B175="MEANS",INDEX('1-DATA'!$1:$1048576,$A174-1,COLUMN('1-DATA'!V173)),ROUND(INDEX('1-DATA'!$1:$1048576,IF(OR($B175="STD. DEVIATION",$C$1=1),$A175,$A175+1),COLUMN('1-DATA'!V173)),IF($B175="STD. DEVIATION",2,$F$1))))</f>
        <v/>
      </c>
      <c r="X175" s="1" t="str">
        <f>IF(OR($B175="",X$7=""),"",IF($B175="MEANS",INDEX('1-DATA'!$1:$1048576,$A174-1,COLUMN('1-DATA'!W173)),ROUND(INDEX('1-DATA'!$1:$1048576,IF(OR($B175="STD. DEVIATION",$C$1=1),$A175,$A175+1),COLUMN('1-DATA'!W173)),IF($B175="STD. DEVIATION",2,$F$1))))</f>
        <v/>
      </c>
      <c r="Y175" s="1" t="str">
        <f>IF(OR($B175="",Y$7=""),"",IF($B175="MEANS",INDEX('1-DATA'!$1:$1048576,$A174-1,COLUMN('1-DATA'!X173)),ROUND(INDEX('1-DATA'!$1:$1048576,IF(OR($B175="STD. DEVIATION",$C$1=1),$A175,$A175+1),COLUMN('1-DATA'!X173)),IF($B175="STD. DEVIATION",2,$F$1))))</f>
        <v/>
      </c>
      <c r="Z175" s="1" t="str">
        <f>IF(OR($B175="",Z$7=""),"",IF($B175="MEANS",INDEX('1-DATA'!$1:$1048576,$A174-1,COLUMN('1-DATA'!Y173)),ROUND(INDEX('1-DATA'!$1:$1048576,IF(OR($B175="STD. DEVIATION",$C$1=1),$A175,$A175+1),COLUMN('1-DATA'!Y173)),IF($B175="STD. DEVIATION",2,$F$1))))</f>
        <v/>
      </c>
      <c r="AA175" s="1" t="str">
        <f>IF(OR($B175="",AA$7=""),"",IF($B175="MEANS",INDEX('1-DATA'!$1:$1048576,$A174-1,COLUMN('1-DATA'!Z173)),ROUND(INDEX('1-DATA'!$1:$1048576,IF(OR($B175="STD. DEVIATION",$C$1=1),$A175,$A175+1),COLUMN('1-DATA'!Z173)),IF($B175="STD. DEVIATION",2,$F$1))))</f>
        <v/>
      </c>
      <c r="AB175" s="1" t="str">
        <f>IF(OR($B175="",AB$7=""),"",IF($B175="MEANS",INDEX('1-DATA'!$1:$1048576,$A174-1,COLUMN('1-DATA'!AA173)),ROUND(INDEX('1-DATA'!$1:$1048576,IF(OR($B175="STD. DEVIATION",$C$1=1),$A175,$A175+1),COLUMN('1-DATA'!AA173)),IF($B175="STD. DEVIATION",2,$F$1))))</f>
        <v/>
      </c>
      <c r="AC175" s="1" t="str">
        <f>IF(OR($B175="",AC$7=""),"",IF($B175="MEANS",INDEX('1-DATA'!$1:$1048576,$A174-1,COLUMN('1-DATA'!AB173)),ROUND(INDEX('1-DATA'!$1:$1048576,IF(OR($B175="STD. DEVIATION",$C$1=1),$A175,$A175+1),COLUMN('1-DATA'!AB173)),IF($B175="STD. DEVIATION",2,$F$1))))</f>
        <v/>
      </c>
      <c r="AD175" s="1" t="str">
        <f>IF(OR($B175="",AD$7=""),"",IF($B175="MEANS",INDEX('1-DATA'!$1:$1048576,$A174-1,COLUMN('1-DATA'!AC173)),ROUND(INDEX('1-DATA'!$1:$1048576,IF(OR($B175="STD. DEVIATION",$C$1=1),$A175,$A175+1),COLUMN('1-DATA'!AC173)),IF($B175="STD. DEVIATION",2,$F$1))))</f>
        <v/>
      </c>
      <c r="AE175" s="1" t="str">
        <f>IF(OR($B175="",AE$7=""),"",IF($B175="MEANS",INDEX('1-DATA'!$1:$1048576,$A174-1,COLUMN('1-DATA'!AD173)),ROUND(INDEX('1-DATA'!$1:$1048576,IF(OR($B175="STD. DEVIATION",$C$1=1),$A175,$A175+1),COLUMN('1-DATA'!AD173)),IF($B175="STD. DEVIATION",2,$F$1))))</f>
        <v/>
      </c>
      <c r="AF175" s="1" t="str">
        <f>IF(OR($B175="",AF$7=""),"",IF($B175="MEANS",INDEX('1-DATA'!$1:$1048576,$A174-1,COLUMN('1-DATA'!AE173)),ROUND(INDEX('1-DATA'!$1:$1048576,IF(OR($B175="STD. DEVIATION",$C$1=1),$A175,$A175+1),COLUMN('1-DATA'!AE173)),IF($B175="STD. DEVIATION",2,$F$1))))</f>
        <v/>
      </c>
      <c r="AG175" s="1" t="str">
        <f>IF(OR($B175="",AG$7=""),"",IF($B175="MEANS",INDEX('1-DATA'!$1:$1048576,$A174-1,COLUMN('1-DATA'!AF173)),ROUND(INDEX('1-DATA'!$1:$1048576,IF(OR($B175="STD. DEVIATION",$C$1=1),$A175,$A175+1),COLUMN('1-DATA'!AF173)),IF($B175="STD. DEVIATION",2,$F$1))))</f>
        <v/>
      </c>
      <c r="AH175" s="1" t="str">
        <f>IF(OR($B175="",AH$7=""),"",IF($B175="MEANS",INDEX('1-DATA'!$1:$1048576,$A174-1,COLUMN('1-DATA'!AG173)),ROUND(INDEX('1-DATA'!$1:$1048576,IF(OR($B175="STD. DEVIATION",$C$1=1),$A175,$A175+1),COLUMN('1-DATA'!AG173)),IF($B175="STD. DEVIATION",2,$F$1))))</f>
        <v/>
      </c>
      <c r="AI175" s="1" t="str">
        <f>IF(OR($B175="",AI$7=""),"",IF($B175="MEANS",INDEX('1-DATA'!$1:$1048576,$A174-1,COLUMN('1-DATA'!AH173)),ROUND(INDEX('1-DATA'!$1:$1048576,IF(OR($B175="STD. DEVIATION",$C$1=1),$A175,$A175+1),COLUMN('1-DATA'!AH173)),IF($B175="STD. DEVIATION",2,$F$1))))</f>
        <v/>
      </c>
      <c r="AJ175" s="1" t="str">
        <f>IF(OR($B175="",AJ$7=""),"",IF($B175="MEANS",INDEX('1-DATA'!$1:$1048576,$A174-1,COLUMN('1-DATA'!AI173)),ROUND(INDEX('1-DATA'!$1:$1048576,IF(OR($B175="STD. DEVIATION",$C$1=1),$A175,$A175+1),COLUMN('1-DATA'!AI173)),IF($B175="STD. DEVIATION",2,$F$1))))</f>
        <v/>
      </c>
      <c r="AK175" s="1" t="str">
        <f>IF(OR($B175="",AK$7=""),"",IF($B175="MEANS",INDEX('1-DATA'!$1:$1048576,$A174-1,COLUMN('1-DATA'!AJ173)),ROUND(INDEX('1-DATA'!$1:$1048576,IF(OR($B175="STD. DEVIATION",$C$1=1),$A175,$A175+1),COLUMN('1-DATA'!AJ173)),IF($B175="STD. DEVIATION",2,$F$1))))</f>
        <v/>
      </c>
      <c r="AL175" s="1" t="str">
        <f>IF(OR($B175="",AL$7=""),"",IF($B175="MEANS",INDEX('1-DATA'!$1:$1048576,$A174-1,COLUMN('1-DATA'!AK173)),ROUND(INDEX('1-DATA'!$1:$1048576,IF(OR($B175="STD. DEVIATION",$C$1=1),$A175,$A175+1),COLUMN('1-DATA'!AK173)),IF($B175="STD. DEVIATION",2,$F$1))))</f>
        <v/>
      </c>
      <c r="AM175" s="1" t="str">
        <f>IF(OR($B175="",AM$7=""),"",IF($B175="MEANS",INDEX('1-DATA'!$1:$1048576,$A174-1,COLUMN('1-DATA'!AL173)),ROUND(INDEX('1-DATA'!$1:$1048576,IF(OR($B175="STD. DEVIATION",$C$1=1),$A175,$A175+1),COLUMN('1-DATA'!AL173)),IF($B175="STD. DEVIATION",2,$F$1))))</f>
        <v/>
      </c>
      <c r="AN175" s="1" t="str">
        <f>IF(OR($B175="",AN$7=""),"",IF($B175="MEANS",INDEX('1-DATA'!$1:$1048576,$A174-1,COLUMN('1-DATA'!AM173)),ROUND(INDEX('1-DATA'!$1:$1048576,IF(OR($B175="STD. DEVIATION",$C$1=1),$A175,$A175+1),COLUMN('1-DATA'!AM173)),IF($B175="STD. DEVIATION",2,$F$1))))</f>
        <v/>
      </c>
      <c r="AO175" s="1" t="str">
        <f>IF(OR($B175="",AO$7=""),"",IF($B175="MEANS",INDEX('1-DATA'!$1:$1048576,$A174-1,COLUMN('1-DATA'!AN173)),ROUND(INDEX('1-DATA'!$1:$1048576,IF(OR($B175="STD. DEVIATION",$C$1=1),$A175,$A175+1),COLUMN('1-DATA'!AN173)),IF($B175="STD. DEVIATION",2,$F$1))))</f>
        <v/>
      </c>
      <c r="AP175" s="1" t="str">
        <f>IF(OR($B175="",AP$7=""),"",IF($B175="MEANS",INDEX('1-DATA'!$1:$1048576,$A174-1,COLUMN('1-DATA'!AO173)),ROUND(INDEX('1-DATA'!$1:$1048576,IF(OR($B175="STD. DEVIATION",$C$1=1),$A175,$A175+1),COLUMN('1-DATA'!AO173)),IF($B175="STD. DEVIATION",2,$F$1))))</f>
        <v/>
      </c>
      <c r="AQ175" s="1" t="str">
        <f>IF(OR($B175="",AQ$7=""),"",IF($B175="MEANS",INDEX('1-DATA'!$1:$1048576,$A174-1,COLUMN('1-DATA'!AP173)),ROUND(INDEX('1-DATA'!$1:$1048576,IF(OR($B175="STD. DEVIATION",$C$1=1),$A175,$A175+1),COLUMN('1-DATA'!AP173)),IF($B175="STD. DEVIATION",2,$F$1))))</f>
        <v/>
      </c>
      <c r="AR175" s="1" t="str">
        <f>IF(OR($B175="",AR$7=""),"",IF($B175="MEANS",INDEX('1-DATA'!$1:$1048576,$A174-1,COLUMN('1-DATA'!AQ173)),ROUND(INDEX('1-DATA'!$1:$1048576,IF(OR($B175="STD. DEVIATION",$C$1=1),$A175,$A175+1),COLUMN('1-DATA'!AQ173)),IF($B175="STD. DEVIATION",2,$F$1))))</f>
        <v/>
      </c>
      <c r="AS175" s="1" t="str">
        <f>IF(OR($B175="",AS$7=""),"",IF($B175="MEANS",INDEX('1-DATA'!$1:$1048576,$A174-1,COLUMN('1-DATA'!AR173)),ROUND(INDEX('1-DATA'!$1:$1048576,IF(OR($B175="STD. DEVIATION",$C$1=1),$A175,$A175+1),COLUMN('1-DATA'!AR173)),IF($B175="STD. DEVIATION",2,$F$1))))</f>
        <v/>
      </c>
      <c r="AT175" s="1" t="str">
        <f>IF(OR($B175="",AT$7=""),"",IF($B175="MEANS",INDEX('1-DATA'!$1:$1048576,$A174-1,COLUMN('1-DATA'!AS173)),ROUND(INDEX('1-DATA'!$1:$1048576,IF(OR($B175="STD. DEVIATION",$C$1=1),$A175,$A175+1),COLUMN('1-DATA'!AS173)),IF($B175="STD. DEVIATION",2,$F$1))))</f>
        <v/>
      </c>
      <c r="AU175" s="1" t="str">
        <f>IF(OR($B175="",AU$7=""),"",IF($B175="MEANS",INDEX('1-DATA'!$1:$1048576,$A174-1,COLUMN('1-DATA'!AT173)),ROUND(INDEX('1-DATA'!$1:$1048576,IF(OR($B175="STD. DEVIATION",$C$1=1),$A175,$A175+1),COLUMN('1-DATA'!AT173)),IF($B175="STD. DEVIATION",2,$F$1))))</f>
        <v/>
      </c>
      <c r="AV175" s="1" t="str">
        <f>IF(OR($B175="",AV$7=""),"",IF($B175="MEANS",INDEX('1-DATA'!$1:$1048576,$A174-1,COLUMN('1-DATA'!AU173)),ROUND(INDEX('1-DATA'!$1:$1048576,IF(OR($B175="STD. DEVIATION",$C$1=1),$A175,$A175+1),COLUMN('1-DATA'!AU173)),IF($B175="STD. DEVIATION",2,$F$1))))</f>
        <v/>
      </c>
      <c r="AW175" s="1" t="str">
        <f>IF(OR($B175="",AW$7=""),"",IF($B175="MEANS",INDEX('1-DATA'!$1:$1048576,$A174-1,COLUMN('1-DATA'!AV173)),ROUND(INDEX('1-DATA'!$1:$1048576,IF(OR($B175="STD. DEVIATION",$C$1=1),$A175,$A175+1),COLUMN('1-DATA'!AV173)),IF($B175="STD. DEVIATION",2,$F$1))))</f>
        <v/>
      </c>
      <c r="AX175" s="1" t="str">
        <f>IF(OR($B175="",AX$7=""),"",IF($B175="MEANS",INDEX('1-DATA'!$1:$1048576,$A174-1,COLUMN('1-DATA'!AW173)),ROUND(INDEX('1-DATA'!$1:$1048576,IF(OR($B175="STD. DEVIATION",$C$1=1),$A175,$A175+1),COLUMN('1-DATA'!AW173)),IF($B175="STD. DEVIATION",2,$F$1))))</f>
        <v/>
      </c>
      <c r="AY175" s="1" t="str">
        <f>IF(OR($B175="",AY$7=""),"",IF($B175="MEANS",INDEX('1-DATA'!$1:$1048576,$A174-1,COLUMN('1-DATA'!AX173)),ROUND(INDEX('1-DATA'!$1:$1048576,IF(OR($B175="STD. DEVIATION",$C$1=1),$A175,$A175+1),COLUMN('1-DATA'!AX173)),IF($B175="STD. DEVIATION",2,$F$1))))</f>
        <v/>
      </c>
      <c r="AZ175" s="1" t="str">
        <f>IF(OR($B175="",AZ$7=""),"",IF($B175="MEANS",INDEX('1-DATA'!$1:$1048576,$A174-1,COLUMN('1-DATA'!AY173)),ROUND(INDEX('1-DATA'!$1:$1048576,IF(OR($B175="STD. DEVIATION",$C$1=1),$A175,$A175+1),COLUMN('1-DATA'!AY173)),IF($B175="STD. DEVIATION",2,$F$1))))</f>
        <v/>
      </c>
    </row>
    <row r="176" spans="1:52" x14ac:dyDescent="0.25">
      <c r="A176" s="11">
        <f t="shared" si="3"/>
        <v>514</v>
      </c>
      <c r="B176" s="1" t="str">
        <f>IF(B175="STD. DEVIATION",INDEX('1-DATA'!$1:$1048576,$A175-1,1),IF(INDEX('1-DATA'!$1:$1048576,$A176,1)&lt;&gt;"",INDEX('1-DATA'!$1:$1048576,$A176,1),""))</f>
        <v/>
      </c>
      <c r="C176" s="1" t="str">
        <f>IF(OR($B176="",C$7=""),"",IF($B176="MEANS",INDEX('1-DATA'!$1:$1048576,$A175-1,COLUMN('1-DATA'!B174)),ROUND(INDEX('1-DATA'!$1:$1048576,IF(OR($B176="STD. DEVIATION",$C$1=1),$A176,$A176+1),COLUMN('1-DATA'!B174)),IF($B176="STD. DEVIATION",2,$F$1))))</f>
        <v/>
      </c>
      <c r="D176" s="1" t="str">
        <f>IF(OR($B176="",D$7=""),"",IF($B176="MEANS",INDEX('1-DATA'!$1:$1048576,$A175-1,COLUMN('1-DATA'!C174)),ROUND(INDEX('1-DATA'!$1:$1048576,IF(OR($B176="STD. DEVIATION",$C$1=1),$A176,$A176+1),COLUMN('1-DATA'!C174)),IF($B176="STD. DEVIATION",2,$F$1))))</f>
        <v/>
      </c>
      <c r="E176" s="1" t="str">
        <f>IF(OR($B176="",E$7=""),"",IF($B176="MEANS",INDEX('1-DATA'!$1:$1048576,$A175-1,COLUMN('1-DATA'!D174)),ROUND(INDEX('1-DATA'!$1:$1048576,IF(OR($B176="STD. DEVIATION",$C$1=1),$A176,$A176+1),COLUMN('1-DATA'!D174)),IF($B176="STD. DEVIATION",2,$F$1))))</f>
        <v/>
      </c>
      <c r="F176" s="1" t="str">
        <f>IF(OR($B176="",F$7=""),"",IF($B176="MEANS",INDEX('1-DATA'!$1:$1048576,$A175-1,COLUMN('1-DATA'!E174)),ROUND(INDEX('1-DATA'!$1:$1048576,IF(OR($B176="STD. DEVIATION",$C$1=1),$A176,$A176+1),COLUMN('1-DATA'!E174)),IF($B176="STD. DEVIATION",2,$F$1))))</f>
        <v/>
      </c>
      <c r="G176" s="1" t="str">
        <f>IF(OR($B176="",G$7=""),"",IF($B176="MEANS",INDEX('1-DATA'!$1:$1048576,$A175-1,COLUMN('1-DATA'!F174)),ROUND(INDEX('1-DATA'!$1:$1048576,IF(OR($B176="STD. DEVIATION",$C$1=1),$A176,$A176+1),COLUMN('1-DATA'!F174)),IF($B176="STD. DEVIATION",2,$F$1))))</f>
        <v/>
      </c>
      <c r="H176" s="1" t="str">
        <f>IF(OR($B176="",H$7=""),"",IF($B176="MEANS",INDEX('1-DATA'!$1:$1048576,$A175-1,COLUMN('1-DATA'!G174)),ROUND(INDEX('1-DATA'!$1:$1048576,IF(OR($B176="STD. DEVIATION",$C$1=1),$A176,$A176+1),COLUMN('1-DATA'!G174)),IF($B176="STD. DEVIATION",2,$F$1))))</f>
        <v/>
      </c>
      <c r="I176" s="1" t="str">
        <f>IF(OR($B176="",I$7=""),"",IF($B176="MEANS",INDEX('1-DATA'!$1:$1048576,$A175-1,COLUMN('1-DATA'!H174)),ROUND(INDEX('1-DATA'!$1:$1048576,IF(OR($B176="STD. DEVIATION",$C$1=1),$A176,$A176+1),COLUMN('1-DATA'!H174)),IF($B176="STD. DEVIATION",2,$F$1))))</f>
        <v/>
      </c>
      <c r="J176" s="1" t="str">
        <f>IF(OR($B176="",J$7=""),"",IF($B176="MEANS",INDEX('1-DATA'!$1:$1048576,$A175-1,COLUMN('1-DATA'!I174)),ROUND(INDEX('1-DATA'!$1:$1048576,IF(OR($B176="STD. DEVIATION",$C$1=1),$A176,$A176+1),COLUMN('1-DATA'!I174)),IF($B176="STD. DEVIATION",2,$F$1))))</f>
        <v/>
      </c>
      <c r="K176" s="1" t="str">
        <f>IF(OR($B176="",K$7=""),"",IF($B176="MEANS",INDEX('1-DATA'!$1:$1048576,$A175-1,COLUMN('1-DATA'!J174)),ROUND(INDEX('1-DATA'!$1:$1048576,IF(OR($B176="STD. DEVIATION",$C$1=1),$A176,$A176+1),COLUMN('1-DATA'!J174)),IF($B176="STD. DEVIATION",2,$F$1))))</f>
        <v/>
      </c>
      <c r="L176" s="1" t="str">
        <f>IF(OR($B176="",L$7=""),"",IF($B176="MEANS",INDEX('1-DATA'!$1:$1048576,$A175-1,COLUMN('1-DATA'!K174)),ROUND(INDEX('1-DATA'!$1:$1048576,IF(OR($B176="STD. DEVIATION",$C$1=1),$A176,$A176+1),COLUMN('1-DATA'!K174)),IF($B176="STD. DEVIATION",2,$F$1))))</f>
        <v/>
      </c>
      <c r="M176" s="1" t="str">
        <f>IF(OR($B176="",M$7=""),"",IF($B176="MEANS",INDEX('1-DATA'!$1:$1048576,$A175-1,COLUMN('1-DATA'!L174)),ROUND(INDEX('1-DATA'!$1:$1048576,IF(OR($B176="STD. DEVIATION",$C$1=1),$A176,$A176+1),COLUMN('1-DATA'!L174)),IF($B176="STD. DEVIATION",2,$F$1))))</f>
        <v/>
      </c>
      <c r="N176" s="1" t="str">
        <f>IF(OR($B176="",N$7=""),"",IF($B176="MEANS",INDEX('1-DATA'!$1:$1048576,$A175-1,COLUMN('1-DATA'!M174)),ROUND(INDEX('1-DATA'!$1:$1048576,IF(OR($B176="STD. DEVIATION",$C$1=1),$A176,$A176+1),COLUMN('1-DATA'!M174)),IF($B176="STD. DEVIATION",2,$F$1))))</f>
        <v/>
      </c>
      <c r="O176" s="1" t="str">
        <f>IF(OR($B176="",O$7=""),"",IF($B176="MEANS",INDEX('1-DATA'!$1:$1048576,$A175-1,COLUMN('1-DATA'!N174)),ROUND(INDEX('1-DATA'!$1:$1048576,IF(OR($B176="STD. DEVIATION",$C$1=1),$A176,$A176+1),COLUMN('1-DATA'!N174)),IF($B176="STD. DEVIATION",2,$F$1))))</f>
        <v/>
      </c>
      <c r="P176" s="1" t="str">
        <f>IF(OR($B176="",P$7=""),"",IF($B176="MEANS",INDEX('1-DATA'!$1:$1048576,$A175-1,COLUMN('1-DATA'!O174)),ROUND(INDEX('1-DATA'!$1:$1048576,IF(OR($B176="STD. DEVIATION",$C$1=1),$A176,$A176+1),COLUMN('1-DATA'!O174)),IF($B176="STD. DEVIATION",2,$F$1))))</f>
        <v/>
      </c>
      <c r="Q176" s="1" t="str">
        <f>IF(OR($B176="",Q$7=""),"",IF($B176="MEANS",INDEX('1-DATA'!$1:$1048576,$A175-1,COLUMN('1-DATA'!P174)),ROUND(INDEX('1-DATA'!$1:$1048576,IF(OR($B176="STD. DEVIATION",$C$1=1),$A176,$A176+1),COLUMN('1-DATA'!P174)),IF($B176="STD. DEVIATION",2,$F$1))))</f>
        <v/>
      </c>
      <c r="R176" s="1" t="str">
        <f>IF(OR($B176="",R$7=""),"",IF($B176="MEANS",INDEX('1-DATA'!$1:$1048576,$A175-1,COLUMN('1-DATA'!Q174)),ROUND(INDEX('1-DATA'!$1:$1048576,IF(OR($B176="STD. DEVIATION",$C$1=1),$A176,$A176+1),COLUMN('1-DATA'!Q174)),IF($B176="STD. DEVIATION",2,$F$1))))</f>
        <v/>
      </c>
      <c r="S176" s="1" t="str">
        <f>IF(OR($B176="",S$7=""),"",IF($B176="MEANS",INDEX('1-DATA'!$1:$1048576,$A175-1,COLUMN('1-DATA'!R174)),ROUND(INDEX('1-DATA'!$1:$1048576,IF(OR($B176="STD. DEVIATION",$C$1=1),$A176,$A176+1),COLUMN('1-DATA'!R174)),IF($B176="STD. DEVIATION",2,$F$1))))</f>
        <v/>
      </c>
      <c r="T176" s="1" t="str">
        <f>IF(OR($B176="",T$7=""),"",IF($B176="MEANS",INDEX('1-DATA'!$1:$1048576,$A175-1,COLUMN('1-DATA'!S174)),ROUND(INDEX('1-DATA'!$1:$1048576,IF(OR($B176="STD. DEVIATION",$C$1=1),$A176,$A176+1),COLUMN('1-DATA'!S174)),IF($B176="STD. DEVIATION",2,$F$1))))</f>
        <v/>
      </c>
      <c r="U176" s="1" t="str">
        <f>IF(OR($B176="",U$7=""),"",IF($B176="MEANS",INDEX('1-DATA'!$1:$1048576,$A175-1,COLUMN('1-DATA'!T174)),ROUND(INDEX('1-DATA'!$1:$1048576,IF(OR($B176="STD. DEVIATION",$C$1=1),$A176,$A176+1),COLUMN('1-DATA'!T174)),IF($B176="STD. DEVIATION",2,$F$1))))</f>
        <v/>
      </c>
      <c r="V176" s="1" t="str">
        <f>IF(OR($B176="",V$7=""),"",IF($B176="MEANS",INDEX('1-DATA'!$1:$1048576,$A175-1,COLUMN('1-DATA'!U174)),ROUND(INDEX('1-DATA'!$1:$1048576,IF(OR($B176="STD. DEVIATION",$C$1=1),$A176,$A176+1),COLUMN('1-DATA'!U174)),IF($B176="STD. DEVIATION",2,$F$1))))</f>
        <v/>
      </c>
      <c r="W176" s="1" t="str">
        <f>IF(OR($B176="",W$7=""),"",IF($B176="MEANS",INDEX('1-DATA'!$1:$1048576,$A175-1,COLUMN('1-DATA'!V174)),ROUND(INDEX('1-DATA'!$1:$1048576,IF(OR($B176="STD. DEVIATION",$C$1=1),$A176,$A176+1),COLUMN('1-DATA'!V174)),IF($B176="STD. DEVIATION",2,$F$1))))</f>
        <v/>
      </c>
      <c r="X176" s="1" t="str">
        <f>IF(OR($B176="",X$7=""),"",IF($B176="MEANS",INDEX('1-DATA'!$1:$1048576,$A175-1,COLUMN('1-DATA'!W174)),ROUND(INDEX('1-DATA'!$1:$1048576,IF(OR($B176="STD. DEVIATION",$C$1=1),$A176,$A176+1),COLUMN('1-DATA'!W174)),IF($B176="STD. DEVIATION",2,$F$1))))</f>
        <v/>
      </c>
      <c r="Y176" s="1" t="str">
        <f>IF(OR($B176="",Y$7=""),"",IF($B176="MEANS",INDEX('1-DATA'!$1:$1048576,$A175-1,COLUMN('1-DATA'!X174)),ROUND(INDEX('1-DATA'!$1:$1048576,IF(OR($B176="STD. DEVIATION",$C$1=1),$A176,$A176+1),COLUMN('1-DATA'!X174)),IF($B176="STD. DEVIATION",2,$F$1))))</f>
        <v/>
      </c>
      <c r="Z176" s="1" t="str">
        <f>IF(OR($B176="",Z$7=""),"",IF($B176="MEANS",INDEX('1-DATA'!$1:$1048576,$A175-1,COLUMN('1-DATA'!Y174)),ROUND(INDEX('1-DATA'!$1:$1048576,IF(OR($B176="STD. DEVIATION",$C$1=1),$A176,$A176+1),COLUMN('1-DATA'!Y174)),IF($B176="STD. DEVIATION",2,$F$1))))</f>
        <v/>
      </c>
      <c r="AA176" s="1" t="str">
        <f>IF(OR($B176="",AA$7=""),"",IF($B176="MEANS",INDEX('1-DATA'!$1:$1048576,$A175-1,COLUMN('1-DATA'!Z174)),ROUND(INDEX('1-DATA'!$1:$1048576,IF(OR($B176="STD. DEVIATION",$C$1=1),$A176,$A176+1),COLUMN('1-DATA'!Z174)),IF($B176="STD. DEVIATION",2,$F$1))))</f>
        <v/>
      </c>
      <c r="AB176" s="1" t="str">
        <f>IF(OR($B176="",AB$7=""),"",IF($B176="MEANS",INDEX('1-DATA'!$1:$1048576,$A175-1,COLUMN('1-DATA'!AA174)),ROUND(INDEX('1-DATA'!$1:$1048576,IF(OR($B176="STD. DEVIATION",$C$1=1),$A176,$A176+1),COLUMN('1-DATA'!AA174)),IF($B176="STD. DEVIATION",2,$F$1))))</f>
        <v/>
      </c>
      <c r="AC176" s="1" t="str">
        <f>IF(OR($B176="",AC$7=""),"",IF($B176="MEANS",INDEX('1-DATA'!$1:$1048576,$A175-1,COLUMN('1-DATA'!AB174)),ROUND(INDEX('1-DATA'!$1:$1048576,IF(OR($B176="STD. DEVIATION",$C$1=1),$A176,$A176+1),COLUMN('1-DATA'!AB174)),IF($B176="STD. DEVIATION",2,$F$1))))</f>
        <v/>
      </c>
      <c r="AD176" s="1" t="str">
        <f>IF(OR($B176="",AD$7=""),"",IF($B176="MEANS",INDEX('1-DATA'!$1:$1048576,$A175-1,COLUMN('1-DATA'!AC174)),ROUND(INDEX('1-DATA'!$1:$1048576,IF(OR($B176="STD. DEVIATION",$C$1=1),$A176,$A176+1),COLUMN('1-DATA'!AC174)),IF($B176="STD. DEVIATION",2,$F$1))))</f>
        <v/>
      </c>
      <c r="AE176" s="1" t="str">
        <f>IF(OR($B176="",AE$7=""),"",IF($B176="MEANS",INDEX('1-DATA'!$1:$1048576,$A175-1,COLUMN('1-DATA'!AD174)),ROUND(INDEX('1-DATA'!$1:$1048576,IF(OR($B176="STD. DEVIATION",$C$1=1),$A176,$A176+1),COLUMN('1-DATA'!AD174)),IF($B176="STD. DEVIATION",2,$F$1))))</f>
        <v/>
      </c>
      <c r="AF176" s="1" t="str">
        <f>IF(OR($B176="",AF$7=""),"",IF($B176="MEANS",INDEX('1-DATA'!$1:$1048576,$A175-1,COLUMN('1-DATA'!AE174)),ROUND(INDEX('1-DATA'!$1:$1048576,IF(OR($B176="STD. DEVIATION",$C$1=1),$A176,$A176+1),COLUMN('1-DATA'!AE174)),IF($B176="STD. DEVIATION",2,$F$1))))</f>
        <v/>
      </c>
      <c r="AG176" s="1" t="str">
        <f>IF(OR($B176="",AG$7=""),"",IF($B176="MEANS",INDEX('1-DATA'!$1:$1048576,$A175-1,COLUMN('1-DATA'!AF174)),ROUND(INDEX('1-DATA'!$1:$1048576,IF(OR($B176="STD. DEVIATION",$C$1=1),$A176,$A176+1),COLUMN('1-DATA'!AF174)),IF($B176="STD. DEVIATION",2,$F$1))))</f>
        <v/>
      </c>
      <c r="AH176" s="1" t="str">
        <f>IF(OR($B176="",AH$7=""),"",IF($B176="MEANS",INDEX('1-DATA'!$1:$1048576,$A175-1,COLUMN('1-DATA'!AG174)),ROUND(INDEX('1-DATA'!$1:$1048576,IF(OR($B176="STD. DEVIATION",$C$1=1),$A176,$A176+1),COLUMN('1-DATA'!AG174)),IF($B176="STD. DEVIATION",2,$F$1))))</f>
        <v/>
      </c>
      <c r="AI176" s="1" t="str">
        <f>IF(OR($B176="",AI$7=""),"",IF($B176="MEANS",INDEX('1-DATA'!$1:$1048576,$A175-1,COLUMN('1-DATA'!AH174)),ROUND(INDEX('1-DATA'!$1:$1048576,IF(OR($B176="STD. DEVIATION",$C$1=1),$A176,$A176+1),COLUMN('1-DATA'!AH174)),IF($B176="STD. DEVIATION",2,$F$1))))</f>
        <v/>
      </c>
      <c r="AJ176" s="1" t="str">
        <f>IF(OR($B176="",AJ$7=""),"",IF($B176="MEANS",INDEX('1-DATA'!$1:$1048576,$A175-1,COLUMN('1-DATA'!AI174)),ROUND(INDEX('1-DATA'!$1:$1048576,IF(OR($B176="STD. DEVIATION",$C$1=1),$A176,$A176+1),COLUMN('1-DATA'!AI174)),IF($B176="STD. DEVIATION",2,$F$1))))</f>
        <v/>
      </c>
      <c r="AK176" s="1" t="str">
        <f>IF(OR($B176="",AK$7=""),"",IF($B176="MEANS",INDEX('1-DATA'!$1:$1048576,$A175-1,COLUMN('1-DATA'!AJ174)),ROUND(INDEX('1-DATA'!$1:$1048576,IF(OR($B176="STD. DEVIATION",$C$1=1),$A176,$A176+1),COLUMN('1-DATA'!AJ174)),IF($B176="STD. DEVIATION",2,$F$1))))</f>
        <v/>
      </c>
      <c r="AL176" s="1" t="str">
        <f>IF(OR($B176="",AL$7=""),"",IF($B176="MEANS",INDEX('1-DATA'!$1:$1048576,$A175-1,COLUMN('1-DATA'!AK174)),ROUND(INDEX('1-DATA'!$1:$1048576,IF(OR($B176="STD. DEVIATION",$C$1=1),$A176,$A176+1),COLUMN('1-DATA'!AK174)),IF($B176="STD. DEVIATION",2,$F$1))))</f>
        <v/>
      </c>
      <c r="AM176" s="1" t="str">
        <f>IF(OR($B176="",AM$7=""),"",IF($B176="MEANS",INDEX('1-DATA'!$1:$1048576,$A175-1,COLUMN('1-DATA'!AL174)),ROUND(INDEX('1-DATA'!$1:$1048576,IF(OR($B176="STD. DEVIATION",$C$1=1),$A176,$A176+1),COLUMN('1-DATA'!AL174)),IF($B176="STD. DEVIATION",2,$F$1))))</f>
        <v/>
      </c>
      <c r="AN176" s="1" t="str">
        <f>IF(OR($B176="",AN$7=""),"",IF($B176="MEANS",INDEX('1-DATA'!$1:$1048576,$A175-1,COLUMN('1-DATA'!AM174)),ROUND(INDEX('1-DATA'!$1:$1048576,IF(OR($B176="STD. DEVIATION",$C$1=1),$A176,$A176+1),COLUMN('1-DATA'!AM174)),IF($B176="STD. DEVIATION",2,$F$1))))</f>
        <v/>
      </c>
      <c r="AO176" s="1" t="str">
        <f>IF(OR($B176="",AO$7=""),"",IF($B176="MEANS",INDEX('1-DATA'!$1:$1048576,$A175-1,COLUMN('1-DATA'!AN174)),ROUND(INDEX('1-DATA'!$1:$1048576,IF(OR($B176="STD. DEVIATION",$C$1=1),$A176,$A176+1),COLUMN('1-DATA'!AN174)),IF($B176="STD. DEVIATION",2,$F$1))))</f>
        <v/>
      </c>
      <c r="AP176" s="1" t="str">
        <f>IF(OR($B176="",AP$7=""),"",IF($B176="MEANS",INDEX('1-DATA'!$1:$1048576,$A175-1,COLUMN('1-DATA'!AO174)),ROUND(INDEX('1-DATA'!$1:$1048576,IF(OR($B176="STD. DEVIATION",$C$1=1),$A176,$A176+1),COLUMN('1-DATA'!AO174)),IF($B176="STD. DEVIATION",2,$F$1))))</f>
        <v/>
      </c>
      <c r="AQ176" s="1" t="str">
        <f>IF(OR($B176="",AQ$7=""),"",IF($B176="MEANS",INDEX('1-DATA'!$1:$1048576,$A175-1,COLUMN('1-DATA'!AP174)),ROUND(INDEX('1-DATA'!$1:$1048576,IF(OR($B176="STD. DEVIATION",$C$1=1),$A176,$A176+1),COLUMN('1-DATA'!AP174)),IF($B176="STD. DEVIATION",2,$F$1))))</f>
        <v/>
      </c>
      <c r="AR176" s="1" t="str">
        <f>IF(OR($B176="",AR$7=""),"",IF($B176="MEANS",INDEX('1-DATA'!$1:$1048576,$A175-1,COLUMN('1-DATA'!AQ174)),ROUND(INDEX('1-DATA'!$1:$1048576,IF(OR($B176="STD. DEVIATION",$C$1=1),$A176,$A176+1),COLUMN('1-DATA'!AQ174)),IF($B176="STD. DEVIATION",2,$F$1))))</f>
        <v/>
      </c>
      <c r="AS176" s="1" t="str">
        <f>IF(OR($B176="",AS$7=""),"",IF($B176="MEANS",INDEX('1-DATA'!$1:$1048576,$A175-1,COLUMN('1-DATA'!AR174)),ROUND(INDEX('1-DATA'!$1:$1048576,IF(OR($B176="STD. DEVIATION",$C$1=1),$A176,$A176+1),COLUMN('1-DATA'!AR174)),IF($B176="STD. DEVIATION",2,$F$1))))</f>
        <v/>
      </c>
      <c r="AT176" s="1" t="str">
        <f>IF(OR($B176="",AT$7=""),"",IF($B176="MEANS",INDEX('1-DATA'!$1:$1048576,$A175-1,COLUMN('1-DATA'!AS174)),ROUND(INDEX('1-DATA'!$1:$1048576,IF(OR($B176="STD. DEVIATION",$C$1=1),$A176,$A176+1),COLUMN('1-DATA'!AS174)),IF($B176="STD. DEVIATION",2,$F$1))))</f>
        <v/>
      </c>
      <c r="AU176" s="1" t="str">
        <f>IF(OR($B176="",AU$7=""),"",IF($B176="MEANS",INDEX('1-DATA'!$1:$1048576,$A175-1,COLUMN('1-DATA'!AT174)),ROUND(INDEX('1-DATA'!$1:$1048576,IF(OR($B176="STD. DEVIATION",$C$1=1),$A176,$A176+1),COLUMN('1-DATA'!AT174)),IF($B176="STD. DEVIATION",2,$F$1))))</f>
        <v/>
      </c>
      <c r="AV176" s="1" t="str">
        <f>IF(OR($B176="",AV$7=""),"",IF($B176="MEANS",INDEX('1-DATA'!$1:$1048576,$A175-1,COLUMN('1-DATA'!AU174)),ROUND(INDEX('1-DATA'!$1:$1048576,IF(OR($B176="STD. DEVIATION",$C$1=1),$A176,$A176+1),COLUMN('1-DATA'!AU174)),IF($B176="STD. DEVIATION",2,$F$1))))</f>
        <v/>
      </c>
      <c r="AW176" s="1" t="str">
        <f>IF(OR($B176="",AW$7=""),"",IF($B176="MEANS",INDEX('1-DATA'!$1:$1048576,$A175-1,COLUMN('1-DATA'!AV174)),ROUND(INDEX('1-DATA'!$1:$1048576,IF(OR($B176="STD. DEVIATION",$C$1=1),$A176,$A176+1),COLUMN('1-DATA'!AV174)),IF($B176="STD. DEVIATION",2,$F$1))))</f>
        <v/>
      </c>
      <c r="AX176" s="1" t="str">
        <f>IF(OR($B176="",AX$7=""),"",IF($B176="MEANS",INDEX('1-DATA'!$1:$1048576,$A175-1,COLUMN('1-DATA'!AW174)),ROUND(INDEX('1-DATA'!$1:$1048576,IF(OR($B176="STD. DEVIATION",$C$1=1),$A176,$A176+1),COLUMN('1-DATA'!AW174)),IF($B176="STD. DEVIATION",2,$F$1))))</f>
        <v/>
      </c>
      <c r="AY176" s="1" t="str">
        <f>IF(OR($B176="",AY$7=""),"",IF($B176="MEANS",INDEX('1-DATA'!$1:$1048576,$A175-1,COLUMN('1-DATA'!AX174)),ROUND(INDEX('1-DATA'!$1:$1048576,IF(OR($B176="STD. DEVIATION",$C$1=1),$A176,$A176+1),COLUMN('1-DATA'!AX174)),IF($B176="STD. DEVIATION",2,$F$1))))</f>
        <v/>
      </c>
      <c r="AZ176" s="1" t="str">
        <f>IF(OR($B176="",AZ$7=""),"",IF($B176="MEANS",INDEX('1-DATA'!$1:$1048576,$A175-1,COLUMN('1-DATA'!AY174)),ROUND(INDEX('1-DATA'!$1:$1048576,IF(OR($B176="STD. DEVIATION",$C$1=1),$A176,$A176+1),COLUMN('1-DATA'!AY174)),IF($B176="STD. DEVIATION",2,$F$1))))</f>
        <v/>
      </c>
    </row>
    <row r="177" spans="1:52" x14ac:dyDescent="0.25">
      <c r="A177" s="11">
        <f t="shared" si="3"/>
        <v>517</v>
      </c>
      <c r="B177" s="1" t="str">
        <f>IF(B176="STD. DEVIATION",INDEX('1-DATA'!$1:$1048576,$A176-1,1),IF(INDEX('1-DATA'!$1:$1048576,$A177,1)&lt;&gt;"",INDEX('1-DATA'!$1:$1048576,$A177,1),""))</f>
        <v/>
      </c>
      <c r="C177" s="1" t="str">
        <f>IF(OR($B177="",C$7=""),"",IF($B177="MEANS",INDEX('1-DATA'!$1:$1048576,$A176-1,COLUMN('1-DATA'!B175)),ROUND(INDEX('1-DATA'!$1:$1048576,IF(OR($B177="STD. DEVIATION",$C$1=1),$A177,$A177+1),COLUMN('1-DATA'!B175)),IF($B177="STD. DEVIATION",2,$F$1))))</f>
        <v/>
      </c>
      <c r="D177" s="1" t="str">
        <f>IF(OR($B177="",D$7=""),"",IF($B177="MEANS",INDEX('1-DATA'!$1:$1048576,$A176-1,COLUMN('1-DATA'!C175)),ROUND(INDEX('1-DATA'!$1:$1048576,IF(OR($B177="STD. DEVIATION",$C$1=1),$A177,$A177+1),COLUMN('1-DATA'!C175)),IF($B177="STD. DEVIATION",2,$F$1))))</f>
        <v/>
      </c>
      <c r="E177" s="1" t="str">
        <f>IF(OR($B177="",E$7=""),"",IF($B177="MEANS",INDEX('1-DATA'!$1:$1048576,$A176-1,COLUMN('1-DATA'!D175)),ROUND(INDEX('1-DATA'!$1:$1048576,IF(OR($B177="STD. DEVIATION",$C$1=1),$A177,$A177+1),COLUMN('1-DATA'!D175)),IF($B177="STD. DEVIATION",2,$F$1))))</f>
        <v/>
      </c>
      <c r="F177" s="1" t="str">
        <f>IF(OR($B177="",F$7=""),"",IF($B177="MEANS",INDEX('1-DATA'!$1:$1048576,$A176-1,COLUMN('1-DATA'!E175)),ROUND(INDEX('1-DATA'!$1:$1048576,IF(OR($B177="STD. DEVIATION",$C$1=1),$A177,$A177+1),COLUMN('1-DATA'!E175)),IF($B177="STD. DEVIATION",2,$F$1))))</f>
        <v/>
      </c>
      <c r="G177" s="1" t="str">
        <f>IF(OR($B177="",G$7=""),"",IF($B177="MEANS",INDEX('1-DATA'!$1:$1048576,$A176-1,COLUMN('1-DATA'!F175)),ROUND(INDEX('1-DATA'!$1:$1048576,IF(OR($B177="STD. DEVIATION",$C$1=1),$A177,$A177+1),COLUMN('1-DATA'!F175)),IF($B177="STD. DEVIATION",2,$F$1))))</f>
        <v/>
      </c>
      <c r="H177" s="1" t="str">
        <f>IF(OR($B177="",H$7=""),"",IF($B177="MEANS",INDEX('1-DATA'!$1:$1048576,$A176-1,COLUMN('1-DATA'!G175)),ROUND(INDEX('1-DATA'!$1:$1048576,IF(OR($B177="STD. DEVIATION",$C$1=1),$A177,$A177+1),COLUMN('1-DATA'!G175)),IF($B177="STD. DEVIATION",2,$F$1))))</f>
        <v/>
      </c>
      <c r="I177" s="1" t="str">
        <f>IF(OR($B177="",I$7=""),"",IF($B177="MEANS",INDEX('1-DATA'!$1:$1048576,$A176-1,COLUMN('1-DATA'!H175)),ROUND(INDEX('1-DATA'!$1:$1048576,IF(OR($B177="STD. DEVIATION",$C$1=1),$A177,$A177+1),COLUMN('1-DATA'!H175)),IF($B177="STD. DEVIATION",2,$F$1))))</f>
        <v/>
      </c>
      <c r="J177" s="1" t="str">
        <f>IF(OR($B177="",J$7=""),"",IF($B177="MEANS",INDEX('1-DATA'!$1:$1048576,$A176-1,COLUMN('1-DATA'!I175)),ROUND(INDEX('1-DATA'!$1:$1048576,IF(OR($B177="STD. DEVIATION",$C$1=1),$A177,$A177+1),COLUMN('1-DATA'!I175)),IF($B177="STD. DEVIATION",2,$F$1))))</f>
        <v/>
      </c>
      <c r="K177" s="1" t="str">
        <f>IF(OR($B177="",K$7=""),"",IF($B177="MEANS",INDEX('1-DATA'!$1:$1048576,$A176-1,COLUMN('1-DATA'!J175)),ROUND(INDEX('1-DATA'!$1:$1048576,IF(OR($B177="STD. DEVIATION",$C$1=1),$A177,$A177+1),COLUMN('1-DATA'!J175)),IF($B177="STD. DEVIATION",2,$F$1))))</f>
        <v/>
      </c>
      <c r="L177" s="1" t="str">
        <f>IF(OR($B177="",L$7=""),"",IF($B177="MEANS",INDEX('1-DATA'!$1:$1048576,$A176-1,COLUMN('1-DATA'!K175)),ROUND(INDEX('1-DATA'!$1:$1048576,IF(OR($B177="STD. DEVIATION",$C$1=1),$A177,$A177+1),COLUMN('1-DATA'!K175)),IF($B177="STD. DEVIATION",2,$F$1))))</f>
        <v/>
      </c>
      <c r="M177" s="1" t="str">
        <f>IF(OR($B177="",M$7=""),"",IF($B177="MEANS",INDEX('1-DATA'!$1:$1048576,$A176-1,COLUMN('1-DATA'!L175)),ROUND(INDEX('1-DATA'!$1:$1048576,IF(OR($B177="STD. DEVIATION",$C$1=1),$A177,$A177+1),COLUMN('1-DATA'!L175)),IF($B177="STD. DEVIATION",2,$F$1))))</f>
        <v/>
      </c>
      <c r="N177" s="1" t="str">
        <f>IF(OR($B177="",N$7=""),"",IF($B177="MEANS",INDEX('1-DATA'!$1:$1048576,$A176-1,COLUMN('1-DATA'!M175)),ROUND(INDEX('1-DATA'!$1:$1048576,IF(OR($B177="STD. DEVIATION",$C$1=1),$A177,$A177+1),COLUMN('1-DATA'!M175)),IF($B177="STD. DEVIATION",2,$F$1))))</f>
        <v/>
      </c>
      <c r="O177" s="1" t="str">
        <f>IF(OR($B177="",O$7=""),"",IF($B177="MEANS",INDEX('1-DATA'!$1:$1048576,$A176-1,COLUMN('1-DATA'!N175)),ROUND(INDEX('1-DATA'!$1:$1048576,IF(OR($B177="STD. DEVIATION",$C$1=1),$A177,$A177+1),COLUMN('1-DATA'!N175)),IF($B177="STD. DEVIATION",2,$F$1))))</f>
        <v/>
      </c>
      <c r="P177" s="1" t="str">
        <f>IF(OR($B177="",P$7=""),"",IF($B177="MEANS",INDEX('1-DATA'!$1:$1048576,$A176-1,COLUMN('1-DATA'!O175)),ROUND(INDEX('1-DATA'!$1:$1048576,IF(OR($B177="STD. DEVIATION",$C$1=1),$A177,$A177+1),COLUMN('1-DATA'!O175)),IF($B177="STD. DEVIATION",2,$F$1))))</f>
        <v/>
      </c>
      <c r="Q177" s="1" t="str">
        <f>IF(OR($B177="",Q$7=""),"",IF($B177="MEANS",INDEX('1-DATA'!$1:$1048576,$A176-1,COLUMN('1-DATA'!P175)),ROUND(INDEX('1-DATA'!$1:$1048576,IF(OR($B177="STD. DEVIATION",$C$1=1),$A177,$A177+1),COLUMN('1-DATA'!P175)),IF($B177="STD. DEVIATION",2,$F$1))))</f>
        <v/>
      </c>
      <c r="R177" s="1" t="str">
        <f>IF(OR($B177="",R$7=""),"",IF($B177="MEANS",INDEX('1-DATA'!$1:$1048576,$A176-1,COLUMN('1-DATA'!Q175)),ROUND(INDEX('1-DATA'!$1:$1048576,IF(OR($B177="STD. DEVIATION",$C$1=1),$A177,$A177+1),COLUMN('1-DATA'!Q175)),IF($B177="STD. DEVIATION",2,$F$1))))</f>
        <v/>
      </c>
      <c r="S177" s="1" t="str">
        <f>IF(OR($B177="",S$7=""),"",IF($B177="MEANS",INDEX('1-DATA'!$1:$1048576,$A176-1,COLUMN('1-DATA'!R175)),ROUND(INDEX('1-DATA'!$1:$1048576,IF(OR($B177="STD. DEVIATION",$C$1=1),$A177,$A177+1),COLUMN('1-DATA'!R175)),IF($B177="STD. DEVIATION",2,$F$1))))</f>
        <v/>
      </c>
      <c r="T177" s="1" t="str">
        <f>IF(OR($B177="",T$7=""),"",IF($B177="MEANS",INDEX('1-DATA'!$1:$1048576,$A176-1,COLUMN('1-DATA'!S175)),ROUND(INDEX('1-DATA'!$1:$1048576,IF(OR($B177="STD. DEVIATION",$C$1=1),$A177,$A177+1),COLUMN('1-DATA'!S175)),IF($B177="STD. DEVIATION",2,$F$1))))</f>
        <v/>
      </c>
      <c r="U177" s="1" t="str">
        <f>IF(OR($B177="",U$7=""),"",IF($B177="MEANS",INDEX('1-DATA'!$1:$1048576,$A176-1,COLUMN('1-DATA'!T175)),ROUND(INDEX('1-DATA'!$1:$1048576,IF(OR($B177="STD. DEVIATION",$C$1=1),$A177,$A177+1),COLUMN('1-DATA'!T175)),IF($B177="STD. DEVIATION",2,$F$1))))</f>
        <v/>
      </c>
      <c r="V177" s="1" t="str">
        <f>IF(OR($B177="",V$7=""),"",IF($B177="MEANS",INDEX('1-DATA'!$1:$1048576,$A176-1,COLUMN('1-DATA'!U175)),ROUND(INDEX('1-DATA'!$1:$1048576,IF(OR($B177="STD. DEVIATION",$C$1=1),$A177,$A177+1),COLUMN('1-DATA'!U175)),IF($B177="STD. DEVIATION",2,$F$1))))</f>
        <v/>
      </c>
      <c r="W177" s="1" t="str">
        <f>IF(OR($B177="",W$7=""),"",IF($B177="MEANS",INDEX('1-DATA'!$1:$1048576,$A176-1,COLUMN('1-DATA'!V175)),ROUND(INDEX('1-DATA'!$1:$1048576,IF(OR($B177="STD. DEVIATION",$C$1=1),$A177,$A177+1),COLUMN('1-DATA'!V175)),IF($B177="STD. DEVIATION",2,$F$1))))</f>
        <v/>
      </c>
      <c r="X177" s="1" t="str">
        <f>IF(OR($B177="",X$7=""),"",IF($B177="MEANS",INDEX('1-DATA'!$1:$1048576,$A176-1,COLUMN('1-DATA'!W175)),ROUND(INDEX('1-DATA'!$1:$1048576,IF(OR($B177="STD. DEVIATION",$C$1=1),$A177,$A177+1),COLUMN('1-DATA'!W175)),IF($B177="STD. DEVIATION",2,$F$1))))</f>
        <v/>
      </c>
      <c r="Y177" s="1" t="str">
        <f>IF(OR($B177="",Y$7=""),"",IF($B177="MEANS",INDEX('1-DATA'!$1:$1048576,$A176-1,COLUMN('1-DATA'!X175)),ROUND(INDEX('1-DATA'!$1:$1048576,IF(OR($B177="STD. DEVIATION",$C$1=1),$A177,$A177+1),COLUMN('1-DATA'!X175)),IF($B177="STD. DEVIATION",2,$F$1))))</f>
        <v/>
      </c>
      <c r="Z177" s="1" t="str">
        <f>IF(OR($B177="",Z$7=""),"",IF($B177="MEANS",INDEX('1-DATA'!$1:$1048576,$A176-1,COLUMN('1-DATA'!Y175)),ROUND(INDEX('1-DATA'!$1:$1048576,IF(OR($B177="STD. DEVIATION",$C$1=1),$A177,$A177+1),COLUMN('1-DATA'!Y175)),IF($B177="STD. DEVIATION",2,$F$1))))</f>
        <v/>
      </c>
      <c r="AA177" s="1" t="str">
        <f>IF(OR($B177="",AA$7=""),"",IF($B177="MEANS",INDEX('1-DATA'!$1:$1048576,$A176-1,COLUMN('1-DATA'!Z175)),ROUND(INDEX('1-DATA'!$1:$1048576,IF(OR($B177="STD. DEVIATION",$C$1=1),$A177,$A177+1),COLUMN('1-DATA'!Z175)),IF($B177="STD. DEVIATION",2,$F$1))))</f>
        <v/>
      </c>
      <c r="AB177" s="1" t="str">
        <f>IF(OR($B177="",AB$7=""),"",IF($B177="MEANS",INDEX('1-DATA'!$1:$1048576,$A176-1,COLUMN('1-DATA'!AA175)),ROUND(INDEX('1-DATA'!$1:$1048576,IF(OR($B177="STD. DEVIATION",$C$1=1),$A177,$A177+1),COLUMN('1-DATA'!AA175)),IF($B177="STD. DEVIATION",2,$F$1))))</f>
        <v/>
      </c>
      <c r="AC177" s="1" t="str">
        <f>IF(OR($B177="",AC$7=""),"",IF($B177="MEANS",INDEX('1-DATA'!$1:$1048576,$A176-1,COLUMN('1-DATA'!AB175)),ROUND(INDEX('1-DATA'!$1:$1048576,IF(OR($B177="STD. DEVIATION",$C$1=1),$A177,$A177+1),COLUMN('1-DATA'!AB175)),IF($B177="STD. DEVIATION",2,$F$1))))</f>
        <v/>
      </c>
      <c r="AD177" s="1" t="str">
        <f>IF(OR($B177="",AD$7=""),"",IF($B177="MEANS",INDEX('1-DATA'!$1:$1048576,$A176-1,COLUMN('1-DATA'!AC175)),ROUND(INDEX('1-DATA'!$1:$1048576,IF(OR($B177="STD. DEVIATION",$C$1=1),$A177,$A177+1),COLUMN('1-DATA'!AC175)),IF($B177="STD. DEVIATION",2,$F$1))))</f>
        <v/>
      </c>
      <c r="AE177" s="1" t="str">
        <f>IF(OR($B177="",AE$7=""),"",IF($B177="MEANS",INDEX('1-DATA'!$1:$1048576,$A176-1,COLUMN('1-DATA'!AD175)),ROUND(INDEX('1-DATA'!$1:$1048576,IF(OR($B177="STD. DEVIATION",$C$1=1),$A177,$A177+1),COLUMN('1-DATA'!AD175)),IF($B177="STD. DEVIATION",2,$F$1))))</f>
        <v/>
      </c>
      <c r="AF177" s="1" t="str">
        <f>IF(OR($B177="",AF$7=""),"",IF($B177="MEANS",INDEX('1-DATA'!$1:$1048576,$A176-1,COLUMN('1-DATA'!AE175)),ROUND(INDEX('1-DATA'!$1:$1048576,IF(OR($B177="STD. DEVIATION",$C$1=1),$A177,$A177+1),COLUMN('1-DATA'!AE175)),IF($B177="STD. DEVIATION",2,$F$1))))</f>
        <v/>
      </c>
      <c r="AG177" s="1" t="str">
        <f>IF(OR($B177="",AG$7=""),"",IF($B177="MEANS",INDEX('1-DATA'!$1:$1048576,$A176-1,COLUMN('1-DATA'!AF175)),ROUND(INDEX('1-DATA'!$1:$1048576,IF(OR($B177="STD. DEVIATION",$C$1=1),$A177,$A177+1),COLUMN('1-DATA'!AF175)),IF($B177="STD. DEVIATION",2,$F$1))))</f>
        <v/>
      </c>
      <c r="AH177" s="1" t="str">
        <f>IF(OR($B177="",AH$7=""),"",IF($B177="MEANS",INDEX('1-DATA'!$1:$1048576,$A176-1,COLUMN('1-DATA'!AG175)),ROUND(INDEX('1-DATA'!$1:$1048576,IF(OR($B177="STD. DEVIATION",$C$1=1),$A177,$A177+1),COLUMN('1-DATA'!AG175)),IF($B177="STD. DEVIATION",2,$F$1))))</f>
        <v/>
      </c>
      <c r="AI177" s="1" t="str">
        <f>IF(OR($B177="",AI$7=""),"",IF($B177="MEANS",INDEX('1-DATA'!$1:$1048576,$A176-1,COLUMN('1-DATA'!AH175)),ROUND(INDEX('1-DATA'!$1:$1048576,IF(OR($B177="STD. DEVIATION",$C$1=1),$A177,$A177+1),COLUMN('1-DATA'!AH175)),IF($B177="STD. DEVIATION",2,$F$1))))</f>
        <v/>
      </c>
      <c r="AJ177" s="1" t="str">
        <f>IF(OR($B177="",AJ$7=""),"",IF($B177="MEANS",INDEX('1-DATA'!$1:$1048576,$A176-1,COLUMN('1-DATA'!AI175)),ROUND(INDEX('1-DATA'!$1:$1048576,IF(OR($B177="STD. DEVIATION",$C$1=1),$A177,$A177+1),COLUMN('1-DATA'!AI175)),IF($B177="STD. DEVIATION",2,$F$1))))</f>
        <v/>
      </c>
      <c r="AK177" s="1" t="str">
        <f>IF(OR($B177="",AK$7=""),"",IF($B177="MEANS",INDEX('1-DATA'!$1:$1048576,$A176-1,COLUMN('1-DATA'!AJ175)),ROUND(INDEX('1-DATA'!$1:$1048576,IF(OR($B177="STD. DEVIATION",$C$1=1),$A177,$A177+1),COLUMN('1-DATA'!AJ175)),IF($B177="STD. DEVIATION",2,$F$1))))</f>
        <v/>
      </c>
      <c r="AL177" s="1" t="str">
        <f>IF(OR($B177="",AL$7=""),"",IF($B177="MEANS",INDEX('1-DATA'!$1:$1048576,$A176-1,COLUMN('1-DATA'!AK175)),ROUND(INDEX('1-DATA'!$1:$1048576,IF(OR($B177="STD. DEVIATION",$C$1=1),$A177,$A177+1),COLUMN('1-DATA'!AK175)),IF($B177="STD. DEVIATION",2,$F$1))))</f>
        <v/>
      </c>
      <c r="AM177" s="1" t="str">
        <f>IF(OR($B177="",AM$7=""),"",IF($B177="MEANS",INDEX('1-DATA'!$1:$1048576,$A176-1,COLUMN('1-DATA'!AL175)),ROUND(INDEX('1-DATA'!$1:$1048576,IF(OR($B177="STD. DEVIATION",$C$1=1),$A177,$A177+1),COLUMN('1-DATA'!AL175)),IF($B177="STD. DEVIATION",2,$F$1))))</f>
        <v/>
      </c>
      <c r="AN177" s="1" t="str">
        <f>IF(OR($B177="",AN$7=""),"",IF($B177="MEANS",INDEX('1-DATA'!$1:$1048576,$A176-1,COLUMN('1-DATA'!AM175)),ROUND(INDEX('1-DATA'!$1:$1048576,IF(OR($B177="STD. DEVIATION",$C$1=1),$A177,$A177+1),COLUMN('1-DATA'!AM175)),IF($B177="STD. DEVIATION",2,$F$1))))</f>
        <v/>
      </c>
      <c r="AO177" s="1" t="str">
        <f>IF(OR($B177="",AO$7=""),"",IF($B177="MEANS",INDEX('1-DATA'!$1:$1048576,$A176-1,COLUMN('1-DATA'!AN175)),ROUND(INDEX('1-DATA'!$1:$1048576,IF(OR($B177="STD. DEVIATION",$C$1=1),$A177,$A177+1),COLUMN('1-DATA'!AN175)),IF($B177="STD. DEVIATION",2,$F$1))))</f>
        <v/>
      </c>
      <c r="AP177" s="1" t="str">
        <f>IF(OR($B177="",AP$7=""),"",IF($B177="MEANS",INDEX('1-DATA'!$1:$1048576,$A176-1,COLUMN('1-DATA'!AO175)),ROUND(INDEX('1-DATA'!$1:$1048576,IF(OR($B177="STD. DEVIATION",$C$1=1),$A177,$A177+1),COLUMN('1-DATA'!AO175)),IF($B177="STD. DEVIATION",2,$F$1))))</f>
        <v/>
      </c>
      <c r="AQ177" s="1" t="str">
        <f>IF(OR($B177="",AQ$7=""),"",IF($B177="MEANS",INDEX('1-DATA'!$1:$1048576,$A176-1,COLUMN('1-DATA'!AP175)),ROUND(INDEX('1-DATA'!$1:$1048576,IF(OR($B177="STD. DEVIATION",$C$1=1),$A177,$A177+1),COLUMN('1-DATA'!AP175)),IF($B177="STD. DEVIATION",2,$F$1))))</f>
        <v/>
      </c>
      <c r="AR177" s="1" t="str">
        <f>IF(OR($B177="",AR$7=""),"",IF($B177="MEANS",INDEX('1-DATA'!$1:$1048576,$A176-1,COLUMN('1-DATA'!AQ175)),ROUND(INDEX('1-DATA'!$1:$1048576,IF(OR($B177="STD. DEVIATION",$C$1=1),$A177,$A177+1),COLUMN('1-DATA'!AQ175)),IF($B177="STD. DEVIATION",2,$F$1))))</f>
        <v/>
      </c>
      <c r="AS177" s="1" t="str">
        <f>IF(OR($B177="",AS$7=""),"",IF($B177="MEANS",INDEX('1-DATA'!$1:$1048576,$A176-1,COLUMN('1-DATA'!AR175)),ROUND(INDEX('1-DATA'!$1:$1048576,IF(OR($B177="STD. DEVIATION",$C$1=1),$A177,$A177+1),COLUMN('1-DATA'!AR175)),IF($B177="STD. DEVIATION",2,$F$1))))</f>
        <v/>
      </c>
      <c r="AT177" s="1" t="str">
        <f>IF(OR($B177="",AT$7=""),"",IF($B177="MEANS",INDEX('1-DATA'!$1:$1048576,$A176-1,COLUMN('1-DATA'!AS175)),ROUND(INDEX('1-DATA'!$1:$1048576,IF(OR($B177="STD. DEVIATION",$C$1=1),$A177,$A177+1),COLUMN('1-DATA'!AS175)),IF($B177="STD. DEVIATION",2,$F$1))))</f>
        <v/>
      </c>
      <c r="AU177" s="1" t="str">
        <f>IF(OR($B177="",AU$7=""),"",IF($B177="MEANS",INDEX('1-DATA'!$1:$1048576,$A176-1,COLUMN('1-DATA'!AT175)),ROUND(INDEX('1-DATA'!$1:$1048576,IF(OR($B177="STD. DEVIATION",$C$1=1),$A177,$A177+1),COLUMN('1-DATA'!AT175)),IF($B177="STD. DEVIATION",2,$F$1))))</f>
        <v/>
      </c>
      <c r="AV177" s="1" t="str">
        <f>IF(OR($B177="",AV$7=""),"",IF($B177="MEANS",INDEX('1-DATA'!$1:$1048576,$A176-1,COLUMN('1-DATA'!AU175)),ROUND(INDEX('1-DATA'!$1:$1048576,IF(OR($B177="STD. DEVIATION",$C$1=1),$A177,$A177+1),COLUMN('1-DATA'!AU175)),IF($B177="STD. DEVIATION",2,$F$1))))</f>
        <v/>
      </c>
      <c r="AW177" s="1" t="str">
        <f>IF(OR($B177="",AW$7=""),"",IF($B177="MEANS",INDEX('1-DATA'!$1:$1048576,$A176-1,COLUMN('1-DATA'!AV175)),ROUND(INDEX('1-DATA'!$1:$1048576,IF(OR($B177="STD. DEVIATION",$C$1=1),$A177,$A177+1),COLUMN('1-DATA'!AV175)),IF($B177="STD. DEVIATION",2,$F$1))))</f>
        <v/>
      </c>
      <c r="AX177" s="1" t="str">
        <f>IF(OR($B177="",AX$7=""),"",IF($B177="MEANS",INDEX('1-DATA'!$1:$1048576,$A176-1,COLUMN('1-DATA'!AW175)),ROUND(INDEX('1-DATA'!$1:$1048576,IF(OR($B177="STD. DEVIATION",$C$1=1),$A177,$A177+1),COLUMN('1-DATA'!AW175)),IF($B177="STD. DEVIATION",2,$F$1))))</f>
        <v/>
      </c>
      <c r="AY177" s="1" t="str">
        <f>IF(OR($B177="",AY$7=""),"",IF($B177="MEANS",INDEX('1-DATA'!$1:$1048576,$A176-1,COLUMN('1-DATA'!AX175)),ROUND(INDEX('1-DATA'!$1:$1048576,IF(OR($B177="STD. DEVIATION",$C$1=1),$A177,$A177+1),COLUMN('1-DATA'!AX175)),IF($B177="STD. DEVIATION",2,$F$1))))</f>
        <v/>
      </c>
      <c r="AZ177" s="1" t="str">
        <f>IF(OR($B177="",AZ$7=""),"",IF($B177="MEANS",INDEX('1-DATA'!$1:$1048576,$A176-1,COLUMN('1-DATA'!AY175)),ROUND(INDEX('1-DATA'!$1:$1048576,IF(OR($B177="STD. DEVIATION",$C$1=1),$A177,$A177+1),COLUMN('1-DATA'!AY175)),IF($B177="STD. DEVIATION",2,$F$1))))</f>
        <v/>
      </c>
    </row>
    <row r="178" spans="1:52" x14ac:dyDescent="0.25">
      <c r="A178" s="11">
        <f t="shared" si="3"/>
        <v>520</v>
      </c>
      <c r="B178" s="1" t="str">
        <f>IF(B177="STD. DEVIATION",INDEX('1-DATA'!$1:$1048576,$A177-1,1),IF(INDEX('1-DATA'!$1:$1048576,$A178,1)&lt;&gt;"",INDEX('1-DATA'!$1:$1048576,$A178,1),""))</f>
        <v/>
      </c>
      <c r="C178" s="1" t="str">
        <f>IF(OR($B178="",C$7=""),"",IF($B178="MEANS",INDEX('1-DATA'!$1:$1048576,$A177-1,COLUMN('1-DATA'!B176)),ROUND(INDEX('1-DATA'!$1:$1048576,IF(OR($B178="STD. DEVIATION",$C$1=1),$A178,$A178+1),COLUMN('1-DATA'!B176)),IF($B178="STD. DEVIATION",2,$F$1))))</f>
        <v/>
      </c>
      <c r="D178" s="1" t="str">
        <f>IF(OR($B178="",D$7=""),"",IF($B178="MEANS",INDEX('1-DATA'!$1:$1048576,$A177-1,COLUMN('1-DATA'!C176)),ROUND(INDEX('1-DATA'!$1:$1048576,IF(OR($B178="STD. DEVIATION",$C$1=1),$A178,$A178+1),COLUMN('1-DATA'!C176)),IF($B178="STD. DEVIATION",2,$F$1))))</f>
        <v/>
      </c>
      <c r="E178" s="1" t="str">
        <f>IF(OR($B178="",E$7=""),"",IF($B178="MEANS",INDEX('1-DATA'!$1:$1048576,$A177-1,COLUMN('1-DATA'!D176)),ROUND(INDEX('1-DATA'!$1:$1048576,IF(OR($B178="STD. DEVIATION",$C$1=1),$A178,$A178+1),COLUMN('1-DATA'!D176)),IF($B178="STD. DEVIATION",2,$F$1))))</f>
        <v/>
      </c>
      <c r="F178" s="1" t="str">
        <f>IF(OR($B178="",F$7=""),"",IF($B178="MEANS",INDEX('1-DATA'!$1:$1048576,$A177-1,COLUMN('1-DATA'!E176)),ROUND(INDEX('1-DATA'!$1:$1048576,IF(OR($B178="STD. DEVIATION",$C$1=1),$A178,$A178+1),COLUMN('1-DATA'!E176)),IF($B178="STD. DEVIATION",2,$F$1))))</f>
        <v/>
      </c>
      <c r="G178" s="1" t="str">
        <f>IF(OR($B178="",G$7=""),"",IF($B178="MEANS",INDEX('1-DATA'!$1:$1048576,$A177-1,COLUMN('1-DATA'!F176)),ROUND(INDEX('1-DATA'!$1:$1048576,IF(OR($B178="STD. DEVIATION",$C$1=1),$A178,$A178+1),COLUMN('1-DATA'!F176)),IF($B178="STD. DEVIATION",2,$F$1))))</f>
        <v/>
      </c>
      <c r="H178" s="1" t="str">
        <f>IF(OR($B178="",H$7=""),"",IF($B178="MEANS",INDEX('1-DATA'!$1:$1048576,$A177-1,COLUMN('1-DATA'!G176)),ROUND(INDEX('1-DATA'!$1:$1048576,IF(OR($B178="STD. DEVIATION",$C$1=1),$A178,$A178+1),COLUMN('1-DATA'!G176)),IF($B178="STD. DEVIATION",2,$F$1))))</f>
        <v/>
      </c>
      <c r="I178" s="1" t="str">
        <f>IF(OR($B178="",I$7=""),"",IF($B178="MEANS",INDEX('1-DATA'!$1:$1048576,$A177-1,COLUMN('1-DATA'!H176)),ROUND(INDEX('1-DATA'!$1:$1048576,IF(OR($B178="STD. DEVIATION",$C$1=1),$A178,$A178+1),COLUMN('1-DATA'!H176)),IF($B178="STD. DEVIATION",2,$F$1))))</f>
        <v/>
      </c>
      <c r="J178" s="1" t="str">
        <f>IF(OR($B178="",J$7=""),"",IF($B178="MEANS",INDEX('1-DATA'!$1:$1048576,$A177-1,COLUMN('1-DATA'!I176)),ROUND(INDEX('1-DATA'!$1:$1048576,IF(OR($B178="STD. DEVIATION",$C$1=1),$A178,$A178+1),COLUMN('1-DATA'!I176)),IF($B178="STD. DEVIATION",2,$F$1))))</f>
        <v/>
      </c>
      <c r="K178" s="1" t="str">
        <f>IF(OR($B178="",K$7=""),"",IF($B178="MEANS",INDEX('1-DATA'!$1:$1048576,$A177-1,COLUMN('1-DATA'!J176)),ROUND(INDEX('1-DATA'!$1:$1048576,IF(OR($B178="STD. DEVIATION",$C$1=1),$A178,$A178+1),COLUMN('1-DATA'!J176)),IF($B178="STD. DEVIATION",2,$F$1))))</f>
        <v/>
      </c>
      <c r="L178" s="1" t="str">
        <f>IF(OR($B178="",L$7=""),"",IF($B178="MEANS",INDEX('1-DATA'!$1:$1048576,$A177-1,COLUMN('1-DATA'!K176)),ROUND(INDEX('1-DATA'!$1:$1048576,IF(OR($B178="STD. DEVIATION",$C$1=1),$A178,$A178+1),COLUMN('1-DATA'!K176)),IF($B178="STD. DEVIATION",2,$F$1))))</f>
        <v/>
      </c>
      <c r="M178" s="1" t="str">
        <f>IF(OR($B178="",M$7=""),"",IF($B178="MEANS",INDEX('1-DATA'!$1:$1048576,$A177-1,COLUMN('1-DATA'!L176)),ROUND(INDEX('1-DATA'!$1:$1048576,IF(OR($B178="STD. DEVIATION",$C$1=1),$A178,$A178+1),COLUMN('1-DATA'!L176)),IF($B178="STD. DEVIATION",2,$F$1))))</f>
        <v/>
      </c>
      <c r="N178" s="1" t="str">
        <f>IF(OR($B178="",N$7=""),"",IF($B178="MEANS",INDEX('1-DATA'!$1:$1048576,$A177-1,COLUMN('1-DATA'!M176)),ROUND(INDEX('1-DATA'!$1:$1048576,IF(OR($B178="STD. DEVIATION",$C$1=1),$A178,$A178+1),COLUMN('1-DATA'!M176)),IF($B178="STD. DEVIATION",2,$F$1))))</f>
        <v/>
      </c>
      <c r="O178" s="1" t="str">
        <f>IF(OR($B178="",O$7=""),"",IF($B178="MEANS",INDEX('1-DATA'!$1:$1048576,$A177-1,COLUMN('1-DATA'!N176)),ROUND(INDEX('1-DATA'!$1:$1048576,IF(OR($B178="STD. DEVIATION",$C$1=1),$A178,$A178+1),COLUMN('1-DATA'!N176)),IF($B178="STD. DEVIATION",2,$F$1))))</f>
        <v/>
      </c>
      <c r="P178" s="1" t="str">
        <f>IF(OR($B178="",P$7=""),"",IF($B178="MEANS",INDEX('1-DATA'!$1:$1048576,$A177-1,COLUMN('1-DATA'!O176)),ROUND(INDEX('1-DATA'!$1:$1048576,IF(OR($B178="STD. DEVIATION",$C$1=1),$A178,$A178+1),COLUMN('1-DATA'!O176)),IF($B178="STD. DEVIATION",2,$F$1))))</f>
        <v/>
      </c>
      <c r="Q178" s="1" t="str">
        <f>IF(OR($B178="",Q$7=""),"",IF($B178="MEANS",INDEX('1-DATA'!$1:$1048576,$A177-1,COLUMN('1-DATA'!P176)),ROUND(INDEX('1-DATA'!$1:$1048576,IF(OR($B178="STD. DEVIATION",$C$1=1),$A178,$A178+1),COLUMN('1-DATA'!P176)),IF($B178="STD. DEVIATION",2,$F$1))))</f>
        <v/>
      </c>
      <c r="R178" s="1" t="str">
        <f>IF(OR($B178="",R$7=""),"",IF($B178="MEANS",INDEX('1-DATA'!$1:$1048576,$A177-1,COLUMN('1-DATA'!Q176)),ROUND(INDEX('1-DATA'!$1:$1048576,IF(OR($B178="STD. DEVIATION",$C$1=1),$A178,$A178+1),COLUMN('1-DATA'!Q176)),IF($B178="STD. DEVIATION",2,$F$1))))</f>
        <v/>
      </c>
      <c r="S178" s="1" t="str">
        <f>IF(OR($B178="",S$7=""),"",IF($B178="MEANS",INDEX('1-DATA'!$1:$1048576,$A177-1,COLUMN('1-DATA'!R176)),ROUND(INDEX('1-DATA'!$1:$1048576,IF(OR($B178="STD. DEVIATION",$C$1=1),$A178,$A178+1),COLUMN('1-DATA'!R176)),IF($B178="STD. DEVIATION",2,$F$1))))</f>
        <v/>
      </c>
      <c r="T178" s="1" t="str">
        <f>IF(OR($B178="",T$7=""),"",IF($B178="MEANS",INDEX('1-DATA'!$1:$1048576,$A177-1,COLUMN('1-DATA'!S176)),ROUND(INDEX('1-DATA'!$1:$1048576,IF(OR($B178="STD. DEVIATION",$C$1=1),$A178,$A178+1),COLUMN('1-DATA'!S176)),IF($B178="STD. DEVIATION",2,$F$1))))</f>
        <v/>
      </c>
      <c r="U178" s="1" t="str">
        <f>IF(OR($B178="",U$7=""),"",IF($B178="MEANS",INDEX('1-DATA'!$1:$1048576,$A177-1,COLUMN('1-DATA'!T176)),ROUND(INDEX('1-DATA'!$1:$1048576,IF(OR($B178="STD. DEVIATION",$C$1=1),$A178,$A178+1),COLUMN('1-DATA'!T176)),IF($B178="STD. DEVIATION",2,$F$1))))</f>
        <v/>
      </c>
      <c r="V178" s="1" t="str">
        <f>IF(OR($B178="",V$7=""),"",IF($B178="MEANS",INDEX('1-DATA'!$1:$1048576,$A177-1,COLUMN('1-DATA'!U176)),ROUND(INDEX('1-DATA'!$1:$1048576,IF(OR($B178="STD. DEVIATION",$C$1=1),$A178,$A178+1),COLUMN('1-DATA'!U176)),IF($B178="STD. DEVIATION",2,$F$1))))</f>
        <v/>
      </c>
      <c r="W178" s="1" t="str">
        <f>IF(OR($B178="",W$7=""),"",IF($B178="MEANS",INDEX('1-DATA'!$1:$1048576,$A177-1,COLUMN('1-DATA'!V176)),ROUND(INDEX('1-DATA'!$1:$1048576,IF(OR($B178="STD. DEVIATION",$C$1=1),$A178,$A178+1),COLUMN('1-DATA'!V176)),IF($B178="STD. DEVIATION",2,$F$1))))</f>
        <v/>
      </c>
      <c r="X178" s="1" t="str">
        <f>IF(OR($B178="",X$7=""),"",IF($B178="MEANS",INDEX('1-DATA'!$1:$1048576,$A177-1,COLUMN('1-DATA'!W176)),ROUND(INDEX('1-DATA'!$1:$1048576,IF(OR($B178="STD. DEVIATION",$C$1=1),$A178,$A178+1),COLUMN('1-DATA'!W176)),IF($B178="STD. DEVIATION",2,$F$1))))</f>
        <v/>
      </c>
      <c r="Y178" s="1" t="str">
        <f>IF(OR($B178="",Y$7=""),"",IF($B178="MEANS",INDEX('1-DATA'!$1:$1048576,$A177-1,COLUMN('1-DATA'!X176)),ROUND(INDEX('1-DATA'!$1:$1048576,IF(OR($B178="STD. DEVIATION",$C$1=1),$A178,$A178+1),COLUMN('1-DATA'!X176)),IF($B178="STD. DEVIATION",2,$F$1))))</f>
        <v/>
      </c>
      <c r="Z178" s="1" t="str">
        <f>IF(OR($B178="",Z$7=""),"",IF($B178="MEANS",INDEX('1-DATA'!$1:$1048576,$A177-1,COLUMN('1-DATA'!Y176)),ROUND(INDEX('1-DATA'!$1:$1048576,IF(OR($B178="STD. DEVIATION",$C$1=1),$A178,$A178+1),COLUMN('1-DATA'!Y176)),IF($B178="STD. DEVIATION",2,$F$1))))</f>
        <v/>
      </c>
      <c r="AA178" s="1" t="str">
        <f>IF(OR($B178="",AA$7=""),"",IF($B178="MEANS",INDEX('1-DATA'!$1:$1048576,$A177-1,COLUMN('1-DATA'!Z176)),ROUND(INDEX('1-DATA'!$1:$1048576,IF(OR($B178="STD. DEVIATION",$C$1=1),$A178,$A178+1),COLUMN('1-DATA'!Z176)),IF($B178="STD. DEVIATION",2,$F$1))))</f>
        <v/>
      </c>
      <c r="AB178" s="1" t="str">
        <f>IF(OR($B178="",AB$7=""),"",IF($B178="MEANS",INDEX('1-DATA'!$1:$1048576,$A177-1,COLUMN('1-DATA'!AA176)),ROUND(INDEX('1-DATA'!$1:$1048576,IF(OR($B178="STD. DEVIATION",$C$1=1),$A178,$A178+1),COLUMN('1-DATA'!AA176)),IF($B178="STD. DEVIATION",2,$F$1))))</f>
        <v/>
      </c>
      <c r="AC178" s="1" t="str">
        <f>IF(OR($B178="",AC$7=""),"",IF($B178="MEANS",INDEX('1-DATA'!$1:$1048576,$A177-1,COLUMN('1-DATA'!AB176)),ROUND(INDEX('1-DATA'!$1:$1048576,IF(OR($B178="STD. DEVIATION",$C$1=1),$A178,$A178+1),COLUMN('1-DATA'!AB176)),IF($B178="STD. DEVIATION",2,$F$1))))</f>
        <v/>
      </c>
      <c r="AD178" s="1" t="str">
        <f>IF(OR($B178="",AD$7=""),"",IF($B178="MEANS",INDEX('1-DATA'!$1:$1048576,$A177-1,COLUMN('1-DATA'!AC176)),ROUND(INDEX('1-DATA'!$1:$1048576,IF(OR($B178="STD. DEVIATION",$C$1=1),$A178,$A178+1),COLUMN('1-DATA'!AC176)),IF($B178="STD. DEVIATION",2,$F$1))))</f>
        <v/>
      </c>
      <c r="AE178" s="1" t="str">
        <f>IF(OR($B178="",AE$7=""),"",IF($B178="MEANS",INDEX('1-DATA'!$1:$1048576,$A177-1,COLUMN('1-DATA'!AD176)),ROUND(INDEX('1-DATA'!$1:$1048576,IF(OR($B178="STD. DEVIATION",$C$1=1),$A178,$A178+1),COLUMN('1-DATA'!AD176)),IF($B178="STD. DEVIATION",2,$F$1))))</f>
        <v/>
      </c>
      <c r="AF178" s="1" t="str">
        <f>IF(OR($B178="",AF$7=""),"",IF($B178="MEANS",INDEX('1-DATA'!$1:$1048576,$A177-1,COLUMN('1-DATA'!AE176)),ROUND(INDEX('1-DATA'!$1:$1048576,IF(OR($B178="STD. DEVIATION",$C$1=1),$A178,$A178+1),COLUMN('1-DATA'!AE176)),IF($B178="STD. DEVIATION",2,$F$1))))</f>
        <v/>
      </c>
      <c r="AG178" s="1" t="str">
        <f>IF(OR($B178="",AG$7=""),"",IF($B178="MEANS",INDEX('1-DATA'!$1:$1048576,$A177-1,COLUMN('1-DATA'!AF176)),ROUND(INDEX('1-DATA'!$1:$1048576,IF(OR($B178="STD. DEVIATION",$C$1=1),$A178,$A178+1),COLUMN('1-DATA'!AF176)),IF($B178="STD. DEVIATION",2,$F$1))))</f>
        <v/>
      </c>
      <c r="AH178" s="1" t="str">
        <f>IF(OR($B178="",AH$7=""),"",IF($B178="MEANS",INDEX('1-DATA'!$1:$1048576,$A177-1,COLUMN('1-DATA'!AG176)),ROUND(INDEX('1-DATA'!$1:$1048576,IF(OR($B178="STD. DEVIATION",$C$1=1),$A178,$A178+1),COLUMN('1-DATA'!AG176)),IF($B178="STD. DEVIATION",2,$F$1))))</f>
        <v/>
      </c>
      <c r="AI178" s="1" t="str">
        <f>IF(OR($B178="",AI$7=""),"",IF($B178="MEANS",INDEX('1-DATA'!$1:$1048576,$A177-1,COLUMN('1-DATA'!AH176)),ROUND(INDEX('1-DATA'!$1:$1048576,IF(OR($B178="STD. DEVIATION",$C$1=1),$A178,$A178+1),COLUMN('1-DATA'!AH176)),IF($B178="STD. DEVIATION",2,$F$1))))</f>
        <v/>
      </c>
      <c r="AJ178" s="1" t="str">
        <f>IF(OR($B178="",AJ$7=""),"",IF($B178="MEANS",INDEX('1-DATA'!$1:$1048576,$A177-1,COLUMN('1-DATA'!AI176)),ROUND(INDEX('1-DATA'!$1:$1048576,IF(OR($B178="STD. DEVIATION",$C$1=1),$A178,$A178+1),COLUMN('1-DATA'!AI176)),IF($B178="STD. DEVIATION",2,$F$1))))</f>
        <v/>
      </c>
      <c r="AK178" s="1" t="str">
        <f>IF(OR($B178="",AK$7=""),"",IF($B178="MEANS",INDEX('1-DATA'!$1:$1048576,$A177-1,COLUMN('1-DATA'!AJ176)),ROUND(INDEX('1-DATA'!$1:$1048576,IF(OR($B178="STD. DEVIATION",$C$1=1),$A178,$A178+1),COLUMN('1-DATA'!AJ176)),IF($B178="STD. DEVIATION",2,$F$1))))</f>
        <v/>
      </c>
      <c r="AL178" s="1" t="str">
        <f>IF(OR($B178="",AL$7=""),"",IF($B178="MEANS",INDEX('1-DATA'!$1:$1048576,$A177-1,COLUMN('1-DATA'!AK176)),ROUND(INDEX('1-DATA'!$1:$1048576,IF(OR($B178="STD. DEVIATION",$C$1=1),$A178,$A178+1),COLUMN('1-DATA'!AK176)),IF($B178="STD. DEVIATION",2,$F$1))))</f>
        <v/>
      </c>
      <c r="AM178" s="1" t="str">
        <f>IF(OR($B178="",AM$7=""),"",IF($B178="MEANS",INDEX('1-DATA'!$1:$1048576,$A177-1,COLUMN('1-DATA'!AL176)),ROUND(INDEX('1-DATA'!$1:$1048576,IF(OR($B178="STD. DEVIATION",$C$1=1),$A178,$A178+1),COLUMN('1-DATA'!AL176)),IF($B178="STD. DEVIATION",2,$F$1))))</f>
        <v/>
      </c>
      <c r="AN178" s="1" t="str">
        <f>IF(OR($B178="",AN$7=""),"",IF($B178="MEANS",INDEX('1-DATA'!$1:$1048576,$A177-1,COLUMN('1-DATA'!AM176)),ROUND(INDEX('1-DATA'!$1:$1048576,IF(OR($B178="STD. DEVIATION",$C$1=1),$A178,$A178+1),COLUMN('1-DATA'!AM176)),IF($B178="STD. DEVIATION",2,$F$1))))</f>
        <v/>
      </c>
      <c r="AO178" s="1" t="str">
        <f>IF(OR($B178="",AO$7=""),"",IF($B178="MEANS",INDEX('1-DATA'!$1:$1048576,$A177-1,COLUMN('1-DATA'!AN176)),ROUND(INDEX('1-DATA'!$1:$1048576,IF(OR($B178="STD. DEVIATION",$C$1=1),$A178,$A178+1),COLUMN('1-DATA'!AN176)),IF($B178="STD. DEVIATION",2,$F$1))))</f>
        <v/>
      </c>
      <c r="AP178" s="1" t="str">
        <f>IF(OR($B178="",AP$7=""),"",IF($B178="MEANS",INDEX('1-DATA'!$1:$1048576,$A177-1,COLUMN('1-DATA'!AO176)),ROUND(INDEX('1-DATA'!$1:$1048576,IF(OR($B178="STD. DEVIATION",$C$1=1),$A178,$A178+1),COLUMN('1-DATA'!AO176)),IF($B178="STD. DEVIATION",2,$F$1))))</f>
        <v/>
      </c>
      <c r="AQ178" s="1" t="str">
        <f>IF(OR($B178="",AQ$7=""),"",IF($B178="MEANS",INDEX('1-DATA'!$1:$1048576,$A177-1,COLUMN('1-DATA'!AP176)),ROUND(INDEX('1-DATA'!$1:$1048576,IF(OR($B178="STD. DEVIATION",$C$1=1),$A178,$A178+1),COLUMN('1-DATA'!AP176)),IF($B178="STD. DEVIATION",2,$F$1))))</f>
        <v/>
      </c>
      <c r="AR178" s="1" t="str">
        <f>IF(OR($B178="",AR$7=""),"",IF($B178="MEANS",INDEX('1-DATA'!$1:$1048576,$A177-1,COLUMN('1-DATA'!AQ176)),ROUND(INDEX('1-DATA'!$1:$1048576,IF(OR($B178="STD. DEVIATION",$C$1=1),$A178,$A178+1),COLUMN('1-DATA'!AQ176)),IF($B178="STD. DEVIATION",2,$F$1))))</f>
        <v/>
      </c>
      <c r="AS178" s="1" t="str">
        <f>IF(OR($B178="",AS$7=""),"",IF($B178="MEANS",INDEX('1-DATA'!$1:$1048576,$A177-1,COLUMN('1-DATA'!AR176)),ROUND(INDEX('1-DATA'!$1:$1048576,IF(OR($B178="STD. DEVIATION",$C$1=1),$A178,$A178+1),COLUMN('1-DATA'!AR176)),IF($B178="STD. DEVIATION",2,$F$1))))</f>
        <v/>
      </c>
      <c r="AT178" s="1" t="str">
        <f>IF(OR($B178="",AT$7=""),"",IF($B178="MEANS",INDEX('1-DATA'!$1:$1048576,$A177-1,COLUMN('1-DATA'!AS176)),ROUND(INDEX('1-DATA'!$1:$1048576,IF(OR($B178="STD. DEVIATION",$C$1=1),$A178,$A178+1),COLUMN('1-DATA'!AS176)),IF($B178="STD. DEVIATION",2,$F$1))))</f>
        <v/>
      </c>
      <c r="AU178" s="1" t="str">
        <f>IF(OR($B178="",AU$7=""),"",IF($B178="MEANS",INDEX('1-DATA'!$1:$1048576,$A177-1,COLUMN('1-DATA'!AT176)),ROUND(INDEX('1-DATA'!$1:$1048576,IF(OR($B178="STD. DEVIATION",$C$1=1),$A178,$A178+1),COLUMN('1-DATA'!AT176)),IF($B178="STD. DEVIATION",2,$F$1))))</f>
        <v/>
      </c>
      <c r="AV178" s="1" t="str">
        <f>IF(OR($B178="",AV$7=""),"",IF($B178="MEANS",INDEX('1-DATA'!$1:$1048576,$A177-1,COLUMN('1-DATA'!AU176)),ROUND(INDEX('1-DATA'!$1:$1048576,IF(OR($B178="STD. DEVIATION",$C$1=1),$A178,$A178+1),COLUMN('1-DATA'!AU176)),IF($B178="STD. DEVIATION",2,$F$1))))</f>
        <v/>
      </c>
      <c r="AW178" s="1" t="str">
        <f>IF(OR($B178="",AW$7=""),"",IF($B178="MEANS",INDEX('1-DATA'!$1:$1048576,$A177-1,COLUMN('1-DATA'!AV176)),ROUND(INDEX('1-DATA'!$1:$1048576,IF(OR($B178="STD. DEVIATION",$C$1=1),$A178,$A178+1),COLUMN('1-DATA'!AV176)),IF($B178="STD. DEVIATION",2,$F$1))))</f>
        <v/>
      </c>
      <c r="AX178" s="1" t="str">
        <f>IF(OR($B178="",AX$7=""),"",IF($B178="MEANS",INDEX('1-DATA'!$1:$1048576,$A177-1,COLUMN('1-DATA'!AW176)),ROUND(INDEX('1-DATA'!$1:$1048576,IF(OR($B178="STD. DEVIATION",$C$1=1),$A178,$A178+1),COLUMN('1-DATA'!AW176)),IF($B178="STD. DEVIATION",2,$F$1))))</f>
        <v/>
      </c>
      <c r="AY178" s="1" t="str">
        <f>IF(OR($B178="",AY$7=""),"",IF($B178="MEANS",INDEX('1-DATA'!$1:$1048576,$A177-1,COLUMN('1-DATA'!AX176)),ROUND(INDEX('1-DATA'!$1:$1048576,IF(OR($B178="STD. DEVIATION",$C$1=1),$A178,$A178+1),COLUMN('1-DATA'!AX176)),IF($B178="STD. DEVIATION",2,$F$1))))</f>
        <v/>
      </c>
      <c r="AZ178" s="1" t="str">
        <f>IF(OR($B178="",AZ$7=""),"",IF($B178="MEANS",INDEX('1-DATA'!$1:$1048576,$A177-1,COLUMN('1-DATA'!AY176)),ROUND(INDEX('1-DATA'!$1:$1048576,IF(OR($B178="STD. DEVIATION",$C$1=1),$A178,$A178+1),COLUMN('1-DATA'!AY176)),IF($B178="STD. DEVIATION",2,$F$1))))</f>
        <v/>
      </c>
    </row>
    <row r="179" spans="1:52" x14ac:dyDescent="0.25">
      <c r="A179" s="11">
        <f t="shared" si="3"/>
        <v>523</v>
      </c>
      <c r="B179" s="1" t="str">
        <f>IF(B178="STD. DEVIATION",INDEX('1-DATA'!$1:$1048576,$A178-1,1),IF(INDEX('1-DATA'!$1:$1048576,$A179,1)&lt;&gt;"",INDEX('1-DATA'!$1:$1048576,$A179,1),""))</f>
        <v/>
      </c>
      <c r="C179" s="1" t="str">
        <f>IF(OR($B179="",C$7=""),"",IF($B179="MEANS",INDEX('1-DATA'!$1:$1048576,$A178-1,COLUMN('1-DATA'!B177)),ROUND(INDEX('1-DATA'!$1:$1048576,IF(OR($B179="STD. DEVIATION",$C$1=1),$A179,$A179+1),COLUMN('1-DATA'!B177)),IF($B179="STD. DEVIATION",2,$F$1))))</f>
        <v/>
      </c>
      <c r="D179" s="1" t="str">
        <f>IF(OR($B179="",D$7=""),"",IF($B179="MEANS",INDEX('1-DATA'!$1:$1048576,$A178-1,COLUMN('1-DATA'!C177)),ROUND(INDEX('1-DATA'!$1:$1048576,IF(OR($B179="STD. DEVIATION",$C$1=1),$A179,$A179+1),COLUMN('1-DATA'!C177)),IF($B179="STD. DEVIATION",2,$F$1))))</f>
        <v/>
      </c>
      <c r="E179" s="1" t="str">
        <f>IF(OR($B179="",E$7=""),"",IF($B179="MEANS",INDEX('1-DATA'!$1:$1048576,$A178-1,COLUMN('1-DATA'!D177)),ROUND(INDEX('1-DATA'!$1:$1048576,IF(OR($B179="STD. DEVIATION",$C$1=1),$A179,$A179+1),COLUMN('1-DATA'!D177)),IF($B179="STD. DEVIATION",2,$F$1))))</f>
        <v/>
      </c>
      <c r="F179" s="1" t="str">
        <f>IF(OR($B179="",F$7=""),"",IF($B179="MEANS",INDEX('1-DATA'!$1:$1048576,$A178-1,COLUMN('1-DATA'!E177)),ROUND(INDEX('1-DATA'!$1:$1048576,IF(OR($B179="STD. DEVIATION",$C$1=1),$A179,$A179+1),COLUMN('1-DATA'!E177)),IF($B179="STD. DEVIATION",2,$F$1))))</f>
        <v/>
      </c>
      <c r="G179" s="1" t="str">
        <f>IF(OR($B179="",G$7=""),"",IF($B179="MEANS",INDEX('1-DATA'!$1:$1048576,$A178-1,COLUMN('1-DATA'!F177)),ROUND(INDEX('1-DATA'!$1:$1048576,IF(OR($B179="STD. DEVIATION",$C$1=1),$A179,$A179+1),COLUMN('1-DATA'!F177)),IF($B179="STD. DEVIATION",2,$F$1))))</f>
        <v/>
      </c>
      <c r="H179" s="1" t="str">
        <f>IF(OR($B179="",H$7=""),"",IF($B179="MEANS",INDEX('1-DATA'!$1:$1048576,$A178-1,COLUMN('1-DATA'!G177)),ROUND(INDEX('1-DATA'!$1:$1048576,IF(OR($B179="STD. DEVIATION",$C$1=1),$A179,$A179+1),COLUMN('1-DATA'!G177)),IF($B179="STD. DEVIATION",2,$F$1))))</f>
        <v/>
      </c>
      <c r="I179" s="1" t="str">
        <f>IF(OR($B179="",I$7=""),"",IF($B179="MEANS",INDEX('1-DATA'!$1:$1048576,$A178-1,COLUMN('1-DATA'!H177)),ROUND(INDEX('1-DATA'!$1:$1048576,IF(OR($B179="STD. DEVIATION",$C$1=1),$A179,$A179+1),COLUMN('1-DATA'!H177)),IF($B179="STD. DEVIATION",2,$F$1))))</f>
        <v/>
      </c>
      <c r="J179" s="1" t="str">
        <f>IF(OR($B179="",J$7=""),"",IF($B179="MEANS",INDEX('1-DATA'!$1:$1048576,$A178-1,COLUMN('1-DATA'!I177)),ROUND(INDEX('1-DATA'!$1:$1048576,IF(OR($B179="STD. DEVIATION",$C$1=1),$A179,$A179+1),COLUMN('1-DATA'!I177)),IF($B179="STD. DEVIATION",2,$F$1))))</f>
        <v/>
      </c>
      <c r="K179" s="1" t="str">
        <f>IF(OR($B179="",K$7=""),"",IF($B179="MEANS",INDEX('1-DATA'!$1:$1048576,$A178-1,COLUMN('1-DATA'!J177)),ROUND(INDEX('1-DATA'!$1:$1048576,IF(OR($B179="STD. DEVIATION",$C$1=1),$A179,$A179+1),COLUMN('1-DATA'!J177)),IF($B179="STD. DEVIATION",2,$F$1))))</f>
        <v/>
      </c>
      <c r="L179" s="1" t="str">
        <f>IF(OR($B179="",L$7=""),"",IF($B179="MEANS",INDEX('1-DATA'!$1:$1048576,$A178-1,COLUMN('1-DATA'!K177)),ROUND(INDEX('1-DATA'!$1:$1048576,IF(OR($B179="STD. DEVIATION",$C$1=1),$A179,$A179+1),COLUMN('1-DATA'!K177)),IF($B179="STD. DEVIATION",2,$F$1))))</f>
        <v/>
      </c>
      <c r="M179" s="1" t="str">
        <f>IF(OR($B179="",M$7=""),"",IF($B179="MEANS",INDEX('1-DATA'!$1:$1048576,$A178-1,COLUMN('1-DATA'!L177)),ROUND(INDEX('1-DATA'!$1:$1048576,IF(OR($B179="STD. DEVIATION",$C$1=1),$A179,$A179+1),COLUMN('1-DATA'!L177)),IF($B179="STD. DEVIATION",2,$F$1))))</f>
        <v/>
      </c>
      <c r="N179" s="1" t="str">
        <f>IF(OR($B179="",N$7=""),"",IF($B179="MEANS",INDEX('1-DATA'!$1:$1048576,$A178-1,COLUMN('1-DATA'!M177)),ROUND(INDEX('1-DATA'!$1:$1048576,IF(OR($B179="STD. DEVIATION",$C$1=1),$A179,$A179+1),COLUMN('1-DATA'!M177)),IF($B179="STD. DEVIATION",2,$F$1))))</f>
        <v/>
      </c>
      <c r="O179" s="1" t="str">
        <f>IF(OR($B179="",O$7=""),"",IF($B179="MEANS",INDEX('1-DATA'!$1:$1048576,$A178-1,COLUMN('1-DATA'!N177)),ROUND(INDEX('1-DATA'!$1:$1048576,IF(OR($B179="STD. DEVIATION",$C$1=1),$A179,$A179+1),COLUMN('1-DATA'!N177)),IF($B179="STD. DEVIATION",2,$F$1))))</f>
        <v/>
      </c>
      <c r="P179" s="1" t="str">
        <f>IF(OR($B179="",P$7=""),"",IF($B179="MEANS",INDEX('1-DATA'!$1:$1048576,$A178-1,COLUMN('1-DATA'!O177)),ROUND(INDEX('1-DATA'!$1:$1048576,IF(OR($B179="STD. DEVIATION",$C$1=1),$A179,$A179+1),COLUMN('1-DATA'!O177)),IF($B179="STD. DEVIATION",2,$F$1))))</f>
        <v/>
      </c>
      <c r="Q179" s="1" t="str">
        <f>IF(OR($B179="",Q$7=""),"",IF($B179="MEANS",INDEX('1-DATA'!$1:$1048576,$A178-1,COLUMN('1-DATA'!P177)),ROUND(INDEX('1-DATA'!$1:$1048576,IF(OR($B179="STD. DEVIATION",$C$1=1),$A179,$A179+1),COLUMN('1-DATA'!P177)),IF($B179="STD. DEVIATION",2,$F$1))))</f>
        <v/>
      </c>
      <c r="R179" s="1" t="str">
        <f>IF(OR($B179="",R$7=""),"",IF($B179="MEANS",INDEX('1-DATA'!$1:$1048576,$A178-1,COLUMN('1-DATA'!Q177)),ROUND(INDEX('1-DATA'!$1:$1048576,IF(OR($B179="STD. DEVIATION",$C$1=1),$A179,$A179+1),COLUMN('1-DATA'!Q177)),IF($B179="STD. DEVIATION",2,$F$1))))</f>
        <v/>
      </c>
      <c r="S179" s="1" t="str">
        <f>IF(OR($B179="",S$7=""),"",IF($B179="MEANS",INDEX('1-DATA'!$1:$1048576,$A178-1,COLUMN('1-DATA'!R177)),ROUND(INDEX('1-DATA'!$1:$1048576,IF(OR($B179="STD. DEVIATION",$C$1=1),$A179,$A179+1),COLUMN('1-DATA'!R177)),IF($B179="STD. DEVIATION",2,$F$1))))</f>
        <v/>
      </c>
      <c r="T179" s="1" t="str">
        <f>IF(OR($B179="",T$7=""),"",IF($B179="MEANS",INDEX('1-DATA'!$1:$1048576,$A178-1,COLUMN('1-DATA'!S177)),ROUND(INDEX('1-DATA'!$1:$1048576,IF(OR($B179="STD. DEVIATION",$C$1=1),$A179,$A179+1),COLUMN('1-DATA'!S177)),IF($B179="STD. DEVIATION",2,$F$1))))</f>
        <v/>
      </c>
      <c r="U179" s="1" t="str">
        <f>IF(OR($B179="",U$7=""),"",IF($B179="MEANS",INDEX('1-DATA'!$1:$1048576,$A178-1,COLUMN('1-DATA'!T177)),ROUND(INDEX('1-DATA'!$1:$1048576,IF(OR($B179="STD. DEVIATION",$C$1=1),$A179,$A179+1),COLUMN('1-DATA'!T177)),IF($B179="STD. DEVIATION",2,$F$1))))</f>
        <v/>
      </c>
      <c r="V179" s="1" t="str">
        <f>IF(OR($B179="",V$7=""),"",IF($B179="MEANS",INDEX('1-DATA'!$1:$1048576,$A178-1,COLUMN('1-DATA'!U177)),ROUND(INDEX('1-DATA'!$1:$1048576,IF(OR($B179="STD. DEVIATION",$C$1=1),$A179,$A179+1),COLUMN('1-DATA'!U177)),IF($B179="STD. DEVIATION",2,$F$1))))</f>
        <v/>
      </c>
      <c r="W179" s="1" t="str">
        <f>IF(OR($B179="",W$7=""),"",IF($B179="MEANS",INDEX('1-DATA'!$1:$1048576,$A178-1,COLUMN('1-DATA'!V177)),ROUND(INDEX('1-DATA'!$1:$1048576,IF(OR($B179="STD. DEVIATION",$C$1=1),$A179,$A179+1),COLUMN('1-DATA'!V177)),IF($B179="STD. DEVIATION",2,$F$1))))</f>
        <v/>
      </c>
      <c r="X179" s="1" t="str">
        <f>IF(OR($B179="",X$7=""),"",IF($B179="MEANS",INDEX('1-DATA'!$1:$1048576,$A178-1,COLUMN('1-DATA'!W177)),ROUND(INDEX('1-DATA'!$1:$1048576,IF(OR($B179="STD. DEVIATION",$C$1=1),$A179,$A179+1),COLUMN('1-DATA'!W177)),IF($B179="STD. DEVIATION",2,$F$1))))</f>
        <v/>
      </c>
      <c r="Y179" s="1" t="str">
        <f>IF(OR($B179="",Y$7=""),"",IF($B179="MEANS",INDEX('1-DATA'!$1:$1048576,$A178-1,COLUMN('1-DATA'!X177)),ROUND(INDEX('1-DATA'!$1:$1048576,IF(OR($B179="STD. DEVIATION",$C$1=1),$A179,$A179+1),COLUMN('1-DATA'!X177)),IF($B179="STD. DEVIATION",2,$F$1))))</f>
        <v/>
      </c>
      <c r="Z179" s="1" t="str">
        <f>IF(OR($B179="",Z$7=""),"",IF($B179="MEANS",INDEX('1-DATA'!$1:$1048576,$A178-1,COLUMN('1-DATA'!Y177)),ROUND(INDEX('1-DATA'!$1:$1048576,IF(OR($B179="STD. DEVIATION",$C$1=1),$A179,$A179+1),COLUMN('1-DATA'!Y177)),IF($B179="STD. DEVIATION",2,$F$1))))</f>
        <v/>
      </c>
      <c r="AA179" s="1" t="str">
        <f>IF(OR($B179="",AA$7=""),"",IF($B179="MEANS",INDEX('1-DATA'!$1:$1048576,$A178-1,COLUMN('1-DATA'!Z177)),ROUND(INDEX('1-DATA'!$1:$1048576,IF(OR($B179="STD. DEVIATION",$C$1=1),$A179,$A179+1),COLUMN('1-DATA'!Z177)),IF($B179="STD. DEVIATION",2,$F$1))))</f>
        <v/>
      </c>
      <c r="AB179" s="1" t="str">
        <f>IF(OR($B179="",AB$7=""),"",IF($B179="MEANS",INDEX('1-DATA'!$1:$1048576,$A178-1,COLUMN('1-DATA'!AA177)),ROUND(INDEX('1-DATA'!$1:$1048576,IF(OR($B179="STD. DEVIATION",$C$1=1),$A179,$A179+1),COLUMN('1-DATA'!AA177)),IF($B179="STD. DEVIATION",2,$F$1))))</f>
        <v/>
      </c>
      <c r="AC179" s="1" t="str">
        <f>IF(OR($B179="",AC$7=""),"",IF($B179="MEANS",INDEX('1-DATA'!$1:$1048576,$A178-1,COLUMN('1-DATA'!AB177)),ROUND(INDEX('1-DATA'!$1:$1048576,IF(OR($B179="STD. DEVIATION",$C$1=1),$A179,$A179+1),COLUMN('1-DATA'!AB177)),IF($B179="STD. DEVIATION",2,$F$1))))</f>
        <v/>
      </c>
      <c r="AD179" s="1" t="str">
        <f>IF(OR($B179="",AD$7=""),"",IF($B179="MEANS",INDEX('1-DATA'!$1:$1048576,$A178-1,COLUMN('1-DATA'!AC177)),ROUND(INDEX('1-DATA'!$1:$1048576,IF(OR($B179="STD. DEVIATION",$C$1=1),$A179,$A179+1),COLUMN('1-DATA'!AC177)),IF($B179="STD. DEVIATION",2,$F$1))))</f>
        <v/>
      </c>
      <c r="AE179" s="1" t="str">
        <f>IF(OR($B179="",AE$7=""),"",IF($B179="MEANS",INDEX('1-DATA'!$1:$1048576,$A178-1,COLUMN('1-DATA'!AD177)),ROUND(INDEX('1-DATA'!$1:$1048576,IF(OR($B179="STD. DEVIATION",$C$1=1),$A179,$A179+1),COLUMN('1-DATA'!AD177)),IF($B179="STD. DEVIATION",2,$F$1))))</f>
        <v/>
      </c>
      <c r="AF179" s="1" t="str">
        <f>IF(OR($B179="",AF$7=""),"",IF($B179="MEANS",INDEX('1-DATA'!$1:$1048576,$A178-1,COLUMN('1-DATA'!AE177)),ROUND(INDEX('1-DATA'!$1:$1048576,IF(OR($B179="STD. DEVIATION",$C$1=1),$A179,$A179+1),COLUMN('1-DATA'!AE177)),IF($B179="STD. DEVIATION",2,$F$1))))</f>
        <v/>
      </c>
      <c r="AG179" s="1" t="str">
        <f>IF(OR($B179="",AG$7=""),"",IF($B179="MEANS",INDEX('1-DATA'!$1:$1048576,$A178-1,COLUMN('1-DATA'!AF177)),ROUND(INDEX('1-DATA'!$1:$1048576,IF(OR($B179="STD. DEVIATION",$C$1=1),$A179,$A179+1),COLUMN('1-DATA'!AF177)),IF($B179="STD. DEVIATION",2,$F$1))))</f>
        <v/>
      </c>
      <c r="AH179" s="1" t="str">
        <f>IF(OR($B179="",AH$7=""),"",IF($B179="MEANS",INDEX('1-DATA'!$1:$1048576,$A178-1,COLUMN('1-DATA'!AG177)),ROUND(INDEX('1-DATA'!$1:$1048576,IF(OR($B179="STD. DEVIATION",$C$1=1),$A179,$A179+1),COLUMN('1-DATA'!AG177)),IF($B179="STD. DEVIATION",2,$F$1))))</f>
        <v/>
      </c>
      <c r="AI179" s="1" t="str">
        <f>IF(OR($B179="",AI$7=""),"",IF($B179="MEANS",INDEX('1-DATA'!$1:$1048576,$A178-1,COLUMN('1-DATA'!AH177)),ROUND(INDEX('1-DATA'!$1:$1048576,IF(OR($B179="STD. DEVIATION",$C$1=1),$A179,$A179+1),COLUMN('1-DATA'!AH177)),IF($B179="STD. DEVIATION",2,$F$1))))</f>
        <v/>
      </c>
      <c r="AJ179" s="1" t="str">
        <f>IF(OR($B179="",AJ$7=""),"",IF($B179="MEANS",INDEX('1-DATA'!$1:$1048576,$A178-1,COLUMN('1-DATA'!AI177)),ROUND(INDEX('1-DATA'!$1:$1048576,IF(OR($B179="STD. DEVIATION",$C$1=1),$A179,$A179+1),COLUMN('1-DATA'!AI177)),IF($B179="STD. DEVIATION",2,$F$1))))</f>
        <v/>
      </c>
      <c r="AK179" s="1" t="str">
        <f>IF(OR($B179="",AK$7=""),"",IF($B179="MEANS",INDEX('1-DATA'!$1:$1048576,$A178-1,COLUMN('1-DATA'!AJ177)),ROUND(INDEX('1-DATA'!$1:$1048576,IF(OR($B179="STD. DEVIATION",$C$1=1),$A179,$A179+1),COLUMN('1-DATA'!AJ177)),IF($B179="STD. DEVIATION",2,$F$1))))</f>
        <v/>
      </c>
      <c r="AL179" s="1" t="str">
        <f>IF(OR($B179="",AL$7=""),"",IF($B179="MEANS",INDEX('1-DATA'!$1:$1048576,$A178-1,COLUMN('1-DATA'!AK177)),ROUND(INDEX('1-DATA'!$1:$1048576,IF(OR($B179="STD. DEVIATION",$C$1=1),$A179,$A179+1),COLUMN('1-DATA'!AK177)),IF($B179="STD. DEVIATION",2,$F$1))))</f>
        <v/>
      </c>
      <c r="AM179" s="1" t="str">
        <f>IF(OR($B179="",AM$7=""),"",IF($B179="MEANS",INDEX('1-DATA'!$1:$1048576,$A178-1,COLUMN('1-DATA'!AL177)),ROUND(INDEX('1-DATA'!$1:$1048576,IF(OR($B179="STD. DEVIATION",$C$1=1),$A179,$A179+1),COLUMN('1-DATA'!AL177)),IF($B179="STD. DEVIATION",2,$F$1))))</f>
        <v/>
      </c>
      <c r="AN179" s="1" t="str">
        <f>IF(OR($B179="",AN$7=""),"",IF($B179="MEANS",INDEX('1-DATA'!$1:$1048576,$A178-1,COLUMN('1-DATA'!AM177)),ROUND(INDEX('1-DATA'!$1:$1048576,IF(OR($B179="STD. DEVIATION",$C$1=1),$A179,$A179+1),COLUMN('1-DATA'!AM177)),IF($B179="STD. DEVIATION",2,$F$1))))</f>
        <v/>
      </c>
      <c r="AO179" s="1" t="str">
        <f>IF(OR($B179="",AO$7=""),"",IF($B179="MEANS",INDEX('1-DATA'!$1:$1048576,$A178-1,COLUMN('1-DATA'!AN177)),ROUND(INDEX('1-DATA'!$1:$1048576,IF(OR($B179="STD. DEVIATION",$C$1=1),$A179,$A179+1),COLUMN('1-DATA'!AN177)),IF($B179="STD. DEVIATION",2,$F$1))))</f>
        <v/>
      </c>
      <c r="AP179" s="1" t="str">
        <f>IF(OR($B179="",AP$7=""),"",IF($B179="MEANS",INDEX('1-DATA'!$1:$1048576,$A178-1,COLUMN('1-DATA'!AO177)),ROUND(INDEX('1-DATA'!$1:$1048576,IF(OR($B179="STD. DEVIATION",$C$1=1),$A179,$A179+1),COLUMN('1-DATA'!AO177)),IF($B179="STD. DEVIATION",2,$F$1))))</f>
        <v/>
      </c>
      <c r="AQ179" s="1" t="str">
        <f>IF(OR($B179="",AQ$7=""),"",IF($B179="MEANS",INDEX('1-DATA'!$1:$1048576,$A178-1,COLUMN('1-DATA'!AP177)),ROUND(INDEX('1-DATA'!$1:$1048576,IF(OR($B179="STD. DEVIATION",$C$1=1),$A179,$A179+1),COLUMN('1-DATA'!AP177)),IF($B179="STD. DEVIATION",2,$F$1))))</f>
        <v/>
      </c>
      <c r="AR179" s="1" t="str">
        <f>IF(OR($B179="",AR$7=""),"",IF($B179="MEANS",INDEX('1-DATA'!$1:$1048576,$A178-1,COLUMN('1-DATA'!AQ177)),ROUND(INDEX('1-DATA'!$1:$1048576,IF(OR($B179="STD. DEVIATION",$C$1=1),$A179,$A179+1),COLUMN('1-DATA'!AQ177)),IF($B179="STD. DEVIATION",2,$F$1))))</f>
        <v/>
      </c>
      <c r="AS179" s="1" t="str">
        <f>IF(OR($B179="",AS$7=""),"",IF($B179="MEANS",INDEX('1-DATA'!$1:$1048576,$A178-1,COLUMN('1-DATA'!AR177)),ROUND(INDEX('1-DATA'!$1:$1048576,IF(OR($B179="STD. DEVIATION",$C$1=1),$A179,$A179+1),COLUMN('1-DATA'!AR177)),IF($B179="STD. DEVIATION",2,$F$1))))</f>
        <v/>
      </c>
      <c r="AT179" s="1" t="str">
        <f>IF(OR($B179="",AT$7=""),"",IF($B179="MEANS",INDEX('1-DATA'!$1:$1048576,$A178-1,COLUMN('1-DATA'!AS177)),ROUND(INDEX('1-DATA'!$1:$1048576,IF(OR($B179="STD. DEVIATION",$C$1=1),$A179,$A179+1),COLUMN('1-DATA'!AS177)),IF($B179="STD. DEVIATION",2,$F$1))))</f>
        <v/>
      </c>
      <c r="AU179" s="1" t="str">
        <f>IF(OR($B179="",AU$7=""),"",IF($B179="MEANS",INDEX('1-DATA'!$1:$1048576,$A178-1,COLUMN('1-DATA'!AT177)),ROUND(INDEX('1-DATA'!$1:$1048576,IF(OR($B179="STD. DEVIATION",$C$1=1),$A179,$A179+1),COLUMN('1-DATA'!AT177)),IF($B179="STD. DEVIATION",2,$F$1))))</f>
        <v/>
      </c>
      <c r="AV179" s="1" t="str">
        <f>IF(OR($B179="",AV$7=""),"",IF($B179="MEANS",INDEX('1-DATA'!$1:$1048576,$A178-1,COLUMN('1-DATA'!AU177)),ROUND(INDEX('1-DATA'!$1:$1048576,IF(OR($B179="STD. DEVIATION",$C$1=1),$A179,$A179+1),COLUMN('1-DATA'!AU177)),IF($B179="STD. DEVIATION",2,$F$1))))</f>
        <v/>
      </c>
      <c r="AW179" s="1" t="str">
        <f>IF(OR($B179="",AW$7=""),"",IF($B179="MEANS",INDEX('1-DATA'!$1:$1048576,$A178-1,COLUMN('1-DATA'!AV177)),ROUND(INDEX('1-DATA'!$1:$1048576,IF(OR($B179="STD. DEVIATION",$C$1=1),$A179,$A179+1),COLUMN('1-DATA'!AV177)),IF($B179="STD. DEVIATION",2,$F$1))))</f>
        <v/>
      </c>
      <c r="AX179" s="1" t="str">
        <f>IF(OR($B179="",AX$7=""),"",IF($B179="MEANS",INDEX('1-DATA'!$1:$1048576,$A178-1,COLUMN('1-DATA'!AW177)),ROUND(INDEX('1-DATA'!$1:$1048576,IF(OR($B179="STD. DEVIATION",$C$1=1),$A179,$A179+1),COLUMN('1-DATA'!AW177)),IF($B179="STD. DEVIATION",2,$F$1))))</f>
        <v/>
      </c>
      <c r="AY179" s="1" t="str">
        <f>IF(OR($B179="",AY$7=""),"",IF($B179="MEANS",INDEX('1-DATA'!$1:$1048576,$A178-1,COLUMN('1-DATA'!AX177)),ROUND(INDEX('1-DATA'!$1:$1048576,IF(OR($B179="STD. DEVIATION",$C$1=1),$A179,$A179+1),COLUMN('1-DATA'!AX177)),IF($B179="STD. DEVIATION",2,$F$1))))</f>
        <v/>
      </c>
      <c r="AZ179" s="1" t="str">
        <f>IF(OR($B179="",AZ$7=""),"",IF($B179="MEANS",INDEX('1-DATA'!$1:$1048576,$A178-1,COLUMN('1-DATA'!AY177)),ROUND(INDEX('1-DATA'!$1:$1048576,IF(OR($B179="STD. DEVIATION",$C$1=1),$A179,$A179+1),COLUMN('1-DATA'!AY177)),IF($B179="STD. DEVIATION",2,$F$1))))</f>
        <v/>
      </c>
    </row>
    <row r="180" spans="1:52" x14ac:dyDescent="0.25">
      <c r="A180" s="11">
        <f t="shared" si="3"/>
        <v>526</v>
      </c>
      <c r="B180" s="1" t="str">
        <f>IF(B179="STD. DEVIATION",INDEX('1-DATA'!$1:$1048576,$A179-1,1),IF(INDEX('1-DATA'!$1:$1048576,$A180,1)&lt;&gt;"",INDEX('1-DATA'!$1:$1048576,$A180,1),""))</f>
        <v/>
      </c>
      <c r="C180" s="1" t="str">
        <f>IF(OR($B180="",C$7=""),"",IF($B180="MEANS",INDEX('1-DATA'!$1:$1048576,$A179-1,COLUMN('1-DATA'!B178)),ROUND(INDEX('1-DATA'!$1:$1048576,IF(OR($B180="STD. DEVIATION",$C$1=1),$A180,$A180+1),COLUMN('1-DATA'!B178)),IF($B180="STD. DEVIATION",2,$F$1))))</f>
        <v/>
      </c>
      <c r="D180" s="1" t="str">
        <f>IF(OR($B180="",D$7=""),"",IF($B180="MEANS",INDEX('1-DATA'!$1:$1048576,$A179-1,COLUMN('1-DATA'!C178)),ROUND(INDEX('1-DATA'!$1:$1048576,IF(OR($B180="STD. DEVIATION",$C$1=1),$A180,$A180+1),COLUMN('1-DATA'!C178)),IF($B180="STD. DEVIATION",2,$F$1))))</f>
        <v/>
      </c>
      <c r="E180" s="1" t="str">
        <f>IF(OR($B180="",E$7=""),"",IF($B180="MEANS",INDEX('1-DATA'!$1:$1048576,$A179-1,COLUMN('1-DATA'!D178)),ROUND(INDEX('1-DATA'!$1:$1048576,IF(OR($B180="STD. DEVIATION",$C$1=1),$A180,$A180+1),COLUMN('1-DATA'!D178)),IF($B180="STD. DEVIATION",2,$F$1))))</f>
        <v/>
      </c>
      <c r="F180" s="1" t="str">
        <f>IF(OR($B180="",F$7=""),"",IF($B180="MEANS",INDEX('1-DATA'!$1:$1048576,$A179-1,COLUMN('1-DATA'!E178)),ROUND(INDEX('1-DATA'!$1:$1048576,IF(OR($B180="STD. DEVIATION",$C$1=1),$A180,$A180+1),COLUMN('1-DATA'!E178)),IF($B180="STD. DEVIATION",2,$F$1))))</f>
        <v/>
      </c>
      <c r="G180" s="1" t="str">
        <f>IF(OR($B180="",G$7=""),"",IF($B180="MEANS",INDEX('1-DATA'!$1:$1048576,$A179-1,COLUMN('1-DATA'!F178)),ROUND(INDEX('1-DATA'!$1:$1048576,IF(OR($B180="STD. DEVIATION",$C$1=1),$A180,$A180+1),COLUMN('1-DATA'!F178)),IF($B180="STD. DEVIATION",2,$F$1))))</f>
        <v/>
      </c>
      <c r="H180" s="1" t="str">
        <f>IF(OR($B180="",H$7=""),"",IF($B180="MEANS",INDEX('1-DATA'!$1:$1048576,$A179-1,COLUMN('1-DATA'!G178)),ROUND(INDEX('1-DATA'!$1:$1048576,IF(OR($B180="STD. DEVIATION",$C$1=1),$A180,$A180+1),COLUMN('1-DATA'!G178)),IF($B180="STD. DEVIATION",2,$F$1))))</f>
        <v/>
      </c>
      <c r="I180" s="1" t="str">
        <f>IF(OR($B180="",I$7=""),"",IF($B180="MEANS",INDEX('1-DATA'!$1:$1048576,$A179-1,COLUMN('1-DATA'!H178)),ROUND(INDEX('1-DATA'!$1:$1048576,IF(OR($B180="STD. DEVIATION",$C$1=1),$A180,$A180+1),COLUMN('1-DATA'!H178)),IF($B180="STD. DEVIATION",2,$F$1))))</f>
        <v/>
      </c>
      <c r="J180" s="1" t="str">
        <f>IF(OR($B180="",J$7=""),"",IF($B180="MEANS",INDEX('1-DATA'!$1:$1048576,$A179-1,COLUMN('1-DATA'!I178)),ROUND(INDEX('1-DATA'!$1:$1048576,IF(OR($B180="STD. DEVIATION",$C$1=1),$A180,$A180+1),COLUMN('1-DATA'!I178)),IF($B180="STD. DEVIATION",2,$F$1))))</f>
        <v/>
      </c>
      <c r="K180" s="1" t="str">
        <f>IF(OR($B180="",K$7=""),"",IF($B180="MEANS",INDEX('1-DATA'!$1:$1048576,$A179-1,COLUMN('1-DATA'!J178)),ROUND(INDEX('1-DATA'!$1:$1048576,IF(OR($B180="STD. DEVIATION",$C$1=1),$A180,$A180+1),COLUMN('1-DATA'!J178)),IF($B180="STD. DEVIATION",2,$F$1))))</f>
        <v/>
      </c>
      <c r="L180" s="1" t="str">
        <f>IF(OR($B180="",L$7=""),"",IF($B180="MEANS",INDEX('1-DATA'!$1:$1048576,$A179-1,COLUMN('1-DATA'!K178)),ROUND(INDEX('1-DATA'!$1:$1048576,IF(OR($B180="STD. DEVIATION",$C$1=1),$A180,$A180+1),COLUMN('1-DATA'!K178)),IF($B180="STD. DEVIATION",2,$F$1))))</f>
        <v/>
      </c>
      <c r="M180" s="1" t="str">
        <f>IF(OR($B180="",M$7=""),"",IF($B180="MEANS",INDEX('1-DATA'!$1:$1048576,$A179-1,COLUMN('1-DATA'!L178)),ROUND(INDEX('1-DATA'!$1:$1048576,IF(OR($B180="STD. DEVIATION",$C$1=1),$A180,$A180+1),COLUMN('1-DATA'!L178)),IF($B180="STD. DEVIATION",2,$F$1))))</f>
        <v/>
      </c>
      <c r="N180" s="1" t="str">
        <f>IF(OR($B180="",N$7=""),"",IF($B180="MEANS",INDEX('1-DATA'!$1:$1048576,$A179-1,COLUMN('1-DATA'!M178)),ROUND(INDEX('1-DATA'!$1:$1048576,IF(OR($B180="STD. DEVIATION",$C$1=1),$A180,$A180+1),COLUMN('1-DATA'!M178)),IF($B180="STD. DEVIATION",2,$F$1))))</f>
        <v/>
      </c>
      <c r="O180" s="1" t="str">
        <f>IF(OR($B180="",O$7=""),"",IF($B180="MEANS",INDEX('1-DATA'!$1:$1048576,$A179-1,COLUMN('1-DATA'!N178)),ROUND(INDEX('1-DATA'!$1:$1048576,IF(OR($B180="STD. DEVIATION",$C$1=1),$A180,$A180+1),COLUMN('1-DATA'!N178)),IF($B180="STD. DEVIATION",2,$F$1))))</f>
        <v/>
      </c>
      <c r="P180" s="1" t="str">
        <f>IF(OR($B180="",P$7=""),"",IF($B180="MEANS",INDEX('1-DATA'!$1:$1048576,$A179-1,COLUMN('1-DATA'!O178)),ROUND(INDEX('1-DATA'!$1:$1048576,IF(OR($B180="STD. DEVIATION",$C$1=1),$A180,$A180+1),COLUMN('1-DATA'!O178)),IF($B180="STD. DEVIATION",2,$F$1))))</f>
        <v/>
      </c>
      <c r="Q180" s="1" t="str">
        <f>IF(OR($B180="",Q$7=""),"",IF($B180="MEANS",INDEX('1-DATA'!$1:$1048576,$A179-1,COLUMN('1-DATA'!P178)),ROUND(INDEX('1-DATA'!$1:$1048576,IF(OR($B180="STD. DEVIATION",$C$1=1),$A180,$A180+1),COLUMN('1-DATA'!P178)),IF($B180="STD. DEVIATION",2,$F$1))))</f>
        <v/>
      </c>
      <c r="R180" s="1" t="str">
        <f>IF(OR($B180="",R$7=""),"",IF($B180="MEANS",INDEX('1-DATA'!$1:$1048576,$A179-1,COLUMN('1-DATA'!Q178)),ROUND(INDEX('1-DATA'!$1:$1048576,IF(OR($B180="STD. DEVIATION",$C$1=1),$A180,$A180+1),COLUMN('1-DATA'!Q178)),IF($B180="STD. DEVIATION",2,$F$1))))</f>
        <v/>
      </c>
      <c r="S180" s="1" t="str">
        <f>IF(OR($B180="",S$7=""),"",IF($B180="MEANS",INDEX('1-DATA'!$1:$1048576,$A179-1,COLUMN('1-DATA'!R178)),ROUND(INDEX('1-DATA'!$1:$1048576,IF(OR($B180="STD. DEVIATION",$C$1=1),$A180,$A180+1),COLUMN('1-DATA'!R178)),IF($B180="STD. DEVIATION",2,$F$1))))</f>
        <v/>
      </c>
      <c r="T180" s="1" t="str">
        <f>IF(OR($B180="",T$7=""),"",IF($B180="MEANS",INDEX('1-DATA'!$1:$1048576,$A179-1,COLUMN('1-DATA'!S178)),ROUND(INDEX('1-DATA'!$1:$1048576,IF(OR($B180="STD. DEVIATION",$C$1=1),$A180,$A180+1),COLUMN('1-DATA'!S178)),IF($B180="STD. DEVIATION",2,$F$1))))</f>
        <v/>
      </c>
      <c r="U180" s="1" t="str">
        <f>IF(OR($B180="",U$7=""),"",IF($B180="MEANS",INDEX('1-DATA'!$1:$1048576,$A179-1,COLUMN('1-DATA'!T178)),ROUND(INDEX('1-DATA'!$1:$1048576,IF(OR($B180="STD. DEVIATION",$C$1=1),$A180,$A180+1),COLUMN('1-DATA'!T178)),IF($B180="STD. DEVIATION",2,$F$1))))</f>
        <v/>
      </c>
      <c r="V180" s="1" t="str">
        <f>IF(OR($B180="",V$7=""),"",IF($B180="MEANS",INDEX('1-DATA'!$1:$1048576,$A179-1,COLUMN('1-DATA'!U178)),ROUND(INDEX('1-DATA'!$1:$1048576,IF(OR($B180="STD. DEVIATION",$C$1=1),$A180,$A180+1),COLUMN('1-DATA'!U178)),IF($B180="STD. DEVIATION",2,$F$1))))</f>
        <v/>
      </c>
      <c r="W180" s="1" t="str">
        <f>IF(OR($B180="",W$7=""),"",IF($B180="MEANS",INDEX('1-DATA'!$1:$1048576,$A179-1,COLUMN('1-DATA'!V178)),ROUND(INDEX('1-DATA'!$1:$1048576,IF(OR($B180="STD. DEVIATION",$C$1=1),$A180,$A180+1),COLUMN('1-DATA'!V178)),IF($B180="STD. DEVIATION",2,$F$1))))</f>
        <v/>
      </c>
      <c r="X180" s="1" t="str">
        <f>IF(OR($B180="",X$7=""),"",IF($B180="MEANS",INDEX('1-DATA'!$1:$1048576,$A179-1,COLUMN('1-DATA'!W178)),ROUND(INDEX('1-DATA'!$1:$1048576,IF(OR($B180="STD. DEVIATION",$C$1=1),$A180,$A180+1),COLUMN('1-DATA'!W178)),IF($B180="STD. DEVIATION",2,$F$1))))</f>
        <v/>
      </c>
      <c r="Y180" s="1" t="str">
        <f>IF(OR($B180="",Y$7=""),"",IF($B180="MEANS",INDEX('1-DATA'!$1:$1048576,$A179-1,COLUMN('1-DATA'!X178)),ROUND(INDEX('1-DATA'!$1:$1048576,IF(OR($B180="STD. DEVIATION",$C$1=1),$A180,$A180+1),COLUMN('1-DATA'!X178)),IF($B180="STD. DEVIATION",2,$F$1))))</f>
        <v/>
      </c>
      <c r="Z180" s="1" t="str">
        <f>IF(OR($B180="",Z$7=""),"",IF($B180="MEANS",INDEX('1-DATA'!$1:$1048576,$A179-1,COLUMN('1-DATA'!Y178)),ROUND(INDEX('1-DATA'!$1:$1048576,IF(OR($B180="STD. DEVIATION",$C$1=1),$A180,$A180+1),COLUMN('1-DATA'!Y178)),IF($B180="STD. DEVIATION",2,$F$1))))</f>
        <v/>
      </c>
      <c r="AA180" s="1" t="str">
        <f>IF(OR($B180="",AA$7=""),"",IF($B180="MEANS",INDEX('1-DATA'!$1:$1048576,$A179-1,COLUMN('1-DATA'!Z178)),ROUND(INDEX('1-DATA'!$1:$1048576,IF(OR($B180="STD. DEVIATION",$C$1=1),$A180,$A180+1),COLUMN('1-DATA'!Z178)),IF($B180="STD. DEVIATION",2,$F$1))))</f>
        <v/>
      </c>
      <c r="AB180" s="1" t="str">
        <f>IF(OR($B180="",AB$7=""),"",IF($B180="MEANS",INDEX('1-DATA'!$1:$1048576,$A179-1,COLUMN('1-DATA'!AA178)),ROUND(INDEX('1-DATA'!$1:$1048576,IF(OR($B180="STD. DEVIATION",$C$1=1),$A180,$A180+1),COLUMN('1-DATA'!AA178)),IF($B180="STD. DEVIATION",2,$F$1))))</f>
        <v/>
      </c>
      <c r="AC180" s="1" t="str">
        <f>IF(OR($B180="",AC$7=""),"",IF($B180="MEANS",INDEX('1-DATA'!$1:$1048576,$A179-1,COLUMN('1-DATA'!AB178)),ROUND(INDEX('1-DATA'!$1:$1048576,IF(OR($B180="STD. DEVIATION",$C$1=1),$A180,$A180+1),COLUMN('1-DATA'!AB178)),IF($B180="STD. DEVIATION",2,$F$1))))</f>
        <v/>
      </c>
      <c r="AD180" s="1" t="str">
        <f>IF(OR($B180="",AD$7=""),"",IF($B180="MEANS",INDEX('1-DATA'!$1:$1048576,$A179-1,COLUMN('1-DATA'!AC178)),ROUND(INDEX('1-DATA'!$1:$1048576,IF(OR($B180="STD. DEVIATION",$C$1=1),$A180,$A180+1),COLUMN('1-DATA'!AC178)),IF($B180="STD. DEVIATION",2,$F$1))))</f>
        <v/>
      </c>
      <c r="AE180" s="1" t="str">
        <f>IF(OR($B180="",AE$7=""),"",IF($B180="MEANS",INDEX('1-DATA'!$1:$1048576,$A179-1,COLUMN('1-DATA'!AD178)),ROUND(INDEX('1-DATA'!$1:$1048576,IF(OR($B180="STD. DEVIATION",$C$1=1),$A180,$A180+1),COLUMN('1-DATA'!AD178)),IF($B180="STD. DEVIATION",2,$F$1))))</f>
        <v/>
      </c>
      <c r="AF180" s="1" t="str">
        <f>IF(OR($B180="",AF$7=""),"",IF($B180="MEANS",INDEX('1-DATA'!$1:$1048576,$A179-1,COLUMN('1-DATA'!AE178)),ROUND(INDEX('1-DATA'!$1:$1048576,IF(OR($B180="STD. DEVIATION",$C$1=1),$A180,$A180+1),COLUMN('1-DATA'!AE178)),IF($B180="STD. DEVIATION",2,$F$1))))</f>
        <v/>
      </c>
      <c r="AG180" s="1" t="str">
        <f>IF(OR($B180="",AG$7=""),"",IF($B180="MEANS",INDEX('1-DATA'!$1:$1048576,$A179-1,COLUMN('1-DATA'!AF178)),ROUND(INDEX('1-DATA'!$1:$1048576,IF(OR($B180="STD. DEVIATION",$C$1=1),$A180,$A180+1),COLUMN('1-DATA'!AF178)),IF($B180="STD. DEVIATION",2,$F$1))))</f>
        <v/>
      </c>
      <c r="AH180" s="1" t="str">
        <f>IF(OR($B180="",AH$7=""),"",IF($B180="MEANS",INDEX('1-DATA'!$1:$1048576,$A179-1,COLUMN('1-DATA'!AG178)),ROUND(INDEX('1-DATA'!$1:$1048576,IF(OR($B180="STD. DEVIATION",$C$1=1),$A180,$A180+1),COLUMN('1-DATA'!AG178)),IF($B180="STD. DEVIATION",2,$F$1))))</f>
        <v/>
      </c>
      <c r="AI180" s="1" t="str">
        <f>IF(OR($B180="",AI$7=""),"",IF($B180="MEANS",INDEX('1-DATA'!$1:$1048576,$A179-1,COLUMN('1-DATA'!AH178)),ROUND(INDEX('1-DATA'!$1:$1048576,IF(OR($B180="STD. DEVIATION",$C$1=1),$A180,$A180+1),COLUMN('1-DATA'!AH178)),IF($B180="STD. DEVIATION",2,$F$1))))</f>
        <v/>
      </c>
      <c r="AJ180" s="1" t="str">
        <f>IF(OR($B180="",AJ$7=""),"",IF($B180="MEANS",INDEX('1-DATA'!$1:$1048576,$A179-1,COLUMN('1-DATA'!AI178)),ROUND(INDEX('1-DATA'!$1:$1048576,IF(OR($B180="STD. DEVIATION",$C$1=1),$A180,$A180+1),COLUMN('1-DATA'!AI178)),IF($B180="STD. DEVIATION",2,$F$1))))</f>
        <v/>
      </c>
      <c r="AK180" s="1" t="str">
        <f>IF(OR($B180="",AK$7=""),"",IF($B180="MEANS",INDEX('1-DATA'!$1:$1048576,$A179-1,COLUMN('1-DATA'!AJ178)),ROUND(INDEX('1-DATA'!$1:$1048576,IF(OR($B180="STD. DEVIATION",$C$1=1),$A180,$A180+1),COLUMN('1-DATA'!AJ178)),IF($B180="STD. DEVIATION",2,$F$1))))</f>
        <v/>
      </c>
      <c r="AL180" s="1" t="str">
        <f>IF(OR($B180="",AL$7=""),"",IF($B180="MEANS",INDEX('1-DATA'!$1:$1048576,$A179-1,COLUMN('1-DATA'!AK178)),ROUND(INDEX('1-DATA'!$1:$1048576,IF(OR($B180="STD. DEVIATION",$C$1=1),$A180,$A180+1),COLUMN('1-DATA'!AK178)),IF($B180="STD. DEVIATION",2,$F$1))))</f>
        <v/>
      </c>
      <c r="AM180" s="1" t="str">
        <f>IF(OR($B180="",AM$7=""),"",IF($B180="MEANS",INDEX('1-DATA'!$1:$1048576,$A179-1,COLUMN('1-DATA'!AL178)),ROUND(INDEX('1-DATA'!$1:$1048576,IF(OR($B180="STD. DEVIATION",$C$1=1),$A180,$A180+1),COLUMN('1-DATA'!AL178)),IF($B180="STD. DEVIATION",2,$F$1))))</f>
        <v/>
      </c>
      <c r="AN180" s="1" t="str">
        <f>IF(OR($B180="",AN$7=""),"",IF($B180="MEANS",INDEX('1-DATA'!$1:$1048576,$A179-1,COLUMN('1-DATA'!AM178)),ROUND(INDEX('1-DATA'!$1:$1048576,IF(OR($B180="STD. DEVIATION",$C$1=1),$A180,$A180+1),COLUMN('1-DATA'!AM178)),IF($B180="STD. DEVIATION",2,$F$1))))</f>
        <v/>
      </c>
      <c r="AO180" s="1" t="str">
        <f>IF(OR($B180="",AO$7=""),"",IF($B180="MEANS",INDEX('1-DATA'!$1:$1048576,$A179-1,COLUMN('1-DATA'!AN178)),ROUND(INDEX('1-DATA'!$1:$1048576,IF(OR($B180="STD. DEVIATION",$C$1=1),$A180,$A180+1),COLUMN('1-DATA'!AN178)),IF($B180="STD. DEVIATION",2,$F$1))))</f>
        <v/>
      </c>
      <c r="AP180" s="1" t="str">
        <f>IF(OR($B180="",AP$7=""),"",IF($B180="MEANS",INDEX('1-DATA'!$1:$1048576,$A179-1,COLUMN('1-DATA'!AO178)),ROUND(INDEX('1-DATA'!$1:$1048576,IF(OR($B180="STD. DEVIATION",$C$1=1),$A180,$A180+1),COLUMN('1-DATA'!AO178)),IF($B180="STD. DEVIATION",2,$F$1))))</f>
        <v/>
      </c>
      <c r="AQ180" s="1" t="str">
        <f>IF(OR($B180="",AQ$7=""),"",IF($B180="MEANS",INDEX('1-DATA'!$1:$1048576,$A179-1,COLUMN('1-DATA'!AP178)),ROUND(INDEX('1-DATA'!$1:$1048576,IF(OR($B180="STD. DEVIATION",$C$1=1),$A180,$A180+1),COLUMN('1-DATA'!AP178)),IF($B180="STD. DEVIATION",2,$F$1))))</f>
        <v/>
      </c>
      <c r="AR180" s="1" t="str">
        <f>IF(OR($B180="",AR$7=""),"",IF($B180="MEANS",INDEX('1-DATA'!$1:$1048576,$A179-1,COLUMN('1-DATA'!AQ178)),ROUND(INDEX('1-DATA'!$1:$1048576,IF(OR($B180="STD. DEVIATION",$C$1=1),$A180,$A180+1),COLUMN('1-DATA'!AQ178)),IF($B180="STD. DEVIATION",2,$F$1))))</f>
        <v/>
      </c>
      <c r="AS180" s="1" t="str">
        <f>IF(OR($B180="",AS$7=""),"",IF($B180="MEANS",INDEX('1-DATA'!$1:$1048576,$A179-1,COLUMN('1-DATA'!AR178)),ROUND(INDEX('1-DATA'!$1:$1048576,IF(OR($B180="STD. DEVIATION",$C$1=1),$A180,$A180+1),COLUMN('1-DATA'!AR178)),IF($B180="STD. DEVIATION",2,$F$1))))</f>
        <v/>
      </c>
      <c r="AT180" s="1" t="str">
        <f>IF(OR($B180="",AT$7=""),"",IF($B180="MEANS",INDEX('1-DATA'!$1:$1048576,$A179-1,COLUMN('1-DATA'!AS178)),ROUND(INDEX('1-DATA'!$1:$1048576,IF(OR($B180="STD. DEVIATION",$C$1=1),$A180,$A180+1),COLUMN('1-DATA'!AS178)),IF($B180="STD. DEVIATION",2,$F$1))))</f>
        <v/>
      </c>
      <c r="AU180" s="1" t="str">
        <f>IF(OR($B180="",AU$7=""),"",IF($B180="MEANS",INDEX('1-DATA'!$1:$1048576,$A179-1,COLUMN('1-DATA'!AT178)),ROUND(INDEX('1-DATA'!$1:$1048576,IF(OR($B180="STD. DEVIATION",$C$1=1),$A180,$A180+1),COLUMN('1-DATA'!AT178)),IF($B180="STD. DEVIATION",2,$F$1))))</f>
        <v/>
      </c>
      <c r="AV180" s="1" t="str">
        <f>IF(OR($B180="",AV$7=""),"",IF($B180="MEANS",INDEX('1-DATA'!$1:$1048576,$A179-1,COLUMN('1-DATA'!AU178)),ROUND(INDEX('1-DATA'!$1:$1048576,IF(OR($B180="STD. DEVIATION",$C$1=1),$A180,$A180+1),COLUMN('1-DATA'!AU178)),IF($B180="STD. DEVIATION",2,$F$1))))</f>
        <v/>
      </c>
      <c r="AW180" s="1" t="str">
        <f>IF(OR($B180="",AW$7=""),"",IF($B180="MEANS",INDEX('1-DATA'!$1:$1048576,$A179-1,COLUMN('1-DATA'!AV178)),ROUND(INDEX('1-DATA'!$1:$1048576,IF(OR($B180="STD. DEVIATION",$C$1=1),$A180,$A180+1),COLUMN('1-DATA'!AV178)),IF($B180="STD. DEVIATION",2,$F$1))))</f>
        <v/>
      </c>
      <c r="AX180" s="1" t="str">
        <f>IF(OR($B180="",AX$7=""),"",IF($B180="MEANS",INDEX('1-DATA'!$1:$1048576,$A179-1,COLUMN('1-DATA'!AW178)),ROUND(INDEX('1-DATA'!$1:$1048576,IF(OR($B180="STD. DEVIATION",$C$1=1),$A180,$A180+1),COLUMN('1-DATA'!AW178)),IF($B180="STD. DEVIATION",2,$F$1))))</f>
        <v/>
      </c>
      <c r="AY180" s="1" t="str">
        <f>IF(OR($B180="",AY$7=""),"",IF($B180="MEANS",INDEX('1-DATA'!$1:$1048576,$A179-1,COLUMN('1-DATA'!AX178)),ROUND(INDEX('1-DATA'!$1:$1048576,IF(OR($B180="STD. DEVIATION",$C$1=1),$A180,$A180+1),COLUMN('1-DATA'!AX178)),IF($B180="STD. DEVIATION",2,$F$1))))</f>
        <v/>
      </c>
      <c r="AZ180" s="1" t="str">
        <f>IF(OR($B180="",AZ$7=""),"",IF($B180="MEANS",INDEX('1-DATA'!$1:$1048576,$A179-1,COLUMN('1-DATA'!AY178)),ROUND(INDEX('1-DATA'!$1:$1048576,IF(OR($B180="STD. DEVIATION",$C$1=1),$A180,$A180+1),COLUMN('1-DATA'!AY178)),IF($B180="STD. DEVIATION",2,$F$1))))</f>
        <v/>
      </c>
    </row>
    <row r="181" spans="1:52" x14ac:dyDescent="0.25">
      <c r="A181" s="11">
        <f t="shared" si="3"/>
        <v>529</v>
      </c>
      <c r="B181" s="1" t="str">
        <f>IF(B180="STD. DEVIATION",INDEX('1-DATA'!$1:$1048576,$A180-1,1),IF(INDEX('1-DATA'!$1:$1048576,$A181,1)&lt;&gt;"",INDEX('1-DATA'!$1:$1048576,$A181,1),""))</f>
        <v/>
      </c>
      <c r="C181" s="1" t="str">
        <f>IF(OR($B181="",C$7=""),"",IF($B181="MEANS",INDEX('1-DATA'!$1:$1048576,$A180-1,COLUMN('1-DATA'!B179)),ROUND(INDEX('1-DATA'!$1:$1048576,IF(OR($B181="STD. DEVIATION",$C$1=1),$A181,$A181+1),COLUMN('1-DATA'!B179)),IF($B181="STD. DEVIATION",2,$F$1))))</f>
        <v/>
      </c>
      <c r="D181" s="1" t="str">
        <f>IF(OR($B181="",D$7=""),"",IF($B181="MEANS",INDEX('1-DATA'!$1:$1048576,$A180-1,COLUMN('1-DATA'!C179)),ROUND(INDEX('1-DATA'!$1:$1048576,IF(OR($B181="STD. DEVIATION",$C$1=1),$A181,$A181+1),COLUMN('1-DATA'!C179)),IF($B181="STD. DEVIATION",2,$F$1))))</f>
        <v/>
      </c>
      <c r="E181" s="1" t="str">
        <f>IF(OR($B181="",E$7=""),"",IF($B181="MEANS",INDEX('1-DATA'!$1:$1048576,$A180-1,COLUMN('1-DATA'!D179)),ROUND(INDEX('1-DATA'!$1:$1048576,IF(OR($B181="STD. DEVIATION",$C$1=1),$A181,$A181+1),COLUMN('1-DATA'!D179)),IF($B181="STD. DEVIATION",2,$F$1))))</f>
        <v/>
      </c>
      <c r="F181" s="1" t="str">
        <f>IF(OR($B181="",F$7=""),"",IF($B181="MEANS",INDEX('1-DATA'!$1:$1048576,$A180-1,COLUMN('1-DATA'!E179)),ROUND(INDEX('1-DATA'!$1:$1048576,IF(OR($B181="STD. DEVIATION",$C$1=1),$A181,$A181+1),COLUMN('1-DATA'!E179)),IF($B181="STD. DEVIATION",2,$F$1))))</f>
        <v/>
      </c>
      <c r="G181" s="1" t="str">
        <f>IF(OR($B181="",G$7=""),"",IF($B181="MEANS",INDEX('1-DATA'!$1:$1048576,$A180-1,COLUMN('1-DATA'!F179)),ROUND(INDEX('1-DATA'!$1:$1048576,IF(OR($B181="STD. DEVIATION",$C$1=1),$A181,$A181+1),COLUMN('1-DATA'!F179)),IF($B181="STD. DEVIATION",2,$F$1))))</f>
        <v/>
      </c>
      <c r="H181" s="1" t="str">
        <f>IF(OR($B181="",H$7=""),"",IF($B181="MEANS",INDEX('1-DATA'!$1:$1048576,$A180-1,COLUMN('1-DATA'!G179)),ROUND(INDEX('1-DATA'!$1:$1048576,IF(OR($B181="STD. DEVIATION",$C$1=1),$A181,$A181+1),COLUMN('1-DATA'!G179)),IF($B181="STD. DEVIATION",2,$F$1))))</f>
        <v/>
      </c>
      <c r="I181" s="1" t="str">
        <f>IF(OR($B181="",I$7=""),"",IF($B181="MEANS",INDEX('1-DATA'!$1:$1048576,$A180-1,COLUMN('1-DATA'!H179)),ROUND(INDEX('1-DATA'!$1:$1048576,IF(OR($B181="STD. DEVIATION",$C$1=1),$A181,$A181+1),COLUMN('1-DATA'!H179)),IF($B181="STD. DEVIATION",2,$F$1))))</f>
        <v/>
      </c>
      <c r="J181" s="1" t="str">
        <f>IF(OR($B181="",J$7=""),"",IF($B181="MEANS",INDEX('1-DATA'!$1:$1048576,$A180-1,COLUMN('1-DATA'!I179)),ROUND(INDEX('1-DATA'!$1:$1048576,IF(OR($B181="STD. DEVIATION",$C$1=1),$A181,$A181+1),COLUMN('1-DATA'!I179)),IF($B181="STD. DEVIATION",2,$F$1))))</f>
        <v/>
      </c>
      <c r="K181" s="1" t="str">
        <f>IF(OR($B181="",K$7=""),"",IF($B181="MEANS",INDEX('1-DATA'!$1:$1048576,$A180-1,COLUMN('1-DATA'!J179)),ROUND(INDEX('1-DATA'!$1:$1048576,IF(OR($B181="STD. DEVIATION",$C$1=1),$A181,$A181+1),COLUMN('1-DATA'!J179)),IF($B181="STD. DEVIATION",2,$F$1))))</f>
        <v/>
      </c>
      <c r="L181" s="1" t="str">
        <f>IF(OR($B181="",L$7=""),"",IF($B181="MEANS",INDEX('1-DATA'!$1:$1048576,$A180-1,COLUMN('1-DATA'!K179)),ROUND(INDEX('1-DATA'!$1:$1048576,IF(OR($B181="STD. DEVIATION",$C$1=1),$A181,$A181+1),COLUMN('1-DATA'!K179)),IF($B181="STD. DEVIATION",2,$F$1))))</f>
        <v/>
      </c>
      <c r="M181" s="1" t="str">
        <f>IF(OR($B181="",M$7=""),"",IF($B181="MEANS",INDEX('1-DATA'!$1:$1048576,$A180-1,COLUMN('1-DATA'!L179)),ROUND(INDEX('1-DATA'!$1:$1048576,IF(OR($B181="STD. DEVIATION",$C$1=1),$A181,$A181+1),COLUMN('1-DATA'!L179)),IF($B181="STD. DEVIATION",2,$F$1))))</f>
        <v/>
      </c>
      <c r="N181" s="1" t="str">
        <f>IF(OR($B181="",N$7=""),"",IF($B181="MEANS",INDEX('1-DATA'!$1:$1048576,$A180-1,COLUMN('1-DATA'!M179)),ROUND(INDEX('1-DATA'!$1:$1048576,IF(OR($B181="STD. DEVIATION",$C$1=1),$A181,$A181+1),COLUMN('1-DATA'!M179)),IF($B181="STD. DEVIATION",2,$F$1))))</f>
        <v/>
      </c>
      <c r="O181" s="1" t="str">
        <f>IF(OR($B181="",O$7=""),"",IF($B181="MEANS",INDEX('1-DATA'!$1:$1048576,$A180-1,COLUMN('1-DATA'!N179)),ROUND(INDEX('1-DATA'!$1:$1048576,IF(OR($B181="STD. DEVIATION",$C$1=1),$A181,$A181+1),COLUMN('1-DATA'!N179)),IF($B181="STD. DEVIATION",2,$F$1))))</f>
        <v/>
      </c>
      <c r="P181" s="1" t="str">
        <f>IF(OR($B181="",P$7=""),"",IF($B181="MEANS",INDEX('1-DATA'!$1:$1048576,$A180-1,COLUMN('1-DATA'!O179)),ROUND(INDEX('1-DATA'!$1:$1048576,IF(OR($B181="STD. DEVIATION",$C$1=1),$A181,$A181+1),COLUMN('1-DATA'!O179)),IF($B181="STD. DEVIATION",2,$F$1))))</f>
        <v/>
      </c>
      <c r="Q181" s="1" t="str">
        <f>IF(OR($B181="",Q$7=""),"",IF($B181="MEANS",INDEX('1-DATA'!$1:$1048576,$A180-1,COLUMN('1-DATA'!P179)),ROUND(INDEX('1-DATA'!$1:$1048576,IF(OR($B181="STD. DEVIATION",$C$1=1),$A181,$A181+1),COLUMN('1-DATA'!P179)),IF($B181="STD. DEVIATION",2,$F$1))))</f>
        <v/>
      </c>
      <c r="R181" s="1" t="str">
        <f>IF(OR($B181="",R$7=""),"",IF($B181="MEANS",INDEX('1-DATA'!$1:$1048576,$A180-1,COLUMN('1-DATA'!Q179)),ROUND(INDEX('1-DATA'!$1:$1048576,IF(OR($B181="STD. DEVIATION",$C$1=1),$A181,$A181+1),COLUMN('1-DATA'!Q179)),IF($B181="STD. DEVIATION",2,$F$1))))</f>
        <v/>
      </c>
      <c r="S181" s="1" t="str">
        <f>IF(OR($B181="",S$7=""),"",IF($B181="MEANS",INDEX('1-DATA'!$1:$1048576,$A180-1,COLUMN('1-DATA'!R179)),ROUND(INDEX('1-DATA'!$1:$1048576,IF(OR($B181="STD. DEVIATION",$C$1=1),$A181,$A181+1),COLUMN('1-DATA'!R179)),IF($B181="STD. DEVIATION",2,$F$1))))</f>
        <v/>
      </c>
      <c r="T181" s="1" t="str">
        <f>IF(OR($B181="",T$7=""),"",IF($B181="MEANS",INDEX('1-DATA'!$1:$1048576,$A180-1,COLUMN('1-DATA'!S179)),ROUND(INDEX('1-DATA'!$1:$1048576,IF(OR($B181="STD. DEVIATION",$C$1=1),$A181,$A181+1),COLUMN('1-DATA'!S179)),IF($B181="STD. DEVIATION",2,$F$1))))</f>
        <v/>
      </c>
      <c r="U181" s="1" t="str">
        <f>IF(OR($B181="",U$7=""),"",IF($B181="MEANS",INDEX('1-DATA'!$1:$1048576,$A180-1,COLUMN('1-DATA'!T179)),ROUND(INDEX('1-DATA'!$1:$1048576,IF(OR($B181="STD. DEVIATION",$C$1=1),$A181,$A181+1),COLUMN('1-DATA'!T179)),IF($B181="STD. DEVIATION",2,$F$1))))</f>
        <v/>
      </c>
      <c r="V181" s="1" t="str">
        <f>IF(OR($B181="",V$7=""),"",IF($B181="MEANS",INDEX('1-DATA'!$1:$1048576,$A180-1,COLUMN('1-DATA'!U179)),ROUND(INDEX('1-DATA'!$1:$1048576,IF(OR($B181="STD. DEVIATION",$C$1=1),$A181,$A181+1),COLUMN('1-DATA'!U179)),IF($B181="STD. DEVIATION",2,$F$1))))</f>
        <v/>
      </c>
      <c r="W181" s="1" t="str">
        <f>IF(OR($B181="",W$7=""),"",IF($B181="MEANS",INDEX('1-DATA'!$1:$1048576,$A180-1,COLUMN('1-DATA'!V179)),ROUND(INDEX('1-DATA'!$1:$1048576,IF(OR($B181="STD. DEVIATION",$C$1=1),$A181,$A181+1),COLUMN('1-DATA'!V179)),IF($B181="STD. DEVIATION",2,$F$1))))</f>
        <v/>
      </c>
      <c r="X181" s="1" t="str">
        <f>IF(OR($B181="",X$7=""),"",IF($B181="MEANS",INDEX('1-DATA'!$1:$1048576,$A180-1,COLUMN('1-DATA'!W179)),ROUND(INDEX('1-DATA'!$1:$1048576,IF(OR($B181="STD. DEVIATION",$C$1=1),$A181,$A181+1),COLUMN('1-DATA'!W179)),IF($B181="STD. DEVIATION",2,$F$1))))</f>
        <v/>
      </c>
      <c r="Y181" s="1" t="str">
        <f>IF(OR($B181="",Y$7=""),"",IF($B181="MEANS",INDEX('1-DATA'!$1:$1048576,$A180-1,COLUMN('1-DATA'!X179)),ROUND(INDEX('1-DATA'!$1:$1048576,IF(OR($B181="STD. DEVIATION",$C$1=1),$A181,$A181+1),COLUMN('1-DATA'!X179)),IF($B181="STD. DEVIATION",2,$F$1))))</f>
        <v/>
      </c>
      <c r="Z181" s="1" t="str">
        <f>IF(OR($B181="",Z$7=""),"",IF($B181="MEANS",INDEX('1-DATA'!$1:$1048576,$A180-1,COLUMN('1-DATA'!Y179)),ROUND(INDEX('1-DATA'!$1:$1048576,IF(OR($B181="STD. DEVIATION",$C$1=1),$A181,$A181+1),COLUMN('1-DATA'!Y179)),IF($B181="STD. DEVIATION",2,$F$1))))</f>
        <v/>
      </c>
      <c r="AA181" s="1" t="str">
        <f>IF(OR($B181="",AA$7=""),"",IF($B181="MEANS",INDEX('1-DATA'!$1:$1048576,$A180-1,COLUMN('1-DATA'!Z179)),ROUND(INDEX('1-DATA'!$1:$1048576,IF(OR($B181="STD. DEVIATION",$C$1=1),$A181,$A181+1),COLUMN('1-DATA'!Z179)),IF($B181="STD. DEVIATION",2,$F$1))))</f>
        <v/>
      </c>
      <c r="AB181" s="1" t="str">
        <f>IF(OR($B181="",AB$7=""),"",IF($B181="MEANS",INDEX('1-DATA'!$1:$1048576,$A180-1,COLUMN('1-DATA'!AA179)),ROUND(INDEX('1-DATA'!$1:$1048576,IF(OR($B181="STD. DEVIATION",$C$1=1),$A181,$A181+1),COLUMN('1-DATA'!AA179)),IF($B181="STD. DEVIATION",2,$F$1))))</f>
        <v/>
      </c>
      <c r="AC181" s="1" t="str">
        <f>IF(OR($B181="",AC$7=""),"",IF($B181="MEANS",INDEX('1-DATA'!$1:$1048576,$A180-1,COLUMN('1-DATA'!AB179)),ROUND(INDEX('1-DATA'!$1:$1048576,IF(OR($B181="STD. DEVIATION",$C$1=1),$A181,$A181+1),COLUMN('1-DATA'!AB179)),IF($B181="STD. DEVIATION",2,$F$1))))</f>
        <v/>
      </c>
      <c r="AD181" s="1" t="str">
        <f>IF(OR($B181="",AD$7=""),"",IF($B181="MEANS",INDEX('1-DATA'!$1:$1048576,$A180-1,COLUMN('1-DATA'!AC179)),ROUND(INDEX('1-DATA'!$1:$1048576,IF(OR($B181="STD. DEVIATION",$C$1=1),$A181,$A181+1),COLUMN('1-DATA'!AC179)),IF($B181="STD. DEVIATION",2,$F$1))))</f>
        <v/>
      </c>
      <c r="AE181" s="1" t="str">
        <f>IF(OR($B181="",AE$7=""),"",IF($B181="MEANS",INDEX('1-DATA'!$1:$1048576,$A180-1,COLUMN('1-DATA'!AD179)),ROUND(INDEX('1-DATA'!$1:$1048576,IF(OR($B181="STD. DEVIATION",$C$1=1),$A181,$A181+1),COLUMN('1-DATA'!AD179)),IF($B181="STD. DEVIATION",2,$F$1))))</f>
        <v/>
      </c>
      <c r="AF181" s="1" t="str">
        <f>IF(OR($B181="",AF$7=""),"",IF($B181="MEANS",INDEX('1-DATA'!$1:$1048576,$A180-1,COLUMN('1-DATA'!AE179)),ROUND(INDEX('1-DATA'!$1:$1048576,IF(OR($B181="STD. DEVIATION",$C$1=1),$A181,$A181+1),COLUMN('1-DATA'!AE179)),IF($B181="STD. DEVIATION",2,$F$1))))</f>
        <v/>
      </c>
      <c r="AG181" s="1" t="str">
        <f>IF(OR($B181="",AG$7=""),"",IF($B181="MEANS",INDEX('1-DATA'!$1:$1048576,$A180-1,COLUMN('1-DATA'!AF179)),ROUND(INDEX('1-DATA'!$1:$1048576,IF(OR($B181="STD. DEVIATION",$C$1=1),$A181,$A181+1),COLUMN('1-DATA'!AF179)),IF($B181="STD. DEVIATION",2,$F$1))))</f>
        <v/>
      </c>
      <c r="AH181" s="1" t="str">
        <f>IF(OR($B181="",AH$7=""),"",IF($B181="MEANS",INDEX('1-DATA'!$1:$1048576,$A180-1,COLUMN('1-DATA'!AG179)),ROUND(INDEX('1-DATA'!$1:$1048576,IF(OR($B181="STD. DEVIATION",$C$1=1),$A181,$A181+1),COLUMN('1-DATA'!AG179)),IF($B181="STD. DEVIATION",2,$F$1))))</f>
        <v/>
      </c>
      <c r="AI181" s="1" t="str">
        <f>IF(OR($B181="",AI$7=""),"",IF($B181="MEANS",INDEX('1-DATA'!$1:$1048576,$A180-1,COLUMN('1-DATA'!AH179)),ROUND(INDEX('1-DATA'!$1:$1048576,IF(OR($B181="STD. DEVIATION",$C$1=1),$A181,$A181+1),COLUMN('1-DATA'!AH179)),IF($B181="STD. DEVIATION",2,$F$1))))</f>
        <v/>
      </c>
      <c r="AJ181" s="1" t="str">
        <f>IF(OR($B181="",AJ$7=""),"",IF($B181="MEANS",INDEX('1-DATA'!$1:$1048576,$A180-1,COLUMN('1-DATA'!AI179)),ROUND(INDEX('1-DATA'!$1:$1048576,IF(OR($B181="STD. DEVIATION",$C$1=1),$A181,$A181+1),COLUMN('1-DATA'!AI179)),IF($B181="STD. DEVIATION",2,$F$1))))</f>
        <v/>
      </c>
      <c r="AK181" s="1" t="str">
        <f>IF(OR($B181="",AK$7=""),"",IF($B181="MEANS",INDEX('1-DATA'!$1:$1048576,$A180-1,COLUMN('1-DATA'!AJ179)),ROUND(INDEX('1-DATA'!$1:$1048576,IF(OR($B181="STD. DEVIATION",$C$1=1),$A181,$A181+1),COLUMN('1-DATA'!AJ179)),IF($B181="STD. DEVIATION",2,$F$1))))</f>
        <v/>
      </c>
      <c r="AL181" s="1" t="str">
        <f>IF(OR($B181="",AL$7=""),"",IF($B181="MEANS",INDEX('1-DATA'!$1:$1048576,$A180-1,COLUMN('1-DATA'!AK179)),ROUND(INDEX('1-DATA'!$1:$1048576,IF(OR($B181="STD. DEVIATION",$C$1=1),$A181,$A181+1),COLUMN('1-DATA'!AK179)),IF($B181="STD. DEVIATION",2,$F$1))))</f>
        <v/>
      </c>
      <c r="AM181" s="1" t="str">
        <f>IF(OR($B181="",AM$7=""),"",IF($B181="MEANS",INDEX('1-DATA'!$1:$1048576,$A180-1,COLUMN('1-DATA'!AL179)),ROUND(INDEX('1-DATA'!$1:$1048576,IF(OR($B181="STD. DEVIATION",$C$1=1),$A181,$A181+1),COLUMN('1-DATA'!AL179)),IF($B181="STD. DEVIATION",2,$F$1))))</f>
        <v/>
      </c>
      <c r="AN181" s="1" t="str">
        <f>IF(OR($B181="",AN$7=""),"",IF($B181="MEANS",INDEX('1-DATA'!$1:$1048576,$A180-1,COLUMN('1-DATA'!AM179)),ROUND(INDEX('1-DATA'!$1:$1048576,IF(OR($B181="STD. DEVIATION",$C$1=1),$A181,$A181+1),COLUMN('1-DATA'!AM179)),IF($B181="STD. DEVIATION",2,$F$1))))</f>
        <v/>
      </c>
      <c r="AO181" s="1" t="str">
        <f>IF(OR($B181="",AO$7=""),"",IF($B181="MEANS",INDEX('1-DATA'!$1:$1048576,$A180-1,COLUMN('1-DATA'!AN179)),ROUND(INDEX('1-DATA'!$1:$1048576,IF(OR($B181="STD. DEVIATION",$C$1=1),$A181,$A181+1),COLUMN('1-DATA'!AN179)),IF($B181="STD. DEVIATION",2,$F$1))))</f>
        <v/>
      </c>
      <c r="AP181" s="1" t="str">
        <f>IF(OR($B181="",AP$7=""),"",IF($B181="MEANS",INDEX('1-DATA'!$1:$1048576,$A180-1,COLUMN('1-DATA'!AO179)),ROUND(INDEX('1-DATA'!$1:$1048576,IF(OR($B181="STD. DEVIATION",$C$1=1),$A181,$A181+1),COLUMN('1-DATA'!AO179)),IF($B181="STD. DEVIATION",2,$F$1))))</f>
        <v/>
      </c>
      <c r="AQ181" s="1" t="str">
        <f>IF(OR($B181="",AQ$7=""),"",IF($B181="MEANS",INDEX('1-DATA'!$1:$1048576,$A180-1,COLUMN('1-DATA'!AP179)),ROUND(INDEX('1-DATA'!$1:$1048576,IF(OR($B181="STD. DEVIATION",$C$1=1),$A181,$A181+1),COLUMN('1-DATA'!AP179)),IF($B181="STD. DEVIATION",2,$F$1))))</f>
        <v/>
      </c>
      <c r="AR181" s="1" t="str">
        <f>IF(OR($B181="",AR$7=""),"",IF($B181="MEANS",INDEX('1-DATA'!$1:$1048576,$A180-1,COLUMN('1-DATA'!AQ179)),ROUND(INDEX('1-DATA'!$1:$1048576,IF(OR($B181="STD. DEVIATION",$C$1=1),$A181,$A181+1),COLUMN('1-DATA'!AQ179)),IF($B181="STD. DEVIATION",2,$F$1))))</f>
        <v/>
      </c>
      <c r="AS181" s="1" t="str">
        <f>IF(OR($B181="",AS$7=""),"",IF($B181="MEANS",INDEX('1-DATA'!$1:$1048576,$A180-1,COLUMN('1-DATA'!AR179)),ROUND(INDEX('1-DATA'!$1:$1048576,IF(OR($B181="STD. DEVIATION",$C$1=1),$A181,$A181+1),COLUMN('1-DATA'!AR179)),IF($B181="STD. DEVIATION",2,$F$1))))</f>
        <v/>
      </c>
      <c r="AT181" s="1" t="str">
        <f>IF(OR($B181="",AT$7=""),"",IF($B181="MEANS",INDEX('1-DATA'!$1:$1048576,$A180-1,COLUMN('1-DATA'!AS179)),ROUND(INDEX('1-DATA'!$1:$1048576,IF(OR($B181="STD. DEVIATION",$C$1=1),$A181,$A181+1),COLUMN('1-DATA'!AS179)),IF($B181="STD. DEVIATION",2,$F$1))))</f>
        <v/>
      </c>
      <c r="AU181" s="1" t="str">
        <f>IF(OR($B181="",AU$7=""),"",IF($B181="MEANS",INDEX('1-DATA'!$1:$1048576,$A180-1,COLUMN('1-DATA'!AT179)),ROUND(INDEX('1-DATA'!$1:$1048576,IF(OR($B181="STD. DEVIATION",$C$1=1),$A181,$A181+1),COLUMN('1-DATA'!AT179)),IF($B181="STD. DEVIATION",2,$F$1))))</f>
        <v/>
      </c>
      <c r="AV181" s="1" t="str">
        <f>IF(OR($B181="",AV$7=""),"",IF($B181="MEANS",INDEX('1-DATA'!$1:$1048576,$A180-1,COLUMN('1-DATA'!AU179)),ROUND(INDEX('1-DATA'!$1:$1048576,IF(OR($B181="STD. DEVIATION",$C$1=1),$A181,$A181+1),COLUMN('1-DATA'!AU179)),IF($B181="STD. DEVIATION",2,$F$1))))</f>
        <v/>
      </c>
      <c r="AW181" s="1" t="str">
        <f>IF(OR($B181="",AW$7=""),"",IF($B181="MEANS",INDEX('1-DATA'!$1:$1048576,$A180-1,COLUMN('1-DATA'!AV179)),ROUND(INDEX('1-DATA'!$1:$1048576,IF(OR($B181="STD. DEVIATION",$C$1=1),$A181,$A181+1),COLUMN('1-DATA'!AV179)),IF($B181="STD. DEVIATION",2,$F$1))))</f>
        <v/>
      </c>
      <c r="AX181" s="1" t="str">
        <f>IF(OR($B181="",AX$7=""),"",IF($B181="MEANS",INDEX('1-DATA'!$1:$1048576,$A180-1,COLUMN('1-DATA'!AW179)),ROUND(INDEX('1-DATA'!$1:$1048576,IF(OR($B181="STD. DEVIATION",$C$1=1),$A181,$A181+1),COLUMN('1-DATA'!AW179)),IF($B181="STD. DEVIATION",2,$F$1))))</f>
        <v/>
      </c>
      <c r="AY181" s="1" t="str">
        <f>IF(OR($B181="",AY$7=""),"",IF($B181="MEANS",INDEX('1-DATA'!$1:$1048576,$A180-1,COLUMN('1-DATA'!AX179)),ROUND(INDEX('1-DATA'!$1:$1048576,IF(OR($B181="STD. DEVIATION",$C$1=1),$A181,$A181+1),COLUMN('1-DATA'!AX179)),IF($B181="STD. DEVIATION",2,$F$1))))</f>
        <v/>
      </c>
      <c r="AZ181" s="1" t="str">
        <f>IF(OR($B181="",AZ$7=""),"",IF($B181="MEANS",INDEX('1-DATA'!$1:$1048576,$A180-1,COLUMN('1-DATA'!AY179)),ROUND(INDEX('1-DATA'!$1:$1048576,IF(OR($B181="STD. DEVIATION",$C$1=1),$A181,$A181+1),COLUMN('1-DATA'!AY179)),IF($B181="STD. DEVIATION",2,$F$1))))</f>
        <v/>
      </c>
    </row>
    <row r="182" spans="1:52" x14ac:dyDescent="0.25">
      <c r="A182" s="11">
        <f t="shared" si="3"/>
        <v>532</v>
      </c>
      <c r="B182" s="1" t="str">
        <f>IF(B181="STD. DEVIATION",INDEX('1-DATA'!$1:$1048576,$A181-1,1),IF(INDEX('1-DATA'!$1:$1048576,$A182,1)&lt;&gt;"",INDEX('1-DATA'!$1:$1048576,$A182,1),""))</f>
        <v/>
      </c>
      <c r="C182" s="1" t="str">
        <f>IF(OR($B182="",C$7=""),"",IF($B182="MEANS",INDEX('1-DATA'!$1:$1048576,$A181-1,COLUMN('1-DATA'!B180)),ROUND(INDEX('1-DATA'!$1:$1048576,IF(OR($B182="STD. DEVIATION",$C$1=1),$A182,$A182+1),COLUMN('1-DATA'!B180)),IF($B182="STD. DEVIATION",2,$F$1))))</f>
        <v/>
      </c>
      <c r="D182" s="1" t="str">
        <f>IF(OR($B182="",D$7=""),"",IF($B182="MEANS",INDEX('1-DATA'!$1:$1048576,$A181-1,COLUMN('1-DATA'!C180)),ROUND(INDEX('1-DATA'!$1:$1048576,IF(OR($B182="STD. DEVIATION",$C$1=1),$A182,$A182+1),COLUMN('1-DATA'!C180)),IF($B182="STD. DEVIATION",2,$F$1))))</f>
        <v/>
      </c>
      <c r="E182" s="1" t="str">
        <f>IF(OR($B182="",E$7=""),"",IF($B182="MEANS",INDEX('1-DATA'!$1:$1048576,$A181-1,COLUMN('1-DATA'!D180)),ROUND(INDEX('1-DATA'!$1:$1048576,IF(OR($B182="STD. DEVIATION",$C$1=1),$A182,$A182+1),COLUMN('1-DATA'!D180)),IF($B182="STD. DEVIATION",2,$F$1))))</f>
        <v/>
      </c>
      <c r="F182" s="1" t="str">
        <f>IF(OR($B182="",F$7=""),"",IF($B182="MEANS",INDEX('1-DATA'!$1:$1048576,$A181-1,COLUMN('1-DATA'!E180)),ROUND(INDEX('1-DATA'!$1:$1048576,IF(OR($B182="STD. DEVIATION",$C$1=1),$A182,$A182+1),COLUMN('1-DATA'!E180)),IF($B182="STD. DEVIATION",2,$F$1))))</f>
        <v/>
      </c>
      <c r="G182" s="1" t="str">
        <f>IF(OR($B182="",G$7=""),"",IF($B182="MEANS",INDEX('1-DATA'!$1:$1048576,$A181-1,COLUMN('1-DATA'!F180)),ROUND(INDEX('1-DATA'!$1:$1048576,IF(OR($B182="STD. DEVIATION",$C$1=1),$A182,$A182+1),COLUMN('1-DATA'!F180)),IF($B182="STD. DEVIATION",2,$F$1))))</f>
        <v/>
      </c>
      <c r="H182" s="1" t="str">
        <f>IF(OR($B182="",H$7=""),"",IF($B182="MEANS",INDEX('1-DATA'!$1:$1048576,$A181-1,COLUMN('1-DATA'!G180)),ROUND(INDEX('1-DATA'!$1:$1048576,IF(OR($B182="STD. DEVIATION",$C$1=1),$A182,$A182+1),COLUMN('1-DATA'!G180)),IF($B182="STD. DEVIATION",2,$F$1))))</f>
        <v/>
      </c>
      <c r="I182" s="1" t="str">
        <f>IF(OR($B182="",I$7=""),"",IF($B182="MEANS",INDEX('1-DATA'!$1:$1048576,$A181-1,COLUMN('1-DATA'!H180)),ROUND(INDEX('1-DATA'!$1:$1048576,IF(OR($B182="STD. DEVIATION",$C$1=1),$A182,$A182+1),COLUMN('1-DATA'!H180)),IF($B182="STD. DEVIATION",2,$F$1))))</f>
        <v/>
      </c>
      <c r="J182" s="1" t="str">
        <f>IF(OR($B182="",J$7=""),"",IF($B182="MEANS",INDEX('1-DATA'!$1:$1048576,$A181-1,COLUMN('1-DATA'!I180)),ROUND(INDEX('1-DATA'!$1:$1048576,IF(OR($B182="STD. DEVIATION",$C$1=1),$A182,$A182+1),COLUMN('1-DATA'!I180)),IF($B182="STD. DEVIATION",2,$F$1))))</f>
        <v/>
      </c>
      <c r="K182" s="1" t="str">
        <f>IF(OR($B182="",K$7=""),"",IF($B182="MEANS",INDEX('1-DATA'!$1:$1048576,$A181-1,COLUMN('1-DATA'!J180)),ROUND(INDEX('1-DATA'!$1:$1048576,IF(OR($B182="STD. DEVIATION",$C$1=1),$A182,$A182+1),COLUMN('1-DATA'!J180)),IF($B182="STD. DEVIATION",2,$F$1))))</f>
        <v/>
      </c>
      <c r="L182" s="1" t="str">
        <f>IF(OR($B182="",L$7=""),"",IF($B182="MEANS",INDEX('1-DATA'!$1:$1048576,$A181-1,COLUMN('1-DATA'!K180)),ROUND(INDEX('1-DATA'!$1:$1048576,IF(OR($B182="STD. DEVIATION",$C$1=1),$A182,$A182+1),COLUMN('1-DATA'!K180)),IF($B182="STD. DEVIATION",2,$F$1))))</f>
        <v/>
      </c>
      <c r="M182" s="1" t="str">
        <f>IF(OR($B182="",M$7=""),"",IF($B182="MEANS",INDEX('1-DATA'!$1:$1048576,$A181-1,COLUMN('1-DATA'!L180)),ROUND(INDEX('1-DATA'!$1:$1048576,IF(OR($B182="STD. DEVIATION",$C$1=1),$A182,$A182+1),COLUMN('1-DATA'!L180)),IF($B182="STD. DEVIATION",2,$F$1))))</f>
        <v/>
      </c>
      <c r="N182" s="1" t="str">
        <f>IF(OR($B182="",N$7=""),"",IF($B182="MEANS",INDEX('1-DATA'!$1:$1048576,$A181-1,COLUMN('1-DATA'!M180)),ROUND(INDEX('1-DATA'!$1:$1048576,IF(OR($B182="STD. DEVIATION",$C$1=1),$A182,$A182+1),COLUMN('1-DATA'!M180)),IF($B182="STD. DEVIATION",2,$F$1))))</f>
        <v/>
      </c>
      <c r="O182" s="1" t="str">
        <f>IF(OR($B182="",O$7=""),"",IF($B182="MEANS",INDEX('1-DATA'!$1:$1048576,$A181-1,COLUMN('1-DATA'!N180)),ROUND(INDEX('1-DATA'!$1:$1048576,IF(OR($B182="STD. DEVIATION",$C$1=1),$A182,$A182+1),COLUMN('1-DATA'!N180)),IF($B182="STD. DEVIATION",2,$F$1))))</f>
        <v/>
      </c>
      <c r="P182" s="1" t="str">
        <f>IF(OR($B182="",P$7=""),"",IF($B182="MEANS",INDEX('1-DATA'!$1:$1048576,$A181-1,COLUMN('1-DATA'!O180)),ROUND(INDEX('1-DATA'!$1:$1048576,IF(OR($B182="STD. DEVIATION",$C$1=1),$A182,$A182+1),COLUMN('1-DATA'!O180)),IF($B182="STD. DEVIATION",2,$F$1))))</f>
        <v/>
      </c>
      <c r="Q182" s="1" t="str">
        <f>IF(OR($B182="",Q$7=""),"",IF($B182="MEANS",INDEX('1-DATA'!$1:$1048576,$A181-1,COLUMN('1-DATA'!P180)),ROUND(INDEX('1-DATA'!$1:$1048576,IF(OR($B182="STD. DEVIATION",$C$1=1),$A182,$A182+1),COLUMN('1-DATA'!P180)),IF($B182="STD. DEVIATION",2,$F$1))))</f>
        <v/>
      </c>
      <c r="R182" s="1" t="str">
        <f>IF(OR($B182="",R$7=""),"",IF($B182="MEANS",INDEX('1-DATA'!$1:$1048576,$A181-1,COLUMN('1-DATA'!Q180)),ROUND(INDEX('1-DATA'!$1:$1048576,IF(OR($B182="STD. DEVIATION",$C$1=1),$A182,$A182+1),COLUMN('1-DATA'!Q180)),IF($B182="STD. DEVIATION",2,$F$1))))</f>
        <v/>
      </c>
      <c r="S182" s="1" t="str">
        <f>IF(OR($B182="",S$7=""),"",IF($B182="MEANS",INDEX('1-DATA'!$1:$1048576,$A181-1,COLUMN('1-DATA'!R180)),ROUND(INDEX('1-DATA'!$1:$1048576,IF(OR($B182="STD. DEVIATION",$C$1=1),$A182,$A182+1),COLUMN('1-DATA'!R180)),IF($B182="STD. DEVIATION",2,$F$1))))</f>
        <v/>
      </c>
      <c r="T182" s="1" t="str">
        <f>IF(OR($B182="",T$7=""),"",IF($B182="MEANS",INDEX('1-DATA'!$1:$1048576,$A181-1,COLUMN('1-DATA'!S180)),ROUND(INDEX('1-DATA'!$1:$1048576,IF(OR($B182="STD. DEVIATION",$C$1=1),$A182,$A182+1),COLUMN('1-DATA'!S180)),IF($B182="STD. DEVIATION",2,$F$1))))</f>
        <v/>
      </c>
      <c r="U182" s="1" t="str">
        <f>IF(OR($B182="",U$7=""),"",IF($B182="MEANS",INDEX('1-DATA'!$1:$1048576,$A181-1,COLUMN('1-DATA'!T180)),ROUND(INDEX('1-DATA'!$1:$1048576,IF(OR($B182="STD. DEVIATION",$C$1=1),$A182,$A182+1),COLUMN('1-DATA'!T180)),IF($B182="STD. DEVIATION",2,$F$1))))</f>
        <v/>
      </c>
      <c r="V182" s="1" t="str">
        <f>IF(OR($B182="",V$7=""),"",IF($B182="MEANS",INDEX('1-DATA'!$1:$1048576,$A181-1,COLUMN('1-DATA'!U180)),ROUND(INDEX('1-DATA'!$1:$1048576,IF(OR($B182="STD. DEVIATION",$C$1=1),$A182,$A182+1),COLUMN('1-DATA'!U180)),IF($B182="STD. DEVIATION",2,$F$1))))</f>
        <v/>
      </c>
      <c r="W182" s="1" t="str">
        <f>IF(OR($B182="",W$7=""),"",IF($B182="MEANS",INDEX('1-DATA'!$1:$1048576,$A181-1,COLUMN('1-DATA'!V180)),ROUND(INDEX('1-DATA'!$1:$1048576,IF(OR($B182="STD. DEVIATION",$C$1=1),$A182,$A182+1),COLUMN('1-DATA'!V180)),IF($B182="STD. DEVIATION",2,$F$1))))</f>
        <v/>
      </c>
      <c r="X182" s="1" t="str">
        <f>IF(OR($B182="",X$7=""),"",IF($B182="MEANS",INDEX('1-DATA'!$1:$1048576,$A181-1,COLUMN('1-DATA'!W180)),ROUND(INDEX('1-DATA'!$1:$1048576,IF(OR($B182="STD. DEVIATION",$C$1=1),$A182,$A182+1),COLUMN('1-DATA'!W180)),IF($B182="STD. DEVIATION",2,$F$1))))</f>
        <v/>
      </c>
      <c r="Y182" s="1" t="str">
        <f>IF(OR($B182="",Y$7=""),"",IF($B182="MEANS",INDEX('1-DATA'!$1:$1048576,$A181-1,COLUMN('1-DATA'!X180)),ROUND(INDEX('1-DATA'!$1:$1048576,IF(OR($B182="STD. DEVIATION",$C$1=1),$A182,$A182+1),COLUMN('1-DATA'!X180)),IF($B182="STD. DEVIATION",2,$F$1))))</f>
        <v/>
      </c>
      <c r="Z182" s="1" t="str">
        <f>IF(OR($B182="",Z$7=""),"",IF($B182="MEANS",INDEX('1-DATA'!$1:$1048576,$A181-1,COLUMN('1-DATA'!Y180)),ROUND(INDEX('1-DATA'!$1:$1048576,IF(OR($B182="STD. DEVIATION",$C$1=1),$A182,$A182+1),COLUMN('1-DATA'!Y180)),IF($B182="STD. DEVIATION",2,$F$1))))</f>
        <v/>
      </c>
      <c r="AA182" s="1" t="str">
        <f>IF(OR($B182="",AA$7=""),"",IF($B182="MEANS",INDEX('1-DATA'!$1:$1048576,$A181-1,COLUMN('1-DATA'!Z180)),ROUND(INDEX('1-DATA'!$1:$1048576,IF(OR($B182="STD. DEVIATION",$C$1=1),$A182,$A182+1),COLUMN('1-DATA'!Z180)),IF($B182="STD. DEVIATION",2,$F$1))))</f>
        <v/>
      </c>
      <c r="AB182" s="1" t="str">
        <f>IF(OR($B182="",AB$7=""),"",IF($B182="MEANS",INDEX('1-DATA'!$1:$1048576,$A181-1,COLUMN('1-DATA'!AA180)),ROUND(INDEX('1-DATA'!$1:$1048576,IF(OR($B182="STD. DEVIATION",$C$1=1),$A182,$A182+1),COLUMN('1-DATA'!AA180)),IF($B182="STD. DEVIATION",2,$F$1))))</f>
        <v/>
      </c>
      <c r="AC182" s="1" t="str">
        <f>IF(OR($B182="",AC$7=""),"",IF($B182="MEANS",INDEX('1-DATA'!$1:$1048576,$A181-1,COLUMN('1-DATA'!AB180)),ROUND(INDEX('1-DATA'!$1:$1048576,IF(OR($B182="STD. DEVIATION",$C$1=1),$A182,$A182+1),COLUMN('1-DATA'!AB180)),IF($B182="STD. DEVIATION",2,$F$1))))</f>
        <v/>
      </c>
      <c r="AD182" s="1" t="str">
        <f>IF(OR($B182="",AD$7=""),"",IF($B182="MEANS",INDEX('1-DATA'!$1:$1048576,$A181-1,COLUMN('1-DATA'!AC180)),ROUND(INDEX('1-DATA'!$1:$1048576,IF(OR($B182="STD. DEVIATION",$C$1=1),$A182,$A182+1),COLUMN('1-DATA'!AC180)),IF($B182="STD. DEVIATION",2,$F$1))))</f>
        <v/>
      </c>
      <c r="AE182" s="1" t="str">
        <f>IF(OR($B182="",AE$7=""),"",IF($B182="MEANS",INDEX('1-DATA'!$1:$1048576,$A181-1,COLUMN('1-DATA'!AD180)),ROUND(INDEX('1-DATA'!$1:$1048576,IF(OR($B182="STD. DEVIATION",$C$1=1),$A182,$A182+1),COLUMN('1-DATA'!AD180)),IF($B182="STD. DEVIATION",2,$F$1))))</f>
        <v/>
      </c>
      <c r="AF182" s="1" t="str">
        <f>IF(OR($B182="",AF$7=""),"",IF($B182="MEANS",INDEX('1-DATA'!$1:$1048576,$A181-1,COLUMN('1-DATA'!AE180)),ROUND(INDEX('1-DATA'!$1:$1048576,IF(OR($B182="STD. DEVIATION",$C$1=1),$A182,$A182+1),COLUMN('1-DATA'!AE180)),IF($B182="STD. DEVIATION",2,$F$1))))</f>
        <v/>
      </c>
      <c r="AG182" s="1" t="str">
        <f>IF(OR($B182="",AG$7=""),"",IF($B182="MEANS",INDEX('1-DATA'!$1:$1048576,$A181-1,COLUMN('1-DATA'!AF180)),ROUND(INDEX('1-DATA'!$1:$1048576,IF(OR($B182="STD. DEVIATION",$C$1=1),$A182,$A182+1),COLUMN('1-DATA'!AF180)),IF($B182="STD. DEVIATION",2,$F$1))))</f>
        <v/>
      </c>
      <c r="AH182" s="1" t="str">
        <f>IF(OR($B182="",AH$7=""),"",IF($B182="MEANS",INDEX('1-DATA'!$1:$1048576,$A181-1,COLUMN('1-DATA'!AG180)),ROUND(INDEX('1-DATA'!$1:$1048576,IF(OR($B182="STD. DEVIATION",$C$1=1),$A182,$A182+1),COLUMN('1-DATA'!AG180)),IF($B182="STD. DEVIATION",2,$F$1))))</f>
        <v/>
      </c>
      <c r="AI182" s="1" t="str">
        <f>IF(OR($B182="",AI$7=""),"",IF($B182="MEANS",INDEX('1-DATA'!$1:$1048576,$A181-1,COLUMN('1-DATA'!AH180)),ROUND(INDEX('1-DATA'!$1:$1048576,IF(OR($B182="STD. DEVIATION",$C$1=1),$A182,$A182+1),COLUMN('1-DATA'!AH180)),IF($B182="STD. DEVIATION",2,$F$1))))</f>
        <v/>
      </c>
      <c r="AJ182" s="1" t="str">
        <f>IF(OR($B182="",AJ$7=""),"",IF($B182="MEANS",INDEX('1-DATA'!$1:$1048576,$A181-1,COLUMN('1-DATA'!AI180)),ROUND(INDEX('1-DATA'!$1:$1048576,IF(OR($B182="STD. DEVIATION",$C$1=1),$A182,$A182+1),COLUMN('1-DATA'!AI180)),IF($B182="STD. DEVIATION",2,$F$1))))</f>
        <v/>
      </c>
      <c r="AK182" s="1" t="str">
        <f>IF(OR($B182="",AK$7=""),"",IF($B182="MEANS",INDEX('1-DATA'!$1:$1048576,$A181-1,COLUMN('1-DATA'!AJ180)),ROUND(INDEX('1-DATA'!$1:$1048576,IF(OR($B182="STD. DEVIATION",$C$1=1),$A182,$A182+1),COLUMN('1-DATA'!AJ180)),IF($B182="STD. DEVIATION",2,$F$1))))</f>
        <v/>
      </c>
      <c r="AL182" s="1" t="str">
        <f>IF(OR($B182="",AL$7=""),"",IF($B182="MEANS",INDEX('1-DATA'!$1:$1048576,$A181-1,COLUMN('1-DATA'!AK180)),ROUND(INDEX('1-DATA'!$1:$1048576,IF(OR($B182="STD. DEVIATION",$C$1=1),$A182,$A182+1),COLUMN('1-DATA'!AK180)),IF($B182="STD. DEVIATION",2,$F$1))))</f>
        <v/>
      </c>
      <c r="AM182" s="1" t="str">
        <f>IF(OR($B182="",AM$7=""),"",IF($B182="MEANS",INDEX('1-DATA'!$1:$1048576,$A181-1,COLUMN('1-DATA'!AL180)),ROUND(INDEX('1-DATA'!$1:$1048576,IF(OR($B182="STD. DEVIATION",$C$1=1),$A182,$A182+1),COLUMN('1-DATA'!AL180)),IF($B182="STD. DEVIATION",2,$F$1))))</f>
        <v/>
      </c>
      <c r="AN182" s="1" t="str">
        <f>IF(OR($B182="",AN$7=""),"",IF($B182="MEANS",INDEX('1-DATA'!$1:$1048576,$A181-1,COLUMN('1-DATA'!AM180)),ROUND(INDEX('1-DATA'!$1:$1048576,IF(OR($B182="STD. DEVIATION",$C$1=1),$A182,$A182+1),COLUMN('1-DATA'!AM180)),IF($B182="STD. DEVIATION",2,$F$1))))</f>
        <v/>
      </c>
      <c r="AO182" s="1" t="str">
        <f>IF(OR($B182="",AO$7=""),"",IF($B182="MEANS",INDEX('1-DATA'!$1:$1048576,$A181-1,COLUMN('1-DATA'!AN180)),ROUND(INDEX('1-DATA'!$1:$1048576,IF(OR($B182="STD. DEVIATION",$C$1=1),$A182,$A182+1),COLUMN('1-DATA'!AN180)),IF($B182="STD. DEVIATION",2,$F$1))))</f>
        <v/>
      </c>
      <c r="AP182" s="1" t="str">
        <f>IF(OR($B182="",AP$7=""),"",IF($B182="MEANS",INDEX('1-DATA'!$1:$1048576,$A181-1,COLUMN('1-DATA'!AO180)),ROUND(INDEX('1-DATA'!$1:$1048576,IF(OR($B182="STD. DEVIATION",$C$1=1),$A182,$A182+1),COLUMN('1-DATA'!AO180)),IF($B182="STD. DEVIATION",2,$F$1))))</f>
        <v/>
      </c>
      <c r="AQ182" s="1" t="str">
        <f>IF(OR($B182="",AQ$7=""),"",IF($B182="MEANS",INDEX('1-DATA'!$1:$1048576,$A181-1,COLUMN('1-DATA'!AP180)),ROUND(INDEX('1-DATA'!$1:$1048576,IF(OR($B182="STD. DEVIATION",$C$1=1),$A182,$A182+1),COLUMN('1-DATA'!AP180)),IF($B182="STD. DEVIATION",2,$F$1))))</f>
        <v/>
      </c>
      <c r="AR182" s="1" t="str">
        <f>IF(OR($B182="",AR$7=""),"",IF($B182="MEANS",INDEX('1-DATA'!$1:$1048576,$A181-1,COLUMN('1-DATA'!AQ180)),ROUND(INDEX('1-DATA'!$1:$1048576,IF(OR($B182="STD. DEVIATION",$C$1=1),$A182,$A182+1),COLUMN('1-DATA'!AQ180)),IF($B182="STD. DEVIATION",2,$F$1))))</f>
        <v/>
      </c>
      <c r="AS182" s="1" t="str">
        <f>IF(OR($B182="",AS$7=""),"",IF($B182="MEANS",INDEX('1-DATA'!$1:$1048576,$A181-1,COLUMN('1-DATA'!AR180)),ROUND(INDEX('1-DATA'!$1:$1048576,IF(OR($B182="STD. DEVIATION",$C$1=1),$A182,$A182+1),COLUMN('1-DATA'!AR180)),IF($B182="STD. DEVIATION",2,$F$1))))</f>
        <v/>
      </c>
      <c r="AT182" s="1" t="str">
        <f>IF(OR($B182="",AT$7=""),"",IF($B182="MEANS",INDEX('1-DATA'!$1:$1048576,$A181-1,COLUMN('1-DATA'!AS180)),ROUND(INDEX('1-DATA'!$1:$1048576,IF(OR($B182="STD. DEVIATION",$C$1=1),$A182,$A182+1),COLUMN('1-DATA'!AS180)),IF($B182="STD. DEVIATION",2,$F$1))))</f>
        <v/>
      </c>
      <c r="AU182" s="1" t="str">
        <f>IF(OR($B182="",AU$7=""),"",IF($B182="MEANS",INDEX('1-DATA'!$1:$1048576,$A181-1,COLUMN('1-DATA'!AT180)),ROUND(INDEX('1-DATA'!$1:$1048576,IF(OR($B182="STD. DEVIATION",$C$1=1),$A182,$A182+1),COLUMN('1-DATA'!AT180)),IF($B182="STD. DEVIATION",2,$F$1))))</f>
        <v/>
      </c>
      <c r="AV182" s="1" t="str">
        <f>IF(OR($B182="",AV$7=""),"",IF($B182="MEANS",INDEX('1-DATA'!$1:$1048576,$A181-1,COLUMN('1-DATA'!AU180)),ROUND(INDEX('1-DATA'!$1:$1048576,IF(OR($B182="STD. DEVIATION",$C$1=1),$A182,$A182+1),COLUMN('1-DATA'!AU180)),IF($B182="STD. DEVIATION",2,$F$1))))</f>
        <v/>
      </c>
      <c r="AW182" s="1" t="str">
        <f>IF(OR($B182="",AW$7=""),"",IF($B182="MEANS",INDEX('1-DATA'!$1:$1048576,$A181-1,COLUMN('1-DATA'!AV180)),ROUND(INDEX('1-DATA'!$1:$1048576,IF(OR($B182="STD. DEVIATION",$C$1=1),$A182,$A182+1),COLUMN('1-DATA'!AV180)),IF($B182="STD. DEVIATION",2,$F$1))))</f>
        <v/>
      </c>
      <c r="AX182" s="1" t="str">
        <f>IF(OR($B182="",AX$7=""),"",IF($B182="MEANS",INDEX('1-DATA'!$1:$1048576,$A181-1,COLUMN('1-DATA'!AW180)),ROUND(INDEX('1-DATA'!$1:$1048576,IF(OR($B182="STD. DEVIATION",$C$1=1),$A182,$A182+1),COLUMN('1-DATA'!AW180)),IF($B182="STD. DEVIATION",2,$F$1))))</f>
        <v/>
      </c>
      <c r="AY182" s="1" t="str">
        <f>IF(OR($B182="",AY$7=""),"",IF($B182="MEANS",INDEX('1-DATA'!$1:$1048576,$A181-1,COLUMN('1-DATA'!AX180)),ROUND(INDEX('1-DATA'!$1:$1048576,IF(OR($B182="STD. DEVIATION",$C$1=1),$A182,$A182+1),COLUMN('1-DATA'!AX180)),IF($B182="STD. DEVIATION",2,$F$1))))</f>
        <v/>
      </c>
      <c r="AZ182" s="1" t="str">
        <f>IF(OR($B182="",AZ$7=""),"",IF($B182="MEANS",INDEX('1-DATA'!$1:$1048576,$A181-1,COLUMN('1-DATA'!AY180)),ROUND(INDEX('1-DATA'!$1:$1048576,IF(OR($B182="STD. DEVIATION",$C$1=1),$A182,$A182+1),COLUMN('1-DATA'!AY180)),IF($B182="STD. DEVIATION",2,$F$1))))</f>
        <v/>
      </c>
    </row>
    <row r="183" spans="1:52" x14ac:dyDescent="0.25">
      <c r="A183" s="11">
        <f t="shared" si="3"/>
        <v>535</v>
      </c>
      <c r="B183" s="1" t="str">
        <f>IF(B182="STD. DEVIATION",INDEX('1-DATA'!$1:$1048576,$A182-1,1),IF(INDEX('1-DATA'!$1:$1048576,$A183,1)&lt;&gt;"",INDEX('1-DATA'!$1:$1048576,$A183,1),""))</f>
        <v/>
      </c>
      <c r="C183" s="1" t="str">
        <f>IF(OR($B183="",C$7=""),"",IF($B183="MEANS",INDEX('1-DATA'!$1:$1048576,$A182-1,COLUMN('1-DATA'!B181)),ROUND(INDEX('1-DATA'!$1:$1048576,IF(OR($B183="STD. DEVIATION",$C$1=1),$A183,$A183+1),COLUMN('1-DATA'!B181)),IF($B183="STD. DEVIATION",2,$F$1))))</f>
        <v/>
      </c>
      <c r="D183" s="1" t="str">
        <f>IF(OR($B183="",D$7=""),"",IF($B183="MEANS",INDEX('1-DATA'!$1:$1048576,$A182-1,COLUMN('1-DATA'!C181)),ROUND(INDEX('1-DATA'!$1:$1048576,IF(OR($B183="STD. DEVIATION",$C$1=1),$A183,$A183+1),COLUMN('1-DATA'!C181)),IF($B183="STD. DEVIATION",2,$F$1))))</f>
        <v/>
      </c>
      <c r="E183" s="1" t="str">
        <f>IF(OR($B183="",E$7=""),"",IF($B183="MEANS",INDEX('1-DATA'!$1:$1048576,$A182-1,COLUMN('1-DATA'!D181)),ROUND(INDEX('1-DATA'!$1:$1048576,IF(OR($B183="STD. DEVIATION",$C$1=1),$A183,$A183+1),COLUMN('1-DATA'!D181)),IF($B183="STD. DEVIATION",2,$F$1))))</f>
        <v/>
      </c>
      <c r="F183" s="1" t="str">
        <f>IF(OR($B183="",F$7=""),"",IF($B183="MEANS",INDEX('1-DATA'!$1:$1048576,$A182-1,COLUMN('1-DATA'!E181)),ROUND(INDEX('1-DATA'!$1:$1048576,IF(OR($B183="STD. DEVIATION",$C$1=1),$A183,$A183+1),COLUMN('1-DATA'!E181)),IF($B183="STD. DEVIATION",2,$F$1))))</f>
        <v/>
      </c>
      <c r="G183" s="1" t="str">
        <f>IF(OR($B183="",G$7=""),"",IF($B183="MEANS",INDEX('1-DATA'!$1:$1048576,$A182-1,COLUMN('1-DATA'!F181)),ROUND(INDEX('1-DATA'!$1:$1048576,IF(OR($B183="STD. DEVIATION",$C$1=1),$A183,$A183+1),COLUMN('1-DATA'!F181)),IF($B183="STD. DEVIATION",2,$F$1))))</f>
        <v/>
      </c>
      <c r="H183" s="1" t="str">
        <f>IF(OR($B183="",H$7=""),"",IF($B183="MEANS",INDEX('1-DATA'!$1:$1048576,$A182-1,COLUMN('1-DATA'!G181)),ROUND(INDEX('1-DATA'!$1:$1048576,IF(OR($B183="STD. DEVIATION",$C$1=1),$A183,$A183+1),COLUMN('1-DATA'!G181)),IF($B183="STD. DEVIATION",2,$F$1))))</f>
        <v/>
      </c>
      <c r="I183" s="1" t="str">
        <f>IF(OR($B183="",I$7=""),"",IF($B183="MEANS",INDEX('1-DATA'!$1:$1048576,$A182-1,COLUMN('1-DATA'!H181)),ROUND(INDEX('1-DATA'!$1:$1048576,IF(OR($B183="STD. DEVIATION",$C$1=1),$A183,$A183+1),COLUMN('1-DATA'!H181)),IF($B183="STD. DEVIATION",2,$F$1))))</f>
        <v/>
      </c>
      <c r="J183" s="1" t="str">
        <f>IF(OR($B183="",J$7=""),"",IF($B183="MEANS",INDEX('1-DATA'!$1:$1048576,$A182-1,COLUMN('1-DATA'!I181)),ROUND(INDEX('1-DATA'!$1:$1048576,IF(OR($B183="STD. DEVIATION",$C$1=1),$A183,$A183+1),COLUMN('1-DATA'!I181)),IF($B183="STD. DEVIATION",2,$F$1))))</f>
        <v/>
      </c>
      <c r="K183" s="1" t="str">
        <f>IF(OR($B183="",K$7=""),"",IF($B183="MEANS",INDEX('1-DATA'!$1:$1048576,$A182-1,COLUMN('1-DATA'!J181)),ROUND(INDEX('1-DATA'!$1:$1048576,IF(OR($B183="STD. DEVIATION",$C$1=1),$A183,$A183+1),COLUMN('1-DATA'!J181)),IF($B183="STD. DEVIATION",2,$F$1))))</f>
        <v/>
      </c>
      <c r="L183" s="1" t="str">
        <f>IF(OR($B183="",L$7=""),"",IF($B183="MEANS",INDEX('1-DATA'!$1:$1048576,$A182-1,COLUMN('1-DATA'!K181)),ROUND(INDEX('1-DATA'!$1:$1048576,IF(OR($B183="STD. DEVIATION",$C$1=1),$A183,$A183+1),COLUMN('1-DATA'!K181)),IF($B183="STD. DEVIATION",2,$F$1))))</f>
        <v/>
      </c>
      <c r="M183" s="1" t="str">
        <f>IF(OR($B183="",M$7=""),"",IF($B183="MEANS",INDEX('1-DATA'!$1:$1048576,$A182-1,COLUMN('1-DATA'!L181)),ROUND(INDEX('1-DATA'!$1:$1048576,IF(OR($B183="STD. DEVIATION",$C$1=1),$A183,$A183+1),COLUMN('1-DATA'!L181)),IF($B183="STD. DEVIATION",2,$F$1))))</f>
        <v/>
      </c>
      <c r="N183" s="1" t="str">
        <f>IF(OR($B183="",N$7=""),"",IF($B183="MEANS",INDEX('1-DATA'!$1:$1048576,$A182-1,COLUMN('1-DATA'!M181)),ROUND(INDEX('1-DATA'!$1:$1048576,IF(OR($B183="STD. DEVIATION",$C$1=1),$A183,$A183+1),COLUMN('1-DATA'!M181)),IF($B183="STD. DEVIATION",2,$F$1))))</f>
        <v/>
      </c>
      <c r="O183" s="1" t="str">
        <f>IF(OR($B183="",O$7=""),"",IF($B183="MEANS",INDEX('1-DATA'!$1:$1048576,$A182-1,COLUMN('1-DATA'!N181)),ROUND(INDEX('1-DATA'!$1:$1048576,IF(OR($B183="STD. DEVIATION",$C$1=1),$A183,$A183+1),COLUMN('1-DATA'!N181)),IF($B183="STD. DEVIATION",2,$F$1))))</f>
        <v/>
      </c>
      <c r="P183" s="1" t="str">
        <f>IF(OR($B183="",P$7=""),"",IF($B183="MEANS",INDEX('1-DATA'!$1:$1048576,$A182-1,COLUMN('1-DATA'!O181)),ROUND(INDEX('1-DATA'!$1:$1048576,IF(OR($B183="STD. DEVIATION",$C$1=1),$A183,$A183+1),COLUMN('1-DATA'!O181)),IF($B183="STD. DEVIATION",2,$F$1))))</f>
        <v/>
      </c>
      <c r="Q183" s="1" t="str">
        <f>IF(OR($B183="",Q$7=""),"",IF($B183="MEANS",INDEX('1-DATA'!$1:$1048576,$A182-1,COLUMN('1-DATA'!P181)),ROUND(INDEX('1-DATA'!$1:$1048576,IF(OR($B183="STD. DEVIATION",$C$1=1),$A183,$A183+1),COLUMN('1-DATA'!P181)),IF($B183="STD. DEVIATION",2,$F$1))))</f>
        <v/>
      </c>
      <c r="R183" s="1" t="str">
        <f>IF(OR($B183="",R$7=""),"",IF($B183="MEANS",INDEX('1-DATA'!$1:$1048576,$A182-1,COLUMN('1-DATA'!Q181)),ROUND(INDEX('1-DATA'!$1:$1048576,IF(OR($B183="STD. DEVIATION",$C$1=1),$A183,$A183+1),COLUMN('1-DATA'!Q181)),IF($B183="STD. DEVIATION",2,$F$1))))</f>
        <v/>
      </c>
      <c r="S183" s="1" t="str">
        <f>IF(OR($B183="",S$7=""),"",IF($B183="MEANS",INDEX('1-DATA'!$1:$1048576,$A182-1,COLUMN('1-DATA'!R181)),ROUND(INDEX('1-DATA'!$1:$1048576,IF(OR($B183="STD. DEVIATION",$C$1=1),$A183,$A183+1),COLUMN('1-DATA'!R181)),IF($B183="STD. DEVIATION",2,$F$1))))</f>
        <v/>
      </c>
      <c r="T183" s="1" t="str">
        <f>IF(OR($B183="",T$7=""),"",IF($B183="MEANS",INDEX('1-DATA'!$1:$1048576,$A182-1,COLUMN('1-DATA'!S181)),ROUND(INDEX('1-DATA'!$1:$1048576,IF(OR($B183="STD. DEVIATION",$C$1=1),$A183,$A183+1),COLUMN('1-DATA'!S181)),IF($B183="STD. DEVIATION",2,$F$1))))</f>
        <v/>
      </c>
      <c r="U183" s="1" t="str">
        <f>IF(OR($B183="",U$7=""),"",IF($B183="MEANS",INDEX('1-DATA'!$1:$1048576,$A182-1,COLUMN('1-DATA'!T181)),ROUND(INDEX('1-DATA'!$1:$1048576,IF(OR($B183="STD. DEVIATION",$C$1=1),$A183,$A183+1),COLUMN('1-DATA'!T181)),IF($B183="STD. DEVIATION",2,$F$1))))</f>
        <v/>
      </c>
      <c r="V183" s="1" t="str">
        <f>IF(OR($B183="",V$7=""),"",IF($B183="MEANS",INDEX('1-DATA'!$1:$1048576,$A182-1,COLUMN('1-DATA'!U181)),ROUND(INDEX('1-DATA'!$1:$1048576,IF(OR($B183="STD. DEVIATION",$C$1=1),$A183,$A183+1),COLUMN('1-DATA'!U181)),IF($B183="STD. DEVIATION",2,$F$1))))</f>
        <v/>
      </c>
      <c r="W183" s="1" t="str">
        <f>IF(OR($B183="",W$7=""),"",IF($B183="MEANS",INDEX('1-DATA'!$1:$1048576,$A182-1,COLUMN('1-DATA'!V181)),ROUND(INDEX('1-DATA'!$1:$1048576,IF(OR($B183="STD. DEVIATION",$C$1=1),$A183,$A183+1),COLUMN('1-DATA'!V181)),IF($B183="STD. DEVIATION",2,$F$1))))</f>
        <v/>
      </c>
      <c r="X183" s="1" t="str">
        <f>IF(OR($B183="",X$7=""),"",IF($B183="MEANS",INDEX('1-DATA'!$1:$1048576,$A182-1,COLUMN('1-DATA'!W181)),ROUND(INDEX('1-DATA'!$1:$1048576,IF(OR($B183="STD. DEVIATION",$C$1=1),$A183,$A183+1),COLUMN('1-DATA'!W181)),IF($B183="STD. DEVIATION",2,$F$1))))</f>
        <v/>
      </c>
      <c r="Y183" s="1" t="str">
        <f>IF(OR($B183="",Y$7=""),"",IF($B183="MEANS",INDEX('1-DATA'!$1:$1048576,$A182-1,COLUMN('1-DATA'!X181)),ROUND(INDEX('1-DATA'!$1:$1048576,IF(OR($B183="STD. DEVIATION",$C$1=1),$A183,$A183+1),COLUMN('1-DATA'!X181)),IF($B183="STD. DEVIATION",2,$F$1))))</f>
        <v/>
      </c>
      <c r="Z183" s="1" t="str">
        <f>IF(OR($B183="",Z$7=""),"",IF($B183="MEANS",INDEX('1-DATA'!$1:$1048576,$A182-1,COLUMN('1-DATA'!Y181)),ROUND(INDEX('1-DATA'!$1:$1048576,IF(OR($B183="STD. DEVIATION",$C$1=1),$A183,$A183+1),COLUMN('1-DATA'!Y181)),IF($B183="STD. DEVIATION",2,$F$1))))</f>
        <v/>
      </c>
      <c r="AA183" s="1" t="str">
        <f>IF(OR($B183="",AA$7=""),"",IF($B183="MEANS",INDEX('1-DATA'!$1:$1048576,$A182-1,COLUMN('1-DATA'!Z181)),ROUND(INDEX('1-DATA'!$1:$1048576,IF(OR($B183="STD. DEVIATION",$C$1=1),$A183,$A183+1),COLUMN('1-DATA'!Z181)),IF($B183="STD. DEVIATION",2,$F$1))))</f>
        <v/>
      </c>
      <c r="AB183" s="1" t="str">
        <f>IF(OR($B183="",AB$7=""),"",IF($B183="MEANS",INDEX('1-DATA'!$1:$1048576,$A182-1,COLUMN('1-DATA'!AA181)),ROUND(INDEX('1-DATA'!$1:$1048576,IF(OR($B183="STD. DEVIATION",$C$1=1),$A183,$A183+1),COLUMN('1-DATA'!AA181)),IF($B183="STD. DEVIATION",2,$F$1))))</f>
        <v/>
      </c>
      <c r="AC183" s="1" t="str">
        <f>IF(OR($B183="",AC$7=""),"",IF($B183="MEANS",INDEX('1-DATA'!$1:$1048576,$A182-1,COLUMN('1-DATA'!AB181)),ROUND(INDEX('1-DATA'!$1:$1048576,IF(OR($B183="STD. DEVIATION",$C$1=1),$A183,$A183+1),COLUMN('1-DATA'!AB181)),IF($B183="STD. DEVIATION",2,$F$1))))</f>
        <v/>
      </c>
      <c r="AD183" s="1" t="str">
        <f>IF(OR($B183="",AD$7=""),"",IF($B183="MEANS",INDEX('1-DATA'!$1:$1048576,$A182-1,COLUMN('1-DATA'!AC181)),ROUND(INDEX('1-DATA'!$1:$1048576,IF(OR($B183="STD. DEVIATION",$C$1=1),$A183,$A183+1),COLUMN('1-DATA'!AC181)),IF($B183="STD. DEVIATION",2,$F$1))))</f>
        <v/>
      </c>
      <c r="AE183" s="1" t="str">
        <f>IF(OR($B183="",AE$7=""),"",IF($B183="MEANS",INDEX('1-DATA'!$1:$1048576,$A182-1,COLUMN('1-DATA'!AD181)),ROUND(INDEX('1-DATA'!$1:$1048576,IF(OR($B183="STD. DEVIATION",$C$1=1),$A183,$A183+1),COLUMN('1-DATA'!AD181)),IF($B183="STD. DEVIATION",2,$F$1))))</f>
        <v/>
      </c>
      <c r="AF183" s="1" t="str">
        <f>IF(OR($B183="",AF$7=""),"",IF($B183="MEANS",INDEX('1-DATA'!$1:$1048576,$A182-1,COLUMN('1-DATA'!AE181)),ROUND(INDEX('1-DATA'!$1:$1048576,IF(OR($B183="STD. DEVIATION",$C$1=1),$A183,$A183+1),COLUMN('1-DATA'!AE181)),IF($B183="STD. DEVIATION",2,$F$1))))</f>
        <v/>
      </c>
      <c r="AG183" s="1" t="str">
        <f>IF(OR($B183="",AG$7=""),"",IF($B183="MEANS",INDEX('1-DATA'!$1:$1048576,$A182-1,COLUMN('1-DATA'!AF181)),ROUND(INDEX('1-DATA'!$1:$1048576,IF(OR($B183="STD. DEVIATION",$C$1=1),$A183,$A183+1),COLUMN('1-DATA'!AF181)),IF($B183="STD. DEVIATION",2,$F$1))))</f>
        <v/>
      </c>
      <c r="AH183" s="1" t="str">
        <f>IF(OR($B183="",AH$7=""),"",IF($B183="MEANS",INDEX('1-DATA'!$1:$1048576,$A182-1,COLUMN('1-DATA'!AG181)),ROUND(INDEX('1-DATA'!$1:$1048576,IF(OR($B183="STD. DEVIATION",$C$1=1),$A183,$A183+1),COLUMN('1-DATA'!AG181)),IF($B183="STD. DEVIATION",2,$F$1))))</f>
        <v/>
      </c>
      <c r="AI183" s="1" t="str">
        <f>IF(OR($B183="",AI$7=""),"",IF($B183="MEANS",INDEX('1-DATA'!$1:$1048576,$A182-1,COLUMN('1-DATA'!AH181)),ROUND(INDEX('1-DATA'!$1:$1048576,IF(OR($B183="STD. DEVIATION",$C$1=1),$A183,$A183+1),COLUMN('1-DATA'!AH181)),IF($B183="STD. DEVIATION",2,$F$1))))</f>
        <v/>
      </c>
      <c r="AJ183" s="1" t="str">
        <f>IF(OR($B183="",AJ$7=""),"",IF($B183="MEANS",INDEX('1-DATA'!$1:$1048576,$A182-1,COLUMN('1-DATA'!AI181)),ROUND(INDEX('1-DATA'!$1:$1048576,IF(OR($B183="STD. DEVIATION",$C$1=1),$A183,$A183+1),COLUMN('1-DATA'!AI181)),IF($B183="STD. DEVIATION",2,$F$1))))</f>
        <v/>
      </c>
      <c r="AK183" s="1" t="str">
        <f>IF(OR($B183="",AK$7=""),"",IF($B183="MEANS",INDEX('1-DATA'!$1:$1048576,$A182-1,COLUMN('1-DATA'!AJ181)),ROUND(INDEX('1-DATA'!$1:$1048576,IF(OR($B183="STD. DEVIATION",$C$1=1),$A183,$A183+1),COLUMN('1-DATA'!AJ181)),IF($B183="STD. DEVIATION",2,$F$1))))</f>
        <v/>
      </c>
      <c r="AL183" s="1" t="str">
        <f>IF(OR($B183="",AL$7=""),"",IF($B183="MEANS",INDEX('1-DATA'!$1:$1048576,$A182-1,COLUMN('1-DATA'!AK181)),ROUND(INDEX('1-DATA'!$1:$1048576,IF(OR($B183="STD. DEVIATION",$C$1=1),$A183,$A183+1),COLUMN('1-DATA'!AK181)),IF($B183="STD. DEVIATION",2,$F$1))))</f>
        <v/>
      </c>
      <c r="AM183" s="1" t="str">
        <f>IF(OR($B183="",AM$7=""),"",IF($B183="MEANS",INDEX('1-DATA'!$1:$1048576,$A182-1,COLUMN('1-DATA'!AL181)),ROUND(INDEX('1-DATA'!$1:$1048576,IF(OR($B183="STD. DEVIATION",$C$1=1),$A183,$A183+1),COLUMN('1-DATA'!AL181)),IF($B183="STD. DEVIATION",2,$F$1))))</f>
        <v/>
      </c>
      <c r="AN183" s="1" t="str">
        <f>IF(OR($B183="",AN$7=""),"",IF($B183="MEANS",INDEX('1-DATA'!$1:$1048576,$A182-1,COLUMN('1-DATA'!AM181)),ROUND(INDEX('1-DATA'!$1:$1048576,IF(OR($B183="STD. DEVIATION",$C$1=1),$A183,$A183+1),COLUMN('1-DATA'!AM181)),IF($B183="STD. DEVIATION",2,$F$1))))</f>
        <v/>
      </c>
      <c r="AO183" s="1" t="str">
        <f>IF(OR($B183="",AO$7=""),"",IF($B183="MEANS",INDEX('1-DATA'!$1:$1048576,$A182-1,COLUMN('1-DATA'!AN181)),ROUND(INDEX('1-DATA'!$1:$1048576,IF(OR($B183="STD. DEVIATION",$C$1=1),$A183,$A183+1),COLUMN('1-DATA'!AN181)),IF($B183="STD. DEVIATION",2,$F$1))))</f>
        <v/>
      </c>
      <c r="AP183" s="1" t="str">
        <f>IF(OR($B183="",AP$7=""),"",IF($B183="MEANS",INDEX('1-DATA'!$1:$1048576,$A182-1,COLUMN('1-DATA'!AO181)),ROUND(INDEX('1-DATA'!$1:$1048576,IF(OR($B183="STD. DEVIATION",$C$1=1),$A183,$A183+1),COLUMN('1-DATA'!AO181)),IF($B183="STD. DEVIATION",2,$F$1))))</f>
        <v/>
      </c>
      <c r="AQ183" s="1" t="str">
        <f>IF(OR($B183="",AQ$7=""),"",IF($B183="MEANS",INDEX('1-DATA'!$1:$1048576,$A182-1,COLUMN('1-DATA'!AP181)),ROUND(INDEX('1-DATA'!$1:$1048576,IF(OR($B183="STD. DEVIATION",$C$1=1),$A183,$A183+1),COLUMN('1-DATA'!AP181)),IF($B183="STD. DEVIATION",2,$F$1))))</f>
        <v/>
      </c>
      <c r="AR183" s="1" t="str">
        <f>IF(OR($B183="",AR$7=""),"",IF($B183="MEANS",INDEX('1-DATA'!$1:$1048576,$A182-1,COLUMN('1-DATA'!AQ181)),ROUND(INDEX('1-DATA'!$1:$1048576,IF(OR($B183="STD. DEVIATION",$C$1=1),$A183,$A183+1),COLUMN('1-DATA'!AQ181)),IF($B183="STD. DEVIATION",2,$F$1))))</f>
        <v/>
      </c>
      <c r="AS183" s="1" t="str">
        <f>IF(OR($B183="",AS$7=""),"",IF($B183="MEANS",INDEX('1-DATA'!$1:$1048576,$A182-1,COLUMN('1-DATA'!AR181)),ROUND(INDEX('1-DATA'!$1:$1048576,IF(OR($B183="STD. DEVIATION",$C$1=1),$A183,$A183+1),COLUMN('1-DATA'!AR181)),IF($B183="STD. DEVIATION",2,$F$1))))</f>
        <v/>
      </c>
      <c r="AT183" s="1" t="str">
        <f>IF(OR($B183="",AT$7=""),"",IF($B183="MEANS",INDEX('1-DATA'!$1:$1048576,$A182-1,COLUMN('1-DATA'!AS181)),ROUND(INDEX('1-DATA'!$1:$1048576,IF(OR($B183="STD. DEVIATION",$C$1=1),$A183,$A183+1),COLUMN('1-DATA'!AS181)),IF($B183="STD. DEVIATION",2,$F$1))))</f>
        <v/>
      </c>
      <c r="AU183" s="1" t="str">
        <f>IF(OR($B183="",AU$7=""),"",IF($B183="MEANS",INDEX('1-DATA'!$1:$1048576,$A182-1,COLUMN('1-DATA'!AT181)),ROUND(INDEX('1-DATA'!$1:$1048576,IF(OR($B183="STD. DEVIATION",$C$1=1),$A183,$A183+1),COLUMN('1-DATA'!AT181)),IF($B183="STD. DEVIATION",2,$F$1))))</f>
        <v/>
      </c>
      <c r="AV183" s="1" t="str">
        <f>IF(OR($B183="",AV$7=""),"",IF($B183="MEANS",INDEX('1-DATA'!$1:$1048576,$A182-1,COLUMN('1-DATA'!AU181)),ROUND(INDEX('1-DATA'!$1:$1048576,IF(OR($B183="STD. DEVIATION",$C$1=1),$A183,$A183+1),COLUMN('1-DATA'!AU181)),IF($B183="STD. DEVIATION",2,$F$1))))</f>
        <v/>
      </c>
      <c r="AW183" s="1" t="str">
        <f>IF(OR($B183="",AW$7=""),"",IF($B183="MEANS",INDEX('1-DATA'!$1:$1048576,$A182-1,COLUMN('1-DATA'!AV181)),ROUND(INDEX('1-DATA'!$1:$1048576,IF(OR($B183="STD. DEVIATION",$C$1=1),$A183,$A183+1),COLUMN('1-DATA'!AV181)),IF($B183="STD. DEVIATION",2,$F$1))))</f>
        <v/>
      </c>
      <c r="AX183" s="1" t="str">
        <f>IF(OR($B183="",AX$7=""),"",IF($B183="MEANS",INDEX('1-DATA'!$1:$1048576,$A182-1,COLUMN('1-DATA'!AW181)),ROUND(INDEX('1-DATA'!$1:$1048576,IF(OR($B183="STD. DEVIATION",$C$1=1),$A183,$A183+1),COLUMN('1-DATA'!AW181)),IF($B183="STD. DEVIATION",2,$F$1))))</f>
        <v/>
      </c>
      <c r="AY183" s="1" t="str">
        <f>IF(OR($B183="",AY$7=""),"",IF($B183="MEANS",INDEX('1-DATA'!$1:$1048576,$A182-1,COLUMN('1-DATA'!AX181)),ROUND(INDEX('1-DATA'!$1:$1048576,IF(OR($B183="STD. DEVIATION",$C$1=1),$A183,$A183+1),COLUMN('1-DATA'!AX181)),IF($B183="STD. DEVIATION",2,$F$1))))</f>
        <v/>
      </c>
      <c r="AZ183" s="1" t="str">
        <f>IF(OR($B183="",AZ$7=""),"",IF($B183="MEANS",INDEX('1-DATA'!$1:$1048576,$A182-1,COLUMN('1-DATA'!AY181)),ROUND(INDEX('1-DATA'!$1:$1048576,IF(OR($B183="STD. DEVIATION",$C$1=1),$A183,$A183+1),COLUMN('1-DATA'!AY181)),IF($B183="STD. DEVIATION",2,$F$1))))</f>
        <v/>
      </c>
    </row>
    <row r="184" spans="1:52" x14ac:dyDescent="0.25">
      <c r="A184" s="11">
        <f t="shared" si="3"/>
        <v>538</v>
      </c>
      <c r="B184" s="1" t="str">
        <f>IF(B183="STD. DEVIATION",INDEX('1-DATA'!$1:$1048576,$A183-1,1),IF(INDEX('1-DATA'!$1:$1048576,$A184,1)&lt;&gt;"",INDEX('1-DATA'!$1:$1048576,$A184,1),""))</f>
        <v/>
      </c>
      <c r="C184" s="1" t="str">
        <f>IF(OR($B184="",C$7=""),"",IF($B184="MEANS",INDEX('1-DATA'!$1:$1048576,$A183-1,COLUMN('1-DATA'!B182)),ROUND(INDEX('1-DATA'!$1:$1048576,IF(OR($B184="STD. DEVIATION",$C$1=1),$A184,$A184+1),COLUMN('1-DATA'!B182)),IF($B184="STD. DEVIATION",2,$F$1))))</f>
        <v/>
      </c>
      <c r="D184" s="1" t="str">
        <f>IF(OR($B184="",D$7=""),"",IF($B184="MEANS",INDEX('1-DATA'!$1:$1048576,$A183-1,COLUMN('1-DATA'!C182)),ROUND(INDEX('1-DATA'!$1:$1048576,IF(OR($B184="STD. DEVIATION",$C$1=1),$A184,$A184+1),COLUMN('1-DATA'!C182)),IF($B184="STD. DEVIATION",2,$F$1))))</f>
        <v/>
      </c>
      <c r="E184" s="1" t="str">
        <f>IF(OR($B184="",E$7=""),"",IF($B184="MEANS",INDEX('1-DATA'!$1:$1048576,$A183-1,COLUMN('1-DATA'!D182)),ROUND(INDEX('1-DATA'!$1:$1048576,IF(OR($B184="STD. DEVIATION",$C$1=1),$A184,$A184+1),COLUMN('1-DATA'!D182)),IF($B184="STD. DEVIATION",2,$F$1))))</f>
        <v/>
      </c>
      <c r="F184" s="1" t="str">
        <f>IF(OR($B184="",F$7=""),"",IF($B184="MEANS",INDEX('1-DATA'!$1:$1048576,$A183-1,COLUMN('1-DATA'!E182)),ROUND(INDEX('1-DATA'!$1:$1048576,IF(OR($B184="STD. DEVIATION",$C$1=1),$A184,$A184+1),COLUMN('1-DATA'!E182)),IF($B184="STD. DEVIATION",2,$F$1))))</f>
        <v/>
      </c>
      <c r="G184" s="1" t="str">
        <f>IF(OR($B184="",G$7=""),"",IF($B184="MEANS",INDEX('1-DATA'!$1:$1048576,$A183-1,COLUMN('1-DATA'!F182)),ROUND(INDEX('1-DATA'!$1:$1048576,IF(OR($B184="STD. DEVIATION",$C$1=1),$A184,$A184+1),COLUMN('1-DATA'!F182)),IF($B184="STD. DEVIATION",2,$F$1))))</f>
        <v/>
      </c>
      <c r="H184" s="1" t="str">
        <f>IF(OR($B184="",H$7=""),"",IF($B184="MEANS",INDEX('1-DATA'!$1:$1048576,$A183-1,COLUMN('1-DATA'!G182)),ROUND(INDEX('1-DATA'!$1:$1048576,IF(OR($B184="STD. DEVIATION",$C$1=1),$A184,$A184+1),COLUMN('1-DATA'!G182)),IF($B184="STD. DEVIATION",2,$F$1))))</f>
        <v/>
      </c>
      <c r="I184" s="1" t="str">
        <f>IF(OR($B184="",I$7=""),"",IF($B184="MEANS",INDEX('1-DATA'!$1:$1048576,$A183-1,COLUMN('1-DATA'!H182)),ROUND(INDEX('1-DATA'!$1:$1048576,IF(OR($B184="STD. DEVIATION",$C$1=1),$A184,$A184+1),COLUMN('1-DATA'!H182)),IF($B184="STD. DEVIATION",2,$F$1))))</f>
        <v/>
      </c>
      <c r="J184" s="1" t="str">
        <f>IF(OR($B184="",J$7=""),"",IF($B184="MEANS",INDEX('1-DATA'!$1:$1048576,$A183-1,COLUMN('1-DATA'!I182)),ROUND(INDEX('1-DATA'!$1:$1048576,IF(OR($B184="STD. DEVIATION",$C$1=1),$A184,$A184+1),COLUMN('1-DATA'!I182)),IF($B184="STD. DEVIATION",2,$F$1))))</f>
        <v/>
      </c>
      <c r="K184" s="1" t="str">
        <f>IF(OR($B184="",K$7=""),"",IF($B184="MEANS",INDEX('1-DATA'!$1:$1048576,$A183-1,COLUMN('1-DATA'!J182)),ROUND(INDEX('1-DATA'!$1:$1048576,IF(OR($B184="STD. DEVIATION",$C$1=1),$A184,$A184+1),COLUMN('1-DATA'!J182)),IF($B184="STD. DEVIATION",2,$F$1))))</f>
        <v/>
      </c>
      <c r="L184" s="1" t="str">
        <f>IF(OR($B184="",L$7=""),"",IF($B184="MEANS",INDEX('1-DATA'!$1:$1048576,$A183-1,COLUMN('1-DATA'!K182)),ROUND(INDEX('1-DATA'!$1:$1048576,IF(OR($B184="STD. DEVIATION",$C$1=1),$A184,$A184+1),COLUMN('1-DATA'!K182)),IF($B184="STD. DEVIATION",2,$F$1))))</f>
        <v/>
      </c>
      <c r="M184" s="1" t="str">
        <f>IF(OR($B184="",M$7=""),"",IF($B184="MEANS",INDEX('1-DATA'!$1:$1048576,$A183-1,COLUMN('1-DATA'!L182)),ROUND(INDEX('1-DATA'!$1:$1048576,IF(OR($B184="STD. DEVIATION",$C$1=1),$A184,$A184+1),COLUMN('1-DATA'!L182)),IF($B184="STD. DEVIATION",2,$F$1))))</f>
        <v/>
      </c>
      <c r="N184" s="1" t="str">
        <f>IF(OR($B184="",N$7=""),"",IF($B184="MEANS",INDEX('1-DATA'!$1:$1048576,$A183-1,COLUMN('1-DATA'!M182)),ROUND(INDEX('1-DATA'!$1:$1048576,IF(OR($B184="STD. DEVIATION",$C$1=1),$A184,$A184+1),COLUMN('1-DATA'!M182)),IF($B184="STD. DEVIATION",2,$F$1))))</f>
        <v/>
      </c>
      <c r="O184" s="1" t="str">
        <f>IF(OR($B184="",O$7=""),"",IF($B184="MEANS",INDEX('1-DATA'!$1:$1048576,$A183-1,COLUMN('1-DATA'!N182)),ROUND(INDEX('1-DATA'!$1:$1048576,IF(OR($B184="STD. DEVIATION",$C$1=1),$A184,$A184+1),COLUMN('1-DATA'!N182)),IF($B184="STD. DEVIATION",2,$F$1))))</f>
        <v/>
      </c>
      <c r="P184" s="1" t="str">
        <f>IF(OR($B184="",P$7=""),"",IF($B184="MEANS",INDEX('1-DATA'!$1:$1048576,$A183-1,COLUMN('1-DATA'!O182)),ROUND(INDEX('1-DATA'!$1:$1048576,IF(OR($B184="STD. DEVIATION",$C$1=1),$A184,$A184+1),COLUMN('1-DATA'!O182)),IF($B184="STD. DEVIATION",2,$F$1))))</f>
        <v/>
      </c>
      <c r="Q184" s="1" t="str">
        <f>IF(OR($B184="",Q$7=""),"",IF($B184="MEANS",INDEX('1-DATA'!$1:$1048576,$A183-1,COLUMN('1-DATA'!P182)),ROUND(INDEX('1-DATA'!$1:$1048576,IF(OR($B184="STD. DEVIATION",$C$1=1),$A184,$A184+1),COLUMN('1-DATA'!P182)),IF($B184="STD. DEVIATION",2,$F$1))))</f>
        <v/>
      </c>
      <c r="R184" s="1" t="str">
        <f>IF(OR($B184="",R$7=""),"",IF($B184="MEANS",INDEX('1-DATA'!$1:$1048576,$A183-1,COLUMN('1-DATA'!Q182)),ROUND(INDEX('1-DATA'!$1:$1048576,IF(OR($B184="STD. DEVIATION",$C$1=1),$A184,$A184+1),COLUMN('1-DATA'!Q182)),IF($B184="STD. DEVIATION",2,$F$1))))</f>
        <v/>
      </c>
      <c r="S184" s="1" t="str">
        <f>IF(OR($B184="",S$7=""),"",IF($B184="MEANS",INDEX('1-DATA'!$1:$1048576,$A183-1,COLUMN('1-DATA'!R182)),ROUND(INDEX('1-DATA'!$1:$1048576,IF(OR($B184="STD. DEVIATION",$C$1=1),$A184,$A184+1),COLUMN('1-DATA'!R182)),IF($B184="STD. DEVIATION",2,$F$1))))</f>
        <v/>
      </c>
      <c r="T184" s="1" t="str">
        <f>IF(OR($B184="",T$7=""),"",IF($B184="MEANS",INDEX('1-DATA'!$1:$1048576,$A183-1,COLUMN('1-DATA'!S182)),ROUND(INDEX('1-DATA'!$1:$1048576,IF(OR($B184="STD. DEVIATION",$C$1=1),$A184,$A184+1),COLUMN('1-DATA'!S182)),IF($B184="STD. DEVIATION",2,$F$1))))</f>
        <v/>
      </c>
      <c r="U184" s="1" t="str">
        <f>IF(OR($B184="",U$7=""),"",IF($B184="MEANS",INDEX('1-DATA'!$1:$1048576,$A183-1,COLUMN('1-DATA'!T182)),ROUND(INDEX('1-DATA'!$1:$1048576,IF(OR($B184="STD. DEVIATION",$C$1=1),$A184,$A184+1),COLUMN('1-DATA'!T182)),IF($B184="STD. DEVIATION",2,$F$1))))</f>
        <v/>
      </c>
      <c r="V184" s="1" t="str">
        <f>IF(OR($B184="",V$7=""),"",IF($B184="MEANS",INDEX('1-DATA'!$1:$1048576,$A183-1,COLUMN('1-DATA'!U182)),ROUND(INDEX('1-DATA'!$1:$1048576,IF(OR($B184="STD. DEVIATION",$C$1=1),$A184,$A184+1),COLUMN('1-DATA'!U182)),IF($B184="STD. DEVIATION",2,$F$1))))</f>
        <v/>
      </c>
      <c r="W184" s="1" t="str">
        <f>IF(OR($B184="",W$7=""),"",IF($B184="MEANS",INDEX('1-DATA'!$1:$1048576,$A183-1,COLUMN('1-DATA'!V182)),ROUND(INDEX('1-DATA'!$1:$1048576,IF(OR($B184="STD. DEVIATION",$C$1=1),$A184,$A184+1),COLUMN('1-DATA'!V182)),IF($B184="STD. DEVIATION",2,$F$1))))</f>
        <v/>
      </c>
      <c r="X184" s="1" t="str">
        <f>IF(OR($B184="",X$7=""),"",IF($B184="MEANS",INDEX('1-DATA'!$1:$1048576,$A183-1,COLUMN('1-DATA'!W182)),ROUND(INDEX('1-DATA'!$1:$1048576,IF(OR($B184="STD. DEVIATION",$C$1=1),$A184,$A184+1),COLUMN('1-DATA'!W182)),IF($B184="STD. DEVIATION",2,$F$1))))</f>
        <v/>
      </c>
      <c r="Y184" s="1" t="str">
        <f>IF(OR($B184="",Y$7=""),"",IF($B184="MEANS",INDEX('1-DATA'!$1:$1048576,$A183-1,COLUMN('1-DATA'!X182)),ROUND(INDEX('1-DATA'!$1:$1048576,IF(OR($B184="STD. DEVIATION",$C$1=1),$A184,$A184+1),COLUMN('1-DATA'!X182)),IF($B184="STD. DEVIATION",2,$F$1))))</f>
        <v/>
      </c>
      <c r="Z184" s="1" t="str">
        <f>IF(OR($B184="",Z$7=""),"",IF($B184="MEANS",INDEX('1-DATA'!$1:$1048576,$A183-1,COLUMN('1-DATA'!Y182)),ROUND(INDEX('1-DATA'!$1:$1048576,IF(OR($B184="STD. DEVIATION",$C$1=1),$A184,$A184+1),COLUMN('1-DATA'!Y182)),IF($B184="STD. DEVIATION",2,$F$1))))</f>
        <v/>
      </c>
      <c r="AA184" s="1" t="str">
        <f>IF(OR($B184="",AA$7=""),"",IF($B184="MEANS",INDEX('1-DATA'!$1:$1048576,$A183-1,COLUMN('1-DATA'!Z182)),ROUND(INDEX('1-DATA'!$1:$1048576,IF(OR($B184="STD. DEVIATION",$C$1=1),$A184,$A184+1),COLUMN('1-DATA'!Z182)),IF($B184="STD. DEVIATION",2,$F$1))))</f>
        <v/>
      </c>
      <c r="AB184" s="1" t="str">
        <f>IF(OR($B184="",AB$7=""),"",IF($B184="MEANS",INDEX('1-DATA'!$1:$1048576,$A183-1,COLUMN('1-DATA'!AA182)),ROUND(INDEX('1-DATA'!$1:$1048576,IF(OR($B184="STD. DEVIATION",$C$1=1),$A184,$A184+1),COLUMN('1-DATA'!AA182)),IF($B184="STD. DEVIATION",2,$F$1))))</f>
        <v/>
      </c>
      <c r="AC184" s="1" t="str">
        <f>IF(OR($B184="",AC$7=""),"",IF($B184="MEANS",INDEX('1-DATA'!$1:$1048576,$A183-1,COLUMN('1-DATA'!AB182)),ROUND(INDEX('1-DATA'!$1:$1048576,IF(OR($B184="STD. DEVIATION",$C$1=1),$A184,$A184+1),COLUMN('1-DATA'!AB182)),IF($B184="STD. DEVIATION",2,$F$1))))</f>
        <v/>
      </c>
      <c r="AD184" s="1" t="str">
        <f>IF(OR($B184="",AD$7=""),"",IF($B184="MEANS",INDEX('1-DATA'!$1:$1048576,$A183-1,COLUMN('1-DATA'!AC182)),ROUND(INDEX('1-DATA'!$1:$1048576,IF(OR($B184="STD. DEVIATION",$C$1=1),$A184,$A184+1),COLUMN('1-DATA'!AC182)),IF($B184="STD. DEVIATION",2,$F$1))))</f>
        <v/>
      </c>
      <c r="AE184" s="1" t="str">
        <f>IF(OR($B184="",AE$7=""),"",IF($B184="MEANS",INDEX('1-DATA'!$1:$1048576,$A183-1,COLUMN('1-DATA'!AD182)),ROUND(INDEX('1-DATA'!$1:$1048576,IF(OR($B184="STD. DEVIATION",$C$1=1),$A184,$A184+1),COLUMN('1-DATA'!AD182)),IF($B184="STD. DEVIATION",2,$F$1))))</f>
        <v/>
      </c>
      <c r="AF184" s="1" t="str">
        <f>IF(OR($B184="",AF$7=""),"",IF($B184="MEANS",INDEX('1-DATA'!$1:$1048576,$A183-1,COLUMN('1-DATA'!AE182)),ROUND(INDEX('1-DATA'!$1:$1048576,IF(OR($B184="STD. DEVIATION",$C$1=1),$A184,$A184+1),COLUMN('1-DATA'!AE182)),IF($B184="STD. DEVIATION",2,$F$1))))</f>
        <v/>
      </c>
      <c r="AG184" s="1" t="str">
        <f>IF(OR($B184="",AG$7=""),"",IF($B184="MEANS",INDEX('1-DATA'!$1:$1048576,$A183-1,COLUMN('1-DATA'!AF182)),ROUND(INDEX('1-DATA'!$1:$1048576,IF(OR($B184="STD. DEVIATION",$C$1=1),$A184,$A184+1),COLUMN('1-DATA'!AF182)),IF($B184="STD. DEVIATION",2,$F$1))))</f>
        <v/>
      </c>
      <c r="AH184" s="1" t="str">
        <f>IF(OR($B184="",AH$7=""),"",IF($B184="MEANS",INDEX('1-DATA'!$1:$1048576,$A183-1,COLUMN('1-DATA'!AG182)),ROUND(INDEX('1-DATA'!$1:$1048576,IF(OR($B184="STD. DEVIATION",$C$1=1),$A184,$A184+1),COLUMN('1-DATA'!AG182)),IF($B184="STD. DEVIATION",2,$F$1))))</f>
        <v/>
      </c>
      <c r="AI184" s="1" t="str">
        <f>IF(OR($B184="",AI$7=""),"",IF($B184="MEANS",INDEX('1-DATA'!$1:$1048576,$A183-1,COLUMN('1-DATA'!AH182)),ROUND(INDEX('1-DATA'!$1:$1048576,IF(OR($B184="STD. DEVIATION",$C$1=1),$A184,$A184+1),COLUMN('1-DATA'!AH182)),IF($B184="STD. DEVIATION",2,$F$1))))</f>
        <v/>
      </c>
      <c r="AJ184" s="1" t="str">
        <f>IF(OR($B184="",AJ$7=""),"",IF($B184="MEANS",INDEX('1-DATA'!$1:$1048576,$A183-1,COLUMN('1-DATA'!AI182)),ROUND(INDEX('1-DATA'!$1:$1048576,IF(OR($B184="STD. DEVIATION",$C$1=1),$A184,$A184+1),COLUMN('1-DATA'!AI182)),IF($B184="STD. DEVIATION",2,$F$1))))</f>
        <v/>
      </c>
      <c r="AK184" s="1" t="str">
        <f>IF(OR($B184="",AK$7=""),"",IF($B184="MEANS",INDEX('1-DATA'!$1:$1048576,$A183-1,COLUMN('1-DATA'!AJ182)),ROUND(INDEX('1-DATA'!$1:$1048576,IF(OR($B184="STD. DEVIATION",$C$1=1),$A184,$A184+1),COLUMN('1-DATA'!AJ182)),IF($B184="STD. DEVIATION",2,$F$1))))</f>
        <v/>
      </c>
      <c r="AL184" s="1" t="str">
        <f>IF(OR($B184="",AL$7=""),"",IF($B184="MEANS",INDEX('1-DATA'!$1:$1048576,$A183-1,COLUMN('1-DATA'!AK182)),ROUND(INDEX('1-DATA'!$1:$1048576,IF(OR($B184="STD. DEVIATION",$C$1=1),$A184,$A184+1),COLUMN('1-DATA'!AK182)),IF($B184="STD. DEVIATION",2,$F$1))))</f>
        <v/>
      </c>
      <c r="AM184" s="1" t="str">
        <f>IF(OR($B184="",AM$7=""),"",IF($B184="MEANS",INDEX('1-DATA'!$1:$1048576,$A183-1,COLUMN('1-DATA'!AL182)),ROUND(INDEX('1-DATA'!$1:$1048576,IF(OR($B184="STD. DEVIATION",$C$1=1),$A184,$A184+1),COLUMN('1-DATA'!AL182)),IF($B184="STD. DEVIATION",2,$F$1))))</f>
        <v/>
      </c>
      <c r="AN184" s="1" t="str">
        <f>IF(OR($B184="",AN$7=""),"",IF($B184="MEANS",INDEX('1-DATA'!$1:$1048576,$A183-1,COLUMN('1-DATA'!AM182)),ROUND(INDEX('1-DATA'!$1:$1048576,IF(OR($B184="STD. DEVIATION",$C$1=1),$A184,$A184+1),COLUMN('1-DATA'!AM182)),IF($B184="STD. DEVIATION",2,$F$1))))</f>
        <v/>
      </c>
      <c r="AO184" s="1" t="str">
        <f>IF(OR($B184="",AO$7=""),"",IF($B184="MEANS",INDEX('1-DATA'!$1:$1048576,$A183-1,COLUMN('1-DATA'!AN182)),ROUND(INDEX('1-DATA'!$1:$1048576,IF(OR($B184="STD. DEVIATION",$C$1=1),$A184,$A184+1),COLUMN('1-DATA'!AN182)),IF($B184="STD. DEVIATION",2,$F$1))))</f>
        <v/>
      </c>
      <c r="AP184" s="1" t="str">
        <f>IF(OR($B184="",AP$7=""),"",IF($B184="MEANS",INDEX('1-DATA'!$1:$1048576,$A183-1,COLUMN('1-DATA'!AO182)),ROUND(INDEX('1-DATA'!$1:$1048576,IF(OR($B184="STD. DEVIATION",$C$1=1),$A184,$A184+1),COLUMN('1-DATA'!AO182)),IF($B184="STD. DEVIATION",2,$F$1))))</f>
        <v/>
      </c>
      <c r="AQ184" s="1" t="str">
        <f>IF(OR($B184="",AQ$7=""),"",IF($B184="MEANS",INDEX('1-DATA'!$1:$1048576,$A183-1,COLUMN('1-DATA'!AP182)),ROUND(INDEX('1-DATA'!$1:$1048576,IF(OR($B184="STD. DEVIATION",$C$1=1),$A184,$A184+1),COLUMN('1-DATA'!AP182)),IF($B184="STD. DEVIATION",2,$F$1))))</f>
        <v/>
      </c>
      <c r="AR184" s="1" t="str">
        <f>IF(OR($B184="",AR$7=""),"",IF($B184="MEANS",INDEX('1-DATA'!$1:$1048576,$A183-1,COLUMN('1-DATA'!AQ182)),ROUND(INDEX('1-DATA'!$1:$1048576,IF(OR($B184="STD. DEVIATION",$C$1=1),$A184,$A184+1),COLUMN('1-DATA'!AQ182)),IF($B184="STD. DEVIATION",2,$F$1))))</f>
        <v/>
      </c>
      <c r="AS184" s="1" t="str">
        <f>IF(OR($B184="",AS$7=""),"",IF($B184="MEANS",INDEX('1-DATA'!$1:$1048576,$A183-1,COLUMN('1-DATA'!AR182)),ROUND(INDEX('1-DATA'!$1:$1048576,IF(OR($B184="STD. DEVIATION",$C$1=1),$A184,$A184+1),COLUMN('1-DATA'!AR182)),IF($B184="STD. DEVIATION",2,$F$1))))</f>
        <v/>
      </c>
      <c r="AT184" s="1" t="str">
        <f>IF(OR($B184="",AT$7=""),"",IF($B184="MEANS",INDEX('1-DATA'!$1:$1048576,$A183-1,COLUMN('1-DATA'!AS182)),ROUND(INDEX('1-DATA'!$1:$1048576,IF(OR($B184="STD. DEVIATION",$C$1=1),$A184,$A184+1),COLUMN('1-DATA'!AS182)),IF($B184="STD. DEVIATION",2,$F$1))))</f>
        <v/>
      </c>
      <c r="AU184" s="1" t="str">
        <f>IF(OR($B184="",AU$7=""),"",IF($B184="MEANS",INDEX('1-DATA'!$1:$1048576,$A183-1,COLUMN('1-DATA'!AT182)),ROUND(INDEX('1-DATA'!$1:$1048576,IF(OR($B184="STD. DEVIATION",$C$1=1),$A184,$A184+1),COLUMN('1-DATA'!AT182)),IF($B184="STD. DEVIATION",2,$F$1))))</f>
        <v/>
      </c>
      <c r="AV184" s="1" t="str">
        <f>IF(OR($B184="",AV$7=""),"",IF($B184="MEANS",INDEX('1-DATA'!$1:$1048576,$A183-1,COLUMN('1-DATA'!AU182)),ROUND(INDEX('1-DATA'!$1:$1048576,IF(OR($B184="STD. DEVIATION",$C$1=1),$A184,$A184+1),COLUMN('1-DATA'!AU182)),IF($B184="STD. DEVIATION",2,$F$1))))</f>
        <v/>
      </c>
      <c r="AW184" s="1" t="str">
        <f>IF(OR($B184="",AW$7=""),"",IF($B184="MEANS",INDEX('1-DATA'!$1:$1048576,$A183-1,COLUMN('1-DATA'!AV182)),ROUND(INDEX('1-DATA'!$1:$1048576,IF(OR($B184="STD. DEVIATION",$C$1=1),$A184,$A184+1),COLUMN('1-DATA'!AV182)),IF($B184="STD. DEVIATION",2,$F$1))))</f>
        <v/>
      </c>
      <c r="AX184" s="1" t="str">
        <f>IF(OR($B184="",AX$7=""),"",IF($B184="MEANS",INDEX('1-DATA'!$1:$1048576,$A183-1,COLUMN('1-DATA'!AW182)),ROUND(INDEX('1-DATA'!$1:$1048576,IF(OR($B184="STD. DEVIATION",$C$1=1),$A184,$A184+1),COLUMN('1-DATA'!AW182)),IF($B184="STD. DEVIATION",2,$F$1))))</f>
        <v/>
      </c>
      <c r="AY184" s="1" t="str">
        <f>IF(OR($B184="",AY$7=""),"",IF($B184="MEANS",INDEX('1-DATA'!$1:$1048576,$A183-1,COLUMN('1-DATA'!AX182)),ROUND(INDEX('1-DATA'!$1:$1048576,IF(OR($B184="STD. DEVIATION",$C$1=1),$A184,$A184+1),COLUMN('1-DATA'!AX182)),IF($B184="STD. DEVIATION",2,$F$1))))</f>
        <v/>
      </c>
      <c r="AZ184" s="1" t="str">
        <f>IF(OR($B184="",AZ$7=""),"",IF($B184="MEANS",INDEX('1-DATA'!$1:$1048576,$A183-1,COLUMN('1-DATA'!AY182)),ROUND(INDEX('1-DATA'!$1:$1048576,IF(OR($B184="STD. DEVIATION",$C$1=1),$A184,$A184+1),COLUMN('1-DATA'!AY182)),IF($B184="STD. DEVIATION",2,$F$1))))</f>
        <v/>
      </c>
    </row>
    <row r="185" spans="1:52" x14ac:dyDescent="0.25">
      <c r="A185" s="11">
        <f t="shared" si="3"/>
        <v>541</v>
      </c>
      <c r="B185" s="1" t="str">
        <f>IF(B184="STD. DEVIATION",INDEX('1-DATA'!$1:$1048576,$A184-1,1),IF(INDEX('1-DATA'!$1:$1048576,$A185,1)&lt;&gt;"",INDEX('1-DATA'!$1:$1048576,$A185,1),""))</f>
        <v/>
      </c>
      <c r="C185" s="1" t="str">
        <f>IF(OR($B185="",C$7=""),"",IF($B185="MEANS",INDEX('1-DATA'!$1:$1048576,$A184-1,COLUMN('1-DATA'!B183)),ROUND(INDEX('1-DATA'!$1:$1048576,IF(OR($B185="STD. DEVIATION",$C$1=1),$A185,$A185+1),COLUMN('1-DATA'!B183)),IF($B185="STD. DEVIATION",2,$F$1))))</f>
        <v/>
      </c>
      <c r="D185" s="1" t="str">
        <f>IF(OR($B185="",D$7=""),"",IF($B185="MEANS",INDEX('1-DATA'!$1:$1048576,$A184-1,COLUMN('1-DATA'!C183)),ROUND(INDEX('1-DATA'!$1:$1048576,IF(OR($B185="STD. DEVIATION",$C$1=1),$A185,$A185+1),COLUMN('1-DATA'!C183)),IF($B185="STD. DEVIATION",2,$F$1))))</f>
        <v/>
      </c>
      <c r="E185" s="1" t="str">
        <f>IF(OR($B185="",E$7=""),"",IF($B185="MEANS",INDEX('1-DATA'!$1:$1048576,$A184-1,COLUMN('1-DATA'!D183)),ROUND(INDEX('1-DATA'!$1:$1048576,IF(OR($B185="STD. DEVIATION",$C$1=1),$A185,$A185+1),COLUMN('1-DATA'!D183)),IF($B185="STD. DEVIATION",2,$F$1))))</f>
        <v/>
      </c>
      <c r="F185" s="1" t="str">
        <f>IF(OR($B185="",F$7=""),"",IF($B185="MEANS",INDEX('1-DATA'!$1:$1048576,$A184-1,COLUMN('1-DATA'!E183)),ROUND(INDEX('1-DATA'!$1:$1048576,IF(OR($B185="STD. DEVIATION",$C$1=1),$A185,$A185+1),COLUMN('1-DATA'!E183)),IF($B185="STD. DEVIATION",2,$F$1))))</f>
        <v/>
      </c>
      <c r="G185" s="1" t="str">
        <f>IF(OR($B185="",G$7=""),"",IF($B185="MEANS",INDEX('1-DATA'!$1:$1048576,$A184-1,COLUMN('1-DATA'!F183)),ROUND(INDEX('1-DATA'!$1:$1048576,IF(OR($B185="STD. DEVIATION",$C$1=1),$A185,$A185+1),COLUMN('1-DATA'!F183)),IF($B185="STD. DEVIATION",2,$F$1))))</f>
        <v/>
      </c>
      <c r="H185" s="1" t="str">
        <f>IF(OR($B185="",H$7=""),"",IF($B185="MEANS",INDEX('1-DATA'!$1:$1048576,$A184-1,COLUMN('1-DATA'!G183)),ROUND(INDEX('1-DATA'!$1:$1048576,IF(OR($B185="STD. DEVIATION",$C$1=1),$A185,$A185+1),COLUMN('1-DATA'!G183)),IF($B185="STD. DEVIATION",2,$F$1))))</f>
        <v/>
      </c>
      <c r="I185" s="1" t="str">
        <f>IF(OR($B185="",I$7=""),"",IF($B185="MEANS",INDEX('1-DATA'!$1:$1048576,$A184-1,COLUMN('1-DATA'!H183)),ROUND(INDEX('1-DATA'!$1:$1048576,IF(OR($B185="STD. DEVIATION",$C$1=1),$A185,$A185+1),COLUMN('1-DATA'!H183)),IF($B185="STD. DEVIATION",2,$F$1))))</f>
        <v/>
      </c>
      <c r="J185" s="1" t="str">
        <f>IF(OR($B185="",J$7=""),"",IF($B185="MEANS",INDEX('1-DATA'!$1:$1048576,$A184-1,COLUMN('1-DATA'!I183)),ROUND(INDEX('1-DATA'!$1:$1048576,IF(OR($B185="STD. DEVIATION",$C$1=1),$A185,$A185+1),COLUMN('1-DATA'!I183)),IF($B185="STD. DEVIATION",2,$F$1))))</f>
        <v/>
      </c>
      <c r="K185" s="1" t="str">
        <f>IF(OR($B185="",K$7=""),"",IF($B185="MEANS",INDEX('1-DATA'!$1:$1048576,$A184-1,COLUMN('1-DATA'!J183)),ROUND(INDEX('1-DATA'!$1:$1048576,IF(OR($B185="STD. DEVIATION",$C$1=1),$A185,$A185+1),COLUMN('1-DATA'!J183)),IF($B185="STD. DEVIATION",2,$F$1))))</f>
        <v/>
      </c>
      <c r="L185" s="1" t="str">
        <f>IF(OR($B185="",L$7=""),"",IF($B185="MEANS",INDEX('1-DATA'!$1:$1048576,$A184-1,COLUMN('1-DATA'!K183)),ROUND(INDEX('1-DATA'!$1:$1048576,IF(OR($B185="STD. DEVIATION",$C$1=1),$A185,$A185+1),COLUMN('1-DATA'!K183)),IF($B185="STD. DEVIATION",2,$F$1))))</f>
        <v/>
      </c>
      <c r="M185" s="1" t="str">
        <f>IF(OR($B185="",M$7=""),"",IF($B185="MEANS",INDEX('1-DATA'!$1:$1048576,$A184-1,COLUMN('1-DATA'!L183)),ROUND(INDEX('1-DATA'!$1:$1048576,IF(OR($B185="STD. DEVIATION",$C$1=1),$A185,$A185+1),COLUMN('1-DATA'!L183)),IF($B185="STD. DEVIATION",2,$F$1))))</f>
        <v/>
      </c>
      <c r="N185" s="1" t="str">
        <f>IF(OR($B185="",N$7=""),"",IF($B185="MEANS",INDEX('1-DATA'!$1:$1048576,$A184-1,COLUMN('1-DATA'!M183)),ROUND(INDEX('1-DATA'!$1:$1048576,IF(OR($B185="STD. DEVIATION",$C$1=1),$A185,$A185+1),COLUMN('1-DATA'!M183)),IF($B185="STD. DEVIATION",2,$F$1))))</f>
        <v/>
      </c>
      <c r="O185" s="1" t="str">
        <f>IF(OR($B185="",O$7=""),"",IF($B185="MEANS",INDEX('1-DATA'!$1:$1048576,$A184-1,COLUMN('1-DATA'!N183)),ROUND(INDEX('1-DATA'!$1:$1048576,IF(OR($B185="STD. DEVIATION",$C$1=1),$A185,$A185+1),COLUMN('1-DATA'!N183)),IF($B185="STD. DEVIATION",2,$F$1))))</f>
        <v/>
      </c>
      <c r="P185" s="1" t="str">
        <f>IF(OR($B185="",P$7=""),"",IF($B185="MEANS",INDEX('1-DATA'!$1:$1048576,$A184-1,COLUMN('1-DATA'!O183)),ROUND(INDEX('1-DATA'!$1:$1048576,IF(OR($B185="STD. DEVIATION",$C$1=1),$A185,$A185+1),COLUMN('1-DATA'!O183)),IF($B185="STD. DEVIATION",2,$F$1))))</f>
        <v/>
      </c>
      <c r="Q185" s="1" t="str">
        <f>IF(OR($B185="",Q$7=""),"",IF($B185="MEANS",INDEX('1-DATA'!$1:$1048576,$A184-1,COLUMN('1-DATA'!P183)),ROUND(INDEX('1-DATA'!$1:$1048576,IF(OR($B185="STD. DEVIATION",$C$1=1),$A185,$A185+1),COLUMN('1-DATA'!P183)),IF($B185="STD. DEVIATION",2,$F$1))))</f>
        <v/>
      </c>
      <c r="R185" s="1" t="str">
        <f>IF(OR($B185="",R$7=""),"",IF($B185="MEANS",INDEX('1-DATA'!$1:$1048576,$A184-1,COLUMN('1-DATA'!Q183)),ROUND(INDEX('1-DATA'!$1:$1048576,IF(OR($B185="STD. DEVIATION",$C$1=1),$A185,$A185+1),COLUMN('1-DATA'!Q183)),IF($B185="STD. DEVIATION",2,$F$1))))</f>
        <v/>
      </c>
      <c r="S185" s="1" t="str">
        <f>IF(OR($B185="",S$7=""),"",IF($B185="MEANS",INDEX('1-DATA'!$1:$1048576,$A184-1,COLUMN('1-DATA'!R183)),ROUND(INDEX('1-DATA'!$1:$1048576,IF(OR($B185="STD. DEVIATION",$C$1=1),$A185,$A185+1),COLUMN('1-DATA'!R183)),IF($B185="STD. DEVIATION",2,$F$1))))</f>
        <v/>
      </c>
      <c r="T185" s="1" t="str">
        <f>IF(OR($B185="",T$7=""),"",IF($B185="MEANS",INDEX('1-DATA'!$1:$1048576,$A184-1,COLUMN('1-DATA'!S183)),ROUND(INDEX('1-DATA'!$1:$1048576,IF(OR($B185="STD. DEVIATION",$C$1=1),$A185,$A185+1),COLUMN('1-DATA'!S183)),IF($B185="STD. DEVIATION",2,$F$1))))</f>
        <v/>
      </c>
      <c r="U185" s="1" t="str">
        <f>IF(OR($B185="",U$7=""),"",IF($B185="MEANS",INDEX('1-DATA'!$1:$1048576,$A184-1,COLUMN('1-DATA'!T183)),ROUND(INDEX('1-DATA'!$1:$1048576,IF(OR($B185="STD. DEVIATION",$C$1=1),$A185,$A185+1),COLUMN('1-DATA'!T183)),IF($B185="STD. DEVIATION",2,$F$1))))</f>
        <v/>
      </c>
      <c r="V185" s="1" t="str">
        <f>IF(OR($B185="",V$7=""),"",IF($B185="MEANS",INDEX('1-DATA'!$1:$1048576,$A184-1,COLUMN('1-DATA'!U183)),ROUND(INDEX('1-DATA'!$1:$1048576,IF(OR($B185="STD. DEVIATION",$C$1=1),$A185,$A185+1),COLUMN('1-DATA'!U183)),IF($B185="STD. DEVIATION",2,$F$1))))</f>
        <v/>
      </c>
      <c r="W185" s="1" t="str">
        <f>IF(OR($B185="",W$7=""),"",IF($B185="MEANS",INDEX('1-DATA'!$1:$1048576,$A184-1,COLUMN('1-DATA'!V183)),ROUND(INDEX('1-DATA'!$1:$1048576,IF(OR($B185="STD. DEVIATION",$C$1=1),$A185,$A185+1),COLUMN('1-DATA'!V183)),IF($B185="STD. DEVIATION",2,$F$1))))</f>
        <v/>
      </c>
      <c r="X185" s="1" t="str">
        <f>IF(OR($B185="",X$7=""),"",IF($B185="MEANS",INDEX('1-DATA'!$1:$1048576,$A184-1,COLUMN('1-DATA'!W183)),ROUND(INDEX('1-DATA'!$1:$1048576,IF(OR($B185="STD. DEVIATION",$C$1=1),$A185,$A185+1),COLUMN('1-DATA'!W183)),IF($B185="STD. DEVIATION",2,$F$1))))</f>
        <v/>
      </c>
      <c r="Y185" s="1" t="str">
        <f>IF(OR($B185="",Y$7=""),"",IF($B185="MEANS",INDEX('1-DATA'!$1:$1048576,$A184-1,COLUMN('1-DATA'!X183)),ROUND(INDEX('1-DATA'!$1:$1048576,IF(OR($B185="STD. DEVIATION",$C$1=1),$A185,$A185+1),COLUMN('1-DATA'!X183)),IF($B185="STD. DEVIATION",2,$F$1))))</f>
        <v/>
      </c>
      <c r="Z185" s="1" t="str">
        <f>IF(OR($B185="",Z$7=""),"",IF($B185="MEANS",INDEX('1-DATA'!$1:$1048576,$A184-1,COLUMN('1-DATA'!Y183)),ROUND(INDEX('1-DATA'!$1:$1048576,IF(OR($B185="STD. DEVIATION",$C$1=1),$A185,$A185+1),COLUMN('1-DATA'!Y183)),IF($B185="STD. DEVIATION",2,$F$1))))</f>
        <v/>
      </c>
      <c r="AA185" s="1" t="str">
        <f>IF(OR($B185="",AA$7=""),"",IF($B185="MEANS",INDEX('1-DATA'!$1:$1048576,$A184-1,COLUMN('1-DATA'!Z183)),ROUND(INDEX('1-DATA'!$1:$1048576,IF(OR($B185="STD. DEVIATION",$C$1=1),$A185,$A185+1),COLUMN('1-DATA'!Z183)),IF($B185="STD. DEVIATION",2,$F$1))))</f>
        <v/>
      </c>
      <c r="AB185" s="1" t="str">
        <f>IF(OR($B185="",AB$7=""),"",IF($B185="MEANS",INDEX('1-DATA'!$1:$1048576,$A184-1,COLUMN('1-DATA'!AA183)),ROUND(INDEX('1-DATA'!$1:$1048576,IF(OR($B185="STD. DEVIATION",$C$1=1),$A185,$A185+1),COLUMN('1-DATA'!AA183)),IF($B185="STD. DEVIATION",2,$F$1))))</f>
        <v/>
      </c>
      <c r="AC185" s="1" t="str">
        <f>IF(OR($B185="",AC$7=""),"",IF($B185="MEANS",INDEX('1-DATA'!$1:$1048576,$A184-1,COLUMN('1-DATA'!AB183)),ROUND(INDEX('1-DATA'!$1:$1048576,IF(OR($B185="STD. DEVIATION",$C$1=1),$A185,$A185+1),COLUMN('1-DATA'!AB183)),IF($B185="STD. DEVIATION",2,$F$1))))</f>
        <v/>
      </c>
      <c r="AD185" s="1" t="str">
        <f>IF(OR($B185="",AD$7=""),"",IF($B185="MEANS",INDEX('1-DATA'!$1:$1048576,$A184-1,COLUMN('1-DATA'!AC183)),ROUND(INDEX('1-DATA'!$1:$1048576,IF(OR($B185="STD. DEVIATION",$C$1=1),$A185,$A185+1),COLUMN('1-DATA'!AC183)),IF($B185="STD. DEVIATION",2,$F$1))))</f>
        <v/>
      </c>
      <c r="AE185" s="1" t="str">
        <f>IF(OR($B185="",AE$7=""),"",IF($B185="MEANS",INDEX('1-DATA'!$1:$1048576,$A184-1,COLUMN('1-DATA'!AD183)),ROUND(INDEX('1-DATA'!$1:$1048576,IF(OR($B185="STD. DEVIATION",$C$1=1),$A185,$A185+1),COLUMN('1-DATA'!AD183)),IF($B185="STD. DEVIATION",2,$F$1))))</f>
        <v/>
      </c>
      <c r="AF185" s="1" t="str">
        <f>IF(OR($B185="",AF$7=""),"",IF($B185="MEANS",INDEX('1-DATA'!$1:$1048576,$A184-1,COLUMN('1-DATA'!AE183)),ROUND(INDEX('1-DATA'!$1:$1048576,IF(OR($B185="STD. DEVIATION",$C$1=1),$A185,$A185+1),COLUMN('1-DATA'!AE183)),IF($B185="STD. DEVIATION",2,$F$1))))</f>
        <v/>
      </c>
      <c r="AG185" s="1" t="str">
        <f>IF(OR($B185="",AG$7=""),"",IF($B185="MEANS",INDEX('1-DATA'!$1:$1048576,$A184-1,COLUMN('1-DATA'!AF183)),ROUND(INDEX('1-DATA'!$1:$1048576,IF(OR($B185="STD. DEVIATION",$C$1=1),$A185,$A185+1),COLUMN('1-DATA'!AF183)),IF($B185="STD. DEVIATION",2,$F$1))))</f>
        <v/>
      </c>
      <c r="AH185" s="1" t="str">
        <f>IF(OR($B185="",AH$7=""),"",IF($B185="MEANS",INDEX('1-DATA'!$1:$1048576,$A184-1,COLUMN('1-DATA'!AG183)),ROUND(INDEX('1-DATA'!$1:$1048576,IF(OR($B185="STD. DEVIATION",$C$1=1),$A185,$A185+1),COLUMN('1-DATA'!AG183)),IF($B185="STD. DEVIATION",2,$F$1))))</f>
        <v/>
      </c>
      <c r="AI185" s="1" t="str">
        <f>IF(OR($B185="",AI$7=""),"",IF($B185="MEANS",INDEX('1-DATA'!$1:$1048576,$A184-1,COLUMN('1-DATA'!AH183)),ROUND(INDEX('1-DATA'!$1:$1048576,IF(OR($B185="STD. DEVIATION",$C$1=1),$A185,$A185+1),COLUMN('1-DATA'!AH183)),IF($B185="STD. DEVIATION",2,$F$1))))</f>
        <v/>
      </c>
      <c r="AJ185" s="1" t="str">
        <f>IF(OR($B185="",AJ$7=""),"",IF($B185="MEANS",INDEX('1-DATA'!$1:$1048576,$A184-1,COLUMN('1-DATA'!AI183)),ROUND(INDEX('1-DATA'!$1:$1048576,IF(OR($B185="STD. DEVIATION",$C$1=1),$A185,$A185+1),COLUMN('1-DATA'!AI183)),IF($B185="STD. DEVIATION",2,$F$1))))</f>
        <v/>
      </c>
      <c r="AK185" s="1" t="str">
        <f>IF(OR($B185="",AK$7=""),"",IF($B185="MEANS",INDEX('1-DATA'!$1:$1048576,$A184-1,COLUMN('1-DATA'!AJ183)),ROUND(INDEX('1-DATA'!$1:$1048576,IF(OR($B185="STD. DEVIATION",$C$1=1),$A185,$A185+1),COLUMN('1-DATA'!AJ183)),IF($B185="STD. DEVIATION",2,$F$1))))</f>
        <v/>
      </c>
      <c r="AL185" s="1" t="str">
        <f>IF(OR($B185="",AL$7=""),"",IF($B185="MEANS",INDEX('1-DATA'!$1:$1048576,$A184-1,COLUMN('1-DATA'!AK183)),ROUND(INDEX('1-DATA'!$1:$1048576,IF(OR($B185="STD. DEVIATION",$C$1=1),$A185,$A185+1),COLUMN('1-DATA'!AK183)),IF($B185="STD. DEVIATION",2,$F$1))))</f>
        <v/>
      </c>
      <c r="AM185" s="1" t="str">
        <f>IF(OR($B185="",AM$7=""),"",IF($B185="MEANS",INDEX('1-DATA'!$1:$1048576,$A184-1,COLUMN('1-DATA'!AL183)),ROUND(INDEX('1-DATA'!$1:$1048576,IF(OR($B185="STD. DEVIATION",$C$1=1),$A185,$A185+1),COLUMN('1-DATA'!AL183)),IF($B185="STD. DEVIATION",2,$F$1))))</f>
        <v/>
      </c>
      <c r="AN185" s="1" t="str">
        <f>IF(OR($B185="",AN$7=""),"",IF($B185="MEANS",INDEX('1-DATA'!$1:$1048576,$A184-1,COLUMN('1-DATA'!AM183)),ROUND(INDEX('1-DATA'!$1:$1048576,IF(OR($B185="STD. DEVIATION",$C$1=1),$A185,$A185+1),COLUMN('1-DATA'!AM183)),IF($B185="STD. DEVIATION",2,$F$1))))</f>
        <v/>
      </c>
      <c r="AO185" s="1" t="str">
        <f>IF(OR($B185="",AO$7=""),"",IF($B185="MEANS",INDEX('1-DATA'!$1:$1048576,$A184-1,COLUMN('1-DATA'!AN183)),ROUND(INDEX('1-DATA'!$1:$1048576,IF(OR($B185="STD. DEVIATION",$C$1=1),$A185,$A185+1),COLUMN('1-DATA'!AN183)),IF($B185="STD. DEVIATION",2,$F$1))))</f>
        <v/>
      </c>
      <c r="AP185" s="1" t="str">
        <f>IF(OR($B185="",AP$7=""),"",IF($B185="MEANS",INDEX('1-DATA'!$1:$1048576,$A184-1,COLUMN('1-DATA'!AO183)),ROUND(INDEX('1-DATA'!$1:$1048576,IF(OR($B185="STD. DEVIATION",$C$1=1),$A185,$A185+1),COLUMN('1-DATA'!AO183)),IF($B185="STD. DEVIATION",2,$F$1))))</f>
        <v/>
      </c>
      <c r="AQ185" s="1" t="str">
        <f>IF(OR($B185="",AQ$7=""),"",IF($B185="MEANS",INDEX('1-DATA'!$1:$1048576,$A184-1,COLUMN('1-DATA'!AP183)),ROUND(INDEX('1-DATA'!$1:$1048576,IF(OR($B185="STD. DEVIATION",$C$1=1),$A185,$A185+1),COLUMN('1-DATA'!AP183)),IF($B185="STD. DEVIATION",2,$F$1))))</f>
        <v/>
      </c>
      <c r="AR185" s="1" t="str">
        <f>IF(OR($B185="",AR$7=""),"",IF($B185="MEANS",INDEX('1-DATA'!$1:$1048576,$A184-1,COLUMN('1-DATA'!AQ183)),ROUND(INDEX('1-DATA'!$1:$1048576,IF(OR($B185="STD. DEVIATION",$C$1=1),$A185,$A185+1),COLUMN('1-DATA'!AQ183)),IF($B185="STD. DEVIATION",2,$F$1))))</f>
        <v/>
      </c>
      <c r="AS185" s="1" t="str">
        <f>IF(OR($B185="",AS$7=""),"",IF($B185="MEANS",INDEX('1-DATA'!$1:$1048576,$A184-1,COLUMN('1-DATA'!AR183)),ROUND(INDEX('1-DATA'!$1:$1048576,IF(OR($B185="STD. DEVIATION",$C$1=1),$A185,$A185+1),COLUMN('1-DATA'!AR183)),IF($B185="STD. DEVIATION",2,$F$1))))</f>
        <v/>
      </c>
      <c r="AT185" s="1" t="str">
        <f>IF(OR($B185="",AT$7=""),"",IF($B185="MEANS",INDEX('1-DATA'!$1:$1048576,$A184-1,COLUMN('1-DATA'!AS183)),ROUND(INDEX('1-DATA'!$1:$1048576,IF(OR($B185="STD. DEVIATION",$C$1=1),$A185,$A185+1),COLUMN('1-DATA'!AS183)),IF($B185="STD. DEVIATION",2,$F$1))))</f>
        <v/>
      </c>
      <c r="AU185" s="1" t="str">
        <f>IF(OR($B185="",AU$7=""),"",IF($B185="MEANS",INDEX('1-DATA'!$1:$1048576,$A184-1,COLUMN('1-DATA'!AT183)),ROUND(INDEX('1-DATA'!$1:$1048576,IF(OR($B185="STD. DEVIATION",$C$1=1),$A185,$A185+1),COLUMN('1-DATA'!AT183)),IF($B185="STD. DEVIATION",2,$F$1))))</f>
        <v/>
      </c>
      <c r="AV185" s="1" t="str">
        <f>IF(OR($B185="",AV$7=""),"",IF($B185="MEANS",INDEX('1-DATA'!$1:$1048576,$A184-1,COLUMN('1-DATA'!AU183)),ROUND(INDEX('1-DATA'!$1:$1048576,IF(OR($B185="STD. DEVIATION",$C$1=1),$A185,$A185+1),COLUMN('1-DATA'!AU183)),IF($B185="STD. DEVIATION",2,$F$1))))</f>
        <v/>
      </c>
      <c r="AW185" s="1" t="str">
        <f>IF(OR($B185="",AW$7=""),"",IF($B185="MEANS",INDEX('1-DATA'!$1:$1048576,$A184-1,COLUMN('1-DATA'!AV183)),ROUND(INDEX('1-DATA'!$1:$1048576,IF(OR($B185="STD. DEVIATION",$C$1=1),$A185,$A185+1),COLUMN('1-DATA'!AV183)),IF($B185="STD. DEVIATION",2,$F$1))))</f>
        <v/>
      </c>
      <c r="AX185" s="1" t="str">
        <f>IF(OR($B185="",AX$7=""),"",IF($B185="MEANS",INDEX('1-DATA'!$1:$1048576,$A184-1,COLUMN('1-DATA'!AW183)),ROUND(INDEX('1-DATA'!$1:$1048576,IF(OR($B185="STD. DEVIATION",$C$1=1),$A185,$A185+1),COLUMN('1-DATA'!AW183)),IF($B185="STD. DEVIATION",2,$F$1))))</f>
        <v/>
      </c>
      <c r="AY185" s="1" t="str">
        <f>IF(OR($B185="",AY$7=""),"",IF($B185="MEANS",INDEX('1-DATA'!$1:$1048576,$A184-1,COLUMN('1-DATA'!AX183)),ROUND(INDEX('1-DATA'!$1:$1048576,IF(OR($B185="STD. DEVIATION",$C$1=1),$A185,$A185+1),COLUMN('1-DATA'!AX183)),IF($B185="STD. DEVIATION",2,$F$1))))</f>
        <v/>
      </c>
      <c r="AZ185" s="1" t="str">
        <f>IF(OR($B185="",AZ$7=""),"",IF($B185="MEANS",INDEX('1-DATA'!$1:$1048576,$A184-1,COLUMN('1-DATA'!AY183)),ROUND(INDEX('1-DATA'!$1:$1048576,IF(OR($B185="STD. DEVIATION",$C$1=1),$A185,$A185+1),COLUMN('1-DATA'!AY183)),IF($B185="STD. DEVIATION",2,$F$1))))</f>
        <v/>
      </c>
    </row>
    <row r="186" spans="1:52" x14ac:dyDescent="0.25">
      <c r="A186" s="11">
        <f t="shared" si="3"/>
        <v>544</v>
      </c>
      <c r="B186" s="1" t="str">
        <f>IF(B185="STD. DEVIATION",INDEX('1-DATA'!$1:$1048576,$A185-1,1),IF(INDEX('1-DATA'!$1:$1048576,$A186,1)&lt;&gt;"",INDEX('1-DATA'!$1:$1048576,$A186,1),""))</f>
        <v/>
      </c>
      <c r="C186" s="1" t="str">
        <f>IF(OR($B186="",C$7=""),"",IF($B186="MEANS",INDEX('1-DATA'!$1:$1048576,$A185-1,COLUMN('1-DATA'!B184)),ROUND(INDEX('1-DATA'!$1:$1048576,IF(OR($B186="STD. DEVIATION",$C$1=1),$A186,$A186+1),COLUMN('1-DATA'!B184)),IF($B186="STD. DEVIATION",2,$F$1))))</f>
        <v/>
      </c>
      <c r="D186" s="1" t="str">
        <f>IF(OR($B186="",D$7=""),"",IF($B186="MEANS",INDEX('1-DATA'!$1:$1048576,$A185-1,COLUMN('1-DATA'!C184)),ROUND(INDEX('1-DATA'!$1:$1048576,IF(OR($B186="STD. DEVIATION",$C$1=1),$A186,$A186+1),COLUMN('1-DATA'!C184)),IF($B186="STD. DEVIATION",2,$F$1))))</f>
        <v/>
      </c>
      <c r="E186" s="1" t="str">
        <f>IF(OR($B186="",E$7=""),"",IF($B186="MEANS",INDEX('1-DATA'!$1:$1048576,$A185-1,COLUMN('1-DATA'!D184)),ROUND(INDEX('1-DATA'!$1:$1048576,IF(OR($B186="STD. DEVIATION",$C$1=1),$A186,$A186+1),COLUMN('1-DATA'!D184)),IF($B186="STD. DEVIATION",2,$F$1))))</f>
        <v/>
      </c>
      <c r="F186" s="1" t="str">
        <f>IF(OR($B186="",F$7=""),"",IF($B186="MEANS",INDEX('1-DATA'!$1:$1048576,$A185-1,COLUMN('1-DATA'!E184)),ROUND(INDEX('1-DATA'!$1:$1048576,IF(OR($B186="STD. DEVIATION",$C$1=1),$A186,$A186+1),COLUMN('1-DATA'!E184)),IF($B186="STD. DEVIATION",2,$F$1))))</f>
        <v/>
      </c>
      <c r="G186" s="1" t="str">
        <f>IF(OR($B186="",G$7=""),"",IF($B186="MEANS",INDEX('1-DATA'!$1:$1048576,$A185-1,COLUMN('1-DATA'!F184)),ROUND(INDEX('1-DATA'!$1:$1048576,IF(OR($B186="STD. DEVIATION",$C$1=1),$A186,$A186+1),COLUMN('1-DATA'!F184)),IF($B186="STD. DEVIATION",2,$F$1))))</f>
        <v/>
      </c>
      <c r="H186" s="1" t="str">
        <f>IF(OR($B186="",H$7=""),"",IF($B186="MEANS",INDEX('1-DATA'!$1:$1048576,$A185-1,COLUMN('1-DATA'!G184)),ROUND(INDEX('1-DATA'!$1:$1048576,IF(OR($B186="STD. DEVIATION",$C$1=1),$A186,$A186+1),COLUMN('1-DATA'!G184)),IF($B186="STD. DEVIATION",2,$F$1))))</f>
        <v/>
      </c>
      <c r="I186" s="1" t="str">
        <f>IF(OR($B186="",I$7=""),"",IF($B186="MEANS",INDEX('1-DATA'!$1:$1048576,$A185-1,COLUMN('1-DATA'!H184)),ROUND(INDEX('1-DATA'!$1:$1048576,IF(OR($B186="STD. DEVIATION",$C$1=1),$A186,$A186+1),COLUMN('1-DATA'!H184)),IF($B186="STD. DEVIATION",2,$F$1))))</f>
        <v/>
      </c>
      <c r="J186" s="1" t="str">
        <f>IF(OR($B186="",J$7=""),"",IF($B186="MEANS",INDEX('1-DATA'!$1:$1048576,$A185-1,COLUMN('1-DATA'!I184)),ROUND(INDEX('1-DATA'!$1:$1048576,IF(OR($B186="STD. DEVIATION",$C$1=1),$A186,$A186+1),COLUMN('1-DATA'!I184)),IF($B186="STD. DEVIATION",2,$F$1))))</f>
        <v/>
      </c>
      <c r="K186" s="1" t="str">
        <f>IF(OR($B186="",K$7=""),"",IF($B186="MEANS",INDEX('1-DATA'!$1:$1048576,$A185-1,COLUMN('1-DATA'!J184)),ROUND(INDEX('1-DATA'!$1:$1048576,IF(OR($B186="STD. DEVIATION",$C$1=1),$A186,$A186+1),COLUMN('1-DATA'!J184)),IF($B186="STD. DEVIATION",2,$F$1))))</f>
        <v/>
      </c>
      <c r="L186" s="1" t="str">
        <f>IF(OR($B186="",L$7=""),"",IF($B186="MEANS",INDEX('1-DATA'!$1:$1048576,$A185-1,COLUMN('1-DATA'!K184)),ROUND(INDEX('1-DATA'!$1:$1048576,IF(OR($B186="STD. DEVIATION",$C$1=1),$A186,$A186+1),COLUMN('1-DATA'!K184)),IF($B186="STD. DEVIATION",2,$F$1))))</f>
        <v/>
      </c>
      <c r="M186" s="1" t="str">
        <f>IF(OR($B186="",M$7=""),"",IF($B186="MEANS",INDEX('1-DATA'!$1:$1048576,$A185-1,COLUMN('1-DATA'!L184)),ROUND(INDEX('1-DATA'!$1:$1048576,IF(OR($B186="STD. DEVIATION",$C$1=1),$A186,$A186+1),COLUMN('1-DATA'!L184)),IF($B186="STD. DEVIATION",2,$F$1))))</f>
        <v/>
      </c>
      <c r="N186" s="1" t="str">
        <f>IF(OR($B186="",N$7=""),"",IF($B186="MEANS",INDEX('1-DATA'!$1:$1048576,$A185-1,COLUMN('1-DATA'!M184)),ROUND(INDEX('1-DATA'!$1:$1048576,IF(OR($B186="STD. DEVIATION",$C$1=1),$A186,$A186+1),COLUMN('1-DATA'!M184)),IF($B186="STD. DEVIATION",2,$F$1))))</f>
        <v/>
      </c>
      <c r="O186" s="1" t="str">
        <f>IF(OR($B186="",O$7=""),"",IF($B186="MEANS",INDEX('1-DATA'!$1:$1048576,$A185-1,COLUMN('1-DATA'!N184)),ROUND(INDEX('1-DATA'!$1:$1048576,IF(OR($B186="STD. DEVIATION",$C$1=1),$A186,$A186+1),COLUMN('1-DATA'!N184)),IF($B186="STD. DEVIATION",2,$F$1))))</f>
        <v/>
      </c>
      <c r="P186" s="1" t="str">
        <f>IF(OR($B186="",P$7=""),"",IF($B186="MEANS",INDEX('1-DATA'!$1:$1048576,$A185-1,COLUMN('1-DATA'!O184)),ROUND(INDEX('1-DATA'!$1:$1048576,IF(OR($B186="STD. DEVIATION",$C$1=1),$A186,$A186+1),COLUMN('1-DATA'!O184)),IF($B186="STD. DEVIATION",2,$F$1))))</f>
        <v/>
      </c>
      <c r="Q186" s="1" t="str">
        <f>IF(OR($B186="",Q$7=""),"",IF($B186="MEANS",INDEX('1-DATA'!$1:$1048576,$A185-1,COLUMN('1-DATA'!P184)),ROUND(INDEX('1-DATA'!$1:$1048576,IF(OR($B186="STD. DEVIATION",$C$1=1),$A186,$A186+1),COLUMN('1-DATA'!P184)),IF($B186="STD. DEVIATION",2,$F$1))))</f>
        <v/>
      </c>
      <c r="R186" s="1" t="str">
        <f>IF(OR($B186="",R$7=""),"",IF($B186="MEANS",INDEX('1-DATA'!$1:$1048576,$A185-1,COLUMN('1-DATA'!Q184)),ROUND(INDEX('1-DATA'!$1:$1048576,IF(OR($B186="STD. DEVIATION",$C$1=1),$A186,$A186+1),COLUMN('1-DATA'!Q184)),IF($B186="STD. DEVIATION",2,$F$1))))</f>
        <v/>
      </c>
      <c r="S186" s="1" t="str">
        <f>IF(OR($B186="",S$7=""),"",IF($B186="MEANS",INDEX('1-DATA'!$1:$1048576,$A185-1,COLUMN('1-DATA'!R184)),ROUND(INDEX('1-DATA'!$1:$1048576,IF(OR($B186="STD. DEVIATION",$C$1=1),$A186,$A186+1),COLUMN('1-DATA'!R184)),IF($B186="STD. DEVIATION",2,$F$1))))</f>
        <v/>
      </c>
      <c r="T186" s="1" t="str">
        <f>IF(OR($B186="",T$7=""),"",IF($B186="MEANS",INDEX('1-DATA'!$1:$1048576,$A185-1,COLUMN('1-DATA'!S184)),ROUND(INDEX('1-DATA'!$1:$1048576,IF(OR($B186="STD. DEVIATION",$C$1=1),$A186,$A186+1),COLUMN('1-DATA'!S184)),IF($B186="STD. DEVIATION",2,$F$1))))</f>
        <v/>
      </c>
      <c r="U186" s="1" t="str">
        <f>IF(OR($B186="",U$7=""),"",IF($B186="MEANS",INDEX('1-DATA'!$1:$1048576,$A185-1,COLUMN('1-DATA'!T184)),ROUND(INDEX('1-DATA'!$1:$1048576,IF(OR($B186="STD. DEVIATION",$C$1=1),$A186,$A186+1),COLUMN('1-DATA'!T184)),IF($B186="STD. DEVIATION",2,$F$1))))</f>
        <v/>
      </c>
      <c r="V186" s="1" t="str">
        <f>IF(OR($B186="",V$7=""),"",IF($B186="MEANS",INDEX('1-DATA'!$1:$1048576,$A185-1,COLUMN('1-DATA'!U184)),ROUND(INDEX('1-DATA'!$1:$1048576,IF(OR($B186="STD. DEVIATION",$C$1=1),$A186,$A186+1),COLUMN('1-DATA'!U184)),IF($B186="STD. DEVIATION",2,$F$1))))</f>
        <v/>
      </c>
      <c r="W186" s="1" t="str">
        <f>IF(OR($B186="",W$7=""),"",IF($B186="MEANS",INDEX('1-DATA'!$1:$1048576,$A185-1,COLUMN('1-DATA'!V184)),ROUND(INDEX('1-DATA'!$1:$1048576,IF(OR($B186="STD. DEVIATION",$C$1=1),$A186,$A186+1),COLUMN('1-DATA'!V184)),IF($B186="STD. DEVIATION",2,$F$1))))</f>
        <v/>
      </c>
      <c r="X186" s="1" t="str">
        <f>IF(OR($B186="",X$7=""),"",IF($B186="MEANS",INDEX('1-DATA'!$1:$1048576,$A185-1,COLUMN('1-DATA'!W184)),ROUND(INDEX('1-DATA'!$1:$1048576,IF(OR($B186="STD. DEVIATION",$C$1=1),$A186,$A186+1),COLUMN('1-DATA'!W184)),IF($B186="STD. DEVIATION",2,$F$1))))</f>
        <v/>
      </c>
      <c r="Y186" s="1" t="str">
        <f>IF(OR($B186="",Y$7=""),"",IF($B186="MEANS",INDEX('1-DATA'!$1:$1048576,$A185-1,COLUMN('1-DATA'!X184)),ROUND(INDEX('1-DATA'!$1:$1048576,IF(OR($B186="STD. DEVIATION",$C$1=1),$A186,$A186+1),COLUMN('1-DATA'!X184)),IF($B186="STD. DEVIATION",2,$F$1))))</f>
        <v/>
      </c>
      <c r="Z186" s="1" t="str">
        <f>IF(OR($B186="",Z$7=""),"",IF($B186="MEANS",INDEX('1-DATA'!$1:$1048576,$A185-1,COLUMN('1-DATA'!Y184)),ROUND(INDEX('1-DATA'!$1:$1048576,IF(OR($B186="STD. DEVIATION",$C$1=1),$A186,$A186+1),COLUMN('1-DATA'!Y184)),IF($B186="STD. DEVIATION",2,$F$1))))</f>
        <v/>
      </c>
      <c r="AA186" s="1" t="str">
        <f>IF(OR($B186="",AA$7=""),"",IF($B186="MEANS",INDEX('1-DATA'!$1:$1048576,$A185-1,COLUMN('1-DATA'!Z184)),ROUND(INDEX('1-DATA'!$1:$1048576,IF(OR($B186="STD. DEVIATION",$C$1=1),$A186,$A186+1),COLUMN('1-DATA'!Z184)),IF($B186="STD. DEVIATION",2,$F$1))))</f>
        <v/>
      </c>
      <c r="AB186" s="1" t="str">
        <f>IF(OR($B186="",AB$7=""),"",IF($B186="MEANS",INDEX('1-DATA'!$1:$1048576,$A185-1,COLUMN('1-DATA'!AA184)),ROUND(INDEX('1-DATA'!$1:$1048576,IF(OR($B186="STD. DEVIATION",$C$1=1),$A186,$A186+1),COLUMN('1-DATA'!AA184)),IF($B186="STD. DEVIATION",2,$F$1))))</f>
        <v/>
      </c>
      <c r="AC186" s="1" t="str">
        <f>IF(OR($B186="",AC$7=""),"",IF($B186="MEANS",INDEX('1-DATA'!$1:$1048576,$A185-1,COLUMN('1-DATA'!AB184)),ROUND(INDEX('1-DATA'!$1:$1048576,IF(OR($B186="STD. DEVIATION",$C$1=1),$A186,$A186+1),COLUMN('1-DATA'!AB184)),IF($B186="STD. DEVIATION",2,$F$1))))</f>
        <v/>
      </c>
      <c r="AD186" s="1" t="str">
        <f>IF(OR($B186="",AD$7=""),"",IF($B186="MEANS",INDEX('1-DATA'!$1:$1048576,$A185-1,COLUMN('1-DATA'!AC184)),ROUND(INDEX('1-DATA'!$1:$1048576,IF(OR($B186="STD. DEVIATION",$C$1=1),$A186,$A186+1),COLUMN('1-DATA'!AC184)),IF($B186="STD. DEVIATION",2,$F$1))))</f>
        <v/>
      </c>
      <c r="AE186" s="1" t="str">
        <f>IF(OR($B186="",AE$7=""),"",IF($B186="MEANS",INDEX('1-DATA'!$1:$1048576,$A185-1,COLUMN('1-DATA'!AD184)),ROUND(INDEX('1-DATA'!$1:$1048576,IF(OR($B186="STD. DEVIATION",$C$1=1),$A186,$A186+1),COLUMN('1-DATA'!AD184)),IF($B186="STD. DEVIATION",2,$F$1))))</f>
        <v/>
      </c>
      <c r="AF186" s="1" t="str">
        <f>IF(OR($B186="",AF$7=""),"",IF($B186="MEANS",INDEX('1-DATA'!$1:$1048576,$A185-1,COLUMN('1-DATA'!AE184)),ROUND(INDEX('1-DATA'!$1:$1048576,IF(OR($B186="STD. DEVIATION",$C$1=1),$A186,$A186+1),COLUMN('1-DATA'!AE184)),IF($B186="STD. DEVIATION",2,$F$1))))</f>
        <v/>
      </c>
      <c r="AG186" s="1" t="str">
        <f>IF(OR($B186="",AG$7=""),"",IF($B186="MEANS",INDEX('1-DATA'!$1:$1048576,$A185-1,COLUMN('1-DATA'!AF184)),ROUND(INDEX('1-DATA'!$1:$1048576,IF(OR($B186="STD. DEVIATION",$C$1=1),$A186,$A186+1),COLUMN('1-DATA'!AF184)),IF($B186="STD. DEVIATION",2,$F$1))))</f>
        <v/>
      </c>
      <c r="AH186" s="1" t="str">
        <f>IF(OR($B186="",AH$7=""),"",IF($B186="MEANS",INDEX('1-DATA'!$1:$1048576,$A185-1,COLUMN('1-DATA'!AG184)),ROUND(INDEX('1-DATA'!$1:$1048576,IF(OR($B186="STD. DEVIATION",$C$1=1),$A186,$A186+1),COLUMN('1-DATA'!AG184)),IF($B186="STD. DEVIATION",2,$F$1))))</f>
        <v/>
      </c>
      <c r="AI186" s="1" t="str">
        <f>IF(OR($B186="",AI$7=""),"",IF($B186="MEANS",INDEX('1-DATA'!$1:$1048576,$A185-1,COLUMN('1-DATA'!AH184)),ROUND(INDEX('1-DATA'!$1:$1048576,IF(OR($B186="STD. DEVIATION",$C$1=1),$A186,$A186+1),COLUMN('1-DATA'!AH184)),IF($B186="STD. DEVIATION",2,$F$1))))</f>
        <v/>
      </c>
      <c r="AJ186" s="1" t="str">
        <f>IF(OR($B186="",AJ$7=""),"",IF($B186="MEANS",INDEX('1-DATA'!$1:$1048576,$A185-1,COLUMN('1-DATA'!AI184)),ROUND(INDEX('1-DATA'!$1:$1048576,IF(OR($B186="STD. DEVIATION",$C$1=1),$A186,$A186+1),COLUMN('1-DATA'!AI184)),IF($B186="STD. DEVIATION",2,$F$1))))</f>
        <v/>
      </c>
      <c r="AK186" s="1" t="str">
        <f>IF(OR($B186="",AK$7=""),"",IF($B186="MEANS",INDEX('1-DATA'!$1:$1048576,$A185-1,COLUMN('1-DATA'!AJ184)),ROUND(INDEX('1-DATA'!$1:$1048576,IF(OR($B186="STD. DEVIATION",$C$1=1),$A186,$A186+1),COLUMN('1-DATA'!AJ184)),IF($B186="STD. DEVIATION",2,$F$1))))</f>
        <v/>
      </c>
      <c r="AL186" s="1" t="str">
        <f>IF(OR($B186="",AL$7=""),"",IF($B186="MEANS",INDEX('1-DATA'!$1:$1048576,$A185-1,COLUMN('1-DATA'!AK184)),ROUND(INDEX('1-DATA'!$1:$1048576,IF(OR($B186="STD. DEVIATION",$C$1=1),$A186,$A186+1),COLUMN('1-DATA'!AK184)),IF($B186="STD. DEVIATION",2,$F$1))))</f>
        <v/>
      </c>
      <c r="AM186" s="1" t="str">
        <f>IF(OR($B186="",AM$7=""),"",IF($B186="MEANS",INDEX('1-DATA'!$1:$1048576,$A185-1,COLUMN('1-DATA'!AL184)),ROUND(INDEX('1-DATA'!$1:$1048576,IF(OR($B186="STD. DEVIATION",$C$1=1),$A186,$A186+1),COLUMN('1-DATA'!AL184)),IF($B186="STD. DEVIATION",2,$F$1))))</f>
        <v/>
      </c>
      <c r="AN186" s="1" t="str">
        <f>IF(OR($B186="",AN$7=""),"",IF($B186="MEANS",INDEX('1-DATA'!$1:$1048576,$A185-1,COLUMN('1-DATA'!AM184)),ROUND(INDEX('1-DATA'!$1:$1048576,IF(OR($B186="STD. DEVIATION",$C$1=1),$A186,$A186+1),COLUMN('1-DATA'!AM184)),IF($B186="STD. DEVIATION",2,$F$1))))</f>
        <v/>
      </c>
      <c r="AO186" s="1" t="str">
        <f>IF(OR($B186="",AO$7=""),"",IF($B186="MEANS",INDEX('1-DATA'!$1:$1048576,$A185-1,COLUMN('1-DATA'!AN184)),ROUND(INDEX('1-DATA'!$1:$1048576,IF(OR($B186="STD. DEVIATION",$C$1=1),$A186,$A186+1),COLUMN('1-DATA'!AN184)),IF($B186="STD. DEVIATION",2,$F$1))))</f>
        <v/>
      </c>
      <c r="AP186" s="1" t="str">
        <f>IF(OR($B186="",AP$7=""),"",IF($B186="MEANS",INDEX('1-DATA'!$1:$1048576,$A185-1,COLUMN('1-DATA'!AO184)),ROUND(INDEX('1-DATA'!$1:$1048576,IF(OR($B186="STD. DEVIATION",$C$1=1),$A186,$A186+1),COLUMN('1-DATA'!AO184)),IF($B186="STD. DEVIATION",2,$F$1))))</f>
        <v/>
      </c>
      <c r="AQ186" s="1" t="str">
        <f>IF(OR($B186="",AQ$7=""),"",IF($B186="MEANS",INDEX('1-DATA'!$1:$1048576,$A185-1,COLUMN('1-DATA'!AP184)),ROUND(INDEX('1-DATA'!$1:$1048576,IF(OR($B186="STD. DEVIATION",$C$1=1),$A186,$A186+1),COLUMN('1-DATA'!AP184)),IF($B186="STD. DEVIATION",2,$F$1))))</f>
        <v/>
      </c>
      <c r="AR186" s="1" t="str">
        <f>IF(OR($B186="",AR$7=""),"",IF($B186="MEANS",INDEX('1-DATA'!$1:$1048576,$A185-1,COLUMN('1-DATA'!AQ184)),ROUND(INDEX('1-DATA'!$1:$1048576,IF(OR($B186="STD. DEVIATION",$C$1=1),$A186,$A186+1),COLUMN('1-DATA'!AQ184)),IF($B186="STD. DEVIATION",2,$F$1))))</f>
        <v/>
      </c>
      <c r="AS186" s="1" t="str">
        <f>IF(OR($B186="",AS$7=""),"",IF($B186="MEANS",INDEX('1-DATA'!$1:$1048576,$A185-1,COLUMN('1-DATA'!AR184)),ROUND(INDEX('1-DATA'!$1:$1048576,IF(OR($B186="STD. DEVIATION",$C$1=1),$A186,$A186+1),COLUMN('1-DATA'!AR184)),IF($B186="STD. DEVIATION",2,$F$1))))</f>
        <v/>
      </c>
      <c r="AT186" s="1" t="str">
        <f>IF(OR($B186="",AT$7=""),"",IF($B186="MEANS",INDEX('1-DATA'!$1:$1048576,$A185-1,COLUMN('1-DATA'!AS184)),ROUND(INDEX('1-DATA'!$1:$1048576,IF(OR($B186="STD. DEVIATION",$C$1=1),$A186,$A186+1),COLUMN('1-DATA'!AS184)),IF($B186="STD. DEVIATION",2,$F$1))))</f>
        <v/>
      </c>
      <c r="AU186" s="1" t="str">
        <f>IF(OR($B186="",AU$7=""),"",IF($B186="MEANS",INDEX('1-DATA'!$1:$1048576,$A185-1,COLUMN('1-DATA'!AT184)),ROUND(INDEX('1-DATA'!$1:$1048576,IF(OR($B186="STD. DEVIATION",$C$1=1),$A186,$A186+1),COLUMN('1-DATA'!AT184)),IF($B186="STD. DEVIATION",2,$F$1))))</f>
        <v/>
      </c>
      <c r="AV186" s="1" t="str">
        <f>IF(OR($B186="",AV$7=""),"",IF($B186="MEANS",INDEX('1-DATA'!$1:$1048576,$A185-1,COLUMN('1-DATA'!AU184)),ROUND(INDEX('1-DATA'!$1:$1048576,IF(OR($B186="STD. DEVIATION",$C$1=1),$A186,$A186+1),COLUMN('1-DATA'!AU184)),IF($B186="STD. DEVIATION",2,$F$1))))</f>
        <v/>
      </c>
      <c r="AW186" s="1" t="str">
        <f>IF(OR($B186="",AW$7=""),"",IF($B186="MEANS",INDEX('1-DATA'!$1:$1048576,$A185-1,COLUMN('1-DATA'!AV184)),ROUND(INDEX('1-DATA'!$1:$1048576,IF(OR($B186="STD. DEVIATION",$C$1=1),$A186,$A186+1),COLUMN('1-DATA'!AV184)),IF($B186="STD. DEVIATION",2,$F$1))))</f>
        <v/>
      </c>
      <c r="AX186" s="1" t="str">
        <f>IF(OR($B186="",AX$7=""),"",IF($B186="MEANS",INDEX('1-DATA'!$1:$1048576,$A185-1,COLUMN('1-DATA'!AW184)),ROUND(INDEX('1-DATA'!$1:$1048576,IF(OR($B186="STD. DEVIATION",$C$1=1),$A186,$A186+1),COLUMN('1-DATA'!AW184)),IF($B186="STD. DEVIATION",2,$F$1))))</f>
        <v/>
      </c>
      <c r="AY186" s="1" t="str">
        <f>IF(OR($B186="",AY$7=""),"",IF($B186="MEANS",INDEX('1-DATA'!$1:$1048576,$A185-1,COLUMN('1-DATA'!AX184)),ROUND(INDEX('1-DATA'!$1:$1048576,IF(OR($B186="STD. DEVIATION",$C$1=1),$A186,$A186+1),COLUMN('1-DATA'!AX184)),IF($B186="STD. DEVIATION",2,$F$1))))</f>
        <v/>
      </c>
      <c r="AZ186" s="1" t="str">
        <f>IF(OR($B186="",AZ$7=""),"",IF($B186="MEANS",INDEX('1-DATA'!$1:$1048576,$A185-1,COLUMN('1-DATA'!AY184)),ROUND(INDEX('1-DATA'!$1:$1048576,IF(OR($B186="STD. DEVIATION",$C$1=1),$A186,$A186+1),COLUMN('1-DATA'!AY184)),IF($B186="STD. DEVIATION",2,$F$1))))</f>
        <v/>
      </c>
    </row>
    <row r="187" spans="1:52" x14ac:dyDescent="0.25">
      <c r="A187" s="11">
        <f t="shared" si="3"/>
        <v>547</v>
      </c>
      <c r="B187" s="1" t="str">
        <f>IF(B186="STD. DEVIATION",INDEX('1-DATA'!$1:$1048576,$A186-1,1),IF(INDEX('1-DATA'!$1:$1048576,$A187,1)&lt;&gt;"",INDEX('1-DATA'!$1:$1048576,$A187,1),""))</f>
        <v/>
      </c>
      <c r="C187" s="1" t="str">
        <f>IF(OR($B187="",C$7=""),"",IF($B187="MEANS",INDEX('1-DATA'!$1:$1048576,$A186-1,COLUMN('1-DATA'!B185)),ROUND(INDEX('1-DATA'!$1:$1048576,IF(OR($B187="STD. DEVIATION",$C$1=1),$A187,$A187+1),COLUMN('1-DATA'!B185)),IF($B187="STD. DEVIATION",2,$F$1))))</f>
        <v/>
      </c>
      <c r="D187" s="1" t="str">
        <f>IF(OR($B187="",D$7=""),"",IF($B187="MEANS",INDEX('1-DATA'!$1:$1048576,$A186-1,COLUMN('1-DATA'!C185)),ROUND(INDEX('1-DATA'!$1:$1048576,IF(OR($B187="STD. DEVIATION",$C$1=1),$A187,$A187+1),COLUMN('1-DATA'!C185)),IF($B187="STD. DEVIATION",2,$F$1))))</f>
        <v/>
      </c>
      <c r="E187" s="1" t="str">
        <f>IF(OR($B187="",E$7=""),"",IF($B187="MEANS",INDEX('1-DATA'!$1:$1048576,$A186-1,COLUMN('1-DATA'!D185)),ROUND(INDEX('1-DATA'!$1:$1048576,IF(OR($B187="STD. DEVIATION",$C$1=1),$A187,$A187+1),COLUMN('1-DATA'!D185)),IF($B187="STD. DEVIATION",2,$F$1))))</f>
        <v/>
      </c>
      <c r="F187" s="1" t="str">
        <f>IF(OR($B187="",F$7=""),"",IF($B187="MEANS",INDEX('1-DATA'!$1:$1048576,$A186-1,COLUMN('1-DATA'!E185)),ROUND(INDEX('1-DATA'!$1:$1048576,IF(OR($B187="STD. DEVIATION",$C$1=1),$A187,$A187+1),COLUMN('1-DATA'!E185)),IF($B187="STD. DEVIATION",2,$F$1))))</f>
        <v/>
      </c>
      <c r="G187" s="1" t="str">
        <f>IF(OR($B187="",G$7=""),"",IF($B187="MEANS",INDEX('1-DATA'!$1:$1048576,$A186-1,COLUMN('1-DATA'!F185)),ROUND(INDEX('1-DATA'!$1:$1048576,IF(OR($B187="STD. DEVIATION",$C$1=1),$A187,$A187+1),COLUMN('1-DATA'!F185)),IF($B187="STD. DEVIATION",2,$F$1))))</f>
        <v/>
      </c>
      <c r="H187" s="1" t="str">
        <f>IF(OR($B187="",H$7=""),"",IF($B187="MEANS",INDEX('1-DATA'!$1:$1048576,$A186-1,COLUMN('1-DATA'!G185)),ROUND(INDEX('1-DATA'!$1:$1048576,IF(OR($B187="STD. DEVIATION",$C$1=1),$A187,$A187+1),COLUMN('1-DATA'!G185)),IF($B187="STD. DEVIATION",2,$F$1))))</f>
        <v/>
      </c>
      <c r="I187" s="1" t="str">
        <f>IF(OR($B187="",I$7=""),"",IF($B187="MEANS",INDEX('1-DATA'!$1:$1048576,$A186-1,COLUMN('1-DATA'!H185)),ROUND(INDEX('1-DATA'!$1:$1048576,IF(OR($B187="STD. DEVIATION",$C$1=1),$A187,$A187+1),COLUMN('1-DATA'!H185)),IF($B187="STD. DEVIATION",2,$F$1))))</f>
        <v/>
      </c>
      <c r="J187" s="1" t="str">
        <f>IF(OR($B187="",J$7=""),"",IF($B187="MEANS",INDEX('1-DATA'!$1:$1048576,$A186-1,COLUMN('1-DATA'!I185)),ROUND(INDEX('1-DATA'!$1:$1048576,IF(OR($B187="STD. DEVIATION",$C$1=1),$A187,$A187+1),COLUMN('1-DATA'!I185)),IF($B187="STD. DEVIATION",2,$F$1))))</f>
        <v/>
      </c>
      <c r="K187" s="1" t="str">
        <f>IF(OR($B187="",K$7=""),"",IF($B187="MEANS",INDEX('1-DATA'!$1:$1048576,$A186-1,COLUMN('1-DATA'!J185)),ROUND(INDEX('1-DATA'!$1:$1048576,IF(OR($B187="STD. DEVIATION",$C$1=1),$A187,$A187+1),COLUMN('1-DATA'!J185)),IF($B187="STD. DEVIATION",2,$F$1))))</f>
        <v/>
      </c>
      <c r="L187" s="1" t="str">
        <f>IF(OR($B187="",L$7=""),"",IF($B187="MEANS",INDEX('1-DATA'!$1:$1048576,$A186-1,COLUMN('1-DATA'!K185)),ROUND(INDEX('1-DATA'!$1:$1048576,IF(OR($B187="STD. DEVIATION",$C$1=1),$A187,$A187+1),COLUMN('1-DATA'!K185)),IF($B187="STD. DEVIATION",2,$F$1))))</f>
        <v/>
      </c>
      <c r="M187" s="1" t="str">
        <f>IF(OR($B187="",M$7=""),"",IF($B187="MEANS",INDEX('1-DATA'!$1:$1048576,$A186-1,COLUMN('1-DATA'!L185)),ROUND(INDEX('1-DATA'!$1:$1048576,IF(OR($B187="STD. DEVIATION",$C$1=1),$A187,$A187+1),COLUMN('1-DATA'!L185)),IF($B187="STD. DEVIATION",2,$F$1))))</f>
        <v/>
      </c>
      <c r="N187" s="1" t="str">
        <f>IF(OR($B187="",N$7=""),"",IF($B187="MEANS",INDEX('1-DATA'!$1:$1048576,$A186-1,COLUMN('1-DATA'!M185)),ROUND(INDEX('1-DATA'!$1:$1048576,IF(OR($B187="STD. DEVIATION",$C$1=1),$A187,$A187+1),COLUMN('1-DATA'!M185)),IF($B187="STD. DEVIATION",2,$F$1))))</f>
        <v/>
      </c>
      <c r="O187" s="1" t="str">
        <f>IF(OR($B187="",O$7=""),"",IF($B187="MEANS",INDEX('1-DATA'!$1:$1048576,$A186-1,COLUMN('1-DATA'!N185)),ROUND(INDEX('1-DATA'!$1:$1048576,IF(OR($B187="STD. DEVIATION",$C$1=1),$A187,$A187+1),COLUMN('1-DATA'!N185)),IF($B187="STD. DEVIATION",2,$F$1))))</f>
        <v/>
      </c>
      <c r="P187" s="1" t="str">
        <f>IF(OR($B187="",P$7=""),"",IF($B187="MEANS",INDEX('1-DATA'!$1:$1048576,$A186-1,COLUMN('1-DATA'!O185)),ROUND(INDEX('1-DATA'!$1:$1048576,IF(OR($B187="STD. DEVIATION",$C$1=1),$A187,$A187+1),COLUMN('1-DATA'!O185)),IF($B187="STD. DEVIATION",2,$F$1))))</f>
        <v/>
      </c>
      <c r="Q187" s="1" t="str">
        <f>IF(OR($B187="",Q$7=""),"",IF($B187="MEANS",INDEX('1-DATA'!$1:$1048576,$A186-1,COLUMN('1-DATA'!P185)),ROUND(INDEX('1-DATA'!$1:$1048576,IF(OR($B187="STD. DEVIATION",$C$1=1),$A187,$A187+1),COLUMN('1-DATA'!P185)),IF($B187="STD. DEVIATION",2,$F$1))))</f>
        <v/>
      </c>
      <c r="R187" s="1" t="str">
        <f>IF(OR($B187="",R$7=""),"",IF($B187="MEANS",INDEX('1-DATA'!$1:$1048576,$A186-1,COLUMN('1-DATA'!Q185)),ROUND(INDEX('1-DATA'!$1:$1048576,IF(OR($B187="STD. DEVIATION",$C$1=1),$A187,$A187+1),COLUMN('1-DATA'!Q185)),IF($B187="STD. DEVIATION",2,$F$1))))</f>
        <v/>
      </c>
      <c r="S187" s="1" t="str">
        <f>IF(OR($B187="",S$7=""),"",IF($B187="MEANS",INDEX('1-DATA'!$1:$1048576,$A186-1,COLUMN('1-DATA'!R185)),ROUND(INDEX('1-DATA'!$1:$1048576,IF(OR($B187="STD. DEVIATION",$C$1=1),$A187,$A187+1),COLUMN('1-DATA'!R185)),IF($B187="STD. DEVIATION",2,$F$1))))</f>
        <v/>
      </c>
      <c r="T187" s="1" t="str">
        <f>IF(OR($B187="",T$7=""),"",IF($B187="MEANS",INDEX('1-DATA'!$1:$1048576,$A186-1,COLUMN('1-DATA'!S185)),ROUND(INDEX('1-DATA'!$1:$1048576,IF(OR($B187="STD. DEVIATION",$C$1=1),$A187,$A187+1),COLUMN('1-DATA'!S185)),IF($B187="STD. DEVIATION",2,$F$1))))</f>
        <v/>
      </c>
      <c r="U187" s="1" t="str">
        <f>IF(OR($B187="",U$7=""),"",IF($B187="MEANS",INDEX('1-DATA'!$1:$1048576,$A186-1,COLUMN('1-DATA'!T185)),ROUND(INDEX('1-DATA'!$1:$1048576,IF(OR($B187="STD. DEVIATION",$C$1=1),$A187,$A187+1),COLUMN('1-DATA'!T185)),IF($B187="STD. DEVIATION",2,$F$1))))</f>
        <v/>
      </c>
      <c r="V187" s="1" t="str">
        <f>IF(OR($B187="",V$7=""),"",IF($B187="MEANS",INDEX('1-DATA'!$1:$1048576,$A186-1,COLUMN('1-DATA'!U185)),ROUND(INDEX('1-DATA'!$1:$1048576,IF(OR($B187="STD. DEVIATION",$C$1=1),$A187,$A187+1),COLUMN('1-DATA'!U185)),IF($B187="STD. DEVIATION",2,$F$1))))</f>
        <v/>
      </c>
      <c r="W187" s="1" t="str">
        <f>IF(OR($B187="",W$7=""),"",IF($B187="MEANS",INDEX('1-DATA'!$1:$1048576,$A186-1,COLUMN('1-DATA'!V185)),ROUND(INDEX('1-DATA'!$1:$1048576,IF(OR($B187="STD. DEVIATION",$C$1=1),$A187,$A187+1),COLUMN('1-DATA'!V185)),IF($B187="STD. DEVIATION",2,$F$1))))</f>
        <v/>
      </c>
      <c r="X187" s="1" t="str">
        <f>IF(OR($B187="",X$7=""),"",IF($B187="MEANS",INDEX('1-DATA'!$1:$1048576,$A186-1,COLUMN('1-DATA'!W185)),ROUND(INDEX('1-DATA'!$1:$1048576,IF(OR($B187="STD. DEVIATION",$C$1=1),$A187,$A187+1),COLUMN('1-DATA'!W185)),IF($B187="STD. DEVIATION",2,$F$1))))</f>
        <v/>
      </c>
      <c r="Y187" s="1" t="str">
        <f>IF(OR($B187="",Y$7=""),"",IF($B187="MEANS",INDEX('1-DATA'!$1:$1048576,$A186-1,COLUMN('1-DATA'!X185)),ROUND(INDEX('1-DATA'!$1:$1048576,IF(OR($B187="STD. DEVIATION",$C$1=1),$A187,$A187+1),COLUMN('1-DATA'!X185)),IF($B187="STD. DEVIATION",2,$F$1))))</f>
        <v/>
      </c>
      <c r="Z187" s="1" t="str">
        <f>IF(OR($B187="",Z$7=""),"",IF($B187="MEANS",INDEX('1-DATA'!$1:$1048576,$A186-1,COLUMN('1-DATA'!Y185)),ROUND(INDEX('1-DATA'!$1:$1048576,IF(OR($B187="STD. DEVIATION",$C$1=1),$A187,$A187+1),COLUMN('1-DATA'!Y185)),IF($B187="STD. DEVIATION",2,$F$1))))</f>
        <v/>
      </c>
      <c r="AA187" s="1" t="str">
        <f>IF(OR($B187="",AA$7=""),"",IF($B187="MEANS",INDEX('1-DATA'!$1:$1048576,$A186-1,COLUMN('1-DATA'!Z185)),ROUND(INDEX('1-DATA'!$1:$1048576,IF(OR($B187="STD. DEVIATION",$C$1=1),$A187,$A187+1),COLUMN('1-DATA'!Z185)),IF($B187="STD. DEVIATION",2,$F$1))))</f>
        <v/>
      </c>
      <c r="AB187" s="1" t="str">
        <f>IF(OR($B187="",AB$7=""),"",IF($B187="MEANS",INDEX('1-DATA'!$1:$1048576,$A186-1,COLUMN('1-DATA'!AA185)),ROUND(INDEX('1-DATA'!$1:$1048576,IF(OR($B187="STD. DEVIATION",$C$1=1),$A187,$A187+1),COLUMN('1-DATA'!AA185)),IF($B187="STD. DEVIATION",2,$F$1))))</f>
        <v/>
      </c>
      <c r="AC187" s="1" t="str">
        <f>IF(OR($B187="",AC$7=""),"",IF($B187="MEANS",INDEX('1-DATA'!$1:$1048576,$A186-1,COLUMN('1-DATA'!AB185)),ROUND(INDEX('1-DATA'!$1:$1048576,IF(OR($B187="STD. DEVIATION",$C$1=1),$A187,$A187+1),COLUMN('1-DATA'!AB185)),IF($B187="STD. DEVIATION",2,$F$1))))</f>
        <v/>
      </c>
      <c r="AD187" s="1" t="str">
        <f>IF(OR($B187="",AD$7=""),"",IF($B187="MEANS",INDEX('1-DATA'!$1:$1048576,$A186-1,COLUMN('1-DATA'!AC185)),ROUND(INDEX('1-DATA'!$1:$1048576,IF(OR($B187="STD. DEVIATION",$C$1=1),$A187,$A187+1),COLUMN('1-DATA'!AC185)),IF($B187="STD. DEVIATION",2,$F$1))))</f>
        <v/>
      </c>
      <c r="AE187" s="1" t="str">
        <f>IF(OR($B187="",AE$7=""),"",IF($B187="MEANS",INDEX('1-DATA'!$1:$1048576,$A186-1,COLUMN('1-DATA'!AD185)),ROUND(INDEX('1-DATA'!$1:$1048576,IF(OR($B187="STD. DEVIATION",$C$1=1),$A187,$A187+1),COLUMN('1-DATA'!AD185)),IF($B187="STD. DEVIATION",2,$F$1))))</f>
        <v/>
      </c>
      <c r="AF187" s="1" t="str">
        <f>IF(OR($B187="",AF$7=""),"",IF($B187="MEANS",INDEX('1-DATA'!$1:$1048576,$A186-1,COLUMN('1-DATA'!AE185)),ROUND(INDEX('1-DATA'!$1:$1048576,IF(OR($B187="STD. DEVIATION",$C$1=1),$A187,$A187+1),COLUMN('1-DATA'!AE185)),IF($B187="STD. DEVIATION",2,$F$1))))</f>
        <v/>
      </c>
      <c r="AG187" s="1" t="str">
        <f>IF(OR($B187="",AG$7=""),"",IF($B187="MEANS",INDEX('1-DATA'!$1:$1048576,$A186-1,COLUMN('1-DATA'!AF185)),ROUND(INDEX('1-DATA'!$1:$1048576,IF(OR($B187="STD. DEVIATION",$C$1=1),$A187,$A187+1),COLUMN('1-DATA'!AF185)),IF($B187="STD. DEVIATION",2,$F$1))))</f>
        <v/>
      </c>
      <c r="AH187" s="1" t="str">
        <f>IF(OR($B187="",AH$7=""),"",IF($B187="MEANS",INDEX('1-DATA'!$1:$1048576,$A186-1,COLUMN('1-DATA'!AG185)),ROUND(INDEX('1-DATA'!$1:$1048576,IF(OR($B187="STD. DEVIATION",$C$1=1),$A187,$A187+1),COLUMN('1-DATA'!AG185)),IF($B187="STD. DEVIATION",2,$F$1))))</f>
        <v/>
      </c>
      <c r="AI187" s="1" t="str">
        <f>IF(OR($B187="",AI$7=""),"",IF($B187="MEANS",INDEX('1-DATA'!$1:$1048576,$A186-1,COLUMN('1-DATA'!AH185)),ROUND(INDEX('1-DATA'!$1:$1048576,IF(OR($B187="STD. DEVIATION",$C$1=1),$A187,$A187+1),COLUMN('1-DATA'!AH185)),IF($B187="STD. DEVIATION",2,$F$1))))</f>
        <v/>
      </c>
      <c r="AJ187" s="1" t="str">
        <f>IF(OR($B187="",AJ$7=""),"",IF($B187="MEANS",INDEX('1-DATA'!$1:$1048576,$A186-1,COLUMN('1-DATA'!AI185)),ROUND(INDEX('1-DATA'!$1:$1048576,IF(OR($B187="STD. DEVIATION",$C$1=1),$A187,$A187+1),COLUMN('1-DATA'!AI185)),IF($B187="STD. DEVIATION",2,$F$1))))</f>
        <v/>
      </c>
      <c r="AK187" s="1" t="str">
        <f>IF(OR($B187="",AK$7=""),"",IF($B187="MEANS",INDEX('1-DATA'!$1:$1048576,$A186-1,COLUMN('1-DATA'!AJ185)),ROUND(INDEX('1-DATA'!$1:$1048576,IF(OR($B187="STD. DEVIATION",$C$1=1),$A187,$A187+1),COLUMN('1-DATA'!AJ185)),IF($B187="STD. DEVIATION",2,$F$1))))</f>
        <v/>
      </c>
      <c r="AL187" s="1" t="str">
        <f>IF(OR($B187="",AL$7=""),"",IF($B187="MEANS",INDEX('1-DATA'!$1:$1048576,$A186-1,COLUMN('1-DATA'!AK185)),ROUND(INDEX('1-DATA'!$1:$1048576,IF(OR($B187="STD. DEVIATION",$C$1=1),$A187,$A187+1),COLUMN('1-DATA'!AK185)),IF($B187="STD. DEVIATION",2,$F$1))))</f>
        <v/>
      </c>
      <c r="AM187" s="1" t="str">
        <f>IF(OR($B187="",AM$7=""),"",IF($B187="MEANS",INDEX('1-DATA'!$1:$1048576,$A186-1,COLUMN('1-DATA'!AL185)),ROUND(INDEX('1-DATA'!$1:$1048576,IF(OR($B187="STD. DEVIATION",$C$1=1),$A187,$A187+1),COLUMN('1-DATA'!AL185)),IF($B187="STD. DEVIATION",2,$F$1))))</f>
        <v/>
      </c>
      <c r="AN187" s="1" t="str">
        <f>IF(OR($B187="",AN$7=""),"",IF($B187="MEANS",INDEX('1-DATA'!$1:$1048576,$A186-1,COLUMN('1-DATA'!AM185)),ROUND(INDEX('1-DATA'!$1:$1048576,IF(OR($B187="STD. DEVIATION",$C$1=1),$A187,$A187+1),COLUMN('1-DATA'!AM185)),IF($B187="STD. DEVIATION",2,$F$1))))</f>
        <v/>
      </c>
      <c r="AO187" s="1" t="str">
        <f>IF(OR($B187="",AO$7=""),"",IF($B187="MEANS",INDEX('1-DATA'!$1:$1048576,$A186-1,COLUMN('1-DATA'!AN185)),ROUND(INDEX('1-DATA'!$1:$1048576,IF(OR($B187="STD. DEVIATION",$C$1=1),$A187,$A187+1),COLUMN('1-DATA'!AN185)),IF($B187="STD. DEVIATION",2,$F$1))))</f>
        <v/>
      </c>
      <c r="AP187" s="1" t="str">
        <f>IF(OR($B187="",AP$7=""),"",IF($B187="MEANS",INDEX('1-DATA'!$1:$1048576,$A186-1,COLUMN('1-DATA'!AO185)),ROUND(INDEX('1-DATA'!$1:$1048576,IF(OR($B187="STD. DEVIATION",$C$1=1),$A187,$A187+1),COLUMN('1-DATA'!AO185)),IF($B187="STD. DEVIATION",2,$F$1))))</f>
        <v/>
      </c>
      <c r="AQ187" s="1" t="str">
        <f>IF(OR($B187="",AQ$7=""),"",IF($B187="MEANS",INDEX('1-DATA'!$1:$1048576,$A186-1,COLUMN('1-DATA'!AP185)),ROUND(INDEX('1-DATA'!$1:$1048576,IF(OR($B187="STD. DEVIATION",$C$1=1),$A187,$A187+1),COLUMN('1-DATA'!AP185)),IF($B187="STD. DEVIATION",2,$F$1))))</f>
        <v/>
      </c>
      <c r="AR187" s="1" t="str">
        <f>IF(OR($B187="",AR$7=""),"",IF($B187="MEANS",INDEX('1-DATA'!$1:$1048576,$A186-1,COLUMN('1-DATA'!AQ185)),ROUND(INDEX('1-DATA'!$1:$1048576,IF(OR($B187="STD. DEVIATION",$C$1=1),$A187,$A187+1),COLUMN('1-DATA'!AQ185)),IF($B187="STD. DEVIATION",2,$F$1))))</f>
        <v/>
      </c>
      <c r="AS187" s="1" t="str">
        <f>IF(OR($B187="",AS$7=""),"",IF($B187="MEANS",INDEX('1-DATA'!$1:$1048576,$A186-1,COLUMN('1-DATA'!AR185)),ROUND(INDEX('1-DATA'!$1:$1048576,IF(OR($B187="STD. DEVIATION",$C$1=1),$A187,$A187+1),COLUMN('1-DATA'!AR185)),IF($B187="STD. DEVIATION",2,$F$1))))</f>
        <v/>
      </c>
      <c r="AT187" s="1" t="str">
        <f>IF(OR($B187="",AT$7=""),"",IF($B187="MEANS",INDEX('1-DATA'!$1:$1048576,$A186-1,COLUMN('1-DATA'!AS185)),ROUND(INDEX('1-DATA'!$1:$1048576,IF(OR($B187="STD. DEVIATION",$C$1=1),$A187,$A187+1),COLUMN('1-DATA'!AS185)),IF($B187="STD. DEVIATION",2,$F$1))))</f>
        <v/>
      </c>
      <c r="AU187" s="1" t="str">
        <f>IF(OR($B187="",AU$7=""),"",IF($B187="MEANS",INDEX('1-DATA'!$1:$1048576,$A186-1,COLUMN('1-DATA'!AT185)),ROUND(INDEX('1-DATA'!$1:$1048576,IF(OR($B187="STD. DEVIATION",$C$1=1),$A187,$A187+1),COLUMN('1-DATA'!AT185)),IF($B187="STD. DEVIATION",2,$F$1))))</f>
        <v/>
      </c>
      <c r="AV187" s="1" t="str">
        <f>IF(OR($B187="",AV$7=""),"",IF($B187="MEANS",INDEX('1-DATA'!$1:$1048576,$A186-1,COLUMN('1-DATA'!AU185)),ROUND(INDEX('1-DATA'!$1:$1048576,IF(OR($B187="STD. DEVIATION",$C$1=1),$A187,$A187+1),COLUMN('1-DATA'!AU185)),IF($B187="STD. DEVIATION",2,$F$1))))</f>
        <v/>
      </c>
      <c r="AW187" s="1" t="str">
        <f>IF(OR($B187="",AW$7=""),"",IF($B187="MEANS",INDEX('1-DATA'!$1:$1048576,$A186-1,COLUMN('1-DATA'!AV185)),ROUND(INDEX('1-DATA'!$1:$1048576,IF(OR($B187="STD. DEVIATION",$C$1=1),$A187,$A187+1),COLUMN('1-DATA'!AV185)),IF($B187="STD. DEVIATION",2,$F$1))))</f>
        <v/>
      </c>
      <c r="AX187" s="1" t="str">
        <f>IF(OR($B187="",AX$7=""),"",IF($B187="MEANS",INDEX('1-DATA'!$1:$1048576,$A186-1,COLUMN('1-DATA'!AW185)),ROUND(INDEX('1-DATA'!$1:$1048576,IF(OR($B187="STD. DEVIATION",$C$1=1),$A187,$A187+1),COLUMN('1-DATA'!AW185)),IF($B187="STD. DEVIATION",2,$F$1))))</f>
        <v/>
      </c>
      <c r="AY187" s="1" t="str">
        <f>IF(OR($B187="",AY$7=""),"",IF($B187="MEANS",INDEX('1-DATA'!$1:$1048576,$A186-1,COLUMN('1-DATA'!AX185)),ROUND(INDEX('1-DATA'!$1:$1048576,IF(OR($B187="STD. DEVIATION",$C$1=1),$A187,$A187+1),COLUMN('1-DATA'!AX185)),IF($B187="STD. DEVIATION",2,$F$1))))</f>
        <v/>
      </c>
      <c r="AZ187" s="1" t="str">
        <f>IF(OR($B187="",AZ$7=""),"",IF($B187="MEANS",INDEX('1-DATA'!$1:$1048576,$A186-1,COLUMN('1-DATA'!AY185)),ROUND(INDEX('1-DATA'!$1:$1048576,IF(OR($B187="STD. DEVIATION",$C$1=1),$A187,$A187+1),COLUMN('1-DATA'!AY185)),IF($B187="STD. DEVIATION",2,$F$1))))</f>
        <v/>
      </c>
    </row>
    <row r="188" spans="1:52" x14ac:dyDescent="0.25">
      <c r="A188" s="11">
        <f t="shared" si="3"/>
        <v>550</v>
      </c>
      <c r="B188" s="1" t="str">
        <f>IF(B187="STD. DEVIATION",INDEX('1-DATA'!$1:$1048576,$A187-1,1),IF(INDEX('1-DATA'!$1:$1048576,$A188,1)&lt;&gt;"",INDEX('1-DATA'!$1:$1048576,$A188,1),""))</f>
        <v/>
      </c>
      <c r="C188" s="1" t="str">
        <f>IF(OR($B188="",C$7=""),"",IF($B188="MEANS",INDEX('1-DATA'!$1:$1048576,$A187-1,COLUMN('1-DATA'!B186)),ROUND(INDEX('1-DATA'!$1:$1048576,IF(OR($B188="STD. DEVIATION",$C$1=1),$A188,$A188+1),COLUMN('1-DATA'!B186)),IF($B188="STD. DEVIATION",2,$F$1))))</f>
        <v/>
      </c>
      <c r="D188" s="1" t="str">
        <f>IF(OR($B188="",D$7=""),"",IF($B188="MEANS",INDEX('1-DATA'!$1:$1048576,$A187-1,COLUMN('1-DATA'!C186)),ROUND(INDEX('1-DATA'!$1:$1048576,IF(OR($B188="STD. DEVIATION",$C$1=1),$A188,$A188+1),COLUMN('1-DATA'!C186)),IF($B188="STD. DEVIATION",2,$F$1))))</f>
        <v/>
      </c>
      <c r="E188" s="1" t="str">
        <f>IF(OR($B188="",E$7=""),"",IF($B188="MEANS",INDEX('1-DATA'!$1:$1048576,$A187-1,COLUMN('1-DATA'!D186)),ROUND(INDEX('1-DATA'!$1:$1048576,IF(OR($B188="STD. DEVIATION",$C$1=1),$A188,$A188+1),COLUMN('1-DATA'!D186)),IF($B188="STD. DEVIATION",2,$F$1))))</f>
        <v/>
      </c>
      <c r="F188" s="1" t="str">
        <f>IF(OR($B188="",F$7=""),"",IF($B188="MEANS",INDEX('1-DATA'!$1:$1048576,$A187-1,COLUMN('1-DATA'!E186)),ROUND(INDEX('1-DATA'!$1:$1048576,IF(OR($B188="STD. DEVIATION",$C$1=1),$A188,$A188+1),COLUMN('1-DATA'!E186)),IF($B188="STD. DEVIATION",2,$F$1))))</f>
        <v/>
      </c>
      <c r="G188" s="1" t="str">
        <f>IF(OR($B188="",G$7=""),"",IF($B188="MEANS",INDEX('1-DATA'!$1:$1048576,$A187-1,COLUMN('1-DATA'!F186)),ROUND(INDEX('1-DATA'!$1:$1048576,IF(OR($B188="STD. DEVIATION",$C$1=1),$A188,$A188+1),COLUMN('1-DATA'!F186)),IF($B188="STD. DEVIATION",2,$F$1))))</f>
        <v/>
      </c>
      <c r="H188" s="1" t="str">
        <f>IF(OR($B188="",H$7=""),"",IF($B188="MEANS",INDEX('1-DATA'!$1:$1048576,$A187-1,COLUMN('1-DATA'!G186)),ROUND(INDEX('1-DATA'!$1:$1048576,IF(OR($B188="STD. DEVIATION",$C$1=1),$A188,$A188+1),COLUMN('1-DATA'!G186)),IF($B188="STD. DEVIATION",2,$F$1))))</f>
        <v/>
      </c>
      <c r="I188" s="1" t="str">
        <f>IF(OR($B188="",I$7=""),"",IF($B188="MEANS",INDEX('1-DATA'!$1:$1048576,$A187-1,COLUMN('1-DATA'!H186)),ROUND(INDEX('1-DATA'!$1:$1048576,IF(OR($B188="STD. DEVIATION",$C$1=1),$A188,$A188+1),COLUMN('1-DATA'!H186)),IF($B188="STD. DEVIATION",2,$F$1))))</f>
        <v/>
      </c>
      <c r="J188" s="1" t="str">
        <f>IF(OR($B188="",J$7=""),"",IF($B188="MEANS",INDEX('1-DATA'!$1:$1048576,$A187-1,COLUMN('1-DATA'!I186)),ROUND(INDEX('1-DATA'!$1:$1048576,IF(OR($B188="STD. DEVIATION",$C$1=1),$A188,$A188+1),COLUMN('1-DATA'!I186)),IF($B188="STD. DEVIATION",2,$F$1))))</f>
        <v/>
      </c>
      <c r="K188" s="1" t="str">
        <f>IF(OR($B188="",K$7=""),"",IF($B188="MEANS",INDEX('1-DATA'!$1:$1048576,$A187-1,COLUMN('1-DATA'!J186)),ROUND(INDEX('1-DATA'!$1:$1048576,IF(OR($B188="STD. DEVIATION",$C$1=1),$A188,$A188+1),COLUMN('1-DATA'!J186)),IF($B188="STD. DEVIATION",2,$F$1))))</f>
        <v/>
      </c>
      <c r="L188" s="1" t="str">
        <f>IF(OR($B188="",L$7=""),"",IF($B188="MEANS",INDEX('1-DATA'!$1:$1048576,$A187-1,COLUMN('1-DATA'!K186)),ROUND(INDEX('1-DATA'!$1:$1048576,IF(OR($B188="STD. DEVIATION",$C$1=1),$A188,$A188+1),COLUMN('1-DATA'!K186)),IF($B188="STD. DEVIATION",2,$F$1))))</f>
        <v/>
      </c>
      <c r="M188" s="1" t="str">
        <f>IF(OR($B188="",M$7=""),"",IF($B188="MEANS",INDEX('1-DATA'!$1:$1048576,$A187-1,COLUMN('1-DATA'!L186)),ROUND(INDEX('1-DATA'!$1:$1048576,IF(OR($B188="STD. DEVIATION",$C$1=1),$A188,$A188+1),COLUMN('1-DATA'!L186)),IF($B188="STD. DEVIATION",2,$F$1))))</f>
        <v/>
      </c>
      <c r="N188" s="1" t="str">
        <f>IF(OR($B188="",N$7=""),"",IF($B188="MEANS",INDEX('1-DATA'!$1:$1048576,$A187-1,COLUMN('1-DATA'!M186)),ROUND(INDEX('1-DATA'!$1:$1048576,IF(OR($B188="STD. DEVIATION",$C$1=1),$A188,$A188+1),COLUMN('1-DATA'!M186)),IF($B188="STD. DEVIATION",2,$F$1))))</f>
        <v/>
      </c>
      <c r="O188" s="1" t="str">
        <f>IF(OR($B188="",O$7=""),"",IF($B188="MEANS",INDEX('1-DATA'!$1:$1048576,$A187-1,COLUMN('1-DATA'!N186)),ROUND(INDEX('1-DATA'!$1:$1048576,IF(OR($B188="STD. DEVIATION",$C$1=1),$A188,$A188+1),COLUMN('1-DATA'!N186)),IF($B188="STD. DEVIATION",2,$F$1))))</f>
        <v/>
      </c>
      <c r="P188" s="1" t="str">
        <f>IF(OR($B188="",P$7=""),"",IF($B188="MEANS",INDEX('1-DATA'!$1:$1048576,$A187-1,COLUMN('1-DATA'!O186)),ROUND(INDEX('1-DATA'!$1:$1048576,IF(OR($B188="STD. DEVIATION",$C$1=1),$A188,$A188+1),COLUMN('1-DATA'!O186)),IF($B188="STD. DEVIATION",2,$F$1))))</f>
        <v/>
      </c>
      <c r="Q188" s="1" t="str">
        <f>IF(OR($B188="",Q$7=""),"",IF($B188="MEANS",INDEX('1-DATA'!$1:$1048576,$A187-1,COLUMN('1-DATA'!P186)),ROUND(INDEX('1-DATA'!$1:$1048576,IF(OR($B188="STD. DEVIATION",$C$1=1),$A188,$A188+1),COLUMN('1-DATA'!P186)),IF($B188="STD. DEVIATION",2,$F$1))))</f>
        <v/>
      </c>
      <c r="R188" s="1" t="str">
        <f>IF(OR($B188="",R$7=""),"",IF($B188="MEANS",INDEX('1-DATA'!$1:$1048576,$A187-1,COLUMN('1-DATA'!Q186)),ROUND(INDEX('1-DATA'!$1:$1048576,IF(OR($B188="STD. DEVIATION",$C$1=1),$A188,$A188+1),COLUMN('1-DATA'!Q186)),IF($B188="STD. DEVIATION",2,$F$1))))</f>
        <v/>
      </c>
      <c r="S188" s="1" t="str">
        <f>IF(OR($B188="",S$7=""),"",IF($B188="MEANS",INDEX('1-DATA'!$1:$1048576,$A187-1,COLUMN('1-DATA'!R186)),ROUND(INDEX('1-DATA'!$1:$1048576,IF(OR($B188="STD. DEVIATION",$C$1=1),$A188,$A188+1),COLUMN('1-DATA'!R186)),IF($B188="STD. DEVIATION",2,$F$1))))</f>
        <v/>
      </c>
      <c r="T188" s="1" t="str">
        <f>IF(OR($B188="",T$7=""),"",IF($B188="MEANS",INDEX('1-DATA'!$1:$1048576,$A187-1,COLUMN('1-DATA'!S186)),ROUND(INDEX('1-DATA'!$1:$1048576,IF(OR($B188="STD. DEVIATION",$C$1=1),$A188,$A188+1),COLUMN('1-DATA'!S186)),IF($B188="STD. DEVIATION",2,$F$1))))</f>
        <v/>
      </c>
      <c r="U188" s="1" t="str">
        <f>IF(OR($B188="",U$7=""),"",IF($B188="MEANS",INDEX('1-DATA'!$1:$1048576,$A187-1,COLUMN('1-DATA'!T186)),ROUND(INDEX('1-DATA'!$1:$1048576,IF(OR($B188="STD. DEVIATION",$C$1=1),$A188,$A188+1),COLUMN('1-DATA'!T186)),IF($B188="STD. DEVIATION",2,$F$1))))</f>
        <v/>
      </c>
      <c r="V188" s="1" t="str">
        <f>IF(OR($B188="",V$7=""),"",IF($B188="MEANS",INDEX('1-DATA'!$1:$1048576,$A187-1,COLUMN('1-DATA'!U186)),ROUND(INDEX('1-DATA'!$1:$1048576,IF(OR($B188="STD. DEVIATION",$C$1=1),$A188,$A188+1),COLUMN('1-DATA'!U186)),IF($B188="STD. DEVIATION",2,$F$1))))</f>
        <v/>
      </c>
      <c r="W188" s="1" t="str">
        <f>IF(OR($B188="",W$7=""),"",IF($B188="MEANS",INDEX('1-DATA'!$1:$1048576,$A187-1,COLUMN('1-DATA'!V186)),ROUND(INDEX('1-DATA'!$1:$1048576,IF(OR($B188="STD. DEVIATION",$C$1=1),$A188,$A188+1),COLUMN('1-DATA'!V186)),IF($B188="STD. DEVIATION",2,$F$1))))</f>
        <v/>
      </c>
      <c r="X188" s="1" t="str">
        <f>IF(OR($B188="",X$7=""),"",IF($B188="MEANS",INDEX('1-DATA'!$1:$1048576,$A187-1,COLUMN('1-DATA'!W186)),ROUND(INDEX('1-DATA'!$1:$1048576,IF(OR($B188="STD. DEVIATION",$C$1=1),$A188,$A188+1),COLUMN('1-DATA'!W186)),IF($B188="STD. DEVIATION",2,$F$1))))</f>
        <v/>
      </c>
      <c r="Y188" s="1" t="str">
        <f>IF(OR($B188="",Y$7=""),"",IF($B188="MEANS",INDEX('1-DATA'!$1:$1048576,$A187-1,COLUMN('1-DATA'!X186)),ROUND(INDEX('1-DATA'!$1:$1048576,IF(OR($B188="STD. DEVIATION",$C$1=1),$A188,$A188+1),COLUMN('1-DATA'!X186)),IF($B188="STD. DEVIATION",2,$F$1))))</f>
        <v/>
      </c>
      <c r="Z188" s="1" t="str">
        <f>IF(OR($B188="",Z$7=""),"",IF($B188="MEANS",INDEX('1-DATA'!$1:$1048576,$A187-1,COLUMN('1-DATA'!Y186)),ROUND(INDEX('1-DATA'!$1:$1048576,IF(OR($B188="STD. DEVIATION",$C$1=1),$A188,$A188+1),COLUMN('1-DATA'!Y186)),IF($B188="STD. DEVIATION",2,$F$1))))</f>
        <v/>
      </c>
      <c r="AA188" s="1" t="str">
        <f>IF(OR($B188="",AA$7=""),"",IF($B188="MEANS",INDEX('1-DATA'!$1:$1048576,$A187-1,COLUMN('1-DATA'!Z186)),ROUND(INDEX('1-DATA'!$1:$1048576,IF(OR($B188="STD. DEVIATION",$C$1=1),$A188,$A188+1),COLUMN('1-DATA'!Z186)),IF($B188="STD. DEVIATION",2,$F$1))))</f>
        <v/>
      </c>
      <c r="AB188" s="1" t="str">
        <f>IF(OR($B188="",AB$7=""),"",IF($B188="MEANS",INDEX('1-DATA'!$1:$1048576,$A187-1,COLUMN('1-DATA'!AA186)),ROUND(INDEX('1-DATA'!$1:$1048576,IF(OR($B188="STD. DEVIATION",$C$1=1),$A188,$A188+1),COLUMN('1-DATA'!AA186)),IF($B188="STD. DEVIATION",2,$F$1))))</f>
        <v/>
      </c>
      <c r="AC188" s="1" t="str">
        <f>IF(OR($B188="",AC$7=""),"",IF($B188="MEANS",INDEX('1-DATA'!$1:$1048576,$A187-1,COLUMN('1-DATA'!AB186)),ROUND(INDEX('1-DATA'!$1:$1048576,IF(OR($B188="STD. DEVIATION",$C$1=1),$A188,$A188+1),COLUMN('1-DATA'!AB186)),IF($B188="STD. DEVIATION",2,$F$1))))</f>
        <v/>
      </c>
      <c r="AD188" s="1" t="str">
        <f>IF(OR($B188="",AD$7=""),"",IF($B188="MEANS",INDEX('1-DATA'!$1:$1048576,$A187-1,COLUMN('1-DATA'!AC186)),ROUND(INDEX('1-DATA'!$1:$1048576,IF(OR($B188="STD. DEVIATION",$C$1=1),$A188,$A188+1),COLUMN('1-DATA'!AC186)),IF($B188="STD. DEVIATION",2,$F$1))))</f>
        <v/>
      </c>
      <c r="AE188" s="1" t="str">
        <f>IF(OR($B188="",AE$7=""),"",IF($B188="MEANS",INDEX('1-DATA'!$1:$1048576,$A187-1,COLUMN('1-DATA'!AD186)),ROUND(INDEX('1-DATA'!$1:$1048576,IF(OR($B188="STD. DEVIATION",$C$1=1),$A188,$A188+1),COLUMN('1-DATA'!AD186)),IF($B188="STD. DEVIATION",2,$F$1))))</f>
        <v/>
      </c>
      <c r="AF188" s="1" t="str">
        <f>IF(OR($B188="",AF$7=""),"",IF($B188="MEANS",INDEX('1-DATA'!$1:$1048576,$A187-1,COLUMN('1-DATA'!AE186)),ROUND(INDEX('1-DATA'!$1:$1048576,IF(OR($B188="STD. DEVIATION",$C$1=1),$A188,$A188+1),COLUMN('1-DATA'!AE186)),IF($B188="STD. DEVIATION",2,$F$1))))</f>
        <v/>
      </c>
      <c r="AG188" s="1" t="str">
        <f>IF(OR($B188="",AG$7=""),"",IF($B188="MEANS",INDEX('1-DATA'!$1:$1048576,$A187-1,COLUMN('1-DATA'!AF186)),ROUND(INDEX('1-DATA'!$1:$1048576,IF(OR($B188="STD. DEVIATION",$C$1=1),$A188,$A188+1),COLUMN('1-DATA'!AF186)),IF($B188="STD. DEVIATION",2,$F$1))))</f>
        <v/>
      </c>
      <c r="AH188" s="1" t="str">
        <f>IF(OR($B188="",AH$7=""),"",IF($B188="MEANS",INDEX('1-DATA'!$1:$1048576,$A187-1,COLUMN('1-DATA'!AG186)),ROUND(INDEX('1-DATA'!$1:$1048576,IF(OR($B188="STD. DEVIATION",$C$1=1),$A188,$A188+1),COLUMN('1-DATA'!AG186)),IF($B188="STD. DEVIATION",2,$F$1))))</f>
        <v/>
      </c>
      <c r="AI188" s="1" t="str">
        <f>IF(OR($B188="",AI$7=""),"",IF($B188="MEANS",INDEX('1-DATA'!$1:$1048576,$A187-1,COLUMN('1-DATA'!AH186)),ROUND(INDEX('1-DATA'!$1:$1048576,IF(OR($B188="STD. DEVIATION",$C$1=1),$A188,$A188+1),COLUMN('1-DATA'!AH186)),IF($B188="STD. DEVIATION",2,$F$1))))</f>
        <v/>
      </c>
      <c r="AJ188" s="1" t="str">
        <f>IF(OR($B188="",AJ$7=""),"",IF($B188="MEANS",INDEX('1-DATA'!$1:$1048576,$A187-1,COLUMN('1-DATA'!AI186)),ROUND(INDEX('1-DATA'!$1:$1048576,IF(OR($B188="STD. DEVIATION",$C$1=1),$A188,$A188+1),COLUMN('1-DATA'!AI186)),IF($B188="STD. DEVIATION",2,$F$1))))</f>
        <v/>
      </c>
      <c r="AK188" s="1" t="str">
        <f>IF(OR($B188="",AK$7=""),"",IF($B188="MEANS",INDEX('1-DATA'!$1:$1048576,$A187-1,COLUMN('1-DATA'!AJ186)),ROUND(INDEX('1-DATA'!$1:$1048576,IF(OR($B188="STD. DEVIATION",$C$1=1),$A188,$A188+1),COLUMN('1-DATA'!AJ186)),IF($B188="STD. DEVIATION",2,$F$1))))</f>
        <v/>
      </c>
      <c r="AL188" s="1" t="str">
        <f>IF(OR($B188="",AL$7=""),"",IF($B188="MEANS",INDEX('1-DATA'!$1:$1048576,$A187-1,COLUMN('1-DATA'!AK186)),ROUND(INDEX('1-DATA'!$1:$1048576,IF(OR($B188="STD. DEVIATION",$C$1=1),$A188,$A188+1),COLUMN('1-DATA'!AK186)),IF($B188="STD. DEVIATION",2,$F$1))))</f>
        <v/>
      </c>
      <c r="AM188" s="1" t="str">
        <f>IF(OR($B188="",AM$7=""),"",IF($B188="MEANS",INDEX('1-DATA'!$1:$1048576,$A187-1,COLUMN('1-DATA'!AL186)),ROUND(INDEX('1-DATA'!$1:$1048576,IF(OR($B188="STD. DEVIATION",$C$1=1),$A188,$A188+1),COLUMN('1-DATA'!AL186)),IF($B188="STD. DEVIATION",2,$F$1))))</f>
        <v/>
      </c>
      <c r="AN188" s="1" t="str">
        <f>IF(OR($B188="",AN$7=""),"",IF($B188="MEANS",INDEX('1-DATA'!$1:$1048576,$A187-1,COLUMN('1-DATA'!AM186)),ROUND(INDEX('1-DATA'!$1:$1048576,IF(OR($B188="STD. DEVIATION",$C$1=1),$A188,$A188+1),COLUMN('1-DATA'!AM186)),IF($B188="STD. DEVIATION",2,$F$1))))</f>
        <v/>
      </c>
      <c r="AO188" s="1" t="str">
        <f>IF(OR($B188="",AO$7=""),"",IF($B188="MEANS",INDEX('1-DATA'!$1:$1048576,$A187-1,COLUMN('1-DATA'!AN186)),ROUND(INDEX('1-DATA'!$1:$1048576,IF(OR($B188="STD. DEVIATION",$C$1=1),$A188,$A188+1),COLUMN('1-DATA'!AN186)),IF($B188="STD. DEVIATION",2,$F$1))))</f>
        <v/>
      </c>
      <c r="AP188" s="1" t="str">
        <f>IF(OR($B188="",AP$7=""),"",IF($B188="MEANS",INDEX('1-DATA'!$1:$1048576,$A187-1,COLUMN('1-DATA'!AO186)),ROUND(INDEX('1-DATA'!$1:$1048576,IF(OR($B188="STD. DEVIATION",$C$1=1),$A188,$A188+1),COLUMN('1-DATA'!AO186)),IF($B188="STD. DEVIATION",2,$F$1))))</f>
        <v/>
      </c>
      <c r="AQ188" s="1" t="str">
        <f>IF(OR($B188="",AQ$7=""),"",IF($B188="MEANS",INDEX('1-DATA'!$1:$1048576,$A187-1,COLUMN('1-DATA'!AP186)),ROUND(INDEX('1-DATA'!$1:$1048576,IF(OR($B188="STD. DEVIATION",$C$1=1),$A188,$A188+1),COLUMN('1-DATA'!AP186)),IF($B188="STD. DEVIATION",2,$F$1))))</f>
        <v/>
      </c>
      <c r="AR188" s="1" t="str">
        <f>IF(OR($B188="",AR$7=""),"",IF($B188="MEANS",INDEX('1-DATA'!$1:$1048576,$A187-1,COLUMN('1-DATA'!AQ186)),ROUND(INDEX('1-DATA'!$1:$1048576,IF(OR($B188="STD. DEVIATION",$C$1=1),$A188,$A188+1),COLUMN('1-DATA'!AQ186)),IF($B188="STD. DEVIATION",2,$F$1))))</f>
        <v/>
      </c>
      <c r="AS188" s="1" t="str">
        <f>IF(OR($B188="",AS$7=""),"",IF($B188="MEANS",INDEX('1-DATA'!$1:$1048576,$A187-1,COLUMN('1-DATA'!AR186)),ROUND(INDEX('1-DATA'!$1:$1048576,IF(OR($B188="STD. DEVIATION",$C$1=1),$A188,$A188+1),COLUMN('1-DATA'!AR186)),IF($B188="STD. DEVIATION",2,$F$1))))</f>
        <v/>
      </c>
      <c r="AT188" s="1" t="str">
        <f>IF(OR($B188="",AT$7=""),"",IF($B188="MEANS",INDEX('1-DATA'!$1:$1048576,$A187-1,COLUMN('1-DATA'!AS186)),ROUND(INDEX('1-DATA'!$1:$1048576,IF(OR($B188="STD. DEVIATION",$C$1=1),$A188,$A188+1),COLUMN('1-DATA'!AS186)),IF($B188="STD. DEVIATION",2,$F$1))))</f>
        <v/>
      </c>
      <c r="AU188" s="1" t="str">
        <f>IF(OR($B188="",AU$7=""),"",IF($B188="MEANS",INDEX('1-DATA'!$1:$1048576,$A187-1,COLUMN('1-DATA'!AT186)),ROUND(INDEX('1-DATA'!$1:$1048576,IF(OR($B188="STD. DEVIATION",$C$1=1),$A188,$A188+1),COLUMN('1-DATA'!AT186)),IF($B188="STD. DEVIATION",2,$F$1))))</f>
        <v/>
      </c>
      <c r="AV188" s="1" t="str">
        <f>IF(OR($B188="",AV$7=""),"",IF($B188="MEANS",INDEX('1-DATA'!$1:$1048576,$A187-1,COLUMN('1-DATA'!AU186)),ROUND(INDEX('1-DATA'!$1:$1048576,IF(OR($B188="STD. DEVIATION",$C$1=1),$A188,$A188+1),COLUMN('1-DATA'!AU186)),IF($B188="STD. DEVIATION",2,$F$1))))</f>
        <v/>
      </c>
      <c r="AW188" s="1" t="str">
        <f>IF(OR($B188="",AW$7=""),"",IF($B188="MEANS",INDEX('1-DATA'!$1:$1048576,$A187-1,COLUMN('1-DATA'!AV186)),ROUND(INDEX('1-DATA'!$1:$1048576,IF(OR($B188="STD. DEVIATION",$C$1=1),$A188,$A188+1),COLUMN('1-DATA'!AV186)),IF($B188="STD. DEVIATION",2,$F$1))))</f>
        <v/>
      </c>
      <c r="AX188" s="1" t="str">
        <f>IF(OR($B188="",AX$7=""),"",IF($B188="MEANS",INDEX('1-DATA'!$1:$1048576,$A187-1,COLUMN('1-DATA'!AW186)),ROUND(INDEX('1-DATA'!$1:$1048576,IF(OR($B188="STD. DEVIATION",$C$1=1),$A188,$A188+1),COLUMN('1-DATA'!AW186)),IF($B188="STD. DEVIATION",2,$F$1))))</f>
        <v/>
      </c>
      <c r="AY188" s="1" t="str">
        <f>IF(OR($B188="",AY$7=""),"",IF($B188="MEANS",INDEX('1-DATA'!$1:$1048576,$A187-1,COLUMN('1-DATA'!AX186)),ROUND(INDEX('1-DATA'!$1:$1048576,IF(OR($B188="STD. DEVIATION",$C$1=1),$A188,$A188+1),COLUMN('1-DATA'!AX186)),IF($B188="STD. DEVIATION",2,$F$1))))</f>
        <v/>
      </c>
      <c r="AZ188" s="1" t="str">
        <f>IF(OR($B188="",AZ$7=""),"",IF($B188="MEANS",INDEX('1-DATA'!$1:$1048576,$A187-1,COLUMN('1-DATA'!AY186)),ROUND(INDEX('1-DATA'!$1:$1048576,IF(OR($B188="STD. DEVIATION",$C$1=1),$A188,$A188+1),COLUMN('1-DATA'!AY186)),IF($B188="STD. DEVIATION",2,$F$1))))</f>
        <v/>
      </c>
    </row>
    <row r="189" spans="1:52" x14ac:dyDescent="0.25">
      <c r="A189" s="11">
        <f t="shared" si="3"/>
        <v>553</v>
      </c>
      <c r="B189" s="1" t="str">
        <f>IF(B188="STD. DEVIATION",INDEX('1-DATA'!$1:$1048576,$A188-1,1),IF(INDEX('1-DATA'!$1:$1048576,$A189,1)&lt;&gt;"",INDEX('1-DATA'!$1:$1048576,$A189,1),""))</f>
        <v/>
      </c>
      <c r="C189" s="1" t="str">
        <f>IF(OR($B189="",C$7=""),"",IF($B189="MEANS",INDEX('1-DATA'!$1:$1048576,$A188-1,COLUMN('1-DATA'!B187)),ROUND(INDEX('1-DATA'!$1:$1048576,IF(OR($B189="STD. DEVIATION",$C$1=1),$A189,$A189+1),COLUMN('1-DATA'!B187)),IF($B189="STD. DEVIATION",2,$F$1))))</f>
        <v/>
      </c>
      <c r="D189" s="1" t="str">
        <f>IF(OR($B189="",D$7=""),"",IF($B189="MEANS",INDEX('1-DATA'!$1:$1048576,$A188-1,COLUMN('1-DATA'!C187)),ROUND(INDEX('1-DATA'!$1:$1048576,IF(OR($B189="STD. DEVIATION",$C$1=1),$A189,$A189+1),COLUMN('1-DATA'!C187)),IF($B189="STD. DEVIATION",2,$F$1))))</f>
        <v/>
      </c>
      <c r="E189" s="1" t="str">
        <f>IF(OR($B189="",E$7=""),"",IF($B189="MEANS",INDEX('1-DATA'!$1:$1048576,$A188-1,COLUMN('1-DATA'!D187)),ROUND(INDEX('1-DATA'!$1:$1048576,IF(OR($B189="STD. DEVIATION",$C$1=1),$A189,$A189+1),COLUMN('1-DATA'!D187)),IF($B189="STD. DEVIATION",2,$F$1))))</f>
        <v/>
      </c>
      <c r="F189" s="1" t="str">
        <f>IF(OR($B189="",F$7=""),"",IF($B189="MEANS",INDEX('1-DATA'!$1:$1048576,$A188-1,COLUMN('1-DATA'!E187)),ROUND(INDEX('1-DATA'!$1:$1048576,IF(OR($B189="STD. DEVIATION",$C$1=1),$A189,$A189+1),COLUMN('1-DATA'!E187)),IF($B189="STD. DEVIATION",2,$F$1))))</f>
        <v/>
      </c>
      <c r="G189" s="1" t="str">
        <f>IF(OR($B189="",G$7=""),"",IF($B189="MEANS",INDEX('1-DATA'!$1:$1048576,$A188-1,COLUMN('1-DATA'!F187)),ROUND(INDEX('1-DATA'!$1:$1048576,IF(OR($B189="STD. DEVIATION",$C$1=1),$A189,$A189+1),COLUMN('1-DATA'!F187)),IF($B189="STD. DEVIATION",2,$F$1))))</f>
        <v/>
      </c>
      <c r="H189" s="1" t="str">
        <f>IF(OR($B189="",H$7=""),"",IF($B189="MEANS",INDEX('1-DATA'!$1:$1048576,$A188-1,COLUMN('1-DATA'!G187)),ROUND(INDEX('1-DATA'!$1:$1048576,IF(OR($B189="STD. DEVIATION",$C$1=1),$A189,$A189+1),COLUMN('1-DATA'!G187)),IF($B189="STD. DEVIATION",2,$F$1))))</f>
        <v/>
      </c>
      <c r="I189" s="1" t="str">
        <f>IF(OR($B189="",I$7=""),"",IF($B189="MEANS",INDEX('1-DATA'!$1:$1048576,$A188-1,COLUMN('1-DATA'!H187)),ROUND(INDEX('1-DATA'!$1:$1048576,IF(OR($B189="STD. DEVIATION",$C$1=1),$A189,$A189+1),COLUMN('1-DATA'!H187)),IF($B189="STD. DEVIATION",2,$F$1))))</f>
        <v/>
      </c>
      <c r="J189" s="1" t="str">
        <f>IF(OR($B189="",J$7=""),"",IF($B189="MEANS",INDEX('1-DATA'!$1:$1048576,$A188-1,COLUMN('1-DATA'!I187)),ROUND(INDEX('1-DATA'!$1:$1048576,IF(OR($B189="STD. DEVIATION",$C$1=1),$A189,$A189+1),COLUMN('1-DATA'!I187)),IF($B189="STD. DEVIATION",2,$F$1))))</f>
        <v/>
      </c>
      <c r="K189" s="1" t="str">
        <f>IF(OR($B189="",K$7=""),"",IF($B189="MEANS",INDEX('1-DATA'!$1:$1048576,$A188-1,COLUMN('1-DATA'!J187)),ROUND(INDEX('1-DATA'!$1:$1048576,IF(OR($B189="STD. DEVIATION",$C$1=1),$A189,$A189+1),COLUMN('1-DATA'!J187)),IF($B189="STD. DEVIATION",2,$F$1))))</f>
        <v/>
      </c>
      <c r="L189" s="1" t="str">
        <f>IF(OR($B189="",L$7=""),"",IF($B189="MEANS",INDEX('1-DATA'!$1:$1048576,$A188-1,COLUMN('1-DATA'!K187)),ROUND(INDEX('1-DATA'!$1:$1048576,IF(OR($B189="STD. DEVIATION",$C$1=1),$A189,$A189+1),COLUMN('1-DATA'!K187)),IF($B189="STD. DEVIATION",2,$F$1))))</f>
        <v/>
      </c>
      <c r="M189" s="1" t="str">
        <f>IF(OR($B189="",M$7=""),"",IF($B189="MEANS",INDEX('1-DATA'!$1:$1048576,$A188-1,COLUMN('1-DATA'!L187)),ROUND(INDEX('1-DATA'!$1:$1048576,IF(OR($B189="STD. DEVIATION",$C$1=1),$A189,$A189+1),COLUMN('1-DATA'!L187)),IF($B189="STD. DEVIATION",2,$F$1))))</f>
        <v/>
      </c>
      <c r="N189" s="1" t="str">
        <f>IF(OR($B189="",N$7=""),"",IF($B189="MEANS",INDEX('1-DATA'!$1:$1048576,$A188-1,COLUMN('1-DATA'!M187)),ROUND(INDEX('1-DATA'!$1:$1048576,IF(OR($B189="STD. DEVIATION",$C$1=1),$A189,$A189+1),COLUMN('1-DATA'!M187)),IF($B189="STD. DEVIATION",2,$F$1))))</f>
        <v/>
      </c>
      <c r="O189" s="1" t="str">
        <f>IF(OR($B189="",O$7=""),"",IF($B189="MEANS",INDEX('1-DATA'!$1:$1048576,$A188-1,COLUMN('1-DATA'!N187)),ROUND(INDEX('1-DATA'!$1:$1048576,IF(OR($B189="STD. DEVIATION",$C$1=1),$A189,$A189+1),COLUMN('1-DATA'!N187)),IF($B189="STD. DEVIATION",2,$F$1))))</f>
        <v/>
      </c>
      <c r="P189" s="1" t="str">
        <f>IF(OR($B189="",P$7=""),"",IF($B189="MEANS",INDEX('1-DATA'!$1:$1048576,$A188-1,COLUMN('1-DATA'!O187)),ROUND(INDEX('1-DATA'!$1:$1048576,IF(OR($B189="STD. DEVIATION",$C$1=1),$A189,$A189+1),COLUMN('1-DATA'!O187)),IF($B189="STD. DEVIATION",2,$F$1))))</f>
        <v/>
      </c>
      <c r="Q189" s="1" t="str">
        <f>IF(OR($B189="",Q$7=""),"",IF($B189="MEANS",INDEX('1-DATA'!$1:$1048576,$A188-1,COLUMN('1-DATA'!P187)),ROUND(INDEX('1-DATA'!$1:$1048576,IF(OR($B189="STD. DEVIATION",$C$1=1),$A189,$A189+1),COLUMN('1-DATA'!P187)),IF($B189="STD. DEVIATION",2,$F$1))))</f>
        <v/>
      </c>
      <c r="R189" s="1" t="str">
        <f>IF(OR($B189="",R$7=""),"",IF($B189="MEANS",INDEX('1-DATA'!$1:$1048576,$A188-1,COLUMN('1-DATA'!Q187)),ROUND(INDEX('1-DATA'!$1:$1048576,IF(OR($B189="STD. DEVIATION",$C$1=1),$A189,$A189+1),COLUMN('1-DATA'!Q187)),IF($B189="STD. DEVIATION",2,$F$1))))</f>
        <v/>
      </c>
      <c r="S189" s="1" t="str">
        <f>IF(OR($B189="",S$7=""),"",IF($B189="MEANS",INDEX('1-DATA'!$1:$1048576,$A188-1,COLUMN('1-DATA'!R187)),ROUND(INDEX('1-DATA'!$1:$1048576,IF(OR($B189="STD. DEVIATION",$C$1=1),$A189,$A189+1),COLUMN('1-DATA'!R187)),IF($B189="STD. DEVIATION",2,$F$1))))</f>
        <v/>
      </c>
      <c r="T189" s="1" t="str">
        <f>IF(OR($B189="",T$7=""),"",IF($B189="MEANS",INDEX('1-DATA'!$1:$1048576,$A188-1,COLUMN('1-DATA'!S187)),ROUND(INDEX('1-DATA'!$1:$1048576,IF(OR($B189="STD. DEVIATION",$C$1=1),$A189,$A189+1),COLUMN('1-DATA'!S187)),IF($B189="STD. DEVIATION",2,$F$1))))</f>
        <v/>
      </c>
      <c r="U189" s="1" t="str">
        <f>IF(OR($B189="",U$7=""),"",IF($B189="MEANS",INDEX('1-DATA'!$1:$1048576,$A188-1,COLUMN('1-DATA'!T187)),ROUND(INDEX('1-DATA'!$1:$1048576,IF(OR($B189="STD. DEVIATION",$C$1=1),$A189,$A189+1),COLUMN('1-DATA'!T187)),IF($B189="STD. DEVIATION",2,$F$1))))</f>
        <v/>
      </c>
      <c r="V189" s="1" t="str">
        <f>IF(OR($B189="",V$7=""),"",IF($B189="MEANS",INDEX('1-DATA'!$1:$1048576,$A188-1,COLUMN('1-DATA'!U187)),ROUND(INDEX('1-DATA'!$1:$1048576,IF(OR($B189="STD. DEVIATION",$C$1=1),$A189,$A189+1),COLUMN('1-DATA'!U187)),IF($B189="STD. DEVIATION",2,$F$1))))</f>
        <v/>
      </c>
      <c r="W189" s="1" t="str">
        <f>IF(OR($B189="",W$7=""),"",IF($B189="MEANS",INDEX('1-DATA'!$1:$1048576,$A188-1,COLUMN('1-DATA'!V187)),ROUND(INDEX('1-DATA'!$1:$1048576,IF(OR($B189="STD. DEVIATION",$C$1=1),$A189,$A189+1),COLUMN('1-DATA'!V187)),IF($B189="STD. DEVIATION",2,$F$1))))</f>
        <v/>
      </c>
      <c r="X189" s="1" t="str">
        <f>IF(OR($B189="",X$7=""),"",IF($B189="MEANS",INDEX('1-DATA'!$1:$1048576,$A188-1,COLUMN('1-DATA'!W187)),ROUND(INDEX('1-DATA'!$1:$1048576,IF(OR($B189="STD. DEVIATION",$C$1=1),$A189,$A189+1),COLUMN('1-DATA'!W187)),IF($B189="STD. DEVIATION",2,$F$1))))</f>
        <v/>
      </c>
      <c r="Y189" s="1" t="str">
        <f>IF(OR($B189="",Y$7=""),"",IF($B189="MEANS",INDEX('1-DATA'!$1:$1048576,$A188-1,COLUMN('1-DATA'!X187)),ROUND(INDEX('1-DATA'!$1:$1048576,IF(OR($B189="STD. DEVIATION",$C$1=1),$A189,$A189+1),COLUMN('1-DATA'!X187)),IF($B189="STD. DEVIATION",2,$F$1))))</f>
        <v/>
      </c>
      <c r="Z189" s="1" t="str">
        <f>IF(OR($B189="",Z$7=""),"",IF($B189="MEANS",INDEX('1-DATA'!$1:$1048576,$A188-1,COLUMN('1-DATA'!Y187)),ROUND(INDEX('1-DATA'!$1:$1048576,IF(OR($B189="STD. DEVIATION",$C$1=1),$A189,$A189+1),COLUMN('1-DATA'!Y187)),IF($B189="STD. DEVIATION",2,$F$1))))</f>
        <v/>
      </c>
      <c r="AA189" s="1" t="str">
        <f>IF(OR($B189="",AA$7=""),"",IF($B189="MEANS",INDEX('1-DATA'!$1:$1048576,$A188-1,COLUMN('1-DATA'!Z187)),ROUND(INDEX('1-DATA'!$1:$1048576,IF(OR($B189="STD. DEVIATION",$C$1=1),$A189,$A189+1),COLUMN('1-DATA'!Z187)),IF($B189="STD. DEVIATION",2,$F$1))))</f>
        <v/>
      </c>
      <c r="AB189" s="1" t="str">
        <f>IF(OR($B189="",AB$7=""),"",IF($B189="MEANS",INDEX('1-DATA'!$1:$1048576,$A188-1,COLUMN('1-DATA'!AA187)),ROUND(INDEX('1-DATA'!$1:$1048576,IF(OR($B189="STD. DEVIATION",$C$1=1),$A189,$A189+1),COLUMN('1-DATA'!AA187)),IF($B189="STD. DEVIATION",2,$F$1))))</f>
        <v/>
      </c>
      <c r="AC189" s="1" t="str">
        <f>IF(OR($B189="",AC$7=""),"",IF($B189="MEANS",INDEX('1-DATA'!$1:$1048576,$A188-1,COLUMN('1-DATA'!AB187)),ROUND(INDEX('1-DATA'!$1:$1048576,IF(OR($B189="STD. DEVIATION",$C$1=1),$A189,$A189+1),COLUMN('1-DATA'!AB187)),IF($B189="STD. DEVIATION",2,$F$1))))</f>
        <v/>
      </c>
      <c r="AD189" s="1" t="str">
        <f>IF(OR($B189="",AD$7=""),"",IF($B189="MEANS",INDEX('1-DATA'!$1:$1048576,$A188-1,COLUMN('1-DATA'!AC187)),ROUND(INDEX('1-DATA'!$1:$1048576,IF(OR($B189="STD. DEVIATION",$C$1=1),$A189,$A189+1),COLUMN('1-DATA'!AC187)),IF($B189="STD. DEVIATION",2,$F$1))))</f>
        <v/>
      </c>
      <c r="AE189" s="1" t="str">
        <f>IF(OR($B189="",AE$7=""),"",IF($B189="MEANS",INDEX('1-DATA'!$1:$1048576,$A188-1,COLUMN('1-DATA'!AD187)),ROUND(INDEX('1-DATA'!$1:$1048576,IF(OR($B189="STD. DEVIATION",$C$1=1),$A189,$A189+1),COLUMN('1-DATA'!AD187)),IF($B189="STD. DEVIATION",2,$F$1))))</f>
        <v/>
      </c>
      <c r="AF189" s="1" t="str">
        <f>IF(OR($B189="",AF$7=""),"",IF($B189="MEANS",INDEX('1-DATA'!$1:$1048576,$A188-1,COLUMN('1-DATA'!AE187)),ROUND(INDEX('1-DATA'!$1:$1048576,IF(OR($B189="STD. DEVIATION",$C$1=1),$A189,$A189+1),COLUMN('1-DATA'!AE187)),IF($B189="STD. DEVIATION",2,$F$1))))</f>
        <v/>
      </c>
      <c r="AG189" s="1" t="str">
        <f>IF(OR($B189="",AG$7=""),"",IF($B189="MEANS",INDEX('1-DATA'!$1:$1048576,$A188-1,COLUMN('1-DATA'!AF187)),ROUND(INDEX('1-DATA'!$1:$1048576,IF(OR($B189="STD. DEVIATION",$C$1=1),$A189,$A189+1),COLUMN('1-DATA'!AF187)),IF($B189="STD. DEVIATION",2,$F$1))))</f>
        <v/>
      </c>
      <c r="AH189" s="1" t="str">
        <f>IF(OR($B189="",AH$7=""),"",IF($B189="MEANS",INDEX('1-DATA'!$1:$1048576,$A188-1,COLUMN('1-DATA'!AG187)),ROUND(INDEX('1-DATA'!$1:$1048576,IF(OR($B189="STD. DEVIATION",$C$1=1),$A189,$A189+1),COLUMN('1-DATA'!AG187)),IF($B189="STD. DEVIATION",2,$F$1))))</f>
        <v/>
      </c>
      <c r="AI189" s="1" t="str">
        <f>IF(OR($B189="",AI$7=""),"",IF($B189="MEANS",INDEX('1-DATA'!$1:$1048576,$A188-1,COLUMN('1-DATA'!AH187)),ROUND(INDEX('1-DATA'!$1:$1048576,IF(OR($B189="STD. DEVIATION",$C$1=1),$A189,$A189+1),COLUMN('1-DATA'!AH187)),IF($B189="STD. DEVIATION",2,$F$1))))</f>
        <v/>
      </c>
      <c r="AJ189" s="1" t="str">
        <f>IF(OR($B189="",AJ$7=""),"",IF($B189="MEANS",INDEX('1-DATA'!$1:$1048576,$A188-1,COLUMN('1-DATA'!AI187)),ROUND(INDEX('1-DATA'!$1:$1048576,IF(OR($B189="STD. DEVIATION",$C$1=1),$A189,$A189+1),COLUMN('1-DATA'!AI187)),IF($B189="STD. DEVIATION",2,$F$1))))</f>
        <v/>
      </c>
      <c r="AK189" s="1" t="str">
        <f>IF(OR($B189="",AK$7=""),"",IF($B189="MEANS",INDEX('1-DATA'!$1:$1048576,$A188-1,COLUMN('1-DATA'!AJ187)),ROUND(INDEX('1-DATA'!$1:$1048576,IF(OR($B189="STD. DEVIATION",$C$1=1),$A189,$A189+1),COLUMN('1-DATA'!AJ187)),IF($B189="STD. DEVIATION",2,$F$1))))</f>
        <v/>
      </c>
      <c r="AL189" s="1" t="str">
        <f>IF(OR($B189="",AL$7=""),"",IF($B189="MEANS",INDEX('1-DATA'!$1:$1048576,$A188-1,COLUMN('1-DATA'!AK187)),ROUND(INDEX('1-DATA'!$1:$1048576,IF(OR($B189="STD. DEVIATION",$C$1=1),$A189,$A189+1),COLUMN('1-DATA'!AK187)),IF($B189="STD. DEVIATION",2,$F$1))))</f>
        <v/>
      </c>
      <c r="AM189" s="1" t="str">
        <f>IF(OR($B189="",AM$7=""),"",IF($B189="MEANS",INDEX('1-DATA'!$1:$1048576,$A188-1,COLUMN('1-DATA'!AL187)),ROUND(INDEX('1-DATA'!$1:$1048576,IF(OR($B189="STD. DEVIATION",$C$1=1),$A189,$A189+1),COLUMN('1-DATA'!AL187)),IF($B189="STD. DEVIATION",2,$F$1))))</f>
        <v/>
      </c>
      <c r="AN189" s="1" t="str">
        <f>IF(OR($B189="",AN$7=""),"",IF($B189="MEANS",INDEX('1-DATA'!$1:$1048576,$A188-1,COLUMN('1-DATA'!AM187)),ROUND(INDEX('1-DATA'!$1:$1048576,IF(OR($B189="STD. DEVIATION",$C$1=1),$A189,$A189+1),COLUMN('1-DATA'!AM187)),IF($B189="STD. DEVIATION",2,$F$1))))</f>
        <v/>
      </c>
      <c r="AO189" s="1" t="str">
        <f>IF(OR($B189="",AO$7=""),"",IF($B189="MEANS",INDEX('1-DATA'!$1:$1048576,$A188-1,COLUMN('1-DATA'!AN187)),ROUND(INDEX('1-DATA'!$1:$1048576,IF(OR($B189="STD. DEVIATION",$C$1=1),$A189,$A189+1),COLUMN('1-DATA'!AN187)),IF($B189="STD. DEVIATION",2,$F$1))))</f>
        <v/>
      </c>
      <c r="AP189" s="1" t="str">
        <f>IF(OR($B189="",AP$7=""),"",IF($B189="MEANS",INDEX('1-DATA'!$1:$1048576,$A188-1,COLUMN('1-DATA'!AO187)),ROUND(INDEX('1-DATA'!$1:$1048576,IF(OR($B189="STD. DEVIATION",$C$1=1),$A189,$A189+1),COLUMN('1-DATA'!AO187)),IF($B189="STD. DEVIATION",2,$F$1))))</f>
        <v/>
      </c>
      <c r="AQ189" s="1" t="str">
        <f>IF(OR($B189="",AQ$7=""),"",IF($B189="MEANS",INDEX('1-DATA'!$1:$1048576,$A188-1,COLUMN('1-DATA'!AP187)),ROUND(INDEX('1-DATA'!$1:$1048576,IF(OR($B189="STD. DEVIATION",$C$1=1),$A189,$A189+1),COLUMN('1-DATA'!AP187)),IF($B189="STD. DEVIATION",2,$F$1))))</f>
        <v/>
      </c>
      <c r="AR189" s="1" t="str">
        <f>IF(OR($B189="",AR$7=""),"",IF($B189="MEANS",INDEX('1-DATA'!$1:$1048576,$A188-1,COLUMN('1-DATA'!AQ187)),ROUND(INDEX('1-DATA'!$1:$1048576,IF(OR($B189="STD. DEVIATION",$C$1=1),$A189,$A189+1),COLUMN('1-DATA'!AQ187)),IF($B189="STD. DEVIATION",2,$F$1))))</f>
        <v/>
      </c>
      <c r="AS189" s="1" t="str">
        <f>IF(OR($B189="",AS$7=""),"",IF($B189="MEANS",INDEX('1-DATA'!$1:$1048576,$A188-1,COLUMN('1-DATA'!AR187)),ROUND(INDEX('1-DATA'!$1:$1048576,IF(OR($B189="STD. DEVIATION",$C$1=1),$A189,$A189+1),COLUMN('1-DATA'!AR187)),IF($B189="STD. DEVIATION",2,$F$1))))</f>
        <v/>
      </c>
      <c r="AT189" s="1" t="str">
        <f>IF(OR($B189="",AT$7=""),"",IF($B189="MEANS",INDEX('1-DATA'!$1:$1048576,$A188-1,COLUMN('1-DATA'!AS187)),ROUND(INDEX('1-DATA'!$1:$1048576,IF(OR($B189="STD. DEVIATION",$C$1=1),$A189,$A189+1),COLUMN('1-DATA'!AS187)),IF($B189="STD. DEVIATION",2,$F$1))))</f>
        <v/>
      </c>
      <c r="AU189" s="1" t="str">
        <f>IF(OR($B189="",AU$7=""),"",IF($B189="MEANS",INDEX('1-DATA'!$1:$1048576,$A188-1,COLUMN('1-DATA'!AT187)),ROUND(INDEX('1-DATA'!$1:$1048576,IF(OR($B189="STD. DEVIATION",$C$1=1),$A189,$A189+1),COLUMN('1-DATA'!AT187)),IF($B189="STD. DEVIATION",2,$F$1))))</f>
        <v/>
      </c>
      <c r="AV189" s="1" t="str">
        <f>IF(OR($B189="",AV$7=""),"",IF($B189="MEANS",INDEX('1-DATA'!$1:$1048576,$A188-1,COLUMN('1-DATA'!AU187)),ROUND(INDEX('1-DATA'!$1:$1048576,IF(OR($B189="STD. DEVIATION",$C$1=1),$A189,$A189+1),COLUMN('1-DATA'!AU187)),IF($B189="STD. DEVIATION",2,$F$1))))</f>
        <v/>
      </c>
      <c r="AW189" s="1" t="str">
        <f>IF(OR($B189="",AW$7=""),"",IF($B189="MEANS",INDEX('1-DATA'!$1:$1048576,$A188-1,COLUMN('1-DATA'!AV187)),ROUND(INDEX('1-DATA'!$1:$1048576,IF(OR($B189="STD. DEVIATION",$C$1=1),$A189,$A189+1),COLUMN('1-DATA'!AV187)),IF($B189="STD. DEVIATION",2,$F$1))))</f>
        <v/>
      </c>
      <c r="AX189" s="1" t="str">
        <f>IF(OR($B189="",AX$7=""),"",IF($B189="MEANS",INDEX('1-DATA'!$1:$1048576,$A188-1,COLUMN('1-DATA'!AW187)),ROUND(INDEX('1-DATA'!$1:$1048576,IF(OR($B189="STD. DEVIATION",$C$1=1),$A189,$A189+1),COLUMN('1-DATA'!AW187)),IF($B189="STD. DEVIATION",2,$F$1))))</f>
        <v/>
      </c>
      <c r="AY189" s="1" t="str">
        <f>IF(OR($B189="",AY$7=""),"",IF($B189="MEANS",INDEX('1-DATA'!$1:$1048576,$A188-1,COLUMN('1-DATA'!AX187)),ROUND(INDEX('1-DATA'!$1:$1048576,IF(OR($B189="STD. DEVIATION",$C$1=1),$A189,$A189+1),COLUMN('1-DATA'!AX187)),IF($B189="STD. DEVIATION",2,$F$1))))</f>
        <v/>
      </c>
      <c r="AZ189" s="1" t="str">
        <f>IF(OR($B189="",AZ$7=""),"",IF($B189="MEANS",INDEX('1-DATA'!$1:$1048576,$A188-1,COLUMN('1-DATA'!AY187)),ROUND(INDEX('1-DATA'!$1:$1048576,IF(OR($B189="STD. DEVIATION",$C$1=1),$A189,$A189+1),COLUMN('1-DATA'!AY187)),IF($B189="STD. DEVIATION",2,$F$1))))</f>
        <v/>
      </c>
    </row>
    <row r="190" spans="1:52" x14ac:dyDescent="0.25">
      <c r="A190" s="11">
        <f t="shared" si="3"/>
        <v>556</v>
      </c>
      <c r="B190" s="1" t="str">
        <f>IF(B189="STD. DEVIATION",INDEX('1-DATA'!$1:$1048576,$A189-1,1),IF(INDEX('1-DATA'!$1:$1048576,$A190,1)&lt;&gt;"",INDEX('1-DATA'!$1:$1048576,$A190,1),""))</f>
        <v/>
      </c>
      <c r="C190" s="1" t="str">
        <f>IF(OR($B190="",C$7=""),"",IF($B190="MEANS",INDEX('1-DATA'!$1:$1048576,$A189-1,COLUMN('1-DATA'!B188)),ROUND(INDEX('1-DATA'!$1:$1048576,IF(OR($B190="STD. DEVIATION",$C$1=1),$A190,$A190+1),COLUMN('1-DATA'!B188)),IF($B190="STD. DEVIATION",2,$F$1))))</f>
        <v/>
      </c>
      <c r="D190" s="1" t="str">
        <f>IF(OR($B190="",D$7=""),"",IF($B190="MEANS",INDEX('1-DATA'!$1:$1048576,$A189-1,COLUMN('1-DATA'!C188)),ROUND(INDEX('1-DATA'!$1:$1048576,IF(OR($B190="STD. DEVIATION",$C$1=1),$A190,$A190+1),COLUMN('1-DATA'!C188)),IF($B190="STD. DEVIATION",2,$F$1))))</f>
        <v/>
      </c>
      <c r="E190" s="1" t="str">
        <f>IF(OR($B190="",E$7=""),"",IF($B190="MEANS",INDEX('1-DATA'!$1:$1048576,$A189-1,COLUMN('1-DATA'!D188)),ROUND(INDEX('1-DATA'!$1:$1048576,IF(OR($B190="STD. DEVIATION",$C$1=1),$A190,$A190+1),COLUMN('1-DATA'!D188)),IF($B190="STD. DEVIATION",2,$F$1))))</f>
        <v/>
      </c>
      <c r="F190" s="1" t="str">
        <f>IF(OR($B190="",F$7=""),"",IF($B190="MEANS",INDEX('1-DATA'!$1:$1048576,$A189-1,COLUMN('1-DATA'!E188)),ROUND(INDEX('1-DATA'!$1:$1048576,IF(OR($B190="STD. DEVIATION",$C$1=1),$A190,$A190+1),COLUMN('1-DATA'!E188)),IF($B190="STD. DEVIATION",2,$F$1))))</f>
        <v/>
      </c>
      <c r="G190" s="1" t="str">
        <f>IF(OR($B190="",G$7=""),"",IF($B190="MEANS",INDEX('1-DATA'!$1:$1048576,$A189-1,COLUMN('1-DATA'!F188)),ROUND(INDEX('1-DATA'!$1:$1048576,IF(OR($B190="STD. DEVIATION",$C$1=1),$A190,$A190+1),COLUMN('1-DATA'!F188)),IF($B190="STD. DEVIATION",2,$F$1))))</f>
        <v/>
      </c>
      <c r="H190" s="1" t="str">
        <f>IF(OR($B190="",H$7=""),"",IF($B190="MEANS",INDEX('1-DATA'!$1:$1048576,$A189-1,COLUMN('1-DATA'!G188)),ROUND(INDEX('1-DATA'!$1:$1048576,IF(OR($B190="STD. DEVIATION",$C$1=1),$A190,$A190+1),COLUMN('1-DATA'!G188)),IF($B190="STD. DEVIATION",2,$F$1))))</f>
        <v/>
      </c>
      <c r="I190" s="1" t="str">
        <f>IF(OR($B190="",I$7=""),"",IF($B190="MEANS",INDEX('1-DATA'!$1:$1048576,$A189-1,COLUMN('1-DATA'!H188)),ROUND(INDEX('1-DATA'!$1:$1048576,IF(OR($B190="STD. DEVIATION",$C$1=1),$A190,$A190+1),COLUMN('1-DATA'!H188)),IF($B190="STD. DEVIATION",2,$F$1))))</f>
        <v/>
      </c>
      <c r="J190" s="1" t="str">
        <f>IF(OR($B190="",J$7=""),"",IF($B190="MEANS",INDEX('1-DATA'!$1:$1048576,$A189-1,COLUMN('1-DATA'!I188)),ROUND(INDEX('1-DATA'!$1:$1048576,IF(OR($B190="STD. DEVIATION",$C$1=1),$A190,$A190+1),COLUMN('1-DATA'!I188)),IF($B190="STD. DEVIATION",2,$F$1))))</f>
        <v/>
      </c>
      <c r="K190" s="1" t="str">
        <f>IF(OR($B190="",K$7=""),"",IF($B190="MEANS",INDEX('1-DATA'!$1:$1048576,$A189-1,COLUMN('1-DATA'!J188)),ROUND(INDEX('1-DATA'!$1:$1048576,IF(OR($B190="STD. DEVIATION",$C$1=1),$A190,$A190+1),COLUMN('1-DATA'!J188)),IF($B190="STD. DEVIATION",2,$F$1))))</f>
        <v/>
      </c>
      <c r="L190" s="1" t="str">
        <f>IF(OR($B190="",L$7=""),"",IF($B190="MEANS",INDEX('1-DATA'!$1:$1048576,$A189-1,COLUMN('1-DATA'!K188)),ROUND(INDEX('1-DATA'!$1:$1048576,IF(OR($B190="STD. DEVIATION",$C$1=1),$A190,$A190+1),COLUMN('1-DATA'!K188)),IF($B190="STD. DEVIATION",2,$F$1))))</f>
        <v/>
      </c>
      <c r="M190" s="1" t="str">
        <f>IF(OR($B190="",M$7=""),"",IF($B190="MEANS",INDEX('1-DATA'!$1:$1048576,$A189-1,COLUMN('1-DATA'!L188)),ROUND(INDEX('1-DATA'!$1:$1048576,IF(OR($B190="STD. DEVIATION",$C$1=1),$A190,$A190+1),COLUMN('1-DATA'!L188)),IF($B190="STD. DEVIATION",2,$F$1))))</f>
        <v/>
      </c>
      <c r="N190" s="1" t="str">
        <f>IF(OR($B190="",N$7=""),"",IF($B190="MEANS",INDEX('1-DATA'!$1:$1048576,$A189-1,COLUMN('1-DATA'!M188)),ROUND(INDEX('1-DATA'!$1:$1048576,IF(OR($B190="STD. DEVIATION",$C$1=1),$A190,$A190+1),COLUMN('1-DATA'!M188)),IF($B190="STD. DEVIATION",2,$F$1))))</f>
        <v/>
      </c>
      <c r="O190" s="1" t="str">
        <f>IF(OR($B190="",O$7=""),"",IF($B190="MEANS",INDEX('1-DATA'!$1:$1048576,$A189-1,COLUMN('1-DATA'!N188)),ROUND(INDEX('1-DATA'!$1:$1048576,IF(OR($B190="STD. DEVIATION",$C$1=1),$A190,$A190+1),COLUMN('1-DATA'!N188)),IF($B190="STD. DEVIATION",2,$F$1))))</f>
        <v/>
      </c>
      <c r="P190" s="1" t="str">
        <f>IF(OR($B190="",P$7=""),"",IF($B190="MEANS",INDEX('1-DATA'!$1:$1048576,$A189-1,COLUMN('1-DATA'!O188)),ROUND(INDEX('1-DATA'!$1:$1048576,IF(OR($B190="STD. DEVIATION",$C$1=1),$A190,$A190+1),COLUMN('1-DATA'!O188)),IF($B190="STD. DEVIATION",2,$F$1))))</f>
        <v/>
      </c>
      <c r="Q190" s="1" t="str">
        <f>IF(OR($B190="",Q$7=""),"",IF($B190="MEANS",INDEX('1-DATA'!$1:$1048576,$A189-1,COLUMN('1-DATA'!P188)),ROUND(INDEX('1-DATA'!$1:$1048576,IF(OR($B190="STD. DEVIATION",$C$1=1),$A190,$A190+1),COLUMN('1-DATA'!P188)),IF($B190="STD. DEVIATION",2,$F$1))))</f>
        <v/>
      </c>
      <c r="R190" s="1" t="str">
        <f>IF(OR($B190="",R$7=""),"",IF($B190="MEANS",INDEX('1-DATA'!$1:$1048576,$A189-1,COLUMN('1-DATA'!Q188)),ROUND(INDEX('1-DATA'!$1:$1048576,IF(OR($B190="STD. DEVIATION",$C$1=1),$A190,$A190+1),COLUMN('1-DATA'!Q188)),IF($B190="STD. DEVIATION",2,$F$1))))</f>
        <v/>
      </c>
      <c r="S190" s="1" t="str">
        <f>IF(OR($B190="",S$7=""),"",IF($B190="MEANS",INDEX('1-DATA'!$1:$1048576,$A189-1,COLUMN('1-DATA'!R188)),ROUND(INDEX('1-DATA'!$1:$1048576,IF(OR($B190="STD. DEVIATION",$C$1=1),$A190,$A190+1),COLUMN('1-DATA'!R188)),IF($B190="STD. DEVIATION",2,$F$1))))</f>
        <v/>
      </c>
      <c r="T190" s="1" t="str">
        <f>IF(OR($B190="",T$7=""),"",IF($B190="MEANS",INDEX('1-DATA'!$1:$1048576,$A189-1,COLUMN('1-DATA'!S188)),ROUND(INDEX('1-DATA'!$1:$1048576,IF(OR($B190="STD. DEVIATION",$C$1=1),$A190,$A190+1),COLUMN('1-DATA'!S188)),IF($B190="STD. DEVIATION",2,$F$1))))</f>
        <v/>
      </c>
      <c r="U190" s="1" t="str">
        <f>IF(OR($B190="",U$7=""),"",IF($B190="MEANS",INDEX('1-DATA'!$1:$1048576,$A189-1,COLUMN('1-DATA'!T188)),ROUND(INDEX('1-DATA'!$1:$1048576,IF(OR($B190="STD. DEVIATION",$C$1=1),$A190,$A190+1),COLUMN('1-DATA'!T188)),IF($B190="STD. DEVIATION",2,$F$1))))</f>
        <v/>
      </c>
      <c r="V190" s="1" t="str">
        <f>IF(OR($B190="",V$7=""),"",IF($B190="MEANS",INDEX('1-DATA'!$1:$1048576,$A189-1,COLUMN('1-DATA'!U188)),ROUND(INDEX('1-DATA'!$1:$1048576,IF(OR($B190="STD. DEVIATION",$C$1=1),$A190,$A190+1),COLUMN('1-DATA'!U188)),IF($B190="STD. DEVIATION",2,$F$1))))</f>
        <v/>
      </c>
      <c r="W190" s="1" t="str">
        <f>IF(OR($B190="",W$7=""),"",IF($B190="MEANS",INDEX('1-DATA'!$1:$1048576,$A189-1,COLUMN('1-DATA'!V188)),ROUND(INDEX('1-DATA'!$1:$1048576,IF(OR($B190="STD. DEVIATION",$C$1=1),$A190,$A190+1),COLUMN('1-DATA'!V188)),IF($B190="STD. DEVIATION",2,$F$1))))</f>
        <v/>
      </c>
      <c r="X190" s="1" t="str">
        <f>IF(OR($B190="",X$7=""),"",IF($B190="MEANS",INDEX('1-DATA'!$1:$1048576,$A189-1,COLUMN('1-DATA'!W188)),ROUND(INDEX('1-DATA'!$1:$1048576,IF(OR($B190="STD. DEVIATION",$C$1=1),$A190,$A190+1),COLUMN('1-DATA'!W188)),IF($B190="STD. DEVIATION",2,$F$1))))</f>
        <v/>
      </c>
      <c r="Y190" s="1" t="str">
        <f>IF(OR($B190="",Y$7=""),"",IF($B190="MEANS",INDEX('1-DATA'!$1:$1048576,$A189-1,COLUMN('1-DATA'!X188)),ROUND(INDEX('1-DATA'!$1:$1048576,IF(OR($B190="STD. DEVIATION",$C$1=1),$A190,$A190+1),COLUMN('1-DATA'!X188)),IF($B190="STD. DEVIATION",2,$F$1))))</f>
        <v/>
      </c>
      <c r="Z190" s="1" t="str">
        <f>IF(OR($B190="",Z$7=""),"",IF($B190="MEANS",INDEX('1-DATA'!$1:$1048576,$A189-1,COLUMN('1-DATA'!Y188)),ROUND(INDEX('1-DATA'!$1:$1048576,IF(OR($B190="STD. DEVIATION",$C$1=1),$A190,$A190+1),COLUMN('1-DATA'!Y188)),IF($B190="STD. DEVIATION",2,$F$1))))</f>
        <v/>
      </c>
      <c r="AA190" s="1" t="str">
        <f>IF(OR($B190="",AA$7=""),"",IF($B190="MEANS",INDEX('1-DATA'!$1:$1048576,$A189-1,COLUMN('1-DATA'!Z188)),ROUND(INDEX('1-DATA'!$1:$1048576,IF(OR($B190="STD. DEVIATION",$C$1=1),$A190,$A190+1),COLUMN('1-DATA'!Z188)),IF($B190="STD. DEVIATION",2,$F$1))))</f>
        <v/>
      </c>
      <c r="AB190" s="1" t="str">
        <f>IF(OR($B190="",AB$7=""),"",IF($B190="MEANS",INDEX('1-DATA'!$1:$1048576,$A189-1,COLUMN('1-DATA'!AA188)),ROUND(INDEX('1-DATA'!$1:$1048576,IF(OR($B190="STD. DEVIATION",$C$1=1),$A190,$A190+1),COLUMN('1-DATA'!AA188)),IF($B190="STD. DEVIATION",2,$F$1))))</f>
        <v/>
      </c>
      <c r="AC190" s="1" t="str">
        <f>IF(OR($B190="",AC$7=""),"",IF($B190="MEANS",INDEX('1-DATA'!$1:$1048576,$A189-1,COLUMN('1-DATA'!AB188)),ROUND(INDEX('1-DATA'!$1:$1048576,IF(OR($B190="STD. DEVIATION",$C$1=1),$A190,$A190+1),COLUMN('1-DATA'!AB188)),IF($B190="STD. DEVIATION",2,$F$1))))</f>
        <v/>
      </c>
      <c r="AD190" s="1" t="str">
        <f>IF(OR($B190="",AD$7=""),"",IF($B190="MEANS",INDEX('1-DATA'!$1:$1048576,$A189-1,COLUMN('1-DATA'!AC188)),ROUND(INDEX('1-DATA'!$1:$1048576,IF(OR($B190="STD. DEVIATION",$C$1=1),$A190,$A190+1),COLUMN('1-DATA'!AC188)),IF($B190="STD. DEVIATION",2,$F$1))))</f>
        <v/>
      </c>
      <c r="AE190" s="1" t="str">
        <f>IF(OR($B190="",AE$7=""),"",IF($B190="MEANS",INDEX('1-DATA'!$1:$1048576,$A189-1,COLUMN('1-DATA'!AD188)),ROUND(INDEX('1-DATA'!$1:$1048576,IF(OR($B190="STD. DEVIATION",$C$1=1),$A190,$A190+1),COLUMN('1-DATA'!AD188)),IF($B190="STD. DEVIATION",2,$F$1))))</f>
        <v/>
      </c>
      <c r="AF190" s="1" t="str">
        <f>IF(OR($B190="",AF$7=""),"",IF($B190="MEANS",INDEX('1-DATA'!$1:$1048576,$A189-1,COLUMN('1-DATA'!AE188)),ROUND(INDEX('1-DATA'!$1:$1048576,IF(OR($B190="STD. DEVIATION",$C$1=1),$A190,$A190+1),COLUMN('1-DATA'!AE188)),IF($B190="STD. DEVIATION",2,$F$1))))</f>
        <v/>
      </c>
      <c r="AG190" s="1" t="str">
        <f>IF(OR($B190="",AG$7=""),"",IF($B190="MEANS",INDEX('1-DATA'!$1:$1048576,$A189-1,COLUMN('1-DATA'!AF188)),ROUND(INDEX('1-DATA'!$1:$1048576,IF(OR($B190="STD. DEVIATION",$C$1=1),$A190,$A190+1),COLUMN('1-DATA'!AF188)),IF($B190="STD. DEVIATION",2,$F$1))))</f>
        <v/>
      </c>
      <c r="AH190" s="1" t="str">
        <f>IF(OR($B190="",AH$7=""),"",IF($B190="MEANS",INDEX('1-DATA'!$1:$1048576,$A189-1,COLUMN('1-DATA'!AG188)),ROUND(INDEX('1-DATA'!$1:$1048576,IF(OR($B190="STD. DEVIATION",$C$1=1),$A190,$A190+1),COLUMN('1-DATA'!AG188)),IF($B190="STD. DEVIATION",2,$F$1))))</f>
        <v/>
      </c>
      <c r="AI190" s="1" t="str">
        <f>IF(OR($B190="",AI$7=""),"",IF($B190="MEANS",INDEX('1-DATA'!$1:$1048576,$A189-1,COLUMN('1-DATA'!AH188)),ROUND(INDEX('1-DATA'!$1:$1048576,IF(OR($B190="STD. DEVIATION",$C$1=1),$A190,$A190+1),COLUMN('1-DATA'!AH188)),IF($B190="STD. DEVIATION",2,$F$1))))</f>
        <v/>
      </c>
      <c r="AJ190" s="1" t="str">
        <f>IF(OR($B190="",AJ$7=""),"",IF($B190="MEANS",INDEX('1-DATA'!$1:$1048576,$A189-1,COLUMN('1-DATA'!AI188)),ROUND(INDEX('1-DATA'!$1:$1048576,IF(OR($B190="STD. DEVIATION",$C$1=1),$A190,$A190+1),COLUMN('1-DATA'!AI188)),IF($B190="STD. DEVIATION",2,$F$1))))</f>
        <v/>
      </c>
      <c r="AK190" s="1" t="str">
        <f>IF(OR($B190="",AK$7=""),"",IF($B190="MEANS",INDEX('1-DATA'!$1:$1048576,$A189-1,COLUMN('1-DATA'!AJ188)),ROUND(INDEX('1-DATA'!$1:$1048576,IF(OR($B190="STD. DEVIATION",$C$1=1),$A190,$A190+1),COLUMN('1-DATA'!AJ188)),IF($B190="STD. DEVIATION",2,$F$1))))</f>
        <v/>
      </c>
      <c r="AL190" s="1" t="str">
        <f>IF(OR($B190="",AL$7=""),"",IF($B190="MEANS",INDEX('1-DATA'!$1:$1048576,$A189-1,COLUMN('1-DATA'!AK188)),ROUND(INDEX('1-DATA'!$1:$1048576,IF(OR($B190="STD. DEVIATION",$C$1=1),$A190,$A190+1),COLUMN('1-DATA'!AK188)),IF($B190="STD. DEVIATION",2,$F$1))))</f>
        <v/>
      </c>
      <c r="AM190" s="1" t="str">
        <f>IF(OR($B190="",AM$7=""),"",IF($B190="MEANS",INDEX('1-DATA'!$1:$1048576,$A189-1,COLUMN('1-DATA'!AL188)),ROUND(INDEX('1-DATA'!$1:$1048576,IF(OR($B190="STD. DEVIATION",$C$1=1),$A190,$A190+1),COLUMN('1-DATA'!AL188)),IF($B190="STD. DEVIATION",2,$F$1))))</f>
        <v/>
      </c>
      <c r="AN190" s="1" t="str">
        <f>IF(OR($B190="",AN$7=""),"",IF($B190="MEANS",INDEX('1-DATA'!$1:$1048576,$A189-1,COLUMN('1-DATA'!AM188)),ROUND(INDEX('1-DATA'!$1:$1048576,IF(OR($B190="STD. DEVIATION",$C$1=1),$A190,$A190+1),COLUMN('1-DATA'!AM188)),IF($B190="STD. DEVIATION",2,$F$1))))</f>
        <v/>
      </c>
      <c r="AO190" s="1" t="str">
        <f>IF(OR($B190="",AO$7=""),"",IF($B190="MEANS",INDEX('1-DATA'!$1:$1048576,$A189-1,COLUMN('1-DATA'!AN188)),ROUND(INDEX('1-DATA'!$1:$1048576,IF(OR($B190="STD. DEVIATION",$C$1=1),$A190,$A190+1),COLUMN('1-DATA'!AN188)),IF($B190="STD. DEVIATION",2,$F$1))))</f>
        <v/>
      </c>
      <c r="AP190" s="1" t="str">
        <f>IF(OR($B190="",AP$7=""),"",IF($B190="MEANS",INDEX('1-DATA'!$1:$1048576,$A189-1,COLUMN('1-DATA'!AO188)),ROUND(INDEX('1-DATA'!$1:$1048576,IF(OR($B190="STD. DEVIATION",$C$1=1),$A190,$A190+1),COLUMN('1-DATA'!AO188)),IF($B190="STD. DEVIATION",2,$F$1))))</f>
        <v/>
      </c>
      <c r="AQ190" s="1" t="str">
        <f>IF(OR($B190="",AQ$7=""),"",IF($B190="MEANS",INDEX('1-DATA'!$1:$1048576,$A189-1,COLUMN('1-DATA'!AP188)),ROUND(INDEX('1-DATA'!$1:$1048576,IF(OR($B190="STD. DEVIATION",$C$1=1),$A190,$A190+1),COLUMN('1-DATA'!AP188)),IF($B190="STD. DEVIATION",2,$F$1))))</f>
        <v/>
      </c>
      <c r="AR190" s="1" t="str">
        <f>IF(OR($B190="",AR$7=""),"",IF($B190="MEANS",INDEX('1-DATA'!$1:$1048576,$A189-1,COLUMN('1-DATA'!AQ188)),ROUND(INDEX('1-DATA'!$1:$1048576,IF(OR($B190="STD. DEVIATION",$C$1=1),$A190,$A190+1),COLUMN('1-DATA'!AQ188)),IF($B190="STD. DEVIATION",2,$F$1))))</f>
        <v/>
      </c>
      <c r="AS190" s="1" t="str">
        <f>IF(OR($B190="",AS$7=""),"",IF($B190="MEANS",INDEX('1-DATA'!$1:$1048576,$A189-1,COLUMN('1-DATA'!AR188)),ROUND(INDEX('1-DATA'!$1:$1048576,IF(OR($B190="STD. DEVIATION",$C$1=1),$A190,$A190+1),COLUMN('1-DATA'!AR188)),IF($B190="STD. DEVIATION",2,$F$1))))</f>
        <v/>
      </c>
      <c r="AT190" s="1" t="str">
        <f>IF(OR($B190="",AT$7=""),"",IF($B190="MEANS",INDEX('1-DATA'!$1:$1048576,$A189-1,COLUMN('1-DATA'!AS188)),ROUND(INDEX('1-DATA'!$1:$1048576,IF(OR($B190="STD. DEVIATION",$C$1=1),$A190,$A190+1),COLUMN('1-DATA'!AS188)),IF($B190="STD. DEVIATION",2,$F$1))))</f>
        <v/>
      </c>
      <c r="AU190" s="1" t="str">
        <f>IF(OR($B190="",AU$7=""),"",IF($B190="MEANS",INDEX('1-DATA'!$1:$1048576,$A189-1,COLUMN('1-DATA'!AT188)),ROUND(INDEX('1-DATA'!$1:$1048576,IF(OR($B190="STD. DEVIATION",$C$1=1),$A190,$A190+1),COLUMN('1-DATA'!AT188)),IF($B190="STD. DEVIATION",2,$F$1))))</f>
        <v/>
      </c>
      <c r="AV190" s="1" t="str">
        <f>IF(OR($B190="",AV$7=""),"",IF($B190="MEANS",INDEX('1-DATA'!$1:$1048576,$A189-1,COLUMN('1-DATA'!AU188)),ROUND(INDEX('1-DATA'!$1:$1048576,IF(OR($B190="STD. DEVIATION",$C$1=1),$A190,$A190+1),COLUMN('1-DATA'!AU188)),IF($B190="STD. DEVIATION",2,$F$1))))</f>
        <v/>
      </c>
      <c r="AW190" s="1" t="str">
        <f>IF(OR($B190="",AW$7=""),"",IF($B190="MEANS",INDEX('1-DATA'!$1:$1048576,$A189-1,COLUMN('1-DATA'!AV188)),ROUND(INDEX('1-DATA'!$1:$1048576,IF(OR($B190="STD. DEVIATION",$C$1=1),$A190,$A190+1),COLUMN('1-DATA'!AV188)),IF($B190="STD. DEVIATION",2,$F$1))))</f>
        <v/>
      </c>
      <c r="AX190" s="1" t="str">
        <f>IF(OR($B190="",AX$7=""),"",IF($B190="MEANS",INDEX('1-DATA'!$1:$1048576,$A189-1,COLUMN('1-DATA'!AW188)),ROUND(INDEX('1-DATA'!$1:$1048576,IF(OR($B190="STD. DEVIATION",$C$1=1),$A190,$A190+1),COLUMN('1-DATA'!AW188)),IF($B190="STD. DEVIATION",2,$F$1))))</f>
        <v/>
      </c>
      <c r="AY190" s="1" t="str">
        <f>IF(OR($B190="",AY$7=""),"",IF($B190="MEANS",INDEX('1-DATA'!$1:$1048576,$A189-1,COLUMN('1-DATA'!AX188)),ROUND(INDEX('1-DATA'!$1:$1048576,IF(OR($B190="STD. DEVIATION",$C$1=1),$A190,$A190+1),COLUMN('1-DATA'!AX188)),IF($B190="STD. DEVIATION",2,$F$1))))</f>
        <v/>
      </c>
      <c r="AZ190" s="1" t="str">
        <f>IF(OR($B190="",AZ$7=""),"",IF($B190="MEANS",INDEX('1-DATA'!$1:$1048576,$A189-1,COLUMN('1-DATA'!AY188)),ROUND(INDEX('1-DATA'!$1:$1048576,IF(OR($B190="STD. DEVIATION",$C$1=1),$A190,$A190+1),COLUMN('1-DATA'!AY188)),IF($B190="STD. DEVIATION",2,$F$1))))</f>
        <v/>
      </c>
    </row>
    <row r="191" spans="1:52" x14ac:dyDescent="0.25">
      <c r="A191" s="11">
        <f t="shared" si="3"/>
        <v>559</v>
      </c>
      <c r="B191" s="1" t="str">
        <f>IF(B190="STD. DEVIATION",INDEX('1-DATA'!$1:$1048576,$A190-1,1),IF(INDEX('1-DATA'!$1:$1048576,$A191,1)&lt;&gt;"",INDEX('1-DATA'!$1:$1048576,$A191,1),""))</f>
        <v/>
      </c>
      <c r="C191" s="1" t="str">
        <f>IF(OR($B191="",C$7=""),"",IF($B191="MEANS",INDEX('1-DATA'!$1:$1048576,$A190-1,COLUMN('1-DATA'!B189)),ROUND(INDEX('1-DATA'!$1:$1048576,IF(OR($B191="STD. DEVIATION",$C$1=1),$A191,$A191+1),COLUMN('1-DATA'!B189)),IF($B191="STD. DEVIATION",2,$F$1))))</f>
        <v/>
      </c>
      <c r="D191" s="1" t="str">
        <f>IF(OR($B191="",D$7=""),"",IF($B191="MEANS",INDEX('1-DATA'!$1:$1048576,$A190-1,COLUMN('1-DATA'!C189)),ROUND(INDEX('1-DATA'!$1:$1048576,IF(OR($B191="STD. DEVIATION",$C$1=1),$A191,$A191+1),COLUMN('1-DATA'!C189)),IF($B191="STD. DEVIATION",2,$F$1))))</f>
        <v/>
      </c>
      <c r="E191" s="1" t="str">
        <f>IF(OR($B191="",E$7=""),"",IF($B191="MEANS",INDEX('1-DATA'!$1:$1048576,$A190-1,COLUMN('1-DATA'!D189)),ROUND(INDEX('1-DATA'!$1:$1048576,IF(OR($B191="STD. DEVIATION",$C$1=1),$A191,$A191+1),COLUMN('1-DATA'!D189)),IF($B191="STD. DEVIATION",2,$F$1))))</f>
        <v/>
      </c>
      <c r="F191" s="1" t="str">
        <f>IF(OR($B191="",F$7=""),"",IF($B191="MEANS",INDEX('1-DATA'!$1:$1048576,$A190-1,COLUMN('1-DATA'!E189)),ROUND(INDEX('1-DATA'!$1:$1048576,IF(OR($B191="STD. DEVIATION",$C$1=1),$A191,$A191+1),COLUMN('1-DATA'!E189)),IF($B191="STD. DEVIATION",2,$F$1))))</f>
        <v/>
      </c>
      <c r="G191" s="1" t="str">
        <f>IF(OR($B191="",G$7=""),"",IF($B191="MEANS",INDEX('1-DATA'!$1:$1048576,$A190-1,COLUMN('1-DATA'!F189)),ROUND(INDEX('1-DATA'!$1:$1048576,IF(OR($B191="STD. DEVIATION",$C$1=1),$A191,$A191+1),COLUMN('1-DATA'!F189)),IF($B191="STD. DEVIATION",2,$F$1))))</f>
        <v/>
      </c>
      <c r="H191" s="1" t="str">
        <f>IF(OR($B191="",H$7=""),"",IF($B191="MEANS",INDEX('1-DATA'!$1:$1048576,$A190-1,COLUMN('1-DATA'!G189)),ROUND(INDEX('1-DATA'!$1:$1048576,IF(OR($B191="STD. DEVIATION",$C$1=1),$A191,$A191+1),COLUMN('1-DATA'!G189)),IF($B191="STD. DEVIATION",2,$F$1))))</f>
        <v/>
      </c>
      <c r="I191" s="1" t="str">
        <f>IF(OR($B191="",I$7=""),"",IF($B191="MEANS",INDEX('1-DATA'!$1:$1048576,$A190-1,COLUMN('1-DATA'!H189)),ROUND(INDEX('1-DATA'!$1:$1048576,IF(OR($B191="STD. DEVIATION",$C$1=1),$A191,$A191+1),COLUMN('1-DATA'!H189)),IF($B191="STD. DEVIATION",2,$F$1))))</f>
        <v/>
      </c>
      <c r="J191" s="1" t="str">
        <f>IF(OR($B191="",J$7=""),"",IF($B191="MEANS",INDEX('1-DATA'!$1:$1048576,$A190-1,COLUMN('1-DATA'!I189)),ROUND(INDEX('1-DATA'!$1:$1048576,IF(OR($B191="STD. DEVIATION",$C$1=1),$A191,$A191+1),COLUMN('1-DATA'!I189)),IF($B191="STD. DEVIATION",2,$F$1))))</f>
        <v/>
      </c>
      <c r="K191" s="1" t="str">
        <f>IF(OR($B191="",K$7=""),"",IF($B191="MEANS",INDEX('1-DATA'!$1:$1048576,$A190-1,COLUMN('1-DATA'!J189)),ROUND(INDEX('1-DATA'!$1:$1048576,IF(OR($B191="STD. DEVIATION",$C$1=1),$A191,$A191+1),COLUMN('1-DATA'!J189)),IF($B191="STD. DEVIATION",2,$F$1))))</f>
        <v/>
      </c>
      <c r="L191" s="1" t="str">
        <f>IF(OR($B191="",L$7=""),"",IF($B191="MEANS",INDEX('1-DATA'!$1:$1048576,$A190-1,COLUMN('1-DATA'!K189)),ROUND(INDEX('1-DATA'!$1:$1048576,IF(OR($B191="STD. DEVIATION",$C$1=1),$A191,$A191+1),COLUMN('1-DATA'!K189)),IF($B191="STD. DEVIATION",2,$F$1))))</f>
        <v/>
      </c>
      <c r="M191" s="1" t="str">
        <f>IF(OR($B191="",M$7=""),"",IF($B191="MEANS",INDEX('1-DATA'!$1:$1048576,$A190-1,COLUMN('1-DATA'!L189)),ROUND(INDEX('1-DATA'!$1:$1048576,IF(OR($B191="STD. DEVIATION",$C$1=1),$A191,$A191+1),COLUMN('1-DATA'!L189)),IF($B191="STD. DEVIATION",2,$F$1))))</f>
        <v/>
      </c>
      <c r="N191" s="1" t="str">
        <f>IF(OR($B191="",N$7=""),"",IF($B191="MEANS",INDEX('1-DATA'!$1:$1048576,$A190-1,COLUMN('1-DATA'!M189)),ROUND(INDEX('1-DATA'!$1:$1048576,IF(OR($B191="STD. DEVIATION",$C$1=1),$A191,$A191+1),COLUMN('1-DATA'!M189)),IF($B191="STD. DEVIATION",2,$F$1))))</f>
        <v/>
      </c>
      <c r="O191" s="1" t="str">
        <f>IF(OR($B191="",O$7=""),"",IF($B191="MEANS",INDEX('1-DATA'!$1:$1048576,$A190-1,COLUMN('1-DATA'!N189)),ROUND(INDEX('1-DATA'!$1:$1048576,IF(OR($B191="STD. DEVIATION",$C$1=1),$A191,$A191+1),COLUMN('1-DATA'!N189)),IF($B191="STD. DEVIATION",2,$F$1))))</f>
        <v/>
      </c>
      <c r="P191" s="1" t="str">
        <f>IF(OR($B191="",P$7=""),"",IF($B191="MEANS",INDEX('1-DATA'!$1:$1048576,$A190-1,COLUMN('1-DATA'!O189)),ROUND(INDEX('1-DATA'!$1:$1048576,IF(OR($B191="STD. DEVIATION",$C$1=1),$A191,$A191+1),COLUMN('1-DATA'!O189)),IF($B191="STD. DEVIATION",2,$F$1))))</f>
        <v/>
      </c>
      <c r="Q191" s="1" t="str">
        <f>IF(OR($B191="",Q$7=""),"",IF($B191="MEANS",INDEX('1-DATA'!$1:$1048576,$A190-1,COLUMN('1-DATA'!P189)),ROUND(INDEX('1-DATA'!$1:$1048576,IF(OR($B191="STD. DEVIATION",$C$1=1),$A191,$A191+1),COLUMN('1-DATA'!P189)),IF($B191="STD. DEVIATION",2,$F$1))))</f>
        <v/>
      </c>
      <c r="R191" s="1" t="str">
        <f>IF(OR($B191="",R$7=""),"",IF($B191="MEANS",INDEX('1-DATA'!$1:$1048576,$A190-1,COLUMN('1-DATA'!Q189)),ROUND(INDEX('1-DATA'!$1:$1048576,IF(OR($B191="STD. DEVIATION",$C$1=1),$A191,$A191+1),COLUMN('1-DATA'!Q189)),IF($B191="STD. DEVIATION",2,$F$1))))</f>
        <v/>
      </c>
      <c r="S191" s="1" t="str">
        <f>IF(OR($B191="",S$7=""),"",IF($B191="MEANS",INDEX('1-DATA'!$1:$1048576,$A190-1,COLUMN('1-DATA'!R189)),ROUND(INDEX('1-DATA'!$1:$1048576,IF(OR($B191="STD. DEVIATION",$C$1=1),$A191,$A191+1),COLUMN('1-DATA'!R189)),IF($B191="STD. DEVIATION",2,$F$1))))</f>
        <v/>
      </c>
      <c r="T191" s="1" t="str">
        <f>IF(OR($B191="",T$7=""),"",IF($B191="MEANS",INDEX('1-DATA'!$1:$1048576,$A190-1,COLUMN('1-DATA'!S189)),ROUND(INDEX('1-DATA'!$1:$1048576,IF(OR($B191="STD. DEVIATION",$C$1=1),$A191,$A191+1),COLUMN('1-DATA'!S189)),IF($B191="STD. DEVIATION",2,$F$1))))</f>
        <v/>
      </c>
      <c r="U191" s="1" t="str">
        <f>IF(OR($B191="",U$7=""),"",IF($B191="MEANS",INDEX('1-DATA'!$1:$1048576,$A190-1,COLUMN('1-DATA'!T189)),ROUND(INDEX('1-DATA'!$1:$1048576,IF(OR($B191="STD. DEVIATION",$C$1=1),$A191,$A191+1),COLUMN('1-DATA'!T189)),IF($B191="STD. DEVIATION",2,$F$1))))</f>
        <v/>
      </c>
      <c r="V191" s="1" t="str">
        <f>IF(OR($B191="",V$7=""),"",IF($B191="MEANS",INDEX('1-DATA'!$1:$1048576,$A190-1,COLUMN('1-DATA'!U189)),ROUND(INDEX('1-DATA'!$1:$1048576,IF(OR($B191="STD. DEVIATION",$C$1=1),$A191,$A191+1),COLUMN('1-DATA'!U189)),IF($B191="STD. DEVIATION",2,$F$1))))</f>
        <v/>
      </c>
      <c r="W191" s="1" t="str">
        <f>IF(OR($B191="",W$7=""),"",IF($B191="MEANS",INDEX('1-DATA'!$1:$1048576,$A190-1,COLUMN('1-DATA'!V189)),ROUND(INDEX('1-DATA'!$1:$1048576,IF(OR($B191="STD. DEVIATION",$C$1=1),$A191,$A191+1),COLUMN('1-DATA'!V189)),IF($B191="STD. DEVIATION",2,$F$1))))</f>
        <v/>
      </c>
      <c r="X191" s="1" t="str">
        <f>IF(OR($B191="",X$7=""),"",IF($B191="MEANS",INDEX('1-DATA'!$1:$1048576,$A190-1,COLUMN('1-DATA'!W189)),ROUND(INDEX('1-DATA'!$1:$1048576,IF(OR($B191="STD. DEVIATION",$C$1=1),$A191,$A191+1),COLUMN('1-DATA'!W189)),IF($B191="STD. DEVIATION",2,$F$1))))</f>
        <v/>
      </c>
      <c r="Y191" s="1" t="str">
        <f>IF(OR($B191="",Y$7=""),"",IF($B191="MEANS",INDEX('1-DATA'!$1:$1048576,$A190-1,COLUMN('1-DATA'!X189)),ROUND(INDEX('1-DATA'!$1:$1048576,IF(OR($B191="STD. DEVIATION",$C$1=1),$A191,$A191+1),COLUMN('1-DATA'!X189)),IF($B191="STD. DEVIATION",2,$F$1))))</f>
        <v/>
      </c>
      <c r="Z191" s="1" t="str">
        <f>IF(OR($B191="",Z$7=""),"",IF($B191="MEANS",INDEX('1-DATA'!$1:$1048576,$A190-1,COLUMN('1-DATA'!Y189)),ROUND(INDEX('1-DATA'!$1:$1048576,IF(OR($B191="STD. DEVIATION",$C$1=1),$A191,$A191+1),COLUMN('1-DATA'!Y189)),IF($B191="STD. DEVIATION",2,$F$1))))</f>
        <v/>
      </c>
      <c r="AA191" s="1" t="str">
        <f>IF(OR($B191="",AA$7=""),"",IF($B191="MEANS",INDEX('1-DATA'!$1:$1048576,$A190-1,COLUMN('1-DATA'!Z189)),ROUND(INDEX('1-DATA'!$1:$1048576,IF(OR($B191="STD. DEVIATION",$C$1=1),$A191,$A191+1),COLUMN('1-DATA'!Z189)),IF($B191="STD. DEVIATION",2,$F$1))))</f>
        <v/>
      </c>
      <c r="AB191" s="1" t="str">
        <f>IF(OR($B191="",AB$7=""),"",IF($B191="MEANS",INDEX('1-DATA'!$1:$1048576,$A190-1,COLUMN('1-DATA'!AA189)),ROUND(INDEX('1-DATA'!$1:$1048576,IF(OR($B191="STD. DEVIATION",$C$1=1),$A191,$A191+1),COLUMN('1-DATA'!AA189)),IF($B191="STD. DEVIATION",2,$F$1))))</f>
        <v/>
      </c>
      <c r="AC191" s="1" t="str">
        <f>IF(OR($B191="",AC$7=""),"",IF($B191="MEANS",INDEX('1-DATA'!$1:$1048576,$A190-1,COLUMN('1-DATA'!AB189)),ROUND(INDEX('1-DATA'!$1:$1048576,IF(OR($B191="STD. DEVIATION",$C$1=1),$A191,$A191+1),COLUMN('1-DATA'!AB189)),IF($B191="STD. DEVIATION",2,$F$1))))</f>
        <v/>
      </c>
      <c r="AD191" s="1" t="str">
        <f>IF(OR($B191="",AD$7=""),"",IF($B191="MEANS",INDEX('1-DATA'!$1:$1048576,$A190-1,COLUMN('1-DATA'!AC189)),ROUND(INDEX('1-DATA'!$1:$1048576,IF(OR($B191="STD. DEVIATION",$C$1=1),$A191,$A191+1),COLUMN('1-DATA'!AC189)),IF($B191="STD. DEVIATION",2,$F$1))))</f>
        <v/>
      </c>
      <c r="AE191" s="1" t="str">
        <f>IF(OR($B191="",AE$7=""),"",IF($B191="MEANS",INDEX('1-DATA'!$1:$1048576,$A190-1,COLUMN('1-DATA'!AD189)),ROUND(INDEX('1-DATA'!$1:$1048576,IF(OR($B191="STD. DEVIATION",$C$1=1),$A191,$A191+1),COLUMN('1-DATA'!AD189)),IF($B191="STD. DEVIATION",2,$F$1))))</f>
        <v/>
      </c>
      <c r="AF191" s="1" t="str">
        <f>IF(OR($B191="",AF$7=""),"",IF($B191="MEANS",INDEX('1-DATA'!$1:$1048576,$A190-1,COLUMN('1-DATA'!AE189)),ROUND(INDEX('1-DATA'!$1:$1048576,IF(OR($B191="STD. DEVIATION",$C$1=1),$A191,$A191+1),COLUMN('1-DATA'!AE189)),IF($B191="STD. DEVIATION",2,$F$1))))</f>
        <v/>
      </c>
      <c r="AG191" s="1" t="str">
        <f>IF(OR($B191="",AG$7=""),"",IF($B191="MEANS",INDEX('1-DATA'!$1:$1048576,$A190-1,COLUMN('1-DATA'!AF189)),ROUND(INDEX('1-DATA'!$1:$1048576,IF(OR($B191="STD. DEVIATION",$C$1=1),$A191,$A191+1),COLUMN('1-DATA'!AF189)),IF($B191="STD. DEVIATION",2,$F$1))))</f>
        <v/>
      </c>
      <c r="AH191" s="1" t="str">
        <f>IF(OR($B191="",AH$7=""),"",IF($B191="MEANS",INDEX('1-DATA'!$1:$1048576,$A190-1,COLUMN('1-DATA'!AG189)),ROUND(INDEX('1-DATA'!$1:$1048576,IF(OR($B191="STD. DEVIATION",$C$1=1),$A191,$A191+1),COLUMN('1-DATA'!AG189)),IF($B191="STD. DEVIATION",2,$F$1))))</f>
        <v/>
      </c>
      <c r="AI191" s="1" t="str">
        <f>IF(OR($B191="",AI$7=""),"",IF($B191="MEANS",INDEX('1-DATA'!$1:$1048576,$A190-1,COLUMN('1-DATA'!AH189)),ROUND(INDEX('1-DATA'!$1:$1048576,IF(OR($B191="STD. DEVIATION",$C$1=1),$A191,$A191+1),COLUMN('1-DATA'!AH189)),IF($B191="STD. DEVIATION",2,$F$1))))</f>
        <v/>
      </c>
      <c r="AJ191" s="1" t="str">
        <f>IF(OR($B191="",AJ$7=""),"",IF($B191="MEANS",INDEX('1-DATA'!$1:$1048576,$A190-1,COLUMN('1-DATA'!AI189)),ROUND(INDEX('1-DATA'!$1:$1048576,IF(OR($B191="STD. DEVIATION",$C$1=1),$A191,$A191+1),COLUMN('1-DATA'!AI189)),IF($B191="STD. DEVIATION",2,$F$1))))</f>
        <v/>
      </c>
      <c r="AK191" s="1" t="str">
        <f>IF(OR($B191="",AK$7=""),"",IF($B191="MEANS",INDEX('1-DATA'!$1:$1048576,$A190-1,COLUMN('1-DATA'!AJ189)),ROUND(INDEX('1-DATA'!$1:$1048576,IF(OR($B191="STD. DEVIATION",$C$1=1),$A191,$A191+1),COLUMN('1-DATA'!AJ189)),IF($B191="STD. DEVIATION",2,$F$1))))</f>
        <v/>
      </c>
      <c r="AL191" s="1" t="str">
        <f>IF(OR($B191="",AL$7=""),"",IF($B191="MEANS",INDEX('1-DATA'!$1:$1048576,$A190-1,COLUMN('1-DATA'!AK189)),ROUND(INDEX('1-DATA'!$1:$1048576,IF(OR($B191="STD. DEVIATION",$C$1=1),$A191,$A191+1),COLUMN('1-DATA'!AK189)),IF($B191="STD. DEVIATION",2,$F$1))))</f>
        <v/>
      </c>
      <c r="AM191" s="1" t="str">
        <f>IF(OR($B191="",AM$7=""),"",IF($B191="MEANS",INDEX('1-DATA'!$1:$1048576,$A190-1,COLUMN('1-DATA'!AL189)),ROUND(INDEX('1-DATA'!$1:$1048576,IF(OR($B191="STD. DEVIATION",$C$1=1),$A191,$A191+1),COLUMN('1-DATA'!AL189)),IF($B191="STD. DEVIATION",2,$F$1))))</f>
        <v/>
      </c>
      <c r="AN191" s="1" t="str">
        <f>IF(OR($B191="",AN$7=""),"",IF($B191="MEANS",INDEX('1-DATA'!$1:$1048576,$A190-1,COLUMN('1-DATA'!AM189)),ROUND(INDEX('1-DATA'!$1:$1048576,IF(OR($B191="STD. DEVIATION",$C$1=1),$A191,$A191+1),COLUMN('1-DATA'!AM189)),IF($B191="STD. DEVIATION",2,$F$1))))</f>
        <v/>
      </c>
      <c r="AO191" s="1" t="str">
        <f>IF(OR($B191="",AO$7=""),"",IF($B191="MEANS",INDEX('1-DATA'!$1:$1048576,$A190-1,COLUMN('1-DATA'!AN189)),ROUND(INDEX('1-DATA'!$1:$1048576,IF(OR($B191="STD. DEVIATION",$C$1=1),$A191,$A191+1),COLUMN('1-DATA'!AN189)),IF($B191="STD. DEVIATION",2,$F$1))))</f>
        <v/>
      </c>
      <c r="AP191" s="1" t="str">
        <f>IF(OR($B191="",AP$7=""),"",IF($B191="MEANS",INDEX('1-DATA'!$1:$1048576,$A190-1,COLUMN('1-DATA'!AO189)),ROUND(INDEX('1-DATA'!$1:$1048576,IF(OR($B191="STD. DEVIATION",$C$1=1),$A191,$A191+1),COLUMN('1-DATA'!AO189)),IF($B191="STD. DEVIATION",2,$F$1))))</f>
        <v/>
      </c>
      <c r="AQ191" s="1" t="str">
        <f>IF(OR($B191="",AQ$7=""),"",IF($B191="MEANS",INDEX('1-DATA'!$1:$1048576,$A190-1,COLUMN('1-DATA'!AP189)),ROUND(INDEX('1-DATA'!$1:$1048576,IF(OR($B191="STD. DEVIATION",$C$1=1),$A191,$A191+1),COLUMN('1-DATA'!AP189)),IF($B191="STD. DEVIATION",2,$F$1))))</f>
        <v/>
      </c>
      <c r="AR191" s="1" t="str">
        <f>IF(OR($B191="",AR$7=""),"",IF($B191="MEANS",INDEX('1-DATA'!$1:$1048576,$A190-1,COLUMN('1-DATA'!AQ189)),ROUND(INDEX('1-DATA'!$1:$1048576,IF(OR($B191="STD. DEVIATION",$C$1=1),$A191,$A191+1),COLUMN('1-DATA'!AQ189)),IF($B191="STD. DEVIATION",2,$F$1))))</f>
        <v/>
      </c>
      <c r="AS191" s="1" t="str">
        <f>IF(OR($B191="",AS$7=""),"",IF($B191="MEANS",INDEX('1-DATA'!$1:$1048576,$A190-1,COLUMN('1-DATA'!AR189)),ROUND(INDEX('1-DATA'!$1:$1048576,IF(OR($B191="STD. DEVIATION",$C$1=1),$A191,$A191+1),COLUMN('1-DATA'!AR189)),IF($B191="STD. DEVIATION",2,$F$1))))</f>
        <v/>
      </c>
      <c r="AT191" s="1" t="str">
        <f>IF(OR($B191="",AT$7=""),"",IF($B191="MEANS",INDEX('1-DATA'!$1:$1048576,$A190-1,COLUMN('1-DATA'!AS189)),ROUND(INDEX('1-DATA'!$1:$1048576,IF(OR($B191="STD. DEVIATION",$C$1=1),$A191,$A191+1),COLUMN('1-DATA'!AS189)),IF($B191="STD. DEVIATION",2,$F$1))))</f>
        <v/>
      </c>
      <c r="AU191" s="1" t="str">
        <f>IF(OR($B191="",AU$7=""),"",IF($B191="MEANS",INDEX('1-DATA'!$1:$1048576,$A190-1,COLUMN('1-DATA'!AT189)),ROUND(INDEX('1-DATA'!$1:$1048576,IF(OR($B191="STD. DEVIATION",$C$1=1),$A191,$A191+1),COLUMN('1-DATA'!AT189)),IF($B191="STD. DEVIATION",2,$F$1))))</f>
        <v/>
      </c>
      <c r="AV191" s="1" t="str">
        <f>IF(OR($B191="",AV$7=""),"",IF($B191="MEANS",INDEX('1-DATA'!$1:$1048576,$A190-1,COLUMN('1-DATA'!AU189)),ROUND(INDEX('1-DATA'!$1:$1048576,IF(OR($B191="STD. DEVIATION",$C$1=1),$A191,$A191+1),COLUMN('1-DATA'!AU189)),IF($B191="STD. DEVIATION",2,$F$1))))</f>
        <v/>
      </c>
      <c r="AW191" s="1" t="str">
        <f>IF(OR($B191="",AW$7=""),"",IF($B191="MEANS",INDEX('1-DATA'!$1:$1048576,$A190-1,COLUMN('1-DATA'!AV189)),ROUND(INDEX('1-DATA'!$1:$1048576,IF(OR($B191="STD. DEVIATION",$C$1=1),$A191,$A191+1),COLUMN('1-DATA'!AV189)),IF($B191="STD. DEVIATION",2,$F$1))))</f>
        <v/>
      </c>
      <c r="AX191" s="1" t="str">
        <f>IF(OR($B191="",AX$7=""),"",IF($B191="MEANS",INDEX('1-DATA'!$1:$1048576,$A190-1,COLUMN('1-DATA'!AW189)),ROUND(INDEX('1-DATA'!$1:$1048576,IF(OR($B191="STD. DEVIATION",$C$1=1),$A191,$A191+1),COLUMN('1-DATA'!AW189)),IF($B191="STD. DEVIATION",2,$F$1))))</f>
        <v/>
      </c>
      <c r="AY191" s="1" t="str">
        <f>IF(OR($B191="",AY$7=""),"",IF($B191="MEANS",INDEX('1-DATA'!$1:$1048576,$A190-1,COLUMN('1-DATA'!AX189)),ROUND(INDEX('1-DATA'!$1:$1048576,IF(OR($B191="STD. DEVIATION",$C$1=1),$A191,$A191+1),COLUMN('1-DATA'!AX189)),IF($B191="STD. DEVIATION",2,$F$1))))</f>
        <v/>
      </c>
      <c r="AZ191" s="1" t="str">
        <f>IF(OR($B191="",AZ$7=""),"",IF($B191="MEANS",INDEX('1-DATA'!$1:$1048576,$A190-1,COLUMN('1-DATA'!AY189)),ROUND(INDEX('1-DATA'!$1:$1048576,IF(OR($B191="STD. DEVIATION",$C$1=1),$A191,$A191+1),COLUMN('1-DATA'!AY189)),IF($B191="STD. DEVIATION",2,$F$1))))</f>
        <v/>
      </c>
    </row>
    <row r="192" spans="1:52" x14ac:dyDescent="0.25">
      <c r="A192" s="11">
        <f t="shared" si="3"/>
        <v>562</v>
      </c>
      <c r="B192" s="1" t="str">
        <f>IF(B191="STD. DEVIATION",INDEX('1-DATA'!$1:$1048576,$A191-1,1),IF(INDEX('1-DATA'!$1:$1048576,$A192,1)&lt;&gt;"",INDEX('1-DATA'!$1:$1048576,$A192,1),""))</f>
        <v/>
      </c>
      <c r="C192" s="1" t="str">
        <f>IF(OR($B192="",C$7=""),"",IF($B192="MEANS",INDEX('1-DATA'!$1:$1048576,$A191-1,COLUMN('1-DATA'!B190)),ROUND(INDEX('1-DATA'!$1:$1048576,IF(OR($B192="STD. DEVIATION",$C$1=1),$A192,$A192+1),COLUMN('1-DATA'!B190)),IF($B192="STD. DEVIATION",2,$F$1))))</f>
        <v/>
      </c>
      <c r="D192" s="1" t="str">
        <f>IF(OR($B192="",D$7=""),"",IF($B192="MEANS",INDEX('1-DATA'!$1:$1048576,$A191-1,COLUMN('1-DATA'!C190)),ROUND(INDEX('1-DATA'!$1:$1048576,IF(OR($B192="STD. DEVIATION",$C$1=1),$A192,$A192+1),COLUMN('1-DATA'!C190)),IF($B192="STD. DEVIATION",2,$F$1))))</f>
        <v/>
      </c>
      <c r="E192" s="1" t="str">
        <f>IF(OR($B192="",E$7=""),"",IF($B192="MEANS",INDEX('1-DATA'!$1:$1048576,$A191-1,COLUMN('1-DATA'!D190)),ROUND(INDEX('1-DATA'!$1:$1048576,IF(OR($B192="STD. DEVIATION",$C$1=1),$A192,$A192+1),COLUMN('1-DATA'!D190)),IF($B192="STD. DEVIATION",2,$F$1))))</f>
        <v/>
      </c>
      <c r="F192" s="1" t="str">
        <f>IF(OR($B192="",F$7=""),"",IF($B192="MEANS",INDEX('1-DATA'!$1:$1048576,$A191-1,COLUMN('1-DATA'!E190)),ROUND(INDEX('1-DATA'!$1:$1048576,IF(OR($B192="STD. DEVIATION",$C$1=1),$A192,$A192+1),COLUMN('1-DATA'!E190)),IF($B192="STD. DEVIATION",2,$F$1))))</f>
        <v/>
      </c>
      <c r="G192" s="1" t="str">
        <f>IF(OR($B192="",G$7=""),"",IF($B192="MEANS",INDEX('1-DATA'!$1:$1048576,$A191-1,COLUMN('1-DATA'!F190)),ROUND(INDEX('1-DATA'!$1:$1048576,IF(OR($B192="STD. DEVIATION",$C$1=1),$A192,$A192+1),COLUMN('1-DATA'!F190)),IF($B192="STD. DEVIATION",2,$F$1))))</f>
        <v/>
      </c>
      <c r="H192" s="1" t="str">
        <f>IF(OR($B192="",H$7=""),"",IF($B192="MEANS",INDEX('1-DATA'!$1:$1048576,$A191-1,COLUMN('1-DATA'!G190)),ROUND(INDEX('1-DATA'!$1:$1048576,IF(OR($B192="STD. DEVIATION",$C$1=1),$A192,$A192+1),COLUMN('1-DATA'!G190)),IF($B192="STD. DEVIATION",2,$F$1))))</f>
        <v/>
      </c>
      <c r="I192" s="1" t="str">
        <f>IF(OR($B192="",I$7=""),"",IF($B192="MEANS",INDEX('1-DATA'!$1:$1048576,$A191-1,COLUMN('1-DATA'!H190)),ROUND(INDEX('1-DATA'!$1:$1048576,IF(OR($B192="STD. DEVIATION",$C$1=1),$A192,$A192+1),COLUMN('1-DATA'!H190)),IF($B192="STD. DEVIATION",2,$F$1))))</f>
        <v/>
      </c>
      <c r="J192" s="1" t="str">
        <f>IF(OR($B192="",J$7=""),"",IF($B192="MEANS",INDEX('1-DATA'!$1:$1048576,$A191-1,COLUMN('1-DATA'!I190)),ROUND(INDEX('1-DATA'!$1:$1048576,IF(OR($B192="STD. DEVIATION",$C$1=1),$A192,$A192+1),COLUMN('1-DATA'!I190)),IF($B192="STD. DEVIATION",2,$F$1))))</f>
        <v/>
      </c>
      <c r="K192" s="1" t="str">
        <f>IF(OR($B192="",K$7=""),"",IF($B192="MEANS",INDEX('1-DATA'!$1:$1048576,$A191-1,COLUMN('1-DATA'!J190)),ROUND(INDEX('1-DATA'!$1:$1048576,IF(OR($B192="STD. DEVIATION",$C$1=1),$A192,$A192+1),COLUMN('1-DATA'!J190)),IF($B192="STD. DEVIATION",2,$F$1))))</f>
        <v/>
      </c>
      <c r="L192" s="1" t="str">
        <f>IF(OR($B192="",L$7=""),"",IF($B192="MEANS",INDEX('1-DATA'!$1:$1048576,$A191-1,COLUMN('1-DATA'!K190)),ROUND(INDEX('1-DATA'!$1:$1048576,IF(OR($B192="STD. DEVIATION",$C$1=1),$A192,$A192+1),COLUMN('1-DATA'!K190)),IF($B192="STD. DEVIATION",2,$F$1))))</f>
        <v/>
      </c>
      <c r="M192" s="1" t="str">
        <f>IF(OR($B192="",M$7=""),"",IF($B192="MEANS",INDEX('1-DATA'!$1:$1048576,$A191-1,COLUMN('1-DATA'!L190)),ROUND(INDEX('1-DATA'!$1:$1048576,IF(OR($B192="STD. DEVIATION",$C$1=1),$A192,$A192+1),COLUMN('1-DATA'!L190)),IF($B192="STD. DEVIATION",2,$F$1))))</f>
        <v/>
      </c>
      <c r="N192" s="1" t="str">
        <f>IF(OR($B192="",N$7=""),"",IF($B192="MEANS",INDEX('1-DATA'!$1:$1048576,$A191-1,COLUMN('1-DATA'!M190)),ROUND(INDEX('1-DATA'!$1:$1048576,IF(OR($B192="STD. DEVIATION",$C$1=1),$A192,$A192+1),COLUMN('1-DATA'!M190)),IF($B192="STD. DEVIATION",2,$F$1))))</f>
        <v/>
      </c>
      <c r="O192" s="1" t="str">
        <f>IF(OR($B192="",O$7=""),"",IF($B192="MEANS",INDEX('1-DATA'!$1:$1048576,$A191-1,COLUMN('1-DATA'!N190)),ROUND(INDEX('1-DATA'!$1:$1048576,IF(OR($B192="STD. DEVIATION",$C$1=1),$A192,$A192+1),COLUMN('1-DATA'!N190)),IF($B192="STD. DEVIATION",2,$F$1))))</f>
        <v/>
      </c>
      <c r="P192" s="1" t="str">
        <f>IF(OR($B192="",P$7=""),"",IF($B192="MEANS",INDEX('1-DATA'!$1:$1048576,$A191-1,COLUMN('1-DATA'!O190)),ROUND(INDEX('1-DATA'!$1:$1048576,IF(OR($B192="STD. DEVIATION",$C$1=1),$A192,$A192+1),COLUMN('1-DATA'!O190)),IF($B192="STD. DEVIATION",2,$F$1))))</f>
        <v/>
      </c>
      <c r="Q192" s="1" t="str">
        <f>IF(OR($B192="",Q$7=""),"",IF($B192="MEANS",INDEX('1-DATA'!$1:$1048576,$A191-1,COLUMN('1-DATA'!P190)),ROUND(INDEX('1-DATA'!$1:$1048576,IF(OR($B192="STD. DEVIATION",$C$1=1),$A192,$A192+1),COLUMN('1-DATA'!P190)),IF($B192="STD. DEVIATION",2,$F$1))))</f>
        <v/>
      </c>
      <c r="R192" s="1" t="str">
        <f>IF(OR($B192="",R$7=""),"",IF($B192="MEANS",INDEX('1-DATA'!$1:$1048576,$A191-1,COLUMN('1-DATA'!Q190)),ROUND(INDEX('1-DATA'!$1:$1048576,IF(OR($B192="STD. DEVIATION",$C$1=1),$A192,$A192+1),COLUMN('1-DATA'!Q190)),IF($B192="STD. DEVIATION",2,$F$1))))</f>
        <v/>
      </c>
      <c r="S192" s="1" t="str">
        <f>IF(OR($B192="",S$7=""),"",IF($B192="MEANS",INDEX('1-DATA'!$1:$1048576,$A191-1,COLUMN('1-DATA'!R190)),ROUND(INDEX('1-DATA'!$1:$1048576,IF(OR($B192="STD. DEVIATION",$C$1=1),$A192,$A192+1),COLUMN('1-DATA'!R190)),IF($B192="STD. DEVIATION",2,$F$1))))</f>
        <v/>
      </c>
      <c r="T192" s="1" t="str">
        <f>IF(OR($B192="",T$7=""),"",IF($B192="MEANS",INDEX('1-DATA'!$1:$1048576,$A191-1,COLUMN('1-DATA'!S190)),ROUND(INDEX('1-DATA'!$1:$1048576,IF(OR($B192="STD. DEVIATION",$C$1=1),$A192,$A192+1),COLUMN('1-DATA'!S190)),IF($B192="STD. DEVIATION",2,$F$1))))</f>
        <v/>
      </c>
      <c r="U192" s="1" t="str">
        <f>IF(OR($B192="",U$7=""),"",IF($B192="MEANS",INDEX('1-DATA'!$1:$1048576,$A191-1,COLUMN('1-DATA'!T190)),ROUND(INDEX('1-DATA'!$1:$1048576,IF(OR($B192="STD. DEVIATION",$C$1=1),$A192,$A192+1),COLUMN('1-DATA'!T190)),IF($B192="STD. DEVIATION",2,$F$1))))</f>
        <v/>
      </c>
      <c r="V192" s="1" t="str">
        <f>IF(OR($B192="",V$7=""),"",IF($B192="MEANS",INDEX('1-DATA'!$1:$1048576,$A191-1,COLUMN('1-DATA'!U190)),ROUND(INDEX('1-DATA'!$1:$1048576,IF(OR($B192="STD. DEVIATION",$C$1=1),$A192,$A192+1),COLUMN('1-DATA'!U190)),IF($B192="STD. DEVIATION",2,$F$1))))</f>
        <v/>
      </c>
      <c r="W192" s="1" t="str">
        <f>IF(OR($B192="",W$7=""),"",IF($B192="MEANS",INDEX('1-DATA'!$1:$1048576,$A191-1,COLUMN('1-DATA'!V190)),ROUND(INDEX('1-DATA'!$1:$1048576,IF(OR($B192="STD. DEVIATION",$C$1=1),$A192,$A192+1),COLUMN('1-DATA'!V190)),IF($B192="STD. DEVIATION",2,$F$1))))</f>
        <v/>
      </c>
      <c r="X192" s="1" t="str">
        <f>IF(OR($B192="",X$7=""),"",IF($B192="MEANS",INDEX('1-DATA'!$1:$1048576,$A191-1,COLUMN('1-DATA'!W190)),ROUND(INDEX('1-DATA'!$1:$1048576,IF(OR($B192="STD. DEVIATION",$C$1=1),$A192,$A192+1),COLUMN('1-DATA'!W190)),IF($B192="STD. DEVIATION",2,$F$1))))</f>
        <v/>
      </c>
      <c r="Y192" s="1" t="str">
        <f>IF(OR($B192="",Y$7=""),"",IF($B192="MEANS",INDEX('1-DATA'!$1:$1048576,$A191-1,COLUMN('1-DATA'!X190)),ROUND(INDEX('1-DATA'!$1:$1048576,IF(OR($B192="STD. DEVIATION",$C$1=1),$A192,$A192+1),COLUMN('1-DATA'!X190)),IF($B192="STD. DEVIATION",2,$F$1))))</f>
        <v/>
      </c>
      <c r="Z192" s="1" t="str">
        <f>IF(OR($B192="",Z$7=""),"",IF($B192="MEANS",INDEX('1-DATA'!$1:$1048576,$A191-1,COLUMN('1-DATA'!Y190)),ROUND(INDEX('1-DATA'!$1:$1048576,IF(OR($B192="STD. DEVIATION",$C$1=1),$A192,$A192+1),COLUMN('1-DATA'!Y190)),IF($B192="STD. DEVIATION",2,$F$1))))</f>
        <v/>
      </c>
      <c r="AA192" s="1" t="str">
        <f>IF(OR($B192="",AA$7=""),"",IF($B192="MEANS",INDEX('1-DATA'!$1:$1048576,$A191-1,COLUMN('1-DATA'!Z190)),ROUND(INDEX('1-DATA'!$1:$1048576,IF(OR($B192="STD. DEVIATION",$C$1=1),$A192,$A192+1),COLUMN('1-DATA'!Z190)),IF($B192="STD. DEVIATION",2,$F$1))))</f>
        <v/>
      </c>
      <c r="AB192" s="1" t="str">
        <f>IF(OR($B192="",AB$7=""),"",IF($B192="MEANS",INDEX('1-DATA'!$1:$1048576,$A191-1,COLUMN('1-DATA'!AA190)),ROUND(INDEX('1-DATA'!$1:$1048576,IF(OR($B192="STD. DEVIATION",$C$1=1),$A192,$A192+1),COLUMN('1-DATA'!AA190)),IF($B192="STD. DEVIATION",2,$F$1))))</f>
        <v/>
      </c>
      <c r="AC192" s="1" t="str">
        <f>IF(OR($B192="",AC$7=""),"",IF($B192="MEANS",INDEX('1-DATA'!$1:$1048576,$A191-1,COLUMN('1-DATA'!AB190)),ROUND(INDEX('1-DATA'!$1:$1048576,IF(OR($B192="STD. DEVIATION",$C$1=1),$A192,$A192+1),COLUMN('1-DATA'!AB190)),IF($B192="STD. DEVIATION",2,$F$1))))</f>
        <v/>
      </c>
      <c r="AD192" s="1" t="str">
        <f>IF(OR($B192="",AD$7=""),"",IF($B192="MEANS",INDEX('1-DATA'!$1:$1048576,$A191-1,COLUMN('1-DATA'!AC190)),ROUND(INDEX('1-DATA'!$1:$1048576,IF(OR($B192="STD. DEVIATION",$C$1=1),$A192,$A192+1),COLUMN('1-DATA'!AC190)),IF($B192="STD. DEVIATION",2,$F$1))))</f>
        <v/>
      </c>
      <c r="AE192" s="1" t="str">
        <f>IF(OR($B192="",AE$7=""),"",IF($B192="MEANS",INDEX('1-DATA'!$1:$1048576,$A191-1,COLUMN('1-DATA'!AD190)),ROUND(INDEX('1-DATA'!$1:$1048576,IF(OR($B192="STD. DEVIATION",$C$1=1),$A192,$A192+1),COLUMN('1-DATA'!AD190)),IF($B192="STD. DEVIATION",2,$F$1))))</f>
        <v/>
      </c>
      <c r="AF192" s="1" t="str">
        <f>IF(OR($B192="",AF$7=""),"",IF($B192="MEANS",INDEX('1-DATA'!$1:$1048576,$A191-1,COLUMN('1-DATA'!AE190)),ROUND(INDEX('1-DATA'!$1:$1048576,IF(OR($B192="STD. DEVIATION",$C$1=1),$A192,$A192+1),COLUMN('1-DATA'!AE190)),IF($B192="STD. DEVIATION",2,$F$1))))</f>
        <v/>
      </c>
      <c r="AG192" s="1" t="str">
        <f>IF(OR($B192="",AG$7=""),"",IF($B192="MEANS",INDEX('1-DATA'!$1:$1048576,$A191-1,COLUMN('1-DATA'!AF190)),ROUND(INDEX('1-DATA'!$1:$1048576,IF(OR($B192="STD. DEVIATION",$C$1=1),$A192,$A192+1),COLUMN('1-DATA'!AF190)),IF($B192="STD. DEVIATION",2,$F$1))))</f>
        <v/>
      </c>
      <c r="AH192" s="1" t="str">
        <f>IF(OR($B192="",AH$7=""),"",IF($B192="MEANS",INDEX('1-DATA'!$1:$1048576,$A191-1,COLUMN('1-DATA'!AG190)),ROUND(INDEX('1-DATA'!$1:$1048576,IF(OR($B192="STD. DEVIATION",$C$1=1),$A192,$A192+1),COLUMN('1-DATA'!AG190)),IF($B192="STD. DEVIATION",2,$F$1))))</f>
        <v/>
      </c>
      <c r="AI192" s="1" t="str">
        <f>IF(OR($B192="",AI$7=""),"",IF($B192="MEANS",INDEX('1-DATA'!$1:$1048576,$A191-1,COLUMN('1-DATA'!AH190)),ROUND(INDEX('1-DATA'!$1:$1048576,IF(OR($B192="STD. DEVIATION",$C$1=1),$A192,$A192+1),COLUMN('1-DATA'!AH190)),IF($B192="STD. DEVIATION",2,$F$1))))</f>
        <v/>
      </c>
      <c r="AJ192" s="1" t="str">
        <f>IF(OR($B192="",AJ$7=""),"",IF($B192="MEANS",INDEX('1-DATA'!$1:$1048576,$A191-1,COLUMN('1-DATA'!AI190)),ROUND(INDEX('1-DATA'!$1:$1048576,IF(OR($B192="STD. DEVIATION",$C$1=1),$A192,$A192+1),COLUMN('1-DATA'!AI190)),IF($B192="STD. DEVIATION",2,$F$1))))</f>
        <v/>
      </c>
      <c r="AK192" s="1" t="str">
        <f>IF(OR($B192="",AK$7=""),"",IF($B192="MEANS",INDEX('1-DATA'!$1:$1048576,$A191-1,COLUMN('1-DATA'!AJ190)),ROUND(INDEX('1-DATA'!$1:$1048576,IF(OR($B192="STD. DEVIATION",$C$1=1),$A192,$A192+1),COLUMN('1-DATA'!AJ190)),IF($B192="STD. DEVIATION",2,$F$1))))</f>
        <v/>
      </c>
      <c r="AL192" s="1" t="str">
        <f>IF(OR($B192="",AL$7=""),"",IF($B192="MEANS",INDEX('1-DATA'!$1:$1048576,$A191-1,COLUMN('1-DATA'!AK190)),ROUND(INDEX('1-DATA'!$1:$1048576,IF(OR($B192="STD. DEVIATION",$C$1=1),$A192,$A192+1),COLUMN('1-DATA'!AK190)),IF($B192="STD. DEVIATION",2,$F$1))))</f>
        <v/>
      </c>
      <c r="AM192" s="1" t="str">
        <f>IF(OR($B192="",AM$7=""),"",IF($B192="MEANS",INDEX('1-DATA'!$1:$1048576,$A191-1,COLUMN('1-DATA'!AL190)),ROUND(INDEX('1-DATA'!$1:$1048576,IF(OR($B192="STD. DEVIATION",$C$1=1),$A192,$A192+1),COLUMN('1-DATA'!AL190)),IF($B192="STD. DEVIATION",2,$F$1))))</f>
        <v/>
      </c>
      <c r="AN192" s="1" t="str">
        <f>IF(OR($B192="",AN$7=""),"",IF($B192="MEANS",INDEX('1-DATA'!$1:$1048576,$A191-1,COLUMN('1-DATA'!AM190)),ROUND(INDEX('1-DATA'!$1:$1048576,IF(OR($B192="STD. DEVIATION",$C$1=1),$A192,$A192+1),COLUMN('1-DATA'!AM190)),IF($B192="STD. DEVIATION",2,$F$1))))</f>
        <v/>
      </c>
      <c r="AO192" s="1" t="str">
        <f>IF(OR($B192="",AO$7=""),"",IF($B192="MEANS",INDEX('1-DATA'!$1:$1048576,$A191-1,COLUMN('1-DATA'!AN190)),ROUND(INDEX('1-DATA'!$1:$1048576,IF(OR($B192="STD. DEVIATION",$C$1=1),$A192,$A192+1),COLUMN('1-DATA'!AN190)),IF($B192="STD. DEVIATION",2,$F$1))))</f>
        <v/>
      </c>
      <c r="AP192" s="1" t="str">
        <f>IF(OR($B192="",AP$7=""),"",IF($B192="MEANS",INDEX('1-DATA'!$1:$1048576,$A191-1,COLUMN('1-DATA'!AO190)),ROUND(INDEX('1-DATA'!$1:$1048576,IF(OR($B192="STD. DEVIATION",$C$1=1),$A192,$A192+1),COLUMN('1-DATA'!AO190)),IF($B192="STD. DEVIATION",2,$F$1))))</f>
        <v/>
      </c>
      <c r="AQ192" s="1" t="str">
        <f>IF(OR($B192="",AQ$7=""),"",IF($B192="MEANS",INDEX('1-DATA'!$1:$1048576,$A191-1,COLUMN('1-DATA'!AP190)),ROUND(INDEX('1-DATA'!$1:$1048576,IF(OR($B192="STD. DEVIATION",$C$1=1),$A192,$A192+1),COLUMN('1-DATA'!AP190)),IF($B192="STD. DEVIATION",2,$F$1))))</f>
        <v/>
      </c>
      <c r="AR192" s="1" t="str">
        <f>IF(OR($B192="",AR$7=""),"",IF($B192="MEANS",INDEX('1-DATA'!$1:$1048576,$A191-1,COLUMN('1-DATA'!AQ190)),ROUND(INDEX('1-DATA'!$1:$1048576,IF(OR($B192="STD. DEVIATION",$C$1=1),$A192,$A192+1),COLUMN('1-DATA'!AQ190)),IF($B192="STD. DEVIATION",2,$F$1))))</f>
        <v/>
      </c>
      <c r="AS192" s="1" t="str">
        <f>IF(OR($B192="",AS$7=""),"",IF($B192="MEANS",INDEX('1-DATA'!$1:$1048576,$A191-1,COLUMN('1-DATA'!AR190)),ROUND(INDEX('1-DATA'!$1:$1048576,IF(OR($B192="STD. DEVIATION",$C$1=1),$A192,$A192+1),COLUMN('1-DATA'!AR190)),IF($B192="STD. DEVIATION",2,$F$1))))</f>
        <v/>
      </c>
      <c r="AT192" s="1" t="str">
        <f>IF(OR($B192="",AT$7=""),"",IF($B192="MEANS",INDEX('1-DATA'!$1:$1048576,$A191-1,COLUMN('1-DATA'!AS190)),ROUND(INDEX('1-DATA'!$1:$1048576,IF(OR($B192="STD. DEVIATION",$C$1=1),$A192,$A192+1),COLUMN('1-DATA'!AS190)),IF($B192="STD. DEVIATION",2,$F$1))))</f>
        <v/>
      </c>
      <c r="AU192" s="1" t="str">
        <f>IF(OR($B192="",AU$7=""),"",IF($B192="MEANS",INDEX('1-DATA'!$1:$1048576,$A191-1,COLUMN('1-DATA'!AT190)),ROUND(INDEX('1-DATA'!$1:$1048576,IF(OR($B192="STD. DEVIATION",$C$1=1),$A192,$A192+1),COLUMN('1-DATA'!AT190)),IF($B192="STD. DEVIATION",2,$F$1))))</f>
        <v/>
      </c>
      <c r="AV192" s="1" t="str">
        <f>IF(OR($B192="",AV$7=""),"",IF($B192="MEANS",INDEX('1-DATA'!$1:$1048576,$A191-1,COLUMN('1-DATA'!AU190)),ROUND(INDEX('1-DATA'!$1:$1048576,IF(OR($B192="STD. DEVIATION",$C$1=1),$A192,$A192+1),COLUMN('1-DATA'!AU190)),IF($B192="STD. DEVIATION",2,$F$1))))</f>
        <v/>
      </c>
      <c r="AW192" s="1" t="str">
        <f>IF(OR($B192="",AW$7=""),"",IF($B192="MEANS",INDEX('1-DATA'!$1:$1048576,$A191-1,COLUMN('1-DATA'!AV190)),ROUND(INDEX('1-DATA'!$1:$1048576,IF(OR($B192="STD. DEVIATION",$C$1=1),$A192,$A192+1),COLUMN('1-DATA'!AV190)),IF($B192="STD. DEVIATION",2,$F$1))))</f>
        <v/>
      </c>
      <c r="AX192" s="1" t="str">
        <f>IF(OR($B192="",AX$7=""),"",IF($B192="MEANS",INDEX('1-DATA'!$1:$1048576,$A191-1,COLUMN('1-DATA'!AW190)),ROUND(INDEX('1-DATA'!$1:$1048576,IF(OR($B192="STD. DEVIATION",$C$1=1),$A192,$A192+1),COLUMN('1-DATA'!AW190)),IF($B192="STD. DEVIATION",2,$F$1))))</f>
        <v/>
      </c>
      <c r="AY192" s="1" t="str">
        <f>IF(OR($B192="",AY$7=""),"",IF($B192="MEANS",INDEX('1-DATA'!$1:$1048576,$A191-1,COLUMN('1-DATA'!AX190)),ROUND(INDEX('1-DATA'!$1:$1048576,IF(OR($B192="STD. DEVIATION",$C$1=1),$A192,$A192+1),COLUMN('1-DATA'!AX190)),IF($B192="STD. DEVIATION",2,$F$1))))</f>
        <v/>
      </c>
      <c r="AZ192" s="1" t="str">
        <f>IF(OR($B192="",AZ$7=""),"",IF($B192="MEANS",INDEX('1-DATA'!$1:$1048576,$A191-1,COLUMN('1-DATA'!AY190)),ROUND(INDEX('1-DATA'!$1:$1048576,IF(OR($B192="STD. DEVIATION",$C$1=1),$A192,$A192+1),COLUMN('1-DATA'!AY190)),IF($B192="STD. DEVIATION",2,$F$1))))</f>
        <v/>
      </c>
    </row>
    <row r="193" spans="1:52" x14ac:dyDescent="0.25">
      <c r="A193" s="11">
        <f t="shared" si="3"/>
        <v>565</v>
      </c>
      <c r="B193" s="1" t="str">
        <f>IF(B192="STD. DEVIATION",INDEX('1-DATA'!$1:$1048576,$A192-1,1),IF(INDEX('1-DATA'!$1:$1048576,$A193,1)&lt;&gt;"",INDEX('1-DATA'!$1:$1048576,$A193,1),""))</f>
        <v/>
      </c>
      <c r="C193" s="1" t="str">
        <f>IF(OR($B193="",C$7=""),"",IF($B193="MEANS",INDEX('1-DATA'!$1:$1048576,$A192-1,COLUMN('1-DATA'!B191)),ROUND(INDEX('1-DATA'!$1:$1048576,IF(OR($B193="STD. DEVIATION",$C$1=1),$A193,$A193+1),COLUMN('1-DATA'!B191)),IF($B193="STD. DEVIATION",2,$F$1))))</f>
        <v/>
      </c>
      <c r="D193" s="1" t="str">
        <f>IF(OR($B193="",D$7=""),"",IF($B193="MEANS",INDEX('1-DATA'!$1:$1048576,$A192-1,COLUMN('1-DATA'!C191)),ROUND(INDEX('1-DATA'!$1:$1048576,IF(OR($B193="STD. DEVIATION",$C$1=1),$A193,$A193+1),COLUMN('1-DATA'!C191)),IF($B193="STD. DEVIATION",2,$F$1))))</f>
        <v/>
      </c>
      <c r="E193" s="1" t="str">
        <f>IF(OR($B193="",E$7=""),"",IF($B193="MEANS",INDEX('1-DATA'!$1:$1048576,$A192-1,COLUMN('1-DATA'!D191)),ROUND(INDEX('1-DATA'!$1:$1048576,IF(OR($B193="STD. DEVIATION",$C$1=1),$A193,$A193+1),COLUMN('1-DATA'!D191)),IF($B193="STD. DEVIATION",2,$F$1))))</f>
        <v/>
      </c>
      <c r="F193" s="1" t="str">
        <f>IF(OR($B193="",F$7=""),"",IF($B193="MEANS",INDEX('1-DATA'!$1:$1048576,$A192-1,COLUMN('1-DATA'!E191)),ROUND(INDEX('1-DATA'!$1:$1048576,IF(OR($B193="STD. DEVIATION",$C$1=1),$A193,$A193+1),COLUMN('1-DATA'!E191)),IF($B193="STD. DEVIATION",2,$F$1))))</f>
        <v/>
      </c>
      <c r="G193" s="1" t="str">
        <f>IF(OR($B193="",G$7=""),"",IF($B193="MEANS",INDEX('1-DATA'!$1:$1048576,$A192-1,COLUMN('1-DATA'!F191)),ROUND(INDEX('1-DATA'!$1:$1048576,IF(OR($B193="STD. DEVIATION",$C$1=1),$A193,$A193+1),COLUMN('1-DATA'!F191)),IF($B193="STD. DEVIATION",2,$F$1))))</f>
        <v/>
      </c>
      <c r="H193" s="1" t="str">
        <f>IF(OR($B193="",H$7=""),"",IF($B193="MEANS",INDEX('1-DATA'!$1:$1048576,$A192-1,COLUMN('1-DATA'!G191)),ROUND(INDEX('1-DATA'!$1:$1048576,IF(OR($B193="STD. DEVIATION",$C$1=1),$A193,$A193+1),COLUMN('1-DATA'!G191)),IF($B193="STD. DEVIATION",2,$F$1))))</f>
        <v/>
      </c>
      <c r="I193" s="1" t="str">
        <f>IF(OR($B193="",I$7=""),"",IF($B193="MEANS",INDEX('1-DATA'!$1:$1048576,$A192-1,COLUMN('1-DATA'!H191)),ROUND(INDEX('1-DATA'!$1:$1048576,IF(OR($B193="STD. DEVIATION",$C$1=1),$A193,$A193+1),COLUMN('1-DATA'!H191)),IF($B193="STD. DEVIATION",2,$F$1))))</f>
        <v/>
      </c>
      <c r="J193" s="1" t="str">
        <f>IF(OR($B193="",J$7=""),"",IF($B193="MEANS",INDEX('1-DATA'!$1:$1048576,$A192-1,COLUMN('1-DATA'!I191)),ROUND(INDEX('1-DATA'!$1:$1048576,IF(OR($B193="STD. DEVIATION",$C$1=1),$A193,$A193+1),COLUMN('1-DATA'!I191)),IF($B193="STD. DEVIATION",2,$F$1))))</f>
        <v/>
      </c>
      <c r="K193" s="1" t="str">
        <f>IF(OR($B193="",K$7=""),"",IF($B193="MEANS",INDEX('1-DATA'!$1:$1048576,$A192-1,COLUMN('1-DATA'!J191)),ROUND(INDEX('1-DATA'!$1:$1048576,IF(OR($B193="STD. DEVIATION",$C$1=1),$A193,$A193+1),COLUMN('1-DATA'!J191)),IF($B193="STD. DEVIATION",2,$F$1))))</f>
        <v/>
      </c>
      <c r="L193" s="1" t="str">
        <f>IF(OR($B193="",L$7=""),"",IF($B193="MEANS",INDEX('1-DATA'!$1:$1048576,$A192-1,COLUMN('1-DATA'!K191)),ROUND(INDEX('1-DATA'!$1:$1048576,IF(OR($B193="STD. DEVIATION",$C$1=1),$A193,$A193+1),COLUMN('1-DATA'!K191)),IF($B193="STD. DEVIATION",2,$F$1))))</f>
        <v/>
      </c>
      <c r="M193" s="1" t="str">
        <f>IF(OR($B193="",M$7=""),"",IF($B193="MEANS",INDEX('1-DATA'!$1:$1048576,$A192-1,COLUMN('1-DATA'!L191)),ROUND(INDEX('1-DATA'!$1:$1048576,IF(OR($B193="STD. DEVIATION",$C$1=1),$A193,$A193+1),COLUMN('1-DATA'!L191)),IF($B193="STD. DEVIATION",2,$F$1))))</f>
        <v/>
      </c>
      <c r="N193" s="1" t="str">
        <f>IF(OR($B193="",N$7=""),"",IF($B193="MEANS",INDEX('1-DATA'!$1:$1048576,$A192-1,COLUMN('1-DATA'!M191)),ROUND(INDEX('1-DATA'!$1:$1048576,IF(OR($B193="STD. DEVIATION",$C$1=1),$A193,$A193+1),COLUMN('1-DATA'!M191)),IF($B193="STD. DEVIATION",2,$F$1))))</f>
        <v/>
      </c>
      <c r="O193" s="1" t="str">
        <f>IF(OR($B193="",O$7=""),"",IF($B193="MEANS",INDEX('1-DATA'!$1:$1048576,$A192-1,COLUMN('1-DATA'!N191)),ROUND(INDEX('1-DATA'!$1:$1048576,IF(OR($B193="STD. DEVIATION",$C$1=1),$A193,$A193+1),COLUMN('1-DATA'!N191)),IF($B193="STD. DEVIATION",2,$F$1))))</f>
        <v/>
      </c>
      <c r="P193" s="1" t="str">
        <f>IF(OR($B193="",P$7=""),"",IF($B193="MEANS",INDEX('1-DATA'!$1:$1048576,$A192-1,COLUMN('1-DATA'!O191)),ROUND(INDEX('1-DATA'!$1:$1048576,IF(OR($B193="STD. DEVIATION",$C$1=1),$A193,$A193+1),COLUMN('1-DATA'!O191)),IF($B193="STD. DEVIATION",2,$F$1))))</f>
        <v/>
      </c>
      <c r="Q193" s="1" t="str">
        <f>IF(OR($B193="",Q$7=""),"",IF($B193="MEANS",INDEX('1-DATA'!$1:$1048576,$A192-1,COLUMN('1-DATA'!P191)),ROUND(INDEX('1-DATA'!$1:$1048576,IF(OR($B193="STD. DEVIATION",$C$1=1),$A193,$A193+1),COLUMN('1-DATA'!P191)),IF($B193="STD. DEVIATION",2,$F$1))))</f>
        <v/>
      </c>
      <c r="R193" s="1" t="str">
        <f>IF(OR($B193="",R$7=""),"",IF($B193="MEANS",INDEX('1-DATA'!$1:$1048576,$A192-1,COLUMN('1-DATA'!Q191)),ROUND(INDEX('1-DATA'!$1:$1048576,IF(OR($B193="STD. DEVIATION",$C$1=1),$A193,$A193+1),COLUMN('1-DATA'!Q191)),IF($B193="STD. DEVIATION",2,$F$1))))</f>
        <v/>
      </c>
      <c r="S193" s="1" t="str">
        <f>IF(OR($B193="",S$7=""),"",IF($B193="MEANS",INDEX('1-DATA'!$1:$1048576,$A192-1,COLUMN('1-DATA'!R191)),ROUND(INDEX('1-DATA'!$1:$1048576,IF(OR($B193="STD. DEVIATION",$C$1=1),$A193,$A193+1),COLUMN('1-DATA'!R191)),IF($B193="STD. DEVIATION",2,$F$1))))</f>
        <v/>
      </c>
      <c r="T193" s="1" t="str">
        <f>IF(OR($B193="",T$7=""),"",IF($B193="MEANS",INDEX('1-DATA'!$1:$1048576,$A192-1,COLUMN('1-DATA'!S191)),ROUND(INDEX('1-DATA'!$1:$1048576,IF(OR($B193="STD. DEVIATION",$C$1=1),$A193,$A193+1),COLUMN('1-DATA'!S191)),IF($B193="STD. DEVIATION",2,$F$1))))</f>
        <v/>
      </c>
      <c r="U193" s="1" t="str">
        <f>IF(OR($B193="",U$7=""),"",IF($B193="MEANS",INDEX('1-DATA'!$1:$1048576,$A192-1,COLUMN('1-DATA'!T191)),ROUND(INDEX('1-DATA'!$1:$1048576,IF(OR($B193="STD. DEVIATION",$C$1=1),$A193,$A193+1),COLUMN('1-DATA'!T191)),IF($B193="STD. DEVIATION",2,$F$1))))</f>
        <v/>
      </c>
      <c r="V193" s="1" t="str">
        <f>IF(OR($B193="",V$7=""),"",IF($B193="MEANS",INDEX('1-DATA'!$1:$1048576,$A192-1,COLUMN('1-DATA'!U191)),ROUND(INDEX('1-DATA'!$1:$1048576,IF(OR($B193="STD. DEVIATION",$C$1=1),$A193,$A193+1),COLUMN('1-DATA'!U191)),IF($B193="STD. DEVIATION",2,$F$1))))</f>
        <v/>
      </c>
      <c r="W193" s="1" t="str">
        <f>IF(OR($B193="",W$7=""),"",IF($B193="MEANS",INDEX('1-DATA'!$1:$1048576,$A192-1,COLUMN('1-DATA'!V191)),ROUND(INDEX('1-DATA'!$1:$1048576,IF(OR($B193="STD. DEVIATION",$C$1=1),$A193,$A193+1),COLUMN('1-DATA'!V191)),IF($B193="STD. DEVIATION",2,$F$1))))</f>
        <v/>
      </c>
      <c r="X193" s="1" t="str">
        <f>IF(OR($B193="",X$7=""),"",IF($B193="MEANS",INDEX('1-DATA'!$1:$1048576,$A192-1,COLUMN('1-DATA'!W191)),ROUND(INDEX('1-DATA'!$1:$1048576,IF(OR($B193="STD. DEVIATION",$C$1=1),$A193,$A193+1),COLUMN('1-DATA'!W191)),IF($B193="STD. DEVIATION",2,$F$1))))</f>
        <v/>
      </c>
      <c r="Y193" s="1" t="str">
        <f>IF(OR($B193="",Y$7=""),"",IF($B193="MEANS",INDEX('1-DATA'!$1:$1048576,$A192-1,COLUMN('1-DATA'!X191)),ROUND(INDEX('1-DATA'!$1:$1048576,IF(OR($B193="STD. DEVIATION",$C$1=1),$A193,$A193+1),COLUMN('1-DATA'!X191)),IF($B193="STD. DEVIATION",2,$F$1))))</f>
        <v/>
      </c>
      <c r="Z193" s="1" t="str">
        <f>IF(OR($B193="",Z$7=""),"",IF($B193="MEANS",INDEX('1-DATA'!$1:$1048576,$A192-1,COLUMN('1-DATA'!Y191)),ROUND(INDEX('1-DATA'!$1:$1048576,IF(OR($B193="STD. DEVIATION",$C$1=1),$A193,$A193+1),COLUMN('1-DATA'!Y191)),IF($B193="STD. DEVIATION",2,$F$1))))</f>
        <v/>
      </c>
      <c r="AA193" s="1" t="str">
        <f>IF(OR($B193="",AA$7=""),"",IF($B193="MEANS",INDEX('1-DATA'!$1:$1048576,$A192-1,COLUMN('1-DATA'!Z191)),ROUND(INDEX('1-DATA'!$1:$1048576,IF(OR($B193="STD. DEVIATION",$C$1=1),$A193,$A193+1),COLUMN('1-DATA'!Z191)),IF($B193="STD. DEVIATION",2,$F$1))))</f>
        <v/>
      </c>
      <c r="AB193" s="1" t="str">
        <f>IF(OR($B193="",AB$7=""),"",IF($B193="MEANS",INDEX('1-DATA'!$1:$1048576,$A192-1,COLUMN('1-DATA'!AA191)),ROUND(INDEX('1-DATA'!$1:$1048576,IF(OR($B193="STD. DEVIATION",$C$1=1),$A193,$A193+1),COLUMN('1-DATA'!AA191)),IF($B193="STD. DEVIATION",2,$F$1))))</f>
        <v/>
      </c>
      <c r="AC193" s="1" t="str">
        <f>IF(OR($B193="",AC$7=""),"",IF($B193="MEANS",INDEX('1-DATA'!$1:$1048576,$A192-1,COLUMN('1-DATA'!AB191)),ROUND(INDEX('1-DATA'!$1:$1048576,IF(OR($B193="STD. DEVIATION",$C$1=1),$A193,$A193+1),COLUMN('1-DATA'!AB191)),IF($B193="STD. DEVIATION",2,$F$1))))</f>
        <v/>
      </c>
      <c r="AD193" s="1" t="str">
        <f>IF(OR($B193="",AD$7=""),"",IF($B193="MEANS",INDEX('1-DATA'!$1:$1048576,$A192-1,COLUMN('1-DATA'!AC191)),ROUND(INDEX('1-DATA'!$1:$1048576,IF(OR($B193="STD. DEVIATION",$C$1=1),$A193,$A193+1),COLUMN('1-DATA'!AC191)),IF($B193="STD. DEVIATION",2,$F$1))))</f>
        <v/>
      </c>
      <c r="AE193" s="1" t="str">
        <f>IF(OR($B193="",AE$7=""),"",IF($B193="MEANS",INDEX('1-DATA'!$1:$1048576,$A192-1,COLUMN('1-DATA'!AD191)),ROUND(INDEX('1-DATA'!$1:$1048576,IF(OR($B193="STD. DEVIATION",$C$1=1),$A193,$A193+1),COLUMN('1-DATA'!AD191)),IF($B193="STD. DEVIATION",2,$F$1))))</f>
        <v/>
      </c>
      <c r="AF193" s="1" t="str">
        <f>IF(OR($B193="",AF$7=""),"",IF($B193="MEANS",INDEX('1-DATA'!$1:$1048576,$A192-1,COLUMN('1-DATA'!AE191)),ROUND(INDEX('1-DATA'!$1:$1048576,IF(OR($B193="STD. DEVIATION",$C$1=1),$A193,$A193+1),COLUMN('1-DATA'!AE191)),IF($B193="STD. DEVIATION",2,$F$1))))</f>
        <v/>
      </c>
      <c r="AG193" s="1" t="str">
        <f>IF(OR($B193="",AG$7=""),"",IF($B193="MEANS",INDEX('1-DATA'!$1:$1048576,$A192-1,COLUMN('1-DATA'!AF191)),ROUND(INDEX('1-DATA'!$1:$1048576,IF(OR($B193="STD. DEVIATION",$C$1=1),$A193,$A193+1),COLUMN('1-DATA'!AF191)),IF($B193="STD. DEVIATION",2,$F$1))))</f>
        <v/>
      </c>
      <c r="AH193" s="1" t="str">
        <f>IF(OR($B193="",AH$7=""),"",IF($B193="MEANS",INDEX('1-DATA'!$1:$1048576,$A192-1,COLUMN('1-DATA'!AG191)),ROUND(INDEX('1-DATA'!$1:$1048576,IF(OR($B193="STD. DEVIATION",$C$1=1),$A193,$A193+1),COLUMN('1-DATA'!AG191)),IF($B193="STD. DEVIATION",2,$F$1))))</f>
        <v/>
      </c>
      <c r="AI193" s="1" t="str">
        <f>IF(OR($B193="",AI$7=""),"",IF($B193="MEANS",INDEX('1-DATA'!$1:$1048576,$A192-1,COLUMN('1-DATA'!AH191)),ROUND(INDEX('1-DATA'!$1:$1048576,IF(OR($B193="STD. DEVIATION",$C$1=1),$A193,$A193+1),COLUMN('1-DATA'!AH191)),IF($B193="STD. DEVIATION",2,$F$1))))</f>
        <v/>
      </c>
      <c r="AJ193" s="1" t="str">
        <f>IF(OR($B193="",AJ$7=""),"",IF($B193="MEANS",INDEX('1-DATA'!$1:$1048576,$A192-1,COLUMN('1-DATA'!AI191)),ROUND(INDEX('1-DATA'!$1:$1048576,IF(OR($B193="STD. DEVIATION",$C$1=1),$A193,$A193+1),COLUMN('1-DATA'!AI191)),IF($B193="STD. DEVIATION",2,$F$1))))</f>
        <v/>
      </c>
      <c r="AK193" s="1" t="str">
        <f>IF(OR($B193="",AK$7=""),"",IF($B193="MEANS",INDEX('1-DATA'!$1:$1048576,$A192-1,COLUMN('1-DATA'!AJ191)),ROUND(INDEX('1-DATA'!$1:$1048576,IF(OR($B193="STD. DEVIATION",$C$1=1),$A193,$A193+1),COLUMN('1-DATA'!AJ191)),IF($B193="STD. DEVIATION",2,$F$1))))</f>
        <v/>
      </c>
      <c r="AL193" s="1" t="str">
        <f>IF(OR($B193="",AL$7=""),"",IF($B193="MEANS",INDEX('1-DATA'!$1:$1048576,$A192-1,COLUMN('1-DATA'!AK191)),ROUND(INDEX('1-DATA'!$1:$1048576,IF(OR($B193="STD. DEVIATION",$C$1=1),$A193,$A193+1),COLUMN('1-DATA'!AK191)),IF($B193="STD. DEVIATION",2,$F$1))))</f>
        <v/>
      </c>
      <c r="AM193" s="1" t="str">
        <f>IF(OR($B193="",AM$7=""),"",IF($B193="MEANS",INDEX('1-DATA'!$1:$1048576,$A192-1,COLUMN('1-DATA'!AL191)),ROUND(INDEX('1-DATA'!$1:$1048576,IF(OR($B193="STD. DEVIATION",$C$1=1),$A193,$A193+1),COLUMN('1-DATA'!AL191)),IF($B193="STD. DEVIATION",2,$F$1))))</f>
        <v/>
      </c>
      <c r="AN193" s="1" t="str">
        <f>IF(OR($B193="",AN$7=""),"",IF($B193="MEANS",INDEX('1-DATA'!$1:$1048576,$A192-1,COLUMN('1-DATA'!AM191)),ROUND(INDEX('1-DATA'!$1:$1048576,IF(OR($B193="STD. DEVIATION",$C$1=1),$A193,$A193+1),COLUMN('1-DATA'!AM191)),IF($B193="STD. DEVIATION",2,$F$1))))</f>
        <v/>
      </c>
      <c r="AO193" s="1" t="str">
        <f>IF(OR($B193="",AO$7=""),"",IF($B193="MEANS",INDEX('1-DATA'!$1:$1048576,$A192-1,COLUMN('1-DATA'!AN191)),ROUND(INDEX('1-DATA'!$1:$1048576,IF(OR($B193="STD. DEVIATION",$C$1=1),$A193,$A193+1),COLUMN('1-DATA'!AN191)),IF($B193="STD. DEVIATION",2,$F$1))))</f>
        <v/>
      </c>
      <c r="AP193" s="1" t="str">
        <f>IF(OR($B193="",AP$7=""),"",IF($B193="MEANS",INDEX('1-DATA'!$1:$1048576,$A192-1,COLUMN('1-DATA'!AO191)),ROUND(INDEX('1-DATA'!$1:$1048576,IF(OR($B193="STD. DEVIATION",$C$1=1),$A193,$A193+1),COLUMN('1-DATA'!AO191)),IF($B193="STD. DEVIATION",2,$F$1))))</f>
        <v/>
      </c>
      <c r="AQ193" s="1" t="str">
        <f>IF(OR($B193="",AQ$7=""),"",IF($B193="MEANS",INDEX('1-DATA'!$1:$1048576,$A192-1,COLUMN('1-DATA'!AP191)),ROUND(INDEX('1-DATA'!$1:$1048576,IF(OR($B193="STD. DEVIATION",$C$1=1),$A193,$A193+1),COLUMN('1-DATA'!AP191)),IF($B193="STD. DEVIATION",2,$F$1))))</f>
        <v/>
      </c>
      <c r="AR193" s="1" t="str">
        <f>IF(OR($B193="",AR$7=""),"",IF($B193="MEANS",INDEX('1-DATA'!$1:$1048576,$A192-1,COLUMN('1-DATA'!AQ191)),ROUND(INDEX('1-DATA'!$1:$1048576,IF(OR($B193="STD. DEVIATION",$C$1=1),$A193,$A193+1),COLUMN('1-DATA'!AQ191)),IF($B193="STD. DEVIATION",2,$F$1))))</f>
        <v/>
      </c>
      <c r="AS193" s="1" t="str">
        <f>IF(OR($B193="",AS$7=""),"",IF($B193="MEANS",INDEX('1-DATA'!$1:$1048576,$A192-1,COLUMN('1-DATA'!AR191)),ROUND(INDEX('1-DATA'!$1:$1048576,IF(OR($B193="STD. DEVIATION",$C$1=1),$A193,$A193+1),COLUMN('1-DATA'!AR191)),IF($B193="STD. DEVIATION",2,$F$1))))</f>
        <v/>
      </c>
      <c r="AT193" s="1" t="str">
        <f>IF(OR($B193="",AT$7=""),"",IF($B193="MEANS",INDEX('1-DATA'!$1:$1048576,$A192-1,COLUMN('1-DATA'!AS191)),ROUND(INDEX('1-DATA'!$1:$1048576,IF(OR($B193="STD. DEVIATION",$C$1=1),$A193,$A193+1),COLUMN('1-DATA'!AS191)),IF($B193="STD. DEVIATION",2,$F$1))))</f>
        <v/>
      </c>
      <c r="AU193" s="1" t="str">
        <f>IF(OR($B193="",AU$7=""),"",IF($B193="MEANS",INDEX('1-DATA'!$1:$1048576,$A192-1,COLUMN('1-DATA'!AT191)),ROUND(INDEX('1-DATA'!$1:$1048576,IF(OR($B193="STD. DEVIATION",$C$1=1),$A193,$A193+1),COLUMN('1-DATA'!AT191)),IF($B193="STD. DEVIATION",2,$F$1))))</f>
        <v/>
      </c>
      <c r="AV193" s="1" t="str">
        <f>IF(OR($B193="",AV$7=""),"",IF($B193="MEANS",INDEX('1-DATA'!$1:$1048576,$A192-1,COLUMN('1-DATA'!AU191)),ROUND(INDEX('1-DATA'!$1:$1048576,IF(OR($B193="STD. DEVIATION",$C$1=1),$A193,$A193+1),COLUMN('1-DATA'!AU191)),IF($B193="STD. DEVIATION",2,$F$1))))</f>
        <v/>
      </c>
      <c r="AW193" s="1" t="str">
        <f>IF(OR($B193="",AW$7=""),"",IF($B193="MEANS",INDEX('1-DATA'!$1:$1048576,$A192-1,COLUMN('1-DATA'!AV191)),ROUND(INDEX('1-DATA'!$1:$1048576,IF(OR($B193="STD. DEVIATION",$C$1=1),$A193,$A193+1),COLUMN('1-DATA'!AV191)),IF($B193="STD. DEVIATION",2,$F$1))))</f>
        <v/>
      </c>
      <c r="AX193" s="1" t="str">
        <f>IF(OR($B193="",AX$7=""),"",IF($B193="MEANS",INDEX('1-DATA'!$1:$1048576,$A192-1,COLUMN('1-DATA'!AW191)),ROUND(INDEX('1-DATA'!$1:$1048576,IF(OR($B193="STD. DEVIATION",$C$1=1),$A193,$A193+1),COLUMN('1-DATA'!AW191)),IF($B193="STD. DEVIATION",2,$F$1))))</f>
        <v/>
      </c>
      <c r="AY193" s="1" t="str">
        <f>IF(OR($B193="",AY$7=""),"",IF($B193="MEANS",INDEX('1-DATA'!$1:$1048576,$A192-1,COLUMN('1-DATA'!AX191)),ROUND(INDEX('1-DATA'!$1:$1048576,IF(OR($B193="STD. DEVIATION",$C$1=1),$A193,$A193+1),COLUMN('1-DATA'!AX191)),IF($B193="STD. DEVIATION",2,$F$1))))</f>
        <v/>
      </c>
      <c r="AZ193" s="1" t="str">
        <f>IF(OR($B193="",AZ$7=""),"",IF($B193="MEANS",INDEX('1-DATA'!$1:$1048576,$A192-1,COLUMN('1-DATA'!AY191)),ROUND(INDEX('1-DATA'!$1:$1048576,IF(OR($B193="STD. DEVIATION",$C$1=1),$A193,$A193+1),COLUMN('1-DATA'!AY191)),IF($B193="STD. DEVIATION",2,$F$1))))</f>
        <v/>
      </c>
    </row>
    <row r="194" spans="1:52" x14ac:dyDescent="0.25">
      <c r="A194" s="11">
        <f t="shared" si="3"/>
        <v>568</v>
      </c>
      <c r="B194" s="1" t="str">
        <f>IF(B193="STD. DEVIATION",INDEX('1-DATA'!$1:$1048576,$A193-1,1),IF(INDEX('1-DATA'!$1:$1048576,$A194,1)&lt;&gt;"",INDEX('1-DATA'!$1:$1048576,$A194,1),""))</f>
        <v/>
      </c>
      <c r="C194" s="1" t="str">
        <f>IF(OR($B194="",C$7=""),"",IF($B194="MEANS",INDEX('1-DATA'!$1:$1048576,$A193-1,COLUMN('1-DATA'!B192)),ROUND(INDEX('1-DATA'!$1:$1048576,IF(OR($B194="STD. DEVIATION",$C$1=1),$A194,$A194+1),COLUMN('1-DATA'!B192)),IF($B194="STD. DEVIATION",2,$F$1))))</f>
        <v/>
      </c>
      <c r="D194" s="1" t="str">
        <f>IF(OR($B194="",D$7=""),"",IF($B194="MEANS",INDEX('1-DATA'!$1:$1048576,$A193-1,COLUMN('1-DATA'!C192)),ROUND(INDEX('1-DATA'!$1:$1048576,IF(OR($B194="STD. DEVIATION",$C$1=1),$A194,$A194+1),COLUMN('1-DATA'!C192)),IF($B194="STD. DEVIATION",2,$F$1))))</f>
        <v/>
      </c>
      <c r="E194" s="1" t="str">
        <f>IF(OR($B194="",E$7=""),"",IF($B194="MEANS",INDEX('1-DATA'!$1:$1048576,$A193-1,COLUMN('1-DATA'!D192)),ROUND(INDEX('1-DATA'!$1:$1048576,IF(OR($B194="STD. DEVIATION",$C$1=1),$A194,$A194+1),COLUMN('1-DATA'!D192)),IF($B194="STD. DEVIATION",2,$F$1))))</f>
        <v/>
      </c>
      <c r="F194" s="1" t="str">
        <f>IF(OR($B194="",F$7=""),"",IF($B194="MEANS",INDEX('1-DATA'!$1:$1048576,$A193-1,COLUMN('1-DATA'!E192)),ROUND(INDEX('1-DATA'!$1:$1048576,IF(OR($B194="STD. DEVIATION",$C$1=1),$A194,$A194+1),COLUMN('1-DATA'!E192)),IF($B194="STD. DEVIATION",2,$F$1))))</f>
        <v/>
      </c>
      <c r="G194" s="1" t="str">
        <f>IF(OR($B194="",G$7=""),"",IF($B194="MEANS",INDEX('1-DATA'!$1:$1048576,$A193-1,COLUMN('1-DATA'!F192)),ROUND(INDEX('1-DATA'!$1:$1048576,IF(OR($B194="STD. DEVIATION",$C$1=1),$A194,$A194+1),COLUMN('1-DATA'!F192)),IF($B194="STD. DEVIATION",2,$F$1))))</f>
        <v/>
      </c>
      <c r="H194" s="1" t="str">
        <f>IF(OR($B194="",H$7=""),"",IF($B194="MEANS",INDEX('1-DATA'!$1:$1048576,$A193-1,COLUMN('1-DATA'!G192)),ROUND(INDEX('1-DATA'!$1:$1048576,IF(OR($B194="STD. DEVIATION",$C$1=1),$A194,$A194+1),COLUMN('1-DATA'!G192)),IF($B194="STD. DEVIATION",2,$F$1))))</f>
        <v/>
      </c>
      <c r="I194" s="1" t="str">
        <f>IF(OR($B194="",I$7=""),"",IF($B194="MEANS",INDEX('1-DATA'!$1:$1048576,$A193-1,COLUMN('1-DATA'!H192)),ROUND(INDEX('1-DATA'!$1:$1048576,IF(OR($B194="STD. DEVIATION",$C$1=1),$A194,$A194+1),COLUMN('1-DATA'!H192)),IF($B194="STD. DEVIATION",2,$F$1))))</f>
        <v/>
      </c>
      <c r="J194" s="1" t="str">
        <f>IF(OR($B194="",J$7=""),"",IF($B194="MEANS",INDEX('1-DATA'!$1:$1048576,$A193-1,COLUMN('1-DATA'!I192)),ROUND(INDEX('1-DATA'!$1:$1048576,IF(OR($B194="STD. DEVIATION",$C$1=1),$A194,$A194+1),COLUMN('1-DATA'!I192)),IF($B194="STD. DEVIATION",2,$F$1))))</f>
        <v/>
      </c>
      <c r="K194" s="1" t="str">
        <f>IF(OR($B194="",K$7=""),"",IF($B194="MEANS",INDEX('1-DATA'!$1:$1048576,$A193-1,COLUMN('1-DATA'!J192)),ROUND(INDEX('1-DATA'!$1:$1048576,IF(OR($B194="STD. DEVIATION",$C$1=1),$A194,$A194+1),COLUMN('1-DATA'!J192)),IF($B194="STD. DEVIATION",2,$F$1))))</f>
        <v/>
      </c>
      <c r="L194" s="1" t="str">
        <f>IF(OR($B194="",L$7=""),"",IF($B194="MEANS",INDEX('1-DATA'!$1:$1048576,$A193-1,COLUMN('1-DATA'!K192)),ROUND(INDEX('1-DATA'!$1:$1048576,IF(OR($B194="STD. DEVIATION",$C$1=1),$A194,$A194+1),COLUMN('1-DATA'!K192)),IF($B194="STD. DEVIATION",2,$F$1))))</f>
        <v/>
      </c>
      <c r="M194" s="1" t="str">
        <f>IF(OR($B194="",M$7=""),"",IF($B194="MEANS",INDEX('1-DATA'!$1:$1048576,$A193-1,COLUMN('1-DATA'!L192)),ROUND(INDEX('1-DATA'!$1:$1048576,IF(OR($B194="STD. DEVIATION",$C$1=1),$A194,$A194+1),COLUMN('1-DATA'!L192)),IF($B194="STD. DEVIATION",2,$F$1))))</f>
        <v/>
      </c>
      <c r="N194" s="1" t="str">
        <f>IF(OR($B194="",N$7=""),"",IF($B194="MEANS",INDEX('1-DATA'!$1:$1048576,$A193-1,COLUMN('1-DATA'!M192)),ROUND(INDEX('1-DATA'!$1:$1048576,IF(OR($B194="STD. DEVIATION",$C$1=1),$A194,$A194+1),COLUMN('1-DATA'!M192)),IF($B194="STD. DEVIATION",2,$F$1))))</f>
        <v/>
      </c>
      <c r="O194" s="1" t="str">
        <f>IF(OR($B194="",O$7=""),"",IF($B194="MEANS",INDEX('1-DATA'!$1:$1048576,$A193-1,COLUMN('1-DATA'!N192)),ROUND(INDEX('1-DATA'!$1:$1048576,IF(OR($B194="STD. DEVIATION",$C$1=1),$A194,$A194+1),COLUMN('1-DATA'!N192)),IF($B194="STD. DEVIATION",2,$F$1))))</f>
        <v/>
      </c>
      <c r="P194" s="1" t="str">
        <f>IF(OR($B194="",P$7=""),"",IF($B194="MEANS",INDEX('1-DATA'!$1:$1048576,$A193-1,COLUMN('1-DATA'!O192)),ROUND(INDEX('1-DATA'!$1:$1048576,IF(OR($B194="STD. DEVIATION",$C$1=1),$A194,$A194+1),COLUMN('1-DATA'!O192)),IF($B194="STD. DEVIATION",2,$F$1))))</f>
        <v/>
      </c>
      <c r="Q194" s="1" t="str">
        <f>IF(OR($B194="",Q$7=""),"",IF($B194="MEANS",INDEX('1-DATA'!$1:$1048576,$A193-1,COLUMN('1-DATA'!P192)),ROUND(INDEX('1-DATA'!$1:$1048576,IF(OR($B194="STD. DEVIATION",$C$1=1),$A194,$A194+1),COLUMN('1-DATA'!P192)),IF($B194="STD. DEVIATION",2,$F$1))))</f>
        <v/>
      </c>
      <c r="R194" s="1" t="str">
        <f>IF(OR($B194="",R$7=""),"",IF($B194="MEANS",INDEX('1-DATA'!$1:$1048576,$A193-1,COLUMN('1-DATA'!Q192)),ROUND(INDEX('1-DATA'!$1:$1048576,IF(OR($B194="STD. DEVIATION",$C$1=1),$A194,$A194+1),COLUMN('1-DATA'!Q192)),IF($B194="STD. DEVIATION",2,$F$1))))</f>
        <v/>
      </c>
      <c r="S194" s="1" t="str">
        <f>IF(OR($B194="",S$7=""),"",IF($B194="MEANS",INDEX('1-DATA'!$1:$1048576,$A193-1,COLUMN('1-DATA'!R192)),ROUND(INDEX('1-DATA'!$1:$1048576,IF(OR($B194="STD. DEVIATION",$C$1=1),$A194,$A194+1),COLUMN('1-DATA'!R192)),IF($B194="STD. DEVIATION",2,$F$1))))</f>
        <v/>
      </c>
      <c r="T194" s="1" t="str">
        <f>IF(OR($B194="",T$7=""),"",IF($B194="MEANS",INDEX('1-DATA'!$1:$1048576,$A193-1,COLUMN('1-DATA'!S192)),ROUND(INDEX('1-DATA'!$1:$1048576,IF(OR($B194="STD. DEVIATION",$C$1=1),$A194,$A194+1),COLUMN('1-DATA'!S192)),IF($B194="STD. DEVIATION",2,$F$1))))</f>
        <v/>
      </c>
      <c r="U194" s="1" t="str">
        <f>IF(OR($B194="",U$7=""),"",IF($B194="MEANS",INDEX('1-DATA'!$1:$1048576,$A193-1,COLUMN('1-DATA'!T192)),ROUND(INDEX('1-DATA'!$1:$1048576,IF(OR($B194="STD. DEVIATION",$C$1=1),$A194,$A194+1),COLUMN('1-DATA'!T192)),IF($B194="STD. DEVIATION",2,$F$1))))</f>
        <v/>
      </c>
      <c r="V194" s="1" t="str">
        <f>IF(OR($B194="",V$7=""),"",IF($B194="MEANS",INDEX('1-DATA'!$1:$1048576,$A193-1,COLUMN('1-DATA'!U192)),ROUND(INDEX('1-DATA'!$1:$1048576,IF(OR($B194="STD. DEVIATION",$C$1=1),$A194,$A194+1),COLUMN('1-DATA'!U192)),IF($B194="STD. DEVIATION",2,$F$1))))</f>
        <v/>
      </c>
      <c r="W194" s="1" t="str">
        <f>IF(OR($B194="",W$7=""),"",IF($B194="MEANS",INDEX('1-DATA'!$1:$1048576,$A193-1,COLUMN('1-DATA'!V192)),ROUND(INDEX('1-DATA'!$1:$1048576,IF(OR($B194="STD. DEVIATION",$C$1=1),$A194,$A194+1),COLUMN('1-DATA'!V192)),IF($B194="STD. DEVIATION",2,$F$1))))</f>
        <v/>
      </c>
      <c r="X194" s="1" t="str">
        <f>IF(OR($B194="",X$7=""),"",IF($B194="MEANS",INDEX('1-DATA'!$1:$1048576,$A193-1,COLUMN('1-DATA'!W192)),ROUND(INDEX('1-DATA'!$1:$1048576,IF(OR($B194="STD. DEVIATION",$C$1=1),$A194,$A194+1),COLUMN('1-DATA'!W192)),IF($B194="STD. DEVIATION",2,$F$1))))</f>
        <v/>
      </c>
      <c r="Y194" s="1" t="str">
        <f>IF(OR($B194="",Y$7=""),"",IF($B194="MEANS",INDEX('1-DATA'!$1:$1048576,$A193-1,COLUMN('1-DATA'!X192)),ROUND(INDEX('1-DATA'!$1:$1048576,IF(OR($B194="STD. DEVIATION",$C$1=1),$A194,$A194+1),COLUMN('1-DATA'!X192)),IF($B194="STD. DEVIATION",2,$F$1))))</f>
        <v/>
      </c>
      <c r="Z194" s="1" t="str">
        <f>IF(OR($B194="",Z$7=""),"",IF($B194="MEANS",INDEX('1-DATA'!$1:$1048576,$A193-1,COLUMN('1-DATA'!Y192)),ROUND(INDEX('1-DATA'!$1:$1048576,IF(OR($B194="STD. DEVIATION",$C$1=1),$A194,$A194+1),COLUMN('1-DATA'!Y192)),IF($B194="STD. DEVIATION",2,$F$1))))</f>
        <v/>
      </c>
      <c r="AA194" s="1" t="str">
        <f>IF(OR($B194="",AA$7=""),"",IF($B194="MEANS",INDEX('1-DATA'!$1:$1048576,$A193-1,COLUMN('1-DATA'!Z192)),ROUND(INDEX('1-DATA'!$1:$1048576,IF(OR($B194="STD. DEVIATION",$C$1=1),$A194,$A194+1),COLUMN('1-DATA'!Z192)),IF($B194="STD. DEVIATION",2,$F$1))))</f>
        <v/>
      </c>
      <c r="AB194" s="1" t="str">
        <f>IF(OR($B194="",AB$7=""),"",IF($B194="MEANS",INDEX('1-DATA'!$1:$1048576,$A193-1,COLUMN('1-DATA'!AA192)),ROUND(INDEX('1-DATA'!$1:$1048576,IF(OR($B194="STD. DEVIATION",$C$1=1),$A194,$A194+1),COLUMN('1-DATA'!AA192)),IF($B194="STD. DEVIATION",2,$F$1))))</f>
        <v/>
      </c>
      <c r="AC194" s="1" t="str">
        <f>IF(OR($B194="",AC$7=""),"",IF($B194="MEANS",INDEX('1-DATA'!$1:$1048576,$A193-1,COLUMN('1-DATA'!AB192)),ROUND(INDEX('1-DATA'!$1:$1048576,IF(OR($B194="STD. DEVIATION",$C$1=1),$A194,$A194+1),COLUMN('1-DATA'!AB192)),IF($B194="STD. DEVIATION",2,$F$1))))</f>
        <v/>
      </c>
      <c r="AD194" s="1" t="str">
        <f>IF(OR($B194="",AD$7=""),"",IF($B194="MEANS",INDEX('1-DATA'!$1:$1048576,$A193-1,COLUMN('1-DATA'!AC192)),ROUND(INDEX('1-DATA'!$1:$1048576,IF(OR($B194="STD. DEVIATION",$C$1=1),$A194,$A194+1),COLUMN('1-DATA'!AC192)),IF($B194="STD. DEVIATION",2,$F$1))))</f>
        <v/>
      </c>
      <c r="AE194" s="1" t="str">
        <f>IF(OR($B194="",AE$7=""),"",IF($B194="MEANS",INDEX('1-DATA'!$1:$1048576,$A193-1,COLUMN('1-DATA'!AD192)),ROUND(INDEX('1-DATA'!$1:$1048576,IF(OR($B194="STD. DEVIATION",$C$1=1),$A194,$A194+1),COLUMN('1-DATA'!AD192)),IF($B194="STD. DEVIATION",2,$F$1))))</f>
        <v/>
      </c>
      <c r="AF194" s="1" t="str">
        <f>IF(OR($B194="",AF$7=""),"",IF($B194="MEANS",INDEX('1-DATA'!$1:$1048576,$A193-1,COLUMN('1-DATA'!AE192)),ROUND(INDEX('1-DATA'!$1:$1048576,IF(OR($B194="STD. DEVIATION",$C$1=1),$A194,$A194+1),COLUMN('1-DATA'!AE192)),IF($B194="STD. DEVIATION",2,$F$1))))</f>
        <v/>
      </c>
      <c r="AG194" s="1" t="str">
        <f>IF(OR($B194="",AG$7=""),"",IF($B194="MEANS",INDEX('1-DATA'!$1:$1048576,$A193-1,COLUMN('1-DATA'!AF192)),ROUND(INDEX('1-DATA'!$1:$1048576,IF(OR($B194="STD. DEVIATION",$C$1=1),$A194,$A194+1),COLUMN('1-DATA'!AF192)),IF($B194="STD. DEVIATION",2,$F$1))))</f>
        <v/>
      </c>
      <c r="AH194" s="1" t="str">
        <f>IF(OR($B194="",AH$7=""),"",IF($B194="MEANS",INDEX('1-DATA'!$1:$1048576,$A193-1,COLUMN('1-DATA'!AG192)),ROUND(INDEX('1-DATA'!$1:$1048576,IF(OR($B194="STD. DEVIATION",$C$1=1),$A194,$A194+1),COLUMN('1-DATA'!AG192)),IF($B194="STD. DEVIATION",2,$F$1))))</f>
        <v/>
      </c>
      <c r="AI194" s="1" t="str">
        <f>IF(OR($B194="",AI$7=""),"",IF($B194="MEANS",INDEX('1-DATA'!$1:$1048576,$A193-1,COLUMN('1-DATA'!AH192)),ROUND(INDEX('1-DATA'!$1:$1048576,IF(OR($B194="STD. DEVIATION",$C$1=1),$A194,$A194+1),COLUMN('1-DATA'!AH192)),IF($B194="STD. DEVIATION",2,$F$1))))</f>
        <v/>
      </c>
      <c r="AJ194" s="1" t="str">
        <f>IF(OR($B194="",AJ$7=""),"",IF($B194="MEANS",INDEX('1-DATA'!$1:$1048576,$A193-1,COLUMN('1-DATA'!AI192)),ROUND(INDEX('1-DATA'!$1:$1048576,IF(OR($B194="STD. DEVIATION",$C$1=1),$A194,$A194+1),COLUMN('1-DATA'!AI192)),IF($B194="STD. DEVIATION",2,$F$1))))</f>
        <v/>
      </c>
      <c r="AK194" s="1" t="str">
        <f>IF(OR($B194="",AK$7=""),"",IF($B194="MEANS",INDEX('1-DATA'!$1:$1048576,$A193-1,COLUMN('1-DATA'!AJ192)),ROUND(INDEX('1-DATA'!$1:$1048576,IF(OR($B194="STD. DEVIATION",$C$1=1),$A194,$A194+1),COLUMN('1-DATA'!AJ192)),IF($B194="STD. DEVIATION",2,$F$1))))</f>
        <v/>
      </c>
      <c r="AL194" s="1" t="str">
        <f>IF(OR($B194="",AL$7=""),"",IF($B194="MEANS",INDEX('1-DATA'!$1:$1048576,$A193-1,COLUMN('1-DATA'!AK192)),ROUND(INDEX('1-DATA'!$1:$1048576,IF(OR($B194="STD. DEVIATION",$C$1=1),$A194,$A194+1),COLUMN('1-DATA'!AK192)),IF($B194="STD. DEVIATION",2,$F$1))))</f>
        <v/>
      </c>
      <c r="AM194" s="1" t="str">
        <f>IF(OR($B194="",AM$7=""),"",IF($B194="MEANS",INDEX('1-DATA'!$1:$1048576,$A193-1,COLUMN('1-DATA'!AL192)),ROUND(INDEX('1-DATA'!$1:$1048576,IF(OR($B194="STD. DEVIATION",$C$1=1),$A194,$A194+1),COLUMN('1-DATA'!AL192)),IF($B194="STD. DEVIATION",2,$F$1))))</f>
        <v/>
      </c>
      <c r="AN194" s="1" t="str">
        <f>IF(OR($B194="",AN$7=""),"",IF($B194="MEANS",INDEX('1-DATA'!$1:$1048576,$A193-1,COLUMN('1-DATA'!AM192)),ROUND(INDEX('1-DATA'!$1:$1048576,IF(OR($B194="STD. DEVIATION",$C$1=1),$A194,$A194+1),COLUMN('1-DATA'!AM192)),IF($B194="STD. DEVIATION",2,$F$1))))</f>
        <v/>
      </c>
      <c r="AO194" s="1" t="str">
        <f>IF(OR($B194="",AO$7=""),"",IF($B194="MEANS",INDEX('1-DATA'!$1:$1048576,$A193-1,COLUMN('1-DATA'!AN192)),ROUND(INDEX('1-DATA'!$1:$1048576,IF(OR($B194="STD. DEVIATION",$C$1=1),$A194,$A194+1),COLUMN('1-DATA'!AN192)),IF($B194="STD. DEVIATION",2,$F$1))))</f>
        <v/>
      </c>
      <c r="AP194" s="1" t="str">
        <f>IF(OR($B194="",AP$7=""),"",IF($B194="MEANS",INDEX('1-DATA'!$1:$1048576,$A193-1,COLUMN('1-DATA'!AO192)),ROUND(INDEX('1-DATA'!$1:$1048576,IF(OR($B194="STD. DEVIATION",$C$1=1),$A194,$A194+1),COLUMN('1-DATA'!AO192)),IF($B194="STD. DEVIATION",2,$F$1))))</f>
        <v/>
      </c>
      <c r="AQ194" s="1" t="str">
        <f>IF(OR($B194="",AQ$7=""),"",IF($B194="MEANS",INDEX('1-DATA'!$1:$1048576,$A193-1,COLUMN('1-DATA'!AP192)),ROUND(INDEX('1-DATA'!$1:$1048576,IF(OR($B194="STD. DEVIATION",$C$1=1),$A194,$A194+1),COLUMN('1-DATA'!AP192)),IF($B194="STD. DEVIATION",2,$F$1))))</f>
        <v/>
      </c>
      <c r="AR194" s="1" t="str">
        <f>IF(OR($B194="",AR$7=""),"",IF($B194="MEANS",INDEX('1-DATA'!$1:$1048576,$A193-1,COLUMN('1-DATA'!AQ192)),ROUND(INDEX('1-DATA'!$1:$1048576,IF(OR($B194="STD. DEVIATION",$C$1=1),$A194,$A194+1),COLUMN('1-DATA'!AQ192)),IF($B194="STD. DEVIATION",2,$F$1))))</f>
        <v/>
      </c>
      <c r="AS194" s="1" t="str">
        <f>IF(OR($B194="",AS$7=""),"",IF($B194="MEANS",INDEX('1-DATA'!$1:$1048576,$A193-1,COLUMN('1-DATA'!AR192)),ROUND(INDEX('1-DATA'!$1:$1048576,IF(OR($B194="STD. DEVIATION",$C$1=1),$A194,$A194+1),COLUMN('1-DATA'!AR192)),IF($B194="STD. DEVIATION",2,$F$1))))</f>
        <v/>
      </c>
      <c r="AT194" s="1" t="str">
        <f>IF(OR($B194="",AT$7=""),"",IF($B194="MEANS",INDEX('1-DATA'!$1:$1048576,$A193-1,COLUMN('1-DATA'!AS192)),ROUND(INDEX('1-DATA'!$1:$1048576,IF(OR($B194="STD. DEVIATION",$C$1=1),$A194,$A194+1),COLUMN('1-DATA'!AS192)),IF($B194="STD. DEVIATION",2,$F$1))))</f>
        <v/>
      </c>
      <c r="AU194" s="1" t="str">
        <f>IF(OR($B194="",AU$7=""),"",IF($B194="MEANS",INDEX('1-DATA'!$1:$1048576,$A193-1,COLUMN('1-DATA'!AT192)),ROUND(INDEX('1-DATA'!$1:$1048576,IF(OR($B194="STD. DEVIATION",$C$1=1),$A194,$A194+1),COLUMN('1-DATA'!AT192)),IF($B194="STD. DEVIATION",2,$F$1))))</f>
        <v/>
      </c>
      <c r="AV194" s="1" t="str">
        <f>IF(OR($B194="",AV$7=""),"",IF($B194="MEANS",INDEX('1-DATA'!$1:$1048576,$A193-1,COLUMN('1-DATA'!AU192)),ROUND(INDEX('1-DATA'!$1:$1048576,IF(OR($B194="STD. DEVIATION",$C$1=1),$A194,$A194+1),COLUMN('1-DATA'!AU192)),IF($B194="STD. DEVIATION",2,$F$1))))</f>
        <v/>
      </c>
      <c r="AW194" s="1" t="str">
        <f>IF(OR($B194="",AW$7=""),"",IF($B194="MEANS",INDEX('1-DATA'!$1:$1048576,$A193-1,COLUMN('1-DATA'!AV192)),ROUND(INDEX('1-DATA'!$1:$1048576,IF(OR($B194="STD. DEVIATION",$C$1=1),$A194,$A194+1),COLUMN('1-DATA'!AV192)),IF($B194="STD. DEVIATION",2,$F$1))))</f>
        <v/>
      </c>
      <c r="AX194" s="1" t="str">
        <f>IF(OR($B194="",AX$7=""),"",IF($B194="MEANS",INDEX('1-DATA'!$1:$1048576,$A193-1,COLUMN('1-DATA'!AW192)),ROUND(INDEX('1-DATA'!$1:$1048576,IF(OR($B194="STD. DEVIATION",$C$1=1),$A194,$A194+1),COLUMN('1-DATA'!AW192)),IF($B194="STD. DEVIATION",2,$F$1))))</f>
        <v/>
      </c>
      <c r="AY194" s="1" t="str">
        <f>IF(OR($B194="",AY$7=""),"",IF($B194="MEANS",INDEX('1-DATA'!$1:$1048576,$A193-1,COLUMN('1-DATA'!AX192)),ROUND(INDEX('1-DATA'!$1:$1048576,IF(OR($B194="STD. DEVIATION",$C$1=1),$A194,$A194+1),COLUMN('1-DATA'!AX192)),IF($B194="STD. DEVIATION",2,$F$1))))</f>
        <v/>
      </c>
      <c r="AZ194" s="1" t="str">
        <f>IF(OR($B194="",AZ$7=""),"",IF($B194="MEANS",INDEX('1-DATA'!$1:$1048576,$A193-1,COLUMN('1-DATA'!AY192)),ROUND(INDEX('1-DATA'!$1:$1048576,IF(OR($B194="STD. DEVIATION",$C$1=1),$A194,$A194+1),COLUMN('1-DATA'!AY192)),IF($B194="STD. DEVIATION",2,$F$1))))</f>
        <v/>
      </c>
    </row>
    <row r="195" spans="1:52" x14ac:dyDescent="0.25">
      <c r="A195" s="11">
        <f t="shared" si="3"/>
        <v>571</v>
      </c>
      <c r="B195" s="1" t="str">
        <f>IF(B194="STD. DEVIATION",INDEX('1-DATA'!$1:$1048576,$A194-1,1),IF(INDEX('1-DATA'!$1:$1048576,$A195,1)&lt;&gt;"",INDEX('1-DATA'!$1:$1048576,$A195,1),""))</f>
        <v/>
      </c>
      <c r="C195" s="1" t="str">
        <f>IF(OR($B195="",C$7=""),"",IF($B195="MEANS",INDEX('1-DATA'!$1:$1048576,$A194-1,COLUMN('1-DATA'!B193)),ROUND(INDEX('1-DATA'!$1:$1048576,IF(OR($B195="STD. DEVIATION",$C$1=1),$A195,$A195+1),COLUMN('1-DATA'!B193)),IF($B195="STD. DEVIATION",2,$F$1))))</f>
        <v/>
      </c>
      <c r="D195" s="1" t="str">
        <f>IF(OR($B195="",D$7=""),"",IF($B195="MEANS",INDEX('1-DATA'!$1:$1048576,$A194-1,COLUMN('1-DATA'!C193)),ROUND(INDEX('1-DATA'!$1:$1048576,IF(OR($B195="STD. DEVIATION",$C$1=1),$A195,$A195+1),COLUMN('1-DATA'!C193)),IF($B195="STD. DEVIATION",2,$F$1))))</f>
        <v/>
      </c>
      <c r="E195" s="1" t="str">
        <f>IF(OR($B195="",E$7=""),"",IF($B195="MEANS",INDEX('1-DATA'!$1:$1048576,$A194-1,COLUMN('1-DATA'!D193)),ROUND(INDEX('1-DATA'!$1:$1048576,IF(OR($B195="STD. DEVIATION",$C$1=1),$A195,$A195+1),COLUMN('1-DATA'!D193)),IF($B195="STD. DEVIATION",2,$F$1))))</f>
        <v/>
      </c>
      <c r="F195" s="1" t="str">
        <f>IF(OR($B195="",F$7=""),"",IF($B195="MEANS",INDEX('1-DATA'!$1:$1048576,$A194-1,COLUMN('1-DATA'!E193)),ROUND(INDEX('1-DATA'!$1:$1048576,IF(OR($B195="STD. DEVIATION",$C$1=1),$A195,$A195+1),COLUMN('1-DATA'!E193)),IF($B195="STD. DEVIATION",2,$F$1))))</f>
        <v/>
      </c>
      <c r="G195" s="1" t="str">
        <f>IF(OR($B195="",G$7=""),"",IF($B195="MEANS",INDEX('1-DATA'!$1:$1048576,$A194-1,COLUMN('1-DATA'!F193)),ROUND(INDEX('1-DATA'!$1:$1048576,IF(OR($B195="STD. DEVIATION",$C$1=1),$A195,$A195+1),COLUMN('1-DATA'!F193)),IF($B195="STD. DEVIATION",2,$F$1))))</f>
        <v/>
      </c>
      <c r="H195" s="1" t="str">
        <f>IF(OR($B195="",H$7=""),"",IF($B195="MEANS",INDEX('1-DATA'!$1:$1048576,$A194-1,COLUMN('1-DATA'!G193)),ROUND(INDEX('1-DATA'!$1:$1048576,IF(OR($B195="STD. DEVIATION",$C$1=1),$A195,$A195+1),COLUMN('1-DATA'!G193)),IF($B195="STD. DEVIATION",2,$F$1))))</f>
        <v/>
      </c>
      <c r="I195" s="1" t="str">
        <f>IF(OR($B195="",I$7=""),"",IF($B195="MEANS",INDEX('1-DATA'!$1:$1048576,$A194-1,COLUMN('1-DATA'!H193)),ROUND(INDEX('1-DATA'!$1:$1048576,IF(OR($B195="STD. DEVIATION",$C$1=1),$A195,$A195+1),COLUMN('1-DATA'!H193)),IF($B195="STD. DEVIATION",2,$F$1))))</f>
        <v/>
      </c>
      <c r="J195" s="1" t="str">
        <f>IF(OR($B195="",J$7=""),"",IF($B195="MEANS",INDEX('1-DATA'!$1:$1048576,$A194-1,COLUMN('1-DATA'!I193)),ROUND(INDEX('1-DATA'!$1:$1048576,IF(OR($B195="STD. DEVIATION",$C$1=1),$A195,$A195+1),COLUMN('1-DATA'!I193)),IF($B195="STD. DEVIATION",2,$F$1))))</f>
        <v/>
      </c>
      <c r="K195" s="1" t="str">
        <f>IF(OR($B195="",K$7=""),"",IF($B195="MEANS",INDEX('1-DATA'!$1:$1048576,$A194-1,COLUMN('1-DATA'!J193)),ROUND(INDEX('1-DATA'!$1:$1048576,IF(OR($B195="STD. DEVIATION",$C$1=1),$A195,$A195+1),COLUMN('1-DATA'!J193)),IF($B195="STD. DEVIATION",2,$F$1))))</f>
        <v/>
      </c>
      <c r="L195" s="1" t="str">
        <f>IF(OR($B195="",L$7=""),"",IF($B195="MEANS",INDEX('1-DATA'!$1:$1048576,$A194-1,COLUMN('1-DATA'!K193)),ROUND(INDEX('1-DATA'!$1:$1048576,IF(OR($B195="STD. DEVIATION",$C$1=1),$A195,$A195+1),COLUMN('1-DATA'!K193)),IF($B195="STD. DEVIATION",2,$F$1))))</f>
        <v/>
      </c>
      <c r="M195" s="1" t="str">
        <f>IF(OR($B195="",M$7=""),"",IF($B195="MEANS",INDEX('1-DATA'!$1:$1048576,$A194-1,COLUMN('1-DATA'!L193)),ROUND(INDEX('1-DATA'!$1:$1048576,IF(OR($B195="STD. DEVIATION",$C$1=1),$A195,$A195+1),COLUMN('1-DATA'!L193)),IF($B195="STD. DEVIATION",2,$F$1))))</f>
        <v/>
      </c>
      <c r="N195" s="1" t="str">
        <f>IF(OR($B195="",N$7=""),"",IF($B195="MEANS",INDEX('1-DATA'!$1:$1048576,$A194-1,COLUMN('1-DATA'!M193)),ROUND(INDEX('1-DATA'!$1:$1048576,IF(OR($B195="STD. DEVIATION",$C$1=1),$A195,$A195+1),COLUMN('1-DATA'!M193)),IF($B195="STD. DEVIATION",2,$F$1))))</f>
        <v/>
      </c>
      <c r="O195" s="1" t="str">
        <f>IF(OR($B195="",O$7=""),"",IF($B195="MEANS",INDEX('1-DATA'!$1:$1048576,$A194-1,COLUMN('1-DATA'!N193)),ROUND(INDEX('1-DATA'!$1:$1048576,IF(OR($B195="STD. DEVIATION",$C$1=1),$A195,$A195+1),COLUMN('1-DATA'!N193)),IF($B195="STD. DEVIATION",2,$F$1))))</f>
        <v/>
      </c>
      <c r="P195" s="1" t="str">
        <f>IF(OR($B195="",P$7=""),"",IF($B195="MEANS",INDEX('1-DATA'!$1:$1048576,$A194-1,COLUMN('1-DATA'!O193)),ROUND(INDEX('1-DATA'!$1:$1048576,IF(OR($B195="STD. DEVIATION",$C$1=1),$A195,$A195+1),COLUMN('1-DATA'!O193)),IF($B195="STD. DEVIATION",2,$F$1))))</f>
        <v/>
      </c>
      <c r="Q195" s="1" t="str">
        <f>IF(OR($B195="",Q$7=""),"",IF($B195="MEANS",INDEX('1-DATA'!$1:$1048576,$A194-1,COLUMN('1-DATA'!P193)),ROUND(INDEX('1-DATA'!$1:$1048576,IF(OR($B195="STD. DEVIATION",$C$1=1),$A195,$A195+1),COLUMN('1-DATA'!P193)),IF($B195="STD. DEVIATION",2,$F$1))))</f>
        <v/>
      </c>
      <c r="R195" s="1" t="str">
        <f>IF(OR($B195="",R$7=""),"",IF($B195="MEANS",INDEX('1-DATA'!$1:$1048576,$A194-1,COLUMN('1-DATA'!Q193)),ROUND(INDEX('1-DATA'!$1:$1048576,IF(OR($B195="STD. DEVIATION",$C$1=1),$A195,$A195+1),COLUMN('1-DATA'!Q193)),IF($B195="STD. DEVIATION",2,$F$1))))</f>
        <v/>
      </c>
      <c r="S195" s="1" t="str">
        <f>IF(OR($B195="",S$7=""),"",IF($B195="MEANS",INDEX('1-DATA'!$1:$1048576,$A194-1,COLUMN('1-DATA'!R193)),ROUND(INDEX('1-DATA'!$1:$1048576,IF(OR($B195="STD. DEVIATION",$C$1=1),$A195,$A195+1),COLUMN('1-DATA'!R193)),IF($B195="STD. DEVIATION",2,$F$1))))</f>
        <v/>
      </c>
      <c r="T195" s="1" t="str">
        <f>IF(OR($B195="",T$7=""),"",IF($B195="MEANS",INDEX('1-DATA'!$1:$1048576,$A194-1,COLUMN('1-DATA'!S193)),ROUND(INDEX('1-DATA'!$1:$1048576,IF(OR($B195="STD. DEVIATION",$C$1=1),$A195,$A195+1),COLUMN('1-DATA'!S193)),IF($B195="STD. DEVIATION",2,$F$1))))</f>
        <v/>
      </c>
      <c r="U195" s="1" t="str">
        <f>IF(OR($B195="",U$7=""),"",IF($B195="MEANS",INDEX('1-DATA'!$1:$1048576,$A194-1,COLUMN('1-DATA'!T193)),ROUND(INDEX('1-DATA'!$1:$1048576,IF(OR($B195="STD. DEVIATION",$C$1=1),$A195,$A195+1),COLUMN('1-DATA'!T193)),IF($B195="STD. DEVIATION",2,$F$1))))</f>
        <v/>
      </c>
      <c r="V195" s="1" t="str">
        <f>IF(OR($B195="",V$7=""),"",IF($B195="MEANS",INDEX('1-DATA'!$1:$1048576,$A194-1,COLUMN('1-DATA'!U193)),ROUND(INDEX('1-DATA'!$1:$1048576,IF(OR($B195="STD. DEVIATION",$C$1=1),$A195,$A195+1),COLUMN('1-DATA'!U193)),IF($B195="STD. DEVIATION",2,$F$1))))</f>
        <v/>
      </c>
      <c r="W195" s="1" t="str">
        <f>IF(OR($B195="",W$7=""),"",IF($B195="MEANS",INDEX('1-DATA'!$1:$1048576,$A194-1,COLUMN('1-DATA'!V193)),ROUND(INDEX('1-DATA'!$1:$1048576,IF(OR($B195="STD. DEVIATION",$C$1=1),$A195,$A195+1),COLUMN('1-DATA'!V193)),IF($B195="STD. DEVIATION",2,$F$1))))</f>
        <v/>
      </c>
      <c r="X195" s="1" t="str">
        <f>IF(OR($B195="",X$7=""),"",IF($B195="MEANS",INDEX('1-DATA'!$1:$1048576,$A194-1,COLUMN('1-DATA'!W193)),ROUND(INDEX('1-DATA'!$1:$1048576,IF(OR($B195="STD. DEVIATION",$C$1=1),$A195,$A195+1),COLUMN('1-DATA'!W193)),IF($B195="STD. DEVIATION",2,$F$1))))</f>
        <v/>
      </c>
      <c r="Y195" s="1" t="str">
        <f>IF(OR($B195="",Y$7=""),"",IF($B195="MEANS",INDEX('1-DATA'!$1:$1048576,$A194-1,COLUMN('1-DATA'!X193)),ROUND(INDEX('1-DATA'!$1:$1048576,IF(OR($B195="STD. DEVIATION",$C$1=1),$A195,$A195+1),COLUMN('1-DATA'!X193)),IF($B195="STD. DEVIATION",2,$F$1))))</f>
        <v/>
      </c>
      <c r="Z195" s="1" t="str">
        <f>IF(OR($B195="",Z$7=""),"",IF($B195="MEANS",INDEX('1-DATA'!$1:$1048576,$A194-1,COLUMN('1-DATA'!Y193)),ROUND(INDEX('1-DATA'!$1:$1048576,IF(OR($B195="STD. DEVIATION",$C$1=1),$A195,$A195+1),COLUMN('1-DATA'!Y193)),IF($B195="STD. DEVIATION",2,$F$1))))</f>
        <v/>
      </c>
      <c r="AA195" s="1" t="str">
        <f>IF(OR($B195="",AA$7=""),"",IF($B195="MEANS",INDEX('1-DATA'!$1:$1048576,$A194-1,COLUMN('1-DATA'!Z193)),ROUND(INDEX('1-DATA'!$1:$1048576,IF(OR($B195="STD. DEVIATION",$C$1=1),$A195,$A195+1),COLUMN('1-DATA'!Z193)),IF($B195="STD. DEVIATION",2,$F$1))))</f>
        <v/>
      </c>
      <c r="AB195" s="1" t="str">
        <f>IF(OR($B195="",AB$7=""),"",IF($B195="MEANS",INDEX('1-DATA'!$1:$1048576,$A194-1,COLUMN('1-DATA'!AA193)),ROUND(INDEX('1-DATA'!$1:$1048576,IF(OR($B195="STD. DEVIATION",$C$1=1),$A195,$A195+1),COLUMN('1-DATA'!AA193)),IF($B195="STD. DEVIATION",2,$F$1))))</f>
        <v/>
      </c>
      <c r="AC195" s="1" t="str">
        <f>IF(OR($B195="",AC$7=""),"",IF($B195="MEANS",INDEX('1-DATA'!$1:$1048576,$A194-1,COLUMN('1-DATA'!AB193)),ROUND(INDEX('1-DATA'!$1:$1048576,IF(OR($B195="STD. DEVIATION",$C$1=1),$A195,$A195+1),COLUMN('1-DATA'!AB193)),IF($B195="STD. DEVIATION",2,$F$1))))</f>
        <v/>
      </c>
      <c r="AD195" s="1" t="str">
        <f>IF(OR($B195="",AD$7=""),"",IF($B195="MEANS",INDEX('1-DATA'!$1:$1048576,$A194-1,COLUMN('1-DATA'!AC193)),ROUND(INDEX('1-DATA'!$1:$1048576,IF(OR($B195="STD. DEVIATION",$C$1=1),$A195,$A195+1),COLUMN('1-DATA'!AC193)),IF($B195="STD. DEVIATION",2,$F$1))))</f>
        <v/>
      </c>
      <c r="AE195" s="1" t="str">
        <f>IF(OR($B195="",AE$7=""),"",IF($B195="MEANS",INDEX('1-DATA'!$1:$1048576,$A194-1,COLUMN('1-DATA'!AD193)),ROUND(INDEX('1-DATA'!$1:$1048576,IF(OR($B195="STD. DEVIATION",$C$1=1),$A195,$A195+1),COLUMN('1-DATA'!AD193)),IF($B195="STD. DEVIATION",2,$F$1))))</f>
        <v/>
      </c>
      <c r="AF195" s="1" t="str">
        <f>IF(OR($B195="",AF$7=""),"",IF($B195="MEANS",INDEX('1-DATA'!$1:$1048576,$A194-1,COLUMN('1-DATA'!AE193)),ROUND(INDEX('1-DATA'!$1:$1048576,IF(OR($B195="STD. DEVIATION",$C$1=1),$A195,$A195+1),COLUMN('1-DATA'!AE193)),IF($B195="STD. DEVIATION",2,$F$1))))</f>
        <v/>
      </c>
      <c r="AG195" s="1" t="str">
        <f>IF(OR($B195="",AG$7=""),"",IF($B195="MEANS",INDEX('1-DATA'!$1:$1048576,$A194-1,COLUMN('1-DATA'!AF193)),ROUND(INDEX('1-DATA'!$1:$1048576,IF(OR($B195="STD. DEVIATION",$C$1=1),$A195,$A195+1),COLUMN('1-DATA'!AF193)),IF($B195="STD. DEVIATION",2,$F$1))))</f>
        <v/>
      </c>
      <c r="AH195" s="1" t="str">
        <f>IF(OR($B195="",AH$7=""),"",IF($B195="MEANS",INDEX('1-DATA'!$1:$1048576,$A194-1,COLUMN('1-DATA'!AG193)),ROUND(INDEX('1-DATA'!$1:$1048576,IF(OR($B195="STD. DEVIATION",$C$1=1),$A195,$A195+1),COLUMN('1-DATA'!AG193)),IF($B195="STD. DEVIATION",2,$F$1))))</f>
        <v/>
      </c>
      <c r="AI195" s="1" t="str">
        <f>IF(OR($B195="",AI$7=""),"",IF($B195="MEANS",INDEX('1-DATA'!$1:$1048576,$A194-1,COLUMN('1-DATA'!AH193)),ROUND(INDEX('1-DATA'!$1:$1048576,IF(OR($B195="STD. DEVIATION",$C$1=1),$A195,$A195+1),COLUMN('1-DATA'!AH193)),IF($B195="STD. DEVIATION",2,$F$1))))</f>
        <v/>
      </c>
      <c r="AJ195" s="1" t="str">
        <f>IF(OR($B195="",AJ$7=""),"",IF($B195="MEANS",INDEX('1-DATA'!$1:$1048576,$A194-1,COLUMN('1-DATA'!AI193)),ROUND(INDEX('1-DATA'!$1:$1048576,IF(OR($B195="STD. DEVIATION",$C$1=1),$A195,$A195+1),COLUMN('1-DATA'!AI193)),IF($B195="STD. DEVIATION",2,$F$1))))</f>
        <v/>
      </c>
      <c r="AK195" s="1" t="str">
        <f>IF(OR($B195="",AK$7=""),"",IF($B195="MEANS",INDEX('1-DATA'!$1:$1048576,$A194-1,COLUMN('1-DATA'!AJ193)),ROUND(INDEX('1-DATA'!$1:$1048576,IF(OR($B195="STD. DEVIATION",$C$1=1),$A195,$A195+1),COLUMN('1-DATA'!AJ193)),IF($B195="STD. DEVIATION",2,$F$1))))</f>
        <v/>
      </c>
      <c r="AL195" s="1" t="str">
        <f>IF(OR($B195="",AL$7=""),"",IF($B195="MEANS",INDEX('1-DATA'!$1:$1048576,$A194-1,COLUMN('1-DATA'!AK193)),ROUND(INDEX('1-DATA'!$1:$1048576,IF(OR($B195="STD. DEVIATION",$C$1=1),$A195,$A195+1),COLUMN('1-DATA'!AK193)),IF($B195="STD. DEVIATION",2,$F$1))))</f>
        <v/>
      </c>
      <c r="AM195" s="1" t="str">
        <f>IF(OR($B195="",AM$7=""),"",IF($B195="MEANS",INDEX('1-DATA'!$1:$1048576,$A194-1,COLUMN('1-DATA'!AL193)),ROUND(INDEX('1-DATA'!$1:$1048576,IF(OR($B195="STD. DEVIATION",$C$1=1),$A195,$A195+1),COLUMN('1-DATA'!AL193)),IF($B195="STD. DEVIATION",2,$F$1))))</f>
        <v/>
      </c>
      <c r="AN195" s="1" t="str">
        <f>IF(OR($B195="",AN$7=""),"",IF($B195="MEANS",INDEX('1-DATA'!$1:$1048576,$A194-1,COLUMN('1-DATA'!AM193)),ROUND(INDEX('1-DATA'!$1:$1048576,IF(OR($B195="STD. DEVIATION",$C$1=1),$A195,$A195+1),COLUMN('1-DATA'!AM193)),IF($B195="STD. DEVIATION",2,$F$1))))</f>
        <v/>
      </c>
      <c r="AO195" s="1" t="str">
        <f>IF(OR($B195="",AO$7=""),"",IF($B195="MEANS",INDEX('1-DATA'!$1:$1048576,$A194-1,COLUMN('1-DATA'!AN193)),ROUND(INDEX('1-DATA'!$1:$1048576,IF(OR($B195="STD. DEVIATION",$C$1=1),$A195,$A195+1),COLUMN('1-DATA'!AN193)),IF($B195="STD. DEVIATION",2,$F$1))))</f>
        <v/>
      </c>
      <c r="AP195" s="1" t="str">
        <f>IF(OR($B195="",AP$7=""),"",IF($B195="MEANS",INDEX('1-DATA'!$1:$1048576,$A194-1,COLUMN('1-DATA'!AO193)),ROUND(INDEX('1-DATA'!$1:$1048576,IF(OR($B195="STD. DEVIATION",$C$1=1),$A195,$A195+1),COLUMN('1-DATA'!AO193)),IF($B195="STD. DEVIATION",2,$F$1))))</f>
        <v/>
      </c>
      <c r="AQ195" s="1" t="str">
        <f>IF(OR($B195="",AQ$7=""),"",IF($B195="MEANS",INDEX('1-DATA'!$1:$1048576,$A194-1,COLUMN('1-DATA'!AP193)),ROUND(INDEX('1-DATA'!$1:$1048576,IF(OR($B195="STD. DEVIATION",$C$1=1),$A195,$A195+1),COLUMN('1-DATA'!AP193)),IF($B195="STD. DEVIATION",2,$F$1))))</f>
        <v/>
      </c>
      <c r="AR195" s="1" t="str">
        <f>IF(OR($B195="",AR$7=""),"",IF($B195="MEANS",INDEX('1-DATA'!$1:$1048576,$A194-1,COLUMN('1-DATA'!AQ193)),ROUND(INDEX('1-DATA'!$1:$1048576,IF(OR($B195="STD. DEVIATION",$C$1=1),$A195,$A195+1),COLUMN('1-DATA'!AQ193)),IF($B195="STD. DEVIATION",2,$F$1))))</f>
        <v/>
      </c>
      <c r="AS195" s="1" t="str">
        <f>IF(OR($B195="",AS$7=""),"",IF($B195="MEANS",INDEX('1-DATA'!$1:$1048576,$A194-1,COLUMN('1-DATA'!AR193)),ROUND(INDEX('1-DATA'!$1:$1048576,IF(OR($B195="STD. DEVIATION",$C$1=1),$A195,$A195+1),COLUMN('1-DATA'!AR193)),IF($B195="STD. DEVIATION",2,$F$1))))</f>
        <v/>
      </c>
      <c r="AT195" s="1" t="str">
        <f>IF(OR($B195="",AT$7=""),"",IF($B195="MEANS",INDEX('1-DATA'!$1:$1048576,$A194-1,COLUMN('1-DATA'!AS193)),ROUND(INDEX('1-DATA'!$1:$1048576,IF(OR($B195="STD. DEVIATION",$C$1=1),$A195,$A195+1),COLUMN('1-DATA'!AS193)),IF($B195="STD. DEVIATION",2,$F$1))))</f>
        <v/>
      </c>
      <c r="AU195" s="1" t="str">
        <f>IF(OR($B195="",AU$7=""),"",IF($B195="MEANS",INDEX('1-DATA'!$1:$1048576,$A194-1,COLUMN('1-DATA'!AT193)),ROUND(INDEX('1-DATA'!$1:$1048576,IF(OR($B195="STD. DEVIATION",$C$1=1),$A195,$A195+1),COLUMN('1-DATA'!AT193)),IF($B195="STD. DEVIATION",2,$F$1))))</f>
        <v/>
      </c>
      <c r="AV195" s="1" t="str">
        <f>IF(OR($B195="",AV$7=""),"",IF($B195="MEANS",INDEX('1-DATA'!$1:$1048576,$A194-1,COLUMN('1-DATA'!AU193)),ROUND(INDEX('1-DATA'!$1:$1048576,IF(OR($B195="STD. DEVIATION",$C$1=1),$A195,$A195+1),COLUMN('1-DATA'!AU193)),IF($B195="STD. DEVIATION",2,$F$1))))</f>
        <v/>
      </c>
      <c r="AW195" s="1" t="str">
        <f>IF(OR($B195="",AW$7=""),"",IF($B195="MEANS",INDEX('1-DATA'!$1:$1048576,$A194-1,COLUMN('1-DATA'!AV193)),ROUND(INDEX('1-DATA'!$1:$1048576,IF(OR($B195="STD. DEVIATION",$C$1=1),$A195,$A195+1),COLUMN('1-DATA'!AV193)),IF($B195="STD. DEVIATION",2,$F$1))))</f>
        <v/>
      </c>
      <c r="AX195" s="1" t="str">
        <f>IF(OR($B195="",AX$7=""),"",IF($B195="MEANS",INDEX('1-DATA'!$1:$1048576,$A194-1,COLUMN('1-DATA'!AW193)),ROUND(INDEX('1-DATA'!$1:$1048576,IF(OR($B195="STD. DEVIATION",$C$1=1),$A195,$A195+1),COLUMN('1-DATA'!AW193)),IF($B195="STD. DEVIATION",2,$F$1))))</f>
        <v/>
      </c>
      <c r="AY195" s="1" t="str">
        <f>IF(OR($B195="",AY$7=""),"",IF($B195="MEANS",INDEX('1-DATA'!$1:$1048576,$A194-1,COLUMN('1-DATA'!AX193)),ROUND(INDEX('1-DATA'!$1:$1048576,IF(OR($B195="STD. DEVIATION",$C$1=1),$A195,$A195+1),COLUMN('1-DATA'!AX193)),IF($B195="STD. DEVIATION",2,$F$1))))</f>
        <v/>
      </c>
      <c r="AZ195" s="1" t="str">
        <f>IF(OR($B195="",AZ$7=""),"",IF($B195="MEANS",INDEX('1-DATA'!$1:$1048576,$A194-1,COLUMN('1-DATA'!AY193)),ROUND(INDEX('1-DATA'!$1:$1048576,IF(OR($B195="STD. DEVIATION",$C$1=1),$A195,$A195+1),COLUMN('1-DATA'!AY193)),IF($B195="STD. DEVIATION",2,$F$1))))</f>
        <v/>
      </c>
    </row>
    <row r="196" spans="1:52" x14ac:dyDescent="0.25">
      <c r="A196" s="11">
        <f t="shared" si="3"/>
        <v>574</v>
      </c>
      <c r="B196" s="1" t="str">
        <f>IF(B195="STD. DEVIATION",INDEX('1-DATA'!$1:$1048576,$A195-1,1),IF(INDEX('1-DATA'!$1:$1048576,$A196,1)&lt;&gt;"",INDEX('1-DATA'!$1:$1048576,$A196,1),""))</f>
        <v/>
      </c>
      <c r="C196" s="1" t="str">
        <f>IF(OR($B196="",C$7=""),"",IF($B196="MEANS",INDEX('1-DATA'!$1:$1048576,$A195-1,COLUMN('1-DATA'!B194)),ROUND(INDEX('1-DATA'!$1:$1048576,IF(OR($B196="STD. DEVIATION",$C$1=1),$A196,$A196+1),COLUMN('1-DATA'!B194)),IF($B196="STD. DEVIATION",2,$F$1))))</f>
        <v/>
      </c>
      <c r="D196" s="1" t="str">
        <f>IF(OR($B196="",D$7=""),"",IF($B196="MEANS",INDEX('1-DATA'!$1:$1048576,$A195-1,COLUMN('1-DATA'!C194)),ROUND(INDEX('1-DATA'!$1:$1048576,IF(OR($B196="STD. DEVIATION",$C$1=1),$A196,$A196+1),COLUMN('1-DATA'!C194)),IF($B196="STD. DEVIATION",2,$F$1))))</f>
        <v/>
      </c>
      <c r="E196" s="1" t="str">
        <f>IF(OR($B196="",E$7=""),"",IF($B196="MEANS",INDEX('1-DATA'!$1:$1048576,$A195-1,COLUMN('1-DATA'!D194)),ROUND(INDEX('1-DATA'!$1:$1048576,IF(OR($B196="STD. DEVIATION",$C$1=1),$A196,$A196+1),COLUMN('1-DATA'!D194)),IF($B196="STD. DEVIATION",2,$F$1))))</f>
        <v/>
      </c>
      <c r="F196" s="1" t="str">
        <f>IF(OR($B196="",F$7=""),"",IF($B196="MEANS",INDEX('1-DATA'!$1:$1048576,$A195-1,COLUMN('1-DATA'!E194)),ROUND(INDEX('1-DATA'!$1:$1048576,IF(OR($B196="STD. DEVIATION",$C$1=1),$A196,$A196+1),COLUMN('1-DATA'!E194)),IF($B196="STD. DEVIATION",2,$F$1))))</f>
        <v/>
      </c>
      <c r="G196" s="1" t="str">
        <f>IF(OR($B196="",G$7=""),"",IF($B196="MEANS",INDEX('1-DATA'!$1:$1048576,$A195-1,COLUMN('1-DATA'!F194)),ROUND(INDEX('1-DATA'!$1:$1048576,IF(OR($B196="STD. DEVIATION",$C$1=1),$A196,$A196+1),COLUMN('1-DATA'!F194)),IF($B196="STD. DEVIATION",2,$F$1))))</f>
        <v/>
      </c>
      <c r="H196" s="1" t="str">
        <f>IF(OR($B196="",H$7=""),"",IF($B196="MEANS",INDEX('1-DATA'!$1:$1048576,$A195-1,COLUMN('1-DATA'!G194)),ROUND(INDEX('1-DATA'!$1:$1048576,IF(OR($B196="STD. DEVIATION",$C$1=1),$A196,$A196+1),COLUMN('1-DATA'!G194)),IF($B196="STD. DEVIATION",2,$F$1))))</f>
        <v/>
      </c>
      <c r="I196" s="1" t="str">
        <f>IF(OR($B196="",I$7=""),"",IF($B196="MEANS",INDEX('1-DATA'!$1:$1048576,$A195-1,COLUMN('1-DATA'!H194)),ROUND(INDEX('1-DATA'!$1:$1048576,IF(OR($B196="STD. DEVIATION",$C$1=1),$A196,$A196+1),COLUMN('1-DATA'!H194)),IF($B196="STD. DEVIATION",2,$F$1))))</f>
        <v/>
      </c>
      <c r="J196" s="1" t="str">
        <f>IF(OR($B196="",J$7=""),"",IF($B196="MEANS",INDEX('1-DATA'!$1:$1048576,$A195-1,COLUMN('1-DATA'!I194)),ROUND(INDEX('1-DATA'!$1:$1048576,IF(OR($B196="STD. DEVIATION",$C$1=1),$A196,$A196+1),COLUMN('1-DATA'!I194)),IF($B196="STD. DEVIATION",2,$F$1))))</f>
        <v/>
      </c>
      <c r="K196" s="1" t="str">
        <f>IF(OR($B196="",K$7=""),"",IF($B196="MEANS",INDEX('1-DATA'!$1:$1048576,$A195-1,COLUMN('1-DATA'!J194)),ROUND(INDEX('1-DATA'!$1:$1048576,IF(OR($B196="STD. DEVIATION",$C$1=1),$A196,$A196+1),COLUMN('1-DATA'!J194)),IF($B196="STD. DEVIATION",2,$F$1))))</f>
        <v/>
      </c>
      <c r="L196" s="1" t="str">
        <f>IF(OR($B196="",L$7=""),"",IF($B196="MEANS",INDEX('1-DATA'!$1:$1048576,$A195-1,COLUMN('1-DATA'!K194)),ROUND(INDEX('1-DATA'!$1:$1048576,IF(OR($B196="STD. DEVIATION",$C$1=1),$A196,$A196+1),COLUMN('1-DATA'!K194)),IF($B196="STD. DEVIATION",2,$F$1))))</f>
        <v/>
      </c>
      <c r="M196" s="1" t="str">
        <f>IF(OR($B196="",M$7=""),"",IF($B196="MEANS",INDEX('1-DATA'!$1:$1048576,$A195-1,COLUMN('1-DATA'!L194)),ROUND(INDEX('1-DATA'!$1:$1048576,IF(OR($B196="STD. DEVIATION",$C$1=1),$A196,$A196+1),COLUMN('1-DATA'!L194)),IF($B196="STD. DEVIATION",2,$F$1))))</f>
        <v/>
      </c>
      <c r="N196" s="1" t="str">
        <f>IF(OR($B196="",N$7=""),"",IF($B196="MEANS",INDEX('1-DATA'!$1:$1048576,$A195-1,COLUMN('1-DATA'!M194)),ROUND(INDEX('1-DATA'!$1:$1048576,IF(OR($B196="STD. DEVIATION",$C$1=1),$A196,$A196+1),COLUMN('1-DATA'!M194)),IF($B196="STD. DEVIATION",2,$F$1))))</f>
        <v/>
      </c>
      <c r="O196" s="1" t="str">
        <f>IF(OR($B196="",O$7=""),"",IF($B196="MEANS",INDEX('1-DATA'!$1:$1048576,$A195-1,COLUMN('1-DATA'!N194)),ROUND(INDEX('1-DATA'!$1:$1048576,IF(OR($B196="STD. DEVIATION",$C$1=1),$A196,$A196+1),COLUMN('1-DATA'!N194)),IF($B196="STD. DEVIATION",2,$F$1))))</f>
        <v/>
      </c>
      <c r="P196" s="1" t="str">
        <f>IF(OR($B196="",P$7=""),"",IF($B196="MEANS",INDEX('1-DATA'!$1:$1048576,$A195-1,COLUMN('1-DATA'!O194)),ROUND(INDEX('1-DATA'!$1:$1048576,IF(OR($B196="STD. DEVIATION",$C$1=1),$A196,$A196+1),COLUMN('1-DATA'!O194)),IF($B196="STD. DEVIATION",2,$F$1))))</f>
        <v/>
      </c>
      <c r="Q196" s="1" t="str">
        <f>IF(OR($B196="",Q$7=""),"",IF($B196="MEANS",INDEX('1-DATA'!$1:$1048576,$A195-1,COLUMN('1-DATA'!P194)),ROUND(INDEX('1-DATA'!$1:$1048576,IF(OR($B196="STD. DEVIATION",$C$1=1),$A196,$A196+1),COLUMN('1-DATA'!P194)),IF($B196="STD. DEVIATION",2,$F$1))))</f>
        <v/>
      </c>
      <c r="R196" s="1" t="str">
        <f>IF(OR($B196="",R$7=""),"",IF($B196="MEANS",INDEX('1-DATA'!$1:$1048576,$A195-1,COLUMN('1-DATA'!Q194)),ROUND(INDEX('1-DATA'!$1:$1048576,IF(OR($B196="STD. DEVIATION",$C$1=1),$A196,$A196+1),COLUMN('1-DATA'!Q194)),IF($B196="STD. DEVIATION",2,$F$1))))</f>
        <v/>
      </c>
      <c r="S196" s="1" t="str">
        <f>IF(OR($B196="",S$7=""),"",IF($B196="MEANS",INDEX('1-DATA'!$1:$1048576,$A195-1,COLUMN('1-DATA'!R194)),ROUND(INDEX('1-DATA'!$1:$1048576,IF(OR($B196="STD. DEVIATION",$C$1=1),$A196,$A196+1),COLUMN('1-DATA'!R194)),IF($B196="STD. DEVIATION",2,$F$1))))</f>
        <v/>
      </c>
      <c r="T196" s="1" t="str">
        <f>IF(OR($B196="",T$7=""),"",IF($B196="MEANS",INDEX('1-DATA'!$1:$1048576,$A195-1,COLUMN('1-DATA'!S194)),ROUND(INDEX('1-DATA'!$1:$1048576,IF(OR($B196="STD. DEVIATION",$C$1=1),$A196,$A196+1),COLUMN('1-DATA'!S194)),IF($B196="STD. DEVIATION",2,$F$1))))</f>
        <v/>
      </c>
      <c r="U196" s="1" t="str">
        <f>IF(OR($B196="",U$7=""),"",IF($B196="MEANS",INDEX('1-DATA'!$1:$1048576,$A195-1,COLUMN('1-DATA'!T194)),ROUND(INDEX('1-DATA'!$1:$1048576,IF(OR($B196="STD. DEVIATION",$C$1=1),$A196,$A196+1),COLUMN('1-DATA'!T194)),IF($B196="STD. DEVIATION",2,$F$1))))</f>
        <v/>
      </c>
      <c r="V196" s="1" t="str">
        <f>IF(OR($B196="",V$7=""),"",IF($B196="MEANS",INDEX('1-DATA'!$1:$1048576,$A195-1,COLUMN('1-DATA'!U194)),ROUND(INDEX('1-DATA'!$1:$1048576,IF(OR($B196="STD. DEVIATION",$C$1=1),$A196,$A196+1),COLUMN('1-DATA'!U194)),IF($B196="STD. DEVIATION",2,$F$1))))</f>
        <v/>
      </c>
      <c r="W196" s="1" t="str">
        <f>IF(OR($B196="",W$7=""),"",IF($B196="MEANS",INDEX('1-DATA'!$1:$1048576,$A195-1,COLUMN('1-DATA'!V194)),ROUND(INDEX('1-DATA'!$1:$1048576,IF(OR($B196="STD. DEVIATION",$C$1=1),$A196,$A196+1),COLUMN('1-DATA'!V194)),IF($B196="STD. DEVIATION",2,$F$1))))</f>
        <v/>
      </c>
      <c r="X196" s="1" t="str">
        <f>IF(OR($B196="",X$7=""),"",IF($B196="MEANS",INDEX('1-DATA'!$1:$1048576,$A195-1,COLUMN('1-DATA'!W194)),ROUND(INDEX('1-DATA'!$1:$1048576,IF(OR($B196="STD. DEVIATION",$C$1=1),$A196,$A196+1),COLUMN('1-DATA'!W194)),IF($B196="STD. DEVIATION",2,$F$1))))</f>
        <v/>
      </c>
      <c r="Y196" s="1" t="str">
        <f>IF(OR($B196="",Y$7=""),"",IF($B196="MEANS",INDEX('1-DATA'!$1:$1048576,$A195-1,COLUMN('1-DATA'!X194)),ROUND(INDEX('1-DATA'!$1:$1048576,IF(OR($B196="STD. DEVIATION",$C$1=1),$A196,$A196+1),COLUMN('1-DATA'!X194)),IF($B196="STD. DEVIATION",2,$F$1))))</f>
        <v/>
      </c>
      <c r="Z196" s="1" t="str">
        <f>IF(OR($B196="",Z$7=""),"",IF($B196="MEANS",INDEX('1-DATA'!$1:$1048576,$A195-1,COLUMN('1-DATA'!Y194)),ROUND(INDEX('1-DATA'!$1:$1048576,IF(OR($B196="STD. DEVIATION",$C$1=1),$A196,$A196+1),COLUMN('1-DATA'!Y194)),IF($B196="STD. DEVIATION",2,$F$1))))</f>
        <v/>
      </c>
      <c r="AA196" s="1" t="str">
        <f>IF(OR($B196="",AA$7=""),"",IF($B196="MEANS",INDEX('1-DATA'!$1:$1048576,$A195-1,COLUMN('1-DATA'!Z194)),ROUND(INDEX('1-DATA'!$1:$1048576,IF(OR($B196="STD. DEVIATION",$C$1=1),$A196,$A196+1),COLUMN('1-DATA'!Z194)),IF($B196="STD. DEVIATION",2,$F$1))))</f>
        <v/>
      </c>
      <c r="AB196" s="1" t="str">
        <f>IF(OR($B196="",AB$7=""),"",IF($B196="MEANS",INDEX('1-DATA'!$1:$1048576,$A195-1,COLUMN('1-DATA'!AA194)),ROUND(INDEX('1-DATA'!$1:$1048576,IF(OR($B196="STD. DEVIATION",$C$1=1),$A196,$A196+1),COLUMN('1-DATA'!AA194)),IF($B196="STD. DEVIATION",2,$F$1))))</f>
        <v/>
      </c>
      <c r="AC196" s="1" t="str">
        <f>IF(OR($B196="",AC$7=""),"",IF($B196="MEANS",INDEX('1-DATA'!$1:$1048576,$A195-1,COLUMN('1-DATA'!AB194)),ROUND(INDEX('1-DATA'!$1:$1048576,IF(OR($B196="STD. DEVIATION",$C$1=1),$A196,$A196+1),COLUMN('1-DATA'!AB194)),IF($B196="STD. DEVIATION",2,$F$1))))</f>
        <v/>
      </c>
      <c r="AD196" s="1" t="str">
        <f>IF(OR($B196="",AD$7=""),"",IF($B196="MEANS",INDEX('1-DATA'!$1:$1048576,$A195-1,COLUMN('1-DATA'!AC194)),ROUND(INDEX('1-DATA'!$1:$1048576,IF(OR($B196="STD. DEVIATION",$C$1=1),$A196,$A196+1),COLUMN('1-DATA'!AC194)),IF($B196="STD. DEVIATION",2,$F$1))))</f>
        <v/>
      </c>
      <c r="AE196" s="1" t="str">
        <f>IF(OR($B196="",AE$7=""),"",IF($B196="MEANS",INDEX('1-DATA'!$1:$1048576,$A195-1,COLUMN('1-DATA'!AD194)),ROUND(INDEX('1-DATA'!$1:$1048576,IF(OR($B196="STD. DEVIATION",$C$1=1),$A196,$A196+1),COLUMN('1-DATA'!AD194)),IF($B196="STD. DEVIATION",2,$F$1))))</f>
        <v/>
      </c>
      <c r="AF196" s="1" t="str">
        <f>IF(OR($B196="",AF$7=""),"",IF($B196="MEANS",INDEX('1-DATA'!$1:$1048576,$A195-1,COLUMN('1-DATA'!AE194)),ROUND(INDEX('1-DATA'!$1:$1048576,IF(OR($B196="STD. DEVIATION",$C$1=1),$A196,$A196+1),COLUMN('1-DATA'!AE194)),IF($B196="STD. DEVIATION",2,$F$1))))</f>
        <v/>
      </c>
      <c r="AG196" s="1" t="str">
        <f>IF(OR($B196="",AG$7=""),"",IF($B196="MEANS",INDEX('1-DATA'!$1:$1048576,$A195-1,COLUMN('1-DATA'!AF194)),ROUND(INDEX('1-DATA'!$1:$1048576,IF(OR($B196="STD. DEVIATION",$C$1=1),$A196,$A196+1),COLUMN('1-DATA'!AF194)),IF($B196="STD. DEVIATION",2,$F$1))))</f>
        <v/>
      </c>
      <c r="AH196" s="1" t="str">
        <f>IF(OR($B196="",AH$7=""),"",IF($B196="MEANS",INDEX('1-DATA'!$1:$1048576,$A195-1,COLUMN('1-DATA'!AG194)),ROUND(INDEX('1-DATA'!$1:$1048576,IF(OR($B196="STD. DEVIATION",$C$1=1),$A196,$A196+1),COLUMN('1-DATA'!AG194)),IF($B196="STD. DEVIATION",2,$F$1))))</f>
        <v/>
      </c>
      <c r="AI196" s="1" t="str">
        <f>IF(OR($B196="",AI$7=""),"",IF($B196="MEANS",INDEX('1-DATA'!$1:$1048576,$A195-1,COLUMN('1-DATA'!AH194)),ROUND(INDEX('1-DATA'!$1:$1048576,IF(OR($B196="STD. DEVIATION",$C$1=1),$A196,$A196+1),COLUMN('1-DATA'!AH194)),IF($B196="STD. DEVIATION",2,$F$1))))</f>
        <v/>
      </c>
      <c r="AJ196" s="1" t="str">
        <f>IF(OR($B196="",AJ$7=""),"",IF($B196="MEANS",INDEX('1-DATA'!$1:$1048576,$A195-1,COLUMN('1-DATA'!AI194)),ROUND(INDEX('1-DATA'!$1:$1048576,IF(OR($B196="STD. DEVIATION",$C$1=1),$A196,$A196+1),COLUMN('1-DATA'!AI194)),IF($B196="STD. DEVIATION",2,$F$1))))</f>
        <v/>
      </c>
      <c r="AK196" s="1" t="str">
        <f>IF(OR($B196="",AK$7=""),"",IF($B196="MEANS",INDEX('1-DATA'!$1:$1048576,$A195-1,COLUMN('1-DATA'!AJ194)),ROUND(INDEX('1-DATA'!$1:$1048576,IF(OR($B196="STD. DEVIATION",$C$1=1),$A196,$A196+1),COLUMN('1-DATA'!AJ194)),IF($B196="STD. DEVIATION",2,$F$1))))</f>
        <v/>
      </c>
      <c r="AL196" s="1" t="str">
        <f>IF(OR($B196="",AL$7=""),"",IF($B196="MEANS",INDEX('1-DATA'!$1:$1048576,$A195-1,COLUMN('1-DATA'!AK194)),ROUND(INDEX('1-DATA'!$1:$1048576,IF(OR($B196="STD. DEVIATION",$C$1=1),$A196,$A196+1),COLUMN('1-DATA'!AK194)),IF($B196="STD. DEVIATION",2,$F$1))))</f>
        <v/>
      </c>
      <c r="AM196" s="1" t="str">
        <f>IF(OR($B196="",AM$7=""),"",IF($B196="MEANS",INDEX('1-DATA'!$1:$1048576,$A195-1,COLUMN('1-DATA'!AL194)),ROUND(INDEX('1-DATA'!$1:$1048576,IF(OR($B196="STD. DEVIATION",$C$1=1),$A196,$A196+1),COLUMN('1-DATA'!AL194)),IF($B196="STD. DEVIATION",2,$F$1))))</f>
        <v/>
      </c>
      <c r="AN196" s="1" t="str">
        <f>IF(OR($B196="",AN$7=""),"",IF($B196="MEANS",INDEX('1-DATA'!$1:$1048576,$A195-1,COLUMN('1-DATA'!AM194)),ROUND(INDEX('1-DATA'!$1:$1048576,IF(OR($B196="STD. DEVIATION",$C$1=1),$A196,$A196+1),COLUMN('1-DATA'!AM194)),IF($B196="STD. DEVIATION",2,$F$1))))</f>
        <v/>
      </c>
      <c r="AO196" s="1" t="str">
        <f>IF(OR($B196="",AO$7=""),"",IF($B196="MEANS",INDEX('1-DATA'!$1:$1048576,$A195-1,COLUMN('1-DATA'!AN194)),ROUND(INDEX('1-DATA'!$1:$1048576,IF(OR($B196="STD. DEVIATION",$C$1=1),$A196,$A196+1),COLUMN('1-DATA'!AN194)),IF($B196="STD. DEVIATION",2,$F$1))))</f>
        <v/>
      </c>
      <c r="AP196" s="1" t="str">
        <f>IF(OR($B196="",AP$7=""),"",IF($B196="MEANS",INDEX('1-DATA'!$1:$1048576,$A195-1,COLUMN('1-DATA'!AO194)),ROUND(INDEX('1-DATA'!$1:$1048576,IF(OR($B196="STD. DEVIATION",$C$1=1),$A196,$A196+1),COLUMN('1-DATA'!AO194)),IF($B196="STD. DEVIATION",2,$F$1))))</f>
        <v/>
      </c>
      <c r="AQ196" s="1" t="str">
        <f>IF(OR($B196="",AQ$7=""),"",IF($B196="MEANS",INDEX('1-DATA'!$1:$1048576,$A195-1,COLUMN('1-DATA'!AP194)),ROUND(INDEX('1-DATA'!$1:$1048576,IF(OR($B196="STD. DEVIATION",$C$1=1),$A196,$A196+1),COLUMN('1-DATA'!AP194)),IF($B196="STD. DEVIATION",2,$F$1))))</f>
        <v/>
      </c>
      <c r="AR196" s="1" t="str">
        <f>IF(OR($B196="",AR$7=""),"",IF($B196="MEANS",INDEX('1-DATA'!$1:$1048576,$A195-1,COLUMN('1-DATA'!AQ194)),ROUND(INDEX('1-DATA'!$1:$1048576,IF(OR($B196="STD. DEVIATION",$C$1=1),$A196,$A196+1),COLUMN('1-DATA'!AQ194)),IF($B196="STD. DEVIATION",2,$F$1))))</f>
        <v/>
      </c>
      <c r="AS196" s="1" t="str">
        <f>IF(OR($B196="",AS$7=""),"",IF($B196="MEANS",INDEX('1-DATA'!$1:$1048576,$A195-1,COLUMN('1-DATA'!AR194)),ROUND(INDEX('1-DATA'!$1:$1048576,IF(OR($B196="STD. DEVIATION",$C$1=1),$A196,$A196+1),COLUMN('1-DATA'!AR194)),IF($B196="STD. DEVIATION",2,$F$1))))</f>
        <v/>
      </c>
      <c r="AT196" s="1" t="str">
        <f>IF(OR($B196="",AT$7=""),"",IF($B196="MEANS",INDEX('1-DATA'!$1:$1048576,$A195-1,COLUMN('1-DATA'!AS194)),ROUND(INDEX('1-DATA'!$1:$1048576,IF(OR($B196="STD. DEVIATION",$C$1=1),$A196,$A196+1),COLUMN('1-DATA'!AS194)),IF($B196="STD. DEVIATION",2,$F$1))))</f>
        <v/>
      </c>
      <c r="AU196" s="1" t="str">
        <f>IF(OR($B196="",AU$7=""),"",IF($B196="MEANS",INDEX('1-DATA'!$1:$1048576,$A195-1,COLUMN('1-DATA'!AT194)),ROUND(INDEX('1-DATA'!$1:$1048576,IF(OR($B196="STD. DEVIATION",$C$1=1),$A196,$A196+1),COLUMN('1-DATA'!AT194)),IF($B196="STD. DEVIATION",2,$F$1))))</f>
        <v/>
      </c>
      <c r="AV196" s="1" t="str">
        <f>IF(OR($B196="",AV$7=""),"",IF($B196="MEANS",INDEX('1-DATA'!$1:$1048576,$A195-1,COLUMN('1-DATA'!AU194)),ROUND(INDEX('1-DATA'!$1:$1048576,IF(OR($B196="STD. DEVIATION",$C$1=1),$A196,$A196+1),COLUMN('1-DATA'!AU194)),IF($B196="STD. DEVIATION",2,$F$1))))</f>
        <v/>
      </c>
      <c r="AW196" s="1" t="str">
        <f>IF(OR($B196="",AW$7=""),"",IF($B196="MEANS",INDEX('1-DATA'!$1:$1048576,$A195-1,COLUMN('1-DATA'!AV194)),ROUND(INDEX('1-DATA'!$1:$1048576,IF(OR($B196="STD. DEVIATION",$C$1=1),$A196,$A196+1),COLUMN('1-DATA'!AV194)),IF($B196="STD. DEVIATION",2,$F$1))))</f>
        <v/>
      </c>
      <c r="AX196" s="1" t="str">
        <f>IF(OR($B196="",AX$7=""),"",IF($B196="MEANS",INDEX('1-DATA'!$1:$1048576,$A195-1,COLUMN('1-DATA'!AW194)),ROUND(INDEX('1-DATA'!$1:$1048576,IF(OR($B196="STD. DEVIATION",$C$1=1),$A196,$A196+1),COLUMN('1-DATA'!AW194)),IF($B196="STD. DEVIATION",2,$F$1))))</f>
        <v/>
      </c>
      <c r="AY196" s="1" t="str">
        <f>IF(OR($B196="",AY$7=""),"",IF($B196="MEANS",INDEX('1-DATA'!$1:$1048576,$A195-1,COLUMN('1-DATA'!AX194)),ROUND(INDEX('1-DATA'!$1:$1048576,IF(OR($B196="STD. DEVIATION",$C$1=1),$A196,$A196+1),COLUMN('1-DATA'!AX194)),IF($B196="STD. DEVIATION",2,$F$1))))</f>
        <v/>
      </c>
      <c r="AZ196" s="1" t="str">
        <f>IF(OR($B196="",AZ$7=""),"",IF($B196="MEANS",INDEX('1-DATA'!$1:$1048576,$A195-1,COLUMN('1-DATA'!AY194)),ROUND(INDEX('1-DATA'!$1:$1048576,IF(OR($B196="STD. DEVIATION",$C$1=1),$A196,$A196+1),COLUMN('1-DATA'!AY194)),IF($B196="STD. DEVIATION",2,$F$1))))</f>
        <v/>
      </c>
    </row>
    <row r="197" spans="1:52" x14ac:dyDescent="0.25">
      <c r="A197" s="11">
        <f t="shared" si="3"/>
        <v>577</v>
      </c>
      <c r="B197" s="1" t="str">
        <f>IF(B196="STD. DEVIATION",INDEX('1-DATA'!$1:$1048576,$A196-1,1),IF(INDEX('1-DATA'!$1:$1048576,$A197,1)&lt;&gt;"",INDEX('1-DATA'!$1:$1048576,$A197,1),""))</f>
        <v/>
      </c>
      <c r="C197" s="1" t="str">
        <f>IF(OR($B197="",C$7=""),"",IF($B197="MEANS",INDEX('1-DATA'!$1:$1048576,$A196-1,COLUMN('1-DATA'!B195)),ROUND(INDEX('1-DATA'!$1:$1048576,IF(OR($B197="STD. DEVIATION",$C$1=1),$A197,$A197+1),COLUMN('1-DATA'!B195)),IF($B197="STD. DEVIATION",2,$F$1))))</f>
        <v/>
      </c>
      <c r="D197" s="1" t="str">
        <f>IF(OR($B197="",D$7=""),"",IF($B197="MEANS",INDEX('1-DATA'!$1:$1048576,$A196-1,COLUMN('1-DATA'!C195)),ROUND(INDEX('1-DATA'!$1:$1048576,IF(OR($B197="STD. DEVIATION",$C$1=1),$A197,$A197+1),COLUMN('1-DATA'!C195)),IF($B197="STD. DEVIATION",2,$F$1))))</f>
        <v/>
      </c>
      <c r="E197" s="1" t="str">
        <f>IF(OR($B197="",E$7=""),"",IF($B197="MEANS",INDEX('1-DATA'!$1:$1048576,$A196-1,COLUMN('1-DATA'!D195)),ROUND(INDEX('1-DATA'!$1:$1048576,IF(OR($B197="STD. DEVIATION",$C$1=1),$A197,$A197+1),COLUMN('1-DATA'!D195)),IF($B197="STD. DEVIATION",2,$F$1))))</f>
        <v/>
      </c>
      <c r="F197" s="1" t="str">
        <f>IF(OR($B197="",F$7=""),"",IF($B197="MEANS",INDEX('1-DATA'!$1:$1048576,$A196-1,COLUMN('1-DATA'!E195)),ROUND(INDEX('1-DATA'!$1:$1048576,IF(OR($B197="STD. DEVIATION",$C$1=1),$A197,$A197+1),COLUMN('1-DATA'!E195)),IF($B197="STD. DEVIATION",2,$F$1))))</f>
        <v/>
      </c>
      <c r="G197" s="1" t="str">
        <f>IF(OR($B197="",G$7=""),"",IF($B197="MEANS",INDEX('1-DATA'!$1:$1048576,$A196-1,COLUMN('1-DATA'!F195)),ROUND(INDEX('1-DATA'!$1:$1048576,IF(OR($B197="STD. DEVIATION",$C$1=1),$A197,$A197+1),COLUMN('1-DATA'!F195)),IF($B197="STD. DEVIATION",2,$F$1))))</f>
        <v/>
      </c>
      <c r="H197" s="1" t="str">
        <f>IF(OR($B197="",H$7=""),"",IF($B197="MEANS",INDEX('1-DATA'!$1:$1048576,$A196-1,COLUMN('1-DATA'!G195)),ROUND(INDEX('1-DATA'!$1:$1048576,IF(OR($B197="STD. DEVIATION",$C$1=1),$A197,$A197+1),COLUMN('1-DATA'!G195)),IF($B197="STD. DEVIATION",2,$F$1))))</f>
        <v/>
      </c>
      <c r="I197" s="1" t="str">
        <f>IF(OR($B197="",I$7=""),"",IF($B197="MEANS",INDEX('1-DATA'!$1:$1048576,$A196-1,COLUMN('1-DATA'!H195)),ROUND(INDEX('1-DATA'!$1:$1048576,IF(OR($B197="STD. DEVIATION",$C$1=1),$A197,$A197+1),COLUMN('1-DATA'!H195)),IF($B197="STD. DEVIATION",2,$F$1))))</f>
        <v/>
      </c>
      <c r="J197" s="1" t="str">
        <f>IF(OR($B197="",J$7=""),"",IF($B197="MEANS",INDEX('1-DATA'!$1:$1048576,$A196-1,COLUMN('1-DATA'!I195)),ROUND(INDEX('1-DATA'!$1:$1048576,IF(OR($B197="STD. DEVIATION",$C$1=1),$A197,$A197+1),COLUMN('1-DATA'!I195)),IF($B197="STD. DEVIATION",2,$F$1))))</f>
        <v/>
      </c>
      <c r="K197" s="1" t="str">
        <f>IF(OR($B197="",K$7=""),"",IF($B197="MEANS",INDEX('1-DATA'!$1:$1048576,$A196-1,COLUMN('1-DATA'!J195)),ROUND(INDEX('1-DATA'!$1:$1048576,IF(OR($B197="STD. DEVIATION",$C$1=1),$A197,$A197+1),COLUMN('1-DATA'!J195)),IF($B197="STD. DEVIATION",2,$F$1))))</f>
        <v/>
      </c>
      <c r="L197" s="1" t="str">
        <f>IF(OR($B197="",L$7=""),"",IF($B197="MEANS",INDEX('1-DATA'!$1:$1048576,$A196-1,COLUMN('1-DATA'!K195)),ROUND(INDEX('1-DATA'!$1:$1048576,IF(OR($B197="STD. DEVIATION",$C$1=1),$A197,$A197+1),COLUMN('1-DATA'!K195)),IF($B197="STD. DEVIATION",2,$F$1))))</f>
        <v/>
      </c>
      <c r="M197" s="1" t="str">
        <f>IF(OR($B197="",M$7=""),"",IF($B197="MEANS",INDEX('1-DATA'!$1:$1048576,$A196-1,COLUMN('1-DATA'!L195)),ROUND(INDEX('1-DATA'!$1:$1048576,IF(OR($B197="STD. DEVIATION",$C$1=1),$A197,$A197+1),COLUMN('1-DATA'!L195)),IF($B197="STD. DEVIATION",2,$F$1))))</f>
        <v/>
      </c>
      <c r="N197" s="1" t="str">
        <f>IF(OR($B197="",N$7=""),"",IF($B197="MEANS",INDEX('1-DATA'!$1:$1048576,$A196-1,COLUMN('1-DATA'!M195)),ROUND(INDEX('1-DATA'!$1:$1048576,IF(OR($B197="STD. DEVIATION",$C$1=1),$A197,$A197+1),COLUMN('1-DATA'!M195)),IF($B197="STD. DEVIATION",2,$F$1))))</f>
        <v/>
      </c>
      <c r="O197" s="1" t="str">
        <f>IF(OR($B197="",O$7=""),"",IF($B197="MEANS",INDEX('1-DATA'!$1:$1048576,$A196-1,COLUMN('1-DATA'!N195)),ROUND(INDEX('1-DATA'!$1:$1048576,IF(OR($B197="STD. DEVIATION",$C$1=1),$A197,$A197+1),COLUMN('1-DATA'!N195)),IF($B197="STD. DEVIATION",2,$F$1))))</f>
        <v/>
      </c>
      <c r="P197" s="1" t="str">
        <f>IF(OR($B197="",P$7=""),"",IF($B197="MEANS",INDEX('1-DATA'!$1:$1048576,$A196-1,COLUMN('1-DATA'!O195)),ROUND(INDEX('1-DATA'!$1:$1048576,IF(OR($B197="STD. DEVIATION",$C$1=1),$A197,$A197+1),COLUMN('1-DATA'!O195)),IF($B197="STD. DEVIATION",2,$F$1))))</f>
        <v/>
      </c>
      <c r="Q197" s="1" t="str">
        <f>IF(OR($B197="",Q$7=""),"",IF($B197="MEANS",INDEX('1-DATA'!$1:$1048576,$A196-1,COLUMN('1-DATA'!P195)),ROUND(INDEX('1-DATA'!$1:$1048576,IF(OR($B197="STD. DEVIATION",$C$1=1),$A197,$A197+1),COLUMN('1-DATA'!P195)),IF($B197="STD. DEVIATION",2,$F$1))))</f>
        <v/>
      </c>
      <c r="R197" s="1" t="str">
        <f>IF(OR($B197="",R$7=""),"",IF($B197="MEANS",INDEX('1-DATA'!$1:$1048576,$A196-1,COLUMN('1-DATA'!Q195)),ROUND(INDEX('1-DATA'!$1:$1048576,IF(OR($B197="STD. DEVIATION",$C$1=1),$A197,$A197+1),COLUMN('1-DATA'!Q195)),IF($B197="STD. DEVIATION",2,$F$1))))</f>
        <v/>
      </c>
      <c r="S197" s="1" t="str">
        <f>IF(OR($B197="",S$7=""),"",IF($B197="MEANS",INDEX('1-DATA'!$1:$1048576,$A196-1,COLUMN('1-DATA'!R195)),ROUND(INDEX('1-DATA'!$1:$1048576,IF(OR($B197="STD. DEVIATION",$C$1=1),$A197,$A197+1),COLUMN('1-DATA'!R195)),IF($B197="STD. DEVIATION",2,$F$1))))</f>
        <v/>
      </c>
      <c r="T197" s="1" t="str">
        <f>IF(OR($B197="",T$7=""),"",IF($B197="MEANS",INDEX('1-DATA'!$1:$1048576,$A196-1,COLUMN('1-DATA'!S195)),ROUND(INDEX('1-DATA'!$1:$1048576,IF(OR($B197="STD. DEVIATION",$C$1=1),$A197,$A197+1),COLUMN('1-DATA'!S195)),IF($B197="STD. DEVIATION",2,$F$1))))</f>
        <v/>
      </c>
      <c r="U197" s="1" t="str">
        <f>IF(OR($B197="",U$7=""),"",IF($B197="MEANS",INDEX('1-DATA'!$1:$1048576,$A196-1,COLUMN('1-DATA'!T195)),ROUND(INDEX('1-DATA'!$1:$1048576,IF(OR($B197="STD. DEVIATION",$C$1=1),$A197,$A197+1),COLUMN('1-DATA'!T195)),IF($B197="STD. DEVIATION",2,$F$1))))</f>
        <v/>
      </c>
      <c r="V197" s="1" t="str">
        <f>IF(OR($B197="",V$7=""),"",IF($B197="MEANS",INDEX('1-DATA'!$1:$1048576,$A196-1,COLUMN('1-DATA'!U195)),ROUND(INDEX('1-DATA'!$1:$1048576,IF(OR($B197="STD. DEVIATION",$C$1=1),$A197,$A197+1),COLUMN('1-DATA'!U195)),IF($B197="STD. DEVIATION",2,$F$1))))</f>
        <v/>
      </c>
      <c r="W197" s="1" t="str">
        <f>IF(OR($B197="",W$7=""),"",IF($B197="MEANS",INDEX('1-DATA'!$1:$1048576,$A196-1,COLUMN('1-DATA'!V195)),ROUND(INDEX('1-DATA'!$1:$1048576,IF(OR($B197="STD. DEVIATION",$C$1=1),$A197,$A197+1),COLUMN('1-DATA'!V195)),IF($B197="STD. DEVIATION",2,$F$1))))</f>
        <v/>
      </c>
      <c r="X197" s="1" t="str">
        <f>IF(OR($B197="",X$7=""),"",IF($B197="MEANS",INDEX('1-DATA'!$1:$1048576,$A196-1,COLUMN('1-DATA'!W195)),ROUND(INDEX('1-DATA'!$1:$1048576,IF(OR($B197="STD. DEVIATION",$C$1=1),$A197,$A197+1),COLUMN('1-DATA'!W195)),IF($B197="STD. DEVIATION",2,$F$1))))</f>
        <v/>
      </c>
      <c r="Y197" s="1" t="str">
        <f>IF(OR($B197="",Y$7=""),"",IF($B197="MEANS",INDEX('1-DATA'!$1:$1048576,$A196-1,COLUMN('1-DATA'!X195)),ROUND(INDEX('1-DATA'!$1:$1048576,IF(OR($B197="STD. DEVIATION",$C$1=1),$A197,$A197+1),COLUMN('1-DATA'!X195)),IF($B197="STD. DEVIATION",2,$F$1))))</f>
        <v/>
      </c>
      <c r="Z197" s="1" t="str">
        <f>IF(OR($B197="",Z$7=""),"",IF($B197="MEANS",INDEX('1-DATA'!$1:$1048576,$A196-1,COLUMN('1-DATA'!Y195)),ROUND(INDEX('1-DATA'!$1:$1048576,IF(OR($B197="STD. DEVIATION",$C$1=1),$A197,$A197+1),COLUMN('1-DATA'!Y195)),IF($B197="STD. DEVIATION",2,$F$1))))</f>
        <v/>
      </c>
      <c r="AA197" s="1" t="str">
        <f>IF(OR($B197="",AA$7=""),"",IF($B197="MEANS",INDEX('1-DATA'!$1:$1048576,$A196-1,COLUMN('1-DATA'!Z195)),ROUND(INDEX('1-DATA'!$1:$1048576,IF(OR($B197="STD. DEVIATION",$C$1=1),$A197,$A197+1),COLUMN('1-DATA'!Z195)),IF($B197="STD. DEVIATION",2,$F$1))))</f>
        <v/>
      </c>
      <c r="AB197" s="1" t="str">
        <f>IF(OR($B197="",AB$7=""),"",IF($B197="MEANS",INDEX('1-DATA'!$1:$1048576,$A196-1,COLUMN('1-DATA'!AA195)),ROUND(INDEX('1-DATA'!$1:$1048576,IF(OR($B197="STD. DEVIATION",$C$1=1),$A197,$A197+1),COLUMN('1-DATA'!AA195)),IF($B197="STD. DEVIATION",2,$F$1))))</f>
        <v/>
      </c>
      <c r="AC197" s="1" t="str">
        <f>IF(OR($B197="",AC$7=""),"",IF($B197="MEANS",INDEX('1-DATA'!$1:$1048576,$A196-1,COLUMN('1-DATA'!AB195)),ROUND(INDEX('1-DATA'!$1:$1048576,IF(OR($B197="STD. DEVIATION",$C$1=1),$A197,$A197+1),COLUMN('1-DATA'!AB195)),IF($B197="STD. DEVIATION",2,$F$1))))</f>
        <v/>
      </c>
      <c r="AD197" s="1" t="str">
        <f>IF(OR($B197="",AD$7=""),"",IF($B197="MEANS",INDEX('1-DATA'!$1:$1048576,$A196-1,COLUMN('1-DATA'!AC195)),ROUND(INDEX('1-DATA'!$1:$1048576,IF(OR($B197="STD. DEVIATION",$C$1=1),$A197,$A197+1),COLUMN('1-DATA'!AC195)),IF($B197="STD. DEVIATION",2,$F$1))))</f>
        <v/>
      </c>
      <c r="AE197" s="1" t="str">
        <f>IF(OR($B197="",AE$7=""),"",IF($B197="MEANS",INDEX('1-DATA'!$1:$1048576,$A196-1,COLUMN('1-DATA'!AD195)),ROUND(INDEX('1-DATA'!$1:$1048576,IF(OR($B197="STD. DEVIATION",$C$1=1),$A197,$A197+1),COLUMN('1-DATA'!AD195)),IF($B197="STD. DEVIATION",2,$F$1))))</f>
        <v/>
      </c>
      <c r="AF197" s="1" t="str">
        <f>IF(OR($B197="",AF$7=""),"",IF($B197="MEANS",INDEX('1-DATA'!$1:$1048576,$A196-1,COLUMN('1-DATA'!AE195)),ROUND(INDEX('1-DATA'!$1:$1048576,IF(OR($B197="STD. DEVIATION",$C$1=1),$A197,$A197+1),COLUMN('1-DATA'!AE195)),IF($B197="STD. DEVIATION",2,$F$1))))</f>
        <v/>
      </c>
      <c r="AG197" s="1" t="str">
        <f>IF(OR($B197="",AG$7=""),"",IF($B197="MEANS",INDEX('1-DATA'!$1:$1048576,$A196-1,COLUMN('1-DATA'!AF195)),ROUND(INDEX('1-DATA'!$1:$1048576,IF(OR($B197="STD. DEVIATION",$C$1=1),$A197,$A197+1),COLUMN('1-DATA'!AF195)),IF($B197="STD. DEVIATION",2,$F$1))))</f>
        <v/>
      </c>
      <c r="AH197" s="1" t="str">
        <f>IF(OR($B197="",AH$7=""),"",IF($B197="MEANS",INDEX('1-DATA'!$1:$1048576,$A196-1,COLUMN('1-DATA'!AG195)),ROUND(INDEX('1-DATA'!$1:$1048576,IF(OR($B197="STD. DEVIATION",$C$1=1),$A197,$A197+1),COLUMN('1-DATA'!AG195)),IF($B197="STD. DEVIATION",2,$F$1))))</f>
        <v/>
      </c>
      <c r="AI197" s="1" t="str">
        <f>IF(OR($B197="",AI$7=""),"",IF($B197="MEANS",INDEX('1-DATA'!$1:$1048576,$A196-1,COLUMN('1-DATA'!AH195)),ROUND(INDEX('1-DATA'!$1:$1048576,IF(OR($B197="STD. DEVIATION",$C$1=1),$A197,$A197+1),COLUMN('1-DATA'!AH195)),IF($B197="STD. DEVIATION",2,$F$1))))</f>
        <v/>
      </c>
      <c r="AJ197" s="1" t="str">
        <f>IF(OR($B197="",AJ$7=""),"",IF($B197="MEANS",INDEX('1-DATA'!$1:$1048576,$A196-1,COLUMN('1-DATA'!AI195)),ROUND(INDEX('1-DATA'!$1:$1048576,IF(OR($B197="STD. DEVIATION",$C$1=1),$A197,$A197+1),COLUMN('1-DATA'!AI195)),IF($B197="STD. DEVIATION",2,$F$1))))</f>
        <v/>
      </c>
      <c r="AK197" s="1" t="str">
        <f>IF(OR($B197="",AK$7=""),"",IF($B197="MEANS",INDEX('1-DATA'!$1:$1048576,$A196-1,COLUMN('1-DATA'!AJ195)),ROUND(INDEX('1-DATA'!$1:$1048576,IF(OR($B197="STD. DEVIATION",$C$1=1),$A197,$A197+1),COLUMN('1-DATA'!AJ195)),IF($B197="STD. DEVIATION",2,$F$1))))</f>
        <v/>
      </c>
      <c r="AL197" s="1" t="str">
        <f>IF(OR($B197="",AL$7=""),"",IF($B197="MEANS",INDEX('1-DATA'!$1:$1048576,$A196-1,COLUMN('1-DATA'!AK195)),ROUND(INDEX('1-DATA'!$1:$1048576,IF(OR($B197="STD. DEVIATION",$C$1=1),$A197,$A197+1),COLUMN('1-DATA'!AK195)),IF($B197="STD. DEVIATION",2,$F$1))))</f>
        <v/>
      </c>
      <c r="AM197" s="1" t="str">
        <f>IF(OR($B197="",AM$7=""),"",IF($B197="MEANS",INDEX('1-DATA'!$1:$1048576,$A196-1,COLUMN('1-DATA'!AL195)),ROUND(INDEX('1-DATA'!$1:$1048576,IF(OR($B197="STD. DEVIATION",$C$1=1),$A197,$A197+1),COLUMN('1-DATA'!AL195)),IF($B197="STD. DEVIATION",2,$F$1))))</f>
        <v/>
      </c>
      <c r="AN197" s="1" t="str">
        <f>IF(OR($B197="",AN$7=""),"",IF($B197="MEANS",INDEX('1-DATA'!$1:$1048576,$A196-1,COLUMN('1-DATA'!AM195)),ROUND(INDEX('1-DATA'!$1:$1048576,IF(OR($B197="STD. DEVIATION",$C$1=1),$A197,$A197+1),COLUMN('1-DATA'!AM195)),IF($B197="STD. DEVIATION",2,$F$1))))</f>
        <v/>
      </c>
      <c r="AO197" s="1" t="str">
        <f>IF(OR($B197="",AO$7=""),"",IF($B197="MEANS",INDEX('1-DATA'!$1:$1048576,$A196-1,COLUMN('1-DATA'!AN195)),ROUND(INDEX('1-DATA'!$1:$1048576,IF(OR($B197="STD. DEVIATION",$C$1=1),$A197,$A197+1),COLUMN('1-DATA'!AN195)),IF($B197="STD. DEVIATION",2,$F$1))))</f>
        <v/>
      </c>
      <c r="AP197" s="1" t="str">
        <f>IF(OR($B197="",AP$7=""),"",IF($B197="MEANS",INDEX('1-DATA'!$1:$1048576,$A196-1,COLUMN('1-DATA'!AO195)),ROUND(INDEX('1-DATA'!$1:$1048576,IF(OR($B197="STD. DEVIATION",$C$1=1),$A197,$A197+1),COLUMN('1-DATA'!AO195)),IF($B197="STD. DEVIATION",2,$F$1))))</f>
        <v/>
      </c>
      <c r="AQ197" s="1" t="str">
        <f>IF(OR($B197="",AQ$7=""),"",IF($B197="MEANS",INDEX('1-DATA'!$1:$1048576,$A196-1,COLUMN('1-DATA'!AP195)),ROUND(INDEX('1-DATA'!$1:$1048576,IF(OR($B197="STD. DEVIATION",$C$1=1),$A197,$A197+1),COLUMN('1-DATA'!AP195)),IF($B197="STD. DEVIATION",2,$F$1))))</f>
        <v/>
      </c>
      <c r="AR197" s="1" t="str">
        <f>IF(OR($B197="",AR$7=""),"",IF($B197="MEANS",INDEX('1-DATA'!$1:$1048576,$A196-1,COLUMN('1-DATA'!AQ195)),ROUND(INDEX('1-DATA'!$1:$1048576,IF(OR($B197="STD. DEVIATION",$C$1=1),$A197,$A197+1),COLUMN('1-DATA'!AQ195)),IF($B197="STD. DEVIATION",2,$F$1))))</f>
        <v/>
      </c>
      <c r="AS197" s="1" t="str">
        <f>IF(OR($B197="",AS$7=""),"",IF($B197="MEANS",INDEX('1-DATA'!$1:$1048576,$A196-1,COLUMN('1-DATA'!AR195)),ROUND(INDEX('1-DATA'!$1:$1048576,IF(OR($B197="STD. DEVIATION",$C$1=1),$A197,$A197+1),COLUMN('1-DATA'!AR195)),IF($B197="STD. DEVIATION",2,$F$1))))</f>
        <v/>
      </c>
      <c r="AT197" s="1" t="str">
        <f>IF(OR($B197="",AT$7=""),"",IF($B197="MEANS",INDEX('1-DATA'!$1:$1048576,$A196-1,COLUMN('1-DATA'!AS195)),ROUND(INDEX('1-DATA'!$1:$1048576,IF(OR($B197="STD. DEVIATION",$C$1=1),$A197,$A197+1),COLUMN('1-DATA'!AS195)),IF($B197="STD. DEVIATION",2,$F$1))))</f>
        <v/>
      </c>
      <c r="AU197" s="1" t="str">
        <f>IF(OR($B197="",AU$7=""),"",IF($B197="MEANS",INDEX('1-DATA'!$1:$1048576,$A196-1,COLUMN('1-DATA'!AT195)),ROUND(INDEX('1-DATA'!$1:$1048576,IF(OR($B197="STD. DEVIATION",$C$1=1),$A197,$A197+1),COLUMN('1-DATA'!AT195)),IF($B197="STD. DEVIATION",2,$F$1))))</f>
        <v/>
      </c>
      <c r="AV197" s="1" t="str">
        <f>IF(OR($B197="",AV$7=""),"",IF($B197="MEANS",INDEX('1-DATA'!$1:$1048576,$A196-1,COLUMN('1-DATA'!AU195)),ROUND(INDEX('1-DATA'!$1:$1048576,IF(OR($B197="STD. DEVIATION",$C$1=1),$A197,$A197+1),COLUMN('1-DATA'!AU195)),IF($B197="STD. DEVIATION",2,$F$1))))</f>
        <v/>
      </c>
      <c r="AW197" s="1" t="str">
        <f>IF(OR($B197="",AW$7=""),"",IF($B197="MEANS",INDEX('1-DATA'!$1:$1048576,$A196-1,COLUMN('1-DATA'!AV195)),ROUND(INDEX('1-DATA'!$1:$1048576,IF(OR($B197="STD. DEVIATION",$C$1=1),$A197,$A197+1),COLUMN('1-DATA'!AV195)),IF($B197="STD. DEVIATION",2,$F$1))))</f>
        <v/>
      </c>
      <c r="AX197" s="1" t="str">
        <f>IF(OR($B197="",AX$7=""),"",IF($B197="MEANS",INDEX('1-DATA'!$1:$1048576,$A196-1,COLUMN('1-DATA'!AW195)),ROUND(INDEX('1-DATA'!$1:$1048576,IF(OR($B197="STD. DEVIATION",$C$1=1),$A197,$A197+1),COLUMN('1-DATA'!AW195)),IF($B197="STD. DEVIATION",2,$F$1))))</f>
        <v/>
      </c>
      <c r="AY197" s="1" t="str">
        <f>IF(OR($B197="",AY$7=""),"",IF($B197="MEANS",INDEX('1-DATA'!$1:$1048576,$A196-1,COLUMN('1-DATA'!AX195)),ROUND(INDEX('1-DATA'!$1:$1048576,IF(OR($B197="STD. DEVIATION",$C$1=1),$A197,$A197+1),COLUMN('1-DATA'!AX195)),IF($B197="STD. DEVIATION",2,$F$1))))</f>
        <v/>
      </c>
      <c r="AZ197" s="1" t="str">
        <f>IF(OR($B197="",AZ$7=""),"",IF($B197="MEANS",INDEX('1-DATA'!$1:$1048576,$A196-1,COLUMN('1-DATA'!AY195)),ROUND(INDEX('1-DATA'!$1:$1048576,IF(OR($B197="STD. DEVIATION",$C$1=1),$A197,$A197+1),COLUMN('1-DATA'!AY195)),IF($B197="STD. DEVIATION",2,$F$1))))</f>
        <v/>
      </c>
    </row>
    <row r="198" spans="1:52" x14ac:dyDescent="0.25">
      <c r="A198" s="11">
        <f t="shared" si="3"/>
        <v>580</v>
      </c>
      <c r="B198" s="1" t="str">
        <f>IF(B197="STD. DEVIATION",INDEX('1-DATA'!$1:$1048576,$A197-1,1),IF(INDEX('1-DATA'!$1:$1048576,$A198,1)&lt;&gt;"",INDEX('1-DATA'!$1:$1048576,$A198,1),""))</f>
        <v/>
      </c>
      <c r="C198" s="1" t="str">
        <f>IF(OR($B198="",C$7=""),"",IF($B198="MEANS",INDEX('1-DATA'!$1:$1048576,$A197-1,COLUMN('1-DATA'!B196)),ROUND(INDEX('1-DATA'!$1:$1048576,IF(OR($B198="STD. DEVIATION",$C$1=1),$A198,$A198+1),COLUMN('1-DATA'!B196)),IF($B198="STD. DEVIATION",2,$F$1))))</f>
        <v/>
      </c>
      <c r="D198" s="1" t="str">
        <f>IF(OR($B198="",D$7=""),"",IF($B198="MEANS",INDEX('1-DATA'!$1:$1048576,$A197-1,COLUMN('1-DATA'!C196)),ROUND(INDEX('1-DATA'!$1:$1048576,IF(OR($B198="STD. DEVIATION",$C$1=1),$A198,$A198+1),COLUMN('1-DATA'!C196)),IF($B198="STD. DEVIATION",2,$F$1))))</f>
        <v/>
      </c>
      <c r="E198" s="1" t="str">
        <f>IF(OR($B198="",E$7=""),"",IF($B198="MEANS",INDEX('1-DATA'!$1:$1048576,$A197-1,COLUMN('1-DATA'!D196)),ROUND(INDEX('1-DATA'!$1:$1048576,IF(OR($B198="STD. DEVIATION",$C$1=1),$A198,$A198+1),COLUMN('1-DATA'!D196)),IF($B198="STD. DEVIATION",2,$F$1))))</f>
        <v/>
      </c>
      <c r="F198" s="1" t="str">
        <f>IF(OR($B198="",F$7=""),"",IF($B198="MEANS",INDEX('1-DATA'!$1:$1048576,$A197-1,COLUMN('1-DATA'!E196)),ROUND(INDEX('1-DATA'!$1:$1048576,IF(OR($B198="STD. DEVIATION",$C$1=1),$A198,$A198+1),COLUMN('1-DATA'!E196)),IF($B198="STD. DEVIATION",2,$F$1))))</f>
        <v/>
      </c>
      <c r="G198" s="1" t="str">
        <f>IF(OR($B198="",G$7=""),"",IF($B198="MEANS",INDEX('1-DATA'!$1:$1048576,$A197-1,COLUMN('1-DATA'!F196)),ROUND(INDEX('1-DATA'!$1:$1048576,IF(OR($B198="STD. DEVIATION",$C$1=1),$A198,$A198+1),COLUMN('1-DATA'!F196)),IF($B198="STD. DEVIATION",2,$F$1))))</f>
        <v/>
      </c>
      <c r="H198" s="1" t="str">
        <f>IF(OR($B198="",H$7=""),"",IF($B198="MEANS",INDEX('1-DATA'!$1:$1048576,$A197-1,COLUMN('1-DATA'!G196)),ROUND(INDEX('1-DATA'!$1:$1048576,IF(OR($B198="STD. DEVIATION",$C$1=1),$A198,$A198+1),COLUMN('1-DATA'!G196)),IF($B198="STD. DEVIATION",2,$F$1))))</f>
        <v/>
      </c>
      <c r="I198" s="1" t="str">
        <f>IF(OR($B198="",I$7=""),"",IF($B198="MEANS",INDEX('1-DATA'!$1:$1048576,$A197-1,COLUMN('1-DATA'!H196)),ROUND(INDEX('1-DATA'!$1:$1048576,IF(OR($B198="STD. DEVIATION",$C$1=1),$A198,$A198+1),COLUMN('1-DATA'!H196)),IF($B198="STD. DEVIATION",2,$F$1))))</f>
        <v/>
      </c>
      <c r="J198" s="1" t="str">
        <f>IF(OR($B198="",J$7=""),"",IF($B198="MEANS",INDEX('1-DATA'!$1:$1048576,$A197-1,COLUMN('1-DATA'!I196)),ROUND(INDEX('1-DATA'!$1:$1048576,IF(OR($B198="STD. DEVIATION",$C$1=1),$A198,$A198+1),COLUMN('1-DATA'!I196)),IF($B198="STD. DEVIATION",2,$F$1))))</f>
        <v/>
      </c>
      <c r="K198" s="1" t="str">
        <f>IF(OR($B198="",K$7=""),"",IF($B198="MEANS",INDEX('1-DATA'!$1:$1048576,$A197-1,COLUMN('1-DATA'!J196)),ROUND(INDEX('1-DATA'!$1:$1048576,IF(OR($B198="STD. DEVIATION",$C$1=1),$A198,$A198+1),COLUMN('1-DATA'!J196)),IF($B198="STD. DEVIATION",2,$F$1))))</f>
        <v/>
      </c>
      <c r="L198" s="1" t="str">
        <f>IF(OR($B198="",L$7=""),"",IF($B198="MEANS",INDEX('1-DATA'!$1:$1048576,$A197-1,COLUMN('1-DATA'!K196)),ROUND(INDEX('1-DATA'!$1:$1048576,IF(OR($B198="STD. DEVIATION",$C$1=1),$A198,$A198+1),COLUMN('1-DATA'!K196)),IF($B198="STD. DEVIATION",2,$F$1))))</f>
        <v/>
      </c>
      <c r="M198" s="1" t="str">
        <f>IF(OR($B198="",M$7=""),"",IF($B198="MEANS",INDEX('1-DATA'!$1:$1048576,$A197-1,COLUMN('1-DATA'!L196)),ROUND(INDEX('1-DATA'!$1:$1048576,IF(OR($B198="STD. DEVIATION",$C$1=1),$A198,$A198+1),COLUMN('1-DATA'!L196)),IF($B198="STD. DEVIATION",2,$F$1))))</f>
        <v/>
      </c>
      <c r="N198" s="1" t="str">
        <f>IF(OR($B198="",N$7=""),"",IF($B198="MEANS",INDEX('1-DATA'!$1:$1048576,$A197-1,COLUMN('1-DATA'!M196)),ROUND(INDEX('1-DATA'!$1:$1048576,IF(OR($B198="STD. DEVIATION",$C$1=1),$A198,$A198+1),COLUMN('1-DATA'!M196)),IF($B198="STD. DEVIATION",2,$F$1))))</f>
        <v/>
      </c>
      <c r="O198" s="1" t="str">
        <f>IF(OR($B198="",O$7=""),"",IF($B198="MEANS",INDEX('1-DATA'!$1:$1048576,$A197-1,COLUMN('1-DATA'!N196)),ROUND(INDEX('1-DATA'!$1:$1048576,IF(OR($B198="STD. DEVIATION",$C$1=1),$A198,$A198+1),COLUMN('1-DATA'!N196)),IF($B198="STD. DEVIATION",2,$F$1))))</f>
        <v/>
      </c>
      <c r="P198" s="1" t="str">
        <f>IF(OR($B198="",P$7=""),"",IF($B198="MEANS",INDEX('1-DATA'!$1:$1048576,$A197-1,COLUMN('1-DATA'!O196)),ROUND(INDEX('1-DATA'!$1:$1048576,IF(OR($B198="STD. DEVIATION",$C$1=1),$A198,$A198+1),COLUMN('1-DATA'!O196)),IF($B198="STD. DEVIATION",2,$F$1))))</f>
        <v/>
      </c>
      <c r="Q198" s="1" t="str">
        <f>IF(OR($B198="",Q$7=""),"",IF($B198="MEANS",INDEX('1-DATA'!$1:$1048576,$A197-1,COLUMN('1-DATA'!P196)),ROUND(INDEX('1-DATA'!$1:$1048576,IF(OR($B198="STD. DEVIATION",$C$1=1),$A198,$A198+1),COLUMN('1-DATA'!P196)),IF($B198="STD. DEVIATION",2,$F$1))))</f>
        <v/>
      </c>
      <c r="R198" s="1" t="str">
        <f>IF(OR($B198="",R$7=""),"",IF($B198="MEANS",INDEX('1-DATA'!$1:$1048576,$A197-1,COLUMN('1-DATA'!Q196)),ROUND(INDEX('1-DATA'!$1:$1048576,IF(OR($B198="STD. DEVIATION",$C$1=1),$A198,$A198+1),COLUMN('1-DATA'!Q196)),IF($B198="STD. DEVIATION",2,$F$1))))</f>
        <v/>
      </c>
      <c r="S198" s="1" t="str">
        <f>IF(OR($B198="",S$7=""),"",IF($B198="MEANS",INDEX('1-DATA'!$1:$1048576,$A197-1,COLUMN('1-DATA'!R196)),ROUND(INDEX('1-DATA'!$1:$1048576,IF(OR($B198="STD. DEVIATION",$C$1=1),$A198,$A198+1),COLUMN('1-DATA'!R196)),IF($B198="STD. DEVIATION",2,$F$1))))</f>
        <v/>
      </c>
      <c r="T198" s="1" t="str">
        <f>IF(OR($B198="",T$7=""),"",IF($B198="MEANS",INDEX('1-DATA'!$1:$1048576,$A197-1,COLUMN('1-DATA'!S196)),ROUND(INDEX('1-DATA'!$1:$1048576,IF(OR($B198="STD. DEVIATION",$C$1=1),$A198,$A198+1),COLUMN('1-DATA'!S196)),IF($B198="STD. DEVIATION",2,$F$1))))</f>
        <v/>
      </c>
      <c r="U198" s="1" t="str">
        <f>IF(OR($B198="",U$7=""),"",IF($B198="MEANS",INDEX('1-DATA'!$1:$1048576,$A197-1,COLUMN('1-DATA'!T196)),ROUND(INDEX('1-DATA'!$1:$1048576,IF(OR($B198="STD. DEVIATION",$C$1=1),$A198,$A198+1),COLUMN('1-DATA'!T196)),IF($B198="STD. DEVIATION",2,$F$1))))</f>
        <v/>
      </c>
      <c r="V198" s="1" t="str">
        <f>IF(OR($B198="",V$7=""),"",IF($B198="MEANS",INDEX('1-DATA'!$1:$1048576,$A197-1,COLUMN('1-DATA'!U196)),ROUND(INDEX('1-DATA'!$1:$1048576,IF(OR($B198="STD. DEVIATION",$C$1=1),$A198,$A198+1),COLUMN('1-DATA'!U196)),IF($B198="STD. DEVIATION",2,$F$1))))</f>
        <v/>
      </c>
      <c r="W198" s="1" t="str">
        <f>IF(OR($B198="",W$7=""),"",IF($B198="MEANS",INDEX('1-DATA'!$1:$1048576,$A197-1,COLUMN('1-DATA'!V196)),ROUND(INDEX('1-DATA'!$1:$1048576,IF(OR($B198="STD. DEVIATION",$C$1=1),$A198,$A198+1),COLUMN('1-DATA'!V196)),IF($B198="STD. DEVIATION",2,$F$1))))</f>
        <v/>
      </c>
      <c r="X198" s="1" t="str">
        <f>IF(OR($B198="",X$7=""),"",IF($B198="MEANS",INDEX('1-DATA'!$1:$1048576,$A197-1,COLUMN('1-DATA'!W196)),ROUND(INDEX('1-DATA'!$1:$1048576,IF(OR($B198="STD. DEVIATION",$C$1=1),$A198,$A198+1),COLUMN('1-DATA'!W196)),IF($B198="STD. DEVIATION",2,$F$1))))</f>
        <v/>
      </c>
      <c r="Y198" s="1" t="str">
        <f>IF(OR($B198="",Y$7=""),"",IF($B198="MEANS",INDEX('1-DATA'!$1:$1048576,$A197-1,COLUMN('1-DATA'!X196)),ROUND(INDEX('1-DATA'!$1:$1048576,IF(OR($B198="STD. DEVIATION",$C$1=1),$A198,$A198+1),COLUMN('1-DATA'!X196)),IF($B198="STD. DEVIATION",2,$F$1))))</f>
        <v/>
      </c>
      <c r="Z198" s="1" t="str">
        <f>IF(OR($B198="",Z$7=""),"",IF($B198="MEANS",INDEX('1-DATA'!$1:$1048576,$A197-1,COLUMN('1-DATA'!Y196)),ROUND(INDEX('1-DATA'!$1:$1048576,IF(OR($B198="STD. DEVIATION",$C$1=1),$A198,$A198+1),COLUMN('1-DATA'!Y196)),IF($B198="STD. DEVIATION",2,$F$1))))</f>
        <v/>
      </c>
      <c r="AA198" s="1" t="str">
        <f>IF(OR($B198="",AA$7=""),"",IF($B198="MEANS",INDEX('1-DATA'!$1:$1048576,$A197-1,COLUMN('1-DATA'!Z196)),ROUND(INDEX('1-DATA'!$1:$1048576,IF(OR($B198="STD. DEVIATION",$C$1=1),$A198,$A198+1),COLUMN('1-DATA'!Z196)),IF($B198="STD. DEVIATION",2,$F$1))))</f>
        <v/>
      </c>
      <c r="AB198" s="1" t="str">
        <f>IF(OR($B198="",AB$7=""),"",IF($B198="MEANS",INDEX('1-DATA'!$1:$1048576,$A197-1,COLUMN('1-DATA'!AA196)),ROUND(INDEX('1-DATA'!$1:$1048576,IF(OR($B198="STD. DEVIATION",$C$1=1),$A198,$A198+1),COLUMN('1-DATA'!AA196)),IF($B198="STD. DEVIATION",2,$F$1))))</f>
        <v/>
      </c>
      <c r="AC198" s="1" t="str">
        <f>IF(OR($B198="",AC$7=""),"",IF($B198="MEANS",INDEX('1-DATA'!$1:$1048576,$A197-1,COLUMN('1-DATA'!AB196)),ROUND(INDEX('1-DATA'!$1:$1048576,IF(OR($B198="STD. DEVIATION",$C$1=1),$A198,$A198+1),COLUMN('1-DATA'!AB196)),IF($B198="STD. DEVIATION",2,$F$1))))</f>
        <v/>
      </c>
      <c r="AD198" s="1" t="str">
        <f>IF(OR($B198="",AD$7=""),"",IF($B198="MEANS",INDEX('1-DATA'!$1:$1048576,$A197-1,COLUMN('1-DATA'!AC196)),ROUND(INDEX('1-DATA'!$1:$1048576,IF(OR($B198="STD. DEVIATION",$C$1=1),$A198,$A198+1),COLUMN('1-DATA'!AC196)),IF($B198="STD. DEVIATION",2,$F$1))))</f>
        <v/>
      </c>
      <c r="AE198" s="1" t="str">
        <f>IF(OR($B198="",AE$7=""),"",IF($B198="MEANS",INDEX('1-DATA'!$1:$1048576,$A197-1,COLUMN('1-DATA'!AD196)),ROUND(INDEX('1-DATA'!$1:$1048576,IF(OR($B198="STD. DEVIATION",$C$1=1),$A198,$A198+1),COLUMN('1-DATA'!AD196)),IF($B198="STD. DEVIATION",2,$F$1))))</f>
        <v/>
      </c>
      <c r="AF198" s="1" t="str">
        <f>IF(OR($B198="",AF$7=""),"",IF($B198="MEANS",INDEX('1-DATA'!$1:$1048576,$A197-1,COLUMN('1-DATA'!AE196)),ROUND(INDEX('1-DATA'!$1:$1048576,IF(OR($B198="STD. DEVIATION",$C$1=1),$A198,$A198+1),COLUMN('1-DATA'!AE196)),IF($B198="STD. DEVIATION",2,$F$1))))</f>
        <v/>
      </c>
      <c r="AG198" s="1" t="str">
        <f>IF(OR($B198="",AG$7=""),"",IF($B198="MEANS",INDEX('1-DATA'!$1:$1048576,$A197-1,COLUMN('1-DATA'!AF196)),ROUND(INDEX('1-DATA'!$1:$1048576,IF(OR($B198="STD. DEVIATION",$C$1=1),$A198,$A198+1),COLUMN('1-DATA'!AF196)),IF($B198="STD. DEVIATION",2,$F$1))))</f>
        <v/>
      </c>
      <c r="AH198" s="1" t="str">
        <f>IF(OR($B198="",AH$7=""),"",IF($B198="MEANS",INDEX('1-DATA'!$1:$1048576,$A197-1,COLUMN('1-DATA'!AG196)),ROUND(INDEX('1-DATA'!$1:$1048576,IF(OR($B198="STD. DEVIATION",$C$1=1),$A198,$A198+1),COLUMN('1-DATA'!AG196)),IF($B198="STD. DEVIATION",2,$F$1))))</f>
        <v/>
      </c>
      <c r="AI198" s="1" t="str">
        <f>IF(OR($B198="",AI$7=""),"",IF($B198="MEANS",INDEX('1-DATA'!$1:$1048576,$A197-1,COLUMN('1-DATA'!AH196)),ROUND(INDEX('1-DATA'!$1:$1048576,IF(OR($B198="STD. DEVIATION",$C$1=1),$A198,$A198+1),COLUMN('1-DATA'!AH196)),IF($B198="STD. DEVIATION",2,$F$1))))</f>
        <v/>
      </c>
      <c r="AJ198" s="1" t="str">
        <f>IF(OR($B198="",AJ$7=""),"",IF($B198="MEANS",INDEX('1-DATA'!$1:$1048576,$A197-1,COLUMN('1-DATA'!AI196)),ROUND(INDEX('1-DATA'!$1:$1048576,IF(OR($B198="STD. DEVIATION",$C$1=1),$A198,$A198+1),COLUMN('1-DATA'!AI196)),IF($B198="STD. DEVIATION",2,$F$1))))</f>
        <v/>
      </c>
      <c r="AK198" s="1" t="str">
        <f>IF(OR($B198="",AK$7=""),"",IF($B198="MEANS",INDEX('1-DATA'!$1:$1048576,$A197-1,COLUMN('1-DATA'!AJ196)),ROUND(INDEX('1-DATA'!$1:$1048576,IF(OR($B198="STD. DEVIATION",$C$1=1),$A198,$A198+1),COLUMN('1-DATA'!AJ196)),IF($B198="STD. DEVIATION",2,$F$1))))</f>
        <v/>
      </c>
      <c r="AL198" s="1" t="str">
        <f>IF(OR($B198="",AL$7=""),"",IF($B198="MEANS",INDEX('1-DATA'!$1:$1048576,$A197-1,COLUMN('1-DATA'!AK196)),ROUND(INDEX('1-DATA'!$1:$1048576,IF(OR($B198="STD. DEVIATION",$C$1=1),$A198,$A198+1),COLUMN('1-DATA'!AK196)),IF($B198="STD. DEVIATION",2,$F$1))))</f>
        <v/>
      </c>
      <c r="AM198" s="1" t="str">
        <f>IF(OR($B198="",AM$7=""),"",IF($B198="MEANS",INDEX('1-DATA'!$1:$1048576,$A197-1,COLUMN('1-DATA'!AL196)),ROUND(INDEX('1-DATA'!$1:$1048576,IF(OR($B198="STD. DEVIATION",$C$1=1),$A198,$A198+1),COLUMN('1-DATA'!AL196)),IF($B198="STD. DEVIATION",2,$F$1))))</f>
        <v/>
      </c>
      <c r="AN198" s="1" t="str">
        <f>IF(OR($B198="",AN$7=""),"",IF($B198="MEANS",INDEX('1-DATA'!$1:$1048576,$A197-1,COLUMN('1-DATA'!AM196)),ROUND(INDEX('1-DATA'!$1:$1048576,IF(OR($B198="STD. DEVIATION",$C$1=1),$A198,$A198+1),COLUMN('1-DATA'!AM196)),IF($B198="STD. DEVIATION",2,$F$1))))</f>
        <v/>
      </c>
      <c r="AO198" s="1" t="str">
        <f>IF(OR($B198="",AO$7=""),"",IF($B198="MEANS",INDEX('1-DATA'!$1:$1048576,$A197-1,COLUMN('1-DATA'!AN196)),ROUND(INDEX('1-DATA'!$1:$1048576,IF(OR($B198="STD. DEVIATION",$C$1=1),$A198,$A198+1),COLUMN('1-DATA'!AN196)),IF($B198="STD. DEVIATION",2,$F$1))))</f>
        <v/>
      </c>
      <c r="AP198" s="1" t="str">
        <f>IF(OR($B198="",AP$7=""),"",IF($B198="MEANS",INDEX('1-DATA'!$1:$1048576,$A197-1,COLUMN('1-DATA'!AO196)),ROUND(INDEX('1-DATA'!$1:$1048576,IF(OR($B198="STD. DEVIATION",$C$1=1),$A198,$A198+1),COLUMN('1-DATA'!AO196)),IF($B198="STD. DEVIATION",2,$F$1))))</f>
        <v/>
      </c>
      <c r="AQ198" s="1" t="str">
        <f>IF(OR($B198="",AQ$7=""),"",IF($B198="MEANS",INDEX('1-DATA'!$1:$1048576,$A197-1,COLUMN('1-DATA'!AP196)),ROUND(INDEX('1-DATA'!$1:$1048576,IF(OR($B198="STD. DEVIATION",$C$1=1),$A198,$A198+1),COLUMN('1-DATA'!AP196)),IF($B198="STD. DEVIATION",2,$F$1))))</f>
        <v/>
      </c>
      <c r="AR198" s="1" t="str">
        <f>IF(OR($B198="",AR$7=""),"",IF($B198="MEANS",INDEX('1-DATA'!$1:$1048576,$A197-1,COLUMN('1-DATA'!AQ196)),ROUND(INDEX('1-DATA'!$1:$1048576,IF(OR($B198="STD. DEVIATION",$C$1=1),$A198,$A198+1),COLUMN('1-DATA'!AQ196)),IF($B198="STD. DEVIATION",2,$F$1))))</f>
        <v/>
      </c>
      <c r="AS198" s="1" t="str">
        <f>IF(OR($B198="",AS$7=""),"",IF($B198="MEANS",INDEX('1-DATA'!$1:$1048576,$A197-1,COLUMN('1-DATA'!AR196)),ROUND(INDEX('1-DATA'!$1:$1048576,IF(OR($B198="STD. DEVIATION",$C$1=1),$A198,$A198+1),COLUMN('1-DATA'!AR196)),IF($B198="STD. DEVIATION",2,$F$1))))</f>
        <v/>
      </c>
      <c r="AT198" s="1" t="str">
        <f>IF(OR($B198="",AT$7=""),"",IF($B198="MEANS",INDEX('1-DATA'!$1:$1048576,$A197-1,COLUMN('1-DATA'!AS196)),ROUND(INDEX('1-DATA'!$1:$1048576,IF(OR($B198="STD. DEVIATION",$C$1=1),$A198,$A198+1),COLUMN('1-DATA'!AS196)),IF($B198="STD. DEVIATION",2,$F$1))))</f>
        <v/>
      </c>
      <c r="AU198" s="1" t="str">
        <f>IF(OR($B198="",AU$7=""),"",IF($B198="MEANS",INDEX('1-DATA'!$1:$1048576,$A197-1,COLUMN('1-DATA'!AT196)),ROUND(INDEX('1-DATA'!$1:$1048576,IF(OR($B198="STD. DEVIATION",$C$1=1),$A198,$A198+1),COLUMN('1-DATA'!AT196)),IF($B198="STD. DEVIATION",2,$F$1))))</f>
        <v/>
      </c>
      <c r="AV198" s="1" t="str">
        <f>IF(OR($B198="",AV$7=""),"",IF($B198="MEANS",INDEX('1-DATA'!$1:$1048576,$A197-1,COLUMN('1-DATA'!AU196)),ROUND(INDEX('1-DATA'!$1:$1048576,IF(OR($B198="STD. DEVIATION",$C$1=1),$A198,$A198+1),COLUMN('1-DATA'!AU196)),IF($B198="STD. DEVIATION",2,$F$1))))</f>
        <v/>
      </c>
      <c r="AW198" s="1" t="str">
        <f>IF(OR($B198="",AW$7=""),"",IF($B198="MEANS",INDEX('1-DATA'!$1:$1048576,$A197-1,COLUMN('1-DATA'!AV196)),ROUND(INDEX('1-DATA'!$1:$1048576,IF(OR($B198="STD. DEVIATION",$C$1=1),$A198,$A198+1),COLUMN('1-DATA'!AV196)),IF($B198="STD. DEVIATION",2,$F$1))))</f>
        <v/>
      </c>
      <c r="AX198" s="1" t="str">
        <f>IF(OR($B198="",AX$7=""),"",IF($B198="MEANS",INDEX('1-DATA'!$1:$1048576,$A197-1,COLUMN('1-DATA'!AW196)),ROUND(INDEX('1-DATA'!$1:$1048576,IF(OR($B198="STD. DEVIATION",$C$1=1),$A198,$A198+1),COLUMN('1-DATA'!AW196)),IF($B198="STD. DEVIATION",2,$F$1))))</f>
        <v/>
      </c>
      <c r="AY198" s="1" t="str">
        <f>IF(OR($B198="",AY$7=""),"",IF($B198="MEANS",INDEX('1-DATA'!$1:$1048576,$A197-1,COLUMN('1-DATA'!AX196)),ROUND(INDEX('1-DATA'!$1:$1048576,IF(OR($B198="STD. DEVIATION",$C$1=1),$A198,$A198+1),COLUMN('1-DATA'!AX196)),IF($B198="STD. DEVIATION",2,$F$1))))</f>
        <v/>
      </c>
      <c r="AZ198" s="1" t="str">
        <f>IF(OR($B198="",AZ$7=""),"",IF($B198="MEANS",INDEX('1-DATA'!$1:$1048576,$A197-1,COLUMN('1-DATA'!AY196)),ROUND(INDEX('1-DATA'!$1:$1048576,IF(OR($B198="STD. DEVIATION",$C$1=1),$A198,$A198+1),COLUMN('1-DATA'!AY196)),IF($B198="STD. DEVIATION",2,$F$1))))</f>
        <v/>
      </c>
    </row>
    <row r="199" spans="1:52" x14ac:dyDescent="0.25">
      <c r="A199" s="11">
        <f t="shared" si="3"/>
        <v>583</v>
      </c>
      <c r="B199" s="1" t="str">
        <f>IF(B198="STD. DEVIATION",INDEX('1-DATA'!$1:$1048576,$A198-1,1),IF(INDEX('1-DATA'!$1:$1048576,$A199,1)&lt;&gt;"",INDEX('1-DATA'!$1:$1048576,$A199,1),""))</f>
        <v/>
      </c>
      <c r="C199" s="1" t="str">
        <f>IF(OR($B199="",C$7=""),"",IF($B199="MEANS",INDEX('1-DATA'!$1:$1048576,$A198-1,COLUMN('1-DATA'!B197)),ROUND(INDEX('1-DATA'!$1:$1048576,IF(OR($B199="STD. DEVIATION",$C$1=1),$A199,$A199+1),COLUMN('1-DATA'!B197)),IF($B199="STD. DEVIATION",2,$F$1))))</f>
        <v/>
      </c>
      <c r="D199" s="1" t="str">
        <f>IF(OR($B199="",D$7=""),"",IF($B199="MEANS",INDEX('1-DATA'!$1:$1048576,$A198-1,COLUMN('1-DATA'!C197)),ROUND(INDEX('1-DATA'!$1:$1048576,IF(OR($B199="STD. DEVIATION",$C$1=1),$A199,$A199+1),COLUMN('1-DATA'!C197)),IF($B199="STD. DEVIATION",2,$F$1))))</f>
        <v/>
      </c>
      <c r="E199" s="1" t="str">
        <f>IF(OR($B199="",E$7=""),"",IF($B199="MEANS",INDEX('1-DATA'!$1:$1048576,$A198-1,COLUMN('1-DATA'!D197)),ROUND(INDEX('1-DATA'!$1:$1048576,IF(OR($B199="STD. DEVIATION",$C$1=1),$A199,$A199+1),COLUMN('1-DATA'!D197)),IF($B199="STD. DEVIATION",2,$F$1))))</f>
        <v/>
      </c>
      <c r="F199" s="1" t="str">
        <f>IF(OR($B199="",F$7=""),"",IF($B199="MEANS",INDEX('1-DATA'!$1:$1048576,$A198-1,COLUMN('1-DATA'!E197)),ROUND(INDEX('1-DATA'!$1:$1048576,IF(OR($B199="STD. DEVIATION",$C$1=1),$A199,$A199+1),COLUMN('1-DATA'!E197)),IF($B199="STD. DEVIATION",2,$F$1))))</f>
        <v/>
      </c>
      <c r="G199" s="1" t="str">
        <f>IF(OR($B199="",G$7=""),"",IF($B199="MEANS",INDEX('1-DATA'!$1:$1048576,$A198-1,COLUMN('1-DATA'!F197)),ROUND(INDEX('1-DATA'!$1:$1048576,IF(OR($B199="STD. DEVIATION",$C$1=1),$A199,$A199+1),COLUMN('1-DATA'!F197)),IF($B199="STD. DEVIATION",2,$F$1))))</f>
        <v/>
      </c>
      <c r="H199" s="1" t="str">
        <f>IF(OR($B199="",H$7=""),"",IF($B199="MEANS",INDEX('1-DATA'!$1:$1048576,$A198-1,COLUMN('1-DATA'!G197)),ROUND(INDEX('1-DATA'!$1:$1048576,IF(OR($B199="STD. DEVIATION",$C$1=1),$A199,$A199+1),COLUMN('1-DATA'!G197)),IF($B199="STD. DEVIATION",2,$F$1))))</f>
        <v/>
      </c>
      <c r="I199" s="1" t="str">
        <f>IF(OR($B199="",I$7=""),"",IF($B199="MEANS",INDEX('1-DATA'!$1:$1048576,$A198-1,COLUMN('1-DATA'!H197)),ROUND(INDEX('1-DATA'!$1:$1048576,IF(OR($B199="STD. DEVIATION",$C$1=1),$A199,$A199+1),COLUMN('1-DATA'!H197)),IF($B199="STD. DEVIATION",2,$F$1))))</f>
        <v/>
      </c>
      <c r="J199" s="1" t="str">
        <f>IF(OR($B199="",J$7=""),"",IF($B199="MEANS",INDEX('1-DATA'!$1:$1048576,$A198-1,COLUMN('1-DATA'!I197)),ROUND(INDEX('1-DATA'!$1:$1048576,IF(OR($B199="STD. DEVIATION",$C$1=1),$A199,$A199+1),COLUMN('1-DATA'!I197)),IF($B199="STD. DEVIATION",2,$F$1))))</f>
        <v/>
      </c>
      <c r="K199" s="1" t="str">
        <f>IF(OR($B199="",K$7=""),"",IF($B199="MEANS",INDEX('1-DATA'!$1:$1048576,$A198-1,COLUMN('1-DATA'!J197)),ROUND(INDEX('1-DATA'!$1:$1048576,IF(OR($B199="STD. DEVIATION",$C$1=1),$A199,$A199+1),COLUMN('1-DATA'!J197)),IF($B199="STD. DEVIATION",2,$F$1))))</f>
        <v/>
      </c>
      <c r="L199" s="1" t="str">
        <f>IF(OR($B199="",L$7=""),"",IF($B199="MEANS",INDEX('1-DATA'!$1:$1048576,$A198-1,COLUMN('1-DATA'!K197)),ROUND(INDEX('1-DATA'!$1:$1048576,IF(OR($B199="STD. DEVIATION",$C$1=1),$A199,$A199+1),COLUMN('1-DATA'!K197)),IF($B199="STD. DEVIATION",2,$F$1))))</f>
        <v/>
      </c>
      <c r="M199" s="1" t="str">
        <f>IF(OR($B199="",M$7=""),"",IF($B199="MEANS",INDEX('1-DATA'!$1:$1048576,$A198-1,COLUMN('1-DATA'!L197)),ROUND(INDEX('1-DATA'!$1:$1048576,IF(OR($B199="STD. DEVIATION",$C$1=1),$A199,$A199+1),COLUMN('1-DATA'!L197)),IF($B199="STD. DEVIATION",2,$F$1))))</f>
        <v/>
      </c>
      <c r="N199" s="1" t="str">
        <f>IF(OR($B199="",N$7=""),"",IF($B199="MEANS",INDEX('1-DATA'!$1:$1048576,$A198-1,COLUMN('1-DATA'!M197)),ROUND(INDEX('1-DATA'!$1:$1048576,IF(OR($B199="STD. DEVIATION",$C$1=1),$A199,$A199+1),COLUMN('1-DATA'!M197)),IF($B199="STD. DEVIATION",2,$F$1))))</f>
        <v/>
      </c>
      <c r="O199" s="1" t="str">
        <f>IF(OR($B199="",O$7=""),"",IF($B199="MEANS",INDEX('1-DATA'!$1:$1048576,$A198-1,COLUMN('1-DATA'!N197)),ROUND(INDEX('1-DATA'!$1:$1048576,IF(OR($B199="STD. DEVIATION",$C$1=1),$A199,$A199+1),COLUMN('1-DATA'!N197)),IF($B199="STD. DEVIATION",2,$F$1))))</f>
        <v/>
      </c>
      <c r="P199" s="1" t="str">
        <f>IF(OR($B199="",P$7=""),"",IF($B199="MEANS",INDEX('1-DATA'!$1:$1048576,$A198-1,COLUMN('1-DATA'!O197)),ROUND(INDEX('1-DATA'!$1:$1048576,IF(OR($B199="STD. DEVIATION",$C$1=1),$A199,$A199+1),COLUMN('1-DATA'!O197)),IF($B199="STD. DEVIATION",2,$F$1))))</f>
        <v/>
      </c>
      <c r="Q199" s="1" t="str">
        <f>IF(OR($B199="",Q$7=""),"",IF($B199="MEANS",INDEX('1-DATA'!$1:$1048576,$A198-1,COLUMN('1-DATA'!P197)),ROUND(INDEX('1-DATA'!$1:$1048576,IF(OR($B199="STD. DEVIATION",$C$1=1),$A199,$A199+1),COLUMN('1-DATA'!P197)),IF($B199="STD. DEVIATION",2,$F$1))))</f>
        <v/>
      </c>
      <c r="R199" s="1" t="str">
        <f>IF(OR($B199="",R$7=""),"",IF($B199="MEANS",INDEX('1-DATA'!$1:$1048576,$A198-1,COLUMN('1-DATA'!Q197)),ROUND(INDEX('1-DATA'!$1:$1048576,IF(OR($B199="STD. DEVIATION",$C$1=1),$A199,$A199+1),COLUMN('1-DATA'!Q197)),IF($B199="STD. DEVIATION",2,$F$1))))</f>
        <v/>
      </c>
      <c r="S199" s="1" t="str">
        <f>IF(OR($B199="",S$7=""),"",IF($B199="MEANS",INDEX('1-DATA'!$1:$1048576,$A198-1,COLUMN('1-DATA'!R197)),ROUND(INDEX('1-DATA'!$1:$1048576,IF(OR($B199="STD. DEVIATION",$C$1=1),$A199,$A199+1),COLUMN('1-DATA'!R197)),IF($B199="STD. DEVIATION",2,$F$1))))</f>
        <v/>
      </c>
      <c r="T199" s="1" t="str">
        <f>IF(OR($B199="",T$7=""),"",IF($B199="MEANS",INDEX('1-DATA'!$1:$1048576,$A198-1,COLUMN('1-DATA'!S197)),ROUND(INDEX('1-DATA'!$1:$1048576,IF(OR($B199="STD. DEVIATION",$C$1=1),$A199,$A199+1),COLUMN('1-DATA'!S197)),IF($B199="STD. DEVIATION",2,$F$1))))</f>
        <v/>
      </c>
      <c r="U199" s="1" t="str">
        <f>IF(OR($B199="",U$7=""),"",IF($B199="MEANS",INDEX('1-DATA'!$1:$1048576,$A198-1,COLUMN('1-DATA'!T197)),ROUND(INDEX('1-DATA'!$1:$1048576,IF(OR($B199="STD. DEVIATION",$C$1=1),$A199,$A199+1),COLUMN('1-DATA'!T197)),IF($B199="STD. DEVIATION",2,$F$1))))</f>
        <v/>
      </c>
      <c r="V199" s="1" t="str">
        <f>IF(OR($B199="",V$7=""),"",IF($B199="MEANS",INDEX('1-DATA'!$1:$1048576,$A198-1,COLUMN('1-DATA'!U197)),ROUND(INDEX('1-DATA'!$1:$1048576,IF(OR($B199="STD. DEVIATION",$C$1=1),$A199,$A199+1),COLUMN('1-DATA'!U197)),IF($B199="STD. DEVIATION",2,$F$1))))</f>
        <v/>
      </c>
      <c r="W199" s="1" t="str">
        <f>IF(OR($B199="",W$7=""),"",IF($B199="MEANS",INDEX('1-DATA'!$1:$1048576,$A198-1,COLUMN('1-DATA'!V197)),ROUND(INDEX('1-DATA'!$1:$1048576,IF(OR($B199="STD. DEVIATION",$C$1=1),$A199,$A199+1),COLUMN('1-DATA'!V197)),IF($B199="STD. DEVIATION",2,$F$1))))</f>
        <v/>
      </c>
      <c r="X199" s="1" t="str">
        <f>IF(OR($B199="",X$7=""),"",IF($B199="MEANS",INDEX('1-DATA'!$1:$1048576,$A198-1,COLUMN('1-DATA'!W197)),ROUND(INDEX('1-DATA'!$1:$1048576,IF(OR($B199="STD. DEVIATION",$C$1=1),$A199,$A199+1),COLUMN('1-DATA'!W197)),IF($B199="STD. DEVIATION",2,$F$1))))</f>
        <v/>
      </c>
      <c r="Y199" s="1" t="str">
        <f>IF(OR($B199="",Y$7=""),"",IF($B199="MEANS",INDEX('1-DATA'!$1:$1048576,$A198-1,COLUMN('1-DATA'!X197)),ROUND(INDEX('1-DATA'!$1:$1048576,IF(OR($B199="STD. DEVIATION",$C$1=1),$A199,$A199+1),COLUMN('1-DATA'!X197)),IF($B199="STD. DEVIATION",2,$F$1))))</f>
        <v/>
      </c>
      <c r="Z199" s="1" t="str">
        <f>IF(OR($B199="",Z$7=""),"",IF($B199="MEANS",INDEX('1-DATA'!$1:$1048576,$A198-1,COLUMN('1-DATA'!Y197)),ROUND(INDEX('1-DATA'!$1:$1048576,IF(OR($B199="STD. DEVIATION",$C$1=1),$A199,$A199+1),COLUMN('1-DATA'!Y197)),IF($B199="STD. DEVIATION",2,$F$1))))</f>
        <v/>
      </c>
      <c r="AA199" s="1" t="str">
        <f>IF(OR($B199="",AA$7=""),"",IF($B199="MEANS",INDEX('1-DATA'!$1:$1048576,$A198-1,COLUMN('1-DATA'!Z197)),ROUND(INDEX('1-DATA'!$1:$1048576,IF(OR($B199="STD. DEVIATION",$C$1=1),$A199,$A199+1),COLUMN('1-DATA'!Z197)),IF($B199="STD. DEVIATION",2,$F$1))))</f>
        <v/>
      </c>
      <c r="AB199" s="1" t="str">
        <f>IF(OR($B199="",AB$7=""),"",IF($B199="MEANS",INDEX('1-DATA'!$1:$1048576,$A198-1,COLUMN('1-DATA'!AA197)),ROUND(INDEX('1-DATA'!$1:$1048576,IF(OR($B199="STD. DEVIATION",$C$1=1),$A199,$A199+1),COLUMN('1-DATA'!AA197)),IF($B199="STD. DEVIATION",2,$F$1))))</f>
        <v/>
      </c>
      <c r="AC199" s="1" t="str">
        <f>IF(OR($B199="",AC$7=""),"",IF($B199="MEANS",INDEX('1-DATA'!$1:$1048576,$A198-1,COLUMN('1-DATA'!AB197)),ROUND(INDEX('1-DATA'!$1:$1048576,IF(OR($B199="STD. DEVIATION",$C$1=1),$A199,$A199+1),COLUMN('1-DATA'!AB197)),IF($B199="STD. DEVIATION",2,$F$1))))</f>
        <v/>
      </c>
      <c r="AD199" s="1" t="str">
        <f>IF(OR($B199="",AD$7=""),"",IF($B199="MEANS",INDEX('1-DATA'!$1:$1048576,$A198-1,COLUMN('1-DATA'!AC197)),ROUND(INDEX('1-DATA'!$1:$1048576,IF(OR($B199="STD. DEVIATION",$C$1=1),$A199,$A199+1),COLUMN('1-DATA'!AC197)),IF($B199="STD. DEVIATION",2,$F$1))))</f>
        <v/>
      </c>
      <c r="AE199" s="1" t="str">
        <f>IF(OR($B199="",AE$7=""),"",IF($B199="MEANS",INDEX('1-DATA'!$1:$1048576,$A198-1,COLUMN('1-DATA'!AD197)),ROUND(INDEX('1-DATA'!$1:$1048576,IF(OR($B199="STD. DEVIATION",$C$1=1),$A199,$A199+1),COLUMN('1-DATA'!AD197)),IF($B199="STD. DEVIATION",2,$F$1))))</f>
        <v/>
      </c>
      <c r="AF199" s="1" t="str">
        <f>IF(OR($B199="",AF$7=""),"",IF($B199="MEANS",INDEX('1-DATA'!$1:$1048576,$A198-1,COLUMN('1-DATA'!AE197)),ROUND(INDEX('1-DATA'!$1:$1048576,IF(OR($B199="STD. DEVIATION",$C$1=1),$A199,$A199+1),COLUMN('1-DATA'!AE197)),IF($B199="STD. DEVIATION",2,$F$1))))</f>
        <v/>
      </c>
      <c r="AG199" s="1" t="str">
        <f>IF(OR($B199="",AG$7=""),"",IF($B199="MEANS",INDEX('1-DATA'!$1:$1048576,$A198-1,COLUMN('1-DATA'!AF197)),ROUND(INDEX('1-DATA'!$1:$1048576,IF(OR($B199="STD. DEVIATION",$C$1=1),$A199,$A199+1),COLUMN('1-DATA'!AF197)),IF($B199="STD. DEVIATION",2,$F$1))))</f>
        <v/>
      </c>
      <c r="AH199" s="1" t="str">
        <f>IF(OR($B199="",AH$7=""),"",IF($B199="MEANS",INDEX('1-DATA'!$1:$1048576,$A198-1,COLUMN('1-DATA'!AG197)),ROUND(INDEX('1-DATA'!$1:$1048576,IF(OR($B199="STD. DEVIATION",$C$1=1),$A199,$A199+1),COLUMN('1-DATA'!AG197)),IF($B199="STD. DEVIATION",2,$F$1))))</f>
        <v/>
      </c>
      <c r="AI199" s="1" t="str">
        <f>IF(OR($B199="",AI$7=""),"",IF($B199="MEANS",INDEX('1-DATA'!$1:$1048576,$A198-1,COLUMN('1-DATA'!AH197)),ROUND(INDEX('1-DATA'!$1:$1048576,IF(OR($B199="STD. DEVIATION",$C$1=1),$A199,$A199+1),COLUMN('1-DATA'!AH197)),IF($B199="STD. DEVIATION",2,$F$1))))</f>
        <v/>
      </c>
      <c r="AJ199" s="1" t="str">
        <f>IF(OR($B199="",AJ$7=""),"",IF($B199="MEANS",INDEX('1-DATA'!$1:$1048576,$A198-1,COLUMN('1-DATA'!AI197)),ROUND(INDEX('1-DATA'!$1:$1048576,IF(OR($B199="STD. DEVIATION",$C$1=1),$A199,$A199+1),COLUMN('1-DATA'!AI197)),IF($B199="STD. DEVIATION",2,$F$1))))</f>
        <v/>
      </c>
      <c r="AK199" s="1" t="str">
        <f>IF(OR($B199="",AK$7=""),"",IF($B199="MEANS",INDEX('1-DATA'!$1:$1048576,$A198-1,COLUMN('1-DATA'!AJ197)),ROUND(INDEX('1-DATA'!$1:$1048576,IF(OR($B199="STD. DEVIATION",$C$1=1),$A199,$A199+1),COLUMN('1-DATA'!AJ197)),IF($B199="STD. DEVIATION",2,$F$1))))</f>
        <v/>
      </c>
      <c r="AL199" s="1" t="str">
        <f>IF(OR($B199="",AL$7=""),"",IF($B199="MEANS",INDEX('1-DATA'!$1:$1048576,$A198-1,COLUMN('1-DATA'!AK197)),ROUND(INDEX('1-DATA'!$1:$1048576,IF(OR($B199="STD. DEVIATION",$C$1=1),$A199,$A199+1),COLUMN('1-DATA'!AK197)),IF($B199="STD. DEVIATION",2,$F$1))))</f>
        <v/>
      </c>
      <c r="AM199" s="1" t="str">
        <f>IF(OR($B199="",AM$7=""),"",IF($B199="MEANS",INDEX('1-DATA'!$1:$1048576,$A198-1,COLUMN('1-DATA'!AL197)),ROUND(INDEX('1-DATA'!$1:$1048576,IF(OR($B199="STD. DEVIATION",$C$1=1),$A199,$A199+1),COLUMN('1-DATA'!AL197)),IF($B199="STD. DEVIATION",2,$F$1))))</f>
        <v/>
      </c>
      <c r="AN199" s="1" t="str">
        <f>IF(OR($B199="",AN$7=""),"",IF($B199="MEANS",INDEX('1-DATA'!$1:$1048576,$A198-1,COLUMN('1-DATA'!AM197)),ROUND(INDEX('1-DATA'!$1:$1048576,IF(OR($B199="STD. DEVIATION",$C$1=1),$A199,$A199+1),COLUMN('1-DATA'!AM197)),IF($B199="STD. DEVIATION",2,$F$1))))</f>
        <v/>
      </c>
      <c r="AO199" s="1" t="str">
        <f>IF(OR($B199="",AO$7=""),"",IF($B199="MEANS",INDEX('1-DATA'!$1:$1048576,$A198-1,COLUMN('1-DATA'!AN197)),ROUND(INDEX('1-DATA'!$1:$1048576,IF(OR($B199="STD. DEVIATION",$C$1=1),$A199,$A199+1),COLUMN('1-DATA'!AN197)),IF($B199="STD. DEVIATION",2,$F$1))))</f>
        <v/>
      </c>
      <c r="AP199" s="1" t="str">
        <f>IF(OR($B199="",AP$7=""),"",IF($B199="MEANS",INDEX('1-DATA'!$1:$1048576,$A198-1,COLUMN('1-DATA'!AO197)),ROUND(INDEX('1-DATA'!$1:$1048576,IF(OR($B199="STD. DEVIATION",$C$1=1),$A199,$A199+1),COLUMN('1-DATA'!AO197)),IF($B199="STD. DEVIATION",2,$F$1))))</f>
        <v/>
      </c>
      <c r="AQ199" s="1" t="str">
        <f>IF(OR($B199="",AQ$7=""),"",IF($B199="MEANS",INDEX('1-DATA'!$1:$1048576,$A198-1,COLUMN('1-DATA'!AP197)),ROUND(INDEX('1-DATA'!$1:$1048576,IF(OR($B199="STD. DEVIATION",$C$1=1),$A199,$A199+1),COLUMN('1-DATA'!AP197)),IF($B199="STD. DEVIATION",2,$F$1))))</f>
        <v/>
      </c>
      <c r="AR199" s="1" t="str">
        <f>IF(OR($B199="",AR$7=""),"",IF($B199="MEANS",INDEX('1-DATA'!$1:$1048576,$A198-1,COLUMN('1-DATA'!AQ197)),ROUND(INDEX('1-DATA'!$1:$1048576,IF(OR($B199="STD. DEVIATION",$C$1=1),$A199,$A199+1),COLUMN('1-DATA'!AQ197)),IF($B199="STD. DEVIATION",2,$F$1))))</f>
        <v/>
      </c>
      <c r="AS199" s="1" t="str">
        <f>IF(OR($B199="",AS$7=""),"",IF($B199="MEANS",INDEX('1-DATA'!$1:$1048576,$A198-1,COLUMN('1-DATA'!AR197)),ROUND(INDEX('1-DATA'!$1:$1048576,IF(OR($B199="STD. DEVIATION",$C$1=1),$A199,$A199+1),COLUMN('1-DATA'!AR197)),IF($B199="STD. DEVIATION",2,$F$1))))</f>
        <v/>
      </c>
      <c r="AT199" s="1" t="str">
        <f>IF(OR($B199="",AT$7=""),"",IF($B199="MEANS",INDEX('1-DATA'!$1:$1048576,$A198-1,COLUMN('1-DATA'!AS197)),ROUND(INDEX('1-DATA'!$1:$1048576,IF(OR($B199="STD. DEVIATION",$C$1=1),$A199,$A199+1),COLUMN('1-DATA'!AS197)),IF($B199="STD. DEVIATION",2,$F$1))))</f>
        <v/>
      </c>
      <c r="AU199" s="1" t="str">
        <f>IF(OR($B199="",AU$7=""),"",IF($B199="MEANS",INDEX('1-DATA'!$1:$1048576,$A198-1,COLUMN('1-DATA'!AT197)),ROUND(INDEX('1-DATA'!$1:$1048576,IF(OR($B199="STD. DEVIATION",$C$1=1),$A199,$A199+1),COLUMN('1-DATA'!AT197)),IF($B199="STD. DEVIATION",2,$F$1))))</f>
        <v/>
      </c>
      <c r="AV199" s="1" t="str">
        <f>IF(OR($B199="",AV$7=""),"",IF($B199="MEANS",INDEX('1-DATA'!$1:$1048576,$A198-1,COLUMN('1-DATA'!AU197)),ROUND(INDEX('1-DATA'!$1:$1048576,IF(OR($B199="STD. DEVIATION",$C$1=1),$A199,$A199+1),COLUMN('1-DATA'!AU197)),IF($B199="STD. DEVIATION",2,$F$1))))</f>
        <v/>
      </c>
      <c r="AW199" s="1" t="str">
        <f>IF(OR($B199="",AW$7=""),"",IF($B199="MEANS",INDEX('1-DATA'!$1:$1048576,$A198-1,COLUMN('1-DATA'!AV197)),ROUND(INDEX('1-DATA'!$1:$1048576,IF(OR($B199="STD. DEVIATION",$C$1=1),$A199,$A199+1),COLUMN('1-DATA'!AV197)),IF($B199="STD. DEVIATION",2,$F$1))))</f>
        <v/>
      </c>
      <c r="AX199" s="1" t="str">
        <f>IF(OR($B199="",AX$7=""),"",IF($B199="MEANS",INDEX('1-DATA'!$1:$1048576,$A198-1,COLUMN('1-DATA'!AW197)),ROUND(INDEX('1-DATA'!$1:$1048576,IF(OR($B199="STD. DEVIATION",$C$1=1),$A199,$A199+1),COLUMN('1-DATA'!AW197)),IF($B199="STD. DEVIATION",2,$F$1))))</f>
        <v/>
      </c>
      <c r="AY199" s="1" t="str">
        <f>IF(OR($B199="",AY$7=""),"",IF($B199="MEANS",INDEX('1-DATA'!$1:$1048576,$A198-1,COLUMN('1-DATA'!AX197)),ROUND(INDEX('1-DATA'!$1:$1048576,IF(OR($B199="STD. DEVIATION",$C$1=1),$A199,$A199+1),COLUMN('1-DATA'!AX197)),IF($B199="STD. DEVIATION",2,$F$1))))</f>
        <v/>
      </c>
      <c r="AZ199" s="1" t="str">
        <f>IF(OR($B199="",AZ$7=""),"",IF($B199="MEANS",INDEX('1-DATA'!$1:$1048576,$A198-1,COLUMN('1-DATA'!AY197)),ROUND(INDEX('1-DATA'!$1:$1048576,IF(OR($B199="STD. DEVIATION",$C$1=1),$A199,$A199+1),COLUMN('1-DATA'!AY197)),IF($B199="STD. DEVIATION",2,$F$1))))</f>
        <v/>
      </c>
    </row>
    <row r="200" spans="1:52" x14ac:dyDescent="0.25">
      <c r="A200" s="11">
        <f t="shared" si="3"/>
        <v>586</v>
      </c>
      <c r="B200" s="1" t="str">
        <f>IF(B199="STD. DEVIATION",INDEX('1-DATA'!$1:$1048576,$A199-1,1),IF(INDEX('1-DATA'!$1:$1048576,$A200,1)&lt;&gt;"",INDEX('1-DATA'!$1:$1048576,$A200,1),""))</f>
        <v/>
      </c>
      <c r="C200" s="1" t="str">
        <f>IF(OR($B200="",C$7=""),"",IF($B200="MEANS",INDEX('1-DATA'!$1:$1048576,$A199-1,COLUMN('1-DATA'!B198)),ROUND(INDEX('1-DATA'!$1:$1048576,IF(OR($B200="STD. DEVIATION",$C$1=1),$A200,$A200+1),COLUMN('1-DATA'!B198)),IF($B200="STD. DEVIATION",2,$F$1))))</f>
        <v/>
      </c>
      <c r="D200" s="1" t="str">
        <f>IF(OR($B200="",D$7=""),"",IF($B200="MEANS",INDEX('1-DATA'!$1:$1048576,$A199-1,COLUMN('1-DATA'!C198)),ROUND(INDEX('1-DATA'!$1:$1048576,IF(OR($B200="STD. DEVIATION",$C$1=1),$A200,$A200+1),COLUMN('1-DATA'!C198)),IF($B200="STD. DEVIATION",2,$F$1))))</f>
        <v/>
      </c>
      <c r="E200" s="1" t="str">
        <f>IF(OR($B200="",E$7=""),"",IF($B200="MEANS",INDEX('1-DATA'!$1:$1048576,$A199-1,COLUMN('1-DATA'!D198)),ROUND(INDEX('1-DATA'!$1:$1048576,IF(OR($B200="STD. DEVIATION",$C$1=1),$A200,$A200+1),COLUMN('1-DATA'!D198)),IF($B200="STD. DEVIATION",2,$F$1))))</f>
        <v/>
      </c>
      <c r="F200" s="1" t="str">
        <f>IF(OR($B200="",F$7=""),"",IF($B200="MEANS",INDEX('1-DATA'!$1:$1048576,$A199-1,COLUMN('1-DATA'!E198)),ROUND(INDEX('1-DATA'!$1:$1048576,IF(OR($B200="STD. DEVIATION",$C$1=1),$A200,$A200+1),COLUMN('1-DATA'!E198)),IF($B200="STD. DEVIATION",2,$F$1))))</f>
        <v/>
      </c>
      <c r="G200" s="1" t="str">
        <f>IF(OR($B200="",G$7=""),"",IF($B200="MEANS",INDEX('1-DATA'!$1:$1048576,$A199-1,COLUMN('1-DATA'!F198)),ROUND(INDEX('1-DATA'!$1:$1048576,IF(OR($B200="STD. DEVIATION",$C$1=1),$A200,$A200+1),COLUMN('1-DATA'!F198)),IF($B200="STD. DEVIATION",2,$F$1))))</f>
        <v/>
      </c>
      <c r="H200" s="1" t="str">
        <f>IF(OR($B200="",H$7=""),"",IF($B200="MEANS",INDEX('1-DATA'!$1:$1048576,$A199-1,COLUMN('1-DATA'!G198)),ROUND(INDEX('1-DATA'!$1:$1048576,IF(OR($B200="STD. DEVIATION",$C$1=1),$A200,$A200+1),COLUMN('1-DATA'!G198)),IF($B200="STD. DEVIATION",2,$F$1))))</f>
        <v/>
      </c>
      <c r="I200" s="1" t="str">
        <f>IF(OR($B200="",I$7=""),"",IF($B200="MEANS",INDEX('1-DATA'!$1:$1048576,$A199-1,COLUMN('1-DATA'!H198)),ROUND(INDEX('1-DATA'!$1:$1048576,IF(OR($B200="STD. DEVIATION",$C$1=1),$A200,$A200+1),COLUMN('1-DATA'!H198)),IF($B200="STD. DEVIATION",2,$F$1))))</f>
        <v/>
      </c>
      <c r="J200" s="1" t="str">
        <f>IF(OR($B200="",J$7=""),"",IF($B200="MEANS",INDEX('1-DATA'!$1:$1048576,$A199-1,COLUMN('1-DATA'!I198)),ROUND(INDEX('1-DATA'!$1:$1048576,IF(OR($B200="STD. DEVIATION",$C$1=1),$A200,$A200+1),COLUMN('1-DATA'!I198)),IF($B200="STD. DEVIATION",2,$F$1))))</f>
        <v/>
      </c>
      <c r="K200" s="1" t="str">
        <f>IF(OR($B200="",K$7=""),"",IF($B200="MEANS",INDEX('1-DATA'!$1:$1048576,$A199-1,COLUMN('1-DATA'!J198)),ROUND(INDEX('1-DATA'!$1:$1048576,IF(OR($B200="STD. DEVIATION",$C$1=1),$A200,$A200+1),COLUMN('1-DATA'!J198)),IF($B200="STD. DEVIATION",2,$F$1))))</f>
        <v/>
      </c>
      <c r="L200" s="1" t="str">
        <f>IF(OR($B200="",L$7=""),"",IF($B200="MEANS",INDEX('1-DATA'!$1:$1048576,$A199-1,COLUMN('1-DATA'!K198)),ROUND(INDEX('1-DATA'!$1:$1048576,IF(OR($B200="STD. DEVIATION",$C$1=1),$A200,$A200+1),COLUMN('1-DATA'!K198)),IF($B200="STD. DEVIATION",2,$F$1))))</f>
        <v/>
      </c>
      <c r="M200" s="1" t="str">
        <f>IF(OR($B200="",M$7=""),"",IF($B200="MEANS",INDEX('1-DATA'!$1:$1048576,$A199-1,COLUMN('1-DATA'!L198)),ROUND(INDEX('1-DATA'!$1:$1048576,IF(OR($B200="STD. DEVIATION",$C$1=1),$A200,$A200+1),COLUMN('1-DATA'!L198)),IF($B200="STD. DEVIATION",2,$F$1))))</f>
        <v/>
      </c>
      <c r="N200" s="1" t="str">
        <f>IF(OR($B200="",N$7=""),"",IF($B200="MEANS",INDEX('1-DATA'!$1:$1048576,$A199-1,COLUMN('1-DATA'!M198)),ROUND(INDEX('1-DATA'!$1:$1048576,IF(OR($B200="STD. DEVIATION",$C$1=1),$A200,$A200+1),COLUMN('1-DATA'!M198)),IF($B200="STD. DEVIATION",2,$F$1))))</f>
        <v/>
      </c>
      <c r="O200" s="1" t="str">
        <f>IF(OR($B200="",O$7=""),"",IF($B200="MEANS",INDEX('1-DATA'!$1:$1048576,$A199-1,COLUMN('1-DATA'!N198)),ROUND(INDEX('1-DATA'!$1:$1048576,IF(OR($B200="STD. DEVIATION",$C$1=1),$A200,$A200+1),COLUMN('1-DATA'!N198)),IF($B200="STD. DEVIATION",2,$F$1))))</f>
        <v/>
      </c>
      <c r="P200" s="1" t="str">
        <f>IF(OR($B200="",P$7=""),"",IF($B200="MEANS",INDEX('1-DATA'!$1:$1048576,$A199-1,COLUMN('1-DATA'!O198)),ROUND(INDEX('1-DATA'!$1:$1048576,IF(OR($B200="STD. DEVIATION",$C$1=1),$A200,$A200+1),COLUMN('1-DATA'!O198)),IF($B200="STD. DEVIATION",2,$F$1))))</f>
        <v/>
      </c>
      <c r="Q200" s="1" t="str">
        <f>IF(OR($B200="",Q$7=""),"",IF($B200="MEANS",INDEX('1-DATA'!$1:$1048576,$A199-1,COLUMN('1-DATA'!P198)),ROUND(INDEX('1-DATA'!$1:$1048576,IF(OR($B200="STD. DEVIATION",$C$1=1),$A200,$A200+1),COLUMN('1-DATA'!P198)),IF($B200="STD. DEVIATION",2,$F$1))))</f>
        <v/>
      </c>
      <c r="R200" s="1" t="str">
        <f>IF(OR($B200="",R$7=""),"",IF($B200="MEANS",INDEX('1-DATA'!$1:$1048576,$A199-1,COLUMN('1-DATA'!Q198)),ROUND(INDEX('1-DATA'!$1:$1048576,IF(OR($B200="STD. DEVIATION",$C$1=1),$A200,$A200+1),COLUMN('1-DATA'!Q198)),IF($B200="STD. DEVIATION",2,$F$1))))</f>
        <v/>
      </c>
      <c r="S200" s="1" t="str">
        <f>IF(OR($B200="",S$7=""),"",IF($B200="MEANS",INDEX('1-DATA'!$1:$1048576,$A199-1,COLUMN('1-DATA'!R198)),ROUND(INDEX('1-DATA'!$1:$1048576,IF(OR($B200="STD. DEVIATION",$C$1=1),$A200,$A200+1),COLUMN('1-DATA'!R198)),IF($B200="STD. DEVIATION",2,$F$1))))</f>
        <v/>
      </c>
      <c r="T200" s="1" t="str">
        <f>IF(OR($B200="",T$7=""),"",IF($B200="MEANS",INDEX('1-DATA'!$1:$1048576,$A199-1,COLUMN('1-DATA'!S198)),ROUND(INDEX('1-DATA'!$1:$1048576,IF(OR($B200="STD. DEVIATION",$C$1=1),$A200,$A200+1),COLUMN('1-DATA'!S198)),IF($B200="STD. DEVIATION",2,$F$1))))</f>
        <v/>
      </c>
      <c r="U200" s="1" t="str">
        <f>IF(OR($B200="",U$7=""),"",IF($B200="MEANS",INDEX('1-DATA'!$1:$1048576,$A199-1,COLUMN('1-DATA'!T198)),ROUND(INDEX('1-DATA'!$1:$1048576,IF(OR($B200="STD. DEVIATION",$C$1=1),$A200,$A200+1),COLUMN('1-DATA'!T198)),IF($B200="STD. DEVIATION",2,$F$1))))</f>
        <v/>
      </c>
      <c r="V200" s="1" t="str">
        <f>IF(OR($B200="",V$7=""),"",IF($B200="MEANS",INDEX('1-DATA'!$1:$1048576,$A199-1,COLUMN('1-DATA'!U198)),ROUND(INDEX('1-DATA'!$1:$1048576,IF(OR($B200="STD. DEVIATION",$C$1=1),$A200,$A200+1),COLUMN('1-DATA'!U198)),IF($B200="STD. DEVIATION",2,$F$1))))</f>
        <v/>
      </c>
      <c r="W200" s="1" t="str">
        <f>IF(OR($B200="",W$7=""),"",IF($B200="MEANS",INDEX('1-DATA'!$1:$1048576,$A199-1,COLUMN('1-DATA'!V198)),ROUND(INDEX('1-DATA'!$1:$1048576,IF(OR($B200="STD. DEVIATION",$C$1=1),$A200,$A200+1),COLUMN('1-DATA'!V198)),IF($B200="STD. DEVIATION",2,$F$1))))</f>
        <v/>
      </c>
      <c r="X200" s="1" t="str">
        <f>IF(OR($B200="",X$7=""),"",IF($B200="MEANS",INDEX('1-DATA'!$1:$1048576,$A199-1,COLUMN('1-DATA'!W198)),ROUND(INDEX('1-DATA'!$1:$1048576,IF(OR($B200="STD. DEVIATION",$C$1=1),$A200,$A200+1),COLUMN('1-DATA'!W198)),IF($B200="STD. DEVIATION",2,$F$1))))</f>
        <v/>
      </c>
      <c r="Y200" s="1" t="str">
        <f>IF(OR($B200="",Y$7=""),"",IF($B200="MEANS",INDEX('1-DATA'!$1:$1048576,$A199-1,COLUMN('1-DATA'!X198)),ROUND(INDEX('1-DATA'!$1:$1048576,IF(OR($B200="STD. DEVIATION",$C$1=1),$A200,$A200+1),COLUMN('1-DATA'!X198)),IF($B200="STD. DEVIATION",2,$F$1))))</f>
        <v/>
      </c>
      <c r="Z200" s="1" t="str">
        <f>IF(OR($B200="",Z$7=""),"",IF($B200="MEANS",INDEX('1-DATA'!$1:$1048576,$A199-1,COLUMN('1-DATA'!Y198)),ROUND(INDEX('1-DATA'!$1:$1048576,IF(OR($B200="STD. DEVIATION",$C$1=1),$A200,$A200+1),COLUMN('1-DATA'!Y198)),IF($B200="STD. DEVIATION",2,$F$1))))</f>
        <v/>
      </c>
      <c r="AA200" s="1" t="str">
        <f>IF(OR($B200="",AA$7=""),"",IF($B200="MEANS",INDEX('1-DATA'!$1:$1048576,$A199-1,COLUMN('1-DATA'!Z198)),ROUND(INDEX('1-DATA'!$1:$1048576,IF(OR($B200="STD. DEVIATION",$C$1=1),$A200,$A200+1),COLUMN('1-DATA'!Z198)),IF($B200="STD. DEVIATION",2,$F$1))))</f>
        <v/>
      </c>
      <c r="AB200" s="1" t="str">
        <f>IF(OR($B200="",AB$7=""),"",IF($B200="MEANS",INDEX('1-DATA'!$1:$1048576,$A199-1,COLUMN('1-DATA'!AA198)),ROUND(INDEX('1-DATA'!$1:$1048576,IF(OR($B200="STD. DEVIATION",$C$1=1),$A200,$A200+1),COLUMN('1-DATA'!AA198)),IF($B200="STD. DEVIATION",2,$F$1))))</f>
        <v/>
      </c>
      <c r="AC200" s="1" t="str">
        <f>IF(OR($B200="",AC$7=""),"",IF($B200="MEANS",INDEX('1-DATA'!$1:$1048576,$A199-1,COLUMN('1-DATA'!AB198)),ROUND(INDEX('1-DATA'!$1:$1048576,IF(OR($B200="STD. DEVIATION",$C$1=1),$A200,$A200+1),COLUMN('1-DATA'!AB198)),IF($B200="STD. DEVIATION",2,$F$1))))</f>
        <v/>
      </c>
      <c r="AD200" s="1" t="str">
        <f>IF(OR($B200="",AD$7=""),"",IF($B200="MEANS",INDEX('1-DATA'!$1:$1048576,$A199-1,COLUMN('1-DATA'!AC198)),ROUND(INDEX('1-DATA'!$1:$1048576,IF(OR($B200="STD. DEVIATION",$C$1=1),$A200,$A200+1),COLUMN('1-DATA'!AC198)),IF($B200="STD. DEVIATION",2,$F$1))))</f>
        <v/>
      </c>
      <c r="AE200" s="1" t="str">
        <f>IF(OR($B200="",AE$7=""),"",IF($B200="MEANS",INDEX('1-DATA'!$1:$1048576,$A199-1,COLUMN('1-DATA'!AD198)),ROUND(INDEX('1-DATA'!$1:$1048576,IF(OR($B200="STD. DEVIATION",$C$1=1),$A200,$A200+1),COLUMN('1-DATA'!AD198)),IF($B200="STD. DEVIATION",2,$F$1))))</f>
        <v/>
      </c>
      <c r="AF200" s="1" t="str">
        <f>IF(OR($B200="",AF$7=""),"",IF($B200="MEANS",INDEX('1-DATA'!$1:$1048576,$A199-1,COLUMN('1-DATA'!AE198)),ROUND(INDEX('1-DATA'!$1:$1048576,IF(OR($B200="STD. DEVIATION",$C$1=1),$A200,$A200+1),COLUMN('1-DATA'!AE198)),IF($B200="STD. DEVIATION",2,$F$1))))</f>
        <v/>
      </c>
      <c r="AG200" s="1" t="str">
        <f>IF(OR($B200="",AG$7=""),"",IF($B200="MEANS",INDEX('1-DATA'!$1:$1048576,$A199-1,COLUMN('1-DATA'!AF198)),ROUND(INDEX('1-DATA'!$1:$1048576,IF(OR($B200="STD. DEVIATION",$C$1=1),$A200,$A200+1),COLUMN('1-DATA'!AF198)),IF($B200="STD. DEVIATION",2,$F$1))))</f>
        <v/>
      </c>
      <c r="AH200" s="1" t="str">
        <f>IF(OR($B200="",AH$7=""),"",IF($B200="MEANS",INDEX('1-DATA'!$1:$1048576,$A199-1,COLUMN('1-DATA'!AG198)),ROUND(INDEX('1-DATA'!$1:$1048576,IF(OR($B200="STD. DEVIATION",$C$1=1),$A200,$A200+1),COLUMN('1-DATA'!AG198)),IF($B200="STD. DEVIATION",2,$F$1))))</f>
        <v/>
      </c>
      <c r="AI200" s="1" t="str">
        <f>IF(OR($B200="",AI$7=""),"",IF($B200="MEANS",INDEX('1-DATA'!$1:$1048576,$A199-1,COLUMN('1-DATA'!AH198)),ROUND(INDEX('1-DATA'!$1:$1048576,IF(OR($B200="STD. DEVIATION",$C$1=1),$A200,$A200+1),COLUMN('1-DATA'!AH198)),IF($B200="STD. DEVIATION",2,$F$1))))</f>
        <v/>
      </c>
      <c r="AJ200" s="1" t="str">
        <f>IF(OR($B200="",AJ$7=""),"",IF($B200="MEANS",INDEX('1-DATA'!$1:$1048576,$A199-1,COLUMN('1-DATA'!AI198)),ROUND(INDEX('1-DATA'!$1:$1048576,IF(OR($B200="STD. DEVIATION",$C$1=1),$A200,$A200+1),COLUMN('1-DATA'!AI198)),IF($B200="STD. DEVIATION",2,$F$1))))</f>
        <v/>
      </c>
      <c r="AK200" s="1" t="str">
        <f>IF(OR($B200="",AK$7=""),"",IF($B200="MEANS",INDEX('1-DATA'!$1:$1048576,$A199-1,COLUMN('1-DATA'!AJ198)),ROUND(INDEX('1-DATA'!$1:$1048576,IF(OR($B200="STD. DEVIATION",$C$1=1),$A200,$A200+1),COLUMN('1-DATA'!AJ198)),IF($B200="STD. DEVIATION",2,$F$1))))</f>
        <v/>
      </c>
      <c r="AL200" s="1" t="str">
        <f>IF(OR($B200="",AL$7=""),"",IF($B200="MEANS",INDEX('1-DATA'!$1:$1048576,$A199-1,COLUMN('1-DATA'!AK198)),ROUND(INDEX('1-DATA'!$1:$1048576,IF(OR($B200="STD. DEVIATION",$C$1=1),$A200,$A200+1),COLUMN('1-DATA'!AK198)),IF($B200="STD. DEVIATION",2,$F$1))))</f>
        <v/>
      </c>
      <c r="AM200" s="1" t="str">
        <f>IF(OR($B200="",AM$7=""),"",IF($B200="MEANS",INDEX('1-DATA'!$1:$1048576,$A199-1,COLUMN('1-DATA'!AL198)),ROUND(INDEX('1-DATA'!$1:$1048576,IF(OR($B200="STD. DEVIATION",$C$1=1),$A200,$A200+1),COLUMN('1-DATA'!AL198)),IF($B200="STD. DEVIATION",2,$F$1))))</f>
        <v/>
      </c>
      <c r="AN200" s="1" t="str">
        <f>IF(OR($B200="",AN$7=""),"",IF($B200="MEANS",INDEX('1-DATA'!$1:$1048576,$A199-1,COLUMN('1-DATA'!AM198)),ROUND(INDEX('1-DATA'!$1:$1048576,IF(OR($B200="STD. DEVIATION",$C$1=1),$A200,$A200+1),COLUMN('1-DATA'!AM198)),IF($B200="STD. DEVIATION",2,$F$1))))</f>
        <v/>
      </c>
      <c r="AO200" s="1" t="str">
        <f>IF(OR($B200="",AO$7=""),"",IF($B200="MEANS",INDEX('1-DATA'!$1:$1048576,$A199-1,COLUMN('1-DATA'!AN198)),ROUND(INDEX('1-DATA'!$1:$1048576,IF(OR($B200="STD. DEVIATION",$C$1=1),$A200,$A200+1),COLUMN('1-DATA'!AN198)),IF($B200="STD. DEVIATION",2,$F$1))))</f>
        <v/>
      </c>
      <c r="AP200" s="1" t="str">
        <f>IF(OR($B200="",AP$7=""),"",IF($B200="MEANS",INDEX('1-DATA'!$1:$1048576,$A199-1,COLUMN('1-DATA'!AO198)),ROUND(INDEX('1-DATA'!$1:$1048576,IF(OR($B200="STD. DEVIATION",$C$1=1),$A200,$A200+1),COLUMN('1-DATA'!AO198)),IF($B200="STD. DEVIATION",2,$F$1))))</f>
        <v/>
      </c>
      <c r="AQ200" s="1" t="str">
        <f>IF(OR($B200="",AQ$7=""),"",IF($B200="MEANS",INDEX('1-DATA'!$1:$1048576,$A199-1,COLUMN('1-DATA'!AP198)),ROUND(INDEX('1-DATA'!$1:$1048576,IF(OR($B200="STD. DEVIATION",$C$1=1),$A200,$A200+1),COLUMN('1-DATA'!AP198)),IF($B200="STD. DEVIATION",2,$F$1))))</f>
        <v/>
      </c>
      <c r="AR200" s="1" t="str">
        <f>IF(OR($B200="",AR$7=""),"",IF($B200="MEANS",INDEX('1-DATA'!$1:$1048576,$A199-1,COLUMN('1-DATA'!AQ198)),ROUND(INDEX('1-DATA'!$1:$1048576,IF(OR($B200="STD. DEVIATION",$C$1=1),$A200,$A200+1),COLUMN('1-DATA'!AQ198)),IF($B200="STD. DEVIATION",2,$F$1))))</f>
        <v/>
      </c>
      <c r="AS200" s="1" t="str">
        <f>IF(OR($B200="",AS$7=""),"",IF($B200="MEANS",INDEX('1-DATA'!$1:$1048576,$A199-1,COLUMN('1-DATA'!AR198)),ROUND(INDEX('1-DATA'!$1:$1048576,IF(OR($B200="STD. DEVIATION",$C$1=1),$A200,$A200+1),COLUMN('1-DATA'!AR198)),IF($B200="STD. DEVIATION",2,$F$1))))</f>
        <v/>
      </c>
      <c r="AT200" s="1" t="str">
        <f>IF(OR($B200="",AT$7=""),"",IF($B200="MEANS",INDEX('1-DATA'!$1:$1048576,$A199-1,COLUMN('1-DATA'!AS198)),ROUND(INDEX('1-DATA'!$1:$1048576,IF(OR($B200="STD. DEVIATION",$C$1=1),$A200,$A200+1),COLUMN('1-DATA'!AS198)),IF($B200="STD. DEVIATION",2,$F$1))))</f>
        <v/>
      </c>
      <c r="AU200" s="1" t="str">
        <f>IF(OR($B200="",AU$7=""),"",IF($B200="MEANS",INDEX('1-DATA'!$1:$1048576,$A199-1,COLUMN('1-DATA'!AT198)),ROUND(INDEX('1-DATA'!$1:$1048576,IF(OR($B200="STD. DEVIATION",$C$1=1),$A200,$A200+1),COLUMN('1-DATA'!AT198)),IF($B200="STD. DEVIATION",2,$F$1))))</f>
        <v/>
      </c>
      <c r="AV200" s="1" t="str">
        <f>IF(OR($B200="",AV$7=""),"",IF($B200="MEANS",INDEX('1-DATA'!$1:$1048576,$A199-1,COLUMN('1-DATA'!AU198)),ROUND(INDEX('1-DATA'!$1:$1048576,IF(OR($B200="STD. DEVIATION",$C$1=1),$A200,$A200+1),COLUMN('1-DATA'!AU198)),IF($B200="STD. DEVIATION",2,$F$1))))</f>
        <v/>
      </c>
      <c r="AW200" s="1" t="str">
        <f>IF(OR($B200="",AW$7=""),"",IF($B200="MEANS",INDEX('1-DATA'!$1:$1048576,$A199-1,COLUMN('1-DATA'!AV198)),ROUND(INDEX('1-DATA'!$1:$1048576,IF(OR($B200="STD. DEVIATION",$C$1=1),$A200,$A200+1),COLUMN('1-DATA'!AV198)),IF($B200="STD. DEVIATION",2,$F$1))))</f>
        <v/>
      </c>
      <c r="AX200" s="1" t="str">
        <f>IF(OR($B200="",AX$7=""),"",IF($B200="MEANS",INDEX('1-DATA'!$1:$1048576,$A199-1,COLUMN('1-DATA'!AW198)),ROUND(INDEX('1-DATA'!$1:$1048576,IF(OR($B200="STD. DEVIATION",$C$1=1),$A200,$A200+1),COLUMN('1-DATA'!AW198)),IF($B200="STD. DEVIATION",2,$F$1))))</f>
        <v/>
      </c>
      <c r="AY200" s="1" t="str">
        <f>IF(OR($B200="",AY$7=""),"",IF($B200="MEANS",INDEX('1-DATA'!$1:$1048576,$A199-1,COLUMN('1-DATA'!AX198)),ROUND(INDEX('1-DATA'!$1:$1048576,IF(OR($B200="STD. DEVIATION",$C$1=1),$A200,$A200+1),COLUMN('1-DATA'!AX198)),IF($B200="STD. DEVIATION",2,$F$1))))</f>
        <v/>
      </c>
      <c r="AZ200" s="1" t="str">
        <f>IF(OR($B200="",AZ$7=""),"",IF($B200="MEANS",INDEX('1-DATA'!$1:$1048576,$A199-1,COLUMN('1-DATA'!AY198)),ROUND(INDEX('1-DATA'!$1:$1048576,IF(OR($B200="STD. DEVIATION",$C$1=1),$A200,$A200+1),COLUMN('1-DATA'!AY198)),IF($B200="STD. DEVIATION",2,$F$1))))</f>
        <v/>
      </c>
    </row>
    <row r="201" spans="1:52" x14ac:dyDescent="0.25">
      <c r="A201" s="11">
        <f t="shared" si="3"/>
        <v>589</v>
      </c>
      <c r="B201" s="1" t="str">
        <f>IF(B200="STD. DEVIATION",INDEX('1-DATA'!$1:$1048576,$A200-1,1),IF(INDEX('1-DATA'!$1:$1048576,$A201,1)&lt;&gt;"",INDEX('1-DATA'!$1:$1048576,$A201,1),""))</f>
        <v/>
      </c>
      <c r="C201" s="1" t="str">
        <f>IF(OR($B201="",C$7=""),"",IF($B201="MEANS",INDEX('1-DATA'!$1:$1048576,$A200-1,COLUMN('1-DATA'!B199)),ROUND(INDEX('1-DATA'!$1:$1048576,IF(OR($B201="STD. DEVIATION",$C$1=1),$A201,$A201+1),COLUMN('1-DATA'!B199)),IF($B201="STD. DEVIATION",2,$F$1))))</f>
        <v/>
      </c>
      <c r="D201" s="1" t="str">
        <f>IF(OR($B201="",D$7=""),"",IF($B201="MEANS",INDEX('1-DATA'!$1:$1048576,$A200-1,COLUMN('1-DATA'!C199)),ROUND(INDEX('1-DATA'!$1:$1048576,IF(OR($B201="STD. DEVIATION",$C$1=1),$A201,$A201+1),COLUMN('1-DATA'!C199)),IF($B201="STD. DEVIATION",2,$F$1))))</f>
        <v/>
      </c>
      <c r="E201" s="1" t="str">
        <f>IF(OR($B201="",E$7=""),"",IF($B201="MEANS",INDEX('1-DATA'!$1:$1048576,$A200-1,COLUMN('1-DATA'!D199)),ROUND(INDEX('1-DATA'!$1:$1048576,IF(OR($B201="STD. DEVIATION",$C$1=1),$A201,$A201+1),COLUMN('1-DATA'!D199)),IF($B201="STD. DEVIATION",2,$F$1))))</f>
        <v/>
      </c>
      <c r="F201" s="1" t="str">
        <f>IF(OR($B201="",F$7=""),"",IF($B201="MEANS",INDEX('1-DATA'!$1:$1048576,$A200-1,COLUMN('1-DATA'!E199)),ROUND(INDEX('1-DATA'!$1:$1048576,IF(OR($B201="STD. DEVIATION",$C$1=1),$A201,$A201+1),COLUMN('1-DATA'!E199)),IF($B201="STD. DEVIATION",2,$F$1))))</f>
        <v/>
      </c>
      <c r="G201" s="1" t="str">
        <f>IF(OR($B201="",G$7=""),"",IF($B201="MEANS",INDEX('1-DATA'!$1:$1048576,$A200-1,COLUMN('1-DATA'!F199)),ROUND(INDEX('1-DATA'!$1:$1048576,IF(OR($B201="STD. DEVIATION",$C$1=1),$A201,$A201+1),COLUMN('1-DATA'!F199)),IF($B201="STD. DEVIATION",2,$F$1))))</f>
        <v/>
      </c>
      <c r="H201" s="1" t="str">
        <f>IF(OR($B201="",H$7=""),"",IF($B201="MEANS",INDEX('1-DATA'!$1:$1048576,$A200-1,COLUMN('1-DATA'!G199)),ROUND(INDEX('1-DATA'!$1:$1048576,IF(OR($B201="STD. DEVIATION",$C$1=1),$A201,$A201+1),COLUMN('1-DATA'!G199)),IF($B201="STD. DEVIATION",2,$F$1))))</f>
        <v/>
      </c>
      <c r="I201" s="1" t="str">
        <f>IF(OR($B201="",I$7=""),"",IF($B201="MEANS",INDEX('1-DATA'!$1:$1048576,$A200-1,COLUMN('1-DATA'!H199)),ROUND(INDEX('1-DATA'!$1:$1048576,IF(OR($B201="STD. DEVIATION",$C$1=1),$A201,$A201+1),COLUMN('1-DATA'!H199)),IF($B201="STD. DEVIATION",2,$F$1))))</f>
        <v/>
      </c>
      <c r="J201" s="1" t="str">
        <f>IF(OR($B201="",J$7=""),"",IF($B201="MEANS",INDEX('1-DATA'!$1:$1048576,$A200-1,COLUMN('1-DATA'!I199)),ROUND(INDEX('1-DATA'!$1:$1048576,IF(OR($B201="STD. DEVIATION",$C$1=1),$A201,$A201+1),COLUMN('1-DATA'!I199)),IF($B201="STD. DEVIATION",2,$F$1))))</f>
        <v/>
      </c>
      <c r="K201" s="1" t="str">
        <f>IF(OR($B201="",K$7=""),"",IF($B201="MEANS",INDEX('1-DATA'!$1:$1048576,$A200-1,COLUMN('1-DATA'!J199)),ROUND(INDEX('1-DATA'!$1:$1048576,IF(OR($B201="STD. DEVIATION",$C$1=1),$A201,$A201+1),COLUMN('1-DATA'!J199)),IF($B201="STD. DEVIATION",2,$F$1))))</f>
        <v/>
      </c>
      <c r="L201" s="1" t="str">
        <f>IF(OR($B201="",L$7=""),"",IF($B201="MEANS",INDEX('1-DATA'!$1:$1048576,$A200-1,COLUMN('1-DATA'!K199)),ROUND(INDEX('1-DATA'!$1:$1048576,IF(OR($B201="STD. DEVIATION",$C$1=1),$A201,$A201+1),COLUMN('1-DATA'!K199)),IF($B201="STD. DEVIATION",2,$F$1))))</f>
        <v/>
      </c>
      <c r="M201" s="1" t="str">
        <f>IF(OR($B201="",M$7=""),"",IF($B201="MEANS",INDEX('1-DATA'!$1:$1048576,$A200-1,COLUMN('1-DATA'!L199)),ROUND(INDEX('1-DATA'!$1:$1048576,IF(OR($B201="STD. DEVIATION",$C$1=1),$A201,$A201+1),COLUMN('1-DATA'!L199)),IF($B201="STD. DEVIATION",2,$F$1))))</f>
        <v/>
      </c>
      <c r="N201" s="1" t="str">
        <f>IF(OR($B201="",N$7=""),"",IF($B201="MEANS",INDEX('1-DATA'!$1:$1048576,$A200-1,COLUMN('1-DATA'!M199)),ROUND(INDEX('1-DATA'!$1:$1048576,IF(OR($B201="STD. DEVIATION",$C$1=1),$A201,$A201+1),COLUMN('1-DATA'!M199)),IF($B201="STD. DEVIATION",2,$F$1))))</f>
        <v/>
      </c>
      <c r="O201" s="1" t="str">
        <f>IF(OR($B201="",O$7=""),"",IF($B201="MEANS",INDEX('1-DATA'!$1:$1048576,$A200-1,COLUMN('1-DATA'!N199)),ROUND(INDEX('1-DATA'!$1:$1048576,IF(OR($B201="STD. DEVIATION",$C$1=1),$A201,$A201+1),COLUMN('1-DATA'!N199)),IF($B201="STD. DEVIATION",2,$F$1))))</f>
        <v/>
      </c>
      <c r="P201" s="1" t="str">
        <f>IF(OR($B201="",P$7=""),"",IF($B201="MEANS",INDEX('1-DATA'!$1:$1048576,$A200-1,COLUMN('1-DATA'!O199)),ROUND(INDEX('1-DATA'!$1:$1048576,IF(OR($B201="STD. DEVIATION",$C$1=1),$A201,$A201+1),COLUMN('1-DATA'!O199)),IF($B201="STD. DEVIATION",2,$F$1))))</f>
        <v/>
      </c>
      <c r="Q201" s="1" t="str">
        <f>IF(OR($B201="",Q$7=""),"",IF($B201="MEANS",INDEX('1-DATA'!$1:$1048576,$A200-1,COLUMN('1-DATA'!P199)),ROUND(INDEX('1-DATA'!$1:$1048576,IF(OR($B201="STD. DEVIATION",$C$1=1),$A201,$A201+1),COLUMN('1-DATA'!P199)),IF($B201="STD. DEVIATION",2,$F$1))))</f>
        <v/>
      </c>
      <c r="R201" s="1" t="str">
        <f>IF(OR($B201="",R$7=""),"",IF($B201="MEANS",INDEX('1-DATA'!$1:$1048576,$A200-1,COLUMN('1-DATA'!Q199)),ROUND(INDEX('1-DATA'!$1:$1048576,IF(OR($B201="STD. DEVIATION",$C$1=1),$A201,$A201+1),COLUMN('1-DATA'!Q199)),IF($B201="STD. DEVIATION",2,$F$1))))</f>
        <v/>
      </c>
      <c r="S201" s="1" t="str">
        <f>IF(OR($B201="",S$7=""),"",IF($B201="MEANS",INDEX('1-DATA'!$1:$1048576,$A200-1,COLUMN('1-DATA'!R199)),ROUND(INDEX('1-DATA'!$1:$1048576,IF(OR($B201="STD. DEVIATION",$C$1=1),$A201,$A201+1),COLUMN('1-DATA'!R199)),IF($B201="STD. DEVIATION",2,$F$1))))</f>
        <v/>
      </c>
      <c r="T201" s="1" t="str">
        <f>IF(OR($B201="",T$7=""),"",IF($B201="MEANS",INDEX('1-DATA'!$1:$1048576,$A200-1,COLUMN('1-DATA'!S199)),ROUND(INDEX('1-DATA'!$1:$1048576,IF(OR($B201="STD. DEVIATION",$C$1=1),$A201,$A201+1),COLUMN('1-DATA'!S199)),IF($B201="STD. DEVIATION",2,$F$1))))</f>
        <v/>
      </c>
      <c r="U201" s="1" t="str">
        <f>IF(OR($B201="",U$7=""),"",IF($B201="MEANS",INDEX('1-DATA'!$1:$1048576,$A200-1,COLUMN('1-DATA'!T199)),ROUND(INDEX('1-DATA'!$1:$1048576,IF(OR($B201="STD. DEVIATION",$C$1=1),$A201,$A201+1),COLUMN('1-DATA'!T199)),IF($B201="STD. DEVIATION",2,$F$1))))</f>
        <v/>
      </c>
      <c r="V201" s="1" t="str">
        <f>IF(OR($B201="",V$7=""),"",IF($B201="MEANS",INDEX('1-DATA'!$1:$1048576,$A200-1,COLUMN('1-DATA'!U199)),ROUND(INDEX('1-DATA'!$1:$1048576,IF(OR($B201="STD. DEVIATION",$C$1=1),$A201,$A201+1),COLUMN('1-DATA'!U199)),IF($B201="STD. DEVIATION",2,$F$1))))</f>
        <v/>
      </c>
      <c r="W201" s="1" t="str">
        <f>IF(OR($B201="",W$7=""),"",IF($B201="MEANS",INDEX('1-DATA'!$1:$1048576,$A200-1,COLUMN('1-DATA'!V199)),ROUND(INDEX('1-DATA'!$1:$1048576,IF(OR($B201="STD. DEVIATION",$C$1=1),$A201,$A201+1),COLUMN('1-DATA'!V199)),IF($B201="STD. DEVIATION",2,$F$1))))</f>
        <v/>
      </c>
      <c r="X201" s="1" t="str">
        <f>IF(OR($B201="",X$7=""),"",IF($B201="MEANS",INDEX('1-DATA'!$1:$1048576,$A200-1,COLUMN('1-DATA'!W199)),ROUND(INDEX('1-DATA'!$1:$1048576,IF(OR($B201="STD. DEVIATION",$C$1=1),$A201,$A201+1),COLUMN('1-DATA'!W199)),IF($B201="STD. DEVIATION",2,$F$1))))</f>
        <v/>
      </c>
      <c r="Y201" s="1" t="str">
        <f>IF(OR($B201="",Y$7=""),"",IF($B201="MEANS",INDEX('1-DATA'!$1:$1048576,$A200-1,COLUMN('1-DATA'!X199)),ROUND(INDEX('1-DATA'!$1:$1048576,IF(OR($B201="STD. DEVIATION",$C$1=1),$A201,$A201+1),COLUMN('1-DATA'!X199)),IF($B201="STD. DEVIATION",2,$F$1))))</f>
        <v/>
      </c>
      <c r="Z201" s="1" t="str">
        <f>IF(OR($B201="",Z$7=""),"",IF($B201="MEANS",INDEX('1-DATA'!$1:$1048576,$A200-1,COLUMN('1-DATA'!Y199)),ROUND(INDEX('1-DATA'!$1:$1048576,IF(OR($B201="STD. DEVIATION",$C$1=1),$A201,$A201+1),COLUMN('1-DATA'!Y199)),IF($B201="STD. DEVIATION",2,$F$1))))</f>
        <v/>
      </c>
      <c r="AA201" s="1" t="str">
        <f>IF(OR($B201="",AA$7=""),"",IF($B201="MEANS",INDEX('1-DATA'!$1:$1048576,$A200-1,COLUMN('1-DATA'!Z199)),ROUND(INDEX('1-DATA'!$1:$1048576,IF(OR($B201="STD. DEVIATION",$C$1=1),$A201,$A201+1),COLUMN('1-DATA'!Z199)),IF($B201="STD. DEVIATION",2,$F$1))))</f>
        <v/>
      </c>
      <c r="AB201" s="1" t="str">
        <f>IF(OR($B201="",AB$7=""),"",IF($B201="MEANS",INDEX('1-DATA'!$1:$1048576,$A200-1,COLUMN('1-DATA'!AA199)),ROUND(INDEX('1-DATA'!$1:$1048576,IF(OR($B201="STD. DEVIATION",$C$1=1),$A201,$A201+1),COLUMN('1-DATA'!AA199)),IF($B201="STD. DEVIATION",2,$F$1))))</f>
        <v/>
      </c>
      <c r="AC201" s="1" t="str">
        <f>IF(OR($B201="",AC$7=""),"",IF($B201="MEANS",INDEX('1-DATA'!$1:$1048576,$A200-1,COLUMN('1-DATA'!AB199)),ROUND(INDEX('1-DATA'!$1:$1048576,IF(OR($B201="STD. DEVIATION",$C$1=1),$A201,$A201+1),COLUMN('1-DATA'!AB199)),IF($B201="STD. DEVIATION",2,$F$1))))</f>
        <v/>
      </c>
      <c r="AD201" s="1" t="str">
        <f>IF(OR($B201="",AD$7=""),"",IF($B201="MEANS",INDEX('1-DATA'!$1:$1048576,$A200-1,COLUMN('1-DATA'!AC199)),ROUND(INDEX('1-DATA'!$1:$1048576,IF(OR($B201="STD. DEVIATION",$C$1=1),$A201,$A201+1),COLUMN('1-DATA'!AC199)),IF($B201="STD. DEVIATION",2,$F$1))))</f>
        <v/>
      </c>
      <c r="AE201" s="1" t="str">
        <f>IF(OR($B201="",AE$7=""),"",IF($B201="MEANS",INDEX('1-DATA'!$1:$1048576,$A200-1,COLUMN('1-DATA'!AD199)),ROUND(INDEX('1-DATA'!$1:$1048576,IF(OR($B201="STD. DEVIATION",$C$1=1),$A201,$A201+1),COLUMN('1-DATA'!AD199)),IF($B201="STD. DEVIATION",2,$F$1))))</f>
        <v/>
      </c>
      <c r="AF201" s="1" t="str">
        <f>IF(OR($B201="",AF$7=""),"",IF($B201="MEANS",INDEX('1-DATA'!$1:$1048576,$A200-1,COLUMN('1-DATA'!AE199)),ROUND(INDEX('1-DATA'!$1:$1048576,IF(OR($B201="STD. DEVIATION",$C$1=1),$A201,$A201+1),COLUMN('1-DATA'!AE199)),IF($B201="STD. DEVIATION",2,$F$1))))</f>
        <v/>
      </c>
      <c r="AG201" s="1" t="str">
        <f>IF(OR($B201="",AG$7=""),"",IF($B201="MEANS",INDEX('1-DATA'!$1:$1048576,$A200-1,COLUMN('1-DATA'!AF199)),ROUND(INDEX('1-DATA'!$1:$1048576,IF(OR($B201="STD. DEVIATION",$C$1=1),$A201,$A201+1),COLUMN('1-DATA'!AF199)),IF($B201="STD. DEVIATION",2,$F$1))))</f>
        <v/>
      </c>
      <c r="AH201" s="1" t="str">
        <f>IF(OR($B201="",AH$7=""),"",IF($B201="MEANS",INDEX('1-DATA'!$1:$1048576,$A200-1,COLUMN('1-DATA'!AG199)),ROUND(INDEX('1-DATA'!$1:$1048576,IF(OR($B201="STD. DEVIATION",$C$1=1),$A201,$A201+1),COLUMN('1-DATA'!AG199)),IF($B201="STD. DEVIATION",2,$F$1))))</f>
        <v/>
      </c>
      <c r="AI201" s="1" t="str">
        <f>IF(OR($B201="",AI$7=""),"",IF($B201="MEANS",INDEX('1-DATA'!$1:$1048576,$A200-1,COLUMN('1-DATA'!AH199)),ROUND(INDEX('1-DATA'!$1:$1048576,IF(OR($B201="STD. DEVIATION",$C$1=1),$A201,$A201+1),COLUMN('1-DATA'!AH199)),IF($B201="STD. DEVIATION",2,$F$1))))</f>
        <v/>
      </c>
      <c r="AJ201" s="1" t="str">
        <f>IF(OR($B201="",AJ$7=""),"",IF($B201="MEANS",INDEX('1-DATA'!$1:$1048576,$A200-1,COLUMN('1-DATA'!AI199)),ROUND(INDEX('1-DATA'!$1:$1048576,IF(OR($B201="STD. DEVIATION",$C$1=1),$A201,$A201+1),COLUMN('1-DATA'!AI199)),IF($B201="STD. DEVIATION",2,$F$1))))</f>
        <v/>
      </c>
      <c r="AK201" s="1" t="str">
        <f>IF(OR($B201="",AK$7=""),"",IF($B201="MEANS",INDEX('1-DATA'!$1:$1048576,$A200-1,COLUMN('1-DATA'!AJ199)),ROUND(INDEX('1-DATA'!$1:$1048576,IF(OR($B201="STD. DEVIATION",$C$1=1),$A201,$A201+1),COLUMN('1-DATA'!AJ199)),IF($B201="STD. DEVIATION",2,$F$1))))</f>
        <v/>
      </c>
      <c r="AL201" s="1" t="str">
        <f>IF(OR($B201="",AL$7=""),"",IF($B201="MEANS",INDEX('1-DATA'!$1:$1048576,$A200-1,COLUMN('1-DATA'!AK199)),ROUND(INDEX('1-DATA'!$1:$1048576,IF(OR($B201="STD. DEVIATION",$C$1=1),$A201,$A201+1),COLUMN('1-DATA'!AK199)),IF($B201="STD. DEVIATION",2,$F$1))))</f>
        <v/>
      </c>
      <c r="AM201" s="1" t="str">
        <f>IF(OR($B201="",AM$7=""),"",IF($B201="MEANS",INDEX('1-DATA'!$1:$1048576,$A200-1,COLUMN('1-DATA'!AL199)),ROUND(INDEX('1-DATA'!$1:$1048576,IF(OR($B201="STD. DEVIATION",$C$1=1),$A201,$A201+1),COLUMN('1-DATA'!AL199)),IF($B201="STD. DEVIATION",2,$F$1))))</f>
        <v/>
      </c>
      <c r="AN201" s="1" t="str">
        <f>IF(OR($B201="",AN$7=""),"",IF($B201="MEANS",INDEX('1-DATA'!$1:$1048576,$A200-1,COLUMN('1-DATA'!AM199)),ROUND(INDEX('1-DATA'!$1:$1048576,IF(OR($B201="STD. DEVIATION",$C$1=1),$A201,$A201+1),COLUMN('1-DATA'!AM199)),IF($B201="STD. DEVIATION",2,$F$1))))</f>
        <v/>
      </c>
      <c r="AO201" s="1" t="str">
        <f>IF(OR($B201="",AO$7=""),"",IF($B201="MEANS",INDEX('1-DATA'!$1:$1048576,$A200-1,COLUMN('1-DATA'!AN199)),ROUND(INDEX('1-DATA'!$1:$1048576,IF(OR($B201="STD. DEVIATION",$C$1=1),$A201,$A201+1),COLUMN('1-DATA'!AN199)),IF($B201="STD. DEVIATION",2,$F$1))))</f>
        <v/>
      </c>
      <c r="AP201" s="1" t="str">
        <f>IF(OR($B201="",AP$7=""),"",IF($B201="MEANS",INDEX('1-DATA'!$1:$1048576,$A200-1,COLUMN('1-DATA'!AO199)),ROUND(INDEX('1-DATA'!$1:$1048576,IF(OR($B201="STD. DEVIATION",$C$1=1),$A201,$A201+1),COLUMN('1-DATA'!AO199)),IF($B201="STD. DEVIATION",2,$F$1))))</f>
        <v/>
      </c>
      <c r="AQ201" s="1" t="str">
        <f>IF(OR($B201="",AQ$7=""),"",IF($B201="MEANS",INDEX('1-DATA'!$1:$1048576,$A200-1,COLUMN('1-DATA'!AP199)),ROUND(INDEX('1-DATA'!$1:$1048576,IF(OR($B201="STD. DEVIATION",$C$1=1),$A201,$A201+1),COLUMN('1-DATA'!AP199)),IF($B201="STD. DEVIATION",2,$F$1))))</f>
        <v/>
      </c>
      <c r="AR201" s="1" t="str">
        <f>IF(OR($B201="",AR$7=""),"",IF($B201="MEANS",INDEX('1-DATA'!$1:$1048576,$A200-1,COLUMN('1-DATA'!AQ199)),ROUND(INDEX('1-DATA'!$1:$1048576,IF(OR($B201="STD. DEVIATION",$C$1=1),$A201,$A201+1),COLUMN('1-DATA'!AQ199)),IF($B201="STD. DEVIATION",2,$F$1))))</f>
        <v/>
      </c>
      <c r="AS201" s="1" t="str">
        <f>IF(OR($B201="",AS$7=""),"",IF($B201="MEANS",INDEX('1-DATA'!$1:$1048576,$A200-1,COLUMN('1-DATA'!AR199)),ROUND(INDEX('1-DATA'!$1:$1048576,IF(OR($B201="STD. DEVIATION",$C$1=1),$A201,$A201+1),COLUMN('1-DATA'!AR199)),IF($B201="STD. DEVIATION",2,$F$1))))</f>
        <v/>
      </c>
      <c r="AT201" s="1" t="str">
        <f>IF(OR($B201="",AT$7=""),"",IF($B201="MEANS",INDEX('1-DATA'!$1:$1048576,$A200-1,COLUMN('1-DATA'!AS199)),ROUND(INDEX('1-DATA'!$1:$1048576,IF(OR($B201="STD. DEVIATION",$C$1=1),$A201,$A201+1),COLUMN('1-DATA'!AS199)),IF($B201="STD. DEVIATION",2,$F$1))))</f>
        <v/>
      </c>
      <c r="AU201" s="1" t="str">
        <f>IF(OR($B201="",AU$7=""),"",IF($B201="MEANS",INDEX('1-DATA'!$1:$1048576,$A200-1,COLUMN('1-DATA'!AT199)),ROUND(INDEX('1-DATA'!$1:$1048576,IF(OR($B201="STD. DEVIATION",$C$1=1),$A201,$A201+1),COLUMN('1-DATA'!AT199)),IF($B201="STD. DEVIATION",2,$F$1))))</f>
        <v/>
      </c>
      <c r="AV201" s="1" t="str">
        <f>IF(OR($B201="",AV$7=""),"",IF($B201="MEANS",INDEX('1-DATA'!$1:$1048576,$A200-1,COLUMN('1-DATA'!AU199)),ROUND(INDEX('1-DATA'!$1:$1048576,IF(OR($B201="STD. DEVIATION",$C$1=1),$A201,$A201+1),COLUMN('1-DATA'!AU199)),IF($B201="STD. DEVIATION",2,$F$1))))</f>
        <v/>
      </c>
      <c r="AW201" s="1" t="str">
        <f>IF(OR($B201="",AW$7=""),"",IF($B201="MEANS",INDEX('1-DATA'!$1:$1048576,$A200-1,COLUMN('1-DATA'!AV199)),ROUND(INDEX('1-DATA'!$1:$1048576,IF(OR($B201="STD. DEVIATION",$C$1=1),$A201,$A201+1),COLUMN('1-DATA'!AV199)),IF($B201="STD. DEVIATION",2,$F$1))))</f>
        <v/>
      </c>
      <c r="AX201" s="1" t="str">
        <f>IF(OR($B201="",AX$7=""),"",IF($B201="MEANS",INDEX('1-DATA'!$1:$1048576,$A200-1,COLUMN('1-DATA'!AW199)),ROUND(INDEX('1-DATA'!$1:$1048576,IF(OR($B201="STD. DEVIATION",$C$1=1),$A201,$A201+1),COLUMN('1-DATA'!AW199)),IF($B201="STD. DEVIATION",2,$F$1))))</f>
        <v/>
      </c>
      <c r="AY201" s="1" t="str">
        <f>IF(OR($B201="",AY$7=""),"",IF($B201="MEANS",INDEX('1-DATA'!$1:$1048576,$A200-1,COLUMN('1-DATA'!AX199)),ROUND(INDEX('1-DATA'!$1:$1048576,IF(OR($B201="STD. DEVIATION",$C$1=1),$A201,$A201+1),COLUMN('1-DATA'!AX199)),IF($B201="STD. DEVIATION",2,$F$1))))</f>
        <v/>
      </c>
      <c r="AZ201" s="1" t="str">
        <f>IF(OR($B201="",AZ$7=""),"",IF($B201="MEANS",INDEX('1-DATA'!$1:$1048576,$A200-1,COLUMN('1-DATA'!AY199)),ROUND(INDEX('1-DATA'!$1:$1048576,IF(OR($B201="STD. DEVIATION",$C$1=1),$A201,$A201+1),COLUMN('1-DATA'!AY199)),IF($B201="STD. DEVIATION",2,$F$1))))</f>
        <v/>
      </c>
    </row>
    <row r="202" spans="1:52" x14ac:dyDescent="0.25">
      <c r="A202" s="11">
        <f t="shared" si="3"/>
        <v>592</v>
      </c>
      <c r="B202" s="1" t="str">
        <f>IF(B201="STD. DEVIATION",INDEX('1-DATA'!$1:$1048576,$A201-1,1),IF(INDEX('1-DATA'!$1:$1048576,$A202,1)&lt;&gt;"",INDEX('1-DATA'!$1:$1048576,$A202,1),""))</f>
        <v/>
      </c>
      <c r="C202" s="1" t="str">
        <f>IF(OR($B202="",C$7=""),"",IF($B202="MEANS",INDEX('1-DATA'!$1:$1048576,$A201-1,COLUMN('1-DATA'!B200)),ROUND(INDEX('1-DATA'!$1:$1048576,IF(OR($B202="STD. DEVIATION",$C$1=1),$A202,$A202+1),COLUMN('1-DATA'!B200)),IF($B202="STD. DEVIATION",2,$F$1))))</f>
        <v/>
      </c>
      <c r="D202" s="1" t="str">
        <f>IF(OR($B202="",D$7=""),"",IF($B202="MEANS",INDEX('1-DATA'!$1:$1048576,$A201-1,COLUMN('1-DATA'!C200)),ROUND(INDEX('1-DATA'!$1:$1048576,IF(OR($B202="STD. DEVIATION",$C$1=1),$A202,$A202+1),COLUMN('1-DATA'!C200)),IF($B202="STD. DEVIATION",2,$F$1))))</f>
        <v/>
      </c>
      <c r="E202" s="1" t="str">
        <f>IF(OR($B202="",E$7=""),"",IF($B202="MEANS",INDEX('1-DATA'!$1:$1048576,$A201-1,COLUMN('1-DATA'!D200)),ROUND(INDEX('1-DATA'!$1:$1048576,IF(OR($B202="STD. DEVIATION",$C$1=1),$A202,$A202+1),COLUMN('1-DATA'!D200)),IF($B202="STD. DEVIATION",2,$F$1))))</f>
        <v/>
      </c>
      <c r="F202" s="1" t="str">
        <f>IF(OR($B202="",F$7=""),"",IF($B202="MEANS",INDEX('1-DATA'!$1:$1048576,$A201-1,COLUMN('1-DATA'!E200)),ROUND(INDEX('1-DATA'!$1:$1048576,IF(OR($B202="STD. DEVIATION",$C$1=1),$A202,$A202+1),COLUMN('1-DATA'!E200)),IF($B202="STD. DEVIATION",2,$F$1))))</f>
        <v/>
      </c>
      <c r="G202" s="1" t="str">
        <f>IF(OR($B202="",G$7=""),"",IF($B202="MEANS",INDEX('1-DATA'!$1:$1048576,$A201-1,COLUMN('1-DATA'!F200)),ROUND(INDEX('1-DATA'!$1:$1048576,IF(OR($B202="STD. DEVIATION",$C$1=1),$A202,$A202+1),COLUMN('1-DATA'!F200)),IF($B202="STD. DEVIATION",2,$F$1))))</f>
        <v/>
      </c>
      <c r="H202" s="1" t="str">
        <f>IF(OR($B202="",H$7=""),"",IF($B202="MEANS",INDEX('1-DATA'!$1:$1048576,$A201-1,COLUMN('1-DATA'!G200)),ROUND(INDEX('1-DATA'!$1:$1048576,IF(OR($B202="STD. DEVIATION",$C$1=1),$A202,$A202+1),COLUMN('1-DATA'!G200)),IF($B202="STD. DEVIATION",2,$F$1))))</f>
        <v/>
      </c>
      <c r="I202" s="1" t="str">
        <f>IF(OR($B202="",I$7=""),"",IF($B202="MEANS",INDEX('1-DATA'!$1:$1048576,$A201-1,COLUMN('1-DATA'!H200)),ROUND(INDEX('1-DATA'!$1:$1048576,IF(OR($B202="STD. DEVIATION",$C$1=1),$A202,$A202+1),COLUMN('1-DATA'!H200)),IF($B202="STD. DEVIATION",2,$F$1))))</f>
        <v/>
      </c>
      <c r="J202" s="1" t="str">
        <f>IF(OR($B202="",J$7=""),"",IF($B202="MEANS",INDEX('1-DATA'!$1:$1048576,$A201-1,COLUMN('1-DATA'!I200)),ROUND(INDEX('1-DATA'!$1:$1048576,IF(OR($B202="STD. DEVIATION",$C$1=1),$A202,$A202+1),COLUMN('1-DATA'!I200)),IF($B202="STD. DEVIATION",2,$F$1))))</f>
        <v/>
      </c>
      <c r="K202" s="1" t="str">
        <f>IF(OR($B202="",K$7=""),"",IF($B202="MEANS",INDEX('1-DATA'!$1:$1048576,$A201-1,COLUMN('1-DATA'!J200)),ROUND(INDEX('1-DATA'!$1:$1048576,IF(OR($B202="STD. DEVIATION",$C$1=1),$A202,$A202+1),COLUMN('1-DATA'!J200)),IF($B202="STD. DEVIATION",2,$F$1))))</f>
        <v/>
      </c>
      <c r="L202" s="1" t="str">
        <f>IF(OR($B202="",L$7=""),"",IF($B202="MEANS",INDEX('1-DATA'!$1:$1048576,$A201-1,COLUMN('1-DATA'!K200)),ROUND(INDEX('1-DATA'!$1:$1048576,IF(OR($B202="STD. DEVIATION",$C$1=1),$A202,$A202+1),COLUMN('1-DATA'!K200)),IF($B202="STD. DEVIATION",2,$F$1))))</f>
        <v/>
      </c>
      <c r="M202" s="1" t="str">
        <f>IF(OR($B202="",M$7=""),"",IF($B202="MEANS",INDEX('1-DATA'!$1:$1048576,$A201-1,COLUMN('1-DATA'!L200)),ROUND(INDEX('1-DATA'!$1:$1048576,IF(OR($B202="STD. DEVIATION",$C$1=1),$A202,$A202+1),COLUMN('1-DATA'!L200)),IF($B202="STD. DEVIATION",2,$F$1))))</f>
        <v/>
      </c>
      <c r="N202" s="1" t="str">
        <f>IF(OR($B202="",N$7=""),"",IF($B202="MEANS",INDEX('1-DATA'!$1:$1048576,$A201-1,COLUMN('1-DATA'!M200)),ROUND(INDEX('1-DATA'!$1:$1048576,IF(OR($B202="STD. DEVIATION",$C$1=1),$A202,$A202+1),COLUMN('1-DATA'!M200)),IF($B202="STD. DEVIATION",2,$F$1))))</f>
        <v/>
      </c>
      <c r="O202" s="1" t="str">
        <f>IF(OR($B202="",O$7=""),"",IF($B202="MEANS",INDEX('1-DATA'!$1:$1048576,$A201-1,COLUMN('1-DATA'!N200)),ROUND(INDEX('1-DATA'!$1:$1048576,IF(OR($B202="STD. DEVIATION",$C$1=1),$A202,$A202+1),COLUMN('1-DATA'!N200)),IF($B202="STD. DEVIATION",2,$F$1))))</f>
        <v/>
      </c>
      <c r="P202" s="1" t="str">
        <f>IF(OR($B202="",P$7=""),"",IF($B202="MEANS",INDEX('1-DATA'!$1:$1048576,$A201-1,COLUMN('1-DATA'!O200)),ROUND(INDEX('1-DATA'!$1:$1048576,IF(OR($B202="STD. DEVIATION",$C$1=1),$A202,$A202+1),COLUMN('1-DATA'!O200)),IF($B202="STD. DEVIATION",2,$F$1))))</f>
        <v/>
      </c>
      <c r="Q202" s="1" t="str">
        <f>IF(OR($B202="",Q$7=""),"",IF($B202="MEANS",INDEX('1-DATA'!$1:$1048576,$A201-1,COLUMN('1-DATA'!P200)),ROUND(INDEX('1-DATA'!$1:$1048576,IF(OR($B202="STD. DEVIATION",$C$1=1),$A202,$A202+1),COLUMN('1-DATA'!P200)),IF($B202="STD. DEVIATION",2,$F$1))))</f>
        <v/>
      </c>
      <c r="R202" s="1" t="str">
        <f>IF(OR($B202="",R$7=""),"",IF($B202="MEANS",INDEX('1-DATA'!$1:$1048576,$A201-1,COLUMN('1-DATA'!Q200)),ROUND(INDEX('1-DATA'!$1:$1048576,IF(OR($B202="STD. DEVIATION",$C$1=1),$A202,$A202+1),COLUMN('1-DATA'!Q200)),IF($B202="STD. DEVIATION",2,$F$1))))</f>
        <v/>
      </c>
      <c r="S202" s="1" t="str">
        <f>IF(OR($B202="",S$7=""),"",IF($B202="MEANS",INDEX('1-DATA'!$1:$1048576,$A201-1,COLUMN('1-DATA'!R200)),ROUND(INDEX('1-DATA'!$1:$1048576,IF(OR($B202="STD. DEVIATION",$C$1=1),$A202,$A202+1),COLUMN('1-DATA'!R200)),IF($B202="STD. DEVIATION",2,$F$1))))</f>
        <v/>
      </c>
      <c r="T202" s="1" t="str">
        <f>IF(OR($B202="",T$7=""),"",IF($B202="MEANS",INDEX('1-DATA'!$1:$1048576,$A201-1,COLUMN('1-DATA'!S200)),ROUND(INDEX('1-DATA'!$1:$1048576,IF(OR($B202="STD. DEVIATION",$C$1=1),$A202,$A202+1),COLUMN('1-DATA'!S200)),IF($B202="STD. DEVIATION",2,$F$1))))</f>
        <v/>
      </c>
      <c r="U202" s="1" t="str">
        <f>IF(OR($B202="",U$7=""),"",IF($B202="MEANS",INDEX('1-DATA'!$1:$1048576,$A201-1,COLUMN('1-DATA'!T200)),ROUND(INDEX('1-DATA'!$1:$1048576,IF(OR($B202="STD. DEVIATION",$C$1=1),$A202,$A202+1),COLUMN('1-DATA'!T200)),IF($B202="STD. DEVIATION",2,$F$1))))</f>
        <v/>
      </c>
      <c r="V202" s="1" t="str">
        <f>IF(OR($B202="",V$7=""),"",IF($B202="MEANS",INDEX('1-DATA'!$1:$1048576,$A201-1,COLUMN('1-DATA'!U200)),ROUND(INDEX('1-DATA'!$1:$1048576,IF(OR($B202="STD. DEVIATION",$C$1=1),$A202,$A202+1),COLUMN('1-DATA'!U200)),IF($B202="STD. DEVIATION",2,$F$1))))</f>
        <v/>
      </c>
      <c r="W202" s="1" t="str">
        <f>IF(OR($B202="",W$7=""),"",IF($B202="MEANS",INDEX('1-DATA'!$1:$1048576,$A201-1,COLUMN('1-DATA'!V200)),ROUND(INDEX('1-DATA'!$1:$1048576,IF(OR($B202="STD. DEVIATION",$C$1=1),$A202,$A202+1),COLUMN('1-DATA'!V200)),IF($B202="STD. DEVIATION",2,$F$1))))</f>
        <v/>
      </c>
      <c r="X202" s="1" t="str">
        <f>IF(OR($B202="",X$7=""),"",IF($B202="MEANS",INDEX('1-DATA'!$1:$1048576,$A201-1,COLUMN('1-DATA'!W200)),ROUND(INDEX('1-DATA'!$1:$1048576,IF(OR($B202="STD. DEVIATION",$C$1=1),$A202,$A202+1),COLUMN('1-DATA'!W200)),IF($B202="STD. DEVIATION",2,$F$1))))</f>
        <v/>
      </c>
      <c r="Y202" s="1" t="str">
        <f>IF(OR($B202="",Y$7=""),"",IF($B202="MEANS",INDEX('1-DATA'!$1:$1048576,$A201-1,COLUMN('1-DATA'!X200)),ROUND(INDEX('1-DATA'!$1:$1048576,IF(OR($B202="STD. DEVIATION",$C$1=1),$A202,$A202+1),COLUMN('1-DATA'!X200)),IF($B202="STD. DEVIATION",2,$F$1))))</f>
        <v/>
      </c>
      <c r="Z202" s="1" t="str">
        <f>IF(OR($B202="",Z$7=""),"",IF($B202="MEANS",INDEX('1-DATA'!$1:$1048576,$A201-1,COLUMN('1-DATA'!Y200)),ROUND(INDEX('1-DATA'!$1:$1048576,IF(OR($B202="STD. DEVIATION",$C$1=1),$A202,$A202+1),COLUMN('1-DATA'!Y200)),IF($B202="STD. DEVIATION",2,$F$1))))</f>
        <v/>
      </c>
      <c r="AA202" s="1" t="str">
        <f>IF(OR($B202="",AA$7=""),"",IF($B202="MEANS",INDEX('1-DATA'!$1:$1048576,$A201-1,COLUMN('1-DATA'!Z200)),ROUND(INDEX('1-DATA'!$1:$1048576,IF(OR($B202="STD. DEVIATION",$C$1=1),$A202,$A202+1),COLUMN('1-DATA'!Z200)),IF($B202="STD. DEVIATION",2,$F$1))))</f>
        <v/>
      </c>
      <c r="AB202" s="1" t="str">
        <f>IF(OR($B202="",AB$7=""),"",IF($B202="MEANS",INDEX('1-DATA'!$1:$1048576,$A201-1,COLUMN('1-DATA'!AA200)),ROUND(INDEX('1-DATA'!$1:$1048576,IF(OR($B202="STD. DEVIATION",$C$1=1),$A202,$A202+1),COLUMN('1-DATA'!AA200)),IF($B202="STD. DEVIATION",2,$F$1))))</f>
        <v/>
      </c>
      <c r="AC202" s="1" t="str">
        <f>IF(OR($B202="",AC$7=""),"",IF($B202="MEANS",INDEX('1-DATA'!$1:$1048576,$A201-1,COLUMN('1-DATA'!AB200)),ROUND(INDEX('1-DATA'!$1:$1048576,IF(OR($B202="STD. DEVIATION",$C$1=1),$A202,$A202+1),COLUMN('1-DATA'!AB200)),IF($B202="STD. DEVIATION",2,$F$1))))</f>
        <v/>
      </c>
      <c r="AD202" s="1" t="str">
        <f>IF(OR($B202="",AD$7=""),"",IF($B202="MEANS",INDEX('1-DATA'!$1:$1048576,$A201-1,COLUMN('1-DATA'!AC200)),ROUND(INDEX('1-DATA'!$1:$1048576,IF(OR($B202="STD. DEVIATION",$C$1=1),$A202,$A202+1),COLUMN('1-DATA'!AC200)),IF($B202="STD. DEVIATION",2,$F$1))))</f>
        <v/>
      </c>
      <c r="AE202" s="1" t="str">
        <f>IF(OR($B202="",AE$7=""),"",IF($B202="MEANS",INDEX('1-DATA'!$1:$1048576,$A201-1,COLUMN('1-DATA'!AD200)),ROUND(INDEX('1-DATA'!$1:$1048576,IF(OR($B202="STD. DEVIATION",$C$1=1),$A202,$A202+1),COLUMN('1-DATA'!AD200)),IF($B202="STD. DEVIATION",2,$F$1))))</f>
        <v/>
      </c>
      <c r="AF202" s="1" t="str">
        <f>IF(OR($B202="",AF$7=""),"",IF($B202="MEANS",INDEX('1-DATA'!$1:$1048576,$A201-1,COLUMN('1-DATA'!AE200)),ROUND(INDEX('1-DATA'!$1:$1048576,IF(OR($B202="STD. DEVIATION",$C$1=1),$A202,$A202+1),COLUMN('1-DATA'!AE200)),IF($B202="STD. DEVIATION",2,$F$1))))</f>
        <v/>
      </c>
      <c r="AG202" s="1" t="str">
        <f>IF(OR($B202="",AG$7=""),"",IF($B202="MEANS",INDEX('1-DATA'!$1:$1048576,$A201-1,COLUMN('1-DATA'!AF200)),ROUND(INDEX('1-DATA'!$1:$1048576,IF(OR($B202="STD. DEVIATION",$C$1=1),$A202,$A202+1),COLUMN('1-DATA'!AF200)),IF($B202="STD. DEVIATION",2,$F$1))))</f>
        <v/>
      </c>
      <c r="AH202" s="1" t="str">
        <f>IF(OR($B202="",AH$7=""),"",IF($B202="MEANS",INDEX('1-DATA'!$1:$1048576,$A201-1,COLUMN('1-DATA'!AG200)),ROUND(INDEX('1-DATA'!$1:$1048576,IF(OR($B202="STD. DEVIATION",$C$1=1),$A202,$A202+1),COLUMN('1-DATA'!AG200)),IF($B202="STD. DEVIATION",2,$F$1))))</f>
        <v/>
      </c>
      <c r="AI202" s="1" t="str">
        <f>IF(OR($B202="",AI$7=""),"",IF($B202="MEANS",INDEX('1-DATA'!$1:$1048576,$A201-1,COLUMN('1-DATA'!AH200)),ROUND(INDEX('1-DATA'!$1:$1048576,IF(OR($B202="STD. DEVIATION",$C$1=1),$A202,$A202+1),COLUMN('1-DATA'!AH200)),IF($B202="STD. DEVIATION",2,$F$1))))</f>
        <v/>
      </c>
      <c r="AJ202" s="1" t="str">
        <f>IF(OR($B202="",AJ$7=""),"",IF($B202="MEANS",INDEX('1-DATA'!$1:$1048576,$A201-1,COLUMN('1-DATA'!AI200)),ROUND(INDEX('1-DATA'!$1:$1048576,IF(OR($B202="STD. DEVIATION",$C$1=1),$A202,$A202+1),COLUMN('1-DATA'!AI200)),IF($B202="STD. DEVIATION",2,$F$1))))</f>
        <v/>
      </c>
      <c r="AK202" s="1" t="str">
        <f>IF(OR($B202="",AK$7=""),"",IF($B202="MEANS",INDEX('1-DATA'!$1:$1048576,$A201-1,COLUMN('1-DATA'!AJ200)),ROUND(INDEX('1-DATA'!$1:$1048576,IF(OR($B202="STD. DEVIATION",$C$1=1),$A202,$A202+1),COLUMN('1-DATA'!AJ200)),IF($B202="STD. DEVIATION",2,$F$1))))</f>
        <v/>
      </c>
      <c r="AL202" s="1" t="str">
        <f>IF(OR($B202="",AL$7=""),"",IF($B202="MEANS",INDEX('1-DATA'!$1:$1048576,$A201-1,COLUMN('1-DATA'!AK200)),ROUND(INDEX('1-DATA'!$1:$1048576,IF(OR($B202="STD. DEVIATION",$C$1=1),$A202,$A202+1),COLUMN('1-DATA'!AK200)),IF($B202="STD. DEVIATION",2,$F$1))))</f>
        <v/>
      </c>
      <c r="AM202" s="1" t="str">
        <f>IF(OR($B202="",AM$7=""),"",IF($B202="MEANS",INDEX('1-DATA'!$1:$1048576,$A201-1,COLUMN('1-DATA'!AL200)),ROUND(INDEX('1-DATA'!$1:$1048576,IF(OR($B202="STD. DEVIATION",$C$1=1),$A202,$A202+1),COLUMN('1-DATA'!AL200)),IF($B202="STD. DEVIATION",2,$F$1))))</f>
        <v/>
      </c>
      <c r="AN202" s="1" t="str">
        <f>IF(OR($B202="",AN$7=""),"",IF($B202="MEANS",INDEX('1-DATA'!$1:$1048576,$A201-1,COLUMN('1-DATA'!AM200)),ROUND(INDEX('1-DATA'!$1:$1048576,IF(OR($B202="STD. DEVIATION",$C$1=1),$A202,$A202+1),COLUMN('1-DATA'!AM200)),IF($B202="STD. DEVIATION",2,$F$1))))</f>
        <v/>
      </c>
      <c r="AO202" s="1" t="str">
        <f>IF(OR($B202="",AO$7=""),"",IF($B202="MEANS",INDEX('1-DATA'!$1:$1048576,$A201-1,COLUMN('1-DATA'!AN200)),ROUND(INDEX('1-DATA'!$1:$1048576,IF(OR($B202="STD. DEVIATION",$C$1=1),$A202,$A202+1),COLUMN('1-DATA'!AN200)),IF($B202="STD. DEVIATION",2,$F$1))))</f>
        <v/>
      </c>
      <c r="AP202" s="1" t="str">
        <f>IF(OR($B202="",AP$7=""),"",IF($B202="MEANS",INDEX('1-DATA'!$1:$1048576,$A201-1,COLUMN('1-DATA'!AO200)),ROUND(INDEX('1-DATA'!$1:$1048576,IF(OR($B202="STD. DEVIATION",$C$1=1),$A202,$A202+1),COLUMN('1-DATA'!AO200)),IF($B202="STD. DEVIATION",2,$F$1))))</f>
        <v/>
      </c>
      <c r="AQ202" s="1" t="str">
        <f>IF(OR($B202="",AQ$7=""),"",IF($B202="MEANS",INDEX('1-DATA'!$1:$1048576,$A201-1,COLUMN('1-DATA'!AP200)),ROUND(INDEX('1-DATA'!$1:$1048576,IF(OR($B202="STD. DEVIATION",$C$1=1),$A202,$A202+1),COLUMN('1-DATA'!AP200)),IF($B202="STD. DEVIATION",2,$F$1))))</f>
        <v/>
      </c>
      <c r="AR202" s="1" t="str">
        <f>IF(OR($B202="",AR$7=""),"",IF($B202="MEANS",INDEX('1-DATA'!$1:$1048576,$A201-1,COLUMN('1-DATA'!AQ200)),ROUND(INDEX('1-DATA'!$1:$1048576,IF(OR($B202="STD. DEVIATION",$C$1=1),$A202,$A202+1),COLUMN('1-DATA'!AQ200)),IF($B202="STD. DEVIATION",2,$F$1))))</f>
        <v/>
      </c>
      <c r="AS202" s="1" t="str">
        <f>IF(OR($B202="",AS$7=""),"",IF($B202="MEANS",INDEX('1-DATA'!$1:$1048576,$A201-1,COLUMN('1-DATA'!AR200)),ROUND(INDEX('1-DATA'!$1:$1048576,IF(OR($B202="STD. DEVIATION",$C$1=1),$A202,$A202+1),COLUMN('1-DATA'!AR200)),IF($B202="STD. DEVIATION",2,$F$1))))</f>
        <v/>
      </c>
      <c r="AT202" s="1" t="str">
        <f>IF(OR($B202="",AT$7=""),"",IF($B202="MEANS",INDEX('1-DATA'!$1:$1048576,$A201-1,COLUMN('1-DATA'!AS200)),ROUND(INDEX('1-DATA'!$1:$1048576,IF(OR($B202="STD. DEVIATION",$C$1=1),$A202,$A202+1),COLUMN('1-DATA'!AS200)),IF($B202="STD. DEVIATION",2,$F$1))))</f>
        <v/>
      </c>
      <c r="AU202" s="1" t="str">
        <f>IF(OR($B202="",AU$7=""),"",IF($B202="MEANS",INDEX('1-DATA'!$1:$1048576,$A201-1,COLUMN('1-DATA'!AT200)),ROUND(INDEX('1-DATA'!$1:$1048576,IF(OR($B202="STD. DEVIATION",$C$1=1),$A202,$A202+1),COLUMN('1-DATA'!AT200)),IF($B202="STD. DEVIATION",2,$F$1))))</f>
        <v/>
      </c>
      <c r="AV202" s="1" t="str">
        <f>IF(OR($B202="",AV$7=""),"",IF($B202="MEANS",INDEX('1-DATA'!$1:$1048576,$A201-1,COLUMN('1-DATA'!AU200)),ROUND(INDEX('1-DATA'!$1:$1048576,IF(OR($B202="STD. DEVIATION",$C$1=1),$A202,$A202+1),COLUMN('1-DATA'!AU200)),IF($B202="STD. DEVIATION",2,$F$1))))</f>
        <v/>
      </c>
      <c r="AW202" s="1" t="str">
        <f>IF(OR($B202="",AW$7=""),"",IF($B202="MEANS",INDEX('1-DATA'!$1:$1048576,$A201-1,COLUMN('1-DATA'!AV200)),ROUND(INDEX('1-DATA'!$1:$1048576,IF(OR($B202="STD. DEVIATION",$C$1=1),$A202,$A202+1),COLUMN('1-DATA'!AV200)),IF($B202="STD. DEVIATION",2,$F$1))))</f>
        <v/>
      </c>
      <c r="AX202" s="1" t="str">
        <f>IF(OR($B202="",AX$7=""),"",IF($B202="MEANS",INDEX('1-DATA'!$1:$1048576,$A201-1,COLUMN('1-DATA'!AW200)),ROUND(INDEX('1-DATA'!$1:$1048576,IF(OR($B202="STD. DEVIATION",$C$1=1),$A202,$A202+1),COLUMN('1-DATA'!AW200)),IF($B202="STD. DEVIATION",2,$F$1))))</f>
        <v/>
      </c>
      <c r="AY202" s="1" t="str">
        <f>IF(OR($B202="",AY$7=""),"",IF($B202="MEANS",INDEX('1-DATA'!$1:$1048576,$A201-1,COLUMN('1-DATA'!AX200)),ROUND(INDEX('1-DATA'!$1:$1048576,IF(OR($B202="STD. DEVIATION",$C$1=1),$A202,$A202+1),COLUMN('1-DATA'!AX200)),IF($B202="STD. DEVIATION",2,$F$1))))</f>
        <v/>
      </c>
      <c r="AZ202" s="1" t="str">
        <f>IF(OR($B202="",AZ$7=""),"",IF($B202="MEANS",INDEX('1-DATA'!$1:$1048576,$A201-1,COLUMN('1-DATA'!AY200)),ROUND(INDEX('1-DATA'!$1:$1048576,IF(OR($B202="STD. DEVIATION",$C$1=1),$A202,$A202+1),COLUMN('1-DATA'!AY200)),IF($B202="STD. DEVIATION",2,$F$1))))</f>
        <v/>
      </c>
    </row>
    <row r="203" spans="1:52" x14ac:dyDescent="0.25">
      <c r="A203" s="11">
        <f t="shared" si="3"/>
        <v>595</v>
      </c>
      <c r="B203" s="1" t="str">
        <f>IF(B202="STD. DEVIATION",INDEX('1-DATA'!$1:$1048576,$A202-1,1),IF(INDEX('1-DATA'!$1:$1048576,$A203,1)&lt;&gt;"",INDEX('1-DATA'!$1:$1048576,$A203,1),""))</f>
        <v/>
      </c>
      <c r="C203" s="1" t="str">
        <f>IF(OR($B203="",C$7=""),"",IF($B203="MEANS",INDEX('1-DATA'!$1:$1048576,$A202-1,COLUMN('1-DATA'!B201)),ROUND(INDEX('1-DATA'!$1:$1048576,IF(OR($B203="STD. DEVIATION",$C$1=1),$A203,$A203+1),COLUMN('1-DATA'!B201)),IF($B203="STD. DEVIATION",2,$F$1))))</f>
        <v/>
      </c>
      <c r="D203" s="1" t="str">
        <f>IF(OR($B203="",D$7=""),"",IF($B203="MEANS",INDEX('1-DATA'!$1:$1048576,$A202-1,COLUMN('1-DATA'!C201)),ROUND(INDEX('1-DATA'!$1:$1048576,IF(OR($B203="STD. DEVIATION",$C$1=1),$A203,$A203+1),COLUMN('1-DATA'!C201)),IF($B203="STD. DEVIATION",2,$F$1))))</f>
        <v/>
      </c>
      <c r="E203" s="1" t="str">
        <f>IF(OR($B203="",E$7=""),"",IF($B203="MEANS",INDEX('1-DATA'!$1:$1048576,$A202-1,COLUMN('1-DATA'!D201)),ROUND(INDEX('1-DATA'!$1:$1048576,IF(OR($B203="STD. DEVIATION",$C$1=1),$A203,$A203+1),COLUMN('1-DATA'!D201)),IF($B203="STD. DEVIATION",2,$F$1))))</f>
        <v/>
      </c>
      <c r="F203" s="1" t="str">
        <f>IF(OR($B203="",F$7=""),"",IF($B203="MEANS",INDEX('1-DATA'!$1:$1048576,$A202-1,COLUMN('1-DATA'!E201)),ROUND(INDEX('1-DATA'!$1:$1048576,IF(OR($B203="STD. DEVIATION",$C$1=1),$A203,$A203+1),COLUMN('1-DATA'!E201)),IF($B203="STD. DEVIATION",2,$F$1))))</f>
        <v/>
      </c>
      <c r="G203" s="1" t="str">
        <f>IF(OR($B203="",G$7=""),"",IF($B203="MEANS",INDEX('1-DATA'!$1:$1048576,$A202-1,COLUMN('1-DATA'!F201)),ROUND(INDEX('1-DATA'!$1:$1048576,IF(OR($B203="STD. DEVIATION",$C$1=1),$A203,$A203+1),COLUMN('1-DATA'!F201)),IF($B203="STD. DEVIATION",2,$F$1))))</f>
        <v/>
      </c>
      <c r="H203" s="1" t="str">
        <f>IF(OR($B203="",H$7=""),"",IF($B203="MEANS",INDEX('1-DATA'!$1:$1048576,$A202-1,COLUMN('1-DATA'!G201)),ROUND(INDEX('1-DATA'!$1:$1048576,IF(OR($B203="STD. DEVIATION",$C$1=1),$A203,$A203+1),COLUMN('1-DATA'!G201)),IF($B203="STD. DEVIATION",2,$F$1))))</f>
        <v/>
      </c>
      <c r="I203" s="1" t="str">
        <f>IF(OR($B203="",I$7=""),"",IF($B203="MEANS",INDEX('1-DATA'!$1:$1048576,$A202-1,COLUMN('1-DATA'!H201)),ROUND(INDEX('1-DATA'!$1:$1048576,IF(OR($B203="STD. DEVIATION",$C$1=1),$A203,$A203+1),COLUMN('1-DATA'!H201)),IF($B203="STD. DEVIATION",2,$F$1))))</f>
        <v/>
      </c>
      <c r="J203" s="1" t="str">
        <f>IF(OR($B203="",J$7=""),"",IF($B203="MEANS",INDEX('1-DATA'!$1:$1048576,$A202-1,COLUMN('1-DATA'!I201)),ROUND(INDEX('1-DATA'!$1:$1048576,IF(OR($B203="STD. DEVIATION",$C$1=1),$A203,$A203+1),COLUMN('1-DATA'!I201)),IF($B203="STD. DEVIATION",2,$F$1))))</f>
        <v/>
      </c>
      <c r="K203" s="1" t="str">
        <f>IF(OR($B203="",K$7=""),"",IF($B203="MEANS",INDEX('1-DATA'!$1:$1048576,$A202-1,COLUMN('1-DATA'!J201)),ROUND(INDEX('1-DATA'!$1:$1048576,IF(OR($B203="STD. DEVIATION",$C$1=1),$A203,$A203+1),COLUMN('1-DATA'!J201)),IF($B203="STD. DEVIATION",2,$F$1))))</f>
        <v/>
      </c>
      <c r="L203" s="1" t="str">
        <f>IF(OR($B203="",L$7=""),"",IF($B203="MEANS",INDEX('1-DATA'!$1:$1048576,$A202-1,COLUMN('1-DATA'!K201)),ROUND(INDEX('1-DATA'!$1:$1048576,IF(OR($B203="STD. DEVIATION",$C$1=1),$A203,$A203+1),COLUMN('1-DATA'!K201)),IF($B203="STD. DEVIATION",2,$F$1))))</f>
        <v/>
      </c>
      <c r="M203" s="1" t="str">
        <f>IF(OR($B203="",M$7=""),"",IF($B203="MEANS",INDEX('1-DATA'!$1:$1048576,$A202-1,COLUMN('1-DATA'!L201)),ROUND(INDEX('1-DATA'!$1:$1048576,IF(OR($B203="STD. DEVIATION",$C$1=1),$A203,$A203+1),COLUMN('1-DATA'!L201)),IF($B203="STD. DEVIATION",2,$F$1))))</f>
        <v/>
      </c>
      <c r="N203" s="1" t="str">
        <f>IF(OR($B203="",N$7=""),"",IF($B203="MEANS",INDEX('1-DATA'!$1:$1048576,$A202-1,COLUMN('1-DATA'!M201)),ROUND(INDEX('1-DATA'!$1:$1048576,IF(OR($B203="STD. DEVIATION",$C$1=1),$A203,$A203+1),COLUMN('1-DATA'!M201)),IF($B203="STD. DEVIATION",2,$F$1))))</f>
        <v/>
      </c>
      <c r="O203" s="1" t="str">
        <f>IF(OR($B203="",O$7=""),"",IF($B203="MEANS",INDEX('1-DATA'!$1:$1048576,$A202-1,COLUMN('1-DATA'!N201)),ROUND(INDEX('1-DATA'!$1:$1048576,IF(OR($B203="STD. DEVIATION",$C$1=1),$A203,$A203+1),COLUMN('1-DATA'!N201)),IF($B203="STD. DEVIATION",2,$F$1))))</f>
        <v/>
      </c>
      <c r="P203" s="1" t="str">
        <f>IF(OR($B203="",P$7=""),"",IF($B203="MEANS",INDEX('1-DATA'!$1:$1048576,$A202-1,COLUMN('1-DATA'!O201)),ROUND(INDEX('1-DATA'!$1:$1048576,IF(OR($B203="STD. DEVIATION",$C$1=1),$A203,$A203+1),COLUMN('1-DATA'!O201)),IF($B203="STD. DEVIATION",2,$F$1))))</f>
        <v/>
      </c>
      <c r="Q203" s="1" t="str">
        <f>IF(OR($B203="",Q$7=""),"",IF($B203="MEANS",INDEX('1-DATA'!$1:$1048576,$A202-1,COLUMN('1-DATA'!P201)),ROUND(INDEX('1-DATA'!$1:$1048576,IF(OR($B203="STD. DEVIATION",$C$1=1),$A203,$A203+1),COLUMN('1-DATA'!P201)),IF($B203="STD. DEVIATION",2,$F$1))))</f>
        <v/>
      </c>
      <c r="R203" s="1" t="str">
        <f>IF(OR($B203="",R$7=""),"",IF($B203="MEANS",INDEX('1-DATA'!$1:$1048576,$A202-1,COLUMN('1-DATA'!Q201)),ROUND(INDEX('1-DATA'!$1:$1048576,IF(OR($B203="STD. DEVIATION",$C$1=1),$A203,$A203+1),COLUMN('1-DATA'!Q201)),IF($B203="STD. DEVIATION",2,$F$1))))</f>
        <v/>
      </c>
      <c r="S203" s="1" t="str">
        <f>IF(OR($B203="",S$7=""),"",IF($B203="MEANS",INDEX('1-DATA'!$1:$1048576,$A202-1,COLUMN('1-DATA'!R201)),ROUND(INDEX('1-DATA'!$1:$1048576,IF(OR($B203="STD. DEVIATION",$C$1=1),$A203,$A203+1),COLUMN('1-DATA'!R201)),IF($B203="STD. DEVIATION",2,$F$1))))</f>
        <v/>
      </c>
      <c r="T203" s="1" t="str">
        <f>IF(OR($B203="",T$7=""),"",IF($B203="MEANS",INDEX('1-DATA'!$1:$1048576,$A202-1,COLUMN('1-DATA'!S201)),ROUND(INDEX('1-DATA'!$1:$1048576,IF(OR($B203="STD. DEVIATION",$C$1=1),$A203,$A203+1),COLUMN('1-DATA'!S201)),IF($B203="STD. DEVIATION",2,$F$1))))</f>
        <v/>
      </c>
      <c r="U203" s="1" t="str">
        <f>IF(OR($B203="",U$7=""),"",IF($B203="MEANS",INDEX('1-DATA'!$1:$1048576,$A202-1,COLUMN('1-DATA'!T201)),ROUND(INDEX('1-DATA'!$1:$1048576,IF(OR($B203="STD. DEVIATION",$C$1=1),$A203,$A203+1),COLUMN('1-DATA'!T201)),IF($B203="STD. DEVIATION",2,$F$1))))</f>
        <v/>
      </c>
      <c r="V203" s="1" t="str">
        <f>IF(OR($B203="",V$7=""),"",IF($B203="MEANS",INDEX('1-DATA'!$1:$1048576,$A202-1,COLUMN('1-DATA'!U201)),ROUND(INDEX('1-DATA'!$1:$1048576,IF(OR($B203="STD. DEVIATION",$C$1=1),$A203,$A203+1),COLUMN('1-DATA'!U201)),IF($B203="STD. DEVIATION",2,$F$1))))</f>
        <v/>
      </c>
      <c r="W203" s="1" t="str">
        <f>IF(OR($B203="",W$7=""),"",IF($B203="MEANS",INDEX('1-DATA'!$1:$1048576,$A202-1,COLUMN('1-DATA'!V201)),ROUND(INDEX('1-DATA'!$1:$1048576,IF(OR($B203="STD. DEVIATION",$C$1=1),$A203,$A203+1),COLUMN('1-DATA'!V201)),IF($B203="STD. DEVIATION",2,$F$1))))</f>
        <v/>
      </c>
      <c r="X203" s="1" t="str">
        <f>IF(OR($B203="",X$7=""),"",IF($B203="MEANS",INDEX('1-DATA'!$1:$1048576,$A202-1,COLUMN('1-DATA'!W201)),ROUND(INDEX('1-DATA'!$1:$1048576,IF(OR($B203="STD. DEVIATION",$C$1=1),$A203,$A203+1),COLUMN('1-DATA'!W201)),IF($B203="STD. DEVIATION",2,$F$1))))</f>
        <v/>
      </c>
      <c r="Y203" s="1" t="str">
        <f>IF(OR($B203="",Y$7=""),"",IF($B203="MEANS",INDEX('1-DATA'!$1:$1048576,$A202-1,COLUMN('1-DATA'!X201)),ROUND(INDEX('1-DATA'!$1:$1048576,IF(OR($B203="STD. DEVIATION",$C$1=1),$A203,$A203+1),COLUMN('1-DATA'!X201)),IF($B203="STD. DEVIATION",2,$F$1))))</f>
        <v/>
      </c>
      <c r="Z203" s="1" t="str">
        <f>IF(OR($B203="",Z$7=""),"",IF($B203="MEANS",INDEX('1-DATA'!$1:$1048576,$A202-1,COLUMN('1-DATA'!Y201)),ROUND(INDEX('1-DATA'!$1:$1048576,IF(OR($B203="STD. DEVIATION",$C$1=1),$A203,$A203+1),COLUMN('1-DATA'!Y201)),IF($B203="STD. DEVIATION",2,$F$1))))</f>
        <v/>
      </c>
      <c r="AA203" s="1" t="str">
        <f>IF(OR($B203="",AA$7=""),"",IF($B203="MEANS",INDEX('1-DATA'!$1:$1048576,$A202-1,COLUMN('1-DATA'!Z201)),ROUND(INDEX('1-DATA'!$1:$1048576,IF(OR($B203="STD. DEVIATION",$C$1=1),$A203,$A203+1),COLUMN('1-DATA'!Z201)),IF($B203="STD. DEVIATION",2,$F$1))))</f>
        <v/>
      </c>
      <c r="AB203" s="1" t="str">
        <f>IF(OR($B203="",AB$7=""),"",IF($B203="MEANS",INDEX('1-DATA'!$1:$1048576,$A202-1,COLUMN('1-DATA'!AA201)),ROUND(INDEX('1-DATA'!$1:$1048576,IF(OR($B203="STD. DEVIATION",$C$1=1),$A203,$A203+1),COLUMN('1-DATA'!AA201)),IF($B203="STD. DEVIATION",2,$F$1))))</f>
        <v/>
      </c>
      <c r="AC203" s="1" t="str">
        <f>IF(OR($B203="",AC$7=""),"",IF($B203="MEANS",INDEX('1-DATA'!$1:$1048576,$A202-1,COLUMN('1-DATA'!AB201)),ROUND(INDEX('1-DATA'!$1:$1048576,IF(OR($B203="STD. DEVIATION",$C$1=1),$A203,$A203+1),COLUMN('1-DATA'!AB201)),IF($B203="STD. DEVIATION",2,$F$1))))</f>
        <v/>
      </c>
      <c r="AD203" s="1" t="str">
        <f>IF(OR($B203="",AD$7=""),"",IF($B203="MEANS",INDEX('1-DATA'!$1:$1048576,$A202-1,COLUMN('1-DATA'!AC201)),ROUND(INDEX('1-DATA'!$1:$1048576,IF(OR($B203="STD. DEVIATION",$C$1=1),$A203,$A203+1),COLUMN('1-DATA'!AC201)),IF($B203="STD. DEVIATION",2,$F$1))))</f>
        <v/>
      </c>
      <c r="AE203" s="1" t="str">
        <f>IF(OR($B203="",AE$7=""),"",IF($B203="MEANS",INDEX('1-DATA'!$1:$1048576,$A202-1,COLUMN('1-DATA'!AD201)),ROUND(INDEX('1-DATA'!$1:$1048576,IF(OR($B203="STD. DEVIATION",$C$1=1),$A203,$A203+1),COLUMN('1-DATA'!AD201)),IF($B203="STD. DEVIATION",2,$F$1))))</f>
        <v/>
      </c>
      <c r="AF203" s="1" t="str">
        <f>IF(OR($B203="",AF$7=""),"",IF($B203="MEANS",INDEX('1-DATA'!$1:$1048576,$A202-1,COLUMN('1-DATA'!AE201)),ROUND(INDEX('1-DATA'!$1:$1048576,IF(OR($B203="STD. DEVIATION",$C$1=1),$A203,$A203+1),COLUMN('1-DATA'!AE201)),IF($B203="STD. DEVIATION",2,$F$1))))</f>
        <v/>
      </c>
      <c r="AG203" s="1" t="str">
        <f>IF(OR($B203="",AG$7=""),"",IF($B203="MEANS",INDEX('1-DATA'!$1:$1048576,$A202-1,COLUMN('1-DATA'!AF201)),ROUND(INDEX('1-DATA'!$1:$1048576,IF(OR($B203="STD. DEVIATION",$C$1=1),$A203,$A203+1),COLUMN('1-DATA'!AF201)),IF($B203="STD. DEVIATION",2,$F$1))))</f>
        <v/>
      </c>
      <c r="AH203" s="1" t="str">
        <f>IF(OR($B203="",AH$7=""),"",IF($B203="MEANS",INDEX('1-DATA'!$1:$1048576,$A202-1,COLUMN('1-DATA'!AG201)),ROUND(INDEX('1-DATA'!$1:$1048576,IF(OR($B203="STD. DEVIATION",$C$1=1),$A203,$A203+1),COLUMN('1-DATA'!AG201)),IF($B203="STD. DEVIATION",2,$F$1))))</f>
        <v/>
      </c>
      <c r="AI203" s="1" t="str">
        <f>IF(OR($B203="",AI$7=""),"",IF($B203="MEANS",INDEX('1-DATA'!$1:$1048576,$A202-1,COLUMN('1-DATA'!AH201)),ROUND(INDEX('1-DATA'!$1:$1048576,IF(OR($B203="STD. DEVIATION",$C$1=1),$A203,$A203+1),COLUMN('1-DATA'!AH201)),IF($B203="STD. DEVIATION",2,$F$1))))</f>
        <v/>
      </c>
      <c r="AJ203" s="1" t="str">
        <f>IF(OR($B203="",AJ$7=""),"",IF($B203="MEANS",INDEX('1-DATA'!$1:$1048576,$A202-1,COLUMN('1-DATA'!AI201)),ROUND(INDEX('1-DATA'!$1:$1048576,IF(OR($B203="STD. DEVIATION",$C$1=1),$A203,$A203+1),COLUMN('1-DATA'!AI201)),IF($B203="STD. DEVIATION",2,$F$1))))</f>
        <v/>
      </c>
      <c r="AK203" s="1" t="str">
        <f>IF(OR($B203="",AK$7=""),"",IF($B203="MEANS",INDEX('1-DATA'!$1:$1048576,$A202-1,COLUMN('1-DATA'!AJ201)),ROUND(INDEX('1-DATA'!$1:$1048576,IF(OR($B203="STD. DEVIATION",$C$1=1),$A203,$A203+1),COLUMN('1-DATA'!AJ201)),IF($B203="STD. DEVIATION",2,$F$1))))</f>
        <v/>
      </c>
      <c r="AL203" s="1" t="str">
        <f>IF(OR($B203="",AL$7=""),"",IF($B203="MEANS",INDEX('1-DATA'!$1:$1048576,$A202-1,COLUMN('1-DATA'!AK201)),ROUND(INDEX('1-DATA'!$1:$1048576,IF(OR($B203="STD. DEVIATION",$C$1=1),$A203,$A203+1),COLUMN('1-DATA'!AK201)),IF($B203="STD. DEVIATION",2,$F$1))))</f>
        <v/>
      </c>
      <c r="AM203" s="1" t="str">
        <f>IF(OR($B203="",AM$7=""),"",IF($B203="MEANS",INDEX('1-DATA'!$1:$1048576,$A202-1,COLUMN('1-DATA'!AL201)),ROUND(INDEX('1-DATA'!$1:$1048576,IF(OR($B203="STD. DEVIATION",$C$1=1),$A203,$A203+1),COLUMN('1-DATA'!AL201)),IF($B203="STD. DEVIATION",2,$F$1))))</f>
        <v/>
      </c>
      <c r="AN203" s="1" t="str">
        <f>IF(OR($B203="",AN$7=""),"",IF($B203="MEANS",INDEX('1-DATA'!$1:$1048576,$A202-1,COLUMN('1-DATA'!AM201)),ROUND(INDEX('1-DATA'!$1:$1048576,IF(OR($B203="STD. DEVIATION",$C$1=1),$A203,$A203+1),COLUMN('1-DATA'!AM201)),IF($B203="STD. DEVIATION",2,$F$1))))</f>
        <v/>
      </c>
      <c r="AO203" s="1" t="str">
        <f>IF(OR($B203="",AO$7=""),"",IF($B203="MEANS",INDEX('1-DATA'!$1:$1048576,$A202-1,COLUMN('1-DATA'!AN201)),ROUND(INDEX('1-DATA'!$1:$1048576,IF(OR($B203="STD. DEVIATION",$C$1=1),$A203,$A203+1),COLUMN('1-DATA'!AN201)),IF($B203="STD. DEVIATION",2,$F$1))))</f>
        <v/>
      </c>
      <c r="AP203" s="1" t="str">
        <f>IF(OR($B203="",AP$7=""),"",IF($B203="MEANS",INDEX('1-DATA'!$1:$1048576,$A202-1,COLUMN('1-DATA'!AO201)),ROUND(INDEX('1-DATA'!$1:$1048576,IF(OR($B203="STD. DEVIATION",$C$1=1),$A203,$A203+1),COLUMN('1-DATA'!AO201)),IF($B203="STD. DEVIATION",2,$F$1))))</f>
        <v/>
      </c>
      <c r="AQ203" s="1" t="str">
        <f>IF(OR($B203="",AQ$7=""),"",IF($B203="MEANS",INDEX('1-DATA'!$1:$1048576,$A202-1,COLUMN('1-DATA'!AP201)),ROUND(INDEX('1-DATA'!$1:$1048576,IF(OR($B203="STD. DEVIATION",$C$1=1),$A203,$A203+1),COLUMN('1-DATA'!AP201)),IF($B203="STD. DEVIATION",2,$F$1))))</f>
        <v/>
      </c>
      <c r="AR203" s="1" t="str">
        <f>IF(OR($B203="",AR$7=""),"",IF($B203="MEANS",INDEX('1-DATA'!$1:$1048576,$A202-1,COLUMN('1-DATA'!AQ201)),ROUND(INDEX('1-DATA'!$1:$1048576,IF(OR($B203="STD. DEVIATION",$C$1=1),$A203,$A203+1),COLUMN('1-DATA'!AQ201)),IF($B203="STD. DEVIATION",2,$F$1))))</f>
        <v/>
      </c>
      <c r="AS203" s="1" t="str">
        <f>IF(OR($B203="",AS$7=""),"",IF($B203="MEANS",INDEX('1-DATA'!$1:$1048576,$A202-1,COLUMN('1-DATA'!AR201)),ROUND(INDEX('1-DATA'!$1:$1048576,IF(OR($B203="STD. DEVIATION",$C$1=1),$A203,$A203+1),COLUMN('1-DATA'!AR201)),IF($B203="STD. DEVIATION",2,$F$1))))</f>
        <v/>
      </c>
      <c r="AT203" s="1" t="str">
        <f>IF(OR($B203="",AT$7=""),"",IF($B203="MEANS",INDEX('1-DATA'!$1:$1048576,$A202-1,COLUMN('1-DATA'!AS201)),ROUND(INDEX('1-DATA'!$1:$1048576,IF(OR($B203="STD. DEVIATION",$C$1=1),$A203,$A203+1),COLUMN('1-DATA'!AS201)),IF($B203="STD. DEVIATION",2,$F$1))))</f>
        <v/>
      </c>
      <c r="AU203" s="1" t="str">
        <f>IF(OR($B203="",AU$7=""),"",IF($B203="MEANS",INDEX('1-DATA'!$1:$1048576,$A202-1,COLUMN('1-DATA'!AT201)),ROUND(INDEX('1-DATA'!$1:$1048576,IF(OR($B203="STD. DEVIATION",$C$1=1),$A203,$A203+1),COLUMN('1-DATA'!AT201)),IF($B203="STD. DEVIATION",2,$F$1))))</f>
        <v/>
      </c>
      <c r="AV203" s="1" t="str">
        <f>IF(OR($B203="",AV$7=""),"",IF($B203="MEANS",INDEX('1-DATA'!$1:$1048576,$A202-1,COLUMN('1-DATA'!AU201)),ROUND(INDEX('1-DATA'!$1:$1048576,IF(OR($B203="STD. DEVIATION",$C$1=1),$A203,$A203+1),COLUMN('1-DATA'!AU201)),IF($B203="STD. DEVIATION",2,$F$1))))</f>
        <v/>
      </c>
      <c r="AW203" s="1" t="str">
        <f>IF(OR($B203="",AW$7=""),"",IF($B203="MEANS",INDEX('1-DATA'!$1:$1048576,$A202-1,COLUMN('1-DATA'!AV201)),ROUND(INDEX('1-DATA'!$1:$1048576,IF(OR($B203="STD. DEVIATION",$C$1=1),$A203,$A203+1),COLUMN('1-DATA'!AV201)),IF($B203="STD. DEVIATION",2,$F$1))))</f>
        <v/>
      </c>
      <c r="AX203" s="1" t="str">
        <f>IF(OR($B203="",AX$7=""),"",IF($B203="MEANS",INDEX('1-DATA'!$1:$1048576,$A202-1,COLUMN('1-DATA'!AW201)),ROUND(INDEX('1-DATA'!$1:$1048576,IF(OR($B203="STD. DEVIATION",$C$1=1),$A203,$A203+1),COLUMN('1-DATA'!AW201)),IF($B203="STD. DEVIATION",2,$F$1))))</f>
        <v/>
      </c>
      <c r="AY203" s="1" t="str">
        <f>IF(OR($B203="",AY$7=""),"",IF($B203="MEANS",INDEX('1-DATA'!$1:$1048576,$A202-1,COLUMN('1-DATA'!AX201)),ROUND(INDEX('1-DATA'!$1:$1048576,IF(OR($B203="STD. DEVIATION",$C$1=1),$A203,$A203+1),COLUMN('1-DATA'!AX201)),IF($B203="STD. DEVIATION",2,$F$1))))</f>
        <v/>
      </c>
      <c r="AZ203" s="1" t="str">
        <f>IF(OR($B203="",AZ$7=""),"",IF($B203="MEANS",INDEX('1-DATA'!$1:$1048576,$A202-1,COLUMN('1-DATA'!AY201)),ROUND(INDEX('1-DATA'!$1:$1048576,IF(OR($B203="STD. DEVIATION",$C$1=1),$A203,$A203+1),COLUMN('1-DATA'!AY201)),IF($B203="STD. DEVIATION",2,$F$1))))</f>
        <v/>
      </c>
    </row>
    <row r="204" spans="1:52" x14ac:dyDescent="0.25">
      <c r="A204" s="11">
        <f t="shared" si="3"/>
        <v>598</v>
      </c>
      <c r="B204" s="1" t="str">
        <f>IF(B203="STD. DEVIATION",INDEX('1-DATA'!$1:$1048576,$A203-1,1),IF(INDEX('1-DATA'!$1:$1048576,$A204,1)&lt;&gt;"",INDEX('1-DATA'!$1:$1048576,$A204,1),""))</f>
        <v/>
      </c>
      <c r="C204" s="1" t="str">
        <f>IF(OR($B204="",C$7=""),"",IF($B204="MEANS",INDEX('1-DATA'!$1:$1048576,$A203-1,COLUMN('1-DATA'!B202)),ROUND(INDEX('1-DATA'!$1:$1048576,IF(OR($B204="STD. DEVIATION",$C$1=1),$A204,$A204+1),COLUMN('1-DATA'!B202)),IF($B204="STD. DEVIATION",2,$F$1))))</f>
        <v/>
      </c>
      <c r="D204" s="1" t="str">
        <f>IF(OR($B204="",D$7=""),"",IF($B204="MEANS",INDEX('1-DATA'!$1:$1048576,$A203-1,COLUMN('1-DATA'!C202)),ROUND(INDEX('1-DATA'!$1:$1048576,IF(OR($B204="STD. DEVIATION",$C$1=1),$A204,$A204+1),COLUMN('1-DATA'!C202)),IF($B204="STD. DEVIATION",2,$F$1))))</f>
        <v/>
      </c>
      <c r="E204" s="1" t="str">
        <f>IF(OR($B204="",E$7=""),"",IF($B204="MEANS",INDEX('1-DATA'!$1:$1048576,$A203-1,COLUMN('1-DATA'!D202)),ROUND(INDEX('1-DATA'!$1:$1048576,IF(OR($B204="STD. DEVIATION",$C$1=1),$A204,$A204+1),COLUMN('1-DATA'!D202)),IF($B204="STD. DEVIATION",2,$F$1))))</f>
        <v/>
      </c>
      <c r="F204" s="1" t="str">
        <f>IF(OR($B204="",F$7=""),"",IF($B204="MEANS",INDEX('1-DATA'!$1:$1048576,$A203-1,COLUMN('1-DATA'!E202)),ROUND(INDEX('1-DATA'!$1:$1048576,IF(OR($B204="STD. DEVIATION",$C$1=1),$A204,$A204+1),COLUMN('1-DATA'!E202)),IF($B204="STD. DEVIATION",2,$F$1))))</f>
        <v/>
      </c>
      <c r="G204" s="1" t="str">
        <f>IF(OR($B204="",G$7=""),"",IF($B204="MEANS",INDEX('1-DATA'!$1:$1048576,$A203-1,COLUMN('1-DATA'!F202)),ROUND(INDEX('1-DATA'!$1:$1048576,IF(OR($B204="STD. DEVIATION",$C$1=1),$A204,$A204+1),COLUMN('1-DATA'!F202)),IF($B204="STD. DEVIATION",2,$F$1))))</f>
        <v/>
      </c>
      <c r="H204" s="1" t="str">
        <f>IF(OR($B204="",H$7=""),"",IF($B204="MEANS",INDEX('1-DATA'!$1:$1048576,$A203-1,COLUMN('1-DATA'!G202)),ROUND(INDEX('1-DATA'!$1:$1048576,IF(OR($B204="STD. DEVIATION",$C$1=1),$A204,$A204+1),COLUMN('1-DATA'!G202)),IF($B204="STD. DEVIATION",2,$F$1))))</f>
        <v/>
      </c>
      <c r="I204" s="1" t="str">
        <f>IF(OR($B204="",I$7=""),"",IF($B204="MEANS",INDEX('1-DATA'!$1:$1048576,$A203-1,COLUMN('1-DATA'!H202)),ROUND(INDEX('1-DATA'!$1:$1048576,IF(OR($B204="STD. DEVIATION",$C$1=1),$A204,$A204+1),COLUMN('1-DATA'!H202)),IF($B204="STD. DEVIATION",2,$F$1))))</f>
        <v/>
      </c>
      <c r="J204" s="1" t="str">
        <f>IF(OR($B204="",J$7=""),"",IF($B204="MEANS",INDEX('1-DATA'!$1:$1048576,$A203-1,COLUMN('1-DATA'!I202)),ROUND(INDEX('1-DATA'!$1:$1048576,IF(OR($B204="STD. DEVIATION",$C$1=1),$A204,$A204+1),COLUMN('1-DATA'!I202)),IF($B204="STD. DEVIATION",2,$F$1))))</f>
        <v/>
      </c>
      <c r="K204" s="1" t="str">
        <f>IF(OR($B204="",K$7=""),"",IF($B204="MEANS",INDEX('1-DATA'!$1:$1048576,$A203-1,COLUMN('1-DATA'!J202)),ROUND(INDEX('1-DATA'!$1:$1048576,IF(OR($B204="STD. DEVIATION",$C$1=1),$A204,$A204+1),COLUMN('1-DATA'!J202)),IF($B204="STD. DEVIATION",2,$F$1))))</f>
        <v/>
      </c>
      <c r="L204" s="1" t="str">
        <f>IF(OR($B204="",L$7=""),"",IF($B204="MEANS",INDEX('1-DATA'!$1:$1048576,$A203-1,COLUMN('1-DATA'!K202)),ROUND(INDEX('1-DATA'!$1:$1048576,IF(OR($B204="STD. DEVIATION",$C$1=1),$A204,$A204+1),COLUMN('1-DATA'!K202)),IF($B204="STD. DEVIATION",2,$F$1))))</f>
        <v/>
      </c>
      <c r="M204" s="1" t="str">
        <f>IF(OR($B204="",M$7=""),"",IF($B204="MEANS",INDEX('1-DATA'!$1:$1048576,$A203-1,COLUMN('1-DATA'!L202)),ROUND(INDEX('1-DATA'!$1:$1048576,IF(OR($B204="STD. DEVIATION",$C$1=1),$A204,$A204+1),COLUMN('1-DATA'!L202)),IF($B204="STD. DEVIATION",2,$F$1))))</f>
        <v/>
      </c>
      <c r="N204" s="1" t="str">
        <f>IF(OR($B204="",N$7=""),"",IF($B204="MEANS",INDEX('1-DATA'!$1:$1048576,$A203-1,COLUMN('1-DATA'!M202)),ROUND(INDEX('1-DATA'!$1:$1048576,IF(OR($B204="STD. DEVIATION",$C$1=1),$A204,$A204+1),COLUMN('1-DATA'!M202)),IF($B204="STD. DEVIATION",2,$F$1))))</f>
        <v/>
      </c>
      <c r="O204" s="1" t="str">
        <f>IF(OR($B204="",O$7=""),"",IF($B204="MEANS",INDEX('1-DATA'!$1:$1048576,$A203-1,COLUMN('1-DATA'!N202)),ROUND(INDEX('1-DATA'!$1:$1048576,IF(OR($B204="STD. DEVIATION",$C$1=1),$A204,$A204+1),COLUMN('1-DATA'!N202)),IF($B204="STD. DEVIATION",2,$F$1))))</f>
        <v/>
      </c>
      <c r="P204" s="1" t="str">
        <f>IF(OR($B204="",P$7=""),"",IF($B204="MEANS",INDEX('1-DATA'!$1:$1048576,$A203-1,COLUMN('1-DATA'!O202)),ROUND(INDEX('1-DATA'!$1:$1048576,IF(OR($B204="STD. DEVIATION",$C$1=1),$A204,$A204+1),COLUMN('1-DATA'!O202)),IF($B204="STD. DEVIATION",2,$F$1))))</f>
        <v/>
      </c>
      <c r="Q204" s="1" t="str">
        <f>IF(OR($B204="",Q$7=""),"",IF($B204="MEANS",INDEX('1-DATA'!$1:$1048576,$A203-1,COLUMN('1-DATA'!P202)),ROUND(INDEX('1-DATA'!$1:$1048576,IF(OR($B204="STD. DEVIATION",$C$1=1),$A204,$A204+1),COLUMN('1-DATA'!P202)),IF($B204="STD. DEVIATION",2,$F$1))))</f>
        <v/>
      </c>
      <c r="R204" s="1" t="str">
        <f>IF(OR($B204="",R$7=""),"",IF($B204="MEANS",INDEX('1-DATA'!$1:$1048576,$A203-1,COLUMN('1-DATA'!Q202)),ROUND(INDEX('1-DATA'!$1:$1048576,IF(OR($B204="STD. DEVIATION",$C$1=1),$A204,$A204+1),COLUMN('1-DATA'!Q202)),IF($B204="STD. DEVIATION",2,$F$1))))</f>
        <v/>
      </c>
      <c r="S204" s="1" t="str">
        <f>IF(OR($B204="",S$7=""),"",IF($B204="MEANS",INDEX('1-DATA'!$1:$1048576,$A203-1,COLUMN('1-DATA'!R202)),ROUND(INDEX('1-DATA'!$1:$1048576,IF(OR($B204="STD. DEVIATION",$C$1=1),$A204,$A204+1),COLUMN('1-DATA'!R202)),IF($B204="STD. DEVIATION",2,$F$1))))</f>
        <v/>
      </c>
      <c r="T204" s="1" t="str">
        <f>IF(OR($B204="",T$7=""),"",IF($B204="MEANS",INDEX('1-DATA'!$1:$1048576,$A203-1,COLUMN('1-DATA'!S202)),ROUND(INDEX('1-DATA'!$1:$1048576,IF(OR($B204="STD. DEVIATION",$C$1=1),$A204,$A204+1),COLUMN('1-DATA'!S202)),IF($B204="STD. DEVIATION",2,$F$1))))</f>
        <v/>
      </c>
      <c r="U204" s="1" t="str">
        <f>IF(OR($B204="",U$7=""),"",IF($B204="MEANS",INDEX('1-DATA'!$1:$1048576,$A203-1,COLUMN('1-DATA'!T202)),ROUND(INDEX('1-DATA'!$1:$1048576,IF(OR($B204="STD. DEVIATION",$C$1=1),$A204,$A204+1),COLUMN('1-DATA'!T202)),IF($B204="STD. DEVIATION",2,$F$1))))</f>
        <v/>
      </c>
      <c r="V204" s="1" t="str">
        <f>IF(OR($B204="",V$7=""),"",IF($B204="MEANS",INDEX('1-DATA'!$1:$1048576,$A203-1,COLUMN('1-DATA'!U202)),ROUND(INDEX('1-DATA'!$1:$1048576,IF(OR($B204="STD. DEVIATION",$C$1=1),$A204,$A204+1),COLUMN('1-DATA'!U202)),IF($B204="STD. DEVIATION",2,$F$1))))</f>
        <v/>
      </c>
      <c r="W204" s="1" t="str">
        <f>IF(OR($B204="",W$7=""),"",IF($B204="MEANS",INDEX('1-DATA'!$1:$1048576,$A203-1,COLUMN('1-DATA'!V202)),ROUND(INDEX('1-DATA'!$1:$1048576,IF(OR($B204="STD. DEVIATION",$C$1=1),$A204,$A204+1),COLUMN('1-DATA'!V202)),IF($B204="STD. DEVIATION",2,$F$1))))</f>
        <v/>
      </c>
      <c r="X204" s="1" t="str">
        <f>IF(OR($B204="",X$7=""),"",IF($B204="MEANS",INDEX('1-DATA'!$1:$1048576,$A203-1,COLUMN('1-DATA'!W202)),ROUND(INDEX('1-DATA'!$1:$1048576,IF(OR($B204="STD. DEVIATION",$C$1=1),$A204,$A204+1),COLUMN('1-DATA'!W202)),IF($B204="STD. DEVIATION",2,$F$1))))</f>
        <v/>
      </c>
      <c r="Y204" s="1" t="str">
        <f>IF(OR($B204="",Y$7=""),"",IF($B204="MEANS",INDEX('1-DATA'!$1:$1048576,$A203-1,COLUMN('1-DATA'!X202)),ROUND(INDEX('1-DATA'!$1:$1048576,IF(OR($B204="STD. DEVIATION",$C$1=1),$A204,$A204+1),COLUMN('1-DATA'!X202)),IF($B204="STD. DEVIATION",2,$F$1))))</f>
        <v/>
      </c>
      <c r="Z204" s="1" t="str">
        <f>IF(OR($B204="",Z$7=""),"",IF($B204="MEANS",INDEX('1-DATA'!$1:$1048576,$A203-1,COLUMN('1-DATA'!Y202)),ROUND(INDEX('1-DATA'!$1:$1048576,IF(OR($B204="STD. DEVIATION",$C$1=1),$A204,$A204+1),COLUMN('1-DATA'!Y202)),IF($B204="STD. DEVIATION",2,$F$1))))</f>
        <v/>
      </c>
      <c r="AA204" s="1" t="str">
        <f>IF(OR($B204="",AA$7=""),"",IF($B204="MEANS",INDEX('1-DATA'!$1:$1048576,$A203-1,COLUMN('1-DATA'!Z202)),ROUND(INDEX('1-DATA'!$1:$1048576,IF(OR($B204="STD. DEVIATION",$C$1=1),$A204,$A204+1),COLUMN('1-DATA'!Z202)),IF($B204="STD. DEVIATION",2,$F$1))))</f>
        <v/>
      </c>
      <c r="AB204" s="1" t="str">
        <f>IF(OR($B204="",AB$7=""),"",IF($B204="MEANS",INDEX('1-DATA'!$1:$1048576,$A203-1,COLUMN('1-DATA'!AA202)),ROUND(INDEX('1-DATA'!$1:$1048576,IF(OR($B204="STD. DEVIATION",$C$1=1),$A204,$A204+1),COLUMN('1-DATA'!AA202)),IF($B204="STD. DEVIATION",2,$F$1))))</f>
        <v/>
      </c>
      <c r="AC204" s="1" t="str">
        <f>IF(OR($B204="",AC$7=""),"",IF($B204="MEANS",INDEX('1-DATA'!$1:$1048576,$A203-1,COLUMN('1-DATA'!AB202)),ROUND(INDEX('1-DATA'!$1:$1048576,IF(OR($B204="STD. DEVIATION",$C$1=1),$A204,$A204+1),COLUMN('1-DATA'!AB202)),IF($B204="STD. DEVIATION",2,$F$1))))</f>
        <v/>
      </c>
      <c r="AD204" s="1" t="str">
        <f>IF(OR($B204="",AD$7=""),"",IF($B204="MEANS",INDEX('1-DATA'!$1:$1048576,$A203-1,COLUMN('1-DATA'!AC202)),ROUND(INDEX('1-DATA'!$1:$1048576,IF(OR($B204="STD. DEVIATION",$C$1=1),$A204,$A204+1),COLUMN('1-DATA'!AC202)),IF($B204="STD. DEVIATION",2,$F$1))))</f>
        <v/>
      </c>
      <c r="AE204" s="1" t="str">
        <f>IF(OR($B204="",AE$7=""),"",IF($B204="MEANS",INDEX('1-DATA'!$1:$1048576,$A203-1,COLUMN('1-DATA'!AD202)),ROUND(INDEX('1-DATA'!$1:$1048576,IF(OR($B204="STD. DEVIATION",$C$1=1),$A204,$A204+1),COLUMN('1-DATA'!AD202)),IF($B204="STD. DEVIATION",2,$F$1))))</f>
        <v/>
      </c>
      <c r="AF204" s="1" t="str">
        <f>IF(OR($B204="",AF$7=""),"",IF($B204="MEANS",INDEX('1-DATA'!$1:$1048576,$A203-1,COLUMN('1-DATA'!AE202)),ROUND(INDEX('1-DATA'!$1:$1048576,IF(OR($B204="STD. DEVIATION",$C$1=1),$A204,$A204+1),COLUMN('1-DATA'!AE202)),IF($B204="STD. DEVIATION",2,$F$1))))</f>
        <v/>
      </c>
      <c r="AG204" s="1" t="str">
        <f>IF(OR($B204="",AG$7=""),"",IF($B204="MEANS",INDEX('1-DATA'!$1:$1048576,$A203-1,COLUMN('1-DATA'!AF202)),ROUND(INDEX('1-DATA'!$1:$1048576,IF(OR($B204="STD. DEVIATION",$C$1=1),$A204,$A204+1),COLUMN('1-DATA'!AF202)),IF($B204="STD. DEVIATION",2,$F$1))))</f>
        <v/>
      </c>
      <c r="AH204" s="1" t="str">
        <f>IF(OR($B204="",AH$7=""),"",IF($B204="MEANS",INDEX('1-DATA'!$1:$1048576,$A203-1,COLUMN('1-DATA'!AG202)),ROUND(INDEX('1-DATA'!$1:$1048576,IF(OR($B204="STD. DEVIATION",$C$1=1),$A204,$A204+1),COLUMN('1-DATA'!AG202)),IF($B204="STD. DEVIATION",2,$F$1))))</f>
        <v/>
      </c>
      <c r="AI204" s="1" t="str">
        <f>IF(OR($B204="",AI$7=""),"",IF($B204="MEANS",INDEX('1-DATA'!$1:$1048576,$A203-1,COLUMN('1-DATA'!AH202)),ROUND(INDEX('1-DATA'!$1:$1048576,IF(OR($B204="STD. DEVIATION",$C$1=1),$A204,$A204+1),COLUMN('1-DATA'!AH202)),IF($B204="STD. DEVIATION",2,$F$1))))</f>
        <v/>
      </c>
      <c r="AJ204" s="1" t="str">
        <f>IF(OR($B204="",AJ$7=""),"",IF($B204="MEANS",INDEX('1-DATA'!$1:$1048576,$A203-1,COLUMN('1-DATA'!AI202)),ROUND(INDEX('1-DATA'!$1:$1048576,IF(OR($B204="STD. DEVIATION",$C$1=1),$A204,$A204+1),COLUMN('1-DATA'!AI202)),IF($B204="STD. DEVIATION",2,$F$1))))</f>
        <v/>
      </c>
      <c r="AK204" s="1" t="str">
        <f>IF(OR($B204="",AK$7=""),"",IF($B204="MEANS",INDEX('1-DATA'!$1:$1048576,$A203-1,COLUMN('1-DATA'!AJ202)),ROUND(INDEX('1-DATA'!$1:$1048576,IF(OR($B204="STD. DEVIATION",$C$1=1),$A204,$A204+1),COLUMN('1-DATA'!AJ202)),IF($B204="STD. DEVIATION",2,$F$1))))</f>
        <v/>
      </c>
      <c r="AL204" s="1" t="str">
        <f>IF(OR($B204="",AL$7=""),"",IF($B204="MEANS",INDEX('1-DATA'!$1:$1048576,$A203-1,COLUMN('1-DATA'!AK202)),ROUND(INDEX('1-DATA'!$1:$1048576,IF(OR($B204="STD. DEVIATION",$C$1=1),$A204,$A204+1),COLUMN('1-DATA'!AK202)),IF($B204="STD. DEVIATION",2,$F$1))))</f>
        <v/>
      </c>
      <c r="AM204" s="1" t="str">
        <f>IF(OR($B204="",AM$7=""),"",IF($B204="MEANS",INDEX('1-DATA'!$1:$1048576,$A203-1,COLUMN('1-DATA'!AL202)),ROUND(INDEX('1-DATA'!$1:$1048576,IF(OR($B204="STD. DEVIATION",$C$1=1),$A204,$A204+1),COLUMN('1-DATA'!AL202)),IF($B204="STD. DEVIATION",2,$F$1))))</f>
        <v/>
      </c>
      <c r="AN204" s="1" t="str">
        <f>IF(OR($B204="",AN$7=""),"",IF($B204="MEANS",INDEX('1-DATA'!$1:$1048576,$A203-1,COLUMN('1-DATA'!AM202)),ROUND(INDEX('1-DATA'!$1:$1048576,IF(OR($B204="STD. DEVIATION",$C$1=1),$A204,$A204+1),COLUMN('1-DATA'!AM202)),IF($B204="STD. DEVIATION",2,$F$1))))</f>
        <v/>
      </c>
      <c r="AO204" s="1" t="str">
        <f>IF(OR($B204="",AO$7=""),"",IF($B204="MEANS",INDEX('1-DATA'!$1:$1048576,$A203-1,COLUMN('1-DATA'!AN202)),ROUND(INDEX('1-DATA'!$1:$1048576,IF(OR($B204="STD. DEVIATION",$C$1=1),$A204,$A204+1),COLUMN('1-DATA'!AN202)),IF($B204="STD. DEVIATION",2,$F$1))))</f>
        <v/>
      </c>
      <c r="AP204" s="1" t="str">
        <f>IF(OR($B204="",AP$7=""),"",IF($B204="MEANS",INDEX('1-DATA'!$1:$1048576,$A203-1,COLUMN('1-DATA'!AO202)),ROUND(INDEX('1-DATA'!$1:$1048576,IF(OR($B204="STD. DEVIATION",$C$1=1),$A204,$A204+1),COLUMN('1-DATA'!AO202)),IF($B204="STD. DEVIATION",2,$F$1))))</f>
        <v/>
      </c>
      <c r="AQ204" s="1" t="str">
        <f>IF(OR($B204="",AQ$7=""),"",IF($B204="MEANS",INDEX('1-DATA'!$1:$1048576,$A203-1,COLUMN('1-DATA'!AP202)),ROUND(INDEX('1-DATA'!$1:$1048576,IF(OR($B204="STD. DEVIATION",$C$1=1),$A204,$A204+1),COLUMN('1-DATA'!AP202)),IF($B204="STD. DEVIATION",2,$F$1))))</f>
        <v/>
      </c>
      <c r="AR204" s="1" t="str">
        <f>IF(OR($B204="",AR$7=""),"",IF($B204="MEANS",INDEX('1-DATA'!$1:$1048576,$A203-1,COLUMN('1-DATA'!AQ202)),ROUND(INDEX('1-DATA'!$1:$1048576,IF(OR($B204="STD. DEVIATION",$C$1=1),$A204,$A204+1),COLUMN('1-DATA'!AQ202)),IF($B204="STD. DEVIATION",2,$F$1))))</f>
        <v/>
      </c>
      <c r="AS204" s="1" t="str">
        <f>IF(OR($B204="",AS$7=""),"",IF($B204="MEANS",INDEX('1-DATA'!$1:$1048576,$A203-1,COLUMN('1-DATA'!AR202)),ROUND(INDEX('1-DATA'!$1:$1048576,IF(OR($B204="STD. DEVIATION",$C$1=1),$A204,$A204+1),COLUMN('1-DATA'!AR202)),IF($B204="STD. DEVIATION",2,$F$1))))</f>
        <v/>
      </c>
      <c r="AT204" s="1" t="str">
        <f>IF(OR($B204="",AT$7=""),"",IF($B204="MEANS",INDEX('1-DATA'!$1:$1048576,$A203-1,COLUMN('1-DATA'!AS202)),ROUND(INDEX('1-DATA'!$1:$1048576,IF(OR($B204="STD. DEVIATION",$C$1=1),$A204,$A204+1),COLUMN('1-DATA'!AS202)),IF($B204="STD. DEVIATION",2,$F$1))))</f>
        <v/>
      </c>
      <c r="AU204" s="1" t="str">
        <f>IF(OR($B204="",AU$7=""),"",IF($B204="MEANS",INDEX('1-DATA'!$1:$1048576,$A203-1,COLUMN('1-DATA'!AT202)),ROUND(INDEX('1-DATA'!$1:$1048576,IF(OR($B204="STD. DEVIATION",$C$1=1),$A204,$A204+1),COLUMN('1-DATA'!AT202)),IF($B204="STD. DEVIATION",2,$F$1))))</f>
        <v/>
      </c>
      <c r="AV204" s="1" t="str">
        <f>IF(OR($B204="",AV$7=""),"",IF($B204="MEANS",INDEX('1-DATA'!$1:$1048576,$A203-1,COLUMN('1-DATA'!AU202)),ROUND(INDEX('1-DATA'!$1:$1048576,IF(OR($B204="STD. DEVIATION",$C$1=1),$A204,$A204+1),COLUMN('1-DATA'!AU202)),IF($B204="STD. DEVIATION",2,$F$1))))</f>
        <v/>
      </c>
      <c r="AW204" s="1" t="str">
        <f>IF(OR($B204="",AW$7=""),"",IF($B204="MEANS",INDEX('1-DATA'!$1:$1048576,$A203-1,COLUMN('1-DATA'!AV202)),ROUND(INDEX('1-DATA'!$1:$1048576,IF(OR($B204="STD. DEVIATION",$C$1=1),$A204,$A204+1),COLUMN('1-DATA'!AV202)),IF($B204="STD. DEVIATION",2,$F$1))))</f>
        <v/>
      </c>
      <c r="AX204" s="1" t="str">
        <f>IF(OR($B204="",AX$7=""),"",IF($B204="MEANS",INDEX('1-DATA'!$1:$1048576,$A203-1,COLUMN('1-DATA'!AW202)),ROUND(INDEX('1-DATA'!$1:$1048576,IF(OR($B204="STD. DEVIATION",$C$1=1),$A204,$A204+1),COLUMN('1-DATA'!AW202)),IF($B204="STD. DEVIATION",2,$F$1))))</f>
        <v/>
      </c>
      <c r="AY204" s="1" t="str">
        <f>IF(OR($B204="",AY$7=""),"",IF($B204="MEANS",INDEX('1-DATA'!$1:$1048576,$A203-1,COLUMN('1-DATA'!AX202)),ROUND(INDEX('1-DATA'!$1:$1048576,IF(OR($B204="STD. DEVIATION",$C$1=1),$A204,$A204+1),COLUMN('1-DATA'!AX202)),IF($B204="STD. DEVIATION",2,$F$1))))</f>
        <v/>
      </c>
      <c r="AZ204" s="1" t="str">
        <f>IF(OR($B204="",AZ$7=""),"",IF($B204="MEANS",INDEX('1-DATA'!$1:$1048576,$A203-1,COLUMN('1-DATA'!AY202)),ROUND(INDEX('1-DATA'!$1:$1048576,IF(OR($B204="STD. DEVIATION",$C$1=1),$A204,$A204+1),COLUMN('1-DATA'!AY202)),IF($B204="STD. DEVIATION",2,$F$1))))</f>
        <v/>
      </c>
    </row>
    <row r="205" spans="1:52" x14ac:dyDescent="0.25">
      <c r="A205" s="11">
        <f t="shared" si="3"/>
        <v>601</v>
      </c>
      <c r="B205" s="1" t="str">
        <f>IF(B204="STD. DEVIATION",INDEX('1-DATA'!$1:$1048576,$A204-1,1),IF(INDEX('1-DATA'!$1:$1048576,$A205,1)&lt;&gt;"",INDEX('1-DATA'!$1:$1048576,$A205,1),""))</f>
        <v/>
      </c>
      <c r="C205" s="1" t="str">
        <f>IF(OR($B205="",C$7=""),"",IF($B205="MEANS",INDEX('1-DATA'!$1:$1048576,$A204-1,COLUMN('1-DATA'!B203)),ROUND(INDEX('1-DATA'!$1:$1048576,IF(OR($B205="STD. DEVIATION",$C$1=1),$A205,$A205+1),COLUMN('1-DATA'!B203)),IF($B205="STD. DEVIATION",2,$F$1))))</f>
        <v/>
      </c>
      <c r="D205" s="1" t="str">
        <f>IF(OR($B205="",D$7=""),"",IF($B205="MEANS",INDEX('1-DATA'!$1:$1048576,$A204-1,COLUMN('1-DATA'!C203)),ROUND(INDEX('1-DATA'!$1:$1048576,IF(OR($B205="STD. DEVIATION",$C$1=1),$A205,$A205+1),COLUMN('1-DATA'!C203)),IF($B205="STD. DEVIATION",2,$F$1))))</f>
        <v/>
      </c>
      <c r="E205" s="1" t="str">
        <f>IF(OR($B205="",E$7=""),"",IF($B205="MEANS",INDEX('1-DATA'!$1:$1048576,$A204-1,COLUMN('1-DATA'!D203)),ROUND(INDEX('1-DATA'!$1:$1048576,IF(OR($B205="STD. DEVIATION",$C$1=1),$A205,$A205+1),COLUMN('1-DATA'!D203)),IF($B205="STD. DEVIATION",2,$F$1))))</f>
        <v/>
      </c>
      <c r="F205" s="1" t="str">
        <f>IF(OR($B205="",F$7=""),"",IF($B205="MEANS",INDEX('1-DATA'!$1:$1048576,$A204-1,COLUMN('1-DATA'!E203)),ROUND(INDEX('1-DATA'!$1:$1048576,IF(OR($B205="STD. DEVIATION",$C$1=1),$A205,$A205+1),COLUMN('1-DATA'!E203)),IF($B205="STD. DEVIATION",2,$F$1))))</f>
        <v/>
      </c>
      <c r="G205" s="1" t="str">
        <f>IF(OR($B205="",G$7=""),"",IF($B205="MEANS",INDEX('1-DATA'!$1:$1048576,$A204-1,COLUMN('1-DATA'!F203)),ROUND(INDEX('1-DATA'!$1:$1048576,IF(OR($B205="STD. DEVIATION",$C$1=1),$A205,$A205+1),COLUMN('1-DATA'!F203)),IF($B205="STD. DEVIATION",2,$F$1))))</f>
        <v/>
      </c>
      <c r="H205" s="1" t="str">
        <f>IF(OR($B205="",H$7=""),"",IF($B205="MEANS",INDEX('1-DATA'!$1:$1048576,$A204-1,COLUMN('1-DATA'!G203)),ROUND(INDEX('1-DATA'!$1:$1048576,IF(OR($B205="STD. DEVIATION",$C$1=1),$A205,$A205+1),COLUMN('1-DATA'!G203)),IF($B205="STD. DEVIATION",2,$F$1))))</f>
        <v/>
      </c>
      <c r="I205" s="1" t="str">
        <f>IF(OR($B205="",I$7=""),"",IF($B205="MEANS",INDEX('1-DATA'!$1:$1048576,$A204-1,COLUMN('1-DATA'!H203)),ROUND(INDEX('1-DATA'!$1:$1048576,IF(OR($B205="STD. DEVIATION",$C$1=1),$A205,$A205+1),COLUMN('1-DATA'!H203)),IF($B205="STD. DEVIATION",2,$F$1))))</f>
        <v/>
      </c>
      <c r="J205" s="1" t="str">
        <f>IF(OR($B205="",J$7=""),"",IF($B205="MEANS",INDEX('1-DATA'!$1:$1048576,$A204-1,COLUMN('1-DATA'!I203)),ROUND(INDEX('1-DATA'!$1:$1048576,IF(OR($B205="STD. DEVIATION",$C$1=1),$A205,$A205+1),COLUMN('1-DATA'!I203)),IF($B205="STD. DEVIATION",2,$F$1))))</f>
        <v/>
      </c>
      <c r="K205" s="1" t="str">
        <f>IF(OR($B205="",K$7=""),"",IF($B205="MEANS",INDEX('1-DATA'!$1:$1048576,$A204-1,COLUMN('1-DATA'!J203)),ROUND(INDEX('1-DATA'!$1:$1048576,IF(OR($B205="STD. DEVIATION",$C$1=1),$A205,$A205+1),COLUMN('1-DATA'!J203)),IF($B205="STD. DEVIATION",2,$F$1))))</f>
        <v/>
      </c>
      <c r="L205" s="1" t="str">
        <f>IF(OR($B205="",L$7=""),"",IF($B205="MEANS",INDEX('1-DATA'!$1:$1048576,$A204-1,COLUMN('1-DATA'!K203)),ROUND(INDEX('1-DATA'!$1:$1048576,IF(OR($B205="STD. DEVIATION",$C$1=1),$A205,$A205+1),COLUMN('1-DATA'!K203)),IF($B205="STD. DEVIATION",2,$F$1))))</f>
        <v/>
      </c>
      <c r="M205" s="1" t="str">
        <f>IF(OR($B205="",M$7=""),"",IF($B205="MEANS",INDEX('1-DATA'!$1:$1048576,$A204-1,COLUMN('1-DATA'!L203)),ROUND(INDEX('1-DATA'!$1:$1048576,IF(OR($B205="STD. DEVIATION",$C$1=1),$A205,$A205+1),COLUMN('1-DATA'!L203)),IF($B205="STD. DEVIATION",2,$F$1))))</f>
        <v/>
      </c>
      <c r="N205" s="1" t="str">
        <f>IF(OR($B205="",N$7=""),"",IF($B205="MEANS",INDEX('1-DATA'!$1:$1048576,$A204-1,COLUMN('1-DATA'!M203)),ROUND(INDEX('1-DATA'!$1:$1048576,IF(OR($B205="STD. DEVIATION",$C$1=1),$A205,$A205+1),COLUMN('1-DATA'!M203)),IF($B205="STD. DEVIATION",2,$F$1))))</f>
        <v/>
      </c>
      <c r="O205" s="1" t="str">
        <f>IF(OR($B205="",O$7=""),"",IF($B205="MEANS",INDEX('1-DATA'!$1:$1048576,$A204-1,COLUMN('1-DATA'!N203)),ROUND(INDEX('1-DATA'!$1:$1048576,IF(OR($B205="STD. DEVIATION",$C$1=1),$A205,$A205+1),COLUMN('1-DATA'!N203)),IF($B205="STD. DEVIATION",2,$F$1))))</f>
        <v/>
      </c>
      <c r="P205" s="1" t="str">
        <f>IF(OR($B205="",P$7=""),"",IF($B205="MEANS",INDEX('1-DATA'!$1:$1048576,$A204-1,COLUMN('1-DATA'!O203)),ROUND(INDEX('1-DATA'!$1:$1048576,IF(OR($B205="STD. DEVIATION",$C$1=1),$A205,$A205+1),COLUMN('1-DATA'!O203)),IF($B205="STD. DEVIATION",2,$F$1))))</f>
        <v/>
      </c>
      <c r="Q205" s="1" t="str">
        <f>IF(OR($B205="",Q$7=""),"",IF($B205="MEANS",INDEX('1-DATA'!$1:$1048576,$A204-1,COLUMN('1-DATA'!P203)),ROUND(INDEX('1-DATA'!$1:$1048576,IF(OR($B205="STD. DEVIATION",$C$1=1),$A205,$A205+1),COLUMN('1-DATA'!P203)),IF($B205="STD. DEVIATION",2,$F$1))))</f>
        <v/>
      </c>
      <c r="R205" s="1" t="str">
        <f>IF(OR($B205="",R$7=""),"",IF($B205="MEANS",INDEX('1-DATA'!$1:$1048576,$A204-1,COLUMN('1-DATA'!Q203)),ROUND(INDEX('1-DATA'!$1:$1048576,IF(OR($B205="STD. DEVIATION",$C$1=1),$A205,$A205+1),COLUMN('1-DATA'!Q203)),IF($B205="STD. DEVIATION",2,$F$1))))</f>
        <v/>
      </c>
      <c r="S205" s="1" t="str">
        <f>IF(OR($B205="",S$7=""),"",IF($B205="MEANS",INDEX('1-DATA'!$1:$1048576,$A204-1,COLUMN('1-DATA'!R203)),ROUND(INDEX('1-DATA'!$1:$1048576,IF(OR($B205="STD. DEVIATION",$C$1=1),$A205,$A205+1),COLUMN('1-DATA'!R203)),IF($B205="STD. DEVIATION",2,$F$1))))</f>
        <v/>
      </c>
      <c r="T205" s="1" t="str">
        <f>IF(OR($B205="",T$7=""),"",IF($B205="MEANS",INDEX('1-DATA'!$1:$1048576,$A204-1,COLUMN('1-DATA'!S203)),ROUND(INDEX('1-DATA'!$1:$1048576,IF(OR($B205="STD. DEVIATION",$C$1=1),$A205,$A205+1),COLUMN('1-DATA'!S203)),IF($B205="STD. DEVIATION",2,$F$1))))</f>
        <v/>
      </c>
      <c r="U205" s="1" t="str">
        <f>IF(OR($B205="",U$7=""),"",IF($B205="MEANS",INDEX('1-DATA'!$1:$1048576,$A204-1,COLUMN('1-DATA'!T203)),ROUND(INDEX('1-DATA'!$1:$1048576,IF(OR($B205="STD. DEVIATION",$C$1=1),$A205,$A205+1),COLUMN('1-DATA'!T203)),IF($B205="STD. DEVIATION",2,$F$1))))</f>
        <v/>
      </c>
      <c r="V205" s="1" t="str">
        <f>IF(OR($B205="",V$7=""),"",IF($B205="MEANS",INDEX('1-DATA'!$1:$1048576,$A204-1,COLUMN('1-DATA'!U203)),ROUND(INDEX('1-DATA'!$1:$1048576,IF(OR($B205="STD. DEVIATION",$C$1=1),$A205,$A205+1),COLUMN('1-DATA'!U203)),IF($B205="STD. DEVIATION",2,$F$1))))</f>
        <v/>
      </c>
      <c r="W205" s="1" t="str">
        <f>IF(OR($B205="",W$7=""),"",IF($B205="MEANS",INDEX('1-DATA'!$1:$1048576,$A204-1,COLUMN('1-DATA'!V203)),ROUND(INDEX('1-DATA'!$1:$1048576,IF(OR($B205="STD. DEVIATION",$C$1=1),$A205,$A205+1),COLUMN('1-DATA'!V203)),IF($B205="STD. DEVIATION",2,$F$1))))</f>
        <v/>
      </c>
      <c r="X205" s="1" t="str">
        <f>IF(OR($B205="",X$7=""),"",IF($B205="MEANS",INDEX('1-DATA'!$1:$1048576,$A204-1,COLUMN('1-DATA'!W203)),ROUND(INDEX('1-DATA'!$1:$1048576,IF(OR($B205="STD. DEVIATION",$C$1=1),$A205,$A205+1),COLUMN('1-DATA'!W203)),IF($B205="STD. DEVIATION",2,$F$1))))</f>
        <v/>
      </c>
      <c r="Y205" s="1" t="str">
        <f>IF(OR($B205="",Y$7=""),"",IF($B205="MEANS",INDEX('1-DATA'!$1:$1048576,$A204-1,COLUMN('1-DATA'!X203)),ROUND(INDEX('1-DATA'!$1:$1048576,IF(OR($B205="STD. DEVIATION",$C$1=1),$A205,$A205+1),COLUMN('1-DATA'!X203)),IF($B205="STD. DEVIATION",2,$F$1))))</f>
        <v/>
      </c>
      <c r="Z205" s="1" t="str">
        <f>IF(OR($B205="",Z$7=""),"",IF($B205="MEANS",INDEX('1-DATA'!$1:$1048576,$A204-1,COLUMN('1-DATA'!Y203)),ROUND(INDEX('1-DATA'!$1:$1048576,IF(OR($B205="STD. DEVIATION",$C$1=1),$A205,$A205+1),COLUMN('1-DATA'!Y203)),IF($B205="STD. DEVIATION",2,$F$1))))</f>
        <v/>
      </c>
      <c r="AA205" s="1" t="str">
        <f>IF(OR($B205="",AA$7=""),"",IF($B205="MEANS",INDEX('1-DATA'!$1:$1048576,$A204-1,COLUMN('1-DATA'!Z203)),ROUND(INDEX('1-DATA'!$1:$1048576,IF(OR($B205="STD. DEVIATION",$C$1=1),$A205,$A205+1),COLUMN('1-DATA'!Z203)),IF($B205="STD. DEVIATION",2,$F$1))))</f>
        <v/>
      </c>
      <c r="AB205" s="1" t="str">
        <f>IF(OR($B205="",AB$7=""),"",IF($B205="MEANS",INDEX('1-DATA'!$1:$1048576,$A204-1,COLUMN('1-DATA'!AA203)),ROUND(INDEX('1-DATA'!$1:$1048576,IF(OR($B205="STD. DEVIATION",$C$1=1),$A205,$A205+1),COLUMN('1-DATA'!AA203)),IF($B205="STD. DEVIATION",2,$F$1))))</f>
        <v/>
      </c>
      <c r="AC205" s="1" t="str">
        <f>IF(OR($B205="",AC$7=""),"",IF($B205="MEANS",INDEX('1-DATA'!$1:$1048576,$A204-1,COLUMN('1-DATA'!AB203)),ROUND(INDEX('1-DATA'!$1:$1048576,IF(OR($B205="STD. DEVIATION",$C$1=1),$A205,$A205+1),COLUMN('1-DATA'!AB203)),IF($B205="STD. DEVIATION",2,$F$1))))</f>
        <v/>
      </c>
      <c r="AD205" s="1" t="str">
        <f>IF(OR($B205="",AD$7=""),"",IF($B205="MEANS",INDEX('1-DATA'!$1:$1048576,$A204-1,COLUMN('1-DATA'!AC203)),ROUND(INDEX('1-DATA'!$1:$1048576,IF(OR($B205="STD. DEVIATION",$C$1=1),$A205,$A205+1),COLUMN('1-DATA'!AC203)),IF($B205="STD. DEVIATION",2,$F$1))))</f>
        <v/>
      </c>
      <c r="AE205" s="1" t="str">
        <f>IF(OR($B205="",AE$7=""),"",IF($B205="MEANS",INDEX('1-DATA'!$1:$1048576,$A204-1,COLUMN('1-DATA'!AD203)),ROUND(INDEX('1-DATA'!$1:$1048576,IF(OR($B205="STD. DEVIATION",$C$1=1),$A205,$A205+1),COLUMN('1-DATA'!AD203)),IF($B205="STD. DEVIATION",2,$F$1))))</f>
        <v/>
      </c>
      <c r="AF205" s="1" t="str">
        <f>IF(OR($B205="",AF$7=""),"",IF($B205="MEANS",INDEX('1-DATA'!$1:$1048576,$A204-1,COLUMN('1-DATA'!AE203)),ROUND(INDEX('1-DATA'!$1:$1048576,IF(OR($B205="STD. DEVIATION",$C$1=1),$A205,$A205+1),COLUMN('1-DATA'!AE203)),IF($B205="STD. DEVIATION",2,$F$1))))</f>
        <v/>
      </c>
      <c r="AG205" s="1" t="str">
        <f>IF(OR($B205="",AG$7=""),"",IF($B205="MEANS",INDEX('1-DATA'!$1:$1048576,$A204-1,COLUMN('1-DATA'!AF203)),ROUND(INDEX('1-DATA'!$1:$1048576,IF(OR($B205="STD. DEVIATION",$C$1=1),$A205,$A205+1),COLUMN('1-DATA'!AF203)),IF($B205="STD. DEVIATION",2,$F$1))))</f>
        <v/>
      </c>
      <c r="AH205" s="1" t="str">
        <f>IF(OR($B205="",AH$7=""),"",IF($B205="MEANS",INDEX('1-DATA'!$1:$1048576,$A204-1,COLUMN('1-DATA'!AG203)),ROUND(INDEX('1-DATA'!$1:$1048576,IF(OR($B205="STD. DEVIATION",$C$1=1),$A205,$A205+1),COLUMN('1-DATA'!AG203)),IF($B205="STD. DEVIATION",2,$F$1))))</f>
        <v/>
      </c>
      <c r="AI205" s="1" t="str">
        <f>IF(OR($B205="",AI$7=""),"",IF($B205="MEANS",INDEX('1-DATA'!$1:$1048576,$A204-1,COLUMN('1-DATA'!AH203)),ROUND(INDEX('1-DATA'!$1:$1048576,IF(OR($B205="STD. DEVIATION",$C$1=1),$A205,$A205+1),COLUMN('1-DATA'!AH203)),IF($B205="STD. DEVIATION",2,$F$1))))</f>
        <v/>
      </c>
      <c r="AJ205" s="1" t="str">
        <f>IF(OR($B205="",AJ$7=""),"",IF($B205="MEANS",INDEX('1-DATA'!$1:$1048576,$A204-1,COLUMN('1-DATA'!AI203)),ROUND(INDEX('1-DATA'!$1:$1048576,IF(OR($B205="STD. DEVIATION",$C$1=1),$A205,$A205+1),COLUMN('1-DATA'!AI203)),IF($B205="STD. DEVIATION",2,$F$1))))</f>
        <v/>
      </c>
      <c r="AK205" s="1" t="str">
        <f>IF(OR($B205="",AK$7=""),"",IF($B205="MEANS",INDEX('1-DATA'!$1:$1048576,$A204-1,COLUMN('1-DATA'!AJ203)),ROUND(INDEX('1-DATA'!$1:$1048576,IF(OR($B205="STD. DEVIATION",$C$1=1),$A205,$A205+1),COLUMN('1-DATA'!AJ203)),IF($B205="STD. DEVIATION",2,$F$1))))</f>
        <v/>
      </c>
      <c r="AL205" s="1" t="str">
        <f>IF(OR($B205="",AL$7=""),"",IF($B205="MEANS",INDEX('1-DATA'!$1:$1048576,$A204-1,COLUMN('1-DATA'!AK203)),ROUND(INDEX('1-DATA'!$1:$1048576,IF(OR($B205="STD. DEVIATION",$C$1=1),$A205,$A205+1),COLUMN('1-DATA'!AK203)),IF($B205="STD. DEVIATION",2,$F$1))))</f>
        <v/>
      </c>
      <c r="AM205" s="1" t="str">
        <f>IF(OR($B205="",AM$7=""),"",IF($B205="MEANS",INDEX('1-DATA'!$1:$1048576,$A204-1,COLUMN('1-DATA'!AL203)),ROUND(INDEX('1-DATA'!$1:$1048576,IF(OR($B205="STD. DEVIATION",$C$1=1),$A205,$A205+1),COLUMN('1-DATA'!AL203)),IF($B205="STD. DEVIATION",2,$F$1))))</f>
        <v/>
      </c>
      <c r="AN205" s="1" t="str">
        <f>IF(OR($B205="",AN$7=""),"",IF($B205="MEANS",INDEX('1-DATA'!$1:$1048576,$A204-1,COLUMN('1-DATA'!AM203)),ROUND(INDEX('1-DATA'!$1:$1048576,IF(OR($B205="STD. DEVIATION",$C$1=1),$A205,$A205+1),COLUMN('1-DATA'!AM203)),IF($B205="STD. DEVIATION",2,$F$1))))</f>
        <v/>
      </c>
      <c r="AO205" s="1" t="str">
        <f>IF(OR($B205="",AO$7=""),"",IF($B205="MEANS",INDEX('1-DATA'!$1:$1048576,$A204-1,COLUMN('1-DATA'!AN203)),ROUND(INDEX('1-DATA'!$1:$1048576,IF(OR($B205="STD. DEVIATION",$C$1=1),$A205,$A205+1),COLUMN('1-DATA'!AN203)),IF($B205="STD. DEVIATION",2,$F$1))))</f>
        <v/>
      </c>
      <c r="AP205" s="1" t="str">
        <f>IF(OR($B205="",AP$7=""),"",IF($B205="MEANS",INDEX('1-DATA'!$1:$1048576,$A204-1,COLUMN('1-DATA'!AO203)),ROUND(INDEX('1-DATA'!$1:$1048576,IF(OR($B205="STD. DEVIATION",$C$1=1),$A205,$A205+1),COLUMN('1-DATA'!AO203)),IF($B205="STD. DEVIATION",2,$F$1))))</f>
        <v/>
      </c>
      <c r="AQ205" s="1" t="str">
        <f>IF(OR($B205="",AQ$7=""),"",IF($B205="MEANS",INDEX('1-DATA'!$1:$1048576,$A204-1,COLUMN('1-DATA'!AP203)),ROUND(INDEX('1-DATA'!$1:$1048576,IF(OR($B205="STD. DEVIATION",$C$1=1),$A205,$A205+1),COLUMN('1-DATA'!AP203)),IF($B205="STD. DEVIATION",2,$F$1))))</f>
        <v/>
      </c>
      <c r="AR205" s="1" t="str">
        <f>IF(OR($B205="",AR$7=""),"",IF($B205="MEANS",INDEX('1-DATA'!$1:$1048576,$A204-1,COLUMN('1-DATA'!AQ203)),ROUND(INDEX('1-DATA'!$1:$1048576,IF(OR($B205="STD. DEVIATION",$C$1=1),$A205,$A205+1),COLUMN('1-DATA'!AQ203)),IF($B205="STD. DEVIATION",2,$F$1))))</f>
        <v/>
      </c>
      <c r="AS205" s="1" t="str">
        <f>IF(OR($B205="",AS$7=""),"",IF($B205="MEANS",INDEX('1-DATA'!$1:$1048576,$A204-1,COLUMN('1-DATA'!AR203)),ROUND(INDEX('1-DATA'!$1:$1048576,IF(OR($B205="STD. DEVIATION",$C$1=1),$A205,$A205+1),COLUMN('1-DATA'!AR203)),IF($B205="STD. DEVIATION",2,$F$1))))</f>
        <v/>
      </c>
      <c r="AT205" s="1" t="str">
        <f>IF(OR($B205="",AT$7=""),"",IF($B205="MEANS",INDEX('1-DATA'!$1:$1048576,$A204-1,COLUMN('1-DATA'!AS203)),ROUND(INDEX('1-DATA'!$1:$1048576,IF(OR($B205="STD. DEVIATION",$C$1=1),$A205,$A205+1),COLUMN('1-DATA'!AS203)),IF($B205="STD. DEVIATION",2,$F$1))))</f>
        <v/>
      </c>
      <c r="AU205" s="1" t="str">
        <f>IF(OR($B205="",AU$7=""),"",IF($B205="MEANS",INDEX('1-DATA'!$1:$1048576,$A204-1,COLUMN('1-DATA'!AT203)),ROUND(INDEX('1-DATA'!$1:$1048576,IF(OR($B205="STD. DEVIATION",$C$1=1),$A205,$A205+1),COLUMN('1-DATA'!AT203)),IF($B205="STD. DEVIATION",2,$F$1))))</f>
        <v/>
      </c>
      <c r="AV205" s="1" t="str">
        <f>IF(OR($B205="",AV$7=""),"",IF($B205="MEANS",INDEX('1-DATA'!$1:$1048576,$A204-1,COLUMN('1-DATA'!AU203)),ROUND(INDEX('1-DATA'!$1:$1048576,IF(OR($B205="STD. DEVIATION",$C$1=1),$A205,$A205+1),COLUMN('1-DATA'!AU203)),IF($B205="STD. DEVIATION",2,$F$1))))</f>
        <v/>
      </c>
      <c r="AW205" s="1" t="str">
        <f>IF(OR($B205="",AW$7=""),"",IF($B205="MEANS",INDEX('1-DATA'!$1:$1048576,$A204-1,COLUMN('1-DATA'!AV203)),ROUND(INDEX('1-DATA'!$1:$1048576,IF(OR($B205="STD. DEVIATION",$C$1=1),$A205,$A205+1),COLUMN('1-DATA'!AV203)),IF($B205="STD. DEVIATION",2,$F$1))))</f>
        <v/>
      </c>
      <c r="AX205" s="1" t="str">
        <f>IF(OR($B205="",AX$7=""),"",IF($B205="MEANS",INDEX('1-DATA'!$1:$1048576,$A204-1,COLUMN('1-DATA'!AW203)),ROUND(INDEX('1-DATA'!$1:$1048576,IF(OR($B205="STD. DEVIATION",$C$1=1),$A205,$A205+1),COLUMN('1-DATA'!AW203)),IF($B205="STD. DEVIATION",2,$F$1))))</f>
        <v/>
      </c>
      <c r="AY205" s="1" t="str">
        <f>IF(OR($B205="",AY$7=""),"",IF($B205="MEANS",INDEX('1-DATA'!$1:$1048576,$A204-1,COLUMN('1-DATA'!AX203)),ROUND(INDEX('1-DATA'!$1:$1048576,IF(OR($B205="STD. DEVIATION",$C$1=1),$A205,$A205+1),COLUMN('1-DATA'!AX203)),IF($B205="STD. DEVIATION",2,$F$1))))</f>
        <v/>
      </c>
      <c r="AZ205" s="1" t="str">
        <f>IF(OR($B205="",AZ$7=""),"",IF($B205="MEANS",INDEX('1-DATA'!$1:$1048576,$A204-1,COLUMN('1-DATA'!AY203)),ROUND(INDEX('1-DATA'!$1:$1048576,IF(OR($B205="STD. DEVIATION",$C$1=1),$A205,$A205+1),COLUMN('1-DATA'!AY203)),IF($B205="STD. DEVIATION",2,$F$1))))</f>
        <v/>
      </c>
    </row>
    <row r="206" spans="1:52" x14ac:dyDescent="0.25">
      <c r="A206" s="11">
        <f t="shared" si="3"/>
        <v>604</v>
      </c>
      <c r="B206" s="1" t="str">
        <f>IF(B205="STD. DEVIATION",INDEX('1-DATA'!$1:$1048576,$A205-1,1),IF(INDEX('1-DATA'!$1:$1048576,$A206,1)&lt;&gt;"",INDEX('1-DATA'!$1:$1048576,$A206,1),""))</f>
        <v/>
      </c>
      <c r="C206" s="1" t="str">
        <f>IF(OR($B206="",C$7=""),"",IF($B206="MEANS",INDEX('1-DATA'!$1:$1048576,$A205-1,COLUMN('1-DATA'!B204)),ROUND(INDEX('1-DATA'!$1:$1048576,IF(OR($B206="STD. DEVIATION",$C$1=1),$A206,$A206+1),COLUMN('1-DATA'!B204)),IF($B206="STD. DEVIATION",2,$F$1))))</f>
        <v/>
      </c>
      <c r="D206" s="1" t="str">
        <f>IF(OR($B206="",D$7=""),"",IF($B206="MEANS",INDEX('1-DATA'!$1:$1048576,$A205-1,COLUMN('1-DATA'!C204)),ROUND(INDEX('1-DATA'!$1:$1048576,IF(OR($B206="STD. DEVIATION",$C$1=1),$A206,$A206+1),COLUMN('1-DATA'!C204)),IF($B206="STD. DEVIATION",2,$F$1))))</f>
        <v/>
      </c>
      <c r="E206" s="1" t="str">
        <f>IF(OR($B206="",E$7=""),"",IF($B206="MEANS",INDEX('1-DATA'!$1:$1048576,$A205-1,COLUMN('1-DATA'!D204)),ROUND(INDEX('1-DATA'!$1:$1048576,IF(OR($B206="STD. DEVIATION",$C$1=1),$A206,$A206+1),COLUMN('1-DATA'!D204)),IF($B206="STD. DEVIATION",2,$F$1))))</f>
        <v/>
      </c>
      <c r="F206" s="1" t="str">
        <f>IF(OR($B206="",F$7=""),"",IF($B206="MEANS",INDEX('1-DATA'!$1:$1048576,$A205-1,COLUMN('1-DATA'!E204)),ROUND(INDEX('1-DATA'!$1:$1048576,IF(OR($B206="STD. DEVIATION",$C$1=1),$A206,$A206+1),COLUMN('1-DATA'!E204)),IF($B206="STD. DEVIATION",2,$F$1))))</f>
        <v/>
      </c>
      <c r="G206" s="1" t="str">
        <f>IF(OR($B206="",G$7=""),"",IF($B206="MEANS",INDEX('1-DATA'!$1:$1048576,$A205-1,COLUMN('1-DATA'!F204)),ROUND(INDEX('1-DATA'!$1:$1048576,IF(OR($B206="STD. DEVIATION",$C$1=1),$A206,$A206+1),COLUMN('1-DATA'!F204)),IF($B206="STD. DEVIATION",2,$F$1))))</f>
        <v/>
      </c>
      <c r="H206" s="1" t="str">
        <f>IF(OR($B206="",H$7=""),"",IF($B206="MEANS",INDEX('1-DATA'!$1:$1048576,$A205-1,COLUMN('1-DATA'!G204)),ROUND(INDEX('1-DATA'!$1:$1048576,IF(OR($B206="STD. DEVIATION",$C$1=1),$A206,$A206+1),COLUMN('1-DATA'!G204)),IF($B206="STD. DEVIATION",2,$F$1))))</f>
        <v/>
      </c>
      <c r="I206" s="1" t="str">
        <f>IF(OR($B206="",I$7=""),"",IF($B206="MEANS",INDEX('1-DATA'!$1:$1048576,$A205-1,COLUMN('1-DATA'!H204)),ROUND(INDEX('1-DATA'!$1:$1048576,IF(OR($B206="STD. DEVIATION",$C$1=1),$A206,$A206+1),COLUMN('1-DATA'!H204)),IF($B206="STD. DEVIATION",2,$F$1))))</f>
        <v/>
      </c>
      <c r="J206" s="1" t="str">
        <f>IF(OR($B206="",J$7=""),"",IF($B206="MEANS",INDEX('1-DATA'!$1:$1048576,$A205-1,COLUMN('1-DATA'!I204)),ROUND(INDEX('1-DATA'!$1:$1048576,IF(OR($B206="STD. DEVIATION",$C$1=1),$A206,$A206+1),COLUMN('1-DATA'!I204)),IF($B206="STD. DEVIATION",2,$F$1))))</f>
        <v/>
      </c>
      <c r="K206" s="1" t="str">
        <f>IF(OR($B206="",K$7=""),"",IF($B206="MEANS",INDEX('1-DATA'!$1:$1048576,$A205-1,COLUMN('1-DATA'!J204)),ROUND(INDEX('1-DATA'!$1:$1048576,IF(OR($B206="STD. DEVIATION",$C$1=1),$A206,$A206+1),COLUMN('1-DATA'!J204)),IF($B206="STD. DEVIATION",2,$F$1))))</f>
        <v/>
      </c>
      <c r="L206" s="1" t="str">
        <f>IF(OR($B206="",L$7=""),"",IF($B206="MEANS",INDEX('1-DATA'!$1:$1048576,$A205-1,COLUMN('1-DATA'!K204)),ROUND(INDEX('1-DATA'!$1:$1048576,IF(OR($B206="STD. DEVIATION",$C$1=1),$A206,$A206+1),COLUMN('1-DATA'!K204)),IF($B206="STD. DEVIATION",2,$F$1))))</f>
        <v/>
      </c>
      <c r="M206" s="1" t="str">
        <f>IF(OR($B206="",M$7=""),"",IF($B206="MEANS",INDEX('1-DATA'!$1:$1048576,$A205-1,COLUMN('1-DATA'!L204)),ROUND(INDEX('1-DATA'!$1:$1048576,IF(OR($B206="STD. DEVIATION",$C$1=1),$A206,$A206+1),COLUMN('1-DATA'!L204)),IF($B206="STD. DEVIATION",2,$F$1))))</f>
        <v/>
      </c>
      <c r="N206" s="1" t="str">
        <f>IF(OR($B206="",N$7=""),"",IF($B206="MEANS",INDEX('1-DATA'!$1:$1048576,$A205-1,COLUMN('1-DATA'!M204)),ROUND(INDEX('1-DATA'!$1:$1048576,IF(OR($B206="STD. DEVIATION",$C$1=1),$A206,$A206+1),COLUMN('1-DATA'!M204)),IF($B206="STD. DEVIATION",2,$F$1))))</f>
        <v/>
      </c>
      <c r="O206" s="1" t="str">
        <f>IF(OR($B206="",O$7=""),"",IF($B206="MEANS",INDEX('1-DATA'!$1:$1048576,$A205-1,COLUMN('1-DATA'!N204)),ROUND(INDEX('1-DATA'!$1:$1048576,IF(OR($B206="STD. DEVIATION",$C$1=1),$A206,$A206+1),COLUMN('1-DATA'!N204)),IF($B206="STD. DEVIATION",2,$F$1))))</f>
        <v/>
      </c>
      <c r="P206" s="1" t="str">
        <f>IF(OR($B206="",P$7=""),"",IF($B206="MEANS",INDEX('1-DATA'!$1:$1048576,$A205-1,COLUMN('1-DATA'!O204)),ROUND(INDEX('1-DATA'!$1:$1048576,IF(OR($B206="STD. DEVIATION",$C$1=1),$A206,$A206+1),COLUMN('1-DATA'!O204)),IF($B206="STD. DEVIATION",2,$F$1))))</f>
        <v/>
      </c>
      <c r="Q206" s="1" t="str">
        <f>IF(OR($B206="",Q$7=""),"",IF($B206="MEANS",INDEX('1-DATA'!$1:$1048576,$A205-1,COLUMN('1-DATA'!P204)),ROUND(INDEX('1-DATA'!$1:$1048576,IF(OR($B206="STD. DEVIATION",$C$1=1),$A206,$A206+1),COLUMN('1-DATA'!P204)),IF($B206="STD. DEVIATION",2,$F$1))))</f>
        <v/>
      </c>
      <c r="R206" s="1" t="str">
        <f>IF(OR($B206="",R$7=""),"",IF($B206="MEANS",INDEX('1-DATA'!$1:$1048576,$A205-1,COLUMN('1-DATA'!Q204)),ROUND(INDEX('1-DATA'!$1:$1048576,IF(OR($B206="STD. DEVIATION",$C$1=1),$A206,$A206+1),COLUMN('1-DATA'!Q204)),IF($B206="STD. DEVIATION",2,$F$1))))</f>
        <v/>
      </c>
      <c r="S206" s="1" t="str">
        <f>IF(OR($B206="",S$7=""),"",IF($B206="MEANS",INDEX('1-DATA'!$1:$1048576,$A205-1,COLUMN('1-DATA'!R204)),ROUND(INDEX('1-DATA'!$1:$1048576,IF(OR($B206="STD. DEVIATION",$C$1=1),$A206,$A206+1),COLUMN('1-DATA'!R204)),IF($B206="STD. DEVIATION",2,$F$1))))</f>
        <v/>
      </c>
      <c r="T206" s="1" t="str">
        <f>IF(OR($B206="",T$7=""),"",IF($B206="MEANS",INDEX('1-DATA'!$1:$1048576,$A205-1,COLUMN('1-DATA'!S204)),ROUND(INDEX('1-DATA'!$1:$1048576,IF(OR($B206="STD. DEVIATION",$C$1=1),$A206,$A206+1),COLUMN('1-DATA'!S204)),IF($B206="STD. DEVIATION",2,$F$1))))</f>
        <v/>
      </c>
      <c r="U206" s="1" t="str">
        <f>IF(OR($B206="",U$7=""),"",IF($B206="MEANS",INDEX('1-DATA'!$1:$1048576,$A205-1,COLUMN('1-DATA'!T204)),ROUND(INDEX('1-DATA'!$1:$1048576,IF(OR($B206="STD. DEVIATION",$C$1=1),$A206,$A206+1),COLUMN('1-DATA'!T204)),IF($B206="STD. DEVIATION",2,$F$1))))</f>
        <v/>
      </c>
      <c r="V206" s="1" t="str">
        <f>IF(OR($B206="",V$7=""),"",IF($B206="MEANS",INDEX('1-DATA'!$1:$1048576,$A205-1,COLUMN('1-DATA'!U204)),ROUND(INDEX('1-DATA'!$1:$1048576,IF(OR($B206="STD. DEVIATION",$C$1=1),$A206,$A206+1),COLUMN('1-DATA'!U204)),IF($B206="STD. DEVIATION",2,$F$1))))</f>
        <v/>
      </c>
      <c r="W206" s="1" t="str">
        <f>IF(OR($B206="",W$7=""),"",IF($B206="MEANS",INDEX('1-DATA'!$1:$1048576,$A205-1,COLUMN('1-DATA'!V204)),ROUND(INDEX('1-DATA'!$1:$1048576,IF(OR($B206="STD. DEVIATION",$C$1=1),$A206,$A206+1),COLUMN('1-DATA'!V204)),IF($B206="STD. DEVIATION",2,$F$1))))</f>
        <v/>
      </c>
      <c r="X206" s="1" t="str">
        <f>IF(OR($B206="",X$7=""),"",IF($B206="MEANS",INDEX('1-DATA'!$1:$1048576,$A205-1,COLUMN('1-DATA'!W204)),ROUND(INDEX('1-DATA'!$1:$1048576,IF(OR($B206="STD. DEVIATION",$C$1=1),$A206,$A206+1),COLUMN('1-DATA'!W204)),IF($B206="STD. DEVIATION",2,$F$1))))</f>
        <v/>
      </c>
      <c r="Y206" s="1" t="str">
        <f>IF(OR($B206="",Y$7=""),"",IF($B206="MEANS",INDEX('1-DATA'!$1:$1048576,$A205-1,COLUMN('1-DATA'!X204)),ROUND(INDEX('1-DATA'!$1:$1048576,IF(OR($B206="STD. DEVIATION",$C$1=1),$A206,$A206+1),COLUMN('1-DATA'!X204)),IF($B206="STD. DEVIATION",2,$F$1))))</f>
        <v/>
      </c>
      <c r="Z206" s="1" t="str">
        <f>IF(OR($B206="",Z$7=""),"",IF($B206="MEANS",INDEX('1-DATA'!$1:$1048576,$A205-1,COLUMN('1-DATA'!Y204)),ROUND(INDEX('1-DATA'!$1:$1048576,IF(OR($B206="STD. DEVIATION",$C$1=1),$A206,$A206+1),COLUMN('1-DATA'!Y204)),IF($B206="STD. DEVIATION",2,$F$1))))</f>
        <v/>
      </c>
      <c r="AA206" s="1" t="str">
        <f>IF(OR($B206="",AA$7=""),"",IF($B206="MEANS",INDEX('1-DATA'!$1:$1048576,$A205-1,COLUMN('1-DATA'!Z204)),ROUND(INDEX('1-DATA'!$1:$1048576,IF(OR($B206="STD. DEVIATION",$C$1=1),$A206,$A206+1),COLUMN('1-DATA'!Z204)),IF($B206="STD. DEVIATION",2,$F$1))))</f>
        <v/>
      </c>
      <c r="AB206" s="1" t="str">
        <f>IF(OR($B206="",AB$7=""),"",IF($B206="MEANS",INDEX('1-DATA'!$1:$1048576,$A205-1,COLUMN('1-DATA'!AA204)),ROUND(INDEX('1-DATA'!$1:$1048576,IF(OR($B206="STD. DEVIATION",$C$1=1),$A206,$A206+1),COLUMN('1-DATA'!AA204)),IF($B206="STD. DEVIATION",2,$F$1))))</f>
        <v/>
      </c>
      <c r="AC206" s="1" t="str">
        <f>IF(OR($B206="",AC$7=""),"",IF($B206="MEANS",INDEX('1-DATA'!$1:$1048576,$A205-1,COLUMN('1-DATA'!AB204)),ROUND(INDEX('1-DATA'!$1:$1048576,IF(OR($B206="STD. DEVIATION",$C$1=1),$A206,$A206+1),COLUMN('1-DATA'!AB204)),IF($B206="STD. DEVIATION",2,$F$1))))</f>
        <v/>
      </c>
      <c r="AD206" s="1" t="str">
        <f>IF(OR($B206="",AD$7=""),"",IF($B206="MEANS",INDEX('1-DATA'!$1:$1048576,$A205-1,COLUMN('1-DATA'!AC204)),ROUND(INDEX('1-DATA'!$1:$1048576,IF(OR($B206="STD. DEVIATION",$C$1=1),$A206,$A206+1),COLUMN('1-DATA'!AC204)),IF($B206="STD. DEVIATION",2,$F$1))))</f>
        <v/>
      </c>
      <c r="AE206" s="1" t="str">
        <f>IF(OR($B206="",AE$7=""),"",IF($B206="MEANS",INDEX('1-DATA'!$1:$1048576,$A205-1,COLUMN('1-DATA'!AD204)),ROUND(INDEX('1-DATA'!$1:$1048576,IF(OR($B206="STD. DEVIATION",$C$1=1),$A206,$A206+1),COLUMN('1-DATA'!AD204)),IF($B206="STD. DEVIATION",2,$F$1))))</f>
        <v/>
      </c>
      <c r="AF206" s="1" t="str">
        <f>IF(OR($B206="",AF$7=""),"",IF($B206="MEANS",INDEX('1-DATA'!$1:$1048576,$A205-1,COLUMN('1-DATA'!AE204)),ROUND(INDEX('1-DATA'!$1:$1048576,IF(OR($B206="STD. DEVIATION",$C$1=1),$A206,$A206+1),COLUMN('1-DATA'!AE204)),IF($B206="STD. DEVIATION",2,$F$1))))</f>
        <v/>
      </c>
      <c r="AG206" s="1" t="str">
        <f>IF(OR($B206="",AG$7=""),"",IF($B206="MEANS",INDEX('1-DATA'!$1:$1048576,$A205-1,COLUMN('1-DATA'!AF204)),ROUND(INDEX('1-DATA'!$1:$1048576,IF(OR($B206="STD. DEVIATION",$C$1=1),$A206,$A206+1),COLUMN('1-DATA'!AF204)),IF($B206="STD. DEVIATION",2,$F$1))))</f>
        <v/>
      </c>
      <c r="AH206" s="1" t="str">
        <f>IF(OR($B206="",AH$7=""),"",IF($B206="MEANS",INDEX('1-DATA'!$1:$1048576,$A205-1,COLUMN('1-DATA'!AG204)),ROUND(INDEX('1-DATA'!$1:$1048576,IF(OR($B206="STD. DEVIATION",$C$1=1),$A206,$A206+1),COLUMN('1-DATA'!AG204)),IF($B206="STD. DEVIATION",2,$F$1))))</f>
        <v/>
      </c>
      <c r="AI206" s="1" t="str">
        <f>IF(OR($B206="",AI$7=""),"",IF($B206="MEANS",INDEX('1-DATA'!$1:$1048576,$A205-1,COLUMN('1-DATA'!AH204)),ROUND(INDEX('1-DATA'!$1:$1048576,IF(OR($B206="STD. DEVIATION",$C$1=1),$A206,$A206+1),COLUMN('1-DATA'!AH204)),IF($B206="STD. DEVIATION",2,$F$1))))</f>
        <v/>
      </c>
      <c r="AJ206" s="1" t="str">
        <f>IF(OR($B206="",AJ$7=""),"",IF($B206="MEANS",INDEX('1-DATA'!$1:$1048576,$A205-1,COLUMN('1-DATA'!AI204)),ROUND(INDEX('1-DATA'!$1:$1048576,IF(OR($B206="STD. DEVIATION",$C$1=1),$A206,$A206+1),COLUMN('1-DATA'!AI204)),IF($B206="STD. DEVIATION",2,$F$1))))</f>
        <v/>
      </c>
      <c r="AK206" s="1" t="str">
        <f>IF(OR($B206="",AK$7=""),"",IF($B206="MEANS",INDEX('1-DATA'!$1:$1048576,$A205-1,COLUMN('1-DATA'!AJ204)),ROUND(INDEX('1-DATA'!$1:$1048576,IF(OR($B206="STD. DEVIATION",$C$1=1),$A206,$A206+1),COLUMN('1-DATA'!AJ204)),IF($B206="STD. DEVIATION",2,$F$1))))</f>
        <v/>
      </c>
      <c r="AL206" s="1" t="str">
        <f>IF(OR($B206="",AL$7=""),"",IF($B206="MEANS",INDEX('1-DATA'!$1:$1048576,$A205-1,COLUMN('1-DATA'!AK204)),ROUND(INDEX('1-DATA'!$1:$1048576,IF(OR($B206="STD. DEVIATION",$C$1=1),$A206,$A206+1),COLUMN('1-DATA'!AK204)),IF($B206="STD. DEVIATION",2,$F$1))))</f>
        <v/>
      </c>
      <c r="AM206" s="1" t="str">
        <f>IF(OR($B206="",AM$7=""),"",IF($B206="MEANS",INDEX('1-DATA'!$1:$1048576,$A205-1,COLUMN('1-DATA'!AL204)),ROUND(INDEX('1-DATA'!$1:$1048576,IF(OR($B206="STD. DEVIATION",$C$1=1),$A206,$A206+1),COLUMN('1-DATA'!AL204)),IF($B206="STD. DEVIATION",2,$F$1))))</f>
        <v/>
      </c>
      <c r="AN206" s="1" t="str">
        <f>IF(OR($B206="",AN$7=""),"",IF($B206="MEANS",INDEX('1-DATA'!$1:$1048576,$A205-1,COLUMN('1-DATA'!AM204)),ROUND(INDEX('1-DATA'!$1:$1048576,IF(OR($B206="STD. DEVIATION",$C$1=1),$A206,$A206+1),COLUMN('1-DATA'!AM204)),IF($B206="STD. DEVIATION",2,$F$1))))</f>
        <v/>
      </c>
      <c r="AO206" s="1" t="str">
        <f>IF(OR($B206="",AO$7=""),"",IF($B206="MEANS",INDEX('1-DATA'!$1:$1048576,$A205-1,COLUMN('1-DATA'!AN204)),ROUND(INDEX('1-DATA'!$1:$1048576,IF(OR($B206="STD. DEVIATION",$C$1=1),$A206,$A206+1),COLUMN('1-DATA'!AN204)),IF($B206="STD. DEVIATION",2,$F$1))))</f>
        <v/>
      </c>
      <c r="AP206" s="1" t="str">
        <f>IF(OR($B206="",AP$7=""),"",IF($B206="MEANS",INDEX('1-DATA'!$1:$1048576,$A205-1,COLUMN('1-DATA'!AO204)),ROUND(INDEX('1-DATA'!$1:$1048576,IF(OR($B206="STD. DEVIATION",$C$1=1),$A206,$A206+1),COLUMN('1-DATA'!AO204)),IF($B206="STD. DEVIATION",2,$F$1))))</f>
        <v/>
      </c>
      <c r="AQ206" s="1" t="str">
        <f>IF(OR($B206="",AQ$7=""),"",IF($B206="MEANS",INDEX('1-DATA'!$1:$1048576,$A205-1,COLUMN('1-DATA'!AP204)),ROUND(INDEX('1-DATA'!$1:$1048576,IF(OR($B206="STD. DEVIATION",$C$1=1),$A206,$A206+1),COLUMN('1-DATA'!AP204)),IF($B206="STD. DEVIATION",2,$F$1))))</f>
        <v/>
      </c>
      <c r="AR206" s="1" t="str">
        <f>IF(OR($B206="",AR$7=""),"",IF($B206="MEANS",INDEX('1-DATA'!$1:$1048576,$A205-1,COLUMN('1-DATA'!AQ204)),ROUND(INDEX('1-DATA'!$1:$1048576,IF(OR($B206="STD. DEVIATION",$C$1=1),$A206,$A206+1),COLUMN('1-DATA'!AQ204)),IF($B206="STD. DEVIATION",2,$F$1))))</f>
        <v/>
      </c>
      <c r="AS206" s="1" t="str">
        <f>IF(OR($B206="",AS$7=""),"",IF($B206="MEANS",INDEX('1-DATA'!$1:$1048576,$A205-1,COLUMN('1-DATA'!AR204)),ROUND(INDEX('1-DATA'!$1:$1048576,IF(OR($B206="STD. DEVIATION",$C$1=1),$A206,$A206+1),COLUMN('1-DATA'!AR204)),IF($B206="STD. DEVIATION",2,$F$1))))</f>
        <v/>
      </c>
      <c r="AT206" s="1" t="str">
        <f>IF(OR($B206="",AT$7=""),"",IF($B206="MEANS",INDEX('1-DATA'!$1:$1048576,$A205-1,COLUMN('1-DATA'!AS204)),ROUND(INDEX('1-DATA'!$1:$1048576,IF(OR($B206="STD. DEVIATION",$C$1=1),$A206,$A206+1),COLUMN('1-DATA'!AS204)),IF($B206="STD. DEVIATION",2,$F$1))))</f>
        <v/>
      </c>
      <c r="AU206" s="1" t="str">
        <f>IF(OR($B206="",AU$7=""),"",IF($B206="MEANS",INDEX('1-DATA'!$1:$1048576,$A205-1,COLUMN('1-DATA'!AT204)),ROUND(INDEX('1-DATA'!$1:$1048576,IF(OR($B206="STD. DEVIATION",$C$1=1),$A206,$A206+1),COLUMN('1-DATA'!AT204)),IF($B206="STD. DEVIATION",2,$F$1))))</f>
        <v/>
      </c>
      <c r="AV206" s="1" t="str">
        <f>IF(OR($B206="",AV$7=""),"",IF($B206="MEANS",INDEX('1-DATA'!$1:$1048576,$A205-1,COLUMN('1-DATA'!AU204)),ROUND(INDEX('1-DATA'!$1:$1048576,IF(OR($B206="STD. DEVIATION",$C$1=1),$A206,$A206+1),COLUMN('1-DATA'!AU204)),IF($B206="STD. DEVIATION",2,$F$1))))</f>
        <v/>
      </c>
      <c r="AW206" s="1" t="str">
        <f>IF(OR($B206="",AW$7=""),"",IF($B206="MEANS",INDEX('1-DATA'!$1:$1048576,$A205-1,COLUMN('1-DATA'!AV204)),ROUND(INDEX('1-DATA'!$1:$1048576,IF(OR($B206="STD. DEVIATION",$C$1=1),$A206,$A206+1),COLUMN('1-DATA'!AV204)),IF($B206="STD. DEVIATION",2,$F$1))))</f>
        <v/>
      </c>
      <c r="AX206" s="1" t="str">
        <f>IF(OR($B206="",AX$7=""),"",IF($B206="MEANS",INDEX('1-DATA'!$1:$1048576,$A205-1,COLUMN('1-DATA'!AW204)),ROUND(INDEX('1-DATA'!$1:$1048576,IF(OR($B206="STD. DEVIATION",$C$1=1),$A206,$A206+1),COLUMN('1-DATA'!AW204)),IF($B206="STD. DEVIATION",2,$F$1))))</f>
        <v/>
      </c>
      <c r="AY206" s="1" t="str">
        <f>IF(OR($B206="",AY$7=""),"",IF($B206="MEANS",INDEX('1-DATA'!$1:$1048576,$A205-1,COLUMN('1-DATA'!AX204)),ROUND(INDEX('1-DATA'!$1:$1048576,IF(OR($B206="STD. DEVIATION",$C$1=1),$A206,$A206+1),COLUMN('1-DATA'!AX204)),IF($B206="STD. DEVIATION",2,$F$1))))</f>
        <v/>
      </c>
      <c r="AZ206" s="1" t="str">
        <f>IF(OR($B206="",AZ$7=""),"",IF($B206="MEANS",INDEX('1-DATA'!$1:$1048576,$A205-1,COLUMN('1-DATA'!AY204)),ROUND(INDEX('1-DATA'!$1:$1048576,IF(OR($B206="STD. DEVIATION",$C$1=1),$A206,$A206+1),COLUMN('1-DATA'!AY204)),IF($B206="STD. DEVIATION",2,$F$1))))</f>
        <v/>
      </c>
    </row>
    <row r="207" spans="1:52" x14ac:dyDescent="0.25">
      <c r="A207" s="11">
        <f t="shared" si="3"/>
        <v>607</v>
      </c>
      <c r="B207" s="1" t="str">
        <f>IF(B206="STD. DEVIATION",INDEX('1-DATA'!$1:$1048576,$A206-1,1),IF(INDEX('1-DATA'!$1:$1048576,$A207,1)&lt;&gt;"",INDEX('1-DATA'!$1:$1048576,$A207,1),""))</f>
        <v/>
      </c>
      <c r="C207" s="1" t="str">
        <f>IF(OR($B207="",C$7=""),"",IF($B207="MEANS",INDEX('1-DATA'!$1:$1048576,$A206-1,COLUMN('1-DATA'!B205)),ROUND(INDEX('1-DATA'!$1:$1048576,IF(OR($B207="STD. DEVIATION",$C$1=1),$A207,$A207+1),COLUMN('1-DATA'!B205)),IF($B207="STD. DEVIATION",2,$F$1))))</f>
        <v/>
      </c>
      <c r="D207" s="1" t="str">
        <f>IF(OR($B207="",D$7=""),"",IF($B207="MEANS",INDEX('1-DATA'!$1:$1048576,$A206-1,COLUMN('1-DATA'!C205)),ROUND(INDEX('1-DATA'!$1:$1048576,IF(OR($B207="STD. DEVIATION",$C$1=1),$A207,$A207+1),COLUMN('1-DATA'!C205)),IF($B207="STD. DEVIATION",2,$F$1))))</f>
        <v/>
      </c>
      <c r="E207" s="1" t="str">
        <f>IF(OR($B207="",E$7=""),"",IF($B207="MEANS",INDEX('1-DATA'!$1:$1048576,$A206-1,COLUMN('1-DATA'!D205)),ROUND(INDEX('1-DATA'!$1:$1048576,IF(OR($B207="STD. DEVIATION",$C$1=1),$A207,$A207+1),COLUMN('1-DATA'!D205)),IF($B207="STD. DEVIATION",2,$F$1))))</f>
        <v/>
      </c>
      <c r="F207" s="1" t="str">
        <f>IF(OR($B207="",F$7=""),"",IF($B207="MEANS",INDEX('1-DATA'!$1:$1048576,$A206-1,COLUMN('1-DATA'!E205)),ROUND(INDEX('1-DATA'!$1:$1048576,IF(OR($B207="STD. DEVIATION",$C$1=1),$A207,$A207+1),COLUMN('1-DATA'!E205)),IF($B207="STD. DEVIATION",2,$F$1))))</f>
        <v/>
      </c>
      <c r="G207" s="1" t="str">
        <f>IF(OR($B207="",G$7=""),"",IF($B207="MEANS",INDEX('1-DATA'!$1:$1048576,$A206-1,COLUMN('1-DATA'!F205)),ROUND(INDEX('1-DATA'!$1:$1048576,IF(OR($B207="STD. DEVIATION",$C$1=1),$A207,$A207+1),COLUMN('1-DATA'!F205)),IF($B207="STD. DEVIATION",2,$F$1))))</f>
        <v/>
      </c>
      <c r="H207" s="1" t="str">
        <f>IF(OR($B207="",H$7=""),"",IF($B207="MEANS",INDEX('1-DATA'!$1:$1048576,$A206-1,COLUMN('1-DATA'!G205)),ROUND(INDEX('1-DATA'!$1:$1048576,IF(OR($B207="STD. DEVIATION",$C$1=1),$A207,$A207+1),COLUMN('1-DATA'!G205)),IF($B207="STD. DEVIATION",2,$F$1))))</f>
        <v/>
      </c>
      <c r="I207" s="1" t="str">
        <f>IF(OR($B207="",I$7=""),"",IF($B207="MEANS",INDEX('1-DATA'!$1:$1048576,$A206-1,COLUMN('1-DATA'!H205)),ROUND(INDEX('1-DATA'!$1:$1048576,IF(OR($B207="STD. DEVIATION",$C$1=1),$A207,$A207+1),COLUMN('1-DATA'!H205)),IF($B207="STD. DEVIATION",2,$F$1))))</f>
        <v/>
      </c>
      <c r="J207" s="1" t="str">
        <f>IF(OR($B207="",J$7=""),"",IF($B207="MEANS",INDEX('1-DATA'!$1:$1048576,$A206-1,COLUMN('1-DATA'!I205)),ROUND(INDEX('1-DATA'!$1:$1048576,IF(OR($B207="STD. DEVIATION",$C$1=1),$A207,$A207+1),COLUMN('1-DATA'!I205)),IF($B207="STD. DEVIATION",2,$F$1))))</f>
        <v/>
      </c>
      <c r="K207" s="1" t="str">
        <f>IF(OR($B207="",K$7=""),"",IF($B207="MEANS",INDEX('1-DATA'!$1:$1048576,$A206-1,COLUMN('1-DATA'!J205)),ROUND(INDEX('1-DATA'!$1:$1048576,IF(OR($B207="STD. DEVIATION",$C$1=1),$A207,$A207+1),COLUMN('1-DATA'!J205)),IF($B207="STD. DEVIATION",2,$F$1))))</f>
        <v/>
      </c>
      <c r="L207" s="1" t="str">
        <f>IF(OR($B207="",L$7=""),"",IF($B207="MEANS",INDEX('1-DATA'!$1:$1048576,$A206-1,COLUMN('1-DATA'!K205)),ROUND(INDEX('1-DATA'!$1:$1048576,IF(OR($B207="STD. DEVIATION",$C$1=1),$A207,$A207+1),COLUMN('1-DATA'!K205)),IF($B207="STD. DEVIATION",2,$F$1))))</f>
        <v/>
      </c>
      <c r="M207" s="1" t="str">
        <f>IF(OR($B207="",M$7=""),"",IF($B207="MEANS",INDEX('1-DATA'!$1:$1048576,$A206-1,COLUMN('1-DATA'!L205)),ROUND(INDEX('1-DATA'!$1:$1048576,IF(OR($B207="STD. DEVIATION",$C$1=1),$A207,$A207+1),COLUMN('1-DATA'!L205)),IF($B207="STD. DEVIATION",2,$F$1))))</f>
        <v/>
      </c>
      <c r="N207" s="1" t="str">
        <f>IF(OR($B207="",N$7=""),"",IF($B207="MEANS",INDEX('1-DATA'!$1:$1048576,$A206-1,COLUMN('1-DATA'!M205)),ROUND(INDEX('1-DATA'!$1:$1048576,IF(OR($B207="STD. DEVIATION",$C$1=1),$A207,$A207+1),COLUMN('1-DATA'!M205)),IF($B207="STD. DEVIATION",2,$F$1))))</f>
        <v/>
      </c>
      <c r="O207" s="1" t="str">
        <f>IF(OR($B207="",O$7=""),"",IF($B207="MEANS",INDEX('1-DATA'!$1:$1048576,$A206-1,COLUMN('1-DATA'!N205)),ROUND(INDEX('1-DATA'!$1:$1048576,IF(OR($B207="STD. DEVIATION",$C$1=1),$A207,$A207+1),COLUMN('1-DATA'!N205)),IF($B207="STD. DEVIATION",2,$F$1))))</f>
        <v/>
      </c>
      <c r="P207" s="1" t="str">
        <f>IF(OR($B207="",P$7=""),"",IF($B207="MEANS",INDEX('1-DATA'!$1:$1048576,$A206-1,COLUMN('1-DATA'!O205)),ROUND(INDEX('1-DATA'!$1:$1048576,IF(OR($B207="STD. DEVIATION",$C$1=1),$A207,$A207+1),COLUMN('1-DATA'!O205)),IF($B207="STD. DEVIATION",2,$F$1))))</f>
        <v/>
      </c>
      <c r="Q207" s="1" t="str">
        <f>IF(OR($B207="",Q$7=""),"",IF($B207="MEANS",INDEX('1-DATA'!$1:$1048576,$A206-1,COLUMN('1-DATA'!P205)),ROUND(INDEX('1-DATA'!$1:$1048576,IF(OR($B207="STD. DEVIATION",$C$1=1),$A207,$A207+1),COLUMN('1-DATA'!P205)),IF($B207="STD. DEVIATION",2,$F$1))))</f>
        <v/>
      </c>
      <c r="R207" s="1" t="str">
        <f>IF(OR($B207="",R$7=""),"",IF($B207="MEANS",INDEX('1-DATA'!$1:$1048576,$A206-1,COLUMN('1-DATA'!Q205)),ROUND(INDEX('1-DATA'!$1:$1048576,IF(OR($B207="STD. DEVIATION",$C$1=1),$A207,$A207+1),COLUMN('1-DATA'!Q205)),IF($B207="STD. DEVIATION",2,$F$1))))</f>
        <v/>
      </c>
      <c r="S207" s="1" t="str">
        <f>IF(OR($B207="",S$7=""),"",IF($B207="MEANS",INDEX('1-DATA'!$1:$1048576,$A206-1,COLUMN('1-DATA'!R205)),ROUND(INDEX('1-DATA'!$1:$1048576,IF(OR($B207="STD. DEVIATION",$C$1=1),$A207,$A207+1),COLUMN('1-DATA'!R205)),IF($B207="STD. DEVIATION",2,$F$1))))</f>
        <v/>
      </c>
      <c r="T207" s="1" t="str">
        <f>IF(OR($B207="",T$7=""),"",IF($B207="MEANS",INDEX('1-DATA'!$1:$1048576,$A206-1,COLUMN('1-DATA'!S205)),ROUND(INDEX('1-DATA'!$1:$1048576,IF(OR($B207="STD. DEVIATION",$C$1=1),$A207,$A207+1),COLUMN('1-DATA'!S205)),IF($B207="STD. DEVIATION",2,$F$1))))</f>
        <v/>
      </c>
      <c r="U207" s="1" t="str">
        <f>IF(OR($B207="",U$7=""),"",IF($B207="MEANS",INDEX('1-DATA'!$1:$1048576,$A206-1,COLUMN('1-DATA'!T205)),ROUND(INDEX('1-DATA'!$1:$1048576,IF(OR($B207="STD. DEVIATION",$C$1=1),$A207,$A207+1),COLUMN('1-DATA'!T205)),IF($B207="STD. DEVIATION",2,$F$1))))</f>
        <v/>
      </c>
      <c r="V207" s="1" t="str">
        <f>IF(OR($B207="",V$7=""),"",IF($B207="MEANS",INDEX('1-DATA'!$1:$1048576,$A206-1,COLUMN('1-DATA'!U205)),ROUND(INDEX('1-DATA'!$1:$1048576,IF(OR($B207="STD. DEVIATION",$C$1=1),$A207,$A207+1),COLUMN('1-DATA'!U205)),IF($B207="STD. DEVIATION",2,$F$1))))</f>
        <v/>
      </c>
      <c r="W207" s="1" t="str">
        <f>IF(OR($B207="",W$7=""),"",IF($B207="MEANS",INDEX('1-DATA'!$1:$1048576,$A206-1,COLUMN('1-DATA'!V205)),ROUND(INDEX('1-DATA'!$1:$1048576,IF(OR($B207="STD. DEVIATION",$C$1=1),$A207,$A207+1),COLUMN('1-DATA'!V205)),IF($B207="STD. DEVIATION",2,$F$1))))</f>
        <v/>
      </c>
      <c r="X207" s="1" t="str">
        <f>IF(OR($B207="",X$7=""),"",IF($B207="MEANS",INDEX('1-DATA'!$1:$1048576,$A206-1,COLUMN('1-DATA'!W205)),ROUND(INDEX('1-DATA'!$1:$1048576,IF(OR($B207="STD. DEVIATION",$C$1=1),$A207,$A207+1),COLUMN('1-DATA'!W205)),IF($B207="STD. DEVIATION",2,$F$1))))</f>
        <v/>
      </c>
      <c r="Y207" s="1" t="str">
        <f>IF(OR($B207="",Y$7=""),"",IF($B207="MEANS",INDEX('1-DATA'!$1:$1048576,$A206-1,COLUMN('1-DATA'!X205)),ROUND(INDEX('1-DATA'!$1:$1048576,IF(OR($B207="STD. DEVIATION",$C$1=1),$A207,$A207+1),COLUMN('1-DATA'!X205)),IF($B207="STD. DEVIATION",2,$F$1))))</f>
        <v/>
      </c>
      <c r="Z207" s="1" t="str">
        <f>IF(OR($B207="",Z$7=""),"",IF($B207="MEANS",INDEX('1-DATA'!$1:$1048576,$A206-1,COLUMN('1-DATA'!Y205)),ROUND(INDEX('1-DATA'!$1:$1048576,IF(OR($B207="STD. DEVIATION",$C$1=1),$A207,$A207+1),COLUMN('1-DATA'!Y205)),IF($B207="STD. DEVIATION",2,$F$1))))</f>
        <v/>
      </c>
      <c r="AA207" s="1" t="str">
        <f>IF(OR($B207="",AA$7=""),"",IF($B207="MEANS",INDEX('1-DATA'!$1:$1048576,$A206-1,COLUMN('1-DATA'!Z205)),ROUND(INDEX('1-DATA'!$1:$1048576,IF(OR($B207="STD. DEVIATION",$C$1=1),$A207,$A207+1),COLUMN('1-DATA'!Z205)),IF($B207="STD. DEVIATION",2,$F$1))))</f>
        <v/>
      </c>
      <c r="AB207" s="1" t="str">
        <f>IF(OR($B207="",AB$7=""),"",IF($B207="MEANS",INDEX('1-DATA'!$1:$1048576,$A206-1,COLUMN('1-DATA'!AA205)),ROUND(INDEX('1-DATA'!$1:$1048576,IF(OR($B207="STD. DEVIATION",$C$1=1),$A207,$A207+1),COLUMN('1-DATA'!AA205)),IF($B207="STD. DEVIATION",2,$F$1))))</f>
        <v/>
      </c>
      <c r="AC207" s="1" t="str">
        <f>IF(OR($B207="",AC$7=""),"",IF($B207="MEANS",INDEX('1-DATA'!$1:$1048576,$A206-1,COLUMN('1-DATA'!AB205)),ROUND(INDEX('1-DATA'!$1:$1048576,IF(OR($B207="STD. DEVIATION",$C$1=1),$A207,$A207+1),COLUMN('1-DATA'!AB205)),IF($B207="STD. DEVIATION",2,$F$1))))</f>
        <v/>
      </c>
      <c r="AD207" s="1" t="str">
        <f>IF(OR($B207="",AD$7=""),"",IF($B207="MEANS",INDEX('1-DATA'!$1:$1048576,$A206-1,COLUMN('1-DATA'!AC205)),ROUND(INDEX('1-DATA'!$1:$1048576,IF(OR($B207="STD. DEVIATION",$C$1=1),$A207,$A207+1),COLUMN('1-DATA'!AC205)),IF($B207="STD. DEVIATION",2,$F$1))))</f>
        <v/>
      </c>
      <c r="AE207" s="1" t="str">
        <f>IF(OR($B207="",AE$7=""),"",IF($B207="MEANS",INDEX('1-DATA'!$1:$1048576,$A206-1,COLUMN('1-DATA'!AD205)),ROUND(INDEX('1-DATA'!$1:$1048576,IF(OR($B207="STD. DEVIATION",$C$1=1),$A207,$A207+1),COLUMN('1-DATA'!AD205)),IF($B207="STD. DEVIATION",2,$F$1))))</f>
        <v/>
      </c>
      <c r="AF207" s="1" t="str">
        <f>IF(OR($B207="",AF$7=""),"",IF($B207="MEANS",INDEX('1-DATA'!$1:$1048576,$A206-1,COLUMN('1-DATA'!AE205)),ROUND(INDEX('1-DATA'!$1:$1048576,IF(OR($B207="STD. DEVIATION",$C$1=1),$A207,$A207+1),COLUMN('1-DATA'!AE205)),IF($B207="STD. DEVIATION",2,$F$1))))</f>
        <v/>
      </c>
      <c r="AG207" s="1" t="str">
        <f>IF(OR($B207="",AG$7=""),"",IF($B207="MEANS",INDEX('1-DATA'!$1:$1048576,$A206-1,COLUMN('1-DATA'!AF205)),ROUND(INDEX('1-DATA'!$1:$1048576,IF(OR($B207="STD. DEVIATION",$C$1=1),$A207,$A207+1),COLUMN('1-DATA'!AF205)),IF($B207="STD. DEVIATION",2,$F$1))))</f>
        <v/>
      </c>
      <c r="AH207" s="1" t="str">
        <f>IF(OR($B207="",AH$7=""),"",IF($B207="MEANS",INDEX('1-DATA'!$1:$1048576,$A206-1,COLUMN('1-DATA'!AG205)),ROUND(INDEX('1-DATA'!$1:$1048576,IF(OR($B207="STD. DEVIATION",$C$1=1),$A207,$A207+1),COLUMN('1-DATA'!AG205)),IF($B207="STD. DEVIATION",2,$F$1))))</f>
        <v/>
      </c>
      <c r="AI207" s="1" t="str">
        <f>IF(OR($B207="",AI$7=""),"",IF($B207="MEANS",INDEX('1-DATA'!$1:$1048576,$A206-1,COLUMN('1-DATA'!AH205)),ROUND(INDEX('1-DATA'!$1:$1048576,IF(OR($B207="STD. DEVIATION",$C$1=1),$A207,$A207+1),COLUMN('1-DATA'!AH205)),IF($B207="STD. DEVIATION",2,$F$1))))</f>
        <v/>
      </c>
      <c r="AJ207" s="1" t="str">
        <f>IF(OR($B207="",AJ$7=""),"",IF($B207="MEANS",INDEX('1-DATA'!$1:$1048576,$A206-1,COLUMN('1-DATA'!AI205)),ROUND(INDEX('1-DATA'!$1:$1048576,IF(OR($B207="STD. DEVIATION",$C$1=1),$A207,$A207+1),COLUMN('1-DATA'!AI205)),IF($B207="STD. DEVIATION",2,$F$1))))</f>
        <v/>
      </c>
      <c r="AK207" s="1" t="str">
        <f>IF(OR($B207="",AK$7=""),"",IF($B207="MEANS",INDEX('1-DATA'!$1:$1048576,$A206-1,COLUMN('1-DATA'!AJ205)),ROUND(INDEX('1-DATA'!$1:$1048576,IF(OR($B207="STD. DEVIATION",$C$1=1),$A207,$A207+1),COLUMN('1-DATA'!AJ205)),IF($B207="STD. DEVIATION",2,$F$1))))</f>
        <v/>
      </c>
      <c r="AL207" s="1" t="str">
        <f>IF(OR($B207="",AL$7=""),"",IF($B207="MEANS",INDEX('1-DATA'!$1:$1048576,$A206-1,COLUMN('1-DATA'!AK205)),ROUND(INDEX('1-DATA'!$1:$1048576,IF(OR($B207="STD. DEVIATION",$C$1=1),$A207,$A207+1),COLUMN('1-DATA'!AK205)),IF($B207="STD. DEVIATION",2,$F$1))))</f>
        <v/>
      </c>
      <c r="AM207" s="1" t="str">
        <f>IF(OR($B207="",AM$7=""),"",IF($B207="MEANS",INDEX('1-DATA'!$1:$1048576,$A206-1,COLUMN('1-DATA'!AL205)),ROUND(INDEX('1-DATA'!$1:$1048576,IF(OR($B207="STD. DEVIATION",$C$1=1),$A207,$A207+1),COLUMN('1-DATA'!AL205)),IF($B207="STD. DEVIATION",2,$F$1))))</f>
        <v/>
      </c>
      <c r="AN207" s="1" t="str">
        <f>IF(OR($B207="",AN$7=""),"",IF($B207="MEANS",INDEX('1-DATA'!$1:$1048576,$A206-1,COLUMN('1-DATA'!AM205)),ROUND(INDEX('1-DATA'!$1:$1048576,IF(OR($B207="STD. DEVIATION",$C$1=1),$A207,$A207+1),COLUMN('1-DATA'!AM205)),IF($B207="STD. DEVIATION",2,$F$1))))</f>
        <v/>
      </c>
      <c r="AO207" s="1" t="str">
        <f>IF(OR($B207="",AO$7=""),"",IF($B207="MEANS",INDEX('1-DATA'!$1:$1048576,$A206-1,COLUMN('1-DATA'!AN205)),ROUND(INDEX('1-DATA'!$1:$1048576,IF(OR($B207="STD. DEVIATION",$C$1=1),$A207,$A207+1),COLUMN('1-DATA'!AN205)),IF($B207="STD. DEVIATION",2,$F$1))))</f>
        <v/>
      </c>
      <c r="AP207" s="1" t="str">
        <f>IF(OR($B207="",AP$7=""),"",IF($B207="MEANS",INDEX('1-DATA'!$1:$1048576,$A206-1,COLUMN('1-DATA'!AO205)),ROUND(INDEX('1-DATA'!$1:$1048576,IF(OR($B207="STD. DEVIATION",$C$1=1),$A207,$A207+1),COLUMN('1-DATA'!AO205)),IF($B207="STD. DEVIATION",2,$F$1))))</f>
        <v/>
      </c>
      <c r="AQ207" s="1" t="str">
        <f>IF(OR($B207="",AQ$7=""),"",IF($B207="MEANS",INDEX('1-DATA'!$1:$1048576,$A206-1,COLUMN('1-DATA'!AP205)),ROUND(INDEX('1-DATA'!$1:$1048576,IF(OR($B207="STD. DEVIATION",$C$1=1),$A207,$A207+1),COLUMN('1-DATA'!AP205)),IF($B207="STD. DEVIATION",2,$F$1))))</f>
        <v/>
      </c>
      <c r="AR207" s="1" t="str">
        <f>IF(OR($B207="",AR$7=""),"",IF($B207="MEANS",INDEX('1-DATA'!$1:$1048576,$A206-1,COLUMN('1-DATA'!AQ205)),ROUND(INDEX('1-DATA'!$1:$1048576,IF(OR($B207="STD. DEVIATION",$C$1=1),$A207,$A207+1),COLUMN('1-DATA'!AQ205)),IF($B207="STD. DEVIATION",2,$F$1))))</f>
        <v/>
      </c>
      <c r="AS207" s="1" t="str">
        <f>IF(OR($B207="",AS$7=""),"",IF($B207="MEANS",INDEX('1-DATA'!$1:$1048576,$A206-1,COLUMN('1-DATA'!AR205)),ROUND(INDEX('1-DATA'!$1:$1048576,IF(OR($B207="STD. DEVIATION",$C$1=1),$A207,$A207+1),COLUMN('1-DATA'!AR205)),IF($B207="STD. DEVIATION",2,$F$1))))</f>
        <v/>
      </c>
      <c r="AT207" s="1" t="str">
        <f>IF(OR($B207="",AT$7=""),"",IF($B207="MEANS",INDEX('1-DATA'!$1:$1048576,$A206-1,COLUMN('1-DATA'!AS205)),ROUND(INDEX('1-DATA'!$1:$1048576,IF(OR($B207="STD. DEVIATION",$C$1=1),$A207,$A207+1),COLUMN('1-DATA'!AS205)),IF($B207="STD. DEVIATION",2,$F$1))))</f>
        <v/>
      </c>
      <c r="AU207" s="1" t="str">
        <f>IF(OR($B207="",AU$7=""),"",IF($B207="MEANS",INDEX('1-DATA'!$1:$1048576,$A206-1,COLUMN('1-DATA'!AT205)),ROUND(INDEX('1-DATA'!$1:$1048576,IF(OR($B207="STD. DEVIATION",$C$1=1),$A207,$A207+1),COLUMN('1-DATA'!AT205)),IF($B207="STD. DEVIATION",2,$F$1))))</f>
        <v/>
      </c>
      <c r="AV207" s="1" t="str">
        <f>IF(OR($B207="",AV$7=""),"",IF($B207="MEANS",INDEX('1-DATA'!$1:$1048576,$A206-1,COLUMN('1-DATA'!AU205)),ROUND(INDEX('1-DATA'!$1:$1048576,IF(OR($B207="STD. DEVIATION",$C$1=1),$A207,$A207+1),COLUMN('1-DATA'!AU205)),IF($B207="STD. DEVIATION",2,$F$1))))</f>
        <v/>
      </c>
      <c r="AW207" s="1" t="str">
        <f>IF(OR($B207="",AW$7=""),"",IF($B207="MEANS",INDEX('1-DATA'!$1:$1048576,$A206-1,COLUMN('1-DATA'!AV205)),ROUND(INDEX('1-DATA'!$1:$1048576,IF(OR($B207="STD. DEVIATION",$C$1=1),$A207,$A207+1),COLUMN('1-DATA'!AV205)),IF($B207="STD. DEVIATION",2,$F$1))))</f>
        <v/>
      </c>
      <c r="AX207" s="1" t="str">
        <f>IF(OR($B207="",AX$7=""),"",IF($B207="MEANS",INDEX('1-DATA'!$1:$1048576,$A206-1,COLUMN('1-DATA'!AW205)),ROUND(INDEX('1-DATA'!$1:$1048576,IF(OR($B207="STD. DEVIATION",$C$1=1),$A207,$A207+1),COLUMN('1-DATA'!AW205)),IF($B207="STD. DEVIATION",2,$F$1))))</f>
        <v/>
      </c>
      <c r="AY207" s="1" t="str">
        <f>IF(OR($B207="",AY$7=""),"",IF($B207="MEANS",INDEX('1-DATA'!$1:$1048576,$A206-1,COLUMN('1-DATA'!AX205)),ROUND(INDEX('1-DATA'!$1:$1048576,IF(OR($B207="STD. DEVIATION",$C$1=1),$A207,$A207+1),COLUMN('1-DATA'!AX205)),IF($B207="STD. DEVIATION",2,$F$1))))</f>
        <v/>
      </c>
      <c r="AZ207" s="1" t="str">
        <f>IF(OR($B207="",AZ$7=""),"",IF($B207="MEANS",INDEX('1-DATA'!$1:$1048576,$A206-1,COLUMN('1-DATA'!AY205)),ROUND(INDEX('1-DATA'!$1:$1048576,IF(OR($B207="STD. DEVIATION",$C$1=1),$A207,$A207+1),COLUMN('1-DATA'!AY205)),IF($B207="STD. DEVIATION",2,$F$1))))</f>
        <v/>
      </c>
    </row>
    <row r="208" spans="1:52" x14ac:dyDescent="0.25">
      <c r="A208" s="11">
        <f t="shared" si="3"/>
        <v>610</v>
      </c>
      <c r="B208" s="1" t="str">
        <f>IF(B207="STD. DEVIATION",INDEX('1-DATA'!$1:$1048576,$A207-1,1),IF(INDEX('1-DATA'!$1:$1048576,$A208,1)&lt;&gt;"",INDEX('1-DATA'!$1:$1048576,$A208,1),""))</f>
        <v/>
      </c>
      <c r="C208" s="1" t="str">
        <f>IF(OR($B208="",C$7=""),"",IF($B208="MEANS",INDEX('1-DATA'!$1:$1048576,$A207-1,COLUMN('1-DATA'!B206)),ROUND(INDEX('1-DATA'!$1:$1048576,IF(OR($B208="STD. DEVIATION",$C$1=1),$A208,$A208+1),COLUMN('1-DATA'!B206)),IF($B208="STD. DEVIATION",2,$F$1))))</f>
        <v/>
      </c>
      <c r="D208" s="1" t="str">
        <f>IF(OR($B208="",D$7=""),"",IF($B208="MEANS",INDEX('1-DATA'!$1:$1048576,$A207-1,COLUMN('1-DATA'!C206)),ROUND(INDEX('1-DATA'!$1:$1048576,IF(OR($B208="STD. DEVIATION",$C$1=1),$A208,$A208+1),COLUMN('1-DATA'!C206)),IF($B208="STD. DEVIATION",2,$F$1))))</f>
        <v/>
      </c>
      <c r="E208" s="1" t="str">
        <f>IF(OR($B208="",E$7=""),"",IF($B208="MEANS",INDEX('1-DATA'!$1:$1048576,$A207-1,COLUMN('1-DATA'!D206)),ROUND(INDEX('1-DATA'!$1:$1048576,IF(OR($B208="STD. DEVIATION",$C$1=1),$A208,$A208+1),COLUMN('1-DATA'!D206)),IF($B208="STD. DEVIATION",2,$F$1))))</f>
        <v/>
      </c>
      <c r="F208" s="1" t="str">
        <f>IF(OR($B208="",F$7=""),"",IF($B208="MEANS",INDEX('1-DATA'!$1:$1048576,$A207-1,COLUMN('1-DATA'!E206)),ROUND(INDEX('1-DATA'!$1:$1048576,IF(OR($B208="STD. DEVIATION",$C$1=1),$A208,$A208+1),COLUMN('1-DATA'!E206)),IF($B208="STD. DEVIATION",2,$F$1))))</f>
        <v/>
      </c>
      <c r="G208" s="1" t="str">
        <f>IF(OR($B208="",G$7=""),"",IF($B208="MEANS",INDEX('1-DATA'!$1:$1048576,$A207-1,COLUMN('1-DATA'!F206)),ROUND(INDEX('1-DATA'!$1:$1048576,IF(OR($B208="STD. DEVIATION",$C$1=1),$A208,$A208+1),COLUMN('1-DATA'!F206)),IF($B208="STD. DEVIATION",2,$F$1))))</f>
        <v/>
      </c>
      <c r="H208" s="1" t="str">
        <f>IF(OR($B208="",H$7=""),"",IF($B208="MEANS",INDEX('1-DATA'!$1:$1048576,$A207-1,COLUMN('1-DATA'!G206)),ROUND(INDEX('1-DATA'!$1:$1048576,IF(OR($B208="STD. DEVIATION",$C$1=1),$A208,$A208+1),COLUMN('1-DATA'!G206)),IF($B208="STD. DEVIATION",2,$F$1))))</f>
        <v/>
      </c>
      <c r="I208" s="1" t="str">
        <f>IF(OR($B208="",I$7=""),"",IF($B208="MEANS",INDEX('1-DATA'!$1:$1048576,$A207-1,COLUMN('1-DATA'!H206)),ROUND(INDEX('1-DATA'!$1:$1048576,IF(OR($B208="STD. DEVIATION",$C$1=1),$A208,$A208+1),COLUMN('1-DATA'!H206)),IF($B208="STD. DEVIATION",2,$F$1))))</f>
        <v/>
      </c>
      <c r="J208" s="1" t="str">
        <f>IF(OR($B208="",J$7=""),"",IF($B208="MEANS",INDEX('1-DATA'!$1:$1048576,$A207-1,COLUMN('1-DATA'!I206)),ROUND(INDEX('1-DATA'!$1:$1048576,IF(OR($B208="STD. DEVIATION",$C$1=1),$A208,$A208+1),COLUMN('1-DATA'!I206)),IF($B208="STD. DEVIATION",2,$F$1))))</f>
        <v/>
      </c>
      <c r="K208" s="1" t="str">
        <f>IF(OR($B208="",K$7=""),"",IF($B208="MEANS",INDEX('1-DATA'!$1:$1048576,$A207-1,COLUMN('1-DATA'!J206)),ROUND(INDEX('1-DATA'!$1:$1048576,IF(OR($B208="STD. DEVIATION",$C$1=1),$A208,$A208+1),COLUMN('1-DATA'!J206)),IF($B208="STD. DEVIATION",2,$F$1))))</f>
        <v/>
      </c>
      <c r="L208" s="1" t="str">
        <f>IF(OR($B208="",L$7=""),"",IF($B208="MEANS",INDEX('1-DATA'!$1:$1048576,$A207-1,COLUMN('1-DATA'!K206)),ROUND(INDEX('1-DATA'!$1:$1048576,IF(OR($B208="STD. DEVIATION",$C$1=1),$A208,$A208+1),COLUMN('1-DATA'!K206)),IF($B208="STD. DEVIATION",2,$F$1))))</f>
        <v/>
      </c>
      <c r="M208" s="1" t="str">
        <f>IF(OR($B208="",M$7=""),"",IF($B208="MEANS",INDEX('1-DATA'!$1:$1048576,$A207-1,COLUMN('1-DATA'!L206)),ROUND(INDEX('1-DATA'!$1:$1048576,IF(OR($B208="STD. DEVIATION",$C$1=1),$A208,$A208+1),COLUMN('1-DATA'!L206)),IF($B208="STD. DEVIATION",2,$F$1))))</f>
        <v/>
      </c>
      <c r="N208" s="1" t="str">
        <f>IF(OR($B208="",N$7=""),"",IF($B208="MEANS",INDEX('1-DATA'!$1:$1048576,$A207-1,COLUMN('1-DATA'!M206)),ROUND(INDEX('1-DATA'!$1:$1048576,IF(OR($B208="STD. DEVIATION",$C$1=1),$A208,$A208+1),COLUMN('1-DATA'!M206)),IF($B208="STD. DEVIATION",2,$F$1))))</f>
        <v/>
      </c>
      <c r="O208" s="1" t="str">
        <f>IF(OR($B208="",O$7=""),"",IF($B208="MEANS",INDEX('1-DATA'!$1:$1048576,$A207-1,COLUMN('1-DATA'!N206)),ROUND(INDEX('1-DATA'!$1:$1048576,IF(OR($B208="STD. DEVIATION",$C$1=1),$A208,$A208+1),COLUMN('1-DATA'!N206)),IF($B208="STD. DEVIATION",2,$F$1))))</f>
        <v/>
      </c>
      <c r="P208" s="1" t="str">
        <f>IF(OR($B208="",P$7=""),"",IF($B208="MEANS",INDEX('1-DATA'!$1:$1048576,$A207-1,COLUMN('1-DATA'!O206)),ROUND(INDEX('1-DATA'!$1:$1048576,IF(OR($B208="STD. DEVIATION",$C$1=1),$A208,$A208+1),COLUMN('1-DATA'!O206)),IF($B208="STD. DEVIATION",2,$F$1))))</f>
        <v/>
      </c>
      <c r="Q208" s="1" t="str">
        <f>IF(OR($B208="",Q$7=""),"",IF($B208="MEANS",INDEX('1-DATA'!$1:$1048576,$A207-1,COLUMN('1-DATA'!P206)),ROUND(INDEX('1-DATA'!$1:$1048576,IF(OR($B208="STD. DEVIATION",$C$1=1),$A208,$A208+1),COLUMN('1-DATA'!P206)),IF($B208="STD. DEVIATION",2,$F$1))))</f>
        <v/>
      </c>
      <c r="R208" s="1" t="str">
        <f>IF(OR($B208="",R$7=""),"",IF($B208="MEANS",INDEX('1-DATA'!$1:$1048576,$A207-1,COLUMN('1-DATA'!Q206)),ROUND(INDEX('1-DATA'!$1:$1048576,IF(OR($B208="STD. DEVIATION",$C$1=1),$A208,$A208+1),COLUMN('1-DATA'!Q206)),IF($B208="STD. DEVIATION",2,$F$1))))</f>
        <v/>
      </c>
      <c r="S208" s="1" t="str">
        <f>IF(OR($B208="",S$7=""),"",IF($B208="MEANS",INDEX('1-DATA'!$1:$1048576,$A207-1,COLUMN('1-DATA'!R206)),ROUND(INDEX('1-DATA'!$1:$1048576,IF(OR($B208="STD. DEVIATION",$C$1=1),$A208,$A208+1),COLUMN('1-DATA'!R206)),IF($B208="STD. DEVIATION",2,$F$1))))</f>
        <v/>
      </c>
      <c r="T208" s="1" t="str">
        <f>IF(OR($B208="",T$7=""),"",IF($B208="MEANS",INDEX('1-DATA'!$1:$1048576,$A207-1,COLUMN('1-DATA'!S206)),ROUND(INDEX('1-DATA'!$1:$1048576,IF(OR($B208="STD. DEVIATION",$C$1=1),$A208,$A208+1),COLUMN('1-DATA'!S206)),IF($B208="STD. DEVIATION",2,$F$1))))</f>
        <v/>
      </c>
      <c r="U208" s="1" t="str">
        <f>IF(OR($B208="",U$7=""),"",IF($B208="MEANS",INDEX('1-DATA'!$1:$1048576,$A207-1,COLUMN('1-DATA'!T206)),ROUND(INDEX('1-DATA'!$1:$1048576,IF(OR($B208="STD. DEVIATION",$C$1=1),$A208,$A208+1),COLUMN('1-DATA'!T206)),IF($B208="STD. DEVIATION",2,$F$1))))</f>
        <v/>
      </c>
      <c r="V208" s="1" t="str">
        <f>IF(OR($B208="",V$7=""),"",IF($B208="MEANS",INDEX('1-DATA'!$1:$1048576,$A207-1,COLUMN('1-DATA'!U206)),ROUND(INDEX('1-DATA'!$1:$1048576,IF(OR($B208="STD. DEVIATION",$C$1=1),$A208,$A208+1),COLUMN('1-DATA'!U206)),IF($B208="STD. DEVIATION",2,$F$1))))</f>
        <v/>
      </c>
      <c r="W208" s="1" t="str">
        <f>IF(OR($B208="",W$7=""),"",IF($B208="MEANS",INDEX('1-DATA'!$1:$1048576,$A207-1,COLUMN('1-DATA'!V206)),ROUND(INDEX('1-DATA'!$1:$1048576,IF(OR($B208="STD. DEVIATION",$C$1=1),$A208,$A208+1),COLUMN('1-DATA'!V206)),IF($B208="STD. DEVIATION",2,$F$1))))</f>
        <v/>
      </c>
      <c r="X208" s="1" t="str">
        <f>IF(OR($B208="",X$7=""),"",IF($B208="MEANS",INDEX('1-DATA'!$1:$1048576,$A207-1,COLUMN('1-DATA'!W206)),ROUND(INDEX('1-DATA'!$1:$1048576,IF(OR($B208="STD. DEVIATION",$C$1=1),$A208,$A208+1),COLUMN('1-DATA'!W206)),IF($B208="STD. DEVIATION",2,$F$1))))</f>
        <v/>
      </c>
      <c r="Y208" s="1" t="str">
        <f>IF(OR($B208="",Y$7=""),"",IF($B208="MEANS",INDEX('1-DATA'!$1:$1048576,$A207-1,COLUMN('1-DATA'!X206)),ROUND(INDEX('1-DATA'!$1:$1048576,IF(OR($B208="STD. DEVIATION",$C$1=1),$A208,$A208+1),COLUMN('1-DATA'!X206)),IF($B208="STD. DEVIATION",2,$F$1))))</f>
        <v/>
      </c>
      <c r="Z208" s="1" t="str">
        <f>IF(OR($B208="",Z$7=""),"",IF($B208="MEANS",INDEX('1-DATA'!$1:$1048576,$A207-1,COLUMN('1-DATA'!Y206)),ROUND(INDEX('1-DATA'!$1:$1048576,IF(OR($B208="STD. DEVIATION",$C$1=1),$A208,$A208+1),COLUMN('1-DATA'!Y206)),IF($B208="STD. DEVIATION",2,$F$1))))</f>
        <v/>
      </c>
      <c r="AA208" s="1" t="str">
        <f>IF(OR($B208="",AA$7=""),"",IF($B208="MEANS",INDEX('1-DATA'!$1:$1048576,$A207-1,COLUMN('1-DATA'!Z206)),ROUND(INDEX('1-DATA'!$1:$1048576,IF(OR($B208="STD. DEVIATION",$C$1=1),$A208,$A208+1),COLUMN('1-DATA'!Z206)),IF($B208="STD. DEVIATION",2,$F$1))))</f>
        <v/>
      </c>
      <c r="AB208" s="1" t="str">
        <f>IF(OR($B208="",AB$7=""),"",IF($B208="MEANS",INDEX('1-DATA'!$1:$1048576,$A207-1,COLUMN('1-DATA'!AA206)),ROUND(INDEX('1-DATA'!$1:$1048576,IF(OR($B208="STD. DEVIATION",$C$1=1),$A208,$A208+1),COLUMN('1-DATA'!AA206)),IF($B208="STD. DEVIATION",2,$F$1))))</f>
        <v/>
      </c>
      <c r="AC208" s="1" t="str">
        <f>IF(OR($B208="",AC$7=""),"",IF($B208="MEANS",INDEX('1-DATA'!$1:$1048576,$A207-1,COLUMN('1-DATA'!AB206)),ROUND(INDEX('1-DATA'!$1:$1048576,IF(OR($B208="STD. DEVIATION",$C$1=1),$A208,$A208+1),COLUMN('1-DATA'!AB206)),IF($B208="STD. DEVIATION",2,$F$1))))</f>
        <v/>
      </c>
      <c r="AD208" s="1" t="str">
        <f>IF(OR($B208="",AD$7=""),"",IF($B208="MEANS",INDEX('1-DATA'!$1:$1048576,$A207-1,COLUMN('1-DATA'!AC206)),ROUND(INDEX('1-DATA'!$1:$1048576,IF(OR($B208="STD. DEVIATION",$C$1=1),$A208,$A208+1),COLUMN('1-DATA'!AC206)),IF($B208="STD. DEVIATION",2,$F$1))))</f>
        <v/>
      </c>
      <c r="AE208" s="1" t="str">
        <f>IF(OR($B208="",AE$7=""),"",IF($B208="MEANS",INDEX('1-DATA'!$1:$1048576,$A207-1,COLUMN('1-DATA'!AD206)),ROUND(INDEX('1-DATA'!$1:$1048576,IF(OR($B208="STD. DEVIATION",$C$1=1),$A208,$A208+1),COLUMN('1-DATA'!AD206)),IF($B208="STD. DEVIATION",2,$F$1))))</f>
        <v/>
      </c>
      <c r="AF208" s="1" t="str">
        <f>IF(OR($B208="",AF$7=""),"",IF($B208="MEANS",INDEX('1-DATA'!$1:$1048576,$A207-1,COLUMN('1-DATA'!AE206)),ROUND(INDEX('1-DATA'!$1:$1048576,IF(OR($B208="STD. DEVIATION",$C$1=1),$A208,$A208+1),COLUMN('1-DATA'!AE206)),IF($B208="STD. DEVIATION",2,$F$1))))</f>
        <v/>
      </c>
      <c r="AG208" s="1" t="str">
        <f>IF(OR($B208="",AG$7=""),"",IF($B208="MEANS",INDEX('1-DATA'!$1:$1048576,$A207-1,COLUMN('1-DATA'!AF206)),ROUND(INDEX('1-DATA'!$1:$1048576,IF(OR($B208="STD. DEVIATION",$C$1=1),$A208,$A208+1),COLUMN('1-DATA'!AF206)),IF($B208="STD. DEVIATION",2,$F$1))))</f>
        <v/>
      </c>
      <c r="AH208" s="1" t="str">
        <f>IF(OR($B208="",AH$7=""),"",IF($B208="MEANS",INDEX('1-DATA'!$1:$1048576,$A207-1,COLUMN('1-DATA'!AG206)),ROUND(INDEX('1-DATA'!$1:$1048576,IF(OR($B208="STD. DEVIATION",$C$1=1),$A208,$A208+1),COLUMN('1-DATA'!AG206)),IF($B208="STD. DEVIATION",2,$F$1))))</f>
        <v/>
      </c>
      <c r="AI208" s="1" t="str">
        <f>IF(OR($B208="",AI$7=""),"",IF($B208="MEANS",INDEX('1-DATA'!$1:$1048576,$A207-1,COLUMN('1-DATA'!AH206)),ROUND(INDEX('1-DATA'!$1:$1048576,IF(OR($B208="STD. DEVIATION",$C$1=1),$A208,$A208+1),COLUMN('1-DATA'!AH206)),IF($B208="STD. DEVIATION",2,$F$1))))</f>
        <v/>
      </c>
      <c r="AJ208" s="1" t="str">
        <f>IF(OR($B208="",AJ$7=""),"",IF($B208="MEANS",INDEX('1-DATA'!$1:$1048576,$A207-1,COLUMN('1-DATA'!AI206)),ROUND(INDEX('1-DATA'!$1:$1048576,IF(OR($B208="STD. DEVIATION",$C$1=1),$A208,$A208+1),COLUMN('1-DATA'!AI206)),IF($B208="STD. DEVIATION",2,$F$1))))</f>
        <v/>
      </c>
      <c r="AK208" s="1" t="str">
        <f>IF(OR($B208="",AK$7=""),"",IF($B208="MEANS",INDEX('1-DATA'!$1:$1048576,$A207-1,COLUMN('1-DATA'!AJ206)),ROUND(INDEX('1-DATA'!$1:$1048576,IF(OR($B208="STD. DEVIATION",$C$1=1),$A208,$A208+1),COLUMN('1-DATA'!AJ206)),IF($B208="STD. DEVIATION",2,$F$1))))</f>
        <v/>
      </c>
      <c r="AL208" s="1" t="str">
        <f>IF(OR($B208="",AL$7=""),"",IF($B208="MEANS",INDEX('1-DATA'!$1:$1048576,$A207-1,COLUMN('1-DATA'!AK206)),ROUND(INDEX('1-DATA'!$1:$1048576,IF(OR($B208="STD. DEVIATION",$C$1=1),$A208,$A208+1),COLUMN('1-DATA'!AK206)),IF($B208="STD. DEVIATION",2,$F$1))))</f>
        <v/>
      </c>
      <c r="AM208" s="1" t="str">
        <f>IF(OR($B208="",AM$7=""),"",IF($B208="MEANS",INDEX('1-DATA'!$1:$1048576,$A207-1,COLUMN('1-DATA'!AL206)),ROUND(INDEX('1-DATA'!$1:$1048576,IF(OR($B208="STD. DEVIATION",$C$1=1),$A208,$A208+1),COLUMN('1-DATA'!AL206)),IF($B208="STD. DEVIATION",2,$F$1))))</f>
        <v/>
      </c>
      <c r="AN208" s="1" t="str">
        <f>IF(OR($B208="",AN$7=""),"",IF($B208="MEANS",INDEX('1-DATA'!$1:$1048576,$A207-1,COLUMN('1-DATA'!AM206)),ROUND(INDEX('1-DATA'!$1:$1048576,IF(OR($B208="STD. DEVIATION",$C$1=1),$A208,$A208+1),COLUMN('1-DATA'!AM206)),IF($B208="STD. DEVIATION",2,$F$1))))</f>
        <v/>
      </c>
      <c r="AO208" s="1" t="str">
        <f>IF(OR($B208="",AO$7=""),"",IF($B208="MEANS",INDEX('1-DATA'!$1:$1048576,$A207-1,COLUMN('1-DATA'!AN206)),ROUND(INDEX('1-DATA'!$1:$1048576,IF(OR($B208="STD. DEVIATION",$C$1=1),$A208,$A208+1),COLUMN('1-DATA'!AN206)),IF($B208="STD. DEVIATION",2,$F$1))))</f>
        <v/>
      </c>
      <c r="AP208" s="1" t="str">
        <f>IF(OR($B208="",AP$7=""),"",IF($B208="MEANS",INDEX('1-DATA'!$1:$1048576,$A207-1,COLUMN('1-DATA'!AO206)),ROUND(INDEX('1-DATA'!$1:$1048576,IF(OR($B208="STD. DEVIATION",$C$1=1),$A208,$A208+1),COLUMN('1-DATA'!AO206)),IF($B208="STD. DEVIATION",2,$F$1))))</f>
        <v/>
      </c>
      <c r="AQ208" s="1" t="str">
        <f>IF(OR($B208="",AQ$7=""),"",IF($B208="MEANS",INDEX('1-DATA'!$1:$1048576,$A207-1,COLUMN('1-DATA'!AP206)),ROUND(INDEX('1-DATA'!$1:$1048576,IF(OR($B208="STD. DEVIATION",$C$1=1),$A208,$A208+1),COLUMN('1-DATA'!AP206)),IF($B208="STD. DEVIATION",2,$F$1))))</f>
        <v/>
      </c>
      <c r="AR208" s="1" t="str">
        <f>IF(OR($B208="",AR$7=""),"",IF($B208="MEANS",INDEX('1-DATA'!$1:$1048576,$A207-1,COLUMN('1-DATA'!AQ206)),ROUND(INDEX('1-DATA'!$1:$1048576,IF(OR($B208="STD. DEVIATION",$C$1=1),$A208,$A208+1),COLUMN('1-DATA'!AQ206)),IF($B208="STD. DEVIATION",2,$F$1))))</f>
        <v/>
      </c>
      <c r="AS208" s="1" t="str">
        <f>IF(OR($B208="",AS$7=""),"",IF($B208="MEANS",INDEX('1-DATA'!$1:$1048576,$A207-1,COLUMN('1-DATA'!AR206)),ROUND(INDEX('1-DATA'!$1:$1048576,IF(OR($B208="STD. DEVIATION",$C$1=1),$A208,$A208+1),COLUMN('1-DATA'!AR206)),IF($B208="STD. DEVIATION",2,$F$1))))</f>
        <v/>
      </c>
      <c r="AT208" s="1" t="str">
        <f>IF(OR($B208="",AT$7=""),"",IF($B208="MEANS",INDEX('1-DATA'!$1:$1048576,$A207-1,COLUMN('1-DATA'!AS206)),ROUND(INDEX('1-DATA'!$1:$1048576,IF(OR($B208="STD. DEVIATION",$C$1=1),$A208,$A208+1),COLUMN('1-DATA'!AS206)),IF($B208="STD. DEVIATION",2,$F$1))))</f>
        <v/>
      </c>
      <c r="AU208" s="1" t="str">
        <f>IF(OR($B208="",AU$7=""),"",IF($B208="MEANS",INDEX('1-DATA'!$1:$1048576,$A207-1,COLUMN('1-DATA'!AT206)),ROUND(INDEX('1-DATA'!$1:$1048576,IF(OR($B208="STD. DEVIATION",$C$1=1),$A208,$A208+1),COLUMN('1-DATA'!AT206)),IF($B208="STD. DEVIATION",2,$F$1))))</f>
        <v/>
      </c>
      <c r="AV208" s="1" t="str">
        <f>IF(OR($B208="",AV$7=""),"",IF($B208="MEANS",INDEX('1-DATA'!$1:$1048576,$A207-1,COLUMN('1-DATA'!AU206)),ROUND(INDEX('1-DATA'!$1:$1048576,IF(OR($B208="STD. DEVIATION",$C$1=1),$A208,$A208+1),COLUMN('1-DATA'!AU206)),IF($B208="STD. DEVIATION",2,$F$1))))</f>
        <v/>
      </c>
      <c r="AW208" s="1" t="str">
        <f>IF(OR($B208="",AW$7=""),"",IF($B208="MEANS",INDEX('1-DATA'!$1:$1048576,$A207-1,COLUMN('1-DATA'!AV206)),ROUND(INDEX('1-DATA'!$1:$1048576,IF(OR($B208="STD. DEVIATION",$C$1=1),$A208,$A208+1),COLUMN('1-DATA'!AV206)),IF($B208="STD. DEVIATION",2,$F$1))))</f>
        <v/>
      </c>
      <c r="AX208" s="1" t="str">
        <f>IF(OR($B208="",AX$7=""),"",IF($B208="MEANS",INDEX('1-DATA'!$1:$1048576,$A207-1,COLUMN('1-DATA'!AW206)),ROUND(INDEX('1-DATA'!$1:$1048576,IF(OR($B208="STD. DEVIATION",$C$1=1),$A208,$A208+1),COLUMN('1-DATA'!AW206)),IF($B208="STD. DEVIATION",2,$F$1))))</f>
        <v/>
      </c>
      <c r="AY208" s="1" t="str">
        <f>IF(OR($B208="",AY$7=""),"",IF($B208="MEANS",INDEX('1-DATA'!$1:$1048576,$A207-1,COLUMN('1-DATA'!AX206)),ROUND(INDEX('1-DATA'!$1:$1048576,IF(OR($B208="STD. DEVIATION",$C$1=1),$A208,$A208+1),COLUMN('1-DATA'!AX206)),IF($B208="STD. DEVIATION",2,$F$1))))</f>
        <v/>
      </c>
      <c r="AZ208" s="1" t="str">
        <f>IF(OR($B208="",AZ$7=""),"",IF($B208="MEANS",INDEX('1-DATA'!$1:$1048576,$A207-1,COLUMN('1-DATA'!AY206)),ROUND(INDEX('1-DATA'!$1:$1048576,IF(OR($B208="STD. DEVIATION",$C$1=1),$A208,$A208+1),COLUMN('1-DATA'!AY206)),IF($B208="STD. DEVIATION",2,$F$1))))</f>
        <v/>
      </c>
    </row>
    <row r="209" spans="1:52" x14ac:dyDescent="0.25">
      <c r="A209" s="11">
        <f t="shared" si="3"/>
        <v>613</v>
      </c>
      <c r="B209" s="1" t="str">
        <f>IF(B208="STD. DEVIATION",INDEX('1-DATA'!$1:$1048576,$A208-1,1),IF(INDEX('1-DATA'!$1:$1048576,$A209,1)&lt;&gt;"",INDEX('1-DATA'!$1:$1048576,$A209,1),""))</f>
        <v/>
      </c>
      <c r="C209" s="1" t="str">
        <f>IF(OR($B209="",C$7=""),"",IF($B209="MEANS",INDEX('1-DATA'!$1:$1048576,$A208-1,COLUMN('1-DATA'!B207)),ROUND(INDEX('1-DATA'!$1:$1048576,IF(OR($B209="STD. DEVIATION",$C$1=1),$A209,$A209+1),COLUMN('1-DATA'!B207)),IF($B209="STD. DEVIATION",2,$F$1))))</f>
        <v/>
      </c>
      <c r="D209" s="1" t="str">
        <f>IF(OR($B209="",D$7=""),"",IF($B209="MEANS",INDEX('1-DATA'!$1:$1048576,$A208-1,COLUMN('1-DATA'!C207)),ROUND(INDEX('1-DATA'!$1:$1048576,IF(OR($B209="STD. DEVIATION",$C$1=1),$A209,$A209+1),COLUMN('1-DATA'!C207)),IF($B209="STD. DEVIATION",2,$F$1))))</f>
        <v/>
      </c>
      <c r="E209" s="1" t="str">
        <f>IF(OR($B209="",E$7=""),"",IF($B209="MEANS",INDEX('1-DATA'!$1:$1048576,$A208-1,COLUMN('1-DATA'!D207)),ROUND(INDEX('1-DATA'!$1:$1048576,IF(OR($B209="STD. DEVIATION",$C$1=1),$A209,$A209+1),COLUMN('1-DATA'!D207)),IF($B209="STD. DEVIATION",2,$F$1))))</f>
        <v/>
      </c>
      <c r="F209" s="1" t="str">
        <f>IF(OR($B209="",F$7=""),"",IF($B209="MEANS",INDEX('1-DATA'!$1:$1048576,$A208-1,COLUMN('1-DATA'!E207)),ROUND(INDEX('1-DATA'!$1:$1048576,IF(OR($B209="STD. DEVIATION",$C$1=1),$A209,$A209+1),COLUMN('1-DATA'!E207)),IF($B209="STD. DEVIATION",2,$F$1))))</f>
        <v/>
      </c>
      <c r="G209" s="1" t="str">
        <f>IF(OR($B209="",G$7=""),"",IF($B209="MEANS",INDEX('1-DATA'!$1:$1048576,$A208-1,COLUMN('1-DATA'!F207)),ROUND(INDEX('1-DATA'!$1:$1048576,IF(OR($B209="STD. DEVIATION",$C$1=1),$A209,$A209+1),COLUMN('1-DATA'!F207)),IF($B209="STD. DEVIATION",2,$F$1))))</f>
        <v/>
      </c>
      <c r="H209" s="1" t="str">
        <f>IF(OR($B209="",H$7=""),"",IF($B209="MEANS",INDEX('1-DATA'!$1:$1048576,$A208-1,COLUMN('1-DATA'!G207)),ROUND(INDEX('1-DATA'!$1:$1048576,IF(OR($B209="STD. DEVIATION",$C$1=1),$A209,$A209+1),COLUMN('1-DATA'!G207)),IF($B209="STD. DEVIATION",2,$F$1))))</f>
        <v/>
      </c>
      <c r="I209" s="1" t="str">
        <f>IF(OR($B209="",I$7=""),"",IF($B209="MEANS",INDEX('1-DATA'!$1:$1048576,$A208-1,COLUMN('1-DATA'!H207)),ROUND(INDEX('1-DATA'!$1:$1048576,IF(OR($B209="STD. DEVIATION",$C$1=1),$A209,$A209+1),COLUMN('1-DATA'!H207)),IF($B209="STD. DEVIATION",2,$F$1))))</f>
        <v/>
      </c>
      <c r="J209" s="1" t="str">
        <f>IF(OR($B209="",J$7=""),"",IF($B209="MEANS",INDEX('1-DATA'!$1:$1048576,$A208-1,COLUMN('1-DATA'!I207)),ROUND(INDEX('1-DATA'!$1:$1048576,IF(OR($B209="STD. DEVIATION",$C$1=1),$A209,$A209+1),COLUMN('1-DATA'!I207)),IF($B209="STD. DEVIATION",2,$F$1))))</f>
        <v/>
      </c>
      <c r="K209" s="1" t="str">
        <f>IF(OR($B209="",K$7=""),"",IF($B209="MEANS",INDEX('1-DATA'!$1:$1048576,$A208-1,COLUMN('1-DATA'!J207)),ROUND(INDEX('1-DATA'!$1:$1048576,IF(OR($B209="STD. DEVIATION",$C$1=1),$A209,$A209+1),COLUMN('1-DATA'!J207)),IF($B209="STD. DEVIATION",2,$F$1))))</f>
        <v/>
      </c>
      <c r="L209" s="1" t="str">
        <f>IF(OR($B209="",L$7=""),"",IF($B209="MEANS",INDEX('1-DATA'!$1:$1048576,$A208-1,COLUMN('1-DATA'!K207)),ROUND(INDEX('1-DATA'!$1:$1048576,IF(OR($B209="STD. DEVIATION",$C$1=1),$A209,$A209+1),COLUMN('1-DATA'!K207)),IF($B209="STD. DEVIATION",2,$F$1))))</f>
        <v/>
      </c>
      <c r="M209" s="1" t="str">
        <f>IF(OR($B209="",M$7=""),"",IF($B209="MEANS",INDEX('1-DATA'!$1:$1048576,$A208-1,COLUMN('1-DATA'!L207)),ROUND(INDEX('1-DATA'!$1:$1048576,IF(OR($B209="STD. DEVIATION",$C$1=1),$A209,$A209+1),COLUMN('1-DATA'!L207)),IF($B209="STD. DEVIATION",2,$F$1))))</f>
        <v/>
      </c>
      <c r="N209" s="1" t="str">
        <f>IF(OR($B209="",N$7=""),"",IF($B209="MEANS",INDEX('1-DATA'!$1:$1048576,$A208-1,COLUMN('1-DATA'!M207)),ROUND(INDEX('1-DATA'!$1:$1048576,IF(OR($B209="STD. DEVIATION",$C$1=1),$A209,$A209+1),COLUMN('1-DATA'!M207)),IF($B209="STD. DEVIATION",2,$F$1))))</f>
        <v/>
      </c>
      <c r="O209" s="1" t="str">
        <f>IF(OR($B209="",O$7=""),"",IF($B209="MEANS",INDEX('1-DATA'!$1:$1048576,$A208-1,COLUMN('1-DATA'!N207)),ROUND(INDEX('1-DATA'!$1:$1048576,IF(OR($B209="STD. DEVIATION",$C$1=1),$A209,$A209+1),COLUMN('1-DATA'!N207)),IF($B209="STD. DEVIATION",2,$F$1))))</f>
        <v/>
      </c>
      <c r="P209" s="1" t="str">
        <f>IF(OR($B209="",P$7=""),"",IF($B209="MEANS",INDEX('1-DATA'!$1:$1048576,$A208-1,COLUMN('1-DATA'!O207)),ROUND(INDEX('1-DATA'!$1:$1048576,IF(OR($B209="STD. DEVIATION",$C$1=1),$A209,$A209+1),COLUMN('1-DATA'!O207)),IF($B209="STD. DEVIATION",2,$F$1))))</f>
        <v/>
      </c>
      <c r="Q209" s="1" t="str">
        <f>IF(OR($B209="",Q$7=""),"",IF($B209="MEANS",INDEX('1-DATA'!$1:$1048576,$A208-1,COLUMN('1-DATA'!P207)),ROUND(INDEX('1-DATA'!$1:$1048576,IF(OR($B209="STD. DEVIATION",$C$1=1),$A209,$A209+1),COLUMN('1-DATA'!P207)),IF($B209="STD. DEVIATION",2,$F$1))))</f>
        <v/>
      </c>
      <c r="R209" s="1" t="str">
        <f>IF(OR($B209="",R$7=""),"",IF($B209="MEANS",INDEX('1-DATA'!$1:$1048576,$A208-1,COLUMN('1-DATA'!Q207)),ROUND(INDEX('1-DATA'!$1:$1048576,IF(OR($B209="STD. DEVIATION",$C$1=1),$A209,$A209+1),COLUMN('1-DATA'!Q207)),IF($B209="STD. DEVIATION",2,$F$1))))</f>
        <v/>
      </c>
      <c r="S209" s="1" t="str">
        <f>IF(OR($B209="",S$7=""),"",IF($B209="MEANS",INDEX('1-DATA'!$1:$1048576,$A208-1,COLUMN('1-DATA'!R207)),ROUND(INDEX('1-DATA'!$1:$1048576,IF(OR($B209="STD. DEVIATION",$C$1=1),$A209,$A209+1),COLUMN('1-DATA'!R207)),IF($B209="STD. DEVIATION",2,$F$1))))</f>
        <v/>
      </c>
      <c r="T209" s="1" t="str">
        <f>IF(OR($B209="",T$7=""),"",IF($B209="MEANS",INDEX('1-DATA'!$1:$1048576,$A208-1,COLUMN('1-DATA'!S207)),ROUND(INDEX('1-DATA'!$1:$1048576,IF(OR($B209="STD. DEVIATION",$C$1=1),$A209,$A209+1),COLUMN('1-DATA'!S207)),IF($B209="STD. DEVIATION",2,$F$1))))</f>
        <v/>
      </c>
      <c r="U209" s="1" t="str">
        <f>IF(OR($B209="",U$7=""),"",IF($B209="MEANS",INDEX('1-DATA'!$1:$1048576,$A208-1,COLUMN('1-DATA'!T207)),ROUND(INDEX('1-DATA'!$1:$1048576,IF(OR($B209="STD. DEVIATION",$C$1=1),$A209,$A209+1),COLUMN('1-DATA'!T207)),IF($B209="STD. DEVIATION",2,$F$1))))</f>
        <v/>
      </c>
      <c r="V209" s="1" t="str">
        <f>IF(OR($B209="",V$7=""),"",IF($B209="MEANS",INDEX('1-DATA'!$1:$1048576,$A208-1,COLUMN('1-DATA'!U207)),ROUND(INDEX('1-DATA'!$1:$1048576,IF(OR($B209="STD. DEVIATION",$C$1=1),$A209,$A209+1),COLUMN('1-DATA'!U207)),IF($B209="STD. DEVIATION",2,$F$1))))</f>
        <v/>
      </c>
      <c r="W209" s="1" t="str">
        <f>IF(OR($B209="",W$7=""),"",IF($B209="MEANS",INDEX('1-DATA'!$1:$1048576,$A208-1,COLUMN('1-DATA'!V207)),ROUND(INDEX('1-DATA'!$1:$1048576,IF(OR($B209="STD. DEVIATION",$C$1=1),$A209,$A209+1),COLUMN('1-DATA'!V207)),IF($B209="STD. DEVIATION",2,$F$1))))</f>
        <v/>
      </c>
      <c r="X209" s="1" t="str">
        <f>IF(OR($B209="",X$7=""),"",IF($B209="MEANS",INDEX('1-DATA'!$1:$1048576,$A208-1,COLUMN('1-DATA'!W207)),ROUND(INDEX('1-DATA'!$1:$1048576,IF(OR($B209="STD. DEVIATION",$C$1=1),$A209,$A209+1),COLUMN('1-DATA'!W207)),IF($B209="STD. DEVIATION",2,$F$1))))</f>
        <v/>
      </c>
      <c r="Y209" s="1" t="str">
        <f>IF(OR($B209="",Y$7=""),"",IF($B209="MEANS",INDEX('1-DATA'!$1:$1048576,$A208-1,COLUMN('1-DATA'!X207)),ROUND(INDEX('1-DATA'!$1:$1048576,IF(OR($B209="STD. DEVIATION",$C$1=1),$A209,$A209+1),COLUMN('1-DATA'!X207)),IF($B209="STD. DEVIATION",2,$F$1))))</f>
        <v/>
      </c>
      <c r="Z209" s="1" t="str">
        <f>IF(OR($B209="",Z$7=""),"",IF($B209="MEANS",INDEX('1-DATA'!$1:$1048576,$A208-1,COLUMN('1-DATA'!Y207)),ROUND(INDEX('1-DATA'!$1:$1048576,IF(OR($B209="STD. DEVIATION",$C$1=1),$A209,$A209+1),COLUMN('1-DATA'!Y207)),IF($B209="STD. DEVIATION",2,$F$1))))</f>
        <v/>
      </c>
      <c r="AA209" s="1" t="str">
        <f>IF(OR($B209="",AA$7=""),"",IF($B209="MEANS",INDEX('1-DATA'!$1:$1048576,$A208-1,COLUMN('1-DATA'!Z207)),ROUND(INDEX('1-DATA'!$1:$1048576,IF(OR($B209="STD. DEVIATION",$C$1=1),$A209,$A209+1),COLUMN('1-DATA'!Z207)),IF($B209="STD. DEVIATION",2,$F$1))))</f>
        <v/>
      </c>
      <c r="AB209" s="1" t="str">
        <f>IF(OR($B209="",AB$7=""),"",IF($B209="MEANS",INDEX('1-DATA'!$1:$1048576,$A208-1,COLUMN('1-DATA'!AA207)),ROUND(INDEX('1-DATA'!$1:$1048576,IF(OR($B209="STD. DEVIATION",$C$1=1),$A209,$A209+1),COLUMN('1-DATA'!AA207)),IF($B209="STD. DEVIATION",2,$F$1))))</f>
        <v/>
      </c>
      <c r="AC209" s="1" t="str">
        <f>IF(OR($B209="",AC$7=""),"",IF($B209="MEANS",INDEX('1-DATA'!$1:$1048576,$A208-1,COLUMN('1-DATA'!AB207)),ROUND(INDEX('1-DATA'!$1:$1048576,IF(OR($B209="STD. DEVIATION",$C$1=1),$A209,$A209+1),COLUMN('1-DATA'!AB207)),IF($B209="STD. DEVIATION",2,$F$1))))</f>
        <v/>
      </c>
      <c r="AD209" s="1" t="str">
        <f>IF(OR($B209="",AD$7=""),"",IF($B209="MEANS",INDEX('1-DATA'!$1:$1048576,$A208-1,COLUMN('1-DATA'!AC207)),ROUND(INDEX('1-DATA'!$1:$1048576,IF(OR($B209="STD. DEVIATION",$C$1=1),$A209,$A209+1),COLUMN('1-DATA'!AC207)),IF($B209="STD. DEVIATION",2,$F$1))))</f>
        <v/>
      </c>
      <c r="AE209" s="1" t="str">
        <f>IF(OR($B209="",AE$7=""),"",IF($B209="MEANS",INDEX('1-DATA'!$1:$1048576,$A208-1,COLUMN('1-DATA'!AD207)),ROUND(INDEX('1-DATA'!$1:$1048576,IF(OR($B209="STD. DEVIATION",$C$1=1),$A209,$A209+1),COLUMN('1-DATA'!AD207)),IF($B209="STD. DEVIATION",2,$F$1))))</f>
        <v/>
      </c>
      <c r="AF209" s="1" t="str">
        <f>IF(OR($B209="",AF$7=""),"",IF($B209="MEANS",INDEX('1-DATA'!$1:$1048576,$A208-1,COLUMN('1-DATA'!AE207)),ROUND(INDEX('1-DATA'!$1:$1048576,IF(OR($B209="STD. DEVIATION",$C$1=1),$A209,$A209+1),COLUMN('1-DATA'!AE207)),IF($B209="STD. DEVIATION",2,$F$1))))</f>
        <v/>
      </c>
      <c r="AG209" s="1" t="str">
        <f>IF(OR($B209="",AG$7=""),"",IF($B209="MEANS",INDEX('1-DATA'!$1:$1048576,$A208-1,COLUMN('1-DATA'!AF207)),ROUND(INDEX('1-DATA'!$1:$1048576,IF(OR($B209="STD. DEVIATION",$C$1=1),$A209,$A209+1),COLUMN('1-DATA'!AF207)),IF($B209="STD. DEVIATION",2,$F$1))))</f>
        <v/>
      </c>
      <c r="AH209" s="1" t="str">
        <f>IF(OR($B209="",AH$7=""),"",IF($B209="MEANS",INDEX('1-DATA'!$1:$1048576,$A208-1,COLUMN('1-DATA'!AG207)),ROUND(INDEX('1-DATA'!$1:$1048576,IF(OR($B209="STD. DEVIATION",$C$1=1),$A209,$A209+1),COLUMN('1-DATA'!AG207)),IF($B209="STD. DEVIATION",2,$F$1))))</f>
        <v/>
      </c>
      <c r="AI209" s="1" t="str">
        <f>IF(OR($B209="",AI$7=""),"",IF($B209="MEANS",INDEX('1-DATA'!$1:$1048576,$A208-1,COLUMN('1-DATA'!AH207)),ROUND(INDEX('1-DATA'!$1:$1048576,IF(OR($B209="STD. DEVIATION",$C$1=1),$A209,$A209+1),COLUMN('1-DATA'!AH207)),IF($B209="STD. DEVIATION",2,$F$1))))</f>
        <v/>
      </c>
      <c r="AJ209" s="1" t="str">
        <f>IF(OR($B209="",AJ$7=""),"",IF($B209="MEANS",INDEX('1-DATA'!$1:$1048576,$A208-1,COLUMN('1-DATA'!AI207)),ROUND(INDEX('1-DATA'!$1:$1048576,IF(OR($B209="STD. DEVIATION",$C$1=1),$A209,$A209+1),COLUMN('1-DATA'!AI207)),IF($B209="STD. DEVIATION",2,$F$1))))</f>
        <v/>
      </c>
      <c r="AK209" s="1" t="str">
        <f>IF(OR($B209="",AK$7=""),"",IF($B209="MEANS",INDEX('1-DATA'!$1:$1048576,$A208-1,COLUMN('1-DATA'!AJ207)),ROUND(INDEX('1-DATA'!$1:$1048576,IF(OR($B209="STD. DEVIATION",$C$1=1),$A209,$A209+1),COLUMN('1-DATA'!AJ207)),IF($B209="STD. DEVIATION",2,$F$1))))</f>
        <v/>
      </c>
      <c r="AL209" s="1" t="str">
        <f>IF(OR($B209="",AL$7=""),"",IF($B209="MEANS",INDEX('1-DATA'!$1:$1048576,$A208-1,COLUMN('1-DATA'!AK207)),ROUND(INDEX('1-DATA'!$1:$1048576,IF(OR($B209="STD. DEVIATION",$C$1=1),$A209,$A209+1),COLUMN('1-DATA'!AK207)),IF($B209="STD. DEVIATION",2,$F$1))))</f>
        <v/>
      </c>
      <c r="AM209" s="1" t="str">
        <f>IF(OR($B209="",AM$7=""),"",IF($B209="MEANS",INDEX('1-DATA'!$1:$1048576,$A208-1,COLUMN('1-DATA'!AL207)),ROUND(INDEX('1-DATA'!$1:$1048576,IF(OR($B209="STD. DEVIATION",$C$1=1),$A209,$A209+1),COLUMN('1-DATA'!AL207)),IF($B209="STD. DEVIATION",2,$F$1))))</f>
        <v/>
      </c>
      <c r="AN209" s="1" t="str">
        <f>IF(OR($B209="",AN$7=""),"",IF($B209="MEANS",INDEX('1-DATA'!$1:$1048576,$A208-1,COLUMN('1-DATA'!AM207)),ROUND(INDEX('1-DATA'!$1:$1048576,IF(OR($B209="STD. DEVIATION",$C$1=1),$A209,$A209+1),COLUMN('1-DATA'!AM207)),IF($B209="STD. DEVIATION",2,$F$1))))</f>
        <v/>
      </c>
      <c r="AO209" s="1" t="str">
        <f>IF(OR($B209="",AO$7=""),"",IF($B209="MEANS",INDEX('1-DATA'!$1:$1048576,$A208-1,COLUMN('1-DATA'!AN207)),ROUND(INDEX('1-DATA'!$1:$1048576,IF(OR($B209="STD. DEVIATION",$C$1=1),$A209,$A209+1),COLUMN('1-DATA'!AN207)),IF($B209="STD. DEVIATION",2,$F$1))))</f>
        <v/>
      </c>
      <c r="AP209" s="1" t="str">
        <f>IF(OR($B209="",AP$7=""),"",IF($B209="MEANS",INDEX('1-DATA'!$1:$1048576,$A208-1,COLUMN('1-DATA'!AO207)),ROUND(INDEX('1-DATA'!$1:$1048576,IF(OR($B209="STD. DEVIATION",$C$1=1),$A209,$A209+1),COLUMN('1-DATA'!AO207)),IF($B209="STD. DEVIATION",2,$F$1))))</f>
        <v/>
      </c>
      <c r="AQ209" s="1" t="str">
        <f>IF(OR($B209="",AQ$7=""),"",IF($B209="MEANS",INDEX('1-DATA'!$1:$1048576,$A208-1,COLUMN('1-DATA'!AP207)),ROUND(INDEX('1-DATA'!$1:$1048576,IF(OR($B209="STD. DEVIATION",$C$1=1),$A209,$A209+1),COLUMN('1-DATA'!AP207)),IF($B209="STD. DEVIATION",2,$F$1))))</f>
        <v/>
      </c>
      <c r="AR209" s="1" t="str">
        <f>IF(OR($B209="",AR$7=""),"",IF($B209="MEANS",INDEX('1-DATA'!$1:$1048576,$A208-1,COLUMN('1-DATA'!AQ207)),ROUND(INDEX('1-DATA'!$1:$1048576,IF(OR($B209="STD. DEVIATION",$C$1=1),$A209,$A209+1),COLUMN('1-DATA'!AQ207)),IF($B209="STD. DEVIATION",2,$F$1))))</f>
        <v/>
      </c>
      <c r="AS209" s="1" t="str">
        <f>IF(OR($B209="",AS$7=""),"",IF($B209="MEANS",INDEX('1-DATA'!$1:$1048576,$A208-1,COLUMN('1-DATA'!AR207)),ROUND(INDEX('1-DATA'!$1:$1048576,IF(OR($B209="STD. DEVIATION",$C$1=1),$A209,$A209+1),COLUMN('1-DATA'!AR207)),IF($B209="STD. DEVIATION",2,$F$1))))</f>
        <v/>
      </c>
      <c r="AT209" s="1" t="str">
        <f>IF(OR($B209="",AT$7=""),"",IF($B209="MEANS",INDEX('1-DATA'!$1:$1048576,$A208-1,COLUMN('1-DATA'!AS207)),ROUND(INDEX('1-DATA'!$1:$1048576,IF(OR($B209="STD. DEVIATION",$C$1=1),$A209,$A209+1),COLUMN('1-DATA'!AS207)),IF($B209="STD. DEVIATION",2,$F$1))))</f>
        <v/>
      </c>
      <c r="AU209" s="1" t="str">
        <f>IF(OR($B209="",AU$7=""),"",IF($B209="MEANS",INDEX('1-DATA'!$1:$1048576,$A208-1,COLUMN('1-DATA'!AT207)),ROUND(INDEX('1-DATA'!$1:$1048576,IF(OR($B209="STD. DEVIATION",$C$1=1),$A209,$A209+1),COLUMN('1-DATA'!AT207)),IF($B209="STD. DEVIATION",2,$F$1))))</f>
        <v/>
      </c>
      <c r="AV209" s="1" t="str">
        <f>IF(OR($B209="",AV$7=""),"",IF($B209="MEANS",INDEX('1-DATA'!$1:$1048576,$A208-1,COLUMN('1-DATA'!AU207)),ROUND(INDEX('1-DATA'!$1:$1048576,IF(OR($B209="STD. DEVIATION",$C$1=1),$A209,$A209+1),COLUMN('1-DATA'!AU207)),IF($B209="STD. DEVIATION",2,$F$1))))</f>
        <v/>
      </c>
      <c r="AW209" s="1" t="str">
        <f>IF(OR($B209="",AW$7=""),"",IF($B209="MEANS",INDEX('1-DATA'!$1:$1048576,$A208-1,COLUMN('1-DATA'!AV207)),ROUND(INDEX('1-DATA'!$1:$1048576,IF(OR($B209="STD. DEVIATION",$C$1=1),$A209,$A209+1),COLUMN('1-DATA'!AV207)),IF($B209="STD. DEVIATION",2,$F$1))))</f>
        <v/>
      </c>
      <c r="AX209" s="1" t="str">
        <f>IF(OR($B209="",AX$7=""),"",IF($B209="MEANS",INDEX('1-DATA'!$1:$1048576,$A208-1,COLUMN('1-DATA'!AW207)),ROUND(INDEX('1-DATA'!$1:$1048576,IF(OR($B209="STD. DEVIATION",$C$1=1),$A209,$A209+1),COLUMN('1-DATA'!AW207)),IF($B209="STD. DEVIATION",2,$F$1))))</f>
        <v/>
      </c>
      <c r="AY209" s="1" t="str">
        <f>IF(OR($B209="",AY$7=""),"",IF($B209="MEANS",INDEX('1-DATA'!$1:$1048576,$A208-1,COLUMN('1-DATA'!AX207)),ROUND(INDEX('1-DATA'!$1:$1048576,IF(OR($B209="STD. DEVIATION",$C$1=1),$A209,$A209+1),COLUMN('1-DATA'!AX207)),IF($B209="STD. DEVIATION",2,$F$1))))</f>
        <v/>
      </c>
      <c r="AZ209" s="1" t="str">
        <f>IF(OR($B209="",AZ$7=""),"",IF($B209="MEANS",INDEX('1-DATA'!$1:$1048576,$A208-1,COLUMN('1-DATA'!AY207)),ROUND(INDEX('1-DATA'!$1:$1048576,IF(OR($B209="STD. DEVIATION",$C$1=1),$A209,$A209+1),COLUMN('1-DATA'!AY207)),IF($B209="STD. DEVIATION",2,$F$1))))</f>
        <v/>
      </c>
    </row>
    <row r="210" spans="1:52" x14ac:dyDescent="0.25">
      <c r="A210" s="11">
        <f t="shared" si="3"/>
        <v>616</v>
      </c>
      <c r="B210" s="1" t="str">
        <f>IF(B209="STD. DEVIATION",INDEX('1-DATA'!$1:$1048576,$A209-1,1),IF(INDEX('1-DATA'!$1:$1048576,$A210,1)&lt;&gt;"",INDEX('1-DATA'!$1:$1048576,$A210,1),""))</f>
        <v/>
      </c>
      <c r="C210" s="1" t="str">
        <f>IF(OR($B210="",C$7=""),"",IF($B210="MEANS",INDEX('1-DATA'!$1:$1048576,$A209-1,COLUMN('1-DATA'!B208)),ROUND(INDEX('1-DATA'!$1:$1048576,IF(OR($B210="STD. DEVIATION",$C$1=1),$A210,$A210+1),COLUMN('1-DATA'!B208)),IF($B210="STD. DEVIATION",2,$F$1))))</f>
        <v/>
      </c>
      <c r="D210" s="1" t="str">
        <f>IF(OR($B210="",D$7=""),"",IF($B210="MEANS",INDEX('1-DATA'!$1:$1048576,$A209-1,COLUMN('1-DATA'!C208)),ROUND(INDEX('1-DATA'!$1:$1048576,IF(OR($B210="STD. DEVIATION",$C$1=1),$A210,$A210+1),COLUMN('1-DATA'!C208)),IF($B210="STD. DEVIATION",2,$F$1))))</f>
        <v/>
      </c>
      <c r="E210" s="1" t="str">
        <f>IF(OR($B210="",E$7=""),"",IF($B210="MEANS",INDEX('1-DATA'!$1:$1048576,$A209-1,COLUMN('1-DATA'!D208)),ROUND(INDEX('1-DATA'!$1:$1048576,IF(OR($B210="STD. DEVIATION",$C$1=1),$A210,$A210+1),COLUMN('1-DATA'!D208)),IF($B210="STD. DEVIATION",2,$F$1))))</f>
        <v/>
      </c>
      <c r="F210" s="1" t="str">
        <f>IF(OR($B210="",F$7=""),"",IF($B210="MEANS",INDEX('1-DATA'!$1:$1048576,$A209-1,COLUMN('1-DATA'!E208)),ROUND(INDEX('1-DATA'!$1:$1048576,IF(OR($B210="STD. DEVIATION",$C$1=1),$A210,$A210+1),COLUMN('1-DATA'!E208)),IF($B210="STD. DEVIATION",2,$F$1))))</f>
        <v/>
      </c>
      <c r="G210" s="1" t="str">
        <f>IF(OR($B210="",G$7=""),"",IF($B210="MEANS",INDEX('1-DATA'!$1:$1048576,$A209-1,COLUMN('1-DATA'!F208)),ROUND(INDEX('1-DATA'!$1:$1048576,IF(OR($B210="STD. DEVIATION",$C$1=1),$A210,$A210+1),COLUMN('1-DATA'!F208)),IF($B210="STD. DEVIATION",2,$F$1))))</f>
        <v/>
      </c>
      <c r="H210" s="1" t="str">
        <f>IF(OR($B210="",H$7=""),"",IF($B210="MEANS",INDEX('1-DATA'!$1:$1048576,$A209-1,COLUMN('1-DATA'!G208)),ROUND(INDEX('1-DATA'!$1:$1048576,IF(OR($B210="STD. DEVIATION",$C$1=1),$A210,$A210+1),COLUMN('1-DATA'!G208)),IF($B210="STD. DEVIATION",2,$F$1))))</f>
        <v/>
      </c>
      <c r="I210" s="1" t="str">
        <f>IF(OR($B210="",I$7=""),"",IF($B210="MEANS",INDEX('1-DATA'!$1:$1048576,$A209-1,COLUMN('1-DATA'!H208)),ROUND(INDEX('1-DATA'!$1:$1048576,IF(OR($B210="STD. DEVIATION",$C$1=1),$A210,$A210+1),COLUMN('1-DATA'!H208)),IF($B210="STD. DEVIATION",2,$F$1))))</f>
        <v/>
      </c>
      <c r="J210" s="1" t="str">
        <f>IF(OR($B210="",J$7=""),"",IF($B210="MEANS",INDEX('1-DATA'!$1:$1048576,$A209-1,COLUMN('1-DATA'!I208)),ROUND(INDEX('1-DATA'!$1:$1048576,IF(OR($B210="STD. DEVIATION",$C$1=1),$A210,$A210+1),COLUMN('1-DATA'!I208)),IF($B210="STD. DEVIATION",2,$F$1))))</f>
        <v/>
      </c>
      <c r="K210" s="1" t="str">
        <f>IF(OR($B210="",K$7=""),"",IF($B210="MEANS",INDEX('1-DATA'!$1:$1048576,$A209-1,COLUMN('1-DATA'!J208)),ROUND(INDEX('1-DATA'!$1:$1048576,IF(OR($B210="STD. DEVIATION",$C$1=1),$A210,$A210+1),COLUMN('1-DATA'!J208)),IF($B210="STD. DEVIATION",2,$F$1))))</f>
        <v/>
      </c>
      <c r="L210" s="1" t="str">
        <f>IF(OR($B210="",L$7=""),"",IF($B210="MEANS",INDEX('1-DATA'!$1:$1048576,$A209-1,COLUMN('1-DATA'!K208)),ROUND(INDEX('1-DATA'!$1:$1048576,IF(OR($B210="STD. DEVIATION",$C$1=1),$A210,$A210+1),COLUMN('1-DATA'!K208)),IF($B210="STD. DEVIATION",2,$F$1))))</f>
        <v/>
      </c>
      <c r="M210" s="1" t="str">
        <f>IF(OR($B210="",M$7=""),"",IF($B210="MEANS",INDEX('1-DATA'!$1:$1048576,$A209-1,COLUMN('1-DATA'!L208)),ROUND(INDEX('1-DATA'!$1:$1048576,IF(OR($B210="STD. DEVIATION",$C$1=1),$A210,$A210+1),COLUMN('1-DATA'!L208)),IF($B210="STD. DEVIATION",2,$F$1))))</f>
        <v/>
      </c>
      <c r="N210" s="1" t="str">
        <f>IF(OR($B210="",N$7=""),"",IF($B210="MEANS",INDEX('1-DATA'!$1:$1048576,$A209-1,COLUMN('1-DATA'!M208)),ROUND(INDEX('1-DATA'!$1:$1048576,IF(OR($B210="STD. DEVIATION",$C$1=1),$A210,$A210+1),COLUMN('1-DATA'!M208)),IF($B210="STD. DEVIATION",2,$F$1))))</f>
        <v/>
      </c>
      <c r="O210" s="1" t="str">
        <f>IF(OR($B210="",O$7=""),"",IF($B210="MEANS",INDEX('1-DATA'!$1:$1048576,$A209-1,COLUMN('1-DATA'!N208)),ROUND(INDEX('1-DATA'!$1:$1048576,IF(OR($B210="STD. DEVIATION",$C$1=1),$A210,$A210+1),COLUMN('1-DATA'!N208)),IF($B210="STD. DEVIATION",2,$F$1))))</f>
        <v/>
      </c>
      <c r="P210" s="1" t="str">
        <f>IF(OR($B210="",P$7=""),"",IF($B210="MEANS",INDEX('1-DATA'!$1:$1048576,$A209-1,COLUMN('1-DATA'!O208)),ROUND(INDEX('1-DATA'!$1:$1048576,IF(OR($B210="STD. DEVIATION",$C$1=1),$A210,$A210+1),COLUMN('1-DATA'!O208)),IF($B210="STD. DEVIATION",2,$F$1))))</f>
        <v/>
      </c>
      <c r="Q210" s="1" t="str">
        <f>IF(OR($B210="",Q$7=""),"",IF($B210="MEANS",INDEX('1-DATA'!$1:$1048576,$A209-1,COLUMN('1-DATA'!P208)),ROUND(INDEX('1-DATA'!$1:$1048576,IF(OR($B210="STD. DEVIATION",$C$1=1),$A210,$A210+1),COLUMN('1-DATA'!P208)),IF($B210="STD. DEVIATION",2,$F$1))))</f>
        <v/>
      </c>
      <c r="R210" s="1" t="str">
        <f>IF(OR($B210="",R$7=""),"",IF($B210="MEANS",INDEX('1-DATA'!$1:$1048576,$A209-1,COLUMN('1-DATA'!Q208)),ROUND(INDEX('1-DATA'!$1:$1048576,IF(OR($B210="STD. DEVIATION",$C$1=1),$A210,$A210+1),COLUMN('1-DATA'!Q208)),IF($B210="STD. DEVIATION",2,$F$1))))</f>
        <v/>
      </c>
      <c r="S210" s="1" t="str">
        <f>IF(OR($B210="",S$7=""),"",IF($B210="MEANS",INDEX('1-DATA'!$1:$1048576,$A209-1,COLUMN('1-DATA'!R208)),ROUND(INDEX('1-DATA'!$1:$1048576,IF(OR($B210="STD. DEVIATION",$C$1=1),$A210,$A210+1),COLUMN('1-DATA'!R208)),IF($B210="STD. DEVIATION",2,$F$1))))</f>
        <v/>
      </c>
      <c r="T210" s="1" t="str">
        <f>IF(OR($B210="",T$7=""),"",IF($B210="MEANS",INDEX('1-DATA'!$1:$1048576,$A209-1,COLUMN('1-DATA'!S208)),ROUND(INDEX('1-DATA'!$1:$1048576,IF(OR($B210="STD. DEVIATION",$C$1=1),$A210,$A210+1),COLUMN('1-DATA'!S208)),IF($B210="STD. DEVIATION",2,$F$1))))</f>
        <v/>
      </c>
      <c r="U210" s="1" t="str">
        <f>IF(OR($B210="",U$7=""),"",IF($B210="MEANS",INDEX('1-DATA'!$1:$1048576,$A209-1,COLUMN('1-DATA'!T208)),ROUND(INDEX('1-DATA'!$1:$1048576,IF(OR($B210="STD. DEVIATION",$C$1=1),$A210,$A210+1),COLUMN('1-DATA'!T208)),IF($B210="STD. DEVIATION",2,$F$1))))</f>
        <v/>
      </c>
      <c r="V210" s="1" t="str">
        <f>IF(OR($B210="",V$7=""),"",IF($B210="MEANS",INDEX('1-DATA'!$1:$1048576,$A209-1,COLUMN('1-DATA'!U208)),ROUND(INDEX('1-DATA'!$1:$1048576,IF(OR($B210="STD. DEVIATION",$C$1=1),$A210,$A210+1),COLUMN('1-DATA'!U208)),IF($B210="STD. DEVIATION",2,$F$1))))</f>
        <v/>
      </c>
      <c r="W210" s="1" t="str">
        <f>IF(OR($B210="",W$7=""),"",IF($B210="MEANS",INDEX('1-DATA'!$1:$1048576,$A209-1,COLUMN('1-DATA'!V208)),ROUND(INDEX('1-DATA'!$1:$1048576,IF(OR($B210="STD. DEVIATION",$C$1=1),$A210,$A210+1),COLUMN('1-DATA'!V208)),IF($B210="STD. DEVIATION",2,$F$1))))</f>
        <v/>
      </c>
      <c r="X210" s="1" t="str">
        <f>IF(OR($B210="",X$7=""),"",IF($B210="MEANS",INDEX('1-DATA'!$1:$1048576,$A209-1,COLUMN('1-DATA'!W208)),ROUND(INDEX('1-DATA'!$1:$1048576,IF(OR($B210="STD. DEVIATION",$C$1=1),$A210,$A210+1),COLUMN('1-DATA'!W208)),IF($B210="STD. DEVIATION",2,$F$1))))</f>
        <v/>
      </c>
      <c r="Y210" s="1" t="str">
        <f>IF(OR($B210="",Y$7=""),"",IF($B210="MEANS",INDEX('1-DATA'!$1:$1048576,$A209-1,COLUMN('1-DATA'!X208)),ROUND(INDEX('1-DATA'!$1:$1048576,IF(OR($B210="STD. DEVIATION",$C$1=1),$A210,$A210+1),COLUMN('1-DATA'!X208)),IF($B210="STD. DEVIATION",2,$F$1))))</f>
        <v/>
      </c>
      <c r="Z210" s="1" t="str">
        <f>IF(OR($B210="",Z$7=""),"",IF($B210="MEANS",INDEX('1-DATA'!$1:$1048576,$A209-1,COLUMN('1-DATA'!Y208)),ROUND(INDEX('1-DATA'!$1:$1048576,IF(OR($B210="STD. DEVIATION",$C$1=1),$A210,$A210+1),COLUMN('1-DATA'!Y208)),IF($B210="STD. DEVIATION",2,$F$1))))</f>
        <v/>
      </c>
      <c r="AA210" s="1" t="str">
        <f>IF(OR($B210="",AA$7=""),"",IF($B210="MEANS",INDEX('1-DATA'!$1:$1048576,$A209-1,COLUMN('1-DATA'!Z208)),ROUND(INDEX('1-DATA'!$1:$1048576,IF(OR($B210="STD. DEVIATION",$C$1=1),$A210,$A210+1),COLUMN('1-DATA'!Z208)),IF($B210="STD. DEVIATION",2,$F$1))))</f>
        <v/>
      </c>
      <c r="AB210" s="1" t="str">
        <f>IF(OR($B210="",AB$7=""),"",IF($B210="MEANS",INDEX('1-DATA'!$1:$1048576,$A209-1,COLUMN('1-DATA'!AA208)),ROUND(INDEX('1-DATA'!$1:$1048576,IF(OR($B210="STD. DEVIATION",$C$1=1),$A210,$A210+1),COLUMN('1-DATA'!AA208)),IF($B210="STD. DEVIATION",2,$F$1))))</f>
        <v/>
      </c>
      <c r="AC210" s="1" t="str">
        <f>IF(OR($B210="",AC$7=""),"",IF($B210="MEANS",INDEX('1-DATA'!$1:$1048576,$A209-1,COLUMN('1-DATA'!AB208)),ROUND(INDEX('1-DATA'!$1:$1048576,IF(OR($B210="STD. DEVIATION",$C$1=1),$A210,$A210+1),COLUMN('1-DATA'!AB208)),IF($B210="STD. DEVIATION",2,$F$1))))</f>
        <v/>
      </c>
      <c r="AD210" s="1" t="str">
        <f>IF(OR($B210="",AD$7=""),"",IF($B210="MEANS",INDEX('1-DATA'!$1:$1048576,$A209-1,COLUMN('1-DATA'!AC208)),ROUND(INDEX('1-DATA'!$1:$1048576,IF(OR($B210="STD. DEVIATION",$C$1=1),$A210,$A210+1),COLUMN('1-DATA'!AC208)),IF($B210="STD. DEVIATION",2,$F$1))))</f>
        <v/>
      </c>
      <c r="AE210" s="1" t="str">
        <f>IF(OR($B210="",AE$7=""),"",IF($B210="MEANS",INDEX('1-DATA'!$1:$1048576,$A209-1,COLUMN('1-DATA'!AD208)),ROUND(INDEX('1-DATA'!$1:$1048576,IF(OR($B210="STD. DEVIATION",$C$1=1),$A210,$A210+1),COLUMN('1-DATA'!AD208)),IF($B210="STD. DEVIATION",2,$F$1))))</f>
        <v/>
      </c>
      <c r="AF210" s="1" t="str">
        <f>IF(OR($B210="",AF$7=""),"",IF($B210="MEANS",INDEX('1-DATA'!$1:$1048576,$A209-1,COLUMN('1-DATA'!AE208)),ROUND(INDEX('1-DATA'!$1:$1048576,IF(OR($B210="STD. DEVIATION",$C$1=1),$A210,$A210+1),COLUMN('1-DATA'!AE208)),IF($B210="STD. DEVIATION",2,$F$1))))</f>
        <v/>
      </c>
      <c r="AG210" s="1" t="str">
        <f>IF(OR($B210="",AG$7=""),"",IF($B210="MEANS",INDEX('1-DATA'!$1:$1048576,$A209-1,COLUMN('1-DATA'!AF208)),ROUND(INDEX('1-DATA'!$1:$1048576,IF(OR($B210="STD. DEVIATION",$C$1=1),$A210,$A210+1),COLUMN('1-DATA'!AF208)),IF($B210="STD. DEVIATION",2,$F$1))))</f>
        <v/>
      </c>
      <c r="AH210" s="1" t="str">
        <f>IF(OR($B210="",AH$7=""),"",IF($B210="MEANS",INDEX('1-DATA'!$1:$1048576,$A209-1,COLUMN('1-DATA'!AG208)),ROUND(INDEX('1-DATA'!$1:$1048576,IF(OR($B210="STD. DEVIATION",$C$1=1),$A210,$A210+1),COLUMN('1-DATA'!AG208)),IF($B210="STD. DEVIATION",2,$F$1))))</f>
        <v/>
      </c>
      <c r="AI210" s="1" t="str">
        <f>IF(OR($B210="",AI$7=""),"",IF($B210="MEANS",INDEX('1-DATA'!$1:$1048576,$A209-1,COLUMN('1-DATA'!AH208)),ROUND(INDEX('1-DATA'!$1:$1048576,IF(OR($B210="STD. DEVIATION",$C$1=1),$A210,$A210+1),COLUMN('1-DATA'!AH208)),IF($B210="STD. DEVIATION",2,$F$1))))</f>
        <v/>
      </c>
      <c r="AJ210" s="1" t="str">
        <f>IF(OR($B210="",AJ$7=""),"",IF($B210="MEANS",INDEX('1-DATA'!$1:$1048576,$A209-1,COLUMN('1-DATA'!AI208)),ROUND(INDEX('1-DATA'!$1:$1048576,IF(OR($B210="STD. DEVIATION",$C$1=1),$A210,$A210+1),COLUMN('1-DATA'!AI208)),IF($B210="STD. DEVIATION",2,$F$1))))</f>
        <v/>
      </c>
      <c r="AK210" s="1" t="str">
        <f>IF(OR($B210="",AK$7=""),"",IF($B210="MEANS",INDEX('1-DATA'!$1:$1048576,$A209-1,COLUMN('1-DATA'!AJ208)),ROUND(INDEX('1-DATA'!$1:$1048576,IF(OR($B210="STD. DEVIATION",$C$1=1),$A210,$A210+1),COLUMN('1-DATA'!AJ208)),IF($B210="STD. DEVIATION",2,$F$1))))</f>
        <v/>
      </c>
      <c r="AL210" s="1" t="str">
        <f>IF(OR($B210="",AL$7=""),"",IF($B210="MEANS",INDEX('1-DATA'!$1:$1048576,$A209-1,COLUMN('1-DATA'!AK208)),ROUND(INDEX('1-DATA'!$1:$1048576,IF(OR($B210="STD. DEVIATION",$C$1=1),$A210,$A210+1),COLUMN('1-DATA'!AK208)),IF($B210="STD. DEVIATION",2,$F$1))))</f>
        <v/>
      </c>
      <c r="AM210" s="1" t="str">
        <f>IF(OR($B210="",AM$7=""),"",IF($B210="MEANS",INDEX('1-DATA'!$1:$1048576,$A209-1,COLUMN('1-DATA'!AL208)),ROUND(INDEX('1-DATA'!$1:$1048576,IF(OR($B210="STD. DEVIATION",$C$1=1),$A210,$A210+1),COLUMN('1-DATA'!AL208)),IF($B210="STD. DEVIATION",2,$F$1))))</f>
        <v/>
      </c>
      <c r="AN210" s="1" t="str">
        <f>IF(OR($B210="",AN$7=""),"",IF($B210="MEANS",INDEX('1-DATA'!$1:$1048576,$A209-1,COLUMN('1-DATA'!AM208)),ROUND(INDEX('1-DATA'!$1:$1048576,IF(OR($B210="STD. DEVIATION",$C$1=1),$A210,$A210+1),COLUMN('1-DATA'!AM208)),IF($B210="STD. DEVIATION",2,$F$1))))</f>
        <v/>
      </c>
      <c r="AO210" s="1" t="str">
        <f>IF(OR($B210="",AO$7=""),"",IF($B210="MEANS",INDEX('1-DATA'!$1:$1048576,$A209-1,COLUMN('1-DATA'!AN208)),ROUND(INDEX('1-DATA'!$1:$1048576,IF(OR($B210="STD. DEVIATION",$C$1=1),$A210,$A210+1),COLUMN('1-DATA'!AN208)),IF($B210="STD. DEVIATION",2,$F$1))))</f>
        <v/>
      </c>
      <c r="AP210" s="1" t="str">
        <f>IF(OR($B210="",AP$7=""),"",IF($B210="MEANS",INDEX('1-DATA'!$1:$1048576,$A209-1,COLUMN('1-DATA'!AO208)),ROUND(INDEX('1-DATA'!$1:$1048576,IF(OR($B210="STD. DEVIATION",$C$1=1),$A210,$A210+1),COLUMN('1-DATA'!AO208)),IF($B210="STD. DEVIATION",2,$F$1))))</f>
        <v/>
      </c>
      <c r="AQ210" s="1" t="str">
        <f>IF(OR($B210="",AQ$7=""),"",IF($B210="MEANS",INDEX('1-DATA'!$1:$1048576,$A209-1,COLUMN('1-DATA'!AP208)),ROUND(INDEX('1-DATA'!$1:$1048576,IF(OR($B210="STD. DEVIATION",$C$1=1),$A210,$A210+1),COLUMN('1-DATA'!AP208)),IF($B210="STD. DEVIATION",2,$F$1))))</f>
        <v/>
      </c>
      <c r="AR210" s="1" t="str">
        <f>IF(OR($B210="",AR$7=""),"",IF($B210="MEANS",INDEX('1-DATA'!$1:$1048576,$A209-1,COLUMN('1-DATA'!AQ208)),ROUND(INDEX('1-DATA'!$1:$1048576,IF(OR($B210="STD. DEVIATION",$C$1=1),$A210,$A210+1),COLUMN('1-DATA'!AQ208)),IF($B210="STD. DEVIATION",2,$F$1))))</f>
        <v/>
      </c>
      <c r="AS210" s="1" t="str">
        <f>IF(OR($B210="",AS$7=""),"",IF($B210="MEANS",INDEX('1-DATA'!$1:$1048576,$A209-1,COLUMN('1-DATA'!AR208)),ROUND(INDEX('1-DATA'!$1:$1048576,IF(OR($B210="STD. DEVIATION",$C$1=1),$A210,$A210+1),COLUMN('1-DATA'!AR208)),IF($B210="STD. DEVIATION",2,$F$1))))</f>
        <v/>
      </c>
      <c r="AT210" s="1" t="str">
        <f>IF(OR($B210="",AT$7=""),"",IF($B210="MEANS",INDEX('1-DATA'!$1:$1048576,$A209-1,COLUMN('1-DATA'!AS208)),ROUND(INDEX('1-DATA'!$1:$1048576,IF(OR($B210="STD. DEVIATION",$C$1=1),$A210,$A210+1),COLUMN('1-DATA'!AS208)),IF($B210="STD. DEVIATION",2,$F$1))))</f>
        <v/>
      </c>
      <c r="AU210" s="1" t="str">
        <f>IF(OR($B210="",AU$7=""),"",IF($B210="MEANS",INDEX('1-DATA'!$1:$1048576,$A209-1,COLUMN('1-DATA'!AT208)),ROUND(INDEX('1-DATA'!$1:$1048576,IF(OR($B210="STD. DEVIATION",$C$1=1),$A210,$A210+1),COLUMN('1-DATA'!AT208)),IF($B210="STD. DEVIATION",2,$F$1))))</f>
        <v/>
      </c>
      <c r="AV210" s="1" t="str">
        <f>IF(OR($B210="",AV$7=""),"",IF($B210="MEANS",INDEX('1-DATA'!$1:$1048576,$A209-1,COLUMN('1-DATA'!AU208)),ROUND(INDEX('1-DATA'!$1:$1048576,IF(OR($B210="STD. DEVIATION",$C$1=1),$A210,$A210+1),COLUMN('1-DATA'!AU208)),IF($B210="STD. DEVIATION",2,$F$1))))</f>
        <v/>
      </c>
      <c r="AW210" s="1" t="str">
        <f>IF(OR($B210="",AW$7=""),"",IF($B210="MEANS",INDEX('1-DATA'!$1:$1048576,$A209-1,COLUMN('1-DATA'!AV208)),ROUND(INDEX('1-DATA'!$1:$1048576,IF(OR($B210="STD. DEVIATION",$C$1=1),$A210,$A210+1),COLUMN('1-DATA'!AV208)),IF($B210="STD. DEVIATION",2,$F$1))))</f>
        <v/>
      </c>
      <c r="AX210" s="1" t="str">
        <f>IF(OR($B210="",AX$7=""),"",IF($B210="MEANS",INDEX('1-DATA'!$1:$1048576,$A209-1,COLUMN('1-DATA'!AW208)),ROUND(INDEX('1-DATA'!$1:$1048576,IF(OR($B210="STD. DEVIATION",$C$1=1),$A210,$A210+1),COLUMN('1-DATA'!AW208)),IF($B210="STD. DEVIATION",2,$F$1))))</f>
        <v/>
      </c>
      <c r="AY210" s="1" t="str">
        <f>IF(OR($B210="",AY$7=""),"",IF($B210="MEANS",INDEX('1-DATA'!$1:$1048576,$A209-1,COLUMN('1-DATA'!AX208)),ROUND(INDEX('1-DATA'!$1:$1048576,IF(OR($B210="STD. DEVIATION",$C$1=1),$A210,$A210+1),COLUMN('1-DATA'!AX208)),IF($B210="STD. DEVIATION",2,$F$1))))</f>
        <v/>
      </c>
      <c r="AZ210" s="1" t="str">
        <f>IF(OR($B210="",AZ$7=""),"",IF($B210="MEANS",INDEX('1-DATA'!$1:$1048576,$A209-1,COLUMN('1-DATA'!AY208)),ROUND(INDEX('1-DATA'!$1:$1048576,IF(OR($B210="STD. DEVIATION",$C$1=1),$A210,$A210+1),COLUMN('1-DATA'!AY208)),IF($B210="STD. DEVIATION",2,$F$1))))</f>
        <v/>
      </c>
    </row>
    <row r="211" spans="1:52" x14ac:dyDescent="0.25">
      <c r="A211" s="11">
        <f t="shared" si="3"/>
        <v>619</v>
      </c>
      <c r="B211" s="1" t="str">
        <f>IF(B210="STD. DEVIATION",INDEX('1-DATA'!$1:$1048576,$A210-1,1),IF(INDEX('1-DATA'!$1:$1048576,$A211,1)&lt;&gt;"",INDEX('1-DATA'!$1:$1048576,$A211,1),""))</f>
        <v/>
      </c>
      <c r="C211" s="1" t="str">
        <f>IF(OR($B211="",C$7=""),"",IF($B211="MEANS",INDEX('1-DATA'!$1:$1048576,$A210-1,COLUMN('1-DATA'!B209)),ROUND(INDEX('1-DATA'!$1:$1048576,IF(OR($B211="STD. DEVIATION",$C$1=1),$A211,$A211+1),COLUMN('1-DATA'!B209)),IF($B211="STD. DEVIATION",2,$F$1))))</f>
        <v/>
      </c>
      <c r="D211" s="1" t="str">
        <f>IF(OR($B211="",D$7=""),"",IF($B211="MEANS",INDEX('1-DATA'!$1:$1048576,$A210-1,COLUMN('1-DATA'!C209)),ROUND(INDEX('1-DATA'!$1:$1048576,IF(OR($B211="STD. DEVIATION",$C$1=1),$A211,$A211+1),COLUMN('1-DATA'!C209)),IF($B211="STD. DEVIATION",2,$F$1))))</f>
        <v/>
      </c>
      <c r="E211" s="1" t="str">
        <f>IF(OR($B211="",E$7=""),"",IF($B211="MEANS",INDEX('1-DATA'!$1:$1048576,$A210-1,COLUMN('1-DATA'!D209)),ROUND(INDEX('1-DATA'!$1:$1048576,IF(OR($B211="STD. DEVIATION",$C$1=1),$A211,$A211+1),COLUMN('1-DATA'!D209)),IF($B211="STD. DEVIATION",2,$F$1))))</f>
        <v/>
      </c>
      <c r="F211" s="1" t="str">
        <f>IF(OR($B211="",F$7=""),"",IF($B211="MEANS",INDEX('1-DATA'!$1:$1048576,$A210-1,COLUMN('1-DATA'!E209)),ROUND(INDEX('1-DATA'!$1:$1048576,IF(OR($B211="STD. DEVIATION",$C$1=1),$A211,$A211+1),COLUMN('1-DATA'!E209)),IF($B211="STD. DEVIATION",2,$F$1))))</f>
        <v/>
      </c>
      <c r="G211" s="1" t="str">
        <f>IF(OR($B211="",G$7=""),"",IF($B211="MEANS",INDEX('1-DATA'!$1:$1048576,$A210-1,COLUMN('1-DATA'!F209)),ROUND(INDEX('1-DATA'!$1:$1048576,IF(OR($B211="STD. DEVIATION",$C$1=1),$A211,$A211+1),COLUMN('1-DATA'!F209)),IF($B211="STD. DEVIATION",2,$F$1))))</f>
        <v/>
      </c>
      <c r="H211" s="1" t="str">
        <f>IF(OR($B211="",H$7=""),"",IF($B211="MEANS",INDEX('1-DATA'!$1:$1048576,$A210-1,COLUMN('1-DATA'!G209)),ROUND(INDEX('1-DATA'!$1:$1048576,IF(OR($B211="STD. DEVIATION",$C$1=1),$A211,$A211+1),COLUMN('1-DATA'!G209)),IF($B211="STD. DEVIATION",2,$F$1))))</f>
        <v/>
      </c>
      <c r="I211" s="1" t="str">
        <f>IF(OR($B211="",I$7=""),"",IF($B211="MEANS",INDEX('1-DATA'!$1:$1048576,$A210-1,COLUMN('1-DATA'!H209)),ROUND(INDEX('1-DATA'!$1:$1048576,IF(OR($B211="STD. DEVIATION",$C$1=1),$A211,$A211+1),COLUMN('1-DATA'!H209)),IF($B211="STD. DEVIATION",2,$F$1))))</f>
        <v/>
      </c>
      <c r="J211" s="1" t="str">
        <f>IF(OR($B211="",J$7=""),"",IF($B211="MEANS",INDEX('1-DATA'!$1:$1048576,$A210-1,COLUMN('1-DATA'!I209)),ROUND(INDEX('1-DATA'!$1:$1048576,IF(OR($B211="STD. DEVIATION",$C$1=1),$A211,$A211+1),COLUMN('1-DATA'!I209)),IF($B211="STD. DEVIATION",2,$F$1))))</f>
        <v/>
      </c>
      <c r="K211" s="1" t="str">
        <f>IF(OR($B211="",K$7=""),"",IF($B211="MEANS",INDEX('1-DATA'!$1:$1048576,$A210-1,COLUMN('1-DATA'!J209)),ROUND(INDEX('1-DATA'!$1:$1048576,IF(OR($B211="STD. DEVIATION",$C$1=1),$A211,$A211+1),COLUMN('1-DATA'!J209)),IF($B211="STD. DEVIATION",2,$F$1))))</f>
        <v/>
      </c>
      <c r="L211" s="1" t="str">
        <f>IF(OR($B211="",L$7=""),"",IF($B211="MEANS",INDEX('1-DATA'!$1:$1048576,$A210-1,COLUMN('1-DATA'!K209)),ROUND(INDEX('1-DATA'!$1:$1048576,IF(OR($B211="STD. DEVIATION",$C$1=1),$A211,$A211+1),COLUMN('1-DATA'!K209)),IF($B211="STD. DEVIATION",2,$F$1))))</f>
        <v/>
      </c>
      <c r="M211" s="1" t="str">
        <f>IF(OR($B211="",M$7=""),"",IF($B211="MEANS",INDEX('1-DATA'!$1:$1048576,$A210-1,COLUMN('1-DATA'!L209)),ROUND(INDEX('1-DATA'!$1:$1048576,IF(OR($B211="STD. DEVIATION",$C$1=1),$A211,$A211+1),COLUMN('1-DATA'!L209)),IF($B211="STD. DEVIATION",2,$F$1))))</f>
        <v/>
      </c>
      <c r="N211" s="1" t="str">
        <f>IF(OR($B211="",N$7=""),"",IF($B211="MEANS",INDEX('1-DATA'!$1:$1048576,$A210-1,COLUMN('1-DATA'!M209)),ROUND(INDEX('1-DATA'!$1:$1048576,IF(OR($B211="STD. DEVIATION",$C$1=1),$A211,$A211+1),COLUMN('1-DATA'!M209)),IF($B211="STD. DEVIATION",2,$F$1))))</f>
        <v/>
      </c>
      <c r="O211" s="1" t="str">
        <f>IF(OR($B211="",O$7=""),"",IF($B211="MEANS",INDEX('1-DATA'!$1:$1048576,$A210-1,COLUMN('1-DATA'!N209)),ROUND(INDEX('1-DATA'!$1:$1048576,IF(OR($B211="STD. DEVIATION",$C$1=1),$A211,$A211+1),COLUMN('1-DATA'!N209)),IF($B211="STD. DEVIATION",2,$F$1))))</f>
        <v/>
      </c>
      <c r="P211" s="1" t="str">
        <f>IF(OR($B211="",P$7=""),"",IF($B211="MEANS",INDEX('1-DATA'!$1:$1048576,$A210-1,COLUMN('1-DATA'!O209)),ROUND(INDEX('1-DATA'!$1:$1048576,IF(OR($B211="STD. DEVIATION",$C$1=1),$A211,$A211+1),COLUMN('1-DATA'!O209)),IF($B211="STD. DEVIATION",2,$F$1))))</f>
        <v/>
      </c>
      <c r="Q211" s="1" t="str">
        <f>IF(OR($B211="",Q$7=""),"",IF($B211="MEANS",INDEX('1-DATA'!$1:$1048576,$A210-1,COLUMN('1-DATA'!P209)),ROUND(INDEX('1-DATA'!$1:$1048576,IF(OR($B211="STD. DEVIATION",$C$1=1),$A211,$A211+1),COLUMN('1-DATA'!P209)),IF($B211="STD. DEVIATION",2,$F$1))))</f>
        <v/>
      </c>
      <c r="R211" s="1" t="str">
        <f>IF(OR($B211="",R$7=""),"",IF($B211="MEANS",INDEX('1-DATA'!$1:$1048576,$A210-1,COLUMN('1-DATA'!Q209)),ROUND(INDEX('1-DATA'!$1:$1048576,IF(OR($B211="STD. DEVIATION",$C$1=1),$A211,$A211+1),COLUMN('1-DATA'!Q209)),IF($B211="STD. DEVIATION",2,$F$1))))</f>
        <v/>
      </c>
      <c r="S211" s="1" t="str">
        <f>IF(OR($B211="",S$7=""),"",IF($B211="MEANS",INDEX('1-DATA'!$1:$1048576,$A210-1,COLUMN('1-DATA'!R209)),ROUND(INDEX('1-DATA'!$1:$1048576,IF(OR($B211="STD. DEVIATION",$C$1=1),$A211,$A211+1),COLUMN('1-DATA'!R209)),IF($B211="STD. DEVIATION",2,$F$1))))</f>
        <v/>
      </c>
      <c r="T211" s="1" t="str">
        <f>IF(OR($B211="",T$7=""),"",IF($B211="MEANS",INDEX('1-DATA'!$1:$1048576,$A210-1,COLUMN('1-DATA'!S209)),ROUND(INDEX('1-DATA'!$1:$1048576,IF(OR($B211="STD. DEVIATION",$C$1=1),$A211,$A211+1),COLUMN('1-DATA'!S209)),IF($B211="STD. DEVIATION",2,$F$1))))</f>
        <v/>
      </c>
      <c r="U211" s="1" t="str">
        <f>IF(OR($B211="",U$7=""),"",IF($B211="MEANS",INDEX('1-DATA'!$1:$1048576,$A210-1,COLUMN('1-DATA'!T209)),ROUND(INDEX('1-DATA'!$1:$1048576,IF(OR($B211="STD. DEVIATION",$C$1=1),$A211,$A211+1),COLUMN('1-DATA'!T209)),IF($B211="STD. DEVIATION",2,$F$1))))</f>
        <v/>
      </c>
      <c r="V211" s="1" t="str">
        <f>IF(OR($B211="",V$7=""),"",IF($B211="MEANS",INDEX('1-DATA'!$1:$1048576,$A210-1,COLUMN('1-DATA'!U209)),ROUND(INDEX('1-DATA'!$1:$1048576,IF(OR($B211="STD. DEVIATION",$C$1=1),$A211,$A211+1),COLUMN('1-DATA'!U209)),IF($B211="STD. DEVIATION",2,$F$1))))</f>
        <v/>
      </c>
      <c r="W211" s="1" t="str">
        <f>IF(OR($B211="",W$7=""),"",IF($B211="MEANS",INDEX('1-DATA'!$1:$1048576,$A210-1,COLUMN('1-DATA'!V209)),ROUND(INDEX('1-DATA'!$1:$1048576,IF(OR($B211="STD. DEVIATION",$C$1=1),$A211,$A211+1),COLUMN('1-DATA'!V209)),IF($B211="STD. DEVIATION",2,$F$1))))</f>
        <v/>
      </c>
      <c r="X211" s="1" t="str">
        <f>IF(OR($B211="",X$7=""),"",IF($B211="MEANS",INDEX('1-DATA'!$1:$1048576,$A210-1,COLUMN('1-DATA'!W209)),ROUND(INDEX('1-DATA'!$1:$1048576,IF(OR($B211="STD. DEVIATION",$C$1=1),$A211,$A211+1),COLUMN('1-DATA'!W209)),IF($B211="STD. DEVIATION",2,$F$1))))</f>
        <v/>
      </c>
      <c r="Y211" s="1" t="str">
        <f>IF(OR($B211="",Y$7=""),"",IF($B211="MEANS",INDEX('1-DATA'!$1:$1048576,$A210-1,COLUMN('1-DATA'!X209)),ROUND(INDEX('1-DATA'!$1:$1048576,IF(OR($B211="STD. DEVIATION",$C$1=1),$A211,$A211+1),COLUMN('1-DATA'!X209)),IF($B211="STD. DEVIATION",2,$F$1))))</f>
        <v/>
      </c>
      <c r="Z211" s="1" t="str">
        <f>IF(OR($B211="",Z$7=""),"",IF($B211="MEANS",INDEX('1-DATA'!$1:$1048576,$A210-1,COLUMN('1-DATA'!Y209)),ROUND(INDEX('1-DATA'!$1:$1048576,IF(OR($B211="STD. DEVIATION",$C$1=1),$A211,$A211+1),COLUMN('1-DATA'!Y209)),IF($B211="STD. DEVIATION",2,$F$1))))</f>
        <v/>
      </c>
      <c r="AA211" s="1" t="str">
        <f>IF(OR($B211="",AA$7=""),"",IF($B211="MEANS",INDEX('1-DATA'!$1:$1048576,$A210-1,COLUMN('1-DATA'!Z209)),ROUND(INDEX('1-DATA'!$1:$1048576,IF(OR($B211="STD. DEVIATION",$C$1=1),$A211,$A211+1),COLUMN('1-DATA'!Z209)),IF($B211="STD. DEVIATION",2,$F$1))))</f>
        <v/>
      </c>
      <c r="AB211" s="1" t="str">
        <f>IF(OR($B211="",AB$7=""),"",IF($B211="MEANS",INDEX('1-DATA'!$1:$1048576,$A210-1,COLUMN('1-DATA'!AA209)),ROUND(INDEX('1-DATA'!$1:$1048576,IF(OR($B211="STD. DEVIATION",$C$1=1),$A211,$A211+1),COLUMN('1-DATA'!AA209)),IF($B211="STD. DEVIATION",2,$F$1))))</f>
        <v/>
      </c>
      <c r="AC211" s="1" t="str">
        <f>IF(OR($B211="",AC$7=""),"",IF($B211="MEANS",INDEX('1-DATA'!$1:$1048576,$A210-1,COLUMN('1-DATA'!AB209)),ROUND(INDEX('1-DATA'!$1:$1048576,IF(OR($B211="STD. DEVIATION",$C$1=1),$A211,$A211+1),COLUMN('1-DATA'!AB209)),IF($B211="STD. DEVIATION",2,$F$1))))</f>
        <v/>
      </c>
      <c r="AD211" s="1" t="str">
        <f>IF(OR($B211="",AD$7=""),"",IF($B211="MEANS",INDEX('1-DATA'!$1:$1048576,$A210-1,COLUMN('1-DATA'!AC209)),ROUND(INDEX('1-DATA'!$1:$1048576,IF(OR($B211="STD. DEVIATION",$C$1=1),$A211,$A211+1),COLUMN('1-DATA'!AC209)),IF($B211="STD. DEVIATION",2,$F$1))))</f>
        <v/>
      </c>
      <c r="AE211" s="1" t="str">
        <f>IF(OR($B211="",AE$7=""),"",IF($B211="MEANS",INDEX('1-DATA'!$1:$1048576,$A210-1,COLUMN('1-DATA'!AD209)),ROUND(INDEX('1-DATA'!$1:$1048576,IF(OR($B211="STD. DEVIATION",$C$1=1),$A211,$A211+1),COLUMN('1-DATA'!AD209)),IF($B211="STD. DEVIATION",2,$F$1))))</f>
        <v/>
      </c>
      <c r="AF211" s="1" t="str">
        <f>IF(OR($B211="",AF$7=""),"",IF($B211="MEANS",INDEX('1-DATA'!$1:$1048576,$A210-1,COLUMN('1-DATA'!AE209)),ROUND(INDEX('1-DATA'!$1:$1048576,IF(OR($B211="STD. DEVIATION",$C$1=1),$A211,$A211+1),COLUMN('1-DATA'!AE209)),IF($B211="STD. DEVIATION",2,$F$1))))</f>
        <v/>
      </c>
      <c r="AG211" s="1" t="str">
        <f>IF(OR($B211="",AG$7=""),"",IF($B211="MEANS",INDEX('1-DATA'!$1:$1048576,$A210-1,COLUMN('1-DATA'!AF209)),ROUND(INDEX('1-DATA'!$1:$1048576,IF(OR($B211="STD. DEVIATION",$C$1=1),$A211,$A211+1),COLUMN('1-DATA'!AF209)),IF($B211="STD. DEVIATION",2,$F$1))))</f>
        <v/>
      </c>
      <c r="AH211" s="1" t="str">
        <f>IF(OR($B211="",AH$7=""),"",IF($B211="MEANS",INDEX('1-DATA'!$1:$1048576,$A210-1,COLUMN('1-DATA'!AG209)),ROUND(INDEX('1-DATA'!$1:$1048576,IF(OR($B211="STD. DEVIATION",$C$1=1),$A211,$A211+1),COLUMN('1-DATA'!AG209)),IF($B211="STD. DEVIATION",2,$F$1))))</f>
        <v/>
      </c>
      <c r="AI211" s="1" t="str">
        <f>IF(OR($B211="",AI$7=""),"",IF($B211="MEANS",INDEX('1-DATA'!$1:$1048576,$A210-1,COLUMN('1-DATA'!AH209)),ROUND(INDEX('1-DATA'!$1:$1048576,IF(OR($B211="STD. DEVIATION",$C$1=1),$A211,$A211+1),COLUMN('1-DATA'!AH209)),IF($B211="STD. DEVIATION",2,$F$1))))</f>
        <v/>
      </c>
      <c r="AJ211" s="1" t="str">
        <f>IF(OR($B211="",AJ$7=""),"",IF($B211="MEANS",INDEX('1-DATA'!$1:$1048576,$A210-1,COLUMN('1-DATA'!AI209)),ROUND(INDEX('1-DATA'!$1:$1048576,IF(OR($B211="STD. DEVIATION",$C$1=1),$A211,$A211+1),COLUMN('1-DATA'!AI209)),IF($B211="STD. DEVIATION",2,$F$1))))</f>
        <v/>
      </c>
      <c r="AK211" s="1" t="str">
        <f>IF(OR($B211="",AK$7=""),"",IF($B211="MEANS",INDEX('1-DATA'!$1:$1048576,$A210-1,COLUMN('1-DATA'!AJ209)),ROUND(INDEX('1-DATA'!$1:$1048576,IF(OR($B211="STD. DEVIATION",$C$1=1),$A211,$A211+1),COLUMN('1-DATA'!AJ209)),IF($B211="STD. DEVIATION",2,$F$1))))</f>
        <v/>
      </c>
      <c r="AL211" s="1" t="str">
        <f>IF(OR($B211="",AL$7=""),"",IF($B211="MEANS",INDEX('1-DATA'!$1:$1048576,$A210-1,COLUMN('1-DATA'!AK209)),ROUND(INDEX('1-DATA'!$1:$1048576,IF(OR($B211="STD. DEVIATION",$C$1=1),$A211,$A211+1),COLUMN('1-DATA'!AK209)),IF($B211="STD. DEVIATION",2,$F$1))))</f>
        <v/>
      </c>
      <c r="AM211" s="1" t="str">
        <f>IF(OR($B211="",AM$7=""),"",IF($B211="MEANS",INDEX('1-DATA'!$1:$1048576,$A210-1,COLUMN('1-DATA'!AL209)),ROUND(INDEX('1-DATA'!$1:$1048576,IF(OR($B211="STD. DEVIATION",$C$1=1),$A211,$A211+1),COLUMN('1-DATA'!AL209)),IF($B211="STD. DEVIATION",2,$F$1))))</f>
        <v/>
      </c>
      <c r="AN211" s="1" t="str">
        <f>IF(OR($B211="",AN$7=""),"",IF($B211="MEANS",INDEX('1-DATA'!$1:$1048576,$A210-1,COLUMN('1-DATA'!AM209)),ROUND(INDEX('1-DATA'!$1:$1048576,IF(OR($B211="STD. DEVIATION",$C$1=1),$A211,$A211+1),COLUMN('1-DATA'!AM209)),IF($B211="STD. DEVIATION",2,$F$1))))</f>
        <v/>
      </c>
      <c r="AO211" s="1" t="str">
        <f>IF(OR($B211="",AO$7=""),"",IF($B211="MEANS",INDEX('1-DATA'!$1:$1048576,$A210-1,COLUMN('1-DATA'!AN209)),ROUND(INDEX('1-DATA'!$1:$1048576,IF(OR($B211="STD. DEVIATION",$C$1=1),$A211,$A211+1),COLUMN('1-DATA'!AN209)),IF($B211="STD. DEVIATION",2,$F$1))))</f>
        <v/>
      </c>
      <c r="AP211" s="1" t="str">
        <f>IF(OR($B211="",AP$7=""),"",IF($B211="MEANS",INDEX('1-DATA'!$1:$1048576,$A210-1,COLUMN('1-DATA'!AO209)),ROUND(INDEX('1-DATA'!$1:$1048576,IF(OR($B211="STD. DEVIATION",$C$1=1),$A211,$A211+1),COLUMN('1-DATA'!AO209)),IF($B211="STD. DEVIATION",2,$F$1))))</f>
        <v/>
      </c>
      <c r="AQ211" s="1" t="str">
        <f>IF(OR($B211="",AQ$7=""),"",IF($B211="MEANS",INDEX('1-DATA'!$1:$1048576,$A210-1,COLUMN('1-DATA'!AP209)),ROUND(INDEX('1-DATA'!$1:$1048576,IF(OR($B211="STD. DEVIATION",$C$1=1),$A211,$A211+1),COLUMN('1-DATA'!AP209)),IF($B211="STD. DEVIATION",2,$F$1))))</f>
        <v/>
      </c>
      <c r="AR211" s="1" t="str">
        <f>IF(OR($B211="",AR$7=""),"",IF($B211="MEANS",INDEX('1-DATA'!$1:$1048576,$A210-1,COLUMN('1-DATA'!AQ209)),ROUND(INDEX('1-DATA'!$1:$1048576,IF(OR($B211="STD. DEVIATION",$C$1=1),$A211,$A211+1),COLUMN('1-DATA'!AQ209)),IF($B211="STD. DEVIATION",2,$F$1))))</f>
        <v/>
      </c>
      <c r="AS211" s="1" t="str">
        <f>IF(OR($B211="",AS$7=""),"",IF($B211="MEANS",INDEX('1-DATA'!$1:$1048576,$A210-1,COLUMN('1-DATA'!AR209)),ROUND(INDEX('1-DATA'!$1:$1048576,IF(OR($B211="STD. DEVIATION",$C$1=1),$A211,$A211+1),COLUMN('1-DATA'!AR209)),IF($B211="STD. DEVIATION",2,$F$1))))</f>
        <v/>
      </c>
      <c r="AT211" s="1" t="str">
        <f>IF(OR($B211="",AT$7=""),"",IF($B211="MEANS",INDEX('1-DATA'!$1:$1048576,$A210-1,COLUMN('1-DATA'!AS209)),ROUND(INDEX('1-DATA'!$1:$1048576,IF(OR($B211="STD. DEVIATION",$C$1=1),$A211,$A211+1),COLUMN('1-DATA'!AS209)),IF($B211="STD. DEVIATION",2,$F$1))))</f>
        <v/>
      </c>
      <c r="AU211" s="1" t="str">
        <f>IF(OR($B211="",AU$7=""),"",IF($B211="MEANS",INDEX('1-DATA'!$1:$1048576,$A210-1,COLUMN('1-DATA'!AT209)),ROUND(INDEX('1-DATA'!$1:$1048576,IF(OR($B211="STD. DEVIATION",$C$1=1),$A211,$A211+1),COLUMN('1-DATA'!AT209)),IF($B211="STD. DEVIATION",2,$F$1))))</f>
        <v/>
      </c>
      <c r="AV211" s="1" t="str">
        <f>IF(OR($B211="",AV$7=""),"",IF($B211="MEANS",INDEX('1-DATA'!$1:$1048576,$A210-1,COLUMN('1-DATA'!AU209)),ROUND(INDEX('1-DATA'!$1:$1048576,IF(OR($B211="STD. DEVIATION",$C$1=1),$A211,$A211+1),COLUMN('1-DATA'!AU209)),IF($B211="STD. DEVIATION",2,$F$1))))</f>
        <v/>
      </c>
      <c r="AW211" s="1" t="str">
        <f>IF(OR($B211="",AW$7=""),"",IF($B211="MEANS",INDEX('1-DATA'!$1:$1048576,$A210-1,COLUMN('1-DATA'!AV209)),ROUND(INDEX('1-DATA'!$1:$1048576,IF(OR($B211="STD. DEVIATION",$C$1=1),$A211,$A211+1),COLUMN('1-DATA'!AV209)),IF($B211="STD. DEVIATION",2,$F$1))))</f>
        <v/>
      </c>
      <c r="AX211" s="1" t="str">
        <f>IF(OR($B211="",AX$7=""),"",IF($B211="MEANS",INDEX('1-DATA'!$1:$1048576,$A210-1,COLUMN('1-DATA'!AW209)),ROUND(INDEX('1-DATA'!$1:$1048576,IF(OR($B211="STD. DEVIATION",$C$1=1),$A211,$A211+1),COLUMN('1-DATA'!AW209)),IF($B211="STD. DEVIATION",2,$F$1))))</f>
        <v/>
      </c>
      <c r="AY211" s="1" t="str">
        <f>IF(OR($B211="",AY$7=""),"",IF($B211="MEANS",INDEX('1-DATA'!$1:$1048576,$A210-1,COLUMN('1-DATA'!AX209)),ROUND(INDEX('1-DATA'!$1:$1048576,IF(OR($B211="STD. DEVIATION",$C$1=1),$A211,$A211+1),COLUMN('1-DATA'!AX209)),IF($B211="STD. DEVIATION",2,$F$1))))</f>
        <v/>
      </c>
      <c r="AZ211" s="1" t="str">
        <f>IF(OR($B211="",AZ$7=""),"",IF($B211="MEANS",INDEX('1-DATA'!$1:$1048576,$A210-1,COLUMN('1-DATA'!AY209)),ROUND(INDEX('1-DATA'!$1:$1048576,IF(OR($B211="STD. DEVIATION",$C$1=1),$A211,$A211+1),COLUMN('1-DATA'!AY209)),IF($B211="STD. DEVIATION",2,$F$1))))</f>
        <v/>
      </c>
    </row>
    <row r="212" spans="1:52" x14ac:dyDescent="0.25">
      <c r="A212" s="11">
        <f t="shared" si="3"/>
        <v>622</v>
      </c>
      <c r="B212" s="1" t="str">
        <f>IF(B211="STD. DEVIATION",INDEX('1-DATA'!$1:$1048576,$A211-1,1),IF(INDEX('1-DATA'!$1:$1048576,$A212,1)&lt;&gt;"",INDEX('1-DATA'!$1:$1048576,$A212,1),""))</f>
        <v/>
      </c>
      <c r="C212" s="1" t="str">
        <f>IF(OR($B212="",C$7=""),"",IF($B212="MEANS",INDEX('1-DATA'!$1:$1048576,$A211-1,COLUMN('1-DATA'!B210)),ROUND(INDEX('1-DATA'!$1:$1048576,IF(OR($B212="STD. DEVIATION",$C$1=1),$A212,$A212+1),COLUMN('1-DATA'!B210)),IF($B212="STD. DEVIATION",2,$F$1))))</f>
        <v/>
      </c>
      <c r="D212" s="1" t="str">
        <f>IF(OR($B212="",D$7=""),"",IF($B212="MEANS",INDEX('1-DATA'!$1:$1048576,$A211-1,COLUMN('1-DATA'!C210)),ROUND(INDEX('1-DATA'!$1:$1048576,IF(OR($B212="STD. DEVIATION",$C$1=1),$A212,$A212+1),COLUMN('1-DATA'!C210)),IF($B212="STD. DEVIATION",2,$F$1))))</f>
        <v/>
      </c>
      <c r="E212" s="1" t="str">
        <f>IF(OR($B212="",E$7=""),"",IF($B212="MEANS",INDEX('1-DATA'!$1:$1048576,$A211-1,COLUMN('1-DATA'!D210)),ROUND(INDEX('1-DATA'!$1:$1048576,IF(OR($B212="STD. DEVIATION",$C$1=1),$A212,$A212+1),COLUMN('1-DATA'!D210)),IF($B212="STD. DEVIATION",2,$F$1))))</f>
        <v/>
      </c>
      <c r="F212" s="1" t="str">
        <f>IF(OR($B212="",F$7=""),"",IF($B212="MEANS",INDEX('1-DATA'!$1:$1048576,$A211-1,COLUMN('1-DATA'!E210)),ROUND(INDEX('1-DATA'!$1:$1048576,IF(OR($B212="STD. DEVIATION",$C$1=1),$A212,$A212+1),COLUMN('1-DATA'!E210)),IF($B212="STD. DEVIATION",2,$F$1))))</f>
        <v/>
      </c>
      <c r="G212" s="1" t="str">
        <f>IF(OR($B212="",G$7=""),"",IF($B212="MEANS",INDEX('1-DATA'!$1:$1048576,$A211-1,COLUMN('1-DATA'!F210)),ROUND(INDEX('1-DATA'!$1:$1048576,IF(OR($B212="STD. DEVIATION",$C$1=1),$A212,$A212+1),COLUMN('1-DATA'!F210)),IF($B212="STD. DEVIATION",2,$F$1))))</f>
        <v/>
      </c>
      <c r="H212" s="1" t="str">
        <f>IF(OR($B212="",H$7=""),"",IF($B212="MEANS",INDEX('1-DATA'!$1:$1048576,$A211-1,COLUMN('1-DATA'!G210)),ROUND(INDEX('1-DATA'!$1:$1048576,IF(OR($B212="STD. DEVIATION",$C$1=1),$A212,$A212+1),COLUMN('1-DATA'!G210)),IF($B212="STD. DEVIATION",2,$F$1))))</f>
        <v/>
      </c>
      <c r="I212" s="1" t="str">
        <f>IF(OR($B212="",I$7=""),"",IF($B212="MEANS",INDEX('1-DATA'!$1:$1048576,$A211-1,COLUMN('1-DATA'!H210)),ROUND(INDEX('1-DATA'!$1:$1048576,IF(OR($B212="STD. DEVIATION",$C$1=1),$A212,$A212+1),COLUMN('1-DATA'!H210)),IF($B212="STD. DEVIATION",2,$F$1))))</f>
        <v/>
      </c>
      <c r="J212" s="1" t="str">
        <f>IF(OR($B212="",J$7=""),"",IF($B212="MEANS",INDEX('1-DATA'!$1:$1048576,$A211-1,COLUMN('1-DATA'!I210)),ROUND(INDEX('1-DATA'!$1:$1048576,IF(OR($B212="STD. DEVIATION",$C$1=1),$A212,$A212+1),COLUMN('1-DATA'!I210)),IF($B212="STD. DEVIATION",2,$F$1))))</f>
        <v/>
      </c>
      <c r="K212" s="1" t="str">
        <f>IF(OR($B212="",K$7=""),"",IF($B212="MEANS",INDEX('1-DATA'!$1:$1048576,$A211-1,COLUMN('1-DATA'!J210)),ROUND(INDEX('1-DATA'!$1:$1048576,IF(OR($B212="STD. DEVIATION",$C$1=1),$A212,$A212+1),COLUMN('1-DATA'!J210)),IF($B212="STD. DEVIATION",2,$F$1))))</f>
        <v/>
      </c>
      <c r="L212" s="1" t="str">
        <f>IF(OR($B212="",L$7=""),"",IF($B212="MEANS",INDEX('1-DATA'!$1:$1048576,$A211-1,COLUMN('1-DATA'!K210)),ROUND(INDEX('1-DATA'!$1:$1048576,IF(OR($B212="STD. DEVIATION",$C$1=1),$A212,$A212+1),COLUMN('1-DATA'!K210)),IF($B212="STD. DEVIATION",2,$F$1))))</f>
        <v/>
      </c>
      <c r="M212" s="1" t="str">
        <f>IF(OR($B212="",M$7=""),"",IF($B212="MEANS",INDEX('1-DATA'!$1:$1048576,$A211-1,COLUMN('1-DATA'!L210)),ROUND(INDEX('1-DATA'!$1:$1048576,IF(OR($B212="STD. DEVIATION",$C$1=1),$A212,$A212+1),COLUMN('1-DATA'!L210)),IF($B212="STD. DEVIATION",2,$F$1))))</f>
        <v/>
      </c>
      <c r="N212" s="1" t="str">
        <f>IF(OR($B212="",N$7=""),"",IF($B212="MEANS",INDEX('1-DATA'!$1:$1048576,$A211-1,COLUMN('1-DATA'!M210)),ROUND(INDEX('1-DATA'!$1:$1048576,IF(OR($B212="STD. DEVIATION",$C$1=1),$A212,$A212+1),COLUMN('1-DATA'!M210)),IF($B212="STD. DEVIATION",2,$F$1))))</f>
        <v/>
      </c>
      <c r="O212" s="1" t="str">
        <f>IF(OR($B212="",O$7=""),"",IF($B212="MEANS",INDEX('1-DATA'!$1:$1048576,$A211-1,COLUMN('1-DATA'!N210)),ROUND(INDEX('1-DATA'!$1:$1048576,IF(OR($B212="STD. DEVIATION",$C$1=1),$A212,$A212+1),COLUMN('1-DATA'!N210)),IF($B212="STD. DEVIATION",2,$F$1))))</f>
        <v/>
      </c>
      <c r="P212" s="1" t="str">
        <f>IF(OR($B212="",P$7=""),"",IF($B212="MEANS",INDEX('1-DATA'!$1:$1048576,$A211-1,COLUMN('1-DATA'!O210)),ROUND(INDEX('1-DATA'!$1:$1048576,IF(OR($B212="STD. DEVIATION",$C$1=1),$A212,$A212+1),COLUMN('1-DATA'!O210)),IF($B212="STD. DEVIATION",2,$F$1))))</f>
        <v/>
      </c>
      <c r="Q212" s="1" t="str">
        <f>IF(OR($B212="",Q$7=""),"",IF($B212="MEANS",INDEX('1-DATA'!$1:$1048576,$A211-1,COLUMN('1-DATA'!P210)),ROUND(INDEX('1-DATA'!$1:$1048576,IF(OR($B212="STD. DEVIATION",$C$1=1),$A212,$A212+1),COLUMN('1-DATA'!P210)),IF($B212="STD. DEVIATION",2,$F$1))))</f>
        <v/>
      </c>
      <c r="R212" s="1" t="str">
        <f>IF(OR($B212="",R$7=""),"",IF($B212="MEANS",INDEX('1-DATA'!$1:$1048576,$A211-1,COLUMN('1-DATA'!Q210)),ROUND(INDEX('1-DATA'!$1:$1048576,IF(OR($B212="STD. DEVIATION",$C$1=1),$A212,$A212+1),COLUMN('1-DATA'!Q210)),IF($B212="STD. DEVIATION",2,$F$1))))</f>
        <v/>
      </c>
      <c r="S212" s="1" t="str">
        <f>IF(OR($B212="",S$7=""),"",IF($B212="MEANS",INDEX('1-DATA'!$1:$1048576,$A211-1,COLUMN('1-DATA'!R210)),ROUND(INDEX('1-DATA'!$1:$1048576,IF(OR($B212="STD. DEVIATION",$C$1=1),$A212,$A212+1),COLUMN('1-DATA'!R210)),IF($B212="STD. DEVIATION",2,$F$1))))</f>
        <v/>
      </c>
      <c r="T212" s="1" t="str">
        <f>IF(OR($B212="",T$7=""),"",IF($B212="MEANS",INDEX('1-DATA'!$1:$1048576,$A211-1,COLUMN('1-DATA'!S210)),ROUND(INDEX('1-DATA'!$1:$1048576,IF(OR($B212="STD. DEVIATION",$C$1=1),$A212,$A212+1),COLUMN('1-DATA'!S210)),IF($B212="STD. DEVIATION",2,$F$1))))</f>
        <v/>
      </c>
      <c r="U212" s="1" t="str">
        <f>IF(OR($B212="",U$7=""),"",IF($B212="MEANS",INDEX('1-DATA'!$1:$1048576,$A211-1,COLUMN('1-DATA'!T210)),ROUND(INDEX('1-DATA'!$1:$1048576,IF(OR($B212="STD. DEVIATION",$C$1=1),$A212,$A212+1),COLUMN('1-DATA'!T210)),IF($B212="STD. DEVIATION",2,$F$1))))</f>
        <v/>
      </c>
      <c r="V212" s="1" t="str">
        <f>IF(OR($B212="",V$7=""),"",IF($B212="MEANS",INDEX('1-DATA'!$1:$1048576,$A211-1,COLUMN('1-DATA'!U210)),ROUND(INDEX('1-DATA'!$1:$1048576,IF(OR($B212="STD. DEVIATION",$C$1=1),$A212,$A212+1),COLUMN('1-DATA'!U210)),IF($B212="STD. DEVIATION",2,$F$1))))</f>
        <v/>
      </c>
      <c r="W212" s="1" t="str">
        <f>IF(OR($B212="",W$7=""),"",IF($B212="MEANS",INDEX('1-DATA'!$1:$1048576,$A211-1,COLUMN('1-DATA'!V210)),ROUND(INDEX('1-DATA'!$1:$1048576,IF(OR($B212="STD. DEVIATION",$C$1=1),$A212,$A212+1),COLUMN('1-DATA'!V210)),IF($B212="STD. DEVIATION",2,$F$1))))</f>
        <v/>
      </c>
      <c r="X212" s="1" t="str">
        <f>IF(OR($B212="",X$7=""),"",IF($B212="MEANS",INDEX('1-DATA'!$1:$1048576,$A211-1,COLUMN('1-DATA'!W210)),ROUND(INDEX('1-DATA'!$1:$1048576,IF(OR($B212="STD. DEVIATION",$C$1=1),$A212,$A212+1),COLUMN('1-DATA'!W210)),IF($B212="STD. DEVIATION",2,$F$1))))</f>
        <v/>
      </c>
      <c r="Y212" s="1" t="str">
        <f>IF(OR($B212="",Y$7=""),"",IF($B212="MEANS",INDEX('1-DATA'!$1:$1048576,$A211-1,COLUMN('1-DATA'!X210)),ROUND(INDEX('1-DATA'!$1:$1048576,IF(OR($B212="STD. DEVIATION",$C$1=1),$A212,$A212+1),COLUMN('1-DATA'!X210)),IF($B212="STD. DEVIATION",2,$F$1))))</f>
        <v/>
      </c>
      <c r="Z212" s="1" t="str">
        <f>IF(OR($B212="",Z$7=""),"",IF($B212="MEANS",INDEX('1-DATA'!$1:$1048576,$A211-1,COLUMN('1-DATA'!Y210)),ROUND(INDEX('1-DATA'!$1:$1048576,IF(OR($B212="STD. DEVIATION",$C$1=1),$A212,$A212+1),COLUMN('1-DATA'!Y210)),IF($B212="STD. DEVIATION",2,$F$1))))</f>
        <v/>
      </c>
      <c r="AA212" s="1" t="str">
        <f>IF(OR($B212="",AA$7=""),"",IF($B212="MEANS",INDEX('1-DATA'!$1:$1048576,$A211-1,COLUMN('1-DATA'!Z210)),ROUND(INDEX('1-DATA'!$1:$1048576,IF(OR($B212="STD. DEVIATION",$C$1=1),$A212,$A212+1),COLUMN('1-DATA'!Z210)),IF($B212="STD. DEVIATION",2,$F$1))))</f>
        <v/>
      </c>
      <c r="AB212" s="1" t="str">
        <f>IF(OR($B212="",AB$7=""),"",IF($B212="MEANS",INDEX('1-DATA'!$1:$1048576,$A211-1,COLUMN('1-DATA'!AA210)),ROUND(INDEX('1-DATA'!$1:$1048576,IF(OR($B212="STD. DEVIATION",$C$1=1),$A212,$A212+1),COLUMN('1-DATA'!AA210)),IF($B212="STD. DEVIATION",2,$F$1))))</f>
        <v/>
      </c>
      <c r="AC212" s="1" t="str">
        <f>IF(OR($B212="",AC$7=""),"",IF($B212="MEANS",INDEX('1-DATA'!$1:$1048576,$A211-1,COLUMN('1-DATA'!AB210)),ROUND(INDEX('1-DATA'!$1:$1048576,IF(OR($B212="STD. DEVIATION",$C$1=1),$A212,$A212+1),COLUMN('1-DATA'!AB210)),IF($B212="STD. DEVIATION",2,$F$1))))</f>
        <v/>
      </c>
      <c r="AD212" s="1" t="str">
        <f>IF(OR($B212="",AD$7=""),"",IF($B212="MEANS",INDEX('1-DATA'!$1:$1048576,$A211-1,COLUMN('1-DATA'!AC210)),ROUND(INDEX('1-DATA'!$1:$1048576,IF(OR($B212="STD. DEVIATION",$C$1=1),$A212,$A212+1),COLUMN('1-DATA'!AC210)),IF($B212="STD. DEVIATION",2,$F$1))))</f>
        <v/>
      </c>
      <c r="AE212" s="1" t="str">
        <f>IF(OR($B212="",AE$7=""),"",IF($B212="MEANS",INDEX('1-DATA'!$1:$1048576,$A211-1,COLUMN('1-DATA'!AD210)),ROUND(INDEX('1-DATA'!$1:$1048576,IF(OR($B212="STD. DEVIATION",$C$1=1),$A212,$A212+1),COLUMN('1-DATA'!AD210)),IF($B212="STD. DEVIATION",2,$F$1))))</f>
        <v/>
      </c>
      <c r="AF212" s="1" t="str">
        <f>IF(OR($B212="",AF$7=""),"",IF($B212="MEANS",INDEX('1-DATA'!$1:$1048576,$A211-1,COLUMN('1-DATA'!AE210)),ROUND(INDEX('1-DATA'!$1:$1048576,IF(OR($B212="STD. DEVIATION",$C$1=1),$A212,$A212+1),COLUMN('1-DATA'!AE210)),IF($B212="STD. DEVIATION",2,$F$1))))</f>
        <v/>
      </c>
      <c r="AG212" s="1" t="str">
        <f>IF(OR($B212="",AG$7=""),"",IF($B212="MEANS",INDEX('1-DATA'!$1:$1048576,$A211-1,COLUMN('1-DATA'!AF210)),ROUND(INDEX('1-DATA'!$1:$1048576,IF(OR($B212="STD. DEVIATION",$C$1=1),$A212,$A212+1),COLUMN('1-DATA'!AF210)),IF($B212="STD. DEVIATION",2,$F$1))))</f>
        <v/>
      </c>
      <c r="AH212" s="1" t="str">
        <f>IF(OR($B212="",AH$7=""),"",IF($B212="MEANS",INDEX('1-DATA'!$1:$1048576,$A211-1,COLUMN('1-DATA'!AG210)),ROUND(INDEX('1-DATA'!$1:$1048576,IF(OR($B212="STD. DEVIATION",$C$1=1),$A212,$A212+1),COLUMN('1-DATA'!AG210)),IF($B212="STD. DEVIATION",2,$F$1))))</f>
        <v/>
      </c>
      <c r="AI212" s="1" t="str">
        <f>IF(OR($B212="",AI$7=""),"",IF($B212="MEANS",INDEX('1-DATA'!$1:$1048576,$A211-1,COLUMN('1-DATA'!AH210)),ROUND(INDEX('1-DATA'!$1:$1048576,IF(OR($B212="STD. DEVIATION",$C$1=1),$A212,$A212+1),COLUMN('1-DATA'!AH210)),IF($B212="STD. DEVIATION",2,$F$1))))</f>
        <v/>
      </c>
      <c r="AJ212" s="1" t="str">
        <f>IF(OR($B212="",AJ$7=""),"",IF($B212="MEANS",INDEX('1-DATA'!$1:$1048576,$A211-1,COLUMN('1-DATA'!AI210)),ROUND(INDEX('1-DATA'!$1:$1048576,IF(OR($B212="STD. DEVIATION",$C$1=1),$A212,$A212+1),COLUMN('1-DATA'!AI210)),IF($B212="STD. DEVIATION",2,$F$1))))</f>
        <v/>
      </c>
      <c r="AK212" s="1" t="str">
        <f>IF(OR($B212="",AK$7=""),"",IF($B212="MEANS",INDEX('1-DATA'!$1:$1048576,$A211-1,COLUMN('1-DATA'!AJ210)),ROUND(INDEX('1-DATA'!$1:$1048576,IF(OR($B212="STD. DEVIATION",$C$1=1),$A212,$A212+1),COLUMN('1-DATA'!AJ210)),IF($B212="STD. DEVIATION",2,$F$1))))</f>
        <v/>
      </c>
      <c r="AL212" s="1" t="str">
        <f>IF(OR($B212="",AL$7=""),"",IF($B212="MEANS",INDEX('1-DATA'!$1:$1048576,$A211-1,COLUMN('1-DATA'!AK210)),ROUND(INDEX('1-DATA'!$1:$1048576,IF(OR($B212="STD. DEVIATION",$C$1=1),$A212,$A212+1),COLUMN('1-DATA'!AK210)),IF($B212="STD. DEVIATION",2,$F$1))))</f>
        <v/>
      </c>
      <c r="AM212" s="1" t="str">
        <f>IF(OR($B212="",AM$7=""),"",IF($B212="MEANS",INDEX('1-DATA'!$1:$1048576,$A211-1,COLUMN('1-DATA'!AL210)),ROUND(INDEX('1-DATA'!$1:$1048576,IF(OR($B212="STD. DEVIATION",$C$1=1),$A212,$A212+1),COLUMN('1-DATA'!AL210)),IF($B212="STD. DEVIATION",2,$F$1))))</f>
        <v/>
      </c>
      <c r="AN212" s="1" t="str">
        <f>IF(OR($B212="",AN$7=""),"",IF($B212="MEANS",INDEX('1-DATA'!$1:$1048576,$A211-1,COLUMN('1-DATA'!AM210)),ROUND(INDEX('1-DATA'!$1:$1048576,IF(OR($B212="STD. DEVIATION",$C$1=1),$A212,$A212+1),COLUMN('1-DATA'!AM210)),IF($B212="STD. DEVIATION",2,$F$1))))</f>
        <v/>
      </c>
      <c r="AO212" s="1" t="str">
        <f>IF(OR($B212="",AO$7=""),"",IF($B212="MEANS",INDEX('1-DATA'!$1:$1048576,$A211-1,COLUMN('1-DATA'!AN210)),ROUND(INDEX('1-DATA'!$1:$1048576,IF(OR($B212="STD. DEVIATION",$C$1=1),$A212,$A212+1),COLUMN('1-DATA'!AN210)),IF($B212="STD. DEVIATION",2,$F$1))))</f>
        <v/>
      </c>
      <c r="AP212" s="1" t="str">
        <f>IF(OR($B212="",AP$7=""),"",IF($B212="MEANS",INDEX('1-DATA'!$1:$1048576,$A211-1,COLUMN('1-DATA'!AO210)),ROUND(INDEX('1-DATA'!$1:$1048576,IF(OR($B212="STD. DEVIATION",$C$1=1),$A212,$A212+1),COLUMN('1-DATA'!AO210)),IF($B212="STD. DEVIATION",2,$F$1))))</f>
        <v/>
      </c>
      <c r="AQ212" s="1" t="str">
        <f>IF(OR($B212="",AQ$7=""),"",IF($B212="MEANS",INDEX('1-DATA'!$1:$1048576,$A211-1,COLUMN('1-DATA'!AP210)),ROUND(INDEX('1-DATA'!$1:$1048576,IF(OR($B212="STD. DEVIATION",$C$1=1),$A212,$A212+1),COLUMN('1-DATA'!AP210)),IF($B212="STD. DEVIATION",2,$F$1))))</f>
        <v/>
      </c>
      <c r="AR212" s="1" t="str">
        <f>IF(OR($B212="",AR$7=""),"",IF($B212="MEANS",INDEX('1-DATA'!$1:$1048576,$A211-1,COLUMN('1-DATA'!AQ210)),ROUND(INDEX('1-DATA'!$1:$1048576,IF(OR($B212="STD. DEVIATION",$C$1=1),$A212,$A212+1),COLUMN('1-DATA'!AQ210)),IF($B212="STD. DEVIATION",2,$F$1))))</f>
        <v/>
      </c>
      <c r="AS212" s="1" t="str">
        <f>IF(OR($B212="",AS$7=""),"",IF($B212="MEANS",INDEX('1-DATA'!$1:$1048576,$A211-1,COLUMN('1-DATA'!AR210)),ROUND(INDEX('1-DATA'!$1:$1048576,IF(OR($B212="STD. DEVIATION",$C$1=1),$A212,$A212+1),COLUMN('1-DATA'!AR210)),IF($B212="STD. DEVIATION",2,$F$1))))</f>
        <v/>
      </c>
      <c r="AT212" s="1" t="str">
        <f>IF(OR($B212="",AT$7=""),"",IF($B212="MEANS",INDEX('1-DATA'!$1:$1048576,$A211-1,COLUMN('1-DATA'!AS210)),ROUND(INDEX('1-DATA'!$1:$1048576,IF(OR($B212="STD. DEVIATION",$C$1=1),$A212,$A212+1),COLUMN('1-DATA'!AS210)),IF($B212="STD. DEVIATION",2,$F$1))))</f>
        <v/>
      </c>
      <c r="AU212" s="1" t="str">
        <f>IF(OR($B212="",AU$7=""),"",IF($B212="MEANS",INDEX('1-DATA'!$1:$1048576,$A211-1,COLUMN('1-DATA'!AT210)),ROUND(INDEX('1-DATA'!$1:$1048576,IF(OR($B212="STD. DEVIATION",$C$1=1),$A212,$A212+1),COLUMN('1-DATA'!AT210)),IF($B212="STD. DEVIATION",2,$F$1))))</f>
        <v/>
      </c>
      <c r="AV212" s="1" t="str">
        <f>IF(OR($B212="",AV$7=""),"",IF($B212="MEANS",INDEX('1-DATA'!$1:$1048576,$A211-1,COLUMN('1-DATA'!AU210)),ROUND(INDEX('1-DATA'!$1:$1048576,IF(OR($B212="STD. DEVIATION",$C$1=1),$A212,$A212+1),COLUMN('1-DATA'!AU210)),IF($B212="STD. DEVIATION",2,$F$1))))</f>
        <v/>
      </c>
      <c r="AW212" s="1" t="str">
        <f>IF(OR($B212="",AW$7=""),"",IF($B212="MEANS",INDEX('1-DATA'!$1:$1048576,$A211-1,COLUMN('1-DATA'!AV210)),ROUND(INDEX('1-DATA'!$1:$1048576,IF(OR($B212="STD. DEVIATION",$C$1=1),$A212,$A212+1),COLUMN('1-DATA'!AV210)),IF($B212="STD. DEVIATION",2,$F$1))))</f>
        <v/>
      </c>
      <c r="AX212" s="1" t="str">
        <f>IF(OR($B212="",AX$7=""),"",IF($B212="MEANS",INDEX('1-DATA'!$1:$1048576,$A211-1,COLUMN('1-DATA'!AW210)),ROUND(INDEX('1-DATA'!$1:$1048576,IF(OR($B212="STD. DEVIATION",$C$1=1),$A212,$A212+1),COLUMN('1-DATA'!AW210)),IF($B212="STD. DEVIATION",2,$F$1))))</f>
        <v/>
      </c>
      <c r="AY212" s="1" t="str">
        <f>IF(OR($B212="",AY$7=""),"",IF($B212="MEANS",INDEX('1-DATA'!$1:$1048576,$A211-1,COLUMN('1-DATA'!AX210)),ROUND(INDEX('1-DATA'!$1:$1048576,IF(OR($B212="STD. DEVIATION",$C$1=1),$A212,$A212+1),COLUMN('1-DATA'!AX210)),IF($B212="STD. DEVIATION",2,$F$1))))</f>
        <v/>
      </c>
      <c r="AZ212" s="1" t="str">
        <f>IF(OR($B212="",AZ$7=""),"",IF($B212="MEANS",INDEX('1-DATA'!$1:$1048576,$A211-1,COLUMN('1-DATA'!AY210)),ROUND(INDEX('1-DATA'!$1:$1048576,IF(OR($B212="STD. DEVIATION",$C$1=1),$A212,$A212+1),COLUMN('1-DATA'!AY210)),IF($B212="STD. DEVIATION",2,$F$1))))</f>
        <v/>
      </c>
    </row>
    <row r="213" spans="1:52" x14ac:dyDescent="0.25">
      <c r="A213" s="11">
        <f t="shared" si="3"/>
        <v>625</v>
      </c>
      <c r="B213" s="1" t="str">
        <f>IF(B212="STD. DEVIATION",INDEX('1-DATA'!$1:$1048576,$A212-1,1),IF(INDEX('1-DATA'!$1:$1048576,$A213,1)&lt;&gt;"",INDEX('1-DATA'!$1:$1048576,$A213,1),""))</f>
        <v/>
      </c>
      <c r="C213" s="1" t="str">
        <f>IF(OR($B213="",C$7=""),"",IF($B213="MEANS",INDEX('1-DATA'!$1:$1048576,$A212-1,COLUMN('1-DATA'!B211)),ROUND(INDEX('1-DATA'!$1:$1048576,IF(OR($B213="STD. DEVIATION",$C$1=1),$A213,$A213+1),COLUMN('1-DATA'!B211)),IF($B213="STD. DEVIATION",2,$F$1))))</f>
        <v/>
      </c>
      <c r="D213" s="1" t="str">
        <f>IF(OR($B213="",D$7=""),"",IF($B213="MEANS",INDEX('1-DATA'!$1:$1048576,$A212-1,COLUMN('1-DATA'!C211)),ROUND(INDEX('1-DATA'!$1:$1048576,IF(OR($B213="STD. DEVIATION",$C$1=1),$A213,$A213+1),COLUMN('1-DATA'!C211)),IF($B213="STD. DEVIATION",2,$F$1))))</f>
        <v/>
      </c>
      <c r="E213" s="1" t="str">
        <f>IF(OR($B213="",E$7=""),"",IF($B213="MEANS",INDEX('1-DATA'!$1:$1048576,$A212-1,COLUMN('1-DATA'!D211)),ROUND(INDEX('1-DATA'!$1:$1048576,IF(OR($B213="STD. DEVIATION",$C$1=1),$A213,$A213+1),COLUMN('1-DATA'!D211)),IF($B213="STD. DEVIATION",2,$F$1))))</f>
        <v/>
      </c>
      <c r="F213" s="1" t="str">
        <f>IF(OR($B213="",F$7=""),"",IF($B213="MEANS",INDEX('1-DATA'!$1:$1048576,$A212-1,COLUMN('1-DATA'!E211)),ROUND(INDEX('1-DATA'!$1:$1048576,IF(OR($B213="STD. DEVIATION",$C$1=1),$A213,$A213+1),COLUMN('1-DATA'!E211)),IF($B213="STD. DEVIATION",2,$F$1))))</f>
        <v/>
      </c>
      <c r="G213" s="1" t="str">
        <f>IF(OR($B213="",G$7=""),"",IF($B213="MEANS",INDEX('1-DATA'!$1:$1048576,$A212-1,COLUMN('1-DATA'!F211)),ROUND(INDEX('1-DATA'!$1:$1048576,IF(OR($B213="STD. DEVIATION",$C$1=1),$A213,$A213+1),COLUMN('1-DATA'!F211)),IF($B213="STD. DEVIATION",2,$F$1))))</f>
        <v/>
      </c>
      <c r="H213" s="1" t="str">
        <f>IF(OR($B213="",H$7=""),"",IF($B213="MEANS",INDEX('1-DATA'!$1:$1048576,$A212-1,COLUMN('1-DATA'!G211)),ROUND(INDEX('1-DATA'!$1:$1048576,IF(OR($B213="STD. DEVIATION",$C$1=1),$A213,$A213+1),COLUMN('1-DATA'!G211)),IF($B213="STD. DEVIATION",2,$F$1))))</f>
        <v/>
      </c>
      <c r="I213" s="1" t="str">
        <f>IF(OR($B213="",I$7=""),"",IF($B213="MEANS",INDEX('1-DATA'!$1:$1048576,$A212-1,COLUMN('1-DATA'!H211)),ROUND(INDEX('1-DATA'!$1:$1048576,IF(OR($B213="STD. DEVIATION",$C$1=1),$A213,$A213+1),COLUMN('1-DATA'!H211)),IF($B213="STD. DEVIATION",2,$F$1))))</f>
        <v/>
      </c>
      <c r="J213" s="1" t="str">
        <f>IF(OR($B213="",J$7=""),"",IF($B213="MEANS",INDEX('1-DATA'!$1:$1048576,$A212-1,COLUMN('1-DATA'!I211)),ROUND(INDEX('1-DATA'!$1:$1048576,IF(OR($B213="STD. DEVIATION",$C$1=1),$A213,$A213+1),COLUMN('1-DATA'!I211)),IF($B213="STD. DEVIATION",2,$F$1))))</f>
        <v/>
      </c>
      <c r="K213" s="1" t="str">
        <f>IF(OR($B213="",K$7=""),"",IF($B213="MEANS",INDEX('1-DATA'!$1:$1048576,$A212-1,COLUMN('1-DATA'!J211)),ROUND(INDEX('1-DATA'!$1:$1048576,IF(OR($B213="STD. DEVIATION",$C$1=1),$A213,$A213+1),COLUMN('1-DATA'!J211)),IF($B213="STD. DEVIATION",2,$F$1))))</f>
        <v/>
      </c>
      <c r="L213" s="1" t="str">
        <f>IF(OR($B213="",L$7=""),"",IF($B213="MEANS",INDEX('1-DATA'!$1:$1048576,$A212-1,COLUMN('1-DATA'!K211)),ROUND(INDEX('1-DATA'!$1:$1048576,IF(OR($B213="STD. DEVIATION",$C$1=1),$A213,$A213+1),COLUMN('1-DATA'!K211)),IF($B213="STD. DEVIATION",2,$F$1))))</f>
        <v/>
      </c>
      <c r="M213" s="1" t="str">
        <f>IF(OR($B213="",M$7=""),"",IF($B213="MEANS",INDEX('1-DATA'!$1:$1048576,$A212-1,COLUMN('1-DATA'!L211)),ROUND(INDEX('1-DATA'!$1:$1048576,IF(OR($B213="STD. DEVIATION",$C$1=1),$A213,$A213+1),COLUMN('1-DATA'!L211)),IF($B213="STD. DEVIATION",2,$F$1))))</f>
        <v/>
      </c>
      <c r="N213" s="1" t="str">
        <f>IF(OR($B213="",N$7=""),"",IF($B213="MEANS",INDEX('1-DATA'!$1:$1048576,$A212-1,COLUMN('1-DATA'!M211)),ROUND(INDEX('1-DATA'!$1:$1048576,IF(OR($B213="STD. DEVIATION",$C$1=1),$A213,$A213+1),COLUMN('1-DATA'!M211)),IF($B213="STD. DEVIATION",2,$F$1))))</f>
        <v/>
      </c>
      <c r="O213" s="1" t="str">
        <f>IF(OR($B213="",O$7=""),"",IF($B213="MEANS",INDEX('1-DATA'!$1:$1048576,$A212-1,COLUMN('1-DATA'!N211)),ROUND(INDEX('1-DATA'!$1:$1048576,IF(OR($B213="STD. DEVIATION",$C$1=1),$A213,$A213+1),COLUMN('1-DATA'!N211)),IF($B213="STD. DEVIATION",2,$F$1))))</f>
        <v/>
      </c>
      <c r="P213" s="1" t="str">
        <f>IF(OR($B213="",P$7=""),"",IF($B213="MEANS",INDEX('1-DATA'!$1:$1048576,$A212-1,COLUMN('1-DATA'!O211)),ROUND(INDEX('1-DATA'!$1:$1048576,IF(OR($B213="STD. DEVIATION",$C$1=1),$A213,$A213+1),COLUMN('1-DATA'!O211)),IF($B213="STD. DEVIATION",2,$F$1))))</f>
        <v/>
      </c>
      <c r="Q213" s="1" t="str">
        <f>IF(OR($B213="",Q$7=""),"",IF($B213="MEANS",INDEX('1-DATA'!$1:$1048576,$A212-1,COLUMN('1-DATA'!P211)),ROUND(INDEX('1-DATA'!$1:$1048576,IF(OR($B213="STD. DEVIATION",$C$1=1),$A213,$A213+1),COLUMN('1-DATA'!P211)),IF($B213="STD. DEVIATION",2,$F$1))))</f>
        <v/>
      </c>
      <c r="R213" s="1" t="str">
        <f>IF(OR($B213="",R$7=""),"",IF($B213="MEANS",INDEX('1-DATA'!$1:$1048576,$A212-1,COLUMN('1-DATA'!Q211)),ROUND(INDEX('1-DATA'!$1:$1048576,IF(OR($B213="STD. DEVIATION",$C$1=1),$A213,$A213+1),COLUMN('1-DATA'!Q211)),IF($B213="STD. DEVIATION",2,$F$1))))</f>
        <v/>
      </c>
      <c r="S213" s="1" t="str">
        <f>IF(OR($B213="",S$7=""),"",IF($B213="MEANS",INDEX('1-DATA'!$1:$1048576,$A212-1,COLUMN('1-DATA'!R211)),ROUND(INDEX('1-DATA'!$1:$1048576,IF(OR($B213="STD. DEVIATION",$C$1=1),$A213,$A213+1),COLUMN('1-DATA'!R211)),IF($B213="STD. DEVIATION",2,$F$1))))</f>
        <v/>
      </c>
      <c r="T213" s="1" t="str">
        <f>IF(OR($B213="",T$7=""),"",IF($B213="MEANS",INDEX('1-DATA'!$1:$1048576,$A212-1,COLUMN('1-DATA'!S211)),ROUND(INDEX('1-DATA'!$1:$1048576,IF(OR($B213="STD. DEVIATION",$C$1=1),$A213,$A213+1),COLUMN('1-DATA'!S211)),IF($B213="STD. DEVIATION",2,$F$1))))</f>
        <v/>
      </c>
      <c r="U213" s="1" t="str">
        <f>IF(OR($B213="",U$7=""),"",IF($B213="MEANS",INDEX('1-DATA'!$1:$1048576,$A212-1,COLUMN('1-DATA'!T211)),ROUND(INDEX('1-DATA'!$1:$1048576,IF(OR($B213="STD. DEVIATION",$C$1=1),$A213,$A213+1),COLUMN('1-DATA'!T211)),IF($B213="STD. DEVIATION",2,$F$1))))</f>
        <v/>
      </c>
      <c r="V213" s="1" t="str">
        <f>IF(OR($B213="",V$7=""),"",IF($B213="MEANS",INDEX('1-DATA'!$1:$1048576,$A212-1,COLUMN('1-DATA'!U211)),ROUND(INDEX('1-DATA'!$1:$1048576,IF(OR($B213="STD. DEVIATION",$C$1=1),$A213,$A213+1),COLUMN('1-DATA'!U211)),IF($B213="STD. DEVIATION",2,$F$1))))</f>
        <v/>
      </c>
      <c r="W213" s="1" t="str">
        <f>IF(OR($B213="",W$7=""),"",IF($B213="MEANS",INDEX('1-DATA'!$1:$1048576,$A212-1,COLUMN('1-DATA'!V211)),ROUND(INDEX('1-DATA'!$1:$1048576,IF(OR($B213="STD. DEVIATION",$C$1=1),$A213,$A213+1),COLUMN('1-DATA'!V211)),IF($B213="STD. DEVIATION",2,$F$1))))</f>
        <v/>
      </c>
      <c r="X213" s="1" t="str">
        <f>IF(OR($B213="",X$7=""),"",IF($B213="MEANS",INDEX('1-DATA'!$1:$1048576,$A212-1,COLUMN('1-DATA'!W211)),ROUND(INDEX('1-DATA'!$1:$1048576,IF(OR($B213="STD. DEVIATION",$C$1=1),$A213,$A213+1),COLUMN('1-DATA'!W211)),IF($B213="STD. DEVIATION",2,$F$1))))</f>
        <v/>
      </c>
      <c r="Y213" s="1" t="str">
        <f>IF(OR($B213="",Y$7=""),"",IF($B213="MEANS",INDEX('1-DATA'!$1:$1048576,$A212-1,COLUMN('1-DATA'!X211)),ROUND(INDEX('1-DATA'!$1:$1048576,IF(OR($B213="STD. DEVIATION",$C$1=1),$A213,$A213+1),COLUMN('1-DATA'!X211)),IF($B213="STD. DEVIATION",2,$F$1))))</f>
        <v/>
      </c>
      <c r="Z213" s="1" t="str">
        <f>IF(OR($B213="",Z$7=""),"",IF($B213="MEANS",INDEX('1-DATA'!$1:$1048576,$A212-1,COLUMN('1-DATA'!Y211)),ROUND(INDEX('1-DATA'!$1:$1048576,IF(OR($B213="STD. DEVIATION",$C$1=1),$A213,$A213+1),COLUMN('1-DATA'!Y211)),IF($B213="STD. DEVIATION",2,$F$1))))</f>
        <v/>
      </c>
      <c r="AA213" s="1" t="str">
        <f>IF(OR($B213="",AA$7=""),"",IF($B213="MEANS",INDEX('1-DATA'!$1:$1048576,$A212-1,COLUMN('1-DATA'!Z211)),ROUND(INDEX('1-DATA'!$1:$1048576,IF(OR($B213="STD. DEVIATION",$C$1=1),$A213,$A213+1),COLUMN('1-DATA'!Z211)),IF($B213="STD. DEVIATION",2,$F$1))))</f>
        <v/>
      </c>
      <c r="AB213" s="1" t="str">
        <f>IF(OR($B213="",AB$7=""),"",IF($B213="MEANS",INDEX('1-DATA'!$1:$1048576,$A212-1,COLUMN('1-DATA'!AA211)),ROUND(INDEX('1-DATA'!$1:$1048576,IF(OR($B213="STD. DEVIATION",$C$1=1),$A213,$A213+1),COLUMN('1-DATA'!AA211)),IF($B213="STD. DEVIATION",2,$F$1))))</f>
        <v/>
      </c>
      <c r="AC213" s="1" t="str">
        <f>IF(OR($B213="",AC$7=""),"",IF($B213="MEANS",INDEX('1-DATA'!$1:$1048576,$A212-1,COLUMN('1-DATA'!AB211)),ROUND(INDEX('1-DATA'!$1:$1048576,IF(OR($B213="STD. DEVIATION",$C$1=1),$A213,$A213+1),COLUMN('1-DATA'!AB211)),IF($B213="STD. DEVIATION",2,$F$1))))</f>
        <v/>
      </c>
      <c r="AD213" s="1" t="str">
        <f>IF(OR($B213="",AD$7=""),"",IF($B213="MEANS",INDEX('1-DATA'!$1:$1048576,$A212-1,COLUMN('1-DATA'!AC211)),ROUND(INDEX('1-DATA'!$1:$1048576,IF(OR($B213="STD. DEVIATION",$C$1=1),$A213,$A213+1),COLUMN('1-DATA'!AC211)),IF($B213="STD. DEVIATION",2,$F$1))))</f>
        <v/>
      </c>
      <c r="AE213" s="1" t="str">
        <f>IF(OR($B213="",AE$7=""),"",IF($B213="MEANS",INDEX('1-DATA'!$1:$1048576,$A212-1,COLUMN('1-DATA'!AD211)),ROUND(INDEX('1-DATA'!$1:$1048576,IF(OR($B213="STD. DEVIATION",$C$1=1),$A213,$A213+1),COLUMN('1-DATA'!AD211)),IF($B213="STD. DEVIATION",2,$F$1))))</f>
        <v/>
      </c>
      <c r="AF213" s="1" t="str">
        <f>IF(OR($B213="",AF$7=""),"",IF($B213="MEANS",INDEX('1-DATA'!$1:$1048576,$A212-1,COLUMN('1-DATA'!AE211)),ROUND(INDEX('1-DATA'!$1:$1048576,IF(OR($B213="STD. DEVIATION",$C$1=1),$A213,$A213+1),COLUMN('1-DATA'!AE211)),IF($B213="STD. DEVIATION",2,$F$1))))</f>
        <v/>
      </c>
      <c r="AG213" s="1" t="str">
        <f>IF(OR($B213="",AG$7=""),"",IF($B213="MEANS",INDEX('1-DATA'!$1:$1048576,$A212-1,COLUMN('1-DATA'!AF211)),ROUND(INDEX('1-DATA'!$1:$1048576,IF(OR($B213="STD. DEVIATION",$C$1=1),$A213,$A213+1),COLUMN('1-DATA'!AF211)),IF($B213="STD. DEVIATION",2,$F$1))))</f>
        <v/>
      </c>
      <c r="AH213" s="1" t="str">
        <f>IF(OR($B213="",AH$7=""),"",IF($B213="MEANS",INDEX('1-DATA'!$1:$1048576,$A212-1,COLUMN('1-DATA'!AG211)),ROUND(INDEX('1-DATA'!$1:$1048576,IF(OR($B213="STD. DEVIATION",$C$1=1),$A213,$A213+1),COLUMN('1-DATA'!AG211)),IF($B213="STD. DEVIATION",2,$F$1))))</f>
        <v/>
      </c>
      <c r="AI213" s="1" t="str">
        <f>IF(OR($B213="",AI$7=""),"",IF($B213="MEANS",INDEX('1-DATA'!$1:$1048576,$A212-1,COLUMN('1-DATA'!AH211)),ROUND(INDEX('1-DATA'!$1:$1048576,IF(OR($B213="STD. DEVIATION",$C$1=1),$A213,$A213+1),COLUMN('1-DATA'!AH211)),IF($B213="STD. DEVIATION",2,$F$1))))</f>
        <v/>
      </c>
      <c r="AJ213" s="1" t="str">
        <f>IF(OR($B213="",AJ$7=""),"",IF($B213="MEANS",INDEX('1-DATA'!$1:$1048576,$A212-1,COLUMN('1-DATA'!AI211)),ROUND(INDEX('1-DATA'!$1:$1048576,IF(OR($B213="STD. DEVIATION",$C$1=1),$A213,$A213+1),COLUMN('1-DATA'!AI211)),IF($B213="STD. DEVIATION",2,$F$1))))</f>
        <v/>
      </c>
      <c r="AK213" s="1" t="str">
        <f>IF(OR($B213="",AK$7=""),"",IF($B213="MEANS",INDEX('1-DATA'!$1:$1048576,$A212-1,COLUMN('1-DATA'!AJ211)),ROUND(INDEX('1-DATA'!$1:$1048576,IF(OR($B213="STD. DEVIATION",$C$1=1),$A213,$A213+1),COLUMN('1-DATA'!AJ211)),IF($B213="STD. DEVIATION",2,$F$1))))</f>
        <v/>
      </c>
      <c r="AL213" s="1" t="str">
        <f>IF(OR($B213="",AL$7=""),"",IF($B213="MEANS",INDEX('1-DATA'!$1:$1048576,$A212-1,COLUMN('1-DATA'!AK211)),ROUND(INDEX('1-DATA'!$1:$1048576,IF(OR($B213="STD. DEVIATION",$C$1=1),$A213,$A213+1),COLUMN('1-DATA'!AK211)),IF($B213="STD. DEVIATION",2,$F$1))))</f>
        <v/>
      </c>
      <c r="AM213" s="1" t="str">
        <f>IF(OR($B213="",AM$7=""),"",IF($B213="MEANS",INDEX('1-DATA'!$1:$1048576,$A212-1,COLUMN('1-DATA'!AL211)),ROUND(INDEX('1-DATA'!$1:$1048576,IF(OR($B213="STD. DEVIATION",$C$1=1),$A213,$A213+1),COLUMN('1-DATA'!AL211)),IF($B213="STD. DEVIATION",2,$F$1))))</f>
        <v/>
      </c>
      <c r="AN213" s="1" t="str">
        <f>IF(OR($B213="",AN$7=""),"",IF($B213="MEANS",INDEX('1-DATA'!$1:$1048576,$A212-1,COLUMN('1-DATA'!AM211)),ROUND(INDEX('1-DATA'!$1:$1048576,IF(OR($B213="STD. DEVIATION",$C$1=1),$A213,$A213+1),COLUMN('1-DATA'!AM211)),IF($B213="STD. DEVIATION",2,$F$1))))</f>
        <v/>
      </c>
      <c r="AO213" s="1" t="str">
        <f>IF(OR($B213="",AO$7=""),"",IF($B213="MEANS",INDEX('1-DATA'!$1:$1048576,$A212-1,COLUMN('1-DATA'!AN211)),ROUND(INDEX('1-DATA'!$1:$1048576,IF(OR($B213="STD. DEVIATION",$C$1=1),$A213,$A213+1),COLUMN('1-DATA'!AN211)),IF($B213="STD. DEVIATION",2,$F$1))))</f>
        <v/>
      </c>
      <c r="AP213" s="1" t="str">
        <f>IF(OR($B213="",AP$7=""),"",IF($B213="MEANS",INDEX('1-DATA'!$1:$1048576,$A212-1,COLUMN('1-DATA'!AO211)),ROUND(INDEX('1-DATA'!$1:$1048576,IF(OR($B213="STD. DEVIATION",$C$1=1),$A213,$A213+1),COLUMN('1-DATA'!AO211)),IF($B213="STD. DEVIATION",2,$F$1))))</f>
        <v/>
      </c>
      <c r="AQ213" s="1" t="str">
        <f>IF(OR($B213="",AQ$7=""),"",IF($B213="MEANS",INDEX('1-DATA'!$1:$1048576,$A212-1,COLUMN('1-DATA'!AP211)),ROUND(INDEX('1-DATA'!$1:$1048576,IF(OR($B213="STD. DEVIATION",$C$1=1),$A213,$A213+1),COLUMN('1-DATA'!AP211)),IF($B213="STD. DEVIATION",2,$F$1))))</f>
        <v/>
      </c>
      <c r="AR213" s="1" t="str">
        <f>IF(OR($B213="",AR$7=""),"",IF($B213="MEANS",INDEX('1-DATA'!$1:$1048576,$A212-1,COLUMN('1-DATA'!AQ211)),ROUND(INDEX('1-DATA'!$1:$1048576,IF(OR($B213="STD. DEVIATION",$C$1=1),$A213,$A213+1),COLUMN('1-DATA'!AQ211)),IF($B213="STD. DEVIATION",2,$F$1))))</f>
        <v/>
      </c>
      <c r="AS213" s="1" t="str">
        <f>IF(OR($B213="",AS$7=""),"",IF($B213="MEANS",INDEX('1-DATA'!$1:$1048576,$A212-1,COLUMN('1-DATA'!AR211)),ROUND(INDEX('1-DATA'!$1:$1048576,IF(OR($B213="STD. DEVIATION",$C$1=1),$A213,$A213+1),COLUMN('1-DATA'!AR211)),IF($B213="STD. DEVIATION",2,$F$1))))</f>
        <v/>
      </c>
      <c r="AT213" s="1" t="str">
        <f>IF(OR($B213="",AT$7=""),"",IF($B213="MEANS",INDEX('1-DATA'!$1:$1048576,$A212-1,COLUMN('1-DATA'!AS211)),ROUND(INDEX('1-DATA'!$1:$1048576,IF(OR($B213="STD. DEVIATION",$C$1=1),$A213,$A213+1),COLUMN('1-DATA'!AS211)),IF($B213="STD. DEVIATION",2,$F$1))))</f>
        <v/>
      </c>
      <c r="AU213" s="1" t="str">
        <f>IF(OR($B213="",AU$7=""),"",IF($B213="MEANS",INDEX('1-DATA'!$1:$1048576,$A212-1,COLUMN('1-DATA'!AT211)),ROUND(INDEX('1-DATA'!$1:$1048576,IF(OR($B213="STD. DEVIATION",$C$1=1),$A213,$A213+1),COLUMN('1-DATA'!AT211)),IF($B213="STD. DEVIATION",2,$F$1))))</f>
        <v/>
      </c>
      <c r="AV213" s="1" t="str">
        <f>IF(OR($B213="",AV$7=""),"",IF($B213="MEANS",INDEX('1-DATA'!$1:$1048576,$A212-1,COLUMN('1-DATA'!AU211)),ROUND(INDEX('1-DATA'!$1:$1048576,IF(OR($B213="STD. DEVIATION",$C$1=1),$A213,$A213+1),COLUMN('1-DATA'!AU211)),IF($B213="STD. DEVIATION",2,$F$1))))</f>
        <v/>
      </c>
      <c r="AW213" s="1" t="str">
        <f>IF(OR($B213="",AW$7=""),"",IF($B213="MEANS",INDEX('1-DATA'!$1:$1048576,$A212-1,COLUMN('1-DATA'!AV211)),ROUND(INDEX('1-DATA'!$1:$1048576,IF(OR($B213="STD. DEVIATION",$C$1=1),$A213,$A213+1),COLUMN('1-DATA'!AV211)),IF($B213="STD. DEVIATION",2,$F$1))))</f>
        <v/>
      </c>
      <c r="AX213" s="1" t="str">
        <f>IF(OR($B213="",AX$7=""),"",IF($B213="MEANS",INDEX('1-DATA'!$1:$1048576,$A212-1,COLUMN('1-DATA'!AW211)),ROUND(INDEX('1-DATA'!$1:$1048576,IF(OR($B213="STD. DEVIATION",$C$1=1),$A213,$A213+1),COLUMN('1-DATA'!AW211)),IF($B213="STD. DEVIATION",2,$F$1))))</f>
        <v/>
      </c>
      <c r="AY213" s="1" t="str">
        <f>IF(OR($B213="",AY$7=""),"",IF($B213="MEANS",INDEX('1-DATA'!$1:$1048576,$A212-1,COLUMN('1-DATA'!AX211)),ROUND(INDEX('1-DATA'!$1:$1048576,IF(OR($B213="STD. DEVIATION",$C$1=1),$A213,$A213+1),COLUMN('1-DATA'!AX211)),IF($B213="STD. DEVIATION",2,$F$1))))</f>
        <v/>
      </c>
      <c r="AZ213" s="1" t="str">
        <f>IF(OR($B213="",AZ$7=""),"",IF($B213="MEANS",INDEX('1-DATA'!$1:$1048576,$A212-1,COLUMN('1-DATA'!AY211)),ROUND(INDEX('1-DATA'!$1:$1048576,IF(OR($B213="STD. DEVIATION",$C$1=1),$A213,$A213+1),COLUMN('1-DATA'!AY211)),IF($B213="STD. DEVIATION",2,$F$1))))</f>
        <v/>
      </c>
    </row>
    <row r="214" spans="1:52" x14ac:dyDescent="0.25">
      <c r="A214" s="11">
        <f t="shared" si="3"/>
        <v>628</v>
      </c>
      <c r="B214" s="1" t="str">
        <f>IF(B213="STD. DEVIATION",INDEX('1-DATA'!$1:$1048576,$A213-1,1),IF(INDEX('1-DATA'!$1:$1048576,$A214,1)&lt;&gt;"",INDEX('1-DATA'!$1:$1048576,$A214,1),""))</f>
        <v/>
      </c>
      <c r="C214" s="1" t="str">
        <f>IF(OR($B214="",C$7=""),"",IF($B214="MEANS",INDEX('1-DATA'!$1:$1048576,$A213-1,COLUMN('1-DATA'!B212)),ROUND(INDEX('1-DATA'!$1:$1048576,IF(OR($B214="STD. DEVIATION",$C$1=1),$A214,$A214+1),COLUMN('1-DATA'!B212)),IF($B214="STD. DEVIATION",2,$F$1))))</f>
        <v/>
      </c>
      <c r="D214" s="1" t="str">
        <f>IF(OR($B214="",D$7=""),"",IF($B214="MEANS",INDEX('1-DATA'!$1:$1048576,$A213-1,COLUMN('1-DATA'!C212)),ROUND(INDEX('1-DATA'!$1:$1048576,IF(OR($B214="STD. DEVIATION",$C$1=1),$A214,$A214+1),COLUMN('1-DATA'!C212)),IF($B214="STD. DEVIATION",2,$F$1))))</f>
        <v/>
      </c>
      <c r="E214" s="1" t="str">
        <f>IF(OR($B214="",E$7=""),"",IF($B214="MEANS",INDEX('1-DATA'!$1:$1048576,$A213-1,COLUMN('1-DATA'!D212)),ROUND(INDEX('1-DATA'!$1:$1048576,IF(OR($B214="STD. DEVIATION",$C$1=1),$A214,$A214+1),COLUMN('1-DATA'!D212)),IF($B214="STD. DEVIATION",2,$F$1))))</f>
        <v/>
      </c>
      <c r="F214" s="1" t="str">
        <f>IF(OR($B214="",F$7=""),"",IF($B214="MEANS",INDEX('1-DATA'!$1:$1048576,$A213-1,COLUMN('1-DATA'!E212)),ROUND(INDEX('1-DATA'!$1:$1048576,IF(OR($B214="STD. DEVIATION",$C$1=1),$A214,$A214+1),COLUMN('1-DATA'!E212)),IF($B214="STD. DEVIATION",2,$F$1))))</f>
        <v/>
      </c>
      <c r="G214" s="1" t="str">
        <f>IF(OR($B214="",G$7=""),"",IF($B214="MEANS",INDEX('1-DATA'!$1:$1048576,$A213-1,COLUMN('1-DATA'!F212)),ROUND(INDEX('1-DATA'!$1:$1048576,IF(OR($B214="STD. DEVIATION",$C$1=1),$A214,$A214+1),COLUMN('1-DATA'!F212)),IF($B214="STD. DEVIATION",2,$F$1))))</f>
        <v/>
      </c>
      <c r="H214" s="1" t="str">
        <f>IF(OR($B214="",H$7=""),"",IF($B214="MEANS",INDEX('1-DATA'!$1:$1048576,$A213-1,COLUMN('1-DATA'!G212)),ROUND(INDEX('1-DATA'!$1:$1048576,IF(OR($B214="STD. DEVIATION",$C$1=1),$A214,$A214+1),COLUMN('1-DATA'!G212)),IF($B214="STD. DEVIATION",2,$F$1))))</f>
        <v/>
      </c>
      <c r="I214" s="1" t="str">
        <f>IF(OR($B214="",I$7=""),"",IF($B214="MEANS",INDEX('1-DATA'!$1:$1048576,$A213-1,COLUMN('1-DATA'!H212)),ROUND(INDEX('1-DATA'!$1:$1048576,IF(OR($B214="STD. DEVIATION",$C$1=1),$A214,$A214+1),COLUMN('1-DATA'!H212)),IF($B214="STD. DEVIATION",2,$F$1))))</f>
        <v/>
      </c>
      <c r="J214" s="1" t="str">
        <f>IF(OR($B214="",J$7=""),"",IF($B214="MEANS",INDEX('1-DATA'!$1:$1048576,$A213-1,COLUMN('1-DATA'!I212)),ROUND(INDEX('1-DATA'!$1:$1048576,IF(OR($B214="STD. DEVIATION",$C$1=1),$A214,$A214+1),COLUMN('1-DATA'!I212)),IF($B214="STD. DEVIATION",2,$F$1))))</f>
        <v/>
      </c>
      <c r="K214" s="1" t="str">
        <f>IF(OR($B214="",K$7=""),"",IF($B214="MEANS",INDEX('1-DATA'!$1:$1048576,$A213-1,COLUMN('1-DATA'!J212)),ROUND(INDEX('1-DATA'!$1:$1048576,IF(OR($B214="STD. DEVIATION",$C$1=1),$A214,$A214+1),COLUMN('1-DATA'!J212)),IF($B214="STD. DEVIATION",2,$F$1))))</f>
        <v/>
      </c>
      <c r="L214" s="1" t="str">
        <f>IF(OR($B214="",L$7=""),"",IF($B214="MEANS",INDEX('1-DATA'!$1:$1048576,$A213-1,COLUMN('1-DATA'!K212)),ROUND(INDEX('1-DATA'!$1:$1048576,IF(OR($B214="STD. DEVIATION",$C$1=1),$A214,$A214+1),COLUMN('1-DATA'!K212)),IF($B214="STD. DEVIATION",2,$F$1))))</f>
        <v/>
      </c>
      <c r="M214" s="1" t="str">
        <f>IF(OR($B214="",M$7=""),"",IF($B214="MEANS",INDEX('1-DATA'!$1:$1048576,$A213-1,COLUMN('1-DATA'!L212)),ROUND(INDEX('1-DATA'!$1:$1048576,IF(OR($B214="STD. DEVIATION",$C$1=1),$A214,$A214+1),COLUMN('1-DATA'!L212)),IF($B214="STD. DEVIATION",2,$F$1))))</f>
        <v/>
      </c>
      <c r="N214" s="1" t="str">
        <f>IF(OR($B214="",N$7=""),"",IF($B214="MEANS",INDEX('1-DATA'!$1:$1048576,$A213-1,COLUMN('1-DATA'!M212)),ROUND(INDEX('1-DATA'!$1:$1048576,IF(OR($B214="STD. DEVIATION",$C$1=1),$A214,$A214+1),COLUMN('1-DATA'!M212)),IF($B214="STD. DEVIATION",2,$F$1))))</f>
        <v/>
      </c>
      <c r="O214" s="1" t="str">
        <f>IF(OR($B214="",O$7=""),"",IF($B214="MEANS",INDEX('1-DATA'!$1:$1048576,$A213-1,COLUMN('1-DATA'!N212)),ROUND(INDEX('1-DATA'!$1:$1048576,IF(OR($B214="STD. DEVIATION",$C$1=1),$A214,$A214+1),COLUMN('1-DATA'!N212)),IF($B214="STD. DEVIATION",2,$F$1))))</f>
        <v/>
      </c>
      <c r="P214" s="1" t="str">
        <f>IF(OR($B214="",P$7=""),"",IF($B214="MEANS",INDEX('1-DATA'!$1:$1048576,$A213-1,COLUMN('1-DATA'!O212)),ROUND(INDEX('1-DATA'!$1:$1048576,IF(OR($B214="STD. DEVIATION",$C$1=1),$A214,$A214+1),COLUMN('1-DATA'!O212)),IF($B214="STD. DEVIATION",2,$F$1))))</f>
        <v/>
      </c>
      <c r="Q214" s="1" t="str">
        <f>IF(OR($B214="",Q$7=""),"",IF($B214="MEANS",INDEX('1-DATA'!$1:$1048576,$A213-1,COLUMN('1-DATA'!P212)),ROUND(INDEX('1-DATA'!$1:$1048576,IF(OR($B214="STD. DEVIATION",$C$1=1),$A214,$A214+1),COLUMN('1-DATA'!P212)),IF($B214="STD. DEVIATION",2,$F$1))))</f>
        <v/>
      </c>
      <c r="R214" s="1" t="str">
        <f>IF(OR($B214="",R$7=""),"",IF($B214="MEANS",INDEX('1-DATA'!$1:$1048576,$A213-1,COLUMN('1-DATA'!Q212)),ROUND(INDEX('1-DATA'!$1:$1048576,IF(OR($B214="STD. DEVIATION",$C$1=1),$A214,$A214+1),COLUMN('1-DATA'!Q212)),IF($B214="STD. DEVIATION",2,$F$1))))</f>
        <v/>
      </c>
      <c r="S214" s="1" t="str">
        <f>IF(OR($B214="",S$7=""),"",IF($B214="MEANS",INDEX('1-DATA'!$1:$1048576,$A213-1,COLUMN('1-DATA'!R212)),ROUND(INDEX('1-DATA'!$1:$1048576,IF(OR($B214="STD. DEVIATION",$C$1=1),$A214,$A214+1),COLUMN('1-DATA'!R212)),IF($B214="STD. DEVIATION",2,$F$1))))</f>
        <v/>
      </c>
      <c r="T214" s="1" t="str">
        <f>IF(OR($B214="",T$7=""),"",IF($B214="MEANS",INDEX('1-DATA'!$1:$1048576,$A213-1,COLUMN('1-DATA'!S212)),ROUND(INDEX('1-DATA'!$1:$1048576,IF(OR($B214="STD. DEVIATION",$C$1=1),$A214,$A214+1),COLUMN('1-DATA'!S212)),IF($B214="STD. DEVIATION",2,$F$1))))</f>
        <v/>
      </c>
      <c r="U214" s="1" t="str">
        <f>IF(OR($B214="",U$7=""),"",IF($B214="MEANS",INDEX('1-DATA'!$1:$1048576,$A213-1,COLUMN('1-DATA'!T212)),ROUND(INDEX('1-DATA'!$1:$1048576,IF(OR($B214="STD. DEVIATION",$C$1=1),$A214,$A214+1),COLUMN('1-DATA'!T212)),IF($B214="STD. DEVIATION",2,$F$1))))</f>
        <v/>
      </c>
      <c r="V214" s="1" t="str">
        <f>IF(OR($B214="",V$7=""),"",IF($B214="MEANS",INDEX('1-DATA'!$1:$1048576,$A213-1,COLUMN('1-DATA'!U212)),ROUND(INDEX('1-DATA'!$1:$1048576,IF(OR($B214="STD. DEVIATION",$C$1=1),$A214,$A214+1),COLUMN('1-DATA'!U212)),IF($B214="STD. DEVIATION",2,$F$1))))</f>
        <v/>
      </c>
      <c r="W214" s="1" t="str">
        <f>IF(OR($B214="",W$7=""),"",IF($B214="MEANS",INDEX('1-DATA'!$1:$1048576,$A213-1,COLUMN('1-DATA'!V212)),ROUND(INDEX('1-DATA'!$1:$1048576,IF(OR($B214="STD. DEVIATION",$C$1=1),$A214,$A214+1),COLUMN('1-DATA'!V212)),IF($B214="STD. DEVIATION",2,$F$1))))</f>
        <v/>
      </c>
      <c r="X214" s="1" t="str">
        <f>IF(OR($B214="",X$7=""),"",IF($B214="MEANS",INDEX('1-DATA'!$1:$1048576,$A213-1,COLUMN('1-DATA'!W212)),ROUND(INDEX('1-DATA'!$1:$1048576,IF(OR($B214="STD. DEVIATION",$C$1=1),$A214,$A214+1),COLUMN('1-DATA'!W212)),IF($B214="STD. DEVIATION",2,$F$1))))</f>
        <v/>
      </c>
      <c r="Y214" s="1" t="str">
        <f>IF(OR($B214="",Y$7=""),"",IF($B214="MEANS",INDEX('1-DATA'!$1:$1048576,$A213-1,COLUMN('1-DATA'!X212)),ROUND(INDEX('1-DATA'!$1:$1048576,IF(OR($B214="STD. DEVIATION",$C$1=1),$A214,$A214+1),COLUMN('1-DATA'!X212)),IF($B214="STD. DEVIATION",2,$F$1))))</f>
        <v/>
      </c>
      <c r="Z214" s="1" t="str">
        <f>IF(OR($B214="",Z$7=""),"",IF($B214="MEANS",INDEX('1-DATA'!$1:$1048576,$A213-1,COLUMN('1-DATA'!Y212)),ROUND(INDEX('1-DATA'!$1:$1048576,IF(OR($B214="STD. DEVIATION",$C$1=1),$A214,$A214+1),COLUMN('1-DATA'!Y212)),IF($B214="STD. DEVIATION",2,$F$1))))</f>
        <v/>
      </c>
      <c r="AA214" s="1" t="str">
        <f>IF(OR($B214="",AA$7=""),"",IF($B214="MEANS",INDEX('1-DATA'!$1:$1048576,$A213-1,COLUMN('1-DATA'!Z212)),ROUND(INDEX('1-DATA'!$1:$1048576,IF(OR($B214="STD. DEVIATION",$C$1=1),$A214,$A214+1),COLUMN('1-DATA'!Z212)),IF($B214="STD. DEVIATION",2,$F$1))))</f>
        <v/>
      </c>
      <c r="AB214" s="1" t="str">
        <f>IF(OR($B214="",AB$7=""),"",IF($B214="MEANS",INDEX('1-DATA'!$1:$1048576,$A213-1,COLUMN('1-DATA'!AA212)),ROUND(INDEX('1-DATA'!$1:$1048576,IF(OR($B214="STD. DEVIATION",$C$1=1),$A214,$A214+1),COLUMN('1-DATA'!AA212)),IF($B214="STD. DEVIATION",2,$F$1))))</f>
        <v/>
      </c>
      <c r="AC214" s="1" t="str">
        <f>IF(OR($B214="",AC$7=""),"",IF($B214="MEANS",INDEX('1-DATA'!$1:$1048576,$A213-1,COLUMN('1-DATA'!AB212)),ROUND(INDEX('1-DATA'!$1:$1048576,IF(OR($B214="STD. DEVIATION",$C$1=1),$A214,$A214+1),COLUMN('1-DATA'!AB212)),IF($B214="STD. DEVIATION",2,$F$1))))</f>
        <v/>
      </c>
      <c r="AD214" s="1" t="str">
        <f>IF(OR($B214="",AD$7=""),"",IF($B214="MEANS",INDEX('1-DATA'!$1:$1048576,$A213-1,COLUMN('1-DATA'!AC212)),ROUND(INDEX('1-DATA'!$1:$1048576,IF(OR($B214="STD. DEVIATION",$C$1=1),$A214,$A214+1),COLUMN('1-DATA'!AC212)),IF($B214="STD. DEVIATION",2,$F$1))))</f>
        <v/>
      </c>
      <c r="AE214" s="1" t="str">
        <f>IF(OR($B214="",AE$7=""),"",IF($B214="MEANS",INDEX('1-DATA'!$1:$1048576,$A213-1,COLUMN('1-DATA'!AD212)),ROUND(INDEX('1-DATA'!$1:$1048576,IF(OR($B214="STD. DEVIATION",$C$1=1),$A214,$A214+1),COLUMN('1-DATA'!AD212)),IF($B214="STD. DEVIATION",2,$F$1))))</f>
        <v/>
      </c>
      <c r="AF214" s="1" t="str">
        <f>IF(OR($B214="",AF$7=""),"",IF($B214="MEANS",INDEX('1-DATA'!$1:$1048576,$A213-1,COLUMN('1-DATA'!AE212)),ROUND(INDEX('1-DATA'!$1:$1048576,IF(OR($B214="STD. DEVIATION",$C$1=1),$A214,$A214+1),COLUMN('1-DATA'!AE212)),IF($B214="STD. DEVIATION",2,$F$1))))</f>
        <v/>
      </c>
      <c r="AG214" s="1" t="str">
        <f>IF(OR($B214="",AG$7=""),"",IF($B214="MEANS",INDEX('1-DATA'!$1:$1048576,$A213-1,COLUMN('1-DATA'!AF212)),ROUND(INDEX('1-DATA'!$1:$1048576,IF(OR($B214="STD. DEVIATION",$C$1=1),$A214,$A214+1),COLUMN('1-DATA'!AF212)),IF($B214="STD. DEVIATION",2,$F$1))))</f>
        <v/>
      </c>
      <c r="AH214" s="1" t="str">
        <f>IF(OR($B214="",AH$7=""),"",IF($B214="MEANS",INDEX('1-DATA'!$1:$1048576,$A213-1,COLUMN('1-DATA'!AG212)),ROUND(INDEX('1-DATA'!$1:$1048576,IF(OR($B214="STD. DEVIATION",$C$1=1),$A214,$A214+1),COLUMN('1-DATA'!AG212)),IF($B214="STD. DEVIATION",2,$F$1))))</f>
        <v/>
      </c>
      <c r="AI214" s="1" t="str">
        <f>IF(OR($B214="",AI$7=""),"",IF($B214="MEANS",INDEX('1-DATA'!$1:$1048576,$A213-1,COLUMN('1-DATA'!AH212)),ROUND(INDEX('1-DATA'!$1:$1048576,IF(OR($B214="STD. DEVIATION",$C$1=1),$A214,$A214+1),COLUMN('1-DATA'!AH212)),IF($B214="STD. DEVIATION",2,$F$1))))</f>
        <v/>
      </c>
      <c r="AJ214" s="1" t="str">
        <f>IF(OR($B214="",AJ$7=""),"",IF($B214="MEANS",INDEX('1-DATA'!$1:$1048576,$A213-1,COLUMN('1-DATA'!AI212)),ROUND(INDEX('1-DATA'!$1:$1048576,IF(OR($B214="STD. DEVIATION",$C$1=1),$A214,$A214+1),COLUMN('1-DATA'!AI212)),IF($B214="STD. DEVIATION",2,$F$1))))</f>
        <v/>
      </c>
      <c r="AK214" s="1" t="str">
        <f>IF(OR($B214="",AK$7=""),"",IF($B214="MEANS",INDEX('1-DATA'!$1:$1048576,$A213-1,COLUMN('1-DATA'!AJ212)),ROUND(INDEX('1-DATA'!$1:$1048576,IF(OR($B214="STD. DEVIATION",$C$1=1),$A214,$A214+1),COLUMN('1-DATA'!AJ212)),IF($B214="STD. DEVIATION",2,$F$1))))</f>
        <v/>
      </c>
      <c r="AL214" s="1" t="str">
        <f>IF(OR($B214="",AL$7=""),"",IF($B214="MEANS",INDEX('1-DATA'!$1:$1048576,$A213-1,COLUMN('1-DATA'!AK212)),ROUND(INDEX('1-DATA'!$1:$1048576,IF(OR($B214="STD. DEVIATION",$C$1=1),$A214,$A214+1),COLUMN('1-DATA'!AK212)),IF($B214="STD. DEVIATION",2,$F$1))))</f>
        <v/>
      </c>
      <c r="AM214" s="1" t="str">
        <f>IF(OR($B214="",AM$7=""),"",IF($B214="MEANS",INDEX('1-DATA'!$1:$1048576,$A213-1,COLUMN('1-DATA'!AL212)),ROUND(INDEX('1-DATA'!$1:$1048576,IF(OR($B214="STD. DEVIATION",$C$1=1),$A214,$A214+1),COLUMN('1-DATA'!AL212)),IF($B214="STD. DEVIATION",2,$F$1))))</f>
        <v/>
      </c>
      <c r="AN214" s="1" t="str">
        <f>IF(OR($B214="",AN$7=""),"",IF($B214="MEANS",INDEX('1-DATA'!$1:$1048576,$A213-1,COLUMN('1-DATA'!AM212)),ROUND(INDEX('1-DATA'!$1:$1048576,IF(OR($B214="STD. DEVIATION",$C$1=1),$A214,$A214+1),COLUMN('1-DATA'!AM212)),IF($B214="STD. DEVIATION",2,$F$1))))</f>
        <v/>
      </c>
      <c r="AO214" s="1" t="str">
        <f>IF(OR($B214="",AO$7=""),"",IF($B214="MEANS",INDEX('1-DATA'!$1:$1048576,$A213-1,COLUMN('1-DATA'!AN212)),ROUND(INDEX('1-DATA'!$1:$1048576,IF(OR($B214="STD. DEVIATION",$C$1=1),$A214,$A214+1),COLUMN('1-DATA'!AN212)),IF($B214="STD. DEVIATION",2,$F$1))))</f>
        <v/>
      </c>
      <c r="AP214" s="1" t="str">
        <f>IF(OR($B214="",AP$7=""),"",IF($B214="MEANS",INDEX('1-DATA'!$1:$1048576,$A213-1,COLUMN('1-DATA'!AO212)),ROUND(INDEX('1-DATA'!$1:$1048576,IF(OR($B214="STD. DEVIATION",$C$1=1),$A214,$A214+1),COLUMN('1-DATA'!AO212)),IF($B214="STD. DEVIATION",2,$F$1))))</f>
        <v/>
      </c>
      <c r="AQ214" s="1" t="str">
        <f>IF(OR($B214="",AQ$7=""),"",IF($B214="MEANS",INDEX('1-DATA'!$1:$1048576,$A213-1,COLUMN('1-DATA'!AP212)),ROUND(INDEX('1-DATA'!$1:$1048576,IF(OR($B214="STD. DEVIATION",$C$1=1),$A214,$A214+1),COLUMN('1-DATA'!AP212)),IF($B214="STD. DEVIATION",2,$F$1))))</f>
        <v/>
      </c>
      <c r="AR214" s="1" t="str">
        <f>IF(OR($B214="",AR$7=""),"",IF($B214="MEANS",INDEX('1-DATA'!$1:$1048576,$A213-1,COLUMN('1-DATA'!AQ212)),ROUND(INDEX('1-DATA'!$1:$1048576,IF(OR($B214="STD. DEVIATION",$C$1=1),$A214,$A214+1),COLUMN('1-DATA'!AQ212)),IF($B214="STD. DEVIATION",2,$F$1))))</f>
        <v/>
      </c>
      <c r="AS214" s="1" t="str">
        <f>IF(OR($B214="",AS$7=""),"",IF($B214="MEANS",INDEX('1-DATA'!$1:$1048576,$A213-1,COLUMN('1-DATA'!AR212)),ROUND(INDEX('1-DATA'!$1:$1048576,IF(OR($B214="STD. DEVIATION",$C$1=1),$A214,$A214+1),COLUMN('1-DATA'!AR212)),IF($B214="STD. DEVIATION",2,$F$1))))</f>
        <v/>
      </c>
      <c r="AT214" s="1" t="str">
        <f>IF(OR($B214="",AT$7=""),"",IF($B214="MEANS",INDEX('1-DATA'!$1:$1048576,$A213-1,COLUMN('1-DATA'!AS212)),ROUND(INDEX('1-DATA'!$1:$1048576,IF(OR($B214="STD. DEVIATION",$C$1=1),$A214,$A214+1),COLUMN('1-DATA'!AS212)),IF($B214="STD. DEVIATION",2,$F$1))))</f>
        <v/>
      </c>
      <c r="AU214" s="1" t="str">
        <f>IF(OR($B214="",AU$7=""),"",IF($B214="MEANS",INDEX('1-DATA'!$1:$1048576,$A213-1,COLUMN('1-DATA'!AT212)),ROUND(INDEX('1-DATA'!$1:$1048576,IF(OR($B214="STD. DEVIATION",$C$1=1),$A214,$A214+1),COLUMN('1-DATA'!AT212)),IF($B214="STD. DEVIATION",2,$F$1))))</f>
        <v/>
      </c>
      <c r="AV214" s="1" t="str">
        <f>IF(OR($B214="",AV$7=""),"",IF($B214="MEANS",INDEX('1-DATA'!$1:$1048576,$A213-1,COLUMN('1-DATA'!AU212)),ROUND(INDEX('1-DATA'!$1:$1048576,IF(OR($B214="STD. DEVIATION",$C$1=1),$A214,$A214+1),COLUMN('1-DATA'!AU212)),IF($B214="STD. DEVIATION",2,$F$1))))</f>
        <v/>
      </c>
      <c r="AW214" s="1" t="str">
        <f>IF(OR($B214="",AW$7=""),"",IF($B214="MEANS",INDEX('1-DATA'!$1:$1048576,$A213-1,COLUMN('1-DATA'!AV212)),ROUND(INDEX('1-DATA'!$1:$1048576,IF(OR($B214="STD. DEVIATION",$C$1=1),$A214,$A214+1),COLUMN('1-DATA'!AV212)),IF($B214="STD. DEVIATION",2,$F$1))))</f>
        <v/>
      </c>
      <c r="AX214" s="1" t="str">
        <f>IF(OR($B214="",AX$7=""),"",IF($B214="MEANS",INDEX('1-DATA'!$1:$1048576,$A213-1,COLUMN('1-DATA'!AW212)),ROUND(INDEX('1-DATA'!$1:$1048576,IF(OR($B214="STD. DEVIATION",$C$1=1),$A214,$A214+1),COLUMN('1-DATA'!AW212)),IF($B214="STD. DEVIATION",2,$F$1))))</f>
        <v/>
      </c>
      <c r="AY214" s="1" t="str">
        <f>IF(OR($B214="",AY$7=""),"",IF($B214="MEANS",INDEX('1-DATA'!$1:$1048576,$A213-1,COLUMN('1-DATA'!AX212)),ROUND(INDEX('1-DATA'!$1:$1048576,IF(OR($B214="STD. DEVIATION",$C$1=1),$A214,$A214+1),COLUMN('1-DATA'!AX212)),IF($B214="STD. DEVIATION",2,$F$1))))</f>
        <v/>
      </c>
      <c r="AZ214" s="1" t="str">
        <f>IF(OR($B214="",AZ$7=""),"",IF($B214="MEANS",INDEX('1-DATA'!$1:$1048576,$A213-1,COLUMN('1-DATA'!AY212)),ROUND(INDEX('1-DATA'!$1:$1048576,IF(OR($B214="STD. DEVIATION",$C$1=1),$A214,$A214+1),COLUMN('1-DATA'!AY212)),IF($B214="STD. DEVIATION",2,$F$1))))</f>
        <v/>
      </c>
    </row>
    <row r="215" spans="1:52" x14ac:dyDescent="0.25">
      <c r="A215" s="11">
        <f t="shared" si="3"/>
        <v>631</v>
      </c>
      <c r="B215" s="1" t="str">
        <f>IF(B214="STD. DEVIATION",INDEX('1-DATA'!$1:$1048576,$A214-1,1),IF(INDEX('1-DATA'!$1:$1048576,$A215,1)&lt;&gt;"",INDEX('1-DATA'!$1:$1048576,$A215,1),""))</f>
        <v/>
      </c>
      <c r="C215" s="1" t="str">
        <f>IF(OR($B215="",C$7=""),"",IF($B215="MEANS",INDEX('1-DATA'!$1:$1048576,$A214-1,COLUMN('1-DATA'!B213)),ROUND(INDEX('1-DATA'!$1:$1048576,IF(OR($B215="STD. DEVIATION",$C$1=1),$A215,$A215+1),COLUMN('1-DATA'!B213)),IF($B215="STD. DEVIATION",2,$F$1))))</f>
        <v/>
      </c>
      <c r="D215" s="1" t="str">
        <f>IF(OR($B215="",D$7=""),"",IF($B215="MEANS",INDEX('1-DATA'!$1:$1048576,$A214-1,COLUMN('1-DATA'!C213)),ROUND(INDEX('1-DATA'!$1:$1048576,IF(OR($B215="STD. DEVIATION",$C$1=1),$A215,$A215+1),COLUMN('1-DATA'!C213)),IF($B215="STD. DEVIATION",2,$F$1))))</f>
        <v/>
      </c>
      <c r="E215" s="1" t="str">
        <f>IF(OR($B215="",E$7=""),"",IF($B215="MEANS",INDEX('1-DATA'!$1:$1048576,$A214-1,COLUMN('1-DATA'!D213)),ROUND(INDEX('1-DATA'!$1:$1048576,IF(OR($B215="STD. DEVIATION",$C$1=1),$A215,$A215+1),COLUMN('1-DATA'!D213)),IF($B215="STD. DEVIATION",2,$F$1))))</f>
        <v/>
      </c>
      <c r="F215" s="1" t="str">
        <f>IF(OR($B215="",F$7=""),"",IF($B215="MEANS",INDEX('1-DATA'!$1:$1048576,$A214-1,COLUMN('1-DATA'!E213)),ROUND(INDEX('1-DATA'!$1:$1048576,IF(OR($B215="STD. DEVIATION",$C$1=1),$A215,$A215+1),COLUMN('1-DATA'!E213)),IF($B215="STD. DEVIATION",2,$F$1))))</f>
        <v/>
      </c>
      <c r="G215" s="1" t="str">
        <f>IF(OR($B215="",G$7=""),"",IF($B215="MEANS",INDEX('1-DATA'!$1:$1048576,$A214-1,COLUMN('1-DATA'!F213)),ROUND(INDEX('1-DATA'!$1:$1048576,IF(OR($B215="STD. DEVIATION",$C$1=1),$A215,$A215+1),COLUMN('1-DATA'!F213)),IF($B215="STD. DEVIATION",2,$F$1))))</f>
        <v/>
      </c>
      <c r="H215" s="1" t="str">
        <f>IF(OR($B215="",H$7=""),"",IF($B215="MEANS",INDEX('1-DATA'!$1:$1048576,$A214-1,COLUMN('1-DATA'!G213)),ROUND(INDEX('1-DATA'!$1:$1048576,IF(OR($B215="STD. DEVIATION",$C$1=1),$A215,$A215+1),COLUMN('1-DATA'!G213)),IF($B215="STD. DEVIATION",2,$F$1))))</f>
        <v/>
      </c>
      <c r="I215" s="1" t="str">
        <f>IF(OR($B215="",I$7=""),"",IF($B215="MEANS",INDEX('1-DATA'!$1:$1048576,$A214-1,COLUMN('1-DATA'!H213)),ROUND(INDEX('1-DATA'!$1:$1048576,IF(OR($B215="STD. DEVIATION",$C$1=1),$A215,$A215+1),COLUMN('1-DATA'!H213)),IF($B215="STD. DEVIATION",2,$F$1))))</f>
        <v/>
      </c>
      <c r="J215" s="1" t="str">
        <f>IF(OR($B215="",J$7=""),"",IF($B215="MEANS",INDEX('1-DATA'!$1:$1048576,$A214-1,COLUMN('1-DATA'!I213)),ROUND(INDEX('1-DATA'!$1:$1048576,IF(OR($B215="STD. DEVIATION",$C$1=1),$A215,$A215+1),COLUMN('1-DATA'!I213)),IF($B215="STD. DEVIATION",2,$F$1))))</f>
        <v/>
      </c>
      <c r="K215" s="1" t="str">
        <f>IF(OR($B215="",K$7=""),"",IF($B215="MEANS",INDEX('1-DATA'!$1:$1048576,$A214-1,COLUMN('1-DATA'!J213)),ROUND(INDEX('1-DATA'!$1:$1048576,IF(OR($B215="STD. DEVIATION",$C$1=1),$A215,$A215+1),COLUMN('1-DATA'!J213)),IF($B215="STD. DEVIATION",2,$F$1))))</f>
        <v/>
      </c>
      <c r="L215" s="1" t="str">
        <f>IF(OR($B215="",L$7=""),"",IF($B215="MEANS",INDEX('1-DATA'!$1:$1048576,$A214-1,COLUMN('1-DATA'!K213)),ROUND(INDEX('1-DATA'!$1:$1048576,IF(OR($B215="STD. DEVIATION",$C$1=1),$A215,$A215+1),COLUMN('1-DATA'!K213)),IF($B215="STD. DEVIATION",2,$F$1))))</f>
        <v/>
      </c>
      <c r="M215" s="1" t="str">
        <f>IF(OR($B215="",M$7=""),"",IF($B215="MEANS",INDEX('1-DATA'!$1:$1048576,$A214-1,COLUMN('1-DATA'!L213)),ROUND(INDEX('1-DATA'!$1:$1048576,IF(OR($B215="STD. DEVIATION",$C$1=1),$A215,$A215+1),COLUMN('1-DATA'!L213)),IF($B215="STD. DEVIATION",2,$F$1))))</f>
        <v/>
      </c>
      <c r="N215" s="1" t="str">
        <f>IF(OR($B215="",N$7=""),"",IF($B215="MEANS",INDEX('1-DATA'!$1:$1048576,$A214-1,COLUMN('1-DATA'!M213)),ROUND(INDEX('1-DATA'!$1:$1048576,IF(OR($B215="STD. DEVIATION",$C$1=1),$A215,$A215+1),COLUMN('1-DATA'!M213)),IF($B215="STD. DEVIATION",2,$F$1))))</f>
        <v/>
      </c>
      <c r="O215" s="1" t="str">
        <f>IF(OR($B215="",O$7=""),"",IF($B215="MEANS",INDEX('1-DATA'!$1:$1048576,$A214-1,COLUMN('1-DATA'!N213)),ROUND(INDEX('1-DATA'!$1:$1048576,IF(OR($B215="STD. DEVIATION",$C$1=1),$A215,$A215+1),COLUMN('1-DATA'!N213)),IF($B215="STD. DEVIATION",2,$F$1))))</f>
        <v/>
      </c>
      <c r="P215" s="1" t="str">
        <f>IF(OR($B215="",P$7=""),"",IF($B215="MEANS",INDEX('1-DATA'!$1:$1048576,$A214-1,COLUMN('1-DATA'!O213)),ROUND(INDEX('1-DATA'!$1:$1048576,IF(OR($B215="STD. DEVIATION",$C$1=1),$A215,$A215+1),COLUMN('1-DATA'!O213)),IF($B215="STD. DEVIATION",2,$F$1))))</f>
        <v/>
      </c>
      <c r="Q215" s="1" t="str">
        <f>IF(OR($B215="",Q$7=""),"",IF($B215="MEANS",INDEX('1-DATA'!$1:$1048576,$A214-1,COLUMN('1-DATA'!P213)),ROUND(INDEX('1-DATA'!$1:$1048576,IF(OR($B215="STD. DEVIATION",$C$1=1),$A215,$A215+1),COLUMN('1-DATA'!P213)),IF($B215="STD. DEVIATION",2,$F$1))))</f>
        <v/>
      </c>
      <c r="R215" s="1" t="str">
        <f>IF(OR($B215="",R$7=""),"",IF($B215="MEANS",INDEX('1-DATA'!$1:$1048576,$A214-1,COLUMN('1-DATA'!Q213)),ROUND(INDEX('1-DATA'!$1:$1048576,IF(OR($B215="STD. DEVIATION",$C$1=1),$A215,$A215+1),COLUMN('1-DATA'!Q213)),IF($B215="STD. DEVIATION",2,$F$1))))</f>
        <v/>
      </c>
      <c r="S215" s="1" t="str">
        <f>IF(OR($B215="",S$7=""),"",IF($B215="MEANS",INDEX('1-DATA'!$1:$1048576,$A214-1,COLUMN('1-DATA'!R213)),ROUND(INDEX('1-DATA'!$1:$1048576,IF(OR($B215="STD. DEVIATION",$C$1=1),$A215,$A215+1),COLUMN('1-DATA'!R213)),IF($B215="STD. DEVIATION",2,$F$1))))</f>
        <v/>
      </c>
      <c r="T215" s="1" t="str">
        <f>IF(OR($B215="",T$7=""),"",IF($B215="MEANS",INDEX('1-DATA'!$1:$1048576,$A214-1,COLUMN('1-DATA'!S213)),ROUND(INDEX('1-DATA'!$1:$1048576,IF(OR($B215="STD. DEVIATION",$C$1=1),$A215,$A215+1),COLUMN('1-DATA'!S213)),IF($B215="STD. DEVIATION",2,$F$1))))</f>
        <v/>
      </c>
      <c r="U215" s="1" t="str">
        <f>IF(OR($B215="",U$7=""),"",IF($B215="MEANS",INDEX('1-DATA'!$1:$1048576,$A214-1,COLUMN('1-DATA'!T213)),ROUND(INDEX('1-DATA'!$1:$1048576,IF(OR($B215="STD. DEVIATION",$C$1=1),$A215,$A215+1),COLUMN('1-DATA'!T213)),IF($B215="STD. DEVIATION",2,$F$1))))</f>
        <v/>
      </c>
      <c r="V215" s="1" t="str">
        <f>IF(OR($B215="",V$7=""),"",IF($B215="MEANS",INDEX('1-DATA'!$1:$1048576,$A214-1,COLUMN('1-DATA'!U213)),ROUND(INDEX('1-DATA'!$1:$1048576,IF(OR($B215="STD. DEVIATION",$C$1=1),$A215,$A215+1),COLUMN('1-DATA'!U213)),IF($B215="STD. DEVIATION",2,$F$1))))</f>
        <v/>
      </c>
      <c r="W215" s="1" t="str">
        <f>IF(OR($B215="",W$7=""),"",IF($B215="MEANS",INDEX('1-DATA'!$1:$1048576,$A214-1,COLUMN('1-DATA'!V213)),ROUND(INDEX('1-DATA'!$1:$1048576,IF(OR($B215="STD. DEVIATION",$C$1=1),$A215,$A215+1),COLUMN('1-DATA'!V213)),IF($B215="STD. DEVIATION",2,$F$1))))</f>
        <v/>
      </c>
      <c r="X215" s="1" t="str">
        <f>IF(OR($B215="",X$7=""),"",IF($B215="MEANS",INDEX('1-DATA'!$1:$1048576,$A214-1,COLUMN('1-DATA'!W213)),ROUND(INDEX('1-DATA'!$1:$1048576,IF(OR($B215="STD. DEVIATION",$C$1=1),$A215,$A215+1),COLUMN('1-DATA'!W213)),IF($B215="STD. DEVIATION",2,$F$1))))</f>
        <v/>
      </c>
      <c r="Y215" s="1" t="str">
        <f>IF(OR($B215="",Y$7=""),"",IF($B215="MEANS",INDEX('1-DATA'!$1:$1048576,$A214-1,COLUMN('1-DATA'!X213)),ROUND(INDEX('1-DATA'!$1:$1048576,IF(OR($B215="STD. DEVIATION",$C$1=1),$A215,$A215+1),COLUMN('1-DATA'!X213)),IF($B215="STD. DEVIATION",2,$F$1))))</f>
        <v/>
      </c>
      <c r="Z215" s="1" t="str">
        <f>IF(OR($B215="",Z$7=""),"",IF($B215="MEANS",INDEX('1-DATA'!$1:$1048576,$A214-1,COLUMN('1-DATA'!Y213)),ROUND(INDEX('1-DATA'!$1:$1048576,IF(OR($B215="STD. DEVIATION",$C$1=1),$A215,$A215+1),COLUMN('1-DATA'!Y213)),IF($B215="STD. DEVIATION",2,$F$1))))</f>
        <v/>
      </c>
      <c r="AA215" s="1" t="str">
        <f>IF(OR($B215="",AA$7=""),"",IF($B215="MEANS",INDEX('1-DATA'!$1:$1048576,$A214-1,COLUMN('1-DATA'!Z213)),ROUND(INDEX('1-DATA'!$1:$1048576,IF(OR($B215="STD. DEVIATION",$C$1=1),$A215,$A215+1),COLUMN('1-DATA'!Z213)),IF($B215="STD. DEVIATION",2,$F$1))))</f>
        <v/>
      </c>
      <c r="AB215" s="1" t="str">
        <f>IF(OR($B215="",AB$7=""),"",IF($B215="MEANS",INDEX('1-DATA'!$1:$1048576,$A214-1,COLUMN('1-DATA'!AA213)),ROUND(INDEX('1-DATA'!$1:$1048576,IF(OR($B215="STD. DEVIATION",$C$1=1),$A215,$A215+1),COLUMN('1-DATA'!AA213)),IF($B215="STD. DEVIATION",2,$F$1))))</f>
        <v/>
      </c>
      <c r="AC215" s="1" t="str">
        <f>IF(OR($B215="",AC$7=""),"",IF($B215="MEANS",INDEX('1-DATA'!$1:$1048576,$A214-1,COLUMN('1-DATA'!AB213)),ROUND(INDEX('1-DATA'!$1:$1048576,IF(OR($B215="STD. DEVIATION",$C$1=1),$A215,$A215+1),COLUMN('1-DATA'!AB213)),IF($B215="STD. DEVIATION",2,$F$1))))</f>
        <v/>
      </c>
      <c r="AD215" s="1" t="str">
        <f>IF(OR($B215="",AD$7=""),"",IF($B215="MEANS",INDEX('1-DATA'!$1:$1048576,$A214-1,COLUMN('1-DATA'!AC213)),ROUND(INDEX('1-DATA'!$1:$1048576,IF(OR($B215="STD. DEVIATION",$C$1=1),$A215,$A215+1),COLUMN('1-DATA'!AC213)),IF($B215="STD. DEVIATION",2,$F$1))))</f>
        <v/>
      </c>
      <c r="AE215" s="1" t="str">
        <f>IF(OR($B215="",AE$7=""),"",IF($B215="MEANS",INDEX('1-DATA'!$1:$1048576,$A214-1,COLUMN('1-DATA'!AD213)),ROUND(INDEX('1-DATA'!$1:$1048576,IF(OR($B215="STD. DEVIATION",$C$1=1),$A215,$A215+1),COLUMN('1-DATA'!AD213)),IF($B215="STD. DEVIATION",2,$F$1))))</f>
        <v/>
      </c>
      <c r="AF215" s="1" t="str">
        <f>IF(OR($B215="",AF$7=""),"",IF($B215="MEANS",INDEX('1-DATA'!$1:$1048576,$A214-1,COLUMN('1-DATA'!AE213)),ROUND(INDEX('1-DATA'!$1:$1048576,IF(OR($B215="STD. DEVIATION",$C$1=1),$A215,$A215+1),COLUMN('1-DATA'!AE213)),IF($B215="STD. DEVIATION",2,$F$1))))</f>
        <v/>
      </c>
      <c r="AG215" s="1" t="str">
        <f>IF(OR($B215="",AG$7=""),"",IF($B215="MEANS",INDEX('1-DATA'!$1:$1048576,$A214-1,COLUMN('1-DATA'!AF213)),ROUND(INDEX('1-DATA'!$1:$1048576,IF(OR($B215="STD. DEVIATION",$C$1=1),$A215,$A215+1),COLUMN('1-DATA'!AF213)),IF($B215="STD. DEVIATION",2,$F$1))))</f>
        <v/>
      </c>
      <c r="AH215" s="1" t="str">
        <f>IF(OR($B215="",AH$7=""),"",IF($B215="MEANS",INDEX('1-DATA'!$1:$1048576,$A214-1,COLUMN('1-DATA'!AG213)),ROUND(INDEX('1-DATA'!$1:$1048576,IF(OR($B215="STD. DEVIATION",$C$1=1),$A215,$A215+1),COLUMN('1-DATA'!AG213)),IF($B215="STD. DEVIATION",2,$F$1))))</f>
        <v/>
      </c>
      <c r="AI215" s="1" t="str">
        <f>IF(OR($B215="",AI$7=""),"",IF($B215="MEANS",INDEX('1-DATA'!$1:$1048576,$A214-1,COLUMN('1-DATA'!AH213)),ROUND(INDEX('1-DATA'!$1:$1048576,IF(OR($B215="STD. DEVIATION",$C$1=1),$A215,$A215+1),COLUMN('1-DATA'!AH213)),IF($B215="STD. DEVIATION",2,$F$1))))</f>
        <v/>
      </c>
      <c r="AJ215" s="1" t="str">
        <f>IF(OR($B215="",AJ$7=""),"",IF($B215="MEANS",INDEX('1-DATA'!$1:$1048576,$A214-1,COLUMN('1-DATA'!AI213)),ROUND(INDEX('1-DATA'!$1:$1048576,IF(OR($B215="STD. DEVIATION",$C$1=1),$A215,$A215+1),COLUMN('1-DATA'!AI213)),IF($B215="STD. DEVIATION",2,$F$1))))</f>
        <v/>
      </c>
      <c r="AK215" s="1" t="str">
        <f>IF(OR($B215="",AK$7=""),"",IF($B215="MEANS",INDEX('1-DATA'!$1:$1048576,$A214-1,COLUMN('1-DATA'!AJ213)),ROUND(INDEX('1-DATA'!$1:$1048576,IF(OR($B215="STD. DEVIATION",$C$1=1),$A215,$A215+1),COLUMN('1-DATA'!AJ213)),IF($B215="STD. DEVIATION",2,$F$1))))</f>
        <v/>
      </c>
      <c r="AL215" s="1" t="str">
        <f>IF(OR($B215="",AL$7=""),"",IF($B215="MEANS",INDEX('1-DATA'!$1:$1048576,$A214-1,COLUMN('1-DATA'!AK213)),ROUND(INDEX('1-DATA'!$1:$1048576,IF(OR($B215="STD. DEVIATION",$C$1=1),$A215,$A215+1),COLUMN('1-DATA'!AK213)),IF($B215="STD. DEVIATION",2,$F$1))))</f>
        <v/>
      </c>
      <c r="AM215" s="1" t="str">
        <f>IF(OR($B215="",AM$7=""),"",IF($B215="MEANS",INDEX('1-DATA'!$1:$1048576,$A214-1,COLUMN('1-DATA'!AL213)),ROUND(INDEX('1-DATA'!$1:$1048576,IF(OR($B215="STD. DEVIATION",$C$1=1),$A215,$A215+1),COLUMN('1-DATA'!AL213)),IF($B215="STD. DEVIATION",2,$F$1))))</f>
        <v/>
      </c>
      <c r="AN215" s="1" t="str">
        <f>IF(OR($B215="",AN$7=""),"",IF($B215="MEANS",INDEX('1-DATA'!$1:$1048576,$A214-1,COLUMN('1-DATA'!AM213)),ROUND(INDEX('1-DATA'!$1:$1048576,IF(OR($B215="STD. DEVIATION",$C$1=1),$A215,$A215+1),COLUMN('1-DATA'!AM213)),IF($B215="STD. DEVIATION",2,$F$1))))</f>
        <v/>
      </c>
      <c r="AO215" s="1" t="str">
        <f>IF(OR($B215="",AO$7=""),"",IF($B215="MEANS",INDEX('1-DATA'!$1:$1048576,$A214-1,COLUMN('1-DATA'!AN213)),ROUND(INDEX('1-DATA'!$1:$1048576,IF(OR($B215="STD. DEVIATION",$C$1=1),$A215,$A215+1),COLUMN('1-DATA'!AN213)),IF($B215="STD. DEVIATION",2,$F$1))))</f>
        <v/>
      </c>
      <c r="AP215" s="1" t="str">
        <f>IF(OR($B215="",AP$7=""),"",IF($B215="MEANS",INDEX('1-DATA'!$1:$1048576,$A214-1,COLUMN('1-DATA'!AO213)),ROUND(INDEX('1-DATA'!$1:$1048576,IF(OR($B215="STD. DEVIATION",$C$1=1),$A215,$A215+1),COLUMN('1-DATA'!AO213)),IF($B215="STD. DEVIATION",2,$F$1))))</f>
        <v/>
      </c>
      <c r="AQ215" s="1" t="str">
        <f>IF(OR($B215="",AQ$7=""),"",IF($B215="MEANS",INDEX('1-DATA'!$1:$1048576,$A214-1,COLUMN('1-DATA'!AP213)),ROUND(INDEX('1-DATA'!$1:$1048576,IF(OR($B215="STD. DEVIATION",$C$1=1),$A215,$A215+1),COLUMN('1-DATA'!AP213)),IF($B215="STD. DEVIATION",2,$F$1))))</f>
        <v/>
      </c>
      <c r="AR215" s="1" t="str">
        <f>IF(OR($B215="",AR$7=""),"",IF($B215="MEANS",INDEX('1-DATA'!$1:$1048576,$A214-1,COLUMN('1-DATA'!AQ213)),ROUND(INDEX('1-DATA'!$1:$1048576,IF(OR($B215="STD. DEVIATION",$C$1=1),$A215,$A215+1),COLUMN('1-DATA'!AQ213)),IF($B215="STD. DEVIATION",2,$F$1))))</f>
        <v/>
      </c>
      <c r="AS215" s="1" t="str">
        <f>IF(OR($B215="",AS$7=""),"",IF($B215="MEANS",INDEX('1-DATA'!$1:$1048576,$A214-1,COLUMN('1-DATA'!AR213)),ROUND(INDEX('1-DATA'!$1:$1048576,IF(OR($B215="STD. DEVIATION",$C$1=1),$A215,$A215+1),COLUMN('1-DATA'!AR213)),IF($B215="STD. DEVIATION",2,$F$1))))</f>
        <v/>
      </c>
      <c r="AT215" s="1" t="str">
        <f>IF(OR($B215="",AT$7=""),"",IF($B215="MEANS",INDEX('1-DATA'!$1:$1048576,$A214-1,COLUMN('1-DATA'!AS213)),ROUND(INDEX('1-DATA'!$1:$1048576,IF(OR($B215="STD. DEVIATION",$C$1=1),$A215,$A215+1),COLUMN('1-DATA'!AS213)),IF($B215="STD. DEVIATION",2,$F$1))))</f>
        <v/>
      </c>
      <c r="AU215" s="1" t="str">
        <f>IF(OR($B215="",AU$7=""),"",IF($B215="MEANS",INDEX('1-DATA'!$1:$1048576,$A214-1,COLUMN('1-DATA'!AT213)),ROUND(INDEX('1-DATA'!$1:$1048576,IF(OR($B215="STD. DEVIATION",$C$1=1),$A215,$A215+1),COLUMN('1-DATA'!AT213)),IF($B215="STD. DEVIATION",2,$F$1))))</f>
        <v/>
      </c>
      <c r="AV215" s="1" t="str">
        <f>IF(OR($B215="",AV$7=""),"",IF($B215="MEANS",INDEX('1-DATA'!$1:$1048576,$A214-1,COLUMN('1-DATA'!AU213)),ROUND(INDEX('1-DATA'!$1:$1048576,IF(OR($B215="STD. DEVIATION",$C$1=1),$A215,$A215+1),COLUMN('1-DATA'!AU213)),IF($B215="STD. DEVIATION",2,$F$1))))</f>
        <v/>
      </c>
      <c r="AW215" s="1" t="str">
        <f>IF(OR($B215="",AW$7=""),"",IF($B215="MEANS",INDEX('1-DATA'!$1:$1048576,$A214-1,COLUMN('1-DATA'!AV213)),ROUND(INDEX('1-DATA'!$1:$1048576,IF(OR($B215="STD. DEVIATION",$C$1=1),$A215,$A215+1),COLUMN('1-DATA'!AV213)),IF($B215="STD. DEVIATION",2,$F$1))))</f>
        <v/>
      </c>
      <c r="AX215" s="1" t="str">
        <f>IF(OR($B215="",AX$7=""),"",IF($B215="MEANS",INDEX('1-DATA'!$1:$1048576,$A214-1,COLUMN('1-DATA'!AW213)),ROUND(INDEX('1-DATA'!$1:$1048576,IF(OR($B215="STD. DEVIATION",$C$1=1),$A215,$A215+1),COLUMN('1-DATA'!AW213)),IF($B215="STD. DEVIATION",2,$F$1))))</f>
        <v/>
      </c>
      <c r="AY215" s="1" t="str">
        <f>IF(OR($B215="",AY$7=""),"",IF($B215="MEANS",INDEX('1-DATA'!$1:$1048576,$A214-1,COLUMN('1-DATA'!AX213)),ROUND(INDEX('1-DATA'!$1:$1048576,IF(OR($B215="STD. DEVIATION",$C$1=1),$A215,$A215+1),COLUMN('1-DATA'!AX213)),IF($B215="STD. DEVIATION",2,$F$1))))</f>
        <v/>
      </c>
      <c r="AZ215" s="1" t="str">
        <f>IF(OR($B215="",AZ$7=""),"",IF($B215="MEANS",INDEX('1-DATA'!$1:$1048576,$A214-1,COLUMN('1-DATA'!AY213)),ROUND(INDEX('1-DATA'!$1:$1048576,IF(OR($B215="STD. DEVIATION",$C$1=1),$A215,$A215+1),COLUMN('1-DATA'!AY213)),IF($B215="STD. DEVIATION",2,$F$1))))</f>
        <v/>
      </c>
    </row>
    <row r="216" spans="1:52" x14ac:dyDescent="0.25">
      <c r="A216" s="11">
        <f t="shared" si="3"/>
        <v>634</v>
      </c>
      <c r="B216" s="1" t="str">
        <f>IF(B215="STD. DEVIATION",INDEX('1-DATA'!$1:$1048576,$A215-1,1),IF(INDEX('1-DATA'!$1:$1048576,$A216,1)&lt;&gt;"",INDEX('1-DATA'!$1:$1048576,$A216,1),""))</f>
        <v/>
      </c>
      <c r="C216" s="1" t="str">
        <f>IF(OR($B216="",C$7=""),"",IF($B216="MEANS",INDEX('1-DATA'!$1:$1048576,$A215-1,COLUMN('1-DATA'!B214)),ROUND(INDEX('1-DATA'!$1:$1048576,IF(OR($B216="STD. DEVIATION",$C$1=1),$A216,$A216+1),COLUMN('1-DATA'!B214)),IF($B216="STD. DEVIATION",2,$F$1))))</f>
        <v/>
      </c>
      <c r="D216" s="1" t="str">
        <f>IF(OR($B216="",D$7=""),"",IF($B216="MEANS",INDEX('1-DATA'!$1:$1048576,$A215-1,COLUMN('1-DATA'!C214)),ROUND(INDEX('1-DATA'!$1:$1048576,IF(OR($B216="STD. DEVIATION",$C$1=1),$A216,$A216+1),COLUMN('1-DATA'!C214)),IF($B216="STD. DEVIATION",2,$F$1))))</f>
        <v/>
      </c>
      <c r="E216" s="1" t="str">
        <f>IF(OR($B216="",E$7=""),"",IF($B216="MEANS",INDEX('1-DATA'!$1:$1048576,$A215-1,COLUMN('1-DATA'!D214)),ROUND(INDEX('1-DATA'!$1:$1048576,IF(OR($B216="STD. DEVIATION",$C$1=1),$A216,$A216+1),COLUMN('1-DATA'!D214)),IF($B216="STD. DEVIATION",2,$F$1))))</f>
        <v/>
      </c>
      <c r="F216" s="1" t="str">
        <f>IF(OR($B216="",F$7=""),"",IF($B216="MEANS",INDEX('1-DATA'!$1:$1048576,$A215-1,COLUMN('1-DATA'!E214)),ROUND(INDEX('1-DATA'!$1:$1048576,IF(OR($B216="STD. DEVIATION",$C$1=1),$A216,$A216+1),COLUMN('1-DATA'!E214)),IF($B216="STD. DEVIATION",2,$F$1))))</f>
        <v/>
      </c>
      <c r="G216" s="1" t="str">
        <f>IF(OR($B216="",G$7=""),"",IF($B216="MEANS",INDEX('1-DATA'!$1:$1048576,$A215-1,COLUMN('1-DATA'!F214)),ROUND(INDEX('1-DATA'!$1:$1048576,IF(OR($B216="STD. DEVIATION",$C$1=1),$A216,$A216+1),COLUMN('1-DATA'!F214)),IF($B216="STD. DEVIATION",2,$F$1))))</f>
        <v/>
      </c>
      <c r="H216" s="1" t="str">
        <f>IF(OR($B216="",H$7=""),"",IF($B216="MEANS",INDEX('1-DATA'!$1:$1048576,$A215-1,COLUMN('1-DATA'!G214)),ROUND(INDEX('1-DATA'!$1:$1048576,IF(OR($B216="STD. DEVIATION",$C$1=1),$A216,$A216+1),COLUMN('1-DATA'!G214)),IF($B216="STD. DEVIATION",2,$F$1))))</f>
        <v/>
      </c>
      <c r="I216" s="1" t="str">
        <f>IF(OR($B216="",I$7=""),"",IF($B216="MEANS",INDEX('1-DATA'!$1:$1048576,$A215-1,COLUMN('1-DATA'!H214)),ROUND(INDEX('1-DATA'!$1:$1048576,IF(OR($B216="STD. DEVIATION",$C$1=1),$A216,$A216+1),COLUMN('1-DATA'!H214)),IF($B216="STD. DEVIATION",2,$F$1))))</f>
        <v/>
      </c>
      <c r="J216" s="1" t="str">
        <f>IF(OR($B216="",J$7=""),"",IF($B216="MEANS",INDEX('1-DATA'!$1:$1048576,$A215-1,COLUMN('1-DATA'!I214)),ROUND(INDEX('1-DATA'!$1:$1048576,IF(OR($B216="STD. DEVIATION",$C$1=1),$A216,$A216+1),COLUMN('1-DATA'!I214)),IF($B216="STD. DEVIATION",2,$F$1))))</f>
        <v/>
      </c>
      <c r="K216" s="1" t="str">
        <f>IF(OR($B216="",K$7=""),"",IF($B216="MEANS",INDEX('1-DATA'!$1:$1048576,$A215-1,COLUMN('1-DATA'!J214)),ROUND(INDEX('1-DATA'!$1:$1048576,IF(OR($B216="STD. DEVIATION",$C$1=1),$A216,$A216+1),COLUMN('1-DATA'!J214)),IF($B216="STD. DEVIATION",2,$F$1))))</f>
        <v/>
      </c>
      <c r="L216" s="1" t="str">
        <f>IF(OR($B216="",L$7=""),"",IF($B216="MEANS",INDEX('1-DATA'!$1:$1048576,$A215-1,COLUMN('1-DATA'!K214)),ROUND(INDEX('1-DATA'!$1:$1048576,IF(OR($B216="STD. DEVIATION",$C$1=1),$A216,$A216+1),COLUMN('1-DATA'!K214)),IF($B216="STD. DEVIATION",2,$F$1))))</f>
        <v/>
      </c>
      <c r="M216" s="1" t="str">
        <f>IF(OR($B216="",M$7=""),"",IF($B216="MEANS",INDEX('1-DATA'!$1:$1048576,$A215-1,COLUMN('1-DATA'!L214)),ROUND(INDEX('1-DATA'!$1:$1048576,IF(OR($B216="STD. DEVIATION",$C$1=1),$A216,$A216+1),COLUMN('1-DATA'!L214)),IF($B216="STD. DEVIATION",2,$F$1))))</f>
        <v/>
      </c>
      <c r="N216" s="1" t="str">
        <f>IF(OR($B216="",N$7=""),"",IF($B216="MEANS",INDEX('1-DATA'!$1:$1048576,$A215-1,COLUMN('1-DATA'!M214)),ROUND(INDEX('1-DATA'!$1:$1048576,IF(OR($B216="STD. DEVIATION",$C$1=1),$A216,$A216+1),COLUMN('1-DATA'!M214)),IF($B216="STD. DEVIATION",2,$F$1))))</f>
        <v/>
      </c>
      <c r="O216" s="1" t="str">
        <f>IF(OR($B216="",O$7=""),"",IF($B216="MEANS",INDEX('1-DATA'!$1:$1048576,$A215-1,COLUMN('1-DATA'!N214)),ROUND(INDEX('1-DATA'!$1:$1048576,IF(OR($B216="STD. DEVIATION",$C$1=1),$A216,$A216+1),COLUMN('1-DATA'!N214)),IF($B216="STD. DEVIATION",2,$F$1))))</f>
        <v/>
      </c>
      <c r="P216" s="1" t="str">
        <f>IF(OR($B216="",P$7=""),"",IF($B216="MEANS",INDEX('1-DATA'!$1:$1048576,$A215-1,COLUMN('1-DATA'!O214)),ROUND(INDEX('1-DATA'!$1:$1048576,IF(OR($B216="STD. DEVIATION",$C$1=1),$A216,$A216+1),COLUMN('1-DATA'!O214)),IF($B216="STD. DEVIATION",2,$F$1))))</f>
        <v/>
      </c>
      <c r="Q216" s="1" t="str">
        <f>IF(OR($B216="",Q$7=""),"",IF($B216="MEANS",INDEX('1-DATA'!$1:$1048576,$A215-1,COLUMN('1-DATA'!P214)),ROUND(INDEX('1-DATA'!$1:$1048576,IF(OR($B216="STD. DEVIATION",$C$1=1),$A216,$A216+1),COLUMN('1-DATA'!P214)),IF($B216="STD. DEVIATION",2,$F$1))))</f>
        <v/>
      </c>
      <c r="R216" s="1" t="str">
        <f>IF(OR($B216="",R$7=""),"",IF($B216="MEANS",INDEX('1-DATA'!$1:$1048576,$A215-1,COLUMN('1-DATA'!Q214)),ROUND(INDEX('1-DATA'!$1:$1048576,IF(OR($B216="STD. DEVIATION",$C$1=1),$A216,$A216+1),COLUMN('1-DATA'!Q214)),IF($B216="STD. DEVIATION",2,$F$1))))</f>
        <v/>
      </c>
      <c r="S216" s="1" t="str">
        <f>IF(OR($B216="",S$7=""),"",IF($B216="MEANS",INDEX('1-DATA'!$1:$1048576,$A215-1,COLUMN('1-DATA'!R214)),ROUND(INDEX('1-DATA'!$1:$1048576,IF(OR($B216="STD. DEVIATION",$C$1=1),$A216,$A216+1),COLUMN('1-DATA'!R214)),IF($B216="STD. DEVIATION",2,$F$1))))</f>
        <v/>
      </c>
      <c r="T216" s="1" t="str">
        <f>IF(OR($B216="",T$7=""),"",IF($B216="MEANS",INDEX('1-DATA'!$1:$1048576,$A215-1,COLUMN('1-DATA'!S214)),ROUND(INDEX('1-DATA'!$1:$1048576,IF(OR($B216="STD. DEVIATION",$C$1=1),$A216,$A216+1),COLUMN('1-DATA'!S214)),IF($B216="STD. DEVIATION",2,$F$1))))</f>
        <v/>
      </c>
      <c r="U216" s="1" t="str">
        <f>IF(OR($B216="",U$7=""),"",IF($B216="MEANS",INDEX('1-DATA'!$1:$1048576,$A215-1,COLUMN('1-DATA'!T214)),ROUND(INDEX('1-DATA'!$1:$1048576,IF(OR($B216="STD. DEVIATION",$C$1=1),$A216,$A216+1),COLUMN('1-DATA'!T214)),IF($B216="STD. DEVIATION",2,$F$1))))</f>
        <v/>
      </c>
      <c r="V216" s="1" t="str">
        <f>IF(OR($B216="",V$7=""),"",IF($B216="MEANS",INDEX('1-DATA'!$1:$1048576,$A215-1,COLUMN('1-DATA'!U214)),ROUND(INDEX('1-DATA'!$1:$1048576,IF(OR($B216="STD. DEVIATION",$C$1=1),$A216,$A216+1),COLUMN('1-DATA'!U214)),IF($B216="STD. DEVIATION",2,$F$1))))</f>
        <v/>
      </c>
      <c r="W216" s="1" t="str">
        <f>IF(OR($B216="",W$7=""),"",IF($B216="MEANS",INDEX('1-DATA'!$1:$1048576,$A215-1,COLUMN('1-DATA'!V214)),ROUND(INDEX('1-DATA'!$1:$1048576,IF(OR($B216="STD. DEVIATION",$C$1=1),$A216,$A216+1),COLUMN('1-DATA'!V214)),IF($B216="STD. DEVIATION",2,$F$1))))</f>
        <v/>
      </c>
      <c r="X216" s="1" t="str">
        <f>IF(OR($B216="",X$7=""),"",IF($B216="MEANS",INDEX('1-DATA'!$1:$1048576,$A215-1,COLUMN('1-DATA'!W214)),ROUND(INDEX('1-DATA'!$1:$1048576,IF(OR($B216="STD. DEVIATION",$C$1=1),$A216,$A216+1),COLUMN('1-DATA'!W214)),IF($B216="STD. DEVIATION",2,$F$1))))</f>
        <v/>
      </c>
      <c r="Y216" s="1" t="str">
        <f>IF(OR($B216="",Y$7=""),"",IF($B216="MEANS",INDEX('1-DATA'!$1:$1048576,$A215-1,COLUMN('1-DATA'!X214)),ROUND(INDEX('1-DATA'!$1:$1048576,IF(OR($B216="STD. DEVIATION",$C$1=1),$A216,$A216+1),COLUMN('1-DATA'!X214)),IF($B216="STD. DEVIATION",2,$F$1))))</f>
        <v/>
      </c>
      <c r="Z216" s="1" t="str">
        <f>IF(OR($B216="",Z$7=""),"",IF($B216="MEANS",INDEX('1-DATA'!$1:$1048576,$A215-1,COLUMN('1-DATA'!Y214)),ROUND(INDEX('1-DATA'!$1:$1048576,IF(OR($B216="STD. DEVIATION",$C$1=1),$A216,$A216+1),COLUMN('1-DATA'!Y214)),IF($B216="STD. DEVIATION",2,$F$1))))</f>
        <v/>
      </c>
      <c r="AA216" s="1" t="str">
        <f>IF(OR($B216="",AA$7=""),"",IF($B216="MEANS",INDEX('1-DATA'!$1:$1048576,$A215-1,COLUMN('1-DATA'!Z214)),ROUND(INDEX('1-DATA'!$1:$1048576,IF(OR($B216="STD. DEVIATION",$C$1=1),$A216,$A216+1),COLUMN('1-DATA'!Z214)),IF($B216="STD. DEVIATION",2,$F$1))))</f>
        <v/>
      </c>
      <c r="AB216" s="1" t="str">
        <f>IF(OR($B216="",AB$7=""),"",IF($B216="MEANS",INDEX('1-DATA'!$1:$1048576,$A215-1,COLUMN('1-DATA'!AA214)),ROUND(INDEX('1-DATA'!$1:$1048576,IF(OR($B216="STD. DEVIATION",$C$1=1),$A216,$A216+1),COLUMN('1-DATA'!AA214)),IF($B216="STD. DEVIATION",2,$F$1))))</f>
        <v/>
      </c>
      <c r="AC216" s="1" t="str">
        <f>IF(OR($B216="",AC$7=""),"",IF($B216="MEANS",INDEX('1-DATA'!$1:$1048576,$A215-1,COLUMN('1-DATA'!AB214)),ROUND(INDEX('1-DATA'!$1:$1048576,IF(OR($B216="STD. DEVIATION",$C$1=1),$A216,$A216+1),COLUMN('1-DATA'!AB214)),IF($B216="STD. DEVIATION",2,$F$1))))</f>
        <v/>
      </c>
      <c r="AD216" s="1" t="str">
        <f>IF(OR($B216="",AD$7=""),"",IF($B216="MEANS",INDEX('1-DATA'!$1:$1048576,$A215-1,COLUMN('1-DATA'!AC214)),ROUND(INDEX('1-DATA'!$1:$1048576,IF(OR($B216="STD. DEVIATION",$C$1=1),$A216,$A216+1),COLUMN('1-DATA'!AC214)),IF($B216="STD. DEVIATION",2,$F$1))))</f>
        <v/>
      </c>
      <c r="AE216" s="1" t="str">
        <f>IF(OR($B216="",AE$7=""),"",IF($B216="MEANS",INDEX('1-DATA'!$1:$1048576,$A215-1,COLUMN('1-DATA'!AD214)),ROUND(INDEX('1-DATA'!$1:$1048576,IF(OR($B216="STD. DEVIATION",$C$1=1),$A216,$A216+1),COLUMN('1-DATA'!AD214)),IF($B216="STD. DEVIATION",2,$F$1))))</f>
        <v/>
      </c>
      <c r="AF216" s="1" t="str">
        <f>IF(OR($B216="",AF$7=""),"",IF($B216="MEANS",INDEX('1-DATA'!$1:$1048576,$A215-1,COLUMN('1-DATA'!AE214)),ROUND(INDEX('1-DATA'!$1:$1048576,IF(OR($B216="STD. DEVIATION",$C$1=1),$A216,$A216+1),COLUMN('1-DATA'!AE214)),IF($B216="STD. DEVIATION",2,$F$1))))</f>
        <v/>
      </c>
      <c r="AG216" s="1" t="str">
        <f>IF(OR($B216="",AG$7=""),"",IF($B216="MEANS",INDEX('1-DATA'!$1:$1048576,$A215-1,COLUMN('1-DATA'!AF214)),ROUND(INDEX('1-DATA'!$1:$1048576,IF(OR($B216="STD. DEVIATION",$C$1=1),$A216,$A216+1),COLUMN('1-DATA'!AF214)),IF($B216="STD. DEVIATION",2,$F$1))))</f>
        <v/>
      </c>
      <c r="AH216" s="1" t="str">
        <f>IF(OR($B216="",AH$7=""),"",IF($B216="MEANS",INDEX('1-DATA'!$1:$1048576,$A215-1,COLUMN('1-DATA'!AG214)),ROUND(INDEX('1-DATA'!$1:$1048576,IF(OR($B216="STD. DEVIATION",$C$1=1),$A216,$A216+1),COLUMN('1-DATA'!AG214)),IF($B216="STD. DEVIATION",2,$F$1))))</f>
        <v/>
      </c>
      <c r="AI216" s="1" t="str">
        <f>IF(OR($B216="",AI$7=""),"",IF($B216="MEANS",INDEX('1-DATA'!$1:$1048576,$A215-1,COLUMN('1-DATA'!AH214)),ROUND(INDEX('1-DATA'!$1:$1048576,IF(OR($B216="STD. DEVIATION",$C$1=1),$A216,$A216+1),COLUMN('1-DATA'!AH214)),IF($B216="STD. DEVIATION",2,$F$1))))</f>
        <v/>
      </c>
      <c r="AJ216" s="1" t="str">
        <f>IF(OR($B216="",AJ$7=""),"",IF($B216="MEANS",INDEX('1-DATA'!$1:$1048576,$A215-1,COLUMN('1-DATA'!AI214)),ROUND(INDEX('1-DATA'!$1:$1048576,IF(OR($B216="STD. DEVIATION",$C$1=1),$A216,$A216+1),COLUMN('1-DATA'!AI214)),IF($B216="STD. DEVIATION",2,$F$1))))</f>
        <v/>
      </c>
      <c r="AK216" s="1" t="str">
        <f>IF(OR($B216="",AK$7=""),"",IF($B216="MEANS",INDEX('1-DATA'!$1:$1048576,$A215-1,COLUMN('1-DATA'!AJ214)),ROUND(INDEX('1-DATA'!$1:$1048576,IF(OR($B216="STD. DEVIATION",$C$1=1),$A216,$A216+1),COLUMN('1-DATA'!AJ214)),IF($B216="STD. DEVIATION",2,$F$1))))</f>
        <v/>
      </c>
      <c r="AL216" s="1" t="str">
        <f>IF(OR($B216="",AL$7=""),"",IF($B216="MEANS",INDEX('1-DATA'!$1:$1048576,$A215-1,COLUMN('1-DATA'!AK214)),ROUND(INDEX('1-DATA'!$1:$1048576,IF(OR($B216="STD. DEVIATION",$C$1=1),$A216,$A216+1),COLUMN('1-DATA'!AK214)),IF($B216="STD. DEVIATION",2,$F$1))))</f>
        <v/>
      </c>
      <c r="AM216" s="1" t="str">
        <f>IF(OR($B216="",AM$7=""),"",IF($B216="MEANS",INDEX('1-DATA'!$1:$1048576,$A215-1,COLUMN('1-DATA'!AL214)),ROUND(INDEX('1-DATA'!$1:$1048576,IF(OR($B216="STD. DEVIATION",$C$1=1),$A216,$A216+1),COLUMN('1-DATA'!AL214)),IF($B216="STD. DEVIATION",2,$F$1))))</f>
        <v/>
      </c>
      <c r="AN216" s="1" t="str">
        <f>IF(OR($B216="",AN$7=""),"",IF($B216="MEANS",INDEX('1-DATA'!$1:$1048576,$A215-1,COLUMN('1-DATA'!AM214)),ROUND(INDEX('1-DATA'!$1:$1048576,IF(OR($B216="STD. DEVIATION",$C$1=1),$A216,$A216+1),COLUMN('1-DATA'!AM214)),IF($B216="STD. DEVIATION",2,$F$1))))</f>
        <v/>
      </c>
      <c r="AO216" s="1" t="str">
        <f>IF(OR($B216="",AO$7=""),"",IF($B216="MEANS",INDEX('1-DATA'!$1:$1048576,$A215-1,COLUMN('1-DATA'!AN214)),ROUND(INDEX('1-DATA'!$1:$1048576,IF(OR($B216="STD. DEVIATION",$C$1=1),$A216,$A216+1),COLUMN('1-DATA'!AN214)),IF($B216="STD. DEVIATION",2,$F$1))))</f>
        <v/>
      </c>
      <c r="AP216" s="1" t="str">
        <f>IF(OR($B216="",AP$7=""),"",IF($B216="MEANS",INDEX('1-DATA'!$1:$1048576,$A215-1,COLUMN('1-DATA'!AO214)),ROUND(INDEX('1-DATA'!$1:$1048576,IF(OR($B216="STD. DEVIATION",$C$1=1),$A216,$A216+1),COLUMN('1-DATA'!AO214)),IF($B216="STD. DEVIATION",2,$F$1))))</f>
        <v/>
      </c>
      <c r="AQ216" s="1" t="str">
        <f>IF(OR($B216="",AQ$7=""),"",IF($B216="MEANS",INDEX('1-DATA'!$1:$1048576,$A215-1,COLUMN('1-DATA'!AP214)),ROUND(INDEX('1-DATA'!$1:$1048576,IF(OR($B216="STD. DEVIATION",$C$1=1),$A216,$A216+1),COLUMN('1-DATA'!AP214)),IF($B216="STD. DEVIATION",2,$F$1))))</f>
        <v/>
      </c>
      <c r="AR216" s="1" t="str">
        <f>IF(OR($B216="",AR$7=""),"",IF($B216="MEANS",INDEX('1-DATA'!$1:$1048576,$A215-1,COLUMN('1-DATA'!AQ214)),ROUND(INDEX('1-DATA'!$1:$1048576,IF(OR($B216="STD. DEVIATION",$C$1=1),$A216,$A216+1),COLUMN('1-DATA'!AQ214)),IF($B216="STD. DEVIATION",2,$F$1))))</f>
        <v/>
      </c>
      <c r="AS216" s="1" t="str">
        <f>IF(OR($B216="",AS$7=""),"",IF($B216="MEANS",INDEX('1-DATA'!$1:$1048576,$A215-1,COLUMN('1-DATA'!AR214)),ROUND(INDEX('1-DATA'!$1:$1048576,IF(OR($B216="STD. DEVIATION",$C$1=1),$A216,$A216+1),COLUMN('1-DATA'!AR214)),IF($B216="STD. DEVIATION",2,$F$1))))</f>
        <v/>
      </c>
      <c r="AT216" s="1" t="str">
        <f>IF(OR($B216="",AT$7=""),"",IF($B216="MEANS",INDEX('1-DATA'!$1:$1048576,$A215-1,COLUMN('1-DATA'!AS214)),ROUND(INDEX('1-DATA'!$1:$1048576,IF(OR($B216="STD. DEVIATION",$C$1=1),$A216,$A216+1),COLUMN('1-DATA'!AS214)),IF($B216="STD. DEVIATION",2,$F$1))))</f>
        <v/>
      </c>
      <c r="AU216" s="1" t="str">
        <f>IF(OR($B216="",AU$7=""),"",IF($B216="MEANS",INDEX('1-DATA'!$1:$1048576,$A215-1,COLUMN('1-DATA'!AT214)),ROUND(INDEX('1-DATA'!$1:$1048576,IF(OR($B216="STD. DEVIATION",$C$1=1),$A216,$A216+1),COLUMN('1-DATA'!AT214)),IF($B216="STD. DEVIATION",2,$F$1))))</f>
        <v/>
      </c>
      <c r="AV216" s="1" t="str">
        <f>IF(OR($B216="",AV$7=""),"",IF($B216="MEANS",INDEX('1-DATA'!$1:$1048576,$A215-1,COLUMN('1-DATA'!AU214)),ROUND(INDEX('1-DATA'!$1:$1048576,IF(OR($B216="STD. DEVIATION",$C$1=1),$A216,$A216+1),COLUMN('1-DATA'!AU214)),IF($B216="STD. DEVIATION",2,$F$1))))</f>
        <v/>
      </c>
      <c r="AW216" s="1" t="str">
        <f>IF(OR($B216="",AW$7=""),"",IF($B216="MEANS",INDEX('1-DATA'!$1:$1048576,$A215-1,COLUMN('1-DATA'!AV214)),ROUND(INDEX('1-DATA'!$1:$1048576,IF(OR($B216="STD. DEVIATION",$C$1=1),$A216,$A216+1),COLUMN('1-DATA'!AV214)),IF($B216="STD. DEVIATION",2,$F$1))))</f>
        <v/>
      </c>
      <c r="AX216" s="1" t="str">
        <f>IF(OR($B216="",AX$7=""),"",IF($B216="MEANS",INDEX('1-DATA'!$1:$1048576,$A215-1,COLUMN('1-DATA'!AW214)),ROUND(INDEX('1-DATA'!$1:$1048576,IF(OR($B216="STD. DEVIATION",$C$1=1),$A216,$A216+1),COLUMN('1-DATA'!AW214)),IF($B216="STD. DEVIATION",2,$F$1))))</f>
        <v/>
      </c>
      <c r="AY216" s="1" t="str">
        <f>IF(OR($B216="",AY$7=""),"",IF($B216="MEANS",INDEX('1-DATA'!$1:$1048576,$A215-1,COLUMN('1-DATA'!AX214)),ROUND(INDEX('1-DATA'!$1:$1048576,IF(OR($B216="STD. DEVIATION",$C$1=1),$A216,$A216+1),COLUMN('1-DATA'!AX214)),IF($B216="STD. DEVIATION",2,$F$1))))</f>
        <v/>
      </c>
      <c r="AZ216" s="1" t="str">
        <f>IF(OR($B216="",AZ$7=""),"",IF($B216="MEANS",INDEX('1-DATA'!$1:$1048576,$A215-1,COLUMN('1-DATA'!AY214)),ROUND(INDEX('1-DATA'!$1:$1048576,IF(OR($B216="STD. DEVIATION",$C$1=1),$A216,$A216+1),COLUMN('1-DATA'!AY214)),IF($B216="STD. DEVIATION",2,$F$1))))</f>
        <v/>
      </c>
    </row>
    <row r="217" spans="1:52" x14ac:dyDescent="0.25">
      <c r="A217" s="11">
        <f t="shared" si="3"/>
        <v>637</v>
      </c>
      <c r="B217" s="1" t="str">
        <f>IF(B216="STD. DEVIATION",INDEX('1-DATA'!$1:$1048576,$A216-1,1),IF(INDEX('1-DATA'!$1:$1048576,$A217,1)&lt;&gt;"",INDEX('1-DATA'!$1:$1048576,$A217,1),""))</f>
        <v/>
      </c>
      <c r="C217" s="1" t="str">
        <f>IF(OR($B217="",C$7=""),"",IF($B217="MEANS",INDEX('1-DATA'!$1:$1048576,$A216-1,COLUMN('1-DATA'!B215)),ROUND(INDEX('1-DATA'!$1:$1048576,IF(OR($B217="STD. DEVIATION",$C$1=1),$A217,$A217+1),COLUMN('1-DATA'!B215)),IF($B217="STD. DEVIATION",2,$F$1))))</f>
        <v/>
      </c>
      <c r="D217" s="1" t="str">
        <f>IF(OR($B217="",D$7=""),"",IF($B217="MEANS",INDEX('1-DATA'!$1:$1048576,$A216-1,COLUMN('1-DATA'!C215)),ROUND(INDEX('1-DATA'!$1:$1048576,IF(OR($B217="STD. DEVIATION",$C$1=1),$A217,$A217+1),COLUMN('1-DATA'!C215)),IF($B217="STD. DEVIATION",2,$F$1))))</f>
        <v/>
      </c>
      <c r="E217" s="1" t="str">
        <f>IF(OR($B217="",E$7=""),"",IF($B217="MEANS",INDEX('1-DATA'!$1:$1048576,$A216-1,COLUMN('1-DATA'!D215)),ROUND(INDEX('1-DATA'!$1:$1048576,IF(OR($B217="STD. DEVIATION",$C$1=1),$A217,$A217+1),COLUMN('1-DATA'!D215)),IF($B217="STD. DEVIATION",2,$F$1))))</f>
        <v/>
      </c>
      <c r="F217" s="1" t="str">
        <f>IF(OR($B217="",F$7=""),"",IF($B217="MEANS",INDEX('1-DATA'!$1:$1048576,$A216-1,COLUMN('1-DATA'!E215)),ROUND(INDEX('1-DATA'!$1:$1048576,IF(OR($B217="STD. DEVIATION",$C$1=1),$A217,$A217+1),COLUMN('1-DATA'!E215)),IF($B217="STD. DEVIATION",2,$F$1))))</f>
        <v/>
      </c>
      <c r="G217" s="1" t="str">
        <f>IF(OR($B217="",G$7=""),"",IF($B217="MEANS",INDEX('1-DATA'!$1:$1048576,$A216-1,COLUMN('1-DATA'!F215)),ROUND(INDEX('1-DATA'!$1:$1048576,IF(OR($B217="STD. DEVIATION",$C$1=1),$A217,$A217+1),COLUMN('1-DATA'!F215)),IF($B217="STD. DEVIATION",2,$F$1))))</f>
        <v/>
      </c>
      <c r="H217" s="1" t="str">
        <f>IF(OR($B217="",H$7=""),"",IF($B217="MEANS",INDEX('1-DATA'!$1:$1048576,$A216-1,COLUMN('1-DATA'!G215)),ROUND(INDEX('1-DATA'!$1:$1048576,IF(OR($B217="STD. DEVIATION",$C$1=1),$A217,$A217+1),COLUMN('1-DATA'!G215)),IF($B217="STD. DEVIATION",2,$F$1))))</f>
        <v/>
      </c>
      <c r="I217" s="1" t="str">
        <f>IF(OR($B217="",I$7=""),"",IF($B217="MEANS",INDEX('1-DATA'!$1:$1048576,$A216-1,COLUMN('1-DATA'!H215)),ROUND(INDEX('1-DATA'!$1:$1048576,IF(OR($B217="STD. DEVIATION",$C$1=1),$A217,$A217+1),COLUMN('1-DATA'!H215)),IF($B217="STD. DEVIATION",2,$F$1))))</f>
        <v/>
      </c>
      <c r="J217" s="1" t="str">
        <f>IF(OR($B217="",J$7=""),"",IF($B217="MEANS",INDEX('1-DATA'!$1:$1048576,$A216-1,COLUMN('1-DATA'!I215)),ROUND(INDEX('1-DATA'!$1:$1048576,IF(OR($B217="STD. DEVIATION",$C$1=1),$A217,$A217+1),COLUMN('1-DATA'!I215)),IF($B217="STD. DEVIATION",2,$F$1))))</f>
        <v/>
      </c>
      <c r="K217" s="1" t="str">
        <f>IF(OR($B217="",K$7=""),"",IF($B217="MEANS",INDEX('1-DATA'!$1:$1048576,$A216-1,COLUMN('1-DATA'!J215)),ROUND(INDEX('1-DATA'!$1:$1048576,IF(OR($B217="STD. DEVIATION",$C$1=1),$A217,$A217+1),COLUMN('1-DATA'!J215)),IF($B217="STD. DEVIATION",2,$F$1))))</f>
        <v/>
      </c>
      <c r="L217" s="1" t="str">
        <f>IF(OR($B217="",L$7=""),"",IF($B217="MEANS",INDEX('1-DATA'!$1:$1048576,$A216-1,COLUMN('1-DATA'!K215)),ROUND(INDEX('1-DATA'!$1:$1048576,IF(OR($B217="STD. DEVIATION",$C$1=1),$A217,$A217+1),COLUMN('1-DATA'!K215)),IF($B217="STD. DEVIATION",2,$F$1))))</f>
        <v/>
      </c>
      <c r="M217" s="1" t="str">
        <f>IF(OR($B217="",M$7=""),"",IF($B217="MEANS",INDEX('1-DATA'!$1:$1048576,$A216-1,COLUMN('1-DATA'!L215)),ROUND(INDEX('1-DATA'!$1:$1048576,IF(OR($B217="STD. DEVIATION",$C$1=1),$A217,$A217+1),COLUMN('1-DATA'!L215)),IF($B217="STD. DEVIATION",2,$F$1))))</f>
        <v/>
      </c>
      <c r="N217" s="1" t="str">
        <f>IF(OR($B217="",N$7=""),"",IF($B217="MEANS",INDEX('1-DATA'!$1:$1048576,$A216-1,COLUMN('1-DATA'!M215)),ROUND(INDEX('1-DATA'!$1:$1048576,IF(OR($B217="STD. DEVIATION",$C$1=1),$A217,$A217+1),COLUMN('1-DATA'!M215)),IF($B217="STD. DEVIATION",2,$F$1))))</f>
        <v/>
      </c>
      <c r="O217" s="1" t="str">
        <f>IF(OR($B217="",O$7=""),"",IF($B217="MEANS",INDEX('1-DATA'!$1:$1048576,$A216-1,COLUMN('1-DATA'!N215)),ROUND(INDEX('1-DATA'!$1:$1048576,IF(OR($B217="STD. DEVIATION",$C$1=1),$A217,$A217+1),COLUMN('1-DATA'!N215)),IF($B217="STD. DEVIATION",2,$F$1))))</f>
        <v/>
      </c>
      <c r="P217" s="1" t="str">
        <f>IF(OR($B217="",P$7=""),"",IF($B217="MEANS",INDEX('1-DATA'!$1:$1048576,$A216-1,COLUMN('1-DATA'!O215)),ROUND(INDEX('1-DATA'!$1:$1048576,IF(OR($B217="STD. DEVIATION",$C$1=1),$A217,$A217+1),COLUMN('1-DATA'!O215)),IF($B217="STD. DEVIATION",2,$F$1))))</f>
        <v/>
      </c>
      <c r="Q217" s="1" t="str">
        <f>IF(OR($B217="",Q$7=""),"",IF($B217="MEANS",INDEX('1-DATA'!$1:$1048576,$A216-1,COLUMN('1-DATA'!P215)),ROUND(INDEX('1-DATA'!$1:$1048576,IF(OR($B217="STD. DEVIATION",$C$1=1),$A217,$A217+1),COLUMN('1-DATA'!P215)),IF($B217="STD. DEVIATION",2,$F$1))))</f>
        <v/>
      </c>
      <c r="R217" s="1" t="str">
        <f>IF(OR($B217="",R$7=""),"",IF($B217="MEANS",INDEX('1-DATA'!$1:$1048576,$A216-1,COLUMN('1-DATA'!Q215)),ROUND(INDEX('1-DATA'!$1:$1048576,IF(OR($B217="STD. DEVIATION",$C$1=1),$A217,$A217+1),COLUMN('1-DATA'!Q215)),IF($B217="STD. DEVIATION",2,$F$1))))</f>
        <v/>
      </c>
      <c r="S217" s="1" t="str">
        <f>IF(OR($B217="",S$7=""),"",IF($B217="MEANS",INDEX('1-DATA'!$1:$1048576,$A216-1,COLUMN('1-DATA'!R215)),ROUND(INDEX('1-DATA'!$1:$1048576,IF(OR($B217="STD. DEVIATION",$C$1=1),$A217,$A217+1),COLUMN('1-DATA'!R215)),IF($B217="STD. DEVIATION",2,$F$1))))</f>
        <v/>
      </c>
      <c r="T217" s="1" t="str">
        <f>IF(OR($B217="",T$7=""),"",IF($B217="MEANS",INDEX('1-DATA'!$1:$1048576,$A216-1,COLUMN('1-DATA'!S215)),ROUND(INDEX('1-DATA'!$1:$1048576,IF(OR($B217="STD. DEVIATION",$C$1=1),$A217,$A217+1),COLUMN('1-DATA'!S215)),IF($B217="STD. DEVIATION",2,$F$1))))</f>
        <v/>
      </c>
      <c r="U217" s="1" t="str">
        <f>IF(OR($B217="",U$7=""),"",IF($B217="MEANS",INDEX('1-DATA'!$1:$1048576,$A216-1,COLUMN('1-DATA'!T215)),ROUND(INDEX('1-DATA'!$1:$1048576,IF(OR($B217="STD. DEVIATION",$C$1=1),$A217,$A217+1),COLUMN('1-DATA'!T215)),IF($B217="STD. DEVIATION",2,$F$1))))</f>
        <v/>
      </c>
      <c r="V217" s="1" t="str">
        <f>IF(OR($B217="",V$7=""),"",IF($B217="MEANS",INDEX('1-DATA'!$1:$1048576,$A216-1,COLUMN('1-DATA'!U215)),ROUND(INDEX('1-DATA'!$1:$1048576,IF(OR($B217="STD. DEVIATION",$C$1=1),$A217,$A217+1),COLUMN('1-DATA'!U215)),IF($B217="STD. DEVIATION",2,$F$1))))</f>
        <v/>
      </c>
      <c r="W217" s="1" t="str">
        <f>IF(OR($B217="",W$7=""),"",IF($B217="MEANS",INDEX('1-DATA'!$1:$1048576,$A216-1,COLUMN('1-DATA'!V215)),ROUND(INDEX('1-DATA'!$1:$1048576,IF(OR($B217="STD. DEVIATION",$C$1=1),$A217,$A217+1),COLUMN('1-DATA'!V215)),IF($B217="STD. DEVIATION",2,$F$1))))</f>
        <v/>
      </c>
      <c r="X217" s="1" t="str">
        <f>IF(OR($B217="",X$7=""),"",IF($B217="MEANS",INDEX('1-DATA'!$1:$1048576,$A216-1,COLUMN('1-DATA'!W215)),ROUND(INDEX('1-DATA'!$1:$1048576,IF(OR($B217="STD. DEVIATION",$C$1=1),$A217,$A217+1),COLUMN('1-DATA'!W215)),IF($B217="STD. DEVIATION",2,$F$1))))</f>
        <v/>
      </c>
      <c r="Y217" s="1" t="str">
        <f>IF(OR($B217="",Y$7=""),"",IF($B217="MEANS",INDEX('1-DATA'!$1:$1048576,$A216-1,COLUMN('1-DATA'!X215)),ROUND(INDEX('1-DATA'!$1:$1048576,IF(OR($B217="STD. DEVIATION",$C$1=1),$A217,$A217+1),COLUMN('1-DATA'!X215)),IF($B217="STD. DEVIATION",2,$F$1))))</f>
        <v/>
      </c>
      <c r="Z217" s="1" t="str">
        <f>IF(OR($B217="",Z$7=""),"",IF($B217="MEANS",INDEX('1-DATA'!$1:$1048576,$A216-1,COLUMN('1-DATA'!Y215)),ROUND(INDEX('1-DATA'!$1:$1048576,IF(OR($B217="STD. DEVIATION",$C$1=1),$A217,$A217+1),COLUMN('1-DATA'!Y215)),IF($B217="STD. DEVIATION",2,$F$1))))</f>
        <v/>
      </c>
      <c r="AA217" s="1" t="str">
        <f>IF(OR($B217="",AA$7=""),"",IF($B217="MEANS",INDEX('1-DATA'!$1:$1048576,$A216-1,COLUMN('1-DATA'!Z215)),ROUND(INDEX('1-DATA'!$1:$1048576,IF(OR($B217="STD. DEVIATION",$C$1=1),$A217,$A217+1),COLUMN('1-DATA'!Z215)),IF($B217="STD. DEVIATION",2,$F$1))))</f>
        <v/>
      </c>
      <c r="AB217" s="1" t="str">
        <f>IF(OR($B217="",AB$7=""),"",IF($B217="MEANS",INDEX('1-DATA'!$1:$1048576,$A216-1,COLUMN('1-DATA'!AA215)),ROUND(INDEX('1-DATA'!$1:$1048576,IF(OR($B217="STD. DEVIATION",$C$1=1),$A217,$A217+1),COLUMN('1-DATA'!AA215)),IF($B217="STD. DEVIATION",2,$F$1))))</f>
        <v/>
      </c>
      <c r="AC217" s="1" t="str">
        <f>IF(OR($B217="",AC$7=""),"",IF($B217="MEANS",INDEX('1-DATA'!$1:$1048576,$A216-1,COLUMN('1-DATA'!AB215)),ROUND(INDEX('1-DATA'!$1:$1048576,IF(OR($B217="STD. DEVIATION",$C$1=1),$A217,$A217+1),COLUMN('1-DATA'!AB215)),IF($B217="STD. DEVIATION",2,$F$1))))</f>
        <v/>
      </c>
      <c r="AD217" s="1" t="str">
        <f>IF(OR($B217="",AD$7=""),"",IF($B217="MEANS",INDEX('1-DATA'!$1:$1048576,$A216-1,COLUMN('1-DATA'!AC215)),ROUND(INDEX('1-DATA'!$1:$1048576,IF(OR($B217="STD. DEVIATION",$C$1=1),$A217,$A217+1),COLUMN('1-DATA'!AC215)),IF($B217="STD. DEVIATION",2,$F$1))))</f>
        <v/>
      </c>
      <c r="AE217" s="1" t="str">
        <f>IF(OR($B217="",AE$7=""),"",IF($B217="MEANS",INDEX('1-DATA'!$1:$1048576,$A216-1,COLUMN('1-DATA'!AD215)),ROUND(INDEX('1-DATA'!$1:$1048576,IF(OR($B217="STD. DEVIATION",$C$1=1),$A217,$A217+1),COLUMN('1-DATA'!AD215)),IF($B217="STD. DEVIATION",2,$F$1))))</f>
        <v/>
      </c>
      <c r="AF217" s="1" t="str">
        <f>IF(OR($B217="",AF$7=""),"",IF($B217="MEANS",INDEX('1-DATA'!$1:$1048576,$A216-1,COLUMN('1-DATA'!AE215)),ROUND(INDEX('1-DATA'!$1:$1048576,IF(OR($B217="STD. DEVIATION",$C$1=1),$A217,$A217+1),COLUMN('1-DATA'!AE215)),IF($B217="STD. DEVIATION",2,$F$1))))</f>
        <v/>
      </c>
      <c r="AG217" s="1" t="str">
        <f>IF(OR($B217="",AG$7=""),"",IF($B217="MEANS",INDEX('1-DATA'!$1:$1048576,$A216-1,COLUMN('1-DATA'!AF215)),ROUND(INDEX('1-DATA'!$1:$1048576,IF(OR($B217="STD. DEVIATION",$C$1=1),$A217,$A217+1),COLUMN('1-DATA'!AF215)),IF($B217="STD. DEVIATION",2,$F$1))))</f>
        <v/>
      </c>
      <c r="AH217" s="1" t="str">
        <f>IF(OR($B217="",AH$7=""),"",IF($B217="MEANS",INDEX('1-DATA'!$1:$1048576,$A216-1,COLUMN('1-DATA'!AG215)),ROUND(INDEX('1-DATA'!$1:$1048576,IF(OR($B217="STD. DEVIATION",$C$1=1),$A217,$A217+1),COLUMN('1-DATA'!AG215)),IF($B217="STD. DEVIATION",2,$F$1))))</f>
        <v/>
      </c>
      <c r="AI217" s="1" t="str">
        <f>IF(OR($B217="",AI$7=""),"",IF($B217="MEANS",INDEX('1-DATA'!$1:$1048576,$A216-1,COLUMN('1-DATA'!AH215)),ROUND(INDEX('1-DATA'!$1:$1048576,IF(OR($B217="STD. DEVIATION",$C$1=1),$A217,$A217+1),COLUMN('1-DATA'!AH215)),IF($B217="STD. DEVIATION",2,$F$1))))</f>
        <v/>
      </c>
      <c r="AJ217" s="1" t="str">
        <f>IF(OR($B217="",AJ$7=""),"",IF($B217="MEANS",INDEX('1-DATA'!$1:$1048576,$A216-1,COLUMN('1-DATA'!AI215)),ROUND(INDEX('1-DATA'!$1:$1048576,IF(OR($B217="STD. DEVIATION",$C$1=1),$A217,$A217+1),COLUMN('1-DATA'!AI215)),IF($B217="STD. DEVIATION",2,$F$1))))</f>
        <v/>
      </c>
      <c r="AK217" s="1" t="str">
        <f>IF(OR($B217="",AK$7=""),"",IF($B217="MEANS",INDEX('1-DATA'!$1:$1048576,$A216-1,COLUMN('1-DATA'!AJ215)),ROUND(INDEX('1-DATA'!$1:$1048576,IF(OR($B217="STD. DEVIATION",$C$1=1),$A217,$A217+1),COLUMN('1-DATA'!AJ215)),IF($B217="STD. DEVIATION",2,$F$1))))</f>
        <v/>
      </c>
      <c r="AL217" s="1" t="str">
        <f>IF(OR($B217="",AL$7=""),"",IF($B217="MEANS",INDEX('1-DATA'!$1:$1048576,$A216-1,COLUMN('1-DATA'!AK215)),ROUND(INDEX('1-DATA'!$1:$1048576,IF(OR($B217="STD. DEVIATION",$C$1=1),$A217,$A217+1),COLUMN('1-DATA'!AK215)),IF($B217="STD. DEVIATION",2,$F$1))))</f>
        <v/>
      </c>
      <c r="AM217" s="1" t="str">
        <f>IF(OR($B217="",AM$7=""),"",IF($B217="MEANS",INDEX('1-DATA'!$1:$1048576,$A216-1,COLUMN('1-DATA'!AL215)),ROUND(INDEX('1-DATA'!$1:$1048576,IF(OR($B217="STD. DEVIATION",$C$1=1),$A217,$A217+1),COLUMN('1-DATA'!AL215)),IF($B217="STD. DEVIATION",2,$F$1))))</f>
        <v/>
      </c>
      <c r="AN217" s="1" t="str">
        <f>IF(OR($B217="",AN$7=""),"",IF($B217="MEANS",INDEX('1-DATA'!$1:$1048576,$A216-1,COLUMN('1-DATA'!AM215)),ROUND(INDEX('1-DATA'!$1:$1048576,IF(OR($B217="STD. DEVIATION",$C$1=1),$A217,$A217+1),COLUMN('1-DATA'!AM215)),IF($B217="STD. DEVIATION",2,$F$1))))</f>
        <v/>
      </c>
      <c r="AO217" s="1" t="str">
        <f>IF(OR($B217="",AO$7=""),"",IF($B217="MEANS",INDEX('1-DATA'!$1:$1048576,$A216-1,COLUMN('1-DATA'!AN215)),ROUND(INDEX('1-DATA'!$1:$1048576,IF(OR($B217="STD. DEVIATION",$C$1=1),$A217,$A217+1),COLUMN('1-DATA'!AN215)),IF($B217="STD. DEVIATION",2,$F$1))))</f>
        <v/>
      </c>
      <c r="AP217" s="1" t="str">
        <f>IF(OR($B217="",AP$7=""),"",IF($B217="MEANS",INDEX('1-DATA'!$1:$1048576,$A216-1,COLUMN('1-DATA'!AO215)),ROUND(INDEX('1-DATA'!$1:$1048576,IF(OR($B217="STD. DEVIATION",$C$1=1),$A217,$A217+1),COLUMN('1-DATA'!AO215)),IF($B217="STD. DEVIATION",2,$F$1))))</f>
        <v/>
      </c>
      <c r="AQ217" s="1" t="str">
        <f>IF(OR($B217="",AQ$7=""),"",IF($B217="MEANS",INDEX('1-DATA'!$1:$1048576,$A216-1,COLUMN('1-DATA'!AP215)),ROUND(INDEX('1-DATA'!$1:$1048576,IF(OR($B217="STD. DEVIATION",$C$1=1),$A217,$A217+1),COLUMN('1-DATA'!AP215)),IF($B217="STD. DEVIATION",2,$F$1))))</f>
        <v/>
      </c>
      <c r="AR217" s="1" t="str">
        <f>IF(OR($B217="",AR$7=""),"",IF($B217="MEANS",INDEX('1-DATA'!$1:$1048576,$A216-1,COLUMN('1-DATA'!AQ215)),ROUND(INDEX('1-DATA'!$1:$1048576,IF(OR($B217="STD. DEVIATION",$C$1=1),$A217,$A217+1),COLUMN('1-DATA'!AQ215)),IF($B217="STD. DEVIATION",2,$F$1))))</f>
        <v/>
      </c>
      <c r="AS217" s="1" t="str">
        <f>IF(OR($B217="",AS$7=""),"",IF($B217="MEANS",INDEX('1-DATA'!$1:$1048576,$A216-1,COLUMN('1-DATA'!AR215)),ROUND(INDEX('1-DATA'!$1:$1048576,IF(OR($B217="STD. DEVIATION",$C$1=1),$A217,$A217+1),COLUMN('1-DATA'!AR215)),IF($B217="STD. DEVIATION",2,$F$1))))</f>
        <v/>
      </c>
      <c r="AT217" s="1" t="str">
        <f>IF(OR($B217="",AT$7=""),"",IF($B217="MEANS",INDEX('1-DATA'!$1:$1048576,$A216-1,COLUMN('1-DATA'!AS215)),ROUND(INDEX('1-DATA'!$1:$1048576,IF(OR($B217="STD. DEVIATION",$C$1=1),$A217,$A217+1),COLUMN('1-DATA'!AS215)),IF($B217="STD. DEVIATION",2,$F$1))))</f>
        <v/>
      </c>
      <c r="AU217" s="1" t="str">
        <f>IF(OR($B217="",AU$7=""),"",IF($B217="MEANS",INDEX('1-DATA'!$1:$1048576,$A216-1,COLUMN('1-DATA'!AT215)),ROUND(INDEX('1-DATA'!$1:$1048576,IF(OR($B217="STD. DEVIATION",$C$1=1),$A217,$A217+1),COLUMN('1-DATA'!AT215)),IF($B217="STD. DEVIATION",2,$F$1))))</f>
        <v/>
      </c>
      <c r="AV217" s="1" t="str">
        <f>IF(OR($B217="",AV$7=""),"",IF($B217="MEANS",INDEX('1-DATA'!$1:$1048576,$A216-1,COLUMN('1-DATA'!AU215)),ROUND(INDEX('1-DATA'!$1:$1048576,IF(OR($B217="STD. DEVIATION",$C$1=1),$A217,$A217+1),COLUMN('1-DATA'!AU215)),IF($B217="STD. DEVIATION",2,$F$1))))</f>
        <v/>
      </c>
      <c r="AW217" s="1" t="str">
        <f>IF(OR($B217="",AW$7=""),"",IF($B217="MEANS",INDEX('1-DATA'!$1:$1048576,$A216-1,COLUMN('1-DATA'!AV215)),ROUND(INDEX('1-DATA'!$1:$1048576,IF(OR($B217="STD. DEVIATION",$C$1=1),$A217,$A217+1),COLUMN('1-DATA'!AV215)),IF($B217="STD. DEVIATION",2,$F$1))))</f>
        <v/>
      </c>
      <c r="AX217" s="1" t="str">
        <f>IF(OR($B217="",AX$7=""),"",IF($B217="MEANS",INDEX('1-DATA'!$1:$1048576,$A216-1,COLUMN('1-DATA'!AW215)),ROUND(INDEX('1-DATA'!$1:$1048576,IF(OR($B217="STD. DEVIATION",$C$1=1),$A217,$A217+1),COLUMN('1-DATA'!AW215)),IF($B217="STD. DEVIATION",2,$F$1))))</f>
        <v/>
      </c>
      <c r="AY217" s="1" t="str">
        <f>IF(OR($B217="",AY$7=""),"",IF($B217="MEANS",INDEX('1-DATA'!$1:$1048576,$A216-1,COLUMN('1-DATA'!AX215)),ROUND(INDEX('1-DATA'!$1:$1048576,IF(OR($B217="STD. DEVIATION",$C$1=1),$A217,$A217+1),COLUMN('1-DATA'!AX215)),IF($B217="STD. DEVIATION",2,$F$1))))</f>
        <v/>
      </c>
      <c r="AZ217" s="1" t="str">
        <f>IF(OR($B217="",AZ$7=""),"",IF($B217="MEANS",INDEX('1-DATA'!$1:$1048576,$A216-1,COLUMN('1-DATA'!AY215)),ROUND(INDEX('1-DATA'!$1:$1048576,IF(OR($B217="STD. DEVIATION",$C$1=1),$A217,$A217+1),COLUMN('1-DATA'!AY215)),IF($B217="STD. DEVIATION",2,$F$1))))</f>
        <v/>
      </c>
    </row>
    <row r="218" spans="1:52" x14ac:dyDescent="0.25">
      <c r="A218" s="11">
        <f t="shared" si="3"/>
        <v>640</v>
      </c>
      <c r="B218" s="1" t="str">
        <f>IF(B217="STD. DEVIATION",INDEX('1-DATA'!$1:$1048576,$A217-1,1),IF(INDEX('1-DATA'!$1:$1048576,$A218,1)&lt;&gt;"",INDEX('1-DATA'!$1:$1048576,$A218,1),""))</f>
        <v/>
      </c>
      <c r="C218" s="1" t="str">
        <f>IF(OR($B218="",C$7=""),"",IF($B218="MEANS",INDEX('1-DATA'!$1:$1048576,$A217-1,COLUMN('1-DATA'!B216)),ROUND(INDEX('1-DATA'!$1:$1048576,IF(OR($B218="STD. DEVIATION",$C$1=1),$A218,$A218+1),COLUMN('1-DATA'!B216)),IF($B218="STD. DEVIATION",2,$F$1))))</f>
        <v/>
      </c>
      <c r="D218" s="1" t="str">
        <f>IF(OR($B218="",D$7=""),"",IF($B218="MEANS",INDEX('1-DATA'!$1:$1048576,$A217-1,COLUMN('1-DATA'!C216)),ROUND(INDEX('1-DATA'!$1:$1048576,IF(OR($B218="STD. DEVIATION",$C$1=1),$A218,$A218+1),COLUMN('1-DATA'!C216)),IF($B218="STD. DEVIATION",2,$F$1))))</f>
        <v/>
      </c>
      <c r="E218" s="1" t="str">
        <f>IF(OR($B218="",E$7=""),"",IF($B218="MEANS",INDEX('1-DATA'!$1:$1048576,$A217-1,COLUMN('1-DATA'!D216)),ROUND(INDEX('1-DATA'!$1:$1048576,IF(OR($B218="STD. DEVIATION",$C$1=1),$A218,$A218+1),COLUMN('1-DATA'!D216)),IF($B218="STD. DEVIATION",2,$F$1))))</f>
        <v/>
      </c>
      <c r="F218" s="1" t="str">
        <f>IF(OR($B218="",F$7=""),"",IF($B218="MEANS",INDEX('1-DATA'!$1:$1048576,$A217-1,COLUMN('1-DATA'!E216)),ROUND(INDEX('1-DATA'!$1:$1048576,IF(OR($B218="STD. DEVIATION",$C$1=1),$A218,$A218+1),COLUMN('1-DATA'!E216)),IF($B218="STD. DEVIATION",2,$F$1))))</f>
        <v/>
      </c>
      <c r="G218" s="1" t="str">
        <f>IF(OR($B218="",G$7=""),"",IF($B218="MEANS",INDEX('1-DATA'!$1:$1048576,$A217-1,COLUMN('1-DATA'!F216)),ROUND(INDEX('1-DATA'!$1:$1048576,IF(OR($B218="STD. DEVIATION",$C$1=1),$A218,$A218+1),COLUMN('1-DATA'!F216)),IF($B218="STD. DEVIATION",2,$F$1))))</f>
        <v/>
      </c>
      <c r="H218" s="1" t="str">
        <f>IF(OR($B218="",H$7=""),"",IF($B218="MEANS",INDEX('1-DATA'!$1:$1048576,$A217-1,COLUMN('1-DATA'!G216)),ROUND(INDEX('1-DATA'!$1:$1048576,IF(OR($B218="STD. DEVIATION",$C$1=1),$A218,$A218+1),COLUMN('1-DATA'!G216)),IF($B218="STD. DEVIATION",2,$F$1))))</f>
        <v/>
      </c>
      <c r="I218" s="1" t="str">
        <f>IF(OR($B218="",I$7=""),"",IF($B218="MEANS",INDEX('1-DATA'!$1:$1048576,$A217-1,COLUMN('1-DATA'!H216)),ROUND(INDEX('1-DATA'!$1:$1048576,IF(OR($B218="STD. DEVIATION",$C$1=1),$A218,$A218+1),COLUMN('1-DATA'!H216)),IF($B218="STD. DEVIATION",2,$F$1))))</f>
        <v/>
      </c>
      <c r="J218" s="1" t="str">
        <f>IF(OR($B218="",J$7=""),"",IF($B218="MEANS",INDEX('1-DATA'!$1:$1048576,$A217-1,COLUMN('1-DATA'!I216)),ROUND(INDEX('1-DATA'!$1:$1048576,IF(OR($B218="STD. DEVIATION",$C$1=1),$A218,$A218+1),COLUMN('1-DATA'!I216)),IF($B218="STD. DEVIATION",2,$F$1))))</f>
        <v/>
      </c>
      <c r="K218" s="1" t="str">
        <f>IF(OR($B218="",K$7=""),"",IF($B218="MEANS",INDEX('1-DATA'!$1:$1048576,$A217-1,COLUMN('1-DATA'!J216)),ROUND(INDEX('1-DATA'!$1:$1048576,IF(OR($B218="STD. DEVIATION",$C$1=1),$A218,$A218+1),COLUMN('1-DATA'!J216)),IF($B218="STD. DEVIATION",2,$F$1))))</f>
        <v/>
      </c>
      <c r="L218" s="1" t="str">
        <f>IF(OR($B218="",L$7=""),"",IF($B218="MEANS",INDEX('1-DATA'!$1:$1048576,$A217-1,COLUMN('1-DATA'!K216)),ROUND(INDEX('1-DATA'!$1:$1048576,IF(OR($B218="STD. DEVIATION",$C$1=1),$A218,$A218+1),COLUMN('1-DATA'!K216)),IF($B218="STD. DEVIATION",2,$F$1))))</f>
        <v/>
      </c>
      <c r="M218" s="1" t="str">
        <f>IF(OR($B218="",M$7=""),"",IF($B218="MEANS",INDEX('1-DATA'!$1:$1048576,$A217-1,COLUMN('1-DATA'!L216)),ROUND(INDEX('1-DATA'!$1:$1048576,IF(OR($B218="STD. DEVIATION",$C$1=1),$A218,$A218+1),COLUMN('1-DATA'!L216)),IF($B218="STD. DEVIATION",2,$F$1))))</f>
        <v/>
      </c>
      <c r="N218" s="1" t="str">
        <f>IF(OR($B218="",N$7=""),"",IF($B218="MEANS",INDEX('1-DATA'!$1:$1048576,$A217-1,COLUMN('1-DATA'!M216)),ROUND(INDEX('1-DATA'!$1:$1048576,IF(OR($B218="STD. DEVIATION",$C$1=1),$A218,$A218+1),COLUMN('1-DATA'!M216)),IF($B218="STD. DEVIATION",2,$F$1))))</f>
        <v/>
      </c>
      <c r="O218" s="1" t="str">
        <f>IF(OR($B218="",O$7=""),"",IF($B218="MEANS",INDEX('1-DATA'!$1:$1048576,$A217-1,COLUMN('1-DATA'!N216)),ROUND(INDEX('1-DATA'!$1:$1048576,IF(OR($B218="STD. DEVIATION",$C$1=1),$A218,$A218+1),COLUMN('1-DATA'!N216)),IF($B218="STD. DEVIATION",2,$F$1))))</f>
        <v/>
      </c>
      <c r="P218" s="1" t="str">
        <f>IF(OR($B218="",P$7=""),"",IF($B218="MEANS",INDEX('1-DATA'!$1:$1048576,$A217-1,COLUMN('1-DATA'!O216)),ROUND(INDEX('1-DATA'!$1:$1048576,IF(OR($B218="STD. DEVIATION",$C$1=1),$A218,$A218+1),COLUMN('1-DATA'!O216)),IF($B218="STD. DEVIATION",2,$F$1))))</f>
        <v/>
      </c>
      <c r="Q218" s="1" t="str">
        <f>IF(OR($B218="",Q$7=""),"",IF($B218="MEANS",INDEX('1-DATA'!$1:$1048576,$A217-1,COLUMN('1-DATA'!P216)),ROUND(INDEX('1-DATA'!$1:$1048576,IF(OR($B218="STD. DEVIATION",$C$1=1),$A218,$A218+1),COLUMN('1-DATA'!P216)),IF($B218="STD. DEVIATION",2,$F$1))))</f>
        <v/>
      </c>
      <c r="R218" s="1" t="str">
        <f>IF(OR($B218="",R$7=""),"",IF($B218="MEANS",INDEX('1-DATA'!$1:$1048576,$A217-1,COLUMN('1-DATA'!Q216)),ROUND(INDEX('1-DATA'!$1:$1048576,IF(OR($B218="STD. DEVIATION",$C$1=1),$A218,$A218+1),COLUMN('1-DATA'!Q216)),IF($B218="STD. DEVIATION",2,$F$1))))</f>
        <v/>
      </c>
      <c r="S218" s="1" t="str">
        <f>IF(OR($B218="",S$7=""),"",IF($B218="MEANS",INDEX('1-DATA'!$1:$1048576,$A217-1,COLUMN('1-DATA'!R216)),ROUND(INDEX('1-DATA'!$1:$1048576,IF(OR($B218="STD. DEVIATION",$C$1=1),$A218,$A218+1),COLUMN('1-DATA'!R216)),IF($B218="STD. DEVIATION",2,$F$1))))</f>
        <v/>
      </c>
      <c r="T218" s="1" t="str">
        <f>IF(OR($B218="",T$7=""),"",IF($B218="MEANS",INDEX('1-DATA'!$1:$1048576,$A217-1,COLUMN('1-DATA'!S216)),ROUND(INDEX('1-DATA'!$1:$1048576,IF(OR($B218="STD. DEVIATION",$C$1=1),$A218,$A218+1),COLUMN('1-DATA'!S216)),IF($B218="STD. DEVIATION",2,$F$1))))</f>
        <v/>
      </c>
      <c r="U218" s="1" t="str">
        <f>IF(OR($B218="",U$7=""),"",IF($B218="MEANS",INDEX('1-DATA'!$1:$1048576,$A217-1,COLUMN('1-DATA'!T216)),ROUND(INDEX('1-DATA'!$1:$1048576,IF(OR($B218="STD. DEVIATION",$C$1=1),$A218,$A218+1),COLUMN('1-DATA'!T216)),IF($B218="STD. DEVIATION",2,$F$1))))</f>
        <v/>
      </c>
      <c r="V218" s="1" t="str">
        <f>IF(OR($B218="",V$7=""),"",IF($B218="MEANS",INDEX('1-DATA'!$1:$1048576,$A217-1,COLUMN('1-DATA'!U216)),ROUND(INDEX('1-DATA'!$1:$1048576,IF(OR($B218="STD. DEVIATION",$C$1=1),$A218,$A218+1),COLUMN('1-DATA'!U216)),IF($B218="STD. DEVIATION",2,$F$1))))</f>
        <v/>
      </c>
      <c r="W218" s="1" t="str">
        <f>IF(OR($B218="",W$7=""),"",IF($B218="MEANS",INDEX('1-DATA'!$1:$1048576,$A217-1,COLUMN('1-DATA'!V216)),ROUND(INDEX('1-DATA'!$1:$1048576,IF(OR($B218="STD. DEVIATION",$C$1=1),$A218,$A218+1),COLUMN('1-DATA'!V216)),IF($B218="STD. DEVIATION",2,$F$1))))</f>
        <v/>
      </c>
      <c r="X218" s="1" t="str">
        <f>IF(OR($B218="",X$7=""),"",IF($B218="MEANS",INDEX('1-DATA'!$1:$1048576,$A217-1,COLUMN('1-DATA'!W216)),ROUND(INDEX('1-DATA'!$1:$1048576,IF(OR($B218="STD. DEVIATION",$C$1=1),$A218,$A218+1),COLUMN('1-DATA'!W216)),IF($B218="STD. DEVIATION",2,$F$1))))</f>
        <v/>
      </c>
      <c r="Y218" s="1" t="str">
        <f>IF(OR($B218="",Y$7=""),"",IF($B218="MEANS",INDEX('1-DATA'!$1:$1048576,$A217-1,COLUMN('1-DATA'!X216)),ROUND(INDEX('1-DATA'!$1:$1048576,IF(OR($B218="STD. DEVIATION",$C$1=1),$A218,$A218+1),COLUMN('1-DATA'!X216)),IF($B218="STD. DEVIATION",2,$F$1))))</f>
        <v/>
      </c>
      <c r="Z218" s="1" t="str">
        <f>IF(OR($B218="",Z$7=""),"",IF($B218="MEANS",INDEX('1-DATA'!$1:$1048576,$A217-1,COLUMN('1-DATA'!Y216)),ROUND(INDEX('1-DATA'!$1:$1048576,IF(OR($B218="STD. DEVIATION",$C$1=1),$A218,$A218+1),COLUMN('1-DATA'!Y216)),IF($B218="STD. DEVIATION",2,$F$1))))</f>
        <v/>
      </c>
      <c r="AA218" s="1" t="str">
        <f>IF(OR($B218="",AA$7=""),"",IF($B218="MEANS",INDEX('1-DATA'!$1:$1048576,$A217-1,COLUMN('1-DATA'!Z216)),ROUND(INDEX('1-DATA'!$1:$1048576,IF(OR($B218="STD. DEVIATION",$C$1=1),$A218,$A218+1),COLUMN('1-DATA'!Z216)),IF($B218="STD. DEVIATION",2,$F$1))))</f>
        <v/>
      </c>
      <c r="AB218" s="1" t="str">
        <f>IF(OR($B218="",AB$7=""),"",IF($B218="MEANS",INDEX('1-DATA'!$1:$1048576,$A217-1,COLUMN('1-DATA'!AA216)),ROUND(INDEX('1-DATA'!$1:$1048576,IF(OR($B218="STD. DEVIATION",$C$1=1),$A218,$A218+1),COLUMN('1-DATA'!AA216)),IF($B218="STD. DEVIATION",2,$F$1))))</f>
        <v/>
      </c>
      <c r="AC218" s="1" t="str">
        <f>IF(OR($B218="",AC$7=""),"",IF($B218="MEANS",INDEX('1-DATA'!$1:$1048576,$A217-1,COLUMN('1-DATA'!AB216)),ROUND(INDEX('1-DATA'!$1:$1048576,IF(OR($B218="STD. DEVIATION",$C$1=1),$A218,$A218+1),COLUMN('1-DATA'!AB216)),IF($B218="STD. DEVIATION",2,$F$1))))</f>
        <v/>
      </c>
      <c r="AD218" s="1" t="str">
        <f>IF(OR($B218="",AD$7=""),"",IF($B218="MEANS",INDEX('1-DATA'!$1:$1048576,$A217-1,COLUMN('1-DATA'!AC216)),ROUND(INDEX('1-DATA'!$1:$1048576,IF(OR($B218="STD. DEVIATION",$C$1=1),$A218,$A218+1),COLUMN('1-DATA'!AC216)),IF($B218="STD. DEVIATION",2,$F$1))))</f>
        <v/>
      </c>
      <c r="AE218" s="1" t="str">
        <f>IF(OR($B218="",AE$7=""),"",IF($B218="MEANS",INDEX('1-DATA'!$1:$1048576,$A217-1,COLUMN('1-DATA'!AD216)),ROUND(INDEX('1-DATA'!$1:$1048576,IF(OR($B218="STD. DEVIATION",$C$1=1),$A218,$A218+1),COLUMN('1-DATA'!AD216)),IF($B218="STD. DEVIATION",2,$F$1))))</f>
        <v/>
      </c>
      <c r="AF218" s="1" t="str">
        <f>IF(OR($B218="",AF$7=""),"",IF($B218="MEANS",INDEX('1-DATA'!$1:$1048576,$A217-1,COLUMN('1-DATA'!AE216)),ROUND(INDEX('1-DATA'!$1:$1048576,IF(OR($B218="STD. DEVIATION",$C$1=1),$A218,$A218+1),COLUMN('1-DATA'!AE216)),IF($B218="STD. DEVIATION",2,$F$1))))</f>
        <v/>
      </c>
      <c r="AG218" s="1" t="str">
        <f>IF(OR($B218="",AG$7=""),"",IF($B218="MEANS",INDEX('1-DATA'!$1:$1048576,$A217-1,COLUMN('1-DATA'!AF216)),ROUND(INDEX('1-DATA'!$1:$1048576,IF(OR($B218="STD. DEVIATION",$C$1=1),$A218,$A218+1),COLUMN('1-DATA'!AF216)),IF($B218="STD. DEVIATION",2,$F$1))))</f>
        <v/>
      </c>
      <c r="AH218" s="1" t="str">
        <f>IF(OR($B218="",AH$7=""),"",IF($B218="MEANS",INDEX('1-DATA'!$1:$1048576,$A217-1,COLUMN('1-DATA'!AG216)),ROUND(INDEX('1-DATA'!$1:$1048576,IF(OR($B218="STD. DEVIATION",$C$1=1),$A218,$A218+1),COLUMN('1-DATA'!AG216)),IF($B218="STD. DEVIATION",2,$F$1))))</f>
        <v/>
      </c>
      <c r="AI218" s="1" t="str">
        <f>IF(OR($B218="",AI$7=""),"",IF($B218="MEANS",INDEX('1-DATA'!$1:$1048576,$A217-1,COLUMN('1-DATA'!AH216)),ROUND(INDEX('1-DATA'!$1:$1048576,IF(OR($B218="STD. DEVIATION",$C$1=1),$A218,$A218+1),COLUMN('1-DATA'!AH216)),IF($B218="STD. DEVIATION",2,$F$1))))</f>
        <v/>
      </c>
      <c r="AJ218" s="1" t="str">
        <f>IF(OR($B218="",AJ$7=""),"",IF($B218="MEANS",INDEX('1-DATA'!$1:$1048576,$A217-1,COLUMN('1-DATA'!AI216)),ROUND(INDEX('1-DATA'!$1:$1048576,IF(OR($B218="STD. DEVIATION",$C$1=1),$A218,$A218+1),COLUMN('1-DATA'!AI216)),IF($B218="STD. DEVIATION",2,$F$1))))</f>
        <v/>
      </c>
      <c r="AK218" s="1" t="str">
        <f>IF(OR($B218="",AK$7=""),"",IF($B218="MEANS",INDEX('1-DATA'!$1:$1048576,$A217-1,COLUMN('1-DATA'!AJ216)),ROUND(INDEX('1-DATA'!$1:$1048576,IF(OR($B218="STD. DEVIATION",$C$1=1),$A218,$A218+1),COLUMN('1-DATA'!AJ216)),IF($B218="STD. DEVIATION",2,$F$1))))</f>
        <v/>
      </c>
      <c r="AL218" s="1" t="str">
        <f>IF(OR($B218="",AL$7=""),"",IF($B218="MEANS",INDEX('1-DATA'!$1:$1048576,$A217-1,COLUMN('1-DATA'!AK216)),ROUND(INDEX('1-DATA'!$1:$1048576,IF(OR($B218="STD. DEVIATION",$C$1=1),$A218,$A218+1),COLUMN('1-DATA'!AK216)),IF($B218="STD. DEVIATION",2,$F$1))))</f>
        <v/>
      </c>
      <c r="AM218" s="1" t="str">
        <f>IF(OR($B218="",AM$7=""),"",IF($B218="MEANS",INDEX('1-DATA'!$1:$1048576,$A217-1,COLUMN('1-DATA'!AL216)),ROUND(INDEX('1-DATA'!$1:$1048576,IF(OR($B218="STD. DEVIATION",$C$1=1),$A218,$A218+1),COLUMN('1-DATA'!AL216)),IF($B218="STD. DEVIATION",2,$F$1))))</f>
        <v/>
      </c>
      <c r="AN218" s="1" t="str">
        <f>IF(OR($B218="",AN$7=""),"",IF($B218="MEANS",INDEX('1-DATA'!$1:$1048576,$A217-1,COLUMN('1-DATA'!AM216)),ROUND(INDEX('1-DATA'!$1:$1048576,IF(OR($B218="STD. DEVIATION",$C$1=1),$A218,$A218+1),COLUMN('1-DATA'!AM216)),IF($B218="STD. DEVIATION",2,$F$1))))</f>
        <v/>
      </c>
      <c r="AO218" s="1" t="str">
        <f>IF(OR($B218="",AO$7=""),"",IF($B218="MEANS",INDEX('1-DATA'!$1:$1048576,$A217-1,COLUMN('1-DATA'!AN216)),ROUND(INDEX('1-DATA'!$1:$1048576,IF(OR($B218="STD. DEVIATION",$C$1=1),$A218,$A218+1),COLUMN('1-DATA'!AN216)),IF($B218="STD. DEVIATION",2,$F$1))))</f>
        <v/>
      </c>
      <c r="AP218" s="1" t="str">
        <f>IF(OR($B218="",AP$7=""),"",IF($B218="MEANS",INDEX('1-DATA'!$1:$1048576,$A217-1,COLUMN('1-DATA'!AO216)),ROUND(INDEX('1-DATA'!$1:$1048576,IF(OR($B218="STD. DEVIATION",$C$1=1),$A218,$A218+1),COLUMN('1-DATA'!AO216)),IF($B218="STD. DEVIATION",2,$F$1))))</f>
        <v/>
      </c>
      <c r="AQ218" s="1" t="str">
        <f>IF(OR($B218="",AQ$7=""),"",IF($B218="MEANS",INDEX('1-DATA'!$1:$1048576,$A217-1,COLUMN('1-DATA'!AP216)),ROUND(INDEX('1-DATA'!$1:$1048576,IF(OR($B218="STD. DEVIATION",$C$1=1),$A218,$A218+1),COLUMN('1-DATA'!AP216)),IF($B218="STD. DEVIATION",2,$F$1))))</f>
        <v/>
      </c>
      <c r="AR218" s="1" t="str">
        <f>IF(OR($B218="",AR$7=""),"",IF($B218="MEANS",INDEX('1-DATA'!$1:$1048576,$A217-1,COLUMN('1-DATA'!AQ216)),ROUND(INDEX('1-DATA'!$1:$1048576,IF(OR($B218="STD. DEVIATION",$C$1=1),$A218,$A218+1),COLUMN('1-DATA'!AQ216)),IF($B218="STD. DEVIATION",2,$F$1))))</f>
        <v/>
      </c>
      <c r="AS218" s="1" t="str">
        <f>IF(OR($B218="",AS$7=""),"",IF($B218="MEANS",INDEX('1-DATA'!$1:$1048576,$A217-1,COLUMN('1-DATA'!AR216)),ROUND(INDEX('1-DATA'!$1:$1048576,IF(OR($B218="STD. DEVIATION",$C$1=1),$A218,$A218+1),COLUMN('1-DATA'!AR216)),IF($B218="STD. DEVIATION",2,$F$1))))</f>
        <v/>
      </c>
      <c r="AT218" s="1" t="str">
        <f>IF(OR($B218="",AT$7=""),"",IF($B218="MEANS",INDEX('1-DATA'!$1:$1048576,$A217-1,COLUMN('1-DATA'!AS216)),ROUND(INDEX('1-DATA'!$1:$1048576,IF(OR($B218="STD. DEVIATION",$C$1=1),$A218,$A218+1),COLUMN('1-DATA'!AS216)),IF($B218="STD. DEVIATION",2,$F$1))))</f>
        <v/>
      </c>
      <c r="AU218" s="1" t="str">
        <f>IF(OR($B218="",AU$7=""),"",IF($B218="MEANS",INDEX('1-DATA'!$1:$1048576,$A217-1,COLUMN('1-DATA'!AT216)),ROUND(INDEX('1-DATA'!$1:$1048576,IF(OR($B218="STD. DEVIATION",$C$1=1),$A218,$A218+1),COLUMN('1-DATA'!AT216)),IF($B218="STD. DEVIATION",2,$F$1))))</f>
        <v/>
      </c>
      <c r="AV218" s="1" t="str">
        <f>IF(OR($B218="",AV$7=""),"",IF($B218="MEANS",INDEX('1-DATA'!$1:$1048576,$A217-1,COLUMN('1-DATA'!AU216)),ROUND(INDEX('1-DATA'!$1:$1048576,IF(OR($B218="STD. DEVIATION",$C$1=1),$A218,$A218+1),COLUMN('1-DATA'!AU216)),IF($B218="STD. DEVIATION",2,$F$1))))</f>
        <v/>
      </c>
      <c r="AW218" s="1" t="str">
        <f>IF(OR($B218="",AW$7=""),"",IF($B218="MEANS",INDEX('1-DATA'!$1:$1048576,$A217-1,COLUMN('1-DATA'!AV216)),ROUND(INDEX('1-DATA'!$1:$1048576,IF(OR($B218="STD. DEVIATION",$C$1=1),$A218,$A218+1),COLUMN('1-DATA'!AV216)),IF($B218="STD. DEVIATION",2,$F$1))))</f>
        <v/>
      </c>
      <c r="AX218" s="1" t="str">
        <f>IF(OR($B218="",AX$7=""),"",IF($B218="MEANS",INDEX('1-DATA'!$1:$1048576,$A217-1,COLUMN('1-DATA'!AW216)),ROUND(INDEX('1-DATA'!$1:$1048576,IF(OR($B218="STD. DEVIATION",$C$1=1),$A218,$A218+1),COLUMN('1-DATA'!AW216)),IF($B218="STD. DEVIATION",2,$F$1))))</f>
        <v/>
      </c>
      <c r="AY218" s="1" t="str">
        <f>IF(OR($B218="",AY$7=""),"",IF($B218="MEANS",INDEX('1-DATA'!$1:$1048576,$A217-1,COLUMN('1-DATA'!AX216)),ROUND(INDEX('1-DATA'!$1:$1048576,IF(OR($B218="STD. DEVIATION",$C$1=1),$A218,$A218+1),COLUMN('1-DATA'!AX216)),IF($B218="STD. DEVIATION",2,$F$1))))</f>
        <v/>
      </c>
      <c r="AZ218" s="1" t="str">
        <f>IF(OR($B218="",AZ$7=""),"",IF($B218="MEANS",INDEX('1-DATA'!$1:$1048576,$A217-1,COLUMN('1-DATA'!AY216)),ROUND(INDEX('1-DATA'!$1:$1048576,IF(OR($B218="STD. DEVIATION",$C$1=1),$A218,$A218+1),COLUMN('1-DATA'!AY216)),IF($B218="STD. DEVIATION",2,$F$1))))</f>
        <v/>
      </c>
    </row>
    <row r="219" spans="1:52" x14ac:dyDescent="0.25">
      <c r="A219" s="11">
        <f t="shared" si="3"/>
        <v>643</v>
      </c>
      <c r="B219" s="1" t="str">
        <f>IF(B218="STD. DEVIATION",INDEX('1-DATA'!$1:$1048576,$A218-1,1),IF(INDEX('1-DATA'!$1:$1048576,$A219,1)&lt;&gt;"",INDEX('1-DATA'!$1:$1048576,$A219,1),""))</f>
        <v/>
      </c>
      <c r="C219" s="1" t="str">
        <f>IF(OR($B219="",C$7=""),"",IF($B219="MEANS",INDEX('1-DATA'!$1:$1048576,$A218-1,COLUMN('1-DATA'!B217)),ROUND(INDEX('1-DATA'!$1:$1048576,IF(OR($B219="STD. DEVIATION",$C$1=1),$A219,$A219+1),COLUMN('1-DATA'!B217)),IF($B219="STD. DEVIATION",2,$F$1))))</f>
        <v/>
      </c>
      <c r="D219" s="1" t="str">
        <f>IF(OR($B219="",D$7=""),"",IF($B219="MEANS",INDEX('1-DATA'!$1:$1048576,$A218-1,COLUMN('1-DATA'!C217)),ROUND(INDEX('1-DATA'!$1:$1048576,IF(OR($B219="STD. DEVIATION",$C$1=1),$A219,$A219+1),COLUMN('1-DATA'!C217)),IF($B219="STD. DEVIATION",2,$F$1))))</f>
        <v/>
      </c>
      <c r="E219" s="1" t="str">
        <f>IF(OR($B219="",E$7=""),"",IF($B219="MEANS",INDEX('1-DATA'!$1:$1048576,$A218-1,COLUMN('1-DATA'!D217)),ROUND(INDEX('1-DATA'!$1:$1048576,IF(OR($B219="STD. DEVIATION",$C$1=1),$A219,$A219+1),COLUMN('1-DATA'!D217)),IF($B219="STD. DEVIATION",2,$F$1))))</f>
        <v/>
      </c>
      <c r="F219" s="1" t="str">
        <f>IF(OR($B219="",F$7=""),"",IF($B219="MEANS",INDEX('1-DATA'!$1:$1048576,$A218-1,COLUMN('1-DATA'!E217)),ROUND(INDEX('1-DATA'!$1:$1048576,IF(OR($B219="STD. DEVIATION",$C$1=1),$A219,$A219+1),COLUMN('1-DATA'!E217)),IF($B219="STD. DEVIATION",2,$F$1))))</f>
        <v/>
      </c>
      <c r="G219" s="1" t="str">
        <f>IF(OR($B219="",G$7=""),"",IF($B219="MEANS",INDEX('1-DATA'!$1:$1048576,$A218-1,COLUMN('1-DATA'!F217)),ROUND(INDEX('1-DATA'!$1:$1048576,IF(OR($B219="STD. DEVIATION",$C$1=1),$A219,$A219+1),COLUMN('1-DATA'!F217)),IF($B219="STD. DEVIATION",2,$F$1))))</f>
        <v/>
      </c>
      <c r="H219" s="1" t="str">
        <f>IF(OR($B219="",H$7=""),"",IF($B219="MEANS",INDEX('1-DATA'!$1:$1048576,$A218-1,COLUMN('1-DATA'!G217)),ROUND(INDEX('1-DATA'!$1:$1048576,IF(OR($B219="STD. DEVIATION",$C$1=1),$A219,$A219+1),COLUMN('1-DATA'!G217)),IF($B219="STD. DEVIATION",2,$F$1))))</f>
        <v/>
      </c>
      <c r="I219" s="1" t="str">
        <f>IF(OR($B219="",I$7=""),"",IF($B219="MEANS",INDEX('1-DATA'!$1:$1048576,$A218-1,COLUMN('1-DATA'!H217)),ROUND(INDEX('1-DATA'!$1:$1048576,IF(OR($B219="STD. DEVIATION",$C$1=1),$A219,$A219+1),COLUMN('1-DATA'!H217)),IF($B219="STD. DEVIATION",2,$F$1))))</f>
        <v/>
      </c>
      <c r="J219" s="1" t="str">
        <f>IF(OR($B219="",J$7=""),"",IF($B219="MEANS",INDEX('1-DATA'!$1:$1048576,$A218-1,COLUMN('1-DATA'!I217)),ROUND(INDEX('1-DATA'!$1:$1048576,IF(OR($B219="STD. DEVIATION",$C$1=1),$A219,$A219+1),COLUMN('1-DATA'!I217)),IF($B219="STD. DEVIATION",2,$F$1))))</f>
        <v/>
      </c>
      <c r="K219" s="1" t="str">
        <f>IF(OR($B219="",K$7=""),"",IF($B219="MEANS",INDEX('1-DATA'!$1:$1048576,$A218-1,COLUMN('1-DATA'!J217)),ROUND(INDEX('1-DATA'!$1:$1048576,IF(OR($B219="STD. DEVIATION",$C$1=1),$A219,$A219+1),COLUMN('1-DATA'!J217)),IF($B219="STD. DEVIATION",2,$F$1))))</f>
        <v/>
      </c>
      <c r="L219" s="1" t="str">
        <f>IF(OR($B219="",L$7=""),"",IF($B219="MEANS",INDEX('1-DATA'!$1:$1048576,$A218-1,COLUMN('1-DATA'!K217)),ROUND(INDEX('1-DATA'!$1:$1048576,IF(OR($B219="STD. DEVIATION",$C$1=1),$A219,$A219+1),COLUMN('1-DATA'!K217)),IF($B219="STD. DEVIATION",2,$F$1))))</f>
        <v/>
      </c>
      <c r="M219" s="1" t="str">
        <f>IF(OR($B219="",M$7=""),"",IF($B219="MEANS",INDEX('1-DATA'!$1:$1048576,$A218-1,COLUMN('1-DATA'!L217)),ROUND(INDEX('1-DATA'!$1:$1048576,IF(OR($B219="STD. DEVIATION",$C$1=1),$A219,$A219+1),COLUMN('1-DATA'!L217)),IF($B219="STD. DEVIATION",2,$F$1))))</f>
        <v/>
      </c>
      <c r="N219" s="1" t="str">
        <f>IF(OR($B219="",N$7=""),"",IF($B219="MEANS",INDEX('1-DATA'!$1:$1048576,$A218-1,COLUMN('1-DATA'!M217)),ROUND(INDEX('1-DATA'!$1:$1048576,IF(OR($B219="STD. DEVIATION",$C$1=1),$A219,$A219+1),COLUMN('1-DATA'!M217)),IF($B219="STD. DEVIATION",2,$F$1))))</f>
        <v/>
      </c>
      <c r="O219" s="1" t="str">
        <f>IF(OR($B219="",O$7=""),"",IF($B219="MEANS",INDEX('1-DATA'!$1:$1048576,$A218-1,COLUMN('1-DATA'!N217)),ROUND(INDEX('1-DATA'!$1:$1048576,IF(OR($B219="STD. DEVIATION",$C$1=1),$A219,$A219+1),COLUMN('1-DATA'!N217)),IF($B219="STD. DEVIATION",2,$F$1))))</f>
        <v/>
      </c>
      <c r="P219" s="1" t="str">
        <f>IF(OR($B219="",P$7=""),"",IF($B219="MEANS",INDEX('1-DATA'!$1:$1048576,$A218-1,COLUMN('1-DATA'!O217)),ROUND(INDEX('1-DATA'!$1:$1048576,IF(OR($B219="STD. DEVIATION",$C$1=1),$A219,$A219+1),COLUMN('1-DATA'!O217)),IF($B219="STD. DEVIATION",2,$F$1))))</f>
        <v/>
      </c>
      <c r="Q219" s="1" t="str">
        <f>IF(OR($B219="",Q$7=""),"",IF($B219="MEANS",INDEX('1-DATA'!$1:$1048576,$A218-1,COLUMN('1-DATA'!P217)),ROUND(INDEX('1-DATA'!$1:$1048576,IF(OR($B219="STD. DEVIATION",$C$1=1),$A219,$A219+1),COLUMN('1-DATA'!P217)),IF($B219="STD. DEVIATION",2,$F$1))))</f>
        <v/>
      </c>
      <c r="R219" s="1" t="str">
        <f>IF(OR($B219="",R$7=""),"",IF($B219="MEANS",INDEX('1-DATA'!$1:$1048576,$A218-1,COLUMN('1-DATA'!Q217)),ROUND(INDEX('1-DATA'!$1:$1048576,IF(OR($B219="STD. DEVIATION",$C$1=1),$A219,$A219+1),COLUMN('1-DATA'!Q217)),IF($B219="STD. DEVIATION",2,$F$1))))</f>
        <v/>
      </c>
      <c r="S219" s="1" t="str">
        <f>IF(OR($B219="",S$7=""),"",IF($B219="MEANS",INDEX('1-DATA'!$1:$1048576,$A218-1,COLUMN('1-DATA'!R217)),ROUND(INDEX('1-DATA'!$1:$1048576,IF(OR($B219="STD. DEVIATION",$C$1=1),$A219,$A219+1),COLUMN('1-DATA'!R217)),IF($B219="STD. DEVIATION",2,$F$1))))</f>
        <v/>
      </c>
      <c r="T219" s="1" t="str">
        <f>IF(OR($B219="",T$7=""),"",IF($B219="MEANS",INDEX('1-DATA'!$1:$1048576,$A218-1,COLUMN('1-DATA'!S217)),ROUND(INDEX('1-DATA'!$1:$1048576,IF(OR($B219="STD. DEVIATION",$C$1=1),$A219,$A219+1),COLUMN('1-DATA'!S217)),IF($B219="STD. DEVIATION",2,$F$1))))</f>
        <v/>
      </c>
      <c r="U219" s="1" t="str">
        <f>IF(OR($B219="",U$7=""),"",IF($B219="MEANS",INDEX('1-DATA'!$1:$1048576,$A218-1,COLUMN('1-DATA'!T217)),ROUND(INDEX('1-DATA'!$1:$1048576,IF(OR($B219="STD. DEVIATION",$C$1=1),$A219,$A219+1),COLUMN('1-DATA'!T217)),IF($B219="STD. DEVIATION",2,$F$1))))</f>
        <v/>
      </c>
      <c r="V219" s="1" t="str">
        <f>IF(OR($B219="",V$7=""),"",IF($B219="MEANS",INDEX('1-DATA'!$1:$1048576,$A218-1,COLUMN('1-DATA'!U217)),ROUND(INDEX('1-DATA'!$1:$1048576,IF(OR($B219="STD. DEVIATION",$C$1=1),$A219,$A219+1),COLUMN('1-DATA'!U217)),IF($B219="STD. DEVIATION",2,$F$1))))</f>
        <v/>
      </c>
      <c r="W219" s="1" t="str">
        <f>IF(OR($B219="",W$7=""),"",IF($B219="MEANS",INDEX('1-DATA'!$1:$1048576,$A218-1,COLUMN('1-DATA'!V217)),ROUND(INDEX('1-DATA'!$1:$1048576,IF(OR($B219="STD. DEVIATION",$C$1=1),$A219,$A219+1),COLUMN('1-DATA'!V217)),IF($B219="STD. DEVIATION",2,$F$1))))</f>
        <v/>
      </c>
      <c r="X219" s="1" t="str">
        <f>IF(OR($B219="",X$7=""),"",IF($B219="MEANS",INDEX('1-DATA'!$1:$1048576,$A218-1,COLUMN('1-DATA'!W217)),ROUND(INDEX('1-DATA'!$1:$1048576,IF(OR($B219="STD. DEVIATION",$C$1=1),$A219,$A219+1),COLUMN('1-DATA'!W217)),IF($B219="STD. DEVIATION",2,$F$1))))</f>
        <v/>
      </c>
      <c r="Y219" s="1" t="str">
        <f>IF(OR($B219="",Y$7=""),"",IF($B219="MEANS",INDEX('1-DATA'!$1:$1048576,$A218-1,COLUMN('1-DATA'!X217)),ROUND(INDEX('1-DATA'!$1:$1048576,IF(OR($B219="STD. DEVIATION",$C$1=1),$A219,$A219+1),COLUMN('1-DATA'!X217)),IF($B219="STD. DEVIATION",2,$F$1))))</f>
        <v/>
      </c>
      <c r="Z219" s="1" t="str">
        <f>IF(OR($B219="",Z$7=""),"",IF($B219="MEANS",INDEX('1-DATA'!$1:$1048576,$A218-1,COLUMN('1-DATA'!Y217)),ROUND(INDEX('1-DATA'!$1:$1048576,IF(OR($B219="STD. DEVIATION",$C$1=1),$A219,$A219+1),COLUMN('1-DATA'!Y217)),IF($B219="STD. DEVIATION",2,$F$1))))</f>
        <v/>
      </c>
      <c r="AA219" s="1" t="str">
        <f>IF(OR($B219="",AA$7=""),"",IF($B219="MEANS",INDEX('1-DATA'!$1:$1048576,$A218-1,COLUMN('1-DATA'!Z217)),ROUND(INDEX('1-DATA'!$1:$1048576,IF(OR($B219="STD. DEVIATION",$C$1=1),$A219,$A219+1),COLUMN('1-DATA'!Z217)),IF($B219="STD. DEVIATION",2,$F$1))))</f>
        <v/>
      </c>
      <c r="AB219" s="1" t="str">
        <f>IF(OR($B219="",AB$7=""),"",IF($B219="MEANS",INDEX('1-DATA'!$1:$1048576,$A218-1,COLUMN('1-DATA'!AA217)),ROUND(INDEX('1-DATA'!$1:$1048576,IF(OR($B219="STD. DEVIATION",$C$1=1),$A219,$A219+1),COLUMN('1-DATA'!AA217)),IF($B219="STD. DEVIATION",2,$F$1))))</f>
        <v/>
      </c>
      <c r="AC219" s="1" t="str">
        <f>IF(OR($B219="",AC$7=""),"",IF($B219="MEANS",INDEX('1-DATA'!$1:$1048576,$A218-1,COLUMN('1-DATA'!AB217)),ROUND(INDEX('1-DATA'!$1:$1048576,IF(OR($B219="STD. DEVIATION",$C$1=1),$A219,$A219+1),COLUMN('1-DATA'!AB217)),IF($B219="STD. DEVIATION",2,$F$1))))</f>
        <v/>
      </c>
      <c r="AD219" s="1" t="str">
        <f>IF(OR($B219="",AD$7=""),"",IF($B219="MEANS",INDEX('1-DATA'!$1:$1048576,$A218-1,COLUMN('1-DATA'!AC217)),ROUND(INDEX('1-DATA'!$1:$1048576,IF(OR($B219="STD. DEVIATION",$C$1=1),$A219,$A219+1),COLUMN('1-DATA'!AC217)),IF($B219="STD. DEVIATION",2,$F$1))))</f>
        <v/>
      </c>
      <c r="AE219" s="1" t="str">
        <f>IF(OR($B219="",AE$7=""),"",IF($B219="MEANS",INDEX('1-DATA'!$1:$1048576,$A218-1,COLUMN('1-DATA'!AD217)),ROUND(INDEX('1-DATA'!$1:$1048576,IF(OR($B219="STD. DEVIATION",$C$1=1),$A219,$A219+1),COLUMN('1-DATA'!AD217)),IF($B219="STD. DEVIATION",2,$F$1))))</f>
        <v/>
      </c>
      <c r="AF219" s="1" t="str">
        <f>IF(OR($B219="",AF$7=""),"",IF($B219="MEANS",INDEX('1-DATA'!$1:$1048576,$A218-1,COLUMN('1-DATA'!AE217)),ROUND(INDEX('1-DATA'!$1:$1048576,IF(OR($B219="STD. DEVIATION",$C$1=1),$A219,$A219+1),COLUMN('1-DATA'!AE217)),IF($B219="STD. DEVIATION",2,$F$1))))</f>
        <v/>
      </c>
      <c r="AG219" s="1" t="str">
        <f>IF(OR($B219="",AG$7=""),"",IF($B219="MEANS",INDEX('1-DATA'!$1:$1048576,$A218-1,COLUMN('1-DATA'!AF217)),ROUND(INDEX('1-DATA'!$1:$1048576,IF(OR($B219="STD. DEVIATION",$C$1=1),$A219,$A219+1),COLUMN('1-DATA'!AF217)),IF($B219="STD. DEVIATION",2,$F$1))))</f>
        <v/>
      </c>
      <c r="AH219" s="1" t="str">
        <f>IF(OR($B219="",AH$7=""),"",IF($B219="MEANS",INDEX('1-DATA'!$1:$1048576,$A218-1,COLUMN('1-DATA'!AG217)),ROUND(INDEX('1-DATA'!$1:$1048576,IF(OR($B219="STD. DEVIATION",$C$1=1),$A219,$A219+1),COLUMN('1-DATA'!AG217)),IF($B219="STD. DEVIATION",2,$F$1))))</f>
        <v/>
      </c>
      <c r="AI219" s="1" t="str">
        <f>IF(OR($B219="",AI$7=""),"",IF($B219="MEANS",INDEX('1-DATA'!$1:$1048576,$A218-1,COLUMN('1-DATA'!AH217)),ROUND(INDEX('1-DATA'!$1:$1048576,IF(OR($B219="STD. DEVIATION",$C$1=1),$A219,$A219+1),COLUMN('1-DATA'!AH217)),IF($B219="STD. DEVIATION",2,$F$1))))</f>
        <v/>
      </c>
      <c r="AJ219" s="1" t="str">
        <f>IF(OR($B219="",AJ$7=""),"",IF($B219="MEANS",INDEX('1-DATA'!$1:$1048576,$A218-1,COLUMN('1-DATA'!AI217)),ROUND(INDEX('1-DATA'!$1:$1048576,IF(OR($B219="STD. DEVIATION",$C$1=1),$A219,$A219+1),COLUMN('1-DATA'!AI217)),IF($B219="STD. DEVIATION",2,$F$1))))</f>
        <v/>
      </c>
      <c r="AK219" s="1" t="str">
        <f>IF(OR($B219="",AK$7=""),"",IF($B219="MEANS",INDEX('1-DATA'!$1:$1048576,$A218-1,COLUMN('1-DATA'!AJ217)),ROUND(INDEX('1-DATA'!$1:$1048576,IF(OR($B219="STD. DEVIATION",$C$1=1),$A219,$A219+1),COLUMN('1-DATA'!AJ217)),IF($B219="STD. DEVIATION",2,$F$1))))</f>
        <v/>
      </c>
      <c r="AL219" s="1" t="str">
        <f>IF(OR($B219="",AL$7=""),"",IF($B219="MEANS",INDEX('1-DATA'!$1:$1048576,$A218-1,COLUMN('1-DATA'!AK217)),ROUND(INDEX('1-DATA'!$1:$1048576,IF(OR($B219="STD. DEVIATION",$C$1=1),$A219,$A219+1),COLUMN('1-DATA'!AK217)),IF($B219="STD. DEVIATION",2,$F$1))))</f>
        <v/>
      </c>
      <c r="AM219" s="1" t="str">
        <f>IF(OR($B219="",AM$7=""),"",IF($B219="MEANS",INDEX('1-DATA'!$1:$1048576,$A218-1,COLUMN('1-DATA'!AL217)),ROUND(INDEX('1-DATA'!$1:$1048576,IF(OR($B219="STD. DEVIATION",$C$1=1),$A219,$A219+1),COLUMN('1-DATA'!AL217)),IF($B219="STD. DEVIATION",2,$F$1))))</f>
        <v/>
      </c>
      <c r="AN219" s="1" t="str">
        <f>IF(OR($B219="",AN$7=""),"",IF($B219="MEANS",INDEX('1-DATA'!$1:$1048576,$A218-1,COLUMN('1-DATA'!AM217)),ROUND(INDEX('1-DATA'!$1:$1048576,IF(OR($B219="STD. DEVIATION",$C$1=1),$A219,$A219+1),COLUMN('1-DATA'!AM217)),IF($B219="STD. DEVIATION",2,$F$1))))</f>
        <v/>
      </c>
      <c r="AO219" s="1" t="str">
        <f>IF(OR($B219="",AO$7=""),"",IF($B219="MEANS",INDEX('1-DATA'!$1:$1048576,$A218-1,COLUMN('1-DATA'!AN217)),ROUND(INDEX('1-DATA'!$1:$1048576,IF(OR($B219="STD. DEVIATION",$C$1=1),$A219,$A219+1),COLUMN('1-DATA'!AN217)),IF($B219="STD. DEVIATION",2,$F$1))))</f>
        <v/>
      </c>
      <c r="AP219" s="1" t="str">
        <f>IF(OR($B219="",AP$7=""),"",IF($B219="MEANS",INDEX('1-DATA'!$1:$1048576,$A218-1,COLUMN('1-DATA'!AO217)),ROUND(INDEX('1-DATA'!$1:$1048576,IF(OR($B219="STD. DEVIATION",$C$1=1),$A219,$A219+1),COLUMN('1-DATA'!AO217)),IF($B219="STD. DEVIATION",2,$F$1))))</f>
        <v/>
      </c>
      <c r="AQ219" s="1" t="str">
        <f>IF(OR($B219="",AQ$7=""),"",IF($B219="MEANS",INDEX('1-DATA'!$1:$1048576,$A218-1,COLUMN('1-DATA'!AP217)),ROUND(INDEX('1-DATA'!$1:$1048576,IF(OR($B219="STD. DEVIATION",$C$1=1),$A219,$A219+1),COLUMN('1-DATA'!AP217)),IF($B219="STD. DEVIATION",2,$F$1))))</f>
        <v/>
      </c>
      <c r="AR219" s="1" t="str">
        <f>IF(OR($B219="",AR$7=""),"",IF($B219="MEANS",INDEX('1-DATA'!$1:$1048576,$A218-1,COLUMN('1-DATA'!AQ217)),ROUND(INDEX('1-DATA'!$1:$1048576,IF(OR($B219="STD. DEVIATION",$C$1=1),$A219,$A219+1),COLUMN('1-DATA'!AQ217)),IF($B219="STD. DEVIATION",2,$F$1))))</f>
        <v/>
      </c>
      <c r="AS219" s="1" t="str">
        <f>IF(OR($B219="",AS$7=""),"",IF($B219="MEANS",INDEX('1-DATA'!$1:$1048576,$A218-1,COLUMN('1-DATA'!AR217)),ROUND(INDEX('1-DATA'!$1:$1048576,IF(OR($B219="STD. DEVIATION",$C$1=1),$A219,$A219+1),COLUMN('1-DATA'!AR217)),IF($B219="STD. DEVIATION",2,$F$1))))</f>
        <v/>
      </c>
      <c r="AT219" s="1" t="str">
        <f>IF(OR($B219="",AT$7=""),"",IF($B219="MEANS",INDEX('1-DATA'!$1:$1048576,$A218-1,COLUMN('1-DATA'!AS217)),ROUND(INDEX('1-DATA'!$1:$1048576,IF(OR($B219="STD. DEVIATION",$C$1=1),$A219,$A219+1),COLUMN('1-DATA'!AS217)),IF($B219="STD. DEVIATION",2,$F$1))))</f>
        <v/>
      </c>
      <c r="AU219" s="1" t="str">
        <f>IF(OR($B219="",AU$7=""),"",IF($B219="MEANS",INDEX('1-DATA'!$1:$1048576,$A218-1,COLUMN('1-DATA'!AT217)),ROUND(INDEX('1-DATA'!$1:$1048576,IF(OR($B219="STD. DEVIATION",$C$1=1),$A219,$A219+1),COLUMN('1-DATA'!AT217)),IF($B219="STD. DEVIATION",2,$F$1))))</f>
        <v/>
      </c>
      <c r="AV219" s="1" t="str">
        <f>IF(OR($B219="",AV$7=""),"",IF($B219="MEANS",INDEX('1-DATA'!$1:$1048576,$A218-1,COLUMN('1-DATA'!AU217)),ROUND(INDEX('1-DATA'!$1:$1048576,IF(OR($B219="STD. DEVIATION",$C$1=1),$A219,$A219+1),COLUMN('1-DATA'!AU217)),IF($B219="STD. DEVIATION",2,$F$1))))</f>
        <v/>
      </c>
      <c r="AW219" s="1" t="str">
        <f>IF(OR($B219="",AW$7=""),"",IF($B219="MEANS",INDEX('1-DATA'!$1:$1048576,$A218-1,COLUMN('1-DATA'!AV217)),ROUND(INDEX('1-DATA'!$1:$1048576,IF(OR($B219="STD. DEVIATION",$C$1=1),$A219,$A219+1),COLUMN('1-DATA'!AV217)),IF($B219="STD. DEVIATION",2,$F$1))))</f>
        <v/>
      </c>
      <c r="AX219" s="1" t="str">
        <f>IF(OR($B219="",AX$7=""),"",IF($B219="MEANS",INDEX('1-DATA'!$1:$1048576,$A218-1,COLUMN('1-DATA'!AW217)),ROUND(INDEX('1-DATA'!$1:$1048576,IF(OR($B219="STD. DEVIATION",$C$1=1),$A219,$A219+1),COLUMN('1-DATA'!AW217)),IF($B219="STD. DEVIATION",2,$F$1))))</f>
        <v/>
      </c>
      <c r="AY219" s="1" t="str">
        <f>IF(OR($B219="",AY$7=""),"",IF($B219="MEANS",INDEX('1-DATA'!$1:$1048576,$A218-1,COLUMN('1-DATA'!AX217)),ROUND(INDEX('1-DATA'!$1:$1048576,IF(OR($B219="STD. DEVIATION",$C$1=1),$A219,$A219+1),COLUMN('1-DATA'!AX217)),IF($B219="STD. DEVIATION",2,$F$1))))</f>
        <v/>
      </c>
      <c r="AZ219" s="1" t="str">
        <f>IF(OR($B219="",AZ$7=""),"",IF($B219="MEANS",INDEX('1-DATA'!$1:$1048576,$A218-1,COLUMN('1-DATA'!AY217)),ROUND(INDEX('1-DATA'!$1:$1048576,IF(OR($B219="STD. DEVIATION",$C$1=1),$A219,$A219+1),COLUMN('1-DATA'!AY217)),IF($B219="STD. DEVIATION",2,$F$1))))</f>
        <v/>
      </c>
    </row>
    <row r="220" spans="1:52" x14ac:dyDescent="0.25">
      <c r="A220" s="11">
        <f t="shared" si="3"/>
        <v>646</v>
      </c>
      <c r="B220" s="1" t="str">
        <f>IF(B219="STD. DEVIATION",INDEX('1-DATA'!$1:$1048576,$A219-1,1),IF(INDEX('1-DATA'!$1:$1048576,$A220,1)&lt;&gt;"",INDEX('1-DATA'!$1:$1048576,$A220,1),""))</f>
        <v/>
      </c>
      <c r="C220" s="1" t="str">
        <f>IF(OR($B220="",C$7=""),"",IF($B220="MEANS",INDEX('1-DATA'!$1:$1048576,$A219-1,COLUMN('1-DATA'!B218)),ROUND(INDEX('1-DATA'!$1:$1048576,IF(OR($B220="STD. DEVIATION",$C$1=1),$A220,$A220+1),COLUMN('1-DATA'!B218)),IF($B220="STD. DEVIATION",2,$F$1))))</f>
        <v/>
      </c>
      <c r="D220" s="1" t="str">
        <f>IF(OR($B220="",D$7=""),"",IF($B220="MEANS",INDEX('1-DATA'!$1:$1048576,$A219-1,COLUMN('1-DATA'!C218)),ROUND(INDEX('1-DATA'!$1:$1048576,IF(OR($B220="STD. DEVIATION",$C$1=1),$A220,$A220+1),COLUMN('1-DATA'!C218)),IF($B220="STD. DEVIATION",2,$F$1))))</f>
        <v/>
      </c>
      <c r="E220" s="1" t="str">
        <f>IF(OR($B220="",E$7=""),"",IF($B220="MEANS",INDEX('1-DATA'!$1:$1048576,$A219-1,COLUMN('1-DATA'!D218)),ROUND(INDEX('1-DATA'!$1:$1048576,IF(OR($B220="STD. DEVIATION",$C$1=1),$A220,$A220+1),COLUMN('1-DATA'!D218)),IF($B220="STD. DEVIATION",2,$F$1))))</f>
        <v/>
      </c>
      <c r="F220" s="1" t="str">
        <f>IF(OR($B220="",F$7=""),"",IF($B220="MEANS",INDEX('1-DATA'!$1:$1048576,$A219-1,COLUMN('1-DATA'!E218)),ROUND(INDEX('1-DATA'!$1:$1048576,IF(OR($B220="STD. DEVIATION",$C$1=1),$A220,$A220+1),COLUMN('1-DATA'!E218)),IF($B220="STD. DEVIATION",2,$F$1))))</f>
        <v/>
      </c>
      <c r="G220" s="1" t="str">
        <f>IF(OR($B220="",G$7=""),"",IF($B220="MEANS",INDEX('1-DATA'!$1:$1048576,$A219-1,COLUMN('1-DATA'!F218)),ROUND(INDEX('1-DATA'!$1:$1048576,IF(OR($B220="STD. DEVIATION",$C$1=1),$A220,$A220+1),COLUMN('1-DATA'!F218)),IF($B220="STD. DEVIATION",2,$F$1))))</f>
        <v/>
      </c>
      <c r="H220" s="1" t="str">
        <f>IF(OR($B220="",H$7=""),"",IF($B220="MEANS",INDEX('1-DATA'!$1:$1048576,$A219-1,COLUMN('1-DATA'!G218)),ROUND(INDEX('1-DATA'!$1:$1048576,IF(OR($B220="STD. DEVIATION",$C$1=1),$A220,$A220+1),COLUMN('1-DATA'!G218)),IF($B220="STD. DEVIATION",2,$F$1))))</f>
        <v/>
      </c>
      <c r="I220" s="1" t="str">
        <f>IF(OR($B220="",I$7=""),"",IF($B220="MEANS",INDEX('1-DATA'!$1:$1048576,$A219-1,COLUMN('1-DATA'!H218)),ROUND(INDEX('1-DATA'!$1:$1048576,IF(OR($B220="STD. DEVIATION",$C$1=1),$A220,$A220+1),COLUMN('1-DATA'!H218)),IF($B220="STD. DEVIATION",2,$F$1))))</f>
        <v/>
      </c>
      <c r="J220" s="1" t="str">
        <f>IF(OR($B220="",J$7=""),"",IF($B220="MEANS",INDEX('1-DATA'!$1:$1048576,$A219-1,COLUMN('1-DATA'!I218)),ROUND(INDEX('1-DATA'!$1:$1048576,IF(OR($B220="STD. DEVIATION",$C$1=1),$A220,$A220+1),COLUMN('1-DATA'!I218)),IF($B220="STD. DEVIATION",2,$F$1))))</f>
        <v/>
      </c>
      <c r="K220" s="1" t="str">
        <f>IF(OR($B220="",K$7=""),"",IF($B220="MEANS",INDEX('1-DATA'!$1:$1048576,$A219-1,COLUMN('1-DATA'!J218)),ROUND(INDEX('1-DATA'!$1:$1048576,IF(OR($B220="STD. DEVIATION",$C$1=1),$A220,$A220+1),COLUMN('1-DATA'!J218)),IF($B220="STD. DEVIATION",2,$F$1))))</f>
        <v/>
      </c>
      <c r="L220" s="1" t="str">
        <f>IF(OR($B220="",L$7=""),"",IF($B220="MEANS",INDEX('1-DATA'!$1:$1048576,$A219-1,COLUMN('1-DATA'!K218)),ROUND(INDEX('1-DATA'!$1:$1048576,IF(OR($B220="STD. DEVIATION",$C$1=1),$A220,$A220+1),COLUMN('1-DATA'!K218)),IF($B220="STD. DEVIATION",2,$F$1))))</f>
        <v/>
      </c>
      <c r="M220" s="1" t="str">
        <f>IF(OR($B220="",M$7=""),"",IF($B220="MEANS",INDEX('1-DATA'!$1:$1048576,$A219-1,COLUMN('1-DATA'!L218)),ROUND(INDEX('1-DATA'!$1:$1048576,IF(OR($B220="STD. DEVIATION",$C$1=1),$A220,$A220+1),COLUMN('1-DATA'!L218)),IF($B220="STD. DEVIATION",2,$F$1))))</f>
        <v/>
      </c>
      <c r="N220" s="1" t="str">
        <f>IF(OR($B220="",N$7=""),"",IF($B220="MEANS",INDEX('1-DATA'!$1:$1048576,$A219-1,COLUMN('1-DATA'!M218)),ROUND(INDEX('1-DATA'!$1:$1048576,IF(OR($B220="STD. DEVIATION",$C$1=1),$A220,$A220+1),COLUMN('1-DATA'!M218)),IF($B220="STD. DEVIATION",2,$F$1))))</f>
        <v/>
      </c>
      <c r="O220" s="1" t="str">
        <f>IF(OR($B220="",O$7=""),"",IF($B220="MEANS",INDEX('1-DATA'!$1:$1048576,$A219-1,COLUMN('1-DATA'!N218)),ROUND(INDEX('1-DATA'!$1:$1048576,IF(OR($B220="STD. DEVIATION",$C$1=1),$A220,$A220+1),COLUMN('1-DATA'!N218)),IF($B220="STD. DEVIATION",2,$F$1))))</f>
        <v/>
      </c>
      <c r="P220" s="1" t="str">
        <f>IF(OR($B220="",P$7=""),"",IF($B220="MEANS",INDEX('1-DATA'!$1:$1048576,$A219-1,COLUMN('1-DATA'!O218)),ROUND(INDEX('1-DATA'!$1:$1048576,IF(OR($B220="STD. DEVIATION",$C$1=1),$A220,$A220+1),COLUMN('1-DATA'!O218)),IF($B220="STD. DEVIATION",2,$F$1))))</f>
        <v/>
      </c>
      <c r="Q220" s="1" t="str">
        <f>IF(OR($B220="",Q$7=""),"",IF($B220="MEANS",INDEX('1-DATA'!$1:$1048576,$A219-1,COLUMN('1-DATA'!P218)),ROUND(INDEX('1-DATA'!$1:$1048576,IF(OR($B220="STD. DEVIATION",$C$1=1),$A220,$A220+1),COLUMN('1-DATA'!P218)),IF($B220="STD. DEVIATION",2,$F$1))))</f>
        <v/>
      </c>
      <c r="R220" s="1" t="str">
        <f>IF(OR($B220="",R$7=""),"",IF($B220="MEANS",INDEX('1-DATA'!$1:$1048576,$A219-1,COLUMN('1-DATA'!Q218)),ROUND(INDEX('1-DATA'!$1:$1048576,IF(OR($B220="STD. DEVIATION",$C$1=1),$A220,$A220+1),COLUMN('1-DATA'!Q218)),IF($B220="STD. DEVIATION",2,$F$1))))</f>
        <v/>
      </c>
      <c r="S220" s="1" t="str">
        <f>IF(OR($B220="",S$7=""),"",IF($B220="MEANS",INDEX('1-DATA'!$1:$1048576,$A219-1,COLUMN('1-DATA'!R218)),ROUND(INDEX('1-DATA'!$1:$1048576,IF(OR($B220="STD. DEVIATION",$C$1=1),$A220,$A220+1),COLUMN('1-DATA'!R218)),IF($B220="STD. DEVIATION",2,$F$1))))</f>
        <v/>
      </c>
      <c r="T220" s="1" t="str">
        <f>IF(OR($B220="",T$7=""),"",IF($B220="MEANS",INDEX('1-DATA'!$1:$1048576,$A219-1,COLUMN('1-DATA'!S218)),ROUND(INDEX('1-DATA'!$1:$1048576,IF(OR($B220="STD. DEVIATION",$C$1=1),$A220,$A220+1),COLUMN('1-DATA'!S218)),IF($B220="STD. DEVIATION",2,$F$1))))</f>
        <v/>
      </c>
      <c r="U220" s="1" t="str">
        <f>IF(OR($B220="",U$7=""),"",IF($B220="MEANS",INDEX('1-DATA'!$1:$1048576,$A219-1,COLUMN('1-DATA'!T218)),ROUND(INDEX('1-DATA'!$1:$1048576,IF(OR($B220="STD. DEVIATION",$C$1=1),$A220,$A220+1),COLUMN('1-DATA'!T218)),IF($B220="STD. DEVIATION",2,$F$1))))</f>
        <v/>
      </c>
      <c r="V220" s="1" t="str">
        <f>IF(OR($B220="",V$7=""),"",IF($B220="MEANS",INDEX('1-DATA'!$1:$1048576,$A219-1,COLUMN('1-DATA'!U218)),ROUND(INDEX('1-DATA'!$1:$1048576,IF(OR($B220="STD. DEVIATION",$C$1=1),$A220,$A220+1),COLUMN('1-DATA'!U218)),IF($B220="STD. DEVIATION",2,$F$1))))</f>
        <v/>
      </c>
      <c r="W220" s="1" t="str">
        <f>IF(OR($B220="",W$7=""),"",IF($B220="MEANS",INDEX('1-DATA'!$1:$1048576,$A219-1,COLUMN('1-DATA'!V218)),ROUND(INDEX('1-DATA'!$1:$1048576,IF(OR($B220="STD. DEVIATION",$C$1=1),$A220,$A220+1),COLUMN('1-DATA'!V218)),IF($B220="STD. DEVIATION",2,$F$1))))</f>
        <v/>
      </c>
      <c r="X220" s="1" t="str">
        <f>IF(OR($B220="",X$7=""),"",IF($B220="MEANS",INDEX('1-DATA'!$1:$1048576,$A219-1,COLUMN('1-DATA'!W218)),ROUND(INDEX('1-DATA'!$1:$1048576,IF(OR($B220="STD. DEVIATION",$C$1=1),$A220,$A220+1),COLUMN('1-DATA'!W218)),IF($B220="STD. DEVIATION",2,$F$1))))</f>
        <v/>
      </c>
      <c r="Y220" s="1" t="str">
        <f>IF(OR($B220="",Y$7=""),"",IF($B220="MEANS",INDEX('1-DATA'!$1:$1048576,$A219-1,COLUMN('1-DATA'!X218)),ROUND(INDEX('1-DATA'!$1:$1048576,IF(OR($B220="STD. DEVIATION",$C$1=1),$A220,$A220+1),COLUMN('1-DATA'!X218)),IF($B220="STD. DEVIATION",2,$F$1))))</f>
        <v/>
      </c>
      <c r="Z220" s="1" t="str">
        <f>IF(OR($B220="",Z$7=""),"",IF($B220="MEANS",INDEX('1-DATA'!$1:$1048576,$A219-1,COLUMN('1-DATA'!Y218)),ROUND(INDEX('1-DATA'!$1:$1048576,IF(OR($B220="STD. DEVIATION",$C$1=1),$A220,$A220+1),COLUMN('1-DATA'!Y218)),IF($B220="STD. DEVIATION",2,$F$1))))</f>
        <v/>
      </c>
      <c r="AA220" s="1" t="str">
        <f>IF(OR($B220="",AA$7=""),"",IF($B220="MEANS",INDEX('1-DATA'!$1:$1048576,$A219-1,COLUMN('1-DATA'!Z218)),ROUND(INDEX('1-DATA'!$1:$1048576,IF(OR($B220="STD. DEVIATION",$C$1=1),$A220,$A220+1),COLUMN('1-DATA'!Z218)),IF($B220="STD. DEVIATION",2,$F$1))))</f>
        <v/>
      </c>
      <c r="AB220" s="1" t="str">
        <f>IF(OR($B220="",AB$7=""),"",IF($B220="MEANS",INDEX('1-DATA'!$1:$1048576,$A219-1,COLUMN('1-DATA'!AA218)),ROUND(INDEX('1-DATA'!$1:$1048576,IF(OR($B220="STD. DEVIATION",$C$1=1),$A220,$A220+1),COLUMN('1-DATA'!AA218)),IF($B220="STD. DEVIATION",2,$F$1))))</f>
        <v/>
      </c>
      <c r="AC220" s="1" t="str">
        <f>IF(OR($B220="",AC$7=""),"",IF($B220="MEANS",INDEX('1-DATA'!$1:$1048576,$A219-1,COLUMN('1-DATA'!AB218)),ROUND(INDEX('1-DATA'!$1:$1048576,IF(OR($B220="STD. DEVIATION",$C$1=1),$A220,$A220+1),COLUMN('1-DATA'!AB218)),IF($B220="STD. DEVIATION",2,$F$1))))</f>
        <v/>
      </c>
      <c r="AD220" s="1" t="str">
        <f>IF(OR($B220="",AD$7=""),"",IF($B220="MEANS",INDEX('1-DATA'!$1:$1048576,$A219-1,COLUMN('1-DATA'!AC218)),ROUND(INDEX('1-DATA'!$1:$1048576,IF(OR($B220="STD. DEVIATION",$C$1=1),$A220,$A220+1),COLUMN('1-DATA'!AC218)),IF($B220="STD. DEVIATION",2,$F$1))))</f>
        <v/>
      </c>
      <c r="AE220" s="1" t="str">
        <f>IF(OR($B220="",AE$7=""),"",IF($B220="MEANS",INDEX('1-DATA'!$1:$1048576,$A219-1,COLUMN('1-DATA'!AD218)),ROUND(INDEX('1-DATA'!$1:$1048576,IF(OR($B220="STD. DEVIATION",$C$1=1),$A220,$A220+1),COLUMN('1-DATA'!AD218)),IF($B220="STD. DEVIATION",2,$F$1))))</f>
        <v/>
      </c>
      <c r="AF220" s="1" t="str">
        <f>IF(OR($B220="",AF$7=""),"",IF($B220="MEANS",INDEX('1-DATA'!$1:$1048576,$A219-1,COLUMN('1-DATA'!AE218)),ROUND(INDEX('1-DATA'!$1:$1048576,IF(OR($B220="STD. DEVIATION",$C$1=1),$A220,$A220+1),COLUMN('1-DATA'!AE218)),IF($B220="STD. DEVIATION",2,$F$1))))</f>
        <v/>
      </c>
      <c r="AG220" s="1" t="str">
        <f>IF(OR($B220="",AG$7=""),"",IF($B220="MEANS",INDEX('1-DATA'!$1:$1048576,$A219-1,COLUMN('1-DATA'!AF218)),ROUND(INDEX('1-DATA'!$1:$1048576,IF(OR($B220="STD. DEVIATION",$C$1=1),$A220,$A220+1),COLUMN('1-DATA'!AF218)),IF($B220="STD. DEVIATION",2,$F$1))))</f>
        <v/>
      </c>
      <c r="AH220" s="1" t="str">
        <f>IF(OR($B220="",AH$7=""),"",IF($B220="MEANS",INDEX('1-DATA'!$1:$1048576,$A219-1,COLUMN('1-DATA'!AG218)),ROUND(INDEX('1-DATA'!$1:$1048576,IF(OR($B220="STD. DEVIATION",$C$1=1),$A220,$A220+1),COLUMN('1-DATA'!AG218)),IF($B220="STD. DEVIATION",2,$F$1))))</f>
        <v/>
      </c>
      <c r="AI220" s="1" t="str">
        <f>IF(OR($B220="",AI$7=""),"",IF($B220="MEANS",INDEX('1-DATA'!$1:$1048576,$A219-1,COLUMN('1-DATA'!AH218)),ROUND(INDEX('1-DATA'!$1:$1048576,IF(OR($B220="STD. DEVIATION",$C$1=1),$A220,$A220+1),COLUMN('1-DATA'!AH218)),IF($B220="STD. DEVIATION",2,$F$1))))</f>
        <v/>
      </c>
      <c r="AJ220" s="1" t="str">
        <f>IF(OR($B220="",AJ$7=""),"",IF($B220="MEANS",INDEX('1-DATA'!$1:$1048576,$A219-1,COLUMN('1-DATA'!AI218)),ROUND(INDEX('1-DATA'!$1:$1048576,IF(OR($B220="STD. DEVIATION",$C$1=1),$A220,$A220+1),COLUMN('1-DATA'!AI218)),IF($B220="STD. DEVIATION",2,$F$1))))</f>
        <v/>
      </c>
      <c r="AK220" s="1" t="str">
        <f>IF(OR($B220="",AK$7=""),"",IF($B220="MEANS",INDEX('1-DATA'!$1:$1048576,$A219-1,COLUMN('1-DATA'!AJ218)),ROUND(INDEX('1-DATA'!$1:$1048576,IF(OR($B220="STD. DEVIATION",$C$1=1),$A220,$A220+1),COLUMN('1-DATA'!AJ218)),IF($B220="STD. DEVIATION",2,$F$1))))</f>
        <v/>
      </c>
      <c r="AL220" s="1" t="str">
        <f>IF(OR($B220="",AL$7=""),"",IF($B220="MEANS",INDEX('1-DATA'!$1:$1048576,$A219-1,COLUMN('1-DATA'!AK218)),ROUND(INDEX('1-DATA'!$1:$1048576,IF(OR($B220="STD. DEVIATION",$C$1=1),$A220,$A220+1),COLUMN('1-DATA'!AK218)),IF($B220="STD. DEVIATION",2,$F$1))))</f>
        <v/>
      </c>
      <c r="AM220" s="1" t="str">
        <f>IF(OR($B220="",AM$7=""),"",IF($B220="MEANS",INDEX('1-DATA'!$1:$1048576,$A219-1,COLUMN('1-DATA'!AL218)),ROUND(INDEX('1-DATA'!$1:$1048576,IF(OR($B220="STD. DEVIATION",$C$1=1),$A220,$A220+1),COLUMN('1-DATA'!AL218)),IF($B220="STD. DEVIATION",2,$F$1))))</f>
        <v/>
      </c>
      <c r="AN220" s="1" t="str">
        <f>IF(OR($B220="",AN$7=""),"",IF($B220="MEANS",INDEX('1-DATA'!$1:$1048576,$A219-1,COLUMN('1-DATA'!AM218)),ROUND(INDEX('1-DATA'!$1:$1048576,IF(OR($B220="STD. DEVIATION",$C$1=1),$A220,$A220+1),COLUMN('1-DATA'!AM218)),IF($B220="STD. DEVIATION",2,$F$1))))</f>
        <v/>
      </c>
      <c r="AO220" s="1" t="str">
        <f>IF(OR($B220="",AO$7=""),"",IF($B220="MEANS",INDEX('1-DATA'!$1:$1048576,$A219-1,COLUMN('1-DATA'!AN218)),ROUND(INDEX('1-DATA'!$1:$1048576,IF(OR($B220="STD. DEVIATION",$C$1=1),$A220,$A220+1),COLUMN('1-DATA'!AN218)),IF($B220="STD. DEVIATION",2,$F$1))))</f>
        <v/>
      </c>
      <c r="AP220" s="1" t="str">
        <f>IF(OR($B220="",AP$7=""),"",IF($B220="MEANS",INDEX('1-DATA'!$1:$1048576,$A219-1,COLUMN('1-DATA'!AO218)),ROUND(INDEX('1-DATA'!$1:$1048576,IF(OR($B220="STD. DEVIATION",$C$1=1),$A220,$A220+1),COLUMN('1-DATA'!AO218)),IF($B220="STD. DEVIATION",2,$F$1))))</f>
        <v/>
      </c>
      <c r="AQ220" s="1" t="str">
        <f>IF(OR($B220="",AQ$7=""),"",IF($B220="MEANS",INDEX('1-DATA'!$1:$1048576,$A219-1,COLUMN('1-DATA'!AP218)),ROUND(INDEX('1-DATA'!$1:$1048576,IF(OR($B220="STD. DEVIATION",$C$1=1),$A220,$A220+1),COLUMN('1-DATA'!AP218)),IF($B220="STD. DEVIATION",2,$F$1))))</f>
        <v/>
      </c>
      <c r="AR220" s="1" t="str">
        <f>IF(OR($B220="",AR$7=""),"",IF($B220="MEANS",INDEX('1-DATA'!$1:$1048576,$A219-1,COLUMN('1-DATA'!AQ218)),ROUND(INDEX('1-DATA'!$1:$1048576,IF(OR($B220="STD. DEVIATION",$C$1=1),$A220,$A220+1),COLUMN('1-DATA'!AQ218)),IF($B220="STD. DEVIATION",2,$F$1))))</f>
        <v/>
      </c>
      <c r="AS220" s="1" t="str">
        <f>IF(OR($B220="",AS$7=""),"",IF($B220="MEANS",INDEX('1-DATA'!$1:$1048576,$A219-1,COLUMN('1-DATA'!AR218)),ROUND(INDEX('1-DATA'!$1:$1048576,IF(OR($B220="STD. DEVIATION",$C$1=1),$A220,$A220+1),COLUMN('1-DATA'!AR218)),IF($B220="STD. DEVIATION",2,$F$1))))</f>
        <v/>
      </c>
      <c r="AT220" s="1" t="str">
        <f>IF(OR($B220="",AT$7=""),"",IF($B220="MEANS",INDEX('1-DATA'!$1:$1048576,$A219-1,COLUMN('1-DATA'!AS218)),ROUND(INDEX('1-DATA'!$1:$1048576,IF(OR($B220="STD. DEVIATION",$C$1=1),$A220,$A220+1),COLUMN('1-DATA'!AS218)),IF($B220="STD. DEVIATION",2,$F$1))))</f>
        <v/>
      </c>
      <c r="AU220" s="1" t="str">
        <f>IF(OR($B220="",AU$7=""),"",IF($B220="MEANS",INDEX('1-DATA'!$1:$1048576,$A219-1,COLUMN('1-DATA'!AT218)),ROUND(INDEX('1-DATA'!$1:$1048576,IF(OR($B220="STD. DEVIATION",$C$1=1),$A220,$A220+1),COLUMN('1-DATA'!AT218)),IF($B220="STD. DEVIATION",2,$F$1))))</f>
        <v/>
      </c>
      <c r="AV220" s="1" t="str">
        <f>IF(OR($B220="",AV$7=""),"",IF($B220="MEANS",INDEX('1-DATA'!$1:$1048576,$A219-1,COLUMN('1-DATA'!AU218)),ROUND(INDEX('1-DATA'!$1:$1048576,IF(OR($B220="STD. DEVIATION",$C$1=1),$A220,$A220+1),COLUMN('1-DATA'!AU218)),IF($B220="STD. DEVIATION",2,$F$1))))</f>
        <v/>
      </c>
      <c r="AW220" s="1" t="str">
        <f>IF(OR($B220="",AW$7=""),"",IF($B220="MEANS",INDEX('1-DATA'!$1:$1048576,$A219-1,COLUMN('1-DATA'!AV218)),ROUND(INDEX('1-DATA'!$1:$1048576,IF(OR($B220="STD. DEVIATION",$C$1=1),$A220,$A220+1),COLUMN('1-DATA'!AV218)),IF($B220="STD. DEVIATION",2,$F$1))))</f>
        <v/>
      </c>
      <c r="AX220" s="1" t="str">
        <f>IF(OR($B220="",AX$7=""),"",IF($B220="MEANS",INDEX('1-DATA'!$1:$1048576,$A219-1,COLUMN('1-DATA'!AW218)),ROUND(INDEX('1-DATA'!$1:$1048576,IF(OR($B220="STD. DEVIATION",$C$1=1),$A220,$A220+1),COLUMN('1-DATA'!AW218)),IF($B220="STD. DEVIATION",2,$F$1))))</f>
        <v/>
      </c>
      <c r="AY220" s="1" t="str">
        <f>IF(OR($B220="",AY$7=""),"",IF($B220="MEANS",INDEX('1-DATA'!$1:$1048576,$A219-1,COLUMN('1-DATA'!AX218)),ROUND(INDEX('1-DATA'!$1:$1048576,IF(OR($B220="STD. DEVIATION",$C$1=1),$A220,$A220+1),COLUMN('1-DATA'!AX218)),IF($B220="STD. DEVIATION",2,$F$1))))</f>
        <v/>
      </c>
      <c r="AZ220" s="1" t="str">
        <f>IF(OR($B220="",AZ$7=""),"",IF($B220="MEANS",INDEX('1-DATA'!$1:$1048576,$A219-1,COLUMN('1-DATA'!AY218)),ROUND(INDEX('1-DATA'!$1:$1048576,IF(OR($B220="STD. DEVIATION",$C$1=1),$A220,$A220+1),COLUMN('1-DATA'!AY218)),IF($B220="STD. DEVIATION",2,$F$1))))</f>
        <v/>
      </c>
    </row>
    <row r="221" spans="1:52" x14ac:dyDescent="0.25">
      <c r="A221" s="11">
        <f t="shared" si="3"/>
        <v>649</v>
      </c>
      <c r="B221" s="1" t="str">
        <f>IF(B220="STD. DEVIATION",INDEX('1-DATA'!$1:$1048576,$A220-1,1),IF(INDEX('1-DATA'!$1:$1048576,$A221,1)&lt;&gt;"",INDEX('1-DATA'!$1:$1048576,$A221,1),""))</f>
        <v/>
      </c>
      <c r="C221" s="1" t="str">
        <f>IF(OR($B221="",C$7=""),"",IF($B221="MEANS",INDEX('1-DATA'!$1:$1048576,$A220-1,COLUMN('1-DATA'!B219)),ROUND(INDEX('1-DATA'!$1:$1048576,IF(OR($B221="STD. DEVIATION",$C$1=1),$A221,$A221+1),COLUMN('1-DATA'!B219)),IF($B221="STD. DEVIATION",2,$F$1))))</f>
        <v/>
      </c>
      <c r="D221" s="1" t="str">
        <f>IF(OR($B221="",D$7=""),"",IF($B221="MEANS",INDEX('1-DATA'!$1:$1048576,$A220-1,COLUMN('1-DATA'!C219)),ROUND(INDEX('1-DATA'!$1:$1048576,IF(OR($B221="STD. DEVIATION",$C$1=1),$A221,$A221+1),COLUMN('1-DATA'!C219)),IF($B221="STD. DEVIATION",2,$F$1))))</f>
        <v/>
      </c>
      <c r="E221" s="1" t="str">
        <f>IF(OR($B221="",E$7=""),"",IF($B221="MEANS",INDEX('1-DATA'!$1:$1048576,$A220-1,COLUMN('1-DATA'!D219)),ROUND(INDEX('1-DATA'!$1:$1048576,IF(OR($B221="STD. DEVIATION",$C$1=1),$A221,$A221+1),COLUMN('1-DATA'!D219)),IF($B221="STD. DEVIATION",2,$F$1))))</f>
        <v/>
      </c>
      <c r="F221" s="1" t="str">
        <f>IF(OR($B221="",F$7=""),"",IF($B221="MEANS",INDEX('1-DATA'!$1:$1048576,$A220-1,COLUMN('1-DATA'!E219)),ROUND(INDEX('1-DATA'!$1:$1048576,IF(OR($B221="STD. DEVIATION",$C$1=1),$A221,$A221+1),COLUMN('1-DATA'!E219)),IF($B221="STD. DEVIATION",2,$F$1))))</f>
        <v/>
      </c>
      <c r="G221" s="1" t="str">
        <f>IF(OR($B221="",G$7=""),"",IF($B221="MEANS",INDEX('1-DATA'!$1:$1048576,$A220-1,COLUMN('1-DATA'!F219)),ROUND(INDEX('1-DATA'!$1:$1048576,IF(OR($B221="STD. DEVIATION",$C$1=1),$A221,$A221+1),COLUMN('1-DATA'!F219)),IF($B221="STD. DEVIATION",2,$F$1))))</f>
        <v/>
      </c>
      <c r="H221" s="1" t="str">
        <f>IF(OR($B221="",H$7=""),"",IF($B221="MEANS",INDEX('1-DATA'!$1:$1048576,$A220-1,COLUMN('1-DATA'!G219)),ROUND(INDEX('1-DATA'!$1:$1048576,IF(OR($B221="STD. DEVIATION",$C$1=1),$A221,$A221+1),COLUMN('1-DATA'!G219)),IF($B221="STD. DEVIATION",2,$F$1))))</f>
        <v/>
      </c>
      <c r="I221" s="1" t="str">
        <f>IF(OR($B221="",I$7=""),"",IF($B221="MEANS",INDEX('1-DATA'!$1:$1048576,$A220-1,COLUMN('1-DATA'!H219)),ROUND(INDEX('1-DATA'!$1:$1048576,IF(OR($B221="STD. DEVIATION",$C$1=1),$A221,$A221+1),COLUMN('1-DATA'!H219)),IF($B221="STD. DEVIATION",2,$F$1))))</f>
        <v/>
      </c>
      <c r="J221" s="1" t="str">
        <f>IF(OR($B221="",J$7=""),"",IF($B221="MEANS",INDEX('1-DATA'!$1:$1048576,$A220-1,COLUMN('1-DATA'!I219)),ROUND(INDEX('1-DATA'!$1:$1048576,IF(OR($B221="STD. DEVIATION",$C$1=1),$A221,$A221+1),COLUMN('1-DATA'!I219)),IF($B221="STD. DEVIATION",2,$F$1))))</f>
        <v/>
      </c>
      <c r="K221" s="1" t="str">
        <f>IF(OR($B221="",K$7=""),"",IF($B221="MEANS",INDEX('1-DATA'!$1:$1048576,$A220-1,COLUMN('1-DATA'!J219)),ROUND(INDEX('1-DATA'!$1:$1048576,IF(OR($B221="STD. DEVIATION",$C$1=1),$A221,$A221+1),COLUMN('1-DATA'!J219)),IF($B221="STD. DEVIATION",2,$F$1))))</f>
        <v/>
      </c>
      <c r="L221" s="1" t="str">
        <f>IF(OR($B221="",L$7=""),"",IF($B221="MEANS",INDEX('1-DATA'!$1:$1048576,$A220-1,COLUMN('1-DATA'!K219)),ROUND(INDEX('1-DATA'!$1:$1048576,IF(OR($B221="STD. DEVIATION",$C$1=1),$A221,$A221+1),COLUMN('1-DATA'!K219)),IF($B221="STD. DEVIATION",2,$F$1))))</f>
        <v/>
      </c>
      <c r="M221" s="1" t="str">
        <f>IF(OR($B221="",M$7=""),"",IF($B221="MEANS",INDEX('1-DATA'!$1:$1048576,$A220-1,COLUMN('1-DATA'!L219)),ROUND(INDEX('1-DATA'!$1:$1048576,IF(OR($B221="STD. DEVIATION",$C$1=1),$A221,$A221+1),COLUMN('1-DATA'!L219)),IF($B221="STD. DEVIATION",2,$F$1))))</f>
        <v/>
      </c>
      <c r="N221" s="1" t="str">
        <f>IF(OR($B221="",N$7=""),"",IF($B221="MEANS",INDEX('1-DATA'!$1:$1048576,$A220-1,COLUMN('1-DATA'!M219)),ROUND(INDEX('1-DATA'!$1:$1048576,IF(OR($B221="STD. DEVIATION",$C$1=1),$A221,$A221+1),COLUMN('1-DATA'!M219)),IF($B221="STD. DEVIATION",2,$F$1))))</f>
        <v/>
      </c>
      <c r="O221" s="1" t="str">
        <f>IF(OR($B221="",O$7=""),"",IF($B221="MEANS",INDEX('1-DATA'!$1:$1048576,$A220-1,COLUMN('1-DATA'!N219)),ROUND(INDEX('1-DATA'!$1:$1048576,IF(OR($B221="STD. DEVIATION",$C$1=1),$A221,$A221+1),COLUMN('1-DATA'!N219)),IF($B221="STD. DEVIATION",2,$F$1))))</f>
        <v/>
      </c>
      <c r="P221" s="1" t="str">
        <f>IF(OR($B221="",P$7=""),"",IF($B221="MEANS",INDEX('1-DATA'!$1:$1048576,$A220-1,COLUMN('1-DATA'!O219)),ROUND(INDEX('1-DATA'!$1:$1048576,IF(OR($B221="STD. DEVIATION",$C$1=1),$A221,$A221+1),COLUMN('1-DATA'!O219)),IF($B221="STD. DEVIATION",2,$F$1))))</f>
        <v/>
      </c>
      <c r="Q221" s="1" t="str">
        <f>IF(OR($B221="",Q$7=""),"",IF($B221="MEANS",INDEX('1-DATA'!$1:$1048576,$A220-1,COLUMN('1-DATA'!P219)),ROUND(INDEX('1-DATA'!$1:$1048576,IF(OR($B221="STD. DEVIATION",$C$1=1),$A221,$A221+1),COLUMN('1-DATA'!P219)),IF($B221="STD. DEVIATION",2,$F$1))))</f>
        <v/>
      </c>
      <c r="R221" s="1" t="str">
        <f>IF(OR($B221="",R$7=""),"",IF($B221="MEANS",INDEX('1-DATA'!$1:$1048576,$A220-1,COLUMN('1-DATA'!Q219)),ROUND(INDEX('1-DATA'!$1:$1048576,IF(OR($B221="STD. DEVIATION",$C$1=1),$A221,$A221+1),COLUMN('1-DATA'!Q219)),IF($B221="STD. DEVIATION",2,$F$1))))</f>
        <v/>
      </c>
      <c r="S221" s="1" t="str">
        <f>IF(OR($B221="",S$7=""),"",IF($B221="MEANS",INDEX('1-DATA'!$1:$1048576,$A220-1,COLUMN('1-DATA'!R219)),ROUND(INDEX('1-DATA'!$1:$1048576,IF(OR($B221="STD. DEVIATION",$C$1=1),$A221,$A221+1),COLUMN('1-DATA'!R219)),IF($B221="STD. DEVIATION",2,$F$1))))</f>
        <v/>
      </c>
      <c r="T221" s="1" t="str">
        <f>IF(OR($B221="",T$7=""),"",IF($B221="MEANS",INDEX('1-DATA'!$1:$1048576,$A220-1,COLUMN('1-DATA'!S219)),ROUND(INDEX('1-DATA'!$1:$1048576,IF(OR($B221="STD. DEVIATION",$C$1=1),$A221,$A221+1),COLUMN('1-DATA'!S219)),IF($B221="STD. DEVIATION",2,$F$1))))</f>
        <v/>
      </c>
      <c r="U221" s="1" t="str">
        <f>IF(OR($B221="",U$7=""),"",IF($B221="MEANS",INDEX('1-DATA'!$1:$1048576,$A220-1,COLUMN('1-DATA'!T219)),ROUND(INDEX('1-DATA'!$1:$1048576,IF(OR($B221="STD. DEVIATION",$C$1=1),$A221,$A221+1),COLUMN('1-DATA'!T219)),IF($B221="STD. DEVIATION",2,$F$1))))</f>
        <v/>
      </c>
      <c r="V221" s="1" t="str">
        <f>IF(OR($B221="",V$7=""),"",IF($B221="MEANS",INDEX('1-DATA'!$1:$1048576,$A220-1,COLUMN('1-DATA'!U219)),ROUND(INDEX('1-DATA'!$1:$1048576,IF(OR($B221="STD. DEVIATION",$C$1=1),$A221,$A221+1),COLUMN('1-DATA'!U219)),IF($B221="STD. DEVIATION",2,$F$1))))</f>
        <v/>
      </c>
      <c r="W221" s="1" t="str">
        <f>IF(OR($B221="",W$7=""),"",IF($B221="MEANS",INDEX('1-DATA'!$1:$1048576,$A220-1,COLUMN('1-DATA'!V219)),ROUND(INDEX('1-DATA'!$1:$1048576,IF(OR($B221="STD. DEVIATION",$C$1=1),$A221,$A221+1),COLUMN('1-DATA'!V219)),IF($B221="STD. DEVIATION",2,$F$1))))</f>
        <v/>
      </c>
      <c r="X221" s="1" t="str">
        <f>IF(OR($B221="",X$7=""),"",IF($B221="MEANS",INDEX('1-DATA'!$1:$1048576,$A220-1,COLUMN('1-DATA'!W219)),ROUND(INDEX('1-DATA'!$1:$1048576,IF(OR($B221="STD. DEVIATION",$C$1=1),$A221,$A221+1),COLUMN('1-DATA'!W219)),IF($B221="STD. DEVIATION",2,$F$1))))</f>
        <v/>
      </c>
      <c r="Y221" s="1" t="str">
        <f>IF(OR($B221="",Y$7=""),"",IF($B221="MEANS",INDEX('1-DATA'!$1:$1048576,$A220-1,COLUMN('1-DATA'!X219)),ROUND(INDEX('1-DATA'!$1:$1048576,IF(OR($B221="STD. DEVIATION",$C$1=1),$A221,$A221+1),COLUMN('1-DATA'!X219)),IF($B221="STD. DEVIATION",2,$F$1))))</f>
        <v/>
      </c>
      <c r="Z221" s="1" t="str">
        <f>IF(OR($B221="",Z$7=""),"",IF($B221="MEANS",INDEX('1-DATA'!$1:$1048576,$A220-1,COLUMN('1-DATA'!Y219)),ROUND(INDEX('1-DATA'!$1:$1048576,IF(OR($B221="STD. DEVIATION",$C$1=1),$A221,$A221+1),COLUMN('1-DATA'!Y219)),IF($B221="STD. DEVIATION",2,$F$1))))</f>
        <v/>
      </c>
      <c r="AA221" s="1" t="str">
        <f>IF(OR($B221="",AA$7=""),"",IF($B221="MEANS",INDEX('1-DATA'!$1:$1048576,$A220-1,COLUMN('1-DATA'!Z219)),ROUND(INDEX('1-DATA'!$1:$1048576,IF(OR($B221="STD. DEVIATION",$C$1=1),$A221,$A221+1),COLUMN('1-DATA'!Z219)),IF($B221="STD. DEVIATION",2,$F$1))))</f>
        <v/>
      </c>
      <c r="AB221" s="1" t="str">
        <f>IF(OR($B221="",AB$7=""),"",IF($B221="MEANS",INDEX('1-DATA'!$1:$1048576,$A220-1,COLUMN('1-DATA'!AA219)),ROUND(INDEX('1-DATA'!$1:$1048576,IF(OR($B221="STD. DEVIATION",$C$1=1),$A221,$A221+1),COLUMN('1-DATA'!AA219)),IF($B221="STD. DEVIATION",2,$F$1))))</f>
        <v/>
      </c>
      <c r="AC221" s="1" t="str">
        <f>IF(OR($B221="",AC$7=""),"",IF($B221="MEANS",INDEX('1-DATA'!$1:$1048576,$A220-1,COLUMN('1-DATA'!AB219)),ROUND(INDEX('1-DATA'!$1:$1048576,IF(OR($B221="STD. DEVIATION",$C$1=1),$A221,$A221+1),COLUMN('1-DATA'!AB219)),IF($B221="STD. DEVIATION",2,$F$1))))</f>
        <v/>
      </c>
      <c r="AD221" s="1" t="str">
        <f>IF(OR($B221="",AD$7=""),"",IF($B221="MEANS",INDEX('1-DATA'!$1:$1048576,$A220-1,COLUMN('1-DATA'!AC219)),ROUND(INDEX('1-DATA'!$1:$1048576,IF(OR($B221="STD. DEVIATION",$C$1=1),$A221,$A221+1),COLUMN('1-DATA'!AC219)),IF($B221="STD. DEVIATION",2,$F$1))))</f>
        <v/>
      </c>
      <c r="AE221" s="1" t="str">
        <f>IF(OR($B221="",AE$7=""),"",IF($B221="MEANS",INDEX('1-DATA'!$1:$1048576,$A220-1,COLUMN('1-DATA'!AD219)),ROUND(INDEX('1-DATA'!$1:$1048576,IF(OR($B221="STD. DEVIATION",$C$1=1),$A221,$A221+1),COLUMN('1-DATA'!AD219)),IF($B221="STD. DEVIATION",2,$F$1))))</f>
        <v/>
      </c>
      <c r="AF221" s="1" t="str">
        <f>IF(OR($B221="",AF$7=""),"",IF($B221="MEANS",INDEX('1-DATA'!$1:$1048576,$A220-1,COLUMN('1-DATA'!AE219)),ROUND(INDEX('1-DATA'!$1:$1048576,IF(OR($B221="STD. DEVIATION",$C$1=1),$A221,$A221+1),COLUMN('1-DATA'!AE219)),IF($B221="STD. DEVIATION",2,$F$1))))</f>
        <v/>
      </c>
      <c r="AG221" s="1" t="str">
        <f>IF(OR($B221="",AG$7=""),"",IF($B221="MEANS",INDEX('1-DATA'!$1:$1048576,$A220-1,COLUMN('1-DATA'!AF219)),ROUND(INDEX('1-DATA'!$1:$1048576,IF(OR($B221="STD. DEVIATION",$C$1=1),$A221,$A221+1),COLUMN('1-DATA'!AF219)),IF($B221="STD. DEVIATION",2,$F$1))))</f>
        <v/>
      </c>
      <c r="AH221" s="1" t="str">
        <f>IF(OR($B221="",AH$7=""),"",IF($B221="MEANS",INDEX('1-DATA'!$1:$1048576,$A220-1,COLUMN('1-DATA'!AG219)),ROUND(INDEX('1-DATA'!$1:$1048576,IF(OR($B221="STD. DEVIATION",$C$1=1),$A221,$A221+1),COLUMN('1-DATA'!AG219)),IF($B221="STD. DEVIATION",2,$F$1))))</f>
        <v/>
      </c>
      <c r="AI221" s="1" t="str">
        <f>IF(OR($B221="",AI$7=""),"",IF($B221="MEANS",INDEX('1-DATA'!$1:$1048576,$A220-1,COLUMN('1-DATA'!AH219)),ROUND(INDEX('1-DATA'!$1:$1048576,IF(OR($B221="STD. DEVIATION",$C$1=1),$A221,$A221+1),COLUMN('1-DATA'!AH219)),IF($B221="STD. DEVIATION",2,$F$1))))</f>
        <v/>
      </c>
      <c r="AJ221" s="1" t="str">
        <f>IF(OR($B221="",AJ$7=""),"",IF($B221="MEANS",INDEX('1-DATA'!$1:$1048576,$A220-1,COLUMN('1-DATA'!AI219)),ROUND(INDEX('1-DATA'!$1:$1048576,IF(OR($B221="STD. DEVIATION",$C$1=1),$A221,$A221+1),COLUMN('1-DATA'!AI219)),IF($B221="STD. DEVIATION",2,$F$1))))</f>
        <v/>
      </c>
      <c r="AK221" s="1" t="str">
        <f>IF(OR($B221="",AK$7=""),"",IF($B221="MEANS",INDEX('1-DATA'!$1:$1048576,$A220-1,COLUMN('1-DATA'!AJ219)),ROUND(INDEX('1-DATA'!$1:$1048576,IF(OR($B221="STD. DEVIATION",$C$1=1),$A221,$A221+1),COLUMN('1-DATA'!AJ219)),IF($B221="STD. DEVIATION",2,$F$1))))</f>
        <v/>
      </c>
      <c r="AL221" s="1" t="str">
        <f>IF(OR($B221="",AL$7=""),"",IF($B221="MEANS",INDEX('1-DATA'!$1:$1048576,$A220-1,COLUMN('1-DATA'!AK219)),ROUND(INDEX('1-DATA'!$1:$1048576,IF(OR($B221="STD. DEVIATION",$C$1=1),$A221,$A221+1),COLUMN('1-DATA'!AK219)),IF($B221="STD. DEVIATION",2,$F$1))))</f>
        <v/>
      </c>
      <c r="AM221" s="1" t="str">
        <f>IF(OR($B221="",AM$7=""),"",IF($B221="MEANS",INDEX('1-DATA'!$1:$1048576,$A220-1,COLUMN('1-DATA'!AL219)),ROUND(INDEX('1-DATA'!$1:$1048576,IF(OR($B221="STD. DEVIATION",$C$1=1),$A221,$A221+1),COLUMN('1-DATA'!AL219)),IF($B221="STD. DEVIATION",2,$F$1))))</f>
        <v/>
      </c>
      <c r="AN221" s="1" t="str">
        <f>IF(OR($B221="",AN$7=""),"",IF($B221="MEANS",INDEX('1-DATA'!$1:$1048576,$A220-1,COLUMN('1-DATA'!AM219)),ROUND(INDEX('1-DATA'!$1:$1048576,IF(OR($B221="STD. DEVIATION",$C$1=1),$A221,$A221+1),COLUMN('1-DATA'!AM219)),IF($B221="STD. DEVIATION",2,$F$1))))</f>
        <v/>
      </c>
      <c r="AO221" s="1" t="str">
        <f>IF(OR($B221="",AO$7=""),"",IF($B221="MEANS",INDEX('1-DATA'!$1:$1048576,$A220-1,COLUMN('1-DATA'!AN219)),ROUND(INDEX('1-DATA'!$1:$1048576,IF(OR($B221="STD. DEVIATION",$C$1=1),$A221,$A221+1),COLUMN('1-DATA'!AN219)),IF($B221="STD. DEVIATION",2,$F$1))))</f>
        <v/>
      </c>
      <c r="AP221" s="1" t="str">
        <f>IF(OR($B221="",AP$7=""),"",IF($B221="MEANS",INDEX('1-DATA'!$1:$1048576,$A220-1,COLUMN('1-DATA'!AO219)),ROUND(INDEX('1-DATA'!$1:$1048576,IF(OR($B221="STD. DEVIATION",$C$1=1),$A221,$A221+1),COLUMN('1-DATA'!AO219)),IF($B221="STD. DEVIATION",2,$F$1))))</f>
        <v/>
      </c>
      <c r="AQ221" s="1" t="str">
        <f>IF(OR($B221="",AQ$7=""),"",IF($B221="MEANS",INDEX('1-DATA'!$1:$1048576,$A220-1,COLUMN('1-DATA'!AP219)),ROUND(INDEX('1-DATA'!$1:$1048576,IF(OR($B221="STD. DEVIATION",$C$1=1),$A221,$A221+1),COLUMN('1-DATA'!AP219)),IF($B221="STD. DEVIATION",2,$F$1))))</f>
        <v/>
      </c>
      <c r="AR221" s="1" t="str">
        <f>IF(OR($B221="",AR$7=""),"",IF($B221="MEANS",INDEX('1-DATA'!$1:$1048576,$A220-1,COLUMN('1-DATA'!AQ219)),ROUND(INDEX('1-DATA'!$1:$1048576,IF(OR($B221="STD. DEVIATION",$C$1=1),$A221,$A221+1),COLUMN('1-DATA'!AQ219)),IF($B221="STD. DEVIATION",2,$F$1))))</f>
        <v/>
      </c>
      <c r="AS221" s="1" t="str">
        <f>IF(OR($B221="",AS$7=""),"",IF($B221="MEANS",INDEX('1-DATA'!$1:$1048576,$A220-1,COLUMN('1-DATA'!AR219)),ROUND(INDEX('1-DATA'!$1:$1048576,IF(OR($B221="STD. DEVIATION",$C$1=1),$A221,$A221+1),COLUMN('1-DATA'!AR219)),IF($B221="STD. DEVIATION",2,$F$1))))</f>
        <v/>
      </c>
      <c r="AT221" s="1" t="str">
        <f>IF(OR($B221="",AT$7=""),"",IF($B221="MEANS",INDEX('1-DATA'!$1:$1048576,$A220-1,COLUMN('1-DATA'!AS219)),ROUND(INDEX('1-DATA'!$1:$1048576,IF(OR($B221="STD. DEVIATION",$C$1=1),$A221,$A221+1),COLUMN('1-DATA'!AS219)),IF($B221="STD. DEVIATION",2,$F$1))))</f>
        <v/>
      </c>
      <c r="AU221" s="1" t="str">
        <f>IF(OR($B221="",AU$7=""),"",IF($B221="MEANS",INDEX('1-DATA'!$1:$1048576,$A220-1,COLUMN('1-DATA'!AT219)),ROUND(INDEX('1-DATA'!$1:$1048576,IF(OR($B221="STD. DEVIATION",$C$1=1),$A221,$A221+1),COLUMN('1-DATA'!AT219)),IF($B221="STD. DEVIATION",2,$F$1))))</f>
        <v/>
      </c>
      <c r="AV221" s="1" t="str">
        <f>IF(OR($B221="",AV$7=""),"",IF($B221="MEANS",INDEX('1-DATA'!$1:$1048576,$A220-1,COLUMN('1-DATA'!AU219)),ROUND(INDEX('1-DATA'!$1:$1048576,IF(OR($B221="STD. DEVIATION",$C$1=1),$A221,$A221+1),COLUMN('1-DATA'!AU219)),IF($B221="STD. DEVIATION",2,$F$1))))</f>
        <v/>
      </c>
      <c r="AW221" s="1" t="str">
        <f>IF(OR($B221="",AW$7=""),"",IF($B221="MEANS",INDEX('1-DATA'!$1:$1048576,$A220-1,COLUMN('1-DATA'!AV219)),ROUND(INDEX('1-DATA'!$1:$1048576,IF(OR($B221="STD. DEVIATION",$C$1=1),$A221,$A221+1),COLUMN('1-DATA'!AV219)),IF($B221="STD. DEVIATION",2,$F$1))))</f>
        <v/>
      </c>
      <c r="AX221" s="1" t="str">
        <f>IF(OR($B221="",AX$7=""),"",IF($B221="MEANS",INDEX('1-DATA'!$1:$1048576,$A220-1,COLUMN('1-DATA'!AW219)),ROUND(INDEX('1-DATA'!$1:$1048576,IF(OR($B221="STD. DEVIATION",$C$1=1),$A221,$A221+1),COLUMN('1-DATA'!AW219)),IF($B221="STD. DEVIATION",2,$F$1))))</f>
        <v/>
      </c>
      <c r="AY221" s="1" t="str">
        <f>IF(OR($B221="",AY$7=""),"",IF($B221="MEANS",INDEX('1-DATA'!$1:$1048576,$A220-1,COLUMN('1-DATA'!AX219)),ROUND(INDEX('1-DATA'!$1:$1048576,IF(OR($B221="STD. DEVIATION",$C$1=1),$A221,$A221+1),COLUMN('1-DATA'!AX219)),IF($B221="STD. DEVIATION",2,$F$1))))</f>
        <v/>
      </c>
      <c r="AZ221" s="1" t="str">
        <f>IF(OR($B221="",AZ$7=""),"",IF($B221="MEANS",INDEX('1-DATA'!$1:$1048576,$A220-1,COLUMN('1-DATA'!AY219)),ROUND(INDEX('1-DATA'!$1:$1048576,IF(OR($B221="STD. DEVIATION",$C$1=1),$A221,$A221+1),COLUMN('1-DATA'!AY219)),IF($B221="STD. DEVIATION",2,$F$1))))</f>
        <v/>
      </c>
    </row>
    <row r="222" spans="1:52" x14ac:dyDescent="0.25">
      <c r="A222" s="11">
        <f t="shared" ref="A222:A285" si="4">A221+3</f>
        <v>652</v>
      </c>
      <c r="B222" s="1" t="str">
        <f>IF(B221="STD. DEVIATION",INDEX('1-DATA'!$1:$1048576,$A221-1,1),IF(INDEX('1-DATA'!$1:$1048576,$A222,1)&lt;&gt;"",INDEX('1-DATA'!$1:$1048576,$A222,1),""))</f>
        <v/>
      </c>
      <c r="C222" s="1" t="str">
        <f>IF(OR($B222="",C$7=""),"",IF($B222="MEANS",INDEX('1-DATA'!$1:$1048576,$A221-1,COLUMN('1-DATA'!B220)),ROUND(INDEX('1-DATA'!$1:$1048576,IF(OR($B222="STD. DEVIATION",$C$1=1),$A222,$A222+1),COLUMN('1-DATA'!B220)),IF($B222="STD. DEVIATION",2,$F$1))))</f>
        <v/>
      </c>
      <c r="D222" s="1" t="str">
        <f>IF(OR($B222="",D$7=""),"",IF($B222="MEANS",INDEX('1-DATA'!$1:$1048576,$A221-1,COLUMN('1-DATA'!C220)),ROUND(INDEX('1-DATA'!$1:$1048576,IF(OR($B222="STD. DEVIATION",$C$1=1),$A222,$A222+1),COLUMN('1-DATA'!C220)),IF($B222="STD. DEVIATION",2,$F$1))))</f>
        <v/>
      </c>
      <c r="E222" s="1" t="str">
        <f>IF(OR($B222="",E$7=""),"",IF($B222="MEANS",INDEX('1-DATA'!$1:$1048576,$A221-1,COLUMN('1-DATA'!D220)),ROUND(INDEX('1-DATA'!$1:$1048576,IF(OR($B222="STD. DEVIATION",$C$1=1),$A222,$A222+1),COLUMN('1-DATA'!D220)),IF($B222="STD. DEVIATION",2,$F$1))))</f>
        <v/>
      </c>
      <c r="F222" s="1" t="str">
        <f>IF(OR($B222="",F$7=""),"",IF($B222="MEANS",INDEX('1-DATA'!$1:$1048576,$A221-1,COLUMN('1-DATA'!E220)),ROUND(INDEX('1-DATA'!$1:$1048576,IF(OR($B222="STD. DEVIATION",$C$1=1),$A222,$A222+1),COLUMN('1-DATA'!E220)),IF($B222="STD. DEVIATION",2,$F$1))))</f>
        <v/>
      </c>
      <c r="G222" s="1" t="str">
        <f>IF(OR($B222="",G$7=""),"",IF($B222="MEANS",INDEX('1-DATA'!$1:$1048576,$A221-1,COLUMN('1-DATA'!F220)),ROUND(INDEX('1-DATA'!$1:$1048576,IF(OR($B222="STD. DEVIATION",$C$1=1),$A222,$A222+1),COLUMN('1-DATA'!F220)),IF($B222="STD. DEVIATION",2,$F$1))))</f>
        <v/>
      </c>
      <c r="H222" s="1" t="str">
        <f>IF(OR($B222="",H$7=""),"",IF($B222="MEANS",INDEX('1-DATA'!$1:$1048576,$A221-1,COLUMN('1-DATA'!G220)),ROUND(INDEX('1-DATA'!$1:$1048576,IF(OR($B222="STD. DEVIATION",$C$1=1),$A222,$A222+1),COLUMN('1-DATA'!G220)),IF($B222="STD. DEVIATION",2,$F$1))))</f>
        <v/>
      </c>
      <c r="I222" s="1" t="str">
        <f>IF(OR($B222="",I$7=""),"",IF($B222="MEANS",INDEX('1-DATA'!$1:$1048576,$A221-1,COLUMN('1-DATA'!H220)),ROUND(INDEX('1-DATA'!$1:$1048576,IF(OR($B222="STD. DEVIATION",$C$1=1),$A222,$A222+1),COLUMN('1-DATA'!H220)),IF($B222="STD. DEVIATION",2,$F$1))))</f>
        <v/>
      </c>
      <c r="J222" s="1" t="str">
        <f>IF(OR($B222="",J$7=""),"",IF($B222="MEANS",INDEX('1-DATA'!$1:$1048576,$A221-1,COLUMN('1-DATA'!I220)),ROUND(INDEX('1-DATA'!$1:$1048576,IF(OR($B222="STD. DEVIATION",$C$1=1),$A222,$A222+1),COLUMN('1-DATA'!I220)),IF($B222="STD. DEVIATION",2,$F$1))))</f>
        <v/>
      </c>
      <c r="K222" s="1" t="str">
        <f>IF(OR($B222="",K$7=""),"",IF($B222="MEANS",INDEX('1-DATA'!$1:$1048576,$A221-1,COLUMN('1-DATA'!J220)),ROUND(INDEX('1-DATA'!$1:$1048576,IF(OR($B222="STD. DEVIATION",$C$1=1),$A222,$A222+1),COLUMN('1-DATA'!J220)),IF($B222="STD. DEVIATION",2,$F$1))))</f>
        <v/>
      </c>
      <c r="L222" s="1" t="str">
        <f>IF(OR($B222="",L$7=""),"",IF($B222="MEANS",INDEX('1-DATA'!$1:$1048576,$A221-1,COLUMN('1-DATA'!K220)),ROUND(INDEX('1-DATA'!$1:$1048576,IF(OR($B222="STD. DEVIATION",$C$1=1),$A222,$A222+1),COLUMN('1-DATA'!K220)),IF($B222="STD. DEVIATION",2,$F$1))))</f>
        <v/>
      </c>
      <c r="M222" s="1" t="str">
        <f>IF(OR($B222="",M$7=""),"",IF($B222="MEANS",INDEX('1-DATA'!$1:$1048576,$A221-1,COLUMN('1-DATA'!L220)),ROUND(INDEX('1-DATA'!$1:$1048576,IF(OR($B222="STD. DEVIATION",$C$1=1),$A222,$A222+1),COLUMN('1-DATA'!L220)),IF($B222="STD. DEVIATION",2,$F$1))))</f>
        <v/>
      </c>
      <c r="N222" s="1" t="str">
        <f>IF(OR($B222="",N$7=""),"",IF($B222="MEANS",INDEX('1-DATA'!$1:$1048576,$A221-1,COLUMN('1-DATA'!M220)),ROUND(INDEX('1-DATA'!$1:$1048576,IF(OR($B222="STD. DEVIATION",$C$1=1),$A222,$A222+1),COLUMN('1-DATA'!M220)),IF($B222="STD. DEVIATION",2,$F$1))))</f>
        <v/>
      </c>
      <c r="O222" s="1" t="str">
        <f>IF(OR($B222="",O$7=""),"",IF($B222="MEANS",INDEX('1-DATA'!$1:$1048576,$A221-1,COLUMN('1-DATA'!N220)),ROUND(INDEX('1-DATA'!$1:$1048576,IF(OR($B222="STD. DEVIATION",$C$1=1),$A222,$A222+1),COLUMN('1-DATA'!N220)),IF($B222="STD. DEVIATION",2,$F$1))))</f>
        <v/>
      </c>
      <c r="P222" s="1" t="str">
        <f>IF(OR($B222="",P$7=""),"",IF($B222="MEANS",INDEX('1-DATA'!$1:$1048576,$A221-1,COLUMN('1-DATA'!O220)),ROUND(INDEX('1-DATA'!$1:$1048576,IF(OR($B222="STD. DEVIATION",$C$1=1),$A222,$A222+1),COLUMN('1-DATA'!O220)),IF($B222="STD. DEVIATION",2,$F$1))))</f>
        <v/>
      </c>
      <c r="Q222" s="1" t="str">
        <f>IF(OR($B222="",Q$7=""),"",IF($B222="MEANS",INDEX('1-DATA'!$1:$1048576,$A221-1,COLUMN('1-DATA'!P220)),ROUND(INDEX('1-DATA'!$1:$1048576,IF(OR($B222="STD. DEVIATION",$C$1=1),$A222,$A222+1),COLUMN('1-DATA'!P220)),IF($B222="STD. DEVIATION",2,$F$1))))</f>
        <v/>
      </c>
      <c r="R222" s="1" t="str">
        <f>IF(OR($B222="",R$7=""),"",IF($B222="MEANS",INDEX('1-DATA'!$1:$1048576,$A221-1,COLUMN('1-DATA'!Q220)),ROUND(INDEX('1-DATA'!$1:$1048576,IF(OR($B222="STD. DEVIATION",$C$1=1),$A222,$A222+1),COLUMN('1-DATA'!Q220)),IF($B222="STD. DEVIATION",2,$F$1))))</f>
        <v/>
      </c>
      <c r="S222" s="1" t="str">
        <f>IF(OR($B222="",S$7=""),"",IF($B222="MEANS",INDEX('1-DATA'!$1:$1048576,$A221-1,COLUMN('1-DATA'!R220)),ROUND(INDEX('1-DATA'!$1:$1048576,IF(OR($B222="STD. DEVIATION",$C$1=1),$A222,$A222+1),COLUMN('1-DATA'!R220)),IF($B222="STD. DEVIATION",2,$F$1))))</f>
        <v/>
      </c>
      <c r="T222" s="1" t="str">
        <f>IF(OR($B222="",T$7=""),"",IF($B222="MEANS",INDEX('1-DATA'!$1:$1048576,$A221-1,COLUMN('1-DATA'!S220)),ROUND(INDEX('1-DATA'!$1:$1048576,IF(OR($B222="STD. DEVIATION",$C$1=1),$A222,$A222+1),COLUMN('1-DATA'!S220)),IF($B222="STD. DEVIATION",2,$F$1))))</f>
        <v/>
      </c>
      <c r="U222" s="1" t="str">
        <f>IF(OR($B222="",U$7=""),"",IF($B222="MEANS",INDEX('1-DATA'!$1:$1048576,$A221-1,COLUMN('1-DATA'!T220)),ROUND(INDEX('1-DATA'!$1:$1048576,IF(OR($B222="STD. DEVIATION",$C$1=1),$A222,$A222+1),COLUMN('1-DATA'!T220)),IF($B222="STD. DEVIATION",2,$F$1))))</f>
        <v/>
      </c>
      <c r="V222" s="1" t="str">
        <f>IF(OR($B222="",V$7=""),"",IF($B222="MEANS",INDEX('1-DATA'!$1:$1048576,$A221-1,COLUMN('1-DATA'!U220)),ROUND(INDEX('1-DATA'!$1:$1048576,IF(OR($B222="STD. DEVIATION",$C$1=1),$A222,$A222+1),COLUMN('1-DATA'!U220)),IF($B222="STD. DEVIATION",2,$F$1))))</f>
        <v/>
      </c>
      <c r="W222" s="1" t="str">
        <f>IF(OR($B222="",W$7=""),"",IF($B222="MEANS",INDEX('1-DATA'!$1:$1048576,$A221-1,COLUMN('1-DATA'!V220)),ROUND(INDEX('1-DATA'!$1:$1048576,IF(OR($B222="STD. DEVIATION",$C$1=1),$A222,$A222+1),COLUMN('1-DATA'!V220)),IF($B222="STD. DEVIATION",2,$F$1))))</f>
        <v/>
      </c>
      <c r="X222" s="1" t="str">
        <f>IF(OR($B222="",X$7=""),"",IF($B222="MEANS",INDEX('1-DATA'!$1:$1048576,$A221-1,COLUMN('1-DATA'!W220)),ROUND(INDEX('1-DATA'!$1:$1048576,IF(OR($B222="STD. DEVIATION",$C$1=1),$A222,$A222+1),COLUMN('1-DATA'!W220)),IF($B222="STD. DEVIATION",2,$F$1))))</f>
        <v/>
      </c>
      <c r="Y222" s="1" t="str">
        <f>IF(OR($B222="",Y$7=""),"",IF($B222="MEANS",INDEX('1-DATA'!$1:$1048576,$A221-1,COLUMN('1-DATA'!X220)),ROUND(INDEX('1-DATA'!$1:$1048576,IF(OR($B222="STD. DEVIATION",$C$1=1),$A222,$A222+1),COLUMN('1-DATA'!X220)),IF($B222="STD. DEVIATION",2,$F$1))))</f>
        <v/>
      </c>
      <c r="Z222" s="1" t="str">
        <f>IF(OR($B222="",Z$7=""),"",IF($B222="MEANS",INDEX('1-DATA'!$1:$1048576,$A221-1,COLUMN('1-DATA'!Y220)),ROUND(INDEX('1-DATA'!$1:$1048576,IF(OR($B222="STD. DEVIATION",$C$1=1),$A222,$A222+1),COLUMN('1-DATA'!Y220)),IF($B222="STD. DEVIATION",2,$F$1))))</f>
        <v/>
      </c>
      <c r="AA222" s="1" t="str">
        <f>IF(OR($B222="",AA$7=""),"",IF($B222="MEANS",INDEX('1-DATA'!$1:$1048576,$A221-1,COLUMN('1-DATA'!Z220)),ROUND(INDEX('1-DATA'!$1:$1048576,IF(OR($B222="STD. DEVIATION",$C$1=1),$A222,$A222+1),COLUMN('1-DATA'!Z220)),IF($B222="STD. DEVIATION",2,$F$1))))</f>
        <v/>
      </c>
      <c r="AB222" s="1" t="str">
        <f>IF(OR($B222="",AB$7=""),"",IF($B222="MEANS",INDEX('1-DATA'!$1:$1048576,$A221-1,COLUMN('1-DATA'!AA220)),ROUND(INDEX('1-DATA'!$1:$1048576,IF(OR($B222="STD. DEVIATION",$C$1=1),$A222,$A222+1),COLUMN('1-DATA'!AA220)),IF($B222="STD. DEVIATION",2,$F$1))))</f>
        <v/>
      </c>
      <c r="AC222" s="1" t="str">
        <f>IF(OR($B222="",AC$7=""),"",IF($B222="MEANS",INDEX('1-DATA'!$1:$1048576,$A221-1,COLUMN('1-DATA'!AB220)),ROUND(INDEX('1-DATA'!$1:$1048576,IF(OR($B222="STD. DEVIATION",$C$1=1),$A222,$A222+1),COLUMN('1-DATA'!AB220)),IF($B222="STD. DEVIATION",2,$F$1))))</f>
        <v/>
      </c>
      <c r="AD222" s="1" t="str">
        <f>IF(OR($B222="",AD$7=""),"",IF($B222="MEANS",INDEX('1-DATA'!$1:$1048576,$A221-1,COLUMN('1-DATA'!AC220)),ROUND(INDEX('1-DATA'!$1:$1048576,IF(OR($B222="STD. DEVIATION",$C$1=1),$A222,$A222+1),COLUMN('1-DATA'!AC220)),IF($B222="STD. DEVIATION",2,$F$1))))</f>
        <v/>
      </c>
      <c r="AE222" s="1" t="str">
        <f>IF(OR($B222="",AE$7=""),"",IF($B222="MEANS",INDEX('1-DATA'!$1:$1048576,$A221-1,COLUMN('1-DATA'!AD220)),ROUND(INDEX('1-DATA'!$1:$1048576,IF(OR($B222="STD. DEVIATION",$C$1=1),$A222,$A222+1),COLUMN('1-DATA'!AD220)),IF($B222="STD. DEVIATION",2,$F$1))))</f>
        <v/>
      </c>
      <c r="AF222" s="1" t="str">
        <f>IF(OR($B222="",AF$7=""),"",IF($B222="MEANS",INDEX('1-DATA'!$1:$1048576,$A221-1,COLUMN('1-DATA'!AE220)),ROUND(INDEX('1-DATA'!$1:$1048576,IF(OR($B222="STD. DEVIATION",$C$1=1),$A222,$A222+1),COLUMN('1-DATA'!AE220)),IF($B222="STD. DEVIATION",2,$F$1))))</f>
        <v/>
      </c>
      <c r="AG222" s="1" t="str">
        <f>IF(OR($B222="",AG$7=""),"",IF($B222="MEANS",INDEX('1-DATA'!$1:$1048576,$A221-1,COLUMN('1-DATA'!AF220)),ROUND(INDEX('1-DATA'!$1:$1048576,IF(OR($B222="STD. DEVIATION",$C$1=1),$A222,$A222+1),COLUMN('1-DATA'!AF220)),IF($B222="STD. DEVIATION",2,$F$1))))</f>
        <v/>
      </c>
      <c r="AH222" s="1" t="str">
        <f>IF(OR($B222="",AH$7=""),"",IF($B222="MEANS",INDEX('1-DATA'!$1:$1048576,$A221-1,COLUMN('1-DATA'!AG220)),ROUND(INDEX('1-DATA'!$1:$1048576,IF(OR($B222="STD. DEVIATION",$C$1=1),$A222,$A222+1),COLUMN('1-DATA'!AG220)),IF($B222="STD. DEVIATION",2,$F$1))))</f>
        <v/>
      </c>
      <c r="AI222" s="1" t="str">
        <f>IF(OR($B222="",AI$7=""),"",IF($B222="MEANS",INDEX('1-DATA'!$1:$1048576,$A221-1,COLUMN('1-DATA'!AH220)),ROUND(INDEX('1-DATA'!$1:$1048576,IF(OR($B222="STD. DEVIATION",$C$1=1),$A222,$A222+1),COLUMN('1-DATA'!AH220)),IF($B222="STD. DEVIATION",2,$F$1))))</f>
        <v/>
      </c>
      <c r="AJ222" s="1" t="str">
        <f>IF(OR($B222="",AJ$7=""),"",IF($B222="MEANS",INDEX('1-DATA'!$1:$1048576,$A221-1,COLUMN('1-DATA'!AI220)),ROUND(INDEX('1-DATA'!$1:$1048576,IF(OR($B222="STD. DEVIATION",$C$1=1),$A222,$A222+1),COLUMN('1-DATA'!AI220)),IF($B222="STD. DEVIATION",2,$F$1))))</f>
        <v/>
      </c>
      <c r="AK222" s="1" t="str">
        <f>IF(OR($B222="",AK$7=""),"",IF($B222="MEANS",INDEX('1-DATA'!$1:$1048576,$A221-1,COLUMN('1-DATA'!AJ220)),ROUND(INDEX('1-DATA'!$1:$1048576,IF(OR($B222="STD. DEVIATION",$C$1=1),$A222,$A222+1),COLUMN('1-DATA'!AJ220)),IF($B222="STD. DEVIATION",2,$F$1))))</f>
        <v/>
      </c>
      <c r="AL222" s="1" t="str">
        <f>IF(OR($B222="",AL$7=""),"",IF($B222="MEANS",INDEX('1-DATA'!$1:$1048576,$A221-1,COLUMN('1-DATA'!AK220)),ROUND(INDEX('1-DATA'!$1:$1048576,IF(OR($B222="STD. DEVIATION",$C$1=1),$A222,$A222+1),COLUMN('1-DATA'!AK220)),IF($B222="STD. DEVIATION",2,$F$1))))</f>
        <v/>
      </c>
      <c r="AM222" s="1" t="str">
        <f>IF(OR($B222="",AM$7=""),"",IF($B222="MEANS",INDEX('1-DATA'!$1:$1048576,$A221-1,COLUMN('1-DATA'!AL220)),ROUND(INDEX('1-DATA'!$1:$1048576,IF(OR($B222="STD. DEVIATION",$C$1=1),$A222,$A222+1),COLUMN('1-DATA'!AL220)),IF($B222="STD. DEVIATION",2,$F$1))))</f>
        <v/>
      </c>
      <c r="AN222" s="1" t="str">
        <f>IF(OR($B222="",AN$7=""),"",IF($B222="MEANS",INDEX('1-DATA'!$1:$1048576,$A221-1,COLUMN('1-DATA'!AM220)),ROUND(INDEX('1-DATA'!$1:$1048576,IF(OR($B222="STD. DEVIATION",$C$1=1),$A222,$A222+1),COLUMN('1-DATA'!AM220)),IF($B222="STD. DEVIATION",2,$F$1))))</f>
        <v/>
      </c>
      <c r="AO222" s="1" t="str">
        <f>IF(OR($B222="",AO$7=""),"",IF($B222="MEANS",INDEX('1-DATA'!$1:$1048576,$A221-1,COLUMN('1-DATA'!AN220)),ROUND(INDEX('1-DATA'!$1:$1048576,IF(OR($B222="STD. DEVIATION",$C$1=1),$A222,$A222+1),COLUMN('1-DATA'!AN220)),IF($B222="STD. DEVIATION",2,$F$1))))</f>
        <v/>
      </c>
      <c r="AP222" s="1" t="str">
        <f>IF(OR($B222="",AP$7=""),"",IF($B222="MEANS",INDEX('1-DATA'!$1:$1048576,$A221-1,COLUMN('1-DATA'!AO220)),ROUND(INDEX('1-DATA'!$1:$1048576,IF(OR($B222="STD. DEVIATION",$C$1=1),$A222,$A222+1),COLUMN('1-DATA'!AO220)),IF($B222="STD. DEVIATION",2,$F$1))))</f>
        <v/>
      </c>
      <c r="AQ222" s="1" t="str">
        <f>IF(OR($B222="",AQ$7=""),"",IF($B222="MEANS",INDEX('1-DATA'!$1:$1048576,$A221-1,COLUMN('1-DATA'!AP220)),ROUND(INDEX('1-DATA'!$1:$1048576,IF(OR($B222="STD. DEVIATION",$C$1=1),$A222,$A222+1),COLUMN('1-DATA'!AP220)),IF($B222="STD. DEVIATION",2,$F$1))))</f>
        <v/>
      </c>
      <c r="AR222" s="1" t="str">
        <f>IF(OR($B222="",AR$7=""),"",IF($B222="MEANS",INDEX('1-DATA'!$1:$1048576,$A221-1,COLUMN('1-DATA'!AQ220)),ROUND(INDEX('1-DATA'!$1:$1048576,IF(OR($B222="STD. DEVIATION",$C$1=1),$A222,$A222+1),COLUMN('1-DATA'!AQ220)),IF($B222="STD. DEVIATION",2,$F$1))))</f>
        <v/>
      </c>
      <c r="AS222" s="1" t="str">
        <f>IF(OR($B222="",AS$7=""),"",IF($B222="MEANS",INDEX('1-DATA'!$1:$1048576,$A221-1,COLUMN('1-DATA'!AR220)),ROUND(INDEX('1-DATA'!$1:$1048576,IF(OR($B222="STD. DEVIATION",$C$1=1),$A222,$A222+1),COLUMN('1-DATA'!AR220)),IF($B222="STD. DEVIATION",2,$F$1))))</f>
        <v/>
      </c>
      <c r="AT222" s="1" t="str">
        <f>IF(OR($B222="",AT$7=""),"",IF($B222="MEANS",INDEX('1-DATA'!$1:$1048576,$A221-1,COLUMN('1-DATA'!AS220)),ROUND(INDEX('1-DATA'!$1:$1048576,IF(OR($B222="STD. DEVIATION",$C$1=1),$A222,$A222+1),COLUMN('1-DATA'!AS220)),IF($B222="STD. DEVIATION",2,$F$1))))</f>
        <v/>
      </c>
      <c r="AU222" s="1" t="str">
        <f>IF(OR($B222="",AU$7=""),"",IF($B222="MEANS",INDEX('1-DATA'!$1:$1048576,$A221-1,COLUMN('1-DATA'!AT220)),ROUND(INDEX('1-DATA'!$1:$1048576,IF(OR($B222="STD. DEVIATION",$C$1=1),$A222,$A222+1),COLUMN('1-DATA'!AT220)),IF($B222="STD. DEVIATION",2,$F$1))))</f>
        <v/>
      </c>
      <c r="AV222" s="1" t="str">
        <f>IF(OR($B222="",AV$7=""),"",IF($B222="MEANS",INDEX('1-DATA'!$1:$1048576,$A221-1,COLUMN('1-DATA'!AU220)),ROUND(INDEX('1-DATA'!$1:$1048576,IF(OR($B222="STD. DEVIATION",$C$1=1),$A222,$A222+1),COLUMN('1-DATA'!AU220)),IF($B222="STD. DEVIATION",2,$F$1))))</f>
        <v/>
      </c>
      <c r="AW222" s="1" t="str">
        <f>IF(OR($B222="",AW$7=""),"",IF($B222="MEANS",INDEX('1-DATA'!$1:$1048576,$A221-1,COLUMN('1-DATA'!AV220)),ROUND(INDEX('1-DATA'!$1:$1048576,IF(OR($B222="STD. DEVIATION",$C$1=1),$A222,$A222+1),COLUMN('1-DATA'!AV220)),IF($B222="STD. DEVIATION",2,$F$1))))</f>
        <v/>
      </c>
      <c r="AX222" s="1" t="str">
        <f>IF(OR($B222="",AX$7=""),"",IF($B222="MEANS",INDEX('1-DATA'!$1:$1048576,$A221-1,COLUMN('1-DATA'!AW220)),ROUND(INDEX('1-DATA'!$1:$1048576,IF(OR($B222="STD. DEVIATION",$C$1=1),$A222,$A222+1),COLUMN('1-DATA'!AW220)),IF($B222="STD. DEVIATION",2,$F$1))))</f>
        <v/>
      </c>
      <c r="AY222" s="1" t="str">
        <f>IF(OR($B222="",AY$7=""),"",IF($B222="MEANS",INDEX('1-DATA'!$1:$1048576,$A221-1,COLUMN('1-DATA'!AX220)),ROUND(INDEX('1-DATA'!$1:$1048576,IF(OR($B222="STD. DEVIATION",$C$1=1),$A222,$A222+1),COLUMN('1-DATA'!AX220)),IF($B222="STD. DEVIATION",2,$F$1))))</f>
        <v/>
      </c>
      <c r="AZ222" s="1" t="str">
        <f>IF(OR($B222="",AZ$7=""),"",IF($B222="MEANS",INDEX('1-DATA'!$1:$1048576,$A221-1,COLUMN('1-DATA'!AY220)),ROUND(INDEX('1-DATA'!$1:$1048576,IF(OR($B222="STD. DEVIATION",$C$1=1),$A222,$A222+1),COLUMN('1-DATA'!AY220)),IF($B222="STD. DEVIATION",2,$F$1))))</f>
        <v/>
      </c>
    </row>
    <row r="223" spans="1:52" x14ac:dyDescent="0.25">
      <c r="A223" s="11">
        <f t="shared" si="4"/>
        <v>655</v>
      </c>
      <c r="B223" s="1" t="str">
        <f>IF(B222="STD. DEVIATION",INDEX('1-DATA'!$1:$1048576,$A222-1,1),IF(INDEX('1-DATA'!$1:$1048576,$A223,1)&lt;&gt;"",INDEX('1-DATA'!$1:$1048576,$A223,1),""))</f>
        <v/>
      </c>
      <c r="C223" s="1" t="str">
        <f>IF(OR($B223="",C$7=""),"",IF($B223="MEANS",INDEX('1-DATA'!$1:$1048576,$A222-1,COLUMN('1-DATA'!B221)),ROUND(INDEX('1-DATA'!$1:$1048576,IF(OR($B223="STD. DEVIATION",$C$1=1),$A223,$A223+1),COLUMN('1-DATA'!B221)),IF($B223="STD. DEVIATION",2,$F$1))))</f>
        <v/>
      </c>
      <c r="D223" s="1" t="str">
        <f>IF(OR($B223="",D$7=""),"",IF($B223="MEANS",INDEX('1-DATA'!$1:$1048576,$A222-1,COLUMN('1-DATA'!C221)),ROUND(INDEX('1-DATA'!$1:$1048576,IF(OR($B223="STD. DEVIATION",$C$1=1),$A223,$A223+1),COLUMN('1-DATA'!C221)),IF($B223="STD. DEVIATION",2,$F$1))))</f>
        <v/>
      </c>
      <c r="E223" s="1" t="str">
        <f>IF(OR($B223="",E$7=""),"",IF($B223="MEANS",INDEX('1-DATA'!$1:$1048576,$A222-1,COLUMN('1-DATA'!D221)),ROUND(INDEX('1-DATA'!$1:$1048576,IF(OR($B223="STD. DEVIATION",$C$1=1),$A223,$A223+1),COLUMN('1-DATA'!D221)),IF($B223="STD. DEVIATION",2,$F$1))))</f>
        <v/>
      </c>
      <c r="F223" s="1" t="str">
        <f>IF(OR($B223="",F$7=""),"",IF($B223="MEANS",INDEX('1-DATA'!$1:$1048576,$A222-1,COLUMN('1-DATA'!E221)),ROUND(INDEX('1-DATA'!$1:$1048576,IF(OR($B223="STD. DEVIATION",$C$1=1),$A223,$A223+1),COLUMN('1-DATA'!E221)),IF($B223="STD. DEVIATION",2,$F$1))))</f>
        <v/>
      </c>
      <c r="G223" s="1" t="str">
        <f>IF(OR($B223="",G$7=""),"",IF($B223="MEANS",INDEX('1-DATA'!$1:$1048576,$A222-1,COLUMN('1-DATA'!F221)),ROUND(INDEX('1-DATA'!$1:$1048576,IF(OR($B223="STD. DEVIATION",$C$1=1),$A223,$A223+1),COLUMN('1-DATA'!F221)),IF($B223="STD. DEVIATION",2,$F$1))))</f>
        <v/>
      </c>
      <c r="H223" s="1" t="str">
        <f>IF(OR($B223="",H$7=""),"",IF($B223="MEANS",INDEX('1-DATA'!$1:$1048576,$A222-1,COLUMN('1-DATA'!G221)),ROUND(INDEX('1-DATA'!$1:$1048576,IF(OR($B223="STD. DEVIATION",$C$1=1),$A223,$A223+1),COLUMN('1-DATA'!G221)),IF($B223="STD. DEVIATION",2,$F$1))))</f>
        <v/>
      </c>
      <c r="I223" s="1" t="str">
        <f>IF(OR($B223="",I$7=""),"",IF($B223="MEANS",INDEX('1-DATA'!$1:$1048576,$A222-1,COLUMN('1-DATA'!H221)),ROUND(INDEX('1-DATA'!$1:$1048576,IF(OR($B223="STD. DEVIATION",$C$1=1),$A223,$A223+1),COLUMN('1-DATA'!H221)),IF($B223="STD. DEVIATION",2,$F$1))))</f>
        <v/>
      </c>
      <c r="J223" s="1" t="str">
        <f>IF(OR($B223="",J$7=""),"",IF($B223="MEANS",INDEX('1-DATA'!$1:$1048576,$A222-1,COLUMN('1-DATA'!I221)),ROUND(INDEX('1-DATA'!$1:$1048576,IF(OR($B223="STD. DEVIATION",$C$1=1),$A223,$A223+1),COLUMN('1-DATA'!I221)),IF($B223="STD. DEVIATION",2,$F$1))))</f>
        <v/>
      </c>
      <c r="K223" s="1" t="str">
        <f>IF(OR($B223="",K$7=""),"",IF($B223="MEANS",INDEX('1-DATA'!$1:$1048576,$A222-1,COLUMN('1-DATA'!J221)),ROUND(INDEX('1-DATA'!$1:$1048576,IF(OR($B223="STD. DEVIATION",$C$1=1),$A223,$A223+1),COLUMN('1-DATA'!J221)),IF($B223="STD. DEVIATION",2,$F$1))))</f>
        <v/>
      </c>
      <c r="L223" s="1" t="str">
        <f>IF(OR($B223="",L$7=""),"",IF($B223="MEANS",INDEX('1-DATA'!$1:$1048576,$A222-1,COLUMN('1-DATA'!K221)),ROUND(INDEX('1-DATA'!$1:$1048576,IF(OR($B223="STD. DEVIATION",$C$1=1),$A223,$A223+1),COLUMN('1-DATA'!K221)),IF($B223="STD. DEVIATION",2,$F$1))))</f>
        <v/>
      </c>
      <c r="M223" s="1" t="str">
        <f>IF(OR($B223="",M$7=""),"",IF($B223="MEANS",INDEX('1-DATA'!$1:$1048576,$A222-1,COLUMN('1-DATA'!L221)),ROUND(INDEX('1-DATA'!$1:$1048576,IF(OR($B223="STD. DEVIATION",$C$1=1),$A223,$A223+1),COLUMN('1-DATA'!L221)),IF($B223="STD. DEVIATION",2,$F$1))))</f>
        <v/>
      </c>
      <c r="N223" s="1" t="str">
        <f>IF(OR($B223="",N$7=""),"",IF($B223="MEANS",INDEX('1-DATA'!$1:$1048576,$A222-1,COLUMN('1-DATA'!M221)),ROUND(INDEX('1-DATA'!$1:$1048576,IF(OR($B223="STD. DEVIATION",$C$1=1),$A223,$A223+1),COLUMN('1-DATA'!M221)),IF($B223="STD. DEVIATION",2,$F$1))))</f>
        <v/>
      </c>
      <c r="O223" s="1" t="str">
        <f>IF(OR($B223="",O$7=""),"",IF($B223="MEANS",INDEX('1-DATA'!$1:$1048576,$A222-1,COLUMN('1-DATA'!N221)),ROUND(INDEX('1-DATA'!$1:$1048576,IF(OR($B223="STD. DEVIATION",$C$1=1),$A223,$A223+1),COLUMN('1-DATA'!N221)),IF($B223="STD. DEVIATION",2,$F$1))))</f>
        <v/>
      </c>
      <c r="P223" s="1" t="str">
        <f>IF(OR($B223="",P$7=""),"",IF($B223="MEANS",INDEX('1-DATA'!$1:$1048576,$A222-1,COLUMN('1-DATA'!O221)),ROUND(INDEX('1-DATA'!$1:$1048576,IF(OR($B223="STD. DEVIATION",$C$1=1),$A223,$A223+1),COLUMN('1-DATA'!O221)),IF($B223="STD. DEVIATION",2,$F$1))))</f>
        <v/>
      </c>
      <c r="Q223" s="1" t="str">
        <f>IF(OR($B223="",Q$7=""),"",IF($B223="MEANS",INDEX('1-DATA'!$1:$1048576,$A222-1,COLUMN('1-DATA'!P221)),ROUND(INDEX('1-DATA'!$1:$1048576,IF(OR($B223="STD. DEVIATION",$C$1=1),$A223,$A223+1),COLUMN('1-DATA'!P221)),IF($B223="STD. DEVIATION",2,$F$1))))</f>
        <v/>
      </c>
      <c r="R223" s="1" t="str">
        <f>IF(OR($B223="",R$7=""),"",IF($B223="MEANS",INDEX('1-DATA'!$1:$1048576,$A222-1,COLUMN('1-DATA'!Q221)),ROUND(INDEX('1-DATA'!$1:$1048576,IF(OR($B223="STD. DEVIATION",$C$1=1),$A223,$A223+1),COLUMN('1-DATA'!Q221)),IF($B223="STD. DEVIATION",2,$F$1))))</f>
        <v/>
      </c>
      <c r="S223" s="1" t="str">
        <f>IF(OR($B223="",S$7=""),"",IF($B223="MEANS",INDEX('1-DATA'!$1:$1048576,$A222-1,COLUMN('1-DATA'!R221)),ROUND(INDEX('1-DATA'!$1:$1048576,IF(OR($B223="STD. DEVIATION",$C$1=1),$A223,$A223+1),COLUMN('1-DATA'!R221)),IF($B223="STD. DEVIATION",2,$F$1))))</f>
        <v/>
      </c>
      <c r="T223" s="1" t="str">
        <f>IF(OR($B223="",T$7=""),"",IF($B223="MEANS",INDEX('1-DATA'!$1:$1048576,$A222-1,COLUMN('1-DATA'!S221)),ROUND(INDEX('1-DATA'!$1:$1048576,IF(OR($B223="STD. DEVIATION",$C$1=1),$A223,$A223+1),COLUMN('1-DATA'!S221)),IF($B223="STD. DEVIATION",2,$F$1))))</f>
        <v/>
      </c>
      <c r="U223" s="1" t="str">
        <f>IF(OR($B223="",U$7=""),"",IF($B223="MEANS",INDEX('1-DATA'!$1:$1048576,$A222-1,COLUMN('1-DATA'!T221)),ROUND(INDEX('1-DATA'!$1:$1048576,IF(OR($B223="STD. DEVIATION",$C$1=1),$A223,$A223+1),COLUMN('1-DATA'!T221)),IF($B223="STD. DEVIATION",2,$F$1))))</f>
        <v/>
      </c>
      <c r="V223" s="1" t="str">
        <f>IF(OR($B223="",V$7=""),"",IF($B223="MEANS",INDEX('1-DATA'!$1:$1048576,$A222-1,COLUMN('1-DATA'!U221)),ROUND(INDEX('1-DATA'!$1:$1048576,IF(OR($B223="STD. DEVIATION",$C$1=1),$A223,$A223+1),COLUMN('1-DATA'!U221)),IF($B223="STD. DEVIATION",2,$F$1))))</f>
        <v/>
      </c>
      <c r="W223" s="1" t="str">
        <f>IF(OR($B223="",W$7=""),"",IF($B223="MEANS",INDEX('1-DATA'!$1:$1048576,$A222-1,COLUMN('1-DATA'!V221)),ROUND(INDEX('1-DATA'!$1:$1048576,IF(OR($B223="STD. DEVIATION",$C$1=1),$A223,$A223+1),COLUMN('1-DATA'!V221)),IF($B223="STD. DEVIATION",2,$F$1))))</f>
        <v/>
      </c>
      <c r="X223" s="1" t="str">
        <f>IF(OR($B223="",X$7=""),"",IF($B223="MEANS",INDEX('1-DATA'!$1:$1048576,$A222-1,COLUMN('1-DATA'!W221)),ROUND(INDEX('1-DATA'!$1:$1048576,IF(OR($B223="STD. DEVIATION",$C$1=1),$A223,$A223+1),COLUMN('1-DATA'!W221)),IF($B223="STD. DEVIATION",2,$F$1))))</f>
        <v/>
      </c>
      <c r="Y223" s="1" t="str">
        <f>IF(OR($B223="",Y$7=""),"",IF($B223="MEANS",INDEX('1-DATA'!$1:$1048576,$A222-1,COLUMN('1-DATA'!X221)),ROUND(INDEX('1-DATA'!$1:$1048576,IF(OR($B223="STD. DEVIATION",$C$1=1),$A223,$A223+1),COLUMN('1-DATA'!X221)),IF($B223="STD. DEVIATION",2,$F$1))))</f>
        <v/>
      </c>
      <c r="Z223" s="1" t="str">
        <f>IF(OR($B223="",Z$7=""),"",IF($B223="MEANS",INDEX('1-DATA'!$1:$1048576,$A222-1,COLUMN('1-DATA'!Y221)),ROUND(INDEX('1-DATA'!$1:$1048576,IF(OR($B223="STD. DEVIATION",$C$1=1),$A223,$A223+1),COLUMN('1-DATA'!Y221)),IF($B223="STD. DEVIATION",2,$F$1))))</f>
        <v/>
      </c>
      <c r="AA223" s="1" t="str">
        <f>IF(OR($B223="",AA$7=""),"",IF($B223="MEANS",INDEX('1-DATA'!$1:$1048576,$A222-1,COLUMN('1-DATA'!Z221)),ROUND(INDEX('1-DATA'!$1:$1048576,IF(OR($B223="STD. DEVIATION",$C$1=1),$A223,$A223+1),COLUMN('1-DATA'!Z221)),IF($B223="STD. DEVIATION",2,$F$1))))</f>
        <v/>
      </c>
      <c r="AB223" s="1" t="str">
        <f>IF(OR($B223="",AB$7=""),"",IF($B223="MEANS",INDEX('1-DATA'!$1:$1048576,$A222-1,COLUMN('1-DATA'!AA221)),ROUND(INDEX('1-DATA'!$1:$1048576,IF(OR($B223="STD. DEVIATION",$C$1=1),$A223,$A223+1),COLUMN('1-DATA'!AA221)),IF($B223="STD. DEVIATION",2,$F$1))))</f>
        <v/>
      </c>
      <c r="AC223" s="1" t="str">
        <f>IF(OR($B223="",AC$7=""),"",IF($B223="MEANS",INDEX('1-DATA'!$1:$1048576,$A222-1,COLUMN('1-DATA'!AB221)),ROUND(INDEX('1-DATA'!$1:$1048576,IF(OR($B223="STD. DEVIATION",$C$1=1),$A223,$A223+1),COLUMN('1-DATA'!AB221)),IF($B223="STD. DEVIATION",2,$F$1))))</f>
        <v/>
      </c>
      <c r="AD223" s="1" t="str">
        <f>IF(OR($B223="",AD$7=""),"",IF($B223="MEANS",INDEX('1-DATA'!$1:$1048576,$A222-1,COLUMN('1-DATA'!AC221)),ROUND(INDEX('1-DATA'!$1:$1048576,IF(OR($B223="STD. DEVIATION",$C$1=1),$A223,$A223+1),COLUMN('1-DATA'!AC221)),IF($B223="STD. DEVIATION",2,$F$1))))</f>
        <v/>
      </c>
      <c r="AE223" s="1" t="str">
        <f>IF(OR($B223="",AE$7=""),"",IF($B223="MEANS",INDEX('1-DATA'!$1:$1048576,$A222-1,COLUMN('1-DATA'!AD221)),ROUND(INDEX('1-DATA'!$1:$1048576,IF(OR($B223="STD. DEVIATION",$C$1=1),$A223,$A223+1),COLUMN('1-DATA'!AD221)),IF($B223="STD. DEVIATION",2,$F$1))))</f>
        <v/>
      </c>
      <c r="AF223" s="1" t="str">
        <f>IF(OR($B223="",AF$7=""),"",IF($B223="MEANS",INDEX('1-DATA'!$1:$1048576,$A222-1,COLUMN('1-DATA'!AE221)),ROUND(INDEX('1-DATA'!$1:$1048576,IF(OR($B223="STD. DEVIATION",$C$1=1),$A223,$A223+1),COLUMN('1-DATA'!AE221)),IF($B223="STD. DEVIATION",2,$F$1))))</f>
        <v/>
      </c>
      <c r="AG223" s="1" t="str">
        <f>IF(OR($B223="",AG$7=""),"",IF($B223="MEANS",INDEX('1-DATA'!$1:$1048576,$A222-1,COLUMN('1-DATA'!AF221)),ROUND(INDEX('1-DATA'!$1:$1048576,IF(OR($B223="STD. DEVIATION",$C$1=1),$A223,$A223+1),COLUMN('1-DATA'!AF221)),IF($B223="STD. DEVIATION",2,$F$1))))</f>
        <v/>
      </c>
      <c r="AH223" s="1" t="str">
        <f>IF(OR($B223="",AH$7=""),"",IF($B223="MEANS",INDEX('1-DATA'!$1:$1048576,$A222-1,COLUMN('1-DATA'!AG221)),ROUND(INDEX('1-DATA'!$1:$1048576,IF(OR($B223="STD. DEVIATION",$C$1=1),$A223,$A223+1),COLUMN('1-DATA'!AG221)),IF($B223="STD. DEVIATION",2,$F$1))))</f>
        <v/>
      </c>
      <c r="AI223" s="1" t="str">
        <f>IF(OR($B223="",AI$7=""),"",IF($B223="MEANS",INDEX('1-DATA'!$1:$1048576,$A222-1,COLUMN('1-DATA'!AH221)),ROUND(INDEX('1-DATA'!$1:$1048576,IF(OR($B223="STD. DEVIATION",$C$1=1),$A223,$A223+1),COLUMN('1-DATA'!AH221)),IF($B223="STD. DEVIATION",2,$F$1))))</f>
        <v/>
      </c>
      <c r="AJ223" s="1" t="str">
        <f>IF(OR($B223="",AJ$7=""),"",IF($B223="MEANS",INDEX('1-DATA'!$1:$1048576,$A222-1,COLUMN('1-DATA'!AI221)),ROUND(INDEX('1-DATA'!$1:$1048576,IF(OR($B223="STD. DEVIATION",$C$1=1),$A223,$A223+1),COLUMN('1-DATA'!AI221)),IF($B223="STD. DEVIATION",2,$F$1))))</f>
        <v/>
      </c>
      <c r="AK223" s="1" t="str">
        <f>IF(OR($B223="",AK$7=""),"",IF($B223="MEANS",INDEX('1-DATA'!$1:$1048576,$A222-1,COLUMN('1-DATA'!AJ221)),ROUND(INDEX('1-DATA'!$1:$1048576,IF(OR($B223="STD. DEVIATION",$C$1=1),$A223,$A223+1),COLUMN('1-DATA'!AJ221)),IF($B223="STD. DEVIATION",2,$F$1))))</f>
        <v/>
      </c>
      <c r="AL223" s="1" t="str">
        <f>IF(OR($B223="",AL$7=""),"",IF($B223="MEANS",INDEX('1-DATA'!$1:$1048576,$A222-1,COLUMN('1-DATA'!AK221)),ROUND(INDEX('1-DATA'!$1:$1048576,IF(OR($B223="STD. DEVIATION",$C$1=1),$A223,$A223+1),COLUMN('1-DATA'!AK221)),IF($B223="STD. DEVIATION",2,$F$1))))</f>
        <v/>
      </c>
      <c r="AM223" s="1" t="str">
        <f>IF(OR($B223="",AM$7=""),"",IF($B223="MEANS",INDEX('1-DATA'!$1:$1048576,$A222-1,COLUMN('1-DATA'!AL221)),ROUND(INDEX('1-DATA'!$1:$1048576,IF(OR($B223="STD. DEVIATION",$C$1=1),$A223,$A223+1),COLUMN('1-DATA'!AL221)),IF($B223="STD. DEVIATION",2,$F$1))))</f>
        <v/>
      </c>
      <c r="AN223" s="1" t="str">
        <f>IF(OR($B223="",AN$7=""),"",IF($B223="MEANS",INDEX('1-DATA'!$1:$1048576,$A222-1,COLUMN('1-DATA'!AM221)),ROUND(INDEX('1-DATA'!$1:$1048576,IF(OR($B223="STD. DEVIATION",$C$1=1),$A223,$A223+1),COLUMN('1-DATA'!AM221)),IF($B223="STD. DEVIATION",2,$F$1))))</f>
        <v/>
      </c>
      <c r="AO223" s="1" t="str">
        <f>IF(OR($B223="",AO$7=""),"",IF($B223="MEANS",INDEX('1-DATA'!$1:$1048576,$A222-1,COLUMN('1-DATA'!AN221)),ROUND(INDEX('1-DATA'!$1:$1048576,IF(OR($B223="STD. DEVIATION",$C$1=1),$A223,$A223+1),COLUMN('1-DATA'!AN221)),IF($B223="STD. DEVIATION",2,$F$1))))</f>
        <v/>
      </c>
      <c r="AP223" s="1" t="str">
        <f>IF(OR($B223="",AP$7=""),"",IF($B223="MEANS",INDEX('1-DATA'!$1:$1048576,$A222-1,COLUMN('1-DATA'!AO221)),ROUND(INDEX('1-DATA'!$1:$1048576,IF(OR($B223="STD. DEVIATION",$C$1=1),$A223,$A223+1),COLUMN('1-DATA'!AO221)),IF($B223="STD. DEVIATION",2,$F$1))))</f>
        <v/>
      </c>
      <c r="AQ223" s="1" t="str">
        <f>IF(OR($B223="",AQ$7=""),"",IF($B223="MEANS",INDEX('1-DATA'!$1:$1048576,$A222-1,COLUMN('1-DATA'!AP221)),ROUND(INDEX('1-DATA'!$1:$1048576,IF(OR($B223="STD. DEVIATION",$C$1=1),$A223,$A223+1),COLUMN('1-DATA'!AP221)),IF($B223="STD. DEVIATION",2,$F$1))))</f>
        <v/>
      </c>
      <c r="AR223" s="1" t="str">
        <f>IF(OR($B223="",AR$7=""),"",IF($B223="MEANS",INDEX('1-DATA'!$1:$1048576,$A222-1,COLUMN('1-DATA'!AQ221)),ROUND(INDEX('1-DATA'!$1:$1048576,IF(OR($B223="STD. DEVIATION",$C$1=1),$A223,$A223+1),COLUMN('1-DATA'!AQ221)),IF($B223="STD. DEVIATION",2,$F$1))))</f>
        <v/>
      </c>
      <c r="AS223" s="1" t="str">
        <f>IF(OR($B223="",AS$7=""),"",IF($B223="MEANS",INDEX('1-DATA'!$1:$1048576,$A222-1,COLUMN('1-DATA'!AR221)),ROUND(INDEX('1-DATA'!$1:$1048576,IF(OR($B223="STD. DEVIATION",$C$1=1),$A223,$A223+1),COLUMN('1-DATA'!AR221)),IF($B223="STD. DEVIATION",2,$F$1))))</f>
        <v/>
      </c>
      <c r="AT223" s="1" t="str">
        <f>IF(OR($B223="",AT$7=""),"",IF($B223="MEANS",INDEX('1-DATA'!$1:$1048576,$A222-1,COLUMN('1-DATA'!AS221)),ROUND(INDEX('1-DATA'!$1:$1048576,IF(OR($B223="STD. DEVIATION",$C$1=1),$A223,$A223+1),COLUMN('1-DATA'!AS221)),IF($B223="STD. DEVIATION",2,$F$1))))</f>
        <v/>
      </c>
      <c r="AU223" s="1" t="str">
        <f>IF(OR($B223="",AU$7=""),"",IF($B223="MEANS",INDEX('1-DATA'!$1:$1048576,$A222-1,COLUMN('1-DATA'!AT221)),ROUND(INDEX('1-DATA'!$1:$1048576,IF(OR($B223="STD. DEVIATION",$C$1=1),$A223,$A223+1),COLUMN('1-DATA'!AT221)),IF($B223="STD. DEVIATION",2,$F$1))))</f>
        <v/>
      </c>
      <c r="AV223" s="1" t="str">
        <f>IF(OR($B223="",AV$7=""),"",IF($B223="MEANS",INDEX('1-DATA'!$1:$1048576,$A222-1,COLUMN('1-DATA'!AU221)),ROUND(INDEX('1-DATA'!$1:$1048576,IF(OR($B223="STD. DEVIATION",$C$1=1),$A223,$A223+1),COLUMN('1-DATA'!AU221)),IF($B223="STD. DEVIATION",2,$F$1))))</f>
        <v/>
      </c>
      <c r="AW223" s="1" t="str">
        <f>IF(OR($B223="",AW$7=""),"",IF($B223="MEANS",INDEX('1-DATA'!$1:$1048576,$A222-1,COLUMN('1-DATA'!AV221)),ROUND(INDEX('1-DATA'!$1:$1048576,IF(OR($B223="STD. DEVIATION",$C$1=1),$A223,$A223+1),COLUMN('1-DATA'!AV221)),IF($B223="STD. DEVIATION",2,$F$1))))</f>
        <v/>
      </c>
      <c r="AX223" s="1" t="str">
        <f>IF(OR($B223="",AX$7=""),"",IF($B223="MEANS",INDEX('1-DATA'!$1:$1048576,$A222-1,COLUMN('1-DATA'!AW221)),ROUND(INDEX('1-DATA'!$1:$1048576,IF(OR($B223="STD. DEVIATION",$C$1=1),$A223,$A223+1),COLUMN('1-DATA'!AW221)),IF($B223="STD. DEVIATION",2,$F$1))))</f>
        <v/>
      </c>
      <c r="AY223" s="1" t="str">
        <f>IF(OR($B223="",AY$7=""),"",IF($B223="MEANS",INDEX('1-DATA'!$1:$1048576,$A222-1,COLUMN('1-DATA'!AX221)),ROUND(INDEX('1-DATA'!$1:$1048576,IF(OR($B223="STD. DEVIATION",$C$1=1),$A223,$A223+1),COLUMN('1-DATA'!AX221)),IF($B223="STD. DEVIATION",2,$F$1))))</f>
        <v/>
      </c>
      <c r="AZ223" s="1" t="str">
        <f>IF(OR($B223="",AZ$7=""),"",IF($B223="MEANS",INDEX('1-DATA'!$1:$1048576,$A222-1,COLUMN('1-DATA'!AY221)),ROUND(INDEX('1-DATA'!$1:$1048576,IF(OR($B223="STD. DEVIATION",$C$1=1),$A223,$A223+1),COLUMN('1-DATA'!AY221)),IF($B223="STD. DEVIATION",2,$F$1))))</f>
        <v/>
      </c>
    </row>
    <row r="224" spans="1:52" x14ac:dyDescent="0.25">
      <c r="A224" s="11">
        <f t="shared" si="4"/>
        <v>658</v>
      </c>
      <c r="B224" s="1" t="str">
        <f>IF(B223="STD. DEVIATION",INDEX('1-DATA'!$1:$1048576,$A223-1,1),IF(INDEX('1-DATA'!$1:$1048576,$A224,1)&lt;&gt;"",INDEX('1-DATA'!$1:$1048576,$A224,1),""))</f>
        <v/>
      </c>
      <c r="C224" s="1" t="str">
        <f>IF(OR($B224="",C$7=""),"",IF($B224="MEANS",INDEX('1-DATA'!$1:$1048576,$A223-1,COLUMN('1-DATA'!B222)),ROUND(INDEX('1-DATA'!$1:$1048576,IF(OR($B224="STD. DEVIATION",$C$1=1),$A224,$A224+1),COLUMN('1-DATA'!B222)),IF($B224="STD. DEVIATION",2,$F$1))))</f>
        <v/>
      </c>
      <c r="D224" s="1" t="str">
        <f>IF(OR($B224="",D$7=""),"",IF($B224="MEANS",INDEX('1-DATA'!$1:$1048576,$A223-1,COLUMN('1-DATA'!C222)),ROUND(INDEX('1-DATA'!$1:$1048576,IF(OR($B224="STD. DEVIATION",$C$1=1),$A224,$A224+1),COLUMN('1-DATA'!C222)),IF($B224="STD. DEVIATION",2,$F$1))))</f>
        <v/>
      </c>
      <c r="E224" s="1" t="str">
        <f>IF(OR($B224="",E$7=""),"",IF($B224="MEANS",INDEX('1-DATA'!$1:$1048576,$A223-1,COLUMN('1-DATA'!D222)),ROUND(INDEX('1-DATA'!$1:$1048576,IF(OR($B224="STD. DEVIATION",$C$1=1),$A224,$A224+1),COLUMN('1-DATA'!D222)),IF($B224="STD. DEVIATION",2,$F$1))))</f>
        <v/>
      </c>
      <c r="F224" s="1" t="str">
        <f>IF(OR($B224="",F$7=""),"",IF($B224="MEANS",INDEX('1-DATA'!$1:$1048576,$A223-1,COLUMN('1-DATA'!E222)),ROUND(INDEX('1-DATA'!$1:$1048576,IF(OR($B224="STD. DEVIATION",$C$1=1),$A224,$A224+1),COLUMN('1-DATA'!E222)),IF($B224="STD. DEVIATION",2,$F$1))))</f>
        <v/>
      </c>
      <c r="G224" s="1" t="str">
        <f>IF(OR($B224="",G$7=""),"",IF($B224="MEANS",INDEX('1-DATA'!$1:$1048576,$A223-1,COLUMN('1-DATA'!F222)),ROUND(INDEX('1-DATA'!$1:$1048576,IF(OR($B224="STD. DEVIATION",$C$1=1),$A224,$A224+1),COLUMN('1-DATA'!F222)),IF($B224="STD. DEVIATION",2,$F$1))))</f>
        <v/>
      </c>
      <c r="H224" s="1" t="str">
        <f>IF(OR($B224="",H$7=""),"",IF($B224="MEANS",INDEX('1-DATA'!$1:$1048576,$A223-1,COLUMN('1-DATA'!G222)),ROUND(INDEX('1-DATA'!$1:$1048576,IF(OR($B224="STD. DEVIATION",$C$1=1),$A224,$A224+1),COLUMN('1-DATA'!G222)),IF($B224="STD. DEVIATION",2,$F$1))))</f>
        <v/>
      </c>
      <c r="I224" s="1" t="str">
        <f>IF(OR($B224="",I$7=""),"",IF($B224="MEANS",INDEX('1-DATA'!$1:$1048576,$A223-1,COLUMN('1-DATA'!H222)),ROUND(INDEX('1-DATA'!$1:$1048576,IF(OR($B224="STD. DEVIATION",$C$1=1),$A224,$A224+1),COLUMN('1-DATA'!H222)),IF($B224="STD. DEVIATION",2,$F$1))))</f>
        <v/>
      </c>
      <c r="J224" s="1" t="str">
        <f>IF(OR($B224="",J$7=""),"",IF($B224="MEANS",INDEX('1-DATA'!$1:$1048576,$A223-1,COLUMN('1-DATA'!I222)),ROUND(INDEX('1-DATA'!$1:$1048576,IF(OR($B224="STD. DEVIATION",$C$1=1),$A224,$A224+1),COLUMN('1-DATA'!I222)),IF($B224="STD. DEVIATION",2,$F$1))))</f>
        <v/>
      </c>
      <c r="K224" s="1" t="str">
        <f>IF(OR($B224="",K$7=""),"",IF($B224="MEANS",INDEX('1-DATA'!$1:$1048576,$A223-1,COLUMN('1-DATA'!J222)),ROUND(INDEX('1-DATA'!$1:$1048576,IF(OR($B224="STD. DEVIATION",$C$1=1),$A224,$A224+1),COLUMN('1-DATA'!J222)),IF($B224="STD. DEVIATION",2,$F$1))))</f>
        <v/>
      </c>
      <c r="L224" s="1" t="str">
        <f>IF(OR($B224="",L$7=""),"",IF($B224="MEANS",INDEX('1-DATA'!$1:$1048576,$A223-1,COLUMN('1-DATA'!K222)),ROUND(INDEX('1-DATA'!$1:$1048576,IF(OR($B224="STD. DEVIATION",$C$1=1),$A224,$A224+1),COLUMN('1-DATA'!K222)),IF($B224="STD. DEVIATION",2,$F$1))))</f>
        <v/>
      </c>
      <c r="M224" s="1" t="str">
        <f>IF(OR($B224="",M$7=""),"",IF($B224="MEANS",INDEX('1-DATA'!$1:$1048576,$A223-1,COLUMN('1-DATA'!L222)),ROUND(INDEX('1-DATA'!$1:$1048576,IF(OR($B224="STD. DEVIATION",$C$1=1),$A224,$A224+1),COLUMN('1-DATA'!L222)),IF($B224="STD. DEVIATION",2,$F$1))))</f>
        <v/>
      </c>
      <c r="N224" s="1" t="str">
        <f>IF(OR($B224="",N$7=""),"",IF($B224="MEANS",INDEX('1-DATA'!$1:$1048576,$A223-1,COLUMN('1-DATA'!M222)),ROUND(INDEX('1-DATA'!$1:$1048576,IF(OR($B224="STD. DEVIATION",$C$1=1),$A224,$A224+1),COLUMN('1-DATA'!M222)),IF($B224="STD. DEVIATION",2,$F$1))))</f>
        <v/>
      </c>
      <c r="O224" s="1" t="str">
        <f>IF(OR($B224="",O$7=""),"",IF($B224="MEANS",INDEX('1-DATA'!$1:$1048576,$A223-1,COLUMN('1-DATA'!N222)),ROUND(INDEX('1-DATA'!$1:$1048576,IF(OR($B224="STD. DEVIATION",$C$1=1),$A224,$A224+1),COLUMN('1-DATA'!N222)),IF($B224="STD. DEVIATION",2,$F$1))))</f>
        <v/>
      </c>
      <c r="P224" s="1" t="str">
        <f>IF(OR($B224="",P$7=""),"",IF($B224="MEANS",INDEX('1-DATA'!$1:$1048576,$A223-1,COLUMN('1-DATA'!O222)),ROUND(INDEX('1-DATA'!$1:$1048576,IF(OR($B224="STD. DEVIATION",$C$1=1),$A224,$A224+1),COLUMN('1-DATA'!O222)),IF($B224="STD. DEVIATION",2,$F$1))))</f>
        <v/>
      </c>
      <c r="Q224" s="1" t="str">
        <f>IF(OR($B224="",Q$7=""),"",IF($B224="MEANS",INDEX('1-DATA'!$1:$1048576,$A223-1,COLUMN('1-DATA'!P222)),ROUND(INDEX('1-DATA'!$1:$1048576,IF(OR($B224="STD. DEVIATION",$C$1=1),$A224,$A224+1),COLUMN('1-DATA'!P222)),IF($B224="STD. DEVIATION",2,$F$1))))</f>
        <v/>
      </c>
      <c r="R224" s="1" t="str">
        <f>IF(OR($B224="",R$7=""),"",IF($B224="MEANS",INDEX('1-DATA'!$1:$1048576,$A223-1,COLUMN('1-DATA'!Q222)),ROUND(INDEX('1-DATA'!$1:$1048576,IF(OR($B224="STD. DEVIATION",$C$1=1),$A224,$A224+1),COLUMN('1-DATA'!Q222)),IF($B224="STD. DEVIATION",2,$F$1))))</f>
        <v/>
      </c>
      <c r="S224" s="1" t="str">
        <f>IF(OR($B224="",S$7=""),"",IF($B224="MEANS",INDEX('1-DATA'!$1:$1048576,$A223-1,COLUMN('1-DATA'!R222)),ROUND(INDEX('1-DATA'!$1:$1048576,IF(OR($B224="STD. DEVIATION",$C$1=1),$A224,$A224+1),COLUMN('1-DATA'!R222)),IF($B224="STD. DEVIATION",2,$F$1))))</f>
        <v/>
      </c>
      <c r="T224" s="1" t="str">
        <f>IF(OR($B224="",T$7=""),"",IF($B224="MEANS",INDEX('1-DATA'!$1:$1048576,$A223-1,COLUMN('1-DATA'!S222)),ROUND(INDEX('1-DATA'!$1:$1048576,IF(OR($B224="STD. DEVIATION",$C$1=1),$A224,$A224+1),COLUMN('1-DATA'!S222)),IF($B224="STD. DEVIATION",2,$F$1))))</f>
        <v/>
      </c>
      <c r="U224" s="1" t="str">
        <f>IF(OR($B224="",U$7=""),"",IF($B224="MEANS",INDEX('1-DATA'!$1:$1048576,$A223-1,COLUMN('1-DATA'!T222)),ROUND(INDEX('1-DATA'!$1:$1048576,IF(OR($B224="STD. DEVIATION",$C$1=1),$A224,$A224+1),COLUMN('1-DATA'!T222)),IF($B224="STD. DEVIATION",2,$F$1))))</f>
        <v/>
      </c>
      <c r="V224" s="1" t="str">
        <f>IF(OR($B224="",V$7=""),"",IF($B224="MEANS",INDEX('1-DATA'!$1:$1048576,$A223-1,COLUMN('1-DATA'!U222)),ROUND(INDEX('1-DATA'!$1:$1048576,IF(OR($B224="STD. DEVIATION",$C$1=1),$A224,$A224+1),COLUMN('1-DATA'!U222)),IF($B224="STD. DEVIATION",2,$F$1))))</f>
        <v/>
      </c>
      <c r="W224" s="1" t="str">
        <f>IF(OR($B224="",W$7=""),"",IF($B224="MEANS",INDEX('1-DATA'!$1:$1048576,$A223-1,COLUMN('1-DATA'!V222)),ROUND(INDEX('1-DATA'!$1:$1048576,IF(OR($B224="STD. DEVIATION",$C$1=1),$A224,$A224+1),COLUMN('1-DATA'!V222)),IF($B224="STD. DEVIATION",2,$F$1))))</f>
        <v/>
      </c>
      <c r="X224" s="1" t="str">
        <f>IF(OR($B224="",X$7=""),"",IF($B224="MEANS",INDEX('1-DATA'!$1:$1048576,$A223-1,COLUMN('1-DATA'!W222)),ROUND(INDEX('1-DATA'!$1:$1048576,IF(OR($B224="STD. DEVIATION",$C$1=1),$A224,$A224+1),COLUMN('1-DATA'!W222)),IF($B224="STD. DEVIATION",2,$F$1))))</f>
        <v/>
      </c>
      <c r="Y224" s="1" t="str">
        <f>IF(OR($B224="",Y$7=""),"",IF($B224="MEANS",INDEX('1-DATA'!$1:$1048576,$A223-1,COLUMN('1-DATA'!X222)),ROUND(INDEX('1-DATA'!$1:$1048576,IF(OR($B224="STD. DEVIATION",$C$1=1),$A224,$A224+1),COLUMN('1-DATA'!X222)),IF($B224="STD. DEVIATION",2,$F$1))))</f>
        <v/>
      </c>
      <c r="Z224" s="1" t="str">
        <f>IF(OR($B224="",Z$7=""),"",IF($B224="MEANS",INDEX('1-DATA'!$1:$1048576,$A223-1,COLUMN('1-DATA'!Y222)),ROUND(INDEX('1-DATA'!$1:$1048576,IF(OR($B224="STD. DEVIATION",$C$1=1),$A224,$A224+1),COLUMN('1-DATA'!Y222)),IF($B224="STD. DEVIATION",2,$F$1))))</f>
        <v/>
      </c>
      <c r="AA224" s="1" t="str">
        <f>IF(OR($B224="",AA$7=""),"",IF($B224="MEANS",INDEX('1-DATA'!$1:$1048576,$A223-1,COLUMN('1-DATA'!Z222)),ROUND(INDEX('1-DATA'!$1:$1048576,IF(OR($B224="STD. DEVIATION",$C$1=1),$A224,$A224+1),COLUMN('1-DATA'!Z222)),IF($B224="STD. DEVIATION",2,$F$1))))</f>
        <v/>
      </c>
      <c r="AB224" s="1" t="str">
        <f>IF(OR($B224="",AB$7=""),"",IF($B224="MEANS",INDEX('1-DATA'!$1:$1048576,$A223-1,COLUMN('1-DATA'!AA222)),ROUND(INDEX('1-DATA'!$1:$1048576,IF(OR($B224="STD. DEVIATION",$C$1=1),$A224,$A224+1),COLUMN('1-DATA'!AA222)),IF($B224="STD. DEVIATION",2,$F$1))))</f>
        <v/>
      </c>
      <c r="AC224" s="1" t="str">
        <f>IF(OR($B224="",AC$7=""),"",IF($B224="MEANS",INDEX('1-DATA'!$1:$1048576,$A223-1,COLUMN('1-DATA'!AB222)),ROUND(INDEX('1-DATA'!$1:$1048576,IF(OR($B224="STD. DEVIATION",$C$1=1),$A224,$A224+1),COLUMN('1-DATA'!AB222)),IF($B224="STD. DEVIATION",2,$F$1))))</f>
        <v/>
      </c>
      <c r="AD224" s="1" t="str">
        <f>IF(OR($B224="",AD$7=""),"",IF($B224="MEANS",INDEX('1-DATA'!$1:$1048576,$A223-1,COLUMN('1-DATA'!AC222)),ROUND(INDEX('1-DATA'!$1:$1048576,IF(OR($B224="STD. DEVIATION",$C$1=1),$A224,$A224+1),COLUMN('1-DATA'!AC222)),IF($B224="STD. DEVIATION",2,$F$1))))</f>
        <v/>
      </c>
      <c r="AE224" s="1" t="str">
        <f>IF(OR($B224="",AE$7=""),"",IF($B224="MEANS",INDEX('1-DATA'!$1:$1048576,$A223-1,COLUMN('1-DATA'!AD222)),ROUND(INDEX('1-DATA'!$1:$1048576,IF(OR($B224="STD. DEVIATION",$C$1=1),$A224,$A224+1),COLUMN('1-DATA'!AD222)),IF($B224="STD. DEVIATION",2,$F$1))))</f>
        <v/>
      </c>
      <c r="AF224" s="1" t="str">
        <f>IF(OR($B224="",AF$7=""),"",IF($B224="MEANS",INDEX('1-DATA'!$1:$1048576,$A223-1,COLUMN('1-DATA'!AE222)),ROUND(INDEX('1-DATA'!$1:$1048576,IF(OR($B224="STD. DEVIATION",$C$1=1),$A224,$A224+1),COLUMN('1-DATA'!AE222)),IF($B224="STD. DEVIATION",2,$F$1))))</f>
        <v/>
      </c>
      <c r="AG224" s="1" t="str">
        <f>IF(OR($B224="",AG$7=""),"",IF($B224="MEANS",INDEX('1-DATA'!$1:$1048576,$A223-1,COLUMN('1-DATA'!AF222)),ROUND(INDEX('1-DATA'!$1:$1048576,IF(OR($B224="STD. DEVIATION",$C$1=1),$A224,$A224+1),COLUMN('1-DATA'!AF222)),IF($B224="STD. DEVIATION",2,$F$1))))</f>
        <v/>
      </c>
      <c r="AH224" s="1" t="str">
        <f>IF(OR($B224="",AH$7=""),"",IF($B224="MEANS",INDEX('1-DATA'!$1:$1048576,$A223-1,COLUMN('1-DATA'!AG222)),ROUND(INDEX('1-DATA'!$1:$1048576,IF(OR($B224="STD. DEVIATION",$C$1=1),$A224,$A224+1),COLUMN('1-DATA'!AG222)),IF($B224="STD. DEVIATION",2,$F$1))))</f>
        <v/>
      </c>
      <c r="AI224" s="1" t="str">
        <f>IF(OR($B224="",AI$7=""),"",IF($B224="MEANS",INDEX('1-DATA'!$1:$1048576,$A223-1,COLUMN('1-DATA'!AH222)),ROUND(INDEX('1-DATA'!$1:$1048576,IF(OR($B224="STD. DEVIATION",$C$1=1),$A224,$A224+1),COLUMN('1-DATA'!AH222)),IF($B224="STD. DEVIATION",2,$F$1))))</f>
        <v/>
      </c>
      <c r="AJ224" s="1" t="str">
        <f>IF(OR($B224="",AJ$7=""),"",IF($B224="MEANS",INDEX('1-DATA'!$1:$1048576,$A223-1,COLUMN('1-DATA'!AI222)),ROUND(INDEX('1-DATA'!$1:$1048576,IF(OR($B224="STD. DEVIATION",$C$1=1),$A224,$A224+1),COLUMN('1-DATA'!AI222)),IF($B224="STD. DEVIATION",2,$F$1))))</f>
        <v/>
      </c>
      <c r="AK224" s="1" t="str">
        <f>IF(OR($B224="",AK$7=""),"",IF($B224="MEANS",INDEX('1-DATA'!$1:$1048576,$A223-1,COLUMN('1-DATA'!AJ222)),ROUND(INDEX('1-DATA'!$1:$1048576,IF(OR($B224="STD. DEVIATION",$C$1=1),$A224,$A224+1),COLUMN('1-DATA'!AJ222)),IF($B224="STD. DEVIATION",2,$F$1))))</f>
        <v/>
      </c>
      <c r="AL224" s="1" t="str">
        <f>IF(OR($B224="",AL$7=""),"",IF($B224="MEANS",INDEX('1-DATA'!$1:$1048576,$A223-1,COLUMN('1-DATA'!AK222)),ROUND(INDEX('1-DATA'!$1:$1048576,IF(OR($B224="STD. DEVIATION",$C$1=1),$A224,$A224+1),COLUMN('1-DATA'!AK222)),IF($B224="STD. DEVIATION",2,$F$1))))</f>
        <v/>
      </c>
      <c r="AM224" s="1" t="str">
        <f>IF(OR($B224="",AM$7=""),"",IF($B224="MEANS",INDEX('1-DATA'!$1:$1048576,$A223-1,COLUMN('1-DATA'!AL222)),ROUND(INDEX('1-DATA'!$1:$1048576,IF(OR($B224="STD. DEVIATION",$C$1=1),$A224,$A224+1),COLUMN('1-DATA'!AL222)),IF($B224="STD. DEVIATION",2,$F$1))))</f>
        <v/>
      </c>
      <c r="AN224" s="1" t="str">
        <f>IF(OR($B224="",AN$7=""),"",IF($B224="MEANS",INDEX('1-DATA'!$1:$1048576,$A223-1,COLUMN('1-DATA'!AM222)),ROUND(INDEX('1-DATA'!$1:$1048576,IF(OR($B224="STD. DEVIATION",$C$1=1),$A224,$A224+1),COLUMN('1-DATA'!AM222)),IF($B224="STD. DEVIATION",2,$F$1))))</f>
        <v/>
      </c>
      <c r="AO224" s="1" t="str">
        <f>IF(OR($B224="",AO$7=""),"",IF($B224="MEANS",INDEX('1-DATA'!$1:$1048576,$A223-1,COLUMN('1-DATA'!AN222)),ROUND(INDEX('1-DATA'!$1:$1048576,IF(OR($B224="STD. DEVIATION",$C$1=1),$A224,$A224+1),COLUMN('1-DATA'!AN222)),IF($B224="STD. DEVIATION",2,$F$1))))</f>
        <v/>
      </c>
      <c r="AP224" s="1" t="str">
        <f>IF(OR($B224="",AP$7=""),"",IF($B224="MEANS",INDEX('1-DATA'!$1:$1048576,$A223-1,COLUMN('1-DATA'!AO222)),ROUND(INDEX('1-DATA'!$1:$1048576,IF(OR($B224="STD. DEVIATION",$C$1=1),$A224,$A224+1),COLUMN('1-DATA'!AO222)),IF($B224="STD. DEVIATION",2,$F$1))))</f>
        <v/>
      </c>
      <c r="AQ224" s="1" t="str">
        <f>IF(OR($B224="",AQ$7=""),"",IF($B224="MEANS",INDEX('1-DATA'!$1:$1048576,$A223-1,COLUMN('1-DATA'!AP222)),ROUND(INDEX('1-DATA'!$1:$1048576,IF(OR($B224="STD. DEVIATION",$C$1=1),$A224,$A224+1),COLUMN('1-DATA'!AP222)),IF($B224="STD. DEVIATION",2,$F$1))))</f>
        <v/>
      </c>
      <c r="AR224" s="1" t="str">
        <f>IF(OR($B224="",AR$7=""),"",IF($B224="MEANS",INDEX('1-DATA'!$1:$1048576,$A223-1,COLUMN('1-DATA'!AQ222)),ROUND(INDEX('1-DATA'!$1:$1048576,IF(OR($B224="STD. DEVIATION",$C$1=1),$A224,$A224+1),COLUMN('1-DATA'!AQ222)),IF($B224="STD. DEVIATION",2,$F$1))))</f>
        <v/>
      </c>
      <c r="AS224" s="1" t="str">
        <f>IF(OR($B224="",AS$7=""),"",IF($B224="MEANS",INDEX('1-DATA'!$1:$1048576,$A223-1,COLUMN('1-DATA'!AR222)),ROUND(INDEX('1-DATA'!$1:$1048576,IF(OR($B224="STD. DEVIATION",$C$1=1),$A224,$A224+1),COLUMN('1-DATA'!AR222)),IF($B224="STD. DEVIATION",2,$F$1))))</f>
        <v/>
      </c>
      <c r="AT224" s="1" t="str">
        <f>IF(OR($B224="",AT$7=""),"",IF($B224="MEANS",INDEX('1-DATA'!$1:$1048576,$A223-1,COLUMN('1-DATA'!AS222)),ROUND(INDEX('1-DATA'!$1:$1048576,IF(OR($B224="STD. DEVIATION",$C$1=1),$A224,$A224+1),COLUMN('1-DATA'!AS222)),IF($B224="STD. DEVIATION",2,$F$1))))</f>
        <v/>
      </c>
      <c r="AU224" s="1" t="str">
        <f>IF(OR($B224="",AU$7=""),"",IF($B224="MEANS",INDEX('1-DATA'!$1:$1048576,$A223-1,COLUMN('1-DATA'!AT222)),ROUND(INDEX('1-DATA'!$1:$1048576,IF(OR($B224="STD. DEVIATION",$C$1=1),$A224,$A224+1),COLUMN('1-DATA'!AT222)),IF($B224="STD. DEVIATION",2,$F$1))))</f>
        <v/>
      </c>
      <c r="AV224" s="1" t="str">
        <f>IF(OR($B224="",AV$7=""),"",IF($B224="MEANS",INDEX('1-DATA'!$1:$1048576,$A223-1,COLUMN('1-DATA'!AU222)),ROUND(INDEX('1-DATA'!$1:$1048576,IF(OR($B224="STD. DEVIATION",$C$1=1),$A224,$A224+1),COLUMN('1-DATA'!AU222)),IF($B224="STD. DEVIATION",2,$F$1))))</f>
        <v/>
      </c>
      <c r="AW224" s="1" t="str">
        <f>IF(OR($B224="",AW$7=""),"",IF($B224="MEANS",INDEX('1-DATA'!$1:$1048576,$A223-1,COLUMN('1-DATA'!AV222)),ROUND(INDEX('1-DATA'!$1:$1048576,IF(OR($B224="STD. DEVIATION",$C$1=1),$A224,$A224+1),COLUMN('1-DATA'!AV222)),IF($B224="STD. DEVIATION",2,$F$1))))</f>
        <v/>
      </c>
      <c r="AX224" s="1" t="str">
        <f>IF(OR($B224="",AX$7=""),"",IF($B224="MEANS",INDEX('1-DATA'!$1:$1048576,$A223-1,COLUMN('1-DATA'!AW222)),ROUND(INDEX('1-DATA'!$1:$1048576,IF(OR($B224="STD. DEVIATION",$C$1=1),$A224,$A224+1),COLUMN('1-DATA'!AW222)),IF($B224="STD. DEVIATION",2,$F$1))))</f>
        <v/>
      </c>
      <c r="AY224" s="1" t="str">
        <f>IF(OR($B224="",AY$7=""),"",IF($B224="MEANS",INDEX('1-DATA'!$1:$1048576,$A223-1,COLUMN('1-DATA'!AX222)),ROUND(INDEX('1-DATA'!$1:$1048576,IF(OR($B224="STD. DEVIATION",$C$1=1),$A224,$A224+1),COLUMN('1-DATA'!AX222)),IF($B224="STD. DEVIATION",2,$F$1))))</f>
        <v/>
      </c>
      <c r="AZ224" s="1" t="str">
        <f>IF(OR($B224="",AZ$7=""),"",IF($B224="MEANS",INDEX('1-DATA'!$1:$1048576,$A223-1,COLUMN('1-DATA'!AY222)),ROUND(INDEX('1-DATA'!$1:$1048576,IF(OR($B224="STD. DEVIATION",$C$1=1),$A224,$A224+1),COLUMN('1-DATA'!AY222)),IF($B224="STD. DEVIATION",2,$F$1))))</f>
        <v/>
      </c>
    </row>
    <row r="225" spans="1:52" x14ac:dyDescent="0.25">
      <c r="A225" s="11">
        <f t="shared" si="4"/>
        <v>661</v>
      </c>
      <c r="B225" s="1" t="str">
        <f>IF(B224="STD. DEVIATION",INDEX('1-DATA'!$1:$1048576,$A224-1,1),IF(INDEX('1-DATA'!$1:$1048576,$A225,1)&lt;&gt;"",INDEX('1-DATA'!$1:$1048576,$A225,1),""))</f>
        <v/>
      </c>
      <c r="C225" s="1" t="str">
        <f>IF(OR($B225="",C$7=""),"",IF($B225="MEANS",INDEX('1-DATA'!$1:$1048576,$A224-1,COLUMN('1-DATA'!B223)),ROUND(INDEX('1-DATA'!$1:$1048576,IF(OR($B225="STD. DEVIATION",$C$1=1),$A225,$A225+1),COLUMN('1-DATA'!B223)),IF($B225="STD. DEVIATION",2,$F$1))))</f>
        <v/>
      </c>
      <c r="D225" s="1" t="str">
        <f>IF(OR($B225="",D$7=""),"",IF($B225="MEANS",INDEX('1-DATA'!$1:$1048576,$A224-1,COLUMN('1-DATA'!C223)),ROUND(INDEX('1-DATA'!$1:$1048576,IF(OR($B225="STD. DEVIATION",$C$1=1),$A225,$A225+1),COLUMN('1-DATA'!C223)),IF($B225="STD. DEVIATION",2,$F$1))))</f>
        <v/>
      </c>
      <c r="E225" s="1" t="str">
        <f>IF(OR($B225="",E$7=""),"",IF($B225="MEANS",INDEX('1-DATA'!$1:$1048576,$A224-1,COLUMN('1-DATA'!D223)),ROUND(INDEX('1-DATA'!$1:$1048576,IF(OR($B225="STD. DEVIATION",$C$1=1),$A225,$A225+1),COLUMN('1-DATA'!D223)),IF($B225="STD. DEVIATION",2,$F$1))))</f>
        <v/>
      </c>
      <c r="F225" s="1" t="str">
        <f>IF(OR($B225="",F$7=""),"",IF($B225="MEANS",INDEX('1-DATA'!$1:$1048576,$A224-1,COLUMN('1-DATA'!E223)),ROUND(INDEX('1-DATA'!$1:$1048576,IF(OR($B225="STD. DEVIATION",$C$1=1),$A225,$A225+1),COLUMN('1-DATA'!E223)),IF($B225="STD. DEVIATION",2,$F$1))))</f>
        <v/>
      </c>
      <c r="G225" s="1" t="str">
        <f>IF(OR($B225="",G$7=""),"",IF($B225="MEANS",INDEX('1-DATA'!$1:$1048576,$A224-1,COLUMN('1-DATA'!F223)),ROUND(INDEX('1-DATA'!$1:$1048576,IF(OR($B225="STD. DEVIATION",$C$1=1),$A225,$A225+1),COLUMN('1-DATA'!F223)),IF($B225="STD. DEVIATION",2,$F$1))))</f>
        <v/>
      </c>
      <c r="H225" s="1" t="str">
        <f>IF(OR($B225="",H$7=""),"",IF($B225="MEANS",INDEX('1-DATA'!$1:$1048576,$A224-1,COLUMN('1-DATA'!G223)),ROUND(INDEX('1-DATA'!$1:$1048576,IF(OR($B225="STD. DEVIATION",$C$1=1),$A225,$A225+1),COLUMN('1-DATA'!G223)),IF($B225="STD. DEVIATION",2,$F$1))))</f>
        <v/>
      </c>
      <c r="I225" s="1" t="str">
        <f>IF(OR($B225="",I$7=""),"",IF($B225="MEANS",INDEX('1-DATA'!$1:$1048576,$A224-1,COLUMN('1-DATA'!H223)),ROUND(INDEX('1-DATA'!$1:$1048576,IF(OR($B225="STD. DEVIATION",$C$1=1),$A225,$A225+1),COLUMN('1-DATA'!H223)),IF($B225="STD. DEVIATION",2,$F$1))))</f>
        <v/>
      </c>
      <c r="J225" s="1" t="str">
        <f>IF(OR($B225="",J$7=""),"",IF($B225="MEANS",INDEX('1-DATA'!$1:$1048576,$A224-1,COLUMN('1-DATA'!I223)),ROUND(INDEX('1-DATA'!$1:$1048576,IF(OR($B225="STD. DEVIATION",$C$1=1),$A225,$A225+1),COLUMN('1-DATA'!I223)),IF($B225="STD. DEVIATION",2,$F$1))))</f>
        <v/>
      </c>
      <c r="K225" s="1" t="str">
        <f>IF(OR($B225="",K$7=""),"",IF($B225="MEANS",INDEX('1-DATA'!$1:$1048576,$A224-1,COLUMN('1-DATA'!J223)),ROUND(INDEX('1-DATA'!$1:$1048576,IF(OR($B225="STD. DEVIATION",$C$1=1),$A225,$A225+1),COLUMN('1-DATA'!J223)),IF($B225="STD. DEVIATION",2,$F$1))))</f>
        <v/>
      </c>
      <c r="L225" s="1" t="str">
        <f>IF(OR($B225="",L$7=""),"",IF($B225="MEANS",INDEX('1-DATA'!$1:$1048576,$A224-1,COLUMN('1-DATA'!K223)),ROUND(INDEX('1-DATA'!$1:$1048576,IF(OR($B225="STD. DEVIATION",$C$1=1),$A225,$A225+1),COLUMN('1-DATA'!K223)),IF($B225="STD. DEVIATION",2,$F$1))))</f>
        <v/>
      </c>
      <c r="M225" s="1" t="str">
        <f>IF(OR($B225="",M$7=""),"",IF($B225="MEANS",INDEX('1-DATA'!$1:$1048576,$A224-1,COLUMN('1-DATA'!L223)),ROUND(INDEX('1-DATA'!$1:$1048576,IF(OR($B225="STD. DEVIATION",$C$1=1),$A225,$A225+1),COLUMN('1-DATA'!L223)),IF($B225="STD. DEVIATION",2,$F$1))))</f>
        <v/>
      </c>
      <c r="N225" s="1" t="str">
        <f>IF(OR($B225="",N$7=""),"",IF($B225="MEANS",INDEX('1-DATA'!$1:$1048576,$A224-1,COLUMN('1-DATA'!M223)),ROUND(INDEX('1-DATA'!$1:$1048576,IF(OR($B225="STD. DEVIATION",$C$1=1),$A225,$A225+1),COLUMN('1-DATA'!M223)),IF($B225="STD. DEVIATION",2,$F$1))))</f>
        <v/>
      </c>
      <c r="O225" s="1" t="str">
        <f>IF(OR($B225="",O$7=""),"",IF($B225="MEANS",INDEX('1-DATA'!$1:$1048576,$A224-1,COLUMN('1-DATA'!N223)),ROUND(INDEX('1-DATA'!$1:$1048576,IF(OR($B225="STD. DEVIATION",$C$1=1),$A225,$A225+1),COLUMN('1-DATA'!N223)),IF($B225="STD. DEVIATION",2,$F$1))))</f>
        <v/>
      </c>
      <c r="P225" s="1" t="str">
        <f>IF(OR($B225="",P$7=""),"",IF($B225="MEANS",INDEX('1-DATA'!$1:$1048576,$A224-1,COLUMN('1-DATA'!O223)),ROUND(INDEX('1-DATA'!$1:$1048576,IF(OR($B225="STD. DEVIATION",$C$1=1),$A225,$A225+1),COLUMN('1-DATA'!O223)),IF($B225="STD. DEVIATION",2,$F$1))))</f>
        <v/>
      </c>
      <c r="Q225" s="1" t="str">
        <f>IF(OR($B225="",Q$7=""),"",IF($B225="MEANS",INDEX('1-DATA'!$1:$1048576,$A224-1,COLUMN('1-DATA'!P223)),ROUND(INDEX('1-DATA'!$1:$1048576,IF(OR($B225="STD. DEVIATION",$C$1=1),$A225,$A225+1),COLUMN('1-DATA'!P223)),IF($B225="STD. DEVIATION",2,$F$1))))</f>
        <v/>
      </c>
      <c r="R225" s="1" t="str">
        <f>IF(OR($B225="",R$7=""),"",IF($B225="MEANS",INDEX('1-DATA'!$1:$1048576,$A224-1,COLUMN('1-DATA'!Q223)),ROUND(INDEX('1-DATA'!$1:$1048576,IF(OR($B225="STD. DEVIATION",$C$1=1),$A225,$A225+1),COLUMN('1-DATA'!Q223)),IF($B225="STD. DEVIATION",2,$F$1))))</f>
        <v/>
      </c>
      <c r="S225" s="1" t="str">
        <f>IF(OR($B225="",S$7=""),"",IF($B225="MEANS",INDEX('1-DATA'!$1:$1048576,$A224-1,COLUMN('1-DATA'!R223)),ROUND(INDEX('1-DATA'!$1:$1048576,IF(OR($B225="STD. DEVIATION",$C$1=1),$A225,$A225+1),COLUMN('1-DATA'!R223)),IF($B225="STD. DEVIATION",2,$F$1))))</f>
        <v/>
      </c>
      <c r="T225" s="1" t="str">
        <f>IF(OR($B225="",T$7=""),"",IF($B225="MEANS",INDEX('1-DATA'!$1:$1048576,$A224-1,COLUMN('1-DATA'!S223)),ROUND(INDEX('1-DATA'!$1:$1048576,IF(OR($B225="STD. DEVIATION",$C$1=1),$A225,$A225+1),COLUMN('1-DATA'!S223)),IF($B225="STD. DEVIATION",2,$F$1))))</f>
        <v/>
      </c>
      <c r="U225" s="1" t="str">
        <f>IF(OR($B225="",U$7=""),"",IF($B225="MEANS",INDEX('1-DATA'!$1:$1048576,$A224-1,COLUMN('1-DATA'!T223)),ROUND(INDEX('1-DATA'!$1:$1048576,IF(OR($B225="STD. DEVIATION",$C$1=1),$A225,$A225+1),COLUMN('1-DATA'!T223)),IF($B225="STD. DEVIATION",2,$F$1))))</f>
        <v/>
      </c>
      <c r="V225" s="1" t="str">
        <f>IF(OR($B225="",V$7=""),"",IF($B225="MEANS",INDEX('1-DATA'!$1:$1048576,$A224-1,COLUMN('1-DATA'!U223)),ROUND(INDEX('1-DATA'!$1:$1048576,IF(OR($B225="STD. DEVIATION",$C$1=1),$A225,$A225+1),COLUMN('1-DATA'!U223)),IF($B225="STD. DEVIATION",2,$F$1))))</f>
        <v/>
      </c>
      <c r="W225" s="1" t="str">
        <f>IF(OR($B225="",W$7=""),"",IF($B225="MEANS",INDEX('1-DATA'!$1:$1048576,$A224-1,COLUMN('1-DATA'!V223)),ROUND(INDEX('1-DATA'!$1:$1048576,IF(OR($B225="STD. DEVIATION",$C$1=1),$A225,$A225+1),COLUMN('1-DATA'!V223)),IF($B225="STD. DEVIATION",2,$F$1))))</f>
        <v/>
      </c>
      <c r="X225" s="1" t="str">
        <f>IF(OR($B225="",X$7=""),"",IF($B225="MEANS",INDEX('1-DATA'!$1:$1048576,$A224-1,COLUMN('1-DATA'!W223)),ROUND(INDEX('1-DATA'!$1:$1048576,IF(OR($B225="STD. DEVIATION",$C$1=1),$A225,$A225+1),COLUMN('1-DATA'!W223)),IF($B225="STD. DEVIATION",2,$F$1))))</f>
        <v/>
      </c>
      <c r="Y225" s="1" t="str">
        <f>IF(OR($B225="",Y$7=""),"",IF($B225="MEANS",INDEX('1-DATA'!$1:$1048576,$A224-1,COLUMN('1-DATA'!X223)),ROUND(INDEX('1-DATA'!$1:$1048576,IF(OR($B225="STD. DEVIATION",$C$1=1),$A225,$A225+1),COLUMN('1-DATA'!X223)),IF($B225="STD. DEVIATION",2,$F$1))))</f>
        <v/>
      </c>
      <c r="Z225" s="1" t="str">
        <f>IF(OR($B225="",Z$7=""),"",IF($B225="MEANS",INDEX('1-DATA'!$1:$1048576,$A224-1,COLUMN('1-DATA'!Y223)),ROUND(INDEX('1-DATA'!$1:$1048576,IF(OR($B225="STD. DEVIATION",$C$1=1),$A225,$A225+1),COLUMN('1-DATA'!Y223)),IF($B225="STD. DEVIATION",2,$F$1))))</f>
        <v/>
      </c>
      <c r="AA225" s="1" t="str">
        <f>IF(OR($B225="",AA$7=""),"",IF($B225="MEANS",INDEX('1-DATA'!$1:$1048576,$A224-1,COLUMN('1-DATA'!Z223)),ROUND(INDEX('1-DATA'!$1:$1048576,IF(OR($B225="STD. DEVIATION",$C$1=1),$A225,$A225+1),COLUMN('1-DATA'!Z223)),IF($B225="STD. DEVIATION",2,$F$1))))</f>
        <v/>
      </c>
      <c r="AB225" s="1" t="str">
        <f>IF(OR($B225="",AB$7=""),"",IF($B225="MEANS",INDEX('1-DATA'!$1:$1048576,$A224-1,COLUMN('1-DATA'!AA223)),ROUND(INDEX('1-DATA'!$1:$1048576,IF(OR($B225="STD. DEVIATION",$C$1=1),$A225,$A225+1),COLUMN('1-DATA'!AA223)),IF($B225="STD. DEVIATION",2,$F$1))))</f>
        <v/>
      </c>
      <c r="AC225" s="1" t="str">
        <f>IF(OR($B225="",AC$7=""),"",IF($B225="MEANS",INDEX('1-DATA'!$1:$1048576,$A224-1,COLUMN('1-DATA'!AB223)),ROUND(INDEX('1-DATA'!$1:$1048576,IF(OR($B225="STD. DEVIATION",$C$1=1),$A225,$A225+1),COLUMN('1-DATA'!AB223)),IF($B225="STD. DEVIATION",2,$F$1))))</f>
        <v/>
      </c>
      <c r="AD225" s="1" t="str">
        <f>IF(OR($B225="",AD$7=""),"",IF($B225="MEANS",INDEX('1-DATA'!$1:$1048576,$A224-1,COLUMN('1-DATA'!AC223)),ROUND(INDEX('1-DATA'!$1:$1048576,IF(OR($B225="STD. DEVIATION",$C$1=1),$A225,$A225+1),COLUMN('1-DATA'!AC223)),IF($B225="STD. DEVIATION",2,$F$1))))</f>
        <v/>
      </c>
      <c r="AE225" s="1" t="str">
        <f>IF(OR($B225="",AE$7=""),"",IF($B225="MEANS",INDEX('1-DATA'!$1:$1048576,$A224-1,COLUMN('1-DATA'!AD223)),ROUND(INDEX('1-DATA'!$1:$1048576,IF(OR($B225="STD. DEVIATION",$C$1=1),$A225,$A225+1),COLUMN('1-DATA'!AD223)),IF($B225="STD. DEVIATION",2,$F$1))))</f>
        <v/>
      </c>
      <c r="AF225" s="1" t="str">
        <f>IF(OR($B225="",AF$7=""),"",IF($B225="MEANS",INDEX('1-DATA'!$1:$1048576,$A224-1,COLUMN('1-DATA'!AE223)),ROUND(INDEX('1-DATA'!$1:$1048576,IF(OR($B225="STD. DEVIATION",$C$1=1),$A225,$A225+1),COLUMN('1-DATA'!AE223)),IF($B225="STD. DEVIATION",2,$F$1))))</f>
        <v/>
      </c>
      <c r="AG225" s="1" t="str">
        <f>IF(OR($B225="",AG$7=""),"",IF($B225="MEANS",INDEX('1-DATA'!$1:$1048576,$A224-1,COLUMN('1-DATA'!AF223)),ROUND(INDEX('1-DATA'!$1:$1048576,IF(OR($B225="STD. DEVIATION",$C$1=1),$A225,$A225+1),COLUMN('1-DATA'!AF223)),IF($B225="STD. DEVIATION",2,$F$1))))</f>
        <v/>
      </c>
      <c r="AH225" s="1" t="str">
        <f>IF(OR($B225="",AH$7=""),"",IF($B225="MEANS",INDEX('1-DATA'!$1:$1048576,$A224-1,COLUMN('1-DATA'!AG223)),ROUND(INDEX('1-DATA'!$1:$1048576,IF(OR($B225="STD. DEVIATION",$C$1=1),$A225,$A225+1),COLUMN('1-DATA'!AG223)),IF($B225="STD. DEVIATION",2,$F$1))))</f>
        <v/>
      </c>
      <c r="AI225" s="1" t="str">
        <f>IF(OR($B225="",AI$7=""),"",IF($B225="MEANS",INDEX('1-DATA'!$1:$1048576,$A224-1,COLUMN('1-DATA'!AH223)),ROUND(INDEX('1-DATA'!$1:$1048576,IF(OR($B225="STD. DEVIATION",$C$1=1),$A225,$A225+1),COLUMN('1-DATA'!AH223)),IF($B225="STD. DEVIATION",2,$F$1))))</f>
        <v/>
      </c>
      <c r="AJ225" s="1" t="str">
        <f>IF(OR($B225="",AJ$7=""),"",IF($B225="MEANS",INDEX('1-DATA'!$1:$1048576,$A224-1,COLUMN('1-DATA'!AI223)),ROUND(INDEX('1-DATA'!$1:$1048576,IF(OR($B225="STD. DEVIATION",$C$1=1),$A225,$A225+1),COLUMN('1-DATA'!AI223)),IF($B225="STD. DEVIATION",2,$F$1))))</f>
        <v/>
      </c>
      <c r="AK225" s="1" t="str">
        <f>IF(OR($B225="",AK$7=""),"",IF($B225="MEANS",INDEX('1-DATA'!$1:$1048576,$A224-1,COLUMN('1-DATA'!AJ223)),ROUND(INDEX('1-DATA'!$1:$1048576,IF(OR($B225="STD. DEVIATION",$C$1=1),$A225,$A225+1),COLUMN('1-DATA'!AJ223)),IF($B225="STD. DEVIATION",2,$F$1))))</f>
        <v/>
      </c>
      <c r="AL225" s="1" t="str">
        <f>IF(OR($B225="",AL$7=""),"",IF($B225="MEANS",INDEX('1-DATA'!$1:$1048576,$A224-1,COLUMN('1-DATA'!AK223)),ROUND(INDEX('1-DATA'!$1:$1048576,IF(OR($B225="STD. DEVIATION",$C$1=1),$A225,$A225+1),COLUMN('1-DATA'!AK223)),IF($B225="STD. DEVIATION",2,$F$1))))</f>
        <v/>
      </c>
      <c r="AM225" s="1" t="str">
        <f>IF(OR($B225="",AM$7=""),"",IF($B225="MEANS",INDEX('1-DATA'!$1:$1048576,$A224-1,COLUMN('1-DATA'!AL223)),ROUND(INDEX('1-DATA'!$1:$1048576,IF(OR($B225="STD. DEVIATION",$C$1=1),$A225,$A225+1),COLUMN('1-DATA'!AL223)),IF($B225="STD. DEVIATION",2,$F$1))))</f>
        <v/>
      </c>
      <c r="AN225" s="1" t="str">
        <f>IF(OR($B225="",AN$7=""),"",IF($B225="MEANS",INDEX('1-DATA'!$1:$1048576,$A224-1,COLUMN('1-DATA'!AM223)),ROUND(INDEX('1-DATA'!$1:$1048576,IF(OR($B225="STD. DEVIATION",$C$1=1),$A225,$A225+1),COLUMN('1-DATA'!AM223)),IF($B225="STD. DEVIATION",2,$F$1))))</f>
        <v/>
      </c>
      <c r="AO225" s="1" t="str">
        <f>IF(OR($B225="",AO$7=""),"",IF($B225="MEANS",INDEX('1-DATA'!$1:$1048576,$A224-1,COLUMN('1-DATA'!AN223)),ROUND(INDEX('1-DATA'!$1:$1048576,IF(OR($B225="STD. DEVIATION",$C$1=1),$A225,$A225+1),COLUMN('1-DATA'!AN223)),IF($B225="STD. DEVIATION",2,$F$1))))</f>
        <v/>
      </c>
      <c r="AP225" s="1" t="str">
        <f>IF(OR($B225="",AP$7=""),"",IF($B225="MEANS",INDEX('1-DATA'!$1:$1048576,$A224-1,COLUMN('1-DATA'!AO223)),ROUND(INDEX('1-DATA'!$1:$1048576,IF(OR($B225="STD. DEVIATION",$C$1=1),$A225,$A225+1),COLUMN('1-DATA'!AO223)),IF($B225="STD. DEVIATION",2,$F$1))))</f>
        <v/>
      </c>
      <c r="AQ225" s="1" t="str">
        <f>IF(OR($B225="",AQ$7=""),"",IF($B225="MEANS",INDEX('1-DATA'!$1:$1048576,$A224-1,COLUMN('1-DATA'!AP223)),ROUND(INDEX('1-DATA'!$1:$1048576,IF(OR($B225="STD. DEVIATION",$C$1=1),$A225,$A225+1),COLUMN('1-DATA'!AP223)),IF($B225="STD. DEVIATION",2,$F$1))))</f>
        <v/>
      </c>
      <c r="AR225" s="1" t="str">
        <f>IF(OR($B225="",AR$7=""),"",IF($B225="MEANS",INDEX('1-DATA'!$1:$1048576,$A224-1,COLUMN('1-DATA'!AQ223)),ROUND(INDEX('1-DATA'!$1:$1048576,IF(OR($B225="STD. DEVIATION",$C$1=1),$A225,$A225+1),COLUMN('1-DATA'!AQ223)),IF($B225="STD. DEVIATION",2,$F$1))))</f>
        <v/>
      </c>
      <c r="AS225" s="1" t="str">
        <f>IF(OR($B225="",AS$7=""),"",IF($B225="MEANS",INDEX('1-DATA'!$1:$1048576,$A224-1,COLUMN('1-DATA'!AR223)),ROUND(INDEX('1-DATA'!$1:$1048576,IF(OR($B225="STD. DEVIATION",$C$1=1),$A225,$A225+1),COLUMN('1-DATA'!AR223)),IF($B225="STD. DEVIATION",2,$F$1))))</f>
        <v/>
      </c>
      <c r="AT225" s="1" t="str">
        <f>IF(OR($B225="",AT$7=""),"",IF($B225="MEANS",INDEX('1-DATA'!$1:$1048576,$A224-1,COLUMN('1-DATA'!AS223)),ROUND(INDEX('1-DATA'!$1:$1048576,IF(OR($B225="STD. DEVIATION",$C$1=1),$A225,$A225+1),COLUMN('1-DATA'!AS223)),IF($B225="STD. DEVIATION",2,$F$1))))</f>
        <v/>
      </c>
      <c r="AU225" s="1" t="str">
        <f>IF(OR($B225="",AU$7=""),"",IF($B225="MEANS",INDEX('1-DATA'!$1:$1048576,$A224-1,COLUMN('1-DATA'!AT223)),ROUND(INDEX('1-DATA'!$1:$1048576,IF(OR($B225="STD. DEVIATION",$C$1=1),$A225,$A225+1),COLUMN('1-DATA'!AT223)),IF($B225="STD. DEVIATION",2,$F$1))))</f>
        <v/>
      </c>
      <c r="AV225" s="1" t="str">
        <f>IF(OR($B225="",AV$7=""),"",IF($B225="MEANS",INDEX('1-DATA'!$1:$1048576,$A224-1,COLUMN('1-DATA'!AU223)),ROUND(INDEX('1-DATA'!$1:$1048576,IF(OR($B225="STD. DEVIATION",$C$1=1),$A225,$A225+1),COLUMN('1-DATA'!AU223)),IF($B225="STD. DEVIATION",2,$F$1))))</f>
        <v/>
      </c>
      <c r="AW225" s="1" t="str">
        <f>IF(OR($B225="",AW$7=""),"",IF($B225="MEANS",INDEX('1-DATA'!$1:$1048576,$A224-1,COLUMN('1-DATA'!AV223)),ROUND(INDEX('1-DATA'!$1:$1048576,IF(OR($B225="STD. DEVIATION",$C$1=1),$A225,$A225+1),COLUMN('1-DATA'!AV223)),IF($B225="STD. DEVIATION",2,$F$1))))</f>
        <v/>
      </c>
      <c r="AX225" s="1" t="str">
        <f>IF(OR($B225="",AX$7=""),"",IF($B225="MEANS",INDEX('1-DATA'!$1:$1048576,$A224-1,COLUMN('1-DATA'!AW223)),ROUND(INDEX('1-DATA'!$1:$1048576,IF(OR($B225="STD. DEVIATION",$C$1=1),$A225,$A225+1),COLUMN('1-DATA'!AW223)),IF($B225="STD. DEVIATION",2,$F$1))))</f>
        <v/>
      </c>
      <c r="AY225" s="1" t="str">
        <f>IF(OR($B225="",AY$7=""),"",IF($B225="MEANS",INDEX('1-DATA'!$1:$1048576,$A224-1,COLUMN('1-DATA'!AX223)),ROUND(INDEX('1-DATA'!$1:$1048576,IF(OR($B225="STD. DEVIATION",$C$1=1),$A225,$A225+1),COLUMN('1-DATA'!AX223)),IF($B225="STD. DEVIATION",2,$F$1))))</f>
        <v/>
      </c>
      <c r="AZ225" s="1" t="str">
        <f>IF(OR($B225="",AZ$7=""),"",IF($B225="MEANS",INDEX('1-DATA'!$1:$1048576,$A224-1,COLUMN('1-DATA'!AY223)),ROUND(INDEX('1-DATA'!$1:$1048576,IF(OR($B225="STD. DEVIATION",$C$1=1),$A225,$A225+1),COLUMN('1-DATA'!AY223)),IF($B225="STD. DEVIATION",2,$F$1))))</f>
        <v/>
      </c>
    </row>
    <row r="226" spans="1:52" x14ac:dyDescent="0.25">
      <c r="A226" s="11">
        <f t="shared" si="4"/>
        <v>664</v>
      </c>
      <c r="B226" s="1" t="str">
        <f>IF(B225="STD. DEVIATION",INDEX('1-DATA'!$1:$1048576,$A225-1,1),IF(INDEX('1-DATA'!$1:$1048576,$A226,1)&lt;&gt;"",INDEX('1-DATA'!$1:$1048576,$A226,1),""))</f>
        <v/>
      </c>
      <c r="C226" s="1" t="str">
        <f>IF(OR($B226="",C$7=""),"",IF($B226="MEANS",INDEX('1-DATA'!$1:$1048576,$A225-1,COLUMN('1-DATA'!B224)),ROUND(INDEX('1-DATA'!$1:$1048576,IF(OR($B226="STD. DEVIATION",$C$1=1),$A226,$A226+1),COLUMN('1-DATA'!B224)),IF($B226="STD. DEVIATION",2,$F$1))))</f>
        <v/>
      </c>
      <c r="D226" s="1" t="str">
        <f>IF(OR($B226="",D$7=""),"",IF($B226="MEANS",INDEX('1-DATA'!$1:$1048576,$A225-1,COLUMN('1-DATA'!C224)),ROUND(INDEX('1-DATA'!$1:$1048576,IF(OR($B226="STD. DEVIATION",$C$1=1),$A226,$A226+1),COLUMN('1-DATA'!C224)),IF($B226="STD. DEVIATION",2,$F$1))))</f>
        <v/>
      </c>
      <c r="E226" s="1" t="str">
        <f>IF(OR($B226="",E$7=""),"",IF($B226="MEANS",INDEX('1-DATA'!$1:$1048576,$A225-1,COLUMN('1-DATA'!D224)),ROUND(INDEX('1-DATA'!$1:$1048576,IF(OR($B226="STD. DEVIATION",$C$1=1),$A226,$A226+1),COLUMN('1-DATA'!D224)),IF($B226="STD. DEVIATION",2,$F$1))))</f>
        <v/>
      </c>
      <c r="F226" s="1" t="str">
        <f>IF(OR($B226="",F$7=""),"",IF($B226="MEANS",INDEX('1-DATA'!$1:$1048576,$A225-1,COLUMN('1-DATA'!E224)),ROUND(INDEX('1-DATA'!$1:$1048576,IF(OR($B226="STD. DEVIATION",$C$1=1),$A226,$A226+1),COLUMN('1-DATA'!E224)),IF($B226="STD. DEVIATION",2,$F$1))))</f>
        <v/>
      </c>
      <c r="G226" s="1" t="str">
        <f>IF(OR($B226="",G$7=""),"",IF($B226="MEANS",INDEX('1-DATA'!$1:$1048576,$A225-1,COLUMN('1-DATA'!F224)),ROUND(INDEX('1-DATA'!$1:$1048576,IF(OR($B226="STD. DEVIATION",$C$1=1),$A226,$A226+1),COLUMN('1-DATA'!F224)),IF($B226="STD. DEVIATION",2,$F$1))))</f>
        <v/>
      </c>
      <c r="H226" s="1" t="str">
        <f>IF(OR($B226="",H$7=""),"",IF($B226="MEANS",INDEX('1-DATA'!$1:$1048576,$A225-1,COLUMN('1-DATA'!G224)),ROUND(INDEX('1-DATA'!$1:$1048576,IF(OR($B226="STD. DEVIATION",$C$1=1),$A226,$A226+1),COLUMN('1-DATA'!G224)),IF($B226="STD. DEVIATION",2,$F$1))))</f>
        <v/>
      </c>
      <c r="I226" s="1" t="str">
        <f>IF(OR($B226="",I$7=""),"",IF($B226="MEANS",INDEX('1-DATA'!$1:$1048576,$A225-1,COLUMN('1-DATA'!H224)),ROUND(INDEX('1-DATA'!$1:$1048576,IF(OR($B226="STD. DEVIATION",$C$1=1),$A226,$A226+1),COLUMN('1-DATA'!H224)),IF($B226="STD. DEVIATION",2,$F$1))))</f>
        <v/>
      </c>
      <c r="J226" s="1" t="str">
        <f>IF(OR($B226="",J$7=""),"",IF($B226="MEANS",INDEX('1-DATA'!$1:$1048576,$A225-1,COLUMN('1-DATA'!I224)),ROUND(INDEX('1-DATA'!$1:$1048576,IF(OR($B226="STD. DEVIATION",$C$1=1),$A226,$A226+1),COLUMN('1-DATA'!I224)),IF($B226="STD. DEVIATION",2,$F$1))))</f>
        <v/>
      </c>
      <c r="K226" s="1" t="str">
        <f>IF(OR($B226="",K$7=""),"",IF($B226="MEANS",INDEX('1-DATA'!$1:$1048576,$A225-1,COLUMN('1-DATA'!J224)),ROUND(INDEX('1-DATA'!$1:$1048576,IF(OR($B226="STD. DEVIATION",$C$1=1),$A226,$A226+1),COLUMN('1-DATA'!J224)),IF($B226="STD. DEVIATION",2,$F$1))))</f>
        <v/>
      </c>
      <c r="L226" s="1" t="str">
        <f>IF(OR($B226="",L$7=""),"",IF($B226="MEANS",INDEX('1-DATA'!$1:$1048576,$A225-1,COLUMN('1-DATA'!K224)),ROUND(INDEX('1-DATA'!$1:$1048576,IF(OR($B226="STD. DEVIATION",$C$1=1),$A226,$A226+1),COLUMN('1-DATA'!K224)),IF($B226="STD. DEVIATION",2,$F$1))))</f>
        <v/>
      </c>
      <c r="M226" s="1" t="str">
        <f>IF(OR($B226="",M$7=""),"",IF($B226="MEANS",INDEX('1-DATA'!$1:$1048576,$A225-1,COLUMN('1-DATA'!L224)),ROUND(INDEX('1-DATA'!$1:$1048576,IF(OR($B226="STD. DEVIATION",$C$1=1),$A226,$A226+1),COLUMN('1-DATA'!L224)),IF($B226="STD. DEVIATION",2,$F$1))))</f>
        <v/>
      </c>
      <c r="N226" s="1" t="str">
        <f>IF(OR($B226="",N$7=""),"",IF($B226="MEANS",INDEX('1-DATA'!$1:$1048576,$A225-1,COLUMN('1-DATA'!M224)),ROUND(INDEX('1-DATA'!$1:$1048576,IF(OR($B226="STD. DEVIATION",$C$1=1),$A226,$A226+1),COLUMN('1-DATA'!M224)),IF($B226="STD. DEVIATION",2,$F$1))))</f>
        <v/>
      </c>
      <c r="O226" s="1" t="str">
        <f>IF(OR($B226="",O$7=""),"",IF($B226="MEANS",INDEX('1-DATA'!$1:$1048576,$A225-1,COLUMN('1-DATA'!N224)),ROUND(INDEX('1-DATA'!$1:$1048576,IF(OR($B226="STD. DEVIATION",$C$1=1),$A226,$A226+1),COLUMN('1-DATA'!N224)),IF($B226="STD. DEVIATION",2,$F$1))))</f>
        <v/>
      </c>
      <c r="P226" s="1" t="str">
        <f>IF(OR($B226="",P$7=""),"",IF($B226="MEANS",INDEX('1-DATA'!$1:$1048576,$A225-1,COLUMN('1-DATA'!O224)),ROUND(INDEX('1-DATA'!$1:$1048576,IF(OR($B226="STD. DEVIATION",$C$1=1),$A226,$A226+1),COLUMN('1-DATA'!O224)),IF($B226="STD. DEVIATION",2,$F$1))))</f>
        <v/>
      </c>
      <c r="Q226" s="1" t="str">
        <f>IF(OR($B226="",Q$7=""),"",IF($B226="MEANS",INDEX('1-DATA'!$1:$1048576,$A225-1,COLUMN('1-DATA'!P224)),ROUND(INDEX('1-DATA'!$1:$1048576,IF(OR($B226="STD. DEVIATION",$C$1=1),$A226,$A226+1),COLUMN('1-DATA'!P224)),IF($B226="STD. DEVIATION",2,$F$1))))</f>
        <v/>
      </c>
      <c r="R226" s="1" t="str">
        <f>IF(OR($B226="",R$7=""),"",IF($B226="MEANS",INDEX('1-DATA'!$1:$1048576,$A225-1,COLUMN('1-DATA'!Q224)),ROUND(INDEX('1-DATA'!$1:$1048576,IF(OR($B226="STD. DEVIATION",$C$1=1),$A226,$A226+1),COLUMN('1-DATA'!Q224)),IF($B226="STD. DEVIATION",2,$F$1))))</f>
        <v/>
      </c>
      <c r="S226" s="1" t="str">
        <f>IF(OR($B226="",S$7=""),"",IF($B226="MEANS",INDEX('1-DATA'!$1:$1048576,$A225-1,COLUMN('1-DATA'!R224)),ROUND(INDEX('1-DATA'!$1:$1048576,IF(OR($B226="STD. DEVIATION",$C$1=1),$A226,$A226+1),COLUMN('1-DATA'!R224)),IF($B226="STD. DEVIATION",2,$F$1))))</f>
        <v/>
      </c>
      <c r="T226" s="1" t="str">
        <f>IF(OR($B226="",T$7=""),"",IF($B226="MEANS",INDEX('1-DATA'!$1:$1048576,$A225-1,COLUMN('1-DATA'!S224)),ROUND(INDEX('1-DATA'!$1:$1048576,IF(OR($B226="STD. DEVIATION",$C$1=1),$A226,$A226+1),COLUMN('1-DATA'!S224)),IF($B226="STD. DEVIATION",2,$F$1))))</f>
        <v/>
      </c>
      <c r="U226" s="1" t="str">
        <f>IF(OR($B226="",U$7=""),"",IF($B226="MEANS",INDEX('1-DATA'!$1:$1048576,$A225-1,COLUMN('1-DATA'!T224)),ROUND(INDEX('1-DATA'!$1:$1048576,IF(OR($B226="STD. DEVIATION",$C$1=1),$A226,$A226+1),COLUMN('1-DATA'!T224)),IF($B226="STD. DEVIATION",2,$F$1))))</f>
        <v/>
      </c>
      <c r="V226" s="1" t="str">
        <f>IF(OR($B226="",V$7=""),"",IF($B226="MEANS",INDEX('1-DATA'!$1:$1048576,$A225-1,COLUMN('1-DATA'!U224)),ROUND(INDEX('1-DATA'!$1:$1048576,IF(OR($B226="STD. DEVIATION",$C$1=1),$A226,$A226+1),COLUMN('1-DATA'!U224)),IF($B226="STD. DEVIATION",2,$F$1))))</f>
        <v/>
      </c>
      <c r="W226" s="1" t="str">
        <f>IF(OR($B226="",W$7=""),"",IF($B226="MEANS",INDEX('1-DATA'!$1:$1048576,$A225-1,COLUMN('1-DATA'!V224)),ROUND(INDEX('1-DATA'!$1:$1048576,IF(OR($B226="STD. DEVIATION",$C$1=1),$A226,$A226+1),COLUMN('1-DATA'!V224)),IF($B226="STD. DEVIATION",2,$F$1))))</f>
        <v/>
      </c>
      <c r="X226" s="1" t="str">
        <f>IF(OR($B226="",X$7=""),"",IF($B226="MEANS",INDEX('1-DATA'!$1:$1048576,$A225-1,COLUMN('1-DATA'!W224)),ROUND(INDEX('1-DATA'!$1:$1048576,IF(OR($B226="STD. DEVIATION",$C$1=1),$A226,$A226+1),COLUMN('1-DATA'!W224)),IF($B226="STD. DEVIATION",2,$F$1))))</f>
        <v/>
      </c>
      <c r="Y226" s="1" t="str">
        <f>IF(OR($B226="",Y$7=""),"",IF($B226="MEANS",INDEX('1-DATA'!$1:$1048576,$A225-1,COLUMN('1-DATA'!X224)),ROUND(INDEX('1-DATA'!$1:$1048576,IF(OR($B226="STD. DEVIATION",$C$1=1),$A226,$A226+1),COLUMN('1-DATA'!X224)),IF($B226="STD. DEVIATION",2,$F$1))))</f>
        <v/>
      </c>
      <c r="Z226" s="1" t="str">
        <f>IF(OR($B226="",Z$7=""),"",IF($B226="MEANS",INDEX('1-DATA'!$1:$1048576,$A225-1,COLUMN('1-DATA'!Y224)),ROUND(INDEX('1-DATA'!$1:$1048576,IF(OR($B226="STD. DEVIATION",$C$1=1),$A226,$A226+1),COLUMN('1-DATA'!Y224)),IF($B226="STD. DEVIATION",2,$F$1))))</f>
        <v/>
      </c>
      <c r="AA226" s="1" t="str">
        <f>IF(OR($B226="",AA$7=""),"",IF($B226="MEANS",INDEX('1-DATA'!$1:$1048576,$A225-1,COLUMN('1-DATA'!Z224)),ROUND(INDEX('1-DATA'!$1:$1048576,IF(OR($B226="STD. DEVIATION",$C$1=1),$A226,$A226+1),COLUMN('1-DATA'!Z224)),IF($B226="STD. DEVIATION",2,$F$1))))</f>
        <v/>
      </c>
      <c r="AB226" s="1" t="str">
        <f>IF(OR($B226="",AB$7=""),"",IF($B226="MEANS",INDEX('1-DATA'!$1:$1048576,$A225-1,COLUMN('1-DATA'!AA224)),ROUND(INDEX('1-DATA'!$1:$1048576,IF(OR($B226="STD. DEVIATION",$C$1=1),$A226,$A226+1),COLUMN('1-DATA'!AA224)),IF($B226="STD. DEVIATION",2,$F$1))))</f>
        <v/>
      </c>
      <c r="AC226" s="1" t="str">
        <f>IF(OR($B226="",AC$7=""),"",IF($B226="MEANS",INDEX('1-DATA'!$1:$1048576,$A225-1,COLUMN('1-DATA'!AB224)),ROUND(INDEX('1-DATA'!$1:$1048576,IF(OR($B226="STD. DEVIATION",$C$1=1),$A226,$A226+1),COLUMN('1-DATA'!AB224)),IF($B226="STD. DEVIATION",2,$F$1))))</f>
        <v/>
      </c>
      <c r="AD226" s="1" t="str">
        <f>IF(OR($B226="",AD$7=""),"",IF($B226="MEANS",INDEX('1-DATA'!$1:$1048576,$A225-1,COLUMN('1-DATA'!AC224)),ROUND(INDEX('1-DATA'!$1:$1048576,IF(OR($B226="STD. DEVIATION",$C$1=1),$A226,$A226+1),COLUMN('1-DATA'!AC224)),IF($B226="STD. DEVIATION",2,$F$1))))</f>
        <v/>
      </c>
      <c r="AE226" s="1" t="str">
        <f>IF(OR($B226="",AE$7=""),"",IF($B226="MEANS",INDEX('1-DATA'!$1:$1048576,$A225-1,COLUMN('1-DATA'!AD224)),ROUND(INDEX('1-DATA'!$1:$1048576,IF(OR($B226="STD. DEVIATION",$C$1=1),$A226,$A226+1),COLUMN('1-DATA'!AD224)),IF($B226="STD. DEVIATION",2,$F$1))))</f>
        <v/>
      </c>
      <c r="AF226" s="1" t="str">
        <f>IF(OR($B226="",AF$7=""),"",IF($B226="MEANS",INDEX('1-DATA'!$1:$1048576,$A225-1,COLUMN('1-DATA'!AE224)),ROUND(INDEX('1-DATA'!$1:$1048576,IF(OR($B226="STD. DEVIATION",$C$1=1),$A226,$A226+1),COLUMN('1-DATA'!AE224)),IF($B226="STD. DEVIATION",2,$F$1))))</f>
        <v/>
      </c>
      <c r="AG226" s="1" t="str">
        <f>IF(OR($B226="",AG$7=""),"",IF($B226="MEANS",INDEX('1-DATA'!$1:$1048576,$A225-1,COLUMN('1-DATA'!AF224)),ROUND(INDEX('1-DATA'!$1:$1048576,IF(OR($B226="STD. DEVIATION",$C$1=1),$A226,$A226+1),COLUMN('1-DATA'!AF224)),IF($B226="STD. DEVIATION",2,$F$1))))</f>
        <v/>
      </c>
      <c r="AH226" s="1" t="str">
        <f>IF(OR($B226="",AH$7=""),"",IF($B226="MEANS",INDEX('1-DATA'!$1:$1048576,$A225-1,COLUMN('1-DATA'!AG224)),ROUND(INDEX('1-DATA'!$1:$1048576,IF(OR($B226="STD. DEVIATION",$C$1=1),$A226,$A226+1),COLUMN('1-DATA'!AG224)),IF($B226="STD. DEVIATION",2,$F$1))))</f>
        <v/>
      </c>
      <c r="AI226" s="1" t="str">
        <f>IF(OR($B226="",AI$7=""),"",IF($B226="MEANS",INDEX('1-DATA'!$1:$1048576,$A225-1,COLUMN('1-DATA'!AH224)),ROUND(INDEX('1-DATA'!$1:$1048576,IF(OR($B226="STD. DEVIATION",$C$1=1),$A226,$A226+1),COLUMN('1-DATA'!AH224)),IF($B226="STD. DEVIATION",2,$F$1))))</f>
        <v/>
      </c>
      <c r="AJ226" s="1" t="str">
        <f>IF(OR($B226="",AJ$7=""),"",IF($B226="MEANS",INDEX('1-DATA'!$1:$1048576,$A225-1,COLUMN('1-DATA'!AI224)),ROUND(INDEX('1-DATA'!$1:$1048576,IF(OR($B226="STD. DEVIATION",$C$1=1),$A226,$A226+1),COLUMN('1-DATA'!AI224)),IF($B226="STD. DEVIATION",2,$F$1))))</f>
        <v/>
      </c>
      <c r="AK226" s="1" t="str">
        <f>IF(OR($B226="",AK$7=""),"",IF($B226="MEANS",INDEX('1-DATA'!$1:$1048576,$A225-1,COLUMN('1-DATA'!AJ224)),ROUND(INDEX('1-DATA'!$1:$1048576,IF(OR($B226="STD. DEVIATION",$C$1=1),$A226,$A226+1),COLUMN('1-DATA'!AJ224)),IF($B226="STD. DEVIATION",2,$F$1))))</f>
        <v/>
      </c>
      <c r="AL226" s="1" t="str">
        <f>IF(OR($B226="",AL$7=""),"",IF($B226="MEANS",INDEX('1-DATA'!$1:$1048576,$A225-1,COLUMN('1-DATA'!AK224)),ROUND(INDEX('1-DATA'!$1:$1048576,IF(OR($B226="STD. DEVIATION",$C$1=1),$A226,$A226+1),COLUMN('1-DATA'!AK224)),IF($B226="STD. DEVIATION",2,$F$1))))</f>
        <v/>
      </c>
      <c r="AM226" s="1" t="str">
        <f>IF(OR($B226="",AM$7=""),"",IF($B226="MEANS",INDEX('1-DATA'!$1:$1048576,$A225-1,COLUMN('1-DATA'!AL224)),ROUND(INDEX('1-DATA'!$1:$1048576,IF(OR($B226="STD. DEVIATION",$C$1=1),$A226,$A226+1),COLUMN('1-DATA'!AL224)),IF($B226="STD. DEVIATION",2,$F$1))))</f>
        <v/>
      </c>
      <c r="AN226" s="1" t="str">
        <f>IF(OR($B226="",AN$7=""),"",IF($B226="MEANS",INDEX('1-DATA'!$1:$1048576,$A225-1,COLUMN('1-DATA'!AM224)),ROUND(INDEX('1-DATA'!$1:$1048576,IF(OR($B226="STD. DEVIATION",$C$1=1),$A226,$A226+1),COLUMN('1-DATA'!AM224)),IF($B226="STD. DEVIATION",2,$F$1))))</f>
        <v/>
      </c>
      <c r="AO226" s="1" t="str">
        <f>IF(OR($B226="",AO$7=""),"",IF($B226="MEANS",INDEX('1-DATA'!$1:$1048576,$A225-1,COLUMN('1-DATA'!AN224)),ROUND(INDEX('1-DATA'!$1:$1048576,IF(OR($B226="STD. DEVIATION",$C$1=1),$A226,$A226+1),COLUMN('1-DATA'!AN224)),IF($B226="STD. DEVIATION",2,$F$1))))</f>
        <v/>
      </c>
      <c r="AP226" s="1" t="str">
        <f>IF(OR($B226="",AP$7=""),"",IF($B226="MEANS",INDEX('1-DATA'!$1:$1048576,$A225-1,COLUMN('1-DATA'!AO224)),ROUND(INDEX('1-DATA'!$1:$1048576,IF(OR($B226="STD. DEVIATION",$C$1=1),$A226,$A226+1),COLUMN('1-DATA'!AO224)),IF($B226="STD. DEVIATION",2,$F$1))))</f>
        <v/>
      </c>
      <c r="AQ226" s="1" t="str">
        <f>IF(OR($B226="",AQ$7=""),"",IF($B226="MEANS",INDEX('1-DATA'!$1:$1048576,$A225-1,COLUMN('1-DATA'!AP224)),ROUND(INDEX('1-DATA'!$1:$1048576,IF(OR($B226="STD. DEVIATION",$C$1=1),$A226,$A226+1),COLUMN('1-DATA'!AP224)),IF($B226="STD. DEVIATION",2,$F$1))))</f>
        <v/>
      </c>
      <c r="AR226" s="1" t="str">
        <f>IF(OR($B226="",AR$7=""),"",IF($B226="MEANS",INDEX('1-DATA'!$1:$1048576,$A225-1,COLUMN('1-DATA'!AQ224)),ROUND(INDEX('1-DATA'!$1:$1048576,IF(OR($B226="STD. DEVIATION",$C$1=1),$A226,$A226+1),COLUMN('1-DATA'!AQ224)),IF($B226="STD. DEVIATION",2,$F$1))))</f>
        <v/>
      </c>
      <c r="AS226" s="1" t="str">
        <f>IF(OR($B226="",AS$7=""),"",IF($B226="MEANS",INDEX('1-DATA'!$1:$1048576,$A225-1,COLUMN('1-DATA'!AR224)),ROUND(INDEX('1-DATA'!$1:$1048576,IF(OR($B226="STD. DEVIATION",$C$1=1),$A226,$A226+1),COLUMN('1-DATA'!AR224)),IF($B226="STD. DEVIATION",2,$F$1))))</f>
        <v/>
      </c>
      <c r="AT226" s="1" t="str">
        <f>IF(OR($B226="",AT$7=""),"",IF($B226="MEANS",INDEX('1-DATA'!$1:$1048576,$A225-1,COLUMN('1-DATA'!AS224)),ROUND(INDEX('1-DATA'!$1:$1048576,IF(OR($B226="STD. DEVIATION",$C$1=1),$A226,$A226+1),COLUMN('1-DATA'!AS224)),IF($B226="STD. DEVIATION",2,$F$1))))</f>
        <v/>
      </c>
      <c r="AU226" s="1" t="str">
        <f>IF(OR($B226="",AU$7=""),"",IF($B226="MEANS",INDEX('1-DATA'!$1:$1048576,$A225-1,COLUMN('1-DATA'!AT224)),ROUND(INDEX('1-DATA'!$1:$1048576,IF(OR($B226="STD. DEVIATION",$C$1=1),$A226,$A226+1),COLUMN('1-DATA'!AT224)),IF($B226="STD. DEVIATION",2,$F$1))))</f>
        <v/>
      </c>
      <c r="AV226" s="1" t="str">
        <f>IF(OR($B226="",AV$7=""),"",IF($B226="MEANS",INDEX('1-DATA'!$1:$1048576,$A225-1,COLUMN('1-DATA'!AU224)),ROUND(INDEX('1-DATA'!$1:$1048576,IF(OR($B226="STD. DEVIATION",$C$1=1),$A226,$A226+1),COLUMN('1-DATA'!AU224)),IF($B226="STD. DEVIATION",2,$F$1))))</f>
        <v/>
      </c>
      <c r="AW226" s="1" t="str">
        <f>IF(OR($B226="",AW$7=""),"",IF($B226="MEANS",INDEX('1-DATA'!$1:$1048576,$A225-1,COLUMN('1-DATA'!AV224)),ROUND(INDEX('1-DATA'!$1:$1048576,IF(OR($B226="STD. DEVIATION",$C$1=1),$A226,$A226+1),COLUMN('1-DATA'!AV224)),IF($B226="STD. DEVIATION",2,$F$1))))</f>
        <v/>
      </c>
      <c r="AX226" s="1" t="str">
        <f>IF(OR($B226="",AX$7=""),"",IF($B226="MEANS",INDEX('1-DATA'!$1:$1048576,$A225-1,COLUMN('1-DATA'!AW224)),ROUND(INDEX('1-DATA'!$1:$1048576,IF(OR($B226="STD. DEVIATION",$C$1=1),$A226,$A226+1),COLUMN('1-DATA'!AW224)),IF($B226="STD. DEVIATION",2,$F$1))))</f>
        <v/>
      </c>
      <c r="AY226" s="1" t="str">
        <f>IF(OR($B226="",AY$7=""),"",IF($B226="MEANS",INDEX('1-DATA'!$1:$1048576,$A225-1,COLUMN('1-DATA'!AX224)),ROUND(INDEX('1-DATA'!$1:$1048576,IF(OR($B226="STD. DEVIATION",$C$1=1),$A226,$A226+1),COLUMN('1-DATA'!AX224)),IF($B226="STD. DEVIATION",2,$F$1))))</f>
        <v/>
      </c>
      <c r="AZ226" s="1" t="str">
        <f>IF(OR($B226="",AZ$7=""),"",IF($B226="MEANS",INDEX('1-DATA'!$1:$1048576,$A225-1,COLUMN('1-DATA'!AY224)),ROUND(INDEX('1-DATA'!$1:$1048576,IF(OR($B226="STD. DEVIATION",$C$1=1),$A226,$A226+1),COLUMN('1-DATA'!AY224)),IF($B226="STD. DEVIATION",2,$F$1))))</f>
        <v/>
      </c>
    </row>
    <row r="227" spans="1:52" x14ac:dyDescent="0.25">
      <c r="A227" s="11">
        <f t="shared" si="4"/>
        <v>667</v>
      </c>
      <c r="B227" s="1" t="str">
        <f>IF(B226="STD. DEVIATION",INDEX('1-DATA'!$1:$1048576,$A226-1,1),IF(INDEX('1-DATA'!$1:$1048576,$A227,1)&lt;&gt;"",INDEX('1-DATA'!$1:$1048576,$A227,1),""))</f>
        <v/>
      </c>
      <c r="C227" s="1" t="str">
        <f>IF(OR($B227="",C$7=""),"",IF($B227="MEANS",INDEX('1-DATA'!$1:$1048576,$A226-1,COLUMN('1-DATA'!B225)),ROUND(INDEX('1-DATA'!$1:$1048576,IF(OR($B227="STD. DEVIATION",$C$1=1),$A227,$A227+1),COLUMN('1-DATA'!B225)),IF($B227="STD. DEVIATION",2,$F$1))))</f>
        <v/>
      </c>
      <c r="D227" s="1" t="str">
        <f>IF(OR($B227="",D$7=""),"",IF($B227="MEANS",INDEX('1-DATA'!$1:$1048576,$A226-1,COLUMN('1-DATA'!C225)),ROUND(INDEX('1-DATA'!$1:$1048576,IF(OR($B227="STD. DEVIATION",$C$1=1),$A227,$A227+1),COLUMN('1-DATA'!C225)),IF($B227="STD. DEVIATION",2,$F$1))))</f>
        <v/>
      </c>
      <c r="E227" s="1" t="str">
        <f>IF(OR($B227="",E$7=""),"",IF($B227="MEANS",INDEX('1-DATA'!$1:$1048576,$A226-1,COLUMN('1-DATA'!D225)),ROUND(INDEX('1-DATA'!$1:$1048576,IF(OR($B227="STD. DEVIATION",$C$1=1),$A227,$A227+1),COLUMN('1-DATA'!D225)),IF($B227="STD. DEVIATION",2,$F$1))))</f>
        <v/>
      </c>
      <c r="F227" s="1" t="str">
        <f>IF(OR($B227="",F$7=""),"",IF($B227="MEANS",INDEX('1-DATA'!$1:$1048576,$A226-1,COLUMN('1-DATA'!E225)),ROUND(INDEX('1-DATA'!$1:$1048576,IF(OR($B227="STD. DEVIATION",$C$1=1),$A227,$A227+1),COLUMN('1-DATA'!E225)),IF($B227="STD. DEVIATION",2,$F$1))))</f>
        <v/>
      </c>
      <c r="G227" s="1" t="str">
        <f>IF(OR($B227="",G$7=""),"",IF($B227="MEANS",INDEX('1-DATA'!$1:$1048576,$A226-1,COLUMN('1-DATA'!F225)),ROUND(INDEX('1-DATA'!$1:$1048576,IF(OR($B227="STD. DEVIATION",$C$1=1),$A227,$A227+1),COLUMN('1-DATA'!F225)),IF($B227="STD. DEVIATION",2,$F$1))))</f>
        <v/>
      </c>
      <c r="H227" s="1" t="str">
        <f>IF(OR($B227="",H$7=""),"",IF($B227="MEANS",INDEX('1-DATA'!$1:$1048576,$A226-1,COLUMN('1-DATA'!G225)),ROUND(INDEX('1-DATA'!$1:$1048576,IF(OR($B227="STD. DEVIATION",$C$1=1),$A227,$A227+1),COLUMN('1-DATA'!G225)),IF($B227="STD. DEVIATION",2,$F$1))))</f>
        <v/>
      </c>
      <c r="I227" s="1" t="str">
        <f>IF(OR($B227="",I$7=""),"",IF($B227="MEANS",INDEX('1-DATA'!$1:$1048576,$A226-1,COLUMN('1-DATA'!H225)),ROUND(INDEX('1-DATA'!$1:$1048576,IF(OR($B227="STD. DEVIATION",$C$1=1),$A227,$A227+1),COLUMN('1-DATA'!H225)),IF($B227="STD. DEVIATION",2,$F$1))))</f>
        <v/>
      </c>
      <c r="J227" s="1" t="str">
        <f>IF(OR($B227="",J$7=""),"",IF($B227="MEANS",INDEX('1-DATA'!$1:$1048576,$A226-1,COLUMN('1-DATA'!I225)),ROUND(INDEX('1-DATA'!$1:$1048576,IF(OR($B227="STD. DEVIATION",$C$1=1),$A227,$A227+1),COLUMN('1-DATA'!I225)),IF($B227="STD. DEVIATION",2,$F$1))))</f>
        <v/>
      </c>
      <c r="K227" s="1" t="str">
        <f>IF(OR($B227="",K$7=""),"",IF($B227="MEANS",INDEX('1-DATA'!$1:$1048576,$A226-1,COLUMN('1-DATA'!J225)),ROUND(INDEX('1-DATA'!$1:$1048576,IF(OR($B227="STD. DEVIATION",$C$1=1),$A227,$A227+1),COLUMN('1-DATA'!J225)),IF($B227="STD. DEVIATION",2,$F$1))))</f>
        <v/>
      </c>
      <c r="L227" s="1" t="str">
        <f>IF(OR($B227="",L$7=""),"",IF($B227="MEANS",INDEX('1-DATA'!$1:$1048576,$A226-1,COLUMN('1-DATA'!K225)),ROUND(INDEX('1-DATA'!$1:$1048576,IF(OR($B227="STD. DEVIATION",$C$1=1),$A227,$A227+1),COLUMN('1-DATA'!K225)),IF($B227="STD. DEVIATION",2,$F$1))))</f>
        <v/>
      </c>
      <c r="M227" s="1" t="str">
        <f>IF(OR($B227="",M$7=""),"",IF($B227="MEANS",INDEX('1-DATA'!$1:$1048576,$A226-1,COLUMN('1-DATA'!L225)),ROUND(INDEX('1-DATA'!$1:$1048576,IF(OR($B227="STD. DEVIATION",$C$1=1),$A227,$A227+1),COLUMN('1-DATA'!L225)),IF($B227="STD. DEVIATION",2,$F$1))))</f>
        <v/>
      </c>
      <c r="N227" s="1" t="str">
        <f>IF(OR($B227="",N$7=""),"",IF($B227="MEANS",INDEX('1-DATA'!$1:$1048576,$A226-1,COLUMN('1-DATA'!M225)),ROUND(INDEX('1-DATA'!$1:$1048576,IF(OR($B227="STD. DEVIATION",$C$1=1),$A227,$A227+1),COLUMN('1-DATA'!M225)),IF($B227="STD. DEVIATION",2,$F$1))))</f>
        <v/>
      </c>
      <c r="O227" s="1" t="str">
        <f>IF(OR($B227="",O$7=""),"",IF($B227="MEANS",INDEX('1-DATA'!$1:$1048576,$A226-1,COLUMN('1-DATA'!N225)),ROUND(INDEX('1-DATA'!$1:$1048576,IF(OR($B227="STD. DEVIATION",$C$1=1),$A227,$A227+1),COLUMN('1-DATA'!N225)),IF($B227="STD. DEVIATION",2,$F$1))))</f>
        <v/>
      </c>
      <c r="P227" s="1" t="str">
        <f>IF(OR($B227="",P$7=""),"",IF($B227="MEANS",INDEX('1-DATA'!$1:$1048576,$A226-1,COLUMN('1-DATA'!O225)),ROUND(INDEX('1-DATA'!$1:$1048576,IF(OR($B227="STD. DEVIATION",$C$1=1),$A227,$A227+1),COLUMN('1-DATA'!O225)),IF($B227="STD. DEVIATION",2,$F$1))))</f>
        <v/>
      </c>
      <c r="Q227" s="1" t="str">
        <f>IF(OR($B227="",Q$7=""),"",IF($B227="MEANS",INDEX('1-DATA'!$1:$1048576,$A226-1,COLUMN('1-DATA'!P225)),ROUND(INDEX('1-DATA'!$1:$1048576,IF(OR($B227="STD. DEVIATION",$C$1=1),$A227,$A227+1),COLUMN('1-DATA'!P225)),IF($B227="STD. DEVIATION",2,$F$1))))</f>
        <v/>
      </c>
      <c r="R227" s="1" t="str">
        <f>IF(OR($B227="",R$7=""),"",IF($B227="MEANS",INDEX('1-DATA'!$1:$1048576,$A226-1,COLUMN('1-DATA'!Q225)),ROUND(INDEX('1-DATA'!$1:$1048576,IF(OR($B227="STD. DEVIATION",$C$1=1),$A227,$A227+1),COLUMN('1-DATA'!Q225)),IF($B227="STD. DEVIATION",2,$F$1))))</f>
        <v/>
      </c>
      <c r="S227" s="1" t="str">
        <f>IF(OR($B227="",S$7=""),"",IF($B227="MEANS",INDEX('1-DATA'!$1:$1048576,$A226-1,COLUMN('1-DATA'!R225)),ROUND(INDEX('1-DATA'!$1:$1048576,IF(OR($B227="STD. DEVIATION",$C$1=1),$A227,$A227+1),COLUMN('1-DATA'!R225)),IF($B227="STD. DEVIATION",2,$F$1))))</f>
        <v/>
      </c>
      <c r="T227" s="1" t="str">
        <f>IF(OR($B227="",T$7=""),"",IF($B227="MEANS",INDEX('1-DATA'!$1:$1048576,$A226-1,COLUMN('1-DATA'!S225)),ROUND(INDEX('1-DATA'!$1:$1048576,IF(OR($B227="STD. DEVIATION",$C$1=1),$A227,$A227+1),COLUMN('1-DATA'!S225)),IF($B227="STD. DEVIATION",2,$F$1))))</f>
        <v/>
      </c>
      <c r="U227" s="1" t="str">
        <f>IF(OR($B227="",U$7=""),"",IF($B227="MEANS",INDEX('1-DATA'!$1:$1048576,$A226-1,COLUMN('1-DATA'!T225)),ROUND(INDEX('1-DATA'!$1:$1048576,IF(OR($B227="STD. DEVIATION",$C$1=1),$A227,$A227+1),COLUMN('1-DATA'!T225)),IF($B227="STD. DEVIATION",2,$F$1))))</f>
        <v/>
      </c>
      <c r="V227" s="1" t="str">
        <f>IF(OR($B227="",V$7=""),"",IF($B227="MEANS",INDEX('1-DATA'!$1:$1048576,$A226-1,COLUMN('1-DATA'!U225)),ROUND(INDEX('1-DATA'!$1:$1048576,IF(OR($B227="STD. DEVIATION",$C$1=1),$A227,$A227+1),COLUMN('1-DATA'!U225)),IF($B227="STD. DEVIATION",2,$F$1))))</f>
        <v/>
      </c>
      <c r="W227" s="1" t="str">
        <f>IF(OR($B227="",W$7=""),"",IF($B227="MEANS",INDEX('1-DATA'!$1:$1048576,$A226-1,COLUMN('1-DATA'!V225)),ROUND(INDEX('1-DATA'!$1:$1048576,IF(OR($B227="STD. DEVIATION",$C$1=1),$A227,$A227+1),COLUMN('1-DATA'!V225)),IF($B227="STD. DEVIATION",2,$F$1))))</f>
        <v/>
      </c>
      <c r="X227" s="1" t="str">
        <f>IF(OR($B227="",X$7=""),"",IF($B227="MEANS",INDEX('1-DATA'!$1:$1048576,$A226-1,COLUMN('1-DATA'!W225)),ROUND(INDEX('1-DATA'!$1:$1048576,IF(OR($B227="STD. DEVIATION",$C$1=1),$A227,$A227+1),COLUMN('1-DATA'!W225)),IF($B227="STD. DEVIATION",2,$F$1))))</f>
        <v/>
      </c>
      <c r="Y227" s="1" t="str">
        <f>IF(OR($B227="",Y$7=""),"",IF($B227="MEANS",INDEX('1-DATA'!$1:$1048576,$A226-1,COLUMN('1-DATA'!X225)),ROUND(INDEX('1-DATA'!$1:$1048576,IF(OR($B227="STD. DEVIATION",$C$1=1),$A227,$A227+1),COLUMN('1-DATA'!X225)),IF($B227="STD. DEVIATION",2,$F$1))))</f>
        <v/>
      </c>
      <c r="Z227" s="1" t="str">
        <f>IF(OR($B227="",Z$7=""),"",IF($B227="MEANS",INDEX('1-DATA'!$1:$1048576,$A226-1,COLUMN('1-DATA'!Y225)),ROUND(INDEX('1-DATA'!$1:$1048576,IF(OR($B227="STD. DEVIATION",$C$1=1),$A227,$A227+1),COLUMN('1-DATA'!Y225)),IF($B227="STD. DEVIATION",2,$F$1))))</f>
        <v/>
      </c>
      <c r="AA227" s="1" t="str">
        <f>IF(OR($B227="",AA$7=""),"",IF($B227="MEANS",INDEX('1-DATA'!$1:$1048576,$A226-1,COLUMN('1-DATA'!Z225)),ROUND(INDEX('1-DATA'!$1:$1048576,IF(OR($B227="STD. DEVIATION",$C$1=1),$A227,$A227+1),COLUMN('1-DATA'!Z225)),IF($B227="STD. DEVIATION",2,$F$1))))</f>
        <v/>
      </c>
      <c r="AB227" s="1" t="str">
        <f>IF(OR($B227="",AB$7=""),"",IF($B227="MEANS",INDEX('1-DATA'!$1:$1048576,$A226-1,COLUMN('1-DATA'!AA225)),ROUND(INDEX('1-DATA'!$1:$1048576,IF(OR($B227="STD. DEVIATION",$C$1=1),$A227,$A227+1),COLUMN('1-DATA'!AA225)),IF($B227="STD. DEVIATION",2,$F$1))))</f>
        <v/>
      </c>
      <c r="AC227" s="1" t="str">
        <f>IF(OR($B227="",AC$7=""),"",IF($B227="MEANS",INDEX('1-DATA'!$1:$1048576,$A226-1,COLUMN('1-DATA'!AB225)),ROUND(INDEX('1-DATA'!$1:$1048576,IF(OR($B227="STD. DEVIATION",$C$1=1),$A227,$A227+1),COLUMN('1-DATA'!AB225)),IF($B227="STD. DEVIATION",2,$F$1))))</f>
        <v/>
      </c>
      <c r="AD227" s="1" t="str">
        <f>IF(OR($B227="",AD$7=""),"",IF($B227="MEANS",INDEX('1-DATA'!$1:$1048576,$A226-1,COLUMN('1-DATA'!AC225)),ROUND(INDEX('1-DATA'!$1:$1048576,IF(OR($B227="STD. DEVIATION",$C$1=1),$A227,$A227+1),COLUMN('1-DATA'!AC225)),IF($B227="STD. DEVIATION",2,$F$1))))</f>
        <v/>
      </c>
      <c r="AE227" s="1" t="str">
        <f>IF(OR($B227="",AE$7=""),"",IF($B227="MEANS",INDEX('1-DATA'!$1:$1048576,$A226-1,COLUMN('1-DATA'!AD225)),ROUND(INDEX('1-DATA'!$1:$1048576,IF(OR($B227="STD. DEVIATION",$C$1=1),$A227,$A227+1),COLUMN('1-DATA'!AD225)),IF($B227="STD. DEVIATION",2,$F$1))))</f>
        <v/>
      </c>
      <c r="AF227" s="1" t="str">
        <f>IF(OR($B227="",AF$7=""),"",IF($B227="MEANS",INDEX('1-DATA'!$1:$1048576,$A226-1,COLUMN('1-DATA'!AE225)),ROUND(INDEX('1-DATA'!$1:$1048576,IF(OR($B227="STD. DEVIATION",$C$1=1),$A227,$A227+1),COLUMN('1-DATA'!AE225)),IF($B227="STD. DEVIATION",2,$F$1))))</f>
        <v/>
      </c>
      <c r="AG227" s="1" t="str">
        <f>IF(OR($B227="",AG$7=""),"",IF($B227="MEANS",INDEX('1-DATA'!$1:$1048576,$A226-1,COLUMN('1-DATA'!AF225)),ROUND(INDEX('1-DATA'!$1:$1048576,IF(OR($B227="STD. DEVIATION",$C$1=1),$A227,$A227+1),COLUMN('1-DATA'!AF225)),IF($B227="STD. DEVIATION",2,$F$1))))</f>
        <v/>
      </c>
      <c r="AH227" s="1" t="str">
        <f>IF(OR($B227="",AH$7=""),"",IF($B227="MEANS",INDEX('1-DATA'!$1:$1048576,$A226-1,COLUMN('1-DATA'!AG225)),ROUND(INDEX('1-DATA'!$1:$1048576,IF(OR($B227="STD. DEVIATION",$C$1=1),$A227,$A227+1),COLUMN('1-DATA'!AG225)),IF($B227="STD. DEVIATION",2,$F$1))))</f>
        <v/>
      </c>
      <c r="AI227" s="1" t="str">
        <f>IF(OR($B227="",AI$7=""),"",IF($B227="MEANS",INDEX('1-DATA'!$1:$1048576,$A226-1,COLUMN('1-DATA'!AH225)),ROUND(INDEX('1-DATA'!$1:$1048576,IF(OR($B227="STD. DEVIATION",$C$1=1),$A227,$A227+1),COLUMN('1-DATA'!AH225)),IF($B227="STD. DEVIATION",2,$F$1))))</f>
        <v/>
      </c>
      <c r="AJ227" s="1" t="str">
        <f>IF(OR($B227="",AJ$7=""),"",IF($B227="MEANS",INDEX('1-DATA'!$1:$1048576,$A226-1,COLUMN('1-DATA'!AI225)),ROUND(INDEX('1-DATA'!$1:$1048576,IF(OR($B227="STD. DEVIATION",$C$1=1),$A227,$A227+1),COLUMN('1-DATA'!AI225)),IF($B227="STD. DEVIATION",2,$F$1))))</f>
        <v/>
      </c>
      <c r="AK227" s="1" t="str">
        <f>IF(OR($B227="",AK$7=""),"",IF($B227="MEANS",INDEX('1-DATA'!$1:$1048576,$A226-1,COLUMN('1-DATA'!AJ225)),ROUND(INDEX('1-DATA'!$1:$1048576,IF(OR($B227="STD. DEVIATION",$C$1=1),$A227,$A227+1),COLUMN('1-DATA'!AJ225)),IF($B227="STD. DEVIATION",2,$F$1))))</f>
        <v/>
      </c>
      <c r="AL227" s="1" t="str">
        <f>IF(OR($B227="",AL$7=""),"",IF($B227="MEANS",INDEX('1-DATA'!$1:$1048576,$A226-1,COLUMN('1-DATA'!AK225)),ROUND(INDEX('1-DATA'!$1:$1048576,IF(OR($B227="STD. DEVIATION",$C$1=1),$A227,$A227+1),COLUMN('1-DATA'!AK225)),IF($B227="STD. DEVIATION",2,$F$1))))</f>
        <v/>
      </c>
      <c r="AM227" s="1" t="str">
        <f>IF(OR($B227="",AM$7=""),"",IF($B227="MEANS",INDEX('1-DATA'!$1:$1048576,$A226-1,COLUMN('1-DATA'!AL225)),ROUND(INDEX('1-DATA'!$1:$1048576,IF(OR($B227="STD. DEVIATION",$C$1=1),$A227,$A227+1),COLUMN('1-DATA'!AL225)),IF($B227="STD. DEVIATION",2,$F$1))))</f>
        <v/>
      </c>
      <c r="AN227" s="1" t="str">
        <f>IF(OR($B227="",AN$7=""),"",IF($B227="MEANS",INDEX('1-DATA'!$1:$1048576,$A226-1,COLUMN('1-DATA'!AM225)),ROUND(INDEX('1-DATA'!$1:$1048576,IF(OR($B227="STD. DEVIATION",$C$1=1),$A227,$A227+1),COLUMN('1-DATA'!AM225)),IF($B227="STD. DEVIATION",2,$F$1))))</f>
        <v/>
      </c>
      <c r="AO227" s="1" t="str">
        <f>IF(OR($B227="",AO$7=""),"",IF($B227="MEANS",INDEX('1-DATA'!$1:$1048576,$A226-1,COLUMN('1-DATA'!AN225)),ROUND(INDEX('1-DATA'!$1:$1048576,IF(OR($B227="STD. DEVIATION",$C$1=1),$A227,$A227+1),COLUMN('1-DATA'!AN225)),IF($B227="STD. DEVIATION",2,$F$1))))</f>
        <v/>
      </c>
      <c r="AP227" s="1" t="str">
        <f>IF(OR($B227="",AP$7=""),"",IF($B227="MEANS",INDEX('1-DATA'!$1:$1048576,$A226-1,COLUMN('1-DATA'!AO225)),ROUND(INDEX('1-DATA'!$1:$1048576,IF(OR($B227="STD. DEVIATION",$C$1=1),$A227,$A227+1),COLUMN('1-DATA'!AO225)),IF($B227="STD. DEVIATION",2,$F$1))))</f>
        <v/>
      </c>
      <c r="AQ227" s="1" t="str">
        <f>IF(OR($B227="",AQ$7=""),"",IF($B227="MEANS",INDEX('1-DATA'!$1:$1048576,$A226-1,COLUMN('1-DATA'!AP225)),ROUND(INDEX('1-DATA'!$1:$1048576,IF(OR($B227="STD. DEVIATION",$C$1=1),$A227,$A227+1),COLUMN('1-DATA'!AP225)),IF($B227="STD. DEVIATION",2,$F$1))))</f>
        <v/>
      </c>
      <c r="AR227" s="1" t="str">
        <f>IF(OR($B227="",AR$7=""),"",IF($B227="MEANS",INDEX('1-DATA'!$1:$1048576,$A226-1,COLUMN('1-DATA'!AQ225)),ROUND(INDEX('1-DATA'!$1:$1048576,IF(OR($B227="STD. DEVIATION",$C$1=1),$A227,$A227+1),COLUMN('1-DATA'!AQ225)),IF($B227="STD. DEVIATION",2,$F$1))))</f>
        <v/>
      </c>
      <c r="AS227" s="1" t="str">
        <f>IF(OR($B227="",AS$7=""),"",IF($B227="MEANS",INDEX('1-DATA'!$1:$1048576,$A226-1,COLUMN('1-DATA'!AR225)),ROUND(INDEX('1-DATA'!$1:$1048576,IF(OR($B227="STD. DEVIATION",$C$1=1),$A227,$A227+1),COLUMN('1-DATA'!AR225)),IF($B227="STD. DEVIATION",2,$F$1))))</f>
        <v/>
      </c>
      <c r="AT227" s="1" t="str">
        <f>IF(OR($B227="",AT$7=""),"",IF($B227="MEANS",INDEX('1-DATA'!$1:$1048576,$A226-1,COLUMN('1-DATA'!AS225)),ROUND(INDEX('1-DATA'!$1:$1048576,IF(OR($B227="STD. DEVIATION",$C$1=1),$A227,$A227+1),COLUMN('1-DATA'!AS225)),IF($B227="STD. DEVIATION",2,$F$1))))</f>
        <v/>
      </c>
      <c r="AU227" s="1" t="str">
        <f>IF(OR($B227="",AU$7=""),"",IF($B227="MEANS",INDEX('1-DATA'!$1:$1048576,$A226-1,COLUMN('1-DATA'!AT225)),ROUND(INDEX('1-DATA'!$1:$1048576,IF(OR($B227="STD. DEVIATION",$C$1=1),$A227,$A227+1),COLUMN('1-DATA'!AT225)),IF($B227="STD. DEVIATION",2,$F$1))))</f>
        <v/>
      </c>
      <c r="AV227" s="1" t="str">
        <f>IF(OR($B227="",AV$7=""),"",IF($B227="MEANS",INDEX('1-DATA'!$1:$1048576,$A226-1,COLUMN('1-DATA'!AU225)),ROUND(INDEX('1-DATA'!$1:$1048576,IF(OR($B227="STD. DEVIATION",$C$1=1),$A227,$A227+1),COLUMN('1-DATA'!AU225)),IF($B227="STD. DEVIATION",2,$F$1))))</f>
        <v/>
      </c>
      <c r="AW227" s="1" t="str">
        <f>IF(OR($B227="",AW$7=""),"",IF($B227="MEANS",INDEX('1-DATA'!$1:$1048576,$A226-1,COLUMN('1-DATA'!AV225)),ROUND(INDEX('1-DATA'!$1:$1048576,IF(OR($B227="STD. DEVIATION",$C$1=1),$A227,$A227+1),COLUMN('1-DATA'!AV225)),IF($B227="STD. DEVIATION",2,$F$1))))</f>
        <v/>
      </c>
      <c r="AX227" s="1" t="str">
        <f>IF(OR($B227="",AX$7=""),"",IF($B227="MEANS",INDEX('1-DATA'!$1:$1048576,$A226-1,COLUMN('1-DATA'!AW225)),ROUND(INDEX('1-DATA'!$1:$1048576,IF(OR($B227="STD. DEVIATION",$C$1=1),$A227,$A227+1),COLUMN('1-DATA'!AW225)),IF($B227="STD. DEVIATION",2,$F$1))))</f>
        <v/>
      </c>
      <c r="AY227" s="1" t="str">
        <f>IF(OR($B227="",AY$7=""),"",IF($B227="MEANS",INDEX('1-DATA'!$1:$1048576,$A226-1,COLUMN('1-DATA'!AX225)),ROUND(INDEX('1-DATA'!$1:$1048576,IF(OR($B227="STD. DEVIATION",$C$1=1),$A227,$A227+1),COLUMN('1-DATA'!AX225)),IF($B227="STD. DEVIATION",2,$F$1))))</f>
        <v/>
      </c>
      <c r="AZ227" s="1" t="str">
        <f>IF(OR($B227="",AZ$7=""),"",IF($B227="MEANS",INDEX('1-DATA'!$1:$1048576,$A226-1,COLUMN('1-DATA'!AY225)),ROUND(INDEX('1-DATA'!$1:$1048576,IF(OR($B227="STD. DEVIATION",$C$1=1),$A227,$A227+1),COLUMN('1-DATA'!AY225)),IF($B227="STD. DEVIATION",2,$F$1))))</f>
        <v/>
      </c>
    </row>
    <row r="228" spans="1:52" x14ac:dyDescent="0.25">
      <c r="A228" s="11">
        <f t="shared" si="4"/>
        <v>670</v>
      </c>
      <c r="B228" s="1" t="str">
        <f>IF(B227="STD. DEVIATION",INDEX('1-DATA'!$1:$1048576,$A227-1,1),IF(INDEX('1-DATA'!$1:$1048576,$A228,1)&lt;&gt;"",INDEX('1-DATA'!$1:$1048576,$A228,1),""))</f>
        <v/>
      </c>
      <c r="C228" s="1" t="str">
        <f>IF(OR($B228="",C$7=""),"",IF($B228="MEANS",INDEX('1-DATA'!$1:$1048576,$A227-1,COLUMN('1-DATA'!B226)),ROUND(INDEX('1-DATA'!$1:$1048576,IF(OR($B228="STD. DEVIATION",$C$1=1),$A228,$A228+1),COLUMN('1-DATA'!B226)),IF($B228="STD. DEVIATION",2,$F$1))))</f>
        <v/>
      </c>
      <c r="D228" s="1" t="str">
        <f>IF(OR($B228="",D$7=""),"",IF($B228="MEANS",INDEX('1-DATA'!$1:$1048576,$A227-1,COLUMN('1-DATA'!C226)),ROUND(INDEX('1-DATA'!$1:$1048576,IF(OR($B228="STD. DEVIATION",$C$1=1),$A228,$A228+1),COLUMN('1-DATA'!C226)),IF($B228="STD. DEVIATION",2,$F$1))))</f>
        <v/>
      </c>
      <c r="E228" s="1" t="str">
        <f>IF(OR($B228="",E$7=""),"",IF($B228="MEANS",INDEX('1-DATA'!$1:$1048576,$A227-1,COLUMN('1-DATA'!D226)),ROUND(INDEX('1-DATA'!$1:$1048576,IF(OR($B228="STD. DEVIATION",$C$1=1),$A228,$A228+1),COLUMN('1-DATA'!D226)),IF($B228="STD. DEVIATION",2,$F$1))))</f>
        <v/>
      </c>
      <c r="F228" s="1" t="str">
        <f>IF(OR($B228="",F$7=""),"",IF($B228="MEANS",INDEX('1-DATA'!$1:$1048576,$A227-1,COLUMN('1-DATA'!E226)),ROUND(INDEX('1-DATA'!$1:$1048576,IF(OR($B228="STD. DEVIATION",$C$1=1),$A228,$A228+1),COLUMN('1-DATA'!E226)),IF($B228="STD. DEVIATION",2,$F$1))))</f>
        <v/>
      </c>
      <c r="G228" s="1" t="str">
        <f>IF(OR($B228="",G$7=""),"",IF($B228="MEANS",INDEX('1-DATA'!$1:$1048576,$A227-1,COLUMN('1-DATA'!F226)),ROUND(INDEX('1-DATA'!$1:$1048576,IF(OR($B228="STD. DEVIATION",$C$1=1),$A228,$A228+1),COLUMN('1-DATA'!F226)),IF($B228="STD. DEVIATION",2,$F$1))))</f>
        <v/>
      </c>
      <c r="H228" s="1" t="str">
        <f>IF(OR($B228="",H$7=""),"",IF($B228="MEANS",INDEX('1-DATA'!$1:$1048576,$A227-1,COLUMN('1-DATA'!G226)),ROUND(INDEX('1-DATA'!$1:$1048576,IF(OR($B228="STD. DEVIATION",$C$1=1),$A228,$A228+1),COLUMN('1-DATA'!G226)),IF($B228="STD. DEVIATION",2,$F$1))))</f>
        <v/>
      </c>
      <c r="I228" s="1" t="str">
        <f>IF(OR($B228="",I$7=""),"",IF($B228="MEANS",INDEX('1-DATA'!$1:$1048576,$A227-1,COLUMN('1-DATA'!H226)),ROUND(INDEX('1-DATA'!$1:$1048576,IF(OR($B228="STD. DEVIATION",$C$1=1),$A228,$A228+1),COLUMN('1-DATA'!H226)),IF($B228="STD. DEVIATION",2,$F$1))))</f>
        <v/>
      </c>
      <c r="J228" s="1" t="str">
        <f>IF(OR($B228="",J$7=""),"",IF($B228="MEANS",INDEX('1-DATA'!$1:$1048576,$A227-1,COLUMN('1-DATA'!I226)),ROUND(INDEX('1-DATA'!$1:$1048576,IF(OR($B228="STD. DEVIATION",$C$1=1),$A228,$A228+1),COLUMN('1-DATA'!I226)),IF($B228="STD. DEVIATION",2,$F$1))))</f>
        <v/>
      </c>
      <c r="K228" s="1" t="str">
        <f>IF(OR($B228="",K$7=""),"",IF($B228="MEANS",INDEX('1-DATA'!$1:$1048576,$A227-1,COLUMN('1-DATA'!J226)),ROUND(INDEX('1-DATA'!$1:$1048576,IF(OR($B228="STD. DEVIATION",$C$1=1),$A228,$A228+1),COLUMN('1-DATA'!J226)),IF($B228="STD. DEVIATION",2,$F$1))))</f>
        <v/>
      </c>
      <c r="L228" s="1" t="str">
        <f>IF(OR($B228="",L$7=""),"",IF($B228="MEANS",INDEX('1-DATA'!$1:$1048576,$A227-1,COLUMN('1-DATA'!K226)),ROUND(INDEX('1-DATA'!$1:$1048576,IF(OR($B228="STD. DEVIATION",$C$1=1),$A228,$A228+1),COLUMN('1-DATA'!K226)),IF($B228="STD. DEVIATION",2,$F$1))))</f>
        <v/>
      </c>
      <c r="M228" s="1" t="str">
        <f>IF(OR($B228="",M$7=""),"",IF($B228="MEANS",INDEX('1-DATA'!$1:$1048576,$A227-1,COLUMN('1-DATA'!L226)),ROUND(INDEX('1-DATA'!$1:$1048576,IF(OR($B228="STD. DEVIATION",$C$1=1),$A228,$A228+1),COLUMN('1-DATA'!L226)),IF($B228="STD. DEVIATION",2,$F$1))))</f>
        <v/>
      </c>
      <c r="N228" s="1" t="str">
        <f>IF(OR($B228="",N$7=""),"",IF($B228="MEANS",INDEX('1-DATA'!$1:$1048576,$A227-1,COLUMN('1-DATA'!M226)),ROUND(INDEX('1-DATA'!$1:$1048576,IF(OR($B228="STD. DEVIATION",$C$1=1),$A228,$A228+1),COLUMN('1-DATA'!M226)),IF($B228="STD. DEVIATION",2,$F$1))))</f>
        <v/>
      </c>
      <c r="O228" s="1" t="str">
        <f>IF(OR($B228="",O$7=""),"",IF($B228="MEANS",INDEX('1-DATA'!$1:$1048576,$A227-1,COLUMN('1-DATA'!N226)),ROUND(INDEX('1-DATA'!$1:$1048576,IF(OR($B228="STD. DEVIATION",$C$1=1),$A228,$A228+1),COLUMN('1-DATA'!N226)),IF($B228="STD. DEVIATION",2,$F$1))))</f>
        <v/>
      </c>
      <c r="P228" s="1" t="str">
        <f>IF(OR($B228="",P$7=""),"",IF($B228="MEANS",INDEX('1-DATA'!$1:$1048576,$A227-1,COLUMN('1-DATA'!O226)),ROUND(INDEX('1-DATA'!$1:$1048576,IF(OR($B228="STD. DEVIATION",$C$1=1),$A228,$A228+1),COLUMN('1-DATA'!O226)),IF($B228="STD. DEVIATION",2,$F$1))))</f>
        <v/>
      </c>
      <c r="Q228" s="1" t="str">
        <f>IF(OR($B228="",Q$7=""),"",IF($B228="MEANS",INDEX('1-DATA'!$1:$1048576,$A227-1,COLUMN('1-DATA'!P226)),ROUND(INDEX('1-DATA'!$1:$1048576,IF(OR($B228="STD. DEVIATION",$C$1=1),$A228,$A228+1),COLUMN('1-DATA'!P226)),IF($B228="STD. DEVIATION",2,$F$1))))</f>
        <v/>
      </c>
      <c r="R228" s="1" t="str">
        <f>IF(OR($B228="",R$7=""),"",IF($B228="MEANS",INDEX('1-DATA'!$1:$1048576,$A227-1,COLUMN('1-DATA'!Q226)),ROUND(INDEX('1-DATA'!$1:$1048576,IF(OR($B228="STD. DEVIATION",$C$1=1),$A228,$A228+1),COLUMN('1-DATA'!Q226)),IF($B228="STD. DEVIATION",2,$F$1))))</f>
        <v/>
      </c>
      <c r="S228" s="1" t="str">
        <f>IF(OR($B228="",S$7=""),"",IF($B228="MEANS",INDEX('1-DATA'!$1:$1048576,$A227-1,COLUMN('1-DATA'!R226)),ROUND(INDEX('1-DATA'!$1:$1048576,IF(OR($B228="STD. DEVIATION",$C$1=1),$A228,$A228+1),COLUMN('1-DATA'!R226)),IF($B228="STD. DEVIATION",2,$F$1))))</f>
        <v/>
      </c>
      <c r="T228" s="1" t="str">
        <f>IF(OR($B228="",T$7=""),"",IF($B228="MEANS",INDEX('1-DATA'!$1:$1048576,$A227-1,COLUMN('1-DATA'!S226)),ROUND(INDEX('1-DATA'!$1:$1048576,IF(OR($B228="STD. DEVIATION",$C$1=1),$A228,$A228+1),COLUMN('1-DATA'!S226)),IF($B228="STD. DEVIATION",2,$F$1))))</f>
        <v/>
      </c>
      <c r="U228" s="1" t="str">
        <f>IF(OR($B228="",U$7=""),"",IF($B228="MEANS",INDEX('1-DATA'!$1:$1048576,$A227-1,COLUMN('1-DATA'!T226)),ROUND(INDEX('1-DATA'!$1:$1048576,IF(OR($B228="STD. DEVIATION",$C$1=1),$A228,$A228+1),COLUMN('1-DATA'!T226)),IF($B228="STD. DEVIATION",2,$F$1))))</f>
        <v/>
      </c>
      <c r="V228" s="1" t="str">
        <f>IF(OR($B228="",V$7=""),"",IF($B228="MEANS",INDEX('1-DATA'!$1:$1048576,$A227-1,COLUMN('1-DATA'!U226)),ROUND(INDEX('1-DATA'!$1:$1048576,IF(OR($B228="STD. DEVIATION",$C$1=1),$A228,$A228+1),COLUMN('1-DATA'!U226)),IF($B228="STD. DEVIATION",2,$F$1))))</f>
        <v/>
      </c>
      <c r="W228" s="1" t="str">
        <f>IF(OR($B228="",W$7=""),"",IF($B228="MEANS",INDEX('1-DATA'!$1:$1048576,$A227-1,COLUMN('1-DATA'!V226)),ROUND(INDEX('1-DATA'!$1:$1048576,IF(OR($B228="STD. DEVIATION",$C$1=1),$A228,$A228+1),COLUMN('1-DATA'!V226)),IF($B228="STD. DEVIATION",2,$F$1))))</f>
        <v/>
      </c>
      <c r="X228" s="1" t="str">
        <f>IF(OR($B228="",X$7=""),"",IF($B228="MEANS",INDEX('1-DATA'!$1:$1048576,$A227-1,COLUMN('1-DATA'!W226)),ROUND(INDEX('1-DATA'!$1:$1048576,IF(OR($B228="STD. DEVIATION",$C$1=1),$A228,$A228+1),COLUMN('1-DATA'!W226)),IF($B228="STD. DEVIATION",2,$F$1))))</f>
        <v/>
      </c>
      <c r="Y228" s="1" t="str">
        <f>IF(OR($B228="",Y$7=""),"",IF($B228="MEANS",INDEX('1-DATA'!$1:$1048576,$A227-1,COLUMN('1-DATA'!X226)),ROUND(INDEX('1-DATA'!$1:$1048576,IF(OR($B228="STD. DEVIATION",$C$1=1),$A228,$A228+1),COLUMN('1-DATA'!X226)),IF($B228="STD. DEVIATION",2,$F$1))))</f>
        <v/>
      </c>
      <c r="Z228" s="1" t="str">
        <f>IF(OR($B228="",Z$7=""),"",IF($B228="MEANS",INDEX('1-DATA'!$1:$1048576,$A227-1,COLUMN('1-DATA'!Y226)),ROUND(INDEX('1-DATA'!$1:$1048576,IF(OR($B228="STD. DEVIATION",$C$1=1),$A228,$A228+1),COLUMN('1-DATA'!Y226)),IF($B228="STD. DEVIATION",2,$F$1))))</f>
        <v/>
      </c>
      <c r="AA228" s="1" t="str">
        <f>IF(OR($B228="",AA$7=""),"",IF($B228="MEANS",INDEX('1-DATA'!$1:$1048576,$A227-1,COLUMN('1-DATA'!Z226)),ROUND(INDEX('1-DATA'!$1:$1048576,IF(OR($B228="STD. DEVIATION",$C$1=1),$A228,$A228+1),COLUMN('1-DATA'!Z226)),IF($B228="STD. DEVIATION",2,$F$1))))</f>
        <v/>
      </c>
      <c r="AB228" s="1" t="str">
        <f>IF(OR($B228="",AB$7=""),"",IF($B228="MEANS",INDEX('1-DATA'!$1:$1048576,$A227-1,COLUMN('1-DATA'!AA226)),ROUND(INDEX('1-DATA'!$1:$1048576,IF(OR($B228="STD. DEVIATION",$C$1=1),$A228,$A228+1),COLUMN('1-DATA'!AA226)),IF($B228="STD. DEVIATION",2,$F$1))))</f>
        <v/>
      </c>
      <c r="AC228" s="1" t="str">
        <f>IF(OR($B228="",AC$7=""),"",IF($B228="MEANS",INDEX('1-DATA'!$1:$1048576,$A227-1,COLUMN('1-DATA'!AB226)),ROUND(INDEX('1-DATA'!$1:$1048576,IF(OR($B228="STD. DEVIATION",$C$1=1),$A228,$A228+1),COLUMN('1-DATA'!AB226)),IF($B228="STD. DEVIATION",2,$F$1))))</f>
        <v/>
      </c>
      <c r="AD228" s="1" t="str">
        <f>IF(OR($B228="",AD$7=""),"",IF($B228="MEANS",INDEX('1-DATA'!$1:$1048576,$A227-1,COLUMN('1-DATA'!AC226)),ROUND(INDEX('1-DATA'!$1:$1048576,IF(OR($B228="STD. DEVIATION",$C$1=1),$A228,$A228+1),COLUMN('1-DATA'!AC226)),IF($B228="STD. DEVIATION",2,$F$1))))</f>
        <v/>
      </c>
      <c r="AE228" s="1" t="str">
        <f>IF(OR($B228="",AE$7=""),"",IF($B228="MEANS",INDEX('1-DATA'!$1:$1048576,$A227-1,COLUMN('1-DATA'!AD226)),ROUND(INDEX('1-DATA'!$1:$1048576,IF(OR($B228="STD. DEVIATION",$C$1=1),$A228,$A228+1),COLUMN('1-DATA'!AD226)),IF($B228="STD. DEVIATION",2,$F$1))))</f>
        <v/>
      </c>
      <c r="AF228" s="1" t="str">
        <f>IF(OR($B228="",AF$7=""),"",IF($B228="MEANS",INDEX('1-DATA'!$1:$1048576,$A227-1,COLUMN('1-DATA'!AE226)),ROUND(INDEX('1-DATA'!$1:$1048576,IF(OR($B228="STD. DEVIATION",$C$1=1),$A228,$A228+1),COLUMN('1-DATA'!AE226)),IF($B228="STD. DEVIATION",2,$F$1))))</f>
        <v/>
      </c>
      <c r="AG228" s="1" t="str">
        <f>IF(OR($B228="",AG$7=""),"",IF($B228="MEANS",INDEX('1-DATA'!$1:$1048576,$A227-1,COLUMN('1-DATA'!AF226)),ROUND(INDEX('1-DATA'!$1:$1048576,IF(OR($B228="STD. DEVIATION",$C$1=1),$A228,$A228+1),COLUMN('1-DATA'!AF226)),IF($B228="STD. DEVIATION",2,$F$1))))</f>
        <v/>
      </c>
      <c r="AH228" s="1" t="str">
        <f>IF(OR($B228="",AH$7=""),"",IF($B228="MEANS",INDEX('1-DATA'!$1:$1048576,$A227-1,COLUMN('1-DATA'!AG226)),ROUND(INDEX('1-DATA'!$1:$1048576,IF(OR($B228="STD. DEVIATION",$C$1=1),$A228,$A228+1),COLUMN('1-DATA'!AG226)),IF($B228="STD. DEVIATION",2,$F$1))))</f>
        <v/>
      </c>
      <c r="AI228" s="1" t="str">
        <f>IF(OR($B228="",AI$7=""),"",IF($B228="MEANS",INDEX('1-DATA'!$1:$1048576,$A227-1,COLUMN('1-DATA'!AH226)),ROUND(INDEX('1-DATA'!$1:$1048576,IF(OR($B228="STD. DEVIATION",$C$1=1),$A228,$A228+1),COLUMN('1-DATA'!AH226)),IF($B228="STD. DEVIATION",2,$F$1))))</f>
        <v/>
      </c>
      <c r="AJ228" s="1" t="str">
        <f>IF(OR($B228="",AJ$7=""),"",IF($B228="MEANS",INDEX('1-DATA'!$1:$1048576,$A227-1,COLUMN('1-DATA'!AI226)),ROUND(INDEX('1-DATA'!$1:$1048576,IF(OR($B228="STD. DEVIATION",$C$1=1),$A228,$A228+1),COLUMN('1-DATA'!AI226)),IF($B228="STD. DEVIATION",2,$F$1))))</f>
        <v/>
      </c>
      <c r="AK228" s="1" t="str">
        <f>IF(OR($B228="",AK$7=""),"",IF($B228="MEANS",INDEX('1-DATA'!$1:$1048576,$A227-1,COLUMN('1-DATA'!AJ226)),ROUND(INDEX('1-DATA'!$1:$1048576,IF(OR($B228="STD. DEVIATION",$C$1=1),$A228,$A228+1),COLUMN('1-DATA'!AJ226)),IF($B228="STD. DEVIATION",2,$F$1))))</f>
        <v/>
      </c>
      <c r="AL228" s="1" t="str">
        <f>IF(OR($B228="",AL$7=""),"",IF($B228="MEANS",INDEX('1-DATA'!$1:$1048576,$A227-1,COLUMN('1-DATA'!AK226)),ROUND(INDEX('1-DATA'!$1:$1048576,IF(OR($B228="STD. DEVIATION",$C$1=1),$A228,$A228+1),COLUMN('1-DATA'!AK226)),IF($B228="STD. DEVIATION",2,$F$1))))</f>
        <v/>
      </c>
      <c r="AM228" s="1" t="str">
        <f>IF(OR($B228="",AM$7=""),"",IF($B228="MEANS",INDEX('1-DATA'!$1:$1048576,$A227-1,COLUMN('1-DATA'!AL226)),ROUND(INDEX('1-DATA'!$1:$1048576,IF(OR($B228="STD. DEVIATION",$C$1=1),$A228,$A228+1),COLUMN('1-DATA'!AL226)),IF($B228="STD. DEVIATION",2,$F$1))))</f>
        <v/>
      </c>
      <c r="AN228" s="1" t="str">
        <f>IF(OR($B228="",AN$7=""),"",IF($B228="MEANS",INDEX('1-DATA'!$1:$1048576,$A227-1,COLUMN('1-DATA'!AM226)),ROUND(INDEX('1-DATA'!$1:$1048576,IF(OR($B228="STD. DEVIATION",$C$1=1),$A228,$A228+1),COLUMN('1-DATA'!AM226)),IF($B228="STD. DEVIATION",2,$F$1))))</f>
        <v/>
      </c>
      <c r="AO228" s="1" t="str">
        <f>IF(OR($B228="",AO$7=""),"",IF($B228="MEANS",INDEX('1-DATA'!$1:$1048576,$A227-1,COLUMN('1-DATA'!AN226)),ROUND(INDEX('1-DATA'!$1:$1048576,IF(OR($B228="STD. DEVIATION",$C$1=1),$A228,$A228+1),COLUMN('1-DATA'!AN226)),IF($B228="STD. DEVIATION",2,$F$1))))</f>
        <v/>
      </c>
      <c r="AP228" s="1" t="str">
        <f>IF(OR($B228="",AP$7=""),"",IF($B228="MEANS",INDEX('1-DATA'!$1:$1048576,$A227-1,COLUMN('1-DATA'!AO226)),ROUND(INDEX('1-DATA'!$1:$1048576,IF(OR($B228="STD. DEVIATION",$C$1=1),$A228,$A228+1),COLUMN('1-DATA'!AO226)),IF($B228="STD. DEVIATION",2,$F$1))))</f>
        <v/>
      </c>
      <c r="AQ228" s="1" t="str">
        <f>IF(OR($B228="",AQ$7=""),"",IF($B228="MEANS",INDEX('1-DATA'!$1:$1048576,$A227-1,COLUMN('1-DATA'!AP226)),ROUND(INDEX('1-DATA'!$1:$1048576,IF(OR($B228="STD. DEVIATION",$C$1=1),$A228,$A228+1),COLUMN('1-DATA'!AP226)),IF($B228="STD. DEVIATION",2,$F$1))))</f>
        <v/>
      </c>
      <c r="AR228" s="1" t="str">
        <f>IF(OR($B228="",AR$7=""),"",IF($B228="MEANS",INDEX('1-DATA'!$1:$1048576,$A227-1,COLUMN('1-DATA'!AQ226)),ROUND(INDEX('1-DATA'!$1:$1048576,IF(OR($B228="STD. DEVIATION",$C$1=1),$A228,$A228+1),COLUMN('1-DATA'!AQ226)),IF($B228="STD. DEVIATION",2,$F$1))))</f>
        <v/>
      </c>
      <c r="AS228" s="1" t="str">
        <f>IF(OR($B228="",AS$7=""),"",IF($B228="MEANS",INDEX('1-DATA'!$1:$1048576,$A227-1,COLUMN('1-DATA'!AR226)),ROUND(INDEX('1-DATA'!$1:$1048576,IF(OR($B228="STD. DEVIATION",$C$1=1),$A228,$A228+1),COLUMN('1-DATA'!AR226)),IF($B228="STD. DEVIATION",2,$F$1))))</f>
        <v/>
      </c>
      <c r="AT228" s="1" t="str">
        <f>IF(OR($B228="",AT$7=""),"",IF($B228="MEANS",INDEX('1-DATA'!$1:$1048576,$A227-1,COLUMN('1-DATA'!AS226)),ROUND(INDEX('1-DATA'!$1:$1048576,IF(OR($B228="STD. DEVIATION",$C$1=1),$A228,$A228+1),COLUMN('1-DATA'!AS226)),IF($B228="STD. DEVIATION",2,$F$1))))</f>
        <v/>
      </c>
      <c r="AU228" s="1" t="str">
        <f>IF(OR($B228="",AU$7=""),"",IF($B228="MEANS",INDEX('1-DATA'!$1:$1048576,$A227-1,COLUMN('1-DATA'!AT226)),ROUND(INDEX('1-DATA'!$1:$1048576,IF(OR($B228="STD. DEVIATION",$C$1=1),$A228,$A228+1),COLUMN('1-DATA'!AT226)),IF($B228="STD. DEVIATION",2,$F$1))))</f>
        <v/>
      </c>
      <c r="AV228" s="1" t="str">
        <f>IF(OR($B228="",AV$7=""),"",IF($B228="MEANS",INDEX('1-DATA'!$1:$1048576,$A227-1,COLUMN('1-DATA'!AU226)),ROUND(INDEX('1-DATA'!$1:$1048576,IF(OR($B228="STD. DEVIATION",$C$1=1),$A228,$A228+1),COLUMN('1-DATA'!AU226)),IF($B228="STD. DEVIATION",2,$F$1))))</f>
        <v/>
      </c>
      <c r="AW228" s="1" t="str">
        <f>IF(OR($B228="",AW$7=""),"",IF($B228="MEANS",INDEX('1-DATA'!$1:$1048576,$A227-1,COLUMN('1-DATA'!AV226)),ROUND(INDEX('1-DATA'!$1:$1048576,IF(OR($B228="STD. DEVIATION",$C$1=1),$A228,$A228+1),COLUMN('1-DATA'!AV226)),IF($B228="STD. DEVIATION",2,$F$1))))</f>
        <v/>
      </c>
      <c r="AX228" s="1" t="str">
        <f>IF(OR($B228="",AX$7=""),"",IF($B228="MEANS",INDEX('1-DATA'!$1:$1048576,$A227-1,COLUMN('1-DATA'!AW226)),ROUND(INDEX('1-DATA'!$1:$1048576,IF(OR($B228="STD. DEVIATION",$C$1=1),$A228,$A228+1),COLUMN('1-DATA'!AW226)),IF($B228="STD. DEVIATION",2,$F$1))))</f>
        <v/>
      </c>
      <c r="AY228" s="1" t="str">
        <f>IF(OR($B228="",AY$7=""),"",IF($B228="MEANS",INDEX('1-DATA'!$1:$1048576,$A227-1,COLUMN('1-DATA'!AX226)),ROUND(INDEX('1-DATA'!$1:$1048576,IF(OR($B228="STD. DEVIATION",$C$1=1),$A228,$A228+1),COLUMN('1-DATA'!AX226)),IF($B228="STD. DEVIATION",2,$F$1))))</f>
        <v/>
      </c>
      <c r="AZ228" s="1" t="str">
        <f>IF(OR($B228="",AZ$7=""),"",IF($B228="MEANS",INDEX('1-DATA'!$1:$1048576,$A227-1,COLUMN('1-DATA'!AY226)),ROUND(INDEX('1-DATA'!$1:$1048576,IF(OR($B228="STD. DEVIATION",$C$1=1),$A228,$A228+1),COLUMN('1-DATA'!AY226)),IF($B228="STD. DEVIATION",2,$F$1))))</f>
        <v/>
      </c>
    </row>
    <row r="229" spans="1:52" x14ac:dyDescent="0.25">
      <c r="A229" s="11">
        <f t="shared" si="4"/>
        <v>673</v>
      </c>
      <c r="B229" s="1" t="str">
        <f>IF(B228="STD. DEVIATION",INDEX('1-DATA'!$1:$1048576,$A228-1,1),IF(INDEX('1-DATA'!$1:$1048576,$A229,1)&lt;&gt;"",INDEX('1-DATA'!$1:$1048576,$A229,1),""))</f>
        <v/>
      </c>
      <c r="C229" s="1" t="str">
        <f>IF(OR($B229="",C$7=""),"",IF($B229="MEANS",INDEX('1-DATA'!$1:$1048576,$A228-1,COLUMN('1-DATA'!B227)),ROUND(INDEX('1-DATA'!$1:$1048576,IF(OR($B229="STD. DEVIATION",$C$1=1),$A229,$A229+1),COLUMN('1-DATA'!B227)),IF($B229="STD. DEVIATION",2,$F$1))))</f>
        <v/>
      </c>
      <c r="D229" s="1" t="str">
        <f>IF(OR($B229="",D$7=""),"",IF($B229="MEANS",INDEX('1-DATA'!$1:$1048576,$A228-1,COLUMN('1-DATA'!C227)),ROUND(INDEX('1-DATA'!$1:$1048576,IF(OR($B229="STD. DEVIATION",$C$1=1),$A229,$A229+1),COLUMN('1-DATA'!C227)),IF($B229="STD. DEVIATION",2,$F$1))))</f>
        <v/>
      </c>
      <c r="E229" s="1" t="str">
        <f>IF(OR($B229="",E$7=""),"",IF($B229="MEANS",INDEX('1-DATA'!$1:$1048576,$A228-1,COLUMN('1-DATA'!D227)),ROUND(INDEX('1-DATA'!$1:$1048576,IF(OR($B229="STD. DEVIATION",$C$1=1),$A229,$A229+1),COLUMN('1-DATA'!D227)),IF($B229="STD. DEVIATION",2,$F$1))))</f>
        <v/>
      </c>
      <c r="F229" s="1" t="str">
        <f>IF(OR($B229="",F$7=""),"",IF($B229="MEANS",INDEX('1-DATA'!$1:$1048576,$A228-1,COLUMN('1-DATA'!E227)),ROUND(INDEX('1-DATA'!$1:$1048576,IF(OR($B229="STD. DEVIATION",$C$1=1),$A229,$A229+1),COLUMN('1-DATA'!E227)),IF($B229="STD. DEVIATION",2,$F$1))))</f>
        <v/>
      </c>
      <c r="G229" s="1" t="str">
        <f>IF(OR($B229="",G$7=""),"",IF($B229="MEANS",INDEX('1-DATA'!$1:$1048576,$A228-1,COLUMN('1-DATA'!F227)),ROUND(INDEX('1-DATA'!$1:$1048576,IF(OR($B229="STD. DEVIATION",$C$1=1),$A229,$A229+1),COLUMN('1-DATA'!F227)),IF($B229="STD. DEVIATION",2,$F$1))))</f>
        <v/>
      </c>
      <c r="H229" s="1" t="str">
        <f>IF(OR($B229="",H$7=""),"",IF($B229="MEANS",INDEX('1-DATA'!$1:$1048576,$A228-1,COLUMN('1-DATA'!G227)),ROUND(INDEX('1-DATA'!$1:$1048576,IF(OR($B229="STD. DEVIATION",$C$1=1),$A229,$A229+1),COLUMN('1-DATA'!G227)),IF($B229="STD. DEVIATION",2,$F$1))))</f>
        <v/>
      </c>
      <c r="I229" s="1" t="str">
        <f>IF(OR($B229="",I$7=""),"",IF($B229="MEANS",INDEX('1-DATA'!$1:$1048576,$A228-1,COLUMN('1-DATA'!H227)),ROUND(INDEX('1-DATA'!$1:$1048576,IF(OR($B229="STD. DEVIATION",$C$1=1),$A229,$A229+1),COLUMN('1-DATA'!H227)),IF($B229="STD. DEVIATION",2,$F$1))))</f>
        <v/>
      </c>
      <c r="J229" s="1" t="str">
        <f>IF(OR($B229="",J$7=""),"",IF($B229="MEANS",INDEX('1-DATA'!$1:$1048576,$A228-1,COLUMN('1-DATA'!I227)),ROUND(INDEX('1-DATA'!$1:$1048576,IF(OR($B229="STD. DEVIATION",$C$1=1),$A229,$A229+1),COLUMN('1-DATA'!I227)),IF($B229="STD. DEVIATION",2,$F$1))))</f>
        <v/>
      </c>
      <c r="K229" s="1" t="str">
        <f>IF(OR($B229="",K$7=""),"",IF($B229="MEANS",INDEX('1-DATA'!$1:$1048576,$A228-1,COLUMN('1-DATA'!J227)),ROUND(INDEX('1-DATA'!$1:$1048576,IF(OR($B229="STD. DEVIATION",$C$1=1),$A229,$A229+1),COLUMN('1-DATA'!J227)),IF($B229="STD. DEVIATION",2,$F$1))))</f>
        <v/>
      </c>
      <c r="L229" s="1" t="str">
        <f>IF(OR($B229="",L$7=""),"",IF($B229="MEANS",INDEX('1-DATA'!$1:$1048576,$A228-1,COLUMN('1-DATA'!K227)),ROUND(INDEX('1-DATA'!$1:$1048576,IF(OR($B229="STD. DEVIATION",$C$1=1),$A229,$A229+1),COLUMN('1-DATA'!K227)),IF($B229="STD. DEVIATION",2,$F$1))))</f>
        <v/>
      </c>
      <c r="M229" s="1" t="str">
        <f>IF(OR($B229="",M$7=""),"",IF($B229="MEANS",INDEX('1-DATA'!$1:$1048576,$A228-1,COLUMN('1-DATA'!L227)),ROUND(INDEX('1-DATA'!$1:$1048576,IF(OR($B229="STD. DEVIATION",$C$1=1),$A229,$A229+1),COLUMN('1-DATA'!L227)),IF($B229="STD. DEVIATION",2,$F$1))))</f>
        <v/>
      </c>
      <c r="N229" s="1" t="str">
        <f>IF(OR($B229="",N$7=""),"",IF($B229="MEANS",INDEX('1-DATA'!$1:$1048576,$A228-1,COLUMN('1-DATA'!M227)),ROUND(INDEX('1-DATA'!$1:$1048576,IF(OR($B229="STD. DEVIATION",$C$1=1),$A229,$A229+1),COLUMN('1-DATA'!M227)),IF($B229="STD. DEVIATION",2,$F$1))))</f>
        <v/>
      </c>
      <c r="O229" s="1" t="str">
        <f>IF(OR($B229="",O$7=""),"",IF($B229="MEANS",INDEX('1-DATA'!$1:$1048576,$A228-1,COLUMN('1-DATA'!N227)),ROUND(INDEX('1-DATA'!$1:$1048576,IF(OR($B229="STD. DEVIATION",$C$1=1),$A229,$A229+1),COLUMN('1-DATA'!N227)),IF($B229="STD. DEVIATION",2,$F$1))))</f>
        <v/>
      </c>
      <c r="P229" s="1" t="str">
        <f>IF(OR($B229="",P$7=""),"",IF($B229="MEANS",INDEX('1-DATA'!$1:$1048576,$A228-1,COLUMN('1-DATA'!O227)),ROUND(INDEX('1-DATA'!$1:$1048576,IF(OR($B229="STD. DEVIATION",$C$1=1),$A229,$A229+1),COLUMN('1-DATA'!O227)),IF($B229="STD. DEVIATION",2,$F$1))))</f>
        <v/>
      </c>
      <c r="Q229" s="1" t="str">
        <f>IF(OR($B229="",Q$7=""),"",IF($B229="MEANS",INDEX('1-DATA'!$1:$1048576,$A228-1,COLUMN('1-DATA'!P227)),ROUND(INDEX('1-DATA'!$1:$1048576,IF(OR($B229="STD. DEVIATION",$C$1=1),$A229,$A229+1),COLUMN('1-DATA'!P227)),IF($B229="STD. DEVIATION",2,$F$1))))</f>
        <v/>
      </c>
      <c r="R229" s="1" t="str">
        <f>IF(OR($B229="",R$7=""),"",IF($B229="MEANS",INDEX('1-DATA'!$1:$1048576,$A228-1,COLUMN('1-DATA'!Q227)),ROUND(INDEX('1-DATA'!$1:$1048576,IF(OR($B229="STD. DEVIATION",$C$1=1),$A229,$A229+1),COLUMN('1-DATA'!Q227)),IF($B229="STD. DEVIATION",2,$F$1))))</f>
        <v/>
      </c>
      <c r="S229" s="1" t="str">
        <f>IF(OR($B229="",S$7=""),"",IF($B229="MEANS",INDEX('1-DATA'!$1:$1048576,$A228-1,COLUMN('1-DATA'!R227)),ROUND(INDEX('1-DATA'!$1:$1048576,IF(OR($B229="STD. DEVIATION",$C$1=1),$A229,$A229+1),COLUMN('1-DATA'!R227)),IF($B229="STD. DEVIATION",2,$F$1))))</f>
        <v/>
      </c>
      <c r="T229" s="1" t="str">
        <f>IF(OR($B229="",T$7=""),"",IF($B229="MEANS",INDEX('1-DATA'!$1:$1048576,$A228-1,COLUMN('1-DATA'!S227)),ROUND(INDEX('1-DATA'!$1:$1048576,IF(OR($B229="STD. DEVIATION",$C$1=1),$A229,$A229+1),COLUMN('1-DATA'!S227)),IF($B229="STD. DEVIATION",2,$F$1))))</f>
        <v/>
      </c>
      <c r="U229" s="1" t="str">
        <f>IF(OR($B229="",U$7=""),"",IF($B229="MEANS",INDEX('1-DATA'!$1:$1048576,$A228-1,COLUMN('1-DATA'!T227)),ROUND(INDEX('1-DATA'!$1:$1048576,IF(OR($B229="STD. DEVIATION",$C$1=1),$A229,$A229+1),COLUMN('1-DATA'!T227)),IF($B229="STD. DEVIATION",2,$F$1))))</f>
        <v/>
      </c>
      <c r="V229" s="1" t="str">
        <f>IF(OR($B229="",V$7=""),"",IF($B229="MEANS",INDEX('1-DATA'!$1:$1048576,$A228-1,COLUMN('1-DATA'!U227)),ROUND(INDEX('1-DATA'!$1:$1048576,IF(OR($B229="STD. DEVIATION",$C$1=1),$A229,$A229+1),COLUMN('1-DATA'!U227)),IF($B229="STD. DEVIATION",2,$F$1))))</f>
        <v/>
      </c>
      <c r="W229" s="1" t="str">
        <f>IF(OR($B229="",W$7=""),"",IF($B229="MEANS",INDEX('1-DATA'!$1:$1048576,$A228-1,COLUMN('1-DATA'!V227)),ROUND(INDEX('1-DATA'!$1:$1048576,IF(OR($B229="STD. DEVIATION",$C$1=1),$A229,$A229+1),COLUMN('1-DATA'!V227)),IF($B229="STD. DEVIATION",2,$F$1))))</f>
        <v/>
      </c>
      <c r="X229" s="1" t="str">
        <f>IF(OR($B229="",X$7=""),"",IF($B229="MEANS",INDEX('1-DATA'!$1:$1048576,$A228-1,COLUMN('1-DATA'!W227)),ROUND(INDEX('1-DATA'!$1:$1048576,IF(OR($B229="STD. DEVIATION",$C$1=1),$A229,$A229+1),COLUMN('1-DATA'!W227)),IF($B229="STD. DEVIATION",2,$F$1))))</f>
        <v/>
      </c>
      <c r="Y229" s="1" t="str">
        <f>IF(OR($B229="",Y$7=""),"",IF($B229="MEANS",INDEX('1-DATA'!$1:$1048576,$A228-1,COLUMN('1-DATA'!X227)),ROUND(INDEX('1-DATA'!$1:$1048576,IF(OR($B229="STD. DEVIATION",$C$1=1),$A229,$A229+1),COLUMN('1-DATA'!X227)),IF($B229="STD. DEVIATION",2,$F$1))))</f>
        <v/>
      </c>
      <c r="Z229" s="1" t="str">
        <f>IF(OR($B229="",Z$7=""),"",IF($B229="MEANS",INDEX('1-DATA'!$1:$1048576,$A228-1,COLUMN('1-DATA'!Y227)),ROUND(INDEX('1-DATA'!$1:$1048576,IF(OR($B229="STD. DEVIATION",$C$1=1),$A229,$A229+1),COLUMN('1-DATA'!Y227)),IF($B229="STD. DEVIATION",2,$F$1))))</f>
        <v/>
      </c>
      <c r="AA229" s="1" t="str">
        <f>IF(OR($B229="",AA$7=""),"",IF($B229="MEANS",INDEX('1-DATA'!$1:$1048576,$A228-1,COLUMN('1-DATA'!Z227)),ROUND(INDEX('1-DATA'!$1:$1048576,IF(OR($B229="STD. DEVIATION",$C$1=1),$A229,$A229+1),COLUMN('1-DATA'!Z227)),IF($B229="STD. DEVIATION",2,$F$1))))</f>
        <v/>
      </c>
      <c r="AB229" s="1" t="str">
        <f>IF(OR($B229="",AB$7=""),"",IF($B229="MEANS",INDEX('1-DATA'!$1:$1048576,$A228-1,COLUMN('1-DATA'!AA227)),ROUND(INDEX('1-DATA'!$1:$1048576,IF(OR($B229="STD. DEVIATION",$C$1=1),$A229,$A229+1),COLUMN('1-DATA'!AA227)),IF($B229="STD. DEVIATION",2,$F$1))))</f>
        <v/>
      </c>
      <c r="AC229" s="1" t="str">
        <f>IF(OR($B229="",AC$7=""),"",IF($B229="MEANS",INDEX('1-DATA'!$1:$1048576,$A228-1,COLUMN('1-DATA'!AB227)),ROUND(INDEX('1-DATA'!$1:$1048576,IF(OR($B229="STD. DEVIATION",$C$1=1),$A229,$A229+1),COLUMN('1-DATA'!AB227)),IF($B229="STD. DEVIATION",2,$F$1))))</f>
        <v/>
      </c>
      <c r="AD229" s="1" t="str">
        <f>IF(OR($B229="",AD$7=""),"",IF($B229="MEANS",INDEX('1-DATA'!$1:$1048576,$A228-1,COLUMN('1-DATA'!AC227)),ROUND(INDEX('1-DATA'!$1:$1048576,IF(OR($B229="STD. DEVIATION",$C$1=1),$A229,$A229+1),COLUMN('1-DATA'!AC227)),IF($B229="STD. DEVIATION",2,$F$1))))</f>
        <v/>
      </c>
      <c r="AE229" s="1" t="str">
        <f>IF(OR($B229="",AE$7=""),"",IF($B229="MEANS",INDEX('1-DATA'!$1:$1048576,$A228-1,COLUMN('1-DATA'!AD227)),ROUND(INDEX('1-DATA'!$1:$1048576,IF(OR($B229="STD. DEVIATION",$C$1=1),$A229,$A229+1),COLUMN('1-DATA'!AD227)),IF($B229="STD. DEVIATION",2,$F$1))))</f>
        <v/>
      </c>
      <c r="AF229" s="1" t="str">
        <f>IF(OR($B229="",AF$7=""),"",IF($B229="MEANS",INDEX('1-DATA'!$1:$1048576,$A228-1,COLUMN('1-DATA'!AE227)),ROUND(INDEX('1-DATA'!$1:$1048576,IF(OR($B229="STD. DEVIATION",$C$1=1),$A229,$A229+1),COLUMN('1-DATA'!AE227)),IF($B229="STD. DEVIATION",2,$F$1))))</f>
        <v/>
      </c>
      <c r="AG229" s="1" t="str">
        <f>IF(OR($B229="",AG$7=""),"",IF($B229="MEANS",INDEX('1-DATA'!$1:$1048576,$A228-1,COLUMN('1-DATA'!AF227)),ROUND(INDEX('1-DATA'!$1:$1048576,IF(OR($B229="STD. DEVIATION",$C$1=1),$A229,$A229+1),COLUMN('1-DATA'!AF227)),IF($B229="STD. DEVIATION",2,$F$1))))</f>
        <v/>
      </c>
      <c r="AH229" s="1" t="str">
        <f>IF(OR($B229="",AH$7=""),"",IF($B229="MEANS",INDEX('1-DATA'!$1:$1048576,$A228-1,COLUMN('1-DATA'!AG227)),ROUND(INDEX('1-DATA'!$1:$1048576,IF(OR($B229="STD. DEVIATION",$C$1=1),$A229,$A229+1),COLUMN('1-DATA'!AG227)),IF($B229="STD. DEVIATION",2,$F$1))))</f>
        <v/>
      </c>
      <c r="AI229" s="1" t="str">
        <f>IF(OR($B229="",AI$7=""),"",IF($B229="MEANS",INDEX('1-DATA'!$1:$1048576,$A228-1,COLUMN('1-DATA'!AH227)),ROUND(INDEX('1-DATA'!$1:$1048576,IF(OR($B229="STD. DEVIATION",$C$1=1),$A229,$A229+1),COLUMN('1-DATA'!AH227)),IF($B229="STD. DEVIATION",2,$F$1))))</f>
        <v/>
      </c>
      <c r="AJ229" s="1" t="str">
        <f>IF(OR($B229="",AJ$7=""),"",IF($B229="MEANS",INDEX('1-DATA'!$1:$1048576,$A228-1,COLUMN('1-DATA'!AI227)),ROUND(INDEX('1-DATA'!$1:$1048576,IF(OR($B229="STD. DEVIATION",$C$1=1),$A229,$A229+1),COLUMN('1-DATA'!AI227)),IF($B229="STD. DEVIATION",2,$F$1))))</f>
        <v/>
      </c>
      <c r="AK229" s="1" t="str">
        <f>IF(OR($B229="",AK$7=""),"",IF($B229="MEANS",INDEX('1-DATA'!$1:$1048576,$A228-1,COLUMN('1-DATA'!AJ227)),ROUND(INDEX('1-DATA'!$1:$1048576,IF(OR($B229="STD. DEVIATION",$C$1=1),$A229,$A229+1),COLUMN('1-DATA'!AJ227)),IF($B229="STD. DEVIATION",2,$F$1))))</f>
        <v/>
      </c>
      <c r="AL229" s="1" t="str">
        <f>IF(OR($B229="",AL$7=""),"",IF($B229="MEANS",INDEX('1-DATA'!$1:$1048576,$A228-1,COLUMN('1-DATA'!AK227)),ROUND(INDEX('1-DATA'!$1:$1048576,IF(OR($B229="STD. DEVIATION",$C$1=1),$A229,$A229+1),COLUMN('1-DATA'!AK227)),IF($B229="STD. DEVIATION",2,$F$1))))</f>
        <v/>
      </c>
      <c r="AM229" s="1" t="str">
        <f>IF(OR($B229="",AM$7=""),"",IF($B229="MEANS",INDEX('1-DATA'!$1:$1048576,$A228-1,COLUMN('1-DATA'!AL227)),ROUND(INDEX('1-DATA'!$1:$1048576,IF(OR($B229="STD. DEVIATION",$C$1=1),$A229,$A229+1),COLUMN('1-DATA'!AL227)),IF($B229="STD. DEVIATION",2,$F$1))))</f>
        <v/>
      </c>
      <c r="AN229" s="1" t="str">
        <f>IF(OR($B229="",AN$7=""),"",IF($B229="MEANS",INDEX('1-DATA'!$1:$1048576,$A228-1,COLUMN('1-DATA'!AM227)),ROUND(INDEX('1-DATA'!$1:$1048576,IF(OR($B229="STD. DEVIATION",$C$1=1),$A229,$A229+1),COLUMN('1-DATA'!AM227)),IF($B229="STD. DEVIATION",2,$F$1))))</f>
        <v/>
      </c>
      <c r="AO229" s="1" t="str">
        <f>IF(OR($B229="",AO$7=""),"",IF($B229="MEANS",INDEX('1-DATA'!$1:$1048576,$A228-1,COLUMN('1-DATA'!AN227)),ROUND(INDEX('1-DATA'!$1:$1048576,IF(OR($B229="STD. DEVIATION",$C$1=1),$A229,$A229+1),COLUMN('1-DATA'!AN227)),IF($B229="STD. DEVIATION",2,$F$1))))</f>
        <v/>
      </c>
      <c r="AP229" s="1" t="str">
        <f>IF(OR($B229="",AP$7=""),"",IF($B229="MEANS",INDEX('1-DATA'!$1:$1048576,$A228-1,COLUMN('1-DATA'!AO227)),ROUND(INDEX('1-DATA'!$1:$1048576,IF(OR($B229="STD. DEVIATION",$C$1=1),$A229,$A229+1),COLUMN('1-DATA'!AO227)),IF($B229="STD. DEVIATION",2,$F$1))))</f>
        <v/>
      </c>
      <c r="AQ229" s="1" t="str">
        <f>IF(OR($B229="",AQ$7=""),"",IF($B229="MEANS",INDEX('1-DATA'!$1:$1048576,$A228-1,COLUMN('1-DATA'!AP227)),ROUND(INDEX('1-DATA'!$1:$1048576,IF(OR($B229="STD. DEVIATION",$C$1=1),$A229,$A229+1),COLUMN('1-DATA'!AP227)),IF($B229="STD. DEVIATION",2,$F$1))))</f>
        <v/>
      </c>
      <c r="AR229" s="1" t="str">
        <f>IF(OR($B229="",AR$7=""),"",IF($B229="MEANS",INDEX('1-DATA'!$1:$1048576,$A228-1,COLUMN('1-DATA'!AQ227)),ROUND(INDEX('1-DATA'!$1:$1048576,IF(OR($B229="STD. DEVIATION",$C$1=1),$A229,$A229+1),COLUMN('1-DATA'!AQ227)),IF($B229="STD. DEVIATION",2,$F$1))))</f>
        <v/>
      </c>
      <c r="AS229" s="1" t="str">
        <f>IF(OR($B229="",AS$7=""),"",IF($B229="MEANS",INDEX('1-DATA'!$1:$1048576,$A228-1,COLUMN('1-DATA'!AR227)),ROUND(INDEX('1-DATA'!$1:$1048576,IF(OR($B229="STD. DEVIATION",$C$1=1),$A229,$A229+1),COLUMN('1-DATA'!AR227)),IF($B229="STD. DEVIATION",2,$F$1))))</f>
        <v/>
      </c>
      <c r="AT229" s="1" t="str">
        <f>IF(OR($B229="",AT$7=""),"",IF($B229="MEANS",INDEX('1-DATA'!$1:$1048576,$A228-1,COLUMN('1-DATA'!AS227)),ROUND(INDEX('1-DATA'!$1:$1048576,IF(OR($B229="STD. DEVIATION",$C$1=1),$A229,$A229+1),COLUMN('1-DATA'!AS227)),IF($B229="STD. DEVIATION",2,$F$1))))</f>
        <v/>
      </c>
      <c r="AU229" s="1" t="str">
        <f>IF(OR($B229="",AU$7=""),"",IF($B229="MEANS",INDEX('1-DATA'!$1:$1048576,$A228-1,COLUMN('1-DATA'!AT227)),ROUND(INDEX('1-DATA'!$1:$1048576,IF(OR($B229="STD. DEVIATION",$C$1=1),$A229,$A229+1),COLUMN('1-DATA'!AT227)),IF($B229="STD. DEVIATION",2,$F$1))))</f>
        <v/>
      </c>
      <c r="AV229" s="1" t="str">
        <f>IF(OR($B229="",AV$7=""),"",IF($B229="MEANS",INDEX('1-DATA'!$1:$1048576,$A228-1,COLUMN('1-DATA'!AU227)),ROUND(INDEX('1-DATA'!$1:$1048576,IF(OR($B229="STD. DEVIATION",$C$1=1),$A229,$A229+1),COLUMN('1-DATA'!AU227)),IF($B229="STD. DEVIATION",2,$F$1))))</f>
        <v/>
      </c>
      <c r="AW229" s="1" t="str">
        <f>IF(OR($B229="",AW$7=""),"",IF($B229="MEANS",INDEX('1-DATA'!$1:$1048576,$A228-1,COLUMN('1-DATA'!AV227)),ROUND(INDEX('1-DATA'!$1:$1048576,IF(OR($B229="STD. DEVIATION",$C$1=1),$A229,$A229+1),COLUMN('1-DATA'!AV227)),IF($B229="STD. DEVIATION",2,$F$1))))</f>
        <v/>
      </c>
      <c r="AX229" s="1" t="str">
        <f>IF(OR($B229="",AX$7=""),"",IF($B229="MEANS",INDEX('1-DATA'!$1:$1048576,$A228-1,COLUMN('1-DATA'!AW227)),ROUND(INDEX('1-DATA'!$1:$1048576,IF(OR($B229="STD. DEVIATION",$C$1=1),$A229,$A229+1),COLUMN('1-DATA'!AW227)),IF($B229="STD. DEVIATION",2,$F$1))))</f>
        <v/>
      </c>
      <c r="AY229" s="1" t="str">
        <f>IF(OR($B229="",AY$7=""),"",IF($B229="MEANS",INDEX('1-DATA'!$1:$1048576,$A228-1,COLUMN('1-DATA'!AX227)),ROUND(INDEX('1-DATA'!$1:$1048576,IF(OR($B229="STD. DEVIATION",$C$1=1),$A229,$A229+1),COLUMN('1-DATA'!AX227)),IF($B229="STD. DEVIATION",2,$F$1))))</f>
        <v/>
      </c>
      <c r="AZ229" s="1" t="str">
        <f>IF(OR($B229="",AZ$7=""),"",IF($B229="MEANS",INDEX('1-DATA'!$1:$1048576,$A228-1,COLUMN('1-DATA'!AY227)),ROUND(INDEX('1-DATA'!$1:$1048576,IF(OR($B229="STD. DEVIATION",$C$1=1),$A229,$A229+1),COLUMN('1-DATA'!AY227)),IF($B229="STD. DEVIATION",2,$F$1))))</f>
        <v/>
      </c>
    </row>
    <row r="230" spans="1:52" x14ac:dyDescent="0.25">
      <c r="A230" s="11">
        <f t="shared" si="4"/>
        <v>676</v>
      </c>
      <c r="B230" s="1" t="str">
        <f>IF(B229="STD. DEVIATION",INDEX('1-DATA'!$1:$1048576,$A229-1,1),IF(INDEX('1-DATA'!$1:$1048576,$A230,1)&lt;&gt;"",INDEX('1-DATA'!$1:$1048576,$A230,1),""))</f>
        <v/>
      </c>
      <c r="C230" s="1" t="str">
        <f>IF(OR($B230="",C$7=""),"",IF($B230="MEANS",INDEX('1-DATA'!$1:$1048576,$A229-1,COLUMN('1-DATA'!B228)),ROUND(INDEX('1-DATA'!$1:$1048576,IF(OR($B230="STD. DEVIATION",$C$1=1),$A230,$A230+1),COLUMN('1-DATA'!B228)),IF($B230="STD. DEVIATION",2,$F$1))))</f>
        <v/>
      </c>
      <c r="D230" s="1" t="str">
        <f>IF(OR($B230="",D$7=""),"",IF($B230="MEANS",INDEX('1-DATA'!$1:$1048576,$A229-1,COLUMN('1-DATA'!C228)),ROUND(INDEX('1-DATA'!$1:$1048576,IF(OR($B230="STD. DEVIATION",$C$1=1),$A230,$A230+1),COLUMN('1-DATA'!C228)),IF($B230="STD. DEVIATION",2,$F$1))))</f>
        <v/>
      </c>
      <c r="E230" s="1" t="str">
        <f>IF(OR($B230="",E$7=""),"",IF($B230="MEANS",INDEX('1-DATA'!$1:$1048576,$A229-1,COLUMN('1-DATA'!D228)),ROUND(INDEX('1-DATA'!$1:$1048576,IF(OR($B230="STD. DEVIATION",$C$1=1),$A230,$A230+1),COLUMN('1-DATA'!D228)),IF($B230="STD. DEVIATION",2,$F$1))))</f>
        <v/>
      </c>
      <c r="F230" s="1" t="str">
        <f>IF(OR($B230="",F$7=""),"",IF($B230="MEANS",INDEX('1-DATA'!$1:$1048576,$A229-1,COLUMN('1-DATA'!E228)),ROUND(INDEX('1-DATA'!$1:$1048576,IF(OR($B230="STD. DEVIATION",$C$1=1),$A230,$A230+1),COLUMN('1-DATA'!E228)),IF($B230="STD. DEVIATION",2,$F$1))))</f>
        <v/>
      </c>
      <c r="G230" s="1" t="str">
        <f>IF(OR($B230="",G$7=""),"",IF($B230="MEANS",INDEX('1-DATA'!$1:$1048576,$A229-1,COLUMN('1-DATA'!F228)),ROUND(INDEX('1-DATA'!$1:$1048576,IF(OR($B230="STD. DEVIATION",$C$1=1),$A230,$A230+1),COLUMN('1-DATA'!F228)),IF($B230="STD. DEVIATION",2,$F$1))))</f>
        <v/>
      </c>
      <c r="H230" s="1" t="str">
        <f>IF(OR($B230="",H$7=""),"",IF($B230="MEANS",INDEX('1-DATA'!$1:$1048576,$A229-1,COLUMN('1-DATA'!G228)),ROUND(INDEX('1-DATA'!$1:$1048576,IF(OR($B230="STD. DEVIATION",$C$1=1),$A230,$A230+1),COLUMN('1-DATA'!G228)),IF($B230="STD. DEVIATION",2,$F$1))))</f>
        <v/>
      </c>
      <c r="I230" s="1" t="str">
        <f>IF(OR($B230="",I$7=""),"",IF($B230="MEANS",INDEX('1-DATA'!$1:$1048576,$A229-1,COLUMN('1-DATA'!H228)),ROUND(INDEX('1-DATA'!$1:$1048576,IF(OR($B230="STD. DEVIATION",$C$1=1),$A230,$A230+1),COLUMN('1-DATA'!H228)),IF($B230="STD. DEVIATION",2,$F$1))))</f>
        <v/>
      </c>
      <c r="J230" s="1" t="str">
        <f>IF(OR($B230="",J$7=""),"",IF($B230="MEANS",INDEX('1-DATA'!$1:$1048576,$A229-1,COLUMN('1-DATA'!I228)),ROUND(INDEX('1-DATA'!$1:$1048576,IF(OR($B230="STD. DEVIATION",$C$1=1),$A230,$A230+1),COLUMN('1-DATA'!I228)),IF($B230="STD. DEVIATION",2,$F$1))))</f>
        <v/>
      </c>
      <c r="K230" s="1" t="str">
        <f>IF(OR($B230="",K$7=""),"",IF($B230="MEANS",INDEX('1-DATA'!$1:$1048576,$A229-1,COLUMN('1-DATA'!J228)),ROUND(INDEX('1-DATA'!$1:$1048576,IF(OR($B230="STD. DEVIATION",$C$1=1),$A230,$A230+1),COLUMN('1-DATA'!J228)),IF($B230="STD. DEVIATION",2,$F$1))))</f>
        <v/>
      </c>
      <c r="L230" s="1" t="str">
        <f>IF(OR($B230="",L$7=""),"",IF($B230="MEANS",INDEX('1-DATA'!$1:$1048576,$A229-1,COLUMN('1-DATA'!K228)),ROUND(INDEX('1-DATA'!$1:$1048576,IF(OR($B230="STD. DEVIATION",$C$1=1),$A230,$A230+1),COLUMN('1-DATA'!K228)),IF($B230="STD. DEVIATION",2,$F$1))))</f>
        <v/>
      </c>
      <c r="M230" s="1" t="str">
        <f>IF(OR($B230="",M$7=""),"",IF($B230="MEANS",INDEX('1-DATA'!$1:$1048576,$A229-1,COLUMN('1-DATA'!L228)),ROUND(INDEX('1-DATA'!$1:$1048576,IF(OR($B230="STD. DEVIATION",$C$1=1),$A230,$A230+1),COLUMN('1-DATA'!L228)),IF($B230="STD. DEVIATION",2,$F$1))))</f>
        <v/>
      </c>
      <c r="N230" s="1" t="str">
        <f>IF(OR($B230="",N$7=""),"",IF($B230="MEANS",INDEX('1-DATA'!$1:$1048576,$A229-1,COLUMN('1-DATA'!M228)),ROUND(INDEX('1-DATA'!$1:$1048576,IF(OR($B230="STD. DEVIATION",$C$1=1),$A230,$A230+1),COLUMN('1-DATA'!M228)),IF($B230="STD. DEVIATION",2,$F$1))))</f>
        <v/>
      </c>
      <c r="O230" s="1" t="str">
        <f>IF(OR($B230="",O$7=""),"",IF($B230="MEANS",INDEX('1-DATA'!$1:$1048576,$A229-1,COLUMN('1-DATA'!N228)),ROUND(INDEX('1-DATA'!$1:$1048576,IF(OR($B230="STD. DEVIATION",$C$1=1),$A230,$A230+1),COLUMN('1-DATA'!N228)),IF($B230="STD. DEVIATION",2,$F$1))))</f>
        <v/>
      </c>
      <c r="P230" s="1" t="str">
        <f>IF(OR($B230="",P$7=""),"",IF($B230="MEANS",INDEX('1-DATA'!$1:$1048576,$A229-1,COLUMN('1-DATA'!O228)),ROUND(INDEX('1-DATA'!$1:$1048576,IF(OR($B230="STD. DEVIATION",$C$1=1),$A230,$A230+1),COLUMN('1-DATA'!O228)),IF($B230="STD. DEVIATION",2,$F$1))))</f>
        <v/>
      </c>
      <c r="Q230" s="1" t="str">
        <f>IF(OR($B230="",Q$7=""),"",IF($B230="MEANS",INDEX('1-DATA'!$1:$1048576,$A229-1,COLUMN('1-DATA'!P228)),ROUND(INDEX('1-DATA'!$1:$1048576,IF(OR($B230="STD. DEVIATION",$C$1=1),$A230,$A230+1),COLUMN('1-DATA'!P228)),IF($B230="STD. DEVIATION",2,$F$1))))</f>
        <v/>
      </c>
      <c r="R230" s="1" t="str">
        <f>IF(OR($B230="",R$7=""),"",IF($B230="MEANS",INDEX('1-DATA'!$1:$1048576,$A229-1,COLUMN('1-DATA'!Q228)),ROUND(INDEX('1-DATA'!$1:$1048576,IF(OR($B230="STD. DEVIATION",$C$1=1),$A230,$A230+1),COLUMN('1-DATA'!Q228)),IF($B230="STD. DEVIATION",2,$F$1))))</f>
        <v/>
      </c>
      <c r="S230" s="1" t="str">
        <f>IF(OR($B230="",S$7=""),"",IF($B230="MEANS",INDEX('1-DATA'!$1:$1048576,$A229-1,COLUMN('1-DATA'!R228)),ROUND(INDEX('1-DATA'!$1:$1048576,IF(OR($B230="STD. DEVIATION",$C$1=1),$A230,$A230+1),COLUMN('1-DATA'!R228)),IF($B230="STD. DEVIATION",2,$F$1))))</f>
        <v/>
      </c>
      <c r="T230" s="1" t="str">
        <f>IF(OR($B230="",T$7=""),"",IF($B230="MEANS",INDEX('1-DATA'!$1:$1048576,$A229-1,COLUMN('1-DATA'!S228)),ROUND(INDEX('1-DATA'!$1:$1048576,IF(OR($B230="STD. DEVIATION",$C$1=1),$A230,$A230+1),COLUMN('1-DATA'!S228)),IF($B230="STD. DEVIATION",2,$F$1))))</f>
        <v/>
      </c>
      <c r="U230" s="1" t="str">
        <f>IF(OR($B230="",U$7=""),"",IF($B230="MEANS",INDEX('1-DATA'!$1:$1048576,$A229-1,COLUMN('1-DATA'!T228)),ROUND(INDEX('1-DATA'!$1:$1048576,IF(OR($B230="STD. DEVIATION",$C$1=1),$A230,$A230+1),COLUMN('1-DATA'!T228)),IF($B230="STD. DEVIATION",2,$F$1))))</f>
        <v/>
      </c>
      <c r="V230" s="1" t="str">
        <f>IF(OR($B230="",V$7=""),"",IF($B230="MEANS",INDEX('1-DATA'!$1:$1048576,$A229-1,COLUMN('1-DATA'!U228)),ROUND(INDEX('1-DATA'!$1:$1048576,IF(OR($B230="STD. DEVIATION",$C$1=1),$A230,$A230+1),COLUMN('1-DATA'!U228)),IF($B230="STD. DEVIATION",2,$F$1))))</f>
        <v/>
      </c>
      <c r="W230" s="1" t="str">
        <f>IF(OR($B230="",W$7=""),"",IF($B230="MEANS",INDEX('1-DATA'!$1:$1048576,$A229-1,COLUMN('1-DATA'!V228)),ROUND(INDEX('1-DATA'!$1:$1048576,IF(OR($B230="STD. DEVIATION",$C$1=1),$A230,$A230+1),COLUMN('1-DATA'!V228)),IF($B230="STD. DEVIATION",2,$F$1))))</f>
        <v/>
      </c>
      <c r="X230" s="1" t="str">
        <f>IF(OR($B230="",X$7=""),"",IF($B230="MEANS",INDEX('1-DATA'!$1:$1048576,$A229-1,COLUMN('1-DATA'!W228)),ROUND(INDEX('1-DATA'!$1:$1048576,IF(OR($B230="STD. DEVIATION",$C$1=1),$A230,$A230+1),COLUMN('1-DATA'!W228)),IF($B230="STD. DEVIATION",2,$F$1))))</f>
        <v/>
      </c>
      <c r="Y230" s="1" t="str">
        <f>IF(OR($B230="",Y$7=""),"",IF($B230="MEANS",INDEX('1-DATA'!$1:$1048576,$A229-1,COLUMN('1-DATA'!X228)),ROUND(INDEX('1-DATA'!$1:$1048576,IF(OR($B230="STD. DEVIATION",$C$1=1),$A230,$A230+1),COLUMN('1-DATA'!X228)),IF($B230="STD. DEVIATION",2,$F$1))))</f>
        <v/>
      </c>
      <c r="Z230" s="1" t="str">
        <f>IF(OR($B230="",Z$7=""),"",IF($B230="MEANS",INDEX('1-DATA'!$1:$1048576,$A229-1,COLUMN('1-DATA'!Y228)),ROUND(INDEX('1-DATA'!$1:$1048576,IF(OR($B230="STD. DEVIATION",$C$1=1),$A230,$A230+1),COLUMN('1-DATA'!Y228)),IF($B230="STD. DEVIATION",2,$F$1))))</f>
        <v/>
      </c>
      <c r="AA230" s="1" t="str">
        <f>IF(OR($B230="",AA$7=""),"",IF($B230="MEANS",INDEX('1-DATA'!$1:$1048576,$A229-1,COLUMN('1-DATA'!Z228)),ROUND(INDEX('1-DATA'!$1:$1048576,IF(OR($B230="STD. DEVIATION",$C$1=1),$A230,$A230+1),COLUMN('1-DATA'!Z228)),IF($B230="STD. DEVIATION",2,$F$1))))</f>
        <v/>
      </c>
      <c r="AB230" s="1" t="str">
        <f>IF(OR($B230="",AB$7=""),"",IF($B230="MEANS",INDEX('1-DATA'!$1:$1048576,$A229-1,COLUMN('1-DATA'!AA228)),ROUND(INDEX('1-DATA'!$1:$1048576,IF(OR($B230="STD. DEVIATION",$C$1=1),$A230,$A230+1),COLUMN('1-DATA'!AA228)),IF($B230="STD. DEVIATION",2,$F$1))))</f>
        <v/>
      </c>
      <c r="AC230" s="1" t="str">
        <f>IF(OR($B230="",AC$7=""),"",IF($B230="MEANS",INDEX('1-DATA'!$1:$1048576,$A229-1,COLUMN('1-DATA'!AB228)),ROUND(INDEX('1-DATA'!$1:$1048576,IF(OR($B230="STD. DEVIATION",$C$1=1),$A230,$A230+1),COLUMN('1-DATA'!AB228)),IF($B230="STD. DEVIATION",2,$F$1))))</f>
        <v/>
      </c>
      <c r="AD230" s="1" t="str">
        <f>IF(OR($B230="",AD$7=""),"",IF($B230="MEANS",INDEX('1-DATA'!$1:$1048576,$A229-1,COLUMN('1-DATA'!AC228)),ROUND(INDEX('1-DATA'!$1:$1048576,IF(OR($B230="STD. DEVIATION",$C$1=1),$A230,$A230+1),COLUMN('1-DATA'!AC228)),IF($B230="STD. DEVIATION",2,$F$1))))</f>
        <v/>
      </c>
      <c r="AE230" s="1" t="str">
        <f>IF(OR($B230="",AE$7=""),"",IF($B230="MEANS",INDEX('1-DATA'!$1:$1048576,$A229-1,COLUMN('1-DATA'!AD228)),ROUND(INDEX('1-DATA'!$1:$1048576,IF(OR($B230="STD. DEVIATION",$C$1=1),$A230,$A230+1),COLUMN('1-DATA'!AD228)),IF($B230="STD. DEVIATION",2,$F$1))))</f>
        <v/>
      </c>
      <c r="AF230" s="1" t="str">
        <f>IF(OR($B230="",AF$7=""),"",IF($B230="MEANS",INDEX('1-DATA'!$1:$1048576,$A229-1,COLUMN('1-DATA'!AE228)),ROUND(INDEX('1-DATA'!$1:$1048576,IF(OR($B230="STD. DEVIATION",$C$1=1),$A230,$A230+1),COLUMN('1-DATA'!AE228)),IF($B230="STD. DEVIATION",2,$F$1))))</f>
        <v/>
      </c>
      <c r="AG230" s="1" t="str">
        <f>IF(OR($B230="",AG$7=""),"",IF($B230="MEANS",INDEX('1-DATA'!$1:$1048576,$A229-1,COLUMN('1-DATA'!AF228)),ROUND(INDEX('1-DATA'!$1:$1048576,IF(OR($B230="STD. DEVIATION",$C$1=1),$A230,$A230+1),COLUMN('1-DATA'!AF228)),IF($B230="STD. DEVIATION",2,$F$1))))</f>
        <v/>
      </c>
      <c r="AH230" s="1" t="str">
        <f>IF(OR($B230="",AH$7=""),"",IF($B230="MEANS",INDEX('1-DATA'!$1:$1048576,$A229-1,COLUMN('1-DATA'!AG228)),ROUND(INDEX('1-DATA'!$1:$1048576,IF(OR($B230="STD. DEVIATION",$C$1=1),$A230,$A230+1),COLUMN('1-DATA'!AG228)),IF($B230="STD. DEVIATION",2,$F$1))))</f>
        <v/>
      </c>
      <c r="AI230" s="1" t="str">
        <f>IF(OR($B230="",AI$7=""),"",IF($B230="MEANS",INDEX('1-DATA'!$1:$1048576,$A229-1,COLUMN('1-DATA'!AH228)),ROUND(INDEX('1-DATA'!$1:$1048576,IF(OR($B230="STD. DEVIATION",$C$1=1),$A230,$A230+1),COLUMN('1-DATA'!AH228)),IF($B230="STD. DEVIATION",2,$F$1))))</f>
        <v/>
      </c>
      <c r="AJ230" s="1" t="str">
        <f>IF(OR($B230="",AJ$7=""),"",IF($B230="MEANS",INDEX('1-DATA'!$1:$1048576,$A229-1,COLUMN('1-DATA'!AI228)),ROUND(INDEX('1-DATA'!$1:$1048576,IF(OR($B230="STD. DEVIATION",$C$1=1),$A230,$A230+1),COLUMN('1-DATA'!AI228)),IF($B230="STD. DEVIATION",2,$F$1))))</f>
        <v/>
      </c>
      <c r="AK230" s="1" t="str">
        <f>IF(OR($B230="",AK$7=""),"",IF($B230="MEANS",INDEX('1-DATA'!$1:$1048576,$A229-1,COLUMN('1-DATA'!AJ228)),ROUND(INDEX('1-DATA'!$1:$1048576,IF(OR($B230="STD. DEVIATION",$C$1=1),$A230,$A230+1),COLUMN('1-DATA'!AJ228)),IF($B230="STD. DEVIATION",2,$F$1))))</f>
        <v/>
      </c>
      <c r="AL230" s="1" t="str">
        <f>IF(OR($B230="",AL$7=""),"",IF($B230="MEANS",INDEX('1-DATA'!$1:$1048576,$A229-1,COLUMN('1-DATA'!AK228)),ROUND(INDEX('1-DATA'!$1:$1048576,IF(OR($B230="STD. DEVIATION",$C$1=1),$A230,$A230+1),COLUMN('1-DATA'!AK228)),IF($B230="STD. DEVIATION",2,$F$1))))</f>
        <v/>
      </c>
      <c r="AM230" s="1" t="str">
        <f>IF(OR($B230="",AM$7=""),"",IF($B230="MEANS",INDEX('1-DATA'!$1:$1048576,$A229-1,COLUMN('1-DATA'!AL228)),ROUND(INDEX('1-DATA'!$1:$1048576,IF(OR($B230="STD. DEVIATION",$C$1=1),$A230,$A230+1),COLUMN('1-DATA'!AL228)),IF($B230="STD. DEVIATION",2,$F$1))))</f>
        <v/>
      </c>
      <c r="AN230" s="1" t="str">
        <f>IF(OR($B230="",AN$7=""),"",IF($B230="MEANS",INDEX('1-DATA'!$1:$1048576,$A229-1,COLUMN('1-DATA'!AM228)),ROUND(INDEX('1-DATA'!$1:$1048576,IF(OR($B230="STD. DEVIATION",$C$1=1),$A230,$A230+1),COLUMN('1-DATA'!AM228)),IF($B230="STD. DEVIATION",2,$F$1))))</f>
        <v/>
      </c>
      <c r="AO230" s="1" t="str">
        <f>IF(OR($B230="",AO$7=""),"",IF($B230="MEANS",INDEX('1-DATA'!$1:$1048576,$A229-1,COLUMN('1-DATA'!AN228)),ROUND(INDEX('1-DATA'!$1:$1048576,IF(OR($B230="STD. DEVIATION",$C$1=1),$A230,$A230+1),COLUMN('1-DATA'!AN228)),IF($B230="STD. DEVIATION",2,$F$1))))</f>
        <v/>
      </c>
      <c r="AP230" s="1" t="str">
        <f>IF(OR($B230="",AP$7=""),"",IF($B230="MEANS",INDEX('1-DATA'!$1:$1048576,$A229-1,COLUMN('1-DATA'!AO228)),ROUND(INDEX('1-DATA'!$1:$1048576,IF(OR($B230="STD. DEVIATION",$C$1=1),$A230,$A230+1),COLUMN('1-DATA'!AO228)),IF($B230="STD. DEVIATION",2,$F$1))))</f>
        <v/>
      </c>
      <c r="AQ230" s="1" t="str">
        <f>IF(OR($B230="",AQ$7=""),"",IF($B230="MEANS",INDEX('1-DATA'!$1:$1048576,$A229-1,COLUMN('1-DATA'!AP228)),ROUND(INDEX('1-DATA'!$1:$1048576,IF(OR($B230="STD. DEVIATION",$C$1=1),$A230,$A230+1),COLUMN('1-DATA'!AP228)),IF($B230="STD. DEVIATION",2,$F$1))))</f>
        <v/>
      </c>
      <c r="AR230" s="1" t="str">
        <f>IF(OR($B230="",AR$7=""),"",IF($B230="MEANS",INDEX('1-DATA'!$1:$1048576,$A229-1,COLUMN('1-DATA'!AQ228)),ROUND(INDEX('1-DATA'!$1:$1048576,IF(OR($B230="STD. DEVIATION",$C$1=1),$A230,$A230+1),COLUMN('1-DATA'!AQ228)),IF($B230="STD. DEVIATION",2,$F$1))))</f>
        <v/>
      </c>
      <c r="AS230" s="1" t="str">
        <f>IF(OR($B230="",AS$7=""),"",IF($B230="MEANS",INDEX('1-DATA'!$1:$1048576,$A229-1,COLUMN('1-DATA'!AR228)),ROUND(INDEX('1-DATA'!$1:$1048576,IF(OR($B230="STD. DEVIATION",$C$1=1),$A230,$A230+1),COLUMN('1-DATA'!AR228)),IF($B230="STD. DEVIATION",2,$F$1))))</f>
        <v/>
      </c>
      <c r="AT230" s="1" t="str">
        <f>IF(OR($B230="",AT$7=""),"",IF($B230="MEANS",INDEX('1-DATA'!$1:$1048576,$A229-1,COLUMN('1-DATA'!AS228)),ROUND(INDEX('1-DATA'!$1:$1048576,IF(OR($B230="STD. DEVIATION",$C$1=1),$A230,$A230+1),COLUMN('1-DATA'!AS228)),IF($B230="STD. DEVIATION",2,$F$1))))</f>
        <v/>
      </c>
      <c r="AU230" s="1" t="str">
        <f>IF(OR($B230="",AU$7=""),"",IF($B230="MEANS",INDEX('1-DATA'!$1:$1048576,$A229-1,COLUMN('1-DATA'!AT228)),ROUND(INDEX('1-DATA'!$1:$1048576,IF(OR($B230="STD. DEVIATION",$C$1=1),$A230,$A230+1),COLUMN('1-DATA'!AT228)),IF($B230="STD. DEVIATION",2,$F$1))))</f>
        <v/>
      </c>
      <c r="AV230" s="1" t="str">
        <f>IF(OR($B230="",AV$7=""),"",IF($B230="MEANS",INDEX('1-DATA'!$1:$1048576,$A229-1,COLUMN('1-DATA'!AU228)),ROUND(INDEX('1-DATA'!$1:$1048576,IF(OR($B230="STD. DEVIATION",$C$1=1),$A230,$A230+1),COLUMN('1-DATA'!AU228)),IF($B230="STD. DEVIATION",2,$F$1))))</f>
        <v/>
      </c>
      <c r="AW230" s="1" t="str">
        <f>IF(OR($B230="",AW$7=""),"",IF($B230="MEANS",INDEX('1-DATA'!$1:$1048576,$A229-1,COLUMN('1-DATA'!AV228)),ROUND(INDEX('1-DATA'!$1:$1048576,IF(OR($B230="STD. DEVIATION",$C$1=1),$A230,$A230+1),COLUMN('1-DATA'!AV228)),IF($B230="STD. DEVIATION",2,$F$1))))</f>
        <v/>
      </c>
      <c r="AX230" s="1" t="str">
        <f>IF(OR($B230="",AX$7=""),"",IF($B230="MEANS",INDEX('1-DATA'!$1:$1048576,$A229-1,COLUMN('1-DATA'!AW228)),ROUND(INDEX('1-DATA'!$1:$1048576,IF(OR($B230="STD. DEVIATION",$C$1=1),$A230,$A230+1),COLUMN('1-DATA'!AW228)),IF($B230="STD. DEVIATION",2,$F$1))))</f>
        <v/>
      </c>
      <c r="AY230" s="1" t="str">
        <f>IF(OR($B230="",AY$7=""),"",IF($B230="MEANS",INDEX('1-DATA'!$1:$1048576,$A229-1,COLUMN('1-DATA'!AX228)),ROUND(INDEX('1-DATA'!$1:$1048576,IF(OR($B230="STD. DEVIATION",$C$1=1),$A230,$A230+1),COLUMN('1-DATA'!AX228)),IF($B230="STD. DEVIATION",2,$F$1))))</f>
        <v/>
      </c>
      <c r="AZ230" s="1" t="str">
        <f>IF(OR($B230="",AZ$7=""),"",IF($B230="MEANS",INDEX('1-DATA'!$1:$1048576,$A229-1,COLUMN('1-DATA'!AY228)),ROUND(INDEX('1-DATA'!$1:$1048576,IF(OR($B230="STD. DEVIATION",$C$1=1),$A230,$A230+1),COLUMN('1-DATA'!AY228)),IF($B230="STD. DEVIATION",2,$F$1))))</f>
        <v/>
      </c>
    </row>
    <row r="231" spans="1:52" x14ac:dyDescent="0.25">
      <c r="A231" s="11">
        <f t="shared" si="4"/>
        <v>679</v>
      </c>
      <c r="B231" s="1" t="str">
        <f>IF(B230="STD. DEVIATION",INDEX('1-DATA'!$1:$1048576,$A230-1,1),IF(INDEX('1-DATA'!$1:$1048576,$A231,1)&lt;&gt;"",INDEX('1-DATA'!$1:$1048576,$A231,1),""))</f>
        <v/>
      </c>
      <c r="C231" s="1" t="str">
        <f>IF(OR($B231="",C$7=""),"",IF($B231="MEANS",INDEX('1-DATA'!$1:$1048576,$A230-1,COLUMN('1-DATA'!B229)),ROUND(INDEX('1-DATA'!$1:$1048576,IF(OR($B231="STD. DEVIATION",$C$1=1),$A231,$A231+1),COLUMN('1-DATA'!B229)),IF($B231="STD. DEVIATION",2,$F$1))))</f>
        <v/>
      </c>
      <c r="D231" s="1" t="str">
        <f>IF(OR($B231="",D$7=""),"",IF($B231="MEANS",INDEX('1-DATA'!$1:$1048576,$A230-1,COLUMN('1-DATA'!C229)),ROUND(INDEX('1-DATA'!$1:$1048576,IF(OR($B231="STD. DEVIATION",$C$1=1),$A231,$A231+1),COLUMN('1-DATA'!C229)),IF($B231="STD. DEVIATION",2,$F$1))))</f>
        <v/>
      </c>
      <c r="E231" s="1" t="str">
        <f>IF(OR($B231="",E$7=""),"",IF($B231="MEANS",INDEX('1-DATA'!$1:$1048576,$A230-1,COLUMN('1-DATA'!D229)),ROUND(INDEX('1-DATA'!$1:$1048576,IF(OR($B231="STD. DEVIATION",$C$1=1),$A231,$A231+1),COLUMN('1-DATA'!D229)),IF($B231="STD. DEVIATION",2,$F$1))))</f>
        <v/>
      </c>
      <c r="F231" s="1" t="str">
        <f>IF(OR($B231="",F$7=""),"",IF($B231="MEANS",INDEX('1-DATA'!$1:$1048576,$A230-1,COLUMN('1-DATA'!E229)),ROUND(INDEX('1-DATA'!$1:$1048576,IF(OR($B231="STD. DEVIATION",$C$1=1),$A231,$A231+1),COLUMN('1-DATA'!E229)),IF($B231="STD. DEVIATION",2,$F$1))))</f>
        <v/>
      </c>
      <c r="G231" s="1" t="str">
        <f>IF(OR($B231="",G$7=""),"",IF($B231="MEANS",INDEX('1-DATA'!$1:$1048576,$A230-1,COLUMN('1-DATA'!F229)),ROUND(INDEX('1-DATA'!$1:$1048576,IF(OR($B231="STD. DEVIATION",$C$1=1),$A231,$A231+1),COLUMN('1-DATA'!F229)),IF($B231="STD. DEVIATION",2,$F$1))))</f>
        <v/>
      </c>
      <c r="H231" s="1" t="str">
        <f>IF(OR($B231="",H$7=""),"",IF($B231="MEANS",INDEX('1-DATA'!$1:$1048576,$A230-1,COLUMN('1-DATA'!G229)),ROUND(INDEX('1-DATA'!$1:$1048576,IF(OR($B231="STD. DEVIATION",$C$1=1),$A231,$A231+1),COLUMN('1-DATA'!G229)),IF($B231="STD. DEVIATION",2,$F$1))))</f>
        <v/>
      </c>
      <c r="I231" s="1" t="str">
        <f>IF(OR($B231="",I$7=""),"",IF($B231="MEANS",INDEX('1-DATA'!$1:$1048576,$A230-1,COLUMN('1-DATA'!H229)),ROUND(INDEX('1-DATA'!$1:$1048576,IF(OR($B231="STD. DEVIATION",$C$1=1),$A231,$A231+1),COLUMN('1-DATA'!H229)),IF($B231="STD. DEVIATION",2,$F$1))))</f>
        <v/>
      </c>
      <c r="J231" s="1" t="str">
        <f>IF(OR($B231="",J$7=""),"",IF($B231="MEANS",INDEX('1-DATA'!$1:$1048576,$A230-1,COLUMN('1-DATA'!I229)),ROUND(INDEX('1-DATA'!$1:$1048576,IF(OR($B231="STD. DEVIATION",$C$1=1),$A231,$A231+1),COLUMN('1-DATA'!I229)),IF($B231="STD. DEVIATION",2,$F$1))))</f>
        <v/>
      </c>
      <c r="K231" s="1" t="str">
        <f>IF(OR($B231="",K$7=""),"",IF($B231="MEANS",INDEX('1-DATA'!$1:$1048576,$A230-1,COLUMN('1-DATA'!J229)),ROUND(INDEX('1-DATA'!$1:$1048576,IF(OR($B231="STD. DEVIATION",$C$1=1),$A231,$A231+1),COLUMN('1-DATA'!J229)),IF($B231="STD. DEVIATION",2,$F$1))))</f>
        <v/>
      </c>
      <c r="L231" s="1" t="str">
        <f>IF(OR($B231="",L$7=""),"",IF($B231="MEANS",INDEX('1-DATA'!$1:$1048576,$A230-1,COLUMN('1-DATA'!K229)),ROUND(INDEX('1-DATA'!$1:$1048576,IF(OR($B231="STD. DEVIATION",$C$1=1),$A231,$A231+1),COLUMN('1-DATA'!K229)),IF($B231="STD. DEVIATION",2,$F$1))))</f>
        <v/>
      </c>
      <c r="M231" s="1" t="str">
        <f>IF(OR($B231="",M$7=""),"",IF($B231="MEANS",INDEX('1-DATA'!$1:$1048576,$A230-1,COLUMN('1-DATA'!L229)),ROUND(INDEX('1-DATA'!$1:$1048576,IF(OR($B231="STD. DEVIATION",$C$1=1),$A231,$A231+1),COLUMN('1-DATA'!L229)),IF($B231="STD. DEVIATION",2,$F$1))))</f>
        <v/>
      </c>
      <c r="N231" s="1" t="str">
        <f>IF(OR($B231="",N$7=""),"",IF($B231="MEANS",INDEX('1-DATA'!$1:$1048576,$A230-1,COLUMN('1-DATA'!M229)),ROUND(INDEX('1-DATA'!$1:$1048576,IF(OR($B231="STD. DEVIATION",$C$1=1),$A231,$A231+1),COLUMN('1-DATA'!M229)),IF($B231="STD. DEVIATION",2,$F$1))))</f>
        <v/>
      </c>
      <c r="O231" s="1" t="str">
        <f>IF(OR($B231="",O$7=""),"",IF($B231="MEANS",INDEX('1-DATA'!$1:$1048576,$A230-1,COLUMN('1-DATA'!N229)),ROUND(INDEX('1-DATA'!$1:$1048576,IF(OR($B231="STD. DEVIATION",$C$1=1),$A231,$A231+1),COLUMN('1-DATA'!N229)),IF($B231="STD. DEVIATION",2,$F$1))))</f>
        <v/>
      </c>
      <c r="P231" s="1" t="str">
        <f>IF(OR($B231="",P$7=""),"",IF($B231="MEANS",INDEX('1-DATA'!$1:$1048576,$A230-1,COLUMN('1-DATA'!O229)),ROUND(INDEX('1-DATA'!$1:$1048576,IF(OR($B231="STD. DEVIATION",$C$1=1),$A231,$A231+1),COLUMN('1-DATA'!O229)),IF($B231="STD. DEVIATION",2,$F$1))))</f>
        <v/>
      </c>
      <c r="Q231" s="1" t="str">
        <f>IF(OR($B231="",Q$7=""),"",IF($B231="MEANS",INDEX('1-DATA'!$1:$1048576,$A230-1,COLUMN('1-DATA'!P229)),ROUND(INDEX('1-DATA'!$1:$1048576,IF(OR($B231="STD. DEVIATION",$C$1=1),$A231,$A231+1),COLUMN('1-DATA'!P229)),IF($B231="STD. DEVIATION",2,$F$1))))</f>
        <v/>
      </c>
      <c r="R231" s="1" t="str">
        <f>IF(OR($B231="",R$7=""),"",IF($B231="MEANS",INDEX('1-DATA'!$1:$1048576,$A230-1,COLUMN('1-DATA'!Q229)),ROUND(INDEX('1-DATA'!$1:$1048576,IF(OR($B231="STD. DEVIATION",$C$1=1),$A231,$A231+1),COLUMN('1-DATA'!Q229)),IF($B231="STD. DEVIATION",2,$F$1))))</f>
        <v/>
      </c>
      <c r="S231" s="1" t="str">
        <f>IF(OR($B231="",S$7=""),"",IF($B231="MEANS",INDEX('1-DATA'!$1:$1048576,$A230-1,COLUMN('1-DATA'!R229)),ROUND(INDEX('1-DATA'!$1:$1048576,IF(OR($B231="STD. DEVIATION",$C$1=1),$A231,$A231+1),COLUMN('1-DATA'!R229)),IF($B231="STD. DEVIATION",2,$F$1))))</f>
        <v/>
      </c>
      <c r="T231" s="1" t="str">
        <f>IF(OR($B231="",T$7=""),"",IF($B231="MEANS",INDEX('1-DATA'!$1:$1048576,$A230-1,COLUMN('1-DATA'!S229)),ROUND(INDEX('1-DATA'!$1:$1048576,IF(OR($B231="STD. DEVIATION",$C$1=1),$A231,$A231+1),COLUMN('1-DATA'!S229)),IF($B231="STD. DEVIATION",2,$F$1))))</f>
        <v/>
      </c>
      <c r="U231" s="1" t="str">
        <f>IF(OR($B231="",U$7=""),"",IF($B231="MEANS",INDEX('1-DATA'!$1:$1048576,$A230-1,COLUMN('1-DATA'!T229)),ROUND(INDEX('1-DATA'!$1:$1048576,IF(OR($B231="STD. DEVIATION",$C$1=1),$A231,$A231+1),COLUMN('1-DATA'!T229)),IF($B231="STD. DEVIATION",2,$F$1))))</f>
        <v/>
      </c>
      <c r="V231" s="1" t="str">
        <f>IF(OR($B231="",V$7=""),"",IF($B231="MEANS",INDEX('1-DATA'!$1:$1048576,$A230-1,COLUMN('1-DATA'!U229)),ROUND(INDEX('1-DATA'!$1:$1048576,IF(OR($B231="STD. DEVIATION",$C$1=1),$A231,$A231+1),COLUMN('1-DATA'!U229)),IF($B231="STD. DEVIATION",2,$F$1))))</f>
        <v/>
      </c>
      <c r="W231" s="1" t="str">
        <f>IF(OR($B231="",W$7=""),"",IF($B231="MEANS",INDEX('1-DATA'!$1:$1048576,$A230-1,COLUMN('1-DATA'!V229)),ROUND(INDEX('1-DATA'!$1:$1048576,IF(OR($B231="STD. DEVIATION",$C$1=1),$A231,$A231+1),COLUMN('1-DATA'!V229)),IF($B231="STD. DEVIATION",2,$F$1))))</f>
        <v/>
      </c>
      <c r="X231" s="1" t="str">
        <f>IF(OR($B231="",X$7=""),"",IF($B231="MEANS",INDEX('1-DATA'!$1:$1048576,$A230-1,COLUMN('1-DATA'!W229)),ROUND(INDEX('1-DATA'!$1:$1048576,IF(OR($B231="STD. DEVIATION",$C$1=1),$A231,$A231+1),COLUMN('1-DATA'!W229)),IF($B231="STD. DEVIATION",2,$F$1))))</f>
        <v/>
      </c>
      <c r="Y231" s="1" t="str">
        <f>IF(OR($B231="",Y$7=""),"",IF($B231="MEANS",INDEX('1-DATA'!$1:$1048576,$A230-1,COLUMN('1-DATA'!X229)),ROUND(INDEX('1-DATA'!$1:$1048576,IF(OR($B231="STD. DEVIATION",$C$1=1),$A231,$A231+1),COLUMN('1-DATA'!X229)),IF($B231="STD. DEVIATION",2,$F$1))))</f>
        <v/>
      </c>
      <c r="Z231" s="1" t="str">
        <f>IF(OR($B231="",Z$7=""),"",IF($B231="MEANS",INDEX('1-DATA'!$1:$1048576,$A230-1,COLUMN('1-DATA'!Y229)),ROUND(INDEX('1-DATA'!$1:$1048576,IF(OR($B231="STD. DEVIATION",$C$1=1),$A231,$A231+1),COLUMN('1-DATA'!Y229)),IF($B231="STD. DEVIATION",2,$F$1))))</f>
        <v/>
      </c>
      <c r="AA231" s="1" t="str">
        <f>IF(OR($B231="",AA$7=""),"",IF($B231="MEANS",INDEX('1-DATA'!$1:$1048576,$A230-1,COLUMN('1-DATA'!Z229)),ROUND(INDEX('1-DATA'!$1:$1048576,IF(OR($B231="STD. DEVIATION",$C$1=1),$A231,$A231+1),COLUMN('1-DATA'!Z229)),IF($B231="STD. DEVIATION",2,$F$1))))</f>
        <v/>
      </c>
      <c r="AB231" s="1" t="str">
        <f>IF(OR($B231="",AB$7=""),"",IF($B231="MEANS",INDEX('1-DATA'!$1:$1048576,$A230-1,COLUMN('1-DATA'!AA229)),ROUND(INDEX('1-DATA'!$1:$1048576,IF(OR($B231="STD. DEVIATION",$C$1=1),$A231,$A231+1),COLUMN('1-DATA'!AA229)),IF($B231="STD. DEVIATION",2,$F$1))))</f>
        <v/>
      </c>
      <c r="AC231" s="1" t="str">
        <f>IF(OR($B231="",AC$7=""),"",IF($B231="MEANS",INDEX('1-DATA'!$1:$1048576,$A230-1,COLUMN('1-DATA'!AB229)),ROUND(INDEX('1-DATA'!$1:$1048576,IF(OR($B231="STD. DEVIATION",$C$1=1),$A231,$A231+1),COLUMN('1-DATA'!AB229)),IF($B231="STD. DEVIATION",2,$F$1))))</f>
        <v/>
      </c>
      <c r="AD231" s="1" t="str">
        <f>IF(OR($B231="",AD$7=""),"",IF($B231="MEANS",INDEX('1-DATA'!$1:$1048576,$A230-1,COLUMN('1-DATA'!AC229)),ROUND(INDEX('1-DATA'!$1:$1048576,IF(OR($B231="STD. DEVIATION",$C$1=1),$A231,$A231+1),COLUMN('1-DATA'!AC229)),IF($B231="STD. DEVIATION",2,$F$1))))</f>
        <v/>
      </c>
      <c r="AE231" s="1" t="str">
        <f>IF(OR($B231="",AE$7=""),"",IF($B231="MEANS",INDEX('1-DATA'!$1:$1048576,$A230-1,COLUMN('1-DATA'!AD229)),ROUND(INDEX('1-DATA'!$1:$1048576,IF(OR($B231="STD. DEVIATION",$C$1=1),$A231,$A231+1),COLUMN('1-DATA'!AD229)),IF($B231="STD. DEVIATION",2,$F$1))))</f>
        <v/>
      </c>
      <c r="AF231" s="1" t="str">
        <f>IF(OR($B231="",AF$7=""),"",IF($B231="MEANS",INDEX('1-DATA'!$1:$1048576,$A230-1,COLUMN('1-DATA'!AE229)),ROUND(INDEX('1-DATA'!$1:$1048576,IF(OR($B231="STD. DEVIATION",$C$1=1),$A231,$A231+1),COLUMN('1-DATA'!AE229)),IF($B231="STD. DEVIATION",2,$F$1))))</f>
        <v/>
      </c>
      <c r="AG231" s="1" t="str">
        <f>IF(OR($B231="",AG$7=""),"",IF($B231="MEANS",INDEX('1-DATA'!$1:$1048576,$A230-1,COLUMN('1-DATA'!AF229)),ROUND(INDEX('1-DATA'!$1:$1048576,IF(OR($B231="STD. DEVIATION",$C$1=1),$A231,$A231+1),COLUMN('1-DATA'!AF229)),IF($B231="STD. DEVIATION",2,$F$1))))</f>
        <v/>
      </c>
      <c r="AH231" s="1" t="str">
        <f>IF(OR($B231="",AH$7=""),"",IF($B231="MEANS",INDEX('1-DATA'!$1:$1048576,$A230-1,COLUMN('1-DATA'!AG229)),ROUND(INDEX('1-DATA'!$1:$1048576,IF(OR($B231="STD. DEVIATION",$C$1=1),$A231,$A231+1),COLUMN('1-DATA'!AG229)),IF($B231="STD. DEVIATION",2,$F$1))))</f>
        <v/>
      </c>
      <c r="AI231" s="1" t="str">
        <f>IF(OR($B231="",AI$7=""),"",IF($B231="MEANS",INDEX('1-DATA'!$1:$1048576,$A230-1,COLUMN('1-DATA'!AH229)),ROUND(INDEX('1-DATA'!$1:$1048576,IF(OR($B231="STD. DEVIATION",$C$1=1),$A231,$A231+1),COLUMN('1-DATA'!AH229)),IF($B231="STD. DEVIATION",2,$F$1))))</f>
        <v/>
      </c>
      <c r="AJ231" s="1" t="str">
        <f>IF(OR($B231="",AJ$7=""),"",IF($B231="MEANS",INDEX('1-DATA'!$1:$1048576,$A230-1,COLUMN('1-DATA'!AI229)),ROUND(INDEX('1-DATA'!$1:$1048576,IF(OR($B231="STD. DEVIATION",$C$1=1),$A231,$A231+1),COLUMN('1-DATA'!AI229)),IF($B231="STD. DEVIATION",2,$F$1))))</f>
        <v/>
      </c>
      <c r="AK231" s="1" t="str">
        <f>IF(OR($B231="",AK$7=""),"",IF($B231="MEANS",INDEX('1-DATA'!$1:$1048576,$A230-1,COLUMN('1-DATA'!AJ229)),ROUND(INDEX('1-DATA'!$1:$1048576,IF(OR($B231="STD. DEVIATION",$C$1=1),$A231,$A231+1),COLUMN('1-DATA'!AJ229)),IF($B231="STD. DEVIATION",2,$F$1))))</f>
        <v/>
      </c>
      <c r="AL231" s="1" t="str">
        <f>IF(OR($B231="",AL$7=""),"",IF($B231="MEANS",INDEX('1-DATA'!$1:$1048576,$A230-1,COLUMN('1-DATA'!AK229)),ROUND(INDEX('1-DATA'!$1:$1048576,IF(OR($B231="STD. DEVIATION",$C$1=1),$A231,$A231+1),COLUMN('1-DATA'!AK229)),IF($B231="STD. DEVIATION",2,$F$1))))</f>
        <v/>
      </c>
      <c r="AM231" s="1" t="str">
        <f>IF(OR($B231="",AM$7=""),"",IF($B231="MEANS",INDEX('1-DATA'!$1:$1048576,$A230-1,COLUMN('1-DATA'!AL229)),ROUND(INDEX('1-DATA'!$1:$1048576,IF(OR($B231="STD. DEVIATION",$C$1=1),$A231,$A231+1),COLUMN('1-DATA'!AL229)),IF($B231="STD. DEVIATION",2,$F$1))))</f>
        <v/>
      </c>
      <c r="AN231" s="1" t="str">
        <f>IF(OR($B231="",AN$7=""),"",IF($B231="MEANS",INDEX('1-DATA'!$1:$1048576,$A230-1,COLUMN('1-DATA'!AM229)),ROUND(INDEX('1-DATA'!$1:$1048576,IF(OR($B231="STD. DEVIATION",$C$1=1),$A231,$A231+1),COLUMN('1-DATA'!AM229)),IF($B231="STD. DEVIATION",2,$F$1))))</f>
        <v/>
      </c>
      <c r="AO231" s="1" t="str">
        <f>IF(OR($B231="",AO$7=""),"",IF($B231="MEANS",INDEX('1-DATA'!$1:$1048576,$A230-1,COLUMN('1-DATA'!AN229)),ROUND(INDEX('1-DATA'!$1:$1048576,IF(OR($B231="STD. DEVIATION",$C$1=1),$A231,$A231+1),COLUMN('1-DATA'!AN229)),IF($B231="STD. DEVIATION",2,$F$1))))</f>
        <v/>
      </c>
      <c r="AP231" s="1" t="str">
        <f>IF(OR($B231="",AP$7=""),"",IF($B231="MEANS",INDEX('1-DATA'!$1:$1048576,$A230-1,COLUMN('1-DATA'!AO229)),ROUND(INDEX('1-DATA'!$1:$1048576,IF(OR($B231="STD. DEVIATION",$C$1=1),$A231,$A231+1),COLUMN('1-DATA'!AO229)),IF($B231="STD. DEVIATION",2,$F$1))))</f>
        <v/>
      </c>
      <c r="AQ231" s="1" t="str">
        <f>IF(OR($B231="",AQ$7=""),"",IF($B231="MEANS",INDEX('1-DATA'!$1:$1048576,$A230-1,COLUMN('1-DATA'!AP229)),ROUND(INDEX('1-DATA'!$1:$1048576,IF(OR($B231="STD. DEVIATION",$C$1=1),$A231,$A231+1),COLUMN('1-DATA'!AP229)),IF($B231="STD. DEVIATION",2,$F$1))))</f>
        <v/>
      </c>
      <c r="AR231" s="1" t="str">
        <f>IF(OR($B231="",AR$7=""),"",IF($B231="MEANS",INDEX('1-DATA'!$1:$1048576,$A230-1,COLUMN('1-DATA'!AQ229)),ROUND(INDEX('1-DATA'!$1:$1048576,IF(OR($B231="STD. DEVIATION",$C$1=1),$A231,$A231+1),COLUMN('1-DATA'!AQ229)),IF($B231="STD. DEVIATION",2,$F$1))))</f>
        <v/>
      </c>
      <c r="AS231" s="1" t="str">
        <f>IF(OR($B231="",AS$7=""),"",IF($B231="MEANS",INDEX('1-DATA'!$1:$1048576,$A230-1,COLUMN('1-DATA'!AR229)),ROUND(INDEX('1-DATA'!$1:$1048576,IF(OR($B231="STD. DEVIATION",$C$1=1),$A231,$A231+1),COLUMN('1-DATA'!AR229)),IF($B231="STD. DEVIATION",2,$F$1))))</f>
        <v/>
      </c>
      <c r="AT231" s="1" t="str">
        <f>IF(OR($B231="",AT$7=""),"",IF($B231="MEANS",INDEX('1-DATA'!$1:$1048576,$A230-1,COLUMN('1-DATA'!AS229)),ROUND(INDEX('1-DATA'!$1:$1048576,IF(OR($B231="STD. DEVIATION",$C$1=1),$A231,$A231+1),COLUMN('1-DATA'!AS229)),IF($B231="STD. DEVIATION",2,$F$1))))</f>
        <v/>
      </c>
      <c r="AU231" s="1" t="str">
        <f>IF(OR($B231="",AU$7=""),"",IF($B231="MEANS",INDEX('1-DATA'!$1:$1048576,$A230-1,COLUMN('1-DATA'!AT229)),ROUND(INDEX('1-DATA'!$1:$1048576,IF(OR($B231="STD. DEVIATION",$C$1=1),$A231,$A231+1),COLUMN('1-DATA'!AT229)),IF($B231="STD. DEVIATION",2,$F$1))))</f>
        <v/>
      </c>
      <c r="AV231" s="1" t="str">
        <f>IF(OR($B231="",AV$7=""),"",IF($B231="MEANS",INDEX('1-DATA'!$1:$1048576,$A230-1,COLUMN('1-DATA'!AU229)),ROUND(INDEX('1-DATA'!$1:$1048576,IF(OR($B231="STD. DEVIATION",$C$1=1),$A231,$A231+1),COLUMN('1-DATA'!AU229)),IF($B231="STD. DEVIATION",2,$F$1))))</f>
        <v/>
      </c>
      <c r="AW231" s="1" t="str">
        <f>IF(OR($B231="",AW$7=""),"",IF($B231="MEANS",INDEX('1-DATA'!$1:$1048576,$A230-1,COLUMN('1-DATA'!AV229)),ROUND(INDEX('1-DATA'!$1:$1048576,IF(OR($B231="STD. DEVIATION",$C$1=1),$A231,$A231+1),COLUMN('1-DATA'!AV229)),IF($B231="STD. DEVIATION",2,$F$1))))</f>
        <v/>
      </c>
      <c r="AX231" s="1" t="str">
        <f>IF(OR($B231="",AX$7=""),"",IF($B231="MEANS",INDEX('1-DATA'!$1:$1048576,$A230-1,COLUMN('1-DATA'!AW229)),ROUND(INDEX('1-DATA'!$1:$1048576,IF(OR($B231="STD. DEVIATION",$C$1=1),$A231,$A231+1),COLUMN('1-DATA'!AW229)),IF($B231="STD. DEVIATION",2,$F$1))))</f>
        <v/>
      </c>
      <c r="AY231" s="1" t="str">
        <f>IF(OR($B231="",AY$7=""),"",IF($B231="MEANS",INDEX('1-DATA'!$1:$1048576,$A230-1,COLUMN('1-DATA'!AX229)),ROUND(INDEX('1-DATA'!$1:$1048576,IF(OR($B231="STD. DEVIATION",$C$1=1),$A231,$A231+1),COLUMN('1-DATA'!AX229)),IF($B231="STD. DEVIATION",2,$F$1))))</f>
        <v/>
      </c>
      <c r="AZ231" s="1" t="str">
        <f>IF(OR($B231="",AZ$7=""),"",IF($B231="MEANS",INDEX('1-DATA'!$1:$1048576,$A230-1,COLUMN('1-DATA'!AY229)),ROUND(INDEX('1-DATA'!$1:$1048576,IF(OR($B231="STD. DEVIATION",$C$1=1),$A231,$A231+1),COLUMN('1-DATA'!AY229)),IF($B231="STD. DEVIATION",2,$F$1))))</f>
        <v/>
      </c>
    </row>
    <row r="232" spans="1:52" x14ac:dyDescent="0.25">
      <c r="A232" s="11">
        <f t="shared" si="4"/>
        <v>682</v>
      </c>
      <c r="B232" s="1" t="str">
        <f>IF(B231="STD. DEVIATION",INDEX('1-DATA'!$1:$1048576,$A231-1,1),IF(INDEX('1-DATA'!$1:$1048576,$A232,1)&lt;&gt;"",INDEX('1-DATA'!$1:$1048576,$A232,1),""))</f>
        <v/>
      </c>
      <c r="C232" s="1" t="str">
        <f>IF(OR($B232="",C$7=""),"",IF($B232="MEANS",INDEX('1-DATA'!$1:$1048576,$A231-1,COLUMN('1-DATA'!B230)),ROUND(INDEX('1-DATA'!$1:$1048576,IF(OR($B232="STD. DEVIATION",$C$1=1),$A232,$A232+1),COLUMN('1-DATA'!B230)),IF($B232="STD. DEVIATION",2,$F$1))))</f>
        <v/>
      </c>
      <c r="D232" s="1" t="str">
        <f>IF(OR($B232="",D$7=""),"",IF($B232="MEANS",INDEX('1-DATA'!$1:$1048576,$A231-1,COLUMN('1-DATA'!C230)),ROUND(INDEX('1-DATA'!$1:$1048576,IF(OR($B232="STD. DEVIATION",$C$1=1),$A232,$A232+1),COLUMN('1-DATA'!C230)),IF($B232="STD. DEVIATION",2,$F$1))))</f>
        <v/>
      </c>
      <c r="E232" s="1" t="str">
        <f>IF(OR($B232="",E$7=""),"",IF($B232="MEANS",INDEX('1-DATA'!$1:$1048576,$A231-1,COLUMN('1-DATA'!D230)),ROUND(INDEX('1-DATA'!$1:$1048576,IF(OR($B232="STD. DEVIATION",$C$1=1),$A232,$A232+1),COLUMN('1-DATA'!D230)),IF($B232="STD. DEVIATION",2,$F$1))))</f>
        <v/>
      </c>
      <c r="F232" s="1" t="str">
        <f>IF(OR($B232="",F$7=""),"",IF($B232="MEANS",INDEX('1-DATA'!$1:$1048576,$A231-1,COLUMN('1-DATA'!E230)),ROUND(INDEX('1-DATA'!$1:$1048576,IF(OR($B232="STD. DEVIATION",$C$1=1),$A232,$A232+1),COLUMN('1-DATA'!E230)),IF($B232="STD. DEVIATION",2,$F$1))))</f>
        <v/>
      </c>
      <c r="G232" s="1" t="str">
        <f>IF(OR($B232="",G$7=""),"",IF($B232="MEANS",INDEX('1-DATA'!$1:$1048576,$A231-1,COLUMN('1-DATA'!F230)),ROUND(INDEX('1-DATA'!$1:$1048576,IF(OR($B232="STD. DEVIATION",$C$1=1),$A232,$A232+1),COLUMN('1-DATA'!F230)),IF($B232="STD. DEVIATION",2,$F$1))))</f>
        <v/>
      </c>
      <c r="H232" s="1" t="str">
        <f>IF(OR($B232="",H$7=""),"",IF($B232="MEANS",INDEX('1-DATA'!$1:$1048576,$A231-1,COLUMN('1-DATA'!G230)),ROUND(INDEX('1-DATA'!$1:$1048576,IF(OR($B232="STD. DEVIATION",$C$1=1),$A232,$A232+1),COLUMN('1-DATA'!G230)),IF($B232="STD. DEVIATION",2,$F$1))))</f>
        <v/>
      </c>
      <c r="I232" s="1" t="str">
        <f>IF(OR($B232="",I$7=""),"",IF($B232="MEANS",INDEX('1-DATA'!$1:$1048576,$A231-1,COLUMN('1-DATA'!H230)),ROUND(INDEX('1-DATA'!$1:$1048576,IF(OR($B232="STD. DEVIATION",$C$1=1),$A232,$A232+1),COLUMN('1-DATA'!H230)),IF($B232="STD. DEVIATION",2,$F$1))))</f>
        <v/>
      </c>
      <c r="J232" s="1" t="str">
        <f>IF(OR($B232="",J$7=""),"",IF($B232="MEANS",INDEX('1-DATA'!$1:$1048576,$A231-1,COLUMN('1-DATA'!I230)),ROUND(INDEX('1-DATA'!$1:$1048576,IF(OR($B232="STD. DEVIATION",$C$1=1),$A232,$A232+1),COLUMN('1-DATA'!I230)),IF($B232="STD. DEVIATION",2,$F$1))))</f>
        <v/>
      </c>
      <c r="K232" s="1" t="str">
        <f>IF(OR($B232="",K$7=""),"",IF($B232="MEANS",INDEX('1-DATA'!$1:$1048576,$A231-1,COLUMN('1-DATA'!J230)),ROUND(INDEX('1-DATA'!$1:$1048576,IF(OR($B232="STD. DEVIATION",$C$1=1),$A232,$A232+1),COLUMN('1-DATA'!J230)),IF($B232="STD. DEVIATION",2,$F$1))))</f>
        <v/>
      </c>
      <c r="L232" s="1" t="str">
        <f>IF(OR($B232="",L$7=""),"",IF($B232="MEANS",INDEX('1-DATA'!$1:$1048576,$A231-1,COLUMN('1-DATA'!K230)),ROUND(INDEX('1-DATA'!$1:$1048576,IF(OR($B232="STD. DEVIATION",$C$1=1),$A232,$A232+1),COLUMN('1-DATA'!K230)),IF($B232="STD. DEVIATION",2,$F$1))))</f>
        <v/>
      </c>
      <c r="M232" s="1" t="str">
        <f>IF(OR($B232="",M$7=""),"",IF($B232="MEANS",INDEX('1-DATA'!$1:$1048576,$A231-1,COLUMN('1-DATA'!L230)),ROUND(INDEX('1-DATA'!$1:$1048576,IF(OR($B232="STD. DEVIATION",$C$1=1),$A232,$A232+1),COLUMN('1-DATA'!L230)),IF($B232="STD. DEVIATION",2,$F$1))))</f>
        <v/>
      </c>
      <c r="N232" s="1" t="str">
        <f>IF(OR($B232="",N$7=""),"",IF($B232="MEANS",INDEX('1-DATA'!$1:$1048576,$A231-1,COLUMN('1-DATA'!M230)),ROUND(INDEX('1-DATA'!$1:$1048576,IF(OR($B232="STD. DEVIATION",$C$1=1),$A232,$A232+1),COLUMN('1-DATA'!M230)),IF($B232="STD. DEVIATION",2,$F$1))))</f>
        <v/>
      </c>
      <c r="O232" s="1" t="str">
        <f>IF(OR($B232="",O$7=""),"",IF($B232="MEANS",INDEX('1-DATA'!$1:$1048576,$A231-1,COLUMN('1-DATA'!N230)),ROUND(INDEX('1-DATA'!$1:$1048576,IF(OR($B232="STD. DEVIATION",$C$1=1),$A232,$A232+1),COLUMN('1-DATA'!N230)),IF($B232="STD. DEVIATION",2,$F$1))))</f>
        <v/>
      </c>
      <c r="P232" s="1" t="str">
        <f>IF(OR($B232="",P$7=""),"",IF($B232="MEANS",INDEX('1-DATA'!$1:$1048576,$A231-1,COLUMN('1-DATA'!O230)),ROUND(INDEX('1-DATA'!$1:$1048576,IF(OR($B232="STD. DEVIATION",$C$1=1),$A232,$A232+1),COLUMN('1-DATA'!O230)),IF($B232="STD. DEVIATION",2,$F$1))))</f>
        <v/>
      </c>
      <c r="Q232" s="1" t="str">
        <f>IF(OR($B232="",Q$7=""),"",IF($B232="MEANS",INDEX('1-DATA'!$1:$1048576,$A231-1,COLUMN('1-DATA'!P230)),ROUND(INDEX('1-DATA'!$1:$1048576,IF(OR($B232="STD. DEVIATION",$C$1=1),$A232,$A232+1),COLUMN('1-DATA'!P230)),IF($B232="STD. DEVIATION",2,$F$1))))</f>
        <v/>
      </c>
      <c r="R232" s="1" t="str">
        <f>IF(OR($B232="",R$7=""),"",IF($B232="MEANS",INDEX('1-DATA'!$1:$1048576,$A231-1,COLUMN('1-DATA'!Q230)),ROUND(INDEX('1-DATA'!$1:$1048576,IF(OR($B232="STD. DEVIATION",$C$1=1),$A232,$A232+1),COLUMN('1-DATA'!Q230)),IF($B232="STD. DEVIATION",2,$F$1))))</f>
        <v/>
      </c>
      <c r="S232" s="1" t="str">
        <f>IF(OR($B232="",S$7=""),"",IF($B232="MEANS",INDEX('1-DATA'!$1:$1048576,$A231-1,COLUMN('1-DATA'!R230)),ROUND(INDEX('1-DATA'!$1:$1048576,IF(OR($B232="STD. DEVIATION",$C$1=1),$A232,$A232+1),COLUMN('1-DATA'!R230)),IF($B232="STD. DEVIATION",2,$F$1))))</f>
        <v/>
      </c>
      <c r="T232" s="1" t="str">
        <f>IF(OR($B232="",T$7=""),"",IF($B232="MEANS",INDEX('1-DATA'!$1:$1048576,$A231-1,COLUMN('1-DATA'!S230)),ROUND(INDEX('1-DATA'!$1:$1048576,IF(OR($B232="STD. DEVIATION",$C$1=1),$A232,$A232+1),COLUMN('1-DATA'!S230)),IF($B232="STD. DEVIATION",2,$F$1))))</f>
        <v/>
      </c>
      <c r="U232" s="1" t="str">
        <f>IF(OR($B232="",U$7=""),"",IF($B232="MEANS",INDEX('1-DATA'!$1:$1048576,$A231-1,COLUMN('1-DATA'!T230)),ROUND(INDEX('1-DATA'!$1:$1048576,IF(OR($B232="STD. DEVIATION",$C$1=1),$A232,$A232+1),COLUMN('1-DATA'!T230)),IF($B232="STD. DEVIATION",2,$F$1))))</f>
        <v/>
      </c>
      <c r="V232" s="1" t="str">
        <f>IF(OR($B232="",V$7=""),"",IF($B232="MEANS",INDEX('1-DATA'!$1:$1048576,$A231-1,COLUMN('1-DATA'!U230)),ROUND(INDEX('1-DATA'!$1:$1048576,IF(OR($B232="STD. DEVIATION",$C$1=1),$A232,$A232+1),COLUMN('1-DATA'!U230)),IF($B232="STD. DEVIATION",2,$F$1))))</f>
        <v/>
      </c>
      <c r="W232" s="1" t="str">
        <f>IF(OR($B232="",W$7=""),"",IF($B232="MEANS",INDEX('1-DATA'!$1:$1048576,$A231-1,COLUMN('1-DATA'!V230)),ROUND(INDEX('1-DATA'!$1:$1048576,IF(OR($B232="STD. DEVIATION",$C$1=1),$A232,$A232+1),COLUMN('1-DATA'!V230)),IF($B232="STD. DEVIATION",2,$F$1))))</f>
        <v/>
      </c>
      <c r="X232" s="1" t="str">
        <f>IF(OR($B232="",X$7=""),"",IF($B232="MEANS",INDEX('1-DATA'!$1:$1048576,$A231-1,COLUMN('1-DATA'!W230)),ROUND(INDEX('1-DATA'!$1:$1048576,IF(OR($B232="STD. DEVIATION",$C$1=1),$A232,$A232+1),COLUMN('1-DATA'!W230)),IF($B232="STD. DEVIATION",2,$F$1))))</f>
        <v/>
      </c>
      <c r="Y232" s="1" t="str">
        <f>IF(OR($B232="",Y$7=""),"",IF($B232="MEANS",INDEX('1-DATA'!$1:$1048576,$A231-1,COLUMN('1-DATA'!X230)),ROUND(INDEX('1-DATA'!$1:$1048576,IF(OR($B232="STD. DEVIATION",$C$1=1),$A232,$A232+1),COLUMN('1-DATA'!X230)),IF($B232="STD. DEVIATION",2,$F$1))))</f>
        <v/>
      </c>
      <c r="Z232" s="1" t="str">
        <f>IF(OR($B232="",Z$7=""),"",IF($B232="MEANS",INDEX('1-DATA'!$1:$1048576,$A231-1,COLUMN('1-DATA'!Y230)),ROUND(INDEX('1-DATA'!$1:$1048576,IF(OR($B232="STD. DEVIATION",$C$1=1),$A232,$A232+1),COLUMN('1-DATA'!Y230)),IF($B232="STD. DEVIATION",2,$F$1))))</f>
        <v/>
      </c>
      <c r="AA232" s="1" t="str">
        <f>IF(OR($B232="",AA$7=""),"",IF($B232="MEANS",INDEX('1-DATA'!$1:$1048576,$A231-1,COLUMN('1-DATA'!Z230)),ROUND(INDEX('1-DATA'!$1:$1048576,IF(OR($B232="STD. DEVIATION",$C$1=1),$A232,$A232+1),COLUMN('1-DATA'!Z230)),IF($B232="STD. DEVIATION",2,$F$1))))</f>
        <v/>
      </c>
      <c r="AB232" s="1" t="str">
        <f>IF(OR($B232="",AB$7=""),"",IF($B232="MEANS",INDEX('1-DATA'!$1:$1048576,$A231-1,COLUMN('1-DATA'!AA230)),ROUND(INDEX('1-DATA'!$1:$1048576,IF(OR($B232="STD. DEVIATION",$C$1=1),$A232,$A232+1),COLUMN('1-DATA'!AA230)),IF($B232="STD. DEVIATION",2,$F$1))))</f>
        <v/>
      </c>
      <c r="AC232" s="1" t="str">
        <f>IF(OR($B232="",AC$7=""),"",IF($B232="MEANS",INDEX('1-DATA'!$1:$1048576,$A231-1,COLUMN('1-DATA'!AB230)),ROUND(INDEX('1-DATA'!$1:$1048576,IF(OR($B232="STD. DEVIATION",$C$1=1),$A232,$A232+1),COLUMN('1-DATA'!AB230)),IF($B232="STD. DEVIATION",2,$F$1))))</f>
        <v/>
      </c>
      <c r="AD232" s="1" t="str">
        <f>IF(OR($B232="",AD$7=""),"",IF($B232="MEANS",INDEX('1-DATA'!$1:$1048576,$A231-1,COLUMN('1-DATA'!AC230)),ROUND(INDEX('1-DATA'!$1:$1048576,IF(OR($B232="STD. DEVIATION",$C$1=1),$A232,$A232+1),COLUMN('1-DATA'!AC230)),IF($B232="STD. DEVIATION",2,$F$1))))</f>
        <v/>
      </c>
      <c r="AE232" s="1" t="str">
        <f>IF(OR($B232="",AE$7=""),"",IF($B232="MEANS",INDEX('1-DATA'!$1:$1048576,$A231-1,COLUMN('1-DATA'!AD230)),ROUND(INDEX('1-DATA'!$1:$1048576,IF(OR($B232="STD. DEVIATION",$C$1=1),$A232,$A232+1),COLUMN('1-DATA'!AD230)),IF($B232="STD. DEVIATION",2,$F$1))))</f>
        <v/>
      </c>
      <c r="AF232" s="1" t="str">
        <f>IF(OR($B232="",AF$7=""),"",IF($B232="MEANS",INDEX('1-DATA'!$1:$1048576,$A231-1,COLUMN('1-DATA'!AE230)),ROUND(INDEX('1-DATA'!$1:$1048576,IF(OR($B232="STD. DEVIATION",$C$1=1),$A232,$A232+1),COLUMN('1-DATA'!AE230)),IF($B232="STD. DEVIATION",2,$F$1))))</f>
        <v/>
      </c>
      <c r="AG232" s="1" t="str">
        <f>IF(OR($B232="",AG$7=""),"",IF($B232="MEANS",INDEX('1-DATA'!$1:$1048576,$A231-1,COLUMN('1-DATA'!AF230)),ROUND(INDEX('1-DATA'!$1:$1048576,IF(OR($B232="STD. DEVIATION",$C$1=1),$A232,$A232+1),COLUMN('1-DATA'!AF230)),IF($B232="STD. DEVIATION",2,$F$1))))</f>
        <v/>
      </c>
      <c r="AH232" s="1" t="str">
        <f>IF(OR($B232="",AH$7=""),"",IF($B232="MEANS",INDEX('1-DATA'!$1:$1048576,$A231-1,COLUMN('1-DATA'!AG230)),ROUND(INDEX('1-DATA'!$1:$1048576,IF(OR($B232="STD. DEVIATION",$C$1=1),$A232,$A232+1),COLUMN('1-DATA'!AG230)),IF($B232="STD. DEVIATION",2,$F$1))))</f>
        <v/>
      </c>
      <c r="AI232" s="1" t="str">
        <f>IF(OR($B232="",AI$7=""),"",IF($B232="MEANS",INDEX('1-DATA'!$1:$1048576,$A231-1,COLUMN('1-DATA'!AH230)),ROUND(INDEX('1-DATA'!$1:$1048576,IF(OR($B232="STD. DEVIATION",$C$1=1),$A232,$A232+1),COLUMN('1-DATA'!AH230)),IF($B232="STD. DEVIATION",2,$F$1))))</f>
        <v/>
      </c>
      <c r="AJ232" s="1" t="str">
        <f>IF(OR($B232="",AJ$7=""),"",IF($B232="MEANS",INDEX('1-DATA'!$1:$1048576,$A231-1,COLUMN('1-DATA'!AI230)),ROUND(INDEX('1-DATA'!$1:$1048576,IF(OR($B232="STD. DEVIATION",$C$1=1),$A232,$A232+1),COLUMN('1-DATA'!AI230)),IF($B232="STD. DEVIATION",2,$F$1))))</f>
        <v/>
      </c>
      <c r="AK232" s="1" t="str">
        <f>IF(OR($B232="",AK$7=""),"",IF($B232="MEANS",INDEX('1-DATA'!$1:$1048576,$A231-1,COLUMN('1-DATA'!AJ230)),ROUND(INDEX('1-DATA'!$1:$1048576,IF(OR($B232="STD. DEVIATION",$C$1=1),$A232,$A232+1),COLUMN('1-DATA'!AJ230)),IF($B232="STD. DEVIATION",2,$F$1))))</f>
        <v/>
      </c>
      <c r="AL232" s="1" t="str">
        <f>IF(OR($B232="",AL$7=""),"",IF($B232="MEANS",INDEX('1-DATA'!$1:$1048576,$A231-1,COLUMN('1-DATA'!AK230)),ROUND(INDEX('1-DATA'!$1:$1048576,IF(OR($B232="STD. DEVIATION",$C$1=1),$A232,$A232+1),COLUMN('1-DATA'!AK230)),IF($B232="STD. DEVIATION",2,$F$1))))</f>
        <v/>
      </c>
      <c r="AM232" s="1" t="str">
        <f>IF(OR($B232="",AM$7=""),"",IF($B232="MEANS",INDEX('1-DATA'!$1:$1048576,$A231-1,COLUMN('1-DATA'!AL230)),ROUND(INDEX('1-DATA'!$1:$1048576,IF(OR($B232="STD. DEVIATION",$C$1=1),$A232,$A232+1),COLUMN('1-DATA'!AL230)),IF($B232="STD. DEVIATION",2,$F$1))))</f>
        <v/>
      </c>
      <c r="AN232" s="1" t="str">
        <f>IF(OR($B232="",AN$7=""),"",IF($B232="MEANS",INDEX('1-DATA'!$1:$1048576,$A231-1,COLUMN('1-DATA'!AM230)),ROUND(INDEX('1-DATA'!$1:$1048576,IF(OR($B232="STD. DEVIATION",$C$1=1),$A232,$A232+1),COLUMN('1-DATA'!AM230)),IF($B232="STD. DEVIATION",2,$F$1))))</f>
        <v/>
      </c>
      <c r="AO232" s="1" t="str">
        <f>IF(OR($B232="",AO$7=""),"",IF($B232="MEANS",INDEX('1-DATA'!$1:$1048576,$A231-1,COLUMN('1-DATA'!AN230)),ROUND(INDEX('1-DATA'!$1:$1048576,IF(OR($B232="STD. DEVIATION",$C$1=1),$A232,$A232+1),COLUMN('1-DATA'!AN230)),IF($B232="STD. DEVIATION",2,$F$1))))</f>
        <v/>
      </c>
      <c r="AP232" s="1" t="str">
        <f>IF(OR($B232="",AP$7=""),"",IF($B232="MEANS",INDEX('1-DATA'!$1:$1048576,$A231-1,COLUMN('1-DATA'!AO230)),ROUND(INDEX('1-DATA'!$1:$1048576,IF(OR($B232="STD. DEVIATION",$C$1=1),$A232,$A232+1),COLUMN('1-DATA'!AO230)),IF($B232="STD. DEVIATION",2,$F$1))))</f>
        <v/>
      </c>
      <c r="AQ232" s="1" t="str">
        <f>IF(OR($B232="",AQ$7=""),"",IF($B232="MEANS",INDEX('1-DATA'!$1:$1048576,$A231-1,COLUMN('1-DATA'!AP230)),ROUND(INDEX('1-DATA'!$1:$1048576,IF(OR($B232="STD. DEVIATION",$C$1=1),$A232,$A232+1),COLUMN('1-DATA'!AP230)),IF($B232="STD. DEVIATION",2,$F$1))))</f>
        <v/>
      </c>
      <c r="AR232" s="1" t="str">
        <f>IF(OR($B232="",AR$7=""),"",IF($B232="MEANS",INDEX('1-DATA'!$1:$1048576,$A231-1,COLUMN('1-DATA'!AQ230)),ROUND(INDEX('1-DATA'!$1:$1048576,IF(OR($B232="STD. DEVIATION",$C$1=1),$A232,$A232+1),COLUMN('1-DATA'!AQ230)),IF($B232="STD. DEVIATION",2,$F$1))))</f>
        <v/>
      </c>
      <c r="AS232" s="1" t="str">
        <f>IF(OR($B232="",AS$7=""),"",IF($B232="MEANS",INDEX('1-DATA'!$1:$1048576,$A231-1,COLUMN('1-DATA'!AR230)),ROUND(INDEX('1-DATA'!$1:$1048576,IF(OR($B232="STD. DEVIATION",$C$1=1),$A232,$A232+1),COLUMN('1-DATA'!AR230)),IF($B232="STD. DEVIATION",2,$F$1))))</f>
        <v/>
      </c>
      <c r="AT232" s="1" t="str">
        <f>IF(OR($B232="",AT$7=""),"",IF($B232="MEANS",INDEX('1-DATA'!$1:$1048576,$A231-1,COLUMN('1-DATA'!AS230)),ROUND(INDEX('1-DATA'!$1:$1048576,IF(OR($B232="STD. DEVIATION",$C$1=1),$A232,$A232+1),COLUMN('1-DATA'!AS230)),IF($B232="STD. DEVIATION",2,$F$1))))</f>
        <v/>
      </c>
      <c r="AU232" s="1" t="str">
        <f>IF(OR($B232="",AU$7=""),"",IF($B232="MEANS",INDEX('1-DATA'!$1:$1048576,$A231-1,COLUMN('1-DATA'!AT230)),ROUND(INDEX('1-DATA'!$1:$1048576,IF(OR($B232="STD. DEVIATION",$C$1=1),$A232,$A232+1),COLUMN('1-DATA'!AT230)),IF($B232="STD. DEVIATION",2,$F$1))))</f>
        <v/>
      </c>
      <c r="AV232" s="1" t="str">
        <f>IF(OR($B232="",AV$7=""),"",IF($B232="MEANS",INDEX('1-DATA'!$1:$1048576,$A231-1,COLUMN('1-DATA'!AU230)),ROUND(INDEX('1-DATA'!$1:$1048576,IF(OR($B232="STD. DEVIATION",$C$1=1),$A232,$A232+1),COLUMN('1-DATA'!AU230)),IF($B232="STD. DEVIATION",2,$F$1))))</f>
        <v/>
      </c>
      <c r="AW232" s="1" t="str">
        <f>IF(OR($B232="",AW$7=""),"",IF($B232="MEANS",INDEX('1-DATA'!$1:$1048576,$A231-1,COLUMN('1-DATA'!AV230)),ROUND(INDEX('1-DATA'!$1:$1048576,IF(OR($B232="STD. DEVIATION",$C$1=1),$A232,$A232+1),COLUMN('1-DATA'!AV230)),IF($B232="STD. DEVIATION",2,$F$1))))</f>
        <v/>
      </c>
      <c r="AX232" s="1" t="str">
        <f>IF(OR($B232="",AX$7=""),"",IF($B232="MEANS",INDEX('1-DATA'!$1:$1048576,$A231-1,COLUMN('1-DATA'!AW230)),ROUND(INDEX('1-DATA'!$1:$1048576,IF(OR($B232="STD. DEVIATION",$C$1=1),$A232,$A232+1),COLUMN('1-DATA'!AW230)),IF($B232="STD. DEVIATION",2,$F$1))))</f>
        <v/>
      </c>
      <c r="AY232" s="1" t="str">
        <f>IF(OR($B232="",AY$7=""),"",IF($B232="MEANS",INDEX('1-DATA'!$1:$1048576,$A231-1,COLUMN('1-DATA'!AX230)),ROUND(INDEX('1-DATA'!$1:$1048576,IF(OR($B232="STD. DEVIATION",$C$1=1),$A232,$A232+1),COLUMN('1-DATA'!AX230)),IF($B232="STD. DEVIATION",2,$F$1))))</f>
        <v/>
      </c>
      <c r="AZ232" s="1" t="str">
        <f>IF(OR($B232="",AZ$7=""),"",IF($B232="MEANS",INDEX('1-DATA'!$1:$1048576,$A231-1,COLUMN('1-DATA'!AY230)),ROUND(INDEX('1-DATA'!$1:$1048576,IF(OR($B232="STD. DEVIATION",$C$1=1),$A232,$A232+1),COLUMN('1-DATA'!AY230)),IF($B232="STD. DEVIATION",2,$F$1))))</f>
        <v/>
      </c>
    </row>
    <row r="233" spans="1:52" x14ac:dyDescent="0.25">
      <c r="A233" s="11">
        <f t="shared" si="4"/>
        <v>685</v>
      </c>
      <c r="B233" s="1" t="str">
        <f>IF(B232="STD. DEVIATION",INDEX('1-DATA'!$1:$1048576,$A232-1,1),IF(INDEX('1-DATA'!$1:$1048576,$A233,1)&lt;&gt;"",INDEX('1-DATA'!$1:$1048576,$A233,1),""))</f>
        <v/>
      </c>
      <c r="C233" s="1" t="str">
        <f>IF(OR($B233="",C$7=""),"",IF($B233="MEANS",INDEX('1-DATA'!$1:$1048576,$A232-1,COLUMN('1-DATA'!B231)),ROUND(INDEX('1-DATA'!$1:$1048576,IF(OR($B233="STD. DEVIATION",$C$1=1),$A233,$A233+1),COLUMN('1-DATA'!B231)),IF($B233="STD. DEVIATION",2,$F$1))))</f>
        <v/>
      </c>
      <c r="D233" s="1" t="str">
        <f>IF(OR($B233="",D$7=""),"",IF($B233="MEANS",INDEX('1-DATA'!$1:$1048576,$A232-1,COLUMN('1-DATA'!C231)),ROUND(INDEX('1-DATA'!$1:$1048576,IF(OR($B233="STD. DEVIATION",$C$1=1),$A233,$A233+1),COLUMN('1-DATA'!C231)),IF($B233="STD. DEVIATION",2,$F$1))))</f>
        <v/>
      </c>
      <c r="E233" s="1" t="str">
        <f>IF(OR($B233="",E$7=""),"",IF($B233="MEANS",INDEX('1-DATA'!$1:$1048576,$A232-1,COLUMN('1-DATA'!D231)),ROUND(INDEX('1-DATA'!$1:$1048576,IF(OR($B233="STD. DEVIATION",$C$1=1),$A233,$A233+1),COLUMN('1-DATA'!D231)),IF($B233="STD. DEVIATION",2,$F$1))))</f>
        <v/>
      </c>
      <c r="F233" s="1" t="str">
        <f>IF(OR($B233="",F$7=""),"",IF($B233="MEANS",INDEX('1-DATA'!$1:$1048576,$A232-1,COLUMN('1-DATA'!E231)),ROUND(INDEX('1-DATA'!$1:$1048576,IF(OR($B233="STD. DEVIATION",$C$1=1),$A233,$A233+1),COLUMN('1-DATA'!E231)),IF($B233="STD. DEVIATION",2,$F$1))))</f>
        <v/>
      </c>
      <c r="G233" s="1" t="str">
        <f>IF(OR($B233="",G$7=""),"",IF($B233="MEANS",INDEX('1-DATA'!$1:$1048576,$A232-1,COLUMN('1-DATA'!F231)),ROUND(INDEX('1-DATA'!$1:$1048576,IF(OR($B233="STD. DEVIATION",$C$1=1),$A233,$A233+1),COLUMN('1-DATA'!F231)),IF($B233="STD. DEVIATION",2,$F$1))))</f>
        <v/>
      </c>
      <c r="H233" s="1" t="str">
        <f>IF(OR($B233="",H$7=""),"",IF($B233="MEANS",INDEX('1-DATA'!$1:$1048576,$A232-1,COLUMN('1-DATA'!G231)),ROUND(INDEX('1-DATA'!$1:$1048576,IF(OR($B233="STD. DEVIATION",$C$1=1),$A233,$A233+1),COLUMN('1-DATA'!G231)),IF($B233="STD. DEVIATION",2,$F$1))))</f>
        <v/>
      </c>
      <c r="I233" s="1" t="str">
        <f>IF(OR($B233="",I$7=""),"",IF($B233="MEANS",INDEX('1-DATA'!$1:$1048576,$A232-1,COLUMN('1-DATA'!H231)),ROUND(INDEX('1-DATA'!$1:$1048576,IF(OR($B233="STD. DEVIATION",$C$1=1),$A233,$A233+1),COLUMN('1-DATA'!H231)),IF($B233="STD. DEVIATION",2,$F$1))))</f>
        <v/>
      </c>
      <c r="J233" s="1" t="str">
        <f>IF(OR($B233="",J$7=""),"",IF($B233="MEANS",INDEX('1-DATA'!$1:$1048576,$A232-1,COLUMN('1-DATA'!I231)),ROUND(INDEX('1-DATA'!$1:$1048576,IF(OR($B233="STD. DEVIATION",$C$1=1),$A233,$A233+1),COLUMN('1-DATA'!I231)),IF($B233="STD. DEVIATION",2,$F$1))))</f>
        <v/>
      </c>
      <c r="K233" s="1" t="str">
        <f>IF(OR($B233="",K$7=""),"",IF($B233="MEANS",INDEX('1-DATA'!$1:$1048576,$A232-1,COLUMN('1-DATA'!J231)),ROUND(INDEX('1-DATA'!$1:$1048576,IF(OR($B233="STD. DEVIATION",$C$1=1),$A233,$A233+1),COLUMN('1-DATA'!J231)),IF($B233="STD. DEVIATION",2,$F$1))))</f>
        <v/>
      </c>
      <c r="L233" s="1" t="str">
        <f>IF(OR($B233="",L$7=""),"",IF($B233="MEANS",INDEX('1-DATA'!$1:$1048576,$A232-1,COLUMN('1-DATA'!K231)),ROUND(INDEX('1-DATA'!$1:$1048576,IF(OR($B233="STD. DEVIATION",$C$1=1),$A233,$A233+1),COLUMN('1-DATA'!K231)),IF($B233="STD. DEVIATION",2,$F$1))))</f>
        <v/>
      </c>
      <c r="M233" s="1" t="str">
        <f>IF(OR($B233="",M$7=""),"",IF($B233="MEANS",INDEX('1-DATA'!$1:$1048576,$A232-1,COLUMN('1-DATA'!L231)),ROUND(INDEX('1-DATA'!$1:$1048576,IF(OR($B233="STD. DEVIATION",$C$1=1),$A233,$A233+1),COLUMN('1-DATA'!L231)),IF($B233="STD. DEVIATION",2,$F$1))))</f>
        <v/>
      </c>
      <c r="N233" s="1" t="str">
        <f>IF(OR($B233="",N$7=""),"",IF($B233="MEANS",INDEX('1-DATA'!$1:$1048576,$A232-1,COLUMN('1-DATA'!M231)),ROUND(INDEX('1-DATA'!$1:$1048576,IF(OR($B233="STD. DEVIATION",$C$1=1),$A233,$A233+1),COLUMN('1-DATA'!M231)),IF($B233="STD. DEVIATION",2,$F$1))))</f>
        <v/>
      </c>
      <c r="O233" s="1" t="str">
        <f>IF(OR($B233="",O$7=""),"",IF($B233="MEANS",INDEX('1-DATA'!$1:$1048576,$A232-1,COLUMN('1-DATA'!N231)),ROUND(INDEX('1-DATA'!$1:$1048576,IF(OR($B233="STD. DEVIATION",$C$1=1),$A233,$A233+1),COLUMN('1-DATA'!N231)),IF($B233="STD. DEVIATION",2,$F$1))))</f>
        <v/>
      </c>
      <c r="P233" s="1" t="str">
        <f>IF(OR($B233="",P$7=""),"",IF($B233="MEANS",INDEX('1-DATA'!$1:$1048576,$A232-1,COLUMN('1-DATA'!O231)),ROUND(INDEX('1-DATA'!$1:$1048576,IF(OR($B233="STD. DEVIATION",$C$1=1),$A233,$A233+1),COLUMN('1-DATA'!O231)),IF($B233="STD. DEVIATION",2,$F$1))))</f>
        <v/>
      </c>
      <c r="Q233" s="1" t="str">
        <f>IF(OR($B233="",Q$7=""),"",IF($B233="MEANS",INDEX('1-DATA'!$1:$1048576,$A232-1,COLUMN('1-DATA'!P231)),ROUND(INDEX('1-DATA'!$1:$1048576,IF(OR($B233="STD. DEVIATION",$C$1=1),$A233,$A233+1),COLUMN('1-DATA'!P231)),IF($B233="STD. DEVIATION",2,$F$1))))</f>
        <v/>
      </c>
      <c r="R233" s="1" t="str">
        <f>IF(OR($B233="",R$7=""),"",IF($B233="MEANS",INDEX('1-DATA'!$1:$1048576,$A232-1,COLUMN('1-DATA'!Q231)),ROUND(INDEX('1-DATA'!$1:$1048576,IF(OR($B233="STD. DEVIATION",$C$1=1),$A233,$A233+1),COLUMN('1-DATA'!Q231)),IF($B233="STD. DEVIATION",2,$F$1))))</f>
        <v/>
      </c>
      <c r="S233" s="1" t="str">
        <f>IF(OR($B233="",S$7=""),"",IF($B233="MEANS",INDEX('1-DATA'!$1:$1048576,$A232-1,COLUMN('1-DATA'!R231)),ROUND(INDEX('1-DATA'!$1:$1048576,IF(OR($B233="STD. DEVIATION",$C$1=1),$A233,$A233+1),COLUMN('1-DATA'!R231)),IF($B233="STD. DEVIATION",2,$F$1))))</f>
        <v/>
      </c>
      <c r="T233" s="1" t="str">
        <f>IF(OR($B233="",T$7=""),"",IF($B233="MEANS",INDEX('1-DATA'!$1:$1048576,$A232-1,COLUMN('1-DATA'!S231)),ROUND(INDEX('1-DATA'!$1:$1048576,IF(OR($B233="STD. DEVIATION",$C$1=1),$A233,$A233+1),COLUMN('1-DATA'!S231)),IF($B233="STD. DEVIATION",2,$F$1))))</f>
        <v/>
      </c>
      <c r="U233" s="1" t="str">
        <f>IF(OR($B233="",U$7=""),"",IF($B233="MEANS",INDEX('1-DATA'!$1:$1048576,$A232-1,COLUMN('1-DATA'!T231)),ROUND(INDEX('1-DATA'!$1:$1048576,IF(OR($B233="STD. DEVIATION",$C$1=1),$A233,$A233+1),COLUMN('1-DATA'!T231)),IF($B233="STD. DEVIATION",2,$F$1))))</f>
        <v/>
      </c>
      <c r="V233" s="1" t="str">
        <f>IF(OR($B233="",V$7=""),"",IF($B233="MEANS",INDEX('1-DATA'!$1:$1048576,$A232-1,COLUMN('1-DATA'!U231)),ROUND(INDEX('1-DATA'!$1:$1048576,IF(OR($B233="STD. DEVIATION",$C$1=1),$A233,$A233+1),COLUMN('1-DATA'!U231)),IF($B233="STD. DEVIATION",2,$F$1))))</f>
        <v/>
      </c>
      <c r="W233" s="1" t="str">
        <f>IF(OR($B233="",W$7=""),"",IF($B233="MEANS",INDEX('1-DATA'!$1:$1048576,$A232-1,COLUMN('1-DATA'!V231)),ROUND(INDEX('1-DATA'!$1:$1048576,IF(OR($B233="STD. DEVIATION",$C$1=1),$A233,$A233+1),COLUMN('1-DATA'!V231)),IF($B233="STD. DEVIATION",2,$F$1))))</f>
        <v/>
      </c>
      <c r="X233" s="1" t="str">
        <f>IF(OR($B233="",X$7=""),"",IF($B233="MEANS",INDEX('1-DATA'!$1:$1048576,$A232-1,COLUMN('1-DATA'!W231)),ROUND(INDEX('1-DATA'!$1:$1048576,IF(OR($B233="STD. DEVIATION",$C$1=1),$A233,$A233+1),COLUMN('1-DATA'!W231)),IF($B233="STD. DEVIATION",2,$F$1))))</f>
        <v/>
      </c>
      <c r="Y233" s="1" t="str">
        <f>IF(OR($B233="",Y$7=""),"",IF($B233="MEANS",INDEX('1-DATA'!$1:$1048576,$A232-1,COLUMN('1-DATA'!X231)),ROUND(INDEX('1-DATA'!$1:$1048576,IF(OR($B233="STD. DEVIATION",$C$1=1),$A233,$A233+1),COLUMN('1-DATA'!X231)),IF($B233="STD. DEVIATION",2,$F$1))))</f>
        <v/>
      </c>
      <c r="Z233" s="1" t="str">
        <f>IF(OR($B233="",Z$7=""),"",IF($B233="MEANS",INDEX('1-DATA'!$1:$1048576,$A232-1,COLUMN('1-DATA'!Y231)),ROUND(INDEX('1-DATA'!$1:$1048576,IF(OR($B233="STD. DEVIATION",$C$1=1),$A233,$A233+1),COLUMN('1-DATA'!Y231)),IF($B233="STD. DEVIATION",2,$F$1))))</f>
        <v/>
      </c>
      <c r="AA233" s="1" t="str">
        <f>IF(OR($B233="",AA$7=""),"",IF($B233="MEANS",INDEX('1-DATA'!$1:$1048576,$A232-1,COLUMN('1-DATA'!Z231)),ROUND(INDEX('1-DATA'!$1:$1048576,IF(OR($B233="STD. DEVIATION",$C$1=1),$A233,$A233+1),COLUMN('1-DATA'!Z231)),IF($B233="STD. DEVIATION",2,$F$1))))</f>
        <v/>
      </c>
      <c r="AB233" s="1" t="str">
        <f>IF(OR($B233="",AB$7=""),"",IF($B233="MEANS",INDEX('1-DATA'!$1:$1048576,$A232-1,COLUMN('1-DATA'!AA231)),ROUND(INDEX('1-DATA'!$1:$1048576,IF(OR($B233="STD. DEVIATION",$C$1=1),$A233,$A233+1),COLUMN('1-DATA'!AA231)),IF($B233="STD. DEVIATION",2,$F$1))))</f>
        <v/>
      </c>
      <c r="AC233" s="1" t="str">
        <f>IF(OR($B233="",AC$7=""),"",IF($B233="MEANS",INDEX('1-DATA'!$1:$1048576,$A232-1,COLUMN('1-DATA'!AB231)),ROUND(INDEX('1-DATA'!$1:$1048576,IF(OR($B233="STD. DEVIATION",$C$1=1),$A233,$A233+1),COLUMN('1-DATA'!AB231)),IF($B233="STD. DEVIATION",2,$F$1))))</f>
        <v/>
      </c>
      <c r="AD233" s="1" t="str">
        <f>IF(OR($B233="",AD$7=""),"",IF($B233="MEANS",INDEX('1-DATA'!$1:$1048576,$A232-1,COLUMN('1-DATA'!AC231)),ROUND(INDEX('1-DATA'!$1:$1048576,IF(OR($B233="STD. DEVIATION",$C$1=1),$A233,$A233+1),COLUMN('1-DATA'!AC231)),IF($B233="STD. DEVIATION",2,$F$1))))</f>
        <v/>
      </c>
      <c r="AE233" s="1" t="str">
        <f>IF(OR($B233="",AE$7=""),"",IF($B233="MEANS",INDEX('1-DATA'!$1:$1048576,$A232-1,COLUMN('1-DATA'!AD231)),ROUND(INDEX('1-DATA'!$1:$1048576,IF(OR($B233="STD. DEVIATION",$C$1=1),$A233,$A233+1),COLUMN('1-DATA'!AD231)),IF($B233="STD. DEVIATION",2,$F$1))))</f>
        <v/>
      </c>
      <c r="AF233" s="1" t="str">
        <f>IF(OR($B233="",AF$7=""),"",IF($B233="MEANS",INDEX('1-DATA'!$1:$1048576,$A232-1,COLUMN('1-DATA'!AE231)),ROUND(INDEX('1-DATA'!$1:$1048576,IF(OR($B233="STD. DEVIATION",$C$1=1),$A233,$A233+1),COLUMN('1-DATA'!AE231)),IF($B233="STD. DEVIATION",2,$F$1))))</f>
        <v/>
      </c>
      <c r="AG233" s="1" t="str">
        <f>IF(OR($B233="",AG$7=""),"",IF($B233="MEANS",INDEX('1-DATA'!$1:$1048576,$A232-1,COLUMN('1-DATA'!AF231)),ROUND(INDEX('1-DATA'!$1:$1048576,IF(OR($B233="STD. DEVIATION",$C$1=1),$A233,$A233+1),COLUMN('1-DATA'!AF231)),IF($B233="STD. DEVIATION",2,$F$1))))</f>
        <v/>
      </c>
      <c r="AH233" s="1" t="str">
        <f>IF(OR($B233="",AH$7=""),"",IF($B233="MEANS",INDEX('1-DATA'!$1:$1048576,$A232-1,COLUMN('1-DATA'!AG231)),ROUND(INDEX('1-DATA'!$1:$1048576,IF(OR($B233="STD. DEVIATION",$C$1=1),$A233,$A233+1),COLUMN('1-DATA'!AG231)),IF($B233="STD. DEVIATION",2,$F$1))))</f>
        <v/>
      </c>
      <c r="AI233" s="1" t="str">
        <f>IF(OR($B233="",AI$7=""),"",IF($B233="MEANS",INDEX('1-DATA'!$1:$1048576,$A232-1,COLUMN('1-DATA'!AH231)),ROUND(INDEX('1-DATA'!$1:$1048576,IF(OR($B233="STD. DEVIATION",$C$1=1),$A233,$A233+1),COLUMN('1-DATA'!AH231)),IF($B233="STD. DEVIATION",2,$F$1))))</f>
        <v/>
      </c>
      <c r="AJ233" s="1" t="str">
        <f>IF(OR($B233="",AJ$7=""),"",IF($B233="MEANS",INDEX('1-DATA'!$1:$1048576,$A232-1,COLUMN('1-DATA'!AI231)),ROUND(INDEX('1-DATA'!$1:$1048576,IF(OR($B233="STD. DEVIATION",$C$1=1),$A233,$A233+1),COLUMN('1-DATA'!AI231)),IF($B233="STD. DEVIATION",2,$F$1))))</f>
        <v/>
      </c>
      <c r="AK233" s="1" t="str">
        <f>IF(OR($B233="",AK$7=""),"",IF($B233="MEANS",INDEX('1-DATA'!$1:$1048576,$A232-1,COLUMN('1-DATA'!AJ231)),ROUND(INDEX('1-DATA'!$1:$1048576,IF(OR($B233="STD. DEVIATION",$C$1=1),$A233,$A233+1),COLUMN('1-DATA'!AJ231)),IF($B233="STD. DEVIATION",2,$F$1))))</f>
        <v/>
      </c>
      <c r="AL233" s="1" t="str">
        <f>IF(OR($B233="",AL$7=""),"",IF($B233="MEANS",INDEX('1-DATA'!$1:$1048576,$A232-1,COLUMN('1-DATA'!AK231)),ROUND(INDEX('1-DATA'!$1:$1048576,IF(OR($B233="STD. DEVIATION",$C$1=1),$A233,$A233+1),COLUMN('1-DATA'!AK231)),IF($B233="STD. DEVIATION",2,$F$1))))</f>
        <v/>
      </c>
      <c r="AM233" s="1" t="str">
        <f>IF(OR($B233="",AM$7=""),"",IF($B233="MEANS",INDEX('1-DATA'!$1:$1048576,$A232-1,COLUMN('1-DATA'!AL231)),ROUND(INDEX('1-DATA'!$1:$1048576,IF(OR($B233="STD. DEVIATION",$C$1=1),$A233,$A233+1),COLUMN('1-DATA'!AL231)),IF($B233="STD. DEVIATION",2,$F$1))))</f>
        <v/>
      </c>
      <c r="AN233" s="1" t="str">
        <f>IF(OR($B233="",AN$7=""),"",IF($B233="MEANS",INDEX('1-DATA'!$1:$1048576,$A232-1,COLUMN('1-DATA'!AM231)),ROUND(INDEX('1-DATA'!$1:$1048576,IF(OR($B233="STD. DEVIATION",$C$1=1),$A233,$A233+1),COLUMN('1-DATA'!AM231)),IF($B233="STD. DEVIATION",2,$F$1))))</f>
        <v/>
      </c>
      <c r="AO233" s="1" t="str">
        <f>IF(OR($B233="",AO$7=""),"",IF($B233="MEANS",INDEX('1-DATA'!$1:$1048576,$A232-1,COLUMN('1-DATA'!AN231)),ROUND(INDEX('1-DATA'!$1:$1048576,IF(OR($B233="STD. DEVIATION",$C$1=1),$A233,$A233+1),COLUMN('1-DATA'!AN231)),IF($B233="STD. DEVIATION",2,$F$1))))</f>
        <v/>
      </c>
      <c r="AP233" s="1" t="str">
        <f>IF(OR($B233="",AP$7=""),"",IF($B233="MEANS",INDEX('1-DATA'!$1:$1048576,$A232-1,COLUMN('1-DATA'!AO231)),ROUND(INDEX('1-DATA'!$1:$1048576,IF(OR($B233="STD. DEVIATION",$C$1=1),$A233,$A233+1),COLUMN('1-DATA'!AO231)),IF($B233="STD. DEVIATION",2,$F$1))))</f>
        <v/>
      </c>
      <c r="AQ233" s="1" t="str">
        <f>IF(OR($B233="",AQ$7=""),"",IF($B233="MEANS",INDEX('1-DATA'!$1:$1048576,$A232-1,COLUMN('1-DATA'!AP231)),ROUND(INDEX('1-DATA'!$1:$1048576,IF(OR($B233="STD. DEVIATION",$C$1=1),$A233,$A233+1),COLUMN('1-DATA'!AP231)),IF($B233="STD. DEVIATION",2,$F$1))))</f>
        <v/>
      </c>
      <c r="AR233" s="1" t="str">
        <f>IF(OR($B233="",AR$7=""),"",IF($B233="MEANS",INDEX('1-DATA'!$1:$1048576,$A232-1,COLUMN('1-DATA'!AQ231)),ROUND(INDEX('1-DATA'!$1:$1048576,IF(OR($B233="STD. DEVIATION",$C$1=1),$A233,$A233+1),COLUMN('1-DATA'!AQ231)),IF($B233="STD. DEVIATION",2,$F$1))))</f>
        <v/>
      </c>
      <c r="AS233" s="1" t="str">
        <f>IF(OR($B233="",AS$7=""),"",IF($B233="MEANS",INDEX('1-DATA'!$1:$1048576,$A232-1,COLUMN('1-DATA'!AR231)),ROUND(INDEX('1-DATA'!$1:$1048576,IF(OR($B233="STD. DEVIATION",$C$1=1),$A233,$A233+1),COLUMN('1-DATA'!AR231)),IF($B233="STD. DEVIATION",2,$F$1))))</f>
        <v/>
      </c>
      <c r="AT233" s="1" t="str">
        <f>IF(OR($B233="",AT$7=""),"",IF($B233="MEANS",INDEX('1-DATA'!$1:$1048576,$A232-1,COLUMN('1-DATA'!AS231)),ROUND(INDEX('1-DATA'!$1:$1048576,IF(OR($B233="STD. DEVIATION",$C$1=1),$A233,$A233+1),COLUMN('1-DATA'!AS231)),IF($B233="STD. DEVIATION",2,$F$1))))</f>
        <v/>
      </c>
      <c r="AU233" s="1" t="str">
        <f>IF(OR($B233="",AU$7=""),"",IF($B233="MEANS",INDEX('1-DATA'!$1:$1048576,$A232-1,COLUMN('1-DATA'!AT231)),ROUND(INDEX('1-DATA'!$1:$1048576,IF(OR($B233="STD. DEVIATION",$C$1=1),$A233,$A233+1),COLUMN('1-DATA'!AT231)),IF($B233="STD. DEVIATION",2,$F$1))))</f>
        <v/>
      </c>
      <c r="AV233" s="1" t="str">
        <f>IF(OR($B233="",AV$7=""),"",IF($B233="MEANS",INDEX('1-DATA'!$1:$1048576,$A232-1,COLUMN('1-DATA'!AU231)),ROUND(INDEX('1-DATA'!$1:$1048576,IF(OR($B233="STD. DEVIATION",$C$1=1),$A233,$A233+1),COLUMN('1-DATA'!AU231)),IF($B233="STD. DEVIATION",2,$F$1))))</f>
        <v/>
      </c>
      <c r="AW233" s="1" t="str">
        <f>IF(OR($B233="",AW$7=""),"",IF($B233="MEANS",INDEX('1-DATA'!$1:$1048576,$A232-1,COLUMN('1-DATA'!AV231)),ROUND(INDEX('1-DATA'!$1:$1048576,IF(OR($B233="STD. DEVIATION",$C$1=1),$A233,$A233+1),COLUMN('1-DATA'!AV231)),IF($B233="STD. DEVIATION",2,$F$1))))</f>
        <v/>
      </c>
      <c r="AX233" s="1" t="str">
        <f>IF(OR($B233="",AX$7=""),"",IF($B233="MEANS",INDEX('1-DATA'!$1:$1048576,$A232-1,COLUMN('1-DATA'!AW231)),ROUND(INDEX('1-DATA'!$1:$1048576,IF(OR($B233="STD. DEVIATION",$C$1=1),$A233,$A233+1),COLUMN('1-DATA'!AW231)),IF($B233="STD. DEVIATION",2,$F$1))))</f>
        <v/>
      </c>
      <c r="AY233" s="1" t="str">
        <f>IF(OR($B233="",AY$7=""),"",IF($B233="MEANS",INDEX('1-DATA'!$1:$1048576,$A232-1,COLUMN('1-DATA'!AX231)),ROUND(INDEX('1-DATA'!$1:$1048576,IF(OR($B233="STD. DEVIATION",$C$1=1),$A233,$A233+1),COLUMN('1-DATA'!AX231)),IF($B233="STD. DEVIATION",2,$F$1))))</f>
        <v/>
      </c>
      <c r="AZ233" s="1" t="str">
        <f>IF(OR($B233="",AZ$7=""),"",IF($B233="MEANS",INDEX('1-DATA'!$1:$1048576,$A232-1,COLUMN('1-DATA'!AY231)),ROUND(INDEX('1-DATA'!$1:$1048576,IF(OR($B233="STD. DEVIATION",$C$1=1),$A233,$A233+1),COLUMN('1-DATA'!AY231)),IF($B233="STD. DEVIATION",2,$F$1))))</f>
        <v/>
      </c>
    </row>
    <row r="234" spans="1:52" x14ac:dyDescent="0.25">
      <c r="A234" s="11">
        <f t="shared" si="4"/>
        <v>688</v>
      </c>
      <c r="B234" s="1" t="str">
        <f>IF(B233="STD. DEVIATION",INDEX('1-DATA'!$1:$1048576,$A233-1,1),IF(INDEX('1-DATA'!$1:$1048576,$A234,1)&lt;&gt;"",INDEX('1-DATA'!$1:$1048576,$A234,1),""))</f>
        <v/>
      </c>
      <c r="C234" s="1" t="str">
        <f>IF(OR($B234="",C$7=""),"",IF($B234="MEANS",INDEX('1-DATA'!$1:$1048576,$A233-1,COLUMN('1-DATA'!B232)),ROUND(INDEX('1-DATA'!$1:$1048576,IF(OR($B234="STD. DEVIATION",$C$1=1),$A234,$A234+1),COLUMN('1-DATA'!B232)),IF($B234="STD. DEVIATION",2,$F$1))))</f>
        <v/>
      </c>
      <c r="D234" s="1" t="str">
        <f>IF(OR($B234="",D$7=""),"",IF($B234="MEANS",INDEX('1-DATA'!$1:$1048576,$A233-1,COLUMN('1-DATA'!C232)),ROUND(INDEX('1-DATA'!$1:$1048576,IF(OR($B234="STD. DEVIATION",$C$1=1),$A234,$A234+1),COLUMN('1-DATA'!C232)),IF($B234="STD. DEVIATION",2,$F$1))))</f>
        <v/>
      </c>
      <c r="E234" s="1" t="str">
        <f>IF(OR($B234="",E$7=""),"",IF($B234="MEANS",INDEX('1-DATA'!$1:$1048576,$A233-1,COLUMN('1-DATA'!D232)),ROUND(INDEX('1-DATA'!$1:$1048576,IF(OR($B234="STD. DEVIATION",$C$1=1),$A234,$A234+1),COLUMN('1-DATA'!D232)),IF($B234="STD. DEVIATION",2,$F$1))))</f>
        <v/>
      </c>
      <c r="F234" s="1" t="str">
        <f>IF(OR($B234="",F$7=""),"",IF($B234="MEANS",INDEX('1-DATA'!$1:$1048576,$A233-1,COLUMN('1-DATA'!E232)),ROUND(INDEX('1-DATA'!$1:$1048576,IF(OR($B234="STD. DEVIATION",$C$1=1),$A234,$A234+1),COLUMN('1-DATA'!E232)),IF($B234="STD. DEVIATION",2,$F$1))))</f>
        <v/>
      </c>
      <c r="G234" s="1" t="str">
        <f>IF(OR($B234="",G$7=""),"",IF($B234="MEANS",INDEX('1-DATA'!$1:$1048576,$A233-1,COLUMN('1-DATA'!F232)),ROUND(INDEX('1-DATA'!$1:$1048576,IF(OR($B234="STD. DEVIATION",$C$1=1),$A234,$A234+1),COLUMN('1-DATA'!F232)),IF($B234="STD. DEVIATION",2,$F$1))))</f>
        <v/>
      </c>
      <c r="H234" s="1" t="str">
        <f>IF(OR($B234="",H$7=""),"",IF($B234="MEANS",INDEX('1-DATA'!$1:$1048576,$A233-1,COLUMN('1-DATA'!G232)),ROUND(INDEX('1-DATA'!$1:$1048576,IF(OR($B234="STD. DEVIATION",$C$1=1),$A234,$A234+1),COLUMN('1-DATA'!G232)),IF($B234="STD. DEVIATION",2,$F$1))))</f>
        <v/>
      </c>
      <c r="I234" s="1" t="str">
        <f>IF(OR($B234="",I$7=""),"",IF($B234="MEANS",INDEX('1-DATA'!$1:$1048576,$A233-1,COLUMN('1-DATA'!H232)),ROUND(INDEX('1-DATA'!$1:$1048576,IF(OR($B234="STD. DEVIATION",$C$1=1),$A234,$A234+1),COLUMN('1-DATA'!H232)),IF($B234="STD. DEVIATION",2,$F$1))))</f>
        <v/>
      </c>
      <c r="J234" s="1" t="str">
        <f>IF(OR($B234="",J$7=""),"",IF($B234="MEANS",INDEX('1-DATA'!$1:$1048576,$A233-1,COLUMN('1-DATA'!I232)),ROUND(INDEX('1-DATA'!$1:$1048576,IF(OR($B234="STD. DEVIATION",$C$1=1),$A234,$A234+1),COLUMN('1-DATA'!I232)),IF($B234="STD. DEVIATION",2,$F$1))))</f>
        <v/>
      </c>
      <c r="K234" s="1" t="str">
        <f>IF(OR($B234="",K$7=""),"",IF($B234="MEANS",INDEX('1-DATA'!$1:$1048576,$A233-1,COLUMN('1-DATA'!J232)),ROUND(INDEX('1-DATA'!$1:$1048576,IF(OR($B234="STD. DEVIATION",$C$1=1),$A234,$A234+1),COLUMN('1-DATA'!J232)),IF($B234="STD. DEVIATION",2,$F$1))))</f>
        <v/>
      </c>
      <c r="L234" s="1" t="str">
        <f>IF(OR($B234="",L$7=""),"",IF($B234="MEANS",INDEX('1-DATA'!$1:$1048576,$A233-1,COLUMN('1-DATA'!K232)),ROUND(INDEX('1-DATA'!$1:$1048576,IF(OR($B234="STD. DEVIATION",$C$1=1),$A234,$A234+1),COLUMN('1-DATA'!K232)),IF($B234="STD. DEVIATION",2,$F$1))))</f>
        <v/>
      </c>
      <c r="M234" s="1" t="str">
        <f>IF(OR($B234="",M$7=""),"",IF($B234="MEANS",INDEX('1-DATA'!$1:$1048576,$A233-1,COLUMN('1-DATA'!L232)),ROUND(INDEX('1-DATA'!$1:$1048576,IF(OR($B234="STD. DEVIATION",$C$1=1),$A234,$A234+1),COLUMN('1-DATA'!L232)),IF($B234="STD. DEVIATION",2,$F$1))))</f>
        <v/>
      </c>
      <c r="N234" s="1" t="str">
        <f>IF(OR($B234="",N$7=""),"",IF($B234="MEANS",INDEX('1-DATA'!$1:$1048576,$A233-1,COLUMN('1-DATA'!M232)),ROUND(INDEX('1-DATA'!$1:$1048576,IF(OR($B234="STD. DEVIATION",$C$1=1),$A234,$A234+1),COLUMN('1-DATA'!M232)),IF($B234="STD. DEVIATION",2,$F$1))))</f>
        <v/>
      </c>
      <c r="O234" s="1" t="str">
        <f>IF(OR($B234="",O$7=""),"",IF($B234="MEANS",INDEX('1-DATA'!$1:$1048576,$A233-1,COLUMN('1-DATA'!N232)),ROUND(INDEX('1-DATA'!$1:$1048576,IF(OR($B234="STD. DEVIATION",$C$1=1),$A234,$A234+1),COLUMN('1-DATA'!N232)),IF($B234="STD. DEVIATION",2,$F$1))))</f>
        <v/>
      </c>
      <c r="P234" s="1" t="str">
        <f>IF(OR($B234="",P$7=""),"",IF($B234="MEANS",INDEX('1-DATA'!$1:$1048576,$A233-1,COLUMN('1-DATA'!O232)),ROUND(INDEX('1-DATA'!$1:$1048576,IF(OR($B234="STD. DEVIATION",$C$1=1),$A234,$A234+1),COLUMN('1-DATA'!O232)),IF($B234="STD. DEVIATION",2,$F$1))))</f>
        <v/>
      </c>
      <c r="Q234" s="1" t="str">
        <f>IF(OR($B234="",Q$7=""),"",IF($B234="MEANS",INDEX('1-DATA'!$1:$1048576,$A233-1,COLUMN('1-DATA'!P232)),ROUND(INDEX('1-DATA'!$1:$1048576,IF(OR($B234="STD. DEVIATION",$C$1=1),$A234,$A234+1),COLUMN('1-DATA'!P232)),IF($B234="STD. DEVIATION",2,$F$1))))</f>
        <v/>
      </c>
      <c r="R234" s="1" t="str">
        <f>IF(OR($B234="",R$7=""),"",IF($B234="MEANS",INDEX('1-DATA'!$1:$1048576,$A233-1,COLUMN('1-DATA'!Q232)),ROUND(INDEX('1-DATA'!$1:$1048576,IF(OR($B234="STD. DEVIATION",$C$1=1),$A234,$A234+1),COLUMN('1-DATA'!Q232)),IF($B234="STD. DEVIATION",2,$F$1))))</f>
        <v/>
      </c>
      <c r="S234" s="1" t="str">
        <f>IF(OR($B234="",S$7=""),"",IF($B234="MEANS",INDEX('1-DATA'!$1:$1048576,$A233-1,COLUMN('1-DATA'!R232)),ROUND(INDEX('1-DATA'!$1:$1048576,IF(OR($B234="STD. DEVIATION",$C$1=1),$A234,$A234+1),COLUMN('1-DATA'!R232)),IF($B234="STD. DEVIATION",2,$F$1))))</f>
        <v/>
      </c>
      <c r="T234" s="1" t="str">
        <f>IF(OR($B234="",T$7=""),"",IF($B234="MEANS",INDEX('1-DATA'!$1:$1048576,$A233-1,COLUMN('1-DATA'!S232)),ROUND(INDEX('1-DATA'!$1:$1048576,IF(OR($B234="STD. DEVIATION",$C$1=1),$A234,$A234+1),COLUMN('1-DATA'!S232)),IF($B234="STD. DEVIATION",2,$F$1))))</f>
        <v/>
      </c>
      <c r="U234" s="1" t="str">
        <f>IF(OR($B234="",U$7=""),"",IF($B234="MEANS",INDEX('1-DATA'!$1:$1048576,$A233-1,COLUMN('1-DATA'!T232)),ROUND(INDEX('1-DATA'!$1:$1048576,IF(OR($B234="STD. DEVIATION",$C$1=1),$A234,$A234+1),COLUMN('1-DATA'!T232)),IF($B234="STD. DEVIATION",2,$F$1))))</f>
        <v/>
      </c>
      <c r="V234" s="1" t="str">
        <f>IF(OR($B234="",V$7=""),"",IF($B234="MEANS",INDEX('1-DATA'!$1:$1048576,$A233-1,COLUMN('1-DATA'!U232)),ROUND(INDEX('1-DATA'!$1:$1048576,IF(OR($B234="STD. DEVIATION",$C$1=1),$A234,$A234+1),COLUMN('1-DATA'!U232)),IF($B234="STD. DEVIATION",2,$F$1))))</f>
        <v/>
      </c>
      <c r="W234" s="1" t="str">
        <f>IF(OR($B234="",W$7=""),"",IF($B234="MEANS",INDEX('1-DATA'!$1:$1048576,$A233-1,COLUMN('1-DATA'!V232)),ROUND(INDEX('1-DATA'!$1:$1048576,IF(OR($B234="STD. DEVIATION",$C$1=1),$A234,$A234+1),COLUMN('1-DATA'!V232)),IF($B234="STD. DEVIATION",2,$F$1))))</f>
        <v/>
      </c>
      <c r="X234" s="1" t="str">
        <f>IF(OR($B234="",X$7=""),"",IF($B234="MEANS",INDEX('1-DATA'!$1:$1048576,$A233-1,COLUMN('1-DATA'!W232)),ROUND(INDEX('1-DATA'!$1:$1048576,IF(OR($B234="STD. DEVIATION",$C$1=1),$A234,$A234+1),COLUMN('1-DATA'!W232)),IF($B234="STD. DEVIATION",2,$F$1))))</f>
        <v/>
      </c>
      <c r="Y234" s="1" t="str">
        <f>IF(OR($B234="",Y$7=""),"",IF($B234="MEANS",INDEX('1-DATA'!$1:$1048576,$A233-1,COLUMN('1-DATA'!X232)),ROUND(INDEX('1-DATA'!$1:$1048576,IF(OR($B234="STD. DEVIATION",$C$1=1),$A234,$A234+1),COLUMN('1-DATA'!X232)),IF($B234="STD. DEVIATION",2,$F$1))))</f>
        <v/>
      </c>
      <c r="Z234" s="1" t="str">
        <f>IF(OR($B234="",Z$7=""),"",IF($B234="MEANS",INDEX('1-DATA'!$1:$1048576,$A233-1,COLUMN('1-DATA'!Y232)),ROUND(INDEX('1-DATA'!$1:$1048576,IF(OR($B234="STD. DEVIATION",$C$1=1),$A234,$A234+1),COLUMN('1-DATA'!Y232)),IF($B234="STD. DEVIATION",2,$F$1))))</f>
        <v/>
      </c>
      <c r="AA234" s="1" t="str">
        <f>IF(OR($B234="",AA$7=""),"",IF($B234="MEANS",INDEX('1-DATA'!$1:$1048576,$A233-1,COLUMN('1-DATA'!Z232)),ROUND(INDEX('1-DATA'!$1:$1048576,IF(OR($B234="STD. DEVIATION",$C$1=1),$A234,$A234+1),COLUMN('1-DATA'!Z232)),IF($B234="STD. DEVIATION",2,$F$1))))</f>
        <v/>
      </c>
      <c r="AB234" s="1" t="str">
        <f>IF(OR($B234="",AB$7=""),"",IF($B234="MEANS",INDEX('1-DATA'!$1:$1048576,$A233-1,COLUMN('1-DATA'!AA232)),ROUND(INDEX('1-DATA'!$1:$1048576,IF(OR($B234="STD. DEVIATION",$C$1=1),$A234,$A234+1),COLUMN('1-DATA'!AA232)),IF($B234="STD. DEVIATION",2,$F$1))))</f>
        <v/>
      </c>
      <c r="AC234" s="1" t="str">
        <f>IF(OR($B234="",AC$7=""),"",IF($B234="MEANS",INDEX('1-DATA'!$1:$1048576,$A233-1,COLUMN('1-DATA'!AB232)),ROUND(INDEX('1-DATA'!$1:$1048576,IF(OR($B234="STD. DEVIATION",$C$1=1),$A234,$A234+1),COLUMN('1-DATA'!AB232)),IF($B234="STD. DEVIATION",2,$F$1))))</f>
        <v/>
      </c>
      <c r="AD234" s="1" t="str">
        <f>IF(OR($B234="",AD$7=""),"",IF($B234="MEANS",INDEX('1-DATA'!$1:$1048576,$A233-1,COLUMN('1-DATA'!AC232)),ROUND(INDEX('1-DATA'!$1:$1048576,IF(OR($B234="STD. DEVIATION",$C$1=1),$A234,$A234+1),COLUMN('1-DATA'!AC232)),IF($B234="STD. DEVIATION",2,$F$1))))</f>
        <v/>
      </c>
      <c r="AE234" s="1" t="str">
        <f>IF(OR($B234="",AE$7=""),"",IF($B234="MEANS",INDEX('1-DATA'!$1:$1048576,$A233-1,COLUMN('1-DATA'!AD232)),ROUND(INDEX('1-DATA'!$1:$1048576,IF(OR($B234="STD. DEVIATION",$C$1=1),$A234,$A234+1),COLUMN('1-DATA'!AD232)),IF($B234="STD. DEVIATION",2,$F$1))))</f>
        <v/>
      </c>
      <c r="AF234" s="1" t="str">
        <f>IF(OR($B234="",AF$7=""),"",IF($B234="MEANS",INDEX('1-DATA'!$1:$1048576,$A233-1,COLUMN('1-DATA'!AE232)),ROUND(INDEX('1-DATA'!$1:$1048576,IF(OR($B234="STD. DEVIATION",$C$1=1),$A234,$A234+1),COLUMN('1-DATA'!AE232)),IF($B234="STD. DEVIATION",2,$F$1))))</f>
        <v/>
      </c>
      <c r="AG234" s="1" t="str">
        <f>IF(OR($B234="",AG$7=""),"",IF($B234="MEANS",INDEX('1-DATA'!$1:$1048576,$A233-1,COLUMN('1-DATA'!AF232)),ROUND(INDEX('1-DATA'!$1:$1048576,IF(OR($B234="STD. DEVIATION",$C$1=1),$A234,$A234+1),COLUMN('1-DATA'!AF232)),IF($B234="STD. DEVIATION",2,$F$1))))</f>
        <v/>
      </c>
      <c r="AH234" s="1" t="str">
        <f>IF(OR($B234="",AH$7=""),"",IF($B234="MEANS",INDEX('1-DATA'!$1:$1048576,$A233-1,COLUMN('1-DATA'!AG232)),ROUND(INDEX('1-DATA'!$1:$1048576,IF(OR($B234="STD. DEVIATION",$C$1=1),$A234,$A234+1),COLUMN('1-DATA'!AG232)),IF($B234="STD. DEVIATION",2,$F$1))))</f>
        <v/>
      </c>
      <c r="AI234" s="1" t="str">
        <f>IF(OR($B234="",AI$7=""),"",IF($B234="MEANS",INDEX('1-DATA'!$1:$1048576,$A233-1,COLUMN('1-DATA'!AH232)),ROUND(INDEX('1-DATA'!$1:$1048576,IF(OR($B234="STD. DEVIATION",$C$1=1),$A234,$A234+1),COLUMN('1-DATA'!AH232)),IF($B234="STD. DEVIATION",2,$F$1))))</f>
        <v/>
      </c>
      <c r="AJ234" s="1" t="str">
        <f>IF(OR($B234="",AJ$7=""),"",IF($B234="MEANS",INDEX('1-DATA'!$1:$1048576,$A233-1,COLUMN('1-DATA'!AI232)),ROUND(INDEX('1-DATA'!$1:$1048576,IF(OR($B234="STD. DEVIATION",$C$1=1),$A234,$A234+1),COLUMN('1-DATA'!AI232)),IF($B234="STD. DEVIATION",2,$F$1))))</f>
        <v/>
      </c>
      <c r="AK234" s="1" t="str">
        <f>IF(OR($B234="",AK$7=""),"",IF($B234="MEANS",INDEX('1-DATA'!$1:$1048576,$A233-1,COLUMN('1-DATA'!AJ232)),ROUND(INDEX('1-DATA'!$1:$1048576,IF(OR($B234="STD. DEVIATION",$C$1=1),$A234,$A234+1),COLUMN('1-DATA'!AJ232)),IF($B234="STD. DEVIATION",2,$F$1))))</f>
        <v/>
      </c>
      <c r="AL234" s="1" t="str">
        <f>IF(OR($B234="",AL$7=""),"",IF($B234="MEANS",INDEX('1-DATA'!$1:$1048576,$A233-1,COLUMN('1-DATA'!AK232)),ROUND(INDEX('1-DATA'!$1:$1048576,IF(OR($B234="STD. DEVIATION",$C$1=1),$A234,$A234+1),COLUMN('1-DATA'!AK232)),IF($B234="STD. DEVIATION",2,$F$1))))</f>
        <v/>
      </c>
      <c r="AM234" s="1" t="str">
        <f>IF(OR($B234="",AM$7=""),"",IF($B234="MEANS",INDEX('1-DATA'!$1:$1048576,$A233-1,COLUMN('1-DATA'!AL232)),ROUND(INDEX('1-DATA'!$1:$1048576,IF(OR($B234="STD. DEVIATION",$C$1=1),$A234,$A234+1),COLUMN('1-DATA'!AL232)),IF($B234="STD. DEVIATION",2,$F$1))))</f>
        <v/>
      </c>
      <c r="AN234" s="1" t="str">
        <f>IF(OR($B234="",AN$7=""),"",IF($B234="MEANS",INDEX('1-DATA'!$1:$1048576,$A233-1,COLUMN('1-DATA'!AM232)),ROUND(INDEX('1-DATA'!$1:$1048576,IF(OR($B234="STD. DEVIATION",$C$1=1),$A234,$A234+1),COLUMN('1-DATA'!AM232)),IF($B234="STD. DEVIATION",2,$F$1))))</f>
        <v/>
      </c>
      <c r="AO234" s="1" t="str">
        <f>IF(OR($B234="",AO$7=""),"",IF($B234="MEANS",INDEX('1-DATA'!$1:$1048576,$A233-1,COLUMN('1-DATA'!AN232)),ROUND(INDEX('1-DATA'!$1:$1048576,IF(OR($B234="STD. DEVIATION",$C$1=1),$A234,$A234+1),COLUMN('1-DATA'!AN232)),IF($B234="STD. DEVIATION",2,$F$1))))</f>
        <v/>
      </c>
      <c r="AP234" s="1" t="str">
        <f>IF(OR($B234="",AP$7=""),"",IF($B234="MEANS",INDEX('1-DATA'!$1:$1048576,$A233-1,COLUMN('1-DATA'!AO232)),ROUND(INDEX('1-DATA'!$1:$1048576,IF(OR($B234="STD. DEVIATION",$C$1=1),$A234,$A234+1),COLUMN('1-DATA'!AO232)),IF($B234="STD. DEVIATION",2,$F$1))))</f>
        <v/>
      </c>
      <c r="AQ234" s="1" t="str">
        <f>IF(OR($B234="",AQ$7=""),"",IF($B234="MEANS",INDEX('1-DATA'!$1:$1048576,$A233-1,COLUMN('1-DATA'!AP232)),ROUND(INDEX('1-DATA'!$1:$1048576,IF(OR($B234="STD. DEVIATION",$C$1=1),$A234,$A234+1),COLUMN('1-DATA'!AP232)),IF($B234="STD. DEVIATION",2,$F$1))))</f>
        <v/>
      </c>
      <c r="AR234" s="1" t="str">
        <f>IF(OR($B234="",AR$7=""),"",IF($B234="MEANS",INDEX('1-DATA'!$1:$1048576,$A233-1,COLUMN('1-DATA'!AQ232)),ROUND(INDEX('1-DATA'!$1:$1048576,IF(OR($B234="STD. DEVIATION",$C$1=1),$A234,$A234+1),COLUMN('1-DATA'!AQ232)),IF($B234="STD. DEVIATION",2,$F$1))))</f>
        <v/>
      </c>
      <c r="AS234" s="1" t="str">
        <f>IF(OR($B234="",AS$7=""),"",IF($B234="MEANS",INDEX('1-DATA'!$1:$1048576,$A233-1,COLUMN('1-DATA'!AR232)),ROUND(INDEX('1-DATA'!$1:$1048576,IF(OR($B234="STD. DEVIATION",$C$1=1),$A234,$A234+1),COLUMN('1-DATA'!AR232)),IF($B234="STD. DEVIATION",2,$F$1))))</f>
        <v/>
      </c>
      <c r="AT234" s="1" t="str">
        <f>IF(OR($B234="",AT$7=""),"",IF($B234="MEANS",INDEX('1-DATA'!$1:$1048576,$A233-1,COLUMN('1-DATA'!AS232)),ROUND(INDEX('1-DATA'!$1:$1048576,IF(OR($B234="STD. DEVIATION",$C$1=1),$A234,$A234+1),COLUMN('1-DATA'!AS232)),IF($B234="STD. DEVIATION",2,$F$1))))</f>
        <v/>
      </c>
      <c r="AU234" s="1" t="str">
        <f>IF(OR($B234="",AU$7=""),"",IF($B234="MEANS",INDEX('1-DATA'!$1:$1048576,$A233-1,COLUMN('1-DATA'!AT232)),ROUND(INDEX('1-DATA'!$1:$1048576,IF(OR($B234="STD. DEVIATION",$C$1=1),$A234,$A234+1),COLUMN('1-DATA'!AT232)),IF($B234="STD. DEVIATION",2,$F$1))))</f>
        <v/>
      </c>
      <c r="AV234" s="1" t="str">
        <f>IF(OR($B234="",AV$7=""),"",IF($B234="MEANS",INDEX('1-DATA'!$1:$1048576,$A233-1,COLUMN('1-DATA'!AU232)),ROUND(INDEX('1-DATA'!$1:$1048576,IF(OR($B234="STD. DEVIATION",$C$1=1),$A234,$A234+1),COLUMN('1-DATA'!AU232)),IF($B234="STD. DEVIATION",2,$F$1))))</f>
        <v/>
      </c>
      <c r="AW234" s="1" t="str">
        <f>IF(OR($B234="",AW$7=""),"",IF($B234="MEANS",INDEX('1-DATA'!$1:$1048576,$A233-1,COLUMN('1-DATA'!AV232)),ROUND(INDEX('1-DATA'!$1:$1048576,IF(OR($B234="STD. DEVIATION",$C$1=1),$A234,$A234+1),COLUMN('1-DATA'!AV232)),IF($B234="STD. DEVIATION",2,$F$1))))</f>
        <v/>
      </c>
      <c r="AX234" s="1" t="str">
        <f>IF(OR($B234="",AX$7=""),"",IF($B234="MEANS",INDEX('1-DATA'!$1:$1048576,$A233-1,COLUMN('1-DATA'!AW232)),ROUND(INDEX('1-DATA'!$1:$1048576,IF(OR($B234="STD. DEVIATION",$C$1=1),$A234,$A234+1),COLUMN('1-DATA'!AW232)),IF($B234="STD. DEVIATION",2,$F$1))))</f>
        <v/>
      </c>
      <c r="AY234" s="1" t="str">
        <f>IF(OR($B234="",AY$7=""),"",IF($B234="MEANS",INDEX('1-DATA'!$1:$1048576,$A233-1,COLUMN('1-DATA'!AX232)),ROUND(INDEX('1-DATA'!$1:$1048576,IF(OR($B234="STD. DEVIATION",$C$1=1),$A234,$A234+1),COLUMN('1-DATA'!AX232)),IF($B234="STD. DEVIATION",2,$F$1))))</f>
        <v/>
      </c>
      <c r="AZ234" s="1" t="str">
        <f>IF(OR($B234="",AZ$7=""),"",IF($B234="MEANS",INDEX('1-DATA'!$1:$1048576,$A233-1,COLUMN('1-DATA'!AY232)),ROUND(INDEX('1-DATA'!$1:$1048576,IF(OR($B234="STD. DEVIATION",$C$1=1),$A234,$A234+1),COLUMN('1-DATA'!AY232)),IF($B234="STD. DEVIATION",2,$F$1))))</f>
        <v/>
      </c>
    </row>
    <row r="235" spans="1:52" x14ac:dyDescent="0.25">
      <c r="A235" s="11">
        <f t="shared" si="4"/>
        <v>691</v>
      </c>
      <c r="B235" s="1" t="str">
        <f>IF(B234="STD. DEVIATION",INDEX('1-DATA'!$1:$1048576,$A234-1,1),IF(INDEX('1-DATA'!$1:$1048576,$A235,1)&lt;&gt;"",INDEX('1-DATA'!$1:$1048576,$A235,1),""))</f>
        <v/>
      </c>
      <c r="C235" s="1" t="str">
        <f>IF(OR($B235="",C$7=""),"",IF($B235="MEANS",INDEX('1-DATA'!$1:$1048576,$A234-1,COLUMN('1-DATA'!B233)),ROUND(INDEX('1-DATA'!$1:$1048576,IF(OR($B235="STD. DEVIATION",$C$1=1),$A235,$A235+1),COLUMN('1-DATA'!B233)),IF($B235="STD. DEVIATION",2,$F$1))))</f>
        <v/>
      </c>
      <c r="D235" s="1" t="str">
        <f>IF(OR($B235="",D$7=""),"",IF($B235="MEANS",INDEX('1-DATA'!$1:$1048576,$A234-1,COLUMN('1-DATA'!C233)),ROUND(INDEX('1-DATA'!$1:$1048576,IF(OR($B235="STD. DEVIATION",$C$1=1),$A235,$A235+1),COLUMN('1-DATA'!C233)),IF($B235="STD. DEVIATION",2,$F$1))))</f>
        <v/>
      </c>
      <c r="E235" s="1" t="str">
        <f>IF(OR($B235="",E$7=""),"",IF($B235="MEANS",INDEX('1-DATA'!$1:$1048576,$A234-1,COLUMN('1-DATA'!D233)),ROUND(INDEX('1-DATA'!$1:$1048576,IF(OR($B235="STD. DEVIATION",$C$1=1),$A235,$A235+1),COLUMN('1-DATA'!D233)),IF($B235="STD. DEVIATION",2,$F$1))))</f>
        <v/>
      </c>
      <c r="F235" s="1" t="str">
        <f>IF(OR($B235="",F$7=""),"",IF($B235="MEANS",INDEX('1-DATA'!$1:$1048576,$A234-1,COLUMN('1-DATA'!E233)),ROUND(INDEX('1-DATA'!$1:$1048576,IF(OR($B235="STD. DEVIATION",$C$1=1),$A235,$A235+1),COLUMN('1-DATA'!E233)),IF($B235="STD. DEVIATION",2,$F$1))))</f>
        <v/>
      </c>
      <c r="G235" s="1" t="str">
        <f>IF(OR($B235="",G$7=""),"",IF($B235="MEANS",INDEX('1-DATA'!$1:$1048576,$A234-1,COLUMN('1-DATA'!F233)),ROUND(INDEX('1-DATA'!$1:$1048576,IF(OR($B235="STD. DEVIATION",$C$1=1),$A235,$A235+1),COLUMN('1-DATA'!F233)),IF($B235="STD. DEVIATION",2,$F$1))))</f>
        <v/>
      </c>
      <c r="H235" s="1" t="str">
        <f>IF(OR($B235="",H$7=""),"",IF($B235="MEANS",INDEX('1-DATA'!$1:$1048576,$A234-1,COLUMN('1-DATA'!G233)),ROUND(INDEX('1-DATA'!$1:$1048576,IF(OR($B235="STD. DEVIATION",$C$1=1),$A235,$A235+1),COLUMN('1-DATA'!G233)),IF($B235="STD. DEVIATION",2,$F$1))))</f>
        <v/>
      </c>
      <c r="I235" s="1" t="str">
        <f>IF(OR($B235="",I$7=""),"",IF($B235="MEANS",INDEX('1-DATA'!$1:$1048576,$A234-1,COLUMN('1-DATA'!H233)),ROUND(INDEX('1-DATA'!$1:$1048576,IF(OR($B235="STD. DEVIATION",$C$1=1),$A235,$A235+1),COLUMN('1-DATA'!H233)),IF($B235="STD. DEVIATION",2,$F$1))))</f>
        <v/>
      </c>
      <c r="J235" s="1" t="str">
        <f>IF(OR($B235="",J$7=""),"",IF($B235="MEANS",INDEX('1-DATA'!$1:$1048576,$A234-1,COLUMN('1-DATA'!I233)),ROUND(INDEX('1-DATA'!$1:$1048576,IF(OR($B235="STD. DEVIATION",$C$1=1),$A235,$A235+1),COLUMN('1-DATA'!I233)),IF($B235="STD. DEVIATION",2,$F$1))))</f>
        <v/>
      </c>
      <c r="K235" s="1" t="str">
        <f>IF(OR($B235="",K$7=""),"",IF($B235="MEANS",INDEX('1-DATA'!$1:$1048576,$A234-1,COLUMN('1-DATA'!J233)),ROUND(INDEX('1-DATA'!$1:$1048576,IF(OR($B235="STD. DEVIATION",$C$1=1),$A235,$A235+1),COLUMN('1-DATA'!J233)),IF($B235="STD. DEVIATION",2,$F$1))))</f>
        <v/>
      </c>
      <c r="L235" s="1" t="str">
        <f>IF(OR($B235="",L$7=""),"",IF($B235="MEANS",INDEX('1-DATA'!$1:$1048576,$A234-1,COLUMN('1-DATA'!K233)),ROUND(INDEX('1-DATA'!$1:$1048576,IF(OR($B235="STD. DEVIATION",$C$1=1),$A235,$A235+1),COLUMN('1-DATA'!K233)),IF($B235="STD. DEVIATION",2,$F$1))))</f>
        <v/>
      </c>
      <c r="M235" s="1" t="str">
        <f>IF(OR($B235="",M$7=""),"",IF($B235="MEANS",INDEX('1-DATA'!$1:$1048576,$A234-1,COLUMN('1-DATA'!L233)),ROUND(INDEX('1-DATA'!$1:$1048576,IF(OR($B235="STD. DEVIATION",$C$1=1),$A235,$A235+1),COLUMN('1-DATA'!L233)),IF($B235="STD. DEVIATION",2,$F$1))))</f>
        <v/>
      </c>
      <c r="N235" s="1" t="str">
        <f>IF(OR($B235="",N$7=""),"",IF($B235="MEANS",INDEX('1-DATA'!$1:$1048576,$A234-1,COLUMN('1-DATA'!M233)),ROUND(INDEX('1-DATA'!$1:$1048576,IF(OR($B235="STD. DEVIATION",$C$1=1),$A235,$A235+1),COLUMN('1-DATA'!M233)),IF($B235="STD. DEVIATION",2,$F$1))))</f>
        <v/>
      </c>
      <c r="O235" s="1" t="str">
        <f>IF(OR($B235="",O$7=""),"",IF($B235="MEANS",INDEX('1-DATA'!$1:$1048576,$A234-1,COLUMN('1-DATA'!N233)),ROUND(INDEX('1-DATA'!$1:$1048576,IF(OR($B235="STD. DEVIATION",$C$1=1),$A235,$A235+1),COLUMN('1-DATA'!N233)),IF($B235="STD. DEVIATION",2,$F$1))))</f>
        <v/>
      </c>
      <c r="P235" s="1" t="str">
        <f>IF(OR($B235="",P$7=""),"",IF($B235="MEANS",INDEX('1-DATA'!$1:$1048576,$A234-1,COLUMN('1-DATA'!O233)),ROUND(INDEX('1-DATA'!$1:$1048576,IF(OR($B235="STD. DEVIATION",$C$1=1),$A235,$A235+1),COLUMN('1-DATA'!O233)),IF($B235="STD. DEVIATION",2,$F$1))))</f>
        <v/>
      </c>
      <c r="Q235" s="1" t="str">
        <f>IF(OR($B235="",Q$7=""),"",IF($B235="MEANS",INDEX('1-DATA'!$1:$1048576,$A234-1,COLUMN('1-DATA'!P233)),ROUND(INDEX('1-DATA'!$1:$1048576,IF(OR($B235="STD. DEVIATION",$C$1=1),$A235,$A235+1),COLUMN('1-DATA'!P233)),IF($B235="STD. DEVIATION",2,$F$1))))</f>
        <v/>
      </c>
      <c r="R235" s="1" t="str">
        <f>IF(OR($B235="",R$7=""),"",IF($B235="MEANS",INDEX('1-DATA'!$1:$1048576,$A234-1,COLUMN('1-DATA'!Q233)),ROUND(INDEX('1-DATA'!$1:$1048576,IF(OR($B235="STD. DEVIATION",$C$1=1),$A235,$A235+1),COLUMN('1-DATA'!Q233)),IF($B235="STD. DEVIATION",2,$F$1))))</f>
        <v/>
      </c>
      <c r="S235" s="1" t="str">
        <f>IF(OR($B235="",S$7=""),"",IF($B235="MEANS",INDEX('1-DATA'!$1:$1048576,$A234-1,COLUMN('1-DATA'!R233)),ROUND(INDEX('1-DATA'!$1:$1048576,IF(OR($B235="STD. DEVIATION",$C$1=1),$A235,$A235+1),COLUMN('1-DATA'!R233)),IF($B235="STD. DEVIATION",2,$F$1))))</f>
        <v/>
      </c>
      <c r="T235" s="1" t="str">
        <f>IF(OR($B235="",T$7=""),"",IF($B235="MEANS",INDEX('1-DATA'!$1:$1048576,$A234-1,COLUMN('1-DATA'!S233)),ROUND(INDEX('1-DATA'!$1:$1048576,IF(OR($B235="STD. DEVIATION",$C$1=1),$A235,$A235+1),COLUMN('1-DATA'!S233)),IF($B235="STD. DEVIATION",2,$F$1))))</f>
        <v/>
      </c>
      <c r="U235" s="1" t="str">
        <f>IF(OR($B235="",U$7=""),"",IF($B235="MEANS",INDEX('1-DATA'!$1:$1048576,$A234-1,COLUMN('1-DATA'!T233)),ROUND(INDEX('1-DATA'!$1:$1048576,IF(OR($B235="STD. DEVIATION",$C$1=1),$A235,$A235+1),COLUMN('1-DATA'!T233)),IF($B235="STD. DEVIATION",2,$F$1))))</f>
        <v/>
      </c>
      <c r="V235" s="1" t="str">
        <f>IF(OR($B235="",V$7=""),"",IF($B235="MEANS",INDEX('1-DATA'!$1:$1048576,$A234-1,COLUMN('1-DATA'!U233)),ROUND(INDEX('1-DATA'!$1:$1048576,IF(OR($B235="STD. DEVIATION",$C$1=1),$A235,$A235+1),COLUMN('1-DATA'!U233)),IF($B235="STD. DEVIATION",2,$F$1))))</f>
        <v/>
      </c>
      <c r="W235" s="1" t="str">
        <f>IF(OR($B235="",W$7=""),"",IF($B235="MEANS",INDEX('1-DATA'!$1:$1048576,$A234-1,COLUMN('1-DATA'!V233)),ROUND(INDEX('1-DATA'!$1:$1048576,IF(OR($B235="STD. DEVIATION",$C$1=1),$A235,$A235+1),COLUMN('1-DATA'!V233)),IF($B235="STD. DEVIATION",2,$F$1))))</f>
        <v/>
      </c>
      <c r="X235" s="1" t="str">
        <f>IF(OR($B235="",X$7=""),"",IF($B235="MEANS",INDEX('1-DATA'!$1:$1048576,$A234-1,COLUMN('1-DATA'!W233)),ROUND(INDEX('1-DATA'!$1:$1048576,IF(OR($B235="STD. DEVIATION",$C$1=1),$A235,$A235+1),COLUMN('1-DATA'!W233)),IF($B235="STD. DEVIATION",2,$F$1))))</f>
        <v/>
      </c>
      <c r="Y235" s="1" t="str">
        <f>IF(OR($B235="",Y$7=""),"",IF($B235="MEANS",INDEX('1-DATA'!$1:$1048576,$A234-1,COLUMN('1-DATA'!X233)),ROUND(INDEX('1-DATA'!$1:$1048576,IF(OR($B235="STD. DEVIATION",$C$1=1),$A235,$A235+1),COLUMN('1-DATA'!X233)),IF($B235="STD. DEVIATION",2,$F$1))))</f>
        <v/>
      </c>
      <c r="Z235" s="1" t="str">
        <f>IF(OR($B235="",Z$7=""),"",IF($B235="MEANS",INDEX('1-DATA'!$1:$1048576,$A234-1,COLUMN('1-DATA'!Y233)),ROUND(INDEX('1-DATA'!$1:$1048576,IF(OR($B235="STD. DEVIATION",$C$1=1),$A235,$A235+1),COLUMN('1-DATA'!Y233)),IF($B235="STD. DEVIATION",2,$F$1))))</f>
        <v/>
      </c>
      <c r="AA235" s="1" t="str">
        <f>IF(OR($B235="",AA$7=""),"",IF($B235="MEANS",INDEX('1-DATA'!$1:$1048576,$A234-1,COLUMN('1-DATA'!Z233)),ROUND(INDEX('1-DATA'!$1:$1048576,IF(OR($B235="STD. DEVIATION",$C$1=1),$A235,$A235+1),COLUMN('1-DATA'!Z233)),IF($B235="STD. DEVIATION",2,$F$1))))</f>
        <v/>
      </c>
      <c r="AB235" s="1" t="str">
        <f>IF(OR($B235="",AB$7=""),"",IF($B235="MEANS",INDEX('1-DATA'!$1:$1048576,$A234-1,COLUMN('1-DATA'!AA233)),ROUND(INDEX('1-DATA'!$1:$1048576,IF(OR($B235="STD. DEVIATION",$C$1=1),$A235,$A235+1),COLUMN('1-DATA'!AA233)),IF($B235="STD. DEVIATION",2,$F$1))))</f>
        <v/>
      </c>
      <c r="AC235" s="1" t="str">
        <f>IF(OR($B235="",AC$7=""),"",IF($B235="MEANS",INDEX('1-DATA'!$1:$1048576,$A234-1,COLUMN('1-DATA'!AB233)),ROUND(INDEX('1-DATA'!$1:$1048576,IF(OR($B235="STD. DEVIATION",$C$1=1),$A235,$A235+1),COLUMN('1-DATA'!AB233)),IF($B235="STD. DEVIATION",2,$F$1))))</f>
        <v/>
      </c>
      <c r="AD235" s="1" t="str">
        <f>IF(OR($B235="",AD$7=""),"",IF($B235="MEANS",INDEX('1-DATA'!$1:$1048576,$A234-1,COLUMN('1-DATA'!AC233)),ROUND(INDEX('1-DATA'!$1:$1048576,IF(OR($B235="STD. DEVIATION",$C$1=1),$A235,$A235+1),COLUMN('1-DATA'!AC233)),IF($B235="STD. DEVIATION",2,$F$1))))</f>
        <v/>
      </c>
      <c r="AE235" s="1" t="str">
        <f>IF(OR($B235="",AE$7=""),"",IF($B235="MEANS",INDEX('1-DATA'!$1:$1048576,$A234-1,COLUMN('1-DATA'!AD233)),ROUND(INDEX('1-DATA'!$1:$1048576,IF(OR($B235="STD. DEVIATION",$C$1=1),$A235,$A235+1),COLUMN('1-DATA'!AD233)),IF($B235="STD. DEVIATION",2,$F$1))))</f>
        <v/>
      </c>
      <c r="AF235" s="1" t="str">
        <f>IF(OR($B235="",AF$7=""),"",IF($B235="MEANS",INDEX('1-DATA'!$1:$1048576,$A234-1,COLUMN('1-DATA'!AE233)),ROUND(INDEX('1-DATA'!$1:$1048576,IF(OR($B235="STD. DEVIATION",$C$1=1),$A235,$A235+1),COLUMN('1-DATA'!AE233)),IF($B235="STD. DEVIATION",2,$F$1))))</f>
        <v/>
      </c>
      <c r="AG235" s="1" t="str">
        <f>IF(OR($B235="",AG$7=""),"",IF($B235="MEANS",INDEX('1-DATA'!$1:$1048576,$A234-1,COLUMN('1-DATA'!AF233)),ROUND(INDEX('1-DATA'!$1:$1048576,IF(OR($B235="STD. DEVIATION",$C$1=1),$A235,$A235+1),COLUMN('1-DATA'!AF233)),IF($B235="STD. DEVIATION",2,$F$1))))</f>
        <v/>
      </c>
      <c r="AH235" s="1" t="str">
        <f>IF(OR($B235="",AH$7=""),"",IF($B235="MEANS",INDEX('1-DATA'!$1:$1048576,$A234-1,COLUMN('1-DATA'!AG233)),ROUND(INDEX('1-DATA'!$1:$1048576,IF(OR($B235="STD. DEVIATION",$C$1=1),$A235,$A235+1),COLUMN('1-DATA'!AG233)),IF($B235="STD. DEVIATION",2,$F$1))))</f>
        <v/>
      </c>
      <c r="AI235" s="1" t="str">
        <f>IF(OR($B235="",AI$7=""),"",IF($B235="MEANS",INDEX('1-DATA'!$1:$1048576,$A234-1,COLUMN('1-DATA'!AH233)),ROUND(INDEX('1-DATA'!$1:$1048576,IF(OR($B235="STD. DEVIATION",$C$1=1),$A235,$A235+1),COLUMN('1-DATA'!AH233)),IF($B235="STD. DEVIATION",2,$F$1))))</f>
        <v/>
      </c>
      <c r="AJ235" s="1" t="str">
        <f>IF(OR($B235="",AJ$7=""),"",IF($B235="MEANS",INDEX('1-DATA'!$1:$1048576,$A234-1,COLUMN('1-DATA'!AI233)),ROUND(INDEX('1-DATA'!$1:$1048576,IF(OR($B235="STD. DEVIATION",$C$1=1),$A235,$A235+1),COLUMN('1-DATA'!AI233)),IF($B235="STD. DEVIATION",2,$F$1))))</f>
        <v/>
      </c>
      <c r="AK235" s="1" t="str">
        <f>IF(OR($B235="",AK$7=""),"",IF($B235="MEANS",INDEX('1-DATA'!$1:$1048576,$A234-1,COLUMN('1-DATA'!AJ233)),ROUND(INDEX('1-DATA'!$1:$1048576,IF(OR($B235="STD. DEVIATION",$C$1=1),$A235,$A235+1),COLUMN('1-DATA'!AJ233)),IF($B235="STD. DEVIATION",2,$F$1))))</f>
        <v/>
      </c>
      <c r="AL235" s="1" t="str">
        <f>IF(OR($B235="",AL$7=""),"",IF($B235="MEANS",INDEX('1-DATA'!$1:$1048576,$A234-1,COLUMN('1-DATA'!AK233)),ROUND(INDEX('1-DATA'!$1:$1048576,IF(OR($B235="STD. DEVIATION",$C$1=1),$A235,$A235+1),COLUMN('1-DATA'!AK233)),IF($B235="STD. DEVIATION",2,$F$1))))</f>
        <v/>
      </c>
      <c r="AM235" s="1" t="str">
        <f>IF(OR($B235="",AM$7=""),"",IF($B235="MEANS",INDEX('1-DATA'!$1:$1048576,$A234-1,COLUMN('1-DATA'!AL233)),ROUND(INDEX('1-DATA'!$1:$1048576,IF(OR($B235="STD. DEVIATION",$C$1=1),$A235,$A235+1),COLUMN('1-DATA'!AL233)),IF($B235="STD. DEVIATION",2,$F$1))))</f>
        <v/>
      </c>
      <c r="AN235" s="1" t="str">
        <f>IF(OR($B235="",AN$7=""),"",IF($B235="MEANS",INDEX('1-DATA'!$1:$1048576,$A234-1,COLUMN('1-DATA'!AM233)),ROUND(INDEX('1-DATA'!$1:$1048576,IF(OR($B235="STD. DEVIATION",$C$1=1),$A235,$A235+1),COLUMN('1-DATA'!AM233)),IF($B235="STD. DEVIATION",2,$F$1))))</f>
        <v/>
      </c>
      <c r="AO235" s="1" t="str">
        <f>IF(OR($B235="",AO$7=""),"",IF($B235="MEANS",INDEX('1-DATA'!$1:$1048576,$A234-1,COLUMN('1-DATA'!AN233)),ROUND(INDEX('1-DATA'!$1:$1048576,IF(OR($B235="STD. DEVIATION",$C$1=1),$A235,$A235+1),COLUMN('1-DATA'!AN233)),IF($B235="STD. DEVIATION",2,$F$1))))</f>
        <v/>
      </c>
      <c r="AP235" s="1" t="str">
        <f>IF(OR($B235="",AP$7=""),"",IF($B235="MEANS",INDEX('1-DATA'!$1:$1048576,$A234-1,COLUMN('1-DATA'!AO233)),ROUND(INDEX('1-DATA'!$1:$1048576,IF(OR($B235="STD. DEVIATION",$C$1=1),$A235,$A235+1),COLUMN('1-DATA'!AO233)),IF($B235="STD. DEVIATION",2,$F$1))))</f>
        <v/>
      </c>
      <c r="AQ235" s="1" t="str">
        <f>IF(OR($B235="",AQ$7=""),"",IF($B235="MEANS",INDEX('1-DATA'!$1:$1048576,$A234-1,COLUMN('1-DATA'!AP233)),ROUND(INDEX('1-DATA'!$1:$1048576,IF(OR($B235="STD. DEVIATION",$C$1=1),$A235,$A235+1),COLUMN('1-DATA'!AP233)),IF($B235="STD. DEVIATION",2,$F$1))))</f>
        <v/>
      </c>
      <c r="AR235" s="1" t="str">
        <f>IF(OR($B235="",AR$7=""),"",IF($B235="MEANS",INDEX('1-DATA'!$1:$1048576,$A234-1,COLUMN('1-DATA'!AQ233)),ROUND(INDEX('1-DATA'!$1:$1048576,IF(OR($B235="STD. DEVIATION",$C$1=1),$A235,$A235+1),COLUMN('1-DATA'!AQ233)),IF($B235="STD. DEVIATION",2,$F$1))))</f>
        <v/>
      </c>
      <c r="AS235" s="1" t="str">
        <f>IF(OR($B235="",AS$7=""),"",IF($B235="MEANS",INDEX('1-DATA'!$1:$1048576,$A234-1,COLUMN('1-DATA'!AR233)),ROUND(INDEX('1-DATA'!$1:$1048576,IF(OR($B235="STD. DEVIATION",$C$1=1),$A235,$A235+1),COLUMN('1-DATA'!AR233)),IF($B235="STD. DEVIATION",2,$F$1))))</f>
        <v/>
      </c>
      <c r="AT235" s="1" t="str">
        <f>IF(OR($B235="",AT$7=""),"",IF($B235="MEANS",INDEX('1-DATA'!$1:$1048576,$A234-1,COLUMN('1-DATA'!AS233)),ROUND(INDEX('1-DATA'!$1:$1048576,IF(OR($B235="STD. DEVIATION",$C$1=1),$A235,$A235+1),COLUMN('1-DATA'!AS233)),IF($B235="STD. DEVIATION",2,$F$1))))</f>
        <v/>
      </c>
      <c r="AU235" s="1" t="str">
        <f>IF(OR($B235="",AU$7=""),"",IF($B235="MEANS",INDEX('1-DATA'!$1:$1048576,$A234-1,COLUMN('1-DATA'!AT233)),ROUND(INDEX('1-DATA'!$1:$1048576,IF(OR($B235="STD. DEVIATION",$C$1=1),$A235,$A235+1),COLUMN('1-DATA'!AT233)),IF($B235="STD. DEVIATION",2,$F$1))))</f>
        <v/>
      </c>
      <c r="AV235" s="1" t="str">
        <f>IF(OR($B235="",AV$7=""),"",IF($B235="MEANS",INDEX('1-DATA'!$1:$1048576,$A234-1,COLUMN('1-DATA'!AU233)),ROUND(INDEX('1-DATA'!$1:$1048576,IF(OR($B235="STD. DEVIATION",$C$1=1),$A235,$A235+1),COLUMN('1-DATA'!AU233)),IF($B235="STD. DEVIATION",2,$F$1))))</f>
        <v/>
      </c>
      <c r="AW235" s="1" t="str">
        <f>IF(OR($B235="",AW$7=""),"",IF($B235="MEANS",INDEX('1-DATA'!$1:$1048576,$A234-1,COLUMN('1-DATA'!AV233)),ROUND(INDEX('1-DATA'!$1:$1048576,IF(OR($B235="STD. DEVIATION",$C$1=1),$A235,$A235+1),COLUMN('1-DATA'!AV233)),IF($B235="STD. DEVIATION",2,$F$1))))</f>
        <v/>
      </c>
      <c r="AX235" s="1" t="str">
        <f>IF(OR($B235="",AX$7=""),"",IF($B235="MEANS",INDEX('1-DATA'!$1:$1048576,$A234-1,COLUMN('1-DATA'!AW233)),ROUND(INDEX('1-DATA'!$1:$1048576,IF(OR($B235="STD. DEVIATION",$C$1=1),$A235,$A235+1),COLUMN('1-DATA'!AW233)),IF($B235="STD. DEVIATION",2,$F$1))))</f>
        <v/>
      </c>
      <c r="AY235" s="1" t="str">
        <f>IF(OR($B235="",AY$7=""),"",IF($B235="MEANS",INDEX('1-DATA'!$1:$1048576,$A234-1,COLUMN('1-DATA'!AX233)),ROUND(INDEX('1-DATA'!$1:$1048576,IF(OR($B235="STD. DEVIATION",$C$1=1),$A235,$A235+1),COLUMN('1-DATA'!AX233)),IF($B235="STD. DEVIATION",2,$F$1))))</f>
        <v/>
      </c>
      <c r="AZ235" s="1" t="str">
        <f>IF(OR($B235="",AZ$7=""),"",IF($B235="MEANS",INDEX('1-DATA'!$1:$1048576,$A234-1,COLUMN('1-DATA'!AY233)),ROUND(INDEX('1-DATA'!$1:$1048576,IF(OR($B235="STD. DEVIATION",$C$1=1),$A235,$A235+1),COLUMN('1-DATA'!AY233)),IF($B235="STD. DEVIATION",2,$F$1))))</f>
        <v/>
      </c>
    </row>
    <row r="236" spans="1:52" x14ac:dyDescent="0.25">
      <c r="A236" s="11">
        <f t="shared" si="4"/>
        <v>694</v>
      </c>
      <c r="B236" s="1" t="str">
        <f>IF(B235="STD. DEVIATION",INDEX('1-DATA'!$1:$1048576,$A235-1,1),IF(INDEX('1-DATA'!$1:$1048576,$A236,1)&lt;&gt;"",INDEX('1-DATA'!$1:$1048576,$A236,1),""))</f>
        <v/>
      </c>
      <c r="C236" s="1" t="str">
        <f>IF(OR($B236="",C$7=""),"",IF($B236="MEANS",INDEX('1-DATA'!$1:$1048576,$A235-1,COLUMN('1-DATA'!B234)),ROUND(INDEX('1-DATA'!$1:$1048576,IF(OR($B236="STD. DEVIATION",$C$1=1),$A236,$A236+1),COLUMN('1-DATA'!B234)),IF($B236="STD. DEVIATION",2,$F$1))))</f>
        <v/>
      </c>
      <c r="D236" s="1" t="str">
        <f>IF(OR($B236="",D$7=""),"",IF($B236="MEANS",INDEX('1-DATA'!$1:$1048576,$A235-1,COLUMN('1-DATA'!C234)),ROUND(INDEX('1-DATA'!$1:$1048576,IF(OR($B236="STD. DEVIATION",$C$1=1),$A236,$A236+1),COLUMN('1-DATA'!C234)),IF($B236="STD. DEVIATION",2,$F$1))))</f>
        <v/>
      </c>
      <c r="E236" s="1" t="str">
        <f>IF(OR($B236="",E$7=""),"",IF($B236="MEANS",INDEX('1-DATA'!$1:$1048576,$A235-1,COLUMN('1-DATA'!D234)),ROUND(INDEX('1-DATA'!$1:$1048576,IF(OR($B236="STD. DEVIATION",$C$1=1),$A236,$A236+1),COLUMN('1-DATA'!D234)),IF($B236="STD. DEVIATION",2,$F$1))))</f>
        <v/>
      </c>
      <c r="F236" s="1" t="str">
        <f>IF(OR($B236="",F$7=""),"",IF($B236="MEANS",INDEX('1-DATA'!$1:$1048576,$A235-1,COLUMN('1-DATA'!E234)),ROUND(INDEX('1-DATA'!$1:$1048576,IF(OR($B236="STD. DEVIATION",$C$1=1),$A236,$A236+1),COLUMN('1-DATA'!E234)),IF($B236="STD. DEVIATION",2,$F$1))))</f>
        <v/>
      </c>
      <c r="G236" s="1" t="str">
        <f>IF(OR($B236="",G$7=""),"",IF($B236="MEANS",INDEX('1-DATA'!$1:$1048576,$A235-1,COLUMN('1-DATA'!F234)),ROUND(INDEX('1-DATA'!$1:$1048576,IF(OR($B236="STD. DEVIATION",$C$1=1),$A236,$A236+1),COLUMN('1-DATA'!F234)),IF($B236="STD. DEVIATION",2,$F$1))))</f>
        <v/>
      </c>
      <c r="H236" s="1" t="str">
        <f>IF(OR($B236="",H$7=""),"",IF($B236="MEANS",INDEX('1-DATA'!$1:$1048576,$A235-1,COLUMN('1-DATA'!G234)),ROUND(INDEX('1-DATA'!$1:$1048576,IF(OR($B236="STD. DEVIATION",$C$1=1),$A236,$A236+1),COLUMN('1-DATA'!G234)),IF($B236="STD. DEVIATION",2,$F$1))))</f>
        <v/>
      </c>
      <c r="I236" s="1" t="str">
        <f>IF(OR($B236="",I$7=""),"",IF($B236="MEANS",INDEX('1-DATA'!$1:$1048576,$A235-1,COLUMN('1-DATA'!H234)),ROUND(INDEX('1-DATA'!$1:$1048576,IF(OR($B236="STD. DEVIATION",$C$1=1),$A236,$A236+1),COLUMN('1-DATA'!H234)),IF($B236="STD. DEVIATION",2,$F$1))))</f>
        <v/>
      </c>
      <c r="J236" s="1" t="str">
        <f>IF(OR($B236="",J$7=""),"",IF($B236="MEANS",INDEX('1-DATA'!$1:$1048576,$A235-1,COLUMN('1-DATA'!I234)),ROUND(INDEX('1-DATA'!$1:$1048576,IF(OR($B236="STD. DEVIATION",$C$1=1),$A236,$A236+1),COLUMN('1-DATA'!I234)),IF($B236="STD. DEVIATION",2,$F$1))))</f>
        <v/>
      </c>
      <c r="K236" s="1" t="str">
        <f>IF(OR($B236="",K$7=""),"",IF($B236="MEANS",INDEX('1-DATA'!$1:$1048576,$A235-1,COLUMN('1-DATA'!J234)),ROUND(INDEX('1-DATA'!$1:$1048576,IF(OR($B236="STD. DEVIATION",$C$1=1),$A236,$A236+1),COLUMN('1-DATA'!J234)),IF($B236="STD. DEVIATION",2,$F$1))))</f>
        <v/>
      </c>
      <c r="L236" s="1" t="str">
        <f>IF(OR($B236="",L$7=""),"",IF($B236="MEANS",INDEX('1-DATA'!$1:$1048576,$A235-1,COLUMN('1-DATA'!K234)),ROUND(INDEX('1-DATA'!$1:$1048576,IF(OR($B236="STD. DEVIATION",$C$1=1),$A236,$A236+1),COLUMN('1-DATA'!K234)),IF($B236="STD. DEVIATION",2,$F$1))))</f>
        <v/>
      </c>
      <c r="M236" s="1" t="str">
        <f>IF(OR($B236="",M$7=""),"",IF($B236="MEANS",INDEX('1-DATA'!$1:$1048576,$A235-1,COLUMN('1-DATA'!L234)),ROUND(INDEX('1-DATA'!$1:$1048576,IF(OR($B236="STD. DEVIATION",$C$1=1),$A236,$A236+1),COLUMN('1-DATA'!L234)),IF($B236="STD. DEVIATION",2,$F$1))))</f>
        <v/>
      </c>
      <c r="N236" s="1" t="str">
        <f>IF(OR($B236="",N$7=""),"",IF($B236="MEANS",INDEX('1-DATA'!$1:$1048576,$A235-1,COLUMN('1-DATA'!M234)),ROUND(INDEX('1-DATA'!$1:$1048576,IF(OR($B236="STD. DEVIATION",$C$1=1),$A236,$A236+1),COLUMN('1-DATA'!M234)),IF($B236="STD. DEVIATION",2,$F$1))))</f>
        <v/>
      </c>
      <c r="O236" s="1" t="str">
        <f>IF(OR($B236="",O$7=""),"",IF($B236="MEANS",INDEX('1-DATA'!$1:$1048576,$A235-1,COLUMN('1-DATA'!N234)),ROUND(INDEX('1-DATA'!$1:$1048576,IF(OR($B236="STD. DEVIATION",$C$1=1),$A236,$A236+1),COLUMN('1-DATA'!N234)),IF($B236="STD. DEVIATION",2,$F$1))))</f>
        <v/>
      </c>
      <c r="P236" s="1" t="str">
        <f>IF(OR($B236="",P$7=""),"",IF($B236="MEANS",INDEX('1-DATA'!$1:$1048576,$A235-1,COLUMN('1-DATA'!O234)),ROUND(INDEX('1-DATA'!$1:$1048576,IF(OR($B236="STD. DEVIATION",$C$1=1),$A236,$A236+1),COLUMN('1-DATA'!O234)),IF($B236="STD. DEVIATION",2,$F$1))))</f>
        <v/>
      </c>
      <c r="Q236" s="1" t="str">
        <f>IF(OR($B236="",Q$7=""),"",IF($B236="MEANS",INDEX('1-DATA'!$1:$1048576,$A235-1,COLUMN('1-DATA'!P234)),ROUND(INDEX('1-DATA'!$1:$1048576,IF(OR($B236="STD. DEVIATION",$C$1=1),$A236,$A236+1),COLUMN('1-DATA'!P234)),IF($B236="STD. DEVIATION",2,$F$1))))</f>
        <v/>
      </c>
      <c r="R236" s="1" t="str">
        <f>IF(OR($B236="",R$7=""),"",IF($B236="MEANS",INDEX('1-DATA'!$1:$1048576,$A235-1,COLUMN('1-DATA'!Q234)),ROUND(INDEX('1-DATA'!$1:$1048576,IF(OR($B236="STD. DEVIATION",$C$1=1),$A236,$A236+1),COLUMN('1-DATA'!Q234)),IF($B236="STD. DEVIATION",2,$F$1))))</f>
        <v/>
      </c>
      <c r="S236" s="1" t="str">
        <f>IF(OR($B236="",S$7=""),"",IF($B236="MEANS",INDEX('1-DATA'!$1:$1048576,$A235-1,COLUMN('1-DATA'!R234)),ROUND(INDEX('1-DATA'!$1:$1048576,IF(OR($B236="STD. DEVIATION",$C$1=1),$A236,$A236+1),COLUMN('1-DATA'!R234)),IF($B236="STD. DEVIATION",2,$F$1))))</f>
        <v/>
      </c>
      <c r="T236" s="1" t="str">
        <f>IF(OR($B236="",T$7=""),"",IF($B236="MEANS",INDEX('1-DATA'!$1:$1048576,$A235-1,COLUMN('1-DATA'!S234)),ROUND(INDEX('1-DATA'!$1:$1048576,IF(OR($B236="STD. DEVIATION",$C$1=1),$A236,$A236+1),COLUMN('1-DATA'!S234)),IF($B236="STD. DEVIATION",2,$F$1))))</f>
        <v/>
      </c>
      <c r="U236" s="1" t="str">
        <f>IF(OR($B236="",U$7=""),"",IF($B236="MEANS",INDEX('1-DATA'!$1:$1048576,$A235-1,COLUMN('1-DATA'!T234)),ROUND(INDEX('1-DATA'!$1:$1048576,IF(OR($B236="STD. DEVIATION",$C$1=1),$A236,$A236+1),COLUMN('1-DATA'!T234)),IF($B236="STD. DEVIATION",2,$F$1))))</f>
        <v/>
      </c>
      <c r="V236" s="1" t="str">
        <f>IF(OR($B236="",V$7=""),"",IF($B236="MEANS",INDEX('1-DATA'!$1:$1048576,$A235-1,COLUMN('1-DATA'!U234)),ROUND(INDEX('1-DATA'!$1:$1048576,IF(OR($B236="STD. DEVIATION",$C$1=1),$A236,$A236+1),COLUMN('1-DATA'!U234)),IF($B236="STD. DEVIATION",2,$F$1))))</f>
        <v/>
      </c>
      <c r="W236" s="1" t="str">
        <f>IF(OR($B236="",W$7=""),"",IF($B236="MEANS",INDEX('1-DATA'!$1:$1048576,$A235-1,COLUMN('1-DATA'!V234)),ROUND(INDEX('1-DATA'!$1:$1048576,IF(OR($B236="STD. DEVIATION",$C$1=1),$A236,$A236+1),COLUMN('1-DATA'!V234)),IF($B236="STD. DEVIATION",2,$F$1))))</f>
        <v/>
      </c>
      <c r="X236" s="1" t="str">
        <f>IF(OR($B236="",X$7=""),"",IF($B236="MEANS",INDEX('1-DATA'!$1:$1048576,$A235-1,COLUMN('1-DATA'!W234)),ROUND(INDEX('1-DATA'!$1:$1048576,IF(OR($B236="STD. DEVIATION",$C$1=1),$A236,$A236+1),COLUMN('1-DATA'!W234)),IF($B236="STD. DEVIATION",2,$F$1))))</f>
        <v/>
      </c>
      <c r="Y236" s="1" t="str">
        <f>IF(OR($B236="",Y$7=""),"",IF($B236="MEANS",INDEX('1-DATA'!$1:$1048576,$A235-1,COLUMN('1-DATA'!X234)),ROUND(INDEX('1-DATA'!$1:$1048576,IF(OR($B236="STD. DEVIATION",$C$1=1),$A236,$A236+1),COLUMN('1-DATA'!X234)),IF($B236="STD. DEVIATION",2,$F$1))))</f>
        <v/>
      </c>
      <c r="Z236" s="1" t="str">
        <f>IF(OR($B236="",Z$7=""),"",IF($B236="MEANS",INDEX('1-DATA'!$1:$1048576,$A235-1,COLUMN('1-DATA'!Y234)),ROUND(INDEX('1-DATA'!$1:$1048576,IF(OR($B236="STD. DEVIATION",$C$1=1),$A236,$A236+1),COLUMN('1-DATA'!Y234)),IF($B236="STD. DEVIATION",2,$F$1))))</f>
        <v/>
      </c>
      <c r="AA236" s="1" t="str">
        <f>IF(OR($B236="",AA$7=""),"",IF($B236="MEANS",INDEX('1-DATA'!$1:$1048576,$A235-1,COLUMN('1-DATA'!Z234)),ROUND(INDEX('1-DATA'!$1:$1048576,IF(OR($B236="STD. DEVIATION",$C$1=1),$A236,$A236+1),COLUMN('1-DATA'!Z234)),IF($B236="STD. DEVIATION",2,$F$1))))</f>
        <v/>
      </c>
      <c r="AB236" s="1" t="str">
        <f>IF(OR($B236="",AB$7=""),"",IF($B236="MEANS",INDEX('1-DATA'!$1:$1048576,$A235-1,COLUMN('1-DATA'!AA234)),ROUND(INDEX('1-DATA'!$1:$1048576,IF(OR($B236="STD. DEVIATION",$C$1=1),$A236,$A236+1),COLUMN('1-DATA'!AA234)),IF($B236="STD. DEVIATION",2,$F$1))))</f>
        <v/>
      </c>
      <c r="AC236" s="1" t="str">
        <f>IF(OR($B236="",AC$7=""),"",IF($B236="MEANS",INDEX('1-DATA'!$1:$1048576,$A235-1,COLUMN('1-DATA'!AB234)),ROUND(INDEX('1-DATA'!$1:$1048576,IF(OR($B236="STD. DEVIATION",$C$1=1),$A236,$A236+1),COLUMN('1-DATA'!AB234)),IF($B236="STD. DEVIATION",2,$F$1))))</f>
        <v/>
      </c>
      <c r="AD236" s="1" t="str">
        <f>IF(OR($B236="",AD$7=""),"",IF($B236="MEANS",INDEX('1-DATA'!$1:$1048576,$A235-1,COLUMN('1-DATA'!AC234)),ROUND(INDEX('1-DATA'!$1:$1048576,IF(OR($B236="STD. DEVIATION",$C$1=1),$A236,$A236+1),COLUMN('1-DATA'!AC234)),IF($B236="STD. DEVIATION",2,$F$1))))</f>
        <v/>
      </c>
      <c r="AE236" s="1" t="str">
        <f>IF(OR($B236="",AE$7=""),"",IF($B236="MEANS",INDEX('1-DATA'!$1:$1048576,$A235-1,COLUMN('1-DATA'!AD234)),ROUND(INDEX('1-DATA'!$1:$1048576,IF(OR($B236="STD. DEVIATION",$C$1=1),$A236,$A236+1),COLUMN('1-DATA'!AD234)),IF($B236="STD. DEVIATION",2,$F$1))))</f>
        <v/>
      </c>
      <c r="AF236" s="1" t="str">
        <f>IF(OR($B236="",AF$7=""),"",IF($B236="MEANS",INDEX('1-DATA'!$1:$1048576,$A235-1,COLUMN('1-DATA'!AE234)),ROUND(INDEX('1-DATA'!$1:$1048576,IF(OR($B236="STD. DEVIATION",$C$1=1),$A236,$A236+1),COLUMN('1-DATA'!AE234)),IF($B236="STD. DEVIATION",2,$F$1))))</f>
        <v/>
      </c>
      <c r="AG236" s="1" t="str">
        <f>IF(OR($B236="",AG$7=""),"",IF($B236="MEANS",INDEX('1-DATA'!$1:$1048576,$A235-1,COLUMN('1-DATA'!AF234)),ROUND(INDEX('1-DATA'!$1:$1048576,IF(OR($B236="STD. DEVIATION",$C$1=1),$A236,$A236+1),COLUMN('1-DATA'!AF234)),IF($B236="STD. DEVIATION",2,$F$1))))</f>
        <v/>
      </c>
      <c r="AH236" s="1" t="str">
        <f>IF(OR($B236="",AH$7=""),"",IF($B236="MEANS",INDEX('1-DATA'!$1:$1048576,$A235-1,COLUMN('1-DATA'!AG234)),ROUND(INDEX('1-DATA'!$1:$1048576,IF(OR($B236="STD. DEVIATION",$C$1=1),$A236,$A236+1),COLUMN('1-DATA'!AG234)),IF($B236="STD. DEVIATION",2,$F$1))))</f>
        <v/>
      </c>
      <c r="AI236" s="1" t="str">
        <f>IF(OR($B236="",AI$7=""),"",IF($B236="MEANS",INDEX('1-DATA'!$1:$1048576,$A235-1,COLUMN('1-DATA'!AH234)),ROUND(INDEX('1-DATA'!$1:$1048576,IF(OR($B236="STD. DEVIATION",$C$1=1),$A236,$A236+1),COLUMN('1-DATA'!AH234)),IF($B236="STD. DEVIATION",2,$F$1))))</f>
        <v/>
      </c>
      <c r="AJ236" s="1" t="str">
        <f>IF(OR($B236="",AJ$7=""),"",IF($B236="MEANS",INDEX('1-DATA'!$1:$1048576,$A235-1,COLUMN('1-DATA'!AI234)),ROUND(INDEX('1-DATA'!$1:$1048576,IF(OR($B236="STD. DEVIATION",$C$1=1),$A236,$A236+1),COLUMN('1-DATA'!AI234)),IF($B236="STD. DEVIATION",2,$F$1))))</f>
        <v/>
      </c>
      <c r="AK236" s="1" t="str">
        <f>IF(OR($B236="",AK$7=""),"",IF($B236="MEANS",INDEX('1-DATA'!$1:$1048576,$A235-1,COLUMN('1-DATA'!AJ234)),ROUND(INDEX('1-DATA'!$1:$1048576,IF(OR($B236="STD. DEVIATION",$C$1=1),$A236,$A236+1),COLUMN('1-DATA'!AJ234)),IF($B236="STD. DEVIATION",2,$F$1))))</f>
        <v/>
      </c>
      <c r="AL236" s="1" t="str">
        <f>IF(OR($B236="",AL$7=""),"",IF($B236="MEANS",INDEX('1-DATA'!$1:$1048576,$A235-1,COLUMN('1-DATA'!AK234)),ROUND(INDEX('1-DATA'!$1:$1048576,IF(OR($B236="STD. DEVIATION",$C$1=1),$A236,$A236+1),COLUMN('1-DATA'!AK234)),IF($B236="STD. DEVIATION",2,$F$1))))</f>
        <v/>
      </c>
      <c r="AM236" s="1" t="str">
        <f>IF(OR($B236="",AM$7=""),"",IF($B236="MEANS",INDEX('1-DATA'!$1:$1048576,$A235-1,COLUMN('1-DATA'!AL234)),ROUND(INDEX('1-DATA'!$1:$1048576,IF(OR($B236="STD. DEVIATION",$C$1=1),$A236,$A236+1),COLUMN('1-DATA'!AL234)),IF($B236="STD. DEVIATION",2,$F$1))))</f>
        <v/>
      </c>
      <c r="AN236" s="1" t="str">
        <f>IF(OR($B236="",AN$7=""),"",IF($B236="MEANS",INDEX('1-DATA'!$1:$1048576,$A235-1,COLUMN('1-DATA'!AM234)),ROUND(INDEX('1-DATA'!$1:$1048576,IF(OR($B236="STD. DEVIATION",$C$1=1),$A236,$A236+1),COLUMN('1-DATA'!AM234)),IF($B236="STD. DEVIATION",2,$F$1))))</f>
        <v/>
      </c>
      <c r="AO236" s="1" t="str">
        <f>IF(OR($B236="",AO$7=""),"",IF($B236="MEANS",INDEX('1-DATA'!$1:$1048576,$A235-1,COLUMN('1-DATA'!AN234)),ROUND(INDEX('1-DATA'!$1:$1048576,IF(OR($B236="STD. DEVIATION",$C$1=1),$A236,$A236+1),COLUMN('1-DATA'!AN234)),IF($B236="STD. DEVIATION",2,$F$1))))</f>
        <v/>
      </c>
      <c r="AP236" s="1" t="str">
        <f>IF(OR($B236="",AP$7=""),"",IF($B236="MEANS",INDEX('1-DATA'!$1:$1048576,$A235-1,COLUMN('1-DATA'!AO234)),ROUND(INDEX('1-DATA'!$1:$1048576,IF(OR($B236="STD. DEVIATION",$C$1=1),$A236,$A236+1),COLUMN('1-DATA'!AO234)),IF($B236="STD. DEVIATION",2,$F$1))))</f>
        <v/>
      </c>
      <c r="AQ236" s="1" t="str">
        <f>IF(OR($B236="",AQ$7=""),"",IF($B236="MEANS",INDEX('1-DATA'!$1:$1048576,$A235-1,COLUMN('1-DATA'!AP234)),ROUND(INDEX('1-DATA'!$1:$1048576,IF(OR($B236="STD. DEVIATION",$C$1=1),$A236,$A236+1),COLUMN('1-DATA'!AP234)),IF($B236="STD. DEVIATION",2,$F$1))))</f>
        <v/>
      </c>
      <c r="AR236" s="1" t="str">
        <f>IF(OR($B236="",AR$7=""),"",IF($B236="MEANS",INDEX('1-DATA'!$1:$1048576,$A235-1,COLUMN('1-DATA'!AQ234)),ROUND(INDEX('1-DATA'!$1:$1048576,IF(OR($B236="STD. DEVIATION",$C$1=1),$A236,$A236+1),COLUMN('1-DATA'!AQ234)),IF($B236="STD. DEVIATION",2,$F$1))))</f>
        <v/>
      </c>
      <c r="AS236" s="1" t="str">
        <f>IF(OR($B236="",AS$7=""),"",IF($B236="MEANS",INDEX('1-DATA'!$1:$1048576,$A235-1,COLUMN('1-DATA'!AR234)),ROUND(INDEX('1-DATA'!$1:$1048576,IF(OR($B236="STD. DEVIATION",$C$1=1),$A236,$A236+1),COLUMN('1-DATA'!AR234)),IF($B236="STD. DEVIATION",2,$F$1))))</f>
        <v/>
      </c>
      <c r="AT236" s="1" t="str">
        <f>IF(OR($B236="",AT$7=""),"",IF($B236="MEANS",INDEX('1-DATA'!$1:$1048576,$A235-1,COLUMN('1-DATA'!AS234)),ROUND(INDEX('1-DATA'!$1:$1048576,IF(OR($B236="STD. DEVIATION",$C$1=1),$A236,$A236+1),COLUMN('1-DATA'!AS234)),IF($B236="STD. DEVIATION",2,$F$1))))</f>
        <v/>
      </c>
      <c r="AU236" s="1" t="str">
        <f>IF(OR($B236="",AU$7=""),"",IF($B236="MEANS",INDEX('1-DATA'!$1:$1048576,$A235-1,COLUMN('1-DATA'!AT234)),ROUND(INDEX('1-DATA'!$1:$1048576,IF(OR($B236="STD. DEVIATION",$C$1=1),$A236,$A236+1),COLUMN('1-DATA'!AT234)),IF($B236="STD. DEVIATION",2,$F$1))))</f>
        <v/>
      </c>
      <c r="AV236" s="1" t="str">
        <f>IF(OR($B236="",AV$7=""),"",IF($B236="MEANS",INDEX('1-DATA'!$1:$1048576,$A235-1,COLUMN('1-DATA'!AU234)),ROUND(INDEX('1-DATA'!$1:$1048576,IF(OR($B236="STD. DEVIATION",$C$1=1),$A236,$A236+1),COLUMN('1-DATA'!AU234)),IF($B236="STD. DEVIATION",2,$F$1))))</f>
        <v/>
      </c>
      <c r="AW236" s="1" t="str">
        <f>IF(OR($B236="",AW$7=""),"",IF($B236="MEANS",INDEX('1-DATA'!$1:$1048576,$A235-1,COLUMN('1-DATA'!AV234)),ROUND(INDEX('1-DATA'!$1:$1048576,IF(OR($B236="STD. DEVIATION",$C$1=1),$A236,$A236+1),COLUMN('1-DATA'!AV234)),IF($B236="STD. DEVIATION",2,$F$1))))</f>
        <v/>
      </c>
      <c r="AX236" s="1" t="str">
        <f>IF(OR($B236="",AX$7=""),"",IF($B236="MEANS",INDEX('1-DATA'!$1:$1048576,$A235-1,COLUMN('1-DATA'!AW234)),ROUND(INDEX('1-DATA'!$1:$1048576,IF(OR($B236="STD. DEVIATION",$C$1=1),$A236,$A236+1),COLUMN('1-DATA'!AW234)),IF($B236="STD. DEVIATION",2,$F$1))))</f>
        <v/>
      </c>
      <c r="AY236" s="1" t="str">
        <f>IF(OR($B236="",AY$7=""),"",IF($B236="MEANS",INDEX('1-DATA'!$1:$1048576,$A235-1,COLUMN('1-DATA'!AX234)),ROUND(INDEX('1-DATA'!$1:$1048576,IF(OR($B236="STD. DEVIATION",$C$1=1),$A236,$A236+1),COLUMN('1-DATA'!AX234)),IF($B236="STD. DEVIATION",2,$F$1))))</f>
        <v/>
      </c>
      <c r="AZ236" s="1" t="str">
        <f>IF(OR($B236="",AZ$7=""),"",IF($B236="MEANS",INDEX('1-DATA'!$1:$1048576,$A235-1,COLUMN('1-DATA'!AY234)),ROUND(INDEX('1-DATA'!$1:$1048576,IF(OR($B236="STD. DEVIATION",$C$1=1),$A236,$A236+1),COLUMN('1-DATA'!AY234)),IF($B236="STD. DEVIATION",2,$F$1))))</f>
        <v/>
      </c>
    </row>
    <row r="237" spans="1:52" x14ac:dyDescent="0.25">
      <c r="A237" s="11">
        <f t="shared" si="4"/>
        <v>697</v>
      </c>
      <c r="B237" s="1" t="str">
        <f>IF(B236="STD. DEVIATION",INDEX('1-DATA'!$1:$1048576,$A236-1,1),IF(INDEX('1-DATA'!$1:$1048576,$A237,1)&lt;&gt;"",INDEX('1-DATA'!$1:$1048576,$A237,1),""))</f>
        <v/>
      </c>
      <c r="C237" s="1" t="str">
        <f>IF(OR($B237="",C$7=""),"",IF($B237="MEANS",INDEX('1-DATA'!$1:$1048576,$A236-1,COLUMN('1-DATA'!B235)),ROUND(INDEX('1-DATA'!$1:$1048576,IF(OR($B237="STD. DEVIATION",$C$1=1),$A237,$A237+1),COLUMN('1-DATA'!B235)),IF($B237="STD. DEVIATION",2,$F$1))))</f>
        <v/>
      </c>
      <c r="D237" s="1" t="str">
        <f>IF(OR($B237="",D$7=""),"",IF($B237="MEANS",INDEX('1-DATA'!$1:$1048576,$A236-1,COLUMN('1-DATA'!C235)),ROUND(INDEX('1-DATA'!$1:$1048576,IF(OR($B237="STD. DEVIATION",$C$1=1),$A237,$A237+1),COLUMN('1-DATA'!C235)),IF($B237="STD. DEVIATION",2,$F$1))))</f>
        <v/>
      </c>
      <c r="E237" s="1" t="str">
        <f>IF(OR($B237="",E$7=""),"",IF($B237="MEANS",INDEX('1-DATA'!$1:$1048576,$A236-1,COLUMN('1-DATA'!D235)),ROUND(INDEX('1-DATA'!$1:$1048576,IF(OR($B237="STD. DEVIATION",$C$1=1),$A237,$A237+1),COLUMN('1-DATA'!D235)),IF($B237="STD. DEVIATION",2,$F$1))))</f>
        <v/>
      </c>
      <c r="F237" s="1" t="str">
        <f>IF(OR($B237="",F$7=""),"",IF($B237="MEANS",INDEX('1-DATA'!$1:$1048576,$A236-1,COLUMN('1-DATA'!E235)),ROUND(INDEX('1-DATA'!$1:$1048576,IF(OR($B237="STD. DEVIATION",$C$1=1),$A237,$A237+1),COLUMN('1-DATA'!E235)),IF($B237="STD. DEVIATION",2,$F$1))))</f>
        <v/>
      </c>
      <c r="G237" s="1" t="str">
        <f>IF(OR($B237="",G$7=""),"",IF($B237="MEANS",INDEX('1-DATA'!$1:$1048576,$A236-1,COLUMN('1-DATA'!F235)),ROUND(INDEX('1-DATA'!$1:$1048576,IF(OR($B237="STD. DEVIATION",$C$1=1),$A237,$A237+1),COLUMN('1-DATA'!F235)),IF($B237="STD. DEVIATION",2,$F$1))))</f>
        <v/>
      </c>
      <c r="H237" s="1" t="str">
        <f>IF(OR($B237="",H$7=""),"",IF($B237="MEANS",INDEX('1-DATA'!$1:$1048576,$A236-1,COLUMN('1-DATA'!G235)),ROUND(INDEX('1-DATA'!$1:$1048576,IF(OR($B237="STD. DEVIATION",$C$1=1),$A237,$A237+1),COLUMN('1-DATA'!G235)),IF($B237="STD. DEVIATION",2,$F$1))))</f>
        <v/>
      </c>
      <c r="I237" s="1" t="str">
        <f>IF(OR($B237="",I$7=""),"",IF($B237="MEANS",INDEX('1-DATA'!$1:$1048576,$A236-1,COLUMN('1-DATA'!H235)),ROUND(INDEX('1-DATA'!$1:$1048576,IF(OR($B237="STD. DEVIATION",$C$1=1),$A237,$A237+1),COLUMN('1-DATA'!H235)),IF($B237="STD. DEVIATION",2,$F$1))))</f>
        <v/>
      </c>
      <c r="J237" s="1" t="str">
        <f>IF(OR($B237="",J$7=""),"",IF($B237="MEANS",INDEX('1-DATA'!$1:$1048576,$A236-1,COLUMN('1-DATA'!I235)),ROUND(INDEX('1-DATA'!$1:$1048576,IF(OR($B237="STD. DEVIATION",$C$1=1),$A237,$A237+1),COLUMN('1-DATA'!I235)),IF($B237="STD. DEVIATION",2,$F$1))))</f>
        <v/>
      </c>
      <c r="K237" s="1" t="str">
        <f>IF(OR($B237="",K$7=""),"",IF($B237="MEANS",INDEX('1-DATA'!$1:$1048576,$A236-1,COLUMN('1-DATA'!J235)),ROUND(INDEX('1-DATA'!$1:$1048576,IF(OR($B237="STD. DEVIATION",$C$1=1),$A237,$A237+1),COLUMN('1-DATA'!J235)),IF($B237="STD. DEVIATION",2,$F$1))))</f>
        <v/>
      </c>
      <c r="L237" s="1" t="str">
        <f>IF(OR($B237="",L$7=""),"",IF($B237="MEANS",INDEX('1-DATA'!$1:$1048576,$A236-1,COLUMN('1-DATA'!K235)),ROUND(INDEX('1-DATA'!$1:$1048576,IF(OR($B237="STD. DEVIATION",$C$1=1),$A237,$A237+1),COLUMN('1-DATA'!K235)),IF($B237="STD. DEVIATION",2,$F$1))))</f>
        <v/>
      </c>
      <c r="M237" s="1" t="str">
        <f>IF(OR($B237="",M$7=""),"",IF($B237="MEANS",INDEX('1-DATA'!$1:$1048576,$A236-1,COLUMN('1-DATA'!L235)),ROUND(INDEX('1-DATA'!$1:$1048576,IF(OR($B237="STD. DEVIATION",$C$1=1),$A237,$A237+1),COLUMN('1-DATA'!L235)),IF($B237="STD. DEVIATION",2,$F$1))))</f>
        <v/>
      </c>
      <c r="N237" s="1" t="str">
        <f>IF(OR($B237="",N$7=""),"",IF($B237="MEANS",INDEX('1-DATA'!$1:$1048576,$A236-1,COLUMN('1-DATA'!M235)),ROUND(INDEX('1-DATA'!$1:$1048576,IF(OR($B237="STD. DEVIATION",$C$1=1),$A237,$A237+1),COLUMN('1-DATA'!M235)),IF($B237="STD. DEVIATION",2,$F$1))))</f>
        <v/>
      </c>
      <c r="O237" s="1" t="str">
        <f>IF(OR($B237="",O$7=""),"",IF($B237="MEANS",INDEX('1-DATA'!$1:$1048576,$A236-1,COLUMN('1-DATA'!N235)),ROUND(INDEX('1-DATA'!$1:$1048576,IF(OR($B237="STD. DEVIATION",$C$1=1),$A237,$A237+1),COLUMN('1-DATA'!N235)),IF($B237="STD. DEVIATION",2,$F$1))))</f>
        <v/>
      </c>
      <c r="P237" s="1" t="str">
        <f>IF(OR($B237="",P$7=""),"",IF($B237="MEANS",INDEX('1-DATA'!$1:$1048576,$A236-1,COLUMN('1-DATA'!O235)),ROUND(INDEX('1-DATA'!$1:$1048576,IF(OR($B237="STD. DEVIATION",$C$1=1),$A237,$A237+1),COLUMN('1-DATA'!O235)),IF($B237="STD. DEVIATION",2,$F$1))))</f>
        <v/>
      </c>
      <c r="Q237" s="1" t="str">
        <f>IF(OR($B237="",Q$7=""),"",IF($B237="MEANS",INDEX('1-DATA'!$1:$1048576,$A236-1,COLUMN('1-DATA'!P235)),ROUND(INDEX('1-DATA'!$1:$1048576,IF(OR($B237="STD. DEVIATION",$C$1=1),$A237,$A237+1),COLUMN('1-DATA'!P235)),IF($B237="STD. DEVIATION",2,$F$1))))</f>
        <v/>
      </c>
      <c r="R237" s="1" t="str">
        <f>IF(OR($B237="",R$7=""),"",IF($B237="MEANS",INDEX('1-DATA'!$1:$1048576,$A236-1,COLUMN('1-DATA'!Q235)),ROUND(INDEX('1-DATA'!$1:$1048576,IF(OR($B237="STD. DEVIATION",$C$1=1),$A237,$A237+1),COLUMN('1-DATA'!Q235)),IF($B237="STD. DEVIATION",2,$F$1))))</f>
        <v/>
      </c>
      <c r="S237" s="1" t="str">
        <f>IF(OR($B237="",S$7=""),"",IF($B237="MEANS",INDEX('1-DATA'!$1:$1048576,$A236-1,COLUMN('1-DATA'!R235)),ROUND(INDEX('1-DATA'!$1:$1048576,IF(OR($B237="STD. DEVIATION",$C$1=1),$A237,$A237+1),COLUMN('1-DATA'!R235)),IF($B237="STD. DEVIATION",2,$F$1))))</f>
        <v/>
      </c>
      <c r="T237" s="1" t="str">
        <f>IF(OR($B237="",T$7=""),"",IF($B237="MEANS",INDEX('1-DATA'!$1:$1048576,$A236-1,COLUMN('1-DATA'!S235)),ROUND(INDEX('1-DATA'!$1:$1048576,IF(OR($B237="STD. DEVIATION",$C$1=1),$A237,$A237+1),COLUMN('1-DATA'!S235)),IF($B237="STD. DEVIATION",2,$F$1))))</f>
        <v/>
      </c>
      <c r="U237" s="1" t="str">
        <f>IF(OR($B237="",U$7=""),"",IF($B237="MEANS",INDEX('1-DATA'!$1:$1048576,$A236-1,COLUMN('1-DATA'!T235)),ROUND(INDEX('1-DATA'!$1:$1048576,IF(OR($B237="STD. DEVIATION",$C$1=1),$A237,$A237+1),COLUMN('1-DATA'!T235)),IF($B237="STD. DEVIATION",2,$F$1))))</f>
        <v/>
      </c>
      <c r="V237" s="1" t="str">
        <f>IF(OR($B237="",V$7=""),"",IF($B237="MEANS",INDEX('1-DATA'!$1:$1048576,$A236-1,COLUMN('1-DATA'!U235)),ROUND(INDEX('1-DATA'!$1:$1048576,IF(OR($B237="STD. DEVIATION",$C$1=1),$A237,$A237+1),COLUMN('1-DATA'!U235)),IF($B237="STD. DEVIATION",2,$F$1))))</f>
        <v/>
      </c>
      <c r="W237" s="1" t="str">
        <f>IF(OR($B237="",W$7=""),"",IF($B237="MEANS",INDEX('1-DATA'!$1:$1048576,$A236-1,COLUMN('1-DATA'!V235)),ROUND(INDEX('1-DATA'!$1:$1048576,IF(OR($B237="STD. DEVIATION",$C$1=1),$A237,$A237+1),COLUMN('1-DATA'!V235)),IF($B237="STD. DEVIATION",2,$F$1))))</f>
        <v/>
      </c>
      <c r="X237" s="1" t="str">
        <f>IF(OR($B237="",X$7=""),"",IF($B237="MEANS",INDEX('1-DATA'!$1:$1048576,$A236-1,COLUMN('1-DATA'!W235)),ROUND(INDEX('1-DATA'!$1:$1048576,IF(OR($B237="STD. DEVIATION",$C$1=1),$A237,$A237+1),COLUMN('1-DATA'!W235)),IF($B237="STD. DEVIATION",2,$F$1))))</f>
        <v/>
      </c>
      <c r="Y237" s="1" t="str">
        <f>IF(OR($B237="",Y$7=""),"",IF($B237="MEANS",INDEX('1-DATA'!$1:$1048576,$A236-1,COLUMN('1-DATA'!X235)),ROUND(INDEX('1-DATA'!$1:$1048576,IF(OR($B237="STD. DEVIATION",$C$1=1),$A237,$A237+1),COLUMN('1-DATA'!X235)),IF($B237="STD. DEVIATION",2,$F$1))))</f>
        <v/>
      </c>
      <c r="Z237" s="1" t="str">
        <f>IF(OR($B237="",Z$7=""),"",IF($B237="MEANS",INDEX('1-DATA'!$1:$1048576,$A236-1,COLUMN('1-DATA'!Y235)),ROUND(INDEX('1-DATA'!$1:$1048576,IF(OR($B237="STD. DEVIATION",$C$1=1),$A237,$A237+1),COLUMN('1-DATA'!Y235)),IF($B237="STD. DEVIATION",2,$F$1))))</f>
        <v/>
      </c>
      <c r="AA237" s="1" t="str">
        <f>IF(OR($B237="",AA$7=""),"",IF($B237="MEANS",INDEX('1-DATA'!$1:$1048576,$A236-1,COLUMN('1-DATA'!Z235)),ROUND(INDEX('1-DATA'!$1:$1048576,IF(OR($B237="STD. DEVIATION",$C$1=1),$A237,$A237+1),COLUMN('1-DATA'!Z235)),IF($B237="STD. DEVIATION",2,$F$1))))</f>
        <v/>
      </c>
      <c r="AB237" s="1" t="str">
        <f>IF(OR($B237="",AB$7=""),"",IF($B237="MEANS",INDEX('1-DATA'!$1:$1048576,$A236-1,COLUMN('1-DATA'!AA235)),ROUND(INDEX('1-DATA'!$1:$1048576,IF(OR($B237="STD. DEVIATION",$C$1=1),$A237,$A237+1),COLUMN('1-DATA'!AA235)),IF($B237="STD. DEVIATION",2,$F$1))))</f>
        <v/>
      </c>
      <c r="AC237" s="1" t="str">
        <f>IF(OR($B237="",AC$7=""),"",IF($B237="MEANS",INDEX('1-DATA'!$1:$1048576,$A236-1,COLUMN('1-DATA'!AB235)),ROUND(INDEX('1-DATA'!$1:$1048576,IF(OR($B237="STD. DEVIATION",$C$1=1),$A237,$A237+1),COLUMN('1-DATA'!AB235)),IF($B237="STD. DEVIATION",2,$F$1))))</f>
        <v/>
      </c>
      <c r="AD237" s="1" t="str">
        <f>IF(OR($B237="",AD$7=""),"",IF($B237="MEANS",INDEX('1-DATA'!$1:$1048576,$A236-1,COLUMN('1-DATA'!AC235)),ROUND(INDEX('1-DATA'!$1:$1048576,IF(OR($B237="STD. DEVIATION",$C$1=1),$A237,$A237+1),COLUMN('1-DATA'!AC235)),IF($B237="STD. DEVIATION",2,$F$1))))</f>
        <v/>
      </c>
      <c r="AE237" s="1" t="str">
        <f>IF(OR($B237="",AE$7=""),"",IF($B237="MEANS",INDEX('1-DATA'!$1:$1048576,$A236-1,COLUMN('1-DATA'!AD235)),ROUND(INDEX('1-DATA'!$1:$1048576,IF(OR($B237="STD. DEVIATION",$C$1=1),$A237,$A237+1),COLUMN('1-DATA'!AD235)),IF($B237="STD. DEVIATION",2,$F$1))))</f>
        <v/>
      </c>
      <c r="AF237" s="1" t="str">
        <f>IF(OR($B237="",AF$7=""),"",IF($B237="MEANS",INDEX('1-DATA'!$1:$1048576,$A236-1,COLUMN('1-DATA'!AE235)),ROUND(INDEX('1-DATA'!$1:$1048576,IF(OR($B237="STD. DEVIATION",$C$1=1),$A237,$A237+1),COLUMN('1-DATA'!AE235)),IF($B237="STD. DEVIATION",2,$F$1))))</f>
        <v/>
      </c>
      <c r="AG237" s="1" t="str">
        <f>IF(OR($B237="",AG$7=""),"",IF($B237="MEANS",INDEX('1-DATA'!$1:$1048576,$A236-1,COLUMN('1-DATA'!AF235)),ROUND(INDEX('1-DATA'!$1:$1048576,IF(OR($B237="STD. DEVIATION",$C$1=1),$A237,$A237+1),COLUMN('1-DATA'!AF235)),IF($B237="STD. DEVIATION",2,$F$1))))</f>
        <v/>
      </c>
      <c r="AH237" s="1" t="str">
        <f>IF(OR($B237="",AH$7=""),"",IF($B237="MEANS",INDEX('1-DATA'!$1:$1048576,$A236-1,COLUMN('1-DATA'!AG235)),ROUND(INDEX('1-DATA'!$1:$1048576,IF(OR($B237="STD. DEVIATION",$C$1=1),$A237,$A237+1),COLUMN('1-DATA'!AG235)),IF($B237="STD. DEVIATION",2,$F$1))))</f>
        <v/>
      </c>
      <c r="AI237" s="1" t="str">
        <f>IF(OR($B237="",AI$7=""),"",IF($B237="MEANS",INDEX('1-DATA'!$1:$1048576,$A236-1,COLUMN('1-DATA'!AH235)),ROUND(INDEX('1-DATA'!$1:$1048576,IF(OR($B237="STD. DEVIATION",$C$1=1),$A237,$A237+1),COLUMN('1-DATA'!AH235)),IF($B237="STD. DEVIATION",2,$F$1))))</f>
        <v/>
      </c>
      <c r="AJ237" s="1" t="str">
        <f>IF(OR($B237="",AJ$7=""),"",IF($B237="MEANS",INDEX('1-DATA'!$1:$1048576,$A236-1,COLUMN('1-DATA'!AI235)),ROUND(INDEX('1-DATA'!$1:$1048576,IF(OR($B237="STD. DEVIATION",$C$1=1),$A237,$A237+1),COLUMN('1-DATA'!AI235)),IF($B237="STD. DEVIATION",2,$F$1))))</f>
        <v/>
      </c>
      <c r="AK237" s="1" t="str">
        <f>IF(OR($B237="",AK$7=""),"",IF($B237="MEANS",INDEX('1-DATA'!$1:$1048576,$A236-1,COLUMN('1-DATA'!AJ235)),ROUND(INDEX('1-DATA'!$1:$1048576,IF(OR($B237="STD. DEVIATION",$C$1=1),$A237,$A237+1),COLUMN('1-DATA'!AJ235)),IF($B237="STD. DEVIATION",2,$F$1))))</f>
        <v/>
      </c>
      <c r="AL237" s="1" t="str">
        <f>IF(OR($B237="",AL$7=""),"",IF($B237="MEANS",INDEX('1-DATA'!$1:$1048576,$A236-1,COLUMN('1-DATA'!AK235)),ROUND(INDEX('1-DATA'!$1:$1048576,IF(OR($B237="STD. DEVIATION",$C$1=1),$A237,$A237+1),COLUMN('1-DATA'!AK235)),IF($B237="STD. DEVIATION",2,$F$1))))</f>
        <v/>
      </c>
      <c r="AM237" s="1" t="str">
        <f>IF(OR($B237="",AM$7=""),"",IF($B237="MEANS",INDEX('1-DATA'!$1:$1048576,$A236-1,COLUMN('1-DATA'!AL235)),ROUND(INDEX('1-DATA'!$1:$1048576,IF(OR($B237="STD. DEVIATION",$C$1=1),$A237,$A237+1),COLUMN('1-DATA'!AL235)),IF($B237="STD. DEVIATION",2,$F$1))))</f>
        <v/>
      </c>
      <c r="AN237" s="1" t="str">
        <f>IF(OR($B237="",AN$7=""),"",IF($B237="MEANS",INDEX('1-DATA'!$1:$1048576,$A236-1,COLUMN('1-DATA'!AM235)),ROUND(INDEX('1-DATA'!$1:$1048576,IF(OR($B237="STD. DEVIATION",$C$1=1),$A237,$A237+1),COLUMN('1-DATA'!AM235)),IF($B237="STD. DEVIATION",2,$F$1))))</f>
        <v/>
      </c>
      <c r="AO237" s="1" t="str">
        <f>IF(OR($B237="",AO$7=""),"",IF($B237="MEANS",INDEX('1-DATA'!$1:$1048576,$A236-1,COLUMN('1-DATA'!AN235)),ROUND(INDEX('1-DATA'!$1:$1048576,IF(OR($B237="STD. DEVIATION",$C$1=1),$A237,$A237+1),COLUMN('1-DATA'!AN235)),IF($B237="STD. DEVIATION",2,$F$1))))</f>
        <v/>
      </c>
      <c r="AP237" s="1" t="str">
        <f>IF(OR($B237="",AP$7=""),"",IF($B237="MEANS",INDEX('1-DATA'!$1:$1048576,$A236-1,COLUMN('1-DATA'!AO235)),ROUND(INDEX('1-DATA'!$1:$1048576,IF(OR($B237="STD. DEVIATION",$C$1=1),$A237,$A237+1),COLUMN('1-DATA'!AO235)),IF($B237="STD. DEVIATION",2,$F$1))))</f>
        <v/>
      </c>
      <c r="AQ237" s="1" t="str">
        <f>IF(OR($B237="",AQ$7=""),"",IF($B237="MEANS",INDEX('1-DATA'!$1:$1048576,$A236-1,COLUMN('1-DATA'!AP235)),ROUND(INDEX('1-DATA'!$1:$1048576,IF(OR($B237="STD. DEVIATION",$C$1=1),$A237,$A237+1),COLUMN('1-DATA'!AP235)),IF($B237="STD. DEVIATION",2,$F$1))))</f>
        <v/>
      </c>
      <c r="AR237" s="1" t="str">
        <f>IF(OR($B237="",AR$7=""),"",IF($B237="MEANS",INDEX('1-DATA'!$1:$1048576,$A236-1,COLUMN('1-DATA'!AQ235)),ROUND(INDEX('1-DATA'!$1:$1048576,IF(OR($B237="STD. DEVIATION",$C$1=1),$A237,$A237+1),COLUMN('1-DATA'!AQ235)),IF($B237="STD. DEVIATION",2,$F$1))))</f>
        <v/>
      </c>
      <c r="AS237" s="1" t="str">
        <f>IF(OR($B237="",AS$7=""),"",IF($B237="MEANS",INDEX('1-DATA'!$1:$1048576,$A236-1,COLUMN('1-DATA'!AR235)),ROUND(INDEX('1-DATA'!$1:$1048576,IF(OR($B237="STD. DEVIATION",$C$1=1),$A237,$A237+1),COLUMN('1-DATA'!AR235)),IF($B237="STD. DEVIATION",2,$F$1))))</f>
        <v/>
      </c>
      <c r="AT237" s="1" t="str">
        <f>IF(OR($B237="",AT$7=""),"",IF($B237="MEANS",INDEX('1-DATA'!$1:$1048576,$A236-1,COLUMN('1-DATA'!AS235)),ROUND(INDEX('1-DATA'!$1:$1048576,IF(OR($B237="STD. DEVIATION",$C$1=1),$A237,$A237+1),COLUMN('1-DATA'!AS235)),IF($B237="STD. DEVIATION",2,$F$1))))</f>
        <v/>
      </c>
      <c r="AU237" s="1" t="str">
        <f>IF(OR($B237="",AU$7=""),"",IF($B237="MEANS",INDEX('1-DATA'!$1:$1048576,$A236-1,COLUMN('1-DATA'!AT235)),ROUND(INDEX('1-DATA'!$1:$1048576,IF(OR($B237="STD. DEVIATION",$C$1=1),$A237,$A237+1),COLUMN('1-DATA'!AT235)),IF($B237="STD. DEVIATION",2,$F$1))))</f>
        <v/>
      </c>
      <c r="AV237" s="1" t="str">
        <f>IF(OR($B237="",AV$7=""),"",IF($B237="MEANS",INDEX('1-DATA'!$1:$1048576,$A236-1,COLUMN('1-DATA'!AU235)),ROUND(INDEX('1-DATA'!$1:$1048576,IF(OR($B237="STD. DEVIATION",$C$1=1),$A237,$A237+1),COLUMN('1-DATA'!AU235)),IF($B237="STD. DEVIATION",2,$F$1))))</f>
        <v/>
      </c>
      <c r="AW237" s="1" t="str">
        <f>IF(OR($B237="",AW$7=""),"",IF($B237="MEANS",INDEX('1-DATA'!$1:$1048576,$A236-1,COLUMN('1-DATA'!AV235)),ROUND(INDEX('1-DATA'!$1:$1048576,IF(OR($B237="STD. DEVIATION",$C$1=1),$A237,$A237+1),COLUMN('1-DATA'!AV235)),IF($B237="STD. DEVIATION",2,$F$1))))</f>
        <v/>
      </c>
      <c r="AX237" s="1" t="str">
        <f>IF(OR($B237="",AX$7=""),"",IF($B237="MEANS",INDEX('1-DATA'!$1:$1048576,$A236-1,COLUMN('1-DATA'!AW235)),ROUND(INDEX('1-DATA'!$1:$1048576,IF(OR($B237="STD. DEVIATION",$C$1=1),$A237,$A237+1),COLUMN('1-DATA'!AW235)),IF($B237="STD. DEVIATION",2,$F$1))))</f>
        <v/>
      </c>
      <c r="AY237" s="1" t="str">
        <f>IF(OR($B237="",AY$7=""),"",IF($B237="MEANS",INDEX('1-DATA'!$1:$1048576,$A236-1,COLUMN('1-DATA'!AX235)),ROUND(INDEX('1-DATA'!$1:$1048576,IF(OR($B237="STD. DEVIATION",$C$1=1),$A237,$A237+1),COLUMN('1-DATA'!AX235)),IF($B237="STD. DEVIATION",2,$F$1))))</f>
        <v/>
      </c>
      <c r="AZ237" s="1" t="str">
        <f>IF(OR($B237="",AZ$7=""),"",IF($B237="MEANS",INDEX('1-DATA'!$1:$1048576,$A236-1,COLUMN('1-DATA'!AY235)),ROUND(INDEX('1-DATA'!$1:$1048576,IF(OR($B237="STD. DEVIATION",$C$1=1),$A237,$A237+1),COLUMN('1-DATA'!AY235)),IF($B237="STD. DEVIATION",2,$F$1))))</f>
        <v/>
      </c>
    </row>
    <row r="238" spans="1:52" x14ac:dyDescent="0.25">
      <c r="A238" s="11">
        <f t="shared" si="4"/>
        <v>700</v>
      </c>
      <c r="B238" s="1" t="str">
        <f>IF(B237="STD. DEVIATION",INDEX('1-DATA'!$1:$1048576,$A237-1,1),IF(INDEX('1-DATA'!$1:$1048576,$A238,1)&lt;&gt;"",INDEX('1-DATA'!$1:$1048576,$A238,1),""))</f>
        <v/>
      </c>
      <c r="C238" s="1" t="str">
        <f>IF(OR($B238="",C$7=""),"",IF($B238="MEANS",INDEX('1-DATA'!$1:$1048576,$A237-1,COLUMN('1-DATA'!B236)),ROUND(INDEX('1-DATA'!$1:$1048576,IF(OR($B238="STD. DEVIATION",$C$1=1),$A238,$A238+1),COLUMN('1-DATA'!B236)),IF($B238="STD. DEVIATION",2,$F$1))))</f>
        <v/>
      </c>
      <c r="D238" s="1" t="str">
        <f>IF(OR($B238="",D$7=""),"",IF($B238="MEANS",INDEX('1-DATA'!$1:$1048576,$A237-1,COLUMN('1-DATA'!C236)),ROUND(INDEX('1-DATA'!$1:$1048576,IF(OR($B238="STD. DEVIATION",$C$1=1),$A238,$A238+1),COLUMN('1-DATA'!C236)),IF($B238="STD. DEVIATION",2,$F$1))))</f>
        <v/>
      </c>
      <c r="E238" s="1" t="str">
        <f>IF(OR($B238="",E$7=""),"",IF($B238="MEANS",INDEX('1-DATA'!$1:$1048576,$A237-1,COLUMN('1-DATA'!D236)),ROUND(INDEX('1-DATA'!$1:$1048576,IF(OR($B238="STD. DEVIATION",$C$1=1),$A238,$A238+1),COLUMN('1-DATA'!D236)),IF($B238="STD. DEVIATION",2,$F$1))))</f>
        <v/>
      </c>
      <c r="F238" s="1" t="str">
        <f>IF(OR($B238="",F$7=""),"",IF($B238="MEANS",INDEX('1-DATA'!$1:$1048576,$A237-1,COLUMN('1-DATA'!E236)),ROUND(INDEX('1-DATA'!$1:$1048576,IF(OR($B238="STD. DEVIATION",$C$1=1),$A238,$A238+1),COLUMN('1-DATA'!E236)),IF($B238="STD. DEVIATION",2,$F$1))))</f>
        <v/>
      </c>
      <c r="G238" s="1" t="str">
        <f>IF(OR($B238="",G$7=""),"",IF($B238="MEANS",INDEX('1-DATA'!$1:$1048576,$A237-1,COLUMN('1-DATA'!F236)),ROUND(INDEX('1-DATA'!$1:$1048576,IF(OR($B238="STD. DEVIATION",$C$1=1),$A238,$A238+1),COLUMN('1-DATA'!F236)),IF($B238="STD. DEVIATION",2,$F$1))))</f>
        <v/>
      </c>
      <c r="H238" s="1" t="str">
        <f>IF(OR($B238="",H$7=""),"",IF($B238="MEANS",INDEX('1-DATA'!$1:$1048576,$A237-1,COLUMN('1-DATA'!G236)),ROUND(INDEX('1-DATA'!$1:$1048576,IF(OR($B238="STD. DEVIATION",$C$1=1),$A238,$A238+1),COLUMN('1-DATA'!G236)),IF($B238="STD. DEVIATION",2,$F$1))))</f>
        <v/>
      </c>
      <c r="I238" s="1" t="str">
        <f>IF(OR($B238="",I$7=""),"",IF($B238="MEANS",INDEX('1-DATA'!$1:$1048576,$A237-1,COLUMN('1-DATA'!H236)),ROUND(INDEX('1-DATA'!$1:$1048576,IF(OR($B238="STD. DEVIATION",$C$1=1),$A238,$A238+1),COLUMN('1-DATA'!H236)),IF($B238="STD. DEVIATION",2,$F$1))))</f>
        <v/>
      </c>
      <c r="J238" s="1" t="str">
        <f>IF(OR($B238="",J$7=""),"",IF($B238="MEANS",INDEX('1-DATA'!$1:$1048576,$A237-1,COLUMN('1-DATA'!I236)),ROUND(INDEX('1-DATA'!$1:$1048576,IF(OR($B238="STD. DEVIATION",$C$1=1),$A238,$A238+1),COLUMN('1-DATA'!I236)),IF($B238="STD. DEVIATION",2,$F$1))))</f>
        <v/>
      </c>
      <c r="K238" s="1" t="str">
        <f>IF(OR($B238="",K$7=""),"",IF($B238="MEANS",INDEX('1-DATA'!$1:$1048576,$A237-1,COLUMN('1-DATA'!J236)),ROUND(INDEX('1-DATA'!$1:$1048576,IF(OR($B238="STD. DEVIATION",$C$1=1),$A238,$A238+1),COLUMN('1-DATA'!J236)),IF($B238="STD. DEVIATION",2,$F$1))))</f>
        <v/>
      </c>
      <c r="L238" s="1" t="str">
        <f>IF(OR($B238="",L$7=""),"",IF($B238="MEANS",INDEX('1-DATA'!$1:$1048576,$A237-1,COLUMN('1-DATA'!K236)),ROUND(INDEX('1-DATA'!$1:$1048576,IF(OR($B238="STD. DEVIATION",$C$1=1),$A238,$A238+1),COLUMN('1-DATA'!K236)),IF($B238="STD. DEVIATION",2,$F$1))))</f>
        <v/>
      </c>
      <c r="M238" s="1" t="str">
        <f>IF(OR($B238="",M$7=""),"",IF($B238="MEANS",INDEX('1-DATA'!$1:$1048576,$A237-1,COLUMN('1-DATA'!L236)),ROUND(INDEX('1-DATA'!$1:$1048576,IF(OR($B238="STD. DEVIATION",$C$1=1),$A238,$A238+1),COLUMN('1-DATA'!L236)),IF($B238="STD. DEVIATION",2,$F$1))))</f>
        <v/>
      </c>
      <c r="N238" s="1" t="str">
        <f>IF(OR($B238="",N$7=""),"",IF($B238="MEANS",INDEX('1-DATA'!$1:$1048576,$A237-1,COLUMN('1-DATA'!M236)),ROUND(INDEX('1-DATA'!$1:$1048576,IF(OR($B238="STD. DEVIATION",$C$1=1),$A238,$A238+1),COLUMN('1-DATA'!M236)),IF($B238="STD. DEVIATION",2,$F$1))))</f>
        <v/>
      </c>
      <c r="O238" s="1" t="str">
        <f>IF(OR($B238="",O$7=""),"",IF($B238="MEANS",INDEX('1-DATA'!$1:$1048576,$A237-1,COLUMN('1-DATA'!N236)),ROUND(INDEX('1-DATA'!$1:$1048576,IF(OR($B238="STD. DEVIATION",$C$1=1),$A238,$A238+1),COLUMN('1-DATA'!N236)),IF($B238="STD. DEVIATION",2,$F$1))))</f>
        <v/>
      </c>
      <c r="P238" s="1" t="str">
        <f>IF(OR($B238="",P$7=""),"",IF($B238="MEANS",INDEX('1-DATA'!$1:$1048576,$A237-1,COLUMN('1-DATA'!O236)),ROUND(INDEX('1-DATA'!$1:$1048576,IF(OR($B238="STD. DEVIATION",$C$1=1),$A238,$A238+1),COLUMN('1-DATA'!O236)),IF($B238="STD. DEVIATION",2,$F$1))))</f>
        <v/>
      </c>
      <c r="Q238" s="1" t="str">
        <f>IF(OR($B238="",Q$7=""),"",IF($B238="MEANS",INDEX('1-DATA'!$1:$1048576,$A237-1,COLUMN('1-DATA'!P236)),ROUND(INDEX('1-DATA'!$1:$1048576,IF(OR($B238="STD. DEVIATION",$C$1=1),$A238,$A238+1),COLUMN('1-DATA'!P236)),IF($B238="STD. DEVIATION",2,$F$1))))</f>
        <v/>
      </c>
      <c r="R238" s="1" t="str">
        <f>IF(OR($B238="",R$7=""),"",IF($B238="MEANS",INDEX('1-DATA'!$1:$1048576,$A237-1,COLUMN('1-DATA'!Q236)),ROUND(INDEX('1-DATA'!$1:$1048576,IF(OR($B238="STD. DEVIATION",$C$1=1),$A238,$A238+1),COLUMN('1-DATA'!Q236)),IF($B238="STD. DEVIATION",2,$F$1))))</f>
        <v/>
      </c>
      <c r="S238" s="1" t="str">
        <f>IF(OR($B238="",S$7=""),"",IF($B238="MEANS",INDEX('1-DATA'!$1:$1048576,$A237-1,COLUMN('1-DATA'!R236)),ROUND(INDEX('1-DATA'!$1:$1048576,IF(OR($B238="STD. DEVIATION",$C$1=1),$A238,$A238+1),COLUMN('1-DATA'!R236)),IF($B238="STD. DEVIATION",2,$F$1))))</f>
        <v/>
      </c>
      <c r="T238" s="1" t="str">
        <f>IF(OR($B238="",T$7=""),"",IF($B238="MEANS",INDEX('1-DATA'!$1:$1048576,$A237-1,COLUMN('1-DATA'!S236)),ROUND(INDEX('1-DATA'!$1:$1048576,IF(OR($B238="STD. DEVIATION",$C$1=1),$A238,$A238+1),COLUMN('1-DATA'!S236)),IF($B238="STD. DEVIATION",2,$F$1))))</f>
        <v/>
      </c>
      <c r="U238" s="1" t="str">
        <f>IF(OR($B238="",U$7=""),"",IF($B238="MEANS",INDEX('1-DATA'!$1:$1048576,$A237-1,COLUMN('1-DATA'!T236)),ROUND(INDEX('1-DATA'!$1:$1048576,IF(OR($B238="STD. DEVIATION",$C$1=1),$A238,$A238+1),COLUMN('1-DATA'!T236)),IF($B238="STD. DEVIATION",2,$F$1))))</f>
        <v/>
      </c>
      <c r="V238" s="1" t="str">
        <f>IF(OR($B238="",V$7=""),"",IF($B238="MEANS",INDEX('1-DATA'!$1:$1048576,$A237-1,COLUMN('1-DATA'!U236)),ROUND(INDEX('1-DATA'!$1:$1048576,IF(OR($B238="STD. DEVIATION",$C$1=1),$A238,$A238+1),COLUMN('1-DATA'!U236)),IF($B238="STD. DEVIATION",2,$F$1))))</f>
        <v/>
      </c>
      <c r="W238" s="1" t="str">
        <f>IF(OR($B238="",W$7=""),"",IF($B238="MEANS",INDEX('1-DATA'!$1:$1048576,$A237-1,COLUMN('1-DATA'!V236)),ROUND(INDEX('1-DATA'!$1:$1048576,IF(OR($B238="STD. DEVIATION",$C$1=1),$A238,$A238+1),COLUMN('1-DATA'!V236)),IF($B238="STD. DEVIATION",2,$F$1))))</f>
        <v/>
      </c>
      <c r="X238" s="1" t="str">
        <f>IF(OR($B238="",X$7=""),"",IF($B238="MEANS",INDEX('1-DATA'!$1:$1048576,$A237-1,COLUMN('1-DATA'!W236)),ROUND(INDEX('1-DATA'!$1:$1048576,IF(OR($B238="STD. DEVIATION",$C$1=1),$A238,$A238+1),COLUMN('1-DATA'!W236)),IF($B238="STD. DEVIATION",2,$F$1))))</f>
        <v/>
      </c>
      <c r="Y238" s="1" t="str">
        <f>IF(OR($B238="",Y$7=""),"",IF($B238="MEANS",INDEX('1-DATA'!$1:$1048576,$A237-1,COLUMN('1-DATA'!X236)),ROUND(INDEX('1-DATA'!$1:$1048576,IF(OR($B238="STD. DEVIATION",$C$1=1),$A238,$A238+1),COLUMN('1-DATA'!X236)),IF($B238="STD. DEVIATION",2,$F$1))))</f>
        <v/>
      </c>
      <c r="Z238" s="1" t="str">
        <f>IF(OR($B238="",Z$7=""),"",IF($B238="MEANS",INDEX('1-DATA'!$1:$1048576,$A237-1,COLUMN('1-DATA'!Y236)),ROUND(INDEX('1-DATA'!$1:$1048576,IF(OR($B238="STD. DEVIATION",$C$1=1),$A238,$A238+1),COLUMN('1-DATA'!Y236)),IF($B238="STD. DEVIATION",2,$F$1))))</f>
        <v/>
      </c>
      <c r="AA238" s="1" t="str">
        <f>IF(OR($B238="",AA$7=""),"",IF($B238="MEANS",INDEX('1-DATA'!$1:$1048576,$A237-1,COLUMN('1-DATA'!Z236)),ROUND(INDEX('1-DATA'!$1:$1048576,IF(OR($B238="STD. DEVIATION",$C$1=1),$A238,$A238+1),COLUMN('1-DATA'!Z236)),IF($B238="STD. DEVIATION",2,$F$1))))</f>
        <v/>
      </c>
      <c r="AB238" s="1" t="str">
        <f>IF(OR($B238="",AB$7=""),"",IF($B238="MEANS",INDEX('1-DATA'!$1:$1048576,$A237-1,COLUMN('1-DATA'!AA236)),ROUND(INDEX('1-DATA'!$1:$1048576,IF(OR($B238="STD. DEVIATION",$C$1=1),$A238,$A238+1),COLUMN('1-DATA'!AA236)),IF($B238="STD. DEVIATION",2,$F$1))))</f>
        <v/>
      </c>
      <c r="AC238" s="1" t="str">
        <f>IF(OR($B238="",AC$7=""),"",IF($B238="MEANS",INDEX('1-DATA'!$1:$1048576,$A237-1,COLUMN('1-DATA'!AB236)),ROUND(INDEX('1-DATA'!$1:$1048576,IF(OR($B238="STD. DEVIATION",$C$1=1),$A238,$A238+1),COLUMN('1-DATA'!AB236)),IF($B238="STD. DEVIATION",2,$F$1))))</f>
        <v/>
      </c>
      <c r="AD238" s="1" t="str">
        <f>IF(OR($B238="",AD$7=""),"",IF($B238="MEANS",INDEX('1-DATA'!$1:$1048576,$A237-1,COLUMN('1-DATA'!AC236)),ROUND(INDEX('1-DATA'!$1:$1048576,IF(OR($B238="STD. DEVIATION",$C$1=1),$A238,$A238+1),COLUMN('1-DATA'!AC236)),IF($B238="STD. DEVIATION",2,$F$1))))</f>
        <v/>
      </c>
      <c r="AE238" s="1" t="str">
        <f>IF(OR($B238="",AE$7=""),"",IF($B238="MEANS",INDEX('1-DATA'!$1:$1048576,$A237-1,COLUMN('1-DATA'!AD236)),ROUND(INDEX('1-DATA'!$1:$1048576,IF(OR($B238="STD. DEVIATION",$C$1=1),$A238,$A238+1),COLUMN('1-DATA'!AD236)),IF($B238="STD. DEVIATION",2,$F$1))))</f>
        <v/>
      </c>
      <c r="AF238" s="1" t="str">
        <f>IF(OR($B238="",AF$7=""),"",IF($B238="MEANS",INDEX('1-DATA'!$1:$1048576,$A237-1,COLUMN('1-DATA'!AE236)),ROUND(INDEX('1-DATA'!$1:$1048576,IF(OR($B238="STD. DEVIATION",$C$1=1),$A238,$A238+1),COLUMN('1-DATA'!AE236)),IF($B238="STD. DEVIATION",2,$F$1))))</f>
        <v/>
      </c>
      <c r="AG238" s="1" t="str">
        <f>IF(OR($B238="",AG$7=""),"",IF($B238="MEANS",INDEX('1-DATA'!$1:$1048576,$A237-1,COLUMN('1-DATA'!AF236)),ROUND(INDEX('1-DATA'!$1:$1048576,IF(OR($B238="STD. DEVIATION",$C$1=1),$A238,$A238+1),COLUMN('1-DATA'!AF236)),IF($B238="STD. DEVIATION",2,$F$1))))</f>
        <v/>
      </c>
      <c r="AH238" s="1" t="str">
        <f>IF(OR($B238="",AH$7=""),"",IF($B238="MEANS",INDEX('1-DATA'!$1:$1048576,$A237-1,COLUMN('1-DATA'!AG236)),ROUND(INDEX('1-DATA'!$1:$1048576,IF(OR($B238="STD. DEVIATION",$C$1=1),$A238,$A238+1),COLUMN('1-DATA'!AG236)),IF($B238="STD. DEVIATION",2,$F$1))))</f>
        <v/>
      </c>
      <c r="AI238" s="1" t="str">
        <f>IF(OR($B238="",AI$7=""),"",IF($B238="MEANS",INDEX('1-DATA'!$1:$1048576,$A237-1,COLUMN('1-DATA'!AH236)),ROUND(INDEX('1-DATA'!$1:$1048576,IF(OR($B238="STD. DEVIATION",$C$1=1),$A238,$A238+1),COLUMN('1-DATA'!AH236)),IF($B238="STD. DEVIATION",2,$F$1))))</f>
        <v/>
      </c>
      <c r="AJ238" s="1" t="str">
        <f>IF(OR($B238="",AJ$7=""),"",IF($B238="MEANS",INDEX('1-DATA'!$1:$1048576,$A237-1,COLUMN('1-DATA'!AI236)),ROUND(INDEX('1-DATA'!$1:$1048576,IF(OR($B238="STD. DEVIATION",$C$1=1),$A238,$A238+1),COLUMN('1-DATA'!AI236)),IF($B238="STD. DEVIATION",2,$F$1))))</f>
        <v/>
      </c>
      <c r="AK238" s="1" t="str">
        <f>IF(OR($B238="",AK$7=""),"",IF($B238="MEANS",INDEX('1-DATA'!$1:$1048576,$A237-1,COLUMN('1-DATA'!AJ236)),ROUND(INDEX('1-DATA'!$1:$1048576,IF(OR($B238="STD. DEVIATION",$C$1=1),$A238,$A238+1),COLUMN('1-DATA'!AJ236)),IF($B238="STD. DEVIATION",2,$F$1))))</f>
        <v/>
      </c>
      <c r="AL238" s="1" t="str">
        <f>IF(OR($B238="",AL$7=""),"",IF($B238="MEANS",INDEX('1-DATA'!$1:$1048576,$A237-1,COLUMN('1-DATA'!AK236)),ROUND(INDEX('1-DATA'!$1:$1048576,IF(OR($B238="STD. DEVIATION",$C$1=1),$A238,$A238+1),COLUMN('1-DATA'!AK236)),IF($B238="STD. DEVIATION",2,$F$1))))</f>
        <v/>
      </c>
      <c r="AM238" s="1" t="str">
        <f>IF(OR($B238="",AM$7=""),"",IF($B238="MEANS",INDEX('1-DATA'!$1:$1048576,$A237-1,COLUMN('1-DATA'!AL236)),ROUND(INDEX('1-DATA'!$1:$1048576,IF(OR($B238="STD. DEVIATION",$C$1=1),$A238,$A238+1),COLUMN('1-DATA'!AL236)),IF($B238="STD. DEVIATION",2,$F$1))))</f>
        <v/>
      </c>
      <c r="AN238" s="1" t="str">
        <f>IF(OR($B238="",AN$7=""),"",IF($B238="MEANS",INDEX('1-DATA'!$1:$1048576,$A237-1,COLUMN('1-DATA'!AM236)),ROUND(INDEX('1-DATA'!$1:$1048576,IF(OR($B238="STD. DEVIATION",$C$1=1),$A238,$A238+1),COLUMN('1-DATA'!AM236)),IF($B238="STD. DEVIATION",2,$F$1))))</f>
        <v/>
      </c>
      <c r="AO238" s="1" t="str">
        <f>IF(OR($B238="",AO$7=""),"",IF($B238="MEANS",INDEX('1-DATA'!$1:$1048576,$A237-1,COLUMN('1-DATA'!AN236)),ROUND(INDEX('1-DATA'!$1:$1048576,IF(OR($B238="STD. DEVIATION",$C$1=1),$A238,$A238+1),COLUMN('1-DATA'!AN236)),IF($B238="STD. DEVIATION",2,$F$1))))</f>
        <v/>
      </c>
      <c r="AP238" s="1" t="str">
        <f>IF(OR($B238="",AP$7=""),"",IF($B238="MEANS",INDEX('1-DATA'!$1:$1048576,$A237-1,COLUMN('1-DATA'!AO236)),ROUND(INDEX('1-DATA'!$1:$1048576,IF(OR($B238="STD. DEVIATION",$C$1=1),$A238,$A238+1),COLUMN('1-DATA'!AO236)),IF($B238="STD. DEVIATION",2,$F$1))))</f>
        <v/>
      </c>
      <c r="AQ238" s="1" t="str">
        <f>IF(OR($B238="",AQ$7=""),"",IF($B238="MEANS",INDEX('1-DATA'!$1:$1048576,$A237-1,COLUMN('1-DATA'!AP236)),ROUND(INDEX('1-DATA'!$1:$1048576,IF(OR($B238="STD. DEVIATION",$C$1=1),$A238,$A238+1),COLUMN('1-DATA'!AP236)),IF($B238="STD. DEVIATION",2,$F$1))))</f>
        <v/>
      </c>
      <c r="AR238" s="1" t="str">
        <f>IF(OR($B238="",AR$7=""),"",IF($B238="MEANS",INDEX('1-DATA'!$1:$1048576,$A237-1,COLUMN('1-DATA'!AQ236)),ROUND(INDEX('1-DATA'!$1:$1048576,IF(OR($B238="STD. DEVIATION",$C$1=1),$A238,$A238+1),COLUMN('1-DATA'!AQ236)),IF($B238="STD. DEVIATION",2,$F$1))))</f>
        <v/>
      </c>
      <c r="AS238" s="1" t="str">
        <f>IF(OR($B238="",AS$7=""),"",IF($B238="MEANS",INDEX('1-DATA'!$1:$1048576,$A237-1,COLUMN('1-DATA'!AR236)),ROUND(INDEX('1-DATA'!$1:$1048576,IF(OR($B238="STD. DEVIATION",$C$1=1),$A238,$A238+1),COLUMN('1-DATA'!AR236)),IF($B238="STD. DEVIATION",2,$F$1))))</f>
        <v/>
      </c>
      <c r="AT238" s="1" t="str">
        <f>IF(OR($B238="",AT$7=""),"",IF($B238="MEANS",INDEX('1-DATA'!$1:$1048576,$A237-1,COLUMN('1-DATA'!AS236)),ROUND(INDEX('1-DATA'!$1:$1048576,IF(OR($B238="STD. DEVIATION",$C$1=1),$A238,$A238+1),COLUMN('1-DATA'!AS236)),IF($B238="STD. DEVIATION",2,$F$1))))</f>
        <v/>
      </c>
      <c r="AU238" s="1" t="str">
        <f>IF(OR($B238="",AU$7=""),"",IF($B238="MEANS",INDEX('1-DATA'!$1:$1048576,$A237-1,COLUMN('1-DATA'!AT236)),ROUND(INDEX('1-DATA'!$1:$1048576,IF(OR($B238="STD. DEVIATION",$C$1=1),$A238,$A238+1),COLUMN('1-DATA'!AT236)),IF($B238="STD. DEVIATION",2,$F$1))))</f>
        <v/>
      </c>
      <c r="AV238" s="1" t="str">
        <f>IF(OR($B238="",AV$7=""),"",IF($B238="MEANS",INDEX('1-DATA'!$1:$1048576,$A237-1,COLUMN('1-DATA'!AU236)),ROUND(INDEX('1-DATA'!$1:$1048576,IF(OR($B238="STD. DEVIATION",$C$1=1),$A238,$A238+1),COLUMN('1-DATA'!AU236)),IF($B238="STD. DEVIATION",2,$F$1))))</f>
        <v/>
      </c>
      <c r="AW238" s="1" t="str">
        <f>IF(OR($B238="",AW$7=""),"",IF($B238="MEANS",INDEX('1-DATA'!$1:$1048576,$A237-1,COLUMN('1-DATA'!AV236)),ROUND(INDEX('1-DATA'!$1:$1048576,IF(OR($B238="STD. DEVIATION",$C$1=1),$A238,$A238+1),COLUMN('1-DATA'!AV236)),IF($B238="STD. DEVIATION",2,$F$1))))</f>
        <v/>
      </c>
      <c r="AX238" s="1" t="str">
        <f>IF(OR($B238="",AX$7=""),"",IF($B238="MEANS",INDEX('1-DATA'!$1:$1048576,$A237-1,COLUMN('1-DATA'!AW236)),ROUND(INDEX('1-DATA'!$1:$1048576,IF(OR($B238="STD. DEVIATION",$C$1=1),$A238,$A238+1),COLUMN('1-DATA'!AW236)),IF($B238="STD. DEVIATION",2,$F$1))))</f>
        <v/>
      </c>
      <c r="AY238" s="1" t="str">
        <f>IF(OR($B238="",AY$7=""),"",IF($B238="MEANS",INDEX('1-DATA'!$1:$1048576,$A237-1,COLUMN('1-DATA'!AX236)),ROUND(INDEX('1-DATA'!$1:$1048576,IF(OR($B238="STD. DEVIATION",$C$1=1),$A238,$A238+1),COLUMN('1-DATA'!AX236)),IF($B238="STD. DEVIATION",2,$F$1))))</f>
        <v/>
      </c>
      <c r="AZ238" s="1" t="str">
        <f>IF(OR($B238="",AZ$7=""),"",IF($B238="MEANS",INDEX('1-DATA'!$1:$1048576,$A237-1,COLUMN('1-DATA'!AY236)),ROUND(INDEX('1-DATA'!$1:$1048576,IF(OR($B238="STD. DEVIATION",$C$1=1),$A238,$A238+1),COLUMN('1-DATA'!AY236)),IF($B238="STD. DEVIATION",2,$F$1))))</f>
        <v/>
      </c>
    </row>
    <row r="239" spans="1:52" x14ac:dyDescent="0.25">
      <c r="A239" s="11">
        <f t="shared" si="4"/>
        <v>703</v>
      </c>
      <c r="B239" s="1" t="str">
        <f>IF(B238="STD. DEVIATION",INDEX('1-DATA'!$1:$1048576,$A238-1,1),IF(INDEX('1-DATA'!$1:$1048576,$A239,1)&lt;&gt;"",INDEX('1-DATA'!$1:$1048576,$A239,1),""))</f>
        <v/>
      </c>
      <c r="C239" s="1" t="str">
        <f>IF(OR($B239="",C$7=""),"",IF($B239="MEANS",INDEX('1-DATA'!$1:$1048576,$A238-1,COLUMN('1-DATA'!B237)),ROUND(INDEX('1-DATA'!$1:$1048576,IF(OR($B239="STD. DEVIATION",$C$1=1),$A239,$A239+1),COLUMN('1-DATA'!B237)),IF($B239="STD. DEVIATION",2,$F$1))))</f>
        <v/>
      </c>
      <c r="D239" s="1" t="str">
        <f>IF(OR($B239="",D$7=""),"",IF($B239="MEANS",INDEX('1-DATA'!$1:$1048576,$A238-1,COLUMN('1-DATA'!C237)),ROUND(INDEX('1-DATA'!$1:$1048576,IF(OR($B239="STD. DEVIATION",$C$1=1),$A239,$A239+1),COLUMN('1-DATA'!C237)),IF($B239="STD. DEVIATION",2,$F$1))))</f>
        <v/>
      </c>
      <c r="E239" s="1" t="str">
        <f>IF(OR($B239="",E$7=""),"",IF($B239="MEANS",INDEX('1-DATA'!$1:$1048576,$A238-1,COLUMN('1-DATA'!D237)),ROUND(INDEX('1-DATA'!$1:$1048576,IF(OR($B239="STD. DEVIATION",$C$1=1),$A239,$A239+1),COLUMN('1-DATA'!D237)),IF($B239="STD. DEVIATION",2,$F$1))))</f>
        <v/>
      </c>
      <c r="F239" s="1" t="str">
        <f>IF(OR($B239="",F$7=""),"",IF($B239="MEANS",INDEX('1-DATA'!$1:$1048576,$A238-1,COLUMN('1-DATA'!E237)),ROUND(INDEX('1-DATA'!$1:$1048576,IF(OR($B239="STD. DEVIATION",$C$1=1),$A239,$A239+1),COLUMN('1-DATA'!E237)),IF($B239="STD. DEVIATION",2,$F$1))))</f>
        <v/>
      </c>
      <c r="G239" s="1" t="str">
        <f>IF(OR($B239="",G$7=""),"",IF($B239="MEANS",INDEX('1-DATA'!$1:$1048576,$A238-1,COLUMN('1-DATA'!F237)),ROUND(INDEX('1-DATA'!$1:$1048576,IF(OR($B239="STD. DEVIATION",$C$1=1),$A239,$A239+1),COLUMN('1-DATA'!F237)),IF($B239="STD. DEVIATION",2,$F$1))))</f>
        <v/>
      </c>
      <c r="H239" s="1" t="str">
        <f>IF(OR($B239="",H$7=""),"",IF($B239="MEANS",INDEX('1-DATA'!$1:$1048576,$A238-1,COLUMN('1-DATA'!G237)),ROUND(INDEX('1-DATA'!$1:$1048576,IF(OR($B239="STD. DEVIATION",$C$1=1),$A239,$A239+1),COLUMN('1-DATA'!G237)),IF($B239="STD. DEVIATION",2,$F$1))))</f>
        <v/>
      </c>
      <c r="I239" s="1" t="str">
        <f>IF(OR($B239="",I$7=""),"",IF($B239="MEANS",INDEX('1-DATA'!$1:$1048576,$A238-1,COLUMN('1-DATA'!H237)),ROUND(INDEX('1-DATA'!$1:$1048576,IF(OR($B239="STD. DEVIATION",$C$1=1),$A239,$A239+1),COLUMN('1-DATA'!H237)),IF($B239="STD. DEVIATION",2,$F$1))))</f>
        <v/>
      </c>
      <c r="J239" s="1" t="str">
        <f>IF(OR($B239="",J$7=""),"",IF($B239="MEANS",INDEX('1-DATA'!$1:$1048576,$A238-1,COLUMN('1-DATA'!I237)),ROUND(INDEX('1-DATA'!$1:$1048576,IF(OR($B239="STD. DEVIATION",$C$1=1),$A239,$A239+1),COLUMN('1-DATA'!I237)),IF($B239="STD. DEVIATION",2,$F$1))))</f>
        <v/>
      </c>
      <c r="K239" s="1" t="str">
        <f>IF(OR($B239="",K$7=""),"",IF($B239="MEANS",INDEX('1-DATA'!$1:$1048576,$A238-1,COLUMN('1-DATA'!J237)),ROUND(INDEX('1-DATA'!$1:$1048576,IF(OR($B239="STD. DEVIATION",$C$1=1),$A239,$A239+1),COLUMN('1-DATA'!J237)),IF($B239="STD. DEVIATION",2,$F$1))))</f>
        <v/>
      </c>
      <c r="L239" s="1" t="str">
        <f>IF(OR($B239="",L$7=""),"",IF($B239="MEANS",INDEX('1-DATA'!$1:$1048576,$A238-1,COLUMN('1-DATA'!K237)),ROUND(INDEX('1-DATA'!$1:$1048576,IF(OR($B239="STD. DEVIATION",$C$1=1),$A239,$A239+1),COLUMN('1-DATA'!K237)),IF($B239="STD. DEVIATION",2,$F$1))))</f>
        <v/>
      </c>
      <c r="M239" s="1" t="str">
        <f>IF(OR($B239="",M$7=""),"",IF($B239="MEANS",INDEX('1-DATA'!$1:$1048576,$A238-1,COLUMN('1-DATA'!L237)),ROUND(INDEX('1-DATA'!$1:$1048576,IF(OR($B239="STD. DEVIATION",$C$1=1),$A239,$A239+1),COLUMN('1-DATA'!L237)),IF($B239="STD. DEVIATION",2,$F$1))))</f>
        <v/>
      </c>
      <c r="N239" s="1" t="str">
        <f>IF(OR($B239="",N$7=""),"",IF($B239="MEANS",INDEX('1-DATA'!$1:$1048576,$A238-1,COLUMN('1-DATA'!M237)),ROUND(INDEX('1-DATA'!$1:$1048576,IF(OR($B239="STD. DEVIATION",$C$1=1),$A239,$A239+1),COLUMN('1-DATA'!M237)),IF($B239="STD. DEVIATION",2,$F$1))))</f>
        <v/>
      </c>
      <c r="O239" s="1" t="str">
        <f>IF(OR($B239="",O$7=""),"",IF($B239="MEANS",INDEX('1-DATA'!$1:$1048576,$A238-1,COLUMN('1-DATA'!N237)),ROUND(INDEX('1-DATA'!$1:$1048576,IF(OR($B239="STD. DEVIATION",$C$1=1),$A239,$A239+1),COLUMN('1-DATA'!N237)),IF($B239="STD. DEVIATION",2,$F$1))))</f>
        <v/>
      </c>
      <c r="P239" s="1" t="str">
        <f>IF(OR($B239="",P$7=""),"",IF($B239="MEANS",INDEX('1-DATA'!$1:$1048576,$A238-1,COLUMN('1-DATA'!O237)),ROUND(INDEX('1-DATA'!$1:$1048576,IF(OR($B239="STD. DEVIATION",$C$1=1),$A239,$A239+1),COLUMN('1-DATA'!O237)),IF($B239="STD. DEVIATION",2,$F$1))))</f>
        <v/>
      </c>
      <c r="Q239" s="1" t="str">
        <f>IF(OR($B239="",Q$7=""),"",IF($B239="MEANS",INDEX('1-DATA'!$1:$1048576,$A238-1,COLUMN('1-DATA'!P237)),ROUND(INDEX('1-DATA'!$1:$1048576,IF(OR($B239="STD. DEVIATION",$C$1=1),$A239,$A239+1),COLUMN('1-DATA'!P237)),IF($B239="STD. DEVIATION",2,$F$1))))</f>
        <v/>
      </c>
      <c r="R239" s="1" t="str">
        <f>IF(OR($B239="",R$7=""),"",IF($B239="MEANS",INDEX('1-DATA'!$1:$1048576,$A238-1,COLUMN('1-DATA'!Q237)),ROUND(INDEX('1-DATA'!$1:$1048576,IF(OR($B239="STD. DEVIATION",$C$1=1),$A239,$A239+1),COLUMN('1-DATA'!Q237)),IF($B239="STD. DEVIATION",2,$F$1))))</f>
        <v/>
      </c>
      <c r="S239" s="1" t="str">
        <f>IF(OR($B239="",S$7=""),"",IF($B239="MEANS",INDEX('1-DATA'!$1:$1048576,$A238-1,COLUMN('1-DATA'!R237)),ROUND(INDEX('1-DATA'!$1:$1048576,IF(OR($B239="STD. DEVIATION",$C$1=1),$A239,$A239+1),COLUMN('1-DATA'!R237)),IF($B239="STD. DEVIATION",2,$F$1))))</f>
        <v/>
      </c>
      <c r="T239" s="1" t="str">
        <f>IF(OR($B239="",T$7=""),"",IF($B239="MEANS",INDEX('1-DATA'!$1:$1048576,$A238-1,COLUMN('1-DATA'!S237)),ROUND(INDEX('1-DATA'!$1:$1048576,IF(OR($B239="STD. DEVIATION",$C$1=1),$A239,$A239+1),COLUMN('1-DATA'!S237)),IF($B239="STD. DEVIATION",2,$F$1))))</f>
        <v/>
      </c>
      <c r="U239" s="1" t="str">
        <f>IF(OR($B239="",U$7=""),"",IF($B239="MEANS",INDEX('1-DATA'!$1:$1048576,$A238-1,COLUMN('1-DATA'!T237)),ROUND(INDEX('1-DATA'!$1:$1048576,IF(OR($B239="STD. DEVIATION",$C$1=1),$A239,$A239+1),COLUMN('1-DATA'!T237)),IF($B239="STD. DEVIATION",2,$F$1))))</f>
        <v/>
      </c>
      <c r="V239" s="1" t="str">
        <f>IF(OR($B239="",V$7=""),"",IF($B239="MEANS",INDEX('1-DATA'!$1:$1048576,$A238-1,COLUMN('1-DATA'!U237)),ROUND(INDEX('1-DATA'!$1:$1048576,IF(OR($B239="STD. DEVIATION",$C$1=1),$A239,$A239+1),COLUMN('1-DATA'!U237)),IF($B239="STD. DEVIATION",2,$F$1))))</f>
        <v/>
      </c>
      <c r="W239" s="1" t="str">
        <f>IF(OR($B239="",W$7=""),"",IF($B239="MEANS",INDEX('1-DATA'!$1:$1048576,$A238-1,COLUMN('1-DATA'!V237)),ROUND(INDEX('1-DATA'!$1:$1048576,IF(OR($B239="STD. DEVIATION",$C$1=1),$A239,$A239+1),COLUMN('1-DATA'!V237)),IF($B239="STD. DEVIATION",2,$F$1))))</f>
        <v/>
      </c>
      <c r="X239" s="1" t="str">
        <f>IF(OR($B239="",X$7=""),"",IF($B239="MEANS",INDEX('1-DATA'!$1:$1048576,$A238-1,COLUMN('1-DATA'!W237)),ROUND(INDEX('1-DATA'!$1:$1048576,IF(OR($B239="STD. DEVIATION",$C$1=1),$A239,$A239+1),COLUMN('1-DATA'!W237)),IF($B239="STD. DEVIATION",2,$F$1))))</f>
        <v/>
      </c>
      <c r="Y239" s="1" t="str">
        <f>IF(OR($B239="",Y$7=""),"",IF($B239="MEANS",INDEX('1-DATA'!$1:$1048576,$A238-1,COLUMN('1-DATA'!X237)),ROUND(INDEX('1-DATA'!$1:$1048576,IF(OR($B239="STD. DEVIATION",$C$1=1),$A239,$A239+1),COLUMN('1-DATA'!X237)),IF($B239="STD. DEVIATION",2,$F$1))))</f>
        <v/>
      </c>
      <c r="Z239" s="1" t="str">
        <f>IF(OR($B239="",Z$7=""),"",IF($B239="MEANS",INDEX('1-DATA'!$1:$1048576,$A238-1,COLUMN('1-DATA'!Y237)),ROUND(INDEX('1-DATA'!$1:$1048576,IF(OR($B239="STD. DEVIATION",$C$1=1),$A239,$A239+1),COLUMN('1-DATA'!Y237)),IF($B239="STD. DEVIATION",2,$F$1))))</f>
        <v/>
      </c>
      <c r="AA239" s="1" t="str">
        <f>IF(OR($B239="",AA$7=""),"",IF($B239="MEANS",INDEX('1-DATA'!$1:$1048576,$A238-1,COLUMN('1-DATA'!Z237)),ROUND(INDEX('1-DATA'!$1:$1048576,IF(OR($B239="STD. DEVIATION",$C$1=1),$A239,$A239+1),COLUMN('1-DATA'!Z237)),IF($B239="STD. DEVIATION",2,$F$1))))</f>
        <v/>
      </c>
      <c r="AB239" s="1" t="str">
        <f>IF(OR($B239="",AB$7=""),"",IF($B239="MEANS",INDEX('1-DATA'!$1:$1048576,$A238-1,COLUMN('1-DATA'!AA237)),ROUND(INDEX('1-DATA'!$1:$1048576,IF(OR($B239="STD. DEVIATION",$C$1=1),$A239,$A239+1),COLUMN('1-DATA'!AA237)),IF($B239="STD. DEVIATION",2,$F$1))))</f>
        <v/>
      </c>
      <c r="AC239" s="1" t="str">
        <f>IF(OR($B239="",AC$7=""),"",IF($B239="MEANS",INDEX('1-DATA'!$1:$1048576,$A238-1,COLUMN('1-DATA'!AB237)),ROUND(INDEX('1-DATA'!$1:$1048576,IF(OR($B239="STD. DEVIATION",$C$1=1),$A239,$A239+1),COLUMN('1-DATA'!AB237)),IF($B239="STD. DEVIATION",2,$F$1))))</f>
        <v/>
      </c>
      <c r="AD239" s="1" t="str">
        <f>IF(OR($B239="",AD$7=""),"",IF($B239="MEANS",INDEX('1-DATA'!$1:$1048576,$A238-1,COLUMN('1-DATA'!AC237)),ROUND(INDEX('1-DATA'!$1:$1048576,IF(OR($B239="STD. DEVIATION",$C$1=1),$A239,$A239+1),COLUMN('1-DATA'!AC237)),IF($B239="STD. DEVIATION",2,$F$1))))</f>
        <v/>
      </c>
      <c r="AE239" s="1" t="str">
        <f>IF(OR($B239="",AE$7=""),"",IF($B239="MEANS",INDEX('1-DATA'!$1:$1048576,$A238-1,COLUMN('1-DATA'!AD237)),ROUND(INDEX('1-DATA'!$1:$1048576,IF(OR($B239="STD. DEVIATION",$C$1=1),$A239,$A239+1),COLUMN('1-DATA'!AD237)),IF($B239="STD. DEVIATION",2,$F$1))))</f>
        <v/>
      </c>
      <c r="AF239" s="1" t="str">
        <f>IF(OR($B239="",AF$7=""),"",IF($B239="MEANS",INDEX('1-DATA'!$1:$1048576,$A238-1,COLUMN('1-DATA'!AE237)),ROUND(INDEX('1-DATA'!$1:$1048576,IF(OR($B239="STD. DEVIATION",$C$1=1),$A239,$A239+1),COLUMN('1-DATA'!AE237)),IF($B239="STD. DEVIATION",2,$F$1))))</f>
        <v/>
      </c>
      <c r="AG239" s="1" t="str">
        <f>IF(OR($B239="",AG$7=""),"",IF($B239="MEANS",INDEX('1-DATA'!$1:$1048576,$A238-1,COLUMN('1-DATA'!AF237)),ROUND(INDEX('1-DATA'!$1:$1048576,IF(OR($B239="STD. DEVIATION",$C$1=1),$A239,$A239+1),COLUMN('1-DATA'!AF237)),IF($B239="STD. DEVIATION",2,$F$1))))</f>
        <v/>
      </c>
      <c r="AH239" s="1" t="str">
        <f>IF(OR($B239="",AH$7=""),"",IF($B239="MEANS",INDEX('1-DATA'!$1:$1048576,$A238-1,COLUMN('1-DATA'!AG237)),ROUND(INDEX('1-DATA'!$1:$1048576,IF(OR($B239="STD. DEVIATION",$C$1=1),$A239,$A239+1),COLUMN('1-DATA'!AG237)),IF($B239="STD. DEVIATION",2,$F$1))))</f>
        <v/>
      </c>
      <c r="AI239" s="1" t="str">
        <f>IF(OR($B239="",AI$7=""),"",IF($B239="MEANS",INDEX('1-DATA'!$1:$1048576,$A238-1,COLUMN('1-DATA'!AH237)),ROUND(INDEX('1-DATA'!$1:$1048576,IF(OR($B239="STD. DEVIATION",$C$1=1),$A239,$A239+1),COLUMN('1-DATA'!AH237)),IF($B239="STD. DEVIATION",2,$F$1))))</f>
        <v/>
      </c>
      <c r="AJ239" s="1" t="str">
        <f>IF(OR($B239="",AJ$7=""),"",IF($B239="MEANS",INDEX('1-DATA'!$1:$1048576,$A238-1,COLUMN('1-DATA'!AI237)),ROUND(INDEX('1-DATA'!$1:$1048576,IF(OR($B239="STD. DEVIATION",$C$1=1),$A239,$A239+1),COLUMN('1-DATA'!AI237)),IF($B239="STD. DEVIATION",2,$F$1))))</f>
        <v/>
      </c>
      <c r="AK239" s="1" t="str">
        <f>IF(OR($B239="",AK$7=""),"",IF($B239="MEANS",INDEX('1-DATA'!$1:$1048576,$A238-1,COLUMN('1-DATA'!AJ237)),ROUND(INDEX('1-DATA'!$1:$1048576,IF(OR($B239="STD. DEVIATION",$C$1=1),$A239,$A239+1),COLUMN('1-DATA'!AJ237)),IF($B239="STD. DEVIATION",2,$F$1))))</f>
        <v/>
      </c>
      <c r="AL239" s="1" t="str">
        <f>IF(OR($B239="",AL$7=""),"",IF($B239="MEANS",INDEX('1-DATA'!$1:$1048576,$A238-1,COLUMN('1-DATA'!AK237)),ROUND(INDEX('1-DATA'!$1:$1048576,IF(OR($B239="STD. DEVIATION",$C$1=1),$A239,$A239+1),COLUMN('1-DATA'!AK237)),IF($B239="STD. DEVIATION",2,$F$1))))</f>
        <v/>
      </c>
      <c r="AM239" s="1" t="str">
        <f>IF(OR($B239="",AM$7=""),"",IF($B239="MEANS",INDEX('1-DATA'!$1:$1048576,$A238-1,COLUMN('1-DATA'!AL237)),ROUND(INDEX('1-DATA'!$1:$1048576,IF(OR($B239="STD. DEVIATION",$C$1=1),$A239,$A239+1),COLUMN('1-DATA'!AL237)),IF($B239="STD. DEVIATION",2,$F$1))))</f>
        <v/>
      </c>
      <c r="AN239" s="1" t="str">
        <f>IF(OR($B239="",AN$7=""),"",IF($B239="MEANS",INDEX('1-DATA'!$1:$1048576,$A238-1,COLUMN('1-DATA'!AM237)),ROUND(INDEX('1-DATA'!$1:$1048576,IF(OR($B239="STD. DEVIATION",$C$1=1),$A239,$A239+1),COLUMN('1-DATA'!AM237)),IF($B239="STD. DEVIATION",2,$F$1))))</f>
        <v/>
      </c>
      <c r="AO239" s="1" t="str">
        <f>IF(OR($B239="",AO$7=""),"",IF($B239="MEANS",INDEX('1-DATA'!$1:$1048576,$A238-1,COLUMN('1-DATA'!AN237)),ROUND(INDEX('1-DATA'!$1:$1048576,IF(OR($B239="STD. DEVIATION",$C$1=1),$A239,$A239+1),COLUMN('1-DATA'!AN237)),IF($B239="STD. DEVIATION",2,$F$1))))</f>
        <v/>
      </c>
      <c r="AP239" s="1" t="str">
        <f>IF(OR($B239="",AP$7=""),"",IF($B239="MEANS",INDEX('1-DATA'!$1:$1048576,$A238-1,COLUMN('1-DATA'!AO237)),ROUND(INDEX('1-DATA'!$1:$1048576,IF(OR($B239="STD. DEVIATION",$C$1=1),$A239,$A239+1),COLUMN('1-DATA'!AO237)),IF($B239="STD. DEVIATION",2,$F$1))))</f>
        <v/>
      </c>
      <c r="AQ239" s="1" t="str">
        <f>IF(OR($B239="",AQ$7=""),"",IF($B239="MEANS",INDEX('1-DATA'!$1:$1048576,$A238-1,COLUMN('1-DATA'!AP237)),ROUND(INDEX('1-DATA'!$1:$1048576,IF(OR($B239="STD. DEVIATION",$C$1=1),$A239,$A239+1),COLUMN('1-DATA'!AP237)),IF($B239="STD. DEVIATION",2,$F$1))))</f>
        <v/>
      </c>
      <c r="AR239" s="1" t="str">
        <f>IF(OR($B239="",AR$7=""),"",IF($B239="MEANS",INDEX('1-DATA'!$1:$1048576,$A238-1,COLUMN('1-DATA'!AQ237)),ROUND(INDEX('1-DATA'!$1:$1048576,IF(OR($B239="STD. DEVIATION",$C$1=1),$A239,$A239+1),COLUMN('1-DATA'!AQ237)),IF($B239="STD. DEVIATION",2,$F$1))))</f>
        <v/>
      </c>
      <c r="AS239" s="1" t="str">
        <f>IF(OR($B239="",AS$7=""),"",IF($B239="MEANS",INDEX('1-DATA'!$1:$1048576,$A238-1,COLUMN('1-DATA'!AR237)),ROUND(INDEX('1-DATA'!$1:$1048576,IF(OR($B239="STD. DEVIATION",$C$1=1),$A239,$A239+1),COLUMN('1-DATA'!AR237)),IF($B239="STD. DEVIATION",2,$F$1))))</f>
        <v/>
      </c>
      <c r="AT239" s="1" t="str">
        <f>IF(OR($B239="",AT$7=""),"",IF($B239="MEANS",INDEX('1-DATA'!$1:$1048576,$A238-1,COLUMN('1-DATA'!AS237)),ROUND(INDEX('1-DATA'!$1:$1048576,IF(OR($B239="STD. DEVIATION",$C$1=1),$A239,$A239+1),COLUMN('1-DATA'!AS237)),IF($B239="STD. DEVIATION",2,$F$1))))</f>
        <v/>
      </c>
      <c r="AU239" s="1" t="str">
        <f>IF(OR($B239="",AU$7=""),"",IF($B239="MEANS",INDEX('1-DATA'!$1:$1048576,$A238-1,COLUMN('1-DATA'!AT237)),ROUND(INDEX('1-DATA'!$1:$1048576,IF(OR($B239="STD. DEVIATION",$C$1=1),$A239,$A239+1),COLUMN('1-DATA'!AT237)),IF($B239="STD. DEVIATION",2,$F$1))))</f>
        <v/>
      </c>
      <c r="AV239" s="1" t="str">
        <f>IF(OR($B239="",AV$7=""),"",IF($B239="MEANS",INDEX('1-DATA'!$1:$1048576,$A238-1,COLUMN('1-DATA'!AU237)),ROUND(INDEX('1-DATA'!$1:$1048576,IF(OR($B239="STD. DEVIATION",$C$1=1),$A239,$A239+1),COLUMN('1-DATA'!AU237)),IF($B239="STD. DEVIATION",2,$F$1))))</f>
        <v/>
      </c>
      <c r="AW239" s="1" t="str">
        <f>IF(OR($B239="",AW$7=""),"",IF($B239="MEANS",INDEX('1-DATA'!$1:$1048576,$A238-1,COLUMN('1-DATA'!AV237)),ROUND(INDEX('1-DATA'!$1:$1048576,IF(OR($B239="STD. DEVIATION",$C$1=1),$A239,$A239+1),COLUMN('1-DATA'!AV237)),IF($B239="STD. DEVIATION",2,$F$1))))</f>
        <v/>
      </c>
      <c r="AX239" s="1" t="str">
        <f>IF(OR($B239="",AX$7=""),"",IF($B239="MEANS",INDEX('1-DATA'!$1:$1048576,$A238-1,COLUMN('1-DATA'!AW237)),ROUND(INDEX('1-DATA'!$1:$1048576,IF(OR($B239="STD. DEVIATION",$C$1=1),$A239,$A239+1),COLUMN('1-DATA'!AW237)),IF($B239="STD. DEVIATION",2,$F$1))))</f>
        <v/>
      </c>
      <c r="AY239" s="1" t="str">
        <f>IF(OR($B239="",AY$7=""),"",IF($B239="MEANS",INDEX('1-DATA'!$1:$1048576,$A238-1,COLUMN('1-DATA'!AX237)),ROUND(INDEX('1-DATA'!$1:$1048576,IF(OR($B239="STD. DEVIATION",$C$1=1),$A239,$A239+1),COLUMN('1-DATA'!AX237)),IF($B239="STD. DEVIATION",2,$F$1))))</f>
        <v/>
      </c>
      <c r="AZ239" s="1" t="str">
        <f>IF(OR($B239="",AZ$7=""),"",IF($B239="MEANS",INDEX('1-DATA'!$1:$1048576,$A238-1,COLUMN('1-DATA'!AY237)),ROUND(INDEX('1-DATA'!$1:$1048576,IF(OR($B239="STD. DEVIATION",$C$1=1),$A239,$A239+1),COLUMN('1-DATA'!AY237)),IF($B239="STD. DEVIATION",2,$F$1))))</f>
        <v/>
      </c>
    </row>
    <row r="240" spans="1:52" x14ac:dyDescent="0.25">
      <c r="A240" s="11">
        <f t="shared" si="4"/>
        <v>706</v>
      </c>
      <c r="B240" s="1" t="str">
        <f>IF(B239="STD. DEVIATION",INDEX('1-DATA'!$1:$1048576,$A239-1,1),IF(INDEX('1-DATA'!$1:$1048576,$A240,1)&lt;&gt;"",INDEX('1-DATA'!$1:$1048576,$A240,1),""))</f>
        <v/>
      </c>
      <c r="C240" s="1" t="str">
        <f>IF(OR($B240="",C$7=""),"",IF($B240="MEANS",INDEX('1-DATA'!$1:$1048576,$A239-1,COLUMN('1-DATA'!B238)),ROUND(INDEX('1-DATA'!$1:$1048576,IF(OR($B240="STD. DEVIATION",$C$1=1),$A240,$A240+1),COLUMN('1-DATA'!B238)),IF($B240="STD. DEVIATION",2,$F$1))))</f>
        <v/>
      </c>
      <c r="D240" s="1" t="str">
        <f>IF(OR($B240="",D$7=""),"",IF($B240="MEANS",INDEX('1-DATA'!$1:$1048576,$A239-1,COLUMN('1-DATA'!C238)),ROUND(INDEX('1-DATA'!$1:$1048576,IF(OR($B240="STD. DEVIATION",$C$1=1),$A240,$A240+1),COLUMN('1-DATA'!C238)),IF($B240="STD. DEVIATION",2,$F$1))))</f>
        <v/>
      </c>
      <c r="E240" s="1" t="str">
        <f>IF(OR($B240="",E$7=""),"",IF($B240="MEANS",INDEX('1-DATA'!$1:$1048576,$A239-1,COLUMN('1-DATA'!D238)),ROUND(INDEX('1-DATA'!$1:$1048576,IF(OR($B240="STD. DEVIATION",$C$1=1),$A240,$A240+1),COLUMN('1-DATA'!D238)),IF($B240="STD. DEVIATION",2,$F$1))))</f>
        <v/>
      </c>
      <c r="F240" s="1" t="str">
        <f>IF(OR($B240="",F$7=""),"",IF($B240="MEANS",INDEX('1-DATA'!$1:$1048576,$A239-1,COLUMN('1-DATA'!E238)),ROUND(INDEX('1-DATA'!$1:$1048576,IF(OR($B240="STD. DEVIATION",$C$1=1),$A240,$A240+1),COLUMN('1-DATA'!E238)),IF($B240="STD. DEVIATION",2,$F$1))))</f>
        <v/>
      </c>
      <c r="G240" s="1" t="str">
        <f>IF(OR($B240="",G$7=""),"",IF($B240="MEANS",INDEX('1-DATA'!$1:$1048576,$A239-1,COLUMN('1-DATA'!F238)),ROUND(INDEX('1-DATA'!$1:$1048576,IF(OR($B240="STD. DEVIATION",$C$1=1),$A240,$A240+1),COLUMN('1-DATA'!F238)),IF($B240="STD. DEVIATION",2,$F$1))))</f>
        <v/>
      </c>
      <c r="H240" s="1" t="str">
        <f>IF(OR($B240="",H$7=""),"",IF($B240="MEANS",INDEX('1-DATA'!$1:$1048576,$A239-1,COLUMN('1-DATA'!G238)),ROUND(INDEX('1-DATA'!$1:$1048576,IF(OR($B240="STD. DEVIATION",$C$1=1),$A240,$A240+1),COLUMN('1-DATA'!G238)),IF($B240="STD. DEVIATION",2,$F$1))))</f>
        <v/>
      </c>
      <c r="I240" s="1" t="str">
        <f>IF(OR($B240="",I$7=""),"",IF($B240="MEANS",INDEX('1-DATA'!$1:$1048576,$A239-1,COLUMN('1-DATA'!H238)),ROUND(INDEX('1-DATA'!$1:$1048576,IF(OR($B240="STD. DEVIATION",$C$1=1),$A240,$A240+1),COLUMN('1-DATA'!H238)),IF($B240="STD. DEVIATION",2,$F$1))))</f>
        <v/>
      </c>
      <c r="J240" s="1" t="str">
        <f>IF(OR($B240="",J$7=""),"",IF($B240="MEANS",INDEX('1-DATA'!$1:$1048576,$A239-1,COLUMN('1-DATA'!I238)),ROUND(INDEX('1-DATA'!$1:$1048576,IF(OR($B240="STD. DEVIATION",$C$1=1),$A240,$A240+1),COLUMN('1-DATA'!I238)),IF($B240="STD. DEVIATION",2,$F$1))))</f>
        <v/>
      </c>
      <c r="K240" s="1" t="str">
        <f>IF(OR($B240="",K$7=""),"",IF($B240="MEANS",INDEX('1-DATA'!$1:$1048576,$A239-1,COLUMN('1-DATA'!J238)),ROUND(INDEX('1-DATA'!$1:$1048576,IF(OR($B240="STD. DEVIATION",$C$1=1),$A240,$A240+1),COLUMN('1-DATA'!J238)),IF($B240="STD. DEVIATION",2,$F$1))))</f>
        <v/>
      </c>
      <c r="L240" s="1" t="str">
        <f>IF(OR($B240="",L$7=""),"",IF($B240="MEANS",INDEX('1-DATA'!$1:$1048576,$A239-1,COLUMN('1-DATA'!K238)),ROUND(INDEX('1-DATA'!$1:$1048576,IF(OR($B240="STD. DEVIATION",$C$1=1),$A240,$A240+1),COLUMN('1-DATA'!K238)),IF($B240="STD. DEVIATION",2,$F$1))))</f>
        <v/>
      </c>
      <c r="M240" s="1" t="str">
        <f>IF(OR($B240="",M$7=""),"",IF($B240="MEANS",INDEX('1-DATA'!$1:$1048576,$A239-1,COLUMN('1-DATA'!L238)),ROUND(INDEX('1-DATA'!$1:$1048576,IF(OR($B240="STD. DEVIATION",$C$1=1),$A240,$A240+1),COLUMN('1-DATA'!L238)),IF($B240="STD. DEVIATION",2,$F$1))))</f>
        <v/>
      </c>
      <c r="N240" s="1" t="str">
        <f>IF(OR($B240="",N$7=""),"",IF($B240="MEANS",INDEX('1-DATA'!$1:$1048576,$A239-1,COLUMN('1-DATA'!M238)),ROUND(INDEX('1-DATA'!$1:$1048576,IF(OR($B240="STD. DEVIATION",$C$1=1),$A240,$A240+1),COLUMN('1-DATA'!M238)),IF($B240="STD. DEVIATION",2,$F$1))))</f>
        <v/>
      </c>
      <c r="O240" s="1" t="str">
        <f>IF(OR($B240="",O$7=""),"",IF($B240="MEANS",INDEX('1-DATA'!$1:$1048576,$A239-1,COLUMN('1-DATA'!N238)),ROUND(INDEX('1-DATA'!$1:$1048576,IF(OR($B240="STD. DEVIATION",$C$1=1),$A240,$A240+1),COLUMN('1-DATA'!N238)),IF($B240="STD. DEVIATION",2,$F$1))))</f>
        <v/>
      </c>
      <c r="P240" s="1" t="str">
        <f>IF(OR($B240="",P$7=""),"",IF($B240="MEANS",INDEX('1-DATA'!$1:$1048576,$A239-1,COLUMN('1-DATA'!O238)),ROUND(INDEX('1-DATA'!$1:$1048576,IF(OR($B240="STD. DEVIATION",$C$1=1),$A240,$A240+1),COLUMN('1-DATA'!O238)),IF($B240="STD. DEVIATION",2,$F$1))))</f>
        <v/>
      </c>
      <c r="Q240" s="1" t="str">
        <f>IF(OR($B240="",Q$7=""),"",IF($B240="MEANS",INDEX('1-DATA'!$1:$1048576,$A239-1,COLUMN('1-DATA'!P238)),ROUND(INDEX('1-DATA'!$1:$1048576,IF(OR($B240="STD. DEVIATION",$C$1=1),$A240,$A240+1),COLUMN('1-DATA'!P238)),IF($B240="STD. DEVIATION",2,$F$1))))</f>
        <v/>
      </c>
      <c r="R240" s="1" t="str">
        <f>IF(OR($B240="",R$7=""),"",IF($B240="MEANS",INDEX('1-DATA'!$1:$1048576,$A239-1,COLUMN('1-DATA'!Q238)),ROUND(INDEX('1-DATA'!$1:$1048576,IF(OR($B240="STD. DEVIATION",$C$1=1),$A240,$A240+1),COLUMN('1-DATA'!Q238)),IF($B240="STD. DEVIATION",2,$F$1))))</f>
        <v/>
      </c>
      <c r="S240" s="1" t="str">
        <f>IF(OR($B240="",S$7=""),"",IF($B240="MEANS",INDEX('1-DATA'!$1:$1048576,$A239-1,COLUMN('1-DATA'!R238)),ROUND(INDEX('1-DATA'!$1:$1048576,IF(OR($B240="STD. DEVIATION",$C$1=1),$A240,$A240+1),COLUMN('1-DATA'!R238)),IF($B240="STD. DEVIATION",2,$F$1))))</f>
        <v/>
      </c>
      <c r="T240" s="1" t="str">
        <f>IF(OR($B240="",T$7=""),"",IF($B240="MEANS",INDEX('1-DATA'!$1:$1048576,$A239-1,COLUMN('1-DATA'!S238)),ROUND(INDEX('1-DATA'!$1:$1048576,IF(OR($B240="STD. DEVIATION",$C$1=1),$A240,$A240+1),COLUMN('1-DATA'!S238)),IF($B240="STD. DEVIATION",2,$F$1))))</f>
        <v/>
      </c>
      <c r="U240" s="1" t="str">
        <f>IF(OR($B240="",U$7=""),"",IF($B240="MEANS",INDEX('1-DATA'!$1:$1048576,$A239-1,COLUMN('1-DATA'!T238)),ROUND(INDEX('1-DATA'!$1:$1048576,IF(OR($B240="STD. DEVIATION",$C$1=1),$A240,$A240+1),COLUMN('1-DATA'!T238)),IF($B240="STD. DEVIATION",2,$F$1))))</f>
        <v/>
      </c>
      <c r="V240" s="1" t="str">
        <f>IF(OR($B240="",V$7=""),"",IF($B240="MEANS",INDEX('1-DATA'!$1:$1048576,$A239-1,COLUMN('1-DATA'!U238)),ROUND(INDEX('1-DATA'!$1:$1048576,IF(OR($B240="STD. DEVIATION",$C$1=1),$A240,$A240+1),COLUMN('1-DATA'!U238)),IF($B240="STD. DEVIATION",2,$F$1))))</f>
        <v/>
      </c>
      <c r="W240" s="1" t="str">
        <f>IF(OR($B240="",W$7=""),"",IF($B240="MEANS",INDEX('1-DATA'!$1:$1048576,$A239-1,COLUMN('1-DATA'!V238)),ROUND(INDEX('1-DATA'!$1:$1048576,IF(OR($B240="STD. DEVIATION",$C$1=1),$A240,$A240+1),COLUMN('1-DATA'!V238)),IF($B240="STD. DEVIATION",2,$F$1))))</f>
        <v/>
      </c>
      <c r="X240" s="1" t="str">
        <f>IF(OR($B240="",X$7=""),"",IF($B240="MEANS",INDEX('1-DATA'!$1:$1048576,$A239-1,COLUMN('1-DATA'!W238)),ROUND(INDEX('1-DATA'!$1:$1048576,IF(OR($B240="STD. DEVIATION",$C$1=1),$A240,$A240+1),COLUMN('1-DATA'!W238)),IF($B240="STD. DEVIATION",2,$F$1))))</f>
        <v/>
      </c>
      <c r="Y240" s="1" t="str">
        <f>IF(OR($B240="",Y$7=""),"",IF($B240="MEANS",INDEX('1-DATA'!$1:$1048576,$A239-1,COLUMN('1-DATA'!X238)),ROUND(INDEX('1-DATA'!$1:$1048576,IF(OR($B240="STD. DEVIATION",$C$1=1),$A240,$A240+1),COLUMN('1-DATA'!X238)),IF($B240="STD. DEVIATION",2,$F$1))))</f>
        <v/>
      </c>
      <c r="Z240" s="1" t="str">
        <f>IF(OR($B240="",Z$7=""),"",IF($B240="MEANS",INDEX('1-DATA'!$1:$1048576,$A239-1,COLUMN('1-DATA'!Y238)),ROUND(INDEX('1-DATA'!$1:$1048576,IF(OR($B240="STD. DEVIATION",$C$1=1),$A240,$A240+1),COLUMN('1-DATA'!Y238)),IF($B240="STD. DEVIATION",2,$F$1))))</f>
        <v/>
      </c>
      <c r="AA240" s="1" t="str">
        <f>IF(OR($B240="",AA$7=""),"",IF($B240="MEANS",INDEX('1-DATA'!$1:$1048576,$A239-1,COLUMN('1-DATA'!Z238)),ROUND(INDEX('1-DATA'!$1:$1048576,IF(OR($B240="STD. DEVIATION",$C$1=1),$A240,$A240+1),COLUMN('1-DATA'!Z238)),IF($B240="STD. DEVIATION",2,$F$1))))</f>
        <v/>
      </c>
      <c r="AB240" s="1" t="str">
        <f>IF(OR($B240="",AB$7=""),"",IF($B240="MEANS",INDEX('1-DATA'!$1:$1048576,$A239-1,COLUMN('1-DATA'!AA238)),ROUND(INDEX('1-DATA'!$1:$1048576,IF(OR($B240="STD. DEVIATION",$C$1=1),$A240,$A240+1),COLUMN('1-DATA'!AA238)),IF($B240="STD. DEVIATION",2,$F$1))))</f>
        <v/>
      </c>
      <c r="AC240" s="1" t="str">
        <f>IF(OR($B240="",AC$7=""),"",IF($B240="MEANS",INDEX('1-DATA'!$1:$1048576,$A239-1,COLUMN('1-DATA'!AB238)),ROUND(INDEX('1-DATA'!$1:$1048576,IF(OR($B240="STD. DEVIATION",$C$1=1),$A240,$A240+1),COLUMN('1-DATA'!AB238)),IF($B240="STD. DEVIATION",2,$F$1))))</f>
        <v/>
      </c>
      <c r="AD240" s="1" t="str">
        <f>IF(OR($B240="",AD$7=""),"",IF($B240="MEANS",INDEX('1-DATA'!$1:$1048576,$A239-1,COLUMN('1-DATA'!AC238)),ROUND(INDEX('1-DATA'!$1:$1048576,IF(OR($B240="STD. DEVIATION",$C$1=1),$A240,$A240+1),COLUMN('1-DATA'!AC238)),IF($B240="STD. DEVIATION",2,$F$1))))</f>
        <v/>
      </c>
      <c r="AE240" s="1" t="str">
        <f>IF(OR($B240="",AE$7=""),"",IF($B240="MEANS",INDEX('1-DATA'!$1:$1048576,$A239-1,COLUMN('1-DATA'!AD238)),ROUND(INDEX('1-DATA'!$1:$1048576,IF(OR($B240="STD. DEVIATION",$C$1=1),$A240,$A240+1),COLUMN('1-DATA'!AD238)),IF($B240="STD. DEVIATION",2,$F$1))))</f>
        <v/>
      </c>
      <c r="AF240" s="1" t="str">
        <f>IF(OR($B240="",AF$7=""),"",IF($B240="MEANS",INDEX('1-DATA'!$1:$1048576,$A239-1,COLUMN('1-DATA'!AE238)),ROUND(INDEX('1-DATA'!$1:$1048576,IF(OR($B240="STD. DEVIATION",$C$1=1),$A240,$A240+1),COLUMN('1-DATA'!AE238)),IF($B240="STD. DEVIATION",2,$F$1))))</f>
        <v/>
      </c>
      <c r="AG240" s="1" t="str">
        <f>IF(OR($B240="",AG$7=""),"",IF($B240="MEANS",INDEX('1-DATA'!$1:$1048576,$A239-1,COLUMN('1-DATA'!AF238)),ROUND(INDEX('1-DATA'!$1:$1048576,IF(OR($B240="STD. DEVIATION",$C$1=1),$A240,$A240+1),COLUMN('1-DATA'!AF238)),IF($B240="STD. DEVIATION",2,$F$1))))</f>
        <v/>
      </c>
      <c r="AH240" s="1" t="str">
        <f>IF(OR($B240="",AH$7=""),"",IF($B240="MEANS",INDEX('1-DATA'!$1:$1048576,$A239-1,COLUMN('1-DATA'!AG238)),ROUND(INDEX('1-DATA'!$1:$1048576,IF(OR($B240="STD. DEVIATION",$C$1=1),$A240,$A240+1),COLUMN('1-DATA'!AG238)),IF($B240="STD. DEVIATION",2,$F$1))))</f>
        <v/>
      </c>
      <c r="AI240" s="1" t="str">
        <f>IF(OR($B240="",AI$7=""),"",IF($B240="MEANS",INDEX('1-DATA'!$1:$1048576,$A239-1,COLUMN('1-DATA'!AH238)),ROUND(INDEX('1-DATA'!$1:$1048576,IF(OR($B240="STD. DEVIATION",$C$1=1),$A240,$A240+1),COLUMN('1-DATA'!AH238)),IF($B240="STD. DEVIATION",2,$F$1))))</f>
        <v/>
      </c>
      <c r="AJ240" s="1" t="str">
        <f>IF(OR($B240="",AJ$7=""),"",IF($B240="MEANS",INDEX('1-DATA'!$1:$1048576,$A239-1,COLUMN('1-DATA'!AI238)),ROUND(INDEX('1-DATA'!$1:$1048576,IF(OR($B240="STD. DEVIATION",$C$1=1),$A240,$A240+1),COLUMN('1-DATA'!AI238)),IF($B240="STD. DEVIATION",2,$F$1))))</f>
        <v/>
      </c>
      <c r="AK240" s="1" t="str">
        <f>IF(OR($B240="",AK$7=""),"",IF($B240="MEANS",INDEX('1-DATA'!$1:$1048576,$A239-1,COLUMN('1-DATA'!AJ238)),ROUND(INDEX('1-DATA'!$1:$1048576,IF(OR($B240="STD. DEVIATION",$C$1=1),$A240,$A240+1),COLUMN('1-DATA'!AJ238)),IF($B240="STD. DEVIATION",2,$F$1))))</f>
        <v/>
      </c>
      <c r="AL240" s="1" t="str">
        <f>IF(OR($B240="",AL$7=""),"",IF($B240="MEANS",INDEX('1-DATA'!$1:$1048576,$A239-1,COLUMN('1-DATA'!AK238)),ROUND(INDEX('1-DATA'!$1:$1048576,IF(OR($B240="STD. DEVIATION",$C$1=1),$A240,$A240+1),COLUMN('1-DATA'!AK238)),IF($B240="STD. DEVIATION",2,$F$1))))</f>
        <v/>
      </c>
      <c r="AM240" s="1" t="str">
        <f>IF(OR($B240="",AM$7=""),"",IF($B240="MEANS",INDEX('1-DATA'!$1:$1048576,$A239-1,COLUMN('1-DATA'!AL238)),ROUND(INDEX('1-DATA'!$1:$1048576,IF(OR($B240="STD. DEVIATION",$C$1=1),$A240,$A240+1),COLUMN('1-DATA'!AL238)),IF($B240="STD. DEVIATION",2,$F$1))))</f>
        <v/>
      </c>
      <c r="AN240" s="1" t="str">
        <f>IF(OR($B240="",AN$7=""),"",IF($B240="MEANS",INDEX('1-DATA'!$1:$1048576,$A239-1,COLUMN('1-DATA'!AM238)),ROUND(INDEX('1-DATA'!$1:$1048576,IF(OR($B240="STD. DEVIATION",$C$1=1),$A240,$A240+1),COLUMN('1-DATA'!AM238)),IF($B240="STD. DEVIATION",2,$F$1))))</f>
        <v/>
      </c>
      <c r="AO240" s="1" t="str">
        <f>IF(OR($B240="",AO$7=""),"",IF($B240="MEANS",INDEX('1-DATA'!$1:$1048576,$A239-1,COLUMN('1-DATA'!AN238)),ROUND(INDEX('1-DATA'!$1:$1048576,IF(OR($B240="STD. DEVIATION",$C$1=1),$A240,$A240+1),COLUMN('1-DATA'!AN238)),IF($B240="STD. DEVIATION",2,$F$1))))</f>
        <v/>
      </c>
      <c r="AP240" s="1" t="str">
        <f>IF(OR($B240="",AP$7=""),"",IF($B240="MEANS",INDEX('1-DATA'!$1:$1048576,$A239-1,COLUMN('1-DATA'!AO238)),ROUND(INDEX('1-DATA'!$1:$1048576,IF(OR($B240="STD. DEVIATION",$C$1=1),$A240,$A240+1),COLUMN('1-DATA'!AO238)),IF($B240="STD. DEVIATION",2,$F$1))))</f>
        <v/>
      </c>
      <c r="AQ240" s="1" t="str">
        <f>IF(OR($B240="",AQ$7=""),"",IF($B240="MEANS",INDEX('1-DATA'!$1:$1048576,$A239-1,COLUMN('1-DATA'!AP238)),ROUND(INDEX('1-DATA'!$1:$1048576,IF(OR($B240="STD. DEVIATION",$C$1=1),$A240,$A240+1),COLUMN('1-DATA'!AP238)),IF($B240="STD. DEVIATION",2,$F$1))))</f>
        <v/>
      </c>
      <c r="AR240" s="1" t="str">
        <f>IF(OR($B240="",AR$7=""),"",IF($B240="MEANS",INDEX('1-DATA'!$1:$1048576,$A239-1,COLUMN('1-DATA'!AQ238)),ROUND(INDEX('1-DATA'!$1:$1048576,IF(OR($B240="STD. DEVIATION",$C$1=1),$A240,$A240+1),COLUMN('1-DATA'!AQ238)),IF($B240="STD. DEVIATION",2,$F$1))))</f>
        <v/>
      </c>
      <c r="AS240" s="1" t="str">
        <f>IF(OR($B240="",AS$7=""),"",IF($B240="MEANS",INDEX('1-DATA'!$1:$1048576,$A239-1,COLUMN('1-DATA'!AR238)),ROUND(INDEX('1-DATA'!$1:$1048576,IF(OR($B240="STD. DEVIATION",$C$1=1),$A240,$A240+1),COLUMN('1-DATA'!AR238)),IF($B240="STD. DEVIATION",2,$F$1))))</f>
        <v/>
      </c>
      <c r="AT240" s="1" t="str">
        <f>IF(OR($B240="",AT$7=""),"",IF($B240="MEANS",INDEX('1-DATA'!$1:$1048576,$A239-1,COLUMN('1-DATA'!AS238)),ROUND(INDEX('1-DATA'!$1:$1048576,IF(OR($B240="STD. DEVIATION",$C$1=1),$A240,$A240+1),COLUMN('1-DATA'!AS238)),IF($B240="STD. DEVIATION",2,$F$1))))</f>
        <v/>
      </c>
      <c r="AU240" s="1" t="str">
        <f>IF(OR($B240="",AU$7=""),"",IF($B240="MEANS",INDEX('1-DATA'!$1:$1048576,$A239-1,COLUMN('1-DATA'!AT238)),ROUND(INDEX('1-DATA'!$1:$1048576,IF(OR($B240="STD. DEVIATION",$C$1=1),$A240,$A240+1),COLUMN('1-DATA'!AT238)),IF($B240="STD. DEVIATION",2,$F$1))))</f>
        <v/>
      </c>
      <c r="AV240" s="1" t="str">
        <f>IF(OR($B240="",AV$7=""),"",IF($B240="MEANS",INDEX('1-DATA'!$1:$1048576,$A239-1,COLUMN('1-DATA'!AU238)),ROUND(INDEX('1-DATA'!$1:$1048576,IF(OR($B240="STD. DEVIATION",$C$1=1),$A240,$A240+1),COLUMN('1-DATA'!AU238)),IF($B240="STD. DEVIATION",2,$F$1))))</f>
        <v/>
      </c>
      <c r="AW240" s="1" t="str">
        <f>IF(OR($B240="",AW$7=""),"",IF($B240="MEANS",INDEX('1-DATA'!$1:$1048576,$A239-1,COLUMN('1-DATA'!AV238)),ROUND(INDEX('1-DATA'!$1:$1048576,IF(OR($B240="STD. DEVIATION",$C$1=1),$A240,$A240+1),COLUMN('1-DATA'!AV238)),IF($B240="STD. DEVIATION",2,$F$1))))</f>
        <v/>
      </c>
      <c r="AX240" s="1" t="str">
        <f>IF(OR($B240="",AX$7=""),"",IF($B240="MEANS",INDEX('1-DATA'!$1:$1048576,$A239-1,COLUMN('1-DATA'!AW238)),ROUND(INDEX('1-DATA'!$1:$1048576,IF(OR($B240="STD. DEVIATION",$C$1=1),$A240,$A240+1),COLUMN('1-DATA'!AW238)),IF($B240="STD. DEVIATION",2,$F$1))))</f>
        <v/>
      </c>
      <c r="AY240" s="1" t="str">
        <f>IF(OR($B240="",AY$7=""),"",IF($B240="MEANS",INDEX('1-DATA'!$1:$1048576,$A239-1,COLUMN('1-DATA'!AX238)),ROUND(INDEX('1-DATA'!$1:$1048576,IF(OR($B240="STD. DEVIATION",$C$1=1),$A240,$A240+1),COLUMN('1-DATA'!AX238)),IF($B240="STD. DEVIATION",2,$F$1))))</f>
        <v/>
      </c>
      <c r="AZ240" s="1" t="str">
        <f>IF(OR($B240="",AZ$7=""),"",IF($B240="MEANS",INDEX('1-DATA'!$1:$1048576,$A239-1,COLUMN('1-DATA'!AY238)),ROUND(INDEX('1-DATA'!$1:$1048576,IF(OR($B240="STD. DEVIATION",$C$1=1),$A240,$A240+1),COLUMN('1-DATA'!AY238)),IF($B240="STD. DEVIATION",2,$F$1))))</f>
        <v/>
      </c>
    </row>
    <row r="241" spans="1:52" x14ac:dyDescent="0.25">
      <c r="A241" s="11">
        <f t="shared" si="4"/>
        <v>709</v>
      </c>
      <c r="B241" s="1" t="str">
        <f>IF(B240="STD. DEVIATION",INDEX('1-DATA'!$1:$1048576,$A240-1,1),IF(INDEX('1-DATA'!$1:$1048576,$A241,1)&lt;&gt;"",INDEX('1-DATA'!$1:$1048576,$A241,1),""))</f>
        <v/>
      </c>
      <c r="C241" s="1" t="str">
        <f>IF(OR($B241="",C$7=""),"",IF($B241="MEANS",INDEX('1-DATA'!$1:$1048576,$A240-1,COLUMN('1-DATA'!B239)),ROUND(INDEX('1-DATA'!$1:$1048576,IF(OR($B241="STD. DEVIATION",$C$1=1),$A241,$A241+1),COLUMN('1-DATA'!B239)),IF($B241="STD. DEVIATION",2,$F$1))))</f>
        <v/>
      </c>
      <c r="D241" s="1" t="str">
        <f>IF(OR($B241="",D$7=""),"",IF($B241="MEANS",INDEX('1-DATA'!$1:$1048576,$A240-1,COLUMN('1-DATA'!C239)),ROUND(INDEX('1-DATA'!$1:$1048576,IF(OR($B241="STD. DEVIATION",$C$1=1),$A241,$A241+1),COLUMN('1-DATA'!C239)),IF($B241="STD. DEVIATION",2,$F$1))))</f>
        <v/>
      </c>
      <c r="E241" s="1" t="str">
        <f>IF(OR($B241="",E$7=""),"",IF($B241="MEANS",INDEX('1-DATA'!$1:$1048576,$A240-1,COLUMN('1-DATA'!D239)),ROUND(INDEX('1-DATA'!$1:$1048576,IF(OR($B241="STD. DEVIATION",$C$1=1),$A241,$A241+1),COLUMN('1-DATA'!D239)),IF($B241="STD. DEVIATION",2,$F$1))))</f>
        <v/>
      </c>
      <c r="F241" s="1" t="str">
        <f>IF(OR($B241="",F$7=""),"",IF($B241="MEANS",INDEX('1-DATA'!$1:$1048576,$A240-1,COLUMN('1-DATA'!E239)),ROUND(INDEX('1-DATA'!$1:$1048576,IF(OR($B241="STD. DEVIATION",$C$1=1),$A241,$A241+1),COLUMN('1-DATA'!E239)),IF($B241="STD. DEVIATION",2,$F$1))))</f>
        <v/>
      </c>
      <c r="G241" s="1" t="str">
        <f>IF(OR($B241="",G$7=""),"",IF($B241="MEANS",INDEX('1-DATA'!$1:$1048576,$A240-1,COLUMN('1-DATA'!F239)),ROUND(INDEX('1-DATA'!$1:$1048576,IF(OR($B241="STD. DEVIATION",$C$1=1),$A241,$A241+1),COLUMN('1-DATA'!F239)),IF($B241="STD. DEVIATION",2,$F$1))))</f>
        <v/>
      </c>
      <c r="H241" s="1" t="str">
        <f>IF(OR($B241="",H$7=""),"",IF($B241="MEANS",INDEX('1-DATA'!$1:$1048576,$A240-1,COLUMN('1-DATA'!G239)),ROUND(INDEX('1-DATA'!$1:$1048576,IF(OR($B241="STD. DEVIATION",$C$1=1),$A241,$A241+1),COLUMN('1-DATA'!G239)),IF($B241="STD. DEVIATION",2,$F$1))))</f>
        <v/>
      </c>
      <c r="I241" s="1" t="str">
        <f>IF(OR($B241="",I$7=""),"",IF($B241="MEANS",INDEX('1-DATA'!$1:$1048576,$A240-1,COLUMN('1-DATA'!H239)),ROUND(INDEX('1-DATA'!$1:$1048576,IF(OR($B241="STD. DEVIATION",$C$1=1),$A241,$A241+1),COLUMN('1-DATA'!H239)),IF($B241="STD. DEVIATION",2,$F$1))))</f>
        <v/>
      </c>
      <c r="J241" s="1" t="str">
        <f>IF(OR($B241="",J$7=""),"",IF($B241="MEANS",INDEX('1-DATA'!$1:$1048576,$A240-1,COLUMN('1-DATA'!I239)),ROUND(INDEX('1-DATA'!$1:$1048576,IF(OR($B241="STD. DEVIATION",$C$1=1),$A241,$A241+1),COLUMN('1-DATA'!I239)),IF($B241="STD. DEVIATION",2,$F$1))))</f>
        <v/>
      </c>
      <c r="K241" s="1" t="str">
        <f>IF(OR($B241="",K$7=""),"",IF($B241="MEANS",INDEX('1-DATA'!$1:$1048576,$A240-1,COLUMN('1-DATA'!J239)),ROUND(INDEX('1-DATA'!$1:$1048576,IF(OR($B241="STD. DEVIATION",$C$1=1),$A241,$A241+1),COLUMN('1-DATA'!J239)),IF($B241="STD. DEVIATION",2,$F$1))))</f>
        <v/>
      </c>
      <c r="L241" s="1" t="str">
        <f>IF(OR($B241="",L$7=""),"",IF($B241="MEANS",INDEX('1-DATA'!$1:$1048576,$A240-1,COLUMN('1-DATA'!K239)),ROUND(INDEX('1-DATA'!$1:$1048576,IF(OR($B241="STD. DEVIATION",$C$1=1),$A241,$A241+1),COLUMN('1-DATA'!K239)),IF($B241="STD. DEVIATION",2,$F$1))))</f>
        <v/>
      </c>
      <c r="M241" s="1" t="str">
        <f>IF(OR($B241="",M$7=""),"",IF($B241="MEANS",INDEX('1-DATA'!$1:$1048576,$A240-1,COLUMN('1-DATA'!L239)),ROUND(INDEX('1-DATA'!$1:$1048576,IF(OR($B241="STD. DEVIATION",$C$1=1),$A241,$A241+1),COLUMN('1-DATA'!L239)),IF($B241="STD. DEVIATION",2,$F$1))))</f>
        <v/>
      </c>
      <c r="N241" s="1" t="str">
        <f>IF(OR($B241="",N$7=""),"",IF($B241="MEANS",INDEX('1-DATA'!$1:$1048576,$A240-1,COLUMN('1-DATA'!M239)),ROUND(INDEX('1-DATA'!$1:$1048576,IF(OR($B241="STD. DEVIATION",$C$1=1),$A241,$A241+1),COLUMN('1-DATA'!M239)),IF($B241="STD. DEVIATION",2,$F$1))))</f>
        <v/>
      </c>
      <c r="O241" s="1" t="str">
        <f>IF(OR($B241="",O$7=""),"",IF($B241="MEANS",INDEX('1-DATA'!$1:$1048576,$A240-1,COLUMN('1-DATA'!N239)),ROUND(INDEX('1-DATA'!$1:$1048576,IF(OR($B241="STD. DEVIATION",$C$1=1),$A241,$A241+1),COLUMN('1-DATA'!N239)),IF($B241="STD. DEVIATION",2,$F$1))))</f>
        <v/>
      </c>
      <c r="P241" s="1" t="str">
        <f>IF(OR($B241="",P$7=""),"",IF($B241="MEANS",INDEX('1-DATA'!$1:$1048576,$A240-1,COLUMN('1-DATA'!O239)),ROUND(INDEX('1-DATA'!$1:$1048576,IF(OR($B241="STD. DEVIATION",$C$1=1),$A241,$A241+1),COLUMN('1-DATA'!O239)),IF($B241="STD. DEVIATION",2,$F$1))))</f>
        <v/>
      </c>
      <c r="Q241" s="1" t="str">
        <f>IF(OR($B241="",Q$7=""),"",IF($B241="MEANS",INDEX('1-DATA'!$1:$1048576,$A240-1,COLUMN('1-DATA'!P239)),ROUND(INDEX('1-DATA'!$1:$1048576,IF(OR($B241="STD. DEVIATION",$C$1=1),$A241,$A241+1),COLUMN('1-DATA'!P239)),IF($B241="STD. DEVIATION",2,$F$1))))</f>
        <v/>
      </c>
      <c r="R241" s="1" t="str">
        <f>IF(OR($B241="",R$7=""),"",IF($B241="MEANS",INDEX('1-DATA'!$1:$1048576,$A240-1,COLUMN('1-DATA'!Q239)),ROUND(INDEX('1-DATA'!$1:$1048576,IF(OR($B241="STD. DEVIATION",$C$1=1),$A241,$A241+1),COLUMN('1-DATA'!Q239)),IF($B241="STD. DEVIATION",2,$F$1))))</f>
        <v/>
      </c>
      <c r="S241" s="1" t="str">
        <f>IF(OR($B241="",S$7=""),"",IF($B241="MEANS",INDEX('1-DATA'!$1:$1048576,$A240-1,COLUMN('1-DATA'!R239)),ROUND(INDEX('1-DATA'!$1:$1048576,IF(OR($B241="STD. DEVIATION",$C$1=1),$A241,$A241+1),COLUMN('1-DATA'!R239)),IF($B241="STD. DEVIATION",2,$F$1))))</f>
        <v/>
      </c>
      <c r="T241" s="1" t="str">
        <f>IF(OR($B241="",T$7=""),"",IF($B241="MEANS",INDEX('1-DATA'!$1:$1048576,$A240-1,COLUMN('1-DATA'!S239)),ROUND(INDEX('1-DATA'!$1:$1048576,IF(OR($B241="STD. DEVIATION",$C$1=1),$A241,$A241+1),COLUMN('1-DATA'!S239)),IF($B241="STD. DEVIATION",2,$F$1))))</f>
        <v/>
      </c>
      <c r="U241" s="1" t="str">
        <f>IF(OR($B241="",U$7=""),"",IF($B241="MEANS",INDEX('1-DATA'!$1:$1048576,$A240-1,COLUMN('1-DATA'!T239)),ROUND(INDEX('1-DATA'!$1:$1048576,IF(OR($B241="STD. DEVIATION",$C$1=1),$A241,$A241+1),COLUMN('1-DATA'!T239)),IF($B241="STD. DEVIATION",2,$F$1))))</f>
        <v/>
      </c>
      <c r="V241" s="1" t="str">
        <f>IF(OR($B241="",V$7=""),"",IF($B241="MEANS",INDEX('1-DATA'!$1:$1048576,$A240-1,COLUMN('1-DATA'!U239)),ROUND(INDEX('1-DATA'!$1:$1048576,IF(OR($B241="STD. DEVIATION",$C$1=1),$A241,$A241+1),COLUMN('1-DATA'!U239)),IF($B241="STD. DEVIATION",2,$F$1))))</f>
        <v/>
      </c>
      <c r="W241" s="1" t="str">
        <f>IF(OR($B241="",W$7=""),"",IF($B241="MEANS",INDEX('1-DATA'!$1:$1048576,$A240-1,COLUMN('1-DATA'!V239)),ROUND(INDEX('1-DATA'!$1:$1048576,IF(OR($B241="STD. DEVIATION",$C$1=1),$A241,$A241+1),COLUMN('1-DATA'!V239)),IF($B241="STD. DEVIATION",2,$F$1))))</f>
        <v/>
      </c>
      <c r="X241" s="1" t="str">
        <f>IF(OR($B241="",X$7=""),"",IF($B241="MEANS",INDEX('1-DATA'!$1:$1048576,$A240-1,COLUMN('1-DATA'!W239)),ROUND(INDEX('1-DATA'!$1:$1048576,IF(OR($B241="STD. DEVIATION",$C$1=1),$A241,$A241+1),COLUMN('1-DATA'!W239)),IF($B241="STD. DEVIATION",2,$F$1))))</f>
        <v/>
      </c>
      <c r="Y241" s="1" t="str">
        <f>IF(OR($B241="",Y$7=""),"",IF($B241="MEANS",INDEX('1-DATA'!$1:$1048576,$A240-1,COLUMN('1-DATA'!X239)),ROUND(INDEX('1-DATA'!$1:$1048576,IF(OR($B241="STD. DEVIATION",$C$1=1),$A241,$A241+1),COLUMN('1-DATA'!X239)),IF($B241="STD. DEVIATION",2,$F$1))))</f>
        <v/>
      </c>
      <c r="Z241" s="1" t="str">
        <f>IF(OR($B241="",Z$7=""),"",IF($B241="MEANS",INDEX('1-DATA'!$1:$1048576,$A240-1,COLUMN('1-DATA'!Y239)),ROUND(INDEX('1-DATA'!$1:$1048576,IF(OR($B241="STD. DEVIATION",$C$1=1),$A241,$A241+1),COLUMN('1-DATA'!Y239)),IF($B241="STD. DEVIATION",2,$F$1))))</f>
        <v/>
      </c>
      <c r="AA241" s="1" t="str">
        <f>IF(OR($B241="",AA$7=""),"",IF($B241="MEANS",INDEX('1-DATA'!$1:$1048576,$A240-1,COLUMN('1-DATA'!Z239)),ROUND(INDEX('1-DATA'!$1:$1048576,IF(OR($B241="STD. DEVIATION",$C$1=1),$A241,$A241+1),COLUMN('1-DATA'!Z239)),IF($B241="STD. DEVIATION",2,$F$1))))</f>
        <v/>
      </c>
      <c r="AB241" s="1" t="str">
        <f>IF(OR($B241="",AB$7=""),"",IF($B241="MEANS",INDEX('1-DATA'!$1:$1048576,$A240-1,COLUMN('1-DATA'!AA239)),ROUND(INDEX('1-DATA'!$1:$1048576,IF(OR($B241="STD. DEVIATION",$C$1=1),$A241,$A241+1),COLUMN('1-DATA'!AA239)),IF($B241="STD. DEVIATION",2,$F$1))))</f>
        <v/>
      </c>
      <c r="AC241" s="1" t="str">
        <f>IF(OR($B241="",AC$7=""),"",IF($B241="MEANS",INDEX('1-DATA'!$1:$1048576,$A240-1,COLUMN('1-DATA'!AB239)),ROUND(INDEX('1-DATA'!$1:$1048576,IF(OR($B241="STD. DEVIATION",$C$1=1),$A241,$A241+1),COLUMN('1-DATA'!AB239)),IF($B241="STD. DEVIATION",2,$F$1))))</f>
        <v/>
      </c>
      <c r="AD241" s="1" t="str">
        <f>IF(OR($B241="",AD$7=""),"",IF($B241="MEANS",INDEX('1-DATA'!$1:$1048576,$A240-1,COLUMN('1-DATA'!AC239)),ROUND(INDEX('1-DATA'!$1:$1048576,IF(OR($B241="STD. DEVIATION",$C$1=1),$A241,$A241+1),COLUMN('1-DATA'!AC239)),IF($B241="STD. DEVIATION",2,$F$1))))</f>
        <v/>
      </c>
      <c r="AE241" s="1" t="str">
        <f>IF(OR($B241="",AE$7=""),"",IF($B241="MEANS",INDEX('1-DATA'!$1:$1048576,$A240-1,COLUMN('1-DATA'!AD239)),ROUND(INDEX('1-DATA'!$1:$1048576,IF(OR($B241="STD. DEVIATION",$C$1=1),$A241,$A241+1),COLUMN('1-DATA'!AD239)),IF($B241="STD. DEVIATION",2,$F$1))))</f>
        <v/>
      </c>
      <c r="AF241" s="1" t="str">
        <f>IF(OR($B241="",AF$7=""),"",IF($B241="MEANS",INDEX('1-DATA'!$1:$1048576,$A240-1,COLUMN('1-DATA'!AE239)),ROUND(INDEX('1-DATA'!$1:$1048576,IF(OR($B241="STD. DEVIATION",$C$1=1),$A241,$A241+1),COLUMN('1-DATA'!AE239)),IF($B241="STD. DEVIATION",2,$F$1))))</f>
        <v/>
      </c>
      <c r="AG241" s="1" t="str">
        <f>IF(OR($B241="",AG$7=""),"",IF($B241="MEANS",INDEX('1-DATA'!$1:$1048576,$A240-1,COLUMN('1-DATA'!AF239)),ROUND(INDEX('1-DATA'!$1:$1048576,IF(OR($B241="STD. DEVIATION",$C$1=1),$A241,$A241+1),COLUMN('1-DATA'!AF239)),IF($B241="STD. DEVIATION",2,$F$1))))</f>
        <v/>
      </c>
      <c r="AH241" s="1" t="str">
        <f>IF(OR($B241="",AH$7=""),"",IF($B241="MEANS",INDEX('1-DATA'!$1:$1048576,$A240-1,COLUMN('1-DATA'!AG239)),ROUND(INDEX('1-DATA'!$1:$1048576,IF(OR($B241="STD. DEVIATION",$C$1=1),$A241,$A241+1),COLUMN('1-DATA'!AG239)),IF($B241="STD. DEVIATION",2,$F$1))))</f>
        <v/>
      </c>
      <c r="AI241" s="1" t="str">
        <f>IF(OR($B241="",AI$7=""),"",IF($B241="MEANS",INDEX('1-DATA'!$1:$1048576,$A240-1,COLUMN('1-DATA'!AH239)),ROUND(INDEX('1-DATA'!$1:$1048576,IF(OR($B241="STD. DEVIATION",$C$1=1),$A241,$A241+1),COLUMN('1-DATA'!AH239)),IF($B241="STD. DEVIATION",2,$F$1))))</f>
        <v/>
      </c>
      <c r="AJ241" s="1" t="str">
        <f>IF(OR($B241="",AJ$7=""),"",IF($B241="MEANS",INDEX('1-DATA'!$1:$1048576,$A240-1,COLUMN('1-DATA'!AI239)),ROUND(INDEX('1-DATA'!$1:$1048576,IF(OR($B241="STD. DEVIATION",$C$1=1),$A241,$A241+1),COLUMN('1-DATA'!AI239)),IF($B241="STD. DEVIATION",2,$F$1))))</f>
        <v/>
      </c>
      <c r="AK241" s="1" t="str">
        <f>IF(OR($B241="",AK$7=""),"",IF($B241="MEANS",INDEX('1-DATA'!$1:$1048576,$A240-1,COLUMN('1-DATA'!AJ239)),ROUND(INDEX('1-DATA'!$1:$1048576,IF(OR($B241="STD. DEVIATION",$C$1=1),$A241,$A241+1),COLUMN('1-DATA'!AJ239)),IF($B241="STD. DEVIATION",2,$F$1))))</f>
        <v/>
      </c>
      <c r="AL241" s="1" t="str">
        <f>IF(OR($B241="",AL$7=""),"",IF($B241="MEANS",INDEX('1-DATA'!$1:$1048576,$A240-1,COLUMN('1-DATA'!AK239)),ROUND(INDEX('1-DATA'!$1:$1048576,IF(OR($B241="STD. DEVIATION",$C$1=1),$A241,$A241+1),COLUMN('1-DATA'!AK239)),IF($B241="STD. DEVIATION",2,$F$1))))</f>
        <v/>
      </c>
      <c r="AM241" s="1" t="str">
        <f>IF(OR($B241="",AM$7=""),"",IF($B241="MEANS",INDEX('1-DATA'!$1:$1048576,$A240-1,COLUMN('1-DATA'!AL239)),ROUND(INDEX('1-DATA'!$1:$1048576,IF(OR($B241="STD. DEVIATION",$C$1=1),$A241,$A241+1),COLUMN('1-DATA'!AL239)),IF($B241="STD. DEVIATION",2,$F$1))))</f>
        <v/>
      </c>
      <c r="AN241" s="1" t="str">
        <f>IF(OR($B241="",AN$7=""),"",IF($B241="MEANS",INDEX('1-DATA'!$1:$1048576,$A240-1,COLUMN('1-DATA'!AM239)),ROUND(INDEX('1-DATA'!$1:$1048576,IF(OR($B241="STD. DEVIATION",$C$1=1),$A241,$A241+1),COLUMN('1-DATA'!AM239)),IF($B241="STD. DEVIATION",2,$F$1))))</f>
        <v/>
      </c>
      <c r="AO241" s="1" t="str">
        <f>IF(OR($B241="",AO$7=""),"",IF($B241="MEANS",INDEX('1-DATA'!$1:$1048576,$A240-1,COLUMN('1-DATA'!AN239)),ROUND(INDEX('1-DATA'!$1:$1048576,IF(OR($B241="STD. DEVIATION",$C$1=1),$A241,$A241+1),COLUMN('1-DATA'!AN239)),IF($B241="STD. DEVIATION",2,$F$1))))</f>
        <v/>
      </c>
      <c r="AP241" s="1" t="str">
        <f>IF(OR($B241="",AP$7=""),"",IF($B241="MEANS",INDEX('1-DATA'!$1:$1048576,$A240-1,COLUMN('1-DATA'!AO239)),ROUND(INDEX('1-DATA'!$1:$1048576,IF(OR($B241="STD. DEVIATION",$C$1=1),$A241,$A241+1),COLUMN('1-DATA'!AO239)),IF($B241="STD. DEVIATION",2,$F$1))))</f>
        <v/>
      </c>
      <c r="AQ241" s="1" t="str">
        <f>IF(OR($B241="",AQ$7=""),"",IF($B241="MEANS",INDEX('1-DATA'!$1:$1048576,$A240-1,COLUMN('1-DATA'!AP239)),ROUND(INDEX('1-DATA'!$1:$1048576,IF(OR($B241="STD. DEVIATION",$C$1=1),$A241,$A241+1),COLUMN('1-DATA'!AP239)),IF($B241="STD. DEVIATION",2,$F$1))))</f>
        <v/>
      </c>
      <c r="AR241" s="1" t="str">
        <f>IF(OR($B241="",AR$7=""),"",IF($B241="MEANS",INDEX('1-DATA'!$1:$1048576,$A240-1,COLUMN('1-DATA'!AQ239)),ROUND(INDEX('1-DATA'!$1:$1048576,IF(OR($B241="STD. DEVIATION",$C$1=1),$A241,$A241+1),COLUMN('1-DATA'!AQ239)),IF($B241="STD. DEVIATION",2,$F$1))))</f>
        <v/>
      </c>
      <c r="AS241" s="1" t="str">
        <f>IF(OR($B241="",AS$7=""),"",IF($B241="MEANS",INDEX('1-DATA'!$1:$1048576,$A240-1,COLUMN('1-DATA'!AR239)),ROUND(INDEX('1-DATA'!$1:$1048576,IF(OR($B241="STD. DEVIATION",$C$1=1),$A241,$A241+1),COLUMN('1-DATA'!AR239)),IF($B241="STD. DEVIATION",2,$F$1))))</f>
        <v/>
      </c>
      <c r="AT241" s="1" t="str">
        <f>IF(OR($B241="",AT$7=""),"",IF($B241="MEANS",INDEX('1-DATA'!$1:$1048576,$A240-1,COLUMN('1-DATA'!AS239)),ROUND(INDEX('1-DATA'!$1:$1048576,IF(OR($B241="STD. DEVIATION",$C$1=1),$A241,$A241+1),COLUMN('1-DATA'!AS239)),IF($B241="STD. DEVIATION",2,$F$1))))</f>
        <v/>
      </c>
      <c r="AU241" s="1" t="str">
        <f>IF(OR($B241="",AU$7=""),"",IF($B241="MEANS",INDEX('1-DATA'!$1:$1048576,$A240-1,COLUMN('1-DATA'!AT239)),ROUND(INDEX('1-DATA'!$1:$1048576,IF(OR($B241="STD. DEVIATION",$C$1=1),$A241,$A241+1),COLUMN('1-DATA'!AT239)),IF($B241="STD. DEVIATION",2,$F$1))))</f>
        <v/>
      </c>
      <c r="AV241" s="1" t="str">
        <f>IF(OR($B241="",AV$7=""),"",IF($B241="MEANS",INDEX('1-DATA'!$1:$1048576,$A240-1,COLUMN('1-DATA'!AU239)),ROUND(INDEX('1-DATA'!$1:$1048576,IF(OR($B241="STD. DEVIATION",$C$1=1),$A241,$A241+1),COLUMN('1-DATA'!AU239)),IF($B241="STD. DEVIATION",2,$F$1))))</f>
        <v/>
      </c>
      <c r="AW241" s="1" t="str">
        <f>IF(OR($B241="",AW$7=""),"",IF($B241="MEANS",INDEX('1-DATA'!$1:$1048576,$A240-1,COLUMN('1-DATA'!AV239)),ROUND(INDEX('1-DATA'!$1:$1048576,IF(OR($B241="STD. DEVIATION",$C$1=1),$A241,$A241+1),COLUMN('1-DATA'!AV239)),IF($B241="STD. DEVIATION",2,$F$1))))</f>
        <v/>
      </c>
      <c r="AX241" s="1" t="str">
        <f>IF(OR($B241="",AX$7=""),"",IF($B241="MEANS",INDEX('1-DATA'!$1:$1048576,$A240-1,COLUMN('1-DATA'!AW239)),ROUND(INDEX('1-DATA'!$1:$1048576,IF(OR($B241="STD. DEVIATION",$C$1=1),$A241,$A241+1),COLUMN('1-DATA'!AW239)),IF($B241="STD. DEVIATION",2,$F$1))))</f>
        <v/>
      </c>
      <c r="AY241" s="1" t="str">
        <f>IF(OR($B241="",AY$7=""),"",IF($B241="MEANS",INDEX('1-DATA'!$1:$1048576,$A240-1,COLUMN('1-DATA'!AX239)),ROUND(INDEX('1-DATA'!$1:$1048576,IF(OR($B241="STD. DEVIATION",$C$1=1),$A241,$A241+1),COLUMN('1-DATA'!AX239)),IF($B241="STD. DEVIATION",2,$F$1))))</f>
        <v/>
      </c>
      <c r="AZ241" s="1" t="str">
        <f>IF(OR($B241="",AZ$7=""),"",IF($B241="MEANS",INDEX('1-DATA'!$1:$1048576,$A240-1,COLUMN('1-DATA'!AY239)),ROUND(INDEX('1-DATA'!$1:$1048576,IF(OR($B241="STD. DEVIATION",$C$1=1),$A241,$A241+1),COLUMN('1-DATA'!AY239)),IF($B241="STD. DEVIATION",2,$F$1))))</f>
        <v/>
      </c>
    </row>
    <row r="242" spans="1:52" x14ac:dyDescent="0.25">
      <c r="A242" s="11">
        <f t="shared" si="4"/>
        <v>712</v>
      </c>
      <c r="B242" s="1" t="str">
        <f>IF(B241="STD. DEVIATION",INDEX('1-DATA'!$1:$1048576,$A241-1,1),IF(INDEX('1-DATA'!$1:$1048576,$A242,1)&lt;&gt;"",INDEX('1-DATA'!$1:$1048576,$A242,1),""))</f>
        <v/>
      </c>
      <c r="C242" s="1" t="str">
        <f>IF(OR($B242="",C$7=""),"",IF($B242="MEANS",INDEX('1-DATA'!$1:$1048576,$A241-1,COLUMN('1-DATA'!B240)),ROUND(INDEX('1-DATA'!$1:$1048576,IF(OR($B242="STD. DEVIATION",$C$1=1),$A242,$A242+1),COLUMN('1-DATA'!B240)),IF($B242="STD. DEVIATION",2,$F$1))))</f>
        <v/>
      </c>
      <c r="D242" s="1" t="str">
        <f>IF(OR($B242="",D$7=""),"",IF($B242="MEANS",INDEX('1-DATA'!$1:$1048576,$A241-1,COLUMN('1-DATA'!C240)),ROUND(INDEX('1-DATA'!$1:$1048576,IF(OR($B242="STD. DEVIATION",$C$1=1),$A242,$A242+1),COLUMN('1-DATA'!C240)),IF($B242="STD. DEVIATION",2,$F$1))))</f>
        <v/>
      </c>
      <c r="E242" s="1" t="str">
        <f>IF(OR($B242="",E$7=""),"",IF($B242="MEANS",INDEX('1-DATA'!$1:$1048576,$A241-1,COLUMN('1-DATA'!D240)),ROUND(INDEX('1-DATA'!$1:$1048576,IF(OR($B242="STD. DEVIATION",$C$1=1),$A242,$A242+1),COLUMN('1-DATA'!D240)),IF($B242="STD. DEVIATION",2,$F$1))))</f>
        <v/>
      </c>
      <c r="F242" s="1" t="str">
        <f>IF(OR($B242="",F$7=""),"",IF($B242="MEANS",INDEX('1-DATA'!$1:$1048576,$A241-1,COLUMN('1-DATA'!E240)),ROUND(INDEX('1-DATA'!$1:$1048576,IF(OR($B242="STD. DEVIATION",$C$1=1),$A242,$A242+1),COLUMN('1-DATA'!E240)),IF($B242="STD. DEVIATION",2,$F$1))))</f>
        <v/>
      </c>
      <c r="G242" s="1" t="str">
        <f>IF(OR($B242="",G$7=""),"",IF($B242="MEANS",INDEX('1-DATA'!$1:$1048576,$A241-1,COLUMN('1-DATA'!F240)),ROUND(INDEX('1-DATA'!$1:$1048576,IF(OR($B242="STD. DEVIATION",$C$1=1),$A242,$A242+1),COLUMN('1-DATA'!F240)),IF($B242="STD. DEVIATION",2,$F$1))))</f>
        <v/>
      </c>
      <c r="H242" s="1" t="str">
        <f>IF(OR($B242="",H$7=""),"",IF($B242="MEANS",INDEX('1-DATA'!$1:$1048576,$A241-1,COLUMN('1-DATA'!G240)),ROUND(INDEX('1-DATA'!$1:$1048576,IF(OR($B242="STD. DEVIATION",$C$1=1),$A242,$A242+1),COLUMN('1-DATA'!G240)),IF($B242="STD. DEVIATION",2,$F$1))))</f>
        <v/>
      </c>
      <c r="I242" s="1" t="str">
        <f>IF(OR($B242="",I$7=""),"",IF($B242="MEANS",INDEX('1-DATA'!$1:$1048576,$A241-1,COLUMN('1-DATA'!H240)),ROUND(INDEX('1-DATA'!$1:$1048576,IF(OR($B242="STD. DEVIATION",$C$1=1),$A242,$A242+1),COLUMN('1-DATA'!H240)),IF($B242="STD. DEVIATION",2,$F$1))))</f>
        <v/>
      </c>
      <c r="J242" s="1" t="str">
        <f>IF(OR($B242="",J$7=""),"",IF($B242="MEANS",INDEX('1-DATA'!$1:$1048576,$A241-1,COLUMN('1-DATA'!I240)),ROUND(INDEX('1-DATA'!$1:$1048576,IF(OR($B242="STD. DEVIATION",$C$1=1),$A242,$A242+1),COLUMN('1-DATA'!I240)),IF($B242="STD. DEVIATION",2,$F$1))))</f>
        <v/>
      </c>
      <c r="K242" s="1" t="str">
        <f>IF(OR($B242="",K$7=""),"",IF($B242="MEANS",INDEX('1-DATA'!$1:$1048576,$A241-1,COLUMN('1-DATA'!J240)),ROUND(INDEX('1-DATA'!$1:$1048576,IF(OR($B242="STD. DEVIATION",$C$1=1),$A242,$A242+1),COLUMN('1-DATA'!J240)),IF($B242="STD. DEVIATION",2,$F$1))))</f>
        <v/>
      </c>
      <c r="L242" s="1" t="str">
        <f>IF(OR($B242="",L$7=""),"",IF($B242="MEANS",INDEX('1-DATA'!$1:$1048576,$A241-1,COLUMN('1-DATA'!K240)),ROUND(INDEX('1-DATA'!$1:$1048576,IF(OR($B242="STD. DEVIATION",$C$1=1),$A242,$A242+1),COLUMN('1-DATA'!K240)),IF($B242="STD. DEVIATION",2,$F$1))))</f>
        <v/>
      </c>
      <c r="M242" s="1" t="str">
        <f>IF(OR($B242="",M$7=""),"",IF($B242="MEANS",INDEX('1-DATA'!$1:$1048576,$A241-1,COLUMN('1-DATA'!L240)),ROUND(INDEX('1-DATA'!$1:$1048576,IF(OR($B242="STD. DEVIATION",$C$1=1),$A242,$A242+1),COLUMN('1-DATA'!L240)),IF($B242="STD. DEVIATION",2,$F$1))))</f>
        <v/>
      </c>
      <c r="N242" s="1" t="str">
        <f>IF(OR($B242="",N$7=""),"",IF($B242="MEANS",INDEX('1-DATA'!$1:$1048576,$A241-1,COLUMN('1-DATA'!M240)),ROUND(INDEX('1-DATA'!$1:$1048576,IF(OR($B242="STD. DEVIATION",$C$1=1),$A242,$A242+1),COLUMN('1-DATA'!M240)),IF($B242="STD. DEVIATION",2,$F$1))))</f>
        <v/>
      </c>
      <c r="O242" s="1" t="str">
        <f>IF(OR($B242="",O$7=""),"",IF($B242="MEANS",INDEX('1-DATA'!$1:$1048576,$A241-1,COLUMN('1-DATA'!N240)),ROUND(INDEX('1-DATA'!$1:$1048576,IF(OR($B242="STD. DEVIATION",$C$1=1),$A242,$A242+1),COLUMN('1-DATA'!N240)),IF($B242="STD. DEVIATION",2,$F$1))))</f>
        <v/>
      </c>
      <c r="P242" s="1" t="str">
        <f>IF(OR($B242="",P$7=""),"",IF($B242="MEANS",INDEX('1-DATA'!$1:$1048576,$A241-1,COLUMN('1-DATA'!O240)),ROUND(INDEX('1-DATA'!$1:$1048576,IF(OR($B242="STD. DEVIATION",$C$1=1),$A242,$A242+1),COLUMN('1-DATA'!O240)),IF($B242="STD. DEVIATION",2,$F$1))))</f>
        <v/>
      </c>
      <c r="Q242" s="1" t="str">
        <f>IF(OR($B242="",Q$7=""),"",IF($B242="MEANS",INDEX('1-DATA'!$1:$1048576,$A241-1,COLUMN('1-DATA'!P240)),ROUND(INDEX('1-DATA'!$1:$1048576,IF(OR($B242="STD. DEVIATION",$C$1=1),$A242,$A242+1),COLUMN('1-DATA'!P240)),IF($B242="STD. DEVIATION",2,$F$1))))</f>
        <v/>
      </c>
      <c r="R242" s="1" t="str">
        <f>IF(OR($B242="",R$7=""),"",IF($B242="MEANS",INDEX('1-DATA'!$1:$1048576,$A241-1,COLUMN('1-DATA'!Q240)),ROUND(INDEX('1-DATA'!$1:$1048576,IF(OR($B242="STD. DEVIATION",$C$1=1),$A242,$A242+1),COLUMN('1-DATA'!Q240)),IF($B242="STD. DEVIATION",2,$F$1))))</f>
        <v/>
      </c>
      <c r="S242" s="1" t="str">
        <f>IF(OR($B242="",S$7=""),"",IF($B242="MEANS",INDEX('1-DATA'!$1:$1048576,$A241-1,COLUMN('1-DATA'!R240)),ROUND(INDEX('1-DATA'!$1:$1048576,IF(OR($B242="STD. DEVIATION",$C$1=1),$A242,$A242+1),COLUMN('1-DATA'!R240)),IF($B242="STD. DEVIATION",2,$F$1))))</f>
        <v/>
      </c>
      <c r="T242" s="1" t="str">
        <f>IF(OR($B242="",T$7=""),"",IF($B242="MEANS",INDEX('1-DATA'!$1:$1048576,$A241-1,COLUMN('1-DATA'!S240)),ROUND(INDEX('1-DATA'!$1:$1048576,IF(OR($B242="STD. DEVIATION",$C$1=1),$A242,$A242+1),COLUMN('1-DATA'!S240)),IF($B242="STD. DEVIATION",2,$F$1))))</f>
        <v/>
      </c>
      <c r="U242" s="1" t="str">
        <f>IF(OR($B242="",U$7=""),"",IF($B242="MEANS",INDEX('1-DATA'!$1:$1048576,$A241-1,COLUMN('1-DATA'!T240)),ROUND(INDEX('1-DATA'!$1:$1048576,IF(OR($B242="STD. DEVIATION",$C$1=1),$A242,$A242+1),COLUMN('1-DATA'!T240)),IF($B242="STD. DEVIATION",2,$F$1))))</f>
        <v/>
      </c>
      <c r="V242" s="1" t="str">
        <f>IF(OR($B242="",V$7=""),"",IF($B242="MEANS",INDEX('1-DATA'!$1:$1048576,$A241-1,COLUMN('1-DATA'!U240)),ROUND(INDEX('1-DATA'!$1:$1048576,IF(OR($B242="STD. DEVIATION",$C$1=1),$A242,$A242+1),COLUMN('1-DATA'!U240)),IF($B242="STD. DEVIATION",2,$F$1))))</f>
        <v/>
      </c>
      <c r="W242" s="1" t="str">
        <f>IF(OR($B242="",W$7=""),"",IF($B242="MEANS",INDEX('1-DATA'!$1:$1048576,$A241-1,COLUMN('1-DATA'!V240)),ROUND(INDEX('1-DATA'!$1:$1048576,IF(OR($B242="STD. DEVIATION",$C$1=1),$A242,$A242+1),COLUMN('1-DATA'!V240)),IF($B242="STD. DEVIATION",2,$F$1))))</f>
        <v/>
      </c>
      <c r="X242" s="1" t="str">
        <f>IF(OR($B242="",X$7=""),"",IF($B242="MEANS",INDEX('1-DATA'!$1:$1048576,$A241-1,COLUMN('1-DATA'!W240)),ROUND(INDEX('1-DATA'!$1:$1048576,IF(OR($B242="STD. DEVIATION",$C$1=1),$A242,$A242+1),COLUMN('1-DATA'!W240)),IF($B242="STD. DEVIATION",2,$F$1))))</f>
        <v/>
      </c>
      <c r="Y242" s="1" t="str">
        <f>IF(OR($B242="",Y$7=""),"",IF($B242="MEANS",INDEX('1-DATA'!$1:$1048576,$A241-1,COLUMN('1-DATA'!X240)),ROUND(INDEX('1-DATA'!$1:$1048576,IF(OR($B242="STD. DEVIATION",$C$1=1),$A242,$A242+1),COLUMN('1-DATA'!X240)),IF($B242="STD. DEVIATION",2,$F$1))))</f>
        <v/>
      </c>
      <c r="Z242" s="1" t="str">
        <f>IF(OR($B242="",Z$7=""),"",IF($B242="MEANS",INDEX('1-DATA'!$1:$1048576,$A241-1,COLUMN('1-DATA'!Y240)),ROUND(INDEX('1-DATA'!$1:$1048576,IF(OR($B242="STD. DEVIATION",$C$1=1),$A242,$A242+1),COLUMN('1-DATA'!Y240)),IF($B242="STD. DEVIATION",2,$F$1))))</f>
        <v/>
      </c>
      <c r="AA242" s="1" t="str">
        <f>IF(OR($B242="",AA$7=""),"",IF($B242="MEANS",INDEX('1-DATA'!$1:$1048576,$A241-1,COLUMN('1-DATA'!Z240)),ROUND(INDEX('1-DATA'!$1:$1048576,IF(OR($B242="STD. DEVIATION",$C$1=1),$A242,$A242+1),COLUMN('1-DATA'!Z240)),IF($B242="STD. DEVIATION",2,$F$1))))</f>
        <v/>
      </c>
      <c r="AB242" s="1" t="str">
        <f>IF(OR($B242="",AB$7=""),"",IF($B242="MEANS",INDEX('1-DATA'!$1:$1048576,$A241-1,COLUMN('1-DATA'!AA240)),ROUND(INDEX('1-DATA'!$1:$1048576,IF(OR($B242="STD. DEVIATION",$C$1=1),$A242,$A242+1),COLUMN('1-DATA'!AA240)),IF($B242="STD. DEVIATION",2,$F$1))))</f>
        <v/>
      </c>
      <c r="AC242" s="1" t="str">
        <f>IF(OR($B242="",AC$7=""),"",IF($B242="MEANS",INDEX('1-DATA'!$1:$1048576,$A241-1,COLUMN('1-DATA'!AB240)),ROUND(INDEX('1-DATA'!$1:$1048576,IF(OR($B242="STD. DEVIATION",$C$1=1),$A242,$A242+1),COLUMN('1-DATA'!AB240)),IF($B242="STD. DEVIATION",2,$F$1))))</f>
        <v/>
      </c>
      <c r="AD242" s="1" t="str">
        <f>IF(OR($B242="",AD$7=""),"",IF($B242="MEANS",INDEX('1-DATA'!$1:$1048576,$A241-1,COLUMN('1-DATA'!AC240)),ROUND(INDEX('1-DATA'!$1:$1048576,IF(OR($B242="STD. DEVIATION",$C$1=1),$A242,$A242+1),COLUMN('1-DATA'!AC240)),IF($B242="STD. DEVIATION",2,$F$1))))</f>
        <v/>
      </c>
      <c r="AE242" s="1" t="str">
        <f>IF(OR($B242="",AE$7=""),"",IF($B242="MEANS",INDEX('1-DATA'!$1:$1048576,$A241-1,COLUMN('1-DATA'!AD240)),ROUND(INDEX('1-DATA'!$1:$1048576,IF(OR($B242="STD. DEVIATION",$C$1=1),$A242,$A242+1),COLUMN('1-DATA'!AD240)),IF($B242="STD. DEVIATION",2,$F$1))))</f>
        <v/>
      </c>
      <c r="AF242" s="1" t="str">
        <f>IF(OR($B242="",AF$7=""),"",IF($B242="MEANS",INDEX('1-DATA'!$1:$1048576,$A241-1,COLUMN('1-DATA'!AE240)),ROUND(INDEX('1-DATA'!$1:$1048576,IF(OR($B242="STD. DEVIATION",$C$1=1),$A242,$A242+1),COLUMN('1-DATA'!AE240)),IF($B242="STD. DEVIATION",2,$F$1))))</f>
        <v/>
      </c>
      <c r="AG242" s="1" t="str">
        <f>IF(OR($B242="",AG$7=""),"",IF($B242="MEANS",INDEX('1-DATA'!$1:$1048576,$A241-1,COLUMN('1-DATA'!AF240)),ROUND(INDEX('1-DATA'!$1:$1048576,IF(OR($B242="STD. DEVIATION",$C$1=1),$A242,$A242+1),COLUMN('1-DATA'!AF240)),IF($B242="STD. DEVIATION",2,$F$1))))</f>
        <v/>
      </c>
      <c r="AH242" s="1" t="str">
        <f>IF(OR($B242="",AH$7=""),"",IF($B242="MEANS",INDEX('1-DATA'!$1:$1048576,$A241-1,COLUMN('1-DATA'!AG240)),ROUND(INDEX('1-DATA'!$1:$1048576,IF(OR($B242="STD. DEVIATION",$C$1=1),$A242,$A242+1),COLUMN('1-DATA'!AG240)),IF($B242="STD. DEVIATION",2,$F$1))))</f>
        <v/>
      </c>
      <c r="AI242" s="1" t="str">
        <f>IF(OR($B242="",AI$7=""),"",IF($B242="MEANS",INDEX('1-DATA'!$1:$1048576,$A241-1,COLUMN('1-DATA'!AH240)),ROUND(INDEX('1-DATA'!$1:$1048576,IF(OR($B242="STD. DEVIATION",$C$1=1),$A242,$A242+1),COLUMN('1-DATA'!AH240)),IF($B242="STD. DEVIATION",2,$F$1))))</f>
        <v/>
      </c>
      <c r="AJ242" s="1" t="str">
        <f>IF(OR($B242="",AJ$7=""),"",IF($B242="MEANS",INDEX('1-DATA'!$1:$1048576,$A241-1,COLUMN('1-DATA'!AI240)),ROUND(INDEX('1-DATA'!$1:$1048576,IF(OR($B242="STD. DEVIATION",$C$1=1),$A242,$A242+1),COLUMN('1-DATA'!AI240)),IF($B242="STD. DEVIATION",2,$F$1))))</f>
        <v/>
      </c>
      <c r="AK242" s="1" t="str">
        <f>IF(OR($B242="",AK$7=""),"",IF($B242="MEANS",INDEX('1-DATA'!$1:$1048576,$A241-1,COLUMN('1-DATA'!AJ240)),ROUND(INDEX('1-DATA'!$1:$1048576,IF(OR($B242="STD. DEVIATION",$C$1=1),$A242,$A242+1),COLUMN('1-DATA'!AJ240)),IF($B242="STD. DEVIATION",2,$F$1))))</f>
        <v/>
      </c>
      <c r="AL242" s="1" t="str">
        <f>IF(OR($B242="",AL$7=""),"",IF($B242="MEANS",INDEX('1-DATA'!$1:$1048576,$A241-1,COLUMN('1-DATA'!AK240)),ROUND(INDEX('1-DATA'!$1:$1048576,IF(OR($B242="STD. DEVIATION",$C$1=1),$A242,$A242+1),COLUMN('1-DATA'!AK240)),IF($B242="STD. DEVIATION",2,$F$1))))</f>
        <v/>
      </c>
      <c r="AM242" s="1" t="str">
        <f>IF(OR($B242="",AM$7=""),"",IF($B242="MEANS",INDEX('1-DATA'!$1:$1048576,$A241-1,COLUMN('1-DATA'!AL240)),ROUND(INDEX('1-DATA'!$1:$1048576,IF(OR($B242="STD. DEVIATION",$C$1=1),$A242,$A242+1),COLUMN('1-DATA'!AL240)),IF($B242="STD. DEVIATION",2,$F$1))))</f>
        <v/>
      </c>
      <c r="AN242" s="1" t="str">
        <f>IF(OR($B242="",AN$7=""),"",IF($B242="MEANS",INDEX('1-DATA'!$1:$1048576,$A241-1,COLUMN('1-DATA'!AM240)),ROUND(INDEX('1-DATA'!$1:$1048576,IF(OR($B242="STD. DEVIATION",$C$1=1),$A242,$A242+1),COLUMN('1-DATA'!AM240)),IF($B242="STD. DEVIATION",2,$F$1))))</f>
        <v/>
      </c>
      <c r="AO242" s="1" t="str">
        <f>IF(OR($B242="",AO$7=""),"",IF($B242="MEANS",INDEX('1-DATA'!$1:$1048576,$A241-1,COLUMN('1-DATA'!AN240)),ROUND(INDEX('1-DATA'!$1:$1048576,IF(OR($B242="STD. DEVIATION",$C$1=1),$A242,$A242+1),COLUMN('1-DATA'!AN240)),IF($B242="STD. DEVIATION",2,$F$1))))</f>
        <v/>
      </c>
      <c r="AP242" s="1" t="str">
        <f>IF(OR($B242="",AP$7=""),"",IF($B242="MEANS",INDEX('1-DATA'!$1:$1048576,$A241-1,COLUMN('1-DATA'!AO240)),ROUND(INDEX('1-DATA'!$1:$1048576,IF(OR($B242="STD. DEVIATION",$C$1=1),$A242,$A242+1),COLUMN('1-DATA'!AO240)),IF($B242="STD. DEVIATION",2,$F$1))))</f>
        <v/>
      </c>
      <c r="AQ242" s="1" t="str">
        <f>IF(OR($B242="",AQ$7=""),"",IF($B242="MEANS",INDEX('1-DATA'!$1:$1048576,$A241-1,COLUMN('1-DATA'!AP240)),ROUND(INDEX('1-DATA'!$1:$1048576,IF(OR($B242="STD. DEVIATION",$C$1=1),$A242,$A242+1),COLUMN('1-DATA'!AP240)),IF($B242="STD. DEVIATION",2,$F$1))))</f>
        <v/>
      </c>
      <c r="AR242" s="1" t="str">
        <f>IF(OR($B242="",AR$7=""),"",IF($B242="MEANS",INDEX('1-DATA'!$1:$1048576,$A241-1,COLUMN('1-DATA'!AQ240)),ROUND(INDEX('1-DATA'!$1:$1048576,IF(OR($B242="STD. DEVIATION",$C$1=1),$A242,$A242+1),COLUMN('1-DATA'!AQ240)),IF($B242="STD. DEVIATION",2,$F$1))))</f>
        <v/>
      </c>
      <c r="AS242" s="1" t="str">
        <f>IF(OR($B242="",AS$7=""),"",IF($B242="MEANS",INDEX('1-DATA'!$1:$1048576,$A241-1,COLUMN('1-DATA'!AR240)),ROUND(INDEX('1-DATA'!$1:$1048576,IF(OR($B242="STD. DEVIATION",$C$1=1),$A242,$A242+1),COLUMN('1-DATA'!AR240)),IF($B242="STD. DEVIATION",2,$F$1))))</f>
        <v/>
      </c>
      <c r="AT242" s="1" t="str">
        <f>IF(OR($B242="",AT$7=""),"",IF($B242="MEANS",INDEX('1-DATA'!$1:$1048576,$A241-1,COLUMN('1-DATA'!AS240)),ROUND(INDEX('1-DATA'!$1:$1048576,IF(OR($B242="STD. DEVIATION",$C$1=1),$A242,$A242+1),COLUMN('1-DATA'!AS240)),IF($B242="STD. DEVIATION",2,$F$1))))</f>
        <v/>
      </c>
      <c r="AU242" s="1" t="str">
        <f>IF(OR($B242="",AU$7=""),"",IF($B242="MEANS",INDEX('1-DATA'!$1:$1048576,$A241-1,COLUMN('1-DATA'!AT240)),ROUND(INDEX('1-DATA'!$1:$1048576,IF(OR($B242="STD. DEVIATION",$C$1=1),$A242,$A242+1),COLUMN('1-DATA'!AT240)),IF($B242="STD. DEVIATION",2,$F$1))))</f>
        <v/>
      </c>
      <c r="AV242" s="1" t="str">
        <f>IF(OR($B242="",AV$7=""),"",IF($B242="MEANS",INDEX('1-DATA'!$1:$1048576,$A241-1,COLUMN('1-DATA'!AU240)),ROUND(INDEX('1-DATA'!$1:$1048576,IF(OR($B242="STD. DEVIATION",$C$1=1),$A242,$A242+1),COLUMN('1-DATA'!AU240)),IF($B242="STD. DEVIATION",2,$F$1))))</f>
        <v/>
      </c>
      <c r="AW242" s="1" t="str">
        <f>IF(OR($B242="",AW$7=""),"",IF($B242="MEANS",INDEX('1-DATA'!$1:$1048576,$A241-1,COLUMN('1-DATA'!AV240)),ROUND(INDEX('1-DATA'!$1:$1048576,IF(OR($B242="STD. DEVIATION",$C$1=1),$A242,$A242+1),COLUMN('1-DATA'!AV240)),IF($B242="STD. DEVIATION",2,$F$1))))</f>
        <v/>
      </c>
      <c r="AX242" s="1" t="str">
        <f>IF(OR($B242="",AX$7=""),"",IF($B242="MEANS",INDEX('1-DATA'!$1:$1048576,$A241-1,COLUMN('1-DATA'!AW240)),ROUND(INDEX('1-DATA'!$1:$1048576,IF(OR($B242="STD. DEVIATION",$C$1=1),$A242,$A242+1),COLUMN('1-DATA'!AW240)),IF($B242="STD. DEVIATION",2,$F$1))))</f>
        <v/>
      </c>
      <c r="AY242" s="1" t="str">
        <f>IF(OR($B242="",AY$7=""),"",IF($B242="MEANS",INDEX('1-DATA'!$1:$1048576,$A241-1,COLUMN('1-DATA'!AX240)),ROUND(INDEX('1-DATA'!$1:$1048576,IF(OR($B242="STD. DEVIATION",$C$1=1),$A242,$A242+1),COLUMN('1-DATA'!AX240)),IF($B242="STD. DEVIATION",2,$F$1))))</f>
        <v/>
      </c>
      <c r="AZ242" s="1" t="str">
        <f>IF(OR($B242="",AZ$7=""),"",IF($B242="MEANS",INDEX('1-DATA'!$1:$1048576,$A241-1,COLUMN('1-DATA'!AY240)),ROUND(INDEX('1-DATA'!$1:$1048576,IF(OR($B242="STD. DEVIATION",$C$1=1),$A242,$A242+1),COLUMN('1-DATA'!AY240)),IF($B242="STD. DEVIATION",2,$F$1))))</f>
        <v/>
      </c>
    </row>
    <row r="243" spans="1:52" x14ac:dyDescent="0.25">
      <c r="A243" s="11">
        <f t="shared" si="4"/>
        <v>715</v>
      </c>
      <c r="B243" s="1" t="str">
        <f>IF(B242="STD. DEVIATION",INDEX('1-DATA'!$1:$1048576,$A242-1,1),IF(INDEX('1-DATA'!$1:$1048576,$A243,1)&lt;&gt;"",INDEX('1-DATA'!$1:$1048576,$A243,1),""))</f>
        <v/>
      </c>
      <c r="C243" s="1" t="str">
        <f>IF(OR($B243="",C$7=""),"",IF($B243="MEANS",INDEX('1-DATA'!$1:$1048576,$A242-1,COLUMN('1-DATA'!B241)),ROUND(INDEX('1-DATA'!$1:$1048576,IF(OR($B243="STD. DEVIATION",$C$1=1),$A243,$A243+1),COLUMN('1-DATA'!B241)),IF($B243="STD. DEVIATION",2,$F$1))))</f>
        <v/>
      </c>
      <c r="D243" s="1" t="str">
        <f>IF(OR($B243="",D$7=""),"",IF($B243="MEANS",INDEX('1-DATA'!$1:$1048576,$A242-1,COLUMN('1-DATA'!C241)),ROUND(INDEX('1-DATA'!$1:$1048576,IF(OR($B243="STD. DEVIATION",$C$1=1),$A243,$A243+1),COLUMN('1-DATA'!C241)),IF($B243="STD. DEVIATION",2,$F$1))))</f>
        <v/>
      </c>
      <c r="E243" s="1" t="str">
        <f>IF(OR($B243="",E$7=""),"",IF($B243="MEANS",INDEX('1-DATA'!$1:$1048576,$A242-1,COLUMN('1-DATA'!D241)),ROUND(INDEX('1-DATA'!$1:$1048576,IF(OR($B243="STD. DEVIATION",$C$1=1),$A243,$A243+1),COLUMN('1-DATA'!D241)),IF($B243="STD. DEVIATION",2,$F$1))))</f>
        <v/>
      </c>
      <c r="F243" s="1" t="str">
        <f>IF(OR($B243="",F$7=""),"",IF($B243="MEANS",INDEX('1-DATA'!$1:$1048576,$A242-1,COLUMN('1-DATA'!E241)),ROUND(INDEX('1-DATA'!$1:$1048576,IF(OR($B243="STD. DEVIATION",$C$1=1),$A243,$A243+1),COLUMN('1-DATA'!E241)),IF($B243="STD. DEVIATION",2,$F$1))))</f>
        <v/>
      </c>
      <c r="G243" s="1" t="str">
        <f>IF(OR($B243="",G$7=""),"",IF($B243="MEANS",INDEX('1-DATA'!$1:$1048576,$A242-1,COLUMN('1-DATA'!F241)),ROUND(INDEX('1-DATA'!$1:$1048576,IF(OR($B243="STD. DEVIATION",$C$1=1),$A243,$A243+1),COLUMN('1-DATA'!F241)),IF($B243="STD. DEVIATION",2,$F$1))))</f>
        <v/>
      </c>
      <c r="H243" s="1" t="str">
        <f>IF(OR($B243="",H$7=""),"",IF($B243="MEANS",INDEX('1-DATA'!$1:$1048576,$A242-1,COLUMN('1-DATA'!G241)),ROUND(INDEX('1-DATA'!$1:$1048576,IF(OR($B243="STD. DEVIATION",$C$1=1),$A243,$A243+1),COLUMN('1-DATA'!G241)),IF($B243="STD. DEVIATION",2,$F$1))))</f>
        <v/>
      </c>
      <c r="I243" s="1" t="str">
        <f>IF(OR($B243="",I$7=""),"",IF($B243="MEANS",INDEX('1-DATA'!$1:$1048576,$A242-1,COLUMN('1-DATA'!H241)),ROUND(INDEX('1-DATA'!$1:$1048576,IF(OR($B243="STD. DEVIATION",$C$1=1),$A243,$A243+1),COLUMN('1-DATA'!H241)),IF($B243="STD. DEVIATION",2,$F$1))))</f>
        <v/>
      </c>
      <c r="J243" s="1" t="str">
        <f>IF(OR($B243="",J$7=""),"",IF($B243="MEANS",INDEX('1-DATA'!$1:$1048576,$A242-1,COLUMN('1-DATA'!I241)),ROUND(INDEX('1-DATA'!$1:$1048576,IF(OR($B243="STD. DEVIATION",$C$1=1),$A243,$A243+1),COLUMN('1-DATA'!I241)),IF($B243="STD. DEVIATION",2,$F$1))))</f>
        <v/>
      </c>
      <c r="K243" s="1" t="str">
        <f>IF(OR($B243="",K$7=""),"",IF($B243="MEANS",INDEX('1-DATA'!$1:$1048576,$A242-1,COLUMN('1-DATA'!J241)),ROUND(INDEX('1-DATA'!$1:$1048576,IF(OR($B243="STD. DEVIATION",$C$1=1),$A243,$A243+1),COLUMN('1-DATA'!J241)),IF($B243="STD. DEVIATION",2,$F$1))))</f>
        <v/>
      </c>
      <c r="L243" s="1" t="str">
        <f>IF(OR($B243="",L$7=""),"",IF($B243="MEANS",INDEX('1-DATA'!$1:$1048576,$A242-1,COLUMN('1-DATA'!K241)),ROUND(INDEX('1-DATA'!$1:$1048576,IF(OR($B243="STD. DEVIATION",$C$1=1),$A243,$A243+1),COLUMN('1-DATA'!K241)),IF($B243="STD. DEVIATION",2,$F$1))))</f>
        <v/>
      </c>
      <c r="M243" s="1" t="str">
        <f>IF(OR($B243="",M$7=""),"",IF($B243="MEANS",INDEX('1-DATA'!$1:$1048576,$A242-1,COLUMN('1-DATA'!L241)),ROUND(INDEX('1-DATA'!$1:$1048576,IF(OR($B243="STD. DEVIATION",$C$1=1),$A243,$A243+1),COLUMN('1-DATA'!L241)),IF($B243="STD. DEVIATION",2,$F$1))))</f>
        <v/>
      </c>
      <c r="N243" s="1" t="str">
        <f>IF(OR($B243="",N$7=""),"",IF($B243="MEANS",INDEX('1-DATA'!$1:$1048576,$A242-1,COLUMN('1-DATA'!M241)),ROUND(INDEX('1-DATA'!$1:$1048576,IF(OR($B243="STD. DEVIATION",$C$1=1),$A243,$A243+1),COLUMN('1-DATA'!M241)),IF($B243="STD. DEVIATION",2,$F$1))))</f>
        <v/>
      </c>
      <c r="O243" s="1" t="str">
        <f>IF(OR($B243="",O$7=""),"",IF($B243="MEANS",INDEX('1-DATA'!$1:$1048576,$A242-1,COLUMN('1-DATA'!N241)),ROUND(INDEX('1-DATA'!$1:$1048576,IF(OR($B243="STD. DEVIATION",$C$1=1),$A243,$A243+1),COLUMN('1-DATA'!N241)),IF($B243="STD. DEVIATION",2,$F$1))))</f>
        <v/>
      </c>
      <c r="P243" s="1" t="str">
        <f>IF(OR($B243="",P$7=""),"",IF($B243="MEANS",INDEX('1-DATA'!$1:$1048576,$A242-1,COLUMN('1-DATA'!O241)),ROUND(INDEX('1-DATA'!$1:$1048576,IF(OR($B243="STD. DEVIATION",$C$1=1),$A243,$A243+1),COLUMN('1-DATA'!O241)),IF($B243="STD. DEVIATION",2,$F$1))))</f>
        <v/>
      </c>
      <c r="Q243" s="1" t="str">
        <f>IF(OR($B243="",Q$7=""),"",IF($B243="MEANS",INDEX('1-DATA'!$1:$1048576,$A242-1,COLUMN('1-DATA'!P241)),ROUND(INDEX('1-DATA'!$1:$1048576,IF(OR($B243="STD. DEVIATION",$C$1=1),$A243,$A243+1),COLUMN('1-DATA'!P241)),IF($B243="STD. DEVIATION",2,$F$1))))</f>
        <v/>
      </c>
      <c r="R243" s="1" t="str">
        <f>IF(OR($B243="",R$7=""),"",IF($B243="MEANS",INDEX('1-DATA'!$1:$1048576,$A242-1,COLUMN('1-DATA'!Q241)),ROUND(INDEX('1-DATA'!$1:$1048576,IF(OR($B243="STD. DEVIATION",$C$1=1),$A243,$A243+1),COLUMN('1-DATA'!Q241)),IF($B243="STD. DEVIATION",2,$F$1))))</f>
        <v/>
      </c>
      <c r="S243" s="1" t="str">
        <f>IF(OR($B243="",S$7=""),"",IF($B243="MEANS",INDEX('1-DATA'!$1:$1048576,$A242-1,COLUMN('1-DATA'!R241)),ROUND(INDEX('1-DATA'!$1:$1048576,IF(OR($B243="STD. DEVIATION",$C$1=1),$A243,$A243+1),COLUMN('1-DATA'!R241)),IF($B243="STD. DEVIATION",2,$F$1))))</f>
        <v/>
      </c>
      <c r="T243" s="1" t="str">
        <f>IF(OR($B243="",T$7=""),"",IF($B243="MEANS",INDEX('1-DATA'!$1:$1048576,$A242-1,COLUMN('1-DATA'!S241)),ROUND(INDEX('1-DATA'!$1:$1048576,IF(OR($B243="STD. DEVIATION",$C$1=1),$A243,$A243+1),COLUMN('1-DATA'!S241)),IF($B243="STD. DEVIATION",2,$F$1))))</f>
        <v/>
      </c>
      <c r="U243" s="1" t="str">
        <f>IF(OR($B243="",U$7=""),"",IF($B243="MEANS",INDEX('1-DATA'!$1:$1048576,$A242-1,COLUMN('1-DATA'!T241)),ROUND(INDEX('1-DATA'!$1:$1048576,IF(OR($B243="STD. DEVIATION",$C$1=1),$A243,$A243+1),COLUMN('1-DATA'!T241)),IF($B243="STD. DEVIATION",2,$F$1))))</f>
        <v/>
      </c>
      <c r="V243" s="1" t="str">
        <f>IF(OR($B243="",V$7=""),"",IF($B243="MEANS",INDEX('1-DATA'!$1:$1048576,$A242-1,COLUMN('1-DATA'!U241)),ROUND(INDEX('1-DATA'!$1:$1048576,IF(OR($B243="STD. DEVIATION",$C$1=1),$A243,$A243+1),COLUMN('1-DATA'!U241)),IF($B243="STD. DEVIATION",2,$F$1))))</f>
        <v/>
      </c>
      <c r="W243" s="1" t="str">
        <f>IF(OR($B243="",W$7=""),"",IF($B243="MEANS",INDEX('1-DATA'!$1:$1048576,$A242-1,COLUMN('1-DATA'!V241)),ROUND(INDEX('1-DATA'!$1:$1048576,IF(OR($B243="STD. DEVIATION",$C$1=1),$A243,$A243+1),COLUMN('1-DATA'!V241)),IF($B243="STD. DEVIATION",2,$F$1))))</f>
        <v/>
      </c>
      <c r="X243" s="1" t="str">
        <f>IF(OR($B243="",X$7=""),"",IF($B243="MEANS",INDEX('1-DATA'!$1:$1048576,$A242-1,COLUMN('1-DATA'!W241)),ROUND(INDEX('1-DATA'!$1:$1048576,IF(OR($B243="STD. DEVIATION",$C$1=1),$A243,$A243+1),COLUMN('1-DATA'!W241)),IF($B243="STD. DEVIATION",2,$F$1))))</f>
        <v/>
      </c>
      <c r="Y243" s="1" t="str">
        <f>IF(OR($B243="",Y$7=""),"",IF($B243="MEANS",INDEX('1-DATA'!$1:$1048576,$A242-1,COLUMN('1-DATA'!X241)),ROUND(INDEX('1-DATA'!$1:$1048576,IF(OR($B243="STD. DEVIATION",$C$1=1),$A243,$A243+1),COLUMN('1-DATA'!X241)),IF($B243="STD. DEVIATION",2,$F$1))))</f>
        <v/>
      </c>
      <c r="Z243" s="1" t="str">
        <f>IF(OR($B243="",Z$7=""),"",IF($B243="MEANS",INDEX('1-DATA'!$1:$1048576,$A242-1,COLUMN('1-DATA'!Y241)),ROUND(INDEX('1-DATA'!$1:$1048576,IF(OR($B243="STD. DEVIATION",$C$1=1),$A243,$A243+1),COLUMN('1-DATA'!Y241)),IF($B243="STD. DEVIATION",2,$F$1))))</f>
        <v/>
      </c>
      <c r="AA243" s="1" t="str">
        <f>IF(OR($B243="",AA$7=""),"",IF($B243="MEANS",INDEX('1-DATA'!$1:$1048576,$A242-1,COLUMN('1-DATA'!Z241)),ROUND(INDEX('1-DATA'!$1:$1048576,IF(OR($B243="STD. DEVIATION",$C$1=1),$A243,$A243+1),COLUMN('1-DATA'!Z241)),IF($B243="STD. DEVIATION",2,$F$1))))</f>
        <v/>
      </c>
      <c r="AB243" s="1" t="str">
        <f>IF(OR($B243="",AB$7=""),"",IF($B243="MEANS",INDEX('1-DATA'!$1:$1048576,$A242-1,COLUMN('1-DATA'!AA241)),ROUND(INDEX('1-DATA'!$1:$1048576,IF(OR($B243="STD. DEVIATION",$C$1=1),$A243,$A243+1),COLUMN('1-DATA'!AA241)),IF($B243="STD. DEVIATION",2,$F$1))))</f>
        <v/>
      </c>
      <c r="AC243" s="1" t="str">
        <f>IF(OR($B243="",AC$7=""),"",IF($B243="MEANS",INDEX('1-DATA'!$1:$1048576,$A242-1,COLUMN('1-DATA'!AB241)),ROUND(INDEX('1-DATA'!$1:$1048576,IF(OR($B243="STD. DEVIATION",$C$1=1),$A243,$A243+1),COLUMN('1-DATA'!AB241)),IF($B243="STD. DEVIATION",2,$F$1))))</f>
        <v/>
      </c>
      <c r="AD243" s="1" t="str">
        <f>IF(OR($B243="",AD$7=""),"",IF($B243="MEANS",INDEX('1-DATA'!$1:$1048576,$A242-1,COLUMN('1-DATA'!AC241)),ROUND(INDEX('1-DATA'!$1:$1048576,IF(OR($B243="STD. DEVIATION",$C$1=1),$A243,$A243+1),COLUMN('1-DATA'!AC241)),IF($B243="STD. DEVIATION",2,$F$1))))</f>
        <v/>
      </c>
      <c r="AE243" s="1" t="str">
        <f>IF(OR($B243="",AE$7=""),"",IF($B243="MEANS",INDEX('1-DATA'!$1:$1048576,$A242-1,COLUMN('1-DATA'!AD241)),ROUND(INDEX('1-DATA'!$1:$1048576,IF(OR($B243="STD. DEVIATION",$C$1=1),$A243,$A243+1),COLUMN('1-DATA'!AD241)),IF($B243="STD. DEVIATION",2,$F$1))))</f>
        <v/>
      </c>
      <c r="AF243" s="1" t="str">
        <f>IF(OR($B243="",AF$7=""),"",IF($B243="MEANS",INDEX('1-DATA'!$1:$1048576,$A242-1,COLUMN('1-DATA'!AE241)),ROUND(INDEX('1-DATA'!$1:$1048576,IF(OR($B243="STD. DEVIATION",$C$1=1),$A243,$A243+1),COLUMN('1-DATA'!AE241)),IF($B243="STD. DEVIATION",2,$F$1))))</f>
        <v/>
      </c>
      <c r="AG243" s="1" t="str">
        <f>IF(OR($B243="",AG$7=""),"",IF($B243="MEANS",INDEX('1-DATA'!$1:$1048576,$A242-1,COLUMN('1-DATA'!AF241)),ROUND(INDEX('1-DATA'!$1:$1048576,IF(OR($B243="STD. DEVIATION",$C$1=1),$A243,$A243+1),COLUMN('1-DATA'!AF241)),IF($B243="STD. DEVIATION",2,$F$1))))</f>
        <v/>
      </c>
      <c r="AH243" s="1" t="str">
        <f>IF(OR($B243="",AH$7=""),"",IF($B243="MEANS",INDEX('1-DATA'!$1:$1048576,$A242-1,COLUMN('1-DATA'!AG241)),ROUND(INDEX('1-DATA'!$1:$1048576,IF(OR($B243="STD. DEVIATION",$C$1=1),$A243,$A243+1),COLUMN('1-DATA'!AG241)),IF($B243="STD. DEVIATION",2,$F$1))))</f>
        <v/>
      </c>
      <c r="AI243" s="1" t="str">
        <f>IF(OR($B243="",AI$7=""),"",IF($B243="MEANS",INDEX('1-DATA'!$1:$1048576,$A242-1,COLUMN('1-DATA'!AH241)),ROUND(INDEX('1-DATA'!$1:$1048576,IF(OR($B243="STD. DEVIATION",$C$1=1),$A243,$A243+1),COLUMN('1-DATA'!AH241)),IF($B243="STD. DEVIATION",2,$F$1))))</f>
        <v/>
      </c>
      <c r="AJ243" s="1" t="str">
        <f>IF(OR($B243="",AJ$7=""),"",IF($B243="MEANS",INDEX('1-DATA'!$1:$1048576,$A242-1,COLUMN('1-DATA'!AI241)),ROUND(INDEX('1-DATA'!$1:$1048576,IF(OR($B243="STD. DEVIATION",$C$1=1),$A243,$A243+1),COLUMN('1-DATA'!AI241)),IF($B243="STD. DEVIATION",2,$F$1))))</f>
        <v/>
      </c>
      <c r="AK243" s="1" t="str">
        <f>IF(OR($B243="",AK$7=""),"",IF($B243="MEANS",INDEX('1-DATA'!$1:$1048576,$A242-1,COLUMN('1-DATA'!AJ241)),ROUND(INDEX('1-DATA'!$1:$1048576,IF(OR($B243="STD. DEVIATION",$C$1=1),$A243,$A243+1),COLUMN('1-DATA'!AJ241)),IF($B243="STD. DEVIATION",2,$F$1))))</f>
        <v/>
      </c>
      <c r="AL243" s="1" t="str">
        <f>IF(OR($B243="",AL$7=""),"",IF($B243="MEANS",INDEX('1-DATA'!$1:$1048576,$A242-1,COLUMN('1-DATA'!AK241)),ROUND(INDEX('1-DATA'!$1:$1048576,IF(OR($B243="STD. DEVIATION",$C$1=1),$A243,$A243+1),COLUMN('1-DATA'!AK241)),IF($B243="STD. DEVIATION",2,$F$1))))</f>
        <v/>
      </c>
      <c r="AM243" s="1" t="str">
        <f>IF(OR($B243="",AM$7=""),"",IF($B243="MEANS",INDEX('1-DATA'!$1:$1048576,$A242-1,COLUMN('1-DATA'!AL241)),ROUND(INDEX('1-DATA'!$1:$1048576,IF(OR($B243="STD. DEVIATION",$C$1=1),$A243,$A243+1),COLUMN('1-DATA'!AL241)),IF($B243="STD. DEVIATION",2,$F$1))))</f>
        <v/>
      </c>
      <c r="AN243" s="1" t="str">
        <f>IF(OR($B243="",AN$7=""),"",IF($B243="MEANS",INDEX('1-DATA'!$1:$1048576,$A242-1,COLUMN('1-DATA'!AM241)),ROUND(INDEX('1-DATA'!$1:$1048576,IF(OR($B243="STD. DEVIATION",$C$1=1),$A243,$A243+1),COLUMN('1-DATA'!AM241)),IF($B243="STD. DEVIATION",2,$F$1))))</f>
        <v/>
      </c>
      <c r="AO243" s="1" t="str">
        <f>IF(OR($B243="",AO$7=""),"",IF($B243="MEANS",INDEX('1-DATA'!$1:$1048576,$A242-1,COLUMN('1-DATA'!AN241)),ROUND(INDEX('1-DATA'!$1:$1048576,IF(OR($B243="STD. DEVIATION",$C$1=1),$A243,$A243+1),COLUMN('1-DATA'!AN241)),IF($B243="STD. DEVIATION",2,$F$1))))</f>
        <v/>
      </c>
      <c r="AP243" s="1" t="str">
        <f>IF(OR($B243="",AP$7=""),"",IF($B243="MEANS",INDEX('1-DATA'!$1:$1048576,$A242-1,COLUMN('1-DATA'!AO241)),ROUND(INDEX('1-DATA'!$1:$1048576,IF(OR($B243="STD. DEVIATION",$C$1=1),$A243,$A243+1),COLUMN('1-DATA'!AO241)),IF($B243="STD. DEVIATION",2,$F$1))))</f>
        <v/>
      </c>
      <c r="AQ243" s="1" t="str">
        <f>IF(OR($B243="",AQ$7=""),"",IF($B243="MEANS",INDEX('1-DATA'!$1:$1048576,$A242-1,COLUMN('1-DATA'!AP241)),ROUND(INDEX('1-DATA'!$1:$1048576,IF(OR($B243="STD. DEVIATION",$C$1=1),$A243,$A243+1),COLUMN('1-DATA'!AP241)),IF($B243="STD. DEVIATION",2,$F$1))))</f>
        <v/>
      </c>
      <c r="AR243" s="1" t="str">
        <f>IF(OR($B243="",AR$7=""),"",IF($B243="MEANS",INDEX('1-DATA'!$1:$1048576,$A242-1,COLUMN('1-DATA'!AQ241)),ROUND(INDEX('1-DATA'!$1:$1048576,IF(OR($B243="STD. DEVIATION",$C$1=1),$A243,$A243+1),COLUMN('1-DATA'!AQ241)),IF($B243="STD. DEVIATION",2,$F$1))))</f>
        <v/>
      </c>
      <c r="AS243" s="1" t="str">
        <f>IF(OR($B243="",AS$7=""),"",IF($B243="MEANS",INDEX('1-DATA'!$1:$1048576,$A242-1,COLUMN('1-DATA'!AR241)),ROUND(INDEX('1-DATA'!$1:$1048576,IF(OR($B243="STD. DEVIATION",$C$1=1),$A243,$A243+1),COLUMN('1-DATA'!AR241)),IF($B243="STD. DEVIATION",2,$F$1))))</f>
        <v/>
      </c>
      <c r="AT243" s="1" t="str">
        <f>IF(OR($B243="",AT$7=""),"",IF($B243="MEANS",INDEX('1-DATA'!$1:$1048576,$A242-1,COLUMN('1-DATA'!AS241)),ROUND(INDEX('1-DATA'!$1:$1048576,IF(OR($B243="STD. DEVIATION",$C$1=1),$A243,$A243+1),COLUMN('1-DATA'!AS241)),IF($B243="STD. DEVIATION",2,$F$1))))</f>
        <v/>
      </c>
      <c r="AU243" s="1" t="str">
        <f>IF(OR($B243="",AU$7=""),"",IF($B243="MEANS",INDEX('1-DATA'!$1:$1048576,$A242-1,COLUMN('1-DATA'!AT241)),ROUND(INDEX('1-DATA'!$1:$1048576,IF(OR($B243="STD. DEVIATION",$C$1=1),$A243,$A243+1),COLUMN('1-DATA'!AT241)),IF($B243="STD. DEVIATION",2,$F$1))))</f>
        <v/>
      </c>
      <c r="AV243" s="1" t="str">
        <f>IF(OR($B243="",AV$7=""),"",IF($B243="MEANS",INDEX('1-DATA'!$1:$1048576,$A242-1,COLUMN('1-DATA'!AU241)),ROUND(INDEX('1-DATA'!$1:$1048576,IF(OR($B243="STD. DEVIATION",$C$1=1),$A243,$A243+1),COLUMN('1-DATA'!AU241)),IF($B243="STD. DEVIATION",2,$F$1))))</f>
        <v/>
      </c>
      <c r="AW243" s="1" t="str">
        <f>IF(OR($B243="",AW$7=""),"",IF($B243="MEANS",INDEX('1-DATA'!$1:$1048576,$A242-1,COLUMN('1-DATA'!AV241)),ROUND(INDEX('1-DATA'!$1:$1048576,IF(OR($B243="STD. DEVIATION",$C$1=1),$A243,$A243+1),COLUMN('1-DATA'!AV241)),IF($B243="STD. DEVIATION",2,$F$1))))</f>
        <v/>
      </c>
      <c r="AX243" s="1" t="str">
        <f>IF(OR($B243="",AX$7=""),"",IF($B243="MEANS",INDEX('1-DATA'!$1:$1048576,$A242-1,COLUMN('1-DATA'!AW241)),ROUND(INDEX('1-DATA'!$1:$1048576,IF(OR($B243="STD. DEVIATION",$C$1=1),$A243,$A243+1),COLUMN('1-DATA'!AW241)),IF($B243="STD. DEVIATION",2,$F$1))))</f>
        <v/>
      </c>
      <c r="AY243" s="1" t="str">
        <f>IF(OR($B243="",AY$7=""),"",IF($B243="MEANS",INDEX('1-DATA'!$1:$1048576,$A242-1,COLUMN('1-DATA'!AX241)),ROUND(INDEX('1-DATA'!$1:$1048576,IF(OR($B243="STD. DEVIATION",$C$1=1),$A243,$A243+1),COLUMN('1-DATA'!AX241)),IF($B243="STD. DEVIATION",2,$F$1))))</f>
        <v/>
      </c>
      <c r="AZ243" s="1" t="str">
        <f>IF(OR($B243="",AZ$7=""),"",IF($B243="MEANS",INDEX('1-DATA'!$1:$1048576,$A242-1,COLUMN('1-DATA'!AY241)),ROUND(INDEX('1-DATA'!$1:$1048576,IF(OR($B243="STD. DEVIATION",$C$1=1),$A243,$A243+1),COLUMN('1-DATA'!AY241)),IF($B243="STD. DEVIATION",2,$F$1))))</f>
        <v/>
      </c>
    </row>
    <row r="244" spans="1:52" x14ac:dyDescent="0.25">
      <c r="A244" s="11">
        <f t="shared" si="4"/>
        <v>718</v>
      </c>
      <c r="B244" s="1" t="str">
        <f>IF(B243="STD. DEVIATION",INDEX('1-DATA'!$1:$1048576,$A243-1,1),IF(INDEX('1-DATA'!$1:$1048576,$A244,1)&lt;&gt;"",INDEX('1-DATA'!$1:$1048576,$A244,1),""))</f>
        <v/>
      </c>
      <c r="C244" s="1" t="str">
        <f>IF(OR($B244="",C$7=""),"",IF($B244="MEANS",INDEX('1-DATA'!$1:$1048576,$A243-1,COLUMN('1-DATA'!B242)),ROUND(INDEX('1-DATA'!$1:$1048576,IF(OR($B244="STD. DEVIATION",$C$1=1),$A244,$A244+1),COLUMN('1-DATA'!B242)),IF($B244="STD. DEVIATION",2,$F$1))))</f>
        <v/>
      </c>
      <c r="D244" s="1" t="str">
        <f>IF(OR($B244="",D$7=""),"",IF($B244="MEANS",INDEX('1-DATA'!$1:$1048576,$A243-1,COLUMN('1-DATA'!C242)),ROUND(INDEX('1-DATA'!$1:$1048576,IF(OR($B244="STD. DEVIATION",$C$1=1),$A244,$A244+1),COLUMN('1-DATA'!C242)),IF($B244="STD. DEVIATION",2,$F$1))))</f>
        <v/>
      </c>
      <c r="E244" s="1" t="str">
        <f>IF(OR($B244="",E$7=""),"",IF($B244="MEANS",INDEX('1-DATA'!$1:$1048576,$A243-1,COLUMN('1-DATA'!D242)),ROUND(INDEX('1-DATA'!$1:$1048576,IF(OR($B244="STD. DEVIATION",$C$1=1),$A244,$A244+1),COLUMN('1-DATA'!D242)),IF($B244="STD. DEVIATION",2,$F$1))))</f>
        <v/>
      </c>
      <c r="F244" s="1" t="str">
        <f>IF(OR($B244="",F$7=""),"",IF($B244="MEANS",INDEX('1-DATA'!$1:$1048576,$A243-1,COLUMN('1-DATA'!E242)),ROUND(INDEX('1-DATA'!$1:$1048576,IF(OR($B244="STD. DEVIATION",$C$1=1),$A244,$A244+1),COLUMN('1-DATA'!E242)),IF($B244="STD. DEVIATION",2,$F$1))))</f>
        <v/>
      </c>
      <c r="G244" s="1" t="str">
        <f>IF(OR($B244="",G$7=""),"",IF($B244="MEANS",INDEX('1-DATA'!$1:$1048576,$A243-1,COLUMN('1-DATA'!F242)),ROUND(INDEX('1-DATA'!$1:$1048576,IF(OR($B244="STD. DEVIATION",$C$1=1),$A244,$A244+1),COLUMN('1-DATA'!F242)),IF($B244="STD. DEVIATION",2,$F$1))))</f>
        <v/>
      </c>
      <c r="H244" s="1" t="str">
        <f>IF(OR($B244="",H$7=""),"",IF($B244="MEANS",INDEX('1-DATA'!$1:$1048576,$A243-1,COLUMN('1-DATA'!G242)),ROUND(INDEX('1-DATA'!$1:$1048576,IF(OR($B244="STD. DEVIATION",$C$1=1),$A244,$A244+1),COLUMN('1-DATA'!G242)),IF($B244="STD. DEVIATION",2,$F$1))))</f>
        <v/>
      </c>
      <c r="I244" s="1" t="str">
        <f>IF(OR($B244="",I$7=""),"",IF($B244="MEANS",INDEX('1-DATA'!$1:$1048576,$A243-1,COLUMN('1-DATA'!H242)),ROUND(INDEX('1-DATA'!$1:$1048576,IF(OR($B244="STD. DEVIATION",$C$1=1),$A244,$A244+1),COLUMN('1-DATA'!H242)),IF($B244="STD. DEVIATION",2,$F$1))))</f>
        <v/>
      </c>
      <c r="J244" s="1" t="str">
        <f>IF(OR($B244="",J$7=""),"",IF($B244="MEANS",INDEX('1-DATA'!$1:$1048576,$A243-1,COLUMN('1-DATA'!I242)),ROUND(INDEX('1-DATA'!$1:$1048576,IF(OR($B244="STD. DEVIATION",$C$1=1),$A244,$A244+1),COLUMN('1-DATA'!I242)),IF($B244="STD. DEVIATION",2,$F$1))))</f>
        <v/>
      </c>
      <c r="K244" s="1" t="str">
        <f>IF(OR($B244="",K$7=""),"",IF($B244="MEANS",INDEX('1-DATA'!$1:$1048576,$A243-1,COLUMN('1-DATA'!J242)),ROUND(INDEX('1-DATA'!$1:$1048576,IF(OR($B244="STD. DEVIATION",$C$1=1),$A244,$A244+1),COLUMN('1-DATA'!J242)),IF($B244="STD. DEVIATION",2,$F$1))))</f>
        <v/>
      </c>
      <c r="L244" s="1" t="str">
        <f>IF(OR($B244="",L$7=""),"",IF($B244="MEANS",INDEX('1-DATA'!$1:$1048576,$A243-1,COLUMN('1-DATA'!K242)),ROUND(INDEX('1-DATA'!$1:$1048576,IF(OR($B244="STD. DEVIATION",$C$1=1),$A244,$A244+1),COLUMN('1-DATA'!K242)),IF($B244="STD. DEVIATION",2,$F$1))))</f>
        <v/>
      </c>
      <c r="M244" s="1" t="str">
        <f>IF(OR($B244="",M$7=""),"",IF($B244="MEANS",INDEX('1-DATA'!$1:$1048576,$A243-1,COLUMN('1-DATA'!L242)),ROUND(INDEX('1-DATA'!$1:$1048576,IF(OR($B244="STD. DEVIATION",$C$1=1),$A244,$A244+1),COLUMN('1-DATA'!L242)),IF($B244="STD. DEVIATION",2,$F$1))))</f>
        <v/>
      </c>
      <c r="N244" s="1" t="str">
        <f>IF(OR($B244="",N$7=""),"",IF($B244="MEANS",INDEX('1-DATA'!$1:$1048576,$A243-1,COLUMN('1-DATA'!M242)),ROUND(INDEX('1-DATA'!$1:$1048576,IF(OR($B244="STD. DEVIATION",$C$1=1),$A244,$A244+1),COLUMN('1-DATA'!M242)),IF($B244="STD. DEVIATION",2,$F$1))))</f>
        <v/>
      </c>
      <c r="O244" s="1" t="str">
        <f>IF(OR($B244="",O$7=""),"",IF($B244="MEANS",INDEX('1-DATA'!$1:$1048576,$A243-1,COLUMN('1-DATA'!N242)),ROUND(INDEX('1-DATA'!$1:$1048576,IF(OR($B244="STD. DEVIATION",$C$1=1),$A244,$A244+1),COLUMN('1-DATA'!N242)),IF($B244="STD. DEVIATION",2,$F$1))))</f>
        <v/>
      </c>
      <c r="P244" s="1" t="str">
        <f>IF(OR($B244="",P$7=""),"",IF($B244="MEANS",INDEX('1-DATA'!$1:$1048576,$A243-1,COLUMN('1-DATA'!O242)),ROUND(INDEX('1-DATA'!$1:$1048576,IF(OR($B244="STD. DEVIATION",$C$1=1),$A244,$A244+1),COLUMN('1-DATA'!O242)),IF($B244="STD. DEVIATION",2,$F$1))))</f>
        <v/>
      </c>
      <c r="Q244" s="1" t="str">
        <f>IF(OR($B244="",Q$7=""),"",IF($B244="MEANS",INDEX('1-DATA'!$1:$1048576,$A243-1,COLUMN('1-DATA'!P242)),ROUND(INDEX('1-DATA'!$1:$1048576,IF(OR($B244="STD. DEVIATION",$C$1=1),$A244,$A244+1),COLUMN('1-DATA'!P242)),IF($B244="STD. DEVIATION",2,$F$1))))</f>
        <v/>
      </c>
      <c r="R244" s="1" t="str">
        <f>IF(OR($B244="",R$7=""),"",IF($B244="MEANS",INDEX('1-DATA'!$1:$1048576,$A243-1,COLUMN('1-DATA'!Q242)),ROUND(INDEX('1-DATA'!$1:$1048576,IF(OR($B244="STD. DEVIATION",$C$1=1),$A244,$A244+1),COLUMN('1-DATA'!Q242)),IF($B244="STD. DEVIATION",2,$F$1))))</f>
        <v/>
      </c>
      <c r="S244" s="1" t="str">
        <f>IF(OR($B244="",S$7=""),"",IF($B244="MEANS",INDEX('1-DATA'!$1:$1048576,$A243-1,COLUMN('1-DATA'!R242)),ROUND(INDEX('1-DATA'!$1:$1048576,IF(OR($B244="STD. DEVIATION",$C$1=1),$A244,$A244+1),COLUMN('1-DATA'!R242)),IF($B244="STD. DEVIATION",2,$F$1))))</f>
        <v/>
      </c>
      <c r="T244" s="1" t="str">
        <f>IF(OR($B244="",T$7=""),"",IF($B244="MEANS",INDEX('1-DATA'!$1:$1048576,$A243-1,COLUMN('1-DATA'!S242)),ROUND(INDEX('1-DATA'!$1:$1048576,IF(OR($B244="STD. DEVIATION",$C$1=1),$A244,$A244+1),COLUMN('1-DATA'!S242)),IF($B244="STD. DEVIATION",2,$F$1))))</f>
        <v/>
      </c>
      <c r="U244" s="1" t="str">
        <f>IF(OR($B244="",U$7=""),"",IF($B244="MEANS",INDEX('1-DATA'!$1:$1048576,$A243-1,COLUMN('1-DATA'!T242)),ROUND(INDEX('1-DATA'!$1:$1048576,IF(OR($B244="STD. DEVIATION",$C$1=1),$A244,$A244+1),COLUMN('1-DATA'!T242)),IF($B244="STD. DEVIATION",2,$F$1))))</f>
        <v/>
      </c>
      <c r="V244" s="1" t="str">
        <f>IF(OR($B244="",V$7=""),"",IF($B244="MEANS",INDEX('1-DATA'!$1:$1048576,$A243-1,COLUMN('1-DATA'!U242)),ROUND(INDEX('1-DATA'!$1:$1048576,IF(OR($B244="STD. DEVIATION",$C$1=1),$A244,$A244+1),COLUMN('1-DATA'!U242)),IF($B244="STD. DEVIATION",2,$F$1))))</f>
        <v/>
      </c>
      <c r="W244" s="1" t="str">
        <f>IF(OR($B244="",W$7=""),"",IF($B244="MEANS",INDEX('1-DATA'!$1:$1048576,$A243-1,COLUMN('1-DATA'!V242)),ROUND(INDEX('1-DATA'!$1:$1048576,IF(OR($B244="STD. DEVIATION",$C$1=1),$A244,$A244+1),COLUMN('1-DATA'!V242)),IF($B244="STD. DEVIATION",2,$F$1))))</f>
        <v/>
      </c>
      <c r="X244" s="1" t="str">
        <f>IF(OR($B244="",X$7=""),"",IF($B244="MEANS",INDEX('1-DATA'!$1:$1048576,$A243-1,COLUMN('1-DATA'!W242)),ROUND(INDEX('1-DATA'!$1:$1048576,IF(OR($B244="STD. DEVIATION",$C$1=1),$A244,$A244+1),COLUMN('1-DATA'!W242)),IF($B244="STD. DEVIATION",2,$F$1))))</f>
        <v/>
      </c>
      <c r="Y244" s="1" t="str">
        <f>IF(OR($B244="",Y$7=""),"",IF($B244="MEANS",INDEX('1-DATA'!$1:$1048576,$A243-1,COLUMN('1-DATA'!X242)),ROUND(INDEX('1-DATA'!$1:$1048576,IF(OR($B244="STD. DEVIATION",$C$1=1),$A244,$A244+1),COLUMN('1-DATA'!X242)),IF($B244="STD. DEVIATION",2,$F$1))))</f>
        <v/>
      </c>
      <c r="Z244" s="1" t="str">
        <f>IF(OR($B244="",Z$7=""),"",IF($B244="MEANS",INDEX('1-DATA'!$1:$1048576,$A243-1,COLUMN('1-DATA'!Y242)),ROUND(INDEX('1-DATA'!$1:$1048576,IF(OR($B244="STD. DEVIATION",$C$1=1),$A244,$A244+1),COLUMN('1-DATA'!Y242)),IF($B244="STD. DEVIATION",2,$F$1))))</f>
        <v/>
      </c>
      <c r="AA244" s="1" t="str">
        <f>IF(OR($B244="",AA$7=""),"",IF($B244="MEANS",INDEX('1-DATA'!$1:$1048576,$A243-1,COLUMN('1-DATA'!Z242)),ROUND(INDEX('1-DATA'!$1:$1048576,IF(OR($B244="STD. DEVIATION",$C$1=1),$A244,$A244+1),COLUMN('1-DATA'!Z242)),IF($B244="STD. DEVIATION",2,$F$1))))</f>
        <v/>
      </c>
      <c r="AB244" s="1" t="str">
        <f>IF(OR($B244="",AB$7=""),"",IF($B244="MEANS",INDEX('1-DATA'!$1:$1048576,$A243-1,COLUMN('1-DATA'!AA242)),ROUND(INDEX('1-DATA'!$1:$1048576,IF(OR($B244="STD. DEVIATION",$C$1=1),$A244,$A244+1),COLUMN('1-DATA'!AA242)),IF($B244="STD. DEVIATION",2,$F$1))))</f>
        <v/>
      </c>
      <c r="AC244" s="1" t="str">
        <f>IF(OR($B244="",AC$7=""),"",IF($B244="MEANS",INDEX('1-DATA'!$1:$1048576,$A243-1,COLUMN('1-DATA'!AB242)),ROUND(INDEX('1-DATA'!$1:$1048576,IF(OR($B244="STD. DEVIATION",$C$1=1),$A244,$A244+1),COLUMN('1-DATA'!AB242)),IF($B244="STD. DEVIATION",2,$F$1))))</f>
        <v/>
      </c>
      <c r="AD244" s="1" t="str">
        <f>IF(OR($B244="",AD$7=""),"",IF($B244="MEANS",INDEX('1-DATA'!$1:$1048576,$A243-1,COLUMN('1-DATA'!AC242)),ROUND(INDEX('1-DATA'!$1:$1048576,IF(OR($B244="STD. DEVIATION",$C$1=1),$A244,$A244+1),COLUMN('1-DATA'!AC242)),IF($B244="STD. DEVIATION",2,$F$1))))</f>
        <v/>
      </c>
      <c r="AE244" s="1" t="str">
        <f>IF(OR($B244="",AE$7=""),"",IF($B244="MEANS",INDEX('1-DATA'!$1:$1048576,$A243-1,COLUMN('1-DATA'!AD242)),ROUND(INDEX('1-DATA'!$1:$1048576,IF(OR($B244="STD. DEVIATION",$C$1=1),$A244,$A244+1),COLUMN('1-DATA'!AD242)),IF($B244="STD. DEVIATION",2,$F$1))))</f>
        <v/>
      </c>
      <c r="AF244" s="1" t="str">
        <f>IF(OR($B244="",AF$7=""),"",IF($B244="MEANS",INDEX('1-DATA'!$1:$1048576,$A243-1,COLUMN('1-DATA'!AE242)),ROUND(INDEX('1-DATA'!$1:$1048576,IF(OR($B244="STD. DEVIATION",$C$1=1),$A244,$A244+1),COLUMN('1-DATA'!AE242)),IF($B244="STD. DEVIATION",2,$F$1))))</f>
        <v/>
      </c>
      <c r="AG244" s="1" t="str">
        <f>IF(OR($B244="",AG$7=""),"",IF($B244="MEANS",INDEX('1-DATA'!$1:$1048576,$A243-1,COLUMN('1-DATA'!AF242)),ROUND(INDEX('1-DATA'!$1:$1048576,IF(OR($B244="STD. DEVIATION",$C$1=1),$A244,$A244+1),COLUMN('1-DATA'!AF242)),IF($B244="STD. DEVIATION",2,$F$1))))</f>
        <v/>
      </c>
      <c r="AH244" s="1" t="str">
        <f>IF(OR($B244="",AH$7=""),"",IF($B244="MEANS",INDEX('1-DATA'!$1:$1048576,$A243-1,COLUMN('1-DATA'!AG242)),ROUND(INDEX('1-DATA'!$1:$1048576,IF(OR($B244="STD. DEVIATION",$C$1=1),$A244,$A244+1),COLUMN('1-DATA'!AG242)),IF($B244="STD. DEVIATION",2,$F$1))))</f>
        <v/>
      </c>
      <c r="AI244" s="1" t="str">
        <f>IF(OR($B244="",AI$7=""),"",IF($B244="MEANS",INDEX('1-DATA'!$1:$1048576,$A243-1,COLUMN('1-DATA'!AH242)),ROUND(INDEX('1-DATA'!$1:$1048576,IF(OR($B244="STD. DEVIATION",$C$1=1),$A244,$A244+1),COLUMN('1-DATA'!AH242)),IF($B244="STD. DEVIATION",2,$F$1))))</f>
        <v/>
      </c>
      <c r="AJ244" s="1" t="str">
        <f>IF(OR($B244="",AJ$7=""),"",IF($B244="MEANS",INDEX('1-DATA'!$1:$1048576,$A243-1,COLUMN('1-DATA'!AI242)),ROUND(INDEX('1-DATA'!$1:$1048576,IF(OR($B244="STD. DEVIATION",$C$1=1),$A244,$A244+1),COLUMN('1-DATA'!AI242)),IF($B244="STD. DEVIATION",2,$F$1))))</f>
        <v/>
      </c>
      <c r="AK244" s="1" t="str">
        <f>IF(OR($B244="",AK$7=""),"",IF($B244="MEANS",INDEX('1-DATA'!$1:$1048576,$A243-1,COLUMN('1-DATA'!AJ242)),ROUND(INDEX('1-DATA'!$1:$1048576,IF(OR($B244="STD. DEVIATION",$C$1=1),$A244,$A244+1),COLUMN('1-DATA'!AJ242)),IF($B244="STD. DEVIATION",2,$F$1))))</f>
        <v/>
      </c>
      <c r="AL244" s="1" t="str">
        <f>IF(OR($B244="",AL$7=""),"",IF($B244="MEANS",INDEX('1-DATA'!$1:$1048576,$A243-1,COLUMN('1-DATA'!AK242)),ROUND(INDEX('1-DATA'!$1:$1048576,IF(OR($B244="STD. DEVIATION",$C$1=1),$A244,$A244+1),COLUMN('1-DATA'!AK242)),IF($B244="STD. DEVIATION",2,$F$1))))</f>
        <v/>
      </c>
      <c r="AM244" s="1" t="str">
        <f>IF(OR($B244="",AM$7=""),"",IF($B244="MEANS",INDEX('1-DATA'!$1:$1048576,$A243-1,COLUMN('1-DATA'!AL242)),ROUND(INDEX('1-DATA'!$1:$1048576,IF(OR($B244="STD. DEVIATION",$C$1=1),$A244,$A244+1),COLUMN('1-DATA'!AL242)),IF($B244="STD. DEVIATION",2,$F$1))))</f>
        <v/>
      </c>
      <c r="AN244" s="1" t="str">
        <f>IF(OR($B244="",AN$7=""),"",IF($B244="MEANS",INDEX('1-DATA'!$1:$1048576,$A243-1,COLUMN('1-DATA'!AM242)),ROUND(INDEX('1-DATA'!$1:$1048576,IF(OR($B244="STD. DEVIATION",$C$1=1),$A244,$A244+1),COLUMN('1-DATA'!AM242)),IF($B244="STD. DEVIATION",2,$F$1))))</f>
        <v/>
      </c>
      <c r="AO244" s="1" t="str">
        <f>IF(OR($B244="",AO$7=""),"",IF($B244="MEANS",INDEX('1-DATA'!$1:$1048576,$A243-1,COLUMN('1-DATA'!AN242)),ROUND(INDEX('1-DATA'!$1:$1048576,IF(OR($B244="STD. DEVIATION",$C$1=1),$A244,$A244+1),COLUMN('1-DATA'!AN242)),IF($B244="STD. DEVIATION",2,$F$1))))</f>
        <v/>
      </c>
      <c r="AP244" s="1" t="str">
        <f>IF(OR($B244="",AP$7=""),"",IF($B244="MEANS",INDEX('1-DATA'!$1:$1048576,$A243-1,COLUMN('1-DATA'!AO242)),ROUND(INDEX('1-DATA'!$1:$1048576,IF(OR($B244="STD. DEVIATION",$C$1=1),$A244,$A244+1),COLUMN('1-DATA'!AO242)),IF($B244="STD. DEVIATION",2,$F$1))))</f>
        <v/>
      </c>
      <c r="AQ244" s="1" t="str">
        <f>IF(OR($B244="",AQ$7=""),"",IF($B244="MEANS",INDEX('1-DATA'!$1:$1048576,$A243-1,COLUMN('1-DATA'!AP242)),ROUND(INDEX('1-DATA'!$1:$1048576,IF(OR($B244="STD. DEVIATION",$C$1=1),$A244,$A244+1),COLUMN('1-DATA'!AP242)),IF($B244="STD. DEVIATION",2,$F$1))))</f>
        <v/>
      </c>
      <c r="AR244" s="1" t="str">
        <f>IF(OR($B244="",AR$7=""),"",IF($B244="MEANS",INDEX('1-DATA'!$1:$1048576,$A243-1,COLUMN('1-DATA'!AQ242)),ROUND(INDEX('1-DATA'!$1:$1048576,IF(OR($B244="STD. DEVIATION",$C$1=1),$A244,$A244+1),COLUMN('1-DATA'!AQ242)),IF($B244="STD. DEVIATION",2,$F$1))))</f>
        <v/>
      </c>
      <c r="AS244" s="1" t="str">
        <f>IF(OR($B244="",AS$7=""),"",IF($B244="MEANS",INDEX('1-DATA'!$1:$1048576,$A243-1,COLUMN('1-DATA'!AR242)),ROUND(INDEX('1-DATA'!$1:$1048576,IF(OR($B244="STD. DEVIATION",$C$1=1),$A244,$A244+1),COLUMN('1-DATA'!AR242)),IF($B244="STD. DEVIATION",2,$F$1))))</f>
        <v/>
      </c>
      <c r="AT244" s="1" t="str">
        <f>IF(OR($B244="",AT$7=""),"",IF($B244="MEANS",INDEX('1-DATA'!$1:$1048576,$A243-1,COLUMN('1-DATA'!AS242)),ROUND(INDEX('1-DATA'!$1:$1048576,IF(OR($B244="STD. DEVIATION",$C$1=1),$A244,$A244+1),COLUMN('1-DATA'!AS242)),IF($B244="STD. DEVIATION",2,$F$1))))</f>
        <v/>
      </c>
      <c r="AU244" s="1" t="str">
        <f>IF(OR($B244="",AU$7=""),"",IF($B244="MEANS",INDEX('1-DATA'!$1:$1048576,$A243-1,COLUMN('1-DATA'!AT242)),ROUND(INDEX('1-DATA'!$1:$1048576,IF(OR($B244="STD. DEVIATION",$C$1=1),$A244,$A244+1),COLUMN('1-DATA'!AT242)),IF($B244="STD. DEVIATION",2,$F$1))))</f>
        <v/>
      </c>
      <c r="AV244" s="1" t="str">
        <f>IF(OR($B244="",AV$7=""),"",IF($B244="MEANS",INDEX('1-DATA'!$1:$1048576,$A243-1,COLUMN('1-DATA'!AU242)),ROUND(INDEX('1-DATA'!$1:$1048576,IF(OR($B244="STD. DEVIATION",$C$1=1),$A244,$A244+1),COLUMN('1-DATA'!AU242)),IF($B244="STD. DEVIATION",2,$F$1))))</f>
        <v/>
      </c>
      <c r="AW244" s="1" t="str">
        <f>IF(OR($B244="",AW$7=""),"",IF($B244="MEANS",INDEX('1-DATA'!$1:$1048576,$A243-1,COLUMN('1-DATA'!AV242)),ROUND(INDEX('1-DATA'!$1:$1048576,IF(OR($B244="STD. DEVIATION",$C$1=1),$A244,$A244+1),COLUMN('1-DATA'!AV242)),IF($B244="STD. DEVIATION",2,$F$1))))</f>
        <v/>
      </c>
      <c r="AX244" s="1" t="str">
        <f>IF(OR($B244="",AX$7=""),"",IF($B244="MEANS",INDEX('1-DATA'!$1:$1048576,$A243-1,COLUMN('1-DATA'!AW242)),ROUND(INDEX('1-DATA'!$1:$1048576,IF(OR($B244="STD. DEVIATION",$C$1=1),$A244,$A244+1),COLUMN('1-DATA'!AW242)),IF($B244="STD. DEVIATION",2,$F$1))))</f>
        <v/>
      </c>
      <c r="AY244" s="1" t="str">
        <f>IF(OR($B244="",AY$7=""),"",IF($B244="MEANS",INDEX('1-DATA'!$1:$1048576,$A243-1,COLUMN('1-DATA'!AX242)),ROUND(INDEX('1-DATA'!$1:$1048576,IF(OR($B244="STD. DEVIATION",$C$1=1),$A244,$A244+1),COLUMN('1-DATA'!AX242)),IF($B244="STD. DEVIATION",2,$F$1))))</f>
        <v/>
      </c>
      <c r="AZ244" s="1" t="str">
        <f>IF(OR($B244="",AZ$7=""),"",IF($B244="MEANS",INDEX('1-DATA'!$1:$1048576,$A243-1,COLUMN('1-DATA'!AY242)),ROUND(INDEX('1-DATA'!$1:$1048576,IF(OR($B244="STD. DEVIATION",$C$1=1),$A244,$A244+1),COLUMN('1-DATA'!AY242)),IF($B244="STD. DEVIATION",2,$F$1))))</f>
        <v/>
      </c>
    </row>
    <row r="245" spans="1:52" x14ac:dyDescent="0.25">
      <c r="A245" s="11">
        <f t="shared" si="4"/>
        <v>721</v>
      </c>
      <c r="B245" s="1" t="str">
        <f>IF(B244="STD. DEVIATION",INDEX('1-DATA'!$1:$1048576,$A244-1,1),IF(INDEX('1-DATA'!$1:$1048576,$A245,1)&lt;&gt;"",INDEX('1-DATA'!$1:$1048576,$A245,1),""))</f>
        <v/>
      </c>
      <c r="C245" s="1" t="str">
        <f>IF(OR($B245="",C$7=""),"",IF($B245="MEANS",INDEX('1-DATA'!$1:$1048576,$A244-1,COLUMN('1-DATA'!B243)),ROUND(INDEX('1-DATA'!$1:$1048576,IF(OR($B245="STD. DEVIATION",$C$1=1),$A245,$A245+1),COLUMN('1-DATA'!B243)),IF($B245="STD. DEVIATION",2,$F$1))))</f>
        <v/>
      </c>
      <c r="D245" s="1" t="str">
        <f>IF(OR($B245="",D$7=""),"",IF($B245="MEANS",INDEX('1-DATA'!$1:$1048576,$A244-1,COLUMN('1-DATA'!C243)),ROUND(INDEX('1-DATA'!$1:$1048576,IF(OR($B245="STD. DEVIATION",$C$1=1),$A245,$A245+1),COLUMN('1-DATA'!C243)),IF($B245="STD. DEVIATION",2,$F$1))))</f>
        <v/>
      </c>
      <c r="E245" s="1" t="str">
        <f>IF(OR($B245="",E$7=""),"",IF($B245="MEANS",INDEX('1-DATA'!$1:$1048576,$A244-1,COLUMN('1-DATA'!D243)),ROUND(INDEX('1-DATA'!$1:$1048576,IF(OR($B245="STD. DEVIATION",$C$1=1),$A245,$A245+1),COLUMN('1-DATA'!D243)),IF($B245="STD. DEVIATION",2,$F$1))))</f>
        <v/>
      </c>
      <c r="F245" s="1" t="str">
        <f>IF(OR($B245="",F$7=""),"",IF($B245="MEANS",INDEX('1-DATA'!$1:$1048576,$A244-1,COLUMN('1-DATA'!E243)),ROUND(INDEX('1-DATA'!$1:$1048576,IF(OR($B245="STD. DEVIATION",$C$1=1),$A245,$A245+1),COLUMN('1-DATA'!E243)),IF($B245="STD. DEVIATION",2,$F$1))))</f>
        <v/>
      </c>
      <c r="G245" s="1" t="str">
        <f>IF(OR($B245="",G$7=""),"",IF($B245="MEANS",INDEX('1-DATA'!$1:$1048576,$A244-1,COLUMN('1-DATA'!F243)),ROUND(INDEX('1-DATA'!$1:$1048576,IF(OR($B245="STD. DEVIATION",$C$1=1),$A245,$A245+1),COLUMN('1-DATA'!F243)),IF($B245="STD. DEVIATION",2,$F$1))))</f>
        <v/>
      </c>
      <c r="H245" s="1" t="str">
        <f>IF(OR($B245="",H$7=""),"",IF($B245="MEANS",INDEX('1-DATA'!$1:$1048576,$A244-1,COLUMN('1-DATA'!G243)),ROUND(INDEX('1-DATA'!$1:$1048576,IF(OR($B245="STD. DEVIATION",$C$1=1),$A245,$A245+1),COLUMN('1-DATA'!G243)),IF($B245="STD. DEVIATION",2,$F$1))))</f>
        <v/>
      </c>
      <c r="I245" s="1" t="str">
        <f>IF(OR($B245="",I$7=""),"",IF($B245="MEANS",INDEX('1-DATA'!$1:$1048576,$A244-1,COLUMN('1-DATA'!H243)),ROUND(INDEX('1-DATA'!$1:$1048576,IF(OR($B245="STD. DEVIATION",$C$1=1),$A245,$A245+1),COLUMN('1-DATA'!H243)),IF($B245="STD. DEVIATION",2,$F$1))))</f>
        <v/>
      </c>
      <c r="J245" s="1" t="str">
        <f>IF(OR($B245="",J$7=""),"",IF($B245="MEANS",INDEX('1-DATA'!$1:$1048576,$A244-1,COLUMN('1-DATA'!I243)),ROUND(INDEX('1-DATA'!$1:$1048576,IF(OR($B245="STD. DEVIATION",$C$1=1),$A245,$A245+1),COLUMN('1-DATA'!I243)),IF($B245="STD. DEVIATION",2,$F$1))))</f>
        <v/>
      </c>
      <c r="K245" s="1" t="str">
        <f>IF(OR($B245="",K$7=""),"",IF($B245="MEANS",INDEX('1-DATA'!$1:$1048576,$A244-1,COLUMN('1-DATA'!J243)),ROUND(INDEX('1-DATA'!$1:$1048576,IF(OR($B245="STD. DEVIATION",$C$1=1),$A245,$A245+1),COLUMN('1-DATA'!J243)),IF($B245="STD. DEVIATION",2,$F$1))))</f>
        <v/>
      </c>
      <c r="L245" s="1" t="str">
        <f>IF(OR($B245="",L$7=""),"",IF($B245="MEANS",INDEX('1-DATA'!$1:$1048576,$A244-1,COLUMN('1-DATA'!K243)),ROUND(INDEX('1-DATA'!$1:$1048576,IF(OR($B245="STD. DEVIATION",$C$1=1),$A245,$A245+1),COLUMN('1-DATA'!K243)),IF($B245="STD. DEVIATION",2,$F$1))))</f>
        <v/>
      </c>
      <c r="M245" s="1" t="str">
        <f>IF(OR($B245="",M$7=""),"",IF($B245="MEANS",INDEX('1-DATA'!$1:$1048576,$A244-1,COLUMN('1-DATA'!L243)),ROUND(INDEX('1-DATA'!$1:$1048576,IF(OR($B245="STD. DEVIATION",$C$1=1),$A245,$A245+1),COLUMN('1-DATA'!L243)),IF($B245="STD. DEVIATION",2,$F$1))))</f>
        <v/>
      </c>
      <c r="N245" s="1" t="str">
        <f>IF(OR($B245="",N$7=""),"",IF($B245="MEANS",INDEX('1-DATA'!$1:$1048576,$A244-1,COLUMN('1-DATA'!M243)),ROUND(INDEX('1-DATA'!$1:$1048576,IF(OR($B245="STD. DEVIATION",$C$1=1),$A245,$A245+1),COLUMN('1-DATA'!M243)),IF($B245="STD. DEVIATION",2,$F$1))))</f>
        <v/>
      </c>
      <c r="O245" s="1" t="str">
        <f>IF(OR($B245="",O$7=""),"",IF($B245="MEANS",INDEX('1-DATA'!$1:$1048576,$A244-1,COLUMN('1-DATA'!N243)),ROUND(INDEX('1-DATA'!$1:$1048576,IF(OR($B245="STD. DEVIATION",$C$1=1),$A245,$A245+1),COLUMN('1-DATA'!N243)),IF($B245="STD. DEVIATION",2,$F$1))))</f>
        <v/>
      </c>
      <c r="P245" s="1" t="str">
        <f>IF(OR($B245="",P$7=""),"",IF($B245="MEANS",INDEX('1-DATA'!$1:$1048576,$A244-1,COLUMN('1-DATA'!O243)),ROUND(INDEX('1-DATA'!$1:$1048576,IF(OR($B245="STD. DEVIATION",$C$1=1),$A245,$A245+1),COLUMN('1-DATA'!O243)),IF($B245="STD. DEVIATION",2,$F$1))))</f>
        <v/>
      </c>
      <c r="Q245" s="1" t="str">
        <f>IF(OR($B245="",Q$7=""),"",IF($B245="MEANS",INDEX('1-DATA'!$1:$1048576,$A244-1,COLUMN('1-DATA'!P243)),ROUND(INDEX('1-DATA'!$1:$1048576,IF(OR($B245="STD. DEVIATION",$C$1=1),$A245,$A245+1),COLUMN('1-DATA'!P243)),IF($B245="STD. DEVIATION",2,$F$1))))</f>
        <v/>
      </c>
      <c r="R245" s="1" t="str">
        <f>IF(OR($B245="",R$7=""),"",IF($B245="MEANS",INDEX('1-DATA'!$1:$1048576,$A244-1,COLUMN('1-DATA'!Q243)),ROUND(INDEX('1-DATA'!$1:$1048576,IF(OR($B245="STD. DEVIATION",$C$1=1),$A245,$A245+1),COLUMN('1-DATA'!Q243)),IF($B245="STD. DEVIATION",2,$F$1))))</f>
        <v/>
      </c>
      <c r="S245" s="1" t="str">
        <f>IF(OR($B245="",S$7=""),"",IF($B245="MEANS",INDEX('1-DATA'!$1:$1048576,$A244-1,COLUMN('1-DATA'!R243)),ROUND(INDEX('1-DATA'!$1:$1048576,IF(OR($B245="STD. DEVIATION",$C$1=1),$A245,$A245+1),COLUMN('1-DATA'!R243)),IF($B245="STD. DEVIATION",2,$F$1))))</f>
        <v/>
      </c>
      <c r="T245" s="1" t="str">
        <f>IF(OR($B245="",T$7=""),"",IF($B245="MEANS",INDEX('1-DATA'!$1:$1048576,$A244-1,COLUMN('1-DATA'!S243)),ROUND(INDEX('1-DATA'!$1:$1048576,IF(OR($B245="STD. DEVIATION",$C$1=1),$A245,$A245+1),COLUMN('1-DATA'!S243)),IF($B245="STD. DEVIATION",2,$F$1))))</f>
        <v/>
      </c>
      <c r="U245" s="1" t="str">
        <f>IF(OR($B245="",U$7=""),"",IF($B245="MEANS",INDEX('1-DATA'!$1:$1048576,$A244-1,COLUMN('1-DATA'!T243)),ROUND(INDEX('1-DATA'!$1:$1048576,IF(OR($B245="STD. DEVIATION",$C$1=1),$A245,$A245+1),COLUMN('1-DATA'!T243)),IF($B245="STD. DEVIATION",2,$F$1))))</f>
        <v/>
      </c>
      <c r="V245" s="1" t="str">
        <f>IF(OR($B245="",V$7=""),"",IF($B245="MEANS",INDEX('1-DATA'!$1:$1048576,$A244-1,COLUMN('1-DATA'!U243)),ROUND(INDEX('1-DATA'!$1:$1048576,IF(OR($B245="STD. DEVIATION",$C$1=1),$A245,$A245+1),COLUMN('1-DATA'!U243)),IF($B245="STD. DEVIATION",2,$F$1))))</f>
        <v/>
      </c>
      <c r="W245" s="1" t="str">
        <f>IF(OR($B245="",W$7=""),"",IF($B245="MEANS",INDEX('1-DATA'!$1:$1048576,$A244-1,COLUMN('1-DATA'!V243)),ROUND(INDEX('1-DATA'!$1:$1048576,IF(OR($B245="STD. DEVIATION",$C$1=1),$A245,$A245+1),COLUMN('1-DATA'!V243)),IF($B245="STD. DEVIATION",2,$F$1))))</f>
        <v/>
      </c>
      <c r="X245" s="1" t="str">
        <f>IF(OR($B245="",X$7=""),"",IF($B245="MEANS",INDEX('1-DATA'!$1:$1048576,$A244-1,COLUMN('1-DATA'!W243)),ROUND(INDEX('1-DATA'!$1:$1048576,IF(OR($B245="STD. DEVIATION",$C$1=1),$A245,$A245+1),COLUMN('1-DATA'!W243)),IF($B245="STD. DEVIATION",2,$F$1))))</f>
        <v/>
      </c>
      <c r="Y245" s="1" t="str">
        <f>IF(OR($B245="",Y$7=""),"",IF($B245="MEANS",INDEX('1-DATA'!$1:$1048576,$A244-1,COLUMN('1-DATA'!X243)),ROUND(INDEX('1-DATA'!$1:$1048576,IF(OR($B245="STD. DEVIATION",$C$1=1),$A245,$A245+1),COLUMN('1-DATA'!X243)),IF($B245="STD. DEVIATION",2,$F$1))))</f>
        <v/>
      </c>
      <c r="Z245" s="1" t="str">
        <f>IF(OR($B245="",Z$7=""),"",IF($B245="MEANS",INDEX('1-DATA'!$1:$1048576,$A244-1,COLUMN('1-DATA'!Y243)),ROUND(INDEX('1-DATA'!$1:$1048576,IF(OR($B245="STD. DEVIATION",$C$1=1),$A245,$A245+1),COLUMN('1-DATA'!Y243)),IF($B245="STD. DEVIATION",2,$F$1))))</f>
        <v/>
      </c>
      <c r="AA245" s="1" t="str">
        <f>IF(OR($B245="",AA$7=""),"",IF($B245="MEANS",INDEX('1-DATA'!$1:$1048576,$A244-1,COLUMN('1-DATA'!Z243)),ROUND(INDEX('1-DATA'!$1:$1048576,IF(OR($B245="STD. DEVIATION",$C$1=1),$A245,$A245+1),COLUMN('1-DATA'!Z243)),IF($B245="STD. DEVIATION",2,$F$1))))</f>
        <v/>
      </c>
      <c r="AB245" s="1" t="str">
        <f>IF(OR($B245="",AB$7=""),"",IF($B245="MEANS",INDEX('1-DATA'!$1:$1048576,$A244-1,COLUMN('1-DATA'!AA243)),ROUND(INDEX('1-DATA'!$1:$1048576,IF(OR($B245="STD. DEVIATION",$C$1=1),$A245,$A245+1),COLUMN('1-DATA'!AA243)),IF($B245="STD. DEVIATION",2,$F$1))))</f>
        <v/>
      </c>
      <c r="AC245" s="1" t="str">
        <f>IF(OR($B245="",AC$7=""),"",IF($B245="MEANS",INDEX('1-DATA'!$1:$1048576,$A244-1,COLUMN('1-DATA'!AB243)),ROUND(INDEX('1-DATA'!$1:$1048576,IF(OR($B245="STD. DEVIATION",$C$1=1),$A245,$A245+1),COLUMN('1-DATA'!AB243)),IF($B245="STD. DEVIATION",2,$F$1))))</f>
        <v/>
      </c>
      <c r="AD245" s="1" t="str">
        <f>IF(OR($B245="",AD$7=""),"",IF($B245="MEANS",INDEX('1-DATA'!$1:$1048576,$A244-1,COLUMN('1-DATA'!AC243)),ROUND(INDEX('1-DATA'!$1:$1048576,IF(OR($B245="STD. DEVIATION",$C$1=1),$A245,$A245+1),COLUMN('1-DATA'!AC243)),IF($B245="STD. DEVIATION",2,$F$1))))</f>
        <v/>
      </c>
      <c r="AE245" s="1" t="str">
        <f>IF(OR($B245="",AE$7=""),"",IF($B245="MEANS",INDEX('1-DATA'!$1:$1048576,$A244-1,COLUMN('1-DATA'!AD243)),ROUND(INDEX('1-DATA'!$1:$1048576,IF(OR($B245="STD. DEVIATION",$C$1=1),$A245,$A245+1),COLUMN('1-DATA'!AD243)),IF($B245="STD. DEVIATION",2,$F$1))))</f>
        <v/>
      </c>
      <c r="AF245" s="1" t="str">
        <f>IF(OR($B245="",AF$7=""),"",IF($B245="MEANS",INDEX('1-DATA'!$1:$1048576,$A244-1,COLUMN('1-DATA'!AE243)),ROUND(INDEX('1-DATA'!$1:$1048576,IF(OR($B245="STD. DEVIATION",$C$1=1),$A245,$A245+1),COLUMN('1-DATA'!AE243)),IF($B245="STD. DEVIATION",2,$F$1))))</f>
        <v/>
      </c>
      <c r="AG245" s="1" t="str">
        <f>IF(OR($B245="",AG$7=""),"",IF($B245="MEANS",INDEX('1-DATA'!$1:$1048576,$A244-1,COLUMN('1-DATA'!AF243)),ROUND(INDEX('1-DATA'!$1:$1048576,IF(OR($B245="STD. DEVIATION",$C$1=1),$A245,$A245+1),COLUMN('1-DATA'!AF243)),IF($B245="STD. DEVIATION",2,$F$1))))</f>
        <v/>
      </c>
      <c r="AH245" s="1" t="str">
        <f>IF(OR($B245="",AH$7=""),"",IF($B245="MEANS",INDEX('1-DATA'!$1:$1048576,$A244-1,COLUMN('1-DATA'!AG243)),ROUND(INDEX('1-DATA'!$1:$1048576,IF(OR($B245="STD. DEVIATION",$C$1=1),$A245,$A245+1),COLUMN('1-DATA'!AG243)),IF($B245="STD. DEVIATION",2,$F$1))))</f>
        <v/>
      </c>
      <c r="AI245" s="1" t="str">
        <f>IF(OR($B245="",AI$7=""),"",IF($B245="MEANS",INDEX('1-DATA'!$1:$1048576,$A244-1,COLUMN('1-DATA'!AH243)),ROUND(INDEX('1-DATA'!$1:$1048576,IF(OR($B245="STD. DEVIATION",$C$1=1),$A245,$A245+1),COLUMN('1-DATA'!AH243)),IF($B245="STD. DEVIATION",2,$F$1))))</f>
        <v/>
      </c>
      <c r="AJ245" s="1" t="str">
        <f>IF(OR($B245="",AJ$7=""),"",IF($B245="MEANS",INDEX('1-DATA'!$1:$1048576,$A244-1,COLUMN('1-DATA'!AI243)),ROUND(INDEX('1-DATA'!$1:$1048576,IF(OR($B245="STD. DEVIATION",$C$1=1),$A245,$A245+1),COLUMN('1-DATA'!AI243)),IF($B245="STD. DEVIATION",2,$F$1))))</f>
        <v/>
      </c>
      <c r="AK245" s="1" t="str">
        <f>IF(OR($B245="",AK$7=""),"",IF($B245="MEANS",INDEX('1-DATA'!$1:$1048576,$A244-1,COLUMN('1-DATA'!AJ243)),ROUND(INDEX('1-DATA'!$1:$1048576,IF(OR($B245="STD. DEVIATION",$C$1=1),$A245,$A245+1),COLUMN('1-DATA'!AJ243)),IF($B245="STD. DEVIATION",2,$F$1))))</f>
        <v/>
      </c>
      <c r="AL245" s="1" t="str">
        <f>IF(OR($B245="",AL$7=""),"",IF($B245="MEANS",INDEX('1-DATA'!$1:$1048576,$A244-1,COLUMN('1-DATA'!AK243)),ROUND(INDEX('1-DATA'!$1:$1048576,IF(OR($B245="STD. DEVIATION",$C$1=1),$A245,$A245+1),COLUMN('1-DATA'!AK243)),IF($B245="STD. DEVIATION",2,$F$1))))</f>
        <v/>
      </c>
      <c r="AM245" s="1" t="str">
        <f>IF(OR($B245="",AM$7=""),"",IF($B245="MEANS",INDEX('1-DATA'!$1:$1048576,$A244-1,COLUMN('1-DATA'!AL243)),ROUND(INDEX('1-DATA'!$1:$1048576,IF(OR($B245="STD. DEVIATION",$C$1=1),$A245,$A245+1),COLUMN('1-DATA'!AL243)),IF($B245="STD. DEVIATION",2,$F$1))))</f>
        <v/>
      </c>
      <c r="AN245" s="1" t="str">
        <f>IF(OR($B245="",AN$7=""),"",IF($B245="MEANS",INDEX('1-DATA'!$1:$1048576,$A244-1,COLUMN('1-DATA'!AM243)),ROUND(INDEX('1-DATA'!$1:$1048576,IF(OR($B245="STD. DEVIATION",$C$1=1),$A245,$A245+1),COLUMN('1-DATA'!AM243)),IF($B245="STD. DEVIATION",2,$F$1))))</f>
        <v/>
      </c>
      <c r="AO245" s="1" t="str">
        <f>IF(OR($B245="",AO$7=""),"",IF($B245="MEANS",INDEX('1-DATA'!$1:$1048576,$A244-1,COLUMN('1-DATA'!AN243)),ROUND(INDEX('1-DATA'!$1:$1048576,IF(OR($B245="STD. DEVIATION",$C$1=1),$A245,$A245+1),COLUMN('1-DATA'!AN243)),IF($B245="STD. DEVIATION",2,$F$1))))</f>
        <v/>
      </c>
      <c r="AP245" s="1" t="str">
        <f>IF(OR($B245="",AP$7=""),"",IF($B245="MEANS",INDEX('1-DATA'!$1:$1048576,$A244-1,COLUMN('1-DATA'!AO243)),ROUND(INDEX('1-DATA'!$1:$1048576,IF(OR($B245="STD. DEVIATION",$C$1=1),$A245,$A245+1),COLUMN('1-DATA'!AO243)),IF($B245="STD. DEVIATION",2,$F$1))))</f>
        <v/>
      </c>
      <c r="AQ245" s="1" t="str">
        <f>IF(OR($B245="",AQ$7=""),"",IF($B245="MEANS",INDEX('1-DATA'!$1:$1048576,$A244-1,COLUMN('1-DATA'!AP243)),ROUND(INDEX('1-DATA'!$1:$1048576,IF(OR($B245="STD. DEVIATION",$C$1=1),$A245,$A245+1),COLUMN('1-DATA'!AP243)),IF($B245="STD. DEVIATION",2,$F$1))))</f>
        <v/>
      </c>
      <c r="AR245" s="1" t="str">
        <f>IF(OR($B245="",AR$7=""),"",IF($B245="MEANS",INDEX('1-DATA'!$1:$1048576,$A244-1,COLUMN('1-DATA'!AQ243)),ROUND(INDEX('1-DATA'!$1:$1048576,IF(OR($B245="STD. DEVIATION",$C$1=1),$A245,$A245+1),COLUMN('1-DATA'!AQ243)),IF($B245="STD. DEVIATION",2,$F$1))))</f>
        <v/>
      </c>
      <c r="AS245" s="1" t="str">
        <f>IF(OR($B245="",AS$7=""),"",IF($B245="MEANS",INDEX('1-DATA'!$1:$1048576,$A244-1,COLUMN('1-DATA'!AR243)),ROUND(INDEX('1-DATA'!$1:$1048576,IF(OR($B245="STD. DEVIATION",$C$1=1),$A245,$A245+1),COLUMN('1-DATA'!AR243)),IF($B245="STD. DEVIATION",2,$F$1))))</f>
        <v/>
      </c>
      <c r="AT245" s="1" t="str">
        <f>IF(OR($B245="",AT$7=""),"",IF($B245="MEANS",INDEX('1-DATA'!$1:$1048576,$A244-1,COLUMN('1-DATA'!AS243)),ROUND(INDEX('1-DATA'!$1:$1048576,IF(OR($B245="STD. DEVIATION",$C$1=1),$A245,$A245+1),COLUMN('1-DATA'!AS243)),IF($B245="STD. DEVIATION",2,$F$1))))</f>
        <v/>
      </c>
      <c r="AU245" s="1" t="str">
        <f>IF(OR($B245="",AU$7=""),"",IF($B245="MEANS",INDEX('1-DATA'!$1:$1048576,$A244-1,COLUMN('1-DATA'!AT243)),ROUND(INDEX('1-DATA'!$1:$1048576,IF(OR($B245="STD. DEVIATION",$C$1=1),$A245,$A245+1),COLUMN('1-DATA'!AT243)),IF($B245="STD. DEVIATION",2,$F$1))))</f>
        <v/>
      </c>
      <c r="AV245" s="1" t="str">
        <f>IF(OR($B245="",AV$7=""),"",IF($B245="MEANS",INDEX('1-DATA'!$1:$1048576,$A244-1,COLUMN('1-DATA'!AU243)),ROUND(INDEX('1-DATA'!$1:$1048576,IF(OR($B245="STD. DEVIATION",$C$1=1),$A245,$A245+1),COLUMN('1-DATA'!AU243)),IF($B245="STD. DEVIATION",2,$F$1))))</f>
        <v/>
      </c>
      <c r="AW245" s="1" t="str">
        <f>IF(OR($B245="",AW$7=""),"",IF($B245="MEANS",INDEX('1-DATA'!$1:$1048576,$A244-1,COLUMN('1-DATA'!AV243)),ROUND(INDEX('1-DATA'!$1:$1048576,IF(OR($B245="STD. DEVIATION",$C$1=1),$A245,$A245+1),COLUMN('1-DATA'!AV243)),IF($B245="STD. DEVIATION",2,$F$1))))</f>
        <v/>
      </c>
      <c r="AX245" s="1" t="str">
        <f>IF(OR($B245="",AX$7=""),"",IF($B245="MEANS",INDEX('1-DATA'!$1:$1048576,$A244-1,COLUMN('1-DATA'!AW243)),ROUND(INDEX('1-DATA'!$1:$1048576,IF(OR($B245="STD. DEVIATION",$C$1=1),$A245,$A245+1),COLUMN('1-DATA'!AW243)),IF($B245="STD. DEVIATION",2,$F$1))))</f>
        <v/>
      </c>
      <c r="AY245" s="1" t="str">
        <f>IF(OR($B245="",AY$7=""),"",IF($B245="MEANS",INDEX('1-DATA'!$1:$1048576,$A244-1,COLUMN('1-DATA'!AX243)),ROUND(INDEX('1-DATA'!$1:$1048576,IF(OR($B245="STD. DEVIATION",$C$1=1),$A245,$A245+1),COLUMN('1-DATA'!AX243)),IF($B245="STD. DEVIATION",2,$F$1))))</f>
        <v/>
      </c>
      <c r="AZ245" s="1" t="str">
        <f>IF(OR($B245="",AZ$7=""),"",IF($B245="MEANS",INDEX('1-DATA'!$1:$1048576,$A244-1,COLUMN('1-DATA'!AY243)),ROUND(INDEX('1-DATA'!$1:$1048576,IF(OR($B245="STD. DEVIATION",$C$1=1),$A245,$A245+1),COLUMN('1-DATA'!AY243)),IF($B245="STD. DEVIATION",2,$F$1))))</f>
        <v/>
      </c>
    </row>
    <row r="246" spans="1:52" x14ac:dyDescent="0.25">
      <c r="A246" s="11">
        <f t="shared" si="4"/>
        <v>724</v>
      </c>
      <c r="B246" s="1" t="str">
        <f>IF(B245="STD. DEVIATION",INDEX('1-DATA'!$1:$1048576,$A245-1,1),IF(INDEX('1-DATA'!$1:$1048576,$A246,1)&lt;&gt;"",INDEX('1-DATA'!$1:$1048576,$A246,1),""))</f>
        <v/>
      </c>
      <c r="C246" s="1" t="str">
        <f>IF(OR($B246="",C$7=""),"",IF($B246="MEANS",INDEX('1-DATA'!$1:$1048576,$A245-1,COLUMN('1-DATA'!B244)),ROUND(INDEX('1-DATA'!$1:$1048576,IF(OR($B246="STD. DEVIATION",$C$1=1),$A246,$A246+1),COLUMN('1-DATA'!B244)),IF($B246="STD. DEVIATION",2,$F$1))))</f>
        <v/>
      </c>
      <c r="D246" s="1" t="str">
        <f>IF(OR($B246="",D$7=""),"",IF($B246="MEANS",INDEX('1-DATA'!$1:$1048576,$A245-1,COLUMN('1-DATA'!C244)),ROUND(INDEX('1-DATA'!$1:$1048576,IF(OR($B246="STD. DEVIATION",$C$1=1),$A246,$A246+1),COLUMN('1-DATA'!C244)),IF($B246="STD. DEVIATION",2,$F$1))))</f>
        <v/>
      </c>
      <c r="E246" s="1" t="str">
        <f>IF(OR($B246="",E$7=""),"",IF($B246="MEANS",INDEX('1-DATA'!$1:$1048576,$A245-1,COLUMN('1-DATA'!D244)),ROUND(INDEX('1-DATA'!$1:$1048576,IF(OR($B246="STD. DEVIATION",$C$1=1),$A246,$A246+1),COLUMN('1-DATA'!D244)),IF($B246="STD. DEVIATION",2,$F$1))))</f>
        <v/>
      </c>
      <c r="F246" s="1" t="str">
        <f>IF(OR($B246="",F$7=""),"",IF($B246="MEANS",INDEX('1-DATA'!$1:$1048576,$A245-1,COLUMN('1-DATA'!E244)),ROUND(INDEX('1-DATA'!$1:$1048576,IF(OR($B246="STD. DEVIATION",$C$1=1),$A246,$A246+1),COLUMN('1-DATA'!E244)),IF($B246="STD. DEVIATION",2,$F$1))))</f>
        <v/>
      </c>
      <c r="G246" s="1" t="str">
        <f>IF(OR($B246="",G$7=""),"",IF($B246="MEANS",INDEX('1-DATA'!$1:$1048576,$A245-1,COLUMN('1-DATA'!F244)),ROUND(INDEX('1-DATA'!$1:$1048576,IF(OR($B246="STD. DEVIATION",$C$1=1),$A246,$A246+1),COLUMN('1-DATA'!F244)),IF($B246="STD. DEVIATION",2,$F$1))))</f>
        <v/>
      </c>
      <c r="H246" s="1" t="str">
        <f>IF(OR($B246="",H$7=""),"",IF($B246="MEANS",INDEX('1-DATA'!$1:$1048576,$A245-1,COLUMN('1-DATA'!G244)),ROUND(INDEX('1-DATA'!$1:$1048576,IF(OR($B246="STD. DEVIATION",$C$1=1),$A246,$A246+1),COLUMN('1-DATA'!G244)),IF($B246="STD. DEVIATION",2,$F$1))))</f>
        <v/>
      </c>
      <c r="I246" s="1" t="str">
        <f>IF(OR($B246="",I$7=""),"",IF($B246="MEANS",INDEX('1-DATA'!$1:$1048576,$A245-1,COLUMN('1-DATA'!H244)),ROUND(INDEX('1-DATA'!$1:$1048576,IF(OR($B246="STD. DEVIATION",$C$1=1),$A246,$A246+1),COLUMN('1-DATA'!H244)),IF($B246="STD. DEVIATION",2,$F$1))))</f>
        <v/>
      </c>
      <c r="J246" s="1" t="str">
        <f>IF(OR($B246="",J$7=""),"",IF($B246="MEANS",INDEX('1-DATA'!$1:$1048576,$A245-1,COLUMN('1-DATA'!I244)),ROUND(INDEX('1-DATA'!$1:$1048576,IF(OR($B246="STD. DEVIATION",$C$1=1),$A246,$A246+1),COLUMN('1-DATA'!I244)),IF($B246="STD. DEVIATION",2,$F$1))))</f>
        <v/>
      </c>
      <c r="K246" s="1" t="str">
        <f>IF(OR($B246="",K$7=""),"",IF($B246="MEANS",INDEX('1-DATA'!$1:$1048576,$A245-1,COLUMN('1-DATA'!J244)),ROUND(INDEX('1-DATA'!$1:$1048576,IF(OR($B246="STD. DEVIATION",$C$1=1),$A246,$A246+1),COLUMN('1-DATA'!J244)),IF($B246="STD. DEVIATION",2,$F$1))))</f>
        <v/>
      </c>
      <c r="L246" s="1" t="str">
        <f>IF(OR($B246="",L$7=""),"",IF($B246="MEANS",INDEX('1-DATA'!$1:$1048576,$A245-1,COLUMN('1-DATA'!K244)),ROUND(INDEX('1-DATA'!$1:$1048576,IF(OR($B246="STD. DEVIATION",$C$1=1),$A246,$A246+1),COLUMN('1-DATA'!K244)),IF($B246="STD. DEVIATION",2,$F$1))))</f>
        <v/>
      </c>
      <c r="M246" s="1" t="str">
        <f>IF(OR($B246="",M$7=""),"",IF($B246="MEANS",INDEX('1-DATA'!$1:$1048576,$A245-1,COLUMN('1-DATA'!L244)),ROUND(INDEX('1-DATA'!$1:$1048576,IF(OR($B246="STD. DEVIATION",$C$1=1),$A246,$A246+1),COLUMN('1-DATA'!L244)),IF($B246="STD. DEVIATION",2,$F$1))))</f>
        <v/>
      </c>
      <c r="N246" s="1" t="str">
        <f>IF(OR($B246="",N$7=""),"",IF($B246="MEANS",INDEX('1-DATA'!$1:$1048576,$A245-1,COLUMN('1-DATA'!M244)),ROUND(INDEX('1-DATA'!$1:$1048576,IF(OR($B246="STD. DEVIATION",$C$1=1),$A246,$A246+1),COLUMN('1-DATA'!M244)),IF($B246="STD. DEVIATION",2,$F$1))))</f>
        <v/>
      </c>
      <c r="O246" s="1" t="str">
        <f>IF(OR($B246="",O$7=""),"",IF($B246="MEANS",INDEX('1-DATA'!$1:$1048576,$A245-1,COLUMN('1-DATA'!N244)),ROUND(INDEX('1-DATA'!$1:$1048576,IF(OR($B246="STD. DEVIATION",$C$1=1),$A246,$A246+1),COLUMN('1-DATA'!N244)),IF($B246="STD. DEVIATION",2,$F$1))))</f>
        <v/>
      </c>
      <c r="P246" s="1" t="str">
        <f>IF(OR($B246="",P$7=""),"",IF($B246="MEANS",INDEX('1-DATA'!$1:$1048576,$A245-1,COLUMN('1-DATA'!O244)),ROUND(INDEX('1-DATA'!$1:$1048576,IF(OR($B246="STD. DEVIATION",$C$1=1),$A246,$A246+1),COLUMN('1-DATA'!O244)),IF($B246="STD. DEVIATION",2,$F$1))))</f>
        <v/>
      </c>
      <c r="Q246" s="1" t="str">
        <f>IF(OR($B246="",Q$7=""),"",IF($B246="MEANS",INDEX('1-DATA'!$1:$1048576,$A245-1,COLUMN('1-DATA'!P244)),ROUND(INDEX('1-DATA'!$1:$1048576,IF(OR($B246="STD. DEVIATION",$C$1=1),$A246,$A246+1),COLUMN('1-DATA'!P244)),IF($B246="STD. DEVIATION",2,$F$1))))</f>
        <v/>
      </c>
      <c r="R246" s="1" t="str">
        <f>IF(OR($B246="",R$7=""),"",IF($B246="MEANS",INDEX('1-DATA'!$1:$1048576,$A245-1,COLUMN('1-DATA'!Q244)),ROUND(INDEX('1-DATA'!$1:$1048576,IF(OR($B246="STD. DEVIATION",$C$1=1),$A246,$A246+1),COLUMN('1-DATA'!Q244)),IF($B246="STD. DEVIATION",2,$F$1))))</f>
        <v/>
      </c>
      <c r="S246" s="1" t="str">
        <f>IF(OR($B246="",S$7=""),"",IF($B246="MEANS",INDEX('1-DATA'!$1:$1048576,$A245-1,COLUMN('1-DATA'!R244)),ROUND(INDEX('1-DATA'!$1:$1048576,IF(OR($B246="STD. DEVIATION",$C$1=1),$A246,$A246+1),COLUMN('1-DATA'!R244)),IF($B246="STD. DEVIATION",2,$F$1))))</f>
        <v/>
      </c>
      <c r="T246" s="1" t="str">
        <f>IF(OR($B246="",T$7=""),"",IF($B246="MEANS",INDEX('1-DATA'!$1:$1048576,$A245-1,COLUMN('1-DATA'!S244)),ROUND(INDEX('1-DATA'!$1:$1048576,IF(OR($B246="STD. DEVIATION",$C$1=1),$A246,$A246+1),COLUMN('1-DATA'!S244)),IF($B246="STD. DEVIATION",2,$F$1))))</f>
        <v/>
      </c>
      <c r="U246" s="1" t="str">
        <f>IF(OR($B246="",U$7=""),"",IF($B246="MEANS",INDEX('1-DATA'!$1:$1048576,$A245-1,COLUMN('1-DATA'!T244)),ROUND(INDEX('1-DATA'!$1:$1048576,IF(OR($B246="STD. DEVIATION",$C$1=1),$A246,$A246+1),COLUMN('1-DATA'!T244)),IF($B246="STD. DEVIATION",2,$F$1))))</f>
        <v/>
      </c>
      <c r="V246" s="1" t="str">
        <f>IF(OR($B246="",V$7=""),"",IF($B246="MEANS",INDEX('1-DATA'!$1:$1048576,$A245-1,COLUMN('1-DATA'!U244)),ROUND(INDEX('1-DATA'!$1:$1048576,IF(OR($B246="STD. DEVIATION",$C$1=1),$A246,$A246+1),COLUMN('1-DATA'!U244)),IF($B246="STD. DEVIATION",2,$F$1))))</f>
        <v/>
      </c>
      <c r="W246" s="1" t="str">
        <f>IF(OR($B246="",W$7=""),"",IF($B246="MEANS",INDEX('1-DATA'!$1:$1048576,$A245-1,COLUMN('1-DATA'!V244)),ROUND(INDEX('1-DATA'!$1:$1048576,IF(OR($B246="STD. DEVIATION",$C$1=1),$A246,$A246+1),COLUMN('1-DATA'!V244)),IF($B246="STD. DEVIATION",2,$F$1))))</f>
        <v/>
      </c>
      <c r="X246" s="1" t="str">
        <f>IF(OR($B246="",X$7=""),"",IF($B246="MEANS",INDEX('1-DATA'!$1:$1048576,$A245-1,COLUMN('1-DATA'!W244)),ROUND(INDEX('1-DATA'!$1:$1048576,IF(OR($B246="STD. DEVIATION",$C$1=1),$A246,$A246+1),COLUMN('1-DATA'!W244)),IF($B246="STD. DEVIATION",2,$F$1))))</f>
        <v/>
      </c>
      <c r="Y246" s="1" t="str">
        <f>IF(OR($B246="",Y$7=""),"",IF($B246="MEANS",INDEX('1-DATA'!$1:$1048576,$A245-1,COLUMN('1-DATA'!X244)),ROUND(INDEX('1-DATA'!$1:$1048576,IF(OR($B246="STD. DEVIATION",$C$1=1),$A246,$A246+1),COLUMN('1-DATA'!X244)),IF($B246="STD. DEVIATION",2,$F$1))))</f>
        <v/>
      </c>
      <c r="Z246" s="1" t="str">
        <f>IF(OR($B246="",Z$7=""),"",IF($B246="MEANS",INDEX('1-DATA'!$1:$1048576,$A245-1,COLUMN('1-DATA'!Y244)),ROUND(INDEX('1-DATA'!$1:$1048576,IF(OR($B246="STD. DEVIATION",$C$1=1),$A246,$A246+1),COLUMN('1-DATA'!Y244)),IF($B246="STD. DEVIATION",2,$F$1))))</f>
        <v/>
      </c>
      <c r="AA246" s="1" t="str">
        <f>IF(OR($B246="",AA$7=""),"",IF($B246="MEANS",INDEX('1-DATA'!$1:$1048576,$A245-1,COLUMN('1-DATA'!Z244)),ROUND(INDEX('1-DATA'!$1:$1048576,IF(OR($B246="STD. DEVIATION",$C$1=1),$A246,$A246+1),COLUMN('1-DATA'!Z244)),IF($B246="STD. DEVIATION",2,$F$1))))</f>
        <v/>
      </c>
      <c r="AB246" s="1" t="str">
        <f>IF(OR($B246="",AB$7=""),"",IF($B246="MEANS",INDEX('1-DATA'!$1:$1048576,$A245-1,COLUMN('1-DATA'!AA244)),ROUND(INDEX('1-DATA'!$1:$1048576,IF(OR($B246="STD. DEVIATION",$C$1=1),$A246,$A246+1),COLUMN('1-DATA'!AA244)),IF($B246="STD. DEVIATION",2,$F$1))))</f>
        <v/>
      </c>
      <c r="AC246" s="1" t="str">
        <f>IF(OR($B246="",AC$7=""),"",IF($B246="MEANS",INDEX('1-DATA'!$1:$1048576,$A245-1,COLUMN('1-DATA'!AB244)),ROUND(INDEX('1-DATA'!$1:$1048576,IF(OR($B246="STD. DEVIATION",$C$1=1),$A246,$A246+1),COLUMN('1-DATA'!AB244)),IF($B246="STD. DEVIATION",2,$F$1))))</f>
        <v/>
      </c>
      <c r="AD246" s="1" t="str">
        <f>IF(OR($B246="",AD$7=""),"",IF($B246="MEANS",INDEX('1-DATA'!$1:$1048576,$A245-1,COLUMN('1-DATA'!AC244)),ROUND(INDEX('1-DATA'!$1:$1048576,IF(OR($B246="STD. DEVIATION",$C$1=1),$A246,$A246+1),COLUMN('1-DATA'!AC244)),IF($B246="STD. DEVIATION",2,$F$1))))</f>
        <v/>
      </c>
      <c r="AE246" s="1" t="str">
        <f>IF(OR($B246="",AE$7=""),"",IF($B246="MEANS",INDEX('1-DATA'!$1:$1048576,$A245-1,COLUMN('1-DATA'!AD244)),ROUND(INDEX('1-DATA'!$1:$1048576,IF(OR($B246="STD. DEVIATION",$C$1=1),$A246,$A246+1),COLUMN('1-DATA'!AD244)),IF($B246="STD. DEVIATION",2,$F$1))))</f>
        <v/>
      </c>
      <c r="AF246" s="1" t="str">
        <f>IF(OR($B246="",AF$7=""),"",IF($B246="MEANS",INDEX('1-DATA'!$1:$1048576,$A245-1,COLUMN('1-DATA'!AE244)),ROUND(INDEX('1-DATA'!$1:$1048576,IF(OR($B246="STD. DEVIATION",$C$1=1),$A246,$A246+1),COLUMN('1-DATA'!AE244)),IF($B246="STD. DEVIATION",2,$F$1))))</f>
        <v/>
      </c>
      <c r="AG246" s="1" t="str">
        <f>IF(OR($B246="",AG$7=""),"",IF($B246="MEANS",INDEX('1-DATA'!$1:$1048576,$A245-1,COLUMN('1-DATA'!AF244)),ROUND(INDEX('1-DATA'!$1:$1048576,IF(OR($B246="STD. DEVIATION",$C$1=1),$A246,$A246+1),COLUMN('1-DATA'!AF244)),IF($B246="STD. DEVIATION",2,$F$1))))</f>
        <v/>
      </c>
      <c r="AH246" s="1" t="str">
        <f>IF(OR($B246="",AH$7=""),"",IF($B246="MEANS",INDEX('1-DATA'!$1:$1048576,$A245-1,COLUMN('1-DATA'!AG244)),ROUND(INDEX('1-DATA'!$1:$1048576,IF(OR($B246="STD. DEVIATION",$C$1=1),$A246,$A246+1),COLUMN('1-DATA'!AG244)),IF($B246="STD. DEVIATION",2,$F$1))))</f>
        <v/>
      </c>
      <c r="AI246" s="1" t="str">
        <f>IF(OR($B246="",AI$7=""),"",IF($B246="MEANS",INDEX('1-DATA'!$1:$1048576,$A245-1,COLUMN('1-DATA'!AH244)),ROUND(INDEX('1-DATA'!$1:$1048576,IF(OR($B246="STD. DEVIATION",$C$1=1),$A246,$A246+1),COLUMN('1-DATA'!AH244)),IF($B246="STD. DEVIATION",2,$F$1))))</f>
        <v/>
      </c>
      <c r="AJ246" s="1" t="str">
        <f>IF(OR($B246="",AJ$7=""),"",IF($B246="MEANS",INDEX('1-DATA'!$1:$1048576,$A245-1,COLUMN('1-DATA'!AI244)),ROUND(INDEX('1-DATA'!$1:$1048576,IF(OR($B246="STD. DEVIATION",$C$1=1),$A246,$A246+1),COLUMN('1-DATA'!AI244)),IF($B246="STD. DEVIATION",2,$F$1))))</f>
        <v/>
      </c>
      <c r="AK246" s="1" t="str">
        <f>IF(OR($B246="",AK$7=""),"",IF($B246="MEANS",INDEX('1-DATA'!$1:$1048576,$A245-1,COLUMN('1-DATA'!AJ244)),ROUND(INDEX('1-DATA'!$1:$1048576,IF(OR($B246="STD. DEVIATION",$C$1=1),$A246,$A246+1),COLUMN('1-DATA'!AJ244)),IF($B246="STD. DEVIATION",2,$F$1))))</f>
        <v/>
      </c>
      <c r="AL246" s="1" t="str">
        <f>IF(OR($B246="",AL$7=""),"",IF($B246="MEANS",INDEX('1-DATA'!$1:$1048576,$A245-1,COLUMN('1-DATA'!AK244)),ROUND(INDEX('1-DATA'!$1:$1048576,IF(OR($B246="STD. DEVIATION",$C$1=1),$A246,$A246+1),COLUMN('1-DATA'!AK244)),IF($B246="STD. DEVIATION",2,$F$1))))</f>
        <v/>
      </c>
      <c r="AM246" s="1" t="str">
        <f>IF(OR($B246="",AM$7=""),"",IF($B246="MEANS",INDEX('1-DATA'!$1:$1048576,$A245-1,COLUMN('1-DATA'!AL244)),ROUND(INDEX('1-DATA'!$1:$1048576,IF(OR($B246="STD. DEVIATION",$C$1=1),$A246,$A246+1),COLUMN('1-DATA'!AL244)),IF($B246="STD. DEVIATION",2,$F$1))))</f>
        <v/>
      </c>
      <c r="AN246" s="1" t="str">
        <f>IF(OR($B246="",AN$7=""),"",IF($B246="MEANS",INDEX('1-DATA'!$1:$1048576,$A245-1,COLUMN('1-DATA'!AM244)),ROUND(INDEX('1-DATA'!$1:$1048576,IF(OR($B246="STD. DEVIATION",$C$1=1),$A246,$A246+1),COLUMN('1-DATA'!AM244)),IF($B246="STD. DEVIATION",2,$F$1))))</f>
        <v/>
      </c>
      <c r="AO246" s="1" t="str">
        <f>IF(OR($B246="",AO$7=""),"",IF($B246="MEANS",INDEX('1-DATA'!$1:$1048576,$A245-1,COLUMN('1-DATA'!AN244)),ROUND(INDEX('1-DATA'!$1:$1048576,IF(OR($B246="STD. DEVIATION",$C$1=1),$A246,$A246+1),COLUMN('1-DATA'!AN244)),IF($B246="STD. DEVIATION",2,$F$1))))</f>
        <v/>
      </c>
      <c r="AP246" s="1" t="str">
        <f>IF(OR($B246="",AP$7=""),"",IF($B246="MEANS",INDEX('1-DATA'!$1:$1048576,$A245-1,COLUMN('1-DATA'!AO244)),ROUND(INDEX('1-DATA'!$1:$1048576,IF(OR($B246="STD. DEVIATION",$C$1=1),$A246,$A246+1),COLUMN('1-DATA'!AO244)),IF($B246="STD. DEVIATION",2,$F$1))))</f>
        <v/>
      </c>
      <c r="AQ246" s="1" t="str">
        <f>IF(OR($B246="",AQ$7=""),"",IF($B246="MEANS",INDEX('1-DATA'!$1:$1048576,$A245-1,COLUMN('1-DATA'!AP244)),ROUND(INDEX('1-DATA'!$1:$1048576,IF(OR($B246="STD. DEVIATION",$C$1=1),$A246,$A246+1),COLUMN('1-DATA'!AP244)),IF($B246="STD. DEVIATION",2,$F$1))))</f>
        <v/>
      </c>
      <c r="AR246" s="1" t="str">
        <f>IF(OR($B246="",AR$7=""),"",IF($B246="MEANS",INDEX('1-DATA'!$1:$1048576,$A245-1,COLUMN('1-DATA'!AQ244)),ROUND(INDEX('1-DATA'!$1:$1048576,IF(OR($B246="STD. DEVIATION",$C$1=1),$A246,$A246+1),COLUMN('1-DATA'!AQ244)),IF($B246="STD. DEVIATION",2,$F$1))))</f>
        <v/>
      </c>
      <c r="AS246" s="1" t="str">
        <f>IF(OR($B246="",AS$7=""),"",IF($B246="MEANS",INDEX('1-DATA'!$1:$1048576,$A245-1,COLUMN('1-DATA'!AR244)),ROUND(INDEX('1-DATA'!$1:$1048576,IF(OR($B246="STD. DEVIATION",$C$1=1),$A246,$A246+1),COLUMN('1-DATA'!AR244)),IF($B246="STD. DEVIATION",2,$F$1))))</f>
        <v/>
      </c>
      <c r="AT246" s="1" t="str">
        <f>IF(OR($B246="",AT$7=""),"",IF($B246="MEANS",INDEX('1-DATA'!$1:$1048576,$A245-1,COLUMN('1-DATA'!AS244)),ROUND(INDEX('1-DATA'!$1:$1048576,IF(OR($B246="STD. DEVIATION",$C$1=1),$A246,$A246+1),COLUMN('1-DATA'!AS244)),IF($B246="STD. DEVIATION",2,$F$1))))</f>
        <v/>
      </c>
      <c r="AU246" s="1" t="str">
        <f>IF(OR($B246="",AU$7=""),"",IF($B246="MEANS",INDEX('1-DATA'!$1:$1048576,$A245-1,COLUMN('1-DATA'!AT244)),ROUND(INDEX('1-DATA'!$1:$1048576,IF(OR($B246="STD. DEVIATION",$C$1=1),$A246,$A246+1),COLUMN('1-DATA'!AT244)),IF($B246="STD. DEVIATION",2,$F$1))))</f>
        <v/>
      </c>
      <c r="AV246" s="1" t="str">
        <f>IF(OR($B246="",AV$7=""),"",IF($B246="MEANS",INDEX('1-DATA'!$1:$1048576,$A245-1,COLUMN('1-DATA'!AU244)),ROUND(INDEX('1-DATA'!$1:$1048576,IF(OR($B246="STD. DEVIATION",$C$1=1),$A246,$A246+1),COLUMN('1-DATA'!AU244)),IF($B246="STD. DEVIATION",2,$F$1))))</f>
        <v/>
      </c>
      <c r="AW246" s="1" t="str">
        <f>IF(OR($B246="",AW$7=""),"",IF($B246="MEANS",INDEX('1-DATA'!$1:$1048576,$A245-1,COLUMN('1-DATA'!AV244)),ROUND(INDEX('1-DATA'!$1:$1048576,IF(OR($B246="STD. DEVIATION",$C$1=1),$A246,$A246+1),COLUMN('1-DATA'!AV244)),IF($B246="STD. DEVIATION",2,$F$1))))</f>
        <v/>
      </c>
      <c r="AX246" s="1" t="str">
        <f>IF(OR($B246="",AX$7=""),"",IF($B246="MEANS",INDEX('1-DATA'!$1:$1048576,$A245-1,COLUMN('1-DATA'!AW244)),ROUND(INDEX('1-DATA'!$1:$1048576,IF(OR($B246="STD. DEVIATION",$C$1=1),$A246,$A246+1),COLUMN('1-DATA'!AW244)),IF($B246="STD. DEVIATION",2,$F$1))))</f>
        <v/>
      </c>
      <c r="AY246" s="1" t="str">
        <f>IF(OR($B246="",AY$7=""),"",IF($B246="MEANS",INDEX('1-DATA'!$1:$1048576,$A245-1,COLUMN('1-DATA'!AX244)),ROUND(INDEX('1-DATA'!$1:$1048576,IF(OR($B246="STD. DEVIATION",$C$1=1),$A246,$A246+1),COLUMN('1-DATA'!AX244)),IF($B246="STD. DEVIATION",2,$F$1))))</f>
        <v/>
      </c>
      <c r="AZ246" s="1" t="str">
        <f>IF(OR($B246="",AZ$7=""),"",IF($B246="MEANS",INDEX('1-DATA'!$1:$1048576,$A245-1,COLUMN('1-DATA'!AY244)),ROUND(INDEX('1-DATA'!$1:$1048576,IF(OR($B246="STD. DEVIATION",$C$1=1),$A246,$A246+1),COLUMN('1-DATA'!AY244)),IF($B246="STD. DEVIATION",2,$F$1))))</f>
        <v/>
      </c>
    </row>
    <row r="247" spans="1:52" x14ac:dyDescent="0.25">
      <c r="A247" s="11">
        <f t="shared" si="4"/>
        <v>727</v>
      </c>
      <c r="B247" s="1" t="str">
        <f>IF(B246="STD. DEVIATION",INDEX('1-DATA'!$1:$1048576,$A246-1,1),IF(INDEX('1-DATA'!$1:$1048576,$A247,1)&lt;&gt;"",INDEX('1-DATA'!$1:$1048576,$A247,1),""))</f>
        <v/>
      </c>
      <c r="C247" s="1" t="str">
        <f>IF(OR($B247="",C$7=""),"",IF($B247="MEANS",INDEX('1-DATA'!$1:$1048576,$A246-1,COLUMN('1-DATA'!B245)),ROUND(INDEX('1-DATA'!$1:$1048576,IF(OR($B247="STD. DEVIATION",$C$1=1),$A247,$A247+1),COLUMN('1-DATA'!B245)),IF($B247="STD. DEVIATION",2,$F$1))))</f>
        <v/>
      </c>
      <c r="D247" s="1" t="str">
        <f>IF(OR($B247="",D$7=""),"",IF($B247="MEANS",INDEX('1-DATA'!$1:$1048576,$A246-1,COLUMN('1-DATA'!C245)),ROUND(INDEX('1-DATA'!$1:$1048576,IF(OR($B247="STD. DEVIATION",$C$1=1),$A247,$A247+1),COLUMN('1-DATA'!C245)),IF($B247="STD. DEVIATION",2,$F$1))))</f>
        <v/>
      </c>
      <c r="E247" s="1" t="str">
        <f>IF(OR($B247="",E$7=""),"",IF($B247="MEANS",INDEX('1-DATA'!$1:$1048576,$A246-1,COLUMN('1-DATA'!D245)),ROUND(INDEX('1-DATA'!$1:$1048576,IF(OR($B247="STD. DEVIATION",$C$1=1),$A247,$A247+1),COLUMN('1-DATA'!D245)),IF($B247="STD. DEVIATION",2,$F$1))))</f>
        <v/>
      </c>
      <c r="F247" s="1" t="str">
        <f>IF(OR($B247="",F$7=""),"",IF($B247="MEANS",INDEX('1-DATA'!$1:$1048576,$A246-1,COLUMN('1-DATA'!E245)),ROUND(INDEX('1-DATA'!$1:$1048576,IF(OR($B247="STD. DEVIATION",$C$1=1),$A247,$A247+1),COLUMN('1-DATA'!E245)),IF($B247="STD. DEVIATION",2,$F$1))))</f>
        <v/>
      </c>
      <c r="G247" s="1" t="str">
        <f>IF(OR($B247="",G$7=""),"",IF($B247="MEANS",INDEX('1-DATA'!$1:$1048576,$A246-1,COLUMN('1-DATA'!F245)),ROUND(INDEX('1-DATA'!$1:$1048576,IF(OR($B247="STD. DEVIATION",$C$1=1),$A247,$A247+1),COLUMN('1-DATA'!F245)),IF($B247="STD. DEVIATION",2,$F$1))))</f>
        <v/>
      </c>
      <c r="H247" s="1" t="str">
        <f>IF(OR($B247="",H$7=""),"",IF($B247="MEANS",INDEX('1-DATA'!$1:$1048576,$A246-1,COLUMN('1-DATA'!G245)),ROUND(INDEX('1-DATA'!$1:$1048576,IF(OR($B247="STD. DEVIATION",$C$1=1),$A247,$A247+1),COLUMN('1-DATA'!G245)),IF($B247="STD. DEVIATION",2,$F$1))))</f>
        <v/>
      </c>
      <c r="I247" s="1" t="str">
        <f>IF(OR($B247="",I$7=""),"",IF($B247="MEANS",INDEX('1-DATA'!$1:$1048576,$A246-1,COLUMN('1-DATA'!H245)),ROUND(INDEX('1-DATA'!$1:$1048576,IF(OR($B247="STD. DEVIATION",$C$1=1),$A247,$A247+1),COLUMN('1-DATA'!H245)),IF($B247="STD. DEVIATION",2,$F$1))))</f>
        <v/>
      </c>
      <c r="J247" s="1" t="str">
        <f>IF(OR($B247="",J$7=""),"",IF($B247="MEANS",INDEX('1-DATA'!$1:$1048576,$A246-1,COLUMN('1-DATA'!I245)),ROUND(INDEX('1-DATA'!$1:$1048576,IF(OR($B247="STD. DEVIATION",$C$1=1),$A247,$A247+1),COLUMN('1-DATA'!I245)),IF($B247="STD. DEVIATION",2,$F$1))))</f>
        <v/>
      </c>
      <c r="K247" s="1" t="str">
        <f>IF(OR($B247="",K$7=""),"",IF($B247="MEANS",INDEX('1-DATA'!$1:$1048576,$A246-1,COLUMN('1-DATA'!J245)),ROUND(INDEX('1-DATA'!$1:$1048576,IF(OR($B247="STD. DEVIATION",$C$1=1),$A247,$A247+1),COLUMN('1-DATA'!J245)),IF($B247="STD. DEVIATION",2,$F$1))))</f>
        <v/>
      </c>
      <c r="L247" s="1" t="str">
        <f>IF(OR($B247="",L$7=""),"",IF($B247="MEANS",INDEX('1-DATA'!$1:$1048576,$A246-1,COLUMN('1-DATA'!K245)),ROUND(INDEX('1-DATA'!$1:$1048576,IF(OR($B247="STD. DEVIATION",$C$1=1),$A247,$A247+1),COLUMN('1-DATA'!K245)),IF($B247="STD. DEVIATION",2,$F$1))))</f>
        <v/>
      </c>
      <c r="M247" s="1" t="str">
        <f>IF(OR($B247="",M$7=""),"",IF($B247="MEANS",INDEX('1-DATA'!$1:$1048576,$A246-1,COLUMN('1-DATA'!L245)),ROUND(INDEX('1-DATA'!$1:$1048576,IF(OR($B247="STD. DEVIATION",$C$1=1),$A247,$A247+1),COLUMN('1-DATA'!L245)),IF($B247="STD. DEVIATION",2,$F$1))))</f>
        <v/>
      </c>
      <c r="N247" s="1" t="str">
        <f>IF(OR($B247="",N$7=""),"",IF($B247="MEANS",INDEX('1-DATA'!$1:$1048576,$A246-1,COLUMN('1-DATA'!M245)),ROUND(INDEX('1-DATA'!$1:$1048576,IF(OR($B247="STD. DEVIATION",$C$1=1),$A247,$A247+1),COLUMN('1-DATA'!M245)),IF($B247="STD. DEVIATION",2,$F$1))))</f>
        <v/>
      </c>
      <c r="O247" s="1" t="str">
        <f>IF(OR($B247="",O$7=""),"",IF($B247="MEANS",INDEX('1-DATA'!$1:$1048576,$A246-1,COLUMN('1-DATA'!N245)),ROUND(INDEX('1-DATA'!$1:$1048576,IF(OR($B247="STD. DEVIATION",$C$1=1),$A247,$A247+1),COLUMN('1-DATA'!N245)),IF($B247="STD. DEVIATION",2,$F$1))))</f>
        <v/>
      </c>
      <c r="P247" s="1" t="str">
        <f>IF(OR($B247="",P$7=""),"",IF($B247="MEANS",INDEX('1-DATA'!$1:$1048576,$A246-1,COLUMN('1-DATA'!O245)),ROUND(INDEX('1-DATA'!$1:$1048576,IF(OR($B247="STD. DEVIATION",$C$1=1),$A247,$A247+1),COLUMN('1-DATA'!O245)),IF($B247="STD. DEVIATION",2,$F$1))))</f>
        <v/>
      </c>
      <c r="Q247" s="1" t="str">
        <f>IF(OR($B247="",Q$7=""),"",IF($B247="MEANS",INDEX('1-DATA'!$1:$1048576,$A246-1,COLUMN('1-DATA'!P245)),ROUND(INDEX('1-DATA'!$1:$1048576,IF(OR($B247="STD. DEVIATION",$C$1=1),$A247,$A247+1),COLUMN('1-DATA'!P245)),IF($B247="STD. DEVIATION",2,$F$1))))</f>
        <v/>
      </c>
      <c r="R247" s="1" t="str">
        <f>IF(OR($B247="",R$7=""),"",IF($B247="MEANS",INDEX('1-DATA'!$1:$1048576,$A246-1,COLUMN('1-DATA'!Q245)),ROUND(INDEX('1-DATA'!$1:$1048576,IF(OR($B247="STD. DEVIATION",$C$1=1),$A247,$A247+1),COLUMN('1-DATA'!Q245)),IF($B247="STD. DEVIATION",2,$F$1))))</f>
        <v/>
      </c>
      <c r="S247" s="1" t="str">
        <f>IF(OR($B247="",S$7=""),"",IF($B247="MEANS",INDEX('1-DATA'!$1:$1048576,$A246-1,COLUMN('1-DATA'!R245)),ROUND(INDEX('1-DATA'!$1:$1048576,IF(OR($B247="STD. DEVIATION",$C$1=1),$A247,$A247+1),COLUMN('1-DATA'!R245)),IF($B247="STD. DEVIATION",2,$F$1))))</f>
        <v/>
      </c>
      <c r="T247" s="1" t="str">
        <f>IF(OR($B247="",T$7=""),"",IF($B247="MEANS",INDEX('1-DATA'!$1:$1048576,$A246-1,COLUMN('1-DATA'!S245)),ROUND(INDEX('1-DATA'!$1:$1048576,IF(OR($B247="STD. DEVIATION",$C$1=1),$A247,$A247+1),COLUMN('1-DATA'!S245)),IF($B247="STD. DEVIATION",2,$F$1))))</f>
        <v/>
      </c>
      <c r="U247" s="1" t="str">
        <f>IF(OR($B247="",U$7=""),"",IF($B247="MEANS",INDEX('1-DATA'!$1:$1048576,$A246-1,COLUMN('1-DATA'!T245)),ROUND(INDEX('1-DATA'!$1:$1048576,IF(OR($B247="STD. DEVIATION",$C$1=1),$A247,$A247+1),COLUMN('1-DATA'!T245)),IF($B247="STD. DEVIATION",2,$F$1))))</f>
        <v/>
      </c>
      <c r="V247" s="1" t="str">
        <f>IF(OR($B247="",V$7=""),"",IF($B247="MEANS",INDEX('1-DATA'!$1:$1048576,$A246-1,COLUMN('1-DATA'!U245)),ROUND(INDEX('1-DATA'!$1:$1048576,IF(OR($B247="STD. DEVIATION",$C$1=1),$A247,$A247+1),COLUMN('1-DATA'!U245)),IF($B247="STD. DEVIATION",2,$F$1))))</f>
        <v/>
      </c>
      <c r="W247" s="1" t="str">
        <f>IF(OR($B247="",W$7=""),"",IF($B247="MEANS",INDEX('1-DATA'!$1:$1048576,$A246-1,COLUMN('1-DATA'!V245)),ROUND(INDEX('1-DATA'!$1:$1048576,IF(OR($B247="STD. DEVIATION",$C$1=1),$A247,$A247+1),COLUMN('1-DATA'!V245)),IF($B247="STD. DEVIATION",2,$F$1))))</f>
        <v/>
      </c>
      <c r="X247" s="1" t="str">
        <f>IF(OR($B247="",X$7=""),"",IF($B247="MEANS",INDEX('1-DATA'!$1:$1048576,$A246-1,COLUMN('1-DATA'!W245)),ROUND(INDEX('1-DATA'!$1:$1048576,IF(OR($B247="STD. DEVIATION",$C$1=1),$A247,$A247+1),COLUMN('1-DATA'!W245)),IF($B247="STD. DEVIATION",2,$F$1))))</f>
        <v/>
      </c>
      <c r="Y247" s="1" t="str">
        <f>IF(OR($B247="",Y$7=""),"",IF($B247="MEANS",INDEX('1-DATA'!$1:$1048576,$A246-1,COLUMN('1-DATA'!X245)),ROUND(INDEX('1-DATA'!$1:$1048576,IF(OR($B247="STD. DEVIATION",$C$1=1),$A247,$A247+1),COLUMN('1-DATA'!X245)),IF($B247="STD. DEVIATION",2,$F$1))))</f>
        <v/>
      </c>
      <c r="Z247" s="1" t="str">
        <f>IF(OR($B247="",Z$7=""),"",IF($B247="MEANS",INDEX('1-DATA'!$1:$1048576,$A246-1,COLUMN('1-DATA'!Y245)),ROUND(INDEX('1-DATA'!$1:$1048576,IF(OR($B247="STD. DEVIATION",$C$1=1),$A247,$A247+1),COLUMN('1-DATA'!Y245)),IF($B247="STD. DEVIATION",2,$F$1))))</f>
        <v/>
      </c>
      <c r="AA247" s="1" t="str">
        <f>IF(OR($B247="",AA$7=""),"",IF($B247="MEANS",INDEX('1-DATA'!$1:$1048576,$A246-1,COLUMN('1-DATA'!Z245)),ROUND(INDEX('1-DATA'!$1:$1048576,IF(OR($B247="STD. DEVIATION",$C$1=1),$A247,$A247+1),COLUMN('1-DATA'!Z245)),IF($B247="STD. DEVIATION",2,$F$1))))</f>
        <v/>
      </c>
      <c r="AB247" s="1" t="str">
        <f>IF(OR($B247="",AB$7=""),"",IF($B247="MEANS",INDEX('1-DATA'!$1:$1048576,$A246-1,COLUMN('1-DATA'!AA245)),ROUND(INDEX('1-DATA'!$1:$1048576,IF(OR($B247="STD. DEVIATION",$C$1=1),$A247,$A247+1),COLUMN('1-DATA'!AA245)),IF($B247="STD. DEVIATION",2,$F$1))))</f>
        <v/>
      </c>
      <c r="AC247" s="1" t="str">
        <f>IF(OR($B247="",AC$7=""),"",IF($B247="MEANS",INDEX('1-DATA'!$1:$1048576,$A246-1,COLUMN('1-DATA'!AB245)),ROUND(INDEX('1-DATA'!$1:$1048576,IF(OR($B247="STD. DEVIATION",$C$1=1),$A247,$A247+1),COLUMN('1-DATA'!AB245)),IF($B247="STD. DEVIATION",2,$F$1))))</f>
        <v/>
      </c>
      <c r="AD247" s="1" t="str">
        <f>IF(OR($B247="",AD$7=""),"",IF($B247="MEANS",INDEX('1-DATA'!$1:$1048576,$A246-1,COLUMN('1-DATA'!AC245)),ROUND(INDEX('1-DATA'!$1:$1048576,IF(OR($B247="STD. DEVIATION",$C$1=1),$A247,$A247+1),COLUMN('1-DATA'!AC245)),IF($B247="STD. DEVIATION",2,$F$1))))</f>
        <v/>
      </c>
      <c r="AE247" s="1" t="str">
        <f>IF(OR($B247="",AE$7=""),"",IF($B247="MEANS",INDEX('1-DATA'!$1:$1048576,$A246-1,COLUMN('1-DATA'!AD245)),ROUND(INDEX('1-DATA'!$1:$1048576,IF(OR($B247="STD. DEVIATION",$C$1=1),$A247,$A247+1),COLUMN('1-DATA'!AD245)),IF($B247="STD. DEVIATION",2,$F$1))))</f>
        <v/>
      </c>
      <c r="AF247" s="1" t="str">
        <f>IF(OR($B247="",AF$7=""),"",IF($B247="MEANS",INDEX('1-DATA'!$1:$1048576,$A246-1,COLUMN('1-DATA'!AE245)),ROUND(INDEX('1-DATA'!$1:$1048576,IF(OR($B247="STD. DEVIATION",$C$1=1),$A247,$A247+1),COLUMN('1-DATA'!AE245)),IF($B247="STD. DEVIATION",2,$F$1))))</f>
        <v/>
      </c>
      <c r="AG247" s="1" t="str">
        <f>IF(OR($B247="",AG$7=""),"",IF($B247="MEANS",INDEX('1-DATA'!$1:$1048576,$A246-1,COLUMN('1-DATA'!AF245)),ROUND(INDEX('1-DATA'!$1:$1048576,IF(OR($B247="STD. DEVIATION",$C$1=1),$A247,$A247+1),COLUMN('1-DATA'!AF245)),IF($B247="STD. DEVIATION",2,$F$1))))</f>
        <v/>
      </c>
      <c r="AH247" s="1" t="str">
        <f>IF(OR($B247="",AH$7=""),"",IF($B247="MEANS",INDEX('1-DATA'!$1:$1048576,$A246-1,COLUMN('1-DATA'!AG245)),ROUND(INDEX('1-DATA'!$1:$1048576,IF(OR($B247="STD. DEVIATION",$C$1=1),$A247,$A247+1),COLUMN('1-DATA'!AG245)),IF($B247="STD. DEVIATION",2,$F$1))))</f>
        <v/>
      </c>
      <c r="AI247" s="1" t="str">
        <f>IF(OR($B247="",AI$7=""),"",IF($B247="MEANS",INDEX('1-DATA'!$1:$1048576,$A246-1,COLUMN('1-DATA'!AH245)),ROUND(INDEX('1-DATA'!$1:$1048576,IF(OR($B247="STD. DEVIATION",$C$1=1),$A247,$A247+1),COLUMN('1-DATA'!AH245)),IF($B247="STD. DEVIATION",2,$F$1))))</f>
        <v/>
      </c>
      <c r="AJ247" s="1" t="str">
        <f>IF(OR($B247="",AJ$7=""),"",IF($B247="MEANS",INDEX('1-DATA'!$1:$1048576,$A246-1,COLUMN('1-DATA'!AI245)),ROUND(INDEX('1-DATA'!$1:$1048576,IF(OR($B247="STD. DEVIATION",$C$1=1),$A247,$A247+1),COLUMN('1-DATA'!AI245)),IF($B247="STD. DEVIATION",2,$F$1))))</f>
        <v/>
      </c>
      <c r="AK247" s="1" t="str">
        <f>IF(OR($B247="",AK$7=""),"",IF($B247="MEANS",INDEX('1-DATA'!$1:$1048576,$A246-1,COLUMN('1-DATA'!AJ245)),ROUND(INDEX('1-DATA'!$1:$1048576,IF(OR($B247="STD. DEVIATION",$C$1=1),$A247,$A247+1),COLUMN('1-DATA'!AJ245)),IF($B247="STD. DEVIATION",2,$F$1))))</f>
        <v/>
      </c>
      <c r="AL247" s="1" t="str">
        <f>IF(OR($B247="",AL$7=""),"",IF($B247="MEANS",INDEX('1-DATA'!$1:$1048576,$A246-1,COLUMN('1-DATA'!AK245)),ROUND(INDEX('1-DATA'!$1:$1048576,IF(OR($B247="STD. DEVIATION",$C$1=1),$A247,$A247+1),COLUMN('1-DATA'!AK245)),IF($B247="STD. DEVIATION",2,$F$1))))</f>
        <v/>
      </c>
      <c r="AM247" s="1" t="str">
        <f>IF(OR($B247="",AM$7=""),"",IF($B247="MEANS",INDEX('1-DATA'!$1:$1048576,$A246-1,COLUMN('1-DATA'!AL245)),ROUND(INDEX('1-DATA'!$1:$1048576,IF(OR($B247="STD. DEVIATION",$C$1=1),$A247,$A247+1),COLUMN('1-DATA'!AL245)),IF($B247="STD. DEVIATION",2,$F$1))))</f>
        <v/>
      </c>
      <c r="AN247" s="1" t="str">
        <f>IF(OR($B247="",AN$7=""),"",IF($B247="MEANS",INDEX('1-DATA'!$1:$1048576,$A246-1,COLUMN('1-DATA'!AM245)),ROUND(INDEX('1-DATA'!$1:$1048576,IF(OR($B247="STD. DEVIATION",$C$1=1),$A247,$A247+1),COLUMN('1-DATA'!AM245)),IF($B247="STD. DEVIATION",2,$F$1))))</f>
        <v/>
      </c>
      <c r="AO247" s="1" t="str">
        <f>IF(OR($B247="",AO$7=""),"",IF($B247="MEANS",INDEX('1-DATA'!$1:$1048576,$A246-1,COLUMN('1-DATA'!AN245)),ROUND(INDEX('1-DATA'!$1:$1048576,IF(OR($B247="STD. DEVIATION",$C$1=1),$A247,$A247+1),COLUMN('1-DATA'!AN245)),IF($B247="STD. DEVIATION",2,$F$1))))</f>
        <v/>
      </c>
      <c r="AP247" s="1" t="str">
        <f>IF(OR($B247="",AP$7=""),"",IF($B247="MEANS",INDEX('1-DATA'!$1:$1048576,$A246-1,COLUMN('1-DATA'!AO245)),ROUND(INDEX('1-DATA'!$1:$1048576,IF(OR($B247="STD. DEVIATION",$C$1=1),$A247,$A247+1),COLUMN('1-DATA'!AO245)),IF($B247="STD. DEVIATION",2,$F$1))))</f>
        <v/>
      </c>
      <c r="AQ247" s="1" t="str">
        <f>IF(OR($B247="",AQ$7=""),"",IF($B247="MEANS",INDEX('1-DATA'!$1:$1048576,$A246-1,COLUMN('1-DATA'!AP245)),ROUND(INDEX('1-DATA'!$1:$1048576,IF(OR($B247="STD. DEVIATION",$C$1=1),$A247,$A247+1),COLUMN('1-DATA'!AP245)),IF($B247="STD. DEVIATION",2,$F$1))))</f>
        <v/>
      </c>
      <c r="AR247" s="1" t="str">
        <f>IF(OR($B247="",AR$7=""),"",IF($B247="MEANS",INDEX('1-DATA'!$1:$1048576,$A246-1,COLUMN('1-DATA'!AQ245)),ROUND(INDEX('1-DATA'!$1:$1048576,IF(OR($B247="STD. DEVIATION",$C$1=1),$A247,$A247+1),COLUMN('1-DATA'!AQ245)),IF($B247="STD. DEVIATION",2,$F$1))))</f>
        <v/>
      </c>
      <c r="AS247" s="1" t="str">
        <f>IF(OR($B247="",AS$7=""),"",IF($B247="MEANS",INDEX('1-DATA'!$1:$1048576,$A246-1,COLUMN('1-DATA'!AR245)),ROUND(INDEX('1-DATA'!$1:$1048576,IF(OR($B247="STD. DEVIATION",$C$1=1),$A247,$A247+1),COLUMN('1-DATA'!AR245)),IF($B247="STD. DEVIATION",2,$F$1))))</f>
        <v/>
      </c>
      <c r="AT247" s="1" t="str">
        <f>IF(OR($B247="",AT$7=""),"",IF($B247="MEANS",INDEX('1-DATA'!$1:$1048576,$A246-1,COLUMN('1-DATA'!AS245)),ROUND(INDEX('1-DATA'!$1:$1048576,IF(OR($B247="STD. DEVIATION",$C$1=1),$A247,$A247+1),COLUMN('1-DATA'!AS245)),IF($B247="STD. DEVIATION",2,$F$1))))</f>
        <v/>
      </c>
      <c r="AU247" s="1" t="str">
        <f>IF(OR($B247="",AU$7=""),"",IF($B247="MEANS",INDEX('1-DATA'!$1:$1048576,$A246-1,COLUMN('1-DATA'!AT245)),ROUND(INDEX('1-DATA'!$1:$1048576,IF(OR($B247="STD. DEVIATION",$C$1=1),$A247,$A247+1),COLUMN('1-DATA'!AT245)),IF($B247="STD. DEVIATION",2,$F$1))))</f>
        <v/>
      </c>
      <c r="AV247" s="1" t="str">
        <f>IF(OR($B247="",AV$7=""),"",IF($B247="MEANS",INDEX('1-DATA'!$1:$1048576,$A246-1,COLUMN('1-DATA'!AU245)),ROUND(INDEX('1-DATA'!$1:$1048576,IF(OR($B247="STD. DEVIATION",$C$1=1),$A247,$A247+1),COLUMN('1-DATA'!AU245)),IF($B247="STD. DEVIATION",2,$F$1))))</f>
        <v/>
      </c>
      <c r="AW247" s="1" t="str">
        <f>IF(OR($B247="",AW$7=""),"",IF($B247="MEANS",INDEX('1-DATA'!$1:$1048576,$A246-1,COLUMN('1-DATA'!AV245)),ROUND(INDEX('1-DATA'!$1:$1048576,IF(OR($B247="STD. DEVIATION",$C$1=1),$A247,$A247+1),COLUMN('1-DATA'!AV245)),IF($B247="STD. DEVIATION",2,$F$1))))</f>
        <v/>
      </c>
      <c r="AX247" s="1" t="str">
        <f>IF(OR($B247="",AX$7=""),"",IF($B247="MEANS",INDEX('1-DATA'!$1:$1048576,$A246-1,COLUMN('1-DATA'!AW245)),ROUND(INDEX('1-DATA'!$1:$1048576,IF(OR($B247="STD. DEVIATION",$C$1=1),$A247,$A247+1),COLUMN('1-DATA'!AW245)),IF($B247="STD. DEVIATION",2,$F$1))))</f>
        <v/>
      </c>
      <c r="AY247" s="1" t="str">
        <f>IF(OR($B247="",AY$7=""),"",IF($B247="MEANS",INDEX('1-DATA'!$1:$1048576,$A246-1,COLUMN('1-DATA'!AX245)),ROUND(INDEX('1-DATA'!$1:$1048576,IF(OR($B247="STD. DEVIATION",$C$1=1),$A247,$A247+1),COLUMN('1-DATA'!AX245)),IF($B247="STD. DEVIATION",2,$F$1))))</f>
        <v/>
      </c>
      <c r="AZ247" s="1" t="str">
        <f>IF(OR($B247="",AZ$7=""),"",IF($B247="MEANS",INDEX('1-DATA'!$1:$1048576,$A246-1,COLUMN('1-DATA'!AY245)),ROUND(INDEX('1-DATA'!$1:$1048576,IF(OR($B247="STD. DEVIATION",$C$1=1),$A247,$A247+1),COLUMN('1-DATA'!AY245)),IF($B247="STD. DEVIATION",2,$F$1))))</f>
        <v/>
      </c>
    </row>
    <row r="248" spans="1:52" x14ac:dyDescent="0.25">
      <c r="A248" s="11">
        <f t="shared" si="4"/>
        <v>730</v>
      </c>
      <c r="B248" s="1" t="str">
        <f>IF(B247="STD. DEVIATION",INDEX('1-DATA'!$1:$1048576,$A247-1,1),IF(INDEX('1-DATA'!$1:$1048576,$A248,1)&lt;&gt;"",INDEX('1-DATA'!$1:$1048576,$A248,1),""))</f>
        <v/>
      </c>
      <c r="C248" s="1" t="str">
        <f>IF(OR($B248="",C$7=""),"",IF($B248="MEANS",INDEX('1-DATA'!$1:$1048576,$A247-1,COLUMN('1-DATA'!B246)),ROUND(INDEX('1-DATA'!$1:$1048576,IF(OR($B248="STD. DEVIATION",$C$1=1),$A248,$A248+1),COLUMN('1-DATA'!B246)),IF($B248="STD. DEVIATION",2,$F$1))))</f>
        <v/>
      </c>
      <c r="D248" s="1" t="str">
        <f>IF(OR($B248="",D$7=""),"",IF($B248="MEANS",INDEX('1-DATA'!$1:$1048576,$A247-1,COLUMN('1-DATA'!C246)),ROUND(INDEX('1-DATA'!$1:$1048576,IF(OR($B248="STD. DEVIATION",$C$1=1),$A248,$A248+1),COLUMN('1-DATA'!C246)),IF($B248="STD. DEVIATION",2,$F$1))))</f>
        <v/>
      </c>
      <c r="E248" s="1" t="str">
        <f>IF(OR($B248="",E$7=""),"",IF($B248="MEANS",INDEX('1-DATA'!$1:$1048576,$A247-1,COLUMN('1-DATA'!D246)),ROUND(INDEX('1-DATA'!$1:$1048576,IF(OR($B248="STD. DEVIATION",$C$1=1),$A248,$A248+1),COLUMN('1-DATA'!D246)),IF($B248="STD. DEVIATION",2,$F$1))))</f>
        <v/>
      </c>
      <c r="F248" s="1" t="str">
        <f>IF(OR($B248="",F$7=""),"",IF($B248="MEANS",INDEX('1-DATA'!$1:$1048576,$A247-1,COLUMN('1-DATA'!E246)),ROUND(INDEX('1-DATA'!$1:$1048576,IF(OR($B248="STD. DEVIATION",$C$1=1),$A248,$A248+1),COLUMN('1-DATA'!E246)),IF($B248="STD. DEVIATION",2,$F$1))))</f>
        <v/>
      </c>
      <c r="G248" s="1" t="str">
        <f>IF(OR($B248="",G$7=""),"",IF($B248="MEANS",INDEX('1-DATA'!$1:$1048576,$A247-1,COLUMN('1-DATA'!F246)),ROUND(INDEX('1-DATA'!$1:$1048576,IF(OR($B248="STD. DEVIATION",$C$1=1),$A248,$A248+1),COLUMN('1-DATA'!F246)),IF($B248="STD. DEVIATION",2,$F$1))))</f>
        <v/>
      </c>
      <c r="H248" s="1" t="str">
        <f>IF(OR($B248="",H$7=""),"",IF($B248="MEANS",INDEX('1-DATA'!$1:$1048576,$A247-1,COLUMN('1-DATA'!G246)),ROUND(INDEX('1-DATA'!$1:$1048576,IF(OR($B248="STD. DEVIATION",$C$1=1),$A248,$A248+1),COLUMN('1-DATA'!G246)),IF($B248="STD. DEVIATION",2,$F$1))))</f>
        <v/>
      </c>
      <c r="I248" s="1" t="str">
        <f>IF(OR($B248="",I$7=""),"",IF($B248="MEANS",INDEX('1-DATA'!$1:$1048576,$A247-1,COLUMN('1-DATA'!H246)),ROUND(INDEX('1-DATA'!$1:$1048576,IF(OR($B248="STD. DEVIATION",$C$1=1),$A248,$A248+1),COLUMN('1-DATA'!H246)),IF($B248="STD. DEVIATION",2,$F$1))))</f>
        <v/>
      </c>
      <c r="J248" s="1" t="str">
        <f>IF(OR($B248="",J$7=""),"",IF($B248="MEANS",INDEX('1-DATA'!$1:$1048576,$A247-1,COLUMN('1-DATA'!I246)),ROUND(INDEX('1-DATA'!$1:$1048576,IF(OR($B248="STD. DEVIATION",$C$1=1),$A248,$A248+1),COLUMN('1-DATA'!I246)),IF($B248="STD. DEVIATION",2,$F$1))))</f>
        <v/>
      </c>
      <c r="K248" s="1" t="str">
        <f>IF(OR($B248="",K$7=""),"",IF($B248="MEANS",INDEX('1-DATA'!$1:$1048576,$A247-1,COLUMN('1-DATA'!J246)),ROUND(INDEX('1-DATA'!$1:$1048576,IF(OR($B248="STD. DEVIATION",$C$1=1),$A248,$A248+1),COLUMN('1-DATA'!J246)),IF($B248="STD. DEVIATION",2,$F$1))))</f>
        <v/>
      </c>
      <c r="L248" s="1" t="str">
        <f>IF(OR($B248="",L$7=""),"",IF($B248="MEANS",INDEX('1-DATA'!$1:$1048576,$A247-1,COLUMN('1-DATA'!K246)),ROUND(INDEX('1-DATA'!$1:$1048576,IF(OR($B248="STD. DEVIATION",$C$1=1),$A248,$A248+1),COLUMN('1-DATA'!K246)),IF($B248="STD. DEVIATION",2,$F$1))))</f>
        <v/>
      </c>
      <c r="M248" s="1" t="str">
        <f>IF(OR($B248="",M$7=""),"",IF($B248="MEANS",INDEX('1-DATA'!$1:$1048576,$A247-1,COLUMN('1-DATA'!L246)),ROUND(INDEX('1-DATA'!$1:$1048576,IF(OR($B248="STD. DEVIATION",$C$1=1),$A248,$A248+1),COLUMN('1-DATA'!L246)),IF($B248="STD. DEVIATION",2,$F$1))))</f>
        <v/>
      </c>
      <c r="N248" s="1" t="str">
        <f>IF(OR($B248="",N$7=""),"",IF($B248="MEANS",INDEX('1-DATA'!$1:$1048576,$A247-1,COLUMN('1-DATA'!M246)),ROUND(INDEX('1-DATA'!$1:$1048576,IF(OR($B248="STD. DEVIATION",$C$1=1),$A248,$A248+1),COLUMN('1-DATA'!M246)),IF($B248="STD. DEVIATION",2,$F$1))))</f>
        <v/>
      </c>
      <c r="O248" s="1" t="str">
        <f>IF(OR($B248="",O$7=""),"",IF($B248="MEANS",INDEX('1-DATA'!$1:$1048576,$A247-1,COLUMN('1-DATA'!N246)),ROUND(INDEX('1-DATA'!$1:$1048576,IF(OR($B248="STD. DEVIATION",$C$1=1),$A248,$A248+1),COLUMN('1-DATA'!N246)),IF($B248="STD. DEVIATION",2,$F$1))))</f>
        <v/>
      </c>
      <c r="P248" s="1" t="str">
        <f>IF(OR($B248="",P$7=""),"",IF($B248="MEANS",INDEX('1-DATA'!$1:$1048576,$A247-1,COLUMN('1-DATA'!O246)),ROUND(INDEX('1-DATA'!$1:$1048576,IF(OR($B248="STD. DEVIATION",$C$1=1),$A248,$A248+1),COLUMN('1-DATA'!O246)),IF($B248="STD. DEVIATION",2,$F$1))))</f>
        <v/>
      </c>
      <c r="Q248" s="1" t="str">
        <f>IF(OR($B248="",Q$7=""),"",IF($B248="MEANS",INDEX('1-DATA'!$1:$1048576,$A247-1,COLUMN('1-DATA'!P246)),ROUND(INDEX('1-DATA'!$1:$1048576,IF(OR($B248="STD. DEVIATION",$C$1=1),$A248,$A248+1),COLUMN('1-DATA'!P246)),IF($B248="STD. DEVIATION",2,$F$1))))</f>
        <v/>
      </c>
      <c r="R248" s="1" t="str">
        <f>IF(OR($B248="",R$7=""),"",IF($B248="MEANS",INDEX('1-DATA'!$1:$1048576,$A247-1,COLUMN('1-DATA'!Q246)),ROUND(INDEX('1-DATA'!$1:$1048576,IF(OR($B248="STD. DEVIATION",$C$1=1),$A248,$A248+1),COLUMN('1-DATA'!Q246)),IF($B248="STD. DEVIATION",2,$F$1))))</f>
        <v/>
      </c>
      <c r="S248" s="1" t="str">
        <f>IF(OR($B248="",S$7=""),"",IF($B248="MEANS",INDEX('1-DATA'!$1:$1048576,$A247-1,COLUMN('1-DATA'!R246)),ROUND(INDEX('1-DATA'!$1:$1048576,IF(OR($B248="STD. DEVIATION",$C$1=1),$A248,$A248+1),COLUMN('1-DATA'!R246)),IF($B248="STD. DEVIATION",2,$F$1))))</f>
        <v/>
      </c>
      <c r="T248" s="1" t="str">
        <f>IF(OR($B248="",T$7=""),"",IF($B248="MEANS",INDEX('1-DATA'!$1:$1048576,$A247-1,COLUMN('1-DATA'!S246)),ROUND(INDEX('1-DATA'!$1:$1048576,IF(OR($B248="STD. DEVIATION",$C$1=1),$A248,$A248+1),COLUMN('1-DATA'!S246)),IF($B248="STD. DEVIATION",2,$F$1))))</f>
        <v/>
      </c>
      <c r="U248" s="1" t="str">
        <f>IF(OR($B248="",U$7=""),"",IF($B248="MEANS",INDEX('1-DATA'!$1:$1048576,$A247-1,COLUMN('1-DATA'!T246)),ROUND(INDEX('1-DATA'!$1:$1048576,IF(OR($B248="STD. DEVIATION",$C$1=1),$A248,$A248+1),COLUMN('1-DATA'!T246)),IF($B248="STD. DEVIATION",2,$F$1))))</f>
        <v/>
      </c>
      <c r="V248" s="1" t="str">
        <f>IF(OR($B248="",V$7=""),"",IF($B248="MEANS",INDEX('1-DATA'!$1:$1048576,$A247-1,COLUMN('1-DATA'!U246)),ROUND(INDEX('1-DATA'!$1:$1048576,IF(OR($B248="STD. DEVIATION",$C$1=1),$A248,$A248+1),COLUMN('1-DATA'!U246)),IF($B248="STD. DEVIATION",2,$F$1))))</f>
        <v/>
      </c>
      <c r="W248" s="1" t="str">
        <f>IF(OR($B248="",W$7=""),"",IF($B248="MEANS",INDEX('1-DATA'!$1:$1048576,$A247-1,COLUMN('1-DATA'!V246)),ROUND(INDEX('1-DATA'!$1:$1048576,IF(OR($B248="STD. DEVIATION",$C$1=1),$A248,$A248+1),COLUMN('1-DATA'!V246)),IF($B248="STD. DEVIATION",2,$F$1))))</f>
        <v/>
      </c>
      <c r="X248" s="1" t="str">
        <f>IF(OR($B248="",X$7=""),"",IF($B248="MEANS",INDEX('1-DATA'!$1:$1048576,$A247-1,COLUMN('1-DATA'!W246)),ROUND(INDEX('1-DATA'!$1:$1048576,IF(OR($B248="STD. DEVIATION",$C$1=1),$A248,$A248+1),COLUMN('1-DATA'!W246)),IF($B248="STD. DEVIATION",2,$F$1))))</f>
        <v/>
      </c>
      <c r="Y248" s="1" t="str">
        <f>IF(OR($B248="",Y$7=""),"",IF($B248="MEANS",INDEX('1-DATA'!$1:$1048576,$A247-1,COLUMN('1-DATA'!X246)),ROUND(INDEX('1-DATA'!$1:$1048576,IF(OR($B248="STD. DEVIATION",$C$1=1),$A248,$A248+1),COLUMN('1-DATA'!X246)),IF($B248="STD. DEVIATION",2,$F$1))))</f>
        <v/>
      </c>
      <c r="Z248" s="1" t="str">
        <f>IF(OR($B248="",Z$7=""),"",IF($B248="MEANS",INDEX('1-DATA'!$1:$1048576,$A247-1,COLUMN('1-DATA'!Y246)),ROUND(INDEX('1-DATA'!$1:$1048576,IF(OR($B248="STD. DEVIATION",$C$1=1),$A248,$A248+1),COLUMN('1-DATA'!Y246)),IF($B248="STD. DEVIATION",2,$F$1))))</f>
        <v/>
      </c>
      <c r="AA248" s="1" t="str">
        <f>IF(OR($B248="",AA$7=""),"",IF($B248="MEANS",INDEX('1-DATA'!$1:$1048576,$A247-1,COLUMN('1-DATA'!Z246)),ROUND(INDEX('1-DATA'!$1:$1048576,IF(OR($B248="STD. DEVIATION",$C$1=1),$A248,$A248+1),COLUMN('1-DATA'!Z246)),IF($B248="STD. DEVIATION",2,$F$1))))</f>
        <v/>
      </c>
      <c r="AB248" s="1" t="str">
        <f>IF(OR($B248="",AB$7=""),"",IF($B248="MEANS",INDEX('1-DATA'!$1:$1048576,$A247-1,COLUMN('1-DATA'!AA246)),ROUND(INDEX('1-DATA'!$1:$1048576,IF(OR($B248="STD. DEVIATION",$C$1=1),$A248,$A248+1),COLUMN('1-DATA'!AA246)),IF($B248="STD. DEVIATION",2,$F$1))))</f>
        <v/>
      </c>
      <c r="AC248" s="1" t="str">
        <f>IF(OR($B248="",AC$7=""),"",IF($B248="MEANS",INDEX('1-DATA'!$1:$1048576,$A247-1,COLUMN('1-DATA'!AB246)),ROUND(INDEX('1-DATA'!$1:$1048576,IF(OR($B248="STD. DEVIATION",$C$1=1),$A248,$A248+1),COLUMN('1-DATA'!AB246)),IF($B248="STD. DEVIATION",2,$F$1))))</f>
        <v/>
      </c>
      <c r="AD248" s="1" t="str">
        <f>IF(OR($B248="",AD$7=""),"",IF($B248="MEANS",INDEX('1-DATA'!$1:$1048576,$A247-1,COLUMN('1-DATA'!AC246)),ROUND(INDEX('1-DATA'!$1:$1048576,IF(OR($B248="STD. DEVIATION",$C$1=1),$A248,$A248+1),COLUMN('1-DATA'!AC246)),IF($B248="STD. DEVIATION",2,$F$1))))</f>
        <v/>
      </c>
      <c r="AE248" s="1" t="str">
        <f>IF(OR($B248="",AE$7=""),"",IF($B248="MEANS",INDEX('1-DATA'!$1:$1048576,$A247-1,COLUMN('1-DATA'!AD246)),ROUND(INDEX('1-DATA'!$1:$1048576,IF(OR($B248="STD. DEVIATION",$C$1=1),$A248,$A248+1),COLUMN('1-DATA'!AD246)),IF($B248="STD. DEVIATION",2,$F$1))))</f>
        <v/>
      </c>
      <c r="AF248" s="1" t="str">
        <f>IF(OR($B248="",AF$7=""),"",IF($B248="MEANS",INDEX('1-DATA'!$1:$1048576,$A247-1,COLUMN('1-DATA'!AE246)),ROUND(INDEX('1-DATA'!$1:$1048576,IF(OR($B248="STD. DEVIATION",$C$1=1),$A248,$A248+1),COLUMN('1-DATA'!AE246)),IF($B248="STD. DEVIATION",2,$F$1))))</f>
        <v/>
      </c>
      <c r="AG248" s="1" t="str">
        <f>IF(OR($B248="",AG$7=""),"",IF($B248="MEANS",INDEX('1-DATA'!$1:$1048576,$A247-1,COLUMN('1-DATA'!AF246)),ROUND(INDEX('1-DATA'!$1:$1048576,IF(OR($B248="STD. DEVIATION",$C$1=1),$A248,$A248+1),COLUMN('1-DATA'!AF246)),IF($B248="STD. DEVIATION",2,$F$1))))</f>
        <v/>
      </c>
      <c r="AH248" s="1" t="str">
        <f>IF(OR($B248="",AH$7=""),"",IF($B248="MEANS",INDEX('1-DATA'!$1:$1048576,$A247-1,COLUMN('1-DATA'!AG246)),ROUND(INDEX('1-DATA'!$1:$1048576,IF(OR($B248="STD. DEVIATION",$C$1=1),$A248,$A248+1),COLUMN('1-DATA'!AG246)),IF($B248="STD. DEVIATION",2,$F$1))))</f>
        <v/>
      </c>
      <c r="AI248" s="1" t="str">
        <f>IF(OR($B248="",AI$7=""),"",IF($B248="MEANS",INDEX('1-DATA'!$1:$1048576,$A247-1,COLUMN('1-DATA'!AH246)),ROUND(INDEX('1-DATA'!$1:$1048576,IF(OR($B248="STD. DEVIATION",$C$1=1),$A248,$A248+1),COLUMN('1-DATA'!AH246)),IF($B248="STD. DEVIATION",2,$F$1))))</f>
        <v/>
      </c>
      <c r="AJ248" s="1" t="str">
        <f>IF(OR($B248="",AJ$7=""),"",IF($B248="MEANS",INDEX('1-DATA'!$1:$1048576,$A247-1,COLUMN('1-DATA'!AI246)),ROUND(INDEX('1-DATA'!$1:$1048576,IF(OR($B248="STD. DEVIATION",$C$1=1),$A248,$A248+1),COLUMN('1-DATA'!AI246)),IF($B248="STD. DEVIATION",2,$F$1))))</f>
        <v/>
      </c>
      <c r="AK248" s="1" t="str">
        <f>IF(OR($B248="",AK$7=""),"",IF($B248="MEANS",INDEX('1-DATA'!$1:$1048576,$A247-1,COLUMN('1-DATA'!AJ246)),ROUND(INDEX('1-DATA'!$1:$1048576,IF(OR($B248="STD. DEVIATION",$C$1=1),$A248,$A248+1),COLUMN('1-DATA'!AJ246)),IF($B248="STD. DEVIATION",2,$F$1))))</f>
        <v/>
      </c>
      <c r="AL248" s="1" t="str">
        <f>IF(OR($B248="",AL$7=""),"",IF($B248="MEANS",INDEX('1-DATA'!$1:$1048576,$A247-1,COLUMN('1-DATA'!AK246)),ROUND(INDEX('1-DATA'!$1:$1048576,IF(OR($B248="STD. DEVIATION",$C$1=1),$A248,$A248+1),COLUMN('1-DATA'!AK246)),IF($B248="STD. DEVIATION",2,$F$1))))</f>
        <v/>
      </c>
      <c r="AM248" s="1" t="str">
        <f>IF(OR($B248="",AM$7=""),"",IF($B248="MEANS",INDEX('1-DATA'!$1:$1048576,$A247-1,COLUMN('1-DATA'!AL246)),ROUND(INDEX('1-DATA'!$1:$1048576,IF(OR($B248="STD. DEVIATION",$C$1=1),$A248,$A248+1),COLUMN('1-DATA'!AL246)),IF($B248="STD. DEVIATION",2,$F$1))))</f>
        <v/>
      </c>
      <c r="AN248" s="1" t="str">
        <f>IF(OR($B248="",AN$7=""),"",IF($B248="MEANS",INDEX('1-DATA'!$1:$1048576,$A247-1,COLUMN('1-DATA'!AM246)),ROUND(INDEX('1-DATA'!$1:$1048576,IF(OR($B248="STD. DEVIATION",$C$1=1),$A248,$A248+1),COLUMN('1-DATA'!AM246)),IF($B248="STD. DEVIATION",2,$F$1))))</f>
        <v/>
      </c>
      <c r="AO248" s="1" t="str">
        <f>IF(OR($B248="",AO$7=""),"",IF($B248="MEANS",INDEX('1-DATA'!$1:$1048576,$A247-1,COLUMN('1-DATA'!AN246)),ROUND(INDEX('1-DATA'!$1:$1048576,IF(OR($B248="STD. DEVIATION",$C$1=1),$A248,$A248+1),COLUMN('1-DATA'!AN246)),IF($B248="STD. DEVIATION",2,$F$1))))</f>
        <v/>
      </c>
      <c r="AP248" s="1" t="str">
        <f>IF(OR($B248="",AP$7=""),"",IF($B248="MEANS",INDEX('1-DATA'!$1:$1048576,$A247-1,COLUMN('1-DATA'!AO246)),ROUND(INDEX('1-DATA'!$1:$1048576,IF(OR($B248="STD. DEVIATION",$C$1=1),$A248,$A248+1),COLUMN('1-DATA'!AO246)),IF($B248="STD. DEVIATION",2,$F$1))))</f>
        <v/>
      </c>
      <c r="AQ248" s="1" t="str">
        <f>IF(OR($B248="",AQ$7=""),"",IF($B248="MEANS",INDEX('1-DATA'!$1:$1048576,$A247-1,COLUMN('1-DATA'!AP246)),ROUND(INDEX('1-DATA'!$1:$1048576,IF(OR($B248="STD. DEVIATION",$C$1=1),$A248,$A248+1),COLUMN('1-DATA'!AP246)),IF($B248="STD. DEVIATION",2,$F$1))))</f>
        <v/>
      </c>
      <c r="AR248" s="1" t="str">
        <f>IF(OR($B248="",AR$7=""),"",IF($B248="MEANS",INDEX('1-DATA'!$1:$1048576,$A247-1,COLUMN('1-DATA'!AQ246)),ROUND(INDEX('1-DATA'!$1:$1048576,IF(OR($B248="STD. DEVIATION",$C$1=1),$A248,$A248+1),COLUMN('1-DATA'!AQ246)),IF($B248="STD. DEVIATION",2,$F$1))))</f>
        <v/>
      </c>
      <c r="AS248" s="1" t="str">
        <f>IF(OR($B248="",AS$7=""),"",IF($B248="MEANS",INDEX('1-DATA'!$1:$1048576,$A247-1,COLUMN('1-DATA'!AR246)),ROUND(INDEX('1-DATA'!$1:$1048576,IF(OR($B248="STD. DEVIATION",$C$1=1),$A248,$A248+1),COLUMN('1-DATA'!AR246)),IF($B248="STD. DEVIATION",2,$F$1))))</f>
        <v/>
      </c>
      <c r="AT248" s="1" t="str">
        <f>IF(OR($B248="",AT$7=""),"",IF($B248="MEANS",INDEX('1-DATA'!$1:$1048576,$A247-1,COLUMN('1-DATA'!AS246)),ROUND(INDEX('1-DATA'!$1:$1048576,IF(OR($B248="STD. DEVIATION",$C$1=1),$A248,$A248+1),COLUMN('1-DATA'!AS246)),IF($B248="STD. DEVIATION",2,$F$1))))</f>
        <v/>
      </c>
      <c r="AU248" s="1" t="str">
        <f>IF(OR($B248="",AU$7=""),"",IF($B248="MEANS",INDEX('1-DATA'!$1:$1048576,$A247-1,COLUMN('1-DATA'!AT246)),ROUND(INDEX('1-DATA'!$1:$1048576,IF(OR($B248="STD. DEVIATION",$C$1=1),$A248,$A248+1),COLUMN('1-DATA'!AT246)),IF($B248="STD. DEVIATION",2,$F$1))))</f>
        <v/>
      </c>
      <c r="AV248" s="1" t="str">
        <f>IF(OR($B248="",AV$7=""),"",IF($B248="MEANS",INDEX('1-DATA'!$1:$1048576,$A247-1,COLUMN('1-DATA'!AU246)),ROUND(INDEX('1-DATA'!$1:$1048576,IF(OR($B248="STD. DEVIATION",$C$1=1),$A248,$A248+1),COLUMN('1-DATA'!AU246)),IF($B248="STD. DEVIATION",2,$F$1))))</f>
        <v/>
      </c>
      <c r="AW248" s="1" t="str">
        <f>IF(OR($B248="",AW$7=""),"",IF($B248="MEANS",INDEX('1-DATA'!$1:$1048576,$A247-1,COLUMN('1-DATA'!AV246)),ROUND(INDEX('1-DATA'!$1:$1048576,IF(OR($B248="STD. DEVIATION",$C$1=1),$A248,$A248+1),COLUMN('1-DATA'!AV246)),IF($B248="STD. DEVIATION",2,$F$1))))</f>
        <v/>
      </c>
      <c r="AX248" s="1" t="str">
        <f>IF(OR($B248="",AX$7=""),"",IF($B248="MEANS",INDEX('1-DATA'!$1:$1048576,$A247-1,COLUMN('1-DATA'!AW246)),ROUND(INDEX('1-DATA'!$1:$1048576,IF(OR($B248="STD. DEVIATION",$C$1=1),$A248,$A248+1),COLUMN('1-DATA'!AW246)),IF($B248="STD. DEVIATION",2,$F$1))))</f>
        <v/>
      </c>
      <c r="AY248" s="1" t="str">
        <f>IF(OR($B248="",AY$7=""),"",IF($B248="MEANS",INDEX('1-DATA'!$1:$1048576,$A247-1,COLUMN('1-DATA'!AX246)),ROUND(INDEX('1-DATA'!$1:$1048576,IF(OR($B248="STD. DEVIATION",$C$1=1),$A248,$A248+1),COLUMN('1-DATA'!AX246)),IF($B248="STD. DEVIATION",2,$F$1))))</f>
        <v/>
      </c>
      <c r="AZ248" s="1" t="str">
        <f>IF(OR($B248="",AZ$7=""),"",IF($B248="MEANS",INDEX('1-DATA'!$1:$1048576,$A247-1,COLUMN('1-DATA'!AY246)),ROUND(INDEX('1-DATA'!$1:$1048576,IF(OR($B248="STD. DEVIATION",$C$1=1),$A248,$A248+1),COLUMN('1-DATA'!AY246)),IF($B248="STD. DEVIATION",2,$F$1))))</f>
        <v/>
      </c>
    </row>
    <row r="249" spans="1:52" x14ac:dyDescent="0.25">
      <c r="A249" s="11">
        <f t="shared" si="4"/>
        <v>733</v>
      </c>
      <c r="B249" s="1" t="str">
        <f>IF(B248="STD. DEVIATION",INDEX('1-DATA'!$1:$1048576,$A248-1,1),IF(INDEX('1-DATA'!$1:$1048576,$A249,1)&lt;&gt;"",INDEX('1-DATA'!$1:$1048576,$A249,1),""))</f>
        <v/>
      </c>
      <c r="C249" s="1" t="str">
        <f>IF(OR($B249="",C$7=""),"",IF($B249="MEANS",INDEX('1-DATA'!$1:$1048576,$A248-1,COLUMN('1-DATA'!B247)),ROUND(INDEX('1-DATA'!$1:$1048576,IF(OR($B249="STD. DEVIATION",$C$1=1),$A249,$A249+1),COLUMN('1-DATA'!B247)),IF($B249="STD. DEVIATION",2,$F$1))))</f>
        <v/>
      </c>
      <c r="D249" s="1" t="str">
        <f>IF(OR($B249="",D$7=""),"",IF($B249="MEANS",INDEX('1-DATA'!$1:$1048576,$A248-1,COLUMN('1-DATA'!C247)),ROUND(INDEX('1-DATA'!$1:$1048576,IF(OR($B249="STD. DEVIATION",$C$1=1),$A249,$A249+1),COLUMN('1-DATA'!C247)),IF($B249="STD. DEVIATION",2,$F$1))))</f>
        <v/>
      </c>
      <c r="E249" s="1" t="str">
        <f>IF(OR($B249="",E$7=""),"",IF($B249="MEANS",INDEX('1-DATA'!$1:$1048576,$A248-1,COLUMN('1-DATA'!D247)),ROUND(INDEX('1-DATA'!$1:$1048576,IF(OR($B249="STD. DEVIATION",$C$1=1),$A249,$A249+1),COLUMN('1-DATA'!D247)),IF($B249="STD. DEVIATION",2,$F$1))))</f>
        <v/>
      </c>
      <c r="F249" s="1" t="str">
        <f>IF(OR($B249="",F$7=""),"",IF($B249="MEANS",INDEX('1-DATA'!$1:$1048576,$A248-1,COLUMN('1-DATA'!E247)),ROUND(INDEX('1-DATA'!$1:$1048576,IF(OR($B249="STD. DEVIATION",$C$1=1),$A249,$A249+1),COLUMN('1-DATA'!E247)),IF($B249="STD. DEVIATION",2,$F$1))))</f>
        <v/>
      </c>
      <c r="G249" s="1" t="str">
        <f>IF(OR($B249="",G$7=""),"",IF($B249="MEANS",INDEX('1-DATA'!$1:$1048576,$A248-1,COLUMN('1-DATA'!F247)),ROUND(INDEX('1-DATA'!$1:$1048576,IF(OR($B249="STD. DEVIATION",$C$1=1),$A249,$A249+1),COLUMN('1-DATA'!F247)),IF($B249="STD. DEVIATION",2,$F$1))))</f>
        <v/>
      </c>
      <c r="H249" s="1" t="str">
        <f>IF(OR($B249="",H$7=""),"",IF($B249="MEANS",INDEX('1-DATA'!$1:$1048576,$A248-1,COLUMN('1-DATA'!G247)),ROUND(INDEX('1-DATA'!$1:$1048576,IF(OR($B249="STD. DEVIATION",$C$1=1),$A249,$A249+1),COLUMN('1-DATA'!G247)),IF($B249="STD. DEVIATION",2,$F$1))))</f>
        <v/>
      </c>
      <c r="I249" s="1" t="str">
        <f>IF(OR($B249="",I$7=""),"",IF($B249="MEANS",INDEX('1-DATA'!$1:$1048576,$A248-1,COLUMN('1-DATA'!H247)),ROUND(INDEX('1-DATA'!$1:$1048576,IF(OR($B249="STD. DEVIATION",$C$1=1),$A249,$A249+1),COLUMN('1-DATA'!H247)),IF($B249="STD. DEVIATION",2,$F$1))))</f>
        <v/>
      </c>
      <c r="J249" s="1" t="str">
        <f>IF(OR($B249="",J$7=""),"",IF($B249="MEANS",INDEX('1-DATA'!$1:$1048576,$A248-1,COLUMN('1-DATA'!I247)),ROUND(INDEX('1-DATA'!$1:$1048576,IF(OR($B249="STD. DEVIATION",$C$1=1),$A249,$A249+1),COLUMN('1-DATA'!I247)),IF($B249="STD. DEVIATION",2,$F$1))))</f>
        <v/>
      </c>
      <c r="K249" s="1" t="str">
        <f>IF(OR($B249="",K$7=""),"",IF($B249="MEANS",INDEX('1-DATA'!$1:$1048576,$A248-1,COLUMN('1-DATA'!J247)),ROUND(INDEX('1-DATA'!$1:$1048576,IF(OR($B249="STD. DEVIATION",$C$1=1),$A249,$A249+1),COLUMN('1-DATA'!J247)),IF($B249="STD. DEVIATION",2,$F$1))))</f>
        <v/>
      </c>
      <c r="L249" s="1" t="str">
        <f>IF(OR($B249="",L$7=""),"",IF($B249="MEANS",INDEX('1-DATA'!$1:$1048576,$A248-1,COLUMN('1-DATA'!K247)),ROUND(INDEX('1-DATA'!$1:$1048576,IF(OR($B249="STD. DEVIATION",$C$1=1),$A249,$A249+1),COLUMN('1-DATA'!K247)),IF($B249="STD. DEVIATION",2,$F$1))))</f>
        <v/>
      </c>
      <c r="M249" s="1" t="str">
        <f>IF(OR($B249="",M$7=""),"",IF($B249="MEANS",INDEX('1-DATA'!$1:$1048576,$A248-1,COLUMN('1-DATA'!L247)),ROUND(INDEX('1-DATA'!$1:$1048576,IF(OR($B249="STD. DEVIATION",$C$1=1),$A249,$A249+1),COLUMN('1-DATA'!L247)),IF($B249="STD. DEVIATION",2,$F$1))))</f>
        <v/>
      </c>
      <c r="N249" s="1" t="str">
        <f>IF(OR($B249="",N$7=""),"",IF($B249="MEANS",INDEX('1-DATA'!$1:$1048576,$A248-1,COLUMN('1-DATA'!M247)),ROUND(INDEX('1-DATA'!$1:$1048576,IF(OR($B249="STD. DEVIATION",$C$1=1),$A249,$A249+1),COLUMN('1-DATA'!M247)),IF($B249="STD. DEVIATION",2,$F$1))))</f>
        <v/>
      </c>
      <c r="O249" s="1" t="str">
        <f>IF(OR($B249="",O$7=""),"",IF($B249="MEANS",INDEX('1-DATA'!$1:$1048576,$A248-1,COLUMN('1-DATA'!N247)),ROUND(INDEX('1-DATA'!$1:$1048576,IF(OR($B249="STD. DEVIATION",$C$1=1),$A249,$A249+1),COLUMN('1-DATA'!N247)),IF($B249="STD. DEVIATION",2,$F$1))))</f>
        <v/>
      </c>
      <c r="P249" s="1" t="str">
        <f>IF(OR($B249="",P$7=""),"",IF($B249="MEANS",INDEX('1-DATA'!$1:$1048576,$A248-1,COLUMN('1-DATA'!O247)),ROUND(INDEX('1-DATA'!$1:$1048576,IF(OR($B249="STD. DEVIATION",$C$1=1),$A249,$A249+1),COLUMN('1-DATA'!O247)),IF($B249="STD. DEVIATION",2,$F$1))))</f>
        <v/>
      </c>
      <c r="Q249" s="1" t="str">
        <f>IF(OR($B249="",Q$7=""),"",IF($B249="MEANS",INDEX('1-DATA'!$1:$1048576,$A248-1,COLUMN('1-DATA'!P247)),ROUND(INDEX('1-DATA'!$1:$1048576,IF(OR($B249="STD. DEVIATION",$C$1=1),$A249,$A249+1),COLUMN('1-DATA'!P247)),IF($B249="STD. DEVIATION",2,$F$1))))</f>
        <v/>
      </c>
      <c r="R249" s="1" t="str">
        <f>IF(OR($B249="",R$7=""),"",IF($B249="MEANS",INDEX('1-DATA'!$1:$1048576,$A248-1,COLUMN('1-DATA'!Q247)),ROUND(INDEX('1-DATA'!$1:$1048576,IF(OR($B249="STD. DEVIATION",$C$1=1),$A249,$A249+1),COLUMN('1-DATA'!Q247)),IF($B249="STD. DEVIATION",2,$F$1))))</f>
        <v/>
      </c>
      <c r="S249" s="1" t="str">
        <f>IF(OR($B249="",S$7=""),"",IF($B249="MEANS",INDEX('1-DATA'!$1:$1048576,$A248-1,COLUMN('1-DATA'!R247)),ROUND(INDEX('1-DATA'!$1:$1048576,IF(OR($B249="STD. DEVIATION",$C$1=1),$A249,$A249+1),COLUMN('1-DATA'!R247)),IF($B249="STD. DEVIATION",2,$F$1))))</f>
        <v/>
      </c>
      <c r="T249" s="1" t="str">
        <f>IF(OR($B249="",T$7=""),"",IF($B249="MEANS",INDEX('1-DATA'!$1:$1048576,$A248-1,COLUMN('1-DATA'!S247)),ROUND(INDEX('1-DATA'!$1:$1048576,IF(OR($B249="STD. DEVIATION",$C$1=1),$A249,$A249+1),COLUMN('1-DATA'!S247)),IF($B249="STD. DEVIATION",2,$F$1))))</f>
        <v/>
      </c>
      <c r="U249" s="1" t="str">
        <f>IF(OR($B249="",U$7=""),"",IF($B249="MEANS",INDEX('1-DATA'!$1:$1048576,$A248-1,COLUMN('1-DATA'!T247)),ROUND(INDEX('1-DATA'!$1:$1048576,IF(OR($B249="STD. DEVIATION",$C$1=1),$A249,$A249+1),COLUMN('1-DATA'!T247)),IF($B249="STD. DEVIATION",2,$F$1))))</f>
        <v/>
      </c>
      <c r="V249" s="1" t="str">
        <f>IF(OR($B249="",V$7=""),"",IF($B249="MEANS",INDEX('1-DATA'!$1:$1048576,$A248-1,COLUMN('1-DATA'!U247)),ROUND(INDEX('1-DATA'!$1:$1048576,IF(OR($B249="STD. DEVIATION",$C$1=1),$A249,$A249+1),COLUMN('1-DATA'!U247)),IF($B249="STD. DEVIATION",2,$F$1))))</f>
        <v/>
      </c>
      <c r="W249" s="1" t="str">
        <f>IF(OR($B249="",W$7=""),"",IF($B249="MEANS",INDEX('1-DATA'!$1:$1048576,$A248-1,COLUMN('1-DATA'!V247)),ROUND(INDEX('1-DATA'!$1:$1048576,IF(OR($B249="STD. DEVIATION",$C$1=1),$A249,$A249+1),COLUMN('1-DATA'!V247)),IF($B249="STD. DEVIATION",2,$F$1))))</f>
        <v/>
      </c>
      <c r="X249" s="1" t="str">
        <f>IF(OR($B249="",X$7=""),"",IF($B249="MEANS",INDEX('1-DATA'!$1:$1048576,$A248-1,COLUMN('1-DATA'!W247)),ROUND(INDEX('1-DATA'!$1:$1048576,IF(OR($B249="STD. DEVIATION",$C$1=1),$A249,$A249+1),COLUMN('1-DATA'!W247)),IF($B249="STD. DEVIATION",2,$F$1))))</f>
        <v/>
      </c>
      <c r="Y249" s="1" t="str">
        <f>IF(OR($B249="",Y$7=""),"",IF($B249="MEANS",INDEX('1-DATA'!$1:$1048576,$A248-1,COLUMN('1-DATA'!X247)),ROUND(INDEX('1-DATA'!$1:$1048576,IF(OR($B249="STD. DEVIATION",$C$1=1),$A249,$A249+1),COLUMN('1-DATA'!X247)),IF($B249="STD. DEVIATION",2,$F$1))))</f>
        <v/>
      </c>
      <c r="Z249" s="1" t="str">
        <f>IF(OR($B249="",Z$7=""),"",IF($B249="MEANS",INDEX('1-DATA'!$1:$1048576,$A248-1,COLUMN('1-DATA'!Y247)),ROUND(INDEX('1-DATA'!$1:$1048576,IF(OR($B249="STD. DEVIATION",$C$1=1),$A249,$A249+1),COLUMN('1-DATA'!Y247)),IF($B249="STD. DEVIATION",2,$F$1))))</f>
        <v/>
      </c>
      <c r="AA249" s="1" t="str">
        <f>IF(OR($B249="",AA$7=""),"",IF($B249="MEANS",INDEX('1-DATA'!$1:$1048576,$A248-1,COLUMN('1-DATA'!Z247)),ROUND(INDEX('1-DATA'!$1:$1048576,IF(OR($B249="STD. DEVIATION",$C$1=1),$A249,$A249+1),COLUMN('1-DATA'!Z247)),IF($B249="STD. DEVIATION",2,$F$1))))</f>
        <v/>
      </c>
      <c r="AB249" s="1" t="str">
        <f>IF(OR($B249="",AB$7=""),"",IF($B249="MEANS",INDEX('1-DATA'!$1:$1048576,$A248-1,COLUMN('1-DATA'!AA247)),ROUND(INDEX('1-DATA'!$1:$1048576,IF(OR($B249="STD. DEVIATION",$C$1=1),$A249,$A249+1),COLUMN('1-DATA'!AA247)),IF($B249="STD. DEVIATION",2,$F$1))))</f>
        <v/>
      </c>
      <c r="AC249" s="1" t="str">
        <f>IF(OR($B249="",AC$7=""),"",IF($B249="MEANS",INDEX('1-DATA'!$1:$1048576,$A248-1,COLUMN('1-DATA'!AB247)),ROUND(INDEX('1-DATA'!$1:$1048576,IF(OR($B249="STD. DEVIATION",$C$1=1),$A249,$A249+1),COLUMN('1-DATA'!AB247)),IF($B249="STD. DEVIATION",2,$F$1))))</f>
        <v/>
      </c>
      <c r="AD249" s="1" t="str">
        <f>IF(OR($B249="",AD$7=""),"",IF($B249="MEANS",INDEX('1-DATA'!$1:$1048576,$A248-1,COLUMN('1-DATA'!AC247)),ROUND(INDEX('1-DATA'!$1:$1048576,IF(OR($B249="STD. DEVIATION",$C$1=1),$A249,$A249+1),COLUMN('1-DATA'!AC247)),IF($B249="STD. DEVIATION",2,$F$1))))</f>
        <v/>
      </c>
      <c r="AE249" s="1" t="str">
        <f>IF(OR($B249="",AE$7=""),"",IF($B249="MEANS",INDEX('1-DATA'!$1:$1048576,$A248-1,COLUMN('1-DATA'!AD247)),ROUND(INDEX('1-DATA'!$1:$1048576,IF(OR($B249="STD. DEVIATION",$C$1=1),$A249,$A249+1),COLUMN('1-DATA'!AD247)),IF($B249="STD. DEVIATION",2,$F$1))))</f>
        <v/>
      </c>
      <c r="AF249" s="1" t="str">
        <f>IF(OR($B249="",AF$7=""),"",IF($B249="MEANS",INDEX('1-DATA'!$1:$1048576,$A248-1,COLUMN('1-DATA'!AE247)),ROUND(INDEX('1-DATA'!$1:$1048576,IF(OR($B249="STD. DEVIATION",$C$1=1),$A249,$A249+1),COLUMN('1-DATA'!AE247)),IF($B249="STD. DEVIATION",2,$F$1))))</f>
        <v/>
      </c>
      <c r="AG249" s="1" t="str">
        <f>IF(OR($B249="",AG$7=""),"",IF($B249="MEANS",INDEX('1-DATA'!$1:$1048576,$A248-1,COLUMN('1-DATA'!AF247)),ROUND(INDEX('1-DATA'!$1:$1048576,IF(OR($B249="STD. DEVIATION",$C$1=1),$A249,$A249+1),COLUMN('1-DATA'!AF247)),IF($B249="STD. DEVIATION",2,$F$1))))</f>
        <v/>
      </c>
      <c r="AH249" s="1" t="str">
        <f>IF(OR($B249="",AH$7=""),"",IF($B249="MEANS",INDEX('1-DATA'!$1:$1048576,$A248-1,COLUMN('1-DATA'!AG247)),ROUND(INDEX('1-DATA'!$1:$1048576,IF(OR($B249="STD. DEVIATION",$C$1=1),$A249,$A249+1),COLUMN('1-DATA'!AG247)),IF($B249="STD. DEVIATION",2,$F$1))))</f>
        <v/>
      </c>
      <c r="AI249" s="1" t="str">
        <f>IF(OR($B249="",AI$7=""),"",IF($B249="MEANS",INDEX('1-DATA'!$1:$1048576,$A248-1,COLUMN('1-DATA'!AH247)),ROUND(INDEX('1-DATA'!$1:$1048576,IF(OR($B249="STD. DEVIATION",$C$1=1),$A249,$A249+1),COLUMN('1-DATA'!AH247)),IF($B249="STD. DEVIATION",2,$F$1))))</f>
        <v/>
      </c>
      <c r="AJ249" s="1" t="str">
        <f>IF(OR($B249="",AJ$7=""),"",IF($B249="MEANS",INDEX('1-DATA'!$1:$1048576,$A248-1,COLUMN('1-DATA'!AI247)),ROUND(INDEX('1-DATA'!$1:$1048576,IF(OR($B249="STD. DEVIATION",$C$1=1),$A249,$A249+1),COLUMN('1-DATA'!AI247)),IF($B249="STD. DEVIATION",2,$F$1))))</f>
        <v/>
      </c>
      <c r="AK249" s="1" t="str">
        <f>IF(OR($B249="",AK$7=""),"",IF($B249="MEANS",INDEX('1-DATA'!$1:$1048576,$A248-1,COLUMN('1-DATA'!AJ247)),ROUND(INDEX('1-DATA'!$1:$1048576,IF(OR($B249="STD. DEVIATION",$C$1=1),$A249,$A249+1),COLUMN('1-DATA'!AJ247)),IF($B249="STD. DEVIATION",2,$F$1))))</f>
        <v/>
      </c>
      <c r="AL249" s="1" t="str">
        <f>IF(OR($B249="",AL$7=""),"",IF($B249="MEANS",INDEX('1-DATA'!$1:$1048576,$A248-1,COLUMN('1-DATA'!AK247)),ROUND(INDEX('1-DATA'!$1:$1048576,IF(OR($B249="STD. DEVIATION",$C$1=1),$A249,$A249+1),COLUMN('1-DATA'!AK247)),IF($B249="STD. DEVIATION",2,$F$1))))</f>
        <v/>
      </c>
      <c r="AM249" s="1" t="str">
        <f>IF(OR($B249="",AM$7=""),"",IF($B249="MEANS",INDEX('1-DATA'!$1:$1048576,$A248-1,COLUMN('1-DATA'!AL247)),ROUND(INDEX('1-DATA'!$1:$1048576,IF(OR($B249="STD. DEVIATION",$C$1=1),$A249,$A249+1),COLUMN('1-DATA'!AL247)),IF($B249="STD. DEVIATION",2,$F$1))))</f>
        <v/>
      </c>
      <c r="AN249" s="1" t="str">
        <f>IF(OR($B249="",AN$7=""),"",IF($B249="MEANS",INDEX('1-DATA'!$1:$1048576,$A248-1,COLUMN('1-DATA'!AM247)),ROUND(INDEX('1-DATA'!$1:$1048576,IF(OR($B249="STD. DEVIATION",$C$1=1),$A249,$A249+1),COLUMN('1-DATA'!AM247)),IF($B249="STD. DEVIATION",2,$F$1))))</f>
        <v/>
      </c>
      <c r="AO249" s="1" t="str">
        <f>IF(OR($B249="",AO$7=""),"",IF($B249="MEANS",INDEX('1-DATA'!$1:$1048576,$A248-1,COLUMN('1-DATA'!AN247)),ROUND(INDEX('1-DATA'!$1:$1048576,IF(OR($B249="STD. DEVIATION",$C$1=1),$A249,$A249+1),COLUMN('1-DATA'!AN247)),IF($B249="STD. DEVIATION",2,$F$1))))</f>
        <v/>
      </c>
      <c r="AP249" s="1" t="str">
        <f>IF(OR($B249="",AP$7=""),"",IF($B249="MEANS",INDEX('1-DATA'!$1:$1048576,$A248-1,COLUMN('1-DATA'!AO247)),ROUND(INDEX('1-DATA'!$1:$1048576,IF(OR($B249="STD. DEVIATION",$C$1=1),$A249,$A249+1),COLUMN('1-DATA'!AO247)),IF($B249="STD. DEVIATION",2,$F$1))))</f>
        <v/>
      </c>
      <c r="AQ249" s="1" t="str">
        <f>IF(OR($B249="",AQ$7=""),"",IF($B249="MEANS",INDEX('1-DATA'!$1:$1048576,$A248-1,COLUMN('1-DATA'!AP247)),ROUND(INDEX('1-DATA'!$1:$1048576,IF(OR($B249="STD. DEVIATION",$C$1=1),$A249,$A249+1),COLUMN('1-DATA'!AP247)),IF($B249="STD. DEVIATION",2,$F$1))))</f>
        <v/>
      </c>
      <c r="AR249" s="1" t="str">
        <f>IF(OR($B249="",AR$7=""),"",IF($B249="MEANS",INDEX('1-DATA'!$1:$1048576,$A248-1,COLUMN('1-DATA'!AQ247)),ROUND(INDEX('1-DATA'!$1:$1048576,IF(OR($B249="STD. DEVIATION",$C$1=1),$A249,$A249+1),COLUMN('1-DATA'!AQ247)),IF($B249="STD. DEVIATION",2,$F$1))))</f>
        <v/>
      </c>
      <c r="AS249" s="1" t="str">
        <f>IF(OR($B249="",AS$7=""),"",IF($B249="MEANS",INDEX('1-DATA'!$1:$1048576,$A248-1,COLUMN('1-DATA'!AR247)),ROUND(INDEX('1-DATA'!$1:$1048576,IF(OR($B249="STD. DEVIATION",$C$1=1),$A249,$A249+1),COLUMN('1-DATA'!AR247)),IF($B249="STD. DEVIATION",2,$F$1))))</f>
        <v/>
      </c>
      <c r="AT249" s="1" t="str">
        <f>IF(OR($B249="",AT$7=""),"",IF($B249="MEANS",INDEX('1-DATA'!$1:$1048576,$A248-1,COLUMN('1-DATA'!AS247)),ROUND(INDEX('1-DATA'!$1:$1048576,IF(OR($B249="STD. DEVIATION",$C$1=1),$A249,$A249+1),COLUMN('1-DATA'!AS247)),IF($B249="STD. DEVIATION",2,$F$1))))</f>
        <v/>
      </c>
      <c r="AU249" s="1" t="str">
        <f>IF(OR($B249="",AU$7=""),"",IF($B249="MEANS",INDEX('1-DATA'!$1:$1048576,$A248-1,COLUMN('1-DATA'!AT247)),ROUND(INDEX('1-DATA'!$1:$1048576,IF(OR($B249="STD. DEVIATION",$C$1=1),$A249,$A249+1),COLUMN('1-DATA'!AT247)),IF($B249="STD. DEVIATION",2,$F$1))))</f>
        <v/>
      </c>
      <c r="AV249" s="1" t="str">
        <f>IF(OR($B249="",AV$7=""),"",IF($B249="MEANS",INDEX('1-DATA'!$1:$1048576,$A248-1,COLUMN('1-DATA'!AU247)),ROUND(INDEX('1-DATA'!$1:$1048576,IF(OR($B249="STD. DEVIATION",$C$1=1),$A249,$A249+1),COLUMN('1-DATA'!AU247)),IF($B249="STD. DEVIATION",2,$F$1))))</f>
        <v/>
      </c>
      <c r="AW249" s="1" t="str">
        <f>IF(OR($B249="",AW$7=""),"",IF($B249="MEANS",INDEX('1-DATA'!$1:$1048576,$A248-1,COLUMN('1-DATA'!AV247)),ROUND(INDEX('1-DATA'!$1:$1048576,IF(OR($B249="STD. DEVIATION",$C$1=1),$A249,$A249+1),COLUMN('1-DATA'!AV247)),IF($B249="STD. DEVIATION",2,$F$1))))</f>
        <v/>
      </c>
      <c r="AX249" s="1" t="str">
        <f>IF(OR($B249="",AX$7=""),"",IF($B249="MEANS",INDEX('1-DATA'!$1:$1048576,$A248-1,COLUMN('1-DATA'!AW247)),ROUND(INDEX('1-DATA'!$1:$1048576,IF(OR($B249="STD. DEVIATION",$C$1=1),$A249,$A249+1),COLUMN('1-DATA'!AW247)),IF($B249="STD. DEVIATION",2,$F$1))))</f>
        <v/>
      </c>
      <c r="AY249" s="1" t="str">
        <f>IF(OR($B249="",AY$7=""),"",IF($B249="MEANS",INDEX('1-DATA'!$1:$1048576,$A248-1,COLUMN('1-DATA'!AX247)),ROUND(INDEX('1-DATA'!$1:$1048576,IF(OR($B249="STD. DEVIATION",$C$1=1),$A249,$A249+1),COLUMN('1-DATA'!AX247)),IF($B249="STD. DEVIATION",2,$F$1))))</f>
        <v/>
      </c>
      <c r="AZ249" s="1" t="str">
        <f>IF(OR($B249="",AZ$7=""),"",IF($B249="MEANS",INDEX('1-DATA'!$1:$1048576,$A248-1,COLUMN('1-DATA'!AY247)),ROUND(INDEX('1-DATA'!$1:$1048576,IF(OR($B249="STD. DEVIATION",$C$1=1),$A249,$A249+1),COLUMN('1-DATA'!AY247)),IF($B249="STD. DEVIATION",2,$F$1))))</f>
        <v/>
      </c>
    </row>
    <row r="250" spans="1:52" x14ac:dyDescent="0.25">
      <c r="A250" s="11">
        <f t="shared" si="4"/>
        <v>736</v>
      </c>
      <c r="B250" s="1" t="str">
        <f>IF(B249="STD. DEVIATION",INDEX('1-DATA'!$1:$1048576,$A249-1,1),IF(INDEX('1-DATA'!$1:$1048576,$A250,1)&lt;&gt;"",INDEX('1-DATA'!$1:$1048576,$A250,1),""))</f>
        <v/>
      </c>
      <c r="C250" s="1" t="str">
        <f>IF(OR($B250="",C$7=""),"",IF($B250="MEANS",INDEX('1-DATA'!$1:$1048576,$A249-1,COLUMN('1-DATA'!B248)),ROUND(INDEX('1-DATA'!$1:$1048576,IF(OR($B250="STD. DEVIATION",$C$1=1),$A250,$A250+1),COLUMN('1-DATA'!B248)),IF($B250="STD. DEVIATION",2,$F$1))))</f>
        <v/>
      </c>
      <c r="D250" s="1" t="str">
        <f>IF(OR($B250="",D$7=""),"",IF($B250="MEANS",INDEX('1-DATA'!$1:$1048576,$A249-1,COLUMN('1-DATA'!C248)),ROUND(INDEX('1-DATA'!$1:$1048576,IF(OR($B250="STD. DEVIATION",$C$1=1),$A250,$A250+1),COLUMN('1-DATA'!C248)),IF($B250="STD. DEVIATION",2,$F$1))))</f>
        <v/>
      </c>
      <c r="E250" s="1" t="str">
        <f>IF(OR($B250="",E$7=""),"",IF($B250="MEANS",INDEX('1-DATA'!$1:$1048576,$A249-1,COLUMN('1-DATA'!D248)),ROUND(INDEX('1-DATA'!$1:$1048576,IF(OR($B250="STD. DEVIATION",$C$1=1),$A250,$A250+1),COLUMN('1-DATA'!D248)),IF($B250="STD. DEVIATION",2,$F$1))))</f>
        <v/>
      </c>
      <c r="F250" s="1" t="str">
        <f>IF(OR($B250="",F$7=""),"",IF($B250="MEANS",INDEX('1-DATA'!$1:$1048576,$A249-1,COLUMN('1-DATA'!E248)),ROUND(INDEX('1-DATA'!$1:$1048576,IF(OR($B250="STD. DEVIATION",$C$1=1),$A250,$A250+1),COLUMN('1-DATA'!E248)),IF($B250="STD. DEVIATION",2,$F$1))))</f>
        <v/>
      </c>
      <c r="G250" s="1" t="str">
        <f>IF(OR($B250="",G$7=""),"",IF($B250="MEANS",INDEX('1-DATA'!$1:$1048576,$A249-1,COLUMN('1-DATA'!F248)),ROUND(INDEX('1-DATA'!$1:$1048576,IF(OR($B250="STD. DEVIATION",$C$1=1),$A250,$A250+1),COLUMN('1-DATA'!F248)),IF($B250="STD. DEVIATION",2,$F$1))))</f>
        <v/>
      </c>
      <c r="H250" s="1" t="str">
        <f>IF(OR($B250="",H$7=""),"",IF($B250="MEANS",INDEX('1-DATA'!$1:$1048576,$A249-1,COLUMN('1-DATA'!G248)),ROUND(INDEX('1-DATA'!$1:$1048576,IF(OR($B250="STD. DEVIATION",$C$1=1),$A250,$A250+1),COLUMN('1-DATA'!G248)),IF($B250="STD. DEVIATION",2,$F$1))))</f>
        <v/>
      </c>
      <c r="I250" s="1" t="str">
        <f>IF(OR($B250="",I$7=""),"",IF($B250="MEANS",INDEX('1-DATA'!$1:$1048576,$A249-1,COLUMN('1-DATA'!H248)),ROUND(INDEX('1-DATA'!$1:$1048576,IF(OR($B250="STD. DEVIATION",$C$1=1),$A250,$A250+1),COLUMN('1-DATA'!H248)),IF($B250="STD. DEVIATION",2,$F$1))))</f>
        <v/>
      </c>
      <c r="J250" s="1" t="str">
        <f>IF(OR($B250="",J$7=""),"",IF($B250="MEANS",INDEX('1-DATA'!$1:$1048576,$A249-1,COLUMN('1-DATA'!I248)),ROUND(INDEX('1-DATA'!$1:$1048576,IF(OR($B250="STD. DEVIATION",$C$1=1),$A250,$A250+1),COLUMN('1-DATA'!I248)),IF($B250="STD. DEVIATION",2,$F$1))))</f>
        <v/>
      </c>
      <c r="K250" s="1" t="str">
        <f>IF(OR($B250="",K$7=""),"",IF($B250="MEANS",INDEX('1-DATA'!$1:$1048576,$A249-1,COLUMN('1-DATA'!J248)),ROUND(INDEX('1-DATA'!$1:$1048576,IF(OR($B250="STD. DEVIATION",$C$1=1),$A250,$A250+1),COLUMN('1-DATA'!J248)),IF($B250="STD. DEVIATION",2,$F$1))))</f>
        <v/>
      </c>
      <c r="L250" s="1" t="str">
        <f>IF(OR($B250="",L$7=""),"",IF($B250="MEANS",INDEX('1-DATA'!$1:$1048576,$A249-1,COLUMN('1-DATA'!K248)),ROUND(INDEX('1-DATA'!$1:$1048576,IF(OR($B250="STD. DEVIATION",$C$1=1),$A250,$A250+1),COLUMN('1-DATA'!K248)),IF($B250="STD. DEVIATION",2,$F$1))))</f>
        <v/>
      </c>
      <c r="M250" s="1" t="str">
        <f>IF(OR($B250="",M$7=""),"",IF($B250="MEANS",INDEX('1-DATA'!$1:$1048576,$A249-1,COLUMN('1-DATA'!L248)),ROUND(INDEX('1-DATA'!$1:$1048576,IF(OR($B250="STD. DEVIATION",$C$1=1),$A250,$A250+1),COLUMN('1-DATA'!L248)),IF($B250="STD. DEVIATION",2,$F$1))))</f>
        <v/>
      </c>
      <c r="N250" s="1" t="str">
        <f>IF(OR($B250="",N$7=""),"",IF($B250="MEANS",INDEX('1-DATA'!$1:$1048576,$A249-1,COLUMN('1-DATA'!M248)),ROUND(INDEX('1-DATA'!$1:$1048576,IF(OR($B250="STD. DEVIATION",$C$1=1),$A250,$A250+1),COLUMN('1-DATA'!M248)),IF($B250="STD. DEVIATION",2,$F$1))))</f>
        <v/>
      </c>
      <c r="O250" s="1" t="str">
        <f>IF(OR($B250="",O$7=""),"",IF($B250="MEANS",INDEX('1-DATA'!$1:$1048576,$A249-1,COLUMN('1-DATA'!N248)),ROUND(INDEX('1-DATA'!$1:$1048576,IF(OR($B250="STD. DEVIATION",$C$1=1),$A250,$A250+1),COLUMN('1-DATA'!N248)),IF($B250="STD. DEVIATION",2,$F$1))))</f>
        <v/>
      </c>
      <c r="P250" s="1" t="str">
        <f>IF(OR($B250="",P$7=""),"",IF($B250="MEANS",INDEX('1-DATA'!$1:$1048576,$A249-1,COLUMN('1-DATA'!O248)),ROUND(INDEX('1-DATA'!$1:$1048576,IF(OR($B250="STD. DEVIATION",$C$1=1),$A250,$A250+1),COLUMN('1-DATA'!O248)),IF($B250="STD. DEVIATION",2,$F$1))))</f>
        <v/>
      </c>
      <c r="Q250" s="1" t="str">
        <f>IF(OR($B250="",Q$7=""),"",IF($B250="MEANS",INDEX('1-DATA'!$1:$1048576,$A249-1,COLUMN('1-DATA'!P248)),ROUND(INDEX('1-DATA'!$1:$1048576,IF(OR($B250="STD. DEVIATION",$C$1=1),$A250,$A250+1),COLUMN('1-DATA'!P248)),IF($B250="STD. DEVIATION",2,$F$1))))</f>
        <v/>
      </c>
      <c r="R250" s="1" t="str">
        <f>IF(OR($B250="",R$7=""),"",IF($B250="MEANS",INDEX('1-DATA'!$1:$1048576,$A249-1,COLUMN('1-DATA'!Q248)),ROUND(INDEX('1-DATA'!$1:$1048576,IF(OR($B250="STD. DEVIATION",$C$1=1),$A250,$A250+1),COLUMN('1-DATA'!Q248)),IF($B250="STD. DEVIATION",2,$F$1))))</f>
        <v/>
      </c>
      <c r="S250" s="1" t="str">
        <f>IF(OR($B250="",S$7=""),"",IF($B250="MEANS",INDEX('1-DATA'!$1:$1048576,$A249-1,COLUMN('1-DATA'!R248)),ROUND(INDEX('1-DATA'!$1:$1048576,IF(OR($B250="STD. DEVIATION",$C$1=1),$A250,$A250+1),COLUMN('1-DATA'!R248)),IF($B250="STD. DEVIATION",2,$F$1))))</f>
        <v/>
      </c>
      <c r="T250" s="1" t="str">
        <f>IF(OR($B250="",T$7=""),"",IF($B250="MEANS",INDEX('1-DATA'!$1:$1048576,$A249-1,COLUMN('1-DATA'!S248)),ROUND(INDEX('1-DATA'!$1:$1048576,IF(OR($B250="STD. DEVIATION",$C$1=1),$A250,$A250+1),COLUMN('1-DATA'!S248)),IF($B250="STD. DEVIATION",2,$F$1))))</f>
        <v/>
      </c>
      <c r="U250" s="1" t="str">
        <f>IF(OR($B250="",U$7=""),"",IF($B250="MEANS",INDEX('1-DATA'!$1:$1048576,$A249-1,COLUMN('1-DATA'!T248)),ROUND(INDEX('1-DATA'!$1:$1048576,IF(OR($B250="STD. DEVIATION",$C$1=1),$A250,$A250+1),COLUMN('1-DATA'!T248)),IF($B250="STD. DEVIATION",2,$F$1))))</f>
        <v/>
      </c>
      <c r="V250" s="1" t="str">
        <f>IF(OR($B250="",V$7=""),"",IF($B250="MEANS",INDEX('1-DATA'!$1:$1048576,$A249-1,COLUMN('1-DATA'!U248)),ROUND(INDEX('1-DATA'!$1:$1048576,IF(OR($B250="STD. DEVIATION",$C$1=1),$A250,$A250+1),COLUMN('1-DATA'!U248)),IF($B250="STD. DEVIATION",2,$F$1))))</f>
        <v/>
      </c>
      <c r="W250" s="1" t="str">
        <f>IF(OR($B250="",W$7=""),"",IF($B250="MEANS",INDEX('1-DATA'!$1:$1048576,$A249-1,COLUMN('1-DATA'!V248)),ROUND(INDEX('1-DATA'!$1:$1048576,IF(OR($B250="STD. DEVIATION",$C$1=1),$A250,$A250+1),COLUMN('1-DATA'!V248)),IF($B250="STD. DEVIATION",2,$F$1))))</f>
        <v/>
      </c>
      <c r="X250" s="1" t="str">
        <f>IF(OR($B250="",X$7=""),"",IF($B250="MEANS",INDEX('1-DATA'!$1:$1048576,$A249-1,COLUMN('1-DATA'!W248)),ROUND(INDEX('1-DATA'!$1:$1048576,IF(OR($B250="STD. DEVIATION",$C$1=1),$A250,$A250+1),COLUMN('1-DATA'!W248)),IF($B250="STD. DEVIATION",2,$F$1))))</f>
        <v/>
      </c>
      <c r="Y250" s="1" t="str">
        <f>IF(OR($B250="",Y$7=""),"",IF($B250="MEANS",INDEX('1-DATA'!$1:$1048576,$A249-1,COLUMN('1-DATA'!X248)),ROUND(INDEX('1-DATA'!$1:$1048576,IF(OR($B250="STD. DEVIATION",$C$1=1),$A250,$A250+1),COLUMN('1-DATA'!X248)),IF($B250="STD. DEVIATION",2,$F$1))))</f>
        <v/>
      </c>
      <c r="Z250" s="1" t="str">
        <f>IF(OR($B250="",Z$7=""),"",IF($B250="MEANS",INDEX('1-DATA'!$1:$1048576,$A249-1,COLUMN('1-DATA'!Y248)),ROUND(INDEX('1-DATA'!$1:$1048576,IF(OR($B250="STD. DEVIATION",$C$1=1),$A250,$A250+1),COLUMN('1-DATA'!Y248)),IF($B250="STD. DEVIATION",2,$F$1))))</f>
        <v/>
      </c>
      <c r="AA250" s="1" t="str">
        <f>IF(OR($B250="",AA$7=""),"",IF($B250="MEANS",INDEX('1-DATA'!$1:$1048576,$A249-1,COLUMN('1-DATA'!Z248)),ROUND(INDEX('1-DATA'!$1:$1048576,IF(OR($B250="STD. DEVIATION",$C$1=1),$A250,$A250+1),COLUMN('1-DATA'!Z248)),IF($B250="STD. DEVIATION",2,$F$1))))</f>
        <v/>
      </c>
      <c r="AB250" s="1" t="str">
        <f>IF(OR($B250="",AB$7=""),"",IF($B250="MEANS",INDEX('1-DATA'!$1:$1048576,$A249-1,COLUMN('1-DATA'!AA248)),ROUND(INDEX('1-DATA'!$1:$1048576,IF(OR($B250="STD. DEVIATION",$C$1=1),$A250,$A250+1),COLUMN('1-DATA'!AA248)),IF($B250="STD. DEVIATION",2,$F$1))))</f>
        <v/>
      </c>
      <c r="AC250" s="1" t="str">
        <f>IF(OR($B250="",AC$7=""),"",IF($B250="MEANS",INDEX('1-DATA'!$1:$1048576,$A249-1,COLUMN('1-DATA'!AB248)),ROUND(INDEX('1-DATA'!$1:$1048576,IF(OR($B250="STD. DEVIATION",$C$1=1),$A250,$A250+1),COLUMN('1-DATA'!AB248)),IF($B250="STD. DEVIATION",2,$F$1))))</f>
        <v/>
      </c>
      <c r="AD250" s="1" t="str">
        <f>IF(OR($B250="",AD$7=""),"",IF($B250="MEANS",INDEX('1-DATA'!$1:$1048576,$A249-1,COLUMN('1-DATA'!AC248)),ROUND(INDEX('1-DATA'!$1:$1048576,IF(OR($B250="STD. DEVIATION",$C$1=1),$A250,$A250+1),COLUMN('1-DATA'!AC248)),IF($B250="STD. DEVIATION",2,$F$1))))</f>
        <v/>
      </c>
      <c r="AE250" s="1" t="str">
        <f>IF(OR($B250="",AE$7=""),"",IF($B250="MEANS",INDEX('1-DATA'!$1:$1048576,$A249-1,COLUMN('1-DATA'!AD248)),ROUND(INDEX('1-DATA'!$1:$1048576,IF(OR($B250="STD. DEVIATION",$C$1=1),$A250,$A250+1),COLUMN('1-DATA'!AD248)),IF($B250="STD. DEVIATION",2,$F$1))))</f>
        <v/>
      </c>
      <c r="AF250" s="1" t="str">
        <f>IF(OR($B250="",AF$7=""),"",IF($B250="MEANS",INDEX('1-DATA'!$1:$1048576,$A249-1,COLUMN('1-DATA'!AE248)),ROUND(INDEX('1-DATA'!$1:$1048576,IF(OR($B250="STD. DEVIATION",$C$1=1),$A250,$A250+1),COLUMN('1-DATA'!AE248)),IF($B250="STD. DEVIATION",2,$F$1))))</f>
        <v/>
      </c>
      <c r="AG250" s="1" t="str">
        <f>IF(OR($B250="",AG$7=""),"",IF($B250="MEANS",INDEX('1-DATA'!$1:$1048576,$A249-1,COLUMN('1-DATA'!AF248)),ROUND(INDEX('1-DATA'!$1:$1048576,IF(OR($B250="STD. DEVIATION",$C$1=1),$A250,$A250+1),COLUMN('1-DATA'!AF248)),IF($B250="STD. DEVIATION",2,$F$1))))</f>
        <v/>
      </c>
      <c r="AH250" s="1" t="str">
        <f>IF(OR($B250="",AH$7=""),"",IF($B250="MEANS",INDEX('1-DATA'!$1:$1048576,$A249-1,COLUMN('1-DATA'!AG248)),ROUND(INDEX('1-DATA'!$1:$1048576,IF(OR($B250="STD. DEVIATION",$C$1=1),$A250,$A250+1),COLUMN('1-DATA'!AG248)),IF($B250="STD. DEVIATION",2,$F$1))))</f>
        <v/>
      </c>
      <c r="AI250" s="1" t="str">
        <f>IF(OR($B250="",AI$7=""),"",IF($B250="MEANS",INDEX('1-DATA'!$1:$1048576,$A249-1,COLUMN('1-DATA'!AH248)),ROUND(INDEX('1-DATA'!$1:$1048576,IF(OR($B250="STD. DEVIATION",$C$1=1),$A250,$A250+1),COLUMN('1-DATA'!AH248)),IF($B250="STD. DEVIATION",2,$F$1))))</f>
        <v/>
      </c>
      <c r="AJ250" s="1" t="str">
        <f>IF(OR($B250="",AJ$7=""),"",IF($B250="MEANS",INDEX('1-DATA'!$1:$1048576,$A249-1,COLUMN('1-DATA'!AI248)),ROUND(INDEX('1-DATA'!$1:$1048576,IF(OR($B250="STD. DEVIATION",$C$1=1),$A250,$A250+1),COLUMN('1-DATA'!AI248)),IF($B250="STD. DEVIATION",2,$F$1))))</f>
        <v/>
      </c>
      <c r="AK250" s="1" t="str">
        <f>IF(OR($B250="",AK$7=""),"",IF($B250="MEANS",INDEX('1-DATA'!$1:$1048576,$A249-1,COLUMN('1-DATA'!AJ248)),ROUND(INDEX('1-DATA'!$1:$1048576,IF(OR($B250="STD. DEVIATION",$C$1=1),$A250,$A250+1),COLUMN('1-DATA'!AJ248)),IF($B250="STD. DEVIATION",2,$F$1))))</f>
        <v/>
      </c>
      <c r="AL250" s="1" t="str">
        <f>IF(OR($B250="",AL$7=""),"",IF($B250="MEANS",INDEX('1-DATA'!$1:$1048576,$A249-1,COLUMN('1-DATA'!AK248)),ROUND(INDEX('1-DATA'!$1:$1048576,IF(OR($B250="STD. DEVIATION",$C$1=1),$A250,$A250+1),COLUMN('1-DATA'!AK248)),IF($B250="STD. DEVIATION",2,$F$1))))</f>
        <v/>
      </c>
      <c r="AM250" s="1" t="str">
        <f>IF(OR($B250="",AM$7=""),"",IF($B250="MEANS",INDEX('1-DATA'!$1:$1048576,$A249-1,COLUMN('1-DATA'!AL248)),ROUND(INDEX('1-DATA'!$1:$1048576,IF(OR($B250="STD. DEVIATION",$C$1=1),$A250,$A250+1),COLUMN('1-DATA'!AL248)),IF($B250="STD. DEVIATION",2,$F$1))))</f>
        <v/>
      </c>
      <c r="AN250" s="1" t="str">
        <f>IF(OR($B250="",AN$7=""),"",IF($B250="MEANS",INDEX('1-DATA'!$1:$1048576,$A249-1,COLUMN('1-DATA'!AM248)),ROUND(INDEX('1-DATA'!$1:$1048576,IF(OR($B250="STD. DEVIATION",$C$1=1),$A250,$A250+1),COLUMN('1-DATA'!AM248)),IF($B250="STD. DEVIATION",2,$F$1))))</f>
        <v/>
      </c>
      <c r="AO250" s="1" t="str">
        <f>IF(OR($B250="",AO$7=""),"",IF($B250="MEANS",INDEX('1-DATA'!$1:$1048576,$A249-1,COLUMN('1-DATA'!AN248)),ROUND(INDEX('1-DATA'!$1:$1048576,IF(OR($B250="STD. DEVIATION",$C$1=1),$A250,$A250+1),COLUMN('1-DATA'!AN248)),IF($B250="STD. DEVIATION",2,$F$1))))</f>
        <v/>
      </c>
      <c r="AP250" s="1" t="str">
        <f>IF(OR($B250="",AP$7=""),"",IF($B250="MEANS",INDEX('1-DATA'!$1:$1048576,$A249-1,COLUMN('1-DATA'!AO248)),ROUND(INDEX('1-DATA'!$1:$1048576,IF(OR($B250="STD. DEVIATION",$C$1=1),$A250,$A250+1),COLUMN('1-DATA'!AO248)),IF($B250="STD. DEVIATION",2,$F$1))))</f>
        <v/>
      </c>
      <c r="AQ250" s="1" t="str">
        <f>IF(OR($B250="",AQ$7=""),"",IF($B250="MEANS",INDEX('1-DATA'!$1:$1048576,$A249-1,COLUMN('1-DATA'!AP248)),ROUND(INDEX('1-DATA'!$1:$1048576,IF(OR($B250="STD. DEVIATION",$C$1=1),$A250,$A250+1),COLUMN('1-DATA'!AP248)),IF($B250="STD. DEVIATION",2,$F$1))))</f>
        <v/>
      </c>
      <c r="AR250" s="1" t="str">
        <f>IF(OR($B250="",AR$7=""),"",IF($B250="MEANS",INDEX('1-DATA'!$1:$1048576,$A249-1,COLUMN('1-DATA'!AQ248)),ROUND(INDEX('1-DATA'!$1:$1048576,IF(OR($B250="STD. DEVIATION",$C$1=1),$A250,$A250+1),COLUMN('1-DATA'!AQ248)),IF($B250="STD. DEVIATION",2,$F$1))))</f>
        <v/>
      </c>
      <c r="AS250" s="1" t="str">
        <f>IF(OR($B250="",AS$7=""),"",IF($B250="MEANS",INDEX('1-DATA'!$1:$1048576,$A249-1,COLUMN('1-DATA'!AR248)),ROUND(INDEX('1-DATA'!$1:$1048576,IF(OR($B250="STD. DEVIATION",$C$1=1),$A250,$A250+1),COLUMN('1-DATA'!AR248)),IF($B250="STD. DEVIATION",2,$F$1))))</f>
        <v/>
      </c>
      <c r="AT250" s="1" t="str">
        <f>IF(OR($B250="",AT$7=""),"",IF($B250="MEANS",INDEX('1-DATA'!$1:$1048576,$A249-1,COLUMN('1-DATA'!AS248)),ROUND(INDEX('1-DATA'!$1:$1048576,IF(OR($B250="STD. DEVIATION",$C$1=1),$A250,$A250+1),COLUMN('1-DATA'!AS248)),IF($B250="STD. DEVIATION",2,$F$1))))</f>
        <v/>
      </c>
      <c r="AU250" s="1" t="str">
        <f>IF(OR($B250="",AU$7=""),"",IF($B250="MEANS",INDEX('1-DATA'!$1:$1048576,$A249-1,COLUMN('1-DATA'!AT248)),ROUND(INDEX('1-DATA'!$1:$1048576,IF(OR($B250="STD. DEVIATION",$C$1=1),$A250,$A250+1),COLUMN('1-DATA'!AT248)),IF($B250="STD. DEVIATION",2,$F$1))))</f>
        <v/>
      </c>
      <c r="AV250" s="1" t="str">
        <f>IF(OR($B250="",AV$7=""),"",IF($B250="MEANS",INDEX('1-DATA'!$1:$1048576,$A249-1,COLUMN('1-DATA'!AU248)),ROUND(INDEX('1-DATA'!$1:$1048576,IF(OR($B250="STD. DEVIATION",$C$1=1),$A250,$A250+1),COLUMN('1-DATA'!AU248)),IF($B250="STD. DEVIATION",2,$F$1))))</f>
        <v/>
      </c>
      <c r="AW250" s="1" t="str">
        <f>IF(OR($B250="",AW$7=""),"",IF($B250="MEANS",INDEX('1-DATA'!$1:$1048576,$A249-1,COLUMN('1-DATA'!AV248)),ROUND(INDEX('1-DATA'!$1:$1048576,IF(OR($B250="STD. DEVIATION",$C$1=1),$A250,$A250+1),COLUMN('1-DATA'!AV248)),IF($B250="STD. DEVIATION",2,$F$1))))</f>
        <v/>
      </c>
      <c r="AX250" s="1" t="str">
        <f>IF(OR($B250="",AX$7=""),"",IF($B250="MEANS",INDEX('1-DATA'!$1:$1048576,$A249-1,COLUMN('1-DATA'!AW248)),ROUND(INDEX('1-DATA'!$1:$1048576,IF(OR($B250="STD. DEVIATION",$C$1=1),$A250,$A250+1),COLUMN('1-DATA'!AW248)),IF($B250="STD. DEVIATION",2,$F$1))))</f>
        <v/>
      </c>
      <c r="AY250" s="1" t="str">
        <f>IF(OR($B250="",AY$7=""),"",IF($B250="MEANS",INDEX('1-DATA'!$1:$1048576,$A249-1,COLUMN('1-DATA'!AX248)),ROUND(INDEX('1-DATA'!$1:$1048576,IF(OR($B250="STD. DEVIATION",$C$1=1),$A250,$A250+1),COLUMN('1-DATA'!AX248)),IF($B250="STD. DEVIATION",2,$F$1))))</f>
        <v/>
      </c>
      <c r="AZ250" s="1" t="str">
        <f>IF(OR($B250="",AZ$7=""),"",IF($B250="MEANS",INDEX('1-DATA'!$1:$1048576,$A249-1,COLUMN('1-DATA'!AY248)),ROUND(INDEX('1-DATA'!$1:$1048576,IF(OR($B250="STD. DEVIATION",$C$1=1),$A250,$A250+1),COLUMN('1-DATA'!AY248)),IF($B250="STD. DEVIATION",2,$F$1))))</f>
        <v/>
      </c>
    </row>
    <row r="251" spans="1:52" x14ac:dyDescent="0.25">
      <c r="A251" s="11">
        <f t="shared" si="4"/>
        <v>739</v>
      </c>
      <c r="B251" s="1" t="str">
        <f>IF(B250="STD. DEVIATION",INDEX('1-DATA'!$1:$1048576,$A250-1,1),IF(INDEX('1-DATA'!$1:$1048576,$A251,1)&lt;&gt;"",INDEX('1-DATA'!$1:$1048576,$A251,1),""))</f>
        <v/>
      </c>
      <c r="C251" s="1" t="str">
        <f>IF(OR($B251="",C$7=""),"",IF($B251="MEANS",INDEX('1-DATA'!$1:$1048576,$A250-1,COLUMN('1-DATA'!B249)),ROUND(INDEX('1-DATA'!$1:$1048576,IF(OR($B251="STD. DEVIATION",$C$1=1),$A251,$A251+1),COLUMN('1-DATA'!B249)),IF($B251="STD. DEVIATION",2,$F$1))))</f>
        <v/>
      </c>
      <c r="D251" s="1" t="str">
        <f>IF(OR($B251="",D$7=""),"",IF($B251="MEANS",INDEX('1-DATA'!$1:$1048576,$A250-1,COLUMN('1-DATA'!C249)),ROUND(INDEX('1-DATA'!$1:$1048576,IF(OR($B251="STD. DEVIATION",$C$1=1),$A251,$A251+1),COLUMN('1-DATA'!C249)),IF($B251="STD. DEVIATION",2,$F$1))))</f>
        <v/>
      </c>
      <c r="E251" s="1" t="str">
        <f>IF(OR($B251="",E$7=""),"",IF($B251="MEANS",INDEX('1-DATA'!$1:$1048576,$A250-1,COLUMN('1-DATA'!D249)),ROUND(INDEX('1-DATA'!$1:$1048576,IF(OR($B251="STD. DEVIATION",$C$1=1),$A251,$A251+1),COLUMN('1-DATA'!D249)),IF($B251="STD. DEVIATION",2,$F$1))))</f>
        <v/>
      </c>
      <c r="F251" s="1" t="str">
        <f>IF(OR($B251="",F$7=""),"",IF($B251="MEANS",INDEX('1-DATA'!$1:$1048576,$A250-1,COLUMN('1-DATA'!E249)),ROUND(INDEX('1-DATA'!$1:$1048576,IF(OR($B251="STD. DEVIATION",$C$1=1),$A251,$A251+1),COLUMN('1-DATA'!E249)),IF($B251="STD. DEVIATION",2,$F$1))))</f>
        <v/>
      </c>
      <c r="G251" s="1" t="str">
        <f>IF(OR($B251="",G$7=""),"",IF($B251="MEANS",INDEX('1-DATA'!$1:$1048576,$A250-1,COLUMN('1-DATA'!F249)),ROUND(INDEX('1-DATA'!$1:$1048576,IF(OR($B251="STD. DEVIATION",$C$1=1),$A251,$A251+1),COLUMN('1-DATA'!F249)),IF($B251="STD. DEVIATION",2,$F$1))))</f>
        <v/>
      </c>
      <c r="H251" s="1" t="str">
        <f>IF(OR($B251="",H$7=""),"",IF($B251="MEANS",INDEX('1-DATA'!$1:$1048576,$A250-1,COLUMN('1-DATA'!G249)),ROUND(INDEX('1-DATA'!$1:$1048576,IF(OR($B251="STD. DEVIATION",$C$1=1),$A251,$A251+1),COLUMN('1-DATA'!G249)),IF($B251="STD. DEVIATION",2,$F$1))))</f>
        <v/>
      </c>
      <c r="I251" s="1" t="str">
        <f>IF(OR($B251="",I$7=""),"",IF($B251="MEANS",INDEX('1-DATA'!$1:$1048576,$A250-1,COLUMN('1-DATA'!H249)),ROUND(INDEX('1-DATA'!$1:$1048576,IF(OR($B251="STD. DEVIATION",$C$1=1),$A251,$A251+1),COLUMN('1-DATA'!H249)),IF($B251="STD. DEVIATION",2,$F$1))))</f>
        <v/>
      </c>
      <c r="J251" s="1" t="str">
        <f>IF(OR($B251="",J$7=""),"",IF($B251="MEANS",INDEX('1-DATA'!$1:$1048576,$A250-1,COLUMN('1-DATA'!I249)),ROUND(INDEX('1-DATA'!$1:$1048576,IF(OR($B251="STD. DEVIATION",$C$1=1),$A251,$A251+1),COLUMN('1-DATA'!I249)),IF($B251="STD. DEVIATION",2,$F$1))))</f>
        <v/>
      </c>
      <c r="K251" s="1" t="str">
        <f>IF(OR($B251="",K$7=""),"",IF($B251="MEANS",INDEX('1-DATA'!$1:$1048576,$A250-1,COLUMN('1-DATA'!J249)),ROUND(INDEX('1-DATA'!$1:$1048576,IF(OR($B251="STD. DEVIATION",$C$1=1),$A251,$A251+1),COLUMN('1-DATA'!J249)),IF($B251="STD. DEVIATION",2,$F$1))))</f>
        <v/>
      </c>
      <c r="L251" s="1" t="str">
        <f>IF(OR($B251="",L$7=""),"",IF($B251="MEANS",INDEX('1-DATA'!$1:$1048576,$A250-1,COLUMN('1-DATA'!K249)),ROUND(INDEX('1-DATA'!$1:$1048576,IF(OR($B251="STD. DEVIATION",$C$1=1),$A251,$A251+1),COLUMN('1-DATA'!K249)),IF($B251="STD. DEVIATION",2,$F$1))))</f>
        <v/>
      </c>
      <c r="M251" s="1" t="str">
        <f>IF(OR($B251="",M$7=""),"",IF($B251="MEANS",INDEX('1-DATA'!$1:$1048576,$A250-1,COLUMN('1-DATA'!L249)),ROUND(INDEX('1-DATA'!$1:$1048576,IF(OR($B251="STD. DEVIATION",$C$1=1),$A251,$A251+1),COLUMN('1-DATA'!L249)),IF($B251="STD. DEVIATION",2,$F$1))))</f>
        <v/>
      </c>
      <c r="N251" s="1" t="str">
        <f>IF(OR($B251="",N$7=""),"",IF($B251="MEANS",INDEX('1-DATA'!$1:$1048576,$A250-1,COLUMN('1-DATA'!M249)),ROUND(INDEX('1-DATA'!$1:$1048576,IF(OR($B251="STD. DEVIATION",$C$1=1),$A251,$A251+1),COLUMN('1-DATA'!M249)),IF($B251="STD. DEVIATION",2,$F$1))))</f>
        <v/>
      </c>
      <c r="O251" s="1" t="str">
        <f>IF(OR($B251="",O$7=""),"",IF($B251="MEANS",INDEX('1-DATA'!$1:$1048576,$A250-1,COLUMN('1-DATA'!N249)),ROUND(INDEX('1-DATA'!$1:$1048576,IF(OR($B251="STD. DEVIATION",$C$1=1),$A251,$A251+1),COLUMN('1-DATA'!N249)),IF($B251="STD. DEVIATION",2,$F$1))))</f>
        <v/>
      </c>
      <c r="P251" s="1" t="str">
        <f>IF(OR($B251="",P$7=""),"",IF($B251="MEANS",INDEX('1-DATA'!$1:$1048576,$A250-1,COLUMN('1-DATA'!O249)),ROUND(INDEX('1-DATA'!$1:$1048576,IF(OR($B251="STD. DEVIATION",$C$1=1),$A251,$A251+1),COLUMN('1-DATA'!O249)),IF($B251="STD. DEVIATION",2,$F$1))))</f>
        <v/>
      </c>
      <c r="Q251" s="1" t="str">
        <f>IF(OR($B251="",Q$7=""),"",IF($B251="MEANS",INDEX('1-DATA'!$1:$1048576,$A250-1,COLUMN('1-DATA'!P249)),ROUND(INDEX('1-DATA'!$1:$1048576,IF(OR($B251="STD. DEVIATION",$C$1=1),$A251,$A251+1),COLUMN('1-DATA'!P249)),IF($B251="STD. DEVIATION",2,$F$1))))</f>
        <v/>
      </c>
      <c r="R251" s="1" t="str">
        <f>IF(OR($B251="",R$7=""),"",IF($B251="MEANS",INDEX('1-DATA'!$1:$1048576,$A250-1,COLUMN('1-DATA'!Q249)),ROUND(INDEX('1-DATA'!$1:$1048576,IF(OR($B251="STD. DEVIATION",$C$1=1),$A251,$A251+1),COLUMN('1-DATA'!Q249)),IF($B251="STD. DEVIATION",2,$F$1))))</f>
        <v/>
      </c>
      <c r="S251" s="1" t="str">
        <f>IF(OR($B251="",S$7=""),"",IF($B251="MEANS",INDEX('1-DATA'!$1:$1048576,$A250-1,COLUMN('1-DATA'!R249)),ROUND(INDEX('1-DATA'!$1:$1048576,IF(OR($B251="STD. DEVIATION",$C$1=1),$A251,$A251+1),COLUMN('1-DATA'!R249)),IF($B251="STD. DEVIATION",2,$F$1))))</f>
        <v/>
      </c>
      <c r="T251" s="1" t="str">
        <f>IF(OR($B251="",T$7=""),"",IF($B251="MEANS",INDEX('1-DATA'!$1:$1048576,$A250-1,COLUMN('1-DATA'!S249)),ROUND(INDEX('1-DATA'!$1:$1048576,IF(OR($B251="STD. DEVIATION",$C$1=1),$A251,$A251+1),COLUMN('1-DATA'!S249)),IF($B251="STD. DEVIATION",2,$F$1))))</f>
        <v/>
      </c>
      <c r="U251" s="1" t="str">
        <f>IF(OR($B251="",U$7=""),"",IF($B251="MEANS",INDEX('1-DATA'!$1:$1048576,$A250-1,COLUMN('1-DATA'!T249)),ROUND(INDEX('1-DATA'!$1:$1048576,IF(OR($B251="STD. DEVIATION",$C$1=1),$A251,$A251+1),COLUMN('1-DATA'!T249)),IF($B251="STD. DEVIATION",2,$F$1))))</f>
        <v/>
      </c>
      <c r="V251" s="1" t="str">
        <f>IF(OR($B251="",V$7=""),"",IF($B251="MEANS",INDEX('1-DATA'!$1:$1048576,$A250-1,COLUMN('1-DATA'!U249)),ROUND(INDEX('1-DATA'!$1:$1048576,IF(OR($B251="STD. DEVIATION",$C$1=1),$A251,$A251+1),COLUMN('1-DATA'!U249)),IF($B251="STD. DEVIATION",2,$F$1))))</f>
        <v/>
      </c>
      <c r="W251" s="1" t="str">
        <f>IF(OR($B251="",W$7=""),"",IF($B251="MEANS",INDEX('1-DATA'!$1:$1048576,$A250-1,COLUMN('1-DATA'!V249)),ROUND(INDEX('1-DATA'!$1:$1048576,IF(OR($B251="STD. DEVIATION",$C$1=1),$A251,$A251+1),COLUMN('1-DATA'!V249)),IF($B251="STD. DEVIATION",2,$F$1))))</f>
        <v/>
      </c>
      <c r="X251" s="1" t="str">
        <f>IF(OR($B251="",X$7=""),"",IF($B251="MEANS",INDEX('1-DATA'!$1:$1048576,$A250-1,COLUMN('1-DATA'!W249)),ROUND(INDEX('1-DATA'!$1:$1048576,IF(OR($B251="STD. DEVIATION",$C$1=1),$A251,$A251+1),COLUMN('1-DATA'!W249)),IF($B251="STD. DEVIATION",2,$F$1))))</f>
        <v/>
      </c>
      <c r="Y251" s="1" t="str">
        <f>IF(OR($B251="",Y$7=""),"",IF($B251="MEANS",INDEX('1-DATA'!$1:$1048576,$A250-1,COLUMN('1-DATA'!X249)),ROUND(INDEX('1-DATA'!$1:$1048576,IF(OR($B251="STD. DEVIATION",$C$1=1),$A251,$A251+1),COLUMN('1-DATA'!X249)),IF($B251="STD. DEVIATION",2,$F$1))))</f>
        <v/>
      </c>
      <c r="Z251" s="1" t="str">
        <f>IF(OR($B251="",Z$7=""),"",IF($B251="MEANS",INDEX('1-DATA'!$1:$1048576,$A250-1,COLUMN('1-DATA'!Y249)),ROUND(INDEX('1-DATA'!$1:$1048576,IF(OR($B251="STD. DEVIATION",$C$1=1),$A251,$A251+1),COLUMN('1-DATA'!Y249)),IF($B251="STD. DEVIATION",2,$F$1))))</f>
        <v/>
      </c>
      <c r="AA251" s="1" t="str">
        <f>IF(OR($B251="",AA$7=""),"",IF($B251="MEANS",INDEX('1-DATA'!$1:$1048576,$A250-1,COLUMN('1-DATA'!Z249)),ROUND(INDEX('1-DATA'!$1:$1048576,IF(OR($B251="STD. DEVIATION",$C$1=1),$A251,$A251+1),COLUMN('1-DATA'!Z249)),IF($B251="STD. DEVIATION",2,$F$1))))</f>
        <v/>
      </c>
      <c r="AB251" s="1" t="str">
        <f>IF(OR($B251="",AB$7=""),"",IF($B251="MEANS",INDEX('1-DATA'!$1:$1048576,$A250-1,COLUMN('1-DATA'!AA249)),ROUND(INDEX('1-DATA'!$1:$1048576,IF(OR($B251="STD. DEVIATION",$C$1=1),$A251,$A251+1),COLUMN('1-DATA'!AA249)),IF($B251="STD. DEVIATION",2,$F$1))))</f>
        <v/>
      </c>
      <c r="AC251" s="1" t="str">
        <f>IF(OR($B251="",AC$7=""),"",IF($B251="MEANS",INDEX('1-DATA'!$1:$1048576,$A250-1,COLUMN('1-DATA'!AB249)),ROUND(INDEX('1-DATA'!$1:$1048576,IF(OR($B251="STD. DEVIATION",$C$1=1),$A251,$A251+1),COLUMN('1-DATA'!AB249)),IF($B251="STD. DEVIATION",2,$F$1))))</f>
        <v/>
      </c>
      <c r="AD251" s="1" t="str">
        <f>IF(OR($B251="",AD$7=""),"",IF($B251="MEANS",INDEX('1-DATA'!$1:$1048576,$A250-1,COLUMN('1-DATA'!AC249)),ROUND(INDEX('1-DATA'!$1:$1048576,IF(OR($B251="STD. DEVIATION",$C$1=1),$A251,$A251+1),COLUMN('1-DATA'!AC249)),IF($B251="STD. DEVIATION",2,$F$1))))</f>
        <v/>
      </c>
      <c r="AE251" s="1" t="str">
        <f>IF(OR($B251="",AE$7=""),"",IF($B251="MEANS",INDEX('1-DATA'!$1:$1048576,$A250-1,COLUMN('1-DATA'!AD249)),ROUND(INDEX('1-DATA'!$1:$1048576,IF(OR($B251="STD. DEVIATION",$C$1=1),$A251,$A251+1),COLUMN('1-DATA'!AD249)),IF($B251="STD. DEVIATION",2,$F$1))))</f>
        <v/>
      </c>
      <c r="AF251" s="1" t="str">
        <f>IF(OR($B251="",AF$7=""),"",IF($B251="MEANS",INDEX('1-DATA'!$1:$1048576,$A250-1,COLUMN('1-DATA'!AE249)),ROUND(INDEX('1-DATA'!$1:$1048576,IF(OR($B251="STD. DEVIATION",$C$1=1),$A251,$A251+1),COLUMN('1-DATA'!AE249)),IF($B251="STD. DEVIATION",2,$F$1))))</f>
        <v/>
      </c>
      <c r="AG251" s="1" t="str">
        <f>IF(OR($B251="",AG$7=""),"",IF($B251="MEANS",INDEX('1-DATA'!$1:$1048576,$A250-1,COLUMN('1-DATA'!AF249)),ROUND(INDEX('1-DATA'!$1:$1048576,IF(OR($B251="STD. DEVIATION",$C$1=1),$A251,$A251+1),COLUMN('1-DATA'!AF249)),IF($B251="STD. DEVIATION",2,$F$1))))</f>
        <v/>
      </c>
      <c r="AH251" s="1" t="str">
        <f>IF(OR($B251="",AH$7=""),"",IF($B251="MEANS",INDEX('1-DATA'!$1:$1048576,$A250-1,COLUMN('1-DATA'!AG249)),ROUND(INDEX('1-DATA'!$1:$1048576,IF(OR($B251="STD. DEVIATION",$C$1=1),$A251,$A251+1),COLUMN('1-DATA'!AG249)),IF($B251="STD. DEVIATION",2,$F$1))))</f>
        <v/>
      </c>
      <c r="AI251" s="1" t="str">
        <f>IF(OR($B251="",AI$7=""),"",IF($B251="MEANS",INDEX('1-DATA'!$1:$1048576,$A250-1,COLUMN('1-DATA'!AH249)),ROUND(INDEX('1-DATA'!$1:$1048576,IF(OR($B251="STD. DEVIATION",$C$1=1),$A251,$A251+1),COLUMN('1-DATA'!AH249)),IF($B251="STD. DEVIATION",2,$F$1))))</f>
        <v/>
      </c>
      <c r="AJ251" s="1" t="str">
        <f>IF(OR($B251="",AJ$7=""),"",IF($B251="MEANS",INDEX('1-DATA'!$1:$1048576,$A250-1,COLUMN('1-DATA'!AI249)),ROUND(INDEX('1-DATA'!$1:$1048576,IF(OR($B251="STD. DEVIATION",$C$1=1),$A251,$A251+1),COLUMN('1-DATA'!AI249)),IF($B251="STD. DEVIATION",2,$F$1))))</f>
        <v/>
      </c>
      <c r="AK251" s="1" t="str">
        <f>IF(OR($B251="",AK$7=""),"",IF($B251="MEANS",INDEX('1-DATA'!$1:$1048576,$A250-1,COLUMN('1-DATA'!AJ249)),ROUND(INDEX('1-DATA'!$1:$1048576,IF(OR($B251="STD. DEVIATION",$C$1=1),$A251,$A251+1),COLUMN('1-DATA'!AJ249)),IF($B251="STD. DEVIATION",2,$F$1))))</f>
        <v/>
      </c>
      <c r="AL251" s="1" t="str">
        <f>IF(OR($B251="",AL$7=""),"",IF($B251="MEANS",INDEX('1-DATA'!$1:$1048576,$A250-1,COLUMN('1-DATA'!AK249)),ROUND(INDEX('1-DATA'!$1:$1048576,IF(OR($B251="STD. DEVIATION",$C$1=1),$A251,$A251+1),COLUMN('1-DATA'!AK249)),IF($B251="STD. DEVIATION",2,$F$1))))</f>
        <v/>
      </c>
      <c r="AM251" s="1" t="str">
        <f>IF(OR($B251="",AM$7=""),"",IF($B251="MEANS",INDEX('1-DATA'!$1:$1048576,$A250-1,COLUMN('1-DATA'!AL249)),ROUND(INDEX('1-DATA'!$1:$1048576,IF(OR($B251="STD. DEVIATION",$C$1=1),$A251,$A251+1),COLUMN('1-DATA'!AL249)),IF($B251="STD. DEVIATION",2,$F$1))))</f>
        <v/>
      </c>
      <c r="AN251" s="1" t="str">
        <f>IF(OR($B251="",AN$7=""),"",IF($B251="MEANS",INDEX('1-DATA'!$1:$1048576,$A250-1,COLUMN('1-DATA'!AM249)),ROUND(INDEX('1-DATA'!$1:$1048576,IF(OR($B251="STD. DEVIATION",$C$1=1),$A251,$A251+1),COLUMN('1-DATA'!AM249)),IF($B251="STD. DEVIATION",2,$F$1))))</f>
        <v/>
      </c>
      <c r="AO251" s="1" t="str">
        <f>IF(OR($B251="",AO$7=""),"",IF($B251="MEANS",INDEX('1-DATA'!$1:$1048576,$A250-1,COLUMN('1-DATA'!AN249)),ROUND(INDEX('1-DATA'!$1:$1048576,IF(OR($B251="STD. DEVIATION",$C$1=1),$A251,$A251+1),COLUMN('1-DATA'!AN249)),IF($B251="STD. DEVIATION",2,$F$1))))</f>
        <v/>
      </c>
      <c r="AP251" s="1" t="str">
        <f>IF(OR($B251="",AP$7=""),"",IF($B251="MEANS",INDEX('1-DATA'!$1:$1048576,$A250-1,COLUMN('1-DATA'!AO249)),ROUND(INDEX('1-DATA'!$1:$1048576,IF(OR($B251="STD. DEVIATION",$C$1=1),$A251,$A251+1),COLUMN('1-DATA'!AO249)),IF($B251="STD. DEVIATION",2,$F$1))))</f>
        <v/>
      </c>
      <c r="AQ251" s="1" t="str">
        <f>IF(OR($B251="",AQ$7=""),"",IF($B251="MEANS",INDEX('1-DATA'!$1:$1048576,$A250-1,COLUMN('1-DATA'!AP249)),ROUND(INDEX('1-DATA'!$1:$1048576,IF(OR($B251="STD. DEVIATION",$C$1=1),$A251,$A251+1),COLUMN('1-DATA'!AP249)),IF($B251="STD. DEVIATION",2,$F$1))))</f>
        <v/>
      </c>
      <c r="AR251" s="1" t="str">
        <f>IF(OR($B251="",AR$7=""),"",IF($B251="MEANS",INDEX('1-DATA'!$1:$1048576,$A250-1,COLUMN('1-DATA'!AQ249)),ROUND(INDEX('1-DATA'!$1:$1048576,IF(OR($B251="STD. DEVIATION",$C$1=1),$A251,$A251+1),COLUMN('1-DATA'!AQ249)),IF($B251="STD. DEVIATION",2,$F$1))))</f>
        <v/>
      </c>
      <c r="AS251" s="1" t="str">
        <f>IF(OR($B251="",AS$7=""),"",IF($B251="MEANS",INDEX('1-DATA'!$1:$1048576,$A250-1,COLUMN('1-DATA'!AR249)),ROUND(INDEX('1-DATA'!$1:$1048576,IF(OR($B251="STD. DEVIATION",$C$1=1),$A251,$A251+1),COLUMN('1-DATA'!AR249)),IF($B251="STD. DEVIATION",2,$F$1))))</f>
        <v/>
      </c>
      <c r="AT251" s="1" t="str">
        <f>IF(OR($B251="",AT$7=""),"",IF($B251="MEANS",INDEX('1-DATA'!$1:$1048576,$A250-1,COLUMN('1-DATA'!AS249)),ROUND(INDEX('1-DATA'!$1:$1048576,IF(OR($B251="STD. DEVIATION",$C$1=1),$A251,$A251+1),COLUMN('1-DATA'!AS249)),IF($B251="STD. DEVIATION",2,$F$1))))</f>
        <v/>
      </c>
      <c r="AU251" s="1" t="str">
        <f>IF(OR($B251="",AU$7=""),"",IF($B251="MEANS",INDEX('1-DATA'!$1:$1048576,$A250-1,COLUMN('1-DATA'!AT249)),ROUND(INDEX('1-DATA'!$1:$1048576,IF(OR($B251="STD. DEVIATION",$C$1=1),$A251,$A251+1),COLUMN('1-DATA'!AT249)),IF($B251="STD. DEVIATION",2,$F$1))))</f>
        <v/>
      </c>
      <c r="AV251" s="1" t="str">
        <f>IF(OR($B251="",AV$7=""),"",IF($B251="MEANS",INDEX('1-DATA'!$1:$1048576,$A250-1,COLUMN('1-DATA'!AU249)),ROUND(INDEX('1-DATA'!$1:$1048576,IF(OR($B251="STD. DEVIATION",$C$1=1),$A251,$A251+1),COLUMN('1-DATA'!AU249)),IF($B251="STD. DEVIATION",2,$F$1))))</f>
        <v/>
      </c>
      <c r="AW251" s="1" t="str">
        <f>IF(OR($B251="",AW$7=""),"",IF($B251="MEANS",INDEX('1-DATA'!$1:$1048576,$A250-1,COLUMN('1-DATA'!AV249)),ROUND(INDEX('1-DATA'!$1:$1048576,IF(OR($B251="STD. DEVIATION",$C$1=1),$A251,$A251+1),COLUMN('1-DATA'!AV249)),IF($B251="STD. DEVIATION",2,$F$1))))</f>
        <v/>
      </c>
      <c r="AX251" s="1" t="str">
        <f>IF(OR($B251="",AX$7=""),"",IF($B251="MEANS",INDEX('1-DATA'!$1:$1048576,$A250-1,COLUMN('1-DATA'!AW249)),ROUND(INDEX('1-DATA'!$1:$1048576,IF(OR($B251="STD. DEVIATION",$C$1=1),$A251,$A251+1),COLUMN('1-DATA'!AW249)),IF($B251="STD. DEVIATION",2,$F$1))))</f>
        <v/>
      </c>
      <c r="AY251" s="1" t="str">
        <f>IF(OR($B251="",AY$7=""),"",IF($B251="MEANS",INDEX('1-DATA'!$1:$1048576,$A250-1,COLUMN('1-DATA'!AX249)),ROUND(INDEX('1-DATA'!$1:$1048576,IF(OR($B251="STD. DEVIATION",$C$1=1),$A251,$A251+1),COLUMN('1-DATA'!AX249)),IF($B251="STD. DEVIATION",2,$F$1))))</f>
        <v/>
      </c>
      <c r="AZ251" s="1" t="str">
        <f>IF(OR($B251="",AZ$7=""),"",IF($B251="MEANS",INDEX('1-DATA'!$1:$1048576,$A250-1,COLUMN('1-DATA'!AY249)),ROUND(INDEX('1-DATA'!$1:$1048576,IF(OR($B251="STD. DEVIATION",$C$1=1),$A251,$A251+1),COLUMN('1-DATA'!AY249)),IF($B251="STD. DEVIATION",2,$F$1))))</f>
        <v/>
      </c>
    </row>
    <row r="252" spans="1:52" x14ac:dyDescent="0.25">
      <c r="A252" s="11">
        <f t="shared" si="4"/>
        <v>742</v>
      </c>
      <c r="B252" s="1" t="str">
        <f>IF(B251="STD. DEVIATION",INDEX('1-DATA'!$1:$1048576,$A251-1,1),IF(INDEX('1-DATA'!$1:$1048576,$A252,1)&lt;&gt;"",INDEX('1-DATA'!$1:$1048576,$A252,1),""))</f>
        <v/>
      </c>
      <c r="C252" s="1" t="str">
        <f>IF(OR($B252="",C$7=""),"",IF($B252="MEANS",INDEX('1-DATA'!$1:$1048576,$A251-1,COLUMN('1-DATA'!B250)),ROUND(INDEX('1-DATA'!$1:$1048576,IF(OR($B252="STD. DEVIATION",$C$1=1),$A252,$A252+1),COLUMN('1-DATA'!B250)),IF($B252="STD. DEVIATION",2,$F$1))))</f>
        <v/>
      </c>
      <c r="D252" s="1" t="str">
        <f>IF(OR($B252="",D$7=""),"",IF($B252="MEANS",INDEX('1-DATA'!$1:$1048576,$A251-1,COLUMN('1-DATA'!C250)),ROUND(INDEX('1-DATA'!$1:$1048576,IF(OR($B252="STD. DEVIATION",$C$1=1),$A252,$A252+1),COLUMN('1-DATA'!C250)),IF($B252="STD. DEVIATION",2,$F$1))))</f>
        <v/>
      </c>
      <c r="E252" s="1" t="str">
        <f>IF(OR($B252="",E$7=""),"",IF($B252="MEANS",INDEX('1-DATA'!$1:$1048576,$A251-1,COLUMN('1-DATA'!D250)),ROUND(INDEX('1-DATA'!$1:$1048576,IF(OR($B252="STD. DEVIATION",$C$1=1),$A252,$A252+1),COLUMN('1-DATA'!D250)),IF($B252="STD. DEVIATION",2,$F$1))))</f>
        <v/>
      </c>
      <c r="F252" s="1" t="str">
        <f>IF(OR($B252="",F$7=""),"",IF($B252="MEANS",INDEX('1-DATA'!$1:$1048576,$A251-1,COLUMN('1-DATA'!E250)),ROUND(INDEX('1-DATA'!$1:$1048576,IF(OR($B252="STD. DEVIATION",$C$1=1),$A252,$A252+1),COLUMN('1-DATA'!E250)),IF($B252="STD. DEVIATION",2,$F$1))))</f>
        <v/>
      </c>
      <c r="G252" s="1" t="str">
        <f>IF(OR($B252="",G$7=""),"",IF($B252="MEANS",INDEX('1-DATA'!$1:$1048576,$A251-1,COLUMN('1-DATA'!F250)),ROUND(INDEX('1-DATA'!$1:$1048576,IF(OR($B252="STD. DEVIATION",$C$1=1),$A252,$A252+1),COLUMN('1-DATA'!F250)),IF($B252="STD. DEVIATION",2,$F$1))))</f>
        <v/>
      </c>
      <c r="H252" s="1" t="str">
        <f>IF(OR($B252="",H$7=""),"",IF($B252="MEANS",INDEX('1-DATA'!$1:$1048576,$A251-1,COLUMN('1-DATA'!G250)),ROUND(INDEX('1-DATA'!$1:$1048576,IF(OR($B252="STD. DEVIATION",$C$1=1),$A252,$A252+1),COLUMN('1-DATA'!G250)),IF($B252="STD. DEVIATION",2,$F$1))))</f>
        <v/>
      </c>
      <c r="I252" s="1" t="str">
        <f>IF(OR($B252="",I$7=""),"",IF($B252="MEANS",INDEX('1-DATA'!$1:$1048576,$A251-1,COLUMN('1-DATA'!H250)),ROUND(INDEX('1-DATA'!$1:$1048576,IF(OR($B252="STD. DEVIATION",$C$1=1),$A252,$A252+1),COLUMN('1-DATA'!H250)),IF($B252="STD. DEVIATION",2,$F$1))))</f>
        <v/>
      </c>
      <c r="J252" s="1" t="str">
        <f>IF(OR($B252="",J$7=""),"",IF($B252="MEANS",INDEX('1-DATA'!$1:$1048576,$A251-1,COLUMN('1-DATA'!I250)),ROUND(INDEX('1-DATA'!$1:$1048576,IF(OR($B252="STD. DEVIATION",$C$1=1),$A252,$A252+1),COLUMN('1-DATA'!I250)),IF($B252="STD. DEVIATION",2,$F$1))))</f>
        <v/>
      </c>
      <c r="K252" s="1" t="str">
        <f>IF(OR($B252="",K$7=""),"",IF($B252="MEANS",INDEX('1-DATA'!$1:$1048576,$A251-1,COLUMN('1-DATA'!J250)),ROUND(INDEX('1-DATA'!$1:$1048576,IF(OR($B252="STD. DEVIATION",$C$1=1),$A252,$A252+1),COLUMN('1-DATA'!J250)),IF($B252="STD. DEVIATION",2,$F$1))))</f>
        <v/>
      </c>
      <c r="L252" s="1" t="str">
        <f>IF(OR($B252="",L$7=""),"",IF($B252="MEANS",INDEX('1-DATA'!$1:$1048576,$A251-1,COLUMN('1-DATA'!K250)),ROUND(INDEX('1-DATA'!$1:$1048576,IF(OR($B252="STD. DEVIATION",$C$1=1),$A252,$A252+1),COLUMN('1-DATA'!K250)),IF($B252="STD. DEVIATION",2,$F$1))))</f>
        <v/>
      </c>
      <c r="M252" s="1" t="str">
        <f>IF(OR($B252="",M$7=""),"",IF($B252="MEANS",INDEX('1-DATA'!$1:$1048576,$A251-1,COLUMN('1-DATA'!L250)),ROUND(INDEX('1-DATA'!$1:$1048576,IF(OR($B252="STD. DEVIATION",$C$1=1),$A252,$A252+1),COLUMN('1-DATA'!L250)),IF($B252="STD. DEVIATION",2,$F$1))))</f>
        <v/>
      </c>
      <c r="N252" s="1" t="str">
        <f>IF(OR($B252="",N$7=""),"",IF($B252="MEANS",INDEX('1-DATA'!$1:$1048576,$A251-1,COLUMN('1-DATA'!M250)),ROUND(INDEX('1-DATA'!$1:$1048576,IF(OR($B252="STD. DEVIATION",$C$1=1),$A252,$A252+1),COLUMN('1-DATA'!M250)),IF($B252="STD. DEVIATION",2,$F$1))))</f>
        <v/>
      </c>
      <c r="O252" s="1" t="str">
        <f>IF(OR($B252="",O$7=""),"",IF($B252="MEANS",INDEX('1-DATA'!$1:$1048576,$A251-1,COLUMN('1-DATA'!N250)),ROUND(INDEX('1-DATA'!$1:$1048576,IF(OR($B252="STD. DEVIATION",$C$1=1),$A252,$A252+1),COLUMN('1-DATA'!N250)),IF($B252="STD. DEVIATION",2,$F$1))))</f>
        <v/>
      </c>
      <c r="P252" s="1" t="str">
        <f>IF(OR($B252="",P$7=""),"",IF($B252="MEANS",INDEX('1-DATA'!$1:$1048576,$A251-1,COLUMN('1-DATA'!O250)),ROUND(INDEX('1-DATA'!$1:$1048576,IF(OR($B252="STD. DEVIATION",$C$1=1),$A252,$A252+1),COLUMN('1-DATA'!O250)),IF($B252="STD. DEVIATION",2,$F$1))))</f>
        <v/>
      </c>
      <c r="Q252" s="1" t="str">
        <f>IF(OR($B252="",Q$7=""),"",IF($B252="MEANS",INDEX('1-DATA'!$1:$1048576,$A251-1,COLUMN('1-DATA'!P250)),ROUND(INDEX('1-DATA'!$1:$1048576,IF(OR($B252="STD. DEVIATION",$C$1=1),$A252,$A252+1),COLUMN('1-DATA'!P250)),IF($B252="STD. DEVIATION",2,$F$1))))</f>
        <v/>
      </c>
      <c r="R252" s="1" t="str">
        <f>IF(OR($B252="",R$7=""),"",IF($B252="MEANS",INDEX('1-DATA'!$1:$1048576,$A251-1,COLUMN('1-DATA'!Q250)),ROUND(INDEX('1-DATA'!$1:$1048576,IF(OR($B252="STD. DEVIATION",$C$1=1),$A252,$A252+1),COLUMN('1-DATA'!Q250)),IF($B252="STD. DEVIATION",2,$F$1))))</f>
        <v/>
      </c>
      <c r="S252" s="1" t="str">
        <f>IF(OR($B252="",S$7=""),"",IF($B252="MEANS",INDEX('1-DATA'!$1:$1048576,$A251-1,COLUMN('1-DATA'!R250)),ROUND(INDEX('1-DATA'!$1:$1048576,IF(OR($B252="STD. DEVIATION",$C$1=1),$A252,$A252+1),COLUMN('1-DATA'!R250)),IF($B252="STD. DEVIATION",2,$F$1))))</f>
        <v/>
      </c>
      <c r="T252" s="1" t="str">
        <f>IF(OR($B252="",T$7=""),"",IF($B252="MEANS",INDEX('1-DATA'!$1:$1048576,$A251-1,COLUMN('1-DATA'!S250)),ROUND(INDEX('1-DATA'!$1:$1048576,IF(OR($B252="STD. DEVIATION",$C$1=1),$A252,$A252+1),COLUMN('1-DATA'!S250)),IF($B252="STD. DEVIATION",2,$F$1))))</f>
        <v/>
      </c>
      <c r="U252" s="1" t="str">
        <f>IF(OR($B252="",U$7=""),"",IF($B252="MEANS",INDEX('1-DATA'!$1:$1048576,$A251-1,COLUMN('1-DATA'!T250)),ROUND(INDEX('1-DATA'!$1:$1048576,IF(OR($B252="STD. DEVIATION",$C$1=1),$A252,$A252+1),COLUMN('1-DATA'!T250)),IF($B252="STD. DEVIATION",2,$F$1))))</f>
        <v/>
      </c>
      <c r="V252" s="1" t="str">
        <f>IF(OR($B252="",V$7=""),"",IF($B252="MEANS",INDEX('1-DATA'!$1:$1048576,$A251-1,COLUMN('1-DATA'!U250)),ROUND(INDEX('1-DATA'!$1:$1048576,IF(OR($B252="STD. DEVIATION",$C$1=1),$A252,$A252+1),COLUMN('1-DATA'!U250)),IF($B252="STD. DEVIATION",2,$F$1))))</f>
        <v/>
      </c>
      <c r="W252" s="1" t="str">
        <f>IF(OR($B252="",W$7=""),"",IF($B252="MEANS",INDEX('1-DATA'!$1:$1048576,$A251-1,COLUMN('1-DATA'!V250)),ROUND(INDEX('1-DATA'!$1:$1048576,IF(OR($B252="STD. DEVIATION",$C$1=1),$A252,$A252+1),COLUMN('1-DATA'!V250)),IF($B252="STD. DEVIATION",2,$F$1))))</f>
        <v/>
      </c>
      <c r="X252" s="1" t="str">
        <f>IF(OR($B252="",X$7=""),"",IF($B252="MEANS",INDEX('1-DATA'!$1:$1048576,$A251-1,COLUMN('1-DATA'!W250)),ROUND(INDEX('1-DATA'!$1:$1048576,IF(OR($B252="STD. DEVIATION",$C$1=1),$A252,$A252+1),COLUMN('1-DATA'!W250)),IF($B252="STD. DEVIATION",2,$F$1))))</f>
        <v/>
      </c>
      <c r="Y252" s="1" t="str">
        <f>IF(OR($B252="",Y$7=""),"",IF($B252="MEANS",INDEX('1-DATA'!$1:$1048576,$A251-1,COLUMN('1-DATA'!X250)),ROUND(INDEX('1-DATA'!$1:$1048576,IF(OR($B252="STD. DEVIATION",$C$1=1),$A252,$A252+1),COLUMN('1-DATA'!X250)),IF($B252="STD. DEVIATION",2,$F$1))))</f>
        <v/>
      </c>
      <c r="Z252" s="1" t="str">
        <f>IF(OR($B252="",Z$7=""),"",IF($B252="MEANS",INDEX('1-DATA'!$1:$1048576,$A251-1,COLUMN('1-DATA'!Y250)),ROUND(INDEX('1-DATA'!$1:$1048576,IF(OR($B252="STD. DEVIATION",$C$1=1),$A252,$A252+1),COLUMN('1-DATA'!Y250)),IF($B252="STD. DEVIATION",2,$F$1))))</f>
        <v/>
      </c>
      <c r="AA252" s="1" t="str">
        <f>IF(OR($B252="",AA$7=""),"",IF($B252="MEANS",INDEX('1-DATA'!$1:$1048576,$A251-1,COLUMN('1-DATA'!Z250)),ROUND(INDEX('1-DATA'!$1:$1048576,IF(OR($B252="STD. DEVIATION",$C$1=1),$A252,$A252+1),COLUMN('1-DATA'!Z250)),IF($B252="STD. DEVIATION",2,$F$1))))</f>
        <v/>
      </c>
      <c r="AB252" s="1" t="str">
        <f>IF(OR($B252="",AB$7=""),"",IF($B252="MEANS",INDEX('1-DATA'!$1:$1048576,$A251-1,COLUMN('1-DATA'!AA250)),ROUND(INDEX('1-DATA'!$1:$1048576,IF(OR($B252="STD. DEVIATION",$C$1=1),$A252,$A252+1),COLUMN('1-DATA'!AA250)),IF($B252="STD. DEVIATION",2,$F$1))))</f>
        <v/>
      </c>
      <c r="AC252" s="1" t="str">
        <f>IF(OR($B252="",AC$7=""),"",IF($B252="MEANS",INDEX('1-DATA'!$1:$1048576,$A251-1,COLUMN('1-DATA'!AB250)),ROUND(INDEX('1-DATA'!$1:$1048576,IF(OR($B252="STD. DEVIATION",$C$1=1),$A252,$A252+1),COLUMN('1-DATA'!AB250)),IF($B252="STD. DEVIATION",2,$F$1))))</f>
        <v/>
      </c>
      <c r="AD252" s="1" t="str">
        <f>IF(OR($B252="",AD$7=""),"",IF($B252="MEANS",INDEX('1-DATA'!$1:$1048576,$A251-1,COLUMN('1-DATA'!AC250)),ROUND(INDEX('1-DATA'!$1:$1048576,IF(OR($B252="STD. DEVIATION",$C$1=1),$A252,$A252+1),COLUMN('1-DATA'!AC250)),IF($B252="STD. DEVIATION",2,$F$1))))</f>
        <v/>
      </c>
      <c r="AE252" s="1" t="str">
        <f>IF(OR($B252="",AE$7=""),"",IF($B252="MEANS",INDEX('1-DATA'!$1:$1048576,$A251-1,COLUMN('1-DATA'!AD250)),ROUND(INDEX('1-DATA'!$1:$1048576,IF(OR($B252="STD. DEVIATION",$C$1=1),$A252,$A252+1),COLUMN('1-DATA'!AD250)),IF($B252="STD. DEVIATION",2,$F$1))))</f>
        <v/>
      </c>
      <c r="AF252" s="1" t="str">
        <f>IF(OR($B252="",AF$7=""),"",IF($B252="MEANS",INDEX('1-DATA'!$1:$1048576,$A251-1,COLUMN('1-DATA'!AE250)),ROUND(INDEX('1-DATA'!$1:$1048576,IF(OR($B252="STD. DEVIATION",$C$1=1),$A252,$A252+1),COLUMN('1-DATA'!AE250)),IF($B252="STD. DEVIATION",2,$F$1))))</f>
        <v/>
      </c>
      <c r="AG252" s="1" t="str">
        <f>IF(OR($B252="",AG$7=""),"",IF($B252="MEANS",INDEX('1-DATA'!$1:$1048576,$A251-1,COLUMN('1-DATA'!AF250)),ROUND(INDEX('1-DATA'!$1:$1048576,IF(OR($B252="STD. DEVIATION",$C$1=1),$A252,$A252+1),COLUMN('1-DATA'!AF250)),IF($B252="STD. DEVIATION",2,$F$1))))</f>
        <v/>
      </c>
      <c r="AH252" s="1" t="str">
        <f>IF(OR($B252="",AH$7=""),"",IF($B252="MEANS",INDEX('1-DATA'!$1:$1048576,$A251-1,COLUMN('1-DATA'!AG250)),ROUND(INDEX('1-DATA'!$1:$1048576,IF(OR($B252="STD. DEVIATION",$C$1=1),$A252,$A252+1),COLUMN('1-DATA'!AG250)),IF($B252="STD. DEVIATION",2,$F$1))))</f>
        <v/>
      </c>
      <c r="AI252" s="1" t="str">
        <f>IF(OR($B252="",AI$7=""),"",IF($B252="MEANS",INDEX('1-DATA'!$1:$1048576,$A251-1,COLUMN('1-DATA'!AH250)),ROUND(INDEX('1-DATA'!$1:$1048576,IF(OR($B252="STD. DEVIATION",$C$1=1),$A252,$A252+1),COLUMN('1-DATA'!AH250)),IF($B252="STD. DEVIATION",2,$F$1))))</f>
        <v/>
      </c>
      <c r="AJ252" s="1" t="str">
        <f>IF(OR($B252="",AJ$7=""),"",IF($B252="MEANS",INDEX('1-DATA'!$1:$1048576,$A251-1,COLUMN('1-DATA'!AI250)),ROUND(INDEX('1-DATA'!$1:$1048576,IF(OR($B252="STD. DEVIATION",$C$1=1),$A252,$A252+1),COLUMN('1-DATA'!AI250)),IF($B252="STD. DEVIATION",2,$F$1))))</f>
        <v/>
      </c>
      <c r="AK252" s="1" t="str">
        <f>IF(OR($B252="",AK$7=""),"",IF($B252="MEANS",INDEX('1-DATA'!$1:$1048576,$A251-1,COLUMN('1-DATA'!AJ250)),ROUND(INDEX('1-DATA'!$1:$1048576,IF(OR($B252="STD. DEVIATION",$C$1=1),$A252,$A252+1),COLUMN('1-DATA'!AJ250)),IF($B252="STD. DEVIATION",2,$F$1))))</f>
        <v/>
      </c>
      <c r="AL252" s="1" t="str">
        <f>IF(OR($B252="",AL$7=""),"",IF($B252="MEANS",INDEX('1-DATA'!$1:$1048576,$A251-1,COLUMN('1-DATA'!AK250)),ROUND(INDEX('1-DATA'!$1:$1048576,IF(OR($B252="STD. DEVIATION",$C$1=1),$A252,$A252+1),COLUMN('1-DATA'!AK250)),IF($B252="STD. DEVIATION",2,$F$1))))</f>
        <v/>
      </c>
      <c r="AM252" s="1" t="str">
        <f>IF(OR($B252="",AM$7=""),"",IF($B252="MEANS",INDEX('1-DATA'!$1:$1048576,$A251-1,COLUMN('1-DATA'!AL250)),ROUND(INDEX('1-DATA'!$1:$1048576,IF(OR($B252="STD. DEVIATION",$C$1=1),$A252,$A252+1),COLUMN('1-DATA'!AL250)),IF($B252="STD. DEVIATION",2,$F$1))))</f>
        <v/>
      </c>
      <c r="AN252" s="1" t="str">
        <f>IF(OR($B252="",AN$7=""),"",IF($B252="MEANS",INDEX('1-DATA'!$1:$1048576,$A251-1,COLUMN('1-DATA'!AM250)),ROUND(INDEX('1-DATA'!$1:$1048576,IF(OR($B252="STD. DEVIATION",$C$1=1),$A252,$A252+1),COLUMN('1-DATA'!AM250)),IF($B252="STD. DEVIATION",2,$F$1))))</f>
        <v/>
      </c>
      <c r="AO252" s="1" t="str">
        <f>IF(OR($B252="",AO$7=""),"",IF($B252="MEANS",INDEX('1-DATA'!$1:$1048576,$A251-1,COLUMN('1-DATA'!AN250)),ROUND(INDEX('1-DATA'!$1:$1048576,IF(OR($B252="STD. DEVIATION",$C$1=1),$A252,$A252+1),COLUMN('1-DATA'!AN250)),IF($B252="STD. DEVIATION",2,$F$1))))</f>
        <v/>
      </c>
      <c r="AP252" s="1" t="str">
        <f>IF(OR($B252="",AP$7=""),"",IF($B252="MEANS",INDEX('1-DATA'!$1:$1048576,$A251-1,COLUMN('1-DATA'!AO250)),ROUND(INDEX('1-DATA'!$1:$1048576,IF(OR($B252="STD. DEVIATION",$C$1=1),$A252,$A252+1),COLUMN('1-DATA'!AO250)),IF($B252="STD. DEVIATION",2,$F$1))))</f>
        <v/>
      </c>
      <c r="AQ252" s="1" t="str">
        <f>IF(OR($B252="",AQ$7=""),"",IF($B252="MEANS",INDEX('1-DATA'!$1:$1048576,$A251-1,COLUMN('1-DATA'!AP250)),ROUND(INDEX('1-DATA'!$1:$1048576,IF(OR($B252="STD. DEVIATION",$C$1=1),$A252,$A252+1),COLUMN('1-DATA'!AP250)),IF($B252="STD. DEVIATION",2,$F$1))))</f>
        <v/>
      </c>
      <c r="AR252" s="1" t="str">
        <f>IF(OR($B252="",AR$7=""),"",IF($B252="MEANS",INDEX('1-DATA'!$1:$1048576,$A251-1,COLUMN('1-DATA'!AQ250)),ROUND(INDEX('1-DATA'!$1:$1048576,IF(OR($B252="STD. DEVIATION",$C$1=1),$A252,$A252+1),COLUMN('1-DATA'!AQ250)),IF($B252="STD. DEVIATION",2,$F$1))))</f>
        <v/>
      </c>
      <c r="AS252" s="1" t="str">
        <f>IF(OR($B252="",AS$7=""),"",IF($B252="MEANS",INDEX('1-DATA'!$1:$1048576,$A251-1,COLUMN('1-DATA'!AR250)),ROUND(INDEX('1-DATA'!$1:$1048576,IF(OR($B252="STD. DEVIATION",$C$1=1),$A252,$A252+1),COLUMN('1-DATA'!AR250)),IF($B252="STD. DEVIATION",2,$F$1))))</f>
        <v/>
      </c>
      <c r="AT252" s="1" t="str">
        <f>IF(OR($B252="",AT$7=""),"",IF($B252="MEANS",INDEX('1-DATA'!$1:$1048576,$A251-1,COLUMN('1-DATA'!AS250)),ROUND(INDEX('1-DATA'!$1:$1048576,IF(OR($B252="STD. DEVIATION",$C$1=1),$A252,$A252+1),COLUMN('1-DATA'!AS250)),IF($B252="STD. DEVIATION",2,$F$1))))</f>
        <v/>
      </c>
      <c r="AU252" s="1" t="str">
        <f>IF(OR($B252="",AU$7=""),"",IF($B252="MEANS",INDEX('1-DATA'!$1:$1048576,$A251-1,COLUMN('1-DATA'!AT250)),ROUND(INDEX('1-DATA'!$1:$1048576,IF(OR($B252="STD. DEVIATION",$C$1=1),$A252,$A252+1),COLUMN('1-DATA'!AT250)),IF($B252="STD. DEVIATION",2,$F$1))))</f>
        <v/>
      </c>
      <c r="AV252" s="1" t="str">
        <f>IF(OR($B252="",AV$7=""),"",IF($B252="MEANS",INDEX('1-DATA'!$1:$1048576,$A251-1,COLUMN('1-DATA'!AU250)),ROUND(INDEX('1-DATA'!$1:$1048576,IF(OR($B252="STD. DEVIATION",$C$1=1),$A252,$A252+1),COLUMN('1-DATA'!AU250)),IF($B252="STD. DEVIATION",2,$F$1))))</f>
        <v/>
      </c>
      <c r="AW252" s="1" t="str">
        <f>IF(OR($B252="",AW$7=""),"",IF($B252="MEANS",INDEX('1-DATA'!$1:$1048576,$A251-1,COLUMN('1-DATA'!AV250)),ROUND(INDEX('1-DATA'!$1:$1048576,IF(OR($B252="STD. DEVIATION",$C$1=1),$A252,$A252+1),COLUMN('1-DATA'!AV250)),IF($B252="STD. DEVIATION",2,$F$1))))</f>
        <v/>
      </c>
      <c r="AX252" s="1" t="str">
        <f>IF(OR($B252="",AX$7=""),"",IF($B252="MEANS",INDEX('1-DATA'!$1:$1048576,$A251-1,COLUMN('1-DATA'!AW250)),ROUND(INDEX('1-DATA'!$1:$1048576,IF(OR($B252="STD. DEVIATION",$C$1=1),$A252,$A252+1),COLUMN('1-DATA'!AW250)),IF($B252="STD. DEVIATION",2,$F$1))))</f>
        <v/>
      </c>
      <c r="AY252" s="1" t="str">
        <f>IF(OR($B252="",AY$7=""),"",IF($B252="MEANS",INDEX('1-DATA'!$1:$1048576,$A251-1,COLUMN('1-DATA'!AX250)),ROUND(INDEX('1-DATA'!$1:$1048576,IF(OR($B252="STD. DEVIATION",$C$1=1),$A252,$A252+1),COLUMN('1-DATA'!AX250)),IF($B252="STD. DEVIATION",2,$F$1))))</f>
        <v/>
      </c>
      <c r="AZ252" s="1" t="str">
        <f>IF(OR($B252="",AZ$7=""),"",IF($B252="MEANS",INDEX('1-DATA'!$1:$1048576,$A251-1,COLUMN('1-DATA'!AY250)),ROUND(INDEX('1-DATA'!$1:$1048576,IF(OR($B252="STD. DEVIATION",$C$1=1),$A252,$A252+1),COLUMN('1-DATA'!AY250)),IF($B252="STD. DEVIATION",2,$F$1))))</f>
        <v/>
      </c>
    </row>
    <row r="253" spans="1:52" x14ac:dyDescent="0.25">
      <c r="A253" s="11">
        <f t="shared" si="4"/>
        <v>745</v>
      </c>
      <c r="B253" s="1" t="str">
        <f>IF(B252="STD. DEVIATION",INDEX('1-DATA'!$1:$1048576,$A252-1,1),IF(INDEX('1-DATA'!$1:$1048576,$A253,1)&lt;&gt;"",INDEX('1-DATA'!$1:$1048576,$A253,1),""))</f>
        <v/>
      </c>
      <c r="C253" s="1" t="str">
        <f>IF(OR($B253="",C$7=""),"",IF($B253="MEANS",INDEX('1-DATA'!$1:$1048576,$A252-1,COLUMN('1-DATA'!B251)),ROUND(INDEX('1-DATA'!$1:$1048576,IF(OR($B253="STD. DEVIATION",$C$1=1),$A253,$A253+1),COLUMN('1-DATA'!B251)),IF($B253="STD. DEVIATION",2,$F$1))))</f>
        <v/>
      </c>
      <c r="D253" s="1" t="str">
        <f>IF(OR($B253="",D$7=""),"",IF($B253="MEANS",INDEX('1-DATA'!$1:$1048576,$A252-1,COLUMN('1-DATA'!C251)),ROUND(INDEX('1-DATA'!$1:$1048576,IF(OR($B253="STD. DEVIATION",$C$1=1),$A253,$A253+1),COLUMN('1-DATA'!C251)),IF($B253="STD. DEVIATION",2,$F$1))))</f>
        <v/>
      </c>
      <c r="E253" s="1" t="str">
        <f>IF(OR($B253="",E$7=""),"",IF($B253="MEANS",INDEX('1-DATA'!$1:$1048576,$A252-1,COLUMN('1-DATA'!D251)),ROUND(INDEX('1-DATA'!$1:$1048576,IF(OR($B253="STD. DEVIATION",$C$1=1),$A253,$A253+1),COLUMN('1-DATA'!D251)),IF($B253="STD. DEVIATION",2,$F$1))))</f>
        <v/>
      </c>
      <c r="F253" s="1" t="str">
        <f>IF(OR($B253="",F$7=""),"",IF($B253="MEANS",INDEX('1-DATA'!$1:$1048576,$A252-1,COLUMN('1-DATA'!E251)),ROUND(INDEX('1-DATA'!$1:$1048576,IF(OR($B253="STD. DEVIATION",$C$1=1),$A253,$A253+1),COLUMN('1-DATA'!E251)),IF($B253="STD. DEVIATION",2,$F$1))))</f>
        <v/>
      </c>
      <c r="G253" s="1" t="str">
        <f>IF(OR($B253="",G$7=""),"",IF($B253="MEANS",INDEX('1-DATA'!$1:$1048576,$A252-1,COLUMN('1-DATA'!F251)),ROUND(INDEX('1-DATA'!$1:$1048576,IF(OR($B253="STD. DEVIATION",$C$1=1),$A253,$A253+1),COLUMN('1-DATA'!F251)),IF($B253="STD. DEVIATION",2,$F$1))))</f>
        <v/>
      </c>
      <c r="H253" s="1" t="str">
        <f>IF(OR($B253="",H$7=""),"",IF($B253="MEANS",INDEX('1-DATA'!$1:$1048576,$A252-1,COLUMN('1-DATA'!G251)),ROUND(INDEX('1-DATA'!$1:$1048576,IF(OR($B253="STD. DEVIATION",$C$1=1),$A253,$A253+1),COLUMN('1-DATA'!G251)),IF($B253="STD. DEVIATION",2,$F$1))))</f>
        <v/>
      </c>
      <c r="I253" s="1" t="str">
        <f>IF(OR($B253="",I$7=""),"",IF($B253="MEANS",INDEX('1-DATA'!$1:$1048576,$A252-1,COLUMN('1-DATA'!H251)),ROUND(INDEX('1-DATA'!$1:$1048576,IF(OR($B253="STD. DEVIATION",$C$1=1),$A253,$A253+1),COLUMN('1-DATA'!H251)),IF($B253="STD. DEVIATION",2,$F$1))))</f>
        <v/>
      </c>
      <c r="J253" s="1" t="str">
        <f>IF(OR($B253="",J$7=""),"",IF($B253="MEANS",INDEX('1-DATA'!$1:$1048576,$A252-1,COLUMN('1-DATA'!I251)),ROUND(INDEX('1-DATA'!$1:$1048576,IF(OR($B253="STD. DEVIATION",$C$1=1),$A253,$A253+1),COLUMN('1-DATA'!I251)),IF($B253="STD. DEVIATION",2,$F$1))))</f>
        <v/>
      </c>
      <c r="K253" s="1" t="str">
        <f>IF(OR($B253="",K$7=""),"",IF($B253="MEANS",INDEX('1-DATA'!$1:$1048576,$A252-1,COLUMN('1-DATA'!J251)),ROUND(INDEX('1-DATA'!$1:$1048576,IF(OR($B253="STD. DEVIATION",$C$1=1),$A253,$A253+1),COLUMN('1-DATA'!J251)),IF($B253="STD. DEVIATION",2,$F$1))))</f>
        <v/>
      </c>
      <c r="L253" s="1" t="str">
        <f>IF(OR($B253="",L$7=""),"",IF($B253="MEANS",INDEX('1-DATA'!$1:$1048576,$A252-1,COLUMN('1-DATA'!K251)),ROUND(INDEX('1-DATA'!$1:$1048576,IF(OR($B253="STD. DEVIATION",$C$1=1),$A253,$A253+1),COLUMN('1-DATA'!K251)),IF($B253="STD. DEVIATION",2,$F$1))))</f>
        <v/>
      </c>
      <c r="M253" s="1" t="str">
        <f>IF(OR($B253="",M$7=""),"",IF($B253="MEANS",INDEX('1-DATA'!$1:$1048576,$A252-1,COLUMN('1-DATA'!L251)),ROUND(INDEX('1-DATA'!$1:$1048576,IF(OR($B253="STD. DEVIATION",$C$1=1),$A253,$A253+1),COLUMN('1-DATA'!L251)),IF($B253="STD. DEVIATION",2,$F$1))))</f>
        <v/>
      </c>
      <c r="N253" s="1" t="str">
        <f>IF(OR($B253="",N$7=""),"",IF($B253="MEANS",INDEX('1-DATA'!$1:$1048576,$A252-1,COLUMN('1-DATA'!M251)),ROUND(INDEX('1-DATA'!$1:$1048576,IF(OR($B253="STD. DEVIATION",$C$1=1),$A253,$A253+1),COLUMN('1-DATA'!M251)),IF($B253="STD. DEVIATION",2,$F$1))))</f>
        <v/>
      </c>
      <c r="O253" s="1" t="str">
        <f>IF(OR($B253="",O$7=""),"",IF($B253="MEANS",INDEX('1-DATA'!$1:$1048576,$A252-1,COLUMN('1-DATA'!N251)),ROUND(INDEX('1-DATA'!$1:$1048576,IF(OR($B253="STD. DEVIATION",$C$1=1),$A253,$A253+1),COLUMN('1-DATA'!N251)),IF($B253="STD. DEVIATION",2,$F$1))))</f>
        <v/>
      </c>
      <c r="P253" s="1" t="str">
        <f>IF(OR($B253="",P$7=""),"",IF($B253="MEANS",INDEX('1-DATA'!$1:$1048576,$A252-1,COLUMN('1-DATA'!O251)),ROUND(INDEX('1-DATA'!$1:$1048576,IF(OR($B253="STD. DEVIATION",$C$1=1),$A253,$A253+1),COLUMN('1-DATA'!O251)),IF($B253="STD. DEVIATION",2,$F$1))))</f>
        <v/>
      </c>
      <c r="Q253" s="1" t="str">
        <f>IF(OR($B253="",Q$7=""),"",IF($B253="MEANS",INDEX('1-DATA'!$1:$1048576,$A252-1,COLUMN('1-DATA'!P251)),ROUND(INDEX('1-DATA'!$1:$1048576,IF(OR($B253="STD. DEVIATION",$C$1=1),$A253,$A253+1),COLUMN('1-DATA'!P251)),IF($B253="STD. DEVIATION",2,$F$1))))</f>
        <v/>
      </c>
      <c r="R253" s="1" t="str">
        <f>IF(OR($B253="",R$7=""),"",IF($B253="MEANS",INDEX('1-DATA'!$1:$1048576,$A252-1,COLUMN('1-DATA'!Q251)),ROUND(INDEX('1-DATA'!$1:$1048576,IF(OR($B253="STD. DEVIATION",$C$1=1),$A253,$A253+1),COLUMN('1-DATA'!Q251)),IF($B253="STD. DEVIATION",2,$F$1))))</f>
        <v/>
      </c>
      <c r="S253" s="1" t="str">
        <f>IF(OR($B253="",S$7=""),"",IF($B253="MEANS",INDEX('1-DATA'!$1:$1048576,$A252-1,COLUMN('1-DATA'!R251)),ROUND(INDEX('1-DATA'!$1:$1048576,IF(OR($B253="STD. DEVIATION",$C$1=1),$A253,$A253+1),COLUMN('1-DATA'!R251)),IF($B253="STD. DEVIATION",2,$F$1))))</f>
        <v/>
      </c>
      <c r="T253" s="1" t="str">
        <f>IF(OR($B253="",T$7=""),"",IF($B253="MEANS",INDEX('1-DATA'!$1:$1048576,$A252-1,COLUMN('1-DATA'!S251)),ROUND(INDEX('1-DATA'!$1:$1048576,IF(OR($B253="STD. DEVIATION",$C$1=1),$A253,$A253+1),COLUMN('1-DATA'!S251)),IF($B253="STD. DEVIATION",2,$F$1))))</f>
        <v/>
      </c>
      <c r="U253" s="1" t="str">
        <f>IF(OR($B253="",U$7=""),"",IF($B253="MEANS",INDEX('1-DATA'!$1:$1048576,$A252-1,COLUMN('1-DATA'!T251)),ROUND(INDEX('1-DATA'!$1:$1048576,IF(OR($B253="STD. DEVIATION",$C$1=1),$A253,$A253+1),COLUMN('1-DATA'!T251)),IF($B253="STD. DEVIATION",2,$F$1))))</f>
        <v/>
      </c>
      <c r="V253" s="1" t="str">
        <f>IF(OR($B253="",V$7=""),"",IF($B253="MEANS",INDEX('1-DATA'!$1:$1048576,$A252-1,COLUMN('1-DATA'!U251)),ROUND(INDEX('1-DATA'!$1:$1048576,IF(OR($B253="STD. DEVIATION",$C$1=1),$A253,$A253+1),COLUMN('1-DATA'!U251)),IF($B253="STD. DEVIATION",2,$F$1))))</f>
        <v/>
      </c>
      <c r="W253" s="1" t="str">
        <f>IF(OR($B253="",W$7=""),"",IF($B253="MEANS",INDEX('1-DATA'!$1:$1048576,$A252-1,COLUMN('1-DATA'!V251)),ROUND(INDEX('1-DATA'!$1:$1048576,IF(OR($B253="STD. DEVIATION",$C$1=1),$A253,$A253+1),COLUMN('1-DATA'!V251)),IF($B253="STD. DEVIATION",2,$F$1))))</f>
        <v/>
      </c>
      <c r="X253" s="1" t="str">
        <f>IF(OR($B253="",X$7=""),"",IF($B253="MEANS",INDEX('1-DATA'!$1:$1048576,$A252-1,COLUMN('1-DATA'!W251)),ROUND(INDEX('1-DATA'!$1:$1048576,IF(OR($B253="STD. DEVIATION",$C$1=1),$A253,$A253+1),COLUMN('1-DATA'!W251)),IF($B253="STD. DEVIATION",2,$F$1))))</f>
        <v/>
      </c>
      <c r="Y253" s="1" t="str">
        <f>IF(OR($B253="",Y$7=""),"",IF($B253="MEANS",INDEX('1-DATA'!$1:$1048576,$A252-1,COLUMN('1-DATA'!X251)),ROUND(INDEX('1-DATA'!$1:$1048576,IF(OR($B253="STD. DEVIATION",$C$1=1),$A253,$A253+1),COLUMN('1-DATA'!X251)),IF($B253="STD. DEVIATION",2,$F$1))))</f>
        <v/>
      </c>
      <c r="Z253" s="1" t="str">
        <f>IF(OR($B253="",Z$7=""),"",IF($B253="MEANS",INDEX('1-DATA'!$1:$1048576,$A252-1,COLUMN('1-DATA'!Y251)),ROUND(INDEX('1-DATA'!$1:$1048576,IF(OR($B253="STD. DEVIATION",$C$1=1),$A253,$A253+1),COLUMN('1-DATA'!Y251)),IF($B253="STD. DEVIATION",2,$F$1))))</f>
        <v/>
      </c>
      <c r="AA253" s="1" t="str">
        <f>IF(OR($B253="",AA$7=""),"",IF($B253="MEANS",INDEX('1-DATA'!$1:$1048576,$A252-1,COLUMN('1-DATA'!Z251)),ROUND(INDEX('1-DATA'!$1:$1048576,IF(OR($B253="STD. DEVIATION",$C$1=1),$A253,$A253+1),COLUMN('1-DATA'!Z251)),IF($B253="STD. DEVIATION",2,$F$1))))</f>
        <v/>
      </c>
      <c r="AB253" s="1" t="str">
        <f>IF(OR($B253="",AB$7=""),"",IF($B253="MEANS",INDEX('1-DATA'!$1:$1048576,$A252-1,COLUMN('1-DATA'!AA251)),ROUND(INDEX('1-DATA'!$1:$1048576,IF(OR($B253="STD. DEVIATION",$C$1=1),$A253,$A253+1),COLUMN('1-DATA'!AA251)),IF($B253="STD. DEVIATION",2,$F$1))))</f>
        <v/>
      </c>
      <c r="AC253" s="1" t="str">
        <f>IF(OR($B253="",AC$7=""),"",IF($B253="MEANS",INDEX('1-DATA'!$1:$1048576,$A252-1,COLUMN('1-DATA'!AB251)),ROUND(INDEX('1-DATA'!$1:$1048576,IF(OR($B253="STD. DEVIATION",$C$1=1),$A253,$A253+1),COLUMN('1-DATA'!AB251)),IF($B253="STD. DEVIATION",2,$F$1))))</f>
        <v/>
      </c>
      <c r="AD253" s="1" t="str">
        <f>IF(OR($B253="",AD$7=""),"",IF($B253="MEANS",INDEX('1-DATA'!$1:$1048576,$A252-1,COLUMN('1-DATA'!AC251)),ROUND(INDEX('1-DATA'!$1:$1048576,IF(OR($B253="STD. DEVIATION",$C$1=1),$A253,$A253+1),COLUMN('1-DATA'!AC251)),IF($B253="STD. DEVIATION",2,$F$1))))</f>
        <v/>
      </c>
      <c r="AE253" s="1" t="str">
        <f>IF(OR($B253="",AE$7=""),"",IF($B253="MEANS",INDEX('1-DATA'!$1:$1048576,$A252-1,COLUMN('1-DATA'!AD251)),ROUND(INDEX('1-DATA'!$1:$1048576,IF(OR($B253="STD. DEVIATION",$C$1=1),$A253,$A253+1),COLUMN('1-DATA'!AD251)),IF($B253="STD. DEVIATION",2,$F$1))))</f>
        <v/>
      </c>
      <c r="AF253" s="1" t="str">
        <f>IF(OR($B253="",AF$7=""),"",IF($B253="MEANS",INDEX('1-DATA'!$1:$1048576,$A252-1,COLUMN('1-DATA'!AE251)),ROUND(INDEX('1-DATA'!$1:$1048576,IF(OR($B253="STD. DEVIATION",$C$1=1),$A253,$A253+1),COLUMN('1-DATA'!AE251)),IF($B253="STD. DEVIATION",2,$F$1))))</f>
        <v/>
      </c>
      <c r="AG253" s="1" t="str">
        <f>IF(OR($B253="",AG$7=""),"",IF($B253="MEANS",INDEX('1-DATA'!$1:$1048576,$A252-1,COLUMN('1-DATA'!AF251)),ROUND(INDEX('1-DATA'!$1:$1048576,IF(OR($B253="STD. DEVIATION",$C$1=1),$A253,$A253+1),COLUMN('1-DATA'!AF251)),IF($B253="STD. DEVIATION",2,$F$1))))</f>
        <v/>
      </c>
      <c r="AH253" s="1" t="str">
        <f>IF(OR($B253="",AH$7=""),"",IF($B253="MEANS",INDEX('1-DATA'!$1:$1048576,$A252-1,COLUMN('1-DATA'!AG251)),ROUND(INDEX('1-DATA'!$1:$1048576,IF(OR($B253="STD. DEVIATION",$C$1=1),$A253,$A253+1),COLUMN('1-DATA'!AG251)),IF($B253="STD. DEVIATION",2,$F$1))))</f>
        <v/>
      </c>
      <c r="AI253" s="1" t="str">
        <f>IF(OR($B253="",AI$7=""),"",IF($B253="MEANS",INDEX('1-DATA'!$1:$1048576,$A252-1,COLUMN('1-DATA'!AH251)),ROUND(INDEX('1-DATA'!$1:$1048576,IF(OR($B253="STD. DEVIATION",$C$1=1),$A253,$A253+1),COLUMN('1-DATA'!AH251)),IF($B253="STD. DEVIATION",2,$F$1))))</f>
        <v/>
      </c>
      <c r="AJ253" s="1" t="str">
        <f>IF(OR($B253="",AJ$7=""),"",IF($B253="MEANS",INDEX('1-DATA'!$1:$1048576,$A252-1,COLUMN('1-DATA'!AI251)),ROUND(INDEX('1-DATA'!$1:$1048576,IF(OR($B253="STD. DEVIATION",$C$1=1),$A253,$A253+1),COLUMN('1-DATA'!AI251)),IF($B253="STD. DEVIATION",2,$F$1))))</f>
        <v/>
      </c>
      <c r="AK253" s="1" t="str">
        <f>IF(OR($B253="",AK$7=""),"",IF($B253="MEANS",INDEX('1-DATA'!$1:$1048576,$A252-1,COLUMN('1-DATA'!AJ251)),ROUND(INDEX('1-DATA'!$1:$1048576,IF(OR($B253="STD. DEVIATION",$C$1=1),$A253,$A253+1),COLUMN('1-DATA'!AJ251)),IF($B253="STD. DEVIATION",2,$F$1))))</f>
        <v/>
      </c>
      <c r="AL253" s="1" t="str">
        <f>IF(OR($B253="",AL$7=""),"",IF($B253="MEANS",INDEX('1-DATA'!$1:$1048576,$A252-1,COLUMN('1-DATA'!AK251)),ROUND(INDEX('1-DATA'!$1:$1048576,IF(OR($B253="STD. DEVIATION",$C$1=1),$A253,$A253+1),COLUMN('1-DATA'!AK251)),IF($B253="STD. DEVIATION",2,$F$1))))</f>
        <v/>
      </c>
      <c r="AM253" s="1" t="str">
        <f>IF(OR($B253="",AM$7=""),"",IF($B253="MEANS",INDEX('1-DATA'!$1:$1048576,$A252-1,COLUMN('1-DATA'!AL251)),ROUND(INDEX('1-DATA'!$1:$1048576,IF(OR($B253="STD. DEVIATION",$C$1=1),$A253,$A253+1),COLUMN('1-DATA'!AL251)),IF($B253="STD. DEVIATION",2,$F$1))))</f>
        <v/>
      </c>
      <c r="AN253" s="1" t="str">
        <f>IF(OR($B253="",AN$7=""),"",IF($B253="MEANS",INDEX('1-DATA'!$1:$1048576,$A252-1,COLUMN('1-DATA'!AM251)),ROUND(INDEX('1-DATA'!$1:$1048576,IF(OR($B253="STD. DEVIATION",$C$1=1),$A253,$A253+1),COLUMN('1-DATA'!AM251)),IF($B253="STD. DEVIATION",2,$F$1))))</f>
        <v/>
      </c>
      <c r="AO253" s="1" t="str">
        <f>IF(OR($B253="",AO$7=""),"",IF($B253="MEANS",INDEX('1-DATA'!$1:$1048576,$A252-1,COLUMN('1-DATA'!AN251)),ROUND(INDEX('1-DATA'!$1:$1048576,IF(OR($B253="STD. DEVIATION",$C$1=1),$A253,$A253+1),COLUMN('1-DATA'!AN251)),IF($B253="STD. DEVIATION",2,$F$1))))</f>
        <v/>
      </c>
      <c r="AP253" s="1" t="str">
        <f>IF(OR($B253="",AP$7=""),"",IF($B253="MEANS",INDEX('1-DATA'!$1:$1048576,$A252-1,COLUMN('1-DATA'!AO251)),ROUND(INDEX('1-DATA'!$1:$1048576,IF(OR($B253="STD. DEVIATION",$C$1=1),$A253,$A253+1),COLUMN('1-DATA'!AO251)),IF($B253="STD. DEVIATION",2,$F$1))))</f>
        <v/>
      </c>
      <c r="AQ253" s="1" t="str">
        <f>IF(OR($B253="",AQ$7=""),"",IF($B253="MEANS",INDEX('1-DATA'!$1:$1048576,$A252-1,COLUMN('1-DATA'!AP251)),ROUND(INDEX('1-DATA'!$1:$1048576,IF(OR($B253="STD. DEVIATION",$C$1=1),$A253,$A253+1),COLUMN('1-DATA'!AP251)),IF($B253="STD. DEVIATION",2,$F$1))))</f>
        <v/>
      </c>
      <c r="AR253" s="1" t="str">
        <f>IF(OR($B253="",AR$7=""),"",IF($B253="MEANS",INDEX('1-DATA'!$1:$1048576,$A252-1,COLUMN('1-DATA'!AQ251)),ROUND(INDEX('1-DATA'!$1:$1048576,IF(OR($B253="STD. DEVIATION",$C$1=1),$A253,$A253+1),COLUMN('1-DATA'!AQ251)),IF($B253="STD. DEVIATION",2,$F$1))))</f>
        <v/>
      </c>
      <c r="AS253" s="1" t="str">
        <f>IF(OR($B253="",AS$7=""),"",IF($B253="MEANS",INDEX('1-DATA'!$1:$1048576,$A252-1,COLUMN('1-DATA'!AR251)),ROUND(INDEX('1-DATA'!$1:$1048576,IF(OR($B253="STD. DEVIATION",$C$1=1),$A253,$A253+1),COLUMN('1-DATA'!AR251)),IF($B253="STD. DEVIATION",2,$F$1))))</f>
        <v/>
      </c>
      <c r="AT253" s="1" t="str">
        <f>IF(OR($B253="",AT$7=""),"",IF($B253="MEANS",INDEX('1-DATA'!$1:$1048576,$A252-1,COLUMN('1-DATA'!AS251)),ROUND(INDEX('1-DATA'!$1:$1048576,IF(OR($B253="STD. DEVIATION",$C$1=1),$A253,$A253+1),COLUMN('1-DATA'!AS251)),IF($B253="STD. DEVIATION",2,$F$1))))</f>
        <v/>
      </c>
      <c r="AU253" s="1" t="str">
        <f>IF(OR($B253="",AU$7=""),"",IF($B253="MEANS",INDEX('1-DATA'!$1:$1048576,$A252-1,COLUMN('1-DATA'!AT251)),ROUND(INDEX('1-DATA'!$1:$1048576,IF(OR($B253="STD. DEVIATION",$C$1=1),$A253,$A253+1),COLUMN('1-DATA'!AT251)),IF($B253="STD. DEVIATION",2,$F$1))))</f>
        <v/>
      </c>
      <c r="AV253" s="1" t="str">
        <f>IF(OR($B253="",AV$7=""),"",IF($B253="MEANS",INDEX('1-DATA'!$1:$1048576,$A252-1,COLUMN('1-DATA'!AU251)),ROUND(INDEX('1-DATA'!$1:$1048576,IF(OR($B253="STD. DEVIATION",$C$1=1),$A253,$A253+1),COLUMN('1-DATA'!AU251)),IF($B253="STD. DEVIATION",2,$F$1))))</f>
        <v/>
      </c>
      <c r="AW253" s="1" t="str">
        <f>IF(OR($B253="",AW$7=""),"",IF($B253="MEANS",INDEX('1-DATA'!$1:$1048576,$A252-1,COLUMN('1-DATA'!AV251)),ROUND(INDEX('1-DATA'!$1:$1048576,IF(OR($B253="STD. DEVIATION",$C$1=1),$A253,$A253+1),COLUMN('1-DATA'!AV251)),IF($B253="STD. DEVIATION",2,$F$1))))</f>
        <v/>
      </c>
      <c r="AX253" s="1" t="str">
        <f>IF(OR($B253="",AX$7=""),"",IF($B253="MEANS",INDEX('1-DATA'!$1:$1048576,$A252-1,COLUMN('1-DATA'!AW251)),ROUND(INDEX('1-DATA'!$1:$1048576,IF(OR($B253="STD. DEVIATION",$C$1=1),$A253,$A253+1),COLUMN('1-DATA'!AW251)),IF($B253="STD. DEVIATION",2,$F$1))))</f>
        <v/>
      </c>
      <c r="AY253" s="1" t="str">
        <f>IF(OR($B253="",AY$7=""),"",IF($B253="MEANS",INDEX('1-DATA'!$1:$1048576,$A252-1,COLUMN('1-DATA'!AX251)),ROUND(INDEX('1-DATA'!$1:$1048576,IF(OR($B253="STD. DEVIATION",$C$1=1),$A253,$A253+1),COLUMN('1-DATA'!AX251)),IF($B253="STD. DEVIATION",2,$F$1))))</f>
        <v/>
      </c>
      <c r="AZ253" s="1" t="str">
        <f>IF(OR($B253="",AZ$7=""),"",IF($B253="MEANS",INDEX('1-DATA'!$1:$1048576,$A252-1,COLUMN('1-DATA'!AY251)),ROUND(INDEX('1-DATA'!$1:$1048576,IF(OR($B253="STD. DEVIATION",$C$1=1),$A253,$A253+1),COLUMN('1-DATA'!AY251)),IF($B253="STD. DEVIATION",2,$F$1))))</f>
        <v/>
      </c>
    </row>
    <row r="254" spans="1:52" x14ac:dyDescent="0.25">
      <c r="A254" s="11">
        <f t="shared" si="4"/>
        <v>748</v>
      </c>
      <c r="B254" s="1" t="str">
        <f>IF(B253="STD. DEVIATION",INDEX('1-DATA'!$1:$1048576,$A253-1,1),IF(INDEX('1-DATA'!$1:$1048576,$A254,1)&lt;&gt;"",INDEX('1-DATA'!$1:$1048576,$A254,1),""))</f>
        <v/>
      </c>
      <c r="C254" s="1" t="str">
        <f>IF(OR($B254="",C$7=""),"",IF($B254="MEANS",INDEX('1-DATA'!$1:$1048576,$A253-1,COLUMN('1-DATA'!B252)),ROUND(INDEX('1-DATA'!$1:$1048576,IF(OR($B254="STD. DEVIATION",$C$1=1),$A254,$A254+1),COLUMN('1-DATA'!B252)),IF($B254="STD. DEVIATION",2,$F$1))))</f>
        <v/>
      </c>
      <c r="D254" s="1" t="str">
        <f>IF(OR($B254="",D$7=""),"",IF($B254="MEANS",INDEX('1-DATA'!$1:$1048576,$A253-1,COLUMN('1-DATA'!C252)),ROUND(INDEX('1-DATA'!$1:$1048576,IF(OR($B254="STD. DEVIATION",$C$1=1),$A254,$A254+1),COLUMN('1-DATA'!C252)),IF($B254="STD. DEVIATION",2,$F$1))))</f>
        <v/>
      </c>
      <c r="E254" s="1" t="str">
        <f>IF(OR($B254="",E$7=""),"",IF($B254="MEANS",INDEX('1-DATA'!$1:$1048576,$A253-1,COLUMN('1-DATA'!D252)),ROUND(INDEX('1-DATA'!$1:$1048576,IF(OR($B254="STD. DEVIATION",$C$1=1),$A254,$A254+1),COLUMN('1-DATA'!D252)),IF($B254="STD. DEVIATION",2,$F$1))))</f>
        <v/>
      </c>
      <c r="F254" s="1" t="str">
        <f>IF(OR($B254="",F$7=""),"",IF($B254="MEANS",INDEX('1-DATA'!$1:$1048576,$A253-1,COLUMN('1-DATA'!E252)),ROUND(INDEX('1-DATA'!$1:$1048576,IF(OR($B254="STD. DEVIATION",$C$1=1),$A254,$A254+1),COLUMN('1-DATA'!E252)),IF($B254="STD. DEVIATION",2,$F$1))))</f>
        <v/>
      </c>
      <c r="G254" s="1" t="str">
        <f>IF(OR($B254="",G$7=""),"",IF($B254="MEANS",INDEX('1-DATA'!$1:$1048576,$A253-1,COLUMN('1-DATA'!F252)),ROUND(INDEX('1-DATA'!$1:$1048576,IF(OR($B254="STD. DEVIATION",$C$1=1),$A254,$A254+1),COLUMN('1-DATA'!F252)),IF($B254="STD. DEVIATION",2,$F$1))))</f>
        <v/>
      </c>
      <c r="H254" s="1" t="str">
        <f>IF(OR($B254="",H$7=""),"",IF($B254="MEANS",INDEX('1-DATA'!$1:$1048576,$A253-1,COLUMN('1-DATA'!G252)),ROUND(INDEX('1-DATA'!$1:$1048576,IF(OR($B254="STD. DEVIATION",$C$1=1),$A254,$A254+1),COLUMN('1-DATA'!G252)),IF($B254="STD. DEVIATION",2,$F$1))))</f>
        <v/>
      </c>
      <c r="I254" s="1" t="str">
        <f>IF(OR($B254="",I$7=""),"",IF($B254="MEANS",INDEX('1-DATA'!$1:$1048576,$A253-1,COLUMN('1-DATA'!H252)),ROUND(INDEX('1-DATA'!$1:$1048576,IF(OR($B254="STD. DEVIATION",$C$1=1),$A254,$A254+1),COLUMN('1-DATA'!H252)),IF($B254="STD. DEVIATION",2,$F$1))))</f>
        <v/>
      </c>
      <c r="J254" s="1" t="str">
        <f>IF(OR($B254="",J$7=""),"",IF($B254="MEANS",INDEX('1-DATA'!$1:$1048576,$A253-1,COLUMN('1-DATA'!I252)),ROUND(INDEX('1-DATA'!$1:$1048576,IF(OR($B254="STD. DEVIATION",$C$1=1),$A254,$A254+1),COLUMN('1-DATA'!I252)),IF($B254="STD. DEVIATION",2,$F$1))))</f>
        <v/>
      </c>
      <c r="K254" s="1" t="str">
        <f>IF(OR($B254="",K$7=""),"",IF($B254="MEANS",INDEX('1-DATA'!$1:$1048576,$A253-1,COLUMN('1-DATA'!J252)),ROUND(INDEX('1-DATA'!$1:$1048576,IF(OR($B254="STD. DEVIATION",$C$1=1),$A254,$A254+1),COLUMN('1-DATA'!J252)),IF($B254="STD. DEVIATION",2,$F$1))))</f>
        <v/>
      </c>
      <c r="L254" s="1" t="str">
        <f>IF(OR($B254="",L$7=""),"",IF($B254="MEANS",INDEX('1-DATA'!$1:$1048576,$A253-1,COLUMN('1-DATA'!K252)),ROUND(INDEX('1-DATA'!$1:$1048576,IF(OR($B254="STD. DEVIATION",$C$1=1),$A254,$A254+1),COLUMN('1-DATA'!K252)),IF($B254="STD. DEVIATION",2,$F$1))))</f>
        <v/>
      </c>
      <c r="M254" s="1" t="str">
        <f>IF(OR($B254="",M$7=""),"",IF($B254="MEANS",INDEX('1-DATA'!$1:$1048576,$A253-1,COLUMN('1-DATA'!L252)),ROUND(INDEX('1-DATA'!$1:$1048576,IF(OR($B254="STD. DEVIATION",$C$1=1),$A254,$A254+1),COLUMN('1-DATA'!L252)),IF($B254="STD. DEVIATION",2,$F$1))))</f>
        <v/>
      </c>
      <c r="N254" s="1" t="str">
        <f>IF(OR($B254="",N$7=""),"",IF($B254="MEANS",INDEX('1-DATA'!$1:$1048576,$A253-1,COLUMN('1-DATA'!M252)),ROUND(INDEX('1-DATA'!$1:$1048576,IF(OR($B254="STD. DEVIATION",$C$1=1),$A254,$A254+1),COLUMN('1-DATA'!M252)),IF($B254="STD. DEVIATION",2,$F$1))))</f>
        <v/>
      </c>
      <c r="O254" s="1" t="str">
        <f>IF(OR($B254="",O$7=""),"",IF($B254="MEANS",INDEX('1-DATA'!$1:$1048576,$A253-1,COLUMN('1-DATA'!N252)),ROUND(INDEX('1-DATA'!$1:$1048576,IF(OR($B254="STD. DEVIATION",$C$1=1),$A254,$A254+1),COLUMN('1-DATA'!N252)),IF($B254="STD. DEVIATION",2,$F$1))))</f>
        <v/>
      </c>
      <c r="P254" s="1" t="str">
        <f>IF(OR($B254="",P$7=""),"",IF($B254="MEANS",INDEX('1-DATA'!$1:$1048576,$A253-1,COLUMN('1-DATA'!O252)),ROUND(INDEX('1-DATA'!$1:$1048576,IF(OR($B254="STD. DEVIATION",$C$1=1),$A254,$A254+1),COLUMN('1-DATA'!O252)),IF($B254="STD. DEVIATION",2,$F$1))))</f>
        <v/>
      </c>
      <c r="Q254" s="1" t="str">
        <f>IF(OR($B254="",Q$7=""),"",IF($B254="MEANS",INDEX('1-DATA'!$1:$1048576,$A253-1,COLUMN('1-DATA'!P252)),ROUND(INDEX('1-DATA'!$1:$1048576,IF(OR($B254="STD. DEVIATION",$C$1=1),$A254,$A254+1),COLUMN('1-DATA'!P252)),IF($B254="STD. DEVIATION",2,$F$1))))</f>
        <v/>
      </c>
      <c r="R254" s="1" t="str">
        <f>IF(OR($B254="",R$7=""),"",IF($B254="MEANS",INDEX('1-DATA'!$1:$1048576,$A253-1,COLUMN('1-DATA'!Q252)),ROUND(INDEX('1-DATA'!$1:$1048576,IF(OR($B254="STD. DEVIATION",$C$1=1),$A254,$A254+1),COLUMN('1-DATA'!Q252)),IF($B254="STD. DEVIATION",2,$F$1))))</f>
        <v/>
      </c>
      <c r="S254" s="1" t="str">
        <f>IF(OR($B254="",S$7=""),"",IF($B254="MEANS",INDEX('1-DATA'!$1:$1048576,$A253-1,COLUMN('1-DATA'!R252)),ROUND(INDEX('1-DATA'!$1:$1048576,IF(OR($B254="STD. DEVIATION",$C$1=1),$A254,$A254+1),COLUMN('1-DATA'!R252)),IF($B254="STD. DEVIATION",2,$F$1))))</f>
        <v/>
      </c>
      <c r="T254" s="1" t="str">
        <f>IF(OR($B254="",T$7=""),"",IF($B254="MEANS",INDEX('1-DATA'!$1:$1048576,$A253-1,COLUMN('1-DATA'!S252)),ROUND(INDEX('1-DATA'!$1:$1048576,IF(OR($B254="STD. DEVIATION",$C$1=1),$A254,$A254+1),COLUMN('1-DATA'!S252)),IF($B254="STD. DEVIATION",2,$F$1))))</f>
        <v/>
      </c>
      <c r="U254" s="1" t="str">
        <f>IF(OR($B254="",U$7=""),"",IF($B254="MEANS",INDEX('1-DATA'!$1:$1048576,$A253-1,COLUMN('1-DATA'!T252)),ROUND(INDEX('1-DATA'!$1:$1048576,IF(OR($B254="STD. DEVIATION",$C$1=1),$A254,$A254+1),COLUMN('1-DATA'!T252)),IF($B254="STD. DEVIATION",2,$F$1))))</f>
        <v/>
      </c>
      <c r="V254" s="1" t="str">
        <f>IF(OR($B254="",V$7=""),"",IF($B254="MEANS",INDEX('1-DATA'!$1:$1048576,$A253-1,COLUMN('1-DATA'!U252)),ROUND(INDEX('1-DATA'!$1:$1048576,IF(OR($B254="STD. DEVIATION",$C$1=1),$A254,$A254+1),COLUMN('1-DATA'!U252)),IF($B254="STD. DEVIATION",2,$F$1))))</f>
        <v/>
      </c>
      <c r="W254" s="1" t="str">
        <f>IF(OR($B254="",W$7=""),"",IF($B254="MEANS",INDEX('1-DATA'!$1:$1048576,$A253-1,COLUMN('1-DATA'!V252)),ROUND(INDEX('1-DATA'!$1:$1048576,IF(OR($B254="STD. DEVIATION",$C$1=1),$A254,$A254+1),COLUMN('1-DATA'!V252)),IF($B254="STD. DEVIATION",2,$F$1))))</f>
        <v/>
      </c>
      <c r="X254" s="1" t="str">
        <f>IF(OR($B254="",X$7=""),"",IF($B254="MEANS",INDEX('1-DATA'!$1:$1048576,$A253-1,COLUMN('1-DATA'!W252)),ROUND(INDEX('1-DATA'!$1:$1048576,IF(OR($B254="STD. DEVIATION",$C$1=1),$A254,$A254+1),COLUMN('1-DATA'!W252)),IF($B254="STD. DEVIATION",2,$F$1))))</f>
        <v/>
      </c>
      <c r="Y254" s="1" t="str">
        <f>IF(OR($B254="",Y$7=""),"",IF($B254="MEANS",INDEX('1-DATA'!$1:$1048576,$A253-1,COLUMN('1-DATA'!X252)),ROUND(INDEX('1-DATA'!$1:$1048576,IF(OR($B254="STD. DEVIATION",$C$1=1),$A254,$A254+1),COLUMN('1-DATA'!X252)),IF($B254="STD. DEVIATION",2,$F$1))))</f>
        <v/>
      </c>
      <c r="Z254" s="1" t="str">
        <f>IF(OR($B254="",Z$7=""),"",IF($B254="MEANS",INDEX('1-DATA'!$1:$1048576,$A253-1,COLUMN('1-DATA'!Y252)),ROUND(INDEX('1-DATA'!$1:$1048576,IF(OR($B254="STD. DEVIATION",$C$1=1),$A254,$A254+1),COLUMN('1-DATA'!Y252)),IF($B254="STD. DEVIATION",2,$F$1))))</f>
        <v/>
      </c>
      <c r="AA254" s="1" t="str">
        <f>IF(OR($B254="",AA$7=""),"",IF($B254="MEANS",INDEX('1-DATA'!$1:$1048576,$A253-1,COLUMN('1-DATA'!Z252)),ROUND(INDEX('1-DATA'!$1:$1048576,IF(OR($B254="STD. DEVIATION",$C$1=1),$A254,$A254+1),COLUMN('1-DATA'!Z252)),IF($B254="STD. DEVIATION",2,$F$1))))</f>
        <v/>
      </c>
      <c r="AB254" s="1" t="str">
        <f>IF(OR($B254="",AB$7=""),"",IF($B254="MEANS",INDEX('1-DATA'!$1:$1048576,$A253-1,COLUMN('1-DATA'!AA252)),ROUND(INDEX('1-DATA'!$1:$1048576,IF(OR($B254="STD. DEVIATION",$C$1=1),$A254,$A254+1),COLUMN('1-DATA'!AA252)),IF($B254="STD. DEVIATION",2,$F$1))))</f>
        <v/>
      </c>
      <c r="AC254" s="1" t="str">
        <f>IF(OR($B254="",AC$7=""),"",IF($B254="MEANS",INDEX('1-DATA'!$1:$1048576,$A253-1,COLUMN('1-DATA'!AB252)),ROUND(INDEX('1-DATA'!$1:$1048576,IF(OR($B254="STD. DEVIATION",$C$1=1),$A254,$A254+1),COLUMN('1-DATA'!AB252)),IF($B254="STD. DEVIATION",2,$F$1))))</f>
        <v/>
      </c>
      <c r="AD254" s="1" t="str">
        <f>IF(OR($B254="",AD$7=""),"",IF($B254="MEANS",INDEX('1-DATA'!$1:$1048576,$A253-1,COLUMN('1-DATA'!AC252)),ROUND(INDEX('1-DATA'!$1:$1048576,IF(OR($B254="STD. DEVIATION",$C$1=1),$A254,$A254+1),COLUMN('1-DATA'!AC252)),IF($B254="STD. DEVIATION",2,$F$1))))</f>
        <v/>
      </c>
      <c r="AE254" s="1" t="str">
        <f>IF(OR($B254="",AE$7=""),"",IF($B254="MEANS",INDEX('1-DATA'!$1:$1048576,$A253-1,COLUMN('1-DATA'!AD252)),ROUND(INDEX('1-DATA'!$1:$1048576,IF(OR($B254="STD. DEVIATION",$C$1=1),$A254,$A254+1),COLUMN('1-DATA'!AD252)),IF($B254="STD. DEVIATION",2,$F$1))))</f>
        <v/>
      </c>
      <c r="AF254" s="1" t="str">
        <f>IF(OR($B254="",AF$7=""),"",IF($B254="MEANS",INDEX('1-DATA'!$1:$1048576,$A253-1,COLUMN('1-DATA'!AE252)),ROUND(INDEX('1-DATA'!$1:$1048576,IF(OR($B254="STD. DEVIATION",$C$1=1),$A254,$A254+1),COLUMN('1-DATA'!AE252)),IF($B254="STD. DEVIATION",2,$F$1))))</f>
        <v/>
      </c>
      <c r="AG254" s="1" t="str">
        <f>IF(OR($B254="",AG$7=""),"",IF($B254="MEANS",INDEX('1-DATA'!$1:$1048576,$A253-1,COLUMN('1-DATA'!AF252)),ROUND(INDEX('1-DATA'!$1:$1048576,IF(OR($B254="STD. DEVIATION",$C$1=1),$A254,$A254+1),COLUMN('1-DATA'!AF252)),IF($B254="STD. DEVIATION",2,$F$1))))</f>
        <v/>
      </c>
      <c r="AH254" s="1" t="str">
        <f>IF(OR($B254="",AH$7=""),"",IF($B254="MEANS",INDEX('1-DATA'!$1:$1048576,$A253-1,COLUMN('1-DATA'!AG252)),ROUND(INDEX('1-DATA'!$1:$1048576,IF(OR($B254="STD. DEVIATION",$C$1=1),$A254,$A254+1),COLUMN('1-DATA'!AG252)),IF($B254="STD. DEVIATION",2,$F$1))))</f>
        <v/>
      </c>
      <c r="AI254" s="1" t="str">
        <f>IF(OR($B254="",AI$7=""),"",IF($B254="MEANS",INDEX('1-DATA'!$1:$1048576,$A253-1,COLUMN('1-DATA'!AH252)),ROUND(INDEX('1-DATA'!$1:$1048576,IF(OR($B254="STD. DEVIATION",$C$1=1),$A254,$A254+1),COLUMN('1-DATA'!AH252)),IF($B254="STD. DEVIATION",2,$F$1))))</f>
        <v/>
      </c>
      <c r="AJ254" s="1" t="str">
        <f>IF(OR($B254="",AJ$7=""),"",IF($B254="MEANS",INDEX('1-DATA'!$1:$1048576,$A253-1,COLUMN('1-DATA'!AI252)),ROUND(INDEX('1-DATA'!$1:$1048576,IF(OR($B254="STD. DEVIATION",$C$1=1),$A254,$A254+1),COLUMN('1-DATA'!AI252)),IF($B254="STD. DEVIATION",2,$F$1))))</f>
        <v/>
      </c>
      <c r="AK254" s="1" t="str">
        <f>IF(OR($B254="",AK$7=""),"",IF($B254="MEANS",INDEX('1-DATA'!$1:$1048576,$A253-1,COLUMN('1-DATA'!AJ252)),ROUND(INDEX('1-DATA'!$1:$1048576,IF(OR($B254="STD. DEVIATION",$C$1=1),$A254,$A254+1),COLUMN('1-DATA'!AJ252)),IF($B254="STD. DEVIATION",2,$F$1))))</f>
        <v/>
      </c>
      <c r="AL254" s="1" t="str">
        <f>IF(OR($B254="",AL$7=""),"",IF($B254="MEANS",INDEX('1-DATA'!$1:$1048576,$A253-1,COLUMN('1-DATA'!AK252)),ROUND(INDEX('1-DATA'!$1:$1048576,IF(OR($B254="STD. DEVIATION",$C$1=1),$A254,$A254+1),COLUMN('1-DATA'!AK252)),IF($B254="STD. DEVIATION",2,$F$1))))</f>
        <v/>
      </c>
      <c r="AM254" s="1" t="str">
        <f>IF(OR($B254="",AM$7=""),"",IF($B254="MEANS",INDEX('1-DATA'!$1:$1048576,$A253-1,COLUMN('1-DATA'!AL252)),ROUND(INDEX('1-DATA'!$1:$1048576,IF(OR($B254="STD. DEVIATION",$C$1=1),$A254,$A254+1),COLUMN('1-DATA'!AL252)),IF($B254="STD. DEVIATION",2,$F$1))))</f>
        <v/>
      </c>
      <c r="AN254" s="1" t="str">
        <f>IF(OR($B254="",AN$7=""),"",IF($B254="MEANS",INDEX('1-DATA'!$1:$1048576,$A253-1,COLUMN('1-DATA'!AM252)),ROUND(INDEX('1-DATA'!$1:$1048576,IF(OR($B254="STD. DEVIATION",$C$1=1),$A254,$A254+1),COLUMN('1-DATA'!AM252)),IF($B254="STD. DEVIATION",2,$F$1))))</f>
        <v/>
      </c>
      <c r="AO254" s="1" t="str">
        <f>IF(OR($B254="",AO$7=""),"",IF($B254="MEANS",INDEX('1-DATA'!$1:$1048576,$A253-1,COLUMN('1-DATA'!AN252)),ROUND(INDEX('1-DATA'!$1:$1048576,IF(OR($B254="STD. DEVIATION",$C$1=1),$A254,$A254+1),COLUMN('1-DATA'!AN252)),IF($B254="STD. DEVIATION",2,$F$1))))</f>
        <v/>
      </c>
      <c r="AP254" s="1" t="str">
        <f>IF(OR($B254="",AP$7=""),"",IF($B254="MEANS",INDEX('1-DATA'!$1:$1048576,$A253-1,COLUMN('1-DATA'!AO252)),ROUND(INDEX('1-DATA'!$1:$1048576,IF(OR($B254="STD. DEVIATION",$C$1=1),$A254,$A254+1),COLUMN('1-DATA'!AO252)),IF($B254="STD. DEVIATION",2,$F$1))))</f>
        <v/>
      </c>
      <c r="AQ254" s="1" t="str">
        <f>IF(OR($B254="",AQ$7=""),"",IF($B254="MEANS",INDEX('1-DATA'!$1:$1048576,$A253-1,COLUMN('1-DATA'!AP252)),ROUND(INDEX('1-DATA'!$1:$1048576,IF(OR($B254="STD. DEVIATION",$C$1=1),$A254,$A254+1),COLUMN('1-DATA'!AP252)),IF($B254="STD. DEVIATION",2,$F$1))))</f>
        <v/>
      </c>
      <c r="AR254" s="1" t="str">
        <f>IF(OR($B254="",AR$7=""),"",IF($B254="MEANS",INDEX('1-DATA'!$1:$1048576,$A253-1,COLUMN('1-DATA'!AQ252)),ROUND(INDEX('1-DATA'!$1:$1048576,IF(OR($B254="STD. DEVIATION",$C$1=1),$A254,$A254+1),COLUMN('1-DATA'!AQ252)),IF($B254="STD. DEVIATION",2,$F$1))))</f>
        <v/>
      </c>
      <c r="AS254" s="1" t="str">
        <f>IF(OR($B254="",AS$7=""),"",IF($B254="MEANS",INDEX('1-DATA'!$1:$1048576,$A253-1,COLUMN('1-DATA'!AR252)),ROUND(INDEX('1-DATA'!$1:$1048576,IF(OR($B254="STD. DEVIATION",$C$1=1),$A254,$A254+1),COLUMN('1-DATA'!AR252)),IF($B254="STD. DEVIATION",2,$F$1))))</f>
        <v/>
      </c>
      <c r="AT254" s="1" t="str">
        <f>IF(OR($B254="",AT$7=""),"",IF($B254="MEANS",INDEX('1-DATA'!$1:$1048576,$A253-1,COLUMN('1-DATA'!AS252)),ROUND(INDEX('1-DATA'!$1:$1048576,IF(OR($B254="STD. DEVIATION",$C$1=1),$A254,$A254+1),COLUMN('1-DATA'!AS252)),IF($B254="STD. DEVIATION",2,$F$1))))</f>
        <v/>
      </c>
      <c r="AU254" s="1" t="str">
        <f>IF(OR($B254="",AU$7=""),"",IF($B254="MEANS",INDEX('1-DATA'!$1:$1048576,$A253-1,COLUMN('1-DATA'!AT252)),ROUND(INDEX('1-DATA'!$1:$1048576,IF(OR($B254="STD. DEVIATION",$C$1=1),$A254,$A254+1),COLUMN('1-DATA'!AT252)),IF($B254="STD. DEVIATION",2,$F$1))))</f>
        <v/>
      </c>
      <c r="AV254" s="1" t="str">
        <f>IF(OR($B254="",AV$7=""),"",IF($B254="MEANS",INDEX('1-DATA'!$1:$1048576,$A253-1,COLUMN('1-DATA'!AU252)),ROUND(INDEX('1-DATA'!$1:$1048576,IF(OR($B254="STD. DEVIATION",$C$1=1),$A254,$A254+1),COLUMN('1-DATA'!AU252)),IF($B254="STD. DEVIATION",2,$F$1))))</f>
        <v/>
      </c>
      <c r="AW254" s="1" t="str">
        <f>IF(OR($B254="",AW$7=""),"",IF($B254="MEANS",INDEX('1-DATA'!$1:$1048576,$A253-1,COLUMN('1-DATA'!AV252)),ROUND(INDEX('1-DATA'!$1:$1048576,IF(OR($B254="STD. DEVIATION",$C$1=1),$A254,$A254+1),COLUMN('1-DATA'!AV252)),IF($B254="STD. DEVIATION",2,$F$1))))</f>
        <v/>
      </c>
      <c r="AX254" s="1" t="str">
        <f>IF(OR($B254="",AX$7=""),"",IF($B254="MEANS",INDEX('1-DATA'!$1:$1048576,$A253-1,COLUMN('1-DATA'!AW252)),ROUND(INDEX('1-DATA'!$1:$1048576,IF(OR($B254="STD. DEVIATION",$C$1=1),$A254,$A254+1),COLUMN('1-DATA'!AW252)),IF($B254="STD. DEVIATION",2,$F$1))))</f>
        <v/>
      </c>
      <c r="AY254" s="1" t="str">
        <f>IF(OR($B254="",AY$7=""),"",IF($B254="MEANS",INDEX('1-DATA'!$1:$1048576,$A253-1,COLUMN('1-DATA'!AX252)),ROUND(INDEX('1-DATA'!$1:$1048576,IF(OR($B254="STD. DEVIATION",$C$1=1),$A254,$A254+1),COLUMN('1-DATA'!AX252)),IF($B254="STD. DEVIATION",2,$F$1))))</f>
        <v/>
      </c>
      <c r="AZ254" s="1" t="str">
        <f>IF(OR($B254="",AZ$7=""),"",IF($B254="MEANS",INDEX('1-DATA'!$1:$1048576,$A253-1,COLUMN('1-DATA'!AY252)),ROUND(INDEX('1-DATA'!$1:$1048576,IF(OR($B254="STD. DEVIATION",$C$1=1),$A254,$A254+1),COLUMN('1-DATA'!AY252)),IF($B254="STD. DEVIATION",2,$F$1))))</f>
        <v/>
      </c>
    </row>
    <row r="255" spans="1:52" x14ac:dyDescent="0.25">
      <c r="A255" s="11">
        <f t="shared" si="4"/>
        <v>751</v>
      </c>
      <c r="B255" s="1" t="str">
        <f>IF(B254="STD. DEVIATION",INDEX('1-DATA'!$1:$1048576,$A254-1,1),IF(INDEX('1-DATA'!$1:$1048576,$A255,1)&lt;&gt;"",INDEX('1-DATA'!$1:$1048576,$A255,1),""))</f>
        <v/>
      </c>
      <c r="C255" s="1" t="str">
        <f>IF(OR($B255="",C$7=""),"",IF($B255="MEANS",INDEX('1-DATA'!$1:$1048576,$A254-1,COLUMN('1-DATA'!B253)),ROUND(INDEX('1-DATA'!$1:$1048576,IF(OR($B255="STD. DEVIATION",$C$1=1),$A255,$A255+1),COLUMN('1-DATA'!B253)),IF($B255="STD. DEVIATION",2,$F$1))))</f>
        <v/>
      </c>
      <c r="D255" s="1" t="str">
        <f>IF(OR($B255="",D$7=""),"",IF($B255="MEANS",INDEX('1-DATA'!$1:$1048576,$A254-1,COLUMN('1-DATA'!C253)),ROUND(INDEX('1-DATA'!$1:$1048576,IF(OR($B255="STD. DEVIATION",$C$1=1),$A255,$A255+1),COLUMN('1-DATA'!C253)),IF($B255="STD. DEVIATION",2,$F$1))))</f>
        <v/>
      </c>
      <c r="E255" s="1" t="str">
        <f>IF(OR($B255="",E$7=""),"",IF($B255="MEANS",INDEX('1-DATA'!$1:$1048576,$A254-1,COLUMN('1-DATA'!D253)),ROUND(INDEX('1-DATA'!$1:$1048576,IF(OR($B255="STD. DEVIATION",$C$1=1),$A255,$A255+1),COLUMN('1-DATA'!D253)),IF($B255="STD. DEVIATION",2,$F$1))))</f>
        <v/>
      </c>
      <c r="F255" s="1" t="str">
        <f>IF(OR($B255="",F$7=""),"",IF($B255="MEANS",INDEX('1-DATA'!$1:$1048576,$A254-1,COLUMN('1-DATA'!E253)),ROUND(INDEX('1-DATA'!$1:$1048576,IF(OR($B255="STD. DEVIATION",$C$1=1),$A255,$A255+1),COLUMN('1-DATA'!E253)),IF($B255="STD. DEVIATION",2,$F$1))))</f>
        <v/>
      </c>
      <c r="G255" s="1" t="str">
        <f>IF(OR($B255="",G$7=""),"",IF($B255="MEANS",INDEX('1-DATA'!$1:$1048576,$A254-1,COLUMN('1-DATA'!F253)),ROUND(INDEX('1-DATA'!$1:$1048576,IF(OR($B255="STD. DEVIATION",$C$1=1),$A255,$A255+1),COLUMN('1-DATA'!F253)),IF($B255="STD. DEVIATION",2,$F$1))))</f>
        <v/>
      </c>
      <c r="H255" s="1" t="str">
        <f>IF(OR($B255="",H$7=""),"",IF($B255="MEANS",INDEX('1-DATA'!$1:$1048576,$A254-1,COLUMN('1-DATA'!G253)),ROUND(INDEX('1-DATA'!$1:$1048576,IF(OR($B255="STD. DEVIATION",$C$1=1),$A255,$A255+1),COLUMN('1-DATA'!G253)),IF($B255="STD. DEVIATION",2,$F$1))))</f>
        <v/>
      </c>
      <c r="I255" s="1" t="str">
        <f>IF(OR($B255="",I$7=""),"",IF($B255="MEANS",INDEX('1-DATA'!$1:$1048576,$A254-1,COLUMN('1-DATA'!H253)),ROUND(INDEX('1-DATA'!$1:$1048576,IF(OR($B255="STD. DEVIATION",$C$1=1),$A255,$A255+1),COLUMN('1-DATA'!H253)),IF($B255="STD. DEVIATION",2,$F$1))))</f>
        <v/>
      </c>
      <c r="J255" s="1" t="str">
        <f>IF(OR($B255="",J$7=""),"",IF($B255="MEANS",INDEX('1-DATA'!$1:$1048576,$A254-1,COLUMN('1-DATA'!I253)),ROUND(INDEX('1-DATA'!$1:$1048576,IF(OR($B255="STD. DEVIATION",$C$1=1),$A255,$A255+1),COLUMN('1-DATA'!I253)),IF($B255="STD. DEVIATION",2,$F$1))))</f>
        <v/>
      </c>
      <c r="K255" s="1" t="str">
        <f>IF(OR($B255="",K$7=""),"",IF($B255="MEANS",INDEX('1-DATA'!$1:$1048576,$A254-1,COLUMN('1-DATA'!J253)),ROUND(INDEX('1-DATA'!$1:$1048576,IF(OR($B255="STD. DEVIATION",$C$1=1),$A255,$A255+1),COLUMN('1-DATA'!J253)),IF($B255="STD. DEVIATION",2,$F$1))))</f>
        <v/>
      </c>
      <c r="L255" s="1" t="str">
        <f>IF(OR($B255="",L$7=""),"",IF($B255="MEANS",INDEX('1-DATA'!$1:$1048576,$A254-1,COLUMN('1-DATA'!K253)),ROUND(INDEX('1-DATA'!$1:$1048576,IF(OR($B255="STD. DEVIATION",$C$1=1),$A255,$A255+1),COLUMN('1-DATA'!K253)),IF($B255="STD. DEVIATION",2,$F$1))))</f>
        <v/>
      </c>
      <c r="M255" s="1" t="str">
        <f>IF(OR($B255="",M$7=""),"",IF($B255="MEANS",INDEX('1-DATA'!$1:$1048576,$A254-1,COLUMN('1-DATA'!L253)),ROUND(INDEX('1-DATA'!$1:$1048576,IF(OR($B255="STD. DEVIATION",$C$1=1),$A255,$A255+1),COLUMN('1-DATA'!L253)),IF($B255="STD. DEVIATION",2,$F$1))))</f>
        <v/>
      </c>
      <c r="N255" s="1" t="str">
        <f>IF(OR($B255="",N$7=""),"",IF($B255="MEANS",INDEX('1-DATA'!$1:$1048576,$A254-1,COLUMN('1-DATA'!M253)),ROUND(INDEX('1-DATA'!$1:$1048576,IF(OR($B255="STD. DEVIATION",$C$1=1),$A255,$A255+1),COLUMN('1-DATA'!M253)),IF($B255="STD. DEVIATION",2,$F$1))))</f>
        <v/>
      </c>
      <c r="O255" s="1" t="str">
        <f>IF(OR($B255="",O$7=""),"",IF($B255="MEANS",INDEX('1-DATA'!$1:$1048576,$A254-1,COLUMN('1-DATA'!N253)),ROUND(INDEX('1-DATA'!$1:$1048576,IF(OR($B255="STD. DEVIATION",$C$1=1),$A255,$A255+1),COLUMN('1-DATA'!N253)),IF($B255="STD. DEVIATION",2,$F$1))))</f>
        <v/>
      </c>
      <c r="P255" s="1" t="str">
        <f>IF(OR($B255="",P$7=""),"",IF($B255="MEANS",INDEX('1-DATA'!$1:$1048576,$A254-1,COLUMN('1-DATA'!O253)),ROUND(INDEX('1-DATA'!$1:$1048576,IF(OR($B255="STD. DEVIATION",$C$1=1),$A255,$A255+1),COLUMN('1-DATA'!O253)),IF($B255="STD. DEVIATION",2,$F$1))))</f>
        <v/>
      </c>
      <c r="Q255" s="1" t="str">
        <f>IF(OR($B255="",Q$7=""),"",IF($B255="MEANS",INDEX('1-DATA'!$1:$1048576,$A254-1,COLUMN('1-DATA'!P253)),ROUND(INDEX('1-DATA'!$1:$1048576,IF(OR($B255="STD. DEVIATION",$C$1=1),$A255,$A255+1),COLUMN('1-DATA'!P253)),IF($B255="STD. DEVIATION",2,$F$1))))</f>
        <v/>
      </c>
      <c r="R255" s="1" t="str">
        <f>IF(OR($B255="",R$7=""),"",IF($B255="MEANS",INDEX('1-DATA'!$1:$1048576,$A254-1,COLUMN('1-DATA'!Q253)),ROUND(INDEX('1-DATA'!$1:$1048576,IF(OR($B255="STD. DEVIATION",$C$1=1),$A255,$A255+1),COLUMN('1-DATA'!Q253)),IF($B255="STD. DEVIATION",2,$F$1))))</f>
        <v/>
      </c>
      <c r="S255" s="1" t="str">
        <f>IF(OR($B255="",S$7=""),"",IF($B255="MEANS",INDEX('1-DATA'!$1:$1048576,$A254-1,COLUMN('1-DATA'!R253)),ROUND(INDEX('1-DATA'!$1:$1048576,IF(OR($B255="STD. DEVIATION",$C$1=1),$A255,$A255+1),COLUMN('1-DATA'!R253)),IF($B255="STD. DEVIATION",2,$F$1))))</f>
        <v/>
      </c>
      <c r="T255" s="1" t="str">
        <f>IF(OR($B255="",T$7=""),"",IF($B255="MEANS",INDEX('1-DATA'!$1:$1048576,$A254-1,COLUMN('1-DATA'!S253)),ROUND(INDEX('1-DATA'!$1:$1048576,IF(OR($B255="STD. DEVIATION",$C$1=1),$A255,$A255+1),COLUMN('1-DATA'!S253)),IF($B255="STD. DEVIATION",2,$F$1))))</f>
        <v/>
      </c>
      <c r="U255" s="1" t="str">
        <f>IF(OR($B255="",U$7=""),"",IF($B255="MEANS",INDEX('1-DATA'!$1:$1048576,$A254-1,COLUMN('1-DATA'!T253)),ROUND(INDEX('1-DATA'!$1:$1048576,IF(OR($B255="STD. DEVIATION",$C$1=1),$A255,$A255+1),COLUMN('1-DATA'!T253)),IF($B255="STD. DEVIATION",2,$F$1))))</f>
        <v/>
      </c>
      <c r="V255" s="1" t="str">
        <f>IF(OR($B255="",V$7=""),"",IF($B255="MEANS",INDEX('1-DATA'!$1:$1048576,$A254-1,COLUMN('1-DATA'!U253)),ROUND(INDEX('1-DATA'!$1:$1048576,IF(OR($B255="STD. DEVIATION",$C$1=1),$A255,$A255+1),COLUMN('1-DATA'!U253)),IF($B255="STD. DEVIATION",2,$F$1))))</f>
        <v/>
      </c>
      <c r="W255" s="1" t="str">
        <f>IF(OR($B255="",W$7=""),"",IF($B255="MEANS",INDEX('1-DATA'!$1:$1048576,$A254-1,COLUMN('1-DATA'!V253)),ROUND(INDEX('1-DATA'!$1:$1048576,IF(OR($B255="STD. DEVIATION",$C$1=1),$A255,$A255+1),COLUMN('1-DATA'!V253)),IF($B255="STD. DEVIATION",2,$F$1))))</f>
        <v/>
      </c>
      <c r="X255" s="1" t="str">
        <f>IF(OR($B255="",X$7=""),"",IF($B255="MEANS",INDEX('1-DATA'!$1:$1048576,$A254-1,COLUMN('1-DATA'!W253)),ROUND(INDEX('1-DATA'!$1:$1048576,IF(OR($B255="STD. DEVIATION",$C$1=1),$A255,$A255+1),COLUMN('1-DATA'!W253)),IF($B255="STD. DEVIATION",2,$F$1))))</f>
        <v/>
      </c>
      <c r="Y255" s="1" t="str">
        <f>IF(OR($B255="",Y$7=""),"",IF($B255="MEANS",INDEX('1-DATA'!$1:$1048576,$A254-1,COLUMN('1-DATA'!X253)),ROUND(INDEX('1-DATA'!$1:$1048576,IF(OR($B255="STD. DEVIATION",$C$1=1),$A255,$A255+1),COLUMN('1-DATA'!X253)),IF($B255="STD. DEVIATION",2,$F$1))))</f>
        <v/>
      </c>
      <c r="Z255" s="1" t="str">
        <f>IF(OR($B255="",Z$7=""),"",IF($B255="MEANS",INDEX('1-DATA'!$1:$1048576,$A254-1,COLUMN('1-DATA'!Y253)),ROUND(INDEX('1-DATA'!$1:$1048576,IF(OR($B255="STD. DEVIATION",$C$1=1),$A255,$A255+1),COLUMN('1-DATA'!Y253)),IF($B255="STD. DEVIATION",2,$F$1))))</f>
        <v/>
      </c>
      <c r="AA255" s="1" t="str">
        <f>IF(OR($B255="",AA$7=""),"",IF($B255="MEANS",INDEX('1-DATA'!$1:$1048576,$A254-1,COLUMN('1-DATA'!Z253)),ROUND(INDEX('1-DATA'!$1:$1048576,IF(OR($B255="STD. DEVIATION",$C$1=1),$A255,$A255+1),COLUMN('1-DATA'!Z253)),IF($B255="STD. DEVIATION",2,$F$1))))</f>
        <v/>
      </c>
      <c r="AB255" s="1" t="str">
        <f>IF(OR($B255="",AB$7=""),"",IF($B255="MEANS",INDEX('1-DATA'!$1:$1048576,$A254-1,COLUMN('1-DATA'!AA253)),ROUND(INDEX('1-DATA'!$1:$1048576,IF(OR($B255="STD. DEVIATION",$C$1=1),$A255,$A255+1),COLUMN('1-DATA'!AA253)),IF($B255="STD. DEVIATION",2,$F$1))))</f>
        <v/>
      </c>
      <c r="AC255" s="1" t="str">
        <f>IF(OR($B255="",AC$7=""),"",IF($B255="MEANS",INDEX('1-DATA'!$1:$1048576,$A254-1,COLUMN('1-DATA'!AB253)),ROUND(INDEX('1-DATA'!$1:$1048576,IF(OR($B255="STD. DEVIATION",$C$1=1),$A255,$A255+1),COLUMN('1-DATA'!AB253)),IF($B255="STD. DEVIATION",2,$F$1))))</f>
        <v/>
      </c>
      <c r="AD255" s="1" t="str">
        <f>IF(OR($B255="",AD$7=""),"",IF($B255="MEANS",INDEX('1-DATA'!$1:$1048576,$A254-1,COLUMN('1-DATA'!AC253)),ROUND(INDEX('1-DATA'!$1:$1048576,IF(OR($B255="STD. DEVIATION",$C$1=1),$A255,$A255+1),COLUMN('1-DATA'!AC253)),IF($B255="STD. DEVIATION",2,$F$1))))</f>
        <v/>
      </c>
      <c r="AE255" s="1" t="str">
        <f>IF(OR($B255="",AE$7=""),"",IF($B255="MEANS",INDEX('1-DATA'!$1:$1048576,$A254-1,COLUMN('1-DATA'!AD253)),ROUND(INDEX('1-DATA'!$1:$1048576,IF(OR($B255="STD. DEVIATION",$C$1=1),$A255,$A255+1),COLUMN('1-DATA'!AD253)),IF($B255="STD. DEVIATION",2,$F$1))))</f>
        <v/>
      </c>
      <c r="AF255" s="1" t="str">
        <f>IF(OR($B255="",AF$7=""),"",IF($B255="MEANS",INDEX('1-DATA'!$1:$1048576,$A254-1,COLUMN('1-DATA'!AE253)),ROUND(INDEX('1-DATA'!$1:$1048576,IF(OR($B255="STD. DEVIATION",$C$1=1),$A255,$A255+1),COLUMN('1-DATA'!AE253)),IF($B255="STD. DEVIATION",2,$F$1))))</f>
        <v/>
      </c>
      <c r="AG255" s="1" t="str">
        <f>IF(OR($B255="",AG$7=""),"",IF($B255="MEANS",INDEX('1-DATA'!$1:$1048576,$A254-1,COLUMN('1-DATA'!AF253)),ROUND(INDEX('1-DATA'!$1:$1048576,IF(OR($B255="STD. DEVIATION",$C$1=1),$A255,$A255+1),COLUMN('1-DATA'!AF253)),IF($B255="STD. DEVIATION",2,$F$1))))</f>
        <v/>
      </c>
      <c r="AH255" s="1" t="str">
        <f>IF(OR($B255="",AH$7=""),"",IF($B255="MEANS",INDEX('1-DATA'!$1:$1048576,$A254-1,COLUMN('1-DATA'!AG253)),ROUND(INDEX('1-DATA'!$1:$1048576,IF(OR($B255="STD. DEVIATION",$C$1=1),$A255,$A255+1),COLUMN('1-DATA'!AG253)),IF($B255="STD. DEVIATION",2,$F$1))))</f>
        <v/>
      </c>
      <c r="AI255" s="1" t="str">
        <f>IF(OR($B255="",AI$7=""),"",IF($B255="MEANS",INDEX('1-DATA'!$1:$1048576,$A254-1,COLUMN('1-DATA'!AH253)),ROUND(INDEX('1-DATA'!$1:$1048576,IF(OR($B255="STD. DEVIATION",$C$1=1),$A255,$A255+1),COLUMN('1-DATA'!AH253)),IF($B255="STD. DEVIATION",2,$F$1))))</f>
        <v/>
      </c>
      <c r="AJ255" s="1" t="str">
        <f>IF(OR($B255="",AJ$7=""),"",IF($B255="MEANS",INDEX('1-DATA'!$1:$1048576,$A254-1,COLUMN('1-DATA'!AI253)),ROUND(INDEX('1-DATA'!$1:$1048576,IF(OR($B255="STD. DEVIATION",$C$1=1),$A255,$A255+1),COLUMN('1-DATA'!AI253)),IF($B255="STD. DEVIATION",2,$F$1))))</f>
        <v/>
      </c>
      <c r="AK255" s="1" t="str">
        <f>IF(OR($B255="",AK$7=""),"",IF($B255="MEANS",INDEX('1-DATA'!$1:$1048576,$A254-1,COLUMN('1-DATA'!AJ253)),ROUND(INDEX('1-DATA'!$1:$1048576,IF(OR($B255="STD. DEVIATION",$C$1=1),$A255,$A255+1),COLUMN('1-DATA'!AJ253)),IF($B255="STD. DEVIATION",2,$F$1))))</f>
        <v/>
      </c>
      <c r="AL255" s="1" t="str">
        <f>IF(OR($B255="",AL$7=""),"",IF($B255="MEANS",INDEX('1-DATA'!$1:$1048576,$A254-1,COLUMN('1-DATA'!AK253)),ROUND(INDEX('1-DATA'!$1:$1048576,IF(OR($B255="STD. DEVIATION",$C$1=1),$A255,$A255+1),COLUMN('1-DATA'!AK253)),IF($B255="STD. DEVIATION",2,$F$1))))</f>
        <v/>
      </c>
      <c r="AM255" s="1" t="str">
        <f>IF(OR($B255="",AM$7=""),"",IF($B255="MEANS",INDEX('1-DATA'!$1:$1048576,$A254-1,COLUMN('1-DATA'!AL253)),ROUND(INDEX('1-DATA'!$1:$1048576,IF(OR($B255="STD. DEVIATION",$C$1=1),$A255,$A255+1),COLUMN('1-DATA'!AL253)),IF($B255="STD. DEVIATION",2,$F$1))))</f>
        <v/>
      </c>
      <c r="AN255" s="1" t="str">
        <f>IF(OR($B255="",AN$7=""),"",IF($B255="MEANS",INDEX('1-DATA'!$1:$1048576,$A254-1,COLUMN('1-DATA'!AM253)),ROUND(INDEX('1-DATA'!$1:$1048576,IF(OR($B255="STD. DEVIATION",$C$1=1),$A255,$A255+1),COLUMN('1-DATA'!AM253)),IF($B255="STD. DEVIATION",2,$F$1))))</f>
        <v/>
      </c>
      <c r="AO255" s="1" t="str">
        <f>IF(OR($B255="",AO$7=""),"",IF($B255="MEANS",INDEX('1-DATA'!$1:$1048576,$A254-1,COLUMN('1-DATA'!AN253)),ROUND(INDEX('1-DATA'!$1:$1048576,IF(OR($B255="STD. DEVIATION",$C$1=1),$A255,$A255+1),COLUMN('1-DATA'!AN253)),IF($B255="STD. DEVIATION",2,$F$1))))</f>
        <v/>
      </c>
      <c r="AP255" s="1" t="str">
        <f>IF(OR($B255="",AP$7=""),"",IF($B255="MEANS",INDEX('1-DATA'!$1:$1048576,$A254-1,COLUMN('1-DATA'!AO253)),ROUND(INDEX('1-DATA'!$1:$1048576,IF(OR($B255="STD. DEVIATION",$C$1=1),$A255,$A255+1),COLUMN('1-DATA'!AO253)),IF($B255="STD. DEVIATION",2,$F$1))))</f>
        <v/>
      </c>
      <c r="AQ255" s="1" t="str">
        <f>IF(OR($B255="",AQ$7=""),"",IF($B255="MEANS",INDEX('1-DATA'!$1:$1048576,$A254-1,COLUMN('1-DATA'!AP253)),ROUND(INDEX('1-DATA'!$1:$1048576,IF(OR($B255="STD. DEVIATION",$C$1=1),$A255,$A255+1),COLUMN('1-DATA'!AP253)),IF($B255="STD. DEVIATION",2,$F$1))))</f>
        <v/>
      </c>
      <c r="AR255" s="1" t="str">
        <f>IF(OR($B255="",AR$7=""),"",IF($B255="MEANS",INDEX('1-DATA'!$1:$1048576,$A254-1,COLUMN('1-DATA'!AQ253)),ROUND(INDEX('1-DATA'!$1:$1048576,IF(OR($B255="STD. DEVIATION",$C$1=1),$A255,$A255+1),COLUMN('1-DATA'!AQ253)),IF($B255="STD. DEVIATION",2,$F$1))))</f>
        <v/>
      </c>
      <c r="AS255" s="1" t="str">
        <f>IF(OR($B255="",AS$7=""),"",IF($B255="MEANS",INDEX('1-DATA'!$1:$1048576,$A254-1,COLUMN('1-DATA'!AR253)),ROUND(INDEX('1-DATA'!$1:$1048576,IF(OR($B255="STD. DEVIATION",$C$1=1),$A255,$A255+1),COLUMN('1-DATA'!AR253)),IF($B255="STD. DEVIATION",2,$F$1))))</f>
        <v/>
      </c>
      <c r="AT255" s="1" t="str">
        <f>IF(OR($B255="",AT$7=""),"",IF($B255="MEANS",INDEX('1-DATA'!$1:$1048576,$A254-1,COLUMN('1-DATA'!AS253)),ROUND(INDEX('1-DATA'!$1:$1048576,IF(OR($B255="STD. DEVIATION",$C$1=1),$A255,$A255+1),COLUMN('1-DATA'!AS253)),IF($B255="STD. DEVIATION",2,$F$1))))</f>
        <v/>
      </c>
      <c r="AU255" s="1" t="str">
        <f>IF(OR($B255="",AU$7=""),"",IF($B255="MEANS",INDEX('1-DATA'!$1:$1048576,$A254-1,COLUMN('1-DATA'!AT253)),ROUND(INDEX('1-DATA'!$1:$1048576,IF(OR($B255="STD. DEVIATION",$C$1=1),$A255,$A255+1),COLUMN('1-DATA'!AT253)),IF($B255="STD. DEVIATION",2,$F$1))))</f>
        <v/>
      </c>
      <c r="AV255" s="1" t="str">
        <f>IF(OR($B255="",AV$7=""),"",IF($B255="MEANS",INDEX('1-DATA'!$1:$1048576,$A254-1,COLUMN('1-DATA'!AU253)),ROUND(INDEX('1-DATA'!$1:$1048576,IF(OR($B255="STD. DEVIATION",$C$1=1),$A255,$A255+1),COLUMN('1-DATA'!AU253)),IF($B255="STD. DEVIATION",2,$F$1))))</f>
        <v/>
      </c>
      <c r="AW255" s="1" t="str">
        <f>IF(OR($B255="",AW$7=""),"",IF($B255="MEANS",INDEX('1-DATA'!$1:$1048576,$A254-1,COLUMN('1-DATA'!AV253)),ROUND(INDEX('1-DATA'!$1:$1048576,IF(OR($B255="STD. DEVIATION",$C$1=1),$A255,$A255+1),COLUMN('1-DATA'!AV253)),IF($B255="STD. DEVIATION",2,$F$1))))</f>
        <v/>
      </c>
      <c r="AX255" s="1" t="str">
        <f>IF(OR($B255="",AX$7=""),"",IF($B255="MEANS",INDEX('1-DATA'!$1:$1048576,$A254-1,COLUMN('1-DATA'!AW253)),ROUND(INDEX('1-DATA'!$1:$1048576,IF(OR($B255="STD. DEVIATION",$C$1=1),$A255,$A255+1),COLUMN('1-DATA'!AW253)),IF($B255="STD. DEVIATION",2,$F$1))))</f>
        <v/>
      </c>
      <c r="AY255" s="1" t="str">
        <f>IF(OR($B255="",AY$7=""),"",IF($B255="MEANS",INDEX('1-DATA'!$1:$1048576,$A254-1,COLUMN('1-DATA'!AX253)),ROUND(INDEX('1-DATA'!$1:$1048576,IF(OR($B255="STD. DEVIATION",$C$1=1),$A255,$A255+1),COLUMN('1-DATA'!AX253)),IF($B255="STD. DEVIATION",2,$F$1))))</f>
        <v/>
      </c>
      <c r="AZ255" s="1" t="str">
        <f>IF(OR($B255="",AZ$7=""),"",IF($B255="MEANS",INDEX('1-DATA'!$1:$1048576,$A254-1,COLUMN('1-DATA'!AY253)),ROUND(INDEX('1-DATA'!$1:$1048576,IF(OR($B255="STD. DEVIATION",$C$1=1),$A255,$A255+1),COLUMN('1-DATA'!AY253)),IF($B255="STD. DEVIATION",2,$F$1))))</f>
        <v/>
      </c>
    </row>
    <row r="256" spans="1:52" x14ac:dyDescent="0.25">
      <c r="A256" s="11">
        <f t="shared" si="4"/>
        <v>754</v>
      </c>
      <c r="B256" s="1" t="str">
        <f>IF(B255="STD. DEVIATION",INDEX('1-DATA'!$1:$1048576,$A255-1,1),IF(INDEX('1-DATA'!$1:$1048576,$A256,1)&lt;&gt;"",INDEX('1-DATA'!$1:$1048576,$A256,1),""))</f>
        <v/>
      </c>
      <c r="C256" s="1" t="str">
        <f>IF(OR($B256="",C$7=""),"",IF($B256="MEANS",INDEX('1-DATA'!$1:$1048576,$A255-1,COLUMN('1-DATA'!B254)),ROUND(INDEX('1-DATA'!$1:$1048576,IF(OR($B256="STD. DEVIATION",$C$1=1),$A256,$A256+1),COLUMN('1-DATA'!B254)),IF($B256="STD. DEVIATION",2,$F$1))))</f>
        <v/>
      </c>
      <c r="D256" s="1" t="str">
        <f>IF(OR($B256="",D$7=""),"",IF($B256="MEANS",INDEX('1-DATA'!$1:$1048576,$A255-1,COLUMN('1-DATA'!C254)),ROUND(INDEX('1-DATA'!$1:$1048576,IF(OR($B256="STD. DEVIATION",$C$1=1),$A256,$A256+1),COLUMN('1-DATA'!C254)),IF($B256="STD. DEVIATION",2,$F$1))))</f>
        <v/>
      </c>
      <c r="E256" s="1" t="str">
        <f>IF(OR($B256="",E$7=""),"",IF($B256="MEANS",INDEX('1-DATA'!$1:$1048576,$A255-1,COLUMN('1-DATA'!D254)),ROUND(INDEX('1-DATA'!$1:$1048576,IF(OR($B256="STD. DEVIATION",$C$1=1),$A256,$A256+1),COLUMN('1-DATA'!D254)),IF($B256="STD. DEVIATION",2,$F$1))))</f>
        <v/>
      </c>
      <c r="F256" s="1" t="str">
        <f>IF(OR($B256="",F$7=""),"",IF($B256="MEANS",INDEX('1-DATA'!$1:$1048576,$A255-1,COLUMN('1-DATA'!E254)),ROUND(INDEX('1-DATA'!$1:$1048576,IF(OR($B256="STD. DEVIATION",$C$1=1),$A256,$A256+1),COLUMN('1-DATA'!E254)),IF($B256="STD. DEVIATION",2,$F$1))))</f>
        <v/>
      </c>
      <c r="G256" s="1" t="str">
        <f>IF(OR($B256="",G$7=""),"",IF($B256="MEANS",INDEX('1-DATA'!$1:$1048576,$A255-1,COLUMN('1-DATA'!F254)),ROUND(INDEX('1-DATA'!$1:$1048576,IF(OR($B256="STD. DEVIATION",$C$1=1),$A256,$A256+1),COLUMN('1-DATA'!F254)),IF($B256="STD. DEVIATION",2,$F$1))))</f>
        <v/>
      </c>
      <c r="H256" s="1" t="str">
        <f>IF(OR($B256="",H$7=""),"",IF($B256="MEANS",INDEX('1-DATA'!$1:$1048576,$A255-1,COLUMN('1-DATA'!G254)),ROUND(INDEX('1-DATA'!$1:$1048576,IF(OR($B256="STD. DEVIATION",$C$1=1),$A256,$A256+1),COLUMN('1-DATA'!G254)),IF($B256="STD. DEVIATION",2,$F$1))))</f>
        <v/>
      </c>
      <c r="I256" s="1" t="str">
        <f>IF(OR($B256="",I$7=""),"",IF($B256="MEANS",INDEX('1-DATA'!$1:$1048576,$A255-1,COLUMN('1-DATA'!H254)),ROUND(INDEX('1-DATA'!$1:$1048576,IF(OR($B256="STD. DEVIATION",$C$1=1),$A256,$A256+1),COLUMN('1-DATA'!H254)),IF($B256="STD. DEVIATION",2,$F$1))))</f>
        <v/>
      </c>
      <c r="J256" s="1" t="str">
        <f>IF(OR($B256="",J$7=""),"",IF($B256="MEANS",INDEX('1-DATA'!$1:$1048576,$A255-1,COLUMN('1-DATA'!I254)),ROUND(INDEX('1-DATA'!$1:$1048576,IF(OR($B256="STD. DEVIATION",$C$1=1),$A256,$A256+1),COLUMN('1-DATA'!I254)),IF($B256="STD. DEVIATION",2,$F$1))))</f>
        <v/>
      </c>
      <c r="K256" s="1" t="str">
        <f>IF(OR($B256="",K$7=""),"",IF($B256="MEANS",INDEX('1-DATA'!$1:$1048576,$A255-1,COLUMN('1-DATA'!J254)),ROUND(INDEX('1-DATA'!$1:$1048576,IF(OR($B256="STD. DEVIATION",$C$1=1),$A256,$A256+1),COLUMN('1-DATA'!J254)),IF($B256="STD. DEVIATION",2,$F$1))))</f>
        <v/>
      </c>
      <c r="L256" s="1" t="str">
        <f>IF(OR($B256="",L$7=""),"",IF($B256="MEANS",INDEX('1-DATA'!$1:$1048576,$A255-1,COLUMN('1-DATA'!K254)),ROUND(INDEX('1-DATA'!$1:$1048576,IF(OR($B256="STD. DEVIATION",$C$1=1),$A256,$A256+1),COLUMN('1-DATA'!K254)),IF($B256="STD. DEVIATION",2,$F$1))))</f>
        <v/>
      </c>
      <c r="M256" s="1" t="str">
        <f>IF(OR($B256="",M$7=""),"",IF($B256="MEANS",INDEX('1-DATA'!$1:$1048576,$A255-1,COLUMN('1-DATA'!L254)),ROUND(INDEX('1-DATA'!$1:$1048576,IF(OR($B256="STD. DEVIATION",$C$1=1),$A256,$A256+1),COLUMN('1-DATA'!L254)),IF($B256="STD. DEVIATION",2,$F$1))))</f>
        <v/>
      </c>
      <c r="N256" s="1" t="str">
        <f>IF(OR($B256="",N$7=""),"",IF($B256="MEANS",INDEX('1-DATA'!$1:$1048576,$A255-1,COLUMN('1-DATA'!M254)),ROUND(INDEX('1-DATA'!$1:$1048576,IF(OR($B256="STD. DEVIATION",$C$1=1),$A256,$A256+1),COLUMN('1-DATA'!M254)),IF($B256="STD. DEVIATION",2,$F$1))))</f>
        <v/>
      </c>
      <c r="O256" s="1" t="str">
        <f>IF(OR($B256="",O$7=""),"",IF($B256="MEANS",INDEX('1-DATA'!$1:$1048576,$A255-1,COLUMN('1-DATA'!N254)),ROUND(INDEX('1-DATA'!$1:$1048576,IF(OR($B256="STD. DEVIATION",$C$1=1),$A256,$A256+1),COLUMN('1-DATA'!N254)),IF($B256="STD. DEVIATION",2,$F$1))))</f>
        <v/>
      </c>
      <c r="P256" s="1" t="str">
        <f>IF(OR($B256="",P$7=""),"",IF($B256="MEANS",INDEX('1-DATA'!$1:$1048576,$A255-1,COLUMN('1-DATA'!O254)),ROUND(INDEX('1-DATA'!$1:$1048576,IF(OR($B256="STD. DEVIATION",$C$1=1),$A256,$A256+1),COLUMN('1-DATA'!O254)),IF($B256="STD. DEVIATION",2,$F$1))))</f>
        <v/>
      </c>
      <c r="Q256" s="1" t="str">
        <f>IF(OR($B256="",Q$7=""),"",IF($B256="MEANS",INDEX('1-DATA'!$1:$1048576,$A255-1,COLUMN('1-DATA'!P254)),ROUND(INDEX('1-DATA'!$1:$1048576,IF(OR($B256="STD. DEVIATION",$C$1=1),$A256,$A256+1),COLUMN('1-DATA'!P254)),IF($B256="STD. DEVIATION",2,$F$1))))</f>
        <v/>
      </c>
      <c r="R256" s="1" t="str">
        <f>IF(OR($B256="",R$7=""),"",IF($B256="MEANS",INDEX('1-DATA'!$1:$1048576,$A255-1,COLUMN('1-DATA'!Q254)),ROUND(INDEX('1-DATA'!$1:$1048576,IF(OR($B256="STD. DEVIATION",$C$1=1),$A256,$A256+1),COLUMN('1-DATA'!Q254)),IF($B256="STD. DEVIATION",2,$F$1))))</f>
        <v/>
      </c>
      <c r="S256" s="1" t="str">
        <f>IF(OR($B256="",S$7=""),"",IF($B256="MEANS",INDEX('1-DATA'!$1:$1048576,$A255-1,COLUMN('1-DATA'!R254)),ROUND(INDEX('1-DATA'!$1:$1048576,IF(OR($B256="STD. DEVIATION",$C$1=1),$A256,$A256+1),COLUMN('1-DATA'!R254)),IF($B256="STD. DEVIATION",2,$F$1))))</f>
        <v/>
      </c>
      <c r="T256" s="1" t="str">
        <f>IF(OR($B256="",T$7=""),"",IF($B256="MEANS",INDEX('1-DATA'!$1:$1048576,$A255-1,COLUMN('1-DATA'!S254)),ROUND(INDEX('1-DATA'!$1:$1048576,IF(OR($B256="STD. DEVIATION",$C$1=1),$A256,$A256+1),COLUMN('1-DATA'!S254)),IF($B256="STD. DEVIATION",2,$F$1))))</f>
        <v/>
      </c>
      <c r="U256" s="1" t="str">
        <f>IF(OR($B256="",U$7=""),"",IF($B256="MEANS",INDEX('1-DATA'!$1:$1048576,$A255-1,COLUMN('1-DATA'!T254)),ROUND(INDEX('1-DATA'!$1:$1048576,IF(OR($B256="STD. DEVIATION",$C$1=1),$A256,$A256+1),COLUMN('1-DATA'!T254)),IF($B256="STD. DEVIATION",2,$F$1))))</f>
        <v/>
      </c>
      <c r="V256" s="1" t="str">
        <f>IF(OR($B256="",V$7=""),"",IF($B256="MEANS",INDEX('1-DATA'!$1:$1048576,$A255-1,COLUMN('1-DATA'!U254)),ROUND(INDEX('1-DATA'!$1:$1048576,IF(OR($B256="STD. DEVIATION",$C$1=1),$A256,$A256+1),COLUMN('1-DATA'!U254)),IF($B256="STD. DEVIATION",2,$F$1))))</f>
        <v/>
      </c>
      <c r="W256" s="1" t="str">
        <f>IF(OR($B256="",W$7=""),"",IF($B256="MEANS",INDEX('1-DATA'!$1:$1048576,$A255-1,COLUMN('1-DATA'!V254)),ROUND(INDEX('1-DATA'!$1:$1048576,IF(OR($B256="STD. DEVIATION",$C$1=1),$A256,$A256+1),COLUMN('1-DATA'!V254)),IF($B256="STD. DEVIATION",2,$F$1))))</f>
        <v/>
      </c>
      <c r="X256" s="1" t="str">
        <f>IF(OR($B256="",X$7=""),"",IF($B256="MEANS",INDEX('1-DATA'!$1:$1048576,$A255-1,COLUMN('1-DATA'!W254)),ROUND(INDEX('1-DATA'!$1:$1048576,IF(OR($B256="STD. DEVIATION",$C$1=1),$A256,$A256+1),COLUMN('1-DATA'!W254)),IF($B256="STD. DEVIATION",2,$F$1))))</f>
        <v/>
      </c>
      <c r="Y256" s="1" t="str">
        <f>IF(OR($B256="",Y$7=""),"",IF($B256="MEANS",INDEX('1-DATA'!$1:$1048576,$A255-1,COLUMN('1-DATA'!X254)),ROUND(INDEX('1-DATA'!$1:$1048576,IF(OR($B256="STD. DEVIATION",$C$1=1),$A256,$A256+1),COLUMN('1-DATA'!X254)),IF($B256="STD. DEVIATION",2,$F$1))))</f>
        <v/>
      </c>
      <c r="Z256" s="1" t="str">
        <f>IF(OR($B256="",Z$7=""),"",IF($B256="MEANS",INDEX('1-DATA'!$1:$1048576,$A255-1,COLUMN('1-DATA'!Y254)),ROUND(INDEX('1-DATA'!$1:$1048576,IF(OR($B256="STD. DEVIATION",$C$1=1),$A256,$A256+1),COLUMN('1-DATA'!Y254)),IF($B256="STD. DEVIATION",2,$F$1))))</f>
        <v/>
      </c>
      <c r="AA256" s="1" t="str">
        <f>IF(OR($B256="",AA$7=""),"",IF($B256="MEANS",INDEX('1-DATA'!$1:$1048576,$A255-1,COLUMN('1-DATA'!Z254)),ROUND(INDEX('1-DATA'!$1:$1048576,IF(OR($B256="STD. DEVIATION",$C$1=1),$A256,$A256+1),COLUMN('1-DATA'!Z254)),IF($B256="STD. DEVIATION",2,$F$1))))</f>
        <v/>
      </c>
      <c r="AB256" s="1" t="str">
        <f>IF(OR($B256="",AB$7=""),"",IF($B256="MEANS",INDEX('1-DATA'!$1:$1048576,$A255-1,COLUMN('1-DATA'!AA254)),ROUND(INDEX('1-DATA'!$1:$1048576,IF(OR($B256="STD. DEVIATION",$C$1=1),$A256,$A256+1),COLUMN('1-DATA'!AA254)),IF($B256="STD. DEVIATION",2,$F$1))))</f>
        <v/>
      </c>
      <c r="AC256" s="1" t="str">
        <f>IF(OR($B256="",AC$7=""),"",IF($B256="MEANS",INDEX('1-DATA'!$1:$1048576,$A255-1,COLUMN('1-DATA'!AB254)),ROUND(INDEX('1-DATA'!$1:$1048576,IF(OR($B256="STD. DEVIATION",$C$1=1),$A256,$A256+1),COLUMN('1-DATA'!AB254)),IF($B256="STD. DEVIATION",2,$F$1))))</f>
        <v/>
      </c>
      <c r="AD256" s="1" t="str">
        <f>IF(OR($B256="",AD$7=""),"",IF($B256="MEANS",INDEX('1-DATA'!$1:$1048576,$A255-1,COLUMN('1-DATA'!AC254)),ROUND(INDEX('1-DATA'!$1:$1048576,IF(OR($B256="STD. DEVIATION",$C$1=1),$A256,$A256+1),COLUMN('1-DATA'!AC254)),IF($B256="STD. DEVIATION",2,$F$1))))</f>
        <v/>
      </c>
      <c r="AE256" s="1" t="str">
        <f>IF(OR($B256="",AE$7=""),"",IF($B256="MEANS",INDEX('1-DATA'!$1:$1048576,$A255-1,COLUMN('1-DATA'!AD254)),ROUND(INDEX('1-DATA'!$1:$1048576,IF(OR($B256="STD. DEVIATION",$C$1=1),$A256,$A256+1),COLUMN('1-DATA'!AD254)),IF($B256="STD. DEVIATION",2,$F$1))))</f>
        <v/>
      </c>
      <c r="AF256" s="1" t="str">
        <f>IF(OR($B256="",AF$7=""),"",IF($B256="MEANS",INDEX('1-DATA'!$1:$1048576,$A255-1,COLUMN('1-DATA'!AE254)),ROUND(INDEX('1-DATA'!$1:$1048576,IF(OR($B256="STD. DEVIATION",$C$1=1),$A256,$A256+1),COLUMN('1-DATA'!AE254)),IF($B256="STD. DEVIATION",2,$F$1))))</f>
        <v/>
      </c>
      <c r="AG256" s="1" t="str">
        <f>IF(OR($B256="",AG$7=""),"",IF($B256="MEANS",INDEX('1-DATA'!$1:$1048576,$A255-1,COLUMN('1-DATA'!AF254)),ROUND(INDEX('1-DATA'!$1:$1048576,IF(OR($B256="STD. DEVIATION",$C$1=1),$A256,$A256+1),COLUMN('1-DATA'!AF254)),IF($B256="STD. DEVIATION",2,$F$1))))</f>
        <v/>
      </c>
      <c r="AH256" s="1" t="str">
        <f>IF(OR($B256="",AH$7=""),"",IF($B256="MEANS",INDEX('1-DATA'!$1:$1048576,$A255-1,COLUMN('1-DATA'!AG254)),ROUND(INDEX('1-DATA'!$1:$1048576,IF(OR($B256="STD. DEVIATION",$C$1=1),$A256,$A256+1),COLUMN('1-DATA'!AG254)),IF($B256="STD. DEVIATION",2,$F$1))))</f>
        <v/>
      </c>
      <c r="AI256" s="1" t="str">
        <f>IF(OR($B256="",AI$7=""),"",IF($B256="MEANS",INDEX('1-DATA'!$1:$1048576,$A255-1,COLUMN('1-DATA'!AH254)),ROUND(INDEX('1-DATA'!$1:$1048576,IF(OR($B256="STD. DEVIATION",$C$1=1),$A256,$A256+1),COLUMN('1-DATA'!AH254)),IF($B256="STD. DEVIATION",2,$F$1))))</f>
        <v/>
      </c>
      <c r="AJ256" s="1" t="str">
        <f>IF(OR($B256="",AJ$7=""),"",IF($B256="MEANS",INDEX('1-DATA'!$1:$1048576,$A255-1,COLUMN('1-DATA'!AI254)),ROUND(INDEX('1-DATA'!$1:$1048576,IF(OR($B256="STD. DEVIATION",$C$1=1),$A256,$A256+1),COLUMN('1-DATA'!AI254)),IF($B256="STD. DEVIATION",2,$F$1))))</f>
        <v/>
      </c>
      <c r="AK256" s="1" t="str">
        <f>IF(OR($B256="",AK$7=""),"",IF($B256="MEANS",INDEX('1-DATA'!$1:$1048576,$A255-1,COLUMN('1-DATA'!AJ254)),ROUND(INDEX('1-DATA'!$1:$1048576,IF(OR($B256="STD. DEVIATION",$C$1=1),$A256,$A256+1),COLUMN('1-DATA'!AJ254)),IF($B256="STD. DEVIATION",2,$F$1))))</f>
        <v/>
      </c>
      <c r="AL256" s="1" t="str">
        <f>IF(OR($B256="",AL$7=""),"",IF($B256="MEANS",INDEX('1-DATA'!$1:$1048576,$A255-1,COLUMN('1-DATA'!AK254)),ROUND(INDEX('1-DATA'!$1:$1048576,IF(OR($B256="STD. DEVIATION",$C$1=1),$A256,$A256+1),COLUMN('1-DATA'!AK254)),IF($B256="STD. DEVIATION",2,$F$1))))</f>
        <v/>
      </c>
      <c r="AM256" s="1" t="str">
        <f>IF(OR($B256="",AM$7=""),"",IF($B256="MEANS",INDEX('1-DATA'!$1:$1048576,$A255-1,COLUMN('1-DATA'!AL254)),ROUND(INDEX('1-DATA'!$1:$1048576,IF(OR($B256="STD. DEVIATION",$C$1=1),$A256,$A256+1),COLUMN('1-DATA'!AL254)),IF($B256="STD. DEVIATION",2,$F$1))))</f>
        <v/>
      </c>
      <c r="AN256" s="1" t="str">
        <f>IF(OR($B256="",AN$7=""),"",IF($B256="MEANS",INDEX('1-DATA'!$1:$1048576,$A255-1,COLUMN('1-DATA'!AM254)),ROUND(INDEX('1-DATA'!$1:$1048576,IF(OR($B256="STD. DEVIATION",$C$1=1),$A256,$A256+1),COLUMN('1-DATA'!AM254)),IF($B256="STD. DEVIATION",2,$F$1))))</f>
        <v/>
      </c>
      <c r="AO256" s="1" t="str">
        <f>IF(OR($B256="",AO$7=""),"",IF($B256="MEANS",INDEX('1-DATA'!$1:$1048576,$A255-1,COLUMN('1-DATA'!AN254)),ROUND(INDEX('1-DATA'!$1:$1048576,IF(OR($B256="STD. DEVIATION",$C$1=1),$A256,$A256+1),COLUMN('1-DATA'!AN254)),IF($B256="STD. DEVIATION",2,$F$1))))</f>
        <v/>
      </c>
      <c r="AP256" s="1" t="str">
        <f>IF(OR($B256="",AP$7=""),"",IF($B256="MEANS",INDEX('1-DATA'!$1:$1048576,$A255-1,COLUMN('1-DATA'!AO254)),ROUND(INDEX('1-DATA'!$1:$1048576,IF(OR($B256="STD. DEVIATION",$C$1=1),$A256,$A256+1),COLUMN('1-DATA'!AO254)),IF($B256="STD. DEVIATION",2,$F$1))))</f>
        <v/>
      </c>
      <c r="AQ256" s="1" t="str">
        <f>IF(OR($B256="",AQ$7=""),"",IF($B256="MEANS",INDEX('1-DATA'!$1:$1048576,$A255-1,COLUMN('1-DATA'!AP254)),ROUND(INDEX('1-DATA'!$1:$1048576,IF(OR($B256="STD. DEVIATION",$C$1=1),$A256,$A256+1),COLUMN('1-DATA'!AP254)),IF($B256="STD. DEVIATION",2,$F$1))))</f>
        <v/>
      </c>
      <c r="AR256" s="1" t="str">
        <f>IF(OR($B256="",AR$7=""),"",IF($B256="MEANS",INDEX('1-DATA'!$1:$1048576,$A255-1,COLUMN('1-DATA'!AQ254)),ROUND(INDEX('1-DATA'!$1:$1048576,IF(OR($B256="STD. DEVIATION",$C$1=1),$A256,$A256+1),COLUMN('1-DATA'!AQ254)),IF($B256="STD. DEVIATION",2,$F$1))))</f>
        <v/>
      </c>
      <c r="AS256" s="1" t="str">
        <f>IF(OR($B256="",AS$7=""),"",IF($B256="MEANS",INDEX('1-DATA'!$1:$1048576,$A255-1,COLUMN('1-DATA'!AR254)),ROUND(INDEX('1-DATA'!$1:$1048576,IF(OR($B256="STD. DEVIATION",$C$1=1),$A256,$A256+1),COLUMN('1-DATA'!AR254)),IF($B256="STD. DEVIATION",2,$F$1))))</f>
        <v/>
      </c>
      <c r="AT256" s="1" t="str">
        <f>IF(OR($B256="",AT$7=""),"",IF($B256="MEANS",INDEX('1-DATA'!$1:$1048576,$A255-1,COLUMN('1-DATA'!AS254)),ROUND(INDEX('1-DATA'!$1:$1048576,IF(OR($B256="STD. DEVIATION",$C$1=1),$A256,$A256+1),COLUMN('1-DATA'!AS254)),IF($B256="STD. DEVIATION",2,$F$1))))</f>
        <v/>
      </c>
      <c r="AU256" s="1" t="str">
        <f>IF(OR($B256="",AU$7=""),"",IF($B256="MEANS",INDEX('1-DATA'!$1:$1048576,$A255-1,COLUMN('1-DATA'!AT254)),ROUND(INDEX('1-DATA'!$1:$1048576,IF(OR($B256="STD. DEVIATION",$C$1=1),$A256,$A256+1),COLUMN('1-DATA'!AT254)),IF($B256="STD. DEVIATION",2,$F$1))))</f>
        <v/>
      </c>
      <c r="AV256" s="1" t="str">
        <f>IF(OR($B256="",AV$7=""),"",IF($B256="MEANS",INDEX('1-DATA'!$1:$1048576,$A255-1,COLUMN('1-DATA'!AU254)),ROUND(INDEX('1-DATA'!$1:$1048576,IF(OR($B256="STD. DEVIATION",$C$1=1),$A256,$A256+1),COLUMN('1-DATA'!AU254)),IF($B256="STD. DEVIATION",2,$F$1))))</f>
        <v/>
      </c>
      <c r="AW256" s="1" t="str">
        <f>IF(OR($B256="",AW$7=""),"",IF($B256="MEANS",INDEX('1-DATA'!$1:$1048576,$A255-1,COLUMN('1-DATA'!AV254)),ROUND(INDEX('1-DATA'!$1:$1048576,IF(OR($B256="STD. DEVIATION",$C$1=1),$A256,$A256+1),COLUMN('1-DATA'!AV254)),IF($B256="STD. DEVIATION",2,$F$1))))</f>
        <v/>
      </c>
      <c r="AX256" s="1" t="str">
        <f>IF(OR($B256="",AX$7=""),"",IF($B256="MEANS",INDEX('1-DATA'!$1:$1048576,$A255-1,COLUMN('1-DATA'!AW254)),ROUND(INDEX('1-DATA'!$1:$1048576,IF(OR($B256="STD. DEVIATION",$C$1=1),$A256,$A256+1),COLUMN('1-DATA'!AW254)),IF($B256="STD. DEVIATION",2,$F$1))))</f>
        <v/>
      </c>
      <c r="AY256" s="1" t="str">
        <f>IF(OR($B256="",AY$7=""),"",IF($B256="MEANS",INDEX('1-DATA'!$1:$1048576,$A255-1,COLUMN('1-DATA'!AX254)),ROUND(INDEX('1-DATA'!$1:$1048576,IF(OR($B256="STD. DEVIATION",$C$1=1),$A256,$A256+1),COLUMN('1-DATA'!AX254)),IF($B256="STD. DEVIATION",2,$F$1))))</f>
        <v/>
      </c>
      <c r="AZ256" s="1" t="str">
        <f>IF(OR($B256="",AZ$7=""),"",IF($B256="MEANS",INDEX('1-DATA'!$1:$1048576,$A255-1,COLUMN('1-DATA'!AY254)),ROUND(INDEX('1-DATA'!$1:$1048576,IF(OR($B256="STD. DEVIATION",$C$1=1),$A256,$A256+1),COLUMN('1-DATA'!AY254)),IF($B256="STD. DEVIATION",2,$F$1))))</f>
        <v/>
      </c>
    </row>
    <row r="257" spans="1:52" x14ac:dyDescent="0.25">
      <c r="A257" s="11">
        <f t="shared" si="4"/>
        <v>757</v>
      </c>
      <c r="B257" s="1" t="str">
        <f>IF(B256="STD. DEVIATION",INDEX('1-DATA'!$1:$1048576,$A256-1,1),IF(INDEX('1-DATA'!$1:$1048576,$A257,1)&lt;&gt;"",INDEX('1-DATA'!$1:$1048576,$A257,1),""))</f>
        <v/>
      </c>
      <c r="C257" s="1" t="str">
        <f>IF(OR($B257="",C$7=""),"",IF($B257="MEANS",INDEX('1-DATA'!$1:$1048576,$A256-1,COLUMN('1-DATA'!B255)),ROUND(INDEX('1-DATA'!$1:$1048576,IF(OR($B257="STD. DEVIATION",$C$1=1),$A257,$A257+1),COLUMN('1-DATA'!B255)),IF($B257="STD. DEVIATION",2,$F$1))))</f>
        <v/>
      </c>
      <c r="D257" s="1" t="str">
        <f>IF(OR($B257="",D$7=""),"",IF($B257="MEANS",INDEX('1-DATA'!$1:$1048576,$A256-1,COLUMN('1-DATA'!C255)),ROUND(INDEX('1-DATA'!$1:$1048576,IF(OR($B257="STD. DEVIATION",$C$1=1),$A257,$A257+1),COLUMN('1-DATA'!C255)),IF($B257="STD. DEVIATION",2,$F$1))))</f>
        <v/>
      </c>
      <c r="E257" s="1" t="str">
        <f>IF(OR($B257="",E$7=""),"",IF($B257="MEANS",INDEX('1-DATA'!$1:$1048576,$A256-1,COLUMN('1-DATA'!D255)),ROUND(INDEX('1-DATA'!$1:$1048576,IF(OR($B257="STD. DEVIATION",$C$1=1),$A257,$A257+1),COLUMN('1-DATA'!D255)),IF($B257="STD. DEVIATION",2,$F$1))))</f>
        <v/>
      </c>
      <c r="F257" s="1" t="str">
        <f>IF(OR($B257="",F$7=""),"",IF($B257="MEANS",INDEX('1-DATA'!$1:$1048576,$A256-1,COLUMN('1-DATA'!E255)),ROUND(INDEX('1-DATA'!$1:$1048576,IF(OR($B257="STD. DEVIATION",$C$1=1),$A257,$A257+1),COLUMN('1-DATA'!E255)),IF($B257="STD. DEVIATION",2,$F$1))))</f>
        <v/>
      </c>
      <c r="G257" s="1" t="str">
        <f>IF(OR($B257="",G$7=""),"",IF($B257="MEANS",INDEX('1-DATA'!$1:$1048576,$A256-1,COLUMN('1-DATA'!F255)),ROUND(INDEX('1-DATA'!$1:$1048576,IF(OR($B257="STD. DEVIATION",$C$1=1),$A257,$A257+1),COLUMN('1-DATA'!F255)),IF($B257="STD. DEVIATION",2,$F$1))))</f>
        <v/>
      </c>
      <c r="H257" s="1" t="str">
        <f>IF(OR($B257="",H$7=""),"",IF($B257="MEANS",INDEX('1-DATA'!$1:$1048576,$A256-1,COLUMN('1-DATA'!G255)),ROUND(INDEX('1-DATA'!$1:$1048576,IF(OR($B257="STD. DEVIATION",$C$1=1),$A257,$A257+1),COLUMN('1-DATA'!G255)),IF($B257="STD. DEVIATION",2,$F$1))))</f>
        <v/>
      </c>
      <c r="I257" s="1" t="str">
        <f>IF(OR($B257="",I$7=""),"",IF($B257="MEANS",INDEX('1-DATA'!$1:$1048576,$A256-1,COLUMN('1-DATA'!H255)),ROUND(INDEX('1-DATA'!$1:$1048576,IF(OR($B257="STD. DEVIATION",$C$1=1),$A257,$A257+1),COLUMN('1-DATA'!H255)),IF($B257="STD. DEVIATION",2,$F$1))))</f>
        <v/>
      </c>
      <c r="J257" s="1" t="str">
        <f>IF(OR($B257="",J$7=""),"",IF($B257="MEANS",INDEX('1-DATA'!$1:$1048576,$A256-1,COLUMN('1-DATA'!I255)),ROUND(INDEX('1-DATA'!$1:$1048576,IF(OR($B257="STD. DEVIATION",$C$1=1),$A257,$A257+1),COLUMN('1-DATA'!I255)),IF($B257="STD. DEVIATION",2,$F$1))))</f>
        <v/>
      </c>
      <c r="K257" s="1" t="str">
        <f>IF(OR($B257="",K$7=""),"",IF($B257="MEANS",INDEX('1-DATA'!$1:$1048576,$A256-1,COLUMN('1-DATA'!J255)),ROUND(INDEX('1-DATA'!$1:$1048576,IF(OR($B257="STD. DEVIATION",$C$1=1),$A257,$A257+1),COLUMN('1-DATA'!J255)),IF($B257="STD. DEVIATION",2,$F$1))))</f>
        <v/>
      </c>
      <c r="L257" s="1" t="str">
        <f>IF(OR($B257="",L$7=""),"",IF($B257="MEANS",INDEX('1-DATA'!$1:$1048576,$A256-1,COLUMN('1-DATA'!K255)),ROUND(INDEX('1-DATA'!$1:$1048576,IF(OR($B257="STD. DEVIATION",$C$1=1),$A257,$A257+1),COLUMN('1-DATA'!K255)),IF($B257="STD. DEVIATION",2,$F$1))))</f>
        <v/>
      </c>
      <c r="M257" s="1" t="str">
        <f>IF(OR($B257="",M$7=""),"",IF($B257="MEANS",INDEX('1-DATA'!$1:$1048576,$A256-1,COLUMN('1-DATA'!L255)),ROUND(INDEX('1-DATA'!$1:$1048576,IF(OR($B257="STD. DEVIATION",$C$1=1),$A257,$A257+1),COLUMN('1-DATA'!L255)),IF($B257="STD. DEVIATION",2,$F$1))))</f>
        <v/>
      </c>
      <c r="N257" s="1" t="str">
        <f>IF(OR($B257="",N$7=""),"",IF($B257="MEANS",INDEX('1-DATA'!$1:$1048576,$A256-1,COLUMN('1-DATA'!M255)),ROUND(INDEX('1-DATA'!$1:$1048576,IF(OR($B257="STD. DEVIATION",$C$1=1),$A257,$A257+1),COLUMN('1-DATA'!M255)),IF($B257="STD. DEVIATION",2,$F$1))))</f>
        <v/>
      </c>
      <c r="O257" s="1" t="str">
        <f>IF(OR($B257="",O$7=""),"",IF($B257="MEANS",INDEX('1-DATA'!$1:$1048576,$A256-1,COLUMN('1-DATA'!N255)),ROUND(INDEX('1-DATA'!$1:$1048576,IF(OR($B257="STD. DEVIATION",$C$1=1),$A257,$A257+1),COLUMN('1-DATA'!N255)),IF($B257="STD. DEVIATION",2,$F$1))))</f>
        <v/>
      </c>
      <c r="P257" s="1" t="str">
        <f>IF(OR($B257="",P$7=""),"",IF($B257="MEANS",INDEX('1-DATA'!$1:$1048576,$A256-1,COLUMN('1-DATA'!O255)),ROUND(INDEX('1-DATA'!$1:$1048576,IF(OR($B257="STD. DEVIATION",$C$1=1),$A257,$A257+1),COLUMN('1-DATA'!O255)),IF($B257="STD. DEVIATION",2,$F$1))))</f>
        <v/>
      </c>
      <c r="Q257" s="1" t="str">
        <f>IF(OR($B257="",Q$7=""),"",IF($B257="MEANS",INDEX('1-DATA'!$1:$1048576,$A256-1,COLUMN('1-DATA'!P255)),ROUND(INDEX('1-DATA'!$1:$1048576,IF(OR($B257="STD. DEVIATION",$C$1=1),$A257,$A257+1),COLUMN('1-DATA'!P255)),IF($B257="STD. DEVIATION",2,$F$1))))</f>
        <v/>
      </c>
      <c r="R257" s="1" t="str">
        <f>IF(OR($B257="",R$7=""),"",IF($B257="MEANS",INDEX('1-DATA'!$1:$1048576,$A256-1,COLUMN('1-DATA'!Q255)),ROUND(INDEX('1-DATA'!$1:$1048576,IF(OR($B257="STD. DEVIATION",$C$1=1),$A257,$A257+1),COLUMN('1-DATA'!Q255)),IF($B257="STD. DEVIATION",2,$F$1))))</f>
        <v/>
      </c>
      <c r="S257" s="1" t="str">
        <f>IF(OR($B257="",S$7=""),"",IF($B257="MEANS",INDEX('1-DATA'!$1:$1048576,$A256-1,COLUMN('1-DATA'!R255)),ROUND(INDEX('1-DATA'!$1:$1048576,IF(OR($B257="STD. DEVIATION",$C$1=1),$A257,$A257+1),COLUMN('1-DATA'!R255)),IF($B257="STD. DEVIATION",2,$F$1))))</f>
        <v/>
      </c>
      <c r="T257" s="1" t="str">
        <f>IF(OR($B257="",T$7=""),"",IF($B257="MEANS",INDEX('1-DATA'!$1:$1048576,$A256-1,COLUMN('1-DATA'!S255)),ROUND(INDEX('1-DATA'!$1:$1048576,IF(OR($B257="STD. DEVIATION",$C$1=1),$A257,$A257+1),COLUMN('1-DATA'!S255)),IF($B257="STD. DEVIATION",2,$F$1))))</f>
        <v/>
      </c>
      <c r="U257" s="1" t="str">
        <f>IF(OR($B257="",U$7=""),"",IF($B257="MEANS",INDEX('1-DATA'!$1:$1048576,$A256-1,COLUMN('1-DATA'!T255)),ROUND(INDEX('1-DATA'!$1:$1048576,IF(OR($B257="STD. DEVIATION",$C$1=1),$A257,$A257+1),COLUMN('1-DATA'!T255)),IF($B257="STD. DEVIATION",2,$F$1))))</f>
        <v/>
      </c>
      <c r="V257" s="1" t="str">
        <f>IF(OR($B257="",V$7=""),"",IF($B257="MEANS",INDEX('1-DATA'!$1:$1048576,$A256-1,COLUMN('1-DATA'!U255)),ROUND(INDEX('1-DATA'!$1:$1048576,IF(OR($B257="STD. DEVIATION",$C$1=1),$A257,$A257+1),COLUMN('1-DATA'!U255)),IF($B257="STD. DEVIATION",2,$F$1))))</f>
        <v/>
      </c>
      <c r="W257" s="1" t="str">
        <f>IF(OR($B257="",W$7=""),"",IF($B257="MEANS",INDEX('1-DATA'!$1:$1048576,$A256-1,COLUMN('1-DATA'!V255)),ROUND(INDEX('1-DATA'!$1:$1048576,IF(OR($B257="STD. DEVIATION",$C$1=1),$A257,$A257+1),COLUMN('1-DATA'!V255)),IF($B257="STD. DEVIATION",2,$F$1))))</f>
        <v/>
      </c>
      <c r="X257" s="1" t="str">
        <f>IF(OR($B257="",X$7=""),"",IF($B257="MEANS",INDEX('1-DATA'!$1:$1048576,$A256-1,COLUMN('1-DATA'!W255)),ROUND(INDEX('1-DATA'!$1:$1048576,IF(OR($B257="STD. DEVIATION",$C$1=1),$A257,$A257+1),COLUMN('1-DATA'!W255)),IF($B257="STD. DEVIATION",2,$F$1))))</f>
        <v/>
      </c>
      <c r="Y257" s="1" t="str">
        <f>IF(OR($B257="",Y$7=""),"",IF($B257="MEANS",INDEX('1-DATA'!$1:$1048576,$A256-1,COLUMN('1-DATA'!X255)),ROUND(INDEX('1-DATA'!$1:$1048576,IF(OR($B257="STD. DEVIATION",$C$1=1),$A257,$A257+1),COLUMN('1-DATA'!X255)),IF($B257="STD. DEVIATION",2,$F$1))))</f>
        <v/>
      </c>
      <c r="Z257" s="1" t="str">
        <f>IF(OR($B257="",Z$7=""),"",IF($B257="MEANS",INDEX('1-DATA'!$1:$1048576,$A256-1,COLUMN('1-DATA'!Y255)),ROUND(INDEX('1-DATA'!$1:$1048576,IF(OR($B257="STD. DEVIATION",$C$1=1),$A257,$A257+1),COLUMN('1-DATA'!Y255)),IF($B257="STD. DEVIATION",2,$F$1))))</f>
        <v/>
      </c>
      <c r="AA257" s="1" t="str">
        <f>IF(OR($B257="",AA$7=""),"",IF($B257="MEANS",INDEX('1-DATA'!$1:$1048576,$A256-1,COLUMN('1-DATA'!Z255)),ROUND(INDEX('1-DATA'!$1:$1048576,IF(OR($B257="STD. DEVIATION",$C$1=1),$A257,$A257+1),COLUMN('1-DATA'!Z255)),IF($B257="STD. DEVIATION",2,$F$1))))</f>
        <v/>
      </c>
      <c r="AB257" s="1" t="str">
        <f>IF(OR($B257="",AB$7=""),"",IF($B257="MEANS",INDEX('1-DATA'!$1:$1048576,$A256-1,COLUMN('1-DATA'!AA255)),ROUND(INDEX('1-DATA'!$1:$1048576,IF(OR($B257="STD. DEVIATION",$C$1=1),$A257,$A257+1),COLUMN('1-DATA'!AA255)),IF($B257="STD. DEVIATION",2,$F$1))))</f>
        <v/>
      </c>
      <c r="AC257" s="1" t="str">
        <f>IF(OR($B257="",AC$7=""),"",IF($B257="MEANS",INDEX('1-DATA'!$1:$1048576,$A256-1,COLUMN('1-DATA'!AB255)),ROUND(INDEX('1-DATA'!$1:$1048576,IF(OR($B257="STD. DEVIATION",$C$1=1),$A257,$A257+1),COLUMN('1-DATA'!AB255)),IF($B257="STD. DEVIATION",2,$F$1))))</f>
        <v/>
      </c>
      <c r="AD257" s="1" t="str">
        <f>IF(OR($B257="",AD$7=""),"",IF($B257="MEANS",INDEX('1-DATA'!$1:$1048576,$A256-1,COLUMN('1-DATA'!AC255)),ROUND(INDEX('1-DATA'!$1:$1048576,IF(OR($B257="STD. DEVIATION",$C$1=1),$A257,$A257+1),COLUMN('1-DATA'!AC255)),IF($B257="STD. DEVIATION",2,$F$1))))</f>
        <v/>
      </c>
      <c r="AE257" s="1" t="str">
        <f>IF(OR($B257="",AE$7=""),"",IF($B257="MEANS",INDEX('1-DATA'!$1:$1048576,$A256-1,COLUMN('1-DATA'!AD255)),ROUND(INDEX('1-DATA'!$1:$1048576,IF(OR($B257="STD. DEVIATION",$C$1=1),$A257,$A257+1),COLUMN('1-DATA'!AD255)),IF($B257="STD. DEVIATION",2,$F$1))))</f>
        <v/>
      </c>
      <c r="AF257" s="1" t="str">
        <f>IF(OR($B257="",AF$7=""),"",IF($B257="MEANS",INDEX('1-DATA'!$1:$1048576,$A256-1,COLUMN('1-DATA'!AE255)),ROUND(INDEX('1-DATA'!$1:$1048576,IF(OR($B257="STD. DEVIATION",$C$1=1),$A257,$A257+1),COLUMN('1-DATA'!AE255)),IF($B257="STD. DEVIATION",2,$F$1))))</f>
        <v/>
      </c>
      <c r="AG257" s="1" t="str">
        <f>IF(OR($B257="",AG$7=""),"",IF($B257="MEANS",INDEX('1-DATA'!$1:$1048576,$A256-1,COLUMN('1-DATA'!AF255)),ROUND(INDEX('1-DATA'!$1:$1048576,IF(OR($B257="STD. DEVIATION",$C$1=1),$A257,$A257+1),COLUMN('1-DATA'!AF255)),IF($B257="STD. DEVIATION",2,$F$1))))</f>
        <v/>
      </c>
      <c r="AH257" s="1" t="str">
        <f>IF(OR($B257="",AH$7=""),"",IF($B257="MEANS",INDEX('1-DATA'!$1:$1048576,$A256-1,COLUMN('1-DATA'!AG255)),ROUND(INDEX('1-DATA'!$1:$1048576,IF(OR($B257="STD. DEVIATION",$C$1=1),$A257,$A257+1),COLUMN('1-DATA'!AG255)),IF($B257="STD. DEVIATION",2,$F$1))))</f>
        <v/>
      </c>
      <c r="AI257" s="1" t="str">
        <f>IF(OR($B257="",AI$7=""),"",IF($B257="MEANS",INDEX('1-DATA'!$1:$1048576,$A256-1,COLUMN('1-DATA'!AH255)),ROUND(INDEX('1-DATA'!$1:$1048576,IF(OR($B257="STD. DEVIATION",$C$1=1),$A257,$A257+1),COLUMN('1-DATA'!AH255)),IF($B257="STD. DEVIATION",2,$F$1))))</f>
        <v/>
      </c>
      <c r="AJ257" s="1" t="str">
        <f>IF(OR($B257="",AJ$7=""),"",IF($B257="MEANS",INDEX('1-DATA'!$1:$1048576,$A256-1,COLUMN('1-DATA'!AI255)),ROUND(INDEX('1-DATA'!$1:$1048576,IF(OR($B257="STD. DEVIATION",$C$1=1),$A257,$A257+1),COLUMN('1-DATA'!AI255)),IF($B257="STD. DEVIATION",2,$F$1))))</f>
        <v/>
      </c>
      <c r="AK257" s="1" t="str">
        <f>IF(OR($B257="",AK$7=""),"",IF($B257="MEANS",INDEX('1-DATA'!$1:$1048576,$A256-1,COLUMN('1-DATA'!AJ255)),ROUND(INDEX('1-DATA'!$1:$1048576,IF(OR($B257="STD. DEVIATION",$C$1=1),$A257,$A257+1),COLUMN('1-DATA'!AJ255)),IF($B257="STD. DEVIATION",2,$F$1))))</f>
        <v/>
      </c>
      <c r="AL257" s="1" t="str">
        <f>IF(OR($B257="",AL$7=""),"",IF($B257="MEANS",INDEX('1-DATA'!$1:$1048576,$A256-1,COLUMN('1-DATA'!AK255)),ROUND(INDEX('1-DATA'!$1:$1048576,IF(OR($B257="STD. DEVIATION",$C$1=1),$A257,$A257+1),COLUMN('1-DATA'!AK255)),IF($B257="STD. DEVIATION",2,$F$1))))</f>
        <v/>
      </c>
      <c r="AM257" s="1" t="str">
        <f>IF(OR($B257="",AM$7=""),"",IF($B257="MEANS",INDEX('1-DATA'!$1:$1048576,$A256-1,COLUMN('1-DATA'!AL255)),ROUND(INDEX('1-DATA'!$1:$1048576,IF(OR($B257="STD. DEVIATION",$C$1=1),$A257,$A257+1),COLUMN('1-DATA'!AL255)),IF($B257="STD. DEVIATION",2,$F$1))))</f>
        <v/>
      </c>
      <c r="AN257" s="1" t="str">
        <f>IF(OR($B257="",AN$7=""),"",IF($B257="MEANS",INDEX('1-DATA'!$1:$1048576,$A256-1,COLUMN('1-DATA'!AM255)),ROUND(INDEX('1-DATA'!$1:$1048576,IF(OR($B257="STD. DEVIATION",$C$1=1),$A257,$A257+1),COLUMN('1-DATA'!AM255)),IF($B257="STD. DEVIATION",2,$F$1))))</f>
        <v/>
      </c>
      <c r="AO257" s="1" t="str">
        <f>IF(OR($B257="",AO$7=""),"",IF($B257="MEANS",INDEX('1-DATA'!$1:$1048576,$A256-1,COLUMN('1-DATA'!AN255)),ROUND(INDEX('1-DATA'!$1:$1048576,IF(OR($B257="STD. DEVIATION",$C$1=1),$A257,$A257+1),COLUMN('1-DATA'!AN255)),IF($B257="STD. DEVIATION",2,$F$1))))</f>
        <v/>
      </c>
      <c r="AP257" s="1" t="str">
        <f>IF(OR($B257="",AP$7=""),"",IF($B257="MEANS",INDEX('1-DATA'!$1:$1048576,$A256-1,COLUMN('1-DATA'!AO255)),ROUND(INDEX('1-DATA'!$1:$1048576,IF(OR($B257="STD. DEVIATION",$C$1=1),$A257,$A257+1),COLUMN('1-DATA'!AO255)),IF($B257="STD. DEVIATION",2,$F$1))))</f>
        <v/>
      </c>
      <c r="AQ257" s="1" t="str">
        <f>IF(OR($B257="",AQ$7=""),"",IF($B257="MEANS",INDEX('1-DATA'!$1:$1048576,$A256-1,COLUMN('1-DATA'!AP255)),ROUND(INDEX('1-DATA'!$1:$1048576,IF(OR($B257="STD. DEVIATION",$C$1=1),$A257,$A257+1),COLUMN('1-DATA'!AP255)),IF($B257="STD. DEVIATION",2,$F$1))))</f>
        <v/>
      </c>
      <c r="AR257" s="1" t="str">
        <f>IF(OR($B257="",AR$7=""),"",IF($B257="MEANS",INDEX('1-DATA'!$1:$1048576,$A256-1,COLUMN('1-DATA'!AQ255)),ROUND(INDEX('1-DATA'!$1:$1048576,IF(OR($B257="STD. DEVIATION",$C$1=1),$A257,$A257+1),COLUMN('1-DATA'!AQ255)),IF($B257="STD. DEVIATION",2,$F$1))))</f>
        <v/>
      </c>
      <c r="AS257" s="1" t="str">
        <f>IF(OR($B257="",AS$7=""),"",IF($B257="MEANS",INDEX('1-DATA'!$1:$1048576,$A256-1,COLUMN('1-DATA'!AR255)),ROUND(INDEX('1-DATA'!$1:$1048576,IF(OR($B257="STD. DEVIATION",$C$1=1),$A257,$A257+1),COLUMN('1-DATA'!AR255)),IF($B257="STD. DEVIATION",2,$F$1))))</f>
        <v/>
      </c>
      <c r="AT257" s="1" t="str">
        <f>IF(OR($B257="",AT$7=""),"",IF($B257="MEANS",INDEX('1-DATA'!$1:$1048576,$A256-1,COLUMN('1-DATA'!AS255)),ROUND(INDEX('1-DATA'!$1:$1048576,IF(OR($B257="STD. DEVIATION",$C$1=1),$A257,$A257+1),COLUMN('1-DATA'!AS255)),IF($B257="STD. DEVIATION",2,$F$1))))</f>
        <v/>
      </c>
      <c r="AU257" s="1" t="str">
        <f>IF(OR($B257="",AU$7=""),"",IF($B257="MEANS",INDEX('1-DATA'!$1:$1048576,$A256-1,COLUMN('1-DATA'!AT255)),ROUND(INDEX('1-DATA'!$1:$1048576,IF(OR($B257="STD. DEVIATION",$C$1=1),$A257,$A257+1),COLUMN('1-DATA'!AT255)),IF($B257="STD. DEVIATION",2,$F$1))))</f>
        <v/>
      </c>
      <c r="AV257" s="1" t="str">
        <f>IF(OR($B257="",AV$7=""),"",IF($B257="MEANS",INDEX('1-DATA'!$1:$1048576,$A256-1,COLUMN('1-DATA'!AU255)),ROUND(INDEX('1-DATA'!$1:$1048576,IF(OR($B257="STD. DEVIATION",$C$1=1),$A257,$A257+1),COLUMN('1-DATA'!AU255)),IF($B257="STD. DEVIATION",2,$F$1))))</f>
        <v/>
      </c>
      <c r="AW257" s="1" t="str">
        <f>IF(OR($B257="",AW$7=""),"",IF($B257="MEANS",INDEX('1-DATA'!$1:$1048576,$A256-1,COLUMN('1-DATA'!AV255)),ROUND(INDEX('1-DATA'!$1:$1048576,IF(OR($B257="STD. DEVIATION",$C$1=1),$A257,$A257+1),COLUMN('1-DATA'!AV255)),IF($B257="STD. DEVIATION",2,$F$1))))</f>
        <v/>
      </c>
      <c r="AX257" s="1" t="str">
        <f>IF(OR($B257="",AX$7=""),"",IF($B257="MEANS",INDEX('1-DATA'!$1:$1048576,$A256-1,COLUMN('1-DATA'!AW255)),ROUND(INDEX('1-DATA'!$1:$1048576,IF(OR($B257="STD. DEVIATION",$C$1=1),$A257,$A257+1),COLUMN('1-DATA'!AW255)),IF($B257="STD. DEVIATION",2,$F$1))))</f>
        <v/>
      </c>
      <c r="AY257" s="1" t="str">
        <f>IF(OR($B257="",AY$7=""),"",IF($B257="MEANS",INDEX('1-DATA'!$1:$1048576,$A256-1,COLUMN('1-DATA'!AX255)),ROUND(INDEX('1-DATA'!$1:$1048576,IF(OR($B257="STD. DEVIATION",$C$1=1),$A257,$A257+1),COLUMN('1-DATA'!AX255)),IF($B257="STD. DEVIATION",2,$F$1))))</f>
        <v/>
      </c>
      <c r="AZ257" s="1" t="str">
        <f>IF(OR($B257="",AZ$7=""),"",IF($B257="MEANS",INDEX('1-DATA'!$1:$1048576,$A256-1,COLUMN('1-DATA'!AY255)),ROUND(INDEX('1-DATA'!$1:$1048576,IF(OR($B257="STD. DEVIATION",$C$1=1),$A257,$A257+1),COLUMN('1-DATA'!AY255)),IF($B257="STD. DEVIATION",2,$F$1))))</f>
        <v/>
      </c>
    </row>
    <row r="258" spans="1:52" x14ac:dyDescent="0.25">
      <c r="A258" s="11">
        <f t="shared" si="4"/>
        <v>760</v>
      </c>
      <c r="B258" s="1" t="str">
        <f>IF(B257="STD. DEVIATION",INDEX('1-DATA'!$1:$1048576,$A257-1,1),IF(INDEX('1-DATA'!$1:$1048576,$A258,1)&lt;&gt;"",INDEX('1-DATA'!$1:$1048576,$A258,1),""))</f>
        <v/>
      </c>
      <c r="C258" s="1" t="str">
        <f>IF(OR($B258="",C$7=""),"",IF($B258="MEANS",INDEX('1-DATA'!$1:$1048576,$A257-1,COLUMN('1-DATA'!B256)),ROUND(INDEX('1-DATA'!$1:$1048576,IF(OR($B258="STD. DEVIATION",$C$1=1),$A258,$A258+1),COLUMN('1-DATA'!B256)),IF($B258="STD. DEVIATION",2,$F$1))))</f>
        <v/>
      </c>
      <c r="D258" s="1" t="str">
        <f>IF(OR($B258="",D$7=""),"",IF($B258="MEANS",INDEX('1-DATA'!$1:$1048576,$A257-1,COLUMN('1-DATA'!C256)),ROUND(INDEX('1-DATA'!$1:$1048576,IF(OR($B258="STD. DEVIATION",$C$1=1),$A258,$A258+1),COLUMN('1-DATA'!C256)),IF($B258="STD. DEVIATION",2,$F$1))))</f>
        <v/>
      </c>
      <c r="E258" s="1" t="str">
        <f>IF(OR($B258="",E$7=""),"",IF($B258="MEANS",INDEX('1-DATA'!$1:$1048576,$A257-1,COLUMN('1-DATA'!D256)),ROUND(INDEX('1-DATA'!$1:$1048576,IF(OR($B258="STD. DEVIATION",$C$1=1),$A258,$A258+1),COLUMN('1-DATA'!D256)),IF($B258="STD. DEVIATION",2,$F$1))))</f>
        <v/>
      </c>
      <c r="F258" s="1" t="str">
        <f>IF(OR($B258="",F$7=""),"",IF($B258="MEANS",INDEX('1-DATA'!$1:$1048576,$A257-1,COLUMN('1-DATA'!E256)),ROUND(INDEX('1-DATA'!$1:$1048576,IF(OR($B258="STD. DEVIATION",$C$1=1),$A258,$A258+1),COLUMN('1-DATA'!E256)),IF($B258="STD. DEVIATION",2,$F$1))))</f>
        <v/>
      </c>
      <c r="G258" s="1" t="str">
        <f>IF(OR($B258="",G$7=""),"",IF($B258="MEANS",INDEX('1-DATA'!$1:$1048576,$A257-1,COLUMN('1-DATA'!F256)),ROUND(INDEX('1-DATA'!$1:$1048576,IF(OR($B258="STD. DEVIATION",$C$1=1),$A258,$A258+1),COLUMN('1-DATA'!F256)),IF($B258="STD. DEVIATION",2,$F$1))))</f>
        <v/>
      </c>
      <c r="H258" s="1" t="str">
        <f>IF(OR($B258="",H$7=""),"",IF($B258="MEANS",INDEX('1-DATA'!$1:$1048576,$A257-1,COLUMN('1-DATA'!G256)),ROUND(INDEX('1-DATA'!$1:$1048576,IF(OR($B258="STD. DEVIATION",$C$1=1),$A258,$A258+1),COLUMN('1-DATA'!G256)),IF($B258="STD. DEVIATION",2,$F$1))))</f>
        <v/>
      </c>
      <c r="I258" s="1" t="str">
        <f>IF(OR($B258="",I$7=""),"",IF($B258="MEANS",INDEX('1-DATA'!$1:$1048576,$A257-1,COLUMN('1-DATA'!H256)),ROUND(INDEX('1-DATA'!$1:$1048576,IF(OR($B258="STD. DEVIATION",$C$1=1),$A258,$A258+1),COLUMN('1-DATA'!H256)),IF($B258="STD. DEVIATION",2,$F$1))))</f>
        <v/>
      </c>
      <c r="J258" s="1" t="str">
        <f>IF(OR($B258="",J$7=""),"",IF($B258="MEANS",INDEX('1-DATA'!$1:$1048576,$A257-1,COLUMN('1-DATA'!I256)),ROUND(INDEX('1-DATA'!$1:$1048576,IF(OR($B258="STD. DEVIATION",$C$1=1),$A258,$A258+1),COLUMN('1-DATA'!I256)),IF($B258="STD. DEVIATION",2,$F$1))))</f>
        <v/>
      </c>
      <c r="K258" s="1" t="str">
        <f>IF(OR($B258="",K$7=""),"",IF($B258="MEANS",INDEX('1-DATA'!$1:$1048576,$A257-1,COLUMN('1-DATA'!J256)),ROUND(INDEX('1-DATA'!$1:$1048576,IF(OR($B258="STD. DEVIATION",$C$1=1),$A258,$A258+1),COLUMN('1-DATA'!J256)),IF($B258="STD. DEVIATION",2,$F$1))))</f>
        <v/>
      </c>
      <c r="L258" s="1" t="str">
        <f>IF(OR($B258="",L$7=""),"",IF($B258="MEANS",INDEX('1-DATA'!$1:$1048576,$A257-1,COLUMN('1-DATA'!K256)),ROUND(INDEX('1-DATA'!$1:$1048576,IF(OR($B258="STD. DEVIATION",$C$1=1),$A258,$A258+1),COLUMN('1-DATA'!K256)),IF($B258="STD. DEVIATION",2,$F$1))))</f>
        <v/>
      </c>
      <c r="M258" s="1" t="str">
        <f>IF(OR($B258="",M$7=""),"",IF($B258="MEANS",INDEX('1-DATA'!$1:$1048576,$A257-1,COLUMN('1-DATA'!L256)),ROUND(INDEX('1-DATA'!$1:$1048576,IF(OR($B258="STD. DEVIATION",$C$1=1),$A258,$A258+1),COLUMN('1-DATA'!L256)),IF($B258="STD. DEVIATION",2,$F$1))))</f>
        <v/>
      </c>
      <c r="N258" s="1" t="str">
        <f>IF(OR($B258="",N$7=""),"",IF($B258="MEANS",INDEX('1-DATA'!$1:$1048576,$A257-1,COLUMN('1-DATA'!M256)),ROUND(INDEX('1-DATA'!$1:$1048576,IF(OR($B258="STD. DEVIATION",$C$1=1),$A258,$A258+1),COLUMN('1-DATA'!M256)),IF($B258="STD. DEVIATION",2,$F$1))))</f>
        <v/>
      </c>
      <c r="O258" s="1" t="str">
        <f>IF(OR($B258="",O$7=""),"",IF($B258="MEANS",INDEX('1-DATA'!$1:$1048576,$A257-1,COLUMN('1-DATA'!N256)),ROUND(INDEX('1-DATA'!$1:$1048576,IF(OR($B258="STD. DEVIATION",$C$1=1),$A258,$A258+1),COLUMN('1-DATA'!N256)),IF($B258="STD. DEVIATION",2,$F$1))))</f>
        <v/>
      </c>
      <c r="P258" s="1" t="str">
        <f>IF(OR($B258="",P$7=""),"",IF($B258="MEANS",INDEX('1-DATA'!$1:$1048576,$A257-1,COLUMN('1-DATA'!O256)),ROUND(INDEX('1-DATA'!$1:$1048576,IF(OR($B258="STD. DEVIATION",$C$1=1),$A258,$A258+1),COLUMN('1-DATA'!O256)),IF($B258="STD. DEVIATION",2,$F$1))))</f>
        <v/>
      </c>
      <c r="Q258" s="1" t="str">
        <f>IF(OR($B258="",Q$7=""),"",IF($B258="MEANS",INDEX('1-DATA'!$1:$1048576,$A257-1,COLUMN('1-DATA'!P256)),ROUND(INDEX('1-DATA'!$1:$1048576,IF(OR($B258="STD. DEVIATION",$C$1=1),$A258,$A258+1),COLUMN('1-DATA'!P256)),IF($B258="STD. DEVIATION",2,$F$1))))</f>
        <v/>
      </c>
      <c r="R258" s="1" t="str">
        <f>IF(OR($B258="",R$7=""),"",IF($B258="MEANS",INDEX('1-DATA'!$1:$1048576,$A257-1,COLUMN('1-DATA'!Q256)),ROUND(INDEX('1-DATA'!$1:$1048576,IF(OR($B258="STD. DEVIATION",$C$1=1),$A258,$A258+1),COLUMN('1-DATA'!Q256)),IF($B258="STD. DEVIATION",2,$F$1))))</f>
        <v/>
      </c>
      <c r="S258" s="1" t="str">
        <f>IF(OR($B258="",S$7=""),"",IF($B258="MEANS",INDEX('1-DATA'!$1:$1048576,$A257-1,COLUMN('1-DATA'!R256)),ROUND(INDEX('1-DATA'!$1:$1048576,IF(OR($B258="STD. DEVIATION",$C$1=1),$A258,$A258+1),COLUMN('1-DATA'!R256)),IF($B258="STD. DEVIATION",2,$F$1))))</f>
        <v/>
      </c>
      <c r="T258" s="1" t="str">
        <f>IF(OR($B258="",T$7=""),"",IF($B258="MEANS",INDEX('1-DATA'!$1:$1048576,$A257-1,COLUMN('1-DATA'!S256)),ROUND(INDEX('1-DATA'!$1:$1048576,IF(OR($B258="STD. DEVIATION",$C$1=1),$A258,$A258+1),COLUMN('1-DATA'!S256)),IF($B258="STD. DEVIATION",2,$F$1))))</f>
        <v/>
      </c>
      <c r="U258" s="1" t="str">
        <f>IF(OR($B258="",U$7=""),"",IF($B258="MEANS",INDEX('1-DATA'!$1:$1048576,$A257-1,COLUMN('1-DATA'!T256)),ROUND(INDEX('1-DATA'!$1:$1048576,IF(OR($B258="STD. DEVIATION",$C$1=1),$A258,$A258+1),COLUMN('1-DATA'!T256)),IF($B258="STD. DEVIATION",2,$F$1))))</f>
        <v/>
      </c>
      <c r="V258" s="1" t="str">
        <f>IF(OR($B258="",V$7=""),"",IF($B258="MEANS",INDEX('1-DATA'!$1:$1048576,$A257-1,COLUMN('1-DATA'!U256)),ROUND(INDEX('1-DATA'!$1:$1048576,IF(OR($B258="STD. DEVIATION",$C$1=1),$A258,$A258+1),COLUMN('1-DATA'!U256)),IF($B258="STD. DEVIATION",2,$F$1))))</f>
        <v/>
      </c>
      <c r="W258" s="1" t="str">
        <f>IF(OR($B258="",W$7=""),"",IF($B258="MEANS",INDEX('1-DATA'!$1:$1048576,$A257-1,COLUMN('1-DATA'!V256)),ROUND(INDEX('1-DATA'!$1:$1048576,IF(OR($B258="STD. DEVIATION",$C$1=1),$A258,$A258+1),COLUMN('1-DATA'!V256)),IF($B258="STD. DEVIATION",2,$F$1))))</f>
        <v/>
      </c>
      <c r="X258" s="1" t="str">
        <f>IF(OR($B258="",X$7=""),"",IF($B258="MEANS",INDEX('1-DATA'!$1:$1048576,$A257-1,COLUMN('1-DATA'!W256)),ROUND(INDEX('1-DATA'!$1:$1048576,IF(OR($B258="STD. DEVIATION",$C$1=1),$A258,$A258+1),COLUMN('1-DATA'!W256)),IF($B258="STD. DEVIATION",2,$F$1))))</f>
        <v/>
      </c>
      <c r="Y258" s="1" t="str">
        <f>IF(OR($B258="",Y$7=""),"",IF($B258="MEANS",INDEX('1-DATA'!$1:$1048576,$A257-1,COLUMN('1-DATA'!X256)),ROUND(INDEX('1-DATA'!$1:$1048576,IF(OR($B258="STD. DEVIATION",$C$1=1),$A258,$A258+1),COLUMN('1-DATA'!X256)),IF($B258="STD. DEVIATION",2,$F$1))))</f>
        <v/>
      </c>
      <c r="Z258" s="1" t="str">
        <f>IF(OR($B258="",Z$7=""),"",IF($B258="MEANS",INDEX('1-DATA'!$1:$1048576,$A257-1,COLUMN('1-DATA'!Y256)),ROUND(INDEX('1-DATA'!$1:$1048576,IF(OR($B258="STD. DEVIATION",$C$1=1),$A258,$A258+1),COLUMN('1-DATA'!Y256)),IF($B258="STD. DEVIATION",2,$F$1))))</f>
        <v/>
      </c>
      <c r="AA258" s="1" t="str">
        <f>IF(OR($B258="",AA$7=""),"",IF($B258="MEANS",INDEX('1-DATA'!$1:$1048576,$A257-1,COLUMN('1-DATA'!Z256)),ROUND(INDEX('1-DATA'!$1:$1048576,IF(OR($B258="STD. DEVIATION",$C$1=1),$A258,$A258+1),COLUMN('1-DATA'!Z256)),IF($B258="STD. DEVIATION",2,$F$1))))</f>
        <v/>
      </c>
      <c r="AB258" s="1" t="str">
        <f>IF(OR($B258="",AB$7=""),"",IF($B258="MEANS",INDEX('1-DATA'!$1:$1048576,$A257-1,COLUMN('1-DATA'!AA256)),ROUND(INDEX('1-DATA'!$1:$1048576,IF(OR($B258="STD. DEVIATION",$C$1=1),$A258,$A258+1),COLUMN('1-DATA'!AA256)),IF($B258="STD. DEVIATION",2,$F$1))))</f>
        <v/>
      </c>
      <c r="AC258" s="1" t="str">
        <f>IF(OR($B258="",AC$7=""),"",IF($B258="MEANS",INDEX('1-DATA'!$1:$1048576,$A257-1,COLUMN('1-DATA'!AB256)),ROUND(INDEX('1-DATA'!$1:$1048576,IF(OR($B258="STD. DEVIATION",$C$1=1),$A258,$A258+1),COLUMN('1-DATA'!AB256)),IF($B258="STD. DEVIATION",2,$F$1))))</f>
        <v/>
      </c>
      <c r="AD258" s="1" t="str">
        <f>IF(OR($B258="",AD$7=""),"",IF($B258="MEANS",INDEX('1-DATA'!$1:$1048576,$A257-1,COLUMN('1-DATA'!AC256)),ROUND(INDEX('1-DATA'!$1:$1048576,IF(OR($B258="STD. DEVIATION",$C$1=1),$A258,$A258+1),COLUMN('1-DATA'!AC256)),IF($B258="STD. DEVIATION",2,$F$1))))</f>
        <v/>
      </c>
      <c r="AE258" s="1" t="str">
        <f>IF(OR($B258="",AE$7=""),"",IF($B258="MEANS",INDEX('1-DATA'!$1:$1048576,$A257-1,COLUMN('1-DATA'!AD256)),ROUND(INDEX('1-DATA'!$1:$1048576,IF(OR($B258="STD. DEVIATION",$C$1=1),$A258,$A258+1),COLUMN('1-DATA'!AD256)),IF($B258="STD. DEVIATION",2,$F$1))))</f>
        <v/>
      </c>
      <c r="AF258" s="1" t="str">
        <f>IF(OR($B258="",AF$7=""),"",IF($B258="MEANS",INDEX('1-DATA'!$1:$1048576,$A257-1,COLUMN('1-DATA'!AE256)),ROUND(INDEX('1-DATA'!$1:$1048576,IF(OR($B258="STD. DEVIATION",$C$1=1),$A258,$A258+1),COLUMN('1-DATA'!AE256)),IF($B258="STD. DEVIATION",2,$F$1))))</f>
        <v/>
      </c>
      <c r="AG258" s="1" t="str">
        <f>IF(OR($B258="",AG$7=""),"",IF($B258="MEANS",INDEX('1-DATA'!$1:$1048576,$A257-1,COLUMN('1-DATA'!AF256)),ROUND(INDEX('1-DATA'!$1:$1048576,IF(OR($B258="STD. DEVIATION",$C$1=1),$A258,$A258+1),COLUMN('1-DATA'!AF256)),IF($B258="STD. DEVIATION",2,$F$1))))</f>
        <v/>
      </c>
      <c r="AH258" s="1" t="str">
        <f>IF(OR($B258="",AH$7=""),"",IF($B258="MEANS",INDEX('1-DATA'!$1:$1048576,$A257-1,COLUMN('1-DATA'!AG256)),ROUND(INDEX('1-DATA'!$1:$1048576,IF(OR($B258="STD. DEVIATION",$C$1=1),$A258,$A258+1),COLUMN('1-DATA'!AG256)),IF($B258="STD. DEVIATION",2,$F$1))))</f>
        <v/>
      </c>
      <c r="AI258" s="1" t="str">
        <f>IF(OR($B258="",AI$7=""),"",IF($B258="MEANS",INDEX('1-DATA'!$1:$1048576,$A257-1,COLUMN('1-DATA'!AH256)),ROUND(INDEX('1-DATA'!$1:$1048576,IF(OR($B258="STD. DEVIATION",$C$1=1),$A258,$A258+1),COLUMN('1-DATA'!AH256)),IF($B258="STD. DEVIATION",2,$F$1))))</f>
        <v/>
      </c>
      <c r="AJ258" s="1" t="str">
        <f>IF(OR($B258="",AJ$7=""),"",IF($B258="MEANS",INDEX('1-DATA'!$1:$1048576,$A257-1,COLUMN('1-DATA'!AI256)),ROUND(INDEX('1-DATA'!$1:$1048576,IF(OR($B258="STD. DEVIATION",$C$1=1),$A258,$A258+1),COLUMN('1-DATA'!AI256)),IF($B258="STD. DEVIATION",2,$F$1))))</f>
        <v/>
      </c>
      <c r="AK258" s="1" t="str">
        <f>IF(OR($B258="",AK$7=""),"",IF($B258="MEANS",INDEX('1-DATA'!$1:$1048576,$A257-1,COLUMN('1-DATA'!AJ256)),ROUND(INDEX('1-DATA'!$1:$1048576,IF(OR($B258="STD. DEVIATION",$C$1=1),$A258,$A258+1),COLUMN('1-DATA'!AJ256)),IF($B258="STD. DEVIATION",2,$F$1))))</f>
        <v/>
      </c>
      <c r="AL258" s="1" t="str">
        <f>IF(OR($B258="",AL$7=""),"",IF($B258="MEANS",INDEX('1-DATA'!$1:$1048576,$A257-1,COLUMN('1-DATA'!AK256)),ROUND(INDEX('1-DATA'!$1:$1048576,IF(OR($B258="STD. DEVIATION",$C$1=1),$A258,$A258+1),COLUMN('1-DATA'!AK256)),IF($B258="STD. DEVIATION",2,$F$1))))</f>
        <v/>
      </c>
      <c r="AM258" s="1" t="str">
        <f>IF(OR($B258="",AM$7=""),"",IF($B258="MEANS",INDEX('1-DATA'!$1:$1048576,$A257-1,COLUMN('1-DATA'!AL256)),ROUND(INDEX('1-DATA'!$1:$1048576,IF(OR($B258="STD. DEVIATION",$C$1=1),$A258,$A258+1),COLUMN('1-DATA'!AL256)),IF($B258="STD. DEVIATION",2,$F$1))))</f>
        <v/>
      </c>
      <c r="AN258" s="1" t="str">
        <f>IF(OR($B258="",AN$7=""),"",IF($B258="MEANS",INDEX('1-DATA'!$1:$1048576,$A257-1,COLUMN('1-DATA'!AM256)),ROUND(INDEX('1-DATA'!$1:$1048576,IF(OR($B258="STD. DEVIATION",$C$1=1),$A258,$A258+1),COLUMN('1-DATA'!AM256)),IF($B258="STD. DEVIATION",2,$F$1))))</f>
        <v/>
      </c>
      <c r="AO258" s="1" t="str">
        <f>IF(OR($B258="",AO$7=""),"",IF($B258="MEANS",INDEX('1-DATA'!$1:$1048576,$A257-1,COLUMN('1-DATA'!AN256)),ROUND(INDEX('1-DATA'!$1:$1048576,IF(OR($B258="STD. DEVIATION",$C$1=1),$A258,$A258+1),COLUMN('1-DATA'!AN256)),IF($B258="STD. DEVIATION",2,$F$1))))</f>
        <v/>
      </c>
      <c r="AP258" s="1" t="str">
        <f>IF(OR($B258="",AP$7=""),"",IF($B258="MEANS",INDEX('1-DATA'!$1:$1048576,$A257-1,COLUMN('1-DATA'!AO256)),ROUND(INDEX('1-DATA'!$1:$1048576,IF(OR($B258="STD. DEVIATION",$C$1=1),$A258,$A258+1),COLUMN('1-DATA'!AO256)),IF($B258="STD. DEVIATION",2,$F$1))))</f>
        <v/>
      </c>
      <c r="AQ258" s="1" t="str">
        <f>IF(OR($B258="",AQ$7=""),"",IF($B258="MEANS",INDEX('1-DATA'!$1:$1048576,$A257-1,COLUMN('1-DATA'!AP256)),ROUND(INDEX('1-DATA'!$1:$1048576,IF(OR($B258="STD. DEVIATION",$C$1=1),$A258,$A258+1),COLUMN('1-DATA'!AP256)),IF($B258="STD. DEVIATION",2,$F$1))))</f>
        <v/>
      </c>
      <c r="AR258" s="1" t="str">
        <f>IF(OR($B258="",AR$7=""),"",IF($B258="MEANS",INDEX('1-DATA'!$1:$1048576,$A257-1,COLUMN('1-DATA'!AQ256)),ROUND(INDEX('1-DATA'!$1:$1048576,IF(OR($B258="STD. DEVIATION",$C$1=1),$A258,$A258+1),COLUMN('1-DATA'!AQ256)),IF($B258="STD. DEVIATION",2,$F$1))))</f>
        <v/>
      </c>
      <c r="AS258" s="1" t="str">
        <f>IF(OR($B258="",AS$7=""),"",IF($B258="MEANS",INDEX('1-DATA'!$1:$1048576,$A257-1,COLUMN('1-DATA'!AR256)),ROUND(INDEX('1-DATA'!$1:$1048576,IF(OR($B258="STD. DEVIATION",$C$1=1),$A258,$A258+1),COLUMN('1-DATA'!AR256)),IF($B258="STD. DEVIATION",2,$F$1))))</f>
        <v/>
      </c>
      <c r="AT258" s="1" t="str">
        <f>IF(OR($B258="",AT$7=""),"",IF($B258="MEANS",INDEX('1-DATA'!$1:$1048576,$A257-1,COLUMN('1-DATA'!AS256)),ROUND(INDEX('1-DATA'!$1:$1048576,IF(OR($B258="STD. DEVIATION",$C$1=1),$A258,$A258+1),COLUMN('1-DATA'!AS256)),IF($B258="STD. DEVIATION",2,$F$1))))</f>
        <v/>
      </c>
      <c r="AU258" s="1" t="str">
        <f>IF(OR($B258="",AU$7=""),"",IF($B258="MEANS",INDEX('1-DATA'!$1:$1048576,$A257-1,COLUMN('1-DATA'!AT256)),ROUND(INDEX('1-DATA'!$1:$1048576,IF(OR($B258="STD. DEVIATION",$C$1=1),$A258,$A258+1),COLUMN('1-DATA'!AT256)),IF($B258="STD. DEVIATION",2,$F$1))))</f>
        <v/>
      </c>
      <c r="AV258" s="1" t="str">
        <f>IF(OR($B258="",AV$7=""),"",IF($B258="MEANS",INDEX('1-DATA'!$1:$1048576,$A257-1,COLUMN('1-DATA'!AU256)),ROUND(INDEX('1-DATA'!$1:$1048576,IF(OR($B258="STD. DEVIATION",$C$1=1),$A258,$A258+1),COLUMN('1-DATA'!AU256)),IF($B258="STD. DEVIATION",2,$F$1))))</f>
        <v/>
      </c>
      <c r="AW258" s="1" t="str">
        <f>IF(OR($B258="",AW$7=""),"",IF($B258="MEANS",INDEX('1-DATA'!$1:$1048576,$A257-1,COLUMN('1-DATA'!AV256)),ROUND(INDEX('1-DATA'!$1:$1048576,IF(OR($B258="STD. DEVIATION",$C$1=1),$A258,$A258+1),COLUMN('1-DATA'!AV256)),IF($B258="STD. DEVIATION",2,$F$1))))</f>
        <v/>
      </c>
      <c r="AX258" s="1" t="str">
        <f>IF(OR($B258="",AX$7=""),"",IF($B258="MEANS",INDEX('1-DATA'!$1:$1048576,$A257-1,COLUMN('1-DATA'!AW256)),ROUND(INDEX('1-DATA'!$1:$1048576,IF(OR($B258="STD. DEVIATION",$C$1=1),$A258,$A258+1),COLUMN('1-DATA'!AW256)),IF($B258="STD. DEVIATION",2,$F$1))))</f>
        <v/>
      </c>
      <c r="AY258" s="1" t="str">
        <f>IF(OR($B258="",AY$7=""),"",IF($B258="MEANS",INDEX('1-DATA'!$1:$1048576,$A257-1,COLUMN('1-DATA'!AX256)),ROUND(INDEX('1-DATA'!$1:$1048576,IF(OR($B258="STD. DEVIATION",$C$1=1),$A258,$A258+1),COLUMN('1-DATA'!AX256)),IF($B258="STD. DEVIATION",2,$F$1))))</f>
        <v/>
      </c>
      <c r="AZ258" s="1" t="str">
        <f>IF(OR($B258="",AZ$7=""),"",IF($B258="MEANS",INDEX('1-DATA'!$1:$1048576,$A257-1,COLUMN('1-DATA'!AY256)),ROUND(INDEX('1-DATA'!$1:$1048576,IF(OR($B258="STD. DEVIATION",$C$1=1),$A258,$A258+1),COLUMN('1-DATA'!AY256)),IF($B258="STD. DEVIATION",2,$F$1))))</f>
        <v/>
      </c>
    </row>
    <row r="259" spans="1:52" x14ac:dyDescent="0.25">
      <c r="A259" s="11">
        <f t="shared" si="4"/>
        <v>763</v>
      </c>
      <c r="B259" s="1" t="str">
        <f>IF(B258="STD. DEVIATION",INDEX('1-DATA'!$1:$1048576,$A258-1,1),IF(INDEX('1-DATA'!$1:$1048576,$A259,1)&lt;&gt;"",INDEX('1-DATA'!$1:$1048576,$A259,1),""))</f>
        <v/>
      </c>
      <c r="C259" s="1" t="str">
        <f>IF(OR($B259="",C$7=""),"",IF($B259="MEANS",INDEX('1-DATA'!$1:$1048576,$A258-1,COLUMN('1-DATA'!B257)),ROUND(INDEX('1-DATA'!$1:$1048576,IF(OR($B259="STD. DEVIATION",$C$1=1),$A259,$A259+1),COLUMN('1-DATA'!B257)),IF($B259="STD. DEVIATION",2,$F$1))))</f>
        <v/>
      </c>
      <c r="D259" s="1" t="str">
        <f>IF(OR($B259="",D$7=""),"",IF($B259="MEANS",INDEX('1-DATA'!$1:$1048576,$A258-1,COLUMN('1-DATA'!C257)),ROUND(INDEX('1-DATA'!$1:$1048576,IF(OR($B259="STD. DEVIATION",$C$1=1),$A259,$A259+1),COLUMN('1-DATA'!C257)),IF($B259="STD. DEVIATION",2,$F$1))))</f>
        <v/>
      </c>
      <c r="E259" s="1" t="str">
        <f>IF(OR($B259="",E$7=""),"",IF($B259="MEANS",INDEX('1-DATA'!$1:$1048576,$A258-1,COLUMN('1-DATA'!D257)),ROUND(INDEX('1-DATA'!$1:$1048576,IF(OR($B259="STD. DEVIATION",$C$1=1),$A259,$A259+1),COLUMN('1-DATA'!D257)),IF($B259="STD. DEVIATION",2,$F$1))))</f>
        <v/>
      </c>
      <c r="F259" s="1" t="str">
        <f>IF(OR($B259="",F$7=""),"",IF($B259="MEANS",INDEX('1-DATA'!$1:$1048576,$A258-1,COLUMN('1-DATA'!E257)),ROUND(INDEX('1-DATA'!$1:$1048576,IF(OR($B259="STD. DEVIATION",$C$1=1),$A259,$A259+1),COLUMN('1-DATA'!E257)),IF($B259="STD. DEVIATION",2,$F$1))))</f>
        <v/>
      </c>
      <c r="G259" s="1" t="str">
        <f>IF(OR($B259="",G$7=""),"",IF($B259="MEANS",INDEX('1-DATA'!$1:$1048576,$A258-1,COLUMN('1-DATA'!F257)),ROUND(INDEX('1-DATA'!$1:$1048576,IF(OR($B259="STD. DEVIATION",$C$1=1),$A259,$A259+1),COLUMN('1-DATA'!F257)),IF($B259="STD. DEVIATION",2,$F$1))))</f>
        <v/>
      </c>
      <c r="H259" s="1" t="str">
        <f>IF(OR($B259="",H$7=""),"",IF($B259="MEANS",INDEX('1-DATA'!$1:$1048576,$A258-1,COLUMN('1-DATA'!G257)),ROUND(INDEX('1-DATA'!$1:$1048576,IF(OR($B259="STD. DEVIATION",$C$1=1),$A259,$A259+1),COLUMN('1-DATA'!G257)),IF($B259="STD. DEVIATION",2,$F$1))))</f>
        <v/>
      </c>
      <c r="I259" s="1" t="str">
        <f>IF(OR($B259="",I$7=""),"",IF($B259="MEANS",INDEX('1-DATA'!$1:$1048576,$A258-1,COLUMN('1-DATA'!H257)),ROUND(INDEX('1-DATA'!$1:$1048576,IF(OR($B259="STD. DEVIATION",$C$1=1),$A259,$A259+1),COLUMN('1-DATA'!H257)),IF($B259="STD. DEVIATION",2,$F$1))))</f>
        <v/>
      </c>
      <c r="J259" s="1" t="str">
        <f>IF(OR($B259="",J$7=""),"",IF($B259="MEANS",INDEX('1-DATA'!$1:$1048576,$A258-1,COLUMN('1-DATA'!I257)),ROUND(INDEX('1-DATA'!$1:$1048576,IF(OR($B259="STD. DEVIATION",$C$1=1),$A259,$A259+1),COLUMN('1-DATA'!I257)),IF($B259="STD. DEVIATION",2,$F$1))))</f>
        <v/>
      </c>
      <c r="K259" s="1" t="str">
        <f>IF(OR($B259="",K$7=""),"",IF($B259="MEANS",INDEX('1-DATA'!$1:$1048576,$A258-1,COLUMN('1-DATA'!J257)),ROUND(INDEX('1-DATA'!$1:$1048576,IF(OR($B259="STD. DEVIATION",$C$1=1),$A259,$A259+1),COLUMN('1-DATA'!J257)),IF($B259="STD. DEVIATION",2,$F$1))))</f>
        <v/>
      </c>
      <c r="L259" s="1" t="str">
        <f>IF(OR($B259="",L$7=""),"",IF($B259="MEANS",INDEX('1-DATA'!$1:$1048576,$A258-1,COLUMN('1-DATA'!K257)),ROUND(INDEX('1-DATA'!$1:$1048576,IF(OR($B259="STD. DEVIATION",$C$1=1),$A259,$A259+1),COLUMN('1-DATA'!K257)),IF($B259="STD. DEVIATION",2,$F$1))))</f>
        <v/>
      </c>
      <c r="M259" s="1" t="str">
        <f>IF(OR($B259="",M$7=""),"",IF($B259="MEANS",INDEX('1-DATA'!$1:$1048576,$A258-1,COLUMN('1-DATA'!L257)),ROUND(INDEX('1-DATA'!$1:$1048576,IF(OR($B259="STD. DEVIATION",$C$1=1),$A259,$A259+1),COLUMN('1-DATA'!L257)),IF($B259="STD. DEVIATION",2,$F$1))))</f>
        <v/>
      </c>
      <c r="N259" s="1" t="str">
        <f>IF(OR($B259="",N$7=""),"",IF($B259="MEANS",INDEX('1-DATA'!$1:$1048576,$A258-1,COLUMN('1-DATA'!M257)),ROUND(INDEX('1-DATA'!$1:$1048576,IF(OR($B259="STD. DEVIATION",$C$1=1),$A259,$A259+1),COLUMN('1-DATA'!M257)),IF($B259="STD. DEVIATION",2,$F$1))))</f>
        <v/>
      </c>
      <c r="O259" s="1" t="str">
        <f>IF(OR($B259="",O$7=""),"",IF($B259="MEANS",INDEX('1-DATA'!$1:$1048576,$A258-1,COLUMN('1-DATA'!N257)),ROUND(INDEX('1-DATA'!$1:$1048576,IF(OR($B259="STD. DEVIATION",$C$1=1),$A259,$A259+1),COLUMN('1-DATA'!N257)),IF($B259="STD. DEVIATION",2,$F$1))))</f>
        <v/>
      </c>
      <c r="P259" s="1" t="str">
        <f>IF(OR($B259="",P$7=""),"",IF($B259="MEANS",INDEX('1-DATA'!$1:$1048576,$A258-1,COLUMN('1-DATA'!O257)),ROUND(INDEX('1-DATA'!$1:$1048576,IF(OR($B259="STD. DEVIATION",$C$1=1),$A259,$A259+1),COLUMN('1-DATA'!O257)),IF($B259="STD. DEVIATION",2,$F$1))))</f>
        <v/>
      </c>
      <c r="Q259" s="1" t="str">
        <f>IF(OR($B259="",Q$7=""),"",IF($B259="MEANS",INDEX('1-DATA'!$1:$1048576,$A258-1,COLUMN('1-DATA'!P257)),ROUND(INDEX('1-DATA'!$1:$1048576,IF(OR($B259="STD. DEVIATION",$C$1=1),$A259,$A259+1),COLUMN('1-DATA'!P257)),IF($B259="STD. DEVIATION",2,$F$1))))</f>
        <v/>
      </c>
      <c r="R259" s="1" t="str">
        <f>IF(OR($B259="",R$7=""),"",IF($B259="MEANS",INDEX('1-DATA'!$1:$1048576,$A258-1,COLUMN('1-DATA'!Q257)),ROUND(INDEX('1-DATA'!$1:$1048576,IF(OR($B259="STD. DEVIATION",$C$1=1),$A259,$A259+1),COLUMN('1-DATA'!Q257)),IF($B259="STD. DEVIATION",2,$F$1))))</f>
        <v/>
      </c>
      <c r="S259" s="1" t="str">
        <f>IF(OR($B259="",S$7=""),"",IF($B259="MEANS",INDEX('1-DATA'!$1:$1048576,$A258-1,COLUMN('1-DATA'!R257)),ROUND(INDEX('1-DATA'!$1:$1048576,IF(OR($B259="STD. DEVIATION",$C$1=1),$A259,$A259+1),COLUMN('1-DATA'!R257)),IF($B259="STD. DEVIATION",2,$F$1))))</f>
        <v/>
      </c>
      <c r="T259" s="1" t="str">
        <f>IF(OR($B259="",T$7=""),"",IF($B259="MEANS",INDEX('1-DATA'!$1:$1048576,$A258-1,COLUMN('1-DATA'!S257)),ROUND(INDEX('1-DATA'!$1:$1048576,IF(OR($B259="STD. DEVIATION",$C$1=1),$A259,$A259+1),COLUMN('1-DATA'!S257)),IF($B259="STD. DEVIATION",2,$F$1))))</f>
        <v/>
      </c>
      <c r="U259" s="1" t="str">
        <f>IF(OR($B259="",U$7=""),"",IF($B259="MEANS",INDEX('1-DATA'!$1:$1048576,$A258-1,COLUMN('1-DATA'!T257)),ROUND(INDEX('1-DATA'!$1:$1048576,IF(OR($B259="STD. DEVIATION",$C$1=1),$A259,$A259+1),COLUMN('1-DATA'!T257)),IF($B259="STD. DEVIATION",2,$F$1))))</f>
        <v/>
      </c>
      <c r="V259" s="1" t="str">
        <f>IF(OR($B259="",V$7=""),"",IF($B259="MEANS",INDEX('1-DATA'!$1:$1048576,$A258-1,COLUMN('1-DATA'!U257)),ROUND(INDEX('1-DATA'!$1:$1048576,IF(OR($B259="STD. DEVIATION",$C$1=1),$A259,$A259+1),COLUMN('1-DATA'!U257)),IF($B259="STD. DEVIATION",2,$F$1))))</f>
        <v/>
      </c>
      <c r="W259" s="1" t="str">
        <f>IF(OR($B259="",W$7=""),"",IF($B259="MEANS",INDEX('1-DATA'!$1:$1048576,$A258-1,COLUMN('1-DATA'!V257)),ROUND(INDEX('1-DATA'!$1:$1048576,IF(OR($B259="STD. DEVIATION",$C$1=1),$A259,$A259+1),COLUMN('1-DATA'!V257)),IF($B259="STD. DEVIATION",2,$F$1))))</f>
        <v/>
      </c>
      <c r="X259" s="1" t="str">
        <f>IF(OR($B259="",X$7=""),"",IF($B259="MEANS",INDEX('1-DATA'!$1:$1048576,$A258-1,COLUMN('1-DATA'!W257)),ROUND(INDEX('1-DATA'!$1:$1048576,IF(OR($B259="STD. DEVIATION",$C$1=1),$A259,$A259+1),COLUMN('1-DATA'!W257)),IF($B259="STD. DEVIATION",2,$F$1))))</f>
        <v/>
      </c>
      <c r="Y259" s="1" t="str">
        <f>IF(OR($B259="",Y$7=""),"",IF($B259="MEANS",INDEX('1-DATA'!$1:$1048576,$A258-1,COLUMN('1-DATA'!X257)),ROUND(INDEX('1-DATA'!$1:$1048576,IF(OR($B259="STD. DEVIATION",$C$1=1),$A259,$A259+1),COLUMN('1-DATA'!X257)),IF($B259="STD. DEVIATION",2,$F$1))))</f>
        <v/>
      </c>
      <c r="Z259" s="1" t="str">
        <f>IF(OR($B259="",Z$7=""),"",IF($B259="MEANS",INDEX('1-DATA'!$1:$1048576,$A258-1,COLUMN('1-DATA'!Y257)),ROUND(INDEX('1-DATA'!$1:$1048576,IF(OR($B259="STD. DEVIATION",$C$1=1),$A259,$A259+1),COLUMN('1-DATA'!Y257)),IF($B259="STD. DEVIATION",2,$F$1))))</f>
        <v/>
      </c>
      <c r="AA259" s="1" t="str">
        <f>IF(OR($B259="",AA$7=""),"",IF($B259="MEANS",INDEX('1-DATA'!$1:$1048576,$A258-1,COLUMN('1-DATA'!Z257)),ROUND(INDEX('1-DATA'!$1:$1048576,IF(OR($B259="STD. DEVIATION",$C$1=1),$A259,$A259+1),COLUMN('1-DATA'!Z257)),IF($B259="STD. DEVIATION",2,$F$1))))</f>
        <v/>
      </c>
      <c r="AB259" s="1" t="str">
        <f>IF(OR($B259="",AB$7=""),"",IF($B259="MEANS",INDEX('1-DATA'!$1:$1048576,$A258-1,COLUMN('1-DATA'!AA257)),ROUND(INDEX('1-DATA'!$1:$1048576,IF(OR($B259="STD. DEVIATION",$C$1=1),$A259,$A259+1),COLUMN('1-DATA'!AA257)),IF($B259="STD. DEVIATION",2,$F$1))))</f>
        <v/>
      </c>
      <c r="AC259" s="1" t="str">
        <f>IF(OR($B259="",AC$7=""),"",IF($B259="MEANS",INDEX('1-DATA'!$1:$1048576,$A258-1,COLUMN('1-DATA'!AB257)),ROUND(INDEX('1-DATA'!$1:$1048576,IF(OR($B259="STD. DEVIATION",$C$1=1),$A259,$A259+1),COLUMN('1-DATA'!AB257)),IF($B259="STD. DEVIATION",2,$F$1))))</f>
        <v/>
      </c>
      <c r="AD259" s="1" t="str">
        <f>IF(OR($B259="",AD$7=""),"",IF($B259="MEANS",INDEX('1-DATA'!$1:$1048576,$A258-1,COLUMN('1-DATA'!AC257)),ROUND(INDEX('1-DATA'!$1:$1048576,IF(OR($B259="STD. DEVIATION",$C$1=1),$A259,$A259+1),COLUMN('1-DATA'!AC257)),IF($B259="STD. DEVIATION",2,$F$1))))</f>
        <v/>
      </c>
      <c r="AE259" s="1" t="str">
        <f>IF(OR($B259="",AE$7=""),"",IF($B259="MEANS",INDEX('1-DATA'!$1:$1048576,$A258-1,COLUMN('1-DATA'!AD257)),ROUND(INDEX('1-DATA'!$1:$1048576,IF(OR($B259="STD. DEVIATION",$C$1=1),$A259,$A259+1),COLUMN('1-DATA'!AD257)),IF($B259="STD. DEVIATION",2,$F$1))))</f>
        <v/>
      </c>
      <c r="AF259" s="1" t="str">
        <f>IF(OR($B259="",AF$7=""),"",IF($B259="MEANS",INDEX('1-DATA'!$1:$1048576,$A258-1,COLUMN('1-DATA'!AE257)),ROUND(INDEX('1-DATA'!$1:$1048576,IF(OR($B259="STD. DEVIATION",$C$1=1),$A259,$A259+1),COLUMN('1-DATA'!AE257)),IF($B259="STD. DEVIATION",2,$F$1))))</f>
        <v/>
      </c>
      <c r="AG259" s="1" t="str">
        <f>IF(OR($B259="",AG$7=""),"",IF($B259="MEANS",INDEX('1-DATA'!$1:$1048576,$A258-1,COLUMN('1-DATA'!AF257)),ROUND(INDEX('1-DATA'!$1:$1048576,IF(OR($B259="STD. DEVIATION",$C$1=1),$A259,$A259+1),COLUMN('1-DATA'!AF257)),IF($B259="STD. DEVIATION",2,$F$1))))</f>
        <v/>
      </c>
      <c r="AH259" s="1" t="str">
        <f>IF(OR($B259="",AH$7=""),"",IF($B259="MEANS",INDEX('1-DATA'!$1:$1048576,$A258-1,COLUMN('1-DATA'!AG257)),ROUND(INDEX('1-DATA'!$1:$1048576,IF(OR($B259="STD. DEVIATION",$C$1=1),$A259,$A259+1),COLUMN('1-DATA'!AG257)),IF($B259="STD. DEVIATION",2,$F$1))))</f>
        <v/>
      </c>
      <c r="AI259" s="1" t="str">
        <f>IF(OR($B259="",AI$7=""),"",IF($B259="MEANS",INDEX('1-DATA'!$1:$1048576,$A258-1,COLUMN('1-DATA'!AH257)),ROUND(INDEX('1-DATA'!$1:$1048576,IF(OR($B259="STD. DEVIATION",$C$1=1),$A259,$A259+1),COLUMN('1-DATA'!AH257)),IF($B259="STD. DEVIATION",2,$F$1))))</f>
        <v/>
      </c>
      <c r="AJ259" s="1" t="str">
        <f>IF(OR($B259="",AJ$7=""),"",IF($B259="MEANS",INDEX('1-DATA'!$1:$1048576,$A258-1,COLUMN('1-DATA'!AI257)),ROUND(INDEX('1-DATA'!$1:$1048576,IF(OR($B259="STD. DEVIATION",$C$1=1),$A259,$A259+1),COLUMN('1-DATA'!AI257)),IF($B259="STD. DEVIATION",2,$F$1))))</f>
        <v/>
      </c>
      <c r="AK259" s="1" t="str">
        <f>IF(OR($B259="",AK$7=""),"",IF($B259="MEANS",INDEX('1-DATA'!$1:$1048576,$A258-1,COLUMN('1-DATA'!AJ257)),ROUND(INDEX('1-DATA'!$1:$1048576,IF(OR($B259="STD. DEVIATION",$C$1=1),$A259,$A259+1),COLUMN('1-DATA'!AJ257)),IF($B259="STD. DEVIATION",2,$F$1))))</f>
        <v/>
      </c>
      <c r="AL259" s="1" t="str">
        <f>IF(OR($B259="",AL$7=""),"",IF($B259="MEANS",INDEX('1-DATA'!$1:$1048576,$A258-1,COLUMN('1-DATA'!AK257)),ROUND(INDEX('1-DATA'!$1:$1048576,IF(OR($B259="STD. DEVIATION",$C$1=1),$A259,$A259+1),COLUMN('1-DATA'!AK257)),IF($B259="STD. DEVIATION",2,$F$1))))</f>
        <v/>
      </c>
      <c r="AM259" s="1" t="str">
        <f>IF(OR($B259="",AM$7=""),"",IF($B259="MEANS",INDEX('1-DATA'!$1:$1048576,$A258-1,COLUMN('1-DATA'!AL257)),ROUND(INDEX('1-DATA'!$1:$1048576,IF(OR($B259="STD. DEVIATION",$C$1=1),$A259,$A259+1),COLUMN('1-DATA'!AL257)),IF($B259="STD. DEVIATION",2,$F$1))))</f>
        <v/>
      </c>
      <c r="AN259" s="1" t="str">
        <f>IF(OR($B259="",AN$7=""),"",IF($B259="MEANS",INDEX('1-DATA'!$1:$1048576,$A258-1,COLUMN('1-DATA'!AM257)),ROUND(INDEX('1-DATA'!$1:$1048576,IF(OR($B259="STD. DEVIATION",$C$1=1),$A259,$A259+1),COLUMN('1-DATA'!AM257)),IF($B259="STD. DEVIATION",2,$F$1))))</f>
        <v/>
      </c>
      <c r="AO259" s="1" t="str">
        <f>IF(OR($B259="",AO$7=""),"",IF($B259="MEANS",INDEX('1-DATA'!$1:$1048576,$A258-1,COLUMN('1-DATA'!AN257)),ROUND(INDEX('1-DATA'!$1:$1048576,IF(OR($B259="STD. DEVIATION",$C$1=1),$A259,$A259+1),COLUMN('1-DATA'!AN257)),IF($B259="STD. DEVIATION",2,$F$1))))</f>
        <v/>
      </c>
      <c r="AP259" s="1" t="str">
        <f>IF(OR($B259="",AP$7=""),"",IF($B259="MEANS",INDEX('1-DATA'!$1:$1048576,$A258-1,COLUMN('1-DATA'!AO257)),ROUND(INDEX('1-DATA'!$1:$1048576,IF(OR($B259="STD. DEVIATION",$C$1=1),$A259,$A259+1),COLUMN('1-DATA'!AO257)),IF($B259="STD. DEVIATION",2,$F$1))))</f>
        <v/>
      </c>
      <c r="AQ259" s="1" t="str">
        <f>IF(OR($B259="",AQ$7=""),"",IF($B259="MEANS",INDEX('1-DATA'!$1:$1048576,$A258-1,COLUMN('1-DATA'!AP257)),ROUND(INDEX('1-DATA'!$1:$1048576,IF(OR($B259="STD. DEVIATION",$C$1=1),$A259,$A259+1),COLUMN('1-DATA'!AP257)),IF($B259="STD. DEVIATION",2,$F$1))))</f>
        <v/>
      </c>
      <c r="AR259" s="1" t="str">
        <f>IF(OR($B259="",AR$7=""),"",IF($B259="MEANS",INDEX('1-DATA'!$1:$1048576,$A258-1,COLUMN('1-DATA'!AQ257)),ROUND(INDEX('1-DATA'!$1:$1048576,IF(OR($B259="STD. DEVIATION",$C$1=1),$A259,$A259+1),COLUMN('1-DATA'!AQ257)),IF($B259="STD. DEVIATION",2,$F$1))))</f>
        <v/>
      </c>
      <c r="AS259" s="1" t="str">
        <f>IF(OR($B259="",AS$7=""),"",IF($B259="MEANS",INDEX('1-DATA'!$1:$1048576,$A258-1,COLUMN('1-DATA'!AR257)),ROUND(INDEX('1-DATA'!$1:$1048576,IF(OR($B259="STD. DEVIATION",$C$1=1),$A259,$A259+1),COLUMN('1-DATA'!AR257)),IF($B259="STD. DEVIATION",2,$F$1))))</f>
        <v/>
      </c>
      <c r="AT259" s="1" t="str">
        <f>IF(OR($B259="",AT$7=""),"",IF($B259="MEANS",INDEX('1-DATA'!$1:$1048576,$A258-1,COLUMN('1-DATA'!AS257)),ROUND(INDEX('1-DATA'!$1:$1048576,IF(OR($B259="STD. DEVIATION",$C$1=1),$A259,$A259+1),COLUMN('1-DATA'!AS257)),IF($B259="STD. DEVIATION",2,$F$1))))</f>
        <v/>
      </c>
      <c r="AU259" s="1" t="str">
        <f>IF(OR($B259="",AU$7=""),"",IF($B259="MEANS",INDEX('1-DATA'!$1:$1048576,$A258-1,COLUMN('1-DATA'!AT257)),ROUND(INDEX('1-DATA'!$1:$1048576,IF(OR($B259="STD. DEVIATION",$C$1=1),$A259,$A259+1),COLUMN('1-DATA'!AT257)),IF($B259="STD. DEVIATION",2,$F$1))))</f>
        <v/>
      </c>
      <c r="AV259" s="1" t="str">
        <f>IF(OR($B259="",AV$7=""),"",IF($B259="MEANS",INDEX('1-DATA'!$1:$1048576,$A258-1,COLUMN('1-DATA'!AU257)),ROUND(INDEX('1-DATA'!$1:$1048576,IF(OR($B259="STD. DEVIATION",$C$1=1),$A259,$A259+1),COLUMN('1-DATA'!AU257)),IF($B259="STD. DEVIATION",2,$F$1))))</f>
        <v/>
      </c>
      <c r="AW259" s="1" t="str">
        <f>IF(OR($B259="",AW$7=""),"",IF($B259="MEANS",INDEX('1-DATA'!$1:$1048576,$A258-1,COLUMN('1-DATA'!AV257)),ROUND(INDEX('1-DATA'!$1:$1048576,IF(OR($B259="STD. DEVIATION",$C$1=1),$A259,$A259+1),COLUMN('1-DATA'!AV257)),IF($B259="STD. DEVIATION",2,$F$1))))</f>
        <v/>
      </c>
      <c r="AX259" s="1" t="str">
        <f>IF(OR($B259="",AX$7=""),"",IF($B259="MEANS",INDEX('1-DATA'!$1:$1048576,$A258-1,COLUMN('1-DATA'!AW257)),ROUND(INDEX('1-DATA'!$1:$1048576,IF(OR($B259="STD. DEVIATION",$C$1=1),$A259,$A259+1),COLUMN('1-DATA'!AW257)),IF($B259="STD. DEVIATION",2,$F$1))))</f>
        <v/>
      </c>
      <c r="AY259" s="1" t="str">
        <f>IF(OR($B259="",AY$7=""),"",IF($B259="MEANS",INDEX('1-DATA'!$1:$1048576,$A258-1,COLUMN('1-DATA'!AX257)),ROUND(INDEX('1-DATA'!$1:$1048576,IF(OR($B259="STD. DEVIATION",$C$1=1),$A259,$A259+1),COLUMN('1-DATA'!AX257)),IF($B259="STD. DEVIATION",2,$F$1))))</f>
        <v/>
      </c>
      <c r="AZ259" s="1" t="str">
        <f>IF(OR($B259="",AZ$7=""),"",IF($B259="MEANS",INDEX('1-DATA'!$1:$1048576,$A258-1,COLUMN('1-DATA'!AY257)),ROUND(INDEX('1-DATA'!$1:$1048576,IF(OR($B259="STD. DEVIATION",$C$1=1),$A259,$A259+1),COLUMN('1-DATA'!AY257)),IF($B259="STD. DEVIATION",2,$F$1))))</f>
        <v/>
      </c>
    </row>
    <row r="260" spans="1:52" x14ac:dyDescent="0.25">
      <c r="A260" s="11">
        <f t="shared" si="4"/>
        <v>766</v>
      </c>
      <c r="B260" s="1" t="str">
        <f>IF(B259="STD. DEVIATION",INDEX('1-DATA'!$1:$1048576,$A259-1,1),IF(INDEX('1-DATA'!$1:$1048576,$A260,1)&lt;&gt;"",INDEX('1-DATA'!$1:$1048576,$A260,1),""))</f>
        <v/>
      </c>
      <c r="C260" s="1" t="str">
        <f>IF(OR($B260="",C$7=""),"",IF($B260="MEANS",INDEX('1-DATA'!$1:$1048576,$A259-1,COLUMN('1-DATA'!B258)),ROUND(INDEX('1-DATA'!$1:$1048576,IF(OR($B260="STD. DEVIATION",$C$1=1),$A260,$A260+1),COLUMN('1-DATA'!B258)),IF($B260="STD. DEVIATION",2,$F$1))))</f>
        <v/>
      </c>
      <c r="D260" s="1" t="str">
        <f>IF(OR($B260="",D$7=""),"",IF($B260="MEANS",INDEX('1-DATA'!$1:$1048576,$A259-1,COLUMN('1-DATA'!C258)),ROUND(INDEX('1-DATA'!$1:$1048576,IF(OR($B260="STD. DEVIATION",$C$1=1),$A260,$A260+1),COLUMN('1-DATA'!C258)),IF($B260="STD. DEVIATION",2,$F$1))))</f>
        <v/>
      </c>
      <c r="E260" s="1" t="str">
        <f>IF(OR($B260="",E$7=""),"",IF($B260="MEANS",INDEX('1-DATA'!$1:$1048576,$A259-1,COLUMN('1-DATA'!D258)),ROUND(INDEX('1-DATA'!$1:$1048576,IF(OR($B260="STD. DEVIATION",$C$1=1),$A260,$A260+1),COLUMN('1-DATA'!D258)),IF($B260="STD. DEVIATION",2,$F$1))))</f>
        <v/>
      </c>
      <c r="F260" s="1" t="str">
        <f>IF(OR($B260="",F$7=""),"",IF($B260="MEANS",INDEX('1-DATA'!$1:$1048576,$A259-1,COLUMN('1-DATA'!E258)),ROUND(INDEX('1-DATA'!$1:$1048576,IF(OR($B260="STD. DEVIATION",$C$1=1),$A260,$A260+1),COLUMN('1-DATA'!E258)),IF($B260="STD. DEVIATION",2,$F$1))))</f>
        <v/>
      </c>
      <c r="G260" s="1" t="str">
        <f>IF(OR($B260="",G$7=""),"",IF($B260="MEANS",INDEX('1-DATA'!$1:$1048576,$A259-1,COLUMN('1-DATA'!F258)),ROUND(INDEX('1-DATA'!$1:$1048576,IF(OR($B260="STD. DEVIATION",$C$1=1),$A260,$A260+1),COLUMN('1-DATA'!F258)),IF($B260="STD. DEVIATION",2,$F$1))))</f>
        <v/>
      </c>
      <c r="H260" s="1" t="str">
        <f>IF(OR($B260="",H$7=""),"",IF($B260="MEANS",INDEX('1-DATA'!$1:$1048576,$A259-1,COLUMN('1-DATA'!G258)),ROUND(INDEX('1-DATA'!$1:$1048576,IF(OR($B260="STD. DEVIATION",$C$1=1),$A260,$A260+1),COLUMN('1-DATA'!G258)),IF($B260="STD. DEVIATION",2,$F$1))))</f>
        <v/>
      </c>
      <c r="I260" s="1" t="str">
        <f>IF(OR($B260="",I$7=""),"",IF($B260="MEANS",INDEX('1-DATA'!$1:$1048576,$A259-1,COLUMN('1-DATA'!H258)),ROUND(INDEX('1-DATA'!$1:$1048576,IF(OR($B260="STD. DEVIATION",$C$1=1),$A260,$A260+1),COLUMN('1-DATA'!H258)),IF($B260="STD. DEVIATION",2,$F$1))))</f>
        <v/>
      </c>
      <c r="J260" s="1" t="str">
        <f>IF(OR($B260="",J$7=""),"",IF($B260="MEANS",INDEX('1-DATA'!$1:$1048576,$A259-1,COLUMN('1-DATA'!I258)),ROUND(INDEX('1-DATA'!$1:$1048576,IF(OR($B260="STD. DEVIATION",$C$1=1),$A260,$A260+1),COLUMN('1-DATA'!I258)),IF($B260="STD. DEVIATION",2,$F$1))))</f>
        <v/>
      </c>
      <c r="K260" s="1" t="str">
        <f>IF(OR($B260="",K$7=""),"",IF($B260="MEANS",INDEX('1-DATA'!$1:$1048576,$A259-1,COLUMN('1-DATA'!J258)),ROUND(INDEX('1-DATA'!$1:$1048576,IF(OR($B260="STD. DEVIATION",$C$1=1),$A260,$A260+1),COLUMN('1-DATA'!J258)),IF($B260="STD. DEVIATION",2,$F$1))))</f>
        <v/>
      </c>
      <c r="L260" s="1" t="str">
        <f>IF(OR($B260="",L$7=""),"",IF($B260="MEANS",INDEX('1-DATA'!$1:$1048576,$A259-1,COLUMN('1-DATA'!K258)),ROUND(INDEX('1-DATA'!$1:$1048576,IF(OR($B260="STD. DEVIATION",$C$1=1),$A260,$A260+1),COLUMN('1-DATA'!K258)),IF($B260="STD. DEVIATION",2,$F$1))))</f>
        <v/>
      </c>
      <c r="M260" s="1" t="str">
        <f>IF(OR($B260="",M$7=""),"",IF($B260="MEANS",INDEX('1-DATA'!$1:$1048576,$A259-1,COLUMN('1-DATA'!L258)),ROUND(INDEX('1-DATA'!$1:$1048576,IF(OR($B260="STD. DEVIATION",$C$1=1),$A260,$A260+1),COLUMN('1-DATA'!L258)),IF($B260="STD. DEVIATION",2,$F$1))))</f>
        <v/>
      </c>
      <c r="N260" s="1" t="str">
        <f>IF(OR($B260="",N$7=""),"",IF($B260="MEANS",INDEX('1-DATA'!$1:$1048576,$A259-1,COLUMN('1-DATA'!M258)),ROUND(INDEX('1-DATA'!$1:$1048576,IF(OR($B260="STD. DEVIATION",$C$1=1),$A260,$A260+1),COLUMN('1-DATA'!M258)),IF($B260="STD. DEVIATION",2,$F$1))))</f>
        <v/>
      </c>
      <c r="O260" s="1" t="str">
        <f>IF(OR($B260="",O$7=""),"",IF($B260="MEANS",INDEX('1-DATA'!$1:$1048576,$A259-1,COLUMN('1-DATA'!N258)),ROUND(INDEX('1-DATA'!$1:$1048576,IF(OR($B260="STD. DEVIATION",$C$1=1),$A260,$A260+1),COLUMN('1-DATA'!N258)),IF($B260="STD. DEVIATION",2,$F$1))))</f>
        <v/>
      </c>
      <c r="P260" s="1" t="str">
        <f>IF(OR($B260="",P$7=""),"",IF($B260="MEANS",INDEX('1-DATA'!$1:$1048576,$A259-1,COLUMN('1-DATA'!O258)),ROUND(INDEX('1-DATA'!$1:$1048576,IF(OR($B260="STD. DEVIATION",$C$1=1),$A260,$A260+1),COLUMN('1-DATA'!O258)),IF($B260="STD. DEVIATION",2,$F$1))))</f>
        <v/>
      </c>
      <c r="Q260" s="1" t="str">
        <f>IF(OR($B260="",Q$7=""),"",IF($B260="MEANS",INDEX('1-DATA'!$1:$1048576,$A259-1,COLUMN('1-DATA'!P258)),ROUND(INDEX('1-DATA'!$1:$1048576,IF(OR($B260="STD. DEVIATION",$C$1=1),$A260,$A260+1),COLUMN('1-DATA'!P258)),IF($B260="STD. DEVIATION",2,$F$1))))</f>
        <v/>
      </c>
      <c r="R260" s="1" t="str">
        <f>IF(OR($B260="",R$7=""),"",IF($B260="MEANS",INDEX('1-DATA'!$1:$1048576,$A259-1,COLUMN('1-DATA'!Q258)),ROUND(INDEX('1-DATA'!$1:$1048576,IF(OR($B260="STD. DEVIATION",$C$1=1),$A260,$A260+1),COLUMN('1-DATA'!Q258)),IF($B260="STD. DEVIATION",2,$F$1))))</f>
        <v/>
      </c>
      <c r="S260" s="1" t="str">
        <f>IF(OR($B260="",S$7=""),"",IF($B260="MEANS",INDEX('1-DATA'!$1:$1048576,$A259-1,COLUMN('1-DATA'!R258)),ROUND(INDEX('1-DATA'!$1:$1048576,IF(OR($B260="STD. DEVIATION",$C$1=1),$A260,$A260+1),COLUMN('1-DATA'!R258)),IF($B260="STD. DEVIATION",2,$F$1))))</f>
        <v/>
      </c>
      <c r="T260" s="1" t="str">
        <f>IF(OR($B260="",T$7=""),"",IF($B260="MEANS",INDEX('1-DATA'!$1:$1048576,$A259-1,COLUMN('1-DATA'!S258)),ROUND(INDEX('1-DATA'!$1:$1048576,IF(OR($B260="STD. DEVIATION",$C$1=1),$A260,$A260+1),COLUMN('1-DATA'!S258)),IF($B260="STD. DEVIATION",2,$F$1))))</f>
        <v/>
      </c>
      <c r="U260" s="1" t="str">
        <f>IF(OR($B260="",U$7=""),"",IF($B260="MEANS",INDEX('1-DATA'!$1:$1048576,$A259-1,COLUMN('1-DATA'!T258)),ROUND(INDEX('1-DATA'!$1:$1048576,IF(OR($B260="STD. DEVIATION",$C$1=1),$A260,$A260+1),COLUMN('1-DATA'!T258)),IF($B260="STD. DEVIATION",2,$F$1))))</f>
        <v/>
      </c>
      <c r="V260" s="1" t="str">
        <f>IF(OR($B260="",V$7=""),"",IF($B260="MEANS",INDEX('1-DATA'!$1:$1048576,$A259-1,COLUMN('1-DATA'!U258)),ROUND(INDEX('1-DATA'!$1:$1048576,IF(OR($B260="STD. DEVIATION",$C$1=1),$A260,$A260+1),COLUMN('1-DATA'!U258)),IF($B260="STD. DEVIATION",2,$F$1))))</f>
        <v/>
      </c>
      <c r="W260" s="1" t="str">
        <f>IF(OR($B260="",W$7=""),"",IF($B260="MEANS",INDEX('1-DATA'!$1:$1048576,$A259-1,COLUMN('1-DATA'!V258)),ROUND(INDEX('1-DATA'!$1:$1048576,IF(OR($B260="STD. DEVIATION",$C$1=1),$A260,$A260+1),COLUMN('1-DATA'!V258)),IF($B260="STD. DEVIATION",2,$F$1))))</f>
        <v/>
      </c>
      <c r="X260" s="1" t="str">
        <f>IF(OR($B260="",X$7=""),"",IF($B260="MEANS",INDEX('1-DATA'!$1:$1048576,$A259-1,COLUMN('1-DATA'!W258)),ROUND(INDEX('1-DATA'!$1:$1048576,IF(OR($B260="STD. DEVIATION",$C$1=1),$A260,$A260+1),COLUMN('1-DATA'!W258)),IF($B260="STD. DEVIATION",2,$F$1))))</f>
        <v/>
      </c>
      <c r="Y260" s="1" t="str">
        <f>IF(OR($B260="",Y$7=""),"",IF($B260="MEANS",INDEX('1-DATA'!$1:$1048576,$A259-1,COLUMN('1-DATA'!X258)),ROUND(INDEX('1-DATA'!$1:$1048576,IF(OR($B260="STD. DEVIATION",$C$1=1),$A260,$A260+1),COLUMN('1-DATA'!X258)),IF($B260="STD. DEVIATION",2,$F$1))))</f>
        <v/>
      </c>
      <c r="Z260" s="1" t="str">
        <f>IF(OR($B260="",Z$7=""),"",IF($B260="MEANS",INDEX('1-DATA'!$1:$1048576,$A259-1,COLUMN('1-DATA'!Y258)),ROUND(INDEX('1-DATA'!$1:$1048576,IF(OR($B260="STD. DEVIATION",$C$1=1),$A260,$A260+1),COLUMN('1-DATA'!Y258)),IF($B260="STD. DEVIATION",2,$F$1))))</f>
        <v/>
      </c>
      <c r="AA260" s="1" t="str">
        <f>IF(OR($B260="",AA$7=""),"",IF($B260="MEANS",INDEX('1-DATA'!$1:$1048576,$A259-1,COLUMN('1-DATA'!Z258)),ROUND(INDEX('1-DATA'!$1:$1048576,IF(OR($B260="STD. DEVIATION",$C$1=1),$A260,$A260+1),COLUMN('1-DATA'!Z258)),IF($B260="STD. DEVIATION",2,$F$1))))</f>
        <v/>
      </c>
      <c r="AB260" s="1" t="str">
        <f>IF(OR($B260="",AB$7=""),"",IF($B260="MEANS",INDEX('1-DATA'!$1:$1048576,$A259-1,COLUMN('1-DATA'!AA258)),ROUND(INDEX('1-DATA'!$1:$1048576,IF(OR($B260="STD. DEVIATION",$C$1=1),$A260,$A260+1),COLUMN('1-DATA'!AA258)),IF($B260="STD. DEVIATION",2,$F$1))))</f>
        <v/>
      </c>
      <c r="AC260" s="1" t="str">
        <f>IF(OR($B260="",AC$7=""),"",IF($B260="MEANS",INDEX('1-DATA'!$1:$1048576,$A259-1,COLUMN('1-DATA'!AB258)),ROUND(INDEX('1-DATA'!$1:$1048576,IF(OR($B260="STD. DEVIATION",$C$1=1),$A260,$A260+1),COLUMN('1-DATA'!AB258)),IF($B260="STD. DEVIATION",2,$F$1))))</f>
        <v/>
      </c>
      <c r="AD260" s="1" t="str">
        <f>IF(OR($B260="",AD$7=""),"",IF($B260="MEANS",INDEX('1-DATA'!$1:$1048576,$A259-1,COLUMN('1-DATA'!AC258)),ROUND(INDEX('1-DATA'!$1:$1048576,IF(OR($B260="STD. DEVIATION",$C$1=1),$A260,$A260+1),COLUMN('1-DATA'!AC258)),IF($B260="STD. DEVIATION",2,$F$1))))</f>
        <v/>
      </c>
      <c r="AE260" s="1" t="str">
        <f>IF(OR($B260="",AE$7=""),"",IF($B260="MEANS",INDEX('1-DATA'!$1:$1048576,$A259-1,COLUMN('1-DATA'!AD258)),ROUND(INDEX('1-DATA'!$1:$1048576,IF(OR($B260="STD. DEVIATION",$C$1=1),$A260,$A260+1),COLUMN('1-DATA'!AD258)),IF($B260="STD. DEVIATION",2,$F$1))))</f>
        <v/>
      </c>
      <c r="AF260" s="1" t="str">
        <f>IF(OR($B260="",AF$7=""),"",IF($B260="MEANS",INDEX('1-DATA'!$1:$1048576,$A259-1,COLUMN('1-DATA'!AE258)),ROUND(INDEX('1-DATA'!$1:$1048576,IF(OR($B260="STD. DEVIATION",$C$1=1),$A260,$A260+1),COLUMN('1-DATA'!AE258)),IF($B260="STD. DEVIATION",2,$F$1))))</f>
        <v/>
      </c>
      <c r="AG260" s="1" t="str">
        <f>IF(OR($B260="",AG$7=""),"",IF($B260="MEANS",INDEX('1-DATA'!$1:$1048576,$A259-1,COLUMN('1-DATA'!AF258)),ROUND(INDEX('1-DATA'!$1:$1048576,IF(OR($B260="STD. DEVIATION",$C$1=1),$A260,$A260+1),COLUMN('1-DATA'!AF258)),IF($B260="STD. DEVIATION",2,$F$1))))</f>
        <v/>
      </c>
      <c r="AH260" s="1" t="str">
        <f>IF(OR($B260="",AH$7=""),"",IF($B260="MEANS",INDEX('1-DATA'!$1:$1048576,$A259-1,COLUMN('1-DATA'!AG258)),ROUND(INDEX('1-DATA'!$1:$1048576,IF(OR($B260="STD. DEVIATION",$C$1=1),$A260,$A260+1),COLUMN('1-DATA'!AG258)),IF($B260="STD. DEVIATION",2,$F$1))))</f>
        <v/>
      </c>
      <c r="AI260" s="1" t="str">
        <f>IF(OR($B260="",AI$7=""),"",IF($B260="MEANS",INDEX('1-DATA'!$1:$1048576,$A259-1,COLUMN('1-DATA'!AH258)),ROUND(INDEX('1-DATA'!$1:$1048576,IF(OR($B260="STD. DEVIATION",$C$1=1),$A260,$A260+1),COLUMN('1-DATA'!AH258)),IF($B260="STD. DEVIATION",2,$F$1))))</f>
        <v/>
      </c>
      <c r="AJ260" s="1" t="str">
        <f>IF(OR($B260="",AJ$7=""),"",IF($B260="MEANS",INDEX('1-DATA'!$1:$1048576,$A259-1,COLUMN('1-DATA'!AI258)),ROUND(INDEX('1-DATA'!$1:$1048576,IF(OR($B260="STD. DEVIATION",$C$1=1),$A260,$A260+1),COLUMN('1-DATA'!AI258)),IF($B260="STD. DEVIATION",2,$F$1))))</f>
        <v/>
      </c>
      <c r="AK260" s="1" t="str">
        <f>IF(OR($B260="",AK$7=""),"",IF($B260="MEANS",INDEX('1-DATA'!$1:$1048576,$A259-1,COLUMN('1-DATA'!AJ258)),ROUND(INDEX('1-DATA'!$1:$1048576,IF(OR($B260="STD. DEVIATION",$C$1=1),$A260,$A260+1),COLUMN('1-DATA'!AJ258)),IF($B260="STD. DEVIATION",2,$F$1))))</f>
        <v/>
      </c>
      <c r="AL260" s="1" t="str">
        <f>IF(OR($B260="",AL$7=""),"",IF($B260="MEANS",INDEX('1-DATA'!$1:$1048576,$A259-1,COLUMN('1-DATA'!AK258)),ROUND(INDEX('1-DATA'!$1:$1048576,IF(OR($B260="STD. DEVIATION",$C$1=1),$A260,$A260+1),COLUMN('1-DATA'!AK258)),IF($B260="STD. DEVIATION",2,$F$1))))</f>
        <v/>
      </c>
      <c r="AM260" s="1" t="str">
        <f>IF(OR($B260="",AM$7=""),"",IF($B260="MEANS",INDEX('1-DATA'!$1:$1048576,$A259-1,COLUMN('1-DATA'!AL258)),ROUND(INDEX('1-DATA'!$1:$1048576,IF(OR($B260="STD. DEVIATION",$C$1=1),$A260,$A260+1),COLUMN('1-DATA'!AL258)),IF($B260="STD. DEVIATION",2,$F$1))))</f>
        <v/>
      </c>
      <c r="AN260" s="1" t="str">
        <f>IF(OR($B260="",AN$7=""),"",IF($B260="MEANS",INDEX('1-DATA'!$1:$1048576,$A259-1,COLUMN('1-DATA'!AM258)),ROUND(INDEX('1-DATA'!$1:$1048576,IF(OR($B260="STD. DEVIATION",$C$1=1),$A260,$A260+1),COLUMN('1-DATA'!AM258)),IF($B260="STD. DEVIATION",2,$F$1))))</f>
        <v/>
      </c>
      <c r="AO260" s="1" t="str">
        <f>IF(OR($B260="",AO$7=""),"",IF($B260="MEANS",INDEX('1-DATA'!$1:$1048576,$A259-1,COLUMN('1-DATA'!AN258)),ROUND(INDEX('1-DATA'!$1:$1048576,IF(OR($B260="STD. DEVIATION",$C$1=1),$A260,$A260+1),COLUMN('1-DATA'!AN258)),IF($B260="STD. DEVIATION",2,$F$1))))</f>
        <v/>
      </c>
      <c r="AP260" s="1" t="str">
        <f>IF(OR($B260="",AP$7=""),"",IF($B260="MEANS",INDEX('1-DATA'!$1:$1048576,$A259-1,COLUMN('1-DATA'!AO258)),ROUND(INDEX('1-DATA'!$1:$1048576,IF(OR($B260="STD. DEVIATION",$C$1=1),$A260,$A260+1),COLUMN('1-DATA'!AO258)),IF($B260="STD. DEVIATION",2,$F$1))))</f>
        <v/>
      </c>
      <c r="AQ260" s="1" t="str">
        <f>IF(OR($B260="",AQ$7=""),"",IF($B260="MEANS",INDEX('1-DATA'!$1:$1048576,$A259-1,COLUMN('1-DATA'!AP258)),ROUND(INDEX('1-DATA'!$1:$1048576,IF(OR($B260="STD. DEVIATION",$C$1=1),$A260,$A260+1),COLUMN('1-DATA'!AP258)),IF($B260="STD. DEVIATION",2,$F$1))))</f>
        <v/>
      </c>
      <c r="AR260" s="1" t="str">
        <f>IF(OR($B260="",AR$7=""),"",IF($B260="MEANS",INDEX('1-DATA'!$1:$1048576,$A259-1,COLUMN('1-DATA'!AQ258)),ROUND(INDEX('1-DATA'!$1:$1048576,IF(OR($B260="STD. DEVIATION",$C$1=1),$A260,$A260+1),COLUMN('1-DATA'!AQ258)),IF($B260="STD. DEVIATION",2,$F$1))))</f>
        <v/>
      </c>
      <c r="AS260" s="1" t="str">
        <f>IF(OR($B260="",AS$7=""),"",IF($B260="MEANS",INDEX('1-DATA'!$1:$1048576,$A259-1,COLUMN('1-DATA'!AR258)),ROUND(INDEX('1-DATA'!$1:$1048576,IF(OR($B260="STD. DEVIATION",$C$1=1),$A260,$A260+1),COLUMN('1-DATA'!AR258)),IF($B260="STD. DEVIATION",2,$F$1))))</f>
        <v/>
      </c>
      <c r="AT260" s="1" t="str">
        <f>IF(OR($B260="",AT$7=""),"",IF($B260="MEANS",INDEX('1-DATA'!$1:$1048576,$A259-1,COLUMN('1-DATA'!AS258)),ROUND(INDEX('1-DATA'!$1:$1048576,IF(OR($B260="STD. DEVIATION",$C$1=1),$A260,$A260+1),COLUMN('1-DATA'!AS258)),IF($B260="STD. DEVIATION",2,$F$1))))</f>
        <v/>
      </c>
      <c r="AU260" s="1" t="str">
        <f>IF(OR($B260="",AU$7=""),"",IF($B260="MEANS",INDEX('1-DATA'!$1:$1048576,$A259-1,COLUMN('1-DATA'!AT258)),ROUND(INDEX('1-DATA'!$1:$1048576,IF(OR($B260="STD. DEVIATION",$C$1=1),$A260,$A260+1),COLUMN('1-DATA'!AT258)),IF($B260="STD. DEVIATION",2,$F$1))))</f>
        <v/>
      </c>
      <c r="AV260" s="1" t="str">
        <f>IF(OR($B260="",AV$7=""),"",IF($B260="MEANS",INDEX('1-DATA'!$1:$1048576,$A259-1,COLUMN('1-DATA'!AU258)),ROUND(INDEX('1-DATA'!$1:$1048576,IF(OR($B260="STD. DEVIATION",$C$1=1),$A260,$A260+1),COLUMN('1-DATA'!AU258)),IF($B260="STD. DEVIATION",2,$F$1))))</f>
        <v/>
      </c>
      <c r="AW260" s="1" t="str">
        <f>IF(OR($B260="",AW$7=""),"",IF($B260="MEANS",INDEX('1-DATA'!$1:$1048576,$A259-1,COLUMN('1-DATA'!AV258)),ROUND(INDEX('1-DATA'!$1:$1048576,IF(OR($B260="STD. DEVIATION",$C$1=1),$A260,$A260+1),COLUMN('1-DATA'!AV258)),IF($B260="STD. DEVIATION",2,$F$1))))</f>
        <v/>
      </c>
      <c r="AX260" s="1" t="str">
        <f>IF(OR($B260="",AX$7=""),"",IF($B260="MEANS",INDEX('1-DATA'!$1:$1048576,$A259-1,COLUMN('1-DATA'!AW258)),ROUND(INDEX('1-DATA'!$1:$1048576,IF(OR($B260="STD. DEVIATION",$C$1=1),$A260,$A260+1),COLUMN('1-DATA'!AW258)),IF($B260="STD. DEVIATION",2,$F$1))))</f>
        <v/>
      </c>
      <c r="AY260" s="1" t="str">
        <f>IF(OR($B260="",AY$7=""),"",IF($B260="MEANS",INDEX('1-DATA'!$1:$1048576,$A259-1,COLUMN('1-DATA'!AX258)),ROUND(INDEX('1-DATA'!$1:$1048576,IF(OR($B260="STD. DEVIATION",$C$1=1),$A260,$A260+1),COLUMN('1-DATA'!AX258)),IF($B260="STD. DEVIATION",2,$F$1))))</f>
        <v/>
      </c>
      <c r="AZ260" s="1" t="str">
        <f>IF(OR($B260="",AZ$7=""),"",IF($B260="MEANS",INDEX('1-DATA'!$1:$1048576,$A259-1,COLUMN('1-DATA'!AY258)),ROUND(INDEX('1-DATA'!$1:$1048576,IF(OR($B260="STD. DEVIATION",$C$1=1),$A260,$A260+1),COLUMN('1-DATA'!AY258)),IF($B260="STD. DEVIATION",2,$F$1))))</f>
        <v/>
      </c>
    </row>
    <row r="261" spans="1:52" x14ac:dyDescent="0.25">
      <c r="A261" s="11">
        <f t="shared" si="4"/>
        <v>769</v>
      </c>
      <c r="B261" s="1" t="str">
        <f>IF(B260="STD. DEVIATION",INDEX('1-DATA'!$1:$1048576,$A260-1,1),IF(INDEX('1-DATA'!$1:$1048576,$A261,1)&lt;&gt;"",INDEX('1-DATA'!$1:$1048576,$A261,1),""))</f>
        <v/>
      </c>
      <c r="C261" s="1" t="str">
        <f>IF(OR($B261="",C$7=""),"",IF($B261="MEANS",INDEX('1-DATA'!$1:$1048576,$A260-1,COLUMN('1-DATA'!B259)),ROUND(INDEX('1-DATA'!$1:$1048576,IF(OR($B261="STD. DEVIATION",$C$1=1),$A261,$A261+1),COLUMN('1-DATA'!B259)),IF($B261="STD. DEVIATION",2,$F$1))))</f>
        <v/>
      </c>
      <c r="D261" s="1" t="str">
        <f>IF(OR($B261="",D$7=""),"",IF($B261="MEANS",INDEX('1-DATA'!$1:$1048576,$A260-1,COLUMN('1-DATA'!C259)),ROUND(INDEX('1-DATA'!$1:$1048576,IF(OR($B261="STD. DEVIATION",$C$1=1),$A261,$A261+1),COLUMN('1-DATA'!C259)),IF($B261="STD. DEVIATION",2,$F$1))))</f>
        <v/>
      </c>
      <c r="E261" s="1" t="str">
        <f>IF(OR($B261="",E$7=""),"",IF($B261="MEANS",INDEX('1-DATA'!$1:$1048576,$A260-1,COLUMN('1-DATA'!D259)),ROUND(INDEX('1-DATA'!$1:$1048576,IF(OR($B261="STD. DEVIATION",$C$1=1),$A261,$A261+1),COLUMN('1-DATA'!D259)),IF($B261="STD. DEVIATION",2,$F$1))))</f>
        <v/>
      </c>
      <c r="F261" s="1" t="str">
        <f>IF(OR($B261="",F$7=""),"",IF($B261="MEANS",INDEX('1-DATA'!$1:$1048576,$A260-1,COLUMN('1-DATA'!E259)),ROUND(INDEX('1-DATA'!$1:$1048576,IF(OR($B261="STD. DEVIATION",$C$1=1),$A261,$A261+1),COLUMN('1-DATA'!E259)),IF($B261="STD. DEVIATION",2,$F$1))))</f>
        <v/>
      </c>
      <c r="G261" s="1" t="str">
        <f>IF(OR($B261="",G$7=""),"",IF($B261="MEANS",INDEX('1-DATA'!$1:$1048576,$A260-1,COLUMN('1-DATA'!F259)),ROUND(INDEX('1-DATA'!$1:$1048576,IF(OR($B261="STD. DEVIATION",$C$1=1),$A261,$A261+1),COLUMN('1-DATA'!F259)),IF($B261="STD. DEVIATION",2,$F$1))))</f>
        <v/>
      </c>
      <c r="H261" s="1" t="str">
        <f>IF(OR($B261="",H$7=""),"",IF($B261="MEANS",INDEX('1-DATA'!$1:$1048576,$A260-1,COLUMN('1-DATA'!G259)),ROUND(INDEX('1-DATA'!$1:$1048576,IF(OR($B261="STD. DEVIATION",$C$1=1),$A261,$A261+1),COLUMN('1-DATA'!G259)),IF($B261="STD. DEVIATION",2,$F$1))))</f>
        <v/>
      </c>
      <c r="I261" s="1" t="str">
        <f>IF(OR($B261="",I$7=""),"",IF($B261="MEANS",INDEX('1-DATA'!$1:$1048576,$A260-1,COLUMN('1-DATA'!H259)),ROUND(INDEX('1-DATA'!$1:$1048576,IF(OR($B261="STD. DEVIATION",$C$1=1),$A261,$A261+1),COLUMN('1-DATA'!H259)),IF($B261="STD. DEVIATION",2,$F$1))))</f>
        <v/>
      </c>
      <c r="J261" s="1" t="str">
        <f>IF(OR($B261="",J$7=""),"",IF($B261="MEANS",INDEX('1-DATA'!$1:$1048576,$A260-1,COLUMN('1-DATA'!I259)),ROUND(INDEX('1-DATA'!$1:$1048576,IF(OR($B261="STD. DEVIATION",$C$1=1),$A261,$A261+1),COLUMN('1-DATA'!I259)),IF($B261="STD. DEVIATION",2,$F$1))))</f>
        <v/>
      </c>
      <c r="K261" s="1" t="str">
        <f>IF(OR($B261="",K$7=""),"",IF($B261="MEANS",INDEX('1-DATA'!$1:$1048576,$A260-1,COLUMN('1-DATA'!J259)),ROUND(INDEX('1-DATA'!$1:$1048576,IF(OR($B261="STD. DEVIATION",$C$1=1),$A261,$A261+1),COLUMN('1-DATA'!J259)),IF($B261="STD. DEVIATION",2,$F$1))))</f>
        <v/>
      </c>
      <c r="L261" s="1" t="str">
        <f>IF(OR($B261="",L$7=""),"",IF($B261="MEANS",INDEX('1-DATA'!$1:$1048576,$A260-1,COLUMN('1-DATA'!K259)),ROUND(INDEX('1-DATA'!$1:$1048576,IF(OR($B261="STD. DEVIATION",$C$1=1),$A261,$A261+1),COLUMN('1-DATA'!K259)),IF($B261="STD. DEVIATION",2,$F$1))))</f>
        <v/>
      </c>
      <c r="M261" s="1" t="str">
        <f>IF(OR($B261="",M$7=""),"",IF($B261="MEANS",INDEX('1-DATA'!$1:$1048576,$A260-1,COLUMN('1-DATA'!L259)),ROUND(INDEX('1-DATA'!$1:$1048576,IF(OR($B261="STD. DEVIATION",$C$1=1),$A261,$A261+1),COLUMN('1-DATA'!L259)),IF($B261="STD. DEVIATION",2,$F$1))))</f>
        <v/>
      </c>
      <c r="N261" s="1" t="str">
        <f>IF(OR($B261="",N$7=""),"",IF($B261="MEANS",INDEX('1-DATA'!$1:$1048576,$A260-1,COLUMN('1-DATA'!M259)),ROUND(INDEX('1-DATA'!$1:$1048576,IF(OR($B261="STD. DEVIATION",$C$1=1),$A261,$A261+1),COLUMN('1-DATA'!M259)),IF($B261="STD. DEVIATION",2,$F$1))))</f>
        <v/>
      </c>
      <c r="O261" s="1" t="str">
        <f>IF(OR($B261="",O$7=""),"",IF($B261="MEANS",INDEX('1-DATA'!$1:$1048576,$A260-1,COLUMN('1-DATA'!N259)),ROUND(INDEX('1-DATA'!$1:$1048576,IF(OR($B261="STD. DEVIATION",$C$1=1),$A261,$A261+1),COLUMN('1-DATA'!N259)),IF($B261="STD. DEVIATION",2,$F$1))))</f>
        <v/>
      </c>
      <c r="P261" s="1" t="str">
        <f>IF(OR($B261="",P$7=""),"",IF($B261="MEANS",INDEX('1-DATA'!$1:$1048576,$A260-1,COLUMN('1-DATA'!O259)),ROUND(INDEX('1-DATA'!$1:$1048576,IF(OR($B261="STD. DEVIATION",$C$1=1),$A261,$A261+1),COLUMN('1-DATA'!O259)),IF($B261="STD. DEVIATION",2,$F$1))))</f>
        <v/>
      </c>
      <c r="Q261" s="1" t="str">
        <f>IF(OR($B261="",Q$7=""),"",IF($B261="MEANS",INDEX('1-DATA'!$1:$1048576,$A260-1,COLUMN('1-DATA'!P259)),ROUND(INDEX('1-DATA'!$1:$1048576,IF(OR($B261="STD. DEVIATION",$C$1=1),$A261,$A261+1),COLUMN('1-DATA'!P259)),IF($B261="STD. DEVIATION",2,$F$1))))</f>
        <v/>
      </c>
      <c r="R261" s="1" t="str">
        <f>IF(OR($B261="",R$7=""),"",IF($B261="MEANS",INDEX('1-DATA'!$1:$1048576,$A260-1,COLUMN('1-DATA'!Q259)),ROUND(INDEX('1-DATA'!$1:$1048576,IF(OR($B261="STD. DEVIATION",$C$1=1),$A261,$A261+1),COLUMN('1-DATA'!Q259)),IF($B261="STD. DEVIATION",2,$F$1))))</f>
        <v/>
      </c>
      <c r="S261" s="1" t="str">
        <f>IF(OR($B261="",S$7=""),"",IF($B261="MEANS",INDEX('1-DATA'!$1:$1048576,$A260-1,COLUMN('1-DATA'!R259)),ROUND(INDEX('1-DATA'!$1:$1048576,IF(OR($B261="STD. DEVIATION",$C$1=1),$A261,$A261+1),COLUMN('1-DATA'!R259)),IF($B261="STD. DEVIATION",2,$F$1))))</f>
        <v/>
      </c>
      <c r="T261" s="1" t="str">
        <f>IF(OR($B261="",T$7=""),"",IF($B261="MEANS",INDEX('1-DATA'!$1:$1048576,$A260-1,COLUMN('1-DATA'!S259)),ROUND(INDEX('1-DATA'!$1:$1048576,IF(OR($B261="STD. DEVIATION",$C$1=1),$A261,$A261+1),COLUMN('1-DATA'!S259)),IF($B261="STD. DEVIATION",2,$F$1))))</f>
        <v/>
      </c>
      <c r="U261" s="1" t="str">
        <f>IF(OR($B261="",U$7=""),"",IF($B261="MEANS",INDEX('1-DATA'!$1:$1048576,$A260-1,COLUMN('1-DATA'!T259)),ROUND(INDEX('1-DATA'!$1:$1048576,IF(OR($B261="STD. DEVIATION",$C$1=1),$A261,$A261+1),COLUMN('1-DATA'!T259)),IF($B261="STD. DEVIATION",2,$F$1))))</f>
        <v/>
      </c>
      <c r="V261" s="1" t="str">
        <f>IF(OR($B261="",V$7=""),"",IF($B261="MEANS",INDEX('1-DATA'!$1:$1048576,$A260-1,COLUMN('1-DATA'!U259)),ROUND(INDEX('1-DATA'!$1:$1048576,IF(OR($B261="STD. DEVIATION",$C$1=1),$A261,$A261+1),COLUMN('1-DATA'!U259)),IF($B261="STD. DEVIATION",2,$F$1))))</f>
        <v/>
      </c>
      <c r="W261" s="1" t="str">
        <f>IF(OR($B261="",W$7=""),"",IF($B261="MEANS",INDEX('1-DATA'!$1:$1048576,$A260-1,COLUMN('1-DATA'!V259)),ROUND(INDEX('1-DATA'!$1:$1048576,IF(OR($B261="STD. DEVIATION",$C$1=1),$A261,$A261+1),COLUMN('1-DATA'!V259)),IF($B261="STD. DEVIATION",2,$F$1))))</f>
        <v/>
      </c>
      <c r="X261" s="1" t="str">
        <f>IF(OR($B261="",X$7=""),"",IF($B261="MEANS",INDEX('1-DATA'!$1:$1048576,$A260-1,COLUMN('1-DATA'!W259)),ROUND(INDEX('1-DATA'!$1:$1048576,IF(OR($B261="STD. DEVIATION",$C$1=1),$A261,$A261+1),COLUMN('1-DATA'!W259)),IF($B261="STD. DEVIATION",2,$F$1))))</f>
        <v/>
      </c>
      <c r="Y261" s="1" t="str">
        <f>IF(OR($B261="",Y$7=""),"",IF($B261="MEANS",INDEX('1-DATA'!$1:$1048576,$A260-1,COLUMN('1-DATA'!X259)),ROUND(INDEX('1-DATA'!$1:$1048576,IF(OR($B261="STD. DEVIATION",$C$1=1),$A261,$A261+1),COLUMN('1-DATA'!X259)),IF($B261="STD. DEVIATION",2,$F$1))))</f>
        <v/>
      </c>
      <c r="Z261" s="1" t="str">
        <f>IF(OR($B261="",Z$7=""),"",IF($B261="MEANS",INDEX('1-DATA'!$1:$1048576,$A260-1,COLUMN('1-DATA'!Y259)),ROUND(INDEX('1-DATA'!$1:$1048576,IF(OR($B261="STD. DEVIATION",$C$1=1),$A261,$A261+1),COLUMN('1-DATA'!Y259)),IF($B261="STD. DEVIATION",2,$F$1))))</f>
        <v/>
      </c>
      <c r="AA261" s="1" t="str">
        <f>IF(OR($B261="",AA$7=""),"",IF($B261="MEANS",INDEX('1-DATA'!$1:$1048576,$A260-1,COLUMN('1-DATA'!Z259)),ROUND(INDEX('1-DATA'!$1:$1048576,IF(OR($B261="STD. DEVIATION",$C$1=1),$A261,$A261+1),COLUMN('1-DATA'!Z259)),IF($B261="STD. DEVIATION",2,$F$1))))</f>
        <v/>
      </c>
      <c r="AB261" s="1" t="str">
        <f>IF(OR($B261="",AB$7=""),"",IF($B261="MEANS",INDEX('1-DATA'!$1:$1048576,$A260-1,COLUMN('1-DATA'!AA259)),ROUND(INDEX('1-DATA'!$1:$1048576,IF(OR($B261="STD. DEVIATION",$C$1=1),$A261,$A261+1),COLUMN('1-DATA'!AA259)),IF($B261="STD. DEVIATION",2,$F$1))))</f>
        <v/>
      </c>
      <c r="AC261" s="1" t="str">
        <f>IF(OR($B261="",AC$7=""),"",IF($B261="MEANS",INDEX('1-DATA'!$1:$1048576,$A260-1,COLUMN('1-DATA'!AB259)),ROUND(INDEX('1-DATA'!$1:$1048576,IF(OR($B261="STD. DEVIATION",$C$1=1),$A261,$A261+1),COLUMN('1-DATA'!AB259)),IF($B261="STD. DEVIATION",2,$F$1))))</f>
        <v/>
      </c>
      <c r="AD261" s="1" t="str">
        <f>IF(OR($B261="",AD$7=""),"",IF($B261="MEANS",INDEX('1-DATA'!$1:$1048576,$A260-1,COLUMN('1-DATA'!AC259)),ROUND(INDEX('1-DATA'!$1:$1048576,IF(OR($B261="STD. DEVIATION",$C$1=1),$A261,$A261+1),COLUMN('1-DATA'!AC259)),IF($B261="STD. DEVIATION",2,$F$1))))</f>
        <v/>
      </c>
      <c r="AE261" s="1" t="str">
        <f>IF(OR($B261="",AE$7=""),"",IF($B261="MEANS",INDEX('1-DATA'!$1:$1048576,$A260-1,COLUMN('1-DATA'!AD259)),ROUND(INDEX('1-DATA'!$1:$1048576,IF(OR($B261="STD. DEVIATION",$C$1=1),$A261,$A261+1),COLUMN('1-DATA'!AD259)),IF($B261="STD. DEVIATION",2,$F$1))))</f>
        <v/>
      </c>
      <c r="AF261" s="1" t="str">
        <f>IF(OR($B261="",AF$7=""),"",IF($B261="MEANS",INDEX('1-DATA'!$1:$1048576,$A260-1,COLUMN('1-DATA'!AE259)),ROUND(INDEX('1-DATA'!$1:$1048576,IF(OR($B261="STD. DEVIATION",$C$1=1),$A261,$A261+1),COLUMN('1-DATA'!AE259)),IF($B261="STD. DEVIATION",2,$F$1))))</f>
        <v/>
      </c>
      <c r="AG261" s="1" t="str">
        <f>IF(OR($B261="",AG$7=""),"",IF($B261="MEANS",INDEX('1-DATA'!$1:$1048576,$A260-1,COLUMN('1-DATA'!AF259)),ROUND(INDEX('1-DATA'!$1:$1048576,IF(OR($B261="STD. DEVIATION",$C$1=1),$A261,$A261+1),COLUMN('1-DATA'!AF259)),IF($B261="STD. DEVIATION",2,$F$1))))</f>
        <v/>
      </c>
      <c r="AH261" s="1" t="str">
        <f>IF(OR($B261="",AH$7=""),"",IF($B261="MEANS",INDEX('1-DATA'!$1:$1048576,$A260-1,COLUMN('1-DATA'!AG259)),ROUND(INDEX('1-DATA'!$1:$1048576,IF(OR($B261="STD. DEVIATION",$C$1=1),$A261,$A261+1),COLUMN('1-DATA'!AG259)),IF($B261="STD. DEVIATION",2,$F$1))))</f>
        <v/>
      </c>
      <c r="AI261" s="1" t="str">
        <f>IF(OR($B261="",AI$7=""),"",IF($B261="MEANS",INDEX('1-DATA'!$1:$1048576,$A260-1,COLUMN('1-DATA'!AH259)),ROUND(INDEX('1-DATA'!$1:$1048576,IF(OR($B261="STD. DEVIATION",$C$1=1),$A261,$A261+1),COLUMN('1-DATA'!AH259)),IF($B261="STD. DEVIATION",2,$F$1))))</f>
        <v/>
      </c>
      <c r="AJ261" s="1" t="str">
        <f>IF(OR($B261="",AJ$7=""),"",IF($B261="MEANS",INDEX('1-DATA'!$1:$1048576,$A260-1,COLUMN('1-DATA'!AI259)),ROUND(INDEX('1-DATA'!$1:$1048576,IF(OR($B261="STD. DEVIATION",$C$1=1),$A261,$A261+1),COLUMN('1-DATA'!AI259)),IF($B261="STD. DEVIATION",2,$F$1))))</f>
        <v/>
      </c>
      <c r="AK261" s="1" t="str">
        <f>IF(OR($B261="",AK$7=""),"",IF($B261="MEANS",INDEX('1-DATA'!$1:$1048576,$A260-1,COLUMN('1-DATA'!AJ259)),ROUND(INDEX('1-DATA'!$1:$1048576,IF(OR($B261="STD. DEVIATION",$C$1=1),$A261,$A261+1),COLUMN('1-DATA'!AJ259)),IF($B261="STD. DEVIATION",2,$F$1))))</f>
        <v/>
      </c>
      <c r="AL261" s="1" t="str">
        <f>IF(OR($B261="",AL$7=""),"",IF($B261="MEANS",INDEX('1-DATA'!$1:$1048576,$A260-1,COLUMN('1-DATA'!AK259)),ROUND(INDEX('1-DATA'!$1:$1048576,IF(OR($B261="STD. DEVIATION",$C$1=1),$A261,$A261+1),COLUMN('1-DATA'!AK259)),IF($B261="STD. DEVIATION",2,$F$1))))</f>
        <v/>
      </c>
      <c r="AM261" s="1" t="str">
        <f>IF(OR($B261="",AM$7=""),"",IF($B261="MEANS",INDEX('1-DATA'!$1:$1048576,$A260-1,COLUMN('1-DATA'!AL259)),ROUND(INDEX('1-DATA'!$1:$1048576,IF(OR($B261="STD. DEVIATION",$C$1=1),$A261,$A261+1),COLUMN('1-DATA'!AL259)),IF($B261="STD. DEVIATION",2,$F$1))))</f>
        <v/>
      </c>
      <c r="AN261" s="1" t="str">
        <f>IF(OR($B261="",AN$7=""),"",IF($B261="MEANS",INDEX('1-DATA'!$1:$1048576,$A260-1,COLUMN('1-DATA'!AM259)),ROUND(INDEX('1-DATA'!$1:$1048576,IF(OR($B261="STD. DEVIATION",$C$1=1),$A261,$A261+1),COLUMN('1-DATA'!AM259)),IF($B261="STD. DEVIATION",2,$F$1))))</f>
        <v/>
      </c>
      <c r="AO261" s="1" t="str">
        <f>IF(OR($B261="",AO$7=""),"",IF($B261="MEANS",INDEX('1-DATA'!$1:$1048576,$A260-1,COLUMN('1-DATA'!AN259)),ROUND(INDEX('1-DATA'!$1:$1048576,IF(OR($B261="STD. DEVIATION",$C$1=1),$A261,$A261+1),COLUMN('1-DATA'!AN259)),IF($B261="STD. DEVIATION",2,$F$1))))</f>
        <v/>
      </c>
      <c r="AP261" s="1" t="str">
        <f>IF(OR($B261="",AP$7=""),"",IF($B261="MEANS",INDEX('1-DATA'!$1:$1048576,$A260-1,COLUMN('1-DATA'!AO259)),ROUND(INDEX('1-DATA'!$1:$1048576,IF(OR($B261="STD. DEVIATION",$C$1=1),$A261,$A261+1),COLUMN('1-DATA'!AO259)),IF($B261="STD. DEVIATION",2,$F$1))))</f>
        <v/>
      </c>
      <c r="AQ261" s="1" t="str">
        <f>IF(OR($B261="",AQ$7=""),"",IF($B261="MEANS",INDEX('1-DATA'!$1:$1048576,$A260-1,COLUMN('1-DATA'!AP259)),ROUND(INDEX('1-DATA'!$1:$1048576,IF(OR($B261="STD. DEVIATION",$C$1=1),$A261,$A261+1),COLUMN('1-DATA'!AP259)),IF($B261="STD. DEVIATION",2,$F$1))))</f>
        <v/>
      </c>
      <c r="AR261" s="1" t="str">
        <f>IF(OR($B261="",AR$7=""),"",IF($B261="MEANS",INDEX('1-DATA'!$1:$1048576,$A260-1,COLUMN('1-DATA'!AQ259)),ROUND(INDEX('1-DATA'!$1:$1048576,IF(OR($B261="STD. DEVIATION",$C$1=1),$A261,$A261+1),COLUMN('1-DATA'!AQ259)),IF($B261="STD. DEVIATION",2,$F$1))))</f>
        <v/>
      </c>
      <c r="AS261" s="1" t="str">
        <f>IF(OR($B261="",AS$7=""),"",IF($B261="MEANS",INDEX('1-DATA'!$1:$1048576,$A260-1,COLUMN('1-DATA'!AR259)),ROUND(INDEX('1-DATA'!$1:$1048576,IF(OR($B261="STD. DEVIATION",$C$1=1),$A261,$A261+1),COLUMN('1-DATA'!AR259)),IF($B261="STD. DEVIATION",2,$F$1))))</f>
        <v/>
      </c>
      <c r="AT261" s="1" t="str">
        <f>IF(OR($B261="",AT$7=""),"",IF($B261="MEANS",INDEX('1-DATA'!$1:$1048576,$A260-1,COLUMN('1-DATA'!AS259)),ROUND(INDEX('1-DATA'!$1:$1048576,IF(OR($B261="STD. DEVIATION",$C$1=1),$A261,$A261+1),COLUMN('1-DATA'!AS259)),IF($B261="STD. DEVIATION",2,$F$1))))</f>
        <v/>
      </c>
      <c r="AU261" s="1" t="str">
        <f>IF(OR($B261="",AU$7=""),"",IF($B261="MEANS",INDEX('1-DATA'!$1:$1048576,$A260-1,COLUMN('1-DATA'!AT259)),ROUND(INDEX('1-DATA'!$1:$1048576,IF(OR($B261="STD. DEVIATION",$C$1=1),$A261,$A261+1),COLUMN('1-DATA'!AT259)),IF($B261="STD. DEVIATION",2,$F$1))))</f>
        <v/>
      </c>
      <c r="AV261" s="1" t="str">
        <f>IF(OR($B261="",AV$7=""),"",IF($B261="MEANS",INDEX('1-DATA'!$1:$1048576,$A260-1,COLUMN('1-DATA'!AU259)),ROUND(INDEX('1-DATA'!$1:$1048576,IF(OR($B261="STD. DEVIATION",$C$1=1),$A261,$A261+1),COLUMN('1-DATA'!AU259)),IF($B261="STD. DEVIATION",2,$F$1))))</f>
        <v/>
      </c>
      <c r="AW261" s="1" t="str">
        <f>IF(OR($B261="",AW$7=""),"",IF($B261="MEANS",INDEX('1-DATA'!$1:$1048576,$A260-1,COLUMN('1-DATA'!AV259)),ROUND(INDEX('1-DATA'!$1:$1048576,IF(OR($B261="STD. DEVIATION",$C$1=1),$A261,$A261+1),COLUMN('1-DATA'!AV259)),IF($B261="STD. DEVIATION",2,$F$1))))</f>
        <v/>
      </c>
      <c r="AX261" s="1" t="str">
        <f>IF(OR($B261="",AX$7=""),"",IF($B261="MEANS",INDEX('1-DATA'!$1:$1048576,$A260-1,COLUMN('1-DATA'!AW259)),ROUND(INDEX('1-DATA'!$1:$1048576,IF(OR($B261="STD. DEVIATION",$C$1=1),$A261,$A261+1),COLUMN('1-DATA'!AW259)),IF($B261="STD. DEVIATION",2,$F$1))))</f>
        <v/>
      </c>
      <c r="AY261" s="1" t="str">
        <f>IF(OR($B261="",AY$7=""),"",IF($B261="MEANS",INDEX('1-DATA'!$1:$1048576,$A260-1,COLUMN('1-DATA'!AX259)),ROUND(INDEX('1-DATA'!$1:$1048576,IF(OR($B261="STD. DEVIATION",$C$1=1),$A261,$A261+1),COLUMN('1-DATA'!AX259)),IF($B261="STD. DEVIATION",2,$F$1))))</f>
        <v/>
      </c>
      <c r="AZ261" s="1" t="str">
        <f>IF(OR($B261="",AZ$7=""),"",IF($B261="MEANS",INDEX('1-DATA'!$1:$1048576,$A260-1,COLUMN('1-DATA'!AY259)),ROUND(INDEX('1-DATA'!$1:$1048576,IF(OR($B261="STD. DEVIATION",$C$1=1),$A261,$A261+1),COLUMN('1-DATA'!AY259)),IF($B261="STD. DEVIATION",2,$F$1))))</f>
        <v/>
      </c>
    </row>
    <row r="262" spans="1:52" x14ac:dyDescent="0.25">
      <c r="A262" s="11">
        <f t="shared" si="4"/>
        <v>772</v>
      </c>
      <c r="B262" s="1" t="str">
        <f>IF(B261="STD. DEVIATION",INDEX('1-DATA'!$1:$1048576,$A261-1,1),IF(INDEX('1-DATA'!$1:$1048576,$A262,1)&lt;&gt;"",INDEX('1-DATA'!$1:$1048576,$A262,1),""))</f>
        <v/>
      </c>
      <c r="C262" s="1" t="str">
        <f>IF(OR($B262="",C$7=""),"",IF($B262="MEANS",INDEX('1-DATA'!$1:$1048576,$A261-1,COLUMN('1-DATA'!B260)),ROUND(INDEX('1-DATA'!$1:$1048576,IF(OR($B262="STD. DEVIATION",$C$1=1),$A262,$A262+1),COLUMN('1-DATA'!B260)),IF($B262="STD. DEVIATION",2,$F$1))))</f>
        <v/>
      </c>
      <c r="D262" s="1" t="str">
        <f>IF(OR($B262="",D$7=""),"",IF($B262="MEANS",INDEX('1-DATA'!$1:$1048576,$A261-1,COLUMN('1-DATA'!C260)),ROUND(INDEX('1-DATA'!$1:$1048576,IF(OR($B262="STD. DEVIATION",$C$1=1),$A262,$A262+1),COLUMN('1-DATA'!C260)),IF($B262="STD. DEVIATION",2,$F$1))))</f>
        <v/>
      </c>
      <c r="E262" s="1" t="str">
        <f>IF(OR($B262="",E$7=""),"",IF($B262="MEANS",INDEX('1-DATA'!$1:$1048576,$A261-1,COLUMN('1-DATA'!D260)),ROUND(INDEX('1-DATA'!$1:$1048576,IF(OR($B262="STD. DEVIATION",$C$1=1),$A262,$A262+1),COLUMN('1-DATA'!D260)),IF($B262="STD. DEVIATION",2,$F$1))))</f>
        <v/>
      </c>
      <c r="F262" s="1" t="str">
        <f>IF(OR($B262="",F$7=""),"",IF($B262="MEANS",INDEX('1-DATA'!$1:$1048576,$A261-1,COLUMN('1-DATA'!E260)),ROUND(INDEX('1-DATA'!$1:$1048576,IF(OR($B262="STD. DEVIATION",$C$1=1),$A262,$A262+1),COLUMN('1-DATA'!E260)),IF($B262="STD. DEVIATION",2,$F$1))))</f>
        <v/>
      </c>
      <c r="G262" s="1" t="str">
        <f>IF(OR($B262="",G$7=""),"",IF($B262="MEANS",INDEX('1-DATA'!$1:$1048576,$A261-1,COLUMN('1-DATA'!F260)),ROUND(INDEX('1-DATA'!$1:$1048576,IF(OR($B262="STD. DEVIATION",$C$1=1),$A262,$A262+1),COLUMN('1-DATA'!F260)),IF($B262="STD. DEVIATION",2,$F$1))))</f>
        <v/>
      </c>
      <c r="H262" s="1" t="str">
        <f>IF(OR($B262="",H$7=""),"",IF($B262="MEANS",INDEX('1-DATA'!$1:$1048576,$A261-1,COLUMN('1-DATA'!G260)),ROUND(INDEX('1-DATA'!$1:$1048576,IF(OR($B262="STD. DEVIATION",$C$1=1),$A262,$A262+1),COLUMN('1-DATA'!G260)),IF($B262="STD. DEVIATION",2,$F$1))))</f>
        <v/>
      </c>
      <c r="I262" s="1" t="str">
        <f>IF(OR($B262="",I$7=""),"",IF($B262="MEANS",INDEX('1-DATA'!$1:$1048576,$A261-1,COLUMN('1-DATA'!H260)),ROUND(INDEX('1-DATA'!$1:$1048576,IF(OR($B262="STD. DEVIATION",$C$1=1),$A262,$A262+1),COLUMN('1-DATA'!H260)),IF($B262="STD. DEVIATION",2,$F$1))))</f>
        <v/>
      </c>
      <c r="J262" s="1" t="str">
        <f>IF(OR($B262="",J$7=""),"",IF($B262="MEANS",INDEX('1-DATA'!$1:$1048576,$A261-1,COLUMN('1-DATA'!I260)),ROUND(INDEX('1-DATA'!$1:$1048576,IF(OR($B262="STD. DEVIATION",$C$1=1),$A262,$A262+1),COLUMN('1-DATA'!I260)),IF($B262="STD. DEVIATION",2,$F$1))))</f>
        <v/>
      </c>
      <c r="K262" s="1" t="str">
        <f>IF(OR($B262="",K$7=""),"",IF($B262="MEANS",INDEX('1-DATA'!$1:$1048576,$A261-1,COLUMN('1-DATA'!J260)),ROUND(INDEX('1-DATA'!$1:$1048576,IF(OR($B262="STD. DEVIATION",$C$1=1),$A262,$A262+1),COLUMN('1-DATA'!J260)),IF($B262="STD. DEVIATION",2,$F$1))))</f>
        <v/>
      </c>
      <c r="L262" s="1" t="str">
        <f>IF(OR($B262="",L$7=""),"",IF($B262="MEANS",INDEX('1-DATA'!$1:$1048576,$A261-1,COLUMN('1-DATA'!K260)),ROUND(INDEX('1-DATA'!$1:$1048576,IF(OR($B262="STD. DEVIATION",$C$1=1),$A262,$A262+1),COLUMN('1-DATA'!K260)),IF($B262="STD. DEVIATION",2,$F$1))))</f>
        <v/>
      </c>
      <c r="M262" s="1" t="str">
        <f>IF(OR($B262="",M$7=""),"",IF($B262="MEANS",INDEX('1-DATA'!$1:$1048576,$A261-1,COLUMN('1-DATA'!L260)),ROUND(INDEX('1-DATA'!$1:$1048576,IF(OR($B262="STD. DEVIATION",$C$1=1),$A262,$A262+1),COLUMN('1-DATA'!L260)),IF($B262="STD. DEVIATION",2,$F$1))))</f>
        <v/>
      </c>
      <c r="N262" s="1" t="str">
        <f>IF(OR($B262="",N$7=""),"",IF($B262="MEANS",INDEX('1-DATA'!$1:$1048576,$A261-1,COLUMN('1-DATA'!M260)),ROUND(INDEX('1-DATA'!$1:$1048576,IF(OR($B262="STD. DEVIATION",$C$1=1),$A262,$A262+1),COLUMN('1-DATA'!M260)),IF($B262="STD. DEVIATION",2,$F$1))))</f>
        <v/>
      </c>
      <c r="O262" s="1" t="str">
        <f>IF(OR($B262="",O$7=""),"",IF($B262="MEANS",INDEX('1-DATA'!$1:$1048576,$A261-1,COLUMN('1-DATA'!N260)),ROUND(INDEX('1-DATA'!$1:$1048576,IF(OR($B262="STD. DEVIATION",$C$1=1),$A262,$A262+1),COLUMN('1-DATA'!N260)),IF($B262="STD. DEVIATION",2,$F$1))))</f>
        <v/>
      </c>
      <c r="P262" s="1" t="str">
        <f>IF(OR($B262="",P$7=""),"",IF($B262="MEANS",INDEX('1-DATA'!$1:$1048576,$A261-1,COLUMN('1-DATA'!O260)),ROUND(INDEX('1-DATA'!$1:$1048576,IF(OR($B262="STD. DEVIATION",$C$1=1),$A262,$A262+1),COLUMN('1-DATA'!O260)),IF($B262="STD. DEVIATION",2,$F$1))))</f>
        <v/>
      </c>
      <c r="Q262" s="1" t="str">
        <f>IF(OR($B262="",Q$7=""),"",IF($B262="MEANS",INDEX('1-DATA'!$1:$1048576,$A261-1,COLUMN('1-DATA'!P260)),ROUND(INDEX('1-DATA'!$1:$1048576,IF(OR($B262="STD. DEVIATION",$C$1=1),$A262,$A262+1),COLUMN('1-DATA'!P260)),IF($B262="STD. DEVIATION",2,$F$1))))</f>
        <v/>
      </c>
      <c r="R262" s="1" t="str">
        <f>IF(OR($B262="",R$7=""),"",IF($B262="MEANS",INDEX('1-DATA'!$1:$1048576,$A261-1,COLUMN('1-DATA'!Q260)),ROUND(INDEX('1-DATA'!$1:$1048576,IF(OR($B262="STD. DEVIATION",$C$1=1),$A262,$A262+1),COLUMN('1-DATA'!Q260)),IF($B262="STD. DEVIATION",2,$F$1))))</f>
        <v/>
      </c>
      <c r="S262" s="1" t="str">
        <f>IF(OR($B262="",S$7=""),"",IF($B262="MEANS",INDEX('1-DATA'!$1:$1048576,$A261-1,COLUMN('1-DATA'!R260)),ROUND(INDEX('1-DATA'!$1:$1048576,IF(OR($B262="STD. DEVIATION",$C$1=1),$A262,$A262+1),COLUMN('1-DATA'!R260)),IF($B262="STD. DEVIATION",2,$F$1))))</f>
        <v/>
      </c>
      <c r="T262" s="1" t="str">
        <f>IF(OR($B262="",T$7=""),"",IF($B262="MEANS",INDEX('1-DATA'!$1:$1048576,$A261-1,COLUMN('1-DATA'!S260)),ROUND(INDEX('1-DATA'!$1:$1048576,IF(OR($B262="STD. DEVIATION",$C$1=1),$A262,$A262+1),COLUMN('1-DATA'!S260)),IF($B262="STD. DEVIATION",2,$F$1))))</f>
        <v/>
      </c>
      <c r="U262" s="1" t="str">
        <f>IF(OR($B262="",U$7=""),"",IF($B262="MEANS",INDEX('1-DATA'!$1:$1048576,$A261-1,COLUMN('1-DATA'!T260)),ROUND(INDEX('1-DATA'!$1:$1048576,IF(OR($B262="STD. DEVIATION",$C$1=1),$A262,$A262+1),COLUMN('1-DATA'!T260)),IF($B262="STD. DEVIATION",2,$F$1))))</f>
        <v/>
      </c>
      <c r="V262" s="1" t="str">
        <f>IF(OR($B262="",V$7=""),"",IF($B262="MEANS",INDEX('1-DATA'!$1:$1048576,$A261-1,COLUMN('1-DATA'!U260)),ROUND(INDEX('1-DATA'!$1:$1048576,IF(OR($B262="STD. DEVIATION",$C$1=1),$A262,$A262+1),COLUMN('1-DATA'!U260)),IF($B262="STD. DEVIATION",2,$F$1))))</f>
        <v/>
      </c>
      <c r="W262" s="1" t="str">
        <f>IF(OR($B262="",W$7=""),"",IF($B262="MEANS",INDEX('1-DATA'!$1:$1048576,$A261-1,COLUMN('1-DATA'!V260)),ROUND(INDEX('1-DATA'!$1:$1048576,IF(OR($B262="STD. DEVIATION",$C$1=1),$A262,$A262+1),COLUMN('1-DATA'!V260)),IF($B262="STD. DEVIATION",2,$F$1))))</f>
        <v/>
      </c>
      <c r="X262" s="1" t="str">
        <f>IF(OR($B262="",X$7=""),"",IF($B262="MEANS",INDEX('1-DATA'!$1:$1048576,$A261-1,COLUMN('1-DATA'!W260)),ROUND(INDEX('1-DATA'!$1:$1048576,IF(OR($B262="STD. DEVIATION",$C$1=1),$A262,$A262+1),COLUMN('1-DATA'!W260)),IF($B262="STD. DEVIATION",2,$F$1))))</f>
        <v/>
      </c>
      <c r="Y262" s="1" t="str">
        <f>IF(OR($B262="",Y$7=""),"",IF($B262="MEANS",INDEX('1-DATA'!$1:$1048576,$A261-1,COLUMN('1-DATA'!X260)),ROUND(INDEX('1-DATA'!$1:$1048576,IF(OR($B262="STD. DEVIATION",$C$1=1),$A262,$A262+1),COLUMN('1-DATA'!X260)),IF($B262="STD. DEVIATION",2,$F$1))))</f>
        <v/>
      </c>
      <c r="Z262" s="1" t="str">
        <f>IF(OR($B262="",Z$7=""),"",IF($B262="MEANS",INDEX('1-DATA'!$1:$1048576,$A261-1,COLUMN('1-DATA'!Y260)),ROUND(INDEX('1-DATA'!$1:$1048576,IF(OR($B262="STD. DEVIATION",$C$1=1),$A262,$A262+1),COLUMN('1-DATA'!Y260)),IF($B262="STD. DEVIATION",2,$F$1))))</f>
        <v/>
      </c>
      <c r="AA262" s="1" t="str">
        <f>IF(OR($B262="",AA$7=""),"",IF($B262="MEANS",INDEX('1-DATA'!$1:$1048576,$A261-1,COLUMN('1-DATA'!Z260)),ROUND(INDEX('1-DATA'!$1:$1048576,IF(OR($B262="STD. DEVIATION",$C$1=1),$A262,$A262+1),COLUMN('1-DATA'!Z260)),IF($B262="STD. DEVIATION",2,$F$1))))</f>
        <v/>
      </c>
      <c r="AB262" s="1" t="str">
        <f>IF(OR($B262="",AB$7=""),"",IF($B262="MEANS",INDEX('1-DATA'!$1:$1048576,$A261-1,COLUMN('1-DATA'!AA260)),ROUND(INDEX('1-DATA'!$1:$1048576,IF(OR($B262="STD. DEVIATION",$C$1=1),$A262,$A262+1),COLUMN('1-DATA'!AA260)),IF($B262="STD. DEVIATION",2,$F$1))))</f>
        <v/>
      </c>
      <c r="AC262" s="1" t="str">
        <f>IF(OR($B262="",AC$7=""),"",IF($B262="MEANS",INDEX('1-DATA'!$1:$1048576,$A261-1,COLUMN('1-DATA'!AB260)),ROUND(INDEX('1-DATA'!$1:$1048576,IF(OR($B262="STD. DEVIATION",$C$1=1),$A262,$A262+1),COLUMN('1-DATA'!AB260)),IF($B262="STD. DEVIATION",2,$F$1))))</f>
        <v/>
      </c>
      <c r="AD262" s="1" t="str">
        <f>IF(OR($B262="",AD$7=""),"",IF($B262="MEANS",INDEX('1-DATA'!$1:$1048576,$A261-1,COLUMN('1-DATA'!AC260)),ROUND(INDEX('1-DATA'!$1:$1048576,IF(OR($B262="STD. DEVIATION",$C$1=1),$A262,$A262+1),COLUMN('1-DATA'!AC260)),IF($B262="STD. DEVIATION",2,$F$1))))</f>
        <v/>
      </c>
      <c r="AE262" s="1" t="str">
        <f>IF(OR($B262="",AE$7=""),"",IF($B262="MEANS",INDEX('1-DATA'!$1:$1048576,$A261-1,COLUMN('1-DATA'!AD260)),ROUND(INDEX('1-DATA'!$1:$1048576,IF(OR($B262="STD. DEVIATION",$C$1=1),$A262,$A262+1),COLUMN('1-DATA'!AD260)),IF($B262="STD. DEVIATION",2,$F$1))))</f>
        <v/>
      </c>
      <c r="AF262" s="1" t="str">
        <f>IF(OR($B262="",AF$7=""),"",IF($B262="MEANS",INDEX('1-DATA'!$1:$1048576,$A261-1,COLUMN('1-DATA'!AE260)),ROUND(INDEX('1-DATA'!$1:$1048576,IF(OR($B262="STD. DEVIATION",$C$1=1),$A262,$A262+1),COLUMN('1-DATA'!AE260)),IF($B262="STD. DEVIATION",2,$F$1))))</f>
        <v/>
      </c>
      <c r="AG262" s="1" t="str">
        <f>IF(OR($B262="",AG$7=""),"",IF($B262="MEANS",INDEX('1-DATA'!$1:$1048576,$A261-1,COLUMN('1-DATA'!AF260)),ROUND(INDEX('1-DATA'!$1:$1048576,IF(OR($B262="STD. DEVIATION",$C$1=1),$A262,$A262+1),COLUMN('1-DATA'!AF260)),IF($B262="STD. DEVIATION",2,$F$1))))</f>
        <v/>
      </c>
      <c r="AH262" s="1" t="str">
        <f>IF(OR($B262="",AH$7=""),"",IF($B262="MEANS",INDEX('1-DATA'!$1:$1048576,$A261-1,COLUMN('1-DATA'!AG260)),ROUND(INDEX('1-DATA'!$1:$1048576,IF(OR($B262="STD. DEVIATION",$C$1=1),$A262,$A262+1),COLUMN('1-DATA'!AG260)),IF($B262="STD. DEVIATION",2,$F$1))))</f>
        <v/>
      </c>
      <c r="AI262" s="1" t="str">
        <f>IF(OR($B262="",AI$7=""),"",IF($B262="MEANS",INDEX('1-DATA'!$1:$1048576,$A261-1,COLUMN('1-DATA'!AH260)),ROUND(INDEX('1-DATA'!$1:$1048576,IF(OR($B262="STD. DEVIATION",$C$1=1),$A262,$A262+1),COLUMN('1-DATA'!AH260)),IF($B262="STD. DEVIATION",2,$F$1))))</f>
        <v/>
      </c>
      <c r="AJ262" s="1" t="str">
        <f>IF(OR($B262="",AJ$7=""),"",IF($B262="MEANS",INDEX('1-DATA'!$1:$1048576,$A261-1,COLUMN('1-DATA'!AI260)),ROUND(INDEX('1-DATA'!$1:$1048576,IF(OR($B262="STD. DEVIATION",$C$1=1),$A262,$A262+1),COLUMN('1-DATA'!AI260)),IF($B262="STD. DEVIATION",2,$F$1))))</f>
        <v/>
      </c>
      <c r="AK262" s="1" t="str">
        <f>IF(OR($B262="",AK$7=""),"",IF($B262="MEANS",INDEX('1-DATA'!$1:$1048576,$A261-1,COLUMN('1-DATA'!AJ260)),ROUND(INDEX('1-DATA'!$1:$1048576,IF(OR($B262="STD. DEVIATION",$C$1=1),$A262,$A262+1),COLUMN('1-DATA'!AJ260)),IF($B262="STD. DEVIATION",2,$F$1))))</f>
        <v/>
      </c>
      <c r="AL262" s="1" t="str">
        <f>IF(OR($B262="",AL$7=""),"",IF($B262="MEANS",INDEX('1-DATA'!$1:$1048576,$A261-1,COLUMN('1-DATA'!AK260)),ROUND(INDEX('1-DATA'!$1:$1048576,IF(OR($B262="STD. DEVIATION",$C$1=1),$A262,$A262+1),COLUMN('1-DATA'!AK260)),IF($B262="STD. DEVIATION",2,$F$1))))</f>
        <v/>
      </c>
      <c r="AM262" s="1" t="str">
        <f>IF(OR($B262="",AM$7=""),"",IF($B262="MEANS",INDEX('1-DATA'!$1:$1048576,$A261-1,COLUMN('1-DATA'!AL260)),ROUND(INDEX('1-DATA'!$1:$1048576,IF(OR($B262="STD. DEVIATION",$C$1=1),$A262,$A262+1),COLUMN('1-DATA'!AL260)),IF($B262="STD. DEVIATION",2,$F$1))))</f>
        <v/>
      </c>
      <c r="AN262" s="1" t="str">
        <f>IF(OR($B262="",AN$7=""),"",IF($B262="MEANS",INDEX('1-DATA'!$1:$1048576,$A261-1,COLUMN('1-DATA'!AM260)),ROUND(INDEX('1-DATA'!$1:$1048576,IF(OR($B262="STD. DEVIATION",$C$1=1),$A262,$A262+1),COLUMN('1-DATA'!AM260)),IF($B262="STD. DEVIATION",2,$F$1))))</f>
        <v/>
      </c>
      <c r="AO262" s="1" t="str">
        <f>IF(OR($B262="",AO$7=""),"",IF($B262="MEANS",INDEX('1-DATA'!$1:$1048576,$A261-1,COLUMN('1-DATA'!AN260)),ROUND(INDEX('1-DATA'!$1:$1048576,IF(OR($B262="STD. DEVIATION",$C$1=1),$A262,$A262+1),COLUMN('1-DATA'!AN260)),IF($B262="STD. DEVIATION",2,$F$1))))</f>
        <v/>
      </c>
      <c r="AP262" s="1" t="str">
        <f>IF(OR($B262="",AP$7=""),"",IF($B262="MEANS",INDEX('1-DATA'!$1:$1048576,$A261-1,COLUMN('1-DATA'!AO260)),ROUND(INDEX('1-DATA'!$1:$1048576,IF(OR($B262="STD. DEVIATION",$C$1=1),$A262,$A262+1),COLUMN('1-DATA'!AO260)),IF($B262="STD. DEVIATION",2,$F$1))))</f>
        <v/>
      </c>
      <c r="AQ262" s="1" t="str">
        <f>IF(OR($B262="",AQ$7=""),"",IF($B262="MEANS",INDEX('1-DATA'!$1:$1048576,$A261-1,COLUMN('1-DATA'!AP260)),ROUND(INDEX('1-DATA'!$1:$1048576,IF(OR($B262="STD. DEVIATION",$C$1=1),$A262,$A262+1),COLUMN('1-DATA'!AP260)),IF($B262="STD. DEVIATION",2,$F$1))))</f>
        <v/>
      </c>
      <c r="AR262" s="1" t="str">
        <f>IF(OR($B262="",AR$7=""),"",IF($B262="MEANS",INDEX('1-DATA'!$1:$1048576,$A261-1,COLUMN('1-DATA'!AQ260)),ROUND(INDEX('1-DATA'!$1:$1048576,IF(OR($B262="STD. DEVIATION",$C$1=1),$A262,$A262+1),COLUMN('1-DATA'!AQ260)),IF($B262="STD. DEVIATION",2,$F$1))))</f>
        <v/>
      </c>
      <c r="AS262" s="1" t="str">
        <f>IF(OR($B262="",AS$7=""),"",IF($B262="MEANS",INDEX('1-DATA'!$1:$1048576,$A261-1,COLUMN('1-DATA'!AR260)),ROUND(INDEX('1-DATA'!$1:$1048576,IF(OR($B262="STD. DEVIATION",$C$1=1),$A262,$A262+1),COLUMN('1-DATA'!AR260)),IF($B262="STD. DEVIATION",2,$F$1))))</f>
        <v/>
      </c>
      <c r="AT262" s="1" t="str">
        <f>IF(OR($B262="",AT$7=""),"",IF($B262="MEANS",INDEX('1-DATA'!$1:$1048576,$A261-1,COLUMN('1-DATA'!AS260)),ROUND(INDEX('1-DATA'!$1:$1048576,IF(OR($B262="STD. DEVIATION",$C$1=1),$A262,$A262+1),COLUMN('1-DATA'!AS260)),IF($B262="STD. DEVIATION",2,$F$1))))</f>
        <v/>
      </c>
      <c r="AU262" s="1" t="str">
        <f>IF(OR($B262="",AU$7=""),"",IF($B262="MEANS",INDEX('1-DATA'!$1:$1048576,$A261-1,COLUMN('1-DATA'!AT260)),ROUND(INDEX('1-DATA'!$1:$1048576,IF(OR($B262="STD. DEVIATION",$C$1=1),$A262,$A262+1),COLUMN('1-DATA'!AT260)),IF($B262="STD. DEVIATION",2,$F$1))))</f>
        <v/>
      </c>
      <c r="AV262" s="1" t="str">
        <f>IF(OR($B262="",AV$7=""),"",IF($B262="MEANS",INDEX('1-DATA'!$1:$1048576,$A261-1,COLUMN('1-DATA'!AU260)),ROUND(INDEX('1-DATA'!$1:$1048576,IF(OR($B262="STD. DEVIATION",$C$1=1),$A262,$A262+1),COLUMN('1-DATA'!AU260)),IF($B262="STD. DEVIATION",2,$F$1))))</f>
        <v/>
      </c>
      <c r="AW262" s="1" t="str">
        <f>IF(OR($B262="",AW$7=""),"",IF($B262="MEANS",INDEX('1-DATA'!$1:$1048576,$A261-1,COLUMN('1-DATA'!AV260)),ROUND(INDEX('1-DATA'!$1:$1048576,IF(OR($B262="STD. DEVIATION",$C$1=1),$A262,$A262+1),COLUMN('1-DATA'!AV260)),IF($B262="STD. DEVIATION",2,$F$1))))</f>
        <v/>
      </c>
      <c r="AX262" s="1" t="str">
        <f>IF(OR($B262="",AX$7=""),"",IF($B262="MEANS",INDEX('1-DATA'!$1:$1048576,$A261-1,COLUMN('1-DATA'!AW260)),ROUND(INDEX('1-DATA'!$1:$1048576,IF(OR($B262="STD. DEVIATION",$C$1=1),$A262,$A262+1),COLUMN('1-DATA'!AW260)),IF($B262="STD. DEVIATION",2,$F$1))))</f>
        <v/>
      </c>
      <c r="AY262" s="1" t="str">
        <f>IF(OR($B262="",AY$7=""),"",IF($B262="MEANS",INDEX('1-DATA'!$1:$1048576,$A261-1,COLUMN('1-DATA'!AX260)),ROUND(INDEX('1-DATA'!$1:$1048576,IF(OR($B262="STD. DEVIATION",$C$1=1),$A262,$A262+1),COLUMN('1-DATA'!AX260)),IF($B262="STD. DEVIATION",2,$F$1))))</f>
        <v/>
      </c>
      <c r="AZ262" s="1" t="str">
        <f>IF(OR($B262="",AZ$7=""),"",IF($B262="MEANS",INDEX('1-DATA'!$1:$1048576,$A261-1,COLUMN('1-DATA'!AY260)),ROUND(INDEX('1-DATA'!$1:$1048576,IF(OR($B262="STD. DEVIATION",$C$1=1),$A262,$A262+1),COLUMN('1-DATA'!AY260)),IF($B262="STD. DEVIATION",2,$F$1))))</f>
        <v/>
      </c>
    </row>
    <row r="263" spans="1:52" x14ac:dyDescent="0.25">
      <c r="A263" s="11">
        <f t="shared" si="4"/>
        <v>775</v>
      </c>
      <c r="B263" s="1" t="str">
        <f>IF(B262="STD. DEVIATION",INDEX('1-DATA'!$1:$1048576,$A262-1,1),IF(INDEX('1-DATA'!$1:$1048576,$A263,1)&lt;&gt;"",INDEX('1-DATA'!$1:$1048576,$A263,1),""))</f>
        <v/>
      </c>
      <c r="C263" s="1" t="str">
        <f>IF(OR($B263="",C$7=""),"",IF($B263="MEANS",INDEX('1-DATA'!$1:$1048576,$A262-1,COLUMN('1-DATA'!B261)),ROUND(INDEX('1-DATA'!$1:$1048576,IF(OR($B263="STD. DEVIATION",$C$1=1),$A263,$A263+1),COLUMN('1-DATA'!B261)),IF($B263="STD. DEVIATION",2,$F$1))))</f>
        <v/>
      </c>
      <c r="D263" s="1" t="str">
        <f>IF(OR($B263="",D$7=""),"",IF($B263="MEANS",INDEX('1-DATA'!$1:$1048576,$A262-1,COLUMN('1-DATA'!C261)),ROUND(INDEX('1-DATA'!$1:$1048576,IF(OR($B263="STD. DEVIATION",$C$1=1),$A263,$A263+1),COLUMN('1-DATA'!C261)),IF($B263="STD. DEVIATION",2,$F$1))))</f>
        <v/>
      </c>
      <c r="E263" s="1" t="str">
        <f>IF(OR($B263="",E$7=""),"",IF($B263="MEANS",INDEX('1-DATA'!$1:$1048576,$A262-1,COLUMN('1-DATA'!D261)),ROUND(INDEX('1-DATA'!$1:$1048576,IF(OR($B263="STD. DEVIATION",$C$1=1),$A263,$A263+1),COLUMN('1-DATA'!D261)),IF($B263="STD. DEVIATION",2,$F$1))))</f>
        <v/>
      </c>
      <c r="F263" s="1" t="str">
        <f>IF(OR($B263="",F$7=""),"",IF($B263="MEANS",INDEX('1-DATA'!$1:$1048576,$A262-1,COLUMN('1-DATA'!E261)),ROUND(INDEX('1-DATA'!$1:$1048576,IF(OR($B263="STD. DEVIATION",$C$1=1),$A263,$A263+1),COLUMN('1-DATA'!E261)),IF($B263="STD. DEVIATION",2,$F$1))))</f>
        <v/>
      </c>
      <c r="G263" s="1" t="str">
        <f>IF(OR($B263="",G$7=""),"",IF($B263="MEANS",INDEX('1-DATA'!$1:$1048576,$A262-1,COLUMN('1-DATA'!F261)),ROUND(INDEX('1-DATA'!$1:$1048576,IF(OR($B263="STD. DEVIATION",$C$1=1),$A263,$A263+1),COLUMN('1-DATA'!F261)),IF($B263="STD. DEVIATION",2,$F$1))))</f>
        <v/>
      </c>
      <c r="H263" s="1" t="str">
        <f>IF(OR($B263="",H$7=""),"",IF($B263="MEANS",INDEX('1-DATA'!$1:$1048576,$A262-1,COLUMN('1-DATA'!G261)),ROUND(INDEX('1-DATA'!$1:$1048576,IF(OR($B263="STD. DEVIATION",$C$1=1),$A263,$A263+1),COLUMN('1-DATA'!G261)),IF($B263="STD. DEVIATION",2,$F$1))))</f>
        <v/>
      </c>
      <c r="I263" s="1" t="str">
        <f>IF(OR($B263="",I$7=""),"",IF($B263="MEANS",INDEX('1-DATA'!$1:$1048576,$A262-1,COLUMN('1-DATA'!H261)),ROUND(INDEX('1-DATA'!$1:$1048576,IF(OR($B263="STD. DEVIATION",$C$1=1),$A263,$A263+1),COLUMN('1-DATA'!H261)),IF($B263="STD. DEVIATION",2,$F$1))))</f>
        <v/>
      </c>
      <c r="J263" s="1" t="str">
        <f>IF(OR($B263="",J$7=""),"",IF($B263="MEANS",INDEX('1-DATA'!$1:$1048576,$A262-1,COLUMN('1-DATA'!I261)),ROUND(INDEX('1-DATA'!$1:$1048576,IF(OR($B263="STD. DEVIATION",$C$1=1),$A263,$A263+1),COLUMN('1-DATA'!I261)),IF($B263="STD. DEVIATION",2,$F$1))))</f>
        <v/>
      </c>
      <c r="K263" s="1" t="str">
        <f>IF(OR($B263="",K$7=""),"",IF($B263="MEANS",INDEX('1-DATA'!$1:$1048576,$A262-1,COLUMN('1-DATA'!J261)),ROUND(INDEX('1-DATA'!$1:$1048576,IF(OR($B263="STD. DEVIATION",$C$1=1),$A263,$A263+1),COLUMN('1-DATA'!J261)),IF($B263="STD. DEVIATION",2,$F$1))))</f>
        <v/>
      </c>
      <c r="L263" s="1" t="str">
        <f>IF(OR($B263="",L$7=""),"",IF($B263="MEANS",INDEX('1-DATA'!$1:$1048576,$A262-1,COLUMN('1-DATA'!K261)),ROUND(INDEX('1-DATA'!$1:$1048576,IF(OR($B263="STD. DEVIATION",$C$1=1),$A263,$A263+1),COLUMN('1-DATA'!K261)),IF($B263="STD. DEVIATION",2,$F$1))))</f>
        <v/>
      </c>
      <c r="M263" s="1" t="str">
        <f>IF(OR($B263="",M$7=""),"",IF($B263="MEANS",INDEX('1-DATA'!$1:$1048576,$A262-1,COLUMN('1-DATA'!L261)),ROUND(INDEX('1-DATA'!$1:$1048576,IF(OR($B263="STD. DEVIATION",$C$1=1),$A263,$A263+1),COLUMN('1-DATA'!L261)),IF($B263="STD. DEVIATION",2,$F$1))))</f>
        <v/>
      </c>
      <c r="N263" s="1" t="str">
        <f>IF(OR($B263="",N$7=""),"",IF($B263="MEANS",INDEX('1-DATA'!$1:$1048576,$A262-1,COLUMN('1-DATA'!M261)),ROUND(INDEX('1-DATA'!$1:$1048576,IF(OR($B263="STD. DEVIATION",$C$1=1),$A263,$A263+1),COLUMN('1-DATA'!M261)),IF($B263="STD. DEVIATION",2,$F$1))))</f>
        <v/>
      </c>
      <c r="O263" s="1" t="str">
        <f>IF(OR($B263="",O$7=""),"",IF($B263="MEANS",INDEX('1-DATA'!$1:$1048576,$A262-1,COLUMN('1-DATA'!N261)),ROUND(INDEX('1-DATA'!$1:$1048576,IF(OR($B263="STD. DEVIATION",$C$1=1),$A263,$A263+1),COLUMN('1-DATA'!N261)),IF($B263="STD. DEVIATION",2,$F$1))))</f>
        <v/>
      </c>
      <c r="P263" s="1" t="str">
        <f>IF(OR($B263="",P$7=""),"",IF($B263="MEANS",INDEX('1-DATA'!$1:$1048576,$A262-1,COLUMN('1-DATA'!O261)),ROUND(INDEX('1-DATA'!$1:$1048576,IF(OR($B263="STD. DEVIATION",$C$1=1),$A263,$A263+1),COLUMN('1-DATA'!O261)),IF($B263="STD. DEVIATION",2,$F$1))))</f>
        <v/>
      </c>
      <c r="Q263" s="1" t="str">
        <f>IF(OR($B263="",Q$7=""),"",IF($B263="MEANS",INDEX('1-DATA'!$1:$1048576,$A262-1,COLUMN('1-DATA'!P261)),ROUND(INDEX('1-DATA'!$1:$1048576,IF(OR($B263="STD. DEVIATION",$C$1=1),$A263,$A263+1),COLUMN('1-DATA'!P261)),IF($B263="STD. DEVIATION",2,$F$1))))</f>
        <v/>
      </c>
      <c r="R263" s="1" t="str">
        <f>IF(OR($B263="",R$7=""),"",IF($B263="MEANS",INDEX('1-DATA'!$1:$1048576,$A262-1,COLUMN('1-DATA'!Q261)),ROUND(INDEX('1-DATA'!$1:$1048576,IF(OR($B263="STD. DEVIATION",$C$1=1),$A263,$A263+1),COLUMN('1-DATA'!Q261)),IF($B263="STD. DEVIATION",2,$F$1))))</f>
        <v/>
      </c>
      <c r="S263" s="1" t="str">
        <f>IF(OR($B263="",S$7=""),"",IF($B263="MEANS",INDEX('1-DATA'!$1:$1048576,$A262-1,COLUMN('1-DATA'!R261)),ROUND(INDEX('1-DATA'!$1:$1048576,IF(OR($B263="STD. DEVIATION",$C$1=1),$A263,$A263+1),COLUMN('1-DATA'!R261)),IF($B263="STD. DEVIATION",2,$F$1))))</f>
        <v/>
      </c>
      <c r="T263" s="1" t="str">
        <f>IF(OR($B263="",T$7=""),"",IF($B263="MEANS",INDEX('1-DATA'!$1:$1048576,$A262-1,COLUMN('1-DATA'!S261)),ROUND(INDEX('1-DATA'!$1:$1048576,IF(OR($B263="STD. DEVIATION",$C$1=1),$A263,$A263+1),COLUMN('1-DATA'!S261)),IF($B263="STD. DEVIATION",2,$F$1))))</f>
        <v/>
      </c>
      <c r="U263" s="1" t="str">
        <f>IF(OR($B263="",U$7=""),"",IF($B263="MEANS",INDEX('1-DATA'!$1:$1048576,$A262-1,COLUMN('1-DATA'!T261)),ROUND(INDEX('1-DATA'!$1:$1048576,IF(OR($B263="STD. DEVIATION",$C$1=1),$A263,$A263+1),COLUMN('1-DATA'!T261)),IF($B263="STD. DEVIATION",2,$F$1))))</f>
        <v/>
      </c>
      <c r="V263" s="1" t="str">
        <f>IF(OR($B263="",V$7=""),"",IF($B263="MEANS",INDEX('1-DATA'!$1:$1048576,$A262-1,COLUMN('1-DATA'!U261)),ROUND(INDEX('1-DATA'!$1:$1048576,IF(OR($B263="STD. DEVIATION",$C$1=1),$A263,$A263+1),COLUMN('1-DATA'!U261)),IF($B263="STD. DEVIATION",2,$F$1))))</f>
        <v/>
      </c>
      <c r="W263" s="1" t="str">
        <f>IF(OR($B263="",W$7=""),"",IF($B263="MEANS",INDEX('1-DATA'!$1:$1048576,$A262-1,COLUMN('1-DATA'!V261)),ROUND(INDEX('1-DATA'!$1:$1048576,IF(OR($B263="STD. DEVIATION",$C$1=1),$A263,$A263+1),COLUMN('1-DATA'!V261)),IF($B263="STD. DEVIATION",2,$F$1))))</f>
        <v/>
      </c>
      <c r="X263" s="1" t="str">
        <f>IF(OR($B263="",X$7=""),"",IF($B263="MEANS",INDEX('1-DATA'!$1:$1048576,$A262-1,COLUMN('1-DATA'!W261)),ROUND(INDEX('1-DATA'!$1:$1048576,IF(OR($B263="STD. DEVIATION",$C$1=1),$A263,$A263+1),COLUMN('1-DATA'!W261)),IF($B263="STD. DEVIATION",2,$F$1))))</f>
        <v/>
      </c>
      <c r="Y263" s="1" t="str">
        <f>IF(OR($B263="",Y$7=""),"",IF($B263="MEANS",INDEX('1-DATA'!$1:$1048576,$A262-1,COLUMN('1-DATA'!X261)),ROUND(INDEX('1-DATA'!$1:$1048576,IF(OR($B263="STD. DEVIATION",$C$1=1),$A263,$A263+1),COLUMN('1-DATA'!X261)),IF($B263="STD. DEVIATION",2,$F$1))))</f>
        <v/>
      </c>
      <c r="Z263" s="1" t="str">
        <f>IF(OR($B263="",Z$7=""),"",IF($B263="MEANS",INDEX('1-DATA'!$1:$1048576,$A262-1,COLUMN('1-DATA'!Y261)),ROUND(INDEX('1-DATA'!$1:$1048576,IF(OR($B263="STD. DEVIATION",$C$1=1),$A263,$A263+1),COLUMN('1-DATA'!Y261)),IF($B263="STD. DEVIATION",2,$F$1))))</f>
        <v/>
      </c>
      <c r="AA263" s="1" t="str">
        <f>IF(OR($B263="",AA$7=""),"",IF($B263="MEANS",INDEX('1-DATA'!$1:$1048576,$A262-1,COLUMN('1-DATA'!Z261)),ROUND(INDEX('1-DATA'!$1:$1048576,IF(OR($B263="STD. DEVIATION",$C$1=1),$A263,$A263+1),COLUMN('1-DATA'!Z261)),IF($B263="STD. DEVIATION",2,$F$1))))</f>
        <v/>
      </c>
      <c r="AB263" s="1" t="str">
        <f>IF(OR($B263="",AB$7=""),"",IF($B263="MEANS",INDEX('1-DATA'!$1:$1048576,$A262-1,COLUMN('1-DATA'!AA261)),ROUND(INDEX('1-DATA'!$1:$1048576,IF(OR($B263="STD. DEVIATION",$C$1=1),$A263,$A263+1),COLUMN('1-DATA'!AA261)),IF($B263="STD. DEVIATION",2,$F$1))))</f>
        <v/>
      </c>
      <c r="AC263" s="1" t="str">
        <f>IF(OR($B263="",AC$7=""),"",IF($B263="MEANS",INDEX('1-DATA'!$1:$1048576,$A262-1,COLUMN('1-DATA'!AB261)),ROUND(INDEX('1-DATA'!$1:$1048576,IF(OR($B263="STD. DEVIATION",$C$1=1),$A263,$A263+1),COLUMN('1-DATA'!AB261)),IF($B263="STD. DEVIATION",2,$F$1))))</f>
        <v/>
      </c>
      <c r="AD263" s="1" t="str">
        <f>IF(OR($B263="",AD$7=""),"",IF($B263="MEANS",INDEX('1-DATA'!$1:$1048576,$A262-1,COLUMN('1-DATA'!AC261)),ROUND(INDEX('1-DATA'!$1:$1048576,IF(OR($B263="STD. DEVIATION",$C$1=1),$A263,$A263+1),COLUMN('1-DATA'!AC261)),IF($B263="STD. DEVIATION",2,$F$1))))</f>
        <v/>
      </c>
      <c r="AE263" s="1" t="str">
        <f>IF(OR($B263="",AE$7=""),"",IF($B263="MEANS",INDEX('1-DATA'!$1:$1048576,$A262-1,COLUMN('1-DATA'!AD261)),ROUND(INDEX('1-DATA'!$1:$1048576,IF(OR($B263="STD. DEVIATION",$C$1=1),$A263,$A263+1),COLUMN('1-DATA'!AD261)),IF($B263="STD. DEVIATION",2,$F$1))))</f>
        <v/>
      </c>
      <c r="AF263" s="1" t="str">
        <f>IF(OR($B263="",AF$7=""),"",IF($B263="MEANS",INDEX('1-DATA'!$1:$1048576,$A262-1,COLUMN('1-DATA'!AE261)),ROUND(INDEX('1-DATA'!$1:$1048576,IF(OR($B263="STD. DEVIATION",$C$1=1),$A263,$A263+1),COLUMN('1-DATA'!AE261)),IF($B263="STD. DEVIATION",2,$F$1))))</f>
        <v/>
      </c>
      <c r="AG263" s="1" t="str">
        <f>IF(OR($B263="",AG$7=""),"",IF($B263="MEANS",INDEX('1-DATA'!$1:$1048576,$A262-1,COLUMN('1-DATA'!AF261)),ROUND(INDEX('1-DATA'!$1:$1048576,IF(OR($B263="STD. DEVIATION",$C$1=1),$A263,$A263+1),COLUMN('1-DATA'!AF261)),IF($B263="STD. DEVIATION",2,$F$1))))</f>
        <v/>
      </c>
      <c r="AH263" s="1" t="str">
        <f>IF(OR($B263="",AH$7=""),"",IF($B263="MEANS",INDEX('1-DATA'!$1:$1048576,$A262-1,COLUMN('1-DATA'!AG261)),ROUND(INDEX('1-DATA'!$1:$1048576,IF(OR($B263="STD. DEVIATION",$C$1=1),$A263,$A263+1),COLUMN('1-DATA'!AG261)),IF($B263="STD. DEVIATION",2,$F$1))))</f>
        <v/>
      </c>
      <c r="AI263" s="1" t="str">
        <f>IF(OR($B263="",AI$7=""),"",IF($B263="MEANS",INDEX('1-DATA'!$1:$1048576,$A262-1,COLUMN('1-DATA'!AH261)),ROUND(INDEX('1-DATA'!$1:$1048576,IF(OR($B263="STD. DEVIATION",$C$1=1),$A263,$A263+1),COLUMN('1-DATA'!AH261)),IF($B263="STD. DEVIATION",2,$F$1))))</f>
        <v/>
      </c>
      <c r="AJ263" s="1" t="str">
        <f>IF(OR($B263="",AJ$7=""),"",IF($B263="MEANS",INDEX('1-DATA'!$1:$1048576,$A262-1,COLUMN('1-DATA'!AI261)),ROUND(INDEX('1-DATA'!$1:$1048576,IF(OR($B263="STD. DEVIATION",$C$1=1),$A263,$A263+1),COLUMN('1-DATA'!AI261)),IF($B263="STD. DEVIATION",2,$F$1))))</f>
        <v/>
      </c>
      <c r="AK263" s="1" t="str">
        <f>IF(OR($B263="",AK$7=""),"",IF($B263="MEANS",INDEX('1-DATA'!$1:$1048576,$A262-1,COLUMN('1-DATA'!AJ261)),ROUND(INDEX('1-DATA'!$1:$1048576,IF(OR($B263="STD. DEVIATION",$C$1=1),$A263,$A263+1),COLUMN('1-DATA'!AJ261)),IF($B263="STD. DEVIATION",2,$F$1))))</f>
        <v/>
      </c>
      <c r="AL263" s="1" t="str">
        <f>IF(OR($B263="",AL$7=""),"",IF($B263="MEANS",INDEX('1-DATA'!$1:$1048576,$A262-1,COLUMN('1-DATA'!AK261)),ROUND(INDEX('1-DATA'!$1:$1048576,IF(OR($B263="STD. DEVIATION",$C$1=1),$A263,$A263+1),COLUMN('1-DATA'!AK261)),IF($B263="STD. DEVIATION",2,$F$1))))</f>
        <v/>
      </c>
      <c r="AM263" s="1" t="str">
        <f>IF(OR($B263="",AM$7=""),"",IF($B263="MEANS",INDEX('1-DATA'!$1:$1048576,$A262-1,COLUMN('1-DATA'!AL261)),ROUND(INDEX('1-DATA'!$1:$1048576,IF(OR($B263="STD. DEVIATION",$C$1=1),$A263,$A263+1),COLUMN('1-DATA'!AL261)),IF($B263="STD. DEVIATION",2,$F$1))))</f>
        <v/>
      </c>
      <c r="AN263" s="1" t="str">
        <f>IF(OR($B263="",AN$7=""),"",IF($B263="MEANS",INDEX('1-DATA'!$1:$1048576,$A262-1,COLUMN('1-DATA'!AM261)),ROUND(INDEX('1-DATA'!$1:$1048576,IF(OR($B263="STD. DEVIATION",$C$1=1),$A263,$A263+1),COLUMN('1-DATA'!AM261)),IF($B263="STD. DEVIATION",2,$F$1))))</f>
        <v/>
      </c>
      <c r="AO263" s="1" t="str">
        <f>IF(OR($B263="",AO$7=""),"",IF($B263="MEANS",INDEX('1-DATA'!$1:$1048576,$A262-1,COLUMN('1-DATA'!AN261)),ROUND(INDEX('1-DATA'!$1:$1048576,IF(OR($B263="STD. DEVIATION",$C$1=1),$A263,$A263+1),COLUMN('1-DATA'!AN261)),IF($B263="STD. DEVIATION",2,$F$1))))</f>
        <v/>
      </c>
      <c r="AP263" s="1" t="str">
        <f>IF(OR($B263="",AP$7=""),"",IF($B263="MEANS",INDEX('1-DATA'!$1:$1048576,$A262-1,COLUMN('1-DATA'!AO261)),ROUND(INDEX('1-DATA'!$1:$1048576,IF(OR($B263="STD. DEVIATION",$C$1=1),$A263,$A263+1),COLUMN('1-DATA'!AO261)),IF($B263="STD. DEVIATION",2,$F$1))))</f>
        <v/>
      </c>
      <c r="AQ263" s="1" t="str">
        <f>IF(OR($B263="",AQ$7=""),"",IF($B263="MEANS",INDEX('1-DATA'!$1:$1048576,$A262-1,COLUMN('1-DATA'!AP261)),ROUND(INDEX('1-DATA'!$1:$1048576,IF(OR($B263="STD. DEVIATION",$C$1=1),$A263,$A263+1),COLUMN('1-DATA'!AP261)),IF($B263="STD. DEVIATION",2,$F$1))))</f>
        <v/>
      </c>
      <c r="AR263" s="1" t="str">
        <f>IF(OR($B263="",AR$7=""),"",IF($B263="MEANS",INDEX('1-DATA'!$1:$1048576,$A262-1,COLUMN('1-DATA'!AQ261)),ROUND(INDEX('1-DATA'!$1:$1048576,IF(OR($B263="STD. DEVIATION",$C$1=1),$A263,$A263+1),COLUMN('1-DATA'!AQ261)),IF($B263="STD. DEVIATION",2,$F$1))))</f>
        <v/>
      </c>
      <c r="AS263" s="1" t="str">
        <f>IF(OR($B263="",AS$7=""),"",IF($B263="MEANS",INDEX('1-DATA'!$1:$1048576,$A262-1,COLUMN('1-DATA'!AR261)),ROUND(INDEX('1-DATA'!$1:$1048576,IF(OR($B263="STD. DEVIATION",$C$1=1),$A263,$A263+1),COLUMN('1-DATA'!AR261)),IF($B263="STD. DEVIATION",2,$F$1))))</f>
        <v/>
      </c>
      <c r="AT263" s="1" t="str">
        <f>IF(OR($B263="",AT$7=""),"",IF($B263="MEANS",INDEX('1-DATA'!$1:$1048576,$A262-1,COLUMN('1-DATA'!AS261)),ROUND(INDEX('1-DATA'!$1:$1048576,IF(OR($B263="STD. DEVIATION",$C$1=1),$A263,$A263+1),COLUMN('1-DATA'!AS261)),IF($B263="STD. DEVIATION",2,$F$1))))</f>
        <v/>
      </c>
      <c r="AU263" s="1" t="str">
        <f>IF(OR($B263="",AU$7=""),"",IF($B263="MEANS",INDEX('1-DATA'!$1:$1048576,$A262-1,COLUMN('1-DATA'!AT261)),ROUND(INDEX('1-DATA'!$1:$1048576,IF(OR($B263="STD. DEVIATION",$C$1=1),$A263,$A263+1),COLUMN('1-DATA'!AT261)),IF($B263="STD. DEVIATION",2,$F$1))))</f>
        <v/>
      </c>
      <c r="AV263" s="1" t="str">
        <f>IF(OR($B263="",AV$7=""),"",IF($B263="MEANS",INDEX('1-DATA'!$1:$1048576,$A262-1,COLUMN('1-DATA'!AU261)),ROUND(INDEX('1-DATA'!$1:$1048576,IF(OR($B263="STD. DEVIATION",$C$1=1),$A263,$A263+1),COLUMN('1-DATA'!AU261)),IF($B263="STD. DEVIATION",2,$F$1))))</f>
        <v/>
      </c>
      <c r="AW263" s="1" t="str">
        <f>IF(OR($B263="",AW$7=""),"",IF($B263="MEANS",INDEX('1-DATA'!$1:$1048576,$A262-1,COLUMN('1-DATA'!AV261)),ROUND(INDEX('1-DATA'!$1:$1048576,IF(OR($B263="STD. DEVIATION",$C$1=1),$A263,$A263+1),COLUMN('1-DATA'!AV261)),IF($B263="STD. DEVIATION",2,$F$1))))</f>
        <v/>
      </c>
      <c r="AX263" s="1" t="str">
        <f>IF(OR($B263="",AX$7=""),"",IF($B263="MEANS",INDEX('1-DATA'!$1:$1048576,$A262-1,COLUMN('1-DATA'!AW261)),ROUND(INDEX('1-DATA'!$1:$1048576,IF(OR($B263="STD. DEVIATION",$C$1=1),$A263,$A263+1),COLUMN('1-DATA'!AW261)),IF($B263="STD. DEVIATION",2,$F$1))))</f>
        <v/>
      </c>
      <c r="AY263" s="1" t="str">
        <f>IF(OR($B263="",AY$7=""),"",IF($B263="MEANS",INDEX('1-DATA'!$1:$1048576,$A262-1,COLUMN('1-DATA'!AX261)),ROUND(INDEX('1-DATA'!$1:$1048576,IF(OR($B263="STD. DEVIATION",$C$1=1),$A263,$A263+1),COLUMN('1-DATA'!AX261)),IF($B263="STD. DEVIATION",2,$F$1))))</f>
        <v/>
      </c>
      <c r="AZ263" s="1" t="str">
        <f>IF(OR($B263="",AZ$7=""),"",IF($B263="MEANS",INDEX('1-DATA'!$1:$1048576,$A262-1,COLUMN('1-DATA'!AY261)),ROUND(INDEX('1-DATA'!$1:$1048576,IF(OR($B263="STD. DEVIATION",$C$1=1),$A263,$A263+1),COLUMN('1-DATA'!AY261)),IF($B263="STD. DEVIATION",2,$F$1))))</f>
        <v/>
      </c>
    </row>
    <row r="264" spans="1:52" x14ac:dyDescent="0.25">
      <c r="A264" s="11">
        <f t="shared" si="4"/>
        <v>778</v>
      </c>
      <c r="B264" s="1" t="str">
        <f>IF(B263="STD. DEVIATION",INDEX('1-DATA'!$1:$1048576,$A263-1,1),IF(INDEX('1-DATA'!$1:$1048576,$A264,1)&lt;&gt;"",INDEX('1-DATA'!$1:$1048576,$A264,1),""))</f>
        <v/>
      </c>
      <c r="C264" s="1" t="str">
        <f>IF(OR($B264="",C$7=""),"",IF($B264="MEANS",INDEX('1-DATA'!$1:$1048576,$A263-1,COLUMN('1-DATA'!B262)),ROUND(INDEX('1-DATA'!$1:$1048576,IF(OR($B264="STD. DEVIATION",$C$1=1),$A264,$A264+1),COLUMN('1-DATA'!B262)),IF($B264="STD. DEVIATION",2,$F$1))))</f>
        <v/>
      </c>
      <c r="D264" s="1" t="str">
        <f>IF(OR($B264="",D$7=""),"",IF($B264="MEANS",INDEX('1-DATA'!$1:$1048576,$A263-1,COLUMN('1-DATA'!C262)),ROUND(INDEX('1-DATA'!$1:$1048576,IF(OR($B264="STD. DEVIATION",$C$1=1),$A264,$A264+1),COLUMN('1-DATA'!C262)),IF($B264="STD. DEVIATION",2,$F$1))))</f>
        <v/>
      </c>
      <c r="E264" s="1" t="str">
        <f>IF(OR($B264="",E$7=""),"",IF($B264="MEANS",INDEX('1-DATA'!$1:$1048576,$A263-1,COLUMN('1-DATA'!D262)),ROUND(INDEX('1-DATA'!$1:$1048576,IF(OR($B264="STD. DEVIATION",$C$1=1),$A264,$A264+1),COLUMN('1-DATA'!D262)),IF($B264="STD. DEVIATION",2,$F$1))))</f>
        <v/>
      </c>
      <c r="F264" s="1" t="str">
        <f>IF(OR($B264="",F$7=""),"",IF($B264="MEANS",INDEX('1-DATA'!$1:$1048576,$A263-1,COLUMN('1-DATA'!E262)),ROUND(INDEX('1-DATA'!$1:$1048576,IF(OR($B264="STD. DEVIATION",$C$1=1),$A264,$A264+1),COLUMN('1-DATA'!E262)),IF($B264="STD. DEVIATION",2,$F$1))))</f>
        <v/>
      </c>
      <c r="G264" s="1" t="str">
        <f>IF(OR($B264="",G$7=""),"",IF($B264="MEANS",INDEX('1-DATA'!$1:$1048576,$A263-1,COLUMN('1-DATA'!F262)),ROUND(INDEX('1-DATA'!$1:$1048576,IF(OR($B264="STD. DEVIATION",$C$1=1),$A264,$A264+1),COLUMN('1-DATA'!F262)),IF($B264="STD. DEVIATION",2,$F$1))))</f>
        <v/>
      </c>
      <c r="H264" s="1" t="str">
        <f>IF(OR($B264="",H$7=""),"",IF($B264="MEANS",INDEX('1-DATA'!$1:$1048576,$A263-1,COLUMN('1-DATA'!G262)),ROUND(INDEX('1-DATA'!$1:$1048576,IF(OR($B264="STD. DEVIATION",$C$1=1),$A264,$A264+1),COLUMN('1-DATA'!G262)),IF($B264="STD. DEVIATION",2,$F$1))))</f>
        <v/>
      </c>
      <c r="I264" s="1" t="str">
        <f>IF(OR($B264="",I$7=""),"",IF($B264="MEANS",INDEX('1-DATA'!$1:$1048576,$A263-1,COLUMN('1-DATA'!H262)),ROUND(INDEX('1-DATA'!$1:$1048576,IF(OR($B264="STD. DEVIATION",$C$1=1),$A264,$A264+1),COLUMN('1-DATA'!H262)),IF($B264="STD. DEVIATION",2,$F$1))))</f>
        <v/>
      </c>
      <c r="J264" s="1" t="str">
        <f>IF(OR($B264="",J$7=""),"",IF($B264="MEANS",INDEX('1-DATA'!$1:$1048576,$A263-1,COLUMN('1-DATA'!I262)),ROUND(INDEX('1-DATA'!$1:$1048576,IF(OR($B264="STD. DEVIATION",$C$1=1),$A264,$A264+1),COLUMN('1-DATA'!I262)),IF($B264="STD. DEVIATION",2,$F$1))))</f>
        <v/>
      </c>
      <c r="K264" s="1" t="str">
        <f>IF(OR($B264="",K$7=""),"",IF($B264="MEANS",INDEX('1-DATA'!$1:$1048576,$A263-1,COLUMN('1-DATA'!J262)),ROUND(INDEX('1-DATA'!$1:$1048576,IF(OR($B264="STD. DEVIATION",$C$1=1),$A264,$A264+1),COLUMN('1-DATA'!J262)),IF($B264="STD. DEVIATION",2,$F$1))))</f>
        <v/>
      </c>
      <c r="L264" s="1" t="str">
        <f>IF(OR($B264="",L$7=""),"",IF($B264="MEANS",INDEX('1-DATA'!$1:$1048576,$A263-1,COLUMN('1-DATA'!K262)),ROUND(INDEX('1-DATA'!$1:$1048576,IF(OR($B264="STD. DEVIATION",$C$1=1),$A264,$A264+1),COLUMN('1-DATA'!K262)),IF($B264="STD. DEVIATION",2,$F$1))))</f>
        <v/>
      </c>
      <c r="M264" s="1" t="str">
        <f>IF(OR($B264="",M$7=""),"",IF($B264="MEANS",INDEX('1-DATA'!$1:$1048576,$A263-1,COLUMN('1-DATA'!L262)),ROUND(INDEX('1-DATA'!$1:$1048576,IF(OR($B264="STD. DEVIATION",$C$1=1),$A264,$A264+1),COLUMN('1-DATA'!L262)),IF($B264="STD. DEVIATION",2,$F$1))))</f>
        <v/>
      </c>
      <c r="N264" s="1" t="str">
        <f>IF(OR($B264="",N$7=""),"",IF($B264="MEANS",INDEX('1-DATA'!$1:$1048576,$A263-1,COLUMN('1-DATA'!M262)),ROUND(INDEX('1-DATA'!$1:$1048576,IF(OR($B264="STD. DEVIATION",$C$1=1),$A264,$A264+1),COLUMN('1-DATA'!M262)),IF($B264="STD. DEVIATION",2,$F$1))))</f>
        <v/>
      </c>
      <c r="O264" s="1" t="str">
        <f>IF(OR($B264="",O$7=""),"",IF($B264="MEANS",INDEX('1-DATA'!$1:$1048576,$A263-1,COLUMN('1-DATA'!N262)),ROUND(INDEX('1-DATA'!$1:$1048576,IF(OR($B264="STD. DEVIATION",$C$1=1),$A264,$A264+1),COLUMN('1-DATA'!N262)),IF($B264="STD. DEVIATION",2,$F$1))))</f>
        <v/>
      </c>
      <c r="P264" s="1" t="str">
        <f>IF(OR($B264="",P$7=""),"",IF($B264="MEANS",INDEX('1-DATA'!$1:$1048576,$A263-1,COLUMN('1-DATA'!O262)),ROUND(INDEX('1-DATA'!$1:$1048576,IF(OR($B264="STD. DEVIATION",$C$1=1),$A264,$A264+1),COLUMN('1-DATA'!O262)),IF($B264="STD. DEVIATION",2,$F$1))))</f>
        <v/>
      </c>
      <c r="Q264" s="1" t="str">
        <f>IF(OR($B264="",Q$7=""),"",IF($B264="MEANS",INDEX('1-DATA'!$1:$1048576,$A263-1,COLUMN('1-DATA'!P262)),ROUND(INDEX('1-DATA'!$1:$1048576,IF(OR($B264="STD. DEVIATION",$C$1=1),$A264,$A264+1),COLUMN('1-DATA'!P262)),IF($B264="STD. DEVIATION",2,$F$1))))</f>
        <v/>
      </c>
      <c r="R264" s="1" t="str">
        <f>IF(OR($B264="",R$7=""),"",IF($B264="MEANS",INDEX('1-DATA'!$1:$1048576,$A263-1,COLUMN('1-DATA'!Q262)),ROUND(INDEX('1-DATA'!$1:$1048576,IF(OR($B264="STD. DEVIATION",$C$1=1),$A264,$A264+1),COLUMN('1-DATA'!Q262)),IF($B264="STD. DEVIATION",2,$F$1))))</f>
        <v/>
      </c>
      <c r="S264" s="1" t="str">
        <f>IF(OR($B264="",S$7=""),"",IF($B264="MEANS",INDEX('1-DATA'!$1:$1048576,$A263-1,COLUMN('1-DATA'!R262)),ROUND(INDEX('1-DATA'!$1:$1048576,IF(OR($B264="STD. DEVIATION",$C$1=1),$A264,$A264+1),COLUMN('1-DATA'!R262)),IF($B264="STD. DEVIATION",2,$F$1))))</f>
        <v/>
      </c>
      <c r="T264" s="1" t="str">
        <f>IF(OR($B264="",T$7=""),"",IF($B264="MEANS",INDEX('1-DATA'!$1:$1048576,$A263-1,COLUMN('1-DATA'!S262)),ROUND(INDEX('1-DATA'!$1:$1048576,IF(OR($B264="STD. DEVIATION",$C$1=1),$A264,$A264+1),COLUMN('1-DATA'!S262)),IF($B264="STD. DEVIATION",2,$F$1))))</f>
        <v/>
      </c>
      <c r="U264" s="1" t="str">
        <f>IF(OR($B264="",U$7=""),"",IF($B264="MEANS",INDEX('1-DATA'!$1:$1048576,$A263-1,COLUMN('1-DATA'!T262)),ROUND(INDEX('1-DATA'!$1:$1048576,IF(OR($B264="STD. DEVIATION",$C$1=1),$A264,$A264+1),COLUMN('1-DATA'!T262)),IF($B264="STD. DEVIATION",2,$F$1))))</f>
        <v/>
      </c>
      <c r="V264" s="1" t="str">
        <f>IF(OR($B264="",V$7=""),"",IF($B264="MEANS",INDEX('1-DATA'!$1:$1048576,$A263-1,COLUMN('1-DATA'!U262)),ROUND(INDEX('1-DATA'!$1:$1048576,IF(OR($B264="STD. DEVIATION",$C$1=1),$A264,$A264+1),COLUMN('1-DATA'!U262)),IF($B264="STD. DEVIATION",2,$F$1))))</f>
        <v/>
      </c>
      <c r="W264" s="1" t="str">
        <f>IF(OR($B264="",W$7=""),"",IF($B264="MEANS",INDEX('1-DATA'!$1:$1048576,$A263-1,COLUMN('1-DATA'!V262)),ROUND(INDEX('1-DATA'!$1:$1048576,IF(OR($B264="STD. DEVIATION",$C$1=1),$A264,$A264+1),COLUMN('1-DATA'!V262)),IF($B264="STD. DEVIATION",2,$F$1))))</f>
        <v/>
      </c>
      <c r="X264" s="1" t="str">
        <f>IF(OR($B264="",X$7=""),"",IF($B264="MEANS",INDEX('1-DATA'!$1:$1048576,$A263-1,COLUMN('1-DATA'!W262)),ROUND(INDEX('1-DATA'!$1:$1048576,IF(OR($B264="STD. DEVIATION",$C$1=1),$A264,$A264+1),COLUMN('1-DATA'!W262)),IF($B264="STD. DEVIATION",2,$F$1))))</f>
        <v/>
      </c>
      <c r="Y264" s="1" t="str">
        <f>IF(OR($B264="",Y$7=""),"",IF($B264="MEANS",INDEX('1-DATA'!$1:$1048576,$A263-1,COLUMN('1-DATA'!X262)),ROUND(INDEX('1-DATA'!$1:$1048576,IF(OR($B264="STD. DEVIATION",$C$1=1),$A264,$A264+1),COLUMN('1-DATA'!X262)),IF($B264="STD. DEVIATION",2,$F$1))))</f>
        <v/>
      </c>
      <c r="Z264" s="1" t="str">
        <f>IF(OR($B264="",Z$7=""),"",IF($B264="MEANS",INDEX('1-DATA'!$1:$1048576,$A263-1,COLUMN('1-DATA'!Y262)),ROUND(INDEX('1-DATA'!$1:$1048576,IF(OR($B264="STD. DEVIATION",$C$1=1),$A264,$A264+1),COLUMN('1-DATA'!Y262)),IF($B264="STD. DEVIATION",2,$F$1))))</f>
        <v/>
      </c>
      <c r="AA264" s="1" t="str">
        <f>IF(OR($B264="",AA$7=""),"",IF($B264="MEANS",INDEX('1-DATA'!$1:$1048576,$A263-1,COLUMN('1-DATA'!Z262)),ROUND(INDEX('1-DATA'!$1:$1048576,IF(OR($B264="STD. DEVIATION",$C$1=1),$A264,$A264+1),COLUMN('1-DATA'!Z262)),IF($B264="STD. DEVIATION",2,$F$1))))</f>
        <v/>
      </c>
      <c r="AB264" s="1" t="str">
        <f>IF(OR($B264="",AB$7=""),"",IF($B264="MEANS",INDEX('1-DATA'!$1:$1048576,$A263-1,COLUMN('1-DATA'!AA262)),ROUND(INDEX('1-DATA'!$1:$1048576,IF(OR($B264="STD. DEVIATION",$C$1=1),$A264,$A264+1),COLUMN('1-DATA'!AA262)),IF($B264="STD. DEVIATION",2,$F$1))))</f>
        <v/>
      </c>
      <c r="AC264" s="1" t="str">
        <f>IF(OR($B264="",AC$7=""),"",IF($B264="MEANS",INDEX('1-DATA'!$1:$1048576,$A263-1,COLUMN('1-DATA'!AB262)),ROUND(INDEX('1-DATA'!$1:$1048576,IF(OR($B264="STD. DEVIATION",$C$1=1),$A264,$A264+1),COLUMN('1-DATA'!AB262)),IF($B264="STD. DEVIATION",2,$F$1))))</f>
        <v/>
      </c>
      <c r="AD264" s="1" t="str">
        <f>IF(OR($B264="",AD$7=""),"",IF($B264="MEANS",INDEX('1-DATA'!$1:$1048576,$A263-1,COLUMN('1-DATA'!AC262)),ROUND(INDEX('1-DATA'!$1:$1048576,IF(OR($B264="STD. DEVIATION",$C$1=1),$A264,$A264+1),COLUMN('1-DATA'!AC262)),IF($B264="STD. DEVIATION",2,$F$1))))</f>
        <v/>
      </c>
      <c r="AE264" s="1" t="str">
        <f>IF(OR($B264="",AE$7=""),"",IF($B264="MEANS",INDEX('1-DATA'!$1:$1048576,$A263-1,COLUMN('1-DATA'!AD262)),ROUND(INDEX('1-DATA'!$1:$1048576,IF(OR($B264="STD. DEVIATION",$C$1=1),$A264,$A264+1),COLUMN('1-DATA'!AD262)),IF($B264="STD. DEVIATION",2,$F$1))))</f>
        <v/>
      </c>
      <c r="AF264" s="1" t="str">
        <f>IF(OR($B264="",AF$7=""),"",IF($B264="MEANS",INDEX('1-DATA'!$1:$1048576,$A263-1,COLUMN('1-DATA'!AE262)),ROUND(INDEX('1-DATA'!$1:$1048576,IF(OR($B264="STD. DEVIATION",$C$1=1),$A264,$A264+1),COLUMN('1-DATA'!AE262)),IF($B264="STD. DEVIATION",2,$F$1))))</f>
        <v/>
      </c>
      <c r="AG264" s="1" t="str">
        <f>IF(OR($B264="",AG$7=""),"",IF($B264="MEANS",INDEX('1-DATA'!$1:$1048576,$A263-1,COLUMN('1-DATA'!AF262)),ROUND(INDEX('1-DATA'!$1:$1048576,IF(OR($B264="STD. DEVIATION",$C$1=1),$A264,$A264+1),COLUMN('1-DATA'!AF262)),IF($B264="STD. DEVIATION",2,$F$1))))</f>
        <v/>
      </c>
      <c r="AH264" s="1" t="str">
        <f>IF(OR($B264="",AH$7=""),"",IF($B264="MEANS",INDEX('1-DATA'!$1:$1048576,$A263-1,COLUMN('1-DATA'!AG262)),ROUND(INDEX('1-DATA'!$1:$1048576,IF(OR($B264="STD. DEVIATION",$C$1=1),$A264,$A264+1),COLUMN('1-DATA'!AG262)),IF($B264="STD. DEVIATION",2,$F$1))))</f>
        <v/>
      </c>
      <c r="AI264" s="1" t="str">
        <f>IF(OR($B264="",AI$7=""),"",IF($B264="MEANS",INDEX('1-DATA'!$1:$1048576,$A263-1,COLUMN('1-DATA'!AH262)),ROUND(INDEX('1-DATA'!$1:$1048576,IF(OR($B264="STD. DEVIATION",$C$1=1),$A264,$A264+1),COLUMN('1-DATA'!AH262)),IF($B264="STD. DEVIATION",2,$F$1))))</f>
        <v/>
      </c>
      <c r="AJ264" s="1" t="str">
        <f>IF(OR($B264="",AJ$7=""),"",IF($B264="MEANS",INDEX('1-DATA'!$1:$1048576,$A263-1,COLUMN('1-DATA'!AI262)),ROUND(INDEX('1-DATA'!$1:$1048576,IF(OR($B264="STD. DEVIATION",$C$1=1),$A264,$A264+1),COLUMN('1-DATA'!AI262)),IF($B264="STD. DEVIATION",2,$F$1))))</f>
        <v/>
      </c>
      <c r="AK264" s="1" t="str">
        <f>IF(OR($B264="",AK$7=""),"",IF($B264="MEANS",INDEX('1-DATA'!$1:$1048576,$A263-1,COLUMN('1-DATA'!AJ262)),ROUND(INDEX('1-DATA'!$1:$1048576,IF(OR($B264="STD. DEVIATION",$C$1=1),$A264,$A264+1),COLUMN('1-DATA'!AJ262)),IF($B264="STD. DEVIATION",2,$F$1))))</f>
        <v/>
      </c>
      <c r="AL264" s="1" t="str">
        <f>IF(OR($B264="",AL$7=""),"",IF($B264="MEANS",INDEX('1-DATA'!$1:$1048576,$A263-1,COLUMN('1-DATA'!AK262)),ROUND(INDEX('1-DATA'!$1:$1048576,IF(OR($B264="STD. DEVIATION",$C$1=1),$A264,$A264+1),COLUMN('1-DATA'!AK262)),IF($B264="STD. DEVIATION",2,$F$1))))</f>
        <v/>
      </c>
      <c r="AM264" s="1" t="str">
        <f>IF(OR($B264="",AM$7=""),"",IF($B264="MEANS",INDEX('1-DATA'!$1:$1048576,$A263-1,COLUMN('1-DATA'!AL262)),ROUND(INDEX('1-DATA'!$1:$1048576,IF(OR($B264="STD. DEVIATION",$C$1=1),$A264,$A264+1),COLUMN('1-DATA'!AL262)),IF($B264="STD. DEVIATION",2,$F$1))))</f>
        <v/>
      </c>
      <c r="AN264" s="1" t="str">
        <f>IF(OR($B264="",AN$7=""),"",IF($B264="MEANS",INDEX('1-DATA'!$1:$1048576,$A263-1,COLUMN('1-DATA'!AM262)),ROUND(INDEX('1-DATA'!$1:$1048576,IF(OR($B264="STD. DEVIATION",$C$1=1),$A264,$A264+1),COLUMN('1-DATA'!AM262)),IF($B264="STD. DEVIATION",2,$F$1))))</f>
        <v/>
      </c>
      <c r="AO264" s="1" t="str">
        <f>IF(OR($B264="",AO$7=""),"",IF($B264="MEANS",INDEX('1-DATA'!$1:$1048576,$A263-1,COLUMN('1-DATA'!AN262)),ROUND(INDEX('1-DATA'!$1:$1048576,IF(OR($B264="STD. DEVIATION",$C$1=1),$A264,$A264+1),COLUMN('1-DATA'!AN262)),IF($B264="STD. DEVIATION",2,$F$1))))</f>
        <v/>
      </c>
      <c r="AP264" s="1" t="str">
        <f>IF(OR($B264="",AP$7=""),"",IF($B264="MEANS",INDEX('1-DATA'!$1:$1048576,$A263-1,COLUMN('1-DATA'!AO262)),ROUND(INDEX('1-DATA'!$1:$1048576,IF(OR($B264="STD. DEVIATION",$C$1=1),$A264,$A264+1),COLUMN('1-DATA'!AO262)),IF($B264="STD. DEVIATION",2,$F$1))))</f>
        <v/>
      </c>
      <c r="AQ264" s="1" t="str">
        <f>IF(OR($B264="",AQ$7=""),"",IF($B264="MEANS",INDEX('1-DATA'!$1:$1048576,$A263-1,COLUMN('1-DATA'!AP262)),ROUND(INDEX('1-DATA'!$1:$1048576,IF(OR($B264="STD. DEVIATION",$C$1=1),$A264,$A264+1),COLUMN('1-DATA'!AP262)),IF($B264="STD. DEVIATION",2,$F$1))))</f>
        <v/>
      </c>
      <c r="AR264" s="1" t="str">
        <f>IF(OR($B264="",AR$7=""),"",IF($B264="MEANS",INDEX('1-DATA'!$1:$1048576,$A263-1,COLUMN('1-DATA'!AQ262)),ROUND(INDEX('1-DATA'!$1:$1048576,IF(OR($B264="STD. DEVIATION",$C$1=1),$A264,$A264+1),COLUMN('1-DATA'!AQ262)),IF($B264="STD. DEVIATION",2,$F$1))))</f>
        <v/>
      </c>
      <c r="AS264" s="1" t="str">
        <f>IF(OR($B264="",AS$7=""),"",IF($B264="MEANS",INDEX('1-DATA'!$1:$1048576,$A263-1,COLUMN('1-DATA'!AR262)),ROUND(INDEX('1-DATA'!$1:$1048576,IF(OR($B264="STD. DEVIATION",$C$1=1),$A264,$A264+1),COLUMN('1-DATA'!AR262)),IF($B264="STD. DEVIATION",2,$F$1))))</f>
        <v/>
      </c>
      <c r="AT264" s="1" t="str">
        <f>IF(OR($B264="",AT$7=""),"",IF($B264="MEANS",INDEX('1-DATA'!$1:$1048576,$A263-1,COLUMN('1-DATA'!AS262)),ROUND(INDEX('1-DATA'!$1:$1048576,IF(OR($B264="STD. DEVIATION",$C$1=1),$A264,$A264+1),COLUMN('1-DATA'!AS262)),IF($B264="STD. DEVIATION",2,$F$1))))</f>
        <v/>
      </c>
      <c r="AU264" s="1" t="str">
        <f>IF(OR($B264="",AU$7=""),"",IF($B264="MEANS",INDEX('1-DATA'!$1:$1048576,$A263-1,COLUMN('1-DATA'!AT262)),ROUND(INDEX('1-DATA'!$1:$1048576,IF(OR($B264="STD. DEVIATION",$C$1=1),$A264,$A264+1),COLUMN('1-DATA'!AT262)),IF($B264="STD. DEVIATION",2,$F$1))))</f>
        <v/>
      </c>
      <c r="AV264" s="1" t="str">
        <f>IF(OR($B264="",AV$7=""),"",IF($B264="MEANS",INDEX('1-DATA'!$1:$1048576,$A263-1,COLUMN('1-DATA'!AU262)),ROUND(INDEX('1-DATA'!$1:$1048576,IF(OR($B264="STD. DEVIATION",$C$1=1),$A264,$A264+1),COLUMN('1-DATA'!AU262)),IF($B264="STD. DEVIATION",2,$F$1))))</f>
        <v/>
      </c>
      <c r="AW264" s="1" t="str">
        <f>IF(OR($B264="",AW$7=""),"",IF($B264="MEANS",INDEX('1-DATA'!$1:$1048576,$A263-1,COLUMN('1-DATA'!AV262)),ROUND(INDEX('1-DATA'!$1:$1048576,IF(OR($B264="STD. DEVIATION",$C$1=1),$A264,$A264+1),COLUMN('1-DATA'!AV262)),IF($B264="STD. DEVIATION",2,$F$1))))</f>
        <v/>
      </c>
      <c r="AX264" s="1" t="str">
        <f>IF(OR($B264="",AX$7=""),"",IF($B264="MEANS",INDEX('1-DATA'!$1:$1048576,$A263-1,COLUMN('1-DATA'!AW262)),ROUND(INDEX('1-DATA'!$1:$1048576,IF(OR($B264="STD. DEVIATION",$C$1=1),$A264,$A264+1),COLUMN('1-DATA'!AW262)),IF($B264="STD. DEVIATION",2,$F$1))))</f>
        <v/>
      </c>
      <c r="AY264" s="1" t="str">
        <f>IF(OR($B264="",AY$7=""),"",IF($B264="MEANS",INDEX('1-DATA'!$1:$1048576,$A263-1,COLUMN('1-DATA'!AX262)),ROUND(INDEX('1-DATA'!$1:$1048576,IF(OR($B264="STD. DEVIATION",$C$1=1),$A264,$A264+1),COLUMN('1-DATA'!AX262)),IF($B264="STD. DEVIATION",2,$F$1))))</f>
        <v/>
      </c>
      <c r="AZ264" s="1" t="str">
        <f>IF(OR($B264="",AZ$7=""),"",IF($B264="MEANS",INDEX('1-DATA'!$1:$1048576,$A263-1,COLUMN('1-DATA'!AY262)),ROUND(INDEX('1-DATA'!$1:$1048576,IF(OR($B264="STD. DEVIATION",$C$1=1),$A264,$A264+1),COLUMN('1-DATA'!AY262)),IF($B264="STD. DEVIATION",2,$F$1))))</f>
        <v/>
      </c>
    </row>
    <row r="265" spans="1:52" x14ac:dyDescent="0.25">
      <c r="A265" s="11">
        <f t="shared" si="4"/>
        <v>781</v>
      </c>
      <c r="B265" s="1" t="str">
        <f>IF(B264="STD. DEVIATION",INDEX('1-DATA'!$1:$1048576,$A264-1,1),IF(INDEX('1-DATA'!$1:$1048576,$A265,1)&lt;&gt;"",INDEX('1-DATA'!$1:$1048576,$A265,1),""))</f>
        <v/>
      </c>
      <c r="C265" s="1" t="str">
        <f>IF(OR($B265="",C$7=""),"",IF($B265="MEANS",INDEX('1-DATA'!$1:$1048576,$A264-1,COLUMN('1-DATA'!B263)),ROUND(INDEX('1-DATA'!$1:$1048576,IF(OR($B265="STD. DEVIATION",$C$1=1),$A265,$A265+1),COLUMN('1-DATA'!B263)),IF($B265="STD. DEVIATION",2,$F$1))))</f>
        <v/>
      </c>
      <c r="D265" s="1" t="str">
        <f>IF(OR($B265="",D$7=""),"",IF($B265="MEANS",INDEX('1-DATA'!$1:$1048576,$A264-1,COLUMN('1-DATA'!C263)),ROUND(INDEX('1-DATA'!$1:$1048576,IF(OR($B265="STD. DEVIATION",$C$1=1),$A265,$A265+1),COLUMN('1-DATA'!C263)),IF($B265="STD. DEVIATION",2,$F$1))))</f>
        <v/>
      </c>
      <c r="E265" s="1" t="str">
        <f>IF(OR($B265="",E$7=""),"",IF($B265="MEANS",INDEX('1-DATA'!$1:$1048576,$A264-1,COLUMN('1-DATA'!D263)),ROUND(INDEX('1-DATA'!$1:$1048576,IF(OR($B265="STD. DEVIATION",$C$1=1),$A265,$A265+1),COLUMN('1-DATA'!D263)),IF($B265="STD. DEVIATION",2,$F$1))))</f>
        <v/>
      </c>
      <c r="F265" s="1" t="str">
        <f>IF(OR($B265="",F$7=""),"",IF($B265="MEANS",INDEX('1-DATA'!$1:$1048576,$A264-1,COLUMN('1-DATA'!E263)),ROUND(INDEX('1-DATA'!$1:$1048576,IF(OR($B265="STD. DEVIATION",$C$1=1),$A265,$A265+1),COLUMN('1-DATA'!E263)),IF($B265="STD. DEVIATION",2,$F$1))))</f>
        <v/>
      </c>
      <c r="G265" s="1" t="str">
        <f>IF(OR($B265="",G$7=""),"",IF($B265="MEANS",INDEX('1-DATA'!$1:$1048576,$A264-1,COLUMN('1-DATA'!F263)),ROUND(INDEX('1-DATA'!$1:$1048576,IF(OR($B265="STD. DEVIATION",$C$1=1),$A265,$A265+1),COLUMN('1-DATA'!F263)),IF($B265="STD. DEVIATION",2,$F$1))))</f>
        <v/>
      </c>
      <c r="H265" s="1" t="str">
        <f>IF(OR($B265="",H$7=""),"",IF($B265="MEANS",INDEX('1-DATA'!$1:$1048576,$A264-1,COLUMN('1-DATA'!G263)),ROUND(INDEX('1-DATA'!$1:$1048576,IF(OR($B265="STD. DEVIATION",$C$1=1),$A265,$A265+1),COLUMN('1-DATA'!G263)),IF($B265="STD. DEVIATION",2,$F$1))))</f>
        <v/>
      </c>
      <c r="I265" s="1" t="str">
        <f>IF(OR($B265="",I$7=""),"",IF($B265="MEANS",INDEX('1-DATA'!$1:$1048576,$A264-1,COLUMN('1-DATA'!H263)),ROUND(INDEX('1-DATA'!$1:$1048576,IF(OR($B265="STD. DEVIATION",$C$1=1),$A265,$A265+1),COLUMN('1-DATA'!H263)),IF($B265="STD. DEVIATION",2,$F$1))))</f>
        <v/>
      </c>
      <c r="J265" s="1" t="str">
        <f>IF(OR($B265="",J$7=""),"",IF($B265="MEANS",INDEX('1-DATA'!$1:$1048576,$A264-1,COLUMN('1-DATA'!I263)),ROUND(INDEX('1-DATA'!$1:$1048576,IF(OR($B265="STD. DEVIATION",$C$1=1),$A265,$A265+1),COLUMN('1-DATA'!I263)),IF($B265="STD. DEVIATION",2,$F$1))))</f>
        <v/>
      </c>
      <c r="K265" s="1" t="str">
        <f>IF(OR($B265="",K$7=""),"",IF($B265="MEANS",INDEX('1-DATA'!$1:$1048576,$A264-1,COLUMN('1-DATA'!J263)),ROUND(INDEX('1-DATA'!$1:$1048576,IF(OR($B265="STD. DEVIATION",$C$1=1),$A265,$A265+1),COLUMN('1-DATA'!J263)),IF($B265="STD. DEVIATION",2,$F$1))))</f>
        <v/>
      </c>
      <c r="L265" s="1" t="str">
        <f>IF(OR($B265="",L$7=""),"",IF($B265="MEANS",INDEX('1-DATA'!$1:$1048576,$A264-1,COLUMN('1-DATA'!K263)),ROUND(INDEX('1-DATA'!$1:$1048576,IF(OR($B265="STD. DEVIATION",$C$1=1),$A265,$A265+1),COLUMN('1-DATA'!K263)),IF($B265="STD. DEVIATION",2,$F$1))))</f>
        <v/>
      </c>
      <c r="M265" s="1" t="str">
        <f>IF(OR($B265="",M$7=""),"",IF($B265="MEANS",INDEX('1-DATA'!$1:$1048576,$A264-1,COLUMN('1-DATA'!L263)),ROUND(INDEX('1-DATA'!$1:$1048576,IF(OR($B265="STD. DEVIATION",$C$1=1),$A265,$A265+1),COLUMN('1-DATA'!L263)),IF($B265="STD. DEVIATION",2,$F$1))))</f>
        <v/>
      </c>
      <c r="N265" s="1" t="str">
        <f>IF(OR($B265="",N$7=""),"",IF($B265="MEANS",INDEX('1-DATA'!$1:$1048576,$A264-1,COLUMN('1-DATA'!M263)),ROUND(INDEX('1-DATA'!$1:$1048576,IF(OR($B265="STD. DEVIATION",$C$1=1),$A265,$A265+1),COLUMN('1-DATA'!M263)),IF($B265="STD. DEVIATION",2,$F$1))))</f>
        <v/>
      </c>
      <c r="O265" s="1" t="str">
        <f>IF(OR($B265="",O$7=""),"",IF($B265="MEANS",INDEX('1-DATA'!$1:$1048576,$A264-1,COLUMN('1-DATA'!N263)),ROUND(INDEX('1-DATA'!$1:$1048576,IF(OR($B265="STD. DEVIATION",$C$1=1),$A265,$A265+1),COLUMN('1-DATA'!N263)),IF($B265="STD. DEVIATION",2,$F$1))))</f>
        <v/>
      </c>
      <c r="P265" s="1" t="str">
        <f>IF(OR($B265="",P$7=""),"",IF($B265="MEANS",INDEX('1-DATA'!$1:$1048576,$A264-1,COLUMN('1-DATA'!O263)),ROUND(INDEX('1-DATA'!$1:$1048576,IF(OR($B265="STD. DEVIATION",$C$1=1),$A265,$A265+1),COLUMN('1-DATA'!O263)),IF($B265="STD. DEVIATION",2,$F$1))))</f>
        <v/>
      </c>
      <c r="Q265" s="1" t="str">
        <f>IF(OR($B265="",Q$7=""),"",IF($B265="MEANS",INDEX('1-DATA'!$1:$1048576,$A264-1,COLUMN('1-DATA'!P263)),ROUND(INDEX('1-DATA'!$1:$1048576,IF(OR($B265="STD. DEVIATION",$C$1=1),$A265,$A265+1),COLUMN('1-DATA'!P263)),IF($B265="STD. DEVIATION",2,$F$1))))</f>
        <v/>
      </c>
      <c r="R265" s="1" t="str">
        <f>IF(OR($B265="",R$7=""),"",IF($B265="MEANS",INDEX('1-DATA'!$1:$1048576,$A264-1,COLUMN('1-DATA'!Q263)),ROUND(INDEX('1-DATA'!$1:$1048576,IF(OR($B265="STD. DEVIATION",$C$1=1),$A265,$A265+1),COLUMN('1-DATA'!Q263)),IF($B265="STD. DEVIATION",2,$F$1))))</f>
        <v/>
      </c>
      <c r="S265" s="1" t="str">
        <f>IF(OR($B265="",S$7=""),"",IF($B265="MEANS",INDEX('1-DATA'!$1:$1048576,$A264-1,COLUMN('1-DATA'!R263)),ROUND(INDEX('1-DATA'!$1:$1048576,IF(OR($B265="STD. DEVIATION",$C$1=1),$A265,$A265+1),COLUMN('1-DATA'!R263)),IF($B265="STD. DEVIATION",2,$F$1))))</f>
        <v/>
      </c>
      <c r="T265" s="1" t="str">
        <f>IF(OR($B265="",T$7=""),"",IF($B265="MEANS",INDEX('1-DATA'!$1:$1048576,$A264-1,COLUMN('1-DATA'!S263)),ROUND(INDEX('1-DATA'!$1:$1048576,IF(OR($B265="STD. DEVIATION",$C$1=1),$A265,$A265+1),COLUMN('1-DATA'!S263)),IF($B265="STD. DEVIATION",2,$F$1))))</f>
        <v/>
      </c>
      <c r="U265" s="1" t="str">
        <f>IF(OR($B265="",U$7=""),"",IF($B265="MEANS",INDEX('1-DATA'!$1:$1048576,$A264-1,COLUMN('1-DATA'!T263)),ROUND(INDEX('1-DATA'!$1:$1048576,IF(OR($B265="STD. DEVIATION",$C$1=1),$A265,$A265+1),COLUMN('1-DATA'!T263)),IF($B265="STD. DEVIATION",2,$F$1))))</f>
        <v/>
      </c>
      <c r="V265" s="1" t="str">
        <f>IF(OR($B265="",V$7=""),"",IF($B265="MEANS",INDEX('1-DATA'!$1:$1048576,$A264-1,COLUMN('1-DATA'!U263)),ROUND(INDEX('1-DATA'!$1:$1048576,IF(OR($B265="STD. DEVIATION",$C$1=1),$A265,$A265+1),COLUMN('1-DATA'!U263)),IF($B265="STD. DEVIATION",2,$F$1))))</f>
        <v/>
      </c>
      <c r="W265" s="1" t="str">
        <f>IF(OR($B265="",W$7=""),"",IF($B265="MEANS",INDEX('1-DATA'!$1:$1048576,$A264-1,COLUMN('1-DATA'!V263)),ROUND(INDEX('1-DATA'!$1:$1048576,IF(OR($B265="STD. DEVIATION",$C$1=1),$A265,$A265+1),COLUMN('1-DATA'!V263)),IF($B265="STD. DEVIATION",2,$F$1))))</f>
        <v/>
      </c>
      <c r="X265" s="1" t="str">
        <f>IF(OR($B265="",X$7=""),"",IF($B265="MEANS",INDEX('1-DATA'!$1:$1048576,$A264-1,COLUMN('1-DATA'!W263)),ROUND(INDEX('1-DATA'!$1:$1048576,IF(OR($B265="STD. DEVIATION",$C$1=1),$A265,$A265+1),COLUMN('1-DATA'!W263)),IF($B265="STD. DEVIATION",2,$F$1))))</f>
        <v/>
      </c>
      <c r="Y265" s="1" t="str">
        <f>IF(OR($B265="",Y$7=""),"",IF($B265="MEANS",INDEX('1-DATA'!$1:$1048576,$A264-1,COLUMN('1-DATA'!X263)),ROUND(INDEX('1-DATA'!$1:$1048576,IF(OR($B265="STD. DEVIATION",$C$1=1),$A265,$A265+1),COLUMN('1-DATA'!X263)),IF($B265="STD. DEVIATION",2,$F$1))))</f>
        <v/>
      </c>
      <c r="Z265" s="1" t="str">
        <f>IF(OR($B265="",Z$7=""),"",IF($B265="MEANS",INDEX('1-DATA'!$1:$1048576,$A264-1,COLUMN('1-DATA'!Y263)),ROUND(INDEX('1-DATA'!$1:$1048576,IF(OR($B265="STD. DEVIATION",$C$1=1),$A265,$A265+1),COLUMN('1-DATA'!Y263)),IF($B265="STD. DEVIATION",2,$F$1))))</f>
        <v/>
      </c>
      <c r="AA265" s="1" t="str">
        <f>IF(OR($B265="",AA$7=""),"",IF($B265="MEANS",INDEX('1-DATA'!$1:$1048576,$A264-1,COLUMN('1-DATA'!Z263)),ROUND(INDEX('1-DATA'!$1:$1048576,IF(OR($B265="STD. DEVIATION",$C$1=1),$A265,$A265+1),COLUMN('1-DATA'!Z263)),IF($B265="STD. DEVIATION",2,$F$1))))</f>
        <v/>
      </c>
      <c r="AB265" s="1" t="str">
        <f>IF(OR($B265="",AB$7=""),"",IF($B265="MEANS",INDEX('1-DATA'!$1:$1048576,$A264-1,COLUMN('1-DATA'!AA263)),ROUND(INDEX('1-DATA'!$1:$1048576,IF(OR($B265="STD. DEVIATION",$C$1=1),$A265,$A265+1),COLUMN('1-DATA'!AA263)),IF($B265="STD. DEVIATION",2,$F$1))))</f>
        <v/>
      </c>
      <c r="AC265" s="1" t="str">
        <f>IF(OR($B265="",AC$7=""),"",IF($B265="MEANS",INDEX('1-DATA'!$1:$1048576,$A264-1,COLUMN('1-DATA'!AB263)),ROUND(INDEX('1-DATA'!$1:$1048576,IF(OR($B265="STD. DEVIATION",$C$1=1),$A265,$A265+1),COLUMN('1-DATA'!AB263)),IF($B265="STD. DEVIATION",2,$F$1))))</f>
        <v/>
      </c>
      <c r="AD265" s="1" t="str">
        <f>IF(OR($B265="",AD$7=""),"",IF($B265="MEANS",INDEX('1-DATA'!$1:$1048576,$A264-1,COLUMN('1-DATA'!AC263)),ROUND(INDEX('1-DATA'!$1:$1048576,IF(OR($B265="STD. DEVIATION",$C$1=1),$A265,$A265+1),COLUMN('1-DATA'!AC263)),IF($B265="STD. DEVIATION",2,$F$1))))</f>
        <v/>
      </c>
      <c r="AE265" s="1" t="str">
        <f>IF(OR($B265="",AE$7=""),"",IF($B265="MEANS",INDEX('1-DATA'!$1:$1048576,$A264-1,COLUMN('1-DATA'!AD263)),ROUND(INDEX('1-DATA'!$1:$1048576,IF(OR($B265="STD. DEVIATION",$C$1=1),$A265,$A265+1),COLUMN('1-DATA'!AD263)),IF($B265="STD. DEVIATION",2,$F$1))))</f>
        <v/>
      </c>
      <c r="AF265" s="1" t="str">
        <f>IF(OR($B265="",AF$7=""),"",IF($B265="MEANS",INDEX('1-DATA'!$1:$1048576,$A264-1,COLUMN('1-DATA'!AE263)),ROUND(INDEX('1-DATA'!$1:$1048576,IF(OR($B265="STD. DEVIATION",$C$1=1),$A265,$A265+1),COLUMN('1-DATA'!AE263)),IF($B265="STD. DEVIATION",2,$F$1))))</f>
        <v/>
      </c>
      <c r="AG265" s="1" t="str">
        <f>IF(OR($B265="",AG$7=""),"",IF($B265="MEANS",INDEX('1-DATA'!$1:$1048576,$A264-1,COLUMN('1-DATA'!AF263)),ROUND(INDEX('1-DATA'!$1:$1048576,IF(OR($B265="STD. DEVIATION",$C$1=1),$A265,$A265+1),COLUMN('1-DATA'!AF263)),IF($B265="STD. DEVIATION",2,$F$1))))</f>
        <v/>
      </c>
      <c r="AH265" s="1" t="str">
        <f>IF(OR($B265="",AH$7=""),"",IF($B265="MEANS",INDEX('1-DATA'!$1:$1048576,$A264-1,COLUMN('1-DATA'!AG263)),ROUND(INDEX('1-DATA'!$1:$1048576,IF(OR($B265="STD. DEVIATION",$C$1=1),$A265,$A265+1),COLUMN('1-DATA'!AG263)),IF($B265="STD. DEVIATION",2,$F$1))))</f>
        <v/>
      </c>
      <c r="AI265" s="1" t="str">
        <f>IF(OR($B265="",AI$7=""),"",IF($B265="MEANS",INDEX('1-DATA'!$1:$1048576,$A264-1,COLUMN('1-DATA'!AH263)),ROUND(INDEX('1-DATA'!$1:$1048576,IF(OR($B265="STD. DEVIATION",$C$1=1),$A265,$A265+1),COLUMN('1-DATA'!AH263)),IF($B265="STD. DEVIATION",2,$F$1))))</f>
        <v/>
      </c>
      <c r="AJ265" s="1" t="str">
        <f>IF(OR($B265="",AJ$7=""),"",IF($B265="MEANS",INDEX('1-DATA'!$1:$1048576,$A264-1,COLUMN('1-DATA'!AI263)),ROUND(INDEX('1-DATA'!$1:$1048576,IF(OR($B265="STD. DEVIATION",$C$1=1),$A265,$A265+1),COLUMN('1-DATA'!AI263)),IF($B265="STD. DEVIATION",2,$F$1))))</f>
        <v/>
      </c>
      <c r="AK265" s="1" t="str">
        <f>IF(OR($B265="",AK$7=""),"",IF($B265="MEANS",INDEX('1-DATA'!$1:$1048576,$A264-1,COLUMN('1-DATA'!AJ263)),ROUND(INDEX('1-DATA'!$1:$1048576,IF(OR($B265="STD. DEVIATION",$C$1=1),$A265,$A265+1),COLUMN('1-DATA'!AJ263)),IF($B265="STD. DEVIATION",2,$F$1))))</f>
        <v/>
      </c>
      <c r="AL265" s="1" t="str">
        <f>IF(OR($B265="",AL$7=""),"",IF($B265="MEANS",INDEX('1-DATA'!$1:$1048576,$A264-1,COLUMN('1-DATA'!AK263)),ROUND(INDEX('1-DATA'!$1:$1048576,IF(OR($B265="STD. DEVIATION",$C$1=1),$A265,$A265+1),COLUMN('1-DATA'!AK263)),IF($B265="STD. DEVIATION",2,$F$1))))</f>
        <v/>
      </c>
      <c r="AM265" s="1" t="str">
        <f>IF(OR($B265="",AM$7=""),"",IF($B265="MEANS",INDEX('1-DATA'!$1:$1048576,$A264-1,COLUMN('1-DATA'!AL263)),ROUND(INDEX('1-DATA'!$1:$1048576,IF(OR($B265="STD. DEVIATION",$C$1=1),$A265,$A265+1),COLUMN('1-DATA'!AL263)),IF($B265="STD. DEVIATION",2,$F$1))))</f>
        <v/>
      </c>
      <c r="AN265" s="1" t="str">
        <f>IF(OR($B265="",AN$7=""),"",IF($B265="MEANS",INDEX('1-DATA'!$1:$1048576,$A264-1,COLUMN('1-DATA'!AM263)),ROUND(INDEX('1-DATA'!$1:$1048576,IF(OR($B265="STD. DEVIATION",$C$1=1),$A265,$A265+1),COLUMN('1-DATA'!AM263)),IF($B265="STD. DEVIATION",2,$F$1))))</f>
        <v/>
      </c>
      <c r="AO265" s="1" t="str">
        <f>IF(OR($B265="",AO$7=""),"",IF($B265="MEANS",INDEX('1-DATA'!$1:$1048576,$A264-1,COLUMN('1-DATA'!AN263)),ROUND(INDEX('1-DATA'!$1:$1048576,IF(OR($B265="STD. DEVIATION",$C$1=1),$A265,$A265+1),COLUMN('1-DATA'!AN263)),IF($B265="STD. DEVIATION",2,$F$1))))</f>
        <v/>
      </c>
      <c r="AP265" s="1" t="str">
        <f>IF(OR($B265="",AP$7=""),"",IF($B265="MEANS",INDEX('1-DATA'!$1:$1048576,$A264-1,COLUMN('1-DATA'!AO263)),ROUND(INDEX('1-DATA'!$1:$1048576,IF(OR($B265="STD. DEVIATION",$C$1=1),$A265,$A265+1),COLUMN('1-DATA'!AO263)),IF($B265="STD. DEVIATION",2,$F$1))))</f>
        <v/>
      </c>
      <c r="AQ265" s="1" t="str">
        <f>IF(OR($B265="",AQ$7=""),"",IF($B265="MEANS",INDEX('1-DATA'!$1:$1048576,$A264-1,COLUMN('1-DATA'!AP263)),ROUND(INDEX('1-DATA'!$1:$1048576,IF(OR($B265="STD. DEVIATION",$C$1=1),$A265,$A265+1),COLUMN('1-DATA'!AP263)),IF($B265="STD. DEVIATION",2,$F$1))))</f>
        <v/>
      </c>
      <c r="AR265" s="1" t="str">
        <f>IF(OR($B265="",AR$7=""),"",IF($B265="MEANS",INDEX('1-DATA'!$1:$1048576,$A264-1,COLUMN('1-DATA'!AQ263)),ROUND(INDEX('1-DATA'!$1:$1048576,IF(OR($B265="STD. DEVIATION",$C$1=1),$A265,$A265+1),COLUMN('1-DATA'!AQ263)),IF($B265="STD. DEVIATION",2,$F$1))))</f>
        <v/>
      </c>
      <c r="AS265" s="1" t="str">
        <f>IF(OR($B265="",AS$7=""),"",IF($B265="MEANS",INDEX('1-DATA'!$1:$1048576,$A264-1,COLUMN('1-DATA'!AR263)),ROUND(INDEX('1-DATA'!$1:$1048576,IF(OR($B265="STD. DEVIATION",$C$1=1),$A265,$A265+1),COLUMN('1-DATA'!AR263)),IF($B265="STD. DEVIATION",2,$F$1))))</f>
        <v/>
      </c>
      <c r="AT265" s="1" t="str">
        <f>IF(OR($B265="",AT$7=""),"",IF($B265="MEANS",INDEX('1-DATA'!$1:$1048576,$A264-1,COLUMN('1-DATA'!AS263)),ROUND(INDEX('1-DATA'!$1:$1048576,IF(OR($B265="STD. DEVIATION",$C$1=1),$A265,$A265+1),COLUMN('1-DATA'!AS263)),IF($B265="STD. DEVIATION",2,$F$1))))</f>
        <v/>
      </c>
      <c r="AU265" s="1" t="str">
        <f>IF(OR($B265="",AU$7=""),"",IF($B265="MEANS",INDEX('1-DATA'!$1:$1048576,$A264-1,COLUMN('1-DATA'!AT263)),ROUND(INDEX('1-DATA'!$1:$1048576,IF(OR($B265="STD. DEVIATION",$C$1=1),$A265,$A265+1),COLUMN('1-DATA'!AT263)),IF($B265="STD. DEVIATION",2,$F$1))))</f>
        <v/>
      </c>
      <c r="AV265" s="1" t="str">
        <f>IF(OR($B265="",AV$7=""),"",IF($B265="MEANS",INDEX('1-DATA'!$1:$1048576,$A264-1,COLUMN('1-DATA'!AU263)),ROUND(INDEX('1-DATA'!$1:$1048576,IF(OR($B265="STD. DEVIATION",$C$1=1),$A265,$A265+1),COLUMN('1-DATA'!AU263)),IF($B265="STD. DEVIATION",2,$F$1))))</f>
        <v/>
      </c>
      <c r="AW265" s="1" t="str">
        <f>IF(OR($B265="",AW$7=""),"",IF($B265="MEANS",INDEX('1-DATA'!$1:$1048576,$A264-1,COLUMN('1-DATA'!AV263)),ROUND(INDEX('1-DATA'!$1:$1048576,IF(OR($B265="STD. DEVIATION",$C$1=1),$A265,$A265+1),COLUMN('1-DATA'!AV263)),IF($B265="STD. DEVIATION",2,$F$1))))</f>
        <v/>
      </c>
      <c r="AX265" s="1" t="str">
        <f>IF(OR($B265="",AX$7=""),"",IF($B265="MEANS",INDEX('1-DATA'!$1:$1048576,$A264-1,COLUMN('1-DATA'!AW263)),ROUND(INDEX('1-DATA'!$1:$1048576,IF(OR($B265="STD. DEVIATION",$C$1=1),$A265,$A265+1),COLUMN('1-DATA'!AW263)),IF($B265="STD. DEVIATION",2,$F$1))))</f>
        <v/>
      </c>
      <c r="AY265" s="1" t="str">
        <f>IF(OR($B265="",AY$7=""),"",IF($B265="MEANS",INDEX('1-DATA'!$1:$1048576,$A264-1,COLUMN('1-DATA'!AX263)),ROUND(INDEX('1-DATA'!$1:$1048576,IF(OR($B265="STD. DEVIATION",$C$1=1),$A265,$A265+1),COLUMN('1-DATA'!AX263)),IF($B265="STD. DEVIATION",2,$F$1))))</f>
        <v/>
      </c>
      <c r="AZ265" s="1" t="str">
        <f>IF(OR($B265="",AZ$7=""),"",IF($B265="MEANS",INDEX('1-DATA'!$1:$1048576,$A264-1,COLUMN('1-DATA'!AY263)),ROUND(INDEX('1-DATA'!$1:$1048576,IF(OR($B265="STD. DEVIATION",$C$1=1),$A265,$A265+1),COLUMN('1-DATA'!AY263)),IF($B265="STD. DEVIATION",2,$F$1))))</f>
        <v/>
      </c>
    </row>
    <row r="266" spans="1:52" x14ac:dyDescent="0.25">
      <c r="A266" s="11">
        <f t="shared" si="4"/>
        <v>784</v>
      </c>
      <c r="B266" s="1" t="str">
        <f>IF(B265="STD. DEVIATION",INDEX('1-DATA'!$1:$1048576,$A265-1,1),IF(INDEX('1-DATA'!$1:$1048576,$A266,1)&lt;&gt;"",INDEX('1-DATA'!$1:$1048576,$A266,1),""))</f>
        <v/>
      </c>
      <c r="C266" s="1" t="str">
        <f>IF(OR($B266="",C$7=""),"",IF($B266="MEANS",INDEX('1-DATA'!$1:$1048576,$A265-1,COLUMN('1-DATA'!B264)),ROUND(INDEX('1-DATA'!$1:$1048576,IF(OR($B266="STD. DEVIATION",$C$1=1),$A266,$A266+1),COLUMN('1-DATA'!B264)),IF($B266="STD. DEVIATION",2,$F$1))))</f>
        <v/>
      </c>
      <c r="D266" s="1" t="str">
        <f>IF(OR($B266="",D$7=""),"",IF($B266="MEANS",INDEX('1-DATA'!$1:$1048576,$A265-1,COLUMN('1-DATA'!C264)),ROUND(INDEX('1-DATA'!$1:$1048576,IF(OR($B266="STD. DEVIATION",$C$1=1),$A266,$A266+1),COLUMN('1-DATA'!C264)),IF($B266="STD. DEVIATION",2,$F$1))))</f>
        <v/>
      </c>
      <c r="E266" s="1" t="str">
        <f>IF(OR($B266="",E$7=""),"",IF($B266="MEANS",INDEX('1-DATA'!$1:$1048576,$A265-1,COLUMN('1-DATA'!D264)),ROUND(INDEX('1-DATA'!$1:$1048576,IF(OR($B266="STD. DEVIATION",$C$1=1),$A266,$A266+1),COLUMN('1-DATA'!D264)),IF($B266="STD. DEVIATION",2,$F$1))))</f>
        <v/>
      </c>
      <c r="F266" s="1" t="str">
        <f>IF(OR($B266="",F$7=""),"",IF($B266="MEANS",INDEX('1-DATA'!$1:$1048576,$A265-1,COLUMN('1-DATA'!E264)),ROUND(INDEX('1-DATA'!$1:$1048576,IF(OR($B266="STD. DEVIATION",$C$1=1),$A266,$A266+1),COLUMN('1-DATA'!E264)),IF($B266="STD. DEVIATION",2,$F$1))))</f>
        <v/>
      </c>
      <c r="G266" s="1" t="str">
        <f>IF(OR($B266="",G$7=""),"",IF($B266="MEANS",INDEX('1-DATA'!$1:$1048576,$A265-1,COLUMN('1-DATA'!F264)),ROUND(INDEX('1-DATA'!$1:$1048576,IF(OR($B266="STD. DEVIATION",$C$1=1),$A266,$A266+1),COLUMN('1-DATA'!F264)),IF($B266="STD. DEVIATION",2,$F$1))))</f>
        <v/>
      </c>
      <c r="H266" s="1" t="str">
        <f>IF(OR($B266="",H$7=""),"",IF($B266="MEANS",INDEX('1-DATA'!$1:$1048576,$A265-1,COLUMN('1-DATA'!G264)),ROUND(INDEX('1-DATA'!$1:$1048576,IF(OR($B266="STD. DEVIATION",$C$1=1),$A266,$A266+1),COLUMN('1-DATA'!G264)),IF($B266="STD. DEVIATION",2,$F$1))))</f>
        <v/>
      </c>
      <c r="I266" s="1" t="str">
        <f>IF(OR($B266="",I$7=""),"",IF($B266="MEANS",INDEX('1-DATA'!$1:$1048576,$A265-1,COLUMN('1-DATA'!H264)),ROUND(INDEX('1-DATA'!$1:$1048576,IF(OR($B266="STD. DEVIATION",$C$1=1),$A266,$A266+1),COLUMN('1-DATA'!H264)),IF($B266="STD. DEVIATION",2,$F$1))))</f>
        <v/>
      </c>
      <c r="J266" s="1" t="str">
        <f>IF(OR($B266="",J$7=""),"",IF($B266="MEANS",INDEX('1-DATA'!$1:$1048576,$A265-1,COLUMN('1-DATA'!I264)),ROUND(INDEX('1-DATA'!$1:$1048576,IF(OR($B266="STD. DEVIATION",$C$1=1),$A266,$A266+1),COLUMN('1-DATA'!I264)),IF($B266="STD. DEVIATION",2,$F$1))))</f>
        <v/>
      </c>
      <c r="K266" s="1" t="str">
        <f>IF(OR($B266="",K$7=""),"",IF($B266="MEANS",INDEX('1-DATA'!$1:$1048576,$A265-1,COLUMN('1-DATA'!J264)),ROUND(INDEX('1-DATA'!$1:$1048576,IF(OR($B266="STD. DEVIATION",$C$1=1),$A266,$A266+1),COLUMN('1-DATA'!J264)),IF($B266="STD. DEVIATION",2,$F$1))))</f>
        <v/>
      </c>
      <c r="L266" s="1" t="str">
        <f>IF(OR($B266="",L$7=""),"",IF($B266="MEANS",INDEX('1-DATA'!$1:$1048576,$A265-1,COLUMN('1-DATA'!K264)),ROUND(INDEX('1-DATA'!$1:$1048576,IF(OR($B266="STD. DEVIATION",$C$1=1),$A266,$A266+1),COLUMN('1-DATA'!K264)),IF($B266="STD. DEVIATION",2,$F$1))))</f>
        <v/>
      </c>
      <c r="M266" s="1" t="str">
        <f>IF(OR($B266="",M$7=""),"",IF($B266="MEANS",INDEX('1-DATA'!$1:$1048576,$A265-1,COLUMN('1-DATA'!L264)),ROUND(INDEX('1-DATA'!$1:$1048576,IF(OR($B266="STD. DEVIATION",$C$1=1),$A266,$A266+1),COLUMN('1-DATA'!L264)),IF($B266="STD. DEVIATION",2,$F$1))))</f>
        <v/>
      </c>
      <c r="N266" s="1" t="str">
        <f>IF(OR($B266="",N$7=""),"",IF($B266="MEANS",INDEX('1-DATA'!$1:$1048576,$A265-1,COLUMN('1-DATA'!M264)),ROUND(INDEX('1-DATA'!$1:$1048576,IF(OR($B266="STD. DEVIATION",$C$1=1),$A266,$A266+1),COLUMN('1-DATA'!M264)),IF($B266="STD. DEVIATION",2,$F$1))))</f>
        <v/>
      </c>
      <c r="O266" s="1" t="str">
        <f>IF(OR($B266="",O$7=""),"",IF($B266="MEANS",INDEX('1-DATA'!$1:$1048576,$A265-1,COLUMN('1-DATA'!N264)),ROUND(INDEX('1-DATA'!$1:$1048576,IF(OR($B266="STD. DEVIATION",$C$1=1),$A266,$A266+1),COLUMN('1-DATA'!N264)),IF($B266="STD. DEVIATION",2,$F$1))))</f>
        <v/>
      </c>
      <c r="P266" s="1" t="str">
        <f>IF(OR($B266="",P$7=""),"",IF($B266="MEANS",INDEX('1-DATA'!$1:$1048576,$A265-1,COLUMN('1-DATA'!O264)),ROUND(INDEX('1-DATA'!$1:$1048576,IF(OR($B266="STD. DEVIATION",$C$1=1),$A266,$A266+1),COLUMN('1-DATA'!O264)),IF($B266="STD. DEVIATION",2,$F$1))))</f>
        <v/>
      </c>
      <c r="Q266" s="1" t="str">
        <f>IF(OR($B266="",Q$7=""),"",IF($B266="MEANS",INDEX('1-DATA'!$1:$1048576,$A265-1,COLUMN('1-DATA'!P264)),ROUND(INDEX('1-DATA'!$1:$1048576,IF(OR($B266="STD. DEVIATION",$C$1=1),$A266,$A266+1),COLUMN('1-DATA'!P264)),IF($B266="STD. DEVIATION",2,$F$1))))</f>
        <v/>
      </c>
      <c r="R266" s="1" t="str">
        <f>IF(OR($B266="",R$7=""),"",IF($B266="MEANS",INDEX('1-DATA'!$1:$1048576,$A265-1,COLUMN('1-DATA'!Q264)),ROUND(INDEX('1-DATA'!$1:$1048576,IF(OR($B266="STD. DEVIATION",$C$1=1),$A266,$A266+1),COLUMN('1-DATA'!Q264)),IF($B266="STD. DEVIATION",2,$F$1))))</f>
        <v/>
      </c>
      <c r="S266" s="1" t="str">
        <f>IF(OR($B266="",S$7=""),"",IF($B266="MEANS",INDEX('1-DATA'!$1:$1048576,$A265-1,COLUMN('1-DATA'!R264)),ROUND(INDEX('1-DATA'!$1:$1048576,IF(OR($B266="STD. DEVIATION",$C$1=1),$A266,$A266+1),COLUMN('1-DATA'!R264)),IF($B266="STD. DEVIATION",2,$F$1))))</f>
        <v/>
      </c>
      <c r="T266" s="1" t="str">
        <f>IF(OR($B266="",T$7=""),"",IF($B266="MEANS",INDEX('1-DATA'!$1:$1048576,$A265-1,COLUMN('1-DATA'!S264)),ROUND(INDEX('1-DATA'!$1:$1048576,IF(OR($B266="STD. DEVIATION",$C$1=1),$A266,$A266+1),COLUMN('1-DATA'!S264)),IF($B266="STD. DEVIATION",2,$F$1))))</f>
        <v/>
      </c>
      <c r="U266" s="1" t="str">
        <f>IF(OR($B266="",U$7=""),"",IF($B266="MEANS",INDEX('1-DATA'!$1:$1048576,$A265-1,COLUMN('1-DATA'!T264)),ROUND(INDEX('1-DATA'!$1:$1048576,IF(OR($B266="STD. DEVIATION",$C$1=1),$A266,$A266+1),COLUMN('1-DATA'!T264)),IF($B266="STD. DEVIATION",2,$F$1))))</f>
        <v/>
      </c>
      <c r="V266" s="1" t="str">
        <f>IF(OR($B266="",V$7=""),"",IF($B266="MEANS",INDEX('1-DATA'!$1:$1048576,$A265-1,COLUMN('1-DATA'!U264)),ROUND(INDEX('1-DATA'!$1:$1048576,IF(OR($B266="STD. DEVIATION",$C$1=1),$A266,$A266+1),COLUMN('1-DATA'!U264)),IF($B266="STD. DEVIATION",2,$F$1))))</f>
        <v/>
      </c>
      <c r="W266" s="1" t="str">
        <f>IF(OR($B266="",W$7=""),"",IF($B266="MEANS",INDEX('1-DATA'!$1:$1048576,$A265-1,COLUMN('1-DATA'!V264)),ROUND(INDEX('1-DATA'!$1:$1048576,IF(OR($B266="STD. DEVIATION",$C$1=1),$A266,$A266+1),COLUMN('1-DATA'!V264)),IF($B266="STD. DEVIATION",2,$F$1))))</f>
        <v/>
      </c>
      <c r="X266" s="1" t="str">
        <f>IF(OR($B266="",X$7=""),"",IF($B266="MEANS",INDEX('1-DATA'!$1:$1048576,$A265-1,COLUMN('1-DATA'!W264)),ROUND(INDEX('1-DATA'!$1:$1048576,IF(OR($B266="STD. DEVIATION",$C$1=1),$A266,$A266+1),COLUMN('1-DATA'!W264)),IF($B266="STD. DEVIATION",2,$F$1))))</f>
        <v/>
      </c>
      <c r="Y266" s="1" t="str">
        <f>IF(OR($B266="",Y$7=""),"",IF($B266="MEANS",INDEX('1-DATA'!$1:$1048576,$A265-1,COLUMN('1-DATA'!X264)),ROUND(INDEX('1-DATA'!$1:$1048576,IF(OR($B266="STD. DEVIATION",$C$1=1),$A266,$A266+1),COLUMN('1-DATA'!X264)),IF($B266="STD. DEVIATION",2,$F$1))))</f>
        <v/>
      </c>
      <c r="Z266" s="1" t="str">
        <f>IF(OR($B266="",Z$7=""),"",IF($B266="MEANS",INDEX('1-DATA'!$1:$1048576,$A265-1,COLUMN('1-DATA'!Y264)),ROUND(INDEX('1-DATA'!$1:$1048576,IF(OR($B266="STD. DEVIATION",$C$1=1),$A266,$A266+1),COLUMN('1-DATA'!Y264)),IF($B266="STD. DEVIATION",2,$F$1))))</f>
        <v/>
      </c>
      <c r="AA266" s="1" t="str">
        <f>IF(OR($B266="",AA$7=""),"",IF($B266="MEANS",INDEX('1-DATA'!$1:$1048576,$A265-1,COLUMN('1-DATA'!Z264)),ROUND(INDEX('1-DATA'!$1:$1048576,IF(OR($B266="STD. DEVIATION",$C$1=1),$A266,$A266+1),COLUMN('1-DATA'!Z264)),IF($B266="STD. DEVIATION",2,$F$1))))</f>
        <v/>
      </c>
      <c r="AB266" s="1" t="str">
        <f>IF(OR($B266="",AB$7=""),"",IF($B266="MEANS",INDEX('1-DATA'!$1:$1048576,$A265-1,COLUMN('1-DATA'!AA264)),ROUND(INDEX('1-DATA'!$1:$1048576,IF(OR($B266="STD. DEVIATION",$C$1=1),$A266,$A266+1),COLUMN('1-DATA'!AA264)),IF($B266="STD. DEVIATION",2,$F$1))))</f>
        <v/>
      </c>
      <c r="AC266" s="1" t="str">
        <f>IF(OR($B266="",AC$7=""),"",IF($B266="MEANS",INDEX('1-DATA'!$1:$1048576,$A265-1,COLUMN('1-DATA'!AB264)),ROUND(INDEX('1-DATA'!$1:$1048576,IF(OR($B266="STD. DEVIATION",$C$1=1),$A266,$A266+1),COLUMN('1-DATA'!AB264)),IF($B266="STD. DEVIATION",2,$F$1))))</f>
        <v/>
      </c>
      <c r="AD266" s="1" t="str">
        <f>IF(OR($B266="",AD$7=""),"",IF($B266="MEANS",INDEX('1-DATA'!$1:$1048576,$A265-1,COLUMN('1-DATA'!AC264)),ROUND(INDEX('1-DATA'!$1:$1048576,IF(OR($B266="STD. DEVIATION",$C$1=1),$A266,$A266+1),COLUMN('1-DATA'!AC264)),IF($B266="STD. DEVIATION",2,$F$1))))</f>
        <v/>
      </c>
      <c r="AE266" s="1" t="str">
        <f>IF(OR($B266="",AE$7=""),"",IF($B266="MEANS",INDEX('1-DATA'!$1:$1048576,$A265-1,COLUMN('1-DATA'!AD264)),ROUND(INDEX('1-DATA'!$1:$1048576,IF(OR($B266="STD. DEVIATION",$C$1=1),$A266,$A266+1),COLUMN('1-DATA'!AD264)),IF($B266="STD. DEVIATION",2,$F$1))))</f>
        <v/>
      </c>
      <c r="AF266" s="1" t="str">
        <f>IF(OR($B266="",AF$7=""),"",IF($B266="MEANS",INDEX('1-DATA'!$1:$1048576,$A265-1,COLUMN('1-DATA'!AE264)),ROUND(INDEX('1-DATA'!$1:$1048576,IF(OR($B266="STD. DEVIATION",$C$1=1),$A266,$A266+1),COLUMN('1-DATA'!AE264)),IF($B266="STD. DEVIATION",2,$F$1))))</f>
        <v/>
      </c>
      <c r="AG266" s="1" t="str">
        <f>IF(OR($B266="",AG$7=""),"",IF($B266="MEANS",INDEX('1-DATA'!$1:$1048576,$A265-1,COLUMN('1-DATA'!AF264)),ROUND(INDEX('1-DATA'!$1:$1048576,IF(OR($B266="STD. DEVIATION",$C$1=1),$A266,$A266+1),COLUMN('1-DATA'!AF264)),IF($B266="STD. DEVIATION",2,$F$1))))</f>
        <v/>
      </c>
      <c r="AH266" s="1" t="str">
        <f>IF(OR($B266="",AH$7=""),"",IF($B266="MEANS",INDEX('1-DATA'!$1:$1048576,$A265-1,COLUMN('1-DATA'!AG264)),ROUND(INDEX('1-DATA'!$1:$1048576,IF(OR($B266="STD. DEVIATION",$C$1=1),$A266,$A266+1),COLUMN('1-DATA'!AG264)),IF($B266="STD. DEVIATION",2,$F$1))))</f>
        <v/>
      </c>
      <c r="AI266" s="1" t="str">
        <f>IF(OR($B266="",AI$7=""),"",IF($B266="MEANS",INDEX('1-DATA'!$1:$1048576,$A265-1,COLUMN('1-DATA'!AH264)),ROUND(INDEX('1-DATA'!$1:$1048576,IF(OR($B266="STD. DEVIATION",$C$1=1),$A266,$A266+1),COLUMN('1-DATA'!AH264)),IF($B266="STD. DEVIATION",2,$F$1))))</f>
        <v/>
      </c>
      <c r="AJ266" s="1" t="str">
        <f>IF(OR($B266="",AJ$7=""),"",IF($B266="MEANS",INDEX('1-DATA'!$1:$1048576,$A265-1,COLUMN('1-DATA'!AI264)),ROUND(INDEX('1-DATA'!$1:$1048576,IF(OR($B266="STD. DEVIATION",$C$1=1),$A266,$A266+1),COLUMN('1-DATA'!AI264)),IF($B266="STD. DEVIATION",2,$F$1))))</f>
        <v/>
      </c>
      <c r="AK266" s="1" t="str">
        <f>IF(OR($B266="",AK$7=""),"",IF($B266="MEANS",INDEX('1-DATA'!$1:$1048576,$A265-1,COLUMN('1-DATA'!AJ264)),ROUND(INDEX('1-DATA'!$1:$1048576,IF(OR($B266="STD. DEVIATION",$C$1=1),$A266,$A266+1),COLUMN('1-DATA'!AJ264)),IF($B266="STD. DEVIATION",2,$F$1))))</f>
        <v/>
      </c>
      <c r="AL266" s="1" t="str">
        <f>IF(OR($B266="",AL$7=""),"",IF($B266="MEANS",INDEX('1-DATA'!$1:$1048576,$A265-1,COLUMN('1-DATA'!AK264)),ROUND(INDEX('1-DATA'!$1:$1048576,IF(OR($B266="STD. DEVIATION",$C$1=1),$A266,$A266+1),COLUMN('1-DATA'!AK264)),IF($B266="STD. DEVIATION",2,$F$1))))</f>
        <v/>
      </c>
      <c r="AM266" s="1" t="str">
        <f>IF(OR($B266="",AM$7=""),"",IF($B266="MEANS",INDEX('1-DATA'!$1:$1048576,$A265-1,COLUMN('1-DATA'!AL264)),ROUND(INDEX('1-DATA'!$1:$1048576,IF(OR($B266="STD. DEVIATION",$C$1=1),$A266,$A266+1),COLUMN('1-DATA'!AL264)),IF($B266="STD. DEVIATION",2,$F$1))))</f>
        <v/>
      </c>
      <c r="AN266" s="1" t="str">
        <f>IF(OR($B266="",AN$7=""),"",IF($B266="MEANS",INDEX('1-DATA'!$1:$1048576,$A265-1,COLUMN('1-DATA'!AM264)),ROUND(INDEX('1-DATA'!$1:$1048576,IF(OR($B266="STD. DEVIATION",$C$1=1),$A266,$A266+1),COLUMN('1-DATA'!AM264)),IF($B266="STD. DEVIATION",2,$F$1))))</f>
        <v/>
      </c>
      <c r="AO266" s="1" t="str">
        <f>IF(OR($B266="",AO$7=""),"",IF($B266="MEANS",INDEX('1-DATA'!$1:$1048576,$A265-1,COLUMN('1-DATA'!AN264)),ROUND(INDEX('1-DATA'!$1:$1048576,IF(OR($B266="STD. DEVIATION",$C$1=1),$A266,$A266+1),COLUMN('1-DATA'!AN264)),IF($B266="STD. DEVIATION",2,$F$1))))</f>
        <v/>
      </c>
      <c r="AP266" s="1" t="str">
        <f>IF(OR($B266="",AP$7=""),"",IF($B266="MEANS",INDEX('1-DATA'!$1:$1048576,$A265-1,COLUMN('1-DATA'!AO264)),ROUND(INDEX('1-DATA'!$1:$1048576,IF(OR($B266="STD. DEVIATION",$C$1=1),$A266,$A266+1),COLUMN('1-DATA'!AO264)),IF($B266="STD. DEVIATION",2,$F$1))))</f>
        <v/>
      </c>
      <c r="AQ266" s="1" t="str">
        <f>IF(OR($B266="",AQ$7=""),"",IF($B266="MEANS",INDEX('1-DATA'!$1:$1048576,$A265-1,COLUMN('1-DATA'!AP264)),ROUND(INDEX('1-DATA'!$1:$1048576,IF(OR($B266="STD. DEVIATION",$C$1=1),$A266,$A266+1),COLUMN('1-DATA'!AP264)),IF($B266="STD. DEVIATION",2,$F$1))))</f>
        <v/>
      </c>
      <c r="AR266" s="1" t="str">
        <f>IF(OR($B266="",AR$7=""),"",IF($B266="MEANS",INDEX('1-DATA'!$1:$1048576,$A265-1,COLUMN('1-DATA'!AQ264)),ROUND(INDEX('1-DATA'!$1:$1048576,IF(OR($B266="STD. DEVIATION",$C$1=1),$A266,$A266+1),COLUMN('1-DATA'!AQ264)),IF($B266="STD. DEVIATION",2,$F$1))))</f>
        <v/>
      </c>
      <c r="AS266" s="1" t="str">
        <f>IF(OR($B266="",AS$7=""),"",IF($B266="MEANS",INDEX('1-DATA'!$1:$1048576,$A265-1,COLUMN('1-DATA'!AR264)),ROUND(INDEX('1-DATA'!$1:$1048576,IF(OR($B266="STD. DEVIATION",$C$1=1),$A266,$A266+1),COLUMN('1-DATA'!AR264)),IF($B266="STD. DEVIATION",2,$F$1))))</f>
        <v/>
      </c>
      <c r="AT266" s="1" t="str">
        <f>IF(OR($B266="",AT$7=""),"",IF($B266="MEANS",INDEX('1-DATA'!$1:$1048576,$A265-1,COLUMN('1-DATA'!AS264)),ROUND(INDEX('1-DATA'!$1:$1048576,IF(OR($B266="STD. DEVIATION",$C$1=1),$A266,$A266+1),COLUMN('1-DATA'!AS264)),IF($B266="STD. DEVIATION",2,$F$1))))</f>
        <v/>
      </c>
      <c r="AU266" s="1" t="str">
        <f>IF(OR($B266="",AU$7=""),"",IF($B266="MEANS",INDEX('1-DATA'!$1:$1048576,$A265-1,COLUMN('1-DATA'!AT264)),ROUND(INDEX('1-DATA'!$1:$1048576,IF(OR($B266="STD. DEVIATION",$C$1=1),$A266,$A266+1),COLUMN('1-DATA'!AT264)),IF($B266="STD. DEVIATION",2,$F$1))))</f>
        <v/>
      </c>
      <c r="AV266" s="1" t="str">
        <f>IF(OR($B266="",AV$7=""),"",IF($B266="MEANS",INDEX('1-DATA'!$1:$1048576,$A265-1,COLUMN('1-DATA'!AU264)),ROUND(INDEX('1-DATA'!$1:$1048576,IF(OR($B266="STD. DEVIATION",$C$1=1),$A266,$A266+1),COLUMN('1-DATA'!AU264)),IF($B266="STD. DEVIATION",2,$F$1))))</f>
        <v/>
      </c>
      <c r="AW266" s="1" t="str">
        <f>IF(OR($B266="",AW$7=""),"",IF($B266="MEANS",INDEX('1-DATA'!$1:$1048576,$A265-1,COLUMN('1-DATA'!AV264)),ROUND(INDEX('1-DATA'!$1:$1048576,IF(OR($B266="STD. DEVIATION",$C$1=1),$A266,$A266+1),COLUMN('1-DATA'!AV264)),IF($B266="STD. DEVIATION",2,$F$1))))</f>
        <v/>
      </c>
      <c r="AX266" s="1" t="str">
        <f>IF(OR($B266="",AX$7=""),"",IF($B266="MEANS",INDEX('1-DATA'!$1:$1048576,$A265-1,COLUMN('1-DATA'!AW264)),ROUND(INDEX('1-DATA'!$1:$1048576,IF(OR($B266="STD. DEVIATION",$C$1=1),$A266,$A266+1),COLUMN('1-DATA'!AW264)),IF($B266="STD. DEVIATION",2,$F$1))))</f>
        <v/>
      </c>
      <c r="AY266" s="1" t="str">
        <f>IF(OR($B266="",AY$7=""),"",IF($B266="MEANS",INDEX('1-DATA'!$1:$1048576,$A265-1,COLUMN('1-DATA'!AX264)),ROUND(INDEX('1-DATA'!$1:$1048576,IF(OR($B266="STD. DEVIATION",$C$1=1),$A266,$A266+1),COLUMN('1-DATA'!AX264)),IF($B266="STD. DEVIATION",2,$F$1))))</f>
        <v/>
      </c>
      <c r="AZ266" s="1" t="str">
        <f>IF(OR($B266="",AZ$7=""),"",IF($B266="MEANS",INDEX('1-DATA'!$1:$1048576,$A265-1,COLUMN('1-DATA'!AY264)),ROUND(INDEX('1-DATA'!$1:$1048576,IF(OR($B266="STD. DEVIATION",$C$1=1),$A266,$A266+1),COLUMN('1-DATA'!AY264)),IF($B266="STD. DEVIATION",2,$F$1))))</f>
        <v/>
      </c>
    </row>
    <row r="267" spans="1:52" x14ac:dyDescent="0.25">
      <c r="A267" s="11">
        <f t="shared" si="4"/>
        <v>787</v>
      </c>
      <c r="B267" s="1" t="str">
        <f>IF(B266="STD. DEVIATION",INDEX('1-DATA'!$1:$1048576,$A266-1,1),IF(INDEX('1-DATA'!$1:$1048576,$A267,1)&lt;&gt;"",INDEX('1-DATA'!$1:$1048576,$A267,1),""))</f>
        <v/>
      </c>
      <c r="C267" s="1" t="str">
        <f>IF(OR($B267="",C$7=""),"",IF($B267="MEANS",INDEX('1-DATA'!$1:$1048576,$A266-1,COLUMN('1-DATA'!B265)),ROUND(INDEX('1-DATA'!$1:$1048576,IF(OR($B267="STD. DEVIATION",$C$1=1),$A267,$A267+1),COLUMN('1-DATA'!B265)),IF($B267="STD. DEVIATION",2,$F$1))))</f>
        <v/>
      </c>
      <c r="D267" s="1" t="str">
        <f>IF(OR($B267="",D$7=""),"",IF($B267="MEANS",INDEX('1-DATA'!$1:$1048576,$A266-1,COLUMN('1-DATA'!C265)),ROUND(INDEX('1-DATA'!$1:$1048576,IF(OR($B267="STD. DEVIATION",$C$1=1),$A267,$A267+1),COLUMN('1-DATA'!C265)),IF($B267="STD. DEVIATION",2,$F$1))))</f>
        <v/>
      </c>
      <c r="E267" s="1" t="str">
        <f>IF(OR($B267="",E$7=""),"",IF($B267="MEANS",INDEX('1-DATA'!$1:$1048576,$A266-1,COLUMN('1-DATA'!D265)),ROUND(INDEX('1-DATA'!$1:$1048576,IF(OR($B267="STD. DEVIATION",$C$1=1),$A267,$A267+1),COLUMN('1-DATA'!D265)),IF($B267="STD. DEVIATION",2,$F$1))))</f>
        <v/>
      </c>
      <c r="F267" s="1" t="str">
        <f>IF(OR($B267="",F$7=""),"",IF($B267="MEANS",INDEX('1-DATA'!$1:$1048576,$A266-1,COLUMN('1-DATA'!E265)),ROUND(INDEX('1-DATA'!$1:$1048576,IF(OR($B267="STD. DEVIATION",$C$1=1),$A267,$A267+1),COLUMN('1-DATA'!E265)),IF($B267="STD. DEVIATION",2,$F$1))))</f>
        <v/>
      </c>
      <c r="G267" s="1" t="str">
        <f>IF(OR($B267="",G$7=""),"",IF($B267="MEANS",INDEX('1-DATA'!$1:$1048576,$A266-1,COLUMN('1-DATA'!F265)),ROUND(INDEX('1-DATA'!$1:$1048576,IF(OR($B267="STD. DEVIATION",$C$1=1),$A267,$A267+1),COLUMN('1-DATA'!F265)),IF($B267="STD. DEVIATION",2,$F$1))))</f>
        <v/>
      </c>
      <c r="H267" s="1" t="str">
        <f>IF(OR($B267="",H$7=""),"",IF($B267="MEANS",INDEX('1-DATA'!$1:$1048576,$A266-1,COLUMN('1-DATA'!G265)),ROUND(INDEX('1-DATA'!$1:$1048576,IF(OR($B267="STD. DEVIATION",$C$1=1),$A267,$A267+1),COLUMN('1-DATA'!G265)),IF($B267="STD. DEVIATION",2,$F$1))))</f>
        <v/>
      </c>
      <c r="I267" s="1" t="str">
        <f>IF(OR($B267="",I$7=""),"",IF($B267="MEANS",INDEX('1-DATA'!$1:$1048576,$A266-1,COLUMN('1-DATA'!H265)),ROUND(INDEX('1-DATA'!$1:$1048576,IF(OR($B267="STD. DEVIATION",$C$1=1),$A267,$A267+1),COLUMN('1-DATA'!H265)),IF($B267="STD. DEVIATION",2,$F$1))))</f>
        <v/>
      </c>
      <c r="J267" s="1" t="str">
        <f>IF(OR($B267="",J$7=""),"",IF($B267="MEANS",INDEX('1-DATA'!$1:$1048576,$A266-1,COLUMN('1-DATA'!I265)),ROUND(INDEX('1-DATA'!$1:$1048576,IF(OR($B267="STD. DEVIATION",$C$1=1),$A267,$A267+1),COLUMN('1-DATA'!I265)),IF($B267="STD. DEVIATION",2,$F$1))))</f>
        <v/>
      </c>
      <c r="K267" s="1" t="str">
        <f>IF(OR($B267="",K$7=""),"",IF($B267="MEANS",INDEX('1-DATA'!$1:$1048576,$A266-1,COLUMN('1-DATA'!J265)),ROUND(INDEX('1-DATA'!$1:$1048576,IF(OR($B267="STD. DEVIATION",$C$1=1),$A267,$A267+1),COLUMN('1-DATA'!J265)),IF($B267="STD. DEVIATION",2,$F$1))))</f>
        <v/>
      </c>
      <c r="L267" s="1" t="str">
        <f>IF(OR($B267="",L$7=""),"",IF($B267="MEANS",INDEX('1-DATA'!$1:$1048576,$A266-1,COLUMN('1-DATA'!K265)),ROUND(INDEX('1-DATA'!$1:$1048576,IF(OR($B267="STD. DEVIATION",$C$1=1),$A267,$A267+1),COLUMN('1-DATA'!K265)),IF($B267="STD. DEVIATION",2,$F$1))))</f>
        <v/>
      </c>
      <c r="M267" s="1" t="str">
        <f>IF(OR($B267="",M$7=""),"",IF($B267="MEANS",INDEX('1-DATA'!$1:$1048576,$A266-1,COLUMN('1-DATA'!L265)),ROUND(INDEX('1-DATA'!$1:$1048576,IF(OR($B267="STD. DEVIATION",$C$1=1),$A267,$A267+1),COLUMN('1-DATA'!L265)),IF($B267="STD. DEVIATION",2,$F$1))))</f>
        <v/>
      </c>
      <c r="N267" s="1" t="str">
        <f>IF(OR($B267="",N$7=""),"",IF($B267="MEANS",INDEX('1-DATA'!$1:$1048576,$A266-1,COLUMN('1-DATA'!M265)),ROUND(INDEX('1-DATA'!$1:$1048576,IF(OR($B267="STD. DEVIATION",$C$1=1),$A267,$A267+1),COLUMN('1-DATA'!M265)),IF($B267="STD. DEVIATION",2,$F$1))))</f>
        <v/>
      </c>
      <c r="O267" s="1" t="str">
        <f>IF(OR($B267="",O$7=""),"",IF($B267="MEANS",INDEX('1-DATA'!$1:$1048576,$A266-1,COLUMN('1-DATA'!N265)),ROUND(INDEX('1-DATA'!$1:$1048576,IF(OR($B267="STD. DEVIATION",$C$1=1),$A267,$A267+1),COLUMN('1-DATA'!N265)),IF($B267="STD. DEVIATION",2,$F$1))))</f>
        <v/>
      </c>
      <c r="P267" s="1" t="str">
        <f>IF(OR($B267="",P$7=""),"",IF($B267="MEANS",INDEX('1-DATA'!$1:$1048576,$A266-1,COLUMN('1-DATA'!O265)),ROUND(INDEX('1-DATA'!$1:$1048576,IF(OR($B267="STD. DEVIATION",$C$1=1),$A267,$A267+1),COLUMN('1-DATA'!O265)),IF($B267="STD. DEVIATION",2,$F$1))))</f>
        <v/>
      </c>
      <c r="Q267" s="1" t="str">
        <f>IF(OR($B267="",Q$7=""),"",IF($B267="MEANS",INDEX('1-DATA'!$1:$1048576,$A266-1,COLUMN('1-DATA'!P265)),ROUND(INDEX('1-DATA'!$1:$1048576,IF(OR($B267="STD. DEVIATION",$C$1=1),$A267,$A267+1),COLUMN('1-DATA'!P265)),IF($B267="STD. DEVIATION",2,$F$1))))</f>
        <v/>
      </c>
      <c r="R267" s="1" t="str">
        <f>IF(OR($B267="",R$7=""),"",IF($B267="MEANS",INDEX('1-DATA'!$1:$1048576,$A266-1,COLUMN('1-DATA'!Q265)),ROUND(INDEX('1-DATA'!$1:$1048576,IF(OR($B267="STD. DEVIATION",$C$1=1),$A267,$A267+1),COLUMN('1-DATA'!Q265)),IF($B267="STD. DEVIATION",2,$F$1))))</f>
        <v/>
      </c>
      <c r="S267" s="1" t="str">
        <f>IF(OR($B267="",S$7=""),"",IF($B267="MEANS",INDEX('1-DATA'!$1:$1048576,$A266-1,COLUMN('1-DATA'!R265)),ROUND(INDEX('1-DATA'!$1:$1048576,IF(OR($B267="STD. DEVIATION",$C$1=1),$A267,$A267+1),COLUMN('1-DATA'!R265)),IF($B267="STD. DEVIATION",2,$F$1))))</f>
        <v/>
      </c>
      <c r="T267" s="1" t="str">
        <f>IF(OR($B267="",T$7=""),"",IF($B267="MEANS",INDEX('1-DATA'!$1:$1048576,$A266-1,COLUMN('1-DATA'!S265)),ROUND(INDEX('1-DATA'!$1:$1048576,IF(OR($B267="STD. DEVIATION",$C$1=1),$A267,$A267+1),COLUMN('1-DATA'!S265)),IF($B267="STD. DEVIATION",2,$F$1))))</f>
        <v/>
      </c>
      <c r="U267" s="1" t="str">
        <f>IF(OR($B267="",U$7=""),"",IF($B267="MEANS",INDEX('1-DATA'!$1:$1048576,$A266-1,COLUMN('1-DATA'!T265)),ROUND(INDEX('1-DATA'!$1:$1048576,IF(OR($B267="STD. DEVIATION",$C$1=1),$A267,$A267+1),COLUMN('1-DATA'!T265)),IF($B267="STD. DEVIATION",2,$F$1))))</f>
        <v/>
      </c>
      <c r="V267" s="1" t="str">
        <f>IF(OR($B267="",V$7=""),"",IF($B267="MEANS",INDEX('1-DATA'!$1:$1048576,$A266-1,COLUMN('1-DATA'!U265)),ROUND(INDEX('1-DATA'!$1:$1048576,IF(OR($B267="STD. DEVIATION",$C$1=1),$A267,$A267+1),COLUMN('1-DATA'!U265)),IF($B267="STD. DEVIATION",2,$F$1))))</f>
        <v/>
      </c>
      <c r="W267" s="1" t="str">
        <f>IF(OR($B267="",W$7=""),"",IF($B267="MEANS",INDEX('1-DATA'!$1:$1048576,$A266-1,COLUMN('1-DATA'!V265)),ROUND(INDEX('1-DATA'!$1:$1048576,IF(OR($B267="STD. DEVIATION",$C$1=1),$A267,$A267+1),COLUMN('1-DATA'!V265)),IF($B267="STD. DEVIATION",2,$F$1))))</f>
        <v/>
      </c>
      <c r="X267" s="1" t="str">
        <f>IF(OR($B267="",X$7=""),"",IF($B267="MEANS",INDEX('1-DATA'!$1:$1048576,$A266-1,COLUMN('1-DATA'!W265)),ROUND(INDEX('1-DATA'!$1:$1048576,IF(OR($B267="STD. DEVIATION",$C$1=1),$A267,$A267+1),COLUMN('1-DATA'!W265)),IF($B267="STD. DEVIATION",2,$F$1))))</f>
        <v/>
      </c>
      <c r="Y267" s="1" t="str">
        <f>IF(OR($B267="",Y$7=""),"",IF($B267="MEANS",INDEX('1-DATA'!$1:$1048576,$A266-1,COLUMN('1-DATA'!X265)),ROUND(INDEX('1-DATA'!$1:$1048576,IF(OR($B267="STD. DEVIATION",$C$1=1),$A267,$A267+1),COLUMN('1-DATA'!X265)),IF($B267="STD. DEVIATION",2,$F$1))))</f>
        <v/>
      </c>
      <c r="Z267" s="1" t="str">
        <f>IF(OR($B267="",Z$7=""),"",IF($B267="MEANS",INDEX('1-DATA'!$1:$1048576,$A266-1,COLUMN('1-DATA'!Y265)),ROUND(INDEX('1-DATA'!$1:$1048576,IF(OR($B267="STD. DEVIATION",$C$1=1),$A267,$A267+1),COLUMN('1-DATA'!Y265)),IF($B267="STD. DEVIATION",2,$F$1))))</f>
        <v/>
      </c>
      <c r="AA267" s="1" t="str">
        <f>IF(OR($B267="",AA$7=""),"",IF($B267="MEANS",INDEX('1-DATA'!$1:$1048576,$A266-1,COLUMN('1-DATA'!Z265)),ROUND(INDEX('1-DATA'!$1:$1048576,IF(OR($B267="STD. DEVIATION",$C$1=1),$A267,$A267+1),COLUMN('1-DATA'!Z265)),IF($B267="STD. DEVIATION",2,$F$1))))</f>
        <v/>
      </c>
      <c r="AB267" s="1" t="str">
        <f>IF(OR($B267="",AB$7=""),"",IF($B267="MEANS",INDEX('1-DATA'!$1:$1048576,$A266-1,COLUMN('1-DATA'!AA265)),ROUND(INDEX('1-DATA'!$1:$1048576,IF(OR($B267="STD. DEVIATION",$C$1=1),$A267,$A267+1),COLUMN('1-DATA'!AA265)),IF($B267="STD. DEVIATION",2,$F$1))))</f>
        <v/>
      </c>
      <c r="AC267" s="1" t="str">
        <f>IF(OR($B267="",AC$7=""),"",IF($B267="MEANS",INDEX('1-DATA'!$1:$1048576,$A266-1,COLUMN('1-DATA'!AB265)),ROUND(INDEX('1-DATA'!$1:$1048576,IF(OR($B267="STD. DEVIATION",$C$1=1),$A267,$A267+1),COLUMN('1-DATA'!AB265)),IF($B267="STD. DEVIATION",2,$F$1))))</f>
        <v/>
      </c>
      <c r="AD267" s="1" t="str">
        <f>IF(OR($B267="",AD$7=""),"",IF($B267="MEANS",INDEX('1-DATA'!$1:$1048576,$A266-1,COLUMN('1-DATA'!AC265)),ROUND(INDEX('1-DATA'!$1:$1048576,IF(OR($B267="STD. DEVIATION",$C$1=1),$A267,$A267+1),COLUMN('1-DATA'!AC265)),IF($B267="STD. DEVIATION",2,$F$1))))</f>
        <v/>
      </c>
      <c r="AE267" s="1" t="str">
        <f>IF(OR($B267="",AE$7=""),"",IF($B267="MEANS",INDEX('1-DATA'!$1:$1048576,$A266-1,COLUMN('1-DATA'!AD265)),ROUND(INDEX('1-DATA'!$1:$1048576,IF(OR($B267="STD. DEVIATION",$C$1=1),$A267,$A267+1),COLUMN('1-DATA'!AD265)),IF($B267="STD. DEVIATION",2,$F$1))))</f>
        <v/>
      </c>
      <c r="AF267" s="1" t="str">
        <f>IF(OR($B267="",AF$7=""),"",IF($B267="MEANS",INDEX('1-DATA'!$1:$1048576,$A266-1,COLUMN('1-DATA'!AE265)),ROUND(INDEX('1-DATA'!$1:$1048576,IF(OR($B267="STD. DEVIATION",$C$1=1),$A267,$A267+1),COLUMN('1-DATA'!AE265)),IF($B267="STD. DEVIATION",2,$F$1))))</f>
        <v/>
      </c>
      <c r="AG267" s="1" t="str">
        <f>IF(OR($B267="",AG$7=""),"",IF($B267="MEANS",INDEX('1-DATA'!$1:$1048576,$A266-1,COLUMN('1-DATA'!AF265)),ROUND(INDEX('1-DATA'!$1:$1048576,IF(OR($B267="STD. DEVIATION",$C$1=1),$A267,$A267+1),COLUMN('1-DATA'!AF265)),IF($B267="STD. DEVIATION",2,$F$1))))</f>
        <v/>
      </c>
      <c r="AH267" s="1" t="str">
        <f>IF(OR($B267="",AH$7=""),"",IF($B267="MEANS",INDEX('1-DATA'!$1:$1048576,$A266-1,COLUMN('1-DATA'!AG265)),ROUND(INDEX('1-DATA'!$1:$1048576,IF(OR($B267="STD. DEVIATION",$C$1=1),$A267,$A267+1),COLUMN('1-DATA'!AG265)),IF($B267="STD. DEVIATION",2,$F$1))))</f>
        <v/>
      </c>
      <c r="AI267" s="1" t="str">
        <f>IF(OR($B267="",AI$7=""),"",IF($B267="MEANS",INDEX('1-DATA'!$1:$1048576,$A266-1,COLUMN('1-DATA'!AH265)),ROUND(INDEX('1-DATA'!$1:$1048576,IF(OR($B267="STD. DEVIATION",$C$1=1),$A267,$A267+1),COLUMN('1-DATA'!AH265)),IF($B267="STD. DEVIATION",2,$F$1))))</f>
        <v/>
      </c>
      <c r="AJ267" s="1" t="str">
        <f>IF(OR($B267="",AJ$7=""),"",IF($B267="MEANS",INDEX('1-DATA'!$1:$1048576,$A266-1,COLUMN('1-DATA'!AI265)),ROUND(INDEX('1-DATA'!$1:$1048576,IF(OR($B267="STD. DEVIATION",$C$1=1),$A267,$A267+1),COLUMN('1-DATA'!AI265)),IF($B267="STD. DEVIATION",2,$F$1))))</f>
        <v/>
      </c>
      <c r="AK267" s="1" t="str">
        <f>IF(OR($B267="",AK$7=""),"",IF($B267="MEANS",INDEX('1-DATA'!$1:$1048576,$A266-1,COLUMN('1-DATA'!AJ265)),ROUND(INDEX('1-DATA'!$1:$1048576,IF(OR($B267="STD. DEVIATION",$C$1=1),$A267,$A267+1),COLUMN('1-DATA'!AJ265)),IF($B267="STD. DEVIATION",2,$F$1))))</f>
        <v/>
      </c>
      <c r="AL267" s="1" t="str">
        <f>IF(OR($B267="",AL$7=""),"",IF($B267="MEANS",INDEX('1-DATA'!$1:$1048576,$A266-1,COLUMN('1-DATA'!AK265)),ROUND(INDEX('1-DATA'!$1:$1048576,IF(OR($B267="STD. DEVIATION",$C$1=1),$A267,$A267+1),COLUMN('1-DATA'!AK265)),IF($B267="STD. DEVIATION",2,$F$1))))</f>
        <v/>
      </c>
      <c r="AM267" s="1" t="str">
        <f>IF(OR($B267="",AM$7=""),"",IF($B267="MEANS",INDEX('1-DATA'!$1:$1048576,$A266-1,COLUMN('1-DATA'!AL265)),ROUND(INDEX('1-DATA'!$1:$1048576,IF(OR($B267="STD. DEVIATION",$C$1=1),$A267,$A267+1),COLUMN('1-DATA'!AL265)),IF($B267="STD. DEVIATION",2,$F$1))))</f>
        <v/>
      </c>
      <c r="AN267" s="1" t="str">
        <f>IF(OR($B267="",AN$7=""),"",IF($B267="MEANS",INDEX('1-DATA'!$1:$1048576,$A266-1,COLUMN('1-DATA'!AM265)),ROUND(INDEX('1-DATA'!$1:$1048576,IF(OR($B267="STD. DEVIATION",$C$1=1),$A267,$A267+1),COLUMN('1-DATA'!AM265)),IF($B267="STD. DEVIATION",2,$F$1))))</f>
        <v/>
      </c>
      <c r="AO267" s="1" t="str">
        <f>IF(OR($B267="",AO$7=""),"",IF($B267="MEANS",INDEX('1-DATA'!$1:$1048576,$A266-1,COLUMN('1-DATA'!AN265)),ROUND(INDEX('1-DATA'!$1:$1048576,IF(OR($B267="STD. DEVIATION",$C$1=1),$A267,$A267+1),COLUMN('1-DATA'!AN265)),IF($B267="STD. DEVIATION",2,$F$1))))</f>
        <v/>
      </c>
      <c r="AP267" s="1" t="str">
        <f>IF(OR($B267="",AP$7=""),"",IF($B267="MEANS",INDEX('1-DATA'!$1:$1048576,$A266-1,COLUMN('1-DATA'!AO265)),ROUND(INDEX('1-DATA'!$1:$1048576,IF(OR($B267="STD. DEVIATION",$C$1=1),$A267,$A267+1),COLUMN('1-DATA'!AO265)),IF($B267="STD. DEVIATION",2,$F$1))))</f>
        <v/>
      </c>
      <c r="AQ267" s="1" t="str">
        <f>IF(OR($B267="",AQ$7=""),"",IF($B267="MEANS",INDEX('1-DATA'!$1:$1048576,$A266-1,COLUMN('1-DATA'!AP265)),ROUND(INDEX('1-DATA'!$1:$1048576,IF(OR($B267="STD. DEVIATION",$C$1=1),$A267,$A267+1),COLUMN('1-DATA'!AP265)),IF($B267="STD. DEVIATION",2,$F$1))))</f>
        <v/>
      </c>
      <c r="AR267" s="1" t="str">
        <f>IF(OR($B267="",AR$7=""),"",IF($B267="MEANS",INDEX('1-DATA'!$1:$1048576,$A266-1,COLUMN('1-DATA'!AQ265)),ROUND(INDEX('1-DATA'!$1:$1048576,IF(OR($B267="STD. DEVIATION",$C$1=1),$A267,$A267+1),COLUMN('1-DATA'!AQ265)),IF($B267="STD. DEVIATION",2,$F$1))))</f>
        <v/>
      </c>
      <c r="AS267" s="1" t="str">
        <f>IF(OR($B267="",AS$7=""),"",IF($B267="MEANS",INDEX('1-DATA'!$1:$1048576,$A266-1,COLUMN('1-DATA'!AR265)),ROUND(INDEX('1-DATA'!$1:$1048576,IF(OR($B267="STD. DEVIATION",$C$1=1),$A267,$A267+1),COLUMN('1-DATA'!AR265)),IF($B267="STD. DEVIATION",2,$F$1))))</f>
        <v/>
      </c>
      <c r="AT267" s="1" t="str">
        <f>IF(OR($B267="",AT$7=""),"",IF($B267="MEANS",INDEX('1-DATA'!$1:$1048576,$A266-1,COLUMN('1-DATA'!AS265)),ROUND(INDEX('1-DATA'!$1:$1048576,IF(OR($B267="STD. DEVIATION",$C$1=1),$A267,$A267+1),COLUMN('1-DATA'!AS265)),IF($B267="STD. DEVIATION",2,$F$1))))</f>
        <v/>
      </c>
      <c r="AU267" s="1" t="str">
        <f>IF(OR($B267="",AU$7=""),"",IF($B267="MEANS",INDEX('1-DATA'!$1:$1048576,$A266-1,COLUMN('1-DATA'!AT265)),ROUND(INDEX('1-DATA'!$1:$1048576,IF(OR($B267="STD. DEVIATION",$C$1=1),$A267,$A267+1),COLUMN('1-DATA'!AT265)),IF($B267="STD. DEVIATION",2,$F$1))))</f>
        <v/>
      </c>
      <c r="AV267" s="1" t="str">
        <f>IF(OR($B267="",AV$7=""),"",IF($B267="MEANS",INDEX('1-DATA'!$1:$1048576,$A266-1,COLUMN('1-DATA'!AU265)),ROUND(INDEX('1-DATA'!$1:$1048576,IF(OR($B267="STD. DEVIATION",$C$1=1),$A267,$A267+1),COLUMN('1-DATA'!AU265)),IF($B267="STD. DEVIATION",2,$F$1))))</f>
        <v/>
      </c>
      <c r="AW267" s="1" t="str">
        <f>IF(OR($B267="",AW$7=""),"",IF($B267="MEANS",INDEX('1-DATA'!$1:$1048576,$A266-1,COLUMN('1-DATA'!AV265)),ROUND(INDEX('1-DATA'!$1:$1048576,IF(OR($B267="STD. DEVIATION",$C$1=1),$A267,$A267+1),COLUMN('1-DATA'!AV265)),IF($B267="STD. DEVIATION",2,$F$1))))</f>
        <v/>
      </c>
      <c r="AX267" s="1" t="str">
        <f>IF(OR($B267="",AX$7=""),"",IF($B267="MEANS",INDEX('1-DATA'!$1:$1048576,$A266-1,COLUMN('1-DATA'!AW265)),ROUND(INDEX('1-DATA'!$1:$1048576,IF(OR($B267="STD. DEVIATION",$C$1=1),$A267,$A267+1),COLUMN('1-DATA'!AW265)),IF($B267="STD. DEVIATION",2,$F$1))))</f>
        <v/>
      </c>
      <c r="AY267" s="1" t="str">
        <f>IF(OR($B267="",AY$7=""),"",IF($B267="MEANS",INDEX('1-DATA'!$1:$1048576,$A266-1,COLUMN('1-DATA'!AX265)),ROUND(INDEX('1-DATA'!$1:$1048576,IF(OR($B267="STD. DEVIATION",$C$1=1),$A267,$A267+1),COLUMN('1-DATA'!AX265)),IF($B267="STD. DEVIATION",2,$F$1))))</f>
        <v/>
      </c>
      <c r="AZ267" s="1" t="str">
        <f>IF(OR($B267="",AZ$7=""),"",IF($B267="MEANS",INDEX('1-DATA'!$1:$1048576,$A266-1,COLUMN('1-DATA'!AY265)),ROUND(INDEX('1-DATA'!$1:$1048576,IF(OR($B267="STD. DEVIATION",$C$1=1),$A267,$A267+1),COLUMN('1-DATA'!AY265)),IF($B267="STD. DEVIATION",2,$F$1))))</f>
        <v/>
      </c>
    </row>
    <row r="268" spans="1:52" x14ac:dyDescent="0.25">
      <c r="A268" s="11">
        <f t="shared" si="4"/>
        <v>790</v>
      </c>
      <c r="B268" s="1" t="str">
        <f>IF(B267="STD. DEVIATION",INDEX('1-DATA'!$1:$1048576,$A267-1,1),IF(INDEX('1-DATA'!$1:$1048576,$A268,1)&lt;&gt;"",INDEX('1-DATA'!$1:$1048576,$A268,1),""))</f>
        <v/>
      </c>
      <c r="C268" s="1" t="str">
        <f>IF(OR($B268="",C$7=""),"",IF($B268="MEANS",INDEX('1-DATA'!$1:$1048576,$A267-1,COLUMN('1-DATA'!B266)),ROUND(INDEX('1-DATA'!$1:$1048576,IF(OR($B268="STD. DEVIATION",$C$1=1),$A268,$A268+1),COLUMN('1-DATA'!B266)),IF($B268="STD. DEVIATION",2,$F$1))))</f>
        <v/>
      </c>
      <c r="D268" s="1" t="str">
        <f>IF(OR($B268="",D$7=""),"",IF($B268="MEANS",INDEX('1-DATA'!$1:$1048576,$A267-1,COLUMN('1-DATA'!C266)),ROUND(INDEX('1-DATA'!$1:$1048576,IF(OR($B268="STD. DEVIATION",$C$1=1),$A268,$A268+1),COLUMN('1-DATA'!C266)),IF($B268="STD. DEVIATION",2,$F$1))))</f>
        <v/>
      </c>
      <c r="E268" s="1" t="str">
        <f>IF(OR($B268="",E$7=""),"",IF($B268="MEANS",INDEX('1-DATA'!$1:$1048576,$A267-1,COLUMN('1-DATA'!D266)),ROUND(INDEX('1-DATA'!$1:$1048576,IF(OR($B268="STD. DEVIATION",$C$1=1),$A268,$A268+1),COLUMN('1-DATA'!D266)),IF($B268="STD. DEVIATION",2,$F$1))))</f>
        <v/>
      </c>
      <c r="F268" s="1" t="str">
        <f>IF(OR($B268="",F$7=""),"",IF($B268="MEANS",INDEX('1-DATA'!$1:$1048576,$A267-1,COLUMN('1-DATA'!E266)),ROUND(INDEX('1-DATA'!$1:$1048576,IF(OR($B268="STD. DEVIATION",$C$1=1),$A268,$A268+1),COLUMN('1-DATA'!E266)),IF($B268="STD. DEVIATION",2,$F$1))))</f>
        <v/>
      </c>
      <c r="G268" s="1" t="str">
        <f>IF(OR($B268="",G$7=""),"",IF($B268="MEANS",INDEX('1-DATA'!$1:$1048576,$A267-1,COLUMN('1-DATA'!F266)),ROUND(INDEX('1-DATA'!$1:$1048576,IF(OR($B268="STD. DEVIATION",$C$1=1),$A268,$A268+1),COLUMN('1-DATA'!F266)),IF($B268="STD. DEVIATION",2,$F$1))))</f>
        <v/>
      </c>
      <c r="H268" s="1" t="str">
        <f>IF(OR($B268="",H$7=""),"",IF($B268="MEANS",INDEX('1-DATA'!$1:$1048576,$A267-1,COLUMN('1-DATA'!G266)),ROUND(INDEX('1-DATA'!$1:$1048576,IF(OR($B268="STD. DEVIATION",$C$1=1),$A268,$A268+1),COLUMN('1-DATA'!G266)),IF($B268="STD. DEVIATION",2,$F$1))))</f>
        <v/>
      </c>
      <c r="I268" s="1" t="str">
        <f>IF(OR($B268="",I$7=""),"",IF($B268="MEANS",INDEX('1-DATA'!$1:$1048576,$A267-1,COLUMN('1-DATA'!H266)),ROUND(INDEX('1-DATA'!$1:$1048576,IF(OR($B268="STD. DEVIATION",$C$1=1),$A268,$A268+1),COLUMN('1-DATA'!H266)),IF($B268="STD. DEVIATION",2,$F$1))))</f>
        <v/>
      </c>
      <c r="J268" s="1" t="str">
        <f>IF(OR($B268="",J$7=""),"",IF($B268="MEANS",INDEX('1-DATA'!$1:$1048576,$A267-1,COLUMN('1-DATA'!I266)),ROUND(INDEX('1-DATA'!$1:$1048576,IF(OR($B268="STD. DEVIATION",$C$1=1),$A268,$A268+1),COLUMN('1-DATA'!I266)),IF($B268="STD. DEVIATION",2,$F$1))))</f>
        <v/>
      </c>
      <c r="K268" s="1" t="str">
        <f>IF(OR($B268="",K$7=""),"",IF($B268="MEANS",INDEX('1-DATA'!$1:$1048576,$A267-1,COLUMN('1-DATA'!J266)),ROUND(INDEX('1-DATA'!$1:$1048576,IF(OR($B268="STD. DEVIATION",$C$1=1),$A268,$A268+1),COLUMN('1-DATA'!J266)),IF($B268="STD. DEVIATION",2,$F$1))))</f>
        <v/>
      </c>
      <c r="L268" s="1" t="str">
        <f>IF(OR($B268="",L$7=""),"",IF($B268="MEANS",INDEX('1-DATA'!$1:$1048576,$A267-1,COLUMN('1-DATA'!K266)),ROUND(INDEX('1-DATA'!$1:$1048576,IF(OR($B268="STD. DEVIATION",$C$1=1),$A268,$A268+1),COLUMN('1-DATA'!K266)),IF($B268="STD. DEVIATION",2,$F$1))))</f>
        <v/>
      </c>
      <c r="M268" s="1" t="str">
        <f>IF(OR($B268="",M$7=""),"",IF($B268="MEANS",INDEX('1-DATA'!$1:$1048576,$A267-1,COLUMN('1-DATA'!L266)),ROUND(INDEX('1-DATA'!$1:$1048576,IF(OR($B268="STD. DEVIATION",$C$1=1),$A268,$A268+1),COLUMN('1-DATA'!L266)),IF($B268="STD. DEVIATION",2,$F$1))))</f>
        <v/>
      </c>
      <c r="N268" s="1" t="str">
        <f>IF(OR($B268="",N$7=""),"",IF($B268="MEANS",INDEX('1-DATA'!$1:$1048576,$A267-1,COLUMN('1-DATA'!M266)),ROUND(INDEX('1-DATA'!$1:$1048576,IF(OR($B268="STD. DEVIATION",$C$1=1),$A268,$A268+1),COLUMN('1-DATA'!M266)),IF($B268="STD. DEVIATION",2,$F$1))))</f>
        <v/>
      </c>
      <c r="O268" s="1" t="str">
        <f>IF(OR($B268="",O$7=""),"",IF($B268="MEANS",INDEX('1-DATA'!$1:$1048576,$A267-1,COLUMN('1-DATA'!N266)),ROUND(INDEX('1-DATA'!$1:$1048576,IF(OR($B268="STD. DEVIATION",$C$1=1),$A268,$A268+1),COLUMN('1-DATA'!N266)),IF($B268="STD. DEVIATION",2,$F$1))))</f>
        <v/>
      </c>
      <c r="P268" s="1" t="str">
        <f>IF(OR($B268="",P$7=""),"",IF($B268="MEANS",INDEX('1-DATA'!$1:$1048576,$A267-1,COLUMN('1-DATA'!O266)),ROUND(INDEX('1-DATA'!$1:$1048576,IF(OR($B268="STD. DEVIATION",$C$1=1),$A268,$A268+1),COLUMN('1-DATA'!O266)),IF($B268="STD. DEVIATION",2,$F$1))))</f>
        <v/>
      </c>
      <c r="Q268" s="1" t="str">
        <f>IF(OR($B268="",Q$7=""),"",IF($B268="MEANS",INDEX('1-DATA'!$1:$1048576,$A267-1,COLUMN('1-DATA'!P266)),ROUND(INDEX('1-DATA'!$1:$1048576,IF(OR($B268="STD. DEVIATION",$C$1=1),$A268,$A268+1),COLUMN('1-DATA'!P266)),IF($B268="STD. DEVIATION",2,$F$1))))</f>
        <v/>
      </c>
      <c r="R268" s="1" t="str">
        <f>IF(OR($B268="",R$7=""),"",IF($B268="MEANS",INDEX('1-DATA'!$1:$1048576,$A267-1,COLUMN('1-DATA'!Q266)),ROUND(INDEX('1-DATA'!$1:$1048576,IF(OR($B268="STD. DEVIATION",$C$1=1),$A268,$A268+1),COLUMN('1-DATA'!Q266)),IF($B268="STD. DEVIATION",2,$F$1))))</f>
        <v/>
      </c>
      <c r="S268" s="1" t="str">
        <f>IF(OR($B268="",S$7=""),"",IF($B268="MEANS",INDEX('1-DATA'!$1:$1048576,$A267-1,COLUMN('1-DATA'!R266)),ROUND(INDEX('1-DATA'!$1:$1048576,IF(OR($B268="STD. DEVIATION",$C$1=1),$A268,$A268+1),COLUMN('1-DATA'!R266)),IF($B268="STD. DEVIATION",2,$F$1))))</f>
        <v/>
      </c>
      <c r="T268" s="1" t="str">
        <f>IF(OR($B268="",T$7=""),"",IF($B268="MEANS",INDEX('1-DATA'!$1:$1048576,$A267-1,COLUMN('1-DATA'!S266)),ROUND(INDEX('1-DATA'!$1:$1048576,IF(OR($B268="STD. DEVIATION",$C$1=1),$A268,$A268+1),COLUMN('1-DATA'!S266)),IF($B268="STD. DEVIATION",2,$F$1))))</f>
        <v/>
      </c>
      <c r="U268" s="1" t="str">
        <f>IF(OR($B268="",U$7=""),"",IF($B268="MEANS",INDEX('1-DATA'!$1:$1048576,$A267-1,COLUMN('1-DATA'!T266)),ROUND(INDEX('1-DATA'!$1:$1048576,IF(OR($B268="STD. DEVIATION",$C$1=1),$A268,$A268+1),COLUMN('1-DATA'!T266)),IF($B268="STD. DEVIATION",2,$F$1))))</f>
        <v/>
      </c>
      <c r="V268" s="1" t="str">
        <f>IF(OR($B268="",V$7=""),"",IF($B268="MEANS",INDEX('1-DATA'!$1:$1048576,$A267-1,COLUMN('1-DATA'!U266)),ROUND(INDEX('1-DATA'!$1:$1048576,IF(OR($B268="STD. DEVIATION",$C$1=1),$A268,$A268+1),COLUMN('1-DATA'!U266)),IF($B268="STD. DEVIATION",2,$F$1))))</f>
        <v/>
      </c>
      <c r="W268" s="1" t="str">
        <f>IF(OR($B268="",W$7=""),"",IF($B268="MEANS",INDEX('1-DATA'!$1:$1048576,$A267-1,COLUMN('1-DATA'!V266)),ROUND(INDEX('1-DATA'!$1:$1048576,IF(OR($B268="STD. DEVIATION",$C$1=1),$A268,$A268+1),COLUMN('1-DATA'!V266)),IF($B268="STD. DEVIATION",2,$F$1))))</f>
        <v/>
      </c>
      <c r="X268" s="1" t="str">
        <f>IF(OR($B268="",X$7=""),"",IF($B268="MEANS",INDEX('1-DATA'!$1:$1048576,$A267-1,COLUMN('1-DATA'!W266)),ROUND(INDEX('1-DATA'!$1:$1048576,IF(OR($B268="STD. DEVIATION",$C$1=1),$A268,$A268+1),COLUMN('1-DATA'!W266)),IF($B268="STD. DEVIATION",2,$F$1))))</f>
        <v/>
      </c>
      <c r="Y268" s="1" t="str">
        <f>IF(OR($B268="",Y$7=""),"",IF($B268="MEANS",INDEX('1-DATA'!$1:$1048576,$A267-1,COLUMN('1-DATA'!X266)),ROUND(INDEX('1-DATA'!$1:$1048576,IF(OR($B268="STD. DEVIATION",$C$1=1),$A268,$A268+1),COLUMN('1-DATA'!X266)),IF($B268="STD. DEVIATION",2,$F$1))))</f>
        <v/>
      </c>
      <c r="Z268" s="1" t="str">
        <f>IF(OR($B268="",Z$7=""),"",IF($B268="MEANS",INDEX('1-DATA'!$1:$1048576,$A267-1,COLUMN('1-DATA'!Y266)),ROUND(INDEX('1-DATA'!$1:$1048576,IF(OR($B268="STD. DEVIATION",$C$1=1),$A268,$A268+1),COLUMN('1-DATA'!Y266)),IF($B268="STD. DEVIATION",2,$F$1))))</f>
        <v/>
      </c>
      <c r="AA268" s="1" t="str">
        <f>IF(OR($B268="",AA$7=""),"",IF($B268="MEANS",INDEX('1-DATA'!$1:$1048576,$A267-1,COLUMN('1-DATA'!Z266)),ROUND(INDEX('1-DATA'!$1:$1048576,IF(OR($B268="STD. DEVIATION",$C$1=1),$A268,$A268+1),COLUMN('1-DATA'!Z266)),IF($B268="STD. DEVIATION",2,$F$1))))</f>
        <v/>
      </c>
      <c r="AB268" s="1" t="str">
        <f>IF(OR($B268="",AB$7=""),"",IF($B268="MEANS",INDEX('1-DATA'!$1:$1048576,$A267-1,COLUMN('1-DATA'!AA266)),ROUND(INDEX('1-DATA'!$1:$1048576,IF(OR($B268="STD. DEVIATION",$C$1=1),$A268,$A268+1),COLUMN('1-DATA'!AA266)),IF($B268="STD. DEVIATION",2,$F$1))))</f>
        <v/>
      </c>
      <c r="AC268" s="1" t="str">
        <f>IF(OR($B268="",AC$7=""),"",IF($B268="MEANS",INDEX('1-DATA'!$1:$1048576,$A267-1,COLUMN('1-DATA'!AB266)),ROUND(INDEX('1-DATA'!$1:$1048576,IF(OR($B268="STD. DEVIATION",$C$1=1),$A268,$A268+1),COLUMN('1-DATA'!AB266)),IF($B268="STD. DEVIATION",2,$F$1))))</f>
        <v/>
      </c>
      <c r="AD268" s="1" t="str">
        <f>IF(OR($B268="",AD$7=""),"",IF($B268="MEANS",INDEX('1-DATA'!$1:$1048576,$A267-1,COLUMN('1-DATA'!AC266)),ROUND(INDEX('1-DATA'!$1:$1048576,IF(OR($B268="STD. DEVIATION",$C$1=1),$A268,$A268+1),COLUMN('1-DATA'!AC266)),IF($B268="STD. DEVIATION",2,$F$1))))</f>
        <v/>
      </c>
      <c r="AE268" s="1" t="str">
        <f>IF(OR($B268="",AE$7=""),"",IF($B268="MEANS",INDEX('1-DATA'!$1:$1048576,$A267-1,COLUMN('1-DATA'!AD266)),ROUND(INDEX('1-DATA'!$1:$1048576,IF(OR($B268="STD. DEVIATION",$C$1=1),$A268,$A268+1),COLUMN('1-DATA'!AD266)),IF($B268="STD. DEVIATION",2,$F$1))))</f>
        <v/>
      </c>
      <c r="AF268" s="1" t="str">
        <f>IF(OR($B268="",AF$7=""),"",IF($B268="MEANS",INDEX('1-DATA'!$1:$1048576,$A267-1,COLUMN('1-DATA'!AE266)),ROUND(INDEX('1-DATA'!$1:$1048576,IF(OR($B268="STD. DEVIATION",$C$1=1),$A268,$A268+1),COLUMN('1-DATA'!AE266)),IF($B268="STD. DEVIATION",2,$F$1))))</f>
        <v/>
      </c>
      <c r="AG268" s="1" t="str">
        <f>IF(OR($B268="",AG$7=""),"",IF($B268="MEANS",INDEX('1-DATA'!$1:$1048576,$A267-1,COLUMN('1-DATA'!AF266)),ROUND(INDEX('1-DATA'!$1:$1048576,IF(OR($B268="STD. DEVIATION",$C$1=1),$A268,$A268+1),COLUMN('1-DATA'!AF266)),IF($B268="STD. DEVIATION",2,$F$1))))</f>
        <v/>
      </c>
      <c r="AH268" s="1" t="str">
        <f>IF(OR($B268="",AH$7=""),"",IF($B268="MEANS",INDEX('1-DATA'!$1:$1048576,$A267-1,COLUMN('1-DATA'!AG266)),ROUND(INDEX('1-DATA'!$1:$1048576,IF(OR($B268="STD. DEVIATION",$C$1=1),$A268,$A268+1),COLUMN('1-DATA'!AG266)),IF($B268="STD. DEVIATION",2,$F$1))))</f>
        <v/>
      </c>
      <c r="AI268" s="1" t="str">
        <f>IF(OR($B268="",AI$7=""),"",IF($B268="MEANS",INDEX('1-DATA'!$1:$1048576,$A267-1,COLUMN('1-DATA'!AH266)),ROUND(INDEX('1-DATA'!$1:$1048576,IF(OR($B268="STD. DEVIATION",$C$1=1),$A268,$A268+1),COLUMN('1-DATA'!AH266)),IF($B268="STD. DEVIATION",2,$F$1))))</f>
        <v/>
      </c>
      <c r="AJ268" s="1" t="str">
        <f>IF(OR($B268="",AJ$7=""),"",IF($B268="MEANS",INDEX('1-DATA'!$1:$1048576,$A267-1,COLUMN('1-DATA'!AI266)),ROUND(INDEX('1-DATA'!$1:$1048576,IF(OR($B268="STD. DEVIATION",$C$1=1),$A268,$A268+1),COLUMN('1-DATA'!AI266)),IF($B268="STD. DEVIATION",2,$F$1))))</f>
        <v/>
      </c>
      <c r="AK268" s="1" t="str">
        <f>IF(OR($B268="",AK$7=""),"",IF($B268="MEANS",INDEX('1-DATA'!$1:$1048576,$A267-1,COLUMN('1-DATA'!AJ266)),ROUND(INDEX('1-DATA'!$1:$1048576,IF(OR($B268="STD. DEVIATION",$C$1=1),$A268,$A268+1),COLUMN('1-DATA'!AJ266)),IF($B268="STD. DEVIATION",2,$F$1))))</f>
        <v/>
      </c>
      <c r="AL268" s="1" t="str">
        <f>IF(OR($B268="",AL$7=""),"",IF($B268="MEANS",INDEX('1-DATA'!$1:$1048576,$A267-1,COLUMN('1-DATA'!AK266)),ROUND(INDEX('1-DATA'!$1:$1048576,IF(OR($B268="STD. DEVIATION",$C$1=1),$A268,$A268+1),COLUMN('1-DATA'!AK266)),IF($B268="STD. DEVIATION",2,$F$1))))</f>
        <v/>
      </c>
      <c r="AM268" s="1" t="str">
        <f>IF(OR($B268="",AM$7=""),"",IF($B268="MEANS",INDEX('1-DATA'!$1:$1048576,$A267-1,COLUMN('1-DATA'!AL266)),ROUND(INDEX('1-DATA'!$1:$1048576,IF(OR($B268="STD. DEVIATION",$C$1=1),$A268,$A268+1),COLUMN('1-DATA'!AL266)),IF($B268="STD. DEVIATION",2,$F$1))))</f>
        <v/>
      </c>
      <c r="AN268" s="1" t="str">
        <f>IF(OR($B268="",AN$7=""),"",IF($B268="MEANS",INDEX('1-DATA'!$1:$1048576,$A267-1,COLUMN('1-DATA'!AM266)),ROUND(INDEX('1-DATA'!$1:$1048576,IF(OR($B268="STD. DEVIATION",$C$1=1),$A268,$A268+1),COLUMN('1-DATA'!AM266)),IF($B268="STD. DEVIATION",2,$F$1))))</f>
        <v/>
      </c>
      <c r="AO268" s="1" t="str">
        <f>IF(OR($B268="",AO$7=""),"",IF($B268="MEANS",INDEX('1-DATA'!$1:$1048576,$A267-1,COLUMN('1-DATA'!AN266)),ROUND(INDEX('1-DATA'!$1:$1048576,IF(OR($B268="STD. DEVIATION",$C$1=1),$A268,$A268+1),COLUMN('1-DATA'!AN266)),IF($B268="STD. DEVIATION",2,$F$1))))</f>
        <v/>
      </c>
      <c r="AP268" s="1" t="str">
        <f>IF(OR($B268="",AP$7=""),"",IF($B268="MEANS",INDEX('1-DATA'!$1:$1048576,$A267-1,COLUMN('1-DATA'!AO266)),ROUND(INDEX('1-DATA'!$1:$1048576,IF(OR($B268="STD. DEVIATION",$C$1=1),$A268,$A268+1),COLUMN('1-DATA'!AO266)),IF($B268="STD. DEVIATION",2,$F$1))))</f>
        <v/>
      </c>
      <c r="AQ268" s="1" t="str">
        <f>IF(OR($B268="",AQ$7=""),"",IF($B268="MEANS",INDEX('1-DATA'!$1:$1048576,$A267-1,COLUMN('1-DATA'!AP266)),ROUND(INDEX('1-DATA'!$1:$1048576,IF(OR($B268="STD. DEVIATION",$C$1=1),$A268,$A268+1),COLUMN('1-DATA'!AP266)),IF($B268="STD. DEVIATION",2,$F$1))))</f>
        <v/>
      </c>
      <c r="AR268" s="1" t="str">
        <f>IF(OR($B268="",AR$7=""),"",IF($B268="MEANS",INDEX('1-DATA'!$1:$1048576,$A267-1,COLUMN('1-DATA'!AQ266)),ROUND(INDEX('1-DATA'!$1:$1048576,IF(OR($B268="STD. DEVIATION",$C$1=1),$A268,$A268+1),COLUMN('1-DATA'!AQ266)),IF($B268="STD. DEVIATION",2,$F$1))))</f>
        <v/>
      </c>
      <c r="AS268" s="1" t="str">
        <f>IF(OR($B268="",AS$7=""),"",IF($B268="MEANS",INDEX('1-DATA'!$1:$1048576,$A267-1,COLUMN('1-DATA'!AR266)),ROUND(INDEX('1-DATA'!$1:$1048576,IF(OR($B268="STD. DEVIATION",$C$1=1),$A268,$A268+1),COLUMN('1-DATA'!AR266)),IF($B268="STD. DEVIATION",2,$F$1))))</f>
        <v/>
      </c>
      <c r="AT268" s="1" t="str">
        <f>IF(OR($B268="",AT$7=""),"",IF($B268="MEANS",INDEX('1-DATA'!$1:$1048576,$A267-1,COLUMN('1-DATA'!AS266)),ROUND(INDEX('1-DATA'!$1:$1048576,IF(OR($B268="STD. DEVIATION",$C$1=1),$A268,$A268+1),COLUMN('1-DATA'!AS266)),IF($B268="STD. DEVIATION",2,$F$1))))</f>
        <v/>
      </c>
      <c r="AU268" s="1" t="str">
        <f>IF(OR($B268="",AU$7=""),"",IF($B268="MEANS",INDEX('1-DATA'!$1:$1048576,$A267-1,COLUMN('1-DATA'!AT266)),ROUND(INDEX('1-DATA'!$1:$1048576,IF(OR($B268="STD. DEVIATION",$C$1=1),$A268,$A268+1),COLUMN('1-DATA'!AT266)),IF($B268="STD. DEVIATION",2,$F$1))))</f>
        <v/>
      </c>
      <c r="AV268" s="1" t="str">
        <f>IF(OR($B268="",AV$7=""),"",IF($B268="MEANS",INDEX('1-DATA'!$1:$1048576,$A267-1,COLUMN('1-DATA'!AU266)),ROUND(INDEX('1-DATA'!$1:$1048576,IF(OR($B268="STD. DEVIATION",$C$1=1),$A268,$A268+1),COLUMN('1-DATA'!AU266)),IF($B268="STD. DEVIATION",2,$F$1))))</f>
        <v/>
      </c>
      <c r="AW268" s="1" t="str">
        <f>IF(OR($B268="",AW$7=""),"",IF($B268="MEANS",INDEX('1-DATA'!$1:$1048576,$A267-1,COLUMN('1-DATA'!AV266)),ROUND(INDEX('1-DATA'!$1:$1048576,IF(OR($B268="STD. DEVIATION",$C$1=1),$A268,$A268+1),COLUMN('1-DATA'!AV266)),IF($B268="STD. DEVIATION",2,$F$1))))</f>
        <v/>
      </c>
      <c r="AX268" s="1" t="str">
        <f>IF(OR($B268="",AX$7=""),"",IF($B268="MEANS",INDEX('1-DATA'!$1:$1048576,$A267-1,COLUMN('1-DATA'!AW266)),ROUND(INDEX('1-DATA'!$1:$1048576,IF(OR($B268="STD. DEVIATION",$C$1=1),$A268,$A268+1),COLUMN('1-DATA'!AW266)),IF($B268="STD. DEVIATION",2,$F$1))))</f>
        <v/>
      </c>
      <c r="AY268" s="1" t="str">
        <f>IF(OR($B268="",AY$7=""),"",IF($B268="MEANS",INDEX('1-DATA'!$1:$1048576,$A267-1,COLUMN('1-DATA'!AX266)),ROUND(INDEX('1-DATA'!$1:$1048576,IF(OR($B268="STD. DEVIATION",$C$1=1),$A268,$A268+1),COLUMN('1-DATA'!AX266)),IF($B268="STD. DEVIATION",2,$F$1))))</f>
        <v/>
      </c>
      <c r="AZ268" s="1" t="str">
        <f>IF(OR($B268="",AZ$7=""),"",IF($B268="MEANS",INDEX('1-DATA'!$1:$1048576,$A267-1,COLUMN('1-DATA'!AY266)),ROUND(INDEX('1-DATA'!$1:$1048576,IF(OR($B268="STD. DEVIATION",$C$1=1),$A268,$A268+1),COLUMN('1-DATA'!AY266)),IF($B268="STD. DEVIATION",2,$F$1))))</f>
        <v/>
      </c>
    </row>
    <row r="269" spans="1:52" x14ac:dyDescent="0.25">
      <c r="A269" s="11">
        <f t="shared" si="4"/>
        <v>793</v>
      </c>
      <c r="B269" s="1" t="str">
        <f>IF(B268="STD. DEVIATION",INDEX('1-DATA'!$1:$1048576,$A268-1,1),IF(INDEX('1-DATA'!$1:$1048576,$A269,1)&lt;&gt;"",INDEX('1-DATA'!$1:$1048576,$A269,1),""))</f>
        <v/>
      </c>
      <c r="C269" s="1" t="str">
        <f>IF(OR($B269="",C$7=""),"",IF($B269="MEANS",INDEX('1-DATA'!$1:$1048576,$A268-1,COLUMN('1-DATA'!B267)),ROUND(INDEX('1-DATA'!$1:$1048576,IF(OR($B269="STD. DEVIATION",$C$1=1),$A269,$A269+1),COLUMN('1-DATA'!B267)),IF($B269="STD. DEVIATION",2,$F$1))))</f>
        <v/>
      </c>
      <c r="D269" s="1" t="str">
        <f>IF(OR($B269="",D$7=""),"",IF($B269="MEANS",INDEX('1-DATA'!$1:$1048576,$A268-1,COLUMN('1-DATA'!C267)),ROUND(INDEX('1-DATA'!$1:$1048576,IF(OR($B269="STD. DEVIATION",$C$1=1),$A269,$A269+1),COLUMN('1-DATA'!C267)),IF($B269="STD. DEVIATION",2,$F$1))))</f>
        <v/>
      </c>
      <c r="E269" s="1" t="str">
        <f>IF(OR($B269="",E$7=""),"",IF($B269="MEANS",INDEX('1-DATA'!$1:$1048576,$A268-1,COLUMN('1-DATA'!D267)),ROUND(INDEX('1-DATA'!$1:$1048576,IF(OR($B269="STD. DEVIATION",$C$1=1),$A269,$A269+1),COLUMN('1-DATA'!D267)),IF($B269="STD. DEVIATION",2,$F$1))))</f>
        <v/>
      </c>
      <c r="F269" s="1" t="str">
        <f>IF(OR($B269="",F$7=""),"",IF($B269="MEANS",INDEX('1-DATA'!$1:$1048576,$A268-1,COLUMN('1-DATA'!E267)),ROUND(INDEX('1-DATA'!$1:$1048576,IF(OR($B269="STD. DEVIATION",$C$1=1),$A269,$A269+1),COLUMN('1-DATA'!E267)),IF($B269="STD. DEVIATION",2,$F$1))))</f>
        <v/>
      </c>
      <c r="G269" s="1" t="str">
        <f>IF(OR($B269="",G$7=""),"",IF($B269="MEANS",INDEX('1-DATA'!$1:$1048576,$A268-1,COLUMN('1-DATA'!F267)),ROUND(INDEX('1-DATA'!$1:$1048576,IF(OR($B269="STD. DEVIATION",$C$1=1),$A269,$A269+1),COLUMN('1-DATA'!F267)),IF($B269="STD. DEVIATION",2,$F$1))))</f>
        <v/>
      </c>
      <c r="H269" s="1" t="str">
        <f>IF(OR($B269="",H$7=""),"",IF($B269="MEANS",INDEX('1-DATA'!$1:$1048576,$A268-1,COLUMN('1-DATA'!G267)),ROUND(INDEX('1-DATA'!$1:$1048576,IF(OR($B269="STD. DEVIATION",$C$1=1),$A269,$A269+1),COLUMN('1-DATA'!G267)),IF($B269="STD. DEVIATION",2,$F$1))))</f>
        <v/>
      </c>
      <c r="I269" s="1" t="str">
        <f>IF(OR($B269="",I$7=""),"",IF($B269="MEANS",INDEX('1-DATA'!$1:$1048576,$A268-1,COLUMN('1-DATA'!H267)),ROUND(INDEX('1-DATA'!$1:$1048576,IF(OR($B269="STD. DEVIATION",$C$1=1),$A269,$A269+1),COLUMN('1-DATA'!H267)),IF($B269="STD. DEVIATION",2,$F$1))))</f>
        <v/>
      </c>
      <c r="J269" s="1" t="str">
        <f>IF(OR($B269="",J$7=""),"",IF($B269="MEANS",INDEX('1-DATA'!$1:$1048576,$A268-1,COLUMN('1-DATA'!I267)),ROUND(INDEX('1-DATA'!$1:$1048576,IF(OR($B269="STD. DEVIATION",$C$1=1),$A269,$A269+1),COLUMN('1-DATA'!I267)),IF($B269="STD. DEVIATION",2,$F$1))))</f>
        <v/>
      </c>
      <c r="K269" s="1" t="str">
        <f>IF(OR($B269="",K$7=""),"",IF($B269="MEANS",INDEX('1-DATA'!$1:$1048576,$A268-1,COLUMN('1-DATA'!J267)),ROUND(INDEX('1-DATA'!$1:$1048576,IF(OR($B269="STD. DEVIATION",$C$1=1),$A269,$A269+1),COLUMN('1-DATA'!J267)),IF($B269="STD. DEVIATION",2,$F$1))))</f>
        <v/>
      </c>
      <c r="L269" s="1" t="str">
        <f>IF(OR($B269="",L$7=""),"",IF($B269="MEANS",INDEX('1-DATA'!$1:$1048576,$A268-1,COLUMN('1-DATA'!K267)),ROUND(INDEX('1-DATA'!$1:$1048576,IF(OR($B269="STD. DEVIATION",$C$1=1),$A269,$A269+1),COLUMN('1-DATA'!K267)),IF($B269="STD. DEVIATION",2,$F$1))))</f>
        <v/>
      </c>
      <c r="M269" s="1" t="str">
        <f>IF(OR($B269="",M$7=""),"",IF($B269="MEANS",INDEX('1-DATA'!$1:$1048576,$A268-1,COLUMN('1-DATA'!L267)),ROUND(INDEX('1-DATA'!$1:$1048576,IF(OR($B269="STD. DEVIATION",$C$1=1),$A269,$A269+1),COLUMN('1-DATA'!L267)),IF($B269="STD. DEVIATION",2,$F$1))))</f>
        <v/>
      </c>
      <c r="N269" s="1" t="str">
        <f>IF(OR($B269="",N$7=""),"",IF($B269="MEANS",INDEX('1-DATA'!$1:$1048576,$A268-1,COLUMN('1-DATA'!M267)),ROUND(INDEX('1-DATA'!$1:$1048576,IF(OR($B269="STD. DEVIATION",$C$1=1),$A269,$A269+1),COLUMN('1-DATA'!M267)),IF($B269="STD. DEVIATION",2,$F$1))))</f>
        <v/>
      </c>
      <c r="O269" s="1" t="str">
        <f>IF(OR($B269="",O$7=""),"",IF($B269="MEANS",INDEX('1-DATA'!$1:$1048576,$A268-1,COLUMN('1-DATA'!N267)),ROUND(INDEX('1-DATA'!$1:$1048576,IF(OR($B269="STD. DEVIATION",$C$1=1),$A269,$A269+1),COLUMN('1-DATA'!N267)),IF($B269="STD. DEVIATION",2,$F$1))))</f>
        <v/>
      </c>
      <c r="P269" s="1" t="str">
        <f>IF(OR($B269="",P$7=""),"",IF($B269="MEANS",INDEX('1-DATA'!$1:$1048576,$A268-1,COLUMN('1-DATA'!O267)),ROUND(INDEX('1-DATA'!$1:$1048576,IF(OR($B269="STD. DEVIATION",$C$1=1),$A269,$A269+1),COLUMN('1-DATA'!O267)),IF($B269="STD. DEVIATION",2,$F$1))))</f>
        <v/>
      </c>
      <c r="Q269" s="1" t="str">
        <f>IF(OR($B269="",Q$7=""),"",IF($B269="MEANS",INDEX('1-DATA'!$1:$1048576,$A268-1,COLUMN('1-DATA'!P267)),ROUND(INDEX('1-DATA'!$1:$1048576,IF(OR($B269="STD. DEVIATION",$C$1=1),$A269,$A269+1),COLUMN('1-DATA'!P267)),IF($B269="STD. DEVIATION",2,$F$1))))</f>
        <v/>
      </c>
      <c r="R269" s="1" t="str">
        <f>IF(OR($B269="",R$7=""),"",IF($B269="MEANS",INDEX('1-DATA'!$1:$1048576,$A268-1,COLUMN('1-DATA'!Q267)),ROUND(INDEX('1-DATA'!$1:$1048576,IF(OR($B269="STD. DEVIATION",$C$1=1),$A269,$A269+1),COLUMN('1-DATA'!Q267)),IF($B269="STD. DEVIATION",2,$F$1))))</f>
        <v/>
      </c>
      <c r="S269" s="1" t="str">
        <f>IF(OR($B269="",S$7=""),"",IF($B269="MEANS",INDEX('1-DATA'!$1:$1048576,$A268-1,COLUMN('1-DATA'!R267)),ROUND(INDEX('1-DATA'!$1:$1048576,IF(OR($B269="STD. DEVIATION",$C$1=1),$A269,$A269+1),COLUMN('1-DATA'!R267)),IF($B269="STD. DEVIATION",2,$F$1))))</f>
        <v/>
      </c>
      <c r="T269" s="1" t="str">
        <f>IF(OR($B269="",T$7=""),"",IF($B269="MEANS",INDEX('1-DATA'!$1:$1048576,$A268-1,COLUMN('1-DATA'!S267)),ROUND(INDEX('1-DATA'!$1:$1048576,IF(OR($B269="STD. DEVIATION",$C$1=1),$A269,$A269+1),COLUMN('1-DATA'!S267)),IF($B269="STD. DEVIATION",2,$F$1))))</f>
        <v/>
      </c>
      <c r="U269" s="1" t="str">
        <f>IF(OR($B269="",U$7=""),"",IF($B269="MEANS",INDEX('1-DATA'!$1:$1048576,$A268-1,COLUMN('1-DATA'!T267)),ROUND(INDEX('1-DATA'!$1:$1048576,IF(OR($B269="STD. DEVIATION",$C$1=1),$A269,$A269+1),COLUMN('1-DATA'!T267)),IF($B269="STD. DEVIATION",2,$F$1))))</f>
        <v/>
      </c>
      <c r="V269" s="1" t="str">
        <f>IF(OR($B269="",V$7=""),"",IF($B269="MEANS",INDEX('1-DATA'!$1:$1048576,$A268-1,COLUMN('1-DATA'!U267)),ROUND(INDEX('1-DATA'!$1:$1048576,IF(OR($B269="STD. DEVIATION",$C$1=1),$A269,$A269+1),COLUMN('1-DATA'!U267)),IF($B269="STD. DEVIATION",2,$F$1))))</f>
        <v/>
      </c>
      <c r="W269" s="1" t="str">
        <f>IF(OR($B269="",W$7=""),"",IF($B269="MEANS",INDEX('1-DATA'!$1:$1048576,$A268-1,COLUMN('1-DATA'!V267)),ROUND(INDEX('1-DATA'!$1:$1048576,IF(OR($B269="STD. DEVIATION",$C$1=1),$A269,$A269+1),COLUMN('1-DATA'!V267)),IF($B269="STD. DEVIATION",2,$F$1))))</f>
        <v/>
      </c>
      <c r="X269" s="1" t="str">
        <f>IF(OR($B269="",X$7=""),"",IF($B269="MEANS",INDEX('1-DATA'!$1:$1048576,$A268-1,COLUMN('1-DATA'!W267)),ROUND(INDEX('1-DATA'!$1:$1048576,IF(OR($B269="STD. DEVIATION",$C$1=1),$A269,$A269+1),COLUMN('1-DATA'!W267)),IF($B269="STD. DEVIATION",2,$F$1))))</f>
        <v/>
      </c>
      <c r="Y269" s="1" t="str">
        <f>IF(OR($B269="",Y$7=""),"",IF($B269="MEANS",INDEX('1-DATA'!$1:$1048576,$A268-1,COLUMN('1-DATA'!X267)),ROUND(INDEX('1-DATA'!$1:$1048576,IF(OR($B269="STD. DEVIATION",$C$1=1),$A269,$A269+1),COLUMN('1-DATA'!X267)),IF($B269="STD. DEVIATION",2,$F$1))))</f>
        <v/>
      </c>
      <c r="Z269" s="1" t="str">
        <f>IF(OR($B269="",Z$7=""),"",IF($B269="MEANS",INDEX('1-DATA'!$1:$1048576,$A268-1,COLUMN('1-DATA'!Y267)),ROUND(INDEX('1-DATA'!$1:$1048576,IF(OR($B269="STD. DEVIATION",$C$1=1),$A269,$A269+1),COLUMN('1-DATA'!Y267)),IF($B269="STD. DEVIATION",2,$F$1))))</f>
        <v/>
      </c>
      <c r="AA269" s="1" t="str">
        <f>IF(OR($B269="",AA$7=""),"",IF($B269="MEANS",INDEX('1-DATA'!$1:$1048576,$A268-1,COLUMN('1-DATA'!Z267)),ROUND(INDEX('1-DATA'!$1:$1048576,IF(OR($B269="STD. DEVIATION",$C$1=1),$A269,$A269+1),COLUMN('1-DATA'!Z267)),IF($B269="STD. DEVIATION",2,$F$1))))</f>
        <v/>
      </c>
      <c r="AB269" s="1" t="str">
        <f>IF(OR($B269="",AB$7=""),"",IF($B269="MEANS",INDEX('1-DATA'!$1:$1048576,$A268-1,COLUMN('1-DATA'!AA267)),ROUND(INDEX('1-DATA'!$1:$1048576,IF(OR($B269="STD. DEVIATION",$C$1=1),$A269,$A269+1),COLUMN('1-DATA'!AA267)),IF($B269="STD. DEVIATION",2,$F$1))))</f>
        <v/>
      </c>
      <c r="AC269" s="1" t="str">
        <f>IF(OR($B269="",AC$7=""),"",IF($B269="MEANS",INDEX('1-DATA'!$1:$1048576,$A268-1,COLUMN('1-DATA'!AB267)),ROUND(INDEX('1-DATA'!$1:$1048576,IF(OR($B269="STD. DEVIATION",$C$1=1),$A269,$A269+1),COLUMN('1-DATA'!AB267)),IF($B269="STD. DEVIATION",2,$F$1))))</f>
        <v/>
      </c>
      <c r="AD269" s="1" t="str">
        <f>IF(OR($B269="",AD$7=""),"",IF($B269="MEANS",INDEX('1-DATA'!$1:$1048576,$A268-1,COLUMN('1-DATA'!AC267)),ROUND(INDEX('1-DATA'!$1:$1048576,IF(OR($B269="STD. DEVIATION",$C$1=1),$A269,$A269+1),COLUMN('1-DATA'!AC267)),IF($B269="STD. DEVIATION",2,$F$1))))</f>
        <v/>
      </c>
      <c r="AE269" s="1" t="str">
        <f>IF(OR($B269="",AE$7=""),"",IF($B269="MEANS",INDEX('1-DATA'!$1:$1048576,$A268-1,COLUMN('1-DATA'!AD267)),ROUND(INDEX('1-DATA'!$1:$1048576,IF(OR($B269="STD. DEVIATION",$C$1=1),$A269,$A269+1),COLUMN('1-DATA'!AD267)),IF($B269="STD. DEVIATION",2,$F$1))))</f>
        <v/>
      </c>
      <c r="AF269" s="1" t="str">
        <f>IF(OR($B269="",AF$7=""),"",IF($B269="MEANS",INDEX('1-DATA'!$1:$1048576,$A268-1,COLUMN('1-DATA'!AE267)),ROUND(INDEX('1-DATA'!$1:$1048576,IF(OR($B269="STD. DEVIATION",$C$1=1),$A269,$A269+1),COLUMN('1-DATA'!AE267)),IF($B269="STD. DEVIATION",2,$F$1))))</f>
        <v/>
      </c>
      <c r="AG269" s="1" t="str">
        <f>IF(OR($B269="",AG$7=""),"",IF($B269="MEANS",INDEX('1-DATA'!$1:$1048576,$A268-1,COLUMN('1-DATA'!AF267)),ROUND(INDEX('1-DATA'!$1:$1048576,IF(OR($B269="STD. DEVIATION",$C$1=1),$A269,$A269+1),COLUMN('1-DATA'!AF267)),IF($B269="STD. DEVIATION",2,$F$1))))</f>
        <v/>
      </c>
      <c r="AH269" s="1" t="str">
        <f>IF(OR($B269="",AH$7=""),"",IF($B269="MEANS",INDEX('1-DATA'!$1:$1048576,$A268-1,COLUMN('1-DATA'!AG267)),ROUND(INDEX('1-DATA'!$1:$1048576,IF(OR($B269="STD. DEVIATION",$C$1=1),$A269,$A269+1),COLUMN('1-DATA'!AG267)),IF($B269="STD. DEVIATION",2,$F$1))))</f>
        <v/>
      </c>
      <c r="AI269" s="1" t="str">
        <f>IF(OR($B269="",AI$7=""),"",IF($B269="MEANS",INDEX('1-DATA'!$1:$1048576,$A268-1,COLUMN('1-DATA'!AH267)),ROUND(INDEX('1-DATA'!$1:$1048576,IF(OR($B269="STD. DEVIATION",$C$1=1),$A269,$A269+1),COLUMN('1-DATA'!AH267)),IF($B269="STD. DEVIATION",2,$F$1))))</f>
        <v/>
      </c>
      <c r="AJ269" s="1" t="str">
        <f>IF(OR($B269="",AJ$7=""),"",IF($B269="MEANS",INDEX('1-DATA'!$1:$1048576,$A268-1,COLUMN('1-DATA'!AI267)),ROUND(INDEX('1-DATA'!$1:$1048576,IF(OR($B269="STD. DEVIATION",$C$1=1),$A269,$A269+1),COLUMN('1-DATA'!AI267)),IF($B269="STD. DEVIATION",2,$F$1))))</f>
        <v/>
      </c>
      <c r="AK269" s="1" t="str">
        <f>IF(OR($B269="",AK$7=""),"",IF($B269="MEANS",INDEX('1-DATA'!$1:$1048576,$A268-1,COLUMN('1-DATA'!AJ267)),ROUND(INDEX('1-DATA'!$1:$1048576,IF(OR($B269="STD. DEVIATION",$C$1=1),$A269,$A269+1),COLUMN('1-DATA'!AJ267)),IF($B269="STD. DEVIATION",2,$F$1))))</f>
        <v/>
      </c>
      <c r="AL269" s="1" t="str">
        <f>IF(OR($B269="",AL$7=""),"",IF($B269="MEANS",INDEX('1-DATA'!$1:$1048576,$A268-1,COLUMN('1-DATA'!AK267)),ROUND(INDEX('1-DATA'!$1:$1048576,IF(OR($B269="STD. DEVIATION",$C$1=1),$A269,$A269+1),COLUMN('1-DATA'!AK267)),IF($B269="STD. DEVIATION",2,$F$1))))</f>
        <v/>
      </c>
      <c r="AM269" s="1" t="str">
        <f>IF(OR($B269="",AM$7=""),"",IF($B269="MEANS",INDEX('1-DATA'!$1:$1048576,$A268-1,COLUMN('1-DATA'!AL267)),ROUND(INDEX('1-DATA'!$1:$1048576,IF(OR($B269="STD. DEVIATION",$C$1=1),$A269,$A269+1),COLUMN('1-DATA'!AL267)),IF($B269="STD. DEVIATION",2,$F$1))))</f>
        <v/>
      </c>
      <c r="AN269" s="1" t="str">
        <f>IF(OR($B269="",AN$7=""),"",IF($B269="MEANS",INDEX('1-DATA'!$1:$1048576,$A268-1,COLUMN('1-DATA'!AM267)),ROUND(INDEX('1-DATA'!$1:$1048576,IF(OR($B269="STD. DEVIATION",$C$1=1),$A269,$A269+1),COLUMN('1-DATA'!AM267)),IF($B269="STD. DEVIATION",2,$F$1))))</f>
        <v/>
      </c>
      <c r="AO269" s="1" t="str">
        <f>IF(OR($B269="",AO$7=""),"",IF($B269="MEANS",INDEX('1-DATA'!$1:$1048576,$A268-1,COLUMN('1-DATA'!AN267)),ROUND(INDEX('1-DATA'!$1:$1048576,IF(OR($B269="STD. DEVIATION",$C$1=1),$A269,$A269+1),COLUMN('1-DATA'!AN267)),IF($B269="STD. DEVIATION",2,$F$1))))</f>
        <v/>
      </c>
      <c r="AP269" s="1" t="str">
        <f>IF(OR($B269="",AP$7=""),"",IF($B269="MEANS",INDEX('1-DATA'!$1:$1048576,$A268-1,COLUMN('1-DATA'!AO267)),ROUND(INDEX('1-DATA'!$1:$1048576,IF(OR($B269="STD. DEVIATION",$C$1=1),$A269,$A269+1),COLUMN('1-DATA'!AO267)),IF($B269="STD. DEVIATION",2,$F$1))))</f>
        <v/>
      </c>
      <c r="AQ269" s="1" t="str">
        <f>IF(OR($B269="",AQ$7=""),"",IF($B269="MEANS",INDEX('1-DATA'!$1:$1048576,$A268-1,COLUMN('1-DATA'!AP267)),ROUND(INDEX('1-DATA'!$1:$1048576,IF(OR($B269="STD. DEVIATION",$C$1=1),$A269,$A269+1),COLUMN('1-DATA'!AP267)),IF($B269="STD. DEVIATION",2,$F$1))))</f>
        <v/>
      </c>
      <c r="AR269" s="1" t="str">
        <f>IF(OR($B269="",AR$7=""),"",IF($B269="MEANS",INDEX('1-DATA'!$1:$1048576,$A268-1,COLUMN('1-DATA'!AQ267)),ROUND(INDEX('1-DATA'!$1:$1048576,IF(OR($B269="STD. DEVIATION",$C$1=1),$A269,$A269+1),COLUMN('1-DATA'!AQ267)),IF($B269="STD. DEVIATION",2,$F$1))))</f>
        <v/>
      </c>
      <c r="AS269" s="1" t="str">
        <f>IF(OR($B269="",AS$7=""),"",IF($B269="MEANS",INDEX('1-DATA'!$1:$1048576,$A268-1,COLUMN('1-DATA'!AR267)),ROUND(INDEX('1-DATA'!$1:$1048576,IF(OR($B269="STD. DEVIATION",$C$1=1),$A269,$A269+1),COLUMN('1-DATA'!AR267)),IF($B269="STD. DEVIATION",2,$F$1))))</f>
        <v/>
      </c>
      <c r="AT269" s="1" t="str">
        <f>IF(OR($B269="",AT$7=""),"",IF($B269="MEANS",INDEX('1-DATA'!$1:$1048576,$A268-1,COLUMN('1-DATA'!AS267)),ROUND(INDEX('1-DATA'!$1:$1048576,IF(OR($B269="STD. DEVIATION",$C$1=1),$A269,$A269+1),COLUMN('1-DATA'!AS267)),IF($B269="STD. DEVIATION",2,$F$1))))</f>
        <v/>
      </c>
      <c r="AU269" s="1" t="str">
        <f>IF(OR($B269="",AU$7=""),"",IF($B269="MEANS",INDEX('1-DATA'!$1:$1048576,$A268-1,COLUMN('1-DATA'!AT267)),ROUND(INDEX('1-DATA'!$1:$1048576,IF(OR($B269="STD. DEVIATION",$C$1=1),$A269,$A269+1),COLUMN('1-DATA'!AT267)),IF($B269="STD. DEVIATION",2,$F$1))))</f>
        <v/>
      </c>
      <c r="AV269" s="1" t="str">
        <f>IF(OR($B269="",AV$7=""),"",IF($B269="MEANS",INDEX('1-DATA'!$1:$1048576,$A268-1,COLUMN('1-DATA'!AU267)),ROUND(INDEX('1-DATA'!$1:$1048576,IF(OR($B269="STD. DEVIATION",$C$1=1),$A269,$A269+1),COLUMN('1-DATA'!AU267)),IF($B269="STD. DEVIATION",2,$F$1))))</f>
        <v/>
      </c>
      <c r="AW269" s="1" t="str">
        <f>IF(OR($B269="",AW$7=""),"",IF($B269="MEANS",INDEX('1-DATA'!$1:$1048576,$A268-1,COLUMN('1-DATA'!AV267)),ROUND(INDEX('1-DATA'!$1:$1048576,IF(OR($B269="STD. DEVIATION",$C$1=1),$A269,$A269+1),COLUMN('1-DATA'!AV267)),IF($B269="STD. DEVIATION",2,$F$1))))</f>
        <v/>
      </c>
      <c r="AX269" s="1" t="str">
        <f>IF(OR($B269="",AX$7=""),"",IF($B269="MEANS",INDEX('1-DATA'!$1:$1048576,$A268-1,COLUMN('1-DATA'!AW267)),ROUND(INDEX('1-DATA'!$1:$1048576,IF(OR($B269="STD. DEVIATION",$C$1=1),$A269,$A269+1),COLUMN('1-DATA'!AW267)),IF($B269="STD. DEVIATION",2,$F$1))))</f>
        <v/>
      </c>
      <c r="AY269" s="1" t="str">
        <f>IF(OR($B269="",AY$7=""),"",IF($B269="MEANS",INDEX('1-DATA'!$1:$1048576,$A268-1,COLUMN('1-DATA'!AX267)),ROUND(INDEX('1-DATA'!$1:$1048576,IF(OR($B269="STD. DEVIATION",$C$1=1),$A269,$A269+1),COLUMN('1-DATA'!AX267)),IF($B269="STD. DEVIATION",2,$F$1))))</f>
        <v/>
      </c>
      <c r="AZ269" s="1" t="str">
        <f>IF(OR($B269="",AZ$7=""),"",IF($B269="MEANS",INDEX('1-DATA'!$1:$1048576,$A268-1,COLUMN('1-DATA'!AY267)),ROUND(INDEX('1-DATA'!$1:$1048576,IF(OR($B269="STD. DEVIATION",$C$1=1),$A269,$A269+1),COLUMN('1-DATA'!AY267)),IF($B269="STD. DEVIATION",2,$F$1))))</f>
        <v/>
      </c>
    </row>
    <row r="270" spans="1:52" x14ac:dyDescent="0.25">
      <c r="A270" s="11">
        <f t="shared" si="4"/>
        <v>796</v>
      </c>
      <c r="B270" s="1" t="str">
        <f>IF(B269="STD. DEVIATION",INDEX('1-DATA'!$1:$1048576,$A269-1,1),IF(INDEX('1-DATA'!$1:$1048576,$A270,1)&lt;&gt;"",INDEX('1-DATA'!$1:$1048576,$A270,1),""))</f>
        <v/>
      </c>
      <c r="C270" s="1" t="str">
        <f>IF(OR($B270="",C$7=""),"",IF($B270="MEANS",INDEX('1-DATA'!$1:$1048576,$A269-1,COLUMN('1-DATA'!B268)),ROUND(INDEX('1-DATA'!$1:$1048576,IF(OR($B270="STD. DEVIATION",$C$1=1),$A270,$A270+1),COLUMN('1-DATA'!B268)),IF($B270="STD. DEVIATION",2,$F$1))))</f>
        <v/>
      </c>
      <c r="D270" s="1" t="str">
        <f>IF(OR($B270="",D$7=""),"",IF($B270="MEANS",INDEX('1-DATA'!$1:$1048576,$A269-1,COLUMN('1-DATA'!C268)),ROUND(INDEX('1-DATA'!$1:$1048576,IF(OR($B270="STD. DEVIATION",$C$1=1),$A270,$A270+1),COLUMN('1-DATA'!C268)),IF($B270="STD. DEVIATION",2,$F$1))))</f>
        <v/>
      </c>
      <c r="E270" s="1" t="str">
        <f>IF(OR($B270="",E$7=""),"",IF($B270="MEANS",INDEX('1-DATA'!$1:$1048576,$A269-1,COLUMN('1-DATA'!D268)),ROUND(INDEX('1-DATA'!$1:$1048576,IF(OR($B270="STD. DEVIATION",$C$1=1),$A270,$A270+1),COLUMN('1-DATA'!D268)),IF($B270="STD. DEVIATION",2,$F$1))))</f>
        <v/>
      </c>
      <c r="F270" s="1" t="str">
        <f>IF(OR($B270="",F$7=""),"",IF($B270="MEANS",INDEX('1-DATA'!$1:$1048576,$A269-1,COLUMN('1-DATA'!E268)),ROUND(INDEX('1-DATA'!$1:$1048576,IF(OR($B270="STD. DEVIATION",$C$1=1),$A270,$A270+1),COLUMN('1-DATA'!E268)),IF($B270="STD. DEVIATION",2,$F$1))))</f>
        <v/>
      </c>
      <c r="G270" s="1" t="str">
        <f>IF(OR($B270="",G$7=""),"",IF($B270="MEANS",INDEX('1-DATA'!$1:$1048576,$A269-1,COLUMN('1-DATA'!F268)),ROUND(INDEX('1-DATA'!$1:$1048576,IF(OR($B270="STD. DEVIATION",$C$1=1),$A270,$A270+1),COLUMN('1-DATA'!F268)),IF($B270="STD. DEVIATION",2,$F$1))))</f>
        <v/>
      </c>
      <c r="H270" s="1" t="str">
        <f>IF(OR($B270="",H$7=""),"",IF($B270="MEANS",INDEX('1-DATA'!$1:$1048576,$A269-1,COLUMN('1-DATA'!G268)),ROUND(INDEX('1-DATA'!$1:$1048576,IF(OR($B270="STD. DEVIATION",$C$1=1),$A270,$A270+1),COLUMN('1-DATA'!G268)),IF($B270="STD. DEVIATION",2,$F$1))))</f>
        <v/>
      </c>
      <c r="I270" s="1" t="str">
        <f>IF(OR($B270="",I$7=""),"",IF($B270="MEANS",INDEX('1-DATA'!$1:$1048576,$A269-1,COLUMN('1-DATA'!H268)),ROUND(INDEX('1-DATA'!$1:$1048576,IF(OR($B270="STD. DEVIATION",$C$1=1),$A270,$A270+1),COLUMN('1-DATA'!H268)),IF($B270="STD. DEVIATION",2,$F$1))))</f>
        <v/>
      </c>
      <c r="J270" s="1" t="str">
        <f>IF(OR($B270="",J$7=""),"",IF($B270="MEANS",INDEX('1-DATA'!$1:$1048576,$A269-1,COLUMN('1-DATA'!I268)),ROUND(INDEX('1-DATA'!$1:$1048576,IF(OR($B270="STD. DEVIATION",$C$1=1),$A270,$A270+1),COLUMN('1-DATA'!I268)),IF($B270="STD. DEVIATION",2,$F$1))))</f>
        <v/>
      </c>
      <c r="K270" s="1" t="str">
        <f>IF(OR($B270="",K$7=""),"",IF($B270="MEANS",INDEX('1-DATA'!$1:$1048576,$A269-1,COLUMN('1-DATA'!J268)),ROUND(INDEX('1-DATA'!$1:$1048576,IF(OR($B270="STD. DEVIATION",$C$1=1),$A270,$A270+1),COLUMN('1-DATA'!J268)),IF($B270="STD. DEVIATION",2,$F$1))))</f>
        <v/>
      </c>
      <c r="L270" s="1" t="str">
        <f>IF(OR($B270="",L$7=""),"",IF($B270="MEANS",INDEX('1-DATA'!$1:$1048576,$A269-1,COLUMN('1-DATA'!K268)),ROUND(INDEX('1-DATA'!$1:$1048576,IF(OR($B270="STD. DEVIATION",$C$1=1),$A270,$A270+1),COLUMN('1-DATA'!K268)),IF($B270="STD. DEVIATION",2,$F$1))))</f>
        <v/>
      </c>
      <c r="M270" s="1" t="str">
        <f>IF(OR($B270="",M$7=""),"",IF($B270="MEANS",INDEX('1-DATA'!$1:$1048576,$A269-1,COLUMN('1-DATA'!L268)),ROUND(INDEX('1-DATA'!$1:$1048576,IF(OR($B270="STD. DEVIATION",$C$1=1),$A270,$A270+1),COLUMN('1-DATA'!L268)),IF($B270="STD. DEVIATION",2,$F$1))))</f>
        <v/>
      </c>
      <c r="N270" s="1" t="str">
        <f>IF(OR($B270="",N$7=""),"",IF($B270="MEANS",INDEX('1-DATA'!$1:$1048576,$A269-1,COLUMN('1-DATA'!M268)),ROUND(INDEX('1-DATA'!$1:$1048576,IF(OR($B270="STD. DEVIATION",$C$1=1),$A270,$A270+1),COLUMN('1-DATA'!M268)),IF($B270="STD. DEVIATION",2,$F$1))))</f>
        <v/>
      </c>
      <c r="O270" s="1" t="str">
        <f>IF(OR($B270="",O$7=""),"",IF($B270="MEANS",INDEX('1-DATA'!$1:$1048576,$A269-1,COLUMN('1-DATA'!N268)),ROUND(INDEX('1-DATA'!$1:$1048576,IF(OR($B270="STD. DEVIATION",$C$1=1),$A270,$A270+1),COLUMN('1-DATA'!N268)),IF($B270="STD. DEVIATION",2,$F$1))))</f>
        <v/>
      </c>
      <c r="P270" s="1" t="str">
        <f>IF(OR($B270="",P$7=""),"",IF($B270="MEANS",INDEX('1-DATA'!$1:$1048576,$A269-1,COLUMN('1-DATA'!O268)),ROUND(INDEX('1-DATA'!$1:$1048576,IF(OR($B270="STD. DEVIATION",$C$1=1),$A270,$A270+1),COLUMN('1-DATA'!O268)),IF($B270="STD. DEVIATION",2,$F$1))))</f>
        <v/>
      </c>
      <c r="Q270" s="1" t="str">
        <f>IF(OR($B270="",Q$7=""),"",IF($B270="MEANS",INDEX('1-DATA'!$1:$1048576,$A269-1,COLUMN('1-DATA'!P268)),ROUND(INDEX('1-DATA'!$1:$1048576,IF(OR($B270="STD. DEVIATION",$C$1=1),$A270,$A270+1),COLUMN('1-DATA'!P268)),IF($B270="STD. DEVIATION",2,$F$1))))</f>
        <v/>
      </c>
      <c r="R270" s="1" t="str">
        <f>IF(OR($B270="",R$7=""),"",IF($B270="MEANS",INDEX('1-DATA'!$1:$1048576,$A269-1,COLUMN('1-DATA'!Q268)),ROUND(INDEX('1-DATA'!$1:$1048576,IF(OR($B270="STD. DEVIATION",$C$1=1),$A270,$A270+1),COLUMN('1-DATA'!Q268)),IF($B270="STD. DEVIATION",2,$F$1))))</f>
        <v/>
      </c>
      <c r="S270" s="1" t="str">
        <f>IF(OR($B270="",S$7=""),"",IF($B270="MEANS",INDEX('1-DATA'!$1:$1048576,$A269-1,COLUMN('1-DATA'!R268)),ROUND(INDEX('1-DATA'!$1:$1048576,IF(OR($B270="STD. DEVIATION",$C$1=1),$A270,$A270+1),COLUMN('1-DATA'!R268)),IF($B270="STD. DEVIATION",2,$F$1))))</f>
        <v/>
      </c>
      <c r="T270" s="1" t="str">
        <f>IF(OR($B270="",T$7=""),"",IF($B270="MEANS",INDEX('1-DATA'!$1:$1048576,$A269-1,COLUMN('1-DATA'!S268)),ROUND(INDEX('1-DATA'!$1:$1048576,IF(OR($B270="STD. DEVIATION",$C$1=1),$A270,$A270+1),COLUMN('1-DATA'!S268)),IF($B270="STD. DEVIATION",2,$F$1))))</f>
        <v/>
      </c>
      <c r="U270" s="1" t="str">
        <f>IF(OR($B270="",U$7=""),"",IF($B270="MEANS",INDEX('1-DATA'!$1:$1048576,$A269-1,COLUMN('1-DATA'!T268)),ROUND(INDEX('1-DATA'!$1:$1048576,IF(OR($B270="STD. DEVIATION",$C$1=1),$A270,$A270+1),COLUMN('1-DATA'!T268)),IF($B270="STD. DEVIATION",2,$F$1))))</f>
        <v/>
      </c>
      <c r="V270" s="1" t="str">
        <f>IF(OR($B270="",V$7=""),"",IF($B270="MEANS",INDEX('1-DATA'!$1:$1048576,$A269-1,COLUMN('1-DATA'!U268)),ROUND(INDEX('1-DATA'!$1:$1048576,IF(OR($B270="STD. DEVIATION",$C$1=1),$A270,$A270+1),COLUMN('1-DATA'!U268)),IF($B270="STD. DEVIATION",2,$F$1))))</f>
        <v/>
      </c>
      <c r="W270" s="1" t="str">
        <f>IF(OR($B270="",W$7=""),"",IF($B270="MEANS",INDEX('1-DATA'!$1:$1048576,$A269-1,COLUMN('1-DATA'!V268)),ROUND(INDEX('1-DATA'!$1:$1048576,IF(OR($B270="STD. DEVIATION",$C$1=1),$A270,$A270+1),COLUMN('1-DATA'!V268)),IF($B270="STD. DEVIATION",2,$F$1))))</f>
        <v/>
      </c>
      <c r="X270" s="1" t="str">
        <f>IF(OR($B270="",X$7=""),"",IF($B270="MEANS",INDEX('1-DATA'!$1:$1048576,$A269-1,COLUMN('1-DATA'!W268)),ROUND(INDEX('1-DATA'!$1:$1048576,IF(OR($B270="STD. DEVIATION",$C$1=1),$A270,$A270+1),COLUMN('1-DATA'!W268)),IF($B270="STD. DEVIATION",2,$F$1))))</f>
        <v/>
      </c>
      <c r="Y270" s="1" t="str">
        <f>IF(OR($B270="",Y$7=""),"",IF($B270="MEANS",INDEX('1-DATA'!$1:$1048576,$A269-1,COLUMN('1-DATA'!X268)),ROUND(INDEX('1-DATA'!$1:$1048576,IF(OR($B270="STD. DEVIATION",$C$1=1),$A270,$A270+1),COLUMN('1-DATA'!X268)),IF($B270="STD. DEVIATION",2,$F$1))))</f>
        <v/>
      </c>
      <c r="Z270" s="1" t="str">
        <f>IF(OR($B270="",Z$7=""),"",IF($B270="MEANS",INDEX('1-DATA'!$1:$1048576,$A269-1,COLUMN('1-DATA'!Y268)),ROUND(INDEX('1-DATA'!$1:$1048576,IF(OR($B270="STD. DEVIATION",$C$1=1),$A270,$A270+1),COLUMN('1-DATA'!Y268)),IF($B270="STD. DEVIATION",2,$F$1))))</f>
        <v/>
      </c>
      <c r="AA270" s="1" t="str">
        <f>IF(OR($B270="",AA$7=""),"",IF($B270="MEANS",INDEX('1-DATA'!$1:$1048576,$A269-1,COLUMN('1-DATA'!Z268)),ROUND(INDEX('1-DATA'!$1:$1048576,IF(OR($B270="STD. DEVIATION",$C$1=1),$A270,$A270+1),COLUMN('1-DATA'!Z268)),IF($B270="STD. DEVIATION",2,$F$1))))</f>
        <v/>
      </c>
      <c r="AB270" s="1" t="str">
        <f>IF(OR($B270="",AB$7=""),"",IF($B270="MEANS",INDEX('1-DATA'!$1:$1048576,$A269-1,COLUMN('1-DATA'!AA268)),ROUND(INDEX('1-DATA'!$1:$1048576,IF(OR($B270="STD. DEVIATION",$C$1=1),$A270,$A270+1),COLUMN('1-DATA'!AA268)),IF($B270="STD. DEVIATION",2,$F$1))))</f>
        <v/>
      </c>
      <c r="AC270" s="1" t="str">
        <f>IF(OR($B270="",AC$7=""),"",IF($B270="MEANS",INDEX('1-DATA'!$1:$1048576,$A269-1,COLUMN('1-DATA'!AB268)),ROUND(INDEX('1-DATA'!$1:$1048576,IF(OR($B270="STD. DEVIATION",$C$1=1),$A270,$A270+1),COLUMN('1-DATA'!AB268)),IF($B270="STD. DEVIATION",2,$F$1))))</f>
        <v/>
      </c>
      <c r="AD270" s="1" t="str">
        <f>IF(OR($B270="",AD$7=""),"",IF($B270="MEANS",INDEX('1-DATA'!$1:$1048576,$A269-1,COLUMN('1-DATA'!AC268)),ROUND(INDEX('1-DATA'!$1:$1048576,IF(OR($B270="STD. DEVIATION",$C$1=1),$A270,$A270+1),COLUMN('1-DATA'!AC268)),IF($B270="STD. DEVIATION",2,$F$1))))</f>
        <v/>
      </c>
      <c r="AE270" s="1" t="str">
        <f>IF(OR($B270="",AE$7=""),"",IF($B270="MEANS",INDEX('1-DATA'!$1:$1048576,$A269-1,COLUMN('1-DATA'!AD268)),ROUND(INDEX('1-DATA'!$1:$1048576,IF(OR($B270="STD. DEVIATION",$C$1=1),$A270,$A270+1),COLUMN('1-DATA'!AD268)),IF($B270="STD. DEVIATION",2,$F$1))))</f>
        <v/>
      </c>
      <c r="AF270" s="1" t="str">
        <f>IF(OR($B270="",AF$7=""),"",IF($B270="MEANS",INDEX('1-DATA'!$1:$1048576,$A269-1,COLUMN('1-DATA'!AE268)),ROUND(INDEX('1-DATA'!$1:$1048576,IF(OR($B270="STD. DEVIATION",$C$1=1),$A270,$A270+1),COLUMN('1-DATA'!AE268)),IF($B270="STD. DEVIATION",2,$F$1))))</f>
        <v/>
      </c>
      <c r="AG270" s="1" t="str">
        <f>IF(OR($B270="",AG$7=""),"",IF($B270="MEANS",INDEX('1-DATA'!$1:$1048576,$A269-1,COLUMN('1-DATA'!AF268)),ROUND(INDEX('1-DATA'!$1:$1048576,IF(OR($B270="STD. DEVIATION",$C$1=1),$A270,$A270+1),COLUMN('1-DATA'!AF268)),IF($B270="STD. DEVIATION",2,$F$1))))</f>
        <v/>
      </c>
      <c r="AH270" s="1" t="str">
        <f>IF(OR($B270="",AH$7=""),"",IF($B270="MEANS",INDEX('1-DATA'!$1:$1048576,$A269-1,COLUMN('1-DATA'!AG268)),ROUND(INDEX('1-DATA'!$1:$1048576,IF(OR($B270="STD. DEVIATION",$C$1=1),$A270,$A270+1),COLUMN('1-DATA'!AG268)),IF($B270="STD. DEVIATION",2,$F$1))))</f>
        <v/>
      </c>
      <c r="AI270" s="1" t="str">
        <f>IF(OR($B270="",AI$7=""),"",IF($B270="MEANS",INDEX('1-DATA'!$1:$1048576,$A269-1,COLUMN('1-DATA'!AH268)),ROUND(INDEX('1-DATA'!$1:$1048576,IF(OR($B270="STD. DEVIATION",$C$1=1),$A270,$A270+1),COLUMN('1-DATA'!AH268)),IF($B270="STD. DEVIATION",2,$F$1))))</f>
        <v/>
      </c>
      <c r="AJ270" s="1" t="str">
        <f>IF(OR($B270="",AJ$7=""),"",IF($B270="MEANS",INDEX('1-DATA'!$1:$1048576,$A269-1,COLUMN('1-DATA'!AI268)),ROUND(INDEX('1-DATA'!$1:$1048576,IF(OR($B270="STD. DEVIATION",$C$1=1),$A270,$A270+1),COLUMN('1-DATA'!AI268)),IF($B270="STD. DEVIATION",2,$F$1))))</f>
        <v/>
      </c>
      <c r="AK270" s="1" t="str">
        <f>IF(OR($B270="",AK$7=""),"",IF($B270="MEANS",INDEX('1-DATA'!$1:$1048576,$A269-1,COLUMN('1-DATA'!AJ268)),ROUND(INDEX('1-DATA'!$1:$1048576,IF(OR($B270="STD. DEVIATION",$C$1=1),$A270,$A270+1),COLUMN('1-DATA'!AJ268)),IF($B270="STD. DEVIATION",2,$F$1))))</f>
        <v/>
      </c>
      <c r="AL270" s="1" t="str">
        <f>IF(OR($B270="",AL$7=""),"",IF($B270="MEANS",INDEX('1-DATA'!$1:$1048576,$A269-1,COLUMN('1-DATA'!AK268)),ROUND(INDEX('1-DATA'!$1:$1048576,IF(OR($B270="STD. DEVIATION",$C$1=1),$A270,$A270+1),COLUMN('1-DATA'!AK268)),IF($B270="STD. DEVIATION",2,$F$1))))</f>
        <v/>
      </c>
      <c r="AM270" s="1" t="str">
        <f>IF(OR($B270="",AM$7=""),"",IF($B270="MEANS",INDEX('1-DATA'!$1:$1048576,$A269-1,COLUMN('1-DATA'!AL268)),ROUND(INDEX('1-DATA'!$1:$1048576,IF(OR($B270="STD. DEVIATION",$C$1=1),$A270,$A270+1),COLUMN('1-DATA'!AL268)),IF($B270="STD. DEVIATION",2,$F$1))))</f>
        <v/>
      </c>
      <c r="AN270" s="1" t="str">
        <f>IF(OR($B270="",AN$7=""),"",IF($B270="MEANS",INDEX('1-DATA'!$1:$1048576,$A269-1,COLUMN('1-DATA'!AM268)),ROUND(INDEX('1-DATA'!$1:$1048576,IF(OR($B270="STD. DEVIATION",$C$1=1),$A270,$A270+1),COLUMN('1-DATA'!AM268)),IF($B270="STD. DEVIATION",2,$F$1))))</f>
        <v/>
      </c>
      <c r="AO270" s="1" t="str">
        <f>IF(OR($B270="",AO$7=""),"",IF($B270="MEANS",INDEX('1-DATA'!$1:$1048576,$A269-1,COLUMN('1-DATA'!AN268)),ROUND(INDEX('1-DATA'!$1:$1048576,IF(OR($B270="STD. DEVIATION",$C$1=1),$A270,$A270+1),COLUMN('1-DATA'!AN268)),IF($B270="STD. DEVIATION",2,$F$1))))</f>
        <v/>
      </c>
      <c r="AP270" s="1" t="str">
        <f>IF(OR($B270="",AP$7=""),"",IF($B270="MEANS",INDEX('1-DATA'!$1:$1048576,$A269-1,COLUMN('1-DATA'!AO268)),ROUND(INDEX('1-DATA'!$1:$1048576,IF(OR($B270="STD. DEVIATION",$C$1=1),$A270,$A270+1),COLUMN('1-DATA'!AO268)),IF($B270="STD. DEVIATION",2,$F$1))))</f>
        <v/>
      </c>
      <c r="AQ270" s="1" t="str">
        <f>IF(OR($B270="",AQ$7=""),"",IF($B270="MEANS",INDEX('1-DATA'!$1:$1048576,$A269-1,COLUMN('1-DATA'!AP268)),ROUND(INDEX('1-DATA'!$1:$1048576,IF(OR($B270="STD. DEVIATION",$C$1=1),$A270,$A270+1),COLUMN('1-DATA'!AP268)),IF($B270="STD. DEVIATION",2,$F$1))))</f>
        <v/>
      </c>
      <c r="AR270" s="1" t="str">
        <f>IF(OR($B270="",AR$7=""),"",IF($B270="MEANS",INDEX('1-DATA'!$1:$1048576,$A269-1,COLUMN('1-DATA'!AQ268)),ROUND(INDEX('1-DATA'!$1:$1048576,IF(OR($B270="STD. DEVIATION",$C$1=1),$A270,$A270+1),COLUMN('1-DATA'!AQ268)),IF($B270="STD. DEVIATION",2,$F$1))))</f>
        <v/>
      </c>
      <c r="AS270" s="1" t="str">
        <f>IF(OR($B270="",AS$7=""),"",IF($B270="MEANS",INDEX('1-DATA'!$1:$1048576,$A269-1,COLUMN('1-DATA'!AR268)),ROUND(INDEX('1-DATA'!$1:$1048576,IF(OR($B270="STD. DEVIATION",$C$1=1),$A270,$A270+1),COLUMN('1-DATA'!AR268)),IF($B270="STD. DEVIATION",2,$F$1))))</f>
        <v/>
      </c>
      <c r="AT270" s="1" t="str">
        <f>IF(OR($B270="",AT$7=""),"",IF($B270="MEANS",INDEX('1-DATA'!$1:$1048576,$A269-1,COLUMN('1-DATA'!AS268)),ROUND(INDEX('1-DATA'!$1:$1048576,IF(OR($B270="STD. DEVIATION",$C$1=1),$A270,$A270+1),COLUMN('1-DATA'!AS268)),IF($B270="STD. DEVIATION",2,$F$1))))</f>
        <v/>
      </c>
      <c r="AU270" s="1" t="str">
        <f>IF(OR($B270="",AU$7=""),"",IF($B270="MEANS",INDEX('1-DATA'!$1:$1048576,$A269-1,COLUMN('1-DATA'!AT268)),ROUND(INDEX('1-DATA'!$1:$1048576,IF(OR($B270="STD. DEVIATION",$C$1=1),$A270,$A270+1),COLUMN('1-DATA'!AT268)),IF($B270="STD. DEVIATION",2,$F$1))))</f>
        <v/>
      </c>
      <c r="AV270" s="1" t="str">
        <f>IF(OR($B270="",AV$7=""),"",IF($B270="MEANS",INDEX('1-DATA'!$1:$1048576,$A269-1,COLUMN('1-DATA'!AU268)),ROUND(INDEX('1-DATA'!$1:$1048576,IF(OR($B270="STD. DEVIATION",$C$1=1),$A270,$A270+1),COLUMN('1-DATA'!AU268)),IF($B270="STD. DEVIATION",2,$F$1))))</f>
        <v/>
      </c>
      <c r="AW270" s="1" t="str">
        <f>IF(OR($B270="",AW$7=""),"",IF($B270="MEANS",INDEX('1-DATA'!$1:$1048576,$A269-1,COLUMN('1-DATA'!AV268)),ROUND(INDEX('1-DATA'!$1:$1048576,IF(OR($B270="STD. DEVIATION",$C$1=1),$A270,$A270+1),COLUMN('1-DATA'!AV268)),IF($B270="STD. DEVIATION",2,$F$1))))</f>
        <v/>
      </c>
      <c r="AX270" s="1" t="str">
        <f>IF(OR($B270="",AX$7=""),"",IF($B270="MEANS",INDEX('1-DATA'!$1:$1048576,$A269-1,COLUMN('1-DATA'!AW268)),ROUND(INDEX('1-DATA'!$1:$1048576,IF(OR($B270="STD. DEVIATION",$C$1=1),$A270,$A270+1),COLUMN('1-DATA'!AW268)),IF($B270="STD. DEVIATION",2,$F$1))))</f>
        <v/>
      </c>
      <c r="AY270" s="1" t="str">
        <f>IF(OR($B270="",AY$7=""),"",IF($B270="MEANS",INDEX('1-DATA'!$1:$1048576,$A269-1,COLUMN('1-DATA'!AX268)),ROUND(INDEX('1-DATA'!$1:$1048576,IF(OR($B270="STD. DEVIATION",$C$1=1),$A270,$A270+1),COLUMN('1-DATA'!AX268)),IF($B270="STD. DEVIATION",2,$F$1))))</f>
        <v/>
      </c>
      <c r="AZ270" s="1" t="str">
        <f>IF(OR($B270="",AZ$7=""),"",IF($B270="MEANS",INDEX('1-DATA'!$1:$1048576,$A269-1,COLUMN('1-DATA'!AY268)),ROUND(INDEX('1-DATA'!$1:$1048576,IF(OR($B270="STD. DEVIATION",$C$1=1),$A270,$A270+1),COLUMN('1-DATA'!AY268)),IF($B270="STD. DEVIATION",2,$F$1))))</f>
        <v/>
      </c>
    </row>
    <row r="271" spans="1:52" x14ac:dyDescent="0.25">
      <c r="A271" s="11">
        <f t="shared" si="4"/>
        <v>799</v>
      </c>
      <c r="B271" s="1" t="str">
        <f>IF(B270="STD. DEVIATION",INDEX('1-DATA'!$1:$1048576,$A270-1,1),IF(INDEX('1-DATA'!$1:$1048576,$A271,1)&lt;&gt;"",INDEX('1-DATA'!$1:$1048576,$A271,1),""))</f>
        <v/>
      </c>
      <c r="C271" s="1" t="str">
        <f>IF(OR($B271="",C$7=""),"",IF($B271="MEANS",INDEX('1-DATA'!$1:$1048576,$A270-1,COLUMN('1-DATA'!B269)),ROUND(INDEX('1-DATA'!$1:$1048576,IF(OR($B271="STD. DEVIATION",$C$1=1),$A271,$A271+1),COLUMN('1-DATA'!B269)),IF($B271="STD. DEVIATION",2,$F$1))))</f>
        <v/>
      </c>
      <c r="D271" s="1" t="str">
        <f>IF(OR($B271="",D$7=""),"",IF($B271="MEANS",INDEX('1-DATA'!$1:$1048576,$A270-1,COLUMN('1-DATA'!C269)),ROUND(INDEX('1-DATA'!$1:$1048576,IF(OR($B271="STD. DEVIATION",$C$1=1),$A271,$A271+1),COLUMN('1-DATA'!C269)),IF($B271="STD. DEVIATION",2,$F$1))))</f>
        <v/>
      </c>
      <c r="E271" s="1" t="str">
        <f>IF(OR($B271="",E$7=""),"",IF($B271="MEANS",INDEX('1-DATA'!$1:$1048576,$A270-1,COLUMN('1-DATA'!D269)),ROUND(INDEX('1-DATA'!$1:$1048576,IF(OR($B271="STD. DEVIATION",$C$1=1),$A271,$A271+1),COLUMN('1-DATA'!D269)),IF($B271="STD. DEVIATION",2,$F$1))))</f>
        <v/>
      </c>
      <c r="F271" s="1" t="str">
        <f>IF(OR($B271="",F$7=""),"",IF($B271="MEANS",INDEX('1-DATA'!$1:$1048576,$A270-1,COLUMN('1-DATA'!E269)),ROUND(INDEX('1-DATA'!$1:$1048576,IF(OR($B271="STD. DEVIATION",$C$1=1),$A271,$A271+1),COLUMN('1-DATA'!E269)),IF($B271="STD. DEVIATION",2,$F$1))))</f>
        <v/>
      </c>
      <c r="G271" s="1" t="str">
        <f>IF(OR($B271="",G$7=""),"",IF($B271="MEANS",INDEX('1-DATA'!$1:$1048576,$A270-1,COLUMN('1-DATA'!F269)),ROUND(INDEX('1-DATA'!$1:$1048576,IF(OR($B271="STD. DEVIATION",$C$1=1),$A271,$A271+1),COLUMN('1-DATA'!F269)),IF($B271="STD. DEVIATION",2,$F$1))))</f>
        <v/>
      </c>
      <c r="H271" s="1" t="str">
        <f>IF(OR($B271="",H$7=""),"",IF($B271="MEANS",INDEX('1-DATA'!$1:$1048576,$A270-1,COLUMN('1-DATA'!G269)),ROUND(INDEX('1-DATA'!$1:$1048576,IF(OR($B271="STD. DEVIATION",$C$1=1),$A271,$A271+1),COLUMN('1-DATA'!G269)),IF($B271="STD. DEVIATION",2,$F$1))))</f>
        <v/>
      </c>
      <c r="I271" s="1" t="str">
        <f>IF(OR($B271="",I$7=""),"",IF($B271="MEANS",INDEX('1-DATA'!$1:$1048576,$A270-1,COLUMN('1-DATA'!H269)),ROUND(INDEX('1-DATA'!$1:$1048576,IF(OR($B271="STD. DEVIATION",$C$1=1),$A271,$A271+1),COLUMN('1-DATA'!H269)),IF($B271="STD. DEVIATION",2,$F$1))))</f>
        <v/>
      </c>
      <c r="J271" s="1" t="str">
        <f>IF(OR($B271="",J$7=""),"",IF($B271="MEANS",INDEX('1-DATA'!$1:$1048576,$A270-1,COLUMN('1-DATA'!I269)),ROUND(INDEX('1-DATA'!$1:$1048576,IF(OR($B271="STD. DEVIATION",$C$1=1),$A271,$A271+1),COLUMN('1-DATA'!I269)),IF($B271="STD. DEVIATION",2,$F$1))))</f>
        <v/>
      </c>
      <c r="K271" s="1" t="str">
        <f>IF(OR($B271="",K$7=""),"",IF($B271="MEANS",INDEX('1-DATA'!$1:$1048576,$A270-1,COLUMN('1-DATA'!J269)),ROUND(INDEX('1-DATA'!$1:$1048576,IF(OR($B271="STD. DEVIATION",$C$1=1),$A271,$A271+1),COLUMN('1-DATA'!J269)),IF($B271="STD. DEVIATION",2,$F$1))))</f>
        <v/>
      </c>
      <c r="L271" s="1" t="str">
        <f>IF(OR($B271="",L$7=""),"",IF($B271="MEANS",INDEX('1-DATA'!$1:$1048576,$A270-1,COLUMN('1-DATA'!K269)),ROUND(INDEX('1-DATA'!$1:$1048576,IF(OR($B271="STD. DEVIATION",$C$1=1),$A271,$A271+1),COLUMN('1-DATA'!K269)),IF($B271="STD. DEVIATION",2,$F$1))))</f>
        <v/>
      </c>
      <c r="M271" s="1" t="str">
        <f>IF(OR($B271="",M$7=""),"",IF($B271="MEANS",INDEX('1-DATA'!$1:$1048576,$A270-1,COLUMN('1-DATA'!L269)),ROUND(INDEX('1-DATA'!$1:$1048576,IF(OR($B271="STD. DEVIATION",$C$1=1),$A271,$A271+1),COLUMN('1-DATA'!L269)),IF($B271="STD. DEVIATION",2,$F$1))))</f>
        <v/>
      </c>
      <c r="N271" s="1" t="str">
        <f>IF(OR($B271="",N$7=""),"",IF($B271="MEANS",INDEX('1-DATA'!$1:$1048576,$A270-1,COLUMN('1-DATA'!M269)),ROUND(INDEX('1-DATA'!$1:$1048576,IF(OR($B271="STD. DEVIATION",$C$1=1),$A271,$A271+1),COLUMN('1-DATA'!M269)),IF($B271="STD. DEVIATION",2,$F$1))))</f>
        <v/>
      </c>
      <c r="O271" s="1" t="str">
        <f>IF(OR($B271="",O$7=""),"",IF($B271="MEANS",INDEX('1-DATA'!$1:$1048576,$A270-1,COLUMN('1-DATA'!N269)),ROUND(INDEX('1-DATA'!$1:$1048576,IF(OR($B271="STD. DEVIATION",$C$1=1),$A271,$A271+1),COLUMN('1-DATA'!N269)),IF($B271="STD. DEVIATION",2,$F$1))))</f>
        <v/>
      </c>
      <c r="P271" s="1" t="str">
        <f>IF(OR($B271="",P$7=""),"",IF($B271="MEANS",INDEX('1-DATA'!$1:$1048576,$A270-1,COLUMN('1-DATA'!O269)),ROUND(INDEX('1-DATA'!$1:$1048576,IF(OR($B271="STD. DEVIATION",$C$1=1),$A271,$A271+1),COLUMN('1-DATA'!O269)),IF($B271="STD. DEVIATION",2,$F$1))))</f>
        <v/>
      </c>
      <c r="Q271" s="1" t="str">
        <f>IF(OR($B271="",Q$7=""),"",IF($B271="MEANS",INDEX('1-DATA'!$1:$1048576,$A270-1,COLUMN('1-DATA'!P269)),ROUND(INDEX('1-DATA'!$1:$1048576,IF(OR($B271="STD. DEVIATION",$C$1=1),$A271,$A271+1),COLUMN('1-DATA'!P269)),IF($B271="STD. DEVIATION",2,$F$1))))</f>
        <v/>
      </c>
      <c r="R271" s="1" t="str">
        <f>IF(OR($B271="",R$7=""),"",IF($B271="MEANS",INDEX('1-DATA'!$1:$1048576,$A270-1,COLUMN('1-DATA'!Q269)),ROUND(INDEX('1-DATA'!$1:$1048576,IF(OR($B271="STD. DEVIATION",$C$1=1),$A271,$A271+1),COLUMN('1-DATA'!Q269)),IF($B271="STD. DEVIATION",2,$F$1))))</f>
        <v/>
      </c>
      <c r="S271" s="1" t="str">
        <f>IF(OR($B271="",S$7=""),"",IF($B271="MEANS",INDEX('1-DATA'!$1:$1048576,$A270-1,COLUMN('1-DATA'!R269)),ROUND(INDEX('1-DATA'!$1:$1048576,IF(OR($B271="STD. DEVIATION",$C$1=1),$A271,$A271+1),COLUMN('1-DATA'!R269)),IF($B271="STD. DEVIATION",2,$F$1))))</f>
        <v/>
      </c>
      <c r="T271" s="1" t="str">
        <f>IF(OR($B271="",T$7=""),"",IF($B271="MEANS",INDEX('1-DATA'!$1:$1048576,$A270-1,COLUMN('1-DATA'!S269)),ROUND(INDEX('1-DATA'!$1:$1048576,IF(OR($B271="STD. DEVIATION",$C$1=1),$A271,$A271+1),COLUMN('1-DATA'!S269)),IF($B271="STD. DEVIATION",2,$F$1))))</f>
        <v/>
      </c>
      <c r="U271" s="1" t="str">
        <f>IF(OR($B271="",U$7=""),"",IF($B271="MEANS",INDEX('1-DATA'!$1:$1048576,$A270-1,COLUMN('1-DATA'!T269)),ROUND(INDEX('1-DATA'!$1:$1048576,IF(OR($B271="STD. DEVIATION",$C$1=1),$A271,$A271+1),COLUMN('1-DATA'!T269)),IF($B271="STD. DEVIATION",2,$F$1))))</f>
        <v/>
      </c>
      <c r="V271" s="1" t="str">
        <f>IF(OR($B271="",V$7=""),"",IF($B271="MEANS",INDEX('1-DATA'!$1:$1048576,$A270-1,COLUMN('1-DATA'!U269)),ROUND(INDEX('1-DATA'!$1:$1048576,IF(OR($B271="STD. DEVIATION",$C$1=1),$A271,$A271+1),COLUMN('1-DATA'!U269)),IF($B271="STD. DEVIATION",2,$F$1))))</f>
        <v/>
      </c>
      <c r="W271" s="1" t="str">
        <f>IF(OR($B271="",W$7=""),"",IF($B271="MEANS",INDEX('1-DATA'!$1:$1048576,$A270-1,COLUMN('1-DATA'!V269)),ROUND(INDEX('1-DATA'!$1:$1048576,IF(OR($B271="STD. DEVIATION",$C$1=1),$A271,$A271+1),COLUMN('1-DATA'!V269)),IF($B271="STD. DEVIATION",2,$F$1))))</f>
        <v/>
      </c>
      <c r="X271" s="1" t="str">
        <f>IF(OR($B271="",X$7=""),"",IF($B271="MEANS",INDEX('1-DATA'!$1:$1048576,$A270-1,COLUMN('1-DATA'!W269)),ROUND(INDEX('1-DATA'!$1:$1048576,IF(OR($B271="STD. DEVIATION",$C$1=1),$A271,$A271+1),COLUMN('1-DATA'!W269)),IF($B271="STD. DEVIATION",2,$F$1))))</f>
        <v/>
      </c>
      <c r="Y271" s="1" t="str">
        <f>IF(OR($B271="",Y$7=""),"",IF($B271="MEANS",INDEX('1-DATA'!$1:$1048576,$A270-1,COLUMN('1-DATA'!X269)),ROUND(INDEX('1-DATA'!$1:$1048576,IF(OR($B271="STD. DEVIATION",$C$1=1),$A271,$A271+1),COLUMN('1-DATA'!X269)),IF($B271="STD. DEVIATION",2,$F$1))))</f>
        <v/>
      </c>
      <c r="Z271" s="1" t="str">
        <f>IF(OR($B271="",Z$7=""),"",IF($B271="MEANS",INDEX('1-DATA'!$1:$1048576,$A270-1,COLUMN('1-DATA'!Y269)),ROUND(INDEX('1-DATA'!$1:$1048576,IF(OR($B271="STD. DEVIATION",$C$1=1),$A271,$A271+1),COLUMN('1-DATA'!Y269)),IF($B271="STD. DEVIATION",2,$F$1))))</f>
        <v/>
      </c>
      <c r="AA271" s="1" t="str">
        <f>IF(OR($B271="",AA$7=""),"",IF($B271="MEANS",INDEX('1-DATA'!$1:$1048576,$A270-1,COLUMN('1-DATA'!Z269)),ROUND(INDEX('1-DATA'!$1:$1048576,IF(OR($B271="STD. DEVIATION",$C$1=1),$A271,$A271+1),COLUMN('1-DATA'!Z269)),IF($B271="STD. DEVIATION",2,$F$1))))</f>
        <v/>
      </c>
      <c r="AB271" s="1" t="str">
        <f>IF(OR($B271="",AB$7=""),"",IF($B271="MEANS",INDEX('1-DATA'!$1:$1048576,$A270-1,COLUMN('1-DATA'!AA269)),ROUND(INDEX('1-DATA'!$1:$1048576,IF(OR($B271="STD. DEVIATION",$C$1=1),$A271,$A271+1),COLUMN('1-DATA'!AA269)),IF($B271="STD. DEVIATION",2,$F$1))))</f>
        <v/>
      </c>
      <c r="AC271" s="1" t="str">
        <f>IF(OR($B271="",AC$7=""),"",IF($B271="MEANS",INDEX('1-DATA'!$1:$1048576,$A270-1,COLUMN('1-DATA'!AB269)),ROUND(INDEX('1-DATA'!$1:$1048576,IF(OR($B271="STD. DEVIATION",$C$1=1),$A271,$A271+1),COLUMN('1-DATA'!AB269)),IF($B271="STD. DEVIATION",2,$F$1))))</f>
        <v/>
      </c>
      <c r="AD271" s="1" t="str">
        <f>IF(OR($B271="",AD$7=""),"",IF($B271="MEANS",INDEX('1-DATA'!$1:$1048576,$A270-1,COLUMN('1-DATA'!AC269)),ROUND(INDEX('1-DATA'!$1:$1048576,IF(OR($B271="STD. DEVIATION",$C$1=1),$A271,$A271+1),COLUMN('1-DATA'!AC269)),IF($B271="STD. DEVIATION",2,$F$1))))</f>
        <v/>
      </c>
      <c r="AE271" s="1" t="str">
        <f>IF(OR($B271="",AE$7=""),"",IF($B271="MEANS",INDEX('1-DATA'!$1:$1048576,$A270-1,COLUMN('1-DATA'!AD269)),ROUND(INDEX('1-DATA'!$1:$1048576,IF(OR($B271="STD. DEVIATION",$C$1=1),$A271,$A271+1),COLUMN('1-DATA'!AD269)),IF($B271="STD. DEVIATION",2,$F$1))))</f>
        <v/>
      </c>
      <c r="AF271" s="1" t="str">
        <f>IF(OR($B271="",AF$7=""),"",IF($B271="MEANS",INDEX('1-DATA'!$1:$1048576,$A270-1,COLUMN('1-DATA'!AE269)),ROUND(INDEX('1-DATA'!$1:$1048576,IF(OR($B271="STD. DEVIATION",$C$1=1),$A271,$A271+1),COLUMN('1-DATA'!AE269)),IF($B271="STD. DEVIATION",2,$F$1))))</f>
        <v/>
      </c>
      <c r="AG271" s="1" t="str">
        <f>IF(OR($B271="",AG$7=""),"",IF($B271="MEANS",INDEX('1-DATA'!$1:$1048576,$A270-1,COLUMN('1-DATA'!AF269)),ROUND(INDEX('1-DATA'!$1:$1048576,IF(OR($B271="STD. DEVIATION",$C$1=1),$A271,$A271+1),COLUMN('1-DATA'!AF269)),IF($B271="STD. DEVIATION",2,$F$1))))</f>
        <v/>
      </c>
      <c r="AH271" s="1" t="str">
        <f>IF(OR($B271="",AH$7=""),"",IF($B271="MEANS",INDEX('1-DATA'!$1:$1048576,$A270-1,COLUMN('1-DATA'!AG269)),ROUND(INDEX('1-DATA'!$1:$1048576,IF(OR($B271="STD. DEVIATION",$C$1=1),$A271,$A271+1),COLUMN('1-DATA'!AG269)),IF($B271="STD. DEVIATION",2,$F$1))))</f>
        <v/>
      </c>
      <c r="AI271" s="1" t="str">
        <f>IF(OR($B271="",AI$7=""),"",IF($B271="MEANS",INDEX('1-DATA'!$1:$1048576,$A270-1,COLUMN('1-DATA'!AH269)),ROUND(INDEX('1-DATA'!$1:$1048576,IF(OR($B271="STD. DEVIATION",$C$1=1),$A271,$A271+1),COLUMN('1-DATA'!AH269)),IF($B271="STD. DEVIATION",2,$F$1))))</f>
        <v/>
      </c>
      <c r="AJ271" s="1" t="str">
        <f>IF(OR($B271="",AJ$7=""),"",IF($B271="MEANS",INDEX('1-DATA'!$1:$1048576,$A270-1,COLUMN('1-DATA'!AI269)),ROUND(INDEX('1-DATA'!$1:$1048576,IF(OR($B271="STD. DEVIATION",$C$1=1),$A271,$A271+1),COLUMN('1-DATA'!AI269)),IF($B271="STD. DEVIATION",2,$F$1))))</f>
        <v/>
      </c>
      <c r="AK271" s="1" t="str">
        <f>IF(OR($B271="",AK$7=""),"",IF($B271="MEANS",INDEX('1-DATA'!$1:$1048576,$A270-1,COLUMN('1-DATA'!AJ269)),ROUND(INDEX('1-DATA'!$1:$1048576,IF(OR($B271="STD. DEVIATION",$C$1=1),$A271,$A271+1),COLUMN('1-DATA'!AJ269)),IF($B271="STD. DEVIATION",2,$F$1))))</f>
        <v/>
      </c>
      <c r="AL271" s="1" t="str">
        <f>IF(OR($B271="",AL$7=""),"",IF($B271="MEANS",INDEX('1-DATA'!$1:$1048576,$A270-1,COLUMN('1-DATA'!AK269)),ROUND(INDEX('1-DATA'!$1:$1048576,IF(OR($B271="STD. DEVIATION",$C$1=1),$A271,$A271+1),COLUMN('1-DATA'!AK269)),IF($B271="STD. DEVIATION",2,$F$1))))</f>
        <v/>
      </c>
      <c r="AM271" s="1" t="str">
        <f>IF(OR($B271="",AM$7=""),"",IF($B271="MEANS",INDEX('1-DATA'!$1:$1048576,$A270-1,COLUMN('1-DATA'!AL269)),ROUND(INDEX('1-DATA'!$1:$1048576,IF(OR($B271="STD. DEVIATION",$C$1=1),$A271,$A271+1),COLUMN('1-DATA'!AL269)),IF($B271="STD. DEVIATION",2,$F$1))))</f>
        <v/>
      </c>
      <c r="AN271" s="1" t="str">
        <f>IF(OR($B271="",AN$7=""),"",IF($B271="MEANS",INDEX('1-DATA'!$1:$1048576,$A270-1,COLUMN('1-DATA'!AM269)),ROUND(INDEX('1-DATA'!$1:$1048576,IF(OR($B271="STD. DEVIATION",$C$1=1),$A271,$A271+1),COLUMN('1-DATA'!AM269)),IF($B271="STD. DEVIATION",2,$F$1))))</f>
        <v/>
      </c>
      <c r="AO271" s="1" t="str">
        <f>IF(OR($B271="",AO$7=""),"",IF($B271="MEANS",INDEX('1-DATA'!$1:$1048576,$A270-1,COLUMN('1-DATA'!AN269)),ROUND(INDEX('1-DATA'!$1:$1048576,IF(OR($B271="STD. DEVIATION",$C$1=1),$A271,$A271+1),COLUMN('1-DATA'!AN269)),IF($B271="STD. DEVIATION",2,$F$1))))</f>
        <v/>
      </c>
      <c r="AP271" s="1" t="str">
        <f>IF(OR($B271="",AP$7=""),"",IF($B271="MEANS",INDEX('1-DATA'!$1:$1048576,$A270-1,COLUMN('1-DATA'!AO269)),ROUND(INDEX('1-DATA'!$1:$1048576,IF(OR($B271="STD. DEVIATION",$C$1=1),$A271,$A271+1),COLUMN('1-DATA'!AO269)),IF($B271="STD. DEVIATION",2,$F$1))))</f>
        <v/>
      </c>
      <c r="AQ271" s="1" t="str">
        <f>IF(OR($B271="",AQ$7=""),"",IF($B271="MEANS",INDEX('1-DATA'!$1:$1048576,$A270-1,COLUMN('1-DATA'!AP269)),ROUND(INDEX('1-DATA'!$1:$1048576,IF(OR($B271="STD. DEVIATION",$C$1=1),$A271,$A271+1),COLUMN('1-DATA'!AP269)),IF($B271="STD. DEVIATION",2,$F$1))))</f>
        <v/>
      </c>
      <c r="AR271" s="1" t="str">
        <f>IF(OR($B271="",AR$7=""),"",IF($B271="MEANS",INDEX('1-DATA'!$1:$1048576,$A270-1,COLUMN('1-DATA'!AQ269)),ROUND(INDEX('1-DATA'!$1:$1048576,IF(OR($B271="STD. DEVIATION",$C$1=1),$A271,$A271+1),COLUMN('1-DATA'!AQ269)),IF($B271="STD. DEVIATION",2,$F$1))))</f>
        <v/>
      </c>
      <c r="AS271" s="1" t="str">
        <f>IF(OR($B271="",AS$7=""),"",IF($B271="MEANS",INDEX('1-DATA'!$1:$1048576,$A270-1,COLUMN('1-DATA'!AR269)),ROUND(INDEX('1-DATA'!$1:$1048576,IF(OR($B271="STD. DEVIATION",$C$1=1),$A271,$A271+1),COLUMN('1-DATA'!AR269)),IF($B271="STD. DEVIATION",2,$F$1))))</f>
        <v/>
      </c>
      <c r="AT271" s="1" t="str">
        <f>IF(OR($B271="",AT$7=""),"",IF($B271="MEANS",INDEX('1-DATA'!$1:$1048576,$A270-1,COLUMN('1-DATA'!AS269)),ROUND(INDEX('1-DATA'!$1:$1048576,IF(OR($B271="STD. DEVIATION",$C$1=1),$A271,$A271+1),COLUMN('1-DATA'!AS269)),IF($B271="STD. DEVIATION",2,$F$1))))</f>
        <v/>
      </c>
      <c r="AU271" s="1" t="str">
        <f>IF(OR($B271="",AU$7=""),"",IF($B271="MEANS",INDEX('1-DATA'!$1:$1048576,$A270-1,COLUMN('1-DATA'!AT269)),ROUND(INDEX('1-DATA'!$1:$1048576,IF(OR($B271="STD. DEVIATION",$C$1=1),$A271,$A271+1),COLUMN('1-DATA'!AT269)),IF($B271="STD. DEVIATION",2,$F$1))))</f>
        <v/>
      </c>
      <c r="AV271" s="1" t="str">
        <f>IF(OR($B271="",AV$7=""),"",IF($B271="MEANS",INDEX('1-DATA'!$1:$1048576,$A270-1,COLUMN('1-DATA'!AU269)),ROUND(INDEX('1-DATA'!$1:$1048576,IF(OR($B271="STD. DEVIATION",$C$1=1),$A271,$A271+1),COLUMN('1-DATA'!AU269)),IF($B271="STD. DEVIATION",2,$F$1))))</f>
        <v/>
      </c>
      <c r="AW271" s="1" t="str">
        <f>IF(OR($B271="",AW$7=""),"",IF($B271="MEANS",INDEX('1-DATA'!$1:$1048576,$A270-1,COLUMN('1-DATA'!AV269)),ROUND(INDEX('1-DATA'!$1:$1048576,IF(OR($B271="STD. DEVIATION",$C$1=1),$A271,$A271+1),COLUMN('1-DATA'!AV269)),IF($B271="STD. DEVIATION",2,$F$1))))</f>
        <v/>
      </c>
      <c r="AX271" s="1" t="str">
        <f>IF(OR($B271="",AX$7=""),"",IF($B271="MEANS",INDEX('1-DATA'!$1:$1048576,$A270-1,COLUMN('1-DATA'!AW269)),ROUND(INDEX('1-DATA'!$1:$1048576,IF(OR($B271="STD. DEVIATION",$C$1=1),$A271,$A271+1),COLUMN('1-DATA'!AW269)),IF($B271="STD. DEVIATION",2,$F$1))))</f>
        <v/>
      </c>
      <c r="AY271" s="1" t="str">
        <f>IF(OR($B271="",AY$7=""),"",IF($B271="MEANS",INDEX('1-DATA'!$1:$1048576,$A270-1,COLUMN('1-DATA'!AX269)),ROUND(INDEX('1-DATA'!$1:$1048576,IF(OR($B271="STD. DEVIATION",$C$1=1),$A271,$A271+1),COLUMN('1-DATA'!AX269)),IF($B271="STD. DEVIATION",2,$F$1))))</f>
        <v/>
      </c>
      <c r="AZ271" s="1" t="str">
        <f>IF(OR($B271="",AZ$7=""),"",IF($B271="MEANS",INDEX('1-DATA'!$1:$1048576,$A270-1,COLUMN('1-DATA'!AY269)),ROUND(INDEX('1-DATA'!$1:$1048576,IF(OR($B271="STD. DEVIATION",$C$1=1),$A271,$A271+1),COLUMN('1-DATA'!AY269)),IF($B271="STD. DEVIATION",2,$F$1))))</f>
        <v/>
      </c>
    </row>
    <row r="272" spans="1:52" x14ac:dyDescent="0.25">
      <c r="A272" s="11">
        <f t="shared" si="4"/>
        <v>802</v>
      </c>
      <c r="B272" s="1" t="str">
        <f>IF(B271="STD. DEVIATION",INDEX('1-DATA'!$1:$1048576,$A271-1,1),IF(INDEX('1-DATA'!$1:$1048576,$A272,1)&lt;&gt;"",INDEX('1-DATA'!$1:$1048576,$A272,1),""))</f>
        <v/>
      </c>
      <c r="C272" s="1" t="str">
        <f>IF(OR($B272="",C$7=""),"",IF($B272="MEANS",INDEX('1-DATA'!$1:$1048576,$A271-1,COLUMN('1-DATA'!B270)),ROUND(INDEX('1-DATA'!$1:$1048576,IF(OR($B272="STD. DEVIATION",$C$1=1),$A272,$A272+1),COLUMN('1-DATA'!B270)),IF($B272="STD. DEVIATION",2,$F$1))))</f>
        <v/>
      </c>
      <c r="D272" s="1" t="str">
        <f>IF(OR($B272="",D$7=""),"",IF($B272="MEANS",INDEX('1-DATA'!$1:$1048576,$A271-1,COLUMN('1-DATA'!C270)),ROUND(INDEX('1-DATA'!$1:$1048576,IF(OR($B272="STD. DEVIATION",$C$1=1),$A272,$A272+1),COLUMN('1-DATA'!C270)),IF($B272="STD. DEVIATION",2,$F$1))))</f>
        <v/>
      </c>
      <c r="E272" s="1" t="str">
        <f>IF(OR($B272="",E$7=""),"",IF($B272="MEANS",INDEX('1-DATA'!$1:$1048576,$A271-1,COLUMN('1-DATA'!D270)),ROUND(INDEX('1-DATA'!$1:$1048576,IF(OR($B272="STD. DEVIATION",$C$1=1),$A272,$A272+1),COLUMN('1-DATA'!D270)),IF($B272="STD. DEVIATION",2,$F$1))))</f>
        <v/>
      </c>
      <c r="F272" s="1" t="str">
        <f>IF(OR($B272="",F$7=""),"",IF($B272="MEANS",INDEX('1-DATA'!$1:$1048576,$A271-1,COLUMN('1-DATA'!E270)),ROUND(INDEX('1-DATA'!$1:$1048576,IF(OR($B272="STD. DEVIATION",$C$1=1),$A272,$A272+1),COLUMN('1-DATA'!E270)),IF($B272="STD. DEVIATION",2,$F$1))))</f>
        <v/>
      </c>
      <c r="G272" s="1" t="str">
        <f>IF(OR($B272="",G$7=""),"",IF($B272="MEANS",INDEX('1-DATA'!$1:$1048576,$A271-1,COLUMN('1-DATA'!F270)),ROUND(INDEX('1-DATA'!$1:$1048576,IF(OR($B272="STD. DEVIATION",$C$1=1),$A272,$A272+1),COLUMN('1-DATA'!F270)),IF($B272="STD. DEVIATION",2,$F$1))))</f>
        <v/>
      </c>
      <c r="H272" s="1" t="str">
        <f>IF(OR($B272="",H$7=""),"",IF($B272="MEANS",INDEX('1-DATA'!$1:$1048576,$A271-1,COLUMN('1-DATA'!G270)),ROUND(INDEX('1-DATA'!$1:$1048576,IF(OR($B272="STD. DEVIATION",$C$1=1),$A272,$A272+1),COLUMN('1-DATA'!G270)),IF($B272="STD. DEVIATION",2,$F$1))))</f>
        <v/>
      </c>
      <c r="I272" s="1" t="str">
        <f>IF(OR($B272="",I$7=""),"",IF($B272="MEANS",INDEX('1-DATA'!$1:$1048576,$A271-1,COLUMN('1-DATA'!H270)),ROUND(INDEX('1-DATA'!$1:$1048576,IF(OR($B272="STD. DEVIATION",$C$1=1),$A272,$A272+1),COLUMN('1-DATA'!H270)),IF($B272="STD. DEVIATION",2,$F$1))))</f>
        <v/>
      </c>
      <c r="J272" s="1" t="str">
        <f>IF(OR($B272="",J$7=""),"",IF($B272="MEANS",INDEX('1-DATA'!$1:$1048576,$A271-1,COLUMN('1-DATA'!I270)),ROUND(INDEX('1-DATA'!$1:$1048576,IF(OR($B272="STD. DEVIATION",$C$1=1),$A272,$A272+1),COLUMN('1-DATA'!I270)),IF($B272="STD. DEVIATION",2,$F$1))))</f>
        <v/>
      </c>
      <c r="K272" s="1" t="str">
        <f>IF(OR($B272="",K$7=""),"",IF($B272="MEANS",INDEX('1-DATA'!$1:$1048576,$A271-1,COLUMN('1-DATA'!J270)),ROUND(INDEX('1-DATA'!$1:$1048576,IF(OR($B272="STD. DEVIATION",$C$1=1),$A272,$A272+1),COLUMN('1-DATA'!J270)),IF($B272="STD. DEVIATION",2,$F$1))))</f>
        <v/>
      </c>
      <c r="L272" s="1" t="str">
        <f>IF(OR($B272="",L$7=""),"",IF($B272="MEANS",INDEX('1-DATA'!$1:$1048576,$A271-1,COLUMN('1-DATA'!K270)),ROUND(INDEX('1-DATA'!$1:$1048576,IF(OR($B272="STD. DEVIATION",$C$1=1),$A272,$A272+1),COLUMN('1-DATA'!K270)),IF($B272="STD. DEVIATION",2,$F$1))))</f>
        <v/>
      </c>
      <c r="M272" s="1" t="str">
        <f>IF(OR($B272="",M$7=""),"",IF($B272="MEANS",INDEX('1-DATA'!$1:$1048576,$A271-1,COLUMN('1-DATA'!L270)),ROUND(INDEX('1-DATA'!$1:$1048576,IF(OR($B272="STD. DEVIATION",$C$1=1),$A272,$A272+1),COLUMN('1-DATA'!L270)),IF($B272="STD. DEVIATION",2,$F$1))))</f>
        <v/>
      </c>
      <c r="N272" s="1" t="str">
        <f>IF(OR($B272="",N$7=""),"",IF($B272="MEANS",INDEX('1-DATA'!$1:$1048576,$A271-1,COLUMN('1-DATA'!M270)),ROUND(INDEX('1-DATA'!$1:$1048576,IF(OR($B272="STD. DEVIATION",$C$1=1),$A272,$A272+1),COLUMN('1-DATA'!M270)),IF($B272="STD. DEVIATION",2,$F$1))))</f>
        <v/>
      </c>
      <c r="O272" s="1" t="str">
        <f>IF(OR($B272="",O$7=""),"",IF($B272="MEANS",INDEX('1-DATA'!$1:$1048576,$A271-1,COLUMN('1-DATA'!N270)),ROUND(INDEX('1-DATA'!$1:$1048576,IF(OR($B272="STD. DEVIATION",$C$1=1),$A272,$A272+1),COLUMN('1-DATA'!N270)),IF($B272="STD. DEVIATION",2,$F$1))))</f>
        <v/>
      </c>
      <c r="P272" s="1" t="str">
        <f>IF(OR($B272="",P$7=""),"",IF($B272="MEANS",INDEX('1-DATA'!$1:$1048576,$A271-1,COLUMN('1-DATA'!O270)),ROUND(INDEX('1-DATA'!$1:$1048576,IF(OR($B272="STD. DEVIATION",$C$1=1),$A272,$A272+1),COLUMN('1-DATA'!O270)),IF($B272="STD. DEVIATION",2,$F$1))))</f>
        <v/>
      </c>
      <c r="Q272" s="1" t="str">
        <f>IF(OR($B272="",Q$7=""),"",IF($B272="MEANS",INDEX('1-DATA'!$1:$1048576,$A271-1,COLUMN('1-DATA'!P270)),ROUND(INDEX('1-DATA'!$1:$1048576,IF(OR($B272="STD. DEVIATION",$C$1=1),$A272,$A272+1),COLUMN('1-DATA'!P270)),IF($B272="STD. DEVIATION",2,$F$1))))</f>
        <v/>
      </c>
      <c r="R272" s="1" t="str">
        <f>IF(OR($B272="",R$7=""),"",IF($B272="MEANS",INDEX('1-DATA'!$1:$1048576,$A271-1,COLUMN('1-DATA'!Q270)),ROUND(INDEX('1-DATA'!$1:$1048576,IF(OR($B272="STD. DEVIATION",$C$1=1),$A272,$A272+1),COLUMN('1-DATA'!Q270)),IF($B272="STD. DEVIATION",2,$F$1))))</f>
        <v/>
      </c>
      <c r="S272" s="1" t="str">
        <f>IF(OR($B272="",S$7=""),"",IF($B272="MEANS",INDEX('1-DATA'!$1:$1048576,$A271-1,COLUMN('1-DATA'!R270)),ROUND(INDEX('1-DATA'!$1:$1048576,IF(OR($B272="STD. DEVIATION",$C$1=1),$A272,$A272+1),COLUMN('1-DATA'!R270)),IF($B272="STD. DEVIATION",2,$F$1))))</f>
        <v/>
      </c>
      <c r="T272" s="1" t="str">
        <f>IF(OR($B272="",T$7=""),"",IF($B272="MEANS",INDEX('1-DATA'!$1:$1048576,$A271-1,COLUMN('1-DATA'!S270)),ROUND(INDEX('1-DATA'!$1:$1048576,IF(OR($B272="STD. DEVIATION",$C$1=1),$A272,$A272+1),COLUMN('1-DATA'!S270)),IF($B272="STD. DEVIATION",2,$F$1))))</f>
        <v/>
      </c>
      <c r="U272" s="1" t="str">
        <f>IF(OR($B272="",U$7=""),"",IF($B272="MEANS",INDEX('1-DATA'!$1:$1048576,$A271-1,COLUMN('1-DATA'!T270)),ROUND(INDEX('1-DATA'!$1:$1048576,IF(OR($B272="STD. DEVIATION",$C$1=1),$A272,$A272+1),COLUMN('1-DATA'!T270)),IF($B272="STD. DEVIATION",2,$F$1))))</f>
        <v/>
      </c>
      <c r="V272" s="1" t="str">
        <f>IF(OR($B272="",V$7=""),"",IF($B272="MEANS",INDEX('1-DATA'!$1:$1048576,$A271-1,COLUMN('1-DATA'!U270)),ROUND(INDEX('1-DATA'!$1:$1048576,IF(OR($B272="STD. DEVIATION",$C$1=1),$A272,$A272+1),COLUMN('1-DATA'!U270)),IF($B272="STD. DEVIATION",2,$F$1))))</f>
        <v/>
      </c>
      <c r="W272" s="1" t="str">
        <f>IF(OR($B272="",W$7=""),"",IF($B272="MEANS",INDEX('1-DATA'!$1:$1048576,$A271-1,COLUMN('1-DATA'!V270)),ROUND(INDEX('1-DATA'!$1:$1048576,IF(OR($B272="STD. DEVIATION",$C$1=1),$A272,$A272+1),COLUMN('1-DATA'!V270)),IF($B272="STD. DEVIATION",2,$F$1))))</f>
        <v/>
      </c>
      <c r="X272" s="1" t="str">
        <f>IF(OR($B272="",X$7=""),"",IF($B272="MEANS",INDEX('1-DATA'!$1:$1048576,$A271-1,COLUMN('1-DATA'!W270)),ROUND(INDEX('1-DATA'!$1:$1048576,IF(OR($B272="STD. DEVIATION",$C$1=1),$A272,$A272+1),COLUMN('1-DATA'!W270)),IF($B272="STD. DEVIATION",2,$F$1))))</f>
        <v/>
      </c>
      <c r="Y272" s="1" t="str">
        <f>IF(OR($B272="",Y$7=""),"",IF($B272="MEANS",INDEX('1-DATA'!$1:$1048576,$A271-1,COLUMN('1-DATA'!X270)),ROUND(INDEX('1-DATA'!$1:$1048576,IF(OR($B272="STD. DEVIATION",$C$1=1),$A272,$A272+1),COLUMN('1-DATA'!X270)),IF($B272="STD. DEVIATION",2,$F$1))))</f>
        <v/>
      </c>
      <c r="Z272" s="1" t="str">
        <f>IF(OR($B272="",Z$7=""),"",IF($B272="MEANS",INDEX('1-DATA'!$1:$1048576,$A271-1,COLUMN('1-DATA'!Y270)),ROUND(INDEX('1-DATA'!$1:$1048576,IF(OR($B272="STD. DEVIATION",$C$1=1),$A272,$A272+1),COLUMN('1-DATA'!Y270)),IF($B272="STD. DEVIATION",2,$F$1))))</f>
        <v/>
      </c>
      <c r="AA272" s="1" t="str">
        <f>IF(OR($B272="",AA$7=""),"",IF($B272="MEANS",INDEX('1-DATA'!$1:$1048576,$A271-1,COLUMN('1-DATA'!Z270)),ROUND(INDEX('1-DATA'!$1:$1048576,IF(OR($B272="STD. DEVIATION",$C$1=1),$A272,$A272+1),COLUMN('1-DATA'!Z270)),IF($B272="STD. DEVIATION",2,$F$1))))</f>
        <v/>
      </c>
      <c r="AB272" s="1" t="str">
        <f>IF(OR($B272="",AB$7=""),"",IF($B272="MEANS",INDEX('1-DATA'!$1:$1048576,$A271-1,COLUMN('1-DATA'!AA270)),ROUND(INDEX('1-DATA'!$1:$1048576,IF(OR($B272="STD. DEVIATION",$C$1=1),$A272,$A272+1),COLUMN('1-DATA'!AA270)),IF($B272="STD. DEVIATION",2,$F$1))))</f>
        <v/>
      </c>
      <c r="AC272" s="1" t="str">
        <f>IF(OR($B272="",AC$7=""),"",IF($B272="MEANS",INDEX('1-DATA'!$1:$1048576,$A271-1,COLUMN('1-DATA'!AB270)),ROUND(INDEX('1-DATA'!$1:$1048576,IF(OR($B272="STD. DEVIATION",$C$1=1),$A272,$A272+1),COLUMN('1-DATA'!AB270)),IF($B272="STD. DEVIATION",2,$F$1))))</f>
        <v/>
      </c>
      <c r="AD272" s="1" t="str">
        <f>IF(OR($B272="",AD$7=""),"",IF($B272="MEANS",INDEX('1-DATA'!$1:$1048576,$A271-1,COLUMN('1-DATA'!AC270)),ROUND(INDEX('1-DATA'!$1:$1048576,IF(OR($B272="STD. DEVIATION",$C$1=1),$A272,$A272+1),COLUMN('1-DATA'!AC270)),IF($B272="STD. DEVIATION",2,$F$1))))</f>
        <v/>
      </c>
      <c r="AE272" s="1" t="str">
        <f>IF(OR($B272="",AE$7=""),"",IF($B272="MEANS",INDEX('1-DATA'!$1:$1048576,$A271-1,COLUMN('1-DATA'!AD270)),ROUND(INDEX('1-DATA'!$1:$1048576,IF(OR($B272="STD. DEVIATION",$C$1=1),$A272,$A272+1),COLUMN('1-DATA'!AD270)),IF($B272="STD. DEVIATION",2,$F$1))))</f>
        <v/>
      </c>
      <c r="AF272" s="1" t="str">
        <f>IF(OR($B272="",AF$7=""),"",IF($B272="MEANS",INDEX('1-DATA'!$1:$1048576,$A271-1,COLUMN('1-DATA'!AE270)),ROUND(INDEX('1-DATA'!$1:$1048576,IF(OR($B272="STD. DEVIATION",$C$1=1),$A272,$A272+1),COLUMN('1-DATA'!AE270)),IF($B272="STD. DEVIATION",2,$F$1))))</f>
        <v/>
      </c>
      <c r="AG272" s="1" t="str">
        <f>IF(OR($B272="",AG$7=""),"",IF($B272="MEANS",INDEX('1-DATA'!$1:$1048576,$A271-1,COLUMN('1-DATA'!AF270)),ROUND(INDEX('1-DATA'!$1:$1048576,IF(OR($B272="STD. DEVIATION",$C$1=1),$A272,$A272+1),COLUMN('1-DATA'!AF270)),IF($B272="STD. DEVIATION",2,$F$1))))</f>
        <v/>
      </c>
      <c r="AH272" s="1" t="str">
        <f>IF(OR($B272="",AH$7=""),"",IF($B272="MEANS",INDEX('1-DATA'!$1:$1048576,$A271-1,COLUMN('1-DATA'!AG270)),ROUND(INDEX('1-DATA'!$1:$1048576,IF(OR($B272="STD. DEVIATION",$C$1=1),$A272,$A272+1),COLUMN('1-DATA'!AG270)),IF($B272="STD. DEVIATION",2,$F$1))))</f>
        <v/>
      </c>
      <c r="AI272" s="1" t="str">
        <f>IF(OR($B272="",AI$7=""),"",IF($B272="MEANS",INDEX('1-DATA'!$1:$1048576,$A271-1,COLUMN('1-DATA'!AH270)),ROUND(INDEX('1-DATA'!$1:$1048576,IF(OR($B272="STD. DEVIATION",$C$1=1),$A272,$A272+1),COLUMN('1-DATA'!AH270)),IF($B272="STD. DEVIATION",2,$F$1))))</f>
        <v/>
      </c>
      <c r="AJ272" s="1" t="str">
        <f>IF(OR($B272="",AJ$7=""),"",IF($B272="MEANS",INDEX('1-DATA'!$1:$1048576,$A271-1,COLUMN('1-DATA'!AI270)),ROUND(INDEX('1-DATA'!$1:$1048576,IF(OR($B272="STD. DEVIATION",$C$1=1),$A272,$A272+1),COLUMN('1-DATA'!AI270)),IF($B272="STD. DEVIATION",2,$F$1))))</f>
        <v/>
      </c>
      <c r="AK272" s="1" t="str">
        <f>IF(OR($B272="",AK$7=""),"",IF($B272="MEANS",INDEX('1-DATA'!$1:$1048576,$A271-1,COLUMN('1-DATA'!AJ270)),ROUND(INDEX('1-DATA'!$1:$1048576,IF(OR($B272="STD. DEVIATION",$C$1=1),$A272,$A272+1),COLUMN('1-DATA'!AJ270)),IF($B272="STD. DEVIATION",2,$F$1))))</f>
        <v/>
      </c>
      <c r="AL272" s="1" t="str">
        <f>IF(OR($B272="",AL$7=""),"",IF($B272="MEANS",INDEX('1-DATA'!$1:$1048576,$A271-1,COLUMN('1-DATA'!AK270)),ROUND(INDEX('1-DATA'!$1:$1048576,IF(OR($B272="STD. DEVIATION",$C$1=1),$A272,$A272+1),COLUMN('1-DATA'!AK270)),IF($B272="STD. DEVIATION",2,$F$1))))</f>
        <v/>
      </c>
      <c r="AM272" s="1" t="str">
        <f>IF(OR($B272="",AM$7=""),"",IF($B272="MEANS",INDEX('1-DATA'!$1:$1048576,$A271-1,COLUMN('1-DATA'!AL270)),ROUND(INDEX('1-DATA'!$1:$1048576,IF(OR($B272="STD. DEVIATION",$C$1=1),$A272,$A272+1),COLUMN('1-DATA'!AL270)),IF($B272="STD. DEVIATION",2,$F$1))))</f>
        <v/>
      </c>
      <c r="AN272" s="1" t="str">
        <f>IF(OR($B272="",AN$7=""),"",IF($B272="MEANS",INDEX('1-DATA'!$1:$1048576,$A271-1,COLUMN('1-DATA'!AM270)),ROUND(INDEX('1-DATA'!$1:$1048576,IF(OR($B272="STD. DEVIATION",$C$1=1),$A272,$A272+1),COLUMN('1-DATA'!AM270)),IF($B272="STD. DEVIATION",2,$F$1))))</f>
        <v/>
      </c>
      <c r="AO272" s="1" t="str">
        <f>IF(OR($B272="",AO$7=""),"",IF($B272="MEANS",INDEX('1-DATA'!$1:$1048576,$A271-1,COLUMN('1-DATA'!AN270)),ROUND(INDEX('1-DATA'!$1:$1048576,IF(OR($B272="STD. DEVIATION",$C$1=1),$A272,$A272+1),COLUMN('1-DATA'!AN270)),IF($B272="STD. DEVIATION",2,$F$1))))</f>
        <v/>
      </c>
      <c r="AP272" s="1" t="str">
        <f>IF(OR($B272="",AP$7=""),"",IF($B272="MEANS",INDEX('1-DATA'!$1:$1048576,$A271-1,COLUMN('1-DATA'!AO270)),ROUND(INDEX('1-DATA'!$1:$1048576,IF(OR($B272="STD. DEVIATION",$C$1=1),$A272,$A272+1),COLUMN('1-DATA'!AO270)),IF($B272="STD. DEVIATION",2,$F$1))))</f>
        <v/>
      </c>
      <c r="AQ272" s="1" t="str">
        <f>IF(OR($B272="",AQ$7=""),"",IF($B272="MEANS",INDEX('1-DATA'!$1:$1048576,$A271-1,COLUMN('1-DATA'!AP270)),ROUND(INDEX('1-DATA'!$1:$1048576,IF(OR($B272="STD. DEVIATION",$C$1=1),$A272,$A272+1),COLUMN('1-DATA'!AP270)),IF($B272="STD. DEVIATION",2,$F$1))))</f>
        <v/>
      </c>
      <c r="AR272" s="1" t="str">
        <f>IF(OR($B272="",AR$7=""),"",IF($B272="MEANS",INDEX('1-DATA'!$1:$1048576,$A271-1,COLUMN('1-DATA'!AQ270)),ROUND(INDEX('1-DATA'!$1:$1048576,IF(OR($B272="STD. DEVIATION",$C$1=1),$A272,$A272+1),COLUMN('1-DATA'!AQ270)),IF($B272="STD. DEVIATION",2,$F$1))))</f>
        <v/>
      </c>
      <c r="AS272" s="1" t="str">
        <f>IF(OR($B272="",AS$7=""),"",IF($B272="MEANS",INDEX('1-DATA'!$1:$1048576,$A271-1,COLUMN('1-DATA'!AR270)),ROUND(INDEX('1-DATA'!$1:$1048576,IF(OR($B272="STD. DEVIATION",$C$1=1),$A272,$A272+1),COLUMN('1-DATA'!AR270)),IF($B272="STD. DEVIATION",2,$F$1))))</f>
        <v/>
      </c>
      <c r="AT272" s="1" t="str">
        <f>IF(OR($B272="",AT$7=""),"",IF($B272="MEANS",INDEX('1-DATA'!$1:$1048576,$A271-1,COLUMN('1-DATA'!AS270)),ROUND(INDEX('1-DATA'!$1:$1048576,IF(OR($B272="STD. DEVIATION",$C$1=1),$A272,$A272+1),COLUMN('1-DATA'!AS270)),IF($B272="STD. DEVIATION",2,$F$1))))</f>
        <v/>
      </c>
      <c r="AU272" s="1" t="str">
        <f>IF(OR($B272="",AU$7=""),"",IF($B272="MEANS",INDEX('1-DATA'!$1:$1048576,$A271-1,COLUMN('1-DATA'!AT270)),ROUND(INDEX('1-DATA'!$1:$1048576,IF(OR($B272="STD. DEVIATION",$C$1=1),$A272,$A272+1),COLUMN('1-DATA'!AT270)),IF($B272="STD. DEVIATION",2,$F$1))))</f>
        <v/>
      </c>
      <c r="AV272" s="1" t="str">
        <f>IF(OR($B272="",AV$7=""),"",IF($B272="MEANS",INDEX('1-DATA'!$1:$1048576,$A271-1,COLUMN('1-DATA'!AU270)),ROUND(INDEX('1-DATA'!$1:$1048576,IF(OR($B272="STD. DEVIATION",$C$1=1),$A272,$A272+1),COLUMN('1-DATA'!AU270)),IF($B272="STD. DEVIATION",2,$F$1))))</f>
        <v/>
      </c>
      <c r="AW272" s="1" t="str">
        <f>IF(OR($B272="",AW$7=""),"",IF($B272="MEANS",INDEX('1-DATA'!$1:$1048576,$A271-1,COLUMN('1-DATA'!AV270)),ROUND(INDEX('1-DATA'!$1:$1048576,IF(OR($B272="STD. DEVIATION",$C$1=1),$A272,$A272+1),COLUMN('1-DATA'!AV270)),IF($B272="STD. DEVIATION",2,$F$1))))</f>
        <v/>
      </c>
      <c r="AX272" s="1" t="str">
        <f>IF(OR($B272="",AX$7=""),"",IF($B272="MEANS",INDEX('1-DATA'!$1:$1048576,$A271-1,COLUMN('1-DATA'!AW270)),ROUND(INDEX('1-DATA'!$1:$1048576,IF(OR($B272="STD. DEVIATION",$C$1=1),$A272,$A272+1),COLUMN('1-DATA'!AW270)),IF($B272="STD. DEVIATION",2,$F$1))))</f>
        <v/>
      </c>
      <c r="AY272" s="1" t="str">
        <f>IF(OR($B272="",AY$7=""),"",IF($B272="MEANS",INDEX('1-DATA'!$1:$1048576,$A271-1,COLUMN('1-DATA'!AX270)),ROUND(INDEX('1-DATA'!$1:$1048576,IF(OR($B272="STD. DEVIATION",$C$1=1),$A272,$A272+1),COLUMN('1-DATA'!AX270)),IF($B272="STD. DEVIATION",2,$F$1))))</f>
        <v/>
      </c>
      <c r="AZ272" s="1" t="str">
        <f>IF(OR($B272="",AZ$7=""),"",IF($B272="MEANS",INDEX('1-DATA'!$1:$1048576,$A271-1,COLUMN('1-DATA'!AY270)),ROUND(INDEX('1-DATA'!$1:$1048576,IF(OR($B272="STD. DEVIATION",$C$1=1),$A272,$A272+1),COLUMN('1-DATA'!AY270)),IF($B272="STD. DEVIATION",2,$F$1))))</f>
        <v/>
      </c>
    </row>
    <row r="273" spans="1:52" x14ac:dyDescent="0.25">
      <c r="A273" s="11">
        <f t="shared" si="4"/>
        <v>805</v>
      </c>
      <c r="B273" s="1" t="str">
        <f>IF(B272="STD. DEVIATION",INDEX('1-DATA'!$1:$1048576,$A272-1,1),IF(INDEX('1-DATA'!$1:$1048576,$A273,1)&lt;&gt;"",INDEX('1-DATA'!$1:$1048576,$A273,1),""))</f>
        <v/>
      </c>
      <c r="C273" s="1" t="str">
        <f>IF(OR($B273="",C$7=""),"",IF($B273="MEANS",INDEX('1-DATA'!$1:$1048576,$A272-1,COLUMN('1-DATA'!B271)),ROUND(INDEX('1-DATA'!$1:$1048576,IF(OR($B273="STD. DEVIATION",$C$1=1),$A273,$A273+1),COLUMN('1-DATA'!B271)),IF($B273="STD. DEVIATION",2,$F$1))))</f>
        <v/>
      </c>
      <c r="D273" s="1" t="str">
        <f>IF(OR($B273="",D$7=""),"",IF($B273="MEANS",INDEX('1-DATA'!$1:$1048576,$A272-1,COLUMN('1-DATA'!C271)),ROUND(INDEX('1-DATA'!$1:$1048576,IF(OR($B273="STD. DEVIATION",$C$1=1),$A273,$A273+1),COLUMN('1-DATA'!C271)),IF($B273="STD. DEVIATION",2,$F$1))))</f>
        <v/>
      </c>
      <c r="E273" s="1" t="str">
        <f>IF(OR($B273="",E$7=""),"",IF($B273="MEANS",INDEX('1-DATA'!$1:$1048576,$A272-1,COLUMN('1-DATA'!D271)),ROUND(INDEX('1-DATA'!$1:$1048576,IF(OR($B273="STD. DEVIATION",$C$1=1),$A273,$A273+1),COLUMN('1-DATA'!D271)),IF($B273="STD. DEVIATION",2,$F$1))))</f>
        <v/>
      </c>
      <c r="F273" s="1" t="str">
        <f>IF(OR($B273="",F$7=""),"",IF($B273="MEANS",INDEX('1-DATA'!$1:$1048576,$A272-1,COLUMN('1-DATA'!E271)),ROUND(INDEX('1-DATA'!$1:$1048576,IF(OR($B273="STD. DEVIATION",$C$1=1),$A273,$A273+1),COLUMN('1-DATA'!E271)),IF($B273="STD. DEVIATION",2,$F$1))))</f>
        <v/>
      </c>
      <c r="G273" s="1" t="str">
        <f>IF(OR($B273="",G$7=""),"",IF($B273="MEANS",INDEX('1-DATA'!$1:$1048576,$A272-1,COLUMN('1-DATA'!F271)),ROUND(INDEX('1-DATA'!$1:$1048576,IF(OR($B273="STD. DEVIATION",$C$1=1),$A273,$A273+1),COLUMN('1-DATA'!F271)),IF($B273="STD. DEVIATION",2,$F$1))))</f>
        <v/>
      </c>
      <c r="H273" s="1" t="str">
        <f>IF(OR($B273="",H$7=""),"",IF($B273="MEANS",INDEX('1-DATA'!$1:$1048576,$A272-1,COLUMN('1-DATA'!G271)),ROUND(INDEX('1-DATA'!$1:$1048576,IF(OR($B273="STD. DEVIATION",$C$1=1),$A273,$A273+1),COLUMN('1-DATA'!G271)),IF($B273="STD. DEVIATION",2,$F$1))))</f>
        <v/>
      </c>
      <c r="I273" s="1" t="str">
        <f>IF(OR($B273="",I$7=""),"",IF($B273="MEANS",INDEX('1-DATA'!$1:$1048576,$A272-1,COLUMN('1-DATA'!H271)),ROUND(INDEX('1-DATA'!$1:$1048576,IF(OR($B273="STD. DEVIATION",$C$1=1),$A273,$A273+1),COLUMN('1-DATA'!H271)),IF($B273="STD. DEVIATION",2,$F$1))))</f>
        <v/>
      </c>
      <c r="J273" s="1" t="str">
        <f>IF(OR($B273="",J$7=""),"",IF($B273="MEANS",INDEX('1-DATA'!$1:$1048576,$A272-1,COLUMN('1-DATA'!I271)),ROUND(INDEX('1-DATA'!$1:$1048576,IF(OR($B273="STD. DEVIATION",$C$1=1),$A273,$A273+1),COLUMN('1-DATA'!I271)),IF($B273="STD. DEVIATION",2,$F$1))))</f>
        <v/>
      </c>
      <c r="K273" s="1" t="str">
        <f>IF(OR($B273="",K$7=""),"",IF($B273="MEANS",INDEX('1-DATA'!$1:$1048576,$A272-1,COLUMN('1-DATA'!J271)),ROUND(INDEX('1-DATA'!$1:$1048576,IF(OR($B273="STD. DEVIATION",$C$1=1),$A273,$A273+1),COLUMN('1-DATA'!J271)),IF($B273="STD. DEVIATION",2,$F$1))))</f>
        <v/>
      </c>
      <c r="L273" s="1" t="str">
        <f>IF(OR($B273="",L$7=""),"",IF($B273="MEANS",INDEX('1-DATA'!$1:$1048576,$A272-1,COLUMN('1-DATA'!K271)),ROUND(INDEX('1-DATA'!$1:$1048576,IF(OR($B273="STD. DEVIATION",$C$1=1),$A273,$A273+1),COLUMN('1-DATA'!K271)),IF($B273="STD. DEVIATION",2,$F$1))))</f>
        <v/>
      </c>
      <c r="M273" s="1" t="str">
        <f>IF(OR($B273="",M$7=""),"",IF($B273="MEANS",INDEX('1-DATA'!$1:$1048576,$A272-1,COLUMN('1-DATA'!L271)),ROUND(INDEX('1-DATA'!$1:$1048576,IF(OR($B273="STD. DEVIATION",$C$1=1),$A273,$A273+1),COLUMN('1-DATA'!L271)),IF($B273="STD. DEVIATION",2,$F$1))))</f>
        <v/>
      </c>
      <c r="N273" s="1" t="str">
        <f>IF(OR($B273="",N$7=""),"",IF($B273="MEANS",INDEX('1-DATA'!$1:$1048576,$A272-1,COLUMN('1-DATA'!M271)),ROUND(INDEX('1-DATA'!$1:$1048576,IF(OR($B273="STD. DEVIATION",$C$1=1),$A273,$A273+1),COLUMN('1-DATA'!M271)),IF($B273="STD. DEVIATION",2,$F$1))))</f>
        <v/>
      </c>
      <c r="O273" s="1" t="str">
        <f>IF(OR($B273="",O$7=""),"",IF($B273="MEANS",INDEX('1-DATA'!$1:$1048576,$A272-1,COLUMN('1-DATA'!N271)),ROUND(INDEX('1-DATA'!$1:$1048576,IF(OR($B273="STD. DEVIATION",$C$1=1),$A273,$A273+1),COLUMN('1-DATA'!N271)),IF($B273="STD. DEVIATION",2,$F$1))))</f>
        <v/>
      </c>
      <c r="P273" s="1" t="str">
        <f>IF(OR($B273="",P$7=""),"",IF($B273="MEANS",INDEX('1-DATA'!$1:$1048576,$A272-1,COLUMN('1-DATA'!O271)),ROUND(INDEX('1-DATA'!$1:$1048576,IF(OR($B273="STD. DEVIATION",$C$1=1),$A273,$A273+1),COLUMN('1-DATA'!O271)),IF($B273="STD. DEVIATION",2,$F$1))))</f>
        <v/>
      </c>
      <c r="Q273" s="1" t="str">
        <f>IF(OR($B273="",Q$7=""),"",IF($B273="MEANS",INDEX('1-DATA'!$1:$1048576,$A272-1,COLUMN('1-DATA'!P271)),ROUND(INDEX('1-DATA'!$1:$1048576,IF(OR($B273="STD. DEVIATION",$C$1=1),$A273,$A273+1),COLUMN('1-DATA'!P271)),IF($B273="STD. DEVIATION",2,$F$1))))</f>
        <v/>
      </c>
      <c r="R273" s="1" t="str">
        <f>IF(OR($B273="",R$7=""),"",IF($B273="MEANS",INDEX('1-DATA'!$1:$1048576,$A272-1,COLUMN('1-DATA'!Q271)),ROUND(INDEX('1-DATA'!$1:$1048576,IF(OR($B273="STD. DEVIATION",$C$1=1),$A273,$A273+1),COLUMN('1-DATA'!Q271)),IF($B273="STD. DEVIATION",2,$F$1))))</f>
        <v/>
      </c>
      <c r="S273" s="1" t="str">
        <f>IF(OR($B273="",S$7=""),"",IF($B273="MEANS",INDEX('1-DATA'!$1:$1048576,$A272-1,COLUMN('1-DATA'!R271)),ROUND(INDEX('1-DATA'!$1:$1048576,IF(OR($B273="STD. DEVIATION",$C$1=1),$A273,$A273+1),COLUMN('1-DATA'!R271)),IF($B273="STD. DEVIATION",2,$F$1))))</f>
        <v/>
      </c>
      <c r="T273" s="1" t="str">
        <f>IF(OR($B273="",T$7=""),"",IF($B273="MEANS",INDEX('1-DATA'!$1:$1048576,$A272-1,COLUMN('1-DATA'!S271)),ROUND(INDEX('1-DATA'!$1:$1048576,IF(OR($B273="STD. DEVIATION",$C$1=1),$A273,$A273+1),COLUMN('1-DATA'!S271)),IF($B273="STD. DEVIATION",2,$F$1))))</f>
        <v/>
      </c>
      <c r="U273" s="1" t="str">
        <f>IF(OR($B273="",U$7=""),"",IF($B273="MEANS",INDEX('1-DATA'!$1:$1048576,$A272-1,COLUMN('1-DATA'!T271)),ROUND(INDEX('1-DATA'!$1:$1048576,IF(OR($B273="STD. DEVIATION",$C$1=1),$A273,$A273+1),COLUMN('1-DATA'!T271)),IF($B273="STD. DEVIATION",2,$F$1))))</f>
        <v/>
      </c>
      <c r="V273" s="1" t="str">
        <f>IF(OR($B273="",V$7=""),"",IF($B273="MEANS",INDEX('1-DATA'!$1:$1048576,$A272-1,COLUMN('1-DATA'!U271)),ROUND(INDEX('1-DATA'!$1:$1048576,IF(OR($B273="STD. DEVIATION",$C$1=1),$A273,$A273+1),COLUMN('1-DATA'!U271)),IF($B273="STD. DEVIATION",2,$F$1))))</f>
        <v/>
      </c>
      <c r="W273" s="1" t="str">
        <f>IF(OR($B273="",W$7=""),"",IF($B273="MEANS",INDEX('1-DATA'!$1:$1048576,$A272-1,COLUMN('1-DATA'!V271)),ROUND(INDEX('1-DATA'!$1:$1048576,IF(OR($B273="STD. DEVIATION",$C$1=1),$A273,$A273+1),COLUMN('1-DATA'!V271)),IF($B273="STD. DEVIATION",2,$F$1))))</f>
        <v/>
      </c>
      <c r="X273" s="1" t="str">
        <f>IF(OR($B273="",X$7=""),"",IF($B273="MEANS",INDEX('1-DATA'!$1:$1048576,$A272-1,COLUMN('1-DATA'!W271)),ROUND(INDEX('1-DATA'!$1:$1048576,IF(OR($B273="STD. DEVIATION",$C$1=1),$A273,$A273+1),COLUMN('1-DATA'!W271)),IF($B273="STD. DEVIATION",2,$F$1))))</f>
        <v/>
      </c>
      <c r="Y273" s="1" t="str">
        <f>IF(OR($B273="",Y$7=""),"",IF($B273="MEANS",INDEX('1-DATA'!$1:$1048576,$A272-1,COLUMN('1-DATA'!X271)),ROUND(INDEX('1-DATA'!$1:$1048576,IF(OR($B273="STD. DEVIATION",$C$1=1),$A273,$A273+1),COLUMN('1-DATA'!X271)),IF($B273="STD. DEVIATION",2,$F$1))))</f>
        <v/>
      </c>
      <c r="Z273" s="1" t="str">
        <f>IF(OR($B273="",Z$7=""),"",IF($B273="MEANS",INDEX('1-DATA'!$1:$1048576,$A272-1,COLUMN('1-DATA'!Y271)),ROUND(INDEX('1-DATA'!$1:$1048576,IF(OR($B273="STD. DEVIATION",$C$1=1),$A273,$A273+1),COLUMN('1-DATA'!Y271)),IF($B273="STD. DEVIATION",2,$F$1))))</f>
        <v/>
      </c>
      <c r="AA273" s="1" t="str">
        <f>IF(OR($B273="",AA$7=""),"",IF($B273="MEANS",INDEX('1-DATA'!$1:$1048576,$A272-1,COLUMN('1-DATA'!Z271)),ROUND(INDEX('1-DATA'!$1:$1048576,IF(OR($B273="STD. DEVIATION",$C$1=1),$A273,$A273+1),COLUMN('1-DATA'!Z271)),IF($B273="STD. DEVIATION",2,$F$1))))</f>
        <v/>
      </c>
      <c r="AB273" s="1" t="str">
        <f>IF(OR($B273="",AB$7=""),"",IF($B273="MEANS",INDEX('1-DATA'!$1:$1048576,$A272-1,COLUMN('1-DATA'!AA271)),ROUND(INDEX('1-DATA'!$1:$1048576,IF(OR($B273="STD. DEVIATION",$C$1=1),$A273,$A273+1),COLUMN('1-DATA'!AA271)),IF($B273="STD. DEVIATION",2,$F$1))))</f>
        <v/>
      </c>
      <c r="AC273" s="1" t="str">
        <f>IF(OR($B273="",AC$7=""),"",IF($B273="MEANS",INDEX('1-DATA'!$1:$1048576,$A272-1,COLUMN('1-DATA'!AB271)),ROUND(INDEX('1-DATA'!$1:$1048576,IF(OR($B273="STD. DEVIATION",$C$1=1),$A273,$A273+1),COLUMN('1-DATA'!AB271)),IF($B273="STD. DEVIATION",2,$F$1))))</f>
        <v/>
      </c>
      <c r="AD273" s="1" t="str">
        <f>IF(OR($B273="",AD$7=""),"",IF($B273="MEANS",INDEX('1-DATA'!$1:$1048576,$A272-1,COLUMN('1-DATA'!AC271)),ROUND(INDEX('1-DATA'!$1:$1048576,IF(OR($B273="STD. DEVIATION",$C$1=1),$A273,$A273+1),COLUMN('1-DATA'!AC271)),IF($B273="STD. DEVIATION",2,$F$1))))</f>
        <v/>
      </c>
      <c r="AE273" s="1" t="str">
        <f>IF(OR($B273="",AE$7=""),"",IF($B273="MEANS",INDEX('1-DATA'!$1:$1048576,$A272-1,COLUMN('1-DATA'!AD271)),ROUND(INDEX('1-DATA'!$1:$1048576,IF(OR($B273="STD. DEVIATION",$C$1=1),$A273,$A273+1),COLUMN('1-DATA'!AD271)),IF($B273="STD. DEVIATION",2,$F$1))))</f>
        <v/>
      </c>
      <c r="AF273" s="1" t="str">
        <f>IF(OR($B273="",AF$7=""),"",IF($B273="MEANS",INDEX('1-DATA'!$1:$1048576,$A272-1,COLUMN('1-DATA'!AE271)),ROUND(INDEX('1-DATA'!$1:$1048576,IF(OR($B273="STD. DEVIATION",$C$1=1),$A273,$A273+1),COLUMN('1-DATA'!AE271)),IF($B273="STD. DEVIATION",2,$F$1))))</f>
        <v/>
      </c>
      <c r="AG273" s="1" t="str">
        <f>IF(OR($B273="",AG$7=""),"",IF($B273="MEANS",INDEX('1-DATA'!$1:$1048576,$A272-1,COLUMN('1-DATA'!AF271)),ROUND(INDEX('1-DATA'!$1:$1048576,IF(OR($B273="STD. DEVIATION",$C$1=1),$A273,$A273+1),COLUMN('1-DATA'!AF271)),IF($B273="STD. DEVIATION",2,$F$1))))</f>
        <v/>
      </c>
      <c r="AH273" s="1" t="str">
        <f>IF(OR($B273="",AH$7=""),"",IF($B273="MEANS",INDEX('1-DATA'!$1:$1048576,$A272-1,COLUMN('1-DATA'!AG271)),ROUND(INDEX('1-DATA'!$1:$1048576,IF(OR($B273="STD. DEVIATION",$C$1=1),$A273,$A273+1),COLUMN('1-DATA'!AG271)),IF($B273="STD. DEVIATION",2,$F$1))))</f>
        <v/>
      </c>
      <c r="AI273" s="1" t="str">
        <f>IF(OR($B273="",AI$7=""),"",IF($B273="MEANS",INDEX('1-DATA'!$1:$1048576,$A272-1,COLUMN('1-DATA'!AH271)),ROUND(INDEX('1-DATA'!$1:$1048576,IF(OR($B273="STD. DEVIATION",$C$1=1),$A273,$A273+1),COLUMN('1-DATA'!AH271)),IF($B273="STD. DEVIATION",2,$F$1))))</f>
        <v/>
      </c>
      <c r="AJ273" s="1" t="str">
        <f>IF(OR($B273="",AJ$7=""),"",IF($B273="MEANS",INDEX('1-DATA'!$1:$1048576,$A272-1,COLUMN('1-DATA'!AI271)),ROUND(INDEX('1-DATA'!$1:$1048576,IF(OR($B273="STD. DEVIATION",$C$1=1),$A273,$A273+1),COLUMN('1-DATA'!AI271)),IF($B273="STD. DEVIATION",2,$F$1))))</f>
        <v/>
      </c>
      <c r="AK273" s="1" t="str">
        <f>IF(OR($B273="",AK$7=""),"",IF($B273="MEANS",INDEX('1-DATA'!$1:$1048576,$A272-1,COLUMN('1-DATA'!AJ271)),ROUND(INDEX('1-DATA'!$1:$1048576,IF(OR($B273="STD. DEVIATION",$C$1=1),$A273,$A273+1),COLUMN('1-DATA'!AJ271)),IF($B273="STD. DEVIATION",2,$F$1))))</f>
        <v/>
      </c>
      <c r="AL273" s="1" t="str">
        <f>IF(OR($B273="",AL$7=""),"",IF($B273="MEANS",INDEX('1-DATA'!$1:$1048576,$A272-1,COLUMN('1-DATA'!AK271)),ROUND(INDEX('1-DATA'!$1:$1048576,IF(OR($B273="STD. DEVIATION",$C$1=1),$A273,$A273+1),COLUMN('1-DATA'!AK271)),IF($B273="STD. DEVIATION",2,$F$1))))</f>
        <v/>
      </c>
      <c r="AM273" s="1" t="str">
        <f>IF(OR($B273="",AM$7=""),"",IF($B273="MEANS",INDEX('1-DATA'!$1:$1048576,$A272-1,COLUMN('1-DATA'!AL271)),ROUND(INDEX('1-DATA'!$1:$1048576,IF(OR($B273="STD. DEVIATION",$C$1=1),$A273,$A273+1),COLUMN('1-DATA'!AL271)),IF($B273="STD. DEVIATION",2,$F$1))))</f>
        <v/>
      </c>
      <c r="AN273" s="1" t="str">
        <f>IF(OR($B273="",AN$7=""),"",IF($B273="MEANS",INDEX('1-DATA'!$1:$1048576,$A272-1,COLUMN('1-DATA'!AM271)),ROUND(INDEX('1-DATA'!$1:$1048576,IF(OR($B273="STD. DEVIATION",$C$1=1),$A273,$A273+1),COLUMN('1-DATA'!AM271)),IF($B273="STD. DEVIATION",2,$F$1))))</f>
        <v/>
      </c>
      <c r="AO273" s="1" t="str">
        <f>IF(OR($B273="",AO$7=""),"",IF($B273="MEANS",INDEX('1-DATA'!$1:$1048576,$A272-1,COLUMN('1-DATA'!AN271)),ROUND(INDEX('1-DATA'!$1:$1048576,IF(OR($B273="STD. DEVIATION",$C$1=1),$A273,$A273+1),COLUMN('1-DATA'!AN271)),IF($B273="STD. DEVIATION",2,$F$1))))</f>
        <v/>
      </c>
      <c r="AP273" s="1" t="str">
        <f>IF(OR($B273="",AP$7=""),"",IF($B273="MEANS",INDEX('1-DATA'!$1:$1048576,$A272-1,COLUMN('1-DATA'!AO271)),ROUND(INDEX('1-DATA'!$1:$1048576,IF(OR($B273="STD. DEVIATION",$C$1=1),$A273,$A273+1),COLUMN('1-DATA'!AO271)),IF($B273="STD. DEVIATION",2,$F$1))))</f>
        <v/>
      </c>
      <c r="AQ273" s="1" t="str">
        <f>IF(OR($B273="",AQ$7=""),"",IF($B273="MEANS",INDEX('1-DATA'!$1:$1048576,$A272-1,COLUMN('1-DATA'!AP271)),ROUND(INDEX('1-DATA'!$1:$1048576,IF(OR($B273="STD. DEVIATION",$C$1=1),$A273,$A273+1),COLUMN('1-DATA'!AP271)),IF($B273="STD. DEVIATION",2,$F$1))))</f>
        <v/>
      </c>
      <c r="AR273" s="1" t="str">
        <f>IF(OR($B273="",AR$7=""),"",IF($B273="MEANS",INDEX('1-DATA'!$1:$1048576,$A272-1,COLUMN('1-DATA'!AQ271)),ROUND(INDEX('1-DATA'!$1:$1048576,IF(OR($B273="STD. DEVIATION",$C$1=1),$A273,$A273+1),COLUMN('1-DATA'!AQ271)),IF($B273="STD. DEVIATION",2,$F$1))))</f>
        <v/>
      </c>
      <c r="AS273" s="1" t="str">
        <f>IF(OR($B273="",AS$7=""),"",IF($B273="MEANS",INDEX('1-DATA'!$1:$1048576,$A272-1,COLUMN('1-DATA'!AR271)),ROUND(INDEX('1-DATA'!$1:$1048576,IF(OR($B273="STD. DEVIATION",$C$1=1),$A273,$A273+1),COLUMN('1-DATA'!AR271)),IF($B273="STD. DEVIATION",2,$F$1))))</f>
        <v/>
      </c>
      <c r="AT273" s="1" t="str">
        <f>IF(OR($B273="",AT$7=""),"",IF($B273="MEANS",INDEX('1-DATA'!$1:$1048576,$A272-1,COLUMN('1-DATA'!AS271)),ROUND(INDEX('1-DATA'!$1:$1048576,IF(OR($B273="STD. DEVIATION",$C$1=1),$A273,$A273+1),COLUMN('1-DATA'!AS271)),IF($B273="STD. DEVIATION",2,$F$1))))</f>
        <v/>
      </c>
      <c r="AU273" s="1" t="str">
        <f>IF(OR($B273="",AU$7=""),"",IF($B273="MEANS",INDEX('1-DATA'!$1:$1048576,$A272-1,COLUMN('1-DATA'!AT271)),ROUND(INDEX('1-DATA'!$1:$1048576,IF(OR($B273="STD. DEVIATION",$C$1=1),$A273,$A273+1),COLUMN('1-DATA'!AT271)),IF($B273="STD. DEVIATION",2,$F$1))))</f>
        <v/>
      </c>
      <c r="AV273" s="1" t="str">
        <f>IF(OR($B273="",AV$7=""),"",IF($B273="MEANS",INDEX('1-DATA'!$1:$1048576,$A272-1,COLUMN('1-DATA'!AU271)),ROUND(INDEX('1-DATA'!$1:$1048576,IF(OR($B273="STD. DEVIATION",$C$1=1),$A273,$A273+1),COLUMN('1-DATA'!AU271)),IF($B273="STD. DEVIATION",2,$F$1))))</f>
        <v/>
      </c>
      <c r="AW273" s="1" t="str">
        <f>IF(OR($B273="",AW$7=""),"",IF($B273="MEANS",INDEX('1-DATA'!$1:$1048576,$A272-1,COLUMN('1-DATA'!AV271)),ROUND(INDEX('1-DATA'!$1:$1048576,IF(OR($B273="STD. DEVIATION",$C$1=1),$A273,$A273+1),COLUMN('1-DATA'!AV271)),IF($B273="STD. DEVIATION",2,$F$1))))</f>
        <v/>
      </c>
      <c r="AX273" s="1" t="str">
        <f>IF(OR($B273="",AX$7=""),"",IF($B273="MEANS",INDEX('1-DATA'!$1:$1048576,$A272-1,COLUMN('1-DATA'!AW271)),ROUND(INDEX('1-DATA'!$1:$1048576,IF(OR($B273="STD. DEVIATION",$C$1=1),$A273,$A273+1),COLUMN('1-DATA'!AW271)),IF($B273="STD. DEVIATION",2,$F$1))))</f>
        <v/>
      </c>
      <c r="AY273" s="1" t="str">
        <f>IF(OR($B273="",AY$7=""),"",IF($B273="MEANS",INDEX('1-DATA'!$1:$1048576,$A272-1,COLUMN('1-DATA'!AX271)),ROUND(INDEX('1-DATA'!$1:$1048576,IF(OR($B273="STD. DEVIATION",$C$1=1),$A273,$A273+1),COLUMN('1-DATA'!AX271)),IF($B273="STD. DEVIATION",2,$F$1))))</f>
        <v/>
      </c>
      <c r="AZ273" s="1" t="str">
        <f>IF(OR($B273="",AZ$7=""),"",IF($B273="MEANS",INDEX('1-DATA'!$1:$1048576,$A272-1,COLUMN('1-DATA'!AY271)),ROUND(INDEX('1-DATA'!$1:$1048576,IF(OR($B273="STD. DEVIATION",$C$1=1),$A273,$A273+1),COLUMN('1-DATA'!AY271)),IF($B273="STD. DEVIATION",2,$F$1))))</f>
        <v/>
      </c>
    </row>
    <row r="274" spans="1:52" x14ac:dyDescent="0.25">
      <c r="A274" s="11">
        <f t="shared" si="4"/>
        <v>808</v>
      </c>
      <c r="B274" s="1" t="str">
        <f>IF(B273="STD. DEVIATION",INDEX('1-DATA'!$1:$1048576,$A273-1,1),IF(INDEX('1-DATA'!$1:$1048576,$A274,1)&lt;&gt;"",INDEX('1-DATA'!$1:$1048576,$A274,1),""))</f>
        <v/>
      </c>
      <c r="C274" s="1" t="str">
        <f>IF(OR($B274="",C$7=""),"",IF($B274="MEANS",INDEX('1-DATA'!$1:$1048576,$A273-1,COLUMN('1-DATA'!B272)),ROUND(INDEX('1-DATA'!$1:$1048576,IF(OR($B274="STD. DEVIATION",$C$1=1),$A274,$A274+1),COLUMN('1-DATA'!B272)),IF($B274="STD. DEVIATION",2,$F$1))))</f>
        <v/>
      </c>
      <c r="D274" s="1" t="str">
        <f>IF(OR($B274="",D$7=""),"",IF($B274="MEANS",INDEX('1-DATA'!$1:$1048576,$A273-1,COLUMN('1-DATA'!C272)),ROUND(INDEX('1-DATA'!$1:$1048576,IF(OR($B274="STD. DEVIATION",$C$1=1),$A274,$A274+1),COLUMN('1-DATA'!C272)),IF($B274="STD. DEVIATION",2,$F$1))))</f>
        <v/>
      </c>
      <c r="E274" s="1" t="str">
        <f>IF(OR($B274="",E$7=""),"",IF($B274="MEANS",INDEX('1-DATA'!$1:$1048576,$A273-1,COLUMN('1-DATA'!D272)),ROUND(INDEX('1-DATA'!$1:$1048576,IF(OR($B274="STD. DEVIATION",$C$1=1),$A274,$A274+1),COLUMN('1-DATA'!D272)),IF($B274="STD. DEVIATION",2,$F$1))))</f>
        <v/>
      </c>
      <c r="F274" s="1" t="str">
        <f>IF(OR($B274="",F$7=""),"",IF($B274="MEANS",INDEX('1-DATA'!$1:$1048576,$A273-1,COLUMN('1-DATA'!E272)),ROUND(INDEX('1-DATA'!$1:$1048576,IF(OR($B274="STD. DEVIATION",$C$1=1),$A274,$A274+1),COLUMN('1-DATA'!E272)),IF($B274="STD. DEVIATION",2,$F$1))))</f>
        <v/>
      </c>
      <c r="G274" s="1" t="str">
        <f>IF(OR($B274="",G$7=""),"",IF($B274="MEANS",INDEX('1-DATA'!$1:$1048576,$A273-1,COLUMN('1-DATA'!F272)),ROUND(INDEX('1-DATA'!$1:$1048576,IF(OR($B274="STD. DEVIATION",$C$1=1),$A274,$A274+1),COLUMN('1-DATA'!F272)),IF($B274="STD. DEVIATION",2,$F$1))))</f>
        <v/>
      </c>
      <c r="H274" s="1" t="str">
        <f>IF(OR($B274="",H$7=""),"",IF($B274="MEANS",INDEX('1-DATA'!$1:$1048576,$A273-1,COLUMN('1-DATA'!G272)),ROUND(INDEX('1-DATA'!$1:$1048576,IF(OR($B274="STD. DEVIATION",$C$1=1),$A274,$A274+1),COLUMN('1-DATA'!G272)),IF($B274="STD. DEVIATION",2,$F$1))))</f>
        <v/>
      </c>
      <c r="I274" s="1" t="str">
        <f>IF(OR($B274="",I$7=""),"",IF($B274="MEANS",INDEX('1-DATA'!$1:$1048576,$A273-1,COLUMN('1-DATA'!H272)),ROUND(INDEX('1-DATA'!$1:$1048576,IF(OR($B274="STD. DEVIATION",$C$1=1),$A274,$A274+1),COLUMN('1-DATA'!H272)),IF($B274="STD. DEVIATION",2,$F$1))))</f>
        <v/>
      </c>
      <c r="J274" s="1" t="str">
        <f>IF(OR($B274="",J$7=""),"",IF($B274="MEANS",INDEX('1-DATA'!$1:$1048576,$A273-1,COLUMN('1-DATA'!I272)),ROUND(INDEX('1-DATA'!$1:$1048576,IF(OR($B274="STD. DEVIATION",$C$1=1),$A274,$A274+1),COLUMN('1-DATA'!I272)),IF($B274="STD. DEVIATION",2,$F$1))))</f>
        <v/>
      </c>
      <c r="K274" s="1" t="str">
        <f>IF(OR($B274="",K$7=""),"",IF($B274="MEANS",INDEX('1-DATA'!$1:$1048576,$A273-1,COLUMN('1-DATA'!J272)),ROUND(INDEX('1-DATA'!$1:$1048576,IF(OR($B274="STD. DEVIATION",$C$1=1),$A274,$A274+1),COLUMN('1-DATA'!J272)),IF($B274="STD. DEVIATION",2,$F$1))))</f>
        <v/>
      </c>
      <c r="L274" s="1" t="str">
        <f>IF(OR($B274="",L$7=""),"",IF($B274="MEANS",INDEX('1-DATA'!$1:$1048576,$A273-1,COLUMN('1-DATA'!K272)),ROUND(INDEX('1-DATA'!$1:$1048576,IF(OR($B274="STD. DEVIATION",$C$1=1),$A274,$A274+1),COLUMN('1-DATA'!K272)),IF($B274="STD. DEVIATION",2,$F$1))))</f>
        <v/>
      </c>
      <c r="M274" s="1" t="str">
        <f>IF(OR($B274="",M$7=""),"",IF($B274="MEANS",INDEX('1-DATA'!$1:$1048576,$A273-1,COLUMN('1-DATA'!L272)),ROUND(INDEX('1-DATA'!$1:$1048576,IF(OR($B274="STD. DEVIATION",$C$1=1),$A274,$A274+1),COLUMN('1-DATA'!L272)),IF($B274="STD. DEVIATION",2,$F$1))))</f>
        <v/>
      </c>
      <c r="N274" s="1" t="str">
        <f>IF(OR($B274="",N$7=""),"",IF($B274="MEANS",INDEX('1-DATA'!$1:$1048576,$A273-1,COLUMN('1-DATA'!M272)),ROUND(INDEX('1-DATA'!$1:$1048576,IF(OR($B274="STD. DEVIATION",$C$1=1),$A274,$A274+1),COLUMN('1-DATA'!M272)),IF($B274="STD. DEVIATION",2,$F$1))))</f>
        <v/>
      </c>
      <c r="O274" s="1" t="str">
        <f>IF(OR($B274="",O$7=""),"",IF($B274="MEANS",INDEX('1-DATA'!$1:$1048576,$A273-1,COLUMN('1-DATA'!N272)),ROUND(INDEX('1-DATA'!$1:$1048576,IF(OR($B274="STD. DEVIATION",$C$1=1),$A274,$A274+1),COLUMN('1-DATA'!N272)),IF($B274="STD. DEVIATION",2,$F$1))))</f>
        <v/>
      </c>
      <c r="P274" s="1" t="str">
        <f>IF(OR($B274="",P$7=""),"",IF($B274="MEANS",INDEX('1-DATA'!$1:$1048576,$A273-1,COLUMN('1-DATA'!O272)),ROUND(INDEX('1-DATA'!$1:$1048576,IF(OR($B274="STD. DEVIATION",$C$1=1),$A274,$A274+1),COLUMN('1-DATA'!O272)),IF($B274="STD. DEVIATION",2,$F$1))))</f>
        <v/>
      </c>
      <c r="Q274" s="1" t="str">
        <f>IF(OR($B274="",Q$7=""),"",IF($B274="MEANS",INDEX('1-DATA'!$1:$1048576,$A273-1,COLUMN('1-DATA'!P272)),ROUND(INDEX('1-DATA'!$1:$1048576,IF(OR($B274="STD. DEVIATION",$C$1=1),$A274,$A274+1),COLUMN('1-DATA'!P272)),IF($B274="STD. DEVIATION",2,$F$1))))</f>
        <v/>
      </c>
      <c r="R274" s="1" t="str">
        <f>IF(OR($B274="",R$7=""),"",IF($B274="MEANS",INDEX('1-DATA'!$1:$1048576,$A273-1,COLUMN('1-DATA'!Q272)),ROUND(INDEX('1-DATA'!$1:$1048576,IF(OR($B274="STD. DEVIATION",$C$1=1),$A274,$A274+1),COLUMN('1-DATA'!Q272)),IF($B274="STD. DEVIATION",2,$F$1))))</f>
        <v/>
      </c>
      <c r="S274" s="1" t="str">
        <f>IF(OR($B274="",S$7=""),"",IF($B274="MEANS",INDEX('1-DATA'!$1:$1048576,$A273-1,COLUMN('1-DATA'!R272)),ROUND(INDEX('1-DATA'!$1:$1048576,IF(OR($B274="STD. DEVIATION",$C$1=1),$A274,$A274+1),COLUMN('1-DATA'!R272)),IF($B274="STD. DEVIATION",2,$F$1))))</f>
        <v/>
      </c>
      <c r="T274" s="1" t="str">
        <f>IF(OR($B274="",T$7=""),"",IF($B274="MEANS",INDEX('1-DATA'!$1:$1048576,$A273-1,COLUMN('1-DATA'!S272)),ROUND(INDEX('1-DATA'!$1:$1048576,IF(OR($B274="STD. DEVIATION",$C$1=1),$A274,$A274+1),COLUMN('1-DATA'!S272)),IF($B274="STD. DEVIATION",2,$F$1))))</f>
        <v/>
      </c>
      <c r="U274" s="1" t="str">
        <f>IF(OR($B274="",U$7=""),"",IF($B274="MEANS",INDEX('1-DATA'!$1:$1048576,$A273-1,COLUMN('1-DATA'!T272)),ROUND(INDEX('1-DATA'!$1:$1048576,IF(OR($B274="STD. DEVIATION",$C$1=1),$A274,$A274+1),COLUMN('1-DATA'!T272)),IF($B274="STD. DEVIATION",2,$F$1))))</f>
        <v/>
      </c>
      <c r="V274" s="1" t="str">
        <f>IF(OR($B274="",V$7=""),"",IF($B274="MEANS",INDEX('1-DATA'!$1:$1048576,$A273-1,COLUMN('1-DATA'!U272)),ROUND(INDEX('1-DATA'!$1:$1048576,IF(OR($B274="STD. DEVIATION",$C$1=1),$A274,$A274+1),COLUMN('1-DATA'!U272)),IF($B274="STD. DEVIATION",2,$F$1))))</f>
        <v/>
      </c>
      <c r="W274" s="1" t="str">
        <f>IF(OR($B274="",W$7=""),"",IF($B274="MEANS",INDEX('1-DATA'!$1:$1048576,$A273-1,COLUMN('1-DATA'!V272)),ROUND(INDEX('1-DATA'!$1:$1048576,IF(OR($B274="STD. DEVIATION",$C$1=1),$A274,$A274+1),COLUMN('1-DATA'!V272)),IF($B274="STD. DEVIATION",2,$F$1))))</f>
        <v/>
      </c>
      <c r="X274" s="1" t="str">
        <f>IF(OR($B274="",X$7=""),"",IF($B274="MEANS",INDEX('1-DATA'!$1:$1048576,$A273-1,COLUMN('1-DATA'!W272)),ROUND(INDEX('1-DATA'!$1:$1048576,IF(OR($B274="STD. DEVIATION",$C$1=1),$A274,$A274+1),COLUMN('1-DATA'!W272)),IF($B274="STD. DEVIATION",2,$F$1))))</f>
        <v/>
      </c>
      <c r="Y274" s="1" t="str">
        <f>IF(OR($B274="",Y$7=""),"",IF($B274="MEANS",INDEX('1-DATA'!$1:$1048576,$A273-1,COLUMN('1-DATA'!X272)),ROUND(INDEX('1-DATA'!$1:$1048576,IF(OR($B274="STD. DEVIATION",$C$1=1),$A274,$A274+1),COLUMN('1-DATA'!X272)),IF($B274="STD. DEVIATION",2,$F$1))))</f>
        <v/>
      </c>
      <c r="Z274" s="1" t="str">
        <f>IF(OR($B274="",Z$7=""),"",IF($B274="MEANS",INDEX('1-DATA'!$1:$1048576,$A273-1,COLUMN('1-DATA'!Y272)),ROUND(INDEX('1-DATA'!$1:$1048576,IF(OR($B274="STD. DEVIATION",$C$1=1),$A274,$A274+1),COLUMN('1-DATA'!Y272)),IF($B274="STD. DEVIATION",2,$F$1))))</f>
        <v/>
      </c>
      <c r="AA274" s="1" t="str">
        <f>IF(OR($B274="",AA$7=""),"",IF($B274="MEANS",INDEX('1-DATA'!$1:$1048576,$A273-1,COLUMN('1-DATA'!Z272)),ROUND(INDEX('1-DATA'!$1:$1048576,IF(OR($B274="STD. DEVIATION",$C$1=1),$A274,$A274+1),COLUMN('1-DATA'!Z272)),IF($B274="STD. DEVIATION",2,$F$1))))</f>
        <v/>
      </c>
      <c r="AB274" s="1" t="str">
        <f>IF(OR($B274="",AB$7=""),"",IF($B274="MEANS",INDEX('1-DATA'!$1:$1048576,$A273-1,COLUMN('1-DATA'!AA272)),ROUND(INDEX('1-DATA'!$1:$1048576,IF(OR($B274="STD. DEVIATION",$C$1=1),$A274,$A274+1),COLUMN('1-DATA'!AA272)),IF($B274="STD. DEVIATION",2,$F$1))))</f>
        <v/>
      </c>
      <c r="AC274" s="1" t="str">
        <f>IF(OR($B274="",AC$7=""),"",IF($B274="MEANS",INDEX('1-DATA'!$1:$1048576,$A273-1,COLUMN('1-DATA'!AB272)),ROUND(INDEX('1-DATA'!$1:$1048576,IF(OR($B274="STD. DEVIATION",$C$1=1),$A274,$A274+1),COLUMN('1-DATA'!AB272)),IF($B274="STD. DEVIATION",2,$F$1))))</f>
        <v/>
      </c>
      <c r="AD274" s="1" t="str">
        <f>IF(OR($B274="",AD$7=""),"",IF($B274="MEANS",INDEX('1-DATA'!$1:$1048576,$A273-1,COLUMN('1-DATA'!AC272)),ROUND(INDEX('1-DATA'!$1:$1048576,IF(OR($B274="STD. DEVIATION",$C$1=1),$A274,$A274+1),COLUMN('1-DATA'!AC272)),IF($B274="STD. DEVIATION",2,$F$1))))</f>
        <v/>
      </c>
      <c r="AE274" s="1" t="str">
        <f>IF(OR($B274="",AE$7=""),"",IF($B274="MEANS",INDEX('1-DATA'!$1:$1048576,$A273-1,COLUMN('1-DATA'!AD272)),ROUND(INDEX('1-DATA'!$1:$1048576,IF(OR($B274="STD. DEVIATION",$C$1=1),$A274,$A274+1),COLUMN('1-DATA'!AD272)),IF($B274="STD. DEVIATION",2,$F$1))))</f>
        <v/>
      </c>
      <c r="AF274" s="1" t="str">
        <f>IF(OR($B274="",AF$7=""),"",IF($B274="MEANS",INDEX('1-DATA'!$1:$1048576,$A273-1,COLUMN('1-DATA'!AE272)),ROUND(INDEX('1-DATA'!$1:$1048576,IF(OR($B274="STD. DEVIATION",$C$1=1),$A274,$A274+1),COLUMN('1-DATA'!AE272)),IF($B274="STD. DEVIATION",2,$F$1))))</f>
        <v/>
      </c>
      <c r="AG274" s="1" t="str">
        <f>IF(OR($B274="",AG$7=""),"",IF($B274="MEANS",INDEX('1-DATA'!$1:$1048576,$A273-1,COLUMN('1-DATA'!AF272)),ROUND(INDEX('1-DATA'!$1:$1048576,IF(OR($B274="STD. DEVIATION",$C$1=1),$A274,$A274+1),COLUMN('1-DATA'!AF272)),IF($B274="STD. DEVIATION",2,$F$1))))</f>
        <v/>
      </c>
      <c r="AH274" s="1" t="str">
        <f>IF(OR($B274="",AH$7=""),"",IF($B274="MEANS",INDEX('1-DATA'!$1:$1048576,$A273-1,COLUMN('1-DATA'!AG272)),ROUND(INDEX('1-DATA'!$1:$1048576,IF(OR($B274="STD. DEVIATION",$C$1=1),$A274,$A274+1),COLUMN('1-DATA'!AG272)),IF($B274="STD. DEVIATION",2,$F$1))))</f>
        <v/>
      </c>
      <c r="AI274" s="1" t="str">
        <f>IF(OR($B274="",AI$7=""),"",IF($B274="MEANS",INDEX('1-DATA'!$1:$1048576,$A273-1,COLUMN('1-DATA'!AH272)),ROUND(INDEX('1-DATA'!$1:$1048576,IF(OR($B274="STD. DEVIATION",$C$1=1),$A274,$A274+1),COLUMN('1-DATA'!AH272)),IF($B274="STD. DEVIATION",2,$F$1))))</f>
        <v/>
      </c>
      <c r="AJ274" s="1" t="str">
        <f>IF(OR($B274="",AJ$7=""),"",IF($B274="MEANS",INDEX('1-DATA'!$1:$1048576,$A273-1,COLUMN('1-DATA'!AI272)),ROUND(INDEX('1-DATA'!$1:$1048576,IF(OR($B274="STD. DEVIATION",$C$1=1),$A274,$A274+1),COLUMN('1-DATA'!AI272)),IF($B274="STD. DEVIATION",2,$F$1))))</f>
        <v/>
      </c>
      <c r="AK274" s="1" t="str">
        <f>IF(OR($B274="",AK$7=""),"",IF($B274="MEANS",INDEX('1-DATA'!$1:$1048576,$A273-1,COLUMN('1-DATA'!AJ272)),ROUND(INDEX('1-DATA'!$1:$1048576,IF(OR($B274="STD. DEVIATION",$C$1=1),$A274,$A274+1),COLUMN('1-DATA'!AJ272)),IF($B274="STD. DEVIATION",2,$F$1))))</f>
        <v/>
      </c>
      <c r="AL274" s="1" t="str">
        <f>IF(OR($B274="",AL$7=""),"",IF($B274="MEANS",INDEX('1-DATA'!$1:$1048576,$A273-1,COLUMN('1-DATA'!AK272)),ROUND(INDEX('1-DATA'!$1:$1048576,IF(OR($B274="STD. DEVIATION",$C$1=1),$A274,$A274+1),COLUMN('1-DATA'!AK272)),IF($B274="STD. DEVIATION",2,$F$1))))</f>
        <v/>
      </c>
      <c r="AM274" s="1" t="str">
        <f>IF(OR($B274="",AM$7=""),"",IF($B274="MEANS",INDEX('1-DATA'!$1:$1048576,$A273-1,COLUMN('1-DATA'!AL272)),ROUND(INDEX('1-DATA'!$1:$1048576,IF(OR($B274="STD. DEVIATION",$C$1=1),$A274,$A274+1),COLUMN('1-DATA'!AL272)),IF($B274="STD. DEVIATION",2,$F$1))))</f>
        <v/>
      </c>
      <c r="AN274" s="1" t="str">
        <f>IF(OR($B274="",AN$7=""),"",IF($B274="MEANS",INDEX('1-DATA'!$1:$1048576,$A273-1,COLUMN('1-DATA'!AM272)),ROUND(INDEX('1-DATA'!$1:$1048576,IF(OR($B274="STD. DEVIATION",$C$1=1),$A274,$A274+1),COLUMN('1-DATA'!AM272)),IF($B274="STD. DEVIATION",2,$F$1))))</f>
        <v/>
      </c>
      <c r="AO274" s="1" t="str">
        <f>IF(OR($B274="",AO$7=""),"",IF($B274="MEANS",INDEX('1-DATA'!$1:$1048576,$A273-1,COLUMN('1-DATA'!AN272)),ROUND(INDEX('1-DATA'!$1:$1048576,IF(OR($B274="STD. DEVIATION",$C$1=1),$A274,$A274+1),COLUMN('1-DATA'!AN272)),IF($B274="STD. DEVIATION",2,$F$1))))</f>
        <v/>
      </c>
      <c r="AP274" s="1" t="str">
        <f>IF(OR($B274="",AP$7=""),"",IF($B274="MEANS",INDEX('1-DATA'!$1:$1048576,$A273-1,COLUMN('1-DATA'!AO272)),ROUND(INDEX('1-DATA'!$1:$1048576,IF(OR($B274="STD. DEVIATION",$C$1=1),$A274,$A274+1),COLUMN('1-DATA'!AO272)),IF($B274="STD. DEVIATION",2,$F$1))))</f>
        <v/>
      </c>
      <c r="AQ274" s="1" t="str">
        <f>IF(OR($B274="",AQ$7=""),"",IF($B274="MEANS",INDEX('1-DATA'!$1:$1048576,$A273-1,COLUMN('1-DATA'!AP272)),ROUND(INDEX('1-DATA'!$1:$1048576,IF(OR($B274="STD. DEVIATION",$C$1=1),$A274,$A274+1),COLUMN('1-DATA'!AP272)),IF($B274="STD. DEVIATION",2,$F$1))))</f>
        <v/>
      </c>
      <c r="AR274" s="1" t="str">
        <f>IF(OR($B274="",AR$7=""),"",IF($B274="MEANS",INDEX('1-DATA'!$1:$1048576,$A273-1,COLUMN('1-DATA'!AQ272)),ROUND(INDEX('1-DATA'!$1:$1048576,IF(OR($B274="STD. DEVIATION",$C$1=1),$A274,$A274+1),COLUMN('1-DATA'!AQ272)),IF($B274="STD. DEVIATION",2,$F$1))))</f>
        <v/>
      </c>
      <c r="AS274" s="1" t="str">
        <f>IF(OR($B274="",AS$7=""),"",IF($B274="MEANS",INDEX('1-DATA'!$1:$1048576,$A273-1,COLUMN('1-DATA'!AR272)),ROUND(INDEX('1-DATA'!$1:$1048576,IF(OR($B274="STD. DEVIATION",$C$1=1),$A274,$A274+1),COLUMN('1-DATA'!AR272)),IF($B274="STD. DEVIATION",2,$F$1))))</f>
        <v/>
      </c>
      <c r="AT274" s="1" t="str">
        <f>IF(OR($B274="",AT$7=""),"",IF($B274="MEANS",INDEX('1-DATA'!$1:$1048576,$A273-1,COLUMN('1-DATA'!AS272)),ROUND(INDEX('1-DATA'!$1:$1048576,IF(OR($B274="STD. DEVIATION",$C$1=1),$A274,$A274+1),COLUMN('1-DATA'!AS272)),IF($B274="STD. DEVIATION",2,$F$1))))</f>
        <v/>
      </c>
      <c r="AU274" s="1" t="str">
        <f>IF(OR($B274="",AU$7=""),"",IF($B274="MEANS",INDEX('1-DATA'!$1:$1048576,$A273-1,COLUMN('1-DATA'!AT272)),ROUND(INDEX('1-DATA'!$1:$1048576,IF(OR($B274="STD. DEVIATION",$C$1=1),$A274,$A274+1),COLUMN('1-DATA'!AT272)),IF($B274="STD. DEVIATION",2,$F$1))))</f>
        <v/>
      </c>
      <c r="AV274" s="1" t="str">
        <f>IF(OR($B274="",AV$7=""),"",IF($B274="MEANS",INDEX('1-DATA'!$1:$1048576,$A273-1,COLUMN('1-DATA'!AU272)),ROUND(INDEX('1-DATA'!$1:$1048576,IF(OR($B274="STD. DEVIATION",$C$1=1),$A274,$A274+1),COLUMN('1-DATA'!AU272)),IF($B274="STD. DEVIATION",2,$F$1))))</f>
        <v/>
      </c>
      <c r="AW274" s="1" t="str">
        <f>IF(OR($B274="",AW$7=""),"",IF($B274="MEANS",INDEX('1-DATA'!$1:$1048576,$A273-1,COLUMN('1-DATA'!AV272)),ROUND(INDEX('1-DATA'!$1:$1048576,IF(OR($B274="STD. DEVIATION",$C$1=1),$A274,$A274+1),COLUMN('1-DATA'!AV272)),IF($B274="STD. DEVIATION",2,$F$1))))</f>
        <v/>
      </c>
      <c r="AX274" s="1" t="str">
        <f>IF(OR($B274="",AX$7=""),"",IF($B274="MEANS",INDEX('1-DATA'!$1:$1048576,$A273-1,COLUMN('1-DATA'!AW272)),ROUND(INDEX('1-DATA'!$1:$1048576,IF(OR($B274="STD. DEVIATION",$C$1=1),$A274,$A274+1),COLUMN('1-DATA'!AW272)),IF($B274="STD. DEVIATION",2,$F$1))))</f>
        <v/>
      </c>
      <c r="AY274" s="1" t="str">
        <f>IF(OR($B274="",AY$7=""),"",IF($B274="MEANS",INDEX('1-DATA'!$1:$1048576,$A273-1,COLUMN('1-DATA'!AX272)),ROUND(INDEX('1-DATA'!$1:$1048576,IF(OR($B274="STD. DEVIATION",$C$1=1),$A274,$A274+1),COLUMN('1-DATA'!AX272)),IF($B274="STD. DEVIATION",2,$F$1))))</f>
        <v/>
      </c>
      <c r="AZ274" s="1" t="str">
        <f>IF(OR($B274="",AZ$7=""),"",IF($B274="MEANS",INDEX('1-DATA'!$1:$1048576,$A273-1,COLUMN('1-DATA'!AY272)),ROUND(INDEX('1-DATA'!$1:$1048576,IF(OR($B274="STD. DEVIATION",$C$1=1),$A274,$A274+1),COLUMN('1-DATA'!AY272)),IF($B274="STD. DEVIATION",2,$F$1))))</f>
        <v/>
      </c>
    </row>
    <row r="275" spans="1:52" x14ac:dyDescent="0.25">
      <c r="A275" s="11">
        <f t="shared" si="4"/>
        <v>811</v>
      </c>
      <c r="B275" s="1" t="str">
        <f>IF(B274="STD. DEVIATION",INDEX('1-DATA'!$1:$1048576,$A274-1,1),IF(INDEX('1-DATA'!$1:$1048576,$A275,1)&lt;&gt;"",INDEX('1-DATA'!$1:$1048576,$A275,1),""))</f>
        <v/>
      </c>
      <c r="C275" s="1" t="str">
        <f>IF(OR($B275="",C$7=""),"",IF($B275="MEANS",INDEX('1-DATA'!$1:$1048576,$A274-1,COLUMN('1-DATA'!B273)),ROUND(INDEX('1-DATA'!$1:$1048576,IF(OR($B275="STD. DEVIATION",$C$1=1),$A275,$A275+1),COLUMN('1-DATA'!B273)),IF($B275="STD. DEVIATION",2,$F$1))))</f>
        <v/>
      </c>
      <c r="D275" s="1" t="str">
        <f>IF(OR($B275="",D$7=""),"",IF($B275="MEANS",INDEX('1-DATA'!$1:$1048576,$A274-1,COLUMN('1-DATA'!C273)),ROUND(INDEX('1-DATA'!$1:$1048576,IF(OR($B275="STD. DEVIATION",$C$1=1),$A275,$A275+1),COLUMN('1-DATA'!C273)),IF($B275="STD. DEVIATION",2,$F$1))))</f>
        <v/>
      </c>
      <c r="E275" s="1" t="str">
        <f>IF(OR($B275="",E$7=""),"",IF($B275="MEANS",INDEX('1-DATA'!$1:$1048576,$A274-1,COLUMN('1-DATA'!D273)),ROUND(INDEX('1-DATA'!$1:$1048576,IF(OR($B275="STD. DEVIATION",$C$1=1),$A275,$A275+1),COLUMN('1-DATA'!D273)),IF($B275="STD. DEVIATION",2,$F$1))))</f>
        <v/>
      </c>
      <c r="F275" s="1" t="str">
        <f>IF(OR($B275="",F$7=""),"",IF($B275="MEANS",INDEX('1-DATA'!$1:$1048576,$A274-1,COLUMN('1-DATA'!E273)),ROUND(INDEX('1-DATA'!$1:$1048576,IF(OR($B275="STD. DEVIATION",$C$1=1),$A275,$A275+1),COLUMN('1-DATA'!E273)),IF($B275="STD. DEVIATION",2,$F$1))))</f>
        <v/>
      </c>
      <c r="G275" s="1" t="str">
        <f>IF(OR($B275="",G$7=""),"",IF($B275="MEANS",INDEX('1-DATA'!$1:$1048576,$A274-1,COLUMN('1-DATA'!F273)),ROUND(INDEX('1-DATA'!$1:$1048576,IF(OR($B275="STD. DEVIATION",$C$1=1),$A275,$A275+1),COLUMN('1-DATA'!F273)),IF($B275="STD. DEVIATION",2,$F$1))))</f>
        <v/>
      </c>
      <c r="H275" s="1" t="str">
        <f>IF(OR($B275="",H$7=""),"",IF($B275="MEANS",INDEX('1-DATA'!$1:$1048576,$A274-1,COLUMN('1-DATA'!G273)),ROUND(INDEX('1-DATA'!$1:$1048576,IF(OR($B275="STD. DEVIATION",$C$1=1),$A275,$A275+1),COLUMN('1-DATA'!G273)),IF($B275="STD. DEVIATION",2,$F$1))))</f>
        <v/>
      </c>
      <c r="I275" s="1" t="str">
        <f>IF(OR($B275="",I$7=""),"",IF($B275="MEANS",INDEX('1-DATA'!$1:$1048576,$A274-1,COLUMN('1-DATA'!H273)),ROUND(INDEX('1-DATA'!$1:$1048576,IF(OR($B275="STD. DEVIATION",$C$1=1),$A275,$A275+1),COLUMN('1-DATA'!H273)),IF($B275="STD. DEVIATION",2,$F$1))))</f>
        <v/>
      </c>
      <c r="J275" s="1" t="str">
        <f>IF(OR($B275="",J$7=""),"",IF($B275="MEANS",INDEX('1-DATA'!$1:$1048576,$A274-1,COLUMN('1-DATA'!I273)),ROUND(INDEX('1-DATA'!$1:$1048576,IF(OR($B275="STD. DEVIATION",$C$1=1),$A275,$A275+1),COLUMN('1-DATA'!I273)),IF($B275="STD. DEVIATION",2,$F$1))))</f>
        <v/>
      </c>
      <c r="K275" s="1" t="str">
        <f>IF(OR($B275="",K$7=""),"",IF($B275="MEANS",INDEX('1-DATA'!$1:$1048576,$A274-1,COLUMN('1-DATA'!J273)),ROUND(INDEX('1-DATA'!$1:$1048576,IF(OR($B275="STD. DEVIATION",$C$1=1),$A275,$A275+1),COLUMN('1-DATA'!J273)),IF($B275="STD. DEVIATION",2,$F$1))))</f>
        <v/>
      </c>
      <c r="L275" s="1" t="str">
        <f>IF(OR($B275="",L$7=""),"",IF($B275="MEANS",INDEX('1-DATA'!$1:$1048576,$A274-1,COLUMN('1-DATA'!K273)),ROUND(INDEX('1-DATA'!$1:$1048576,IF(OR($B275="STD. DEVIATION",$C$1=1),$A275,$A275+1),COLUMN('1-DATA'!K273)),IF($B275="STD. DEVIATION",2,$F$1))))</f>
        <v/>
      </c>
      <c r="M275" s="1" t="str">
        <f>IF(OR($B275="",M$7=""),"",IF($B275="MEANS",INDEX('1-DATA'!$1:$1048576,$A274-1,COLUMN('1-DATA'!L273)),ROUND(INDEX('1-DATA'!$1:$1048576,IF(OR($B275="STD. DEVIATION",$C$1=1),$A275,$A275+1),COLUMN('1-DATA'!L273)),IF($B275="STD. DEVIATION",2,$F$1))))</f>
        <v/>
      </c>
      <c r="N275" s="1" t="str">
        <f>IF(OR($B275="",N$7=""),"",IF($B275="MEANS",INDEX('1-DATA'!$1:$1048576,$A274-1,COLUMN('1-DATA'!M273)),ROUND(INDEX('1-DATA'!$1:$1048576,IF(OR($B275="STD. DEVIATION",$C$1=1),$A275,$A275+1),COLUMN('1-DATA'!M273)),IF($B275="STD. DEVIATION",2,$F$1))))</f>
        <v/>
      </c>
      <c r="O275" s="1" t="str">
        <f>IF(OR($B275="",O$7=""),"",IF($B275="MEANS",INDEX('1-DATA'!$1:$1048576,$A274-1,COLUMN('1-DATA'!N273)),ROUND(INDEX('1-DATA'!$1:$1048576,IF(OR($B275="STD. DEVIATION",$C$1=1),$A275,$A275+1),COLUMN('1-DATA'!N273)),IF($B275="STD. DEVIATION",2,$F$1))))</f>
        <v/>
      </c>
      <c r="P275" s="1" t="str">
        <f>IF(OR($B275="",P$7=""),"",IF($B275="MEANS",INDEX('1-DATA'!$1:$1048576,$A274-1,COLUMN('1-DATA'!O273)),ROUND(INDEX('1-DATA'!$1:$1048576,IF(OR($B275="STD. DEVIATION",$C$1=1),$A275,$A275+1),COLUMN('1-DATA'!O273)),IF($B275="STD. DEVIATION",2,$F$1))))</f>
        <v/>
      </c>
      <c r="Q275" s="1" t="str">
        <f>IF(OR($B275="",Q$7=""),"",IF($B275="MEANS",INDEX('1-DATA'!$1:$1048576,$A274-1,COLUMN('1-DATA'!P273)),ROUND(INDEX('1-DATA'!$1:$1048576,IF(OR($B275="STD. DEVIATION",$C$1=1),$A275,$A275+1),COLUMN('1-DATA'!P273)),IF($B275="STD. DEVIATION",2,$F$1))))</f>
        <v/>
      </c>
      <c r="R275" s="1" t="str">
        <f>IF(OR($B275="",R$7=""),"",IF($B275="MEANS",INDEX('1-DATA'!$1:$1048576,$A274-1,COLUMN('1-DATA'!Q273)),ROUND(INDEX('1-DATA'!$1:$1048576,IF(OR($B275="STD. DEVIATION",$C$1=1),$A275,$A275+1),COLUMN('1-DATA'!Q273)),IF($B275="STD. DEVIATION",2,$F$1))))</f>
        <v/>
      </c>
      <c r="S275" s="1" t="str">
        <f>IF(OR($B275="",S$7=""),"",IF($B275="MEANS",INDEX('1-DATA'!$1:$1048576,$A274-1,COLUMN('1-DATA'!R273)),ROUND(INDEX('1-DATA'!$1:$1048576,IF(OR($B275="STD. DEVIATION",$C$1=1),$A275,$A275+1),COLUMN('1-DATA'!R273)),IF($B275="STD. DEVIATION",2,$F$1))))</f>
        <v/>
      </c>
      <c r="T275" s="1" t="str">
        <f>IF(OR($B275="",T$7=""),"",IF($B275="MEANS",INDEX('1-DATA'!$1:$1048576,$A274-1,COLUMN('1-DATA'!S273)),ROUND(INDEX('1-DATA'!$1:$1048576,IF(OR($B275="STD. DEVIATION",$C$1=1),$A275,$A275+1),COLUMN('1-DATA'!S273)),IF($B275="STD. DEVIATION",2,$F$1))))</f>
        <v/>
      </c>
      <c r="U275" s="1" t="str">
        <f>IF(OR($B275="",U$7=""),"",IF($B275="MEANS",INDEX('1-DATA'!$1:$1048576,$A274-1,COLUMN('1-DATA'!T273)),ROUND(INDEX('1-DATA'!$1:$1048576,IF(OR($B275="STD. DEVIATION",$C$1=1),$A275,$A275+1),COLUMN('1-DATA'!T273)),IF($B275="STD. DEVIATION",2,$F$1))))</f>
        <v/>
      </c>
      <c r="V275" s="1" t="str">
        <f>IF(OR($B275="",V$7=""),"",IF($B275="MEANS",INDEX('1-DATA'!$1:$1048576,$A274-1,COLUMN('1-DATA'!U273)),ROUND(INDEX('1-DATA'!$1:$1048576,IF(OR($B275="STD. DEVIATION",$C$1=1),$A275,$A275+1),COLUMN('1-DATA'!U273)),IF($B275="STD. DEVIATION",2,$F$1))))</f>
        <v/>
      </c>
      <c r="W275" s="1" t="str">
        <f>IF(OR($B275="",W$7=""),"",IF($B275="MEANS",INDEX('1-DATA'!$1:$1048576,$A274-1,COLUMN('1-DATA'!V273)),ROUND(INDEX('1-DATA'!$1:$1048576,IF(OR($B275="STD. DEVIATION",$C$1=1),$A275,$A275+1),COLUMN('1-DATA'!V273)),IF($B275="STD. DEVIATION",2,$F$1))))</f>
        <v/>
      </c>
      <c r="X275" s="1" t="str">
        <f>IF(OR($B275="",X$7=""),"",IF($B275="MEANS",INDEX('1-DATA'!$1:$1048576,$A274-1,COLUMN('1-DATA'!W273)),ROUND(INDEX('1-DATA'!$1:$1048576,IF(OR($B275="STD. DEVIATION",$C$1=1),$A275,$A275+1),COLUMN('1-DATA'!W273)),IF($B275="STD. DEVIATION",2,$F$1))))</f>
        <v/>
      </c>
      <c r="Y275" s="1" t="str">
        <f>IF(OR($B275="",Y$7=""),"",IF($B275="MEANS",INDEX('1-DATA'!$1:$1048576,$A274-1,COLUMN('1-DATA'!X273)),ROUND(INDEX('1-DATA'!$1:$1048576,IF(OR($B275="STD. DEVIATION",$C$1=1),$A275,$A275+1),COLUMN('1-DATA'!X273)),IF($B275="STD. DEVIATION",2,$F$1))))</f>
        <v/>
      </c>
      <c r="Z275" s="1" t="str">
        <f>IF(OR($B275="",Z$7=""),"",IF($B275="MEANS",INDEX('1-DATA'!$1:$1048576,$A274-1,COLUMN('1-DATA'!Y273)),ROUND(INDEX('1-DATA'!$1:$1048576,IF(OR($B275="STD. DEVIATION",$C$1=1),$A275,$A275+1),COLUMN('1-DATA'!Y273)),IF($B275="STD. DEVIATION",2,$F$1))))</f>
        <v/>
      </c>
      <c r="AA275" s="1" t="str">
        <f>IF(OR($B275="",AA$7=""),"",IF($B275="MEANS",INDEX('1-DATA'!$1:$1048576,$A274-1,COLUMN('1-DATA'!Z273)),ROUND(INDEX('1-DATA'!$1:$1048576,IF(OR($B275="STD. DEVIATION",$C$1=1),$A275,$A275+1),COLUMN('1-DATA'!Z273)),IF($B275="STD. DEVIATION",2,$F$1))))</f>
        <v/>
      </c>
      <c r="AB275" s="1" t="str">
        <f>IF(OR($B275="",AB$7=""),"",IF($B275="MEANS",INDEX('1-DATA'!$1:$1048576,$A274-1,COLUMN('1-DATA'!AA273)),ROUND(INDEX('1-DATA'!$1:$1048576,IF(OR($B275="STD. DEVIATION",$C$1=1),$A275,$A275+1),COLUMN('1-DATA'!AA273)),IF($B275="STD. DEVIATION",2,$F$1))))</f>
        <v/>
      </c>
      <c r="AC275" s="1" t="str">
        <f>IF(OR($B275="",AC$7=""),"",IF($B275="MEANS",INDEX('1-DATA'!$1:$1048576,$A274-1,COLUMN('1-DATA'!AB273)),ROUND(INDEX('1-DATA'!$1:$1048576,IF(OR($B275="STD. DEVIATION",$C$1=1),$A275,$A275+1),COLUMN('1-DATA'!AB273)),IF($B275="STD. DEVIATION",2,$F$1))))</f>
        <v/>
      </c>
      <c r="AD275" s="1" t="str">
        <f>IF(OR($B275="",AD$7=""),"",IF($B275="MEANS",INDEX('1-DATA'!$1:$1048576,$A274-1,COLUMN('1-DATA'!AC273)),ROUND(INDEX('1-DATA'!$1:$1048576,IF(OR($B275="STD. DEVIATION",$C$1=1),$A275,$A275+1),COLUMN('1-DATA'!AC273)),IF($B275="STD. DEVIATION",2,$F$1))))</f>
        <v/>
      </c>
      <c r="AE275" s="1" t="str">
        <f>IF(OR($B275="",AE$7=""),"",IF($B275="MEANS",INDEX('1-DATA'!$1:$1048576,$A274-1,COLUMN('1-DATA'!AD273)),ROUND(INDEX('1-DATA'!$1:$1048576,IF(OR($B275="STD. DEVIATION",$C$1=1),$A275,$A275+1),COLUMN('1-DATA'!AD273)),IF($B275="STD. DEVIATION",2,$F$1))))</f>
        <v/>
      </c>
      <c r="AF275" s="1" t="str">
        <f>IF(OR($B275="",AF$7=""),"",IF($B275="MEANS",INDEX('1-DATA'!$1:$1048576,$A274-1,COLUMN('1-DATA'!AE273)),ROUND(INDEX('1-DATA'!$1:$1048576,IF(OR($B275="STD. DEVIATION",$C$1=1),$A275,$A275+1),COLUMN('1-DATA'!AE273)),IF($B275="STD. DEVIATION",2,$F$1))))</f>
        <v/>
      </c>
      <c r="AG275" s="1" t="str">
        <f>IF(OR($B275="",AG$7=""),"",IF($B275="MEANS",INDEX('1-DATA'!$1:$1048576,$A274-1,COLUMN('1-DATA'!AF273)),ROUND(INDEX('1-DATA'!$1:$1048576,IF(OR($B275="STD. DEVIATION",$C$1=1),$A275,$A275+1),COLUMN('1-DATA'!AF273)),IF($B275="STD. DEVIATION",2,$F$1))))</f>
        <v/>
      </c>
      <c r="AH275" s="1" t="str">
        <f>IF(OR($B275="",AH$7=""),"",IF($B275="MEANS",INDEX('1-DATA'!$1:$1048576,$A274-1,COLUMN('1-DATA'!AG273)),ROUND(INDEX('1-DATA'!$1:$1048576,IF(OR($B275="STD. DEVIATION",$C$1=1),$A275,$A275+1),COLUMN('1-DATA'!AG273)),IF($B275="STD. DEVIATION",2,$F$1))))</f>
        <v/>
      </c>
      <c r="AI275" s="1" t="str">
        <f>IF(OR($B275="",AI$7=""),"",IF($B275="MEANS",INDEX('1-DATA'!$1:$1048576,$A274-1,COLUMN('1-DATA'!AH273)),ROUND(INDEX('1-DATA'!$1:$1048576,IF(OR($B275="STD. DEVIATION",$C$1=1),$A275,$A275+1),COLUMN('1-DATA'!AH273)),IF($B275="STD. DEVIATION",2,$F$1))))</f>
        <v/>
      </c>
      <c r="AJ275" s="1" t="str">
        <f>IF(OR($B275="",AJ$7=""),"",IF($B275="MEANS",INDEX('1-DATA'!$1:$1048576,$A274-1,COLUMN('1-DATA'!AI273)),ROUND(INDEX('1-DATA'!$1:$1048576,IF(OR($B275="STD. DEVIATION",$C$1=1),$A275,$A275+1),COLUMN('1-DATA'!AI273)),IF($B275="STD. DEVIATION",2,$F$1))))</f>
        <v/>
      </c>
      <c r="AK275" s="1" t="str">
        <f>IF(OR($B275="",AK$7=""),"",IF($B275="MEANS",INDEX('1-DATA'!$1:$1048576,$A274-1,COLUMN('1-DATA'!AJ273)),ROUND(INDEX('1-DATA'!$1:$1048576,IF(OR($B275="STD. DEVIATION",$C$1=1),$A275,$A275+1),COLUMN('1-DATA'!AJ273)),IF($B275="STD. DEVIATION",2,$F$1))))</f>
        <v/>
      </c>
      <c r="AL275" s="1" t="str">
        <f>IF(OR($B275="",AL$7=""),"",IF($B275="MEANS",INDEX('1-DATA'!$1:$1048576,$A274-1,COLUMN('1-DATA'!AK273)),ROUND(INDEX('1-DATA'!$1:$1048576,IF(OR($B275="STD. DEVIATION",$C$1=1),$A275,$A275+1),COLUMN('1-DATA'!AK273)),IF($B275="STD. DEVIATION",2,$F$1))))</f>
        <v/>
      </c>
      <c r="AM275" s="1" t="str">
        <f>IF(OR($B275="",AM$7=""),"",IF($B275="MEANS",INDEX('1-DATA'!$1:$1048576,$A274-1,COLUMN('1-DATA'!AL273)),ROUND(INDEX('1-DATA'!$1:$1048576,IF(OR($B275="STD. DEVIATION",$C$1=1),$A275,$A275+1),COLUMN('1-DATA'!AL273)),IF($B275="STD. DEVIATION",2,$F$1))))</f>
        <v/>
      </c>
      <c r="AN275" s="1" t="str">
        <f>IF(OR($B275="",AN$7=""),"",IF($B275="MEANS",INDEX('1-DATA'!$1:$1048576,$A274-1,COLUMN('1-DATA'!AM273)),ROUND(INDEX('1-DATA'!$1:$1048576,IF(OR($B275="STD. DEVIATION",$C$1=1),$A275,$A275+1),COLUMN('1-DATA'!AM273)),IF($B275="STD. DEVIATION",2,$F$1))))</f>
        <v/>
      </c>
      <c r="AO275" s="1" t="str">
        <f>IF(OR($B275="",AO$7=""),"",IF($B275="MEANS",INDEX('1-DATA'!$1:$1048576,$A274-1,COLUMN('1-DATA'!AN273)),ROUND(INDEX('1-DATA'!$1:$1048576,IF(OR($B275="STD. DEVIATION",$C$1=1),$A275,$A275+1),COLUMN('1-DATA'!AN273)),IF($B275="STD. DEVIATION",2,$F$1))))</f>
        <v/>
      </c>
      <c r="AP275" s="1" t="str">
        <f>IF(OR($B275="",AP$7=""),"",IF($B275="MEANS",INDEX('1-DATA'!$1:$1048576,$A274-1,COLUMN('1-DATA'!AO273)),ROUND(INDEX('1-DATA'!$1:$1048576,IF(OR($B275="STD. DEVIATION",$C$1=1),$A275,$A275+1),COLUMN('1-DATA'!AO273)),IF($B275="STD. DEVIATION",2,$F$1))))</f>
        <v/>
      </c>
      <c r="AQ275" s="1" t="str">
        <f>IF(OR($B275="",AQ$7=""),"",IF($B275="MEANS",INDEX('1-DATA'!$1:$1048576,$A274-1,COLUMN('1-DATA'!AP273)),ROUND(INDEX('1-DATA'!$1:$1048576,IF(OR($B275="STD. DEVIATION",$C$1=1),$A275,$A275+1),COLUMN('1-DATA'!AP273)),IF($B275="STD. DEVIATION",2,$F$1))))</f>
        <v/>
      </c>
      <c r="AR275" s="1" t="str">
        <f>IF(OR($B275="",AR$7=""),"",IF($B275="MEANS",INDEX('1-DATA'!$1:$1048576,$A274-1,COLUMN('1-DATA'!AQ273)),ROUND(INDEX('1-DATA'!$1:$1048576,IF(OR($B275="STD. DEVIATION",$C$1=1),$A275,$A275+1),COLUMN('1-DATA'!AQ273)),IF($B275="STD. DEVIATION",2,$F$1))))</f>
        <v/>
      </c>
      <c r="AS275" s="1" t="str">
        <f>IF(OR($B275="",AS$7=""),"",IF($B275="MEANS",INDEX('1-DATA'!$1:$1048576,$A274-1,COLUMN('1-DATA'!AR273)),ROUND(INDEX('1-DATA'!$1:$1048576,IF(OR($B275="STD. DEVIATION",$C$1=1),$A275,$A275+1),COLUMN('1-DATA'!AR273)),IF($B275="STD. DEVIATION",2,$F$1))))</f>
        <v/>
      </c>
      <c r="AT275" s="1" t="str">
        <f>IF(OR($B275="",AT$7=""),"",IF($B275="MEANS",INDEX('1-DATA'!$1:$1048576,$A274-1,COLUMN('1-DATA'!AS273)),ROUND(INDEX('1-DATA'!$1:$1048576,IF(OR($B275="STD. DEVIATION",$C$1=1),$A275,$A275+1),COLUMN('1-DATA'!AS273)),IF($B275="STD. DEVIATION",2,$F$1))))</f>
        <v/>
      </c>
      <c r="AU275" s="1" t="str">
        <f>IF(OR($B275="",AU$7=""),"",IF($B275="MEANS",INDEX('1-DATA'!$1:$1048576,$A274-1,COLUMN('1-DATA'!AT273)),ROUND(INDEX('1-DATA'!$1:$1048576,IF(OR($B275="STD. DEVIATION",$C$1=1),$A275,$A275+1),COLUMN('1-DATA'!AT273)),IF($B275="STD. DEVIATION",2,$F$1))))</f>
        <v/>
      </c>
      <c r="AV275" s="1" t="str">
        <f>IF(OR($B275="",AV$7=""),"",IF($B275="MEANS",INDEX('1-DATA'!$1:$1048576,$A274-1,COLUMN('1-DATA'!AU273)),ROUND(INDEX('1-DATA'!$1:$1048576,IF(OR($B275="STD. DEVIATION",$C$1=1),$A275,$A275+1),COLUMN('1-DATA'!AU273)),IF($B275="STD. DEVIATION",2,$F$1))))</f>
        <v/>
      </c>
      <c r="AW275" s="1" t="str">
        <f>IF(OR($B275="",AW$7=""),"",IF($B275="MEANS",INDEX('1-DATA'!$1:$1048576,$A274-1,COLUMN('1-DATA'!AV273)),ROUND(INDEX('1-DATA'!$1:$1048576,IF(OR($B275="STD. DEVIATION",$C$1=1),$A275,$A275+1),COLUMN('1-DATA'!AV273)),IF($B275="STD. DEVIATION",2,$F$1))))</f>
        <v/>
      </c>
      <c r="AX275" s="1" t="str">
        <f>IF(OR($B275="",AX$7=""),"",IF($B275="MEANS",INDEX('1-DATA'!$1:$1048576,$A274-1,COLUMN('1-DATA'!AW273)),ROUND(INDEX('1-DATA'!$1:$1048576,IF(OR($B275="STD. DEVIATION",$C$1=1),$A275,$A275+1),COLUMN('1-DATA'!AW273)),IF($B275="STD. DEVIATION",2,$F$1))))</f>
        <v/>
      </c>
      <c r="AY275" s="1" t="str">
        <f>IF(OR($B275="",AY$7=""),"",IF($B275="MEANS",INDEX('1-DATA'!$1:$1048576,$A274-1,COLUMN('1-DATA'!AX273)),ROUND(INDEX('1-DATA'!$1:$1048576,IF(OR($B275="STD. DEVIATION",$C$1=1),$A275,$A275+1),COLUMN('1-DATA'!AX273)),IF($B275="STD. DEVIATION",2,$F$1))))</f>
        <v/>
      </c>
      <c r="AZ275" s="1" t="str">
        <f>IF(OR($B275="",AZ$7=""),"",IF($B275="MEANS",INDEX('1-DATA'!$1:$1048576,$A274-1,COLUMN('1-DATA'!AY273)),ROUND(INDEX('1-DATA'!$1:$1048576,IF(OR($B275="STD. DEVIATION",$C$1=1),$A275,$A275+1),COLUMN('1-DATA'!AY273)),IF($B275="STD. DEVIATION",2,$F$1))))</f>
        <v/>
      </c>
    </row>
    <row r="276" spans="1:52" x14ac:dyDescent="0.25">
      <c r="A276" s="11">
        <f t="shared" si="4"/>
        <v>814</v>
      </c>
      <c r="B276" s="1" t="str">
        <f>IF(B275="STD. DEVIATION",INDEX('1-DATA'!$1:$1048576,$A275-1,1),IF(INDEX('1-DATA'!$1:$1048576,$A276,1)&lt;&gt;"",INDEX('1-DATA'!$1:$1048576,$A276,1),""))</f>
        <v/>
      </c>
      <c r="C276" s="1" t="str">
        <f>IF(OR($B276="",C$7=""),"",IF($B276="MEANS",INDEX('1-DATA'!$1:$1048576,$A275-1,COLUMN('1-DATA'!B274)),ROUND(INDEX('1-DATA'!$1:$1048576,IF(OR($B276="STD. DEVIATION",$C$1=1),$A276,$A276+1),COLUMN('1-DATA'!B274)),IF($B276="STD. DEVIATION",2,$F$1))))</f>
        <v/>
      </c>
      <c r="D276" s="1" t="str">
        <f>IF(OR($B276="",D$7=""),"",IF($B276="MEANS",INDEX('1-DATA'!$1:$1048576,$A275-1,COLUMN('1-DATA'!C274)),ROUND(INDEX('1-DATA'!$1:$1048576,IF(OR($B276="STD. DEVIATION",$C$1=1),$A276,$A276+1),COLUMN('1-DATA'!C274)),IF($B276="STD. DEVIATION",2,$F$1))))</f>
        <v/>
      </c>
      <c r="E276" s="1" t="str">
        <f>IF(OR($B276="",E$7=""),"",IF($B276="MEANS",INDEX('1-DATA'!$1:$1048576,$A275-1,COLUMN('1-DATA'!D274)),ROUND(INDEX('1-DATA'!$1:$1048576,IF(OR($B276="STD. DEVIATION",$C$1=1),$A276,$A276+1),COLUMN('1-DATA'!D274)),IF($B276="STD. DEVIATION",2,$F$1))))</f>
        <v/>
      </c>
      <c r="F276" s="1" t="str">
        <f>IF(OR($B276="",F$7=""),"",IF($B276="MEANS",INDEX('1-DATA'!$1:$1048576,$A275-1,COLUMN('1-DATA'!E274)),ROUND(INDEX('1-DATA'!$1:$1048576,IF(OR($B276="STD. DEVIATION",$C$1=1),$A276,$A276+1),COLUMN('1-DATA'!E274)),IF($B276="STD. DEVIATION",2,$F$1))))</f>
        <v/>
      </c>
      <c r="G276" s="1" t="str">
        <f>IF(OR($B276="",G$7=""),"",IF($B276="MEANS",INDEX('1-DATA'!$1:$1048576,$A275-1,COLUMN('1-DATA'!F274)),ROUND(INDEX('1-DATA'!$1:$1048576,IF(OR($B276="STD. DEVIATION",$C$1=1),$A276,$A276+1),COLUMN('1-DATA'!F274)),IF($B276="STD. DEVIATION",2,$F$1))))</f>
        <v/>
      </c>
      <c r="H276" s="1" t="str">
        <f>IF(OR($B276="",H$7=""),"",IF($B276="MEANS",INDEX('1-DATA'!$1:$1048576,$A275-1,COLUMN('1-DATA'!G274)),ROUND(INDEX('1-DATA'!$1:$1048576,IF(OR($B276="STD. DEVIATION",$C$1=1),$A276,$A276+1),COLUMN('1-DATA'!G274)),IF($B276="STD. DEVIATION",2,$F$1))))</f>
        <v/>
      </c>
      <c r="I276" s="1" t="str">
        <f>IF(OR($B276="",I$7=""),"",IF($B276="MEANS",INDEX('1-DATA'!$1:$1048576,$A275-1,COLUMN('1-DATA'!H274)),ROUND(INDEX('1-DATA'!$1:$1048576,IF(OR($B276="STD. DEVIATION",$C$1=1),$A276,$A276+1),COLUMN('1-DATA'!H274)),IF($B276="STD. DEVIATION",2,$F$1))))</f>
        <v/>
      </c>
      <c r="J276" s="1" t="str">
        <f>IF(OR($B276="",J$7=""),"",IF($B276="MEANS",INDEX('1-DATA'!$1:$1048576,$A275-1,COLUMN('1-DATA'!I274)),ROUND(INDEX('1-DATA'!$1:$1048576,IF(OR($B276="STD. DEVIATION",$C$1=1),$A276,$A276+1),COLUMN('1-DATA'!I274)),IF($B276="STD. DEVIATION",2,$F$1))))</f>
        <v/>
      </c>
      <c r="K276" s="1" t="str">
        <f>IF(OR($B276="",K$7=""),"",IF($B276="MEANS",INDEX('1-DATA'!$1:$1048576,$A275-1,COLUMN('1-DATA'!J274)),ROUND(INDEX('1-DATA'!$1:$1048576,IF(OR($B276="STD. DEVIATION",$C$1=1),$A276,$A276+1),COLUMN('1-DATA'!J274)),IF($B276="STD. DEVIATION",2,$F$1))))</f>
        <v/>
      </c>
      <c r="L276" s="1" t="str">
        <f>IF(OR($B276="",L$7=""),"",IF($B276="MEANS",INDEX('1-DATA'!$1:$1048576,$A275-1,COLUMN('1-DATA'!K274)),ROUND(INDEX('1-DATA'!$1:$1048576,IF(OR($B276="STD. DEVIATION",$C$1=1),$A276,$A276+1),COLUMN('1-DATA'!K274)),IF($B276="STD. DEVIATION",2,$F$1))))</f>
        <v/>
      </c>
      <c r="M276" s="1" t="str">
        <f>IF(OR($B276="",M$7=""),"",IF($B276="MEANS",INDEX('1-DATA'!$1:$1048576,$A275-1,COLUMN('1-DATA'!L274)),ROUND(INDEX('1-DATA'!$1:$1048576,IF(OR($B276="STD. DEVIATION",$C$1=1),$A276,$A276+1),COLUMN('1-DATA'!L274)),IF($B276="STD. DEVIATION",2,$F$1))))</f>
        <v/>
      </c>
      <c r="N276" s="1" t="str">
        <f>IF(OR($B276="",N$7=""),"",IF($B276="MEANS",INDEX('1-DATA'!$1:$1048576,$A275-1,COLUMN('1-DATA'!M274)),ROUND(INDEX('1-DATA'!$1:$1048576,IF(OR($B276="STD. DEVIATION",$C$1=1),$A276,$A276+1),COLUMN('1-DATA'!M274)),IF($B276="STD. DEVIATION",2,$F$1))))</f>
        <v/>
      </c>
      <c r="O276" s="1" t="str">
        <f>IF(OR($B276="",O$7=""),"",IF($B276="MEANS",INDEX('1-DATA'!$1:$1048576,$A275-1,COLUMN('1-DATA'!N274)),ROUND(INDEX('1-DATA'!$1:$1048576,IF(OR($B276="STD. DEVIATION",$C$1=1),$A276,$A276+1),COLUMN('1-DATA'!N274)),IF($B276="STD. DEVIATION",2,$F$1))))</f>
        <v/>
      </c>
      <c r="P276" s="1" t="str">
        <f>IF(OR($B276="",P$7=""),"",IF($B276="MEANS",INDEX('1-DATA'!$1:$1048576,$A275-1,COLUMN('1-DATA'!O274)),ROUND(INDEX('1-DATA'!$1:$1048576,IF(OR($B276="STD. DEVIATION",$C$1=1),$A276,$A276+1),COLUMN('1-DATA'!O274)),IF($B276="STD. DEVIATION",2,$F$1))))</f>
        <v/>
      </c>
      <c r="Q276" s="1" t="str">
        <f>IF(OR($B276="",Q$7=""),"",IF($B276="MEANS",INDEX('1-DATA'!$1:$1048576,$A275-1,COLUMN('1-DATA'!P274)),ROUND(INDEX('1-DATA'!$1:$1048576,IF(OR($B276="STD. DEVIATION",$C$1=1),$A276,$A276+1),COLUMN('1-DATA'!P274)),IF($B276="STD. DEVIATION",2,$F$1))))</f>
        <v/>
      </c>
      <c r="R276" s="1" t="str">
        <f>IF(OR($B276="",R$7=""),"",IF($B276="MEANS",INDEX('1-DATA'!$1:$1048576,$A275-1,COLUMN('1-DATA'!Q274)),ROUND(INDEX('1-DATA'!$1:$1048576,IF(OR($B276="STD. DEVIATION",$C$1=1),$A276,$A276+1),COLUMN('1-DATA'!Q274)),IF($B276="STD. DEVIATION",2,$F$1))))</f>
        <v/>
      </c>
      <c r="S276" s="1" t="str">
        <f>IF(OR($B276="",S$7=""),"",IF($B276="MEANS",INDEX('1-DATA'!$1:$1048576,$A275-1,COLUMN('1-DATA'!R274)),ROUND(INDEX('1-DATA'!$1:$1048576,IF(OR($B276="STD. DEVIATION",$C$1=1),$A276,$A276+1),COLUMN('1-DATA'!R274)),IF($B276="STD. DEVIATION",2,$F$1))))</f>
        <v/>
      </c>
      <c r="T276" s="1" t="str">
        <f>IF(OR($B276="",T$7=""),"",IF($B276="MEANS",INDEX('1-DATA'!$1:$1048576,$A275-1,COLUMN('1-DATA'!S274)),ROUND(INDEX('1-DATA'!$1:$1048576,IF(OR($B276="STD. DEVIATION",$C$1=1),$A276,$A276+1),COLUMN('1-DATA'!S274)),IF($B276="STD. DEVIATION",2,$F$1))))</f>
        <v/>
      </c>
      <c r="U276" s="1" t="str">
        <f>IF(OR($B276="",U$7=""),"",IF($B276="MEANS",INDEX('1-DATA'!$1:$1048576,$A275-1,COLUMN('1-DATA'!T274)),ROUND(INDEX('1-DATA'!$1:$1048576,IF(OR($B276="STD. DEVIATION",$C$1=1),$A276,$A276+1),COLUMN('1-DATA'!T274)),IF($B276="STD. DEVIATION",2,$F$1))))</f>
        <v/>
      </c>
      <c r="V276" s="1" t="str">
        <f>IF(OR($B276="",V$7=""),"",IF($B276="MEANS",INDEX('1-DATA'!$1:$1048576,$A275-1,COLUMN('1-DATA'!U274)),ROUND(INDEX('1-DATA'!$1:$1048576,IF(OR($B276="STD. DEVIATION",$C$1=1),$A276,$A276+1),COLUMN('1-DATA'!U274)),IF($B276="STD. DEVIATION",2,$F$1))))</f>
        <v/>
      </c>
      <c r="W276" s="1" t="str">
        <f>IF(OR($B276="",W$7=""),"",IF($B276="MEANS",INDEX('1-DATA'!$1:$1048576,$A275-1,COLUMN('1-DATA'!V274)),ROUND(INDEX('1-DATA'!$1:$1048576,IF(OR($B276="STD. DEVIATION",$C$1=1),$A276,$A276+1),COLUMN('1-DATA'!V274)),IF($B276="STD. DEVIATION",2,$F$1))))</f>
        <v/>
      </c>
      <c r="X276" s="1" t="str">
        <f>IF(OR($B276="",X$7=""),"",IF($B276="MEANS",INDEX('1-DATA'!$1:$1048576,$A275-1,COLUMN('1-DATA'!W274)),ROUND(INDEX('1-DATA'!$1:$1048576,IF(OR($B276="STD. DEVIATION",$C$1=1),$A276,$A276+1),COLUMN('1-DATA'!W274)),IF($B276="STD. DEVIATION",2,$F$1))))</f>
        <v/>
      </c>
      <c r="Y276" s="1" t="str">
        <f>IF(OR($B276="",Y$7=""),"",IF($B276="MEANS",INDEX('1-DATA'!$1:$1048576,$A275-1,COLUMN('1-DATA'!X274)),ROUND(INDEX('1-DATA'!$1:$1048576,IF(OR($B276="STD. DEVIATION",$C$1=1),$A276,$A276+1),COLUMN('1-DATA'!X274)),IF($B276="STD. DEVIATION",2,$F$1))))</f>
        <v/>
      </c>
      <c r="Z276" s="1" t="str">
        <f>IF(OR($B276="",Z$7=""),"",IF($B276="MEANS",INDEX('1-DATA'!$1:$1048576,$A275-1,COLUMN('1-DATA'!Y274)),ROUND(INDEX('1-DATA'!$1:$1048576,IF(OR($B276="STD. DEVIATION",$C$1=1),$A276,$A276+1),COLUMN('1-DATA'!Y274)),IF($B276="STD. DEVIATION",2,$F$1))))</f>
        <v/>
      </c>
      <c r="AA276" s="1" t="str">
        <f>IF(OR($B276="",AA$7=""),"",IF($B276="MEANS",INDEX('1-DATA'!$1:$1048576,$A275-1,COLUMN('1-DATA'!Z274)),ROUND(INDEX('1-DATA'!$1:$1048576,IF(OR($B276="STD. DEVIATION",$C$1=1),$A276,$A276+1),COLUMN('1-DATA'!Z274)),IF($B276="STD. DEVIATION",2,$F$1))))</f>
        <v/>
      </c>
      <c r="AB276" s="1" t="str">
        <f>IF(OR($B276="",AB$7=""),"",IF($B276="MEANS",INDEX('1-DATA'!$1:$1048576,$A275-1,COLUMN('1-DATA'!AA274)),ROUND(INDEX('1-DATA'!$1:$1048576,IF(OR($B276="STD. DEVIATION",$C$1=1),$A276,$A276+1),COLUMN('1-DATA'!AA274)),IF($B276="STD. DEVIATION",2,$F$1))))</f>
        <v/>
      </c>
      <c r="AC276" s="1" t="str">
        <f>IF(OR($B276="",AC$7=""),"",IF($B276="MEANS",INDEX('1-DATA'!$1:$1048576,$A275-1,COLUMN('1-DATA'!AB274)),ROUND(INDEX('1-DATA'!$1:$1048576,IF(OR($B276="STD. DEVIATION",$C$1=1),$A276,$A276+1),COLUMN('1-DATA'!AB274)),IF($B276="STD. DEVIATION",2,$F$1))))</f>
        <v/>
      </c>
      <c r="AD276" s="1" t="str">
        <f>IF(OR($B276="",AD$7=""),"",IF($B276="MEANS",INDEX('1-DATA'!$1:$1048576,$A275-1,COLUMN('1-DATA'!AC274)),ROUND(INDEX('1-DATA'!$1:$1048576,IF(OR($B276="STD. DEVIATION",$C$1=1),$A276,$A276+1),COLUMN('1-DATA'!AC274)),IF($B276="STD. DEVIATION",2,$F$1))))</f>
        <v/>
      </c>
      <c r="AE276" s="1" t="str">
        <f>IF(OR($B276="",AE$7=""),"",IF($B276="MEANS",INDEX('1-DATA'!$1:$1048576,$A275-1,COLUMN('1-DATA'!AD274)),ROUND(INDEX('1-DATA'!$1:$1048576,IF(OR($B276="STD. DEVIATION",$C$1=1),$A276,$A276+1),COLUMN('1-DATA'!AD274)),IF($B276="STD. DEVIATION",2,$F$1))))</f>
        <v/>
      </c>
      <c r="AF276" s="1" t="str">
        <f>IF(OR($B276="",AF$7=""),"",IF($B276="MEANS",INDEX('1-DATA'!$1:$1048576,$A275-1,COLUMN('1-DATA'!AE274)),ROUND(INDEX('1-DATA'!$1:$1048576,IF(OR($B276="STD. DEVIATION",$C$1=1),$A276,$A276+1),COLUMN('1-DATA'!AE274)),IF($B276="STD. DEVIATION",2,$F$1))))</f>
        <v/>
      </c>
      <c r="AG276" s="1" t="str">
        <f>IF(OR($B276="",AG$7=""),"",IF($B276="MEANS",INDEX('1-DATA'!$1:$1048576,$A275-1,COLUMN('1-DATA'!AF274)),ROUND(INDEX('1-DATA'!$1:$1048576,IF(OR($B276="STD. DEVIATION",$C$1=1),$A276,$A276+1),COLUMN('1-DATA'!AF274)),IF($B276="STD. DEVIATION",2,$F$1))))</f>
        <v/>
      </c>
      <c r="AH276" s="1" t="str">
        <f>IF(OR($B276="",AH$7=""),"",IF($B276="MEANS",INDEX('1-DATA'!$1:$1048576,$A275-1,COLUMN('1-DATA'!AG274)),ROUND(INDEX('1-DATA'!$1:$1048576,IF(OR($B276="STD. DEVIATION",$C$1=1),$A276,$A276+1),COLUMN('1-DATA'!AG274)),IF($B276="STD. DEVIATION",2,$F$1))))</f>
        <v/>
      </c>
      <c r="AI276" s="1" t="str">
        <f>IF(OR($B276="",AI$7=""),"",IF($B276="MEANS",INDEX('1-DATA'!$1:$1048576,$A275-1,COLUMN('1-DATA'!AH274)),ROUND(INDEX('1-DATA'!$1:$1048576,IF(OR($B276="STD. DEVIATION",$C$1=1),$A276,$A276+1),COLUMN('1-DATA'!AH274)),IF($B276="STD. DEVIATION",2,$F$1))))</f>
        <v/>
      </c>
      <c r="AJ276" s="1" t="str">
        <f>IF(OR($B276="",AJ$7=""),"",IF($B276="MEANS",INDEX('1-DATA'!$1:$1048576,$A275-1,COLUMN('1-DATA'!AI274)),ROUND(INDEX('1-DATA'!$1:$1048576,IF(OR($B276="STD. DEVIATION",$C$1=1),$A276,$A276+1),COLUMN('1-DATA'!AI274)),IF($B276="STD. DEVIATION",2,$F$1))))</f>
        <v/>
      </c>
      <c r="AK276" s="1" t="str">
        <f>IF(OR($B276="",AK$7=""),"",IF($B276="MEANS",INDEX('1-DATA'!$1:$1048576,$A275-1,COLUMN('1-DATA'!AJ274)),ROUND(INDEX('1-DATA'!$1:$1048576,IF(OR($B276="STD. DEVIATION",$C$1=1),$A276,$A276+1),COLUMN('1-DATA'!AJ274)),IF($B276="STD. DEVIATION",2,$F$1))))</f>
        <v/>
      </c>
      <c r="AL276" s="1" t="str">
        <f>IF(OR($B276="",AL$7=""),"",IF($B276="MEANS",INDEX('1-DATA'!$1:$1048576,$A275-1,COLUMN('1-DATA'!AK274)),ROUND(INDEX('1-DATA'!$1:$1048576,IF(OR($B276="STD. DEVIATION",$C$1=1),$A276,$A276+1),COLUMN('1-DATA'!AK274)),IF($B276="STD. DEVIATION",2,$F$1))))</f>
        <v/>
      </c>
      <c r="AM276" s="1" t="str">
        <f>IF(OR($B276="",AM$7=""),"",IF($B276="MEANS",INDEX('1-DATA'!$1:$1048576,$A275-1,COLUMN('1-DATA'!AL274)),ROUND(INDEX('1-DATA'!$1:$1048576,IF(OR($B276="STD. DEVIATION",$C$1=1),$A276,$A276+1),COLUMN('1-DATA'!AL274)),IF($B276="STD. DEVIATION",2,$F$1))))</f>
        <v/>
      </c>
      <c r="AN276" s="1" t="str">
        <f>IF(OR($B276="",AN$7=""),"",IF($B276="MEANS",INDEX('1-DATA'!$1:$1048576,$A275-1,COLUMN('1-DATA'!AM274)),ROUND(INDEX('1-DATA'!$1:$1048576,IF(OR($B276="STD. DEVIATION",$C$1=1),$A276,$A276+1),COLUMN('1-DATA'!AM274)),IF($B276="STD. DEVIATION",2,$F$1))))</f>
        <v/>
      </c>
      <c r="AO276" s="1" t="str">
        <f>IF(OR($B276="",AO$7=""),"",IF($B276="MEANS",INDEX('1-DATA'!$1:$1048576,$A275-1,COLUMN('1-DATA'!AN274)),ROUND(INDEX('1-DATA'!$1:$1048576,IF(OR($B276="STD. DEVIATION",$C$1=1),$A276,$A276+1),COLUMN('1-DATA'!AN274)),IF($B276="STD. DEVIATION",2,$F$1))))</f>
        <v/>
      </c>
      <c r="AP276" s="1" t="str">
        <f>IF(OR($B276="",AP$7=""),"",IF($B276="MEANS",INDEX('1-DATA'!$1:$1048576,$A275-1,COLUMN('1-DATA'!AO274)),ROUND(INDEX('1-DATA'!$1:$1048576,IF(OR($B276="STD. DEVIATION",$C$1=1),$A276,$A276+1),COLUMN('1-DATA'!AO274)),IF($B276="STD. DEVIATION",2,$F$1))))</f>
        <v/>
      </c>
      <c r="AQ276" s="1" t="str">
        <f>IF(OR($B276="",AQ$7=""),"",IF($B276="MEANS",INDEX('1-DATA'!$1:$1048576,$A275-1,COLUMN('1-DATA'!AP274)),ROUND(INDEX('1-DATA'!$1:$1048576,IF(OR($B276="STD. DEVIATION",$C$1=1),$A276,$A276+1),COLUMN('1-DATA'!AP274)),IF($B276="STD. DEVIATION",2,$F$1))))</f>
        <v/>
      </c>
      <c r="AR276" s="1" t="str">
        <f>IF(OR($B276="",AR$7=""),"",IF($B276="MEANS",INDEX('1-DATA'!$1:$1048576,$A275-1,COLUMN('1-DATA'!AQ274)),ROUND(INDEX('1-DATA'!$1:$1048576,IF(OR($B276="STD. DEVIATION",$C$1=1),$A276,$A276+1),COLUMN('1-DATA'!AQ274)),IF($B276="STD. DEVIATION",2,$F$1))))</f>
        <v/>
      </c>
      <c r="AS276" s="1" t="str">
        <f>IF(OR($B276="",AS$7=""),"",IF($B276="MEANS",INDEX('1-DATA'!$1:$1048576,$A275-1,COLUMN('1-DATA'!AR274)),ROUND(INDEX('1-DATA'!$1:$1048576,IF(OR($B276="STD. DEVIATION",$C$1=1),$A276,$A276+1),COLUMN('1-DATA'!AR274)),IF($B276="STD. DEVIATION",2,$F$1))))</f>
        <v/>
      </c>
      <c r="AT276" s="1" t="str">
        <f>IF(OR($B276="",AT$7=""),"",IF($B276="MEANS",INDEX('1-DATA'!$1:$1048576,$A275-1,COLUMN('1-DATA'!AS274)),ROUND(INDEX('1-DATA'!$1:$1048576,IF(OR($B276="STD. DEVIATION",$C$1=1),$A276,$A276+1),COLUMN('1-DATA'!AS274)),IF($B276="STD. DEVIATION",2,$F$1))))</f>
        <v/>
      </c>
      <c r="AU276" s="1" t="str">
        <f>IF(OR($B276="",AU$7=""),"",IF($B276="MEANS",INDEX('1-DATA'!$1:$1048576,$A275-1,COLUMN('1-DATA'!AT274)),ROUND(INDEX('1-DATA'!$1:$1048576,IF(OR($B276="STD. DEVIATION",$C$1=1),$A276,$A276+1),COLUMN('1-DATA'!AT274)),IF($B276="STD. DEVIATION",2,$F$1))))</f>
        <v/>
      </c>
      <c r="AV276" s="1" t="str">
        <f>IF(OR($B276="",AV$7=""),"",IF($B276="MEANS",INDEX('1-DATA'!$1:$1048576,$A275-1,COLUMN('1-DATA'!AU274)),ROUND(INDEX('1-DATA'!$1:$1048576,IF(OR($B276="STD. DEVIATION",$C$1=1),$A276,$A276+1),COLUMN('1-DATA'!AU274)),IF($B276="STD. DEVIATION",2,$F$1))))</f>
        <v/>
      </c>
      <c r="AW276" s="1" t="str">
        <f>IF(OR($B276="",AW$7=""),"",IF($B276="MEANS",INDEX('1-DATA'!$1:$1048576,$A275-1,COLUMN('1-DATA'!AV274)),ROUND(INDEX('1-DATA'!$1:$1048576,IF(OR($B276="STD. DEVIATION",$C$1=1),$A276,$A276+1),COLUMN('1-DATA'!AV274)),IF($B276="STD. DEVIATION",2,$F$1))))</f>
        <v/>
      </c>
      <c r="AX276" s="1" t="str">
        <f>IF(OR($B276="",AX$7=""),"",IF($B276="MEANS",INDEX('1-DATA'!$1:$1048576,$A275-1,COLUMN('1-DATA'!AW274)),ROUND(INDEX('1-DATA'!$1:$1048576,IF(OR($B276="STD. DEVIATION",$C$1=1),$A276,$A276+1),COLUMN('1-DATA'!AW274)),IF($B276="STD. DEVIATION",2,$F$1))))</f>
        <v/>
      </c>
      <c r="AY276" s="1" t="str">
        <f>IF(OR($B276="",AY$7=""),"",IF($B276="MEANS",INDEX('1-DATA'!$1:$1048576,$A275-1,COLUMN('1-DATA'!AX274)),ROUND(INDEX('1-DATA'!$1:$1048576,IF(OR($B276="STD. DEVIATION",$C$1=1),$A276,$A276+1),COLUMN('1-DATA'!AX274)),IF($B276="STD. DEVIATION",2,$F$1))))</f>
        <v/>
      </c>
      <c r="AZ276" s="1" t="str">
        <f>IF(OR($B276="",AZ$7=""),"",IF($B276="MEANS",INDEX('1-DATA'!$1:$1048576,$A275-1,COLUMN('1-DATA'!AY274)),ROUND(INDEX('1-DATA'!$1:$1048576,IF(OR($B276="STD. DEVIATION",$C$1=1),$A276,$A276+1),COLUMN('1-DATA'!AY274)),IF($B276="STD. DEVIATION",2,$F$1))))</f>
        <v/>
      </c>
    </row>
    <row r="277" spans="1:52" x14ac:dyDescent="0.25">
      <c r="A277" s="11">
        <f t="shared" si="4"/>
        <v>817</v>
      </c>
      <c r="B277" s="1" t="str">
        <f>IF(B276="STD. DEVIATION",INDEX('1-DATA'!$1:$1048576,$A276-1,1),IF(INDEX('1-DATA'!$1:$1048576,$A277,1)&lt;&gt;"",INDEX('1-DATA'!$1:$1048576,$A277,1),""))</f>
        <v/>
      </c>
      <c r="C277" s="1" t="str">
        <f>IF(OR($B277="",C$7=""),"",IF($B277="MEANS",INDEX('1-DATA'!$1:$1048576,$A276-1,COLUMN('1-DATA'!B275)),ROUND(INDEX('1-DATA'!$1:$1048576,IF(OR($B277="STD. DEVIATION",$C$1=1),$A277,$A277+1),COLUMN('1-DATA'!B275)),IF($B277="STD. DEVIATION",2,$F$1))))</f>
        <v/>
      </c>
      <c r="D277" s="1" t="str">
        <f>IF(OR($B277="",D$7=""),"",IF($B277="MEANS",INDEX('1-DATA'!$1:$1048576,$A276-1,COLUMN('1-DATA'!C275)),ROUND(INDEX('1-DATA'!$1:$1048576,IF(OR($B277="STD. DEVIATION",$C$1=1),$A277,$A277+1),COLUMN('1-DATA'!C275)),IF($B277="STD. DEVIATION",2,$F$1))))</f>
        <v/>
      </c>
      <c r="E277" s="1" t="str">
        <f>IF(OR($B277="",E$7=""),"",IF($B277="MEANS",INDEX('1-DATA'!$1:$1048576,$A276-1,COLUMN('1-DATA'!D275)),ROUND(INDEX('1-DATA'!$1:$1048576,IF(OR($B277="STD. DEVIATION",$C$1=1),$A277,$A277+1),COLUMN('1-DATA'!D275)),IF($B277="STD. DEVIATION",2,$F$1))))</f>
        <v/>
      </c>
      <c r="F277" s="1" t="str">
        <f>IF(OR($B277="",F$7=""),"",IF($B277="MEANS",INDEX('1-DATA'!$1:$1048576,$A276-1,COLUMN('1-DATA'!E275)),ROUND(INDEX('1-DATA'!$1:$1048576,IF(OR($B277="STD. DEVIATION",$C$1=1),$A277,$A277+1),COLUMN('1-DATA'!E275)),IF($B277="STD. DEVIATION",2,$F$1))))</f>
        <v/>
      </c>
      <c r="G277" s="1" t="str">
        <f>IF(OR($B277="",G$7=""),"",IF($B277="MEANS",INDEX('1-DATA'!$1:$1048576,$A276-1,COLUMN('1-DATA'!F275)),ROUND(INDEX('1-DATA'!$1:$1048576,IF(OR($B277="STD. DEVIATION",$C$1=1),$A277,$A277+1),COLUMN('1-DATA'!F275)),IF($B277="STD. DEVIATION",2,$F$1))))</f>
        <v/>
      </c>
      <c r="H277" s="1" t="str">
        <f>IF(OR($B277="",H$7=""),"",IF($B277="MEANS",INDEX('1-DATA'!$1:$1048576,$A276-1,COLUMN('1-DATA'!G275)),ROUND(INDEX('1-DATA'!$1:$1048576,IF(OR($B277="STD. DEVIATION",$C$1=1),$A277,$A277+1),COLUMN('1-DATA'!G275)),IF($B277="STD. DEVIATION",2,$F$1))))</f>
        <v/>
      </c>
      <c r="I277" s="1" t="str">
        <f>IF(OR($B277="",I$7=""),"",IF($B277="MEANS",INDEX('1-DATA'!$1:$1048576,$A276-1,COLUMN('1-DATA'!H275)),ROUND(INDEX('1-DATA'!$1:$1048576,IF(OR($B277="STD. DEVIATION",$C$1=1),$A277,$A277+1),COLUMN('1-DATA'!H275)),IF($B277="STD. DEVIATION",2,$F$1))))</f>
        <v/>
      </c>
      <c r="J277" s="1" t="str">
        <f>IF(OR($B277="",J$7=""),"",IF($B277="MEANS",INDEX('1-DATA'!$1:$1048576,$A276-1,COLUMN('1-DATA'!I275)),ROUND(INDEX('1-DATA'!$1:$1048576,IF(OR($B277="STD. DEVIATION",$C$1=1),$A277,$A277+1),COLUMN('1-DATA'!I275)),IF($B277="STD. DEVIATION",2,$F$1))))</f>
        <v/>
      </c>
      <c r="K277" s="1" t="str">
        <f>IF(OR($B277="",K$7=""),"",IF($B277="MEANS",INDEX('1-DATA'!$1:$1048576,$A276-1,COLUMN('1-DATA'!J275)),ROUND(INDEX('1-DATA'!$1:$1048576,IF(OR($B277="STD. DEVIATION",$C$1=1),$A277,$A277+1),COLUMN('1-DATA'!J275)),IF($B277="STD. DEVIATION",2,$F$1))))</f>
        <v/>
      </c>
      <c r="L277" s="1" t="str">
        <f>IF(OR($B277="",L$7=""),"",IF($B277="MEANS",INDEX('1-DATA'!$1:$1048576,$A276-1,COLUMN('1-DATA'!K275)),ROUND(INDEX('1-DATA'!$1:$1048576,IF(OR($B277="STD. DEVIATION",$C$1=1),$A277,$A277+1),COLUMN('1-DATA'!K275)),IF($B277="STD. DEVIATION",2,$F$1))))</f>
        <v/>
      </c>
      <c r="M277" s="1" t="str">
        <f>IF(OR($B277="",M$7=""),"",IF($B277="MEANS",INDEX('1-DATA'!$1:$1048576,$A276-1,COLUMN('1-DATA'!L275)),ROUND(INDEX('1-DATA'!$1:$1048576,IF(OR($B277="STD. DEVIATION",$C$1=1),$A277,$A277+1),COLUMN('1-DATA'!L275)),IF($B277="STD. DEVIATION",2,$F$1))))</f>
        <v/>
      </c>
      <c r="N277" s="1" t="str">
        <f>IF(OR($B277="",N$7=""),"",IF($B277="MEANS",INDEX('1-DATA'!$1:$1048576,$A276-1,COLUMN('1-DATA'!M275)),ROUND(INDEX('1-DATA'!$1:$1048576,IF(OR($B277="STD. DEVIATION",$C$1=1),$A277,$A277+1),COLUMN('1-DATA'!M275)),IF($B277="STD. DEVIATION",2,$F$1))))</f>
        <v/>
      </c>
      <c r="O277" s="1" t="str">
        <f>IF(OR($B277="",O$7=""),"",IF($B277="MEANS",INDEX('1-DATA'!$1:$1048576,$A276-1,COLUMN('1-DATA'!N275)),ROUND(INDEX('1-DATA'!$1:$1048576,IF(OR($B277="STD. DEVIATION",$C$1=1),$A277,$A277+1),COLUMN('1-DATA'!N275)),IF($B277="STD. DEVIATION",2,$F$1))))</f>
        <v/>
      </c>
      <c r="P277" s="1" t="str">
        <f>IF(OR($B277="",P$7=""),"",IF($B277="MEANS",INDEX('1-DATA'!$1:$1048576,$A276-1,COLUMN('1-DATA'!O275)),ROUND(INDEX('1-DATA'!$1:$1048576,IF(OR($B277="STD. DEVIATION",$C$1=1),$A277,$A277+1),COLUMN('1-DATA'!O275)),IF($B277="STD. DEVIATION",2,$F$1))))</f>
        <v/>
      </c>
      <c r="Q277" s="1" t="str">
        <f>IF(OR($B277="",Q$7=""),"",IF($B277="MEANS",INDEX('1-DATA'!$1:$1048576,$A276-1,COLUMN('1-DATA'!P275)),ROUND(INDEX('1-DATA'!$1:$1048576,IF(OR($B277="STD. DEVIATION",$C$1=1),$A277,$A277+1),COLUMN('1-DATA'!P275)),IF($B277="STD. DEVIATION",2,$F$1))))</f>
        <v/>
      </c>
      <c r="R277" s="1" t="str">
        <f>IF(OR($B277="",R$7=""),"",IF($B277="MEANS",INDEX('1-DATA'!$1:$1048576,$A276-1,COLUMN('1-DATA'!Q275)),ROUND(INDEX('1-DATA'!$1:$1048576,IF(OR($B277="STD. DEVIATION",$C$1=1),$A277,$A277+1),COLUMN('1-DATA'!Q275)),IF($B277="STD. DEVIATION",2,$F$1))))</f>
        <v/>
      </c>
      <c r="S277" s="1" t="str">
        <f>IF(OR($B277="",S$7=""),"",IF($B277="MEANS",INDEX('1-DATA'!$1:$1048576,$A276-1,COLUMN('1-DATA'!R275)),ROUND(INDEX('1-DATA'!$1:$1048576,IF(OR($B277="STD. DEVIATION",$C$1=1),$A277,$A277+1),COLUMN('1-DATA'!R275)),IF($B277="STD. DEVIATION",2,$F$1))))</f>
        <v/>
      </c>
      <c r="T277" s="1" t="str">
        <f>IF(OR($B277="",T$7=""),"",IF($B277="MEANS",INDEX('1-DATA'!$1:$1048576,$A276-1,COLUMN('1-DATA'!S275)),ROUND(INDEX('1-DATA'!$1:$1048576,IF(OR($B277="STD. DEVIATION",$C$1=1),$A277,$A277+1),COLUMN('1-DATA'!S275)),IF($B277="STD. DEVIATION",2,$F$1))))</f>
        <v/>
      </c>
      <c r="U277" s="1" t="str">
        <f>IF(OR($B277="",U$7=""),"",IF($B277="MEANS",INDEX('1-DATA'!$1:$1048576,$A276-1,COLUMN('1-DATA'!T275)),ROUND(INDEX('1-DATA'!$1:$1048576,IF(OR($B277="STD. DEVIATION",$C$1=1),$A277,$A277+1),COLUMN('1-DATA'!T275)),IF($B277="STD. DEVIATION",2,$F$1))))</f>
        <v/>
      </c>
      <c r="V277" s="1" t="str">
        <f>IF(OR($B277="",V$7=""),"",IF($B277="MEANS",INDEX('1-DATA'!$1:$1048576,$A276-1,COLUMN('1-DATA'!U275)),ROUND(INDEX('1-DATA'!$1:$1048576,IF(OR($B277="STD. DEVIATION",$C$1=1),$A277,$A277+1),COLUMN('1-DATA'!U275)),IF($B277="STD. DEVIATION",2,$F$1))))</f>
        <v/>
      </c>
      <c r="W277" s="1" t="str">
        <f>IF(OR($B277="",W$7=""),"",IF($B277="MEANS",INDEX('1-DATA'!$1:$1048576,$A276-1,COLUMN('1-DATA'!V275)),ROUND(INDEX('1-DATA'!$1:$1048576,IF(OR($B277="STD. DEVIATION",$C$1=1),$A277,$A277+1),COLUMN('1-DATA'!V275)),IF($B277="STD. DEVIATION",2,$F$1))))</f>
        <v/>
      </c>
      <c r="X277" s="1" t="str">
        <f>IF(OR($B277="",X$7=""),"",IF($B277="MEANS",INDEX('1-DATA'!$1:$1048576,$A276-1,COLUMN('1-DATA'!W275)),ROUND(INDEX('1-DATA'!$1:$1048576,IF(OR($B277="STD. DEVIATION",$C$1=1),$A277,$A277+1),COLUMN('1-DATA'!W275)),IF($B277="STD. DEVIATION",2,$F$1))))</f>
        <v/>
      </c>
      <c r="Y277" s="1" t="str">
        <f>IF(OR($B277="",Y$7=""),"",IF($B277="MEANS",INDEX('1-DATA'!$1:$1048576,$A276-1,COLUMN('1-DATA'!X275)),ROUND(INDEX('1-DATA'!$1:$1048576,IF(OR($B277="STD. DEVIATION",$C$1=1),$A277,$A277+1),COLUMN('1-DATA'!X275)),IF($B277="STD. DEVIATION",2,$F$1))))</f>
        <v/>
      </c>
      <c r="Z277" s="1" t="str">
        <f>IF(OR($B277="",Z$7=""),"",IF($B277="MEANS",INDEX('1-DATA'!$1:$1048576,$A276-1,COLUMN('1-DATA'!Y275)),ROUND(INDEX('1-DATA'!$1:$1048576,IF(OR($B277="STD. DEVIATION",$C$1=1),$A277,$A277+1),COLUMN('1-DATA'!Y275)),IF($B277="STD. DEVIATION",2,$F$1))))</f>
        <v/>
      </c>
      <c r="AA277" s="1" t="str">
        <f>IF(OR($B277="",AA$7=""),"",IF($B277="MEANS",INDEX('1-DATA'!$1:$1048576,$A276-1,COLUMN('1-DATA'!Z275)),ROUND(INDEX('1-DATA'!$1:$1048576,IF(OR($B277="STD. DEVIATION",$C$1=1),$A277,$A277+1),COLUMN('1-DATA'!Z275)),IF($B277="STD. DEVIATION",2,$F$1))))</f>
        <v/>
      </c>
      <c r="AB277" s="1" t="str">
        <f>IF(OR($B277="",AB$7=""),"",IF($B277="MEANS",INDEX('1-DATA'!$1:$1048576,$A276-1,COLUMN('1-DATA'!AA275)),ROUND(INDEX('1-DATA'!$1:$1048576,IF(OR($B277="STD. DEVIATION",$C$1=1),$A277,$A277+1),COLUMN('1-DATA'!AA275)),IF($B277="STD. DEVIATION",2,$F$1))))</f>
        <v/>
      </c>
      <c r="AC277" s="1" t="str">
        <f>IF(OR($B277="",AC$7=""),"",IF($B277="MEANS",INDEX('1-DATA'!$1:$1048576,$A276-1,COLUMN('1-DATA'!AB275)),ROUND(INDEX('1-DATA'!$1:$1048576,IF(OR($B277="STD. DEVIATION",$C$1=1),$A277,$A277+1),COLUMN('1-DATA'!AB275)),IF($B277="STD. DEVIATION",2,$F$1))))</f>
        <v/>
      </c>
      <c r="AD277" s="1" t="str">
        <f>IF(OR($B277="",AD$7=""),"",IF($B277="MEANS",INDEX('1-DATA'!$1:$1048576,$A276-1,COLUMN('1-DATA'!AC275)),ROUND(INDEX('1-DATA'!$1:$1048576,IF(OR($B277="STD. DEVIATION",$C$1=1),$A277,$A277+1),COLUMN('1-DATA'!AC275)),IF($B277="STD. DEVIATION",2,$F$1))))</f>
        <v/>
      </c>
      <c r="AE277" s="1" t="str">
        <f>IF(OR($B277="",AE$7=""),"",IF($B277="MEANS",INDEX('1-DATA'!$1:$1048576,$A276-1,COLUMN('1-DATA'!AD275)),ROUND(INDEX('1-DATA'!$1:$1048576,IF(OR($B277="STD. DEVIATION",$C$1=1),$A277,$A277+1),COLUMN('1-DATA'!AD275)),IF($B277="STD. DEVIATION",2,$F$1))))</f>
        <v/>
      </c>
      <c r="AF277" s="1" t="str">
        <f>IF(OR($B277="",AF$7=""),"",IF($B277="MEANS",INDEX('1-DATA'!$1:$1048576,$A276-1,COLUMN('1-DATA'!AE275)),ROUND(INDEX('1-DATA'!$1:$1048576,IF(OR($B277="STD. DEVIATION",$C$1=1),$A277,$A277+1),COLUMN('1-DATA'!AE275)),IF($B277="STD. DEVIATION",2,$F$1))))</f>
        <v/>
      </c>
      <c r="AG277" s="1" t="str">
        <f>IF(OR($B277="",AG$7=""),"",IF($B277="MEANS",INDEX('1-DATA'!$1:$1048576,$A276-1,COLUMN('1-DATA'!AF275)),ROUND(INDEX('1-DATA'!$1:$1048576,IF(OR($B277="STD. DEVIATION",$C$1=1),$A277,$A277+1),COLUMN('1-DATA'!AF275)),IF($B277="STD. DEVIATION",2,$F$1))))</f>
        <v/>
      </c>
      <c r="AH277" s="1" t="str">
        <f>IF(OR($B277="",AH$7=""),"",IF($B277="MEANS",INDEX('1-DATA'!$1:$1048576,$A276-1,COLUMN('1-DATA'!AG275)),ROUND(INDEX('1-DATA'!$1:$1048576,IF(OR($B277="STD. DEVIATION",$C$1=1),$A277,$A277+1),COLUMN('1-DATA'!AG275)),IF($B277="STD. DEVIATION",2,$F$1))))</f>
        <v/>
      </c>
      <c r="AI277" s="1" t="str">
        <f>IF(OR($B277="",AI$7=""),"",IF($B277="MEANS",INDEX('1-DATA'!$1:$1048576,$A276-1,COLUMN('1-DATA'!AH275)),ROUND(INDEX('1-DATA'!$1:$1048576,IF(OR($B277="STD. DEVIATION",$C$1=1),$A277,$A277+1),COLUMN('1-DATA'!AH275)),IF($B277="STD. DEVIATION",2,$F$1))))</f>
        <v/>
      </c>
      <c r="AJ277" s="1" t="str">
        <f>IF(OR($B277="",AJ$7=""),"",IF($B277="MEANS",INDEX('1-DATA'!$1:$1048576,$A276-1,COLUMN('1-DATA'!AI275)),ROUND(INDEX('1-DATA'!$1:$1048576,IF(OR($B277="STD. DEVIATION",$C$1=1),$A277,$A277+1),COLUMN('1-DATA'!AI275)),IF($B277="STD. DEVIATION",2,$F$1))))</f>
        <v/>
      </c>
      <c r="AK277" s="1" t="str">
        <f>IF(OR($B277="",AK$7=""),"",IF($B277="MEANS",INDEX('1-DATA'!$1:$1048576,$A276-1,COLUMN('1-DATA'!AJ275)),ROUND(INDEX('1-DATA'!$1:$1048576,IF(OR($B277="STD. DEVIATION",$C$1=1),$A277,$A277+1),COLUMN('1-DATA'!AJ275)),IF($B277="STD. DEVIATION",2,$F$1))))</f>
        <v/>
      </c>
      <c r="AL277" s="1" t="str">
        <f>IF(OR($B277="",AL$7=""),"",IF($B277="MEANS",INDEX('1-DATA'!$1:$1048576,$A276-1,COLUMN('1-DATA'!AK275)),ROUND(INDEX('1-DATA'!$1:$1048576,IF(OR($B277="STD. DEVIATION",$C$1=1),$A277,$A277+1),COLUMN('1-DATA'!AK275)),IF($B277="STD. DEVIATION",2,$F$1))))</f>
        <v/>
      </c>
      <c r="AM277" s="1" t="str">
        <f>IF(OR($B277="",AM$7=""),"",IF($B277="MEANS",INDEX('1-DATA'!$1:$1048576,$A276-1,COLUMN('1-DATA'!AL275)),ROUND(INDEX('1-DATA'!$1:$1048576,IF(OR($B277="STD. DEVIATION",$C$1=1),$A277,$A277+1),COLUMN('1-DATA'!AL275)),IF($B277="STD. DEVIATION",2,$F$1))))</f>
        <v/>
      </c>
      <c r="AN277" s="1" t="str">
        <f>IF(OR($B277="",AN$7=""),"",IF($B277="MEANS",INDEX('1-DATA'!$1:$1048576,$A276-1,COLUMN('1-DATA'!AM275)),ROUND(INDEX('1-DATA'!$1:$1048576,IF(OR($B277="STD. DEVIATION",$C$1=1),$A277,$A277+1),COLUMN('1-DATA'!AM275)),IF($B277="STD. DEVIATION",2,$F$1))))</f>
        <v/>
      </c>
      <c r="AO277" s="1" t="str">
        <f>IF(OR($B277="",AO$7=""),"",IF($B277="MEANS",INDEX('1-DATA'!$1:$1048576,$A276-1,COLUMN('1-DATA'!AN275)),ROUND(INDEX('1-DATA'!$1:$1048576,IF(OR($B277="STD. DEVIATION",$C$1=1),$A277,$A277+1),COLUMN('1-DATA'!AN275)),IF($B277="STD. DEVIATION",2,$F$1))))</f>
        <v/>
      </c>
      <c r="AP277" s="1" t="str">
        <f>IF(OR($B277="",AP$7=""),"",IF($B277="MEANS",INDEX('1-DATA'!$1:$1048576,$A276-1,COLUMN('1-DATA'!AO275)),ROUND(INDEX('1-DATA'!$1:$1048576,IF(OR($B277="STD. DEVIATION",$C$1=1),$A277,$A277+1),COLUMN('1-DATA'!AO275)),IF($B277="STD. DEVIATION",2,$F$1))))</f>
        <v/>
      </c>
      <c r="AQ277" s="1" t="str">
        <f>IF(OR($B277="",AQ$7=""),"",IF($B277="MEANS",INDEX('1-DATA'!$1:$1048576,$A276-1,COLUMN('1-DATA'!AP275)),ROUND(INDEX('1-DATA'!$1:$1048576,IF(OR($B277="STD. DEVIATION",$C$1=1),$A277,$A277+1),COLUMN('1-DATA'!AP275)),IF($B277="STD. DEVIATION",2,$F$1))))</f>
        <v/>
      </c>
      <c r="AR277" s="1" t="str">
        <f>IF(OR($B277="",AR$7=""),"",IF($B277="MEANS",INDEX('1-DATA'!$1:$1048576,$A276-1,COLUMN('1-DATA'!AQ275)),ROUND(INDEX('1-DATA'!$1:$1048576,IF(OR($B277="STD. DEVIATION",$C$1=1),$A277,$A277+1),COLUMN('1-DATA'!AQ275)),IF($B277="STD. DEVIATION",2,$F$1))))</f>
        <v/>
      </c>
      <c r="AS277" s="1" t="str">
        <f>IF(OR($B277="",AS$7=""),"",IF($B277="MEANS",INDEX('1-DATA'!$1:$1048576,$A276-1,COLUMN('1-DATA'!AR275)),ROUND(INDEX('1-DATA'!$1:$1048576,IF(OR($B277="STD. DEVIATION",$C$1=1),$A277,$A277+1),COLUMN('1-DATA'!AR275)),IF($B277="STD. DEVIATION",2,$F$1))))</f>
        <v/>
      </c>
      <c r="AT277" s="1" t="str">
        <f>IF(OR($B277="",AT$7=""),"",IF($B277="MEANS",INDEX('1-DATA'!$1:$1048576,$A276-1,COLUMN('1-DATA'!AS275)),ROUND(INDEX('1-DATA'!$1:$1048576,IF(OR($B277="STD. DEVIATION",$C$1=1),$A277,$A277+1),COLUMN('1-DATA'!AS275)),IF($B277="STD. DEVIATION",2,$F$1))))</f>
        <v/>
      </c>
      <c r="AU277" s="1" t="str">
        <f>IF(OR($B277="",AU$7=""),"",IF($B277="MEANS",INDEX('1-DATA'!$1:$1048576,$A276-1,COLUMN('1-DATA'!AT275)),ROUND(INDEX('1-DATA'!$1:$1048576,IF(OR($B277="STD. DEVIATION",$C$1=1),$A277,$A277+1),COLUMN('1-DATA'!AT275)),IF($B277="STD. DEVIATION",2,$F$1))))</f>
        <v/>
      </c>
      <c r="AV277" s="1" t="str">
        <f>IF(OR($B277="",AV$7=""),"",IF($B277="MEANS",INDEX('1-DATA'!$1:$1048576,$A276-1,COLUMN('1-DATA'!AU275)),ROUND(INDEX('1-DATA'!$1:$1048576,IF(OR($B277="STD. DEVIATION",$C$1=1),$A277,$A277+1),COLUMN('1-DATA'!AU275)),IF($B277="STD. DEVIATION",2,$F$1))))</f>
        <v/>
      </c>
      <c r="AW277" s="1" t="str">
        <f>IF(OR($B277="",AW$7=""),"",IF($B277="MEANS",INDEX('1-DATA'!$1:$1048576,$A276-1,COLUMN('1-DATA'!AV275)),ROUND(INDEX('1-DATA'!$1:$1048576,IF(OR($B277="STD. DEVIATION",$C$1=1),$A277,$A277+1),COLUMN('1-DATA'!AV275)),IF($B277="STD. DEVIATION",2,$F$1))))</f>
        <v/>
      </c>
      <c r="AX277" s="1" t="str">
        <f>IF(OR($B277="",AX$7=""),"",IF($B277="MEANS",INDEX('1-DATA'!$1:$1048576,$A276-1,COLUMN('1-DATA'!AW275)),ROUND(INDEX('1-DATA'!$1:$1048576,IF(OR($B277="STD. DEVIATION",$C$1=1),$A277,$A277+1),COLUMN('1-DATA'!AW275)),IF($B277="STD. DEVIATION",2,$F$1))))</f>
        <v/>
      </c>
      <c r="AY277" s="1" t="str">
        <f>IF(OR($B277="",AY$7=""),"",IF($B277="MEANS",INDEX('1-DATA'!$1:$1048576,$A276-1,COLUMN('1-DATA'!AX275)),ROUND(INDEX('1-DATA'!$1:$1048576,IF(OR($B277="STD. DEVIATION",$C$1=1),$A277,$A277+1),COLUMN('1-DATA'!AX275)),IF($B277="STD. DEVIATION",2,$F$1))))</f>
        <v/>
      </c>
      <c r="AZ277" s="1" t="str">
        <f>IF(OR($B277="",AZ$7=""),"",IF($B277="MEANS",INDEX('1-DATA'!$1:$1048576,$A276-1,COLUMN('1-DATA'!AY275)),ROUND(INDEX('1-DATA'!$1:$1048576,IF(OR($B277="STD. DEVIATION",$C$1=1),$A277,$A277+1),COLUMN('1-DATA'!AY275)),IF($B277="STD. DEVIATION",2,$F$1))))</f>
        <v/>
      </c>
    </row>
    <row r="278" spans="1:52" x14ac:dyDescent="0.25">
      <c r="A278" s="11">
        <f t="shared" si="4"/>
        <v>820</v>
      </c>
      <c r="B278" s="1" t="str">
        <f>IF(B277="STD. DEVIATION",INDEX('1-DATA'!$1:$1048576,$A277-1,1),IF(INDEX('1-DATA'!$1:$1048576,$A278,1)&lt;&gt;"",INDEX('1-DATA'!$1:$1048576,$A278,1),""))</f>
        <v/>
      </c>
      <c r="C278" s="1" t="str">
        <f>IF(OR($B278="",C$7=""),"",IF($B278="MEANS",INDEX('1-DATA'!$1:$1048576,$A277-1,COLUMN('1-DATA'!B276)),ROUND(INDEX('1-DATA'!$1:$1048576,IF(OR($B278="STD. DEVIATION",$C$1=1),$A278,$A278+1),COLUMN('1-DATA'!B276)),IF($B278="STD. DEVIATION",2,$F$1))))</f>
        <v/>
      </c>
      <c r="D278" s="1" t="str">
        <f>IF(OR($B278="",D$7=""),"",IF($B278="MEANS",INDEX('1-DATA'!$1:$1048576,$A277-1,COLUMN('1-DATA'!C276)),ROUND(INDEX('1-DATA'!$1:$1048576,IF(OR($B278="STD. DEVIATION",$C$1=1),$A278,$A278+1),COLUMN('1-DATA'!C276)),IF($B278="STD. DEVIATION",2,$F$1))))</f>
        <v/>
      </c>
      <c r="E278" s="1" t="str">
        <f>IF(OR($B278="",E$7=""),"",IF($B278="MEANS",INDEX('1-DATA'!$1:$1048576,$A277-1,COLUMN('1-DATA'!D276)),ROUND(INDEX('1-DATA'!$1:$1048576,IF(OR($B278="STD. DEVIATION",$C$1=1),$A278,$A278+1),COLUMN('1-DATA'!D276)),IF($B278="STD. DEVIATION",2,$F$1))))</f>
        <v/>
      </c>
      <c r="F278" s="1" t="str">
        <f>IF(OR($B278="",F$7=""),"",IF($B278="MEANS",INDEX('1-DATA'!$1:$1048576,$A277-1,COLUMN('1-DATA'!E276)),ROUND(INDEX('1-DATA'!$1:$1048576,IF(OR($B278="STD. DEVIATION",$C$1=1),$A278,$A278+1),COLUMN('1-DATA'!E276)),IF($B278="STD. DEVIATION",2,$F$1))))</f>
        <v/>
      </c>
      <c r="G278" s="1" t="str">
        <f>IF(OR($B278="",G$7=""),"",IF($B278="MEANS",INDEX('1-DATA'!$1:$1048576,$A277-1,COLUMN('1-DATA'!F276)),ROUND(INDEX('1-DATA'!$1:$1048576,IF(OR($B278="STD. DEVIATION",$C$1=1),$A278,$A278+1),COLUMN('1-DATA'!F276)),IF($B278="STD. DEVIATION",2,$F$1))))</f>
        <v/>
      </c>
      <c r="H278" s="1" t="str">
        <f>IF(OR($B278="",H$7=""),"",IF($B278="MEANS",INDEX('1-DATA'!$1:$1048576,$A277-1,COLUMN('1-DATA'!G276)),ROUND(INDEX('1-DATA'!$1:$1048576,IF(OR($B278="STD. DEVIATION",$C$1=1),$A278,$A278+1),COLUMN('1-DATA'!G276)),IF($B278="STD. DEVIATION",2,$F$1))))</f>
        <v/>
      </c>
      <c r="I278" s="1" t="str">
        <f>IF(OR($B278="",I$7=""),"",IF($B278="MEANS",INDEX('1-DATA'!$1:$1048576,$A277-1,COLUMN('1-DATA'!H276)),ROUND(INDEX('1-DATA'!$1:$1048576,IF(OR($B278="STD. DEVIATION",$C$1=1),$A278,$A278+1),COLUMN('1-DATA'!H276)),IF($B278="STD. DEVIATION",2,$F$1))))</f>
        <v/>
      </c>
      <c r="J278" s="1" t="str">
        <f>IF(OR($B278="",J$7=""),"",IF($B278="MEANS",INDEX('1-DATA'!$1:$1048576,$A277-1,COLUMN('1-DATA'!I276)),ROUND(INDEX('1-DATA'!$1:$1048576,IF(OR($B278="STD. DEVIATION",$C$1=1),$A278,$A278+1),COLUMN('1-DATA'!I276)),IF($B278="STD. DEVIATION",2,$F$1))))</f>
        <v/>
      </c>
      <c r="K278" s="1" t="str">
        <f>IF(OR($B278="",K$7=""),"",IF($B278="MEANS",INDEX('1-DATA'!$1:$1048576,$A277-1,COLUMN('1-DATA'!J276)),ROUND(INDEX('1-DATA'!$1:$1048576,IF(OR($B278="STD. DEVIATION",$C$1=1),$A278,$A278+1),COLUMN('1-DATA'!J276)),IF($B278="STD. DEVIATION",2,$F$1))))</f>
        <v/>
      </c>
      <c r="L278" s="1" t="str">
        <f>IF(OR($B278="",L$7=""),"",IF($B278="MEANS",INDEX('1-DATA'!$1:$1048576,$A277-1,COLUMN('1-DATA'!K276)),ROUND(INDEX('1-DATA'!$1:$1048576,IF(OR($B278="STD. DEVIATION",$C$1=1),$A278,$A278+1),COLUMN('1-DATA'!K276)),IF($B278="STD. DEVIATION",2,$F$1))))</f>
        <v/>
      </c>
      <c r="M278" s="1" t="str">
        <f>IF(OR($B278="",M$7=""),"",IF($B278="MEANS",INDEX('1-DATA'!$1:$1048576,$A277-1,COLUMN('1-DATA'!L276)),ROUND(INDEX('1-DATA'!$1:$1048576,IF(OR($B278="STD. DEVIATION",$C$1=1),$A278,$A278+1),COLUMN('1-DATA'!L276)),IF($B278="STD. DEVIATION",2,$F$1))))</f>
        <v/>
      </c>
      <c r="N278" s="1" t="str">
        <f>IF(OR($B278="",N$7=""),"",IF($B278="MEANS",INDEX('1-DATA'!$1:$1048576,$A277-1,COLUMN('1-DATA'!M276)),ROUND(INDEX('1-DATA'!$1:$1048576,IF(OR($B278="STD. DEVIATION",$C$1=1),$A278,$A278+1),COLUMN('1-DATA'!M276)),IF($B278="STD. DEVIATION",2,$F$1))))</f>
        <v/>
      </c>
      <c r="O278" s="1" t="str">
        <f>IF(OR($B278="",O$7=""),"",IF($B278="MEANS",INDEX('1-DATA'!$1:$1048576,$A277-1,COLUMN('1-DATA'!N276)),ROUND(INDEX('1-DATA'!$1:$1048576,IF(OR($B278="STD. DEVIATION",$C$1=1),$A278,$A278+1),COLUMN('1-DATA'!N276)),IF($B278="STD. DEVIATION",2,$F$1))))</f>
        <v/>
      </c>
      <c r="P278" s="1" t="str">
        <f>IF(OR($B278="",P$7=""),"",IF($B278="MEANS",INDEX('1-DATA'!$1:$1048576,$A277-1,COLUMN('1-DATA'!O276)),ROUND(INDEX('1-DATA'!$1:$1048576,IF(OR($B278="STD. DEVIATION",$C$1=1),$A278,$A278+1),COLUMN('1-DATA'!O276)),IF($B278="STD. DEVIATION",2,$F$1))))</f>
        <v/>
      </c>
      <c r="Q278" s="1" t="str">
        <f>IF(OR($B278="",Q$7=""),"",IF($B278="MEANS",INDEX('1-DATA'!$1:$1048576,$A277-1,COLUMN('1-DATA'!P276)),ROUND(INDEX('1-DATA'!$1:$1048576,IF(OR($B278="STD. DEVIATION",$C$1=1),$A278,$A278+1),COLUMN('1-DATA'!P276)),IF($B278="STD. DEVIATION",2,$F$1))))</f>
        <v/>
      </c>
      <c r="R278" s="1" t="str">
        <f>IF(OR($B278="",R$7=""),"",IF($B278="MEANS",INDEX('1-DATA'!$1:$1048576,$A277-1,COLUMN('1-DATA'!Q276)),ROUND(INDEX('1-DATA'!$1:$1048576,IF(OR($B278="STD. DEVIATION",$C$1=1),$A278,$A278+1),COLUMN('1-DATA'!Q276)),IF($B278="STD. DEVIATION",2,$F$1))))</f>
        <v/>
      </c>
      <c r="S278" s="1" t="str">
        <f>IF(OR($B278="",S$7=""),"",IF($B278="MEANS",INDEX('1-DATA'!$1:$1048576,$A277-1,COLUMN('1-DATA'!R276)),ROUND(INDEX('1-DATA'!$1:$1048576,IF(OR($B278="STD. DEVIATION",$C$1=1),$A278,$A278+1),COLUMN('1-DATA'!R276)),IF($B278="STD. DEVIATION",2,$F$1))))</f>
        <v/>
      </c>
      <c r="T278" s="1" t="str">
        <f>IF(OR($B278="",T$7=""),"",IF($B278="MEANS",INDEX('1-DATA'!$1:$1048576,$A277-1,COLUMN('1-DATA'!S276)),ROUND(INDEX('1-DATA'!$1:$1048576,IF(OR($B278="STD. DEVIATION",$C$1=1),$A278,$A278+1),COLUMN('1-DATA'!S276)),IF($B278="STD. DEVIATION",2,$F$1))))</f>
        <v/>
      </c>
      <c r="U278" s="1" t="str">
        <f>IF(OR($B278="",U$7=""),"",IF($B278="MEANS",INDEX('1-DATA'!$1:$1048576,$A277-1,COLUMN('1-DATA'!T276)),ROUND(INDEX('1-DATA'!$1:$1048576,IF(OR($B278="STD. DEVIATION",$C$1=1),$A278,$A278+1),COLUMN('1-DATA'!T276)),IF($B278="STD. DEVIATION",2,$F$1))))</f>
        <v/>
      </c>
      <c r="V278" s="1" t="str">
        <f>IF(OR($B278="",V$7=""),"",IF($B278="MEANS",INDEX('1-DATA'!$1:$1048576,$A277-1,COLUMN('1-DATA'!U276)),ROUND(INDEX('1-DATA'!$1:$1048576,IF(OR($B278="STD. DEVIATION",$C$1=1),$A278,$A278+1),COLUMN('1-DATA'!U276)),IF($B278="STD. DEVIATION",2,$F$1))))</f>
        <v/>
      </c>
      <c r="W278" s="1" t="str">
        <f>IF(OR($B278="",W$7=""),"",IF($B278="MEANS",INDEX('1-DATA'!$1:$1048576,$A277-1,COLUMN('1-DATA'!V276)),ROUND(INDEX('1-DATA'!$1:$1048576,IF(OR($B278="STD. DEVIATION",$C$1=1),$A278,$A278+1),COLUMN('1-DATA'!V276)),IF($B278="STD. DEVIATION",2,$F$1))))</f>
        <v/>
      </c>
      <c r="X278" s="1" t="str">
        <f>IF(OR($B278="",X$7=""),"",IF($B278="MEANS",INDEX('1-DATA'!$1:$1048576,$A277-1,COLUMN('1-DATA'!W276)),ROUND(INDEX('1-DATA'!$1:$1048576,IF(OR($B278="STD. DEVIATION",$C$1=1),$A278,$A278+1),COLUMN('1-DATA'!W276)),IF($B278="STD. DEVIATION",2,$F$1))))</f>
        <v/>
      </c>
      <c r="Y278" s="1" t="str">
        <f>IF(OR($B278="",Y$7=""),"",IF($B278="MEANS",INDEX('1-DATA'!$1:$1048576,$A277-1,COLUMN('1-DATA'!X276)),ROUND(INDEX('1-DATA'!$1:$1048576,IF(OR($B278="STD. DEVIATION",$C$1=1),$A278,$A278+1),COLUMN('1-DATA'!X276)),IF($B278="STD. DEVIATION",2,$F$1))))</f>
        <v/>
      </c>
      <c r="Z278" s="1" t="str">
        <f>IF(OR($B278="",Z$7=""),"",IF($B278="MEANS",INDEX('1-DATA'!$1:$1048576,$A277-1,COLUMN('1-DATA'!Y276)),ROUND(INDEX('1-DATA'!$1:$1048576,IF(OR($B278="STD. DEVIATION",$C$1=1),$A278,$A278+1),COLUMN('1-DATA'!Y276)),IF($B278="STD. DEVIATION",2,$F$1))))</f>
        <v/>
      </c>
      <c r="AA278" s="1" t="str">
        <f>IF(OR($B278="",AA$7=""),"",IF($B278="MEANS",INDEX('1-DATA'!$1:$1048576,$A277-1,COLUMN('1-DATA'!Z276)),ROUND(INDEX('1-DATA'!$1:$1048576,IF(OR($B278="STD. DEVIATION",$C$1=1),$A278,$A278+1),COLUMN('1-DATA'!Z276)),IF($B278="STD. DEVIATION",2,$F$1))))</f>
        <v/>
      </c>
      <c r="AB278" s="1" t="str">
        <f>IF(OR($B278="",AB$7=""),"",IF($B278="MEANS",INDEX('1-DATA'!$1:$1048576,$A277-1,COLUMN('1-DATA'!AA276)),ROUND(INDEX('1-DATA'!$1:$1048576,IF(OR($B278="STD. DEVIATION",$C$1=1),$A278,$A278+1),COLUMN('1-DATA'!AA276)),IF($B278="STD. DEVIATION",2,$F$1))))</f>
        <v/>
      </c>
      <c r="AC278" s="1" t="str">
        <f>IF(OR($B278="",AC$7=""),"",IF($B278="MEANS",INDEX('1-DATA'!$1:$1048576,$A277-1,COLUMN('1-DATA'!AB276)),ROUND(INDEX('1-DATA'!$1:$1048576,IF(OR($B278="STD. DEVIATION",$C$1=1),$A278,$A278+1),COLUMN('1-DATA'!AB276)),IF($B278="STD. DEVIATION",2,$F$1))))</f>
        <v/>
      </c>
      <c r="AD278" s="1" t="str">
        <f>IF(OR($B278="",AD$7=""),"",IF($B278="MEANS",INDEX('1-DATA'!$1:$1048576,$A277-1,COLUMN('1-DATA'!AC276)),ROUND(INDEX('1-DATA'!$1:$1048576,IF(OR($B278="STD. DEVIATION",$C$1=1),$A278,$A278+1),COLUMN('1-DATA'!AC276)),IF($B278="STD. DEVIATION",2,$F$1))))</f>
        <v/>
      </c>
      <c r="AE278" s="1" t="str">
        <f>IF(OR($B278="",AE$7=""),"",IF($B278="MEANS",INDEX('1-DATA'!$1:$1048576,$A277-1,COLUMN('1-DATA'!AD276)),ROUND(INDEX('1-DATA'!$1:$1048576,IF(OR($B278="STD. DEVIATION",$C$1=1),$A278,$A278+1),COLUMN('1-DATA'!AD276)),IF($B278="STD. DEVIATION",2,$F$1))))</f>
        <v/>
      </c>
      <c r="AF278" s="1" t="str">
        <f>IF(OR($B278="",AF$7=""),"",IF($B278="MEANS",INDEX('1-DATA'!$1:$1048576,$A277-1,COLUMN('1-DATA'!AE276)),ROUND(INDEX('1-DATA'!$1:$1048576,IF(OR($B278="STD. DEVIATION",$C$1=1),$A278,$A278+1),COLUMN('1-DATA'!AE276)),IF($B278="STD. DEVIATION",2,$F$1))))</f>
        <v/>
      </c>
      <c r="AG278" s="1" t="str">
        <f>IF(OR($B278="",AG$7=""),"",IF($B278="MEANS",INDEX('1-DATA'!$1:$1048576,$A277-1,COLUMN('1-DATA'!AF276)),ROUND(INDEX('1-DATA'!$1:$1048576,IF(OR($B278="STD. DEVIATION",$C$1=1),$A278,$A278+1),COLUMN('1-DATA'!AF276)),IF($B278="STD. DEVIATION",2,$F$1))))</f>
        <v/>
      </c>
      <c r="AH278" s="1" t="str">
        <f>IF(OR($B278="",AH$7=""),"",IF($B278="MEANS",INDEX('1-DATA'!$1:$1048576,$A277-1,COLUMN('1-DATA'!AG276)),ROUND(INDEX('1-DATA'!$1:$1048576,IF(OR($B278="STD. DEVIATION",$C$1=1),$A278,$A278+1),COLUMN('1-DATA'!AG276)),IF($B278="STD. DEVIATION",2,$F$1))))</f>
        <v/>
      </c>
      <c r="AI278" s="1" t="str">
        <f>IF(OR($B278="",AI$7=""),"",IF($B278="MEANS",INDEX('1-DATA'!$1:$1048576,$A277-1,COLUMN('1-DATA'!AH276)),ROUND(INDEX('1-DATA'!$1:$1048576,IF(OR($B278="STD. DEVIATION",$C$1=1),$A278,$A278+1),COLUMN('1-DATA'!AH276)),IF($B278="STD. DEVIATION",2,$F$1))))</f>
        <v/>
      </c>
      <c r="AJ278" s="1" t="str">
        <f>IF(OR($B278="",AJ$7=""),"",IF($B278="MEANS",INDEX('1-DATA'!$1:$1048576,$A277-1,COLUMN('1-DATA'!AI276)),ROUND(INDEX('1-DATA'!$1:$1048576,IF(OR($B278="STD. DEVIATION",$C$1=1),$A278,$A278+1),COLUMN('1-DATA'!AI276)),IF($B278="STD. DEVIATION",2,$F$1))))</f>
        <v/>
      </c>
      <c r="AK278" s="1" t="str">
        <f>IF(OR($B278="",AK$7=""),"",IF($B278="MEANS",INDEX('1-DATA'!$1:$1048576,$A277-1,COLUMN('1-DATA'!AJ276)),ROUND(INDEX('1-DATA'!$1:$1048576,IF(OR($B278="STD. DEVIATION",$C$1=1),$A278,$A278+1),COLUMN('1-DATA'!AJ276)),IF($B278="STD. DEVIATION",2,$F$1))))</f>
        <v/>
      </c>
      <c r="AL278" s="1" t="str">
        <f>IF(OR($B278="",AL$7=""),"",IF($B278="MEANS",INDEX('1-DATA'!$1:$1048576,$A277-1,COLUMN('1-DATA'!AK276)),ROUND(INDEX('1-DATA'!$1:$1048576,IF(OR($B278="STD. DEVIATION",$C$1=1),$A278,$A278+1),COLUMN('1-DATA'!AK276)),IF($B278="STD. DEVIATION",2,$F$1))))</f>
        <v/>
      </c>
      <c r="AM278" s="1" t="str">
        <f>IF(OR($B278="",AM$7=""),"",IF($B278="MEANS",INDEX('1-DATA'!$1:$1048576,$A277-1,COLUMN('1-DATA'!AL276)),ROUND(INDEX('1-DATA'!$1:$1048576,IF(OR($B278="STD. DEVIATION",$C$1=1),$A278,$A278+1),COLUMN('1-DATA'!AL276)),IF($B278="STD. DEVIATION",2,$F$1))))</f>
        <v/>
      </c>
      <c r="AN278" s="1" t="str">
        <f>IF(OR($B278="",AN$7=""),"",IF($B278="MEANS",INDEX('1-DATA'!$1:$1048576,$A277-1,COLUMN('1-DATA'!AM276)),ROUND(INDEX('1-DATA'!$1:$1048576,IF(OR($B278="STD. DEVIATION",$C$1=1),$A278,$A278+1),COLUMN('1-DATA'!AM276)),IF($B278="STD. DEVIATION",2,$F$1))))</f>
        <v/>
      </c>
      <c r="AO278" s="1" t="str">
        <f>IF(OR($B278="",AO$7=""),"",IF($B278="MEANS",INDEX('1-DATA'!$1:$1048576,$A277-1,COLUMN('1-DATA'!AN276)),ROUND(INDEX('1-DATA'!$1:$1048576,IF(OR($B278="STD. DEVIATION",$C$1=1),$A278,$A278+1),COLUMN('1-DATA'!AN276)),IF($B278="STD. DEVIATION",2,$F$1))))</f>
        <v/>
      </c>
      <c r="AP278" s="1" t="str">
        <f>IF(OR($B278="",AP$7=""),"",IF($B278="MEANS",INDEX('1-DATA'!$1:$1048576,$A277-1,COLUMN('1-DATA'!AO276)),ROUND(INDEX('1-DATA'!$1:$1048576,IF(OR($B278="STD. DEVIATION",$C$1=1),$A278,$A278+1),COLUMN('1-DATA'!AO276)),IF($B278="STD. DEVIATION",2,$F$1))))</f>
        <v/>
      </c>
      <c r="AQ278" s="1" t="str">
        <f>IF(OR($B278="",AQ$7=""),"",IF($B278="MEANS",INDEX('1-DATA'!$1:$1048576,$A277-1,COLUMN('1-DATA'!AP276)),ROUND(INDEX('1-DATA'!$1:$1048576,IF(OR($B278="STD. DEVIATION",$C$1=1),$A278,$A278+1),COLUMN('1-DATA'!AP276)),IF($B278="STD. DEVIATION",2,$F$1))))</f>
        <v/>
      </c>
      <c r="AR278" s="1" t="str">
        <f>IF(OR($B278="",AR$7=""),"",IF($B278="MEANS",INDEX('1-DATA'!$1:$1048576,$A277-1,COLUMN('1-DATA'!AQ276)),ROUND(INDEX('1-DATA'!$1:$1048576,IF(OR($B278="STD. DEVIATION",$C$1=1),$A278,$A278+1),COLUMN('1-DATA'!AQ276)),IF($B278="STD. DEVIATION",2,$F$1))))</f>
        <v/>
      </c>
      <c r="AS278" s="1" t="str">
        <f>IF(OR($B278="",AS$7=""),"",IF($B278="MEANS",INDEX('1-DATA'!$1:$1048576,$A277-1,COLUMN('1-DATA'!AR276)),ROUND(INDEX('1-DATA'!$1:$1048576,IF(OR($B278="STD. DEVIATION",$C$1=1),$A278,$A278+1),COLUMN('1-DATA'!AR276)),IF($B278="STD. DEVIATION",2,$F$1))))</f>
        <v/>
      </c>
      <c r="AT278" s="1" t="str">
        <f>IF(OR($B278="",AT$7=""),"",IF($B278="MEANS",INDEX('1-DATA'!$1:$1048576,$A277-1,COLUMN('1-DATA'!AS276)),ROUND(INDEX('1-DATA'!$1:$1048576,IF(OR($B278="STD. DEVIATION",$C$1=1),$A278,$A278+1),COLUMN('1-DATA'!AS276)),IF($B278="STD. DEVIATION",2,$F$1))))</f>
        <v/>
      </c>
      <c r="AU278" s="1" t="str">
        <f>IF(OR($B278="",AU$7=""),"",IF($B278="MEANS",INDEX('1-DATA'!$1:$1048576,$A277-1,COLUMN('1-DATA'!AT276)),ROUND(INDEX('1-DATA'!$1:$1048576,IF(OR($B278="STD. DEVIATION",$C$1=1),$A278,$A278+1),COLUMN('1-DATA'!AT276)),IF($B278="STD. DEVIATION",2,$F$1))))</f>
        <v/>
      </c>
      <c r="AV278" s="1" t="str">
        <f>IF(OR($B278="",AV$7=""),"",IF($B278="MEANS",INDEX('1-DATA'!$1:$1048576,$A277-1,COLUMN('1-DATA'!AU276)),ROUND(INDEX('1-DATA'!$1:$1048576,IF(OR($B278="STD. DEVIATION",$C$1=1),$A278,$A278+1),COLUMN('1-DATA'!AU276)),IF($B278="STD. DEVIATION",2,$F$1))))</f>
        <v/>
      </c>
      <c r="AW278" s="1" t="str">
        <f>IF(OR($B278="",AW$7=""),"",IF($B278="MEANS",INDEX('1-DATA'!$1:$1048576,$A277-1,COLUMN('1-DATA'!AV276)),ROUND(INDEX('1-DATA'!$1:$1048576,IF(OR($B278="STD. DEVIATION",$C$1=1),$A278,$A278+1),COLUMN('1-DATA'!AV276)),IF($B278="STD. DEVIATION",2,$F$1))))</f>
        <v/>
      </c>
      <c r="AX278" s="1" t="str">
        <f>IF(OR($B278="",AX$7=""),"",IF($B278="MEANS",INDEX('1-DATA'!$1:$1048576,$A277-1,COLUMN('1-DATA'!AW276)),ROUND(INDEX('1-DATA'!$1:$1048576,IF(OR($B278="STD. DEVIATION",$C$1=1),$A278,$A278+1),COLUMN('1-DATA'!AW276)),IF($B278="STD. DEVIATION",2,$F$1))))</f>
        <v/>
      </c>
      <c r="AY278" s="1" t="str">
        <f>IF(OR($B278="",AY$7=""),"",IF($B278="MEANS",INDEX('1-DATA'!$1:$1048576,$A277-1,COLUMN('1-DATA'!AX276)),ROUND(INDEX('1-DATA'!$1:$1048576,IF(OR($B278="STD. DEVIATION",$C$1=1),$A278,$A278+1),COLUMN('1-DATA'!AX276)),IF($B278="STD. DEVIATION",2,$F$1))))</f>
        <v/>
      </c>
      <c r="AZ278" s="1" t="str">
        <f>IF(OR($B278="",AZ$7=""),"",IF($B278="MEANS",INDEX('1-DATA'!$1:$1048576,$A277-1,COLUMN('1-DATA'!AY276)),ROUND(INDEX('1-DATA'!$1:$1048576,IF(OR($B278="STD. DEVIATION",$C$1=1),$A278,$A278+1),COLUMN('1-DATA'!AY276)),IF($B278="STD. DEVIATION",2,$F$1))))</f>
        <v/>
      </c>
    </row>
    <row r="279" spans="1:52" x14ac:dyDescent="0.25">
      <c r="A279" s="11">
        <f t="shared" si="4"/>
        <v>823</v>
      </c>
      <c r="B279" s="1" t="str">
        <f>IF(B278="STD. DEVIATION",INDEX('1-DATA'!$1:$1048576,$A278-1,1),IF(INDEX('1-DATA'!$1:$1048576,$A279,1)&lt;&gt;"",INDEX('1-DATA'!$1:$1048576,$A279,1),""))</f>
        <v/>
      </c>
      <c r="C279" s="1" t="str">
        <f>IF(OR($B279="",C$7=""),"",IF($B279="MEANS",INDEX('1-DATA'!$1:$1048576,$A278-1,COLUMN('1-DATA'!B277)),ROUND(INDEX('1-DATA'!$1:$1048576,IF(OR($B279="STD. DEVIATION",$C$1=1),$A279,$A279+1),COLUMN('1-DATA'!B277)),IF($B279="STD. DEVIATION",2,$F$1))))</f>
        <v/>
      </c>
      <c r="D279" s="1" t="str">
        <f>IF(OR($B279="",D$7=""),"",IF($B279="MEANS",INDEX('1-DATA'!$1:$1048576,$A278-1,COLUMN('1-DATA'!C277)),ROUND(INDEX('1-DATA'!$1:$1048576,IF(OR($B279="STD. DEVIATION",$C$1=1),$A279,$A279+1),COLUMN('1-DATA'!C277)),IF($B279="STD. DEVIATION",2,$F$1))))</f>
        <v/>
      </c>
      <c r="E279" s="1" t="str">
        <f>IF(OR($B279="",E$7=""),"",IF($B279="MEANS",INDEX('1-DATA'!$1:$1048576,$A278-1,COLUMN('1-DATA'!D277)),ROUND(INDEX('1-DATA'!$1:$1048576,IF(OR($B279="STD. DEVIATION",$C$1=1),$A279,$A279+1),COLUMN('1-DATA'!D277)),IF($B279="STD. DEVIATION",2,$F$1))))</f>
        <v/>
      </c>
      <c r="F279" s="1" t="str">
        <f>IF(OR($B279="",F$7=""),"",IF($B279="MEANS",INDEX('1-DATA'!$1:$1048576,$A278-1,COLUMN('1-DATA'!E277)),ROUND(INDEX('1-DATA'!$1:$1048576,IF(OR($B279="STD. DEVIATION",$C$1=1),$A279,$A279+1),COLUMN('1-DATA'!E277)),IF($B279="STD. DEVIATION",2,$F$1))))</f>
        <v/>
      </c>
      <c r="G279" s="1" t="str">
        <f>IF(OR($B279="",G$7=""),"",IF($B279="MEANS",INDEX('1-DATA'!$1:$1048576,$A278-1,COLUMN('1-DATA'!F277)),ROUND(INDEX('1-DATA'!$1:$1048576,IF(OR($B279="STD. DEVIATION",$C$1=1),$A279,$A279+1),COLUMN('1-DATA'!F277)),IF($B279="STD. DEVIATION",2,$F$1))))</f>
        <v/>
      </c>
      <c r="H279" s="1" t="str">
        <f>IF(OR($B279="",H$7=""),"",IF($B279="MEANS",INDEX('1-DATA'!$1:$1048576,$A278-1,COLUMN('1-DATA'!G277)),ROUND(INDEX('1-DATA'!$1:$1048576,IF(OR($B279="STD. DEVIATION",$C$1=1),$A279,$A279+1),COLUMN('1-DATA'!G277)),IF($B279="STD. DEVIATION",2,$F$1))))</f>
        <v/>
      </c>
      <c r="I279" s="1" t="str">
        <f>IF(OR($B279="",I$7=""),"",IF($B279="MEANS",INDEX('1-DATA'!$1:$1048576,$A278-1,COLUMN('1-DATA'!H277)),ROUND(INDEX('1-DATA'!$1:$1048576,IF(OR($B279="STD. DEVIATION",$C$1=1),$A279,$A279+1),COLUMN('1-DATA'!H277)),IF($B279="STD. DEVIATION",2,$F$1))))</f>
        <v/>
      </c>
      <c r="J279" s="1" t="str">
        <f>IF(OR($B279="",J$7=""),"",IF($B279="MEANS",INDEX('1-DATA'!$1:$1048576,$A278-1,COLUMN('1-DATA'!I277)),ROUND(INDEX('1-DATA'!$1:$1048576,IF(OR($B279="STD. DEVIATION",$C$1=1),$A279,$A279+1),COLUMN('1-DATA'!I277)),IF($B279="STD. DEVIATION",2,$F$1))))</f>
        <v/>
      </c>
      <c r="K279" s="1" t="str">
        <f>IF(OR($B279="",K$7=""),"",IF($B279="MEANS",INDEX('1-DATA'!$1:$1048576,$A278-1,COLUMN('1-DATA'!J277)),ROUND(INDEX('1-DATA'!$1:$1048576,IF(OR($B279="STD. DEVIATION",$C$1=1),$A279,$A279+1),COLUMN('1-DATA'!J277)),IF($B279="STD. DEVIATION",2,$F$1))))</f>
        <v/>
      </c>
      <c r="L279" s="1" t="str">
        <f>IF(OR($B279="",L$7=""),"",IF($B279="MEANS",INDEX('1-DATA'!$1:$1048576,$A278-1,COLUMN('1-DATA'!K277)),ROUND(INDEX('1-DATA'!$1:$1048576,IF(OR($B279="STD. DEVIATION",$C$1=1),$A279,$A279+1),COLUMN('1-DATA'!K277)),IF($B279="STD. DEVIATION",2,$F$1))))</f>
        <v/>
      </c>
      <c r="M279" s="1" t="str">
        <f>IF(OR($B279="",M$7=""),"",IF($B279="MEANS",INDEX('1-DATA'!$1:$1048576,$A278-1,COLUMN('1-DATA'!L277)),ROUND(INDEX('1-DATA'!$1:$1048576,IF(OR($B279="STD. DEVIATION",$C$1=1),$A279,$A279+1),COLUMN('1-DATA'!L277)),IF($B279="STD. DEVIATION",2,$F$1))))</f>
        <v/>
      </c>
      <c r="N279" s="1" t="str">
        <f>IF(OR($B279="",N$7=""),"",IF($B279="MEANS",INDEX('1-DATA'!$1:$1048576,$A278-1,COLUMN('1-DATA'!M277)),ROUND(INDEX('1-DATA'!$1:$1048576,IF(OR($B279="STD. DEVIATION",$C$1=1),$A279,$A279+1),COLUMN('1-DATA'!M277)),IF($B279="STD. DEVIATION",2,$F$1))))</f>
        <v/>
      </c>
      <c r="O279" s="1" t="str">
        <f>IF(OR($B279="",O$7=""),"",IF($B279="MEANS",INDEX('1-DATA'!$1:$1048576,$A278-1,COLUMN('1-DATA'!N277)),ROUND(INDEX('1-DATA'!$1:$1048576,IF(OR($B279="STD. DEVIATION",$C$1=1),$A279,$A279+1),COLUMN('1-DATA'!N277)),IF($B279="STD. DEVIATION",2,$F$1))))</f>
        <v/>
      </c>
      <c r="P279" s="1" t="str">
        <f>IF(OR($B279="",P$7=""),"",IF($B279="MEANS",INDEX('1-DATA'!$1:$1048576,$A278-1,COLUMN('1-DATA'!O277)),ROUND(INDEX('1-DATA'!$1:$1048576,IF(OR($B279="STD. DEVIATION",$C$1=1),$A279,$A279+1),COLUMN('1-DATA'!O277)),IF($B279="STD. DEVIATION",2,$F$1))))</f>
        <v/>
      </c>
      <c r="Q279" s="1" t="str">
        <f>IF(OR($B279="",Q$7=""),"",IF($B279="MEANS",INDEX('1-DATA'!$1:$1048576,$A278-1,COLUMN('1-DATA'!P277)),ROUND(INDEX('1-DATA'!$1:$1048576,IF(OR($B279="STD. DEVIATION",$C$1=1),$A279,$A279+1),COLUMN('1-DATA'!P277)),IF($B279="STD. DEVIATION",2,$F$1))))</f>
        <v/>
      </c>
      <c r="R279" s="1" t="str">
        <f>IF(OR($B279="",R$7=""),"",IF($B279="MEANS",INDEX('1-DATA'!$1:$1048576,$A278-1,COLUMN('1-DATA'!Q277)),ROUND(INDEX('1-DATA'!$1:$1048576,IF(OR($B279="STD. DEVIATION",$C$1=1),$A279,$A279+1),COLUMN('1-DATA'!Q277)),IF($B279="STD. DEVIATION",2,$F$1))))</f>
        <v/>
      </c>
      <c r="S279" s="1" t="str">
        <f>IF(OR($B279="",S$7=""),"",IF($B279="MEANS",INDEX('1-DATA'!$1:$1048576,$A278-1,COLUMN('1-DATA'!R277)),ROUND(INDEX('1-DATA'!$1:$1048576,IF(OR($B279="STD. DEVIATION",$C$1=1),$A279,$A279+1),COLUMN('1-DATA'!R277)),IF($B279="STD. DEVIATION",2,$F$1))))</f>
        <v/>
      </c>
      <c r="T279" s="1" t="str">
        <f>IF(OR($B279="",T$7=""),"",IF($B279="MEANS",INDEX('1-DATA'!$1:$1048576,$A278-1,COLUMN('1-DATA'!S277)),ROUND(INDEX('1-DATA'!$1:$1048576,IF(OR($B279="STD. DEVIATION",$C$1=1),$A279,$A279+1),COLUMN('1-DATA'!S277)),IF($B279="STD. DEVIATION",2,$F$1))))</f>
        <v/>
      </c>
      <c r="U279" s="1" t="str">
        <f>IF(OR($B279="",U$7=""),"",IF($B279="MEANS",INDEX('1-DATA'!$1:$1048576,$A278-1,COLUMN('1-DATA'!T277)),ROUND(INDEX('1-DATA'!$1:$1048576,IF(OR($B279="STD. DEVIATION",$C$1=1),$A279,$A279+1),COLUMN('1-DATA'!T277)),IF($B279="STD. DEVIATION",2,$F$1))))</f>
        <v/>
      </c>
      <c r="V279" s="1" t="str">
        <f>IF(OR($B279="",V$7=""),"",IF($B279="MEANS",INDEX('1-DATA'!$1:$1048576,$A278-1,COLUMN('1-DATA'!U277)),ROUND(INDEX('1-DATA'!$1:$1048576,IF(OR($B279="STD. DEVIATION",$C$1=1),$A279,$A279+1),COLUMN('1-DATA'!U277)),IF($B279="STD. DEVIATION",2,$F$1))))</f>
        <v/>
      </c>
      <c r="W279" s="1" t="str">
        <f>IF(OR($B279="",W$7=""),"",IF($B279="MEANS",INDEX('1-DATA'!$1:$1048576,$A278-1,COLUMN('1-DATA'!V277)),ROUND(INDEX('1-DATA'!$1:$1048576,IF(OR($B279="STD. DEVIATION",$C$1=1),$A279,$A279+1),COLUMN('1-DATA'!V277)),IF($B279="STD. DEVIATION",2,$F$1))))</f>
        <v/>
      </c>
      <c r="X279" s="1" t="str">
        <f>IF(OR($B279="",X$7=""),"",IF($B279="MEANS",INDEX('1-DATA'!$1:$1048576,$A278-1,COLUMN('1-DATA'!W277)),ROUND(INDEX('1-DATA'!$1:$1048576,IF(OR($B279="STD. DEVIATION",$C$1=1),$A279,$A279+1),COLUMN('1-DATA'!W277)),IF($B279="STD. DEVIATION",2,$F$1))))</f>
        <v/>
      </c>
      <c r="Y279" s="1" t="str">
        <f>IF(OR($B279="",Y$7=""),"",IF($B279="MEANS",INDEX('1-DATA'!$1:$1048576,$A278-1,COLUMN('1-DATA'!X277)),ROUND(INDEX('1-DATA'!$1:$1048576,IF(OR($B279="STD. DEVIATION",$C$1=1),$A279,$A279+1),COLUMN('1-DATA'!X277)),IF($B279="STD. DEVIATION",2,$F$1))))</f>
        <v/>
      </c>
      <c r="Z279" s="1" t="str">
        <f>IF(OR($B279="",Z$7=""),"",IF($B279="MEANS",INDEX('1-DATA'!$1:$1048576,$A278-1,COLUMN('1-DATA'!Y277)),ROUND(INDEX('1-DATA'!$1:$1048576,IF(OR($B279="STD. DEVIATION",$C$1=1),$A279,$A279+1),COLUMN('1-DATA'!Y277)),IF($B279="STD. DEVIATION",2,$F$1))))</f>
        <v/>
      </c>
      <c r="AA279" s="1" t="str">
        <f>IF(OR($B279="",AA$7=""),"",IF($B279="MEANS",INDEX('1-DATA'!$1:$1048576,$A278-1,COLUMN('1-DATA'!Z277)),ROUND(INDEX('1-DATA'!$1:$1048576,IF(OR($B279="STD. DEVIATION",$C$1=1),$A279,$A279+1),COLUMN('1-DATA'!Z277)),IF($B279="STD. DEVIATION",2,$F$1))))</f>
        <v/>
      </c>
      <c r="AB279" s="1" t="str">
        <f>IF(OR($B279="",AB$7=""),"",IF($B279="MEANS",INDEX('1-DATA'!$1:$1048576,$A278-1,COLUMN('1-DATA'!AA277)),ROUND(INDEX('1-DATA'!$1:$1048576,IF(OR($B279="STD. DEVIATION",$C$1=1),$A279,$A279+1),COLUMN('1-DATA'!AA277)),IF($B279="STD. DEVIATION",2,$F$1))))</f>
        <v/>
      </c>
      <c r="AC279" s="1" t="str">
        <f>IF(OR($B279="",AC$7=""),"",IF($B279="MEANS",INDEX('1-DATA'!$1:$1048576,$A278-1,COLUMN('1-DATA'!AB277)),ROUND(INDEX('1-DATA'!$1:$1048576,IF(OR($B279="STD. DEVIATION",$C$1=1),$A279,$A279+1),COLUMN('1-DATA'!AB277)),IF($B279="STD. DEVIATION",2,$F$1))))</f>
        <v/>
      </c>
      <c r="AD279" s="1" t="str">
        <f>IF(OR($B279="",AD$7=""),"",IF($B279="MEANS",INDEX('1-DATA'!$1:$1048576,$A278-1,COLUMN('1-DATA'!AC277)),ROUND(INDEX('1-DATA'!$1:$1048576,IF(OR($B279="STD. DEVIATION",$C$1=1),$A279,$A279+1),COLUMN('1-DATA'!AC277)),IF($B279="STD. DEVIATION",2,$F$1))))</f>
        <v/>
      </c>
      <c r="AE279" s="1" t="str">
        <f>IF(OR($B279="",AE$7=""),"",IF($B279="MEANS",INDEX('1-DATA'!$1:$1048576,$A278-1,COLUMN('1-DATA'!AD277)),ROUND(INDEX('1-DATA'!$1:$1048576,IF(OR($B279="STD. DEVIATION",$C$1=1),$A279,$A279+1),COLUMN('1-DATA'!AD277)),IF($B279="STD. DEVIATION",2,$F$1))))</f>
        <v/>
      </c>
      <c r="AF279" s="1" t="str">
        <f>IF(OR($B279="",AF$7=""),"",IF($B279="MEANS",INDEX('1-DATA'!$1:$1048576,$A278-1,COLUMN('1-DATA'!AE277)),ROUND(INDEX('1-DATA'!$1:$1048576,IF(OR($B279="STD. DEVIATION",$C$1=1),$A279,$A279+1),COLUMN('1-DATA'!AE277)),IF($B279="STD. DEVIATION",2,$F$1))))</f>
        <v/>
      </c>
      <c r="AG279" s="1" t="str">
        <f>IF(OR($B279="",AG$7=""),"",IF($B279="MEANS",INDEX('1-DATA'!$1:$1048576,$A278-1,COLUMN('1-DATA'!AF277)),ROUND(INDEX('1-DATA'!$1:$1048576,IF(OR($B279="STD. DEVIATION",$C$1=1),$A279,$A279+1),COLUMN('1-DATA'!AF277)),IF($B279="STD. DEVIATION",2,$F$1))))</f>
        <v/>
      </c>
      <c r="AH279" s="1" t="str">
        <f>IF(OR($B279="",AH$7=""),"",IF($B279="MEANS",INDEX('1-DATA'!$1:$1048576,$A278-1,COLUMN('1-DATA'!AG277)),ROUND(INDEX('1-DATA'!$1:$1048576,IF(OR($B279="STD. DEVIATION",$C$1=1),$A279,$A279+1),COLUMN('1-DATA'!AG277)),IF($B279="STD. DEVIATION",2,$F$1))))</f>
        <v/>
      </c>
      <c r="AI279" s="1" t="str">
        <f>IF(OR($B279="",AI$7=""),"",IF($B279="MEANS",INDEX('1-DATA'!$1:$1048576,$A278-1,COLUMN('1-DATA'!AH277)),ROUND(INDEX('1-DATA'!$1:$1048576,IF(OR($B279="STD. DEVIATION",$C$1=1),$A279,$A279+1),COLUMN('1-DATA'!AH277)),IF($B279="STD. DEVIATION",2,$F$1))))</f>
        <v/>
      </c>
      <c r="AJ279" s="1" t="str">
        <f>IF(OR($B279="",AJ$7=""),"",IF($B279="MEANS",INDEX('1-DATA'!$1:$1048576,$A278-1,COLUMN('1-DATA'!AI277)),ROUND(INDEX('1-DATA'!$1:$1048576,IF(OR($B279="STD. DEVIATION",$C$1=1),$A279,$A279+1),COLUMN('1-DATA'!AI277)),IF($B279="STD. DEVIATION",2,$F$1))))</f>
        <v/>
      </c>
      <c r="AK279" s="1" t="str">
        <f>IF(OR($B279="",AK$7=""),"",IF($B279="MEANS",INDEX('1-DATA'!$1:$1048576,$A278-1,COLUMN('1-DATA'!AJ277)),ROUND(INDEX('1-DATA'!$1:$1048576,IF(OR($B279="STD. DEVIATION",$C$1=1),$A279,$A279+1),COLUMN('1-DATA'!AJ277)),IF($B279="STD. DEVIATION",2,$F$1))))</f>
        <v/>
      </c>
      <c r="AL279" s="1" t="str">
        <f>IF(OR($B279="",AL$7=""),"",IF($B279="MEANS",INDEX('1-DATA'!$1:$1048576,$A278-1,COLUMN('1-DATA'!AK277)),ROUND(INDEX('1-DATA'!$1:$1048576,IF(OR($B279="STD. DEVIATION",$C$1=1),$A279,$A279+1),COLUMN('1-DATA'!AK277)),IF($B279="STD. DEVIATION",2,$F$1))))</f>
        <v/>
      </c>
      <c r="AM279" s="1" t="str">
        <f>IF(OR($B279="",AM$7=""),"",IF($B279="MEANS",INDEX('1-DATA'!$1:$1048576,$A278-1,COLUMN('1-DATA'!AL277)),ROUND(INDEX('1-DATA'!$1:$1048576,IF(OR($B279="STD. DEVIATION",$C$1=1),$A279,$A279+1),COLUMN('1-DATA'!AL277)),IF($B279="STD. DEVIATION",2,$F$1))))</f>
        <v/>
      </c>
      <c r="AN279" s="1" t="str">
        <f>IF(OR($B279="",AN$7=""),"",IF($B279="MEANS",INDEX('1-DATA'!$1:$1048576,$A278-1,COLUMN('1-DATA'!AM277)),ROUND(INDEX('1-DATA'!$1:$1048576,IF(OR($B279="STD. DEVIATION",$C$1=1),$A279,$A279+1),COLUMN('1-DATA'!AM277)),IF($B279="STD. DEVIATION",2,$F$1))))</f>
        <v/>
      </c>
      <c r="AO279" s="1" t="str">
        <f>IF(OR($B279="",AO$7=""),"",IF($B279="MEANS",INDEX('1-DATA'!$1:$1048576,$A278-1,COLUMN('1-DATA'!AN277)),ROUND(INDEX('1-DATA'!$1:$1048576,IF(OR($B279="STD. DEVIATION",$C$1=1),$A279,$A279+1),COLUMN('1-DATA'!AN277)),IF($B279="STD. DEVIATION",2,$F$1))))</f>
        <v/>
      </c>
      <c r="AP279" s="1" t="str">
        <f>IF(OR($B279="",AP$7=""),"",IF($B279="MEANS",INDEX('1-DATA'!$1:$1048576,$A278-1,COLUMN('1-DATA'!AO277)),ROUND(INDEX('1-DATA'!$1:$1048576,IF(OR($B279="STD. DEVIATION",$C$1=1),$A279,$A279+1),COLUMN('1-DATA'!AO277)),IF($B279="STD. DEVIATION",2,$F$1))))</f>
        <v/>
      </c>
      <c r="AQ279" s="1" t="str">
        <f>IF(OR($B279="",AQ$7=""),"",IF($B279="MEANS",INDEX('1-DATA'!$1:$1048576,$A278-1,COLUMN('1-DATA'!AP277)),ROUND(INDEX('1-DATA'!$1:$1048576,IF(OR($B279="STD. DEVIATION",$C$1=1),$A279,$A279+1),COLUMN('1-DATA'!AP277)),IF($B279="STD. DEVIATION",2,$F$1))))</f>
        <v/>
      </c>
      <c r="AR279" s="1" t="str">
        <f>IF(OR($B279="",AR$7=""),"",IF($B279="MEANS",INDEX('1-DATA'!$1:$1048576,$A278-1,COLUMN('1-DATA'!AQ277)),ROUND(INDEX('1-DATA'!$1:$1048576,IF(OR($B279="STD. DEVIATION",$C$1=1),$A279,$A279+1),COLUMN('1-DATA'!AQ277)),IF($B279="STD. DEVIATION",2,$F$1))))</f>
        <v/>
      </c>
      <c r="AS279" s="1" t="str">
        <f>IF(OR($B279="",AS$7=""),"",IF($B279="MEANS",INDEX('1-DATA'!$1:$1048576,$A278-1,COLUMN('1-DATA'!AR277)),ROUND(INDEX('1-DATA'!$1:$1048576,IF(OR($B279="STD. DEVIATION",$C$1=1),$A279,$A279+1),COLUMN('1-DATA'!AR277)),IF($B279="STD. DEVIATION",2,$F$1))))</f>
        <v/>
      </c>
      <c r="AT279" s="1" t="str">
        <f>IF(OR($B279="",AT$7=""),"",IF($B279="MEANS",INDEX('1-DATA'!$1:$1048576,$A278-1,COLUMN('1-DATA'!AS277)),ROUND(INDEX('1-DATA'!$1:$1048576,IF(OR($B279="STD. DEVIATION",$C$1=1),$A279,$A279+1),COLUMN('1-DATA'!AS277)),IF($B279="STD. DEVIATION",2,$F$1))))</f>
        <v/>
      </c>
      <c r="AU279" s="1" t="str">
        <f>IF(OR($B279="",AU$7=""),"",IF($B279="MEANS",INDEX('1-DATA'!$1:$1048576,$A278-1,COLUMN('1-DATA'!AT277)),ROUND(INDEX('1-DATA'!$1:$1048576,IF(OR($B279="STD. DEVIATION",$C$1=1),$A279,$A279+1),COLUMN('1-DATA'!AT277)),IF($B279="STD. DEVIATION",2,$F$1))))</f>
        <v/>
      </c>
      <c r="AV279" s="1" t="str">
        <f>IF(OR($B279="",AV$7=""),"",IF($B279="MEANS",INDEX('1-DATA'!$1:$1048576,$A278-1,COLUMN('1-DATA'!AU277)),ROUND(INDEX('1-DATA'!$1:$1048576,IF(OR($B279="STD. DEVIATION",$C$1=1),$A279,$A279+1),COLUMN('1-DATA'!AU277)),IF($B279="STD. DEVIATION",2,$F$1))))</f>
        <v/>
      </c>
      <c r="AW279" s="1" t="str">
        <f>IF(OR($B279="",AW$7=""),"",IF($B279="MEANS",INDEX('1-DATA'!$1:$1048576,$A278-1,COLUMN('1-DATA'!AV277)),ROUND(INDEX('1-DATA'!$1:$1048576,IF(OR($B279="STD. DEVIATION",$C$1=1),$A279,$A279+1),COLUMN('1-DATA'!AV277)),IF($B279="STD. DEVIATION",2,$F$1))))</f>
        <v/>
      </c>
      <c r="AX279" s="1" t="str">
        <f>IF(OR($B279="",AX$7=""),"",IF($B279="MEANS",INDEX('1-DATA'!$1:$1048576,$A278-1,COLUMN('1-DATA'!AW277)),ROUND(INDEX('1-DATA'!$1:$1048576,IF(OR($B279="STD. DEVIATION",$C$1=1),$A279,$A279+1),COLUMN('1-DATA'!AW277)),IF($B279="STD. DEVIATION",2,$F$1))))</f>
        <v/>
      </c>
      <c r="AY279" s="1" t="str">
        <f>IF(OR($B279="",AY$7=""),"",IF($B279="MEANS",INDEX('1-DATA'!$1:$1048576,$A278-1,COLUMN('1-DATA'!AX277)),ROUND(INDEX('1-DATA'!$1:$1048576,IF(OR($B279="STD. DEVIATION",$C$1=1),$A279,$A279+1),COLUMN('1-DATA'!AX277)),IF($B279="STD. DEVIATION",2,$F$1))))</f>
        <v/>
      </c>
      <c r="AZ279" s="1" t="str">
        <f>IF(OR($B279="",AZ$7=""),"",IF($B279="MEANS",INDEX('1-DATA'!$1:$1048576,$A278-1,COLUMN('1-DATA'!AY277)),ROUND(INDEX('1-DATA'!$1:$1048576,IF(OR($B279="STD. DEVIATION",$C$1=1),$A279,$A279+1),COLUMN('1-DATA'!AY277)),IF($B279="STD. DEVIATION",2,$F$1))))</f>
        <v/>
      </c>
    </row>
    <row r="280" spans="1:52" x14ac:dyDescent="0.25">
      <c r="A280" s="11">
        <f t="shared" si="4"/>
        <v>826</v>
      </c>
      <c r="B280" s="1" t="str">
        <f>IF(B279="STD. DEVIATION",INDEX('1-DATA'!$1:$1048576,$A279-1,1),IF(INDEX('1-DATA'!$1:$1048576,$A280,1)&lt;&gt;"",INDEX('1-DATA'!$1:$1048576,$A280,1),""))</f>
        <v/>
      </c>
      <c r="C280" s="1" t="str">
        <f>IF(OR($B280="",C$7=""),"",IF($B280="MEANS",INDEX('1-DATA'!$1:$1048576,$A279-1,COLUMN('1-DATA'!B278)),ROUND(INDEX('1-DATA'!$1:$1048576,IF(OR($B280="STD. DEVIATION",$C$1=1),$A280,$A280+1),COLUMN('1-DATA'!B278)),IF($B280="STD. DEVIATION",2,$F$1))))</f>
        <v/>
      </c>
      <c r="D280" s="1" t="str">
        <f>IF(OR($B280="",D$7=""),"",IF($B280="MEANS",INDEX('1-DATA'!$1:$1048576,$A279-1,COLUMN('1-DATA'!C278)),ROUND(INDEX('1-DATA'!$1:$1048576,IF(OR($B280="STD. DEVIATION",$C$1=1),$A280,$A280+1),COLUMN('1-DATA'!C278)),IF($B280="STD. DEVIATION",2,$F$1))))</f>
        <v/>
      </c>
      <c r="E280" s="1" t="str">
        <f>IF(OR($B280="",E$7=""),"",IF($B280="MEANS",INDEX('1-DATA'!$1:$1048576,$A279-1,COLUMN('1-DATA'!D278)),ROUND(INDEX('1-DATA'!$1:$1048576,IF(OR($B280="STD. DEVIATION",$C$1=1),$A280,$A280+1),COLUMN('1-DATA'!D278)),IF($B280="STD. DEVIATION",2,$F$1))))</f>
        <v/>
      </c>
      <c r="F280" s="1" t="str">
        <f>IF(OR($B280="",F$7=""),"",IF($B280="MEANS",INDEX('1-DATA'!$1:$1048576,$A279-1,COLUMN('1-DATA'!E278)),ROUND(INDEX('1-DATA'!$1:$1048576,IF(OR($B280="STD. DEVIATION",$C$1=1),$A280,$A280+1),COLUMN('1-DATA'!E278)),IF($B280="STD. DEVIATION",2,$F$1))))</f>
        <v/>
      </c>
      <c r="G280" s="1" t="str">
        <f>IF(OR($B280="",G$7=""),"",IF($B280="MEANS",INDEX('1-DATA'!$1:$1048576,$A279-1,COLUMN('1-DATA'!F278)),ROUND(INDEX('1-DATA'!$1:$1048576,IF(OR($B280="STD. DEVIATION",$C$1=1),$A280,$A280+1),COLUMN('1-DATA'!F278)),IF($B280="STD. DEVIATION",2,$F$1))))</f>
        <v/>
      </c>
      <c r="H280" s="1" t="str">
        <f>IF(OR($B280="",H$7=""),"",IF($B280="MEANS",INDEX('1-DATA'!$1:$1048576,$A279-1,COLUMN('1-DATA'!G278)),ROUND(INDEX('1-DATA'!$1:$1048576,IF(OR($B280="STD. DEVIATION",$C$1=1),$A280,$A280+1),COLUMN('1-DATA'!G278)),IF($B280="STD. DEVIATION",2,$F$1))))</f>
        <v/>
      </c>
      <c r="I280" s="1" t="str">
        <f>IF(OR($B280="",I$7=""),"",IF($B280="MEANS",INDEX('1-DATA'!$1:$1048576,$A279-1,COLUMN('1-DATA'!H278)),ROUND(INDEX('1-DATA'!$1:$1048576,IF(OR($B280="STD. DEVIATION",$C$1=1),$A280,$A280+1),COLUMN('1-DATA'!H278)),IF($B280="STD. DEVIATION",2,$F$1))))</f>
        <v/>
      </c>
      <c r="J280" s="1" t="str">
        <f>IF(OR($B280="",J$7=""),"",IF($B280="MEANS",INDEX('1-DATA'!$1:$1048576,$A279-1,COLUMN('1-DATA'!I278)),ROUND(INDEX('1-DATA'!$1:$1048576,IF(OR($B280="STD. DEVIATION",$C$1=1),$A280,$A280+1),COLUMN('1-DATA'!I278)),IF($B280="STD. DEVIATION",2,$F$1))))</f>
        <v/>
      </c>
      <c r="K280" s="1" t="str">
        <f>IF(OR($B280="",K$7=""),"",IF($B280="MEANS",INDEX('1-DATA'!$1:$1048576,$A279-1,COLUMN('1-DATA'!J278)),ROUND(INDEX('1-DATA'!$1:$1048576,IF(OR($B280="STD. DEVIATION",$C$1=1),$A280,$A280+1),COLUMN('1-DATA'!J278)),IF($B280="STD. DEVIATION",2,$F$1))))</f>
        <v/>
      </c>
      <c r="L280" s="1" t="str">
        <f>IF(OR($B280="",L$7=""),"",IF($B280="MEANS",INDEX('1-DATA'!$1:$1048576,$A279-1,COLUMN('1-DATA'!K278)),ROUND(INDEX('1-DATA'!$1:$1048576,IF(OR($B280="STD. DEVIATION",$C$1=1),$A280,$A280+1),COLUMN('1-DATA'!K278)),IF($B280="STD. DEVIATION",2,$F$1))))</f>
        <v/>
      </c>
      <c r="M280" s="1" t="str">
        <f>IF(OR($B280="",M$7=""),"",IF($B280="MEANS",INDEX('1-DATA'!$1:$1048576,$A279-1,COLUMN('1-DATA'!L278)),ROUND(INDEX('1-DATA'!$1:$1048576,IF(OR($B280="STD. DEVIATION",$C$1=1),$A280,$A280+1),COLUMN('1-DATA'!L278)),IF($B280="STD. DEVIATION",2,$F$1))))</f>
        <v/>
      </c>
      <c r="N280" s="1" t="str">
        <f>IF(OR($B280="",N$7=""),"",IF($B280="MEANS",INDEX('1-DATA'!$1:$1048576,$A279-1,COLUMN('1-DATA'!M278)),ROUND(INDEX('1-DATA'!$1:$1048576,IF(OR($B280="STD. DEVIATION",$C$1=1),$A280,$A280+1),COLUMN('1-DATA'!M278)),IF($B280="STD. DEVIATION",2,$F$1))))</f>
        <v/>
      </c>
      <c r="O280" s="1" t="str">
        <f>IF(OR($B280="",O$7=""),"",IF($B280="MEANS",INDEX('1-DATA'!$1:$1048576,$A279-1,COLUMN('1-DATA'!N278)),ROUND(INDEX('1-DATA'!$1:$1048576,IF(OR($B280="STD. DEVIATION",$C$1=1),$A280,$A280+1),COLUMN('1-DATA'!N278)),IF($B280="STD. DEVIATION",2,$F$1))))</f>
        <v/>
      </c>
      <c r="P280" s="1" t="str">
        <f>IF(OR($B280="",P$7=""),"",IF($B280="MEANS",INDEX('1-DATA'!$1:$1048576,$A279-1,COLUMN('1-DATA'!O278)),ROUND(INDEX('1-DATA'!$1:$1048576,IF(OR($B280="STD. DEVIATION",$C$1=1),$A280,$A280+1),COLUMN('1-DATA'!O278)),IF($B280="STD. DEVIATION",2,$F$1))))</f>
        <v/>
      </c>
      <c r="Q280" s="1" t="str">
        <f>IF(OR($B280="",Q$7=""),"",IF($B280="MEANS",INDEX('1-DATA'!$1:$1048576,$A279-1,COLUMN('1-DATA'!P278)),ROUND(INDEX('1-DATA'!$1:$1048576,IF(OR($B280="STD. DEVIATION",$C$1=1),$A280,$A280+1),COLUMN('1-DATA'!P278)),IF($B280="STD. DEVIATION",2,$F$1))))</f>
        <v/>
      </c>
      <c r="R280" s="1" t="str">
        <f>IF(OR($B280="",R$7=""),"",IF($B280="MEANS",INDEX('1-DATA'!$1:$1048576,$A279-1,COLUMN('1-DATA'!Q278)),ROUND(INDEX('1-DATA'!$1:$1048576,IF(OR($B280="STD. DEVIATION",$C$1=1),$A280,$A280+1),COLUMN('1-DATA'!Q278)),IF($B280="STD. DEVIATION",2,$F$1))))</f>
        <v/>
      </c>
      <c r="S280" s="1" t="str">
        <f>IF(OR($B280="",S$7=""),"",IF($B280="MEANS",INDEX('1-DATA'!$1:$1048576,$A279-1,COLUMN('1-DATA'!R278)),ROUND(INDEX('1-DATA'!$1:$1048576,IF(OR($B280="STD. DEVIATION",$C$1=1),$A280,$A280+1),COLUMN('1-DATA'!R278)),IF($B280="STD. DEVIATION",2,$F$1))))</f>
        <v/>
      </c>
      <c r="T280" s="1" t="str">
        <f>IF(OR($B280="",T$7=""),"",IF($B280="MEANS",INDEX('1-DATA'!$1:$1048576,$A279-1,COLUMN('1-DATA'!S278)),ROUND(INDEX('1-DATA'!$1:$1048576,IF(OR($B280="STD. DEVIATION",$C$1=1),$A280,$A280+1),COLUMN('1-DATA'!S278)),IF($B280="STD. DEVIATION",2,$F$1))))</f>
        <v/>
      </c>
      <c r="U280" s="1" t="str">
        <f>IF(OR($B280="",U$7=""),"",IF($B280="MEANS",INDEX('1-DATA'!$1:$1048576,$A279-1,COLUMN('1-DATA'!T278)),ROUND(INDEX('1-DATA'!$1:$1048576,IF(OR($B280="STD. DEVIATION",$C$1=1),$A280,$A280+1),COLUMN('1-DATA'!T278)),IF($B280="STD. DEVIATION",2,$F$1))))</f>
        <v/>
      </c>
      <c r="V280" s="1" t="str">
        <f>IF(OR($B280="",V$7=""),"",IF($B280="MEANS",INDEX('1-DATA'!$1:$1048576,$A279-1,COLUMN('1-DATA'!U278)),ROUND(INDEX('1-DATA'!$1:$1048576,IF(OR($B280="STD. DEVIATION",$C$1=1),$A280,$A280+1),COLUMN('1-DATA'!U278)),IF($B280="STD. DEVIATION",2,$F$1))))</f>
        <v/>
      </c>
      <c r="W280" s="1" t="str">
        <f>IF(OR($B280="",W$7=""),"",IF($B280="MEANS",INDEX('1-DATA'!$1:$1048576,$A279-1,COLUMN('1-DATA'!V278)),ROUND(INDEX('1-DATA'!$1:$1048576,IF(OR($B280="STD. DEVIATION",$C$1=1),$A280,$A280+1),COLUMN('1-DATA'!V278)),IF($B280="STD. DEVIATION",2,$F$1))))</f>
        <v/>
      </c>
      <c r="X280" s="1" t="str">
        <f>IF(OR($B280="",X$7=""),"",IF($B280="MEANS",INDEX('1-DATA'!$1:$1048576,$A279-1,COLUMN('1-DATA'!W278)),ROUND(INDEX('1-DATA'!$1:$1048576,IF(OR($B280="STD. DEVIATION",$C$1=1),$A280,$A280+1),COLUMN('1-DATA'!W278)),IF($B280="STD. DEVIATION",2,$F$1))))</f>
        <v/>
      </c>
      <c r="Y280" s="1" t="str">
        <f>IF(OR($B280="",Y$7=""),"",IF($B280="MEANS",INDEX('1-DATA'!$1:$1048576,$A279-1,COLUMN('1-DATA'!X278)),ROUND(INDEX('1-DATA'!$1:$1048576,IF(OR($B280="STD. DEVIATION",$C$1=1),$A280,$A280+1),COLUMN('1-DATA'!X278)),IF($B280="STD. DEVIATION",2,$F$1))))</f>
        <v/>
      </c>
      <c r="Z280" s="1" t="str">
        <f>IF(OR($B280="",Z$7=""),"",IF($B280="MEANS",INDEX('1-DATA'!$1:$1048576,$A279-1,COLUMN('1-DATA'!Y278)),ROUND(INDEX('1-DATA'!$1:$1048576,IF(OR($B280="STD. DEVIATION",$C$1=1),$A280,$A280+1),COLUMN('1-DATA'!Y278)),IF($B280="STD. DEVIATION",2,$F$1))))</f>
        <v/>
      </c>
      <c r="AA280" s="1" t="str">
        <f>IF(OR($B280="",AA$7=""),"",IF($B280="MEANS",INDEX('1-DATA'!$1:$1048576,$A279-1,COLUMN('1-DATA'!Z278)),ROUND(INDEX('1-DATA'!$1:$1048576,IF(OR($B280="STD. DEVIATION",$C$1=1),$A280,$A280+1),COLUMN('1-DATA'!Z278)),IF($B280="STD. DEVIATION",2,$F$1))))</f>
        <v/>
      </c>
      <c r="AB280" s="1" t="str">
        <f>IF(OR($B280="",AB$7=""),"",IF($B280="MEANS",INDEX('1-DATA'!$1:$1048576,$A279-1,COLUMN('1-DATA'!AA278)),ROUND(INDEX('1-DATA'!$1:$1048576,IF(OR($B280="STD. DEVIATION",$C$1=1),$A280,$A280+1),COLUMN('1-DATA'!AA278)),IF($B280="STD. DEVIATION",2,$F$1))))</f>
        <v/>
      </c>
      <c r="AC280" s="1" t="str">
        <f>IF(OR($B280="",AC$7=""),"",IF($B280="MEANS",INDEX('1-DATA'!$1:$1048576,$A279-1,COLUMN('1-DATA'!AB278)),ROUND(INDEX('1-DATA'!$1:$1048576,IF(OR($B280="STD. DEVIATION",$C$1=1),$A280,$A280+1),COLUMN('1-DATA'!AB278)),IF($B280="STD. DEVIATION",2,$F$1))))</f>
        <v/>
      </c>
      <c r="AD280" s="1" t="str">
        <f>IF(OR($B280="",AD$7=""),"",IF($B280="MEANS",INDEX('1-DATA'!$1:$1048576,$A279-1,COLUMN('1-DATA'!AC278)),ROUND(INDEX('1-DATA'!$1:$1048576,IF(OR($B280="STD. DEVIATION",$C$1=1),$A280,$A280+1),COLUMN('1-DATA'!AC278)),IF($B280="STD. DEVIATION",2,$F$1))))</f>
        <v/>
      </c>
      <c r="AE280" s="1" t="str">
        <f>IF(OR($B280="",AE$7=""),"",IF($B280="MEANS",INDEX('1-DATA'!$1:$1048576,$A279-1,COLUMN('1-DATA'!AD278)),ROUND(INDEX('1-DATA'!$1:$1048576,IF(OR($B280="STD. DEVIATION",$C$1=1),$A280,$A280+1),COLUMN('1-DATA'!AD278)),IF($B280="STD. DEVIATION",2,$F$1))))</f>
        <v/>
      </c>
      <c r="AF280" s="1" t="str">
        <f>IF(OR($B280="",AF$7=""),"",IF($B280="MEANS",INDEX('1-DATA'!$1:$1048576,$A279-1,COLUMN('1-DATA'!AE278)),ROUND(INDEX('1-DATA'!$1:$1048576,IF(OR($B280="STD. DEVIATION",$C$1=1),$A280,$A280+1),COLUMN('1-DATA'!AE278)),IF($B280="STD. DEVIATION",2,$F$1))))</f>
        <v/>
      </c>
      <c r="AG280" s="1" t="str">
        <f>IF(OR($B280="",AG$7=""),"",IF($B280="MEANS",INDEX('1-DATA'!$1:$1048576,$A279-1,COLUMN('1-DATA'!AF278)),ROUND(INDEX('1-DATA'!$1:$1048576,IF(OR($B280="STD. DEVIATION",$C$1=1),$A280,$A280+1),COLUMN('1-DATA'!AF278)),IF($B280="STD. DEVIATION",2,$F$1))))</f>
        <v/>
      </c>
      <c r="AH280" s="1" t="str">
        <f>IF(OR($B280="",AH$7=""),"",IF($B280="MEANS",INDEX('1-DATA'!$1:$1048576,$A279-1,COLUMN('1-DATA'!AG278)),ROUND(INDEX('1-DATA'!$1:$1048576,IF(OR($B280="STD. DEVIATION",$C$1=1),$A280,$A280+1),COLUMN('1-DATA'!AG278)),IF($B280="STD. DEVIATION",2,$F$1))))</f>
        <v/>
      </c>
      <c r="AI280" s="1" t="str">
        <f>IF(OR($B280="",AI$7=""),"",IF($B280="MEANS",INDEX('1-DATA'!$1:$1048576,$A279-1,COLUMN('1-DATA'!AH278)),ROUND(INDEX('1-DATA'!$1:$1048576,IF(OR($B280="STD. DEVIATION",$C$1=1),$A280,$A280+1),COLUMN('1-DATA'!AH278)),IF($B280="STD. DEVIATION",2,$F$1))))</f>
        <v/>
      </c>
      <c r="AJ280" s="1" t="str">
        <f>IF(OR($B280="",AJ$7=""),"",IF($B280="MEANS",INDEX('1-DATA'!$1:$1048576,$A279-1,COLUMN('1-DATA'!AI278)),ROUND(INDEX('1-DATA'!$1:$1048576,IF(OR($B280="STD. DEVIATION",$C$1=1),$A280,$A280+1),COLUMN('1-DATA'!AI278)),IF($B280="STD. DEVIATION",2,$F$1))))</f>
        <v/>
      </c>
      <c r="AK280" s="1" t="str">
        <f>IF(OR($B280="",AK$7=""),"",IF($B280="MEANS",INDEX('1-DATA'!$1:$1048576,$A279-1,COLUMN('1-DATA'!AJ278)),ROUND(INDEX('1-DATA'!$1:$1048576,IF(OR($B280="STD. DEVIATION",$C$1=1),$A280,$A280+1),COLUMN('1-DATA'!AJ278)),IF($B280="STD. DEVIATION",2,$F$1))))</f>
        <v/>
      </c>
      <c r="AL280" s="1" t="str">
        <f>IF(OR($B280="",AL$7=""),"",IF($B280="MEANS",INDEX('1-DATA'!$1:$1048576,$A279-1,COLUMN('1-DATA'!AK278)),ROUND(INDEX('1-DATA'!$1:$1048576,IF(OR($B280="STD. DEVIATION",$C$1=1),$A280,$A280+1),COLUMN('1-DATA'!AK278)),IF($B280="STD. DEVIATION",2,$F$1))))</f>
        <v/>
      </c>
      <c r="AM280" s="1" t="str">
        <f>IF(OR($B280="",AM$7=""),"",IF($B280="MEANS",INDEX('1-DATA'!$1:$1048576,$A279-1,COLUMN('1-DATA'!AL278)),ROUND(INDEX('1-DATA'!$1:$1048576,IF(OR($B280="STD. DEVIATION",$C$1=1),$A280,$A280+1),COLUMN('1-DATA'!AL278)),IF($B280="STD. DEVIATION",2,$F$1))))</f>
        <v/>
      </c>
      <c r="AN280" s="1" t="str">
        <f>IF(OR($B280="",AN$7=""),"",IF($B280="MEANS",INDEX('1-DATA'!$1:$1048576,$A279-1,COLUMN('1-DATA'!AM278)),ROUND(INDEX('1-DATA'!$1:$1048576,IF(OR($B280="STD. DEVIATION",$C$1=1),$A280,$A280+1),COLUMN('1-DATA'!AM278)),IF($B280="STD. DEVIATION",2,$F$1))))</f>
        <v/>
      </c>
      <c r="AO280" s="1" t="str">
        <f>IF(OR($B280="",AO$7=""),"",IF($B280="MEANS",INDEX('1-DATA'!$1:$1048576,$A279-1,COLUMN('1-DATA'!AN278)),ROUND(INDEX('1-DATA'!$1:$1048576,IF(OR($B280="STD. DEVIATION",$C$1=1),$A280,$A280+1),COLUMN('1-DATA'!AN278)),IF($B280="STD. DEVIATION",2,$F$1))))</f>
        <v/>
      </c>
      <c r="AP280" s="1" t="str">
        <f>IF(OR($B280="",AP$7=""),"",IF($B280="MEANS",INDEX('1-DATA'!$1:$1048576,$A279-1,COLUMN('1-DATA'!AO278)),ROUND(INDEX('1-DATA'!$1:$1048576,IF(OR($B280="STD. DEVIATION",$C$1=1),$A280,$A280+1),COLUMN('1-DATA'!AO278)),IF($B280="STD. DEVIATION",2,$F$1))))</f>
        <v/>
      </c>
      <c r="AQ280" s="1" t="str">
        <f>IF(OR($B280="",AQ$7=""),"",IF($B280="MEANS",INDEX('1-DATA'!$1:$1048576,$A279-1,COLUMN('1-DATA'!AP278)),ROUND(INDEX('1-DATA'!$1:$1048576,IF(OR($B280="STD. DEVIATION",$C$1=1),$A280,$A280+1),COLUMN('1-DATA'!AP278)),IF($B280="STD. DEVIATION",2,$F$1))))</f>
        <v/>
      </c>
      <c r="AR280" s="1" t="str">
        <f>IF(OR($B280="",AR$7=""),"",IF($B280="MEANS",INDEX('1-DATA'!$1:$1048576,$A279-1,COLUMN('1-DATA'!AQ278)),ROUND(INDEX('1-DATA'!$1:$1048576,IF(OR($B280="STD. DEVIATION",$C$1=1),$A280,$A280+1),COLUMN('1-DATA'!AQ278)),IF($B280="STD. DEVIATION",2,$F$1))))</f>
        <v/>
      </c>
      <c r="AS280" s="1" t="str">
        <f>IF(OR($B280="",AS$7=""),"",IF($B280="MEANS",INDEX('1-DATA'!$1:$1048576,$A279-1,COLUMN('1-DATA'!AR278)),ROUND(INDEX('1-DATA'!$1:$1048576,IF(OR($B280="STD. DEVIATION",$C$1=1),$A280,$A280+1),COLUMN('1-DATA'!AR278)),IF($B280="STD. DEVIATION",2,$F$1))))</f>
        <v/>
      </c>
      <c r="AT280" s="1" t="str">
        <f>IF(OR($B280="",AT$7=""),"",IF($B280="MEANS",INDEX('1-DATA'!$1:$1048576,$A279-1,COLUMN('1-DATA'!AS278)),ROUND(INDEX('1-DATA'!$1:$1048576,IF(OR($B280="STD. DEVIATION",$C$1=1),$A280,$A280+1),COLUMN('1-DATA'!AS278)),IF($B280="STD. DEVIATION",2,$F$1))))</f>
        <v/>
      </c>
      <c r="AU280" s="1" t="str">
        <f>IF(OR($B280="",AU$7=""),"",IF($B280="MEANS",INDEX('1-DATA'!$1:$1048576,$A279-1,COLUMN('1-DATA'!AT278)),ROUND(INDEX('1-DATA'!$1:$1048576,IF(OR($B280="STD. DEVIATION",$C$1=1),$A280,$A280+1),COLUMN('1-DATA'!AT278)),IF($B280="STD. DEVIATION",2,$F$1))))</f>
        <v/>
      </c>
      <c r="AV280" s="1" t="str">
        <f>IF(OR($B280="",AV$7=""),"",IF($B280="MEANS",INDEX('1-DATA'!$1:$1048576,$A279-1,COLUMN('1-DATA'!AU278)),ROUND(INDEX('1-DATA'!$1:$1048576,IF(OR($B280="STD. DEVIATION",$C$1=1),$A280,$A280+1),COLUMN('1-DATA'!AU278)),IF($B280="STD. DEVIATION",2,$F$1))))</f>
        <v/>
      </c>
      <c r="AW280" s="1" t="str">
        <f>IF(OR($B280="",AW$7=""),"",IF($B280="MEANS",INDEX('1-DATA'!$1:$1048576,$A279-1,COLUMN('1-DATA'!AV278)),ROUND(INDEX('1-DATA'!$1:$1048576,IF(OR($B280="STD. DEVIATION",$C$1=1),$A280,$A280+1),COLUMN('1-DATA'!AV278)),IF($B280="STD. DEVIATION",2,$F$1))))</f>
        <v/>
      </c>
      <c r="AX280" s="1" t="str">
        <f>IF(OR($B280="",AX$7=""),"",IF($B280="MEANS",INDEX('1-DATA'!$1:$1048576,$A279-1,COLUMN('1-DATA'!AW278)),ROUND(INDEX('1-DATA'!$1:$1048576,IF(OR($B280="STD. DEVIATION",$C$1=1),$A280,$A280+1),COLUMN('1-DATA'!AW278)),IF($B280="STD. DEVIATION",2,$F$1))))</f>
        <v/>
      </c>
      <c r="AY280" s="1" t="str">
        <f>IF(OR($B280="",AY$7=""),"",IF($B280="MEANS",INDEX('1-DATA'!$1:$1048576,$A279-1,COLUMN('1-DATA'!AX278)),ROUND(INDEX('1-DATA'!$1:$1048576,IF(OR($B280="STD. DEVIATION",$C$1=1),$A280,$A280+1),COLUMN('1-DATA'!AX278)),IF($B280="STD. DEVIATION",2,$F$1))))</f>
        <v/>
      </c>
      <c r="AZ280" s="1" t="str">
        <f>IF(OR($B280="",AZ$7=""),"",IF($B280="MEANS",INDEX('1-DATA'!$1:$1048576,$A279-1,COLUMN('1-DATA'!AY278)),ROUND(INDEX('1-DATA'!$1:$1048576,IF(OR($B280="STD. DEVIATION",$C$1=1),$A280,$A280+1),COLUMN('1-DATA'!AY278)),IF($B280="STD. DEVIATION",2,$F$1))))</f>
        <v/>
      </c>
    </row>
    <row r="281" spans="1:52" x14ac:dyDescent="0.25">
      <c r="A281" s="11">
        <f t="shared" si="4"/>
        <v>829</v>
      </c>
      <c r="B281" s="1" t="str">
        <f>IF(B280="STD. DEVIATION",INDEX('1-DATA'!$1:$1048576,$A280-1,1),IF(INDEX('1-DATA'!$1:$1048576,$A281,1)&lt;&gt;"",INDEX('1-DATA'!$1:$1048576,$A281,1),""))</f>
        <v/>
      </c>
      <c r="C281" s="1" t="str">
        <f>IF(OR($B281="",C$7=""),"",IF($B281="MEANS",INDEX('1-DATA'!$1:$1048576,$A280-1,COLUMN('1-DATA'!B279)),ROUND(INDEX('1-DATA'!$1:$1048576,IF(OR($B281="STD. DEVIATION",$C$1=1),$A281,$A281+1),COLUMN('1-DATA'!B279)),IF($B281="STD. DEVIATION",2,$F$1))))</f>
        <v/>
      </c>
      <c r="D281" s="1" t="str">
        <f>IF(OR($B281="",D$7=""),"",IF($B281="MEANS",INDEX('1-DATA'!$1:$1048576,$A280-1,COLUMN('1-DATA'!C279)),ROUND(INDEX('1-DATA'!$1:$1048576,IF(OR($B281="STD. DEVIATION",$C$1=1),$A281,$A281+1),COLUMN('1-DATA'!C279)),IF($B281="STD. DEVIATION",2,$F$1))))</f>
        <v/>
      </c>
      <c r="E281" s="1" t="str">
        <f>IF(OR($B281="",E$7=""),"",IF($B281="MEANS",INDEX('1-DATA'!$1:$1048576,$A280-1,COLUMN('1-DATA'!D279)),ROUND(INDEX('1-DATA'!$1:$1048576,IF(OR($B281="STD. DEVIATION",$C$1=1),$A281,$A281+1),COLUMN('1-DATA'!D279)),IF($B281="STD. DEVIATION",2,$F$1))))</f>
        <v/>
      </c>
      <c r="F281" s="1" t="str">
        <f>IF(OR($B281="",F$7=""),"",IF($B281="MEANS",INDEX('1-DATA'!$1:$1048576,$A280-1,COLUMN('1-DATA'!E279)),ROUND(INDEX('1-DATA'!$1:$1048576,IF(OR($B281="STD. DEVIATION",$C$1=1),$A281,$A281+1),COLUMN('1-DATA'!E279)),IF($B281="STD. DEVIATION",2,$F$1))))</f>
        <v/>
      </c>
      <c r="G281" s="1" t="str">
        <f>IF(OR($B281="",G$7=""),"",IF($B281="MEANS",INDEX('1-DATA'!$1:$1048576,$A280-1,COLUMN('1-DATA'!F279)),ROUND(INDEX('1-DATA'!$1:$1048576,IF(OR($B281="STD. DEVIATION",$C$1=1),$A281,$A281+1),COLUMN('1-DATA'!F279)),IF($B281="STD. DEVIATION",2,$F$1))))</f>
        <v/>
      </c>
      <c r="H281" s="1" t="str">
        <f>IF(OR($B281="",H$7=""),"",IF($B281="MEANS",INDEX('1-DATA'!$1:$1048576,$A280-1,COLUMN('1-DATA'!G279)),ROUND(INDEX('1-DATA'!$1:$1048576,IF(OR($B281="STD. DEVIATION",$C$1=1),$A281,$A281+1),COLUMN('1-DATA'!G279)),IF($B281="STD. DEVIATION",2,$F$1))))</f>
        <v/>
      </c>
      <c r="I281" s="1" t="str">
        <f>IF(OR($B281="",I$7=""),"",IF($B281="MEANS",INDEX('1-DATA'!$1:$1048576,$A280-1,COLUMN('1-DATA'!H279)),ROUND(INDEX('1-DATA'!$1:$1048576,IF(OR($B281="STD. DEVIATION",$C$1=1),$A281,$A281+1),COLUMN('1-DATA'!H279)),IF($B281="STD. DEVIATION",2,$F$1))))</f>
        <v/>
      </c>
      <c r="J281" s="1" t="str">
        <f>IF(OR($B281="",J$7=""),"",IF($B281="MEANS",INDEX('1-DATA'!$1:$1048576,$A280-1,COLUMN('1-DATA'!I279)),ROUND(INDEX('1-DATA'!$1:$1048576,IF(OR($B281="STD. DEVIATION",$C$1=1),$A281,$A281+1),COLUMN('1-DATA'!I279)),IF($B281="STD. DEVIATION",2,$F$1))))</f>
        <v/>
      </c>
      <c r="K281" s="1" t="str">
        <f>IF(OR($B281="",K$7=""),"",IF($B281="MEANS",INDEX('1-DATA'!$1:$1048576,$A280-1,COLUMN('1-DATA'!J279)),ROUND(INDEX('1-DATA'!$1:$1048576,IF(OR($B281="STD. DEVIATION",$C$1=1),$A281,$A281+1),COLUMN('1-DATA'!J279)),IF($B281="STD. DEVIATION",2,$F$1))))</f>
        <v/>
      </c>
      <c r="L281" s="1" t="str">
        <f>IF(OR($B281="",L$7=""),"",IF($B281="MEANS",INDEX('1-DATA'!$1:$1048576,$A280-1,COLUMN('1-DATA'!K279)),ROUND(INDEX('1-DATA'!$1:$1048576,IF(OR($B281="STD. DEVIATION",$C$1=1),$A281,$A281+1),COLUMN('1-DATA'!K279)),IF($B281="STD. DEVIATION",2,$F$1))))</f>
        <v/>
      </c>
      <c r="M281" s="1" t="str">
        <f>IF(OR($B281="",M$7=""),"",IF($B281="MEANS",INDEX('1-DATA'!$1:$1048576,$A280-1,COLUMN('1-DATA'!L279)),ROUND(INDEX('1-DATA'!$1:$1048576,IF(OR($B281="STD. DEVIATION",$C$1=1),$A281,$A281+1),COLUMN('1-DATA'!L279)),IF($B281="STD. DEVIATION",2,$F$1))))</f>
        <v/>
      </c>
      <c r="N281" s="1" t="str">
        <f>IF(OR($B281="",N$7=""),"",IF($B281="MEANS",INDEX('1-DATA'!$1:$1048576,$A280-1,COLUMN('1-DATA'!M279)),ROUND(INDEX('1-DATA'!$1:$1048576,IF(OR($B281="STD. DEVIATION",$C$1=1),$A281,$A281+1),COLUMN('1-DATA'!M279)),IF($B281="STD. DEVIATION",2,$F$1))))</f>
        <v/>
      </c>
      <c r="O281" s="1" t="str">
        <f>IF(OR($B281="",O$7=""),"",IF($B281="MEANS",INDEX('1-DATA'!$1:$1048576,$A280-1,COLUMN('1-DATA'!N279)),ROUND(INDEX('1-DATA'!$1:$1048576,IF(OR($B281="STD. DEVIATION",$C$1=1),$A281,$A281+1),COLUMN('1-DATA'!N279)),IF($B281="STD. DEVIATION",2,$F$1))))</f>
        <v/>
      </c>
      <c r="P281" s="1" t="str">
        <f>IF(OR($B281="",P$7=""),"",IF($B281="MEANS",INDEX('1-DATA'!$1:$1048576,$A280-1,COLUMN('1-DATA'!O279)),ROUND(INDEX('1-DATA'!$1:$1048576,IF(OR($B281="STD. DEVIATION",$C$1=1),$A281,$A281+1),COLUMN('1-DATA'!O279)),IF($B281="STD. DEVIATION",2,$F$1))))</f>
        <v/>
      </c>
      <c r="Q281" s="1" t="str">
        <f>IF(OR($B281="",Q$7=""),"",IF($B281="MEANS",INDEX('1-DATA'!$1:$1048576,$A280-1,COLUMN('1-DATA'!P279)),ROUND(INDEX('1-DATA'!$1:$1048576,IF(OR($B281="STD. DEVIATION",$C$1=1),$A281,$A281+1),COLUMN('1-DATA'!P279)),IF($B281="STD. DEVIATION",2,$F$1))))</f>
        <v/>
      </c>
      <c r="R281" s="1" t="str">
        <f>IF(OR($B281="",R$7=""),"",IF($B281="MEANS",INDEX('1-DATA'!$1:$1048576,$A280-1,COLUMN('1-DATA'!Q279)),ROUND(INDEX('1-DATA'!$1:$1048576,IF(OR($B281="STD. DEVIATION",$C$1=1),$A281,$A281+1),COLUMN('1-DATA'!Q279)),IF($B281="STD. DEVIATION",2,$F$1))))</f>
        <v/>
      </c>
      <c r="S281" s="1" t="str">
        <f>IF(OR($B281="",S$7=""),"",IF($B281="MEANS",INDEX('1-DATA'!$1:$1048576,$A280-1,COLUMN('1-DATA'!R279)),ROUND(INDEX('1-DATA'!$1:$1048576,IF(OR($B281="STD. DEVIATION",$C$1=1),$A281,$A281+1),COLUMN('1-DATA'!R279)),IF($B281="STD. DEVIATION",2,$F$1))))</f>
        <v/>
      </c>
      <c r="T281" s="1" t="str">
        <f>IF(OR($B281="",T$7=""),"",IF($B281="MEANS",INDEX('1-DATA'!$1:$1048576,$A280-1,COLUMN('1-DATA'!S279)),ROUND(INDEX('1-DATA'!$1:$1048576,IF(OR($B281="STD. DEVIATION",$C$1=1),$A281,$A281+1),COLUMN('1-DATA'!S279)),IF($B281="STD. DEVIATION",2,$F$1))))</f>
        <v/>
      </c>
      <c r="U281" s="1" t="str">
        <f>IF(OR($B281="",U$7=""),"",IF($B281="MEANS",INDEX('1-DATA'!$1:$1048576,$A280-1,COLUMN('1-DATA'!T279)),ROUND(INDEX('1-DATA'!$1:$1048576,IF(OR($B281="STD. DEVIATION",$C$1=1),$A281,$A281+1),COLUMN('1-DATA'!T279)),IF($B281="STD. DEVIATION",2,$F$1))))</f>
        <v/>
      </c>
      <c r="V281" s="1" t="str">
        <f>IF(OR($B281="",V$7=""),"",IF($B281="MEANS",INDEX('1-DATA'!$1:$1048576,$A280-1,COLUMN('1-DATA'!U279)),ROUND(INDEX('1-DATA'!$1:$1048576,IF(OR($B281="STD. DEVIATION",$C$1=1),$A281,$A281+1),COLUMN('1-DATA'!U279)),IF($B281="STD. DEVIATION",2,$F$1))))</f>
        <v/>
      </c>
      <c r="W281" s="1" t="str">
        <f>IF(OR($B281="",W$7=""),"",IF($B281="MEANS",INDEX('1-DATA'!$1:$1048576,$A280-1,COLUMN('1-DATA'!V279)),ROUND(INDEX('1-DATA'!$1:$1048576,IF(OR($B281="STD. DEVIATION",$C$1=1),$A281,$A281+1),COLUMN('1-DATA'!V279)),IF($B281="STD. DEVIATION",2,$F$1))))</f>
        <v/>
      </c>
      <c r="X281" s="1" t="str">
        <f>IF(OR($B281="",X$7=""),"",IF($B281="MEANS",INDEX('1-DATA'!$1:$1048576,$A280-1,COLUMN('1-DATA'!W279)),ROUND(INDEX('1-DATA'!$1:$1048576,IF(OR($B281="STD. DEVIATION",$C$1=1),$A281,$A281+1),COLUMN('1-DATA'!W279)),IF($B281="STD. DEVIATION",2,$F$1))))</f>
        <v/>
      </c>
      <c r="Y281" s="1" t="str">
        <f>IF(OR($B281="",Y$7=""),"",IF($B281="MEANS",INDEX('1-DATA'!$1:$1048576,$A280-1,COLUMN('1-DATA'!X279)),ROUND(INDEX('1-DATA'!$1:$1048576,IF(OR($B281="STD. DEVIATION",$C$1=1),$A281,$A281+1),COLUMN('1-DATA'!X279)),IF($B281="STD. DEVIATION",2,$F$1))))</f>
        <v/>
      </c>
      <c r="Z281" s="1" t="str">
        <f>IF(OR($B281="",Z$7=""),"",IF($B281="MEANS",INDEX('1-DATA'!$1:$1048576,$A280-1,COLUMN('1-DATA'!Y279)),ROUND(INDEX('1-DATA'!$1:$1048576,IF(OR($B281="STD. DEVIATION",$C$1=1),$A281,$A281+1),COLUMN('1-DATA'!Y279)),IF($B281="STD. DEVIATION",2,$F$1))))</f>
        <v/>
      </c>
      <c r="AA281" s="1" t="str">
        <f>IF(OR($B281="",AA$7=""),"",IF($B281="MEANS",INDEX('1-DATA'!$1:$1048576,$A280-1,COLUMN('1-DATA'!Z279)),ROUND(INDEX('1-DATA'!$1:$1048576,IF(OR($B281="STD. DEVIATION",$C$1=1),$A281,$A281+1),COLUMN('1-DATA'!Z279)),IF($B281="STD. DEVIATION",2,$F$1))))</f>
        <v/>
      </c>
      <c r="AB281" s="1" t="str">
        <f>IF(OR($B281="",AB$7=""),"",IF($B281="MEANS",INDEX('1-DATA'!$1:$1048576,$A280-1,COLUMN('1-DATA'!AA279)),ROUND(INDEX('1-DATA'!$1:$1048576,IF(OR($B281="STD. DEVIATION",$C$1=1),$A281,$A281+1),COLUMN('1-DATA'!AA279)),IF($B281="STD. DEVIATION",2,$F$1))))</f>
        <v/>
      </c>
      <c r="AC281" s="1" t="str">
        <f>IF(OR($B281="",AC$7=""),"",IF($B281="MEANS",INDEX('1-DATA'!$1:$1048576,$A280-1,COLUMN('1-DATA'!AB279)),ROUND(INDEX('1-DATA'!$1:$1048576,IF(OR($B281="STD. DEVIATION",$C$1=1),$A281,$A281+1),COLUMN('1-DATA'!AB279)),IF($B281="STD. DEVIATION",2,$F$1))))</f>
        <v/>
      </c>
      <c r="AD281" s="1" t="str">
        <f>IF(OR($B281="",AD$7=""),"",IF($B281="MEANS",INDEX('1-DATA'!$1:$1048576,$A280-1,COLUMN('1-DATA'!AC279)),ROUND(INDEX('1-DATA'!$1:$1048576,IF(OR($B281="STD. DEVIATION",$C$1=1),$A281,$A281+1),COLUMN('1-DATA'!AC279)),IF($B281="STD. DEVIATION",2,$F$1))))</f>
        <v/>
      </c>
      <c r="AE281" s="1" t="str">
        <f>IF(OR($B281="",AE$7=""),"",IF($B281="MEANS",INDEX('1-DATA'!$1:$1048576,$A280-1,COLUMN('1-DATA'!AD279)),ROUND(INDEX('1-DATA'!$1:$1048576,IF(OR($B281="STD. DEVIATION",$C$1=1),$A281,$A281+1),COLUMN('1-DATA'!AD279)),IF($B281="STD. DEVIATION",2,$F$1))))</f>
        <v/>
      </c>
      <c r="AF281" s="1" t="str">
        <f>IF(OR($B281="",AF$7=""),"",IF($B281="MEANS",INDEX('1-DATA'!$1:$1048576,$A280-1,COLUMN('1-DATA'!AE279)),ROUND(INDEX('1-DATA'!$1:$1048576,IF(OR($B281="STD. DEVIATION",$C$1=1),$A281,$A281+1),COLUMN('1-DATA'!AE279)),IF($B281="STD. DEVIATION",2,$F$1))))</f>
        <v/>
      </c>
      <c r="AG281" s="1" t="str">
        <f>IF(OR($B281="",AG$7=""),"",IF($B281="MEANS",INDEX('1-DATA'!$1:$1048576,$A280-1,COLUMN('1-DATA'!AF279)),ROUND(INDEX('1-DATA'!$1:$1048576,IF(OR($B281="STD. DEVIATION",$C$1=1),$A281,$A281+1),COLUMN('1-DATA'!AF279)),IF($B281="STD. DEVIATION",2,$F$1))))</f>
        <v/>
      </c>
      <c r="AH281" s="1" t="str">
        <f>IF(OR($B281="",AH$7=""),"",IF($B281="MEANS",INDEX('1-DATA'!$1:$1048576,$A280-1,COLUMN('1-DATA'!AG279)),ROUND(INDEX('1-DATA'!$1:$1048576,IF(OR($B281="STD. DEVIATION",$C$1=1),$A281,$A281+1),COLUMN('1-DATA'!AG279)),IF($B281="STD. DEVIATION",2,$F$1))))</f>
        <v/>
      </c>
      <c r="AI281" s="1" t="str">
        <f>IF(OR($B281="",AI$7=""),"",IF($B281="MEANS",INDEX('1-DATA'!$1:$1048576,$A280-1,COLUMN('1-DATA'!AH279)),ROUND(INDEX('1-DATA'!$1:$1048576,IF(OR($B281="STD. DEVIATION",$C$1=1),$A281,$A281+1),COLUMN('1-DATA'!AH279)),IF($B281="STD. DEVIATION",2,$F$1))))</f>
        <v/>
      </c>
      <c r="AJ281" s="1" t="str">
        <f>IF(OR($B281="",AJ$7=""),"",IF($B281="MEANS",INDEX('1-DATA'!$1:$1048576,$A280-1,COLUMN('1-DATA'!AI279)),ROUND(INDEX('1-DATA'!$1:$1048576,IF(OR($B281="STD. DEVIATION",$C$1=1),$A281,$A281+1),COLUMN('1-DATA'!AI279)),IF($B281="STD. DEVIATION",2,$F$1))))</f>
        <v/>
      </c>
      <c r="AK281" s="1" t="str">
        <f>IF(OR($B281="",AK$7=""),"",IF($B281="MEANS",INDEX('1-DATA'!$1:$1048576,$A280-1,COLUMN('1-DATA'!AJ279)),ROUND(INDEX('1-DATA'!$1:$1048576,IF(OR($B281="STD. DEVIATION",$C$1=1),$A281,$A281+1),COLUMN('1-DATA'!AJ279)),IF($B281="STD. DEVIATION",2,$F$1))))</f>
        <v/>
      </c>
      <c r="AL281" s="1" t="str">
        <f>IF(OR($B281="",AL$7=""),"",IF($B281="MEANS",INDEX('1-DATA'!$1:$1048576,$A280-1,COLUMN('1-DATA'!AK279)),ROUND(INDEX('1-DATA'!$1:$1048576,IF(OR($B281="STD. DEVIATION",$C$1=1),$A281,$A281+1),COLUMN('1-DATA'!AK279)),IF($B281="STD. DEVIATION",2,$F$1))))</f>
        <v/>
      </c>
      <c r="AM281" s="1" t="str">
        <f>IF(OR($B281="",AM$7=""),"",IF($B281="MEANS",INDEX('1-DATA'!$1:$1048576,$A280-1,COLUMN('1-DATA'!AL279)),ROUND(INDEX('1-DATA'!$1:$1048576,IF(OR($B281="STD. DEVIATION",$C$1=1),$A281,$A281+1),COLUMN('1-DATA'!AL279)),IF($B281="STD. DEVIATION",2,$F$1))))</f>
        <v/>
      </c>
      <c r="AN281" s="1" t="str">
        <f>IF(OR($B281="",AN$7=""),"",IF($B281="MEANS",INDEX('1-DATA'!$1:$1048576,$A280-1,COLUMN('1-DATA'!AM279)),ROUND(INDEX('1-DATA'!$1:$1048576,IF(OR($B281="STD. DEVIATION",$C$1=1),$A281,$A281+1),COLUMN('1-DATA'!AM279)),IF($B281="STD. DEVIATION",2,$F$1))))</f>
        <v/>
      </c>
      <c r="AO281" s="1" t="str">
        <f>IF(OR($B281="",AO$7=""),"",IF($B281="MEANS",INDEX('1-DATA'!$1:$1048576,$A280-1,COLUMN('1-DATA'!AN279)),ROUND(INDEX('1-DATA'!$1:$1048576,IF(OR($B281="STD. DEVIATION",$C$1=1),$A281,$A281+1),COLUMN('1-DATA'!AN279)),IF($B281="STD. DEVIATION",2,$F$1))))</f>
        <v/>
      </c>
      <c r="AP281" s="1" t="str">
        <f>IF(OR($B281="",AP$7=""),"",IF($B281="MEANS",INDEX('1-DATA'!$1:$1048576,$A280-1,COLUMN('1-DATA'!AO279)),ROUND(INDEX('1-DATA'!$1:$1048576,IF(OR($B281="STD. DEVIATION",$C$1=1),$A281,$A281+1),COLUMN('1-DATA'!AO279)),IF($B281="STD. DEVIATION",2,$F$1))))</f>
        <v/>
      </c>
      <c r="AQ281" s="1" t="str">
        <f>IF(OR($B281="",AQ$7=""),"",IF($B281="MEANS",INDEX('1-DATA'!$1:$1048576,$A280-1,COLUMN('1-DATA'!AP279)),ROUND(INDEX('1-DATA'!$1:$1048576,IF(OR($B281="STD. DEVIATION",$C$1=1),$A281,$A281+1),COLUMN('1-DATA'!AP279)),IF($B281="STD. DEVIATION",2,$F$1))))</f>
        <v/>
      </c>
      <c r="AR281" s="1" t="str">
        <f>IF(OR($B281="",AR$7=""),"",IF($B281="MEANS",INDEX('1-DATA'!$1:$1048576,$A280-1,COLUMN('1-DATA'!AQ279)),ROUND(INDEX('1-DATA'!$1:$1048576,IF(OR($B281="STD. DEVIATION",$C$1=1),$A281,$A281+1),COLUMN('1-DATA'!AQ279)),IF($B281="STD. DEVIATION",2,$F$1))))</f>
        <v/>
      </c>
      <c r="AS281" s="1" t="str">
        <f>IF(OR($B281="",AS$7=""),"",IF($B281="MEANS",INDEX('1-DATA'!$1:$1048576,$A280-1,COLUMN('1-DATA'!AR279)),ROUND(INDEX('1-DATA'!$1:$1048576,IF(OR($B281="STD. DEVIATION",$C$1=1),$A281,$A281+1),COLUMN('1-DATA'!AR279)),IF($B281="STD. DEVIATION",2,$F$1))))</f>
        <v/>
      </c>
      <c r="AT281" s="1" t="str">
        <f>IF(OR($B281="",AT$7=""),"",IF($B281="MEANS",INDEX('1-DATA'!$1:$1048576,$A280-1,COLUMN('1-DATA'!AS279)),ROUND(INDEX('1-DATA'!$1:$1048576,IF(OR($B281="STD. DEVIATION",$C$1=1),$A281,$A281+1),COLUMN('1-DATA'!AS279)),IF($B281="STD. DEVIATION",2,$F$1))))</f>
        <v/>
      </c>
      <c r="AU281" s="1" t="str">
        <f>IF(OR($B281="",AU$7=""),"",IF($B281="MEANS",INDEX('1-DATA'!$1:$1048576,$A280-1,COLUMN('1-DATA'!AT279)),ROUND(INDEX('1-DATA'!$1:$1048576,IF(OR($B281="STD. DEVIATION",$C$1=1),$A281,$A281+1),COLUMN('1-DATA'!AT279)),IF($B281="STD. DEVIATION",2,$F$1))))</f>
        <v/>
      </c>
      <c r="AV281" s="1" t="str">
        <f>IF(OR($B281="",AV$7=""),"",IF($B281="MEANS",INDEX('1-DATA'!$1:$1048576,$A280-1,COLUMN('1-DATA'!AU279)),ROUND(INDEX('1-DATA'!$1:$1048576,IF(OR($B281="STD. DEVIATION",$C$1=1),$A281,$A281+1),COLUMN('1-DATA'!AU279)),IF($B281="STD. DEVIATION",2,$F$1))))</f>
        <v/>
      </c>
      <c r="AW281" s="1" t="str">
        <f>IF(OR($B281="",AW$7=""),"",IF($B281="MEANS",INDEX('1-DATA'!$1:$1048576,$A280-1,COLUMN('1-DATA'!AV279)),ROUND(INDEX('1-DATA'!$1:$1048576,IF(OR($B281="STD. DEVIATION",$C$1=1),$A281,$A281+1),COLUMN('1-DATA'!AV279)),IF($B281="STD. DEVIATION",2,$F$1))))</f>
        <v/>
      </c>
      <c r="AX281" s="1" t="str">
        <f>IF(OR($B281="",AX$7=""),"",IF($B281="MEANS",INDEX('1-DATA'!$1:$1048576,$A280-1,COLUMN('1-DATA'!AW279)),ROUND(INDEX('1-DATA'!$1:$1048576,IF(OR($B281="STD. DEVIATION",$C$1=1),$A281,$A281+1),COLUMN('1-DATA'!AW279)),IF($B281="STD. DEVIATION",2,$F$1))))</f>
        <v/>
      </c>
      <c r="AY281" s="1" t="str">
        <f>IF(OR($B281="",AY$7=""),"",IF($B281="MEANS",INDEX('1-DATA'!$1:$1048576,$A280-1,COLUMN('1-DATA'!AX279)),ROUND(INDEX('1-DATA'!$1:$1048576,IF(OR($B281="STD. DEVIATION",$C$1=1),$A281,$A281+1),COLUMN('1-DATA'!AX279)),IF($B281="STD. DEVIATION",2,$F$1))))</f>
        <v/>
      </c>
      <c r="AZ281" s="1" t="str">
        <f>IF(OR($B281="",AZ$7=""),"",IF($B281="MEANS",INDEX('1-DATA'!$1:$1048576,$A280-1,COLUMN('1-DATA'!AY279)),ROUND(INDEX('1-DATA'!$1:$1048576,IF(OR($B281="STD. DEVIATION",$C$1=1),$A281,$A281+1),COLUMN('1-DATA'!AY279)),IF($B281="STD. DEVIATION",2,$F$1))))</f>
        <v/>
      </c>
    </row>
    <row r="282" spans="1:52" x14ac:dyDescent="0.25">
      <c r="A282" s="11">
        <f t="shared" si="4"/>
        <v>832</v>
      </c>
      <c r="B282" s="1" t="str">
        <f>IF(B281="STD. DEVIATION",INDEX('1-DATA'!$1:$1048576,$A281-1,1),IF(INDEX('1-DATA'!$1:$1048576,$A282,1)&lt;&gt;"",INDEX('1-DATA'!$1:$1048576,$A282,1),""))</f>
        <v/>
      </c>
      <c r="C282" s="1" t="str">
        <f>IF(OR($B282="",C$7=""),"",IF($B282="MEANS",INDEX('1-DATA'!$1:$1048576,$A281-1,COLUMN('1-DATA'!B280)),ROUND(INDEX('1-DATA'!$1:$1048576,IF(OR($B282="STD. DEVIATION",$C$1=1),$A282,$A282+1),COLUMN('1-DATA'!B280)),IF($B282="STD. DEVIATION",2,$F$1))))</f>
        <v/>
      </c>
      <c r="D282" s="1" t="str">
        <f>IF(OR($B282="",D$7=""),"",IF($B282="MEANS",INDEX('1-DATA'!$1:$1048576,$A281-1,COLUMN('1-DATA'!C280)),ROUND(INDEX('1-DATA'!$1:$1048576,IF(OR($B282="STD. DEVIATION",$C$1=1),$A282,$A282+1),COLUMN('1-DATA'!C280)),IF($B282="STD. DEVIATION",2,$F$1))))</f>
        <v/>
      </c>
      <c r="E282" s="1" t="str">
        <f>IF(OR($B282="",E$7=""),"",IF($B282="MEANS",INDEX('1-DATA'!$1:$1048576,$A281-1,COLUMN('1-DATA'!D280)),ROUND(INDEX('1-DATA'!$1:$1048576,IF(OR($B282="STD. DEVIATION",$C$1=1),$A282,$A282+1),COLUMN('1-DATA'!D280)),IF($B282="STD. DEVIATION",2,$F$1))))</f>
        <v/>
      </c>
      <c r="F282" s="1" t="str">
        <f>IF(OR($B282="",F$7=""),"",IF($B282="MEANS",INDEX('1-DATA'!$1:$1048576,$A281-1,COLUMN('1-DATA'!E280)),ROUND(INDEX('1-DATA'!$1:$1048576,IF(OR($B282="STD. DEVIATION",$C$1=1),$A282,$A282+1),COLUMN('1-DATA'!E280)),IF($B282="STD. DEVIATION",2,$F$1))))</f>
        <v/>
      </c>
      <c r="G282" s="1" t="str">
        <f>IF(OR($B282="",G$7=""),"",IF($B282="MEANS",INDEX('1-DATA'!$1:$1048576,$A281-1,COLUMN('1-DATA'!F280)),ROUND(INDEX('1-DATA'!$1:$1048576,IF(OR($B282="STD. DEVIATION",$C$1=1),$A282,$A282+1),COLUMN('1-DATA'!F280)),IF($B282="STD. DEVIATION",2,$F$1))))</f>
        <v/>
      </c>
      <c r="H282" s="1" t="str">
        <f>IF(OR($B282="",H$7=""),"",IF($B282="MEANS",INDEX('1-DATA'!$1:$1048576,$A281-1,COLUMN('1-DATA'!G280)),ROUND(INDEX('1-DATA'!$1:$1048576,IF(OR($B282="STD. DEVIATION",$C$1=1),$A282,$A282+1),COLUMN('1-DATA'!G280)),IF($B282="STD. DEVIATION",2,$F$1))))</f>
        <v/>
      </c>
      <c r="I282" s="1" t="str">
        <f>IF(OR($B282="",I$7=""),"",IF($B282="MEANS",INDEX('1-DATA'!$1:$1048576,$A281-1,COLUMN('1-DATA'!H280)),ROUND(INDEX('1-DATA'!$1:$1048576,IF(OR($B282="STD. DEVIATION",$C$1=1),$A282,$A282+1),COLUMN('1-DATA'!H280)),IF($B282="STD. DEVIATION",2,$F$1))))</f>
        <v/>
      </c>
      <c r="J282" s="1" t="str">
        <f>IF(OR($B282="",J$7=""),"",IF($B282="MEANS",INDEX('1-DATA'!$1:$1048576,$A281-1,COLUMN('1-DATA'!I280)),ROUND(INDEX('1-DATA'!$1:$1048576,IF(OR($B282="STD. DEVIATION",$C$1=1),$A282,$A282+1),COLUMN('1-DATA'!I280)),IF($B282="STD. DEVIATION",2,$F$1))))</f>
        <v/>
      </c>
      <c r="K282" s="1" t="str">
        <f>IF(OR($B282="",K$7=""),"",IF($B282="MEANS",INDEX('1-DATA'!$1:$1048576,$A281-1,COLUMN('1-DATA'!J280)),ROUND(INDEX('1-DATA'!$1:$1048576,IF(OR($B282="STD. DEVIATION",$C$1=1),$A282,$A282+1),COLUMN('1-DATA'!J280)),IF($B282="STD. DEVIATION",2,$F$1))))</f>
        <v/>
      </c>
      <c r="L282" s="1" t="str">
        <f>IF(OR($B282="",L$7=""),"",IF($B282="MEANS",INDEX('1-DATA'!$1:$1048576,$A281-1,COLUMN('1-DATA'!K280)),ROUND(INDEX('1-DATA'!$1:$1048576,IF(OR($B282="STD. DEVIATION",$C$1=1),$A282,$A282+1),COLUMN('1-DATA'!K280)),IF($B282="STD. DEVIATION",2,$F$1))))</f>
        <v/>
      </c>
      <c r="M282" s="1" t="str">
        <f>IF(OR($B282="",M$7=""),"",IF($B282="MEANS",INDEX('1-DATA'!$1:$1048576,$A281-1,COLUMN('1-DATA'!L280)),ROUND(INDEX('1-DATA'!$1:$1048576,IF(OR($B282="STD. DEVIATION",$C$1=1),$A282,$A282+1),COLUMN('1-DATA'!L280)),IF($B282="STD. DEVIATION",2,$F$1))))</f>
        <v/>
      </c>
      <c r="N282" s="1" t="str">
        <f>IF(OR($B282="",N$7=""),"",IF($B282="MEANS",INDEX('1-DATA'!$1:$1048576,$A281-1,COLUMN('1-DATA'!M280)),ROUND(INDEX('1-DATA'!$1:$1048576,IF(OR($B282="STD. DEVIATION",$C$1=1),$A282,$A282+1),COLUMN('1-DATA'!M280)),IF($B282="STD. DEVIATION",2,$F$1))))</f>
        <v/>
      </c>
      <c r="O282" s="1" t="str">
        <f>IF(OR($B282="",O$7=""),"",IF($B282="MEANS",INDEX('1-DATA'!$1:$1048576,$A281-1,COLUMN('1-DATA'!N280)),ROUND(INDEX('1-DATA'!$1:$1048576,IF(OR($B282="STD. DEVIATION",$C$1=1),$A282,$A282+1),COLUMN('1-DATA'!N280)),IF($B282="STD. DEVIATION",2,$F$1))))</f>
        <v/>
      </c>
      <c r="P282" s="1" t="str">
        <f>IF(OR($B282="",P$7=""),"",IF($B282="MEANS",INDEX('1-DATA'!$1:$1048576,$A281-1,COLUMN('1-DATA'!O280)),ROUND(INDEX('1-DATA'!$1:$1048576,IF(OR($B282="STD. DEVIATION",$C$1=1),$A282,$A282+1),COLUMN('1-DATA'!O280)),IF($B282="STD. DEVIATION",2,$F$1))))</f>
        <v/>
      </c>
      <c r="Q282" s="1" t="str">
        <f>IF(OR($B282="",Q$7=""),"",IF($B282="MEANS",INDEX('1-DATA'!$1:$1048576,$A281-1,COLUMN('1-DATA'!P280)),ROUND(INDEX('1-DATA'!$1:$1048576,IF(OR($B282="STD. DEVIATION",$C$1=1),$A282,$A282+1),COLUMN('1-DATA'!P280)),IF($B282="STD. DEVIATION",2,$F$1))))</f>
        <v/>
      </c>
      <c r="R282" s="1" t="str">
        <f>IF(OR($B282="",R$7=""),"",IF($B282="MEANS",INDEX('1-DATA'!$1:$1048576,$A281-1,COLUMN('1-DATA'!Q280)),ROUND(INDEX('1-DATA'!$1:$1048576,IF(OR($B282="STD. DEVIATION",$C$1=1),$A282,$A282+1),COLUMN('1-DATA'!Q280)),IF($B282="STD. DEVIATION",2,$F$1))))</f>
        <v/>
      </c>
      <c r="S282" s="1" t="str">
        <f>IF(OR($B282="",S$7=""),"",IF($B282="MEANS",INDEX('1-DATA'!$1:$1048576,$A281-1,COLUMN('1-DATA'!R280)),ROUND(INDEX('1-DATA'!$1:$1048576,IF(OR($B282="STD. DEVIATION",$C$1=1),$A282,$A282+1),COLUMN('1-DATA'!R280)),IF($B282="STD. DEVIATION",2,$F$1))))</f>
        <v/>
      </c>
      <c r="T282" s="1" t="str">
        <f>IF(OR($B282="",T$7=""),"",IF($B282="MEANS",INDEX('1-DATA'!$1:$1048576,$A281-1,COLUMN('1-DATA'!S280)),ROUND(INDEX('1-DATA'!$1:$1048576,IF(OR($B282="STD. DEVIATION",$C$1=1),$A282,$A282+1),COLUMN('1-DATA'!S280)),IF($B282="STD. DEVIATION",2,$F$1))))</f>
        <v/>
      </c>
      <c r="U282" s="1" t="str">
        <f>IF(OR($B282="",U$7=""),"",IF($B282="MEANS",INDEX('1-DATA'!$1:$1048576,$A281-1,COLUMN('1-DATA'!T280)),ROUND(INDEX('1-DATA'!$1:$1048576,IF(OR($B282="STD. DEVIATION",$C$1=1),$A282,$A282+1),COLUMN('1-DATA'!T280)),IF($B282="STD. DEVIATION",2,$F$1))))</f>
        <v/>
      </c>
      <c r="V282" s="1" t="str">
        <f>IF(OR($B282="",V$7=""),"",IF($B282="MEANS",INDEX('1-DATA'!$1:$1048576,$A281-1,COLUMN('1-DATA'!U280)),ROUND(INDEX('1-DATA'!$1:$1048576,IF(OR($B282="STD. DEVIATION",$C$1=1),$A282,$A282+1),COLUMN('1-DATA'!U280)),IF($B282="STD. DEVIATION",2,$F$1))))</f>
        <v/>
      </c>
      <c r="W282" s="1" t="str">
        <f>IF(OR($B282="",W$7=""),"",IF($B282="MEANS",INDEX('1-DATA'!$1:$1048576,$A281-1,COLUMN('1-DATA'!V280)),ROUND(INDEX('1-DATA'!$1:$1048576,IF(OR($B282="STD. DEVIATION",$C$1=1),$A282,$A282+1),COLUMN('1-DATA'!V280)),IF($B282="STD. DEVIATION",2,$F$1))))</f>
        <v/>
      </c>
      <c r="X282" s="1" t="str">
        <f>IF(OR($B282="",X$7=""),"",IF($B282="MEANS",INDEX('1-DATA'!$1:$1048576,$A281-1,COLUMN('1-DATA'!W280)),ROUND(INDEX('1-DATA'!$1:$1048576,IF(OR($B282="STD. DEVIATION",$C$1=1),$A282,$A282+1),COLUMN('1-DATA'!W280)),IF($B282="STD. DEVIATION",2,$F$1))))</f>
        <v/>
      </c>
      <c r="Y282" s="1" t="str">
        <f>IF(OR($B282="",Y$7=""),"",IF($B282="MEANS",INDEX('1-DATA'!$1:$1048576,$A281-1,COLUMN('1-DATA'!X280)),ROUND(INDEX('1-DATA'!$1:$1048576,IF(OR($B282="STD. DEVIATION",$C$1=1),$A282,$A282+1),COLUMN('1-DATA'!X280)),IF($B282="STD. DEVIATION",2,$F$1))))</f>
        <v/>
      </c>
      <c r="Z282" s="1" t="str">
        <f>IF(OR($B282="",Z$7=""),"",IF($B282="MEANS",INDEX('1-DATA'!$1:$1048576,$A281-1,COLUMN('1-DATA'!Y280)),ROUND(INDEX('1-DATA'!$1:$1048576,IF(OR($B282="STD. DEVIATION",$C$1=1),$A282,$A282+1),COLUMN('1-DATA'!Y280)),IF($B282="STD. DEVIATION",2,$F$1))))</f>
        <v/>
      </c>
      <c r="AA282" s="1" t="str">
        <f>IF(OR($B282="",AA$7=""),"",IF($B282="MEANS",INDEX('1-DATA'!$1:$1048576,$A281-1,COLUMN('1-DATA'!Z280)),ROUND(INDEX('1-DATA'!$1:$1048576,IF(OR($B282="STD. DEVIATION",$C$1=1),$A282,$A282+1),COLUMN('1-DATA'!Z280)),IF($B282="STD. DEVIATION",2,$F$1))))</f>
        <v/>
      </c>
      <c r="AB282" s="1" t="str">
        <f>IF(OR($B282="",AB$7=""),"",IF($B282="MEANS",INDEX('1-DATA'!$1:$1048576,$A281-1,COLUMN('1-DATA'!AA280)),ROUND(INDEX('1-DATA'!$1:$1048576,IF(OR($B282="STD. DEVIATION",$C$1=1),$A282,$A282+1),COLUMN('1-DATA'!AA280)),IF($B282="STD. DEVIATION",2,$F$1))))</f>
        <v/>
      </c>
      <c r="AC282" s="1" t="str">
        <f>IF(OR($B282="",AC$7=""),"",IF($B282="MEANS",INDEX('1-DATA'!$1:$1048576,$A281-1,COLUMN('1-DATA'!AB280)),ROUND(INDEX('1-DATA'!$1:$1048576,IF(OR($B282="STD. DEVIATION",$C$1=1),$A282,$A282+1),COLUMN('1-DATA'!AB280)),IF($B282="STD. DEVIATION",2,$F$1))))</f>
        <v/>
      </c>
      <c r="AD282" s="1" t="str">
        <f>IF(OR($B282="",AD$7=""),"",IF($B282="MEANS",INDEX('1-DATA'!$1:$1048576,$A281-1,COLUMN('1-DATA'!AC280)),ROUND(INDEX('1-DATA'!$1:$1048576,IF(OR($B282="STD. DEVIATION",$C$1=1),$A282,$A282+1),COLUMN('1-DATA'!AC280)),IF($B282="STD. DEVIATION",2,$F$1))))</f>
        <v/>
      </c>
      <c r="AE282" s="1" t="str">
        <f>IF(OR($B282="",AE$7=""),"",IF($B282="MEANS",INDEX('1-DATA'!$1:$1048576,$A281-1,COLUMN('1-DATA'!AD280)),ROUND(INDEX('1-DATA'!$1:$1048576,IF(OR($B282="STD. DEVIATION",$C$1=1),$A282,$A282+1),COLUMN('1-DATA'!AD280)),IF($B282="STD. DEVIATION",2,$F$1))))</f>
        <v/>
      </c>
      <c r="AF282" s="1" t="str">
        <f>IF(OR($B282="",AF$7=""),"",IF($B282="MEANS",INDEX('1-DATA'!$1:$1048576,$A281-1,COLUMN('1-DATA'!AE280)),ROUND(INDEX('1-DATA'!$1:$1048576,IF(OR($B282="STD. DEVIATION",$C$1=1),$A282,$A282+1),COLUMN('1-DATA'!AE280)),IF($B282="STD. DEVIATION",2,$F$1))))</f>
        <v/>
      </c>
      <c r="AG282" s="1" t="str">
        <f>IF(OR($B282="",AG$7=""),"",IF($B282="MEANS",INDEX('1-DATA'!$1:$1048576,$A281-1,COLUMN('1-DATA'!AF280)),ROUND(INDEX('1-DATA'!$1:$1048576,IF(OR($B282="STD. DEVIATION",$C$1=1),$A282,$A282+1),COLUMN('1-DATA'!AF280)),IF($B282="STD. DEVIATION",2,$F$1))))</f>
        <v/>
      </c>
      <c r="AH282" s="1" t="str">
        <f>IF(OR($B282="",AH$7=""),"",IF($B282="MEANS",INDEX('1-DATA'!$1:$1048576,$A281-1,COLUMN('1-DATA'!AG280)),ROUND(INDEX('1-DATA'!$1:$1048576,IF(OR($B282="STD. DEVIATION",$C$1=1),$A282,$A282+1),COLUMN('1-DATA'!AG280)),IF($B282="STD. DEVIATION",2,$F$1))))</f>
        <v/>
      </c>
      <c r="AI282" s="1" t="str">
        <f>IF(OR($B282="",AI$7=""),"",IF($B282="MEANS",INDEX('1-DATA'!$1:$1048576,$A281-1,COLUMN('1-DATA'!AH280)),ROUND(INDEX('1-DATA'!$1:$1048576,IF(OR($B282="STD. DEVIATION",$C$1=1),$A282,$A282+1),COLUMN('1-DATA'!AH280)),IF($B282="STD. DEVIATION",2,$F$1))))</f>
        <v/>
      </c>
      <c r="AJ282" s="1" t="str">
        <f>IF(OR($B282="",AJ$7=""),"",IF($B282="MEANS",INDEX('1-DATA'!$1:$1048576,$A281-1,COLUMN('1-DATA'!AI280)),ROUND(INDEX('1-DATA'!$1:$1048576,IF(OR($B282="STD. DEVIATION",$C$1=1),$A282,$A282+1),COLUMN('1-DATA'!AI280)),IF($B282="STD. DEVIATION",2,$F$1))))</f>
        <v/>
      </c>
      <c r="AK282" s="1" t="str">
        <f>IF(OR($B282="",AK$7=""),"",IF($B282="MEANS",INDEX('1-DATA'!$1:$1048576,$A281-1,COLUMN('1-DATA'!AJ280)),ROUND(INDEX('1-DATA'!$1:$1048576,IF(OR($B282="STD. DEVIATION",$C$1=1),$A282,$A282+1),COLUMN('1-DATA'!AJ280)),IF($B282="STD. DEVIATION",2,$F$1))))</f>
        <v/>
      </c>
      <c r="AL282" s="1" t="str">
        <f>IF(OR($B282="",AL$7=""),"",IF($B282="MEANS",INDEX('1-DATA'!$1:$1048576,$A281-1,COLUMN('1-DATA'!AK280)),ROUND(INDEX('1-DATA'!$1:$1048576,IF(OR($B282="STD. DEVIATION",$C$1=1),$A282,$A282+1),COLUMN('1-DATA'!AK280)),IF($B282="STD. DEVIATION",2,$F$1))))</f>
        <v/>
      </c>
      <c r="AM282" s="1" t="str">
        <f>IF(OR($B282="",AM$7=""),"",IF($B282="MEANS",INDEX('1-DATA'!$1:$1048576,$A281-1,COLUMN('1-DATA'!AL280)),ROUND(INDEX('1-DATA'!$1:$1048576,IF(OR($B282="STD. DEVIATION",$C$1=1),$A282,$A282+1),COLUMN('1-DATA'!AL280)),IF($B282="STD. DEVIATION",2,$F$1))))</f>
        <v/>
      </c>
      <c r="AN282" s="1" t="str">
        <f>IF(OR($B282="",AN$7=""),"",IF($B282="MEANS",INDEX('1-DATA'!$1:$1048576,$A281-1,COLUMN('1-DATA'!AM280)),ROUND(INDEX('1-DATA'!$1:$1048576,IF(OR($B282="STD. DEVIATION",$C$1=1),$A282,$A282+1),COLUMN('1-DATA'!AM280)),IF($B282="STD. DEVIATION",2,$F$1))))</f>
        <v/>
      </c>
      <c r="AO282" s="1" t="str">
        <f>IF(OR($B282="",AO$7=""),"",IF($B282="MEANS",INDEX('1-DATA'!$1:$1048576,$A281-1,COLUMN('1-DATA'!AN280)),ROUND(INDEX('1-DATA'!$1:$1048576,IF(OR($B282="STD. DEVIATION",$C$1=1),$A282,$A282+1),COLUMN('1-DATA'!AN280)),IF($B282="STD. DEVIATION",2,$F$1))))</f>
        <v/>
      </c>
      <c r="AP282" s="1" t="str">
        <f>IF(OR($B282="",AP$7=""),"",IF($B282="MEANS",INDEX('1-DATA'!$1:$1048576,$A281-1,COLUMN('1-DATA'!AO280)),ROUND(INDEX('1-DATA'!$1:$1048576,IF(OR($B282="STD. DEVIATION",$C$1=1),$A282,$A282+1),COLUMN('1-DATA'!AO280)),IF($B282="STD. DEVIATION",2,$F$1))))</f>
        <v/>
      </c>
      <c r="AQ282" s="1" t="str">
        <f>IF(OR($B282="",AQ$7=""),"",IF($B282="MEANS",INDEX('1-DATA'!$1:$1048576,$A281-1,COLUMN('1-DATA'!AP280)),ROUND(INDEX('1-DATA'!$1:$1048576,IF(OR($B282="STD. DEVIATION",$C$1=1),$A282,$A282+1),COLUMN('1-DATA'!AP280)),IF($B282="STD. DEVIATION",2,$F$1))))</f>
        <v/>
      </c>
      <c r="AR282" s="1" t="str">
        <f>IF(OR($B282="",AR$7=""),"",IF($B282="MEANS",INDEX('1-DATA'!$1:$1048576,$A281-1,COLUMN('1-DATA'!AQ280)),ROUND(INDEX('1-DATA'!$1:$1048576,IF(OR($B282="STD. DEVIATION",$C$1=1),$A282,$A282+1),COLUMN('1-DATA'!AQ280)),IF($B282="STD. DEVIATION",2,$F$1))))</f>
        <v/>
      </c>
      <c r="AS282" s="1" t="str">
        <f>IF(OR($B282="",AS$7=""),"",IF($B282="MEANS",INDEX('1-DATA'!$1:$1048576,$A281-1,COLUMN('1-DATA'!AR280)),ROUND(INDEX('1-DATA'!$1:$1048576,IF(OR($B282="STD. DEVIATION",$C$1=1),$A282,$A282+1),COLUMN('1-DATA'!AR280)),IF($B282="STD. DEVIATION",2,$F$1))))</f>
        <v/>
      </c>
      <c r="AT282" s="1" t="str">
        <f>IF(OR($B282="",AT$7=""),"",IF($B282="MEANS",INDEX('1-DATA'!$1:$1048576,$A281-1,COLUMN('1-DATA'!AS280)),ROUND(INDEX('1-DATA'!$1:$1048576,IF(OR($B282="STD. DEVIATION",$C$1=1),$A282,$A282+1),COLUMN('1-DATA'!AS280)),IF($B282="STD. DEVIATION",2,$F$1))))</f>
        <v/>
      </c>
      <c r="AU282" s="1" t="str">
        <f>IF(OR($B282="",AU$7=""),"",IF($B282="MEANS",INDEX('1-DATA'!$1:$1048576,$A281-1,COLUMN('1-DATA'!AT280)),ROUND(INDEX('1-DATA'!$1:$1048576,IF(OR($B282="STD. DEVIATION",$C$1=1),$A282,$A282+1),COLUMN('1-DATA'!AT280)),IF($B282="STD. DEVIATION",2,$F$1))))</f>
        <v/>
      </c>
      <c r="AV282" s="1" t="str">
        <f>IF(OR($B282="",AV$7=""),"",IF($B282="MEANS",INDEX('1-DATA'!$1:$1048576,$A281-1,COLUMN('1-DATA'!AU280)),ROUND(INDEX('1-DATA'!$1:$1048576,IF(OR($B282="STD. DEVIATION",$C$1=1),$A282,$A282+1),COLUMN('1-DATA'!AU280)),IF($B282="STD. DEVIATION",2,$F$1))))</f>
        <v/>
      </c>
      <c r="AW282" s="1" t="str">
        <f>IF(OR($B282="",AW$7=""),"",IF($B282="MEANS",INDEX('1-DATA'!$1:$1048576,$A281-1,COLUMN('1-DATA'!AV280)),ROUND(INDEX('1-DATA'!$1:$1048576,IF(OR($B282="STD. DEVIATION",$C$1=1),$A282,$A282+1),COLUMN('1-DATA'!AV280)),IF($B282="STD. DEVIATION",2,$F$1))))</f>
        <v/>
      </c>
      <c r="AX282" s="1" t="str">
        <f>IF(OR($B282="",AX$7=""),"",IF($B282="MEANS",INDEX('1-DATA'!$1:$1048576,$A281-1,COLUMN('1-DATA'!AW280)),ROUND(INDEX('1-DATA'!$1:$1048576,IF(OR($B282="STD. DEVIATION",$C$1=1),$A282,$A282+1),COLUMN('1-DATA'!AW280)),IF($B282="STD. DEVIATION",2,$F$1))))</f>
        <v/>
      </c>
      <c r="AY282" s="1" t="str">
        <f>IF(OR($B282="",AY$7=""),"",IF($B282="MEANS",INDEX('1-DATA'!$1:$1048576,$A281-1,COLUMN('1-DATA'!AX280)),ROUND(INDEX('1-DATA'!$1:$1048576,IF(OR($B282="STD. DEVIATION",$C$1=1),$A282,$A282+1),COLUMN('1-DATA'!AX280)),IF($B282="STD. DEVIATION",2,$F$1))))</f>
        <v/>
      </c>
      <c r="AZ282" s="1" t="str">
        <f>IF(OR($B282="",AZ$7=""),"",IF($B282="MEANS",INDEX('1-DATA'!$1:$1048576,$A281-1,COLUMN('1-DATA'!AY280)),ROUND(INDEX('1-DATA'!$1:$1048576,IF(OR($B282="STD. DEVIATION",$C$1=1),$A282,$A282+1),COLUMN('1-DATA'!AY280)),IF($B282="STD. DEVIATION",2,$F$1))))</f>
        <v/>
      </c>
    </row>
    <row r="283" spans="1:52" x14ac:dyDescent="0.25">
      <c r="A283" s="11">
        <f t="shared" si="4"/>
        <v>835</v>
      </c>
      <c r="B283" s="1" t="str">
        <f>IF(B282="STD. DEVIATION",INDEX('1-DATA'!$1:$1048576,$A282-1,1),IF(INDEX('1-DATA'!$1:$1048576,$A283,1)&lt;&gt;"",INDEX('1-DATA'!$1:$1048576,$A283,1),""))</f>
        <v/>
      </c>
      <c r="C283" s="1" t="str">
        <f>IF(OR($B283="",C$7=""),"",IF($B283="MEANS",INDEX('1-DATA'!$1:$1048576,$A282-1,COLUMN('1-DATA'!B281)),ROUND(INDEX('1-DATA'!$1:$1048576,IF(OR($B283="STD. DEVIATION",$C$1=1),$A283,$A283+1),COLUMN('1-DATA'!B281)),IF($B283="STD. DEVIATION",2,$F$1))))</f>
        <v/>
      </c>
      <c r="D283" s="1" t="str">
        <f>IF(OR($B283="",D$7=""),"",IF($B283="MEANS",INDEX('1-DATA'!$1:$1048576,$A282-1,COLUMN('1-DATA'!C281)),ROUND(INDEX('1-DATA'!$1:$1048576,IF(OR($B283="STD. DEVIATION",$C$1=1),$A283,$A283+1),COLUMN('1-DATA'!C281)),IF($B283="STD. DEVIATION",2,$F$1))))</f>
        <v/>
      </c>
      <c r="E283" s="1" t="str">
        <f>IF(OR($B283="",E$7=""),"",IF($B283="MEANS",INDEX('1-DATA'!$1:$1048576,$A282-1,COLUMN('1-DATA'!D281)),ROUND(INDEX('1-DATA'!$1:$1048576,IF(OR($B283="STD. DEVIATION",$C$1=1),$A283,$A283+1),COLUMN('1-DATA'!D281)),IF($B283="STD. DEVIATION",2,$F$1))))</f>
        <v/>
      </c>
      <c r="F283" s="1" t="str">
        <f>IF(OR($B283="",F$7=""),"",IF($B283="MEANS",INDEX('1-DATA'!$1:$1048576,$A282-1,COLUMN('1-DATA'!E281)),ROUND(INDEX('1-DATA'!$1:$1048576,IF(OR($B283="STD. DEVIATION",$C$1=1),$A283,$A283+1),COLUMN('1-DATA'!E281)),IF($B283="STD. DEVIATION",2,$F$1))))</f>
        <v/>
      </c>
      <c r="G283" s="1" t="str">
        <f>IF(OR($B283="",G$7=""),"",IF($B283="MEANS",INDEX('1-DATA'!$1:$1048576,$A282-1,COLUMN('1-DATA'!F281)),ROUND(INDEX('1-DATA'!$1:$1048576,IF(OR($B283="STD. DEVIATION",$C$1=1),$A283,$A283+1),COLUMN('1-DATA'!F281)),IF($B283="STD. DEVIATION",2,$F$1))))</f>
        <v/>
      </c>
      <c r="H283" s="1" t="str">
        <f>IF(OR($B283="",H$7=""),"",IF($B283="MEANS",INDEX('1-DATA'!$1:$1048576,$A282-1,COLUMN('1-DATA'!G281)),ROUND(INDEX('1-DATA'!$1:$1048576,IF(OR($B283="STD. DEVIATION",$C$1=1),$A283,$A283+1),COLUMN('1-DATA'!G281)),IF($B283="STD. DEVIATION",2,$F$1))))</f>
        <v/>
      </c>
      <c r="I283" s="1" t="str">
        <f>IF(OR($B283="",I$7=""),"",IF($B283="MEANS",INDEX('1-DATA'!$1:$1048576,$A282-1,COLUMN('1-DATA'!H281)),ROUND(INDEX('1-DATA'!$1:$1048576,IF(OR($B283="STD. DEVIATION",$C$1=1),$A283,$A283+1),COLUMN('1-DATA'!H281)),IF($B283="STD. DEVIATION",2,$F$1))))</f>
        <v/>
      </c>
      <c r="J283" s="1" t="str">
        <f>IF(OR($B283="",J$7=""),"",IF($B283="MEANS",INDEX('1-DATA'!$1:$1048576,$A282-1,COLUMN('1-DATA'!I281)),ROUND(INDEX('1-DATA'!$1:$1048576,IF(OR($B283="STD. DEVIATION",$C$1=1),$A283,$A283+1),COLUMN('1-DATA'!I281)),IF($B283="STD. DEVIATION",2,$F$1))))</f>
        <v/>
      </c>
      <c r="K283" s="1" t="str">
        <f>IF(OR($B283="",K$7=""),"",IF($B283="MEANS",INDEX('1-DATA'!$1:$1048576,$A282-1,COLUMN('1-DATA'!J281)),ROUND(INDEX('1-DATA'!$1:$1048576,IF(OR($B283="STD. DEVIATION",$C$1=1),$A283,$A283+1),COLUMN('1-DATA'!J281)),IF($B283="STD. DEVIATION",2,$F$1))))</f>
        <v/>
      </c>
      <c r="L283" s="1" t="str">
        <f>IF(OR($B283="",L$7=""),"",IF($B283="MEANS",INDEX('1-DATA'!$1:$1048576,$A282-1,COLUMN('1-DATA'!K281)),ROUND(INDEX('1-DATA'!$1:$1048576,IF(OR($B283="STD. DEVIATION",$C$1=1),$A283,$A283+1),COLUMN('1-DATA'!K281)),IF($B283="STD. DEVIATION",2,$F$1))))</f>
        <v/>
      </c>
      <c r="M283" s="1" t="str">
        <f>IF(OR($B283="",M$7=""),"",IF($B283="MEANS",INDEX('1-DATA'!$1:$1048576,$A282-1,COLUMN('1-DATA'!L281)),ROUND(INDEX('1-DATA'!$1:$1048576,IF(OR($B283="STD. DEVIATION",$C$1=1),$A283,$A283+1),COLUMN('1-DATA'!L281)),IF($B283="STD. DEVIATION",2,$F$1))))</f>
        <v/>
      </c>
      <c r="N283" s="1" t="str">
        <f>IF(OR($B283="",N$7=""),"",IF($B283="MEANS",INDEX('1-DATA'!$1:$1048576,$A282-1,COLUMN('1-DATA'!M281)),ROUND(INDEX('1-DATA'!$1:$1048576,IF(OR($B283="STD. DEVIATION",$C$1=1),$A283,$A283+1),COLUMN('1-DATA'!M281)),IF($B283="STD. DEVIATION",2,$F$1))))</f>
        <v/>
      </c>
      <c r="O283" s="1" t="str">
        <f>IF(OR($B283="",O$7=""),"",IF($B283="MEANS",INDEX('1-DATA'!$1:$1048576,$A282-1,COLUMN('1-DATA'!N281)),ROUND(INDEX('1-DATA'!$1:$1048576,IF(OR($B283="STD. DEVIATION",$C$1=1),$A283,$A283+1),COLUMN('1-DATA'!N281)),IF($B283="STD. DEVIATION",2,$F$1))))</f>
        <v/>
      </c>
      <c r="P283" s="1" t="str">
        <f>IF(OR($B283="",P$7=""),"",IF($B283="MEANS",INDEX('1-DATA'!$1:$1048576,$A282-1,COLUMN('1-DATA'!O281)),ROUND(INDEX('1-DATA'!$1:$1048576,IF(OR($B283="STD. DEVIATION",$C$1=1),$A283,$A283+1),COLUMN('1-DATA'!O281)),IF($B283="STD. DEVIATION",2,$F$1))))</f>
        <v/>
      </c>
      <c r="Q283" s="1" t="str">
        <f>IF(OR($B283="",Q$7=""),"",IF($B283="MEANS",INDEX('1-DATA'!$1:$1048576,$A282-1,COLUMN('1-DATA'!P281)),ROUND(INDEX('1-DATA'!$1:$1048576,IF(OR($B283="STD. DEVIATION",$C$1=1),$A283,$A283+1),COLUMN('1-DATA'!P281)),IF($B283="STD. DEVIATION",2,$F$1))))</f>
        <v/>
      </c>
      <c r="R283" s="1" t="str">
        <f>IF(OR($B283="",R$7=""),"",IF($B283="MEANS",INDEX('1-DATA'!$1:$1048576,$A282-1,COLUMN('1-DATA'!Q281)),ROUND(INDEX('1-DATA'!$1:$1048576,IF(OR($B283="STD. DEVIATION",$C$1=1),$A283,$A283+1),COLUMN('1-DATA'!Q281)),IF($B283="STD. DEVIATION",2,$F$1))))</f>
        <v/>
      </c>
      <c r="S283" s="1" t="str">
        <f>IF(OR($B283="",S$7=""),"",IF($B283="MEANS",INDEX('1-DATA'!$1:$1048576,$A282-1,COLUMN('1-DATA'!R281)),ROUND(INDEX('1-DATA'!$1:$1048576,IF(OR($B283="STD. DEVIATION",$C$1=1),$A283,$A283+1),COLUMN('1-DATA'!R281)),IF($B283="STD. DEVIATION",2,$F$1))))</f>
        <v/>
      </c>
      <c r="T283" s="1" t="str">
        <f>IF(OR($B283="",T$7=""),"",IF($B283="MEANS",INDEX('1-DATA'!$1:$1048576,$A282-1,COLUMN('1-DATA'!S281)),ROUND(INDEX('1-DATA'!$1:$1048576,IF(OR($B283="STD. DEVIATION",$C$1=1),$A283,$A283+1),COLUMN('1-DATA'!S281)),IF($B283="STD. DEVIATION",2,$F$1))))</f>
        <v/>
      </c>
      <c r="U283" s="1" t="str">
        <f>IF(OR($B283="",U$7=""),"",IF($B283="MEANS",INDEX('1-DATA'!$1:$1048576,$A282-1,COLUMN('1-DATA'!T281)),ROUND(INDEX('1-DATA'!$1:$1048576,IF(OR($B283="STD. DEVIATION",$C$1=1),$A283,$A283+1),COLUMN('1-DATA'!T281)),IF($B283="STD. DEVIATION",2,$F$1))))</f>
        <v/>
      </c>
      <c r="V283" s="1" t="str">
        <f>IF(OR($B283="",V$7=""),"",IF($B283="MEANS",INDEX('1-DATA'!$1:$1048576,$A282-1,COLUMN('1-DATA'!U281)),ROUND(INDEX('1-DATA'!$1:$1048576,IF(OR($B283="STD. DEVIATION",$C$1=1),$A283,$A283+1),COLUMN('1-DATA'!U281)),IF($B283="STD. DEVIATION",2,$F$1))))</f>
        <v/>
      </c>
      <c r="W283" s="1" t="str">
        <f>IF(OR($B283="",W$7=""),"",IF($B283="MEANS",INDEX('1-DATA'!$1:$1048576,$A282-1,COLUMN('1-DATA'!V281)),ROUND(INDEX('1-DATA'!$1:$1048576,IF(OR($B283="STD. DEVIATION",$C$1=1),$A283,$A283+1),COLUMN('1-DATA'!V281)),IF($B283="STD. DEVIATION",2,$F$1))))</f>
        <v/>
      </c>
      <c r="X283" s="1" t="str">
        <f>IF(OR($B283="",X$7=""),"",IF($B283="MEANS",INDEX('1-DATA'!$1:$1048576,$A282-1,COLUMN('1-DATA'!W281)),ROUND(INDEX('1-DATA'!$1:$1048576,IF(OR($B283="STD. DEVIATION",$C$1=1),$A283,$A283+1),COLUMN('1-DATA'!W281)),IF($B283="STD. DEVIATION",2,$F$1))))</f>
        <v/>
      </c>
      <c r="Y283" s="1" t="str">
        <f>IF(OR($B283="",Y$7=""),"",IF($B283="MEANS",INDEX('1-DATA'!$1:$1048576,$A282-1,COLUMN('1-DATA'!X281)),ROUND(INDEX('1-DATA'!$1:$1048576,IF(OR($B283="STD. DEVIATION",$C$1=1),$A283,$A283+1),COLUMN('1-DATA'!X281)),IF($B283="STD. DEVIATION",2,$F$1))))</f>
        <v/>
      </c>
      <c r="Z283" s="1" t="str">
        <f>IF(OR($B283="",Z$7=""),"",IF($B283="MEANS",INDEX('1-DATA'!$1:$1048576,$A282-1,COLUMN('1-DATA'!Y281)),ROUND(INDEX('1-DATA'!$1:$1048576,IF(OR($B283="STD. DEVIATION",$C$1=1),$A283,$A283+1),COLUMN('1-DATA'!Y281)),IF($B283="STD. DEVIATION",2,$F$1))))</f>
        <v/>
      </c>
      <c r="AA283" s="1" t="str">
        <f>IF(OR($B283="",AA$7=""),"",IF($B283="MEANS",INDEX('1-DATA'!$1:$1048576,$A282-1,COLUMN('1-DATA'!Z281)),ROUND(INDEX('1-DATA'!$1:$1048576,IF(OR($B283="STD. DEVIATION",$C$1=1),$A283,$A283+1),COLUMN('1-DATA'!Z281)),IF($B283="STD. DEVIATION",2,$F$1))))</f>
        <v/>
      </c>
      <c r="AB283" s="1" t="str">
        <f>IF(OR($B283="",AB$7=""),"",IF($B283="MEANS",INDEX('1-DATA'!$1:$1048576,$A282-1,COLUMN('1-DATA'!AA281)),ROUND(INDEX('1-DATA'!$1:$1048576,IF(OR($B283="STD. DEVIATION",$C$1=1),$A283,$A283+1),COLUMN('1-DATA'!AA281)),IF($B283="STD. DEVIATION",2,$F$1))))</f>
        <v/>
      </c>
      <c r="AC283" s="1" t="str">
        <f>IF(OR($B283="",AC$7=""),"",IF($B283="MEANS",INDEX('1-DATA'!$1:$1048576,$A282-1,COLUMN('1-DATA'!AB281)),ROUND(INDEX('1-DATA'!$1:$1048576,IF(OR($B283="STD. DEVIATION",$C$1=1),$A283,$A283+1),COLUMN('1-DATA'!AB281)),IF($B283="STD. DEVIATION",2,$F$1))))</f>
        <v/>
      </c>
      <c r="AD283" s="1" t="str">
        <f>IF(OR($B283="",AD$7=""),"",IF($B283="MEANS",INDEX('1-DATA'!$1:$1048576,$A282-1,COLUMN('1-DATA'!AC281)),ROUND(INDEX('1-DATA'!$1:$1048576,IF(OR($B283="STD. DEVIATION",$C$1=1),$A283,$A283+1),COLUMN('1-DATA'!AC281)),IF($B283="STD. DEVIATION",2,$F$1))))</f>
        <v/>
      </c>
      <c r="AE283" s="1" t="str">
        <f>IF(OR($B283="",AE$7=""),"",IF($B283="MEANS",INDEX('1-DATA'!$1:$1048576,$A282-1,COLUMN('1-DATA'!AD281)),ROUND(INDEX('1-DATA'!$1:$1048576,IF(OR($B283="STD. DEVIATION",$C$1=1),$A283,$A283+1),COLUMN('1-DATA'!AD281)),IF($B283="STD. DEVIATION",2,$F$1))))</f>
        <v/>
      </c>
      <c r="AF283" s="1" t="str">
        <f>IF(OR($B283="",AF$7=""),"",IF($B283="MEANS",INDEX('1-DATA'!$1:$1048576,$A282-1,COLUMN('1-DATA'!AE281)),ROUND(INDEX('1-DATA'!$1:$1048576,IF(OR($B283="STD. DEVIATION",$C$1=1),$A283,$A283+1),COLUMN('1-DATA'!AE281)),IF($B283="STD. DEVIATION",2,$F$1))))</f>
        <v/>
      </c>
      <c r="AG283" s="1" t="str">
        <f>IF(OR($B283="",AG$7=""),"",IF($B283="MEANS",INDEX('1-DATA'!$1:$1048576,$A282-1,COLUMN('1-DATA'!AF281)),ROUND(INDEX('1-DATA'!$1:$1048576,IF(OR($B283="STD. DEVIATION",$C$1=1),$A283,$A283+1),COLUMN('1-DATA'!AF281)),IF($B283="STD. DEVIATION",2,$F$1))))</f>
        <v/>
      </c>
      <c r="AH283" s="1" t="str">
        <f>IF(OR($B283="",AH$7=""),"",IF($B283="MEANS",INDEX('1-DATA'!$1:$1048576,$A282-1,COLUMN('1-DATA'!AG281)),ROUND(INDEX('1-DATA'!$1:$1048576,IF(OR($B283="STD. DEVIATION",$C$1=1),$A283,$A283+1),COLUMN('1-DATA'!AG281)),IF($B283="STD. DEVIATION",2,$F$1))))</f>
        <v/>
      </c>
      <c r="AI283" s="1" t="str">
        <f>IF(OR($B283="",AI$7=""),"",IF($B283="MEANS",INDEX('1-DATA'!$1:$1048576,$A282-1,COLUMN('1-DATA'!AH281)),ROUND(INDEX('1-DATA'!$1:$1048576,IF(OR($B283="STD. DEVIATION",$C$1=1),$A283,$A283+1),COLUMN('1-DATA'!AH281)),IF($B283="STD. DEVIATION",2,$F$1))))</f>
        <v/>
      </c>
      <c r="AJ283" s="1" t="str">
        <f>IF(OR($B283="",AJ$7=""),"",IF($B283="MEANS",INDEX('1-DATA'!$1:$1048576,$A282-1,COLUMN('1-DATA'!AI281)),ROUND(INDEX('1-DATA'!$1:$1048576,IF(OR($B283="STD. DEVIATION",$C$1=1),$A283,$A283+1),COLUMN('1-DATA'!AI281)),IF($B283="STD. DEVIATION",2,$F$1))))</f>
        <v/>
      </c>
      <c r="AK283" s="1" t="str">
        <f>IF(OR($B283="",AK$7=""),"",IF($B283="MEANS",INDEX('1-DATA'!$1:$1048576,$A282-1,COLUMN('1-DATA'!AJ281)),ROUND(INDEX('1-DATA'!$1:$1048576,IF(OR($B283="STD. DEVIATION",$C$1=1),$A283,$A283+1),COLUMN('1-DATA'!AJ281)),IF($B283="STD. DEVIATION",2,$F$1))))</f>
        <v/>
      </c>
      <c r="AL283" s="1" t="str">
        <f>IF(OR($B283="",AL$7=""),"",IF($B283="MEANS",INDEX('1-DATA'!$1:$1048576,$A282-1,COLUMN('1-DATA'!AK281)),ROUND(INDEX('1-DATA'!$1:$1048576,IF(OR($B283="STD. DEVIATION",$C$1=1),$A283,$A283+1),COLUMN('1-DATA'!AK281)),IF($B283="STD. DEVIATION",2,$F$1))))</f>
        <v/>
      </c>
      <c r="AM283" s="1" t="str">
        <f>IF(OR($B283="",AM$7=""),"",IF($B283="MEANS",INDEX('1-DATA'!$1:$1048576,$A282-1,COLUMN('1-DATA'!AL281)),ROUND(INDEX('1-DATA'!$1:$1048576,IF(OR($B283="STD. DEVIATION",$C$1=1),$A283,$A283+1),COLUMN('1-DATA'!AL281)),IF($B283="STD. DEVIATION",2,$F$1))))</f>
        <v/>
      </c>
      <c r="AN283" s="1" t="str">
        <f>IF(OR($B283="",AN$7=""),"",IF($B283="MEANS",INDEX('1-DATA'!$1:$1048576,$A282-1,COLUMN('1-DATA'!AM281)),ROUND(INDEX('1-DATA'!$1:$1048576,IF(OR($B283="STD. DEVIATION",$C$1=1),$A283,$A283+1),COLUMN('1-DATA'!AM281)),IF($B283="STD. DEVIATION",2,$F$1))))</f>
        <v/>
      </c>
      <c r="AO283" s="1" t="str">
        <f>IF(OR($B283="",AO$7=""),"",IF($B283="MEANS",INDEX('1-DATA'!$1:$1048576,$A282-1,COLUMN('1-DATA'!AN281)),ROUND(INDEX('1-DATA'!$1:$1048576,IF(OR($B283="STD. DEVIATION",$C$1=1),$A283,$A283+1),COLUMN('1-DATA'!AN281)),IF($B283="STD. DEVIATION",2,$F$1))))</f>
        <v/>
      </c>
      <c r="AP283" s="1" t="str">
        <f>IF(OR($B283="",AP$7=""),"",IF($B283="MEANS",INDEX('1-DATA'!$1:$1048576,$A282-1,COLUMN('1-DATA'!AO281)),ROUND(INDEX('1-DATA'!$1:$1048576,IF(OR($B283="STD. DEVIATION",$C$1=1),$A283,$A283+1),COLUMN('1-DATA'!AO281)),IF($B283="STD. DEVIATION",2,$F$1))))</f>
        <v/>
      </c>
      <c r="AQ283" s="1" t="str">
        <f>IF(OR($B283="",AQ$7=""),"",IF($B283="MEANS",INDEX('1-DATA'!$1:$1048576,$A282-1,COLUMN('1-DATA'!AP281)),ROUND(INDEX('1-DATA'!$1:$1048576,IF(OR($B283="STD. DEVIATION",$C$1=1),$A283,$A283+1),COLUMN('1-DATA'!AP281)),IF($B283="STD. DEVIATION",2,$F$1))))</f>
        <v/>
      </c>
      <c r="AR283" s="1" t="str">
        <f>IF(OR($B283="",AR$7=""),"",IF($B283="MEANS",INDEX('1-DATA'!$1:$1048576,$A282-1,COLUMN('1-DATA'!AQ281)),ROUND(INDEX('1-DATA'!$1:$1048576,IF(OR($B283="STD. DEVIATION",$C$1=1),$A283,$A283+1),COLUMN('1-DATA'!AQ281)),IF($B283="STD. DEVIATION",2,$F$1))))</f>
        <v/>
      </c>
      <c r="AS283" s="1" t="str">
        <f>IF(OR($B283="",AS$7=""),"",IF($B283="MEANS",INDEX('1-DATA'!$1:$1048576,$A282-1,COLUMN('1-DATA'!AR281)),ROUND(INDEX('1-DATA'!$1:$1048576,IF(OR($B283="STD. DEVIATION",$C$1=1),$A283,$A283+1),COLUMN('1-DATA'!AR281)),IF($B283="STD. DEVIATION",2,$F$1))))</f>
        <v/>
      </c>
      <c r="AT283" s="1" t="str">
        <f>IF(OR($B283="",AT$7=""),"",IF($B283="MEANS",INDEX('1-DATA'!$1:$1048576,$A282-1,COLUMN('1-DATA'!AS281)),ROUND(INDEX('1-DATA'!$1:$1048576,IF(OR($B283="STD. DEVIATION",$C$1=1),$A283,$A283+1),COLUMN('1-DATA'!AS281)),IF($B283="STD. DEVIATION",2,$F$1))))</f>
        <v/>
      </c>
      <c r="AU283" s="1" t="str">
        <f>IF(OR($B283="",AU$7=""),"",IF($B283="MEANS",INDEX('1-DATA'!$1:$1048576,$A282-1,COLUMN('1-DATA'!AT281)),ROUND(INDEX('1-DATA'!$1:$1048576,IF(OR($B283="STD. DEVIATION",$C$1=1),$A283,$A283+1),COLUMN('1-DATA'!AT281)),IF($B283="STD. DEVIATION",2,$F$1))))</f>
        <v/>
      </c>
      <c r="AV283" s="1" t="str">
        <f>IF(OR($B283="",AV$7=""),"",IF($B283="MEANS",INDEX('1-DATA'!$1:$1048576,$A282-1,COLUMN('1-DATA'!AU281)),ROUND(INDEX('1-DATA'!$1:$1048576,IF(OR($B283="STD. DEVIATION",$C$1=1),$A283,$A283+1),COLUMN('1-DATA'!AU281)),IF($B283="STD. DEVIATION",2,$F$1))))</f>
        <v/>
      </c>
      <c r="AW283" s="1" t="str">
        <f>IF(OR($B283="",AW$7=""),"",IF($B283="MEANS",INDEX('1-DATA'!$1:$1048576,$A282-1,COLUMN('1-DATA'!AV281)),ROUND(INDEX('1-DATA'!$1:$1048576,IF(OR($B283="STD. DEVIATION",$C$1=1),$A283,$A283+1),COLUMN('1-DATA'!AV281)),IF($B283="STD. DEVIATION",2,$F$1))))</f>
        <v/>
      </c>
      <c r="AX283" s="1" t="str">
        <f>IF(OR($B283="",AX$7=""),"",IF($B283="MEANS",INDEX('1-DATA'!$1:$1048576,$A282-1,COLUMN('1-DATA'!AW281)),ROUND(INDEX('1-DATA'!$1:$1048576,IF(OR($B283="STD. DEVIATION",$C$1=1),$A283,$A283+1),COLUMN('1-DATA'!AW281)),IF($B283="STD. DEVIATION",2,$F$1))))</f>
        <v/>
      </c>
      <c r="AY283" s="1" t="str">
        <f>IF(OR($B283="",AY$7=""),"",IF($B283="MEANS",INDEX('1-DATA'!$1:$1048576,$A282-1,COLUMN('1-DATA'!AX281)),ROUND(INDEX('1-DATA'!$1:$1048576,IF(OR($B283="STD. DEVIATION",$C$1=1),$A283,$A283+1),COLUMN('1-DATA'!AX281)),IF($B283="STD. DEVIATION",2,$F$1))))</f>
        <v/>
      </c>
      <c r="AZ283" s="1" t="str">
        <f>IF(OR($B283="",AZ$7=""),"",IF($B283="MEANS",INDEX('1-DATA'!$1:$1048576,$A282-1,COLUMN('1-DATA'!AY281)),ROUND(INDEX('1-DATA'!$1:$1048576,IF(OR($B283="STD. DEVIATION",$C$1=1),$A283,$A283+1),COLUMN('1-DATA'!AY281)),IF($B283="STD. DEVIATION",2,$F$1))))</f>
        <v/>
      </c>
    </row>
    <row r="284" spans="1:52" x14ac:dyDescent="0.25">
      <c r="A284" s="11">
        <f t="shared" si="4"/>
        <v>838</v>
      </c>
      <c r="B284" s="1" t="str">
        <f>IF(B283="STD. DEVIATION",INDEX('1-DATA'!$1:$1048576,$A283-1,1),IF(INDEX('1-DATA'!$1:$1048576,$A284,1)&lt;&gt;"",INDEX('1-DATA'!$1:$1048576,$A284,1),""))</f>
        <v/>
      </c>
      <c r="C284" s="1" t="str">
        <f>IF(OR($B284="",C$7=""),"",IF($B284="MEANS",INDEX('1-DATA'!$1:$1048576,$A283-1,COLUMN('1-DATA'!B282)),ROUND(INDEX('1-DATA'!$1:$1048576,IF(OR($B284="STD. DEVIATION",$C$1=1),$A284,$A284+1),COLUMN('1-DATA'!B282)),IF($B284="STD. DEVIATION",2,$F$1))))</f>
        <v/>
      </c>
      <c r="D284" s="1" t="str">
        <f>IF(OR($B284="",D$7=""),"",IF($B284="MEANS",INDEX('1-DATA'!$1:$1048576,$A283-1,COLUMN('1-DATA'!C282)),ROUND(INDEX('1-DATA'!$1:$1048576,IF(OR($B284="STD. DEVIATION",$C$1=1),$A284,$A284+1),COLUMN('1-DATA'!C282)),IF($B284="STD. DEVIATION",2,$F$1))))</f>
        <v/>
      </c>
      <c r="E284" s="1" t="str">
        <f>IF(OR($B284="",E$7=""),"",IF($B284="MEANS",INDEX('1-DATA'!$1:$1048576,$A283-1,COLUMN('1-DATA'!D282)),ROUND(INDEX('1-DATA'!$1:$1048576,IF(OR($B284="STD. DEVIATION",$C$1=1),$A284,$A284+1),COLUMN('1-DATA'!D282)),IF($B284="STD. DEVIATION",2,$F$1))))</f>
        <v/>
      </c>
      <c r="F284" s="1" t="str">
        <f>IF(OR($B284="",F$7=""),"",IF($B284="MEANS",INDEX('1-DATA'!$1:$1048576,$A283-1,COLUMN('1-DATA'!E282)),ROUND(INDEX('1-DATA'!$1:$1048576,IF(OR($B284="STD. DEVIATION",$C$1=1),$A284,$A284+1),COLUMN('1-DATA'!E282)),IF($B284="STD. DEVIATION",2,$F$1))))</f>
        <v/>
      </c>
      <c r="G284" s="1" t="str">
        <f>IF(OR($B284="",G$7=""),"",IF($B284="MEANS",INDEX('1-DATA'!$1:$1048576,$A283-1,COLUMN('1-DATA'!F282)),ROUND(INDEX('1-DATA'!$1:$1048576,IF(OR($B284="STD. DEVIATION",$C$1=1),$A284,$A284+1),COLUMN('1-DATA'!F282)),IF($B284="STD. DEVIATION",2,$F$1))))</f>
        <v/>
      </c>
      <c r="H284" s="1" t="str">
        <f>IF(OR($B284="",H$7=""),"",IF($B284="MEANS",INDEX('1-DATA'!$1:$1048576,$A283-1,COLUMN('1-DATA'!G282)),ROUND(INDEX('1-DATA'!$1:$1048576,IF(OR($B284="STD. DEVIATION",$C$1=1),$A284,$A284+1),COLUMN('1-DATA'!G282)),IF($B284="STD. DEVIATION",2,$F$1))))</f>
        <v/>
      </c>
      <c r="I284" s="1" t="str">
        <f>IF(OR($B284="",I$7=""),"",IF($B284="MEANS",INDEX('1-DATA'!$1:$1048576,$A283-1,COLUMN('1-DATA'!H282)),ROUND(INDEX('1-DATA'!$1:$1048576,IF(OR($B284="STD. DEVIATION",$C$1=1),$A284,$A284+1),COLUMN('1-DATA'!H282)),IF($B284="STD. DEVIATION",2,$F$1))))</f>
        <v/>
      </c>
      <c r="J284" s="1" t="str">
        <f>IF(OR($B284="",J$7=""),"",IF($B284="MEANS",INDEX('1-DATA'!$1:$1048576,$A283-1,COLUMN('1-DATA'!I282)),ROUND(INDEX('1-DATA'!$1:$1048576,IF(OR($B284="STD. DEVIATION",$C$1=1),$A284,$A284+1),COLUMN('1-DATA'!I282)),IF($B284="STD. DEVIATION",2,$F$1))))</f>
        <v/>
      </c>
      <c r="K284" s="1" t="str">
        <f>IF(OR($B284="",K$7=""),"",IF($B284="MEANS",INDEX('1-DATA'!$1:$1048576,$A283-1,COLUMN('1-DATA'!J282)),ROUND(INDEX('1-DATA'!$1:$1048576,IF(OR($B284="STD. DEVIATION",$C$1=1),$A284,$A284+1),COLUMN('1-DATA'!J282)),IF($B284="STD. DEVIATION",2,$F$1))))</f>
        <v/>
      </c>
      <c r="L284" s="1" t="str">
        <f>IF(OR($B284="",L$7=""),"",IF($B284="MEANS",INDEX('1-DATA'!$1:$1048576,$A283-1,COLUMN('1-DATA'!K282)),ROUND(INDEX('1-DATA'!$1:$1048576,IF(OR($B284="STD. DEVIATION",$C$1=1),$A284,$A284+1),COLUMN('1-DATA'!K282)),IF($B284="STD. DEVIATION",2,$F$1))))</f>
        <v/>
      </c>
      <c r="M284" s="1" t="str">
        <f>IF(OR($B284="",M$7=""),"",IF($B284="MEANS",INDEX('1-DATA'!$1:$1048576,$A283-1,COLUMN('1-DATA'!L282)),ROUND(INDEX('1-DATA'!$1:$1048576,IF(OR($B284="STD. DEVIATION",$C$1=1),$A284,$A284+1),COLUMN('1-DATA'!L282)),IF($B284="STD. DEVIATION",2,$F$1))))</f>
        <v/>
      </c>
      <c r="N284" s="1" t="str">
        <f>IF(OR($B284="",N$7=""),"",IF($B284="MEANS",INDEX('1-DATA'!$1:$1048576,$A283-1,COLUMN('1-DATA'!M282)),ROUND(INDEX('1-DATA'!$1:$1048576,IF(OR($B284="STD. DEVIATION",$C$1=1),$A284,$A284+1),COLUMN('1-DATA'!M282)),IF($B284="STD. DEVIATION",2,$F$1))))</f>
        <v/>
      </c>
      <c r="O284" s="1" t="str">
        <f>IF(OR($B284="",O$7=""),"",IF($B284="MEANS",INDEX('1-DATA'!$1:$1048576,$A283-1,COLUMN('1-DATA'!N282)),ROUND(INDEX('1-DATA'!$1:$1048576,IF(OR($B284="STD. DEVIATION",$C$1=1),$A284,$A284+1),COLUMN('1-DATA'!N282)),IF($B284="STD. DEVIATION",2,$F$1))))</f>
        <v/>
      </c>
      <c r="P284" s="1" t="str">
        <f>IF(OR($B284="",P$7=""),"",IF($B284="MEANS",INDEX('1-DATA'!$1:$1048576,$A283-1,COLUMN('1-DATA'!O282)),ROUND(INDEX('1-DATA'!$1:$1048576,IF(OR($B284="STD. DEVIATION",$C$1=1),$A284,$A284+1),COLUMN('1-DATA'!O282)),IF($B284="STD. DEVIATION",2,$F$1))))</f>
        <v/>
      </c>
      <c r="Q284" s="1" t="str">
        <f>IF(OR($B284="",Q$7=""),"",IF($B284="MEANS",INDEX('1-DATA'!$1:$1048576,$A283-1,COLUMN('1-DATA'!P282)),ROUND(INDEX('1-DATA'!$1:$1048576,IF(OR($B284="STD. DEVIATION",$C$1=1),$A284,$A284+1),COLUMN('1-DATA'!P282)),IF($B284="STD. DEVIATION",2,$F$1))))</f>
        <v/>
      </c>
      <c r="R284" s="1" t="str">
        <f>IF(OR($B284="",R$7=""),"",IF($B284="MEANS",INDEX('1-DATA'!$1:$1048576,$A283-1,COLUMN('1-DATA'!Q282)),ROUND(INDEX('1-DATA'!$1:$1048576,IF(OR($B284="STD. DEVIATION",$C$1=1),$A284,$A284+1),COLUMN('1-DATA'!Q282)),IF($B284="STD. DEVIATION",2,$F$1))))</f>
        <v/>
      </c>
      <c r="S284" s="1" t="str">
        <f>IF(OR($B284="",S$7=""),"",IF($B284="MEANS",INDEX('1-DATA'!$1:$1048576,$A283-1,COLUMN('1-DATA'!R282)),ROUND(INDEX('1-DATA'!$1:$1048576,IF(OR($B284="STD. DEVIATION",$C$1=1),$A284,$A284+1),COLUMN('1-DATA'!R282)),IF($B284="STD. DEVIATION",2,$F$1))))</f>
        <v/>
      </c>
      <c r="T284" s="1" t="str">
        <f>IF(OR($B284="",T$7=""),"",IF($B284="MEANS",INDEX('1-DATA'!$1:$1048576,$A283-1,COLUMN('1-DATA'!S282)),ROUND(INDEX('1-DATA'!$1:$1048576,IF(OR($B284="STD. DEVIATION",$C$1=1),$A284,$A284+1),COLUMN('1-DATA'!S282)),IF($B284="STD. DEVIATION",2,$F$1))))</f>
        <v/>
      </c>
      <c r="U284" s="1" t="str">
        <f>IF(OR($B284="",U$7=""),"",IF($B284="MEANS",INDEX('1-DATA'!$1:$1048576,$A283-1,COLUMN('1-DATA'!T282)),ROUND(INDEX('1-DATA'!$1:$1048576,IF(OR($B284="STD. DEVIATION",$C$1=1),$A284,$A284+1),COLUMN('1-DATA'!T282)),IF($B284="STD. DEVIATION",2,$F$1))))</f>
        <v/>
      </c>
      <c r="V284" s="1" t="str">
        <f>IF(OR($B284="",V$7=""),"",IF($B284="MEANS",INDEX('1-DATA'!$1:$1048576,$A283-1,COLUMN('1-DATA'!U282)),ROUND(INDEX('1-DATA'!$1:$1048576,IF(OR($B284="STD. DEVIATION",$C$1=1),$A284,$A284+1),COLUMN('1-DATA'!U282)),IF($B284="STD. DEVIATION",2,$F$1))))</f>
        <v/>
      </c>
      <c r="W284" s="1" t="str">
        <f>IF(OR($B284="",W$7=""),"",IF($B284="MEANS",INDEX('1-DATA'!$1:$1048576,$A283-1,COLUMN('1-DATA'!V282)),ROUND(INDEX('1-DATA'!$1:$1048576,IF(OR($B284="STD. DEVIATION",$C$1=1),$A284,$A284+1),COLUMN('1-DATA'!V282)),IF($B284="STD. DEVIATION",2,$F$1))))</f>
        <v/>
      </c>
      <c r="X284" s="1" t="str">
        <f>IF(OR($B284="",X$7=""),"",IF($B284="MEANS",INDEX('1-DATA'!$1:$1048576,$A283-1,COLUMN('1-DATA'!W282)),ROUND(INDEX('1-DATA'!$1:$1048576,IF(OR($B284="STD. DEVIATION",$C$1=1),$A284,$A284+1),COLUMN('1-DATA'!W282)),IF($B284="STD. DEVIATION",2,$F$1))))</f>
        <v/>
      </c>
      <c r="Y284" s="1" t="str">
        <f>IF(OR($B284="",Y$7=""),"",IF($B284="MEANS",INDEX('1-DATA'!$1:$1048576,$A283-1,COLUMN('1-DATA'!X282)),ROUND(INDEX('1-DATA'!$1:$1048576,IF(OR($B284="STD. DEVIATION",$C$1=1),$A284,$A284+1),COLUMN('1-DATA'!X282)),IF($B284="STD. DEVIATION",2,$F$1))))</f>
        <v/>
      </c>
      <c r="Z284" s="1" t="str">
        <f>IF(OR($B284="",Z$7=""),"",IF($B284="MEANS",INDEX('1-DATA'!$1:$1048576,$A283-1,COLUMN('1-DATA'!Y282)),ROUND(INDEX('1-DATA'!$1:$1048576,IF(OR($B284="STD. DEVIATION",$C$1=1),$A284,$A284+1),COLUMN('1-DATA'!Y282)),IF($B284="STD. DEVIATION",2,$F$1))))</f>
        <v/>
      </c>
      <c r="AA284" s="1" t="str">
        <f>IF(OR($B284="",AA$7=""),"",IF($B284="MEANS",INDEX('1-DATA'!$1:$1048576,$A283-1,COLUMN('1-DATA'!Z282)),ROUND(INDEX('1-DATA'!$1:$1048576,IF(OR($B284="STD. DEVIATION",$C$1=1),$A284,$A284+1),COLUMN('1-DATA'!Z282)),IF($B284="STD. DEVIATION",2,$F$1))))</f>
        <v/>
      </c>
      <c r="AB284" s="1" t="str">
        <f>IF(OR($B284="",AB$7=""),"",IF($B284="MEANS",INDEX('1-DATA'!$1:$1048576,$A283-1,COLUMN('1-DATA'!AA282)),ROUND(INDEX('1-DATA'!$1:$1048576,IF(OR($B284="STD. DEVIATION",$C$1=1),$A284,$A284+1),COLUMN('1-DATA'!AA282)),IF($B284="STD. DEVIATION",2,$F$1))))</f>
        <v/>
      </c>
      <c r="AC284" s="1" t="str">
        <f>IF(OR($B284="",AC$7=""),"",IF($B284="MEANS",INDEX('1-DATA'!$1:$1048576,$A283-1,COLUMN('1-DATA'!AB282)),ROUND(INDEX('1-DATA'!$1:$1048576,IF(OR($B284="STD. DEVIATION",$C$1=1),$A284,$A284+1),COLUMN('1-DATA'!AB282)),IF($B284="STD. DEVIATION",2,$F$1))))</f>
        <v/>
      </c>
      <c r="AD284" s="1" t="str">
        <f>IF(OR($B284="",AD$7=""),"",IF($B284="MEANS",INDEX('1-DATA'!$1:$1048576,$A283-1,COLUMN('1-DATA'!AC282)),ROUND(INDEX('1-DATA'!$1:$1048576,IF(OR($B284="STD. DEVIATION",$C$1=1),$A284,$A284+1),COLUMN('1-DATA'!AC282)),IF($B284="STD. DEVIATION",2,$F$1))))</f>
        <v/>
      </c>
      <c r="AE284" s="1" t="str">
        <f>IF(OR($B284="",AE$7=""),"",IF($B284="MEANS",INDEX('1-DATA'!$1:$1048576,$A283-1,COLUMN('1-DATA'!AD282)),ROUND(INDEX('1-DATA'!$1:$1048576,IF(OR($B284="STD. DEVIATION",$C$1=1),$A284,$A284+1),COLUMN('1-DATA'!AD282)),IF($B284="STD. DEVIATION",2,$F$1))))</f>
        <v/>
      </c>
      <c r="AF284" s="1" t="str">
        <f>IF(OR($B284="",AF$7=""),"",IF($B284="MEANS",INDEX('1-DATA'!$1:$1048576,$A283-1,COLUMN('1-DATA'!AE282)),ROUND(INDEX('1-DATA'!$1:$1048576,IF(OR($B284="STD. DEVIATION",$C$1=1),$A284,$A284+1),COLUMN('1-DATA'!AE282)),IF($B284="STD. DEVIATION",2,$F$1))))</f>
        <v/>
      </c>
      <c r="AG284" s="1" t="str">
        <f>IF(OR($B284="",AG$7=""),"",IF($B284="MEANS",INDEX('1-DATA'!$1:$1048576,$A283-1,COLUMN('1-DATA'!AF282)),ROUND(INDEX('1-DATA'!$1:$1048576,IF(OR($B284="STD. DEVIATION",$C$1=1),$A284,$A284+1),COLUMN('1-DATA'!AF282)),IF($B284="STD. DEVIATION",2,$F$1))))</f>
        <v/>
      </c>
      <c r="AH284" s="1" t="str">
        <f>IF(OR($B284="",AH$7=""),"",IF($B284="MEANS",INDEX('1-DATA'!$1:$1048576,$A283-1,COLUMN('1-DATA'!AG282)),ROUND(INDEX('1-DATA'!$1:$1048576,IF(OR($B284="STD. DEVIATION",$C$1=1),$A284,$A284+1),COLUMN('1-DATA'!AG282)),IF($B284="STD. DEVIATION",2,$F$1))))</f>
        <v/>
      </c>
      <c r="AI284" s="1" t="str">
        <f>IF(OR($B284="",AI$7=""),"",IF($B284="MEANS",INDEX('1-DATA'!$1:$1048576,$A283-1,COLUMN('1-DATA'!AH282)),ROUND(INDEX('1-DATA'!$1:$1048576,IF(OR($B284="STD. DEVIATION",$C$1=1),$A284,$A284+1),COLUMN('1-DATA'!AH282)),IF($B284="STD. DEVIATION",2,$F$1))))</f>
        <v/>
      </c>
      <c r="AJ284" s="1" t="str">
        <f>IF(OR($B284="",AJ$7=""),"",IF($B284="MEANS",INDEX('1-DATA'!$1:$1048576,$A283-1,COLUMN('1-DATA'!AI282)),ROUND(INDEX('1-DATA'!$1:$1048576,IF(OR($B284="STD. DEVIATION",$C$1=1),$A284,$A284+1),COLUMN('1-DATA'!AI282)),IF($B284="STD. DEVIATION",2,$F$1))))</f>
        <v/>
      </c>
      <c r="AK284" s="1" t="str">
        <f>IF(OR($B284="",AK$7=""),"",IF($B284="MEANS",INDEX('1-DATA'!$1:$1048576,$A283-1,COLUMN('1-DATA'!AJ282)),ROUND(INDEX('1-DATA'!$1:$1048576,IF(OR($B284="STD. DEVIATION",$C$1=1),$A284,$A284+1),COLUMN('1-DATA'!AJ282)),IF($B284="STD. DEVIATION",2,$F$1))))</f>
        <v/>
      </c>
      <c r="AL284" s="1" t="str">
        <f>IF(OR($B284="",AL$7=""),"",IF($B284="MEANS",INDEX('1-DATA'!$1:$1048576,$A283-1,COLUMN('1-DATA'!AK282)),ROUND(INDEX('1-DATA'!$1:$1048576,IF(OR($B284="STD. DEVIATION",$C$1=1),$A284,$A284+1),COLUMN('1-DATA'!AK282)),IF($B284="STD. DEVIATION",2,$F$1))))</f>
        <v/>
      </c>
      <c r="AM284" s="1" t="str">
        <f>IF(OR($B284="",AM$7=""),"",IF($B284="MEANS",INDEX('1-DATA'!$1:$1048576,$A283-1,COLUMN('1-DATA'!AL282)),ROUND(INDEX('1-DATA'!$1:$1048576,IF(OR($B284="STD. DEVIATION",$C$1=1),$A284,$A284+1),COLUMN('1-DATA'!AL282)),IF($B284="STD. DEVIATION",2,$F$1))))</f>
        <v/>
      </c>
      <c r="AN284" s="1" t="str">
        <f>IF(OR($B284="",AN$7=""),"",IF($B284="MEANS",INDEX('1-DATA'!$1:$1048576,$A283-1,COLUMN('1-DATA'!AM282)),ROUND(INDEX('1-DATA'!$1:$1048576,IF(OR($B284="STD. DEVIATION",$C$1=1),$A284,$A284+1),COLUMN('1-DATA'!AM282)),IF($B284="STD. DEVIATION",2,$F$1))))</f>
        <v/>
      </c>
      <c r="AO284" s="1" t="str">
        <f>IF(OR($B284="",AO$7=""),"",IF($B284="MEANS",INDEX('1-DATA'!$1:$1048576,$A283-1,COLUMN('1-DATA'!AN282)),ROUND(INDEX('1-DATA'!$1:$1048576,IF(OR($B284="STD. DEVIATION",$C$1=1),$A284,$A284+1),COLUMN('1-DATA'!AN282)),IF($B284="STD. DEVIATION",2,$F$1))))</f>
        <v/>
      </c>
      <c r="AP284" s="1" t="str">
        <f>IF(OR($B284="",AP$7=""),"",IF($B284="MEANS",INDEX('1-DATA'!$1:$1048576,$A283-1,COLUMN('1-DATA'!AO282)),ROUND(INDEX('1-DATA'!$1:$1048576,IF(OR($B284="STD. DEVIATION",$C$1=1),$A284,$A284+1),COLUMN('1-DATA'!AO282)),IF($B284="STD. DEVIATION",2,$F$1))))</f>
        <v/>
      </c>
      <c r="AQ284" s="1" t="str">
        <f>IF(OR($B284="",AQ$7=""),"",IF($B284="MEANS",INDEX('1-DATA'!$1:$1048576,$A283-1,COLUMN('1-DATA'!AP282)),ROUND(INDEX('1-DATA'!$1:$1048576,IF(OR($B284="STD. DEVIATION",$C$1=1),$A284,$A284+1),COLUMN('1-DATA'!AP282)),IF($B284="STD. DEVIATION",2,$F$1))))</f>
        <v/>
      </c>
      <c r="AR284" s="1" t="str">
        <f>IF(OR($B284="",AR$7=""),"",IF($B284="MEANS",INDEX('1-DATA'!$1:$1048576,$A283-1,COLUMN('1-DATA'!AQ282)),ROUND(INDEX('1-DATA'!$1:$1048576,IF(OR($B284="STD. DEVIATION",$C$1=1),$A284,$A284+1),COLUMN('1-DATA'!AQ282)),IF($B284="STD. DEVIATION",2,$F$1))))</f>
        <v/>
      </c>
      <c r="AS284" s="1" t="str">
        <f>IF(OR($B284="",AS$7=""),"",IF($B284="MEANS",INDEX('1-DATA'!$1:$1048576,$A283-1,COLUMN('1-DATA'!AR282)),ROUND(INDEX('1-DATA'!$1:$1048576,IF(OR($B284="STD. DEVIATION",$C$1=1),$A284,$A284+1),COLUMN('1-DATA'!AR282)),IF($B284="STD. DEVIATION",2,$F$1))))</f>
        <v/>
      </c>
      <c r="AT284" s="1" t="str">
        <f>IF(OR($B284="",AT$7=""),"",IF($B284="MEANS",INDEX('1-DATA'!$1:$1048576,$A283-1,COLUMN('1-DATA'!AS282)),ROUND(INDEX('1-DATA'!$1:$1048576,IF(OR($B284="STD. DEVIATION",$C$1=1),$A284,$A284+1),COLUMN('1-DATA'!AS282)),IF($B284="STD. DEVIATION",2,$F$1))))</f>
        <v/>
      </c>
      <c r="AU284" s="1" t="str">
        <f>IF(OR($B284="",AU$7=""),"",IF($B284="MEANS",INDEX('1-DATA'!$1:$1048576,$A283-1,COLUMN('1-DATA'!AT282)),ROUND(INDEX('1-DATA'!$1:$1048576,IF(OR($B284="STD. DEVIATION",$C$1=1),$A284,$A284+1),COLUMN('1-DATA'!AT282)),IF($B284="STD. DEVIATION",2,$F$1))))</f>
        <v/>
      </c>
      <c r="AV284" s="1" t="str">
        <f>IF(OR($B284="",AV$7=""),"",IF($B284="MEANS",INDEX('1-DATA'!$1:$1048576,$A283-1,COLUMN('1-DATA'!AU282)),ROUND(INDEX('1-DATA'!$1:$1048576,IF(OR($B284="STD. DEVIATION",$C$1=1),$A284,$A284+1),COLUMN('1-DATA'!AU282)),IF($B284="STD. DEVIATION",2,$F$1))))</f>
        <v/>
      </c>
      <c r="AW284" s="1" t="str">
        <f>IF(OR($B284="",AW$7=""),"",IF($B284="MEANS",INDEX('1-DATA'!$1:$1048576,$A283-1,COLUMN('1-DATA'!AV282)),ROUND(INDEX('1-DATA'!$1:$1048576,IF(OR($B284="STD. DEVIATION",$C$1=1),$A284,$A284+1),COLUMN('1-DATA'!AV282)),IF($B284="STD. DEVIATION",2,$F$1))))</f>
        <v/>
      </c>
      <c r="AX284" s="1" t="str">
        <f>IF(OR($B284="",AX$7=""),"",IF($B284="MEANS",INDEX('1-DATA'!$1:$1048576,$A283-1,COLUMN('1-DATA'!AW282)),ROUND(INDEX('1-DATA'!$1:$1048576,IF(OR($B284="STD. DEVIATION",$C$1=1),$A284,$A284+1),COLUMN('1-DATA'!AW282)),IF($B284="STD. DEVIATION",2,$F$1))))</f>
        <v/>
      </c>
      <c r="AY284" s="1" t="str">
        <f>IF(OR($B284="",AY$7=""),"",IF($B284="MEANS",INDEX('1-DATA'!$1:$1048576,$A283-1,COLUMN('1-DATA'!AX282)),ROUND(INDEX('1-DATA'!$1:$1048576,IF(OR($B284="STD. DEVIATION",$C$1=1),$A284,$A284+1),COLUMN('1-DATA'!AX282)),IF($B284="STD. DEVIATION",2,$F$1))))</f>
        <v/>
      </c>
      <c r="AZ284" s="1" t="str">
        <f>IF(OR($B284="",AZ$7=""),"",IF($B284="MEANS",INDEX('1-DATA'!$1:$1048576,$A283-1,COLUMN('1-DATA'!AY282)),ROUND(INDEX('1-DATA'!$1:$1048576,IF(OR($B284="STD. DEVIATION",$C$1=1),$A284,$A284+1),COLUMN('1-DATA'!AY282)),IF($B284="STD. DEVIATION",2,$F$1))))</f>
        <v/>
      </c>
    </row>
    <row r="285" spans="1:52" x14ac:dyDescent="0.25">
      <c r="A285" s="11">
        <f t="shared" si="4"/>
        <v>841</v>
      </c>
      <c r="B285" s="1" t="str">
        <f>IF(B284="STD. DEVIATION",INDEX('1-DATA'!$1:$1048576,$A284-1,1),IF(INDEX('1-DATA'!$1:$1048576,$A285,1)&lt;&gt;"",INDEX('1-DATA'!$1:$1048576,$A285,1),""))</f>
        <v/>
      </c>
      <c r="C285" s="1" t="str">
        <f>IF(OR($B285="",C$7=""),"",IF($B285="MEANS",INDEX('1-DATA'!$1:$1048576,$A284-1,COLUMN('1-DATA'!B283)),ROUND(INDEX('1-DATA'!$1:$1048576,IF(OR($B285="STD. DEVIATION",$C$1=1),$A285,$A285+1),COLUMN('1-DATA'!B283)),IF($B285="STD. DEVIATION",2,$F$1))))</f>
        <v/>
      </c>
      <c r="D285" s="1" t="str">
        <f>IF(OR($B285="",D$7=""),"",IF($B285="MEANS",INDEX('1-DATA'!$1:$1048576,$A284-1,COLUMN('1-DATA'!C283)),ROUND(INDEX('1-DATA'!$1:$1048576,IF(OR($B285="STD. DEVIATION",$C$1=1),$A285,$A285+1),COLUMN('1-DATA'!C283)),IF($B285="STD. DEVIATION",2,$F$1))))</f>
        <v/>
      </c>
      <c r="E285" s="1" t="str">
        <f>IF(OR($B285="",E$7=""),"",IF($B285="MEANS",INDEX('1-DATA'!$1:$1048576,$A284-1,COLUMN('1-DATA'!D283)),ROUND(INDEX('1-DATA'!$1:$1048576,IF(OR($B285="STD. DEVIATION",$C$1=1),$A285,$A285+1),COLUMN('1-DATA'!D283)),IF($B285="STD. DEVIATION",2,$F$1))))</f>
        <v/>
      </c>
      <c r="F285" s="1" t="str">
        <f>IF(OR($B285="",F$7=""),"",IF($B285="MEANS",INDEX('1-DATA'!$1:$1048576,$A284-1,COLUMN('1-DATA'!E283)),ROUND(INDEX('1-DATA'!$1:$1048576,IF(OR($B285="STD. DEVIATION",$C$1=1),$A285,$A285+1),COLUMN('1-DATA'!E283)),IF($B285="STD. DEVIATION",2,$F$1))))</f>
        <v/>
      </c>
      <c r="G285" s="1" t="str">
        <f>IF(OR($B285="",G$7=""),"",IF($B285="MEANS",INDEX('1-DATA'!$1:$1048576,$A284-1,COLUMN('1-DATA'!F283)),ROUND(INDEX('1-DATA'!$1:$1048576,IF(OR($B285="STD. DEVIATION",$C$1=1),$A285,$A285+1),COLUMN('1-DATA'!F283)),IF($B285="STD. DEVIATION",2,$F$1))))</f>
        <v/>
      </c>
      <c r="H285" s="1" t="str">
        <f>IF(OR($B285="",H$7=""),"",IF($B285="MEANS",INDEX('1-DATA'!$1:$1048576,$A284-1,COLUMN('1-DATA'!G283)),ROUND(INDEX('1-DATA'!$1:$1048576,IF(OR($B285="STD. DEVIATION",$C$1=1),$A285,$A285+1),COLUMN('1-DATA'!G283)),IF($B285="STD. DEVIATION",2,$F$1))))</f>
        <v/>
      </c>
      <c r="I285" s="1" t="str">
        <f>IF(OR($B285="",I$7=""),"",IF($B285="MEANS",INDEX('1-DATA'!$1:$1048576,$A284-1,COLUMN('1-DATA'!H283)),ROUND(INDEX('1-DATA'!$1:$1048576,IF(OR($B285="STD. DEVIATION",$C$1=1),$A285,$A285+1),COLUMN('1-DATA'!H283)),IF($B285="STD. DEVIATION",2,$F$1))))</f>
        <v/>
      </c>
      <c r="J285" s="1" t="str">
        <f>IF(OR($B285="",J$7=""),"",IF($B285="MEANS",INDEX('1-DATA'!$1:$1048576,$A284-1,COLUMN('1-DATA'!I283)),ROUND(INDEX('1-DATA'!$1:$1048576,IF(OR($B285="STD. DEVIATION",$C$1=1),$A285,$A285+1),COLUMN('1-DATA'!I283)),IF($B285="STD. DEVIATION",2,$F$1))))</f>
        <v/>
      </c>
      <c r="K285" s="1" t="str">
        <f>IF(OR($B285="",K$7=""),"",IF($B285="MEANS",INDEX('1-DATA'!$1:$1048576,$A284-1,COLUMN('1-DATA'!J283)),ROUND(INDEX('1-DATA'!$1:$1048576,IF(OR($B285="STD. DEVIATION",$C$1=1),$A285,$A285+1),COLUMN('1-DATA'!J283)),IF($B285="STD. DEVIATION",2,$F$1))))</f>
        <v/>
      </c>
      <c r="L285" s="1" t="str">
        <f>IF(OR($B285="",L$7=""),"",IF($B285="MEANS",INDEX('1-DATA'!$1:$1048576,$A284-1,COLUMN('1-DATA'!K283)),ROUND(INDEX('1-DATA'!$1:$1048576,IF(OR($B285="STD. DEVIATION",$C$1=1),$A285,$A285+1),COLUMN('1-DATA'!K283)),IF($B285="STD. DEVIATION",2,$F$1))))</f>
        <v/>
      </c>
      <c r="M285" s="1" t="str">
        <f>IF(OR($B285="",M$7=""),"",IF($B285="MEANS",INDEX('1-DATA'!$1:$1048576,$A284-1,COLUMN('1-DATA'!L283)),ROUND(INDEX('1-DATA'!$1:$1048576,IF(OR($B285="STD. DEVIATION",$C$1=1),$A285,$A285+1),COLUMN('1-DATA'!L283)),IF($B285="STD. DEVIATION",2,$F$1))))</f>
        <v/>
      </c>
      <c r="N285" s="1" t="str">
        <f>IF(OR($B285="",N$7=""),"",IF($B285="MEANS",INDEX('1-DATA'!$1:$1048576,$A284-1,COLUMN('1-DATA'!M283)),ROUND(INDEX('1-DATA'!$1:$1048576,IF(OR($B285="STD. DEVIATION",$C$1=1),$A285,$A285+1),COLUMN('1-DATA'!M283)),IF($B285="STD. DEVIATION",2,$F$1))))</f>
        <v/>
      </c>
      <c r="O285" s="1" t="str">
        <f>IF(OR($B285="",O$7=""),"",IF($B285="MEANS",INDEX('1-DATA'!$1:$1048576,$A284-1,COLUMN('1-DATA'!N283)),ROUND(INDEX('1-DATA'!$1:$1048576,IF(OR($B285="STD. DEVIATION",$C$1=1),$A285,$A285+1),COLUMN('1-DATA'!N283)),IF($B285="STD. DEVIATION",2,$F$1))))</f>
        <v/>
      </c>
      <c r="P285" s="1" t="str">
        <f>IF(OR($B285="",P$7=""),"",IF($B285="MEANS",INDEX('1-DATA'!$1:$1048576,$A284-1,COLUMN('1-DATA'!O283)),ROUND(INDEX('1-DATA'!$1:$1048576,IF(OR($B285="STD. DEVIATION",$C$1=1),$A285,$A285+1),COLUMN('1-DATA'!O283)),IF($B285="STD. DEVIATION",2,$F$1))))</f>
        <v/>
      </c>
      <c r="Q285" s="1" t="str">
        <f>IF(OR($B285="",Q$7=""),"",IF($B285="MEANS",INDEX('1-DATA'!$1:$1048576,$A284-1,COLUMN('1-DATA'!P283)),ROUND(INDEX('1-DATA'!$1:$1048576,IF(OR($B285="STD. DEVIATION",$C$1=1),$A285,$A285+1),COLUMN('1-DATA'!P283)),IF($B285="STD. DEVIATION",2,$F$1))))</f>
        <v/>
      </c>
      <c r="R285" s="1" t="str">
        <f>IF(OR($B285="",R$7=""),"",IF($B285="MEANS",INDEX('1-DATA'!$1:$1048576,$A284-1,COLUMN('1-DATA'!Q283)),ROUND(INDEX('1-DATA'!$1:$1048576,IF(OR($B285="STD. DEVIATION",$C$1=1),$A285,$A285+1),COLUMN('1-DATA'!Q283)),IF($B285="STD. DEVIATION",2,$F$1))))</f>
        <v/>
      </c>
      <c r="S285" s="1" t="str">
        <f>IF(OR($B285="",S$7=""),"",IF($B285="MEANS",INDEX('1-DATA'!$1:$1048576,$A284-1,COLUMN('1-DATA'!R283)),ROUND(INDEX('1-DATA'!$1:$1048576,IF(OR($B285="STD. DEVIATION",$C$1=1),$A285,$A285+1),COLUMN('1-DATA'!R283)),IF($B285="STD. DEVIATION",2,$F$1))))</f>
        <v/>
      </c>
      <c r="T285" s="1" t="str">
        <f>IF(OR($B285="",T$7=""),"",IF($B285="MEANS",INDEX('1-DATA'!$1:$1048576,$A284-1,COLUMN('1-DATA'!S283)),ROUND(INDEX('1-DATA'!$1:$1048576,IF(OR($B285="STD. DEVIATION",$C$1=1),$A285,$A285+1),COLUMN('1-DATA'!S283)),IF($B285="STD. DEVIATION",2,$F$1))))</f>
        <v/>
      </c>
      <c r="U285" s="1" t="str">
        <f>IF(OR($B285="",U$7=""),"",IF($B285="MEANS",INDEX('1-DATA'!$1:$1048576,$A284-1,COLUMN('1-DATA'!T283)),ROUND(INDEX('1-DATA'!$1:$1048576,IF(OR($B285="STD. DEVIATION",$C$1=1),$A285,$A285+1),COLUMN('1-DATA'!T283)),IF($B285="STD. DEVIATION",2,$F$1))))</f>
        <v/>
      </c>
      <c r="V285" s="1" t="str">
        <f>IF(OR($B285="",V$7=""),"",IF($B285="MEANS",INDEX('1-DATA'!$1:$1048576,$A284-1,COLUMN('1-DATA'!U283)),ROUND(INDEX('1-DATA'!$1:$1048576,IF(OR($B285="STD. DEVIATION",$C$1=1),$A285,$A285+1),COLUMN('1-DATA'!U283)),IF($B285="STD. DEVIATION",2,$F$1))))</f>
        <v/>
      </c>
      <c r="W285" s="1" t="str">
        <f>IF(OR($B285="",W$7=""),"",IF($B285="MEANS",INDEX('1-DATA'!$1:$1048576,$A284-1,COLUMN('1-DATA'!V283)),ROUND(INDEX('1-DATA'!$1:$1048576,IF(OR($B285="STD. DEVIATION",$C$1=1),$A285,$A285+1),COLUMN('1-DATA'!V283)),IF($B285="STD. DEVIATION",2,$F$1))))</f>
        <v/>
      </c>
      <c r="X285" s="1" t="str">
        <f>IF(OR($B285="",X$7=""),"",IF($B285="MEANS",INDEX('1-DATA'!$1:$1048576,$A284-1,COLUMN('1-DATA'!W283)),ROUND(INDEX('1-DATA'!$1:$1048576,IF(OR($B285="STD. DEVIATION",$C$1=1),$A285,$A285+1),COLUMN('1-DATA'!W283)),IF($B285="STD. DEVIATION",2,$F$1))))</f>
        <v/>
      </c>
      <c r="Y285" s="1" t="str">
        <f>IF(OR($B285="",Y$7=""),"",IF($B285="MEANS",INDEX('1-DATA'!$1:$1048576,$A284-1,COLUMN('1-DATA'!X283)),ROUND(INDEX('1-DATA'!$1:$1048576,IF(OR($B285="STD. DEVIATION",$C$1=1),$A285,$A285+1),COLUMN('1-DATA'!X283)),IF($B285="STD. DEVIATION",2,$F$1))))</f>
        <v/>
      </c>
      <c r="Z285" s="1" t="str">
        <f>IF(OR($B285="",Z$7=""),"",IF($B285="MEANS",INDEX('1-DATA'!$1:$1048576,$A284-1,COLUMN('1-DATA'!Y283)),ROUND(INDEX('1-DATA'!$1:$1048576,IF(OR($B285="STD. DEVIATION",$C$1=1),$A285,$A285+1),COLUMN('1-DATA'!Y283)),IF($B285="STD. DEVIATION",2,$F$1))))</f>
        <v/>
      </c>
      <c r="AA285" s="1" t="str">
        <f>IF(OR($B285="",AA$7=""),"",IF($B285="MEANS",INDEX('1-DATA'!$1:$1048576,$A284-1,COLUMN('1-DATA'!Z283)),ROUND(INDEX('1-DATA'!$1:$1048576,IF(OR($B285="STD. DEVIATION",$C$1=1),$A285,$A285+1),COLUMN('1-DATA'!Z283)),IF($B285="STD. DEVIATION",2,$F$1))))</f>
        <v/>
      </c>
      <c r="AB285" s="1" t="str">
        <f>IF(OR($B285="",AB$7=""),"",IF($B285="MEANS",INDEX('1-DATA'!$1:$1048576,$A284-1,COLUMN('1-DATA'!AA283)),ROUND(INDEX('1-DATA'!$1:$1048576,IF(OR($B285="STD. DEVIATION",$C$1=1),$A285,$A285+1),COLUMN('1-DATA'!AA283)),IF($B285="STD. DEVIATION",2,$F$1))))</f>
        <v/>
      </c>
      <c r="AC285" s="1" t="str">
        <f>IF(OR($B285="",AC$7=""),"",IF($B285="MEANS",INDEX('1-DATA'!$1:$1048576,$A284-1,COLUMN('1-DATA'!AB283)),ROUND(INDEX('1-DATA'!$1:$1048576,IF(OR($B285="STD. DEVIATION",$C$1=1),$A285,$A285+1),COLUMN('1-DATA'!AB283)),IF($B285="STD. DEVIATION",2,$F$1))))</f>
        <v/>
      </c>
      <c r="AD285" s="1" t="str">
        <f>IF(OR($B285="",AD$7=""),"",IF($B285="MEANS",INDEX('1-DATA'!$1:$1048576,$A284-1,COLUMN('1-DATA'!AC283)),ROUND(INDEX('1-DATA'!$1:$1048576,IF(OR($B285="STD. DEVIATION",$C$1=1),$A285,$A285+1),COLUMN('1-DATA'!AC283)),IF($B285="STD. DEVIATION",2,$F$1))))</f>
        <v/>
      </c>
      <c r="AE285" s="1" t="str">
        <f>IF(OR($B285="",AE$7=""),"",IF($B285="MEANS",INDEX('1-DATA'!$1:$1048576,$A284-1,COLUMN('1-DATA'!AD283)),ROUND(INDEX('1-DATA'!$1:$1048576,IF(OR($B285="STD. DEVIATION",$C$1=1),$A285,$A285+1),COLUMN('1-DATA'!AD283)),IF($B285="STD. DEVIATION",2,$F$1))))</f>
        <v/>
      </c>
      <c r="AF285" s="1" t="str">
        <f>IF(OR($B285="",AF$7=""),"",IF($B285="MEANS",INDEX('1-DATA'!$1:$1048576,$A284-1,COLUMN('1-DATA'!AE283)),ROUND(INDEX('1-DATA'!$1:$1048576,IF(OR($B285="STD. DEVIATION",$C$1=1),$A285,$A285+1),COLUMN('1-DATA'!AE283)),IF($B285="STD. DEVIATION",2,$F$1))))</f>
        <v/>
      </c>
      <c r="AG285" s="1" t="str">
        <f>IF(OR($B285="",AG$7=""),"",IF($B285="MEANS",INDEX('1-DATA'!$1:$1048576,$A284-1,COLUMN('1-DATA'!AF283)),ROUND(INDEX('1-DATA'!$1:$1048576,IF(OR($B285="STD. DEVIATION",$C$1=1),$A285,$A285+1),COLUMN('1-DATA'!AF283)),IF($B285="STD. DEVIATION",2,$F$1))))</f>
        <v/>
      </c>
      <c r="AH285" s="1" t="str">
        <f>IF(OR($B285="",AH$7=""),"",IF($B285="MEANS",INDEX('1-DATA'!$1:$1048576,$A284-1,COLUMN('1-DATA'!AG283)),ROUND(INDEX('1-DATA'!$1:$1048576,IF(OR($B285="STD. DEVIATION",$C$1=1),$A285,$A285+1),COLUMN('1-DATA'!AG283)),IF($B285="STD. DEVIATION",2,$F$1))))</f>
        <v/>
      </c>
      <c r="AI285" s="1" t="str">
        <f>IF(OR($B285="",AI$7=""),"",IF($B285="MEANS",INDEX('1-DATA'!$1:$1048576,$A284-1,COLUMN('1-DATA'!AH283)),ROUND(INDEX('1-DATA'!$1:$1048576,IF(OR($B285="STD. DEVIATION",$C$1=1),$A285,$A285+1),COLUMN('1-DATA'!AH283)),IF($B285="STD. DEVIATION",2,$F$1))))</f>
        <v/>
      </c>
      <c r="AJ285" s="1" t="str">
        <f>IF(OR($B285="",AJ$7=""),"",IF($B285="MEANS",INDEX('1-DATA'!$1:$1048576,$A284-1,COLUMN('1-DATA'!AI283)),ROUND(INDEX('1-DATA'!$1:$1048576,IF(OR($B285="STD. DEVIATION",$C$1=1),$A285,$A285+1),COLUMN('1-DATA'!AI283)),IF($B285="STD. DEVIATION",2,$F$1))))</f>
        <v/>
      </c>
      <c r="AK285" s="1" t="str">
        <f>IF(OR($B285="",AK$7=""),"",IF($B285="MEANS",INDEX('1-DATA'!$1:$1048576,$A284-1,COLUMN('1-DATA'!AJ283)),ROUND(INDEX('1-DATA'!$1:$1048576,IF(OR($B285="STD. DEVIATION",$C$1=1),$A285,$A285+1),COLUMN('1-DATA'!AJ283)),IF($B285="STD. DEVIATION",2,$F$1))))</f>
        <v/>
      </c>
      <c r="AL285" s="1" t="str">
        <f>IF(OR($B285="",AL$7=""),"",IF($B285="MEANS",INDEX('1-DATA'!$1:$1048576,$A284-1,COLUMN('1-DATA'!AK283)),ROUND(INDEX('1-DATA'!$1:$1048576,IF(OR($B285="STD. DEVIATION",$C$1=1),$A285,$A285+1),COLUMN('1-DATA'!AK283)),IF($B285="STD. DEVIATION",2,$F$1))))</f>
        <v/>
      </c>
      <c r="AM285" s="1" t="str">
        <f>IF(OR($B285="",AM$7=""),"",IF($B285="MEANS",INDEX('1-DATA'!$1:$1048576,$A284-1,COLUMN('1-DATA'!AL283)),ROUND(INDEX('1-DATA'!$1:$1048576,IF(OR($B285="STD. DEVIATION",$C$1=1),$A285,$A285+1),COLUMN('1-DATA'!AL283)),IF($B285="STD. DEVIATION",2,$F$1))))</f>
        <v/>
      </c>
      <c r="AN285" s="1" t="str">
        <f>IF(OR($B285="",AN$7=""),"",IF($B285="MEANS",INDEX('1-DATA'!$1:$1048576,$A284-1,COLUMN('1-DATA'!AM283)),ROUND(INDEX('1-DATA'!$1:$1048576,IF(OR($B285="STD. DEVIATION",$C$1=1),$A285,$A285+1),COLUMN('1-DATA'!AM283)),IF($B285="STD. DEVIATION",2,$F$1))))</f>
        <v/>
      </c>
      <c r="AO285" s="1" t="str">
        <f>IF(OR($B285="",AO$7=""),"",IF($B285="MEANS",INDEX('1-DATA'!$1:$1048576,$A284-1,COLUMN('1-DATA'!AN283)),ROUND(INDEX('1-DATA'!$1:$1048576,IF(OR($B285="STD. DEVIATION",$C$1=1),$A285,$A285+1),COLUMN('1-DATA'!AN283)),IF($B285="STD. DEVIATION",2,$F$1))))</f>
        <v/>
      </c>
      <c r="AP285" s="1" t="str">
        <f>IF(OR($B285="",AP$7=""),"",IF($B285="MEANS",INDEX('1-DATA'!$1:$1048576,$A284-1,COLUMN('1-DATA'!AO283)),ROUND(INDEX('1-DATA'!$1:$1048576,IF(OR($B285="STD. DEVIATION",$C$1=1),$A285,$A285+1),COLUMN('1-DATA'!AO283)),IF($B285="STD. DEVIATION",2,$F$1))))</f>
        <v/>
      </c>
      <c r="AQ285" s="1" t="str">
        <f>IF(OR($B285="",AQ$7=""),"",IF($B285="MEANS",INDEX('1-DATA'!$1:$1048576,$A284-1,COLUMN('1-DATA'!AP283)),ROUND(INDEX('1-DATA'!$1:$1048576,IF(OR($B285="STD. DEVIATION",$C$1=1),$A285,$A285+1),COLUMN('1-DATA'!AP283)),IF($B285="STD. DEVIATION",2,$F$1))))</f>
        <v/>
      </c>
      <c r="AR285" s="1" t="str">
        <f>IF(OR($B285="",AR$7=""),"",IF($B285="MEANS",INDEX('1-DATA'!$1:$1048576,$A284-1,COLUMN('1-DATA'!AQ283)),ROUND(INDEX('1-DATA'!$1:$1048576,IF(OR($B285="STD. DEVIATION",$C$1=1),$A285,$A285+1),COLUMN('1-DATA'!AQ283)),IF($B285="STD. DEVIATION",2,$F$1))))</f>
        <v/>
      </c>
      <c r="AS285" s="1" t="str">
        <f>IF(OR($B285="",AS$7=""),"",IF($B285="MEANS",INDEX('1-DATA'!$1:$1048576,$A284-1,COLUMN('1-DATA'!AR283)),ROUND(INDEX('1-DATA'!$1:$1048576,IF(OR($B285="STD. DEVIATION",$C$1=1),$A285,$A285+1),COLUMN('1-DATA'!AR283)),IF($B285="STD. DEVIATION",2,$F$1))))</f>
        <v/>
      </c>
      <c r="AT285" s="1" t="str">
        <f>IF(OR($B285="",AT$7=""),"",IF($B285="MEANS",INDEX('1-DATA'!$1:$1048576,$A284-1,COLUMN('1-DATA'!AS283)),ROUND(INDEX('1-DATA'!$1:$1048576,IF(OR($B285="STD. DEVIATION",$C$1=1),$A285,$A285+1),COLUMN('1-DATA'!AS283)),IF($B285="STD. DEVIATION",2,$F$1))))</f>
        <v/>
      </c>
      <c r="AU285" s="1" t="str">
        <f>IF(OR($B285="",AU$7=""),"",IF($B285="MEANS",INDEX('1-DATA'!$1:$1048576,$A284-1,COLUMN('1-DATA'!AT283)),ROUND(INDEX('1-DATA'!$1:$1048576,IF(OR($B285="STD. DEVIATION",$C$1=1),$A285,$A285+1),COLUMN('1-DATA'!AT283)),IF($B285="STD. DEVIATION",2,$F$1))))</f>
        <v/>
      </c>
      <c r="AV285" s="1" t="str">
        <f>IF(OR($B285="",AV$7=""),"",IF($B285="MEANS",INDEX('1-DATA'!$1:$1048576,$A284-1,COLUMN('1-DATA'!AU283)),ROUND(INDEX('1-DATA'!$1:$1048576,IF(OR($B285="STD. DEVIATION",$C$1=1),$A285,$A285+1),COLUMN('1-DATA'!AU283)),IF($B285="STD. DEVIATION",2,$F$1))))</f>
        <v/>
      </c>
      <c r="AW285" s="1" t="str">
        <f>IF(OR($B285="",AW$7=""),"",IF($B285="MEANS",INDEX('1-DATA'!$1:$1048576,$A284-1,COLUMN('1-DATA'!AV283)),ROUND(INDEX('1-DATA'!$1:$1048576,IF(OR($B285="STD. DEVIATION",$C$1=1),$A285,$A285+1),COLUMN('1-DATA'!AV283)),IF($B285="STD. DEVIATION",2,$F$1))))</f>
        <v/>
      </c>
      <c r="AX285" s="1" t="str">
        <f>IF(OR($B285="",AX$7=""),"",IF($B285="MEANS",INDEX('1-DATA'!$1:$1048576,$A284-1,COLUMN('1-DATA'!AW283)),ROUND(INDEX('1-DATA'!$1:$1048576,IF(OR($B285="STD. DEVIATION",$C$1=1),$A285,$A285+1),COLUMN('1-DATA'!AW283)),IF($B285="STD. DEVIATION",2,$F$1))))</f>
        <v/>
      </c>
      <c r="AY285" s="1" t="str">
        <f>IF(OR($B285="",AY$7=""),"",IF($B285="MEANS",INDEX('1-DATA'!$1:$1048576,$A284-1,COLUMN('1-DATA'!AX283)),ROUND(INDEX('1-DATA'!$1:$1048576,IF(OR($B285="STD. DEVIATION",$C$1=1),$A285,$A285+1),COLUMN('1-DATA'!AX283)),IF($B285="STD. DEVIATION",2,$F$1))))</f>
        <v/>
      </c>
      <c r="AZ285" s="1" t="str">
        <f>IF(OR($B285="",AZ$7=""),"",IF($B285="MEANS",INDEX('1-DATA'!$1:$1048576,$A284-1,COLUMN('1-DATA'!AY283)),ROUND(INDEX('1-DATA'!$1:$1048576,IF(OR($B285="STD. DEVIATION",$C$1=1),$A285,$A285+1),COLUMN('1-DATA'!AY283)),IF($B285="STD. DEVIATION",2,$F$1))))</f>
        <v/>
      </c>
    </row>
    <row r="286" spans="1:52" x14ac:dyDescent="0.25">
      <c r="A286" s="11">
        <f t="shared" ref="A286:A349" si="5">A285+3</f>
        <v>844</v>
      </c>
      <c r="B286" s="1" t="str">
        <f>IF(B285="STD. DEVIATION",INDEX('1-DATA'!$1:$1048576,$A285-1,1),IF(INDEX('1-DATA'!$1:$1048576,$A286,1)&lt;&gt;"",INDEX('1-DATA'!$1:$1048576,$A286,1),""))</f>
        <v/>
      </c>
      <c r="C286" s="1" t="str">
        <f>IF(OR($B286="",C$7=""),"",IF($B286="MEANS",INDEX('1-DATA'!$1:$1048576,$A285-1,COLUMN('1-DATA'!B284)),ROUND(INDEX('1-DATA'!$1:$1048576,IF(OR($B286="STD. DEVIATION",$C$1=1),$A286,$A286+1),COLUMN('1-DATA'!B284)),IF($B286="STD. DEVIATION",2,$F$1))))</f>
        <v/>
      </c>
      <c r="D286" s="1" t="str">
        <f>IF(OR($B286="",D$7=""),"",IF($B286="MEANS",INDEX('1-DATA'!$1:$1048576,$A285-1,COLUMN('1-DATA'!C284)),ROUND(INDEX('1-DATA'!$1:$1048576,IF(OR($B286="STD. DEVIATION",$C$1=1),$A286,$A286+1),COLUMN('1-DATA'!C284)),IF($B286="STD. DEVIATION",2,$F$1))))</f>
        <v/>
      </c>
      <c r="E286" s="1" t="str">
        <f>IF(OR($B286="",E$7=""),"",IF($B286="MEANS",INDEX('1-DATA'!$1:$1048576,$A285-1,COLUMN('1-DATA'!D284)),ROUND(INDEX('1-DATA'!$1:$1048576,IF(OR($B286="STD. DEVIATION",$C$1=1),$A286,$A286+1),COLUMN('1-DATA'!D284)),IF($B286="STD. DEVIATION",2,$F$1))))</f>
        <v/>
      </c>
      <c r="F286" s="1" t="str">
        <f>IF(OR($B286="",F$7=""),"",IF($B286="MEANS",INDEX('1-DATA'!$1:$1048576,$A285-1,COLUMN('1-DATA'!E284)),ROUND(INDEX('1-DATA'!$1:$1048576,IF(OR($B286="STD. DEVIATION",$C$1=1),$A286,$A286+1),COLUMN('1-DATA'!E284)),IF($B286="STD. DEVIATION",2,$F$1))))</f>
        <v/>
      </c>
      <c r="G286" s="1" t="str">
        <f>IF(OR($B286="",G$7=""),"",IF($B286="MEANS",INDEX('1-DATA'!$1:$1048576,$A285-1,COLUMN('1-DATA'!F284)),ROUND(INDEX('1-DATA'!$1:$1048576,IF(OR($B286="STD. DEVIATION",$C$1=1),$A286,$A286+1),COLUMN('1-DATA'!F284)),IF($B286="STD. DEVIATION",2,$F$1))))</f>
        <v/>
      </c>
      <c r="H286" s="1" t="str">
        <f>IF(OR($B286="",H$7=""),"",IF($B286="MEANS",INDEX('1-DATA'!$1:$1048576,$A285-1,COLUMN('1-DATA'!G284)),ROUND(INDEX('1-DATA'!$1:$1048576,IF(OR($B286="STD. DEVIATION",$C$1=1),$A286,$A286+1),COLUMN('1-DATA'!G284)),IF($B286="STD. DEVIATION",2,$F$1))))</f>
        <v/>
      </c>
      <c r="I286" s="1" t="str">
        <f>IF(OR($B286="",I$7=""),"",IF($B286="MEANS",INDEX('1-DATA'!$1:$1048576,$A285-1,COLUMN('1-DATA'!H284)),ROUND(INDEX('1-DATA'!$1:$1048576,IF(OR($B286="STD. DEVIATION",$C$1=1),$A286,$A286+1),COLUMN('1-DATA'!H284)),IF($B286="STD. DEVIATION",2,$F$1))))</f>
        <v/>
      </c>
      <c r="J286" s="1" t="str">
        <f>IF(OR($B286="",J$7=""),"",IF($B286="MEANS",INDEX('1-DATA'!$1:$1048576,$A285-1,COLUMN('1-DATA'!I284)),ROUND(INDEX('1-DATA'!$1:$1048576,IF(OR($B286="STD. DEVIATION",$C$1=1),$A286,$A286+1),COLUMN('1-DATA'!I284)),IF($B286="STD. DEVIATION",2,$F$1))))</f>
        <v/>
      </c>
      <c r="K286" s="1" t="str">
        <f>IF(OR($B286="",K$7=""),"",IF($B286="MEANS",INDEX('1-DATA'!$1:$1048576,$A285-1,COLUMN('1-DATA'!J284)),ROUND(INDEX('1-DATA'!$1:$1048576,IF(OR($B286="STD. DEVIATION",$C$1=1),$A286,$A286+1),COLUMN('1-DATA'!J284)),IF($B286="STD. DEVIATION",2,$F$1))))</f>
        <v/>
      </c>
      <c r="L286" s="1" t="str">
        <f>IF(OR($B286="",L$7=""),"",IF($B286="MEANS",INDEX('1-DATA'!$1:$1048576,$A285-1,COLUMN('1-DATA'!K284)),ROUND(INDEX('1-DATA'!$1:$1048576,IF(OR($B286="STD. DEVIATION",$C$1=1),$A286,$A286+1),COLUMN('1-DATA'!K284)),IF($B286="STD. DEVIATION",2,$F$1))))</f>
        <v/>
      </c>
      <c r="M286" s="1" t="str">
        <f>IF(OR($B286="",M$7=""),"",IF($B286="MEANS",INDEX('1-DATA'!$1:$1048576,$A285-1,COLUMN('1-DATA'!L284)),ROUND(INDEX('1-DATA'!$1:$1048576,IF(OR($B286="STD. DEVIATION",$C$1=1),$A286,$A286+1),COLUMN('1-DATA'!L284)),IF($B286="STD. DEVIATION",2,$F$1))))</f>
        <v/>
      </c>
      <c r="N286" s="1" t="str">
        <f>IF(OR($B286="",N$7=""),"",IF($B286="MEANS",INDEX('1-DATA'!$1:$1048576,$A285-1,COLUMN('1-DATA'!M284)),ROUND(INDEX('1-DATA'!$1:$1048576,IF(OR($B286="STD. DEVIATION",$C$1=1),$A286,$A286+1),COLUMN('1-DATA'!M284)),IF($B286="STD. DEVIATION",2,$F$1))))</f>
        <v/>
      </c>
      <c r="O286" s="1" t="str">
        <f>IF(OR($B286="",O$7=""),"",IF($B286="MEANS",INDEX('1-DATA'!$1:$1048576,$A285-1,COLUMN('1-DATA'!N284)),ROUND(INDEX('1-DATA'!$1:$1048576,IF(OR($B286="STD. DEVIATION",$C$1=1),$A286,$A286+1),COLUMN('1-DATA'!N284)),IF($B286="STD. DEVIATION",2,$F$1))))</f>
        <v/>
      </c>
      <c r="P286" s="1" t="str">
        <f>IF(OR($B286="",P$7=""),"",IF($B286="MEANS",INDEX('1-DATA'!$1:$1048576,$A285-1,COLUMN('1-DATA'!O284)),ROUND(INDEX('1-DATA'!$1:$1048576,IF(OR($B286="STD. DEVIATION",$C$1=1),$A286,$A286+1),COLUMN('1-DATA'!O284)),IF($B286="STD. DEVIATION",2,$F$1))))</f>
        <v/>
      </c>
      <c r="Q286" s="1" t="str">
        <f>IF(OR($B286="",Q$7=""),"",IF($B286="MEANS",INDEX('1-DATA'!$1:$1048576,$A285-1,COLUMN('1-DATA'!P284)),ROUND(INDEX('1-DATA'!$1:$1048576,IF(OR($B286="STD. DEVIATION",$C$1=1),$A286,$A286+1),COLUMN('1-DATA'!P284)),IF($B286="STD. DEVIATION",2,$F$1))))</f>
        <v/>
      </c>
      <c r="R286" s="1" t="str">
        <f>IF(OR($B286="",R$7=""),"",IF($B286="MEANS",INDEX('1-DATA'!$1:$1048576,$A285-1,COLUMN('1-DATA'!Q284)),ROUND(INDEX('1-DATA'!$1:$1048576,IF(OR($B286="STD. DEVIATION",$C$1=1),$A286,$A286+1),COLUMN('1-DATA'!Q284)),IF($B286="STD. DEVIATION",2,$F$1))))</f>
        <v/>
      </c>
      <c r="S286" s="1" t="str">
        <f>IF(OR($B286="",S$7=""),"",IF($B286="MEANS",INDEX('1-DATA'!$1:$1048576,$A285-1,COLUMN('1-DATA'!R284)),ROUND(INDEX('1-DATA'!$1:$1048576,IF(OR($B286="STD. DEVIATION",$C$1=1),$A286,$A286+1),COLUMN('1-DATA'!R284)),IF($B286="STD. DEVIATION",2,$F$1))))</f>
        <v/>
      </c>
      <c r="T286" s="1" t="str">
        <f>IF(OR($B286="",T$7=""),"",IF($B286="MEANS",INDEX('1-DATA'!$1:$1048576,$A285-1,COLUMN('1-DATA'!S284)),ROUND(INDEX('1-DATA'!$1:$1048576,IF(OR($B286="STD. DEVIATION",$C$1=1),$A286,$A286+1),COLUMN('1-DATA'!S284)),IF($B286="STD. DEVIATION",2,$F$1))))</f>
        <v/>
      </c>
      <c r="U286" s="1" t="str">
        <f>IF(OR($B286="",U$7=""),"",IF($B286="MEANS",INDEX('1-DATA'!$1:$1048576,$A285-1,COLUMN('1-DATA'!T284)),ROUND(INDEX('1-DATA'!$1:$1048576,IF(OR($B286="STD. DEVIATION",$C$1=1),$A286,$A286+1),COLUMN('1-DATA'!T284)),IF($B286="STD. DEVIATION",2,$F$1))))</f>
        <v/>
      </c>
      <c r="V286" s="1" t="str">
        <f>IF(OR($B286="",V$7=""),"",IF($B286="MEANS",INDEX('1-DATA'!$1:$1048576,$A285-1,COLUMN('1-DATA'!U284)),ROUND(INDEX('1-DATA'!$1:$1048576,IF(OR($B286="STD. DEVIATION",$C$1=1),$A286,$A286+1),COLUMN('1-DATA'!U284)),IF($B286="STD. DEVIATION",2,$F$1))))</f>
        <v/>
      </c>
      <c r="W286" s="1" t="str">
        <f>IF(OR($B286="",W$7=""),"",IF($B286="MEANS",INDEX('1-DATA'!$1:$1048576,$A285-1,COLUMN('1-DATA'!V284)),ROUND(INDEX('1-DATA'!$1:$1048576,IF(OR($B286="STD. DEVIATION",$C$1=1),$A286,$A286+1),COLUMN('1-DATA'!V284)),IF($B286="STD. DEVIATION",2,$F$1))))</f>
        <v/>
      </c>
      <c r="X286" s="1" t="str">
        <f>IF(OR($B286="",X$7=""),"",IF($B286="MEANS",INDEX('1-DATA'!$1:$1048576,$A285-1,COLUMN('1-DATA'!W284)),ROUND(INDEX('1-DATA'!$1:$1048576,IF(OR($B286="STD. DEVIATION",$C$1=1),$A286,$A286+1),COLUMN('1-DATA'!W284)),IF($B286="STD. DEVIATION",2,$F$1))))</f>
        <v/>
      </c>
      <c r="Y286" s="1" t="str">
        <f>IF(OR($B286="",Y$7=""),"",IF($B286="MEANS",INDEX('1-DATA'!$1:$1048576,$A285-1,COLUMN('1-DATA'!X284)),ROUND(INDEX('1-DATA'!$1:$1048576,IF(OR($B286="STD. DEVIATION",$C$1=1),$A286,$A286+1),COLUMN('1-DATA'!X284)),IF($B286="STD. DEVIATION",2,$F$1))))</f>
        <v/>
      </c>
      <c r="Z286" s="1" t="str">
        <f>IF(OR($B286="",Z$7=""),"",IF($B286="MEANS",INDEX('1-DATA'!$1:$1048576,$A285-1,COLUMN('1-DATA'!Y284)),ROUND(INDEX('1-DATA'!$1:$1048576,IF(OR($B286="STD. DEVIATION",$C$1=1),$A286,$A286+1),COLUMN('1-DATA'!Y284)),IF($B286="STD. DEVIATION",2,$F$1))))</f>
        <v/>
      </c>
      <c r="AA286" s="1" t="str">
        <f>IF(OR($B286="",AA$7=""),"",IF($B286="MEANS",INDEX('1-DATA'!$1:$1048576,$A285-1,COLUMN('1-DATA'!Z284)),ROUND(INDEX('1-DATA'!$1:$1048576,IF(OR($B286="STD. DEVIATION",$C$1=1),$A286,$A286+1),COLUMN('1-DATA'!Z284)),IF($B286="STD. DEVIATION",2,$F$1))))</f>
        <v/>
      </c>
      <c r="AB286" s="1" t="str">
        <f>IF(OR($B286="",AB$7=""),"",IF($B286="MEANS",INDEX('1-DATA'!$1:$1048576,$A285-1,COLUMN('1-DATA'!AA284)),ROUND(INDEX('1-DATA'!$1:$1048576,IF(OR($B286="STD. DEVIATION",$C$1=1),$A286,$A286+1),COLUMN('1-DATA'!AA284)),IF($B286="STD. DEVIATION",2,$F$1))))</f>
        <v/>
      </c>
      <c r="AC286" s="1" t="str">
        <f>IF(OR($B286="",AC$7=""),"",IF($B286="MEANS",INDEX('1-DATA'!$1:$1048576,$A285-1,COLUMN('1-DATA'!AB284)),ROUND(INDEX('1-DATA'!$1:$1048576,IF(OR($B286="STD. DEVIATION",$C$1=1),$A286,$A286+1),COLUMN('1-DATA'!AB284)),IF($B286="STD. DEVIATION",2,$F$1))))</f>
        <v/>
      </c>
      <c r="AD286" s="1" t="str">
        <f>IF(OR($B286="",AD$7=""),"",IF($B286="MEANS",INDEX('1-DATA'!$1:$1048576,$A285-1,COLUMN('1-DATA'!AC284)),ROUND(INDEX('1-DATA'!$1:$1048576,IF(OR($B286="STD. DEVIATION",$C$1=1),$A286,$A286+1),COLUMN('1-DATA'!AC284)),IF($B286="STD. DEVIATION",2,$F$1))))</f>
        <v/>
      </c>
      <c r="AE286" s="1" t="str">
        <f>IF(OR($B286="",AE$7=""),"",IF($B286="MEANS",INDEX('1-DATA'!$1:$1048576,$A285-1,COLUMN('1-DATA'!AD284)),ROUND(INDEX('1-DATA'!$1:$1048576,IF(OR($B286="STD. DEVIATION",$C$1=1),$A286,$A286+1),COLUMN('1-DATA'!AD284)),IF($B286="STD. DEVIATION",2,$F$1))))</f>
        <v/>
      </c>
      <c r="AF286" s="1" t="str">
        <f>IF(OR($B286="",AF$7=""),"",IF($B286="MEANS",INDEX('1-DATA'!$1:$1048576,$A285-1,COLUMN('1-DATA'!AE284)),ROUND(INDEX('1-DATA'!$1:$1048576,IF(OR($B286="STD. DEVIATION",$C$1=1),$A286,$A286+1),COLUMN('1-DATA'!AE284)),IF($B286="STD. DEVIATION",2,$F$1))))</f>
        <v/>
      </c>
      <c r="AG286" s="1" t="str">
        <f>IF(OR($B286="",AG$7=""),"",IF($B286="MEANS",INDEX('1-DATA'!$1:$1048576,$A285-1,COLUMN('1-DATA'!AF284)),ROUND(INDEX('1-DATA'!$1:$1048576,IF(OR($B286="STD. DEVIATION",$C$1=1),$A286,$A286+1),COLUMN('1-DATA'!AF284)),IF($B286="STD. DEVIATION",2,$F$1))))</f>
        <v/>
      </c>
      <c r="AH286" s="1" t="str">
        <f>IF(OR($B286="",AH$7=""),"",IF($B286="MEANS",INDEX('1-DATA'!$1:$1048576,$A285-1,COLUMN('1-DATA'!AG284)),ROUND(INDEX('1-DATA'!$1:$1048576,IF(OR($B286="STD. DEVIATION",$C$1=1),$A286,$A286+1),COLUMN('1-DATA'!AG284)),IF($B286="STD. DEVIATION",2,$F$1))))</f>
        <v/>
      </c>
      <c r="AI286" s="1" t="str">
        <f>IF(OR($B286="",AI$7=""),"",IF($B286="MEANS",INDEX('1-DATA'!$1:$1048576,$A285-1,COLUMN('1-DATA'!AH284)),ROUND(INDEX('1-DATA'!$1:$1048576,IF(OR($B286="STD. DEVIATION",$C$1=1),$A286,$A286+1),COLUMN('1-DATA'!AH284)),IF($B286="STD. DEVIATION",2,$F$1))))</f>
        <v/>
      </c>
      <c r="AJ286" s="1" t="str">
        <f>IF(OR($B286="",AJ$7=""),"",IF($B286="MEANS",INDEX('1-DATA'!$1:$1048576,$A285-1,COLUMN('1-DATA'!AI284)),ROUND(INDEX('1-DATA'!$1:$1048576,IF(OR($B286="STD. DEVIATION",$C$1=1),$A286,$A286+1),COLUMN('1-DATA'!AI284)),IF($B286="STD. DEVIATION",2,$F$1))))</f>
        <v/>
      </c>
      <c r="AK286" s="1" t="str">
        <f>IF(OR($B286="",AK$7=""),"",IF($B286="MEANS",INDEX('1-DATA'!$1:$1048576,$A285-1,COLUMN('1-DATA'!AJ284)),ROUND(INDEX('1-DATA'!$1:$1048576,IF(OR($B286="STD. DEVIATION",$C$1=1),$A286,$A286+1),COLUMN('1-DATA'!AJ284)),IF($B286="STD. DEVIATION",2,$F$1))))</f>
        <v/>
      </c>
      <c r="AL286" s="1" t="str">
        <f>IF(OR($B286="",AL$7=""),"",IF($B286="MEANS",INDEX('1-DATA'!$1:$1048576,$A285-1,COLUMN('1-DATA'!AK284)),ROUND(INDEX('1-DATA'!$1:$1048576,IF(OR($B286="STD. DEVIATION",$C$1=1),$A286,$A286+1),COLUMN('1-DATA'!AK284)),IF($B286="STD. DEVIATION",2,$F$1))))</f>
        <v/>
      </c>
      <c r="AM286" s="1" t="str">
        <f>IF(OR($B286="",AM$7=""),"",IF($B286="MEANS",INDEX('1-DATA'!$1:$1048576,$A285-1,COLUMN('1-DATA'!AL284)),ROUND(INDEX('1-DATA'!$1:$1048576,IF(OR($B286="STD. DEVIATION",$C$1=1),$A286,$A286+1),COLUMN('1-DATA'!AL284)),IF($B286="STD. DEVIATION",2,$F$1))))</f>
        <v/>
      </c>
      <c r="AN286" s="1" t="str">
        <f>IF(OR($B286="",AN$7=""),"",IF($B286="MEANS",INDEX('1-DATA'!$1:$1048576,$A285-1,COLUMN('1-DATA'!AM284)),ROUND(INDEX('1-DATA'!$1:$1048576,IF(OR($B286="STD. DEVIATION",$C$1=1),$A286,$A286+1),COLUMN('1-DATA'!AM284)),IF($B286="STD. DEVIATION",2,$F$1))))</f>
        <v/>
      </c>
      <c r="AO286" s="1" t="str">
        <f>IF(OR($B286="",AO$7=""),"",IF($B286="MEANS",INDEX('1-DATA'!$1:$1048576,$A285-1,COLUMN('1-DATA'!AN284)),ROUND(INDEX('1-DATA'!$1:$1048576,IF(OR($B286="STD. DEVIATION",$C$1=1),$A286,$A286+1),COLUMN('1-DATA'!AN284)),IF($B286="STD. DEVIATION",2,$F$1))))</f>
        <v/>
      </c>
      <c r="AP286" s="1" t="str">
        <f>IF(OR($B286="",AP$7=""),"",IF($B286="MEANS",INDEX('1-DATA'!$1:$1048576,$A285-1,COLUMN('1-DATA'!AO284)),ROUND(INDEX('1-DATA'!$1:$1048576,IF(OR($B286="STD. DEVIATION",$C$1=1),$A286,$A286+1),COLUMN('1-DATA'!AO284)),IF($B286="STD. DEVIATION",2,$F$1))))</f>
        <v/>
      </c>
      <c r="AQ286" s="1" t="str">
        <f>IF(OR($B286="",AQ$7=""),"",IF($B286="MEANS",INDEX('1-DATA'!$1:$1048576,$A285-1,COLUMN('1-DATA'!AP284)),ROUND(INDEX('1-DATA'!$1:$1048576,IF(OR($B286="STD. DEVIATION",$C$1=1),$A286,$A286+1),COLUMN('1-DATA'!AP284)),IF($B286="STD. DEVIATION",2,$F$1))))</f>
        <v/>
      </c>
      <c r="AR286" s="1" t="str">
        <f>IF(OR($B286="",AR$7=""),"",IF($B286="MEANS",INDEX('1-DATA'!$1:$1048576,$A285-1,COLUMN('1-DATA'!AQ284)),ROUND(INDEX('1-DATA'!$1:$1048576,IF(OR($B286="STD. DEVIATION",$C$1=1),$A286,$A286+1),COLUMN('1-DATA'!AQ284)),IF($B286="STD. DEVIATION",2,$F$1))))</f>
        <v/>
      </c>
      <c r="AS286" s="1" t="str">
        <f>IF(OR($B286="",AS$7=""),"",IF($B286="MEANS",INDEX('1-DATA'!$1:$1048576,$A285-1,COLUMN('1-DATA'!AR284)),ROUND(INDEX('1-DATA'!$1:$1048576,IF(OR($B286="STD. DEVIATION",$C$1=1),$A286,$A286+1),COLUMN('1-DATA'!AR284)),IF($B286="STD. DEVIATION",2,$F$1))))</f>
        <v/>
      </c>
      <c r="AT286" s="1" t="str">
        <f>IF(OR($B286="",AT$7=""),"",IF($B286="MEANS",INDEX('1-DATA'!$1:$1048576,$A285-1,COLUMN('1-DATA'!AS284)),ROUND(INDEX('1-DATA'!$1:$1048576,IF(OR($B286="STD. DEVIATION",$C$1=1),$A286,$A286+1),COLUMN('1-DATA'!AS284)),IF($B286="STD. DEVIATION",2,$F$1))))</f>
        <v/>
      </c>
      <c r="AU286" s="1" t="str">
        <f>IF(OR($B286="",AU$7=""),"",IF($B286="MEANS",INDEX('1-DATA'!$1:$1048576,$A285-1,COLUMN('1-DATA'!AT284)),ROUND(INDEX('1-DATA'!$1:$1048576,IF(OR($B286="STD. DEVIATION",$C$1=1),$A286,$A286+1),COLUMN('1-DATA'!AT284)),IF($B286="STD. DEVIATION",2,$F$1))))</f>
        <v/>
      </c>
      <c r="AV286" s="1" t="str">
        <f>IF(OR($B286="",AV$7=""),"",IF($B286="MEANS",INDEX('1-DATA'!$1:$1048576,$A285-1,COLUMN('1-DATA'!AU284)),ROUND(INDEX('1-DATA'!$1:$1048576,IF(OR($B286="STD. DEVIATION",$C$1=1),$A286,$A286+1),COLUMN('1-DATA'!AU284)),IF($B286="STD. DEVIATION",2,$F$1))))</f>
        <v/>
      </c>
      <c r="AW286" s="1" t="str">
        <f>IF(OR($B286="",AW$7=""),"",IF($B286="MEANS",INDEX('1-DATA'!$1:$1048576,$A285-1,COLUMN('1-DATA'!AV284)),ROUND(INDEX('1-DATA'!$1:$1048576,IF(OR($B286="STD. DEVIATION",$C$1=1),$A286,$A286+1),COLUMN('1-DATA'!AV284)),IF($B286="STD. DEVIATION",2,$F$1))))</f>
        <v/>
      </c>
      <c r="AX286" s="1" t="str">
        <f>IF(OR($B286="",AX$7=""),"",IF($B286="MEANS",INDEX('1-DATA'!$1:$1048576,$A285-1,COLUMN('1-DATA'!AW284)),ROUND(INDEX('1-DATA'!$1:$1048576,IF(OR($B286="STD. DEVIATION",$C$1=1),$A286,$A286+1),COLUMN('1-DATA'!AW284)),IF($B286="STD. DEVIATION",2,$F$1))))</f>
        <v/>
      </c>
      <c r="AY286" s="1" t="str">
        <f>IF(OR($B286="",AY$7=""),"",IF($B286="MEANS",INDEX('1-DATA'!$1:$1048576,$A285-1,COLUMN('1-DATA'!AX284)),ROUND(INDEX('1-DATA'!$1:$1048576,IF(OR($B286="STD. DEVIATION",$C$1=1),$A286,$A286+1),COLUMN('1-DATA'!AX284)),IF($B286="STD. DEVIATION",2,$F$1))))</f>
        <v/>
      </c>
      <c r="AZ286" s="1" t="str">
        <f>IF(OR($B286="",AZ$7=""),"",IF($B286="MEANS",INDEX('1-DATA'!$1:$1048576,$A285-1,COLUMN('1-DATA'!AY284)),ROUND(INDEX('1-DATA'!$1:$1048576,IF(OR($B286="STD. DEVIATION",$C$1=1),$A286,$A286+1),COLUMN('1-DATA'!AY284)),IF($B286="STD. DEVIATION",2,$F$1))))</f>
        <v/>
      </c>
    </row>
    <row r="287" spans="1:52" x14ac:dyDescent="0.25">
      <c r="A287" s="11">
        <f t="shared" si="5"/>
        <v>847</v>
      </c>
      <c r="B287" s="1" t="str">
        <f>IF(B286="STD. DEVIATION",INDEX('1-DATA'!$1:$1048576,$A286-1,1),IF(INDEX('1-DATA'!$1:$1048576,$A287,1)&lt;&gt;"",INDEX('1-DATA'!$1:$1048576,$A287,1),""))</f>
        <v/>
      </c>
      <c r="C287" s="1" t="str">
        <f>IF(OR($B287="",C$7=""),"",IF($B287="MEANS",INDEX('1-DATA'!$1:$1048576,$A286-1,COLUMN('1-DATA'!B285)),ROUND(INDEX('1-DATA'!$1:$1048576,IF(OR($B287="STD. DEVIATION",$C$1=1),$A287,$A287+1),COLUMN('1-DATA'!B285)),IF($B287="STD. DEVIATION",2,$F$1))))</f>
        <v/>
      </c>
      <c r="D287" s="1" t="str">
        <f>IF(OR($B287="",D$7=""),"",IF($B287="MEANS",INDEX('1-DATA'!$1:$1048576,$A286-1,COLUMN('1-DATA'!C285)),ROUND(INDEX('1-DATA'!$1:$1048576,IF(OR($B287="STD. DEVIATION",$C$1=1),$A287,$A287+1),COLUMN('1-DATA'!C285)),IF($B287="STD. DEVIATION",2,$F$1))))</f>
        <v/>
      </c>
      <c r="E287" s="1" t="str">
        <f>IF(OR($B287="",E$7=""),"",IF($B287="MEANS",INDEX('1-DATA'!$1:$1048576,$A286-1,COLUMN('1-DATA'!D285)),ROUND(INDEX('1-DATA'!$1:$1048576,IF(OR($B287="STD. DEVIATION",$C$1=1),$A287,$A287+1),COLUMN('1-DATA'!D285)),IF($B287="STD. DEVIATION",2,$F$1))))</f>
        <v/>
      </c>
      <c r="F287" s="1" t="str">
        <f>IF(OR($B287="",F$7=""),"",IF($B287="MEANS",INDEX('1-DATA'!$1:$1048576,$A286-1,COLUMN('1-DATA'!E285)),ROUND(INDEX('1-DATA'!$1:$1048576,IF(OR($B287="STD. DEVIATION",$C$1=1),$A287,$A287+1),COLUMN('1-DATA'!E285)),IF($B287="STD. DEVIATION",2,$F$1))))</f>
        <v/>
      </c>
      <c r="G287" s="1" t="str">
        <f>IF(OR($B287="",G$7=""),"",IF($B287="MEANS",INDEX('1-DATA'!$1:$1048576,$A286-1,COLUMN('1-DATA'!F285)),ROUND(INDEX('1-DATA'!$1:$1048576,IF(OR($B287="STD. DEVIATION",$C$1=1),$A287,$A287+1),COLUMN('1-DATA'!F285)),IF($B287="STD. DEVIATION",2,$F$1))))</f>
        <v/>
      </c>
      <c r="H287" s="1" t="str">
        <f>IF(OR($B287="",H$7=""),"",IF($B287="MEANS",INDEX('1-DATA'!$1:$1048576,$A286-1,COLUMN('1-DATA'!G285)),ROUND(INDEX('1-DATA'!$1:$1048576,IF(OR($B287="STD. DEVIATION",$C$1=1),$A287,$A287+1),COLUMN('1-DATA'!G285)),IF($B287="STD. DEVIATION",2,$F$1))))</f>
        <v/>
      </c>
      <c r="I287" s="1" t="str">
        <f>IF(OR($B287="",I$7=""),"",IF($B287="MEANS",INDEX('1-DATA'!$1:$1048576,$A286-1,COLUMN('1-DATA'!H285)),ROUND(INDEX('1-DATA'!$1:$1048576,IF(OR($B287="STD. DEVIATION",$C$1=1),$A287,$A287+1),COLUMN('1-DATA'!H285)),IF($B287="STD. DEVIATION",2,$F$1))))</f>
        <v/>
      </c>
      <c r="J287" s="1" t="str">
        <f>IF(OR($B287="",J$7=""),"",IF($B287="MEANS",INDEX('1-DATA'!$1:$1048576,$A286-1,COLUMN('1-DATA'!I285)),ROUND(INDEX('1-DATA'!$1:$1048576,IF(OR($B287="STD. DEVIATION",$C$1=1),$A287,$A287+1),COLUMN('1-DATA'!I285)),IF($B287="STD. DEVIATION",2,$F$1))))</f>
        <v/>
      </c>
      <c r="K287" s="1" t="str">
        <f>IF(OR($B287="",K$7=""),"",IF($B287="MEANS",INDEX('1-DATA'!$1:$1048576,$A286-1,COLUMN('1-DATA'!J285)),ROUND(INDEX('1-DATA'!$1:$1048576,IF(OR($B287="STD. DEVIATION",$C$1=1),$A287,$A287+1),COLUMN('1-DATA'!J285)),IF($B287="STD. DEVIATION",2,$F$1))))</f>
        <v/>
      </c>
      <c r="L287" s="1" t="str">
        <f>IF(OR($B287="",L$7=""),"",IF($B287="MEANS",INDEX('1-DATA'!$1:$1048576,$A286-1,COLUMN('1-DATA'!K285)),ROUND(INDEX('1-DATA'!$1:$1048576,IF(OR($B287="STD. DEVIATION",$C$1=1),$A287,$A287+1),COLUMN('1-DATA'!K285)),IF($B287="STD. DEVIATION",2,$F$1))))</f>
        <v/>
      </c>
      <c r="M287" s="1" t="str">
        <f>IF(OR($B287="",M$7=""),"",IF($B287="MEANS",INDEX('1-DATA'!$1:$1048576,$A286-1,COLUMN('1-DATA'!L285)),ROUND(INDEX('1-DATA'!$1:$1048576,IF(OR($B287="STD. DEVIATION",$C$1=1),$A287,$A287+1),COLUMN('1-DATA'!L285)),IF($B287="STD. DEVIATION",2,$F$1))))</f>
        <v/>
      </c>
      <c r="N287" s="1" t="str">
        <f>IF(OR($B287="",N$7=""),"",IF($B287="MEANS",INDEX('1-DATA'!$1:$1048576,$A286-1,COLUMN('1-DATA'!M285)),ROUND(INDEX('1-DATA'!$1:$1048576,IF(OR($B287="STD. DEVIATION",$C$1=1),$A287,$A287+1),COLUMN('1-DATA'!M285)),IF($B287="STD. DEVIATION",2,$F$1))))</f>
        <v/>
      </c>
      <c r="O287" s="1" t="str">
        <f>IF(OR($B287="",O$7=""),"",IF($B287="MEANS",INDEX('1-DATA'!$1:$1048576,$A286-1,COLUMN('1-DATA'!N285)),ROUND(INDEX('1-DATA'!$1:$1048576,IF(OR($B287="STD. DEVIATION",$C$1=1),$A287,$A287+1),COLUMN('1-DATA'!N285)),IF($B287="STD. DEVIATION",2,$F$1))))</f>
        <v/>
      </c>
      <c r="P287" s="1" t="str">
        <f>IF(OR($B287="",P$7=""),"",IF($B287="MEANS",INDEX('1-DATA'!$1:$1048576,$A286-1,COLUMN('1-DATA'!O285)),ROUND(INDEX('1-DATA'!$1:$1048576,IF(OR($B287="STD. DEVIATION",$C$1=1),$A287,$A287+1),COLUMN('1-DATA'!O285)),IF($B287="STD. DEVIATION",2,$F$1))))</f>
        <v/>
      </c>
      <c r="Q287" s="1" t="str">
        <f>IF(OR($B287="",Q$7=""),"",IF($B287="MEANS",INDEX('1-DATA'!$1:$1048576,$A286-1,COLUMN('1-DATA'!P285)),ROUND(INDEX('1-DATA'!$1:$1048576,IF(OR($B287="STD. DEVIATION",$C$1=1),$A287,$A287+1),COLUMN('1-DATA'!P285)),IF($B287="STD. DEVIATION",2,$F$1))))</f>
        <v/>
      </c>
      <c r="R287" s="1" t="str">
        <f>IF(OR($B287="",R$7=""),"",IF($B287="MEANS",INDEX('1-DATA'!$1:$1048576,$A286-1,COLUMN('1-DATA'!Q285)),ROUND(INDEX('1-DATA'!$1:$1048576,IF(OR($B287="STD. DEVIATION",$C$1=1),$A287,$A287+1),COLUMN('1-DATA'!Q285)),IF($B287="STD. DEVIATION",2,$F$1))))</f>
        <v/>
      </c>
      <c r="S287" s="1" t="str">
        <f>IF(OR($B287="",S$7=""),"",IF($B287="MEANS",INDEX('1-DATA'!$1:$1048576,$A286-1,COLUMN('1-DATA'!R285)),ROUND(INDEX('1-DATA'!$1:$1048576,IF(OR($B287="STD. DEVIATION",$C$1=1),$A287,$A287+1),COLUMN('1-DATA'!R285)),IF($B287="STD. DEVIATION",2,$F$1))))</f>
        <v/>
      </c>
      <c r="T287" s="1" t="str">
        <f>IF(OR($B287="",T$7=""),"",IF($B287="MEANS",INDEX('1-DATA'!$1:$1048576,$A286-1,COLUMN('1-DATA'!S285)),ROUND(INDEX('1-DATA'!$1:$1048576,IF(OR($B287="STD. DEVIATION",$C$1=1),$A287,$A287+1),COLUMN('1-DATA'!S285)),IF($B287="STD. DEVIATION",2,$F$1))))</f>
        <v/>
      </c>
      <c r="U287" s="1" t="str">
        <f>IF(OR($B287="",U$7=""),"",IF($B287="MEANS",INDEX('1-DATA'!$1:$1048576,$A286-1,COLUMN('1-DATA'!T285)),ROUND(INDEX('1-DATA'!$1:$1048576,IF(OR($B287="STD. DEVIATION",$C$1=1),$A287,$A287+1),COLUMN('1-DATA'!T285)),IF($B287="STD. DEVIATION",2,$F$1))))</f>
        <v/>
      </c>
      <c r="V287" s="1" t="str">
        <f>IF(OR($B287="",V$7=""),"",IF($B287="MEANS",INDEX('1-DATA'!$1:$1048576,$A286-1,COLUMN('1-DATA'!U285)),ROUND(INDEX('1-DATA'!$1:$1048576,IF(OR($B287="STD. DEVIATION",$C$1=1),$A287,$A287+1),COLUMN('1-DATA'!U285)),IF($B287="STD. DEVIATION",2,$F$1))))</f>
        <v/>
      </c>
      <c r="W287" s="1" t="str">
        <f>IF(OR($B287="",W$7=""),"",IF($B287="MEANS",INDEX('1-DATA'!$1:$1048576,$A286-1,COLUMN('1-DATA'!V285)),ROUND(INDEX('1-DATA'!$1:$1048576,IF(OR($B287="STD. DEVIATION",$C$1=1),$A287,$A287+1),COLUMN('1-DATA'!V285)),IF($B287="STD. DEVIATION",2,$F$1))))</f>
        <v/>
      </c>
      <c r="X287" s="1" t="str">
        <f>IF(OR($B287="",X$7=""),"",IF($B287="MEANS",INDEX('1-DATA'!$1:$1048576,$A286-1,COLUMN('1-DATA'!W285)),ROUND(INDEX('1-DATA'!$1:$1048576,IF(OR($B287="STD. DEVIATION",$C$1=1),$A287,$A287+1),COLUMN('1-DATA'!W285)),IF($B287="STD. DEVIATION",2,$F$1))))</f>
        <v/>
      </c>
      <c r="Y287" s="1" t="str">
        <f>IF(OR($B287="",Y$7=""),"",IF($B287="MEANS",INDEX('1-DATA'!$1:$1048576,$A286-1,COLUMN('1-DATA'!X285)),ROUND(INDEX('1-DATA'!$1:$1048576,IF(OR($B287="STD. DEVIATION",$C$1=1),$A287,$A287+1),COLUMN('1-DATA'!X285)),IF($B287="STD. DEVIATION",2,$F$1))))</f>
        <v/>
      </c>
      <c r="Z287" s="1" t="str">
        <f>IF(OR($B287="",Z$7=""),"",IF($B287="MEANS",INDEX('1-DATA'!$1:$1048576,$A286-1,COLUMN('1-DATA'!Y285)),ROUND(INDEX('1-DATA'!$1:$1048576,IF(OR($B287="STD. DEVIATION",$C$1=1),$A287,$A287+1),COLUMN('1-DATA'!Y285)),IF($B287="STD. DEVIATION",2,$F$1))))</f>
        <v/>
      </c>
      <c r="AA287" s="1" t="str">
        <f>IF(OR($B287="",AA$7=""),"",IF($B287="MEANS",INDEX('1-DATA'!$1:$1048576,$A286-1,COLUMN('1-DATA'!Z285)),ROUND(INDEX('1-DATA'!$1:$1048576,IF(OR($B287="STD. DEVIATION",$C$1=1),$A287,$A287+1),COLUMN('1-DATA'!Z285)),IF($B287="STD. DEVIATION",2,$F$1))))</f>
        <v/>
      </c>
      <c r="AB287" s="1" t="str">
        <f>IF(OR($B287="",AB$7=""),"",IF($B287="MEANS",INDEX('1-DATA'!$1:$1048576,$A286-1,COLUMN('1-DATA'!AA285)),ROUND(INDEX('1-DATA'!$1:$1048576,IF(OR($B287="STD. DEVIATION",$C$1=1),$A287,$A287+1),COLUMN('1-DATA'!AA285)),IF($B287="STD. DEVIATION",2,$F$1))))</f>
        <v/>
      </c>
      <c r="AC287" s="1" t="str">
        <f>IF(OR($B287="",AC$7=""),"",IF($B287="MEANS",INDEX('1-DATA'!$1:$1048576,$A286-1,COLUMN('1-DATA'!AB285)),ROUND(INDEX('1-DATA'!$1:$1048576,IF(OR($B287="STD. DEVIATION",$C$1=1),$A287,$A287+1),COLUMN('1-DATA'!AB285)),IF($B287="STD. DEVIATION",2,$F$1))))</f>
        <v/>
      </c>
      <c r="AD287" s="1" t="str">
        <f>IF(OR($B287="",AD$7=""),"",IF($B287="MEANS",INDEX('1-DATA'!$1:$1048576,$A286-1,COLUMN('1-DATA'!AC285)),ROUND(INDEX('1-DATA'!$1:$1048576,IF(OR($B287="STD. DEVIATION",$C$1=1),$A287,$A287+1),COLUMN('1-DATA'!AC285)),IF($B287="STD. DEVIATION",2,$F$1))))</f>
        <v/>
      </c>
      <c r="AE287" s="1" t="str">
        <f>IF(OR($B287="",AE$7=""),"",IF($B287="MEANS",INDEX('1-DATA'!$1:$1048576,$A286-1,COLUMN('1-DATA'!AD285)),ROUND(INDEX('1-DATA'!$1:$1048576,IF(OR($B287="STD. DEVIATION",$C$1=1),$A287,$A287+1),COLUMN('1-DATA'!AD285)),IF($B287="STD. DEVIATION",2,$F$1))))</f>
        <v/>
      </c>
      <c r="AF287" s="1" t="str">
        <f>IF(OR($B287="",AF$7=""),"",IF($B287="MEANS",INDEX('1-DATA'!$1:$1048576,$A286-1,COLUMN('1-DATA'!AE285)),ROUND(INDEX('1-DATA'!$1:$1048576,IF(OR($B287="STD. DEVIATION",$C$1=1),$A287,$A287+1),COLUMN('1-DATA'!AE285)),IF($B287="STD. DEVIATION",2,$F$1))))</f>
        <v/>
      </c>
      <c r="AG287" s="1" t="str">
        <f>IF(OR($B287="",AG$7=""),"",IF($B287="MEANS",INDEX('1-DATA'!$1:$1048576,$A286-1,COLUMN('1-DATA'!AF285)),ROUND(INDEX('1-DATA'!$1:$1048576,IF(OR($B287="STD. DEVIATION",$C$1=1),$A287,$A287+1),COLUMN('1-DATA'!AF285)),IF($B287="STD. DEVIATION",2,$F$1))))</f>
        <v/>
      </c>
      <c r="AH287" s="1" t="str">
        <f>IF(OR($B287="",AH$7=""),"",IF($B287="MEANS",INDEX('1-DATA'!$1:$1048576,$A286-1,COLUMN('1-DATA'!AG285)),ROUND(INDEX('1-DATA'!$1:$1048576,IF(OR($B287="STD. DEVIATION",$C$1=1),$A287,$A287+1),COLUMN('1-DATA'!AG285)),IF($B287="STD. DEVIATION",2,$F$1))))</f>
        <v/>
      </c>
      <c r="AI287" s="1" t="str">
        <f>IF(OR($B287="",AI$7=""),"",IF($B287="MEANS",INDEX('1-DATA'!$1:$1048576,$A286-1,COLUMN('1-DATA'!AH285)),ROUND(INDEX('1-DATA'!$1:$1048576,IF(OR($B287="STD. DEVIATION",$C$1=1),$A287,$A287+1),COLUMN('1-DATA'!AH285)),IF($B287="STD. DEVIATION",2,$F$1))))</f>
        <v/>
      </c>
      <c r="AJ287" s="1" t="str">
        <f>IF(OR($B287="",AJ$7=""),"",IF($B287="MEANS",INDEX('1-DATA'!$1:$1048576,$A286-1,COLUMN('1-DATA'!AI285)),ROUND(INDEX('1-DATA'!$1:$1048576,IF(OR($B287="STD. DEVIATION",$C$1=1),$A287,$A287+1),COLUMN('1-DATA'!AI285)),IF($B287="STD. DEVIATION",2,$F$1))))</f>
        <v/>
      </c>
      <c r="AK287" s="1" t="str">
        <f>IF(OR($B287="",AK$7=""),"",IF($B287="MEANS",INDEX('1-DATA'!$1:$1048576,$A286-1,COLUMN('1-DATA'!AJ285)),ROUND(INDEX('1-DATA'!$1:$1048576,IF(OR($B287="STD. DEVIATION",$C$1=1),$A287,$A287+1),COLUMN('1-DATA'!AJ285)),IF($B287="STD. DEVIATION",2,$F$1))))</f>
        <v/>
      </c>
      <c r="AL287" s="1" t="str">
        <f>IF(OR($B287="",AL$7=""),"",IF($B287="MEANS",INDEX('1-DATA'!$1:$1048576,$A286-1,COLUMN('1-DATA'!AK285)),ROUND(INDEX('1-DATA'!$1:$1048576,IF(OR($B287="STD. DEVIATION",$C$1=1),$A287,$A287+1),COLUMN('1-DATA'!AK285)),IF($B287="STD. DEVIATION",2,$F$1))))</f>
        <v/>
      </c>
      <c r="AM287" s="1" t="str">
        <f>IF(OR($B287="",AM$7=""),"",IF($B287="MEANS",INDEX('1-DATA'!$1:$1048576,$A286-1,COLUMN('1-DATA'!AL285)),ROUND(INDEX('1-DATA'!$1:$1048576,IF(OR($B287="STD. DEVIATION",$C$1=1),$A287,$A287+1),COLUMN('1-DATA'!AL285)),IF($B287="STD. DEVIATION",2,$F$1))))</f>
        <v/>
      </c>
      <c r="AN287" s="1" t="str">
        <f>IF(OR($B287="",AN$7=""),"",IF($B287="MEANS",INDEX('1-DATA'!$1:$1048576,$A286-1,COLUMN('1-DATA'!AM285)),ROUND(INDEX('1-DATA'!$1:$1048576,IF(OR($B287="STD. DEVIATION",$C$1=1),$A287,$A287+1),COLUMN('1-DATA'!AM285)),IF($B287="STD. DEVIATION",2,$F$1))))</f>
        <v/>
      </c>
      <c r="AO287" s="1" t="str">
        <f>IF(OR($B287="",AO$7=""),"",IF($B287="MEANS",INDEX('1-DATA'!$1:$1048576,$A286-1,COLUMN('1-DATA'!AN285)),ROUND(INDEX('1-DATA'!$1:$1048576,IF(OR($B287="STD. DEVIATION",$C$1=1),$A287,$A287+1),COLUMN('1-DATA'!AN285)),IF($B287="STD. DEVIATION",2,$F$1))))</f>
        <v/>
      </c>
      <c r="AP287" s="1" t="str">
        <f>IF(OR($B287="",AP$7=""),"",IF($B287="MEANS",INDEX('1-DATA'!$1:$1048576,$A286-1,COLUMN('1-DATA'!AO285)),ROUND(INDEX('1-DATA'!$1:$1048576,IF(OR($B287="STD. DEVIATION",$C$1=1),$A287,$A287+1),COLUMN('1-DATA'!AO285)),IF($B287="STD. DEVIATION",2,$F$1))))</f>
        <v/>
      </c>
      <c r="AQ287" s="1" t="str">
        <f>IF(OR($B287="",AQ$7=""),"",IF($B287="MEANS",INDEX('1-DATA'!$1:$1048576,$A286-1,COLUMN('1-DATA'!AP285)),ROUND(INDEX('1-DATA'!$1:$1048576,IF(OR($B287="STD. DEVIATION",$C$1=1),$A287,$A287+1),COLUMN('1-DATA'!AP285)),IF($B287="STD. DEVIATION",2,$F$1))))</f>
        <v/>
      </c>
      <c r="AR287" s="1" t="str">
        <f>IF(OR($B287="",AR$7=""),"",IF($B287="MEANS",INDEX('1-DATA'!$1:$1048576,$A286-1,COLUMN('1-DATA'!AQ285)),ROUND(INDEX('1-DATA'!$1:$1048576,IF(OR($B287="STD. DEVIATION",$C$1=1),$A287,$A287+1),COLUMN('1-DATA'!AQ285)),IF($B287="STD. DEVIATION",2,$F$1))))</f>
        <v/>
      </c>
      <c r="AS287" s="1" t="str">
        <f>IF(OR($B287="",AS$7=""),"",IF($B287="MEANS",INDEX('1-DATA'!$1:$1048576,$A286-1,COLUMN('1-DATA'!AR285)),ROUND(INDEX('1-DATA'!$1:$1048576,IF(OR($B287="STD. DEVIATION",$C$1=1),$A287,$A287+1),COLUMN('1-DATA'!AR285)),IF($B287="STD. DEVIATION",2,$F$1))))</f>
        <v/>
      </c>
      <c r="AT287" s="1" t="str">
        <f>IF(OR($B287="",AT$7=""),"",IF($B287="MEANS",INDEX('1-DATA'!$1:$1048576,$A286-1,COLUMN('1-DATA'!AS285)),ROUND(INDEX('1-DATA'!$1:$1048576,IF(OR($B287="STD. DEVIATION",$C$1=1),$A287,$A287+1),COLUMN('1-DATA'!AS285)),IF($B287="STD. DEVIATION",2,$F$1))))</f>
        <v/>
      </c>
      <c r="AU287" s="1" t="str">
        <f>IF(OR($B287="",AU$7=""),"",IF($B287="MEANS",INDEX('1-DATA'!$1:$1048576,$A286-1,COLUMN('1-DATA'!AT285)),ROUND(INDEX('1-DATA'!$1:$1048576,IF(OR($B287="STD. DEVIATION",$C$1=1),$A287,$A287+1),COLUMN('1-DATA'!AT285)),IF($B287="STD. DEVIATION",2,$F$1))))</f>
        <v/>
      </c>
      <c r="AV287" s="1" t="str">
        <f>IF(OR($B287="",AV$7=""),"",IF($B287="MEANS",INDEX('1-DATA'!$1:$1048576,$A286-1,COLUMN('1-DATA'!AU285)),ROUND(INDEX('1-DATA'!$1:$1048576,IF(OR($B287="STD. DEVIATION",$C$1=1),$A287,$A287+1),COLUMN('1-DATA'!AU285)),IF($B287="STD. DEVIATION",2,$F$1))))</f>
        <v/>
      </c>
      <c r="AW287" s="1" t="str">
        <f>IF(OR($B287="",AW$7=""),"",IF($B287="MEANS",INDEX('1-DATA'!$1:$1048576,$A286-1,COLUMN('1-DATA'!AV285)),ROUND(INDEX('1-DATA'!$1:$1048576,IF(OR($B287="STD. DEVIATION",$C$1=1),$A287,$A287+1),COLUMN('1-DATA'!AV285)),IF($B287="STD. DEVIATION",2,$F$1))))</f>
        <v/>
      </c>
      <c r="AX287" s="1" t="str">
        <f>IF(OR($B287="",AX$7=""),"",IF($B287="MEANS",INDEX('1-DATA'!$1:$1048576,$A286-1,COLUMN('1-DATA'!AW285)),ROUND(INDEX('1-DATA'!$1:$1048576,IF(OR($B287="STD. DEVIATION",$C$1=1),$A287,$A287+1),COLUMN('1-DATA'!AW285)),IF($B287="STD. DEVIATION",2,$F$1))))</f>
        <v/>
      </c>
      <c r="AY287" s="1" t="str">
        <f>IF(OR($B287="",AY$7=""),"",IF($B287="MEANS",INDEX('1-DATA'!$1:$1048576,$A286-1,COLUMN('1-DATA'!AX285)),ROUND(INDEX('1-DATA'!$1:$1048576,IF(OR($B287="STD. DEVIATION",$C$1=1),$A287,$A287+1),COLUMN('1-DATA'!AX285)),IF($B287="STD. DEVIATION",2,$F$1))))</f>
        <v/>
      </c>
      <c r="AZ287" s="1" t="str">
        <f>IF(OR($B287="",AZ$7=""),"",IF($B287="MEANS",INDEX('1-DATA'!$1:$1048576,$A286-1,COLUMN('1-DATA'!AY285)),ROUND(INDEX('1-DATA'!$1:$1048576,IF(OR($B287="STD. DEVIATION",$C$1=1),$A287,$A287+1),COLUMN('1-DATA'!AY285)),IF($B287="STD. DEVIATION",2,$F$1))))</f>
        <v/>
      </c>
    </row>
    <row r="288" spans="1:52" x14ac:dyDescent="0.25">
      <c r="A288" s="11">
        <f t="shared" si="5"/>
        <v>850</v>
      </c>
      <c r="B288" s="1" t="str">
        <f>IF(B287="STD. DEVIATION",INDEX('1-DATA'!$1:$1048576,$A287-1,1),IF(INDEX('1-DATA'!$1:$1048576,$A288,1)&lt;&gt;"",INDEX('1-DATA'!$1:$1048576,$A288,1),""))</f>
        <v/>
      </c>
      <c r="C288" s="1" t="str">
        <f>IF(OR($B288="",C$7=""),"",IF($B288="MEANS",INDEX('1-DATA'!$1:$1048576,$A287-1,COLUMN('1-DATA'!B286)),ROUND(INDEX('1-DATA'!$1:$1048576,IF(OR($B288="STD. DEVIATION",$C$1=1),$A288,$A288+1),COLUMN('1-DATA'!B286)),IF($B288="STD. DEVIATION",2,$F$1))))</f>
        <v/>
      </c>
      <c r="D288" s="1" t="str">
        <f>IF(OR($B288="",D$7=""),"",IF($B288="MEANS",INDEX('1-DATA'!$1:$1048576,$A287-1,COLUMN('1-DATA'!C286)),ROUND(INDEX('1-DATA'!$1:$1048576,IF(OR($B288="STD. DEVIATION",$C$1=1),$A288,$A288+1),COLUMN('1-DATA'!C286)),IF($B288="STD. DEVIATION",2,$F$1))))</f>
        <v/>
      </c>
      <c r="E288" s="1" t="str">
        <f>IF(OR($B288="",E$7=""),"",IF($B288="MEANS",INDEX('1-DATA'!$1:$1048576,$A287-1,COLUMN('1-DATA'!D286)),ROUND(INDEX('1-DATA'!$1:$1048576,IF(OR($B288="STD. DEVIATION",$C$1=1),$A288,$A288+1),COLUMN('1-DATA'!D286)),IF($B288="STD. DEVIATION",2,$F$1))))</f>
        <v/>
      </c>
      <c r="F288" s="1" t="str">
        <f>IF(OR($B288="",F$7=""),"",IF($B288="MEANS",INDEX('1-DATA'!$1:$1048576,$A287-1,COLUMN('1-DATA'!E286)),ROUND(INDEX('1-DATA'!$1:$1048576,IF(OR($B288="STD. DEVIATION",$C$1=1),$A288,$A288+1),COLUMN('1-DATA'!E286)),IF($B288="STD. DEVIATION",2,$F$1))))</f>
        <v/>
      </c>
      <c r="G288" s="1" t="str">
        <f>IF(OR($B288="",G$7=""),"",IF($B288="MEANS",INDEX('1-DATA'!$1:$1048576,$A287-1,COLUMN('1-DATA'!F286)),ROUND(INDEX('1-DATA'!$1:$1048576,IF(OR($B288="STD. DEVIATION",$C$1=1),$A288,$A288+1),COLUMN('1-DATA'!F286)),IF($B288="STD. DEVIATION",2,$F$1))))</f>
        <v/>
      </c>
      <c r="H288" s="1" t="str">
        <f>IF(OR($B288="",H$7=""),"",IF($B288="MEANS",INDEX('1-DATA'!$1:$1048576,$A287-1,COLUMN('1-DATA'!G286)),ROUND(INDEX('1-DATA'!$1:$1048576,IF(OR($B288="STD. DEVIATION",$C$1=1),$A288,$A288+1),COLUMN('1-DATA'!G286)),IF($B288="STD. DEVIATION",2,$F$1))))</f>
        <v/>
      </c>
      <c r="I288" s="1" t="str">
        <f>IF(OR($B288="",I$7=""),"",IF($B288="MEANS",INDEX('1-DATA'!$1:$1048576,$A287-1,COLUMN('1-DATA'!H286)),ROUND(INDEX('1-DATA'!$1:$1048576,IF(OR($B288="STD. DEVIATION",$C$1=1),$A288,$A288+1),COLUMN('1-DATA'!H286)),IF($B288="STD. DEVIATION",2,$F$1))))</f>
        <v/>
      </c>
      <c r="J288" s="1" t="str">
        <f>IF(OR($B288="",J$7=""),"",IF($B288="MEANS",INDEX('1-DATA'!$1:$1048576,$A287-1,COLUMN('1-DATA'!I286)),ROUND(INDEX('1-DATA'!$1:$1048576,IF(OR($B288="STD. DEVIATION",$C$1=1),$A288,$A288+1),COLUMN('1-DATA'!I286)),IF($B288="STD. DEVIATION",2,$F$1))))</f>
        <v/>
      </c>
      <c r="K288" s="1" t="str">
        <f>IF(OR($B288="",K$7=""),"",IF($B288="MEANS",INDEX('1-DATA'!$1:$1048576,$A287-1,COLUMN('1-DATA'!J286)),ROUND(INDEX('1-DATA'!$1:$1048576,IF(OR($B288="STD. DEVIATION",$C$1=1),$A288,$A288+1),COLUMN('1-DATA'!J286)),IF($B288="STD. DEVIATION",2,$F$1))))</f>
        <v/>
      </c>
      <c r="L288" s="1" t="str">
        <f>IF(OR($B288="",L$7=""),"",IF($B288="MEANS",INDEX('1-DATA'!$1:$1048576,$A287-1,COLUMN('1-DATA'!K286)),ROUND(INDEX('1-DATA'!$1:$1048576,IF(OR($B288="STD. DEVIATION",$C$1=1),$A288,$A288+1),COLUMN('1-DATA'!K286)),IF($B288="STD. DEVIATION",2,$F$1))))</f>
        <v/>
      </c>
      <c r="M288" s="1" t="str">
        <f>IF(OR($B288="",M$7=""),"",IF($B288="MEANS",INDEX('1-DATA'!$1:$1048576,$A287-1,COLUMN('1-DATA'!L286)),ROUND(INDEX('1-DATA'!$1:$1048576,IF(OR($B288="STD. DEVIATION",$C$1=1),$A288,$A288+1),COLUMN('1-DATA'!L286)),IF($B288="STD. DEVIATION",2,$F$1))))</f>
        <v/>
      </c>
      <c r="N288" s="1" t="str">
        <f>IF(OR($B288="",N$7=""),"",IF($B288="MEANS",INDEX('1-DATA'!$1:$1048576,$A287-1,COLUMN('1-DATA'!M286)),ROUND(INDEX('1-DATA'!$1:$1048576,IF(OR($B288="STD. DEVIATION",$C$1=1),$A288,$A288+1),COLUMN('1-DATA'!M286)),IF($B288="STD. DEVIATION",2,$F$1))))</f>
        <v/>
      </c>
      <c r="O288" s="1" t="str">
        <f>IF(OR($B288="",O$7=""),"",IF($B288="MEANS",INDEX('1-DATA'!$1:$1048576,$A287-1,COLUMN('1-DATA'!N286)),ROUND(INDEX('1-DATA'!$1:$1048576,IF(OR($B288="STD. DEVIATION",$C$1=1),$A288,$A288+1),COLUMN('1-DATA'!N286)),IF($B288="STD. DEVIATION",2,$F$1))))</f>
        <v/>
      </c>
      <c r="P288" s="1" t="str">
        <f>IF(OR($B288="",P$7=""),"",IF($B288="MEANS",INDEX('1-DATA'!$1:$1048576,$A287-1,COLUMN('1-DATA'!O286)),ROUND(INDEX('1-DATA'!$1:$1048576,IF(OR($B288="STD. DEVIATION",$C$1=1),$A288,$A288+1),COLUMN('1-DATA'!O286)),IF($B288="STD. DEVIATION",2,$F$1))))</f>
        <v/>
      </c>
      <c r="Q288" s="1" t="str">
        <f>IF(OR($B288="",Q$7=""),"",IF($B288="MEANS",INDEX('1-DATA'!$1:$1048576,$A287-1,COLUMN('1-DATA'!P286)),ROUND(INDEX('1-DATA'!$1:$1048576,IF(OR($B288="STD. DEVIATION",$C$1=1),$A288,$A288+1),COLUMN('1-DATA'!P286)),IF($B288="STD. DEVIATION",2,$F$1))))</f>
        <v/>
      </c>
      <c r="R288" s="1" t="str">
        <f>IF(OR($B288="",R$7=""),"",IF($B288="MEANS",INDEX('1-DATA'!$1:$1048576,$A287-1,COLUMN('1-DATA'!Q286)),ROUND(INDEX('1-DATA'!$1:$1048576,IF(OR($B288="STD. DEVIATION",$C$1=1),$A288,$A288+1),COLUMN('1-DATA'!Q286)),IF($B288="STD. DEVIATION",2,$F$1))))</f>
        <v/>
      </c>
      <c r="S288" s="1" t="str">
        <f>IF(OR($B288="",S$7=""),"",IF($B288="MEANS",INDEX('1-DATA'!$1:$1048576,$A287-1,COLUMN('1-DATA'!R286)),ROUND(INDEX('1-DATA'!$1:$1048576,IF(OR($B288="STD. DEVIATION",$C$1=1),$A288,$A288+1),COLUMN('1-DATA'!R286)),IF($B288="STD. DEVIATION",2,$F$1))))</f>
        <v/>
      </c>
      <c r="T288" s="1" t="str">
        <f>IF(OR($B288="",T$7=""),"",IF($B288="MEANS",INDEX('1-DATA'!$1:$1048576,$A287-1,COLUMN('1-DATA'!S286)),ROUND(INDEX('1-DATA'!$1:$1048576,IF(OR($B288="STD. DEVIATION",$C$1=1),$A288,$A288+1),COLUMN('1-DATA'!S286)),IF($B288="STD. DEVIATION",2,$F$1))))</f>
        <v/>
      </c>
      <c r="U288" s="1" t="str">
        <f>IF(OR($B288="",U$7=""),"",IF($B288="MEANS",INDEX('1-DATA'!$1:$1048576,$A287-1,COLUMN('1-DATA'!T286)),ROUND(INDEX('1-DATA'!$1:$1048576,IF(OR($B288="STD. DEVIATION",$C$1=1),$A288,$A288+1),COLUMN('1-DATA'!T286)),IF($B288="STD. DEVIATION",2,$F$1))))</f>
        <v/>
      </c>
      <c r="V288" s="1" t="str">
        <f>IF(OR($B288="",V$7=""),"",IF($B288="MEANS",INDEX('1-DATA'!$1:$1048576,$A287-1,COLUMN('1-DATA'!U286)),ROUND(INDEX('1-DATA'!$1:$1048576,IF(OR($B288="STD. DEVIATION",$C$1=1),$A288,$A288+1),COLUMN('1-DATA'!U286)),IF($B288="STD. DEVIATION",2,$F$1))))</f>
        <v/>
      </c>
      <c r="W288" s="1" t="str">
        <f>IF(OR($B288="",W$7=""),"",IF($B288="MEANS",INDEX('1-DATA'!$1:$1048576,$A287-1,COLUMN('1-DATA'!V286)),ROUND(INDEX('1-DATA'!$1:$1048576,IF(OR($B288="STD. DEVIATION",$C$1=1),$A288,$A288+1),COLUMN('1-DATA'!V286)),IF($B288="STD. DEVIATION",2,$F$1))))</f>
        <v/>
      </c>
      <c r="X288" s="1" t="str">
        <f>IF(OR($B288="",X$7=""),"",IF($B288="MEANS",INDEX('1-DATA'!$1:$1048576,$A287-1,COLUMN('1-DATA'!W286)),ROUND(INDEX('1-DATA'!$1:$1048576,IF(OR($B288="STD. DEVIATION",$C$1=1),$A288,$A288+1),COLUMN('1-DATA'!W286)),IF($B288="STD. DEVIATION",2,$F$1))))</f>
        <v/>
      </c>
      <c r="Y288" s="1" t="str">
        <f>IF(OR($B288="",Y$7=""),"",IF($B288="MEANS",INDEX('1-DATA'!$1:$1048576,$A287-1,COLUMN('1-DATA'!X286)),ROUND(INDEX('1-DATA'!$1:$1048576,IF(OR($B288="STD. DEVIATION",$C$1=1),$A288,$A288+1),COLUMN('1-DATA'!X286)),IF($B288="STD. DEVIATION",2,$F$1))))</f>
        <v/>
      </c>
      <c r="Z288" s="1" t="str">
        <f>IF(OR($B288="",Z$7=""),"",IF($B288="MEANS",INDEX('1-DATA'!$1:$1048576,$A287-1,COLUMN('1-DATA'!Y286)),ROUND(INDEX('1-DATA'!$1:$1048576,IF(OR($B288="STD. DEVIATION",$C$1=1),$A288,$A288+1),COLUMN('1-DATA'!Y286)),IF($B288="STD. DEVIATION",2,$F$1))))</f>
        <v/>
      </c>
      <c r="AA288" s="1" t="str">
        <f>IF(OR($B288="",AA$7=""),"",IF($B288="MEANS",INDEX('1-DATA'!$1:$1048576,$A287-1,COLUMN('1-DATA'!Z286)),ROUND(INDEX('1-DATA'!$1:$1048576,IF(OR($B288="STD. DEVIATION",$C$1=1),$A288,$A288+1),COLUMN('1-DATA'!Z286)),IF($B288="STD. DEVIATION",2,$F$1))))</f>
        <v/>
      </c>
      <c r="AB288" s="1" t="str">
        <f>IF(OR($B288="",AB$7=""),"",IF($B288="MEANS",INDEX('1-DATA'!$1:$1048576,$A287-1,COLUMN('1-DATA'!AA286)),ROUND(INDEX('1-DATA'!$1:$1048576,IF(OR($B288="STD. DEVIATION",$C$1=1),$A288,$A288+1),COLUMN('1-DATA'!AA286)),IF($B288="STD. DEVIATION",2,$F$1))))</f>
        <v/>
      </c>
      <c r="AC288" s="1" t="str">
        <f>IF(OR($B288="",AC$7=""),"",IF($B288="MEANS",INDEX('1-DATA'!$1:$1048576,$A287-1,COLUMN('1-DATA'!AB286)),ROUND(INDEX('1-DATA'!$1:$1048576,IF(OR($B288="STD. DEVIATION",$C$1=1),$A288,$A288+1),COLUMN('1-DATA'!AB286)),IF($B288="STD. DEVIATION",2,$F$1))))</f>
        <v/>
      </c>
      <c r="AD288" s="1" t="str">
        <f>IF(OR($B288="",AD$7=""),"",IF($B288="MEANS",INDEX('1-DATA'!$1:$1048576,$A287-1,COLUMN('1-DATA'!AC286)),ROUND(INDEX('1-DATA'!$1:$1048576,IF(OR($B288="STD. DEVIATION",$C$1=1),$A288,$A288+1),COLUMN('1-DATA'!AC286)),IF($B288="STD. DEVIATION",2,$F$1))))</f>
        <v/>
      </c>
      <c r="AE288" s="1" t="str">
        <f>IF(OR($B288="",AE$7=""),"",IF($B288="MEANS",INDEX('1-DATA'!$1:$1048576,$A287-1,COLUMN('1-DATA'!AD286)),ROUND(INDEX('1-DATA'!$1:$1048576,IF(OR($B288="STD. DEVIATION",$C$1=1),$A288,$A288+1),COLUMN('1-DATA'!AD286)),IF($B288="STD. DEVIATION",2,$F$1))))</f>
        <v/>
      </c>
      <c r="AF288" s="1" t="str">
        <f>IF(OR($B288="",AF$7=""),"",IF($B288="MEANS",INDEX('1-DATA'!$1:$1048576,$A287-1,COLUMN('1-DATA'!AE286)),ROUND(INDEX('1-DATA'!$1:$1048576,IF(OR($B288="STD. DEVIATION",$C$1=1),$A288,$A288+1),COLUMN('1-DATA'!AE286)),IF($B288="STD. DEVIATION",2,$F$1))))</f>
        <v/>
      </c>
      <c r="AG288" s="1" t="str">
        <f>IF(OR($B288="",AG$7=""),"",IF($B288="MEANS",INDEX('1-DATA'!$1:$1048576,$A287-1,COLUMN('1-DATA'!AF286)),ROUND(INDEX('1-DATA'!$1:$1048576,IF(OR($B288="STD. DEVIATION",$C$1=1),$A288,$A288+1),COLUMN('1-DATA'!AF286)),IF($B288="STD. DEVIATION",2,$F$1))))</f>
        <v/>
      </c>
      <c r="AH288" s="1" t="str">
        <f>IF(OR($B288="",AH$7=""),"",IF($B288="MEANS",INDEX('1-DATA'!$1:$1048576,$A287-1,COLUMN('1-DATA'!AG286)),ROUND(INDEX('1-DATA'!$1:$1048576,IF(OR($B288="STD. DEVIATION",$C$1=1),$A288,$A288+1),COLUMN('1-DATA'!AG286)),IF($B288="STD. DEVIATION",2,$F$1))))</f>
        <v/>
      </c>
      <c r="AI288" s="1" t="str">
        <f>IF(OR($B288="",AI$7=""),"",IF($B288="MEANS",INDEX('1-DATA'!$1:$1048576,$A287-1,COLUMN('1-DATA'!AH286)),ROUND(INDEX('1-DATA'!$1:$1048576,IF(OR($B288="STD. DEVIATION",$C$1=1),$A288,$A288+1),COLUMN('1-DATA'!AH286)),IF($B288="STD. DEVIATION",2,$F$1))))</f>
        <v/>
      </c>
      <c r="AJ288" s="1" t="str">
        <f>IF(OR($B288="",AJ$7=""),"",IF($B288="MEANS",INDEX('1-DATA'!$1:$1048576,$A287-1,COLUMN('1-DATA'!AI286)),ROUND(INDEX('1-DATA'!$1:$1048576,IF(OR($B288="STD. DEVIATION",$C$1=1),$A288,$A288+1),COLUMN('1-DATA'!AI286)),IF($B288="STD. DEVIATION",2,$F$1))))</f>
        <v/>
      </c>
      <c r="AK288" s="1" t="str">
        <f>IF(OR($B288="",AK$7=""),"",IF($B288="MEANS",INDEX('1-DATA'!$1:$1048576,$A287-1,COLUMN('1-DATA'!AJ286)),ROUND(INDEX('1-DATA'!$1:$1048576,IF(OR($B288="STD. DEVIATION",$C$1=1),$A288,$A288+1),COLUMN('1-DATA'!AJ286)),IF($B288="STD. DEVIATION",2,$F$1))))</f>
        <v/>
      </c>
      <c r="AL288" s="1" t="str">
        <f>IF(OR($B288="",AL$7=""),"",IF($B288="MEANS",INDEX('1-DATA'!$1:$1048576,$A287-1,COLUMN('1-DATA'!AK286)),ROUND(INDEX('1-DATA'!$1:$1048576,IF(OR($B288="STD. DEVIATION",$C$1=1),$A288,$A288+1),COLUMN('1-DATA'!AK286)),IF($B288="STD. DEVIATION",2,$F$1))))</f>
        <v/>
      </c>
      <c r="AM288" s="1" t="str">
        <f>IF(OR($B288="",AM$7=""),"",IF($B288="MEANS",INDEX('1-DATA'!$1:$1048576,$A287-1,COLUMN('1-DATA'!AL286)),ROUND(INDEX('1-DATA'!$1:$1048576,IF(OR($B288="STD. DEVIATION",$C$1=1),$A288,$A288+1),COLUMN('1-DATA'!AL286)),IF($B288="STD. DEVIATION",2,$F$1))))</f>
        <v/>
      </c>
      <c r="AN288" s="1" t="str">
        <f>IF(OR($B288="",AN$7=""),"",IF($B288="MEANS",INDEX('1-DATA'!$1:$1048576,$A287-1,COLUMN('1-DATA'!AM286)),ROUND(INDEX('1-DATA'!$1:$1048576,IF(OR($B288="STD. DEVIATION",$C$1=1),$A288,$A288+1),COLUMN('1-DATA'!AM286)),IF($B288="STD. DEVIATION",2,$F$1))))</f>
        <v/>
      </c>
      <c r="AO288" s="1" t="str">
        <f>IF(OR($B288="",AO$7=""),"",IF($B288="MEANS",INDEX('1-DATA'!$1:$1048576,$A287-1,COLUMN('1-DATA'!AN286)),ROUND(INDEX('1-DATA'!$1:$1048576,IF(OR($B288="STD. DEVIATION",$C$1=1),$A288,$A288+1),COLUMN('1-DATA'!AN286)),IF($B288="STD. DEVIATION",2,$F$1))))</f>
        <v/>
      </c>
      <c r="AP288" s="1" t="str">
        <f>IF(OR($B288="",AP$7=""),"",IF($B288="MEANS",INDEX('1-DATA'!$1:$1048576,$A287-1,COLUMN('1-DATA'!AO286)),ROUND(INDEX('1-DATA'!$1:$1048576,IF(OR($B288="STD. DEVIATION",$C$1=1),$A288,$A288+1),COLUMN('1-DATA'!AO286)),IF($B288="STD. DEVIATION",2,$F$1))))</f>
        <v/>
      </c>
      <c r="AQ288" s="1" t="str">
        <f>IF(OR($B288="",AQ$7=""),"",IF($B288="MEANS",INDEX('1-DATA'!$1:$1048576,$A287-1,COLUMN('1-DATA'!AP286)),ROUND(INDEX('1-DATA'!$1:$1048576,IF(OR($B288="STD. DEVIATION",$C$1=1),$A288,$A288+1),COLUMN('1-DATA'!AP286)),IF($B288="STD. DEVIATION",2,$F$1))))</f>
        <v/>
      </c>
      <c r="AR288" s="1" t="str">
        <f>IF(OR($B288="",AR$7=""),"",IF($B288="MEANS",INDEX('1-DATA'!$1:$1048576,$A287-1,COLUMN('1-DATA'!AQ286)),ROUND(INDEX('1-DATA'!$1:$1048576,IF(OR($B288="STD. DEVIATION",$C$1=1),$A288,$A288+1),COLUMN('1-DATA'!AQ286)),IF($B288="STD. DEVIATION",2,$F$1))))</f>
        <v/>
      </c>
      <c r="AS288" s="1" t="str">
        <f>IF(OR($B288="",AS$7=""),"",IF($B288="MEANS",INDEX('1-DATA'!$1:$1048576,$A287-1,COLUMN('1-DATA'!AR286)),ROUND(INDEX('1-DATA'!$1:$1048576,IF(OR($B288="STD. DEVIATION",$C$1=1),$A288,$A288+1),COLUMN('1-DATA'!AR286)),IF($B288="STD. DEVIATION",2,$F$1))))</f>
        <v/>
      </c>
      <c r="AT288" s="1" t="str">
        <f>IF(OR($B288="",AT$7=""),"",IF($B288="MEANS",INDEX('1-DATA'!$1:$1048576,$A287-1,COLUMN('1-DATA'!AS286)),ROUND(INDEX('1-DATA'!$1:$1048576,IF(OR($B288="STD. DEVIATION",$C$1=1),$A288,$A288+1),COLUMN('1-DATA'!AS286)),IF($B288="STD. DEVIATION",2,$F$1))))</f>
        <v/>
      </c>
      <c r="AU288" s="1" t="str">
        <f>IF(OR($B288="",AU$7=""),"",IF($B288="MEANS",INDEX('1-DATA'!$1:$1048576,$A287-1,COLUMN('1-DATA'!AT286)),ROUND(INDEX('1-DATA'!$1:$1048576,IF(OR($B288="STD. DEVIATION",$C$1=1),$A288,$A288+1),COLUMN('1-DATA'!AT286)),IF($B288="STD. DEVIATION",2,$F$1))))</f>
        <v/>
      </c>
      <c r="AV288" s="1" t="str">
        <f>IF(OR($B288="",AV$7=""),"",IF($B288="MEANS",INDEX('1-DATA'!$1:$1048576,$A287-1,COLUMN('1-DATA'!AU286)),ROUND(INDEX('1-DATA'!$1:$1048576,IF(OR($B288="STD. DEVIATION",$C$1=1),$A288,$A288+1),COLUMN('1-DATA'!AU286)),IF($B288="STD. DEVIATION",2,$F$1))))</f>
        <v/>
      </c>
      <c r="AW288" s="1" t="str">
        <f>IF(OR($B288="",AW$7=""),"",IF($B288="MEANS",INDEX('1-DATA'!$1:$1048576,$A287-1,COLUMN('1-DATA'!AV286)),ROUND(INDEX('1-DATA'!$1:$1048576,IF(OR($B288="STD. DEVIATION",$C$1=1),$A288,$A288+1),COLUMN('1-DATA'!AV286)),IF($B288="STD. DEVIATION",2,$F$1))))</f>
        <v/>
      </c>
      <c r="AX288" s="1" t="str">
        <f>IF(OR($B288="",AX$7=""),"",IF($B288="MEANS",INDEX('1-DATA'!$1:$1048576,$A287-1,COLUMN('1-DATA'!AW286)),ROUND(INDEX('1-DATA'!$1:$1048576,IF(OR($B288="STD. DEVIATION",$C$1=1),$A288,$A288+1),COLUMN('1-DATA'!AW286)),IF($B288="STD. DEVIATION",2,$F$1))))</f>
        <v/>
      </c>
      <c r="AY288" s="1" t="str">
        <f>IF(OR($B288="",AY$7=""),"",IF($B288="MEANS",INDEX('1-DATA'!$1:$1048576,$A287-1,COLUMN('1-DATA'!AX286)),ROUND(INDEX('1-DATA'!$1:$1048576,IF(OR($B288="STD. DEVIATION",$C$1=1),$A288,$A288+1),COLUMN('1-DATA'!AX286)),IF($B288="STD. DEVIATION",2,$F$1))))</f>
        <v/>
      </c>
      <c r="AZ288" s="1" t="str">
        <f>IF(OR($B288="",AZ$7=""),"",IF($B288="MEANS",INDEX('1-DATA'!$1:$1048576,$A287-1,COLUMN('1-DATA'!AY286)),ROUND(INDEX('1-DATA'!$1:$1048576,IF(OR($B288="STD. DEVIATION",$C$1=1),$A288,$A288+1),COLUMN('1-DATA'!AY286)),IF($B288="STD. DEVIATION",2,$F$1))))</f>
        <v/>
      </c>
    </row>
    <row r="289" spans="1:52" x14ac:dyDescent="0.25">
      <c r="A289" s="11">
        <f t="shared" si="5"/>
        <v>853</v>
      </c>
      <c r="B289" s="1" t="str">
        <f>IF(B288="STD. DEVIATION",INDEX('1-DATA'!$1:$1048576,$A288-1,1),IF(INDEX('1-DATA'!$1:$1048576,$A289,1)&lt;&gt;"",INDEX('1-DATA'!$1:$1048576,$A289,1),""))</f>
        <v/>
      </c>
      <c r="C289" s="1" t="str">
        <f>IF(OR($B289="",C$7=""),"",IF($B289="MEANS",INDEX('1-DATA'!$1:$1048576,$A288-1,COLUMN('1-DATA'!B287)),ROUND(INDEX('1-DATA'!$1:$1048576,IF(OR($B289="STD. DEVIATION",$C$1=1),$A289,$A289+1),COLUMN('1-DATA'!B287)),IF($B289="STD. DEVIATION",2,$F$1))))</f>
        <v/>
      </c>
      <c r="D289" s="1" t="str">
        <f>IF(OR($B289="",D$7=""),"",IF($B289="MEANS",INDEX('1-DATA'!$1:$1048576,$A288-1,COLUMN('1-DATA'!C287)),ROUND(INDEX('1-DATA'!$1:$1048576,IF(OR($B289="STD. DEVIATION",$C$1=1),$A289,$A289+1),COLUMN('1-DATA'!C287)),IF($B289="STD. DEVIATION",2,$F$1))))</f>
        <v/>
      </c>
      <c r="E289" s="1" t="str">
        <f>IF(OR($B289="",E$7=""),"",IF($B289="MEANS",INDEX('1-DATA'!$1:$1048576,$A288-1,COLUMN('1-DATA'!D287)),ROUND(INDEX('1-DATA'!$1:$1048576,IF(OR($B289="STD. DEVIATION",$C$1=1),$A289,$A289+1),COLUMN('1-DATA'!D287)),IF($B289="STD. DEVIATION",2,$F$1))))</f>
        <v/>
      </c>
      <c r="F289" s="1" t="str">
        <f>IF(OR($B289="",F$7=""),"",IF($B289="MEANS",INDEX('1-DATA'!$1:$1048576,$A288-1,COLUMN('1-DATA'!E287)),ROUND(INDEX('1-DATA'!$1:$1048576,IF(OR($B289="STD. DEVIATION",$C$1=1),$A289,$A289+1),COLUMN('1-DATA'!E287)),IF($B289="STD. DEVIATION",2,$F$1))))</f>
        <v/>
      </c>
      <c r="G289" s="1" t="str">
        <f>IF(OR($B289="",G$7=""),"",IF($B289="MEANS",INDEX('1-DATA'!$1:$1048576,$A288-1,COLUMN('1-DATA'!F287)),ROUND(INDEX('1-DATA'!$1:$1048576,IF(OR($B289="STD. DEVIATION",$C$1=1),$A289,$A289+1),COLUMN('1-DATA'!F287)),IF($B289="STD. DEVIATION",2,$F$1))))</f>
        <v/>
      </c>
      <c r="H289" s="1" t="str">
        <f>IF(OR($B289="",H$7=""),"",IF($B289="MEANS",INDEX('1-DATA'!$1:$1048576,$A288-1,COLUMN('1-DATA'!G287)),ROUND(INDEX('1-DATA'!$1:$1048576,IF(OR($B289="STD. DEVIATION",$C$1=1),$A289,$A289+1),COLUMN('1-DATA'!G287)),IF($B289="STD. DEVIATION",2,$F$1))))</f>
        <v/>
      </c>
      <c r="I289" s="1" t="str">
        <f>IF(OR($B289="",I$7=""),"",IF($B289="MEANS",INDEX('1-DATA'!$1:$1048576,$A288-1,COLUMN('1-DATA'!H287)),ROUND(INDEX('1-DATA'!$1:$1048576,IF(OR($B289="STD. DEVIATION",$C$1=1),$A289,$A289+1),COLUMN('1-DATA'!H287)),IF($B289="STD. DEVIATION",2,$F$1))))</f>
        <v/>
      </c>
      <c r="J289" s="1" t="str">
        <f>IF(OR($B289="",J$7=""),"",IF($B289="MEANS",INDEX('1-DATA'!$1:$1048576,$A288-1,COLUMN('1-DATA'!I287)),ROUND(INDEX('1-DATA'!$1:$1048576,IF(OR($B289="STD. DEVIATION",$C$1=1),$A289,$A289+1),COLUMN('1-DATA'!I287)),IF($B289="STD. DEVIATION",2,$F$1))))</f>
        <v/>
      </c>
      <c r="K289" s="1" t="str">
        <f>IF(OR($B289="",K$7=""),"",IF($B289="MEANS",INDEX('1-DATA'!$1:$1048576,$A288-1,COLUMN('1-DATA'!J287)),ROUND(INDEX('1-DATA'!$1:$1048576,IF(OR($B289="STD. DEVIATION",$C$1=1),$A289,$A289+1),COLUMN('1-DATA'!J287)),IF($B289="STD. DEVIATION",2,$F$1))))</f>
        <v/>
      </c>
      <c r="L289" s="1" t="str">
        <f>IF(OR($B289="",L$7=""),"",IF($B289="MEANS",INDEX('1-DATA'!$1:$1048576,$A288-1,COLUMN('1-DATA'!K287)),ROUND(INDEX('1-DATA'!$1:$1048576,IF(OR($B289="STD. DEVIATION",$C$1=1),$A289,$A289+1),COLUMN('1-DATA'!K287)),IF($B289="STD. DEVIATION",2,$F$1))))</f>
        <v/>
      </c>
      <c r="M289" s="1" t="str">
        <f>IF(OR($B289="",M$7=""),"",IF($B289="MEANS",INDEX('1-DATA'!$1:$1048576,$A288-1,COLUMN('1-DATA'!L287)),ROUND(INDEX('1-DATA'!$1:$1048576,IF(OR($B289="STD. DEVIATION",$C$1=1),$A289,$A289+1),COLUMN('1-DATA'!L287)),IF($B289="STD. DEVIATION",2,$F$1))))</f>
        <v/>
      </c>
      <c r="N289" s="1" t="str">
        <f>IF(OR($B289="",N$7=""),"",IF($B289="MEANS",INDEX('1-DATA'!$1:$1048576,$A288-1,COLUMN('1-DATA'!M287)),ROUND(INDEX('1-DATA'!$1:$1048576,IF(OR($B289="STD. DEVIATION",$C$1=1),$A289,$A289+1),COLUMN('1-DATA'!M287)),IF($B289="STD. DEVIATION",2,$F$1))))</f>
        <v/>
      </c>
      <c r="O289" s="1" t="str">
        <f>IF(OR($B289="",O$7=""),"",IF($B289="MEANS",INDEX('1-DATA'!$1:$1048576,$A288-1,COLUMN('1-DATA'!N287)),ROUND(INDEX('1-DATA'!$1:$1048576,IF(OR($B289="STD. DEVIATION",$C$1=1),$A289,$A289+1),COLUMN('1-DATA'!N287)),IF($B289="STD. DEVIATION",2,$F$1))))</f>
        <v/>
      </c>
      <c r="P289" s="1" t="str">
        <f>IF(OR($B289="",P$7=""),"",IF($B289="MEANS",INDEX('1-DATA'!$1:$1048576,$A288-1,COLUMN('1-DATA'!O287)),ROUND(INDEX('1-DATA'!$1:$1048576,IF(OR($B289="STD. DEVIATION",$C$1=1),$A289,$A289+1),COLUMN('1-DATA'!O287)),IF($B289="STD. DEVIATION",2,$F$1))))</f>
        <v/>
      </c>
      <c r="Q289" s="1" t="str">
        <f>IF(OR($B289="",Q$7=""),"",IF($B289="MEANS",INDEX('1-DATA'!$1:$1048576,$A288-1,COLUMN('1-DATA'!P287)),ROUND(INDEX('1-DATA'!$1:$1048576,IF(OR($B289="STD. DEVIATION",$C$1=1),$A289,$A289+1),COLUMN('1-DATA'!P287)),IF($B289="STD. DEVIATION",2,$F$1))))</f>
        <v/>
      </c>
      <c r="R289" s="1" t="str">
        <f>IF(OR($B289="",R$7=""),"",IF($B289="MEANS",INDEX('1-DATA'!$1:$1048576,$A288-1,COLUMN('1-DATA'!Q287)),ROUND(INDEX('1-DATA'!$1:$1048576,IF(OR($B289="STD. DEVIATION",$C$1=1),$A289,$A289+1),COLUMN('1-DATA'!Q287)),IF($B289="STD. DEVIATION",2,$F$1))))</f>
        <v/>
      </c>
      <c r="S289" s="1" t="str">
        <f>IF(OR($B289="",S$7=""),"",IF($B289="MEANS",INDEX('1-DATA'!$1:$1048576,$A288-1,COLUMN('1-DATA'!R287)),ROUND(INDEX('1-DATA'!$1:$1048576,IF(OR($B289="STD. DEVIATION",$C$1=1),$A289,$A289+1),COLUMN('1-DATA'!R287)),IF($B289="STD. DEVIATION",2,$F$1))))</f>
        <v/>
      </c>
      <c r="T289" s="1" t="str">
        <f>IF(OR($B289="",T$7=""),"",IF($B289="MEANS",INDEX('1-DATA'!$1:$1048576,$A288-1,COLUMN('1-DATA'!S287)),ROUND(INDEX('1-DATA'!$1:$1048576,IF(OR($B289="STD. DEVIATION",$C$1=1),$A289,$A289+1),COLUMN('1-DATA'!S287)),IF($B289="STD. DEVIATION",2,$F$1))))</f>
        <v/>
      </c>
      <c r="U289" s="1" t="str">
        <f>IF(OR($B289="",U$7=""),"",IF($B289="MEANS",INDEX('1-DATA'!$1:$1048576,$A288-1,COLUMN('1-DATA'!T287)),ROUND(INDEX('1-DATA'!$1:$1048576,IF(OR($B289="STD. DEVIATION",$C$1=1),$A289,$A289+1),COLUMN('1-DATA'!T287)),IF($B289="STD. DEVIATION",2,$F$1))))</f>
        <v/>
      </c>
      <c r="V289" s="1" t="str">
        <f>IF(OR($B289="",V$7=""),"",IF($B289="MEANS",INDEX('1-DATA'!$1:$1048576,$A288-1,COLUMN('1-DATA'!U287)),ROUND(INDEX('1-DATA'!$1:$1048576,IF(OR($B289="STD. DEVIATION",$C$1=1),$A289,$A289+1),COLUMN('1-DATA'!U287)),IF($B289="STD. DEVIATION",2,$F$1))))</f>
        <v/>
      </c>
      <c r="W289" s="1" t="str">
        <f>IF(OR($B289="",W$7=""),"",IF($B289="MEANS",INDEX('1-DATA'!$1:$1048576,$A288-1,COLUMN('1-DATA'!V287)),ROUND(INDEX('1-DATA'!$1:$1048576,IF(OR($B289="STD. DEVIATION",$C$1=1),$A289,$A289+1),COLUMN('1-DATA'!V287)),IF($B289="STD. DEVIATION",2,$F$1))))</f>
        <v/>
      </c>
      <c r="X289" s="1" t="str">
        <f>IF(OR($B289="",X$7=""),"",IF($B289="MEANS",INDEX('1-DATA'!$1:$1048576,$A288-1,COLUMN('1-DATA'!W287)),ROUND(INDEX('1-DATA'!$1:$1048576,IF(OR($B289="STD. DEVIATION",$C$1=1),$A289,$A289+1),COLUMN('1-DATA'!W287)),IF($B289="STD. DEVIATION",2,$F$1))))</f>
        <v/>
      </c>
      <c r="Y289" s="1" t="str">
        <f>IF(OR($B289="",Y$7=""),"",IF($B289="MEANS",INDEX('1-DATA'!$1:$1048576,$A288-1,COLUMN('1-DATA'!X287)),ROUND(INDEX('1-DATA'!$1:$1048576,IF(OR($B289="STD. DEVIATION",$C$1=1),$A289,$A289+1),COLUMN('1-DATA'!X287)),IF($B289="STD. DEVIATION",2,$F$1))))</f>
        <v/>
      </c>
      <c r="Z289" s="1" t="str">
        <f>IF(OR($B289="",Z$7=""),"",IF($B289="MEANS",INDEX('1-DATA'!$1:$1048576,$A288-1,COLUMN('1-DATA'!Y287)),ROUND(INDEX('1-DATA'!$1:$1048576,IF(OR($B289="STD. DEVIATION",$C$1=1),$A289,$A289+1),COLUMN('1-DATA'!Y287)),IF($B289="STD. DEVIATION",2,$F$1))))</f>
        <v/>
      </c>
      <c r="AA289" s="1" t="str">
        <f>IF(OR($B289="",AA$7=""),"",IF($B289="MEANS",INDEX('1-DATA'!$1:$1048576,$A288-1,COLUMN('1-DATA'!Z287)),ROUND(INDEX('1-DATA'!$1:$1048576,IF(OR($B289="STD. DEVIATION",$C$1=1),$A289,$A289+1),COLUMN('1-DATA'!Z287)),IF($B289="STD. DEVIATION",2,$F$1))))</f>
        <v/>
      </c>
      <c r="AB289" s="1" t="str">
        <f>IF(OR($B289="",AB$7=""),"",IF($B289="MEANS",INDEX('1-DATA'!$1:$1048576,$A288-1,COLUMN('1-DATA'!AA287)),ROUND(INDEX('1-DATA'!$1:$1048576,IF(OR($B289="STD. DEVIATION",$C$1=1),$A289,$A289+1),COLUMN('1-DATA'!AA287)),IF($B289="STD. DEVIATION",2,$F$1))))</f>
        <v/>
      </c>
      <c r="AC289" s="1" t="str">
        <f>IF(OR($B289="",AC$7=""),"",IF($B289="MEANS",INDEX('1-DATA'!$1:$1048576,$A288-1,COLUMN('1-DATA'!AB287)),ROUND(INDEX('1-DATA'!$1:$1048576,IF(OR($B289="STD. DEVIATION",$C$1=1),$A289,$A289+1),COLUMN('1-DATA'!AB287)),IF($B289="STD. DEVIATION",2,$F$1))))</f>
        <v/>
      </c>
      <c r="AD289" s="1" t="str">
        <f>IF(OR($B289="",AD$7=""),"",IF($B289="MEANS",INDEX('1-DATA'!$1:$1048576,$A288-1,COLUMN('1-DATA'!AC287)),ROUND(INDEX('1-DATA'!$1:$1048576,IF(OR($B289="STD. DEVIATION",$C$1=1),$A289,$A289+1),COLUMN('1-DATA'!AC287)),IF($B289="STD. DEVIATION",2,$F$1))))</f>
        <v/>
      </c>
      <c r="AE289" s="1" t="str">
        <f>IF(OR($B289="",AE$7=""),"",IF($B289="MEANS",INDEX('1-DATA'!$1:$1048576,$A288-1,COLUMN('1-DATA'!AD287)),ROUND(INDEX('1-DATA'!$1:$1048576,IF(OR($B289="STD. DEVIATION",$C$1=1),$A289,$A289+1),COLUMN('1-DATA'!AD287)),IF($B289="STD. DEVIATION",2,$F$1))))</f>
        <v/>
      </c>
      <c r="AF289" s="1" t="str">
        <f>IF(OR($B289="",AF$7=""),"",IF($B289="MEANS",INDEX('1-DATA'!$1:$1048576,$A288-1,COLUMN('1-DATA'!AE287)),ROUND(INDEX('1-DATA'!$1:$1048576,IF(OR($B289="STD. DEVIATION",$C$1=1),$A289,$A289+1),COLUMN('1-DATA'!AE287)),IF($B289="STD. DEVIATION",2,$F$1))))</f>
        <v/>
      </c>
      <c r="AG289" s="1" t="str">
        <f>IF(OR($B289="",AG$7=""),"",IF($B289="MEANS",INDEX('1-DATA'!$1:$1048576,$A288-1,COLUMN('1-DATA'!AF287)),ROUND(INDEX('1-DATA'!$1:$1048576,IF(OR($B289="STD. DEVIATION",$C$1=1),$A289,$A289+1),COLUMN('1-DATA'!AF287)),IF($B289="STD. DEVIATION",2,$F$1))))</f>
        <v/>
      </c>
      <c r="AH289" s="1" t="str">
        <f>IF(OR($B289="",AH$7=""),"",IF($B289="MEANS",INDEX('1-DATA'!$1:$1048576,$A288-1,COLUMN('1-DATA'!AG287)),ROUND(INDEX('1-DATA'!$1:$1048576,IF(OR($B289="STD. DEVIATION",$C$1=1),$A289,$A289+1),COLUMN('1-DATA'!AG287)),IF($B289="STD. DEVIATION",2,$F$1))))</f>
        <v/>
      </c>
      <c r="AI289" s="1" t="str">
        <f>IF(OR($B289="",AI$7=""),"",IF($B289="MEANS",INDEX('1-DATA'!$1:$1048576,$A288-1,COLUMN('1-DATA'!AH287)),ROUND(INDEX('1-DATA'!$1:$1048576,IF(OR($B289="STD. DEVIATION",$C$1=1),$A289,$A289+1),COLUMN('1-DATA'!AH287)),IF($B289="STD. DEVIATION",2,$F$1))))</f>
        <v/>
      </c>
      <c r="AJ289" s="1" t="str">
        <f>IF(OR($B289="",AJ$7=""),"",IF($B289="MEANS",INDEX('1-DATA'!$1:$1048576,$A288-1,COLUMN('1-DATA'!AI287)),ROUND(INDEX('1-DATA'!$1:$1048576,IF(OR($B289="STD. DEVIATION",$C$1=1),$A289,$A289+1),COLUMN('1-DATA'!AI287)),IF($B289="STD. DEVIATION",2,$F$1))))</f>
        <v/>
      </c>
      <c r="AK289" s="1" t="str">
        <f>IF(OR($B289="",AK$7=""),"",IF($B289="MEANS",INDEX('1-DATA'!$1:$1048576,$A288-1,COLUMN('1-DATA'!AJ287)),ROUND(INDEX('1-DATA'!$1:$1048576,IF(OR($B289="STD. DEVIATION",$C$1=1),$A289,$A289+1),COLUMN('1-DATA'!AJ287)),IF($B289="STD. DEVIATION",2,$F$1))))</f>
        <v/>
      </c>
      <c r="AL289" s="1" t="str">
        <f>IF(OR($B289="",AL$7=""),"",IF($B289="MEANS",INDEX('1-DATA'!$1:$1048576,$A288-1,COLUMN('1-DATA'!AK287)),ROUND(INDEX('1-DATA'!$1:$1048576,IF(OR($B289="STD. DEVIATION",$C$1=1),$A289,$A289+1),COLUMN('1-DATA'!AK287)),IF($B289="STD. DEVIATION",2,$F$1))))</f>
        <v/>
      </c>
      <c r="AM289" s="1" t="str">
        <f>IF(OR($B289="",AM$7=""),"",IF($B289="MEANS",INDEX('1-DATA'!$1:$1048576,$A288-1,COLUMN('1-DATA'!AL287)),ROUND(INDEX('1-DATA'!$1:$1048576,IF(OR($B289="STD. DEVIATION",$C$1=1),$A289,$A289+1),COLUMN('1-DATA'!AL287)),IF($B289="STD. DEVIATION",2,$F$1))))</f>
        <v/>
      </c>
      <c r="AN289" s="1" t="str">
        <f>IF(OR($B289="",AN$7=""),"",IF($B289="MEANS",INDEX('1-DATA'!$1:$1048576,$A288-1,COLUMN('1-DATA'!AM287)),ROUND(INDEX('1-DATA'!$1:$1048576,IF(OR($B289="STD. DEVIATION",$C$1=1),$A289,$A289+1),COLUMN('1-DATA'!AM287)),IF($B289="STD. DEVIATION",2,$F$1))))</f>
        <v/>
      </c>
      <c r="AO289" s="1" t="str">
        <f>IF(OR($B289="",AO$7=""),"",IF($B289="MEANS",INDEX('1-DATA'!$1:$1048576,$A288-1,COLUMN('1-DATA'!AN287)),ROUND(INDEX('1-DATA'!$1:$1048576,IF(OR($B289="STD. DEVIATION",$C$1=1),$A289,$A289+1),COLUMN('1-DATA'!AN287)),IF($B289="STD. DEVIATION",2,$F$1))))</f>
        <v/>
      </c>
      <c r="AP289" s="1" t="str">
        <f>IF(OR($B289="",AP$7=""),"",IF($B289="MEANS",INDEX('1-DATA'!$1:$1048576,$A288-1,COLUMN('1-DATA'!AO287)),ROUND(INDEX('1-DATA'!$1:$1048576,IF(OR($B289="STD. DEVIATION",$C$1=1),$A289,$A289+1),COLUMN('1-DATA'!AO287)),IF($B289="STD. DEVIATION",2,$F$1))))</f>
        <v/>
      </c>
      <c r="AQ289" s="1" t="str">
        <f>IF(OR($B289="",AQ$7=""),"",IF($B289="MEANS",INDEX('1-DATA'!$1:$1048576,$A288-1,COLUMN('1-DATA'!AP287)),ROUND(INDEX('1-DATA'!$1:$1048576,IF(OR($B289="STD. DEVIATION",$C$1=1),$A289,$A289+1),COLUMN('1-DATA'!AP287)),IF($B289="STD. DEVIATION",2,$F$1))))</f>
        <v/>
      </c>
      <c r="AR289" s="1" t="str">
        <f>IF(OR($B289="",AR$7=""),"",IF($B289="MEANS",INDEX('1-DATA'!$1:$1048576,$A288-1,COLUMN('1-DATA'!AQ287)),ROUND(INDEX('1-DATA'!$1:$1048576,IF(OR($B289="STD. DEVIATION",$C$1=1),$A289,$A289+1),COLUMN('1-DATA'!AQ287)),IF($B289="STD. DEVIATION",2,$F$1))))</f>
        <v/>
      </c>
      <c r="AS289" s="1" t="str">
        <f>IF(OR($B289="",AS$7=""),"",IF($B289="MEANS",INDEX('1-DATA'!$1:$1048576,$A288-1,COLUMN('1-DATA'!AR287)),ROUND(INDEX('1-DATA'!$1:$1048576,IF(OR($B289="STD. DEVIATION",$C$1=1),$A289,$A289+1),COLUMN('1-DATA'!AR287)),IF($B289="STD. DEVIATION",2,$F$1))))</f>
        <v/>
      </c>
      <c r="AT289" s="1" t="str">
        <f>IF(OR($B289="",AT$7=""),"",IF($B289="MEANS",INDEX('1-DATA'!$1:$1048576,$A288-1,COLUMN('1-DATA'!AS287)),ROUND(INDEX('1-DATA'!$1:$1048576,IF(OR($B289="STD. DEVIATION",$C$1=1),$A289,$A289+1),COLUMN('1-DATA'!AS287)),IF($B289="STD. DEVIATION",2,$F$1))))</f>
        <v/>
      </c>
      <c r="AU289" s="1" t="str">
        <f>IF(OR($B289="",AU$7=""),"",IF($B289="MEANS",INDEX('1-DATA'!$1:$1048576,$A288-1,COLUMN('1-DATA'!AT287)),ROUND(INDEX('1-DATA'!$1:$1048576,IF(OR($B289="STD. DEVIATION",$C$1=1),$A289,$A289+1),COLUMN('1-DATA'!AT287)),IF($B289="STD. DEVIATION",2,$F$1))))</f>
        <v/>
      </c>
      <c r="AV289" s="1" t="str">
        <f>IF(OR($B289="",AV$7=""),"",IF($B289="MEANS",INDEX('1-DATA'!$1:$1048576,$A288-1,COLUMN('1-DATA'!AU287)),ROUND(INDEX('1-DATA'!$1:$1048576,IF(OR($B289="STD. DEVIATION",$C$1=1),$A289,$A289+1),COLUMN('1-DATA'!AU287)),IF($B289="STD. DEVIATION",2,$F$1))))</f>
        <v/>
      </c>
      <c r="AW289" s="1" t="str">
        <f>IF(OR($B289="",AW$7=""),"",IF($B289="MEANS",INDEX('1-DATA'!$1:$1048576,$A288-1,COLUMN('1-DATA'!AV287)),ROUND(INDEX('1-DATA'!$1:$1048576,IF(OR($B289="STD. DEVIATION",$C$1=1),$A289,$A289+1),COLUMN('1-DATA'!AV287)),IF($B289="STD. DEVIATION",2,$F$1))))</f>
        <v/>
      </c>
      <c r="AX289" s="1" t="str">
        <f>IF(OR($B289="",AX$7=""),"",IF($B289="MEANS",INDEX('1-DATA'!$1:$1048576,$A288-1,COLUMN('1-DATA'!AW287)),ROUND(INDEX('1-DATA'!$1:$1048576,IF(OR($B289="STD. DEVIATION",$C$1=1),$A289,$A289+1),COLUMN('1-DATA'!AW287)),IF($B289="STD. DEVIATION",2,$F$1))))</f>
        <v/>
      </c>
      <c r="AY289" s="1" t="str">
        <f>IF(OR($B289="",AY$7=""),"",IF($B289="MEANS",INDEX('1-DATA'!$1:$1048576,$A288-1,COLUMN('1-DATA'!AX287)),ROUND(INDEX('1-DATA'!$1:$1048576,IF(OR($B289="STD. DEVIATION",$C$1=1),$A289,$A289+1),COLUMN('1-DATA'!AX287)),IF($B289="STD. DEVIATION",2,$F$1))))</f>
        <v/>
      </c>
      <c r="AZ289" s="1" t="str">
        <f>IF(OR($B289="",AZ$7=""),"",IF($B289="MEANS",INDEX('1-DATA'!$1:$1048576,$A288-1,COLUMN('1-DATA'!AY287)),ROUND(INDEX('1-DATA'!$1:$1048576,IF(OR($B289="STD. DEVIATION",$C$1=1),$A289,$A289+1),COLUMN('1-DATA'!AY287)),IF($B289="STD. DEVIATION",2,$F$1))))</f>
        <v/>
      </c>
    </row>
    <row r="290" spans="1:52" x14ac:dyDescent="0.25">
      <c r="A290" s="11">
        <f t="shared" si="5"/>
        <v>856</v>
      </c>
      <c r="B290" s="1" t="str">
        <f>IF(B289="STD. DEVIATION",INDEX('1-DATA'!$1:$1048576,$A289-1,1),IF(INDEX('1-DATA'!$1:$1048576,$A290,1)&lt;&gt;"",INDEX('1-DATA'!$1:$1048576,$A290,1),""))</f>
        <v/>
      </c>
      <c r="C290" s="1" t="str">
        <f>IF(OR($B290="",C$7=""),"",IF($B290="MEANS",INDEX('1-DATA'!$1:$1048576,$A289-1,COLUMN('1-DATA'!B288)),ROUND(INDEX('1-DATA'!$1:$1048576,IF(OR($B290="STD. DEVIATION",$C$1=1),$A290,$A290+1),COLUMN('1-DATA'!B288)),IF($B290="STD. DEVIATION",2,$F$1))))</f>
        <v/>
      </c>
      <c r="D290" s="1" t="str">
        <f>IF(OR($B290="",D$7=""),"",IF($B290="MEANS",INDEX('1-DATA'!$1:$1048576,$A289-1,COLUMN('1-DATA'!C288)),ROUND(INDEX('1-DATA'!$1:$1048576,IF(OR($B290="STD. DEVIATION",$C$1=1),$A290,$A290+1),COLUMN('1-DATA'!C288)),IF($B290="STD. DEVIATION",2,$F$1))))</f>
        <v/>
      </c>
      <c r="E290" s="1" t="str">
        <f>IF(OR($B290="",E$7=""),"",IF($B290="MEANS",INDEX('1-DATA'!$1:$1048576,$A289-1,COLUMN('1-DATA'!D288)),ROUND(INDEX('1-DATA'!$1:$1048576,IF(OR($B290="STD. DEVIATION",$C$1=1),$A290,$A290+1),COLUMN('1-DATA'!D288)),IF($B290="STD. DEVIATION",2,$F$1))))</f>
        <v/>
      </c>
      <c r="F290" s="1" t="str">
        <f>IF(OR($B290="",F$7=""),"",IF($B290="MEANS",INDEX('1-DATA'!$1:$1048576,$A289-1,COLUMN('1-DATA'!E288)),ROUND(INDEX('1-DATA'!$1:$1048576,IF(OR($B290="STD. DEVIATION",$C$1=1),$A290,$A290+1),COLUMN('1-DATA'!E288)),IF($B290="STD. DEVIATION",2,$F$1))))</f>
        <v/>
      </c>
      <c r="G290" s="1" t="str">
        <f>IF(OR($B290="",G$7=""),"",IF($B290="MEANS",INDEX('1-DATA'!$1:$1048576,$A289-1,COLUMN('1-DATA'!F288)),ROUND(INDEX('1-DATA'!$1:$1048576,IF(OR($B290="STD. DEVIATION",$C$1=1),$A290,$A290+1),COLUMN('1-DATA'!F288)),IF($B290="STD. DEVIATION",2,$F$1))))</f>
        <v/>
      </c>
      <c r="H290" s="1" t="str">
        <f>IF(OR($B290="",H$7=""),"",IF($B290="MEANS",INDEX('1-DATA'!$1:$1048576,$A289-1,COLUMN('1-DATA'!G288)),ROUND(INDEX('1-DATA'!$1:$1048576,IF(OR($B290="STD. DEVIATION",$C$1=1),$A290,$A290+1),COLUMN('1-DATA'!G288)),IF($B290="STD. DEVIATION",2,$F$1))))</f>
        <v/>
      </c>
      <c r="I290" s="1" t="str">
        <f>IF(OR($B290="",I$7=""),"",IF($B290="MEANS",INDEX('1-DATA'!$1:$1048576,$A289-1,COLUMN('1-DATA'!H288)),ROUND(INDEX('1-DATA'!$1:$1048576,IF(OR($B290="STD. DEVIATION",$C$1=1),$A290,$A290+1),COLUMN('1-DATA'!H288)),IF($B290="STD. DEVIATION",2,$F$1))))</f>
        <v/>
      </c>
      <c r="J290" s="1" t="str">
        <f>IF(OR($B290="",J$7=""),"",IF($B290="MEANS",INDEX('1-DATA'!$1:$1048576,$A289-1,COLUMN('1-DATA'!I288)),ROUND(INDEX('1-DATA'!$1:$1048576,IF(OR($B290="STD. DEVIATION",$C$1=1),$A290,$A290+1),COLUMN('1-DATA'!I288)),IF($B290="STD. DEVIATION",2,$F$1))))</f>
        <v/>
      </c>
      <c r="K290" s="1" t="str">
        <f>IF(OR($B290="",K$7=""),"",IF($B290="MEANS",INDEX('1-DATA'!$1:$1048576,$A289-1,COLUMN('1-DATA'!J288)),ROUND(INDEX('1-DATA'!$1:$1048576,IF(OR($B290="STD. DEVIATION",$C$1=1),$A290,$A290+1),COLUMN('1-DATA'!J288)),IF($B290="STD. DEVIATION",2,$F$1))))</f>
        <v/>
      </c>
      <c r="L290" s="1" t="str">
        <f>IF(OR($B290="",L$7=""),"",IF($B290="MEANS",INDEX('1-DATA'!$1:$1048576,$A289-1,COLUMN('1-DATA'!K288)),ROUND(INDEX('1-DATA'!$1:$1048576,IF(OR($B290="STD. DEVIATION",$C$1=1),$A290,$A290+1),COLUMN('1-DATA'!K288)),IF($B290="STD. DEVIATION",2,$F$1))))</f>
        <v/>
      </c>
      <c r="M290" s="1" t="str">
        <f>IF(OR($B290="",M$7=""),"",IF($B290="MEANS",INDEX('1-DATA'!$1:$1048576,$A289-1,COLUMN('1-DATA'!L288)),ROUND(INDEX('1-DATA'!$1:$1048576,IF(OR($B290="STD. DEVIATION",$C$1=1),$A290,$A290+1),COLUMN('1-DATA'!L288)),IF($B290="STD. DEVIATION",2,$F$1))))</f>
        <v/>
      </c>
      <c r="N290" s="1" t="str">
        <f>IF(OR($B290="",N$7=""),"",IF($B290="MEANS",INDEX('1-DATA'!$1:$1048576,$A289-1,COLUMN('1-DATA'!M288)),ROUND(INDEX('1-DATA'!$1:$1048576,IF(OR($B290="STD. DEVIATION",$C$1=1),$A290,$A290+1),COLUMN('1-DATA'!M288)),IF($B290="STD. DEVIATION",2,$F$1))))</f>
        <v/>
      </c>
      <c r="O290" s="1" t="str">
        <f>IF(OR($B290="",O$7=""),"",IF($B290="MEANS",INDEX('1-DATA'!$1:$1048576,$A289-1,COLUMN('1-DATA'!N288)),ROUND(INDEX('1-DATA'!$1:$1048576,IF(OR($B290="STD. DEVIATION",$C$1=1),$A290,$A290+1),COLUMN('1-DATA'!N288)),IF($B290="STD. DEVIATION",2,$F$1))))</f>
        <v/>
      </c>
      <c r="P290" s="1" t="str">
        <f>IF(OR($B290="",P$7=""),"",IF($B290="MEANS",INDEX('1-DATA'!$1:$1048576,$A289-1,COLUMN('1-DATA'!O288)),ROUND(INDEX('1-DATA'!$1:$1048576,IF(OR($B290="STD. DEVIATION",$C$1=1),$A290,$A290+1),COLUMN('1-DATA'!O288)),IF($B290="STD. DEVIATION",2,$F$1))))</f>
        <v/>
      </c>
      <c r="Q290" s="1" t="str">
        <f>IF(OR($B290="",Q$7=""),"",IF($B290="MEANS",INDEX('1-DATA'!$1:$1048576,$A289-1,COLUMN('1-DATA'!P288)),ROUND(INDEX('1-DATA'!$1:$1048576,IF(OR($B290="STD. DEVIATION",$C$1=1),$A290,$A290+1),COLUMN('1-DATA'!P288)),IF($B290="STD. DEVIATION",2,$F$1))))</f>
        <v/>
      </c>
      <c r="R290" s="1" t="str">
        <f>IF(OR($B290="",R$7=""),"",IF($B290="MEANS",INDEX('1-DATA'!$1:$1048576,$A289-1,COLUMN('1-DATA'!Q288)),ROUND(INDEX('1-DATA'!$1:$1048576,IF(OR($B290="STD. DEVIATION",$C$1=1),$A290,$A290+1),COLUMN('1-DATA'!Q288)),IF($B290="STD. DEVIATION",2,$F$1))))</f>
        <v/>
      </c>
      <c r="S290" s="1" t="str">
        <f>IF(OR($B290="",S$7=""),"",IF($B290="MEANS",INDEX('1-DATA'!$1:$1048576,$A289-1,COLUMN('1-DATA'!R288)),ROUND(INDEX('1-DATA'!$1:$1048576,IF(OR($B290="STD. DEVIATION",$C$1=1),$A290,$A290+1),COLUMN('1-DATA'!R288)),IF($B290="STD. DEVIATION",2,$F$1))))</f>
        <v/>
      </c>
      <c r="T290" s="1" t="str">
        <f>IF(OR($B290="",T$7=""),"",IF($B290="MEANS",INDEX('1-DATA'!$1:$1048576,$A289-1,COLUMN('1-DATA'!S288)),ROUND(INDEX('1-DATA'!$1:$1048576,IF(OR($B290="STD. DEVIATION",$C$1=1),$A290,$A290+1),COLUMN('1-DATA'!S288)),IF($B290="STD. DEVIATION",2,$F$1))))</f>
        <v/>
      </c>
      <c r="U290" s="1" t="str">
        <f>IF(OR($B290="",U$7=""),"",IF($B290="MEANS",INDEX('1-DATA'!$1:$1048576,$A289-1,COLUMN('1-DATA'!T288)),ROUND(INDEX('1-DATA'!$1:$1048576,IF(OR($B290="STD. DEVIATION",$C$1=1),$A290,$A290+1),COLUMN('1-DATA'!T288)),IF($B290="STD. DEVIATION",2,$F$1))))</f>
        <v/>
      </c>
      <c r="V290" s="1" t="str">
        <f>IF(OR($B290="",V$7=""),"",IF($B290="MEANS",INDEX('1-DATA'!$1:$1048576,$A289-1,COLUMN('1-DATA'!U288)),ROUND(INDEX('1-DATA'!$1:$1048576,IF(OR($B290="STD. DEVIATION",$C$1=1),$A290,$A290+1),COLUMN('1-DATA'!U288)),IF($B290="STD. DEVIATION",2,$F$1))))</f>
        <v/>
      </c>
      <c r="W290" s="1" t="str">
        <f>IF(OR($B290="",W$7=""),"",IF($B290="MEANS",INDEX('1-DATA'!$1:$1048576,$A289-1,COLUMN('1-DATA'!V288)),ROUND(INDEX('1-DATA'!$1:$1048576,IF(OR($B290="STD. DEVIATION",$C$1=1),$A290,$A290+1),COLUMN('1-DATA'!V288)),IF($B290="STD. DEVIATION",2,$F$1))))</f>
        <v/>
      </c>
      <c r="X290" s="1" t="str">
        <f>IF(OR($B290="",X$7=""),"",IF($B290="MEANS",INDEX('1-DATA'!$1:$1048576,$A289-1,COLUMN('1-DATA'!W288)),ROUND(INDEX('1-DATA'!$1:$1048576,IF(OR($B290="STD. DEVIATION",$C$1=1),$A290,$A290+1),COLUMN('1-DATA'!W288)),IF($B290="STD. DEVIATION",2,$F$1))))</f>
        <v/>
      </c>
      <c r="Y290" s="1" t="str">
        <f>IF(OR($B290="",Y$7=""),"",IF($B290="MEANS",INDEX('1-DATA'!$1:$1048576,$A289-1,COLUMN('1-DATA'!X288)),ROUND(INDEX('1-DATA'!$1:$1048576,IF(OR($B290="STD. DEVIATION",$C$1=1),$A290,$A290+1),COLUMN('1-DATA'!X288)),IF($B290="STD. DEVIATION",2,$F$1))))</f>
        <v/>
      </c>
      <c r="Z290" s="1" t="str">
        <f>IF(OR($B290="",Z$7=""),"",IF($B290="MEANS",INDEX('1-DATA'!$1:$1048576,$A289-1,COLUMN('1-DATA'!Y288)),ROUND(INDEX('1-DATA'!$1:$1048576,IF(OR($B290="STD. DEVIATION",$C$1=1),$A290,$A290+1),COLUMN('1-DATA'!Y288)),IF($B290="STD. DEVIATION",2,$F$1))))</f>
        <v/>
      </c>
      <c r="AA290" s="1" t="str">
        <f>IF(OR($B290="",AA$7=""),"",IF($B290="MEANS",INDEX('1-DATA'!$1:$1048576,$A289-1,COLUMN('1-DATA'!Z288)),ROUND(INDEX('1-DATA'!$1:$1048576,IF(OR($B290="STD. DEVIATION",$C$1=1),$A290,$A290+1),COLUMN('1-DATA'!Z288)),IF($B290="STD. DEVIATION",2,$F$1))))</f>
        <v/>
      </c>
      <c r="AB290" s="1" t="str">
        <f>IF(OR($B290="",AB$7=""),"",IF($B290="MEANS",INDEX('1-DATA'!$1:$1048576,$A289-1,COLUMN('1-DATA'!AA288)),ROUND(INDEX('1-DATA'!$1:$1048576,IF(OR($B290="STD. DEVIATION",$C$1=1),$A290,$A290+1),COLUMN('1-DATA'!AA288)),IF($B290="STD. DEVIATION",2,$F$1))))</f>
        <v/>
      </c>
      <c r="AC290" s="1" t="str">
        <f>IF(OR($B290="",AC$7=""),"",IF($B290="MEANS",INDEX('1-DATA'!$1:$1048576,$A289-1,COLUMN('1-DATA'!AB288)),ROUND(INDEX('1-DATA'!$1:$1048576,IF(OR($B290="STD. DEVIATION",$C$1=1),$A290,$A290+1),COLUMN('1-DATA'!AB288)),IF($B290="STD. DEVIATION",2,$F$1))))</f>
        <v/>
      </c>
      <c r="AD290" s="1" t="str">
        <f>IF(OR($B290="",AD$7=""),"",IF($B290="MEANS",INDEX('1-DATA'!$1:$1048576,$A289-1,COLUMN('1-DATA'!AC288)),ROUND(INDEX('1-DATA'!$1:$1048576,IF(OR($B290="STD. DEVIATION",$C$1=1),$A290,$A290+1),COLUMN('1-DATA'!AC288)),IF($B290="STD. DEVIATION",2,$F$1))))</f>
        <v/>
      </c>
      <c r="AE290" s="1" t="str">
        <f>IF(OR($B290="",AE$7=""),"",IF($B290="MEANS",INDEX('1-DATA'!$1:$1048576,$A289-1,COLUMN('1-DATA'!AD288)),ROUND(INDEX('1-DATA'!$1:$1048576,IF(OR($B290="STD. DEVIATION",$C$1=1),$A290,$A290+1),COLUMN('1-DATA'!AD288)),IF($B290="STD. DEVIATION",2,$F$1))))</f>
        <v/>
      </c>
      <c r="AF290" s="1" t="str">
        <f>IF(OR($B290="",AF$7=""),"",IF($B290="MEANS",INDEX('1-DATA'!$1:$1048576,$A289-1,COLUMN('1-DATA'!AE288)),ROUND(INDEX('1-DATA'!$1:$1048576,IF(OR($B290="STD. DEVIATION",$C$1=1),$A290,$A290+1),COLUMN('1-DATA'!AE288)),IF($B290="STD. DEVIATION",2,$F$1))))</f>
        <v/>
      </c>
      <c r="AG290" s="1" t="str">
        <f>IF(OR($B290="",AG$7=""),"",IF($B290="MEANS",INDEX('1-DATA'!$1:$1048576,$A289-1,COLUMN('1-DATA'!AF288)),ROUND(INDEX('1-DATA'!$1:$1048576,IF(OR($B290="STD. DEVIATION",$C$1=1),$A290,$A290+1),COLUMN('1-DATA'!AF288)),IF($B290="STD. DEVIATION",2,$F$1))))</f>
        <v/>
      </c>
      <c r="AH290" s="1" t="str">
        <f>IF(OR($B290="",AH$7=""),"",IF($B290="MEANS",INDEX('1-DATA'!$1:$1048576,$A289-1,COLUMN('1-DATA'!AG288)),ROUND(INDEX('1-DATA'!$1:$1048576,IF(OR($B290="STD. DEVIATION",$C$1=1),$A290,$A290+1),COLUMN('1-DATA'!AG288)),IF($B290="STD. DEVIATION",2,$F$1))))</f>
        <v/>
      </c>
      <c r="AI290" s="1" t="str">
        <f>IF(OR($B290="",AI$7=""),"",IF($B290="MEANS",INDEX('1-DATA'!$1:$1048576,$A289-1,COLUMN('1-DATA'!AH288)),ROUND(INDEX('1-DATA'!$1:$1048576,IF(OR($B290="STD. DEVIATION",$C$1=1),$A290,$A290+1),COLUMN('1-DATA'!AH288)),IF($B290="STD. DEVIATION",2,$F$1))))</f>
        <v/>
      </c>
      <c r="AJ290" s="1" t="str">
        <f>IF(OR($B290="",AJ$7=""),"",IF($B290="MEANS",INDEX('1-DATA'!$1:$1048576,$A289-1,COLUMN('1-DATA'!AI288)),ROUND(INDEX('1-DATA'!$1:$1048576,IF(OR($B290="STD. DEVIATION",$C$1=1),$A290,$A290+1),COLUMN('1-DATA'!AI288)),IF($B290="STD. DEVIATION",2,$F$1))))</f>
        <v/>
      </c>
      <c r="AK290" s="1" t="str">
        <f>IF(OR($B290="",AK$7=""),"",IF($B290="MEANS",INDEX('1-DATA'!$1:$1048576,$A289-1,COLUMN('1-DATA'!AJ288)),ROUND(INDEX('1-DATA'!$1:$1048576,IF(OR($B290="STD. DEVIATION",$C$1=1),$A290,$A290+1),COLUMN('1-DATA'!AJ288)),IF($B290="STD. DEVIATION",2,$F$1))))</f>
        <v/>
      </c>
      <c r="AL290" s="1" t="str">
        <f>IF(OR($B290="",AL$7=""),"",IF($B290="MEANS",INDEX('1-DATA'!$1:$1048576,$A289-1,COLUMN('1-DATA'!AK288)),ROUND(INDEX('1-DATA'!$1:$1048576,IF(OR($B290="STD. DEVIATION",$C$1=1),$A290,$A290+1),COLUMN('1-DATA'!AK288)),IF($B290="STD. DEVIATION",2,$F$1))))</f>
        <v/>
      </c>
      <c r="AM290" s="1" t="str">
        <f>IF(OR($B290="",AM$7=""),"",IF($B290="MEANS",INDEX('1-DATA'!$1:$1048576,$A289-1,COLUMN('1-DATA'!AL288)),ROUND(INDEX('1-DATA'!$1:$1048576,IF(OR($B290="STD. DEVIATION",$C$1=1),$A290,$A290+1),COLUMN('1-DATA'!AL288)),IF($B290="STD. DEVIATION",2,$F$1))))</f>
        <v/>
      </c>
      <c r="AN290" s="1" t="str">
        <f>IF(OR($B290="",AN$7=""),"",IF($B290="MEANS",INDEX('1-DATA'!$1:$1048576,$A289-1,COLUMN('1-DATA'!AM288)),ROUND(INDEX('1-DATA'!$1:$1048576,IF(OR($B290="STD. DEVIATION",$C$1=1),$A290,$A290+1),COLUMN('1-DATA'!AM288)),IF($B290="STD. DEVIATION",2,$F$1))))</f>
        <v/>
      </c>
      <c r="AO290" s="1" t="str">
        <f>IF(OR($B290="",AO$7=""),"",IF($B290="MEANS",INDEX('1-DATA'!$1:$1048576,$A289-1,COLUMN('1-DATA'!AN288)),ROUND(INDEX('1-DATA'!$1:$1048576,IF(OR($B290="STD. DEVIATION",$C$1=1),$A290,$A290+1),COLUMN('1-DATA'!AN288)),IF($B290="STD. DEVIATION",2,$F$1))))</f>
        <v/>
      </c>
      <c r="AP290" s="1" t="str">
        <f>IF(OR($B290="",AP$7=""),"",IF($B290="MEANS",INDEX('1-DATA'!$1:$1048576,$A289-1,COLUMN('1-DATA'!AO288)),ROUND(INDEX('1-DATA'!$1:$1048576,IF(OR($B290="STD. DEVIATION",$C$1=1),$A290,$A290+1),COLUMN('1-DATA'!AO288)),IF($B290="STD. DEVIATION",2,$F$1))))</f>
        <v/>
      </c>
      <c r="AQ290" s="1" t="str">
        <f>IF(OR($B290="",AQ$7=""),"",IF($B290="MEANS",INDEX('1-DATA'!$1:$1048576,$A289-1,COLUMN('1-DATA'!AP288)),ROUND(INDEX('1-DATA'!$1:$1048576,IF(OR($B290="STD. DEVIATION",$C$1=1),$A290,$A290+1),COLUMN('1-DATA'!AP288)),IF($B290="STD. DEVIATION",2,$F$1))))</f>
        <v/>
      </c>
      <c r="AR290" s="1" t="str">
        <f>IF(OR($B290="",AR$7=""),"",IF($B290="MEANS",INDEX('1-DATA'!$1:$1048576,$A289-1,COLUMN('1-DATA'!AQ288)),ROUND(INDEX('1-DATA'!$1:$1048576,IF(OR($B290="STD. DEVIATION",$C$1=1),$A290,$A290+1),COLUMN('1-DATA'!AQ288)),IF($B290="STD. DEVIATION",2,$F$1))))</f>
        <v/>
      </c>
      <c r="AS290" s="1" t="str">
        <f>IF(OR($B290="",AS$7=""),"",IF($B290="MEANS",INDEX('1-DATA'!$1:$1048576,$A289-1,COLUMN('1-DATA'!AR288)),ROUND(INDEX('1-DATA'!$1:$1048576,IF(OR($B290="STD. DEVIATION",$C$1=1),$A290,$A290+1),COLUMN('1-DATA'!AR288)),IF($B290="STD. DEVIATION",2,$F$1))))</f>
        <v/>
      </c>
      <c r="AT290" s="1" t="str">
        <f>IF(OR($B290="",AT$7=""),"",IF($B290="MEANS",INDEX('1-DATA'!$1:$1048576,$A289-1,COLUMN('1-DATA'!AS288)),ROUND(INDEX('1-DATA'!$1:$1048576,IF(OR($B290="STD. DEVIATION",$C$1=1),$A290,$A290+1),COLUMN('1-DATA'!AS288)),IF($B290="STD. DEVIATION",2,$F$1))))</f>
        <v/>
      </c>
      <c r="AU290" s="1" t="str">
        <f>IF(OR($B290="",AU$7=""),"",IF($B290="MEANS",INDEX('1-DATA'!$1:$1048576,$A289-1,COLUMN('1-DATA'!AT288)),ROUND(INDEX('1-DATA'!$1:$1048576,IF(OR($B290="STD. DEVIATION",$C$1=1),$A290,$A290+1),COLUMN('1-DATA'!AT288)),IF($B290="STD. DEVIATION",2,$F$1))))</f>
        <v/>
      </c>
      <c r="AV290" s="1" t="str">
        <f>IF(OR($B290="",AV$7=""),"",IF($B290="MEANS",INDEX('1-DATA'!$1:$1048576,$A289-1,COLUMN('1-DATA'!AU288)),ROUND(INDEX('1-DATA'!$1:$1048576,IF(OR($B290="STD. DEVIATION",$C$1=1),$A290,$A290+1),COLUMN('1-DATA'!AU288)),IF($B290="STD. DEVIATION",2,$F$1))))</f>
        <v/>
      </c>
      <c r="AW290" s="1" t="str">
        <f>IF(OR($B290="",AW$7=""),"",IF($B290="MEANS",INDEX('1-DATA'!$1:$1048576,$A289-1,COLUMN('1-DATA'!AV288)),ROUND(INDEX('1-DATA'!$1:$1048576,IF(OR($B290="STD. DEVIATION",$C$1=1),$A290,$A290+1),COLUMN('1-DATA'!AV288)),IF($B290="STD. DEVIATION",2,$F$1))))</f>
        <v/>
      </c>
      <c r="AX290" s="1" t="str">
        <f>IF(OR($B290="",AX$7=""),"",IF($B290="MEANS",INDEX('1-DATA'!$1:$1048576,$A289-1,COLUMN('1-DATA'!AW288)),ROUND(INDEX('1-DATA'!$1:$1048576,IF(OR($B290="STD. DEVIATION",$C$1=1),$A290,$A290+1),COLUMN('1-DATA'!AW288)),IF($B290="STD. DEVIATION",2,$F$1))))</f>
        <v/>
      </c>
      <c r="AY290" s="1" t="str">
        <f>IF(OR($B290="",AY$7=""),"",IF($B290="MEANS",INDEX('1-DATA'!$1:$1048576,$A289-1,COLUMN('1-DATA'!AX288)),ROUND(INDEX('1-DATA'!$1:$1048576,IF(OR($B290="STD. DEVIATION",$C$1=1),$A290,$A290+1),COLUMN('1-DATA'!AX288)),IF($B290="STD. DEVIATION",2,$F$1))))</f>
        <v/>
      </c>
      <c r="AZ290" s="1" t="str">
        <f>IF(OR($B290="",AZ$7=""),"",IF($B290="MEANS",INDEX('1-DATA'!$1:$1048576,$A289-1,COLUMN('1-DATA'!AY288)),ROUND(INDEX('1-DATA'!$1:$1048576,IF(OR($B290="STD. DEVIATION",$C$1=1),$A290,$A290+1),COLUMN('1-DATA'!AY288)),IF($B290="STD. DEVIATION",2,$F$1))))</f>
        <v/>
      </c>
    </row>
    <row r="291" spans="1:52" x14ac:dyDescent="0.25">
      <c r="A291" s="11">
        <f t="shared" si="5"/>
        <v>859</v>
      </c>
      <c r="B291" s="1" t="str">
        <f>IF(B290="STD. DEVIATION",INDEX('1-DATA'!$1:$1048576,$A290-1,1),IF(INDEX('1-DATA'!$1:$1048576,$A291,1)&lt;&gt;"",INDEX('1-DATA'!$1:$1048576,$A291,1),""))</f>
        <v/>
      </c>
      <c r="C291" s="1" t="str">
        <f>IF(OR($B291="",C$7=""),"",IF($B291="MEANS",INDEX('1-DATA'!$1:$1048576,$A290-1,COLUMN('1-DATA'!B289)),ROUND(INDEX('1-DATA'!$1:$1048576,IF(OR($B291="STD. DEVIATION",$C$1=1),$A291,$A291+1),COLUMN('1-DATA'!B289)),IF($B291="STD. DEVIATION",2,$F$1))))</f>
        <v/>
      </c>
      <c r="D291" s="1" t="str">
        <f>IF(OR($B291="",D$7=""),"",IF($B291="MEANS",INDEX('1-DATA'!$1:$1048576,$A290-1,COLUMN('1-DATA'!C289)),ROUND(INDEX('1-DATA'!$1:$1048576,IF(OR($B291="STD. DEVIATION",$C$1=1),$A291,$A291+1),COLUMN('1-DATA'!C289)),IF($B291="STD. DEVIATION",2,$F$1))))</f>
        <v/>
      </c>
      <c r="E291" s="1" t="str">
        <f>IF(OR($B291="",E$7=""),"",IF($B291="MEANS",INDEX('1-DATA'!$1:$1048576,$A290-1,COLUMN('1-DATA'!D289)),ROUND(INDEX('1-DATA'!$1:$1048576,IF(OR($B291="STD. DEVIATION",$C$1=1),$A291,$A291+1),COLUMN('1-DATA'!D289)),IF($B291="STD. DEVIATION",2,$F$1))))</f>
        <v/>
      </c>
      <c r="F291" s="1" t="str">
        <f>IF(OR($B291="",F$7=""),"",IF($B291="MEANS",INDEX('1-DATA'!$1:$1048576,$A290-1,COLUMN('1-DATA'!E289)),ROUND(INDEX('1-DATA'!$1:$1048576,IF(OR($B291="STD. DEVIATION",$C$1=1),$A291,$A291+1),COLUMN('1-DATA'!E289)),IF($B291="STD. DEVIATION",2,$F$1))))</f>
        <v/>
      </c>
      <c r="G291" s="1" t="str">
        <f>IF(OR($B291="",G$7=""),"",IF($B291="MEANS",INDEX('1-DATA'!$1:$1048576,$A290-1,COLUMN('1-DATA'!F289)),ROUND(INDEX('1-DATA'!$1:$1048576,IF(OR($B291="STD. DEVIATION",$C$1=1),$A291,$A291+1),COLUMN('1-DATA'!F289)),IF($B291="STD. DEVIATION",2,$F$1))))</f>
        <v/>
      </c>
      <c r="H291" s="1" t="str">
        <f>IF(OR($B291="",H$7=""),"",IF($B291="MEANS",INDEX('1-DATA'!$1:$1048576,$A290-1,COLUMN('1-DATA'!G289)),ROUND(INDEX('1-DATA'!$1:$1048576,IF(OR($B291="STD. DEVIATION",$C$1=1),$A291,$A291+1),COLUMN('1-DATA'!G289)),IF($B291="STD. DEVIATION",2,$F$1))))</f>
        <v/>
      </c>
      <c r="I291" s="1" t="str">
        <f>IF(OR($B291="",I$7=""),"",IF($B291="MEANS",INDEX('1-DATA'!$1:$1048576,$A290-1,COLUMN('1-DATA'!H289)),ROUND(INDEX('1-DATA'!$1:$1048576,IF(OR($B291="STD. DEVIATION",$C$1=1),$A291,$A291+1),COLUMN('1-DATA'!H289)),IF($B291="STD. DEVIATION",2,$F$1))))</f>
        <v/>
      </c>
      <c r="J291" s="1" t="str">
        <f>IF(OR($B291="",J$7=""),"",IF($B291="MEANS",INDEX('1-DATA'!$1:$1048576,$A290-1,COLUMN('1-DATA'!I289)),ROUND(INDEX('1-DATA'!$1:$1048576,IF(OR($B291="STD. DEVIATION",$C$1=1),$A291,$A291+1),COLUMN('1-DATA'!I289)),IF($B291="STD. DEVIATION",2,$F$1))))</f>
        <v/>
      </c>
      <c r="K291" s="1" t="str">
        <f>IF(OR($B291="",K$7=""),"",IF($B291="MEANS",INDEX('1-DATA'!$1:$1048576,$A290-1,COLUMN('1-DATA'!J289)),ROUND(INDEX('1-DATA'!$1:$1048576,IF(OR($B291="STD. DEVIATION",$C$1=1),$A291,$A291+1),COLUMN('1-DATA'!J289)),IF($B291="STD. DEVIATION",2,$F$1))))</f>
        <v/>
      </c>
      <c r="L291" s="1" t="str">
        <f>IF(OR($B291="",L$7=""),"",IF($B291="MEANS",INDEX('1-DATA'!$1:$1048576,$A290-1,COLUMN('1-DATA'!K289)),ROUND(INDEX('1-DATA'!$1:$1048576,IF(OR($B291="STD. DEVIATION",$C$1=1),$A291,$A291+1),COLUMN('1-DATA'!K289)),IF($B291="STD. DEVIATION",2,$F$1))))</f>
        <v/>
      </c>
      <c r="M291" s="1" t="str">
        <f>IF(OR($B291="",M$7=""),"",IF($B291="MEANS",INDEX('1-DATA'!$1:$1048576,$A290-1,COLUMN('1-DATA'!L289)),ROUND(INDEX('1-DATA'!$1:$1048576,IF(OR($B291="STD. DEVIATION",$C$1=1),$A291,$A291+1),COLUMN('1-DATA'!L289)),IF($B291="STD. DEVIATION",2,$F$1))))</f>
        <v/>
      </c>
      <c r="N291" s="1" t="str">
        <f>IF(OR($B291="",N$7=""),"",IF($B291="MEANS",INDEX('1-DATA'!$1:$1048576,$A290-1,COLUMN('1-DATA'!M289)),ROUND(INDEX('1-DATA'!$1:$1048576,IF(OR($B291="STD. DEVIATION",$C$1=1),$A291,$A291+1),COLUMN('1-DATA'!M289)),IF($B291="STD. DEVIATION",2,$F$1))))</f>
        <v/>
      </c>
      <c r="O291" s="1" t="str">
        <f>IF(OR($B291="",O$7=""),"",IF($B291="MEANS",INDEX('1-DATA'!$1:$1048576,$A290-1,COLUMN('1-DATA'!N289)),ROUND(INDEX('1-DATA'!$1:$1048576,IF(OR($B291="STD. DEVIATION",$C$1=1),$A291,$A291+1),COLUMN('1-DATA'!N289)),IF($B291="STD. DEVIATION",2,$F$1))))</f>
        <v/>
      </c>
      <c r="P291" s="1" t="str">
        <f>IF(OR($B291="",P$7=""),"",IF($B291="MEANS",INDEX('1-DATA'!$1:$1048576,$A290-1,COLUMN('1-DATA'!O289)),ROUND(INDEX('1-DATA'!$1:$1048576,IF(OR($B291="STD. DEVIATION",$C$1=1),$A291,$A291+1),COLUMN('1-DATA'!O289)),IF($B291="STD. DEVIATION",2,$F$1))))</f>
        <v/>
      </c>
      <c r="Q291" s="1" t="str">
        <f>IF(OR($B291="",Q$7=""),"",IF($B291="MEANS",INDEX('1-DATA'!$1:$1048576,$A290-1,COLUMN('1-DATA'!P289)),ROUND(INDEX('1-DATA'!$1:$1048576,IF(OR($B291="STD. DEVIATION",$C$1=1),$A291,$A291+1),COLUMN('1-DATA'!P289)),IF($B291="STD. DEVIATION",2,$F$1))))</f>
        <v/>
      </c>
      <c r="R291" s="1" t="str">
        <f>IF(OR($B291="",R$7=""),"",IF($B291="MEANS",INDEX('1-DATA'!$1:$1048576,$A290-1,COLUMN('1-DATA'!Q289)),ROUND(INDEX('1-DATA'!$1:$1048576,IF(OR($B291="STD. DEVIATION",$C$1=1),$A291,$A291+1),COLUMN('1-DATA'!Q289)),IF($B291="STD. DEVIATION",2,$F$1))))</f>
        <v/>
      </c>
      <c r="S291" s="1" t="str">
        <f>IF(OR($B291="",S$7=""),"",IF($B291="MEANS",INDEX('1-DATA'!$1:$1048576,$A290-1,COLUMN('1-DATA'!R289)),ROUND(INDEX('1-DATA'!$1:$1048576,IF(OR($B291="STD. DEVIATION",$C$1=1),$A291,$A291+1),COLUMN('1-DATA'!R289)),IF($B291="STD. DEVIATION",2,$F$1))))</f>
        <v/>
      </c>
      <c r="T291" s="1" t="str">
        <f>IF(OR($B291="",T$7=""),"",IF($B291="MEANS",INDEX('1-DATA'!$1:$1048576,$A290-1,COLUMN('1-DATA'!S289)),ROUND(INDEX('1-DATA'!$1:$1048576,IF(OR($B291="STD. DEVIATION",$C$1=1),$A291,$A291+1),COLUMN('1-DATA'!S289)),IF($B291="STD. DEVIATION",2,$F$1))))</f>
        <v/>
      </c>
      <c r="U291" s="1" t="str">
        <f>IF(OR($B291="",U$7=""),"",IF($B291="MEANS",INDEX('1-DATA'!$1:$1048576,$A290-1,COLUMN('1-DATA'!T289)),ROUND(INDEX('1-DATA'!$1:$1048576,IF(OR($B291="STD. DEVIATION",$C$1=1),$A291,$A291+1),COLUMN('1-DATA'!T289)),IF($B291="STD. DEVIATION",2,$F$1))))</f>
        <v/>
      </c>
      <c r="V291" s="1" t="str">
        <f>IF(OR($B291="",V$7=""),"",IF($B291="MEANS",INDEX('1-DATA'!$1:$1048576,$A290-1,COLUMN('1-DATA'!U289)),ROUND(INDEX('1-DATA'!$1:$1048576,IF(OR($B291="STD. DEVIATION",$C$1=1),$A291,$A291+1),COLUMN('1-DATA'!U289)),IF($B291="STD. DEVIATION",2,$F$1))))</f>
        <v/>
      </c>
      <c r="W291" s="1" t="str">
        <f>IF(OR($B291="",W$7=""),"",IF($B291="MEANS",INDEX('1-DATA'!$1:$1048576,$A290-1,COLUMN('1-DATA'!V289)),ROUND(INDEX('1-DATA'!$1:$1048576,IF(OR($B291="STD. DEVIATION",$C$1=1),$A291,$A291+1),COLUMN('1-DATA'!V289)),IF($B291="STD. DEVIATION",2,$F$1))))</f>
        <v/>
      </c>
      <c r="X291" s="1" t="str">
        <f>IF(OR($B291="",X$7=""),"",IF($B291="MEANS",INDEX('1-DATA'!$1:$1048576,$A290-1,COLUMN('1-DATA'!W289)),ROUND(INDEX('1-DATA'!$1:$1048576,IF(OR($B291="STD. DEVIATION",$C$1=1),$A291,$A291+1),COLUMN('1-DATA'!W289)),IF($B291="STD. DEVIATION",2,$F$1))))</f>
        <v/>
      </c>
      <c r="Y291" s="1" t="str">
        <f>IF(OR($B291="",Y$7=""),"",IF($B291="MEANS",INDEX('1-DATA'!$1:$1048576,$A290-1,COLUMN('1-DATA'!X289)),ROUND(INDEX('1-DATA'!$1:$1048576,IF(OR($B291="STD. DEVIATION",$C$1=1),$A291,$A291+1),COLUMN('1-DATA'!X289)),IF($B291="STD. DEVIATION",2,$F$1))))</f>
        <v/>
      </c>
      <c r="Z291" s="1" t="str">
        <f>IF(OR($B291="",Z$7=""),"",IF($B291="MEANS",INDEX('1-DATA'!$1:$1048576,$A290-1,COLUMN('1-DATA'!Y289)),ROUND(INDEX('1-DATA'!$1:$1048576,IF(OR($B291="STD. DEVIATION",$C$1=1),$A291,$A291+1),COLUMN('1-DATA'!Y289)),IF($B291="STD. DEVIATION",2,$F$1))))</f>
        <v/>
      </c>
      <c r="AA291" s="1" t="str">
        <f>IF(OR($B291="",AA$7=""),"",IF($B291="MEANS",INDEX('1-DATA'!$1:$1048576,$A290-1,COLUMN('1-DATA'!Z289)),ROUND(INDEX('1-DATA'!$1:$1048576,IF(OR($B291="STD. DEVIATION",$C$1=1),$A291,$A291+1),COLUMN('1-DATA'!Z289)),IF($B291="STD. DEVIATION",2,$F$1))))</f>
        <v/>
      </c>
      <c r="AB291" s="1" t="str">
        <f>IF(OR($B291="",AB$7=""),"",IF($B291="MEANS",INDEX('1-DATA'!$1:$1048576,$A290-1,COLUMN('1-DATA'!AA289)),ROUND(INDEX('1-DATA'!$1:$1048576,IF(OR($B291="STD. DEVIATION",$C$1=1),$A291,$A291+1),COLUMN('1-DATA'!AA289)),IF($B291="STD. DEVIATION",2,$F$1))))</f>
        <v/>
      </c>
      <c r="AC291" s="1" t="str">
        <f>IF(OR($B291="",AC$7=""),"",IF($B291="MEANS",INDEX('1-DATA'!$1:$1048576,$A290-1,COLUMN('1-DATA'!AB289)),ROUND(INDEX('1-DATA'!$1:$1048576,IF(OR($B291="STD. DEVIATION",$C$1=1),$A291,$A291+1),COLUMN('1-DATA'!AB289)),IF($B291="STD. DEVIATION",2,$F$1))))</f>
        <v/>
      </c>
      <c r="AD291" s="1" t="str">
        <f>IF(OR($B291="",AD$7=""),"",IF($B291="MEANS",INDEX('1-DATA'!$1:$1048576,$A290-1,COLUMN('1-DATA'!AC289)),ROUND(INDEX('1-DATA'!$1:$1048576,IF(OR($B291="STD. DEVIATION",$C$1=1),$A291,$A291+1),COLUMN('1-DATA'!AC289)),IF($B291="STD. DEVIATION",2,$F$1))))</f>
        <v/>
      </c>
      <c r="AE291" s="1" t="str">
        <f>IF(OR($B291="",AE$7=""),"",IF($B291="MEANS",INDEX('1-DATA'!$1:$1048576,$A290-1,COLUMN('1-DATA'!AD289)),ROUND(INDEX('1-DATA'!$1:$1048576,IF(OR($B291="STD. DEVIATION",$C$1=1),$A291,$A291+1),COLUMN('1-DATA'!AD289)),IF($B291="STD. DEVIATION",2,$F$1))))</f>
        <v/>
      </c>
      <c r="AF291" s="1" t="str">
        <f>IF(OR($B291="",AF$7=""),"",IF($B291="MEANS",INDEX('1-DATA'!$1:$1048576,$A290-1,COLUMN('1-DATA'!AE289)),ROUND(INDEX('1-DATA'!$1:$1048576,IF(OR($B291="STD. DEVIATION",$C$1=1),$A291,$A291+1),COLUMN('1-DATA'!AE289)),IF($B291="STD. DEVIATION",2,$F$1))))</f>
        <v/>
      </c>
      <c r="AG291" s="1" t="str">
        <f>IF(OR($B291="",AG$7=""),"",IF($B291="MEANS",INDEX('1-DATA'!$1:$1048576,$A290-1,COLUMN('1-DATA'!AF289)),ROUND(INDEX('1-DATA'!$1:$1048576,IF(OR($B291="STD. DEVIATION",$C$1=1),$A291,$A291+1),COLUMN('1-DATA'!AF289)),IF($B291="STD. DEVIATION",2,$F$1))))</f>
        <v/>
      </c>
      <c r="AH291" s="1" t="str">
        <f>IF(OR($B291="",AH$7=""),"",IF($B291="MEANS",INDEX('1-DATA'!$1:$1048576,$A290-1,COLUMN('1-DATA'!AG289)),ROUND(INDEX('1-DATA'!$1:$1048576,IF(OR($B291="STD. DEVIATION",$C$1=1),$A291,$A291+1),COLUMN('1-DATA'!AG289)),IF($B291="STD. DEVIATION",2,$F$1))))</f>
        <v/>
      </c>
      <c r="AI291" s="1" t="str">
        <f>IF(OR($B291="",AI$7=""),"",IF($B291="MEANS",INDEX('1-DATA'!$1:$1048576,$A290-1,COLUMN('1-DATA'!AH289)),ROUND(INDEX('1-DATA'!$1:$1048576,IF(OR($B291="STD. DEVIATION",$C$1=1),$A291,$A291+1),COLUMN('1-DATA'!AH289)),IF($B291="STD. DEVIATION",2,$F$1))))</f>
        <v/>
      </c>
      <c r="AJ291" s="1" t="str">
        <f>IF(OR($B291="",AJ$7=""),"",IF($B291="MEANS",INDEX('1-DATA'!$1:$1048576,$A290-1,COLUMN('1-DATA'!AI289)),ROUND(INDEX('1-DATA'!$1:$1048576,IF(OR($B291="STD. DEVIATION",$C$1=1),$A291,$A291+1),COLUMN('1-DATA'!AI289)),IF($B291="STD. DEVIATION",2,$F$1))))</f>
        <v/>
      </c>
      <c r="AK291" s="1" t="str">
        <f>IF(OR($B291="",AK$7=""),"",IF($B291="MEANS",INDEX('1-DATA'!$1:$1048576,$A290-1,COLUMN('1-DATA'!AJ289)),ROUND(INDEX('1-DATA'!$1:$1048576,IF(OR($B291="STD. DEVIATION",$C$1=1),$A291,$A291+1),COLUMN('1-DATA'!AJ289)),IF($B291="STD. DEVIATION",2,$F$1))))</f>
        <v/>
      </c>
      <c r="AL291" s="1" t="str">
        <f>IF(OR($B291="",AL$7=""),"",IF($B291="MEANS",INDEX('1-DATA'!$1:$1048576,$A290-1,COLUMN('1-DATA'!AK289)),ROUND(INDEX('1-DATA'!$1:$1048576,IF(OR($B291="STD. DEVIATION",$C$1=1),$A291,$A291+1),COLUMN('1-DATA'!AK289)),IF($B291="STD. DEVIATION",2,$F$1))))</f>
        <v/>
      </c>
      <c r="AM291" s="1" t="str">
        <f>IF(OR($B291="",AM$7=""),"",IF($B291="MEANS",INDEX('1-DATA'!$1:$1048576,$A290-1,COLUMN('1-DATA'!AL289)),ROUND(INDEX('1-DATA'!$1:$1048576,IF(OR($B291="STD. DEVIATION",$C$1=1),$A291,$A291+1),COLUMN('1-DATA'!AL289)),IF($B291="STD. DEVIATION",2,$F$1))))</f>
        <v/>
      </c>
      <c r="AN291" s="1" t="str">
        <f>IF(OR($B291="",AN$7=""),"",IF($B291="MEANS",INDEX('1-DATA'!$1:$1048576,$A290-1,COLUMN('1-DATA'!AM289)),ROUND(INDEX('1-DATA'!$1:$1048576,IF(OR($B291="STD. DEVIATION",$C$1=1),$A291,$A291+1),COLUMN('1-DATA'!AM289)),IF($B291="STD. DEVIATION",2,$F$1))))</f>
        <v/>
      </c>
      <c r="AO291" s="1" t="str">
        <f>IF(OR($B291="",AO$7=""),"",IF($B291="MEANS",INDEX('1-DATA'!$1:$1048576,$A290-1,COLUMN('1-DATA'!AN289)),ROUND(INDEX('1-DATA'!$1:$1048576,IF(OR($B291="STD. DEVIATION",$C$1=1),$A291,$A291+1),COLUMN('1-DATA'!AN289)),IF($B291="STD. DEVIATION",2,$F$1))))</f>
        <v/>
      </c>
      <c r="AP291" s="1" t="str">
        <f>IF(OR($B291="",AP$7=""),"",IF($B291="MEANS",INDEX('1-DATA'!$1:$1048576,$A290-1,COLUMN('1-DATA'!AO289)),ROUND(INDEX('1-DATA'!$1:$1048576,IF(OR($B291="STD. DEVIATION",$C$1=1),$A291,$A291+1),COLUMN('1-DATA'!AO289)),IF($B291="STD. DEVIATION",2,$F$1))))</f>
        <v/>
      </c>
      <c r="AQ291" s="1" t="str">
        <f>IF(OR($B291="",AQ$7=""),"",IF($B291="MEANS",INDEX('1-DATA'!$1:$1048576,$A290-1,COLUMN('1-DATA'!AP289)),ROUND(INDEX('1-DATA'!$1:$1048576,IF(OR($B291="STD. DEVIATION",$C$1=1),$A291,$A291+1),COLUMN('1-DATA'!AP289)),IF($B291="STD. DEVIATION",2,$F$1))))</f>
        <v/>
      </c>
      <c r="AR291" s="1" t="str">
        <f>IF(OR($B291="",AR$7=""),"",IF($B291="MEANS",INDEX('1-DATA'!$1:$1048576,$A290-1,COLUMN('1-DATA'!AQ289)),ROUND(INDEX('1-DATA'!$1:$1048576,IF(OR($B291="STD. DEVIATION",$C$1=1),$A291,$A291+1),COLUMN('1-DATA'!AQ289)),IF($B291="STD. DEVIATION",2,$F$1))))</f>
        <v/>
      </c>
      <c r="AS291" s="1" t="str">
        <f>IF(OR($B291="",AS$7=""),"",IF($B291="MEANS",INDEX('1-DATA'!$1:$1048576,$A290-1,COLUMN('1-DATA'!AR289)),ROUND(INDEX('1-DATA'!$1:$1048576,IF(OR($B291="STD. DEVIATION",$C$1=1),$A291,$A291+1),COLUMN('1-DATA'!AR289)),IF($B291="STD. DEVIATION",2,$F$1))))</f>
        <v/>
      </c>
      <c r="AT291" s="1" t="str">
        <f>IF(OR($B291="",AT$7=""),"",IF($B291="MEANS",INDEX('1-DATA'!$1:$1048576,$A290-1,COLUMN('1-DATA'!AS289)),ROUND(INDEX('1-DATA'!$1:$1048576,IF(OR($B291="STD. DEVIATION",$C$1=1),$A291,$A291+1),COLUMN('1-DATA'!AS289)),IF($B291="STD. DEVIATION",2,$F$1))))</f>
        <v/>
      </c>
      <c r="AU291" s="1" t="str">
        <f>IF(OR($B291="",AU$7=""),"",IF($B291="MEANS",INDEX('1-DATA'!$1:$1048576,$A290-1,COLUMN('1-DATA'!AT289)),ROUND(INDEX('1-DATA'!$1:$1048576,IF(OR($B291="STD. DEVIATION",$C$1=1),$A291,$A291+1),COLUMN('1-DATA'!AT289)),IF($B291="STD. DEVIATION",2,$F$1))))</f>
        <v/>
      </c>
      <c r="AV291" s="1" t="str">
        <f>IF(OR($B291="",AV$7=""),"",IF($B291="MEANS",INDEX('1-DATA'!$1:$1048576,$A290-1,COLUMN('1-DATA'!AU289)),ROUND(INDEX('1-DATA'!$1:$1048576,IF(OR($B291="STD. DEVIATION",$C$1=1),$A291,$A291+1),COLUMN('1-DATA'!AU289)),IF($B291="STD. DEVIATION",2,$F$1))))</f>
        <v/>
      </c>
      <c r="AW291" s="1" t="str">
        <f>IF(OR($B291="",AW$7=""),"",IF($B291="MEANS",INDEX('1-DATA'!$1:$1048576,$A290-1,COLUMN('1-DATA'!AV289)),ROUND(INDEX('1-DATA'!$1:$1048576,IF(OR($B291="STD. DEVIATION",$C$1=1),$A291,$A291+1),COLUMN('1-DATA'!AV289)),IF($B291="STD. DEVIATION",2,$F$1))))</f>
        <v/>
      </c>
      <c r="AX291" s="1" t="str">
        <f>IF(OR($B291="",AX$7=""),"",IF($B291="MEANS",INDEX('1-DATA'!$1:$1048576,$A290-1,COLUMN('1-DATA'!AW289)),ROUND(INDEX('1-DATA'!$1:$1048576,IF(OR($B291="STD. DEVIATION",$C$1=1),$A291,$A291+1),COLUMN('1-DATA'!AW289)),IF($B291="STD. DEVIATION",2,$F$1))))</f>
        <v/>
      </c>
      <c r="AY291" s="1" t="str">
        <f>IF(OR($B291="",AY$7=""),"",IF($B291="MEANS",INDEX('1-DATA'!$1:$1048576,$A290-1,COLUMN('1-DATA'!AX289)),ROUND(INDEX('1-DATA'!$1:$1048576,IF(OR($B291="STD. DEVIATION",$C$1=1),$A291,$A291+1),COLUMN('1-DATA'!AX289)),IF($B291="STD. DEVIATION",2,$F$1))))</f>
        <v/>
      </c>
      <c r="AZ291" s="1" t="str">
        <f>IF(OR($B291="",AZ$7=""),"",IF($B291="MEANS",INDEX('1-DATA'!$1:$1048576,$A290-1,COLUMN('1-DATA'!AY289)),ROUND(INDEX('1-DATA'!$1:$1048576,IF(OR($B291="STD. DEVIATION",$C$1=1),$A291,$A291+1),COLUMN('1-DATA'!AY289)),IF($B291="STD. DEVIATION",2,$F$1))))</f>
        <v/>
      </c>
    </row>
    <row r="292" spans="1:52" x14ac:dyDescent="0.25">
      <c r="A292" s="11">
        <f t="shared" si="5"/>
        <v>862</v>
      </c>
      <c r="B292" s="1" t="str">
        <f>IF(B291="STD. DEVIATION",INDEX('1-DATA'!$1:$1048576,$A291-1,1),IF(INDEX('1-DATA'!$1:$1048576,$A292,1)&lt;&gt;"",INDEX('1-DATA'!$1:$1048576,$A292,1),""))</f>
        <v/>
      </c>
      <c r="C292" s="1" t="str">
        <f>IF(OR($B292="",C$7=""),"",IF($B292="MEANS",INDEX('1-DATA'!$1:$1048576,$A291-1,COLUMN('1-DATA'!B290)),ROUND(INDEX('1-DATA'!$1:$1048576,IF(OR($B292="STD. DEVIATION",$C$1=1),$A292,$A292+1),COLUMN('1-DATA'!B290)),IF($B292="STD. DEVIATION",2,$F$1))))</f>
        <v/>
      </c>
      <c r="D292" s="1" t="str">
        <f>IF(OR($B292="",D$7=""),"",IF($B292="MEANS",INDEX('1-DATA'!$1:$1048576,$A291-1,COLUMN('1-DATA'!C290)),ROUND(INDEX('1-DATA'!$1:$1048576,IF(OR($B292="STD. DEVIATION",$C$1=1),$A292,$A292+1),COLUMN('1-DATA'!C290)),IF($B292="STD. DEVIATION",2,$F$1))))</f>
        <v/>
      </c>
      <c r="E292" s="1" t="str">
        <f>IF(OR($B292="",E$7=""),"",IF($B292="MEANS",INDEX('1-DATA'!$1:$1048576,$A291-1,COLUMN('1-DATA'!D290)),ROUND(INDEX('1-DATA'!$1:$1048576,IF(OR($B292="STD. DEVIATION",$C$1=1),$A292,$A292+1),COLUMN('1-DATA'!D290)),IF($B292="STD. DEVIATION",2,$F$1))))</f>
        <v/>
      </c>
      <c r="F292" s="1" t="str">
        <f>IF(OR($B292="",F$7=""),"",IF($B292="MEANS",INDEX('1-DATA'!$1:$1048576,$A291-1,COLUMN('1-DATA'!E290)),ROUND(INDEX('1-DATA'!$1:$1048576,IF(OR($B292="STD. DEVIATION",$C$1=1),$A292,$A292+1),COLUMN('1-DATA'!E290)),IF($B292="STD. DEVIATION",2,$F$1))))</f>
        <v/>
      </c>
      <c r="G292" s="1" t="str">
        <f>IF(OR($B292="",G$7=""),"",IF($B292="MEANS",INDEX('1-DATA'!$1:$1048576,$A291-1,COLUMN('1-DATA'!F290)),ROUND(INDEX('1-DATA'!$1:$1048576,IF(OR($B292="STD. DEVIATION",$C$1=1),$A292,$A292+1),COLUMN('1-DATA'!F290)),IF($B292="STD. DEVIATION",2,$F$1))))</f>
        <v/>
      </c>
      <c r="H292" s="1" t="str">
        <f>IF(OR($B292="",H$7=""),"",IF($B292="MEANS",INDEX('1-DATA'!$1:$1048576,$A291-1,COLUMN('1-DATA'!G290)),ROUND(INDEX('1-DATA'!$1:$1048576,IF(OR($B292="STD. DEVIATION",$C$1=1),$A292,$A292+1),COLUMN('1-DATA'!G290)),IF($B292="STD. DEVIATION",2,$F$1))))</f>
        <v/>
      </c>
      <c r="I292" s="1" t="str">
        <f>IF(OR($B292="",I$7=""),"",IF($B292="MEANS",INDEX('1-DATA'!$1:$1048576,$A291-1,COLUMN('1-DATA'!H290)),ROUND(INDEX('1-DATA'!$1:$1048576,IF(OR($B292="STD. DEVIATION",$C$1=1),$A292,$A292+1),COLUMN('1-DATA'!H290)),IF($B292="STD. DEVIATION",2,$F$1))))</f>
        <v/>
      </c>
      <c r="J292" s="1" t="str">
        <f>IF(OR($B292="",J$7=""),"",IF($B292="MEANS",INDEX('1-DATA'!$1:$1048576,$A291-1,COLUMN('1-DATA'!I290)),ROUND(INDEX('1-DATA'!$1:$1048576,IF(OR($B292="STD. DEVIATION",$C$1=1),$A292,$A292+1),COLUMN('1-DATA'!I290)),IF($B292="STD. DEVIATION",2,$F$1))))</f>
        <v/>
      </c>
      <c r="K292" s="1" t="str">
        <f>IF(OR($B292="",K$7=""),"",IF($B292="MEANS",INDEX('1-DATA'!$1:$1048576,$A291-1,COLUMN('1-DATA'!J290)),ROUND(INDEX('1-DATA'!$1:$1048576,IF(OR($B292="STD. DEVIATION",$C$1=1),$A292,$A292+1),COLUMN('1-DATA'!J290)),IF($B292="STD. DEVIATION",2,$F$1))))</f>
        <v/>
      </c>
      <c r="L292" s="1" t="str">
        <f>IF(OR($B292="",L$7=""),"",IF($B292="MEANS",INDEX('1-DATA'!$1:$1048576,$A291-1,COLUMN('1-DATA'!K290)),ROUND(INDEX('1-DATA'!$1:$1048576,IF(OR($B292="STD. DEVIATION",$C$1=1),$A292,$A292+1),COLUMN('1-DATA'!K290)),IF($B292="STD. DEVIATION",2,$F$1))))</f>
        <v/>
      </c>
      <c r="M292" s="1" t="str">
        <f>IF(OR($B292="",M$7=""),"",IF($B292="MEANS",INDEX('1-DATA'!$1:$1048576,$A291-1,COLUMN('1-DATA'!L290)),ROUND(INDEX('1-DATA'!$1:$1048576,IF(OR($B292="STD. DEVIATION",$C$1=1),$A292,$A292+1),COLUMN('1-DATA'!L290)),IF($B292="STD. DEVIATION",2,$F$1))))</f>
        <v/>
      </c>
      <c r="N292" s="1" t="str">
        <f>IF(OR($B292="",N$7=""),"",IF($B292="MEANS",INDEX('1-DATA'!$1:$1048576,$A291-1,COLUMN('1-DATA'!M290)),ROUND(INDEX('1-DATA'!$1:$1048576,IF(OR($B292="STD. DEVIATION",$C$1=1),$A292,$A292+1),COLUMN('1-DATA'!M290)),IF($B292="STD. DEVIATION",2,$F$1))))</f>
        <v/>
      </c>
      <c r="O292" s="1" t="str">
        <f>IF(OR($B292="",O$7=""),"",IF($B292="MEANS",INDEX('1-DATA'!$1:$1048576,$A291-1,COLUMN('1-DATA'!N290)),ROUND(INDEX('1-DATA'!$1:$1048576,IF(OR($B292="STD. DEVIATION",$C$1=1),$A292,$A292+1),COLUMN('1-DATA'!N290)),IF($B292="STD. DEVIATION",2,$F$1))))</f>
        <v/>
      </c>
      <c r="P292" s="1" t="str">
        <f>IF(OR($B292="",P$7=""),"",IF($B292="MEANS",INDEX('1-DATA'!$1:$1048576,$A291-1,COLUMN('1-DATA'!O290)),ROUND(INDEX('1-DATA'!$1:$1048576,IF(OR($B292="STD. DEVIATION",$C$1=1),$A292,$A292+1),COLUMN('1-DATA'!O290)),IF($B292="STD. DEVIATION",2,$F$1))))</f>
        <v/>
      </c>
      <c r="Q292" s="1" t="str">
        <f>IF(OR($B292="",Q$7=""),"",IF($B292="MEANS",INDEX('1-DATA'!$1:$1048576,$A291-1,COLUMN('1-DATA'!P290)),ROUND(INDEX('1-DATA'!$1:$1048576,IF(OR($B292="STD. DEVIATION",$C$1=1),$A292,$A292+1),COLUMN('1-DATA'!P290)),IF($B292="STD. DEVIATION",2,$F$1))))</f>
        <v/>
      </c>
      <c r="R292" s="1" t="str">
        <f>IF(OR($B292="",R$7=""),"",IF($B292="MEANS",INDEX('1-DATA'!$1:$1048576,$A291-1,COLUMN('1-DATA'!Q290)),ROUND(INDEX('1-DATA'!$1:$1048576,IF(OR($B292="STD. DEVIATION",$C$1=1),$A292,$A292+1),COLUMN('1-DATA'!Q290)),IF($B292="STD. DEVIATION",2,$F$1))))</f>
        <v/>
      </c>
      <c r="S292" s="1" t="str">
        <f>IF(OR($B292="",S$7=""),"",IF($B292="MEANS",INDEX('1-DATA'!$1:$1048576,$A291-1,COLUMN('1-DATA'!R290)),ROUND(INDEX('1-DATA'!$1:$1048576,IF(OR($B292="STD. DEVIATION",$C$1=1),$A292,$A292+1),COLUMN('1-DATA'!R290)),IF($B292="STD. DEVIATION",2,$F$1))))</f>
        <v/>
      </c>
      <c r="T292" s="1" t="str">
        <f>IF(OR($B292="",T$7=""),"",IF($B292="MEANS",INDEX('1-DATA'!$1:$1048576,$A291-1,COLUMN('1-DATA'!S290)),ROUND(INDEX('1-DATA'!$1:$1048576,IF(OR($B292="STD. DEVIATION",$C$1=1),$A292,$A292+1),COLUMN('1-DATA'!S290)),IF($B292="STD. DEVIATION",2,$F$1))))</f>
        <v/>
      </c>
      <c r="U292" s="1" t="str">
        <f>IF(OR($B292="",U$7=""),"",IF($B292="MEANS",INDEX('1-DATA'!$1:$1048576,$A291-1,COLUMN('1-DATA'!T290)),ROUND(INDEX('1-DATA'!$1:$1048576,IF(OR($B292="STD. DEVIATION",$C$1=1),$A292,$A292+1),COLUMN('1-DATA'!T290)),IF($B292="STD. DEVIATION",2,$F$1))))</f>
        <v/>
      </c>
      <c r="V292" s="1" t="str">
        <f>IF(OR($B292="",V$7=""),"",IF($B292="MEANS",INDEX('1-DATA'!$1:$1048576,$A291-1,COLUMN('1-DATA'!U290)),ROUND(INDEX('1-DATA'!$1:$1048576,IF(OR($B292="STD. DEVIATION",$C$1=1),$A292,$A292+1),COLUMN('1-DATA'!U290)),IF($B292="STD. DEVIATION",2,$F$1))))</f>
        <v/>
      </c>
      <c r="W292" s="1" t="str">
        <f>IF(OR($B292="",W$7=""),"",IF($B292="MEANS",INDEX('1-DATA'!$1:$1048576,$A291-1,COLUMN('1-DATA'!V290)),ROUND(INDEX('1-DATA'!$1:$1048576,IF(OR($B292="STD. DEVIATION",$C$1=1),$A292,$A292+1),COLUMN('1-DATA'!V290)),IF($B292="STD. DEVIATION",2,$F$1))))</f>
        <v/>
      </c>
      <c r="X292" s="1" t="str">
        <f>IF(OR($B292="",X$7=""),"",IF($B292="MEANS",INDEX('1-DATA'!$1:$1048576,$A291-1,COLUMN('1-DATA'!W290)),ROUND(INDEX('1-DATA'!$1:$1048576,IF(OR($B292="STD. DEVIATION",$C$1=1),$A292,$A292+1),COLUMN('1-DATA'!W290)),IF($B292="STD. DEVIATION",2,$F$1))))</f>
        <v/>
      </c>
      <c r="Y292" s="1" t="str">
        <f>IF(OR($B292="",Y$7=""),"",IF($B292="MEANS",INDEX('1-DATA'!$1:$1048576,$A291-1,COLUMN('1-DATA'!X290)),ROUND(INDEX('1-DATA'!$1:$1048576,IF(OR($B292="STD. DEVIATION",$C$1=1),$A292,$A292+1),COLUMN('1-DATA'!X290)),IF($B292="STD. DEVIATION",2,$F$1))))</f>
        <v/>
      </c>
      <c r="Z292" s="1" t="str">
        <f>IF(OR($B292="",Z$7=""),"",IF($B292="MEANS",INDEX('1-DATA'!$1:$1048576,$A291-1,COLUMN('1-DATA'!Y290)),ROUND(INDEX('1-DATA'!$1:$1048576,IF(OR($B292="STD. DEVIATION",$C$1=1),$A292,$A292+1),COLUMN('1-DATA'!Y290)),IF($B292="STD. DEVIATION",2,$F$1))))</f>
        <v/>
      </c>
      <c r="AA292" s="1" t="str">
        <f>IF(OR($B292="",AA$7=""),"",IF($B292="MEANS",INDEX('1-DATA'!$1:$1048576,$A291-1,COLUMN('1-DATA'!Z290)),ROUND(INDEX('1-DATA'!$1:$1048576,IF(OR($B292="STD. DEVIATION",$C$1=1),$A292,$A292+1),COLUMN('1-DATA'!Z290)),IF($B292="STD. DEVIATION",2,$F$1))))</f>
        <v/>
      </c>
      <c r="AB292" s="1" t="str">
        <f>IF(OR($B292="",AB$7=""),"",IF($B292="MEANS",INDEX('1-DATA'!$1:$1048576,$A291-1,COLUMN('1-DATA'!AA290)),ROUND(INDEX('1-DATA'!$1:$1048576,IF(OR($B292="STD. DEVIATION",$C$1=1),$A292,$A292+1),COLUMN('1-DATA'!AA290)),IF($B292="STD. DEVIATION",2,$F$1))))</f>
        <v/>
      </c>
      <c r="AC292" s="1" t="str">
        <f>IF(OR($B292="",AC$7=""),"",IF($B292="MEANS",INDEX('1-DATA'!$1:$1048576,$A291-1,COLUMN('1-DATA'!AB290)),ROUND(INDEX('1-DATA'!$1:$1048576,IF(OR($B292="STD. DEVIATION",$C$1=1),$A292,$A292+1),COLUMN('1-DATA'!AB290)),IF($B292="STD. DEVIATION",2,$F$1))))</f>
        <v/>
      </c>
      <c r="AD292" s="1" t="str">
        <f>IF(OR($B292="",AD$7=""),"",IF($B292="MEANS",INDEX('1-DATA'!$1:$1048576,$A291-1,COLUMN('1-DATA'!AC290)),ROUND(INDEX('1-DATA'!$1:$1048576,IF(OR($B292="STD. DEVIATION",$C$1=1),$A292,$A292+1),COLUMN('1-DATA'!AC290)),IF($B292="STD. DEVIATION",2,$F$1))))</f>
        <v/>
      </c>
      <c r="AE292" s="1" t="str">
        <f>IF(OR($B292="",AE$7=""),"",IF($B292="MEANS",INDEX('1-DATA'!$1:$1048576,$A291-1,COLUMN('1-DATA'!AD290)),ROUND(INDEX('1-DATA'!$1:$1048576,IF(OR($B292="STD. DEVIATION",$C$1=1),$A292,$A292+1),COLUMN('1-DATA'!AD290)),IF($B292="STD. DEVIATION",2,$F$1))))</f>
        <v/>
      </c>
      <c r="AF292" s="1" t="str">
        <f>IF(OR($B292="",AF$7=""),"",IF($B292="MEANS",INDEX('1-DATA'!$1:$1048576,$A291-1,COLUMN('1-DATA'!AE290)),ROUND(INDEX('1-DATA'!$1:$1048576,IF(OR($B292="STD. DEVIATION",$C$1=1),$A292,$A292+1),COLUMN('1-DATA'!AE290)),IF($B292="STD. DEVIATION",2,$F$1))))</f>
        <v/>
      </c>
      <c r="AG292" s="1" t="str">
        <f>IF(OR($B292="",AG$7=""),"",IF($B292="MEANS",INDEX('1-DATA'!$1:$1048576,$A291-1,COLUMN('1-DATA'!AF290)),ROUND(INDEX('1-DATA'!$1:$1048576,IF(OR($B292="STD. DEVIATION",$C$1=1),$A292,$A292+1),COLUMN('1-DATA'!AF290)),IF($B292="STD. DEVIATION",2,$F$1))))</f>
        <v/>
      </c>
      <c r="AH292" s="1" t="str">
        <f>IF(OR($B292="",AH$7=""),"",IF($B292="MEANS",INDEX('1-DATA'!$1:$1048576,$A291-1,COLUMN('1-DATA'!AG290)),ROUND(INDEX('1-DATA'!$1:$1048576,IF(OR($B292="STD. DEVIATION",$C$1=1),$A292,$A292+1),COLUMN('1-DATA'!AG290)),IF($B292="STD. DEVIATION",2,$F$1))))</f>
        <v/>
      </c>
      <c r="AI292" s="1" t="str">
        <f>IF(OR($B292="",AI$7=""),"",IF($B292="MEANS",INDEX('1-DATA'!$1:$1048576,$A291-1,COLUMN('1-DATA'!AH290)),ROUND(INDEX('1-DATA'!$1:$1048576,IF(OR($B292="STD. DEVIATION",$C$1=1),$A292,$A292+1),COLUMN('1-DATA'!AH290)),IF($B292="STD. DEVIATION",2,$F$1))))</f>
        <v/>
      </c>
      <c r="AJ292" s="1" t="str">
        <f>IF(OR($B292="",AJ$7=""),"",IF($B292="MEANS",INDEX('1-DATA'!$1:$1048576,$A291-1,COLUMN('1-DATA'!AI290)),ROUND(INDEX('1-DATA'!$1:$1048576,IF(OR($B292="STD. DEVIATION",$C$1=1),$A292,$A292+1),COLUMN('1-DATA'!AI290)),IF($B292="STD. DEVIATION",2,$F$1))))</f>
        <v/>
      </c>
      <c r="AK292" s="1" t="str">
        <f>IF(OR($B292="",AK$7=""),"",IF($B292="MEANS",INDEX('1-DATA'!$1:$1048576,$A291-1,COLUMN('1-DATA'!AJ290)),ROUND(INDEX('1-DATA'!$1:$1048576,IF(OR($B292="STD. DEVIATION",$C$1=1),$A292,$A292+1),COLUMN('1-DATA'!AJ290)),IF($B292="STD. DEVIATION",2,$F$1))))</f>
        <v/>
      </c>
      <c r="AL292" s="1" t="str">
        <f>IF(OR($B292="",AL$7=""),"",IF($B292="MEANS",INDEX('1-DATA'!$1:$1048576,$A291-1,COLUMN('1-DATA'!AK290)),ROUND(INDEX('1-DATA'!$1:$1048576,IF(OR($B292="STD. DEVIATION",$C$1=1),$A292,$A292+1),COLUMN('1-DATA'!AK290)),IF($B292="STD. DEVIATION",2,$F$1))))</f>
        <v/>
      </c>
      <c r="AM292" s="1" t="str">
        <f>IF(OR($B292="",AM$7=""),"",IF($B292="MEANS",INDEX('1-DATA'!$1:$1048576,$A291-1,COLUMN('1-DATA'!AL290)),ROUND(INDEX('1-DATA'!$1:$1048576,IF(OR($B292="STD. DEVIATION",$C$1=1),$A292,$A292+1),COLUMN('1-DATA'!AL290)),IF($B292="STD. DEVIATION",2,$F$1))))</f>
        <v/>
      </c>
      <c r="AN292" s="1" t="str">
        <f>IF(OR($B292="",AN$7=""),"",IF($B292="MEANS",INDEX('1-DATA'!$1:$1048576,$A291-1,COLUMN('1-DATA'!AM290)),ROUND(INDEX('1-DATA'!$1:$1048576,IF(OR($B292="STD. DEVIATION",$C$1=1),$A292,$A292+1),COLUMN('1-DATA'!AM290)),IF($B292="STD. DEVIATION",2,$F$1))))</f>
        <v/>
      </c>
      <c r="AO292" s="1" t="str">
        <f>IF(OR($B292="",AO$7=""),"",IF($B292="MEANS",INDEX('1-DATA'!$1:$1048576,$A291-1,COLUMN('1-DATA'!AN290)),ROUND(INDEX('1-DATA'!$1:$1048576,IF(OR($B292="STD. DEVIATION",$C$1=1),$A292,$A292+1),COLUMN('1-DATA'!AN290)),IF($B292="STD. DEVIATION",2,$F$1))))</f>
        <v/>
      </c>
      <c r="AP292" s="1" t="str">
        <f>IF(OR($B292="",AP$7=""),"",IF($B292="MEANS",INDEX('1-DATA'!$1:$1048576,$A291-1,COLUMN('1-DATA'!AO290)),ROUND(INDEX('1-DATA'!$1:$1048576,IF(OR($B292="STD. DEVIATION",$C$1=1),$A292,$A292+1),COLUMN('1-DATA'!AO290)),IF($B292="STD. DEVIATION",2,$F$1))))</f>
        <v/>
      </c>
      <c r="AQ292" s="1" t="str">
        <f>IF(OR($B292="",AQ$7=""),"",IF($B292="MEANS",INDEX('1-DATA'!$1:$1048576,$A291-1,COLUMN('1-DATA'!AP290)),ROUND(INDEX('1-DATA'!$1:$1048576,IF(OR($B292="STD. DEVIATION",$C$1=1),$A292,$A292+1),COLUMN('1-DATA'!AP290)),IF($B292="STD. DEVIATION",2,$F$1))))</f>
        <v/>
      </c>
      <c r="AR292" s="1" t="str">
        <f>IF(OR($B292="",AR$7=""),"",IF($B292="MEANS",INDEX('1-DATA'!$1:$1048576,$A291-1,COLUMN('1-DATA'!AQ290)),ROUND(INDEX('1-DATA'!$1:$1048576,IF(OR($B292="STD. DEVIATION",$C$1=1),$A292,$A292+1),COLUMN('1-DATA'!AQ290)),IF($B292="STD. DEVIATION",2,$F$1))))</f>
        <v/>
      </c>
      <c r="AS292" s="1" t="str">
        <f>IF(OR($B292="",AS$7=""),"",IF($B292="MEANS",INDEX('1-DATA'!$1:$1048576,$A291-1,COLUMN('1-DATA'!AR290)),ROUND(INDEX('1-DATA'!$1:$1048576,IF(OR($B292="STD. DEVIATION",$C$1=1),$A292,$A292+1),COLUMN('1-DATA'!AR290)),IF($B292="STD. DEVIATION",2,$F$1))))</f>
        <v/>
      </c>
      <c r="AT292" s="1" t="str">
        <f>IF(OR($B292="",AT$7=""),"",IF($B292="MEANS",INDEX('1-DATA'!$1:$1048576,$A291-1,COLUMN('1-DATA'!AS290)),ROUND(INDEX('1-DATA'!$1:$1048576,IF(OR($B292="STD. DEVIATION",$C$1=1),$A292,$A292+1),COLUMN('1-DATA'!AS290)),IF($B292="STD. DEVIATION",2,$F$1))))</f>
        <v/>
      </c>
      <c r="AU292" s="1" t="str">
        <f>IF(OR($B292="",AU$7=""),"",IF($B292="MEANS",INDEX('1-DATA'!$1:$1048576,$A291-1,COLUMN('1-DATA'!AT290)),ROUND(INDEX('1-DATA'!$1:$1048576,IF(OR($B292="STD. DEVIATION",$C$1=1),$A292,$A292+1),COLUMN('1-DATA'!AT290)),IF($B292="STD. DEVIATION",2,$F$1))))</f>
        <v/>
      </c>
      <c r="AV292" s="1" t="str">
        <f>IF(OR($B292="",AV$7=""),"",IF($B292="MEANS",INDEX('1-DATA'!$1:$1048576,$A291-1,COLUMN('1-DATA'!AU290)),ROUND(INDEX('1-DATA'!$1:$1048576,IF(OR($B292="STD. DEVIATION",$C$1=1),$A292,$A292+1),COLUMN('1-DATA'!AU290)),IF($B292="STD. DEVIATION",2,$F$1))))</f>
        <v/>
      </c>
      <c r="AW292" s="1" t="str">
        <f>IF(OR($B292="",AW$7=""),"",IF($B292="MEANS",INDEX('1-DATA'!$1:$1048576,$A291-1,COLUMN('1-DATA'!AV290)),ROUND(INDEX('1-DATA'!$1:$1048576,IF(OR($B292="STD. DEVIATION",$C$1=1),$A292,$A292+1),COLUMN('1-DATA'!AV290)),IF($B292="STD. DEVIATION",2,$F$1))))</f>
        <v/>
      </c>
      <c r="AX292" s="1" t="str">
        <f>IF(OR($B292="",AX$7=""),"",IF($B292="MEANS",INDEX('1-DATA'!$1:$1048576,$A291-1,COLUMN('1-DATA'!AW290)),ROUND(INDEX('1-DATA'!$1:$1048576,IF(OR($B292="STD. DEVIATION",$C$1=1),$A292,$A292+1),COLUMN('1-DATA'!AW290)),IF($B292="STD. DEVIATION",2,$F$1))))</f>
        <v/>
      </c>
      <c r="AY292" s="1" t="str">
        <f>IF(OR($B292="",AY$7=""),"",IF($B292="MEANS",INDEX('1-DATA'!$1:$1048576,$A291-1,COLUMN('1-DATA'!AX290)),ROUND(INDEX('1-DATA'!$1:$1048576,IF(OR($B292="STD. DEVIATION",$C$1=1),$A292,$A292+1),COLUMN('1-DATA'!AX290)),IF($B292="STD. DEVIATION",2,$F$1))))</f>
        <v/>
      </c>
      <c r="AZ292" s="1" t="str">
        <f>IF(OR($B292="",AZ$7=""),"",IF($B292="MEANS",INDEX('1-DATA'!$1:$1048576,$A291-1,COLUMN('1-DATA'!AY290)),ROUND(INDEX('1-DATA'!$1:$1048576,IF(OR($B292="STD. DEVIATION",$C$1=1),$A292,$A292+1),COLUMN('1-DATA'!AY290)),IF($B292="STD. DEVIATION",2,$F$1))))</f>
        <v/>
      </c>
    </row>
    <row r="293" spans="1:52" x14ac:dyDescent="0.25">
      <c r="A293" s="11">
        <f t="shared" si="5"/>
        <v>865</v>
      </c>
      <c r="B293" s="1" t="str">
        <f>IF(B292="STD. DEVIATION",INDEX('1-DATA'!$1:$1048576,$A292-1,1),IF(INDEX('1-DATA'!$1:$1048576,$A293,1)&lt;&gt;"",INDEX('1-DATA'!$1:$1048576,$A293,1),""))</f>
        <v/>
      </c>
      <c r="C293" s="1" t="str">
        <f>IF(OR($B293="",C$7=""),"",IF($B293="MEANS",INDEX('1-DATA'!$1:$1048576,$A292-1,COLUMN('1-DATA'!B291)),ROUND(INDEX('1-DATA'!$1:$1048576,IF(OR($B293="STD. DEVIATION",$C$1=1),$A293,$A293+1),COLUMN('1-DATA'!B291)),IF($B293="STD. DEVIATION",2,$F$1))))</f>
        <v/>
      </c>
      <c r="D293" s="1" t="str">
        <f>IF(OR($B293="",D$7=""),"",IF($B293="MEANS",INDEX('1-DATA'!$1:$1048576,$A292-1,COLUMN('1-DATA'!C291)),ROUND(INDEX('1-DATA'!$1:$1048576,IF(OR($B293="STD. DEVIATION",$C$1=1),$A293,$A293+1),COLUMN('1-DATA'!C291)),IF($B293="STD. DEVIATION",2,$F$1))))</f>
        <v/>
      </c>
      <c r="E293" s="1" t="str">
        <f>IF(OR($B293="",E$7=""),"",IF($B293="MEANS",INDEX('1-DATA'!$1:$1048576,$A292-1,COLUMN('1-DATA'!D291)),ROUND(INDEX('1-DATA'!$1:$1048576,IF(OR($B293="STD. DEVIATION",$C$1=1),$A293,$A293+1),COLUMN('1-DATA'!D291)),IF($B293="STD. DEVIATION",2,$F$1))))</f>
        <v/>
      </c>
      <c r="F293" s="1" t="str">
        <f>IF(OR($B293="",F$7=""),"",IF($B293="MEANS",INDEX('1-DATA'!$1:$1048576,$A292-1,COLUMN('1-DATA'!E291)),ROUND(INDEX('1-DATA'!$1:$1048576,IF(OR($B293="STD. DEVIATION",$C$1=1),$A293,$A293+1),COLUMN('1-DATA'!E291)),IF($B293="STD. DEVIATION",2,$F$1))))</f>
        <v/>
      </c>
      <c r="G293" s="1" t="str">
        <f>IF(OR($B293="",G$7=""),"",IF($B293="MEANS",INDEX('1-DATA'!$1:$1048576,$A292-1,COLUMN('1-DATA'!F291)),ROUND(INDEX('1-DATA'!$1:$1048576,IF(OR($B293="STD. DEVIATION",$C$1=1),$A293,$A293+1),COLUMN('1-DATA'!F291)),IF($B293="STD. DEVIATION",2,$F$1))))</f>
        <v/>
      </c>
      <c r="H293" s="1" t="str">
        <f>IF(OR($B293="",H$7=""),"",IF($B293="MEANS",INDEX('1-DATA'!$1:$1048576,$A292-1,COLUMN('1-DATA'!G291)),ROUND(INDEX('1-DATA'!$1:$1048576,IF(OR($B293="STD. DEVIATION",$C$1=1),$A293,$A293+1),COLUMN('1-DATA'!G291)),IF($B293="STD. DEVIATION",2,$F$1))))</f>
        <v/>
      </c>
      <c r="I293" s="1" t="str">
        <f>IF(OR($B293="",I$7=""),"",IF($B293="MEANS",INDEX('1-DATA'!$1:$1048576,$A292-1,COLUMN('1-DATA'!H291)),ROUND(INDEX('1-DATA'!$1:$1048576,IF(OR($B293="STD. DEVIATION",$C$1=1),$A293,$A293+1),COLUMN('1-DATA'!H291)),IF($B293="STD. DEVIATION",2,$F$1))))</f>
        <v/>
      </c>
      <c r="J293" s="1" t="str">
        <f>IF(OR($B293="",J$7=""),"",IF($B293="MEANS",INDEX('1-DATA'!$1:$1048576,$A292-1,COLUMN('1-DATA'!I291)),ROUND(INDEX('1-DATA'!$1:$1048576,IF(OR($B293="STD. DEVIATION",$C$1=1),$A293,$A293+1),COLUMN('1-DATA'!I291)),IF($B293="STD. DEVIATION",2,$F$1))))</f>
        <v/>
      </c>
      <c r="K293" s="1" t="str">
        <f>IF(OR($B293="",K$7=""),"",IF($B293="MEANS",INDEX('1-DATA'!$1:$1048576,$A292-1,COLUMN('1-DATA'!J291)),ROUND(INDEX('1-DATA'!$1:$1048576,IF(OR($B293="STD. DEVIATION",$C$1=1),$A293,$A293+1),COLUMN('1-DATA'!J291)),IF($B293="STD. DEVIATION",2,$F$1))))</f>
        <v/>
      </c>
      <c r="L293" s="1" t="str">
        <f>IF(OR($B293="",L$7=""),"",IF($B293="MEANS",INDEX('1-DATA'!$1:$1048576,$A292-1,COLUMN('1-DATA'!K291)),ROUND(INDEX('1-DATA'!$1:$1048576,IF(OR($B293="STD. DEVIATION",$C$1=1),$A293,$A293+1),COLUMN('1-DATA'!K291)),IF($B293="STD. DEVIATION",2,$F$1))))</f>
        <v/>
      </c>
      <c r="M293" s="1" t="str">
        <f>IF(OR($B293="",M$7=""),"",IF($B293="MEANS",INDEX('1-DATA'!$1:$1048576,$A292-1,COLUMN('1-DATA'!L291)),ROUND(INDEX('1-DATA'!$1:$1048576,IF(OR($B293="STD. DEVIATION",$C$1=1),$A293,$A293+1),COLUMN('1-DATA'!L291)),IF($B293="STD. DEVIATION",2,$F$1))))</f>
        <v/>
      </c>
      <c r="N293" s="1" t="str">
        <f>IF(OR($B293="",N$7=""),"",IF($B293="MEANS",INDEX('1-DATA'!$1:$1048576,$A292-1,COLUMN('1-DATA'!M291)),ROUND(INDEX('1-DATA'!$1:$1048576,IF(OR($B293="STD. DEVIATION",$C$1=1),$A293,$A293+1),COLUMN('1-DATA'!M291)),IF($B293="STD. DEVIATION",2,$F$1))))</f>
        <v/>
      </c>
      <c r="O293" s="1" t="str">
        <f>IF(OR($B293="",O$7=""),"",IF($B293="MEANS",INDEX('1-DATA'!$1:$1048576,$A292-1,COLUMN('1-DATA'!N291)),ROUND(INDEX('1-DATA'!$1:$1048576,IF(OR($B293="STD. DEVIATION",$C$1=1),$A293,$A293+1),COLUMN('1-DATA'!N291)),IF($B293="STD. DEVIATION",2,$F$1))))</f>
        <v/>
      </c>
      <c r="P293" s="1" t="str">
        <f>IF(OR($B293="",P$7=""),"",IF($B293="MEANS",INDEX('1-DATA'!$1:$1048576,$A292-1,COLUMN('1-DATA'!O291)),ROUND(INDEX('1-DATA'!$1:$1048576,IF(OR($B293="STD. DEVIATION",$C$1=1),$A293,$A293+1),COLUMN('1-DATA'!O291)),IF($B293="STD. DEVIATION",2,$F$1))))</f>
        <v/>
      </c>
      <c r="Q293" s="1" t="str">
        <f>IF(OR($B293="",Q$7=""),"",IF($B293="MEANS",INDEX('1-DATA'!$1:$1048576,$A292-1,COLUMN('1-DATA'!P291)),ROUND(INDEX('1-DATA'!$1:$1048576,IF(OR($B293="STD. DEVIATION",$C$1=1),$A293,$A293+1),COLUMN('1-DATA'!P291)),IF($B293="STD. DEVIATION",2,$F$1))))</f>
        <v/>
      </c>
      <c r="R293" s="1" t="str">
        <f>IF(OR($B293="",R$7=""),"",IF($B293="MEANS",INDEX('1-DATA'!$1:$1048576,$A292-1,COLUMN('1-DATA'!Q291)),ROUND(INDEX('1-DATA'!$1:$1048576,IF(OR($B293="STD. DEVIATION",$C$1=1),$A293,$A293+1),COLUMN('1-DATA'!Q291)),IF($B293="STD. DEVIATION",2,$F$1))))</f>
        <v/>
      </c>
      <c r="S293" s="1" t="str">
        <f>IF(OR($B293="",S$7=""),"",IF($B293="MEANS",INDEX('1-DATA'!$1:$1048576,$A292-1,COLUMN('1-DATA'!R291)),ROUND(INDEX('1-DATA'!$1:$1048576,IF(OR($B293="STD. DEVIATION",$C$1=1),$A293,$A293+1),COLUMN('1-DATA'!R291)),IF($B293="STD. DEVIATION",2,$F$1))))</f>
        <v/>
      </c>
      <c r="T293" s="1" t="str">
        <f>IF(OR($B293="",T$7=""),"",IF($B293="MEANS",INDEX('1-DATA'!$1:$1048576,$A292-1,COLUMN('1-DATA'!S291)),ROUND(INDEX('1-DATA'!$1:$1048576,IF(OR($B293="STD. DEVIATION",$C$1=1),$A293,$A293+1),COLUMN('1-DATA'!S291)),IF($B293="STD. DEVIATION",2,$F$1))))</f>
        <v/>
      </c>
      <c r="U293" s="1" t="str">
        <f>IF(OR($B293="",U$7=""),"",IF($B293="MEANS",INDEX('1-DATA'!$1:$1048576,$A292-1,COLUMN('1-DATA'!T291)),ROUND(INDEX('1-DATA'!$1:$1048576,IF(OR($B293="STD. DEVIATION",$C$1=1),$A293,$A293+1),COLUMN('1-DATA'!T291)),IF($B293="STD. DEVIATION",2,$F$1))))</f>
        <v/>
      </c>
      <c r="V293" s="1" t="str">
        <f>IF(OR($B293="",V$7=""),"",IF($B293="MEANS",INDEX('1-DATA'!$1:$1048576,$A292-1,COLUMN('1-DATA'!U291)),ROUND(INDEX('1-DATA'!$1:$1048576,IF(OR($B293="STD. DEVIATION",$C$1=1),$A293,$A293+1),COLUMN('1-DATA'!U291)),IF($B293="STD. DEVIATION",2,$F$1))))</f>
        <v/>
      </c>
      <c r="W293" s="1" t="str">
        <f>IF(OR($B293="",W$7=""),"",IF($B293="MEANS",INDEX('1-DATA'!$1:$1048576,$A292-1,COLUMN('1-DATA'!V291)),ROUND(INDEX('1-DATA'!$1:$1048576,IF(OR($B293="STD. DEVIATION",$C$1=1),$A293,$A293+1),COLUMN('1-DATA'!V291)),IF($B293="STD. DEVIATION",2,$F$1))))</f>
        <v/>
      </c>
      <c r="X293" s="1" t="str">
        <f>IF(OR($B293="",X$7=""),"",IF($B293="MEANS",INDEX('1-DATA'!$1:$1048576,$A292-1,COLUMN('1-DATA'!W291)),ROUND(INDEX('1-DATA'!$1:$1048576,IF(OR($B293="STD. DEVIATION",$C$1=1),$A293,$A293+1),COLUMN('1-DATA'!W291)),IF($B293="STD. DEVIATION",2,$F$1))))</f>
        <v/>
      </c>
      <c r="Y293" s="1" t="str">
        <f>IF(OR($B293="",Y$7=""),"",IF($B293="MEANS",INDEX('1-DATA'!$1:$1048576,$A292-1,COLUMN('1-DATA'!X291)),ROUND(INDEX('1-DATA'!$1:$1048576,IF(OR($B293="STD. DEVIATION",$C$1=1),$A293,$A293+1),COLUMN('1-DATA'!X291)),IF($B293="STD. DEVIATION",2,$F$1))))</f>
        <v/>
      </c>
      <c r="Z293" s="1" t="str">
        <f>IF(OR($B293="",Z$7=""),"",IF($B293="MEANS",INDEX('1-DATA'!$1:$1048576,$A292-1,COLUMN('1-DATA'!Y291)),ROUND(INDEX('1-DATA'!$1:$1048576,IF(OR($B293="STD. DEVIATION",$C$1=1),$A293,$A293+1),COLUMN('1-DATA'!Y291)),IF($B293="STD. DEVIATION",2,$F$1))))</f>
        <v/>
      </c>
      <c r="AA293" s="1" t="str">
        <f>IF(OR($B293="",AA$7=""),"",IF($B293="MEANS",INDEX('1-DATA'!$1:$1048576,$A292-1,COLUMN('1-DATA'!Z291)),ROUND(INDEX('1-DATA'!$1:$1048576,IF(OR($B293="STD. DEVIATION",$C$1=1),$A293,$A293+1),COLUMN('1-DATA'!Z291)),IF($B293="STD. DEVIATION",2,$F$1))))</f>
        <v/>
      </c>
      <c r="AB293" s="1" t="str">
        <f>IF(OR($B293="",AB$7=""),"",IF($B293="MEANS",INDEX('1-DATA'!$1:$1048576,$A292-1,COLUMN('1-DATA'!AA291)),ROUND(INDEX('1-DATA'!$1:$1048576,IF(OR($B293="STD. DEVIATION",$C$1=1),$A293,$A293+1),COLUMN('1-DATA'!AA291)),IF($B293="STD. DEVIATION",2,$F$1))))</f>
        <v/>
      </c>
      <c r="AC293" s="1" t="str">
        <f>IF(OR($B293="",AC$7=""),"",IF($B293="MEANS",INDEX('1-DATA'!$1:$1048576,$A292-1,COLUMN('1-DATA'!AB291)),ROUND(INDEX('1-DATA'!$1:$1048576,IF(OR($B293="STD. DEVIATION",$C$1=1),$A293,$A293+1),COLUMN('1-DATA'!AB291)),IF($B293="STD. DEVIATION",2,$F$1))))</f>
        <v/>
      </c>
      <c r="AD293" s="1" t="str">
        <f>IF(OR($B293="",AD$7=""),"",IF($B293="MEANS",INDEX('1-DATA'!$1:$1048576,$A292-1,COLUMN('1-DATA'!AC291)),ROUND(INDEX('1-DATA'!$1:$1048576,IF(OR($B293="STD. DEVIATION",$C$1=1),$A293,$A293+1),COLUMN('1-DATA'!AC291)),IF($B293="STD. DEVIATION",2,$F$1))))</f>
        <v/>
      </c>
      <c r="AE293" s="1" t="str">
        <f>IF(OR($B293="",AE$7=""),"",IF($B293="MEANS",INDEX('1-DATA'!$1:$1048576,$A292-1,COLUMN('1-DATA'!AD291)),ROUND(INDEX('1-DATA'!$1:$1048576,IF(OR($B293="STD. DEVIATION",$C$1=1),$A293,$A293+1),COLUMN('1-DATA'!AD291)),IF($B293="STD. DEVIATION",2,$F$1))))</f>
        <v/>
      </c>
      <c r="AF293" s="1" t="str">
        <f>IF(OR($B293="",AF$7=""),"",IF($B293="MEANS",INDEX('1-DATA'!$1:$1048576,$A292-1,COLUMN('1-DATA'!AE291)),ROUND(INDEX('1-DATA'!$1:$1048576,IF(OR($B293="STD. DEVIATION",$C$1=1),$A293,$A293+1),COLUMN('1-DATA'!AE291)),IF($B293="STD. DEVIATION",2,$F$1))))</f>
        <v/>
      </c>
      <c r="AG293" s="1" t="str">
        <f>IF(OR($B293="",AG$7=""),"",IF($B293="MEANS",INDEX('1-DATA'!$1:$1048576,$A292-1,COLUMN('1-DATA'!AF291)),ROUND(INDEX('1-DATA'!$1:$1048576,IF(OR($B293="STD. DEVIATION",$C$1=1),$A293,$A293+1),COLUMN('1-DATA'!AF291)),IF($B293="STD. DEVIATION",2,$F$1))))</f>
        <v/>
      </c>
      <c r="AH293" s="1" t="str">
        <f>IF(OR($B293="",AH$7=""),"",IF($B293="MEANS",INDEX('1-DATA'!$1:$1048576,$A292-1,COLUMN('1-DATA'!AG291)),ROUND(INDEX('1-DATA'!$1:$1048576,IF(OR($B293="STD. DEVIATION",$C$1=1),$A293,$A293+1),COLUMN('1-DATA'!AG291)),IF($B293="STD. DEVIATION",2,$F$1))))</f>
        <v/>
      </c>
      <c r="AI293" s="1" t="str">
        <f>IF(OR($B293="",AI$7=""),"",IF($B293="MEANS",INDEX('1-DATA'!$1:$1048576,$A292-1,COLUMN('1-DATA'!AH291)),ROUND(INDEX('1-DATA'!$1:$1048576,IF(OR($B293="STD. DEVIATION",$C$1=1),$A293,$A293+1),COLUMN('1-DATA'!AH291)),IF($B293="STD. DEVIATION",2,$F$1))))</f>
        <v/>
      </c>
      <c r="AJ293" s="1" t="str">
        <f>IF(OR($B293="",AJ$7=""),"",IF($B293="MEANS",INDEX('1-DATA'!$1:$1048576,$A292-1,COLUMN('1-DATA'!AI291)),ROUND(INDEX('1-DATA'!$1:$1048576,IF(OR($B293="STD. DEVIATION",$C$1=1),$A293,$A293+1),COLUMN('1-DATA'!AI291)),IF($B293="STD. DEVIATION",2,$F$1))))</f>
        <v/>
      </c>
      <c r="AK293" s="1" t="str">
        <f>IF(OR($B293="",AK$7=""),"",IF($B293="MEANS",INDEX('1-DATA'!$1:$1048576,$A292-1,COLUMN('1-DATA'!AJ291)),ROUND(INDEX('1-DATA'!$1:$1048576,IF(OR($B293="STD. DEVIATION",$C$1=1),$A293,$A293+1),COLUMN('1-DATA'!AJ291)),IF($B293="STD. DEVIATION",2,$F$1))))</f>
        <v/>
      </c>
      <c r="AL293" s="1" t="str">
        <f>IF(OR($B293="",AL$7=""),"",IF($B293="MEANS",INDEX('1-DATA'!$1:$1048576,$A292-1,COLUMN('1-DATA'!AK291)),ROUND(INDEX('1-DATA'!$1:$1048576,IF(OR($B293="STD. DEVIATION",$C$1=1),$A293,$A293+1),COLUMN('1-DATA'!AK291)),IF($B293="STD. DEVIATION",2,$F$1))))</f>
        <v/>
      </c>
      <c r="AM293" s="1" t="str">
        <f>IF(OR($B293="",AM$7=""),"",IF($B293="MEANS",INDEX('1-DATA'!$1:$1048576,$A292-1,COLUMN('1-DATA'!AL291)),ROUND(INDEX('1-DATA'!$1:$1048576,IF(OR($B293="STD. DEVIATION",$C$1=1),$A293,$A293+1),COLUMN('1-DATA'!AL291)),IF($B293="STD. DEVIATION",2,$F$1))))</f>
        <v/>
      </c>
      <c r="AN293" s="1" t="str">
        <f>IF(OR($B293="",AN$7=""),"",IF($B293="MEANS",INDEX('1-DATA'!$1:$1048576,$A292-1,COLUMN('1-DATA'!AM291)),ROUND(INDEX('1-DATA'!$1:$1048576,IF(OR($B293="STD. DEVIATION",$C$1=1),$A293,$A293+1),COLUMN('1-DATA'!AM291)),IF($B293="STD. DEVIATION",2,$F$1))))</f>
        <v/>
      </c>
      <c r="AO293" s="1" t="str">
        <f>IF(OR($B293="",AO$7=""),"",IF($B293="MEANS",INDEX('1-DATA'!$1:$1048576,$A292-1,COLUMN('1-DATA'!AN291)),ROUND(INDEX('1-DATA'!$1:$1048576,IF(OR($B293="STD. DEVIATION",$C$1=1),$A293,$A293+1),COLUMN('1-DATA'!AN291)),IF($B293="STD. DEVIATION",2,$F$1))))</f>
        <v/>
      </c>
      <c r="AP293" s="1" t="str">
        <f>IF(OR($B293="",AP$7=""),"",IF($B293="MEANS",INDEX('1-DATA'!$1:$1048576,$A292-1,COLUMN('1-DATA'!AO291)),ROUND(INDEX('1-DATA'!$1:$1048576,IF(OR($B293="STD. DEVIATION",$C$1=1),$A293,$A293+1),COLUMN('1-DATA'!AO291)),IF($B293="STD. DEVIATION",2,$F$1))))</f>
        <v/>
      </c>
      <c r="AQ293" s="1" t="str">
        <f>IF(OR($B293="",AQ$7=""),"",IF($B293="MEANS",INDEX('1-DATA'!$1:$1048576,$A292-1,COLUMN('1-DATA'!AP291)),ROUND(INDEX('1-DATA'!$1:$1048576,IF(OR($B293="STD. DEVIATION",$C$1=1),$A293,$A293+1),COLUMN('1-DATA'!AP291)),IF($B293="STD. DEVIATION",2,$F$1))))</f>
        <v/>
      </c>
      <c r="AR293" s="1" t="str">
        <f>IF(OR($B293="",AR$7=""),"",IF($B293="MEANS",INDEX('1-DATA'!$1:$1048576,$A292-1,COLUMN('1-DATA'!AQ291)),ROUND(INDEX('1-DATA'!$1:$1048576,IF(OR($B293="STD. DEVIATION",$C$1=1),$A293,$A293+1),COLUMN('1-DATA'!AQ291)),IF($B293="STD. DEVIATION",2,$F$1))))</f>
        <v/>
      </c>
      <c r="AS293" s="1" t="str">
        <f>IF(OR($B293="",AS$7=""),"",IF($B293="MEANS",INDEX('1-DATA'!$1:$1048576,$A292-1,COLUMN('1-DATA'!AR291)),ROUND(INDEX('1-DATA'!$1:$1048576,IF(OR($B293="STD. DEVIATION",$C$1=1),$A293,$A293+1),COLUMN('1-DATA'!AR291)),IF($B293="STD. DEVIATION",2,$F$1))))</f>
        <v/>
      </c>
      <c r="AT293" s="1" t="str">
        <f>IF(OR($B293="",AT$7=""),"",IF($B293="MEANS",INDEX('1-DATA'!$1:$1048576,$A292-1,COLUMN('1-DATA'!AS291)),ROUND(INDEX('1-DATA'!$1:$1048576,IF(OR($B293="STD. DEVIATION",$C$1=1),$A293,$A293+1),COLUMN('1-DATA'!AS291)),IF($B293="STD. DEVIATION",2,$F$1))))</f>
        <v/>
      </c>
      <c r="AU293" s="1" t="str">
        <f>IF(OR($B293="",AU$7=""),"",IF($B293="MEANS",INDEX('1-DATA'!$1:$1048576,$A292-1,COLUMN('1-DATA'!AT291)),ROUND(INDEX('1-DATA'!$1:$1048576,IF(OR($B293="STD. DEVIATION",$C$1=1),$A293,$A293+1),COLUMN('1-DATA'!AT291)),IF($B293="STD. DEVIATION",2,$F$1))))</f>
        <v/>
      </c>
      <c r="AV293" s="1" t="str">
        <f>IF(OR($B293="",AV$7=""),"",IF($B293="MEANS",INDEX('1-DATA'!$1:$1048576,$A292-1,COLUMN('1-DATA'!AU291)),ROUND(INDEX('1-DATA'!$1:$1048576,IF(OR($B293="STD. DEVIATION",$C$1=1),$A293,$A293+1),COLUMN('1-DATA'!AU291)),IF($B293="STD. DEVIATION",2,$F$1))))</f>
        <v/>
      </c>
      <c r="AW293" s="1" t="str">
        <f>IF(OR($B293="",AW$7=""),"",IF($B293="MEANS",INDEX('1-DATA'!$1:$1048576,$A292-1,COLUMN('1-DATA'!AV291)),ROUND(INDEX('1-DATA'!$1:$1048576,IF(OR($B293="STD. DEVIATION",$C$1=1),$A293,$A293+1),COLUMN('1-DATA'!AV291)),IF($B293="STD. DEVIATION",2,$F$1))))</f>
        <v/>
      </c>
      <c r="AX293" s="1" t="str">
        <f>IF(OR($B293="",AX$7=""),"",IF($B293="MEANS",INDEX('1-DATA'!$1:$1048576,$A292-1,COLUMN('1-DATA'!AW291)),ROUND(INDEX('1-DATA'!$1:$1048576,IF(OR($B293="STD. DEVIATION",$C$1=1),$A293,$A293+1),COLUMN('1-DATA'!AW291)),IF($B293="STD. DEVIATION",2,$F$1))))</f>
        <v/>
      </c>
      <c r="AY293" s="1" t="str">
        <f>IF(OR($B293="",AY$7=""),"",IF($B293="MEANS",INDEX('1-DATA'!$1:$1048576,$A292-1,COLUMN('1-DATA'!AX291)),ROUND(INDEX('1-DATA'!$1:$1048576,IF(OR($B293="STD. DEVIATION",$C$1=1),$A293,$A293+1),COLUMN('1-DATA'!AX291)),IF($B293="STD. DEVIATION",2,$F$1))))</f>
        <v/>
      </c>
      <c r="AZ293" s="1" t="str">
        <f>IF(OR($B293="",AZ$7=""),"",IF($B293="MEANS",INDEX('1-DATA'!$1:$1048576,$A292-1,COLUMN('1-DATA'!AY291)),ROUND(INDEX('1-DATA'!$1:$1048576,IF(OR($B293="STD. DEVIATION",$C$1=1),$A293,$A293+1),COLUMN('1-DATA'!AY291)),IF($B293="STD. DEVIATION",2,$F$1))))</f>
        <v/>
      </c>
    </row>
    <row r="294" spans="1:52" x14ac:dyDescent="0.25">
      <c r="A294" s="11">
        <f t="shared" si="5"/>
        <v>868</v>
      </c>
      <c r="B294" s="1" t="str">
        <f>IF(B293="STD. DEVIATION",INDEX('1-DATA'!$1:$1048576,$A293-1,1),IF(INDEX('1-DATA'!$1:$1048576,$A294,1)&lt;&gt;"",INDEX('1-DATA'!$1:$1048576,$A294,1),""))</f>
        <v/>
      </c>
      <c r="C294" s="1" t="str">
        <f>IF(OR($B294="",C$7=""),"",IF($B294="MEANS",INDEX('1-DATA'!$1:$1048576,$A293-1,COLUMN('1-DATA'!B292)),ROUND(INDEX('1-DATA'!$1:$1048576,IF(OR($B294="STD. DEVIATION",$C$1=1),$A294,$A294+1),COLUMN('1-DATA'!B292)),IF($B294="STD. DEVIATION",2,$F$1))))</f>
        <v/>
      </c>
      <c r="D294" s="1" t="str">
        <f>IF(OR($B294="",D$7=""),"",IF($B294="MEANS",INDEX('1-DATA'!$1:$1048576,$A293-1,COLUMN('1-DATA'!C292)),ROUND(INDEX('1-DATA'!$1:$1048576,IF(OR($B294="STD. DEVIATION",$C$1=1),$A294,$A294+1),COLUMN('1-DATA'!C292)),IF($B294="STD. DEVIATION",2,$F$1))))</f>
        <v/>
      </c>
      <c r="E294" s="1" t="str">
        <f>IF(OR($B294="",E$7=""),"",IF($B294="MEANS",INDEX('1-DATA'!$1:$1048576,$A293-1,COLUMN('1-DATA'!D292)),ROUND(INDEX('1-DATA'!$1:$1048576,IF(OR($B294="STD. DEVIATION",$C$1=1),$A294,$A294+1),COLUMN('1-DATA'!D292)),IF($B294="STD. DEVIATION",2,$F$1))))</f>
        <v/>
      </c>
      <c r="F294" s="1" t="str">
        <f>IF(OR($B294="",F$7=""),"",IF($B294="MEANS",INDEX('1-DATA'!$1:$1048576,$A293-1,COLUMN('1-DATA'!E292)),ROUND(INDEX('1-DATA'!$1:$1048576,IF(OR($B294="STD. DEVIATION",$C$1=1),$A294,$A294+1),COLUMN('1-DATA'!E292)),IF($B294="STD. DEVIATION",2,$F$1))))</f>
        <v/>
      </c>
      <c r="G294" s="1" t="str">
        <f>IF(OR($B294="",G$7=""),"",IF($B294="MEANS",INDEX('1-DATA'!$1:$1048576,$A293-1,COLUMN('1-DATA'!F292)),ROUND(INDEX('1-DATA'!$1:$1048576,IF(OR($B294="STD. DEVIATION",$C$1=1),$A294,$A294+1),COLUMN('1-DATA'!F292)),IF($B294="STD. DEVIATION",2,$F$1))))</f>
        <v/>
      </c>
      <c r="H294" s="1" t="str">
        <f>IF(OR($B294="",H$7=""),"",IF($B294="MEANS",INDEX('1-DATA'!$1:$1048576,$A293-1,COLUMN('1-DATA'!G292)),ROUND(INDEX('1-DATA'!$1:$1048576,IF(OR($B294="STD. DEVIATION",$C$1=1),$A294,$A294+1),COLUMN('1-DATA'!G292)),IF($B294="STD. DEVIATION",2,$F$1))))</f>
        <v/>
      </c>
      <c r="I294" s="1" t="str">
        <f>IF(OR($B294="",I$7=""),"",IF($B294="MEANS",INDEX('1-DATA'!$1:$1048576,$A293-1,COLUMN('1-DATA'!H292)),ROUND(INDEX('1-DATA'!$1:$1048576,IF(OR($B294="STD. DEVIATION",$C$1=1),$A294,$A294+1),COLUMN('1-DATA'!H292)),IF($B294="STD. DEVIATION",2,$F$1))))</f>
        <v/>
      </c>
      <c r="J294" s="1" t="str">
        <f>IF(OR($B294="",J$7=""),"",IF($B294="MEANS",INDEX('1-DATA'!$1:$1048576,$A293-1,COLUMN('1-DATA'!I292)),ROUND(INDEX('1-DATA'!$1:$1048576,IF(OR($B294="STD. DEVIATION",$C$1=1),$A294,$A294+1),COLUMN('1-DATA'!I292)),IF($B294="STD. DEVIATION",2,$F$1))))</f>
        <v/>
      </c>
      <c r="K294" s="1" t="str">
        <f>IF(OR($B294="",K$7=""),"",IF($B294="MEANS",INDEX('1-DATA'!$1:$1048576,$A293-1,COLUMN('1-DATA'!J292)),ROUND(INDEX('1-DATA'!$1:$1048576,IF(OR($B294="STD. DEVIATION",$C$1=1),$A294,$A294+1),COLUMN('1-DATA'!J292)),IF($B294="STD. DEVIATION",2,$F$1))))</f>
        <v/>
      </c>
      <c r="L294" s="1" t="str">
        <f>IF(OR($B294="",L$7=""),"",IF($B294="MEANS",INDEX('1-DATA'!$1:$1048576,$A293-1,COLUMN('1-DATA'!K292)),ROUND(INDEX('1-DATA'!$1:$1048576,IF(OR($B294="STD. DEVIATION",$C$1=1),$A294,$A294+1),COLUMN('1-DATA'!K292)),IF($B294="STD. DEVIATION",2,$F$1))))</f>
        <v/>
      </c>
      <c r="M294" s="1" t="str">
        <f>IF(OR($B294="",M$7=""),"",IF($B294="MEANS",INDEX('1-DATA'!$1:$1048576,$A293-1,COLUMN('1-DATA'!L292)),ROUND(INDEX('1-DATA'!$1:$1048576,IF(OR($B294="STD. DEVIATION",$C$1=1),$A294,$A294+1),COLUMN('1-DATA'!L292)),IF($B294="STD. DEVIATION",2,$F$1))))</f>
        <v/>
      </c>
      <c r="N294" s="1" t="str">
        <f>IF(OR($B294="",N$7=""),"",IF($B294="MEANS",INDEX('1-DATA'!$1:$1048576,$A293-1,COLUMN('1-DATA'!M292)),ROUND(INDEX('1-DATA'!$1:$1048576,IF(OR($B294="STD. DEVIATION",$C$1=1),$A294,$A294+1),COLUMN('1-DATA'!M292)),IF($B294="STD. DEVIATION",2,$F$1))))</f>
        <v/>
      </c>
      <c r="O294" s="1" t="str">
        <f>IF(OR($B294="",O$7=""),"",IF($B294="MEANS",INDEX('1-DATA'!$1:$1048576,$A293-1,COLUMN('1-DATA'!N292)),ROUND(INDEX('1-DATA'!$1:$1048576,IF(OR($B294="STD. DEVIATION",$C$1=1),$A294,$A294+1),COLUMN('1-DATA'!N292)),IF($B294="STD. DEVIATION",2,$F$1))))</f>
        <v/>
      </c>
      <c r="P294" s="1" t="str">
        <f>IF(OR($B294="",P$7=""),"",IF($B294="MEANS",INDEX('1-DATA'!$1:$1048576,$A293-1,COLUMN('1-DATA'!O292)),ROUND(INDEX('1-DATA'!$1:$1048576,IF(OR($B294="STD. DEVIATION",$C$1=1),$A294,$A294+1),COLUMN('1-DATA'!O292)),IF($B294="STD. DEVIATION",2,$F$1))))</f>
        <v/>
      </c>
      <c r="Q294" s="1" t="str">
        <f>IF(OR($B294="",Q$7=""),"",IF($B294="MEANS",INDEX('1-DATA'!$1:$1048576,$A293-1,COLUMN('1-DATA'!P292)),ROUND(INDEX('1-DATA'!$1:$1048576,IF(OR($B294="STD. DEVIATION",$C$1=1),$A294,$A294+1),COLUMN('1-DATA'!P292)),IF($B294="STD. DEVIATION",2,$F$1))))</f>
        <v/>
      </c>
      <c r="R294" s="1" t="str">
        <f>IF(OR($B294="",R$7=""),"",IF($B294="MEANS",INDEX('1-DATA'!$1:$1048576,$A293-1,COLUMN('1-DATA'!Q292)),ROUND(INDEX('1-DATA'!$1:$1048576,IF(OR($B294="STD. DEVIATION",$C$1=1),$A294,$A294+1),COLUMN('1-DATA'!Q292)),IF($B294="STD. DEVIATION",2,$F$1))))</f>
        <v/>
      </c>
      <c r="S294" s="1" t="str">
        <f>IF(OR($B294="",S$7=""),"",IF($B294="MEANS",INDEX('1-DATA'!$1:$1048576,$A293-1,COLUMN('1-DATA'!R292)),ROUND(INDEX('1-DATA'!$1:$1048576,IF(OR($B294="STD. DEVIATION",$C$1=1),$A294,$A294+1),COLUMN('1-DATA'!R292)),IF($B294="STD. DEVIATION",2,$F$1))))</f>
        <v/>
      </c>
      <c r="T294" s="1" t="str">
        <f>IF(OR($B294="",T$7=""),"",IF($B294="MEANS",INDEX('1-DATA'!$1:$1048576,$A293-1,COLUMN('1-DATA'!S292)),ROUND(INDEX('1-DATA'!$1:$1048576,IF(OR($B294="STD. DEVIATION",$C$1=1),$A294,$A294+1),COLUMN('1-DATA'!S292)),IF($B294="STD. DEVIATION",2,$F$1))))</f>
        <v/>
      </c>
      <c r="U294" s="1" t="str">
        <f>IF(OR($B294="",U$7=""),"",IF($B294="MEANS",INDEX('1-DATA'!$1:$1048576,$A293-1,COLUMN('1-DATA'!T292)),ROUND(INDEX('1-DATA'!$1:$1048576,IF(OR($B294="STD. DEVIATION",$C$1=1),$A294,$A294+1),COLUMN('1-DATA'!T292)),IF($B294="STD. DEVIATION",2,$F$1))))</f>
        <v/>
      </c>
      <c r="V294" s="1" t="str">
        <f>IF(OR($B294="",V$7=""),"",IF($B294="MEANS",INDEX('1-DATA'!$1:$1048576,$A293-1,COLUMN('1-DATA'!U292)),ROUND(INDEX('1-DATA'!$1:$1048576,IF(OR($B294="STD. DEVIATION",$C$1=1),$A294,$A294+1),COLUMN('1-DATA'!U292)),IF($B294="STD. DEVIATION",2,$F$1))))</f>
        <v/>
      </c>
      <c r="W294" s="1" t="str">
        <f>IF(OR($B294="",W$7=""),"",IF($B294="MEANS",INDEX('1-DATA'!$1:$1048576,$A293-1,COLUMN('1-DATA'!V292)),ROUND(INDEX('1-DATA'!$1:$1048576,IF(OR($B294="STD. DEVIATION",$C$1=1),$A294,$A294+1),COLUMN('1-DATA'!V292)),IF($B294="STD. DEVIATION",2,$F$1))))</f>
        <v/>
      </c>
      <c r="X294" s="1" t="str">
        <f>IF(OR($B294="",X$7=""),"",IF($B294="MEANS",INDEX('1-DATA'!$1:$1048576,$A293-1,COLUMN('1-DATA'!W292)),ROUND(INDEX('1-DATA'!$1:$1048576,IF(OR($B294="STD. DEVIATION",$C$1=1),$A294,$A294+1),COLUMN('1-DATA'!W292)),IF($B294="STD. DEVIATION",2,$F$1))))</f>
        <v/>
      </c>
      <c r="Y294" s="1" t="str">
        <f>IF(OR($B294="",Y$7=""),"",IF($B294="MEANS",INDEX('1-DATA'!$1:$1048576,$A293-1,COLUMN('1-DATA'!X292)),ROUND(INDEX('1-DATA'!$1:$1048576,IF(OR($B294="STD. DEVIATION",$C$1=1),$A294,$A294+1),COLUMN('1-DATA'!X292)),IF($B294="STD. DEVIATION",2,$F$1))))</f>
        <v/>
      </c>
      <c r="Z294" s="1" t="str">
        <f>IF(OR($B294="",Z$7=""),"",IF($B294="MEANS",INDEX('1-DATA'!$1:$1048576,$A293-1,COLUMN('1-DATA'!Y292)),ROUND(INDEX('1-DATA'!$1:$1048576,IF(OR($B294="STD. DEVIATION",$C$1=1),$A294,$A294+1),COLUMN('1-DATA'!Y292)),IF($B294="STD. DEVIATION",2,$F$1))))</f>
        <v/>
      </c>
      <c r="AA294" s="1" t="str">
        <f>IF(OR($B294="",AA$7=""),"",IF($B294="MEANS",INDEX('1-DATA'!$1:$1048576,$A293-1,COLUMN('1-DATA'!Z292)),ROUND(INDEX('1-DATA'!$1:$1048576,IF(OR($B294="STD. DEVIATION",$C$1=1),$A294,$A294+1),COLUMN('1-DATA'!Z292)),IF($B294="STD. DEVIATION",2,$F$1))))</f>
        <v/>
      </c>
      <c r="AB294" s="1" t="str">
        <f>IF(OR($B294="",AB$7=""),"",IF($B294="MEANS",INDEX('1-DATA'!$1:$1048576,$A293-1,COLUMN('1-DATA'!AA292)),ROUND(INDEX('1-DATA'!$1:$1048576,IF(OR($B294="STD. DEVIATION",$C$1=1),$A294,$A294+1),COLUMN('1-DATA'!AA292)),IF($B294="STD. DEVIATION",2,$F$1))))</f>
        <v/>
      </c>
      <c r="AC294" s="1" t="str">
        <f>IF(OR($B294="",AC$7=""),"",IF($B294="MEANS",INDEX('1-DATA'!$1:$1048576,$A293-1,COLUMN('1-DATA'!AB292)),ROUND(INDEX('1-DATA'!$1:$1048576,IF(OR($B294="STD. DEVIATION",$C$1=1),$A294,$A294+1),COLUMN('1-DATA'!AB292)),IF($B294="STD. DEVIATION",2,$F$1))))</f>
        <v/>
      </c>
      <c r="AD294" s="1" t="str">
        <f>IF(OR($B294="",AD$7=""),"",IF($B294="MEANS",INDEX('1-DATA'!$1:$1048576,$A293-1,COLUMN('1-DATA'!AC292)),ROUND(INDEX('1-DATA'!$1:$1048576,IF(OR($B294="STD. DEVIATION",$C$1=1),$A294,$A294+1),COLUMN('1-DATA'!AC292)),IF($B294="STD. DEVIATION",2,$F$1))))</f>
        <v/>
      </c>
      <c r="AE294" s="1" t="str">
        <f>IF(OR($B294="",AE$7=""),"",IF($B294="MEANS",INDEX('1-DATA'!$1:$1048576,$A293-1,COLUMN('1-DATA'!AD292)),ROUND(INDEX('1-DATA'!$1:$1048576,IF(OR($B294="STD. DEVIATION",$C$1=1),$A294,$A294+1),COLUMN('1-DATA'!AD292)),IF($B294="STD. DEVIATION",2,$F$1))))</f>
        <v/>
      </c>
      <c r="AF294" s="1" t="str">
        <f>IF(OR($B294="",AF$7=""),"",IF($B294="MEANS",INDEX('1-DATA'!$1:$1048576,$A293-1,COLUMN('1-DATA'!AE292)),ROUND(INDEX('1-DATA'!$1:$1048576,IF(OR($B294="STD. DEVIATION",$C$1=1),$A294,$A294+1),COLUMN('1-DATA'!AE292)),IF($B294="STD. DEVIATION",2,$F$1))))</f>
        <v/>
      </c>
      <c r="AG294" s="1" t="str">
        <f>IF(OR($B294="",AG$7=""),"",IF($B294="MEANS",INDEX('1-DATA'!$1:$1048576,$A293-1,COLUMN('1-DATA'!AF292)),ROUND(INDEX('1-DATA'!$1:$1048576,IF(OR($B294="STD. DEVIATION",$C$1=1),$A294,$A294+1),COLUMN('1-DATA'!AF292)),IF($B294="STD. DEVIATION",2,$F$1))))</f>
        <v/>
      </c>
      <c r="AH294" s="1" t="str">
        <f>IF(OR($B294="",AH$7=""),"",IF($B294="MEANS",INDEX('1-DATA'!$1:$1048576,$A293-1,COLUMN('1-DATA'!AG292)),ROUND(INDEX('1-DATA'!$1:$1048576,IF(OR($B294="STD. DEVIATION",$C$1=1),$A294,$A294+1),COLUMN('1-DATA'!AG292)),IF($B294="STD. DEVIATION",2,$F$1))))</f>
        <v/>
      </c>
      <c r="AI294" s="1" t="str">
        <f>IF(OR($B294="",AI$7=""),"",IF($B294="MEANS",INDEX('1-DATA'!$1:$1048576,$A293-1,COLUMN('1-DATA'!AH292)),ROUND(INDEX('1-DATA'!$1:$1048576,IF(OR($B294="STD. DEVIATION",$C$1=1),$A294,$A294+1),COLUMN('1-DATA'!AH292)),IF($B294="STD. DEVIATION",2,$F$1))))</f>
        <v/>
      </c>
      <c r="AJ294" s="1" t="str">
        <f>IF(OR($B294="",AJ$7=""),"",IF($B294="MEANS",INDEX('1-DATA'!$1:$1048576,$A293-1,COLUMN('1-DATA'!AI292)),ROUND(INDEX('1-DATA'!$1:$1048576,IF(OR($B294="STD. DEVIATION",$C$1=1),$A294,$A294+1),COLUMN('1-DATA'!AI292)),IF($B294="STD. DEVIATION",2,$F$1))))</f>
        <v/>
      </c>
      <c r="AK294" s="1" t="str">
        <f>IF(OR($B294="",AK$7=""),"",IF($B294="MEANS",INDEX('1-DATA'!$1:$1048576,$A293-1,COLUMN('1-DATA'!AJ292)),ROUND(INDEX('1-DATA'!$1:$1048576,IF(OR($B294="STD. DEVIATION",$C$1=1),$A294,$A294+1),COLUMN('1-DATA'!AJ292)),IF($B294="STD. DEVIATION",2,$F$1))))</f>
        <v/>
      </c>
      <c r="AL294" s="1" t="str">
        <f>IF(OR($B294="",AL$7=""),"",IF($B294="MEANS",INDEX('1-DATA'!$1:$1048576,$A293-1,COLUMN('1-DATA'!AK292)),ROUND(INDEX('1-DATA'!$1:$1048576,IF(OR($B294="STD. DEVIATION",$C$1=1),$A294,$A294+1),COLUMN('1-DATA'!AK292)),IF($B294="STD. DEVIATION",2,$F$1))))</f>
        <v/>
      </c>
      <c r="AM294" s="1" t="str">
        <f>IF(OR($B294="",AM$7=""),"",IF($B294="MEANS",INDEX('1-DATA'!$1:$1048576,$A293-1,COLUMN('1-DATA'!AL292)),ROUND(INDEX('1-DATA'!$1:$1048576,IF(OR($B294="STD. DEVIATION",$C$1=1),$A294,$A294+1),COLUMN('1-DATA'!AL292)),IF($B294="STD. DEVIATION",2,$F$1))))</f>
        <v/>
      </c>
      <c r="AN294" s="1" t="str">
        <f>IF(OR($B294="",AN$7=""),"",IF($B294="MEANS",INDEX('1-DATA'!$1:$1048576,$A293-1,COLUMN('1-DATA'!AM292)),ROUND(INDEX('1-DATA'!$1:$1048576,IF(OR($B294="STD. DEVIATION",$C$1=1),$A294,$A294+1),COLUMN('1-DATA'!AM292)),IF($B294="STD. DEVIATION",2,$F$1))))</f>
        <v/>
      </c>
      <c r="AO294" s="1" t="str">
        <f>IF(OR($B294="",AO$7=""),"",IF($B294="MEANS",INDEX('1-DATA'!$1:$1048576,$A293-1,COLUMN('1-DATA'!AN292)),ROUND(INDEX('1-DATA'!$1:$1048576,IF(OR($B294="STD. DEVIATION",$C$1=1),$A294,$A294+1),COLUMN('1-DATA'!AN292)),IF($B294="STD. DEVIATION",2,$F$1))))</f>
        <v/>
      </c>
      <c r="AP294" s="1" t="str">
        <f>IF(OR($B294="",AP$7=""),"",IF($B294="MEANS",INDEX('1-DATA'!$1:$1048576,$A293-1,COLUMN('1-DATA'!AO292)),ROUND(INDEX('1-DATA'!$1:$1048576,IF(OR($B294="STD. DEVIATION",$C$1=1),$A294,$A294+1),COLUMN('1-DATA'!AO292)),IF($B294="STD. DEVIATION",2,$F$1))))</f>
        <v/>
      </c>
      <c r="AQ294" s="1" t="str">
        <f>IF(OR($B294="",AQ$7=""),"",IF($B294="MEANS",INDEX('1-DATA'!$1:$1048576,$A293-1,COLUMN('1-DATA'!AP292)),ROUND(INDEX('1-DATA'!$1:$1048576,IF(OR($B294="STD. DEVIATION",$C$1=1),$A294,$A294+1),COLUMN('1-DATA'!AP292)),IF($B294="STD. DEVIATION",2,$F$1))))</f>
        <v/>
      </c>
      <c r="AR294" s="1" t="str">
        <f>IF(OR($B294="",AR$7=""),"",IF($B294="MEANS",INDEX('1-DATA'!$1:$1048576,$A293-1,COLUMN('1-DATA'!AQ292)),ROUND(INDEX('1-DATA'!$1:$1048576,IF(OR($B294="STD. DEVIATION",$C$1=1),$A294,$A294+1),COLUMN('1-DATA'!AQ292)),IF($B294="STD. DEVIATION",2,$F$1))))</f>
        <v/>
      </c>
      <c r="AS294" s="1" t="str">
        <f>IF(OR($B294="",AS$7=""),"",IF($B294="MEANS",INDEX('1-DATA'!$1:$1048576,$A293-1,COLUMN('1-DATA'!AR292)),ROUND(INDEX('1-DATA'!$1:$1048576,IF(OR($B294="STD. DEVIATION",$C$1=1),$A294,$A294+1),COLUMN('1-DATA'!AR292)),IF($B294="STD. DEVIATION",2,$F$1))))</f>
        <v/>
      </c>
      <c r="AT294" s="1" t="str">
        <f>IF(OR($B294="",AT$7=""),"",IF($B294="MEANS",INDEX('1-DATA'!$1:$1048576,$A293-1,COLUMN('1-DATA'!AS292)),ROUND(INDEX('1-DATA'!$1:$1048576,IF(OR($B294="STD. DEVIATION",$C$1=1),$A294,$A294+1),COLUMN('1-DATA'!AS292)),IF($B294="STD. DEVIATION",2,$F$1))))</f>
        <v/>
      </c>
      <c r="AU294" s="1" t="str">
        <f>IF(OR($B294="",AU$7=""),"",IF($B294="MEANS",INDEX('1-DATA'!$1:$1048576,$A293-1,COLUMN('1-DATA'!AT292)),ROUND(INDEX('1-DATA'!$1:$1048576,IF(OR($B294="STD. DEVIATION",$C$1=1),$A294,$A294+1),COLUMN('1-DATA'!AT292)),IF($B294="STD. DEVIATION",2,$F$1))))</f>
        <v/>
      </c>
      <c r="AV294" s="1" t="str">
        <f>IF(OR($B294="",AV$7=""),"",IF($B294="MEANS",INDEX('1-DATA'!$1:$1048576,$A293-1,COLUMN('1-DATA'!AU292)),ROUND(INDEX('1-DATA'!$1:$1048576,IF(OR($B294="STD. DEVIATION",$C$1=1),$A294,$A294+1),COLUMN('1-DATA'!AU292)),IF($B294="STD. DEVIATION",2,$F$1))))</f>
        <v/>
      </c>
      <c r="AW294" s="1" t="str">
        <f>IF(OR($B294="",AW$7=""),"",IF($B294="MEANS",INDEX('1-DATA'!$1:$1048576,$A293-1,COLUMN('1-DATA'!AV292)),ROUND(INDEX('1-DATA'!$1:$1048576,IF(OR($B294="STD. DEVIATION",$C$1=1),$A294,$A294+1),COLUMN('1-DATA'!AV292)),IF($B294="STD. DEVIATION",2,$F$1))))</f>
        <v/>
      </c>
      <c r="AX294" s="1" t="str">
        <f>IF(OR($B294="",AX$7=""),"",IF($B294="MEANS",INDEX('1-DATA'!$1:$1048576,$A293-1,COLUMN('1-DATA'!AW292)),ROUND(INDEX('1-DATA'!$1:$1048576,IF(OR($B294="STD. DEVIATION",$C$1=1),$A294,$A294+1),COLUMN('1-DATA'!AW292)),IF($B294="STD. DEVIATION",2,$F$1))))</f>
        <v/>
      </c>
      <c r="AY294" s="1" t="str">
        <f>IF(OR($B294="",AY$7=""),"",IF($B294="MEANS",INDEX('1-DATA'!$1:$1048576,$A293-1,COLUMN('1-DATA'!AX292)),ROUND(INDEX('1-DATA'!$1:$1048576,IF(OR($B294="STD. DEVIATION",$C$1=1),$A294,$A294+1),COLUMN('1-DATA'!AX292)),IF($B294="STD. DEVIATION",2,$F$1))))</f>
        <v/>
      </c>
      <c r="AZ294" s="1" t="str">
        <f>IF(OR($B294="",AZ$7=""),"",IF($B294="MEANS",INDEX('1-DATA'!$1:$1048576,$A293-1,COLUMN('1-DATA'!AY292)),ROUND(INDEX('1-DATA'!$1:$1048576,IF(OR($B294="STD. DEVIATION",$C$1=1),$A294,$A294+1),COLUMN('1-DATA'!AY292)),IF($B294="STD. DEVIATION",2,$F$1))))</f>
        <v/>
      </c>
    </row>
    <row r="295" spans="1:52" x14ac:dyDescent="0.25">
      <c r="A295" s="11">
        <f t="shared" si="5"/>
        <v>871</v>
      </c>
      <c r="B295" s="1" t="str">
        <f>IF(B294="STD. DEVIATION",INDEX('1-DATA'!$1:$1048576,$A294-1,1),IF(INDEX('1-DATA'!$1:$1048576,$A295,1)&lt;&gt;"",INDEX('1-DATA'!$1:$1048576,$A295,1),""))</f>
        <v/>
      </c>
      <c r="C295" s="1" t="str">
        <f>IF(OR($B295="",C$7=""),"",IF($B295="MEANS",INDEX('1-DATA'!$1:$1048576,$A294-1,COLUMN('1-DATA'!B293)),ROUND(INDEX('1-DATA'!$1:$1048576,IF(OR($B295="STD. DEVIATION",$C$1=1),$A295,$A295+1),COLUMN('1-DATA'!B293)),IF($B295="STD. DEVIATION",2,$F$1))))</f>
        <v/>
      </c>
      <c r="D295" s="1" t="str">
        <f>IF(OR($B295="",D$7=""),"",IF($B295="MEANS",INDEX('1-DATA'!$1:$1048576,$A294-1,COLUMN('1-DATA'!C293)),ROUND(INDEX('1-DATA'!$1:$1048576,IF(OR($B295="STD. DEVIATION",$C$1=1),$A295,$A295+1),COLUMN('1-DATA'!C293)),IF($B295="STD. DEVIATION",2,$F$1))))</f>
        <v/>
      </c>
      <c r="E295" s="1" t="str">
        <f>IF(OR($B295="",E$7=""),"",IF($B295="MEANS",INDEX('1-DATA'!$1:$1048576,$A294-1,COLUMN('1-DATA'!D293)),ROUND(INDEX('1-DATA'!$1:$1048576,IF(OR($B295="STD. DEVIATION",$C$1=1),$A295,$A295+1),COLUMN('1-DATA'!D293)),IF($B295="STD. DEVIATION",2,$F$1))))</f>
        <v/>
      </c>
      <c r="F295" s="1" t="str">
        <f>IF(OR($B295="",F$7=""),"",IF($B295="MEANS",INDEX('1-DATA'!$1:$1048576,$A294-1,COLUMN('1-DATA'!E293)),ROUND(INDEX('1-DATA'!$1:$1048576,IF(OR($B295="STD. DEVIATION",$C$1=1),$A295,$A295+1),COLUMN('1-DATA'!E293)),IF($B295="STD. DEVIATION",2,$F$1))))</f>
        <v/>
      </c>
      <c r="G295" s="1" t="str">
        <f>IF(OR($B295="",G$7=""),"",IF($B295="MEANS",INDEX('1-DATA'!$1:$1048576,$A294-1,COLUMN('1-DATA'!F293)),ROUND(INDEX('1-DATA'!$1:$1048576,IF(OR($B295="STD. DEVIATION",$C$1=1),$A295,$A295+1),COLUMN('1-DATA'!F293)),IF($B295="STD. DEVIATION",2,$F$1))))</f>
        <v/>
      </c>
      <c r="H295" s="1" t="str">
        <f>IF(OR($B295="",H$7=""),"",IF($B295="MEANS",INDEX('1-DATA'!$1:$1048576,$A294-1,COLUMN('1-DATA'!G293)),ROUND(INDEX('1-DATA'!$1:$1048576,IF(OR($B295="STD. DEVIATION",$C$1=1),$A295,$A295+1),COLUMN('1-DATA'!G293)),IF($B295="STD. DEVIATION",2,$F$1))))</f>
        <v/>
      </c>
      <c r="I295" s="1" t="str">
        <f>IF(OR($B295="",I$7=""),"",IF($B295="MEANS",INDEX('1-DATA'!$1:$1048576,$A294-1,COLUMN('1-DATA'!H293)),ROUND(INDEX('1-DATA'!$1:$1048576,IF(OR($B295="STD. DEVIATION",$C$1=1),$A295,$A295+1),COLUMN('1-DATA'!H293)),IF($B295="STD. DEVIATION",2,$F$1))))</f>
        <v/>
      </c>
      <c r="J295" s="1" t="str">
        <f>IF(OR($B295="",J$7=""),"",IF($B295="MEANS",INDEX('1-DATA'!$1:$1048576,$A294-1,COLUMN('1-DATA'!I293)),ROUND(INDEX('1-DATA'!$1:$1048576,IF(OR($B295="STD. DEVIATION",$C$1=1),$A295,$A295+1),COLUMN('1-DATA'!I293)),IF($B295="STD. DEVIATION",2,$F$1))))</f>
        <v/>
      </c>
      <c r="K295" s="1" t="str">
        <f>IF(OR($B295="",K$7=""),"",IF($B295="MEANS",INDEX('1-DATA'!$1:$1048576,$A294-1,COLUMN('1-DATA'!J293)),ROUND(INDEX('1-DATA'!$1:$1048576,IF(OR($B295="STD. DEVIATION",$C$1=1),$A295,$A295+1),COLUMN('1-DATA'!J293)),IF($B295="STD. DEVIATION",2,$F$1))))</f>
        <v/>
      </c>
      <c r="L295" s="1" t="str">
        <f>IF(OR($B295="",L$7=""),"",IF($B295="MEANS",INDEX('1-DATA'!$1:$1048576,$A294-1,COLUMN('1-DATA'!K293)),ROUND(INDEX('1-DATA'!$1:$1048576,IF(OR($B295="STD. DEVIATION",$C$1=1),$A295,$A295+1),COLUMN('1-DATA'!K293)),IF($B295="STD. DEVIATION",2,$F$1))))</f>
        <v/>
      </c>
      <c r="M295" s="1" t="str">
        <f>IF(OR($B295="",M$7=""),"",IF($B295="MEANS",INDEX('1-DATA'!$1:$1048576,$A294-1,COLUMN('1-DATA'!L293)),ROUND(INDEX('1-DATA'!$1:$1048576,IF(OR($B295="STD. DEVIATION",$C$1=1),$A295,$A295+1),COLUMN('1-DATA'!L293)),IF($B295="STD. DEVIATION",2,$F$1))))</f>
        <v/>
      </c>
      <c r="N295" s="1" t="str">
        <f>IF(OR($B295="",N$7=""),"",IF($B295="MEANS",INDEX('1-DATA'!$1:$1048576,$A294-1,COLUMN('1-DATA'!M293)),ROUND(INDEX('1-DATA'!$1:$1048576,IF(OR($B295="STD. DEVIATION",$C$1=1),$A295,$A295+1),COLUMN('1-DATA'!M293)),IF($B295="STD. DEVIATION",2,$F$1))))</f>
        <v/>
      </c>
      <c r="O295" s="1" t="str">
        <f>IF(OR($B295="",O$7=""),"",IF($B295="MEANS",INDEX('1-DATA'!$1:$1048576,$A294-1,COLUMN('1-DATA'!N293)),ROUND(INDEX('1-DATA'!$1:$1048576,IF(OR($B295="STD. DEVIATION",$C$1=1),$A295,$A295+1),COLUMN('1-DATA'!N293)),IF($B295="STD. DEVIATION",2,$F$1))))</f>
        <v/>
      </c>
      <c r="P295" s="1" t="str">
        <f>IF(OR($B295="",P$7=""),"",IF($B295="MEANS",INDEX('1-DATA'!$1:$1048576,$A294-1,COLUMN('1-DATA'!O293)),ROUND(INDEX('1-DATA'!$1:$1048576,IF(OR($B295="STD. DEVIATION",$C$1=1),$A295,$A295+1),COLUMN('1-DATA'!O293)),IF($B295="STD. DEVIATION",2,$F$1))))</f>
        <v/>
      </c>
      <c r="Q295" s="1" t="str">
        <f>IF(OR($B295="",Q$7=""),"",IF($B295="MEANS",INDEX('1-DATA'!$1:$1048576,$A294-1,COLUMN('1-DATA'!P293)),ROUND(INDEX('1-DATA'!$1:$1048576,IF(OR($B295="STD. DEVIATION",$C$1=1),$A295,$A295+1),COLUMN('1-DATA'!P293)),IF($B295="STD. DEVIATION",2,$F$1))))</f>
        <v/>
      </c>
      <c r="R295" s="1" t="str">
        <f>IF(OR($B295="",R$7=""),"",IF($B295="MEANS",INDEX('1-DATA'!$1:$1048576,$A294-1,COLUMN('1-DATA'!Q293)),ROUND(INDEX('1-DATA'!$1:$1048576,IF(OR($B295="STD. DEVIATION",$C$1=1),$A295,$A295+1),COLUMN('1-DATA'!Q293)),IF($B295="STD. DEVIATION",2,$F$1))))</f>
        <v/>
      </c>
      <c r="S295" s="1" t="str">
        <f>IF(OR($B295="",S$7=""),"",IF($B295="MEANS",INDEX('1-DATA'!$1:$1048576,$A294-1,COLUMN('1-DATA'!R293)),ROUND(INDEX('1-DATA'!$1:$1048576,IF(OR($B295="STD. DEVIATION",$C$1=1),$A295,$A295+1),COLUMN('1-DATA'!R293)),IF($B295="STD. DEVIATION",2,$F$1))))</f>
        <v/>
      </c>
      <c r="T295" s="1" t="str">
        <f>IF(OR($B295="",T$7=""),"",IF($B295="MEANS",INDEX('1-DATA'!$1:$1048576,$A294-1,COLUMN('1-DATA'!S293)),ROUND(INDEX('1-DATA'!$1:$1048576,IF(OR($B295="STD. DEVIATION",$C$1=1),$A295,$A295+1),COLUMN('1-DATA'!S293)),IF($B295="STD. DEVIATION",2,$F$1))))</f>
        <v/>
      </c>
      <c r="U295" s="1" t="str">
        <f>IF(OR($B295="",U$7=""),"",IF($B295="MEANS",INDEX('1-DATA'!$1:$1048576,$A294-1,COLUMN('1-DATA'!T293)),ROUND(INDEX('1-DATA'!$1:$1048576,IF(OR($B295="STD. DEVIATION",$C$1=1),$A295,$A295+1),COLUMN('1-DATA'!T293)),IF($B295="STD. DEVIATION",2,$F$1))))</f>
        <v/>
      </c>
      <c r="V295" s="1" t="str">
        <f>IF(OR($B295="",V$7=""),"",IF($B295="MEANS",INDEX('1-DATA'!$1:$1048576,$A294-1,COLUMN('1-DATA'!U293)),ROUND(INDEX('1-DATA'!$1:$1048576,IF(OR($B295="STD. DEVIATION",$C$1=1),$A295,$A295+1),COLUMN('1-DATA'!U293)),IF($B295="STD. DEVIATION",2,$F$1))))</f>
        <v/>
      </c>
      <c r="W295" s="1" t="str">
        <f>IF(OR($B295="",W$7=""),"",IF($B295="MEANS",INDEX('1-DATA'!$1:$1048576,$A294-1,COLUMN('1-DATA'!V293)),ROUND(INDEX('1-DATA'!$1:$1048576,IF(OR($B295="STD. DEVIATION",$C$1=1),$A295,$A295+1),COLUMN('1-DATA'!V293)),IF($B295="STD. DEVIATION",2,$F$1))))</f>
        <v/>
      </c>
      <c r="X295" s="1" t="str">
        <f>IF(OR($B295="",X$7=""),"",IF($B295="MEANS",INDEX('1-DATA'!$1:$1048576,$A294-1,COLUMN('1-DATA'!W293)),ROUND(INDEX('1-DATA'!$1:$1048576,IF(OR($B295="STD. DEVIATION",$C$1=1),$A295,$A295+1),COLUMN('1-DATA'!W293)),IF($B295="STD. DEVIATION",2,$F$1))))</f>
        <v/>
      </c>
      <c r="Y295" s="1" t="str">
        <f>IF(OR($B295="",Y$7=""),"",IF($B295="MEANS",INDEX('1-DATA'!$1:$1048576,$A294-1,COLUMN('1-DATA'!X293)),ROUND(INDEX('1-DATA'!$1:$1048576,IF(OR($B295="STD. DEVIATION",$C$1=1),$A295,$A295+1),COLUMN('1-DATA'!X293)),IF($B295="STD. DEVIATION",2,$F$1))))</f>
        <v/>
      </c>
      <c r="Z295" s="1" t="str">
        <f>IF(OR($B295="",Z$7=""),"",IF($B295="MEANS",INDEX('1-DATA'!$1:$1048576,$A294-1,COLUMN('1-DATA'!Y293)),ROUND(INDEX('1-DATA'!$1:$1048576,IF(OR($B295="STD. DEVIATION",$C$1=1),$A295,$A295+1),COLUMN('1-DATA'!Y293)),IF($B295="STD. DEVIATION",2,$F$1))))</f>
        <v/>
      </c>
      <c r="AA295" s="1" t="str">
        <f>IF(OR($B295="",AA$7=""),"",IF($B295="MEANS",INDEX('1-DATA'!$1:$1048576,$A294-1,COLUMN('1-DATA'!Z293)),ROUND(INDEX('1-DATA'!$1:$1048576,IF(OR($B295="STD. DEVIATION",$C$1=1),$A295,$A295+1),COLUMN('1-DATA'!Z293)),IF($B295="STD. DEVIATION",2,$F$1))))</f>
        <v/>
      </c>
      <c r="AB295" s="1" t="str">
        <f>IF(OR($B295="",AB$7=""),"",IF($B295="MEANS",INDEX('1-DATA'!$1:$1048576,$A294-1,COLUMN('1-DATA'!AA293)),ROUND(INDEX('1-DATA'!$1:$1048576,IF(OR($B295="STD. DEVIATION",$C$1=1),$A295,$A295+1),COLUMN('1-DATA'!AA293)),IF($B295="STD. DEVIATION",2,$F$1))))</f>
        <v/>
      </c>
      <c r="AC295" s="1" t="str">
        <f>IF(OR($B295="",AC$7=""),"",IF($B295="MEANS",INDEX('1-DATA'!$1:$1048576,$A294-1,COLUMN('1-DATA'!AB293)),ROUND(INDEX('1-DATA'!$1:$1048576,IF(OR($B295="STD. DEVIATION",$C$1=1),$A295,$A295+1),COLUMN('1-DATA'!AB293)),IF($B295="STD. DEVIATION",2,$F$1))))</f>
        <v/>
      </c>
      <c r="AD295" s="1" t="str">
        <f>IF(OR($B295="",AD$7=""),"",IF($B295="MEANS",INDEX('1-DATA'!$1:$1048576,$A294-1,COLUMN('1-DATA'!AC293)),ROUND(INDEX('1-DATA'!$1:$1048576,IF(OR($B295="STD. DEVIATION",$C$1=1),$A295,$A295+1),COLUMN('1-DATA'!AC293)),IF($B295="STD. DEVIATION",2,$F$1))))</f>
        <v/>
      </c>
      <c r="AE295" s="1" t="str">
        <f>IF(OR($B295="",AE$7=""),"",IF($B295="MEANS",INDEX('1-DATA'!$1:$1048576,$A294-1,COLUMN('1-DATA'!AD293)),ROUND(INDEX('1-DATA'!$1:$1048576,IF(OR($B295="STD. DEVIATION",$C$1=1),$A295,$A295+1),COLUMN('1-DATA'!AD293)),IF($B295="STD. DEVIATION",2,$F$1))))</f>
        <v/>
      </c>
      <c r="AF295" s="1" t="str">
        <f>IF(OR($B295="",AF$7=""),"",IF($B295="MEANS",INDEX('1-DATA'!$1:$1048576,$A294-1,COLUMN('1-DATA'!AE293)),ROUND(INDEX('1-DATA'!$1:$1048576,IF(OR($B295="STD. DEVIATION",$C$1=1),$A295,$A295+1),COLUMN('1-DATA'!AE293)),IF($B295="STD. DEVIATION",2,$F$1))))</f>
        <v/>
      </c>
      <c r="AG295" s="1" t="str">
        <f>IF(OR($B295="",AG$7=""),"",IF($B295="MEANS",INDEX('1-DATA'!$1:$1048576,$A294-1,COLUMN('1-DATA'!AF293)),ROUND(INDEX('1-DATA'!$1:$1048576,IF(OR($B295="STD. DEVIATION",$C$1=1),$A295,$A295+1),COLUMN('1-DATA'!AF293)),IF($B295="STD. DEVIATION",2,$F$1))))</f>
        <v/>
      </c>
      <c r="AH295" s="1" t="str">
        <f>IF(OR($B295="",AH$7=""),"",IF($B295="MEANS",INDEX('1-DATA'!$1:$1048576,$A294-1,COLUMN('1-DATA'!AG293)),ROUND(INDEX('1-DATA'!$1:$1048576,IF(OR($B295="STD. DEVIATION",$C$1=1),$A295,$A295+1),COLUMN('1-DATA'!AG293)),IF($B295="STD. DEVIATION",2,$F$1))))</f>
        <v/>
      </c>
      <c r="AI295" s="1" t="str">
        <f>IF(OR($B295="",AI$7=""),"",IF($B295="MEANS",INDEX('1-DATA'!$1:$1048576,$A294-1,COLUMN('1-DATA'!AH293)),ROUND(INDEX('1-DATA'!$1:$1048576,IF(OR($B295="STD. DEVIATION",$C$1=1),$A295,$A295+1),COLUMN('1-DATA'!AH293)),IF($B295="STD. DEVIATION",2,$F$1))))</f>
        <v/>
      </c>
      <c r="AJ295" s="1" t="str">
        <f>IF(OR($B295="",AJ$7=""),"",IF($B295="MEANS",INDEX('1-DATA'!$1:$1048576,$A294-1,COLUMN('1-DATA'!AI293)),ROUND(INDEX('1-DATA'!$1:$1048576,IF(OR($B295="STD. DEVIATION",$C$1=1),$A295,$A295+1),COLUMN('1-DATA'!AI293)),IF($B295="STD. DEVIATION",2,$F$1))))</f>
        <v/>
      </c>
      <c r="AK295" s="1" t="str">
        <f>IF(OR($B295="",AK$7=""),"",IF($B295="MEANS",INDEX('1-DATA'!$1:$1048576,$A294-1,COLUMN('1-DATA'!AJ293)),ROUND(INDEX('1-DATA'!$1:$1048576,IF(OR($B295="STD. DEVIATION",$C$1=1),$A295,$A295+1),COLUMN('1-DATA'!AJ293)),IF($B295="STD. DEVIATION",2,$F$1))))</f>
        <v/>
      </c>
      <c r="AL295" s="1" t="str">
        <f>IF(OR($B295="",AL$7=""),"",IF($B295="MEANS",INDEX('1-DATA'!$1:$1048576,$A294-1,COLUMN('1-DATA'!AK293)),ROUND(INDEX('1-DATA'!$1:$1048576,IF(OR($B295="STD. DEVIATION",$C$1=1),$A295,$A295+1),COLUMN('1-DATA'!AK293)),IF($B295="STD. DEVIATION",2,$F$1))))</f>
        <v/>
      </c>
      <c r="AM295" s="1" t="str">
        <f>IF(OR($B295="",AM$7=""),"",IF($B295="MEANS",INDEX('1-DATA'!$1:$1048576,$A294-1,COLUMN('1-DATA'!AL293)),ROUND(INDEX('1-DATA'!$1:$1048576,IF(OR($B295="STD. DEVIATION",$C$1=1),$A295,$A295+1),COLUMN('1-DATA'!AL293)),IF($B295="STD. DEVIATION",2,$F$1))))</f>
        <v/>
      </c>
      <c r="AN295" s="1" t="str">
        <f>IF(OR($B295="",AN$7=""),"",IF($B295="MEANS",INDEX('1-DATA'!$1:$1048576,$A294-1,COLUMN('1-DATA'!AM293)),ROUND(INDEX('1-DATA'!$1:$1048576,IF(OR($B295="STD. DEVIATION",$C$1=1),$A295,$A295+1),COLUMN('1-DATA'!AM293)),IF($B295="STD. DEVIATION",2,$F$1))))</f>
        <v/>
      </c>
      <c r="AO295" s="1" t="str">
        <f>IF(OR($B295="",AO$7=""),"",IF($B295="MEANS",INDEX('1-DATA'!$1:$1048576,$A294-1,COLUMN('1-DATA'!AN293)),ROUND(INDEX('1-DATA'!$1:$1048576,IF(OR($B295="STD. DEVIATION",$C$1=1),$A295,$A295+1),COLUMN('1-DATA'!AN293)),IF($B295="STD. DEVIATION",2,$F$1))))</f>
        <v/>
      </c>
      <c r="AP295" s="1" t="str">
        <f>IF(OR($B295="",AP$7=""),"",IF($B295="MEANS",INDEX('1-DATA'!$1:$1048576,$A294-1,COLUMN('1-DATA'!AO293)),ROUND(INDEX('1-DATA'!$1:$1048576,IF(OR($B295="STD. DEVIATION",$C$1=1),$A295,$A295+1),COLUMN('1-DATA'!AO293)),IF($B295="STD. DEVIATION",2,$F$1))))</f>
        <v/>
      </c>
      <c r="AQ295" s="1" t="str">
        <f>IF(OR($B295="",AQ$7=""),"",IF($B295="MEANS",INDEX('1-DATA'!$1:$1048576,$A294-1,COLUMN('1-DATA'!AP293)),ROUND(INDEX('1-DATA'!$1:$1048576,IF(OR($B295="STD. DEVIATION",$C$1=1),$A295,$A295+1),COLUMN('1-DATA'!AP293)),IF($B295="STD. DEVIATION",2,$F$1))))</f>
        <v/>
      </c>
      <c r="AR295" s="1" t="str">
        <f>IF(OR($B295="",AR$7=""),"",IF($B295="MEANS",INDEX('1-DATA'!$1:$1048576,$A294-1,COLUMN('1-DATA'!AQ293)),ROUND(INDEX('1-DATA'!$1:$1048576,IF(OR($B295="STD. DEVIATION",$C$1=1),$A295,$A295+1),COLUMN('1-DATA'!AQ293)),IF($B295="STD. DEVIATION",2,$F$1))))</f>
        <v/>
      </c>
      <c r="AS295" s="1" t="str">
        <f>IF(OR($B295="",AS$7=""),"",IF($B295="MEANS",INDEX('1-DATA'!$1:$1048576,$A294-1,COLUMN('1-DATA'!AR293)),ROUND(INDEX('1-DATA'!$1:$1048576,IF(OR($B295="STD. DEVIATION",$C$1=1),$A295,$A295+1),COLUMN('1-DATA'!AR293)),IF($B295="STD. DEVIATION",2,$F$1))))</f>
        <v/>
      </c>
      <c r="AT295" s="1" t="str">
        <f>IF(OR($B295="",AT$7=""),"",IF($B295="MEANS",INDEX('1-DATA'!$1:$1048576,$A294-1,COLUMN('1-DATA'!AS293)),ROUND(INDEX('1-DATA'!$1:$1048576,IF(OR($B295="STD. DEVIATION",$C$1=1),$A295,$A295+1),COLUMN('1-DATA'!AS293)),IF($B295="STD. DEVIATION",2,$F$1))))</f>
        <v/>
      </c>
      <c r="AU295" s="1" t="str">
        <f>IF(OR($B295="",AU$7=""),"",IF($B295="MEANS",INDEX('1-DATA'!$1:$1048576,$A294-1,COLUMN('1-DATA'!AT293)),ROUND(INDEX('1-DATA'!$1:$1048576,IF(OR($B295="STD. DEVIATION",$C$1=1),$A295,$A295+1),COLUMN('1-DATA'!AT293)),IF($B295="STD. DEVIATION",2,$F$1))))</f>
        <v/>
      </c>
      <c r="AV295" s="1" t="str">
        <f>IF(OR($B295="",AV$7=""),"",IF($B295="MEANS",INDEX('1-DATA'!$1:$1048576,$A294-1,COLUMN('1-DATA'!AU293)),ROUND(INDEX('1-DATA'!$1:$1048576,IF(OR($B295="STD. DEVIATION",$C$1=1),$A295,$A295+1),COLUMN('1-DATA'!AU293)),IF($B295="STD. DEVIATION",2,$F$1))))</f>
        <v/>
      </c>
      <c r="AW295" s="1" t="str">
        <f>IF(OR($B295="",AW$7=""),"",IF($B295="MEANS",INDEX('1-DATA'!$1:$1048576,$A294-1,COLUMN('1-DATA'!AV293)),ROUND(INDEX('1-DATA'!$1:$1048576,IF(OR($B295="STD. DEVIATION",$C$1=1),$A295,$A295+1),COLUMN('1-DATA'!AV293)),IF($B295="STD. DEVIATION",2,$F$1))))</f>
        <v/>
      </c>
      <c r="AX295" s="1" t="str">
        <f>IF(OR($B295="",AX$7=""),"",IF($B295="MEANS",INDEX('1-DATA'!$1:$1048576,$A294-1,COLUMN('1-DATA'!AW293)),ROUND(INDEX('1-DATA'!$1:$1048576,IF(OR($B295="STD. DEVIATION",$C$1=1),$A295,$A295+1),COLUMN('1-DATA'!AW293)),IF($B295="STD. DEVIATION",2,$F$1))))</f>
        <v/>
      </c>
      <c r="AY295" s="1" t="str">
        <f>IF(OR($B295="",AY$7=""),"",IF($B295="MEANS",INDEX('1-DATA'!$1:$1048576,$A294-1,COLUMN('1-DATA'!AX293)),ROUND(INDEX('1-DATA'!$1:$1048576,IF(OR($B295="STD. DEVIATION",$C$1=1),$A295,$A295+1),COLUMN('1-DATA'!AX293)),IF($B295="STD. DEVIATION",2,$F$1))))</f>
        <v/>
      </c>
      <c r="AZ295" s="1" t="str">
        <f>IF(OR($B295="",AZ$7=""),"",IF($B295="MEANS",INDEX('1-DATA'!$1:$1048576,$A294-1,COLUMN('1-DATA'!AY293)),ROUND(INDEX('1-DATA'!$1:$1048576,IF(OR($B295="STD. DEVIATION",$C$1=1),$A295,$A295+1),COLUMN('1-DATA'!AY293)),IF($B295="STD. DEVIATION",2,$F$1))))</f>
        <v/>
      </c>
    </row>
    <row r="296" spans="1:52" x14ac:dyDescent="0.25">
      <c r="A296" s="11">
        <f t="shared" si="5"/>
        <v>874</v>
      </c>
      <c r="B296" s="1" t="str">
        <f>IF(B295="STD. DEVIATION",INDEX('1-DATA'!$1:$1048576,$A295-1,1),IF(INDEX('1-DATA'!$1:$1048576,$A296,1)&lt;&gt;"",INDEX('1-DATA'!$1:$1048576,$A296,1),""))</f>
        <v/>
      </c>
      <c r="C296" s="1" t="str">
        <f>IF(OR($B296="",C$7=""),"",IF($B296="MEANS",INDEX('1-DATA'!$1:$1048576,$A295-1,COLUMN('1-DATA'!B294)),ROUND(INDEX('1-DATA'!$1:$1048576,IF(OR($B296="STD. DEVIATION",$C$1=1),$A296,$A296+1),COLUMN('1-DATA'!B294)),IF($B296="STD. DEVIATION",2,$F$1))))</f>
        <v/>
      </c>
      <c r="D296" s="1" t="str">
        <f>IF(OR($B296="",D$7=""),"",IF($B296="MEANS",INDEX('1-DATA'!$1:$1048576,$A295-1,COLUMN('1-DATA'!C294)),ROUND(INDEX('1-DATA'!$1:$1048576,IF(OR($B296="STD. DEVIATION",$C$1=1),$A296,$A296+1),COLUMN('1-DATA'!C294)),IF($B296="STD. DEVIATION",2,$F$1))))</f>
        <v/>
      </c>
      <c r="E296" s="1" t="str">
        <f>IF(OR($B296="",E$7=""),"",IF($B296="MEANS",INDEX('1-DATA'!$1:$1048576,$A295-1,COLUMN('1-DATA'!D294)),ROUND(INDEX('1-DATA'!$1:$1048576,IF(OR($B296="STD. DEVIATION",$C$1=1),$A296,$A296+1),COLUMN('1-DATA'!D294)),IF($B296="STD. DEVIATION",2,$F$1))))</f>
        <v/>
      </c>
      <c r="F296" s="1" t="str">
        <f>IF(OR($B296="",F$7=""),"",IF($B296="MEANS",INDEX('1-DATA'!$1:$1048576,$A295-1,COLUMN('1-DATA'!E294)),ROUND(INDEX('1-DATA'!$1:$1048576,IF(OR($B296="STD. DEVIATION",$C$1=1),$A296,$A296+1),COLUMN('1-DATA'!E294)),IF($B296="STD. DEVIATION",2,$F$1))))</f>
        <v/>
      </c>
      <c r="G296" s="1" t="str">
        <f>IF(OR($B296="",G$7=""),"",IF($B296="MEANS",INDEX('1-DATA'!$1:$1048576,$A295-1,COLUMN('1-DATA'!F294)),ROUND(INDEX('1-DATA'!$1:$1048576,IF(OR($B296="STD. DEVIATION",$C$1=1),$A296,$A296+1),COLUMN('1-DATA'!F294)),IF($B296="STD. DEVIATION",2,$F$1))))</f>
        <v/>
      </c>
      <c r="H296" s="1" t="str">
        <f>IF(OR($B296="",H$7=""),"",IF($B296="MEANS",INDEX('1-DATA'!$1:$1048576,$A295-1,COLUMN('1-DATA'!G294)),ROUND(INDEX('1-DATA'!$1:$1048576,IF(OR($B296="STD. DEVIATION",$C$1=1),$A296,$A296+1),COLUMN('1-DATA'!G294)),IF($B296="STD. DEVIATION",2,$F$1))))</f>
        <v/>
      </c>
      <c r="I296" s="1" t="str">
        <f>IF(OR($B296="",I$7=""),"",IF($B296="MEANS",INDEX('1-DATA'!$1:$1048576,$A295-1,COLUMN('1-DATA'!H294)),ROUND(INDEX('1-DATA'!$1:$1048576,IF(OR($B296="STD. DEVIATION",$C$1=1),$A296,$A296+1),COLUMN('1-DATA'!H294)),IF($B296="STD. DEVIATION",2,$F$1))))</f>
        <v/>
      </c>
      <c r="J296" s="1" t="str">
        <f>IF(OR($B296="",J$7=""),"",IF($B296="MEANS",INDEX('1-DATA'!$1:$1048576,$A295-1,COLUMN('1-DATA'!I294)),ROUND(INDEX('1-DATA'!$1:$1048576,IF(OR($B296="STD. DEVIATION",$C$1=1),$A296,$A296+1),COLUMN('1-DATA'!I294)),IF($B296="STD. DEVIATION",2,$F$1))))</f>
        <v/>
      </c>
      <c r="K296" s="1" t="str">
        <f>IF(OR($B296="",K$7=""),"",IF($B296="MEANS",INDEX('1-DATA'!$1:$1048576,$A295-1,COLUMN('1-DATA'!J294)),ROUND(INDEX('1-DATA'!$1:$1048576,IF(OR($B296="STD. DEVIATION",$C$1=1),$A296,$A296+1),COLUMN('1-DATA'!J294)),IF($B296="STD. DEVIATION",2,$F$1))))</f>
        <v/>
      </c>
      <c r="L296" s="1" t="str">
        <f>IF(OR($B296="",L$7=""),"",IF($B296="MEANS",INDEX('1-DATA'!$1:$1048576,$A295-1,COLUMN('1-DATA'!K294)),ROUND(INDEX('1-DATA'!$1:$1048576,IF(OR($B296="STD. DEVIATION",$C$1=1),$A296,$A296+1),COLUMN('1-DATA'!K294)),IF($B296="STD. DEVIATION",2,$F$1))))</f>
        <v/>
      </c>
      <c r="M296" s="1" t="str">
        <f>IF(OR($B296="",M$7=""),"",IF($B296="MEANS",INDEX('1-DATA'!$1:$1048576,$A295-1,COLUMN('1-DATA'!L294)),ROUND(INDEX('1-DATA'!$1:$1048576,IF(OR($B296="STD. DEVIATION",$C$1=1),$A296,$A296+1),COLUMN('1-DATA'!L294)),IF($B296="STD. DEVIATION",2,$F$1))))</f>
        <v/>
      </c>
      <c r="N296" s="1" t="str">
        <f>IF(OR($B296="",N$7=""),"",IF($B296="MEANS",INDEX('1-DATA'!$1:$1048576,$A295-1,COLUMN('1-DATA'!M294)),ROUND(INDEX('1-DATA'!$1:$1048576,IF(OR($B296="STD. DEVIATION",$C$1=1),$A296,$A296+1),COLUMN('1-DATA'!M294)),IF($B296="STD. DEVIATION",2,$F$1))))</f>
        <v/>
      </c>
      <c r="O296" s="1" t="str">
        <f>IF(OR($B296="",O$7=""),"",IF($B296="MEANS",INDEX('1-DATA'!$1:$1048576,$A295-1,COLUMN('1-DATA'!N294)),ROUND(INDEX('1-DATA'!$1:$1048576,IF(OR($B296="STD. DEVIATION",$C$1=1),$A296,$A296+1),COLUMN('1-DATA'!N294)),IF($B296="STD. DEVIATION",2,$F$1))))</f>
        <v/>
      </c>
      <c r="P296" s="1" t="str">
        <f>IF(OR($B296="",P$7=""),"",IF($B296="MEANS",INDEX('1-DATA'!$1:$1048576,$A295-1,COLUMN('1-DATA'!O294)),ROUND(INDEX('1-DATA'!$1:$1048576,IF(OR($B296="STD. DEVIATION",$C$1=1),$A296,$A296+1),COLUMN('1-DATA'!O294)),IF($B296="STD. DEVIATION",2,$F$1))))</f>
        <v/>
      </c>
      <c r="Q296" s="1" t="str">
        <f>IF(OR($B296="",Q$7=""),"",IF($B296="MEANS",INDEX('1-DATA'!$1:$1048576,$A295-1,COLUMN('1-DATA'!P294)),ROUND(INDEX('1-DATA'!$1:$1048576,IF(OR($B296="STD. DEVIATION",$C$1=1),$A296,$A296+1),COLUMN('1-DATA'!P294)),IF($B296="STD. DEVIATION",2,$F$1))))</f>
        <v/>
      </c>
      <c r="R296" s="1" t="str">
        <f>IF(OR($B296="",R$7=""),"",IF($B296="MEANS",INDEX('1-DATA'!$1:$1048576,$A295-1,COLUMN('1-DATA'!Q294)),ROUND(INDEX('1-DATA'!$1:$1048576,IF(OR($B296="STD. DEVIATION",$C$1=1),$A296,$A296+1),COLUMN('1-DATA'!Q294)),IF($B296="STD. DEVIATION",2,$F$1))))</f>
        <v/>
      </c>
      <c r="S296" s="1" t="str">
        <f>IF(OR($B296="",S$7=""),"",IF($B296="MEANS",INDEX('1-DATA'!$1:$1048576,$A295-1,COLUMN('1-DATA'!R294)),ROUND(INDEX('1-DATA'!$1:$1048576,IF(OR($B296="STD. DEVIATION",$C$1=1),$A296,$A296+1),COLUMN('1-DATA'!R294)),IF($B296="STD. DEVIATION",2,$F$1))))</f>
        <v/>
      </c>
      <c r="T296" s="1" t="str">
        <f>IF(OR($B296="",T$7=""),"",IF($B296="MEANS",INDEX('1-DATA'!$1:$1048576,$A295-1,COLUMN('1-DATA'!S294)),ROUND(INDEX('1-DATA'!$1:$1048576,IF(OR($B296="STD. DEVIATION",$C$1=1),$A296,$A296+1),COLUMN('1-DATA'!S294)),IF($B296="STD. DEVIATION",2,$F$1))))</f>
        <v/>
      </c>
      <c r="U296" s="1" t="str">
        <f>IF(OR($B296="",U$7=""),"",IF($B296="MEANS",INDEX('1-DATA'!$1:$1048576,$A295-1,COLUMN('1-DATA'!T294)),ROUND(INDEX('1-DATA'!$1:$1048576,IF(OR($B296="STD. DEVIATION",$C$1=1),$A296,$A296+1),COLUMN('1-DATA'!T294)),IF($B296="STD. DEVIATION",2,$F$1))))</f>
        <v/>
      </c>
      <c r="V296" s="1" t="str">
        <f>IF(OR($B296="",V$7=""),"",IF($B296="MEANS",INDEX('1-DATA'!$1:$1048576,$A295-1,COLUMN('1-DATA'!U294)),ROUND(INDEX('1-DATA'!$1:$1048576,IF(OR($B296="STD. DEVIATION",$C$1=1),$A296,$A296+1),COLUMN('1-DATA'!U294)),IF($B296="STD. DEVIATION",2,$F$1))))</f>
        <v/>
      </c>
      <c r="W296" s="1" t="str">
        <f>IF(OR($B296="",W$7=""),"",IF($B296="MEANS",INDEX('1-DATA'!$1:$1048576,$A295-1,COLUMN('1-DATA'!V294)),ROUND(INDEX('1-DATA'!$1:$1048576,IF(OR($B296="STD. DEVIATION",$C$1=1),$A296,$A296+1),COLUMN('1-DATA'!V294)),IF($B296="STD. DEVIATION",2,$F$1))))</f>
        <v/>
      </c>
      <c r="X296" s="1" t="str">
        <f>IF(OR($B296="",X$7=""),"",IF($B296="MEANS",INDEX('1-DATA'!$1:$1048576,$A295-1,COLUMN('1-DATA'!W294)),ROUND(INDEX('1-DATA'!$1:$1048576,IF(OR($B296="STD. DEVIATION",$C$1=1),$A296,$A296+1),COLUMN('1-DATA'!W294)),IF($B296="STD. DEVIATION",2,$F$1))))</f>
        <v/>
      </c>
      <c r="Y296" s="1" t="str">
        <f>IF(OR($B296="",Y$7=""),"",IF($B296="MEANS",INDEX('1-DATA'!$1:$1048576,$A295-1,COLUMN('1-DATA'!X294)),ROUND(INDEX('1-DATA'!$1:$1048576,IF(OR($B296="STD. DEVIATION",$C$1=1),$A296,$A296+1),COLUMN('1-DATA'!X294)),IF($B296="STD. DEVIATION",2,$F$1))))</f>
        <v/>
      </c>
      <c r="Z296" s="1" t="str">
        <f>IF(OR($B296="",Z$7=""),"",IF($B296="MEANS",INDEX('1-DATA'!$1:$1048576,$A295-1,COLUMN('1-DATA'!Y294)),ROUND(INDEX('1-DATA'!$1:$1048576,IF(OR($B296="STD. DEVIATION",$C$1=1),$A296,$A296+1),COLUMN('1-DATA'!Y294)),IF($B296="STD. DEVIATION",2,$F$1))))</f>
        <v/>
      </c>
      <c r="AA296" s="1" t="str">
        <f>IF(OR($B296="",AA$7=""),"",IF($B296="MEANS",INDEX('1-DATA'!$1:$1048576,$A295-1,COLUMN('1-DATA'!Z294)),ROUND(INDEX('1-DATA'!$1:$1048576,IF(OR($B296="STD. DEVIATION",$C$1=1),$A296,$A296+1),COLUMN('1-DATA'!Z294)),IF($B296="STD. DEVIATION",2,$F$1))))</f>
        <v/>
      </c>
      <c r="AB296" s="1" t="str">
        <f>IF(OR($B296="",AB$7=""),"",IF($B296="MEANS",INDEX('1-DATA'!$1:$1048576,$A295-1,COLUMN('1-DATA'!AA294)),ROUND(INDEX('1-DATA'!$1:$1048576,IF(OR($B296="STD. DEVIATION",$C$1=1),$A296,$A296+1),COLUMN('1-DATA'!AA294)),IF($B296="STD. DEVIATION",2,$F$1))))</f>
        <v/>
      </c>
      <c r="AC296" s="1" t="str">
        <f>IF(OR($B296="",AC$7=""),"",IF($B296="MEANS",INDEX('1-DATA'!$1:$1048576,$A295-1,COLUMN('1-DATA'!AB294)),ROUND(INDEX('1-DATA'!$1:$1048576,IF(OR($B296="STD. DEVIATION",$C$1=1),$A296,$A296+1),COLUMN('1-DATA'!AB294)),IF($B296="STD. DEVIATION",2,$F$1))))</f>
        <v/>
      </c>
      <c r="AD296" s="1" t="str">
        <f>IF(OR($B296="",AD$7=""),"",IF($B296="MEANS",INDEX('1-DATA'!$1:$1048576,$A295-1,COLUMN('1-DATA'!AC294)),ROUND(INDEX('1-DATA'!$1:$1048576,IF(OR($B296="STD. DEVIATION",$C$1=1),$A296,$A296+1),COLUMN('1-DATA'!AC294)),IF($B296="STD. DEVIATION",2,$F$1))))</f>
        <v/>
      </c>
      <c r="AE296" s="1" t="str">
        <f>IF(OR($B296="",AE$7=""),"",IF($B296="MEANS",INDEX('1-DATA'!$1:$1048576,$A295-1,COLUMN('1-DATA'!AD294)),ROUND(INDEX('1-DATA'!$1:$1048576,IF(OR($B296="STD. DEVIATION",$C$1=1),$A296,$A296+1),COLUMN('1-DATA'!AD294)),IF($B296="STD. DEVIATION",2,$F$1))))</f>
        <v/>
      </c>
      <c r="AF296" s="1" t="str">
        <f>IF(OR($B296="",AF$7=""),"",IF($B296="MEANS",INDEX('1-DATA'!$1:$1048576,$A295-1,COLUMN('1-DATA'!AE294)),ROUND(INDEX('1-DATA'!$1:$1048576,IF(OR($B296="STD. DEVIATION",$C$1=1),$A296,$A296+1),COLUMN('1-DATA'!AE294)),IF($B296="STD. DEVIATION",2,$F$1))))</f>
        <v/>
      </c>
      <c r="AG296" s="1" t="str">
        <f>IF(OR($B296="",AG$7=""),"",IF($B296="MEANS",INDEX('1-DATA'!$1:$1048576,$A295-1,COLUMN('1-DATA'!AF294)),ROUND(INDEX('1-DATA'!$1:$1048576,IF(OR($B296="STD. DEVIATION",$C$1=1),$A296,$A296+1),COLUMN('1-DATA'!AF294)),IF($B296="STD. DEVIATION",2,$F$1))))</f>
        <v/>
      </c>
      <c r="AH296" s="1" t="str">
        <f>IF(OR($B296="",AH$7=""),"",IF($B296="MEANS",INDEX('1-DATA'!$1:$1048576,$A295-1,COLUMN('1-DATA'!AG294)),ROUND(INDEX('1-DATA'!$1:$1048576,IF(OR($B296="STD. DEVIATION",$C$1=1),$A296,$A296+1),COLUMN('1-DATA'!AG294)),IF($B296="STD. DEVIATION",2,$F$1))))</f>
        <v/>
      </c>
      <c r="AI296" s="1" t="str">
        <f>IF(OR($B296="",AI$7=""),"",IF($B296="MEANS",INDEX('1-DATA'!$1:$1048576,$A295-1,COLUMN('1-DATA'!AH294)),ROUND(INDEX('1-DATA'!$1:$1048576,IF(OR($B296="STD. DEVIATION",$C$1=1),$A296,$A296+1),COLUMN('1-DATA'!AH294)),IF($B296="STD. DEVIATION",2,$F$1))))</f>
        <v/>
      </c>
      <c r="AJ296" s="1" t="str">
        <f>IF(OR($B296="",AJ$7=""),"",IF($B296="MEANS",INDEX('1-DATA'!$1:$1048576,$A295-1,COLUMN('1-DATA'!AI294)),ROUND(INDEX('1-DATA'!$1:$1048576,IF(OR($B296="STD. DEVIATION",$C$1=1),$A296,$A296+1),COLUMN('1-DATA'!AI294)),IF($B296="STD. DEVIATION",2,$F$1))))</f>
        <v/>
      </c>
      <c r="AK296" s="1" t="str">
        <f>IF(OR($B296="",AK$7=""),"",IF($B296="MEANS",INDEX('1-DATA'!$1:$1048576,$A295-1,COLUMN('1-DATA'!AJ294)),ROUND(INDEX('1-DATA'!$1:$1048576,IF(OR($B296="STD. DEVIATION",$C$1=1),$A296,$A296+1),COLUMN('1-DATA'!AJ294)),IF($B296="STD. DEVIATION",2,$F$1))))</f>
        <v/>
      </c>
      <c r="AL296" s="1" t="str">
        <f>IF(OR($B296="",AL$7=""),"",IF($B296="MEANS",INDEX('1-DATA'!$1:$1048576,$A295-1,COLUMN('1-DATA'!AK294)),ROUND(INDEX('1-DATA'!$1:$1048576,IF(OR($B296="STD. DEVIATION",$C$1=1),$A296,$A296+1),COLUMN('1-DATA'!AK294)),IF($B296="STD. DEVIATION",2,$F$1))))</f>
        <v/>
      </c>
      <c r="AM296" s="1" t="str">
        <f>IF(OR($B296="",AM$7=""),"",IF($B296="MEANS",INDEX('1-DATA'!$1:$1048576,$A295-1,COLUMN('1-DATA'!AL294)),ROUND(INDEX('1-DATA'!$1:$1048576,IF(OR($B296="STD. DEVIATION",$C$1=1),$A296,$A296+1),COLUMN('1-DATA'!AL294)),IF($B296="STD. DEVIATION",2,$F$1))))</f>
        <v/>
      </c>
      <c r="AN296" s="1" t="str">
        <f>IF(OR($B296="",AN$7=""),"",IF($B296="MEANS",INDEX('1-DATA'!$1:$1048576,$A295-1,COLUMN('1-DATA'!AM294)),ROUND(INDEX('1-DATA'!$1:$1048576,IF(OR($B296="STD. DEVIATION",$C$1=1),$A296,$A296+1),COLUMN('1-DATA'!AM294)),IF($B296="STD. DEVIATION",2,$F$1))))</f>
        <v/>
      </c>
      <c r="AO296" s="1" t="str">
        <f>IF(OR($B296="",AO$7=""),"",IF($B296="MEANS",INDEX('1-DATA'!$1:$1048576,$A295-1,COLUMN('1-DATA'!AN294)),ROUND(INDEX('1-DATA'!$1:$1048576,IF(OR($B296="STD. DEVIATION",$C$1=1),$A296,$A296+1),COLUMN('1-DATA'!AN294)),IF($B296="STD. DEVIATION",2,$F$1))))</f>
        <v/>
      </c>
      <c r="AP296" s="1" t="str">
        <f>IF(OR($B296="",AP$7=""),"",IF($B296="MEANS",INDEX('1-DATA'!$1:$1048576,$A295-1,COLUMN('1-DATA'!AO294)),ROUND(INDEX('1-DATA'!$1:$1048576,IF(OR($B296="STD. DEVIATION",$C$1=1),$A296,$A296+1),COLUMN('1-DATA'!AO294)),IF($B296="STD. DEVIATION",2,$F$1))))</f>
        <v/>
      </c>
      <c r="AQ296" s="1" t="str">
        <f>IF(OR($B296="",AQ$7=""),"",IF($B296="MEANS",INDEX('1-DATA'!$1:$1048576,$A295-1,COLUMN('1-DATA'!AP294)),ROUND(INDEX('1-DATA'!$1:$1048576,IF(OR($B296="STD. DEVIATION",$C$1=1),$A296,$A296+1),COLUMN('1-DATA'!AP294)),IF($B296="STD. DEVIATION",2,$F$1))))</f>
        <v/>
      </c>
      <c r="AR296" s="1" t="str">
        <f>IF(OR($B296="",AR$7=""),"",IF($B296="MEANS",INDEX('1-DATA'!$1:$1048576,$A295-1,COLUMN('1-DATA'!AQ294)),ROUND(INDEX('1-DATA'!$1:$1048576,IF(OR($B296="STD. DEVIATION",$C$1=1),$A296,$A296+1),COLUMN('1-DATA'!AQ294)),IF($B296="STD. DEVIATION",2,$F$1))))</f>
        <v/>
      </c>
      <c r="AS296" s="1" t="str">
        <f>IF(OR($B296="",AS$7=""),"",IF($B296="MEANS",INDEX('1-DATA'!$1:$1048576,$A295-1,COLUMN('1-DATA'!AR294)),ROUND(INDEX('1-DATA'!$1:$1048576,IF(OR($B296="STD. DEVIATION",$C$1=1),$A296,$A296+1),COLUMN('1-DATA'!AR294)),IF($B296="STD. DEVIATION",2,$F$1))))</f>
        <v/>
      </c>
      <c r="AT296" s="1" t="str">
        <f>IF(OR($B296="",AT$7=""),"",IF($B296="MEANS",INDEX('1-DATA'!$1:$1048576,$A295-1,COLUMN('1-DATA'!AS294)),ROUND(INDEX('1-DATA'!$1:$1048576,IF(OR($B296="STD. DEVIATION",$C$1=1),$A296,$A296+1),COLUMN('1-DATA'!AS294)),IF($B296="STD. DEVIATION",2,$F$1))))</f>
        <v/>
      </c>
      <c r="AU296" s="1" t="str">
        <f>IF(OR($B296="",AU$7=""),"",IF($B296="MEANS",INDEX('1-DATA'!$1:$1048576,$A295-1,COLUMN('1-DATA'!AT294)),ROUND(INDEX('1-DATA'!$1:$1048576,IF(OR($B296="STD. DEVIATION",$C$1=1),$A296,$A296+1),COLUMN('1-DATA'!AT294)),IF($B296="STD. DEVIATION",2,$F$1))))</f>
        <v/>
      </c>
      <c r="AV296" s="1" t="str">
        <f>IF(OR($B296="",AV$7=""),"",IF($B296="MEANS",INDEX('1-DATA'!$1:$1048576,$A295-1,COLUMN('1-DATA'!AU294)),ROUND(INDEX('1-DATA'!$1:$1048576,IF(OR($B296="STD. DEVIATION",$C$1=1),$A296,$A296+1),COLUMN('1-DATA'!AU294)),IF($B296="STD. DEVIATION",2,$F$1))))</f>
        <v/>
      </c>
      <c r="AW296" s="1" t="str">
        <f>IF(OR($B296="",AW$7=""),"",IF($B296="MEANS",INDEX('1-DATA'!$1:$1048576,$A295-1,COLUMN('1-DATA'!AV294)),ROUND(INDEX('1-DATA'!$1:$1048576,IF(OR($B296="STD. DEVIATION",$C$1=1),$A296,$A296+1),COLUMN('1-DATA'!AV294)),IF($B296="STD. DEVIATION",2,$F$1))))</f>
        <v/>
      </c>
      <c r="AX296" s="1" t="str">
        <f>IF(OR($B296="",AX$7=""),"",IF($B296="MEANS",INDEX('1-DATA'!$1:$1048576,$A295-1,COLUMN('1-DATA'!AW294)),ROUND(INDEX('1-DATA'!$1:$1048576,IF(OR($B296="STD. DEVIATION",$C$1=1),$A296,$A296+1),COLUMN('1-DATA'!AW294)),IF($B296="STD. DEVIATION",2,$F$1))))</f>
        <v/>
      </c>
      <c r="AY296" s="1" t="str">
        <f>IF(OR($B296="",AY$7=""),"",IF($B296="MEANS",INDEX('1-DATA'!$1:$1048576,$A295-1,COLUMN('1-DATA'!AX294)),ROUND(INDEX('1-DATA'!$1:$1048576,IF(OR($B296="STD. DEVIATION",$C$1=1),$A296,$A296+1),COLUMN('1-DATA'!AX294)),IF($B296="STD. DEVIATION",2,$F$1))))</f>
        <v/>
      </c>
      <c r="AZ296" s="1" t="str">
        <f>IF(OR($B296="",AZ$7=""),"",IF($B296="MEANS",INDEX('1-DATA'!$1:$1048576,$A295-1,COLUMN('1-DATA'!AY294)),ROUND(INDEX('1-DATA'!$1:$1048576,IF(OR($B296="STD. DEVIATION",$C$1=1),$A296,$A296+1),COLUMN('1-DATA'!AY294)),IF($B296="STD. DEVIATION",2,$F$1))))</f>
        <v/>
      </c>
    </row>
    <row r="297" spans="1:52" x14ac:dyDescent="0.25">
      <c r="A297" s="11">
        <f t="shared" si="5"/>
        <v>877</v>
      </c>
      <c r="B297" s="1" t="str">
        <f>IF(B296="STD. DEVIATION",INDEX('1-DATA'!$1:$1048576,$A296-1,1),IF(INDEX('1-DATA'!$1:$1048576,$A297,1)&lt;&gt;"",INDEX('1-DATA'!$1:$1048576,$A297,1),""))</f>
        <v/>
      </c>
      <c r="C297" s="1" t="str">
        <f>IF(OR($B297="",C$7=""),"",IF($B297="MEANS",INDEX('1-DATA'!$1:$1048576,$A296-1,COLUMN('1-DATA'!B295)),ROUND(INDEX('1-DATA'!$1:$1048576,IF(OR($B297="STD. DEVIATION",$C$1=1),$A297,$A297+1),COLUMN('1-DATA'!B295)),IF($B297="STD. DEVIATION",2,$F$1))))</f>
        <v/>
      </c>
      <c r="D297" s="1" t="str">
        <f>IF(OR($B297="",D$7=""),"",IF($B297="MEANS",INDEX('1-DATA'!$1:$1048576,$A296-1,COLUMN('1-DATA'!C295)),ROUND(INDEX('1-DATA'!$1:$1048576,IF(OR($B297="STD. DEVIATION",$C$1=1),$A297,$A297+1),COLUMN('1-DATA'!C295)),IF($B297="STD. DEVIATION",2,$F$1))))</f>
        <v/>
      </c>
      <c r="E297" s="1" t="str">
        <f>IF(OR($B297="",E$7=""),"",IF($B297="MEANS",INDEX('1-DATA'!$1:$1048576,$A296-1,COLUMN('1-DATA'!D295)),ROUND(INDEX('1-DATA'!$1:$1048576,IF(OR($B297="STD. DEVIATION",$C$1=1),$A297,$A297+1),COLUMN('1-DATA'!D295)),IF($B297="STD. DEVIATION",2,$F$1))))</f>
        <v/>
      </c>
      <c r="F297" s="1" t="str">
        <f>IF(OR($B297="",F$7=""),"",IF($B297="MEANS",INDEX('1-DATA'!$1:$1048576,$A296-1,COLUMN('1-DATA'!E295)),ROUND(INDEX('1-DATA'!$1:$1048576,IF(OR($B297="STD. DEVIATION",$C$1=1),$A297,$A297+1),COLUMN('1-DATA'!E295)),IF($B297="STD. DEVIATION",2,$F$1))))</f>
        <v/>
      </c>
      <c r="G297" s="1" t="str">
        <f>IF(OR($B297="",G$7=""),"",IF($B297="MEANS",INDEX('1-DATA'!$1:$1048576,$A296-1,COLUMN('1-DATA'!F295)),ROUND(INDEX('1-DATA'!$1:$1048576,IF(OR($B297="STD. DEVIATION",$C$1=1),$A297,$A297+1),COLUMN('1-DATA'!F295)),IF($B297="STD. DEVIATION",2,$F$1))))</f>
        <v/>
      </c>
      <c r="H297" s="1" t="str">
        <f>IF(OR($B297="",H$7=""),"",IF($B297="MEANS",INDEX('1-DATA'!$1:$1048576,$A296-1,COLUMN('1-DATA'!G295)),ROUND(INDEX('1-DATA'!$1:$1048576,IF(OR($B297="STD. DEVIATION",$C$1=1),$A297,$A297+1),COLUMN('1-DATA'!G295)),IF($B297="STD. DEVIATION",2,$F$1))))</f>
        <v/>
      </c>
      <c r="I297" s="1" t="str">
        <f>IF(OR($B297="",I$7=""),"",IF($B297="MEANS",INDEX('1-DATA'!$1:$1048576,$A296-1,COLUMN('1-DATA'!H295)),ROUND(INDEX('1-DATA'!$1:$1048576,IF(OR($B297="STD. DEVIATION",$C$1=1),$A297,$A297+1),COLUMN('1-DATA'!H295)),IF($B297="STD. DEVIATION",2,$F$1))))</f>
        <v/>
      </c>
      <c r="J297" s="1" t="str">
        <f>IF(OR($B297="",J$7=""),"",IF($B297="MEANS",INDEX('1-DATA'!$1:$1048576,$A296-1,COLUMN('1-DATA'!I295)),ROUND(INDEX('1-DATA'!$1:$1048576,IF(OR($B297="STD. DEVIATION",$C$1=1),$A297,$A297+1),COLUMN('1-DATA'!I295)),IF($B297="STD. DEVIATION",2,$F$1))))</f>
        <v/>
      </c>
      <c r="K297" s="1" t="str">
        <f>IF(OR($B297="",K$7=""),"",IF($B297="MEANS",INDEX('1-DATA'!$1:$1048576,$A296-1,COLUMN('1-DATA'!J295)),ROUND(INDEX('1-DATA'!$1:$1048576,IF(OR($B297="STD. DEVIATION",$C$1=1),$A297,$A297+1),COLUMN('1-DATA'!J295)),IF($B297="STD. DEVIATION",2,$F$1))))</f>
        <v/>
      </c>
      <c r="L297" s="1" t="str">
        <f>IF(OR($B297="",L$7=""),"",IF($B297="MEANS",INDEX('1-DATA'!$1:$1048576,$A296-1,COLUMN('1-DATA'!K295)),ROUND(INDEX('1-DATA'!$1:$1048576,IF(OR($B297="STD. DEVIATION",$C$1=1),$A297,$A297+1),COLUMN('1-DATA'!K295)),IF($B297="STD. DEVIATION",2,$F$1))))</f>
        <v/>
      </c>
      <c r="M297" s="1" t="str">
        <f>IF(OR($B297="",M$7=""),"",IF($B297="MEANS",INDEX('1-DATA'!$1:$1048576,$A296-1,COLUMN('1-DATA'!L295)),ROUND(INDEX('1-DATA'!$1:$1048576,IF(OR($B297="STD. DEVIATION",$C$1=1),$A297,$A297+1),COLUMN('1-DATA'!L295)),IF($B297="STD. DEVIATION",2,$F$1))))</f>
        <v/>
      </c>
      <c r="N297" s="1" t="str">
        <f>IF(OR($B297="",N$7=""),"",IF($B297="MEANS",INDEX('1-DATA'!$1:$1048576,$A296-1,COLUMN('1-DATA'!M295)),ROUND(INDEX('1-DATA'!$1:$1048576,IF(OR($B297="STD. DEVIATION",$C$1=1),$A297,$A297+1),COLUMN('1-DATA'!M295)),IF($B297="STD. DEVIATION",2,$F$1))))</f>
        <v/>
      </c>
      <c r="O297" s="1" t="str">
        <f>IF(OR($B297="",O$7=""),"",IF($B297="MEANS",INDEX('1-DATA'!$1:$1048576,$A296-1,COLUMN('1-DATA'!N295)),ROUND(INDEX('1-DATA'!$1:$1048576,IF(OR($B297="STD. DEVIATION",$C$1=1),$A297,$A297+1),COLUMN('1-DATA'!N295)),IF($B297="STD. DEVIATION",2,$F$1))))</f>
        <v/>
      </c>
      <c r="P297" s="1" t="str">
        <f>IF(OR($B297="",P$7=""),"",IF($B297="MEANS",INDEX('1-DATA'!$1:$1048576,$A296-1,COLUMN('1-DATA'!O295)),ROUND(INDEX('1-DATA'!$1:$1048576,IF(OR($B297="STD. DEVIATION",$C$1=1),$A297,$A297+1),COLUMN('1-DATA'!O295)),IF($B297="STD. DEVIATION",2,$F$1))))</f>
        <v/>
      </c>
      <c r="Q297" s="1" t="str">
        <f>IF(OR($B297="",Q$7=""),"",IF($B297="MEANS",INDEX('1-DATA'!$1:$1048576,$A296-1,COLUMN('1-DATA'!P295)),ROUND(INDEX('1-DATA'!$1:$1048576,IF(OR($B297="STD. DEVIATION",$C$1=1),$A297,$A297+1),COLUMN('1-DATA'!P295)),IF($B297="STD. DEVIATION",2,$F$1))))</f>
        <v/>
      </c>
      <c r="R297" s="1" t="str">
        <f>IF(OR($B297="",R$7=""),"",IF($B297="MEANS",INDEX('1-DATA'!$1:$1048576,$A296-1,COLUMN('1-DATA'!Q295)),ROUND(INDEX('1-DATA'!$1:$1048576,IF(OR($B297="STD. DEVIATION",$C$1=1),$A297,$A297+1),COLUMN('1-DATA'!Q295)),IF($B297="STD. DEVIATION",2,$F$1))))</f>
        <v/>
      </c>
      <c r="S297" s="1" t="str">
        <f>IF(OR($B297="",S$7=""),"",IF($B297="MEANS",INDEX('1-DATA'!$1:$1048576,$A296-1,COLUMN('1-DATA'!R295)),ROUND(INDEX('1-DATA'!$1:$1048576,IF(OR($B297="STD. DEVIATION",$C$1=1),$A297,$A297+1),COLUMN('1-DATA'!R295)),IF($B297="STD. DEVIATION",2,$F$1))))</f>
        <v/>
      </c>
      <c r="T297" s="1" t="str">
        <f>IF(OR($B297="",T$7=""),"",IF($B297="MEANS",INDEX('1-DATA'!$1:$1048576,$A296-1,COLUMN('1-DATA'!S295)),ROUND(INDEX('1-DATA'!$1:$1048576,IF(OR($B297="STD. DEVIATION",$C$1=1),$A297,$A297+1),COLUMN('1-DATA'!S295)),IF($B297="STD. DEVIATION",2,$F$1))))</f>
        <v/>
      </c>
      <c r="U297" s="1" t="str">
        <f>IF(OR($B297="",U$7=""),"",IF($B297="MEANS",INDEX('1-DATA'!$1:$1048576,$A296-1,COLUMN('1-DATA'!T295)),ROUND(INDEX('1-DATA'!$1:$1048576,IF(OR($B297="STD. DEVIATION",$C$1=1),$A297,$A297+1),COLUMN('1-DATA'!T295)),IF($B297="STD. DEVIATION",2,$F$1))))</f>
        <v/>
      </c>
      <c r="V297" s="1" t="str">
        <f>IF(OR($B297="",V$7=""),"",IF($B297="MEANS",INDEX('1-DATA'!$1:$1048576,$A296-1,COLUMN('1-DATA'!U295)),ROUND(INDEX('1-DATA'!$1:$1048576,IF(OR($B297="STD. DEVIATION",$C$1=1),$A297,$A297+1),COLUMN('1-DATA'!U295)),IF($B297="STD. DEVIATION",2,$F$1))))</f>
        <v/>
      </c>
      <c r="W297" s="1" t="str">
        <f>IF(OR($B297="",W$7=""),"",IF($B297="MEANS",INDEX('1-DATA'!$1:$1048576,$A296-1,COLUMN('1-DATA'!V295)),ROUND(INDEX('1-DATA'!$1:$1048576,IF(OR($B297="STD. DEVIATION",$C$1=1),$A297,$A297+1),COLUMN('1-DATA'!V295)),IF($B297="STD. DEVIATION",2,$F$1))))</f>
        <v/>
      </c>
      <c r="X297" s="1" t="str">
        <f>IF(OR($B297="",X$7=""),"",IF($B297="MEANS",INDEX('1-DATA'!$1:$1048576,$A296-1,COLUMN('1-DATA'!W295)),ROUND(INDEX('1-DATA'!$1:$1048576,IF(OR($B297="STD. DEVIATION",$C$1=1),$A297,$A297+1),COLUMN('1-DATA'!W295)),IF($B297="STD. DEVIATION",2,$F$1))))</f>
        <v/>
      </c>
      <c r="Y297" s="1" t="str">
        <f>IF(OR($B297="",Y$7=""),"",IF($B297="MEANS",INDEX('1-DATA'!$1:$1048576,$A296-1,COLUMN('1-DATA'!X295)),ROUND(INDEX('1-DATA'!$1:$1048576,IF(OR($B297="STD. DEVIATION",$C$1=1),$A297,$A297+1),COLUMN('1-DATA'!X295)),IF($B297="STD. DEVIATION",2,$F$1))))</f>
        <v/>
      </c>
      <c r="Z297" s="1" t="str">
        <f>IF(OR($B297="",Z$7=""),"",IF($B297="MEANS",INDEX('1-DATA'!$1:$1048576,$A296-1,COLUMN('1-DATA'!Y295)),ROUND(INDEX('1-DATA'!$1:$1048576,IF(OR($B297="STD. DEVIATION",$C$1=1),$A297,$A297+1),COLUMN('1-DATA'!Y295)),IF($B297="STD. DEVIATION",2,$F$1))))</f>
        <v/>
      </c>
      <c r="AA297" s="1" t="str">
        <f>IF(OR($B297="",AA$7=""),"",IF($B297="MEANS",INDEX('1-DATA'!$1:$1048576,$A296-1,COLUMN('1-DATA'!Z295)),ROUND(INDEX('1-DATA'!$1:$1048576,IF(OR($B297="STD. DEVIATION",$C$1=1),$A297,$A297+1),COLUMN('1-DATA'!Z295)),IF($B297="STD. DEVIATION",2,$F$1))))</f>
        <v/>
      </c>
      <c r="AB297" s="1" t="str">
        <f>IF(OR($B297="",AB$7=""),"",IF($B297="MEANS",INDEX('1-DATA'!$1:$1048576,$A296-1,COLUMN('1-DATA'!AA295)),ROUND(INDEX('1-DATA'!$1:$1048576,IF(OR($B297="STD. DEVIATION",$C$1=1),$A297,$A297+1),COLUMN('1-DATA'!AA295)),IF($B297="STD. DEVIATION",2,$F$1))))</f>
        <v/>
      </c>
      <c r="AC297" s="1" t="str">
        <f>IF(OR($B297="",AC$7=""),"",IF($B297="MEANS",INDEX('1-DATA'!$1:$1048576,$A296-1,COLUMN('1-DATA'!AB295)),ROUND(INDEX('1-DATA'!$1:$1048576,IF(OR($B297="STD. DEVIATION",$C$1=1),$A297,$A297+1),COLUMN('1-DATA'!AB295)),IF($B297="STD. DEVIATION",2,$F$1))))</f>
        <v/>
      </c>
      <c r="AD297" s="1" t="str">
        <f>IF(OR($B297="",AD$7=""),"",IF($B297="MEANS",INDEX('1-DATA'!$1:$1048576,$A296-1,COLUMN('1-DATA'!AC295)),ROUND(INDEX('1-DATA'!$1:$1048576,IF(OR($B297="STD. DEVIATION",$C$1=1),$A297,$A297+1),COLUMN('1-DATA'!AC295)),IF($B297="STD. DEVIATION",2,$F$1))))</f>
        <v/>
      </c>
      <c r="AE297" s="1" t="str">
        <f>IF(OR($B297="",AE$7=""),"",IF($B297="MEANS",INDEX('1-DATA'!$1:$1048576,$A296-1,COLUMN('1-DATA'!AD295)),ROUND(INDEX('1-DATA'!$1:$1048576,IF(OR($B297="STD. DEVIATION",$C$1=1),$A297,$A297+1),COLUMN('1-DATA'!AD295)),IF($B297="STD. DEVIATION",2,$F$1))))</f>
        <v/>
      </c>
      <c r="AF297" s="1" t="str">
        <f>IF(OR($B297="",AF$7=""),"",IF($B297="MEANS",INDEX('1-DATA'!$1:$1048576,$A296-1,COLUMN('1-DATA'!AE295)),ROUND(INDEX('1-DATA'!$1:$1048576,IF(OR($B297="STD. DEVIATION",$C$1=1),$A297,$A297+1),COLUMN('1-DATA'!AE295)),IF($B297="STD. DEVIATION",2,$F$1))))</f>
        <v/>
      </c>
      <c r="AG297" s="1" t="str">
        <f>IF(OR($B297="",AG$7=""),"",IF($B297="MEANS",INDEX('1-DATA'!$1:$1048576,$A296-1,COLUMN('1-DATA'!AF295)),ROUND(INDEX('1-DATA'!$1:$1048576,IF(OR($B297="STD. DEVIATION",$C$1=1),$A297,$A297+1),COLUMN('1-DATA'!AF295)),IF($B297="STD. DEVIATION",2,$F$1))))</f>
        <v/>
      </c>
      <c r="AH297" s="1" t="str">
        <f>IF(OR($B297="",AH$7=""),"",IF($B297="MEANS",INDEX('1-DATA'!$1:$1048576,$A296-1,COLUMN('1-DATA'!AG295)),ROUND(INDEX('1-DATA'!$1:$1048576,IF(OR($B297="STD. DEVIATION",$C$1=1),$A297,$A297+1),COLUMN('1-DATA'!AG295)),IF($B297="STD. DEVIATION",2,$F$1))))</f>
        <v/>
      </c>
      <c r="AI297" s="1" t="str">
        <f>IF(OR($B297="",AI$7=""),"",IF($B297="MEANS",INDEX('1-DATA'!$1:$1048576,$A296-1,COLUMN('1-DATA'!AH295)),ROUND(INDEX('1-DATA'!$1:$1048576,IF(OR($B297="STD. DEVIATION",$C$1=1),$A297,$A297+1),COLUMN('1-DATA'!AH295)),IF($B297="STD. DEVIATION",2,$F$1))))</f>
        <v/>
      </c>
      <c r="AJ297" s="1" t="str">
        <f>IF(OR($B297="",AJ$7=""),"",IF($B297="MEANS",INDEX('1-DATA'!$1:$1048576,$A296-1,COLUMN('1-DATA'!AI295)),ROUND(INDEX('1-DATA'!$1:$1048576,IF(OR($B297="STD. DEVIATION",$C$1=1),$A297,$A297+1),COLUMN('1-DATA'!AI295)),IF($B297="STD. DEVIATION",2,$F$1))))</f>
        <v/>
      </c>
      <c r="AK297" s="1" t="str">
        <f>IF(OR($B297="",AK$7=""),"",IF($B297="MEANS",INDEX('1-DATA'!$1:$1048576,$A296-1,COLUMN('1-DATA'!AJ295)),ROUND(INDEX('1-DATA'!$1:$1048576,IF(OR($B297="STD. DEVIATION",$C$1=1),$A297,$A297+1),COLUMN('1-DATA'!AJ295)),IF($B297="STD. DEVIATION",2,$F$1))))</f>
        <v/>
      </c>
      <c r="AL297" s="1" t="str">
        <f>IF(OR($B297="",AL$7=""),"",IF($B297="MEANS",INDEX('1-DATA'!$1:$1048576,$A296-1,COLUMN('1-DATA'!AK295)),ROUND(INDEX('1-DATA'!$1:$1048576,IF(OR($B297="STD. DEVIATION",$C$1=1),$A297,$A297+1),COLUMN('1-DATA'!AK295)),IF($B297="STD. DEVIATION",2,$F$1))))</f>
        <v/>
      </c>
      <c r="AM297" s="1" t="str">
        <f>IF(OR($B297="",AM$7=""),"",IF($B297="MEANS",INDEX('1-DATA'!$1:$1048576,$A296-1,COLUMN('1-DATA'!AL295)),ROUND(INDEX('1-DATA'!$1:$1048576,IF(OR($B297="STD. DEVIATION",$C$1=1),$A297,$A297+1),COLUMN('1-DATA'!AL295)),IF($B297="STD. DEVIATION",2,$F$1))))</f>
        <v/>
      </c>
      <c r="AN297" s="1" t="str">
        <f>IF(OR($B297="",AN$7=""),"",IF($B297="MEANS",INDEX('1-DATA'!$1:$1048576,$A296-1,COLUMN('1-DATA'!AM295)),ROUND(INDEX('1-DATA'!$1:$1048576,IF(OR($B297="STD. DEVIATION",$C$1=1),$A297,$A297+1),COLUMN('1-DATA'!AM295)),IF($B297="STD. DEVIATION",2,$F$1))))</f>
        <v/>
      </c>
      <c r="AO297" s="1" t="str">
        <f>IF(OR($B297="",AO$7=""),"",IF($B297="MEANS",INDEX('1-DATA'!$1:$1048576,$A296-1,COLUMN('1-DATA'!AN295)),ROUND(INDEX('1-DATA'!$1:$1048576,IF(OR($B297="STD. DEVIATION",$C$1=1),$A297,$A297+1),COLUMN('1-DATA'!AN295)),IF($B297="STD. DEVIATION",2,$F$1))))</f>
        <v/>
      </c>
      <c r="AP297" s="1" t="str">
        <f>IF(OR($B297="",AP$7=""),"",IF($B297="MEANS",INDEX('1-DATA'!$1:$1048576,$A296-1,COLUMN('1-DATA'!AO295)),ROUND(INDEX('1-DATA'!$1:$1048576,IF(OR($B297="STD. DEVIATION",$C$1=1),$A297,$A297+1),COLUMN('1-DATA'!AO295)),IF($B297="STD. DEVIATION",2,$F$1))))</f>
        <v/>
      </c>
      <c r="AQ297" s="1" t="str">
        <f>IF(OR($B297="",AQ$7=""),"",IF($B297="MEANS",INDEX('1-DATA'!$1:$1048576,$A296-1,COLUMN('1-DATA'!AP295)),ROUND(INDEX('1-DATA'!$1:$1048576,IF(OR($B297="STD. DEVIATION",$C$1=1),$A297,$A297+1),COLUMN('1-DATA'!AP295)),IF($B297="STD. DEVIATION",2,$F$1))))</f>
        <v/>
      </c>
      <c r="AR297" s="1" t="str">
        <f>IF(OR($B297="",AR$7=""),"",IF($B297="MEANS",INDEX('1-DATA'!$1:$1048576,$A296-1,COLUMN('1-DATA'!AQ295)),ROUND(INDEX('1-DATA'!$1:$1048576,IF(OR($B297="STD. DEVIATION",$C$1=1),$A297,$A297+1),COLUMN('1-DATA'!AQ295)),IF($B297="STD. DEVIATION",2,$F$1))))</f>
        <v/>
      </c>
      <c r="AS297" s="1" t="str">
        <f>IF(OR($B297="",AS$7=""),"",IF($B297="MEANS",INDEX('1-DATA'!$1:$1048576,$A296-1,COLUMN('1-DATA'!AR295)),ROUND(INDEX('1-DATA'!$1:$1048576,IF(OR($B297="STD. DEVIATION",$C$1=1),$A297,$A297+1),COLUMN('1-DATA'!AR295)),IF($B297="STD. DEVIATION",2,$F$1))))</f>
        <v/>
      </c>
      <c r="AT297" s="1" t="str">
        <f>IF(OR($B297="",AT$7=""),"",IF($B297="MEANS",INDEX('1-DATA'!$1:$1048576,$A296-1,COLUMN('1-DATA'!AS295)),ROUND(INDEX('1-DATA'!$1:$1048576,IF(OR($B297="STD. DEVIATION",$C$1=1),$A297,$A297+1),COLUMN('1-DATA'!AS295)),IF($B297="STD. DEVIATION",2,$F$1))))</f>
        <v/>
      </c>
      <c r="AU297" s="1" t="str">
        <f>IF(OR($B297="",AU$7=""),"",IF($B297="MEANS",INDEX('1-DATA'!$1:$1048576,$A296-1,COLUMN('1-DATA'!AT295)),ROUND(INDEX('1-DATA'!$1:$1048576,IF(OR($B297="STD. DEVIATION",$C$1=1),$A297,$A297+1),COLUMN('1-DATA'!AT295)),IF($B297="STD. DEVIATION",2,$F$1))))</f>
        <v/>
      </c>
      <c r="AV297" s="1" t="str">
        <f>IF(OR($B297="",AV$7=""),"",IF($B297="MEANS",INDEX('1-DATA'!$1:$1048576,$A296-1,COLUMN('1-DATA'!AU295)),ROUND(INDEX('1-DATA'!$1:$1048576,IF(OR($B297="STD. DEVIATION",$C$1=1),$A297,$A297+1),COLUMN('1-DATA'!AU295)),IF($B297="STD. DEVIATION",2,$F$1))))</f>
        <v/>
      </c>
      <c r="AW297" s="1" t="str">
        <f>IF(OR($B297="",AW$7=""),"",IF($B297="MEANS",INDEX('1-DATA'!$1:$1048576,$A296-1,COLUMN('1-DATA'!AV295)),ROUND(INDEX('1-DATA'!$1:$1048576,IF(OR($B297="STD. DEVIATION",$C$1=1),$A297,$A297+1),COLUMN('1-DATA'!AV295)),IF($B297="STD. DEVIATION",2,$F$1))))</f>
        <v/>
      </c>
      <c r="AX297" s="1" t="str">
        <f>IF(OR($B297="",AX$7=""),"",IF($B297="MEANS",INDEX('1-DATA'!$1:$1048576,$A296-1,COLUMN('1-DATA'!AW295)),ROUND(INDEX('1-DATA'!$1:$1048576,IF(OR($B297="STD. DEVIATION",$C$1=1),$A297,$A297+1),COLUMN('1-DATA'!AW295)),IF($B297="STD. DEVIATION",2,$F$1))))</f>
        <v/>
      </c>
      <c r="AY297" s="1" t="str">
        <f>IF(OR($B297="",AY$7=""),"",IF($B297="MEANS",INDEX('1-DATA'!$1:$1048576,$A296-1,COLUMN('1-DATA'!AX295)),ROUND(INDEX('1-DATA'!$1:$1048576,IF(OR($B297="STD. DEVIATION",$C$1=1),$A297,$A297+1),COLUMN('1-DATA'!AX295)),IF($B297="STD. DEVIATION",2,$F$1))))</f>
        <v/>
      </c>
      <c r="AZ297" s="1" t="str">
        <f>IF(OR($B297="",AZ$7=""),"",IF($B297="MEANS",INDEX('1-DATA'!$1:$1048576,$A296-1,COLUMN('1-DATA'!AY295)),ROUND(INDEX('1-DATA'!$1:$1048576,IF(OR($B297="STD. DEVIATION",$C$1=1),$A297,$A297+1),COLUMN('1-DATA'!AY295)),IF($B297="STD. DEVIATION",2,$F$1))))</f>
        <v/>
      </c>
    </row>
    <row r="298" spans="1:52" x14ac:dyDescent="0.25">
      <c r="A298" s="11">
        <f t="shared" si="5"/>
        <v>880</v>
      </c>
      <c r="B298" s="1" t="str">
        <f>IF(B297="STD. DEVIATION",INDEX('1-DATA'!$1:$1048576,$A297-1,1),IF(INDEX('1-DATA'!$1:$1048576,$A298,1)&lt;&gt;"",INDEX('1-DATA'!$1:$1048576,$A298,1),""))</f>
        <v/>
      </c>
      <c r="C298" s="1" t="str">
        <f>IF(OR($B298="",C$7=""),"",IF($B298="MEANS",INDEX('1-DATA'!$1:$1048576,$A297-1,COLUMN('1-DATA'!B296)),ROUND(INDEX('1-DATA'!$1:$1048576,IF(OR($B298="STD. DEVIATION",$C$1=1),$A298,$A298+1),COLUMN('1-DATA'!B296)),IF($B298="STD. DEVIATION",2,$F$1))))</f>
        <v/>
      </c>
      <c r="D298" s="1" t="str">
        <f>IF(OR($B298="",D$7=""),"",IF($B298="MEANS",INDEX('1-DATA'!$1:$1048576,$A297-1,COLUMN('1-DATA'!C296)),ROUND(INDEX('1-DATA'!$1:$1048576,IF(OR($B298="STD. DEVIATION",$C$1=1),$A298,$A298+1),COLUMN('1-DATA'!C296)),IF($B298="STD. DEVIATION",2,$F$1))))</f>
        <v/>
      </c>
      <c r="E298" s="1" t="str">
        <f>IF(OR($B298="",E$7=""),"",IF($B298="MEANS",INDEX('1-DATA'!$1:$1048576,$A297-1,COLUMN('1-DATA'!D296)),ROUND(INDEX('1-DATA'!$1:$1048576,IF(OR($B298="STD. DEVIATION",$C$1=1),$A298,$A298+1),COLUMN('1-DATA'!D296)),IF($B298="STD. DEVIATION",2,$F$1))))</f>
        <v/>
      </c>
      <c r="F298" s="1" t="str">
        <f>IF(OR($B298="",F$7=""),"",IF($B298="MEANS",INDEX('1-DATA'!$1:$1048576,$A297-1,COLUMN('1-DATA'!E296)),ROUND(INDEX('1-DATA'!$1:$1048576,IF(OR($B298="STD. DEVIATION",$C$1=1),$A298,$A298+1),COLUMN('1-DATA'!E296)),IF($B298="STD. DEVIATION",2,$F$1))))</f>
        <v/>
      </c>
      <c r="G298" s="1" t="str">
        <f>IF(OR($B298="",G$7=""),"",IF($B298="MEANS",INDEX('1-DATA'!$1:$1048576,$A297-1,COLUMN('1-DATA'!F296)),ROUND(INDEX('1-DATA'!$1:$1048576,IF(OR($B298="STD. DEVIATION",$C$1=1),$A298,$A298+1),COLUMN('1-DATA'!F296)),IF($B298="STD. DEVIATION",2,$F$1))))</f>
        <v/>
      </c>
      <c r="H298" s="1" t="str">
        <f>IF(OR($B298="",H$7=""),"",IF($B298="MEANS",INDEX('1-DATA'!$1:$1048576,$A297-1,COLUMN('1-DATA'!G296)),ROUND(INDEX('1-DATA'!$1:$1048576,IF(OR($B298="STD. DEVIATION",$C$1=1),$A298,$A298+1),COLUMN('1-DATA'!G296)),IF($B298="STD. DEVIATION",2,$F$1))))</f>
        <v/>
      </c>
      <c r="I298" s="1" t="str">
        <f>IF(OR($B298="",I$7=""),"",IF($B298="MEANS",INDEX('1-DATA'!$1:$1048576,$A297-1,COLUMN('1-DATA'!H296)),ROUND(INDEX('1-DATA'!$1:$1048576,IF(OR($B298="STD. DEVIATION",$C$1=1),$A298,$A298+1),COLUMN('1-DATA'!H296)),IF($B298="STD. DEVIATION",2,$F$1))))</f>
        <v/>
      </c>
      <c r="J298" s="1" t="str">
        <f>IF(OR($B298="",J$7=""),"",IF($B298="MEANS",INDEX('1-DATA'!$1:$1048576,$A297-1,COLUMN('1-DATA'!I296)),ROUND(INDEX('1-DATA'!$1:$1048576,IF(OR($B298="STD. DEVIATION",$C$1=1),$A298,$A298+1),COLUMN('1-DATA'!I296)),IF($B298="STD. DEVIATION",2,$F$1))))</f>
        <v/>
      </c>
      <c r="K298" s="1" t="str">
        <f>IF(OR($B298="",K$7=""),"",IF($B298="MEANS",INDEX('1-DATA'!$1:$1048576,$A297-1,COLUMN('1-DATA'!J296)),ROUND(INDEX('1-DATA'!$1:$1048576,IF(OR($B298="STD. DEVIATION",$C$1=1),$A298,$A298+1),COLUMN('1-DATA'!J296)),IF($B298="STD. DEVIATION",2,$F$1))))</f>
        <v/>
      </c>
      <c r="L298" s="1" t="str">
        <f>IF(OR($B298="",L$7=""),"",IF($B298="MEANS",INDEX('1-DATA'!$1:$1048576,$A297-1,COLUMN('1-DATA'!K296)),ROUND(INDEX('1-DATA'!$1:$1048576,IF(OR($B298="STD. DEVIATION",$C$1=1),$A298,$A298+1),COLUMN('1-DATA'!K296)),IF($B298="STD. DEVIATION",2,$F$1))))</f>
        <v/>
      </c>
      <c r="M298" s="1" t="str">
        <f>IF(OR($B298="",M$7=""),"",IF($B298="MEANS",INDEX('1-DATA'!$1:$1048576,$A297-1,COLUMN('1-DATA'!L296)),ROUND(INDEX('1-DATA'!$1:$1048576,IF(OR($B298="STD. DEVIATION",$C$1=1),$A298,$A298+1),COLUMN('1-DATA'!L296)),IF($B298="STD. DEVIATION",2,$F$1))))</f>
        <v/>
      </c>
      <c r="N298" s="1" t="str">
        <f>IF(OR($B298="",N$7=""),"",IF($B298="MEANS",INDEX('1-DATA'!$1:$1048576,$A297-1,COLUMN('1-DATA'!M296)),ROUND(INDEX('1-DATA'!$1:$1048576,IF(OR($B298="STD. DEVIATION",$C$1=1),$A298,$A298+1),COLUMN('1-DATA'!M296)),IF($B298="STD. DEVIATION",2,$F$1))))</f>
        <v/>
      </c>
      <c r="O298" s="1" t="str">
        <f>IF(OR($B298="",O$7=""),"",IF($B298="MEANS",INDEX('1-DATA'!$1:$1048576,$A297-1,COLUMN('1-DATA'!N296)),ROUND(INDEX('1-DATA'!$1:$1048576,IF(OR($B298="STD. DEVIATION",$C$1=1),$A298,$A298+1),COLUMN('1-DATA'!N296)),IF($B298="STD. DEVIATION",2,$F$1))))</f>
        <v/>
      </c>
      <c r="P298" s="1" t="str">
        <f>IF(OR($B298="",P$7=""),"",IF($B298="MEANS",INDEX('1-DATA'!$1:$1048576,$A297-1,COLUMN('1-DATA'!O296)),ROUND(INDEX('1-DATA'!$1:$1048576,IF(OR($B298="STD. DEVIATION",$C$1=1),$A298,$A298+1),COLUMN('1-DATA'!O296)),IF($B298="STD. DEVIATION",2,$F$1))))</f>
        <v/>
      </c>
      <c r="Q298" s="1" t="str">
        <f>IF(OR($B298="",Q$7=""),"",IF($B298="MEANS",INDEX('1-DATA'!$1:$1048576,$A297-1,COLUMN('1-DATA'!P296)),ROUND(INDEX('1-DATA'!$1:$1048576,IF(OR($B298="STD. DEVIATION",$C$1=1),$A298,$A298+1),COLUMN('1-DATA'!P296)),IF($B298="STD. DEVIATION",2,$F$1))))</f>
        <v/>
      </c>
      <c r="R298" s="1" t="str">
        <f>IF(OR($B298="",R$7=""),"",IF($B298="MEANS",INDEX('1-DATA'!$1:$1048576,$A297-1,COLUMN('1-DATA'!Q296)),ROUND(INDEX('1-DATA'!$1:$1048576,IF(OR($B298="STD. DEVIATION",$C$1=1),$A298,$A298+1),COLUMN('1-DATA'!Q296)),IF($B298="STD. DEVIATION",2,$F$1))))</f>
        <v/>
      </c>
      <c r="S298" s="1" t="str">
        <f>IF(OR($B298="",S$7=""),"",IF($B298="MEANS",INDEX('1-DATA'!$1:$1048576,$A297-1,COLUMN('1-DATA'!R296)),ROUND(INDEX('1-DATA'!$1:$1048576,IF(OR($B298="STD. DEVIATION",$C$1=1),$A298,$A298+1),COLUMN('1-DATA'!R296)),IF($B298="STD. DEVIATION",2,$F$1))))</f>
        <v/>
      </c>
      <c r="T298" s="1" t="str">
        <f>IF(OR($B298="",T$7=""),"",IF($B298="MEANS",INDEX('1-DATA'!$1:$1048576,$A297-1,COLUMN('1-DATA'!S296)),ROUND(INDEX('1-DATA'!$1:$1048576,IF(OR($B298="STD. DEVIATION",$C$1=1),$A298,$A298+1),COLUMN('1-DATA'!S296)),IF($B298="STD. DEVIATION",2,$F$1))))</f>
        <v/>
      </c>
      <c r="U298" s="1" t="str">
        <f>IF(OR($B298="",U$7=""),"",IF($B298="MEANS",INDEX('1-DATA'!$1:$1048576,$A297-1,COLUMN('1-DATA'!T296)),ROUND(INDEX('1-DATA'!$1:$1048576,IF(OR($B298="STD. DEVIATION",$C$1=1),$A298,$A298+1),COLUMN('1-DATA'!T296)),IF($B298="STD. DEVIATION",2,$F$1))))</f>
        <v/>
      </c>
      <c r="V298" s="1" t="str">
        <f>IF(OR($B298="",V$7=""),"",IF($B298="MEANS",INDEX('1-DATA'!$1:$1048576,$A297-1,COLUMN('1-DATA'!U296)),ROUND(INDEX('1-DATA'!$1:$1048576,IF(OR($B298="STD. DEVIATION",$C$1=1),$A298,$A298+1),COLUMN('1-DATA'!U296)),IF($B298="STD. DEVIATION",2,$F$1))))</f>
        <v/>
      </c>
      <c r="W298" s="1" t="str">
        <f>IF(OR($B298="",W$7=""),"",IF($B298="MEANS",INDEX('1-DATA'!$1:$1048576,$A297-1,COLUMN('1-DATA'!V296)),ROUND(INDEX('1-DATA'!$1:$1048576,IF(OR($B298="STD. DEVIATION",$C$1=1),$A298,$A298+1),COLUMN('1-DATA'!V296)),IF($B298="STD. DEVIATION",2,$F$1))))</f>
        <v/>
      </c>
      <c r="X298" s="1" t="str">
        <f>IF(OR($B298="",X$7=""),"",IF($B298="MEANS",INDEX('1-DATA'!$1:$1048576,$A297-1,COLUMN('1-DATA'!W296)),ROUND(INDEX('1-DATA'!$1:$1048576,IF(OR($B298="STD. DEVIATION",$C$1=1),$A298,$A298+1),COLUMN('1-DATA'!W296)),IF($B298="STD. DEVIATION",2,$F$1))))</f>
        <v/>
      </c>
      <c r="Y298" s="1" t="str">
        <f>IF(OR($B298="",Y$7=""),"",IF($B298="MEANS",INDEX('1-DATA'!$1:$1048576,$A297-1,COLUMN('1-DATA'!X296)),ROUND(INDEX('1-DATA'!$1:$1048576,IF(OR($B298="STD. DEVIATION",$C$1=1),$A298,$A298+1),COLUMN('1-DATA'!X296)),IF($B298="STD. DEVIATION",2,$F$1))))</f>
        <v/>
      </c>
      <c r="Z298" s="1" t="str">
        <f>IF(OR($B298="",Z$7=""),"",IF($B298="MEANS",INDEX('1-DATA'!$1:$1048576,$A297-1,COLUMN('1-DATA'!Y296)),ROUND(INDEX('1-DATA'!$1:$1048576,IF(OR($B298="STD. DEVIATION",$C$1=1),$A298,$A298+1),COLUMN('1-DATA'!Y296)),IF($B298="STD. DEVIATION",2,$F$1))))</f>
        <v/>
      </c>
      <c r="AA298" s="1" t="str">
        <f>IF(OR($B298="",AA$7=""),"",IF($B298="MEANS",INDEX('1-DATA'!$1:$1048576,$A297-1,COLUMN('1-DATA'!Z296)),ROUND(INDEX('1-DATA'!$1:$1048576,IF(OR($B298="STD. DEVIATION",$C$1=1),$A298,$A298+1),COLUMN('1-DATA'!Z296)),IF($B298="STD. DEVIATION",2,$F$1))))</f>
        <v/>
      </c>
      <c r="AB298" s="1" t="str">
        <f>IF(OR($B298="",AB$7=""),"",IF($B298="MEANS",INDEX('1-DATA'!$1:$1048576,$A297-1,COLUMN('1-DATA'!AA296)),ROUND(INDEX('1-DATA'!$1:$1048576,IF(OR($B298="STD. DEVIATION",$C$1=1),$A298,$A298+1),COLUMN('1-DATA'!AA296)),IF($B298="STD. DEVIATION",2,$F$1))))</f>
        <v/>
      </c>
      <c r="AC298" s="1" t="str">
        <f>IF(OR($B298="",AC$7=""),"",IF($B298="MEANS",INDEX('1-DATA'!$1:$1048576,$A297-1,COLUMN('1-DATA'!AB296)),ROUND(INDEX('1-DATA'!$1:$1048576,IF(OR($B298="STD. DEVIATION",$C$1=1),$A298,$A298+1),COLUMN('1-DATA'!AB296)),IF($B298="STD. DEVIATION",2,$F$1))))</f>
        <v/>
      </c>
      <c r="AD298" s="1" t="str">
        <f>IF(OR($B298="",AD$7=""),"",IF($B298="MEANS",INDEX('1-DATA'!$1:$1048576,$A297-1,COLUMN('1-DATA'!AC296)),ROUND(INDEX('1-DATA'!$1:$1048576,IF(OR($B298="STD. DEVIATION",$C$1=1),$A298,$A298+1),COLUMN('1-DATA'!AC296)),IF($B298="STD. DEVIATION",2,$F$1))))</f>
        <v/>
      </c>
      <c r="AE298" s="1" t="str">
        <f>IF(OR($B298="",AE$7=""),"",IF($B298="MEANS",INDEX('1-DATA'!$1:$1048576,$A297-1,COLUMN('1-DATA'!AD296)),ROUND(INDEX('1-DATA'!$1:$1048576,IF(OR($B298="STD. DEVIATION",$C$1=1),$A298,$A298+1),COLUMN('1-DATA'!AD296)),IF($B298="STD. DEVIATION",2,$F$1))))</f>
        <v/>
      </c>
      <c r="AF298" s="1" t="str">
        <f>IF(OR($B298="",AF$7=""),"",IF($B298="MEANS",INDEX('1-DATA'!$1:$1048576,$A297-1,COLUMN('1-DATA'!AE296)),ROUND(INDEX('1-DATA'!$1:$1048576,IF(OR($B298="STD. DEVIATION",$C$1=1),$A298,$A298+1),COLUMN('1-DATA'!AE296)),IF($B298="STD. DEVIATION",2,$F$1))))</f>
        <v/>
      </c>
      <c r="AG298" s="1" t="str">
        <f>IF(OR($B298="",AG$7=""),"",IF($B298="MEANS",INDEX('1-DATA'!$1:$1048576,$A297-1,COLUMN('1-DATA'!AF296)),ROUND(INDEX('1-DATA'!$1:$1048576,IF(OR($B298="STD. DEVIATION",$C$1=1),$A298,$A298+1),COLUMN('1-DATA'!AF296)),IF($B298="STD. DEVIATION",2,$F$1))))</f>
        <v/>
      </c>
      <c r="AH298" s="1" t="str">
        <f>IF(OR($B298="",AH$7=""),"",IF($B298="MEANS",INDEX('1-DATA'!$1:$1048576,$A297-1,COLUMN('1-DATA'!AG296)),ROUND(INDEX('1-DATA'!$1:$1048576,IF(OR($B298="STD. DEVIATION",$C$1=1),$A298,$A298+1),COLUMN('1-DATA'!AG296)),IF($B298="STD. DEVIATION",2,$F$1))))</f>
        <v/>
      </c>
      <c r="AI298" s="1" t="str">
        <f>IF(OR($B298="",AI$7=""),"",IF($B298="MEANS",INDEX('1-DATA'!$1:$1048576,$A297-1,COLUMN('1-DATA'!AH296)),ROUND(INDEX('1-DATA'!$1:$1048576,IF(OR($B298="STD. DEVIATION",$C$1=1),$A298,$A298+1),COLUMN('1-DATA'!AH296)),IF($B298="STD. DEVIATION",2,$F$1))))</f>
        <v/>
      </c>
      <c r="AJ298" s="1" t="str">
        <f>IF(OR($B298="",AJ$7=""),"",IF($B298="MEANS",INDEX('1-DATA'!$1:$1048576,$A297-1,COLUMN('1-DATA'!AI296)),ROUND(INDEX('1-DATA'!$1:$1048576,IF(OR($B298="STD. DEVIATION",$C$1=1),$A298,$A298+1),COLUMN('1-DATA'!AI296)),IF($B298="STD. DEVIATION",2,$F$1))))</f>
        <v/>
      </c>
      <c r="AK298" s="1" t="str">
        <f>IF(OR($B298="",AK$7=""),"",IF($B298="MEANS",INDEX('1-DATA'!$1:$1048576,$A297-1,COLUMN('1-DATA'!AJ296)),ROUND(INDEX('1-DATA'!$1:$1048576,IF(OR($B298="STD. DEVIATION",$C$1=1),$A298,$A298+1),COLUMN('1-DATA'!AJ296)),IF($B298="STD. DEVIATION",2,$F$1))))</f>
        <v/>
      </c>
      <c r="AL298" s="1" t="str">
        <f>IF(OR($B298="",AL$7=""),"",IF($B298="MEANS",INDEX('1-DATA'!$1:$1048576,$A297-1,COLUMN('1-DATA'!AK296)),ROUND(INDEX('1-DATA'!$1:$1048576,IF(OR($B298="STD. DEVIATION",$C$1=1),$A298,$A298+1),COLUMN('1-DATA'!AK296)),IF($B298="STD. DEVIATION",2,$F$1))))</f>
        <v/>
      </c>
      <c r="AM298" s="1" t="str">
        <f>IF(OR($B298="",AM$7=""),"",IF($B298="MEANS",INDEX('1-DATA'!$1:$1048576,$A297-1,COLUMN('1-DATA'!AL296)),ROUND(INDEX('1-DATA'!$1:$1048576,IF(OR($B298="STD. DEVIATION",$C$1=1),$A298,$A298+1),COLUMN('1-DATA'!AL296)),IF($B298="STD. DEVIATION",2,$F$1))))</f>
        <v/>
      </c>
      <c r="AN298" s="1" t="str">
        <f>IF(OR($B298="",AN$7=""),"",IF($B298="MEANS",INDEX('1-DATA'!$1:$1048576,$A297-1,COLUMN('1-DATA'!AM296)),ROUND(INDEX('1-DATA'!$1:$1048576,IF(OR($B298="STD. DEVIATION",$C$1=1),$A298,$A298+1),COLUMN('1-DATA'!AM296)),IF($B298="STD. DEVIATION",2,$F$1))))</f>
        <v/>
      </c>
      <c r="AO298" s="1" t="str">
        <f>IF(OR($B298="",AO$7=""),"",IF($B298="MEANS",INDEX('1-DATA'!$1:$1048576,$A297-1,COLUMN('1-DATA'!AN296)),ROUND(INDEX('1-DATA'!$1:$1048576,IF(OR($B298="STD. DEVIATION",$C$1=1),$A298,$A298+1),COLUMN('1-DATA'!AN296)),IF($B298="STD. DEVIATION",2,$F$1))))</f>
        <v/>
      </c>
      <c r="AP298" s="1" t="str">
        <f>IF(OR($B298="",AP$7=""),"",IF($B298="MEANS",INDEX('1-DATA'!$1:$1048576,$A297-1,COLUMN('1-DATA'!AO296)),ROUND(INDEX('1-DATA'!$1:$1048576,IF(OR($B298="STD. DEVIATION",$C$1=1),$A298,$A298+1),COLUMN('1-DATA'!AO296)),IF($B298="STD. DEVIATION",2,$F$1))))</f>
        <v/>
      </c>
      <c r="AQ298" s="1" t="str">
        <f>IF(OR($B298="",AQ$7=""),"",IF($B298="MEANS",INDEX('1-DATA'!$1:$1048576,$A297-1,COLUMN('1-DATA'!AP296)),ROUND(INDEX('1-DATA'!$1:$1048576,IF(OR($B298="STD. DEVIATION",$C$1=1),$A298,$A298+1),COLUMN('1-DATA'!AP296)),IF($B298="STD. DEVIATION",2,$F$1))))</f>
        <v/>
      </c>
      <c r="AR298" s="1" t="str">
        <f>IF(OR($B298="",AR$7=""),"",IF($B298="MEANS",INDEX('1-DATA'!$1:$1048576,$A297-1,COLUMN('1-DATA'!AQ296)),ROUND(INDEX('1-DATA'!$1:$1048576,IF(OR($B298="STD. DEVIATION",$C$1=1),$A298,$A298+1),COLUMN('1-DATA'!AQ296)),IF($B298="STD. DEVIATION",2,$F$1))))</f>
        <v/>
      </c>
      <c r="AS298" s="1" t="str">
        <f>IF(OR($B298="",AS$7=""),"",IF($B298="MEANS",INDEX('1-DATA'!$1:$1048576,$A297-1,COLUMN('1-DATA'!AR296)),ROUND(INDEX('1-DATA'!$1:$1048576,IF(OR($B298="STD. DEVIATION",$C$1=1),$A298,$A298+1),COLUMN('1-DATA'!AR296)),IF($B298="STD. DEVIATION",2,$F$1))))</f>
        <v/>
      </c>
      <c r="AT298" s="1" t="str">
        <f>IF(OR($B298="",AT$7=""),"",IF($B298="MEANS",INDEX('1-DATA'!$1:$1048576,$A297-1,COLUMN('1-DATA'!AS296)),ROUND(INDEX('1-DATA'!$1:$1048576,IF(OR($B298="STD. DEVIATION",$C$1=1),$A298,$A298+1),COLUMN('1-DATA'!AS296)),IF($B298="STD. DEVIATION",2,$F$1))))</f>
        <v/>
      </c>
      <c r="AU298" s="1" t="str">
        <f>IF(OR($B298="",AU$7=""),"",IF($B298="MEANS",INDEX('1-DATA'!$1:$1048576,$A297-1,COLUMN('1-DATA'!AT296)),ROUND(INDEX('1-DATA'!$1:$1048576,IF(OR($B298="STD. DEVIATION",$C$1=1),$A298,$A298+1),COLUMN('1-DATA'!AT296)),IF($B298="STD. DEVIATION",2,$F$1))))</f>
        <v/>
      </c>
      <c r="AV298" s="1" t="str">
        <f>IF(OR($B298="",AV$7=""),"",IF($B298="MEANS",INDEX('1-DATA'!$1:$1048576,$A297-1,COLUMN('1-DATA'!AU296)),ROUND(INDEX('1-DATA'!$1:$1048576,IF(OR($B298="STD. DEVIATION",$C$1=1),$A298,$A298+1),COLUMN('1-DATA'!AU296)),IF($B298="STD. DEVIATION",2,$F$1))))</f>
        <v/>
      </c>
      <c r="AW298" s="1" t="str">
        <f>IF(OR($B298="",AW$7=""),"",IF($B298="MEANS",INDEX('1-DATA'!$1:$1048576,$A297-1,COLUMN('1-DATA'!AV296)),ROUND(INDEX('1-DATA'!$1:$1048576,IF(OR($B298="STD. DEVIATION",$C$1=1),$A298,$A298+1),COLUMN('1-DATA'!AV296)),IF($B298="STD. DEVIATION",2,$F$1))))</f>
        <v/>
      </c>
      <c r="AX298" s="1" t="str">
        <f>IF(OR($B298="",AX$7=""),"",IF($B298="MEANS",INDEX('1-DATA'!$1:$1048576,$A297-1,COLUMN('1-DATA'!AW296)),ROUND(INDEX('1-DATA'!$1:$1048576,IF(OR($B298="STD. DEVIATION",$C$1=1),$A298,$A298+1),COLUMN('1-DATA'!AW296)),IF($B298="STD. DEVIATION",2,$F$1))))</f>
        <v/>
      </c>
      <c r="AY298" s="1" t="str">
        <f>IF(OR($B298="",AY$7=""),"",IF($B298="MEANS",INDEX('1-DATA'!$1:$1048576,$A297-1,COLUMN('1-DATA'!AX296)),ROUND(INDEX('1-DATA'!$1:$1048576,IF(OR($B298="STD. DEVIATION",$C$1=1),$A298,$A298+1),COLUMN('1-DATA'!AX296)),IF($B298="STD. DEVIATION",2,$F$1))))</f>
        <v/>
      </c>
      <c r="AZ298" s="1" t="str">
        <f>IF(OR($B298="",AZ$7=""),"",IF($B298="MEANS",INDEX('1-DATA'!$1:$1048576,$A297-1,COLUMN('1-DATA'!AY296)),ROUND(INDEX('1-DATA'!$1:$1048576,IF(OR($B298="STD. DEVIATION",$C$1=1),$A298,$A298+1),COLUMN('1-DATA'!AY296)),IF($B298="STD. DEVIATION",2,$F$1))))</f>
        <v/>
      </c>
    </row>
    <row r="299" spans="1:52" x14ac:dyDescent="0.25">
      <c r="A299" s="11">
        <f t="shared" si="5"/>
        <v>883</v>
      </c>
      <c r="B299" s="1" t="str">
        <f>IF(B298="STD. DEVIATION",INDEX('1-DATA'!$1:$1048576,$A298-1,1),IF(INDEX('1-DATA'!$1:$1048576,$A299,1)&lt;&gt;"",INDEX('1-DATA'!$1:$1048576,$A299,1),""))</f>
        <v/>
      </c>
      <c r="C299" s="1" t="str">
        <f>IF(OR($B299="",C$7=""),"",IF($B299="MEANS",INDEX('1-DATA'!$1:$1048576,$A298-1,COLUMN('1-DATA'!B297)),ROUND(INDEX('1-DATA'!$1:$1048576,IF(OR($B299="STD. DEVIATION",$C$1=1),$A299,$A299+1),COLUMN('1-DATA'!B297)),IF($B299="STD. DEVIATION",2,$F$1))))</f>
        <v/>
      </c>
      <c r="D299" s="1" t="str">
        <f>IF(OR($B299="",D$7=""),"",IF($B299="MEANS",INDEX('1-DATA'!$1:$1048576,$A298-1,COLUMN('1-DATA'!C297)),ROUND(INDEX('1-DATA'!$1:$1048576,IF(OR($B299="STD. DEVIATION",$C$1=1),$A299,$A299+1),COLUMN('1-DATA'!C297)),IF($B299="STD. DEVIATION",2,$F$1))))</f>
        <v/>
      </c>
      <c r="E299" s="1" t="str">
        <f>IF(OR($B299="",E$7=""),"",IF($B299="MEANS",INDEX('1-DATA'!$1:$1048576,$A298-1,COLUMN('1-DATA'!D297)),ROUND(INDEX('1-DATA'!$1:$1048576,IF(OR($B299="STD. DEVIATION",$C$1=1),$A299,$A299+1),COLUMN('1-DATA'!D297)),IF($B299="STD. DEVIATION",2,$F$1))))</f>
        <v/>
      </c>
      <c r="F299" s="1" t="str">
        <f>IF(OR($B299="",F$7=""),"",IF($B299="MEANS",INDEX('1-DATA'!$1:$1048576,$A298-1,COLUMN('1-DATA'!E297)),ROUND(INDEX('1-DATA'!$1:$1048576,IF(OR($B299="STD. DEVIATION",$C$1=1),$A299,$A299+1),COLUMN('1-DATA'!E297)),IF($B299="STD. DEVIATION",2,$F$1))))</f>
        <v/>
      </c>
      <c r="G299" s="1" t="str">
        <f>IF(OR($B299="",G$7=""),"",IF($B299="MEANS",INDEX('1-DATA'!$1:$1048576,$A298-1,COLUMN('1-DATA'!F297)),ROUND(INDEX('1-DATA'!$1:$1048576,IF(OR($B299="STD. DEVIATION",$C$1=1),$A299,$A299+1),COLUMN('1-DATA'!F297)),IF($B299="STD. DEVIATION",2,$F$1))))</f>
        <v/>
      </c>
      <c r="H299" s="1" t="str">
        <f>IF(OR($B299="",H$7=""),"",IF($B299="MEANS",INDEX('1-DATA'!$1:$1048576,$A298-1,COLUMN('1-DATA'!G297)),ROUND(INDEX('1-DATA'!$1:$1048576,IF(OR($B299="STD. DEVIATION",$C$1=1),$A299,$A299+1),COLUMN('1-DATA'!G297)),IF($B299="STD. DEVIATION",2,$F$1))))</f>
        <v/>
      </c>
      <c r="I299" s="1" t="str">
        <f>IF(OR($B299="",I$7=""),"",IF($B299="MEANS",INDEX('1-DATA'!$1:$1048576,$A298-1,COLUMN('1-DATA'!H297)),ROUND(INDEX('1-DATA'!$1:$1048576,IF(OR($B299="STD. DEVIATION",$C$1=1),$A299,$A299+1),COLUMN('1-DATA'!H297)),IF($B299="STD. DEVIATION",2,$F$1))))</f>
        <v/>
      </c>
      <c r="J299" s="1" t="str">
        <f>IF(OR($B299="",J$7=""),"",IF($B299="MEANS",INDEX('1-DATA'!$1:$1048576,$A298-1,COLUMN('1-DATA'!I297)),ROUND(INDEX('1-DATA'!$1:$1048576,IF(OR($B299="STD. DEVIATION",$C$1=1),$A299,$A299+1),COLUMN('1-DATA'!I297)),IF($B299="STD. DEVIATION",2,$F$1))))</f>
        <v/>
      </c>
      <c r="K299" s="1" t="str">
        <f>IF(OR($B299="",K$7=""),"",IF($B299="MEANS",INDEX('1-DATA'!$1:$1048576,$A298-1,COLUMN('1-DATA'!J297)),ROUND(INDEX('1-DATA'!$1:$1048576,IF(OR($B299="STD. DEVIATION",$C$1=1),$A299,$A299+1),COLUMN('1-DATA'!J297)),IF($B299="STD. DEVIATION",2,$F$1))))</f>
        <v/>
      </c>
      <c r="L299" s="1" t="str">
        <f>IF(OR($B299="",L$7=""),"",IF($B299="MEANS",INDEX('1-DATA'!$1:$1048576,$A298-1,COLUMN('1-DATA'!K297)),ROUND(INDEX('1-DATA'!$1:$1048576,IF(OR($B299="STD. DEVIATION",$C$1=1),$A299,$A299+1),COLUMN('1-DATA'!K297)),IF($B299="STD. DEVIATION",2,$F$1))))</f>
        <v/>
      </c>
      <c r="M299" s="1" t="str">
        <f>IF(OR($B299="",M$7=""),"",IF($B299="MEANS",INDEX('1-DATA'!$1:$1048576,$A298-1,COLUMN('1-DATA'!L297)),ROUND(INDEX('1-DATA'!$1:$1048576,IF(OR($B299="STD. DEVIATION",$C$1=1),$A299,$A299+1),COLUMN('1-DATA'!L297)),IF($B299="STD. DEVIATION",2,$F$1))))</f>
        <v/>
      </c>
      <c r="N299" s="1" t="str">
        <f>IF(OR($B299="",N$7=""),"",IF($B299="MEANS",INDEX('1-DATA'!$1:$1048576,$A298-1,COLUMN('1-DATA'!M297)),ROUND(INDEX('1-DATA'!$1:$1048576,IF(OR($B299="STD. DEVIATION",$C$1=1),$A299,$A299+1),COLUMN('1-DATA'!M297)),IF($B299="STD. DEVIATION",2,$F$1))))</f>
        <v/>
      </c>
      <c r="O299" s="1" t="str">
        <f>IF(OR($B299="",O$7=""),"",IF($B299="MEANS",INDEX('1-DATA'!$1:$1048576,$A298-1,COLUMN('1-DATA'!N297)),ROUND(INDEX('1-DATA'!$1:$1048576,IF(OR($B299="STD. DEVIATION",$C$1=1),$A299,$A299+1),COLUMN('1-DATA'!N297)),IF($B299="STD. DEVIATION",2,$F$1))))</f>
        <v/>
      </c>
      <c r="P299" s="1" t="str">
        <f>IF(OR($B299="",P$7=""),"",IF($B299="MEANS",INDEX('1-DATA'!$1:$1048576,$A298-1,COLUMN('1-DATA'!O297)),ROUND(INDEX('1-DATA'!$1:$1048576,IF(OR($B299="STD. DEVIATION",$C$1=1),$A299,$A299+1),COLUMN('1-DATA'!O297)),IF($B299="STD. DEVIATION",2,$F$1))))</f>
        <v/>
      </c>
      <c r="Q299" s="1" t="str">
        <f>IF(OR($B299="",Q$7=""),"",IF($B299="MEANS",INDEX('1-DATA'!$1:$1048576,$A298-1,COLUMN('1-DATA'!P297)),ROUND(INDEX('1-DATA'!$1:$1048576,IF(OR($B299="STD. DEVIATION",$C$1=1),$A299,$A299+1),COLUMN('1-DATA'!P297)),IF($B299="STD. DEVIATION",2,$F$1))))</f>
        <v/>
      </c>
      <c r="R299" s="1" t="str">
        <f>IF(OR($B299="",R$7=""),"",IF($B299="MEANS",INDEX('1-DATA'!$1:$1048576,$A298-1,COLUMN('1-DATA'!Q297)),ROUND(INDEX('1-DATA'!$1:$1048576,IF(OR($B299="STD. DEVIATION",$C$1=1),$A299,$A299+1),COLUMN('1-DATA'!Q297)),IF($B299="STD. DEVIATION",2,$F$1))))</f>
        <v/>
      </c>
      <c r="S299" s="1" t="str">
        <f>IF(OR($B299="",S$7=""),"",IF($B299="MEANS",INDEX('1-DATA'!$1:$1048576,$A298-1,COLUMN('1-DATA'!R297)),ROUND(INDEX('1-DATA'!$1:$1048576,IF(OR($B299="STD. DEVIATION",$C$1=1),$A299,$A299+1),COLUMN('1-DATA'!R297)),IF($B299="STD. DEVIATION",2,$F$1))))</f>
        <v/>
      </c>
      <c r="T299" s="1" t="str">
        <f>IF(OR($B299="",T$7=""),"",IF($B299="MEANS",INDEX('1-DATA'!$1:$1048576,$A298-1,COLUMN('1-DATA'!S297)),ROUND(INDEX('1-DATA'!$1:$1048576,IF(OR($B299="STD. DEVIATION",$C$1=1),$A299,$A299+1),COLUMN('1-DATA'!S297)),IF($B299="STD. DEVIATION",2,$F$1))))</f>
        <v/>
      </c>
      <c r="U299" s="1" t="str">
        <f>IF(OR($B299="",U$7=""),"",IF($B299="MEANS",INDEX('1-DATA'!$1:$1048576,$A298-1,COLUMN('1-DATA'!T297)),ROUND(INDEX('1-DATA'!$1:$1048576,IF(OR($B299="STD. DEVIATION",$C$1=1),$A299,$A299+1),COLUMN('1-DATA'!T297)),IF($B299="STD. DEVIATION",2,$F$1))))</f>
        <v/>
      </c>
      <c r="V299" s="1" t="str">
        <f>IF(OR($B299="",V$7=""),"",IF($B299="MEANS",INDEX('1-DATA'!$1:$1048576,$A298-1,COLUMN('1-DATA'!U297)),ROUND(INDEX('1-DATA'!$1:$1048576,IF(OR($B299="STD. DEVIATION",$C$1=1),$A299,$A299+1),COLUMN('1-DATA'!U297)),IF($B299="STD. DEVIATION",2,$F$1))))</f>
        <v/>
      </c>
      <c r="W299" s="1" t="str">
        <f>IF(OR($B299="",W$7=""),"",IF($B299="MEANS",INDEX('1-DATA'!$1:$1048576,$A298-1,COLUMN('1-DATA'!V297)),ROUND(INDEX('1-DATA'!$1:$1048576,IF(OR($B299="STD. DEVIATION",$C$1=1),$A299,$A299+1),COLUMN('1-DATA'!V297)),IF($B299="STD. DEVIATION",2,$F$1))))</f>
        <v/>
      </c>
      <c r="X299" s="1" t="str">
        <f>IF(OR($B299="",X$7=""),"",IF($B299="MEANS",INDEX('1-DATA'!$1:$1048576,$A298-1,COLUMN('1-DATA'!W297)),ROUND(INDEX('1-DATA'!$1:$1048576,IF(OR($B299="STD. DEVIATION",$C$1=1),$A299,$A299+1),COLUMN('1-DATA'!W297)),IF($B299="STD. DEVIATION",2,$F$1))))</f>
        <v/>
      </c>
      <c r="Y299" s="1" t="str">
        <f>IF(OR($B299="",Y$7=""),"",IF($B299="MEANS",INDEX('1-DATA'!$1:$1048576,$A298-1,COLUMN('1-DATA'!X297)),ROUND(INDEX('1-DATA'!$1:$1048576,IF(OR($B299="STD. DEVIATION",$C$1=1),$A299,$A299+1),COLUMN('1-DATA'!X297)),IF($B299="STD. DEVIATION",2,$F$1))))</f>
        <v/>
      </c>
      <c r="Z299" s="1" t="str">
        <f>IF(OR($B299="",Z$7=""),"",IF($B299="MEANS",INDEX('1-DATA'!$1:$1048576,$A298-1,COLUMN('1-DATA'!Y297)),ROUND(INDEX('1-DATA'!$1:$1048576,IF(OR($B299="STD. DEVIATION",$C$1=1),$A299,$A299+1),COLUMN('1-DATA'!Y297)),IF($B299="STD. DEVIATION",2,$F$1))))</f>
        <v/>
      </c>
      <c r="AA299" s="1" t="str">
        <f>IF(OR($B299="",AA$7=""),"",IF($B299="MEANS",INDEX('1-DATA'!$1:$1048576,$A298-1,COLUMN('1-DATA'!Z297)),ROUND(INDEX('1-DATA'!$1:$1048576,IF(OR($B299="STD. DEVIATION",$C$1=1),$A299,$A299+1),COLUMN('1-DATA'!Z297)),IF($B299="STD. DEVIATION",2,$F$1))))</f>
        <v/>
      </c>
      <c r="AB299" s="1" t="str">
        <f>IF(OR($B299="",AB$7=""),"",IF($B299="MEANS",INDEX('1-DATA'!$1:$1048576,$A298-1,COLUMN('1-DATA'!AA297)),ROUND(INDEX('1-DATA'!$1:$1048576,IF(OR($B299="STD. DEVIATION",$C$1=1),$A299,$A299+1),COLUMN('1-DATA'!AA297)),IF($B299="STD. DEVIATION",2,$F$1))))</f>
        <v/>
      </c>
      <c r="AC299" s="1" t="str">
        <f>IF(OR($B299="",AC$7=""),"",IF($B299="MEANS",INDEX('1-DATA'!$1:$1048576,$A298-1,COLUMN('1-DATA'!AB297)),ROUND(INDEX('1-DATA'!$1:$1048576,IF(OR($B299="STD. DEVIATION",$C$1=1),$A299,$A299+1),COLUMN('1-DATA'!AB297)),IF($B299="STD. DEVIATION",2,$F$1))))</f>
        <v/>
      </c>
      <c r="AD299" s="1" t="str">
        <f>IF(OR($B299="",AD$7=""),"",IF($B299="MEANS",INDEX('1-DATA'!$1:$1048576,$A298-1,COLUMN('1-DATA'!AC297)),ROUND(INDEX('1-DATA'!$1:$1048576,IF(OR($B299="STD. DEVIATION",$C$1=1),$A299,$A299+1),COLUMN('1-DATA'!AC297)),IF($B299="STD. DEVIATION",2,$F$1))))</f>
        <v/>
      </c>
      <c r="AE299" s="1" t="str">
        <f>IF(OR($B299="",AE$7=""),"",IF($B299="MEANS",INDEX('1-DATA'!$1:$1048576,$A298-1,COLUMN('1-DATA'!AD297)),ROUND(INDEX('1-DATA'!$1:$1048576,IF(OR($B299="STD. DEVIATION",$C$1=1),$A299,$A299+1),COLUMN('1-DATA'!AD297)),IF($B299="STD. DEVIATION",2,$F$1))))</f>
        <v/>
      </c>
      <c r="AF299" s="1" t="str">
        <f>IF(OR($B299="",AF$7=""),"",IF($B299="MEANS",INDEX('1-DATA'!$1:$1048576,$A298-1,COLUMN('1-DATA'!AE297)),ROUND(INDEX('1-DATA'!$1:$1048576,IF(OR($B299="STD. DEVIATION",$C$1=1),$A299,$A299+1),COLUMN('1-DATA'!AE297)),IF($B299="STD. DEVIATION",2,$F$1))))</f>
        <v/>
      </c>
      <c r="AG299" s="1" t="str">
        <f>IF(OR($B299="",AG$7=""),"",IF($B299="MEANS",INDEX('1-DATA'!$1:$1048576,$A298-1,COLUMN('1-DATA'!AF297)),ROUND(INDEX('1-DATA'!$1:$1048576,IF(OR($B299="STD. DEVIATION",$C$1=1),$A299,$A299+1),COLUMN('1-DATA'!AF297)),IF($B299="STD. DEVIATION",2,$F$1))))</f>
        <v/>
      </c>
      <c r="AH299" s="1" t="str">
        <f>IF(OR($B299="",AH$7=""),"",IF($B299="MEANS",INDEX('1-DATA'!$1:$1048576,$A298-1,COLUMN('1-DATA'!AG297)),ROUND(INDEX('1-DATA'!$1:$1048576,IF(OR($B299="STD. DEVIATION",$C$1=1),$A299,$A299+1),COLUMN('1-DATA'!AG297)),IF($B299="STD. DEVIATION",2,$F$1))))</f>
        <v/>
      </c>
      <c r="AI299" s="1" t="str">
        <f>IF(OR($B299="",AI$7=""),"",IF($B299="MEANS",INDEX('1-DATA'!$1:$1048576,$A298-1,COLUMN('1-DATA'!AH297)),ROUND(INDEX('1-DATA'!$1:$1048576,IF(OR($B299="STD. DEVIATION",$C$1=1),$A299,$A299+1),COLUMN('1-DATA'!AH297)),IF($B299="STD. DEVIATION",2,$F$1))))</f>
        <v/>
      </c>
      <c r="AJ299" s="1" t="str">
        <f>IF(OR($B299="",AJ$7=""),"",IF($B299="MEANS",INDEX('1-DATA'!$1:$1048576,$A298-1,COLUMN('1-DATA'!AI297)),ROUND(INDEX('1-DATA'!$1:$1048576,IF(OR($B299="STD. DEVIATION",$C$1=1),$A299,$A299+1),COLUMN('1-DATA'!AI297)),IF($B299="STD. DEVIATION",2,$F$1))))</f>
        <v/>
      </c>
      <c r="AK299" s="1" t="str">
        <f>IF(OR($B299="",AK$7=""),"",IF($B299="MEANS",INDEX('1-DATA'!$1:$1048576,$A298-1,COLUMN('1-DATA'!AJ297)),ROUND(INDEX('1-DATA'!$1:$1048576,IF(OR($B299="STD. DEVIATION",$C$1=1),$A299,$A299+1),COLUMN('1-DATA'!AJ297)),IF($B299="STD. DEVIATION",2,$F$1))))</f>
        <v/>
      </c>
      <c r="AL299" s="1" t="str">
        <f>IF(OR($B299="",AL$7=""),"",IF($B299="MEANS",INDEX('1-DATA'!$1:$1048576,$A298-1,COLUMN('1-DATA'!AK297)),ROUND(INDEX('1-DATA'!$1:$1048576,IF(OR($B299="STD. DEVIATION",$C$1=1),$A299,$A299+1),COLUMN('1-DATA'!AK297)),IF($B299="STD. DEVIATION",2,$F$1))))</f>
        <v/>
      </c>
      <c r="AM299" s="1" t="str">
        <f>IF(OR($B299="",AM$7=""),"",IF($B299="MEANS",INDEX('1-DATA'!$1:$1048576,$A298-1,COLUMN('1-DATA'!AL297)),ROUND(INDEX('1-DATA'!$1:$1048576,IF(OR($B299="STD. DEVIATION",$C$1=1),$A299,$A299+1),COLUMN('1-DATA'!AL297)),IF($B299="STD. DEVIATION",2,$F$1))))</f>
        <v/>
      </c>
      <c r="AN299" s="1" t="str">
        <f>IF(OR($B299="",AN$7=""),"",IF($B299="MEANS",INDEX('1-DATA'!$1:$1048576,$A298-1,COLUMN('1-DATA'!AM297)),ROUND(INDEX('1-DATA'!$1:$1048576,IF(OR($B299="STD. DEVIATION",$C$1=1),$A299,$A299+1),COLUMN('1-DATA'!AM297)),IF($B299="STD. DEVIATION",2,$F$1))))</f>
        <v/>
      </c>
      <c r="AO299" s="1" t="str">
        <f>IF(OR($B299="",AO$7=""),"",IF($B299="MEANS",INDEX('1-DATA'!$1:$1048576,$A298-1,COLUMN('1-DATA'!AN297)),ROUND(INDEX('1-DATA'!$1:$1048576,IF(OR($B299="STD. DEVIATION",$C$1=1),$A299,$A299+1),COLUMN('1-DATA'!AN297)),IF($B299="STD. DEVIATION",2,$F$1))))</f>
        <v/>
      </c>
      <c r="AP299" s="1" t="str">
        <f>IF(OR($B299="",AP$7=""),"",IF($B299="MEANS",INDEX('1-DATA'!$1:$1048576,$A298-1,COLUMN('1-DATA'!AO297)),ROUND(INDEX('1-DATA'!$1:$1048576,IF(OR($B299="STD. DEVIATION",$C$1=1),$A299,$A299+1),COLUMN('1-DATA'!AO297)),IF($B299="STD. DEVIATION",2,$F$1))))</f>
        <v/>
      </c>
      <c r="AQ299" s="1" t="str">
        <f>IF(OR($B299="",AQ$7=""),"",IF($B299="MEANS",INDEX('1-DATA'!$1:$1048576,$A298-1,COLUMN('1-DATA'!AP297)),ROUND(INDEX('1-DATA'!$1:$1048576,IF(OR($B299="STD. DEVIATION",$C$1=1),$A299,$A299+1),COLUMN('1-DATA'!AP297)),IF($B299="STD. DEVIATION",2,$F$1))))</f>
        <v/>
      </c>
      <c r="AR299" s="1" t="str">
        <f>IF(OR($B299="",AR$7=""),"",IF($B299="MEANS",INDEX('1-DATA'!$1:$1048576,$A298-1,COLUMN('1-DATA'!AQ297)),ROUND(INDEX('1-DATA'!$1:$1048576,IF(OR($B299="STD. DEVIATION",$C$1=1),$A299,$A299+1),COLUMN('1-DATA'!AQ297)),IF($B299="STD. DEVIATION",2,$F$1))))</f>
        <v/>
      </c>
      <c r="AS299" s="1" t="str">
        <f>IF(OR($B299="",AS$7=""),"",IF($B299="MEANS",INDEX('1-DATA'!$1:$1048576,$A298-1,COLUMN('1-DATA'!AR297)),ROUND(INDEX('1-DATA'!$1:$1048576,IF(OR($B299="STD. DEVIATION",$C$1=1),$A299,$A299+1),COLUMN('1-DATA'!AR297)),IF($B299="STD. DEVIATION",2,$F$1))))</f>
        <v/>
      </c>
      <c r="AT299" s="1" t="str">
        <f>IF(OR($B299="",AT$7=""),"",IF($B299="MEANS",INDEX('1-DATA'!$1:$1048576,$A298-1,COLUMN('1-DATA'!AS297)),ROUND(INDEX('1-DATA'!$1:$1048576,IF(OR($B299="STD. DEVIATION",$C$1=1),$A299,$A299+1),COLUMN('1-DATA'!AS297)),IF($B299="STD. DEVIATION",2,$F$1))))</f>
        <v/>
      </c>
      <c r="AU299" s="1" t="str">
        <f>IF(OR($B299="",AU$7=""),"",IF($B299="MEANS",INDEX('1-DATA'!$1:$1048576,$A298-1,COLUMN('1-DATA'!AT297)),ROUND(INDEX('1-DATA'!$1:$1048576,IF(OR($B299="STD. DEVIATION",$C$1=1),$A299,$A299+1),COLUMN('1-DATA'!AT297)),IF($B299="STD. DEVIATION",2,$F$1))))</f>
        <v/>
      </c>
      <c r="AV299" s="1" t="str">
        <f>IF(OR($B299="",AV$7=""),"",IF($B299="MEANS",INDEX('1-DATA'!$1:$1048576,$A298-1,COLUMN('1-DATA'!AU297)),ROUND(INDEX('1-DATA'!$1:$1048576,IF(OR($B299="STD. DEVIATION",$C$1=1),$A299,$A299+1),COLUMN('1-DATA'!AU297)),IF($B299="STD. DEVIATION",2,$F$1))))</f>
        <v/>
      </c>
      <c r="AW299" s="1" t="str">
        <f>IF(OR($B299="",AW$7=""),"",IF($B299="MEANS",INDEX('1-DATA'!$1:$1048576,$A298-1,COLUMN('1-DATA'!AV297)),ROUND(INDEX('1-DATA'!$1:$1048576,IF(OR($B299="STD. DEVIATION",$C$1=1),$A299,$A299+1),COLUMN('1-DATA'!AV297)),IF($B299="STD. DEVIATION",2,$F$1))))</f>
        <v/>
      </c>
      <c r="AX299" s="1" t="str">
        <f>IF(OR($B299="",AX$7=""),"",IF($B299="MEANS",INDEX('1-DATA'!$1:$1048576,$A298-1,COLUMN('1-DATA'!AW297)),ROUND(INDEX('1-DATA'!$1:$1048576,IF(OR($B299="STD. DEVIATION",$C$1=1),$A299,$A299+1),COLUMN('1-DATA'!AW297)),IF($B299="STD. DEVIATION",2,$F$1))))</f>
        <v/>
      </c>
      <c r="AY299" s="1" t="str">
        <f>IF(OR($B299="",AY$7=""),"",IF($B299="MEANS",INDEX('1-DATA'!$1:$1048576,$A298-1,COLUMN('1-DATA'!AX297)),ROUND(INDEX('1-DATA'!$1:$1048576,IF(OR($B299="STD. DEVIATION",$C$1=1),$A299,$A299+1),COLUMN('1-DATA'!AX297)),IF($B299="STD. DEVIATION",2,$F$1))))</f>
        <v/>
      </c>
      <c r="AZ299" s="1" t="str">
        <f>IF(OR($B299="",AZ$7=""),"",IF($B299="MEANS",INDEX('1-DATA'!$1:$1048576,$A298-1,COLUMN('1-DATA'!AY297)),ROUND(INDEX('1-DATA'!$1:$1048576,IF(OR($B299="STD. DEVIATION",$C$1=1),$A299,$A299+1),COLUMN('1-DATA'!AY297)),IF($B299="STD. DEVIATION",2,$F$1))))</f>
        <v/>
      </c>
    </row>
    <row r="300" spans="1:52" x14ac:dyDescent="0.25">
      <c r="A300" s="11">
        <f t="shared" si="5"/>
        <v>886</v>
      </c>
      <c r="B300" s="1" t="str">
        <f>IF(B299="STD. DEVIATION",INDEX('1-DATA'!$1:$1048576,$A299-1,1),IF(INDEX('1-DATA'!$1:$1048576,$A300,1)&lt;&gt;"",INDEX('1-DATA'!$1:$1048576,$A300,1),""))</f>
        <v/>
      </c>
      <c r="C300" s="1" t="str">
        <f>IF(OR($B300="",C$7=""),"",IF($B300="MEANS",INDEX('1-DATA'!$1:$1048576,$A299-1,COLUMN('1-DATA'!B298)),ROUND(INDEX('1-DATA'!$1:$1048576,IF(OR($B300="STD. DEVIATION",$C$1=1),$A300,$A300+1),COLUMN('1-DATA'!B298)),IF($B300="STD. DEVIATION",2,$F$1))))</f>
        <v/>
      </c>
      <c r="D300" s="1" t="str">
        <f>IF(OR($B300="",D$7=""),"",IF($B300="MEANS",INDEX('1-DATA'!$1:$1048576,$A299-1,COLUMN('1-DATA'!C298)),ROUND(INDEX('1-DATA'!$1:$1048576,IF(OR($B300="STD. DEVIATION",$C$1=1),$A300,$A300+1),COLUMN('1-DATA'!C298)),IF($B300="STD. DEVIATION",2,$F$1))))</f>
        <v/>
      </c>
      <c r="E300" s="1" t="str">
        <f>IF(OR($B300="",E$7=""),"",IF($B300="MEANS",INDEX('1-DATA'!$1:$1048576,$A299-1,COLUMN('1-DATA'!D298)),ROUND(INDEX('1-DATA'!$1:$1048576,IF(OR($B300="STD. DEVIATION",$C$1=1),$A300,$A300+1),COLUMN('1-DATA'!D298)),IF($B300="STD. DEVIATION",2,$F$1))))</f>
        <v/>
      </c>
      <c r="F300" s="1" t="str">
        <f>IF(OR($B300="",F$7=""),"",IF($B300="MEANS",INDEX('1-DATA'!$1:$1048576,$A299-1,COLUMN('1-DATA'!E298)),ROUND(INDEX('1-DATA'!$1:$1048576,IF(OR($B300="STD. DEVIATION",$C$1=1),$A300,$A300+1),COLUMN('1-DATA'!E298)),IF($B300="STD. DEVIATION",2,$F$1))))</f>
        <v/>
      </c>
      <c r="G300" s="1" t="str">
        <f>IF(OR($B300="",G$7=""),"",IF($B300="MEANS",INDEX('1-DATA'!$1:$1048576,$A299-1,COLUMN('1-DATA'!F298)),ROUND(INDEX('1-DATA'!$1:$1048576,IF(OR($B300="STD. DEVIATION",$C$1=1),$A300,$A300+1),COLUMN('1-DATA'!F298)),IF($B300="STD. DEVIATION",2,$F$1))))</f>
        <v/>
      </c>
      <c r="H300" s="1" t="str">
        <f>IF(OR($B300="",H$7=""),"",IF($B300="MEANS",INDEX('1-DATA'!$1:$1048576,$A299-1,COLUMN('1-DATA'!G298)),ROUND(INDEX('1-DATA'!$1:$1048576,IF(OR($B300="STD. DEVIATION",$C$1=1),$A300,$A300+1),COLUMN('1-DATA'!G298)),IF($B300="STD. DEVIATION",2,$F$1))))</f>
        <v/>
      </c>
      <c r="I300" s="1" t="str">
        <f>IF(OR($B300="",I$7=""),"",IF($B300="MEANS",INDEX('1-DATA'!$1:$1048576,$A299-1,COLUMN('1-DATA'!H298)),ROUND(INDEX('1-DATA'!$1:$1048576,IF(OR($B300="STD. DEVIATION",$C$1=1),$A300,$A300+1),COLUMN('1-DATA'!H298)),IF($B300="STD. DEVIATION",2,$F$1))))</f>
        <v/>
      </c>
      <c r="J300" s="1" t="str">
        <f>IF(OR($B300="",J$7=""),"",IF($B300="MEANS",INDEX('1-DATA'!$1:$1048576,$A299-1,COLUMN('1-DATA'!I298)),ROUND(INDEX('1-DATA'!$1:$1048576,IF(OR($B300="STD. DEVIATION",$C$1=1),$A300,$A300+1),COLUMN('1-DATA'!I298)),IF($B300="STD. DEVIATION",2,$F$1))))</f>
        <v/>
      </c>
      <c r="K300" s="1" t="str">
        <f>IF(OR($B300="",K$7=""),"",IF($B300="MEANS",INDEX('1-DATA'!$1:$1048576,$A299-1,COLUMN('1-DATA'!J298)),ROUND(INDEX('1-DATA'!$1:$1048576,IF(OR($B300="STD. DEVIATION",$C$1=1),$A300,$A300+1),COLUMN('1-DATA'!J298)),IF($B300="STD. DEVIATION",2,$F$1))))</f>
        <v/>
      </c>
      <c r="L300" s="1" t="str">
        <f>IF(OR($B300="",L$7=""),"",IF($B300="MEANS",INDEX('1-DATA'!$1:$1048576,$A299-1,COLUMN('1-DATA'!K298)),ROUND(INDEX('1-DATA'!$1:$1048576,IF(OR($B300="STD. DEVIATION",$C$1=1),$A300,$A300+1),COLUMN('1-DATA'!K298)),IF($B300="STD. DEVIATION",2,$F$1))))</f>
        <v/>
      </c>
      <c r="M300" s="1" t="str">
        <f>IF(OR($B300="",M$7=""),"",IF($B300="MEANS",INDEX('1-DATA'!$1:$1048576,$A299-1,COLUMN('1-DATA'!L298)),ROUND(INDEX('1-DATA'!$1:$1048576,IF(OR($B300="STD. DEVIATION",$C$1=1),$A300,$A300+1),COLUMN('1-DATA'!L298)),IF($B300="STD. DEVIATION",2,$F$1))))</f>
        <v/>
      </c>
      <c r="N300" s="1" t="str">
        <f>IF(OR($B300="",N$7=""),"",IF($B300="MEANS",INDEX('1-DATA'!$1:$1048576,$A299-1,COLUMN('1-DATA'!M298)),ROUND(INDEX('1-DATA'!$1:$1048576,IF(OR($B300="STD. DEVIATION",$C$1=1),$A300,$A300+1),COLUMN('1-DATA'!M298)),IF($B300="STD. DEVIATION",2,$F$1))))</f>
        <v/>
      </c>
      <c r="O300" s="1" t="str">
        <f>IF(OR($B300="",O$7=""),"",IF($B300="MEANS",INDEX('1-DATA'!$1:$1048576,$A299-1,COLUMN('1-DATA'!N298)),ROUND(INDEX('1-DATA'!$1:$1048576,IF(OR($B300="STD. DEVIATION",$C$1=1),$A300,$A300+1),COLUMN('1-DATA'!N298)),IF($B300="STD. DEVIATION",2,$F$1))))</f>
        <v/>
      </c>
      <c r="P300" s="1" t="str">
        <f>IF(OR($B300="",P$7=""),"",IF($B300="MEANS",INDEX('1-DATA'!$1:$1048576,$A299-1,COLUMN('1-DATA'!O298)),ROUND(INDEX('1-DATA'!$1:$1048576,IF(OR($B300="STD. DEVIATION",$C$1=1),$A300,$A300+1),COLUMN('1-DATA'!O298)),IF($B300="STD. DEVIATION",2,$F$1))))</f>
        <v/>
      </c>
      <c r="Q300" s="1" t="str">
        <f>IF(OR($B300="",Q$7=""),"",IF($B300="MEANS",INDEX('1-DATA'!$1:$1048576,$A299-1,COLUMN('1-DATA'!P298)),ROUND(INDEX('1-DATA'!$1:$1048576,IF(OR($B300="STD. DEVIATION",$C$1=1),$A300,$A300+1),COLUMN('1-DATA'!P298)),IF($B300="STD. DEVIATION",2,$F$1))))</f>
        <v/>
      </c>
      <c r="R300" s="1" t="str">
        <f>IF(OR($B300="",R$7=""),"",IF($B300="MEANS",INDEX('1-DATA'!$1:$1048576,$A299-1,COLUMN('1-DATA'!Q298)),ROUND(INDEX('1-DATA'!$1:$1048576,IF(OR($B300="STD. DEVIATION",$C$1=1),$A300,$A300+1),COLUMN('1-DATA'!Q298)),IF($B300="STD. DEVIATION",2,$F$1))))</f>
        <v/>
      </c>
      <c r="S300" s="1" t="str">
        <f>IF(OR($B300="",S$7=""),"",IF($B300="MEANS",INDEX('1-DATA'!$1:$1048576,$A299-1,COLUMN('1-DATA'!R298)),ROUND(INDEX('1-DATA'!$1:$1048576,IF(OR($B300="STD. DEVIATION",$C$1=1),$A300,$A300+1),COLUMN('1-DATA'!R298)),IF($B300="STD. DEVIATION",2,$F$1))))</f>
        <v/>
      </c>
      <c r="T300" s="1" t="str">
        <f>IF(OR($B300="",T$7=""),"",IF($B300="MEANS",INDEX('1-DATA'!$1:$1048576,$A299-1,COLUMN('1-DATA'!S298)),ROUND(INDEX('1-DATA'!$1:$1048576,IF(OR($B300="STD. DEVIATION",$C$1=1),$A300,$A300+1),COLUMN('1-DATA'!S298)),IF($B300="STD. DEVIATION",2,$F$1))))</f>
        <v/>
      </c>
      <c r="U300" s="1" t="str">
        <f>IF(OR($B300="",U$7=""),"",IF($B300="MEANS",INDEX('1-DATA'!$1:$1048576,$A299-1,COLUMN('1-DATA'!T298)),ROUND(INDEX('1-DATA'!$1:$1048576,IF(OR($B300="STD. DEVIATION",$C$1=1),$A300,$A300+1),COLUMN('1-DATA'!T298)),IF($B300="STD. DEVIATION",2,$F$1))))</f>
        <v/>
      </c>
      <c r="V300" s="1" t="str">
        <f>IF(OR($B300="",V$7=""),"",IF($B300="MEANS",INDEX('1-DATA'!$1:$1048576,$A299-1,COLUMN('1-DATA'!U298)),ROUND(INDEX('1-DATA'!$1:$1048576,IF(OR($B300="STD. DEVIATION",$C$1=1),$A300,$A300+1),COLUMN('1-DATA'!U298)),IF($B300="STD. DEVIATION",2,$F$1))))</f>
        <v/>
      </c>
      <c r="W300" s="1" t="str">
        <f>IF(OR($B300="",W$7=""),"",IF($B300="MEANS",INDEX('1-DATA'!$1:$1048576,$A299-1,COLUMN('1-DATA'!V298)),ROUND(INDEX('1-DATA'!$1:$1048576,IF(OR($B300="STD. DEVIATION",$C$1=1),$A300,$A300+1),COLUMN('1-DATA'!V298)),IF($B300="STD. DEVIATION",2,$F$1))))</f>
        <v/>
      </c>
      <c r="X300" s="1" t="str">
        <f>IF(OR($B300="",X$7=""),"",IF($B300="MEANS",INDEX('1-DATA'!$1:$1048576,$A299-1,COLUMN('1-DATA'!W298)),ROUND(INDEX('1-DATA'!$1:$1048576,IF(OR($B300="STD. DEVIATION",$C$1=1),$A300,$A300+1),COLUMN('1-DATA'!W298)),IF($B300="STD. DEVIATION",2,$F$1))))</f>
        <v/>
      </c>
      <c r="Y300" s="1" t="str">
        <f>IF(OR($B300="",Y$7=""),"",IF($B300="MEANS",INDEX('1-DATA'!$1:$1048576,$A299-1,COLUMN('1-DATA'!X298)),ROUND(INDEX('1-DATA'!$1:$1048576,IF(OR($B300="STD. DEVIATION",$C$1=1),$A300,$A300+1),COLUMN('1-DATA'!X298)),IF($B300="STD. DEVIATION",2,$F$1))))</f>
        <v/>
      </c>
      <c r="Z300" s="1" t="str">
        <f>IF(OR($B300="",Z$7=""),"",IF($B300="MEANS",INDEX('1-DATA'!$1:$1048576,$A299-1,COLUMN('1-DATA'!Y298)),ROUND(INDEX('1-DATA'!$1:$1048576,IF(OR($B300="STD. DEVIATION",$C$1=1),$A300,$A300+1),COLUMN('1-DATA'!Y298)),IF($B300="STD. DEVIATION",2,$F$1))))</f>
        <v/>
      </c>
      <c r="AA300" s="1" t="str">
        <f>IF(OR($B300="",AA$7=""),"",IF($B300="MEANS",INDEX('1-DATA'!$1:$1048576,$A299-1,COLUMN('1-DATA'!Z298)),ROUND(INDEX('1-DATA'!$1:$1048576,IF(OR($B300="STD. DEVIATION",$C$1=1),$A300,$A300+1),COLUMN('1-DATA'!Z298)),IF($B300="STD. DEVIATION",2,$F$1))))</f>
        <v/>
      </c>
      <c r="AB300" s="1" t="str">
        <f>IF(OR($B300="",AB$7=""),"",IF($B300="MEANS",INDEX('1-DATA'!$1:$1048576,$A299-1,COLUMN('1-DATA'!AA298)),ROUND(INDEX('1-DATA'!$1:$1048576,IF(OR($B300="STD. DEVIATION",$C$1=1),$A300,$A300+1),COLUMN('1-DATA'!AA298)),IF($B300="STD. DEVIATION",2,$F$1))))</f>
        <v/>
      </c>
      <c r="AC300" s="1" t="str">
        <f>IF(OR($B300="",AC$7=""),"",IF($B300="MEANS",INDEX('1-DATA'!$1:$1048576,$A299-1,COLUMN('1-DATA'!AB298)),ROUND(INDEX('1-DATA'!$1:$1048576,IF(OR($B300="STD. DEVIATION",$C$1=1),$A300,$A300+1),COLUMN('1-DATA'!AB298)),IF($B300="STD. DEVIATION",2,$F$1))))</f>
        <v/>
      </c>
      <c r="AD300" s="1" t="str">
        <f>IF(OR($B300="",AD$7=""),"",IF($B300="MEANS",INDEX('1-DATA'!$1:$1048576,$A299-1,COLUMN('1-DATA'!AC298)),ROUND(INDEX('1-DATA'!$1:$1048576,IF(OR($B300="STD. DEVIATION",$C$1=1),$A300,$A300+1),COLUMN('1-DATA'!AC298)),IF($B300="STD. DEVIATION",2,$F$1))))</f>
        <v/>
      </c>
      <c r="AE300" s="1" t="str">
        <f>IF(OR($B300="",AE$7=""),"",IF($B300="MEANS",INDEX('1-DATA'!$1:$1048576,$A299-1,COLUMN('1-DATA'!AD298)),ROUND(INDEX('1-DATA'!$1:$1048576,IF(OR($B300="STD. DEVIATION",$C$1=1),$A300,$A300+1),COLUMN('1-DATA'!AD298)),IF($B300="STD. DEVIATION",2,$F$1))))</f>
        <v/>
      </c>
      <c r="AF300" s="1" t="str">
        <f>IF(OR($B300="",AF$7=""),"",IF($B300="MEANS",INDEX('1-DATA'!$1:$1048576,$A299-1,COLUMN('1-DATA'!AE298)),ROUND(INDEX('1-DATA'!$1:$1048576,IF(OR($B300="STD. DEVIATION",$C$1=1),$A300,$A300+1),COLUMN('1-DATA'!AE298)),IF($B300="STD. DEVIATION",2,$F$1))))</f>
        <v/>
      </c>
      <c r="AG300" s="1" t="str">
        <f>IF(OR($B300="",AG$7=""),"",IF($B300="MEANS",INDEX('1-DATA'!$1:$1048576,$A299-1,COLUMN('1-DATA'!AF298)),ROUND(INDEX('1-DATA'!$1:$1048576,IF(OR($B300="STD. DEVIATION",$C$1=1),$A300,$A300+1),COLUMN('1-DATA'!AF298)),IF($B300="STD. DEVIATION",2,$F$1))))</f>
        <v/>
      </c>
      <c r="AH300" s="1" t="str">
        <f>IF(OR($B300="",AH$7=""),"",IF($B300="MEANS",INDEX('1-DATA'!$1:$1048576,$A299-1,COLUMN('1-DATA'!AG298)),ROUND(INDEX('1-DATA'!$1:$1048576,IF(OR($B300="STD. DEVIATION",$C$1=1),$A300,$A300+1),COLUMN('1-DATA'!AG298)),IF($B300="STD. DEVIATION",2,$F$1))))</f>
        <v/>
      </c>
      <c r="AI300" s="1" t="str">
        <f>IF(OR($B300="",AI$7=""),"",IF($B300="MEANS",INDEX('1-DATA'!$1:$1048576,$A299-1,COLUMN('1-DATA'!AH298)),ROUND(INDEX('1-DATA'!$1:$1048576,IF(OR($B300="STD. DEVIATION",$C$1=1),$A300,$A300+1),COLUMN('1-DATA'!AH298)),IF($B300="STD. DEVIATION",2,$F$1))))</f>
        <v/>
      </c>
      <c r="AJ300" s="1" t="str">
        <f>IF(OR($B300="",AJ$7=""),"",IF($B300="MEANS",INDEX('1-DATA'!$1:$1048576,$A299-1,COLUMN('1-DATA'!AI298)),ROUND(INDEX('1-DATA'!$1:$1048576,IF(OR($B300="STD. DEVIATION",$C$1=1),$A300,$A300+1),COLUMN('1-DATA'!AI298)),IF($B300="STD. DEVIATION",2,$F$1))))</f>
        <v/>
      </c>
      <c r="AK300" s="1" t="str">
        <f>IF(OR($B300="",AK$7=""),"",IF($B300="MEANS",INDEX('1-DATA'!$1:$1048576,$A299-1,COLUMN('1-DATA'!AJ298)),ROUND(INDEX('1-DATA'!$1:$1048576,IF(OR($B300="STD. DEVIATION",$C$1=1),$A300,$A300+1),COLUMN('1-DATA'!AJ298)),IF($B300="STD. DEVIATION",2,$F$1))))</f>
        <v/>
      </c>
      <c r="AL300" s="1" t="str">
        <f>IF(OR($B300="",AL$7=""),"",IF($B300="MEANS",INDEX('1-DATA'!$1:$1048576,$A299-1,COLUMN('1-DATA'!AK298)),ROUND(INDEX('1-DATA'!$1:$1048576,IF(OR($B300="STD. DEVIATION",$C$1=1),$A300,$A300+1),COLUMN('1-DATA'!AK298)),IF($B300="STD. DEVIATION",2,$F$1))))</f>
        <v/>
      </c>
      <c r="AM300" s="1" t="str">
        <f>IF(OR($B300="",AM$7=""),"",IF($B300="MEANS",INDEX('1-DATA'!$1:$1048576,$A299-1,COLUMN('1-DATA'!AL298)),ROUND(INDEX('1-DATA'!$1:$1048576,IF(OR($B300="STD. DEVIATION",$C$1=1),$A300,$A300+1),COLUMN('1-DATA'!AL298)),IF($B300="STD. DEVIATION",2,$F$1))))</f>
        <v/>
      </c>
      <c r="AN300" s="1" t="str">
        <f>IF(OR($B300="",AN$7=""),"",IF($B300="MEANS",INDEX('1-DATA'!$1:$1048576,$A299-1,COLUMN('1-DATA'!AM298)),ROUND(INDEX('1-DATA'!$1:$1048576,IF(OR($B300="STD. DEVIATION",$C$1=1),$A300,$A300+1),COLUMN('1-DATA'!AM298)),IF($B300="STD. DEVIATION",2,$F$1))))</f>
        <v/>
      </c>
      <c r="AO300" s="1" t="str">
        <f>IF(OR($B300="",AO$7=""),"",IF($B300="MEANS",INDEX('1-DATA'!$1:$1048576,$A299-1,COLUMN('1-DATA'!AN298)),ROUND(INDEX('1-DATA'!$1:$1048576,IF(OR($B300="STD. DEVIATION",$C$1=1),$A300,$A300+1),COLUMN('1-DATA'!AN298)),IF($B300="STD. DEVIATION",2,$F$1))))</f>
        <v/>
      </c>
      <c r="AP300" s="1" t="str">
        <f>IF(OR($B300="",AP$7=""),"",IF($B300="MEANS",INDEX('1-DATA'!$1:$1048576,$A299-1,COLUMN('1-DATA'!AO298)),ROUND(INDEX('1-DATA'!$1:$1048576,IF(OR($B300="STD. DEVIATION",$C$1=1),$A300,$A300+1),COLUMN('1-DATA'!AO298)),IF($B300="STD. DEVIATION",2,$F$1))))</f>
        <v/>
      </c>
      <c r="AQ300" s="1" t="str">
        <f>IF(OR($B300="",AQ$7=""),"",IF($B300="MEANS",INDEX('1-DATA'!$1:$1048576,$A299-1,COLUMN('1-DATA'!AP298)),ROUND(INDEX('1-DATA'!$1:$1048576,IF(OR($B300="STD. DEVIATION",$C$1=1),$A300,$A300+1),COLUMN('1-DATA'!AP298)),IF($B300="STD. DEVIATION",2,$F$1))))</f>
        <v/>
      </c>
      <c r="AR300" s="1" t="str">
        <f>IF(OR($B300="",AR$7=""),"",IF($B300="MEANS",INDEX('1-DATA'!$1:$1048576,$A299-1,COLUMN('1-DATA'!AQ298)),ROUND(INDEX('1-DATA'!$1:$1048576,IF(OR($B300="STD. DEVIATION",$C$1=1),$A300,$A300+1),COLUMN('1-DATA'!AQ298)),IF($B300="STD. DEVIATION",2,$F$1))))</f>
        <v/>
      </c>
      <c r="AS300" s="1" t="str">
        <f>IF(OR($B300="",AS$7=""),"",IF($B300="MEANS",INDEX('1-DATA'!$1:$1048576,$A299-1,COLUMN('1-DATA'!AR298)),ROUND(INDEX('1-DATA'!$1:$1048576,IF(OR($B300="STD. DEVIATION",$C$1=1),$A300,$A300+1),COLUMN('1-DATA'!AR298)),IF($B300="STD. DEVIATION",2,$F$1))))</f>
        <v/>
      </c>
      <c r="AT300" s="1" t="str">
        <f>IF(OR($B300="",AT$7=""),"",IF($B300="MEANS",INDEX('1-DATA'!$1:$1048576,$A299-1,COLUMN('1-DATA'!AS298)),ROUND(INDEX('1-DATA'!$1:$1048576,IF(OR($B300="STD. DEVIATION",$C$1=1),$A300,$A300+1),COLUMN('1-DATA'!AS298)),IF($B300="STD. DEVIATION",2,$F$1))))</f>
        <v/>
      </c>
      <c r="AU300" s="1" t="str">
        <f>IF(OR($B300="",AU$7=""),"",IF($B300="MEANS",INDEX('1-DATA'!$1:$1048576,$A299-1,COLUMN('1-DATA'!AT298)),ROUND(INDEX('1-DATA'!$1:$1048576,IF(OR($B300="STD. DEVIATION",$C$1=1),$A300,$A300+1),COLUMN('1-DATA'!AT298)),IF($B300="STD. DEVIATION",2,$F$1))))</f>
        <v/>
      </c>
      <c r="AV300" s="1" t="str">
        <f>IF(OR($B300="",AV$7=""),"",IF($B300="MEANS",INDEX('1-DATA'!$1:$1048576,$A299-1,COLUMN('1-DATA'!AU298)),ROUND(INDEX('1-DATA'!$1:$1048576,IF(OR($B300="STD. DEVIATION",$C$1=1),$A300,$A300+1),COLUMN('1-DATA'!AU298)),IF($B300="STD. DEVIATION",2,$F$1))))</f>
        <v/>
      </c>
      <c r="AW300" s="1" t="str">
        <f>IF(OR($B300="",AW$7=""),"",IF($B300="MEANS",INDEX('1-DATA'!$1:$1048576,$A299-1,COLUMN('1-DATA'!AV298)),ROUND(INDEX('1-DATA'!$1:$1048576,IF(OR($B300="STD. DEVIATION",$C$1=1),$A300,$A300+1),COLUMN('1-DATA'!AV298)),IF($B300="STD. DEVIATION",2,$F$1))))</f>
        <v/>
      </c>
      <c r="AX300" s="1" t="str">
        <f>IF(OR($B300="",AX$7=""),"",IF($B300="MEANS",INDEX('1-DATA'!$1:$1048576,$A299-1,COLUMN('1-DATA'!AW298)),ROUND(INDEX('1-DATA'!$1:$1048576,IF(OR($B300="STD. DEVIATION",$C$1=1),$A300,$A300+1),COLUMN('1-DATA'!AW298)),IF($B300="STD. DEVIATION",2,$F$1))))</f>
        <v/>
      </c>
      <c r="AY300" s="1" t="str">
        <f>IF(OR($B300="",AY$7=""),"",IF($B300="MEANS",INDEX('1-DATA'!$1:$1048576,$A299-1,COLUMN('1-DATA'!AX298)),ROUND(INDEX('1-DATA'!$1:$1048576,IF(OR($B300="STD. DEVIATION",$C$1=1),$A300,$A300+1),COLUMN('1-DATA'!AX298)),IF($B300="STD. DEVIATION",2,$F$1))))</f>
        <v/>
      </c>
      <c r="AZ300" s="1" t="str">
        <f>IF(OR($B300="",AZ$7=""),"",IF($B300="MEANS",INDEX('1-DATA'!$1:$1048576,$A299-1,COLUMN('1-DATA'!AY298)),ROUND(INDEX('1-DATA'!$1:$1048576,IF(OR($B300="STD. DEVIATION",$C$1=1),$A300,$A300+1),COLUMN('1-DATA'!AY298)),IF($B300="STD. DEVIATION",2,$F$1))))</f>
        <v/>
      </c>
    </row>
    <row r="301" spans="1:52" x14ac:dyDescent="0.25">
      <c r="A301" s="11">
        <f t="shared" si="5"/>
        <v>889</v>
      </c>
      <c r="B301" s="1" t="str">
        <f>IF(B300="STD. DEVIATION",INDEX('1-DATA'!$1:$1048576,$A300-1,1),IF(INDEX('1-DATA'!$1:$1048576,$A301,1)&lt;&gt;"",INDEX('1-DATA'!$1:$1048576,$A301,1),""))</f>
        <v/>
      </c>
      <c r="C301" s="1" t="str">
        <f>IF(OR($B301="",C$7=""),"",IF($B301="MEANS",INDEX('1-DATA'!$1:$1048576,$A300-1,COLUMN('1-DATA'!B299)),ROUND(INDEX('1-DATA'!$1:$1048576,IF(OR($B301="STD. DEVIATION",$C$1=1),$A301,$A301+1),COLUMN('1-DATA'!B299)),IF($B301="STD. DEVIATION",2,$F$1))))</f>
        <v/>
      </c>
      <c r="D301" s="1" t="str">
        <f>IF(OR($B301="",D$7=""),"",IF($B301="MEANS",INDEX('1-DATA'!$1:$1048576,$A300-1,COLUMN('1-DATA'!C299)),ROUND(INDEX('1-DATA'!$1:$1048576,IF(OR($B301="STD. DEVIATION",$C$1=1),$A301,$A301+1),COLUMN('1-DATA'!C299)),IF($B301="STD. DEVIATION",2,$F$1))))</f>
        <v/>
      </c>
      <c r="E301" s="1" t="str">
        <f>IF(OR($B301="",E$7=""),"",IF($B301="MEANS",INDEX('1-DATA'!$1:$1048576,$A300-1,COLUMN('1-DATA'!D299)),ROUND(INDEX('1-DATA'!$1:$1048576,IF(OR($B301="STD. DEVIATION",$C$1=1),$A301,$A301+1),COLUMN('1-DATA'!D299)),IF($B301="STD. DEVIATION",2,$F$1))))</f>
        <v/>
      </c>
      <c r="F301" s="1" t="str">
        <f>IF(OR($B301="",F$7=""),"",IF($B301="MEANS",INDEX('1-DATA'!$1:$1048576,$A300-1,COLUMN('1-DATA'!E299)),ROUND(INDEX('1-DATA'!$1:$1048576,IF(OR($B301="STD. DEVIATION",$C$1=1),$A301,$A301+1),COLUMN('1-DATA'!E299)),IF($B301="STD. DEVIATION",2,$F$1))))</f>
        <v/>
      </c>
      <c r="G301" s="1" t="str">
        <f>IF(OR($B301="",G$7=""),"",IF($B301="MEANS",INDEX('1-DATA'!$1:$1048576,$A300-1,COLUMN('1-DATA'!F299)),ROUND(INDEX('1-DATA'!$1:$1048576,IF(OR($B301="STD. DEVIATION",$C$1=1),$A301,$A301+1),COLUMN('1-DATA'!F299)),IF($B301="STD. DEVIATION",2,$F$1))))</f>
        <v/>
      </c>
      <c r="H301" s="1" t="str">
        <f>IF(OR($B301="",H$7=""),"",IF($B301="MEANS",INDEX('1-DATA'!$1:$1048576,$A300-1,COLUMN('1-DATA'!G299)),ROUND(INDEX('1-DATA'!$1:$1048576,IF(OR($B301="STD. DEVIATION",$C$1=1),$A301,$A301+1),COLUMN('1-DATA'!G299)),IF($B301="STD. DEVIATION",2,$F$1))))</f>
        <v/>
      </c>
      <c r="I301" s="1" t="str">
        <f>IF(OR($B301="",I$7=""),"",IF($B301="MEANS",INDEX('1-DATA'!$1:$1048576,$A300-1,COLUMN('1-DATA'!H299)),ROUND(INDEX('1-DATA'!$1:$1048576,IF(OR($B301="STD. DEVIATION",$C$1=1),$A301,$A301+1),COLUMN('1-DATA'!H299)),IF($B301="STD. DEVIATION",2,$F$1))))</f>
        <v/>
      </c>
      <c r="J301" s="1" t="str">
        <f>IF(OR($B301="",J$7=""),"",IF($B301="MEANS",INDEX('1-DATA'!$1:$1048576,$A300-1,COLUMN('1-DATA'!I299)),ROUND(INDEX('1-DATA'!$1:$1048576,IF(OR($B301="STD. DEVIATION",$C$1=1),$A301,$A301+1),COLUMN('1-DATA'!I299)),IF($B301="STD. DEVIATION",2,$F$1))))</f>
        <v/>
      </c>
      <c r="K301" s="1" t="str">
        <f>IF(OR($B301="",K$7=""),"",IF($B301="MEANS",INDEX('1-DATA'!$1:$1048576,$A300-1,COLUMN('1-DATA'!J299)),ROUND(INDEX('1-DATA'!$1:$1048576,IF(OR($B301="STD. DEVIATION",$C$1=1),$A301,$A301+1),COLUMN('1-DATA'!J299)),IF($B301="STD. DEVIATION",2,$F$1))))</f>
        <v/>
      </c>
      <c r="L301" s="1" t="str">
        <f>IF(OR($B301="",L$7=""),"",IF($B301="MEANS",INDEX('1-DATA'!$1:$1048576,$A300-1,COLUMN('1-DATA'!K299)),ROUND(INDEX('1-DATA'!$1:$1048576,IF(OR($B301="STD. DEVIATION",$C$1=1),$A301,$A301+1),COLUMN('1-DATA'!K299)),IF($B301="STD. DEVIATION",2,$F$1))))</f>
        <v/>
      </c>
      <c r="M301" s="1" t="str">
        <f>IF(OR($B301="",M$7=""),"",IF($B301="MEANS",INDEX('1-DATA'!$1:$1048576,$A300-1,COLUMN('1-DATA'!L299)),ROUND(INDEX('1-DATA'!$1:$1048576,IF(OR($B301="STD. DEVIATION",$C$1=1),$A301,$A301+1),COLUMN('1-DATA'!L299)),IF($B301="STD. DEVIATION",2,$F$1))))</f>
        <v/>
      </c>
      <c r="N301" s="1" t="str">
        <f>IF(OR($B301="",N$7=""),"",IF($B301="MEANS",INDEX('1-DATA'!$1:$1048576,$A300-1,COLUMN('1-DATA'!M299)),ROUND(INDEX('1-DATA'!$1:$1048576,IF(OR($B301="STD. DEVIATION",$C$1=1),$A301,$A301+1),COLUMN('1-DATA'!M299)),IF($B301="STD. DEVIATION",2,$F$1))))</f>
        <v/>
      </c>
      <c r="O301" s="1" t="str">
        <f>IF(OR($B301="",O$7=""),"",IF($B301="MEANS",INDEX('1-DATA'!$1:$1048576,$A300-1,COLUMN('1-DATA'!N299)),ROUND(INDEX('1-DATA'!$1:$1048576,IF(OR($B301="STD. DEVIATION",$C$1=1),$A301,$A301+1),COLUMN('1-DATA'!N299)),IF($B301="STD. DEVIATION",2,$F$1))))</f>
        <v/>
      </c>
      <c r="P301" s="1" t="str">
        <f>IF(OR($B301="",P$7=""),"",IF($B301="MEANS",INDEX('1-DATA'!$1:$1048576,$A300-1,COLUMN('1-DATA'!O299)),ROUND(INDEX('1-DATA'!$1:$1048576,IF(OR($B301="STD. DEVIATION",$C$1=1),$A301,$A301+1),COLUMN('1-DATA'!O299)),IF($B301="STD. DEVIATION",2,$F$1))))</f>
        <v/>
      </c>
      <c r="Q301" s="1" t="str">
        <f>IF(OR($B301="",Q$7=""),"",IF($B301="MEANS",INDEX('1-DATA'!$1:$1048576,$A300-1,COLUMN('1-DATA'!P299)),ROUND(INDEX('1-DATA'!$1:$1048576,IF(OR($B301="STD. DEVIATION",$C$1=1),$A301,$A301+1),COLUMN('1-DATA'!P299)),IF($B301="STD. DEVIATION",2,$F$1))))</f>
        <v/>
      </c>
      <c r="R301" s="1" t="str">
        <f>IF(OR($B301="",R$7=""),"",IF($B301="MEANS",INDEX('1-DATA'!$1:$1048576,$A300-1,COLUMN('1-DATA'!Q299)),ROUND(INDEX('1-DATA'!$1:$1048576,IF(OR($B301="STD. DEVIATION",$C$1=1),$A301,$A301+1),COLUMN('1-DATA'!Q299)),IF($B301="STD. DEVIATION",2,$F$1))))</f>
        <v/>
      </c>
      <c r="S301" s="1" t="str">
        <f>IF(OR($B301="",S$7=""),"",IF($B301="MEANS",INDEX('1-DATA'!$1:$1048576,$A300-1,COLUMN('1-DATA'!R299)),ROUND(INDEX('1-DATA'!$1:$1048576,IF(OR($B301="STD. DEVIATION",$C$1=1),$A301,$A301+1),COLUMN('1-DATA'!R299)),IF($B301="STD. DEVIATION",2,$F$1))))</f>
        <v/>
      </c>
      <c r="T301" s="1" t="str">
        <f>IF(OR($B301="",T$7=""),"",IF($B301="MEANS",INDEX('1-DATA'!$1:$1048576,$A300-1,COLUMN('1-DATA'!S299)),ROUND(INDEX('1-DATA'!$1:$1048576,IF(OR($B301="STD. DEVIATION",$C$1=1),$A301,$A301+1),COLUMN('1-DATA'!S299)),IF($B301="STD. DEVIATION",2,$F$1))))</f>
        <v/>
      </c>
      <c r="U301" s="1" t="str">
        <f>IF(OR($B301="",U$7=""),"",IF($B301="MEANS",INDEX('1-DATA'!$1:$1048576,$A300-1,COLUMN('1-DATA'!T299)),ROUND(INDEX('1-DATA'!$1:$1048576,IF(OR($B301="STD. DEVIATION",$C$1=1),$A301,$A301+1),COLUMN('1-DATA'!T299)),IF($B301="STD. DEVIATION",2,$F$1))))</f>
        <v/>
      </c>
      <c r="V301" s="1" t="str">
        <f>IF(OR($B301="",V$7=""),"",IF($B301="MEANS",INDEX('1-DATA'!$1:$1048576,$A300-1,COLUMN('1-DATA'!U299)),ROUND(INDEX('1-DATA'!$1:$1048576,IF(OR($B301="STD. DEVIATION",$C$1=1),$A301,$A301+1),COLUMN('1-DATA'!U299)),IF($B301="STD. DEVIATION",2,$F$1))))</f>
        <v/>
      </c>
      <c r="W301" s="1" t="str">
        <f>IF(OR($B301="",W$7=""),"",IF($B301="MEANS",INDEX('1-DATA'!$1:$1048576,$A300-1,COLUMN('1-DATA'!V299)),ROUND(INDEX('1-DATA'!$1:$1048576,IF(OR($B301="STD. DEVIATION",$C$1=1),$A301,$A301+1),COLUMN('1-DATA'!V299)),IF($B301="STD. DEVIATION",2,$F$1))))</f>
        <v/>
      </c>
      <c r="X301" s="1" t="str">
        <f>IF(OR($B301="",X$7=""),"",IF($B301="MEANS",INDEX('1-DATA'!$1:$1048576,$A300-1,COLUMN('1-DATA'!W299)),ROUND(INDEX('1-DATA'!$1:$1048576,IF(OR($B301="STD. DEVIATION",$C$1=1),$A301,$A301+1),COLUMN('1-DATA'!W299)),IF($B301="STD. DEVIATION",2,$F$1))))</f>
        <v/>
      </c>
      <c r="Y301" s="1" t="str">
        <f>IF(OR($B301="",Y$7=""),"",IF($B301="MEANS",INDEX('1-DATA'!$1:$1048576,$A300-1,COLUMN('1-DATA'!X299)),ROUND(INDEX('1-DATA'!$1:$1048576,IF(OR($B301="STD. DEVIATION",$C$1=1),$A301,$A301+1),COLUMN('1-DATA'!X299)),IF($B301="STD. DEVIATION",2,$F$1))))</f>
        <v/>
      </c>
      <c r="Z301" s="1" t="str">
        <f>IF(OR($B301="",Z$7=""),"",IF($B301="MEANS",INDEX('1-DATA'!$1:$1048576,$A300-1,COLUMN('1-DATA'!Y299)),ROUND(INDEX('1-DATA'!$1:$1048576,IF(OR($B301="STD. DEVIATION",$C$1=1),$A301,$A301+1),COLUMN('1-DATA'!Y299)),IF($B301="STD. DEVIATION",2,$F$1))))</f>
        <v/>
      </c>
      <c r="AA301" s="1" t="str">
        <f>IF(OR($B301="",AA$7=""),"",IF($B301="MEANS",INDEX('1-DATA'!$1:$1048576,$A300-1,COLUMN('1-DATA'!Z299)),ROUND(INDEX('1-DATA'!$1:$1048576,IF(OR($B301="STD. DEVIATION",$C$1=1),$A301,$A301+1),COLUMN('1-DATA'!Z299)),IF($B301="STD. DEVIATION",2,$F$1))))</f>
        <v/>
      </c>
      <c r="AB301" s="1" t="str">
        <f>IF(OR($B301="",AB$7=""),"",IF($B301="MEANS",INDEX('1-DATA'!$1:$1048576,$A300-1,COLUMN('1-DATA'!AA299)),ROUND(INDEX('1-DATA'!$1:$1048576,IF(OR($B301="STD. DEVIATION",$C$1=1),$A301,$A301+1),COLUMN('1-DATA'!AA299)),IF($B301="STD. DEVIATION",2,$F$1))))</f>
        <v/>
      </c>
      <c r="AC301" s="1" t="str">
        <f>IF(OR($B301="",AC$7=""),"",IF($B301="MEANS",INDEX('1-DATA'!$1:$1048576,$A300-1,COLUMN('1-DATA'!AB299)),ROUND(INDEX('1-DATA'!$1:$1048576,IF(OR($B301="STD. DEVIATION",$C$1=1),$A301,$A301+1),COLUMN('1-DATA'!AB299)),IF($B301="STD. DEVIATION",2,$F$1))))</f>
        <v/>
      </c>
      <c r="AD301" s="1" t="str">
        <f>IF(OR($B301="",AD$7=""),"",IF($B301="MEANS",INDEX('1-DATA'!$1:$1048576,$A300-1,COLUMN('1-DATA'!AC299)),ROUND(INDEX('1-DATA'!$1:$1048576,IF(OR($B301="STD. DEVIATION",$C$1=1),$A301,$A301+1),COLUMN('1-DATA'!AC299)),IF($B301="STD. DEVIATION",2,$F$1))))</f>
        <v/>
      </c>
      <c r="AE301" s="1" t="str">
        <f>IF(OR($B301="",AE$7=""),"",IF($B301="MEANS",INDEX('1-DATA'!$1:$1048576,$A300-1,COLUMN('1-DATA'!AD299)),ROUND(INDEX('1-DATA'!$1:$1048576,IF(OR($B301="STD. DEVIATION",$C$1=1),$A301,$A301+1),COLUMN('1-DATA'!AD299)),IF($B301="STD. DEVIATION",2,$F$1))))</f>
        <v/>
      </c>
      <c r="AF301" s="1" t="str">
        <f>IF(OR($B301="",AF$7=""),"",IF($B301="MEANS",INDEX('1-DATA'!$1:$1048576,$A300-1,COLUMN('1-DATA'!AE299)),ROUND(INDEX('1-DATA'!$1:$1048576,IF(OR($B301="STD. DEVIATION",$C$1=1),$A301,$A301+1),COLUMN('1-DATA'!AE299)),IF($B301="STD. DEVIATION",2,$F$1))))</f>
        <v/>
      </c>
      <c r="AG301" s="1" t="str">
        <f>IF(OR($B301="",AG$7=""),"",IF($B301="MEANS",INDEX('1-DATA'!$1:$1048576,$A300-1,COLUMN('1-DATA'!AF299)),ROUND(INDEX('1-DATA'!$1:$1048576,IF(OR($B301="STD. DEVIATION",$C$1=1),$A301,$A301+1),COLUMN('1-DATA'!AF299)),IF($B301="STD. DEVIATION",2,$F$1))))</f>
        <v/>
      </c>
      <c r="AH301" s="1" t="str">
        <f>IF(OR($B301="",AH$7=""),"",IF($B301="MEANS",INDEX('1-DATA'!$1:$1048576,$A300-1,COLUMN('1-DATA'!AG299)),ROUND(INDEX('1-DATA'!$1:$1048576,IF(OR($B301="STD. DEVIATION",$C$1=1),$A301,$A301+1),COLUMN('1-DATA'!AG299)),IF($B301="STD. DEVIATION",2,$F$1))))</f>
        <v/>
      </c>
      <c r="AI301" s="1" t="str">
        <f>IF(OR($B301="",AI$7=""),"",IF($B301="MEANS",INDEX('1-DATA'!$1:$1048576,$A300-1,COLUMN('1-DATA'!AH299)),ROUND(INDEX('1-DATA'!$1:$1048576,IF(OR($B301="STD. DEVIATION",$C$1=1),$A301,$A301+1),COLUMN('1-DATA'!AH299)),IF($B301="STD. DEVIATION",2,$F$1))))</f>
        <v/>
      </c>
      <c r="AJ301" s="1" t="str">
        <f>IF(OR($B301="",AJ$7=""),"",IF($B301="MEANS",INDEX('1-DATA'!$1:$1048576,$A300-1,COLUMN('1-DATA'!AI299)),ROUND(INDEX('1-DATA'!$1:$1048576,IF(OR($B301="STD. DEVIATION",$C$1=1),$A301,$A301+1),COLUMN('1-DATA'!AI299)),IF($B301="STD. DEVIATION",2,$F$1))))</f>
        <v/>
      </c>
      <c r="AK301" s="1" t="str">
        <f>IF(OR($B301="",AK$7=""),"",IF($B301="MEANS",INDEX('1-DATA'!$1:$1048576,$A300-1,COLUMN('1-DATA'!AJ299)),ROUND(INDEX('1-DATA'!$1:$1048576,IF(OR($B301="STD. DEVIATION",$C$1=1),$A301,$A301+1),COLUMN('1-DATA'!AJ299)),IF($B301="STD. DEVIATION",2,$F$1))))</f>
        <v/>
      </c>
      <c r="AL301" s="1" t="str">
        <f>IF(OR($B301="",AL$7=""),"",IF($B301="MEANS",INDEX('1-DATA'!$1:$1048576,$A300-1,COLUMN('1-DATA'!AK299)),ROUND(INDEX('1-DATA'!$1:$1048576,IF(OR($B301="STD. DEVIATION",$C$1=1),$A301,$A301+1),COLUMN('1-DATA'!AK299)),IF($B301="STD. DEVIATION",2,$F$1))))</f>
        <v/>
      </c>
      <c r="AM301" s="1" t="str">
        <f>IF(OR($B301="",AM$7=""),"",IF($B301="MEANS",INDEX('1-DATA'!$1:$1048576,$A300-1,COLUMN('1-DATA'!AL299)),ROUND(INDEX('1-DATA'!$1:$1048576,IF(OR($B301="STD. DEVIATION",$C$1=1),$A301,$A301+1),COLUMN('1-DATA'!AL299)),IF($B301="STD. DEVIATION",2,$F$1))))</f>
        <v/>
      </c>
      <c r="AN301" s="1" t="str">
        <f>IF(OR($B301="",AN$7=""),"",IF($B301="MEANS",INDEX('1-DATA'!$1:$1048576,$A300-1,COLUMN('1-DATA'!AM299)),ROUND(INDEX('1-DATA'!$1:$1048576,IF(OR($B301="STD. DEVIATION",$C$1=1),$A301,$A301+1),COLUMN('1-DATA'!AM299)),IF($B301="STD. DEVIATION",2,$F$1))))</f>
        <v/>
      </c>
      <c r="AO301" s="1" t="str">
        <f>IF(OR($B301="",AO$7=""),"",IF($B301="MEANS",INDEX('1-DATA'!$1:$1048576,$A300-1,COLUMN('1-DATA'!AN299)),ROUND(INDEX('1-DATA'!$1:$1048576,IF(OR($B301="STD. DEVIATION",$C$1=1),$A301,$A301+1),COLUMN('1-DATA'!AN299)),IF($B301="STD. DEVIATION",2,$F$1))))</f>
        <v/>
      </c>
      <c r="AP301" s="1" t="str">
        <f>IF(OR($B301="",AP$7=""),"",IF($B301="MEANS",INDEX('1-DATA'!$1:$1048576,$A300-1,COLUMN('1-DATA'!AO299)),ROUND(INDEX('1-DATA'!$1:$1048576,IF(OR($B301="STD. DEVIATION",$C$1=1),$A301,$A301+1),COLUMN('1-DATA'!AO299)),IF($B301="STD. DEVIATION",2,$F$1))))</f>
        <v/>
      </c>
      <c r="AQ301" s="1" t="str">
        <f>IF(OR($B301="",AQ$7=""),"",IF($B301="MEANS",INDEX('1-DATA'!$1:$1048576,$A300-1,COLUMN('1-DATA'!AP299)),ROUND(INDEX('1-DATA'!$1:$1048576,IF(OR($B301="STD. DEVIATION",$C$1=1),$A301,$A301+1),COLUMN('1-DATA'!AP299)),IF($B301="STD. DEVIATION",2,$F$1))))</f>
        <v/>
      </c>
      <c r="AR301" s="1" t="str">
        <f>IF(OR($B301="",AR$7=""),"",IF($B301="MEANS",INDEX('1-DATA'!$1:$1048576,$A300-1,COLUMN('1-DATA'!AQ299)),ROUND(INDEX('1-DATA'!$1:$1048576,IF(OR($B301="STD. DEVIATION",$C$1=1),$A301,$A301+1),COLUMN('1-DATA'!AQ299)),IF($B301="STD. DEVIATION",2,$F$1))))</f>
        <v/>
      </c>
      <c r="AS301" s="1" t="str">
        <f>IF(OR($B301="",AS$7=""),"",IF($B301="MEANS",INDEX('1-DATA'!$1:$1048576,$A300-1,COLUMN('1-DATA'!AR299)),ROUND(INDEX('1-DATA'!$1:$1048576,IF(OR($B301="STD. DEVIATION",$C$1=1),$A301,$A301+1),COLUMN('1-DATA'!AR299)),IF($B301="STD. DEVIATION",2,$F$1))))</f>
        <v/>
      </c>
      <c r="AT301" s="1" t="str">
        <f>IF(OR($B301="",AT$7=""),"",IF($B301="MEANS",INDEX('1-DATA'!$1:$1048576,$A300-1,COLUMN('1-DATA'!AS299)),ROUND(INDEX('1-DATA'!$1:$1048576,IF(OR($B301="STD. DEVIATION",$C$1=1),$A301,$A301+1),COLUMN('1-DATA'!AS299)),IF($B301="STD. DEVIATION",2,$F$1))))</f>
        <v/>
      </c>
      <c r="AU301" s="1" t="str">
        <f>IF(OR($B301="",AU$7=""),"",IF($B301="MEANS",INDEX('1-DATA'!$1:$1048576,$A300-1,COLUMN('1-DATA'!AT299)),ROUND(INDEX('1-DATA'!$1:$1048576,IF(OR($B301="STD. DEVIATION",$C$1=1),$A301,$A301+1),COLUMN('1-DATA'!AT299)),IF($B301="STD. DEVIATION",2,$F$1))))</f>
        <v/>
      </c>
      <c r="AV301" s="1" t="str">
        <f>IF(OR($B301="",AV$7=""),"",IF($B301="MEANS",INDEX('1-DATA'!$1:$1048576,$A300-1,COLUMN('1-DATA'!AU299)),ROUND(INDEX('1-DATA'!$1:$1048576,IF(OR($B301="STD. DEVIATION",$C$1=1),$A301,$A301+1),COLUMN('1-DATA'!AU299)),IF($B301="STD. DEVIATION",2,$F$1))))</f>
        <v/>
      </c>
      <c r="AW301" s="1" t="str">
        <f>IF(OR($B301="",AW$7=""),"",IF($B301="MEANS",INDEX('1-DATA'!$1:$1048576,$A300-1,COLUMN('1-DATA'!AV299)),ROUND(INDEX('1-DATA'!$1:$1048576,IF(OR($B301="STD. DEVIATION",$C$1=1),$A301,$A301+1),COLUMN('1-DATA'!AV299)),IF($B301="STD. DEVIATION",2,$F$1))))</f>
        <v/>
      </c>
      <c r="AX301" s="1" t="str">
        <f>IF(OR($B301="",AX$7=""),"",IF($B301="MEANS",INDEX('1-DATA'!$1:$1048576,$A300-1,COLUMN('1-DATA'!AW299)),ROUND(INDEX('1-DATA'!$1:$1048576,IF(OR($B301="STD. DEVIATION",$C$1=1),$A301,$A301+1),COLUMN('1-DATA'!AW299)),IF($B301="STD. DEVIATION",2,$F$1))))</f>
        <v/>
      </c>
      <c r="AY301" s="1" t="str">
        <f>IF(OR($B301="",AY$7=""),"",IF($B301="MEANS",INDEX('1-DATA'!$1:$1048576,$A300-1,COLUMN('1-DATA'!AX299)),ROUND(INDEX('1-DATA'!$1:$1048576,IF(OR($B301="STD. DEVIATION",$C$1=1),$A301,$A301+1),COLUMN('1-DATA'!AX299)),IF($B301="STD. DEVIATION",2,$F$1))))</f>
        <v/>
      </c>
      <c r="AZ301" s="1" t="str">
        <f>IF(OR($B301="",AZ$7=""),"",IF($B301="MEANS",INDEX('1-DATA'!$1:$1048576,$A300-1,COLUMN('1-DATA'!AY299)),ROUND(INDEX('1-DATA'!$1:$1048576,IF(OR($B301="STD. DEVIATION",$C$1=1),$A301,$A301+1),COLUMN('1-DATA'!AY299)),IF($B301="STD. DEVIATION",2,$F$1))))</f>
        <v/>
      </c>
    </row>
    <row r="302" spans="1:52" x14ac:dyDescent="0.25">
      <c r="A302" s="11">
        <f t="shared" si="5"/>
        <v>892</v>
      </c>
      <c r="B302" s="1" t="str">
        <f>IF(B301="STD. DEVIATION",INDEX('1-DATA'!$1:$1048576,$A301-1,1),IF(INDEX('1-DATA'!$1:$1048576,$A302,1)&lt;&gt;"",INDEX('1-DATA'!$1:$1048576,$A302,1),""))</f>
        <v/>
      </c>
      <c r="C302" s="1" t="str">
        <f>IF(OR($B302="",C$7=""),"",IF($B302="MEANS",INDEX('1-DATA'!$1:$1048576,$A301-1,COLUMN('1-DATA'!B300)),ROUND(INDEX('1-DATA'!$1:$1048576,IF(OR($B302="STD. DEVIATION",$C$1=1),$A302,$A302+1),COLUMN('1-DATA'!B300)),IF($B302="STD. DEVIATION",2,$F$1))))</f>
        <v/>
      </c>
      <c r="D302" s="1" t="str">
        <f>IF(OR($B302="",D$7=""),"",IF($B302="MEANS",INDEX('1-DATA'!$1:$1048576,$A301-1,COLUMN('1-DATA'!C300)),ROUND(INDEX('1-DATA'!$1:$1048576,IF(OR($B302="STD. DEVIATION",$C$1=1),$A302,$A302+1),COLUMN('1-DATA'!C300)),IF($B302="STD. DEVIATION",2,$F$1))))</f>
        <v/>
      </c>
      <c r="E302" s="1" t="str">
        <f>IF(OR($B302="",E$7=""),"",IF($B302="MEANS",INDEX('1-DATA'!$1:$1048576,$A301-1,COLUMN('1-DATA'!D300)),ROUND(INDEX('1-DATA'!$1:$1048576,IF(OR($B302="STD. DEVIATION",$C$1=1),$A302,$A302+1),COLUMN('1-DATA'!D300)),IF($B302="STD. DEVIATION",2,$F$1))))</f>
        <v/>
      </c>
      <c r="F302" s="1" t="str">
        <f>IF(OR($B302="",F$7=""),"",IF($B302="MEANS",INDEX('1-DATA'!$1:$1048576,$A301-1,COLUMN('1-DATA'!E300)),ROUND(INDEX('1-DATA'!$1:$1048576,IF(OR($B302="STD. DEVIATION",$C$1=1),$A302,$A302+1),COLUMN('1-DATA'!E300)),IF($B302="STD. DEVIATION",2,$F$1))))</f>
        <v/>
      </c>
      <c r="G302" s="1" t="str">
        <f>IF(OR($B302="",G$7=""),"",IF($B302="MEANS",INDEX('1-DATA'!$1:$1048576,$A301-1,COLUMN('1-DATA'!F300)),ROUND(INDEX('1-DATA'!$1:$1048576,IF(OR($B302="STD. DEVIATION",$C$1=1),$A302,$A302+1),COLUMN('1-DATA'!F300)),IF($B302="STD. DEVIATION",2,$F$1))))</f>
        <v/>
      </c>
      <c r="H302" s="1" t="str">
        <f>IF(OR($B302="",H$7=""),"",IF($B302="MEANS",INDEX('1-DATA'!$1:$1048576,$A301-1,COLUMN('1-DATA'!G300)),ROUND(INDEX('1-DATA'!$1:$1048576,IF(OR($B302="STD. DEVIATION",$C$1=1),$A302,$A302+1),COLUMN('1-DATA'!G300)),IF($B302="STD. DEVIATION",2,$F$1))))</f>
        <v/>
      </c>
      <c r="I302" s="1" t="str">
        <f>IF(OR($B302="",I$7=""),"",IF($B302="MEANS",INDEX('1-DATA'!$1:$1048576,$A301-1,COLUMN('1-DATA'!H300)),ROUND(INDEX('1-DATA'!$1:$1048576,IF(OR($B302="STD. DEVIATION",$C$1=1),$A302,$A302+1),COLUMN('1-DATA'!H300)),IF($B302="STD. DEVIATION",2,$F$1))))</f>
        <v/>
      </c>
      <c r="J302" s="1" t="str">
        <f>IF(OR($B302="",J$7=""),"",IF($B302="MEANS",INDEX('1-DATA'!$1:$1048576,$A301-1,COLUMN('1-DATA'!I300)),ROUND(INDEX('1-DATA'!$1:$1048576,IF(OR($B302="STD. DEVIATION",$C$1=1),$A302,$A302+1),COLUMN('1-DATA'!I300)),IF($B302="STD. DEVIATION",2,$F$1))))</f>
        <v/>
      </c>
      <c r="K302" s="1" t="str">
        <f>IF(OR($B302="",K$7=""),"",IF($B302="MEANS",INDEX('1-DATA'!$1:$1048576,$A301-1,COLUMN('1-DATA'!J300)),ROUND(INDEX('1-DATA'!$1:$1048576,IF(OR($B302="STD. DEVIATION",$C$1=1),$A302,$A302+1),COLUMN('1-DATA'!J300)),IF($B302="STD. DEVIATION",2,$F$1))))</f>
        <v/>
      </c>
      <c r="L302" s="1" t="str">
        <f>IF(OR($B302="",L$7=""),"",IF($B302="MEANS",INDEX('1-DATA'!$1:$1048576,$A301-1,COLUMN('1-DATA'!K300)),ROUND(INDEX('1-DATA'!$1:$1048576,IF(OR($B302="STD. DEVIATION",$C$1=1),$A302,$A302+1),COLUMN('1-DATA'!K300)),IF($B302="STD. DEVIATION",2,$F$1))))</f>
        <v/>
      </c>
      <c r="M302" s="1" t="str">
        <f>IF(OR($B302="",M$7=""),"",IF($B302="MEANS",INDEX('1-DATA'!$1:$1048576,$A301-1,COLUMN('1-DATA'!L300)),ROUND(INDEX('1-DATA'!$1:$1048576,IF(OR($B302="STD. DEVIATION",$C$1=1),$A302,$A302+1),COLUMN('1-DATA'!L300)),IF($B302="STD. DEVIATION",2,$F$1))))</f>
        <v/>
      </c>
      <c r="N302" s="1" t="str">
        <f>IF(OR($B302="",N$7=""),"",IF($B302="MEANS",INDEX('1-DATA'!$1:$1048576,$A301-1,COLUMN('1-DATA'!M300)),ROUND(INDEX('1-DATA'!$1:$1048576,IF(OR($B302="STD. DEVIATION",$C$1=1),$A302,$A302+1),COLUMN('1-DATA'!M300)),IF($B302="STD. DEVIATION",2,$F$1))))</f>
        <v/>
      </c>
      <c r="O302" s="1" t="str">
        <f>IF(OR($B302="",O$7=""),"",IF($B302="MEANS",INDEX('1-DATA'!$1:$1048576,$A301-1,COLUMN('1-DATA'!N300)),ROUND(INDEX('1-DATA'!$1:$1048576,IF(OR($B302="STD. DEVIATION",$C$1=1),$A302,$A302+1),COLUMN('1-DATA'!N300)),IF($B302="STD. DEVIATION",2,$F$1))))</f>
        <v/>
      </c>
      <c r="P302" s="1" t="str">
        <f>IF(OR($B302="",P$7=""),"",IF($B302="MEANS",INDEX('1-DATA'!$1:$1048576,$A301-1,COLUMN('1-DATA'!O300)),ROUND(INDEX('1-DATA'!$1:$1048576,IF(OR($B302="STD. DEVIATION",$C$1=1),$A302,$A302+1),COLUMN('1-DATA'!O300)),IF($B302="STD. DEVIATION",2,$F$1))))</f>
        <v/>
      </c>
      <c r="Q302" s="1" t="str">
        <f>IF(OR($B302="",Q$7=""),"",IF($B302="MEANS",INDEX('1-DATA'!$1:$1048576,$A301-1,COLUMN('1-DATA'!P300)),ROUND(INDEX('1-DATA'!$1:$1048576,IF(OR($B302="STD. DEVIATION",$C$1=1),$A302,$A302+1),COLUMN('1-DATA'!P300)),IF($B302="STD. DEVIATION",2,$F$1))))</f>
        <v/>
      </c>
      <c r="R302" s="1" t="str">
        <f>IF(OR($B302="",R$7=""),"",IF($B302="MEANS",INDEX('1-DATA'!$1:$1048576,$A301-1,COLUMN('1-DATA'!Q300)),ROUND(INDEX('1-DATA'!$1:$1048576,IF(OR($B302="STD. DEVIATION",$C$1=1),$A302,$A302+1),COLUMN('1-DATA'!Q300)),IF($B302="STD. DEVIATION",2,$F$1))))</f>
        <v/>
      </c>
      <c r="S302" s="1" t="str">
        <f>IF(OR($B302="",S$7=""),"",IF($B302="MEANS",INDEX('1-DATA'!$1:$1048576,$A301-1,COLUMN('1-DATA'!R300)),ROUND(INDEX('1-DATA'!$1:$1048576,IF(OR($B302="STD. DEVIATION",$C$1=1),$A302,$A302+1),COLUMN('1-DATA'!R300)),IF($B302="STD. DEVIATION",2,$F$1))))</f>
        <v/>
      </c>
      <c r="T302" s="1" t="str">
        <f>IF(OR($B302="",T$7=""),"",IF($B302="MEANS",INDEX('1-DATA'!$1:$1048576,$A301-1,COLUMN('1-DATA'!S300)),ROUND(INDEX('1-DATA'!$1:$1048576,IF(OR($B302="STD. DEVIATION",$C$1=1),$A302,$A302+1),COLUMN('1-DATA'!S300)),IF($B302="STD. DEVIATION",2,$F$1))))</f>
        <v/>
      </c>
      <c r="U302" s="1" t="str">
        <f>IF(OR($B302="",U$7=""),"",IF($B302="MEANS",INDEX('1-DATA'!$1:$1048576,$A301-1,COLUMN('1-DATA'!T300)),ROUND(INDEX('1-DATA'!$1:$1048576,IF(OR($B302="STD. DEVIATION",$C$1=1),$A302,$A302+1),COLUMN('1-DATA'!T300)),IF($B302="STD. DEVIATION",2,$F$1))))</f>
        <v/>
      </c>
      <c r="V302" s="1" t="str">
        <f>IF(OR($B302="",V$7=""),"",IF($B302="MEANS",INDEX('1-DATA'!$1:$1048576,$A301-1,COLUMN('1-DATA'!U300)),ROUND(INDEX('1-DATA'!$1:$1048576,IF(OR($B302="STD. DEVIATION",$C$1=1),$A302,$A302+1),COLUMN('1-DATA'!U300)),IF($B302="STD. DEVIATION",2,$F$1))))</f>
        <v/>
      </c>
      <c r="W302" s="1" t="str">
        <f>IF(OR($B302="",W$7=""),"",IF($B302="MEANS",INDEX('1-DATA'!$1:$1048576,$A301-1,COLUMN('1-DATA'!V300)),ROUND(INDEX('1-DATA'!$1:$1048576,IF(OR($B302="STD. DEVIATION",$C$1=1),$A302,$A302+1),COLUMN('1-DATA'!V300)),IF($B302="STD. DEVIATION",2,$F$1))))</f>
        <v/>
      </c>
      <c r="X302" s="1" t="str">
        <f>IF(OR($B302="",X$7=""),"",IF($B302="MEANS",INDEX('1-DATA'!$1:$1048576,$A301-1,COLUMN('1-DATA'!W300)),ROUND(INDEX('1-DATA'!$1:$1048576,IF(OR($B302="STD. DEVIATION",$C$1=1),$A302,$A302+1),COLUMN('1-DATA'!W300)),IF($B302="STD. DEVIATION",2,$F$1))))</f>
        <v/>
      </c>
      <c r="Y302" s="1" t="str">
        <f>IF(OR($B302="",Y$7=""),"",IF($B302="MEANS",INDEX('1-DATA'!$1:$1048576,$A301-1,COLUMN('1-DATA'!X300)),ROUND(INDEX('1-DATA'!$1:$1048576,IF(OR($B302="STD. DEVIATION",$C$1=1),$A302,$A302+1),COLUMN('1-DATA'!X300)),IF($B302="STD. DEVIATION",2,$F$1))))</f>
        <v/>
      </c>
      <c r="Z302" s="1" t="str">
        <f>IF(OR($B302="",Z$7=""),"",IF($B302="MEANS",INDEX('1-DATA'!$1:$1048576,$A301-1,COLUMN('1-DATA'!Y300)),ROUND(INDEX('1-DATA'!$1:$1048576,IF(OR($B302="STD. DEVIATION",$C$1=1),$A302,$A302+1),COLUMN('1-DATA'!Y300)),IF($B302="STD. DEVIATION",2,$F$1))))</f>
        <v/>
      </c>
      <c r="AA302" s="1" t="str">
        <f>IF(OR($B302="",AA$7=""),"",IF($B302="MEANS",INDEX('1-DATA'!$1:$1048576,$A301-1,COLUMN('1-DATA'!Z300)),ROUND(INDEX('1-DATA'!$1:$1048576,IF(OR($B302="STD. DEVIATION",$C$1=1),$A302,$A302+1),COLUMN('1-DATA'!Z300)),IF($B302="STD. DEVIATION",2,$F$1))))</f>
        <v/>
      </c>
      <c r="AB302" s="1" t="str">
        <f>IF(OR($B302="",AB$7=""),"",IF($B302="MEANS",INDEX('1-DATA'!$1:$1048576,$A301-1,COLUMN('1-DATA'!AA300)),ROUND(INDEX('1-DATA'!$1:$1048576,IF(OR($B302="STD. DEVIATION",$C$1=1),$A302,$A302+1),COLUMN('1-DATA'!AA300)),IF($B302="STD. DEVIATION",2,$F$1))))</f>
        <v/>
      </c>
      <c r="AC302" s="1" t="str">
        <f>IF(OR($B302="",AC$7=""),"",IF($B302="MEANS",INDEX('1-DATA'!$1:$1048576,$A301-1,COLUMN('1-DATA'!AB300)),ROUND(INDEX('1-DATA'!$1:$1048576,IF(OR($B302="STD. DEVIATION",$C$1=1),$A302,$A302+1),COLUMN('1-DATA'!AB300)),IF($B302="STD. DEVIATION",2,$F$1))))</f>
        <v/>
      </c>
      <c r="AD302" s="1" t="str">
        <f>IF(OR($B302="",AD$7=""),"",IF($B302="MEANS",INDEX('1-DATA'!$1:$1048576,$A301-1,COLUMN('1-DATA'!AC300)),ROUND(INDEX('1-DATA'!$1:$1048576,IF(OR($B302="STD. DEVIATION",$C$1=1),$A302,$A302+1),COLUMN('1-DATA'!AC300)),IF($B302="STD. DEVIATION",2,$F$1))))</f>
        <v/>
      </c>
      <c r="AE302" s="1" t="str">
        <f>IF(OR($B302="",AE$7=""),"",IF($B302="MEANS",INDEX('1-DATA'!$1:$1048576,$A301-1,COLUMN('1-DATA'!AD300)),ROUND(INDEX('1-DATA'!$1:$1048576,IF(OR($B302="STD. DEVIATION",$C$1=1),$A302,$A302+1),COLUMN('1-DATA'!AD300)),IF($B302="STD. DEVIATION",2,$F$1))))</f>
        <v/>
      </c>
      <c r="AF302" s="1" t="str">
        <f>IF(OR($B302="",AF$7=""),"",IF($B302="MEANS",INDEX('1-DATA'!$1:$1048576,$A301-1,COLUMN('1-DATA'!AE300)),ROUND(INDEX('1-DATA'!$1:$1048576,IF(OR($B302="STD. DEVIATION",$C$1=1),$A302,$A302+1),COLUMN('1-DATA'!AE300)),IF($B302="STD. DEVIATION",2,$F$1))))</f>
        <v/>
      </c>
      <c r="AG302" s="1" t="str">
        <f>IF(OR($B302="",AG$7=""),"",IF($B302="MEANS",INDEX('1-DATA'!$1:$1048576,$A301-1,COLUMN('1-DATA'!AF300)),ROUND(INDEX('1-DATA'!$1:$1048576,IF(OR($B302="STD. DEVIATION",$C$1=1),$A302,$A302+1),COLUMN('1-DATA'!AF300)),IF($B302="STD. DEVIATION",2,$F$1))))</f>
        <v/>
      </c>
      <c r="AH302" s="1" t="str">
        <f>IF(OR($B302="",AH$7=""),"",IF($B302="MEANS",INDEX('1-DATA'!$1:$1048576,$A301-1,COLUMN('1-DATA'!AG300)),ROUND(INDEX('1-DATA'!$1:$1048576,IF(OR($B302="STD. DEVIATION",$C$1=1),$A302,$A302+1),COLUMN('1-DATA'!AG300)),IF($B302="STD. DEVIATION",2,$F$1))))</f>
        <v/>
      </c>
      <c r="AI302" s="1" t="str">
        <f>IF(OR($B302="",AI$7=""),"",IF($B302="MEANS",INDEX('1-DATA'!$1:$1048576,$A301-1,COLUMN('1-DATA'!AH300)),ROUND(INDEX('1-DATA'!$1:$1048576,IF(OR($B302="STD. DEVIATION",$C$1=1),$A302,$A302+1),COLUMN('1-DATA'!AH300)),IF($B302="STD. DEVIATION",2,$F$1))))</f>
        <v/>
      </c>
      <c r="AJ302" s="1" t="str">
        <f>IF(OR($B302="",AJ$7=""),"",IF($B302="MEANS",INDEX('1-DATA'!$1:$1048576,$A301-1,COLUMN('1-DATA'!AI300)),ROUND(INDEX('1-DATA'!$1:$1048576,IF(OR($B302="STD. DEVIATION",$C$1=1),$A302,$A302+1),COLUMN('1-DATA'!AI300)),IF($B302="STD. DEVIATION",2,$F$1))))</f>
        <v/>
      </c>
      <c r="AK302" s="1" t="str">
        <f>IF(OR($B302="",AK$7=""),"",IF($B302="MEANS",INDEX('1-DATA'!$1:$1048576,$A301-1,COLUMN('1-DATA'!AJ300)),ROUND(INDEX('1-DATA'!$1:$1048576,IF(OR($B302="STD. DEVIATION",$C$1=1),$A302,$A302+1),COLUMN('1-DATA'!AJ300)),IF($B302="STD. DEVIATION",2,$F$1))))</f>
        <v/>
      </c>
      <c r="AL302" s="1" t="str">
        <f>IF(OR($B302="",AL$7=""),"",IF($B302="MEANS",INDEX('1-DATA'!$1:$1048576,$A301-1,COLUMN('1-DATA'!AK300)),ROUND(INDEX('1-DATA'!$1:$1048576,IF(OR($B302="STD. DEVIATION",$C$1=1),$A302,$A302+1),COLUMN('1-DATA'!AK300)),IF($B302="STD. DEVIATION",2,$F$1))))</f>
        <v/>
      </c>
      <c r="AM302" s="1" t="str">
        <f>IF(OR($B302="",AM$7=""),"",IF($B302="MEANS",INDEX('1-DATA'!$1:$1048576,$A301-1,COLUMN('1-DATA'!AL300)),ROUND(INDEX('1-DATA'!$1:$1048576,IF(OR($B302="STD. DEVIATION",$C$1=1),$A302,$A302+1),COLUMN('1-DATA'!AL300)),IF($B302="STD. DEVIATION",2,$F$1))))</f>
        <v/>
      </c>
      <c r="AN302" s="1" t="str">
        <f>IF(OR($B302="",AN$7=""),"",IF($B302="MEANS",INDEX('1-DATA'!$1:$1048576,$A301-1,COLUMN('1-DATA'!AM300)),ROUND(INDEX('1-DATA'!$1:$1048576,IF(OR($B302="STD. DEVIATION",$C$1=1),$A302,$A302+1),COLUMN('1-DATA'!AM300)),IF($B302="STD. DEVIATION",2,$F$1))))</f>
        <v/>
      </c>
      <c r="AO302" s="1" t="str">
        <f>IF(OR($B302="",AO$7=""),"",IF($B302="MEANS",INDEX('1-DATA'!$1:$1048576,$A301-1,COLUMN('1-DATA'!AN300)),ROUND(INDEX('1-DATA'!$1:$1048576,IF(OR($B302="STD. DEVIATION",$C$1=1),$A302,$A302+1),COLUMN('1-DATA'!AN300)),IF($B302="STD. DEVIATION",2,$F$1))))</f>
        <v/>
      </c>
      <c r="AP302" s="1" t="str">
        <f>IF(OR($B302="",AP$7=""),"",IF($B302="MEANS",INDEX('1-DATA'!$1:$1048576,$A301-1,COLUMN('1-DATA'!AO300)),ROUND(INDEX('1-DATA'!$1:$1048576,IF(OR($B302="STD. DEVIATION",$C$1=1),$A302,$A302+1),COLUMN('1-DATA'!AO300)),IF($B302="STD. DEVIATION",2,$F$1))))</f>
        <v/>
      </c>
      <c r="AQ302" s="1" t="str">
        <f>IF(OR($B302="",AQ$7=""),"",IF($B302="MEANS",INDEX('1-DATA'!$1:$1048576,$A301-1,COLUMN('1-DATA'!AP300)),ROUND(INDEX('1-DATA'!$1:$1048576,IF(OR($B302="STD. DEVIATION",$C$1=1),$A302,$A302+1),COLUMN('1-DATA'!AP300)),IF($B302="STD. DEVIATION",2,$F$1))))</f>
        <v/>
      </c>
      <c r="AR302" s="1" t="str">
        <f>IF(OR($B302="",AR$7=""),"",IF($B302="MEANS",INDEX('1-DATA'!$1:$1048576,$A301-1,COLUMN('1-DATA'!AQ300)),ROUND(INDEX('1-DATA'!$1:$1048576,IF(OR($B302="STD. DEVIATION",$C$1=1),$A302,$A302+1),COLUMN('1-DATA'!AQ300)),IF($B302="STD. DEVIATION",2,$F$1))))</f>
        <v/>
      </c>
      <c r="AS302" s="1" t="str">
        <f>IF(OR($B302="",AS$7=""),"",IF($B302="MEANS",INDEX('1-DATA'!$1:$1048576,$A301-1,COLUMN('1-DATA'!AR300)),ROUND(INDEX('1-DATA'!$1:$1048576,IF(OR($B302="STD. DEVIATION",$C$1=1),$A302,$A302+1),COLUMN('1-DATA'!AR300)),IF($B302="STD. DEVIATION",2,$F$1))))</f>
        <v/>
      </c>
      <c r="AT302" s="1" t="str">
        <f>IF(OR($B302="",AT$7=""),"",IF($B302="MEANS",INDEX('1-DATA'!$1:$1048576,$A301-1,COLUMN('1-DATA'!AS300)),ROUND(INDEX('1-DATA'!$1:$1048576,IF(OR($B302="STD. DEVIATION",$C$1=1),$A302,$A302+1),COLUMN('1-DATA'!AS300)),IF($B302="STD. DEVIATION",2,$F$1))))</f>
        <v/>
      </c>
      <c r="AU302" s="1" t="str">
        <f>IF(OR($B302="",AU$7=""),"",IF($B302="MEANS",INDEX('1-DATA'!$1:$1048576,$A301-1,COLUMN('1-DATA'!AT300)),ROUND(INDEX('1-DATA'!$1:$1048576,IF(OR($B302="STD. DEVIATION",$C$1=1),$A302,$A302+1),COLUMN('1-DATA'!AT300)),IF($B302="STD. DEVIATION",2,$F$1))))</f>
        <v/>
      </c>
      <c r="AV302" s="1" t="str">
        <f>IF(OR($B302="",AV$7=""),"",IF($B302="MEANS",INDEX('1-DATA'!$1:$1048576,$A301-1,COLUMN('1-DATA'!AU300)),ROUND(INDEX('1-DATA'!$1:$1048576,IF(OR($B302="STD. DEVIATION",$C$1=1),$A302,$A302+1),COLUMN('1-DATA'!AU300)),IF($B302="STD. DEVIATION",2,$F$1))))</f>
        <v/>
      </c>
      <c r="AW302" s="1" t="str">
        <f>IF(OR($B302="",AW$7=""),"",IF($B302="MEANS",INDEX('1-DATA'!$1:$1048576,$A301-1,COLUMN('1-DATA'!AV300)),ROUND(INDEX('1-DATA'!$1:$1048576,IF(OR($B302="STD. DEVIATION",$C$1=1),$A302,$A302+1),COLUMN('1-DATA'!AV300)),IF($B302="STD. DEVIATION",2,$F$1))))</f>
        <v/>
      </c>
      <c r="AX302" s="1" t="str">
        <f>IF(OR($B302="",AX$7=""),"",IF($B302="MEANS",INDEX('1-DATA'!$1:$1048576,$A301-1,COLUMN('1-DATA'!AW300)),ROUND(INDEX('1-DATA'!$1:$1048576,IF(OR($B302="STD. DEVIATION",$C$1=1),$A302,$A302+1),COLUMN('1-DATA'!AW300)),IF($B302="STD. DEVIATION",2,$F$1))))</f>
        <v/>
      </c>
      <c r="AY302" s="1" t="str">
        <f>IF(OR($B302="",AY$7=""),"",IF($B302="MEANS",INDEX('1-DATA'!$1:$1048576,$A301-1,COLUMN('1-DATA'!AX300)),ROUND(INDEX('1-DATA'!$1:$1048576,IF(OR($B302="STD. DEVIATION",$C$1=1),$A302,$A302+1),COLUMN('1-DATA'!AX300)),IF($B302="STD. DEVIATION",2,$F$1))))</f>
        <v/>
      </c>
      <c r="AZ302" s="1" t="str">
        <f>IF(OR($B302="",AZ$7=""),"",IF($B302="MEANS",INDEX('1-DATA'!$1:$1048576,$A301-1,COLUMN('1-DATA'!AY300)),ROUND(INDEX('1-DATA'!$1:$1048576,IF(OR($B302="STD. DEVIATION",$C$1=1),$A302,$A302+1),COLUMN('1-DATA'!AY300)),IF($B302="STD. DEVIATION",2,$F$1))))</f>
        <v/>
      </c>
    </row>
    <row r="303" spans="1:52" x14ac:dyDescent="0.25">
      <c r="A303" s="11">
        <f t="shared" si="5"/>
        <v>895</v>
      </c>
      <c r="B303" s="1" t="str">
        <f>IF(B302="STD. DEVIATION",INDEX('1-DATA'!$1:$1048576,$A302-1,1),IF(INDEX('1-DATA'!$1:$1048576,$A303,1)&lt;&gt;"",INDEX('1-DATA'!$1:$1048576,$A303,1),""))</f>
        <v/>
      </c>
      <c r="C303" s="1" t="str">
        <f>IF(OR($B303="",C$7=""),"",IF($B303="MEANS",INDEX('1-DATA'!$1:$1048576,$A302-1,COLUMN('1-DATA'!B301)),ROUND(INDEX('1-DATA'!$1:$1048576,IF(OR($B303="STD. DEVIATION",$C$1=1),$A303,$A303+1),COLUMN('1-DATA'!B301)),IF($B303="STD. DEVIATION",2,$F$1))))</f>
        <v/>
      </c>
      <c r="D303" s="1" t="str">
        <f>IF(OR($B303="",D$7=""),"",IF($B303="MEANS",INDEX('1-DATA'!$1:$1048576,$A302-1,COLUMN('1-DATA'!C301)),ROUND(INDEX('1-DATA'!$1:$1048576,IF(OR($B303="STD. DEVIATION",$C$1=1),$A303,$A303+1),COLUMN('1-DATA'!C301)),IF($B303="STD. DEVIATION",2,$F$1))))</f>
        <v/>
      </c>
      <c r="E303" s="1" t="str">
        <f>IF(OR($B303="",E$7=""),"",IF($B303="MEANS",INDEX('1-DATA'!$1:$1048576,$A302-1,COLUMN('1-DATA'!D301)),ROUND(INDEX('1-DATA'!$1:$1048576,IF(OR($B303="STD. DEVIATION",$C$1=1),$A303,$A303+1),COLUMN('1-DATA'!D301)),IF($B303="STD. DEVIATION",2,$F$1))))</f>
        <v/>
      </c>
      <c r="F303" s="1" t="str">
        <f>IF(OR($B303="",F$7=""),"",IF($B303="MEANS",INDEX('1-DATA'!$1:$1048576,$A302-1,COLUMN('1-DATA'!E301)),ROUND(INDEX('1-DATA'!$1:$1048576,IF(OR($B303="STD. DEVIATION",$C$1=1),$A303,$A303+1),COLUMN('1-DATA'!E301)),IF($B303="STD. DEVIATION",2,$F$1))))</f>
        <v/>
      </c>
      <c r="G303" s="1" t="str">
        <f>IF(OR($B303="",G$7=""),"",IF($B303="MEANS",INDEX('1-DATA'!$1:$1048576,$A302-1,COLUMN('1-DATA'!F301)),ROUND(INDEX('1-DATA'!$1:$1048576,IF(OR($B303="STD. DEVIATION",$C$1=1),$A303,$A303+1),COLUMN('1-DATA'!F301)),IF($B303="STD. DEVIATION",2,$F$1))))</f>
        <v/>
      </c>
      <c r="H303" s="1" t="str">
        <f>IF(OR($B303="",H$7=""),"",IF($B303="MEANS",INDEX('1-DATA'!$1:$1048576,$A302-1,COLUMN('1-DATA'!G301)),ROUND(INDEX('1-DATA'!$1:$1048576,IF(OR($B303="STD. DEVIATION",$C$1=1),$A303,$A303+1),COLUMN('1-DATA'!G301)),IF($B303="STD. DEVIATION",2,$F$1))))</f>
        <v/>
      </c>
      <c r="I303" s="1" t="str">
        <f>IF(OR($B303="",I$7=""),"",IF($B303="MEANS",INDEX('1-DATA'!$1:$1048576,$A302-1,COLUMN('1-DATA'!H301)),ROUND(INDEX('1-DATA'!$1:$1048576,IF(OR($B303="STD. DEVIATION",$C$1=1),$A303,$A303+1),COLUMN('1-DATA'!H301)),IF($B303="STD. DEVIATION",2,$F$1))))</f>
        <v/>
      </c>
      <c r="J303" s="1" t="str">
        <f>IF(OR($B303="",J$7=""),"",IF($B303="MEANS",INDEX('1-DATA'!$1:$1048576,$A302-1,COLUMN('1-DATA'!I301)),ROUND(INDEX('1-DATA'!$1:$1048576,IF(OR($B303="STD. DEVIATION",$C$1=1),$A303,$A303+1),COLUMN('1-DATA'!I301)),IF($B303="STD. DEVIATION",2,$F$1))))</f>
        <v/>
      </c>
      <c r="K303" s="1" t="str">
        <f>IF(OR($B303="",K$7=""),"",IF($B303="MEANS",INDEX('1-DATA'!$1:$1048576,$A302-1,COLUMN('1-DATA'!J301)),ROUND(INDEX('1-DATA'!$1:$1048576,IF(OR($B303="STD. DEVIATION",$C$1=1),$A303,$A303+1),COLUMN('1-DATA'!J301)),IF($B303="STD. DEVIATION",2,$F$1))))</f>
        <v/>
      </c>
      <c r="L303" s="1" t="str">
        <f>IF(OR($B303="",L$7=""),"",IF($B303="MEANS",INDEX('1-DATA'!$1:$1048576,$A302-1,COLUMN('1-DATA'!K301)),ROUND(INDEX('1-DATA'!$1:$1048576,IF(OR($B303="STD. DEVIATION",$C$1=1),$A303,$A303+1),COLUMN('1-DATA'!K301)),IF($B303="STD. DEVIATION",2,$F$1))))</f>
        <v/>
      </c>
      <c r="M303" s="1" t="str">
        <f>IF(OR($B303="",M$7=""),"",IF($B303="MEANS",INDEX('1-DATA'!$1:$1048576,$A302-1,COLUMN('1-DATA'!L301)),ROUND(INDEX('1-DATA'!$1:$1048576,IF(OR($B303="STD. DEVIATION",$C$1=1),$A303,$A303+1),COLUMN('1-DATA'!L301)),IF($B303="STD. DEVIATION",2,$F$1))))</f>
        <v/>
      </c>
      <c r="N303" s="1" t="str">
        <f>IF(OR($B303="",N$7=""),"",IF($B303="MEANS",INDEX('1-DATA'!$1:$1048576,$A302-1,COLUMN('1-DATA'!M301)),ROUND(INDEX('1-DATA'!$1:$1048576,IF(OR($B303="STD. DEVIATION",$C$1=1),$A303,$A303+1),COLUMN('1-DATA'!M301)),IF($B303="STD. DEVIATION",2,$F$1))))</f>
        <v/>
      </c>
      <c r="O303" s="1" t="str">
        <f>IF(OR($B303="",O$7=""),"",IF($B303="MEANS",INDEX('1-DATA'!$1:$1048576,$A302-1,COLUMN('1-DATA'!N301)),ROUND(INDEX('1-DATA'!$1:$1048576,IF(OR($B303="STD. DEVIATION",$C$1=1),$A303,$A303+1),COLUMN('1-DATA'!N301)),IF($B303="STD. DEVIATION",2,$F$1))))</f>
        <v/>
      </c>
      <c r="P303" s="1" t="str">
        <f>IF(OR($B303="",P$7=""),"",IF($B303="MEANS",INDEX('1-DATA'!$1:$1048576,$A302-1,COLUMN('1-DATA'!O301)),ROUND(INDEX('1-DATA'!$1:$1048576,IF(OR($B303="STD. DEVIATION",$C$1=1),$A303,$A303+1),COLUMN('1-DATA'!O301)),IF($B303="STD. DEVIATION",2,$F$1))))</f>
        <v/>
      </c>
      <c r="Q303" s="1" t="str">
        <f>IF(OR($B303="",Q$7=""),"",IF($B303="MEANS",INDEX('1-DATA'!$1:$1048576,$A302-1,COLUMN('1-DATA'!P301)),ROUND(INDEX('1-DATA'!$1:$1048576,IF(OR($B303="STD. DEVIATION",$C$1=1),$A303,$A303+1),COLUMN('1-DATA'!P301)),IF($B303="STD. DEVIATION",2,$F$1))))</f>
        <v/>
      </c>
      <c r="R303" s="1" t="str">
        <f>IF(OR($B303="",R$7=""),"",IF($B303="MEANS",INDEX('1-DATA'!$1:$1048576,$A302-1,COLUMN('1-DATA'!Q301)),ROUND(INDEX('1-DATA'!$1:$1048576,IF(OR($B303="STD. DEVIATION",$C$1=1),$A303,$A303+1),COLUMN('1-DATA'!Q301)),IF($B303="STD. DEVIATION",2,$F$1))))</f>
        <v/>
      </c>
      <c r="S303" s="1" t="str">
        <f>IF(OR($B303="",S$7=""),"",IF($B303="MEANS",INDEX('1-DATA'!$1:$1048576,$A302-1,COLUMN('1-DATA'!R301)),ROUND(INDEX('1-DATA'!$1:$1048576,IF(OR($B303="STD. DEVIATION",$C$1=1),$A303,$A303+1),COLUMN('1-DATA'!R301)),IF($B303="STD. DEVIATION",2,$F$1))))</f>
        <v/>
      </c>
      <c r="T303" s="1" t="str">
        <f>IF(OR($B303="",T$7=""),"",IF($B303="MEANS",INDEX('1-DATA'!$1:$1048576,$A302-1,COLUMN('1-DATA'!S301)),ROUND(INDEX('1-DATA'!$1:$1048576,IF(OR($B303="STD. DEVIATION",$C$1=1),$A303,$A303+1),COLUMN('1-DATA'!S301)),IF($B303="STD. DEVIATION",2,$F$1))))</f>
        <v/>
      </c>
      <c r="U303" s="1" t="str">
        <f>IF(OR($B303="",U$7=""),"",IF($B303="MEANS",INDEX('1-DATA'!$1:$1048576,$A302-1,COLUMN('1-DATA'!T301)),ROUND(INDEX('1-DATA'!$1:$1048576,IF(OR($B303="STD. DEVIATION",$C$1=1),$A303,$A303+1),COLUMN('1-DATA'!T301)),IF($B303="STD. DEVIATION",2,$F$1))))</f>
        <v/>
      </c>
      <c r="V303" s="1" t="str">
        <f>IF(OR($B303="",V$7=""),"",IF($B303="MEANS",INDEX('1-DATA'!$1:$1048576,$A302-1,COLUMN('1-DATA'!U301)),ROUND(INDEX('1-DATA'!$1:$1048576,IF(OR($B303="STD. DEVIATION",$C$1=1),$A303,$A303+1),COLUMN('1-DATA'!U301)),IF($B303="STD. DEVIATION",2,$F$1))))</f>
        <v/>
      </c>
      <c r="W303" s="1" t="str">
        <f>IF(OR($B303="",W$7=""),"",IF($B303="MEANS",INDEX('1-DATA'!$1:$1048576,$A302-1,COLUMN('1-DATA'!V301)),ROUND(INDEX('1-DATA'!$1:$1048576,IF(OR($B303="STD. DEVIATION",$C$1=1),$A303,$A303+1),COLUMN('1-DATA'!V301)),IF($B303="STD. DEVIATION",2,$F$1))))</f>
        <v/>
      </c>
      <c r="X303" s="1" t="str">
        <f>IF(OR($B303="",X$7=""),"",IF($B303="MEANS",INDEX('1-DATA'!$1:$1048576,$A302-1,COLUMN('1-DATA'!W301)),ROUND(INDEX('1-DATA'!$1:$1048576,IF(OR($B303="STD. DEVIATION",$C$1=1),$A303,$A303+1),COLUMN('1-DATA'!W301)),IF($B303="STD. DEVIATION",2,$F$1))))</f>
        <v/>
      </c>
      <c r="Y303" s="1" t="str">
        <f>IF(OR($B303="",Y$7=""),"",IF($B303="MEANS",INDEX('1-DATA'!$1:$1048576,$A302-1,COLUMN('1-DATA'!X301)),ROUND(INDEX('1-DATA'!$1:$1048576,IF(OR($B303="STD. DEVIATION",$C$1=1),$A303,$A303+1),COLUMN('1-DATA'!X301)),IF($B303="STD. DEVIATION",2,$F$1))))</f>
        <v/>
      </c>
      <c r="Z303" s="1" t="str">
        <f>IF(OR($B303="",Z$7=""),"",IF($B303="MEANS",INDEX('1-DATA'!$1:$1048576,$A302-1,COLUMN('1-DATA'!Y301)),ROUND(INDEX('1-DATA'!$1:$1048576,IF(OR($B303="STD. DEVIATION",$C$1=1),$A303,$A303+1),COLUMN('1-DATA'!Y301)),IF($B303="STD. DEVIATION",2,$F$1))))</f>
        <v/>
      </c>
      <c r="AA303" s="1" t="str">
        <f>IF(OR($B303="",AA$7=""),"",IF($B303="MEANS",INDEX('1-DATA'!$1:$1048576,$A302-1,COLUMN('1-DATA'!Z301)),ROUND(INDEX('1-DATA'!$1:$1048576,IF(OR($B303="STD. DEVIATION",$C$1=1),$A303,$A303+1),COLUMN('1-DATA'!Z301)),IF($B303="STD. DEVIATION",2,$F$1))))</f>
        <v/>
      </c>
      <c r="AB303" s="1" t="str">
        <f>IF(OR($B303="",AB$7=""),"",IF($B303="MEANS",INDEX('1-DATA'!$1:$1048576,$A302-1,COLUMN('1-DATA'!AA301)),ROUND(INDEX('1-DATA'!$1:$1048576,IF(OR($B303="STD. DEVIATION",$C$1=1),$A303,$A303+1),COLUMN('1-DATA'!AA301)),IF($B303="STD. DEVIATION",2,$F$1))))</f>
        <v/>
      </c>
      <c r="AC303" s="1" t="str">
        <f>IF(OR($B303="",AC$7=""),"",IF($B303="MEANS",INDEX('1-DATA'!$1:$1048576,$A302-1,COLUMN('1-DATA'!AB301)),ROUND(INDEX('1-DATA'!$1:$1048576,IF(OR($B303="STD. DEVIATION",$C$1=1),$A303,$A303+1),COLUMN('1-DATA'!AB301)),IF($B303="STD. DEVIATION",2,$F$1))))</f>
        <v/>
      </c>
      <c r="AD303" s="1" t="str">
        <f>IF(OR($B303="",AD$7=""),"",IF($B303="MEANS",INDEX('1-DATA'!$1:$1048576,$A302-1,COLUMN('1-DATA'!AC301)),ROUND(INDEX('1-DATA'!$1:$1048576,IF(OR($B303="STD. DEVIATION",$C$1=1),$A303,$A303+1),COLUMN('1-DATA'!AC301)),IF($B303="STD. DEVIATION",2,$F$1))))</f>
        <v/>
      </c>
      <c r="AE303" s="1" t="str">
        <f>IF(OR($B303="",AE$7=""),"",IF($B303="MEANS",INDEX('1-DATA'!$1:$1048576,$A302-1,COLUMN('1-DATA'!AD301)),ROUND(INDEX('1-DATA'!$1:$1048576,IF(OR($B303="STD. DEVIATION",$C$1=1),$A303,$A303+1),COLUMN('1-DATA'!AD301)),IF($B303="STD. DEVIATION",2,$F$1))))</f>
        <v/>
      </c>
      <c r="AF303" s="1" t="str">
        <f>IF(OR($B303="",AF$7=""),"",IF($B303="MEANS",INDEX('1-DATA'!$1:$1048576,$A302-1,COLUMN('1-DATA'!AE301)),ROUND(INDEX('1-DATA'!$1:$1048576,IF(OR($B303="STD. DEVIATION",$C$1=1),$A303,$A303+1),COLUMN('1-DATA'!AE301)),IF($B303="STD. DEVIATION",2,$F$1))))</f>
        <v/>
      </c>
      <c r="AG303" s="1" t="str">
        <f>IF(OR($B303="",AG$7=""),"",IF($B303="MEANS",INDEX('1-DATA'!$1:$1048576,$A302-1,COLUMN('1-DATA'!AF301)),ROUND(INDEX('1-DATA'!$1:$1048576,IF(OR($B303="STD. DEVIATION",$C$1=1),$A303,$A303+1),COLUMN('1-DATA'!AF301)),IF($B303="STD. DEVIATION",2,$F$1))))</f>
        <v/>
      </c>
      <c r="AH303" s="1" t="str">
        <f>IF(OR($B303="",AH$7=""),"",IF($B303="MEANS",INDEX('1-DATA'!$1:$1048576,$A302-1,COLUMN('1-DATA'!AG301)),ROUND(INDEX('1-DATA'!$1:$1048576,IF(OR($B303="STD. DEVIATION",$C$1=1),$A303,$A303+1),COLUMN('1-DATA'!AG301)),IF($B303="STD. DEVIATION",2,$F$1))))</f>
        <v/>
      </c>
      <c r="AI303" s="1" t="str">
        <f>IF(OR($B303="",AI$7=""),"",IF($B303="MEANS",INDEX('1-DATA'!$1:$1048576,$A302-1,COLUMN('1-DATA'!AH301)),ROUND(INDEX('1-DATA'!$1:$1048576,IF(OR($B303="STD. DEVIATION",$C$1=1),$A303,$A303+1),COLUMN('1-DATA'!AH301)),IF($B303="STD. DEVIATION",2,$F$1))))</f>
        <v/>
      </c>
      <c r="AJ303" s="1" t="str">
        <f>IF(OR($B303="",AJ$7=""),"",IF($B303="MEANS",INDEX('1-DATA'!$1:$1048576,$A302-1,COLUMN('1-DATA'!AI301)),ROUND(INDEX('1-DATA'!$1:$1048576,IF(OR($B303="STD. DEVIATION",$C$1=1),$A303,$A303+1),COLUMN('1-DATA'!AI301)),IF($B303="STD. DEVIATION",2,$F$1))))</f>
        <v/>
      </c>
      <c r="AK303" s="1" t="str">
        <f>IF(OR($B303="",AK$7=""),"",IF($B303="MEANS",INDEX('1-DATA'!$1:$1048576,$A302-1,COLUMN('1-DATA'!AJ301)),ROUND(INDEX('1-DATA'!$1:$1048576,IF(OR($B303="STD. DEVIATION",$C$1=1),$A303,$A303+1),COLUMN('1-DATA'!AJ301)),IF($B303="STD. DEVIATION",2,$F$1))))</f>
        <v/>
      </c>
      <c r="AL303" s="1" t="str">
        <f>IF(OR($B303="",AL$7=""),"",IF($B303="MEANS",INDEX('1-DATA'!$1:$1048576,$A302-1,COLUMN('1-DATA'!AK301)),ROUND(INDEX('1-DATA'!$1:$1048576,IF(OR($B303="STD. DEVIATION",$C$1=1),$A303,$A303+1),COLUMN('1-DATA'!AK301)),IF($B303="STD. DEVIATION",2,$F$1))))</f>
        <v/>
      </c>
      <c r="AM303" s="1" t="str">
        <f>IF(OR($B303="",AM$7=""),"",IF($B303="MEANS",INDEX('1-DATA'!$1:$1048576,$A302-1,COLUMN('1-DATA'!AL301)),ROUND(INDEX('1-DATA'!$1:$1048576,IF(OR($B303="STD. DEVIATION",$C$1=1),$A303,$A303+1),COLUMN('1-DATA'!AL301)),IF($B303="STD. DEVIATION",2,$F$1))))</f>
        <v/>
      </c>
      <c r="AN303" s="1" t="str">
        <f>IF(OR($B303="",AN$7=""),"",IF($B303="MEANS",INDEX('1-DATA'!$1:$1048576,$A302-1,COLUMN('1-DATA'!AM301)),ROUND(INDEX('1-DATA'!$1:$1048576,IF(OR($B303="STD. DEVIATION",$C$1=1),$A303,$A303+1),COLUMN('1-DATA'!AM301)),IF($B303="STD. DEVIATION",2,$F$1))))</f>
        <v/>
      </c>
      <c r="AO303" s="1" t="str">
        <f>IF(OR($B303="",AO$7=""),"",IF($B303="MEANS",INDEX('1-DATA'!$1:$1048576,$A302-1,COLUMN('1-DATA'!AN301)),ROUND(INDEX('1-DATA'!$1:$1048576,IF(OR($B303="STD. DEVIATION",$C$1=1),$A303,$A303+1),COLUMN('1-DATA'!AN301)),IF($B303="STD. DEVIATION",2,$F$1))))</f>
        <v/>
      </c>
      <c r="AP303" s="1" t="str">
        <f>IF(OR($B303="",AP$7=""),"",IF($B303="MEANS",INDEX('1-DATA'!$1:$1048576,$A302-1,COLUMN('1-DATA'!AO301)),ROUND(INDEX('1-DATA'!$1:$1048576,IF(OR($B303="STD. DEVIATION",$C$1=1),$A303,$A303+1),COLUMN('1-DATA'!AO301)),IF($B303="STD. DEVIATION",2,$F$1))))</f>
        <v/>
      </c>
      <c r="AQ303" s="1" t="str">
        <f>IF(OR($B303="",AQ$7=""),"",IF($B303="MEANS",INDEX('1-DATA'!$1:$1048576,$A302-1,COLUMN('1-DATA'!AP301)),ROUND(INDEX('1-DATA'!$1:$1048576,IF(OR($B303="STD. DEVIATION",$C$1=1),$A303,$A303+1),COLUMN('1-DATA'!AP301)),IF($B303="STD. DEVIATION",2,$F$1))))</f>
        <v/>
      </c>
      <c r="AR303" s="1" t="str">
        <f>IF(OR($B303="",AR$7=""),"",IF($B303="MEANS",INDEX('1-DATA'!$1:$1048576,$A302-1,COLUMN('1-DATA'!AQ301)),ROUND(INDEX('1-DATA'!$1:$1048576,IF(OR($B303="STD. DEVIATION",$C$1=1),$A303,$A303+1),COLUMN('1-DATA'!AQ301)),IF($B303="STD. DEVIATION",2,$F$1))))</f>
        <v/>
      </c>
      <c r="AS303" s="1" t="str">
        <f>IF(OR($B303="",AS$7=""),"",IF($B303="MEANS",INDEX('1-DATA'!$1:$1048576,$A302-1,COLUMN('1-DATA'!AR301)),ROUND(INDEX('1-DATA'!$1:$1048576,IF(OR($B303="STD. DEVIATION",$C$1=1),$A303,$A303+1),COLUMN('1-DATA'!AR301)),IF($B303="STD. DEVIATION",2,$F$1))))</f>
        <v/>
      </c>
      <c r="AT303" s="1" t="str">
        <f>IF(OR($B303="",AT$7=""),"",IF($B303="MEANS",INDEX('1-DATA'!$1:$1048576,$A302-1,COLUMN('1-DATA'!AS301)),ROUND(INDEX('1-DATA'!$1:$1048576,IF(OR($B303="STD. DEVIATION",$C$1=1),$A303,$A303+1),COLUMN('1-DATA'!AS301)),IF($B303="STD. DEVIATION",2,$F$1))))</f>
        <v/>
      </c>
      <c r="AU303" s="1" t="str">
        <f>IF(OR($B303="",AU$7=""),"",IF($B303="MEANS",INDEX('1-DATA'!$1:$1048576,$A302-1,COLUMN('1-DATA'!AT301)),ROUND(INDEX('1-DATA'!$1:$1048576,IF(OR($B303="STD. DEVIATION",$C$1=1),$A303,$A303+1),COLUMN('1-DATA'!AT301)),IF($B303="STD. DEVIATION",2,$F$1))))</f>
        <v/>
      </c>
      <c r="AV303" s="1" t="str">
        <f>IF(OR($B303="",AV$7=""),"",IF($B303="MEANS",INDEX('1-DATA'!$1:$1048576,$A302-1,COLUMN('1-DATA'!AU301)),ROUND(INDEX('1-DATA'!$1:$1048576,IF(OR($B303="STD. DEVIATION",$C$1=1),$A303,$A303+1),COLUMN('1-DATA'!AU301)),IF($B303="STD. DEVIATION",2,$F$1))))</f>
        <v/>
      </c>
      <c r="AW303" s="1" t="str">
        <f>IF(OR($B303="",AW$7=""),"",IF($B303="MEANS",INDEX('1-DATA'!$1:$1048576,$A302-1,COLUMN('1-DATA'!AV301)),ROUND(INDEX('1-DATA'!$1:$1048576,IF(OR($B303="STD. DEVIATION",$C$1=1),$A303,$A303+1),COLUMN('1-DATA'!AV301)),IF($B303="STD. DEVIATION",2,$F$1))))</f>
        <v/>
      </c>
      <c r="AX303" s="1" t="str">
        <f>IF(OR($B303="",AX$7=""),"",IF($B303="MEANS",INDEX('1-DATA'!$1:$1048576,$A302-1,COLUMN('1-DATA'!AW301)),ROUND(INDEX('1-DATA'!$1:$1048576,IF(OR($B303="STD. DEVIATION",$C$1=1),$A303,$A303+1),COLUMN('1-DATA'!AW301)),IF($B303="STD. DEVIATION",2,$F$1))))</f>
        <v/>
      </c>
      <c r="AY303" s="1" t="str">
        <f>IF(OR($B303="",AY$7=""),"",IF($B303="MEANS",INDEX('1-DATA'!$1:$1048576,$A302-1,COLUMN('1-DATA'!AX301)),ROUND(INDEX('1-DATA'!$1:$1048576,IF(OR($B303="STD. DEVIATION",$C$1=1),$A303,$A303+1),COLUMN('1-DATA'!AX301)),IF($B303="STD. DEVIATION",2,$F$1))))</f>
        <v/>
      </c>
      <c r="AZ303" s="1" t="str">
        <f>IF(OR($B303="",AZ$7=""),"",IF($B303="MEANS",INDEX('1-DATA'!$1:$1048576,$A302-1,COLUMN('1-DATA'!AY301)),ROUND(INDEX('1-DATA'!$1:$1048576,IF(OR($B303="STD. DEVIATION",$C$1=1),$A303,$A303+1),COLUMN('1-DATA'!AY301)),IF($B303="STD. DEVIATION",2,$F$1))))</f>
        <v/>
      </c>
    </row>
    <row r="304" spans="1:52" x14ac:dyDescent="0.25">
      <c r="A304" s="11">
        <f t="shared" si="5"/>
        <v>898</v>
      </c>
      <c r="B304" s="1" t="str">
        <f>IF(B303="STD. DEVIATION",INDEX('1-DATA'!$1:$1048576,$A303-1,1),IF(INDEX('1-DATA'!$1:$1048576,$A304,1)&lt;&gt;"",INDEX('1-DATA'!$1:$1048576,$A304,1),""))</f>
        <v/>
      </c>
      <c r="C304" s="1" t="str">
        <f>IF(OR($B304="",C$7=""),"",IF($B304="MEANS",INDEX('1-DATA'!$1:$1048576,$A303-1,COLUMN('1-DATA'!B302)),ROUND(INDEX('1-DATA'!$1:$1048576,IF(OR($B304="STD. DEVIATION",$C$1=1),$A304,$A304+1),COLUMN('1-DATA'!B302)),IF($B304="STD. DEVIATION",2,$F$1))))</f>
        <v/>
      </c>
      <c r="D304" s="1" t="str">
        <f>IF(OR($B304="",D$7=""),"",IF($B304="MEANS",INDEX('1-DATA'!$1:$1048576,$A303-1,COLUMN('1-DATA'!C302)),ROUND(INDEX('1-DATA'!$1:$1048576,IF(OR($B304="STD. DEVIATION",$C$1=1),$A304,$A304+1),COLUMN('1-DATA'!C302)),IF($B304="STD. DEVIATION",2,$F$1))))</f>
        <v/>
      </c>
      <c r="E304" s="1" t="str">
        <f>IF(OR($B304="",E$7=""),"",IF($B304="MEANS",INDEX('1-DATA'!$1:$1048576,$A303-1,COLUMN('1-DATA'!D302)),ROUND(INDEX('1-DATA'!$1:$1048576,IF(OR($B304="STD. DEVIATION",$C$1=1),$A304,$A304+1),COLUMN('1-DATA'!D302)),IF($B304="STD. DEVIATION",2,$F$1))))</f>
        <v/>
      </c>
      <c r="F304" s="1" t="str">
        <f>IF(OR($B304="",F$7=""),"",IF($B304="MEANS",INDEX('1-DATA'!$1:$1048576,$A303-1,COLUMN('1-DATA'!E302)),ROUND(INDEX('1-DATA'!$1:$1048576,IF(OR($B304="STD. DEVIATION",$C$1=1),$A304,$A304+1),COLUMN('1-DATA'!E302)),IF($B304="STD. DEVIATION",2,$F$1))))</f>
        <v/>
      </c>
      <c r="G304" s="1" t="str">
        <f>IF(OR($B304="",G$7=""),"",IF($B304="MEANS",INDEX('1-DATA'!$1:$1048576,$A303-1,COLUMN('1-DATA'!F302)),ROUND(INDEX('1-DATA'!$1:$1048576,IF(OR($B304="STD. DEVIATION",$C$1=1),$A304,$A304+1),COLUMN('1-DATA'!F302)),IF($B304="STD. DEVIATION",2,$F$1))))</f>
        <v/>
      </c>
      <c r="H304" s="1" t="str">
        <f>IF(OR($B304="",H$7=""),"",IF($B304="MEANS",INDEX('1-DATA'!$1:$1048576,$A303-1,COLUMN('1-DATA'!G302)),ROUND(INDEX('1-DATA'!$1:$1048576,IF(OR($B304="STD. DEVIATION",$C$1=1),$A304,$A304+1),COLUMN('1-DATA'!G302)),IF($B304="STD. DEVIATION",2,$F$1))))</f>
        <v/>
      </c>
      <c r="I304" s="1" t="str">
        <f>IF(OR($B304="",I$7=""),"",IF($B304="MEANS",INDEX('1-DATA'!$1:$1048576,$A303-1,COLUMN('1-DATA'!H302)),ROUND(INDEX('1-DATA'!$1:$1048576,IF(OR($B304="STD. DEVIATION",$C$1=1),$A304,$A304+1),COLUMN('1-DATA'!H302)),IF($B304="STD. DEVIATION",2,$F$1))))</f>
        <v/>
      </c>
      <c r="J304" s="1" t="str">
        <f>IF(OR($B304="",J$7=""),"",IF($B304="MEANS",INDEX('1-DATA'!$1:$1048576,$A303-1,COLUMN('1-DATA'!I302)),ROUND(INDEX('1-DATA'!$1:$1048576,IF(OR($B304="STD. DEVIATION",$C$1=1),$A304,$A304+1),COLUMN('1-DATA'!I302)),IF($B304="STD. DEVIATION",2,$F$1))))</f>
        <v/>
      </c>
      <c r="K304" s="1" t="str">
        <f>IF(OR($B304="",K$7=""),"",IF($B304="MEANS",INDEX('1-DATA'!$1:$1048576,$A303-1,COLUMN('1-DATA'!J302)),ROUND(INDEX('1-DATA'!$1:$1048576,IF(OR($B304="STD. DEVIATION",$C$1=1),$A304,$A304+1),COLUMN('1-DATA'!J302)),IF($B304="STD. DEVIATION",2,$F$1))))</f>
        <v/>
      </c>
      <c r="L304" s="1" t="str">
        <f>IF(OR($B304="",L$7=""),"",IF($B304="MEANS",INDEX('1-DATA'!$1:$1048576,$A303-1,COLUMN('1-DATA'!K302)),ROUND(INDEX('1-DATA'!$1:$1048576,IF(OR($B304="STD. DEVIATION",$C$1=1),$A304,$A304+1),COLUMN('1-DATA'!K302)),IF($B304="STD. DEVIATION",2,$F$1))))</f>
        <v/>
      </c>
      <c r="M304" s="1" t="str">
        <f>IF(OR($B304="",M$7=""),"",IF($B304="MEANS",INDEX('1-DATA'!$1:$1048576,$A303-1,COLUMN('1-DATA'!L302)),ROUND(INDEX('1-DATA'!$1:$1048576,IF(OR($B304="STD. DEVIATION",$C$1=1),$A304,$A304+1),COLUMN('1-DATA'!L302)),IF($B304="STD. DEVIATION",2,$F$1))))</f>
        <v/>
      </c>
      <c r="N304" s="1" t="str">
        <f>IF(OR($B304="",N$7=""),"",IF($B304="MEANS",INDEX('1-DATA'!$1:$1048576,$A303-1,COLUMN('1-DATA'!M302)),ROUND(INDEX('1-DATA'!$1:$1048576,IF(OR($B304="STD. DEVIATION",$C$1=1),$A304,$A304+1),COLUMN('1-DATA'!M302)),IF($B304="STD. DEVIATION",2,$F$1))))</f>
        <v/>
      </c>
      <c r="O304" s="1" t="str">
        <f>IF(OR($B304="",O$7=""),"",IF($B304="MEANS",INDEX('1-DATA'!$1:$1048576,$A303-1,COLUMN('1-DATA'!N302)),ROUND(INDEX('1-DATA'!$1:$1048576,IF(OR($B304="STD. DEVIATION",$C$1=1),$A304,$A304+1),COLUMN('1-DATA'!N302)),IF($B304="STD. DEVIATION",2,$F$1))))</f>
        <v/>
      </c>
      <c r="P304" s="1" t="str">
        <f>IF(OR($B304="",P$7=""),"",IF($B304="MEANS",INDEX('1-DATA'!$1:$1048576,$A303-1,COLUMN('1-DATA'!O302)),ROUND(INDEX('1-DATA'!$1:$1048576,IF(OR($B304="STD. DEVIATION",$C$1=1),$A304,$A304+1),COLUMN('1-DATA'!O302)),IF($B304="STD. DEVIATION",2,$F$1))))</f>
        <v/>
      </c>
      <c r="Q304" s="1" t="str">
        <f>IF(OR($B304="",Q$7=""),"",IF($B304="MEANS",INDEX('1-DATA'!$1:$1048576,$A303-1,COLUMN('1-DATA'!P302)),ROUND(INDEX('1-DATA'!$1:$1048576,IF(OR($B304="STD. DEVIATION",$C$1=1),$A304,$A304+1),COLUMN('1-DATA'!P302)),IF($B304="STD. DEVIATION",2,$F$1))))</f>
        <v/>
      </c>
      <c r="R304" s="1" t="str">
        <f>IF(OR($B304="",R$7=""),"",IF($B304="MEANS",INDEX('1-DATA'!$1:$1048576,$A303-1,COLUMN('1-DATA'!Q302)),ROUND(INDEX('1-DATA'!$1:$1048576,IF(OR($B304="STD. DEVIATION",$C$1=1),$A304,$A304+1),COLUMN('1-DATA'!Q302)),IF($B304="STD. DEVIATION",2,$F$1))))</f>
        <v/>
      </c>
      <c r="S304" s="1" t="str">
        <f>IF(OR($B304="",S$7=""),"",IF($B304="MEANS",INDEX('1-DATA'!$1:$1048576,$A303-1,COLUMN('1-DATA'!R302)),ROUND(INDEX('1-DATA'!$1:$1048576,IF(OR($B304="STD. DEVIATION",$C$1=1),$A304,$A304+1),COLUMN('1-DATA'!R302)),IF($B304="STD. DEVIATION",2,$F$1))))</f>
        <v/>
      </c>
      <c r="T304" s="1" t="str">
        <f>IF(OR($B304="",T$7=""),"",IF($B304="MEANS",INDEX('1-DATA'!$1:$1048576,$A303-1,COLUMN('1-DATA'!S302)),ROUND(INDEX('1-DATA'!$1:$1048576,IF(OR($B304="STD. DEVIATION",$C$1=1),$A304,$A304+1),COLUMN('1-DATA'!S302)),IF($B304="STD. DEVIATION",2,$F$1))))</f>
        <v/>
      </c>
      <c r="U304" s="1" t="str">
        <f>IF(OR($B304="",U$7=""),"",IF($B304="MEANS",INDEX('1-DATA'!$1:$1048576,$A303-1,COLUMN('1-DATA'!T302)),ROUND(INDEX('1-DATA'!$1:$1048576,IF(OR($B304="STD. DEVIATION",$C$1=1),$A304,$A304+1),COLUMN('1-DATA'!T302)),IF($B304="STD. DEVIATION",2,$F$1))))</f>
        <v/>
      </c>
      <c r="V304" s="1" t="str">
        <f>IF(OR($B304="",V$7=""),"",IF($B304="MEANS",INDEX('1-DATA'!$1:$1048576,$A303-1,COLUMN('1-DATA'!U302)),ROUND(INDEX('1-DATA'!$1:$1048576,IF(OR($B304="STD. DEVIATION",$C$1=1),$A304,$A304+1),COLUMN('1-DATA'!U302)),IF($B304="STD. DEVIATION",2,$F$1))))</f>
        <v/>
      </c>
      <c r="W304" s="1" t="str">
        <f>IF(OR($B304="",W$7=""),"",IF($B304="MEANS",INDEX('1-DATA'!$1:$1048576,$A303-1,COLUMN('1-DATA'!V302)),ROUND(INDEX('1-DATA'!$1:$1048576,IF(OR($B304="STD. DEVIATION",$C$1=1),$A304,$A304+1),COLUMN('1-DATA'!V302)),IF($B304="STD. DEVIATION",2,$F$1))))</f>
        <v/>
      </c>
      <c r="X304" s="1" t="str">
        <f>IF(OR($B304="",X$7=""),"",IF($B304="MEANS",INDEX('1-DATA'!$1:$1048576,$A303-1,COLUMN('1-DATA'!W302)),ROUND(INDEX('1-DATA'!$1:$1048576,IF(OR($B304="STD. DEVIATION",$C$1=1),$A304,$A304+1),COLUMN('1-DATA'!W302)),IF($B304="STD. DEVIATION",2,$F$1))))</f>
        <v/>
      </c>
      <c r="Y304" s="1" t="str">
        <f>IF(OR($B304="",Y$7=""),"",IF($B304="MEANS",INDEX('1-DATA'!$1:$1048576,$A303-1,COLUMN('1-DATA'!X302)),ROUND(INDEX('1-DATA'!$1:$1048576,IF(OR($B304="STD. DEVIATION",$C$1=1),$A304,$A304+1),COLUMN('1-DATA'!X302)),IF($B304="STD. DEVIATION",2,$F$1))))</f>
        <v/>
      </c>
      <c r="Z304" s="1" t="str">
        <f>IF(OR($B304="",Z$7=""),"",IF($B304="MEANS",INDEX('1-DATA'!$1:$1048576,$A303-1,COLUMN('1-DATA'!Y302)),ROUND(INDEX('1-DATA'!$1:$1048576,IF(OR($B304="STD. DEVIATION",$C$1=1),$A304,$A304+1),COLUMN('1-DATA'!Y302)),IF($B304="STD. DEVIATION",2,$F$1))))</f>
        <v/>
      </c>
      <c r="AA304" s="1" t="str">
        <f>IF(OR($B304="",AA$7=""),"",IF($B304="MEANS",INDEX('1-DATA'!$1:$1048576,$A303-1,COLUMN('1-DATA'!Z302)),ROUND(INDEX('1-DATA'!$1:$1048576,IF(OR($B304="STD. DEVIATION",$C$1=1),$A304,$A304+1),COLUMN('1-DATA'!Z302)),IF($B304="STD. DEVIATION",2,$F$1))))</f>
        <v/>
      </c>
      <c r="AB304" s="1" t="str">
        <f>IF(OR($B304="",AB$7=""),"",IF($B304="MEANS",INDEX('1-DATA'!$1:$1048576,$A303-1,COLUMN('1-DATA'!AA302)),ROUND(INDEX('1-DATA'!$1:$1048576,IF(OR($B304="STD. DEVIATION",$C$1=1),$A304,$A304+1),COLUMN('1-DATA'!AA302)),IF($B304="STD. DEVIATION",2,$F$1))))</f>
        <v/>
      </c>
      <c r="AC304" s="1" t="str">
        <f>IF(OR($B304="",AC$7=""),"",IF($B304="MEANS",INDEX('1-DATA'!$1:$1048576,$A303-1,COLUMN('1-DATA'!AB302)),ROUND(INDEX('1-DATA'!$1:$1048576,IF(OR($B304="STD. DEVIATION",$C$1=1),$A304,$A304+1),COLUMN('1-DATA'!AB302)),IF($B304="STD. DEVIATION",2,$F$1))))</f>
        <v/>
      </c>
      <c r="AD304" s="1" t="str">
        <f>IF(OR($B304="",AD$7=""),"",IF($B304="MEANS",INDEX('1-DATA'!$1:$1048576,$A303-1,COLUMN('1-DATA'!AC302)),ROUND(INDEX('1-DATA'!$1:$1048576,IF(OR($B304="STD. DEVIATION",$C$1=1),$A304,$A304+1),COLUMN('1-DATA'!AC302)),IF($B304="STD. DEVIATION",2,$F$1))))</f>
        <v/>
      </c>
      <c r="AE304" s="1" t="str">
        <f>IF(OR($B304="",AE$7=""),"",IF($B304="MEANS",INDEX('1-DATA'!$1:$1048576,$A303-1,COLUMN('1-DATA'!AD302)),ROUND(INDEX('1-DATA'!$1:$1048576,IF(OR($B304="STD. DEVIATION",$C$1=1),$A304,$A304+1),COLUMN('1-DATA'!AD302)),IF($B304="STD. DEVIATION",2,$F$1))))</f>
        <v/>
      </c>
      <c r="AF304" s="1" t="str">
        <f>IF(OR($B304="",AF$7=""),"",IF($B304="MEANS",INDEX('1-DATA'!$1:$1048576,$A303-1,COLUMN('1-DATA'!AE302)),ROUND(INDEX('1-DATA'!$1:$1048576,IF(OR($B304="STD. DEVIATION",$C$1=1),$A304,$A304+1),COLUMN('1-DATA'!AE302)),IF($B304="STD. DEVIATION",2,$F$1))))</f>
        <v/>
      </c>
      <c r="AG304" s="1" t="str">
        <f>IF(OR($B304="",AG$7=""),"",IF($B304="MEANS",INDEX('1-DATA'!$1:$1048576,$A303-1,COLUMN('1-DATA'!AF302)),ROUND(INDEX('1-DATA'!$1:$1048576,IF(OR($B304="STD. DEVIATION",$C$1=1),$A304,$A304+1),COLUMN('1-DATA'!AF302)),IF($B304="STD. DEVIATION",2,$F$1))))</f>
        <v/>
      </c>
      <c r="AH304" s="1" t="str">
        <f>IF(OR($B304="",AH$7=""),"",IF($B304="MEANS",INDEX('1-DATA'!$1:$1048576,$A303-1,COLUMN('1-DATA'!AG302)),ROUND(INDEX('1-DATA'!$1:$1048576,IF(OR($B304="STD. DEVIATION",$C$1=1),$A304,$A304+1),COLUMN('1-DATA'!AG302)),IF($B304="STD. DEVIATION",2,$F$1))))</f>
        <v/>
      </c>
      <c r="AI304" s="1" t="str">
        <f>IF(OR($B304="",AI$7=""),"",IF($B304="MEANS",INDEX('1-DATA'!$1:$1048576,$A303-1,COLUMN('1-DATA'!AH302)),ROUND(INDEX('1-DATA'!$1:$1048576,IF(OR($B304="STD. DEVIATION",$C$1=1),$A304,$A304+1),COLUMN('1-DATA'!AH302)),IF($B304="STD. DEVIATION",2,$F$1))))</f>
        <v/>
      </c>
      <c r="AJ304" s="1" t="str">
        <f>IF(OR($B304="",AJ$7=""),"",IF($B304="MEANS",INDEX('1-DATA'!$1:$1048576,$A303-1,COLUMN('1-DATA'!AI302)),ROUND(INDEX('1-DATA'!$1:$1048576,IF(OR($B304="STD. DEVIATION",$C$1=1),$A304,$A304+1),COLUMN('1-DATA'!AI302)),IF($B304="STD. DEVIATION",2,$F$1))))</f>
        <v/>
      </c>
      <c r="AK304" s="1" t="str">
        <f>IF(OR($B304="",AK$7=""),"",IF($B304="MEANS",INDEX('1-DATA'!$1:$1048576,$A303-1,COLUMN('1-DATA'!AJ302)),ROUND(INDEX('1-DATA'!$1:$1048576,IF(OR($B304="STD. DEVIATION",$C$1=1),$A304,$A304+1),COLUMN('1-DATA'!AJ302)),IF($B304="STD. DEVIATION",2,$F$1))))</f>
        <v/>
      </c>
      <c r="AL304" s="1" t="str">
        <f>IF(OR($B304="",AL$7=""),"",IF($B304="MEANS",INDEX('1-DATA'!$1:$1048576,$A303-1,COLUMN('1-DATA'!AK302)),ROUND(INDEX('1-DATA'!$1:$1048576,IF(OR($B304="STD. DEVIATION",$C$1=1),$A304,$A304+1),COLUMN('1-DATA'!AK302)),IF($B304="STD. DEVIATION",2,$F$1))))</f>
        <v/>
      </c>
      <c r="AM304" s="1" t="str">
        <f>IF(OR($B304="",AM$7=""),"",IF($B304="MEANS",INDEX('1-DATA'!$1:$1048576,$A303-1,COLUMN('1-DATA'!AL302)),ROUND(INDEX('1-DATA'!$1:$1048576,IF(OR($B304="STD. DEVIATION",$C$1=1),$A304,$A304+1),COLUMN('1-DATA'!AL302)),IF($B304="STD. DEVIATION",2,$F$1))))</f>
        <v/>
      </c>
      <c r="AN304" s="1" t="str">
        <f>IF(OR($B304="",AN$7=""),"",IF($B304="MEANS",INDEX('1-DATA'!$1:$1048576,$A303-1,COLUMN('1-DATA'!AM302)),ROUND(INDEX('1-DATA'!$1:$1048576,IF(OR($B304="STD. DEVIATION",$C$1=1),$A304,$A304+1),COLUMN('1-DATA'!AM302)),IF($B304="STD. DEVIATION",2,$F$1))))</f>
        <v/>
      </c>
      <c r="AO304" s="1" t="str">
        <f>IF(OR($B304="",AO$7=""),"",IF($B304="MEANS",INDEX('1-DATA'!$1:$1048576,$A303-1,COLUMN('1-DATA'!AN302)),ROUND(INDEX('1-DATA'!$1:$1048576,IF(OR($B304="STD. DEVIATION",$C$1=1),$A304,$A304+1),COLUMN('1-DATA'!AN302)),IF($B304="STD. DEVIATION",2,$F$1))))</f>
        <v/>
      </c>
      <c r="AP304" s="1" t="str">
        <f>IF(OR($B304="",AP$7=""),"",IF($B304="MEANS",INDEX('1-DATA'!$1:$1048576,$A303-1,COLUMN('1-DATA'!AO302)),ROUND(INDEX('1-DATA'!$1:$1048576,IF(OR($B304="STD. DEVIATION",$C$1=1),$A304,$A304+1),COLUMN('1-DATA'!AO302)),IF($B304="STD. DEVIATION",2,$F$1))))</f>
        <v/>
      </c>
      <c r="AQ304" s="1" t="str">
        <f>IF(OR($B304="",AQ$7=""),"",IF($B304="MEANS",INDEX('1-DATA'!$1:$1048576,$A303-1,COLUMN('1-DATA'!AP302)),ROUND(INDEX('1-DATA'!$1:$1048576,IF(OR($B304="STD. DEVIATION",$C$1=1),$A304,$A304+1),COLUMN('1-DATA'!AP302)),IF($B304="STD. DEVIATION",2,$F$1))))</f>
        <v/>
      </c>
      <c r="AR304" s="1" t="str">
        <f>IF(OR($B304="",AR$7=""),"",IF($B304="MEANS",INDEX('1-DATA'!$1:$1048576,$A303-1,COLUMN('1-DATA'!AQ302)),ROUND(INDEX('1-DATA'!$1:$1048576,IF(OR($B304="STD. DEVIATION",$C$1=1),$A304,$A304+1),COLUMN('1-DATA'!AQ302)),IF($B304="STD. DEVIATION",2,$F$1))))</f>
        <v/>
      </c>
      <c r="AS304" s="1" t="str">
        <f>IF(OR($B304="",AS$7=""),"",IF($B304="MEANS",INDEX('1-DATA'!$1:$1048576,$A303-1,COLUMN('1-DATA'!AR302)),ROUND(INDEX('1-DATA'!$1:$1048576,IF(OR($B304="STD. DEVIATION",$C$1=1),$A304,$A304+1),COLUMN('1-DATA'!AR302)),IF($B304="STD. DEVIATION",2,$F$1))))</f>
        <v/>
      </c>
      <c r="AT304" s="1" t="str">
        <f>IF(OR($B304="",AT$7=""),"",IF($B304="MEANS",INDEX('1-DATA'!$1:$1048576,$A303-1,COLUMN('1-DATA'!AS302)),ROUND(INDEX('1-DATA'!$1:$1048576,IF(OR($B304="STD. DEVIATION",$C$1=1),$A304,$A304+1),COLUMN('1-DATA'!AS302)),IF($B304="STD. DEVIATION",2,$F$1))))</f>
        <v/>
      </c>
      <c r="AU304" s="1" t="str">
        <f>IF(OR($B304="",AU$7=""),"",IF($B304="MEANS",INDEX('1-DATA'!$1:$1048576,$A303-1,COLUMN('1-DATA'!AT302)),ROUND(INDEX('1-DATA'!$1:$1048576,IF(OR($B304="STD. DEVIATION",$C$1=1),$A304,$A304+1),COLUMN('1-DATA'!AT302)),IF($B304="STD. DEVIATION",2,$F$1))))</f>
        <v/>
      </c>
      <c r="AV304" s="1" t="str">
        <f>IF(OR($B304="",AV$7=""),"",IF($B304="MEANS",INDEX('1-DATA'!$1:$1048576,$A303-1,COLUMN('1-DATA'!AU302)),ROUND(INDEX('1-DATA'!$1:$1048576,IF(OR($B304="STD. DEVIATION",$C$1=1),$A304,$A304+1),COLUMN('1-DATA'!AU302)),IF($B304="STD. DEVIATION",2,$F$1))))</f>
        <v/>
      </c>
      <c r="AW304" s="1" t="str">
        <f>IF(OR($B304="",AW$7=""),"",IF($B304="MEANS",INDEX('1-DATA'!$1:$1048576,$A303-1,COLUMN('1-DATA'!AV302)),ROUND(INDEX('1-DATA'!$1:$1048576,IF(OR($B304="STD. DEVIATION",$C$1=1),$A304,$A304+1),COLUMN('1-DATA'!AV302)),IF($B304="STD. DEVIATION",2,$F$1))))</f>
        <v/>
      </c>
      <c r="AX304" s="1" t="str">
        <f>IF(OR($B304="",AX$7=""),"",IF($B304="MEANS",INDEX('1-DATA'!$1:$1048576,$A303-1,COLUMN('1-DATA'!AW302)),ROUND(INDEX('1-DATA'!$1:$1048576,IF(OR($B304="STD. DEVIATION",$C$1=1),$A304,$A304+1),COLUMN('1-DATA'!AW302)),IF($B304="STD. DEVIATION",2,$F$1))))</f>
        <v/>
      </c>
      <c r="AY304" s="1" t="str">
        <f>IF(OR($B304="",AY$7=""),"",IF($B304="MEANS",INDEX('1-DATA'!$1:$1048576,$A303-1,COLUMN('1-DATA'!AX302)),ROUND(INDEX('1-DATA'!$1:$1048576,IF(OR($B304="STD. DEVIATION",$C$1=1),$A304,$A304+1),COLUMN('1-DATA'!AX302)),IF($B304="STD. DEVIATION",2,$F$1))))</f>
        <v/>
      </c>
      <c r="AZ304" s="1" t="str">
        <f>IF(OR($B304="",AZ$7=""),"",IF($B304="MEANS",INDEX('1-DATA'!$1:$1048576,$A303-1,COLUMN('1-DATA'!AY302)),ROUND(INDEX('1-DATA'!$1:$1048576,IF(OR($B304="STD. DEVIATION",$C$1=1),$A304,$A304+1),COLUMN('1-DATA'!AY302)),IF($B304="STD. DEVIATION",2,$F$1))))</f>
        <v/>
      </c>
    </row>
    <row r="305" spans="1:52" x14ac:dyDescent="0.25">
      <c r="A305" s="11">
        <f t="shared" si="5"/>
        <v>901</v>
      </c>
      <c r="B305" s="1" t="str">
        <f>IF(B304="STD. DEVIATION",INDEX('1-DATA'!$1:$1048576,$A304-1,1),IF(INDEX('1-DATA'!$1:$1048576,$A305,1)&lt;&gt;"",INDEX('1-DATA'!$1:$1048576,$A305,1),""))</f>
        <v/>
      </c>
      <c r="C305" s="1" t="str">
        <f>IF(OR($B305="",C$7=""),"",IF($B305="MEANS",INDEX('1-DATA'!$1:$1048576,$A304-1,COLUMN('1-DATA'!B303)),ROUND(INDEX('1-DATA'!$1:$1048576,IF(OR($B305="STD. DEVIATION",$C$1=1),$A305,$A305+1),COLUMN('1-DATA'!B303)),IF($B305="STD. DEVIATION",2,$F$1))))</f>
        <v/>
      </c>
      <c r="D305" s="1" t="str">
        <f>IF(OR($B305="",D$7=""),"",IF($B305="MEANS",INDEX('1-DATA'!$1:$1048576,$A304-1,COLUMN('1-DATA'!C303)),ROUND(INDEX('1-DATA'!$1:$1048576,IF(OR($B305="STD. DEVIATION",$C$1=1),$A305,$A305+1),COLUMN('1-DATA'!C303)),IF($B305="STD. DEVIATION",2,$F$1))))</f>
        <v/>
      </c>
      <c r="E305" s="1" t="str">
        <f>IF(OR($B305="",E$7=""),"",IF($B305="MEANS",INDEX('1-DATA'!$1:$1048576,$A304-1,COLUMN('1-DATA'!D303)),ROUND(INDEX('1-DATA'!$1:$1048576,IF(OR($B305="STD. DEVIATION",$C$1=1),$A305,$A305+1),COLUMN('1-DATA'!D303)),IF($B305="STD. DEVIATION",2,$F$1))))</f>
        <v/>
      </c>
      <c r="F305" s="1" t="str">
        <f>IF(OR($B305="",F$7=""),"",IF($B305="MEANS",INDEX('1-DATA'!$1:$1048576,$A304-1,COLUMN('1-DATA'!E303)),ROUND(INDEX('1-DATA'!$1:$1048576,IF(OR($B305="STD. DEVIATION",$C$1=1),$A305,$A305+1),COLUMN('1-DATA'!E303)),IF($B305="STD. DEVIATION",2,$F$1))))</f>
        <v/>
      </c>
      <c r="G305" s="1" t="str">
        <f>IF(OR($B305="",G$7=""),"",IF($B305="MEANS",INDEX('1-DATA'!$1:$1048576,$A304-1,COLUMN('1-DATA'!F303)),ROUND(INDEX('1-DATA'!$1:$1048576,IF(OR($B305="STD. DEVIATION",$C$1=1),$A305,$A305+1),COLUMN('1-DATA'!F303)),IF($B305="STD. DEVIATION",2,$F$1))))</f>
        <v/>
      </c>
      <c r="H305" s="1" t="str">
        <f>IF(OR($B305="",H$7=""),"",IF($B305="MEANS",INDEX('1-DATA'!$1:$1048576,$A304-1,COLUMN('1-DATA'!G303)),ROUND(INDEX('1-DATA'!$1:$1048576,IF(OR($B305="STD. DEVIATION",$C$1=1),$A305,$A305+1),COLUMN('1-DATA'!G303)),IF($B305="STD. DEVIATION",2,$F$1))))</f>
        <v/>
      </c>
      <c r="I305" s="1" t="str">
        <f>IF(OR($B305="",I$7=""),"",IF($B305="MEANS",INDEX('1-DATA'!$1:$1048576,$A304-1,COLUMN('1-DATA'!H303)),ROUND(INDEX('1-DATA'!$1:$1048576,IF(OR($B305="STD. DEVIATION",$C$1=1),$A305,$A305+1),COLUMN('1-DATA'!H303)),IF($B305="STD. DEVIATION",2,$F$1))))</f>
        <v/>
      </c>
      <c r="J305" s="1" t="str">
        <f>IF(OR($B305="",J$7=""),"",IF($B305="MEANS",INDEX('1-DATA'!$1:$1048576,$A304-1,COLUMN('1-DATA'!I303)),ROUND(INDEX('1-DATA'!$1:$1048576,IF(OR($B305="STD. DEVIATION",$C$1=1),$A305,$A305+1),COLUMN('1-DATA'!I303)),IF($B305="STD. DEVIATION",2,$F$1))))</f>
        <v/>
      </c>
      <c r="K305" s="1" t="str">
        <f>IF(OR($B305="",K$7=""),"",IF($B305="MEANS",INDEX('1-DATA'!$1:$1048576,$A304-1,COLUMN('1-DATA'!J303)),ROUND(INDEX('1-DATA'!$1:$1048576,IF(OR($B305="STD. DEVIATION",$C$1=1),$A305,$A305+1),COLUMN('1-DATA'!J303)),IF($B305="STD. DEVIATION",2,$F$1))))</f>
        <v/>
      </c>
      <c r="L305" s="1" t="str">
        <f>IF(OR($B305="",L$7=""),"",IF($B305="MEANS",INDEX('1-DATA'!$1:$1048576,$A304-1,COLUMN('1-DATA'!K303)),ROUND(INDEX('1-DATA'!$1:$1048576,IF(OR($B305="STD. DEVIATION",$C$1=1),$A305,$A305+1),COLUMN('1-DATA'!K303)),IF($B305="STD. DEVIATION",2,$F$1))))</f>
        <v/>
      </c>
      <c r="M305" s="1" t="str">
        <f>IF(OR($B305="",M$7=""),"",IF($B305="MEANS",INDEX('1-DATA'!$1:$1048576,$A304-1,COLUMN('1-DATA'!L303)),ROUND(INDEX('1-DATA'!$1:$1048576,IF(OR($B305="STD. DEVIATION",$C$1=1),$A305,$A305+1),COLUMN('1-DATA'!L303)),IF($B305="STD. DEVIATION",2,$F$1))))</f>
        <v/>
      </c>
      <c r="N305" s="1" t="str">
        <f>IF(OR($B305="",N$7=""),"",IF($B305="MEANS",INDEX('1-DATA'!$1:$1048576,$A304-1,COLUMN('1-DATA'!M303)),ROUND(INDEX('1-DATA'!$1:$1048576,IF(OR($B305="STD. DEVIATION",$C$1=1),$A305,$A305+1),COLUMN('1-DATA'!M303)),IF($B305="STD. DEVIATION",2,$F$1))))</f>
        <v/>
      </c>
      <c r="O305" s="1" t="str">
        <f>IF(OR($B305="",O$7=""),"",IF($B305="MEANS",INDEX('1-DATA'!$1:$1048576,$A304-1,COLUMN('1-DATA'!N303)),ROUND(INDEX('1-DATA'!$1:$1048576,IF(OR($B305="STD. DEVIATION",$C$1=1),$A305,$A305+1),COLUMN('1-DATA'!N303)),IF($B305="STD. DEVIATION",2,$F$1))))</f>
        <v/>
      </c>
      <c r="P305" s="1" t="str">
        <f>IF(OR($B305="",P$7=""),"",IF($B305="MEANS",INDEX('1-DATA'!$1:$1048576,$A304-1,COLUMN('1-DATA'!O303)),ROUND(INDEX('1-DATA'!$1:$1048576,IF(OR($B305="STD. DEVIATION",$C$1=1),$A305,$A305+1),COLUMN('1-DATA'!O303)),IF($B305="STD. DEVIATION",2,$F$1))))</f>
        <v/>
      </c>
      <c r="Q305" s="1" t="str">
        <f>IF(OR($B305="",Q$7=""),"",IF($B305="MEANS",INDEX('1-DATA'!$1:$1048576,$A304-1,COLUMN('1-DATA'!P303)),ROUND(INDEX('1-DATA'!$1:$1048576,IF(OR($B305="STD. DEVIATION",$C$1=1),$A305,$A305+1),COLUMN('1-DATA'!P303)),IF($B305="STD. DEVIATION",2,$F$1))))</f>
        <v/>
      </c>
      <c r="R305" s="1" t="str">
        <f>IF(OR($B305="",R$7=""),"",IF($B305="MEANS",INDEX('1-DATA'!$1:$1048576,$A304-1,COLUMN('1-DATA'!Q303)),ROUND(INDEX('1-DATA'!$1:$1048576,IF(OR($B305="STD. DEVIATION",$C$1=1),$A305,$A305+1),COLUMN('1-DATA'!Q303)),IF($B305="STD. DEVIATION",2,$F$1))))</f>
        <v/>
      </c>
      <c r="S305" s="1" t="str">
        <f>IF(OR($B305="",S$7=""),"",IF($B305="MEANS",INDEX('1-DATA'!$1:$1048576,$A304-1,COLUMN('1-DATA'!R303)),ROUND(INDEX('1-DATA'!$1:$1048576,IF(OR($B305="STD. DEVIATION",$C$1=1),$A305,$A305+1),COLUMN('1-DATA'!R303)),IF($B305="STD. DEVIATION",2,$F$1))))</f>
        <v/>
      </c>
      <c r="T305" s="1" t="str">
        <f>IF(OR($B305="",T$7=""),"",IF($B305="MEANS",INDEX('1-DATA'!$1:$1048576,$A304-1,COLUMN('1-DATA'!S303)),ROUND(INDEX('1-DATA'!$1:$1048576,IF(OR($B305="STD. DEVIATION",$C$1=1),$A305,$A305+1),COLUMN('1-DATA'!S303)),IF($B305="STD. DEVIATION",2,$F$1))))</f>
        <v/>
      </c>
      <c r="U305" s="1" t="str">
        <f>IF(OR($B305="",U$7=""),"",IF($B305="MEANS",INDEX('1-DATA'!$1:$1048576,$A304-1,COLUMN('1-DATA'!T303)),ROUND(INDEX('1-DATA'!$1:$1048576,IF(OR($B305="STD. DEVIATION",$C$1=1),$A305,$A305+1),COLUMN('1-DATA'!T303)),IF($B305="STD. DEVIATION",2,$F$1))))</f>
        <v/>
      </c>
      <c r="V305" s="1" t="str">
        <f>IF(OR($B305="",V$7=""),"",IF($B305="MEANS",INDEX('1-DATA'!$1:$1048576,$A304-1,COLUMN('1-DATA'!U303)),ROUND(INDEX('1-DATA'!$1:$1048576,IF(OR($B305="STD. DEVIATION",$C$1=1),$A305,$A305+1),COLUMN('1-DATA'!U303)),IF($B305="STD. DEVIATION",2,$F$1))))</f>
        <v/>
      </c>
      <c r="W305" s="1" t="str">
        <f>IF(OR($B305="",W$7=""),"",IF($B305="MEANS",INDEX('1-DATA'!$1:$1048576,$A304-1,COLUMN('1-DATA'!V303)),ROUND(INDEX('1-DATA'!$1:$1048576,IF(OR($B305="STD. DEVIATION",$C$1=1),$A305,$A305+1),COLUMN('1-DATA'!V303)),IF($B305="STD. DEVIATION",2,$F$1))))</f>
        <v/>
      </c>
      <c r="X305" s="1" t="str">
        <f>IF(OR($B305="",X$7=""),"",IF($B305="MEANS",INDEX('1-DATA'!$1:$1048576,$A304-1,COLUMN('1-DATA'!W303)),ROUND(INDEX('1-DATA'!$1:$1048576,IF(OR($B305="STD. DEVIATION",$C$1=1),$A305,$A305+1),COLUMN('1-DATA'!W303)),IF($B305="STD. DEVIATION",2,$F$1))))</f>
        <v/>
      </c>
      <c r="Y305" s="1" t="str">
        <f>IF(OR($B305="",Y$7=""),"",IF($B305="MEANS",INDEX('1-DATA'!$1:$1048576,$A304-1,COLUMN('1-DATA'!X303)),ROUND(INDEX('1-DATA'!$1:$1048576,IF(OR($B305="STD. DEVIATION",$C$1=1),$A305,$A305+1),COLUMN('1-DATA'!X303)),IF($B305="STD. DEVIATION",2,$F$1))))</f>
        <v/>
      </c>
      <c r="Z305" s="1" t="str">
        <f>IF(OR($B305="",Z$7=""),"",IF($B305="MEANS",INDEX('1-DATA'!$1:$1048576,$A304-1,COLUMN('1-DATA'!Y303)),ROUND(INDEX('1-DATA'!$1:$1048576,IF(OR($B305="STD. DEVIATION",$C$1=1),$A305,$A305+1),COLUMN('1-DATA'!Y303)),IF($B305="STD. DEVIATION",2,$F$1))))</f>
        <v/>
      </c>
      <c r="AA305" s="1" t="str">
        <f>IF(OR($B305="",AA$7=""),"",IF($B305="MEANS",INDEX('1-DATA'!$1:$1048576,$A304-1,COLUMN('1-DATA'!Z303)),ROUND(INDEX('1-DATA'!$1:$1048576,IF(OR($B305="STD. DEVIATION",$C$1=1),$A305,$A305+1),COLUMN('1-DATA'!Z303)),IF($B305="STD. DEVIATION",2,$F$1))))</f>
        <v/>
      </c>
      <c r="AB305" s="1" t="str">
        <f>IF(OR($B305="",AB$7=""),"",IF($B305="MEANS",INDEX('1-DATA'!$1:$1048576,$A304-1,COLUMN('1-DATA'!AA303)),ROUND(INDEX('1-DATA'!$1:$1048576,IF(OR($B305="STD. DEVIATION",$C$1=1),$A305,$A305+1),COLUMN('1-DATA'!AA303)),IF($B305="STD. DEVIATION",2,$F$1))))</f>
        <v/>
      </c>
      <c r="AC305" s="1" t="str">
        <f>IF(OR($B305="",AC$7=""),"",IF($B305="MEANS",INDEX('1-DATA'!$1:$1048576,$A304-1,COLUMN('1-DATA'!AB303)),ROUND(INDEX('1-DATA'!$1:$1048576,IF(OR($B305="STD. DEVIATION",$C$1=1),$A305,$A305+1),COLUMN('1-DATA'!AB303)),IF($B305="STD. DEVIATION",2,$F$1))))</f>
        <v/>
      </c>
      <c r="AD305" s="1" t="str">
        <f>IF(OR($B305="",AD$7=""),"",IF($B305="MEANS",INDEX('1-DATA'!$1:$1048576,$A304-1,COLUMN('1-DATA'!AC303)),ROUND(INDEX('1-DATA'!$1:$1048576,IF(OR($B305="STD. DEVIATION",$C$1=1),$A305,$A305+1),COLUMN('1-DATA'!AC303)),IF($B305="STD. DEVIATION",2,$F$1))))</f>
        <v/>
      </c>
      <c r="AE305" s="1" t="str">
        <f>IF(OR($B305="",AE$7=""),"",IF($B305="MEANS",INDEX('1-DATA'!$1:$1048576,$A304-1,COLUMN('1-DATA'!AD303)),ROUND(INDEX('1-DATA'!$1:$1048576,IF(OR($B305="STD. DEVIATION",$C$1=1),$A305,$A305+1),COLUMN('1-DATA'!AD303)),IF($B305="STD. DEVIATION",2,$F$1))))</f>
        <v/>
      </c>
      <c r="AF305" s="1" t="str">
        <f>IF(OR($B305="",AF$7=""),"",IF($B305="MEANS",INDEX('1-DATA'!$1:$1048576,$A304-1,COLUMN('1-DATA'!AE303)),ROUND(INDEX('1-DATA'!$1:$1048576,IF(OR($B305="STD. DEVIATION",$C$1=1),$A305,$A305+1),COLUMN('1-DATA'!AE303)),IF($B305="STD. DEVIATION",2,$F$1))))</f>
        <v/>
      </c>
      <c r="AG305" s="1" t="str">
        <f>IF(OR($B305="",AG$7=""),"",IF($B305="MEANS",INDEX('1-DATA'!$1:$1048576,$A304-1,COLUMN('1-DATA'!AF303)),ROUND(INDEX('1-DATA'!$1:$1048576,IF(OR($B305="STD. DEVIATION",$C$1=1),$A305,$A305+1),COLUMN('1-DATA'!AF303)),IF($B305="STD. DEVIATION",2,$F$1))))</f>
        <v/>
      </c>
      <c r="AH305" s="1" t="str">
        <f>IF(OR($B305="",AH$7=""),"",IF($B305="MEANS",INDEX('1-DATA'!$1:$1048576,$A304-1,COLUMN('1-DATA'!AG303)),ROUND(INDEX('1-DATA'!$1:$1048576,IF(OR($B305="STD. DEVIATION",$C$1=1),$A305,$A305+1),COLUMN('1-DATA'!AG303)),IF($B305="STD. DEVIATION",2,$F$1))))</f>
        <v/>
      </c>
      <c r="AI305" s="1" t="str">
        <f>IF(OR($B305="",AI$7=""),"",IF($B305="MEANS",INDEX('1-DATA'!$1:$1048576,$A304-1,COLUMN('1-DATA'!AH303)),ROUND(INDEX('1-DATA'!$1:$1048576,IF(OR($B305="STD. DEVIATION",$C$1=1),$A305,$A305+1),COLUMN('1-DATA'!AH303)),IF($B305="STD. DEVIATION",2,$F$1))))</f>
        <v/>
      </c>
      <c r="AJ305" s="1" t="str">
        <f>IF(OR($B305="",AJ$7=""),"",IF($B305="MEANS",INDEX('1-DATA'!$1:$1048576,$A304-1,COLUMN('1-DATA'!AI303)),ROUND(INDEX('1-DATA'!$1:$1048576,IF(OR($B305="STD. DEVIATION",$C$1=1),$A305,$A305+1),COLUMN('1-DATA'!AI303)),IF($B305="STD. DEVIATION",2,$F$1))))</f>
        <v/>
      </c>
      <c r="AK305" s="1" t="str">
        <f>IF(OR($B305="",AK$7=""),"",IF($B305="MEANS",INDEX('1-DATA'!$1:$1048576,$A304-1,COLUMN('1-DATA'!AJ303)),ROUND(INDEX('1-DATA'!$1:$1048576,IF(OR($B305="STD. DEVIATION",$C$1=1),$A305,$A305+1),COLUMN('1-DATA'!AJ303)),IF($B305="STD. DEVIATION",2,$F$1))))</f>
        <v/>
      </c>
      <c r="AL305" s="1" t="str">
        <f>IF(OR($B305="",AL$7=""),"",IF($B305="MEANS",INDEX('1-DATA'!$1:$1048576,$A304-1,COLUMN('1-DATA'!AK303)),ROUND(INDEX('1-DATA'!$1:$1048576,IF(OR($B305="STD. DEVIATION",$C$1=1),$A305,$A305+1),COLUMN('1-DATA'!AK303)),IF($B305="STD. DEVIATION",2,$F$1))))</f>
        <v/>
      </c>
      <c r="AM305" s="1" t="str">
        <f>IF(OR($B305="",AM$7=""),"",IF($B305="MEANS",INDEX('1-DATA'!$1:$1048576,$A304-1,COLUMN('1-DATA'!AL303)),ROUND(INDEX('1-DATA'!$1:$1048576,IF(OR($B305="STD. DEVIATION",$C$1=1),$A305,$A305+1),COLUMN('1-DATA'!AL303)),IF($B305="STD. DEVIATION",2,$F$1))))</f>
        <v/>
      </c>
      <c r="AN305" s="1" t="str">
        <f>IF(OR($B305="",AN$7=""),"",IF($B305="MEANS",INDEX('1-DATA'!$1:$1048576,$A304-1,COLUMN('1-DATA'!AM303)),ROUND(INDEX('1-DATA'!$1:$1048576,IF(OR($B305="STD. DEVIATION",$C$1=1),$A305,$A305+1),COLUMN('1-DATA'!AM303)),IF($B305="STD. DEVIATION",2,$F$1))))</f>
        <v/>
      </c>
      <c r="AO305" s="1" t="str">
        <f>IF(OR($B305="",AO$7=""),"",IF($B305="MEANS",INDEX('1-DATA'!$1:$1048576,$A304-1,COLUMN('1-DATA'!AN303)),ROUND(INDEX('1-DATA'!$1:$1048576,IF(OR($B305="STD. DEVIATION",$C$1=1),$A305,$A305+1),COLUMN('1-DATA'!AN303)),IF($B305="STD. DEVIATION",2,$F$1))))</f>
        <v/>
      </c>
      <c r="AP305" s="1" t="str">
        <f>IF(OR($B305="",AP$7=""),"",IF($B305="MEANS",INDEX('1-DATA'!$1:$1048576,$A304-1,COLUMN('1-DATA'!AO303)),ROUND(INDEX('1-DATA'!$1:$1048576,IF(OR($B305="STD. DEVIATION",$C$1=1),$A305,$A305+1),COLUMN('1-DATA'!AO303)),IF($B305="STD. DEVIATION",2,$F$1))))</f>
        <v/>
      </c>
      <c r="AQ305" s="1" t="str">
        <f>IF(OR($B305="",AQ$7=""),"",IF($B305="MEANS",INDEX('1-DATA'!$1:$1048576,$A304-1,COLUMN('1-DATA'!AP303)),ROUND(INDEX('1-DATA'!$1:$1048576,IF(OR($B305="STD. DEVIATION",$C$1=1),$A305,$A305+1),COLUMN('1-DATA'!AP303)),IF($B305="STD. DEVIATION",2,$F$1))))</f>
        <v/>
      </c>
      <c r="AR305" s="1" t="str">
        <f>IF(OR($B305="",AR$7=""),"",IF($B305="MEANS",INDEX('1-DATA'!$1:$1048576,$A304-1,COLUMN('1-DATA'!AQ303)),ROUND(INDEX('1-DATA'!$1:$1048576,IF(OR($B305="STD. DEVIATION",$C$1=1),$A305,$A305+1),COLUMN('1-DATA'!AQ303)),IF($B305="STD. DEVIATION",2,$F$1))))</f>
        <v/>
      </c>
      <c r="AS305" s="1" t="str">
        <f>IF(OR($B305="",AS$7=""),"",IF($B305="MEANS",INDEX('1-DATA'!$1:$1048576,$A304-1,COLUMN('1-DATA'!AR303)),ROUND(INDEX('1-DATA'!$1:$1048576,IF(OR($B305="STD. DEVIATION",$C$1=1),$A305,$A305+1),COLUMN('1-DATA'!AR303)),IF($B305="STD. DEVIATION",2,$F$1))))</f>
        <v/>
      </c>
      <c r="AT305" s="1" t="str">
        <f>IF(OR($B305="",AT$7=""),"",IF($B305="MEANS",INDEX('1-DATA'!$1:$1048576,$A304-1,COLUMN('1-DATA'!AS303)),ROUND(INDEX('1-DATA'!$1:$1048576,IF(OR($B305="STD. DEVIATION",$C$1=1),$A305,$A305+1),COLUMN('1-DATA'!AS303)),IF($B305="STD. DEVIATION",2,$F$1))))</f>
        <v/>
      </c>
      <c r="AU305" s="1" t="str">
        <f>IF(OR($B305="",AU$7=""),"",IF($B305="MEANS",INDEX('1-DATA'!$1:$1048576,$A304-1,COLUMN('1-DATA'!AT303)),ROUND(INDEX('1-DATA'!$1:$1048576,IF(OR($B305="STD. DEVIATION",$C$1=1),$A305,$A305+1),COLUMN('1-DATA'!AT303)),IF($B305="STD. DEVIATION",2,$F$1))))</f>
        <v/>
      </c>
      <c r="AV305" s="1" t="str">
        <f>IF(OR($B305="",AV$7=""),"",IF($B305="MEANS",INDEX('1-DATA'!$1:$1048576,$A304-1,COLUMN('1-DATA'!AU303)),ROUND(INDEX('1-DATA'!$1:$1048576,IF(OR($B305="STD. DEVIATION",$C$1=1),$A305,$A305+1),COLUMN('1-DATA'!AU303)),IF($B305="STD. DEVIATION",2,$F$1))))</f>
        <v/>
      </c>
      <c r="AW305" s="1" t="str">
        <f>IF(OR($B305="",AW$7=""),"",IF($B305="MEANS",INDEX('1-DATA'!$1:$1048576,$A304-1,COLUMN('1-DATA'!AV303)),ROUND(INDEX('1-DATA'!$1:$1048576,IF(OR($B305="STD. DEVIATION",$C$1=1),$A305,$A305+1),COLUMN('1-DATA'!AV303)),IF($B305="STD. DEVIATION",2,$F$1))))</f>
        <v/>
      </c>
      <c r="AX305" s="1" t="str">
        <f>IF(OR($B305="",AX$7=""),"",IF($B305="MEANS",INDEX('1-DATA'!$1:$1048576,$A304-1,COLUMN('1-DATA'!AW303)),ROUND(INDEX('1-DATA'!$1:$1048576,IF(OR($B305="STD. DEVIATION",$C$1=1),$A305,$A305+1),COLUMN('1-DATA'!AW303)),IF($B305="STD. DEVIATION",2,$F$1))))</f>
        <v/>
      </c>
      <c r="AY305" s="1" t="str">
        <f>IF(OR($B305="",AY$7=""),"",IF($B305="MEANS",INDEX('1-DATA'!$1:$1048576,$A304-1,COLUMN('1-DATA'!AX303)),ROUND(INDEX('1-DATA'!$1:$1048576,IF(OR($B305="STD. DEVIATION",$C$1=1),$A305,$A305+1),COLUMN('1-DATA'!AX303)),IF($B305="STD. DEVIATION",2,$F$1))))</f>
        <v/>
      </c>
      <c r="AZ305" s="1" t="str">
        <f>IF(OR($B305="",AZ$7=""),"",IF($B305="MEANS",INDEX('1-DATA'!$1:$1048576,$A304-1,COLUMN('1-DATA'!AY303)),ROUND(INDEX('1-DATA'!$1:$1048576,IF(OR($B305="STD. DEVIATION",$C$1=1),$A305,$A305+1),COLUMN('1-DATA'!AY303)),IF($B305="STD. DEVIATION",2,$F$1))))</f>
        <v/>
      </c>
    </row>
    <row r="306" spans="1:52" x14ac:dyDescent="0.25">
      <c r="A306" s="11">
        <f t="shared" si="5"/>
        <v>904</v>
      </c>
      <c r="B306" s="1" t="str">
        <f>IF(B305="STD. DEVIATION",INDEX('1-DATA'!$1:$1048576,$A305-1,1),IF(INDEX('1-DATA'!$1:$1048576,$A306,1)&lt;&gt;"",INDEX('1-DATA'!$1:$1048576,$A306,1),""))</f>
        <v/>
      </c>
      <c r="C306" s="1" t="str">
        <f>IF(OR($B306="",C$7=""),"",IF($B306="MEANS",INDEX('1-DATA'!$1:$1048576,$A305-1,COLUMN('1-DATA'!B304)),ROUND(INDEX('1-DATA'!$1:$1048576,IF(OR($B306="STD. DEVIATION",$C$1=1),$A306,$A306+1),COLUMN('1-DATA'!B304)),IF($B306="STD. DEVIATION",2,$F$1))))</f>
        <v/>
      </c>
      <c r="D306" s="1" t="str">
        <f>IF(OR($B306="",D$7=""),"",IF($B306="MEANS",INDEX('1-DATA'!$1:$1048576,$A305-1,COLUMN('1-DATA'!C304)),ROUND(INDEX('1-DATA'!$1:$1048576,IF(OR($B306="STD. DEVIATION",$C$1=1),$A306,$A306+1),COLUMN('1-DATA'!C304)),IF($B306="STD. DEVIATION",2,$F$1))))</f>
        <v/>
      </c>
      <c r="E306" s="1" t="str">
        <f>IF(OR($B306="",E$7=""),"",IF($B306="MEANS",INDEX('1-DATA'!$1:$1048576,$A305-1,COLUMN('1-DATA'!D304)),ROUND(INDEX('1-DATA'!$1:$1048576,IF(OR($B306="STD. DEVIATION",$C$1=1),$A306,$A306+1),COLUMN('1-DATA'!D304)),IF($B306="STD. DEVIATION",2,$F$1))))</f>
        <v/>
      </c>
      <c r="F306" s="1" t="str">
        <f>IF(OR($B306="",F$7=""),"",IF($B306="MEANS",INDEX('1-DATA'!$1:$1048576,$A305-1,COLUMN('1-DATA'!E304)),ROUND(INDEX('1-DATA'!$1:$1048576,IF(OR($B306="STD. DEVIATION",$C$1=1),$A306,$A306+1),COLUMN('1-DATA'!E304)),IF($B306="STD. DEVIATION",2,$F$1))))</f>
        <v/>
      </c>
      <c r="G306" s="1" t="str">
        <f>IF(OR($B306="",G$7=""),"",IF($B306="MEANS",INDEX('1-DATA'!$1:$1048576,$A305-1,COLUMN('1-DATA'!F304)),ROUND(INDEX('1-DATA'!$1:$1048576,IF(OR($B306="STD. DEVIATION",$C$1=1),$A306,$A306+1),COLUMN('1-DATA'!F304)),IF($B306="STD. DEVIATION",2,$F$1))))</f>
        <v/>
      </c>
      <c r="H306" s="1" t="str">
        <f>IF(OR($B306="",H$7=""),"",IF($B306="MEANS",INDEX('1-DATA'!$1:$1048576,$A305-1,COLUMN('1-DATA'!G304)),ROUND(INDEX('1-DATA'!$1:$1048576,IF(OR($B306="STD. DEVIATION",$C$1=1),$A306,$A306+1),COLUMN('1-DATA'!G304)),IF($B306="STD. DEVIATION",2,$F$1))))</f>
        <v/>
      </c>
      <c r="I306" s="1" t="str">
        <f>IF(OR($B306="",I$7=""),"",IF($B306="MEANS",INDEX('1-DATA'!$1:$1048576,$A305-1,COLUMN('1-DATA'!H304)),ROUND(INDEX('1-DATA'!$1:$1048576,IF(OR($B306="STD. DEVIATION",$C$1=1),$A306,$A306+1),COLUMN('1-DATA'!H304)),IF($B306="STD. DEVIATION",2,$F$1))))</f>
        <v/>
      </c>
      <c r="J306" s="1" t="str">
        <f>IF(OR($B306="",J$7=""),"",IF($B306="MEANS",INDEX('1-DATA'!$1:$1048576,$A305-1,COLUMN('1-DATA'!I304)),ROUND(INDEX('1-DATA'!$1:$1048576,IF(OR($B306="STD. DEVIATION",$C$1=1),$A306,$A306+1),COLUMN('1-DATA'!I304)),IF($B306="STD. DEVIATION",2,$F$1))))</f>
        <v/>
      </c>
      <c r="K306" s="1" t="str">
        <f>IF(OR($B306="",K$7=""),"",IF($B306="MEANS",INDEX('1-DATA'!$1:$1048576,$A305-1,COLUMN('1-DATA'!J304)),ROUND(INDEX('1-DATA'!$1:$1048576,IF(OR($B306="STD. DEVIATION",$C$1=1),$A306,$A306+1),COLUMN('1-DATA'!J304)),IF($B306="STD. DEVIATION",2,$F$1))))</f>
        <v/>
      </c>
      <c r="L306" s="1" t="str">
        <f>IF(OR($B306="",L$7=""),"",IF($B306="MEANS",INDEX('1-DATA'!$1:$1048576,$A305-1,COLUMN('1-DATA'!K304)),ROUND(INDEX('1-DATA'!$1:$1048576,IF(OR($B306="STD. DEVIATION",$C$1=1),$A306,$A306+1),COLUMN('1-DATA'!K304)),IF($B306="STD. DEVIATION",2,$F$1))))</f>
        <v/>
      </c>
      <c r="M306" s="1" t="str">
        <f>IF(OR($B306="",M$7=""),"",IF($B306="MEANS",INDEX('1-DATA'!$1:$1048576,$A305-1,COLUMN('1-DATA'!L304)),ROUND(INDEX('1-DATA'!$1:$1048576,IF(OR($B306="STD. DEVIATION",$C$1=1),$A306,$A306+1),COLUMN('1-DATA'!L304)),IF($B306="STD. DEVIATION",2,$F$1))))</f>
        <v/>
      </c>
      <c r="N306" s="1" t="str">
        <f>IF(OR($B306="",N$7=""),"",IF($B306="MEANS",INDEX('1-DATA'!$1:$1048576,$A305-1,COLUMN('1-DATA'!M304)),ROUND(INDEX('1-DATA'!$1:$1048576,IF(OR($B306="STD. DEVIATION",$C$1=1),$A306,$A306+1),COLUMN('1-DATA'!M304)),IF($B306="STD. DEVIATION",2,$F$1))))</f>
        <v/>
      </c>
      <c r="O306" s="1" t="str">
        <f>IF(OR($B306="",O$7=""),"",IF($B306="MEANS",INDEX('1-DATA'!$1:$1048576,$A305-1,COLUMN('1-DATA'!N304)),ROUND(INDEX('1-DATA'!$1:$1048576,IF(OR($B306="STD. DEVIATION",$C$1=1),$A306,$A306+1),COLUMN('1-DATA'!N304)),IF($B306="STD. DEVIATION",2,$F$1))))</f>
        <v/>
      </c>
      <c r="P306" s="1" t="str">
        <f>IF(OR($B306="",P$7=""),"",IF($B306="MEANS",INDEX('1-DATA'!$1:$1048576,$A305-1,COLUMN('1-DATA'!O304)),ROUND(INDEX('1-DATA'!$1:$1048576,IF(OR($B306="STD. DEVIATION",$C$1=1),$A306,$A306+1),COLUMN('1-DATA'!O304)),IF($B306="STD. DEVIATION",2,$F$1))))</f>
        <v/>
      </c>
      <c r="Q306" s="1" t="str">
        <f>IF(OR($B306="",Q$7=""),"",IF($B306="MEANS",INDEX('1-DATA'!$1:$1048576,$A305-1,COLUMN('1-DATA'!P304)),ROUND(INDEX('1-DATA'!$1:$1048576,IF(OR($B306="STD. DEVIATION",$C$1=1),$A306,$A306+1),COLUMN('1-DATA'!P304)),IF($B306="STD. DEVIATION",2,$F$1))))</f>
        <v/>
      </c>
      <c r="R306" s="1" t="str">
        <f>IF(OR($B306="",R$7=""),"",IF($B306="MEANS",INDEX('1-DATA'!$1:$1048576,$A305-1,COLUMN('1-DATA'!Q304)),ROUND(INDEX('1-DATA'!$1:$1048576,IF(OR($B306="STD. DEVIATION",$C$1=1),$A306,$A306+1),COLUMN('1-DATA'!Q304)),IF($B306="STD. DEVIATION",2,$F$1))))</f>
        <v/>
      </c>
      <c r="S306" s="1" t="str">
        <f>IF(OR($B306="",S$7=""),"",IF($B306="MEANS",INDEX('1-DATA'!$1:$1048576,$A305-1,COLUMN('1-DATA'!R304)),ROUND(INDEX('1-DATA'!$1:$1048576,IF(OR($B306="STD. DEVIATION",$C$1=1),$A306,$A306+1),COLUMN('1-DATA'!R304)),IF($B306="STD. DEVIATION",2,$F$1))))</f>
        <v/>
      </c>
      <c r="T306" s="1" t="str">
        <f>IF(OR($B306="",T$7=""),"",IF($B306="MEANS",INDEX('1-DATA'!$1:$1048576,$A305-1,COLUMN('1-DATA'!S304)),ROUND(INDEX('1-DATA'!$1:$1048576,IF(OR($B306="STD. DEVIATION",$C$1=1),$A306,$A306+1),COLUMN('1-DATA'!S304)),IF($B306="STD. DEVIATION",2,$F$1))))</f>
        <v/>
      </c>
      <c r="U306" s="1" t="str">
        <f>IF(OR($B306="",U$7=""),"",IF($B306="MEANS",INDEX('1-DATA'!$1:$1048576,$A305-1,COLUMN('1-DATA'!T304)),ROUND(INDEX('1-DATA'!$1:$1048576,IF(OR($B306="STD. DEVIATION",$C$1=1),$A306,$A306+1),COLUMN('1-DATA'!T304)),IF($B306="STD. DEVIATION",2,$F$1))))</f>
        <v/>
      </c>
      <c r="V306" s="1" t="str">
        <f>IF(OR($B306="",V$7=""),"",IF($B306="MEANS",INDEX('1-DATA'!$1:$1048576,$A305-1,COLUMN('1-DATA'!U304)),ROUND(INDEX('1-DATA'!$1:$1048576,IF(OR($B306="STD. DEVIATION",$C$1=1),$A306,$A306+1),COLUMN('1-DATA'!U304)),IF($B306="STD. DEVIATION",2,$F$1))))</f>
        <v/>
      </c>
      <c r="W306" s="1" t="str">
        <f>IF(OR($B306="",W$7=""),"",IF($B306="MEANS",INDEX('1-DATA'!$1:$1048576,$A305-1,COLUMN('1-DATA'!V304)),ROUND(INDEX('1-DATA'!$1:$1048576,IF(OR($B306="STD. DEVIATION",$C$1=1),$A306,$A306+1),COLUMN('1-DATA'!V304)),IF($B306="STD. DEVIATION",2,$F$1))))</f>
        <v/>
      </c>
      <c r="X306" s="1" t="str">
        <f>IF(OR($B306="",X$7=""),"",IF($B306="MEANS",INDEX('1-DATA'!$1:$1048576,$A305-1,COLUMN('1-DATA'!W304)),ROUND(INDEX('1-DATA'!$1:$1048576,IF(OR($B306="STD. DEVIATION",$C$1=1),$A306,$A306+1),COLUMN('1-DATA'!W304)),IF($B306="STD. DEVIATION",2,$F$1))))</f>
        <v/>
      </c>
      <c r="Y306" s="1" t="str">
        <f>IF(OR($B306="",Y$7=""),"",IF($B306="MEANS",INDEX('1-DATA'!$1:$1048576,$A305-1,COLUMN('1-DATA'!X304)),ROUND(INDEX('1-DATA'!$1:$1048576,IF(OR($B306="STD. DEVIATION",$C$1=1),$A306,$A306+1),COLUMN('1-DATA'!X304)),IF($B306="STD. DEVIATION",2,$F$1))))</f>
        <v/>
      </c>
      <c r="Z306" s="1" t="str">
        <f>IF(OR($B306="",Z$7=""),"",IF($B306="MEANS",INDEX('1-DATA'!$1:$1048576,$A305-1,COLUMN('1-DATA'!Y304)),ROUND(INDEX('1-DATA'!$1:$1048576,IF(OR($B306="STD. DEVIATION",$C$1=1),$A306,$A306+1),COLUMN('1-DATA'!Y304)),IF($B306="STD. DEVIATION",2,$F$1))))</f>
        <v/>
      </c>
      <c r="AA306" s="1" t="str">
        <f>IF(OR($B306="",AA$7=""),"",IF($B306="MEANS",INDEX('1-DATA'!$1:$1048576,$A305-1,COLUMN('1-DATA'!Z304)),ROUND(INDEX('1-DATA'!$1:$1048576,IF(OR($B306="STD. DEVIATION",$C$1=1),$A306,$A306+1),COLUMN('1-DATA'!Z304)),IF($B306="STD. DEVIATION",2,$F$1))))</f>
        <v/>
      </c>
      <c r="AB306" s="1" t="str">
        <f>IF(OR($B306="",AB$7=""),"",IF($B306="MEANS",INDEX('1-DATA'!$1:$1048576,$A305-1,COLUMN('1-DATA'!AA304)),ROUND(INDEX('1-DATA'!$1:$1048576,IF(OR($B306="STD. DEVIATION",$C$1=1),$A306,$A306+1),COLUMN('1-DATA'!AA304)),IF($B306="STD. DEVIATION",2,$F$1))))</f>
        <v/>
      </c>
      <c r="AC306" s="1" t="str">
        <f>IF(OR($B306="",AC$7=""),"",IF($B306="MEANS",INDEX('1-DATA'!$1:$1048576,$A305-1,COLUMN('1-DATA'!AB304)),ROUND(INDEX('1-DATA'!$1:$1048576,IF(OR($B306="STD. DEVIATION",$C$1=1),$A306,$A306+1),COLUMN('1-DATA'!AB304)),IF($B306="STD. DEVIATION",2,$F$1))))</f>
        <v/>
      </c>
      <c r="AD306" s="1" t="str">
        <f>IF(OR($B306="",AD$7=""),"",IF($B306="MEANS",INDEX('1-DATA'!$1:$1048576,$A305-1,COLUMN('1-DATA'!AC304)),ROUND(INDEX('1-DATA'!$1:$1048576,IF(OR($B306="STD. DEVIATION",$C$1=1),$A306,$A306+1),COLUMN('1-DATA'!AC304)),IF($B306="STD. DEVIATION",2,$F$1))))</f>
        <v/>
      </c>
      <c r="AE306" s="1" t="str">
        <f>IF(OR($B306="",AE$7=""),"",IF($B306="MEANS",INDEX('1-DATA'!$1:$1048576,$A305-1,COLUMN('1-DATA'!AD304)),ROUND(INDEX('1-DATA'!$1:$1048576,IF(OR($B306="STD. DEVIATION",$C$1=1),$A306,$A306+1),COLUMN('1-DATA'!AD304)),IF($B306="STD. DEVIATION",2,$F$1))))</f>
        <v/>
      </c>
      <c r="AF306" s="1" t="str">
        <f>IF(OR($B306="",AF$7=""),"",IF($B306="MEANS",INDEX('1-DATA'!$1:$1048576,$A305-1,COLUMN('1-DATA'!AE304)),ROUND(INDEX('1-DATA'!$1:$1048576,IF(OR($B306="STD. DEVIATION",$C$1=1),$A306,$A306+1),COLUMN('1-DATA'!AE304)),IF($B306="STD. DEVIATION",2,$F$1))))</f>
        <v/>
      </c>
      <c r="AG306" s="1" t="str">
        <f>IF(OR($B306="",AG$7=""),"",IF($B306="MEANS",INDEX('1-DATA'!$1:$1048576,$A305-1,COLUMN('1-DATA'!AF304)),ROUND(INDEX('1-DATA'!$1:$1048576,IF(OR($B306="STD. DEVIATION",$C$1=1),$A306,$A306+1),COLUMN('1-DATA'!AF304)),IF($B306="STD. DEVIATION",2,$F$1))))</f>
        <v/>
      </c>
      <c r="AH306" s="1" t="str">
        <f>IF(OR($B306="",AH$7=""),"",IF($B306="MEANS",INDEX('1-DATA'!$1:$1048576,$A305-1,COLUMN('1-DATA'!AG304)),ROUND(INDEX('1-DATA'!$1:$1048576,IF(OR($B306="STD. DEVIATION",$C$1=1),$A306,$A306+1),COLUMN('1-DATA'!AG304)),IF($B306="STD. DEVIATION",2,$F$1))))</f>
        <v/>
      </c>
      <c r="AI306" s="1" t="str">
        <f>IF(OR($B306="",AI$7=""),"",IF($B306="MEANS",INDEX('1-DATA'!$1:$1048576,$A305-1,COLUMN('1-DATA'!AH304)),ROUND(INDEX('1-DATA'!$1:$1048576,IF(OR($B306="STD. DEVIATION",$C$1=1),$A306,$A306+1),COLUMN('1-DATA'!AH304)),IF($B306="STD. DEVIATION",2,$F$1))))</f>
        <v/>
      </c>
      <c r="AJ306" s="1" t="str">
        <f>IF(OR($B306="",AJ$7=""),"",IF($B306="MEANS",INDEX('1-DATA'!$1:$1048576,$A305-1,COLUMN('1-DATA'!AI304)),ROUND(INDEX('1-DATA'!$1:$1048576,IF(OR($B306="STD. DEVIATION",$C$1=1),$A306,$A306+1),COLUMN('1-DATA'!AI304)),IF($B306="STD. DEVIATION",2,$F$1))))</f>
        <v/>
      </c>
      <c r="AK306" s="1" t="str">
        <f>IF(OR($B306="",AK$7=""),"",IF($B306="MEANS",INDEX('1-DATA'!$1:$1048576,$A305-1,COLUMN('1-DATA'!AJ304)),ROUND(INDEX('1-DATA'!$1:$1048576,IF(OR($B306="STD. DEVIATION",$C$1=1),$A306,$A306+1),COLUMN('1-DATA'!AJ304)),IF($B306="STD. DEVIATION",2,$F$1))))</f>
        <v/>
      </c>
      <c r="AL306" s="1" t="str">
        <f>IF(OR($B306="",AL$7=""),"",IF($B306="MEANS",INDEX('1-DATA'!$1:$1048576,$A305-1,COLUMN('1-DATA'!AK304)),ROUND(INDEX('1-DATA'!$1:$1048576,IF(OR($B306="STD. DEVIATION",$C$1=1),$A306,$A306+1),COLUMN('1-DATA'!AK304)),IF($B306="STD. DEVIATION",2,$F$1))))</f>
        <v/>
      </c>
      <c r="AM306" s="1" t="str">
        <f>IF(OR($B306="",AM$7=""),"",IF($B306="MEANS",INDEX('1-DATA'!$1:$1048576,$A305-1,COLUMN('1-DATA'!AL304)),ROUND(INDEX('1-DATA'!$1:$1048576,IF(OR($B306="STD. DEVIATION",$C$1=1),$A306,$A306+1),COLUMN('1-DATA'!AL304)),IF($B306="STD. DEVIATION",2,$F$1))))</f>
        <v/>
      </c>
      <c r="AN306" s="1" t="str">
        <f>IF(OR($B306="",AN$7=""),"",IF($B306="MEANS",INDEX('1-DATA'!$1:$1048576,$A305-1,COLUMN('1-DATA'!AM304)),ROUND(INDEX('1-DATA'!$1:$1048576,IF(OR($B306="STD. DEVIATION",$C$1=1),$A306,$A306+1),COLUMN('1-DATA'!AM304)),IF($B306="STD. DEVIATION",2,$F$1))))</f>
        <v/>
      </c>
      <c r="AO306" s="1" t="str">
        <f>IF(OR($B306="",AO$7=""),"",IF($B306="MEANS",INDEX('1-DATA'!$1:$1048576,$A305-1,COLUMN('1-DATA'!AN304)),ROUND(INDEX('1-DATA'!$1:$1048576,IF(OR($B306="STD. DEVIATION",$C$1=1),$A306,$A306+1),COLUMN('1-DATA'!AN304)),IF($B306="STD. DEVIATION",2,$F$1))))</f>
        <v/>
      </c>
      <c r="AP306" s="1" t="str">
        <f>IF(OR($B306="",AP$7=""),"",IF($B306="MEANS",INDEX('1-DATA'!$1:$1048576,$A305-1,COLUMN('1-DATA'!AO304)),ROUND(INDEX('1-DATA'!$1:$1048576,IF(OR($B306="STD. DEVIATION",$C$1=1),$A306,$A306+1),COLUMN('1-DATA'!AO304)),IF($B306="STD. DEVIATION",2,$F$1))))</f>
        <v/>
      </c>
      <c r="AQ306" s="1" t="str">
        <f>IF(OR($B306="",AQ$7=""),"",IF($B306="MEANS",INDEX('1-DATA'!$1:$1048576,$A305-1,COLUMN('1-DATA'!AP304)),ROUND(INDEX('1-DATA'!$1:$1048576,IF(OR($B306="STD. DEVIATION",$C$1=1),$A306,$A306+1),COLUMN('1-DATA'!AP304)),IF($B306="STD. DEVIATION",2,$F$1))))</f>
        <v/>
      </c>
      <c r="AR306" s="1" t="str">
        <f>IF(OR($B306="",AR$7=""),"",IF($B306="MEANS",INDEX('1-DATA'!$1:$1048576,$A305-1,COLUMN('1-DATA'!AQ304)),ROUND(INDEX('1-DATA'!$1:$1048576,IF(OR($B306="STD. DEVIATION",$C$1=1),$A306,$A306+1),COLUMN('1-DATA'!AQ304)),IF($B306="STD. DEVIATION",2,$F$1))))</f>
        <v/>
      </c>
      <c r="AS306" s="1" t="str">
        <f>IF(OR($B306="",AS$7=""),"",IF($B306="MEANS",INDEX('1-DATA'!$1:$1048576,$A305-1,COLUMN('1-DATA'!AR304)),ROUND(INDEX('1-DATA'!$1:$1048576,IF(OR($B306="STD. DEVIATION",$C$1=1),$A306,$A306+1),COLUMN('1-DATA'!AR304)),IF($B306="STD. DEVIATION",2,$F$1))))</f>
        <v/>
      </c>
      <c r="AT306" s="1" t="str">
        <f>IF(OR($B306="",AT$7=""),"",IF($B306="MEANS",INDEX('1-DATA'!$1:$1048576,$A305-1,COLUMN('1-DATA'!AS304)),ROUND(INDEX('1-DATA'!$1:$1048576,IF(OR($B306="STD. DEVIATION",$C$1=1),$A306,$A306+1),COLUMN('1-DATA'!AS304)),IF($B306="STD. DEVIATION",2,$F$1))))</f>
        <v/>
      </c>
      <c r="AU306" s="1" t="str">
        <f>IF(OR($B306="",AU$7=""),"",IF($B306="MEANS",INDEX('1-DATA'!$1:$1048576,$A305-1,COLUMN('1-DATA'!AT304)),ROUND(INDEX('1-DATA'!$1:$1048576,IF(OR($B306="STD. DEVIATION",$C$1=1),$A306,$A306+1),COLUMN('1-DATA'!AT304)),IF($B306="STD. DEVIATION",2,$F$1))))</f>
        <v/>
      </c>
      <c r="AV306" s="1" t="str">
        <f>IF(OR($B306="",AV$7=""),"",IF($B306="MEANS",INDEX('1-DATA'!$1:$1048576,$A305-1,COLUMN('1-DATA'!AU304)),ROUND(INDEX('1-DATA'!$1:$1048576,IF(OR($B306="STD. DEVIATION",$C$1=1),$A306,$A306+1),COLUMN('1-DATA'!AU304)),IF($B306="STD. DEVIATION",2,$F$1))))</f>
        <v/>
      </c>
      <c r="AW306" s="1" t="str">
        <f>IF(OR($B306="",AW$7=""),"",IF($B306="MEANS",INDEX('1-DATA'!$1:$1048576,$A305-1,COLUMN('1-DATA'!AV304)),ROUND(INDEX('1-DATA'!$1:$1048576,IF(OR($B306="STD. DEVIATION",$C$1=1),$A306,$A306+1),COLUMN('1-DATA'!AV304)),IF($B306="STD. DEVIATION",2,$F$1))))</f>
        <v/>
      </c>
      <c r="AX306" s="1" t="str">
        <f>IF(OR($B306="",AX$7=""),"",IF($B306="MEANS",INDEX('1-DATA'!$1:$1048576,$A305-1,COLUMN('1-DATA'!AW304)),ROUND(INDEX('1-DATA'!$1:$1048576,IF(OR($B306="STD. DEVIATION",$C$1=1),$A306,$A306+1),COLUMN('1-DATA'!AW304)),IF($B306="STD. DEVIATION",2,$F$1))))</f>
        <v/>
      </c>
      <c r="AY306" s="1" t="str">
        <f>IF(OR($B306="",AY$7=""),"",IF($B306="MEANS",INDEX('1-DATA'!$1:$1048576,$A305-1,COLUMN('1-DATA'!AX304)),ROUND(INDEX('1-DATA'!$1:$1048576,IF(OR($B306="STD. DEVIATION",$C$1=1),$A306,$A306+1),COLUMN('1-DATA'!AX304)),IF($B306="STD. DEVIATION",2,$F$1))))</f>
        <v/>
      </c>
      <c r="AZ306" s="1" t="str">
        <f>IF(OR($B306="",AZ$7=""),"",IF($B306="MEANS",INDEX('1-DATA'!$1:$1048576,$A305-1,COLUMN('1-DATA'!AY304)),ROUND(INDEX('1-DATA'!$1:$1048576,IF(OR($B306="STD. DEVIATION",$C$1=1),$A306,$A306+1),COLUMN('1-DATA'!AY304)),IF($B306="STD. DEVIATION",2,$F$1))))</f>
        <v/>
      </c>
    </row>
    <row r="307" spans="1:52" x14ac:dyDescent="0.25">
      <c r="A307" s="11">
        <f t="shared" si="5"/>
        <v>907</v>
      </c>
      <c r="B307" s="1" t="str">
        <f>IF(B306="STD. DEVIATION",INDEX('1-DATA'!$1:$1048576,$A306-1,1),IF(INDEX('1-DATA'!$1:$1048576,$A307,1)&lt;&gt;"",INDEX('1-DATA'!$1:$1048576,$A307,1),""))</f>
        <v/>
      </c>
      <c r="C307" s="1" t="str">
        <f>IF(OR($B307="",C$7=""),"",IF($B307="MEANS",INDEX('1-DATA'!$1:$1048576,$A306-1,COLUMN('1-DATA'!B305)),ROUND(INDEX('1-DATA'!$1:$1048576,IF(OR($B307="STD. DEVIATION",$C$1=1),$A307,$A307+1),COLUMN('1-DATA'!B305)),IF($B307="STD. DEVIATION",2,$F$1))))</f>
        <v/>
      </c>
      <c r="D307" s="1" t="str">
        <f>IF(OR($B307="",D$7=""),"",IF($B307="MEANS",INDEX('1-DATA'!$1:$1048576,$A306-1,COLUMN('1-DATA'!C305)),ROUND(INDEX('1-DATA'!$1:$1048576,IF(OR($B307="STD. DEVIATION",$C$1=1),$A307,$A307+1),COLUMN('1-DATA'!C305)),IF($B307="STD. DEVIATION",2,$F$1))))</f>
        <v/>
      </c>
      <c r="E307" s="1" t="str">
        <f>IF(OR($B307="",E$7=""),"",IF($B307="MEANS",INDEX('1-DATA'!$1:$1048576,$A306-1,COLUMN('1-DATA'!D305)),ROUND(INDEX('1-DATA'!$1:$1048576,IF(OR($B307="STD. DEVIATION",$C$1=1),$A307,$A307+1),COLUMN('1-DATA'!D305)),IF($B307="STD. DEVIATION",2,$F$1))))</f>
        <v/>
      </c>
      <c r="F307" s="1" t="str">
        <f>IF(OR($B307="",F$7=""),"",IF($B307="MEANS",INDEX('1-DATA'!$1:$1048576,$A306-1,COLUMN('1-DATA'!E305)),ROUND(INDEX('1-DATA'!$1:$1048576,IF(OR($B307="STD. DEVIATION",$C$1=1),$A307,$A307+1),COLUMN('1-DATA'!E305)),IF($B307="STD. DEVIATION",2,$F$1))))</f>
        <v/>
      </c>
      <c r="G307" s="1" t="str">
        <f>IF(OR($B307="",G$7=""),"",IF($B307="MEANS",INDEX('1-DATA'!$1:$1048576,$A306-1,COLUMN('1-DATA'!F305)),ROUND(INDEX('1-DATA'!$1:$1048576,IF(OR($B307="STD. DEVIATION",$C$1=1),$A307,$A307+1),COLUMN('1-DATA'!F305)),IF($B307="STD. DEVIATION",2,$F$1))))</f>
        <v/>
      </c>
      <c r="H307" s="1" t="str">
        <f>IF(OR($B307="",H$7=""),"",IF($B307="MEANS",INDEX('1-DATA'!$1:$1048576,$A306-1,COLUMN('1-DATA'!G305)),ROUND(INDEX('1-DATA'!$1:$1048576,IF(OR($B307="STD. DEVIATION",$C$1=1),$A307,$A307+1),COLUMN('1-DATA'!G305)),IF($B307="STD. DEVIATION",2,$F$1))))</f>
        <v/>
      </c>
      <c r="I307" s="1" t="str">
        <f>IF(OR($B307="",I$7=""),"",IF($B307="MEANS",INDEX('1-DATA'!$1:$1048576,$A306-1,COLUMN('1-DATA'!H305)),ROUND(INDEX('1-DATA'!$1:$1048576,IF(OR($B307="STD. DEVIATION",$C$1=1),$A307,$A307+1),COLUMN('1-DATA'!H305)),IF($B307="STD. DEVIATION",2,$F$1))))</f>
        <v/>
      </c>
      <c r="J307" s="1" t="str">
        <f>IF(OR($B307="",J$7=""),"",IF($B307="MEANS",INDEX('1-DATA'!$1:$1048576,$A306-1,COLUMN('1-DATA'!I305)),ROUND(INDEX('1-DATA'!$1:$1048576,IF(OR($B307="STD. DEVIATION",$C$1=1),$A307,$A307+1),COLUMN('1-DATA'!I305)),IF($B307="STD. DEVIATION",2,$F$1))))</f>
        <v/>
      </c>
      <c r="K307" s="1" t="str">
        <f>IF(OR($B307="",K$7=""),"",IF($B307="MEANS",INDEX('1-DATA'!$1:$1048576,$A306-1,COLUMN('1-DATA'!J305)),ROUND(INDEX('1-DATA'!$1:$1048576,IF(OR($B307="STD. DEVIATION",$C$1=1),$A307,$A307+1),COLUMN('1-DATA'!J305)),IF($B307="STD. DEVIATION",2,$F$1))))</f>
        <v/>
      </c>
      <c r="L307" s="1" t="str">
        <f>IF(OR($B307="",L$7=""),"",IF($B307="MEANS",INDEX('1-DATA'!$1:$1048576,$A306-1,COLUMN('1-DATA'!K305)),ROUND(INDEX('1-DATA'!$1:$1048576,IF(OR($B307="STD. DEVIATION",$C$1=1),$A307,$A307+1),COLUMN('1-DATA'!K305)),IF($B307="STD. DEVIATION",2,$F$1))))</f>
        <v/>
      </c>
      <c r="M307" s="1" t="str">
        <f>IF(OR($B307="",M$7=""),"",IF($B307="MEANS",INDEX('1-DATA'!$1:$1048576,$A306-1,COLUMN('1-DATA'!L305)),ROUND(INDEX('1-DATA'!$1:$1048576,IF(OR($B307="STD. DEVIATION",$C$1=1),$A307,$A307+1),COLUMN('1-DATA'!L305)),IF($B307="STD. DEVIATION",2,$F$1))))</f>
        <v/>
      </c>
      <c r="N307" s="1" t="str">
        <f>IF(OR($B307="",N$7=""),"",IF($B307="MEANS",INDEX('1-DATA'!$1:$1048576,$A306-1,COLUMN('1-DATA'!M305)),ROUND(INDEX('1-DATA'!$1:$1048576,IF(OR($B307="STD. DEVIATION",$C$1=1),$A307,$A307+1),COLUMN('1-DATA'!M305)),IF($B307="STD. DEVIATION",2,$F$1))))</f>
        <v/>
      </c>
      <c r="O307" s="1" t="str">
        <f>IF(OR($B307="",O$7=""),"",IF($B307="MEANS",INDEX('1-DATA'!$1:$1048576,$A306-1,COLUMN('1-DATA'!N305)),ROUND(INDEX('1-DATA'!$1:$1048576,IF(OR($B307="STD. DEVIATION",$C$1=1),$A307,$A307+1),COLUMN('1-DATA'!N305)),IF($B307="STD. DEVIATION",2,$F$1))))</f>
        <v/>
      </c>
      <c r="P307" s="1" t="str">
        <f>IF(OR($B307="",P$7=""),"",IF($B307="MEANS",INDEX('1-DATA'!$1:$1048576,$A306-1,COLUMN('1-DATA'!O305)),ROUND(INDEX('1-DATA'!$1:$1048576,IF(OR($B307="STD. DEVIATION",$C$1=1),$A307,$A307+1),COLUMN('1-DATA'!O305)),IF($B307="STD. DEVIATION",2,$F$1))))</f>
        <v/>
      </c>
      <c r="Q307" s="1" t="str">
        <f>IF(OR($B307="",Q$7=""),"",IF($B307="MEANS",INDEX('1-DATA'!$1:$1048576,$A306-1,COLUMN('1-DATA'!P305)),ROUND(INDEX('1-DATA'!$1:$1048576,IF(OR($B307="STD. DEVIATION",$C$1=1),$A307,$A307+1),COLUMN('1-DATA'!P305)),IF($B307="STD. DEVIATION",2,$F$1))))</f>
        <v/>
      </c>
      <c r="R307" s="1" t="str">
        <f>IF(OR($B307="",R$7=""),"",IF($B307="MEANS",INDEX('1-DATA'!$1:$1048576,$A306-1,COLUMN('1-DATA'!Q305)),ROUND(INDEX('1-DATA'!$1:$1048576,IF(OR($B307="STD. DEVIATION",$C$1=1),$A307,$A307+1),COLUMN('1-DATA'!Q305)),IF($B307="STD. DEVIATION",2,$F$1))))</f>
        <v/>
      </c>
      <c r="S307" s="1" t="str">
        <f>IF(OR($B307="",S$7=""),"",IF($B307="MEANS",INDEX('1-DATA'!$1:$1048576,$A306-1,COLUMN('1-DATA'!R305)),ROUND(INDEX('1-DATA'!$1:$1048576,IF(OR($B307="STD. DEVIATION",$C$1=1),$A307,$A307+1),COLUMN('1-DATA'!R305)),IF($B307="STD. DEVIATION",2,$F$1))))</f>
        <v/>
      </c>
      <c r="T307" s="1" t="str">
        <f>IF(OR($B307="",T$7=""),"",IF($B307="MEANS",INDEX('1-DATA'!$1:$1048576,$A306-1,COLUMN('1-DATA'!S305)),ROUND(INDEX('1-DATA'!$1:$1048576,IF(OR($B307="STD. DEVIATION",$C$1=1),$A307,$A307+1),COLUMN('1-DATA'!S305)),IF($B307="STD. DEVIATION",2,$F$1))))</f>
        <v/>
      </c>
      <c r="U307" s="1" t="str">
        <f>IF(OR($B307="",U$7=""),"",IF($B307="MEANS",INDEX('1-DATA'!$1:$1048576,$A306-1,COLUMN('1-DATA'!T305)),ROUND(INDEX('1-DATA'!$1:$1048576,IF(OR($B307="STD. DEVIATION",$C$1=1),$A307,$A307+1),COLUMN('1-DATA'!T305)),IF($B307="STD. DEVIATION",2,$F$1))))</f>
        <v/>
      </c>
      <c r="V307" s="1" t="str">
        <f>IF(OR($B307="",V$7=""),"",IF($B307="MEANS",INDEX('1-DATA'!$1:$1048576,$A306-1,COLUMN('1-DATA'!U305)),ROUND(INDEX('1-DATA'!$1:$1048576,IF(OR($B307="STD. DEVIATION",$C$1=1),$A307,$A307+1),COLUMN('1-DATA'!U305)),IF($B307="STD. DEVIATION",2,$F$1))))</f>
        <v/>
      </c>
      <c r="W307" s="1" t="str">
        <f>IF(OR($B307="",W$7=""),"",IF($B307="MEANS",INDEX('1-DATA'!$1:$1048576,$A306-1,COLUMN('1-DATA'!V305)),ROUND(INDEX('1-DATA'!$1:$1048576,IF(OR($B307="STD. DEVIATION",$C$1=1),$A307,$A307+1),COLUMN('1-DATA'!V305)),IF($B307="STD. DEVIATION",2,$F$1))))</f>
        <v/>
      </c>
      <c r="X307" s="1" t="str">
        <f>IF(OR($B307="",X$7=""),"",IF($B307="MEANS",INDEX('1-DATA'!$1:$1048576,$A306-1,COLUMN('1-DATA'!W305)),ROUND(INDEX('1-DATA'!$1:$1048576,IF(OR($B307="STD. DEVIATION",$C$1=1),$A307,$A307+1),COLUMN('1-DATA'!W305)),IF($B307="STD. DEVIATION",2,$F$1))))</f>
        <v/>
      </c>
      <c r="Y307" s="1" t="str">
        <f>IF(OR($B307="",Y$7=""),"",IF($B307="MEANS",INDEX('1-DATA'!$1:$1048576,$A306-1,COLUMN('1-DATA'!X305)),ROUND(INDEX('1-DATA'!$1:$1048576,IF(OR($B307="STD. DEVIATION",$C$1=1),$A307,$A307+1),COLUMN('1-DATA'!X305)),IF($B307="STD. DEVIATION",2,$F$1))))</f>
        <v/>
      </c>
      <c r="Z307" s="1" t="str">
        <f>IF(OR($B307="",Z$7=""),"",IF($B307="MEANS",INDEX('1-DATA'!$1:$1048576,$A306-1,COLUMN('1-DATA'!Y305)),ROUND(INDEX('1-DATA'!$1:$1048576,IF(OR($B307="STD. DEVIATION",$C$1=1),$A307,$A307+1),COLUMN('1-DATA'!Y305)),IF($B307="STD. DEVIATION",2,$F$1))))</f>
        <v/>
      </c>
      <c r="AA307" s="1" t="str">
        <f>IF(OR($B307="",AA$7=""),"",IF($B307="MEANS",INDEX('1-DATA'!$1:$1048576,$A306-1,COLUMN('1-DATA'!Z305)),ROUND(INDEX('1-DATA'!$1:$1048576,IF(OR($B307="STD. DEVIATION",$C$1=1),$A307,$A307+1),COLUMN('1-DATA'!Z305)),IF($B307="STD. DEVIATION",2,$F$1))))</f>
        <v/>
      </c>
      <c r="AB307" s="1" t="str">
        <f>IF(OR($B307="",AB$7=""),"",IF($B307="MEANS",INDEX('1-DATA'!$1:$1048576,$A306-1,COLUMN('1-DATA'!AA305)),ROUND(INDEX('1-DATA'!$1:$1048576,IF(OR($B307="STD. DEVIATION",$C$1=1),$A307,$A307+1),COLUMN('1-DATA'!AA305)),IF($B307="STD. DEVIATION",2,$F$1))))</f>
        <v/>
      </c>
      <c r="AC307" s="1" t="str">
        <f>IF(OR($B307="",AC$7=""),"",IF($B307="MEANS",INDEX('1-DATA'!$1:$1048576,$A306-1,COLUMN('1-DATA'!AB305)),ROUND(INDEX('1-DATA'!$1:$1048576,IF(OR($B307="STD. DEVIATION",$C$1=1),$A307,$A307+1),COLUMN('1-DATA'!AB305)),IF($B307="STD. DEVIATION",2,$F$1))))</f>
        <v/>
      </c>
      <c r="AD307" s="1" t="str">
        <f>IF(OR($B307="",AD$7=""),"",IF($B307="MEANS",INDEX('1-DATA'!$1:$1048576,$A306-1,COLUMN('1-DATA'!AC305)),ROUND(INDEX('1-DATA'!$1:$1048576,IF(OR($B307="STD. DEVIATION",$C$1=1),$A307,$A307+1),COLUMN('1-DATA'!AC305)),IF($B307="STD. DEVIATION",2,$F$1))))</f>
        <v/>
      </c>
      <c r="AE307" s="1" t="str">
        <f>IF(OR($B307="",AE$7=""),"",IF($B307="MEANS",INDEX('1-DATA'!$1:$1048576,$A306-1,COLUMN('1-DATA'!AD305)),ROUND(INDEX('1-DATA'!$1:$1048576,IF(OR($B307="STD. DEVIATION",$C$1=1),$A307,$A307+1),COLUMN('1-DATA'!AD305)),IF($B307="STD. DEVIATION",2,$F$1))))</f>
        <v/>
      </c>
      <c r="AF307" s="1" t="str">
        <f>IF(OR($B307="",AF$7=""),"",IF($B307="MEANS",INDEX('1-DATA'!$1:$1048576,$A306-1,COLUMN('1-DATA'!AE305)),ROUND(INDEX('1-DATA'!$1:$1048576,IF(OR($B307="STD. DEVIATION",$C$1=1),$A307,$A307+1),COLUMN('1-DATA'!AE305)),IF($B307="STD. DEVIATION",2,$F$1))))</f>
        <v/>
      </c>
      <c r="AG307" s="1" t="str">
        <f>IF(OR($B307="",AG$7=""),"",IF($B307="MEANS",INDEX('1-DATA'!$1:$1048576,$A306-1,COLUMN('1-DATA'!AF305)),ROUND(INDEX('1-DATA'!$1:$1048576,IF(OR($B307="STD. DEVIATION",$C$1=1),$A307,$A307+1),COLUMN('1-DATA'!AF305)),IF($B307="STD. DEVIATION",2,$F$1))))</f>
        <v/>
      </c>
      <c r="AH307" s="1" t="str">
        <f>IF(OR($B307="",AH$7=""),"",IF($B307="MEANS",INDEX('1-DATA'!$1:$1048576,$A306-1,COLUMN('1-DATA'!AG305)),ROUND(INDEX('1-DATA'!$1:$1048576,IF(OR($B307="STD. DEVIATION",$C$1=1),$A307,$A307+1),COLUMN('1-DATA'!AG305)),IF($B307="STD. DEVIATION",2,$F$1))))</f>
        <v/>
      </c>
      <c r="AI307" s="1" t="str">
        <f>IF(OR($B307="",AI$7=""),"",IF($B307="MEANS",INDEX('1-DATA'!$1:$1048576,$A306-1,COLUMN('1-DATA'!AH305)),ROUND(INDEX('1-DATA'!$1:$1048576,IF(OR($B307="STD. DEVIATION",$C$1=1),$A307,$A307+1),COLUMN('1-DATA'!AH305)),IF($B307="STD. DEVIATION",2,$F$1))))</f>
        <v/>
      </c>
      <c r="AJ307" s="1" t="str">
        <f>IF(OR($B307="",AJ$7=""),"",IF($B307="MEANS",INDEX('1-DATA'!$1:$1048576,$A306-1,COLUMN('1-DATA'!AI305)),ROUND(INDEX('1-DATA'!$1:$1048576,IF(OR($B307="STD. DEVIATION",$C$1=1),$A307,$A307+1),COLUMN('1-DATA'!AI305)),IF($B307="STD. DEVIATION",2,$F$1))))</f>
        <v/>
      </c>
      <c r="AK307" s="1" t="str">
        <f>IF(OR($B307="",AK$7=""),"",IF($B307="MEANS",INDEX('1-DATA'!$1:$1048576,$A306-1,COLUMN('1-DATA'!AJ305)),ROUND(INDEX('1-DATA'!$1:$1048576,IF(OR($B307="STD. DEVIATION",$C$1=1),$A307,$A307+1),COLUMN('1-DATA'!AJ305)),IF($B307="STD. DEVIATION",2,$F$1))))</f>
        <v/>
      </c>
      <c r="AL307" s="1" t="str">
        <f>IF(OR($B307="",AL$7=""),"",IF($B307="MEANS",INDEX('1-DATA'!$1:$1048576,$A306-1,COLUMN('1-DATA'!AK305)),ROUND(INDEX('1-DATA'!$1:$1048576,IF(OR($B307="STD. DEVIATION",$C$1=1),$A307,$A307+1),COLUMN('1-DATA'!AK305)),IF($B307="STD. DEVIATION",2,$F$1))))</f>
        <v/>
      </c>
      <c r="AM307" s="1" t="str">
        <f>IF(OR($B307="",AM$7=""),"",IF($B307="MEANS",INDEX('1-DATA'!$1:$1048576,$A306-1,COLUMN('1-DATA'!AL305)),ROUND(INDEX('1-DATA'!$1:$1048576,IF(OR($B307="STD. DEVIATION",$C$1=1),$A307,$A307+1),COLUMN('1-DATA'!AL305)),IF($B307="STD. DEVIATION",2,$F$1))))</f>
        <v/>
      </c>
      <c r="AN307" s="1" t="str">
        <f>IF(OR($B307="",AN$7=""),"",IF($B307="MEANS",INDEX('1-DATA'!$1:$1048576,$A306-1,COLUMN('1-DATA'!AM305)),ROUND(INDEX('1-DATA'!$1:$1048576,IF(OR($B307="STD. DEVIATION",$C$1=1),$A307,$A307+1),COLUMN('1-DATA'!AM305)),IF($B307="STD. DEVIATION",2,$F$1))))</f>
        <v/>
      </c>
      <c r="AO307" s="1" t="str">
        <f>IF(OR($B307="",AO$7=""),"",IF($B307="MEANS",INDEX('1-DATA'!$1:$1048576,$A306-1,COLUMN('1-DATA'!AN305)),ROUND(INDEX('1-DATA'!$1:$1048576,IF(OR($B307="STD. DEVIATION",$C$1=1),$A307,$A307+1),COLUMN('1-DATA'!AN305)),IF($B307="STD. DEVIATION",2,$F$1))))</f>
        <v/>
      </c>
      <c r="AP307" s="1" t="str">
        <f>IF(OR($B307="",AP$7=""),"",IF($B307="MEANS",INDEX('1-DATA'!$1:$1048576,$A306-1,COLUMN('1-DATA'!AO305)),ROUND(INDEX('1-DATA'!$1:$1048576,IF(OR($B307="STD. DEVIATION",$C$1=1),$A307,$A307+1),COLUMN('1-DATA'!AO305)),IF($B307="STD. DEVIATION",2,$F$1))))</f>
        <v/>
      </c>
      <c r="AQ307" s="1" t="str">
        <f>IF(OR($B307="",AQ$7=""),"",IF($B307="MEANS",INDEX('1-DATA'!$1:$1048576,$A306-1,COLUMN('1-DATA'!AP305)),ROUND(INDEX('1-DATA'!$1:$1048576,IF(OR($B307="STD. DEVIATION",$C$1=1),$A307,$A307+1),COLUMN('1-DATA'!AP305)),IF($B307="STD. DEVIATION",2,$F$1))))</f>
        <v/>
      </c>
      <c r="AR307" s="1" t="str">
        <f>IF(OR($B307="",AR$7=""),"",IF($B307="MEANS",INDEX('1-DATA'!$1:$1048576,$A306-1,COLUMN('1-DATA'!AQ305)),ROUND(INDEX('1-DATA'!$1:$1048576,IF(OR($B307="STD. DEVIATION",$C$1=1),$A307,$A307+1),COLUMN('1-DATA'!AQ305)),IF($B307="STD. DEVIATION",2,$F$1))))</f>
        <v/>
      </c>
      <c r="AS307" s="1" t="str">
        <f>IF(OR($B307="",AS$7=""),"",IF($B307="MEANS",INDEX('1-DATA'!$1:$1048576,$A306-1,COLUMN('1-DATA'!AR305)),ROUND(INDEX('1-DATA'!$1:$1048576,IF(OR($B307="STD. DEVIATION",$C$1=1),$A307,$A307+1),COLUMN('1-DATA'!AR305)),IF($B307="STD. DEVIATION",2,$F$1))))</f>
        <v/>
      </c>
      <c r="AT307" s="1" t="str">
        <f>IF(OR($B307="",AT$7=""),"",IF($B307="MEANS",INDEX('1-DATA'!$1:$1048576,$A306-1,COLUMN('1-DATA'!AS305)),ROUND(INDEX('1-DATA'!$1:$1048576,IF(OR($B307="STD. DEVIATION",$C$1=1),$A307,$A307+1),COLUMN('1-DATA'!AS305)),IF($B307="STD. DEVIATION",2,$F$1))))</f>
        <v/>
      </c>
      <c r="AU307" s="1" t="str">
        <f>IF(OR($B307="",AU$7=""),"",IF($B307="MEANS",INDEX('1-DATA'!$1:$1048576,$A306-1,COLUMN('1-DATA'!AT305)),ROUND(INDEX('1-DATA'!$1:$1048576,IF(OR($B307="STD. DEVIATION",$C$1=1),$A307,$A307+1),COLUMN('1-DATA'!AT305)),IF($B307="STD. DEVIATION",2,$F$1))))</f>
        <v/>
      </c>
      <c r="AV307" s="1" t="str">
        <f>IF(OR($B307="",AV$7=""),"",IF($B307="MEANS",INDEX('1-DATA'!$1:$1048576,$A306-1,COLUMN('1-DATA'!AU305)),ROUND(INDEX('1-DATA'!$1:$1048576,IF(OR($B307="STD. DEVIATION",$C$1=1),$A307,$A307+1),COLUMN('1-DATA'!AU305)),IF($B307="STD. DEVIATION",2,$F$1))))</f>
        <v/>
      </c>
      <c r="AW307" s="1" t="str">
        <f>IF(OR($B307="",AW$7=""),"",IF($B307="MEANS",INDEX('1-DATA'!$1:$1048576,$A306-1,COLUMN('1-DATA'!AV305)),ROUND(INDEX('1-DATA'!$1:$1048576,IF(OR($B307="STD. DEVIATION",$C$1=1),$A307,$A307+1),COLUMN('1-DATA'!AV305)),IF($B307="STD. DEVIATION",2,$F$1))))</f>
        <v/>
      </c>
      <c r="AX307" s="1" t="str">
        <f>IF(OR($B307="",AX$7=""),"",IF($B307="MEANS",INDEX('1-DATA'!$1:$1048576,$A306-1,COLUMN('1-DATA'!AW305)),ROUND(INDEX('1-DATA'!$1:$1048576,IF(OR($B307="STD. DEVIATION",$C$1=1),$A307,$A307+1),COLUMN('1-DATA'!AW305)),IF($B307="STD. DEVIATION",2,$F$1))))</f>
        <v/>
      </c>
      <c r="AY307" s="1" t="str">
        <f>IF(OR($B307="",AY$7=""),"",IF($B307="MEANS",INDEX('1-DATA'!$1:$1048576,$A306-1,COLUMN('1-DATA'!AX305)),ROUND(INDEX('1-DATA'!$1:$1048576,IF(OR($B307="STD. DEVIATION",$C$1=1),$A307,$A307+1),COLUMN('1-DATA'!AX305)),IF($B307="STD. DEVIATION",2,$F$1))))</f>
        <v/>
      </c>
      <c r="AZ307" s="1" t="str">
        <f>IF(OR($B307="",AZ$7=""),"",IF($B307="MEANS",INDEX('1-DATA'!$1:$1048576,$A306-1,COLUMN('1-DATA'!AY305)),ROUND(INDEX('1-DATA'!$1:$1048576,IF(OR($B307="STD. DEVIATION",$C$1=1),$A307,$A307+1),COLUMN('1-DATA'!AY305)),IF($B307="STD. DEVIATION",2,$F$1))))</f>
        <v/>
      </c>
    </row>
    <row r="308" spans="1:52" x14ac:dyDescent="0.25">
      <c r="A308" s="11">
        <f t="shared" si="5"/>
        <v>910</v>
      </c>
      <c r="B308" s="1" t="str">
        <f>IF(B307="STD. DEVIATION",INDEX('1-DATA'!$1:$1048576,$A307-1,1),IF(INDEX('1-DATA'!$1:$1048576,$A308,1)&lt;&gt;"",INDEX('1-DATA'!$1:$1048576,$A308,1),""))</f>
        <v/>
      </c>
      <c r="C308" s="1" t="str">
        <f>IF(OR($B308="",C$7=""),"",IF($B308="MEANS",INDEX('1-DATA'!$1:$1048576,$A307-1,COLUMN('1-DATA'!B306)),ROUND(INDEX('1-DATA'!$1:$1048576,IF(OR($B308="STD. DEVIATION",$C$1=1),$A308,$A308+1),COLUMN('1-DATA'!B306)),IF($B308="STD. DEVIATION",2,$F$1))))</f>
        <v/>
      </c>
      <c r="D308" s="1" t="str">
        <f>IF(OR($B308="",D$7=""),"",IF($B308="MEANS",INDEX('1-DATA'!$1:$1048576,$A307-1,COLUMN('1-DATA'!C306)),ROUND(INDEX('1-DATA'!$1:$1048576,IF(OR($B308="STD. DEVIATION",$C$1=1),$A308,$A308+1),COLUMN('1-DATA'!C306)),IF($B308="STD. DEVIATION",2,$F$1))))</f>
        <v/>
      </c>
      <c r="E308" s="1" t="str">
        <f>IF(OR($B308="",E$7=""),"",IF($B308="MEANS",INDEX('1-DATA'!$1:$1048576,$A307-1,COLUMN('1-DATA'!D306)),ROUND(INDEX('1-DATA'!$1:$1048576,IF(OR($B308="STD. DEVIATION",$C$1=1),$A308,$A308+1),COLUMN('1-DATA'!D306)),IF($B308="STD. DEVIATION",2,$F$1))))</f>
        <v/>
      </c>
      <c r="F308" s="1" t="str">
        <f>IF(OR($B308="",F$7=""),"",IF($B308="MEANS",INDEX('1-DATA'!$1:$1048576,$A307-1,COLUMN('1-DATA'!E306)),ROUND(INDEX('1-DATA'!$1:$1048576,IF(OR($B308="STD. DEVIATION",$C$1=1),$A308,$A308+1),COLUMN('1-DATA'!E306)),IF($B308="STD. DEVIATION",2,$F$1))))</f>
        <v/>
      </c>
      <c r="G308" s="1" t="str">
        <f>IF(OR($B308="",G$7=""),"",IF($B308="MEANS",INDEX('1-DATA'!$1:$1048576,$A307-1,COLUMN('1-DATA'!F306)),ROUND(INDEX('1-DATA'!$1:$1048576,IF(OR($B308="STD. DEVIATION",$C$1=1),$A308,$A308+1),COLUMN('1-DATA'!F306)),IF($B308="STD. DEVIATION",2,$F$1))))</f>
        <v/>
      </c>
      <c r="H308" s="1" t="str">
        <f>IF(OR($B308="",H$7=""),"",IF($B308="MEANS",INDEX('1-DATA'!$1:$1048576,$A307-1,COLUMN('1-DATA'!G306)),ROUND(INDEX('1-DATA'!$1:$1048576,IF(OR($B308="STD. DEVIATION",$C$1=1),$A308,$A308+1),COLUMN('1-DATA'!G306)),IF($B308="STD. DEVIATION",2,$F$1))))</f>
        <v/>
      </c>
      <c r="I308" s="1" t="str">
        <f>IF(OR($B308="",I$7=""),"",IF($B308="MEANS",INDEX('1-DATA'!$1:$1048576,$A307-1,COLUMN('1-DATA'!H306)),ROUND(INDEX('1-DATA'!$1:$1048576,IF(OR($B308="STD. DEVIATION",$C$1=1),$A308,$A308+1),COLUMN('1-DATA'!H306)),IF($B308="STD. DEVIATION",2,$F$1))))</f>
        <v/>
      </c>
      <c r="J308" s="1" t="str">
        <f>IF(OR($B308="",J$7=""),"",IF($B308="MEANS",INDEX('1-DATA'!$1:$1048576,$A307-1,COLUMN('1-DATA'!I306)),ROUND(INDEX('1-DATA'!$1:$1048576,IF(OR($B308="STD. DEVIATION",$C$1=1),$A308,$A308+1),COLUMN('1-DATA'!I306)),IF($B308="STD. DEVIATION",2,$F$1))))</f>
        <v/>
      </c>
      <c r="K308" s="1" t="str">
        <f>IF(OR($B308="",K$7=""),"",IF($B308="MEANS",INDEX('1-DATA'!$1:$1048576,$A307-1,COLUMN('1-DATA'!J306)),ROUND(INDEX('1-DATA'!$1:$1048576,IF(OR($B308="STD. DEVIATION",$C$1=1),$A308,$A308+1),COLUMN('1-DATA'!J306)),IF($B308="STD. DEVIATION",2,$F$1))))</f>
        <v/>
      </c>
      <c r="L308" s="1" t="str">
        <f>IF(OR($B308="",L$7=""),"",IF($B308="MEANS",INDEX('1-DATA'!$1:$1048576,$A307-1,COLUMN('1-DATA'!K306)),ROUND(INDEX('1-DATA'!$1:$1048576,IF(OR($B308="STD. DEVIATION",$C$1=1),$A308,$A308+1),COLUMN('1-DATA'!K306)),IF($B308="STD. DEVIATION",2,$F$1))))</f>
        <v/>
      </c>
      <c r="M308" s="1" t="str">
        <f>IF(OR($B308="",M$7=""),"",IF($B308="MEANS",INDEX('1-DATA'!$1:$1048576,$A307-1,COLUMN('1-DATA'!L306)),ROUND(INDEX('1-DATA'!$1:$1048576,IF(OR($B308="STD. DEVIATION",$C$1=1),$A308,$A308+1),COLUMN('1-DATA'!L306)),IF($B308="STD. DEVIATION",2,$F$1))))</f>
        <v/>
      </c>
      <c r="N308" s="1" t="str">
        <f>IF(OR($B308="",N$7=""),"",IF($B308="MEANS",INDEX('1-DATA'!$1:$1048576,$A307-1,COLUMN('1-DATA'!M306)),ROUND(INDEX('1-DATA'!$1:$1048576,IF(OR($B308="STD. DEVIATION",$C$1=1),$A308,$A308+1),COLUMN('1-DATA'!M306)),IF($B308="STD. DEVIATION",2,$F$1))))</f>
        <v/>
      </c>
      <c r="O308" s="1" t="str">
        <f>IF(OR($B308="",O$7=""),"",IF($B308="MEANS",INDEX('1-DATA'!$1:$1048576,$A307-1,COLUMN('1-DATA'!N306)),ROUND(INDEX('1-DATA'!$1:$1048576,IF(OR($B308="STD. DEVIATION",$C$1=1),$A308,$A308+1),COLUMN('1-DATA'!N306)),IF($B308="STD. DEVIATION",2,$F$1))))</f>
        <v/>
      </c>
      <c r="P308" s="1" t="str">
        <f>IF(OR($B308="",P$7=""),"",IF($B308="MEANS",INDEX('1-DATA'!$1:$1048576,$A307-1,COLUMN('1-DATA'!O306)),ROUND(INDEX('1-DATA'!$1:$1048576,IF(OR($B308="STD. DEVIATION",$C$1=1),$A308,$A308+1),COLUMN('1-DATA'!O306)),IF($B308="STD. DEVIATION",2,$F$1))))</f>
        <v/>
      </c>
      <c r="Q308" s="1" t="str">
        <f>IF(OR($B308="",Q$7=""),"",IF($B308="MEANS",INDEX('1-DATA'!$1:$1048576,$A307-1,COLUMN('1-DATA'!P306)),ROUND(INDEX('1-DATA'!$1:$1048576,IF(OR($B308="STD. DEVIATION",$C$1=1),$A308,$A308+1),COLUMN('1-DATA'!P306)),IF($B308="STD. DEVIATION",2,$F$1))))</f>
        <v/>
      </c>
      <c r="R308" s="1" t="str">
        <f>IF(OR($B308="",R$7=""),"",IF($B308="MEANS",INDEX('1-DATA'!$1:$1048576,$A307-1,COLUMN('1-DATA'!Q306)),ROUND(INDEX('1-DATA'!$1:$1048576,IF(OR($B308="STD. DEVIATION",$C$1=1),$A308,$A308+1),COLUMN('1-DATA'!Q306)),IF($B308="STD. DEVIATION",2,$F$1))))</f>
        <v/>
      </c>
      <c r="S308" s="1" t="str">
        <f>IF(OR($B308="",S$7=""),"",IF($B308="MEANS",INDEX('1-DATA'!$1:$1048576,$A307-1,COLUMN('1-DATA'!R306)),ROUND(INDEX('1-DATA'!$1:$1048576,IF(OR($B308="STD. DEVIATION",$C$1=1),$A308,$A308+1),COLUMN('1-DATA'!R306)),IF($B308="STD. DEVIATION",2,$F$1))))</f>
        <v/>
      </c>
      <c r="T308" s="1" t="str">
        <f>IF(OR($B308="",T$7=""),"",IF($B308="MEANS",INDEX('1-DATA'!$1:$1048576,$A307-1,COLUMN('1-DATA'!S306)),ROUND(INDEX('1-DATA'!$1:$1048576,IF(OR($B308="STD. DEVIATION",$C$1=1),$A308,$A308+1),COLUMN('1-DATA'!S306)),IF($B308="STD. DEVIATION",2,$F$1))))</f>
        <v/>
      </c>
      <c r="U308" s="1" t="str">
        <f>IF(OR($B308="",U$7=""),"",IF($B308="MEANS",INDEX('1-DATA'!$1:$1048576,$A307-1,COLUMN('1-DATA'!T306)),ROUND(INDEX('1-DATA'!$1:$1048576,IF(OR($B308="STD. DEVIATION",$C$1=1),$A308,$A308+1),COLUMN('1-DATA'!T306)),IF($B308="STD. DEVIATION",2,$F$1))))</f>
        <v/>
      </c>
      <c r="V308" s="1" t="str">
        <f>IF(OR($B308="",V$7=""),"",IF($B308="MEANS",INDEX('1-DATA'!$1:$1048576,$A307-1,COLUMN('1-DATA'!U306)),ROUND(INDEX('1-DATA'!$1:$1048576,IF(OR($B308="STD. DEVIATION",$C$1=1),$A308,$A308+1),COLUMN('1-DATA'!U306)),IF($B308="STD. DEVIATION",2,$F$1))))</f>
        <v/>
      </c>
      <c r="W308" s="1" t="str">
        <f>IF(OR($B308="",W$7=""),"",IF($B308="MEANS",INDEX('1-DATA'!$1:$1048576,$A307-1,COLUMN('1-DATA'!V306)),ROUND(INDEX('1-DATA'!$1:$1048576,IF(OR($B308="STD. DEVIATION",$C$1=1),$A308,$A308+1),COLUMN('1-DATA'!V306)),IF($B308="STD. DEVIATION",2,$F$1))))</f>
        <v/>
      </c>
      <c r="X308" s="1" t="str">
        <f>IF(OR($B308="",X$7=""),"",IF($B308="MEANS",INDEX('1-DATA'!$1:$1048576,$A307-1,COLUMN('1-DATA'!W306)),ROUND(INDEX('1-DATA'!$1:$1048576,IF(OR($B308="STD. DEVIATION",$C$1=1),$A308,$A308+1),COLUMN('1-DATA'!W306)),IF($B308="STD. DEVIATION",2,$F$1))))</f>
        <v/>
      </c>
      <c r="Y308" s="1" t="str">
        <f>IF(OR($B308="",Y$7=""),"",IF($B308="MEANS",INDEX('1-DATA'!$1:$1048576,$A307-1,COLUMN('1-DATA'!X306)),ROUND(INDEX('1-DATA'!$1:$1048576,IF(OR($B308="STD. DEVIATION",$C$1=1),$A308,$A308+1),COLUMN('1-DATA'!X306)),IF($B308="STD. DEVIATION",2,$F$1))))</f>
        <v/>
      </c>
      <c r="Z308" s="1" t="str">
        <f>IF(OR($B308="",Z$7=""),"",IF($B308="MEANS",INDEX('1-DATA'!$1:$1048576,$A307-1,COLUMN('1-DATA'!Y306)),ROUND(INDEX('1-DATA'!$1:$1048576,IF(OR($B308="STD. DEVIATION",$C$1=1),$A308,$A308+1),COLUMN('1-DATA'!Y306)),IF($B308="STD. DEVIATION",2,$F$1))))</f>
        <v/>
      </c>
      <c r="AA308" s="1" t="str">
        <f>IF(OR($B308="",AA$7=""),"",IF($B308="MEANS",INDEX('1-DATA'!$1:$1048576,$A307-1,COLUMN('1-DATA'!Z306)),ROUND(INDEX('1-DATA'!$1:$1048576,IF(OR($B308="STD. DEVIATION",$C$1=1),$A308,$A308+1),COLUMN('1-DATA'!Z306)),IF($B308="STD. DEVIATION",2,$F$1))))</f>
        <v/>
      </c>
      <c r="AB308" s="1" t="str">
        <f>IF(OR($B308="",AB$7=""),"",IF($B308="MEANS",INDEX('1-DATA'!$1:$1048576,$A307-1,COLUMN('1-DATA'!AA306)),ROUND(INDEX('1-DATA'!$1:$1048576,IF(OR($B308="STD. DEVIATION",$C$1=1),$A308,$A308+1),COLUMN('1-DATA'!AA306)),IF($B308="STD. DEVIATION",2,$F$1))))</f>
        <v/>
      </c>
      <c r="AC308" s="1" t="str">
        <f>IF(OR($B308="",AC$7=""),"",IF($B308="MEANS",INDEX('1-DATA'!$1:$1048576,$A307-1,COLUMN('1-DATA'!AB306)),ROUND(INDEX('1-DATA'!$1:$1048576,IF(OR($B308="STD. DEVIATION",$C$1=1),$A308,$A308+1),COLUMN('1-DATA'!AB306)),IF($B308="STD. DEVIATION",2,$F$1))))</f>
        <v/>
      </c>
      <c r="AD308" s="1" t="str">
        <f>IF(OR($B308="",AD$7=""),"",IF($B308="MEANS",INDEX('1-DATA'!$1:$1048576,$A307-1,COLUMN('1-DATA'!AC306)),ROUND(INDEX('1-DATA'!$1:$1048576,IF(OR($B308="STD. DEVIATION",$C$1=1),$A308,$A308+1),COLUMN('1-DATA'!AC306)),IF($B308="STD. DEVIATION",2,$F$1))))</f>
        <v/>
      </c>
      <c r="AE308" s="1" t="str">
        <f>IF(OR($B308="",AE$7=""),"",IF($B308="MEANS",INDEX('1-DATA'!$1:$1048576,$A307-1,COLUMN('1-DATA'!AD306)),ROUND(INDEX('1-DATA'!$1:$1048576,IF(OR($B308="STD. DEVIATION",$C$1=1),$A308,$A308+1),COLUMN('1-DATA'!AD306)),IF($B308="STD. DEVIATION",2,$F$1))))</f>
        <v/>
      </c>
      <c r="AF308" s="1" t="str">
        <f>IF(OR($B308="",AF$7=""),"",IF($B308="MEANS",INDEX('1-DATA'!$1:$1048576,$A307-1,COLUMN('1-DATA'!AE306)),ROUND(INDEX('1-DATA'!$1:$1048576,IF(OR($B308="STD. DEVIATION",$C$1=1),$A308,$A308+1),COLUMN('1-DATA'!AE306)),IF($B308="STD. DEVIATION",2,$F$1))))</f>
        <v/>
      </c>
      <c r="AG308" s="1" t="str">
        <f>IF(OR($B308="",AG$7=""),"",IF($B308="MEANS",INDEX('1-DATA'!$1:$1048576,$A307-1,COLUMN('1-DATA'!AF306)),ROUND(INDEX('1-DATA'!$1:$1048576,IF(OR($B308="STD. DEVIATION",$C$1=1),$A308,$A308+1),COLUMN('1-DATA'!AF306)),IF($B308="STD. DEVIATION",2,$F$1))))</f>
        <v/>
      </c>
      <c r="AH308" s="1" t="str">
        <f>IF(OR($B308="",AH$7=""),"",IF($B308="MEANS",INDEX('1-DATA'!$1:$1048576,$A307-1,COLUMN('1-DATA'!AG306)),ROUND(INDEX('1-DATA'!$1:$1048576,IF(OR($B308="STD. DEVIATION",$C$1=1),$A308,$A308+1),COLUMN('1-DATA'!AG306)),IF($B308="STD. DEVIATION",2,$F$1))))</f>
        <v/>
      </c>
      <c r="AI308" s="1" t="str">
        <f>IF(OR($B308="",AI$7=""),"",IF($B308="MEANS",INDEX('1-DATA'!$1:$1048576,$A307-1,COLUMN('1-DATA'!AH306)),ROUND(INDEX('1-DATA'!$1:$1048576,IF(OR($B308="STD. DEVIATION",$C$1=1),$A308,$A308+1),COLUMN('1-DATA'!AH306)),IF($B308="STD. DEVIATION",2,$F$1))))</f>
        <v/>
      </c>
      <c r="AJ308" s="1" t="str">
        <f>IF(OR($B308="",AJ$7=""),"",IF($B308="MEANS",INDEX('1-DATA'!$1:$1048576,$A307-1,COLUMN('1-DATA'!AI306)),ROUND(INDEX('1-DATA'!$1:$1048576,IF(OR($B308="STD. DEVIATION",$C$1=1),$A308,$A308+1),COLUMN('1-DATA'!AI306)),IF($B308="STD. DEVIATION",2,$F$1))))</f>
        <v/>
      </c>
      <c r="AK308" s="1" t="str">
        <f>IF(OR($B308="",AK$7=""),"",IF($B308="MEANS",INDEX('1-DATA'!$1:$1048576,$A307-1,COLUMN('1-DATA'!AJ306)),ROUND(INDEX('1-DATA'!$1:$1048576,IF(OR($B308="STD. DEVIATION",$C$1=1),$A308,$A308+1),COLUMN('1-DATA'!AJ306)),IF($B308="STD. DEVIATION",2,$F$1))))</f>
        <v/>
      </c>
      <c r="AL308" s="1" t="str">
        <f>IF(OR($B308="",AL$7=""),"",IF($B308="MEANS",INDEX('1-DATA'!$1:$1048576,$A307-1,COLUMN('1-DATA'!AK306)),ROUND(INDEX('1-DATA'!$1:$1048576,IF(OR($B308="STD. DEVIATION",$C$1=1),$A308,$A308+1),COLUMN('1-DATA'!AK306)),IF($B308="STD. DEVIATION",2,$F$1))))</f>
        <v/>
      </c>
      <c r="AM308" s="1" t="str">
        <f>IF(OR($B308="",AM$7=""),"",IF($B308="MEANS",INDEX('1-DATA'!$1:$1048576,$A307-1,COLUMN('1-DATA'!AL306)),ROUND(INDEX('1-DATA'!$1:$1048576,IF(OR($B308="STD. DEVIATION",$C$1=1),$A308,$A308+1),COLUMN('1-DATA'!AL306)),IF($B308="STD. DEVIATION",2,$F$1))))</f>
        <v/>
      </c>
      <c r="AN308" s="1" t="str">
        <f>IF(OR($B308="",AN$7=""),"",IF($B308="MEANS",INDEX('1-DATA'!$1:$1048576,$A307-1,COLUMN('1-DATA'!AM306)),ROUND(INDEX('1-DATA'!$1:$1048576,IF(OR($B308="STD. DEVIATION",$C$1=1),$A308,$A308+1),COLUMN('1-DATA'!AM306)),IF($B308="STD. DEVIATION",2,$F$1))))</f>
        <v/>
      </c>
      <c r="AO308" s="1" t="str">
        <f>IF(OR($B308="",AO$7=""),"",IF($B308="MEANS",INDEX('1-DATA'!$1:$1048576,$A307-1,COLUMN('1-DATA'!AN306)),ROUND(INDEX('1-DATA'!$1:$1048576,IF(OR($B308="STD. DEVIATION",$C$1=1),$A308,$A308+1),COLUMN('1-DATA'!AN306)),IF($B308="STD. DEVIATION",2,$F$1))))</f>
        <v/>
      </c>
      <c r="AP308" s="1" t="str">
        <f>IF(OR($B308="",AP$7=""),"",IF($B308="MEANS",INDEX('1-DATA'!$1:$1048576,$A307-1,COLUMN('1-DATA'!AO306)),ROUND(INDEX('1-DATA'!$1:$1048576,IF(OR($B308="STD. DEVIATION",$C$1=1),$A308,$A308+1),COLUMN('1-DATA'!AO306)),IF($B308="STD. DEVIATION",2,$F$1))))</f>
        <v/>
      </c>
      <c r="AQ308" s="1" t="str">
        <f>IF(OR($B308="",AQ$7=""),"",IF($B308="MEANS",INDEX('1-DATA'!$1:$1048576,$A307-1,COLUMN('1-DATA'!AP306)),ROUND(INDEX('1-DATA'!$1:$1048576,IF(OR($B308="STD. DEVIATION",$C$1=1),$A308,$A308+1),COLUMN('1-DATA'!AP306)),IF($B308="STD. DEVIATION",2,$F$1))))</f>
        <v/>
      </c>
      <c r="AR308" s="1" t="str">
        <f>IF(OR($B308="",AR$7=""),"",IF($B308="MEANS",INDEX('1-DATA'!$1:$1048576,$A307-1,COLUMN('1-DATA'!AQ306)),ROUND(INDEX('1-DATA'!$1:$1048576,IF(OR($B308="STD. DEVIATION",$C$1=1),$A308,$A308+1),COLUMN('1-DATA'!AQ306)),IF($B308="STD. DEVIATION",2,$F$1))))</f>
        <v/>
      </c>
      <c r="AS308" s="1" t="str">
        <f>IF(OR($B308="",AS$7=""),"",IF($B308="MEANS",INDEX('1-DATA'!$1:$1048576,$A307-1,COLUMN('1-DATA'!AR306)),ROUND(INDEX('1-DATA'!$1:$1048576,IF(OR($B308="STD. DEVIATION",$C$1=1),$A308,$A308+1),COLUMN('1-DATA'!AR306)),IF($B308="STD. DEVIATION",2,$F$1))))</f>
        <v/>
      </c>
      <c r="AT308" s="1" t="str">
        <f>IF(OR($B308="",AT$7=""),"",IF($B308="MEANS",INDEX('1-DATA'!$1:$1048576,$A307-1,COLUMN('1-DATA'!AS306)),ROUND(INDEX('1-DATA'!$1:$1048576,IF(OR($B308="STD. DEVIATION",$C$1=1),$A308,$A308+1),COLUMN('1-DATA'!AS306)),IF($B308="STD. DEVIATION",2,$F$1))))</f>
        <v/>
      </c>
      <c r="AU308" s="1" t="str">
        <f>IF(OR($B308="",AU$7=""),"",IF($B308="MEANS",INDEX('1-DATA'!$1:$1048576,$A307-1,COLUMN('1-DATA'!AT306)),ROUND(INDEX('1-DATA'!$1:$1048576,IF(OR($B308="STD. DEVIATION",$C$1=1),$A308,$A308+1),COLUMN('1-DATA'!AT306)),IF($B308="STD. DEVIATION",2,$F$1))))</f>
        <v/>
      </c>
      <c r="AV308" s="1" t="str">
        <f>IF(OR($B308="",AV$7=""),"",IF($B308="MEANS",INDEX('1-DATA'!$1:$1048576,$A307-1,COLUMN('1-DATA'!AU306)),ROUND(INDEX('1-DATA'!$1:$1048576,IF(OR($B308="STD. DEVIATION",$C$1=1),$A308,$A308+1),COLUMN('1-DATA'!AU306)),IF($B308="STD. DEVIATION",2,$F$1))))</f>
        <v/>
      </c>
      <c r="AW308" s="1" t="str">
        <f>IF(OR($B308="",AW$7=""),"",IF($B308="MEANS",INDEX('1-DATA'!$1:$1048576,$A307-1,COLUMN('1-DATA'!AV306)),ROUND(INDEX('1-DATA'!$1:$1048576,IF(OR($B308="STD. DEVIATION",$C$1=1),$A308,$A308+1),COLUMN('1-DATA'!AV306)),IF($B308="STD. DEVIATION",2,$F$1))))</f>
        <v/>
      </c>
      <c r="AX308" s="1" t="str">
        <f>IF(OR($B308="",AX$7=""),"",IF($B308="MEANS",INDEX('1-DATA'!$1:$1048576,$A307-1,COLUMN('1-DATA'!AW306)),ROUND(INDEX('1-DATA'!$1:$1048576,IF(OR($B308="STD. DEVIATION",$C$1=1),$A308,$A308+1),COLUMN('1-DATA'!AW306)),IF($B308="STD. DEVIATION",2,$F$1))))</f>
        <v/>
      </c>
      <c r="AY308" s="1" t="str">
        <f>IF(OR($B308="",AY$7=""),"",IF($B308="MEANS",INDEX('1-DATA'!$1:$1048576,$A307-1,COLUMN('1-DATA'!AX306)),ROUND(INDEX('1-DATA'!$1:$1048576,IF(OR($B308="STD. DEVIATION",$C$1=1),$A308,$A308+1),COLUMN('1-DATA'!AX306)),IF($B308="STD. DEVIATION",2,$F$1))))</f>
        <v/>
      </c>
      <c r="AZ308" s="1" t="str">
        <f>IF(OR($B308="",AZ$7=""),"",IF($B308="MEANS",INDEX('1-DATA'!$1:$1048576,$A307-1,COLUMN('1-DATA'!AY306)),ROUND(INDEX('1-DATA'!$1:$1048576,IF(OR($B308="STD. DEVIATION",$C$1=1),$A308,$A308+1),COLUMN('1-DATA'!AY306)),IF($B308="STD. DEVIATION",2,$F$1))))</f>
        <v/>
      </c>
    </row>
    <row r="309" spans="1:52" x14ac:dyDescent="0.25">
      <c r="A309" s="11">
        <f t="shared" si="5"/>
        <v>913</v>
      </c>
      <c r="B309" s="1" t="str">
        <f>IF(B308="STD. DEVIATION",INDEX('1-DATA'!$1:$1048576,$A308-1,1),IF(INDEX('1-DATA'!$1:$1048576,$A309,1)&lt;&gt;"",INDEX('1-DATA'!$1:$1048576,$A309,1),""))</f>
        <v/>
      </c>
      <c r="C309" s="1" t="str">
        <f>IF(OR($B309="",C$7=""),"",IF($B309="MEANS",INDEX('1-DATA'!$1:$1048576,$A308-1,COLUMN('1-DATA'!B307)),ROUND(INDEX('1-DATA'!$1:$1048576,IF(OR($B309="STD. DEVIATION",$C$1=1),$A309,$A309+1),COLUMN('1-DATA'!B307)),IF($B309="STD. DEVIATION",2,$F$1))))</f>
        <v/>
      </c>
      <c r="D309" s="1" t="str">
        <f>IF(OR($B309="",D$7=""),"",IF($B309="MEANS",INDEX('1-DATA'!$1:$1048576,$A308-1,COLUMN('1-DATA'!C307)),ROUND(INDEX('1-DATA'!$1:$1048576,IF(OR($B309="STD. DEVIATION",$C$1=1),$A309,$A309+1),COLUMN('1-DATA'!C307)),IF($B309="STD. DEVIATION",2,$F$1))))</f>
        <v/>
      </c>
      <c r="E309" s="1" t="str">
        <f>IF(OR($B309="",E$7=""),"",IF($B309="MEANS",INDEX('1-DATA'!$1:$1048576,$A308-1,COLUMN('1-DATA'!D307)),ROUND(INDEX('1-DATA'!$1:$1048576,IF(OR($B309="STD. DEVIATION",$C$1=1),$A309,$A309+1),COLUMN('1-DATA'!D307)),IF($B309="STD. DEVIATION",2,$F$1))))</f>
        <v/>
      </c>
      <c r="F309" s="1" t="str">
        <f>IF(OR($B309="",F$7=""),"",IF($B309="MEANS",INDEX('1-DATA'!$1:$1048576,$A308-1,COLUMN('1-DATA'!E307)),ROUND(INDEX('1-DATA'!$1:$1048576,IF(OR($B309="STD. DEVIATION",$C$1=1),$A309,$A309+1),COLUMN('1-DATA'!E307)),IF($B309="STD. DEVIATION",2,$F$1))))</f>
        <v/>
      </c>
      <c r="G309" s="1" t="str">
        <f>IF(OR($B309="",G$7=""),"",IF($B309="MEANS",INDEX('1-DATA'!$1:$1048576,$A308-1,COLUMN('1-DATA'!F307)),ROUND(INDEX('1-DATA'!$1:$1048576,IF(OR($B309="STD. DEVIATION",$C$1=1),$A309,$A309+1),COLUMN('1-DATA'!F307)),IF($B309="STD. DEVIATION",2,$F$1))))</f>
        <v/>
      </c>
      <c r="H309" s="1" t="str">
        <f>IF(OR($B309="",H$7=""),"",IF($B309="MEANS",INDEX('1-DATA'!$1:$1048576,$A308-1,COLUMN('1-DATA'!G307)),ROUND(INDEX('1-DATA'!$1:$1048576,IF(OR($B309="STD. DEVIATION",$C$1=1),$A309,$A309+1),COLUMN('1-DATA'!G307)),IF($B309="STD. DEVIATION",2,$F$1))))</f>
        <v/>
      </c>
      <c r="I309" s="1" t="str">
        <f>IF(OR($B309="",I$7=""),"",IF($B309="MEANS",INDEX('1-DATA'!$1:$1048576,$A308-1,COLUMN('1-DATA'!H307)),ROUND(INDEX('1-DATA'!$1:$1048576,IF(OR($B309="STD. DEVIATION",$C$1=1),$A309,$A309+1),COLUMN('1-DATA'!H307)),IF($B309="STD. DEVIATION",2,$F$1))))</f>
        <v/>
      </c>
      <c r="J309" s="1" t="str">
        <f>IF(OR($B309="",J$7=""),"",IF($B309="MEANS",INDEX('1-DATA'!$1:$1048576,$A308-1,COLUMN('1-DATA'!I307)),ROUND(INDEX('1-DATA'!$1:$1048576,IF(OR($B309="STD. DEVIATION",$C$1=1),$A309,$A309+1),COLUMN('1-DATA'!I307)),IF($B309="STD. DEVIATION",2,$F$1))))</f>
        <v/>
      </c>
      <c r="K309" s="1" t="str">
        <f>IF(OR($B309="",K$7=""),"",IF($B309="MEANS",INDEX('1-DATA'!$1:$1048576,$A308-1,COLUMN('1-DATA'!J307)),ROUND(INDEX('1-DATA'!$1:$1048576,IF(OR($B309="STD. DEVIATION",$C$1=1),$A309,$A309+1),COLUMN('1-DATA'!J307)),IF($B309="STD. DEVIATION",2,$F$1))))</f>
        <v/>
      </c>
      <c r="L309" s="1" t="str">
        <f>IF(OR($B309="",L$7=""),"",IF($B309="MEANS",INDEX('1-DATA'!$1:$1048576,$A308-1,COLUMN('1-DATA'!K307)),ROUND(INDEX('1-DATA'!$1:$1048576,IF(OR($B309="STD. DEVIATION",$C$1=1),$A309,$A309+1),COLUMN('1-DATA'!K307)),IF($B309="STD. DEVIATION",2,$F$1))))</f>
        <v/>
      </c>
      <c r="M309" s="1" t="str">
        <f>IF(OR($B309="",M$7=""),"",IF($B309="MEANS",INDEX('1-DATA'!$1:$1048576,$A308-1,COLUMN('1-DATA'!L307)),ROUND(INDEX('1-DATA'!$1:$1048576,IF(OR($B309="STD. DEVIATION",$C$1=1),$A309,$A309+1),COLUMN('1-DATA'!L307)),IF($B309="STD. DEVIATION",2,$F$1))))</f>
        <v/>
      </c>
      <c r="N309" s="1" t="str">
        <f>IF(OR($B309="",N$7=""),"",IF($B309="MEANS",INDEX('1-DATA'!$1:$1048576,$A308-1,COLUMN('1-DATA'!M307)),ROUND(INDEX('1-DATA'!$1:$1048576,IF(OR($B309="STD. DEVIATION",$C$1=1),$A309,$A309+1),COLUMN('1-DATA'!M307)),IF($B309="STD. DEVIATION",2,$F$1))))</f>
        <v/>
      </c>
      <c r="O309" s="1" t="str">
        <f>IF(OR($B309="",O$7=""),"",IF($B309="MEANS",INDEX('1-DATA'!$1:$1048576,$A308-1,COLUMN('1-DATA'!N307)),ROUND(INDEX('1-DATA'!$1:$1048576,IF(OR($B309="STD. DEVIATION",$C$1=1),$A309,$A309+1),COLUMN('1-DATA'!N307)),IF($B309="STD. DEVIATION",2,$F$1))))</f>
        <v/>
      </c>
      <c r="P309" s="1" t="str">
        <f>IF(OR($B309="",P$7=""),"",IF($B309="MEANS",INDEX('1-DATA'!$1:$1048576,$A308-1,COLUMN('1-DATA'!O307)),ROUND(INDEX('1-DATA'!$1:$1048576,IF(OR($B309="STD. DEVIATION",$C$1=1),$A309,$A309+1),COLUMN('1-DATA'!O307)),IF($B309="STD. DEVIATION",2,$F$1))))</f>
        <v/>
      </c>
      <c r="Q309" s="1" t="str">
        <f>IF(OR($B309="",Q$7=""),"",IF($B309="MEANS",INDEX('1-DATA'!$1:$1048576,$A308-1,COLUMN('1-DATA'!P307)),ROUND(INDEX('1-DATA'!$1:$1048576,IF(OR($B309="STD. DEVIATION",$C$1=1),$A309,$A309+1),COLUMN('1-DATA'!P307)),IF($B309="STD. DEVIATION",2,$F$1))))</f>
        <v/>
      </c>
      <c r="R309" s="1" t="str">
        <f>IF(OR($B309="",R$7=""),"",IF($B309="MEANS",INDEX('1-DATA'!$1:$1048576,$A308-1,COLUMN('1-DATA'!Q307)),ROUND(INDEX('1-DATA'!$1:$1048576,IF(OR($B309="STD. DEVIATION",$C$1=1),$A309,$A309+1),COLUMN('1-DATA'!Q307)),IF($B309="STD. DEVIATION",2,$F$1))))</f>
        <v/>
      </c>
      <c r="S309" s="1" t="str">
        <f>IF(OR($B309="",S$7=""),"",IF($B309="MEANS",INDEX('1-DATA'!$1:$1048576,$A308-1,COLUMN('1-DATA'!R307)),ROUND(INDEX('1-DATA'!$1:$1048576,IF(OR($B309="STD. DEVIATION",$C$1=1),$A309,$A309+1),COLUMN('1-DATA'!R307)),IF($B309="STD. DEVIATION",2,$F$1))))</f>
        <v/>
      </c>
      <c r="T309" s="1" t="str">
        <f>IF(OR($B309="",T$7=""),"",IF($B309="MEANS",INDEX('1-DATA'!$1:$1048576,$A308-1,COLUMN('1-DATA'!S307)),ROUND(INDEX('1-DATA'!$1:$1048576,IF(OR($B309="STD. DEVIATION",$C$1=1),$A309,$A309+1),COLUMN('1-DATA'!S307)),IF($B309="STD. DEVIATION",2,$F$1))))</f>
        <v/>
      </c>
      <c r="U309" s="1" t="str">
        <f>IF(OR($B309="",U$7=""),"",IF($B309="MEANS",INDEX('1-DATA'!$1:$1048576,$A308-1,COLUMN('1-DATA'!T307)),ROUND(INDEX('1-DATA'!$1:$1048576,IF(OR($B309="STD. DEVIATION",$C$1=1),$A309,$A309+1),COLUMN('1-DATA'!T307)),IF($B309="STD. DEVIATION",2,$F$1))))</f>
        <v/>
      </c>
      <c r="V309" s="1" t="str">
        <f>IF(OR($B309="",V$7=""),"",IF($B309="MEANS",INDEX('1-DATA'!$1:$1048576,$A308-1,COLUMN('1-DATA'!U307)),ROUND(INDEX('1-DATA'!$1:$1048576,IF(OR($B309="STD. DEVIATION",$C$1=1),$A309,$A309+1),COLUMN('1-DATA'!U307)),IF($B309="STD. DEVIATION",2,$F$1))))</f>
        <v/>
      </c>
      <c r="W309" s="1" t="str">
        <f>IF(OR($B309="",W$7=""),"",IF($B309="MEANS",INDEX('1-DATA'!$1:$1048576,$A308-1,COLUMN('1-DATA'!V307)),ROUND(INDEX('1-DATA'!$1:$1048576,IF(OR($B309="STD. DEVIATION",$C$1=1),$A309,$A309+1),COLUMN('1-DATA'!V307)),IF($B309="STD. DEVIATION",2,$F$1))))</f>
        <v/>
      </c>
      <c r="X309" s="1" t="str">
        <f>IF(OR($B309="",X$7=""),"",IF($B309="MEANS",INDEX('1-DATA'!$1:$1048576,$A308-1,COLUMN('1-DATA'!W307)),ROUND(INDEX('1-DATA'!$1:$1048576,IF(OR($B309="STD. DEVIATION",$C$1=1),$A309,$A309+1),COLUMN('1-DATA'!W307)),IF($B309="STD. DEVIATION",2,$F$1))))</f>
        <v/>
      </c>
      <c r="Y309" s="1" t="str">
        <f>IF(OR($B309="",Y$7=""),"",IF($B309="MEANS",INDEX('1-DATA'!$1:$1048576,$A308-1,COLUMN('1-DATA'!X307)),ROUND(INDEX('1-DATA'!$1:$1048576,IF(OR($B309="STD. DEVIATION",$C$1=1),$A309,$A309+1),COLUMN('1-DATA'!X307)),IF($B309="STD. DEVIATION",2,$F$1))))</f>
        <v/>
      </c>
      <c r="Z309" s="1" t="str">
        <f>IF(OR($B309="",Z$7=""),"",IF($B309="MEANS",INDEX('1-DATA'!$1:$1048576,$A308-1,COLUMN('1-DATA'!Y307)),ROUND(INDEX('1-DATA'!$1:$1048576,IF(OR($B309="STD. DEVIATION",$C$1=1),$A309,$A309+1),COLUMN('1-DATA'!Y307)),IF($B309="STD. DEVIATION",2,$F$1))))</f>
        <v/>
      </c>
      <c r="AA309" s="1" t="str">
        <f>IF(OR($B309="",AA$7=""),"",IF($B309="MEANS",INDEX('1-DATA'!$1:$1048576,$A308-1,COLUMN('1-DATA'!Z307)),ROUND(INDEX('1-DATA'!$1:$1048576,IF(OR($B309="STD. DEVIATION",$C$1=1),$A309,$A309+1),COLUMN('1-DATA'!Z307)),IF($B309="STD. DEVIATION",2,$F$1))))</f>
        <v/>
      </c>
      <c r="AB309" s="1" t="str">
        <f>IF(OR($B309="",AB$7=""),"",IF($B309="MEANS",INDEX('1-DATA'!$1:$1048576,$A308-1,COLUMN('1-DATA'!AA307)),ROUND(INDEX('1-DATA'!$1:$1048576,IF(OR($B309="STD. DEVIATION",$C$1=1),$A309,$A309+1),COLUMN('1-DATA'!AA307)),IF($B309="STD. DEVIATION",2,$F$1))))</f>
        <v/>
      </c>
      <c r="AC309" s="1" t="str">
        <f>IF(OR($B309="",AC$7=""),"",IF($B309="MEANS",INDEX('1-DATA'!$1:$1048576,$A308-1,COLUMN('1-DATA'!AB307)),ROUND(INDEX('1-DATA'!$1:$1048576,IF(OR($B309="STD. DEVIATION",$C$1=1),$A309,$A309+1),COLUMN('1-DATA'!AB307)),IF($B309="STD. DEVIATION",2,$F$1))))</f>
        <v/>
      </c>
      <c r="AD309" s="1" t="str">
        <f>IF(OR($B309="",AD$7=""),"",IF($B309="MEANS",INDEX('1-DATA'!$1:$1048576,$A308-1,COLUMN('1-DATA'!AC307)),ROUND(INDEX('1-DATA'!$1:$1048576,IF(OR($B309="STD. DEVIATION",$C$1=1),$A309,$A309+1),COLUMN('1-DATA'!AC307)),IF($B309="STD. DEVIATION",2,$F$1))))</f>
        <v/>
      </c>
      <c r="AE309" s="1" t="str">
        <f>IF(OR($B309="",AE$7=""),"",IF($B309="MEANS",INDEX('1-DATA'!$1:$1048576,$A308-1,COLUMN('1-DATA'!AD307)),ROUND(INDEX('1-DATA'!$1:$1048576,IF(OR($B309="STD. DEVIATION",$C$1=1),$A309,$A309+1),COLUMN('1-DATA'!AD307)),IF($B309="STD. DEVIATION",2,$F$1))))</f>
        <v/>
      </c>
      <c r="AF309" s="1" t="str">
        <f>IF(OR($B309="",AF$7=""),"",IF($B309="MEANS",INDEX('1-DATA'!$1:$1048576,$A308-1,COLUMN('1-DATA'!AE307)),ROUND(INDEX('1-DATA'!$1:$1048576,IF(OR($B309="STD. DEVIATION",$C$1=1),$A309,$A309+1),COLUMN('1-DATA'!AE307)),IF($B309="STD. DEVIATION",2,$F$1))))</f>
        <v/>
      </c>
      <c r="AG309" s="1" t="str">
        <f>IF(OR($B309="",AG$7=""),"",IF($B309="MEANS",INDEX('1-DATA'!$1:$1048576,$A308-1,COLUMN('1-DATA'!AF307)),ROUND(INDEX('1-DATA'!$1:$1048576,IF(OR($B309="STD. DEVIATION",$C$1=1),$A309,$A309+1),COLUMN('1-DATA'!AF307)),IF($B309="STD. DEVIATION",2,$F$1))))</f>
        <v/>
      </c>
      <c r="AH309" s="1" t="str">
        <f>IF(OR($B309="",AH$7=""),"",IF($B309="MEANS",INDEX('1-DATA'!$1:$1048576,$A308-1,COLUMN('1-DATA'!AG307)),ROUND(INDEX('1-DATA'!$1:$1048576,IF(OR($B309="STD. DEVIATION",$C$1=1),$A309,$A309+1),COLUMN('1-DATA'!AG307)),IF($B309="STD. DEVIATION",2,$F$1))))</f>
        <v/>
      </c>
      <c r="AI309" s="1" t="str">
        <f>IF(OR($B309="",AI$7=""),"",IF($B309="MEANS",INDEX('1-DATA'!$1:$1048576,$A308-1,COLUMN('1-DATA'!AH307)),ROUND(INDEX('1-DATA'!$1:$1048576,IF(OR($B309="STD. DEVIATION",$C$1=1),$A309,$A309+1),COLUMN('1-DATA'!AH307)),IF($B309="STD. DEVIATION",2,$F$1))))</f>
        <v/>
      </c>
      <c r="AJ309" s="1" t="str">
        <f>IF(OR($B309="",AJ$7=""),"",IF($B309="MEANS",INDEX('1-DATA'!$1:$1048576,$A308-1,COLUMN('1-DATA'!AI307)),ROUND(INDEX('1-DATA'!$1:$1048576,IF(OR($B309="STD. DEVIATION",$C$1=1),$A309,$A309+1),COLUMN('1-DATA'!AI307)),IF($B309="STD. DEVIATION",2,$F$1))))</f>
        <v/>
      </c>
      <c r="AK309" s="1" t="str">
        <f>IF(OR($B309="",AK$7=""),"",IF($B309="MEANS",INDEX('1-DATA'!$1:$1048576,$A308-1,COLUMN('1-DATA'!AJ307)),ROUND(INDEX('1-DATA'!$1:$1048576,IF(OR($B309="STD. DEVIATION",$C$1=1),$A309,$A309+1),COLUMN('1-DATA'!AJ307)),IF($B309="STD. DEVIATION",2,$F$1))))</f>
        <v/>
      </c>
      <c r="AL309" s="1" t="str">
        <f>IF(OR($B309="",AL$7=""),"",IF($B309="MEANS",INDEX('1-DATA'!$1:$1048576,$A308-1,COLUMN('1-DATA'!AK307)),ROUND(INDEX('1-DATA'!$1:$1048576,IF(OR($B309="STD. DEVIATION",$C$1=1),$A309,$A309+1),COLUMN('1-DATA'!AK307)),IF($B309="STD. DEVIATION",2,$F$1))))</f>
        <v/>
      </c>
      <c r="AM309" s="1" t="str">
        <f>IF(OR($B309="",AM$7=""),"",IF($B309="MEANS",INDEX('1-DATA'!$1:$1048576,$A308-1,COLUMN('1-DATA'!AL307)),ROUND(INDEX('1-DATA'!$1:$1048576,IF(OR($B309="STD. DEVIATION",$C$1=1),$A309,$A309+1),COLUMN('1-DATA'!AL307)),IF($B309="STD. DEVIATION",2,$F$1))))</f>
        <v/>
      </c>
      <c r="AN309" s="1" t="str">
        <f>IF(OR($B309="",AN$7=""),"",IF($B309="MEANS",INDEX('1-DATA'!$1:$1048576,$A308-1,COLUMN('1-DATA'!AM307)),ROUND(INDEX('1-DATA'!$1:$1048576,IF(OR($B309="STD. DEVIATION",$C$1=1),$A309,$A309+1),COLUMN('1-DATA'!AM307)),IF($B309="STD. DEVIATION",2,$F$1))))</f>
        <v/>
      </c>
      <c r="AO309" s="1" t="str">
        <f>IF(OR($B309="",AO$7=""),"",IF($B309="MEANS",INDEX('1-DATA'!$1:$1048576,$A308-1,COLUMN('1-DATA'!AN307)),ROUND(INDEX('1-DATA'!$1:$1048576,IF(OR($B309="STD. DEVIATION",$C$1=1),$A309,$A309+1),COLUMN('1-DATA'!AN307)),IF($B309="STD. DEVIATION",2,$F$1))))</f>
        <v/>
      </c>
      <c r="AP309" s="1" t="str">
        <f>IF(OR($B309="",AP$7=""),"",IF($B309="MEANS",INDEX('1-DATA'!$1:$1048576,$A308-1,COLUMN('1-DATA'!AO307)),ROUND(INDEX('1-DATA'!$1:$1048576,IF(OR($B309="STD. DEVIATION",$C$1=1),$A309,$A309+1),COLUMN('1-DATA'!AO307)),IF($B309="STD. DEVIATION",2,$F$1))))</f>
        <v/>
      </c>
      <c r="AQ309" s="1" t="str">
        <f>IF(OR($B309="",AQ$7=""),"",IF($B309="MEANS",INDEX('1-DATA'!$1:$1048576,$A308-1,COLUMN('1-DATA'!AP307)),ROUND(INDEX('1-DATA'!$1:$1048576,IF(OR($B309="STD. DEVIATION",$C$1=1),$A309,$A309+1),COLUMN('1-DATA'!AP307)),IF($B309="STD. DEVIATION",2,$F$1))))</f>
        <v/>
      </c>
      <c r="AR309" s="1" t="str">
        <f>IF(OR($B309="",AR$7=""),"",IF($B309="MEANS",INDEX('1-DATA'!$1:$1048576,$A308-1,COLUMN('1-DATA'!AQ307)),ROUND(INDEX('1-DATA'!$1:$1048576,IF(OR($B309="STD. DEVIATION",$C$1=1),$A309,$A309+1),COLUMN('1-DATA'!AQ307)),IF($B309="STD. DEVIATION",2,$F$1))))</f>
        <v/>
      </c>
      <c r="AS309" s="1" t="str">
        <f>IF(OR($B309="",AS$7=""),"",IF($B309="MEANS",INDEX('1-DATA'!$1:$1048576,$A308-1,COLUMN('1-DATA'!AR307)),ROUND(INDEX('1-DATA'!$1:$1048576,IF(OR($B309="STD. DEVIATION",$C$1=1),$A309,$A309+1),COLUMN('1-DATA'!AR307)),IF($B309="STD. DEVIATION",2,$F$1))))</f>
        <v/>
      </c>
      <c r="AT309" s="1" t="str">
        <f>IF(OR($B309="",AT$7=""),"",IF($B309="MEANS",INDEX('1-DATA'!$1:$1048576,$A308-1,COLUMN('1-DATA'!AS307)),ROUND(INDEX('1-DATA'!$1:$1048576,IF(OR($B309="STD. DEVIATION",$C$1=1),$A309,$A309+1),COLUMN('1-DATA'!AS307)),IF($B309="STD. DEVIATION",2,$F$1))))</f>
        <v/>
      </c>
      <c r="AU309" s="1" t="str">
        <f>IF(OR($B309="",AU$7=""),"",IF($B309="MEANS",INDEX('1-DATA'!$1:$1048576,$A308-1,COLUMN('1-DATA'!AT307)),ROUND(INDEX('1-DATA'!$1:$1048576,IF(OR($B309="STD. DEVIATION",$C$1=1),$A309,$A309+1),COLUMN('1-DATA'!AT307)),IF($B309="STD. DEVIATION",2,$F$1))))</f>
        <v/>
      </c>
      <c r="AV309" s="1" t="str">
        <f>IF(OR($B309="",AV$7=""),"",IF($B309="MEANS",INDEX('1-DATA'!$1:$1048576,$A308-1,COLUMN('1-DATA'!AU307)),ROUND(INDEX('1-DATA'!$1:$1048576,IF(OR($B309="STD. DEVIATION",$C$1=1),$A309,$A309+1),COLUMN('1-DATA'!AU307)),IF($B309="STD. DEVIATION",2,$F$1))))</f>
        <v/>
      </c>
      <c r="AW309" s="1" t="str">
        <f>IF(OR($B309="",AW$7=""),"",IF($B309="MEANS",INDEX('1-DATA'!$1:$1048576,$A308-1,COLUMN('1-DATA'!AV307)),ROUND(INDEX('1-DATA'!$1:$1048576,IF(OR($B309="STD. DEVIATION",$C$1=1),$A309,$A309+1),COLUMN('1-DATA'!AV307)),IF($B309="STD. DEVIATION",2,$F$1))))</f>
        <v/>
      </c>
      <c r="AX309" s="1" t="str">
        <f>IF(OR($B309="",AX$7=""),"",IF($B309="MEANS",INDEX('1-DATA'!$1:$1048576,$A308-1,COLUMN('1-DATA'!AW307)),ROUND(INDEX('1-DATA'!$1:$1048576,IF(OR($B309="STD. DEVIATION",$C$1=1),$A309,$A309+1),COLUMN('1-DATA'!AW307)),IF($B309="STD. DEVIATION",2,$F$1))))</f>
        <v/>
      </c>
      <c r="AY309" s="1" t="str">
        <f>IF(OR($B309="",AY$7=""),"",IF($B309="MEANS",INDEX('1-DATA'!$1:$1048576,$A308-1,COLUMN('1-DATA'!AX307)),ROUND(INDEX('1-DATA'!$1:$1048576,IF(OR($B309="STD. DEVIATION",$C$1=1),$A309,$A309+1),COLUMN('1-DATA'!AX307)),IF($B309="STD. DEVIATION",2,$F$1))))</f>
        <v/>
      </c>
      <c r="AZ309" s="1" t="str">
        <f>IF(OR($B309="",AZ$7=""),"",IF($B309="MEANS",INDEX('1-DATA'!$1:$1048576,$A308-1,COLUMN('1-DATA'!AY307)),ROUND(INDEX('1-DATA'!$1:$1048576,IF(OR($B309="STD. DEVIATION",$C$1=1),$A309,$A309+1),COLUMN('1-DATA'!AY307)),IF($B309="STD. DEVIATION",2,$F$1))))</f>
        <v/>
      </c>
    </row>
    <row r="310" spans="1:52" x14ac:dyDescent="0.25">
      <c r="A310" s="11">
        <f t="shared" si="5"/>
        <v>916</v>
      </c>
      <c r="B310" s="1" t="str">
        <f>IF(B309="STD. DEVIATION",INDEX('1-DATA'!$1:$1048576,$A309-1,1),IF(INDEX('1-DATA'!$1:$1048576,$A310,1)&lt;&gt;"",INDEX('1-DATA'!$1:$1048576,$A310,1),""))</f>
        <v/>
      </c>
      <c r="C310" s="1" t="str">
        <f>IF(OR($B310="",C$7=""),"",IF($B310="MEANS",INDEX('1-DATA'!$1:$1048576,$A309-1,COLUMN('1-DATA'!B308)),ROUND(INDEX('1-DATA'!$1:$1048576,IF(OR($B310="STD. DEVIATION",$C$1=1),$A310,$A310+1),COLUMN('1-DATA'!B308)),IF($B310="STD. DEVIATION",2,$F$1))))</f>
        <v/>
      </c>
      <c r="D310" s="1" t="str">
        <f>IF(OR($B310="",D$7=""),"",IF($B310="MEANS",INDEX('1-DATA'!$1:$1048576,$A309-1,COLUMN('1-DATA'!C308)),ROUND(INDEX('1-DATA'!$1:$1048576,IF(OR($B310="STD. DEVIATION",$C$1=1),$A310,$A310+1),COLUMN('1-DATA'!C308)),IF($B310="STD. DEVIATION",2,$F$1))))</f>
        <v/>
      </c>
      <c r="E310" s="1" t="str">
        <f>IF(OR($B310="",E$7=""),"",IF($B310="MEANS",INDEX('1-DATA'!$1:$1048576,$A309-1,COLUMN('1-DATA'!D308)),ROUND(INDEX('1-DATA'!$1:$1048576,IF(OR($B310="STD. DEVIATION",$C$1=1),$A310,$A310+1),COLUMN('1-DATA'!D308)),IF($B310="STD. DEVIATION",2,$F$1))))</f>
        <v/>
      </c>
      <c r="F310" s="1" t="str">
        <f>IF(OR($B310="",F$7=""),"",IF($B310="MEANS",INDEX('1-DATA'!$1:$1048576,$A309-1,COLUMN('1-DATA'!E308)),ROUND(INDEX('1-DATA'!$1:$1048576,IF(OR($B310="STD. DEVIATION",$C$1=1),$A310,$A310+1),COLUMN('1-DATA'!E308)),IF($B310="STD. DEVIATION",2,$F$1))))</f>
        <v/>
      </c>
      <c r="G310" s="1" t="str">
        <f>IF(OR($B310="",G$7=""),"",IF($B310="MEANS",INDEX('1-DATA'!$1:$1048576,$A309-1,COLUMN('1-DATA'!F308)),ROUND(INDEX('1-DATA'!$1:$1048576,IF(OR($B310="STD. DEVIATION",$C$1=1),$A310,$A310+1),COLUMN('1-DATA'!F308)),IF($B310="STD. DEVIATION",2,$F$1))))</f>
        <v/>
      </c>
      <c r="H310" s="1" t="str">
        <f>IF(OR($B310="",H$7=""),"",IF($B310="MEANS",INDEX('1-DATA'!$1:$1048576,$A309-1,COLUMN('1-DATA'!G308)),ROUND(INDEX('1-DATA'!$1:$1048576,IF(OR($B310="STD. DEVIATION",$C$1=1),$A310,$A310+1),COLUMN('1-DATA'!G308)),IF($B310="STD. DEVIATION",2,$F$1))))</f>
        <v/>
      </c>
      <c r="I310" s="1" t="str">
        <f>IF(OR($B310="",I$7=""),"",IF($B310="MEANS",INDEX('1-DATA'!$1:$1048576,$A309-1,COLUMN('1-DATA'!H308)),ROUND(INDEX('1-DATA'!$1:$1048576,IF(OR($B310="STD. DEVIATION",$C$1=1),$A310,$A310+1),COLUMN('1-DATA'!H308)),IF($B310="STD. DEVIATION",2,$F$1))))</f>
        <v/>
      </c>
      <c r="J310" s="1" t="str">
        <f>IF(OR($B310="",J$7=""),"",IF($B310="MEANS",INDEX('1-DATA'!$1:$1048576,$A309-1,COLUMN('1-DATA'!I308)),ROUND(INDEX('1-DATA'!$1:$1048576,IF(OR($B310="STD. DEVIATION",$C$1=1),$A310,$A310+1),COLUMN('1-DATA'!I308)),IF($B310="STD. DEVIATION",2,$F$1))))</f>
        <v/>
      </c>
      <c r="K310" s="1" t="str">
        <f>IF(OR($B310="",K$7=""),"",IF($B310="MEANS",INDEX('1-DATA'!$1:$1048576,$A309-1,COLUMN('1-DATA'!J308)),ROUND(INDEX('1-DATA'!$1:$1048576,IF(OR($B310="STD. DEVIATION",$C$1=1),$A310,$A310+1),COLUMN('1-DATA'!J308)),IF($B310="STD. DEVIATION",2,$F$1))))</f>
        <v/>
      </c>
      <c r="L310" s="1" t="str">
        <f>IF(OR($B310="",L$7=""),"",IF($B310="MEANS",INDEX('1-DATA'!$1:$1048576,$A309-1,COLUMN('1-DATA'!K308)),ROUND(INDEX('1-DATA'!$1:$1048576,IF(OR($B310="STD. DEVIATION",$C$1=1),$A310,$A310+1),COLUMN('1-DATA'!K308)),IF($B310="STD. DEVIATION",2,$F$1))))</f>
        <v/>
      </c>
      <c r="M310" s="1" t="str">
        <f>IF(OR($B310="",M$7=""),"",IF($B310="MEANS",INDEX('1-DATA'!$1:$1048576,$A309-1,COLUMN('1-DATA'!L308)),ROUND(INDEX('1-DATA'!$1:$1048576,IF(OR($B310="STD. DEVIATION",$C$1=1),$A310,$A310+1),COLUMN('1-DATA'!L308)),IF($B310="STD. DEVIATION",2,$F$1))))</f>
        <v/>
      </c>
      <c r="N310" s="1" t="str">
        <f>IF(OR($B310="",N$7=""),"",IF($B310="MEANS",INDEX('1-DATA'!$1:$1048576,$A309-1,COLUMN('1-DATA'!M308)),ROUND(INDEX('1-DATA'!$1:$1048576,IF(OR($B310="STD. DEVIATION",$C$1=1),$A310,$A310+1),COLUMN('1-DATA'!M308)),IF($B310="STD. DEVIATION",2,$F$1))))</f>
        <v/>
      </c>
      <c r="O310" s="1" t="str">
        <f>IF(OR($B310="",O$7=""),"",IF($B310="MEANS",INDEX('1-DATA'!$1:$1048576,$A309-1,COLUMN('1-DATA'!N308)),ROUND(INDEX('1-DATA'!$1:$1048576,IF(OR($B310="STD. DEVIATION",$C$1=1),$A310,$A310+1),COLUMN('1-DATA'!N308)),IF($B310="STD. DEVIATION",2,$F$1))))</f>
        <v/>
      </c>
      <c r="P310" s="1" t="str">
        <f>IF(OR($B310="",P$7=""),"",IF($B310="MEANS",INDEX('1-DATA'!$1:$1048576,$A309-1,COLUMN('1-DATA'!O308)),ROUND(INDEX('1-DATA'!$1:$1048576,IF(OR($B310="STD. DEVIATION",$C$1=1),$A310,$A310+1),COLUMN('1-DATA'!O308)),IF($B310="STD. DEVIATION",2,$F$1))))</f>
        <v/>
      </c>
      <c r="Q310" s="1" t="str">
        <f>IF(OR($B310="",Q$7=""),"",IF($B310="MEANS",INDEX('1-DATA'!$1:$1048576,$A309-1,COLUMN('1-DATA'!P308)),ROUND(INDEX('1-DATA'!$1:$1048576,IF(OR($B310="STD. DEVIATION",$C$1=1),$A310,$A310+1),COLUMN('1-DATA'!P308)),IF($B310="STD. DEVIATION",2,$F$1))))</f>
        <v/>
      </c>
      <c r="R310" s="1" t="str">
        <f>IF(OR($B310="",R$7=""),"",IF($B310="MEANS",INDEX('1-DATA'!$1:$1048576,$A309-1,COLUMN('1-DATA'!Q308)),ROUND(INDEX('1-DATA'!$1:$1048576,IF(OR($B310="STD. DEVIATION",$C$1=1),$A310,$A310+1),COLUMN('1-DATA'!Q308)),IF($B310="STD. DEVIATION",2,$F$1))))</f>
        <v/>
      </c>
      <c r="S310" s="1" t="str">
        <f>IF(OR($B310="",S$7=""),"",IF($B310="MEANS",INDEX('1-DATA'!$1:$1048576,$A309-1,COLUMN('1-DATA'!R308)),ROUND(INDEX('1-DATA'!$1:$1048576,IF(OR($B310="STD. DEVIATION",$C$1=1),$A310,$A310+1),COLUMN('1-DATA'!R308)),IF($B310="STD. DEVIATION",2,$F$1))))</f>
        <v/>
      </c>
      <c r="T310" s="1" t="str">
        <f>IF(OR($B310="",T$7=""),"",IF($B310="MEANS",INDEX('1-DATA'!$1:$1048576,$A309-1,COLUMN('1-DATA'!S308)),ROUND(INDEX('1-DATA'!$1:$1048576,IF(OR($B310="STD. DEVIATION",$C$1=1),$A310,$A310+1),COLUMN('1-DATA'!S308)),IF($B310="STD. DEVIATION",2,$F$1))))</f>
        <v/>
      </c>
      <c r="U310" s="1" t="str">
        <f>IF(OR($B310="",U$7=""),"",IF($B310="MEANS",INDEX('1-DATA'!$1:$1048576,$A309-1,COLUMN('1-DATA'!T308)),ROUND(INDEX('1-DATA'!$1:$1048576,IF(OR($B310="STD. DEVIATION",$C$1=1),$A310,$A310+1),COLUMN('1-DATA'!T308)),IF($B310="STD. DEVIATION",2,$F$1))))</f>
        <v/>
      </c>
      <c r="V310" s="1" t="str">
        <f>IF(OR($B310="",V$7=""),"",IF($B310="MEANS",INDEX('1-DATA'!$1:$1048576,$A309-1,COLUMN('1-DATA'!U308)),ROUND(INDEX('1-DATA'!$1:$1048576,IF(OR($B310="STD. DEVIATION",$C$1=1),$A310,$A310+1),COLUMN('1-DATA'!U308)),IF($B310="STD. DEVIATION",2,$F$1))))</f>
        <v/>
      </c>
      <c r="W310" s="1" t="str">
        <f>IF(OR($B310="",W$7=""),"",IF($B310="MEANS",INDEX('1-DATA'!$1:$1048576,$A309-1,COLUMN('1-DATA'!V308)),ROUND(INDEX('1-DATA'!$1:$1048576,IF(OR($B310="STD. DEVIATION",$C$1=1),$A310,$A310+1),COLUMN('1-DATA'!V308)),IF($B310="STD. DEVIATION",2,$F$1))))</f>
        <v/>
      </c>
      <c r="X310" s="1" t="str">
        <f>IF(OR($B310="",X$7=""),"",IF($B310="MEANS",INDEX('1-DATA'!$1:$1048576,$A309-1,COLUMN('1-DATA'!W308)),ROUND(INDEX('1-DATA'!$1:$1048576,IF(OR($B310="STD. DEVIATION",$C$1=1),$A310,$A310+1),COLUMN('1-DATA'!W308)),IF($B310="STD. DEVIATION",2,$F$1))))</f>
        <v/>
      </c>
      <c r="Y310" s="1" t="str">
        <f>IF(OR($B310="",Y$7=""),"",IF($B310="MEANS",INDEX('1-DATA'!$1:$1048576,$A309-1,COLUMN('1-DATA'!X308)),ROUND(INDEX('1-DATA'!$1:$1048576,IF(OR($B310="STD. DEVIATION",$C$1=1),$A310,$A310+1),COLUMN('1-DATA'!X308)),IF($B310="STD. DEVIATION",2,$F$1))))</f>
        <v/>
      </c>
      <c r="Z310" s="1" t="str">
        <f>IF(OR($B310="",Z$7=""),"",IF($B310="MEANS",INDEX('1-DATA'!$1:$1048576,$A309-1,COLUMN('1-DATA'!Y308)),ROUND(INDEX('1-DATA'!$1:$1048576,IF(OR($B310="STD. DEVIATION",$C$1=1),$A310,$A310+1),COLUMN('1-DATA'!Y308)),IF($B310="STD. DEVIATION",2,$F$1))))</f>
        <v/>
      </c>
      <c r="AA310" s="1" t="str">
        <f>IF(OR($B310="",AA$7=""),"",IF($B310="MEANS",INDEX('1-DATA'!$1:$1048576,$A309-1,COLUMN('1-DATA'!Z308)),ROUND(INDEX('1-DATA'!$1:$1048576,IF(OR($B310="STD. DEVIATION",$C$1=1),$A310,$A310+1),COLUMN('1-DATA'!Z308)),IF($B310="STD. DEVIATION",2,$F$1))))</f>
        <v/>
      </c>
      <c r="AB310" s="1" t="str">
        <f>IF(OR($B310="",AB$7=""),"",IF($B310="MEANS",INDEX('1-DATA'!$1:$1048576,$A309-1,COLUMN('1-DATA'!AA308)),ROUND(INDEX('1-DATA'!$1:$1048576,IF(OR($B310="STD. DEVIATION",$C$1=1),$A310,$A310+1),COLUMN('1-DATA'!AA308)),IF($B310="STD. DEVIATION",2,$F$1))))</f>
        <v/>
      </c>
      <c r="AC310" s="1" t="str">
        <f>IF(OR($B310="",AC$7=""),"",IF($B310="MEANS",INDEX('1-DATA'!$1:$1048576,$A309-1,COLUMN('1-DATA'!AB308)),ROUND(INDEX('1-DATA'!$1:$1048576,IF(OR($B310="STD. DEVIATION",$C$1=1),$A310,$A310+1),COLUMN('1-DATA'!AB308)),IF($B310="STD. DEVIATION",2,$F$1))))</f>
        <v/>
      </c>
      <c r="AD310" s="1" t="str">
        <f>IF(OR($B310="",AD$7=""),"",IF($B310="MEANS",INDEX('1-DATA'!$1:$1048576,$A309-1,COLUMN('1-DATA'!AC308)),ROUND(INDEX('1-DATA'!$1:$1048576,IF(OR($B310="STD. DEVIATION",$C$1=1),$A310,$A310+1),COLUMN('1-DATA'!AC308)),IF($B310="STD. DEVIATION",2,$F$1))))</f>
        <v/>
      </c>
      <c r="AE310" s="1" t="str">
        <f>IF(OR($B310="",AE$7=""),"",IF($B310="MEANS",INDEX('1-DATA'!$1:$1048576,$A309-1,COLUMN('1-DATA'!AD308)),ROUND(INDEX('1-DATA'!$1:$1048576,IF(OR($B310="STD. DEVIATION",$C$1=1),$A310,$A310+1),COLUMN('1-DATA'!AD308)),IF($B310="STD. DEVIATION",2,$F$1))))</f>
        <v/>
      </c>
      <c r="AF310" s="1" t="str">
        <f>IF(OR($B310="",AF$7=""),"",IF($B310="MEANS",INDEX('1-DATA'!$1:$1048576,$A309-1,COLUMN('1-DATA'!AE308)),ROUND(INDEX('1-DATA'!$1:$1048576,IF(OR($B310="STD. DEVIATION",$C$1=1),$A310,$A310+1),COLUMN('1-DATA'!AE308)),IF($B310="STD. DEVIATION",2,$F$1))))</f>
        <v/>
      </c>
      <c r="AG310" s="1" t="str">
        <f>IF(OR($B310="",AG$7=""),"",IF($B310="MEANS",INDEX('1-DATA'!$1:$1048576,$A309-1,COLUMN('1-DATA'!AF308)),ROUND(INDEX('1-DATA'!$1:$1048576,IF(OR($B310="STD. DEVIATION",$C$1=1),$A310,$A310+1),COLUMN('1-DATA'!AF308)),IF($B310="STD. DEVIATION",2,$F$1))))</f>
        <v/>
      </c>
      <c r="AH310" s="1" t="str">
        <f>IF(OR($B310="",AH$7=""),"",IF($B310="MEANS",INDEX('1-DATA'!$1:$1048576,$A309-1,COLUMN('1-DATA'!AG308)),ROUND(INDEX('1-DATA'!$1:$1048576,IF(OR($B310="STD. DEVIATION",$C$1=1),$A310,$A310+1),COLUMN('1-DATA'!AG308)),IF($B310="STD. DEVIATION",2,$F$1))))</f>
        <v/>
      </c>
      <c r="AI310" s="1" t="str">
        <f>IF(OR($B310="",AI$7=""),"",IF($B310="MEANS",INDEX('1-DATA'!$1:$1048576,$A309-1,COLUMN('1-DATA'!AH308)),ROUND(INDEX('1-DATA'!$1:$1048576,IF(OR($B310="STD. DEVIATION",$C$1=1),$A310,$A310+1),COLUMN('1-DATA'!AH308)),IF($B310="STD. DEVIATION",2,$F$1))))</f>
        <v/>
      </c>
      <c r="AJ310" s="1" t="str">
        <f>IF(OR($B310="",AJ$7=""),"",IF($B310="MEANS",INDEX('1-DATA'!$1:$1048576,$A309-1,COLUMN('1-DATA'!AI308)),ROUND(INDEX('1-DATA'!$1:$1048576,IF(OR($B310="STD. DEVIATION",$C$1=1),$A310,$A310+1),COLUMN('1-DATA'!AI308)),IF($B310="STD. DEVIATION",2,$F$1))))</f>
        <v/>
      </c>
      <c r="AK310" s="1" t="str">
        <f>IF(OR($B310="",AK$7=""),"",IF($B310="MEANS",INDEX('1-DATA'!$1:$1048576,$A309-1,COLUMN('1-DATA'!AJ308)),ROUND(INDEX('1-DATA'!$1:$1048576,IF(OR($B310="STD. DEVIATION",$C$1=1),$A310,$A310+1),COLUMN('1-DATA'!AJ308)),IF($B310="STD. DEVIATION",2,$F$1))))</f>
        <v/>
      </c>
      <c r="AL310" s="1" t="str">
        <f>IF(OR($B310="",AL$7=""),"",IF($B310="MEANS",INDEX('1-DATA'!$1:$1048576,$A309-1,COLUMN('1-DATA'!AK308)),ROUND(INDEX('1-DATA'!$1:$1048576,IF(OR($B310="STD. DEVIATION",$C$1=1),$A310,$A310+1),COLUMN('1-DATA'!AK308)),IF($B310="STD. DEVIATION",2,$F$1))))</f>
        <v/>
      </c>
      <c r="AM310" s="1" t="str">
        <f>IF(OR($B310="",AM$7=""),"",IF($B310="MEANS",INDEX('1-DATA'!$1:$1048576,$A309-1,COLUMN('1-DATA'!AL308)),ROUND(INDEX('1-DATA'!$1:$1048576,IF(OR($B310="STD. DEVIATION",$C$1=1),$A310,$A310+1),COLUMN('1-DATA'!AL308)),IF($B310="STD. DEVIATION",2,$F$1))))</f>
        <v/>
      </c>
      <c r="AN310" s="1" t="str">
        <f>IF(OR($B310="",AN$7=""),"",IF($B310="MEANS",INDEX('1-DATA'!$1:$1048576,$A309-1,COLUMN('1-DATA'!AM308)),ROUND(INDEX('1-DATA'!$1:$1048576,IF(OR($B310="STD. DEVIATION",$C$1=1),$A310,$A310+1),COLUMN('1-DATA'!AM308)),IF($B310="STD. DEVIATION",2,$F$1))))</f>
        <v/>
      </c>
      <c r="AO310" s="1" t="str">
        <f>IF(OR($B310="",AO$7=""),"",IF($B310="MEANS",INDEX('1-DATA'!$1:$1048576,$A309-1,COLUMN('1-DATA'!AN308)),ROUND(INDEX('1-DATA'!$1:$1048576,IF(OR($B310="STD. DEVIATION",$C$1=1),$A310,$A310+1),COLUMN('1-DATA'!AN308)),IF($B310="STD. DEVIATION",2,$F$1))))</f>
        <v/>
      </c>
      <c r="AP310" s="1" t="str">
        <f>IF(OR($B310="",AP$7=""),"",IF($B310="MEANS",INDEX('1-DATA'!$1:$1048576,$A309-1,COLUMN('1-DATA'!AO308)),ROUND(INDEX('1-DATA'!$1:$1048576,IF(OR($B310="STD. DEVIATION",$C$1=1),$A310,$A310+1),COLUMN('1-DATA'!AO308)),IF($B310="STD. DEVIATION",2,$F$1))))</f>
        <v/>
      </c>
      <c r="AQ310" s="1" t="str">
        <f>IF(OR($B310="",AQ$7=""),"",IF($B310="MEANS",INDEX('1-DATA'!$1:$1048576,$A309-1,COLUMN('1-DATA'!AP308)),ROUND(INDEX('1-DATA'!$1:$1048576,IF(OR($B310="STD. DEVIATION",$C$1=1),$A310,$A310+1),COLUMN('1-DATA'!AP308)),IF($B310="STD. DEVIATION",2,$F$1))))</f>
        <v/>
      </c>
      <c r="AR310" s="1" t="str">
        <f>IF(OR($B310="",AR$7=""),"",IF($B310="MEANS",INDEX('1-DATA'!$1:$1048576,$A309-1,COLUMN('1-DATA'!AQ308)),ROUND(INDEX('1-DATA'!$1:$1048576,IF(OR($B310="STD. DEVIATION",$C$1=1),$A310,$A310+1),COLUMN('1-DATA'!AQ308)),IF($B310="STD. DEVIATION",2,$F$1))))</f>
        <v/>
      </c>
      <c r="AS310" s="1" t="str">
        <f>IF(OR($B310="",AS$7=""),"",IF($B310="MEANS",INDEX('1-DATA'!$1:$1048576,$A309-1,COLUMN('1-DATA'!AR308)),ROUND(INDEX('1-DATA'!$1:$1048576,IF(OR($B310="STD. DEVIATION",$C$1=1),$A310,$A310+1),COLUMN('1-DATA'!AR308)),IF($B310="STD. DEVIATION",2,$F$1))))</f>
        <v/>
      </c>
      <c r="AT310" s="1" t="str">
        <f>IF(OR($B310="",AT$7=""),"",IF($B310="MEANS",INDEX('1-DATA'!$1:$1048576,$A309-1,COLUMN('1-DATA'!AS308)),ROUND(INDEX('1-DATA'!$1:$1048576,IF(OR($B310="STD. DEVIATION",$C$1=1),$A310,$A310+1),COLUMN('1-DATA'!AS308)),IF($B310="STD. DEVIATION",2,$F$1))))</f>
        <v/>
      </c>
      <c r="AU310" s="1" t="str">
        <f>IF(OR($B310="",AU$7=""),"",IF($B310="MEANS",INDEX('1-DATA'!$1:$1048576,$A309-1,COLUMN('1-DATA'!AT308)),ROUND(INDEX('1-DATA'!$1:$1048576,IF(OR($B310="STD. DEVIATION",$C$1=1),$A310,$A310+1),COLUMN('1-DATA'!AT308)),IF($B310="STD. DEVIATION",2,$F$1))))</f>
        <v/>
      </c>
      <c r="AV310" s="1" t="str">
        <f>IF(OR($B310="",AV$7=""),"",IF($B310="MEANS",INDEX('1-DATA'!$1:$1048576,$A309-1,COLUMN('1-DATA'!AU308)),ROUND(INDEX('1-DATA'!$1:$1048576,IF(OR($B310="STD. DEVIATION",$C$1=1),$A310,$A310+1),COLUMN('1-DATA'!AU308)),IF($B310="STD. DEVIATION",2,$F$1))))</f>
        <v/>
      </c>
      <c r="AW310" s="1" t="str">
        <f>IF(OR($B310="",AW$7=""),"",IF($B310="MEANS",INDEX('1-DATA'!$1:$1048576,$A309-1,COLUMN('1-DATA'!AV308)),ROUND(INDEX('1-DATA'!$1:$1048576,IF(OR($B310="STD. DEVIATION",$C$1=1),$A310,$A310+1),COLUMN('1-DATA'!AV308)),IF($B310="STD. DEVIATION",2,$F$1))))</f>
        <v/>
      </c>
      <c r="AX310" s="1" t="str">
        <f>IF(OR($B310="",AX$7=""),"",IF($B310="MEANS",INDEX('1-DATA'!$1:$1048576,$A309-1,COLUMN('1-DATA'!AW308)),ROUND(INDEX('1-DATA'!$1:$1048576,IF(OR($B310="STD. DEVIATION",$C$1=1),$A310,$A310+1),COLUMN('1-DATA'!AW308)),IF($B310="STD. DEVIATION",2,$F$1))))</f>
        <v/>
      </c>
      <c r="AY310" s="1" t="str">
        <f>IF(OR($B310="",AY$7=""),"",IF($B310="MEANS",INDEX('1-DATA'!$1:$1048576,$A309-1,COLUMN('1-DATA'!AX308)),ROUND(INDEX('1-DATA'!$1:$1048576,IF(OR($B310="STD. DEVIATION",$C$1=1),$A310,$A310+1),COLUMN('1-DATA'!AX308)),IF($B310="STD. DEVIATION",2,$F$1))))</f>
        <v/>
      </c>
      <c r="AZ310" s="1" t="str">
        <f>IF(OR($B310="",AZ$7=""),"",IF($B310="MEANS",INDEX('1-DATA'!$1:$1048576,$A309-1,COLUMN('1-DATA'!AY308)),ROUND(INDEX('1-DATA'!$1:$1048576,IF(OR($B310="STD. DEVIATION",$C$1=1),$A310,$A310+1),COLUMN('1-DATA'!AY308)),IF($B310="STD. DEVIATION",2,$F$1))))</f>
        <v/>
      </c>
    </row>
    <row r="311" spans="1:52" x14ac:dyDescent="0.25">
      <c r="A311" s="11">
        <f t="shared" si="5"/>
        <v>919</v>
      </c>
      <c r="B311" s="1" t="str">
        <f>IF(B310="STD. DEVIATION",INDEX('1-DATA'!$1:$1048576,$A310-1,1),IF(INDEX('1-DATA'!$1:$1048576,$A311,1)&lt;&gt;"",INDEX('1-DATA'!$1:$1048576,$A311,1),""))</f>
        <v/>
      </c>
      <c r="C311" s="1" t="str">
        <f>IF(OR($B311="",C$7=""),"",IF($B311="MEANS",INDEX('1-DATA'!$1:$1048576,$A310-1,COLUMN('1-DATA'!B309)),ROUND(INDEX('1-DATA'!$1:$1048576,IF(OR($B311="STD. DEVIATION",$C$1=1),$A311,$A311+1),COLUMN('1-DATA'!B309)),IF($B311="STD. DEVIATION",2,$F$1))))</f>
        <v/>
      </c>
      <c r="D311" s="1" t="str">
        <f>IF(OR($B311="",D$7=""),"",IF($B311="MEANS",INDEX('1-DATA'!$1:$1048576,$A310-1,COLUMN('1-DATA'!C309)),ROUND(INDEX('1-DATA'!$1:$1048576,IF(OR($B311="STD. DEVIATION",$C$1=1),$A311,$A311+1),COLUMN('1-DATA'!C309)),IF($B311="STD. DEVIATION",2,$F$1))))</f>
        <v/>
      </c>
      <c r="E311" s="1" t="str">
        <f>IF(OR($B311="",E$7=""),"",IF($B311="MEANS",INDEX('1-DATA'!$1:$1048576,$A310-1,COLUMN('1-DATA'!D309)),ROUND(INDEX('1-DATA'!$1:$1048576,IF(OR($B311="STD. DEVIATION",$C$1=1),$A311,$A311+1),COLUMN('1-DATA'!D309)),IF($B311="STD. DEVIATION",2,$F$1))))</f>
        <v/>
      </c>
      <c r="F311" s="1" t="str">
        <f>IF(OR($B311="",F$7=""),"",IF($B311="MEANS",INDEX('1-DATA'!$1:$1048576,$A310-1,COLUMN('1-DATA'!E309)),ROUND(INDEX('1-DATA'!$1:$1048576,IF(OR($B311="STD. DEVIATION",$C$1=1),$A311,$A311+1),COLUMN('1-DATA'!E309)),IF($B311="STD. DEVIATION",2,$F$1))))</f>
        <v/>
      </c>
      <c r="G311" s="1" t="str">
        <f>IF(OR($B311="",G$7=""),"",IF($B311="MEANS",INDEX('1-DATA'!$1:$1048576,$A310-1,COLUMN('1-DATA'!F309)),ROUND(INDEX('1-DATA'!$1:$1048576,IF(OR($B311="STD. DEVIATION",$C$1=1),$A311,$A311+1),COLUMN('1-DATA'!F309)),IF($B311="STD. DEVIATION",2,$F$1))))</f>
        <v/>
      </c>
      <c r="H311" s="1" t="str">
        <f>IF(OR($B311="",H$7=""),"",IF($B311="MEANS",INDEX('1-DATA'!$1:$1048576,$A310-1,COLUMN('1-DATA'!G309)),ROUND(INDEX('1-DATA'!$1:$1048576,IF(OR($B311="STD. DEVIATION",$C$1=1),$A311,$A311+1),COLUMN('1-DATA'!G309)),IF($B311="STD. DEVIATION",2,$F$1))))</f>
        <v/>
      </c>
      <c r="I311" s="1" t="str">
        <f>IF(OR($B311="",I$7=""),"",IF($B311="MEANS",INDEX('1-DATA'!$1:$1048576,$A310-1,COLUMN('1-DATA'!H309)),ROUND(INDEX('1-DATA'!$1:$1048576,IF(OR($B311="STD. DEVIATION",$C$1=1),$A311,$A311+1),COLUMN('1-DATA'!H309)),IF($B311="STD. DEVIATION",2,$F$1))))</f>
        <v/>
      </c>
      <c r="J311" s="1" t="str">
        <f>IF(OR($B311="",J$7=""),"",IF($B311="MEANS",INDEX('1-DATA'!$1:$1048576,$A310-1,COLUMN('1-DATA'!I309)),ROUND(INDEX('1-DATA'!$1:$1048576,IF(OR($B311="STD. DEVIATION",$C$1=1),$A311,$A311+1),COLUMN('1-DATA'!I309)),IF($B311="STD. DEVIATION",2,$F$1))))</f>
        <v/>
      </c>
      <c r="K311" s="1" t="str">
        <f>IF(OR($B311="",K$7=""),"",IF($B311="MEANS",INDEX('1-DATA'!$1:$1048576,$A310-1,COLUMN('1-DATA'!J309)),ROUND(INDEX('1-DATA'!$1:$1048576,IF(OR($B311="STD. DEVIATION",$C$1=1),$A311,$A311+1),COLUMN('1-DATA'!J309)),IF($B311="STD. DEVIATION",2,$F$1))))</f>
        <v/>
      </c>
      <c r="L311" s="1" t="str">
        <f>IF(OR($B311="",L$7=""),"",IF($B311="MEANS",INDEX('1-DATA'!$1:$1048576,$A310-1,COLUMN('1-DATA'!K309)),ROUND(INDEX('1-DATA'!$1:$1048576,IF(OR($B311="STD. DEVIATION",$C$1=1),$A311,$A311+1),COLUMN('1-DATA'!K309)),IF($B311="STD. DEVIATION",2,$F$1))))</f>
        <v/>
      </c>
      <c r="M311" s="1" t="str">
        <f>IF(OR($B311="",M$7=""),"",IF($B311="MEANS",INDEX('1-DATA'!$1:$1048576,$A310-1,COLUMN('1-DATA'!L309)),ROUND(INDEX('1-DATA'!$1:$1048576,IF(OR($B311="STD. DEVIATION",$C$1=1),$A311,$A311+1),COLUMN('1-DATA'!L309)),IF($B311="STD. DEVIATION",2,$F$1))))</f>
        <v/>
      </c>
      <c r="N311" s="1" t="str">
        <f>IF(OR($B311="",N$7=""),"",IF($B311="MEANS",INDEX('1-DATA'!$1:$1048576,$A310-1,COLUMN('1-DATA'!M309)),ROUND(INDEX('1-DATA'!$1:$1048576,IF(OR($B311="STD. DEVIATION",$C$1=1),$A311,$A311+1),COLUMN('1-DATA'!M309)),IF($B311="STD. DEVIATION",2,$F$1))))</f>
        <v/>
      </c>
      <c r="O311" s="1" t="str">
        <f>IF(OR($B311="",O$7=""),"",IF($B311="MEANS",INDEX('1-DATA'!$1:$1048576,$A310-1,COLUMN('1-DATA'!N309)),ROUND(INDEX('1-DATA'!$1:$1048576,IF(OR($B311="STD. DEVIATION",$C$1=1),$A311,$A311+1),COLUMN('1-DATA'!N309)),IF($B311="STD. DEVIATION",2,$F$1))))</f>
        <v/>
      </c>
      <c r="P311" s="1" t="str">
        <f>IF(OR($B311="",P$7=""),"",IF($B311="MEANS",INDEX('1-DATA'!$1:$1048576,$A310-1,COLUMN('1-DATA'!O309)),ROUND(INDEX('1-DATA'!$1:$1048576,IF(OR($B311="STD. DEVIATION",$C$1=1),$A311,$A311+1),COLUMN('1-DATA'!O309)),IF($B311="STD. DEVIATION",2,$F$1))))</f>
        <v/>
      </c>
      <c r="Q311" s="1" t="str">
        <f>IF(OR($B311="",Q$7=""),"",IF($B311="MEANS",INDEX('1-DATA'!$1:$1048576,$A310-1,COLUMN('1-DATA'!P309)),ROUND(INDEX('1-DATA'!$1:$1048576,IF(OR($B311="STD. DEVIATION",$C$1=1),$A311,$A311+1),COLUMN('1-DATA'!P309)),IF($B311="STD. DEVIATION",2,$F$1))))</f>
        <v/>
      </c>
      <c r="R311" s="1" t="str">
        <f>IF(OR($B311="",R$7=""),"",IF($B311="MEANS",INDEX('1-DATA'!$1:$1048576,$A310-1,COLUMN('1-DATA'!Q309)),ROUND(INDEX('1-DATA'!$1:$1048576,IF(OR($B311="STD. DEVIATION",$C$1=1),$A311,$A311+1),COLUMN('1-DATA'!Q309)),IF($B311="STD. DEVIATION",2,$F$1))))</f>
        <v/>
      </c>
      <c r="S311" s="1" t="str">
        <f>IF(OR($B311="",S$7=""),"",IF($B311="MEANS",INDEX('1-DATA'!$1:$1048576,$A310-1,COLUMN('1-DATA'!R309)),ROUND(INDEX('1-DATA'!$1:$1048576,IF(OR($B311="STD. DEVIATION",$C$1=1),$A311,$A311+1),COLUMN('1-DATA'!R309)),IF($B311="STD. DEVIATION",2,$F$1))))</f>
        <v/>
      </c>
      <c r="T311" s="1" t="str">
        <f>IF(OR($B311="",T$7=""),"",IF($B311="MEANS",INDEX('1-DATA'!$1:$1048576,$A310-1,COLUMN('1-DATA'!S309)),ROUND(INDEX('1-DATA'!$1:$1048576,IF(OR($B311="STD. DEVIATION",$C$1=1),$A311,$A311+1),COLUMN('1-DATA'!S309)),IF($B311="STD. DEVIATION",2,$F$1))))</f>
        <v/>
      </c>
      <c r="U311" s="1" t="str">
        <f>IF(OR($B311="",U$7=""),"",IF($B311="MEANS",INDEX('1-DATA'!$1:$1048576,$A310-1,COLUMN('1-DATA'!T309)),ROUND(INDEX('1-DATA'!$1:$1048576,IF(OR($B311="STD. DEVIATION",$C$1=1),$A311,$A311+1),COLUMN('1-DATA'!T309)),IF($B311="STD. DEVIATION",2,$F$1))))</f>
        <v/>
      </c>
      <c r="V311" s="1" t="str">
        <f>IF(OR($B311="",V$7=""),"",IF($B311="MEANS",INDEX('1-DATA'!$1:$1048576,$A310-1,COLUMN('1-DATA'!U309)),ROUND(INDEX('1-DATA'!$1:$1048576,IF(OR($B311="STD. DEVIATION",$C$1=1),$A311,$A311+1),COLUMN('1-DATA'!U309)),IF($B311="STD. DEVIATION",2,$F$1))))</f>
        <v/>
      </c>
      <c r="W311" s="1" t="str">
        <f>IF(OR($B311="",W$7=""),"",IF($B311="MEANS",INDEX('1-DATA'!$1:$1048576,$A310-1,COLUMN('1-DATA'!V309)),ROUND(INDEX('1-DATA'!$1:$1048576,IF(OR($B311="STD. DEVIATION",$C$1=1),$A311,$A311+1),COLUMN('1-DATA'!V309)),IF($B311="STD. DEVIATION",2,$F$1))))</f>
        <v/>
      </c>
      <c r="X311" s="1" t="str">
        <f>IF(OR($B311="",X$7=""),"",IF($B311="MEANS",INDEX('1-DATA'!$1:$1048576,$A310-1,COLUMN('1-DATA'!W309)),ROUND(INDEX('1-DATA'!$1:$1048576,IF(OR($B311="STD. DEVIATION",$C$1=1),$A311,$A311+1),COLUMN('1-DATA'!W309)),IF($B311="STD. DEVIATION",2,$F$1))))</f>
        <v/>
      </c>
      <c r="Y311" s="1" t="str">
        <f>IF(OR($B311="",Y$7=""),"",IF($B311="MEANS",INDEX('1-DATA'!$1:$1048576,$A310-1,COLUMN('1-DATA'!X309)),ROUND(INDEX('1-DATA'!$1:$1048576,IF(OR($B311="STD. DEVIATION",$C$1=1),$A311,$A311+1),COLUMN('1-DATA'!X309)),IF($B311="STD. DEVIATION",2,$F$1))))</f>
        <v/>
      </c>
      <c r="Z311" s="1" t="str">
        <f>IF(OR($B311="",Z$7=""),"",IF($B311="MEANS",INDEX('1-DATA'!$1:$1048576,$A310-1,COLUMN('1-DATA'!Y309)),ROUND(INDEX('1-DATA'!$1:$1048576,IF(OR($B311="STD. DEVIATION",$C$1=1),$A311,$A311+1),COLUMN('1-DATA'!Y309)),IF($B311="STD. DEVIATION",2,$F$1))))</f>
        <v/>
      </c>
      <c r="AA311" s="1" t="str">
        <f>IF(OR($B311="",AA$7=""),"",IF($B311="MEANS",INDEX('1-DATA'!$1:$1048576,$A310-1,COLUMN('1-DATA'!Z309)),ROUND(INDEX('1-DATA'!$1:$1048576,IF(OR($B311="STD. DEVIATION",$C$1=1),$A311,$A311+1),COLUMN('1-DATA'!Z309)),IF($B311="STD. DEVIATION",2,$F$1))))</f>
        <v/>
      </c>
      <c r="AB311" s="1" t="str">
        <f>IF(OR($B311="",AB$7=""),"",IF($B311="MEANS",INDEX('1-DATA'!$1:$1048576,$A310-1,COLUMN('1-DATA'!AA309)),ROUND(INDEX('1-DATA'!$1:$1048576,IF(OR($B311="STD. DEVIATION",$C$1=1),$A311,$A311+1),COLUMN('1-DATA'!AA309)),IF($B311="STD. DEVIATION",2,$F$1))))</f>
        <v/>
      </c>
      <c r="AC311" s="1" t="str">
        <f>IF(OR($B311="",AC$7=""),"",IF($B311="MEANS",INDEX('1-DATA'!$1:$1048576,$A310-1,COLUMN('1-DATA'!AB309)),ROUND(INDEX('1-DATA'!$1:$1048576,IF(OR($B311="STD. DEVIATION",$C$1=1),$A311,$A311+1),COLUMN('1-DATA'!AB309)),IF($B311="STD. DEVIATION",2,$F$1))))</f>
        <v/>
      </c>
      <c r="AD311" s="1" t="str">
        <f>IF(OR($B311="",AD$7=""),"",IF($B311="MEANS",INDEX('1-DATA'!$1:$1048576,$A310-1,COLUMN('1-DATA'!AC309)),ROUND(INDEX('1-DATA'!$1:$1048576,IF(OR($B311="STD. DEVIATION",$C$1=1),$A311,$A311+1),COLUMN('1-DATA'!AC309)),IF($B311="STD. DEVIATION",2,$F$1))))</f>
        <v/>
      </c>
      <c r="AE311" s="1" t="str">
        <f>IF(OR($B311="",AE$7=""),"",IF($B311="MEANS",INDEX('1-DATA'!$1:$1048576,$A310-1,COLUMN('1-DATA'!AD309)),ROUND(INDEX('1-DATA'!$1:$1048576,IF(OR($B311="STD. DEVIATION",$C$1=1),$A311,$A311+1),COLUMN('1-DATA'!AD309)),IF($B311="STD. DEVIATION",2,$F$1))))</f>
        <v/>
      </c>
      <c r="AF311" s="1" t="str">
        <f>IF(OR($B311="",AF$7=""),"",IF($B311="MEANS",INDEX('1-DATA'!$1:$1048576,$A310-1,COLUMN('1-DATA'!AE309)),ROUND(INDEX('1-DATA'!$1:$1048576,IF(OR($B311="STD. DEVIATION",$C$1=1),$A311,$A311+1),COLUMN('1-DATA'!AE309)),IF($B311="STD. DEVIATION",2,$F$1))))</f>
        <v/>
      </c>
      <c r="AG311" s="1" t="str">
        <f>IF(OR($B311="",AG$7=""),"",IF($B311="MEANS",INDEX('1-DATA'!$1:$1048576,$A310-1,COLUMN('1-DATA'!AF309)),ROUND(INDEX('1-DATA'!$1:$1048576,IF(OR($B311="STD. DEVIATION",$C$1=1),$A311,$A311+1),COLUMN('1-DATA'!AF309)),IF($B311="STD. DEVIATION",2,$F$1))))</f>
        <v/>
      </c>
      <c r="AH311" s="1" t="str">
        <f>IF(OR($B311="",AH$7=""),"",IF($B311="MEANS",INDEX('1-DATA'!$1:$1048576,$A310-1,COLUMN('1-DATA'!AG309)),ROUND(INDEX('1-DATA'!$1:$1048576,IF(OR($B311="STD. DEVIATION",$C$1=1),$A311,$A311+1),COLUMN('1-DATA'!AG309)),IF($B311="STD. DEVIATION",2,$F$1))))</f>
        <v/>
      </c>
      <c r="AI311" s="1" t="str">
        <f>IF(OR($B311="",AI$7=""),"",IF($B311="MEANS",INDEX('1-DATA'!$1:$1048576,$A310-1,COLUMN('1-DATA'!AH309)),ROUND(INDEX('1-DATA'!$1:$1048576,IF(OR($B311="STD. DEVIATION",$C$1=1),$A311,$A311+1),COLUMN('1-DATA'!AH309)),IF($B311="STD. DEVIATION",2,$F$1))))</f>
        <v/>
      </c>
      <c r="AJ311" s="1" t="str">
        <f>IF(OR($B311="",AJ$7=""),"",IF($B311="MEANS",INDEX('1-DATA'!$1:$1048576,$A310-1,COLUMN('1-DATA'!AI309)),ROUND(INDEX('1-DATA'!$1:$1048576,IF(OR($B311="STD. DEVIATION",$C$1=1),$A311,$A311+1),COLUMN('1-DATA'!AI309)),IF($B311="STD. DEVIATION",2,$F$1))))</f>
        <v/>
      </c>
      <c r="AK311" s="1" t="str">
        <f>IF(OR($B311="",AK$7=""),"",IF($B311="MEANS",INDEX('1-DATA'!$1:$1048576,$A310-1,COLUMN('1-DATA'!AJ309)),ROUND(INDEX('1-DATA'!$1:$1048576,IF(OR($B311="STD. DEVIATION",$C$1=1),$A311,$A311+1),COLUMN('1-DATA'!AJ309)),IF($B311="STD. DEVIATION",2,$F$1))))</f>
        <v/>
      </c>
      <c r="AL311" s="1" t="str">
        <f>IF(OR($B311="",AL$7=""),"",IF($B311="MEANS",INDEX('1-DATA'!$1:$1048576,$A310-1,COLUMN('1-DATA'!AK309)),ROUND(INDEX('1-DATA'!$1:$1048576,IF(OR($B311="STD. DEVIATION",$C$1=1),$A311,$A311+1),COLUMN('1-DATA'!AK309)),IF($B311="STD. DEVIATION",2,$F$1))))</f>
        <v/>
      </c>
      <c r="AM311" s="1" t="str">
        <f>IF(OR($B311="",AM$7=""),"",IF($B311="MEANS",INDEX('1-DATA'!$1:$1048576,$A310-1,COLUMN('1-DATA'!AL309)),ROUND(INDEX('1-DATA'!$1:$1048576,IF(OR($B311="STD. DEVIATION",$C$1=1),$A311,$A311+1),COLUMN('1-DATA'!AL309)),IF($B311="STD. DEVIATION",2,$F$1))))</f>
        <v/>
      </c>
      <c r="AN311" s="1" t="str">
        <f>IF(OR($B311="",AN$7=""),"",IF($B311="MEANS",INDEX('1-DATA'!$1:$1048576,$A310-1,COLUMN('1-DATA'!AM309)),ROUND(INDEX('1-DATA'!$1:$1048576,IF(OR($B311="STD. DEVIATION",$C$1=1),$A311,$A311+1),COLUMN('1-DATA'!AM309)),IF($B311="STD. DEVIATION",2,$F$1))))</f>
        <v/>
      </c>
      <c r="AO311" s="1" t="str">
        <f>IF(OR($B311="",AO$7=""),"",IF($B311="MEANS",INDEX('1-DATA'!$1:$1048576,$A310-1,COLUMN('1-DATA'!AN309)),ROUND(INDEX('1-DATA'!$1:$1048576,IF(OR($B311="STD. DEVIATION",$C$1=1),$A311,$A311+1),COLUMN('1-DATA'!AN309)),IF($B311="STD. DEVIATION",2,$F$1))))</f>
        <v/>
      </c>
      <c r="AP311" s="1" t="str">
        <f>IF(OR($B311="",AP$7=""),"",IF($B311="MEANS",INDEX('1-DATA'!$1:$1048576,$A310-1,COLUMN('1-DATA'!AO309)),ROUND(INDEX('1-DATA'!$1:$1048576,IF(OR($B311="STD. DEVIATION",$C$1=1),$A311,$A311+1),COLUMN('1-DATA'!AO309)),IF($B311="STD. DEVIATION",2,$F$1))))</f>
        <v/>
      </c>
      <c r="AQ311" s="1" t="str">
        <f>IF(OR($B311="",AQ$7=""),"",IF($B311="MEANS",INDEX('1-DATA'!$1:$1048576,$A310-1,COLUMN('1-DATA'!AP309)),ROUND(INDEX('1-DATA'!$1:$1048576,IF(OR($B311="STD. DEVIATION",$C$1=1),$A311,$A311+1),COLUMN('1-DATA'!AP309)),IF($B311="STD. DEVIATION",2,$F$1))))</f>
        <v/>
      </c>
      <c r="AR311" s="1" t="str">
        <f>IF(OR($B311="",AR$7=""),"",IF($B311="MEANS",INDEX('1-DATA'!$1:$1048576,$A310-1,COLUMN('1-DATA'!AQ309)),ROUND(INDEX('1-DATA'!$1:$1048576,IF(OR($B311="STD. DEVIATION",$C$1=1),$A311,$A311+1),COLUMN('1-DATA'!AQ309)),IF($B311="STD. DEVIATION",2,$F$1))))</f>
        <v/>
      </c>
      <c r="AS311" s="1" t="str">
        <f>IF(OR($B311="",AS$7=""),"",IF($B311="MEANS",INDEX('1-DATA'!$1:$1048576,$A310-1,COLUMN('1-DATA'!AR309)),ROUND(INDEX('1-DATA'!$1:$1048576,IF(OR($B311="STD. DEVIATION",$C$1=1),$A311,$A311+1),COLUMN('1-DATA'!AR309)),IF($B311="STD. DEVIATION",2,$F$1))))</f>
        <v/>
      </c>
      <c r="AT311" s="1" t="str">
        <f>IF(OR($B311="",AT$7=""),"",IF($B311="MEANS",INDEX('1-DATA'!$1:$1048576,$A310-1,COLUMN('1-DATA'!AS309)),ROUND(INDEX('1-DATA'!$1:$1048576,IF(OR($B311="STD. DEVIATION",$C$1=1),$A311,$A311+1),COLUMN('1-DATA'!AS309)),IF($B311="STD. DEVIATION",2,$F$1))))</f>
        <v/>
      </c>
      <c r="AU311" s="1" t="str">
        <f>IF(OR($B311="",AU$7=""),"",IF($B311="MEANS",INDEX('1-DATA'!$1:$1048576,$A310-1,COLUMN('1-DATA'!AT309)),ROUND(INDEX('1-DATA'!$1:$1048576,IF(OR($B311="STD. DEVIATION",$C$1=1),$A311,$A311+1),COLUMN('1-DATA'!AT309)),IF($B311="STD. DEVIATION",2,$F$1))))</f>
        <v/>
      </c>
      <c r="AV311" s="1" t="str">
        <f>IF(OR($B311="",AV$7=""),"",IF($B311="MEANS",INDEX('1-DATA'!$1:$1048576,$A310-1,COLUMN('1-DATA'!AU309)),ROUND(INDEX('1-DATA'!$1:$1048576,IF(OR($B311="STD. DEVIATION",$C$1=1),$A311,$A311+1),COLUMN('1-DATA'!AU309)),IF($B311="STD. DEVIATION",2,$F$1))))</f>
        <v/>
      </c>
      <c r="AW311" s="1" t="str">
        <f>IF(OR($B311="",AW$7=""),"",IF($B311="MEANS",INDEX('1-DATA'!$1:$1048576,$A310-1,COLUMN('1-DATA'!AV309)),ROUND(INDEX('1-DATA'!$1:$1048576,IF(OR($B311="STD. DEVIATION",$C$1=1),$A311,$A311+1),COLUMN('1-DATA'!AV309)),IF($B311="STD. DEVIATION",2,$F$1))))</f>
        <v/>
      </c>
      <c r="AX311" s="1" t="str">
        <f>IF(OR($B311="",AX$7=""),"",IF($B311="MEANS",INDEX('1-DATA'!$1:$1048576,$A310-1,COLUMN('1-DATA'!AW309)),ROUND(INDEX('1-DATA'!$1:$1048576,IF(OR($B311="STD. DEVIATION",$C$1=1),$A311,$A311+1),COLUMN('1-DATA'!AW309)),IF($B311="STD. DEVIATION",2,$F$1))))</f>
        <v/>
      </c>
      <c r="AY311" s="1" t="str">
        <f>IF(OR($B311="",AY$7=""),"",IF($B311="MEANS",INDEX('1-DATA'!$1:$1048576,$A310-1,COLUMN('1-DATA'!AX309)),ROUND(INDEX('1-DATA'!$1:$1048576,IF(OR($B311="STD. DEVIATION",$C$1=1),$A311,$A311+1),COLUMN('1-DATA'!AX309)),IF($B311="STD. DEVIATION",2,$F$1))))</f>
        <v/>
      </c>
      <c r="AZ311" s="1" t="str">
        <f>IF(OR($B311="",AZ$7=""),"",IF($B311="MEANS",INDEX('1-DATA'!$1:$1048576,$A310-1,COLUMN('1-DATA'!AY309)),ROUND(INDEX('1-DATA'!$1:$1048576,IF(OR($B311="STD. DEVIATION",$C$1=1),$A311,$A311+1),COLUMN('1-DATA'!AY309)),IF($B311="STD. DEVIATION",2,$F$1))))</f>
        <v/>
      </c>
    </row>
    <row r="312" spans="1:52" x14ac:dyDescent="0.25">
      <c r="A312" s="11">
        <f t="shared" si="5"/>
        <v>922</v>
      </c>
      <c r="B312" s="1" t="str">
        <f>IF(B311="STD. DEVIATION",INDEX('1-DATA'!$1:$1048576,$A311-1,1),IF(INDEX('1-DATA'!$1:$1048576,$A312,1)&lt;&gt;"",INDEX('1-DATA'!$1:$1048576,$A312,1),""))</f>
        <v/>
      </c>
      <c r="C312" s="1" t="str">
        <f>IF(OR($B312="",C$7=""),"",IF($B312="MEANS",INDEX('1-DATA'!$1:$1048576,$A311-1,COLUMN('1-DATA'!B310)),ROUND(INDEX('1-DATA'!$1:$1048576,IF(OR($B312="STD. DEVIATION",$C$1=1),$A312,$A312+1),COLUMN('1-DATA'!B310)),IF($B312="STD. DEVIATION",2,$F$1))))</f>
        <v/>
      </c>
      <c r="D312" s="1" t="str">
        <f>IF(OR($B312="",D$7=""),"",IF($B312="MEANS",INDEX('1-DATA'!$1:$1048576,$A311-1,COLUMN('1-DATA'!C310)),ROUND(INDEX('1-DATA'!$1:$1048576,IF(OR($B312="STD. DEVIATION",$C$1=1),$A312,$A312+1),COLUMN('1-DATA'!C310)),IF($B312="STD. DEVIATION",2,$F$1))))</f>
        <v/>
      </c>
      <c r="E312" s="1" t="str">
        <f>IF(OR($B312="",E$7=""),"",IF($B312="MEANS",INDEX('1-DATA'!$1:$1048576,$A311-1,COLUMN('1-DATA'!D310)),ROUND(INDEX('1-DATA'!$1:$1048576,IF(OR($B312="STD. DEVIATION",$C$1=1),$A312,$A312+1),COLUMN('1-DATA'!D310)),IF($B312="STD. DEVIATION",2,$F$1))))</f>
        <v/>
      </c>
      <c r="F312" s="1" t="str">
        <f>IF(OR($B312="",F$7=""),"",IF($B312="MEANS",INDEX('1-DATA'!$1:$1048576,$A311-1,COLUMN('1-DATA'!E310)),ROUND(INDEX('1-DATA'!$1:$1048576,IF(OR($B312="STD. DEVIATION",$C$1=1),$A312,$A312+1),COLUMN('1-DATA'!E310)),IF($B312="STD. DEVIATION",2,$F$1))))</f>
        <v/>
      </c>
      <c r="G312" s="1" t="str">
        <f>IF(OR($B312="",G$7=""),"",IF($B312="MEANS",INDEX('1-DATA'!$1:$1048576,$A311-1,COLUMN('1-DATA'!F310)),ROUND(INDEX('1-DATA'!$1:$1048576,IF(OR($B312="STD. DEVIATION",$C$1=1),$A312,$A312+1),COLUMN('1-DATA'!F310)),IF($B312="STD. DEVIATION",2,$F$1))))</f>
        <v/>
      </c>
      <c r="H312" s="1" t="str">
        <f>IF(OR($B312="",H$7=""),"",IF($B312="MEANS",INDEX('1-DATA'!$1:$1048576,$A311-1,COLUMN('1-DATA'!G310)),ROUND(INDEX('1-DATA'!$1:$1048576,IF(OR($B312="STD. DEVIATION",$C$1=1),$A312,$A312+1),COLUMN('1-DATA'!G310)),IF($B312="STD. DEVIATION",2,$F$1))))</f>
        <v/>
      </c>
      <c r="I312" s="1" t="str">
        <f>IF(OR($B312="",I$7=""),"",IF($B312="MEANS",INDEX('1-DATA'!$1:$1048576,$A311-1,COLUMN('1-DATA'!H310)),ROUND(INDEX('1-DATA'!$1:$1048576,IF(OR($B312="STD. DEVIATION",$C$1=1),$A312,$A312+1),COLUMN('1-DATA'!H310)),IF($B312="STD. DEVIATION",2,$F$1))))</f>
        <v/>
      </c>
      <c r="J312" s="1" t="str">
        <f>IF(OR($B312="",J$7=""),"",IF($B312="MEANS",INDEX('1-DATA'!$1:$1048576,$A311-1,COLUMN('1-DATA'!I310)),ROUND(INDEX('1-DATA'!$1:$1048576,IF(OR($B312="STD. DEVIATION",$C$1=1),$A312,$A312+1),COLUMN('1-DATA'!I310)),IF($B312="STD. DEVIATION",2,$F$1))))</f>
        <v/>
      </c>
      <c r="K312" s="1" t="str">
        <f>IF(OR($B312="",K$7=""),"",IF($B312="MEANS",INDEX('1-DATA'!$1:$1048576,$A311-1,COLUMN('1-DATA'!J310)),ROUND(INDEX('1-DATA'!$1:$1048576,IF(OR($B312="STD. DEVIATION",$C$1=1),$A312,$A312+1),COLUMN('1-DATA'!J310)),IF($B312="STD. DEVIATION",2,$F$1))))</f>
        <v/>
      </c>
      <c r="L312" s="1" t="str">
        <f>IF(OR($B312="",L$7=""),"",IF($B312="MEANS",INDEX('1-DATA'!$1:$1048576,$A311-1,COLUMN('1-DATA'!K310)),ROUND(INDEX('1-DATA'!$1:$1048576,IF(OR($B312="STD. DEVIATION",$C$1=1),$A312,$A312+1),COLUMN('1-DATA'!K310)),IF($B312="STD. DEVIATION",2,$F$1))))</f>
        <v/>
      </c>
      <c r="M312" s="1" t="str">
        <f>IF(OR($B312="",M$7=""),"",IF($B312="MEANS",INDEX('1-DATA'!$1:$1048576,$A311-1,COLUMN('1-DATA'!L310)),ROUND(INDEX('1-DATA'!$1:$1048576,IF(OR($B312="STD. DEVIATION",$C$1=1),$A312,$A312+1),COLUMN('1-DATA'!L310)),IF($B312="STD. DEVIATION",2,$F$1))))</f>
        <v/>
      </c>
      <c r="N312" s="1" t="str">
        <f>IF(OR($B312="",N$7=""),"",IF($B312="MEANS",INDEX('1-DATA'!$1:$1048576,$A311-1,COLUMN('1-DATA'!M310)),ROUND(INDEX('1-DATA'!$1:$1048576,IF(OR($B312="STD. DEVIATION",$C$1=1),$A312,$A312+1),COLUMN('1-DATA'!M310)),IF($B312="STD. DEVIATION",2,$F$1))))</f>
        <v/>
      </c>
      <c r="O312" s="1" t="str">
        <f>IF(OR($B312="",O$7=""),"",IF($B312="MEANS",INDEX('1-DATA'!$1:$1048576,$A311-1,COLUMN('1-DATA'!N310)),ROUND(INDEX('1-DATA'!$1:$1048576,IF(OR($B312="STD. DEVIATION",$C$1=1),$A312,$A312+1),COLUMN('1-DATA'!N310)),IF($B312="STD. DEVIATION",2,$F$1))))</f>
        <v/>
      </c>
      <c r="P312" s="1" t="str">
        <f>IF(OR($B312="",P$7=""),"",IF($B312="MEANS",INDEX('1-DATA'!$1:$1048576,$A311-1,COLUMN('1-DATA'!O310)),ROUND(INDEX('1-DATA'!$1:$1048576,IF(OR($B312="STD. DEVIATION",$C$1=1),$A312,$A312+1),COLUMN('1-DATA'!O310)),IF($B312="STD. DEVIATION",2,$F$1))))</f>
        <v/>
      </c>
      <c r="Q312" s="1" t="str">
        <f>IF(OR($B312="",Q$7=""),"",IF($B312="MEANS",INDEX('1-DATA'!$1:$1048576,$A311-1,COLUMN('1-DATA'!P310)),ROUND(INDEX('1-DATA'!$1:$1048576,IF(OR($B312="STD. DEVIATION",$C$1=1),$A312,$A312+1),COLUMN('1-DATA'!P310)),IF($B312="STD. DEVIATION",2,$F$1))))</f>
        <v/>
      </c>
      <c r="R312" s="1" t="str">
        <f>IF(OR($B312="",R$7=""),"",IF($B312="MEANS",INDEX('1-DATA'!$1:$1048576,$A311-1,COLUMN('1-DATA'!Q310)),ROUND(INDEX('1-DATA'!$1:$1048576,IF(OR($B312="STD. DEVIATION",$C$1=1),$A312,$A312+1),COLUMN('1-DATA'!Q310)),IF($B312="STD. DEVIATION",2,$F$1))))</f>
        <v/>
      </c>
      <c r="S312" s="1" t="str">
        <f>IF(OR($B312="",S$7=""),"",IF($B312="MEANS",INDEX('1-DATA'!$1:$1048576,$A311-1,COLUMN('1-DATA'!R310)),ROUND(INDEX('1-DATA'!$1:$1048576,IF(OR($B312="STD. DEVIATION",$C$1=1),$A312,$A312+1),COLUMN('1-DATA'!R310)),IF($B312="STD. DEVIATION",2,$F$1))))</f>
        <v/>
      </c>
      <c r="T312" s="1" t="str">
        <f>IF(OR($B312="",T$7=""),"",IF($B312="MEANS",INDEX('1-DATA'!$1:$1048576,$A311-1,COLUMN('1-DATA'!S310)),ROUND(INDEX('1-DATA'!$1:$1048576,IF(OR($B312="STD. DEVIATION",$C$1=1),$A312,$A312+1),COLUMN('1-DATA'!S310)),IF($B312="STD. DEVIATION",2,$F$1))))</f>
        <v/>
      </c>
      <c r="U312" s="1" t="str">
        <f>IF(OR($B312="",U$7=""),"",IF($B312="MEANS",INDEX('1-DATA'!$1:$1048576,$A311-1,COLUMN('1-DATA'!T310)),ROUND(INDEX('1-DATA'!$1:$1048576,IF(OR($B312="STD. DEVIATION",$C$1=1),$A312,$A312+1),COLUMN('1-DATA'!T310)),IF($B312="STD. DEVIATION",2,$F$1))))</f>
        <v/>
      </c>
      <c r="V312" s="1" t="str">
        <f>IF(OR($B312="",V$7=""),"",IF($B312="MEANS",INDEX('1-DATA'!$1:$1048576,$A311-1,COLUMN('1-DATA'!U310)),ROUND(INDEX('1-DATA'!$1:$1048576,IF(OR($B312="STD. DEVIATION",$C$1=1),$A312,$A312+1),COLUMN('1-DATA'!U310)),IF($B312="STD. DEVIATION",2,$F$1))))</f>
        <v/>
      </c>
      <c r="W312" s="1" t="str">
        <f>IF(OR($B312="",W$7=""),"",IF($B312="MEANS",INDEX('1-DATA'!$1:$1048576,$A311-1,COLUMN('1-DATA'!V310)),ROUND(INDEX('1-DATA'!$1:$1048576,IF(OR($B312="STD. DEVIATION",$C$1=1),$A312,$A312+1),COLUMN('1-DATA'!V310)),IF($B312="STD. DEVIATION",2,$F$1))))</f>
        <v/>
      </c>
      <c r="X312" s="1" t="str">
        <f>IF(OR($B312="",X$7=""),"",IF($B312="MEANS",INDEX('1-DATA'!$1:$1048576,$A311-1,COLUMN('1-DATA'!W310)),ROUND(INDEX('1-DATA'!$1:$1048576,IF(OR($B312="STD. DEVIATION",$C$1=1),$A312,$A312+1),COLUMN('1-DATA'!W310)),IF($B312="STD. DEVIATION",2,$F$1))))</f>
        <v/>
      </c>
      <c r="Y312" s="1" t="str">
        <f>IF(OR($B312="",Y$7=""),"",IF($B312="MEANS",INDEX('1-DATA'!$1:$1048576,$A311-1,COLUMN('1-DATA'!X310)),ROUND(INDEX('1-DATA'!$1:$1048576,IF(OR($B312="STD. DEVIATION",$C$1=1),$A312,$A312+1),COLUMN('1-DATA'!X310)),IF($B312="STD. DEVIATION",2,$F$1))))</f>
        <v/>
      </c>
      <c r="Z312" s="1" t="str">
        <f>IF(OR($B312="",Z$7=""),"",IF($B312="MEANS",INDEX('1-DATA'!$1:$1048576,$A311-1,COLUMN('1-DATA'!Y310)),ROUND(INDEX('1-DATA'!$1:$1048576,IF(OR($B312="STD. DEVIATION",$C$1=1),$A312,$A312+1),COLUMN('1-DATA'!Y310)),IF($B312="STD. DEVIATION",2,$F$1))))</f>
        <v/>
      </c>
      <c r="AA312" s="1" t="str">
        <f>IF(OR($B312="",AA$7=""),"",IF($B312="MEANS",INDEX('1-DATA'!$1:$1048576,$A311-1,COLUMN('1-DATA'!Z310)),ROUND(INDEX('1-DATA'!$1:$1048576,IF(OR($B312="STD. DEVIATION",$C$1=1),$A312,$A312+1),COLUMN('1-DATA'!Z310)),IF($B312="STD. DEVIATION",2,$F$1))))</f>
        <v/>
      </c>
      <c r="AB312" s="1" t="str">
        <f>IF(OR($B312="",AB$7=""),"",IF($B312="MEANS",INDEX('1-DATA'!$1:$1048576,$A311-1,COLUMN('1-DATA'!AA310)),ROUND(INDEX('1-DATA'!$1:$1048576,IF(OR($B312="STD. DEVIATION",$C$1=1),$A312,$A312+1),COLUMN('1-DATA'!AA310)),IF($B312="STD. DEVIATION",2,$F$1))))</f>
        <v/>
      </c>
      <c r="AC312" s="1" t="str">
        <f>IF(OR($B312="",AC$7=""),"",IF($B312="MEANS",INDEX('1-DATA'!$1:$1048576,$A311-1,COLUMN('1-DATA'!AB310)),ROUND(INDEX('1-DATA'!$1:$1048576,IF(OR($B312="STD. DEVIATION",$C$1=1),$A312,$A312+1),COLUMN('1-DATA'!AB310)),IF($B312="STD. DEVIATION",2,$F$1))))</f>
        <v/>
      </c>
      <c r="AD312" s="1" t="str">
        <f>IF(OR($B312="",AD$7=""),"",IF($B312="MEANS",INDEX('1-DATA'!$1:$1048576,$A311-1,COLUMN('1-DATA'!AC310)),ROUND(INDEX('1-DATA'!$1:$1048576,IF(OR($B312="STD. DEVIATION",$C$1=1),$A312,$A312+1),COLUMN('1-DATA'!AC310)),IF($B312="STD. DEVIATION",2,$F$1))))</f>
        <v/>
      </c>
      <c r="AE312" s="1" t="str">
        <f>IF(OR($B312="",AE$7=""),"",IF($B312="MEANS",INDEX('1-DATA'!$1:$1048576,$A311-1,COLUMN('1-DATA'!AD310)),ROUND(INDEX('1-DATA'!$1:$1048576,IF(OR($B312="STD. DEVIATION",$C$1=1),$A312,$A312+1),COLUMN('1-DATA'!AD310)),IF($B312="STD. DEVIATION",2,$F$1))))</f>
        <v/>
      </c>
      <c r="AF312" s="1" t="str">
        <f>IF(OR($B312="",AF$7=""),"",IF($B312="MEANS",INDEX('1-DATA'!$1:$1048576,$A311-1,COLUMN('1-DATA'!AE310)),ROUND(INDEX('1-DATA'!$1:$1048576,IF(OR($B312="STD. DEVIATION",$C$1=1),$A312,$A312+1),COLUMN('1-DATA'!AE310)),IF($B312="STD. DEVIATION",2,$F$1))))</f>
        <v/>
      </c>
      <c r="AG312" s="1" t="str">
        <f>IF(OR($B312="",AG$7=""),"",IF($B312="MEANS",INDEX('1-DATA'!$1:$1048576,$A311-1,COLUMN('1-DATA'!AF310)),ROUND(INDEX('1-DATA'!$1:$1048576,IF(OR($B312="STD. DEVIATION",$C$1=1),$A312,$A312+1),COLUMN('1-DATA'!AF310)),IF($B312="STD. DEVIATION",2,$F$1))))</f>
        <v/>
      </c>
      <c r="AH312" s="1" t="str">
        <f>IF(OR($B312="",AH$7=""),"",IF($B312="MEANS",INDEX('1-DATA'!$1:$1048576,$A311-1,COLUMN('1-DATA'!AG310)),ROUND(INDEX('1-DATA'!$1:$1048576,IF(OR($B312="STD. DEVIATION",$C$1=1),$A312,$A312+1),COLUMN('1-DATA'!AG310)),IF($B312="STD. DEVIATION",2,$F$1))))</f>
        <v/>
      </c>
      <c r="AI312" s="1" t="str">
        <f>IF(OR($B312="",AI$7=""),"",IF($B312="MEANS",INDEX('1-DATA'!$1:$1048576,$A311-1,COLUMN('1-DATA'!AH310)),ROUND(INDEX('1-DATA'!$1:$1048576,IF(OR($B312="STD. DEVIATION",$C$1=1),$A312,$A312+1),COLUMN('1-DATA'!AH310)),IF($B312="STD. DEVIATION",2,$F$1))))</f>
        <v/>
      </c>
      <c r="AJ312" s="1" t="str">
        <f>IF(OR($B312="",AJ$7=""),"",IF($B312="MEANS",INDEX('1-DATA'!$1:$1048576,$A311-1,COLUMN('1-DATA'!AI310)),ROUND(INDEX('1-DATA'!$1:$1048576,IF(OR($B312="STD. DEVIATION",$C$1=1),$A312,$A312+1),COLUMN('1-DATA'!AI310)),IF($B312="STD. DEVIATION",2,$F$1))))</f>
        <v/>
      </c>
      <c r="AK312" s="1" t="str">
        <f>IF(OR($B312="",AK$7=""),"",IF($B312="MEANS",INDEX('1-DATA'!$1:$1048576,$A311-1,COLUMN('1-DATA'!AJ310)),ROUND(INDEX('1-DATA'!$1:$1048576,IF(OR($B312="STD. DEVIATION",$C$1=1),$A312,$A312+1),COLUMN('1-DATA'!AJ310)),IF($B312="STD. DEVIATION",2,$F$1))))</f>
        <v/>
      </c>
      <c r="AL312" s="1" t="str">
        <f>IF(OR($B312="",AL$7=""),"",IF($B312="MEANS",INDEX('1-DATA'!$1:$1048576,$A311-1,COLUMN('1-DATA'!AK310)),ROUND(INDEX('1-DATA'!$1:$1048576,IF(OR($B312="STD. DEVIATION",$C$1=1),$A312,$A312+1),COLUMN('1-DATA'!AK310)),IF($B312="STD. DEVIATION",2,$F$1))))</f>
        <v/>
      </c>
      <c r="AM312" s="1" t="str">
        <f>IF(OR($B312="",AM$7=""),"",IF($B312="MEANS",INDEX('1-DATA'!$1:$1048576,$A311-1,COLUMN('1-DATA'!AL310)),ROUND(INDEX('1-DATA'!$1:$1048576,IF(OR($B312="STD. DEVIATION",$C$1=1),$A312,$A312+1),COLUMN('1-DATA'!AL310)),IF($B312="STD. DEVIATION",2,$F$1))))</f>
        <v/>
      </c>
      <c r="AN312" s="1" t="str">
        <f>IF(OR($B312="",AN$7=""),"",IF($B312="MEANS",INDEX('1-DATA'!$1:$1048576,$A311-1,COLUMN('1-DATA'!AM310)),ROUND(INDEX('1-DATA'!$1:$1048576,IF(OR($B312="STD. DEVIATION",$C$1=1),$A312,$A312+1),COLUMN('1-DATA'!AM310)),IF($B312="STD. DEVIATION",2,$F$1))))</f>
        <v/>
      </c>
      <c r="AO312" s="1" t="str">
        <f>IF(OR($B312="",AO$7=""),"",IF($B312="MEANS",INDEX('1-DATA'!$1:$1048576,$A311-1,COLUMN('1-DATA'!AN310)),ROUND(INDEX('1-DATA'!$1:$1048576,IF(OR($B312="STD. DEVIATION",$C$1=1),$A312,$A312+1),COLUMN('1-DATA'!AN310)),IF($B312="STD. DEVIATION",2,$F$1))))</f>
        <v/>
      </c>
      <c r="AP312" s="1" t="str">
        <f>IF(OR($B312="",AP$7=""),"",IF($B312="MEANS",INDEX('1-DATA'!$1:$1048576,$A311-1,COLUMN('1-DATA'!AO310)),ROUND(INDEX('1-DATA'!$1:$1048576,IF(OR($B312="STD. DEVIATION",$C$1=1),$A312,$A312+1),COLUMN('1-DATA'!AO310)),IF($B312="STD. DEVIATION",2,$F$1))))</f>
        <v/>
      </c>
      <c r="AQ312" s="1" t="str">
        <f>IF(OR($B312="",AQ$7=""),"",IF($B312="MEANS",INDEX('1-DATA'!$1:$1048576,$A311-1,COLUMN('1-DATA'!AP310)),ROUND(INDEX('1-DATA'!$1:$1048576,IF(OR($B312="STD. DEVIATION",$C$1=1),$A312,$A312+1),COLUMN('1-DATA'!AP310)),IF($B312="STD. DEVIATION",2,$F$1))))</f>
        <v/>
      </c>
      <c r="AR312" s="1" t="str">
        <f>IF(OR($B312="",AR$7=""),"",IF($B312="MEANS",INDEX('1-DATA'!$1:$1048576,$A311-1,COLUMN('1-DATA'!AQ310)),ROUND(INDEX('1-DATA'!$1:$1048576,IF(OR($B312="STD. DEVIATION",$C$1=1),$A312,$A312+1),COLUMN('1-DATA'!AQ310)),IF($B312="STD. DEVIATION",2,$F$1))))</f>
        <v/>
      </c>
      <c r="AS312" s="1" t="str">
        <f>IF(OR($B312="",AS$7=""),"",IF($B312="MEANS",INDEX('1-DATA'!$1:$1048576,$A311-1,COLUMN('1-DATA'!AR310)),ROUND(INDEX('1-DATA'!$1:$1048576,IF(OR($B312="STD. DEVIATION",$C$1=1),$A312,$A312+1),COLUMN('1-DATA'!AR310)),IF($B312="STD. DEVIATION",2,$F$1))))</f>
        <v/>
      </c>
      <c r="AT312" s="1" t="str">
        <f>IF(OR($B312="",AT$7=""),"",IF($B312="MEANS",INDEX('1-DATA'!$1:$1048576,$A311-1,COLUMN('1-DATA'!AS310)),ROUND(INDEX('1-DATA'!$1:$1048576,IF(OR($B312="STD. DEVIATION",$C$1=1),$A312,$A312+1),COLUMN('1-DATA'!AS310)),IF($B312="STD. DEVIATION",2,$F$1))))</f>
        <v/>
      </c>
      <c r="AU312" s="1" t="str">
        <f>IF(OR($B312="",AU$7=""),"",IF($B312="MEANS",INDEX('1-DATA'!$1:$1048576,$A311-1,COLUMN('1-DATA'!AT310)),ROUND(INDEX('1-DATA'!$1:$1048576,IF(OR($B312="STD. DEVIATION",$C$1=1),$A312,$A312+1),COLUMN('1-DATA'!AT310)),IF($B312="STD. DEVIATION",2,$F$1))))</f>
        <v/>
      </c>
      <c r="AV312" s="1" t="str">
        <f>IF(OR($B312="",AV$7=""),"",IF($B312="MEANS",INDEX('1-DATA'!$1:$1048576,$A311-1,COLUMN('1-DATA'!AU310)),ROUND(INDEX('1-DATA'!$1:$1048576,IF(OR($B312="STD. DEVIATION",$C$1=1),$A312,$A312+1),COLUMN('1-DATA'!AU310)),IF($B312="STD. DEVIATION",2,$F$1))))</f>
        <v/>
      </c>
      <c r="AW312" s="1" t="str">
        <f>IF(OR($B312="",AW$7=""),"",IF($B312="MEANS",INDEX('1-DATA'!$1:$1048576,$A311-1,COLUMN('1-DATA'!AV310)),ROUND(INDEX('1-DATA'!$1:$1048576,IF(OR($B312="STD. DEVIATION",$C$1=1),$A312,$A312+1),COLUMN('1-DATA'!AV310)),IF($B312="STD. DEVIATION",2,$F$1))))</f>
        <v/>
      </c>
      <c r="AX312" s="1" t="str">
        <f>IF(OR($B312="",AX$7=""),"",IF($B312="MEANS",INDEX('1-DATA'!$1:$1048576,$A311-1,COLUMN('1-DATA'!AW310)),ROUND(INDEX('1-DATA'!$1:$1048576,IF(OR($B312="STD. DEVIATION",$C$1=1),$A312,$A312+1),COLUMN('1-DATA'!AW310)),IF($B312="STD. DEVIATION",2,$F$1))))</f>
        <v/>
      </c>
      <c r="AY312" s="1" t="str">
        <f>IF(OR($B312="",AY$7=""),"",IF($B312="MEANS",INDEX('1-DATA'!$1:$1048576,$A311-1,COLUMN('1-DATA'!AX310)),ROUND(INDEX('1-DATA'!$1:$1048576,IF(OR($B312="STD. DEVIATION",$C$1=1),$A312,$A312+1),COLUMN('1-DATA'!AX310)),IF($B312="STD. DEVIATION",2,$F$1))))</f>
        <v/>
      </c>
      <c r="AZ312" s="1" t="str">
        <f>IF(OR($B312="",AZ$7=""),"",IF($B312="MEANS",INDEX('1-DATA'!$1:$1048576,$A311-1,COLUMN('1-DATA'!AY310)),ROUND(INDEX('1-DATA'!$1:$1048576,IF(OR($B312="STD. DEVIATION",$C$1=1),$A312,$A312+1),COLUMN('1-DATA'!AY310)),IF($B312="STD. DEVIATION",2,$F$1))))</f>
        <v/>
      </c>
    </row>
    <row r="313" spans="1:52" x14ac:dyDescent="0.25">
      <c r="A313" s="11">
        <f t="shared" si="5"/>
        <v>925</v>
      </c>
      <c r="B313" s="1" t="str">
        <f>IF(B312="STD. DEVIATION",INDEX('1-DATA'!$1:$1048576,$A312-1,1),IF(INDEX('1-DATA'!$1:$1048576,$A313,1)&lt;&gt;"",INDEX('1-DATA'!$1:$1048576,$A313,1),""))</f>
        <v/>
      </c>
      <c r="C313" s="1" t="str">
        <f>IF(OR($B313="",C$7=""),"",IF($B313="MEANS",INDEX('1-DATA'!$1:$1048576,$A312-1,COLUMN('1-DATA'!B311)),ROUND(INDEX('1-DATA'!$1:$1048576,IF(OR($B313="STD. DEVIATION",$C$1=1),$A313,$A313+1),COLUMN('1-DATA'!B311)),IF($B313="STD. DEVIATION",2,$F$1))))</f>
        <v/>
      </c>
      <c r="D313" s="1" t="str">
        <f>IF(OR($B313="",D$7=""),"",IF($B313="MEANS",INDEX('1-DATA'!$1:$1048576,$A312-1,COLUMN('1-DATA'!C311)),ROUND(INDEX('1-DATA'!$1:$1048576,IF(OR($B313="STD. DEVIATION",$C$1=1),$A313,$A313+1),COLUMN('1-DATA'!C311)),IF($B313="STD. DEVIATION",2,$F$1))))</f>
        <v/>
      </c>
      <c r="E313" s="1" t="str">
        <f>IF(OR($B313="",E$7=""),"",IF($B313="MEANS",INDEX('1-DATA'!$1:$1048576,$A312-1,COLUMN('1-DATA'!D311)),ROUND(INDEX('1-DATA'!$1:$1048576,IF(OR($B313="STD. DEVIATION",$C$1=1),$A313,$A313+1),COLUMN('1-DATA'!D311)),IF($B313="STD. DEVIATION",2,$F$1))))</f>
        <v/>
      </c>
      <c r="F313" s="1" t="str">
        <f>IF(OR($B313="",F$7=""),"",IF($B313="MEANS",INDEX('1-DATA'!$1:$1048576,$A312-1,COLUMN('1-DATA'!E311)),ROUND(INDEX('1-DATA'!$1:$1048576,IF(OR($B313="STD. DEVIATION",$C$1=1),$A313,$A313+1),COLUMN('1-DATA'!E311)),IF($B313="STD. DEVIATION",2,$F$1))))</f>
        <v/>
      </c>
      <c r="G313" s="1" t="str">
        <f>IF(OR($B313="",G$7=""),"",IF($B313="MEANS",INDEX('1-DATA'!$1:$1048576,$A312-1,COLUMN('1-DATA'!F311)),ROUND(INDEX('1-DATA'!$1:$1048576,IF(OR($B313="STD. DEVIATION",$C$1=1),$A313,$A313+1),COLUMN('1-DATA'!F311)),IF($B313="STD. DEVIATION",2,$F$1))))</f>
        <v/>
      </c>
      <c r="H313" s="1" t="str">
        <f>IF(OR($B313="",H$7=""),"",IF($B313="MEANS",INDEX('1-DATA'!$1:$1048576,$A312-1,COLUMN('1-DATA'!G311)),ROUND(INDEX('1-DATA'!$1:$1048576,IF(OR($B313="STD. DEVIATION",$C$1=1),$A313,$A313+1),COLUMN('1-DATA'!G311)),IF($B313="STD. DEVIATION",2,$F$1))))</f>
        <v/>
      </c>
      <c r="I313" s="1" t="str">
        <f>IF(OR($B313="",I$7=""),"",IF($B313="MEANS",INDEX('1-DATA'!$1:$1048576,$A312-1,COLUMN('1-DATA'!H311)),ROUND(INDEX('1-DATA'!$1:$1048576,IF(OR($B313="STD. DEVIATION",$C$1=1),$A313,$A313+1),COLUMN('1-DATA'!H311)),IF($B313="STD. DEVIATION",2,$F$1))))</f>
        <v/>
      </c>
      <c r="J313" s="1" t="str">
        <f>IF(OR($B313="",J$7=""),"",IF($B313="MEANS",INDEX('1-DATA'!$1:$1048576,$A312-1,COLUMN('1-DATA'!I311)),ROUND(INDEX('1-DATA'!$1:$1048576,IF(OR($B313="STD. DEVIATION",$C$1=1),$A313,$A313+1),COLUMN('1-DATA'!I311)),IF($B313="STD. DEVIATION",2,$F$1))))</f>
        <v/>
      </c>
      <c r="K313" s="1" t="str">
        <f>IF(OR($B313="",K$7=""),"",IF($B313="MEANS",INDEX('1-DATA'!$1:$1048576,$A312-1,COLUMN('1-DATA'!J311)),ROUND(INDEX('1-DATA'!$1:$1048576,IF(OR($B313="STD. DEVIATION",$C$1=1),$A313,$A313+1),COLUMN('1-DATA'!J311)),IF($B313="STD. DEVIATION",2,$F$1))))</f>
        <v/>
      </c>
      <c r="L313" s="1" t="str">
        <f>IF(OR($B313="",L$7=""),"",IF($B313="MEANS",INDEX('1-DATA'!$1:$1048576,$A312-1,COLUMN('1-DATA'!K311)),ROUND(INDEX('1-DATA'!$1:$1048576,IF(OR($B313="STD. DEVIATION",$C$1=1),$A313,$A313+1),COLUMN('1-DATA'!K311)),IF($B313="STD. DEVIATION",2,$F$1))))</f>
        <v/>
      </c>
      <c r="M313" s="1" t="str">
        <f>IF(OR($B313="",M$7=""),"",IF($B313="MEANS",INDEX('1-DATA'!$1:$1048576,$A312-1,COLUMN('1-DATA'!L311)),ROUND(INDEX('1-DATA'!$1:$1048576,IF(OR($B313="STD. DEVIATION",$C$1=1),$A313,$A313+1),COLUMN('1-DATA'!L311)),IF($B313="STD. DEVIATION",2,$F$1))))</f>
        <v/>
      </c>
      <c r="N313" s="1" t="str">
        <f>IF(OR($B313="",N$7=""),"",IF($B313="MEANS",INDEX('1-DATA'!$1:$1048576,$A312-1,COLUMN('1-DATA'!M311)),ROUND(INDEX('1-DATA'!$1:$1048576,IF(OR($B313="STD. DEVIATION",$C$1=1),$A313,$A313+1),COLUMN('1-DATA'!M311)),IF($B313="STD. DEVIATION",2,$F$1))))</f>
        <v/>
      </c>
      <c r="O313" s="1" t="str">
        <f>IF(OR($B313="",O$7=""),"",IF($B313="MEANS",INDEX('1-DATA'!$1:$1048576,$A312-1,COLUMN('1-DATA'!N311)),ROUND(INDEX('1-DATA'!$1:$1048576,IF(OR($B313="STD. DEVIATION",$C$1=1),$A313,$A313+1),COLUMN('1-DATA'!N311)),IF($B313="STD. DEVIATION",2,$F$1))))</f>
        <v/>
      </c>
      <c r="P313" s="1" t="str">
        <f>IF(OR($B313="",P$7=""),"",IF($B313="MEANS",INDEX('1-DATA'!$1:$1048576,$A312-1,COLUMN('1-DATA'!O311)),ROUND(INDEX('1-DATA'!$1:$1048576,IF(OR($B313="STD. DEVIATION",$C$1=1),$A313,$A313+1),COLUMN('1-DATA'!O311)),IF($B313="STD. DEVIATION",2,$F$1))))</f>
        <v/>
      </c>
      <c r="Q313" s="1" t="str">
        <f>IF(OR($B313="",Q$7=""),"",IF($B313="MEANS",INDEX('1-DATA'!$1:$1048576,$A312-1,COLUMN('1-DATA'!P311)),ROUND(INDEX('1-DATA'!$1:$1048576,IF(OR($B313="STD. DEVIATION",$C$1=1),$A313,$A313+1),COLUMN('1-DATA'!P311)),IF($B313="STD. DEVIATION",2,$F$1))))</f>
        <v/>
      </c>
      <c r="R313" s="1" t="str">
        <f>IF(OR($B313="",R$7=""),"",IF($B313="MEANS",INDEX('1-DATA'!$1:$1048576,$A312-1,COLUMN('1-DATA'!Q311)),ROUND(INDEX('1-DATA'!$1:$1048576,IF(OR($B313="STD. DEVIATION",$C$1=1),$A313,$A313+1),COLUMN('1-DATA'!Q311)),IF($B313="STD. DEVIATION",2,$F$1))))</f>
        <v/>
      </c>
      <c r="S313" s="1" t="str">
        <f>IF(OR($B313="",S$7=""),"",IF($B313="MEANS",INDEX('1-DATA'!$1:$1048576,$A312-1,COLUMN('1-DATA'!R311)),ROUND(INDEX('1-DATA'!$1:$1048576,IF(OR($B313="STD. DEVIATION",$C$1=1),$A313,$A313+1),COLUMN('1-DATA'!R311)),IF($B313="STD. DEVIATION",2,$F$1))))</f>
        <v/>
      </c>
      <c r="T313" s="1" t="str">
        <f>IF(OR($B313="",T$7=""),"",IF($B313="MEANS",INDEX('1-DATA'!$1:$1048576,$A312-1,COLUMN('1-DATA'!S311)),ROUND(INDEX('1-DATA'!$1:$1048576,IF(OR($B313="STD. DEVIATION",$C$1=1),$A313,$A313+1),COLUMN('1-DATA'!S311)),IF($B313="STD. DEVIATION",2,$F$1))))</f>
        <v/>
      </c>
      <c r="U313" s="1" t="str">
        <f>IF(OR($B313="",U$7=""),"",IF($B313="MEANS",INDEX('1-DATA'!$1:$1048576,$A312-1,COLUMN('1-DATA'!T311)),ROUND(INDEX('1-DATA'!$1:$1048576,IF(OR($B313="STD. DEVIATION",$C$1=1),$A313,$A313+1),COLUMN('1-DATA'!T311)),IF($B313="STD. DEVIATION",2,$F$1))))</f>
        <v/>
      </c>
      <c r="V313" s="1" t="str">
        <f>IF(OR($B313="",V$7=""),"",IF($B313="MEANS",INDEX('1-DATA'!$1:$1048576,$A312-1,COLUMN('1-DATA'!U311)),ROUND(INDEX('1-DATA'!$1:$1048576,IF(OR($B313="STD. DEVIATION",$C$1=1),$A313,$A313+1),COLUMN('1-DATA'!U311)),IF($B313="STD. DEVIATION",2,$F$1))))</f>
        <v/>
      </c>
      <c r="W313" s="1" t="str">
        <f>IF(OR($B313="",W$7=""),"",IF($B313="MEANS",INDEX('1-DATA'!$1:$1048576,$A312-1,COLUMN('1-DATA'!V311)),ROUND(INDEX('1-DATA'!$1:$1048576,IF(OR($B313="STD. DEVIATION",$C$1=1),$A313,$A313+1),COLUMN('1-DATA'!V311)),IF($B313="STD. DEVIATION",2,$F$1))))</f>
        <v/>
      </c>
      <c r="X313" s="1" t="str">
        <f>IF(OR($B313="",X$7=""),"",IF($B313="MEANS",INDEX('1-DATA'!$1:$1048576,$A312-1,COLUMN('1-DATA'!W311)),ROUND(INDEX('1-DATA'!$1:$1048576,IF(OR($B313="STD. DEVIATION",$C$1=1),$A313,$A313+1),COLUMN('1-DATA'!W311)),IF($B313="STD. DEVIATION",2,$F$1))))</f>
        <v/>
      </c>
      <c r="Y313" s="1" t="str">
        <f>IF(OR($B313="",Y$7=""),"",IF($B313="MEANS",INDEX('1-DATA'!$1:$1048576,$A312-1,COLUMN('1-DATA'!X311)),ROUND(INDEX('1-DATA'!$1:$1048576,IF(OR($B313="STD. DEVIATION",$C$1=1),$A313,$A313+1),COLUMN('1-DATA'!X311)),IF($B313="STD. DEVIATION",2,$F$1))))</f>
        <v/>
      </c>
      <c r="Z313" s="1" t="str">
        <f>IF(OR($B313="",Z$7=""),"",IF($B313="MEANS",INDEX('1-DATA'!$1:$1048576,$A312-1,COLUMN('1-DATA'!Y311)),ROUND(INDEX('1-DATA'!$1:$1048576,IF(OR($B313="STD. DEVIATION",$C$1=1),$A313,$A313+1),COLUMN('1-DATA'!Y311)),IF($B313="STD. DEVIATION",2,$F$1))))</f>
        <v/>
      </c>
      <c r="AA313" s="1" t="str">
        <f>IF(OR($B313="",AA$7=""),"",IF($B313="MEANS",INDEX('1-DATA'!$1:$1048576,$A312-1,COLUMN('1-DATA'!Z311)),ROUND(INDEX('1-DATA'!$1:$1048576,IF(OR($B313="STD. DEVIATION",$C$1=1),$A313,$A313+1),COLUMN('1-DATA'!Z311)),IF($B313="STD. DEVIATION",2,$F$1))))</f>
        <v/>
      </c>
      <c r="AB313" s="1" t="str">
        <f>IF(OR($B313="",AB$7=""),"",IF($B313="MEANS",INDEX('1-DATA'!$1:$1048576,$A312-1,COLUMN('1-DATA'!AA311)),ROUND(INDEX('1-DATA'!$1:$1048576,IF(OR($B313="STD. DEVIATION",$C$1=1),$A313,$A313+1),COLUMN('1-DATA'!AA311)),IF($B313="STD. DEVIATION",2,$F$1))))</f>
        <v/>
      </c>
      <c r="AC313" s="1" t="str">
        <f>IF(OR($B313="",AC$7=""),"",IF($B313="MEANS",INDEX('1-DATA'!$1:$1048576,$A312-1,COLUMN('1-DATA'!AB311)),ROUND(INDEX('1-DATA'!$1:$1048576,IF(OR($B313="STD. DEVIATION",$C$1=1),$A313,$A313+1),COLUMN('1-DATA'!AB311)),IF($B313="STD. DEVIATION",2,$F$1))))</f>
        <v/>
      </c>
      <c r="AD313" s="1" t="str">
        <f>IF(OR($B313="",AD$7=""),"",IF($B313="MEANS",INDEX('1-DATA'!$1:$1048576,$A312-1,COLUMN('1-DATA'!AC311)),ROUND(INDEX('1-DATA'!$1:$1048576,IF(OR($B313="STD. DEVIATION",$C$1=1),$A313,$A313+1),COLUMN('1-DATA'!AC311)),IF($B313="STD. DEVIATION",2,$F$1))))</f>
        <v/>
      </c>
      <c r="AE313" s="1" t="str">
        <f>IF(OR($B313="",AE$7=""),"",IF($B313="MEANS",INDEX('1-DATA'!$1:$1048576,$A312-1,COLUMN('1-DATA'!AD311)),ROUND(INDEX('1-DATA'!$1:$1048576,IF(OR($B313="STD. DEVIATION",$C$1=1),$A313,$A313+1),COLUMN('1-DATA'!AD311)),IF($B313="STD. DEVIATION",2,$F$1))))</f>
        <v/>
      </c>
      <c r="AF313" s="1" t="str">
        <f>IF(OR($B313="",AF$7=""),"",IF($B313="MEANS",INDEX('1-DATA'!$1:$1048576,$A312-1,COLUMN('1-DATA'!AE311)),ROUND(INDEX('1-DATA'!$1:$1048576,IF(OR($B313="STD. DEVIATION",$C$1=1),$A313,$A313+1),COLUMN('1-DATA'!AE311)),IF($B313="STD. DEVIATION",2,$F$1))))</f>
        <v/>
      </c>
      <c r="AG313" s="1" t="str">
        <f>IF(OR($B313="",AG$7=""),"",IF($B313="MEANS",INDEX('1-DATA'!$1:$1048576,$A312-1,COLUMN('1-DATA'!AF311)),ROUND(INDEX('1-DATA'!$1:$1048576,IF(OR($B313="STD. DEVIATION",$C$1=1),$A313,$A313+1),COLUMN('1-DATA'!AF311)),IF($B313="STD. DEVIATION",2,$F$1))))</f>
        <v/>
      </c>
      <c r="AH313" s="1" t="str">
        <f>IF(OR($B313="",AH$7=""),"",IF($B313="MEANS",INDEX('1-DATA'!$1:$1048576,$A312-1,COLUMN('1-DATA'!AG311)),ROUND(INDEX('1-DATA'!$1:$1048576,IF(OR($B313="STD. DEVIATION",$C$1=1),$A313,$A313+1),COLUMN('1-DATA'!AG311)),IF($B313="STD. DEVIATION",2,$F$1))))</f>
        <v/>
      </c>
      <c r="AI313" s="1" t="str">
        <f>IF(OR($B313="",AI$7=""),"",IF($B313="MEANS",INDEX('1-DATA'!$1:$1048576,$A312-1,COLUMN('1-DATA'!AH311)),ROUND(INDEX('1-DATA'!$1:$1048576,IF(OR($B313="STD. DEVIATION",$C$1=1),$A313,$A313+1),COLUMN('1-DATA'!AH311)),IF($B313="STD. DEVIATION",2,$F$1))))</f>
        <v/>
      </c>
      <c r="AJ313" s="1" t="str">
        <f>IF(OR($B313="",AJ$7=""),"",IF($B313="MEANS",INDEX('1-DATA'!$1:$1048576,$A312-1,COLUMN('1-DATA'!AI311)),ROUND(INDEX('1-DATA'!$1:$1048576,IF(OR($B313="STD. DEVIATION",$C$1=1),$A313,$A313+1),COLUMN('1-DATA'!AI311)),IF($B313="STD. DEVIATION",2,$F$1))))</f>
        <v/>
      </c>
      <c r="AK313" s="1" t="str">
        <f>IF(OR($B313="",AK$7=""),"",IF($B313="MEANS",INDEX('1-DATA'!$1:$1048576,$A312-1,COLUMN('1-DATA'!AJ311)),ROUND(INDEX('1-DATA'!$1:$1048576,IF(OR($B313="STD. DEVIATION",$C$1=1),$A313,$A313+1),COLUMN('1-DATA'!AJ311)),IF($B313="STD. DEVIATION",2,$F$1))))</f>
        <v/>
      </c>
      <c r="AL313" s="1" t="str">
        <f>IF(OR($B313="",AL$7=""),"",IF($B313="MEANS",INDEX('1-DATA'!$1:$1048576,$A312-1,COLUMN('1-DATA'!AK311)),ROUND(INDEX('1-DATA'!$1:$1048576,IF(OR($B313="STD. DEVIATION",$C$1=1),$A313,$A313+1),COLUMN('1-DATA'!AK311)),IF($B313="STD. DEVIATION",2,$F$1))))</f>
        <v/>
      </c>
      <c r="AM313" s="1" t="str">
        <f>IF(OR($B313="",AM$7=""),"",IF($B313="MEANS",INDEX('1-DATA'!$1:$1048576,$A312-1,COLUMN('1-DATA'!AL311)),ROUND(INDEX('1-DATA'!$1:$1048576,IF(OR($B313="STD. DEVIATION",$C$1=1),$A313,$A313+1),COLUMN('1-DATA'!AL311)),IF($B313="STD. DEVIATION",2,$F$1))))</f>
        <v/>
      </c>
      <c r="AN313" s="1" t="str">
        <f>IF(OR($B313="",AN$7=""),"",IF($B313="MEANS",INDEX('1-DATA'!$1:$1048576,$A312-1,COLUMN('1-DATA'!AM311)),ROUND(INDEX('1-DATA'!$1:$1048576,IF(OR($B313="STD. DEVIATION",$C$1=1),$A313,$A313+1),COLUMN('1-DATA'!AM311)),IF($B313="STD. DEVIATION",2,$F$1))))</f>
        <v/>
      </c>
      <c r="AO313" s="1" t="str">
        <f>IF(OR($B313="",AO$7=""),"",IF($B313="MEANS",INDEX('1-DATA'!$1:$1048576,$A312-1,COLUMN('1-DATA'!AN311)),ROUND(INDEX('1-DATA'!$1:$1048576,IF(OR($B313="STD. DEVIATION",$C$1=1),$A313,$A313+1),COLUMN('1-DATA'!AN311)),IF($B313="STD. DEVIATION",2,$F$1))))</f>
        <v/>
      </c>
      <c r="AP313" s="1" t="str">
        <f>IF(OR($B313="",AP$7=""),"",IF($B313="MEANS",INDEX('1-DATA'!$1:$1048576,$A312-1,COLUMN('1-DATA'!AO311)),ROUND(INDEX('1-DATA'!$1:$1048576,IF(OR($B313="STD. DEVIATION",$C$1=1),$A313,$A313+1),COLUMN('1-DATA'!AO311)),IF($B313="STD. DEVIATION",2,$F$1))))</f>
        <v/>
      </c>
      <c r="AQ313" s="1" t="str">
        <f>IF(OR($B313="",AQ$7=""),"",IF($B313="MEANS",INDEX('1-DATA'!$1:$1048576,$A312-1,COLUMN('1-DATA'!AP311)),ROUND(INDEX('1-DATA'!$1:$1048576,IF(OR($B313="STD. DEVIATION",$C$1=1),$A313,$A313+1),COLUMN('1-DATA'!AP311)),IF($B313="STD. DEVIATION",2,$F$1))))</f>
        <v/>
      </c>
      <c r="AR313" s="1" t="str">
        <f>IF(OR($B313="",AR$7=""),"",IF($B313="MEANS",INDEX('1-DATA'!$1:$1048576,$A312-1,COLUMN('1-DATA'!AQ311)),ROUND(INDEX('1-DATA'!$1:$1048576,IF(OR($B313="STD. DEVIATION",$C$1=1),$A313,$A313+1),COLUMN('1-DATA'!AQ311)),IF($B313="STD. DEVIATION",2,$F$1))))</f>
        <v/>
      </c>
      <c r="AS313" s="1" t="str">
        <f>IF(OR($B313="",AS$7=""),"",IF($B313="MEANS",INDEX('1-DATA'!$1:$1048576,$A312-1,COLUMN('1-DATA'!AR311)),ROUND(INDEX('1-DATA'!$1:$1048576,IF(OR($B313="STD. DEVIATION",$C$1=1),$A313,$A313+1),COLUMN('1-DATA'!AR311)),IF($B313="STD. DEVIATION",2,$F$1))))</f>
        <v/>
      </c>
      <c r="AT313" s="1" t="str">
        <f>IF(OR($B313="",AT$7=""),"",IF($B313="MEANS",INDEX('1-DATA'!$1:$1048576,$A312-1,COLUMN('1-DATA'!AS311)),ROUND(INDEX('1-DATA'!$1:$1048576,IF(OR($B313="STD. DEVIATION",$C$1=1),$A313,$A313+1),COLUMN('1-DATA'!AS311)),IF($B313="STD. DEVIATION",2,$F$1))))</f>
        <v/>
      </c>
      <c r="AU313" s="1" t="str">
        <f>IF(OR($B313="",AU$7=""),"",IF($B313="MEANS",INDEX('1-DATA'!$1:$1048576,$A312-1,COLUMN('1-DATA'!AT311)),ROUND(INDEX('1-DATA'!$1:$1048576,IF(OR($B313="STD. DEVIATION",$C$1=1),$A313,$A313+1),COLUMN('1-DATA'!AT311)),IF($B313="STD. DEVIATION",2,$F$1))))</f>
        <v/>
      </c>
      <c r="AV313" s="1" t="str">
        <f>IF(OR($B313="",AV$7=""),"",IF($B313="MEANS",INDEX('1-DATA'!$1:$1048576,$A312-1,COLUMN('1-DATA'!AU311)),ROUND(INDEX('1-DATA'!$1:$1048576,IF(OR($B313="STD. DEVIATION",$C$1=1),$A313,$A313+1),COLUMN('1-DATA'!AU311)),IF($B313="STD. DEVIATION",2,$F$1))))</f>
        <v/>
      </c>
      <c r="AW313" s="1" t="str">
        <f>IF(OR($B313="",AW$7=""),"",IF($B313="MEANS",INDEX('1-DATA'!$1:$1048576,$A312-1,COLUMN('1-DATA'!AV311)),ROUND(INDEX('1-DATA'!$1:$1048576,IF(OR($B313="STD. DEVIATION",$C$1=1),$A313,$A313+1),COLUMN('1-DATA'!AV311)),IF($B313="STD. DEVIATION",2,$F$1))))</f>
        <v/>
      </c>
      <c r="AX313" s="1" t="str">
        <f>IF(OR($B313="",AX$7=""),"",IF($B313="MEANS",INDEX('1-DATA'!$1:$1048576,$A312-1,COLUMN('1-DATA'!AW311)),ROUND(INDEX('1-DATA'!$1:$1048576,IF(OR($B313="STD. DEVIATION",$C$1=1),$A313,$A313+1),COLUMN('1-DATA'!AW311)),IF($B313="STD. DEVIATION",2,$F$1))))</f>
        <v/>
      </c>
      <c r="AY313" s="1" t="str">
        <f>IF(OR($B313="",AY$7=""),"",IF($B313="MEANS",INDEX('1-DATA'!$1:$1048576,$A312-1,COLUMN('1-DATA'!AX311)),ROUND(INDEX('1-DATA'!$1:$1048576,IF(OR($B313="STD. DEVIATION",$C$1=1),$A313,$A313+1),COLUMN('1-DATA'!AX311)),IF($B313="STD. DEVIATION",2,$F$1))))</f>
        <v/>
      </c>
      <c r="AZ313" s="1" t="str">
        <f>IF(OR($B313="",AZ$7=""),"",IF($B313="MEANS",INDEX('1-DATA'!$1:$1048576,$A312-1,COLUMN('1-DATA'!AY311)),ROUND(INDEX('1-DATA'!$1:$1048576,IF(OR($B313="STD. DEVIATION",$C$1=1),$A313,$A313+1),COLUMN('1-DATA'!AY311)),IF($B313="STD. DEVIATION",2,$F$1))))</f>
        <v/>
      </c>
    </row>
    <row r="314" spans="1:52" x14ac:dyDescent="0.25">
      <c r="A314" s="11">
        <f t="shared" si="5"/>
        <v>928</v>
      </c>
      <c r="B314" s="1" t="str">
        <f>IF(B313="STD. DEVIATION",INDEX('1-DATA'!$1:$1048576,$A313-1,1),IF(INDEX('1-DATA'!$1:$1048576,$A314,1)&lt;&gt;"",INDEX('1-DATA'!$1:$1048576,$A314,1),""))</f>
        <v/>
      </c>
      <c r="C314" s="1" t="str">
        <f>IF(OR($B314="",C$7=""),"",IF($B314="MEANS",INDEX('1-DATA'!$1:$1048576,$A313-1,COLUMN('1-DATA'!B312)),ROUND(INDEX('1-DATA'!$1:$1048576,IF(OR($B314="STD. DEVIATION",$C$1=1),$A314,$A314+1),COLUMN('1-DATA'!B312)),IF($B314="STD. DEVIATION",2,$F$1))))</f>
        <v/>
      </c>
      <c r="D314" s="1" t="str">
        <f>IF(OR($B314="",D$7=""),"",IF($B314="MEANS",INDEX('1-DATA'!$1:$1048576,$A313-1,COLUMN('1-DATA'!C312)),ROUND(INDEX('1-DATA'!$1:$1048576,IF(OR($B314="STD. DEVIATION",$C$1=1),$A314,$A314+1),COLUMN('1-DATA'!C312)),IF($B314="STD. DEVIATION",2,$F$1))))</f>
        <v/>
      </c>
      <c r="E314" s="1" t="str">
        <f>IF(OR($B314="",E$7=""),"",IF($B314="MEANS",INDEX('1-DATA'!$1:$1048576,$A313-1,COLUMN('1-DATA'!D312)),ROUND(INDEX('1-DATA'!$1:$1048576,IF(OR($B314="STD. DEVIATION",$C$1=1),$A314,$A314+1),COLUMN('1-DATA'!D312)),IF($B314="STD. DEVIATION",2,$F$1))))</f>
        <v/>
      </c>
      <c r="F314" s="1" t="str">
        <f>IF(OR($B314="",F$7=""),"",IF($B314="MEANS",INDEX('1-DATA'!$1:$1048576,$A313-1,COLUMN('1-DATA'!E312)),ROUND(INDEX('1-DATA'!$1:$1048576,IF(OR($B314="STD. DEVIATION",$C$1=1),$A314,$A314+1),COLUMN('1-DATA'!E312)),IF($B314="STD. DEVIATION",2,$F$1))))</f>
        <v/>
      </c>
      <c r="G314" s="1" t="str">
        <f>IF(OR($B314="",G$7=""),"",IF($B314="MEANS",INDEX('1-DATA'!$1:$1048576,$A313-1,COLUMN('1-DATA'!F312)),ROUND(INDEX('1-DATA'!$1:$1048576,IF(OR($B314="STD. DEVIATION",$C$1=1),$A314,$A314+1),COLUMN('1-DATA'!F312)),IF($B314="STD. DEVIATION",2,$F$1))))</f>
        <v/>
      </c>
      <c r="H314" s="1" t="str">
        <f>IF(OR($B314="",H$7=""),"",IF($B314="MEANS",INDEX('1-DATA'!$1:$1048576,$A313-1,COLUMN('1-DATA'!G312)),ROUND(INDEX('1-DATA'!$1:$1048576,IF(OR($B314="STD. DEVIATION",$C$1=1),$A314,$A314+1),COLUMN('1-DATA'!G312)),IF($B314="STD. DEVIATION",2,$F$1))))</f>
        <v/>
      </c>
      <c r="I314" s="1" t="str">
        <f>IF(OR($B314="",I$7=""),"",IF($B314="MEANS",INDEX('1-DATA'!$1:$1048576,$A313-1,COLUMN('1-DATA'!H312)),ROUND(INDEX('1-DATA'!$1:$1048576,IF(OR($B314="STD. DEVIATION",$C$1=1),$A314,$A314+1),COLUMN('1-DATA'!H312)),IF($B314="STD. DEVIATION",2,$F$1))))</f>
        <v/>
      </c>
      <c r="J314" s="1" t="str">
        <f>IF(OR($B314="",J$7=""),"",IF($B314="MEANS",INDEX('1-DATA'!$1:$1048576,$A313-1,COLUMN('1-DATA'!I312)),ROUND(INDEX('1-DATA'!$1:$1048576,IF(OR($B314="STD. DEVIATION",$C$1=1),$A314,$A314+1),COLUMN('1-DATA'!I312)),IF($B314="STD. DEVIATION",2,$F$1))))</f>
        <v/>
      </c>
      <c r="K314" s="1" t="str">
        <f>IF(OR($B314="",K$7=""),"",IF($B314="MEANS",INDEX('1-DATA'!$1:$1048576,$A313-1,COLUMN('1-DATA'!J312)),ROUND(INDEX('1-DATA'!$1:$1048576,IF(OR($B314="STD. DEVIATION",$C$1=1),$A314,$A314+1),COLUMN('1-DATA'!J312)),IF($B314="STD. DEVIATION",2,$F$1))))</f>
        <v/>
      </c>
      <c r="L314" s="1" t="str">
        <f>IF(OR($B314="",L$7=""),"",IF($B314="MEANS",INDEX('1-DATA'!$1:$1048576,$A313-1,COLUMN('1-DATA'!K312)),ROUND(INDEX('1-DATA'!$1:$1048576,IF(OR($B314="STD. DEVIATION",$C$1=1),$A314,$A314+1),COLUMN('1-DATA'!K312)),IF($B314="STD. DEVIATION",2,$F$1))))</f>
        <v/>
      </c>
      <c r="M314" s="1" t="str">
        <f>IF(OR($B314="",M$7=""),"",IF($B314="MEANS",INDEX('1-DATA'!$1:$1048576,$A313-1,COLUMN('1-DATA'!L312)),ROUND(INDEX('1-DATA'!$1:$1048576,IF(OR($B314="STD. DEVIATION",$C$1=1),$A314,$A314+1),COLUMN('1-DATA'!L312)),IF($B314="STD. DEVIATION",2,$F$1))))</f>
        <v/>
      </c>
      <c r="N314" s="1" t="str">
        <f>IF(OR($B314="",N$7=""),"",IF($B314="MEANS",INDEX('1-DATA'!$1:$1048576,$A313-1,COLUMN('1-DATA'!M312)),ROUND(INDEX('1-DATA'!$1:$1048576,IF(OR($B314="STD. DEVIATION",$C$1=1),$A314,$A314+1),COLUMN('1-DATA'!M312)),IF($B314="STD. DEVIATION",2,$F$1))))</f>
        <v/>
      </c>
      <c r="O314" s="1" t="str">
        <f>IF(OR($B314="",O$7=""),"",IF($B314="MEANS",INDEX('1-DATA'!$1:$1048576,$A313-1,COLUMN('1-DATA'!N312)),ROUND(INDEX('1-DATA'!$1:$1048576,IF(OR($B314="STD. DEVIATION",$C$1=1),$A314,$A314+1),COLUMN('1-DATA'!N312)),IF($B314="STD. DEVIATION",2,$F$1))))</f>
        <v/>
      </c>
      <c r="P314" s="1" t="str">
        <f>IF(OR($B314="",P$7=""),"",IF($B314="MEANS",INDEX('1-DATA'!$1:$1048576,$A313-1,COLUMN('1-DATA'!O312)),ROUND(INDEX('1-DATA'!$1:$1048576,IF(OR($B314="STD. DEVIATION",$C$1=1),$A314,$A314+1),COLUMN('1-DATA'!O312)),IF($B314="STD. DEVIATION",2,$F$1))))</f>
        <v/>
      </c>
      <c r="Q314" s="1" t="str">
        <f>IF(OR($B314="",Q$7=""),"",IF($B314="MEANS",INDEX('1-DATA'!$1:$1048576,$A313-1,COLUMN('1-DATA'!P312)),ROUND(INDEX('1-DATA'!$1:$1048576,IF(OR($B314="STD. DEVIATION",$C$1=1),$A314,$A314+1),COLUMN('1-DATA'!P312)),IF($B314="STD. DEVIATION",2,$F$1))))</f>
        <v/>
      </c>
      <c r="R314" s="1" t="str">
        <f>IF(OR($B314="",R$7=""),"",IF($B314="MEANS",INDEX('1-DATA'!$1:$1048576,$A313-1,COLUMN('1-DATA'!Q312)),ROUND(INDEX('1-DATA'!$1:$1048576,IF(OR($B314="STD. DEVIATION",$C$1=1),$A314,$A314+1),COLUMN('1-DATA'!Q312)),IF($B314="STD. DEVIATION",2,$F$1))))</f>
        <v/>
      </c>
      <c r="S314" s="1" t="str">
        <f>IF(OR($B314="",S$7=""),"",IF($B314="MEANS",INDEX('1-DATA'!$1:$1048576,$A313-1,COLUMN('1-DATA'!R312)),ROUND(INDEX('1-DATA'!$1:$1048576,IF(OR($B314="STD. DEVIATION",$C$1=1),$A314,$A314+1),COLUMN('1-DATA'!R312)),IF($B314="STD. DEVIATION",2,$F$1))))</f>
        <v/>
      </c>
      <c r="T314" s="1" t="str">
        <f>IF(OR($B314="",T$7=""),"",IF($B314="MEANS",INDEX('1-DATA'!$1:$1048576,$A313-1,COLUMN('1-DATA'!S312)),ROUND(INDEX('1-DATA'!$1:$1048576,IF(OR($B314="STD. DEVIATION",$C$1=1),$A314,$A314+1),COLUMN('1-DATA'!S312)),IF($B314="STD. DEVIATION",2,$F$1))))</f>
        <v/>
      </c>
      <c r="U314" s="1" t="str">
        <f>IF(OR($B314="",U$7=""),"",IF($B314="MEANS",INDEX('1-DATA'!$1:$1048576,$A313-1,COLUMN('1-DATA'!T312)),ROUND(INDEX('1-DATA'!$1:$1048576,IF(OR($B314="STD. DEVIATION",$C$1=1),$A314,$A314+1),COLUMN('1-DATA'!T312)),IF($B314="STD. DEVIATION",2,$F$1))))</f>
        <v/>
      </c>
      <c r="V314" s="1" t="str">
        <f>IF(OR($B314="",V$7=""),"",IF($B314="MEANS",INDEX('1-DATA'!$1:$1048576,$A313-1,COLUMN('1-DATA'!U312)),ROUND(INDEX('1-DATA'!$1:$1048576,IF(OR($B314="STD. DEVIATION",$C$1=1),$A314,$A314+1),COLUMN('1-DATA'!U312)),IF($B314="STD. DEVIATION",2,$F$1))))</f>
        <v/>
      </c>
      <c r="W314" s="1" t="str">
        <f>IF(OR($B314="",W$7=""),"",IF($B314="MEANS",INDEX('1-DATA'!$1:$1048576,$A313-1,COLUMN('1-DATA'!V312)),ROUND(INDEX('1-DATA'!$1:$1048576,IF(OR($B314="STD. DEVIATION",$C$1=1),$A314,$A314+1),COLUMN('1-DATA'!V312)),IF($B314="STD. DEVIATION",2,$F$1))))</f>
        <v/>
      </c>
      <c r="X314" s="1" t="str">
        <f>IF(OR($B314="",X$7=""),"",IF($B314="MEANS",INDEX('1-DATA'!$1:$1048576,$A313-1,COLUMN('1-DATA'!W312)),ROUND(INDEX('1-DATA'!$1:$1048576,IF(OR($B314="STD. DEVIATION",$C$1=1),$A314,$A314+1),COLUMN('1-DATA'!W312)),IF($B314="STD. DEVIATION",2,$F$1))))</f>
        <v/>
      </c>
      <c r="Y314" s="1" t="str">
        <f>IF(OR($B314="",Y$7=""),"",IF($B314="MEANS",INDEX('1-DATA'!$1:$1048576,$A313-1,COLUMN('1-DATA'!X312)),ROUND(INDEX('1-DATA'!$1:$1048576,IF(OR($B314="STD. DEVIATION",$C$1=1),$A314,$A314+1),COLUMN('1-DATA'!X312)),IF($B314="STD. DEVIATION",2,$F$1))))</f>
        <v/>
      </c>
      <c r="Z314" s="1" t="str">
        <f>IF(OR($B314="",Z$7=""),"",IF($B314="MEANS",INDEX('1-DATA'!$1:$1048576,$A313-1,COLUMN('1-DATA'!Y312)),ROUND(INDEX('1-DATA'!$1:$1048576,IF(OR($B314="STD. DEVIATION",$C$1=1),$A314,$A314+1),COLUMN('1-DATA'!Y312)),IF($B314="STD. DEVIATION",2,$F$1))))</f>
        <v/>
      </c>
      <c r="AA314" s="1" t="str">
        <f>IF(OR($B314="",AA$7=""),"",IF($B314="MEANS",INDEX('1-DATA'!$1:$1048576,$A313-1,COLUMN('1-DATA'!Z312)),ROUND(INDEX('1-DATA'!$1:$1048576,IF(OR($B314="STD. DEVIATION",$C$1=1),$A314,$A314+1),COLUMN('1-DATA'!Z312)),IF($B314="STD. DEVIATION",2,$F$1))))</f>
        <v/>
      </c>
      <c r="AB314" s="1" t="str">
        <f>IF(OR($B314="",AB$7=""),"",IF($B314="MEANS",INDEX('1-DATA'!$1:$1048576,$A313-1,COLUMN('1-DATA'!AA312)),ROUND(INDEX('1-DATA'!$1:$1048576,IF(OR($B314="STD. DEVIATION",$C$1=1),$A314,$A314+1),COLUMN('1-DATA'!AA312)),IF($B314="STD. DEVIATION",2,$F$1))))</f>
        <v/>
      </c>
      <c r="AC314" s="1" t="str">
        <f>IF(OR($B314="",AC$7=""),"",IF($B314="MEANS",INDEX('1-DATA'!$1:$1048576,$A313-1,COLUMN('1-DATA'!AB312)),ROUND(INDEX('1-DATA'!$1:$1048576,IF(OR($B314="STD. DEVIATION",$C$1=1),$A314,$A314+1),COLUMN('1-DATA'!AB312)),IF($B314="STD. DEVIATION",2,$F$1))))</f>
        <v/>
      </c>
      <c r="AD314" s="1" t="str">
        <f>IF(OR($B314="",AD$7=""),"",IF($B314="MEANS",INDEX('1-DATA'!$1:$1048576,$A313-1,COLUMN('1-DATA'!AC312)),ROUND(INDEX('1-DATA'!$1:$1048576,IF(OR($B314="STD. DEVIATION",$C$1=1),$A314,$A314+1),COLUMN('1-DATA'!AC312)),IF($B314="STD. DEVIATION",2,$F$1))))</f>
        <v/>
      </c>
      <c r="AE314" s="1" t="str">
        <f>IF(OR($B314="",AE$7=""),"",IF($B314="MEANS",INDEX('1-DATA'!$1:$1048576,$A313-1,COLUMN('1-DATA'!AD312)),ROUND(INDEX('1-DATA'!$1:$1048576,IF(OR($B314="STD. DEVIATION",$C$1=1),$A314,$A314+1),COLUMN('1-DATA'!AD312)),IF($B314="STD. DEVIATION",2,$F$1))))</f>
        <v/>
      </c>
      <c r="AF314" s="1" t="str">
        <f>IF(OR($B314="",AF$7=""),"",IF($B314="MEANS",INDEX('1-DATA'!$1:$1048576,$A313-1,COLUMN('1-DATA'!AE312)),ROUND(INDEX('1-DATA'!$1:$1048576,IF(OR($B314="STD. DEVIATION",$C$1=1),$A314,$A314+1),COLUMN('1-DATA'!AE312)),IF($B314="STD. DEVIATION",2,$F$1))))</f>
        <v/>
      </c>
      <c r="AG314" s="1" t="str">
        <f>IF(OR($B314="",AG$7=""),"",IF($B314="MEANS",INDEX('1-DATA'!$1:$1048576,$A313-1,COLUMN('1-DATA'!AF312)),ROUND(INDEX('1-DATA'!$1:$1048576,IF(OR($B314="STD. DEVIATION",$C$1=1),$A314,$A314+1),COLUMN('1-DATA'!AF312)),IF($B314="STD. DEVIATION",2,$F$1))))</f>
        <v/>
      </c>
      <c r="AH314" s="1" t="str">
        <f>IF(OR($B314="",AH$7=""),"",IF($B314="MEANS",INDEX('1-DATA'!$1:$1048576,$A313-1,COLUMN('1-DATA'!AG312)),ROUND(INDEX('1-DATA'!$1:$1048576,IF(OR($B314="STD. DEVIATION",$C$1=1),$A314,$A314+1),COLUMN('1-DATA'!AG312)),IF($B314="STD. DEVIATION",2,$F$1))))</f>
        <v/>
      </c>
      <c r="AI314" s="1" t="str">
        <f>IF(OR($B314="",AI$7=""),"",IF($B314="MEANS",INDEX('1-DATA'!$1:$1048576,$A313-1,COLUMN('1-DATA'!AH312)),ROUND(INDEX('1-DATA'!$1:$1048576,IF(OR($B314="STD. DEVIATION",$C$1=1),$A314,$A314+1),COLUMN('1-DATA'!AH312)),IF($B314="STD. DEVIATION",2,$F$1))))</f>
        <v/>
      </c>
      <c r="AJ314" s="1" t="str">
        <f>IF(OR($B314="",AJ$7=""),"",IF($B314="MEANS",INDEX('1-DATA'!$1:$1048576,$A313-1,COLUMN('1-DATA'!AI312)),ROUND(INDEX('1-DATA'!$1:$1048576,IF(OR($B314="STD. DEVIATION",$C$1=1),$A314,$A314+1),COLUMN('1-DATA'!AI312)),IF($B314="STD. DEVIATION",2,$F$1))))</f>
        <v/>
      </c>
      <c r="AK314" s="1" t="str">
        <f>IF(OR($B314="",AK$7=""),"",IF($B314="MEANS",INDEX('1-DATA'!$1:$1048576,$A313-1,COLUMN('1-DATA'!AJ312)),ROUND(INDEX('1-DATA'!$1:$1048576,IF(OR($B314="STD. DEVIATION",$C$1=1),$A314,$A314+1),COLUMN('1-DATA'!AJ312)),IF($B314="STD. DEVIATION",2,$F$1))))</f>
        <v/>
      </c>
      <c r="AL314" s="1" t="str">
        <f>IF(OR($B314="",AL$7=""),"",IF($B314="MEANS",INDEX('1-DATA'!$1:$1048576,$A313-1,COLUMN('1-DATA'!AK312)),ROUND(INDEX('1-DATA'!$1:$1048576,IF(OR($B314="STD. DEVIATION",$C$1=1),$A314,$A314+1),COLUMN('1-DATA'!AK312)),IF($B314="STD. DEVIATION",2,$F$1))))</f>
        <v/>
      </c>
      <c r="AM314" s="1" t="str">
        <f>IF(OR($B314="",AM$7=""),"",IF($B314="MEANS",INDEX('1-DATA'!$1:$1048576,$A313-1,COLUMN('1-DATA'!AL312)),ROUND(INDEX('1-DATA'!$1:$1048576,IF(OR($B314="STD. DEVIATION",$C$1=1),$A314,$A314+1),COLUMN('1-DATA'!AL312)),IF($B314="STD. DEVIATION",2,$F$1))))</f>
        <v/>
      </c>
      <c r="AN314" s="1" t="str">
        <f>IF(OR($B314="",AN$7=""),"",IF($B314="MEANS",INDEX('1-DATA'!$1:$1048576,$A313-1,COLUMN('1-DATA'!AM312)),ROUND(INDEX('1-DATA'!$1:$1048576,IF(OR($B314="STD. DEVIATION",$C$1=1),$A314,$A314+1),COLUMN('1-DATA'!AM312)),IF($B314="STD. DEVIATION",2,$F$1))))</f>
        <v/>
      </c>
      <c r="AO314" s="1" t="str">
        <f>IF(OR($B314="",AO$7=""),"",IF($B314="MEANS",INDEX('1-DATA'!$1:$1048576,$A313-1,COLUMN('1-DATA'!AN312)),ROUND(INDEX('1-DATA'!$1:$1048576,IF(OR($B314="STD. DEVIATION",$C$1=1),$A314,$A314+1),COLUMN('1-DATA'!AN312)),IF($B314="STD. DEVIATION",2,$F$1))))</f>
        <v/>
      </c>
      <c r="AP314" s="1" t="str">
        <f>IF(OR($B314="",AP$7=""),"",IF($B314="MEANS",INDEX('1-DATA'!$1:$1048576,$A313-1,COLUMN('1-DATA'!AO312)),ROUND(INDEX('1-DATA'!$1:$1048576,IF(OR($B314="STD. DEVIATION",$C$1=1),$A314,$A314+1),COLUMN('1-DATA'!AO312)),IF($B314="STD. DEVIATION",2,$F$1))))</f>
        <v/>
      </c>
      <c r="AQ314" s="1" t="str">
        <f>IF(OR($B314="",AQ$7=""),"",IF($B314="MEANS",INDEX('1-DATA'!$1:$1048576,$A313-1,COLUMN('1-DATA'!AP312)),ROUND(INDEX('1-DATA'!$1:$1048576,IF(OR($B314="STD. DEVIATION",$C$1=1),$A314,$A314+1),COLUMN('1-DATA'!AP312)),IF($B314="STD. DEVIATION",2,$F$1))))</f>
        <v/>
      </c>
      <c r="AR314" s="1" t="str">
        <f>IF(OR($B314="",AR$7=""),"",IF($B314="MEANS",INDEX('1-DATA'!$1:$1048576,$A313-1,COLUMN('1-DATA'!AQ312)),ROUND(INDEX('1-DATA'!$1:$1048576,IF(OR($B314="STD. DEVIATION",$C$1=1),$A314,$A314+1),COLUMN('1-DATA'!AQ312)),IF($B314="STD. DEVIATION",2,$F$1))))</f>
        <v/>
      </c>
      <c r="AS314" s="1" t="str">
        <f>IF(OR($B314="",AS$7=""),"",IF($B314="MEANS",INDEX('1-DATA'!$1:$1048576,$A313-1,COLUMN('1-DATA'!AR312)),ROUND(INDEX('1-DATA'!$1:$1048576,IF(OR($B314="STD. DEVIATION",$C$1=1),$A314,$A314+1),COLUMN('1-DATA'!AR312)),IF($B314="STD. DEVIATION",2,$F$1))))</f>
        <v/>
      </c>
      <c r="AT314" s="1" t="str">
        <f>IF(OR($B314="",AT$7=""),"",IF($B314="MEANS",INDEX('1-DATA'!$1:$1048576,$A313-1,COLUMN('1-DATA'!AS312)),ROUND(INDEX('1-DATA'!$1:$1048576,IF(OR($B314="STD. DEVIATION",$C$1=1),$A314,$A314+1),COLUMN('1-DATA'!AS312)),IF($B314="STD. DEVIATION",2,$F$1))))</f>
        <v/>
      </c>
      <c r="AU314" s="1" t="str">
        <f>IF(OR($B314="",AU$7=""),"",IF($B314="MEANS",INDEX('1-DATA'!$1:$1048576,$A313-1,COLUMN('1-DATA'!AT312)),ROUND(INDEX('1-DATA'!$1:$1048576,IF(OR($B314="STD. DEVIATION",$C$1=1),$A314,$A314+1),COLUMN('1-DATA'!AT312)),IF($B314="STD. DEVIATION",2,$F$1))))</f>
        <v/>
      </c>
      <c r="AV314" s="1" t="str">
        <f>IF(OR($B314="",AV$7=""),"",IF($B314="MEANS",INDEX('1-DATA'!$1:$1048576,$A313-1,COLUMN('1-DATA'!AU312)),ROUND(INDEX('1-DATA'!$1:$1048576,IF(OR($B314="STD. DEVIATION",$C$1=1),$A314,$A314+1),COLUMN('1-DATA'!AU312)),IF($B314="STD. DEVIATION",2,$F$1))))</f>
        <v/>
      </c>
      <c r="AW314" s="1" t="str">
        <f>IF(OR($B314="",AW$7=""),"",IF($B314="MEANS",INDEX('1-DATA'!$1:$1048576,$A313-1,COLUMN('1-DATA'!AV312)),ROUND(INDEX('1-DATA'!$1:$1048576,IF(OR($B314="STD. DEVIATION",$C$1=1),$A314,$A314+1),COLUMN('1-DATA'!AV312)),IF($B314="STD. DEVIATION",2,$F$1))))</f>
        <v/>
      </c>
      <c r="AX314" s="1" t="str">
        <f>IF(OR($B314="",AX$7=""),"",IF($B314="MEANS",INDEX('1-DATA'!$1:$1048576,$A313-1,COLUMN('1-DATA'!AW312)),ROUND(INDEX('1-DATA'!$1:$1048576,IF(OR($B314="STD. DEVIATION",$C$1=1),$A314,$A314+1),COLUMN('1-DATA'!AW312)),IF($B314="STD. DEVIATION",2,$F$1))))</f>
        <v/>
      </c>
      <c r="AY314" s="1" t="str">
        <f>IF(OR($B314="",AY$7=""),"",IF($B314="MEANS",INDEX('1-DATA'!$1:$1048576,$A313-1,COLUMN('1-DATA'!AX312)),ROUND(INDEX('1-DATA'!$1:$1048576,IF(OR($B314="STD. DEVIATION",$C$1=1),$A314,$A314+1),COLUMN('1-DATA'!AX312)),IF($B314="STD. DEVIATION",2,$F$1))))</f>
        <v/>
      </c>
      <c r="AZ314" s="1" t="str">
        <f>IF(OR($B314="",AZ$7=""),"",IF($B314="MEANS",INDEX('1-DATA'!$1:$1048576,$A313-1,COLUMN('1-DATA'!AY312)),ROUND(INDEX('1-DATA'!$1:$1048576,IF(OR($B314="STD. DEVIATION",$C$1=1),$A314,$A314+1),COLUMN('1-DATA'!AY312)),IF($B314="STD. DEVIATION",2,$F$1))))</f>
        <v/>
      </c>
    </row>
    <row r="315" spans="1:52" x14ac:dyDescent="0.25">
      <c r="A315" s="11">
        <f t="shared" si="5"/>
        <v>931</v>
      </c>
      <c r="B315" s="1" t="str">
        <f>IF(B314="STD. DEVIATION",INDEX('1-DATA'!$1:$1048576,$A314-1,1),IF(INDEX('1-DATA'!$1:$1048576,$A315,1)&lt;&gt;"",INDEX('1-DATA'!$1:$1048576,$A315,1),""))</f>
        <v/>
      </c>
      <c r="C315" s="1" t="str">
        <f>IF(OR($B315="",C$7=""),"",IF($B315="MEANS",INDEX('1-DATA'!$1:$1048576,$A314-1,COLUMN('1-DATA'!B313)),ROUND(INDEX('1-DATA'!$1:$1048576,IF(OR($B315="STD. DEVIATION",$C$1=1),$A315,$A315+1),COLUMN('1-DATA'!B313)),IF($B315="STD. DEVIATION",2,$F$1))))</f>
        <v/>
      </c>
      <c r="D315" s="1" t="str">
        <f>IF(OR($B315="",D$7=""),"",IF($B315="MEANS",INDEX('1-DATA'!$1:$1048576,$A314-1,COLUMN('1-DATA'!C313)),ROUND(INDEX('1-DATA'!$1:$1048576,IF(OR($B315="STD. DEVIATION",$C$1=1),$A315,$A315+1),COLUMN('1-DATA'!C313)),IF($B315="STD. DEVIATION",2,$F$1))))</f>
        <v/>
      </c>
      <c r="E315" s="1" t="str">
        <f>IF(OR($B315="",E$7=""),"",IF($B315="MEANS",INDEX('1-DATA'!$1:$1048576,$A314-1,COLUMN('1-DATA'!D313)),ROUND(INDEX('1-DATA'!$1:$1048576,IF(OR($B315="STD. DEVIATION",$C$1=1),$A315,$A315+1),COLUMN('1-DATA'!D313)),IF($B315="STD. DEVIATION",2,$F$1))))</f>
        <v/>
      </c>
      <c r="F315" s="1" t="str">
        <f>IF(OR($B315="",F$7=""),"",IF($B315="MEANS",INDEX('1-DATA'!$1:$1048576,$A314-1,COLUMN('1-DATA'!E313)),ROUND(INDEX('1-DATA'!$1:$1048576,IF(OR($B315="STD. DEVIATION",$C$1=1),$A315,$A315+1),COLUMN('1-DATA'!E313)),IF($B315="STD. DEVIATION",2,$F$1))))</f>
        <v/>
      </c>
      <c r="G315" s="1" t="str">
        <f>IF(OR($B315="",G$7=""),"",IF($B315="MEANS",INDEX('1-DATA'!$1:$1048576,$A314-1,COLUMN('1-DATA'!F313)),ROUND(INDEX('1-DATA'!$1:$1048576,IF(OR($B315="STD. DEVIATION",$C$1=1),$A315,$A315+1),COLUMN('1-DATA'!F313)),IF($B315="STD. DEVIATION",2,$F$1))))</f>
        <v/>
      </c>
      <c r="H315" s="1" t="str">
        <f>IF(OR($B315="",H$7=""),"",IF($B315="MEANS",INDEX('1-DATA'!$1:$1048576,$A314-1,COLUMN('1-DATA'!G313)),ROUND(INDEX('1-DATA'!$1:$1048576,IF(OR($B315="STD. DEVIATION",$C$1=1),$A315,$A315+1),COLUMN('1-DATA'!G313)),IF($B315="STD. DEVIATION",2,$F$1))))</f>
        <v/>
      </c>
      <c r="I315" s="1" t="str">
        <f>IF(OR($B315="",I$7=""),"",IF($B315="MEANS",INDEX('1-DATA'!$1:$1048576,$A314-1,COLUMN('1-DATA'!H313)),ROUND(INDEX('1-DATA'!$1:$1048576,IF(OR($B315="STD. DEVIATION",$C$1=1),$A315,$A315+1),COLUMN('1-DATA'!H313)),IF($B315="STD. DEVIATION",2,$F$1))))</f>
        <v/>
      </c>
      <c r="J315" s="1" t="str">
        <f>IF(OR($B315="",J$7=""),"",IF($B315="MEANS",INDEX('1-DATA'!$1:$1048576,$A314-1,COLUMN('1-DATA'!I313)),ROUND(INDEX('1-DATA'!$1:$1048576,IF(OR($B315="STD. DEVIATION",$C$1=1),$A315,$A315+1),COLUMN('1-DATA'!I313)),IF($B315="STD. DEVIATION",2,$F$1))))</f>
        <v/>
      </c>
      <c r="K315" s="1" t="str">
        <f>IF(OR($B315="",K$7=""),"",IF($B315="MEANS",INDEX('1-DATA'!$1:$1048576,$A314-1,COLUMN('1-DATA'!J313)),ROUND(INDEX('1-DATA'!$1:$1048576,IF(OR($B315="STD. DEVIATION",$C$1=1),$A315,$A315+1),COLUMN('1-DATA'!J313)),IF($B315="STD. DEVIATION",2,$F$1))))</f>
        <v/>
      </c>
      <c r="L315" s="1" t="str">
        <f>IF(OR($B315="",L$7=""),"",IF($B315="MEANS",INDEX('1-DATA'!$1:$1048576,$A314-1,COLUMN('1-DATA'!K313)),ROUND(INDEX('1-DATA'!$1:$1048576,IF(OR($B315="STD. DEVIATION",$C$1=1),$A315,$A315+1),COLUMN('1-DATA'!K313)),IF($B315="STD. DEVIATION",2,$F$1))))</f>
        <v/>
      </c>
      <c r="M315" s="1" t="str">
        <f>IF(OR($B315="",M$7=""),"",IF($B315="MEANS",INDEX('1-DATA'!$1:$1048576,$A314-1,COLUMN('1-DATA'!L313)),ROUND(INDEX('1-DATA'!$1:$1048576,IF(OR($B315="STD. DEVIATION",$C$1=1),$A315,$A315+1),COLUMN('1-DATA'!L313)),IF($B315="STD. DEVIATION",2,$F$1))))</f>
        <v/>
      </c>
      <c r="N315" s="1" t="str">
        <f>IF(OR($B315="",N$7=""),"",IF($B315="MEANS",INDEX('1-DATA'!$1:$1048576,$A314-1,COLUMN('1-DATA'!M313)),ROUND(INDEX('1-DATA'!$1:$1048576,IF(OR($B315="STD. DEVIATION",$C$1=1),$A315,$A315+1),COLUMN('1-DATA'!M313)),IF($B315="STD. DEVIATION",2,$F$1))))</f>
        <v/>
      </c>
      <c r="O315" s="1" t="str">
        <f>IF(OR($B315="",O$7=""),"",IF($B315="MEANS",INDEX('1-DATA'!$1:$1048576,$A314-1,COLUMN('1-DATA'!N313)),ROUND(INDEX('1-DATA'!$1:$1048576,IF(OR($B315="STD. DEVIATION",$C$1=1),$A315,$A315+1),COLUMN('1-DATA'!N313)),IF($B315="STD. DEVIATION",2,$F$1))))</f>
        <v/>
      </c>
      <c r="P315" s="1" t="str">
        <f>IF(OR($B315="",P$7=""),"",IF($B315="MEANS",INDEX('1-DATA'!$1:$1048576,$A314-1,COLUMN('1-DATA'!O313)),ROUND(INDEX('1-DATA'!$1:$1048576,IF(OR($B315="STD. DEVIATION",$C$1=1),$A315,$A315+1),COLUMN('1-DATA'!O313)),IF($B315="STD. DEVIATION",2,$F$1))))</f>
        <v/>
      </c>
      <c r="Q315" s="1" t="str">
        <f>IF(OR($B315="",Q$7=""),"",IF($B315="MEANS",INDEX('1-DATA'!$1:$1048576,$A314-1,COLUMN('1-DATA'!P313)),ROUND(INDEX('1-DATA'!$1:$1048576,IF(OR($B315="STD. DEVIATION",$C$1=1),$A315,$A315+1),COLUMN('1-DATA'!P313)),IF($B315="STD. DEVIATION",2,$F$1))))</f>
        <v/>
      </c>
      <c r="R315" s="1" t="str">
        <f>IF(OR($B315="",R$7=""),"",IF($B315="MEANS",INDEX('1-DATA'!$1:$1048576,$A314-1,COLUMN('1-DATA'!Q313)),ROUND(INDEX('1-DATA'!$1:$1048576,IF(OR($B315="STD. DEVIATION",$C$1=1),$A315,$A315+1),COLUMN('1-DATA'!Q313)),IF($B315="STD. DEVIATION",2,$F$1))))</f>
        <v/>
      </c>
      <c r="S315" s="1" t="str">
        <f>IF(OR($B315="",S$7=""),"",IF($B315="MEANS",INDEX('1-DATA'!$1:$1048576,$A314-1,COLUMN('1-DATA'!R313)),ROUND(INDEX('1-DATA'!$1:$1048576,IF(OR($B315="STD. DEVIATION",$C$1=1),$A315,$A315+1),COLUMN('1-DATA'!R313)),IF($B315="STD. DEVIATION",2,$F$1))))</f>
        <v/>
      </c>
      <c r="T315" s="1" t="str">
        <f>IF(OR($B315="",T$7=""),"",IF($B315="MEANS",INDEX('1-DATA'!$1:$1048576,$A314-1,COLUMN('1-DATA'!S313)),ROUND(INDEX('1-DATA'!$1:$1048576,IF(OR($B315="STD. DEVIATION",$C$1=1),$A315,$A315+1),COLUMN('1-DATA'!S313)),IF($B315="STD. DEVIATION",2,$F$1))))</f>
        <v/>
      </c>
      <c r="U315" s="1" t="str">
        <f>IF(OR($B315="",U$7=""),"",IF($B315="MEANS",INDEX('1-DATA'!$1:$1048576,$A314-1,COLUMN('1-DATA'!T313)),ROUND(INDEX('1-DATA'!$1:$1048576,IF(OR($B315="STD. DEVIATION",$C$1=1),$A315,$A315+1),COLUMN('1-DATA'!T313)),IF($B315="STD. DEVIATION",2,$F$1))))</f>
        <v/>
      </c>
      <c r="V315" s="1" t="str">
        <f>IF(OR($B315="",V$7=""),"",IF($B315="MEANS",INDEX('1-DATA'!$1:$1048576,$A314-1,COLUMN('1-DATA'!U313)),ROUND(INDEX('1-DATA'!$1:$1048576,IF(OR($B315="STD. DEVIATION",$C$1=1),$A315,$A315+1),COLUMN('1-DATA'!U313)),IF($B315="STD. DEVIATION",2,$F$1))))</f>
        <v/>
      </c>
      <c r="W315" s="1" t="str">
        <f>IF(OR($B315="",W$7=""),"",IF($B315="MEANS",INDEX('1-DATA'!$1:$1048576,$A314-1,COLUMN('1-DATA'!V313)),ROUND(INDEX('1-DATA'!$1:$1048576,IF(OR($B315="STD. DEVIATION",$C$1=1),$A315,$A315+1),COLUMN('1-DATA'!V313)),IF($B315="STD. DEVIATION",2,$F$1))))</f>
        <v/>
      </c>
      <c r="X315" s="1" t="str">
        <f>IF(OR($B315="",X$7=""),"",IF($B315="MEANS",INDEX('1-DATA'!$1:$1048576,$A314-1,COLUMN('1-DATA'!W313)),ROUND(INDEX('1-DATA'!$1:$1048576,IF(OR($B315="STD. DEVIATION",$C$1=1),$A315,$A315+1),COLUMN('1-DATA'!W313)),IF($B315="STD. DEVIATION",2,$F$1))))</f>
        <v/>
      </c>
      <c r="Y315" s="1" t="str">
        <f>IF(OR($B315="",Y$7=""),"",IF($B315="MEANS",INDEX('1-DATA'!$1:$1048576,$A314-1,COLUMN('1-DATA'!X313)),ROUND(INDEX('1-DATA'!$1:$1048576,IF(OR($B315="STD. DEVIATION",$C$1=1),$A315,$A315+1),COLUMN('1-DATA'!X313)),IF($B315="STD. DEVIATION",2,$F$1))))</f>
        <v/>
      </c>
      <c r="Z315" s="1" t="str">
        <f>IF(OR($B315="",Z$7=""),"",IF($B315="MEANS",INDEX('1-DATA'!$1:$1048576,$A314-1,COLUMN('1-DATA'!Y313)),ROUND(INDEX('1-DATA'!$1:$1048576,IF(OR($B315="STD. DEVIATION",$C$1=1),$A315,$A315+1),COLUMN('1-DATA'!Y313)),IF($B315="STD. DEVIATION",2,$F$1))))</f>
        <v/>
      </c>
      <c r="AA315" s="1" t="str">
        <f>IF(OR($B315="",AA$7=""),"",IF($B315="MEANS",INDEX('1-DATA'!$1:$1048576,$A314-1,COLUMN('1-DATA'!Z313)),ROUND(INDEX('1-DATA'!$1:$1048576,IF(OR($B315="STD. DEVIATION",$C$1=1),$A315,$A315+1),COLUMN('1-DATA'!Z313)),IF($B315="STD. DEVIATION",2,$F$1))))</f>
        <v/>
      </c>
      <c r="AB315" s="1" t="str">
        <f>IF(OR($B315="",AB$7=""),"",IF($B315="MEANS",INDEX('1-DATA'!$1:$1048576,$A314-1,COLUMN('1-DATA'!AA313)),ROUND(INDEX('1-DATA'!$1:$1048576,IF(OR($B315="STD. DEVIATION",$C$1=1),$A315,$A315+1),COLUMN('1-DATA'!AA313)),IF($B315="STD. DEVIATION",2,$F$1))))</f>
        <v/>
      </c>
      <c r="AC315" s="1" t="str">
        <f>IF(OR($B315="",AC$7=""),"",IF($B315="MEANS",INDEX('1-DATA'!$1:$1048576,$A314-1,COLUMN('1-DATA'!AB313)),ROUND(INDEX('1-DATA'!$1:$1048576,IF(OR($B315="STD. DEVIATION",$C$1=1),$A315,$A315+1),COLUMN('1-DATA'!AB313)),IF($B315="STD. DEVIATION",2,$F$1))))</f>
        <v/>
      </c>
      <c r="AD315" s="1" t="str">
        <f>IF(OR($B315="",AD$7=""),"",IF($B315="MEANS",INDEX('1-DATA'!$1:$1048576,$A314-1,COLUMN('1-DATA'!AC313)),ROUND(INDEX('1-DATA'!$1:$1048576,IF(OR($B315="STD. DEVIATION",$C$1=1),$A315,$A315+1),COLUMN('1-DATA'!AC313)),IF($B315="STD. DEVIATION",2,$F$1))))</f>
        <v/>
      </c>
      <c r="AE315" s="1" t="str">
        <f>IF(OR($B315="",AE$7=""),"",IF($B315="MEANS",INDEX('1-DATA'!$1:$1048576,$A314-1,COLUMN('1-DATA'!AD313)),ROUND(INDEX('1-DATA'!$1:$1048576,IF(OR($B315="STD. DEVIATION",$C$1=1),$A315,$A315+1),COLUMN('1-DATA'!AD313)),IF($B315="STD. DEVIATION",2,$F$1))))</f>
        <v/>
      </c>
      <c r="AF315" s="1" t="str">
        <f>IF(OR($B315="",AF$7=""),"",IF($B315="MEANS",INDEX('1-DATA'!$1:$1048576,$A314-1,COLUMN('1-DATA'!AE313)),ROUND(INDEX('1-DATA'!$1:$1048576,IF(OR($B315="STD. DEVIATION",$C$1=1),$A315,$A315+1),COLUMN('1-DATA'!AE313)),IF($B315="STD. DEVIATION",2,$F$1))))</f>
        <v/>
      </c>
      <c r="AG315" s="1" t="str">
        <f>IF(OR($B315="",AG$7=""),"",IF($B315="MEANS",INDEX('1-DATA'!$1:$1048576,$A314-1,COLUMN('1-DATA'!AF313)),ROUND(INDEX('1-DATA'!$1:$1048576,IF(OR($B315="STD. DEVIATION",$C$1=1),$A315,$A315+1),COLUMN('1-DATA'!AF313)),IF($B315="STD. DEVIATION",2,$F$1))))</f>
        <v/>
      </c>
      <c r="AH315" s="1" t="str">
        <f>IF(OR($B315="",AH$7=""),"",IF($B315="MEANS",INDEX('1-DATA'!$1:$1048576,$A314-1,COLUMN('1-DATA'!AG313)),ROUND(INDEX('1-DATA'!$1:$1048576,IF(OR($B315="STD. DEVIATION",$C$1=1),$A315,$A315+1),COLUMN('1-DATA'!AG313)),IF($B315="STD. DEVIATION",2,$F$1))))</f>
        <v/>
      </c>
      <c r="AI315" s="1" t="str">
        <f>IF(OR($B315="",AI$7=""),"",IF($B315="MEANS",INDEX('1-DATA'!$1:$1048576,$A314-1,COLUMN('1-DATA'!AH313)),ROUND(INDEX('1-DATA'!$1:$1048576,IF(OR($B315="STD. DEVIATION",$C$1=1),$A315,$A315+1),COLUMN('1-DATA'!AH313)),IF($B315="STD. DEVIATION",2,$F$1))))</f>
        <v/>
      </c>
      <c r="AJ315" s="1" t="str">
        <f>IF(OR($B315="",AJ$7=""),"",IF($B315="MEANS",INDEX('1-DATA'!$1:$1048576,$A314-1,COLUMN('1-DATA'!AI313)),ROUND(INDEX('1-DATA'!$1:$1048576,IF(OR($B315="STD. DEVIATION",$C$1=1),$A315,$A315+1),COLUMN('1-DATA'!AI313)),IF($B315="STD. DEVIATION",2,$F$1))))</f>
        <v/>
      </c>
      <c r="AK315" s="1" t="str">
        <f>IF(OR($B315="",AK$7=""),"",IF($B315="MEANS",INDEX('1-DATA'!$1:$1048576,$A314-1,COLUMN('1-DATA'!AJ313)),ROUND(INDEX('1-DATA'!$1:$1048576,IF(OR($B315="STD. DEVIATION",$C$1=1),$A315,$A315+1),COLUMN('1-DATA'!AJ313)),IF($B315="STD. DEVIATION",2,$F$1))))</f>
        <v/>
      </c>
      <c r="AL315" s="1" t="str">
        <f>IF(OR($B315="",AL$7=""),"",IF($B315="MEANS",INDEX('1-DATA'!$1:$1048576,$A314-1,COLUMN('1-DATA'!AK313)),ROUND(INDEX('1-DATA'!$1:$1048576,IF(OR($B315="STD. DEVIATION",$C$1=1),$A315,$A315+1),COLUMN('1-DATA'!AK313)),IF($B315="STD. DEVIATION",2,$F$1))))</f>
        <v/>
      </c>
      <c r="AM315" s="1" t="str">
        <f>IF(OR($B315="",AM$7=""),"",IF($B315="MEANS",INDEX('1-DATA'!$1:$1048576,$A314-1,COLUMN('1-DATA'!AL313)),ROUND(INDEX('1-DATA'!$1:$1048576,IF(OR($B315="STD. DEVIATION",$C$1=1),$A315,$A315+1),COLUMN('1-DATA'!AL313)),IF($B315="STD. DEVIATION",2,$F$1))))</f>
        <v/>
      </c>
      <c r="AN315" s="1" t="str">
        <f>IF(OR($B315="",AN$7=""),"",IF($B315="MEANS",INDEX('1-DATA'!$1:$1048576,$A314-1,COLUMN('1-DATA'!AM313)),ROUND(INDEX('1-DATA'!$1:$1048576,IF(OR($B315="STD. DEVIATION",$C$1=1),$A315,$A315+1),COLUMN('1-DATA'!AM313)),IF($B315="STD. DEVIATION",2,$F$1))))</f>
        <v/>
      </c>
      <c r="AO315" s="1" t="str">
        <f>IF(OR($B315="",AO$7=""),"",IF($B315="MEANS",INDEX('1-DATA'!$1:$1048576,$A314-1,COLUMN('1-DATA'!AN313)),ROUND(INDEX('1-DATA'!$1:$1048576,IF(OR($B315="STD. DEVIATION",$C$1=1),$A315,$A315+1),COLUMN('1-DATA'!AN313)),IF($B315="STD. DEVIATION",2,$F$1))))</f>
        <v/>
      </c>
      <c r="AP315" s="1" t="str">
        <f>IF(OR($B315="",AP$7=""),"",IF($B315="MEANS",INDEX('1-DATA'!$1:$1048576,$A314-1,COLUMN('1-DATA'!AO313)),ROUND(INDEX('1-DATA'!$1:$1048576,IF(OR($B315="STD. DEVIATION",$C$1=1),$A315,$A315+1),COLUMN('1-DATA'!AO313)),IF($B315="STD. DEVIATION",2,$F$1))))</f>
        <v/>
      </c>
      <c r="AQ315" s="1" t="str">
        <f>IF(OR($B315="",AQ$7=""),"",IF($B315="MEANS",INDEX('1-DATA'!$1:$1048576,$A314-1,COLUMN('1-DATA'!AP313)),ROUND(INDEX('1-DATA'!$1:$1048576,IF(OR($B315="STD. DEVIATION",$C$1=1),$A315,$A315+1),COLUMN('1-DATA'!AP313)),IF($B315="STD. DEVIATION",2,$F$1))))</f>
        <v/>
      </c>
      <c r="AR315" s="1" t="str">
        <f>IF(OR($B315="",AR$7=""),"",IF($B315="MEANS",INDEX('1-DATA'!$1:$1048576,$A314-1,COLUMN('1-DATA'!AQ313)),ROUND(INDEX('1-DATA'!$1:$1048576,IF(OR($B315="STD. DEVIATION",$C$1=1),$A315,$A315+1),COLUMN('1-DATA'!AQ313)),IF($B315="STD. DEVIATION",2,$F$1))))</f>
        <v/>
      </c>
      <c r="AS315" s="1" t="str">
        <f>IF(OR($B315="",AS$7=""),"",IF($B315="MEANS",INDEX('1-DATA'!$1:$1048576,$A314-1,COLUMN('1-DATA'!AR313)),ROUND(INDEX('1-DATA'!$1:$1048576,IF(OR($B315="STD. DEVIATION",$C$1=1),$A315,$A315+1),COLUMN('1-DATA'!AR313)),IF($B315="STD. DEVIATION",2,$F$1))))</f>
        <v/>
      </c>
      <c r="AT315" s="1" t="str">
        <f>IF(OR($B315="",AT$7=""),"",IF($B315="MEANS",INDEX('1-DATA'!$1:$1048576,$A314-1,COLUMN('1-DATA'!AS313)),ROUND(INDEX('1-DATA'!$1:$1048576,IF(OR($B315="STD. DEVIATION",$C$1=1),$A315,$A315+1),COLUMN('1-DATA'!AS313)),IF($B315="STD. DEVIATION",2,$F$1))))</f>
        <v/>
      </c>
      <c r="AU315" s="1" t="str">
        <f>IF(OR($B315="",AU$7=""),"",IF($B315="MEANS",INDEX('1-DATA'!$1:$1048576,$A314-1,COLUMN('1-DATA'!AT313)),ROUND(INDEX('1-DATA'!$1:$1048576,IF(OR($B315="STD. DEVIATION",$C$1=1),$A315,$A315+1),COLUMN('1-DATA'!AT313)),IF($B315="STD. DEVIATION",2,$F$1))))</f>
        <v/>
      </c>
      <c r="AV315" s="1" t="str">
        <f>IF(OR($B315="",AV$7=""),"",IF($B315="MEANS",INDEX('1-DATA'!$1:$1048576,$A314-1,COLUMN('1-DATA'!AU313)),ROUND(INDEX('1-DATA'!$1:$1048576,IF(OR($B315="STD. DEVIATION",$C$1=1),$A315,$A315+1),COLUMN('1-DATA'!AU313)),IF($B315="STD. DEVIATION",2,$F$1))))</f>
        <v/>
      </c>
      <c r="AW315" s="1" t="str">
        <f>IF(OR($B315="",AW$7=""),"",IF($B315="MEANS",INDEX('1-DATA'!$1:$1048576,$A314-1,COLUMN('1-DATA'!AV313)),ROUND(INDEX('1-DATA'!$1:$1048576,IF(OR($B315="STD. DEVIATION",$C$1=1),$A315,$A315+1),COLUMN('1-DATA'!AV313)),IF($B315="STD. DEVIATION",2,$F$1))))</f>
        <v/>
      </c>
      <c r="AX315" s="1" t="str">
        <f>IF(OR($B315="",AX$7=""),"",IF($B315="MEANS",INDEX('1-DATA'!$1:$1048576,$A314-1,COLUMN('1-DATA'!AW313)),ROUND(INDEX('1-DATA'!$1:$1048576,IF(OR($B315="STD. DEVIATION",$C$1=1),$A315,$A315+1),COLUMN('1-DATA'!AW313)),IF($B315="STD. DEVIATION",2,$F$1))))</f>
        <v/>
      </c>
      <c r="AY315" s="1" t="str">
        <f>IF(OR($B315="",AY$7=""),"",IF($B315="MEANS",INDEX('1-DATA'!$1:$1048576,$A314-1,COLUMN('1-DATA'!AX313)),ROUND(INDEX('1-DATA'!$1:$1048576,IF(OR($B315="STD. DEVIATION",$C$1=1),$A315,$A315+1),COLUMN('1-DATA'!AX313)),IF($B315="STD. DEVIATION",2,$F$1))))</f>
        <v/>
      </c>
      <c r="AZ315" s="1" t="str">
        <f>IF(OR($B315="",AZ$7=""),"",IF($B315="MEANS",INDEX('1-DATA'!$1:$1048576,$A314-1,COLUMN('1-DATA'!AY313)),ROUND(INDEX('1-DATA'!$1:$1048576,IF(OR($B315="STD. DEVIATION",$C$1=1),$A315,$A315+1),COLUMN('1-DATA'!AY313)),IF($B315="STD. DEVIATION",2,$F$1))))</f>
        <v/>
      </c>
    </row>
    <row r="316" spans="1:52" x14ac:dyDescent="0.25">
      <c r="A316" s="11">
        <f t="shared" si="5"/>
        <v>934</v>
      </c>
      <c r="B316" s="1" t="str">
        <f>IF(B315="STD. DEVIATION",INDEX('1-DATA'!$1:$1048576,$A315-1,1),IF(INDEX('1-DATA'!$1:$1048576,$A316,1)&lt;&gt;"",INDEX('1-DATA'!$1:$1048576,$A316,1),""))</f>
        <v/>
      </c>
      <c r="C316" s="1" t="str">
        <f>IF(OR($B316="",C$7=""),"",IF($B316="MEANS",INDEX('1-DATA'!$1:$1048576,$A315-1,COLUMN('1-DATA'!B314)),ROUND(INDEX('1-DATA'!$1:$1048576,IF(OR($B316="STD. DEVIATION",$C$1=1),$A316,$A316+1),COLUMN('1-DATA'!B314)),IF($B316="STD. DEVIATION",2,$F$1))))</f>
        <v/>
      </c>
      <c r="D316" s="1" t="str">
        <f>IF(OR($B316="",D$7=""),"",IF($B316="MEANS",INDEX('1-DATA'!$1:$1048576,$A315-1,COLUMN('1-DATA'!C314)),ROUND(INDEX('1-DATA'!$1:$1048576,IF(OR($B316="STD. DEVIATION",$C$1=1),$A316,$A316+1),COLUMN('1-DATA'!C314)),IF($B316="STD. DEVIATION",2,$F$1))))</f>
        <v/>
      </c>
      <c r="E316" s="1" t="str">
        <f>IF(OR($B316="",E$7=""),"",IF($B316="MEANS",INDEX('1-DATA'!$1:$1048576,$A315-1,COLUMN('1-DATA'!D314)),ROUND(INDEX('1-DATA'!$1:$1048576,IF(OR($B316="STD. DEVIATION",$C$1=1),$A316,$A316+1),COLUMN('1-DATA'!D314)),IF($B316="STD. DEVIATION",2,$F$1))))</f>
        <v/>
      </c>
      <c r="F316" s="1" t="str">
        <f>IF(OR($B316="",F$7=""),"",IF($B316="MEANS",INDEX('1-DATA'!$1:$1048576,$A315-1,COLUMN('1-DATA'!E314)),ROUND(INDEX('1-DATA'!$1:$1048576,IF(OR($B316="STD. DEVIATION",$C$1=1),$A316,$A316+1),COLUMN('1-DATA'!E314)),IF($B316="STD. DEVIATION",2,$F$1))))</f>
        <v/>
      </c>
      <c r="G316" s="1" t="str">
        <f>IF(OR($B316="",G$7=""),"",IF($B316="MEANS",INDEX('1-DATA'!$1:$1048576,$A315-1,COLUMN('1-DATA'!F314)),ROUND(INDEX('1-DATA'!$1:$1048576,IF(OR($B316="STD. DEVIATION",$C$1=1),$A316,$A316+1),COLUMN('1-DATA'!F314)),IF($B316="STD. DEVIATION",2,$F$1))))</f>
        <v/>
      </c>
      <c r="H316" s="1" t="str">
        <f>IF(OR($B316="",H$7=""),"",IF($B316="MEANS",INDEX('1-DATA'!$1:$1048576,$A315-1,COLUMN('1-DATA'!G314)),ROUND(INDEX('1-DATA'!$1:$1048576,IF(OR($B316="STD. DEVIATION",$C$1=1),$A316,$A316+1),COLUMN('1-DATA'!G314)),IF($B316="STD. DEVIATION",2,$F$1))))</f>
        <v/>
      </c>
      <c r="I316" s="1" t="str">
        <f>IF(OR($B316="",I$7=""),"",IF($B316="MEANS",INDEX('1-DATA'!$1:$1048576,$A315-1,COLUMN('1-DATA'!H314)),ROUND(INDEX('1-DATA'!$1:$1048576,IF(OR($B316="STD. DEVIATION",$C$1=1),$A316,$A316+1),COLUMN('1-DATA'!H314)),IF($B316="STD. DEVIATION",2,$F$1))))</f>
        <v/>
      </c>
      <c r="J316" s="1" t="str">
        <f>IF(OR($B316="",J$7=""),"",IF($B316="MEANS",INDEX('1-DATA'!$1:$1048576,$A315-1,COLUMN('1-DATA'!I314)),ROUND(INDEX('1-DATA'!$1:$1048576,IF(OR($B316="STD. DEVIATION",$C$1=1),$A316,$A316+1),COLUMN('1-DATA'!I314)),IF($B316="STD. DEVIATION",2,$F$1))))</f>
        <v/>
      </c>
      <c r="K316" s="1" t="str">
        <f>IF(OR($B316="",K$7=""),"",IF($B316="MEANS",INDEX('1-DATA'!$1:$1048576,$A315-1,COLUMN('1-DATA'!J314)),ROUND(INDEX('1-DATA'!$1:$1048576,IF(OR($B316="STD. DEVIATION",$C$1=1),$A316,$A316+1),COLUMN('1-DATA'!J314)),IF($B316="STD. DEVIATION",2,$F$1))))</f>
        <v/>
      </c>
      <c r="L316" s="1" t="str">
        <f>IF(OR($B316="",L$7=""),"",IF($B316="MEANS",INDEX('1-DATA'!$1:$1048576,$A315-1,COLUMN('1-DATA'!K314)),ROUND(INDEX('1-DATA'!$1:$1048576,IF(OR($B316="STD. DEVIATION",$C$1=1),$A316,$A316+1),COLUMN('1-DATA'!K314)),IF($B316="STD. DEVIATION",2,$F$1))))</f>
        <v/>
      </c>
      <c r="M316" s="1" t="str">
        <f>IF(OR($B316="",M$7=""),"",IF($B316="MEANS",INDEX('1-DATA'!$1:$1048576,$A315-1,COLUMN('1-DATA'!L314)),ROUND(INDEX('1-DATA'!$1:$1048576,IF(OR($B316="STD. DEVIATION",$C$1=1),$A316,$A316+1),COLUMN('1-DATA'!L314)),IF($B316="STD. DEVIATION",2,$F$1))))</f>
        <v/>
      </c>
      <c r="N316" s="1" t="str">
        <f>IF(OR($B316="",N$7=""),"",IF($B316="MEANS",INDEX('1-DATA'!$1:$1048576,$A315-1,COLUMN('1-DATA'!M314)),ROUND(INDEX('1-DATA'!$1:$1048576,IF(OR($B316="STD. DEVIATION",$C$1=1),$A316,$A316+1),COLUMN('1-DATA'!M314)),IF($B316="STD. DEVIATION",2,$F$1))))</f>
        <v/>
      </c>
      <c r="O316" s="1" t="str">
        <f>IF(OR($B316="",O$7=""),"",IF($B316="MEANS",INDEX('1-DATA'!$1:$1048576,$A315-1,COLUMN('1-DATA'!N314)),ROUND(INDEX('1-DATA'!$1:$1048576,IF(OR($B316="STD. DEVIATION",$C$1=1),$A316,$A316+1),COLUMN('1-DATA'!N314)),IF($B316="STD. DEVIATION",2,$F$1))))</f>
        <v/>
      </c>
      <c r="P316" s="1" t="str">
        <f>IF(OR($B316="",P$7=""),"",IF($B316="MEANS",INDEX('1-DATA'!$1:$1048576,$A315-1,COLUMN('1-DATA'!O314)),ROUND(INDEX('1-DATA'!$1:$1048576,IF(OR($B316="STD. DEVIATION",$C$1=1),$A316,$A316+1),COLUMN('1-DATA'!O314)),IF($B316="STD. DEVIATION",2,$F$1))))</f>
        <v/>
      </c>
      <c r="Q316" s="1" t="str">
        <f>IF(OR($B316="",Q$7=""),"",IF($B316="MEANS",INDEX('1-DATA'!$1:$1048576,$A315-1,COLUMN('1-DATA'!P314)),ROUND(INDEX('1-DATA'!$1:$1048576,IF(OR($B316="STD. DEVIATION",$C$1=1),$A316,$A316+1),COLUMN('1-DATA'!P314)),IF($B316="STD. DEVIATION",2,$F$1))))</f>
        <v/>
      </c>
      <c r="R316" s="1" t="str">
        <f>IF(OR($B316="",R$7=""),"",IF($B316="MEANS",INDEX('1-DATA'!$1:$1048576,$A315-1,COLUMN('1-DATA'!Q314)),ROUND(INDEX('1-DATA'!$1:$1048576,IF(OR($B316="STD. DEVIATION",$C$1=1),$A316,$A316+1),COLUMN('1-DATA'!Q314)),IF($B316="STD. DEVIATION",2,$F$1))))</f>
        <v/>
      </c>
      <c r="S316" s="1" t="str">
        <f>IF(OR($B316="",S$7=""),"",IF($B316="MEANS",INDEX('1-DATA'!$1:$1048576,$A315-1,COLUMN('1-DATA'!R314)),ROUND(INDEX('1-DATA'!$1:$1048576,IF(OR($B316="STD. DEVIATION",$C$1=1),$A316,$A316+1),COLUMN('1-DATA'!R314)),IF($B316="STD. DEVIATION",2,$F$1))))</f>
        <v/>
      </c>
      <c r="T316" s="1" t="str">
        <f>IF(OR($B316="",T$7=""),"",IF($B316="MEANS",INDEX('1-DATA'!$1:$1048576,$A315-1,COLUMN('1-DATA'!S314)),ROUND(INDEX('1-DATA'!$1:$1048576,IF(OR($B316="STD. DEVIATION",$C$1=1),$A316,$A316+1),COLUMN('1-DATA'!S314)),IF($B316="STD. DEVIATION",2,$F$1))))</f>
        <v/>
      </c>
      <c r="U316" s="1" t="str">
        <f>IF(OR($B316="",U$7=""),"",IF($B316="MEANS",INDEX('1-DATA'!$1:$1048576,$A315-1,COLUMN('1-DATA'!T314)),ROUND(INDEX('1-DATA'!$1:$1048576,IF(OR($B316="STD. DEVIATION",$C$1=1),$A316,$A316+1),COLUMN('1-DATA'!T314)),IF($B316="STD. DEVIATION",2,$F$1))))</f>
        <v/>
      </c>
      <c r="V316" s="1" t="str">
        <f>IF(OR($B316="",V$7=""),"",IF($B316="MEANS",INDEX('1-DATA'!$1:$1048576,$A315-1,COLUMN('1-DATA'!U314)),ROUND(INDEX('1-DATA'!$1:$1048576,IF(OR($B316="STD. DEVIATION",$C$1=1),$A316,$A316+1),COLUMN('1-DATA'!U314)),IF($B316="STD. DEVIATION",2,$F$1))))</f>
        <v/>
      </c>
      <c r="W316" s="1" t="str">
        <f>IF(OR($B316="",W$7=""),"",IF($B316="MEANS",INDEX('1-DATA'!$1:$1048576,$A315-1,COLUMN('1-DATA'!V314)),ROUND(INDEX('1-DATA'!$1:$1048576,IF(OR($B316="STD. DEVIATION",$C$1=1),$A316,$A316+1),COLUMN('1-DATA'!V314)),IF($B316="STD. DEVIATION",2,$F$1))))</f>
        <v/>
      </c>
      <c r="X316" s="1" t="str">
        <f>IF(OR($B316="",X$7=""),"",IF($B316="MEANS",INDEX('1-DATA'!$1:$1048576,$A315-1,COLUMN('1-DATA'!W314)),ROUND(INDEX('1-DATA'!$1:$1048576,IF(OR($B316="STD. DEVIATION",$C$1=1),$A316,$A316+1),COLUMN('1-DATA'!W314)),IF($B316="STD. DEVIATION",2,$F$1))))</f>
        <v/>
      </c>
      <c r="Y316" s="1" t="str">
        <f>IF(OR($B316="",Y$7=""),"",IF($B316="MEANS",INDEX('1-DATA'!$1:$1048576,$A315-1,COLUMN('1-DATA'!X314)),ROUND(INDEX('1-DATA'!$1:$1048576,IF(OR($B316="STD. DEVIATION",$C$1=1),$A316,$A316+1),COLUMN('1-DATA'!X314)),IF($B316="STD. DEVIATION",2,$F$1))))</f>
        <v/>
      </c>
      <c r="Z316" s="1" t="str">
        <f>IF(OR($B316="",Z$7=""),"",IF($B316="MEANS",INDEX('1-DATA'!$1:$1048576,$A315-1,COLUMN('1-DATA'!Y314)),ROUND(INDEX('1-DATA'!$1:$1048576,IF(OR($B316="STD. DEVIATION",$C$1=1),$A316,$A316+1),COLUMN('1-DATA'!Y314)),IF($B316="STD. DEVIATION",2,$F$1))))</f>
        <v/>
      </c>
      <c r="AA316" s="1" t="str">
        <f>IF(OR($B316="",AA$7=""),"",IF($B316="MEANS",INDEX('1-DATA'!$1:$1048576,$A315-1,COLUMN('1-DATA'!Z314)),ROUND(INDEX('1-DATA'!$1:$1048576,IF(OR($B316="STD. DEVIATION",$C$1=1),$A316,$A316+1),COLUMN('1-DATA'!Z314)),IF($B316="STD. DEVIATION",2,$F$1))))</f>
        <v/>
      </c>
      <c r="AB316" s="1" t="str">
        <f>IF(OR($B316="",AB$7=""),"",IF($B316="MEANS",INDEX('1-DATA'!$1:$1048576,$A315-1,COLUMN('1-DATA'!AA314)),ROUND(INDEX('1-DATA'!$1:$1048576,IF(OR($B316="STD. DEVIATION",$C$1=1),$A316,$A316+1),COLUMN('1-DATA'!AA314)),IF($B316="STD. DEVIATION",2,$F$1))))</f>
        <v/>
      </c>
      <c r="AC316" s="1" t="str">
        <f>IF(OR($B316="",AC$7=""),"",IF($B316="MEANS",INDEX('1-DATA'!$1:$1048576,$A315-1,COLUMN('1-DATA'!AB314)),ROUND(INDEX('1-DATA'!$1:$1048576,IF(OR($B316="STD. DEVIATION",$C$1=1),$A316,$A316+1),COLUMN('1-DATA'!AB314)),IF($B316="STD. DEVIATION",2,$F$1))))</f>
        <v/>
      </c>
      <c r="AD316" s="1" t="str">
        <f>IF(OR($B316="",AD$7=""),"",IF($B316="MEANS",INDEX('1-DATA'!$1:$1048576,$A315-1,COLUMN('1-DATA'!AC314)),ROUND(INDEX('1-DATA'!$1:$1048576,IF(OR($B316="STD. DEVIATION",$C$1=1),$A316,$A316+1),COLUMN('1-DATA'!AC314)),IF($B316="STD. DEVIATION",2,$F$1))))</f>
        <v/>
      </c>
      <c r="AE316" s="1" t="str">
        <f>IF(OR($B316="",AE$7=""),"",IF($B316="MEANS",INDEX('1-DATA'!$1:$1048576,$A315-1,COLUMN('1-DATA'!AD314)),ROUND(INDEX('1-DATA'!$1:$1048576,IF(OR($B316="STD. DEVIATION",$C$1=1),$A316,$A316+1),COLUMN('1-DATA'!AD314)),IF($B316="STD. DEVIATION",2,$F$1))))</f>
        <v/>
      </c>
      <c r="AF316" s="1" t="str">
        <f>IF(OR($B316="",AF$7=""),"",IF($B316="MEANS",INDEX('1-DATA'!$1:$1048576,$A315-1,COLUMN('1-DATA'!AE314)),ROUND(INDEX('1-DATA'!$1:$1048576,IF(OR($B316="STD. DEVIATION",$C$1=1),$A316,$A316+1),COLUMN('1-DATA'!AE314)),IF($B316="STD. DEVIATION",2,$F$1))))</f>
        <v/>
      </c>
      <c r="AG316" s="1" t="str">
        <f>IF(OR($B316="",AG$7=""),"",IF($B316="MEANS",INDEX('1-DATA'!$1:$1048576,$A315-1,COLUMN('1-DATA'!AF314)),ROUND(INDEX('1-DATA'!$1:$1048576,IF(OR($B316="STD. DEVIATION",$C$1=1),$A316,$A316+1),COLUMN('1-DATA'!AF314)),IF($B316="STD. DEVIATION",2,$F$1))))</f>
        <v/>
      </c>
      <c r="AH316" s="1" t="str">
        <f>IF(OR($B316="",AH$7=""),"",IF($B316="MEANS",INDEX('1-DATA'!$1:$1048576,$A315-1,COLUMN('1-DATA'!AG314)),ROUND(INDEX('1-DATA'!$1:$1048576,IF(OR($B316="STD. DEVIATION",$C$1=1),$A316,$A316+1),COLUMN('1-DATA'!AG314)),IF($B316="STD. DEVIATION",2,$F$1))))</f>
        <v/>
      </c>
      <c r="AI316" s="1" t="str">
        <f>IF(OR($B316="",AI$7=""),"",IF($B316="MEANS",INDEX('1-DATA'!$1:$1048576,$A315-1,COLUMN('1-DATA'!AH314)),ROUND(INDEX('1-DATA'!$1:$1048576,IF(OR($B316="STD. DEVIATION",$C$1=1),$A316,$A316+1),COLUMN('1-DATA'!AH314)),IF($B316="STD. DEVIATION",2,$F$1))))</f>
        <v/>
      </c>
      <c r="AJ316" s="1" t="str">
        <f>IF(OR($B316="",AJ$7=""),"",IF($B316="MEANS",INDEX('1-DATA'!$1:$1048576,$A315-1,COLUMN('1-DATA'!AI314)),ROUND(INDEX('1-DATA'!$1:$1048576,IF(OR($B316="STD. DEVIATION",$C$1=1),$A316,$A316+1),COLUMN('1-DATA'!AI314)),IF($B316="STD. DEVIATION",2,$F$1))))</f>
        <v/>
      </c>
      <c r="AK316" s="1" t="str">
        <f>IF(OR($B316="",AK$7=""),"",IF($B316="MEANS",INDEX('1-DATA'!$1:$1048576,$A315-1,COLUMN('1-DATA'!AJ314)),ROUND(INDEX('1-DATA'!$1:$1048576,IF(OR($B316="STD. DEVIATION",$C$1=1),$A316,$A316+1),COLUMN('1-DATA'!AJ314)),IF($B316="STD. DEVIATION",2,$F$1))))</f>
        <v/>
      </c>
      <c r="AL316" s="1" t="str">
        <f>IF(OR($B316="",AL$7=""),"",IF($B316="MEANS",INDEX('1-DATA'!$1:$1048576,$A315-1,COLUMN('1-DATA'!AK314)),ROUND(INDEX('1-DATA'!$1:$1048576,IF(OR($B316="STD. DEVIATION",$C$1=1),$A316,$A316+1),COLUMN('1-DATA'!AK314)),IF($B316="STD. DEVIATION",2,$F$1))))</f>
        <v/>
      </c>
      <c r="AM316" s="1" t="str">
        <f>IF(OR($B316="",AM$7=""),"",IF($B316="MEANS",INDEX('1-DATA'!$1:$1048576,$A315-1,COLUMN('1-DATA'!AL314)),ROUND(INDEX('1-DATA'!$1:$1048576,IF(OR($B316="STD. DEVIATION",$C$1=1),$A316,$A316+1),COLUMN('1-DATA'!AL314)),IF($B316="STD. DEVIATION",2,$F$1))))</f>
        <v/>
      </c>
      <c r="AN316" s="1" t="str">
        <f>IF(OR($B316="",AN$7=""),"",IF($B316="MEANS",INDEX('1-DATA'!$1:$1048576,$A315-1,COLUMN('1-DATA'!AM314)),ROUND(INDEX('1-DATA'!$1:$1048576,IF(OR($B316="STD. DEVIATION",$C$1=1),$A316,$A316+1),COLUMN('1-DATA'!AM314)),IF($B316="STD. DEVIATION",2,$F$1))))</f>
        <v/>
      </c>
      <c r="AO316" s="1" t="str">
        <f>IF(OR($B316="",AO$7=""),"",IF($B316="MEANS",INDEX('1-DATA'!$1:$1048576,$A315-1,COLUMN('1-DATA'!AN314)),ROUND(INDEX('1-DATA'!$1:$1048576,IF(OR($B316="STD. DEVIATION",$C$1=1),$A316,$A316+1),COLUMN('1-DATA'!AN314)),IF($B316="STD. DEVIATION",2,$F$1))))</f>
        <v/>
      </c>
      <c r="AP316" s="1" t="str">
        <f>IF(OR($B316="",AP$7=""),"",IF($B316="MEANS",INDEX('1-DATA'!$1:$1048576,$A315-1,COLUMN('1-DATA'!AO314)),ROUND(INDEX('1-DATA'!$1:$1048576,IF(OR($B316="STD. DEVIATION",$C$1=1),$A316,$A316+1),COLUMN('1-DATA'!AO314)),IF($B316="STD. DEVIATION",2,$F$1))))</f>
        <v/>
      </c>
      <c r="AQ316" s="1" t="str">
        <f>IF(OR($B316="",AQ$7=""),"",IF($B316="MEANS",INDEX('1-DATA'!$1:$1048576,$A315-1,COLUMN('1-DATA'!AP314)),ROUND(INDEX('1-DATA'!$1:$1048576,IF(OR($B316="STD. DEVIATION",$C$1=1),$A316,$A316+1),COLUMN('1-DATA'!AP314)),IF($B316="STD. DEVIATION",2,$F$1))))</f>
        <v/>
      </c>
      <c r="AR316" s="1" t="str">
        <f>IF(OR($B316="",AR$7=""),"",IF($B316="MEANS",INDEX('1-DATA'!$1:$1048576,$A315-1,COLUMN('1-DATA'!AQ314)),ROUND(INDEX('1-DATA'!$1:$1048576,IF(OR($B316="STD. DEVIATION",$C$1=1),$A316,$A316+1),COLUMN('1-DATA'!AQ314)),IF($B316="STD. DEVIATION",2,$F$1))))</f>
        <v/>
      </c>
      <c r="AS316" s="1" t="str">
        <f>IF(OR($B316="",AS$7=""),"",IF($B316="MEANS",INDEX('1-DATA'!$1:$1048576,$A315-1,COLUMN('1-DATA'!AR314)),ROUND(INDEX('1-DATA'!$1:$1048576,IF(OR($B316="STD. DEVIATION",$C$1=1),$A316,$A316+1),COLUMN('1-DATA'!AR314)),IF($B316="STD. DEVIATION",2,$F$1))))</f>
        <v/>
      </c>
      <c r="AT316" s="1" t="str">
        <f>IF(OR($B316="",AT$7=""),"",IF($B316="MEANS",INDEX('1-DATA'!$1:$1048576,$A315-1,COLUMN('1-DATA'!AS314)),ROUND(INDEX('1-DATA'!$1:$1048576,IF(OR($B316="STD. DEVIATION",$C$1=1),$A316,$A316+1),COLUMN('1-DATA'!AS314)),IF($B316="STD. DEVIATION",2,$F$1))))</f>
        <v/>
      </c>
      <c r="AU316" s="1" t="str">
        <f>IF(OR($B316="",AU$7=""),"",IF($B316="MEANS",INDEX('1-DATA'!$1:$1048576,$A315-1,COLUMN('1-DATA'!AT314)),ROUND(INDEX('1-DATA'!$1:$1048576,IF(OR($B316="STD. DEVIATION",$C$1=1),$A316,$A316+1),COLUMN('1-DATA'!AT314)),IF($B316="STD. DEVIATION",2,$F$1))))</f>
        <v/>
      </c>
      <c r="AV316" s="1" t="str">
        <f>IF(OR($B316="",AV$7=""),"",IF($B316="MEANS",INDEX('1-DATA'!$1:$1048576,$A315-1,COLUMN('1-DATA'!AU314)),ROUND(INDEX('1-DATA'!$1:$1048576,IF(OR($B316="STD. DEVIATION",$C$1=1),$A316,$A316+1),COLUMN('1-DATA'!AU314)),IF($B316="STD. DEVIATION",2,$F$1))))</f>
        <v/>
      </c>
      <c r="AW316" s="1" t="str">
        <f>IF(OR($B316="",AW$7=""),"",IF($B316="MEANS",INDEX('1-DATA'!$1:$1048576,$A315-1,COLUMN('1-DATA'!AV314)),ROUND(INDEX('1-DATA'!$1:$1048576,IF(OR($B316="STD. DEVIATION",$C$1=1),$A316,$A316+1),COLUMN('1-DATA'!AV314)),IF($B316="STD. DEVIATION",2,$F$1))))</f>
        <v/>
      </c>
      <c r="AX316" s="1" t="str">
        <f>IF(OR($B316="",AX$7=""),"",IF($B316="MEANS",INDEX('1-DATA'!$1:$1048576,$A315-1,COLUMN('1-DATA'!AW314)),ROUND(INDEX('1-DATA'!$1:$1048576,IF(OR($B316="STD. DEVIATION",$C$1=1),$A316,$A316+1),COLUMN('1-DATA'!AW314)),IF($B316="STD. DEVIATION",2,$F$1))))</f>
        <v/>
      </c>
      <c r="AY316" s="1" t="str">
        <f>IF(OR($B316="",AY$7=""),"",IF($B316="MEANS",INDEX('1-DATA'!$1:$1048576,$A315-1,COLUMN('1-DATA'!AX314)),ROUND(INDEX('1-DATA'!$1:$1048576,IF(OR($B316="STD. DEVIATION",$C$1=1),$A316,$A316+1),COLUMN('1-DATA'!AX314)),IF($B316="STD. DEVIATION",2,$F$1))))</f>
        <v/>
      </c>
      <c r="AZ316" s="1" t="str">
        <f>IF(OR($B316="",AZ$7=""),"",IF($B316="MEANS",INDEX('1-DATA'!$1:$1048576,$A315-1,COLUMN('1-DATA'!AY314)),ROUND(INDEX('1-DATA'!$1:$1048576,IF(OR($B316="STD. DEVIATION",$C$1=1),$A316,$A316+1),COLUMN('1-DATA'!AY314)),IF($B316="STD. DEVIATION",2,$F$1))))</f>
        <v/>
      </c>
    </row>
    <row r="317" spans="1:52" x14ac:dyDescent="0.25">
      <c r="A317" s="11">
        <f t="shared" si="5"/>
        <v>937</v>
      </c>
      <c r="B317" s="1" t="str">
        <f>IF(B316="STD. DEVIATION",INDEX('1-DATA'!$1:$1048576,$A316-1,1),IF(INDEX('1-DATA'!$1:$1048576,$A317,1)&lt;&gt;"",INDEX('1-DATA'!$1:$1048576,$A317,1),""))</f>
        <v/>
      </c>
      <c r="C317" s="1" t="str">
        <f>IF(OR($B317="",C$7=""),"",IF($B317="MEANS",INDEX('1-DATA'!$1:$1048576,$A316-1,COLUMN('1-DATA'!B315)),ROUND(INDEX('1-DATA'!$1:$1048576,IF(OR($B317="STD. DEVIATION",$C$1=1),$A317,$A317+1),COLUMN('1-DATA'!B315)),IF($B317="STD. DEVIATION",2,$F$1))))</f>
        <v/>
      </c>
      <c r="D317" s="1" t="str">
        <f>IF(OR($B317="",D$7=""),"",IF($B317="MEANS",INDEX('1-DATA'!$1:$1048576,$A316-1,COLUMN('1-DATA'!C315)),ROUND(INDEX('1-DATA'!$1:$1048576,IF(OR($B317="STD. DEVIATION",$C$1=1),$A317,$A317+1),COLUMN('1-DATA'!C315)),IF($B317="STD. DEVIATION",2,$F$1))))</f>
        <v/>
      </c>
      <c r="E317" s="1" t="str">
        <f>IF(OR($B317="",E$7=""),"",IF($B317="MEANS",INDEX('1-DATA'!$1:$1048576,$A316-1,COLUMN('1-DATA'!D315)),ROUND(INDEX('1-DATA'!$1:$1048576,IF(OR($B317="STD. DEVIATION",$C$1=1),$A317,$A317+1),COLUMN('1-DATA'!D315)),IF($B317="STD. DEVIATION",2,$F$1))))</f>
        <v/>
      </c>
      <c r="F317" s="1" t="str">
        <f>IF(OR($B317="",F$7=""),"",IF($B317="MEANS",INDEX('1-DATA'!$1:$1048576,$A316-1,COLUMN('1-DATA'!E315)),ROUND(INDEX('1-DATA'!$1:$1048576,IF(OR($B317="STD. DEVIATION",$C$1=1),$A317,$A317+1),COLUMN('1-DATA'!E315)),IF($B317="STD. DEVIATION",2,$F$1))))</f>
        <v/>
      </c>
      <c r="G317" s="1" t="str">
        <f>IF(OR($B317="",G$7=""),"",IF($B317="MEANS",INDEX('1-DATA'!$1:$1048576,$A316-1,COLUMN('1-DATA'!F315)),ROUND(INDEX('1-DATA'!$1:$1048576,IF(OR($B317="STD. DEVIATION",$C$1=1),$A317,$A317+1),COLUMN('1-DATA'!F315)),IF($B317="STD. DEVIATION",2,$F$1))))</f>
        <v/>
      </c>
      <c r="H317" s="1" t="str">
        <f>IF(OR($B317="",H$7=""),"",IF($B317="MEANS",INDEX('1-DATA'!$1:$1048576,$A316-1,COLUMN('1-DATA'!G315)),ROUND(INDEX('1-DATA'!$1:$1048576,IF(OR($B317="STD. DEVIATION",$C$1=1),$A317,$A317+1),COLUMN('1-DATA'!G315)),IF($B317="STD. DEVIATION",2,$F$1))))</f>
        <v/>
      </c>
      <c r="I317" s="1" t="str">
        <f>IF(OR($B317="",I$7=""),"",IF($B317="MEANS",INDEX('1-DATA'!$1:$1048576,$A316-1,COLUMN('1-DATA'!H315)),ROUND(INDEX('1-DATA'!$1:$1048576,IF(OR($B317="STD. DEVIATION",$C$1=1),$A317,$A317+1),COLUMN('1-DATA'!H315)),IF($B317="STD. DEVIATION",2,$F$1))))</f>
        <v/>
      </c>
      <c r="J317" s="1" t="str">
        <f>IF(OR($B317="",J$7=""),"",IF($B317="MEANS",INDEX('1-DATA'!$1:$1048576,$A316-1,COLUMN('1-DATA'!I315)),ROUND(INDEX('1-DATA'!$1:$1048576,IF(OR($B317="STD. DEVIATION",$C$1=1),$A317,$A317+1),COLUMN('1-DATA'!I315)),IF($B317="STD. DEVIATION",2,$F$1))))</f>
        <v/>
      </c>
      <c r="K317" s="1" t="str">
        <f>IF(OR($B317="",K$7=""),"",IF($B317="MEANS",INDEX('1-DATA'!$1:$1048576,$A316-1,COLUMN('1-DATA'!J315)),ROUND(INDEX('1-DATA'!$1:$1048576,IF(OR($B317="STD. DEVIATION",$C$1=1),$A317,$A317+1),COLUMN('1-DATA'!J315)),IF($B317="STD. DEVIATION",2,$F$1))))</f>
        <v/>
      </c>
      <c r="L317" s="1" t="str">
        <f>IF(OR($B317="",L$7=""),"",IF($B317="MEANS",INDEX('1-DATA'!$1:$1048576,$A316-1,COLUMN('1-DATA'!K315)),ROUND(INDEX('1-DATA'!$1:$1048576,IF(OR($B317="STD. DEVIATION",$C$1=1),$A317,$A317+1),COLUMN('1-DATA'!K315)),IF($B317="STD. DEVIATION",2,$F$1))))</f>
        <v/>
      </c>
      <c r="M317" s="1" t="str">
        <f>IF(OR($B317="",M$7=""),"",IF($B317="MEANS",INDEX('1-DATA'!$1:$1048576,$A316-1,COLUMN('1-DATA'!L315)),ROUND(INDEX('1-DATA'!$1:$1048576,IF(OR($B317="STD. DEVIATION",$C$1=1),$A317,$A317+1),COLUMN('1-DATA'!L315)),IF($B317="STD. DEVIATION",2,$F$1))))</f>
        <v/>
      </c>
      <c r="N317" s="1" t="str">
        <f>IF(OR($B317="",N$7=""),"",IF($B317="MEANS",INDEX('1-DATA'!$1:$1048576,$A316-1,COLUMN('1-DATA'!M315)),ROUND(INDEX('1-DATA'!$1:$1048576,IF(OR($B317="STD. DEVIATION",$C$1=1),$A317,$A317+1),COLUMN('1-DATA'!M315)),IF($B317="STD. DEVIATION",2,$F$1))))</f>
        <v/>
      </c>
      <c r="O317" s="1" t="str">
        <f>IF(OR($B317="",O$7=""),"",IF($B317="MEANS",INDEX('1-DATA'!$1:$1048576,$A316-1,COLUMN('1-DATA'!N315)),ROUND(INDEX('1-DATA'!$1:$1048576,IF(OR($B317="STD. DEVIATION",$C$1=1),$A317,$A317+1),COLUMN('1-DATA'!N315)),IF($B317="STD. DEVIATION",2,$F$1))))</f>
        <v/>
      </c>
      <c r="P317" s="1" t="str">
        <f>IF(OR($B317="",P$7=""),"",IF($B317="MEANS",INDEX('1-DATA'!$1:$1048576,$A316-1,COLUMN('1-DATA'!O315)),ROUND(INDEX('1-DATA'!$1:$1048576,IF(OR($B317="STD. DEVIATION",$C$1=1),$A317,$A317+1),COLUMN('1-DATA'!O315)),IF($B317="STD. DEVIATION",2,$F$1))))</f>
        <v/>
      </c>
      <c r="Q317" s="1" t="str">
        <f>IF(OR($B317="",Q$7=""),"",IF($B317="MEANS",INDEX('1-DATA'!$1:$1048576,$A316-1,COLUMN('1-DATA'!P315)),ROUND(INDEX('1-DATA'!$1:$1048576,IF(OR($B317="STD. DEVIATION",$C$1=1),$A317,$A317+1),COLUMN('1-DATA'!P315)),IF($B317="STD. DEVIATION",2,$F$1))))</f>
        <v/>
      </c>
      <c r="R317" s="1" t="str">
        <f>IF(OR($B317="",R$7=""),"",IF($B317="MEANS",INDEX('1-DATA'!$1:$1048576,$A316-1,COLUMN('1-DATA'!Q315)),ROUND(INDEX('1-DATA'!$1:$1048576,IF(OR($B317="STD. DEVIATION",$C$1=1),$A317,$A317+1),COLUMN('1-DATA'!Q315)),IF($B317="STD. DEVIATION",2,$F$1))))</f>
        <v/>
      </c>
      <c r="S317" s="1" t="str">
        <f>IF(OR($B317="",S$7=""),"",IF($B317="MEANS",INDEX('1-DATA'!$1:$1048576,$A316-1,COLUMN('1-DATA'!R315)),ROUND(INDEX('1-DATA'!$1:$1048576,IF(OR($B317="STD. DEVIATION",$C$1=1),$A317,$A317+1),COLUMN('1-DATA'!R315)),IF($B317="STD. DEVIATION",2,$F$1))))</f>
        <v/>
      </c>
      <c r="T317" s="1" t="str">
        <f>IF(OR($B317="",T$7=""),"",IF($B317="MEANS",INDEX('1-DATA'!$1:$1048576,$A316-1,COLUMN('1-DATA'!S315)),ROUND(INDEX('1-DATA'!$1:$1048576,IF(OR($B317="STD. DEVIATION",$C$1=1),$A317,$A317+1),COLUMN('1-DATA'!S315)),IF($B317="STD. DEVIATION",2,$F$1))))</f>
        <v/>
      </c>
      <c r="U317" s="1" t="str">
        <f>IF(OR($B317="",U$7=""),"",IF($B317="MEANS",INDEX('1-DATA'!$1:$1048576,$A316-1,COLUMN('1-DATA'!T315)),ROUND(INDEX('1-DATA'!$1:$1048576,IF(OR($B317="STD. DEVIATION",$C$1=1),$A317,$A317+1),COLUMN('1-DATA'!T315)),IF($B317="STD. DEVIATION",2,$F$1))))</f>
        <v/>
      </c>
      <c r="V317" s="1" t="str">
        <f>IF(OR($B317="",V$7=""),"",IF($B317="MEANS",INDEX('1-DATA'!$1:$1048576,$A316-1,COLUMN('1-DATA'!U315)),ROUND(INDEX('1-DATA'!$1:$1048576,IF(OR($B317="STD. DEVIATION",$C$1=1),$A317,$A317+1),COLUMN('1-DATA'!U315)),IF($B317="STD. DEVIATION",2,$F$1))))</f>
        <v/>
      </c>
      <c r="W317" s="1" t="str">
        <f>IF(OR($B317="",W$7=""),"",IF($B317="MEANS",INDEX('1-DATA'!$1:$1048576,$A316-1,COLUMN('1-DATA'!V315)),ROUND(INDEX('1-DATA'!$1:$1048576,IF(OR($B317="STD. DEVIATION",$C$1=1),$A317,$A317+1),COLUMN('1-DATA'!V315)),IF($B317="STD. DEVIATION",2,$F$1))))</f>
        <v/>
      </c>
      <c r="X317" s="1" t="str">
        <f>IF(OR($B317="",X$7=""),"",IF($B317="MEANS",INDEX('1-DATA'!$1:$1048576,$A316-1,COLUMN('1-DATA'!W315)),ROUND(INDEX('1-DATA'!$1:$1048576,IF(OR($B317="STD. DEVIATION",$C$1=1),$A317,$A317+1),COLUMN('1-DATA'!W315)),IF($B317="STD. DEVIATION",2,$F$1))))</f>
        <v/>
      </c>
      <c r="Y317" s="1" t="str">
        <f>IF(OR($B317="",Y$7=""),"",IF($B317="MEANS",INDEX('1-DATA'!$1:$1048576,$A316-1,COLUMN('1-DATA'!X315)),ROUND(INDEX('1-DATA'!$1:$1048576,IF(OR($B317="STD. DEVIATION",$C$1=1),$A317,$A317+1),COLUMN('1-DATA'!X315)),IF($B317="STD. DEVIATION",2,$F$1))))</f>
        <v/>
      </c>
      <c r="Z317" s="1" t="str">
        <f>IF(OR($B317="",Z$7=""),"",IF($B317="MEANS",INDEX('1-DATA'!$1:$1048576,$A316-1,COLUMN('1-DATA'!Y315)),ROUND(INDEX('1-DATA'!$1:$1048576,IF(OR($B317="STD. DEVIATION",$C$1=1),$A317,$A317+1),COLUMN('1-DATA'!Y315)),IF($B317="STD. DEVIATION",2,$F$1))))</f>
        <v/>
      </c>
      <c r="AA317" s="1" t="str">
        <f>IF(OR($B317="",AA$7=""),"",IF($B317="MEANS",INDEX('1-DATA'!$1:$1048576,$A316-1,COLUMN('1-DATA'!Z315)),ROUND(INDEX('1-DATA'!$1:$1048576,IF(OR($B317="STD. DEVIATION",$C$1=1),$A317,$A317+1),COLUMN('1-DATA'!Z315)),IF($B317="STD. DEVIATION",2,$F$1))))</f>
        <v/>
      </c>
      <c r="AB317" s="1" t="str">
        <f>IF(OR($B317="",AB$7=""),"",IF($B317="MEANS",INDEX('1-DATA'!$1:$1048576,$A316-1,COLUMN('1-DATA'!AA315)),ROUND(INDEX('1-DATA'!$1:$1048576,IF(OR($B317="STD. DEVIATION",$C$1=1),$A317,$A317+1),COLUMN('1-DATA'!AA315)),IF($B317="STD. DEVIATION",2,$F$1))))</f>
        <v/>
      </c>
      <c r="AC317" s="1" t="str">
        <f>IF(OR($B317="",AC$7=""),"",IF($B317="MEANS",INDEX('1-DATA'!$1:$1048576,$A316-1,COLUMN('1-DATA'!AB315)),ROUND(INDEX('1-DATA'!$1:$1048576,IF(OR($B317="STD. DEVIATION",$C$1=1),$A317,$A317+1),COLUMN('1-DATA'!AB315)),IF($B317="STD. DEVIATION",2,$F$1))))</f>
        <v/>
      </c>
      <c r="AD317" s="1" t="str">
        <f>IF(OR($B317="",AD$7=""),"",IF($B317="MEANS",INDEX('1-DATA'!$1:$1048576,$A316-1,COLUMN('1-DATA'!AC315)),ROUND(INDEX('1-DATA'!$1:$1048576,IF(OR($B317="STD. DEVIATION",$C$1=1),$A317,$A317+1),COLUMN('1-DATA'!AC315)),IF($B317="STD. DEVIATION",2,$F$1))))</f>
        <v/>
      </c>
      <c r="AE317" s="1" t="str">
        <f>IF(OR($B317="",AE$7=""),"",IF($B317="MEANS",INDEX('1-DATA'!$1:$1048576,$A316-1,COLUMN('1-DATA'!AD315)),ROUND(INDEX('1-DATA'!$1:$1048576,IF(OR($B317="STD. DEVIATION",$C$1=1),$A317,$A317+1),COLUMN('1-DATA'!AD315)),IF($B317="STD. DEVIATION",2,$F$1))))</f>
        <v/>
      </c>
      <c r="AF317" s="1" t="str">
        <f>IF(OR($B317="",AF$7=""),"",IF($B317="MEANS",INDEX('1-DATA'!$1:$1048576,$A316-1,COLUMN('1-DATA'!AE315)),ROUND(INDEX('1-DATA'!$1:$1048576,IF(OR($B317="STD. DEVIATION",$C$1=1),$A317,$A317+1),COLUMN('1-DATA'!AE315)),IF($B317="STD. DEVIATION",2,$F$1))))</f>
        <v/>
      </c>
      <c r="AG317" s="1" t="str">
        <f>IF(OR($B317="",AG$7=""),"",IF($B317="MEANS",INDEX('1-DATA'!$1:$1048576,$A316-1,COLUMN('1-DATA'!AF315)),ROUND(INDEX('1-DATA'!$1:$1048576,IF(OR($B317="STD. DEVIATION",$C$1=1),$A317,$A317+1),COLUMN('1-DATA'!AF315)),IF($B317="STD. DEVIATION",2,$F$1))))</f>
        <v/>
      </c>
      <c r="AH317" s="1" t="str">
        <f>IF(OR($B317="",AH$7=""),"",IF($B317="MEANS",INDEX('1-DATA'!$1:$1048576,$A316-1,COLUMN('1-DATA'!AG315)),ROUND(INDEX('1-DATA'!$1:$1048576,IF(OR($B317="STD. DEVIATION",$C$1=1),$A317,$A317+1),COLUMN('1-DATA'!AG315)),IF($B317="STD. DEVIATION",2,$F$1))))</f>
        <v/>
      </c>
      <c r="AI317" s="1" t="str">
        <f>IF(OR($B317="",AI$7=""),"",IF($B317="MEANS",INDEX('1-DATA'!$1:$1048576,$A316-1,COLUMN('1-DATA'!AH315)),ROUND(INDEX('1-DATA'!$1:$1048576,IF(OR($B317="STD. DEVIATION",$C$1=1),$A317,$A317+1),COLUMN('1-DATA'!AH315)),IF($B317="STD. DEVIATION",2,$F$1))))</f>
        <v/>
      </c>
      <c r="AJ317" s="1" t="str">
        <f>IF(OR($B317="",AJ$7=""),"",IF($B317="MEANS",INDEX('1-DATA'!$1:$1048576,$A316-1,COLUMN('1-DATA'!AI315)),ROUND(INDEX('1-DATA'!$1:$1048576,IF(OR($B317="STD. DEVIATION",$C$1=1),$A317,$A317+1),COLUMN('1-DATA'!AI315)),IF($B317="STD. DEVIATION",2,$F$1))))</f>
        <v/>
      </c>
      <c r="AK317" s="1" t="str">
        <f>IF(OR($B317="",AK$7=""),"",IF($B317="MEANS",INDEX('1-DATA'!$1:$1048576,$A316-1,COLUMN('1-DATA'!AJ315)),ROUND(INDEX('1-DATA'!$1:$1048576,IF(OR($B317="STD. DEVIATION",$C$1=1),$A317,$A317+1),COLUMN('1-DATA'!AJ315)),IF($B317="STD. DEVIATION",2,$F$1))))</f>
        <v/>
      </c>
      <c r="AL317" s="1" t="str">
        <f>IF(OR($B317="",AL$7=""),"",IF($B317="MEANS",INDEX('1-DATA'!$1:$1048576,$A316-1,COLUMN('1-DATA'!AK315)),ROUND(INDEX('1-DATA'!$1:$1048576,IF(OR($B317="STD. DEVIATION",$C$1=1),$A317,$A317+1),COLUMN('1-DATA'!AK315)),IF($B317="STD. DEVIATION",2,$F$1))))</f>
        <v/>
      </c>
      <c r="AM317" s="1" t="str">
        <f>IF(OR($B317="",AM$7=""),"",IF($B317="MEANS",INDEX('1-DATA'!$1:$1048576,$A316-1,COLUMN('1-DATA'!AL315)),ROUND(INDEX('1-DATA'!$1:$1048576,IF(OR($B317="STD. DEVIATION",$C$1=1),$A317,$A317+1),COLUMN('1-DATA'!AL315)),IF($B317="STD. DEVIATION",2,$F$1))))</f>
        <v/>
      </c>
      <c r="AN317" s="1" t="str">
        <f>IF(OR($B317="",AN$7=""),"",IF($B317="MEANS",INDEX('1-DATA'!$1:$1048576,$A316-1,COLUMN('1-DATA'!AM315)),ROUND(INDEX('1-DATA'!$1:$1048576,IF(OR($B317="STD. DEVIATION",$C$1=1),$A317,$A317+1),COLUMN('1-DATA'!AM315)),IF($B317="STD. DEVIATION",2,$F$1))))</f>
        <v/>
      </c>
      <c r="AO317" s="1" t="str">
        <f>IF(OR($B317="",AO$7=""),"",IF($B317="MEANS",INDEX('1-DATA'!$1:$1048576,$A316-1,COLUMN('1-DATA'!AN315)),ROUND(INDEX('1-DATA'!$1:$1048576,IF(OR($B317="STD. DEVIATION",$C$1=1),$A317,$A317+1),COLUMN('1-DATA'!AN315)),IF($B317="STD. DEVIATION",2,$F$1))))</f>
        <v/>
      </c>
      <c r="AP317" s="1" t="str">
        <f>IF(OR($B317="",AP$7=""),"",IF($B317="MEANS",INDEX('1-DATA'!$1:$1048576,$A316-1,COLUMN('1-DATA'!AO315)),ROUND(INDEX('1-DATA'!$1:$1048576,IF(OR($B317="STD. DEVIATION",$C$1=1),$A317,$A317+1),COLUMN('1-DATA'!AO315)),IF($B317="STD. DEVIATION",2,$F$1))))</f>
        <v/>
      </c>
      <c r="AQ317" s="1" t="str">
        <f>IF(OR($B317="",AQ$7=""),"",IF($B317="MEANS",INDEX('1-DATA'!$1:$1048576,$A316-1,COLUMN('1-DATA'!AP315)),ROUND(INDEX('1-DATA'!$1:$1048576,IF(OR($B317="STD. DEVIATION",$C$1=1),$A317,$A317+1),COLUMN('1-DATA'!AP315)),IF($B317="STD. DEVIATION",2,$F$1))))</f>
        <v/>
      </c>
      <c r="AR317" s="1" t="str">
        <f>IF(OR($B317="",AR$7=""),"",IF($B317="MEANS",INDEX('1-DATA'!$1:$1048576,$A316-1,COLUMN('1-DATA'!AQ315)),ROUND(INDEX('1-DATA'!$1:$1048576,IF(OR($B317="STD. DEVIATION",$C$1=1),$A317,$A317+1),COLUMN('1-DATA'!AQ315)),IF($B317="STD. DEVIATION",2,$F$1))))</f>
        <v/>
      </c>
      <c r="AS317" s="1" t="str">
        <f>IF(OR($B317="",AS$7=""),"",IF($B317="MEANS",INDEX('1-DATA'!$1:$1048576,$A316-1,COLUMN('1-DATA'!AR315)),ROUND(INDEX('1-DATA'!$1:$1048576,IF(OR($B317="STD. DEVIATION",$C$1=1),$A317,$A317+1),COLUMN('1-DATA'!AR315)),IF($B317="STD. DEVIATION",2,$F$1))))</f>
        <v/>
      </c>
      <c r="AT317" s="1" t="str">
        <f>IF(OR($B317="",AT$7=""),"",IF($B317="MEANS",INDEX('1-DATA'!$1:$1048576,$A316-1,COLUMN('1-DATA'!AS315)),ROUND(INDEX('1-DATA'!$1:$1048576,IF(OR($B317="STD. DEVIATION",$C$1=1),$A317,$A317+1),COLUMN('1-DATA'!AS315)),IF($B317="STD. DEVIATION",2,$F$1))))</f>
        <v/>
      </c>
      <c r="AU317" s="1" t="str">
        <f>IF(OR($B317="",AU$7=""),"",IF($B317="MEANS",INDEX('1-DATA'!$1:$1048576,$A316-1,COLUMN('1-DATA'!AT315)),ROUND(INDEX('1-DATA'!$1:$1048576,IF(OR($B317="STD. DEVIATION",$C$1=1),$A317,$A317+1),COLUMN('1-DATA'!AT315)),IF($B317="STD. DEVIATION",2,$F$1))))</f>
        <v/>
      </c>
      <c r="AV317" s="1" t="str">
        <f>IF(OR($B317="",AV$7=""),"",IF($B317="MEANS",INDEX('1-DATA'!$1:$1048576,$A316-1,COLUMN('1-DATA'!AU315)),ROUND(INDEX('1-DATA'!$1:$1048576,IF(OR($B317="STD. DEVIATION",$C$1=1),$A317,$A317+1),COLUMN('1-DATA'!AU315)),IF($B317="STD. DEVIATION",2,$F$1))))</f>
        <v/>
      </c>
      <c r="AW317" s="1" t="str">
        <f>IF(OR($B317="",AW$7=""),"",IF($B317="MEANS",INDEX('1-DATA'!$1:$1048576,$A316-1,COLUMN('1-DATA'!AV315)),ROUND(INDEX('1-DATA'!$1:$1048576,IF(OR($B317="STD. DEVIATION",$C$1=1),$A317,$A317+1),COLUMN('1-DATA'!AV315)),IF($B317="STD. DEVIATION",2,$F$1))))</f>
        <v/>
      </c>
      <c r="AX317" s="1" t="str">
        <f>IF(OR($B317="",AX$7=""),"",IF($B317="MEANS",INDEX('1-DATA'!$1:$1048576,$A316-1,COLUMN('1-DATA'!AW315)),ROUND(INDEX('1-DATA'!$1:$1048576,IF(OR($B317="STD. DEVIATION",$C$1=1),$A317,$A317+1),COLUMN('1-DATA'!AW315)),IF($B317="STD. DEVIATION",2,$F$1))))</f>
        <v/>
      </c>
      <c r="AY317" s="1" t="str">
        <f>IF(OR($B317="",AY$7=""),"",IF($B317="MEANS",INDEX('1-DATA'!$1:$1048576,$A316-1,COLUMN('1-DATA'!AX315)),ROUND(INDEX('1-DATA'!$1:$1048576,IF(OR($B317="STD. DEVIATION",$C$1=1),$A317,$A317+1),COLUMN('1-DATA'!AX315)),IF($B317="STD. DEVIATION",2,$F$1))))</f>
        <v/>
      </c>
      <c r="AZ317" s="1" t="str">
        <f>IF(OR($B317="",AZ$7=""),"",IF($B317="MEANS",INDEX('1-DATA'!$1:$1048576,$A316-1,COLUMN('1-DATA'!AY315)),ROUND(INDEX('1-DATA'!$1:$1048576,IF(OR($B317="STD. DEVIATION",$C$1=1),$A317,$A317+1),COLUMN('1-DATA'!AY315)),IF($B317="STD. DEVIATION",2,$F$1))))</f>
        <v/>
      </c>
    </row>
    <row r="318" spans="1:52" x14ac:dyDescent="0.25">
      <c r="A318" s="11">
        <f t="shared" si="5"/>
        <v>940</v>
      </c>
      <c r="B318" s="1" t="str">
        <f>IF(B317="STD. DEVIATION",INDEX('1-DATA'!$1:$1048576,$A317-1,1),IF(INDEX('1-DATA'!$1:$1048576,$A318,1)&lt;&gt;"",INDEX('1-DATA'!$1:$1048576,$A318,1),""))</f>
        <v/>
      </c>
      <c r="C318" s="1" t="str">
        <f>IF(OR($B318="",C$7=""),"",IF($B318="MEANS",INDEX('1-DATA'!$1:$1048576,$A317-1,COLUMN('1-DATA'!B316)),ROUND(INDEX('1-DATA'!$1:$1048576,IF(OR($B318="STD. DEVIATION",$C$1=1),$A318,$A318+1),COLUMN('1-DATA'!B316)),IF($B318="STD. DEVIATION",2,$F$1))))</f>
        <v/>
      </c>
      <c r="D318" s="1" t="str">
        <f>IF(OR($B318="",D$7=""),"",IF($B318="MEANS",INDEX('1-DATA'!$1:$1048576,$A317-1,COLUMN('1-DATA'!C316)),ROUND(INDEX('1-DATA'!$1:$1048576,IF(OR($B318="STD. DEVIATION",$C$1=1),$A318,$A318+1),COLUMN('1-DATA'!C316)),IF($B318="STD. DEVIATION",2,$F$1))))</f>
        <v/>
      </c>
      <c r="E318" s="1" t="str">
        <f>IF(OR($B318="",E$7=""),"",IF($B318="MEANS",INDEX('1-DATA'!$1:$1048576,$A317-1,COLUMN('1-DATA'!D316)),ROUND(INDEX('1-DATA'!$1:$1048576,IF(OR($B318="STD. DEVIATION",$C$1=1),$A318,$A318+1),COLUMN('1-DATA'!D316)),IF($B318="STD. DEVIATION",2,$F$1))))</f>
        <v/>
      </c>
      <c r="F318" s="1" t="str">
        <f>IF(OR($B318="",F$7=""),"",IF($B318="MEANS",INDEX('1-DATA'!$1:$1048576,$A317-1,COLUMN('1-DATA'!E316)),ROUND(INDEX('1-DATA'!$1:$1048576,IF(OR($B318="STD. DEVIATION",$C$1=1),$A318,$A318+1),COLUMN('1-DATA'!E316)),IF($B318="STD. DEVIATION",2,$F$1))))</f>
        <v/>
      </c>
      <c r="G318" s="1" t="str">
        <f>IF(OR($B318="",G$7=""),"",IF($B318="MEANS",INDEX('1-DATA'!$1:$1048576,$A317-1,COLUMN('1-DATA'!F316)),ROUND(INDEX('1-DATA'!$1:$1048576,IF(OR($B318="STD. DEVIATION",$C$1=1),$A318,$A318+1),COLUMN('1-DATA'!F316)),IF($B318="STD. DEVIATION",2,$F$1))))</f>
        <v/>
      </c>
      <c r="H318" s="1" t="str">
        <f>IF(OR($B318="",H$7=""),"",IF($B318="MEANS",INDEX('1-DATA'!$1:$1048576,$A317-1,COLUMN('1-DATA'!G316)),ROUND(INDEX('1-DATA'!$1:$1048576,IF(OR($B318="STD. DEVIATION",$C$1=1),$A318,$A318+1),COLUMN('1-DATA'!G316)),IF($B318="STD. DEVIATION",2,$F$1))))</f>
        <v/>
      </c>
      <c r="I318" s="1" t="str">
        <f>IF(OR($B318="",I$7=""),"",IF($B318="MEANS",INDEX('1-DATA'!$1:$1048576,$A317-1,COLUMN('1-DATA'!H316)),ROUND(INDEX('1-DATA'!$1:$1048576,IF(OR($B318="STD. DEVIATION",$C$1=1),$A318,$A318+1),COLUMN('1-DATA'!H316)),IF($B318="STD. DEVIATION",2,$F$1))))</f>
        <v/>
      </c>
      <c r="J318" s="1" t="str">
        <f>IF(OR($B318="",J$7=""),"",IF($B318="MEANS",INDEX('1-DATA'!$1:$1048576,$A317-1,COLUMN('1-DATA'!I316)),ROUND(INDEX('1-DATA'!$1:$1048576,IF(OR($B318="STD. DEVIATION",$C$1=1),$A318,$A318+1),COLUMN('1-DATA'!I316)),IF($B318="STD. DEVIATION",2,$F$1))))</f>
        <v/>
      </c>
      <c r="K318" s="1" t="str">
        <f>IF(OR($B318="",K$7=""),"",IF($B318="MEANS",INDEX('1-DATA'!$1:$1048576,$A317-1,COLUMN('1-DATA'!J316)),ROUND(INDEX('1-DATA'!$1:$1048576,IF(OR($B318="STD. DEVIATION",$C$1=1),$A318,$A318+1),COLUMN('1-DATA'!J316)),IF($B318="STD. DEVIATION",2,$F$1))))</f>
        <v/>
      </c>
      <c r="L318" s="1" t="str">
        <f>IF(OR($B318="",L$7=""),"",IF($B318="MEANS",INDEX('1-DATA'!$1:$1048576,$A317-1,COLUMN('1-DATA'!K316)),ROUND(INDEX('1-DATA'!$1:$1048576,IF(OR($B318="STD. DEVIATION",$C$1=1),$A318,$A318+1),COLUMN('1-DATA'!K316)),IF($B318="STD. DEVIATION",2,$F$1))))</f>
        <v/>
      </c>
      <c r="M318" s="1" t="str">
        <f>IF(OR($B318="",M$7=""),"",IF($B318="MEANS",INDEX('1-DATA'!$1:$1048576,$A317-1,COLUMN('1-DATA'!L316)),ROUND(INDEX('1-DATA'!$1:$1048576,IF(OR($B318="STD. DEVIATION",$C$1=1),$A318,$A318+1),COLUMN('1-DATA'!L316)),IF($B318="STD. DEVIATION",2,$F$1))))</f>
        <v/>
      </c>
      <c r="N318" s="1" t="str">
        <f>IF(OR($B318="",N$7=""),"",IF($B318="MEANS",INDEX('1-DATA'!$1:$1048576,$A317-1,COLUMN('1-DATA'!M316)),ROUND(INDEX('1-DATA'!$1:$1048576,IF(OR($B318="STD. DEVIATION",$C$1=1),$A318,$A318+1),COLUMN('1-DATA'!M316)),IF($B318="STD. DEVIATION",2,$F$1))))</f>
        <v/>
      </c>
      <c r="O318" s="1" t="str">
        <f>IF(OR($B318="",O$7=""),"",IF($B318="MEANS",INDEX('1-DATA'!$1:$1048576,$A317-1,COLUMN('1-DATA'!N316)),ROUND(INDEX('1-DATA'!$1:$1048576,IF(OR($B318="STD. DEVIATION",$C$1=1),$A318,$A318+1),COLUMN('1-DATA'!N316)),IF($B318="STD. DEVIATION",2,$F$1))))</f>
        <v/>
      </c>
      <c r="P318" s="1" t="str">
        <f>IF(OR($B318="",P$7=""),"",IF($B318="MEANS",INDEX('1-DATA'!$1:$1048576,$A317-1,COLUMN('1-DATA'!O316)),ROUND(INDEX('1-DATA'!$1:$1048576,IF(OR($B318="STD. DEVIATION",$C$1=1),$A318,$A318+1),COLUMN('1-DATA'!O316)),IF($B318="STD. DEVIATION",2,$F$1))))</f>
        <v/>
      </c>
      <c r="Q318" s="1" t="str">
        <f>IF(OR($B318="",Q$7=""),"",IF($B318="MEANS",INDEX('1-DATA'!$1:$1048576,$A317-1,COLUMN('1-DATA'!P316)),ROUND(INDEX('1-DATA'!$1:$1048576,IF(OR($B318="STD. DEVIATION",$C$1=1),$A318,$A318+1),COLUMN('1-DATA'!P316)),IF($B318="STD. DEVIATION",2,$F$1))))</f>
        <v/>
      </c>
      <c r="R318" s="1" t="str">
        <f>IF(OR($B318="",R$7=""),"",IF($B318="MEANS",INDEX('1-DATA'!$1:$1048576,$A317-1,COLUMN('1-DATA'!Q316)),ROUND(INDEX('1-DATA'!$1:$1048576,IF(OR($B318="STD. DEVIATION",$C$1=1),$A318,$A318+1),COLUMN('1-DATA'!Q316)),IF($B318="STD. DEVIATION",2,$F$1))))</f>
        <v/>
      </c>
      <c r="S318" s="1" t="str">
        <f>IF(OR($B318="",S$7=""),"",IF($B318="MEANS",INDEX('1-DATA'!$1:$1048576,$A317-1,COLUMN('1-DATA'!R316)),ROUND(INDEX('1-DATA'!$1:$1048576,IF(OR($B318="STD. DEVIATION",$C$1=1),$A318,$A318+1),COLUMN('1-DATA'!R316)),IF($B318="STD. DEVIATION",2,$F$1))))</f>
        <v/>
      </c>
      <c r="T318" s="1" t="str">
        <f>IF(OR($B318="",T$7=""),"",IF($B318="MEANS",INDEX('1-DATA'!$1:$1048576,$A317-1,COLUMN('1-DATA'!S316)),ROUND(INDEX('1-DATA'!$1:$1048576,IF(OR($B318="STD. DEVIATION",$C$1=1),$A318,$A318+1),COLUMN('1-DATA'!S316)),IF($B318="STD. DEVIATION",2,$F$1))))</f>
        <v/>
      </c>
      <c r="U318" s="1" t="str">
        <f>IF(OR($B318="",U$7=""),"",IF($B318="MEANS",INDEX('1-DATA'!$1:$1048576,$A317-1,COLUMN('1-DATA'!T316)),ROUND(INDEX('1-DATA'!$1:$1048576,IF(OR($B318="STD. DEVIATION",$C$1=1),$A318,$A318+1),COLUMN('1-DATA'!T316)),IF($B318="STD. DEVIATION",2,$F$1))))</f>
        <v/>
      </c>
      <c r="V318" s="1" t="str">
        <f>IF(OR($B318="",V$7=""),"",IF($B318="MEANS",INDEX('1-DATA'!$1:$1048576,$A317-1,COLUMN('1-DATA'!U316)),ROUND(INDEX('1-DATA'!$1:$1048576,IF(OR($B318="STD. DEVIATION",$C$1=1),$A318,$A318+1),COLUMN('1-DATA'!U316)),IF($B318="STD. DEVIATION",2,$F$1))))</f>
        <v/>
      </c>
      <c r="W318" s="1" t="str">
        <f>IF(OR($B318="",W$7=""),"",IF($B318="MEANS",INDEX('1-DATA'!$1:$1048576,$A317-1,COLUMN('1-DATA'!V316)),ROUND(INDEX('1-DATA'!$1:$1048576,IF(OR($B318="STD. DEVIATION",$C$1=1),$A318,$A318+1),COLUMN('1-DATA'!V316)),IF($B318="STD. DEVIATION",2,$F$1))))</f>
        <v/>
      </c>
      <c r="X318" s="1" t="str">
        <f>IF(OR($B318="",X$7=""),"",IF($B318="MEANS",INDEX('1-DATA'!$1:$1048576,$A317-1,COLUMN('1-DATA'!W316)),ROUND(INDEX('1-DATA'!$1:$1048576,IF(OR($B318="STD. DEVIATION",$C$1=1),$A318,$A318+1),COLUMN('1-DATA'!W316)),IF($B318="STD. DEVIATION",2,$F$1))))</f>
        <v/>
      </c>
      <c r="Y318" s="1" t="str">
        <f>IF(OR($B318="",Y$7=""),"",IF($B318="MEANS",INDEX('1-DATA'!$1:$1048576,$A317-1,COLUMN('1-DATA'!X316)),ROUND(INDEX('1-DATA'!$1:$1048576,IF(OR($B318="STD. DEVIATION",$C$1=1),$A318,$A318+1),COLUMN('1-DATA'!X316)),IF($B318="STD. DEVIATION",2,$F$1))))</f>
        <v/>
      </c>
      <c r="Z318" s="1" t="str">
        <f>IF(OR($B318="",Z$7=""),"",IF($B318="MEANS",INDEX('1-DATA'!$1:$1048576,$A317-1,COLUMN('1-DATA'!Y316)),ROUND(INDEX('1-DATA'!$1:$1048576,IF(OR($B318="STD. DEVIATION",$C$1=1),$A318,$A318+1),COLUMN('1-DATA'!Y316)),IF($B318="STD. DEVIATION",2,$F$1))))</f>
        <v/>
      </c>
      <c r="AA318" s="1" t="str">
        <f>IF(OR($B318="",AA$7=""),"",IF($B318="MEANS",INDEX('1-DATA'!$1:$1048576,$A317-1,COLUMN('1-DATA'!Z316)),ROUND(INDEX('1-DATA'!$1:$1048576,IF(OR($B318="STD. DEVIATION",$C$1=1),$A318,$A318+1),COLUMN('1-DATA'!Z316)),IF($B318="STD. DEVIATION",2,$F$1))))</f>
        <v/>
      </c>
      <c r="AB318" s="1" t="str">
        <f>IF(OR($B318="",AB$7=""),"",IF($B318="MEANS",INDEX('1-DATA'!$1:$1048576,$A317-1,COLUMN('1-DATA'!AA316)),ROUND(INDEX('1-DATA'!$1:$1048576,IF(OR($B318="STD. DEVIATION",$C$1=1),$A318,$A318+1),COLUMN('1-DATA'!AA316)),IF($B318="STD. DEVIATION",2,$F$1))))</f>
        <v/>
      </c>
      <c r="AC318" s="1" t="str">
        <f>IF(OR($B318="",AC$7=""),"",IF($B318="MEANS",INDEX('1-DATA'!$1:$1048576,$A317-1,COLUMN('1-DATA'!AB316)),ROUND(INDEX('1-DATA'!$1:$1048576,IF(OR($B318="STD. DEVIATION",$C$1=1),$A318,$A318+1),COLUMN('1-DATA'!AB316)),IF($B318="STD. DEVIATION",2,$F$1))))</f>
        <v/>
      </c>
      <c r="AD318" s="1" t="str">
        <f>IF(OR($B318="",AD$7=""),"",IF($B318="MEANS",INDEX('1-DATA'!$1:$1048576,$A317-1,COLUMN('1-DATA'!AC316)),ROUND(INDEX('1-DATA'!$1:$1048576,IF(OR($B318="STD. DEVIATION",$C$1=1),$A318,$A318+1),COLUMN('1-DATA'!AC316)),IF($B318="STD. DEVIATION",2,$F$1))))</f>
        <v/>
      </c>
      <c r="AE318" s="1" t="str">
        <f>IF(OR($B318="",AE$7=""),"",IF($B318="MEANS",INDEX('1-DATA'!$1:$1048576,$A317-1,COLUMN('1-DATA'!AD316)),ROUND(INDEX('1-DATA'!$1:$1048576,IF(OR($B318="STD. DEVIATION",$C$1=1),$A318,$A318+1),COLUMN('1-DATA'!AD316)),IF($B318="STD. DEVIATION",2,$F$1))))</f>
        <v/>
      </c>
      <c r="AF318" s="1" t="str">
        <f>IF(OR($B318="",AF$7=""),"",IF($B318="MEANS",INDEX('1-DATA'!$1:$1048576,$A317-1,COLUMN('1-DATA'!AE316)),ROUND(INDEX('1-DATA'!$1:$1048576,IF(OR($B318="STD. DEVIATION",$C$1=1),$A318,$A318+1),COLUMN('1-DATA'!AE316)),IF($B318="STD. DEVIATION",2,$F$1))))</f>
        <v/>
      </c>
      <c r="AG318" s="1" t="str">
        <f>IF(OR($B318="",AG$7=""),"",IF($B318="MEANS",INDEX('1-DATA'!$1:$1048576,$A317-1,COLUMN('1-DATA'!AF316)),ROUND(INDEX('1-DATA'!$1:$1048576,IF(OR($B318="STD. DEVIATION",$C$1=1),$A318,$A318+1),COLUMN('1-DATA'!AF316)),IF($B318="STD. DEVIATION",2,$F$1))))</f>
        <v/>
      </c>
      <c r="AH318" s="1" t="str">
        <f>IF(OR($B318="",AH$7=""),"",IF($B318="MEANS",INDEX('1-DATA'!$1:$1048576,$A317-1,COLUMN('1-DATA'!AG316)),ROUND(INDEX('1-DATA'!$1:$1048576,IF(OR($B318="STD. DEVIATION",$C$1=1),$A318,$A318+1),COLUMN('1-DATA'!AG316)),IF($B318="STD. DEVIATION",2,$F$1))))</f>
        <v/>
      </c>
      <c r="AI318" s="1" t="str">
        <f>IF(OR($B318="",AI$7=""),"",IF($B318="MEANS",INDEX('1-DATA'!$1:$1048576,$A317-1,COLUMN('1-DATA'!AH316)),ROUND(INDEX('1-DATA'!$1:$1048576,IF(OR($B318="STD. DEVIATION",$C$1=1),$A318,$A318+1),COLUMN('1-DATA'!AH316)),IF($B318="STD. DEVIATION",2,$F$1))))</f>
        <v/>
      </c>
      <c r="AJ318" s="1" t="str">
        <f>IF(OR($B318="",AJ$7=""),"",IF($B318="MEANS",INDEX('1-DATA'!$1:$1048576,$A317-1,COLUMN('1-DATA'!AI316)),ROUND(INDEX('1-DATA'!$1:$1048576,IF(OR($B318="STD. DEVIATION",$C$1=1),$A318,$A318+1),COLUMN('1-DATA'!AI316)),IF($B318="STD. DEVIATION",2,$F$1))))</f>
        <v/>
      </c>
      <c r="AK318" s="1" t="str">
        <f>IF(OR($B318="",AK$7=""),"",IF($B318="MEANS",INDEX('1-DATA'!$1:$1048576,$A317-1,COLUMN('1-DATA'!AJ316)),ROUND(INDEX('1-DATA'!$1:$1048576,IF(OR($B318="STD. DEVIATION",$C$1=1),$A318,$A318+1),COLUMN('1-DATA'!AJ316)),IF($B318="STD. DEVIATION",2,$F$1))))</f>
        <v/>
      </c>
      <c r="AL318" s="1" t="str">
        <f>IF(OR($B318="",AL$7=""),"",IF($B318="MEANS",INDEX('1-DATA'!$1:$1048576,$A317-1,COLUMN('1-DATA'!AK316)),ROUND(INDEX('1-DATA'!$1:$1048576,IF(OR($B318="STD. DEVIATION",$C$1=1),$A318,$A318+1),COLUMN('1-DATA'!AK316)),IF($B318="STD. DEVIATION",2,$F$1))))</f>
        <v/>
      </c>
      <c r="AM318" s="1" t="str">
        <f>IF(OR($B318="",AM$7=""),"",IF($B318="MEANS",INDEX('1-DATA'!$1:$1048576,$A317-1,COLUMN('1-DATA'!AL316)),ROUND(INDEX('1-DATA'!$1:$1048576,IF(OR($B318="STD. DEVIATION",$C$1=1),$A318,$A318+1),COLUMN('1-DATA'!AL316)),IF($B318="STD. DEVIATION",2,$F$1))))</f>
        <v/>
      </c>
      <c r="AN318" s="1" t="str">
        <f>IF(OR($B318="",AN$7=""),"",IF($B318="MEANS",INDEX('1-DATA'!$1:$1048576,$A317-1,COLUMN('1-DATA'!AM316)),ROUND(INDEX('1-DATA'!$1:$1048576,IF(OR($B318="STD. DEVIATION",$C$1=1),$A318,$A318+1),COLUMN('1-DATA'!AM316)),IF($B318="STD. DEVIATION",2,$F$1))))</f>
        <v/>
      </c>
      <c r="AO318" s="1" t="str">
        <f>IF(OR($B318="",AO$7=""),"",IF($B318="MEANS",INDEX('1-DATA'!$1:$1048576,$A317-1,COLUMN('1-DATA'!AN316)),ROUND(INDEX('1-DATA'!$1:$1048576,IF(OR($B318="STD. DEVIATION",$C$1=1),$A318,$A318+1),COLUMN('1-DATA'!AN316)),IF($B318="STD. DEVIATION",2,$F$1))))</f>
        <v/>
      </c>
      <c r="AP318" s="1" t="str">
        <f>IF(OR($B318="",AP$7=""),"",IF($B318="MEANS",INDEX('1-DATA'!$1:$1048576,$A317-1,COLUMN('1-DATA'!AO316)),ROUND(INDEX('1-DATA'!$1:$1048576,IF(OR($B318="STD. DEVIATION",$C$1=1),$A318,$A318+1),COLUMN('1-DATA'!AO316)),IF($B318="STD. DEVIATION",2,$F$1))))</f>
        <v/>
      </c>
      <c r="AQ318" s="1" t="str">
        <f>IF(OR($B318="",AQ$7=""),"",IF($B318="MEANS",INDEX('1-DATA'!$1:$1048576,$A317-1,COLUMN('1-DATA'!AP316)),ROUND(INDEX('1-DATA'!$1:$1048576,IF(OR($B318="STD. DEVIATION",$C$1=1),$A318,$A318+1),COLUMN('1-DATA'!AP316)),IF($B318="STD. DEVIATION",2,$F$1))))</f>
        <v/>
      </c>
      <c r="AR318" s="1" t="str">
        <f>IF(OR($B318="",AR$7=""),"",IF($B318="MEANS",INDEX('1-DATA'!$1:$1048576,$A317-1,COLUMN('1-DATA'!AQ316)),ROUND(INDEX('1-DATA'!$1:$1048576,IF(OR($B318="STD. DEVIATION",$C$1=1),$A318,$A318+1),COLUMN('1-DATA'!AQ316)),IF($B318="STD. DEVIATION",2,$F$1))))</f>
        <v/>
      </c>
      <c r="AS318" s="1" t="str">
        <f>IF(OR($B318="",AS$7=""),"",IF($B318="MEANS",INDEX('1-DATA'!$1:$1048576,$A317-1,COLUMN('1-DATA'!AR316)),ROUND(INDEX('1-DATA'!$1:$1048576,IF(OR($B318="STD. DEVIATION",$C$1=1),$A318,$A318+1),COLUMN('1-DATA'!AR316)),IF($B318="STD. DEVIATION",2,$F$1))))</f>
        <v/>
      </c>
      <c r="AT318" s="1" t="str">
        <f>IF(OR($B318="",AT$7=""),"",IF($B318="MEANS",INDEX('1-DATA'!$1:$1048576,$A317-1,COLUMN('1-DATA'!AS316)),ROUND(INDEX('1-DATA'!$1:$1048576,IF(OR($B318="STD. DEVIATION",$C$1=1),$A318,$A318+1),COLUMN('1-DATA'!AS316)),IF($B318="STD. DEVIATION",2,$F$1))))</f>
        <v/>
      </c>
      <c r="AU318" s="1" t="str">
        <f>IF(OR($B318="",AU$7=""),"",IF($B318="MEANS",INDEX('1-DATA'!$1:$1048576,$A317-1,COLUMN('1-DATA'!AT316)),ROUND(INDEX('1-DATA'!$1:$1048576,IF(OR($B318="STD. DEVIATION",$C$1=1),$A318,$A318+1),COLUMN('1-DATA'!AT316)),IF($B318="STD. DEVIATION",2,$F$1))))</f>
        <v/>
      </c>
      <c r="AV318" s="1" t="str">
        <f>IF(OR($B318="",AV$7=""),"",IF($B318="MEANS",INDEX('1-DATA'!$1:$1048576,$A317-1,COLUMN('1-DATA'!AU316)),ROUND(INDEX('1-DATA'!$1:$1048576,IF(OR($B318="STD. DEVIATION",$C$1=1),$A318,$A318+1),COLUMN('1-DATA'!AU316)),IF($B318="STD. DEVIATION",2,$F$1))))</f>
        <v/>
      </c>
      <c r="AW318" s="1" t="str">
        <f>IF(OR($B318="",AW$7=""),"",IF($B318="MEANS",INDEX('1-DATA'!$1:$1048576,$A317-1,COLUMN('1-DATA'!AV316)),ROUND(INDEX('1-DATA'!$1:$1048576,IF(OR($B318="STD. DEVIATION",$C$1=1),$A318,$A318+1),COLUMN('1-DATA'!AV316)),IF($B318="STD. DEVIATION",2,$F$1))))</f>
        <v/>
      </c>
      <c r="AX318" s="1" t="str">
        <f>IF(OR($B318="",AX$7=""),"",IF($B318="MEANS",INDEX('1-DATA'!$1:$1048576,$A317-1,COLUMN('1-DATA'!AW316)),ROUND(INDEX('1-DATA'!$1:$1048576,IF(OR($B318="STD. DEVIATION",$C$1=1),$A318,$A318+1),COLUMN('1-DATA'!AW316)),IF($B318="STD. DEVIATION",2,$F$1))))</f>
        <v/>
      </c>
      <c r="AY318" s="1" t="str">
        <f>IF(OR($B318="",AY$7=""),"",IF($B318="MEANS",INDEX('1-DATA'!$1:$1048576,$A317-1,COLUMN('1-DATA'!AX316)),ROUND(INDEX('1-DATA'!$1:$1048576,IF(OR($B318="STD. DEVIATION",$C$1=1),$A318,$A318+1),COLUMN('1-DATA'!AX316)),IF($B318="STD. DEVIATION",2,$F$1))))</f>
        <v/>
      </c>
      <c r="AZ318" s="1" t="str">
        <f>IF(OR($B318="",AZ$7=""),"",IF($B318="MEANS",INDEX('1-DATA'!$1:$1048576,$A317-1,COLUMN('1-DATA'!AY316)),ROUND(INDEX('1-DATA'!$1:$1048576,IF(OR($B318="STD. DEVIATION",$C$1=1),$A318,$A318+1),COLUMN('1-DATA'!AY316)),IF($B318="STD. DEVIATION",2,$F$1))))</f>
        <v/>
      </c>
    </row>
    <row r="319" spans="1:52" x14ac:dyDescent="0.25">
      <c r="A319" s="11">
        <f t="shared" si="5"/>
        <v>943</v>
      </c>
      <c r="B319" s="1" t="str">
        <f>IF(B318="STD. DEVIATION",INDEX('1-DATA'!$1:$1048576,$A318-1,1),IF(INDEX('1-DATA'!$1:$1048576,$A319,1)&lt;&gt;"",INDEX('1-DATA'!$1:$1048576,$A319,1),""))</f>
        <v/>
      </c>
      <c r="C319" s="1" t="str">
        <f>IF(OR($B319="",C$7=""),"",IF($B319="MEANS",INDEX('1-DATA'!$1:$1048576,$A318-1,COLUMN('1-DATA'!B317)),ROUND(INDEX('1-DATA'!$1:$1048576,IF(OR($B319="STD. DEVIATION",$C$1=1),$A319,$A319+1),COLUMN('1-DATA'!B317)),IF($B319="STD. DEVIATION",2,$F$1))))</f>
        <v/>
      </c>
      <c r="D319" s="1" t="str">
        <f>IF(OR($B319="",D$7=""),"",IF($B319="MEANS",INDEX('1-DATA'!$1:$1048576,$A318-1,COLUMN('1-DATA'!C317)),ROUND(INDEX('1-DATA'!$1:$1048576,IF(OR($B319="STD. DEVIATION",$C$1=1),$A319,$A319+1),COLUMN('1-DATA'!C317)),IF($B319="STD. DEVIATION",2,$F$1))))</f>
        <v/>
      </c>
      <c r="E319" s="1" t="str">
        <f>IF(OR($B319="",E$7=""),"",IF($B319="MEANS",INDEX('1-DATA'!$1:$1048576,$A318-1,COLUMN('1-DATA'!D317)),ROUND(INDEX('1-DATA'!$1:$1048576,IF(OR($B319="STD. DEVIATION",$C$1=1),$A319,$A319+1),COLUMN('1-DATA'!D317)),IF($B319="STD. DEVIATION",2,$F$1))))</f>
        <v/>
      </c>
      <c r="F319" s="1" t="str">
        <f>IF(OR($B319="",F$7=""),"",IF($B319="MEANS",INDEX('1-DATA'!$1:$1048576,$A318-1,COLUMN('1-DATA'!E317)),ROUND(INDEX('1-DATA'!$1:$1048576,IF(OR($B319="STD. DEVIATION",$C$1=1),$A319,$A319+1),COLUMN('1-DATA'!E317)),IF($B319="STD. DEVIATION",2,$F$1))))</f>
        <v/>
      </c>
      <c r="G319" s="1" t="str">
        <f>IF(OR($B319="",G$7=""),"",IF($B319="MEANS",INDEX('1-DATA'!$1:$1048576,$A318-1,COLUMN('1-DATA'!F317)),ROUND(INDEX('1-DATA'!$1:$1048576,IF(OR($B319="STD. DEVIATION",$C$1=1),$A319,$A319+1),COLUMN('1-DATA'!F317)),IF($B319="STD. DEVIATION",2,$F$1))))</f>
        <v/>
      </c>
      <c r="H319" s="1" t="str">
        <f>IF(OR($B319="",H$7=""),"",IF($B319="MEANS",INDEX('1-DATA'!$1:$1048576,$A318-1,COLUMN('1-DATA'!G317)),ROUND(INDEX('1-DATA'!$1:$1048576,IF(OR($B319="STD. DEVIATION",$C$1=1),$A319,$A319+1),COLUMN('1-DATA'!G317)),IF($B319="STD. DEVIATION",2,$F$1))))</f>
        <v/>
      </c>
      <c r="I319" s="1" t="str">
        <f>IF(OR($B319="",I$7=""),"",IF($B319="MEANS",INDEX('1-DATA'!$1:$1048576,$A318-1,COLUMN('1-DATA'!H317)),ROUND(INDEX('1-DATA'!$1:$1048576,IF(OR($B319="STD. DEVIATION",$C$1=1),$A319,$A319+1),COLUMN('1-DATA'!H317)),IF($B319="STD. DEVIATION",2,$F$1))))</f>
        <v/>
      </c>
      <c r="J319" s="1" t="str">
        <f>IF(OR($B319="",J$7=""),"",IF($B319="MEANS",INDEX('1-DATA'!$1:$1048576,$A318-1,COLUMN('1-DATA'!I317)),ROUND(INDEX('1-DATA'!$1:$1048576,IF(OR($B319="STD. DEVIATION",$C$1=1),$A319,$A319+1),COLUMN('1-DATA'!I317)),IF($B319="STD. DEVIATION",2,$F$1))))</f>
        <v/>
      </c>
      <c r="K319" s="1" t="str">
        <f>IF(OR($B319="",K$7=""),"",IF($B319="MEANS",INDEX('1-DATA'!$1:$1048576,$A318-1,COLUMN('1-DATA'!J317)),ROUND(INDEX('1-DATA'!$1:$1048576,IF(OR($B319="STD. DEVIATION",$C$1=1),$A319,$A319+1),COLUMN('1-DATA'!J317)),IF($B319="STD. DEVIATION",2,$F$1))))</f>
        <v/>
      </c>
      <c r="L319" s="1" t="str">
        <f>IF(OR($B319="",L$7=""),"",IF($B319="MEANS",INDEX('1-DATA'!$1:$1048576,$A318-1,COLUMN('1-DATA'!K317)),ROUND(INDEX('1-DATA'!$1:$1048576,IF(OR($B319="STD. DEVIATION",$C$1=1),$A319,$A319+1),COLUMN('1-DATA'!K317)),IF($B319="STD. DEVIATION",2,$F$1))))</f>
        <v/>
      </c>
      <c r="M319" s="1" t="str">
        <f>IF(OR($B319="",M$7=""),"",IF($B319="MEANS",INDEX('1-DATA'!$1:$1048576,$A318-1,COLUMN('1-DATA'!L317)),ROUND(INDEX('1-DATA'!$1:$1048576,IF(OR($B319="STD. DEVIATION",$C$1=1),$A319,$A319+1),COLUMN('1-DATA'!L317)),IF($B319="STD. DEVIATION",2,$F$1))))</f>
        <v/>
      </c>
      <c r="N319" s="1" t="str">
        <f>IF(OR($B319="",N$7=""),"",IF($B319="MEANS",INDEX('1-DATA'!$1:$1048576,$A318-1,COLUMN('1-DATA'!M317)),ROUND(INDEX('1-DATA'!$1:$1048576,IF(OR($B319="STD. DEVIATION",$C$1=1),$A319,$A319+1),COLUMN('1-DATA'!M317)),IF($B319="STD. DEVIATION",2,$F$1))))</f>
        <v/>
      </c>
      <c r="O319" s="1" t="str">
        <f>IF(OR($B319="",O$7=""),"",IF($B319="MEANS",INDEX('1-DATA'!$1:$1048576,$A318-1,COLUMN('1-DATA'!N317)),ROUND(INDEX('1-DATA'!$1:$1048576,IF(OR($B319="STD. DEVIATION",$C$1=1),$A319,$A319+1),COLUMN('1-DATA'!N317)),IF($B319="STD. DEVIATION",2,$F$1))))</f>
        <v/>
      </c>
      <c r="P319" s="1" t="str">
        <f>IF(OR($B319="",P$7=""),"",IF($B319="MEANS",INDEX('1-DATA'!$1:$1048576,$A318-1,COLUMN('1-DATA'!O317)),ROUND(INDEX('1-DATA'!$1:$1048576,IF(OR($B319="STD. DEVIATION",$C$1=1),$A319,$A319+1),COLUMN('1-DATA'!O317)),IF($B319="STD. DEVIATION",2,$F$1))))</f>
        <v/>
      </c>
      <c r="Q319" s="1" t="str">
        <f>IF(OR($B319="",Q$7=""),"",IF($B319="MEANS",INDEX('1-DATA'!$1:$1048576,$A318-1,COLUMN('1-DATA'!P317)),ROUND(INDEX('1-DATA'!$1:$1048576,IF(OR($B319="STD. DEVIATION",$C$1=1),$A319,$A319+1),COLUMN('1-DATA'!P317)),IF($B319="STD. DEVIATION",2,$F$1))))</f>
        <v/>
      </c>
      <c r="R319" s="1" t="str">
        <f>IF(OR($B319="",R$7=""),"",IF($B319="MEANS",INDEX('1-DATA'!$1:$1048576,$A318-1,COLUMN('1-DATA'!Q317)),ROUND(INDEX('1-DATA'!$1:$1048576,IF(OR($B319="STD. DEVIATION",$C$1=1),$A319,$A319+1),COLUMN('1-DATA'!Q317)),IF($B319="STD. DEVIATION",2,$F$1))))</f>
        <v/>
      </c>
      <c r="S319" s="1" t="str">
        <f>IF(OR($B319="",S$7=""),"",IF($B319="MEANS",INDEX('1-DATA'!$1:$1048576,$A318-1,COLUMN('1-DATA'!R317)),ROUND(INDEX('1-DATA'!$1:$1048576,IF(OR($B319="STD. DEVIATION",$C$1=1),$A319,$A319+1),COLUMN('1-DATA'!R317)),IF($B319="STD. DEVIATION",2,$F$1))))</f>
        <v/>
      </c>
      <c r="T319" s="1" t="str">
        <f>IF(OR($B319="",T$7=""),"",IF($B319="MEANS",INDEX('1-DATA'!$1:$1048576,$A318-1,COLUMN('1-DATA'!S317)),ROUND(INDEX('1-DATA'!$1:$1048576,IF(OR($B319="STD. DEVIATION",$C$1=1),$A319,$A319+1),COLUMN('1-DATA'!S317)),IF($B319="STD. DEVIATION",2,$F$1))))</f>
        <v/>
      </c>
      <c r="U319" s="1" t="str">
        <f>IF(OR($B319="",U$7=""),"",IF($B319="MEANS",INDEX('1-DATA'!$1:$1048576,$A318-1,COLUMN('1-DATA'!T317)),ROUND(INDEX('1-DATA'!$1:$1048576,IF(OR($B319="STD. DEVIATION",$C$1=1),$A319,$A319+1),COLUMN('1-DATA'!T317)),IF($B319="STD. DEVIATION",2,$F$1))))</f>
        <v/>
      </c>
      <c r="V319" s="1" t="str">
        <f>IF(OR($B319="",V$7=""),"",IF($B319="MEANS",INDEX('1-DATA'!$1:$1048576,$A318-1,COLUMN('1-DATA'!U317)),ROUND(INDEX('1-DATA'!$1:$1048576,IF(OR($B319="STD. DEVIATION",$C$1=1),$A319,$A319+1),COLUMN('1-DATA'!U317)),IF($B319="STD. DEVIATION",2,$F$1))))</f>
        <v/>
      </c>
      <c r="W319" s="1" t="str">
        <f>IF(OR($B319="",W$7=""),"",IF($B319="MEANS",INDEX('1-DATA'!$1:$1048576,$A318-1,COLUMN('1-DATA'!V317)),ROUND(INDEX('1-DATA'!$1:$1048576,IF(OR($B319="STD. DEVIATION",$C$1=1),$A319,$A319+1),COLUMN('1-DATA'!V317)),IF($B319="STD. DEVIATION",2,$F$1))))</f>
        <v/>
      </c>
      <c r="X319" s="1" t="str">
        <f>IF(OR($B319="",X$7=""),"",IF($B319="MEANS",INDEX('1-DATA'!$1:$1048576,$A318-1,COLUMN('1-DATA'!W317)),ROUND(INDEX('1-DATA'!$1:$1048576,IF(OR($B319="STD. DEVIATION",$C$1=1),$A319,$A319+1),COLUMN('1-DATA'!W317)),IF($B319="STD. DEVIATION",2,$F$1))))</f>
        <v/>
      </c>
      <c r="Y319" s="1" t="str">
        <f>IF(OR($B319="",Y$7=""),"",IF($B319="MEANS",INDEX('1-DATA'!$1:$1048576,$A318-1,COLUMN('1-DATA'!X317)),ROUND(INDEX('1-DATA'!$1:$1048576,IF(OR($B319="STD. DEVIATION",$C$1=1),$A319,$A319+1),COLUMN('1-DATA'!X317)),IF($B319="STD. DEVIATION",2,$F$1))))</f>
        <v/>
      </c>
      <c r="Z319" s="1" t="str">
        <f>IF(OR($B319="",Z$7=""),"",IF($B319="MEANS",INDEX('1-DATA'!$1:$1048576,$A318-1,COLUMN('1-DATA'!Y317)),ROUND(INDEX('1-DATA'!$1:$1048576,IF(OR($B319="STD. DEVIATION",$C$1=1),$A319,$A319+1),COLUMN('1-DATA'!Y317)),IF($B319="STD. DEVIATION",2,$F$1))))</f>
        <v/>
      </c>
      <c r="AA319" s="1" t="str">
        <f>IF(OR($B319="",AA$7=""),"",IF($B319="MEANS",INDEX('1-DATA'!$1:$1048576,$A318-1,COLUMN('1-DATA'!Z317)),ROUND(INDEX('1-DATA'!$1:$1048576,IF(OR($B319="STD. DEVIATION",$C$1=1),$A319,$A319+1),COLUMN('1-DATA'!Z317)),IF($B319="STD. DEVIATION",2,$F$1))))</f>
        <v/>
      </c>
      <c r="AB319" s="1" t="str">
        <f>IF(OR($B319="",AB$7=""),"",IF($B319="MEANS",INDEX('1-DATA'!$1:$1048576,$A318-1,COLUMN('1-DATA'!AA317)),ROUND(INDEX('1-DATA'!$1:$1048576,IF(OR($B319="STD. DEVIATION",$C$1=1),$A319,$A319+1),COLUMN('1-DATA'!AA317)),IF($B319="STD. DEVIATION",2,$F$1))))</f>
        <v/>
      </c>
      <c r="AC319" s="1" t="str">
        <f>IF(OR($B319="",AC$7=""),"",IF($B319="MEANS",INDEX('1-DATA'!$1:$1048576,$A318-1,COLUMN('1-DATA'!AB317)),ROUND(INDEX('1-DATA'!$1:$1048576,IF(OR($B319="STD. DEVIATION",$C$1=1),$A319,$A319+1),COLUMN('1-DATA'!AB317)),IF($B319="STD. DEVIATION",2,$F$1))))</f>
        <v/>
      </c>
      <c r="AD319" s="1" t="str">
        <f>IF(OR($B319="",AD$7=""),"",IF($B319="MEANS",INDEX('1-DATA'!$1:$1048576,$A318-1,COLUMN('1-DATA'!AC317)),ROUND(INDEX('1-DATA'!$1:$1048576,IF(OR($B319="STD. DEVIATION",$C$1=1),$A319,$A319+1),COLUMN('1-DATA'!AC317)),IF($B319="STD. DEVIATION",2,$F$1))))</f>
        <v/>
      </c>
      <c r="AE319" s="1" t="str">
        <f>IF(OR($B319="",AE$7=""),"",IF($B319="MEANS",INDEX('1-DATA'!$1:$1048576,$A318-1,COLUMN('1-DATA'!AD317)),ROUND(INDEX('1-DATA'!$1:$1048576,IF(OR($B319="STD. DEVIATION",$C$1=1),$A319,$A319+1),COLUMN('1-DATA'!AD317)),IF($B319="STD. DEVIATION",2,$F$1))))</f>
        <v/>
      </c>
      <c r="AF319" s="1" t="str">
        <f>IF(OR($B319="",AF$7=""),"",IF($B319="MEANS",INDEX('1-DATA'!$1:$1048576,$A318-1,COLUMN('1-DATA'!AE317)),ROUND(INDEX('1-DATA'!$1:$1048576,IF(OR($B319="STD. DEVIATION",$C$1=1),$A319,$A319+1),COLUMN('1-DATA'!AE317)),IF($B319="STD. DEVIATION",2,$F$1))))</f>
        <v/>
      </c>
      <c r="AG319" s="1" t="str">
        <f>IF(OR($B319="",AG$7=""),"",IF($B319="MEANS",INDEX('1-DATA'!$1:$1048576,$A318-1,COLUMN('1-DATA'!AF317)),ROUND(INDEX('1-DATA'!$1:$1048576,IF(OR($B319="STD. DEVIATION",$C$1=1),$A319,$A319+1),COLUMN('1-DATA'!AF317)),IF($B319="STD. DEVIATION",2,$F$1))))</f>
        <v/>
      </c>
      <c r="AH319" s="1" t="str">
        <f>IF(OR($B319="",AH$7=""),"",IF($B319="MEANS",INDEX('1-DATA'!$1:$1048576,$A318-1,COLUMN('1-DATA'!AG317)),ROUND(INDEX('1-DATA'!$1:$1048576,IF(OR($B319="STD. DEVIATION",$C$1=1),$A319,$A319+1),COLUMN('1-DATA'!AG317)),IF($B319="STD. DEVIATION",2,$F$1))))</f>
        <v/>
      </c>
      <c r="AI319" s="1" t="str">
        <f>IF(OR($B319="",AI$7=""),"",IF($B319="MEANS",INDEX('1-DATA'!$1:$1048576,$A318-1,COLUMN('1-DATA'!AH317)),ROUND(INDEX('1-DATA'!$1:$1048576,IF(OR($B319="STD. DEVIATION",$C$1=1),$A319,$A319+1),COLUMN('1-DATA'!AH317)),IF($B319="STD. DEVIATION",2,$F$1))))</f>
        <v/>
      </c>
      <c r="AJ319" s="1" t="str">
        <f>IF(OR($B319="",AJ$7=""),"",IF($B319="MEANS",INDEX('1-DATA'!$1:$1048576,$A318-1,COLUMN('1-DATA'!AI317)),ROUND(INDEX('1-DATA'!$1:$1048576,IF(OR($B319="STD. DEVIATION",$C$1=1),$A319,$A319+1),COLUMN('1-DATA'!AI317)),IF($B319="STD. DEVIATION",2,$F$1))))</f>
        <v/>
      </c>
      <c r="AK319" s="1" t="str">
        <f>IF(OR($B319="",AK$7=""),"",IF($B319="MEANS",INDEX('1-DATA'!$1:$1048576,$A318-1,COLUMN('1-DATA'!AJ317)),ROUND(INDEX('1-DATA'!$1:$1048576,IF(OR($B319="STD. DEVIATION",$C$1=1),$A319,$A319+1),COLUMN('1-DATA'!AJ317)),IF($B319="STD. DEVIATION",2,$F$1))))</f>
        <v/>
      </c>
      <c r="AL319" s="1" t="str">
        <f>IF(OR($B319="",AL$7=""),"",IF($B319="MEANS",INDEX('1-DATA'!$1:$1048576,$A318-1,COLUMN('1-DATA'!AK317)),ROUND(INDEX('1-DATA'!$1:$1048576,IF(OR($B319="STD. DEVIATION",$C$1=1),$A319,$A319+1),COLUMN('1-DATA'!AK317)),IF($B319="STD. DEVIATION",2,$F$1))))</f>
        <v/>
      </c>
      <c r="AM319" s="1" t="str">
        <f>IF(OR($B319="",AM$7=""),"",IF($B319="MEANS",INDEX('1-DATA'!$1:$1048576,$A318-1,COLUMN('1-DATA'!AL317)),ROUND(INDEX('1-DATA'!$1:$1048576,IF(OR($B319="STD. DEVIATION",$C$1=1),$A319,$A319+1),COLUMN('1-DATA'!AL317)),IF($B319="STD. DEVIATION",2,$F$1))))</f>
        <v/>
      </c>
      <c r="AN319" s="1" t="str">
        <f>IF(OR($B319="",AN$7=""),"",IF($B319="MEANS",INDEX('1-DATA'!$1:$1048576,$A318-1,COLUMN('1-DATA'!AM317)),ROUND(INDEX('1-DATA'!$1:$1048576,IF(OR($B319="STD. DEVIATION",$C$1=1),$A319,$A319+1),COLUMN('1-DATA'!AM317)),IF($B319="STD. DEVIATION",2,$F$1))))</f>
        <v/>
      </c>
      <c r="AO319" s="1" t="str">
        <f>IF(OR($B319="",AO$7=""),"",IF($B319="MEANS",INDEX('1-DATA'!$1:$1048576,$A318-1,COLUMN('1-DATA'!AN317)),ROUND(INDEX('1-DATA'!$1:$1048576,IF(OR($B319="STD. DEVIATION",$C$1=1),$A319,$A319+1),COLUMN('1-DATA'!AN317)),IF($B319="STD. DEVIATION",2,$F$1))))</f>
        <v/>
      </c>
      <c r="AP319" s="1" t="str">
        <f>IF(OR($B319="",AP$7=""),"",IF($B319="MEANS",INDEX('1-DATA'!$1:$1048576,$A318-1,COLUMN('1-DATA'!AO317)),ROUND(INDEX('1-DATA'!$1:$1048576,IF(OR($B319="STD. DEVIATION",$C$1=1),$A319,$A319+1),COLUMN('1-DATA'!AO317)),IF($B319="STD. DEVIATION",2,$F$1))))</f>
        <v/>
      </c>
      <c r="AQ319" s="1" t="str">
        <f>IF(OR($B319="",AQ$7=""),"",IF($B319="MEANS",INDEX('1-DATA'!$1:$1048576,$A318-1,COLUMN('1-DATA'!AP317)),ROUND(INDEX('1-DATA'!$1:$1048576,IF(OR($B319="STD. DEVIATION",$C$1=1),$A319,$A319+1),COLUMN('1-DATA'!AP317)),IF($B319="STD. DEVIATION",2,$F$1))))</f>
        <v/>
      </c>
      <c r="AR319" s="1" t="str">
        <f>IF(OR($B319="",AR$7=""),"",IF($B319="MEANS",INDEX('1-DATA'!$1:$1048576,$A318-1,COLUMN('1-DATA'!AQ317)),ROUND(INDEX('1-DATA'!$1:$1048576,IF(OR($B319="STD. DEVIATION",$C$1=1),$A319,$A319+1),COLUMN('1-DATA'!AQ317)),IF($B319="STD. DEVIATION",2,$F$1))))</f>
        <v/>
      </c>
      <c r="AS319" s="1" t="str">
        <f>IF(OR($B319="",AS$7=""),"",IF($B319="MEANS",INDEX('1-DATA'!$1:$1048576,$A318-1,COLUMN('1-DATA'!AR317)),ROUND(INDEX('1-DATA'!$1:$1048576,IF(OR($B319="STD. DEVIATION",$C$1=1),$A319,$A319+1),COLUMN('1-DATA'!AR317)),IF($B319="STD. DEVIATION",2,$F$1))))</f>
        <v/>
      </c>
      <c r="AT319" s="1" t="str">
        <f>IF(OR($B319="",AT$7=""),"",IF($B319="MEANS",INDEX('1-DATA'!$1:$1048576,$A318-1,COLUMN('1-DATA'!AS317)),ROUND(INDEX('1-DATA'!$1:$1048576,IF(OR($B319="STD. DEVIATION",$C$1=1),$A319,$A319+1),COLUMN('1-DATA'!AS317)),IF($B319="STD. DEVIATION",2,$F$1))))</f>
        <v/>
      </c>
      <c r="AU319" s="1" t="str">
        <f>IF(OR($B319="",AU$7=""),"",IF($B319="MEANS",INDEX('1-DATA'!$1:$1048576,$A318-1,COLUMN('1-DATA'!AT317)),ROUND(INDEX('1-DATA'!$1:$1048576,IF(OR($B319="STD. DEVIATION",$C$1=1),$A319,$A319+1),COLUMN('1-DATA'!AT317)),IF($B319="STD. DEVIATION",2,$F$1))))</f>
        <v/>
      </c>
      <c r="AV319" s="1" t="str">
        <f>IF(OR($B319="",AV$7=""),"",IF($B319="MEANS",INDEX('1-DATA'!$1:$1048576,$A318-1,COLUMN('1-DATA'!AU317)),ROUND(INDEX('1-DATA'!$1:$1048576,IF(OR($B319="STD. DEVIATION",$C$1=1),$A319,$A319+1),COLUMN('1-DATA'!AU317)),IF($B319="STD. DEVIATION",2,$F$1))))</f>
        <v/>
      </c>
      <c r="AW319" s="1" t="str">
        <f>IF(OR($B319="",AW$7=""),"",IF($B319="MEANS",INDEX('1-DATA'!$1:$1048576,$A318-1,COLUMN('1-DATA'!AV317)),ROUND(INDEX('1-DATA'!$1:$1048576,IF(OR($B319="STD. DEVIATION",$C$1=1),$A319,$A319+1),COLUMN('1-DATA'!AV317)),IF($B319="STD. DEVIATION",2,$F$1))))</f>
        <v/>
      </c>
      <c r="AX319" s="1" t="str">
        <f>IF(OR($B319="",AX$7=""),"",IF($B319="MEANS",INDEX('1-DATA'!$1:$1048576,$A318-1,COLUMN('1-DATA'!AW317)),ROUND(INDEX('1-DATA'!$1:$1048576,IF(OR($B319="STD. DEVIATION",$C$1=1),$A319,$A319+1),COLUMN('1-DATA'!AW317)),IF($B319="STD. DEVIATION",2,$F$1))))</f>
        <v/>
      </c>
      <c r="AY319" s="1" t="str">
        <f>IF(OR($B319="",AY$7=""),"",IF($B319="MEANS",INDEX('1-DATA'!$1:$1048576,$A318-1,COLUMN('1-DATA'!AX317)),ROUND(INDEX('1-DATA'!$1:$1048576,IF(OR($B319="STD. DEVIATION",$C$1=1),$A319,$A319+1),COLUMN('1-DATA'!AX317)),IF($B319="STD. DEVIATION",2,$F$1))))</f>
        <v/>
      </c>
      <c r="AZ319" s="1" t="str">
        <f>IF(OR($B319="",AZ$7=""),"",IF($B319="MEANS",INDEX('1-DATA'!$1:$1048576,$A318-1,COLUMN('1-DATA'!AY317)),ROUND(INDEX('1-DATA'!$1:$1048576,IF(OR($B319="STD. DEVIATION",$C$1=1),$A319,$A319+1),COLUMN('1-DATA'!AY317)),IF($B319="STD. DEVIATION",2,$F$1))))</f>
        <v/>
      </c>
    </row>
    <row r="320" spans="1:52" x14ac:dyDescent="0.25">
      <c r="A320" s="11">
        <f t="shared" si="5"/>
        <v>946</v>
      </c>
      <c r="B320" s="1" t="str">
        <f>IF(B319="STD. DEVIATION",INDEX('1-DATA'!$1:$1048576,$A319-1,1),IF(INDEX('1-DATA'!$1:$1048576,$A320,1)&lt;&gt;"",INDEX('1-DATA'!$1:$1048576,$A320,1),""))</f>
        <v/>
      </c>
      <c r="C320" s="1" t="str">
        <f>IF(OR($B320="",C$7=""),"",IF($B320="MEANS",INDEX('1-DATA'!$1:$1048576,$A319-1,COLUMN('1-DATA'!B318)),ROUND(INDEX('1-DATA'!$1:$1048576,IF(OR($B320="STD. DEVIATION",$C$1=1),$A320,$A320+1),COLUMN('1-DATA'!B318)),IF($B320="STD. DEVIATION",2,$F$1))))</f>
        <v/>
      </c>
      <c r="D320" s="1" t="str">
        <f>IF(OR($B320="",D$7=""),"",IF($B320="MEANS",INDEX('1-DATA'!$1:$1048576,$A319-1,COLUMN('1-DATA'!C318)),ROUND(INDEX('1-DATA'!$1:$1048576,IF(OR($B320="STD. DEVIATION",$C$1=1),$A320,$A320+1),COLUMN('1-DATA'!C318)),IF($B320="STD. DEVIATION",2,$F$1))))</f>
        <v/>
      </c>
      <c r="E320" s="1" t="str">
        <f>IF(OR($B320="",E$7=""),"",IF($B320="MEANS",INDEX('1-DATA'!$1:$1048576,$A319-1,COLUMN('1-DATA'!D318)),ROUND(INDEX('1-DATA'!$1:$1048576,IF(OR($B320="STD. DEVIATION",$C$1=1),$A320,$A320+1),COLUMN('1-DATA'!D318)),IF($B320="STD. DEVIATION",2,$F$1))))</f>
        <v/>
      </c>
      <c r="F320" s="1" t="str">
        <f>IF(OR($B320="",F$7=""),"",IF($B320="MEANS",INDEX('1-DATA'!$1:$1048576,$A319-1,COLUMN('1-DATA'!E318)),ROUND(INDEX('1-DATA'!$1:$1048576,IF(OR($B320="STD. DEVIATION",$C$1=1),$A320,$A320+1),COLUMN('1-DATA'!E318)),IF($B320="STD. DEVIATION",2,$F$1))))</f>
        <v/>
      </c>
      <c r="G320" s="1" t="str">
        <f>IF(OR($B320="",G$7=""),"",IF($B320="MEANS",INDEX('1-DATA'!$1:$1048576,$A319-1,COLUMN('1-DATA'!F318)),ROUND(INDEX('1-DATA'!$1:$1048576,IF(OR($B320="STD. DEVIATION",$C$1=1),$A320,$A320+1),COLUMN('1-DATA'!F318)),IF($B320="STD. DEVIATION",2,$F$1))))</f>
        <v/>
      </c>
      <c r="H320" s="1" t="str">
        <f>IF(OR($B320="",H$7=""),"",IF($B320="MEANS",INDEX('1-DATA'!$1:$1048576,$A319-1,COLUMN('1-DATA'!G318)),ROUND(INDEX('1-DATA'!$1:$1048576,IF(OR($B320="STD. DEVIATION",$C$1=1),$A320,$A320+1),COLUMN('1-DATA'!G318)),IF($B320="STD. DEVIATION",2,$F$1))))</f>
        <v/>
      </c>
      <c r="I320" s="1" t="str">
        <f>IF(OR($B320="",I$7=""),"",IF($B320="MEANS",INDEX('1-DATA'!$1:$1048576,$A319-1,COLUMN('1-DATA'!H318)),ROUND(INDEX('1-DATA'!$1:$1048576,IF(OR($B320="STD. DEVIATION",$C$1=1),$A320,$A320+1),COLUMN('1-DATA'!H318)),IF($B320="STD. DEVIATION",2,$F$1))))</f>
        <v/>
      </c>
      <c r="J320" s="1" t="str">
        <f>IF(OR($B320="",J$7=""),"",IF($B320="MEANS",INDEX('1-DATA'!$1:$1048576,$A319-1,COLUMN('1-DATA'!I318)),ROUND(INDEX('1-DATA'!$1:$1048576,IF(OR($B320="STD. DEVIATION",$C$1=1),$A320,$A320+1),COLUMN('1-DATA'!I318)),IF($B320="STD. DEVIATION",2,$F$1))))</f>
        <v/>
      </c>
      <c r="K320" s="1" t="str">
        <f>IF(OR($B320="",K$7=""),"",IF($B320="MEANS",INDEX('1-DATA'!$1:$1048576,$A319-1,COLUMN('1-DATA'!J318)),ROUND(INDEX('1-DATA'!$1:$1048576,IF(OR($B320="STD. DEVIATION",$C$1=1),$A320,$A320+1),COLUMN('1-DATA'!J318)),IF($B320="STD. DEVIATION",2,$F$1))))</f>
        <v/>
      </c>
      <c r="L320" s="1" t="str">
        <f>IF(OR($B320="",L$7=""),"",IF($B320="MEANS",INDEX('1-DATA'!$1:$1048576,$A319-1,COLUMN('1-DATA'!K318)),ROUND(INDEX('1-DATA'!$1:$1048576,IF(OR($B320="STD. DEVIATION",$C$1=1),$A320,$A320+1),COLUMN('1-DATA'!K318)),IF($B320="STD. DEVIATION",2,$F$1))))</f>
        <v/>
      </c>
      <c r="M320" s="1" t="str">
        <f>IF(OR($B320="",M$7=""),"",IF($B320="MEANS",INDEX('1-DATA'!$1:$1048576,$A319-1,COLUMN('1-DATA'!L318)),ROUND(INDEX('1-DATA'!$1:$1048576,IF(OR($B320="STD. DEVIATION",$C$1=1),$A320,$A320+1),COLUMN('1-DATA'!L318)),IF($B320="STD. DEVIATION",2,$F$1))))</f>
        <v/>
      </c>
      <c r="N320" s="1" t="str">
        <f>IF(OR($B320="",N$7=""),"",IF($B320="MEANS",INDEX('1-DATA'!$1:$1048576,$A319-1,COLUMN('1-DATA'!M318)),ROUND(INDEX('1-DATA'!$1:$1048576,IF(OR($B320="STD. DEVIATION",$C$1=1),$A320,$A320+1),COLUMN('1-DATA'!M318)),IF($B320="STD. DEVIATION",2,$F$1))))</f>
        <v/>
      </c>
      <c r="O320" s="1" t="str">
        <f>IF(OR($B320="",O$7=""),"",IF($B320="MEANS",INDEX('1-DATA'!$1:$1048576,$A319-1,COLUMN('1-DATA'!N318)),ROUND(INDEX('1-DATA'!$1:$1048576,IF(OR($B320="STD. DEVIATION",$C$1=1),$A320,$A320+1),COLUMN('1-DATA'!N318)),IF($B320="STD. DEVIATION",2,$F$1))))</f>
        <v/>
      </c>
      <c r="P320" s="1" t="str">
        <f>IF(OR($B320="",P$7=""),"",IF($B320="MEANS",INDEX('1-DATA'!$1:$1048576,$A319-1,COLUMN('1-DATA'!O318)),ROUND(INDEX('1-DATA'!$1:$1048576,IF(OR($B320="STD. DEVIATION",$C$1=1),$A320,$A320+1),COLUMN('1-DATA'!O318)),IF($B320="STD. DEVIATION",2,$F$1))))</f>
        <v/>
      </c>
      <c r="Q320" s="1" t="str">
        <f>IF(OR($B320="",Q$7=""),"",IF($B320="MEANS",INDEX('1-DATA'!$1:$1048576,$A319-1,COLUMN('1-DATA'!P318)),ROUND(INDEX('1-DATA'!$1:$1048576,IF(OR($B320="STD. DEVIATION",$C$1=1),$A320,$A320+1),COLUMN('1-DATA'!P318)),IF($B320="STD. DEVIATION",2,$F$1))))</f>
        <v/>
      </c>
      <c r="R320" s="1" t="str">
        <f>IF(OR($B320="",R$7=""),"",IF($B320="MEANS",INDEX('1-DATA'!$1:$1048576,$A319-1,COLUMN('1-DATA'!Q318)),ROUND(INDEX('1-DATA'!$1:$1048576,IF(OR($B320="STD. DEVIATION",$C$1=1),$A320,$A320+1),COLUMN('1-DATA'!Q318)),IF($B320="STD. DEVIATION",2,$F$1))))</f>
        <v/>
      </c>
      <c r="S320" s="1" t="str">
        <f>IF(OR($B320="",S$7=""),"",IF($B320="MEANS",INDEX('1-DATA'!$1:$1048576,$A319-1,COLUMN('1-DATA'!R318)),ROUND(INDEX('1-DATA'!$1:$1048576,IF(OR($B320="STD. DEVIATION",$C$1=1),$A320,$A320+1),COLUMN('1-DATA'!R318)),IF($B320="STD. DEVIATION",2,$F$1))))</f>
        <v/>
      </c>
      <c r="T320" s="1" t="str">
        <f>IF(OR($B320="",T$7=""),"",IF($B320="MEANS",INDEX('1-DATA'!$1:$1048576,$A319-1,COLUMN('1-DATA'!S318)),ROUND(INDEX('1-DATA'!$1:$1048576,IF(OR($B320="STD. DEVIATION",$C$1=1),$A320,$A320+1),COLUMN('1-DATA'!S318)),IF($B320="STD. DEVIATION",2,$F$1))))</f>
        <v/>
      </c>
      <c r="U320" s="1" t="str">
        <f>IF(OR($B320="",U$7=""),"",IF($B320="MEANS",INDEX('1-DATA'!$1:$1048576,$A319-1,COLUMN('1-DATA'!T318)),ROUND(INDEX('1-DATA'!$1:$1048576,IF(OR($B320="STD. DEVIATION",$C$1=1),$A320,$A320+1),COLUMN('1-DATA'!T318)),IF($B320="STD. DEVIATION",2,$F$1))))</f>
        <v/>
      </c>
      <c r="V320" s="1" t="str">
        <f>IF(OR($B320="",V$7=""),"",IF($B320="MEANS",INDEX('1-DATA'!$1:$1048576,$A319-1,COLUMN('1-DATA'!U318)),ROUND(INDEX('1-DATA'!$1:$1048576,IF(OR($B320="STD. DEVIATION",$C$1=1),$A320,$A320+1),COLUMN('1-DATA'!U318)),IF($B320="STD. DEVIATION",2,$F$1))))</f>
        <v/>
      </c>
      <c r="W320" s="1" t="str">
        <f>IF(OR($B320="",W$7=""),"",IF($B320="MEANS",INDEX('1-DATA'!$1:$1048576,$A319-1,COLUMN('1-DATA'!V318)),ROUND(INDEX('1-DATA'!$1:$1048576,IF(OR($B320="STD. DEVIATION",$C$1=1),$A320,$A320+1),COLUMN('1-DATA'!V318)),IF($B320="STD. DEVIATION",2,$F$1))))</f>
        <v/>
      </c>
      <c r="X320" s="1" t="str">
        <f>IF(OR($B320="",X$7=""),"",IF($B320="MEANS",INDEX('1-DATA'!$1:$1048576,$A319-1,COLUMN('1-DATA'!W318)),ROUND(INDEX('1-DATA'!$1:$1048576,IF(OR($B320="STD. DEVIATION",$C$1=1),$A320,$A320+1),COLUMN('1-DATA'!W318)),IF($B320="STD. DEVIATION",2,$F$1))))</f>
        <v/>
      </c>
      <c r="Y320" s="1" t="str">
        <f>IF(OR($B320="",Y$7=""),"",IF($B320="MEANS",INDEX('1-DATA'!$1:$1048576,$A319-1,COLUMN('1-DATA'!X318)),ROUND(INDEX('1-DATA'!$1:$1048576,IF(OR($B320="STD. DEVIATION",$C$1=1),$A320,$A320+1),COLUMN('1-DATA'!X318)),IF($B320="STD. DEVIATION",2,$F$1))))</f>
        <v/>
      </c>
      <c r="Z320" s="1" t="str">
        <f>IF(OR($B320="",Z$7=""),"",IF($B320="MEANS",INDEX('1-DATA'!$1:$1048576,$A319-1,COLUMN('1-DATA'!Y318)),ROUND(INDEX('1-DATA'!$1:$1048576,IF(OR($B320="STD. DEVIATION",$C$1=1),$A320,$A320+1),COLUMN('1-DATA'!Y318)),IF($B320="STD. DEVIATION",2,$F$1))))</f>
        <v/>
      </c>
      <c r="AA320" s="1" t="str">
        <f>IF(OR($B320="",AA$7=""),"",IF($B320="MEANS",INDEX('1-DATA'!$1:$1048576,$A319-1,COLUMN('1-DATA'!Z318)),ROUND(INDEX('1-DATA'!$1:$1048576,IF(OR($B320="STD. DEVIATION",$C$1=1),$A320,$A320+1),COLUMN('1-DATA'!Z318)),IF($B320="STD. DEVIATION",2,$F$1))))</f>
        <v/>
      </c>
      <c r="AB320" s="1" t="str">
        <f>IF(OR($B320="",AB$7=""),"",IF($B320="MEANS",INDEX('1-DATA'!$1:$1048576,$A319-1,COLUMN('1-DATA'!AA318)),ROUND(INDEX('1-DATA'!$1:$1048576,IF(OR($B320="STD. DEVIATION",$C$1=1),$A320,$A320+1),COLUMN('1-DATA'!AA318)),IF($B320="STD. DEVIATION",2,$F$1))))</f>
        <v/>
      </c>
      <c r="AC320" s="1" t="str">
        <f>IF(OR($B320="",AC$7=""),"",IF($B320="MEANS",INDEX('1-DATA'!$1:$1048576,$A319-1,COLUMN('1-DATA'!AB318)),ROUND(INDEX('1-DATA'!$1:$1048576,IF(OR($B320="STD. DEVIATION",$C$1=1),$A320,$A320+1),COLUMN('1-DATA'!AB318)),IF($B320="STD. DEVIATION",2,$F$1))))</f>
        <v/>
      </c>
      <c r="AD320" s="1" t="str">
        <f>IF(OR($B320="",AD$7=""),"",IF($B320="MEANS",INDEX('1-DATA'!$1:$1048576,$A319-1,COLUMN('1-DATA'!AC318)),ROUND(INDEX('1-DATA'!$1:$1048576,IF(OR($B320="STD. DEVIATION",$C$1=1),$A320,$A320+1),COLUMN('1-DATA'!AC318)),IF($B320="STD. DEVIATION",2,$F$1))))</f>
        <v/>
      </c>
      <c r="AE320" s="1" t="str">
        <f>IF(OR($B320="",AE$7=""),"",IF($B320="MEANS",INDEX('1-DATA'!$1:$1048576,$A319-1,COLUMN('1-DATA'!AD318)),ROUND(INDEX('1-DATA'!$1:$1048576,IF(OR($B320="STD. DEVIATION",$C$1=1),$A320,$A320+1),COLUMN('1-DATA'!AD318)),IF($B320="STD. DEVIATION",2,$F$1))))</f>
        <v/>
      </c>
      <c r="AF320" s="1" t="str">
        <f>IF(OR($B320="",AF$7=""),"",IF($B320="MEANS",INDEX('1-DATA'!$1:$1048576,$A319-1,COLUMN('1-DATA'!AE318)),ROUND(INDEX('1-DATA'!$1:$1048576,IF(OR($B320="STD. DEVIATION",$C$1=1),$A320,$A320+1),COLUMN('1-DATA'!AE318)),IF($B320="STD. DEVIATION",2,$F$1))))</f>
        <v/>
      </c>
      <c r="AG320" s="1" t="str">
        <f>IF(OR($B320="",AG$7=""),"",IF($B320="MEANS",INDEX('1-DATA'!$1:$1048576,$A319-1,COLUMN('1-DATA'!AF318)),ROUND(INDEX('1-DATA'!$1:$1048576,IF(OR($B320="STD. DEVIATION",$C$1=1),$A320,$A320+1),COLUMN('1-DATA'!AF318)),IF($B320="STD. DEVIATION",2,$F$1))))</f>
        <v/>
      </c>
      <c r="AH320" s="1" t="str">
        <f>IF(OR($B320="",AH$7=""),"",IF($B320="MEANS",INDEX('1-DATA'!$1:$1048576,$A319-1,COLUMN('1-DATA'!AG318)),ROUND(INDEX('1-DATA'!$1:$1048576,IF(OR($B320="STD. DEVIATION",$C$1=1),$A320,$A320+1),COLUMN('1-DATA'!AG318)),IF($B320="STD. DEVIATION",2,$F$1))))</f>
        <v/>
      </c>
      <c r="AI320" s="1" t="str">
        <f>IF(OR($B320="",AI$7=""),"",IF($B320="MEANS",INDEX('1-DATA'!$1:$1048576,$A319-1,COLUMN('1-DATA'!AH318)),ROUND(INDEX('1-DATA'!$1:$1048576,IF(OR($B320="STD. DEVIATION",$C$1=1),$A320,$A320+1),COLUMN('1-DATA'!AH318)),IF($B320="STD. DEVIATION",2,$F$1))))</f>
        <v/>
      </c>
      <c r="AJ320" s="1" t="str">
        <f>IF(OR($B320="",AJ$7=""),"",IF($B320="MEANS",INDEX('1-DATA'!$1:$1048576,$A319-1,COLUMN('1-DATA'!AI318)),ROUND(INDEX('1-DATA'!$1:$1048576,IF(OR($B320="STD. DEVIATION",$C$1=1),$A320,$A320+1),COLUMN('1-DATA'!AI318)),IF($B320="STD. DEVIATION",2,$F$1))))</f>
        <v/>
      </c>
      <c r="AK320" s="1" t="str">
        <f>IF(OR($B320="",AK$7=""),"",IF($B320="MEANS",INDEX('1-DATA'!$1:$1048576,$A319-1,COLUMN('1-DATA'!AJ318)),ROUND(INDEX('1-DATA'!$1:$1048576,IF(OR($B320="STD. DEVIATION",$C$1=1),$A320,$A320+1),COLUMN('1-DATA'!AJ318)),IF($B320="STD. DEVIATION",2,$F$1))))</f>
        <v/>
      </c>
      <c r="AL320" s="1" t="str">
        <f>IF(OR($B320="",AL$7=""),"",IF($B320="MEANS",INDEX('1-DATA'!$1:$1048576,$A319-1,COLUMN('1-DATA'!AK318)),ROUND(INDEX('1-DATA'!$1:$1048576,IF(OR($B320="STD. DEVIATION",$C$1=1),$A320,$A320+1),COLUMN('1-DATA'!AK318)),IF($B320="STD. DEVIATION",2,$F$1))))</f>
        <v/>
      </c>
      <c r="AM320" s="1" t="str">
        <f>IF(OR($B320="",AM$7=""),"",IF($B320="MEANS",INDEX('1-DATA'!$1:$1048576,$A319-1,COLUMN('1-DATA'!AL318)),ROUND(INDEX('1-DATA'!$1:$1048576,IF(OR($B320="STD. DEVIATION",$C$1=1),$A320,$A320+1),COLUMN('1-DATA'!AL318)),IF($B320="STD. DEVIATION",2,$F$1))))</f>
        <v/>
      </c>
      <c r="AN320" s="1" t="str">
        <f>IF(OR($B320="",AN$7=""),"",IF($B320="MEANS",INDEX('1-DATA'!$1:$1048576,$A319-1,COLUMN('1-DATA'!AM318)),ROUND(INDEX('1-DATA'!$1:$1048576,IF(OR($B320="STD. DEVIATION",$C$1=1),$A320,$A320+1),COLUMN('1-DATA'!AM318)),IF($B320="STD. DEVIATION",2,$F$1))))</f>
        <v/>
      </c>
      <c r="AO320" s="1" t="str">
        <f>IF(OR($B320="",AO$7=""),"",IF($B320="MEANS",INDEX('1-DATA'!$1:$1048576,$A319-1,COLUMN('1-DATA'!AN318)),ROUND(INDEX('1-DATA'!$1:$1048576,IF(OR($B320="STD. DEVIATION",$C$1=1),$A320,$A320+1),COLUMN('1-DATA'!AN318)),IF($B320="STD. DEVIATION",2,$F$1))))</f>
        <v/>
      </c>
      <c r="AP320" s="1" t="str">
        <f>IF(OR($B320="",AP$7=""),"",IF($B320="MEANS",INDEX('1-DATA'!$1:$1048576,$A319-1,COLUMN('1-DATA'!AO318)),ROUND(INDEX('1-DATA'!$1:$1048576,IF(OR($B320="STD. DEVIATION",$C$1=1),$A320,$A320+1),COLUMN('1-DATA'!AO318)),IF($B320="STD. DEVIATION",2,$F$1))))</f>
        <v/>
      </c>
      <c r="AQ320" s="1" t="str">
        <f>IF(OR($B320="",AQ$7=""),"",IF($B320="MEANS",INDEX('1-DATA'!$1:$1048576,$A319-1,COLUMN('1-DATA'!AP318)),ROUND(INDEX('1-DATA'!$1:$1048576,IF(OR($B320="STD. DEVIATION",$C$1=1),$A320,$A320+1),COLUMN('1-DATA'!AP318)),IF($B320="STD. DEVIATION",2,$F$1))))</f>
        <v/>
      </c>
      <c r="AR320" s="1" t="str">
        <f>IF(OR($B320="",AR$7=""),"",IF($B320="MEANS",INDEX('1-DATA'!$1:$1048576,$A319-1,COLUMN('1-DATA'!AQ318)),ROUND(INDEX('1-DATA'!$1:$1048576,IF(OR($B320="STD. DEVIATION",$C$1=1),$A320,$A320+1),COLUMN('1-DATA'!AQ318)),IF($B320="STD. DEVIATION",2,$F$1))))</f>
        <v/>
      </c>
      <c r="AS320" s="1" t="str">
        <f>IF(OR($B320="",AS$7=""),"",IF($B320="MEANS",INDEX('1-DATA'!$1:$1048576,$A319-1,COLUMN('1-DATA'!AR318)),ROUND(INDEX('1-DATA'!$1:$1048576,IF(OR($B320="STD. DEVIATION",$C$1=1),$A320,$A320+1),COLUMN('1-DATA'!AR318)),IF($B320="STD. DEVIATION",2,$F$1))))</f>
        <v/>
      </c>
      <c r="AT320" s="1" t="str">
        <f>IF(OR($B320="",AT$7=""),"",IF($B320="MEANS",INDEX('1-DATA'!$1:$1048576,$A319-1,COLUMN('1-DATA'!AS318)),ROUND(INDEX('1-DATA'!$1:$1048576,IF(OR($B320="STD. DEVIATION",$C$1=1),$A320,$A320+1),COLUMN('1-DATA'!AS318)),IF($B320="STD. DEVIATION",2,$F$1))))</f>
        <v/>
      </c>
      <c r="AU320" s="1" t="str">
        <f>IF(OR($B320="",AU$7=""),"",IF($B320="MEANS",INDEX('1-DATA'!$1:$1048576,$A319-1,COLUMN('1-DATA'!AT318)),ROUND(INDEX('1-DATA'!$1:$1048576,IF(OR($B320="STD. DEVIATION",$C$1=1),$A320,$A320+1),COLUMN('1-DATA'!AT318)),IF($B320="STD. DEVIATION",2,$F$1))))</f>
        <v/>
      </c>
      <c r="AV320" s="1" t="str">
        <f>IF(OR($B320="",AV$7=""),"",IF($B320="MEANS",INDEX('1-DATA'!$1:$1048576,$A319-1,COLUMN('1-DATA'!AU318)),ROUND(INDEX('1-DATA'!$1:$1048576,IF(OR($B320="STD. DEVIATION",$C$1=1),$A320,$A320+1),COLUMN('1-DATA'!AU318)),IF($B320="STD. DEVIATION",2,$F$1))))</f>
        <v/>
      </c>
      <c r="AW320" s="1" t="str">
        <f>IF(OR($B320="",AW$7=""),"",IF($B320="MEANS",INDEX('1-DATA'!$1:$1048576,$A319-1,COLUMN('1-DATA'!AV318)),ROUND(INDEX('1-DATA'!$1:$1048576,IF(OR($B320="STD. DEVIATION",$C$1=1),$A320,$A320+1),COLUMN('1-DATA'!AV318)),IF($B320="STD. DEVIATION",2,$F$1))))</f>
        <v/>
      </c>
      <c r="AX320" s="1" t="str">
        <f>IF(OR($B320="",AX$7=""),"",IF($B320="MEANS",INDEX('1-DATA'!$1:$1048576,$A319-1,COLUMN('1-DATA'!AW318)),ROUND(INDEX('1-DATA'!$1:$1048576,IF(OR($B320="STD. DEVIATION",$C$1=1),$A320,$A320+1),COLUMN('1-DATA'!AW318)),IF($B320="STD. DEVIATION",2,$F$1))))</f>
        <v/>
      </c>
      <c r="AY320" s="1" t="str">
        <f>IF(OR($B320="",AY$7=""),"",IF($B320="MEANS",INDEX('1-DATA'!$1:$1048576,$A319-1,COLUMN('1-DATA'!AX318)),ROUND(INDEX('1-DATA'!$1:$1048576,IF(OR($B320="STD. DEVIATION",$C$1=1),$A320,$A320+1),COLUMN('1-DATA'!AX318)),IF($B320="STD. DEVIATION",2,$F$1))))</f>
        <v/>
      </c>
      <c r="AZ320" s="1" t="str">
        <f>IF(OR($B320="",AZ$7=""),"",IF($B320="MEANS",INDEX('1-DATA'!$1:$1048576,$A319-1,COLUMN('1-DATA'!AY318)),ROUND(INDEX('1-DATA'!$1:$1048576,IF(OR($B320="STD. DEVIATION",$C$1=1),$A320,$A320+1),COLUMN('1-DATA'!AY318)),IF($B320="STD. DEVIATION",2,$F$1))))</f>
        <v/>
      </c>
    </row>
    <row r="321" spans="1:52" x14ac:dyDescent="0.25">
      <c r="A321" s="11">
        <f t="shared" si="5"/>
        <v>949</v>
      </c>
      <c r="B321" s="1" t="str">
        <f>IF(B320="STD. DEVIATION",INDEX('1-DATA'!$1:$1048576,$A320-1,1),IF(INDEX('1-DATA'!$1:$1048576,$A321,1)&lt;&gt;"",INDEX('1-DATA'!$1:$1048576,$A321,1),""))</f>
        <v/>
      </c>
      <c r="C321" s="1" t="str">
        <f>IF(OR($B321="",C$7=""),"",IF($B321="MEANS",INDEX('1-DATA'!$1:$1048576,$A320-1,COLUMN('1-DATA'!B319)),ROUND(INDEX('1-DATA'!$1:$1048576,IF(OR($B321="STD. DEVIATION",$C$1=1),$A321,$A321+1),COLUMN('1-DATA'!B319)),IF($B321="STD. DEVIATION",2,$F$1))))</f>
        <v/>
      </c>
      <c r="D321" s="1" t="str">
        <f>IF(OR($B321="",D$7=""),"",IF($B321="MEANS",INDEX('1-DATA'!$1:$1048576,$A320-1,COLUMN('1-DATA'!C319)),ROUND(INDEX('1-DATA'!$1:$1048576,IF(OR($B321="STD. DEVIATION",$C$1=1),$A321,$A321+1),COLUMN('1-DATA'!C319)),IF($B321="STD. DEVIATION",2,$F$1))))</f>
        <v/>
      </c>
      <c r="E321" s="1" t="str">
        <f>IF(OR($B321="",E$7=""),"",IF($B321="MEANS",INDEX('1-DATA'!$1:$1048576,$A320-1,COLUMN('1-DATA'!D319)),ROUND(INDEX('1-DATA'!$1:$1048576,IF(OR($B321="STD. DEVIATION",$C$1=1),$A321,$A321+1),COLUMN('1-DATA'!D319)),IF($B321="STD. DEVIATION",2,$F$1))))</f>
        <v/>
      </c>
      <c r="F321" s="1" t="str">
        <f>IF(OR($B321="",F$7=""),"",IF($B321="MEANS",INDEX('1-DATA'!$1:$1048576,$A320-1,COLUMN('1-DATA'!E319)),ROUND(INDEX('1-DATA'!$1:$1048576,IF(OR($B321="STD. DEVIATION",$C$1=1),$A321,$A321+1),COLUMN('1-DATA'!E319)),IF($B321="STD. DEVIATION",2,$F$1))))</f>
        <v/>
      </c>
      <c r="G321" s="1" t="str">
        <f>IF(OR($B321="",G$7=""),"",IF($B321="MEANS",INDEX('1-DATA'!$1:$1048576,$A320-1,COLUMN('1-DATA'!F319)),ROUND(INDEX('1-DATA'!$1:$1048576,IF(OR($B321="STD. DEVIATION",$C$1=1),$A321,$A321+1),COLUMN('1-DATA'!F319)),IF($B321="STD. DEVIATION",2,$F$1))))</f>
        <v/>
      </c>
      <c r="H321" s="1" t="str">
        <f>IF(OR($B321="",H$7=""),"",IF($B321="MEANS",INDEX('1-DATA'!$1:$1048576,$A320-1,COLUMN('1-DATA'!G319)),ROUND(INDEX('1-DATA'!$1:$1048576,IF(OR($B321="STD. DEVIATION",$C$1=1),$A321,$A321+1),COLUMN('1-DATA'!G319)),IF($B321="STD. DEVIATION",2,$F$1))))</f>
        <v/>
      </c>
      <c r="I321" s="1" t="str">
        <f>IF(OR($B321="",I$7=""),"",IF($B321="MEANS",INDEX('1-DATA'!$1:$1048576,$A320-1,COLUMN('1-DATA'!H319)),ROUND(INDEX('1-DATA'!$1:$1048576,IF(OR($B321="STD. DEVIATION",$C$1=1),$A321,$A321+1),COLUMN('1-DATA'!H319)),IF($B321="STD. DEVIATION",2,$F$1))))</f>
        <v/>
      </c>
      <c r="J321" s="1" t="str">
        <f>IF(OR($B321="",J$7=""),"",IF($B321="MEANS",INDEX('1-DATA'!$1:$1048576,$A320-1,COLUMN('1-DATA'!I319)),ROUND(INDEX('1-DATA'!$1:$1048576,IF(OR($B321="STD. DEVIATION",$C$1=1),$A321,$A321+1),COLUMN('1-DATA'!I319)),IF($B321="STD. DEVIATION",2,$F$1))))</f>
        <v/>
      </c>
      <c r="K321" s="1" t="str">
        <f>IF(OR($B321="",K$7=""),"",IF($B321="MEANS",INDEX('1-DATA'!$1:$1048576,$A320-1,COLUMN('1-DATA'!J319)),ROUND(INDEX('1-DATA'!$1:$1048576,IF(OR($B321="STD. DEVIATION",$C$1=1),$A321,$A321+1),COLUMN('1-DATA'!J319)),IF($B321="STD. DEVIATION",2,$F$1))))</f>
        <v/>
      </c>
      <c r="L321" s="1" t="str">
        <f>IF(OR($B321="",L$7=""),"",IF($B321="MEANS",INDEX('1-DATA'!$1:$1048576,$A320-1,COLUMN('1-DATA'!K319)),ROUND(INDEX('1-DATA'!$1:$1048576,IF(OR($B321="STD. DEVIATION",$C$1=1),$A321,$A321+1),COLUMN('1-DATA'!K319)),IF($B321="STD. DEVIATION",2,$F$1))))</f>
        <v/>
      </c>
      <c r="M321" s="1" t="str">
        <f>IF(OR($B321="",M$7=""),"",IF($B321="MEANS",INDEX('1-DATA'!$1:$1048576,$A320-1,COLUMN('1-DATA'!L319)),ROUND(INDEX('1-DATA'!$1:$1048576,IF(OR($B321="STD. DEVIATION",$C$1=1),$A321,$A321+1),COLUMN('1-DATA'!L319)),IF($B321="STD. DEVIATION",2,$F$1))))</f>
        <v/>
      </c>
      <c r="N321" s="1" t="str">
        <f>IF(OR($B321="",N$7=""),"",IF($B321="MEANS",INDEX('1-DATA'!$1:$1048576,$A320-1,COLUMN('1-DATA'!M319)),ROUND(INDEX('1-DATA'!$1:$1048576,IF(OR($B321="STD. DEVIATION",$C$1=1),$A321,$A321+1),COLUMN('1-DATA'!M319)),IF($B321="STD. DEVIATION",2,$F$1))))</f>
        <v/>
      </c>
      <c r="O321" s="1" t="str">
        <f>IF(OR($B321="",O$7=""),"",IF($B321="MEANS",INDEX('1-DATA'!$1:$1048576,$A320-1,COLUMN('1-DATA'!N319)),ROUND(INDEX('1-DATA'!$1:$1048576,IF(OR($B321="STD. DEVIATION",$C$1=1),$A321,$A321+1),COLUMN('1-DATA'!N319)),IF($B321="STD. DEVIATION",2,$F$1))))</f>
        <v/>
      </c>
      <c r="P321" s="1" t="str">
        <f>IF(OR($B321="",P$7=""),"",IF($B321="MEANS",INDEX('1-DATA'!$1:$1048576,$A320-1,COLUMN('1-DATA'!O319)),ROUND(INDEX('1-DATA'!$1:$1048576,IF(OR($B321="STD. DEVIATION",$C$1=1),$A321,$A321+1),COLUMN('1-DATA'!O319)),IF($B321="STD. DEVIATION",2,$F$1))))</f>
        <v/>
      </c>
      <c r="Q321" s="1" t="str">
        <f>IF(OR($B321="",Q$7=""),"",IF($B321="MEANS",INDEX('1-DATA'!$1:$1048576,$A320-1,COLUMN('1-DATA'!P319)),ROUND(INDEX('1-DATA'!$1:$1048576,IF(OR($B321="STD. DEVIATION",$C$1=1),$A321,$A321+1),COLUMN('1-DATA'!P319)),IF($B321="STD. DEVIATION",2,$F$1))))</f>
        <v/>
      </c>
      <c r="R321" s="1" t="str">
        <f>IF(OR($B321="",R$7=""),"",IF($B321="MEANS",INDEX('1-DATA'!$1:$1048576,$A320-1,COLUMN('1-DATA'!Q319)),ROUND(INDEX('1-DATA'!$1:$1048576,IF(OR($B321="STD. DEVIATION",$C$1=1),$A321,$A321+1),COLUMN('1-DATA'!Q319)),IF($B321="STD. DEVIATION",2,$F$1))))</f>
        <v/>
      </c>
      <c r="S321" s="1" t="str">
        <f>IF(OR($B321="",S$7=""),"",IF($B321="MEANS",INDEX('1-DATA'!$1:$1048576,$A320-1,COLUMN('1-DATA'!R319)),ROUND(INDEX('1-DATA'!$1:$1048576,IF(OR($B321="STD. DEVIATION",$C$1=1),$A321,$A321+1),COLUMN('1-DATA'!R319)),IF($B321="STD. DEVIATION",2,$F$1))))</f>
        <v/>
      </c>
      <c r="T321" s="1" t="str">
        <f>IF(OR($B321="",T$7=""),"",IF($B321="MEANS",INDEX('1-DATA'!$1:$1048576,$A320-1,COLUMN('1-DATA'!S319)),ROUND(INDEX('1-DATA'!$1:$1048576,IF(OR($B321="STD. DEVIATION",$C$1=1),$A321,$A321+1),COLUMN('1-DATA'!S319)),IF($B321="STD. DEVIATION",2,$F$1))))</f>
        <v/>
      </c>
      <c r="U321" s="1" t="str">
        <f>IF(OR($B321="",U$7=""),"",IF($B321="MEANS",INDEX('1-DATA'!$1:$1048576,$A320-1,COLUMN('1-DATA'!T319)),ROUND(INDEX('1-DATA'!$1:$1048576,IF(OR($B321="STD. DEVIATION",$C$1=1),$A321,$A321+1),COLUMN('1-DATA'!T319)),IF($B321="STD. DEVIATION",2,$F$1))))</f>
        <v/>
      </c>
      <c r="V321" s="1" t="str">
        <f>IF(OR($B321="",V$7=""),"",IF($B321="MEANS",INDEX('1-DATA'!$1:$1048576,$A320-1,COLUMN('1-DATA'!U319)),ROUND(INDEX('1-DATA'!$1:$1048576,IF(OR($B321="STD. DEVIATION",$C$1=1),$A321,$A321+1),COLUMN('1-DATA'!U319)),IF($B321="STD. DEVIATION",2,$F$1))))</f>
        <v/>
      </c>
      <c r="W321" s="1" t="str">
        <f>IF(OR($B321="",W$7=""),"",IF($B321="MEANS",INDEX('1-DATA'!$1:$1048576,$A320-1,COLUMN('1-DATA'!V319)),ROUND(INDEX('1-DATA'!$1:$1048576,IF(OR($B321="STD. DEVIATION",$C$1=1),$A321,$A321+1),COLUMN('1-DATA'!V319)),IF($B321="STD. DEVIATION",2,$F$1))))</f>
        <v/>
      </c>
      <c r="X321" s="1" t="str">
        <f>IF(OR($B321="",X$7=""),"",IF($B321="MEANS",INDEX('1-DATA'!$1:$1048576,$A320-1,COLUMN('1-DATA'!W319)),ROUND(INDEX('1-DATA'!$1:$1048576,IF(OR($B321="STD. DEVIATION",$C$1=1),$A321,$A321+1),COLUMN('1-DATA'!W319)),IF($B321="STD. DEVIATION",2,$F$1))))</f>
        <v/>
      </c>
      <c r="Y321" s="1" t="str">
        <f>IF(OR($B321="",Y$7=""),"",IF($B321="MEANS",INDEX('1-DATA'!$1:$1048576,$A320-1,COLUMN('1-DATA'!X319)),ROUND(INDEX('1-DATA'!$1:$1048576,IF(OR($B321="STD. DEVIATION",$C$1=1),$A321,$A321+1),COLUMN('1-DATA'!X319)),IF($B321="STD. DEVIATION",2,$F$1))))</f>
        <v/>
      </c>
      <c r="Z321" s="1" t="str">
        <f>IF(OR($B321="",Z$7=""),"",IF($B321="MEANS",INDEX('1-DATA'!$1:$1048576,$A320-1,COLUMN('1-DATA'!Y319)),ROUND(INDEX('1-DATA'!$1:$1048576,IF(OR($B321="STD. DEVIATION",$C$1=1),$A321,$A321+1),COLUMN('1-DATA'!Y319)),IF($B321="STD. DEVIATION",2,$F$1))))</f>
        <v/>
      </c>
      <c r="AA321" s="1" t="str">
        <f>IF(OR($B321="",AA$7=""),"",IF($B321="MEANS",INDEX('1-DATA'!$1:$1048576,$A320-1,COLUMN('1-DATA'!Z319)),ROUND(INDEX('1-DATA'!$1:$1048576,IF(OR($B321="STD. DEVIATION",$C$1=1),$A321,$A321+1),COLUMN('1-DATA'!Z319)),IF($B321="STD. DEVIATION",2,$F$1))))</f>
        <v/>
      </c>
      <c r="AB321" s="1" t="str">
        <f>IF(OR($B321="",AB$7=""),"",IF($B321="MEANS",INDEX('1-DATA'!$1:$1048576,$A320-1,COLUMN('1-DATA'!AA319)),ROUND(INDEX('1-DATA'!$1:$1048576,IF(OR($B321="STD. DEVIATION",$C$1=1),$A321,$A321+1),COLUMN('1-DATA'!AA319)),IF($B321="STD. DEVIATION",2,$F$1))))</f>
        <v/>
      </c>
      <c r="AC321" s="1" t="str">
        <f>IF(OR($B321="",AC$7=""),"",IF($B321="MEANS",INDEX('1-DATA'!$1:$1048576,$A320-1,COLUMN('1-DATA'!AB319)),ROUND(INDEX('1-DATA'!$1:$1048576,IF(OR($B321="STD. DEVIATION",$C$1=1),$A321,$A321+1),COLUMN('1-DATA'!AB319)),IF($B321="STD. DEVIATION",2,$F$1))))</f>
        <v/>
      </c>
      <c r="AD321" s="1" t="str">
        <f>IF(OR($B321="",AD$7=""),"",IF($B321="MEANS",INDEX('1-DATA'!$1:$1048576,$A320-1,COLUMN('1-DATA'!AC319)),ROUND(INDEX('1-DATA'!$1:$1048576,IF(OR($B321="STD. DEVIATION",$C$1=1),$A321,$A321+1),COLUMN('1-DATA'!AC319)),IF($B321="STD. DEVIATION",2,$F$1))))</f>
        <v/>
      </c>
      <c r="AE321" s="1" t="str">
        <f>IF(OR($B321="",AE$7=""),"",IF($B321="MEANS",INDEX('1-DATA'!$1:$1048576,$A320-1,COLUMN('1-DATA'!AD319)),ROUND(INDEX('1-DATA'!$1:$1048576,IF(OR($B321="STD. DEVIATION",$C$1=1),$A321,$A321+1),COLUMN('1-DATA'!AD319)),IF($B321="STD. DEVIATION",2,$F$1))))</f>
        <v/>
      </c>
      <c r="AF321" s="1" t="str">
        <f>IF(OR($B321="",AF$7=""),"",IF($B321="MEANS",INDEX('1-DATA'!$1:$1048576,$A320-1,COLUMN('1-DATA'!AE319)),ROUND(INDEX('1-DATA'!$1:$1048576,IF(OR($B321="STD. DEVIATION",$C$1=1),$A321,$A321+1),COLUMN('1-DATA'!AE319)),IF($B321="STD. DEVIATION",2,$F$1))))</f>
        <v/>
      </c>
      <c r="AG321" s="1" t="str">
        <f>IF(OR($B321="",AG$7=""),"",IF($B321="MEANS",INDEX('1-DATA'!$1:$1048576,$A320-1,COLUMN('1-DATA'!AF319)),ROUND(INDEX('1-DATA'!$1:$1048576,IF(OR($B321="STD. DEVIATION",$C$1=1),$A321,$A321+1),COLUMN('1-DATA'!AF319)),IF($B321="STD. DEVIATION",2,$F$1))))</f>
        <v/>
      </c>
      <c r="AH321" s="1" t="str">
        <f>IF(OR($B321="",AH$7=""),"",IF($B321="MEANS",INDEX('1-DATA'!$1:$1048576,$A320-1,COLUMN('1-DATA'!AG319)),ROUND(INDEX('1-DATA'!$1:$1048576,IF(OR($B321="STD. DEVIATION",$C$1=1),$A321,$A321+1),COLUMN('1-DATA'!AG319)),IF($B321="STD. DEVIATION",2,$F$1))))</f>
        <v/>
      </c>
      <c r="AI321" s="1" t="str">
        <f>IF(OR($B321="",AI$7=""),"",IF($B321="MEANS",INDEX('1-DATA'!$1:$1048576,$A320-1,COLUMN('1-DATA'!AH319)),ROUND(INDEX('1-DATA'!$1:$1048576,IF(OR($B321="STD. DEVIATION",$C$1=1),$A321,$A321+1),COLUMN('1-DATA'!AH319)),IF($B321="STD. DEVIATION",2,$F$1))))</f>
        <v/>
      </c>
      <c r="AJ321" s="1" t="str">
        <f>IF(OR($B321="",AJ$7=""),"",IF($B321="MEANS",INDEX('1-DATA'!$1:$1048576,$A320-1,COLUMN('1-DATA'!AI319)),ROUND(INDEX('1-DATA'!$1:$1048576,IF(OR($B321="STD. DEVIATION",$C$1=1),$A321,$A321+1),COLUMN('1-DATA'!AI319)),IF($B321="STD. DEVIATION",2,$F$1))))</f>
        <v/>
      </c>
      <c r="AK321" s="1" t="str">
        <f>IF(OR($B321="",AK$7=""),"",IF($B321="MEANS",INDEX('1-DATA'!$1:$1048576,$A320-1,COLUMN('1-DATA'!AJ319)),ROUND(INDEX('1-DATA'!$1:$1048576,IF(OR($B321="STD. DEVIATION",$C$1=1),$A321,$A321+1),COLUMN('1-DATA'!AJ319)),IF($B321="STD. DEVIATION",2,$F$1))))</f>
        <v/>
      </c>
      <c r="AL321" s="1" t="str">
        <f>IF(OR($B321="",AL$7=""),"",IF($B321="MEANS",INDEX('1-DATA'!$1:$1048576,$A320-1,COLUMN('1-DATA'!AK319)),ROUND(INDEX('1-DATA'!$1:$1048576,IF(OR($B321="STD. DEVIATION",$C$1=1),$A321,$A321+1),COLUMN('1-DATA'!AK319)),IF($B321="STD. DEVIATION",2,$F$1))))</f>
        <v/>
      </c>
      <c r="AM321" s="1" t="str">
        <f>IF(OR($B321="",AM$7=""),"",IF($B321="MEANS",INDEX('1-DATA'!$1:$1048576,$A320-1,COLUMN('1-DATA'!AL319)),ROUND(INDEX('1-DATA'!$1:$1048576,IF(OR($B321="STD. DEVIATION",$C$1=1),$A321,$A321+1),COLUMN('1-DATA'!AL319)),IF($B321="STD. DEVIATION",2,$F$1))))</f>
        <v/>
      </c>
      <c r="AN321" s="1" t="str">
        <f>IF(OR($B321="",AN$7=""),"",IF($B321="MEANS",INDEX('1-DATA'!$1:$1048576,$A320-1,COLUMN('1-DATA'!AM319)),ROUND(INDEX('1-DATA'!$1:$1048576,IF(OR($B321="STD. DEVIATION",$C$1=1),$A321,$A321+1),COLUMN('1-DATA'!AM319)),IF($B321="STD. DEVIATION",2,$F$1))))</f>
        <v/>
      </c>
      <c r="AO321" s="1" t="str">
        <f>IF(OR($B321="",AO$7=""),"",IF($B321="MEANS",INDEX('1-DATA'!$1:$1048576,$A320-1,COLUMN('1-DATA'!AN319)),ROUND(INDEX('1-DATA'!$1:$1048576,IF(OR($B321="STD. DEVIATION",$C$1=1),$A321,$A321+1),COLUMN('1-DATA'!AN319)),IF($B321="STD. DEVIATION",2,$F$1))))</f>
        <v/>
      </c>
      <c r="AP321" s="1" t="str">
        <f>IF(OR($B321="",AP$7=""),"",IF($B321="MEANS",INDEX('1-DATA'!$1:$1048576,$A320-1,COLUMN('1-DATA'!AO319)),ROUND(INDEX('1-DATA'!$1:$1048576,IF(OR($B321="STD. DEVIATION",$C$1=1),$A321,$A321+1),COLUMN('1-DATA'!AO319)),IF($B321="STD. DEVIATION",2,$F$1))))</f>
        <v/>
      </c>
      <c r="AQ321" s="1" t="str">
        <f>IF(OR($B321="",AQ$7=""),"",IF($B321="MEANS",INDEX('1-DATA'!$1:$1048576,$A320-1,COLUMN('1-DATA'!AP319)),ROUND(INDEX('1-DATA'!$1:$1048576,IF(OR($B321="STD. DEVIATION",$C$1=1),$A321,$A321+1),COLUMN('1-DATA'!AP319)),IF($B321="STD. DEVIATION",2,$F$1))))</f>
        <v/>
      </c>
      <c r="AR321" s="1" t="str">
        <f>IF(OR($B321="",AR$7=""),"",IF($B321="MEANS",INDEX('1-DATA'!$1:$1048576,$A320-1,COLUMN('1-DATA'!AQ319)),ROUND(INDEX('1-DATA'!$1:$1048576,IF(OR($B321="STD. DEVIATION",$C$1=1),$A321,$A321+1),COLUMN('1-DATA'!AQ319)),IF($B321="STD. DEVIATION",2,$F$1))))</f>
        <v/>
      </c>
      <c r="AS321" s="1" t="str">
        <f>IF(OR($B321="",AS$7=""),"",IF($B321="MEANS",INDEX('1-DATA'!$1:$1048576,$A320-1,COLUMN('1-DATA'!AR319)),ROUND(INDEX('1-DATA'!$1:$1048576,IF(OR($B321="STD. DEVIATION",$C$1=1),$A321,$A321+1),COLUMN('1-DATA'!AR319)),IF($B321="STD. DEVIATION",2,$F$1))))</f>
        <v/>
      </c>
      <c r="AT321" s="1" t="str">
        <f>IF(OR($B321="",AT$7=""),"",IF($B321="MEANS",INDEX('1-DATA'!$1:$1048576,$A320-1,COLUMN('1-DATA'!AS319)),ROUND(INDEX('1-DATA'!$1:$1048576,IF(OR($B321="STD. DEVIATION",$C$1=1),$A321,$A321+1),COLUMN('1-DATA'!AS319)),IF($B321="STD. DEVIATION",2,$F$1))))</f>
        <v/>
      </c>
      <c r="AU321" s="1" t="str">
        <f>IF(OR($B321="",AU$7=""),"",IF($B321="MEANS",INDEX('1-DATA'!$1:$1048576,$A320-1,COLUMN('1-DATA'!AT319)),ROUND(INDEX('1-DATA'!$1:$1048576,IF(OR($B321="STD. DEVIATION",$C$1=1),$A321,$A321+1),COLUMN('1-DATA'!AT319)),IF($B321="STD. DEVIATION",2,$F$1))))</f>
        <v/>
      </c>
      <c r="AV321" s="1" t="str">
        <f>IF(OR($B321="",AV$7=""),"",IF($B321="MEANS",INDEX('1-DATA'!$1:$1048576,$A320-1,COLUMN('1-DATA'!AU319)),ROUND(INDEX('1-DATA'!$1:$1048576,IF(OR($B321="STD. DEVIATION",$C$1=1),$A321,$A321+1),COLUMN('1-DATA'!AU319)),IF($B321="STD. DEVIATION",2,$F$1))))</f>
        <v/>
      </c>
      <c r="AW321" s="1" t="str">
        <f>IF(OR($B321="",AW$7=""),"",IF($B321="MEANS",INDEX('1-DATA'!$1:$1048576,$A320-1,COLUMN('1-DATA'!AV319)),ROUND(INDEX('1-DATA'!$1:$1048576,IF(OR($B321="STD. DEVIATION",$C$1=1),$A321,$A321+1),COLUMN('1-DATA'!AV319)),IF($B321="STD. DEVIATION",2,$F$1))))</f>
        <v/>
      </c>
      <c r="AX321" s="1" t="str">
        <f>IF(OR($B321="",AX$7=""),"",IF($B321="MEANS",INDEX('1-DATA'!$1:$1048576,$A320-1,COLUMN('1-DATA'!AW319)),ROUND(INDEX('1-DATA'!$1:$1048576,IF(OR($B321="STD. DEVIATION",$C$1=1),$A321,$A321+1),COLUMN('1-DATA'!AW319)),IF($B321="STD. DEVIATION",2,$F$1))))</f>
        <v/>
      </c>
      <c r="AY321" s="1" t="str">
        <f>IF(OR($B321="",AY$7=""),"",IF($B321="MEANS",INDEX('1-DATA'!$1:$1048576,$A320-1,COLUMN('1-DATA'!AX319)),ROUND(INDEX('1-DATA'!$1:$1048576,IF(OR($B321="STD. DEVIATION",$C$1=1),$A321,$A321+1),COLUMN('1-DATA'!AX319)),IF($B321="STD. DEVIATION",2,$F$1))))</f>
        <v/>
      </c>
      <c r="AZ321" s="1" t="str">
        <f>IF(OR($B321="",AZ$7=""),"",IF($B321="MEANS",INDEX('1-DATA'!$1:$1048576,$A320-1,COLUMN('1-DATA'!AY319)),ROUND(INDEX('1-DATA'!$1:$1048576,IF(OR($B321="STD. DEVIATION",$C$1=1),$A321,$A321+1),COLUMN('1-DATA'!AY319)),IF($B321="STD. DEVIATION",2,$F$1))))</f>
        <v/>
      </c>
    </row>
    <row r="322" spans="1:52" x14ac:dyDescent="0.25">
      <c r="A322" s="11">
        <f t="shared" si="5"/>
        <v>952</v>
      </c>
      <c r="B322" s="1" t="str">
        <f>IF(B321="STD. DEVIATION",INDEX('1-DATA'!$1:$1048576,$A321-1,1),IF(INDEX('1-DATA'!$1:$1048576,$A322,1)&lt;&gt;"",INDEX('1-DATA'!$1:$1048576,$A322,1),""))</f>
        <v/>
      </c>
      <c r="C322" s="1" t="str">
        <f>IF(OR($B322="",C$7=""),"",IF($B322="MEANS",INDEX('1-DATA'!$1:$1048576,$A321-1,COLUMN('1-DATA'!B320)),ROUND(INDEX('1-DATA'!$1:$1048576,IF(OR($B322="STD. DEVIATION",$C$1=1),$A322,$A322+1),COLUMN('1-DATA'!B320)),IF($B322="STD. DEVIATION",2,$F$1))))</f>
        <v/>
      </c>
      <c r="D322" s="1" t="str">
        <f>IF(OR($B322="",D$7=""),"",IF($B322="MEANS",INDEX('1-DATA'!$1:$1048576,$A321-1,COLUMN('1-DATA'!C320)),ROUND(INDEX('1-DATA'!$1:$1048576,IF(OR($B322="STD. DEVIATION",$C$1=1),$A322,$A322+1),COLUMN('1-DATA'!C320)),IF($B322="STD. DEVIATION",2,$F$1))))</f>
        <v/>
      </c>
      <c r="E322" s="1" t="str">
        <f>IF(OR($B322="",E$7=""),"",IF($B322="MEANS",INDEX('1-DATA'!$1:$1048576,$A321-1,COLUMN('1-DATA'!D320)),ROUND(INDEX('1-DATA'!$1:$1048576,IF(OR($B322="STD. DEVIATION",$C$1=1),$A322,$A322+1),COLUMN('1-DATA'!D320)),IF($B322="STD. DEVIATION",2,$F$1))))</f>
        <v/>
      </c>
      <c r="F322" s="1" t="str">
        <f>IF(OR($B322="",F$7=""),"",IF($B322="MEANS",INDEX('1-DATA'!$1:$1048576,$A321-1,COLUMN('1-DATA'!E320)),ROUND(INDEX('1-DATA'!$1:$1048576,IF(OR($B322="STD. DEVIATION",$C$1=1),$A322,$A322+1),COLUMN('1-DATA'!E320)),IF($B322="STD. DEVIATION",2,$F$1))))</f>
        <v/>
      </c>
      <c r="G322" s="1" t="str">
        <f>IF(OR($B322="",G$7=""),"",IF($B322="MEANS",INDEX('1-DATA'!$1:$1048576,$A321-1,COLUMN('1-DATA'!F320)),ROUND(INDEX('1-DATA'!$1:$1048576,IF(OR($B322="STD. DEVIATION",$C$1=1),$A322,$A322+1),COLUMN('1-DATA'!F320)),IF($B322="STD. DEVIATION",2,$F$1))))</f>
        <v/>
      </c>
      <c r="H322" s="1" t="str">
        <f>IF(OR($B322="",H$7=""),"",IF($B322="MEANS",INDEX('1-DATA'!$1:$1048576,$A321-1,COLUMN('1-DATA'!G320)),ROUND(INDEX('1-DATA'!$1:$1048576,IF(OR($B322="STD. DEVIATION",$C$1=1),$A322,$A322+1),COLUMN('1-DATA'!G320)),IF($B322="STD. DEVIATION",2,$F$1))))</f>
        <v/>
      </c>
      <c r="I322" s="1" t="str">
        <f>IF(OR($B322="",I$7=""),"",IF($B322="MEANS",INDEX('1-DATA'!$1:$1048576,$A321-1,COLUMN('1-DATA'!H320)),ROUND(INDEX('1-DATA'!$1:$1048576,IF(OR($B322="STD. DEVIATION",$C$1=1),$A322,$A322+1),COLUMN('1-DATA'!H320)),IF($B322="STD. DEVIATION",2,$F$1))))</f>
        <v/>
      </c>
      <c r="J322" s="1" t="str">
        <f>IF(OR($B322="",J$7=""),"",IF($B322="MEANS",INDEX('1-DATA'!$1:$1048576,$A321-1,COLUMN('1-DATA'!I320)),ROUND(INDEX('1-DATA'!$1:$1048576,IF(OR($B322="STD. DEVIATION",$C$1=1),$A322,$A322+1),COLUMN('1-DATA'!I320)),IF($B322="STD. DEVIATION",2,$F$1))))</f>
        <v/>
      </c>
      <c r="K322" s="1" t="str">
        <f>IF(OR($B322="",K$7=""),"",IF($B322="MEANS",INDEX('1-DATA'!$1:$1048576,$A321-1,COLUMN('1-DATA'!J320)),ROUND(INDEX('1-DATA'!$1:$1048576,IF(OR($B322="STD. DEVIATION",$C$1=1),$A322,$A322+1),COLUMN('1-DATA'!J320)),IF($B322="STD. DEVIATION",2,$F$1))))</f>
        <v/>
      </c>
      <c r="L322" s="1" t="str">
        <f>IF(OR($B322="",L$7=""),"",IF($B322="MEANS",INDEX('1-DATA'!$1:$1048576,$A321-1,COLUMN('1-DATA'!K320)),ROUND(INDEX('1-DATA'!$1:$1048576,IF(OR($B322="STD. DEVIATION",$C$1=1),$A322,$A322+1),COLUMN('1-DATA'!K320)),IF($B322="STD. DEVIATION",2,$F$1))))</f>
        <v/>
      </c>
      <c r="M322" s="1" t="str">
        <f>IF(OR($B322="",M$7=""),"",IF($B322="MEANS",INDEX('1-DATA'!$1:$1048576,$A321-1,COLUMN('1-DATA'!L320)),ROUND(INDEX('1-DATA'!$1:$1048576,IF(OR($B322="STD. DEVIATION",$C$1=1),$A322,$A322+1),COLUMN('1-DATA'!L320)),IF($B322="STD. DEVIATION",2,$F$1))))</f>
        <v/>
      </c>
      <c r="N322" s="1" t="str">
        <f>IF(OR($B322="",N$7=""),"",IF($B322="MEANS",INDEX('1-DATA'!$1:$1048576,$A321-1,COLUMN('1-DATA'!M320)),ROUND(INDEX('1-DATA'!$1:$1048576,IF(OR($B322="STD. DEVIATION",$C$1=1),$A322,$A322+1),COLUMN('1-DATA'!M320)),IF($B322="STD. DEVIATION",2,$F$1))))</f>
        <v/>
      </c>
      <c r="O322" s="1" t="str">
        <f>IF(OR($B322="",O$7=""),"",IF($B322="MEANS",INDEX('1-DATA'!$1:$1048576,$A321-1,COLUMN('1-DATA'!N320)),ROUND(INDEX('1-DATA'!$1:$1048576,IF(OR($B322="STD. DEVIATION",$C$1=1),$A322,$A322+1),COLUMN('1-DATA'!N320)),IF($B322="STD. DEVIATION",2,$F$1))))</f>
        <v/>
      </c>
      <c r="P322" s="1" t="str">
        <f>IF(OR($B322="",P$7=""),"",IF($B322="MEANS",INDEX('1-DATA'!$1:$1048576,$A321-1,COLUMN('1-DATA'!O320)),ROUND(INDEX('1-DATA'!$1:$1048576,IF(OR($B322="STD. DEVIATION",$C$1=1),$A322,$A322+1),COLUMN('1-DATA'!O320)),IF($B322="STD. DEVIATION",2,$F$1))))</f>
        <v/>
      </c>
      <c r="Q322" s="1" t="str">
        <f>IF(OR($B322="",Q$7=""),"",IF($B322="MEANS",INDEX('1-DATA'!$1:$1048576,$A321-1,COLUMN('1-DATA'!P320)),ROUND(INDEX('1-DATA'!$1:$1048576,IF(OR($B322="STD. DEVIATION",$C$1=1),$A322,$A322+1),COLUMN('1-DATA'!P320)),IF($B322="STD. DEVIATION",2,$F$1))))</f>
        <v/>
      </c>
      <c r="R322" s="1" t="str">
        <f>IF(OR($B322="",R$7=""),"",IF($B322="MEANS",INDEX('1-DATA'!$1:$1048576,$A321-1,COLUMN('1-DATA'!Q320)),ROUND(INDEX('1-DATA'!$1:$1048576,IF(OR($B322="STD. DEVIATION",$C$1=1),$A322,$A322+1),COLUMN('1-DATA'!Q320)),IF($B322="STD. DEVIATION",2,$F$1))))</f>
        <v/>
      </c>
      <c r="S322" s="1" t="str">
        <f>IF(OR($B322="",S$7=""),"",IF($B322="MEANS",INDEX('1-DATA'!$1:$1048576,$A321-1,COLUMN('1-DATA'!R320)),ROUND(INDEX('1-DATA'!$1:$1048576,IF(OR($B322="STD. DEVIATION",$C$1=1),$A322,$A322+1),COLUMN('1-DATA'!R320)),IF($B322="STD. DEVIATION",2,$F$1))))</f>
        <v/>
      </c>
      <c r="T322" s="1" t="str">
        <f>IF(OR($B322="",T$7=""),"",IF($B322="MEANS",INDEX('1-DATA'!$1:$1048576,$A321-1,COLUMN('1-DATA'!S320)),ROUND(INDEX('1-DATA'!$1:$1048576,IF(OR($B322="STD. DEVIATION",$C$1=1),$A322,$A322+1),COLUMN('1-DATA'!S320)),IF($B322="STD. DEVIATION",2,$F$1))))</f>
        <v/>
      </c>
      <c r="U322" s="1" t="str">
        <f>IF(OR($B322="",U$7=""),"",IF($B322="MEANS",INDEX('1-DATA'!$1:$1048576,$A321-1,COLUMN('1-DATA'!T320)),ROUND(INDEX('1-DATA'!$1:$1048576,IF(OR($B322="STD. DEVIATION",$C$1=1),$A322,$A322+1),COLUMN('1-DATA'!T320)),IF($B322="STD. DEVIATION",2,$F$1))))</f>
        <v/>
      </c>
      <c r="V322" s="1" t="str">
        <f>IF(OR($B322="",V$7=""),"",IF($B322="MEANS",INDEX('1-DATA'!$1:$1048576,$A321-1,COLUMN('1-DATA'!U320)),ROUND(INDEX('1-DATA'!$1:$1048576,IF(OR($B322="STD. DEVIATION",$C$1=1),$A322,$A322+1),COLUMN('1-DATA'!U320)),IF($B322="STD. DEVIATION",2,$F$1))))</f>
        <v/>
      </c>
      <c r="W322" s="1" t="str">
        <f>IF(OR($B322="",W$7=""),"",IF($B322="MEANS",INDEX('1-DATA'!$1:$1048576,$A321-1,COLUMN('1-DATA'!V320)),ROUND(INDEX('1-DATA'!$1:$1048576,IF(OR($B322="STD. DEVIATION",$C$1=1),$A322,$A322+1),COLUMN('1-DATA'!V320)),IF($B322="STD. DEVIATION",2,$F$1))))</f>
        <v/>
      </c>
      <c r="X322" s="1" t="str">
        <f>IF(OR($B322="",X$7=""),"",IF($B322="MEANS",INDEX('1-DATA'!$1:$1048576,$A321-1,COLUMN('1-DATA'!W320)),ROUND(INDEX('1-DATA'!$1:$1048576,IF(OR($B322="STD. DEVIATION",$C$1=1),$A322,$A322+1),COLUMN('1-DATA'!W320)),IF($B322="STD. DEVIATION",2,$F$1))))</f>
        <v/>
      </c>
      <c r="Y322" s="1" t="str">
        <f>IF(OR($B322="",Y$7=""),"",IF($B322="MEANS",INDEX('1-DATA'!$1:$1048576,$A321-1,COLUMN('1-DATA'!X320)),ROUND(INDEX('1-DATA'!$1:$1048576,IF(OR($B322="STD. DEVIATION",$C$1=1),$A322,$A322+1),COLUMN('1-DATA'!X320)),IF($B322="STD. DEVIATION",2,$F$1))))</f>
        <v/>
      </c>
      <c r="Z322" s="1" t="str">
        <f>IF(OR($B322="",Z$7=""),"",IF($B322="MEANS",INDEX('1-DATA'!$1:$1048576,$A321-1,COLUMN('1-DATA'!Y320)),ROUND(INDEX('1-DATA'!$1:$1048576,IF(OR($B322="STD. DEVIATION",$C$1=1),$A322,$A322+1),COLUMN('1-DATA'!Y320)),IF($B322="STD. DEVIATION",2,$F$1))))</f>
        <v/>
      </c>
      <c r="AA322" s="1" t="str">
        <f>IF(OR($B322="",AA$7=""),"",IF($B322="MEANS",INDEX('1-DATA'!$1:$1048576,$A321-1,COLUMN('1-DATA'!Z320)),ROUND(INDEX('1-DATA'!$1:$1048576,IF(OR($B322="STD. DEVIATION",$C$1=1),$A322,$A322+1),COLUMN('1-DATA'!Z320)),IF($B322="STD. DEVIATION",2,$F$1))))</f>
        <v/>
      </c>
      <c r="AB322" s="1" t="str">
        <f>IF(OR($B322="",AB$7=""),"",IF($B322="MEANS",INDEX('1-DATA'!$1:$1048576,$A321-1,COLUMN('1-DATA'!AA320)),ROUND(INDEX('1-DATA'!$1:$1048576,IF(OR($B322="STD. DEVIATION",$C$1=1),$A322,$A322+1),COLUMN('1-DATA'!AA320)),IF($B322="STD. DEVIATION",2,$F$1))))</f>
        <v/>
      </c>
      <c r="AC322" s="1" t="str">
        <f>IF(OR($B322="",AC$7=""),"",IF($B322="MEANS",INDEX('1-DATA'!$1:$1048576,$A321-1,COLUMN('1-DATA'!AB320)),ROUND(INDEX('1-DATA'!$1:$1048576,IF(OR($B322="STD. DEVIATION",$C$1=1),$A322,$A322+1),COLUMN('1-DATA'!AB320)),IF($B322="STD. DEVIATION",2,$F$1))))</f>
        <v/>
      </c>
      <c r="AD322" s="1" t="str">
        <f>IF(OR($B322="",AD$7=""),"",IF($B322="MEANS",INDEX('1-DATA'!$1:$1048576,$A321-1,COLUMN('1-DATA'!AC320)),ROUND(INDEX('1-DATA'!$1:$1048576,IF(OR($B322="STD. DEVIATION",$C$1=1),$A322,$A322+1),COLUMN('1-DATA'!AC320)),IF($B322="STD. DEVIATION",2,$F$1))))</f>
        <v/>
      </c>
      <c r="AE322" s="1" t="str">
        <f>IF(OR($B322="",AE$7=""),"",IF($B322="MEANS",INDEX('1-DATA'!$1:$1048576,$A321-1,COLUMN('1-DATA'!AD320)),ROUND(INDEX('1-DATA'!$1:$1048576,IF(OR($B322="STD. DEVIATION",$C$1=1),$A322,$A322+1),COLUMN('1-DATA'!AD320)),IF($B322="STD. DEVIATION",2,$F$1))))</f>
        <v/>
      </c>
      <c r="AF322" s="1" t="str">
        <f>IF(OR($B322="",AF$7=""),"",IF($B322="MEANS",INDEX('1-DATA'!$1:$1048576,$A321-1,COLUMN('1-DATA'!AE320)),ROUND(INDEX('1-DATA'!$1:$1048576,IF(OR($B322="STD. DEVIATION",$C$1=1),$A322,$A322+1),COLUMN('1-DATA'!AE320)),IF($B322="STD. DEVIATION",2,$F$1))))</f>
        <v/>
      </c>
      <c r="AG322" s="1" t="str">
        <f>IF(OR($B322="",AG$7=""),"",IF($B322="MEANS",INDEX('1-DATA'!$1:$1048576,$A321-1,COLUMN('1-DATA'!AF320)),ROUND(INDEX('1-DATA'!$1:$1048576,IF(OR($B322="STD. DEVIATION",$C$1=1),$A322,$A322+1),COLUMN('1-DATA'!AF320)),IF($B322="STD. DEVIATION",2,$F$1))))</f>
        <v/>
      </c>
      <c r="AH322" s="1" t="str">
        <f>IF(OR($B322="",AH$7=""),"",IF($B322="MEANS",INDEX('1-DATA'!$1:$1048576,$A321-1,COLUMN('1-DATA'!AG320)),ROUND(INDEX('1-DATA'!$1:$1048576,IF(OR($B322="STD. DEVIATION",$C$1=1),$A322,$A322+1),COLUMN('1-DATA'!AG320)),IF($B322="STD. DEVIATION",2,$F$1))))</f>
        <v/>
      </c>
      <c r="AI322" s="1" t="str">
        <f>IF(OR($B322="",AI$7=""),"",IF($B322="MEANS",INDEX('1-DATA'!$1:$1048576,$A321-1,COLUMN('1-DATA'!AH320)),ROUND(INDEX('1-DATA'!$1:$1048576,IF(OR($B322="STD. DEVIATION",$C$1=1),$A322,$A322+1),COLUMN('1-DATA'!AH320)),IF($B322="STD. DEVIATION",2,$F$1))))</f>
        <v/>
      </c>
      <c r="AJ322" s="1" t="str">
        <f>IF(OR($B322="",AJ$7=""),"",IF($B322="MEANS",INDEX('1-DATA'!$1:$1048576,$A321-1,COLUMN('1-DATA'!AI320)),ROUND(INDEX('1-DATA'!$1:$1048576,IF(OR($B322="STD. DEVIATION",$C$1=1),$A322,$A322+1),COLUMN('1-DATA'!AI320)),IF($B322="STD. DEVIATION",2,$F$1))))</f>
        <v/>
      </c>
      <c r="AK322" s="1" t="str">
        <f>IF(OR($B322="",AK$7=""),"",IF($B322="MEANS",INDEX('1-DATA'!$1:$1048576,$A321-1,COLUMN('1-DATA'!AJ320)),ROUND(INDEX('1-DATA'!$1:$1048576,IF(OR($B322="STD. DEVIATION",$C$1=1),$A322,$A322+1),COLUMN('1-DATA'!AJ320)),IF($B322="STD. DEVIATION",2,$F$1))))</f>
        <v/>
      </c>
      <c r="AL322" s="1" t="str">
        <f>IF(OR($B322="",AL$7=""),"",IF($B322="MEANS",INDEX('1-DATA'!$1:$1048576,$A321-1,COLUMN('1-DATA'!AK320)),ROUND(INDEX('1-DATA'!$1:$1048576,IF(OR($B322="STD. DEVIATION",$C$1=1),$A322,$A322+1),COLUMN('1-DATA'!AK320)),IF($B322="STD. DEVIATION",2,$F$1))))</f>
        <v/>
      </c>
      <c r="AM322" s="1" t="str">
        <f>IF(OR($B322="",AM$7=""),"",IF($B322="MEANS",INDEX('1-DATA'!$1:$1048576,$A321-1,COLUMN('1-DATA'!AL320)),ROUND(INDEX('1-DATA'!$1:$1048576,IF(OR($B322="STD. DEVIATION",$C$1=1),$A322,$A322+1),COLUMN('1-DATA'!AL320)),IF($B322="STD. DEVIATION",2,$F$1))))</f>
        <v/>
      </c>
      <c r="AN322" s="1" t="str">
        <f>IF(OR($B322="",AN$7=""),"",IF($B322="MEANS",INDEX('1-DATA'!$1:$1048576,$A321-1,COLUMN('1-DATA'!AM320)),ROUND(INDEX('1-DATA'!$1:$1048576,IF(OR($B322="STD. DEVIATION",$C$1=1),$A322,$A322+1),COLUMN('1-DATA'!AM320)),IF($B322="STD. DEVIATION",2,$F$1))))</f>
        <v/>
      </c>
      <c r="AO322" s="1" t="str">
        <f>IF(OR($B322="",AO$7=""),"",IF($B322="MEANS",INDEX('1-DATA'!$1:$1048576,$A321-1,COLUMN('1-DATA'!AN320)),ROUND(INDEX('1-DATA'!$1:$1048576,IF(OR($B322="STD. DEVIATION",$C$1=1),$A322,$A322+1),COLUMN('1-DATA'!AN320)),IF($B322="STD. DEVIATION",2,$F$1))))</f>
        <v/>
      </c>
      <c r="AP322" s="1" t="str">
        <f>IF(OR($B322="",AP$7=""),"",IF($B322="MEANS",INDEX('1-DATA'!$1:$1048576,$A321-1,COLUMN('1-DATA'!AO320)),ROUND(INDEX('1-DATA'!$1:$1048576,IF(OR($B322="STD. DEVIATION",$C$1=1),$A322,$A322+1),COLUMN('1-DATA'!AO320)),IF($B322="STD. DEVIATION",2,$F$1))))</f>
        <v/>
      </c>
      <c r="AQ322" s="1" t="str">
        <f>IF(OR($B322="",AQ$7=""),"",IF($B322="MEANS",INDEX('1-DATA'!$1:$1048576,$A321-1,COLUMN('1-DATA'!AP320)),ROUND(INDEX('1-DATA'!$1:$1048576,IF(OR($B322="STD. DEVIATION",$C$1=1),$A322,$A322+1),COLUMN('1-DATA'!AP320)),IF($B322="STD. DEVIATION",2,$F$1))))</f>
        <v/>
      </c>
      <c r="AR322" s="1" t="str">
        <f>IF(OR($B322="",AR$7=""),"",IF($B322="MEANS",INDEX('1-DATA'!$1:$1048576,$A321-1,COLUMN('1-DATA'!AQ320)),ROUND(INDEX('1-DATA'!$1:$1048576,IF(OR($B322="STD. DEVIATION",$C$1=1),$A322,$A322+1),COLUMN('1-DATA'!AQ320)),IF($B322="STD. DEVIATION",2,$F$1))))</f>
        <v/>
      </c>
      <c r="AS322" s="1" t="str">
        <f>IF(OR($B322="",AS$7=""),"",IF($B322="MEANS",INDEX('1-DATA'!$1:$1048576,$A321-1,COLUMN('1-DATA'!AR320)),ROUND(INDEX('1-DATA'!$1:$1048576,IF(OR($B322="STD. DEVIATION",$C$1=1),$A322,$A322+1),COLUMN('1-DATA'!AR320)),IF($B322="STD. DEVIATION",2,$F$1))))</f>
        <v/>
      </c>
      <c r="AT322" s="1" t="str">
        <f>IF(OR($B322="",AT$7=""),"",IF($B322="MEANS",INDEX('1-DATA'!$1:$1048576,$A321-1,COLUMN('1-DATA'!AS320)),ROUND(INDEX('1-DATA'!$1:$1048576,IF(OR($B322="STD. DEVIATION",$C$1=1),$A322,$A322+1),COLUMN('1-DATA'!AS320)),IF($B322="STD. DEVIATION",2,$F$1))))</f>
        <v/>
      </c>
      <c r="AU322" s="1" t="str">
        <f>IF(OR($B322="",AU$7=""),"",IF($B322="MEANS",INDEX('1-DATA'!$1:$1048576,$A321-1,COLUMN('1-DATA'!AT320)),ROUND(INDEX('1-DATA'!$1:$1048576,IF(OR($B322="STD. DEVIATION",$C$1=1),$A322,$A322+1),COLUMN('1-DATA'!AT320)),IF($B322="STD. DEVIATION",2,$F$1))))</f>
        <v/>
      </c>
      <c r="AV322" s="1" t="str">
        <f>IF(OR($B322="",AV$7=""),"",IF($B322="MEANS",INDEX('1-DATA'!$1:$1048576,$A321-1,COLUMN('1-DATA'!AU320)),ROUND(INDEX('1-DATA'!$1:$1048576,IF(OR($B322="STD. DEVIATION",$C$1=1),$A322,$A322+1),COLUMN('1-DATA'!AU320)),IF($B322="STD. DEVIATION",2,$F$1))))</f>
        <v/>
      </c>
      <c r="AW322" s="1" t="str">
        <f>IF(OR($B322="",AW$7=""),"",IF($B322="MEANS",INDEX('1-DATA'!$1:$1048576,$A321-1,COLUMN('1-DATA'!AV320)),ROUND(INDEX('1-DATA'!$1:$1048576,IF(OR($B322="STD. DEVIATION",$C$1=1),$A322,$A322+1),COLUMN('1-DATA'!AV320)),IF($B322="STD. DEVIATION",2,$F$1))))</f>
        <v/>
      </c>
      <c r="AX322" s="1" t="str">
        <f>IF(OR($B322="",AX$7=""),"",IF($B322="MEANS",INDEX('1-DATA'!$1:$1048576,$A321-1,COLUMN('1-DATA'!AW320)),ROUND(INDEX('1-DATA'!$1:$1048576,IF(OR($B322="STD. DEVIATION",$C$1=1),$A322,$A322+1),COLUMN('1-DATA'!AW320)),IF($B322="STD. DEVIATION",2,$F$1))))</f>
        <v/>
      </c>
      <c r="AY322" s="1" t="str">
        <f>IF(OR($B322="",AY$7=""),"",IF($B322="MEANS",INDEX('1-DATA'!$1:$1048576,$A321-1,COLUMN('1-DATA'!AX320)),ROUND(INDEX('1-DATA'!$1:$1048576,IF(OR($B322="STD. DEVIATION",$C$1=1),$A322,$A322+1),COLUMN('1-DATA'!AX320)),IF($B322="STD. DEVIATION",2,$F$1))))</f>
        <v/>
      </c>
      <c r="AZ322" s="1" t="str">
        <f>IF(OR($B322="",AZ$7=""),"",IF($B322="MEANS",INDEX('1-DATA'!$1:$1048576,$A321-1,COLUMN('1-DATA'!AY320)),ROUND(INDEX('1-DATA'!$1:$1048576,IF(OR($B322="STD. DEVIATION",$C$1=1),$A322,$A322+1),COLUMN('1-DATA'!AY320)),IF($B322="STD. DEVIATION",2,$F$1))))</f>
        <v/>
      </c>
    </row>
    <row r="323" spans="1:52" x14ac:dyDescent="0.25">
      <c r="A323" s="11">
        <f t="shared" si="5"/>
        <v>955</v>
      </c>
      <c r="B323" s="1" t="str">
        <f>IF(B322="STD. DEVIATION",INDEX('1-DATA'!$1:$1048576,$A322-1,1),IF(INDEX('1-DATA'!$1:$1048576,$A323,1)&lt;&gt;"",INDEX('1-DATA'!$1:$1048576,$A323,1),""))</f>
        <v/>
      </c>
      <c r="C323" s="1" t="str">
        <f>IF(OR($B323="",C$7=""),"",IF($B323="MEANS",INDEX('1-DATA'!$1:$1048576,$A322-1,COLUMN('1-DATA'!B321)),ROUND(INDEX('1-DATA'!$1:$1048576,IF(OR($B323="STD. DEVIATION",$C$1=1),$A323,$A323+1),COLUMN('1-DATA'!B321)),IF($B323="STD. DEVIATION",2,$F$1))))</f>
        <v/>
      </c>
      <c r="D323" s="1" t="str">
        <f>IF(OR($B323="",D$7=""),"",IF($B323="MEANS",INDEX('1-DATA'!$1:$1048576,$A322-1,COLUMN('1-DATA'!C321)),ROUND(INDEX('1-DATA'!$1:$1048576,IF(OR($B323="STD. DEVIATION",$C$1=1),$A323,$A323+1),COLUMN('1-DATA'!C321)),IF($B323="STD. DEVIATION",2,$F$1))))</f>
        <v/>
      </c>
      <c r="E323" s="1" t="str">
        <f>IF(OR($B323="",E$7=""),"",IF($B323="MEANS",INDEX('1-DATA'!$1:$1048576,$A322-1,COLUMN('1-DATA'!D321)),ROUND(INDEX('1-DATA'!$1:$1048576,IF(OR($B323="STD. DEVIATION",$C$1=1),$A323,$A323+1),COLUMN('1-DATA'!D321)),IF($B323="STD. DEVIATION",2,$F$1))))</f>
        <v/>
      </c>
      <c r="F323" s="1" t="str">
        <f>IF(OR($B323="",F$7=""),"",IF($B323="MEANS",INDEX('1-DATA'!$1:$1048576,$A322-1,COLUMN('1-DATA'!E321)),ROUND(INDEX('1-DATA'!$1:$1048576,IF(OR($B323="STD. DEVIATION",$C$1=1),$A323,$A323+1),COLUMN('1-DATA'!E321)),IF($B323="STD. DEVIATION",2,$F$1))))</f>
        <v/>
      </c>
      <c r="G323" s="1" t="str">
        <f>IF(OR($B323="",G$7=""),"",IF($B323="MEANS",INDEX('1-DATA'!$1:$1048576,$A322-1,COLUMN('1-DATA'!F321)),ROUND(INDEX('1-DATA'!$1:$1048576,IF(OR($B323="STD. DEVIATION",$C$1=1),$A323,$A323+1),COLUMN('1-DATA'!F321)),IF($B323="STD. DEVIATION",2,$F$1))))</f>
        <v/>
      </c>
      <c r="H323" s="1" t="str">
        <f>IF(OR($B323="",H$7=""),"",IF($B323="MEANS",INDEX('1-DATA'!$1:$1048576,$A322-1,COLUMN('1-DATA'!G321)),ROUND(INDEX('1-DATA'!$1:$1048576,IF(OR($B323="STD. DEVIATION",$C$1=1),$A323,$A323+1),COLUMN('1-DATA'!G321)),IF($B323="STD. DEVIATION",2,$F$1))))</f>
        <v/>
      </c>
      <c r="I323" s="1" t="str">
        <f>IF(OR($B323="",I$7=""),"",IF($B323="MEANS",INDEX('1-DATA'!$1:$1048576,$A322-1,COLUMN('1-DATA'!H321)),ROUND(INDEX('1-DATA'!$1:$1048576,IF(OR($B323="STD. DEVIATION",$C$1=1),$A323,$A323+1),COLUMN('1-DATA'!H321)),IF($B323="STD. DEVIATION",2,$F$1))))</f>
        <v/>
      </c>
      <c r="J323" s="1" t="str">
        <f>IF(OR($B323="",J$7=""),"",IF($B323="MEANS",INDEX('1-DATA'!$1:$1048576,$A322-1,COLUMN('1-DATA'!I321)),ROUND(INDEX('1-DATA'!$1:$1048576,IF(OR($B323="STD. DEVIATION",$C$1=1),$A323,$A323+1),COLUMN('1-DATA'!I321)),IF($B323="STD. DEVIATION",2,$F$1))))</f>
        <v/>
      </c>
      <c r="K323" s="1" t="str">
        <f>IF(OR($B323="",K$7=""),"",IF($B323="MEANS",INDEX('1-DATA'!$1:$1048576,$A322-1,COLUMN('1-DATA'!J321)),ROUND(INDEX('1-DATA'!$1:$1048576,IF(OR($B323="STD. DEVIATION",$C$1=1),$A323,$A323+1),COLUMN('1-DATA'!J321)),IF($B323="STD. DEVIATION",2,$F$1))))</f>
        <v/>
      </c>
      <c r="L323" s="1" t="str">
        <f>IF(OR($B323="",L$7=""),"",IF($B323="MEANS",INDEX('1-DATA'!$1:$1048576,$A322-1,COLUMN('1-DATA'!K321)),ROUND(INDEX('1-DATA'!$1:$1048576,IF(OR($B323="STD. DEVIATION",$C$1=1),$A323,$A323+1),COLUMN('1-DATA'!K321)),IF($B323="STD. DEVIATION",2,$F$1))))</f>
        <v/>
      </c>
      <c r="M323" s="1" t="str">
        <f>IF(OR($B323="",M$7=""),"",IF($B323="MEANS",INDEX('1-DATA'!$1:$1048576,$A322-1,COLUMN('1-DATA'!L321)),ROUND(INDEX('1-DATA'!$1:$1048576,IF(OR($B323="STD. DEVIATION",$C$1=1),$A323,$A323+1),COLUMN('1-DATA'!L321)),IF($B323="STD. DEVIATION",2,$F$1))))</f>
        <v/>
      </c>
      <c r="N323" s="1" t="str">
        <f>IF(OR($B323="",N$7=""),"",IF($B323="MEANS",INDEX('1-DATA'!$1:$1048576,$A322-1,COLUMN('1-DATA'!M321)),ROUND(INDEX('1-DATA'!$1:$1048576,IF(OR($B323="STD. DEVIATION",$C$1=1),$A323,$A323+1),COLUMN('1-DATA'!M321)),IF($B323="STD. DEVIATION",2,$F$1))))</f>
        <v/>
      </c>
      <c r="O323" s="1" t="str">
        <f>IF(OR($B323="",O$7=""),"",IF($B323="MEANS",INDEX('1-DATA'!$1:$1048576,$A322-1,COLUMN('1-DATA'!N321)),ROUND(INDEX('1-DATA'!$1:$1048576,IF(OR($B323="STD. DEVIATION",$C$1=1),$A323,$A323+1),COLUMN('1-DATA'!N321)),IF($B323="STD. DEVIATION",2,$F$1))))</f>
        <v/>
      </c>
      <c r="P323" s="1" t="str">
        <f>IF(OR($B323="",P$7=""),"",IF($B323="MEANS",INDEX('1-DATA'!$1:$1048576,$A322-1,COLUMN('1-DATA'!O321)),ROUND(INDEX('1-DATA'!$1:$1048576,IF(OR($B323="STD. DEVIATION",$C$1=1),$A323,$A323+1),COLUMN('1-DATA'!O321)),IF($B323="STD. DEVIATION",2,$F$1))))</f>
        <v/>
      </c>
      <c r="Q323" s="1" t="str">
        <f>IF(OR($B323="",Q$7=""),"",IF($B323="MEANS",INDEX('1-DATA'!$1:$1048576,$A322-1,COLUMN('1-DATA'!P321)),ROUND(INDEX('1-DATA'!$1:$1048576,IF(OR($B323="STD. DEVIATION",$C$1=1),$A323,$A323+1),COLUMN('1-DATA'!P321)),IF($B323="STD. DEVIATION",2,$F$1))))</f>
        <v/>
      </c>
      <c r="R323" s="1" t="str">
        <f>IF(OR($B323="",R$7=""),"",IF($B323="MEANS",INDEX('1-DATA'!$1:$1048576,$A322-1,COLUMN('1-DATA'!Q321)),ROUND(INDEX('1-DATA'!$1:$1048576,IF(OR($B323="STD. DEVIATION",$C$1=1),$A323,$A323+1),COLUMN('1-DATA'!Q321)),IF($B323="STD. DEVIATION",2,$F$1))))</f>
        <v/>
      </c>
      <c r="S323" s="1" t="str">
        <f>IF(OR($B323="",S$7=""),"",IF($B323="MEANS",INDEX('1-DATA'!$1:$1048576,$A322-1,COLUMN('1-DATA'!R321)),ROUND(INDEX('1-DATA'!$1:$1048576,IF(OR($B323="STD. DEVIATION",$C$1=1),$A323,$A323+1),COLUMN('1-DATA'!R321)),IF($B323="STD. DEVIATION",2,$F$1))))</f>
        <v/>
      </c>
      <c r="T323" s="1" t="str">
        <f>IF(OR($B323="",T$7=""),"",IF($B323="MEANS",INDEX('1-DATA'!$1:$1048576,$A322-1,COLUMN('1-DATA'!S321)),ROUND(INDEX('1-DATA'!$1:$1048576,IF(OR($B323="STD. DEVIATION",$C$1=1),$A323,$A323+1),COLUMN('1-DATA'!S321)),IF($B323="STD. DEVIATION",2,$F$1))))</f>
        <v/>
      </c>
      <c r="U323" s="1" t="str">
        <f>IF(OR($B323="",U$7=""),"",IF($B323="MEANS",INDEX('1-DATA'!$1:$1048576,$A322-1,COLUMN('1-DATA'!T321)),ROUND(INDEX('1-DATA'!$1:$1048576,IF(OR($B323="STD. DEVIATION",$C$1=1),$A323,$A323+1),COLUMN('1-DATA'!T321)),IF($B323="STD. DEVIATION",2,$F$1))))</f>
        <v/>
      </c>
      <c r="V323" s="1" t="str">
        <f>IF(OR($B323="",V$7=""),"",IF($B323="MEANS",INDEX('1-DATA'!$1:$1048576,$A322-1,COLUMN('1-DATA'!U321)),ROUND(INDEX('1-DATA'!$1:$1048576,IF(OR($B323="STD. DEVIATION",$C$1=1),$A323,$A323+1),COLUMN('1-DATA'!U321)),IF($B323="STD. DEVIATION",2,$F$1))))</f>
        <v/>
      </c>
      <c r="W323" s="1" t="str">
        <f>IF(OR($B323="",W$7=""),"",IF($B323="MEANS",INDEX('1-DATA'!$1:$1048576,$A322-1,COLUMN('1-DATA'!V321)),ROUND(INDEX('1-DATA'!$1:$1048576,IF(OR($B323="STD. DEVIATION",$C$1=1),$A323,$A323+1),COLUMN('1-DATA'!V321)),IF($B323="STD. DEVIATION",2,$F$1))))</f>
        <v/>
      </c>
      <c r="X323" s="1" t="str">
        <f>IF(OR($B323="",X$7=""),"",IF($B323="MEANS",INDEX('1-DATA'!$1:$1048576,$A322-1,COLUMN('1-DATA'!W321)),ROUND(INDEX('1-DATA'!$1:$1048576,IF(OR($B323="STD. DEVIATION",$C$1=1),$A323,$A323+1),COLUMN('1-DATA'!W321)),IF($B323="STD. DEVIATION",2,$F$1))))</f>
        <v/>
      </c>
      <c r="Y323" s="1" t="str">
        <f>IF(OR($B323="",Y$7=""),"",IF($B323="MEANS",INDEX('1-DATA'!$1:$1048576,$A322-1,COLUMN('1-DATA'!X321)),ROUND(INDEX('1-DATA'!$1:$1048576,IF(OR($B323="STD. DEVIATION",$C$1=1),$A323,$A323+1),COLUMN('1-DATA'!X321)),IF($B323="STD. DEVIATION",2,$F$1))))</f>
        <v/>
      </c>
      <c r="Z323" s="1" t="str">
        <f>IF(OR($B323="",Z$7=""),"",IF($B323="MEANS",INDEX('1-DATA'!$1:$1048576,$A322-1,COLUMN('1-DATA'!Y321)),ROUND(INDEX('1-DATA'!$1:$1048576,IF(OR($B323="STD. DEVIATION",$C$1=1),$A323,$A323+1),COLUMN('1-DATA'!Y321)),IF($B323="STD. DEVIATION",2,$F$1))))</f>
        <v/>
      </c>
      <c r="AA323" s="1" t="str">
        <f>IF(OR($B323="",AA$7=""),"",IF($B323="MEANS",INDEX('1-DATA'!$1:$1048576,$A322-1,COLUMN('1-DATA'!Z321)),ROUND(INDEX('1-DATA'!$1:$1048576,IF(OR($B323="STD. DEVIATION",$C$1=1),$A323,$A323+1),COLUMN('1-DATA'!Z321)),IF($B323="STD. DEVIATION",2,$F$1))))</f>
        <v/>
      </c>
      <c r="AB323" s="1" t="str">
        <f>IF(OR($B323="",AB$7=""),"",IF($B323="MEANS",INDEX('1-DATA'!$1:$1048576,$A322-1,COLUMN('1-DATA'!AA321)),ROUND(INDEX('1-DATA'!$1:$1048576,IF(OR($B323="STD. DEVIATION",$C$1=1),$A323,$A323+1),COLUMN('1-DATA'!AA321)),IF($B323="STD. DEVIATION",2,$F$1))))</f>
        <v/>
      </c>
      <c r="AC323" s="1" t="str">
        <f>IF(OR($B323="",AC$7=""),"",IF($B323="MEANS",INDEX('1-DATA'!$1:$1048576,$A322-1,COLUMN('1-DATA'!AB321)),ROUND(INDEX('1-DATA'!$1:$1048576,IF(OR($B323="STD. DEVIATION",$C$1=1),$A323,$A323+1),COLUMN('1-DATA'!AB321)),IF($B323="STD. DEVIATION",2,$F$1))))</f>
        <v/>
      </c>
      <c r="AD323" s="1" t="str">
        <f>IF(OR($B323="",AD$7=""),"",IF($B323="MEANS",INDEX('1-DATA'!$1:$1048576,$A322-1,COLUMN('1-DATA'!AC321)),ROUND(INDEX('1-DATA'!$1:$1048576,IF(OR($B323="STD. DEVIATION",$C$1=1),$A323,$A323+1),COLUMN('1-DATA'!AC321)),IF($B323="STD. DEVIATION",2,$F$1))))</f>
        <v/>
      </c>
      <c r="AE323" s="1" t="str">
        <f>IF(OR($B323="",AE$7=""),"",IF($B323="MEANS",INDEX('1-DATA'!$1:$1048576,$A322-1,COLUMN('1-DATA'!AD321)),ROUND(INDEX('1-DATA'!$1:$1048576,IF(OR($B323="STD. DEVIATION",$C$1=1),$A323,$A323+1),COLUMN('1-DATA'!AD321)),IF($B323="STD. DEVIATION",2,$F$1))))</f>
        <v/>
      </c>
      <c r="AF323" s="1" t="str">
        <f>IF(OR($B323="",AF$7=""),"",IF($B323="MEANS",INDEX('1-DATA'!$1:$1048576,$A322-1,COLUMN('1-DATA'!AE321)),ROUND(INDEX('1-DATA'!$1:$1048576,IF(OR($B323="STD. DEVIATION",$C$1=1),$A323,$A323+1),COLUMN('1-DATA'!AE321)),IF($B323="STD. DEVIATION",2,$F$1))))</f>
        <v/>
      </c>
      <c r="AG323" s="1" t="str">
        <f>IF(OR($B323="",AG$7=""),"",IF($B323="MEANS",INDEX('1-DATA'!$1:$1048576,$A322-1,COLUMN('1-DATA'!AF321)),ROUND(INDEX('1-DATA'!$1:$1048576,IF(OR($B323="STD. DEVIATION",$C$1=1),$A323,$A323+1),COLUMN('1-DATA'!AF321)),IF($B323="STD. DEVIATION",2,$F$1))))</f>
        <v/>
      </c>
      <c r="AH323" s="1" t="str">
        <f>IF(OR($B323="",AH$7=""),"",IF($B323="MEANS",INDEX('1-DATA'!$1:$1048576,$A322-1,COLUMN('1-DATA'!AG321)),ROUND(INDEX('1-DATA'!$1:$1048576,IF(OR($B323="STD. DEVIATION",$C$1=1),$A323,$A323+1),COLUMN('1-DATA'!AG321)),IF($B323="STD. DEVIATION",2,$F$1))))</f>
        <v/>
      </c>
      <c r="AI323" s="1" t="str">
        <f>IF(OR($B323="",AI$7=""),"",IF($B323="MEANS",INDEX('1-DATA'!$1:$1048576,$A322-1,COLUMN('1-DATA'!AH321)),ROUND(INDEX('1-DATA'!$1:$1048576,IF(OR($B323="STD. DEVIATION",$C$1=1),$A323,$A323+1),COLUMN('1-DATA'!AH321)),IF($B323="STD. DEVIATION",2,$F$1))))</f>
        <v/>
      </c>
      <c r="AJ323" s="1" t="str">
        <f>IF(OR($B323="",AJ$7=""),"",IF($B323="MEANS",INDEX('1-DATA'!$1:$1048576,$A322-1,COLUMN('1-DATA'!AI321)),ROUND(INDEX('1-DATA'!$1:$1048576,IF(OR($B323="STD. DEVIATION",$C$1=1),$A323,$A323+1),COLUMN('1-DATA'!AI321)),IF($B323="STD. DEVIATION",2,$F$1))))</f>
        <v/>
      </c>
      <c r="AK323" s="1" t="str">
        <f>IF(OR($B323="",AK$7=""),"",IF($B323="MEANS",INDEX('1-DATA'!$1:$1048576,$A322-1,COLUMN('1-DATA'!AJ321)),ROUND(INDEX('1-DATA'!$1:$1048576,IF(OR($B323="STD. DEVIATION",$C$1=1),$A323,$A323+1),COLUMN('1-DATA'!AJ321)),IF($B323="STD. DEVIATION",2,$F$1))))</f>
        <v/>
      </c>
      <c r="AL323" s="1" t="str">
        <f>IF(OR($B323="",AL$7=""),"",IF($B323="MEANS",INDEX('1-DATA'!$1:$1048576,$A322-1,COLUMN('1-DATA'!AK321)),ROUND(INDEX('1-DATA'!$1:$1048576,IF(OR($B323="STD. DEVIATION",$C$1=1),$A323,$A323+1),COLUMN('1-DATA'!AK321)),IF($B323="STD. DEVIATION",2,$F$1))))</f>
        <v/>
      </c>
      <c r="AM323" s="1" t="str">
        <f>IF(OR($B323="",AM$7=""),"",IF($B323="MEANS",INDEX('1-DATA'!$1:$1048576,$A322-1,COLUMN('1-DATA'!AL321)),ROUND(INDEX('1-DATA'!$1:$1048576,IF(OR($B323="STD. DEVIATION",$C$1=1),$A323,$A323+1),COLUMN('1-DATA'!AL321)),IF($B323="STD. DEVIATION",2,$F$1))))</f>
        <v/>
      </c>
      <c r="AN323" s="1" t="str">
        <f>IF(OR($B323="",AN$7=""),"",IF($B323="MEANS",INDEX('1-DATA'!$1:$1048576,$A322-1,COLUMN('1-DATA'!AM321)),ROUND(INDEX('1-DATA'!$1:$1048576,IF(OR($B323="STD. DEVIATION",$C$1=1),$A323,$A323+1),COLUMN('1-DATA'!AM321)),IF($B323="STD. DEVIATION",2,$F$1))))</f>
        <v/>
      </c>
      <c r="AO323" s="1" t="str">
        <f>IF(OR($B323="",AO$7=""),"",IF($B323="MEANS",INDEX('1-DATA'!$1:$1048576,$A322-1,COLUMN('1-DATA'!AN321)),ROUND(INDEX('1-DATA'!$1:$1048576,IF(OR($B323="STD. DEVIATION",$C$1=1),$A323,$A323+1),COLUMN('1-DATA'!AN321)),IF($B323="STD. DEVIATION",2,$F$1))))</f>
        <v/>
      </c>
      <c r="AP323" s="1" t="str">
        <f>IF(OR($B323="",AP$7=""),"",IF($B323="MEANS",INDEX('1-DATA'!$1:$1048576,$A322-1,COLUMN('1-DATA'!AO321)),ROUND(INDEX('1-DATA'!$1:$1048576,IF(OR($B323="STD. DEVIATION",$C$1=1),$A323,$A323+1),COLUMN('1-DATA'!AO321)),IF($B323="STD. DEVIATION",2,$F$1))))</f>
        <v/>
      </c>
      <c r="AQ323" s="1" t="str">
        <f>IF(OR($B323="",AQ$7=""),"",IF($B323="MEANS",INDEX('1-DATA'!$1:$1048576,$A322-1,COLUMN('1-DATA'!AP321)),ROUND(INDEX('1-DATA'!$1:$1048576,IF(OR($B323="STD. DEVIATION",$C$1=1),$A323,$A323+1),COLUMN('1-DATA'!AP321)),IF($B323="STD. DEVIATION",2,$F$1))))</f>
        <v/>
      </c>
      <c r="AR323" s="1" t="str">
        <f>IF(OR($B323="",AR$7=""),"",IF($B323="MEANS",INDEX('1-DATA'!$1:$1048576,$A322-1,COLUMN('1-DATA'!AQ321)),ROUND(INDEX('1-DATA'!$1:$1048576,IF(OR($B323="STD. DEVIATION",$C$1=1),$A323,$A323+1),COLUMN('1-DATA'!AQ321)),IF($B323="STD. DEVIATION",2,$F$1))))</f>
        <v/>
      </c>
      <c r="AS323" s="1" t="str">
        <f>IF(OR($B323="",AS$7=""),"",IF($B323="MEANS",INDEX('1-DATA'!$1:$1048576,$A322-1,COLUMN('1-DATA'!AR321)),ROUND(INDEX('1-DATA'!$1:$1048576,IF(OR($B323="STD. DEVIATION",$C$1=1),$A323,$A323+1),COLUMN('1-DATA'!AR321)),IF($B323="STD. DEVIATION",2,$F$1))))</f>
        <v/>
      </c>
      <c r="AT323" s="1" t="str">
        <f>IF(OR($B323="",AT$7=""),"",IF($B323="MEANS",INDEX('1-DATA'!$1:$1048576,$A322-1,COLUMN('1-DATA'!AS321)),ROUND(INDEX('1-DATA'!$1:$1048576,IF(OR($B323="STD. DEVIATION",$C$1=1),$A323,$A323+1),COLUMN('1-DATA'!AS321)),IF($B323="STD. DEVIATION",2,$F$1))))</f>
        <v/>
      </c>
      <c r="AU323" s="1" t="str">
        <f>IF(OR($B323="",AU$7=""),"",IF($B323="MEANS",INDEX('1-DATA'!$1:$1048576,$A322-1,COLUMN('1-DATA'!AT321)),ROUND(INDEX('1-DATA'!$1:$1048576,IF(OR($B323="STD. DEVIATION",$C$1=1),$A323,$A323+1),COLUMN('1-DATA'!AT321)),IF($B323="STD. DEVIATION",2,$F$1))))</f>
        <v/>
      </c>
      <c r="AV323" s="1" t="str">
        <f>IF(OR($B323="",AV$7=""),"",IF($B323="MEANS",INDEX('1-DATA'!$1:$1048576,$A322-1,COLUMN('1-DATA'!AU321)),ROUND(INDEX('1-DATA'!$1:$1048576,IF(OR($B323="STD. DEVIATION",$C$1=1),$A323,$A323+1),COLUMN('1-DATA'!AU321)),IF($B323="STD. DEVIATION",2,$F$1))))</f>
        <v/>
      </c>
      <c r="AW323" s="1" t="str">
        <f>IF(OR($B323="",AW$7=""),"",IF($B323="MEANS",INDEX('1-DATA'!$1:$1048576,$A322-1,COLUMN('1-DATA'!AV321)),ROUND(INDEX('1-DATA'!$1:$1048576,IF(OR($B323="STD. DEVIATION",$C$1=1),$A323,$A323+1),COLUMN('1-DATA'!AV321)),IF($B323="STD. DEVIATION",2,$F$1))))</f>
        <v/>
      </c>
      <c r="AX323" s="1" t="str">
        <f>IF(OR($B323="",AX$7=""),"",IF($B323="MEANS",INDEX('1-DATA'!$1:$1048576,$A322-1,COLUMN('1-DATA'!AW321)),ROUND(INDEX('1-DATA'!$1:$1048576,IF(OR($B323="STD. DEVIATION",$C$1=1),$A323,$A323+1),COLUMN('1-DATA'!AW321)),IF($B323="STD. DEVIATION",2,$F$1))))</f>
        <v/>
      </c>
      <c r="AY323" s="1" t="str">
        <f>IF(OR($B323="",AY$7=""),"",IF($B323="MEANS",INDEX('1-DATA'!$1:$1048576,$A322-1,COLUMN('1-DATA'!AX321)),ROUND(INDEX('1-DATA'!$1:$1048576,IF(OR($B323="STD. DEVIATION",$C$1=1),$A323,$A323+1),COLUMN('1-DATA'!AX321)),IF($B323="STD. DEVIATION",2,$F$1))))</f>
        <v/>
      </c>
      <c r="AZ323" s="1" t="str">
        <f>IF(OR($B323="",AZ$7=""),"",IF($B323="MEANS",INDEX('1-DATA'!$1:$1048576,$A322-1,COLUMN('1-DATA'!AY321)),ROUND(INDEX('1-DATA'!$1:$1048576,IF(OR($B323="STD. DEVIATION",$C$1=1),$A323,$A323+1),COLUMN('1-DATA'!AY321)),IF($B323="STD. DEVIATION",2,$F$1))))</f>
        <v/>
      </c>
    </row>
    <row r="324" spans="1:52" x14ac:dyDescent="0.25">
      <c r="A324" s="11">
        <f t="shared" si="5"/>
        <v>958</v>
      </c>
      <c r="B324" s="1" t="str">
        <f>IF(B323="STD. DEVIATION",INDEX('1-DATA'!$1:$1048576,$A323-1,1),IF(INDEX('1-DATA'!$1:$1048576,$A324,1)&lt;&gt;"",INDEX('1-DATA'!$1:$1048576,$A324,1),""))</f>
        <v/>
      </c>
      <c r="C324" s="1" t="str">
        <f>IF(OR($B324="",C$7=""),"",IF($B324="MEANS",INDEX('1-DATA'!$1:$1048576,$A323-1,COLUMN('1-DATA'!B322)),ROUND(INDEX('1-DATA'!$1:$1048576,IF(OR($B324="STD. DEVIATION",$C$1=1),$A324,$A324+1),COLUMN('1-DATA'!B322)),IF($B324="STD. DEVIATION",2,$F$1))))</f>
        <v/>
      </c>
      <c r="D324" s="1" t="str">
        <f>IF(OR($B324="",D$7=""),"",IF($B324="MEANS",INDEX('1-DATA'!$1:$1048576,$A323-1,COLUMN('1-DATA'!C322)),ROUND(INDEX('1-DATA'!$1:$1048576,IF(OR($B324="STD. DEVIATION",$C$1=1),$A324,$A324+1),COLUMN('1-DATA'!C322)),IF($B324="STD. DEVIATION",2,$F$1))))</f>
        <v/>
      </c>
      <c r="E324" s="1" t="str">
        <f>IF(OR($B324="",E$7=""),"",IF($B324="MEANS",INDEX('1-DATA'!$1:$1048576,$A323-1,COLUMN('1-DATA'!D322)),ROUND(INDEX('1-DATA'!$1:$1048576,IF(OR($B324="STD. DEVIATION",$C$1=1),$A324,$A324+1),COLUMN('1-DATA'!D322)),IF($B324="STD. DEVIATION",2,$F$1))))</f>
        <v/>
      </c>
      <c r="F324" s="1" t="str">
        <f>IF(OR($B324="",F$7=""),"",IF($B324="MEANS",INDEX('1-DATA'!$1:$1048576,$A323-1,COLUMN('1-DATA'!E322)),ROUND(INDEX('1-DATA'!$1:$1048576,IF(OR($B324="STD. DEVIATION",$C$1=1),$A324,$A324+1),COLUMN('1-DATA'!E322)),IF($B324="STD. DEVIATION",2,$F$1))))</f>
        <v/>
      </c>
      <c r="G324" s="1" t="str">
        <f>IF(OR($B324="",G$7=""),"",IF($B324="MEANS",INDEX('1-DATA'!$1:$1048576,$A323-1,COLUMN('1-DATA'!F322)),ROUND(INDEX('1-DATA'!$1:$1048576,IF(OR($B324="STD. DEVIATION",$C$1=1),$A324,$A324+1),COLUMN('1-DATA'!F322)),IF($B324="STD. DEVIATION",2,$F$1))))</f>
        <v/>
      </c>
      <c r="H324" s="1" t="str">
        <f>IF(OR($B324="",H$7=""),"",IF($B324="MEANS",INDEX('1-DATA'!$1:$1048576,$A323-1,COLUMN('1-DATA'!G322)),ROUND(INDEX('1-DATA'!$1:$1048576,IF(OR($B324="STD. DEVIATION",$C$1=1),$A324,$A324+1),COLUMN('1-DATA'!G322)),IF($B324="STD. DEVIATION",2,$F$1))))</f>
        <v/>
      </c>
      <c r="I324" s="1" t="str">
        <f>IF(OR($B324="",I$7=""),"",IF($B324="MEANS",INDEX('1-DATA'!$1:$1048576,$A323-1,COLUMN('1-DATA'!H322)),ROUND(INDEX('1-DATA'!$1:$1048576,IF(OR($B324="STD. DEVIATION",$C$1=1),$A324,$A324+1),COLUMN('1-DATA'!H322)),IF($B324="STD. DEVIATION",2,$F$1))))</f>
        <v/>
      </c>
      <c r="J324" s="1" t="str">
        <f>IF(OR($B324="",J$7=""),"",IF($B324="MEANS",INDEX('1-DATA'!$1:$1048576,$A323-1,COLUMN('1-DATA'!I322)),ROUND(INDEX('1-DATA'!$1:$1048576,IF(OR($B324="STD. DEVIATION",$C$1=1),$A324,$A324+1),COLUMN('1-DATA'!I322)),IF($B324="STD. DEVIATION",2,$F$1))))</f>
        <v/>
      </c>
      <c r="K324" s="1" t="str">
        <f>IF(OR($B324="",K$7=""),"",IF($B324="MEANS",INDEX('1-DATA'!$1:$1048576,$A323-1,COLUMN('1-DATA'!J322)),ROUND(INDEX('1-DATA'!$1:$1048576,IF(OR($B324="STD. DEVIATION",$C$1=1),$A324,$A324+1),COLUMN('1-DATA'!J322)),IF($B324="STD. DEVIATION",2,$F$1))))</f>
        <v/>
      </c>
      <c r="L324" s="1" t="str">
        <f>IF(OR($B324="",L$7=""),"",IF($B324="MEANS",INDEX('1-DATA'!$1:$1048576,$A323-1,COLUMN('1-DATA'!K322)),ROUND(INDEX('1-DATA'!$1:$1048576,IF(OR($B324="STD. DEVIATION",$C$1=1),$A324,$A324+1),COLUMN('1-DATA'!K322)),IF($B324="STD. DEVIATION",2,$F$1))))</f>
        <v/>
      </c>
      <c r="M324" s="1" t="str">
        <f>IF(OR($B324="",M$7=""),"",IF($B324="MEANS",INDEX('1-DATA'!$1:$1048576,$A323-1,COLUMN('1-DATA'!L322)),ROUND(INDEX('1-DATA'!$1:$1048576,IF(OR($B324="STD. DEVIATION",$C$1=1),$A324,$A324+1),COLUMN('1-DATA'!L322)),IF($B324="STD. DEVIATION",2,$F$1))))</f>
        <v/>
      </c>
      <c r="N324" s="1" t="str">
        <f>IF(OR($B324="",N$7=""),"",IF($B324="MEANS",INDEX('1-DATA'!$1:$1048576,$A323-1,COLUMN('1-DATA'!M322)),ROUND(INDEX('1-DATA'!$1:$1048576,IF(OR($B324="STD. DEVIATION",$C$1=1),$A324,$A324+1),COLUMN('1-DATA'!M322)),IF($B324="STD. DEVIATION",2,$F$1))))</f>
        <v/>
      </c>
      <c r="O324" s="1" t="str">
        <f>IF(OR($B324="",O$7=""),"",IF($B324="MEANS",INDEX('1-DATA'!$1:$1048576,$A323-1,COLUMN('1-DATA'!N322)),ROUND(INDEX('1-DATA'!$1:$1048576,IF(OR($B324="STD. DEVIATION",$C$1=1),$A324,$A324+1),COLUMN('1-DATA'!N322)),IF($B324="STD. DEVIATION",2,$F$1))))</f>
        <v/>
      </c>
      <c r="P324" s="1" t="str">
        <f>IF(OR($B324="",P$7=""),"",IF($B324="MEANS",INDEX('1-DATA'!$1:$1048576,$A323-1,COLUMN('1-DATA'!O322)),ROUND(INDEX('1-DATA'!$1:$1048576,IF(OR($B324="STD. DEVIATION",$C$1=1),$A324,$A324+1),COLUMN('1-DATA'!O322)),IF($B324="STD. DEVIATION",2,$F$1))))</f>
        <v/>
      </c>
      <c r="Q324" s="1" t="str">
        <f>IF(OR($B324="",Q$7=""),"",IF($B324="MEANS",INDEX('1-DATA'!$1:$1048576,$A323-1,COLUMN('1-DATA'!P322)),ROUND(INDEX('1-DATA'!$1:$1048576,IF(OR($B324="STD. DEVIATION",$C$1=1),$A324,$A324+1),COLUMN('1-DATA'!P322)),IF($B324="STD. DEVIATION",2,$F$1))))</f>
        <v/>
      </c>
      <c r="R324" s="1" t="str">
        <f>IF(OR($B324="",R$7=""),"",IF($B324="MEANS",INDEX('1-DATA'!$1:$1048576,$A323-1,COLUMN('1-DATA'!Q322)),ROUND(INDEX('1-DATA'!$1:$1048576,IF(OR($B324="STD. DEVIATION",$C$1=1),$A324,$A324+1),COLUMN('1-DATA'!Q322)),IF($B324="STD. DEVIATION",2,$F$1))))</f>
        <v/>
      </c>
      <c r="S324" s="1" t="str">
        <f>IF(OR($B324="",S$7=""),"",IF($B324="MEANS",INDEX('1-DATA'!$1:$1048576,$A323-1,COLUMN('1-DATA'!R322)),ROUND(INDEX('1-DATA'!$1:$1048576,IF(OR($B324="STD. DEVIATION",$C$1=1),$A324,$A324+1),COLUMN('1-DATA'!R322)),IF($B324="STD. DEVIATION",2,$F$1))))</f>
        <v/>
      </c>
      <c r="T324" s="1" t="str">
        <f>IF(OR($B324="",T$7=""),"",IF($B324="MEANS",INDEX('1-DATA'!$1:$1048576,$A323-1,COLUMN('1-DATA'!S322)),ROUND(INDEX('1-DATA'!$1:$1048576,IF(OR($B324="STD. DEVIATION",$C$1=1),$A324,$A324+1),COLUMN('1-DATA'!S322)),IF($B324="STD. DEVIATION",2,$F$1))))</f>
        <v/>
      </c>
      <c r="U324" s="1" t="str">
        <f>IF(OR($B324="",U$7=""),"",IF($B324="MEANS",INDEX('1-DATA'!$1:$1048576,$A323-1,COLUMN('1-DATA'!T322)),ROUND(INDEX('1-DATA'!$1:$1048576,IF(OR($B324="STD. DEVIATION",$C$1=1),$A324,$A324+1),COLUMN('1-DATA'!T322)),IF($B324="STD. DEVIATION",2,$F$1))))</f>
        <v/>
      </c>
      <c r="V324" s="1" t="str">
        <f>IF(OR($B324="",V$7=""),"",IF($B324="MEANS",INDEX('1-DATA'!$1:$1048576,$A323-1,COLUMN('1-DATA'!U322)),ROUND(INDEX('1-DATA'!$1:$1048576,IF(OR($B324="STD. DEVIATION",$C$1=1),$A324,$A324+1),COLUMN('1-DATA'!U322)),IF($B324="STD. DEVIATION",2,$F$1))))</f>
        <v/>
      </c>
      <c r="W324" s="1" t="str">
        <f>IF(OR($B324="",W$7=""),"",IF($B324="MEANS",INDEX('1-DATA'!$1:$1048576,$A323-1,COLUMN('1-DATA'!V322)),ROUND(INDEX('1-DATA'!$1:$1048576,IF(OR($B324="STD. DEVIATION",$C$1=1),$A324,$A324+1),COLUMN('1-DATA'!V322)),IF($B324="STD. DEVIATION",2,$F$1))))</f>
        <v/>
      </c>
      <c r="X324" s="1" t="str">
        <f>IF(OR($B324="",X$7=""),"",IF($B324="MEANS",INDEX('1-DATA'!$1:$1048576,$A323-1,COLUMN('1-DATA'!W322)),ROUND(INDEX('1-DATA'!$1:$1048576,IF(OR($B324="STD. DEVIATION",$C$1=1),$A324,$A324+1),COLUMN('1-DATA'!W322)),IF($B324="STD. DEVIATION",2,$F$1))))</f>
        <v/>
      </c>
      <c r="Y324" s="1" t="str">
        <f>IF(OR($B324="",Y$7=""),"",IF($B324="MEANS",INDEX('1-DATA'!$1:$1048576,$A323-1,COLUMN('1-DATA'!X322)),ROUND(INDEX('1-DATA'!$1:$1048576,IF(OR($B324="STD. DEVIATION",$C$1=1),$A324,$A324+1),COLUMN('1-DATA'!X322)),IF($B324="STD. DEVIATION",2,$F$1))))</f>
        <v/>
      </c>
      <c r="Z324" s="1" t="str">
        <f>IF(OR($B324="",Z$7=""),"",IF($B324="MEANS",INDEX('1-DATA'!$1:$1048576,$A323-1,COLUMN('1-DATA'!Y322)),ROUND(INDEX('1-DATA'!$1:$1048576,IF(OR($B324="STD. DEVIATION",$C$1=1),$A324,$A324+1),COLUMN('1-DATA'!Y322)),IF($B324="STD. DEVIATION",2,$F$1))))</f>
        <v/>
      </c>
      <c r="AA324" s="1" t="str">
        <f>IF(OR($B324="",AA$7=""),"",IF($B324="MEANS",INDEX('1-DATA'!$1:$1048576,$A323-1,COLUMN('1-DATA'!Z322)),ROUND(INDEX('1-DATA'!$1:$1048576,IF(OR($B324="STD. DEVIATION",$C$1=1),$A324,$A324+1),COLUMN('1-DATA'!Z322)),IF($B324="STD. DEVIATION",2,$F$1))))</f>
        <v/>
      </c>
      <c r="AB324" s="1" t="str">
        <f>IF(OR($B324="",AB$7=""),"",IF($B324="MEANS",INDEX('1-DATA'!$1:$1048576,$A323-1,COLUMN('1-DATA'!AA322)),ROUND(INDEX('1-DATA'!$1:$1048576,IF(OR($B324="STD. DEVIATION",$C$1=1),$A324,$A324+1),COLUMN('1-DATA'!AA322)),IF($B324="STD. DEVIATION",2,$F$1))))</f>
        <v/>
      </c>
      <c r="AC324" s="1" t="str">
        <f>IF(OR($B324="",AC$7=""),"",IF($B324="MEANS",INDEX('1-DATA'!$1:$1048576,$A323-1,COLUMN('1-DATA'!AB322)),ROUND(INDEX('1-DATA'!$1:$1048576,IF(OR($B324="STD. DEVIATION",$C$1=1),$A324,$A324+1),COLUMN('1-DATA'!AB322)),IF($B324="STD. DEVIATION",2,$F$1))))</f>
        <v/>
      </c>
      <c r="AD324" s="1" t="str">
        <f>IF(OR($B324="",AD$7=""),"",IF($B324="MEANS",INDEX('1-DATA'!$1:$1048576,$A323-1,COLUMN('1-DATA'!AC322)),ROUND(INDEX('1-DATA'!$1:$1048576,IF(OR($B324="STD. DEVIATION",$C$1=1),$A324,$A324+1),COLUMN('1-DATA'!AC322)),IF($B324="STD. DEVIATION",2,$F$1))))</f>
        <v/>
      </c>
      <c r="AE324" s="1" t="str">
        <f>IF(OR($B324="",AE$7=""),"",IF($B324="MEANS",INDEX('1-DATA'!$1:$1048576,$A323-1,COLUMN('1-DATA'!AD322)),ROUND(INDEX('1-DATA'!$1:$1048576,IF(OR($B324="STD. DEVIATION",$C$1=1),$A324,$A324+1),COLUMN('1-DATA'!AD322)),IF($B324="STD. DEVIATION",2,$F$1))))</f>
        <v/>
      </c>
      <c r="AF324" s="1" t="str">
        <f>IF(OR($B324="",AF$7=""),"",IF($B324="MEANS",INDEX('1-DATA'!$1:$1048576,$A323-1,COLUMN('1-DATA'!AE322)),ROUND(INDEX('1-DATA'!$1:$1048576,IF(OR($B324="STD. DEVIATION",$C$1=1),$A324,$A324+1),COLUMN('1-DATA'!AE322)),IF($B324="STD. DEVIATION",2,$F$1))))</f>
        <v/>
      </c>
      <c r="AG324" s="1" t="str">
        <f>IF(OR($B324="",AG$7=""),"",IF($B324="MEANS",INDEX('1-DATA'!$1:$1048576,$A323-1,COLUMN('1-DATA'!AF322)),ROUND(INDEX('1-DATA'!$1:$1048576,IF(OR($B324="STD. DEVIATION",$C$1=1),$A324,$A324+1),COLUMN('1-DATA'!AF322)),IF($B324="STD. DEVIATION",2,$F$1))))</f>
        <v/>
      </c>
      <c r="AH324" s="1" t="str">
        <f>IF(OR($B324="",AH$7=""),"",IF($B324="MEANS",INDEX('1-DATA'!$1:$1048576,$A323-1,COLUMN('1-DATA'!AG322)),ROUND(INDEX('1-DATA'!$1:$1048576,IF(OR($B324="STD. DEVIATION",$C$1=1),$A324,$A324+1),COLUMN('1-DATA'!AG322)),IF($B324="STD. DEVIATION",2,$F$1))))</f>
        <v/>
      </c>
      <c r="AI324" s="1" t="str">
        <f>IF(OR($B324="",AI$7=""),"",IF($B324="MEANS",INDEX('1-DATA'!$1:$1048576,$A323-1,COLUMN('1-DATA'!AH322)),ROUND(INDEX('1-DATA'!$1:$1048576,IF(OR($B324="STD. DEVIATION",$C$1=1),$A324,$A324+1),COLUMN('1-DATA'!AH322)),IF($B324="STD. DEVIATION",2,$F$1))))</f>
        <v/>
      </c>
      <c r="AJ324" s="1" t="str">
        <f>IF(OR($B324="",AJ$7=""),"",IF($B324="MEANS",INDEX('1-DATA'!$1:$1048576,$A323-1,COLUMN('1-DATA'!AI322)),ROUND(INDEX('1-DATA'!$1:$1048576,IF(OR($B324="STD. DEVIATION",$C$1=1),$A324,$A324+1),COLUMN('1-DATA'!AI322)),IF($B324="STD. DEVIATION",2,$F$1))))</f>
        <v/>
      </c>
      <c r="AK324" s="1" t="str">
        <f>IF(OR($B324="",AK$7=""),"",IF($B324="MEANS",INDEX('1-DATA'!$1:$1048576,$A323-1,COLUMN('1-DATA'!AJ322)),ROUND(INDEX('1-DATA'!$1:$1048576,IF(OR($B324="STD. DEVIATION",$C$1=1),$A324,$A324+1),COLUMN('1-DATA'!AJ322)),IF($B324="STD. DEVIATION",2,$F$1))))</f>
        <v/>
      </c>
      <c r="AL324" s="1" t="str">
        <f>IF(OR($B324="",AL$7=""),"",IF($B324="MEANS",INDEX('1-DATA'!$1:$1048576,$A323-1,COLUMN('1-DATA'!AK322)),ROUND(INDEX('1-DATA'!$1:$1048576,IF(OR($B324="STD. DEVIATION",$C$1=1),$A324,$A324+1),COLUMN('1-DATA'!AK322)),IF($B324="STD. DEVIATION",2,$F$1))))</f>
        <v/>
      </c>
      <c r="AM324" s="1" t="str">
        <f>IF(OR($B324="",AM$7=""),"",IF($B324="MEANS",INDEX('1-DATA'!$1:$1048576,$A323-1,COLUMN('1-DATA'!AL322)),ROUND(INDEX('1-DATA'!$1:$1048576,IF(OR($B324="STD. DEVIATION",$C$1=1),$A324,$A324+1),COLUMN('1-DATA'!AL322)),IF($B324="STD. DEVIATION",2,$F$1))))</f>
        <v/>
      </c>
      <c r="AN324" s="1" t="str">
        <f>IF(OR($B324="",AN$7=""),"",IF($B324="MEANS",INDEX('1-DATA'!$1:$1048576,$A323-1,COLUMN('1-DATA'!AM322)),ROUND(INDEX('1-DATA'!$1:$1048576,IF(OR($B324="STD. DEVIATION",$C$1=1),$A324,$A324+1),COLUMN('1-DATA'!AM322)),IF($B324="STD. DEVIATION",2,$F$1))))</f>
        <v/>
      </c>
      <c r="AO324" s="1" t="str">
        <f>IF(OR($B324="",AO$7=""),"",IF($B324="MEANS",INDEX('1-DATA'!$1:$1048576,$A323-1,COLUMN('1-DATA'!AN322)),ROUND(INDEX('1-DATA'!$1:$1048576,IF(OR($B324="STD. DEVIATION",$C$1=1),$A324,$A324+1),COLUMN('1-DATA'!AN322)),IF($B324="STD. DEVIATION",2,$F$1))))</f>
        <v/>
      </c>
      <c r="AP324" s="1" t="str">
        <f>IF(OR($B324="",AP$7=""),"",IF($B324="MEANS",INDEX('1-DATA'!$1:$1048576,$A323-1,COLUMN('1-DATA'!AO322)),ROUND(INDEX('1-DATA'!$1:$1048576,IF(OR($B324="STD. DEVIATION",$C$1=1),$A324,$A324+1),COLUMN('1-DATA'!AO322)),IF($B324="STD. DEVIATION",2,$F$1))))</f>
        <v/>
      </c>
      <c r="AQ324" s="1" t="str">
        <f>IF(OR($B324="",AQ$7=""),"",IF($B324="MEANS",INDEX('1-DATA'!$1:$1048576,$A323-1,COLUMN('1-DATA'!AP322)),ROUND(INDEX('1-DATA'!$1:$1048576,IF(OR($B324="STD. DEVIATION",$C$1=1),$A324,$A324+1),COLUMN('1-DATA'!AP322)),IF($B324="STD. DEVIATION",2,$F$1))))</f>
        <v/>
      </c>
      <c r="AR324" s="1" t="str">
        <f>IF(OR($B324="",AR$7=""),"",IF($B324="MEANS",INDEX('1-DATA'!$1:$1048576,$A323-1,COLUMN('1-DATA'!AQ322)),ROUND(INDEX('1-DATA'!$1:$1048576,IF(OR($B324="STD. DEVIATION",$C$1=1),$A324,$A324+1),COLUMN('1-DATA'!AQ322)),IF($B324="STD. DEVIATION",2,$F$1))))</f>
        <v/>
      </c>
      <c r="AS324" s="1" t="str">
        <f>IF(OR($B324="",AS$7=""),"",IF($B324="MEANS",INDEX('1-DATA'!$1:$1048576,$A323-1,COLUMN('1-DATA'!AR322)),ROUND(INDEX('1-DATA'!$1:$1048576,IF(OR($B324="STD. DEVIATION",$C$1=1),$A324,$A324+1),COLUMN('1-DATA'!AR322)),IF($B324="STD. DEVIATION",2,$F$1))))</f>
        <v/>
      </c>
      <c r="AT324" s="1" t="str">
        <f>IF(OR($B324="",AT$7=""),"",IF($B324="MEANS",INDEX('1-DATA'!$1:$1048576,$A323-1,COLUMN('1-DATA'!AS322)),ROUND(INDEX('1-DATA'!$1:$1048576,IF(OR($B324="STD. DEVIATION",$C$1=1),$A324,$A324+1),COLUMN('1-DATA'!AS322)),IF($B324="STD. DEVIATION",2,$F$1))))</f>
        <v/>
      </c>
      <c r="AU324" s="1" t="str">
        <f>IF(OR($B324="",AU$7=""),"",IF($B324="MEANS",INDEX('1-DATA'!$1:$1048576,$A323-1,COLUMN('1-DATA'!AT322)),ROUND(INDEX('1-DATA'!$1:$1048576,IF(OR($B324="STD. DEVIATION",$C$1=1),$A324,$A324+1),COLUMN('1-DATA'!AT322)),IF($B324="STD. DEVIATION",2,$F$1))))</f>
        <v/>
      </c>
      <c r="AV324" s="1" t="str">
        <f>IF(OR($B324="",AV$7=""),"",IF($B324="MEANS",INDEX('1-DATA'!$1:$1048576,$A323-1,COLUMN('1-DATA'!AU322)),ROUND(INDEX('1-DATA'!$1:$1048576,IF(OR($B324="STD. DEVIATION",$C$1=1),$A324,$A324+1),COLUMN('1-DATA'!AU322)),IF($B324="STD. DEVIATION",2,$F$1))))</f>
        <v/>
      </c>
      <c r="AW324" s="1" t="str">
        <f>IF(OR($B324="",AW$7=""),"",IF($B324="MEANS",INDEX('1-DATA'!$1:$1048576,$A323-1,COLUMN('1-DATA'!AV322)),ROUND(INDEX('1-DATA'!$1:$1048576,IF(OR($B324="STD. DEVIATION",$C$1=1),$A324,$A324+1),COLUMN('1-DATA'!AV322)),IF($B324="STD. DEVIATION",2,$F$1))))</f>
        <v/>
      </c>
      <c r="AX324" s="1" t="str">
        <f>IF(OR($B324="",AX$7=""),"",IF($B324="MEANS",INDEX('1-DATA'!$1:$1048576,$A323-1,COLUMN('1-DATA'!AW322)),ROUND(INDEX('1-DATA'!$1:$1048576,IF(OR($B324="STD. DEVIATION",$C$1=1),$A324,$A324+1),COLUMN('1-DATA'!AW322)),IF($B324="STD. DEVIATION",2,$F$1))))</f>
        <v/>
      </c>
      <c r="AY324" s="1" t="str">
        <f>IF(OR($B324="",AY$7=""),"",IF($B324="MEANS",INDEX('1-DATA'!$1:$1048576,$A323-1,COLUMN('1-DATA'!AX322)),ROUND(INDEX('1-DATA'!$1:$1048576,IF(OR($B324="STD. DEVIATION",$C$1=1),$A324,$A324+1),COLUMN('1-DATA'!AX322)),IF($B324="STD. DEVIATION",2,$F$1))))</f>
        <v/>
      </c>
      <c r="AZ324" s="1" t="str">
        <f>IF(OR($B324="",AZ$7=""),"",IF($B324="MEANS",INDEX('1-DATA'!$1:$1048576,$A323-1,COLUMN('1-DATA'!AY322)),ROUND(INDEX('1-DATA'!$1:$1048576,IF(OR($B324="STD. DEVIATION",$C$1=1),$A324,$A324+1),COLUMN('1-DATA'!AY322)),IF($B324="STD. DEVIATION",2,$F$1))))</f>
        <v/>
      </c>
    </row>
    <row r="325" spans="1:52" x14ac:dyDescent="0.25">
      <c r="A325" s="11">
        <f t="shared" si="5"/>
        <v>961</v>
      </c>
      <c r="B325" s="1" t="str">
        <f>IF(B324="STD. DEVIATION",INDEX('1-DATA'!$1:$1048576,$A324-1,1),IF(INDEX('1-DATA'!$1:$1048576,$A325,1)&lt;&gt;"",INDEX('1-DATA'!$1:$1048576,$A325,1),""))</f>
        <v/>
      </c>
      <c r="C325" s="1" t="str">
        <f>IF(OR($B325="",C$7=""),"",IF($B325="MEANS",INDEX('1-DATA'!$1:$1048576,$A324-1,COLUMN('1-DATA'!B323)),ROUND(INDEX('1-DATA'!$1:$1048576,IF(OR($B325="STD. DEVIATION",$C$1=1),$A325,$A325+1),COLUMN('1-DATA'!B323)),IF($B325="STD. DEVIATION",2,$F$1))))</f>
        <v/>
      </c>
      <c r="D325" s="1" t="str">
        <f>IF(OR($B325="",D$7=""),"",IF($B325="MEANS",INDEX('1-DATA'!$1:$1048576,$A324-1,COLUMN('1-DATA'!C323)),ROUND(INDEX('1-DATA'!$1:$1048576,IF(OR($B325="STD. DEVIATION",$C$1=1),$A325,$A325+1),COLUMN('1-DATA'!C323)),IF($B325="STD. DEVIATION",2,$F$1))))</f>
        <v/>
      </c>
      <c r="E325" s="1" t="str">
        <f>IF(OR($B325="",E$7=""),"",IF($B325="MEANS",INDEX('1-DATA'!$1:$1048576,$A324-1,COLUMN('1-DATA'!D323)),ROUND(INDEX('1-DATA'!$1:$1048576,IF(OR($B325="STD. DEVIATION",$C$1=1),$A325,$A325+1),COLUMN('1-DATA'!D323)),IF($B325="STD. DEVIATION",2,$F$1))))</f>
        <v/>
      </c>
      <c r="F325" s="1" t="str">
        <f>IF(OR($B325="",F$7=""),"",IF($B325="MEANS",INDEX('1-DATA'!$1:$1048576,$A324-1,COLUMN('1-DATA'!E323)),ROUND(INDEX('1-DATA'!$1:$1048576,IF(OR($B325="STD. DEVIATION",$C$1=1),$A325,$A325+1),COLUMN('1-DATA'!E323)),IF($B325="STD. DEVIATION",2,$F$1))))</f>
        <v/>
      </c>
      <c r="G325" s="1" t="str">
        <f>IF(OR($B325="",G$7=""),"",IF($B325="MEANS",INDEX('1-DATA'!$1:$1048576,$A324-1,COLUMN('1-DATA'!F323)),ROUND(INDEX('1-DATA'!$1:$1048576,IF(OR($B325="STD. DEVIATION",$C$1=1),$A325,$A325+1),COLUMN('1-DATA'!F323)),IF($B325="STD. DEVIATION",2,$F$1))))</f>
        <v/>
      </c>
      <c r="H325" s="1" t="str">
        <f>IF(OR($B325="",H$7=""),"",IF($B325="MEANS",INDEX('1-DATA'!$1:$1048576,$A324-1,COLUMN('1-DATA'!G323)),ROUND(INDEX('1-DATA'!$1:$1048576,IF(OR($B325="STD. DEVIATION",$C$1=1),$A325,$A325+1),COLUMN('1-DATA'!G323)),IF($B325="STD. DEVIATION",2,$F$1))))</f>
        <v/>
      </c>
      <c r="I325" s="1" t="str">
        <f>IF(OR($B325="",I$7=""),"",IF($B325="MEANS",INDEX('1-DATA'!$1:$1048576,$A324-1,COLUMN('1-DATA'!H323)),ROUND(INDEX('1-DATA'!$1:$1048576,IF(OR($B325="STD. DEVIATION",$C$1=1),$A325,$A325+1),COLUMN('1-DATA'!H323)),IF($B325="STD. DEVIATION",2,$F$1))))</f>
        <v/>
      </c>
      <c r="J325" s="1" t="str">
        <f>IF(OR($B325="",J$7=""),"",IF($B325="MEANS",INDEX('1-DATA'!$1:$1048576,$A324-1,COLUMN('1-DATA'!I323)),ROUND(INDEX('1-DATA'!$1:$1048576,IF(OR($B325="STD. DEVIATION",$C$1=1),$A325,$A325+1),COLUMN('1-DATA'!I323)),IF($B325="STD. DEVIATION",2,$F$1))))</f>
        <v/>
      </c>
      <c r="K325" s="1" t="str">
        <f>IF(OR($B325="",K$7=""),"",IF($B325="MEANS",INDEX('1-DATA'!$1:$1048576,$A324-1,COLUMN('1-DATA'!J323)),ROUND(INDEX('1-DATA'!$1:$1048576,IF(OR($B325="STD. DEVIATION",$C$1=1),$A325,$A325+1),COLUMN('1-DATA'!J323)),IF($B325="STD. DEVIATION",2,$F$1))))</f>
        <v/>
      </c>
      <c r="L325" s="1" t="str">
        <f>IF(OR($B325="",L$7=""),"",IF($B325="MEANS",INDEX('1-DATA'!$1:$1048576,$A324-1,COLUMN('1-DATA'!K323)),ROUND(INDEX('1-DATA'!$1:$1048576,IF(OR($B325="STD. DEVIATION",$C$1=1),$A325,$A325+1),COLUMN('1-DATA'!K323)),IF($B325="STD. DEVIATION",2,$F$1))))</f>
        <v/>
      </c>
      <c r="M325" s="1" t="str">
        <f>IF(OR($B325="",M$7=""),"",IF($B325="MEANS",INDEX('1-DATA'!$1:$1048576,$A324-1,COLUMN('1-DATA'!L323)),ROUND(INDEX('1-DATA'!$1:$1048576,IF(OR($B325="STD. DEVIATION",$C$1=1),$A325,$A325+1),COLUMN('1-DATA'!L323)),IF($B325="STD. DEVIATION",2,$F$1))))</f>
        <v/>
      </c>
      <c r="N325" s="1" t="str">
        <f>IF(OR($B325="",N$7=""),"",IF($B325="MEANS",INDEX('1-DATA'!$1:$1048576,$A324-1,COLUMN('1-DATA'!M323)),ROUND(INDEX('1-DATA'!$1:$1048576,IF(OR($B325="STD. DEVIATION",$C$1=1),$A325,$A325+1),COLUMN('1-DATA'!M323)),IF($B325="STD. DEVIATION",2,$F$1))))</f>
        <v/>
      </c>
      <c r="O325" s="1" t="str">
        <f>IF(OR($B325="",O$7=""),"",IF($B325="MEANS",INDEX('1-DATA'!$1:$1048576,$A324-1,COLUMN('1-DATA'!N323)),ROUND(INDEX('1-DATA'!$1:$1048576,IF(OR($B325="STD. DEVIATION",$C$1=1),$A325,$A325+1),COLUMN('1-DATA'!N323)),IF($B325="STD. DEVIATION",2,$F$1))))</f>
        <v/>
      </c>
      <c r="P325" s="1" t="str">
        <f>IF(OR($B325="",P$7=""),"",IF($B325="MEANS",INDEX('1-DATA'!$1:$1048576,$A324-1,COLUMN('1-DATA'!O323)),ROUND(INDEX('1-DATA'!$1:$1048576,IF(OR($B325="STD. DEVIATION",$C$1=1),$A325,$A325+1),COLUMN('1-DATA'!O323)),IF($B325="STD. DEVIATION",2,$F$1))))</f>
        <v/>
      </c>
      <c r="Q325" s="1" t="str">
        <f>IF(OR($B325="",Q$7=""),"",IF($B325="MEANS",INDEX('1-DATA'!$1:$1048576,$A324-1,COLUMN('1-DATA'!P323)),ROUND(INDEX('1-DATA'!$1:$1048576,IF(OR($B325="STD. DEVIATION",$C$1=1),$A325,$A325+1),COLUMN('1-DATA'!P323)),IF($B325="STD. DEVIATION",2,$F$1))))</f>
        <v/>
      </c>
      <c r="R325" s="1" t="str">
        <f>IF(OR($B325="",R$7=""),"",IF($B325="MEANS",INDEX('1-DATA'!$1:$1048576,$A324-1,COLUMN('1-DATA'!Q323)),ROUND(INDEX('1-DATA'!$1:$1048576,IF(OR($B325="STD. DEVIATION",$C$1=1),$A325,$A325+1),COLUMN('1-DATA'!Q323)),IF($B325="STD. DEVIATION",2,$F$1))))</f>
        <v/>
      </c>
      <c r="S325" s="1" t="str">
        <f>IF(OR($B325="",S$7=""),"",IF($B325="MEANS",INDEX('1-DATA'!$1:$1048576,$A324-1,COLUMN('1-DATA'!R323)),ROUND(INDEX('1-DATA'!$1:$1048576,IF(OR($B325="STD. DEVIATION",$C$1=1),$A325,$A325+1),COLUMN('1-DATA'!R323)),IF($B325="STD. DEVIATION",2,$F$1))))</f>
        <v/>
      </c>
      <c r="T325" s="1" t="str">
        <f>IF(OR($B325="",T$7=""),"",IF($B325="MEANS",INDEX('1-DATA'!$1:$1048576,$A324-1,COLUMN('1-DATA'!S323)),ROUND(INDEX('1-DATA'!$1:$1048576,IF(OR($B325="STD. DEVIATION",$C$1=1),$A325,$A325+1),COLUMN('1-DATA'!S323)),IF($B325="STD. DEVIATION",2,$F$1))))</f>
        <v/>
      </c>
      <c r="U325" s="1" t="str">
        <f>IF(OR($B325="",U$7=""),"",IF($B325="MEANS",INDEX('1-DATA'!$1:$1048576,$A324-1,COLUMN('1-DATA'!T323)),ROUND(INDEX('1-DATA'!$1:$1048576,IF(OR($B325="STD. DEVIATION",$C$1=1),$A325,$A325+1),COLUMN('1-DATA'!T323)),IF($B325="STD. DEVIATION",2,$F$1))))</f>
        <v/>
      </c>
      <c r="V325" s="1" t="str">
        <f>IF(OR($B325="",V$7=""),"",IF($B325="MEANS",INDEX('1-DATA'!$1:$1048576,$A324-1,COLUMN('1-DATA'!U323)),ROUND(INDEX('1-DATA'!$1:$1048576,IF(OR($B325="STD. DEVIATION",$C$1=1),$A325,$A325+1),COLUMN('1-DATA'!U323)),IF($B325="STD. DEVIATION",2,$F$1))))</f>
        <v/>
      </c>
      <c r="W325" s="1" t="str">
        <f>IF(OR($B325="",W$7=""),"",IF($B325="MEANS",INDEX('1-DATA'!$1:$1048576,$A324-1,COLUMN('1-DATA'!V323)),ROUND(INDEX('1-DATA'!$1:$1048576,IF(OR($B325="STD. DEVIATION",$C$1=1),$A325,$A325+1),COLUMN('1-DATA'!V323)),IF($B325="STD. DEVIATION",2,$F$1))))</f>
        <v/>
      </c>
      <c r="X325" s="1" t="str">
        <f>IF(OR($B325="",X$7=""),"",IF($B325="MEANS",INDEX('1-DATA'!$1:$1048576,$A324-1,COLUMN('1-DATA'!W323)),ROUND(INDEX('1-DATA'!$1:$1048576,IF(OR($B325="STD. DEVIATION",$C$1=1),$A325,$A325+1),COLUMN('1-DATA'!W323)),IF($B325="STD. DEVIATION",2,$F$1))))</f>
        <v/>
      </c>
      <c r="Y325" s="1" t="str">
        <f>IF(OR($B325="",Y$7=""),"",IF($B325="MEANS",INDEX('1-DATA'!$1:$1048576,$A324-1,COLUMN('1-DATA'!X323)),ROUND(INDEX('1-DATA'!$1:$1048576,IF(OR($B325="STD. DEVIATION",$C$1=1),$A325,$A325+1),COLUMN('1-DATA'!X323)),IF($B325="STD. DEVIATION",2,$F$1))))</f>
        <v/>
      </c>
      <c r="Z325" s="1" t="str">
        <f>IF(OR($B325="",Z$7=""),"",IF($B325="MEANS",INDEX('1-DATA'!$1:$1048576,$A324-1,COLUMN('1-DATA'!Y323)),ROUND(INDEX('1-DATA'!$1:$1048576,IF(OR($B325="STD. DEVIATION",$C$1=1),$A325,$A325+1),COLUMN('1-DATA'!Y323)),IF($B325="STD. DEVIATION",2,$F$1))))</f>
        <v/>
      </c>
      <c r="AA325" s="1" t="str">
        <f>IF(OR($B325="",AA$7=""),"",IF($B325="MEANS",INDEX('1-DATA'!$1:$1048576,$A324-1,COLUMN('1-DATA'!Z323)),ROUND(INDEX('1-DATA'!$1:$1048576,IF(OR($B325="STD. DEVIATION",$C$1=1),$A325,$A325+1),COLUMN('1-DATA'!Z323)),IF($B325="STD. DEVIATION",2,$F$1))))</f>
        <v/>
      </c>
      <c r="AB325" s="1" t="str">
        <f>IF(OR($B325="",AB$7=""),"",IF($B325="MEANS",INDEX('1-DATA'!$1:$1048576,$A324-1,COLUMN('1-DATA'!AA323)),ROUND(INDEX('1-DATA'!$1:$1048576,IF(OR($B325="STD. DEVIATION",$C$1=1),$A325,$A325+1),COLUMN('1-DATA'!AA323)),IF($B325="STD. DEVIATION",2,$F$1))))</f>
        <v/>
      </c>
      <c r="AC325" s="1" t="str">
        <f>IF(OR($B325="",AC$7=""),"",IF($B325="MEANS",INDEX('1-DATA'!$1:$1048576,$A324-1,COLUMN('1-DATA'!AB323)),ROUND(INDEX('1-DATA'!$1:$1048576,IF(OR($B325="STD. DEVIATION",$C$1=1),$A325,$A325+1),COLUMN('1-DATA'!AB323)),IF($B325="STD. DEVIATION",2,$F$1))))</f>
        <v/>
      </c>
      <c r="AD325" s="1" t="str">
        <f>IF(OR($B325="",AD$7=""),"",IF($B325="MEANS",INDEX('1-DATA'!$1:$1048576,$A324-1,COLUMN('1-DATA'!AC323)),ROUND(INDEX('1-DATA'!$1:$1048576,IF(OR($B325="STD. DEVIATION",$C$1=1),$A325,$A325+1),COLUMN('1-DATA'!AC323)),IF($B325="STD. DEVIATION",2,$F$1))))</f>
        <v/>
      </c>
      <c r="AE325" s="1" t="str">
        <f>IF(OR($B325="",AE$7=""),"",IF($B325="MEANS",INDEX('1-DATA'!$1:$1048576,$A324-1,COLUMN('1-DATA'!AD323)),ROUND(INDEX('1-DATA'!$1:$1048576,IF(OR($B325="STD. DEVIATION",$C$1=1),$A325,$A325+1),COLUMN('1-DATA'!AD323)),IF($B325="STD. DEVIATION",2,$F$1))))</f>
        <v/>
      </c>
      <c r="AF325" s="1" t="str">
        <f>IF(OR($B325="",AF$7=""),"",IF($B325="MEANS",INDEX('1-DATA'!$1:$1048576,$A324-1,COLUMN('1-DATA'!AE323)),ROUND(INDEX('1-DATA'!$1:$1048576,IF(OR($B325="STD. DEVIATION",$C$1=1),$A325,$A325+1),COLUMN('1-DATA'!AE323)),IF($B325="STD. DEVIATION",2,$F$1))))</f>
        <v/>
      </c>
      <c r="AG325" s="1" t="str">
        <f>IF(OR($B325="",AG$7=""),"",IF($B325="MEANS",INDEX('1-DATA'!$1:$1048576,$A324-1,COLUMN('1-DATA'!AF323)),ROUND(INDEX('1-DATA'!$1:$1048576,IF(OR($B325="STD. DEVIATION",$C$1=1),$A325,$A325+1),COLUMN('1-DATA'!AF323)),IF($B325="STD. DEVIATION",2,$F$1))))</f>
        <v/>
      </c>
      <c r="AH325" s="1" t="str">
        <f>IF(OR($B325="",AH$7=""),"",IF($B325="MEANS",INDEX('1-DATA'!$1:$1048576,$A324-1,COLUMN('1-DATA'!AG323)),ROUND(INDEX('1-DATA'!$1:$1048576,IF(OR($B325="STD. DEVIATION",$C$1=1),$A325,$A325+1),COLUMN('1-DATA'!AG323)),IF($B325="STD. DEVIATION",2,$F$1))))</f>
        <v/>
      </c>
      <c r="AI325" s="1" t="str">
        <f>IF(OR($B325="",AI$7=""),"",IF($B325="MEANS",INDEX('1-DATA'!$1:$1048576,$A324-1,COLUMN('1-DATA'!AH323)),ROUND(INDEX('1-DATA'!$1:$1048576,IF(OR($B325="STD. DEVIATION",$C$1=1),$A325,$A325+1),COLUMN('1-DATA'!AH323)),IF($B325="STD. DEVIATION",2,$F$1))))</f>
        <v/>
      </c>
      <c r="AJ325" s="1" t="str">
        <f>IF(OR($B325="",AJ$7=""),"",IF($B325="MEANS",INDEX('1-DATA'!$1:$1048576,$A324-1,COLUMN('1-DATA'!AI323)),ROUND(INDEX('1-DATA'!$1:$1048576,IF(OR($B325="STD. DEVIATION",$C$1=1),$A325,$A325+1),COLUMN('1-DATA'!AI323)),IF($B325="STD. DEVIATION",2,$F$1))))</f>
        <v/>
      </c>
      <c r="AK325" s="1" t="str">
        <f>IF(OR($B325="",AK$7=""),"",IF($B325="MEANS",INDEX('1-DATA'!$1:$1048576,$A324-1,COLUMN('1-DATA'!AJ323)),ROUND(INDEX('1-DATA'!$1:$1048576,IF(OR($B325="STD. DEVIATION",$C$1=1),$A325,$A325+1),COLUMN('1-DATA'!AJ323)),IF($B325="STD. DEVIATION",2,$F$1))))</f>
        <v/>
      </c>
      <c r="AL325" s="1" t="str">
        <f>IF(OR($B325="",AL$7=""),"",IF($B325="MEANS",INDEX('1-DATA'!$1:$1048576,$A324-1,COLUMN('1-DATA'!AK323)),ROUND(INDEX('1-DATA'!$1:$1048576,IF(OR($B325="STD. DEVIATION",$C$1=1),$A325,$A325+1),COLUMN('1-DATA'!AK323)),IF($B325="STD. DEVIATION",2,$F$1))))</f>
        <v/>
      </c>
      <c r="AM325" s="1" t="str">
        <f>IF(OR($B325="",AM$7=""),"",IF($B325="MEANS",INDEX('1-DATA'!$1:$1048576,$A324-1,COLUMN('1-DATA'!AL323)),ROUND(INDEX('1-DATA'!$1:$1048576,IF(OR($B325="STD. DEVIATION",$C$1=1),$A325,$A325+1),COLUMN('1-DATA'!AL323)),IF($B325="STD. DEVIATION",2,$F$1))))</f>
        <v/>
      </c>
      <c r="AN325" s="1" t="str">
        <f>IF(OR($B325="",AN$7=""),"",IF($B325="MEANS",INDEX('1-DATA'!$1:$1048576,$A324-1,COLUMN('1-DATA'!AM323)),ROUND(INDEX('1-DATA'!$1:$1048576,IF(OR($B325="STD. DEVIATION",$C$1=1),$A325,$A325+1),COLUMN('1-DATA'!AM323)),IF($B325="STD. DEVIATION",2,$F$1))))</f>
        <v/>
      </c>
      <c r="AO325" s="1" t="str">
        <f>IF(OR($B325="",AO$7=""),"",IF($B325="MEANS",INDEX('1-DATA'!$1:$1048576,$A324-1,COLUMN('1-DATA'!AN323)),ROUND(INDEX('1-DATA'!$1:$1048576,IF(OR($B325="STD. DEVIATION",$C$1=1),$A325,$A325+1),COLUMN('1-DATA'!AN323)),IF($B325="STD. DEVIATION",2,$F$1))))</f>
        <v/>
      </c>
      <c r="AP325" s="1" t="str">
        <f>IF(OR($B325="",AP$7=""),"",IF($B325="MEANS",INDEX('1-DATA'!$1:$1048576,$A324-1,COLUMN('1-DATA'!AO323)),ROUND(INDEX('1-DATA'!$1:$1048576,IF(OR($B325="STD. DEVIATION",$C$1=1),$A325,$A325+1),COLUMN('1-DATA'!AO323)),IF($B325="STD. DEVIATION",2,$F$1))))</f>
        <v/>
      </c>
      <c r="AQ325" s="1" t="str">
        <f>IF(OR($B325="",AQ$7=""),"",IF($B325="MEANS",INDEX('1-DATA'!$1:$1048576,$A324-1,COLUMN('1-DATA'!AP323)),ROUND(INDEX('1-DATA'!$1:$1048576,IF(OR($B325="STD. DEVIATION",$C$1=1),$A325,$A325+1),COLUMN('1-DATA'!AP323)),IF($B325="STD. DEVIATION",2,$F$1))))</f>
        <v/>
      </c>
      <c r="AR325" s="1" t="str">
        <f>IF(OR($B325="",AR$7=""),"",IF($B325="MEANS",INDEX('1-DATA'!$1:$1048576,$A324-1,COLUMN('1-DATA'!AQ323)),ROUND(INDEX('1-DATA'!$1:$1048576,IF(OR($B325="STD. DEVIATION",$C$1=1),$A325,$A325+1),COLUMN('1-DATA'!AQ323)),IF($B325="STD. DEVIATION",2,$F$1))))</f>
        <v/>
      </c>
      <c r="AS325" s="1" t="str">
        <f>IF(OR($B325="",AS$7=""),"",IF($B325="MEANS",INDEX('1-DATA'!$1:$1048576,$A324-1,COLUMN('1-DATA'!AR323)),ROUND(INDEX('1-DATA'!$1:$1048576,IF(OR($B325="STD. DEVIATION",$C$1=1),$A325,$A325+1),COLUMN('1-DATA'!AR323)),IF($B325="STD. DEVIATION",2,$F$1))))</f>
        <v/>
      </c>
      <c r="AT325" s="1" t="str">
        <f>IF(OR($B325="",AT$7=""),"",IF($B325="MEANS",INDEX('1-DATA'!$1:$1048576,$A324-1,COLUMN('1-DATA'!AS323)),ROUND(INDEX('1-DATA'!$1:$1048576,IF(OR($B325="STD. DEVIATION",$C$1=1),$A325,$A325+1),COLUMN('1-DATA'!AS323)),IF($B325="STD. DEVIATION",2,$F$1))))</f>
        <v/>
      </c>
      <c r="AU325" s="1" t="str">
        <f>IF(OR($B325="",AU$7=""),"",IF($B325="MEANS",INDEX('1-DATA'!$1:$1048576,$A324-1,COLUMN('1-DATA'!AT323)),ROUND(INDEX('1-DATA'!$1:$1048576,IF(OR($B325="STD. DEVIATION",$C$1=1),$A325,$A325+1),COLUMN('1-DATA'!AT323)),IF($B325="STD. DEVIATION",2,$F$1))))</f>
        <v/>
      </c>
      <c r="AV325" s="1" t="str">
        <f>IF(OR($B325="",AV$7=""),"",IF($B325="MEANS",INDEX('1-DATA'!$1:$1048576,$A324-1,COLUMN('1-DATA'!AU323)),ROUND(INDEX('1-DATA'!$1:$1048576,IF(OR($B325="STD. DEVIATION",$C$1=1),$A325,$A325+1),COLUMN('1-DATA'!AU323)),IF($B325="STD. DEVIATION",2,$F$1))))</f>
        <v/>
      </c>
      <c r="AW325" s="1" t="str">
        <f>IF(OR($B325="",AW$7=""),"",IF($B325="MEANS",INDEX('1-DATA'!$1:$1048576,$A324-1,COLUMN('1-DATA'!AV323)),ROUND(INDEX('1-DATA'!$1:$1048576,IF(OR($B325="STD. DEVIATION",$C$1=1),$A325,$A325+1),COLUMN('1-DATA'!AV323)),IF($B325="STD. DEVIATION",2,$F$1))))</f>
        <v/>
      </c>
      <c r="AX325" s="1" t="str">
        <f>IF(OR($B325="",AX$7=""),"",IF($B325="MEANS",INDEX('1-DATA'!$1:$1048576,$A324-1,COLUMN('1-DATA'!AW323)),ROUND(INDEX('1-DATA'!$1:$1048576,IF(OR($B325="STD. DEVIATION",$C$1=1),$A325,$A325+1),COLUMN('1-DATA'!AW323)),IF($B325="STD. DEVIATION",2,$F$1))))</f>
        <v/>
      </c>
      <c r="AY325" s="1" t="str">
        <f>IF(OR($B325="",AY$7=""),"",IF($B325="MEANS",INDEX('1-DATA'!$1:$1048576,$A324-1,COLUMN('1-DATA'!AX323)),ROUND(INDEX('1-DATA'!$1:$1048576,IF(OR($B325="STD. DEVIATION",$C$1=1),$A325,$A325+1),COLUMN('1-DATA'!AX323)),IF($B325="STD. DEVIATION",2,$F$1))))</f>
        <v/>
      </c>
      <c r="AZ325" s="1" t="str">
        <f>IF(OR($B325="",AZ$7=""),"",IF($B325="MEANS",INDEX('1-DATA'!$1:$1048576,$A324-1,COLUMN('1-DATA'!AY323)),ROUND(INDEX('1-DATA'!$1:$1048576,IF(OR($B325="STD. DEVIATION",$C$1=1),$A325,$A325+1),COLUMN('1-DATA'!AY323)),IF($B325="STD. DEVIATION",2,$F$1))))</f>
        <v/>
      </c>
    </row>
    <row r="326" spans="1:52" x14ac:dyDescent="0.25">
      <c r="A326" s="11">
        <f t="shared" si="5"/>
        <v>964</v>
      </c>
      <c r="B326" s="1" t="str">
        <f>IF(B325="STD. DEVIATION",INDEX('1-DATA'!$1:$1048576,$A325-1,1),IF(INDEX('1-DATA'!$1:$1048576,$A326,1)&lt;&gt;"",INDEX('1-DATA'!$1:$1048576,$A326,1),""))</f>
        <v/>
      </c>
      <c r="C326" s="1" t="str">
        <f>IF(OR($B326="",C$7=""),"",IF($B326="MEANS",INDEX('1-DATA'!$1:$1048576,$A325-1,COLUMN('1-DATA'!B324)),ROUND(INDEX('1-DATA'!$1:$1048576,IF(OR($B326="STD. DEVIATION",$C$1=1),$A326,$A326+1),COLUMN('1-DATA'!B324)),IF($B326="STD. DEVIATION",2,$F$1))))</f>
        <v/>
      </c>
      <c r="D326" s="1" t="str">
        <f>IF(OR($B326="",D$7=""),"",IF($B326="MEANS",INDEX('1-DATA'!$1:$1048576,$A325-1,COLUMN('1-DATA'!C324)),ROUND(INDEX('1-DATA'!$1:$1048576,IF(OR($B326="STD. DEVIATION",$C$1=1),$A326,$A326+1),COLUMN('1-DATA'!C324)),IF($B326="STD. DEVIATION",2,$F$1))))</f>
        <v/>
      </c>
      <c r="E326" s="1" t="str">
        <f>IF(OR($B326="",E$7=""),"",IF($B326="MEANS",INDEX('1-DATA'!$1:$1048576,$A325-1,COLUMN('1-DATA'!D324)),ROUND(INDEX('1-DATA'!$1:$1048576,IF(OR($B326="STD. DEVIATION",$C$1=1),$A326,$A326+1),COLUMN('1-DATA'!D324)),IF($B326="STD. DEVIATION",2,$F$1))))</f>
        <v/>
      </c>
      <c r="F326" s="1" t="str">
        <f>IF(OR($B326="",F$7=""),"",IF($B326="MEANS",INDEX('1-DATA'!$1:$1048576,$A325-1,COLUMN('1-DATA'!E324)),ROUND(INDEX('1-DATA'!$1:$1048576,IF(OR($B326="STD. DEVIATION",$C$1=1),$A326,$A326+1),COLUMN('1-DATA'!E324)),IF($B326="STD. DEVIATION",2,$F$1))))</f>
        <v/>
      </c>
      <c r="G326" s="1" t="str">
        <f>IF(OR($B326="",G$7=""),"",IF($B326="MEANS",INDEX('1-DATA'!$1:$1048576,$A325-1,COLUMN('1-DATA'!F324)),ROUND(INDEX('1-DATA'!$1:$1048576,IF(OR($B326="STD. DEVIATION",$C$1=1),$A326,$A326+1),COLUMN('1-DATA'!F324)),IF($B326="STD. DEVIATION",2,$F$1))))</f>
        <v/>
      </c>
      <c r="H326" s="1" t="str">
        <f>IF(OR($B326="",H$7=""),"",IF($B326="MEANS",INDEX('1-DATA'!$1:$1048576,$A325-1,COLUMN('1-DATA'!G324)),ROUND(INDEX('1-DATA'!$1:$1048576,IF(OR($B326="STD. DEVIATION",$C$1=1),$A326,$A326+1),COLUMN('1-DATA'!G324)),IF($B326="STD. DEVIATION",2,$F$1))))</f>
        <v/>
      </c>
      <c r="I326" s="1" t="str">
        <f>IF(OR($B326="",I$7=""),"",IF($B326="MEANS",INDEX('1-DATA'!$1:$1048576,$A325-1,COLUMN('1-DATA'!H324)),ROUND(INDEX('1-DATA'!$1:$1048576,IF(OR($B326="STD. DEVIATION",$C$1=1),$A326,$A326+1),COLUMN('1-DATA'!H324)),IF($B326="STD. DEVIATION",2,$F$1))))</f>
        <v/>
      </c>
      <c r="J326" s="1" t="str">
        <f>IF(OR($B326="",J$7=""),"",IF($B326="MEANS",INDEX('1-DATA'!$1:$1048576,$A325-1,COLUMN('1-DATA'!I324)),ROUND(INDEX('1-DATA'!$1:$1048576,IF(OR($B326="STD. DEVIATION",$C$1=1),$A326,$A326+1),COLUMN('1-DATA'!I324)),IF($B326="STD. DEVIATION",2,$F$1))))</f>
        <v/>
      </c>
      <c r="K326" s="1" t="str">
        <f>IF(OR($B326="",K$7=""),"",IF($B326="MEANS",INDEX('1-DATA'!$1:$1048576,$A325-1,COLUMN('1-DATA'!J324)),ROUND(INDEX('1-DATA'!$1:$1048576,IF(OR($B326="STD. DEVIATION",$C$1=1),$A326,$A326+1),COLUMN('1-DATA'!J324)),IF($B326="STD. DEVIATION",2,$F$1))))</f>
        <v/>
      </c>
      <c r="L326" s="1" t="str">
        <f>IF(OR($B326="",L$7=""),"",IF($B326="MEANS",INDEX('1-DATA'!$1:$1048576,$A325-1,COLUMN('1-DATA'!K324)),ROUND(INDEX('1-DATA'!$1:$1048576,IF(OR($B326="STD. DEVIATION",$C$1=1),$A326,$A326+1),COLUMN('1-DATA'!K324)),IF($B326="STD. DEVIATION",2,$F$1))))</f>
        <v/>
      </c>
      <c r="M326" s="1" t="str">
        <f>IF(OR($B326="",M$7=""),"",IF($B326="MEANS",INDEX('1-DATA'!$1:$1048576,$A325-1,COLUMN('1-DATA'!L324)),ROUND(INDEX('1-DATA'!$1:$1048576,IF(OR($B326="STD. DEVIATION",$C$1=1),$A326,$A326+1),COLUMN('1-DATA'!L324)),IF($B326="STD. DEVIATION",2,$F$1))))</f>
        <v/>
      </c>
      <c r="N326" s="1" t="str">
        <f>IF(OR($B326="",N$7=""),"",IF($B326="MEANS",INDEX('1-DATA'!$1:$1048576,$A325-1,COLUMN('1-DATA'!M324)),ROUND(INDEX('1-DATA'!$1:$1048576,IF(OR($B326="STD. DEVIATION",$C$1=1),$A326,$A326+1),COLUMN('1-DATA'!M324)),IF($B326="STD. DEVIATION",2,$F$1))))</f>
        <v/>
      </c>
      <c r="O326" s="1" t="str">
        <f>IF(OR($B326="",O$7=""),"",IF($B326="MEANS",INDEX('1-DATA'!$1:$1048576,$A325-1,COLUMN('1-DATA'!N324)),ROUND(INDEX('1-DATA'!$1:$1048576,IF(OR($B326="STD. DEVIATION",$C$1=1),$A326,$A326+1),COLUMN('1-DATA'!N324)),IF($B326="STD. DEVIATION",2,$F$1))))</f>
        <v/>
      </c>
      <c r="P326" s="1" t="str">
        <f>IF(OR($B326="",P$7=""),"",IF($B326="MEANS",INDEX('1-DATA'!$1:$1048576,$A325-1,COLUMN('1-DATA'!O324)),ROUND(INDEX('1-DATA'!$1:$1048576,IF(OR($B326="STD. DEVIATION",$C$1=1),$A326,$A326+1),COLUMN('1-DATA'!O324)),IF($B326="STD. DEVIATION",2,$F$1))))</f>
        <v/>
      </c>
      <c r="Q326" s="1" t="str">
        <f>IF(OR($B326="",Q$7=""),"",IF($B326="MEANS",INDEX('1-DATA'!$1:$1048576,$A325-1,COLUMN('1-DATA'!P324)),ROUND(INDEX('1-DATA'!$1:$1048576,IF(OR($B326="STD. DEVIATION",$C$1=1),$A326,$A326+1),COLUMN('1-DATA'!P324)),IF($B326="STD. DEVIATION",2,$F$1))))</f>
        <v/>
      </c>
      <c r="R326" s="1" t="str">
        <f>IF(OR($B326="",R$7=""),"",IF($B326="MEANS",INDEX('1-DATA'!$1:$1048576,$A325-1,COLUMN('1-DATA'!Q324)),ROUND(INDEX('1-DATA'!$1:$1048576,IF(OR($B326="STD. DEVIATION",$C$1=1),$A326,$A326+1),COLUMN('1-DATA'!Q324)),IF($B326="STD. DEVIATION",2,$F$1))))</f>
        <v/>
      </c>
      <c r="S326" s="1" t="str">
        <f>IF(OR($B326="",S$7=""),"",IF($B326="MEANS",INDEX('1-DATA'!$1:$1048576,$A325-1,COLUMN('1-DATA'!R324)),ROUND(INDEX('1-DATA'!$1:$1048576,IF(OR($B326="STD. DEVIATION",$C$1=1),$A326,$A326+1),COLUMN('1-DATA'!R324)),IF($B326="STD. DEVIATION",2,$F$1))))</f>
        <v/>
      </c>
      <c r="T326" s="1" t="str">
        <f>IF(OR($B326="",T$7=""),"",IF($B326="MEANS",INDEX('1-DATA'!$1:$1048576,$A325-1,COLUMN('1-DATA'!S324)),ROUND(INDEX('1-DATA'!$1:$1048576,IF(OR($B326="STD. DEVIATION",$C$1=1),$A326,$A326+1),COLUMN('1-DATA'!S324)),IF($B326="STD. DEVIATION",2,$F$1))))</f>
        <v/>
      </c>
      <c r="U326" s="1" t="str">
        <f>IF(OR($B326="",U$7=""),"",IF($B326="MEANS",INDEX('1-DATA'!$1:$1048576,$A325-1,COLUMN('1-DATA'!T324)),ROUND(INDEX('1-DATA'!$1:$1048576,IF(OR($B326="STD. DEVIATION",$C$1=1),$A326,$A326+1),COLUMN('1-DATA'!T324)),IF($B326="STD. DEVIATION",2,$F$1))))</f>
        <v/>
      </c>
      <c r="V326" s="1" t="str">
        <f>IF(OR($B326="",V$7=""),"",IF($B326="MEANS",INDEX('1-DATA'!$1:$1048576,$A325-1,COLUMN('1-DATA'!U324)),ROUND(INDEX('1-DATA'!$1:$1048576,IF(OR($B326="STD. DEVIATION",$C$1=1),$A326,$A326+1),COLUMN('1-DATA'!U324)),IF($B326="STD. DEVIATION",2,$F$1))))</f>
        <v/>
      </c>
      <c r="W326" s="1" t="str">
        <f>IF(OR($B326="",W$7=""),"",IF($B326="MEANS",INDEX('1-DATA'!$1:$1048576,$A325-1,COLUMN('1-DATA'!V324)),ROUND(INDEX('1-DATA'!$1:$1048576,IF(OR($B326="STD. DEVIATION",$C$1=1),$A326,$A326+1),COLUMN('1-DATA'!V324)),IF($B326="STD. DEVIATION",2,$F$1))))</f>
        <v/>
      </c>
      <c r="X326" s="1" t="str">
        <f>IF(OR($B326="",X$7=""),"",IF($B326="MEANS",INDEX('1-DATA'!$1:$1048576,$A325-1,COLUMN('1-DATA'!W324)),ROUND(INDEX('1-DATA'!$1:$1048576,IF(OR($B326="STD. DEVIATION",$C$1=1),$A326,$A326+1),COLUMN('1-DATA'!W324)),IF($B326="STD. DEVIATION",2,$F$1))))</f>
        <v/>
      </c>
      <c r="Y326" s="1" t="str">
        <f>IF(OR($B326="",Y$7=""),"",IF($B326="MEANS",INDEX('1-DATA'!$1:$1048576,$A325-1,COLUMN('1-DATA'!X324)),ROUND(INDEX('1-DATA'!$1:$1048576,IF(OR($B326="STD. DEVIATION",$C$1=1),$A326,$A326+1),COLUMN('1-DATA'!X324)),IF($B326="STD. DEVIATION",2,$F$1))))</f>
        <v/>
      </c>
      <c r="Z326" s="1" t="str">
        <f>IF(OR($B326="",Z$7=""),"",IF($B326="MEANS",INDEX('1-DATA'!$1:$1048576,$A325-1,COLUMN('1-DATA'!Y324)),ROUND(INDEX('1-DATA'!$1:$1048576,IF(OR($B326="STD. DEVIATION",$C$1=1),$A326,$A326+1),COLUMN('1-DATA'!Y324)),IF($B326="STD. DEVIATION",2,$F$1))))</f>
        <v/>
      </c>
      <c r="AA326" s="1" t="str">
        <f>IF(OR($B326="",AA$7=""),"",IF($B326="MEANS",INDEX('1-DATA'!$1:$1048576,$A325-1,COLUMN('1-DATA'!Z324)),ROUND(INDEX('1-DATA'!$1:$1048576,IF(OR($B326="STD. DEVIATION",$C$1=1),$A326,$A326+1),COLUMN('1-DATA'!Z324)),IF($B326="STD. DEVIATION",2,$F$1))))</f>
        <v/>
      </c>
      <c r="AB326" s="1" t="str">
        <f>IF(OR($B326="",AB$7=""),"",IF($B326="MEANS",INDEX('1-DATA'!$1:$1048576,$A325-1,COLUMN('1-DATA'!AA324)),ROUND(INDEX('1-DATA'!$1:$1048576,IF(OR($B326="STD. DEVIATION",$C$1=1),$A326,$A326+1),COLUMN('1-DATA'!AA324)),IF($B326="STD. DEVIATION",2,$F$1))))</f>
        <v/>
      </c>
      <c r="AC326" s="1" t="str">
        <f>IF(OR($B326="",AC$7=""),"",IF($B326="MEANS",INDEX('1-DATA'!$1:$1048576,$A325-1,COLUMN('1-DATA'!AB324)),ROUND(INDEX('1-DATA'!$1:$1048576,IF(OR($B326="STD. DEVIATION",$C$1=1),$A326,$A326+1),COLUMN('1-DATA'!AB324)),IF($B326="STD. DEVIATION",2,$F$1))))</f>
        <v/>
      </c>
      <c r="AD326" s="1" t="str">
        <f>IF(OR($B326="",AD$7=""),"",IF($B326="MEANS",INDEX('1-DATA'!$1:$1048576,$A325-1,COLUMN('1-DATA'!AC324)),ROUND(INDEX('1-DATA'!$1:$1048576,IF(OR($B326="STD. DEVIATION",$C$1=1),$A326,$A326+1),COLUMN('1-DATA'!AC324)),IF($B326="STD. DEVIATION",2,$F$1))))</f>
        <v/>
      </c>
      <c r="AE326" s="1" t="str">
        <f>IF(OR($B326="",AE$7=""),"",IF($B326="MEANS",INDEX('1-DATA'!$1:$1048576,$A325-1,COLUMN('1-DATA'!AD324)),ROUND(INDEX('1-DATA'!$1:$1048576,IF(OR($B326="STD. DEVIATION",$C$1=1),$A326,$A326+1),COLUMN('1-DATA'!AD324)),IF($B326="STD. DEVIATION",2,$F$1))))</f>
        <v/>
      </c>
      <c r="AF326" s="1" t="str">
        <f>IF(OR($B326="",AF$7=""),"",IF($B326="MEANS",INDEX('1-DATA'!$1:$1048576,$A325-1,COLUMN('1-DATA'!AE324)),ROUND(INDEX('1-DATA'!$1:$1048576,IF(OR($B326="STD. DEVIATION",$C$1=1),$A326,$A326+1),COLUMN('1-DATA'!AE324)),IF($B326="STD. DEVIATION",2,$F$1))))</f>
        <v/>
      </c>
      <c r="AG326" s="1" t="str">
        <f>IF(OR($B326="",AG$7=""),"",IF($B326="MEANS",INDEX('1-DATA'!$1:$1048576,$A325-1,COLUMN('1-DATA'!AF324)),ROUND(INDEX('1-DATA'!$1:$1048576,IF(OR($B326="STD. DEVIATION",$C$1=1),$A326,$A326+1),COLUMN('1-DATA'!AF324)),IF($B326="STD. DEVIATION",2,$F$1))))</f>
        <v/>
      </c>
      <c r="AH326" s="1" t="str">
        <f>IF(OR($B326="",AH$7=""),"",IF($B326="MEANS",INDEX('1-DATA'!$1:$1048576,$A325-1,COLUMN('1-DATA'!AG324)),ROUND(INDEX('1-DATA'!$1:$1048576,IF(OR($B326="STD. DEVIATION",$C$1=1),$A326,$A326+1),COLUMN('1-DATA'!AG324)),IF($B326="STD. DEVIATION",2,$F$1))))</f>
        <v/>
      </c>
      <c r="AI326" s="1" t="str">
        <f>IF(OR($B326="",AI$7=""),"",IF($B326="MEANS",INDEX('1-DATA'!$1:$1048576,$A325-1,COLUMN('1-DATA'!AH324)),ROUND(INDEX('1-DATA'!$1:$1048576,IF(OR($B326="STD. DEVIATION",$C$1=1),$A326,$A326+1),COLUMN('1-DATA'!AH324)),IF($B326="STD. DEVIATION",2,$F$1))))</f>
        <v/>
      </c>
      <c r="AJ326" s="1" t="str">
        <f>IF(OR($B326="",AJ$7=""),"",IF($B326="MEANS",INDEX('1-DATA'!$1:$1048576,$A325-1,COLUMN('1-DATA'!AI324)),ROUND(INDEX('1-DATA'!$1:$1048576,IF(OR($B326="STD. DEVIATION",$C$1=1),$A326,$A326+1),COLUMN('1-DATA'!AI324)),IF($B326="STD. DEVIATION",2,$F$1))))</f>
        <v/>
      </c>
      <c r="AK326" s="1" t="str">
        <f>IF(OR($B326="",AK$7=""),"",IF($B326="MEANS",INDEX('1-DATA'!$1:$1048576,$A325-1,COLUMN('1-DATA'!AJ324)),ROUND(INDEX('1-DATA'!$1:$1048576,IF(OR($B326="STD. DEVIATION",$C$1=1),$A326,$A326+1),COLUMN('1-DATA'!AJ324)),IF($B326="STD. DEVIATION",2,$F$1))))</f>
        <v/>
      </c>
      <c r="AL326" s="1" t="str">
        <f>IF(OR($B326="",AL$7=""),"",IF($B326="MEANS",INDEX('1-DATA'!$1:$1048576,$A325-1,COLUMN('1-DATA'!AK324)),ROUND(INDEX('1-DATA'!$1:$1048576,IF(OR($B326="STD. DEVIATION",$C$1=1),$A326,$A326+1),COLUMN('1-DATA'!AK324)),IF($B326="STD. DEVIATION",2,$F$1))))</f>
        <v/>
      </c>
      <c r="AM326" s="1" t="str">
        <f>IF(OR($B326="",AM$7=""),"",IF($B326="MEANS",INDEX('1-DATA'!$1:$1048576,$A325-1,COLUMN('1-DATA'!AL324)),ROUND(INDEX('1-DATA'!$1:$1048576,IF(OR($B326="STD. DEVIATION",$C$1=1),$A326,$A326+1),COLUMN('1-DATA'!AL324)),IF($B326="STD. DEVIATION",2,$F$1))))</f>
        <v/>
      </c>
      <c r="AN326" s="1" t="str">
        <f>IF(OR($B326="",AN$7=""),"",IF($B326="MEANS",INDEX('1-DATA'!$1:$1048576,$A325-1,COLUMN('1-DATA'!AM324)),ROUND(INDEX('1-DATA'!$1:$1048576,IF(OR($B326="STD. DEVIATION",$C$1=1),$A326,$A326+1),COLUMN('1-DATA'!AM324)),IF($B326="STD. DEVIATION",2,$F$1))))</f>
        <v/>
      </c>
      <c r="AO326" s="1" t="str">
        <f>IF(OR($B326="",AO$7=""),"",IF($B326="MEANS",INDEX('1-DATA'!$1:$1048576,$A325-1,COLUMN('1-DATA'!AN324)),ROUND(INDEX('1-DATA'!$1:$1048576,IF(OR($B326="STD. DEVIATION",$C$1=1),$A326,$A326+1),COLUMN('1-DATA'!AN324)),IF($B326="STD. DEVIATION",2,$F$1))))</f>
        <v/>
      </c>
      <c r="AP326" s="1" t="str">
        <f>IF(OR($B326="",AP$7=""),"",IF($B326="MEANS",INDEX('1-DATA'!$1:$1048576,$A325-1,COLUMN('1-DATA'!AO324)),ROUND(INDEX('1-DATA'!$1:$1048576,IF(OR($B326="STD. DEVIATION",$C$1=1),$A326,$A326+1),COLUMN('1-DATA'!AO324)),IF($B326="STD. DEVIATION",2,$F$1))))</f>
        <v/>
      </c>
      <c r="AQ326" s="1" t="str">
        <f>IF(OR($B326="",AQ$7=""),"",IF($B326="MEANS",INDEX('1-DATA'!$1:$1048576,$A325-1,COLUMN('1-DATA'!AP324)),ROUND(INDEX('1-DATA'!$1:$1048576,IF(OR($B326="STD. DEVIATION",$C$1=1),$A326,$A326+1),COLUMN('1-DATA'!AP324)),IF($B326="STD. DEVIATION",2,$F$1))))</f>
        <v/>
      </c>
      <c r="AR326" s="1" t="str">
        <f>IF(OR($B326="",AR$7=""),"",IF($B326="MEANS",INDEX('1-DATA'!$1:$1048576,$A325-1,COLUMN('1-DATA'!AQ324)),ROUND(INDEX('1-DATA'!$1:$1048576,IF(OR($B326="STD. DEVIATION",$C$1=1),$A326,$A326+1),COLUMN('1-DATA'!AQ324)),IF($B326="STD. DEVIATION",2,$F$1))))</f>
        <v/>
      </c>
      <c r="AS326" s="1" t="str">
        <f>IF(OR($B326="",AS$7=""),"",IF($B326="MEANS",INDEX('1-DATA'!$1:$1048576,$A325-1,COLUMN('1-DATA'!AR324)),ROUND(INDEX('1-DATA'!$1:$1048576,IF(OR($B326="STD. DEVIATION",$C$1=1),$A326,$A326+1),COLUMN('1-DATA'!AR324)),IF($B326="STD. DEVIATION",2,$F$1))))</f>
        <v/>
      </c>
      <c r="AT326" s="1" t="str">
        <f>IF(OR($B326="",AT$7=""),"",IF($B326="MEANS",INDEX('1-DATA'!$1:$1048576,$A325-1,COLUMN('1-DATA'!AS324)),ROUND(INDEX('1-DATA'!$1:$1048576,IF(OR($B326="STD. DEVIATION",$C$1=1),$A326,$A326+1),COLUMN('1-DATA'!AS324)),IF($B326="STD. DEVIATION",2,$F$1))))</f>
        <v/>
      </c>
      <c r="AU326" s="1" t="str">
        <f>IF(OR($B326="",AU$7=""),"",IF($B326="MEANS",INDEX('1-DATA'!$1:$1048576,$A325-1,COLUMN('1-DATA'!AT324)),ROUND(INDEX('1-DATA'!$1:$1048576,IF(OR($B326="STD. DEVIATION",$C$1=1),$A326,$A326+1),COLUMN('1-DATA'!AT324)),IF($B326="STD. DEVIATION",2,$F$1))))</f>
        <v/>
      </c>
      <c r="AV326" s="1" t="str">
        <f>IF(OR($B326="",AV$7=""),"",IF($B326="MEANS",INDEX('1-DATA'!$1:$1048576,$A325-1,COLUMN('1-DATA'!AU324)),ROUND(INDEX('1-DATA'!$1:$1048576,IF(OR($B326="STD. DEVIATION",$C$1=1),$A326,$A326+1),COLUMN('1-DATA'!AU324)),IF($B326="STD. DEVIATION",2,$F$1))))</f>
        <v/>
      </c>
      <c r="AW326" s="1" t="str">
        <f>IF(OR($B326="",AW$7=""),"",IF($B326="MEANS",INDEX('1-DATA'!$1:$1048576,$A325-1,COLUMN('1-DATA'!AV324)),ROUND(INDEX('1-DATA'!$1:$1048576,IF(OR($B326="STD. DEVIATION",$C$1=1),$A326,$A326+1),COLUMN('1-DATA'!AV324)),IF($B326="STD. DEVIATION",2,$F$1))))</f>
        <v/>
      </c>
      <c r="AX326" s="1" t="str">
        <f>IF(OR($B326="",AX$7=""),"",IF($B326="MEANS",INDEX('1-DATA'!$1:$1048576,$A325-1,COLUMN('1-DATA'!AW324)),ROUND(INDEX('1-DATA'!$1:$1048576,IF(OR($B326="STD. DEVIATION",$C$1=1),$A326,$A326+1),COLUMN('1-DATA'!AW324)),IF($B326="STD. DEVIATION",2,$F$1))))</f>
        <v/>
      </c>
      <c r="AY326" s="1" t="str">
        <f>IF(OR($B326="",AY$7=""),"",IF($B326="MEANS",INDEX('1-DATA'!$1:$1048576,$A325-1,COLUMN('1-DATA'!AX324)),ROUND(INDEX('1-DATA'!$1:$1048576,IF(OR($B326="STD. DEVIATION",$C$1=1),$A326,$A326+1),COLUMN('1-DATA'!AX324)),IF($B326="STD. DEVIATION",2,$F$1))))</f>
        <v/>
      </c>
      <c r="AZ326" s="1" t="str">
        <f>IF(OR($B326="",AZ$7=""),"",IF($B326="MEANS",INDEX('1-DATA'!$1:$1048576,$A325-1,COLUMN('1-DATA'!AY324)),ROUND(INDEX('1-DATA'!$1:$1048576,IF(OR($B326="STD. DEVIATION",$C$1=1),$A326,$A326+1),COLUMN('1-DATA'!AY324)),IF($B326="STD. DEVIATION",2,$F$1))))</f>
        <v/>
      </c>
    </row>
    <row r="327" spans="1:52" x14ac:dyDescent="0.25">
      <c r="A327" s="11">
        <f t="shared" si="5"/>
        <v>967</v>
      </c>
      <c r="B327" s="1" t="str">
        <f>IF(B326="STD. DEVIATION",INDEX('1-DATA'!$1:$1048576,$A326-1,1),IF(INDEX('1-DATA'!$1:$1048576,$A327,1)&lt;&gt;"",INDEX('1-DATA'!$1:$1048576,$A327,1),""))</f>
        <v/>
      </c>
      <c r="C327" s="1" t="str">
        <f>IF(OR($B327="",C$7=""),"",IF($B327="MEANS",INDEX('1-DATA'!$1:$1048576,$A326-1,COLUMN('1-DATA'!B325)),ROUND(INDEX('1-DATA'!$1:$1048576,IF(OR($B327="STD. DEVIATION",$C$1=1),$A327,$A327+1),COLUMN('1-DATA'!B325)),IF($B327="STD. DEVIATION",2,$F$1))))</f>
        <v/>
      </c>
      <c r="D327" s="1" t="str">
        <f>IF(OR($B327="",D$7=""),"",IF($B327="MEANS",INDEX('1-DATA'!$1:$1048576,$A326-1,COLUMN('1-DATA'!C325)),ROUND(INDEX('1-DATA'!$1:$1048576,IF(OR($B327="STD. DEVIATION",$C$1=1),$A327,$A327+1),COLUMN('1-DATA'!C325)),IF($B327="STD. DEVIATION",2,$F$1))))</f>
        <v/>
      </c>
      <c r="E327" s="1" t="str">
        <f>IF(OR($B327="",E$7=""),"",IF($B327="MEANS",INDEX('1-DATA'!$1:$1048576,$A326-1,COLUMN('1-DATA'!D325)),ROUND(INDEX('1-DATA'!$1:$1048576,IF(OR($B327="STD. DEVIATION",$C$1=1),$A327,$A327+1),COLUMN('1-DATA'!D325)),IF($B327="STD. DEVIATION",2,$F$1))))</f>
        <v/>
      </c>
      <c r="F327" s="1" t="str">
        <f>IF(OR($B327="",F$7=""),"",IF($B327="MEANS",INDEX('1-DATA'!$1:$1048576,$A326-1,COLUMN('1-DATA'!E325)),ROUND(INDEX('1-DATA'!$1:$1048576,IF(OR($B327="STD. DEVIATION",$C$1=1),$A327,$A327+1),COLUMN('1-DATA'!E325)),IF($B327="STD. DEVIATION",2,$F$1))))</f>
        <v/>
      </c>
      <c r="G327" s="1" t="str">
        <f>IF(OR($B327="",G$7=""),"",IF($B327="MEANS",INDEX('1-DATA'!$1:$1048576,$A326-1,COLUMN('1-DATA'!F325)),ROUND(INDEX('1-DATA'!$1:$1048576,IF(OR($B327="STD. DEVIATION",$C$1=1),$A327,$A327+1),COLUMN('1-DATA'!F325)),IF($B327="STD. DEVIATION",2,$F$1))))</f>
        <v/>
      </c>
      <c r="H327" s="1" t="str">
        <f>IF(OR($B327="",H$7=""),"",IF($B327="MEANS",INDEX('1-DATA'!$1:$1048576,$A326-1,COLUMN('1-DATA'!G325)),ROUND(INDEX('1-DATA'!$1:$1048576,IF(OR($B327="STD. DEVIATION",$C$1=1),$A327,$A327+1),COLUMN('1-DATA'!G325)),IF($B327="STD. DEVIATION",2,$F$1))))</f>
        <v/>
      </c>
      <c r="I327" s="1" t="str">
        <f>IF(OR($B327="",I$7=""),"",IF($B327="MEANS",INDEX('1-DATA'!$1:$1048576,$A326-1,COLUMN('1-DATA'!H325)),ROUND(INDEX('1-DATA'!$1:$1048576,IF(OR($B327="STD. DEVIATION",$C$1=1),$A327,$A327+1),COLUMN('1-DATA'!H325)),IF($B327="STD. DEVIATION",2,$F$1))))</f>
        <v/>
      </c>
      <c r="J327" s="1" t="str">
        <f>IF(OR($B327="",J$7=""),"",IF($B327="MEANS",INDEX('1-DATA'!$1:$1048576,$A326-1,COLUMN('1-DATA'!I325)),ROUND(INDEX('1-DATA'!$1:$1048576,IF(OR($B327="STD. DEVIATION",$C$1=1),$A327,$A327+1),COLUMN('1-DATA'!I325)),IF($B327="STD. DEVIATION",2,$F$1))))</f>
        <v/>
      </c>
      <c r="K327" s="1" t="str">
        <f>IF(OR($B327="",K$7=""),"",IF($B327="MEANS",INDEX('1-DATA'!$1:$1048576,$A326-1,COLUMN('1-DATA'!J325)),ROUND(INDEX('1-DATA'!$1:$1048576,IF(OR($B327="STD. DEVIATION",$C$1=1),$A327,$A327+1),COLUMN('1-DATA'!J325)),IF($B327="STD. DEVIATION",2,$F$1))))</f>
        <v/>
      </c>
      <c r="L327" s="1" t="str">
        <f>IF(OR($B327="",L$7=""),"",IF($B327="MEANS",INDEX('1-DATA'!$1:$1048576,$A326-1,COLUMN('1-DATA'!K325)),ROUND(INDEX('1-DATA'!$1:$1048576,IF(OR($B327="STD. DEVIATION",$C$1=1),$A327,$A327+1),COLUMN('1-DATA'!K325)),IF($B327="STD. DEVIATION",2,$F$1))))</f>
        <v/>
      </c>
      <c r="M327" s="1" t="str">
        <f>IF(OR($B327="",M$7=""),"",IF($B327="MEANS",INDEX('1-DATA'!$1:$1048576,$A326-1,COLUMN('1-DATA'!L325)),ROUND(INDEX('1-DATA'!$1:$1048576,IF(OR($B327="STD. DEVIATION",$C$1=1),$A327,$A327+1),COLUMN('1-DATA'!L325)),IF($B327="STD. DEVIATION",2,$F$1))))</f>
        <v/>
      </c>
      <c r="N327" s="1" t="str">
        <f>IF(OR($B327="",N$7=""),"",IF($B327="MEANS",INDEX('1-DATA'!$1:$1048576,$A326-1,COLUMN('1-DATA'!M325)),ROUND(INDEX('1-DATA'!$1:$1048576,IF(OR($B327="STD. DEVIATION",$C$1=1),$A327,$A327+1),COLUMN('1-DATA'!M325)),IF($B327="STD. DEVIATION",2,$F$1))))</f>
        <v/>
      </c>
      <c r="O327" s="1" t="str">
        <f>IF(OR($B327="",O$7=""),"",IF($B327="MEANS",INDEX('1-DATA'!$1:$1048576,$A326-1,COLUMN('1-DATA'!N325)),ROUND(INDEX('1-DATA'!$1:$1048576,IF(OR($B327="STD. DEVIATION",$C$1=1),$A327,$A327+1),COLUMN('1-DATA'!N325)),IF($B327="STD. DEVIATION",2,$F$1))))</f>
        <v/>
      </c>
      <c r="P327" s="1" t="str">
        <f>IF(OR($B327="",P$7=""),"",IF($B327="MEANS",INDEX('1-DATA'!$1:$1048576,$A326-1,COLUMN('1-DATA'!O325)),ROUND(INDEX('1-DATA'!$1:$1048576,IF(OR($B327="STD. DEVIATION",$C$1=1),$A327,$A327+1),COLUMN('1-DATA'!O325)),IF($B327="STD. DEVIATION",2,$F$1))))</f>
        <v/>
      </c>
      <c r="Q327" s="1" t="str">
        <f>IF(OR($B327="",Q$7=""),"",IF($B327="MEANS",INDEX('1-DATA'!$1:$1048576,$A326-1,COLUMN('1-DATA'!P325)),ROUND(INDEX('1-DATA'!$1:$1048576,IF(OR($B327="STD. DEVIATION",$C$1=1),$A327,$A327+1),COLUMN('1-DATA'!P325)),IF($B327="STD. DEVIATION",2,$F$1))))</f>
        <v/>
      </c>
      <c r="R327" s="1" t="str">
        <f>IF(OR($B327="",R$7=""),"",IF($B327="MEANS",INDEX('1-DATA'!$1:$1048576,$A326-1,COLUMN('1-DATA'!Q325)),ROUND(INDEX('1-DATA'!$1:$1048576,IF(OR($B327="STD. DEVIATION",$C$1=1),$A327,$A327+1),COLUMN('1-DATA'!Q325)),IF($B327="STD. DEVIATION",2,$F$1))))</f>
        <v/>
      </c>
      <c r="S327" s="1" t="str">
        <f>IF(OR($B327="",S$7=""),"",IF($B327="MEANS",INDEX('1-DATA'!$1:$1048576,$A326-1,COLUMN('1-DATA'!R325)),ROUND(INDEX('1-DATA'!$1:$1048576,IF(OR($B327="STD. DEVIATION",$C$1=1),$A327,$A327+1),COLUMN('1-DATA'!R325)),IF($B327="STD. DEVIATION",2,$F$1))))</f>
        <v/>
      </c>
      <c r="T327" s="1" t="str">
        <f>IF(OR($B327="",T$7=""),"",IF($B327="MEANS",INDEX('1-DATA'!$1:$1048576,$A326-1,COLUMN('1-DATA'!S325)),ROUND(INDEX('1-DATA'!$1:$1048576,IF(OR($B327="STD. DEVIATION",$C$1=1),$A327,$A327+1),COLUMN('1-DATA'!S325)),IF($B327="STD. DEVIATION",2,$F$1))))</f>
        <v/>
      </c>
      <c r="U327" s="1" t="str">
        <f>IF(OR($B327="",U$7=""),"",IF($B327="MEANS",INDEX('1-DATA'!$1:$1048576,$A326-1,COLUMN('1-DATA'!T325)),ROUND(INDEX('1-DATA'!$1:$1048576,IF(OR($B327="STD. DEVIATION",$C$1=1),$A327,$A327+1),COLUMN('1-DATA'!T325)),IF($B327="STD. DEVIATION",2,$F$1))))</f>
        <v/>
      </c>
      <c r="V327" s="1" t="str">
        <f>IF(OR($B327="",V$7=""),"",IF($B327="MEANS",INDEX('1-DATA'!$1:$1048576,$A326-1,COLUMN('1-DATA'!U325)),ROUND(INDEX('1-DATA'!$1:$1048576,IF(OR($B327="STD. DEVIATION",$C$1=1),$A327,$A327+1),COLUMN('1-DATA'!U325)),IF($B327="STD. DEVIATION",2,$F$1))))</f>
        <v/>
      </c>
      <c r="W327" s="1" t="str">
        <f>IF(OR($B327="",W$7=""),"",IF($B327="MEANS",INDEX('1-DATA'!$1:$1048576,$A326-1,COLUMN('1-DATA'!V325)),ROUND(INDEX('1-DATA'!$1:$1048576,IF(OR($B327="STD. DEVIATION",$C$1=1),$A327,$A327+1),COLUMN('1-DATA'!V325)),IF($B327="STD. DEVIATION",2,$F$1))))</f>
        <v/>
      </c>
      <c r="X327" s="1" t="str">
        <f>IF(OR($B327="",X$7=""),"",IF($B327="MEANS",INDEX('1-DATA'!$1:$1048576,$A326-1,COLUMN('1-DATA'!W325)),ROUND(INDEX('1-DATA'!$1:$1048576,IF(OR($B327="STD. DEVIATION",$C$1=1),$A327,$A327+1),COLUMN('1-DATA'!W325)),IF($B327="STD. DEVIATION",2,$F$1))))</f>
        <v/>
      </c>
      <c r="Y327" s="1" t="str">
        <f>IF(OR($B327="",Y$7=""),"",IF($B327="MEANS",INDEX('1-DATA'!$1:$1048576,$A326-1,COLUMN('1-DATA'!X325)),ROUND(INDEX('1-DATA'!$1:$1048576,IF(OR($B327="STD. DEVIATION",$C$1=1),$A327,$A327+1),COLUMN('1-DATA'!X325)),IF($B327="STD. DEVIATION",2,$F$1))))</f>
        <v/>
      </c>
      <c r="Z327" s="1" t="str">
        <f>IF(OR($B327="",Z$7=""),"",IF($B327="MEANS",INDEX('1-DATA'!$1:$1048576,$A326-1,COLUMN('1-DATA'!Y325)),ROUND(INDEX('1-DATA'!$1:$1048576,IF(OR($B327="STD. DEVIATION",$C$1=1),$A327,$A327+1),COLUMN('1-DATA'!Y325)),IF($B327="STD. DEVIATION",2,$F$1))))</f>
        <v/>
      </c>
      <c r="AA327" s="1" t="str">
        <f>IF(OR($B327="",AA$7=""),"",IF($B327="MEANS",INDEX('1-DATA'!$1:$1048576,$A326-1,COLUMN('1-DATA'!Z325)),ROUND(INDEX('1-DATA'!$1:$1048576,IF(OR($B327="STD. DEVIATION",$C$1=1),$A327,$A327+1),COLUMN('1-DATA'!Z325)),IF($B327="STD. DEVIATION",2,$F$1))))</f>
        <v/>
      </c>
      <c r="AB327" s="1" t="str">
        <f>IF(OR($B327="",AB$7=""),"",IF($B327="MEANS",INDEX('1-DATA'!$1:$1048576,$A326-1,COLUMN('1-DATA'!AA325)),ROUND(INDEX('1-DATA'!$1:$1048576,IF(OR($B327="STD. DEVIATION",$C$1=1),$A327,$A327+1),COLUMN('1-DATA'!AA325)),IF($B327="STD. DEVIATION",2,$F$1))))</f>
        <v/>
      </c>
      <c r="AC327" s="1" t="str">
        <f>IF(OR($B327="",AC$7=""),"",IF($B327="MEANS",INDEX('1-DATA'!$1:$1048576,$A326-1,COLUMN('1-DATA'!AB325)),ROUND(INDEX('1-DATA'!$1:$1048576,IF(OR($B327="STD. DEVIATION",$C$1=1),$A327,$A327+1),COLUMN('1-DATA'!AB325)),IF($B327="STD. DEVIATION",2,$F$1))))</f>
        <v/>
      </c>
      <c r="AD327" s="1" t="str">
        <f>IF(OR($B327="",AD$7=""),"",IF($B327="MEANS",INDEX('1-DATA'!$1:$1048576,$A326-1,COLUMN('1-DATA'!AC325)),ROUND(INDEX('1-DATA'!$1:$1048576,IF(OR($B327="STD. DEVIATION",$C$1=1),$A327,$A327+1),COLUMN('1-DATA'!AC325)),IF($B327="STD. DEVIATION",2,$F$1))))</f>
        <v/>
      </c>
      <c r="AE327" s="1" t="str">
        <f>IF(OR($B327="",AE$7=""),"",IF($B327="MEANS",INDEX('1-DATA'!$1:$1048576,$A326-1,COLUMN('1-DATA'!AD325)),ROUND(INDEX('1-DATA'!$1:$1048576,IF(OR($B327="STD. DEVIATION",$C$1=1),$A327,$A327+1),COLUMN('1-DATA'!AD325)),IF($B327="STD. DEVIATION",2,$F$1))))</f>
        <v/>
      </c>
      <c r="AF327" s="1" t="str">
        <f>IF(OR($B327="",AF$7=""),"",IF($B327="MEANS",INDEX('1-DATA'!$1:$1048576,$A326-1,COLUMN('1-DATA'!AE325)),ROUND(INDEX('1-DATA'!$1:$1048576,IF(OR($B327="STD. DEVIATION",$C$1=1),$A327,$A327+1),COLUMN('1-DATA'!AE325)),IF($B327="STD. DEVIATION",2,$F$1))))</f>
        <v/>
      </c>
      <c r="AG327" s="1" t="str">
        <f>IF(OR($B327="",AG$7=""),"",IF($B327="MEANS",INDEX('1-DATA'!$1:$1048576,$A326-1,COLUMN('1-DATA'!AF325)),ROUND(INDEX('1-DATA'!$1:$1048576,IF(OR($B327="STD. DEVIATION",$C$1=1),$A327,$A327+1),COLUMN('1-DATA'!AF325)),IF($B327="STD. DEVIATION",2,$F$1))))</f>
        <v/>
      </c>
      <c r="AH327" s="1" t="str">
        <f>IF(OR($B327="",AH$7=""),"",IF($B327="MEANS",INDEX('1-DATA'!$1:$1048576,$A326-1,COLUMN('1-DATA'!AG325)),ROUND(INDEX('1-DATA'!$1:$1048576,IF(OR($B327="STD. DEVIATION",$C$1=1),$A327,$A327+1),COLUMN('1-DATA'!AG325)),IF($B327="STD. DEVIATION",2,$F$1))))</f>
        <v/>
      </c>
      <c r="AI327" s="1" t="str">
        <f>IF(OR($B327="",AI$7=""),"",IF($B327="MEANS",INDEX('1-DATA'!$1:$1048576,$A326-1,COLUMN('1-DATA'!AH325)),ROUND(INDEX('1-DATA'!$1:$1048576,IF(OR($B327="STD. DEVIATION",$C$1=1),$A327,$A327+1),COLUMN('1-DATA'!AH325)),IF($B327="STD. DEVIATION",2,$F$1))))</f>
        <v/>
      </c>
      <c r="AJ327" s="1" t="str">
        <f>IF(OR($B327="",AJ$7=""),"",IF($B327="MEANS",INDEX('1-DATA'!$1:$1048576,$A326-1,COLUMN('1-DATA'!AI325)),ROUND(INDEX('1-DATA'!$1:$1048576,IF(OR($B327="STD. DEVIATION",$C$1=1),$A327,$A327+1),COLUMN('1-DATA'!AI325)),IF($B327="STD. DEVIATION",2,$F$1))))</f>
        <v/>
      </c>
      <c r="AK327" s="1" t="str">
        <f>IF(OR($B327="",AK$7=""),"",IF($B327="MEANS",INDEX('1-DATA'!$1:$1048576,$A326-1,COLUMN('1-DATA'!AJ325)),ROUND(INDEX('1-DATA'!$1:$1048576,IF(OR($B327="STD. DEVIATION",$C$1=1),$A327,$A327+1),COLUMN('1-DATA'!AJ325)),IF($B327="STD. DEVIATION",2,$F$1))))</f>
        <v/>
      </c>
      <c r="AL327" s="1" t="str">
        <f>IF(OR($B327="",AL$7=""),"",IF($B327="MEANS",INDEX('1-DATA'!$1:$1048576,$A326-1,COLUMN('1-DATA'!AK325)),ROUND(INDEX('1-DATA'!$1:$1048576,IF(OR($B327="STD. DEVIATION",$C$1=1),$A327,$A327+1),COLUMN('1-DATA'!AK325)),IF($B327="STD. DEVIATION",2,$F$1))))</f>
        <v/>
      </c>
      <c r="AM327" s="1" t="str">
        <f>IF(OR($B327="",AM$7=""),"",IF($B327="MEANS",INDEX('1-DATA'!$1:$1048576,$A326-1,COLUMN('1-DATA'!AL325)),ROUND(INDEX('1-DATA'!$1:$1048576,IF(OR($B327="STD. DEVIATION",$C$1=1),$A327,$A327+1),COLUMN('1-DATA'!AL325)),IF($B327="STD. DEVIATION",2,$F$1))))</f>
        <v/>
      </c>
      <c r="AN327" s="1" t="str">
        <f>IF(OR($B327="",AN$7=""),"",IF($B327="MEANS",INDEX('1-DATA'!$1:$1048576,$A326-1,COLUMN('1-DATA'!AM325)),ROUND(INDEX('1-DATA'!$1:$1048576,IF(OR($B327="STD. DEVIATION",$C$1=1),$A327,$A327+1),COLUMN('1-DATA'!AM325)),IF($B327="STD. DEVIATION",2,$F$1))))</f>
        <v/>
      </c>
      <c r="AO327" s="1" t="str">
        <f>IF(OR($B327="",AO$7=""),"",IF($B327="MEANS",INDEX('1-DATA'!$1:$1048576,$A326-1,COLUMN('1-DATA'!AN325)),ROUND(INDEX('1-DATA'!$1:$1048576,IF(OR($B327="STD. DEVIATION",$C$1=1),$A327,$A327+1),COLUMN('1-DATA'!AN325)),IF($B327="STD. DEVIATION",2,$F$1))))</f>
        <v/>
      </c>
      <c r="AP327" s="1" t="str">
        <f>IF(OR($B327="",AP$7=""),"",IF($B327="MEANS",INDEX('1-DATA'!$1:$1048576,$A326-1,COLUMN('1-DATA'!AO325)),ROUND(INDEX('1-DATA'!$1:$1048576,IF(OR($B327="STD. DEVIATION",$C$1=1),$A327,$A327+1),COLUMN('1-DATA'!AO325)),IF($B327="STD. DEVIATION",2,$F$1))))</f>
        <v/>
      </c>
      <c r="AQ327" s="1" t="str">
        <f>IF(OR($B327="",AQ$7=""),"",IF($B327="MEANS",INDEX('1-DATA'!$1:$1048576,$A326-1,COLUMN('1-DATA'!AP325)),ROUND(INDEX('1-DATA'!$1:$1048576,IF(OR($B327="STD. DEVIATION",$C$1=1),$A327,$A327+1),COLUMN('1-DATA'!AP325)),IF($B327="STD. DEVIATION",2,$F$1))))</f>
        <v/>
      </c>
      <c r="AR327" s="1" t="str">
        <f>IF(OR($B327="",AR$7=""),"",IF($B327="MEANS",INDEX('1-DATA'!$1:$1048576,$A326-1,COLUMN('1-DATA'!AQ325)),ROUND(INDEX('1-DATA'!$1:$1048576,IF(OR($B327="STD. DEVIATION",$C$1=1),$A327,$A327+1),COLUMN('1-DATA'!AQ325)),IF($B327="STD. DEVIATION",2,$F$1))))</f>
        <v/>
      </c>
      <c r="AS327" s="1" t="str">
        <f>IF(OR($B327="",AS$7=""),"",IF($B327="MEANS",INDEX('1-DATA'!$1:$1048576,$A326-1,COLUMN('1-DATA'!AR325)),ROUND(INDEX('1-DATA'!$1:$1048576,IF(OR($B327="STD. DEVIATION",$C$1=1),$A327,$A327+1),COLUMN('1-DATA'!AR325)),IF($B327="STD. DEVIATION",2,$F$1))))</f>
        <v/>
      </c>
      <c r="AT327" s="1" t="str">
        <f>IF(OR($B327="",AT$7=""),"",IF($B327="MEANS",INDEX('1-DATA'!$1:$1048576,$A326-1,COLUMN('1-DATA'!AS325)),ROUND(INDEX('1-DATA'!$1:$1048576,IF(OR($B327="STD. DEVIATION",$C$1=1),$A327,$A327+1),COLUMN('1-DATA'!AS325)),IF($B327="STD. DEVIATION",2,$F$1))))</f>
        <v/>
      </c>
      <c r="AU327" s="1" t="str">
        <f>IF(OR($B327="",AU$7=""),"",IF($B327="MEANS",INDEX('1-DATA'!$1:$1048576,$A326-1,COLUMN('1-DATA'!AT325)),ROUND(INDEX('1-DATA'!$1:$1048576,IF(OR($B327="STD. DEVIATION",$C$1=1),$A327,$A327+1),COLUMN('1-DATA'!AT325)),IF($B327="STD. DEVIATION",2,$F$1))))</f>
        <v/>
      </c>
      <c r="AV327" s="1" t="str">
        <f>IF(OR($B327="",AV$7=""),"",IF($B327="MEANS",INDEX('1-DATA'!$1:$1048576,$A326-1,COLUMN('1-DATA'!AU325)),ROUND(INDEX('1-DATA'!$1:$1048576,IF(OR($B327="STD. DEVIATION",$C$1=1),$A327,$A327+1),COLUMN('1-DATA'!AU325)),IF($B327="STD. DEVIATION",2,$F$1))))</f>
        <v/>
      </c>
      <c r="AW327" s="1" t="str">
        <f>IF(OR($B327="",AW$7=""),"",IF($B327="MEANS",INDEX('1-DATA'!$1:$1048576,$A326-1,COLUMN('1-DATA'!AV325)),ROUND(INDEX('1-DATA'!$1:$1048576,IF(OR($B327="STD. DEVIATION",$C$1=1),$A327,$A327+1),COLUMN('1-DATA'!AV325)),IF($B327="STD. DEVIATION",2,$F$1))))</f>
        <v/>
      </c>
      <c r="AX327" s="1" t="str">
        <f>IF(OR($B327="",AX$7=""),"",IF($B327="MEANS",INDEX('1-DATA'!$1:$1048576,$A326-1,COLUMN('1-DATA'!AW325)),ROUND(INDEX('1-DATA'!$1:$1048576,IF(OR($B327="STD. DEVIATION",$C$1=1),$A327,$A327+1),COLUMN('1-DATA'!AW325)),IF($B327="STD. DEVIATION",2,$F$1))))</f>
        <v/>
      </c>
      <c r="AY327" s="1" t="str">
        <f>IF(OR($B327="",AY$7=""),"",IF($B327="MEANS",INDEX('1-DATA'!$1:$1048576,$A326-1,COLUMN('1-DATA'!AX325)),ROUND(INDEX('1-DATA'!$1:$1048576,IF(OR($B327="STD. DEVIATION",$C$1=1),$A327,$A327+1),COLUMN('1-DATA'!AX325)),IF($B327="STD. DEVIATION",2,$F$1))))</f>
        <v/>
      </c>
      <c r="AZ327" s="1" t="str">
        <f>IF(OR($B327="",AZ$7=""),"",IF($B327="MEANS",INDEX('1-DATA'!$1:$1048576,$A326-1,COLUMN('1-DATA'!AY325)),ROUND(INDEX('1-DATA'!$1:$1048576,IF(OR($B327="STD. DEVIATION",$C$1=1),$A327,$A327+1),COLUMN('1-DATA'!AY325)),IF($B327="STD. DEVIATION",2,$F$1))))</f>
        <v/>
      </c>
    </row>
    <row r="328" spans="1:52" x14ac:dyDescent="0.25">
      <c r="A328" s="11">
        <f t="shared" si="5"/>
        <v>970</v>
      </c>
      <c r="B328" s="1" t="str">
        <f>IF(B327="STD. DEVIATION",INDEX('1-DATA'!$1:$1048576,$A327-1,1),IF(INDEX('1-DATA'!$1:$1048576,$A328,1)&lt;&gt;"",INDEX('1-DATA'!$1:$1048576,$A328,1),""))</f>
        <v/>
      </c>
      <c r="C328" s="1" t="str">
        <f>IF(OR($B328="",C$7=""),"",IF($B328="MEANS",INDEX('1-DATA'!$1:$1048576,$A327-1,COLUMN('1-DATA'!B326)),ROUND(INDEX('1-DATA'!$1:$1048576,IF(OR($B328="STD. DEVIATION",$C$1=1),$A328,$A328+1),COLUMN('1-DATA'!B326)),IF($B328="STD. DEVIATION",2,$F$1))))</f>
        <v/>
      </c>
      <c r="D328" s="1" t="str">
        <f>IF(OR($B328="",D$7=""),"",IF($B328="MEANS",INDEX('1-DATA'!$1:$1048576,$A327-1,COLUMN('1-DATA'!C326)),ROUND(INDEX('1-DATA'!$1:$1048576,IF(OR($B328="STD. DEVIATION",$C$1=1),$A328,$A328+1),COLUMN('1-DATA'!C326)),IF($B328="STD. DEVIATION",2,$F$1))))</f>
        <v/>
      </c>
      <c r="E328" s="1" t="str">
        <f>IF(OR($B328="",E$7=""),"",IF($B328="MEANS",INDEX('1-DATA'!$1:$1048576,$A327-1,COLUMN('1-DATA'!D326)),ROUND(INDEX('1-DATA'!$1:$1048576,IF(OR($B328="STD. DEVIATION",$C$1=1),$A328,$A328+1),COLUMN('1-DATA'!D326)),IF($B328="STD. DEVIATION",2,$F$1))))</f>
        <v/>
      </c>
      <c r="F328" s="1" t="str">
        <f>IF(OR($B328="",F$7=""),"",IF($B328="MEANS",INDEX('1-DATA'!$1:$1048576,$A327-1,COLUMN('1-DATA'!E326)),ROUND(INDEX('1-DATA'!$1:$1048576,IF(OR($B328="STD. DEVIATION",$C$1=1),$A328,$A328+1),COLUMN('1-DATA'!E326)),IF($B328="STD. DEVIATION",2,$F$1))))</f>
        <v/>
      </c>
      <c r="G328" s="1" t="str">
        <f>IF(OR($B328="",G$7=""),"",IF($B328="MEANS",INDEX('1-DATA'!$1:$1048576,$A327-1,COLUMN('1-DATA'!F326)),ROUND(INDEX('1-DATA'!$1:$1048576,IF(OR($B328="STD. DEVIATION",$C$1=1),$A328,$A328+1),COLUMN('1-DATA'!F326)),IF($B328="STD. DEVIATION",2,$F$1))))</f>
        <v/>
      </c>
      <c r="H328" s="1" t="str">
        <f>IF(OR($B328="",H$7=""),"",IF($B328="MEANS",INDEX('1-DATA'!$1:$1048576,$A327-1,COLUMN('1-DATA'!G326)),ROUND(INDEX('1-DATA'!$1:$1048576,IF(OR($B328="STD. DEVIATION",$C$1=1),$A328,$A328+1),COLUMN('1-DATA'!G326)),IF($B328="STD. DEVIATION",2,$F$1))))</f>
        <v/>
      </c>
      <c r="I328" s="1" t="str">
        <f>IF(OR($B328="",I$7=""),"",IF($B328="MEANS",INDEX('1-DATA'!$1:$1048576,$A327-1,COLUMN('1-DATA'!H326)),ROUND(INDEX('1-DATA'!$1:$1048576,IF(OR($B328="STD. DEVIATION",$C$1=1),$A328,$A328+1),COLUMN('1-DATA'!H326)),IF($B328="STD. DEVIATION",2,$F$1))))</f>
        <v/>
      </c>
      <c r="J328" s="1" t="str">
        <f>IF(OR($B328="",J$7=""),"",IF($B328="MEANS",INDEX('1-DATA'!$1:$1048576,$A327-1,COLUMN('1-DATA'!I326)),ROUND(INDEX('1-DATA'!$1:$1048576,IF(OR($B328="STD. DEVIATION",$C$1=1),$A328,$A328+1),COLUMN('1-DATA'!I326)),IF($B328="STD. DEVIATION",2,$F$1))))</f>
        <v/>
      </c>
      <c r="K328" s="1" t="str">
        <f>IF(OR($B328="",K$7=""),"",IF($B328="MEANS",INDEX('1-DATA'!$1:$1048576,$A327-1,COLUMN('1-DATA'!J326)),ROUND(INDEX('1-DATA'!$1:$1048576,IF(OR($B328="STD. DEVIATION",$C$1=1),$A328,$A328+1),COLUMN('1-DATA'!J326)),IF($B328="STD. DEVIATION",2,$F$1))))</f>
        <v/>
      </c>
      <c r="L328" s="1" t="str">
        <f>IF(OR($B328="",L$7=""),"",IF($B328="MEANS",INDEX('1-DATA'!$1:$1048576,$A327-1,COLUMN('1-DATA'!K326)),ROUND(INDEX('1-DATA'!$1:$1048576,IF(OR($B328="STD. DEVIATION",$C$1=1),$A328,$A328+1),COLUMN('1-DATA'!K326)),IF($B328="STD. DEVIATION",2,$F$1))))</f>
        <v/>
      </c>
      <c r="M328" s="1" t="str">
        <f>IF(OR($B328="",M$7=""),"",IF($B328="MEANS",INDEX('1-DATA'!$1:$1048576,$A327-1,COLUMN('1-DATA'!L326)),ROUND(INDEX('1-DATA'!$1:$1048576,IF(OR($B328="STD. DEVIATION",$C$1=1),$A328,$A328+1),COLUMN('1-DATA'!L326)),IF($B328="STD. DEVIATION",2,$F$1))))</f>
        <v/>
      </c>
      <c r="N328" s="1" t="str">
        <f>IF(OR($B328="",N$7=""),"",IF($B328="MEANS",INDEX('1-DATA'!$1:$1048576,$A327-1,COLUMN('1-DATA'!M326)),ROUND(INDEX('1-DATA'!$1:$1048576,IF(OR($B328="STD. DEVIATION",$C$1=1),$A328,$A328+1),COLUMN('1-DATA'!M326)),IF($B328="STD. DEVIATION",2,$F$1))))</f>
        <v/>
      </c>
      <c r="O328" s="1" t="str">
        <f>IF(OR($B328="",O$7=""),"",IF($B328="MEANS",INDEX('1-DATA'!$1:$1048576,$A327-1,COLUMN('1-DATA'!N326)),ROUND(INDEX('1-DATA'!$1:$1048576,IF(OR($B328="STD. DEVIATION",$C$1=1),$A328,$A328+1),COLUMN('1-DATA'!N326)),IF($B328="STD. DEVIATION",2,$F$1))))</f>
        <v/>
      </c>
      <c r="P328" s="1" t="str">
        <f>IF(OR($B328="",P$7=""),"",IF($B328="MEANS",INDEX('1-DATA'!$1:$1048576,$A327-1,COLUMN('1-DATA'!O326)),ROUND(INDEX('1-DATA'!$1:$1048576,IF(OR($B328="STD. DEVIATION",$C$1=1),$A328,$A328+1),COLUMN('1-DATA'!O326)),IF($B328="STD. DEVIATION",2,$F$1))))</f>
        <v/>
      </c>
      <c r="Q328" s="1" t="str">
        <f>IF(OR($B328="",Q$7=""),"",IF($B328="MEANS",INDEX('1-DATA'!$1:$1048576,$A327-1,COLUMN('1-DATA'!P326)),ROUND(INDEX('1-DATA'!$1:$1048576,IF(OR($B328="STD. DEVIATION",$C$1=1),$A328,$A328+1),COLUMN('1-DATA'!P326)),IF($B328="STD. DEVIATION",2,$F$1))))</f>
        <v/>
      </c>
      <c r="R328" s="1" t="str">
        <f>IF(OR($B328="",R$7=""),"",IF($B328="MEANS",INDEX('1-DATA'!$1:$1048576,$A327-1,COLUMN('1-DATA'!Q326)),ROUND(INDEX('1-DATA'!$1:$1048576,IF(OR($B328="STD. DEVIATION",$C$1=1),$A328,$A328+1),COLUMN('1-DATA'!Q326)),IF($B328="STD. DEVIATION",2,$F$1))))</f>
        <v/>
      </c>
      <c r="S328" s="1" t="str">
        <f>IF(OR($B328="",S$7=""),"",IF($B328="MEANS",INDEX('1-DATA'!$1:$1048576,$A327-1,COLUMN('1-DATA'!R326)),ROUND(INDEX('1-DATA'!$1:$1048576,IF(OR($B328="STD. DEVIATION",$C$1=1),$A328,$A328+1),COLUMN('1-DATA'!R326)),IF($B328="STD. DEVIATION",2,$F$1))))</f>
        <v/>
      </c>
      <c r="T328" s="1" t="str">
        <f>IF(OR($B328="",T$7=""),"",IF($B328="MEANS",INDEX('1-DATA'!$1:$1048576,$A327-1,COLUMN('1-DATA'!S326)),ROUND(INDEX('1-DATA'!$1:$1048576,IF(OR($B328="STD. DEVIATION",$C$1=1),$A328,$A328+1),COLUMN('1-DATA'!S326)),IF($B328="STD. DEVIATION",2,$F$1))))</f>
        <v/>
      </c>
      <c r="U328" s="1" t="str">
        <f>IF(OR($B328="",U$7=""),"",IF($B328="MEANS",INDEX('1-DATA'!$1:$1048576,$A327-1,COLUMN('1-DATA'!T326)),ROUND(INDEX('1-DATA'!$1:$1048576,IF(OR($B328="STD. DEVIATION",$C$1=1),$A328,$A328+1),COLUMN('1-DATA'!T326)),IF($B328="STD. DEVIATION",2,$F$1))))</f>
        <v/>
      </c>
      <c r="V328" s="1" t="str">
        <f>IF(OR($B328="",V$7=""),"",IF($B328="MEANS",INDEX('1-DATA'!$1:$1048576,$A327-1,COLUMN('1-DATA'!U326)),ROUND(INDEX('1-DATA'!$1:$1048576,IF(OR($B328="STD. DEVIATION",$C$1=1),$A328,$A328+1),COLUMN('1-DATA'!U326)),IF($B328="STD. DEVIATION",2,$F$1))))</f>
        <v/>
      </c>
      <c r="W328" s="1" t="str">
        <f>IF(OR($B328="",W$7=""),"",IF($B328="MEANS",INDEX('1-DATA'!$1:$1048576,$A327-1,COLUMN('1-DATA'!V326)),ROUND(INDEX('1-DATA'!$1:$1048576,IF(OR($B328="STD. DEVIATION",$C$1=1),$A328,$A328+1),COLUMN('1-DATA'!V326)),IF($B328="STD. DEVIATION",2,$F$1))))</f>
        <v/>
      </c>
      <c r="X328" s="1" t="str">
        <f>IF(OR($B328="",X$7=""),"",IF($B328="MEANS",INDEX('1-DATA'!$1:$1048576,$A327-1,COLUMN('1-DATA'!W326)),ROUND(INDEX('1-DATA'!$1:$1048576,IF(OR($B328="STD. DEVIATION",$C$1=1),$A328,$A328+1),COLUMN('1-DATA'!W326)),IF($B328="STD. DEVIATION",2,$F$1))))</f>
        <v/>
      </c>
      <c r="Y328" s="1" t="str">
        <f>IF(OR($B328="",Y$7=""),"",IF($B328="MEANS",INDEX('1-DATA'!$1:$1048576,$A327-1,COLUMN('1-DATA'!X326)),ROUND(INDEX('1-DATA'!$1:$1048576,IF(OR($B328="STD. DEVIATION",$C$1=1),$A328,$A328+1),COLUMN('1-DATA'!X326)),IF($B328="STD. DEVIATION",2,$F$1))))</f>
        <v/>
      </c>
      <c r="Z328" s="1" t="str">
        <f>IF(OR($B328="",Z$7=""),"",IF($B328="MEANS",INDEX('1-DATA'!$1:$1048576,$A327-1,COLUMN('1-DATA'!Y326)),ROUND(INDEX('1-DATA'!$1:$1048576,IF(OR($B328="STD. DEVIATION",$C$1=1),$A328,$A328+1),COLUMN('1-DATA'!Y326)),IF($B328="STD. DEVIATION",2,$F$1))))</f>
        <v/>
      </c>
      <c r="AA328" s="1" t="str">
        <f>IF(OR($B328="",AA$7=""),"",IF($B328="MEANS",INDEX('1-DATA'!$1:$1048576,$A327-1,COLUMN('1-DATA'!Z326)),ROUND(INDEX('1-DATA'!$1:$1048576,IF(OR($B328="STD. DEVIATION",$C$1=1),$A328,$A328+1),COLUMN('1-DATA'!Z326)),IF($B328="STD. DEVIATION",2,$F$1))))</f>
        <v/>
      </c>
      <c r="AB328" s="1" t="str">
        <f>IF(OR($B328="",AB$7=""),"",IF($B328="MEANS",INDEX('1-DATA'!$1:$1048576,$A327-1,COLUMN('1-DATA'!AA326)),ROUND(INDEX('1-DATA'!$1:$1048576,IF(OR($B328="STD. DEVIATION",$C$1=1),$A328,$A328+1),COLUMN('1-DATA'!AA326)),IF($B328="STD. DEVIATION",2,$F$1))))</f>
        <v/>
      </c>
      <c r="AC328" s="1" t="str">
        <f>IF(OR($B328="",AC$7=""),"",IF($B328="MEANS",INDEX('1-DATA'!$1:$1048576,$A327-1,COLUMN('1-DATA'!AB326)),ROUND(INDEX('1-DATA'!$1:$1048576,IF(OR($B328="STD. DEVIATION",$C$1=1),$A328,$A328+1),COLUMN('1-DATA'!AB326)),IF($B328="STD. DEVIATION",2,$F$1))))</f>
        <v/>
      </c>
      <c r="AD328" s="1" t="str">
        <f>IF(OR($B328="",AD$7=""),"",IF($B328="MEANS",INDEX('1-DATA'!$1:$1048576,$A327-1,COLUMN('1-DATA'!AC326)),ROUND(INDEX('1-DATA'!$1:$1048576,IF(OR($B328="STD. DEVIATION",$C$1=1),$A328,$A328+1),COLUMN('1-DATA'!AC326)),IF($B328="STD. DEVIATION",2,$F$1))))</f>
        <v/>
      </c>
      <c r="AE328" s="1" t="str">
        <f>IF(OR($B328="",AE$7=""),"",IF($B328="MEANS",INDEX('1-DATA'!$1:$1048576,$A327-1,COLUMN('1-DATA'!AD326)),ROUND(INDEX('1-DATA'!$1:$1048576,IF(OR($B328="STD. DEVIATION",$C$1=1),$A328,$A328+1),COLUMN('1-DATA'!AD326)),IF($B328="STD. DEVIATION",2,$F$1))))</f>
        <v/>
      </c>
      <c r="AF328" s="1" t="str">
        <f>IF(OR($B328="",AF$7=""),"",IF($B328="MEANS",INDEX('1-DATA'!$1:$1048576,$A327-1,COLUMN('1-DATA'!AE326)),ROUND(INDEX('1-DATA'!$1:$1048576,IF(OR($B328="STD. DEVIATION",$C$1=1),$A328,$A328+1),COLUMN('1-DATA'!AE326)),IF($B328="STD. DEVIATION",2,$F$1))))</f>
        <v/>
      </c>
      <c r="AG328" s="1" t="str">
        <f>IF(OR($B328="",AG$7=""),"",IF($B328="MEANS",INDEX('1-DATA'!$1:$1048576,$A327-1,COLUMN('1-DATA'!AF326)),ROUND(INDEX('1-DATA'!$1:$1048576,IF(OR($B328="STD. DEVIATION",$C$1=1),$A328,$A328+1),COLUMN('1-DATA'!AF326)),IF($B328="STD. DEVIATION",2,$F$1))))</f>
        <v/>
      </c>
      <c r="AH328" s="1" t="str">
        <f>IF(OR($B328="",AH$7=""),"",IF($B328="MEANS",INDEX('1-DATA'!$1:$1048576,$A327-1,COLUMN('1-DATA'!AG326)),ROUND(INDEX('1-DATA'!$1:$1048576,IF(OR($B328="STD. DEVIATION",$C$1=1),$A328,$A328+1),COLUMN('1-DATA'!AG326)),IF($B328="STD. DEVIATION",2,$F$1))))</f>
        <v/>
      </c>
      <c r="AI328" s="1" t="str">
        <f>IF(OR($B328="",AI$7=""),"",IF($B328="MEANS",INDEX('1-DATA'!$1:$1048576,$A327-1,COLUMN('1-DATA'!AH326)),ROUND(INDEX('1-DATA'!$1:$1048576,IF(OR($B328="STD. DEVIATION",$C$1=1),$A328,$A328+1),COLUMN('1-DATA'!AH326)),IF($B328="STD. DEVIATION",2,$F$1))))</f>
        <v/>
      </c>
      <c r="AJ328" s="1" t="str">
        <f>IF(OR($B328="",AJ$7=""),"",IF($B328="MEANS",INDEX('1-DATA'!$1:$1048576,$A327-1,COLUMN('1-DATA'!AI326)),ROUND(INDEX('1-DATA'!$1:$1048576,IF(OR($B328="STD. DEVIATION",$C$1=1),$A328,$A328+1),COLUMN('1-DATA'!AI326)),IF($B328="STD. DEVIATION",2,$F$1))))</f>
        <v/>
      </c>
      <c r="AK328" s="1" t="str">
        <f>IF(OR($B328="",AK$7=""),"",IF($B328="MEANS",INDEX('1-DATA'!$1:$1048576,$A327-1,COLUMN('1-DATA'!AJ326)),ROUND(INDEX('1-DATA'!$1:$1048576,IF(OR($B328="STD. DEVIATION",$C$1=1),$A328,$A328+1),COLUMN('1-DATA'!AJ326)),IF($B328="STD. DEVIATION",2,$F$1))))</f>
        <v/>
      </c>
      <c r="AL328" s="1" t="str">
        <f>IF(OR($B328="",AL$7=""),"",IF($B328="MEANS",INDEX('1-DATA'!$1:$1048576,$A327-1,COLUMN('1-DATA'!AK326)),ROUND(INDEX('1-DATA'!$1:$1048576,IF(OR($B328="STD. DEVIATION",$C$1=1),$A328,$A328+1),COLUMN('1-DATA'!AK326)),IF($B328="STD. DEVIATION",2,$F$1))))</f>
        <v/>
      </c>
      <c r="AM328" s="1" t="str">
        <f>IF(OR($B328="",AM$7=""),"",IF($B328="MEANS",INDEX('1-DATA'!$1:$1048576,$A327-1,COLUMN('1-DATA'!AL326)),ROUND(INDEX('1-DATA'!$1:$1048576,IF(OR($B328="STD. DEVIATION",$C$1=1),$A328,$A328+1),COLUMN('1-DATA'!AL326)),IF($B328="STD. DEVIATION",2,$F$1))))</f>
        <v/>
      </c>
      <c r="AN328" s="1" t="str">
        <f>IF(OR($B328="",AN$7=""),"",IF($B328="MEANS",INDEX('1-DATA'!$1:$1048576,$A327-1,COLUMN('1-DATA'!AM326)),ROUND(INDEX('1-DATA'!$1:$1048576,IF(OR($B328="STD. DEVIATION",$C$1=1),$A328,$A328+1),COLUMN('1-DATA'!AM326)),IF($B328="STD. DEVIATION",2,$F$1))))</f>
        <v/>
      </c>
      <c r="AO328" s="1" t="str">
        <f>IF(OR($B328="",AO$7=""),"",IF($B328="MEANS",INDEX('1-DATA'!$1:$1048576,$A327-1,COLUMN('1-DATA'!AN326)),ROUND(INDEX('1-DATA'!$1:$1048576,IF(OR($B328="STD. DEVIATION",$C$1=1),$A328,$A328+1),COLUMN('1-DATA'!AN326)),IF($B328="STD. DEVIATION",2,$F$1))))</f>
        <v/>
      </c>
      <c r="AP328" s="1" t="str">
        <f>IF(OR($B328="",AP$7=""),"",IF($B328="MEANS",INDEX('1-DATA'!$1:$1048576,$A327-1,COLUMN('1-DATA'!AO326)),ROUND(INDEX('1-DATA'!$1:$1048576,IF(OR($B328="STD. DEVIATION",$C$1=1),$A328,$A328+1),COLUMN('1-DATA'!AO326)),IF($B328="STD. DEVIATION",2,$F$1))))</f>
        <v/>
      </c>
      <c r="AQ328" s="1" t="str">
        <f>IF(OR($B328="",AQ$7=""),"",IF($B328="MEANS",INDEX('1-DATA'!$1:$1048576,$A327-1,COLUMN('1-DATA'!AP326)),ROUND(INDEX('1-DATA'!$1:$1048576,IF(OR($B328="STD. DEVIATION",$C$1=1),$A328,$A328+1),COLUMN('1-DATA'!AP326)),IF($B328="STD. DEVIATION",2,$F$1))))</f>
        <v/>
      </c>
      <c r="AR328" s="1" t="str">
        <f>IF(OR($B328="",AR$7=""),"",IF($B328="MEANS",INDEX('1-DATA'!$1:$1048576,$A327-1,COLUMN('1-DATA'!AQ326)),ROUND(INDEX('1-DATA'!$1:$1048576,IF(OR($B328="STD. DEVIATION",$C$1=1),$A328,$A328+1),COLUMN('1-DATA'!AQ326)),IF($B328="STD. DEVIATION",2,$F$1))))</f>
        <v/>
      </c>
      <c r="AS328" s="1" t="str">
        <f>IF(OR($B328="",AS$7=""),"",IF($B328="MEANS",INDEX('1-DATA'!$1:$1048576,$A327-1,COLUMN('1-DATA'!AR326)),ROUND(INDEX('1-DATA'!$1:$1048576,IF(OR($B328="STD. DEVIATION",$C$1=1),$A328,$A328+1),COLUMN('1-DATA'!AR326)),IF($B328="STD. DEVIATION",2,$F$1))))</f>
        <v/>
      </c>
      <c r="AT328" s="1" t="str">
        <f>IF(OR($B328="",AT$7=""),"",IF($B328="MEANS",INDEX('1-DATA'!$1:$1048576,$A327-1,COLUMN('1-DATA'!AS326)),ROUND(INDEX('1-DATA'!$1:$1048576,IF(OR($B328="STD. DEVIATION",$C$1=1),$A328,$A328+1),COLUMN('1-DATA'!AS326)),IF($B328="STD. DEVIATION",2,$F$1))))</f>
        <v/>
      </c>
      <c r="AU328" s="1" t="str">
        <f>IF(OR($B328="",AU$7=""),"",IF($B328="MEANS",INDEX('1-DATA'!$1:$1048576,$A327-1,COLUMN('1-DATA'!AT326)),ROUND(INDEX('1-DATA'!$1:$1048576,IF(OR($B328="STD. DEVIATION",$C$1=1),$A328,$A328+1),COLUMN('1-DATA'!AT326)),IF($B328="STD. DEVIATION",2,$F$1))))</f>
        <v/>
      </c>
      <c r="AV328" s="1" t="str">
        <f>IF(OR($B328="",AV$7=""),"",IF($B328="MEANS",INDEX('1-DATA'!$1:$1048576,$A327-1,COLUMN('1-DATA'!AU326)),ROUND(INDEX('1-DATA'!$1:$1048576,IF(OR($B328="STD. DEVIATION",$C$1=1),$A328,$A328+1),COLUMN('1-DATA'!AU326)),IF($B328="STD. DEVIATION",2,$F$1))))</f>
        <v/>
      </c>
      <c r="AW328" s="1" t="str">
        <f>IF(OR($B328="",AW$7=""),"",IF($B328="MEANS",INDEX('1-DATA'!$1:$1048576,$A327-1,COLUMN('1-DATA'!AV326)),ROUND(INDEX('1-DATA'!$1:$1048576,IF(OR($B328="STD. DEVIATION",$C$1=1),$A328,$A328+1),COLUMN('1-DATA'!AV326)),IF($B328="STD. DEVIATION",2,$F$1))))</f>
        <v/>
      </c>
      <c r="AX328" s="1" t="str">
        <f>IF(OR($B328="",AX$7=""),"",IF($B328="MEANS",INDEX('1-DATA'!$1:$1048576,$A327-1,COLUMN('1-DATA'!AW326)),ROUND(INDEX('1-DATA'!$1:$1048576,IF(OR($B328="STD. DEVIATION",$C$1=1),$A328,$A328+1),COLUMN('1-DATA'!AW326)),IF($B328="STD. DEVIATION",2,$F$1))))</f>
        <v/>
      </c>
      <c r="AY328" s="1" t="str">
        <f>IF(OR($B328="",AY$7=""),"",IF($B328="MEANS",INDEX('1-DATA'!$1:$1048576,$A327-1,COLUMN('1-DATA'!AX326)),ROUND(INDEX('1-DATA'!$1:$1048576,IF(OR($B328="STD. DEVIATION",$C$1=1),$A328,$A328+1),COLUMN('1-DATA'!AX326)),IF($B328="STD. DEVIATION",2,$F$1))))</f>
        <v/>
      </c>
      <c r="AZ328" s="1" t="str">
        <f>IF(OR($B328="",AZ$7=""),"",IF($B328="MEANS",INDEX('1-DATA'!$1:$1048576,$A327-1,COLUMN('1-DATA'!AY326)),ROUND(INDEX('1-DATA'!$1:$1048576,IF(OR($B328="STD. DEVIATION",$C$1=1),$A328,$A328+1),COLUMN('1-DATA'!AY326)),IF($B328="STD. DEVIATION",2,$F$1))))</f>
        <v/>
      </c>
    </row>
    <row r="329" spans="1:52" x14ac:dyDescent="0.25">
      <c r="A329" s="11">
        <f t="shared" si="5"/>
        <v>973</v>
      </c>
      <c r="B329" s="1" t="str">
        <f>IF(B328="STD. DEVIATION",INDEX('1-DATA'!$1:$1048576,$A328-1,1),IF(INDEX('1-DATA'!$1:$1048576,$A329,1)&lt;&gt;"",INDEX('1-DATA'!$1:$1048576,$A329,1),""))</f>
        <v/>
      </c>
      <c r="C329" s="1" t="str">
        <f>IF(OR($B329="",C$7=""),"",IF($B329="MEANS",INDEX('1-DATA'!$1:$1048576,$A328-1,COLUMN('1-DATA'!B327)),ROUND(INDEX('1-DATA'!$1:$1048576,IF(OR($B329="STD. DEVIATION",$C$1=1),$A329,$A329+1),COLUMN('1-DATA'!B327)),IF($B329="STD. DEVIATION",2,$F$1))))</f>
        <v/>
      </c>
      <c r="D329" s="1" t="str">
        <f>IF(OR($B329="",D$7=""),"",IF($B329="MEANS",INDEX('1-DATA'!$1:$1048576,$A328-1,COLUMN('1-DATA'!C327)),ROUND(INDEX('1-DATA'!$1:$1048576,IF(OR($B329="STD. DEVIATION",$C$1=1),$A329,$A329+1),COLUMN('1-DATA'!C327)),IF($B329="STD. DEVIATION",2,$F$1))))</f>
        <v/>
      </c>
      <c r="E329" s="1" t="str">
        <f>IF(OR($B329="",E$7=""),"",IF($B329="MEANS",INDEX('1-DATA'!$1:$1048576,$A328-1,COLUMN('1-DATA'!D327)),ROUND(INDEX('1-DATA'!$1:$1048576,IF(OR($B329="STD. DEVIATION",$C$1=1),$A329,$A329+1),COLUMN('1-DATA'!D327)),IF($B329="STD. DEVIATION",2,$F$1))))</f>
        <v/>
      </c>
      <c r="F329" s="1" t="str">
        <f>IF(OR($B329="",F$7=""),"",IF($B329="MEANS",INDEX('1-DATA'!$1:$1048576,$A328-1,COLUMN('1-DATA'!E327)),ROUND(INDEX('1-DATA'!$1:$1048576,IF(OR($B329="STD. DEVIATION",$C$1=1),$A329,$A329+1),COLUMN('1-DATA'!E327)),IF($B329="STD. DEVIATION",2,$F$1))))</f>
        <v/>
      </c>
      <c r="G329" s="1" t="str">
        <f>IF(OR($B329="",G$7=""),"",IF($B329="MEANS",INDEX('1-DATA'!$1:$1048576,$A328-1,COLUMN('1-DATA'!F327)),ROUND(INDEX('1-DATA'!$1:$1048576,IF(OR($B329="STD. DEVIATION",$C$1=1),$A329,$A329+1),COLUMN('1-DATA'!F327)),IF($B329="STD. DEVIATION",2,$F$1))))</f>
        <v/>
      </c>
      <c r="H329" s="1" t="str">
        <f>IF(OR($B329="",H$7=""),"",IF($B329="MEANS",INDEX('1-DATA'!$1:$1048576,$A328-1,COLUMN('1-DATA'!G327)),ROUND(INDEX('1-DATA'!$1:$1048576,IF(OR($B329="STD. DEVIATION",$C$1=1),$A329,$A329+1),COLUMN('1-DATA'!G327)),IF($B329="STD. DEVIATION",2,$F$1))))</f>
        <v/>
      </c>
      <c r="I329" s="1" t="str">
        <f>IF(OR($B329="",I$7=""),"",IF($B329="MEANS",INDEX('1-DATA'!$1:$1048576,$A328-1,COLUMN('1-DATA'!H327)),ROUND(INDEX('1-DATA'!$1:$1048576,IF(OR($B329="STD. DEVIATION",$C$1=1),$A329,$A329+1),COLUMN('1-DATA'!H327)),IF($B329="STD. DEVIATION",2,$F$1))))</f>
        <v/>
      </c>
      <c r="J329" s="1" t="str">
        <f>IF(OR($B329="",J$7=""),"",IF($B329="MEANS",INDEX('1-DATA'!$1:$1048576,$A328-1,COLUMN('1-DATA'!I327)),ROUND(INDEX('1-DATA'!$1:$1048576,IF(OR($B329="STD. DEVIATION",$C$1=1),$A329,$A329+1),COLUMN('1-DATA'!I327)),IF($B329="STD. DEVIATION",2,$F$1))))</f>
        <v/>
      </c>
      <c r="K329" s="1" t="str">
        <f>IF(OR($B329="",K$7=""),"",IF($B329="MEANS",INDEX('1-DATA'!$1:$1048576,$A328-1,COLUMN('1-DATA'!J327)),ROUND(INDEX('1-DATA'!$1:$1048576,IF(OR($B329="STD. DEVIATION",$C$1=1),$A329,$A329+1),COLUMN('1-DATA'!J327)),IF($B329="STD. DEVIATION",2,$F$1))))</f>
        <v/>
      </c>
      <c r="L329" s="1" t="str">
        <f>IF(OR($B329="",L$7=""),"",IF($B329="MEANS",INDEX('1-DATA'!$1:$1048576,$A328-1,COLUMN('1-DATA'!K327)),ROUND(INDEX('1-DATA'!$1:$1048576,IF(OR($B329="STD. DEVIATION",$C$1=1),$A329,$A329+1),COLUMN('1-DATA'!K327)),IF($B329="STD. DEVIATION",2,$F$1))))</f>
        <v/>
      </c>
      <c r="M329" s="1" t="str">
        <f>IF(OR($B329="",M$7=""),"",IF($B329="MEANS",INDEX('1-DATA'!$1:$1048576,$A328-1,COLUMN('1-DATA'!L327)),ROUND(INDEX('1-DATA'!$1:$1048576,IF(OR($B329="STD. DEVIATION",$C$1=1),$A329,$A329+1),COLUMN('1-DATA'!L327)),IF($B329="STD. DEVIATION",2,$F$1))))</f>
        <v/>
      </c>
      <c r="N329" s="1" t="str">
        <f>IF(OR($B329="",N$7=""),"",IF($B329="MEANS",INDEX('1-DATA'!$1:$1048576,$A328-1,COLUMN('1-DATA'!M327)),ROUND(INDEX('1-DATA'!$1:$1048576,IF(OR($B329="STD. DEVIATION",$C$1=1),$A329,$A329+1),COLUMN('1-DATA'!M327)),IF($B329="STD. DEVIATION",2,$F$1))))</f>
        <v/>
      </c>
      <c r="O329" s="1" t="str">
        <f>IF(OR($B329="",O$7=""),"",IF($B329="MEANS",INDEX('1-DATA'!$1:$1048576,$A328-1,COLUMN('1-DATA'!N327)),ROUND(INDEX('1-DATA'!$1:$1048576,IF(OR($B329="STD. DEVIATION",$C$1=1),$A329,$A329+1),COLUMN('1-DATA'!N327)),IF($B329="STD. DEVIATION",2,$F$1))))</f>
        <v/>
      </c>
      <c r="P329" s="1" t="str">
        <f>IF(OR($B329="",P$7=""),"",IF($B329="MEANS",INDEX('1-DATA'!$1:$1048576,$A328-1,COLUMN('1-DATA'!O327)),ROUND(INDEX('1-DATA'!$1:$1048576,IF(OR($B329="STD. DEVIATION",$C$1=1),$A329,$A329+1),COLUMN('1-DATA'!O327)),IF($B329="STD. DEVIATION",2,$F$1))))</f>
        <v/>
      </c>
      <c r="Q329" s="1" t="str">
        <f>IF(OR($B329="",Q$7=""),"",IF($B329="MEANS",INDEX('1-DATA'!$1:$1048576,$A328-1,COLUMN('1-DATA'!P327)),ROUND(INDEX('1-DATA'!$1:$1048576,IF(OR($B329="STD. DEVIATION",$C$1=1),$A329,$A329+1),COLUMN('1-DATA'!P327)),IF($B329="STD. DEVIATION",2,$F$1))))</f>
        <v/>
      </c>
      <c r="R329" s="1" t="str">
        <f>IF(OR($B329="",R$7=""),"",IF($B329="MEANS",INDEX('1-DATA'!$1:$1048576,$A328-1,COLUMN('1-DATA'!Q327)),ROUND(INDEX('1-DATA'!$1:$1048576,IF(OR($B329="STD. DEVIATION",$C$1=1),$A329,$A329+1),COLUMN('1-DATA'!Q327)),IF($B329="STD. DEVIATION",2,$F$1))))</f>
        <v/>
      </c>
      <c r="S329" s="1" t="str">
        <f>IF(OR($B329="",S$7=""),"",IF($B329="MEANS",INDEX('1-DATA'!$1:$1048576,$A328-1,COLUMN('1-DATA'!R327)),ROUND(INDEX('1-DATA'!$1:$1048576,IF(OR($B329="STD. DEVIATION",$C$1=1),$A329,$A329+1),COLUMN('1-DATA'!R327)),IF($B329="STD. DEVIATION",2,$F$1))))</f>
        <v/>
      </c>
      <c r="T329" s="1" t="str">
        <f>IF(OR($B329="",T$7=""),"",IF($B329="MEANS",INDEX('1-DATA'!$1:$1048576,$A328-1,COLUMN('1-DATA'!S327)),ROUND(INDEX('1-DATA'!$1:$1048576,IF(OR($B329="STD. DEVIATION",$C$1=1),$A329,$A329+1),COLUMN('1-DATA'!S327)),IF($B329="STD. DEVIATION",2,$F$1))))</f>
        <v/>
      </c>
      <c r="U329" s="1" t="str">
        <f>IF(OR($B329="",U$7=""),"",IF($B329="MEANS",INDEX('1-DATA'!$1:$1048576,$A328-1,COLUMN('1-DATA'!T327)),ROUND(INDEX('1-DATA'!$1:$1048576,IF(OR($B329="STD. DEVIATION",$C$1=1),$A329,$A329+1),COLUMN('1-DATA'!T327)),IF($B329="STD. DEVIATION",2,$F$1))))</f>
        <v/>
      </c>
      <c r="V329" s="1" t="str">
        <f>IF(OR($B329="",V$7=""),"",IF($B329="MEANS",INDEX('1-DATA'!$1:$1048576,$A328-1,COLUMN('1-DATA'!U327)),ROUND(INDEX('1-DATA'!$1:$1048576,IF(OR($B329="STD. DEVIATION",$C$1=1),$A329,$A329+1),COLUMN('1-DATA'!U327)),IF($B329="STD. DEVIATION",2,$F$1))))</f>
        <v/>
      </c>
      <c r="W329" s="1" t="str">
        <f>IF(OR($B329="",W$7=""),"",IF($B329="MEANS",INDEX('1-DATA'!$1:$1048576,$A328-1,COLUMN('1-DATA'!V327)),ROUND(INDEX('1-DATA'!$1:$1048576,IF(OR($B329="STD. DEVIATION",$C$1=1),$A329,$A329+1),COLUMN('1-DATA'!V327)),IF($B329="STD. DEVIATION",2,$F$1))))</f>
        <v/>
      </c>
      <c r="X329" s="1" t="str">
        <f>IF(OR($B329="",X$7=""),"",IF($B329="MEANS",INDEX('1-DATA'!$1:$1048576,$A328-1,COLUMN('1-DATA'!W327)),ROUND(INDEX('1-DATA'!$1:$1048576,IF(OR($B329="STD. DEVIATION",$C$1=1),$A329,$A329+1),COLUMN('1-DATA'!W327)),IF($B329="STD. DEVIATION",2,$F$1))))</f>
        <v/>
      </c>
      <c r="Y329" s="1" t="str">
        <f>IF(OR($B329="",Y$7=""),"",IF($B329="MEANS",INDEX('1-DATA'!$1:$1048576,$A328-1,COLUMN('1-DATA'!X327)),ROUND(INDEX('1-DATA'!$1:$1048576,IF(OR($B329="STD. DEVIATION",$C$1=1),$A329,$A329+1),COLUMN('1-DATA'!X327)),IF($B329="STD. DEVIATION",2,$F$1))))</f>
        <v/>
      </c>
      <c r="Z329" s="1" t="str">
        <f>IF(OR($B329="",Z$7=""),"",IF($B329="MEANS",INDEX('1-DATA'!$1:$1048576,$A328-1,COLUMN('1-DATA'!Y327)),ROUND(INDEX('1-DATA'!$1:$1048576,IF(OR($B329="STD. DEVIATION",$C$1=1),$A329,$A329+1),COLUMN('1-DATA'!Y327)),IF($B329="STD. DEVIATION",2,$F$1))))</f>
        <v/>
      </c>
      <c r="AA329" s="1" t="str">
        <f>IF(OR($B329="",AA$7=""),"",IF($B329="MEANS",INDEX('1-DATA'!$1:$1048576,$A328-1,COLUMN('1-DATA'!Z327)),ROUND(INDEX('1-DATA'!$1:$1048576,IF(OR($B329="STD. DEVIATION",$C$1=1),$A329,$A329+1),COLUMN('1-DATA'!Z327)),IF($B329="STD. DEVIATION",2,$F$1))))</f>
        <v/>
      </c>
      <c r="AB329" s="1" t="str">
        <f>IF(OR($B329="",AB$7=""),"",IF($B329="MEANS",INDEX('1-DATA'!$1:$1048576,$A328-1,COLUMN('1-DATA'!AA327)),ROUND(INDEX('1-DATA'!$1:$1048576,IF(OR($B329="STD. DEVIATION",$C$1=1),$A329,$A329+1),COLUMN('1-DATA'!AA327)),IF($B329="STD. DEVIATION",2,$F$1))))</f>
        <v/>
      </c>
      <c r="AC329" s="1" t="str">
        <f>IF(OR($B329="",AC$7=""),"",IF($B329="MEANS",INDEX('1-DATA'!$1:$1048576,$A328-1,COLUMN('1-DATA'!AB327)),ROUND(INDEX('1-DATA'!$1:$1048576,IF(OR($B329="STD. DEVIATION",$C$1=1),$A329,$A329+1),COLUMN('1-DATA'!AB327)),IF($B329="STD. DEVIATION",2,$F$1))))</f>
        <v/>
      </c>
      <c r="AD329" s="1" t="str">
        <f>IF(OR($B329="",AD$7=""),"",IF($B329="MEANS",INDEX('1-DATA'!$1:$1048576,$A328-1,COLUMN('1-DATA'!AC327)),ROUND(INDEX('1-DATA'!$1:$1048576,IF(OR($B329="STD. DEVIATION",$C$1=1),$A329,$A329+1),COLUMN('1-DATA'!AC327)),IF($B329="STD. DEVIATION",2,$F$1))))</f>
        <v/>
      </c>
      <c r="AE329" s="1" t="str">
        <f>IF(OR($B329="",AE$7=""),"",IF($B329="MEANS",INDEX('1-DATA'!$1:$1048576,$A328-1,COLUMN('1-DATA'!AD327)),ROUND(INDEX('1-DATA'!$1:$1048576,IF(OR($B329="STD. DEVIATION",$C$1=1),$A329,$A329+1),COLUMN('1-DATA'!AD327)),IF($B329="STD. DEVIATION",2,$F$1))))</f>
        <v/>
      </c>
      <c r="AF329" s="1" t="str">
        <f>IF(OR($B329="",AF$7=""),"",IF($B329="MEANS",INDEX('1-DATA'!$1:$1048576,$A328-1,COLUMN('1-DATA'!AE327)),ROUND(INDEX('1-DATA'!$1:$1048576,IF(OR($B329="STD. DEVIATION",$C$1=1),$A329,$A329+1),COLUMN('1-DATA'!AE327)),IF($B329="STD. DEVIATION",2,$F$1))))</f>
        <v/>
      </c>
      <c r="AG329" s="1" t="str">
        <f>IF(OR($B329="",AG$7=""),"",IF($B329="MEANS",INDEX('1-DATA'!$1:$1048576,$A328-1,COLUMN('1-DATA'!AF327)),ROUND(INDEX('1-DATA'!$1:$1048576,IF(OR($B329="STD. DEVIATION",$C$1=1),$A329,$A329+1),COLUMN('1-DATA'!AF327)),IF($B329="STD. DEVIATION",2,$F$1))))</f>
        <v/>
      </c>
      <c r="AH329" s="1" t="str">
        <f>IF(OR($B329="",AH$7=""),"",IF($B329="MEANS",INDEX('1-DATA'!$1:$1048576,$A328-1,COLUMN('1-DATA'!AG327)),ROUND(INDEX('1-DATA'!$1:$1048576,IF(OR($B329="STD. DEVIATION",$C$1=1),$A329,$A329+1),COLUMN('1-DATA'!AG327)),IF($B329="STD. DEVIATION",2,$F$1))))</f>
        <v/>
      </c>
      <c r="AI329" s="1" t="str">
        <f>IF(OR($B329="",AI$7=""),"",IF($B329="MEANS",INDEX('1-DATA'!$1:$1048576,$A328-1,COLUMN('1-DATA'!AH327)),ROUND(INDEX('1-DATA'!$1:$1048576,IF(OR($B329="STD. DEVIATION",$C$1=1),$A329,$A329+1),COLUMN('1-DATA'!AH327)),IF($B329="STD. DEVIATION",2,$F$1))))</f>
        <v/>
      </c>
      <c r="AJ329" s="1" t="str">
        <f>IF(OR($B329="",AJ$7=""),"",IF($B329="MEANS",INDEX('1-DATA'!$1:$1048576,$A328-1,COLUMN('1-DATA'!AI327)),ROUND(INDEX('1-DATA'!$1:$1048576,IF(OR($B329="STD. DEVIATION",$C$1=1),$A329,$A329+1),COLUMN('1-DATA'!AI327)),IF($B329="STD. DEVIATION",2,$F$1))))</f>
        <v/>
      </c>
      <c r="AK329" s="1" t="str">
        <f>IF(OR($B329="",AK$7=""),"",IF($B329="MEANS",INDEX('1-DATA'!$1:$1048576,$A328-1,COLUMN('1-DATA'!AJ327)),ROUND(INDEX('1-DATA'!$1:$1048576,IF(OR($B329="STD. DEVIATION",$C$1=1),$A329,$A329+1),COLUMN('1-DATA'!AJ327)),IF($B329="STD. DEVIATION",2,$F$1))))</f>
        <v/>
      </c>
      <c r="AL329" s="1" t="str">
        <f>IF(OR($B329="",AL$7=""),"",IF($B329="MEANS",INDEX('1-DATA'!$1:$1048576,$A328-1,COLUMN('1-DATA'!AK327)),ROUND(INDEX('1-DATA'!$1:$1048576,IF(OR($B329="STD. DEVIATION",$C$1=1),$A329,$A329+1),COLUMN('1-DATA'!AK327)),IF($B329="STD. DEVIATION",2,$F$1))))</f>
        <v/>
      </c>
      <c r="AM329" s="1" t="str">
        <f>IF(OR($B329="",AM$7=""),"",IF($B329="MEANS",INDEX('1-DATA'!$1:$1048576,$A328-1,COLUMN('1-DATA'!AL327)),ROUND(INDEX('1-DATA'!$1:$1048576,IF(OR($B329="STD. DEVIATION",$C$1=1),$A329,$A329+1),COLUMN('1-DATA'!AL327)),IF($B329="STD. DEVIATION",2,$F$1))))</f>
        <v/>
      </c>
      <c r="AN329" s="1" t="str">
        <f>IF(OR($B329="",AN$7=""),"",IF($B329="MEANS",INDEX('1-DATA'!$1:$1048576,$A328-1,COLUMN('1-DATA'!AM327)),ROUND(INDEX('1-DATA'!$1:$1048576,IF(OR($B329="STD. DEVIATION",$C$1=1),$A329,$A329+1),COLUMN('1-DATA'!AM327)),IF($B329="STD. DEVIATION",2,$F$1))))</f>
        <v/>
      </c>
      <c r="AO329" s="1" t="str">
        <f>IF(OR($B329="",AO$7=""),"",IF($B329="MEANS",INDEX('1-DATA'!$1:$1048576,$A328-1,COLUMN('1-DATA'!AN327)),ROUND(INDEX('1-DATA'!$1:$1048576,IF(OR($B329="STD. DEVIATION",$C$1=1),$A329,$A329+1),COLUMN('1-DATA'!AN327)),IF($B329="STD. DEVIATION",2,$F$1))))</f>
        <v/>
      </c>
      <c r="AP329" s="1" t="str">
        <f>IF(OR($B329="",AP$7=""),"",IF($B329="MEANS",INDEX('1-DATA'!$1:$1048576,$A328-1,COLUMN('1-DATA'!AO327)),ROUND(INDEX('1-DATA'!$1:$1048576,IF(OR($B329="STD. DEVIATION",$C$1=1),$A329,$A329+1),COLUMN('1-DATA'!AO327)),IF($B329="STD. DEVIATION",2,$F$1))))</f>
        <v/>
      </c>
      <c r="AQ329" s="1" t="str">
        <f>IF(OR($B329="",AQ$7=""),"",IF($B329="MEANS",INDEX('1-DATA'!$1:$1048576,$A328-1,COLUMN('1-DATA'!AP327)),ROUND(INDEX('1-DATA'!$1:$1048576,IF(OR($B329="STD. DEVIATION",$C$1=1),$A329,$A329+1),COLUMN('1-DATA'!AP327)),IF($B329="STD. DEVIATION",2,$F$1))))</f>
        <v/>
      </c>
      <c r="AR329" s="1" t="str">
        <f>IF(OR($B329="",AR$7=""),"",IF($B329="MEANS",INDEX('1-DATA'!$1:$1048576,$A328-1,COLUMN('1-DATA'!AQ327)),ROUND(INDEX('1-DATA'!$1:$1048576,IF(OR($B329="STD. DEVIATION",$C$1=1),$A329,$A329+1),COLUMN('1-DATA'!AQ327)),IF($B329="STD. DEVIATION",2,$F$1))))</f>
        <v/>
      </c>
      <c r="AS329" s="1" t="str">
        <f>IF(OR($B329="",AS$7=""),"",IF($B329="MEANS",INDEX('1-DATA'!$1:$1048576,$A328-1,COLUMN('1-DATA'!AR327)),ROUND(INDEX('1-DATA'!$1:$1048576,IF(OR($B329="STD. DEVIATION",$C$1=1),$A329,$A329+1),COLUMN('1-DATA'!AR327)),IF($B329="STD. DEVIATION",2,$F$1))))</f>
        <v/>
      </c>
      <c r="AT329" s="1" t="str">
        <f>IF(OR($B329="",AT$7=""),"",IF($B329="MEANS",INDEX('1-DATA'!$1:$1048576,$A328-1,COLUMN('1-DATA'!AS327)),ROUND(INDEX('1-DATA'!$1:$1048576,IF(OR($B329="STD. DEVIATION",$C$1=1),$A329,$A329+1),COLUMN('1-DATA'!AS327)),IF($B329="STD. DEVIATION",2,$F$1))))</f>
        <v/>
      </c>
      <c r="AU329" s="1" t="str">
        <f>IF(OR($B329="",AU$7=""),"",IF($B329="MEANS",INDEX('1-DATA'!$1:$1048576,$A328-1,COLUMN('1-DATA'!AT327)),ROUND(INDEX('1-DATA'!$1:$1048576,IF(OR($B329="STD. DEVIATION",$C$1=1),$A329,$A329+1),COLUMN('1-DATA'!AT327)),IF($B329="STD. DEVIATION",2,$F$1))))</f>
        <v/>
      </c>
      <c r="AV329" s="1" t="str">
        <f>IF(OR($B329="",AV$7=""),"",IF($B329="MEANS",INDEX('1-DATA'!$1:$1048576,$A328-1,COLUMN('1-DATA'!AU327)),ROUND(INDEX('1-DATA'!$1:$1048576,IF(OR($B329="STD. DEVIATION",$C$1=1),$A329,$A329+1),COLUMN('1-DATA'!AU327)),IF($B329="STD. DEVIATION",2,$F$1))))</f>
        <v/>
      </c>
      <c r="AW329" s="1" t="str">
        <f>IF(OR($B329="",AW$7=""),"",IF($B329="MEANS",INDEX('1-DATA'!$1:$1048576,$A328-1,COLUMN('1-DATA'!AV327)),ROUND(INDEX('1-DATA'!$1:$1048576,IF(OR($B329="STD. DEVIATION",$C$1=1),$A329,$A329+1),COLUMN('1-DATA'!AV327)),IF($B329="STD. DEVIATION",2,$F$1))))</f>
        <v/>
      </c>
      <c r="AX329" s="1" t="str">
        <f>IF(OR($B329="",AX$7=""),"",IF($B329="MEANS",INDEX('1-DATA'!$1:$1048576,$A328-1,COLUMN('1-DATA'!AW327)),ROUND(INDEX('1-DATA'!$1:$1048576,IF(OR($B329="STD. DEVIATION",$C$1=1),$A329,$A329+1),COLUMN('1-DATA'!AW327)),IF($B329="STD. DEVIATION",2,$F$1))))</f>
        <v/>
      </c>
      <c r="AY329" s="1" t="str">
        <f>IF(OR($B329="",AY$7=""),"",IF($B329="MEANS",INDEX('1-DATA'!$1:$1048576,$A328-1,COLUMN('1-DATA'!AX327)),ROUND(INDEX('1-DATA'!$1:$1048576,IF(OR($B329="STD. DEVIATION",$C$1=1),$A329,$A329+1),COLUMN('1-DATA'!AX327)),IF($B329="STD. DEVIATION",2,$F$1))))</f>
        <v/>
      </c>
      <c r="AZ329" s="1" t="str">
        <f>IF(OR($B329="",AZ$7=""),"",IF($B329="MEANS",INDEX('1-DATA'!$1:$1048576,$A328-1,COLUMN('1-DATA'!AY327)),ROUND(INDEX('1-DATA'!$1:$1048576,IF(OR($B329="STD. DEVIATION",$C$1=1),$A329,$A329+1),COLUMN('1-DATA'!AY327)),IF($B329="STD. DEVIATION",2,$F$1))))</f>
        <v/>
      </c>
    </row>
    <row r="330" spans="1:52" x14ac:dyDescent="0.25">
      <c r="A330" s="11">
        <f t="shared" si="5"/>
        <v>976</v>
      </c>
      <c r="B330" s="1" t="str">
        <f>IF(B329="STD. DEVIATION",INDEX('1-DATA'!$1:$1048576,$A329-1,1),IF(INDEX('1-DATA'!$1:$1048576,$A330,1)&lt;&gt;"",INDEX('1-DATA'!$1:$1048576,$A330,1),""))</f>
        <v/>
      </c>
      <c r="C330" s="1" t="str">
        <f>IF(OR($B330="",C$7=""),"",IF($B330="MEANS",INDEX('1-DATA'!$1:$1048576,$A329-1,COLUMN('1-DATA'!B328)),ROUND(INDEX('1-DATA'!$1:$1048576,IF(OR($B330="STD. DEVIATION",$C$1=1),$A330,$A330+1),COLUMN('1-DATA'!B328)),IF($B330="STD. DEVIATION",2,$F$1))))</f>
        <v/>
      </c>
      <c r="D330" s="1" t="str">
        <f>IF(OR($B330="",D$7=""),"",IF($B330="MEANS",INDEX('1-DATA'!$1:$1048576,$A329-1,COLUMN('1-DATA'!C328)),ROUND(INDEX('1-DATA'!$1:$1048576,IF(OR($B330="STD. DEVIATION",$C$1=1),$A330,$A330+1),COLUMN('1-DATA'!C328)),IF($B330="STD. DEVIATION",2,$F$1))))</f>
        <v/>
      </c>
      <c r="E330" s="1" t="str">
        <f>IF(OR($B330="",E$7=""),"",IF($B330="MEANS",INDEX('1-DATA'!$1:$1048576,$A329-1,COLUMN('1-DATA'!D328)),ROUND(INDEX('1-DATA'!$1:$1048576,IF(OR($B330="STD. DEVIATION",$C$1=1),$A330,$A330+1),COLUMN('1-DATA'!D328)),IF($B330="STD. DEVIATION",2,$F$1))))</f>
        <v/>
      </c>
      <c r="F330" s="1" t="str">
        <f>IF(OR($B330="",F$7=""),"",IF($B330="MEANS",INDEX('1-DATA'!$1:$1048576,$A329-1,COLUMN('1-DATA'!E328)),ROUND(INDEX('1-DATA'!$1:$1048576,IF(OR($B330="STD. DEVIATION",$C$1=1),$A330,$A330+1),COLUMN('1-DATA'!E328)),IF($B330="STD. DEVIATION",2,$F$1))))</f>
        <v/>
      </c>
      <c r="G330" s="1" t="str">
        <f>IF(OR($B330="",G$7=""),"",IF($B330="MEANS",INDEX('1-DATA'!$1:$1048576,$A329-1,COLUMN('1-DATA'!F328)),ROUND(INDEX('1-DATA'!$1:$1048576,IF(OR($B330="STD. DEVIATION",$C$1=1),$A330,$A330+1),COLUMN('1-DATA'!F328)),IF($B330="STD. DEVIATION",2,$F$1))))</f>
        <v/>
      </c>
      <c r="H330" s="1" t="str">
        <f>IF(OR($B330="",H$7=""),"",IF($B330="MEANS",INDEX('1-DATA'!$1:$1048576,$A329-1,COLUMN('1-DATA'!G328)),ROUND(INDEX('1-DATA'!$1:$1048576,IF(OR($B330="STD. DEVIATION",$C$1=1),$A330,$A330+1),COLUMN('1-DATA'!G328)),IF($B330="STD. DEVIATION",2,$F$1))))</f>
        <v/>
      </c>
      <c r="I330" s="1" t="str">
        <f>IF(OR($B330="",I$7=""),"",IF($B330="MEANS",INDEX('1-DATA'!$1:$1048576,$A329-1,COLUMN('1-DATA'!H328)),ROUND(INDEX('1-DATA'!$1:$1048576,IF(OR($B330="STD. DEVIATION",$C$1=1),$A330,$A330+1),COLUMN('1-DATA'!H328)),IF($B330="STD. DEVIATION",2,$F$1))))</f>
        <v/>
      </c>
      <c r="J330" s="1" t="str">
        <f>IF(OR($B330="",J$7=""),"",IF($B330="MEANS",INDEX('1-DATA'!$1:$1048576,$A329-1,COLUMN('1-DATA'!I328)),ROUND(INDEX('1-DATA'!$1:$1048576,IF(OR($B330="STD. DEVIATION",$C$1=1),$A330,$A330+1),COLUMN('1-DATA'!I328)),IF($B330="STD. DEVIATION",2,$F$1))))</f>
        <v/>
      </c>
      <c r="K330" s="1" t="str">
        <f>IF(OR($B330="",K$7=""),"",IF($B330="MEANS",INDEX('1-DATA'!$1:$1048576,$A329-1,COLUMN('1-DATA'!J328)),ROUND(INDEX('1-DATA'!$1:$1048576,IF(OR($B330="STD. DEVIATION",$C$1=1),$A330,$A330+1),COLUMN('1-DATA'!J328)),IF($B330="STD. DEVIATION",2,$F$1))))</f>
        <v/>
      </c>
      <c r="L330" s="1" t="str">
        <f>IF(OR($B330="",L$7=""),"",IF($B330="MEANS",INDEX('1-DATA'!$1:$1048576,$A329-1,COLUMN('1-DATA'!K328)),ROUND(INDEX('1-DATA'!$1:$1048576,IF(OR($B330="STD. DEVIATION",$C$1=1),$A330,$A330+1),COLUMN('1-DATA'!K328)),IF($B330="STD. DEVIATION",2,$F$1))))</f>
        <v/>
      </c>
      <c r="M330" s="1" t="str">
        <f>IF(OR($B330="",M$7=""),"",IF($B330="MEANS",INDEX('1-DATA'!$1:$1048576,$A329-1,COLUMN('1-DATA'!L328)),ROUND(INDEX('1-DATA'!$1:$1048576,IF(OR($B330="STD. DEVIATION",$C$1=1),$A330,$A330+1),COLUMN('1-DATA'!L328)),IF($B330="STD. DEVIATION",2,$F$1))))</f>
        <v/>
      </c>
      <c r="N330" s="1" t="str">
        <f>IF(OR($B330="",N$7=""),"",IF($B330="MEANS",INDEX('1-DATA'!$1:$1048576,$A329-1,COLUMN('1-DATA'!M328)),ROUND(INDEX('1-DATA'!$1:$1048576,IF(OR($B330="STD. DEVIATION",$C$1=1),$A330,$A330+1),COLUMN('1-DATA'!M328)),IF($B330="STD. DEVIATION",2,$F$1))))</f>
        <v/>
      </c>
      <c r="O330" s="1" t="str">
        <f>IF(OR($B330="",O$7=""),"",IF($B330="MEANS",INDEX('1-DATA'!$1:$1048576,$A329-1,COLUMN('1-DATA'!N328)),ROUND(INDEX('1-DATA'!$1:$1048576,IF(OR($B330="STD. DEVIATION",$C$1=1),$A330,$A330+1),COLUMN('1-DATA'!N328)),IF($B330="STD. DEVIATION",2,$F$1))))</f>
        <v/>
      </c>
      <c r="P330" s="1" t="str">
        <f>IF(OR($B330="",P$7=""),"",IF($B330="MEANS",INDEX('1-DATA'!$1:$1048576,$A329-1,COLUMN('1-DATA'!O328)),ROUND(INDEX('1-DATA'!$1:$1048576,IF(OR($B330="STD. DEVIATION",$C$1=1),$A330,$A330+1),COLUMN('1-DATA'!O328)),IF($B330="STD. DEVIATION",2,$F$1))))</f>
        <v/>
      </c>
      <c r="Q330" s="1" t="str">
        <f>IF(OR($B330="",Q$7=""),"",IF($B330="MEANS",INDEX('1-DATA'!$1:$1048576,$A329-1,COLUMN('1-DATA'!P328)),ROUND(INDEX('1-DATA'!$1:$1048576,IF(OR($B330="STD. DEVIATION",$C$1=1),$A330,$A330+1),COLUMN('1-DATA'!P328)),IF($B330="STD. DEVIATION",2,$F$1))))</f>
        <v/>
      </c>
      <c r="R330" s="1" t="str">
        <f>IF(OR($B330="",R$7=""),"",IF($B330="MEANS",INDEX('1-DATA'!$1:$1048576,$A329-1,COLUMN('1-DATA'!Q328)),ROUND(INDEX('1-DATA'!$1:$1048576,IF(OR($B330="STD. DEVIATION",$C$1=1),$A330,$A330+1),COLUMN('1-DATA'!Q328)),IF($B330="STD. DEVIATION",2,$F$1))))</f>
        <v/>
      </c>
      <c r="S330" s="1" t="str">
        <f>IF(OR($B330="",S$7=""),"",IF($B330="MEANS",INDEX('1-DATA'!$1:$1048576,$A329-1,COLUMN('1-DATA'!R328)),ROUND(INDEX('1-DATA'!$1:$1048576,IF(OR($B330="STD. DEVIATION",$C$1=1),$A330,$A330+1),COLUMN('1-DATA'!R328)),IF($B330="STD. DEVIATION",2,$F$1))))</f>
        <v/>
      </c>
      <c r="T330" s="1" t="str">
        <f>IF(OR($B330="",T$7=""),"",IF($B330="MEANS",INDEX('1-DATA'!$1:$1048576,$A329-1,COLUMN('1-DATA'!S328)),ROUND(INDEX('1-DATA'!$1:$1048576,IF(OR($B330="STD. DEVIATION",$C$1=1),$A330,$A330+1),COLUMN('1-DATA'!S328)),IF($B330="STD. DEVIATION",2,$F$1))))</f>
        <v/>
      </c>
      <c r="U330" s="1" t="str">
        <f>IF(OR($B330="",U$7=""),"",IF($B330="MEANS",INDEX('1-DATA'!$1:$1048576,$A329-1,COLUMN('1-DATA'!T328)),ROUND(INDEX('1-DATA'!$1:$1048576,IF(OR($B330="STD. DEVIATION",$C$1=1),$A330,$A330+1),COLUMN('1-DATA'!T328)),IF($B330="STD. DEVIATION",2,$F$1))))</f>
        <v/>
      </c>
      <c r="V330" s="1" t="str">
        <f>IF(OR($B330="",V$7=""),"",IF($B330="MEANS",INDEX('1-DATA'!$1:$1048576,$A329-1,COLUMN('1-DATA'!U328)),ROUND(INDEX('1-DATA'!$1:$1048576,IF(OR($B330="STD. DEVIATION",$C$1=1),$A330,$A330+1),COLUMN('1-DATA'!U328)),IF($B330="STD. DEVIATION",2,$F$1))))</f>
        <v/>
      </c>
      <c r="W330" s="1" t="str">
        <f>IF(OR($B330="",W$7=""),"",IF($B330="MEANS",INDEX('1-DATA'!$1:$1048576,$A329-1,COLUMN('1-DATA'!V328)),ROUND(INDEX('1-DATA'!$1:$1048576,IF(OR($B330="STD. DEVIATION",$C$1=1),$A330,$A330+1),COLUMN('1-DATA'!V328)),IF($B330="STD. DEVIATION",2,$F$1))))</f>
        <v/>
      </c>
      <c r="X330" s="1" t="str">
        <f>IF(OR($B330="",X$7=""),"",IF($B330="MEANS",INDEX('1-DATA'!$1:$1048576,$A329-1,COLUMN('1-DATA'!W328)),ROUND(INDEX('1-DATA'!$1:$1048576,IF(OR($B330="STD. DEVIATION",$C$1=1),$A330,$A330+1),COLUMN('1-DATA'!W328)),IF($B330="STD. DEVIATION",2,$F$1))))</f>
        <v/>
      </c>
      <c r="Y330" s="1" t="str">
        <f>IF(OR($B330="",Y$7=""),"",IF($B330="MEANS",INDEX('1-DATA'!$1:$1048576,$A329-1,COLUMN('1-DATA'!X328)),ROUND(INDEX('1-DATA'!$1:$1048576,IF(OR($B330="STD. DEVIATION",$C$1=1),$A330,$A330+1),COLUMN('1-DATA'!X328)),IF($B330="STD. DEVIATION",2,$F$1))))</f>
        <v/>
      </c>
      <c r="Z330" s="1" t="str">
        <f>IF(OR($B330="",Z$7=""),"",IF($B330="MEANS",INDEX('1-DATA'!$1:$1048576,$A329-1,COLUMN('1-DATA'!Y328)),ROUND(INDEX('1-DATA'!$1:$1048576,IF(OR($B330="STD. DEVIATION",$C$1=1),$A330,$A330+1),COLUMN('1-DATA'!Y328)),IF($B330="STD. DEVIATION",2,$F$1))))</f>
        <v/>
      </c>
      <c r="AA330" s="1" t="str">
        <f>IF(OR($B330="",AA$7=""),"",IF($B330="MEANS",INDEX('1-DATA'!$1:$1048576,$A329-1,COLUMN('1-DATA'!Z328)),ROUND(INDEX('1-DATA'!$1:$1048576,IF(OR($B330="STD. DEVIATION",$C$1=1),$A330,$A330+1),COLUMN('1-DATA'!Z328)),IF($B330="STD. DEVIATION",2,$F$1))))</f>
        <v/>
      </c>
      <c r="AB330" s="1" t="str">
        <f>IF(OR($B330="",AB$7=""),"",IF($B330="MEANS",INDEX('1-DATA'!$1:$1048576,$A329-1,COLUMN('1-DATA'!AA328)),ROUND(INDEX('1-DATA'!$1:$1048576,IF(OR($B330="STD. DEVIATION",$C$1=1),$A330,$A330+1),COLUMN('1-DATA'!AA328)),IF($B330="STD. DEVIATION",2,$F$1))))</f>
        <v/>
      </c>
      <c r="AC330" s="1" t="str">
        <f>IF(OR($B330="",AC$7=""),"",IF($B330="MEANS",INDEX('1-DATA'!$1:$1048576,$A329-1,COLUMN('1-DATA'!AB328)),ROUND(INDEX('1-DATA'!$1:$1048576,IF(OR($B330="STD. DEVIATION",$C$1=1),$A330,$A330+1),COLUMN('1-DATA'!AB328)),IF($B330="STD. DEVIATION",2,$F$1))))</f>
        <v/>
      </c>
      <c r="AD330" s="1" t="str">
        <f>IF(OR($B330="",AD$7=""),"",IF($B330="MEANS",INDEX('1-DATA'!$1:$1048576,$A329-1,COLUMN('1-DATA'!AC328)),ROUND(INDEX('1-DATA'!$1:$1048576,IF(OR($B330="STD. DEVIATION",$C$1=1),$A330,$A330+1),COLUMN('1-DATA'!AC328)),IF($B330="STD. DEVIATION",2,$F$1))))</f>
        <v/>
      </c>
      <c r="AE330" s="1" t="str">
        <f>IF(OR($B330="",AE$7=""),"",IF($B330="MEANS",INDEX('1-DATA'!$1:$1048576,$A329-1,COLUMN('1-DATA'!AD328)),ROUND(INDEX('1-DATA'!$1:$1048576,IF(OR($B330="STD. DEVIATION",$C$1=1),$A330,$A330+1),COLUMN('1-DATA'!AD328)),IF($B330="STD. DEVIATION",2,$F$1))))</f>
        <v/>
      </c>
      <c r="AF330" s="1" t="str">
        <f>IF(OR($B330="",AF$7=""),"",IF($B330="MEANS",INDEX('1-DATA'!$1:$1048576,$A329-1,COLUMN('1-DATA'!AE328)),ROUND(INDEX('1-DATA'!$1:$1048576,IF(OR($B330="STD. DEVIATION",$C$1=1),$A330,$A330+1),COLUMN('1-DATA'!AE328)),IF($B330="STD. DEVIATION",2,$F$1))))</f>
        <v/>
      </c>
      <c r="AG330" s="1" t="str">
        <f>IF(OR($B330="",AG$7=""),"",IF($B330="MEANS",INDEX('1-DATA'!$1:$1048576,$A329-1,COLUMN('1-DATA'!AF328)),ROUND(INDEX('1-DATA'!$1:$1048576,IF(OR($B330="STD. DEVIATION",$C$1=1),$A330,$A330+1),COLUMN('1-DATA'!AF328)),IF($B330="STD. DEVIATION",2,$F$1))))</f>
        <v/>
      </c>
      <c r="AH330" s="1" t="str">
        <f>IF(OR($B330="",AH$7=""),"",IF($B330="MEANS",INDEX('1-DATA'!$1:$1048576,$A329-1,COLUMN('1-DATA'!AG328)),ROUND(INDEX('1-DATA'!$1:$1048576,IF(OR($B330="STD. DEVIATION",$C$1=1),$A330,$A330+1),COLUMN('1-DATA'!AG328)),IF($B330="STD. DEVIATION",2,$F$1))))</f>
        <v/>
      </c>
      <c r="AI330" s="1" t="str">
        <f>IF(OR($B330="",AI$7=""),"",IF($B330="MEANS",INDEX('1-DATA'!$1:$1048576,$A329-1,COLUMN('1-DATA'!AH328)),ROUND(INDEX('1-DATA'!$1:$1048576,IF(OR($B330="STD. DEVIATION",$C$1=1),$A330,$A330+1),COLUMN('1-DATA'!AH328)),IF($B330="STD. DEVIATION",2,$F$1))))</f>
        <v/>
      </c>
      <c r="AJ330" s="1" t="str">
        <f>IF(OR($B330="",AJ$7=""),"",IF($B330="MEANS",INDEX('1-DATA'!$1:$1048576,$A329-1,COLUMN('1-DATA'!AI328)),ROUND(INDEX('1-DATA'!$1:$1048576,IF(OR($B330="STD. DEVIATION",$C$1=1),$A330,$A330+1),COLUMN('1-DATA'!AI328)),IF($B330="STD. DEVIATION",2,$F$1))))</f>
        <v/>
      </c>
      <c r="AK330" s="1" t="str">
        <f>IF(OR($B330="",AK$7=""),"",IF($B330="MEANS",INDEX('1-DATA'!$1:$1048576,$A329-1,COLUMN('1-DATA'!AJ328)),ROUND(INDEX('1-DATA'!$1:$1048576,IF(OR($B330="STD. DEVIATION",$C$1=1),$A330,$A330+1),COLUMN('1-DATA'!AJ328)),IF($B330="STD. DEVIATION",2,$F$1))))</f>
        <v/>
      </c>
      <c r="AL330" s="1" t="str">
        <f>IF(OR($B330="",AL$7=""),"",IF($B330="MEANS",INDEX('1-DATA'!$1:$1048576,$A329-1,COLUMN('1-DATA'!AK328)),ROUND(INDEX('1-DATA'!$1:$1048576,IF(OR($B330="STD. DEVIATION",$C$1=1),$A330,$A330+1),COLUMN('1-DATA'!AK328)),IF($B330="STD. DEVIATION",2,$F$1))))</f>
        <v/>
      </c>
      <c r="AM330" s="1" t="str">
        <f>IF(OR($B330="",AM$7=""),"",IF($B330="MEANS",INDEX('1-DATA'!$1:$1048576,$A329-1,COLUMN('1-DATA'!AL328)),ROUND(INDEX('1-DATA'!$1:$1048576,IF(OR($B330="STD. DEVIATION",$C$1=1),$A330,$A330+1),COLUMN('1-DATA'!AL328)),IF($B330="STD. DEVIATION",2,$F$1))))</f>
        <v/>
      </c>
      <c r="AN330" s="1" t="str">
        <f>IF(OR($B330="",AN$7=""),"",IF($B330="MEANS",INDEX('1-DATA'!$1:$1048576,$A329-1,COLUMN('1-DATA'!AM328)),ROUND(INDEX('1-DATA'!$1:$1048576,IF(OR($B330="STD. DEVIATION",$C$1=1),$A330,$A330+1),COLUMN('1-DATA'!AM328)),IF($B330="STD. DEVIATION",2,$F$1))))</f>
        <v/>
      </c>
      <c r="AO330" s="1" t="str">
        <f>IF(OR($B330="",AO$7=""),"",IF($B330="MEANS",INDEX('1-DATA'!$1:$1048576,$A329-1,COLUMN('1-DATA'!AN328)),ROUND(INDEX('1-DATA'!$1:$1048576,IF(OR($B330="STD. DEVIATION",$C$1=1),$A330,$A330+1),COLUMN('1-DATA'!AN328)),IF($B330="STD. DEVIATION",2,$F$1))))</f>
        <v/>
      </c>
      <c r="AP330" s="1" t="str">
        <f>IF(OR($B330="",AP$7=""),"",IF($B330="MEANS",INDEX('1-DATA'!$1:$1048576,$A329-1,COLUMN('1-DATA'!AO328)),ROUND(INDEX('1-DATA'!$1:$1048576,IF(OR($B330="STD. DEVIATION",$C$1=1),$A330,$A330+1),COLUMN('1-DATA'!AO328)),IF($B330="STD. DEVIATION",2,$F$1))))</f>
        <v/>
      </c>
      <c r="AQ330" s="1" t="str">
        <f>IF(OR($B330="",AQ$7=""),"",IF($B330="MEANS",INDEX('1-DATA'!$1:$1048576,$A329-1,COLUMN('1-DATA'!AP328)),ROUND(INDEX('1-DATA'!$1:$1048576,IF(OR($B330="STD. DEVIATION",$C$1=1),$A330,$A330+1),COLUMN('1-DATA'!AP328)),IF($B330="STD. DEVIATION",2,$F$1))))</f>
        <v/>
      </c>
      <c r="AR330" s="1" t="str">
        <f>IF(OR($B330="",AR$7=""),"",IF($B330="MEANS",INDEX('1-DATA'!$1:$1048576,$A329-1,COLUMN('1-DATA'!AQ328)),ROUND(INDEX('1-DATA'!$1:$1048576,IF(OR($B330="STD. DEVIATION",$C$1=1),$A330,$A330+1),COLUMN('1-DATA'!AQ328)),IF($B330="STD. DEVIATION",2,$F$1))))</f>
        <v/>
      </c>
      <c r="AS330" s="1" t="str">
        <f>IF(OR($B330="",AS$7=""),"",IF($B330="MEANS",INDEX('1-DATA'!$1:$1048576,$A329-1,COLUMN('1-DATA'!AR328)),ROUND(INDEX('1-DATA'!$1:$1048576,IF(OR($B330="STD. DEVIATION",$C$1=1),$A330,$A330+1),COLUMN('1-DATA'!AR328)),IF($B330="STD. DEVIATION",2,$F$1))))</f>
        <v/>
      </c>
      <c r="AT330" s="1" t="str">
        <f>IF(OR($B330="",AT$7=""),"",IF($B330="MEANS",INDEX('1-DATA'!$1:$1048576,$A329-1,COLUMN('1-DATA'!AS328)),ROUND(INDEX('1-DATA'!$1:$1048576,IF(OR($B330="STD. DEVIATION",$C$1=1),$A330,$A330+1),COLUMN('1-DATA'!AS328)),IF($B330="STD. DEVIATION",2,$F$1))))</f>
        <v/>
      </c>
      <c r="AU330" s="1" t="str">
        <f>IF(OR($B330="",AU$7=""),"",IF($B330="MEANS",INDEX('1-DATA'!$1:$1048576,$A329-1,COLUMN('1-DATA'!AT328)),ROUND(INDEX('1-DATA'!$1:$1048576,IF(OR($B330="STD. DEVIATION",$C$1=1),$A330,$A330+1),COLUMN('1-DATA'!AT328)),IF($B330="STD. DEVIATION",2,$F$1))))</f>
        <v/>
      </c>
      <c r="AV330" s="1" t="str">
        <f>IF(OR($B330="",AV$7=""),"",IF($B330="MEANS",INDEX('1-DATA'!$1:$1048576,$A329-1,COLUMN('1-DATA'!AU328)),ROUND(INDEX('1-DATA'!$1:$1048576,IF(OR($B330="STD. DEVIATION",$C$1=1),$A330,$A330+1),COLUMN('1-DATA'!AU328)),IF($B330="STD. DEVIATION",2,$F$1))))</f>
        <v/>
      </c>
      <c r="AW330" s="1" t="str">
        <f>IF(OR($B330="",AW$7=""),"",IF($B330="MEANS",INDEX('1-DATA'!$1:$1048576,$A329-1,COLUMN('1-DATA'!AV328)),ROUND(INDEX('1-DATA'!$1:$1048576,IF(OR($B330="STD. DEVIATION",$C$1=1),$A330,$A330+1),COLUMN('1-DATA'!AV328)),IF($B330="STD. DEVIATION",2,$F$1))))</f>
        <v/>
      </c>
      <c r="AX330" s="1" t="str">
        <f>IF(OR($B330="",AX$7=""),"",IF($B330="MEANS",INDEX('1-DATA'!$1:$1048576,$A329-1,COLUMN('1-DATA'!AW328)),ROUND(INDEX('1-DATA'!$1:$1048576,IF(OR($B330="STD. DEVIATION",$C$1=1),$A330,$A330+1),COLUMN('1-DATA'!AW328)),IF($B330="STD. DEVIATION",2,$F$1))))</f>
        <v/>
      </c>
      <c r="AY330" s="1" t="str">
        <f>IF(OR($B330="",AY$7=""),"",IF($B330="MEANS",INDEX('1-DATA'!$1:$1048576,$A329-1,COLUMN('1-DATA'!AX328)),ROUND(INDEX('1-DATA'!$1:$1048576,IF(OR($B330="STD. DEVIATION",$C$1=1),$A330,$A330+1),COLUMN('1-DATA'!AX328)),IF($B330="STD. DEVIATION",2,$F$1))))</f>
        <v/>
      </c>
      <c r="AZ330" s="1" t="str">
        <f>IF(OR($B330="",AZ$7=""),"",IF($B330="MEANS",INDEX('1-DATA'!$1:$1048576,$A329-1,COLUMN('1-DATA'!AY328)),ROUND(INDEX('1-DATA'!$1:$1048576,IF(OR($B330="STD. DEVIATION",$C$1=1),$A330,$A330+1),COLUMN('1-DATA'!AY328)),IF($B330="STD. DEVIATION",2,$F$1))))</f>
        <v/>
      </c>
    </row>
    <row r="331" spans="1:52" x14ac:dyDescent="0.25">
      <c r="A331" s="11">
        <f t="shared" si="5"/>
        <v>979</v>
      </c>
      <c r="B331" s="1" t="str">
        <f>IF(B330="STD. DEVIATION",INDEX('1-DATA'!$1:$1048576,$A330-1,1),IF(INDEX('1-DATA'!$1:$1048576,$A331,1)&lt;&gt;"",INDEX('1-DATA'!$1:$1048576,$A331,1),""))</f>
        <v/>
      </c>
      <c r="C331" s="1" t="str">
        <f>IF(OR($B331="",C$7=""),"",IF($B331="MEANS",INDEX('1-DATA'!$1:$1048576,$A330-1,COLUMN('1-DATA'!B329)),ROUND(INDEX('1-DATA'!$1:$1048576,IF(OR($B331="STD. DEVIATION",$C$1=1),$A331,$A331+1),COLUMN('1-DATA'!B329)),IF($B331="STD. DEVIATION",2,$F$1))))</f>
        <v/>
      </c>
      <c r="D331" s="1" t="str">
        <f>IF(OR($B331="",D$7=""),"",IF($B331="MEANS",INDEX('1-DATA'!$1:$1048576,$A330-1,COLUMN('1-DATA'!C329)),ROUND(INDEX('1-DATA'!$1:$1048576,IF(OR($B331="STD. DEVIATION",$C$1=1),$A331,$A331+1),COLUMN('1-DATA'!C329)),IF($B331="STD. DEVIATION",2,$F$1))))</f>
        <v/>
      </c>
      <c r="E331" s="1" t="str">
        <f>IF(OR($B331="",E$7=""),"",IF($B331="MEANS",INDEX('1-DATA'!$1:$1048576,$A330-1,COLUMN('1-DATA'!D329)),ROUND(INDEX('1-DATA'!$1:$1048576,IF(OR($B331="STD. DEVIATION",$C$1=1),$A331,$A331+1),COLUMN('1-DATA'!D329)),IF($B331="STD. DEVIATION",2,$F$1))))</f>
        <v/>
      </c>
      <c r="F331" s="1" t="str">
        <f>IF(OR($B331="",F$7=""),"",IF($B331="MEANS",INDEX('1-DATA'!$1:$1048576,$A330-1,COLUMN('1-DATA'!E329)),ROUND(INDEX('1-DATA'!$1:$1048576,IF(OR($B331="STD. DEVIATION",$C$1=1),$A331,$A331+1),COLUMN('1-DATA'!E329)),IF($B331="STD. DEVIATION",2,$F$1))))</f>
        <v/>
      </c>
      <c r="G331" s="1" t="str">
        <f>IF(OR($B331="",G$7=""),"",IF($B331="MEANS",INDEX('1-DATA'!$1:$1048576,$A330-1,COLUMN('1-DATA'!F329)),ROUND(INDEX('1-DATA'!$1:$1048576,IF(OR($B331="STD. DEVIATION",$C$1=1),$A331,$A331+1),COLUMN('1-DATA'!F329)),IF($B331="STD. DEVIATION",2,$F$1))))</f>
        <v/>
      </c>
      <c r="H331" s="1" t="str">
        <f>IF(OR($B331="",H$7=""),"",IF($B331="MEANS",INDEX('1-DATA'!$1:$1048576,$A330-1,COLUMN('1-DATA'!G329)),ROUND(INDEX('1-DATA'!$1:$1048576,IF(OR($B331="STD. DEVIATION",$C$1=1),$A331,$A331+1),COLUMN('1-DATA'!G329)),IF($B331="STD. DEVIATION",2,$F$1))))</f>
        <v/>
      </c>
      <c r="I331" s="1" t="str">
        <f>IF(OR($B331="",I$7=""),"",IF($B331="MEANS",INDEX('1-DATA'!$1:$1048576,$A330-1,COLUMN('1-DATA'!H329)),ROUND(INDEX('1-DATA'!$1:$1048576,IF(OR($B331="STD. DEVIATION",$C$1=1),$A331,$A331+1),COLUMN('1-DATA'!H329)),IF($B331="STD. DEVIATION",2,$F$1))))</f>
        <v/>
      </c>
      <c r="J331" s="1" t="str">
        <f>IF(OR($B331="",J$7=""),"",IF($B331="MEANS",INDEX('1-DATA'!$1:$1048576,$A330-1,COLUMN('1-DATA'!I329)),ROUND(INDEX('1-DATA'!$1:$1048576,IF(OR($B331="STD. DEVIATION",$C$1=1),$A331,$A331+1),COLUMN('1-DATA'!I329)),IF($B331="STD. DEVIATION",2,$F$1))))</f>
        <v/>
      </c>
      <c r="K331" s="1" t="str">
        <f>IF(OR($B331="",K$7=""),"",IF($B331="MEANS",INDEX('1-DATA'!$1:$1048576,$A330-1,COLUMN('1-DATA'!J329)),ROUND(INDEX('1-DATA'!$1:$1048576,IF(OR($B331="STD. DEVIATION",$C$1=1),$A331,$A331+1),COLUMN('1-DATA'!J329)),IF($B331="STD. DEVIATION",2,$F$1))))</f>
        <v/>
      </c>
      <c r="L331" s="1" t="str">
        <f>IF(OR($B331="",L$7=""),"",IF($B331="MEANS",INDEX('1-DATA'!$1:$1048576,$A330-1,COLUMN('1-DATA'!K329)),ROUND(INDEX('1-DATA'!$1:$1048576,IF(OR($B331="STD. DEVIATION",$C$1=1),$A331,$A331+1),COLUMN('1-DATA'!K329)),IF($B331="STD. DEVIATION",2,$F$1))))</f>
        <v/>
      </c>
      <c r="M331" s="1" t="str">
        <f>IF(OR($B331="",M$7=""),"",IF($B331="MEANS",INDEX('1-DATA'!$1:$1048576,$A330-1,COLUMN('1-DATA'!L329)),ROUND(INDEX('1-DATA'!$1:$1048576,IF(OR($B331="STD. DEVIATION",$C$1=1),$A331,$A331+1),COLUMN('1-DATA'!L329)),IF($B331="STD. DEVIATION",2,$F$1))))</f>
        <v/>
      </c>
      <c r="N331" s="1" t="str">
        <f>IF(OR($B331="",N$7=""),"",IF($B331="MEANS",INDEX('1-DATA'!$1:$1048576,$A330-1,COLUMN('1-DATA'!M329)),ROUND(INDEX('1-DATA'!$1:$1048576,IF(OR($B331="STD. DEVIATION",$C$1=1),$A331,$A331+1),COLUMN('1-DATA'!M329)),IF($B331="STD. DEVIATION",2,$F$1))))</f>
        <v/>
      </c>
      <c r="O331" s="1" t="str">
        <f>IF(OR($B331="",O$7=""),"",IF($B331="MEANS",INDEX('1-DATA'!$1:$1048576,$A330-1,COLUMN('1-DATA'!N329)),ROUND(INDEX('1-DATA'!$1:$1048576,IF(OR($B331="STD. DEVIATION",$C$1=1),$A331,$A331+1),COLUMN('1-DATA'!N329)),IF($B331="STD. DEVIATION",2,$F$1))))</f>
        <v/>
      </c>
      <c r="P331" s="1" t="str">
        <f>IF(OR($B331="",P$7=""),"",IF($B331="MEANS",INDEX('1-DATA'!$1:$1048576,$A330-1,COLUMN('1-DATA'!O329)),ROUND(INDEX('1-DATA'!$1:$1048576,IF(OR($B331="STD. DEVIATION",$C$1=1),$A331,$A331+1),COLUMN('1-DATA'!O329)),IF($B331="STD. DEVIATION",2,$F$1))))</f>
        <v/>
      </c>
      <c r="Q331" s="1" t="str">
        <f>IF(OR($B331="",Q$7=""),"",IF($B331="MEANS",INDEX('1-DATA'!$1:$1048576,$A330-1,COLUMN('1-DATA'!P329)),ROUND(INDEX('1-DATA'!$1:$1048576,IF(OR($B331="STD. DEVIATION",$C$1=1),$A331,$A331+1),COLUMN('1-DATA'!P329)),IF($B331="STD. DEVIATION",2,$F$1))))</f>
        <v/>
      </c>
      <c r="R331" s="1" t="str">
        <f>IF(OR($B331="",R$7=""),"",IF($B331="MEANS",INDEX('1-DATA'!$1:$1048576,$A330-1,COLUMN('1-DATA'!Q329)),ROUND(INDEX('1-DATA'!$1:$1048576,IF(OR($B331="STD. DEVIATION",$C$1=1),$A331,$A331+1),COLUMN('1-DATA'!Q329)),IF($B331="STD. DEVIATION",2,$F$1))))</f>
        <v/>
      </c>
      <c r="S331" s="1" t="str">
        <f>IF(OR($B331="",S$7=""),"",IF($B331="MEANS",INDEX('1-DATA'!$1:$1048576,$A330-1,COLUMN('1-DATA'!R329)),ROUND(INDEX('1-DATA'!$1:$1048576,IF(OR($B331="STD. DEVIATION",$C$1=1),$A331,$A331+1),COLUMN('1-DATA'!R329)),IF($B331="STD. DEVIATION",2,$F$1))))</f>
        <v/>
      </c>
      <c r="T331" s="1" t="str">
        <f>IF(OR($B331="",T$7=""),"",IF($B331="MEANS",INDEX('1-DATA'!$1:$1048576,$A330-1,COLUMN('1-DATA'!S329)),ROUND(INDEX('1-DATA'!$1:$1048576,IF(OR($B331="STD. DEVIATION",$C$1=1),$A331,$A331+1),COLUMN('1-DATA'!S329)),IF($B331="STD. DEVIATION",2,$F$1))))</f>
        <v/>
      </c>
      <c r="U331" s="1" t="str">
        <f>IF(OR($B331="",U$7=""),"",IF($B331="MEANS",INDEX('1-DATA'!$1:$1048576,$A330-1,COLUMN('1-DATA'!T329)),ROUND(INDEX('1-DATA'!$1:$1048576,IF(OR($B331="STD. DEVIATION",$C$1=1),$A331,$A331+1),COLUMN('1-DATA'!T329)),IF($B331="STD. DEVIATION",2,$F$1))))</f>
        <v/>
      </c>
      <c r="V331" s="1" t="str">
        <f>IF(OR($B331="",V$7=""),"",IF($B331="MEANS",INDEX('1-DATA'!$1:$1048576,$A330-1,COLUMN('1-DATA'!U329)),ROUND(INDEX('1-DATA'!$1:$1048576,IF(OR($B331="STD. DEVIATION",$C$1=1),$A331,$A331+1),COLUMN('1-DATA'!U329)),IF($B331="STD. DEVIATION",2,$F$1))))</f>
        <v/>
      </c>
      <c r="W331" s="1" t="str">
        <f>IF(OR($B331="",W$7=""),"",IF($B331="MEANS",INDEX('1-DATA'!$1:$1048576,$A330-1,COLUMN('1-DATA'!V329)),ROUND(INDEX('1-DATA'!$1:$1048576,IF(OR($B331="STD. DEVIATION",$C$1=1),$A331,$A331+1),COLUMN('1-DATA'!V329)),IF($B331="STD. DEVIATION",2,$F$1))))</f>
        <v/>
      </c>
      <c r="X331" s="1" t="str">
        <f>IF(OR($B331="",X$7=""),"",IF($B331="MEANS",INDEX('1-DATA'!$1:$1048576,$A330-1,COLUMN('1-DATA'!W329)),ROUND(INDEX('1-DATA'!$1:$1048576,IF(OR($B331="STD. DEVIATION",$C$1=1),$A331,$A331+1),COLUMN('1-DATA'!W329)),IF($B331="STD. DEVIATION",2,$F$1))))</f>
        <v/>
      </c>
      <c r="Y331" s="1" t="str">
        <f>IF(OR($B331="",Y$7=""),"",IF($B331="MEANS",INDEX('1-DATA'!$1:$1048576,$A330-1,COLUMN('1-DATA'!X329)),ROUND(INDEX('1-DATA'!$1:$1048576,IF(OR($B331="STD. DEVIATION",$C$1=1),$A331,$A331+1),COLUMN('1-DATA'!X329)),IF($B331="STD. DEVIATION",2,$F$1))))</f>
        <v/>
      </c>
      <c r="Z331" s="1" t="str">
        <f>IF(OR($B331="",Z$7=""),"",IF($B331="MEANS",INDEX('1-DATA'!$1:$1048576,$A330-1,COLUMN('1-DATA'!Y329)),ROUND(INDEX('1-DATA'!$1:$1048576,IF(OR($B331="STD. DEVIATION",$C$1=1),$A331,$A331+1),COLUMN('1-DATA'!Y329)),IF($B331="STD. DEVIATION",2,$F$1))))</f>
        <v/>
      </c>
      <c r="AA331" s="1" t="str">
        <f>IF(OR($B331="",AA$7=""),"",IF($B331="MEANS",INDEX('1-DATA'!$1:$1048576,$A330-1,COLUMN('1-DATA'!Z329)),ROUND(INDEX('1-DATA'!$1:$1048576,IF(OR($B331="STD. DEVIATION",$C$1=1),$A331,$A331+1),COLUMN('1-DATA'!Z329)),IF($B331="STD. DEVIATION",2,$F$1))))</f>
        <v/>
      </c>
      <c r="AB331" s="1" t="str">
        <f>IF(OR($B331="",AB$7=""),"",IF($B331="MEANS",INDEX('1-DATA'!$1:$1048576,$A330-1,COLUMN('1-DATA'!AA329)),ROUND(INDEX('1-DATA'!$1:$1048576,IF(OR($B331="STD. DEVIATION",$C$1=1),$A331,$A331+1),COLUMN('1-DATA'!AA329)),IF($B331="STD. DEVIATION",2,$F$1))))</f>
        <v/>
      </c>
      <c r="AC331" s="1" t="str">
        <f>IF(OR($B331="",AC$7=""),"",IF($B331="MEANS",INDEX('1-DATA'!$1:$1048576,$A330-1,COLUMN('1-DATA'!AB329)),ROUND(INDEX('1-DATA'!$1:$1048576,IF(OR($B331="STD. DEVIATION",$C$1=1),$A331,$A331+1),COLUMN('1-DATA'!AB329)),IF($B331="STD. DEVIATION",2,$F$1))))</f>
        <v/>
      </c>
      <c r="AD331" s="1" t="str">
        <f>IF(OR($B331="",AD$7=""),"",IF($B331="MEANS",INDEX('1-DATA'!$1:$1048576,$A330-1,COLUMN('1-DATA'!AC329)),ROUND(INDEX('1-DATA'!$1:$1048576,IF(OR($B331="STD. DEVIATION",$C$1=1),$A331,$A331+1),COLUMN('1-DATA'!AC329)),IF($B331="STD. DEVIATION",2,$F$1))))</f>
        <v/>
      </c>
      <c r="AE331" s="1" t="str">
        <f>IF(OR($B331="",AE$7=""),"",IF($B331="MEANS",INDEX('1-DATA'!$1:$1048576,$A330-1,COLUMN('1-DATA'!AD329)),ROUND(INDEX('1-DATA'!$1:$1048576,IF(OR($B331="STD. DEVIATION",$C$1=1),$A331,$A331+1),COLUMN('1-DATA'!AD329)),IF($B331="STD. DEVIATION",2,$F$1))))</f>
        <v/>
      </c>
      <c r="AF331" s="1" t="str">
        <f>IF(OR($B331="",AF$7=""),"",IF($B331="MEANS",INDEX('1-DATA'!$1:$1048576,$A330-1,COLUMN('1-DATA'!AE329)),ROUND(INDEX('1-DATA'!$1:$1048576,IF(OR($B331="STD. DEVIATION",$C$1=1),$A331,$A331+1),COLUMN('1-DATA'!AE329)),IF($B331="STD. DEVIATION",2,$F$1))))</f>
        <v/>
      </c>
      <c r="AG331" s="1" t="str">
        <f>IF(OR($B331="",AG$7=""),"",IF($B331="MEANS",INDEX('1-DATA'!$1:$1048576,$A330-1,COLUMN('1-DATA'!AF329)),ROUND(INDEX('1-DATA'!$1:$1048576,IF(OR($B331="STD. DEVIATION",$C$1=1),$A331,$A331+1),COLUMN('1-DATA'!AF329)),IF($B331="STD. DEVIATION",2,$F$1))))</f>
        <v/>
      </c>
      <c r="AH331" s="1" t="str">
        <f>IF(OR($B331="",AH$7=""),"",IF($B331="MEANS",INDEX('1-DATA'!$1:$1048576,$A330-1,COLUMN('1-DATA'!AG329)),ROUND(INDEX('1-DATA'!$1:$1048576,IF(OR($B331="STD. DEVIATION",$C$1=1),$A331,$A331+1),COLUMN('1-DATA'!AG329)),IF($B331="STD. DEVIATION",2,$F$1))))</f>
        <v/>
      </c>
      <c r="AI331" s="1" t="str">
        <f>IF(OR($B331="",AI$7=""),"",IF($B331="MEANS",INDEX('1-DATA'!$1:$1048576,$A330-1,COLUMN('1-DATA'!AH329)),ROUND(INDEX('1-DATA'!$1:$1048576,IF(OR($B331="STD. DEVIATION",$C$1=1),$A331,$A331+1),COLUMN('1-DATA'!AH329)),IF($B331="STD. DEVIATION",2,$F$1))))</f>
        <v/>
      </c>
      <c r="AJ331" s="1" t="str">
        <f>IF(OR($B331="",AJ$7=""),"",IF($B331="MEANS",INDEX('1-DATA'!$1:$1048576,$A330-1,COLUMN('1-DATA'!AI329)),ROUND(INDEX('1-DATA'!$1:$1048576,IF(OR($B331="STD. DEVIATION",$C$1=1),$A331,$A331+1),COLUMN('1-DATA'!AI329)),IF($B331="STD. DEVIATION",2,$F$1))))</f>
        <v/>
      </c>
      <c r="AK331" s="1" t="str">
        <f>IF(OR($B331="",AK$7=""),"",IF($B331="MEANS",INDEX('1-DATA'!$1:$1048576,$A330-1,COLUMN('1-DATA'!AJ329)),ROUND(INDEX('1-DATA'!$1:$1048576,IF(OR($B331="STD. DEVIATION",$C$1=1),$A331,$A331+1),COLUMN('1-DATA'!AJ329)),IF($B331="STD. DEVIATION",2,$F$1))))</f>
        <v/>
      </c>
      <c r="AL331" s="1" t="str">
        <f>IF(OR($B331="",AL$7=""),"",IF($B331="MEANS",INDEX('1-DATA'!$1:$1048576,$A330-1,COLUMN('1-DATA'!AK329)),ROUND(INDEX('1-DATA'!$1:$1048576,IF(OR($B331="STD. DEVIATION",$C$1=1),$A331,$A331+1),COLUMN('1-DATA'!AK329)),IF($B331="STD. DEVIATION",2,$F$1))))</f>
        <v/>
      </c>
      <c r="AM331" s="1" t="str">
        <f>IF(OR($B331="",AM$7=""),"",IF($B331="MEANS",INDEX('1-DATA'!$1:$1048576,$A330-1,COLUMN('1-DATA'!AL329)),ROUND(INDEX('1-DATA'!$1:$1048576,IF(OR($B331="STD. DEVIATION",$C$1=1),$A331,$A331+1),COLUMN('1-DATA'!AL329)),IF($B331="STD. DEVIATION",2,$F$1))))</f>
        <v/>
      </c>
      <c r="AN331" s="1" t="str">
        <f>IF(OR($B331="",AN$7=""),"",IF($B331="MEANS",INDEX('1-DATA'!$1:$1048576,$A330-1,COLUMN('1-DATA'!AM329)),ROUND(INDEX('1-DATA'!$1:$1048576,IF(OR($B331="STD. DEVIATION",$C$1=1),$A331,$A331+1),COLUMN('1-DATA'!AM329)),IF($B331="STD. DEVIATION",2,$F$1))))</f>
        <v/>
      </c>
      <c r="AO331" s="1" t="str">
        <f>IF(OR($B331="",AO$7=""),"",IF($B331="MEANS",INDEX('1-DATA'!$1:$1048576,$A330-1,COLUMN('1-DATA'!AN329)),ROUND(INDEX('1-DATA'!$1:$1048576,IF(OR($B331="STD. DEVIATION",$C$1=1),$A331,$A331+1),COLUMN('1-DATA'!AN329)),IF($B331="STD. DEVIATION",2,$F$1))))</f>
        <v/>
      </c>
      <c r="AP331" s="1" t="str">
        <f>IF(OR($B331="",AP$7=""),"",IF($B331="MEANS",INDEX('1-DATA'!$1:$1048576,$A330-1,COLUMN('1-DATA'!AO329)),ROUND(INDEX('1-DATA'!$1:$1048576,IF(OR($B331="STD. DEVIATION",$C$1=1),$A331,$A331+1),COLUMN('1-DATA'!AO329)),IF($B331="STD. DEVIATION",2,$F$1))))</f>
        <v/>
      </c>
      <c r="AQ331" s="1" t="str">
        <f>IF(OR($B331="",AQ$7=""),"",IF($B331="MEANS",INDEX('1-DATA'!$1:$1048576,$A330-1,COLUMN('1-DATA'!AP329)),ROUND(INDEX('1-DATA'!$1:$1048576,IF(OR($B331="STD. DEVIATION",$C$1=1),$A331,$A331+1),COLUMN('1-DATA'!AP329)),IF($B331="STD. DEVIATION",2,$F$1))))</f>
        <v/>
      </c>
      <c r="AR331" s="1" t="str">
        <f>IF(OR($B331="",AR$7=""),"",IF($B331="MEANS",INDEX('1-DATA'!$1:$1048576,$A330-1,COLUMN('1-DATA'!AQ329)),ROUND(INDEX('1-DATA'!$1:$1048576,IF(OR($B331="STD. DEVIATION",$C$1=1),$A331,$A331+1),COLUMN('1-DATA'!AQ329)),IF($B331="STD. DEVIATION",2,$F$1))))</f>
        <v/>
      </c>
      <c r="AS331" s="1" t="str">
        <f>IF(OR($B331="",AS$7=""),"",IF($B331="MEANS",INDEX('1-DATA'!$1:$1048576,$A330-1,COLUMN('1-DATA'!AR329)),ROUND(INDEX('1-DATA'!$1:$1048576,IF(OR($B331="STD. DEVIATION",$C$1=1),$A331,$A331+1),COLUMN('1-DATA'!AR329)),IF($B331="STD. DEVIATION",2,$F$1))))</f>
        <v/>
      </c>
      <c r="AT331" s="1" t="str">
        <f>IF(OR($B331="",AT$7=""),"",IF($B331="MEANS",INDEX('1-DATA'!$1:$1048576,$A330-1,COLUMN('1-DATA'!AS329)),ROUND(INDEX('1-DATA'!$1:$1048576,IF(OR($B331="STD. DEVIATION",$C$1=1),$A331,$A331+1),COLUMN('1-DATA'!AS329)),IF($B331="STD. DEVIATION",2,$F$1))))</f>
        <v/>
      </c>
      <c r="AU331" s="1" t="str">
        <f>IF(OR($B331="",AU$7=""),"",IF($B331="MEANS",INDEX('1-DATA'!$1:$1048576,$A330-1,COLUMN('1-DATA'!AT329)),ROUND(INDEX('1-DATA'!$1:$1048576,IF(OR($B331="STD. DEVIATION",$C$1=1),$A331,$A331+1),COLUMN('1-DATA'!AT329)),IF($B331="STD. DEVIATION",2,$F$1))))</f>
        <v/>
      </c>
      <c r="AV331" s="1" t="str">
        <f>IF(OR($B331="",AV$7=""),"",IF($B331="MEANS",INDEX('1-DATA'!$1:$1048576,$A330-1,COLUMN('1-DATA'!AU329)),ROUND(INDEX('1-DATA'!$1:$1048576,IF(OR($B331="STD. DEVIATION",$C$1=1),$A331,$A331+1),COLUMN('1-DATA'!AU329)),IF($B331="STD. DEVIATION",2,$F$1))))</f>
        <v/>
      </c>
      <c r="AW331" s="1" t="str">
        <f>IF(OR($B331="",AW$7=""),"",IF($B331="MEANS",INDEX('1-DATA'!$1:$1048576,$A330-1,COLUMN('1-DATA'!AV329)),ROUND(INDEX('1-DATA'!$1:$1048576,IF(OR($B331="STD. DEVIATION",$C$1=1),$A331,$A331+1),COLUMN('1-DATA'!AV329)),IF($B331="STD. DEVIATION",2,$F$1))))</f>
        <v/>
      </c>
      <c r="AX331" s="1" t="str">
        <f>IF(OR($B331="",AX$7=""),"",IF($B331="MEANS",INDEX('1-DATA'!$1:$1048576,$A330-1,COLUMN('1-DATA'!AW329)),ROUND(INDEX('1-DATA'!$1:$1048576,IF(OR($B331="STD. DEVIATION",$C$1=1),$A331,$A331+1),COLUMN('1-DATA'!AW329)),IF($B331="STD. DEVIATION",2,$F$1))))</f>
        <v/>
      </c>
      <c r="AY331" s="1" t="str">
        <f>IF(OR($B331="",AY$7=""),"",IF($B331="MEANS",INDEX('1-DATA'!$1:$1048576,$A330-1,COLUMN('1-DATA'!AX329)),ROUND(INDEX('1-DATA'!$1:$1048576,IF(OR($B331="STD. DEVIATION",$C$1=1),$A331,$A331+1),COLUMN('1-DATA'!AX329)),IF($B331="STD. DEVIATION",2,$F$1))))</f>
        <v/>
      </c>
      <c r="AZ331" s="1" t="str">
        <f>IF(OR($B331="",AZ$7=""),"",IF($B331="MEANS",INDEX('1-DATA'!$1:$1048576,$A330-1,COLUMN('1-DATA'!AY329)),ROUND(INDEX('1-DATA'!$1:$1048576,IF(OR($B331="STD. DEVIATION",$C$1=1),$A331,$A331+1),COLUMN('1-DATA'!AY329)),IF($B331="STD. DEVIATION",2,$F$1))))</f>
        <v/>
      </c>
    </row>
    <row r="332" spans="1:52" x14ac:dyDescent="0.25">
      <c r="A332" s="11">
        <f t="shared" si="5"/>
        <v>982</v>
      </c>
      <c r="B332" s="1" t="str">
        <f>IF(B331="STD. DEVIATION",INDEX('1-DATA'!$1:$1048576,$A331-1,1),IF(INDEX('1-DATA'!$1:$1048576,$A332,1)&lt;&gt;"",INDEX('1-DATA'!$1:$1048576,$A332,1),""))</f>
        <v/>
      </c>
      <c r="C332" s="1" t="str">
        <f>IF(OR($B332="",C$7=""),"",IF($B332="MEANS",INDEX('1-DATA'!$1:$1048576,$A331-1,COLUMN('1-DATA'!B330)),ROUND(INDEX('1-DATA'!$1:$1048576,IF(OR($B332="STD. DEVIATION",$C$1=1),$A332,$A332+1),COLUMN('1-DATA'!B330)),IF($B332="STD. DEVIATION",2,$F$1))))</f>
        <v/>
      </c>
      <c r="D332" s="1" t="str">
        <f>IF(OR($B332="",D$7=""),"",IF($B332="MEANS",INDEX('1-DATA'!$1:$1048576,$A331-1,COLUMN('1-DATA'!C330)),ROUND(INDEX('1-DATA'!$1:$1048576,IF(OR($B332="STD. DEVIATION",$C$1=1),$A332,$A332+1),COLUMN('1-DATA'!C330)),IF($B332="STD. DEVIATION",2,$F$1))))</f>
        <v/>
      </c>
      <c r="E332" s="1" t="str">
        <f>IF(OR($B332="",E$7=""),"",IF($B332="MEANS",INDEX('1-DATA'!$1:$1048576,$A331-1,COLUMN('1-DATA'!D330)),ROUND(INDEX('1-DATA'!$1:$1048576,IF(OR($B332="STD. DEVIATION",$C$1=1),$A332,$A332+1),COLUMN('1-DATA'!D330)),IF($B332="STD. DEVIATION",2,$F$1))))</f>
        <v/>
      </c>
      <c r="F332" s="1" t="str">
        <f>IF(OR($B332="",F$7=""),"",IF($B332="MEANS",INDEX('1-DATA'!$1:$1048576,$A331-1,COLUMN('1-DATA'!E330)),ROUND(INDEX('1-DATA'!$1:$1048576,IF(OR($B332="STD. DEVIATION",$C$1=1),$A332,$A332+1),COLUMN('1-DATA'!E330)),IF($B332="STD. DEVIATION",2,$F$1))))</f>
        <v/>
      </c>
      <c r="G332" s="1" t="str">
        <f>IF(OR($B332="",G$7=""),"",IF($B332="MEANS",INDEX('1-DATA'!$1:$1048576,$A331-1,COLUMN('1-DATA'!F330)),ROUND(INDEX('1-DATA'!$1:$1048576,IF(OR($B332="STD. DEVIATION",$C$1=1),$A332,$A332+1),COLUMN('1-DATA'!F330)),IF($B332="STD. DEVIATION",2,$F$1))))</f>
        <v/>
      </c>
      <c r="H332" s="1" t="str">
        <f>IF(OR($B332="",H$7=""),"",IF($B332="MEANS",INDEX('1-DATA'!$1:$1048576,$A331-1,COLUMN('1-DATA'!G330)),ROUND(INDEX('1-DATA'!$1:$1048576,IF(OR($B332="STD. DEVIATION",$C$1=1),$A332,$A332+1),COLUMN('1-DATA'!G330)),IF($B332="STD. DEVIATION",2,$F$1))))</f>
        <v/>
      </c>
      <c r="I332" s="1" t="str">
        <f>IF(OR($B332="",I$7=""),"",IF($B332="MEANS",INDEX('1-DATA'!$1:$1048576,$A331-1,COLUMN('1-DATA'!H330)),ROUND(INDEX('1-DATA'!$1:$1048576,IF(OR($B332="STD. DEVIATION",$C$1=1),$A332,$A332+1),COLUMN('1-DATA'!H330)),IF($B332="STD. DEVIATION",2,$F$1))))</f>
        <v/>
      </c>
      <c r="J332" s="1" t="str">
        <f>IF(OR($B332="",J$7=""),"",IF($B332="MEANS",INDEX('1-DATA'!$1:$1048576,$A331-1,COLUMN('1-DATA'!I330)),ROUND(INDEX('1-DATA'!$1:$1048576,IF(OR($B332="STD. DEVIATION",$C$1=1),$A332,$A332+1),COLUMN('1-DATA'!I330)),IF($B332="STD. DEVIATION",2,$F$1))))</f>
        <v/>
      </c>
      <c r="K332" s="1" t="str">
        <f>IF(OR($B332="",K$7=""),"",IF($B332="MEANS",INDEX('1-DATA'!$1:$1048576,$A331-1,COLUMN('1-DATA'!J330)),ROUND(INDEX('1-DATA'!$1:$1048576,IF(OR($B332="STD. DEVIATION",$C$1=1),$A332,$A332+1),COLUMN('1-DATA'!J330)),IF($B332="STD. DEVIATION",2,$F$1))))</f>
        <v/>
      </c>
      <c r="L332" s="1" t="str">
        <f>IF(OR($B332="",L$7=""),"",IF($B332="MEANS",INDEX('1-DATA'!$1:$1048576,$A331-1,COLUMN('1-DATA'!K330)),ROUND(INDEX('1-DATA'!$1:$1048576,IF(OR($B332="STD. DEVIATION",$C$1=1),$A332,$A332+1),COLUMN('1-DATA'!K330)),IF($B332="STD. DEVIATION",2,$F$1))))</f>
        <v/>
      </c>
      <c r="M332" s="1" t="str">
        <f>IF(OR($B332="",M$7=""),"",IF($B332="MEANS",INDEX('1-DATA'!$1:$1048576,$A331-1,COLUMN('1-DATA'!L330)),ROUND(INDEX('1-DATA'!$1:$1048576,IF(OR($B332="STD. DEVIATION",$C$1=1),$A332,$A332+1),COLUMN('1-DATA'!L330)),IF($B332="STD. DEVIATION",2,$F$1))))</f>
        <v/>
      </c>
      <c r="N332" s="1" t="str">
        <f>IF(OR($B332="",N$7=""),"",IF($B332="MEANS",INDEX('1-DATA'!$1:$1048576,$A331-1,COLUMN('1-DATA'!M330)),ROUND(INDEX('1-DATA'!$1:$1048576,IF(OR($B332="STD. DEVIATION",$C$1=1),$A332,$A332+1),COLUMN('1-DATA'!M330)),IF($B332="STD. DEVIATION",2,$F$1))))</f>
        <v/>
      </c>
      <c r="O332" s="1" t="str">
        <f>IF(OR($B332="",O$7=""),"",IF($B332="MEANS",INDEX('1-DATA'!$1:$1048576,$A331-1,COLUMN('1-DATA'!N330)),ROUND(INDEX('1-DATA'!$1:$1048576,IF(OR($B332="STD. DEVIATION",$C$1=1),$A332,$A332+1),COLUMN('1-DATA'!N330)),IF($B332="STD. DEVIATION",2,$F$1))))</f>
        <v/>
      </c>
      <c r="P332" s="1" t="str">
        <f>IF(OR($B332="",P$7=""),"",IF($B332="MEANS",INDEX('1-DATA'!$1:$1048576,$A331-1,COLUMN('1-DATA'!O330)),ROUND(INDEX('1-DATA'!$1:$1048576,IF(OR($B332="STD. DEVIATION",$C$1=1),$A332,$A332+1),COLUMN('1-DATA'!O330)),IF($B332="STD. DEVIATION",2,$F$1))))</f>
        <v/>
      </c>
      <c r="Q332" s="1" t="str">
        <f>IF(OR($B332="",Q$7=""),"",IF($B332="MEANS",INDEX('1-DATA'!$1:$1048576,$A331-1,COLUMN('1-DATA'!P330)),ROUND(INDEX('1-DATA'!$1:$1048576,IF(OR($B332="STD. DEVIATION",$C$1=1),$A332,$A332+1),COLUMN('1-DATA'!P330)),IF($B332="STD. DEVIATION",2,$F$1))))</f>
        <v/>
      </c>
      <c r="R332" s="1" t="str">
        <f>IF(OR($B332="",R$7=""),"",IF($B332="MEANS",INDEX('1-DATA'!$1:$1048576,$A331-1,COLUMN('1-DATA'!Q330)),ROUND(INDEX('1-DATA'!$1:$1048576,IF(OR($B332="STD. DEVIATION",$C$1=1),$A332,$A332+1),COLUMN('1-DATA'!Q330)),IF($B332="STD. DEVIATION",2,$F$1))))</f>
        <v/>
      </c>
      <c r="S332" s="1" t="str">
        <f>IF(OR($B332="",S$7=""),"",IF($B332="MEANS",INDEX('1-DATA'!$1:$1048576,$A331-1,COLUMN('1-DATA'!R330)),ROUND(INDEX('1-DATA'!$1:$1048576,IF(OR($B332="STD. DEVIATION",$C$1=1),$A332,$A332+1),COLUMN('1-DATA'!R330)),IF($B332="STD. DEVIATION",2,$F$1))))</f>
        <v/>
      </c>
      <c r="T332" s="1" t="str">
        <f>IF(OR($B332="",T$7=""),"",IF($B332="MEANS",INDEX('1-DATA'!$1:$1048576,$A331-1,COLUMN('1-DATA'!S330)),ROUND(INDEX('1-DATA'!$1:$1048576,IF(OR($B332="STD. DEVIATION",$C$1=1),$A332,$A332+1),COLUMN('1-DATA'!S330)),IF($B332="STD. DEVIATION",2,$F$1))))</f>
        <v/>
      </c>
      <c r="U332" s="1" t="str">
        <f>IF(OR($B332="",U$7=""),"",IF($B332="MEANS",INDEX('1-DATA'!$1:$1048576,$A331-1,COLUMN('1-DATA'!T330)),ROUND(INDEX('1-DATA'!$1:$1048576,IF(OR($B332="STD. DEVIATION",$C$1=1),$A332,$A332+1),COLUMN('1-DATA'!T330)),IF($B332="STD. DEVIATION",2,$F$1))))</f>
        <v/>
      </c>
      <c r="V332" s="1" t="str">
        <f>IF(OR($B332="",V$7=""),"",IF($B332="MEANS",INDEX('1-DATA'!$1:$1048576,$A331-1,COLUMN('1-DATA'!U330)),ROUND(INDEX('1-DATA'!$1:$1048576,IF(OR($B332="STD. DEVIATION",$C$1=1),$A332,$A332+1),COLUMN('1-DATA'!U330)),IF($B332="STD. DEVIATION",2,$F$1))))</f>
        <v/>
      </c>
      <c r="W332" s="1" t="str">
        <f>IF(OR($B332="",W$7=""),"",IF($B332="MEANS",INDEX('1-DATA'!$1:$1048576,$A331-1,COLUMN('1-DATA'!V330)),ROUND(INDEX('1-DATA'!$1:$1048576,IF(OR($B332="STD. DEVIATION",$C$1=1),$A332,$A332+1),COLUMN('1-DATA'!V330)),IF($B332="STD. DEVIATION",2,$F$1))))</f>
        <v/>
      </c>
      <c r="X332" s="1" t="str">
        <f>IF(OR($B332="",X$7=""),"",IF($B332="MEANS",INDEX('1-DATA'!$1:$1048576,$A331-1,COLUMN('1-DATA'!W330)),ROUND(INDEX('1-DATA'!$1:$1048576,IF(OR($B332="STD. DEVIATION",$C$1=1),$A332,$A332+1),COLUMN('1-DATA'!W330)),IF($B332="STD. DEVIATION",2,$F$1))))</f>
        <v/>
      </c>
      <c r="Y332" s="1" t="str">
        <f>IF(OR($B332="",Y$7=""),"",IF($B332="MEANS",INDEX('1-DATA'!$1:$1048576,$A331-1,COLUMN('1-DATA'!X330)),ROUND(INDEX('1-DATA'!$1:$1048576,IF(OR($B332="STD. DEVIATION",$C$1=1),$A332,$A332+1),COLUMN('1-DATA'!X330)),IF($B332="STD. DEVIATION",2,$F$1))))</f>
        <v/>
      </c>
      <c r="Z332" s="1" t="str">
        <f>IF(OR($B332="",Z$7=""),"",IF($B332="MEANS",INDEX('1-DATA'!$1:$1048576,$A331-1,COLUMN('1-DATA'!Y330)),ROUND(INDEX('1-DATA'!$1:$1048576,IF(OR($B332="STD. DEVIATION",$C$1=1),$A332,$A332+1),COLUMN('1-DATA'!Y330)),IF($B332="STD. DEVIATION",2,$F$1))))</f>
        <v/>
      </c>
      <c r="AA332" s="1" t="str">
        <f>IF(OR($B332="",AA$7=""),"",IF($B332="MEANS",INDEX('1-DATA'!$1:$1048576,$A331-1,COLUMN('1-DATA'!Z330)),ROUND(INDEX('1-DATA'!$1:$1048576,IF(OR($B332="STD. DEVIATION",$C$1=1),$A332,$A332+1),COLUMN('1-DATA'!Z330)),IF($B332="STD. DEVIATION",2,$F$1))))</f>
        <v/>
      </c>
      <c r="AB332" s="1" t="str">
        <f>IF(OR($B332="",AB$7=""),"",IF($B332="MEANS",INDEX('1-DATA'!$1:$1048576,$A331-1,COLUMN('1-DATA'!AA330)),ROUND(INDEX('1-DATA'!$1:$1048576,IF(OR($B332="STD. DEVIATION",$C$1=1),$A332,$A332+1),COLUMN('1-DATA'!AA330)),IF($B332="STD. DEVIATION",2,$F$1))))</f>
        <v/>
      </c>
      <c r="AC332" s="1" t="str">
        <f>IF(OR($B332="",AC$7=""),"",IF($B332="MEANS",INDEX('1-DATA'!$1:$1048576,$A331-1,COLUMN('1-DATA'!AB330)),ROUND(INDEX('1-DATA'!$1:$1048576,IF(OR($B332="STD. DEVIATION",$C$1=1),$A332,$A332+1),COLUMN('1-DATA'!AB330)),IF($B332="STD. DEVIATION",2,$F$1))))</f>
        <v/>
      </c>
      <c r="AD332" s="1" t="str">
        <f>IF(OR($B332="",AD$7=""),"",IF($B332="MEANS",INDEX('1-DATA'!$1:$1048576,$A331-1,COLUMN('1-DATA'!AC330)),ROUND(INDEX('1-DATA'!$1:$1048576,IF(OR($B332="STD. DEVIATION",$C$1=1),$A332,$A332+1),COLUMN('1-DATA'!AC330)),IF($B332="STD. DEVIATION",2,$F$1))))</f>
        <v/>
      </c>
      <c r="AE332" s="1" t="str">
        <f>IF(OR($B332="",AE$7=""),"",IF($B332="MEANS",INDEX('1-DATA'!$1:$1048576,$A331-1,COLUMN('1-DATA'!AD330)),ROUND(INDEX('1-DATA'!$1:$1048576,IF(OR($B332="STD. DEVIATION",$C$1=1),$A332,$A332+1),COLUMN('1-DATA'!AD330)),IF($B332="STD. DEVIATION",2,$F$1))))</f>
        <v/>
      </c>
      <c r="AF332" s="1" t="str">
        <f>IF(OR($B332="",AF$7=""),"",IF($B332="MEANS",INDEX('1-DATA'!$1:$1048576,$A331-1,COLUMN('1-DATA'!AE330)),ROUND(INDEX('1-DATA'!$1:$1048576,IF(OR($B332="STD. DEVIATION",$C$1=1),$A332,$A332+1),COLUMN('1-DATA'!AE330)),IF($B332="STD. DEVIATION",2,$F$1))))</f>
        <v/>
      </c>
      <c r="AG332" s="1" t="str">
        <f>IF(OR($B332="",AG$7=""),"",IF($B332="MEANS",INDEX('1-DATA'!$1:$1048576,$A331-1,COLUMN('1-DATA'!AF330)),ROUND(INDEX('1-DATA'!$1:$1048576,IF(OR($B332="STD. DEVIATION",$C$1=1),$A332,$A332+1),COLUMN('1-DATA'!AF330)),IF($B332="STD. DEVIATION",2,$F$1))))</f>
        <v/>
      </c>
      <c r="AH332" s="1" t="str">
        <f>IF(OR($B332="",AH$7=""),"",IF($B332="MEANS",INDEX('1-DATA'!$1:$1048576,$A331-1,COLUMN('1-DATA'!AG330)),ROUND(INDEX('1-DATA'!$1:$1048576,IF(OR($B332="STD. DEVIATION",$C$1=1),$A332,$A332+1),COLUMN('1-DATA'!AG330)),IF($B332="STD. DEVIATION",2,$F$1))))</f>
        <v/>
      </c>
      <c r="AI332" s="1" t="str">
        <f>IF(OR($B332="",AI$7=""),"",IF($B332="MEANS",INDEX('1-DATA'!$1:$1048576,$A331-1,COLUMN('1-DATA'!AH330)),ROUND(INDEX('1-DATA'!$1:$1048576,IF(OR($B332="STD. DEVIATION",$C$1=1),$A332,$A332+1),COLUMN('1-DATA'!AH330)),IF($B332="STD. DEVIATION",2,$F$1))))</f>
        <v/>
      </c>
      <c r="AJ332" s="1" t="str">
        <f>IF(OR($B332="",AJ$7=""),"",IF($B332="MEANS",INDEX('1-DATA'!$1:$1048576,$A331-1,COLUMN('1-DATA'!AI330)),ROUND(INDEX('1-DATA'!$1:$1048576,IF(OR($B332="STD. DEVIATION",$C$1=1),$A332,$A332+1),COLUMN('1-DATA'!AI330)),IF($B332="STD. DEVIATION",2,$F$1))))</f>
        <v/>
      </c>
      <c r="AK332" s="1" t="str">
        <f>IF(OR($B332="",AK$7=""),"",IF($B332="MEANS",INDEX('1-DATA'!$1:$1048576,$A331-1,COLUMN('1-DATA'!AJ330)),ROUND(INDEX('1-DATA'!$1:$1048576,IF(OR($B332="STD. DEVIATION",$C$1=1),$A332,$A332+1),COLUMN('1-DATA'!AJ330)),IF($B332="STD. DEVIATION",2,$F$1))))</f>
        <v/>
      </c>
      <c r="AL332" s="1" t="str">
        <f>IF(OR($B332="",AL$7=""),"",IF($B332="MEANS",INDEX('1-DATA'!$1:$1048576,$A331-1,COLUMN('1-DATA'!AK330)),ROUND(INDEX('1-DATA'!$1:$1048576,IF(OR($B332="STD. DEVIATION",$C$1=1),$A332,$A332+1),COLUMN('1-DATA'!AK330)),IF($B332="STD. DEVIATION",2,$F$1))))</f>
        <v/>
      </c>
      <c r="AM332" s="1" t="str">
        <f>IF(OR($B332="",AM$7=""),"",IF($B332="MEANS",INDEX('1-DATA'!$1:$1048576,$A331-1,COLUMN('1-DATA'!AL330)),ROUND(INDEX('1-DATA'!$1:$1048576,IF(OR($B332="STD. DEVIATION",$C$1=1),$A332,$A332+1),COLUMN('1-DATA'!AL330)),IF($B332="STD. DEVIATION",2,$F$1))))</f>
        <v/>
      </c>
      <c r="AN332" s="1" t="str">
        <f>IF(OR($B332="",AN$7=""),"",IF($B332="MEANS",INDEX('1-DATA'!$1:$1048576,$A331-1,COLUMN('1-DATA'!AM330)),ROUND(INDEX('1-DATA'!$1:$1048576,IF(OR($B332="STD. DEVIATION",$C$1=1),$A332,$A332+1),COLUMN('1-DATA'!AM330)),IF($B332="STD. DEVIATION",2,$F$1))))</f>
        <v/>
      </c>
      <c r="AO332" s="1" t="str">
        <f>IF(OR($B332="",AO$7=""),"",IF($B332="MEANS",INDEX('1-DATA'!$1:$1048576,$A331-1,COLUMN('1-DATA'!AN330)),ROUND(INDEX('1-DATA'!$1:$1048576,IF(OR($B332="STD. DEVIATION",$C$1=1),$A332,$A332+1),COLUMN('1-DATA'!AN330)),IF($B332="STD. DEVIATION",2,$F$1))))</f>
        <v/>
      </c>
      <c r="AP332" s="1" t="str">
        <f>IF(OR($B332="",AP$7=""),"",IF($B332="MEANS",INDEX('1-DATA'!$1:$1048576,$A331-1,COLUMN('1-DATA'!AO330)),ROUND(INDEX('1-DATA'!$1:$1048576,IF(OR($B332="STD. DEVIATION",$C$1=1),$A332,$A332+1),COLUMN('1-DATA'!AO330)),IF($B332="STD. DEVIATION",2,$F$1))))</f>
        <v/>
      </c>
      <c r="AQ332" s="1" t="str">
        <f>IF(OR($B332="",AQ$7=""),"",IF($B332="MEANS",INDEX('1-DATA'!$1:$1048576,$A331-1,COLUMN('1-DATA'!AP330)),ROUND(INDEX('1-DATA'!$1:$1048576,IF(OR($B332="STD. DEVIATION",$C$1=1),$A332,$A332+1),COLUMN('1-DATA'!AP330)),IF($B332="STD. DEVIATION",2,$F$1))))</f>
        <v/>
      </c>
      <c r="AR332" s="1" t="str">
        <f>IF(OR($B332="",AR$7=""),"",IF($B332="MEANS",INDEX('1-DATA'!$1:$1048576,$A331-1,COLUMN('1-DATA'!AQ330)),ROUND(INDEX('1-DATA'!$1:$1048576,IF(OR($B332="STD. DEVIATION",$C$1=1),$A332,$A332+1),COLUMN('1-DATA'!AQ330)),IF($B332="STD. DEVIATION",2,$F$1))))</f>
        <v/>
      </c>
      <c r="AS332" s="1" t="str">
        <f>IF(OR($B332="",AS$7=""),"",IF($B332="MEANS",INDEX('1-DATA'!$1:$1048576,$A331-1,COLUMN('1-DATA'!AR330)),ROUND(INDEX('1-DATA'!$1:$1048576,IF(OR($B332="STD. DEVIATION",$C$1=1),$A332,$A332+1),COLUMN('1-DATA'!AR330)),IF($B332="STD. DEVIATION",2,$F$1))))</f>
        <v/>
      </c>
      <c r="AT332" s="1" t="str">
        <f>IF(OR($B332="",AT$7=""),"",IF($B332="MEANS",INDEX('1-DATA'!$1:$1048576,$A331-1,COLUMN('1-DATA'!AS330)),ROUND(INDEX('1-DATA'!$1:$1048576,IF(OR($B332="STD. DEVIATION",$C$1=1),$A332,$A332+1),COLUMN('1-DATA'!AS330)),IF($B332="STD. DEVIATION",2,$F$1))))</f>
        <v/>
      </c>
      <c r="AU332" s="1" t="str">
        <f>IF(OR($B332="",AU$7=""),"",IF($B332="MEANS",INDEX('1-DATA'!$1:$1048576,$A331-1,COLUMN('1-DATA'!AT330)),ROUND(INDEX('1-DATA'!$1:$1048576,IF(OR($B332="STD. DEVIATION",$C$1=1),$A332,$A332+1),COLUMN('1-DATA'!AT330)),IF($B332="STD. DEVIATION",2,$F$1))))</f>
        <v/>
      </c>
      <c r="AV332" s="1" t="str">
        <f>IF(OR($B332="",AV$7=""),"",IF($B332="MEANS",INDEX('1-DATA'!$1:$1048576,$A331-1,COLUMN('1-DATA'!AU330)),ROUND(INDEX('1-DATA'!$1:$1048576,IF(OR($B332="STD. DEVIATION",$C$1=1),$A332,$A332+1),COLUMN('1-DATA'!AU330)),IF($B332="STD. DEVIATION",2,$F$1))))</f>
        <v/>
      </c>
      <c r="AW332" s="1" t="str">
        <f>IF(OR($B332="",AW$7=""),"",IF($B332="MEANS",INDEX('1-DATA'!$1:$1048576,$A331-1,COLUMN('1-DATA'!AV330)),ROUND(INDEX('1-DATA'!$1:$1048576,IF(OR($B332="STD. DEVIATION",$C$1=1),$A332,$A332+1),COLUMN('1-DATA'!AV330)),IF($B332="STD. DEVIATION",2,$F$1))))</f>
        <v/>
      </c>
      <c r="AX332" s="1" t="str">
        <f>IF(OR($B332="",AX$7=""),"",IF($B332="MEANS",INDEX('1-DATA'!$1:$1048576,$A331-1,COLUMN('1-DATA'!AW330)),ROUND(INDEX('1-DATA'!$1:$1048576,IF(OR($B332="STD. DEVIATION",$C$1=1),$A332,$A332+1),COLUMN('1-DATA'!AW330)),IF($B332="STD. DEVIATION",2,$F$1))))</f>
        <v/>
      </c>
      <c r="AY332" s="1" t="str">
        <f>IF(OR($B332="",AY$7=""),"",IF($B332="MEANS",INDEX('1-DATA'!$1:$1048576,$A331-1,COLUMN('1-DATA'!AX330)),ROUND(INDEX('1-DATA'!$1:$1048576,IF(OR($B332="STD. DEVIATION",$C$1=1),$A332,$A332+1),COLUMN('1-DATA'!AX330)),IF($B332="STD. DEVIATION",2,$F$1))))</f>
        <v/>
      </c>
      <c r="AZ332" s="1" t="str">
        <f>IF(OR($B332="",AZ$7=""),"",IF($B332="MEANS",INDEX('1-DATA'!$1:$1048576,$A331-1,COLUMN('1-DATA'!AY330)),ROUND(INDEX('1-DATA'!$1:$1048576,IF(OR($B332="STD. DEVIATION",$C$1=1),$A332,$A332+1),COLUMN('1-DATA'!AY330)),IF($B332="STD. DEVIATION",2,$F$1))))</f>
        <v/>
      </c>
    </row>
    <row r="333" spans="1:52" x14ac:dyDescent="0.25">
      <c r="A333" s="11">
        <f t="shared" si="5"/>
        <v>985</v>
      </c>
      <c r="B333" s="1" t="str">
        <f>IF(B332="STD. DEVIATION",INDEX('1-DATA'!$1:$1048576,$A332-1,1),IF(INDEX('1-DATA'!$1:$1048576,$A333,1)&lt;&gt;"",INDEX('1-DATA'!$1:$1048576,$A333,1),""))</f>
        <v/>
      </c>
      <c r="C333" s="1" t="str">
        <f>IF(OR($B333="",C$7=""),"",IF($B333="MEANS",INDEX('1-DATA'!$1:$1048576,$A332-1,COLUMN('1-DATA'!B331)),ROUND(INDEX('1-DATA'!$1:$1048576,IF(OR($B333="STD. DEVIATION",$C$1=1),$A333,$A333+1),COLUMN('1-DATA'!B331)),IF($B333="STD. DEVIATION",2,$F$1))))</f>
        <v/>
      </c>
      <c r="D333" s="1" t="str">
        <f>IF(OR($B333="",D$7=""),"",IF($B333="MEANS",INDEX('1-DATA'!$1:$1048576,$A332-1,COLUMN('1-DATA'!C331)),ROUND(INDEX('1-DATA'!$1:$1048576,IF(OR($B333="STD. DEVIATION",$C$1=1),$A333,$A333+1),COLUMN('1-DATA'!C331)),IF($B333="STD. DEVIATION",2,$F$1))))</f>
        <v/>
      </c>
      <c r="E333" s="1" t="str">
        <f>IF(OR($B333="",E$7=""),"",IF($B333="MEANS",INDEX('1-DATA'!$1:$1048576,$A332-1,COLUMN('1-DATA'!D331)),ROUND(INDEX('1-DATA'!$1:$1048576,IF(OR($B333="STD. DEVIATION",$C$1=1),$A333,$A333+1),COLUMN('1-DATA'!D331)),IF($B333="STD. DEVIATION",2,$F$1))))</f>
        <v/>
      </c>
      <c r="F333" s="1" t="str">
        <f>IF(OR($B333="",F$7=""),"",IF($B333="MEANS",INDEX('1-DATA'!$1:$1048576,$A332-1,COLUMN('1-DATA'!E331)),ROUND(INDEX('1-DATA'!$1:$1048576,IF(OR($B333="STD. DEVIATION",$C$1=1),$A333,$A333+1),COLUMN('1-DATA'!E331)),IF($B333="STD. DEVIATION",2,$F$1))))</f>
        <v/>
      </c>
      <c r="G333" s="1" t="str">
        <f>IF(OR($B333="",G$7=""),"",IF($B333="MEANS",INDEX('1-DATA'!$1:$1048576,$A332-1,COLUMN('1-DATA'!F331)),ROUND(INDEX('1-DATA'!$1:$1048576,IF(OR($B333="STD. DEVIATION",$C$1=1),$A333,$A333+1),COLUMN('1-DATA'!F331)),IF($B333="STD. DEVIATION",2,$F$1))))</f>
        <v/>
      </c>
      <c r="H333" s="1" t="str">
        <f>IF(OR($B333="",H$7=""),"",IF($B333="MEANS",INDEX('1-DATA'!$1:$1048576,$A332-1,COLUMN('1-DATA'!G331)),ROUND(INDEX('1-DATA'!$1:$1048576,IF(OR($B333="STD. DEVIATION",$C$1=1),$A333,$A333+1),COLUMN('1-DATA'!G331)),IF($B333="STD. DEVIATION",2,$F$1))))</f>
        <v/>
      </c>
      <c r="I333" s="1" t="str">
        <f>IF(OR($B333="",I$7=""),"",IF($B333="MEANS",INDEX('1-DATA'!$1:$1048576,$A332-1,COLUMN('1-DATA'!H331)),ROUND(INDEX('1-DATA'!$1:$1048576,IF(OR($B333="STD. DEVIATION",$C$1=1),$A333,$A333+1),COLUMN('1-DATA'!H331)),IF($B333="STD. DEVIATION",2,$F$1))))</f>
        <v/>
      </c>
      <c r="J333" s="1" t="str">
        <f>IF(OR($B333="",J$7=""),"",IF($B333="MEANS",INDEX('1-DATA'!$1:$1048576,$A332-1,COLUMN('1-DATA'!I331)),ROUND(INDEX('1-DATA'!$1:$1048576,IF(OR($B333="STD. DEVIATION",$C$1=1),$A333,$A333+1),COLUMN('1-DATA'!I331)),IF($B333="STD. DEVIATION",2,$F$1))))</f>
        <v/>
      </c>
      <c r="K333" s="1" t="str">
        <f>IF(OR($B333="",K$7=""),"",IF($B333="MEANS",INDEX('1-DATA'!$1:$1048576,$A332-1,COLUMN('1-DATA'!J331)),ROUND(INDEX('1-DATA'!$1:$1048576,IF(OR($B333="STD. DEVIATION",$C$1=1),$A333,$A333+1),COLUMN('1-DATA'!J331)),IF($B333="STD. DEVIATION",2,$F$1))))</f>
        <v/>
      </c>
      <c r="L333" s="1" t="str">
        <f>IF(OR($B333="",L$7=""),"",IF($B333="MEANS",INDEX('1-DATA'!$1:$1048576,$A332-1,COLUMN('1-DATA'!K331)),ROUND(INDEX('1-DATA'!$1:$1048576,IF(OR($B333="STD. DEVIATION",$C$1=1),$A333,$A333+1),COLUMN('1-DATA'!K331)),IF($B333="STD. DEVIATION",2,$F$1))))</f>
        <v/>
      </c>
      <c r="M333" s="1" t="str">
        <f>IF(OR($B333="",M$7=""),"",IF($B333="MEANS",INDEX('1-DATA'!$1:$1048576,$A332-1,COLUMN('1-DATA'!L331)),ROUND(INDEX('1-DATA'!$1:$1048576,IF(OR($B333="STD. DEVIATION",$C$1=1),$A333,$A333+1),COLUMN('1-DATA'!L331)),IF($B333="STD. DEVIATION",2,$F$1))))</f>
        <v/>
      </c>
      <c r="N333" s="1" t="str">
        <f>IF(OR($B333="",N$7=""),"",IF($B333="MEANS",INDEX('1-DATA'!$1:$1048576,$A332-1,COLUMN('1-DATA'!M331)),ROUND(INDEX('1-DATA'!$1:$1048576,IF(OR($B333="STD. DEVIATION",$C$1=1),$A333,$A333+1),COLUMN('1-DATA'!M331)),IF($B333="STD. DEVIATION",2,$F$1))))</f>
        <v/>
      </c>
      <c r="O333" s="1" t="str">
        <f>IF(OR($B333="",O$7=""),"",IF($B333="MEANS",INDEX('1-DATA'!$1:$1048576,$A332-1,COLUMN('1-DATA'!N331)),ROUND(INDEX('1-DATA'!$1:$1048576,IF(OR($B333="STD. DEVIATION",$C$1=1),$A333,$A333+1),COLUMN('1-DATA'!N331)),IF($B333="STD. DEVIATION",2,$F$1))))</f>
        <v/>
      </c>
      <c r="P333" s="1" t="str">
        <f>IF(OR($B333="",P$7=""),"",IF($B333="MEANS",INDEX('1-DATA'!$1:$1048576,$A332-1,COLUMN('1-DATA'!O331)),ROUND(INDEX('1-DATA'!$1:$1048576,IF(OR($B333="STD. DEVIATION",$C$1=1),$A333,$A333+1),COLUMN('1-DATA'!O331)),IF($B333="STD. DEVIATION",2,$F$1))))</f>
        <v/>
      </c>
      <c r="Q333" s="1" t="str">
        <f>IF(OR($B333="",Q$7=""),"",IF($B333="MEANS",INDEX('1-DATA'!$1:$1048576,$A332-1,COLUMN('1-DATA'!P331)),ROUND(INDEX('1-DATA'!$1:$1048576,IF(OR($B333="STD. DEVIATION",$C$1=1),$A333,$A333+1),COLUMN('1-DATA'!P331)),IF($B333="STD. DEVIATION",2,$F$1))))</f>
        <v/>
      </c>
      <c r="R333" s="1" t="str">
        <f>IF(OR($B333="",R$7=""),"",IF($B333="MEANS",INDEX('1-DATA'!$1:$1048576,$A332-1,COLUMN('1-DATA'!Q331)),ROUND(INDEX('1-DATA'!$1:$1048576,IF(OR($B333="STD. DEVIATION",$C$1=1),$A333,$A333+1),COLUMN('1-DATA'!Q331)),IF($B333="STD. DEVIATION",2,$F$1))))</f>
        <v/>
      </c>
      <c r="S333" s="1" t="str">
        <f>IF(OR($B333="",S$7=""),"",IF($B333="MEANS",INDEX('1-DATA'!$1:$1048576,$A332-1,COLUMN('1-DATA'!R331)),ROUND(INDEX('1-DATA'!$1:$1048576,IF(OR($B333="STD. DEVIATION",$C$1=1),$A333,$A333+1),COLUMN('1-DATA'!R331)),IF($B333="STD. DEVIATION",2,$F$1))))</f>
        <v/>
      </c>
      <c r="T333" s="1" t="str">
        <f>IF(OR($B333="",T$7=""),"",IF($B333="MEANS",INDEX('1-DATA'!$1:$1048576,$A332-1,COLUMN('1-DATA'!S331)),ROUND(INDEX('1-DATA'!$1:$1048576,IF(OR($B333="STD. DEVIATION",$C$1=1),$A333,$A333+1),COLUMN('1-DATA'!S331)),IF($B333="STD. DEVIATION",2,$F$1))))</f>
        <v/>
      </c>
      <c r="U333" s="1" t="str">
        <f>IF(OR($B333="",U$7=""),"",IF($B333="MEANS",INDEX('1-DATA'!$1:$1048576,$A332-1,COLUMN('1-DATA'!T331)),ROUND(INDEX('1-DATA'!$1:$1048576,IF(OR($B333="STD. DEVIATION",$C$1=1),$A333,$A333+1),COLUMN('1-DATA'!T331)),IF($B333="STD. DEVIATION",2,$F$1))))</f>
        <v/>
      </c>
      <c r="V333" s="1" t="str">
        <f>IF(OR($B333="",V$7=""),"",IF($B333="MEANS",INDEX('1-DATA'!$1:$1048576,$A332-1,COLUMN('1-DATA'!U331)),ROUND(INDEX('1-DATA'!$1:$1048576,IF(OR($B333="STD. DEVIATION",$C$1=1),$A333,$A333+1),COLUMN('1-DATA'!U331)),IF($B333="STD. DEVIATION",2,$F$1))))</f>
        <v/>
      </c>
      <c r="W333" s="1" t="str">
        <f>IF(OR($B333="",W$7=""),"",IF($B333="MEANS",INDEX('1-DATA'!$1:$1048576,$A332-1,COLUMN('1-DATA'!V331)),ROUND(INDEX('1-DATA'!$1:$1048576,IF(OR($B333="STD. DEVIATION",$C$1=1),$A333,$A333+1),COLUMN('1-DATA'!V331)),IF($B333="STD. DEVIATION",2,$F$1))))</f>
        <v/>
      </c>
      <c r="X333" s="1" t="str">
        <f>IF(OR($B333="",X$7=""),"",IF($B333="MEANS",INDEX('1-DATA'!$1:$1048576,$A332-1,COLUMN('1-DATA'!W331)),ROUND(INDEX('1-DATA'!$1:$1048576,IF(OR($B333="STD. DEVIATION",$C$1=1),$A333,$A333+1),COLUMN('1-DATA'!W331)),IF($B333="STD. DEVIATION",2,$F$1))))</f>
        <v/>
      </c>
      <c r="Y333" s="1" t="str">
        <f>IF(OR($B333="",Y$7=""),"",IF($B333="MEANS",INDEX('1-DATA'!$1:$1048576,$A332-1,COLUMN('1-DATA'!X331)),ROUND(INDEX('1-DATA'!$1:$1048576,IF(OR($B333="STD. DEVIATION",$C$1=1),$A333,$A333+1),COLUMN('1-DATA'!X331)),IF($B333="STD. DEVIATION",2,$F$1))))</f>
        <v/>
      </c>
      <c r="Z333" s="1" t="str">
        <f>IF(OR($B333="",Z$7=""),"",IF($B333="MEANS",INDEX('1-DATA'!$1:$1048576,$A332-1,COLUMN('1-DATA'!Y331)),ROUND(INDEX('1-DATA'!$1:$1048576,IF(OR($B333="STD. DEVIATION",$C$1=1),$A333,$A333+1),COLUMN('1-DATA'!Y331)),IF($B333="STD. DEVIATION",2,$F$1))))</f>
        <v/>
      </c>
      <c r="AA333" s="1" t="str">
        <f>IF(OR($B333="",AA$7=""),"",IF($B333="MEANS",INDEX('1-DATA'!$1:$1048576,$A332-1,COLUMN('1-DATA'!Z331)),ROUND(INDEX('1-DATA'!$1:$1048576,IF(OR($B333="STD. DEVIATION",$C$1=1),$A333,$A333+1),COLUMN('1-DATA'!Z331)),IF($B333="STD. DEVIATION",2,$F$1))))</f>
        <v/>
      </c>
      <c r="AB333" s="1" t="str">
        <f>IF(OR($B333="",AB$7=""),"",IF($B333="MEANS",INDEX('1-DATA'!$1:$1048576,$A332-1,COLUMN('1-DATA'!AA331)),ROUND(INDEX('1-DATA'!$1:$1048576,IF(OR($B333="STD. DEVIATION",$C$1=1),$A333,$A333+1),COLUMN('1-DATA'!AA331)),IF($B333="STD. DEVIATION",2,$F$1))))</f>
        <v/>
      </c>
      <c r="AC333" s="1" t="str">
        <f>IF(OR($B333="",AC$7=""),"",IF($B333="MEANS",INDEX('1-DATA'!$1:$1048576,$A332-1,COLUMN('1-DATA'!AB331)),ROUND(INDEX('1-DATA'!$1:$1048576,IF(OR($B333="STD. DEVIATION",$C$1=1),$A333,$A333+1),COLUMN('1-DATA'!AB331)),IF($B333="STD. DEVIATION",2,$F$1))))</f>
        <v/>
      </c>
      <c r="AD333" s="1" t="str">
        <f>IF(OR($B333="",AD$7=""),"",IF($B333="MEANS",INDEX('1-DATA'!$1:$1048576,$A332-1,COLUMN('1-DATA'!AC331)),ROUND(INDEX('1-DATA'!$1:$1048576,IF(OR($B333="STD. DEVIATION",$C$1=1),$A333,$A333+1),COLUMN('1-DATA'!AC331)),IF($B333="STD. DEVIATION",2,$F$1))))</f>
        <v/>
      </c>
      <c r="AE333" s="1" t="str">
        <f>IF(OR($B333="",AE$7=""),"",IF($B333="MEANS",INDEX('1-DATA'!$1:$1048576,$A332-1,COLUMN('1-DATA'!AD331)),ROUND(INDEX('1-DATA'!$1:$1048576,IF(OR($B333="STD. DEVIATION",$C$1=1),$A333,$A333+1),COLUMN('1-DATA'!AD331)),IF($B333="STD. DEVIATION",2,$F$1))))</f>
        <v/>
      </c>
      <c r="AF333" s="1" t="str">
        <f>IF(OR($B333="",AF$7=""),"",IF($B333="MEANS",INDEX('1-DATA'!$1:$1048576,$A332-1,COLUMN('1-DATA'!AE331)),ROUND(INDEX('1-DATA'!$1:$1048576,IF(OR($B333="STD. DEVIATION",$C$1=1),$A333,$A333+1),COLUMN('1-DATA'!AE331)),IF($B333="STD. DEVIATION",2,$F$1))))</f>
        <v/>
      </c>
      <c r="AG333" s="1" t="str">
        <f>IF(OR($B333="",AG$7=""),"",IF($B333="MEANS",INDEX('1-DATA'!$1:$1048576,$A332-1,COLUMN('1-DATA'!AF331)),ROUND(INDEX('1-DATA'!$1:$1048576,IF(OR($B333="STD. DEVIATION",$C$1=1),$A333,$A333+1),COLUMN('1-DATA'!AF331)),IF($B333="STD. DEVIATION",2,$F$1))))</f>
        <v/>
      </c>
      <c r="AH333" s="1" t="str">
        <f>IF(OR($B333="",AH$7=""),"",IF($B333="MEANS",INDEX('1-DATA'!$1:$1048576,$A332-1,COLUMN('1-DATA'!AG331)),ROUND(INDEX('1-DATA'!$1:$1048576,IF(OR($B333="STD. DEVIATION",$C$1=1),$A333,$A333+1),COLUMN('1-DATA'!AG331)),IF($B333="STD. DEVIATION",2,$F$1))))</f>
        <v/>
      </c>
      <c r="AI333" s="1" t="str">
        <f>IF(OR($B333="",AI$7=""),"",IF($B333="MEANS",INDEX('1-DATA'!$1:$1048576,$A332-1,COLUMN('1-DATA'!AH331)),ROUND(INDEX('1-DATA'!$1:$1048576,IF(OR($B333="STD. DEVIATION",$C$1=1),$A333,$A333+1),COLUMN('1-DATA'!AH331)),IF($B333="STD. DEVIATION",2,$F$1))))</f>
        <v/>
      </c>
      <c r="AJ333" s="1" t="str">
        <f>IF(OR($B333="",AJ$7=""),"",IF($B333="MEANS",INDEX('1-DATA'!$1:$1048576,$A332-1,COLUMN('1-DATA'!AI331)),ROUND(INDEX('1-DATA'!$1:$1048576,IF(OR($B333="STD. DEVIATION",$C$1=1),$A333,$A333+1),COLUMN('1-DATA'!AI331)),IF($B333="STD. DEVIATION",2,$F$1))))</f>
        <v/>
      </c>
      <c r="AK333" s="1" t="str">
        <f>IF(OR($B333="",AK$7=""),"",IF($B333="MEANS",INDEX('1-DATA'!$1:$1048576,$A332-1,COLUMN('1-DATA'!AJ331)),ROUND(INDEX('1-DATA'!$1:$1048576,IF(OR($B333="STD. DEVIATION",$C$1=1),$A333,$A333+1),COLUMN('1-DATA'!AJ331)),IF($B333="STD. DEVIATION",2,$F$1))))</f>
        <v/>
      </c>
      <c r="AL333" s="1" t="str">
        <f>IF(OR($B333="",AL$7=""),"",IF($B333="MEANS",INDEX('1-DATA'!$1:$1048576,$A332-1,COLUMN('1-DATA'!AK331)),ROUND(INDEX('1-DATA'!$1:$1048576,IF(OR($B333="STD. DEVIATION",$C$1=1),$A333,$A333+1),COLUMN('1-DATA'!AK331)),IF($B333="STD. DEVIATION",2,$F$1))))</f>
        <v/>
      </c>
      <c r="AM333" s="1" t="str">
        <f>IF(OR($B333="",AM$7=""),"",IF($B333="MEANS",INDEX('1-DATA'!$1:$1048576,$A332-1,COLUMN('1-DATA'!AL331)),ROUND(INDEX('1-DATA'!$1:$1048576,IF(OR($B333="STD. DEVIATION",$C$1=1),$A333,$A333+1),COLUMN('1-DATA'!AL331)),IF($B333="STD. DEVIATION",2,$F$1))))</f>
        <v/>
      </c>
      <c r="AN333" s="1" t="str">
        <f>IF(OR($B333="",AN$7=""),"",IF($B333="MEANS",INDEX('1-DATA'!$1:$1048576,$A332-1,COLUMN('1-DATA'!AM331)),ROUND(INDEX('1-DATA'!$1:$1048576,IF(OR($B333="STD. DEVIATION",$C$1=1),$A333,$A333+1),COLUMN('1-DATA'!AM331)),IF($B333="STD. DEVIATION",2,$F$1))))</f>
        <v/>
      </c>
      <c r="AO333" s="1" t="str">
        <f>IF(OR($B333="",AO$7=""),"",IF($B333="MEANS",INDEX('1-DATA'!$1:$1048576,$A332-1,COLUMN('1-DATA'!AN331)),ROUND(INDEX('1-DATA'!$1:$1048576,IF(OR($B333="STD. DEVIATION",$C$1=1),$A333,$A333+1),COLUMN('1-DATA'!AN331)),IF($B333="STD. DEVIATION",2,$F$1))))</f>
        <v/>
      </c>
      <c r="AP333" s="1" t="str">
        <f>IF(OR($B333="",AP$7=""),"",IF($B333="MEANS",INDEX('1-DATA'!$1:$1048576,$A332-1,COLUMN('1-DATA'!AO331)),ROUND(INDEX('1-DATA'!$1:$1048576,IF(OR($B333="STD. DEVIATION",$C$1=1),$A333,$A333+1),COLUMN('1-DATA'!AO331)),IF($B333="STD. DEVIATION",2,$F$1))))</f>
        <v/>
      </c>
      <c r="AQ333" s="1" t="str">
        <f>IF(OR($B333="",AQ$7=""),"",IF($B333="MEANS",INDEX('1-DATA'!$1:$1048576,$A332-1,COLUMN('1-DATA'!AP331)),ROUND(INDEX('1-DATA'!$1:$1048576,IF(OR($B333="STD. DEVIATION",$C$1=1),$A333,$A333+1),COLUMN('1-DATA'!AP331)),IF($B333="STD. DEVIATION",2,$F$1))))</f>
        <v/>
      </c>
      <c r="AR333" s="1" t="str">
        <f>IF(OR($B333="",AR$7=""),"",IF($B333="MEANS",INDEX('1-DATA'!$1:$1048576,$A332-1,COLUMN('1-DATA'!AQ331)),ROUND(INDEX('1-DATA'!$1:$1048576,IF(OR($B333="STD. DEVIATION",$C$1=1),$A333,$A333+1),COLUMN('1-DATA'!AQ331)),IF($B333="STD. DEVIATION",2,$F$1))))</f>
        <v/>
      </c>
      <c r="AS333" s="1" t="str">
        <f>IF(OR($B333="",AS$7=""),"",IF($B333="MEANS",INDEX('1-DATA'!$1:$1048576,$A332-1,COLUMN('1-DATA'!AR331)),ROUND(INDEX('1-DATA'!$1:$1048576,IF(OR($B333="STD. DEVIATION",$C$1=1),$A333,$A333+1),COLUMN('1-DATA'!AR331)),IF($B333="STD. DEVIATION",2,$F$1))))</f>
        <v/>
      </c>
      <c r="AT333" s="1" t="str">
        <f>IF(OR($B333="",AT$7=""),"",IF($B333="MEANS",INDEX('1-DATA'!$1:$1048576,$A332-1,COLUMN('1-DATA'!AS331)),ROUND(INDEX('1-DATA'!$1:$1048576,IF(OR($B333="STD. DEVIATION",$C$1=1),$A333,$A333+1),COLUMN('1-DATA'!AS331)),IF($B333="STD. DEVIATION",2,$F$1))))</f>
        <v/>
      </c>
      <c r="AU333" s="1" t="str">
        <f>IF(OR($B333="",AU$7=""),"",IF($B333="MEANS",INDEX('1-DATA'!$1:$1048576,$A332-1,COLUMN('1-DATA'!AT331)),ROUND(INDEX('1-DATA'!$1:$1048576,IF(OR($B333="STD. DEVIATION",$C$1=1),$A333,$A333+1),COLUMN('1-DATA'!AT331)),IF($B333="STD. DEVIATION",2,$F$1))))</f>
        <v/>
      </c>
      <c r="AV333" s="1" t="str">
        <f>IF(OR($B333="",AV$7=""),"",IF($B333="MEANS",INDEX('1-DATA'!$1:$1048576,$A332-1,COLUMN('1-DATA'!AU331)),ROUND(INDEX('1-DATA'!$1:$1048576,IF(OR($B333="STD. DEVIATION",$C$1=1),$A333,$A333+1),COLUMN('1-DATA'!AU331)),IF($B333="STD. DEVIATION",2,$F$1))))</f>
        <v/>
      </c>
      <c r="AW333" s="1" t="str">
        <f>IF(OR($B333="",AW$7=""),"",IF($B333="MEANS",INDEX('1-DATA'!$1:$1048576,$A332-1,COLUMN('1-DATA'!AV331)),ROUND(INDEX('1-DATA'!$1:$1048576,IF(OR($B333="STD. DEVIATION",$C$1=1),$A333,$A333+1),COLUMN('1-DATA'!AV331)),IF($B333="STD. DEVIATION",2,$F$1))))</f>
        <v/>
      </c>
      <c r="AX333" s="1" t="str">
        <f>IF(OR($B333="",AX$7=""),"",IF($B333="MEANS",INDEX('1-DATA'!$1:$1048576,$A332-1,COLUMN('1-DATA'!AW331)),ROUND(INDEX('1-DATA'!$1:$1048576,IF(OR($B333="STD. DEVIATION",$C$1=1),$A333,$A333+1),COLUMN('1-DATA'!AW331)),IF($B333="STD. DEVIATION",2,$F$1))))</f>
        <v/>
      </c>
      <c r="AY333" s="1" t="str">
        <f>IF(OR($B333="",AY$7=""),"",IF($B333="MEANS",INDEX('1-DATA'!$1:$1048576,$A332-1,COLUMN('1-DATA'!AX331)),ROUND(INDEX('1-DATA'!$1:$1048576,IF(OR($B333="STD. DEVIATION",$C$1=1),$A333,$A333+1),COLUMN('1-DATA'!AX331)),IF($B333="STD. DEVIATION",2,$F$1))))</f>
        <v/>
      </c>
      <c r="AZ333" s="1" t="str">
        <f>IF(OR($B333="",AZ$7=""),"",IF($B333="MEANS",INDEX('1-DATA'!$1:$1048576,$A332-1,COLUMN('1-DATA'!AY331)),ROUND(INDEX('1-DATA'!$1:$1048576,IF(OR($B333="STD. DEVIATION",$C$1=1),$A333,$A333+1),COLUMN('1-DATA'!AY331)),IF($B333="STD. DEVIATION",2,$F$1))))</f>
        <v/>
      </c>
    </row>
    <row r="334" spans="1:52" x14ac:dyDescent="0.25">
      <c r="A334" s="11">
        <f t="shared" si="5"/>
        <v>988</v>
      </c>
      <c r="B334" s="1" t="str">
        <f>IF(B333="STD. DEVIATION",INDEX('1-DATA'!$1:$1048576,$A333-1,1),IF(INDEX('1-DATA'!$1:$1048576,$A334,1)&lt;&gt;"",INDEX('1-DATA'!$1:$1048576,$A334,1),""))</f>
        <v/>
      </c>
      <c r="C334" s="1" t="str">
        <f>IF(OR($B334="",C$7=""),"",IF($B334="MEANS",INDEX('1-DATA'!$1:$1048576,$A333-1,COLUMN('1-DATA'!B332)),ROUND(INDEX('1-DATA'!$1:$1048576,IF(OR($B334="STD. DEVIATION",$C$1=1),$A334,$A334+1),COLUMN('1-DATA'!B332)),IF($B334="STD. DEVIATION",2,$F$1))))</f>
        <v/>
      </c>
      <c r="D334" s="1" t="str">
        <f>IF(OR($B334="",D$7=""),"",IF($B334="MEANS",INDEX('1-DATA'!$1:$1048576,$A333-1,COLUMN('1-DATA'!C332)),ROUND(INDEX('1-DATA'!$1:$1048576,IF(OR($B334="STD. DEVIATION",$C$1=1),$A334,$A334+1),COLUMN('1-DATA'!C332)),IF($B334="STD. DEVIATION",2,$F$1))))</f>
        <v/>
      </c>
      <c r="E334" s="1" t="str">
        <f>IF(OR($B334="",E$7=""),"",IF($B334="MEANS",INDEX('1-DATA'!$1:$1048576,$A333-1,COLUMN('1-DATA'!D332)),ROUND(INDEX('1-DATA'!$1:$1048576,IF(OR($B334="STD. DEVIATION",$C$1=1),$A334,$A334+1),COLUMN('1-DATA'!D332)),IF($B334="STD. DEVIATION",2,$F$1))))</f>
        <v/>
      </c>
      <c r="F334" s="1" t="str">
        <f>IF(OR($B334="",F$7=""),"",IF($B334="MEANS",INDEX('1-DATA'!$1:$1048576,$A333-1,COLUMN('1-DATA'!E332)),ROUND(INDEX('1-DATA'!$1:$1048576,IF(OR($B334="STD. DEVIATION",$C$1=1),$A334,$A334+1),COLUMN('1-DATA'!E332)),IF($B334="STD. DEVIATION",2,$F$1))))</f>
        <v/>
      </c>
      <c r="G334" s="1" t="str">
        <f>IF(OR($B334="",G$7=""),"",IF($B334="MEANS",INDEX('1-DATA'!$1:$1048576,$A333-1,COLUMN('1-DATA'!F332)),ROUND(INDEX('1-DATA'!$1:$1048576,IF(OR($B334="STD. DEVIATION",$C$1=1),$A334,$A334+1),COLUMN('1-DATA'!F332)),IF($B334="STD. DEVIATION",2,$F$1))))</f>
        <v/>
      </c>
      <c r="H334" s="1" t="str">
        <f>IF(OR($B334="",H$7=""),"",IF($B334="MEANS",INDEX('1-DATA'!$1:$1048576,$A333-1,COLUMN('1-DATA'!G332)),ROUND(INDEX('1-DATA'!$1:$1048576,IF(OR($B334="STD. DEVIATION",$C$1=1),$A334,$A334+1),COLUMN('1-DATA'!G332)),IF($B334="STD. DEVIATION",2,$F$1))))</f>
        <v/>
      </c>
      <c r="I334" s="1" t="str">
        <f>IF(OR($B334="",I$7=""),"",IF($B334="MEANS",INDEX('1-DATA'!$1:$1048576,$A333-1,COLUMN('1-DATA'!H332)),ROUND(INDEX('1-DATA'!$1:$1048576,IF(OR($B334="STD. DEVIATION",$C$1=1),$A334,$A334+1),COLUMN('1-DATA'!H332)),IF($B334="STD. DEVIATION",2,$F$1))))</f>
        <v/>
      </c>
      <c r="J334" s="1" t="str">
        <f>IF(OR($B334="",J$7=""),"",IF($B334="MEANS",INDEX('1-DATA'!$1:$1048576,$A333-1,COLUMN('1-DATA'!I332)),ROUND(INDEX('1-DATA'!$1:$1048576,IF(OR($B334="STD. DEVIATION",$C$1=1),$A334,$A334+1),COLUMN('1-DATA'!I332)),IF($B334="STD. DEVIATION",2,$F$1))))</f>
        <v/>
      </c>
      <c r="K334" s="1" t="str">
        <f>IF(OR($B334="",K$7=""),"",IF($B334="MEANS",INDEX('1-DATA'!$1:$1048576,$A333-1,COLUMN('1-DATA'!J332)),ROUND(INDEX('1-DATA'!$1:$1048576,IF(OR($B334="STD. DEVIATION",$C$1=1),$A334,$A334+1),COLUMN('1-DATA'!J332)),IF($B334="STD. DEVIATION",2,$F$1))))</f>
        <v/>
      </c>
      <c r="L334" s="1" t="str">
        <f>IF(OR($B334="",L$7=""),"",IF($B334="MEANS",INDEX('1-DATA'!$1:$1048576,$A333-1,COLUMN('1-DATA'!K332)),ROUND(INDEX('1-DATA'!$1:$1048576,IF(OR($B334="STD. DEVIATION",$C$1=1),$A334,$A334+1),COLUMN('1-DATA'!K332)),IF($B334="STD. DEVIATION",2,$F$1))))</f>
        <v/>
      </c>
      <c r="M334" s="1" t="str">
        <f>IF(OR($B334="",M$7=""),"",IF($B334="MEANS",INDEX('1-DATA'!$1:$1048576,$A333-1,COLUMN('1-DATA'!L332)),ROUND(INDEX('1-DATA'!$1:$1048576,IF(OR($B334="STD. DEVIATION",$C$1=1),$A334,$A334+1),COLUMN('1-DATA'!L332)),IF($B334="STD. DEVIATION",2,$F$1))))</f>
        <v/>
      </c>
      <c r="N334" s="1" t="str">
        <f>IF(OR($B334="",N$7=""),"",IF($B334="MEANS",INDEX('1-DATA'!$1:$1048576,$A333-1,COLUMN('1-DATA'!M332)),ROUND(INDEX('1-DATA'!$1:$1048576,IF(OR($B334="STD. DEVIATION",$C$1=1),$A334,$A334+1),COLUMN('1-DATA'!M332)),IF($B334="STD. DEVIATION",2,$F$1))))</f>
        <v/>
      </c>
      <c r="O334" s="1" t="str">
        <f>IF(OR($B334="",O$7=""),"",IF($B334="MEANS",INDEX('1-DATA'!$1:$1048576,$A333-1,COLUMN('1-DATA'!N332)),ROUND(INDEX('1-DATA'!$1:$1048576,IF(OR($B334="STD. DEVIATION",$C$1=1),$A334,$A334+1),COLUMN('1-DATA'!N332)),IF($B334="STD. DEVIATION",2,$F$1))))</f>
        <v/>
      </c>
      <c r="P334" s="1" t="str">
        <f>IF(OR($B334="",P$7=""),"",IF($B334="MEANS",INDEX('1-DATA'!$1:$1048576,$A333-1,COLUMN('1-DATA'!O332)),ROUND(INDEX('1-DATA'!$1:$1048576,IF(OR($B334="STD. DEVIATION",$C$1=1),$A334,$A334+1),COLUMN('1-DATA'!O332)),IF($B334="STD. DEVIATION",2,$F$1))))</f>
        <v/>
      </c>
      <c r="Q334" s="1" t="str">
        <f>IF(OR($B334="",Q$7=""),"",IF($B334="MEANS",INDEX('1-DATA'!$1:$1048576,$A333-1,COLUMN('1-DATA'!P332)),ROUND(INDEX('1-DATA'!$1:$1048576,IF(OR($B334="STD. DEVIATION",$C$1=1),$A334,$A334+1),COLUMN('1-DATA'!P332)),IF($B334="STD. DEVIATION",2,$F$1))))</f>
        <v/>
      </c>
      <c r="R334" s="1" t="str">
        <f>IF(OR($B334="",R$7=""),"",IF($B334="MEANS",INDEX('1-DATA'!$1:$1048576,$A333-1,COLUMN('1-DATA'!Q332)),ROUND(INDEX('1-DATA'!$1:$1048576,IF(OR($B334="STD. DEVIATION",$C$1=1),$A334,$A334+1),COLUMN('1-DATA'!Q332)),IF($B334="STD. DEVIATION",2,$F$1))))</f>
        <v/>
      </c>
      <c r="S334" s="1" t="str">
        <f>IF(OR($B334="",S$7=""),"",IF($B334="MEANS",INDEX('1-DATA'!$1:$1048576,$A333-1,COLUMN('1-DATA'!R332)),ROUND(INDEX('1-DATA'!$1:$1048576,IF(OR($B334="STD. DEVIATION",$C$1=1),$A334,$A334+1),COLUMN('1-DATA'!R332)),IF($B334="STD. DEVIATION",2,$F$1))))</f>
        <v/>
      </c>
      <c r="T334" s="1" t="str">
        <f>IF(OR($B334="",T$7=""),"",IF($B334="MEANS",INDEX('1-DATA'!$1:$1048576,$A333-1,COLUMN('1-DATA'!S332)),ROUND(INDEX('1-DATA'!$1:$1048576,IF(OR($B334="STD. DEVIATION",$C$1=1),$A334,$A334+1),COLUMN('1-DATA'!S332)),IF($B334="STD. DEVIATION",2,$F$1))))</f>
        <v/>
      </c>
      <c r="U334" s="1" t="str">
        <f>IF(OR($B334="",U$7=""),"",IF($B334="MEANS",INDEX('1-DATA'!$1:$1048576,$A333-1,COLUMN('1-DATA'!T332)),ROUND(INDEX('1-DATA'!$1:$1048576,IF(OR($B334="STD. DEVIATION",$C$1=1),$A334,$A334+1),COLUMN('1-DATA'!T332)),IF($B334="STD. DEVIATION",2,$F$1))))</f>
        <v/>
      </c>
      <c r="V334" s="1" t="str">
        <f>IF(OR($B334="",V$7=""),"",IF($B334="MEANS",INDEX('1-DATA'!$1:$1048576,$A333-1,COLUMN('1-DATA'!U332)),ROUND(INDEX('1-DATA'!$1:$1048576,IF(OR($B334="STD. DEVIATION",$C$1=1),$A334,$A334+1),COLUMN('1-DATA'!U332)),IF($B334="STD. DEVIATION",2,$F$1))))</f>
        <v/>
      </c>
      <c r="W334" s="1" t="str">
        <f>IF(OR($B334="",W$7=""),"",IF($B334="MEANS",INDEX('1-DATA'!$1:$1048576,$A333-1,COLUMN('1-DATA'!V332)),ROUND(INDEX('1-DATA'!$1:$1048576,IF(OR($B334="STD. DEVIATION",$C$1=1),$A334,$A334+1),COLUMN('1-DATA'!V332)),IF($B334="STD. DEVIATION",2,$F$1))))</f>
        <v/>
      </c>
      <c r="X334" s="1" t="str">
        <f>IF(OR($B334="",X$7=""),"",IF($B334="MEANS",INDEX('1-DATA'!$1:$1048576,$A333-1,COLUMN('1-DATA'!W332)),ROUND(INDEX('1-DATA'!$1:$1048576,IF(OR($B334="STD. DEVIATION",$C$1=1),$A334,$A334+1),COLUMN('1-DATA'!W332)),IF($B334="STD. DEVIATION",2,$F$1))))</f>
        <v/>
      </c>
      <c r="Y334" s="1" t="str">
        <f>IF(OR($B334="",Y$7=""),"",IF($B334="MEANS",INDEX('1-DATA'!$1:$1048576,$A333-1,COLUMN('1-DATA'!X332)),ROUND(INDEX('1-DATA'!$1:$1048576,IF(OR($B334="STD. DEVIATION",$C$1=1),$A334,$A334+1),COLUMN('1-DATA'!X332)),IF($B334="STD. DEVIATION",2,$F$1))))</f>
        <v/>
      </c>
      <c r="Z334" s="1" t="str">
        <f>IF(OR($B334="",Z$7=""),"",IF($B334="MEANS",INDEX('1-DATA'!$1:$1048576,$A333-1,COLUMN('1-DATA'!Y332)),ROUND(INDEX('1-DATA'!$1:$1048576,IF(OR($B334="STD. DEVIATION",$C$1=1),$A334,$A334+1),COLUMN('1-DATA'!Y332)),IF($B334="STD. DEVIATION",2,$F$1))))</f>
        <v/>
      </c>
      <c r="AA334" s="1" t="str">
        <f>IF(OR($B334="",AA$7=""),"",IF($B334="MEANS",INDEX('1-DATA'!$1:$1048576,$A333-1,COLUMN('1-DATA'!Z332)),ROUND(INDEX('1-DATA'!$1:$1048576,IF(OR($B334="STD. DEVIATION",$C$1=1),$A334,$A334+1),COLUMN('1-DATA'!Z332)),IF($B334="STD. DEVIATION",2,$F$1))))</f>
        <v/>
      </c>
      <c r="AB334" s="1" t="str">
        <f>IF(OR($B334="",AB$7=""),"",IF($B334="MEANS",INDEX('1-DATA'!$1:$1048576,$A333-1,COLUMN('1-DATA'!AA332)),ROUND(INDEX('1-DATA'!$1:$1048576,IF(OR($B334="STD. DEVIATION",$C$1=1),$A334,$A334+1),COLUMN('1-DATA'!AA332)),IF($B334="STD. DEVIATION",2,$F$1))))</f>
        <v/>
      </c>
      <c r="AC334" s="1" t="str">
        <f>IF(OR($B334="",AC$7=""),"",IF($B334="MEANS",INDEX('1-DATA'!$1:$1048576,$A333-1,COLUMN('1-DATA'!AB332)),ROUND(INDEX('1-DATA'!$1:$1048576,IF(OR($B334="STD. DEVIATION",$C$1=1),$A334,$A334+1),COLUMN('1-DATA'!AB332)),IF($B334="STD. DEVIATION",2,$F$1))))</f>
        <v/>
      </c>
      <c r="AD334" s="1" t="str">
        <f>IF(OR($B334="",AD$7=""),"",IF($B334="MEANS",INDEX('1-DATA'!$1:$1048576,$A333-1,COLUMN('1-DATA'!AC332)),ROUND(INDEX('1-DATA'!$1:$1048576,IF(OR($B334="STD. DEVIATION",$C$1=1),$A334,$A334+1),COLUMN('1-DATA'!AC332)),IF($B334="STD. DEVIATION",2,$F$1))))</f>
        <v/>
      </c>
      <c r="AE334" s="1" t="str">
        <f>IF(OR($B334="",AE$7=""),"",IF($B334="MEANS",INDEX('1-DATA'!$1:$1048576,$A333-1,COLUMN('1-DATA'!AD332)),ROUND(INDEX('1-DATA'!$1:$1048576,IF(OR($B334="STD. DEVIATION",$C$1=1),$A334,$A334+1),COLUMN('1-DATA'!AD332)),IF($B334="STD. DEVIATION",2,$F$1))))</f>
        <v/>
      </c>
      <c r="AF334" s="1" t="str">
        <f>IF(OR($B334="",AF$7=""),"",IF($B334="MEANS",INDEX('1-DATA'!$1:$1048576,$A333-1,COLUMN('1-DATA'!AE332)),ROUND(INDEX('1-DATA'!$1:$1048576,IF(OR($B334="STD. DEVIATION",$C$1=1),$A334,$A334+1),COLUMN('1-DATA'!AE332)),IF($B334="STD. DEVIATION",2,$F$1))))</f>
        <v/>
      </c>
      <c r="AG334" s="1" t="str">
        <f>IF(OR($B334="",AG$7=""),"",IF($B334="MEANS",INDEX('1-DATA'!$1:$1048576,$A333-1,COLUMN('1-DATA'!AF332)),ROUND(INDEX('1-DATA'!$1:$1048576,IF(OR($B334="STD. DEVIATION",$C$1=1),$A334,$A334+1),COLUMN('1-DATA'!AF332)),IF($B334="STD. DEVIATION",2,$F$1))))</f>
        <v/>
      </c>
      <c r="AH334" s="1" t="str">
        <f>IF(OR($B334="",AH$7=""),"",IF($B334="MEANS",INDEX('1-DATA'!$1:$1048576,$A333-1,COLUMN('1-DATA'!AG332)),ROUND(INDEX('1-DATA'!$1:$1048576,IF(OR($B334="STD. DEVIATION",$C$1=1),$A334,$A334+1),COLUMN('1-DATA'!AG332)),IF($B334="STD. DEVIATION",2,$F$1))))</f>
        <v/>
      </c>
      <c r="AI334" s="1" t="str">
        <f>IF(OR($B334="",AI$7=""),"",IF($B334="MEANS",INDEX('1-DATA'!$1:$1048576,$A333-1,COLUMN('1-DATA'!AH332)),ROUND(INDEX('1-DATA'!$1:$1048576,IF(OR($B334="STD. DEVIATION",$C$1=1),$A334,$A334+1),COLUMN('1-DATA'!AH332)),IF($B334="STD. DEVIATION",2,$F$1))))</f>
        <v/>
      </c>
      <c r="AJ334" s="1" t="str">
        <f>IF(OR($B334="",AJ$7=""),"",IF($B334="MEANS",INDEX('1-DATA'!$1:$1048576,$A333-1,COLUMN('1-DATA'!AI332)),ROUND(INDEX('1-DATA'!$1:$1048576,IF(OR($B334="STD. DEVIATION",$C$1=1),$A334,$A334+1),COLUMN('1-DATA'!AI332)),IF($B334="STD. DEVIATION",2,$F$1))))</f>
        <v/>
      </c>
      <c r="AK334" s="1" t="str">
        <f>IF(OR($B334="",AK$7=""),"",IF($B334="MEANS",INDEX('1-DATA'!$1:$1048576,$A333-1,COLUMN('1-DATA'!AJ332)),ROUND(INDEX('1-DATA'!$1:$1048576,IF(OR($B334="STD. DEVIATION",$C$1=1),$A334,$A334+1),COLUMN('1-DATA'!AJ332)),IF($B334="STD. DEVIATION",2,$F$1))))</f>
        <v/>
      </c>
      <c r="AL334" s="1" t="str">
        <f>IF(OR($B334="",AL$7=""),"",IF($B334="MEANS",INDEX('1-DATA'!$1:$1048576,$A333-1,COLUMN('1-DATA'!AK332)),ROUND(INDEX('1-DATA'!$1:$1048576,IF(OR($B334="STD. DEVIATION",$C$1=1),$A334,$A334+1),COLUMN('1-DATA'!AK332)),IF($B334="STD. DEVIATION",2,$F$1))))</f>
        <v/>
      </c>
      <c r="AM334" s="1" t="str">
        <f>IF(OR($B334="",AM$7=""),"",IF($B334="MEANS",INDEX('1-DATA'!$1:$1048576,$A333-1,COLUMN('1-DATA'!AL332)),ROUND(INDEX('1-DATA'!$1:$1048576,IF(OR($B334="STD. DEVIATION",$C$1=1),$A334,$A334+1),COLUMN('1-DATA'!AL332)),IF($B334="STD. DEVIATION",2,$F$1))))</f>
        <v/>
      </c>
      <c r="AN334" s="1" t="str">
        <f>IF(OR($B334="",AN$7=""),"",IF($B334="MEANS",INDEX('1-DATA'!$1:$1048576,$A333-1,COLUMN('1-DATA'!AM332)),ROUND(INDEX('1-DATA'!$1:$1048576,IF(OR($B334="STD. DEVIATION",$C$1=1),$A334,$A334+1),COLUMN('1-DATA'!AM332)),IF($B334="STD. DEVIATION",2,$F$1))))</f>
        <v/>
      </c>
      <c r="AO334" s="1" t="str">
        <f>IF(OR($B334="",AO$7=""),"",IF($B334="MEANS",INDEX('1-DATA'!$1:$1048576,$A333-1,COLUMN('1-DATA'!AN332)),ROUND(INDEX('1-DATA'!$1:$1048576,IF(OR($B334="STD. DEVIATION",$C$1=1),$A334,$A334+1),COLUMN('1-DATA'!AN332)),IF($B334="STD. DEVIATION",2,$F$1))))</f>
        <v/>
      </c>
      <c r="AP334" s="1" t="str">
        <f>IF(OR($B334="",AP$7=""),"",IF($B334="MEANS",INDEX('1-DATA'!$1:$1048576,$A333-1,COLUMN('1-DATA'!AO332)),ROUND(INDEX('1-DATA'!$1:$1048576,IF(OR($B334="STD. DEVIATION",$C$1=1),$A334,$A334+1),COLUMN('1-DATA'!AO332)),IF($B334="STD. DEVIATION",2,$F$1))))</f>
        <v/>
      </c>
      <c r="AQ334" s="1" t="str">
        <f>IF(OR($B334="",AQ$7=""),"",IF($B334="MEANS",INDEX('1-DATA'!$1:$1048576,$A333-1,COLUMN('1-DATA'!AP332)),ROUND(INDEX('1-DATA'!$1:$1048576,IF(OR($B334="STD. DEVIATION",$C$1=1),$A334,$A334+1),COLUMN('1-DATA'!AP332)),IF($B334="STD. DEVIATION",2,$F$1))))</f>
        <v/>
      </c>
      <c r="AR334" s="1" t="str">
        <f>IF(OR($B334="",AR$7=""),"",IF($B334="MEANS",INDEX('1-DATA'!$1:$1048576,$A333-1,COLUMN('1-DATA'!AQ332)),ROUND(INDEX('1-DATA'!$1:$1048576,IF(OR($B334="STD. DEVIATION",$C$1=1),$A334,$A334+1),COLUMN('1-DATA'!AQ332)),IF($B334="STD. DEVIATION",2,$F$1))))</f>
        <v/>
      </c>
      <c r="AS334" s="1" t="str">
        <f>IF(OR($B334="",AS$7=""),"",IF($B334="MEANS",INDEX('1-DATA'!$1:$1048576,$A333-1,COLUMN('1-DATA'!AR332)),ROUND(INDEX('1-DATA'!$1:$1048576,IF(OR($B334="STD. DEVIATION",$C$1=1),$A334,$A334+1),COLUMN('1-DATA'!AR332)),IF($B334="STD. DEVIATION",2,$F$1))))</f>
        <v/>
      </c>
      <c r="AT334" s="1" t="str">
        <f>IF(OR($B334="",AT$7=""),"",IF($B334="MEANS",INDEX('1-DATA'!$1:$1048576,$A333-1,COLUMN('1-DATA'!AS332)),ROUND(INDEX('1-DATA'!$1:$1048576,IF(OR($B334="STD. DEVIATION",$C$1=1),$A334,$A334+1),COLUMN('1-DATA'!AS332)),IF($B334="STD. DEVIATION",2,$F$1))))</f>
        <v/>
      </c>
      <c r="AU334" s="1" t="str">
        <f>IF(OR($B334="",AU$7=""),"",IF($B334="MEANS",INDEX('1-DATA'!$1:$1048576,$A333-1,COLUMN('1-DATA'!AT332)),ROUND(INDEX('1-DATA'!$1:$1048576,IF(OR($B334="STD. DEVIATION",$C$1=1),$A334,$A334+1),COLUMN('1-DATA'!AT332)),IF($B334="STD. DEVIATION",2,$F$1))))</f>
        <v/>
      </c>
      <c r="AV334" s="1" t="str">
        <f>IF(OR($B334="",AV$7=""),"",IF($B334="MEANS",INDEX('1-DATA'!$1:$1048576,$A333-1,COLUMN('1-DATA'!AU332)),ROUND(INDEX('1-DATA'!$1:$1048576,IF(OR($B334="STD. DEVIATION",$C$1=1),$A334,$A334+1),COLUMN('1-DATA'!AU332)),IF($B334="STD. DEVIATION",2,$F$1))))</f>
        <v/>
      </c>
      <c r="AW334" s="1" t="str">
        <f>IF(OR($B334="",AW$7=""),"",IF($B334="MEANS",INDEX('1-DATA'!$1:$1048576,$A333-1,COLUMN('1-DATA'!AV332)),ROUND(INDEX('1-DATA'!$1:$1048576,IF(OR($B334="STD. DEVIATION",$C$1=1),$A334,$A334+1),COLUMN('1-DATA'!AV332)),IF($B334="STD. DEVIATION",2,$F$1))))</f>
        <v/>
      </c>
      <c r="AX334" s="1" t="str">
        <f>IF(OR($B334="",AX$7=""),"",IF($B334="MEANS",INDEX('1-DATA'!$1:$1048576,$A333-1,COLUMN('1-DATA'!AW332)),ROUND(INDEX('1-DATA'!$1:$1048576,IF(OR($B334="STD. DEVIATION",$C$1=1),$A334,$A334+1),COLUMN('1-DATA'!AW332)),IF($B334="STD. DEVIATION",2,$F$1))))</f>
        <v/>
      </c>
      <c r="AY334" s="1" t="str">
        <f>IF(OR($B334="",AY$7=""),"",IF($B334="MEANS",INDEX('1-DATA'!$1:$1048576,$A333-1,COLUMN('1-DATA'!AX332)),ROUND(INDEX('1-DATA'!$1:$1048576,IF(OR($B334="STD. DEVIATION",$C$1=1),$A334,$A334+1),COLUMN('1-DATA'!AX332)),IF($B334="STD. DEVIATION",2,$F$1))))</f>
        <v/>
      </c>
      <c r="AZ334" s="1" t="str">
        <f>IF(OR($B334="",AZ$7=""),"",IF($B334="MEANS",INDEX('1-DATA'!$1:$1048576,$A333-1,COLUMN('1-DATA'!AY332)),ROUND(INDEX('1-DATA'!$1:$1048576,IF(OR($B334="STD. DEVIATION",$C$1=1),$A334,$A334+1),COLUMN('1-DATA'!AY332)),IF($B334="STD. DEVIATION",2,$F$1))))</f>
        <v/>
      </c>
    </row>
    <row r="335" spans="1:52" x14ac:dyDescent="0.25">
      <c r="A335" s="11">
        <f t="shared" si="5"/>
        <v>991</v>
      </c>
      <c r="B335" s="1" t="str">
        <f>IF(B334="STD. DEVIATION",INDEX('1-DATA'!$1:$1048576,$A334-1,1),IF(INDEX('1-DATA'!$1:$1048576,$A335,1)&lt;&gt;"",INDEX('1-DATA'!$1:$1048576,$A335,1),""))</f>
        <v/>
      </c>
      <c r="C335" s="1" t="str">
        <f>IF(OR($B335="",C$7=""),"",IF($B335="MEANS",INDEX('1-DATA'!$1:$1048576,$A334-1,COLUMN('1-DATA'!B333)),ROUND(INDEX('1-DATA'!$1:$1048576,IF(OR($B335="STD. DEVIATION",$C$1=1),$A335,$A335+1),COLUMN('1-DATA'!B333)),IF($B335="STD. DEVIATION",2,$F$1))))</f>
        <v/>
      </c>
      <c r="D335" s="1" t="str">
        <f>IF(OR($B335="",D$7=""),"",IF($B335="MEANS",INDEX('1-DATA'!$1:$1048576,$A334-1,COLUMN('1-DATA'!C333)),ROUND(INDEX('1-DATA'!$1:$1048576,IF(OR($B335="STD. DEVIATION",$C$1=1),$A335,$A335+1),COLUMN('1-DATA'!C333)),IF($B335="STD. DEVIATION",2,$F$1))))</f>
        <v/>
      </c>
      <c r="E335" s="1" t="str">
        <f>IF(OR($B335="",E$7=""),"",IF($B335="MEANS",INDEX('1-DATA'!$1:$1048576,$A334-1,COLUMN('1-DATA'!D333)),ROUND(INDEX('1-DATA'!$1:$1048576,IF(OR($B335="STD. DEVIATION",$C$1=1),$A335,$A335+1),COLUMN('1-DATA'!D333)),IF($B335="STD. DEVIATION",2,$F$1))))</f>
        <v/>
      </c>
      <c r="F335" s="1" t="str">
        <f>IF(OR($B335="",F$7=""),"",IF($B335="MEANS",INDEX('1-DATA'!$1:$1048576,$A334-1,COLUMN('1-DATA'!E333)),ROUND(INDEX('1-DATA'!$1:$1048576,IF(OR($B335="STD. DEVIATION",$C$1=1),$A335,$A335+1),COLUMN('1-DATA'!E333)),IF($B335="STD. DEVIATION",2,$F$1))))</f>
        <v/>
      </c>
      <c r="G335" s="1" t="str">
        <f>IF(OR($B335="",G$7=""),"",IF($B335="MEANS",INDEX('1-DATA'!$1:$1048576,$A334-1,COLUMN('1-DATA'!F333)),ROUND(INDEX('1-DATA'!$1:$1048576,IF(OR($B335="STD. DEVIATION",$C$1=1),$A335,$A335+1),COLUMN('1-DATA'!F333)),IF($B335="STD. DEVIATION",2,$F$1))))</f>
        <v/>
      </c>
      <c r="H335" s="1" t="str">
        <f>IF(OR($B335="",H$7=""),"",IF($B335="MEANS",INDEX('1-DATA'!$1:$1048576,$A334-1,COLUMN('1-DATA'!G333)),ROUND(INDEX('1-DATA'!$1:$1048576,IF(OR($B335="STD. DEVIATION",$C$1=1),$A335,$A335+1),COLUMN('1-DATA'!G333)),IF($B335="STD. DEVIATION",2,$F$1))))</f>
        <v/>
      </c>
      <c r="I335" s="1" t="str">
        <f>IF(OR($B335="",I$7=""),"",IF($B335="MEANS",INDEX('1-DATA'!$1:$1048576,$A334-1,COLUMN('1-DATA'!H333)),ROUND(INDEX('1-DATA'!$1:$1048576,IF(OR($B335="STD. DEVIATION",$C$1=1),$A335,$A335+1),COLUMN('1-DATA'!H333)),IF($B335="STD. DEVIATION",2,$F$1))))</f>
        <v/>
      </c>
      <c r="J335" s="1" t="str">
        <f>IF(OR($B335="",J$7=""),"",IF($B335="MEANS",INDEX('1-DATA'!$1:$1048576,$A334-1,COLUMN('1-DATA'!I333)),ROUND(INDEX('1-DATA'!$1:$1048576,IF(OR($B335="STD. DEVIATION",$C$1=1),$A335,$A335+1),COLUMN('1-DATA'!I333)),IF($B335="STD. DEVIATION",2,$F$1))))</f>
        <v/>
      </c>
      <c r="K335" s="1" t="str">
        <f>IF(OR($B335="",K$7=""),"",IF($B335="MEANS",INDEX('1-DATA'!$1:$1048576,$A334-1,COLUMN('1-DATA'!J333)),ROUND(INDEX('1-DATA'!$1:$1048576,IF(OR($B335="STD. DEVIATION",$C$1=1),$A335,$A335+1),COLUMN('1-DATA'!J333)),IF($B335="STD. DEVIATION",2,$F$1))))</f>
        <v/>
      </c>
      <c r="L335" s="1" t="str">
        <f>IF(OR($B335="",L$7=""),"",IF($B335="MEANS",INDEX('1-DATA'!$1:$1048576,$A334-1,COLUMN('1-DATA'!K333)),ROUND(INDEX('1-DATA'!$1:$1048576,IF(OR($B335="STD. DEVIATION",$C$1=1),$A335,$A335+1),COLUMN('1-DATA'!K333)),IF($B335="STD. DEVIATION",2,$F$1))))</f>
        <v/>
      </c>
      <c r="M335" s="1" t="str">
        <f>IF(OR($B335="",M$7=""),"",IF($B335="MEANS",INDEX('1-DATA'!$1:$1048576,$A334-1,COLUMN('1-DATA'!L333)),ROUND(INDEX('1-DATA'!$1:$1048576,IF(OR($B335="STD. DEVIATION",$C$1=1),$A335,$A335+1),COLUMN('1-DATA'!L333)),IF($B335="STD. DEVIATION",2,$F$1))))</f>
        <v/>
      </c>
      <c r="N335" s="1" t="str">
        <f>IF(OR($B335="",N$7=""),"",IF($B335="MEANS",INDEX('1-DATA'!$1:$1048576,$A334-1,COLUMN('1-DATA'!M333)),ROUND(INDEX('1-DATA'!$1:$1048576,IF(OR($B335="STD. DEVIATION",$C$1=1),$A335,$A335+1),COLUMN('1-DATA'!M333)),IF($B335="STD. DEVIATION",2,$F$1))))</f>
        <v/>
      </c>
      <c r="O335" s="1" t="str">
        <f>IF(OR($B335="",O$7=""),"",IF($B335="MEANS",INDEX('1-DATA'!$1:$1048576,$A334-1,COLUMN('1-DATA'!N333)),ROUND(INDEX('1-DATA'!$1:$1048576,IF(OR($B335="STD. DEVIATION",$C$1=1),$A335,$A335+1),COLUMN('1-DATA'!N333)),IF($B335="STD. DEVIATION",2,$F$1))))</f>
        <v/>
      </c>
      <c r="P335" s="1" t="str">
        <f>IF(OR($B335="",P$7=""),"",IF($B335="MEANS",INDEX('1-DATA'!$1:$1048576,$A334-1,COLUMN('1-DATA'!O333)),ROUND(INDEX('1-DATA'!$1:$1048576,IF(OR($B335="STD. DEVIATION",$C$1=1),$A335,$A335+1),COLUMN('1-DATA'!O333)),IF($B335="STD. DEVIATION",2,$F$1))))</f>
        <v/>
      </c>
      <c r="Q335" s="1" t="str">
        <f>IF(OR($B335="",Q$7=""),"",IF($B335="MEANS",INDEX('1-DATA'!$1:$1048576,$A334-1,COLUMN('1-DATA'!P333)),ROUND(INDEX('1-DATA'!$1:$1048576,IF(OR($B335="STD. DEVIATION",$C$1=1),$A335,$A335+1),COLUMN('1-DATA'!P333)),IF($B335="STD. DEVIATION",2,$F$1))))</f>
        <v/>
      </c>
      <c r="R335" s="1" t="str">
        <f>IF(OR($B335="",R$7=""),"",IF($B335="MEANS",INDEX('1-DATA'!$1:$1048576,$A334-1,COLUMN('1-DATA'!Q333)),ROUND(INDEX('1-DATA'!$1:$1048576,IF(OR($B335="STD. DEVIATION",$C$1=1),$A335,$A335+1),COLUMN('1-DATA'!Q333)),IF($B335="STD. DEVIATION",2,$F$1))))</f>
        <v/>
      </c>
      <c r="S335" s="1" t="str">
        <f>IF(OR($B335="",S$7=""),"",IF($B335="MEANS",INDEX('1-DATA'!$1:$1048576,$A334-1,COLUMN('1-DATA'!R333)),ROUND(INDEX('1-DATA'!$1:$1048576,IF(OR($B335="STD. DEVIATION",$C$1=1),$A335,$A335+1),COLUMN('1-DATA'!R333)),IF($B335="STD. DEVIATION",2,$F$1))))</f>
        <v/>
      </c>
      <c r="T335" s="1" t="str">
        <f>IF(OR($B335="",T$7=""),"",IF($B335="MEANS",INDEX('1-DATA'!$1:$1048576,$A334-1,COLUMN('1-DATA'!S333)),ROUND(INDEX('1-DATA'!$1:$1048576,IF(OR($B335="STD. DEVIATION",$C$1=1),$A335,$A335+1),COLUMN('1-DATA'!S333)),IF($B335="STD. DEVIATION",2,$F$1))))</f>
        <v/>
      </c>
      <c r="U335" s="1" t="str">
        <f>IF(OR($B335="",U$7=""),"",IF($B335="MEANS",INDEX('1-DATA'!$1:$1048576,$A334-1,COLUMN('1-DATA'!T333)),ROUND(INDEX('1-DATA'!$1:$1048576,IF(OR($B335="STD. DEVIATION",$C$1=1),$A335,$A335+1),COLUMN('1-DATA'!T333)),IF($B335="STD. DEVIATION",2,$F$1))))</f>
        <v/>
      </c>
      <c r="V335" s="1" t="str">
        <f>IF(OR($B335="",V$7=""),"",IF($B335="MEANS",INDEX('1-DATA'!$1:$1048576,$A334-1,COLUMN('1-DATA'!U333)),ROUND(INDEX('1-DATA'!$1:$1048576,IF(OR($B335="STD. DEVIATION",$C$1=1),$A335,$A335+1),COLUMN('1-DATA'!U333)),IF($B335="STD. DEVIATION",2,$F$1))))</f>
        <v/>
      </c>
      <c r="W335" s="1" t="str">
        <f>IF(OR($B335="",W$7=""),"",IF($B335="MEANS",INDEX('1-DATA'!$1:$1048576,$A334-1,COLUMN('1-DATA'!V333)),ROUND(INDEX('1-DATA'!$1:$1048576,IF(OR($B335="STD. DEVIATION",$C$1=1),$A335,$A335+1),COLUMN('1-DATA'!V333)),IF($B335="STD. DEVIATION",2,$F$1))))</f>
        <v/>
      </c>
      <c r="X335" s="1" t="str">
        <f>IF(OR($B335="",X$7=""),"",IF($B335="MEANS",INDEX('1-DATA'!$1:$1048576,$A334-1,COLUMN('1-DATA'!W333)),ROUND(INDEX('1-DATA'!$1:$1048576,IF(OR($B335="STD. DEVIATION",$C$1=1),$A335,$A335+1),COLUMN('1-DATA'!W333)),IF($B335="STD. DEVIATION",2,$F$1))))</f>
        <v/>
      </c>
      <c r="Y335" s="1" t="str">
        <f>IF(OR($B335="",Y$7=""),"",IF($B335="MEANS",INDEX('1-DATA'!$1:$1048576,$A334-1,COLUMN('1-DATA'!X333)),ROUND(INDEX('1-DATA'!$1:$1048576,IF(OR($B335="STD. DEVIATION",$C$1=1),$A335,$A335+1),COLUMN('1-DATA'!X333)),IF($B335="STD. DEVIATION",2,$F$1))))</f>
        <v/>
      </c>
      <c r="Z335" s="1" t="str">
        <f>IF(OR($B335="",Z$7=""),"",IF($B335="MEANS",INDEX('1-DATA'!$1:$1048576,$A334-1,COLUMN('1-DATA'!Y333)),ROUND(INDEX('1-DATA'!$1:$1048576,IF(OR($B335="STD. DEVIATION",$C$1=1),$A335,$A335+1),COLUMN('1-DATA'!Y333)),IF($B335="STD. DEVIATION",2,$F$1))))</f>
        <v/>
      </c>
      <c r="AA335" s="1" t="str">
        <f>IF(OR($B335="",AA$7=""),"",IF($B335="MEANS",INDEX('1-DATA'!$1:$1048576,$A334-1,COLUMN('1-DATA'!Z333)),ROUND(INDEX('1-DATA'!$1:$1048576,IF(OR($B335="STD. DEVIATION",$C$1=1),$A335,$A335+1),COLUMN('1-DATA'!Z333)),IF($B335="STD. DEVIATION",2,$F$1))))</f>
        <v/>
      </c>
      <c r="AB335" s="1" t="str">
        <f>IF(OR($B335="",AB$7=""),"",IF($B335="MEANS",INDEX('1-DATA'!$1:$1048576,$A334-1,COLUMN('1-DATA'!AA333)),ROUND(INDEX('1-DATA'!$1:$1048576,IF(OR($B335="STD. DEVIATION",$C$1=1),$A335,$A335+1),COLUMN('1-DATA'!AA333)),IF($B335="STD. DEVIATION",2,$F$1))))</f>
        <v/>
      </c>
      <c r="AC335" s="1" t="str">
        <f>IF(OR($B335="",AC$7=""),"",IF($B335="MEANS",INDEX('1-DATA'!$1:$1048576,$A334-1,COLUMN('1-DATA'!AB333)),ROUND(INDEX('1-DATA'!$1:$1048576,IF(OR($B335="STD. DEVIATION",$C$1=1),$A335,$A335+1),COLUMN('1-DATA'!AB333)),IF($B335="STD. DEVIATION",2,$F$1))))</f>
        <v/>
      </c>
      <c r="AD335" s="1" t="str">
        <f>IF(OR($B335="",AD$7=""),"",IF($B335="MEANS",INDEX('1-DATA'!$1:$1048576,$A334-1,COLUMN('1-DATA'!AC333)),ROUND(INDEX('1-DATA'!$1:$1048576,IF(OR($B335="STD. DEVIATION",$C$1=1),$A335,$A335+1),COLUMN('1-DATA'!AC333)),IF($B335="STD. DEVIATION",2,$F$1))))</f>
        <v/>
      </c>
      <c r="AE335" s="1" t="str">
        <f>IF(OR($B335="",AE$7=""),"",IF($B335="MEANS",INDEX('1-DATA'!$1:$1048576,$A334-1,COLUMN('1-DATA'!AD333)),ROUND(INDEX('1-DATA'!$1:$1048576,IF(OR($B335="STD. DEVIATION",$C$1=1),$A335,$A335+1),COLUMN('1-DATA'!AD333)),IF($B335="STD. DEVIATION",2,$F$1))))</f>
        <v/>
      </c>
      <c r="AF335" s="1" t="str">
        <f>IF(OR($B335="",AF$7=""),"",IF($B335="MEANS",INDEX('1-DATA'!$1:$1048576,$A334-1,COLUMN('1-DATA'!AE333)),ROUND(INDEX('1-DATA'!$1:$1048576,IF(OR($B335="STD. DEVIATION",$C$1=1),$A335,$A335+1),COLUMN('1-DATA'!AE333)),IF($B335="STD. DEVIATION",2,$F$1))))</f>
        <v/>
      </c>
      <c r="AG335" s="1" t="str">
        <f>IF(OR($B335="",AG$7=""),"",IF($B335="MEANS",INDEX('1-DATA'!$1:$1048576,$A334-1,COLUMN('1-DATA'!AF333)),ROUND(INDEX('1-DATA'!$1:$1048576,IF(OR($B335="STD. DEVIATION",$C$1=1),$A335,$A335+1),COLUMN('1-DATA'!AF333)),IF($B335="STD. DEVIATION",2,$F$1))))</f>
        <v/>
      </c>
      <c r="AH335" s="1" t="str">
        <f>IF(OR($B335="",AH$7=""),"",IF($B335="MEANS",INDEX('1-DATA'!$1:$1048576,$A334-1,COLUMN('1-DATA'!AG333)),ROUND(INDEX('1-DATA'!$1:$1048576,IF(OR($B335="STD. DEVIATION",$C$1=1),$A335,$A335+1),COLUMN('1-DATA'!AG333)),IF($B335="STD. DEVIATION",2,$F$1))))</f>
        <v/>
      </c>
      <c r="AI335" s="1" t="str">
        <f>IF(OR($B335="",AI$7=""),"",IF($B335="MEANS",INDEX('1-DATA'!$1:$1048576,$A334-1,COLUMN('1-DATA'!AH333)),ROUND(INDEX('1-DATA'!$1:$1048576,IF(OR($B335="STD. DEVIATION",$C$1=1),$A335,$A335+1),COLUMN('1-DATA'!AH333)),IF($B335="STD. DEVIATION",2,$F$1))))</f>
        <v/>
      </c>
      <c r="AJ335" s="1" t="str">
        <f>IF(OR($B335="",AJ$7=""),"",IF($B335="MEANS",INDEX('1-DATA'!$1:$1048576,$A334-1,COLUMN('1-DATA'!AI333)),ROUND(INDEX('1-DATA'!$1:$1048576,IF(OR($B335="STD. DEVIATION",$C$1=1),$A335,$A335+1),COLUMN('1-DATA'!AI333)),IF($B335="STD. DEVIATION",2,$F$1))))</f>
        <v/>
      </c>
      <c r="AK335" s="1" t="str">
        <f>IF(OR($B335="",AK$7=""),"",IF($B335="MEANS",INDEX('1-DATA'!$1:$1048576,$A334-1,COLUMN('1-DATA'!AJ333)),ROUND(INDEX('1-DATA'!$1:$1048576,IF(OR($B335="STD. DEVIATION",$C$1=1),$A335,$A335+1),COLUMN('1-DATA'!AJ333)),IF($B335="STD. DEVIATION",2,$F$1))))</f>
        <v/>
      </c>
      <c r="AL335" s="1" t="str">
        <f>IF(OR($B335="",AL$7=""),"",IF($B335="MEANS",INDEX('1-DATA'!$1:$1048576,$A334-1,COLUMN('1-DATA'!AK333)),ROUND(INDEX('1-DATA'!$1:$1048576,IF(OR($B335="STD. DEVIATION",$C$1=1),$A335,$A335+1),COLUMN('1-DATA'!AK333)),IF($B335="STD. DEVIATION",2,$F$1))))</f>
        <v/>
      </c>
      <c r="AM335" s="1" t="str">
        <f>IF(OR($B335="",AM$7=""),"",IF($B335="MEANS",INDEX('1-DATA'!$1:$1048576,$A334-1,COLUMN('1-DATA'!AL333)),ROUND(INDEX('1-DATA'!$1:$1048576,IF(OR($B335="STD. DEVIATION",$C$1=1),$A335,$A335+1),COLUMN('1-DATA'!AL333)),IF($B335="STD. DEVIATION",2,$F$1))))</f>
        <v/>
      </c>
      <c r="AN335" s="1" t="str">
        <f>IF(OR($B335="",AN$7=""),"",IF($B335="MEANS",INDEX('1-DATA'!$1:$1048576,$A334-1,COLUMN('1-DATA'!AM333)),ROUND(INDEX('1-DATA'!$1:$1048576,IF(OR($B335="STD. DEVIATION",$C$1=1),$A335,$A335+1),COLUMN('1-DATA'!AM333)),IF($B335="STD. DEVIATION",2,$F$1))))</f>
        <v/>
      </c>
      <c r="AO335" s="1" t="str">
        <f>IF(OR($B335="",AO$7=""),"",IF($B335="MEANS",INDEX('1-DATA'!$1:$1048576,$A334-1,COLUMN('1-DATA'!AN333)),ROUND(INDEX('1-DATA'!$1:$1048576,IF(OR($B335="STD. DEVIATION",$C$1=1),$A335,$A335+1),COLUMN('1-DATA'!AN333)),IF($B335="STD. DEVIATION",2,$F$1))))</f>
        <v/>
      </c>
      <c r="AP335" s="1" t="str">
        <f>IF(OR($B335="",AP$7=""),"",IF($B335="MEANS",INDEX('1-DATA'!$1:$1048576,$A334-1,COLUMN('1-DATA'!AO333)),ROUND(INDEX('1-DATA'!$1:$1048576,IF(OR($B335="STD. DEVIATION",$C$1=1),$A335,$A335+1),COLUMN('1-DATA'!AO333)),IF($B335="STD. DEVIATION",2,$F$1))))</f>
        <v/>
      </c>
      <c r="AQ335" s="1" t="str">
        <f>IF(OR($B335="",AQ$7=""),"",IF($B335="MEANS",INDEX('1-DATA'!$1:$1048576,$A334-1,COLUMN('1-DATA'!AP333)),ROUND(INDEX('1-DATA'!$1:$1048576,IF(OR($B335="STD. DEVIATION",$C$1=1),$A335,$A335+1),COLUMN('1-DATA'!AP333)),IF($B335="STD. DEVIATION",2,$F$1))))</f>
        <v/>
      </c>
      <c r="AR335" s="1" t="str">
        <f>IF(OR($B335="",AR$7=""),"",IF($B335="MEANS",INDEX('1-DATA'!$1:$1048576,$A334-1,COLUMN('1-DATA'!AQ333)),ROUND(INDEX('1-DATA'!$1:$1048576,IF(OR($B335="STD. DEVIATION",$C$1=1),$A335,$A335+1),COLUMN('1-DATA'!AQ333)),IF($B335="STD. DEVIATION",2,$F$1))))</f>
        <v/>
      </c>
      <c r="AS335" s="1" t="str">
        <f>IF(OR($B335="",AS$7=""),"",IF($B335="MEANS",INDEX('1-DATA'!$1:$1048576,$A334-1,COLUMN('1-DATA'!AR333)),ROUND(INDEX('1-DATA'!$1:$1048576,IF(OR($B335="STD. DEVIATION",$C$1=1),$A335,$A335+1),COLUMN('1-DATA'!AR333)),IF($B335="STD. DEVIATION",2,$F$1))))</f>
        <v/>
      </c>
      <c r="AT335" s="1" t="str">
        <f>IF(OR($B335="",AT$7=""),"",IF($B335="MEANS",INDEX('1-DATA'!$1:$1048576,$A334-1,COLUMN('1-DATA'!AS333)),ROUND(INDEX('1-DATA'!$1:$1048576,IF(OR($B335="STD. DEVIATION",$C$1=1),$A335,$A335+1),COLUMN('1-DATA'!AS333)),IF($B335="STD. DEVIATION",2,$F$1))))</f>
        <v/>
      </c>
      <c r="AU335" s="1" t="str">
        <f>IF(OR($B335="",AU$7=""),"",IF($B335="MEANS",INDEX('1-DATA'!$1:$1048576,$A334-1,COLUMN('1-DATA'!AT333)),ROUND(INDEX('1-DATA'!$1:$1048576,IF(OR($B335="STD. DEVIATION",$C$1=1),$A335,$A335+1),COLUMN('1-DATA'!AT333)),IF($B335="STD. DEVIATION",2,$F$1))))</f>
        <v/>
      </c>
      <c r="AV335" s="1" t="str">
        <f>IF(OR($B335="",AV$7=""),"",IF($B335="MEANS",INDEX('1-DATA'!$1:$1048576,$A334-1,COLUMN('1-DATA'!AU333)),ROUND(INDEX('1-DATA'!$1:$1048576,IF(OR($B335="STD. DEVIATION",$C$1=1),$A335,$A335+1),COLUMN('1-DATA'!AU333)),IF($B335="STD. DEVIATION",2,$F$1))))</f>
        <v/>
      </c>
      <c r="AW335" s="1" t="str">
        <f>IF(OR($B335="",AW$7=""),"",IF($B335="MEANS",INDEX('1-DATA'!$1:$1048576,$A334-1,COLUMN('1-DATA'!AV333)),ROUND(INDEX('1-DATA'!$1:$1048576,IF(OR($B335="STD. DEVIATION",$C$1=1),$A335,$A335+1),COLUMN('1-DATA'!AV333)),IF($B335="STD. DEVIATION",2,$F$1))))</f>
        <v/>
      </c>
      <c r="AX335" s="1" t="str">
        <f>IF(OR($B335="",AX$7=""),"",IF($B335="MEANS",INDEX('1-DATA'!$1:$1048576,$A334-1,COLUMN('1-DATA'!AW333)),ROUND(INDEX('1-DATA'!$1:$1048576,IF(OR($B335="STD. DEVIATION",$C$1=1),$A335,$A335+1),COLUMN('1-DATA'!AW333)),IF($B335="STD. DEVIATION",2,$F$1))))</f>
        <v/>
      </c>
      <c r="AY335" s="1" t="str">
        <f>IF(OR($B335="",AY$7=""),"",IF($B335="MEANS",INDEX('1-DATA'!$1:$1048576,$A334-1,COLUMN('1-DATA'!AX333)),ROUND(INDEX('1-DATA'!$1:$1048576,IF(OR($B335="STD. DEVIATION",$C$1=1),$A335,$A335+1),COLUMN('1-DATA'!AX333)),IF($B335="STD. DEVIATION",2,$F$1))))</f>
        <v/>
      </c>
      <c r="AZ335" s="1" t="str">
        <f>IF(OR($B335="",AZ$7=""),"",IF($B335="MEANS",INDEX('1-DATA'!$1:$1048576,$A334-1,COLUMN('1-DATA'!AY333)),ROUND(INDEX('1-DATA'!$1:$1048576,IF(OR($B335="STD. DEVIATION",$C$1=1),$A335,$A335+1),COLUMN('1-DATA'!AY333)),IF($B335="STD. DEVIATION",2,$F$1))))</f>
        <v/>
      </c>
    </row>
    <row r="336" spans="1:52" x14ac:dyDescent="0.25">
      <c r="A336" s="11">
        <f t="shared" si="5"/>
        <v>994</v>
      </c>
      <c r="B336" s="1" t="str">
        <f>IF(B335="STD. DEVIATION",INDEX('1-DATA'!$1:$1048576,$A335-1,1),IF(INDEX('1-DATA'!$1:$1048576,$A336,1)&lt;&gt;"",INDEX('1-DATA'!$1:$1048576,$A336,1),""))</f>
        <v/>
      </c>
      <c r="C336" s="1" t="str">
        <f>IF(OR($B336="",C$7=""),"",IF($B336="MEANS",INDEX('1-DATA'!$1:$1048576,$A335-1,COLUMN('1-DATA'!B334)),ROUND(INDEX('1-DATA'!$1:$1048576,IF(OR($B336="STD. DEVIATION",$C$1=1),$A336,$A336+1),COLUMN('1-DATA'!B334)),IF($B336="STD. DEVIATION",2,$F$1))))</f>
        <v/>
      </c>
      <c r="D336" s="1" t="str">
        <f>IF(OR($B336="",D$7=""),"",IF($B336="MEANS",INDEX('1-DATA'!$1:$1048576,$A335-1,COLUMN('1-DATA'!C334)),ROUND(INDEX('1-DATA'!$1:$1048576,IF(OR($B336="STD. DEVIATION",$C$1=1),$A336,$A336+1),COLUMN('1-DATA'!C334)),IF($B336="STD. DEVIATION",2,$F$1))))</f>
        <v/>
      </c>
      <c r="E336" s="1" t="str">
        <f>IF(OR($B336="",E$7=""),"",IF($B336="MEANS",INDEX('1-DATA'!$1:$1048576,$A335-1,COLUMN('1-DATA'!D334)),ROUND(INDEX('1-DATA'!$1:$1048576,IF(OR($B336="STD. DEVIATION",$C$1=1),$A336,$A336+1),COLUMN('1-DATA'!D334)),IF($B336="STD. DEVIATION",2,$F$1))))</f>
        <v/>
      </c>
      <c r="F336" s="1" t="str">
        <f>IF(OR($B336="",F$7=""),"",IF($B336="MEANS",INDEX('1-DATA'!$1:$1048576,$A335-1,COLUMN('1-DATA'!E334)),ROUND(INDEX('1-DATA'!$1:$1048576,IF(OR($B336="STD. DEVIATION",$C$1=1),$A336,$A336+1),COLUMN('1-DATA'!E334)),IF($B336="STD. DEVIATION",2,$F$1))))</f>
        <v/>
      </c>
      <c r="G336" s="1" t="str">
        <f>IF(OR($B336="",G$7=""),"",IF($B336="MEANS",INDEX('1-DATA'!$1:$1048576,$A335-1,COLUMN('1-DATA'!F334)),ROUND(INDEX('1-DATA'!$1:$1048576,IF(OR($B336="STD. DEVIATION",$C$1=1),$A336,$A336+1),COLUMN('1-DATA'!F334)),IF($B336="STD. DEVIATION",2,$F$1))))</f>
        <v/>
      </c>
      <c r="H336" s="1" t="str">
        <f>IF(OR($B336="",H$7=""),"",IF($B336="MEANS",INDEX('1-DATA'!$1:$1048576,$A335-1,COLUMN('1-DATA'!G334)),ROUND(INDEX('1-DATA'!$1:$1048576,IF(OR($B336="STD. DEVIATION",$C$1=1),$A336,$A336+1),COLUMN('1-DATA'!G334)),IF($B336="STD. DEVIATION",2,$F$1))))</f>
        <v/>
      </c>
      <c r="I336" s="1" t="str">
        <f>IF(OR($B336="",I$7=""),"",IF($B336="MEANS",INDEX('1-DATA'!$1:$1048576,$A335-1,COLUMN('1-DATA'!H334)),ROUND(INDEX('1-DATA'!$1:$1048576,IF(OR($B336="STD. DEVIATION",$C$1=1),$A336,$A336+1),COLUMN('1-DATA'!H334)),IF($B336="STD. DEVIATION",2,$F$1))))</f>
        <v/>
      </c>
      <c r="J336" s="1" t="str">
        <f>IF(OR($B336="",J$7=""),"",IF($B336="MEANS",INDEX('1-DATA'!$1:$1048576,$A335-1,COLUMN('1-DATA'!I334)),ROUND(INDEX('1-DATA'!$1:$1048576,IF(OR($B336="STD. DEVIATION",$C$1=1),$A336,$A336+1),COLUMN('1-DATA'!I334)),IF($B336="STD. DEVIATION",2,$F$1))))</f>
        <v/>
      </c>
      <c r="K336" s="1" t="str">
        <f>IF(OR($B336="",K$7=""),"",IF($B336="MEANS",INDEX('1-DATA'!$1:$1048576,$A335-1,COLUMN('1-DATA'!J334)),ROUND(INDEX('1-DATA'!$1:$1048576,IF(OR($B336="STD. DEVIATION",$C$1=1),$A336,$A336+1),COLUMN('1-DATA'!J334)),IF($B336="STD. DEVIATION",2,$F$1))))</f>
        <v/>
      </c>
      <c r="L336" s="1" t="str">
        <f>IF(OR($B336="",L$7=""),"",IF($B336="MEANS",INDEX('1-DATA'!$1:$1048576,$A335-1,COLUMN('1-DATA'!K334)),ROUND(INDEX('1-DATA'!$1:$1048576,IF(OR($B336="STD. DEVIATION",$C$1=1),$A336,$A336+1),COLUMN('1-DATA'!K334)),IF($B336="STD. DEVIATION",2,$F$1))))</f>
        <v/>
      </c>
      <c r="M336" s="1" t="str">
        <f>IF(OR($B336="",M$7=""),"",IF($B336="MEANS",INDEX('1-DATA'!$1:$1048576,$A335-1,COLUMN('1-DATA'!L334)),ROUND(INDEX('1-DATA'!$1:$1048576,IF(OR($B336="STD. DEVIATION",$C$1=1),$A336,$A336+1),COLUMN('1-DATA'!L334)),IF($B336="STD. DEVIATION",2,$F$1))))</f>
        <v/>
      </c>
      <c r="N336" s="1" t="str">
        <f>IF(OR($B336="",N$7=""),"",IF($B336="MEANS",INDEX('1-DATA'!$1:$1048576,$A335-1,COLUMN('1-DATA'!M334)),ROUND(INDEX('1-DATA'!$1:$1048576,IF(OR($B336="STD. DEVIATION",$C$1=1),$A336,$A336+1),COLUMN('1-DATA'!M334)),IF($B336="STD. DEVIATION",2,$F$1))))</f>
        <v/>
      </c>
      <c r="O336" s="1" t="str">
        <f>IF(OR($B336="",O$7=""),"",IF($B336="MEANS",INDEX('1-DATA'!$1:$1048576,$A335-1,COLUMN('1-DATA'!N334)),ROUND(INDEX('1-DATA'!$1:$1048576,IF(OR($B336="STD. DEVIATION",$C$1=1),$A336,$A336+1),COLUMN('1-DATA'!N334)),IF($B336="STD. DEVIATION",2,$F$1))))</f>
        <v/>
      </c>
      <c r="P336" s="1" t="str">
        <f>IF(OR($B336="",P$7=""),"",IF($B336="MEANS",INDEX('1-DATA'!$1:$1048576,$A335-1,COLUMN('1-DATA'!O334)),ROUND(INDEX('1-DATA'!$1:$1048576,IF(OR($B336="STD. DEVIATION",$C$1=1),$A336,$A336+1),COLUMN('1-DATA'!O334)),IF($B336="STD. DEVIATION",2,$F$1))))</f>
        <v/>
      </c>
      <c r="Q336" s="1" t="str">
        <f>IF(OR($B336="",Q$7=""),"",IF($B336="MEANS",INDEX('1-DATA'!$1:$1048576,$A335-1,COLUMN('1-DATA'!P334)),ROUND(INDEX('1-DATA'!$1:$1048576,IF(OR($B336="STD. DEVIATION",$C$1=1),$A336,$A336+1),COLUMN('1-DATA'!P334)),IF($B336="STD. DEVIATION",2,$F$1))))</f>
        <v/>
      </c>
      <c r="R336" s="1" t="str">
        <f>IF(OR($B336="",R$7=""),"",IF($B336="MEANS",INDEX('1-DATA'!$1:$1048576,$A335-1,COLUMN('1-DATA'!Q334)),ROUND(INDEX('1-DATA'!$1:$1048576,IF(OR($B336="STD. DEVIATION",$C$1=1),$A336,$A336+1),COLUMN('1-DATA'!Q334)),IF($B336="STD. DEVIATION",2,$F$1))))</f>
        <v/>
      </c>
      <c r="S336" s="1" t="str">
        <f>IF(OR($B336="",S$7=""),"",IF($B336="MEANS",INDEX('1-DATA'!$1:$1048576,$A335-1,COLUMN('1-DATA'!R334)),ROUND(INDEX('1-DATA'!$1:$1048576,IF(OR($B336="STD. DEVIATION",$C$1=1),$A336,$A336+1),COLUMN('1-DATA'!R334)),IF($B336="STD. DEVIATION",2,$F$1))))</f>
        <v/>
      </c>
      <c r="T336" s="1" t="str">
        <f>IF(OR($B336="",T$7=""),"",IF($B336="MEANS",INDEX('1-DATA'!$1:$1048576,$A335-1,COLUMN('1-DATA'!S334)),ROUND(INDEX('1-DATA'!$1:$1048576,IF(OR($B336="STD. DEVIATION",$C$1=1),$A336,$A336+1),COLUMN('1-DATA'!S334)),IF($B336="STD. DEVIATION",2,$F$1))))</f>
        <v/>
      </c>
      <c r="U336" s="1" t="str">
        <f>IF(OR($B336="",U$7=""),"",IF($B336="MEANS",INDEX('1-DATA'!$1:$1048576,$A335-1,COLUMN('1-DATA'!T334)),ROUND(INDEX('1-DATA'!$1:$1048576,IF(OR($B336="STD. DEVIATION",$C$1=1),$A336,$A336+1),COLUMN('1-DATA'!T334)),IF($B336="STD. DEVIATION",2,$F$1))))</f>
        <v/>
      </c>
      <c r="V336" s="1" t="str">
        <f>IF(OR($B336="",V$7=""),"",IF($B336="MEANS",INDEX('1-DATA'!$1:$1048576,$A335-1,COLUMN('1-DATA'!U334)),ROUND(INDEX('1-DATA'!$1:$1048576,IF(OR($B336="STD. DEVIATION",$C$1=1),$A336,$A336+1),COLUMN('1-DATA'!U334)),IF($B336="STD. DEVIATION",2,$F$1))))</f>
        <v/>
      </c>
      <c r="W336" s="1" t="str">
        <f>IF(OR($B336="",W$7=""),"",IF($B336="MEANS",INDEX('1-DATA'!$1:$1048576,$A335-1,COLUMN('1-DATA'!V334)),ROUND(INDEX('1-DATA'!$1:$1048576,IF(OR($B336="STD. DEVIATION",$C$1=1),$A336,$A336+1),COLUMN('1-DATA'!V334)),IF($B336="STD. DEVIATION",2,$F$1))))</f>
        <v/>
      </c>
      <c r="X336" s="1" t="str">
        <f>IF(OR($B336="",X$7=""),"",IF($B336="MEANS",INDEX('1-DATA'!$1:$1048576,$A335-1,COLUMN('1-DATA'!W334)),ROUND(INDEX('1-DATA'!$1:$1048576,IF(OR($B336="STD. DEVIATION",$C$1=1),$A336,$A336+1),COLUMN('1-DATA'!W334)),IF($B336="STD. DEVIATION",2,$F$1))))</f>
        <v/>
      </c>
      <c r="Y336" s="1" t="str">
        <f>IF(OR($B336="",Y$7=""),"",IF($B336="MEANS",INDEX('1-DATA'!$1:$1048576,$A335-1,COLUMN('1-DATA'!X334)),ROUND(INDEX('1-DATA'!$1:$1048576,IF(OR($B336="STD. DEVIATION",$C$1=1),$A336,$A336+1),COLUMN('1-DATA'!X334)),IF($B336="STD. DEVIATION",2,$F$1))))</f>
        <v/>
      </c>
      <c r="Z336" s="1" t="str">
        <f>IF(OR($B336="",Z$7=""),"",IF($B336="MEANS",INDEX('1-DATA'!$1:$1048576,$A335-1,COLUMN('1-DATA'!Y334)),ROUND(INDEX('1-DATA'!$1:$1048576,IF(OR($B336="STD. DEVIATION",$C$1=1),$A336,$A336+1),COLUMN('1-DATA'!Y334)),IF($B336="STD. DEVIATION",2,$F$1))))</f>
        <v/>
      </c>
      <c r="AA336" s="1" t="str">
        <f>IF(OR($B336="",AA$7=""),"",IF($B336="MEANS",INDEX('1-DATA'!$1:$1048576,$A335-1,COLUMN('1-DATA'!Z334)),ROUND(INDEX('1-DATA'!$1:$1048576,IF(OR($B336="STD. DEVIATION",$C$1=1),$A336,$A336+1),COLUMN('1-DATA'!Z334)),IF($B336="STD. DEVIATION",2,$F$1))))</f>
        <v/>
      </c>
      <c r="AB336" s="1" t="str">
        <f>IF(OR($B336="",AB$7=""),"",IF($B336="MEANS",INDEX('1-DATA'!$1:$1048576,$A335-1,COLUMN('1-DATA'!AA334)),ROUND(INDEX('1-DATA'!$1:$1048576,IF(OR($B336="STD. DEVIATION",$C$1=1),$A336,$A336+1),COLUMN('1-DATA'!AA334)),IF($B336="STD. DEVIATION",2,$F$1))))</f>
        <v/>
      </c>
      <c r="AC336" s="1" t="str">
        <f>IF(OR($B336="",AC$7=""),"",IF($B336="MEANS",INDEX('1-DATA'!$1:$1048576,$A335-1,COLUMN('1-DATA'!AB334)),ROUND(INDEX('1-DATA'!$1:$1048576,IF(OR($B336="STD. DEVIATION",$C$1=1),$A336,$A336+1),COLUMN('1-DATA'!AB334)),IF($B336="STD. DEVIATION",2,$F$1))))</f>
        <v/>
      </c>
      <c r="AD336" s="1" t="str">
        <f>IF(OR($B336="",AD$7=""),"",IF($B336="MEANS",INDEX('1-DATA'!$1:$1048576,$A335-1,COLUMN('1-DATA'!AC334)),ROUND(INDEX('1-DATA'!$1:$1048576,IF(OR($B336="STD. DEVIATION",$C$1=1),$A336,$A336+1),COLUMN('1-DATA'!AC334)),IF($B336="STD. DEVIATION",2,$F$1))))</f>
        <v/>
      </c>
      <c r="AE336" s="1" t="str">
        <f>IF(OR($B336="",AE$7=""),"",IF($B336="MEANS",INDEX('1-DATA'!$1:$1048576,$A335-1,COLUMN('1-DATA'!AD334)),ROUND(INDEX('1-DATA'!$1:$1048576,IF(OR($B336="STD. DEVIATION",$C$1=1),$A336,$A336+1),COLUMN('1-DATA'!AD334)),IF($B336="STD. DEVIATION",2,$F$1))))</f>
        <v/>
      </c>
      <c r="AF336" s="1" t="str">
        <f>IF(OR($B336="",AF$7=""),"",IF($B336="MEANS",INDEX('1-DATA'!$1:$1048576,$A335-1,COLUMN('1-DATA'!AE334)),ROUND(INDEX('1-DATA'!$1:$1048576,IF(OR($B336="STD. DEVIATION",$C$1=1),$A336,$A336+1),COLUMN('1-DATA'!AE334)),IF($B336="STD. DEVIATION",2,$F$1))))</f>
        <v/>
      </c>
      <c r="AG336" s="1" t="str">
        <f>IF(OR($B336="",AG$7=""),"",IF($B336="MEANS",INDEX('1-DATA'!$1:$1048576,$A335-1,COLUMN('1-DATA'!AF334)),ROUND(INDEX('1-DATA'!$1:$1048576,IF(OR($B336="STD. DEVIATION",$C$1=1),$A336,$A336+1),COLUMN('1-DATA'!AF334)),IF($B336="STD. DEVIATION",2,$F$1))))</f>
        <v/>
      </c>
      <c r="AH336" s="1" t="str">
        <f>IF(OR($B336="",AH$7=""),"",IF($B336="MEANS",INDEX('1-DATA'!$1:$1048576,$A335-1,COLUMN('1-DATA'!AG334)),ROUND(INDEX('1-DATA'!$1:$1048576,IF(OR($B336="STD. DEVIATION",$C$1=1),$A336,$A336+1),COLUMN('1-DATA'!AG334)),IF($B336="STD. DEVIATION",2,$F$1))))</f>
        <v/>
      </c>
      <c r="AI336" s="1" t="str">
        <f>IF(OR($B336="",AI$7=""),"",IF($B336="MEANS",INDEX('1-DATA'!$1:$1048576,$A335-1,COLUMN('1-DATA'!AH334)),ROUND(INDEX('1-DATA'!$1:$1048576,IF(OR($B336="STD. DEVIATION",$C$1=1),$A336,$A336+1),COLUMN('1-DATA'!AH334)),IF($B336="STD. DEVIATION",2,$F$1))))</f>
        <v/>
      </c>
      <c r="AJ336" s="1" t="str">
        <f>IF(OR($B336="",AJ$7=""),"",IF($B336="MEANS",INDEX('1-DATA'!$1:$1048576,$A335-1,COLUMN('1-DATA'!AI334)),ROUND(INDEX('1-DATA'!$1:$1048576,IF(OR($B336="STD. DEVIATION",$C$1=1),$A336,$A336+1),COLUMN('1-DATA'!AI334)),IF($B336="STD. DEVIATION",2,$F$1))))</f>
        <v/>
      </c>
      <c r="AK336" s="1" t="str">
        <f>IF(OR($B336="",AK$7=""),"",IF($B336="MEANS",INDEX('1-DATA'!$1:$1048576,$A335-1,COLUMN('1-DATA'!AJ334)),ROUND(INDEX('1-DATA'!$1:$1048576,IF(OR($B336="STD. DEVIATION",$C$1=1),$A336,$A336+1),COLUMN('1-DATA'!AJ334)),IF($B336="STD. DEVIATION",2,$F$1))))</f>
        <v/>
      </c>
      <c r="AL336" s="1" t="str">
        <f>IF(OR($B336="",AL$7=""),"",IF($B336="MEANS",INDEX('1-DATA'!$1:$1048576,$A335-1,COLUMN('1-DATA'!AK334)),ROUND(INDEX('1-DATA'!$1:$1048576,IF(OR($B336="STD. DEVIATION",$C$1=1),$A336,$A336+1),COLUMN('1-DATA'!AK334)),IF($B336="STD. DEVIATION",2,$F$1))))</f>
        <v/>
      </c>
      <c r="AM336" s="1" t="str">
        <f>IF(OR($B336="",AM$7=""),"",IF($B336="MEANS",INDEX('1-DATA'!$1:$1048576,$A335-1,COLUMN('1-DATA'!AL334)),ROUND(INDEX('1-DATA'!$1:$1048576,IF(OR($B336="STD. DEVIATION",$C$1=1),$A336,$A336+1),COLUMN('1-DATA'!AL334)),IF($B336="STD. DEVIATION",2,$F$1))))</f>
        <v/>
      </c>
      <c r="AN336" s="1" t="str">
        <f>IF(OR($B336="",AN$7=""),"",IF($B336="MEANS",INDEX('1-DATA'!$1:$1048576,$A335-1,COLUMN('1-DATA'!AM334)),ROUND(INDEX('1-DATA'!$1:$1048576,IF(OR($B336="STD. DEVIATION",$C$1=1),$A336,$A336+1),COLUMN('1-DATA'!AM334)),IF($B336="STD. DEVIATION",2,$F$1))))</f>
        <v/>
      </c>
      <c r="AO336" s="1" t="str">
        <f>IF(OR($B336="",AO$7=""),"",IF($B336="MEANS",INDEX('1-DATA'!$1:$1048576,$A335-1,COLUMN('1-DATA'!AN334)),ROUND(INDEX('1-DATA'!$1:$1048576,IF(OR($B336="STD. DEVIATION",$C$1=1),$A336,$A336+1),COLUMN('1-DATA'!AN334)),IF($B336="STD. DEVIATION",2,$F$1))))</f>
        <v/>
      </c>
      <c r="AP336" s="1" t="str">
        <f>IF(OR($B336="",AP$7=""),"",IF($B336="MEANS",INDEX('1-DATA'!$1:$1048576,$A335-1,COLUMN('1-DATA'!AO334)),ROUND(INDEX('1-DATA'!$1:$1048576,IF(OR($B336="STD. DEVIATION",$C$1=1),$A336,$A336+1),COLUMN('1-DATA'!AO334)),IF($B336="STD. DEVIATION",2,$F$1))))</f>
        <v/>
      </c>
      <c r="AQ336" s="1" t="str">
        <f>IF(OR($B336="",AQ$7=""),"",IF($B336="MEANS",INDEX('1-DATA'!$1:$1048576,$A335-1,COLUMN('1-DATA'!AP334)),ROUND(INDEX('1-DATA'!$1:$1048576,IF(OR($B336="STD. DEVIATION",$C$1=1),$A336,$A336+1),COLUMN('1-DATA'!AP334)),IF($B336="STD. DEVIATION",2,$F$1))))</f>
        <v/>
      </c>
      <c r="AR336" s="1" t="str">
        <f>IF(OR($B336="",AR$7=""),"",IF($B336="MEANS",INDEX('1-DATA'!$1:$1048576,$A335-1,COLUMN('1-DATA'!AQ334)),ROUND(INDEX('1-DATA'!$1:$1048576,IF(OR($B336="STD. DEVIATION",$C$1=1),$A336,$A336+1),COLUMN('1-DATA'!AQ334)),IF($B336="STD. DEVIATION",2,$F$1))))</f>
        <v/>
      </c>
      <c r="AS336" s="1" t="str">
        <f>IF(OR($B336="",AS$7=""),"",IF($B336="MEANS",INDEX('1-DATA'!$1:$1048576,$A335-1,COLUMN('1-DATA'!AR334)),ROUND(INDEX('1-DATA'!$1:$1048576,IF(OR($B336="STD. DEVIATION",$C$1=1),$A336,$A336+1),COLUMN('1-DATA'!AR334)),IF($B336="STD. DEVIATION",2,$F$1))))</f>
        <v/>
      </c>
      <c r="AT336" s="1" t="str">
        <f>IF(OR($B336="",AT$7=""),"",IF($B336="MEANS",INDEX('1-DATA'!$1:$1048576,$A335-1,COLUMN('1-DATA'!AS334)),ROUND(INDEX('1-DATA'!$1:$1048576,IF(OR($B336="STD. DEVIATION",$C$1=1),$A336,$A336+1),COLUMN('1-DATA'!AS334)),IF($B336="STD. DEVIATION",2,$F$1))))</f>
        <v/>
      </c>
      <c r="AU336" s="1" t="str">
        <f>IF(OR($B336="",AU$7=""),"",IF($B336="MEANS",INDEX('1-DATA'!$1:$1048576,$A335-1,COLUMN('1-DATA'!AT334)),ROUND(INDEX('1-DATA'!$1:$1048576,IF(OR($B336="STD. DEVIATION",$C$1=1),$A336,$A336+1),COLUMN('1-DATA'!AT334)),IF($B336="STD. DEVIATION",2,$F$1))))</f>
        <v/>
      </c>
      <c r="AV336" s="1" t="str">
        <f>IF(OR($B336="",AV$7=""),"",IF($B336="MEANS",INDEX('1-DATA'!$1:$1048576,$A335-1,COLUMN('1-DATA'!AU334)),ROUND(INDEX('1-DATA'!$1:$1048576,IF(OR($B336="STD. DEVIATION",$C$1=1),$A336,$A336+1),COLUMN('1-DATA'!AU334)),IF($B336="STD. DEVIATION",2,$F$1))))</f>
        <v/>
      </c>
      <c r="AW336" s="1" t="str">
        <f>IF(OR($B336="",AW$7=""),"",IF($B336="MEANS",INDEX('1-DATA'!$1:$1048576,$A335-1,COLUMN('1-DATA'!AV334)),ROUND(INDEX('1-DATA'!$1:$1048576,IF(OR($B336="STD. DEVIATION",$C$1=1),$A336,$A336+1),COLUMN('1-DATA'!AV334)),IF($B336="STD. DEVIATION",2,$F$1))))</f>
        <v/>
      </c>
      <c r="AX336" s="1" t="str">
        <f>IF(OR($B336="",AX$7=""),"",IF($B336="MEANS",INDEX('1-DATA'!$1:$1048576,$A335-1,COLUMN('1-DATA'!AW334)),ROUND(INDEX('1-DATA'!$1:$1048576,IF(OR($B336="STD. DEVIATION",$C$1=1),$A336,$A336+1),COLUMN('1-DATA'!AW334)),IF($B336="STD. DEVIATION",2,$F$1))))</f>
        <v/>
      </c>
      <c r="AY336" s="1" t="str">
        <f>IF(OR($B336="",AY$7=""),"",IF($B336="MEANS",INDEX('1-DATA'!$1:$1048576,$A335-1,COLUMN('1-DATA'!AX334)),ROUND(INDEX('1-DATA'!$1:$1048576,IF(OR($B336="STD. DEVIATION",$C$1=1),$A336,$A336+1),COLUMN('1-DATA'!AX334)),IF($B336="STD. DEVIATION",2,$F$1))))</f>
        <v/>
      </c>
      <c r="AZ336" s="1" t="str">
        <f>IF(OR($B336="",AZ$7=""),"",IF($B336="MEANS",INDEX('1-DATA'!$1:$1048576,$A335-1,COLUMN('1-DATA'!AY334)),ROUND(INDEX('1-DATA'!$1:$1048576,IF(OR($B336="STD. DEVIATION",$C$1=1),$A336,$A336+1),COLUMN('1-DATA'!AY334)),IF($B336="STD. DEVIATION",2,$F$1))))</f>
        <v/>
      </c>
    </row>
    <row r="337" spans="1:52" x14ac:dyDescent="0.25">
      <c r="A337" s="11">
        <f t="shared" si="5"/>
        <v>997</v>
      </c>
      <c r="B337" s="1" t="str">
        <f>IF(B336="STD. DEVIATION",INDEX('1-DATA'!$1:$1048576,$A336-1,1),IF(INDEX('1-DATA'!$1:$1048576,$A337,1)&lt;&gt;"",INDEX('1-DATA'!$1:$1048576,$A337,1),""))</f>
        <v/>
      </c>
      <c r="C337" s="1" t="str">
        <f>IF(OR($B337="",C$7=""),"",IF($B337="MEANS",INDEX('1-DATA'!$1:$1048576,$A336-1,COLUMN('1-DATA'!B335)),ROUND(INDEX('1-DATA'!$1:$1048576,IF(OR($B337="STD. DEVIATION",$C$1=1),$A337,$A337+1),COLUMN('1-DATA'!B335)),IF($B337="STD. DEVIATION",2,$F$1))))</f>
        <v/>
      </c>
      <c r="D337" s="1" t="str">
        <f>IF(OR($B337="",D$7=""),"",IF($B337="MEANS",INDEX('1-DATA'!$1:$1048576,$A336-1,COLUMN('1-DATA'!C335)),ROUND(INDEX('1-DATA'!$1:$1048576,IF(OR($B337="STD. DEVIATION",$C$1=1),$A337,$A337+1),COLUMN('1-DATA'!C335)),IF($B337="STD. DEVIATION",2,$F$1))))</f>
        <v/>
      </c>
      <c r="E337" s="1" t="str">
        <f>IF(OR($B337="",E$7=""),"",IF($B337="MEANS",INDEX('1-DATA'!$1:$1048576,$A336-1,COLUMN('1-DATA'!D335)),ROUND(INDEX('1-DATA'!$1:$1048576,IF(OR($B337="STD. DEVIATION",$C$1=1),$A337,$A337+1),COLUMN('1-DATA'!D335)),IF($B337="STD. DEVIATION",2,$F$1))))</f>
        <v/>
      </c>
      <c r="F337" s="1" t="str">
        <f>IF(OR($B337="",F$7=""),"",IF($B337="MEANS",INDEX('1-DATA'!$1:$1048576,$A336-1,COLUMN('1-DATA'!E335)),ROUND(INDEX('1-DATA'!$1:$1048576,IF(OR($B337="STD. DEVIATION",$C$1=1),$A337,$A337+1),COLUMN('1-DATA'!E335)),IF($B337="STD. DEVIATION",2,$F$1))))</f>
        <v/>
      </c>
      <c r="G337" s="1" t="str">
        <f>IF(OR($B337="",G$7=""),"",IF($B337="MEANS",INDEX('1-DATA'!$1:$1048576,$A336-1,COLUMN('1-DATA'!F335)),ROUND(INDEX('1-DATA'!$1:$1048576,IF(OR($B337="STD. DEVIATION",$C$1=1),$A337,$A337+1),COLUMN('1-DATA'!F335)),IF($B337="STD. DEVIATION",2,$F$1))))</f>
        <v/>
      </c>
      <c r="H337" s="1" t="str">
        <f>IF(OR($B337="",H$7=""),"",IF($B337="MEANS",INDEX('1-DATA'!$1:$1048576,$A336-1,COLUMN('1-DATA'!G335)),ROUND(INDEX('1-DATA'!$1:$1048576,IF(OR($B337="STD. DEVIATION",$C$1=1),$A337,$A337+1),COLUMN('1-DATA'!G335)),IF($B337="STD. DEVIATION",2,$F$1))))</f>
        <v/>
      </c>
      <c r="I337" s="1" t="str">
        <f>IF(OR($B337="",I$7=""),"",IF($B337="MEANS",INDEX('1-DATA'!$1:$1048576,$A336-1,COLUMN('1-DATA'!H335)),ROUND(INDEX('1-DATA'!$1:$1048576,IF(OR($B337="STD. DEVIATION",$C$1=1),$A337,$A337+1),COLUMN('1-DATA'!H335)),IF($B337="STD. DEVIATION",2,$F$1))))</f>
        <v/>
      </c>
      <c r="J337" s="1" t="str">
        <f>IF(OR($B337="",J$7=""),"",IF($B337="MEANS",INDEX('1-DATA'!$1:$1048576,$A336-1,COLUMN('1-DATA'!I335)),ROUND(INDEX('1-DATA'!$1:$1048576,IF(OR($B337="STD. DEVIATION",$C$1=1),$A337,$A337+1),COLUMN('1-DATA'!I335)),IF($B337="STD. DEVIATION",2,$F$1))))</f>
        <v/>
      </c>
      <c r="K337" s="1" t="str">
        <f>IF(OR($B337="",K$7=""),"",IF($B337="MEANS",INDEX('1-DATA'!$1:$1048576,$A336-1,COLUMN('1-DATA'!J335)),ROUND(INDEX('1-DATA'!$1:$1048576,IF(OR($B337="STD. DEVIATION",$C$1=1),$A337,$A337+1),COLUMN('1-DATA'!J335)),IF($B337="STD. DEVIATION",2,$F$1))))</f>
        <v/>
      </c>
      <c r="L337" s="1" t="str">
        <f>IF(OR($B337="",L$7=""),"",IF($B337="MEANS",INDEX('1-DATA'!$1:$1048576,$A336-1,COLUMN('1-DATA'!K335)),ROUND(INDEX('1-DATA'!$1:$1048576,IF(OR($B337="STD. DEVIATION",$C$1=1),$A337,$A337+1),COLUMN('1-DATA'!K335)),IF($B337="STD. DEVIATION",2,$F$1))))</f>
        <v/>
      </c>
      <c r="M337" s="1" t="str">
        <f>IF(OR($B337="",M$7=""),"",IF($B337="MEANS",INDEX('1-DATA'!$1:$1048576,$A336-1,COLUMN('1-DATA'!L335)),ROUND(INDEX('1-DATA'!$1:$1048576,IF(OR($B337="STD. DEVIATION",$C$1=1),$A337,$A337+1),COLUMN('1-DATA'!L335)),IF($B337="STD. DEVIATION",2,$F$1))))</f>
        <v/>
      </c>
      <c r="N337" s="1" t="str">
        <f>IF(OR($B337="",N$7=""),"",IF($B337="MEANS",INDEX('1-DATA'!$1:$1048576,$A336-1,COLUMN('1-DATA'!M335)),ROUND(INDEX('1-DATA'!$1:$1048576,IF(OR($B337="STD. DEVIATION",$C$1=1),$A337,$A337+1),COLUMN('1-DATA'!M335)),IF($B337="STD. DEVIATION",2,$F$1))))</f>
        <v/>
      </c>
      <c r="O337" s="1" t="str">
        <f>IF(OR($B337="",O$7=""),"",IF($B337="MEANS",INDEX('1-DATA'!$1:$1048576,$A336-1,COLUMN('1-DATA'!N335)),ROUND(INDEX('1-DATA'!$1:$1048576,IF(OR($B337="STD. DEVIATION",$C$1=1),$A337,$A337+1),COLUMN('1-DATA'!N335)),IF($B337="STD. DEVIATION",2,$F$1))))</f>
        <v/>
      </c>
      <c r="P337" s="1" t="str">
        <f>IF(OR($B337="",P$7=""),"",IF($B337="MEANS",INDEX('1-DATA'!$1:$1048576,$A336-1,COLUMN('1-DATA'!O335)),ROUND(INDEX('1-DATA'!$1:$1048576,IF(OR($B337="STD. DEVIATION",$C$1=1),$A337,$A337+1),COLUMN('1-DATA'!O335)),IF($B337="STD. DEVIATION",2,$F$1))))</f>
        <v/>
      </c>
      <c r="Q337" s="1" t="str">
        <f>IF(OR($B337="",Q$7=""),"",IF($B337="MEANS",INDEX('1-DATA'!$1:$1048576,$A336-1,COLUMN('1-DATA'!P335)),ROUND(INDEX('1-DATA'!$1:$1048576,IF(OR($B337="STD. DEVIATION",$C$1=1),$A337,$A337+1),COLUMN('1-DATA'!P335)),IF($B337="STD. DEVIATION",2,$F$1))))</f>
        <v/>
      </c>
      <c r="R337" s="1" t="str">
        <f>IF(OR($B337="",R$7=""),"",IF($B337="MEANS",INDEX('1-DATA'!$1:$1048576,$A336-1,COLUMN('1-DATA'!Q335)),ROUND(INDEX('1-DATA'!$1:$1048576,IF(OR($B337="STD. DEVIATION",$C$1=1),$A337,$A337+1),COLUMN('1-DATA'!Q335)),IF($B337="STD. DEVIATION",2,$F$1))))</f>
        <v/>
      </c>
      <c r="S337" s="1" t="str">
        <f>IF(OR($B337="",S$7=""),"",IF($B337="MEANS",INDEX('1-DATA'!$1:$1048576,$A336-1,COLUMN('1-DATA'!R335)),ROUND(INDEX('1-DATA'!$1:$1048576,IF(OR($B337="STD. DEVIATION",$C$1=1),$A337,$A337+1),COLUMN('1-DATA'!R335)),IF($B337="STD. DEVIATION",2,$F$1))))</f>
        <v/>
      </c>
      <c r="T337" s="1" t="str">
        <f>IF(OR($B337="",T$7=""),"",IF($B337="MEANS",INDEX('1-DATA'!$1:$1048576,$A336-1,COLUMN('1-DATA'!S335)),ROUND(INDEX('1-DATA'!$1:$1048576,IF(OR($B337="STD. DEVIATION",$C$1=1),$A337,$A337+1),COLUMN('1-DATA'!S335)),IF($B337="STD. DEVIATION",2,$F$1))))</f>
        <v/>
      </c>
      <c r="U337" s="1" t="str">
        <f>IF(OR($B337="",U$7=""),"",IF($B337="MEANS",INDEX('1-DATA'!$1:$1048576,$A336-1,COLUMN('1-DATA'!T335)),ROUND(INDEX('1-DATA'!$1:$1048576,IF(OR($B337="STD. DEVIATION",$C$1=1),$A337,$A337+1),COLUMN('1-DATA'!T335)),IF($B337="STD. DEVIATION",2,$F$1))))</f>
        <v/>
      </c>
      <c r="V337" s="1" t="str">
        <f>IF(OR($B337="",V$7=""),"",IF($B337="MEANS",INDEX('1-DATA'!$1:$1048576,$A336-1,COLUMN('1-DATA'!U335)),ROUND(INDEX('1-DATA'!$1:$1048576,IF(OR($B337="STD. DEVIATION",$C$1=1),$A337,$A337+1),COLUMN('1-DATA'!U335)),IF($B337="STD. DEVIATION",2,$F$1))))</f>
        <v/>
      </c>
      <c r="W337" s="1" t="str">
        <f>IF(OR($B337="",W$7=""),"",IF($B337="MEANS",INDEX('1-DATA'!$1:$1048576,$A336-1,COLUMN('1-DATA'!V335)),ROUND(INDEX('1-DATA'!$1:$1048576,IF(OR($B337="STD. DEVIATION",$C$1=1),$A337,$A337+1),COLUMN('1-DATA'!V335)),IF($B337="STD. DEVIATION",2,$F$1))))</f>
        <v/>
      </c>
      <c r="X337" s="1" t="str">
        <f>IF(OR($B337="",X$7=""),"",IF($B337="MEANS",INDEX('1-DATA'!$1:$1048576,$A336-1,COLUMN('1-DATA'!W335)),ROUND(INDEX('1-DATA'!$1:$1048576,IF(OR($B337="STD. DEVIATION",$C$1=1),$A337,$A337+1),COLUMN('1-DATA'!W335)),IF($B337="STD. DEVIATION",2,$F$1))))</f>
        <v/>
      </c>
      <c r="Y337" s="1" t="str">
        <f>IF(OR($B337="",Y$7=""),"",IF($B337="MEANS",INDEX('1-DATA'!$1:$1048576,$A336-1,COLUMN('1-DATA'!X335)),ROUND(INDEX('1-DATA'!$1:$1048576,IF(OR($B337="STD. DEVIATION",$C$1=1),$A337,$A337+1),COLUMN('1-DATA'!X335)),IF($B337="STD. DEVIATION",2,$F$1))))</f>
        <v/>
      </c>
      <c r="Z337" s="1" t="str">
        <f>IF(OR($B337="",Z$7=""),"",IF($B337="MEANS",INDEX('1-DATA'!$1:$1048576,$A336-1,COLUMN('1-DATA'!Y335)),ROUND(INDEX('1-DATA'!$1:$1048576,IF(OR($B337="STD. DEVIATION",$C$1=1),$A337,$A337+1),COLUMN('1-DATA'!Y335)),IF($B337="STD. DEVIATION",2,$F$1))))</f>
        <v/>
      </c>
      <c r="AA337" s="1" t="str">
        <f>IF(OR($B337="",AA$7=""),"",IF($B337="MEANS",INDEX('1-DATA'!$1:$1048576,$A336-1,COLUMN('1-DATA'!Z335)),ROUND(INDEX('1-DATA'!$1:$1048576,IF(OR($B337="STD. DEVIATION",$C$1=1),$A337,$A337+1),COLUMN('1-DATA'!Z335)),IF($B337="STD. DEVIATION",2,$F$1))))</f>
        <v/>
      </c>
      <c r="AB337" s="1" t="str">
        <f>IF(OR($B337="",AB$7=""),"",IF($B337="MEANS",INDEX('1-DATA'!$1:$1048576,$A336-1,COLUMN('1-DATA'!AA335)),ROUND(INDEX('1-DATA'!$1:$1048576,IF(OR($B337="STD. DEVIATION",$C$1=1),$A337,$A337+1),COLUMN('1-DATA'!AA335)),IF($B337="STD. DEVIATION",2,$F$1))))</f>
        <v/>
      </c>
      <c r="AC337" s="1" t="str">
        <f>IF(OR($B337="",AC$7=""),"",IF($B337="MEANS",INDEX('1-DATA'!$1:$1048576,$A336-1,COLUMN('1-DATA'!AB335)),ROUND(INDEX('1-DATA'!$1:$1048576,IF(OR($B337="STD. DEVIATION",$C$1=1),$A337,$A337+1),COLUMN('1-DATA'!AB335)),IF($B337="STD. DEVIATION",2,$F$1))))</f>
        <v/>
      </c>
      <c r="AD337" s="1" t="str">
        <f>IF(OR($B337="",AD$7=""),"",IF($B337="MEANS",INDEX('1-DATA'!$1:$1048576,$A336-1,COLUMN('1-DATA'!AC335)),ROUND(INDEX('1-DATA'!$1:$1048576,IF(OR($B337="STD. DEVIATION",$C$1=1),$A337,$A337+1),COLUMN('1-DATA'!AC335)),IF($B337="STD. DEVIATION",2,$F$1))))</f>
        <v/>
      </c>
      <c r="AE337" s="1" t="str">
        <f>IF(OR($B337="",AE$7=""),"",IF($B337="MEANS",INDEX('1-DATA'!$1:$1048576,$A336-1,COLUMN('1-DATA'!AD335)),ROUND(INDEX('1-DATA'!$1:$1048576,IF(OR($B337="STD. DEVIATION",$C$1=1),$A337,$A337+1),COLUMN('1-DATA'!AD335)),IF($B337="STD. DEVIATION",2,$F$1))))</f>
        <v/>
      </c>
      <c r="AF337" s="1" t="str">
        <f>IF(OR($B337="",AF$7=""),"",IF($B337="MEANS",INDEX('1-DATA'!$1:$1048576,$A336-1,COLUMN('1-DATA'!AE335)),ROUND(INDEX('1-DATA'!$1:$1048576,IF(OR($B337="STD. DEVIATION",$C$1=1),$A337,$A337+1),COLUMN('1-DATA'!AE335)),IF($B337="STD. DEVIATION",2,$F$1))))</f>
        <v/>
      </c>
      <c r="AG337" s="1" t="str">
        <f>IF(OR($B337="",AG$7=""),"",IF($B337="MEANS",INDEX('1-DATA'!$1:$1048576,$A336-1,COLUMN('1-DATA'!AF335)),ROUND(INDEX('1-DATA'!$1:$1048576,IF(OR($B337="STD. DEVIATION",$C$1=1),$A337,$A337+1),COLUMN('1-DATA'!AF335)),IF($B337="STD. DEVIATION",2,$F$1))))</f>
        <v/>
      </c>
      <c r="AH337" s="1" t="str">
        <f>IF(OR($B337="",AH$7=""),"",IF($B337="MEANS",INDEX('1-DATA'!$1:$1048576,$A336-1,COLUMN('1-DATA'!AG335)),ROUND(INDEX('1-DATA'!$1:$1048576,IF(OR($B337="STD. DEVIATION",$C$1=1),$A337,$A337+1),COLUMN('1-DATA'!AG335)),IF($B337="STD. DEVIATION",2,$F$1))))</f>
        <v/>
      </c>
      <c r="AI337" s="1" t="str">
        <f>IF(OR($B337="",AI$7=""),"",IF($B337="MEANS",INDEX('1-DATA'!$1:$1048576,$A336-1,COLUMN('1-DATA'!AH335)),ROUND(INDEX('1-DATA'!$1:$1048576,IF(OR($B337="STD. DEVIATION",$C$1=1),$A337,$A337+1),COLUMN('1-DATA'!AH335)),IF($B337="STD. DEVIATION",2,$F$1))))</f>
        <v/>
      </c>
      <c r="AJ337" s="1" t="str">
        <f>IF(OR($B337="",AJ$7=""),"",IF($B337="MEANS",INDEX('1-DATA'!$1:$1048576,$A336-1,COLUMN('1-DATA'!AI335)),ROUND(INDEX('1-DATA'!$1:$1048576,IF(OR($B337="STD. DEVIATION",$C$1=1),$A337,$A337+1),COLUMN('1-DATA'!AI335)),IF($B337="STD. DEVIATION",2,$F$1))))</f>
        <v/>
      </c>
      <c r="AK337" s="1" t="str">
        <f>IF(OR($B337="",AK$7=""),"",IF($B337="MEANS",INDEX('1-DATA'!$1:$1048576,$A336-1,COLUMN('1-DATA'!AJ335)),ROUND(INDEX('1-DATA'!$1:$1048576,IF(OR($B337="STD. DEVIATION",$C$1=1),$A337,$A337+1),COLUMN('1-DATA'!AJ335)),IF($B337="STD. DEVIATION",2,$F$1))))</f>
        <v/>
      </c>
      <c r="AL337" s="1" t="str">
        <f>IF(OR($B337="",AL$7=""),"",IF($B337="MEANS",INDEX('1-DATA'!$1:$1048576,$A336-1,COLUMN('1-DATA'!AK335)),ROUND(INDEX('1-DATA'!$1:$1048576,IF(OR($B337="STD. DEVIATION",$C$1=1),$A337,$A337+1),COLUMN('1-DATA'!AK335)),IF($B337="STD. DEVIATION",2,$F$1))))</f>
        <v/>
      </c>
      <c r="AM337" s="1" t="str">
        <f>IF(OR($B337="",AM$7=""),"",IF($B337="MEANS",INDEX('1-DATA'!$1:$1048576,$A336-1,COLUMN('1-DATA'!AL335)),ROUND(INDEX('1-DATA'!$1:$1048576,IF(OR($B337="STD. DEVIATION",$C$1=1),$A337,$A337+1),COLUMN('1-DATA'!AL335)),IF($B337="STD. DEVIATION",2,$F$1))))</f>
        <v/>
      </c>
      <c r="AN337" s="1" t="str">
        <f>IF(OR($B337="",AN$7=""),"",IF($B337="MEANS",INDEX('1-DATA'!$1:$1048576,$A336-1,COLUMN('1-DATA'!AM335)),ROUND(INDEX('1-DATA'!$1:$1048576,IF(OR($B337="STD. DEVIATION",$C$1=1),$A337,$A337+1),COLUMN('1-DATA'!AM335)),IF($B337="STD. DEVIATION",2,$F$1))))</f>
        <v/>
      </c>
      <c r="AO337" s="1" t="str">
        <f>IF(OR($B337="",AO$7=""),"",IF($B337="MEANS",INDEX('1-DATA'!$1:$1048576,$A336-1,COLUMN('1-DATA'!AN335)),ROUND(INDEX('1-DATA'!$1:$1048576,IF(OR($B337="STD. DEVIATION",$C$1=1),$A337,$A337+1),COLUMN('1-DATA'!AN335)),IF($B337="STD. DEVIATION",2,$F$1))))</f>
        <v/>
      </c>
      <c r="AP337" s="1" t="str">
        <f>IF(OR($B337="",AP$7=""),"",IF($B337="MEANS",INDEX('1-DATA'!$1:$1048576,$A336-1,COLUMN('1-DATA'!AO335)),ROUND(INDEX('1-DATA'!$1:$1048576,IF(OR($B337="STD. DEVIATION",$C$1=1),$A337,$A337+1),COLUMN('1-DATA'!AO335)),IF($B337="STD. DEVIATION",2,$F$1))))</f>
        <v/>
      </c>
      <c r="AQ337" s="1" t="str">
        <f>IF(OR($B337="",AQ$7=""),"",IF($B337="MEANS",INDEX('1-DATA'!$1:$1048576,$A336-1,COLUMN('1-DATA'!AP335)),ROUND(INDEX('1-DATA'!$1:$1048576,IF(OR($B337="STD. DEVIATION",$C$1=1),$A337,$A337+1),COLUMN('1-DATA'!AP335)),IF($B337="STD. DEVIATION",2,$F$1))))</f>
        <v/>
      </c>
      <c r="AR337" s="1" t="str">
        <f>IF(OR($B337="",AR$7=""),"",IF($B337="MEANS",INDEX('1-DATA'!$1:$1048576,$A336-1,COLUMN('1-DATA'!AQ335)),ROUND(INDEX('1-DATA'!$1:$1048576,IF(OR($B337="STD. DEVIATION",$C$1=1),$A337,$A337+1),COLUMN('1-DATA'!AQ335)),IF($B337="STD. DEVIATION",2,$F$1))))</f>
        <v/>
      </c>
      <c r="AS337" s="1" t="str">
        <f>IF(OR($B337="",AS$7=""),"",IF($B337="MEANS",INDEX('1-DATA'!$1:$1048576,$A336-1,COLUMN('1-DATA'!AR335)),ROUND(INDEX('1-DATA'!$1:$1048576,IF(OR($B337="STD. DEVIATION",$C$1=1),$A337,$A337+1),COLUMN('1-DATA'!AR335)),IF($B337="STD. DEVIATION",2,$F$1))))</f>
        <v/>
      </c>
      <c r="AT337" s="1" t="str">
        <f>IF(OR($B337="",AT$7=""),"",IF($B337="MEANS",INDEX('1-DATA'!$1:$1048576,$A336-1,COLUMN('1-DATA'!AS335)),ROUND(INDEX('1-DATA'!$1:$1048576,IF(OR($B337="STD. DEVIATION",$C$1=1),$A337,$A337+1),COLUMN('1-DATA'!AS335)),IF($B337="STD. DEVIATION",2,$F$1))))</f>
        <v/>
      </c>
      <c r="AU337" s="1" t="str">
        <f>IF(OR($B337="",AU$7=""),"",IF($B337="MEANS",INDEX('1-DATA'!$1:$1048576,$A336-1,COLUMN('1-DATA'!AT335)),ROUND(INDEX('1-DATA'!$1:$1048576,IF(OR($B337="STD. DEVIATION",$C$1=1),$A337,$A337+1),COLUMN('1-DATA'!AT335)),IF($B337="STD. DEVIATION",2,$F$1))))</f>
        <v/>
      </c>
      <c r="AV337" s="1" t="str">
        <f>IF(OR($B337="",AV$7=""),"",IF($B337="MEANS",INDEX('1-DATA'!$1:$1048576,$A336-1,COLUMN('1-DATA'!AU335)),ROUND(INDEX('1-DATA'!$1:$1048576,IF(OR($B337="STD. DEVIATION",$C$1=1),$A337,$A337+1),COLUMN('1-DATA'!AU335)),IF($B337="STD. DEVIATION",2,$F$1))))</f>
        <v/>
      </c>
      <c r="AW337" s="1" t="str">
        <f>IF(OR($B337="",AW$7=""),"",IF($B337="MEANS",INDEX('1-DATA'!$1:$1048576,$A336-1,COLUMN('1-DATA'!AV335)),ROUND(INDEX('1-DATA'!$1:$1048576,IF(OR($B337="STD. DEVIATION",$C$1=1),$A337,$A337+1),COLUMN('1-DATA'!AV335)),IF($B337="STD. DEVIATION",2,$F$1))))</f>
        <v/>
      </c>
      <c r="AX337" s="1" t="str">
        <f>IF(OR($B337="",AX$7=""),"",IF($B337="MEANS",INDEX('1-DATA'!$1:$1048576,$A336-1,COLUMN('1-DATA'!AW335)),ROUND(INDEX('1-DATA'!$1:$1048576,IF(OR($B337="STD. DEVIATION",$C$1=1),$A337,$A337+1),COLUMN('1-DATA'!AW335)),IF($B337="STD. DEVIATION",2,$F$1))))</f>
        <v/>
      </c>
      <c r="AY337" s="1" t="str">
        <f>IF(OR($B337="",AY$7=""),"",IF($B337="MEANS",INDEX('1-DATA'!$1:$1048576,$A336-1,COLUMN('1-DATA'!AX335)),ROUND(INDEX('1-DATA'!$1:$1048576,IF(OR($B337="STD. DEVIATION",$C$1=1),$A337,$A337+1),COLUMN('1-DATA'!AX335)),IF($B337="STD. DEVIATION",2,$F$1))))</f>
        <v/>
      </c>
      <c r="AZ337" s="1" t="str">
        <f>IF(OR($B337="",AZ$7=""),"",IF($B337="MEANS",INDEX('1-DATA'!$1:$1048576,$A336-1,COLUMN('1-DATA'!AY335)),ROUND(INDEX('1-DATA'!$1:$1048576,IF(OR($B337="STD. DEVIATION",$C$1=1),$A337,$A337+1),COLUMN('1-DATA'!AY335)),IF($B337="STD. DEVIATION",2,$F$1))))</f>
        <v/>
      </c>
    </row>
    <row r="338" spans="1:52" x14ac:dyDescent="0.25">
      <c r="A338" s="11">
        <f t="shared" si="5"/>
        <v>1000</v>
      </c>
      <c r="B338" s="1" t="str">
        <f>IF(B337="STD. DEVIATION",INDEX('1-DATA'!$1:$1048576,$A337-1,1),IF(INDEX('1-DATA'!$1:$1048576,$A338,1)&lt;&gt;"",INDEX('1-DATA'!$1:$1048576,$A338,1),""))</f>
        <v/>
      </c>
      <c r="C338" s="1" t="str">
        <f>IF(OR($B338="",C$7=""),"",IF($B338="MEANS",INDEX('1-DATA'!$1:$1048576,$A337-1,COLUMN('1-DATA'!B336)),ROUND(INDEX('1-DATA'!$1:$1048576,IF(OR($B338="STD. DEVIATION",$C$1=1),$A338,$A338+1),COLUMN('1-DATA'!B336)),IF($B338="STD. DEVIATION",2,$F$1))))</f>
        <v/>
      </c>
      <c r="D338" s="1" t="str">
        <f>IF(OR($B338="",D$7=""),"",IF($B338="MEANS",INDEX('1-DATA'!$1:$1048576,$A337-1,COLUMN('1-DATA'!C336)),ROUND(INDEX('1-DATA'!$1:$1048576,IF(OR($B338="STD. DEVIATION",$C$1=1),$A338,$A338+1),COLUMN('1-DATA'!C336)),IF($B338="STD. DEVIATION",2,$F$1))))</f>
        <v/>
      </c>
      <c r="E338" s="1" t="str">
        <f>IF(OR($B338="",E$7=""),"",IF($B338="MEANS",INDEX('1-DATA'!$1:$1048576,$A337-1,COLUMN('1-DATA'!D336)),ROUND(INDEX('1-DATA'!$1:$1048576,IF(OR($B338="STD. DEVIATION",$C$1=1),$A338,$A338+1),COLUMN('1-DATA'!D336)),IF($B338="STD. DEVIATION",2,$F$1))))</f>
        <v/>
      </c>
      <c r="F338" s="1" t="str">
        <f>IF(OR($B338="",F$7=""),"",IF($B338="MEANS",INDEX('1-DATA'!$1:$1048576,$A337-1,COLUMN('1-DATA'!E336)),ROUND(INDEX('1-DATA'!$1:$1048576,IF(OR($B338="STD. DEVIATION",$C$1=1),$A338,$A338+1),COLUMN('1-DATA'!E336)),IF($B338="STD. DEVIATION",2,$F$1))))</f>
        <v/>
      </c>
      <c r="G338" s="1" t="str">
        <f>IF(OR($B338="",G$7=""),"",IF($B338="MEANS",INDEX('1-DATA'!$1:$1048576,$A337-1,COLUMN('1-DATA'!F336)),ROUND(INDEX('1-DATA'!$1:$1048576,IF(OR($B338="STD. DEVIATION",$C$1=1),$A338,$A338+1),COLUMN('1-DATA'!F336)),IF($B338="STD. DEVIATION",2,$F$1))))</f>
        <v/>
      </c>
      <c r="H338" s="1" t="str">
        <f>IF(OR($B338="",H$7=""),"",IF($B338="MEANS",INDEX('1-DATA'!$1:$1048576,$A337-1,COLUMN('1-DATA'!G336)),ROUND(INDEX('1-DATA'!$1:$1048576,IF(OR($B338="STD. DEVIATION",$C$1=1),$A338,$A338+1),COLUMN('1-DATA'!G336)),IF($B338="STD. DEVIATION",2,$F$1))))</f>
        <v/>
      </c>
      <c r="I338" s="1" t="str">
        <f>IF(OR($B338="",I$7=""),"",IF($B338="MEANS",INDEX('1-DATA'!$1:$1048576,$A337-1,COLUMN('1-DATA'!H336)),ROUND(INDEX('1-DATA'!$1:$1048576,IF(OR($B338="STD. DEVIATION",$C$1=1),$A338,$A338+1),COLUMN('1-DATA'!H336)),IF($B338="STD. DEVIATION",2,$F$1))))</f>
        <v/>
      </c>
      <c r="J338" s="1" t="str">
        <f>IF(OR($B338="",J$7=""),"",IF($B338="MEANS",INDEX('1-DATA'!$1:$1048576,$A337-1,COLUMN('1-DATA'!I336)),ROUND(INDEX('1-DATA'!$1:$1048576,IF(OR($B338="STD. DEVIATION",$C$1=1),$A338,$A338+1),COLUMN('1-DATA'!I336)),IF($B338="STD. DEVIATION",2,$F$1))))</f>
        <v/>
      </c>
      <c r="K338" s="1" t="str">
        <f>IF(OR($B338="",K$7=""),"",IF($B338="MEANS",INDEX('1-DATA'!$1:$1048576,$A337-1,COLUMN('1-DATA'!J336)),ROUND(INDEX('1-DATA'!$1:$1048576,IF(OR($B338="STD. DEVIATION",$C$1=1),$A338,$A338+1),COLUMN('1-DATA'!J336)),IF($B338="STD. DEVIATION",2,$F$1))))</f>
        <v/>
      </c>
      <c r="L338" s="1" t="str">
        <f>IF(OR($B338="",L$7=""),"",IF($B338="MEANS",INDEX('1-DATA'!$1:$1048576,$A337-1,COLUMN('1-DATA'!K336)),ROUND(INDEX('1-DATA'!$1:$1048576,IF(OR($B338="STD. DEVIATION",$C$1=1),$A338,$A338+1),COLUMN('1-DATA'!K336)),IF($B338="STD. DEVIATION",2,$F$1))))</f>
        <v/>
      </c>
      <c r="M338" s="1" t="str">
        <f>IF(OR($B338="",M$7=""),"",IF($B338="MEANS",INDEX('1-DATA'!$1:$1048576,$A337-1,COLUMN('1-DATA'!L336)),ROUND(INDEX('1-DATA'!$1:$1048576,IF(OR($B338="STD. DEVIATION",$C$1=1),$A338,$A338+1),COLUMN('1-DATA'!L336)),IF($B338="STD. DEVIATION",2,$F$1))))</f>
        <v/>
      </c>
      <c r="N338" s="1" t="str">
        <f>IF(OR($B338="",N$7=""),"",IF($B338="MEANS",INDEX('1-DATA'!$1:$1048576,$A337-1,COLUMN('1-DATA'!M336)),ROUND(INDEX('1-DATA'!$1:$1048576,IF(OR($B338="STD. DEVIATION",$C$1=1),$A338,$A338+1),COLUMN('1-DATA'!M336)),IF($B338="STD. DEVIATION",2,$F$1))))</f>
        <v/>
      </c>
      <c r="O338" s="1" t="str">
        <f>IF(OR($B338="",O$7=""),"",IF($B338="MEANS",INDEX('1-DATA'!$1:$1048576,$A337-1,COLUMN('1-DATA'!N336)),ROUND(INDEX('1-DATA'!$1:$1048576,IF(OR($B338="STD. DEVIATION",$C$1=1),$A338,$A338+1),COLUMN('1-DATA'!N336)),IF($B338="STD. DEVIATION",2,$F$1))))</f>
        <v/>
      </c>
      <c r="P338" s="1" t="str">
        <f>IF(OR($B338="",P$7=""),"",IF($B338="MEANS",INDEX('1-DATA'!$1:$1048576,$A337-1,COLUMN('1-DATA'!O336)),ROUND(INDEX('1-DATA'!$1:$1048576,IF(OR($B338="STD. DEVIATION",$C$1=1),$A338,$A338+1),COLUMN('1-DATA'!O336)),IF($B338="STD. DEVIATION",2,$F$1))))</f>
        <v/>
      </c>
      <c r="Q338" s="1" t="str">
        <f>IF(OR($B338="",Q$7=""),"",IF($B338="MEANS",INDEX('1-DATA'!$1:$1048576,$A337-1,COLUMN('1-DATA'!P336)),ROUND(INDEX('1-DATA'!$1:$1048576,IF(OR($B338="STD. DEVIATION",$C$1=1),$A338,$A338+1),COLUMN('1-DATA'!P336)),IF($B338="STD. DEVIATION",2,$F$1))))</f>
        <v/>
      </c>
      <c r="R338" s="1" t="str">
        <f>IF(OR($B338="",R$7=""),"",IF($B338="MEANS",INDEX('1-DATA'!$1:$1048576,$A337-1,COLUMN('1-DATA'!Q336)),ROUND(INDEX('1-DATA'!$1:$1048576,IF(OR($B338="STD. DEVIATION",$C$1=1),$A338,$A338+1),COLUMN('1-DATA'!Q336)),IF($B338="STD. DEVIATION",2,$F$1))))</f>
        <v/>
      </c>
      <c r="S338" s="1" t="str">
        <f>IF(OR($B338="",S$7=""),"",IF($B338="MEANS",INDEX('1-DATA'!$1:$1048576,$A337-1,COLUMN('1-DATA'!R336)),ROUND(INDEX('1-DATA'!$1:$1048576,IF(OR($B338="STD. DEVIATION",$C$1=1),$A338,$A338+1),COLUMN('1-DATA'!R336)),IF($B338="STD. DEVIATION",2,$F$1))))</f>
        <v/>
      </c>
      <c r="T338" s="1" t="str">
        <f>IF(OR($B338="",T$7=""),"",IF($B338="MEANS",INDEX('1-DATA'!$1:$1048576,$A337-1,COLUMN('1-DATA'!S336)),ROUND(INDEX('1-DATA'!$1:$1048576,IF(OR($B338="STD. DEVIATION",$C$1=1),$A338,$A338+1),COLUMN('1-DATA'!S336)),IF($B338="STD. DEVIATION",2,$F$1))))</f>
        <v/>
      </c>
      <c r="U338" s="1" t="str">
        <f>IF(OR($B338="",U$7=""),"",IF($B338="MEANS",INDEX('1-DATA'!$1:$1048576,$A337-1,COLUMN('1-DATA'!T336)),ROUND(INDEX('1-DATA'!$1:$1048576,IF(OR($B338="STD. DEVIATION",$C$1=1),$A338,$A338+1),COLUMN('1-DATA'!T336)),IF($B338="STD. DEVIATION",2,$F$1))))</f>
        <v/>
      </c>
      <c r="V338" s="1" t="str">
        <f>IF(OR($B338="",V$7=""),"",IF($B338="MEANS",INDEX('1-DATA'!$1:$1048576,$A337-1,COLUMN('1-DATA'!U336)),ROUND(INDEX('1-DATA'!$1:$1048576,IF(OR($B338="STD. DEVIATION",$C$1=1),$A338,$A338+1),COLUMN('1-DATA'!U336)),IF($B338="STD. DEVIATION",2,$F$1))))</f>
        <v/>
      </c>
      <c r="W338" s="1" t="str">
        <f>IF(OR($B338="",W$7=""),"",IF($B338="MEANS",INDEX('1-DATA'!$1:$1048576,$A337-1,COLUMN('1-DATA'!V336)),ROUND(INDEX('1-DATA'!$1:$1048576,IF(OR($B338="STD. DEVIATION",$C$1=1),$A338,$A338+1),COLUMN('1-DATA'!V336)),IF($B338="STD. DEVIATION",2,$F$1))))</f>
        <v/>
      </c>
      <c r="X338" s="1" t="str">
        <f>IF(OR($B338="",X$7=""),"",IF($B338="MEANS",INDEX('1-DATA'!$1:$1048576,$A337-1,COLUMN('1-DATA'!W336)),ROUND(INDEX('1-DATA'!$1:$1048576,IF(OR($B338="STD. DEVIATION",$C$1=1),$A338,$A338+1),COLUMN('1-DATA'!W336)),IF($B338="STD. DEVIATION",2,$F$1))))</f>
        <v/>
      </c>
      <c r="Y338" s="1" t="str">
        <f>IF(OR($B338="",Y$7=""),"",IF($B338="MEANS",INDEX('1-DATA'!$1:$1048576,$A337-1,COLUMN('1-DATA'!X336)),ROUND(INDEX('1-DATA'!$1:$1048576,IF(OR($B338="STD. DEVIATION",$C$1=1),$A338,$A338+1),COLUMN('1-DATA'!X336)),IF($B338="STD. DEVIATION",2,$F$1))))</f>
        <v/>
      </c>
      <c r="Z338" s="1" t="str">
        <f>IF(OR($B338="",Z$7=""),"",IF($B338="MEANS",INDEX('1-DATA'!$1:$1048576,$A337-1,COLUMN('1-DATA'!Y336)),ROUND(INDEX('1-DATA'!$1:$1048576,IF(OR($B338="STD. DEVIATION",$C$1=1),$A338,$A338+1),COLUMN('1-DATA'!Y336)),IF($B338="STD. DEVIATION",2,$F$1))))</f>
        <v/>
      </c>
      <c r="AA338" s="1" t="str">
        <f>IF(OR($B338="",AA$7=""),"",IF($B338="MEANS",INDEX('1-DATA'!$1:$1048576,$A337-1,COLUMN('1-DATA'!Z336)),ROUND(INDEX('1-DATA'!$1:$1048576,IF(OR($B338="STD. DEVIATION",$C$1=1),$A338,$A338+1),COLUMN('1-DATA'!Z336)),IF($B338="STD. DEVIATION",2,$F$1))))</f>
        <v/>
      </c>
      <c r="AB338" s="1" t="str">
        <f>IF(OR($B338="",AB$7=""),"",IF($B338="MEANS",INDEX('1-DATA'!$1:$1048576,$A337-1,COLUMN('1-DATA'!AA336)),ROUND(INDEX('1-DATA'!$1:$1048576,IF(OR($B338="STD. DEVIATION",$C$1=1),$A338,$A338+1),COLUMN('1-DATA'!AA336)),IF($B338="STD. DEVIATION",2,$F$1))))</f>
        <v/>
      </c>
      <c r="AC338" s="1" t="str">
        <f>IF(OR($B338="",AC$7=""),"",IF($B338="MEANS",INDEX('1-DATA'!$1:$1048576,$A337-1,COLUMN('1-DATA'!AB336)),ROUND(INDEX('1-DATA'!$1:$1048576,IF(OR($B338="STD. DEVIATION",$C$1=1),$A338,$A338+1),COLUMN('1-DATA'!AB336)),IF($B338="STD. DEVIATION",2,$F$1))))</f>
        <v/>
      </c>
      <c r="AD338" s="1" t="str">
        <f>IF(OR($B338="",AD$7=""),"",IF($B338="MEANS",INDEX('1-DATA'!$1:$1048576,$A337-1,COLUMN('1-DATA'!AC336)),ROUND(INDEX('1-DATA'!$1:$1048576,IF(OR($B338="STD. DEVIATION",$C$1=1),$A338,$A338+1),COLUMN('1-DATA'!AC336)),IF($B338="STD. DEVIATION",2,$F$1))))</f>
        <v/>
      </c>
      <c r="AE338" s="1" t="str">
        <f>IF(OR($B338="",AE$7=""),"",IF($B338="MEANS",INDEX('1-DATA'!$1:$1048576,$A337-1,COLUMN('1-DATA'!AD336)),ROUND(INDEX('1-DATA'!$1:$1048576,IF(OR($B338="STD. DEVIATION",$C$1=1),$A338,$A338+1),COLUMN('1-DATA'!AD336)),IF($B338="STD. DEVIATION",2,$F$1))))</f>
        <v/>
      </c>
      <c r="AF338" s="1" t="str">
        <f>IF(OR($B338="",AF$7=""),"",IF($B338="MEANS",INDEX('1-DATA'!$1:$1048576,$A337-1,COLUMN('1-DATA'!AE336)),ROUND(INDEX('1-DATA'!$1:$1048576,IF(OR($B338="STD. DEVIATION",$C$1=1),$A338,$A338+1),COLUMN('1-DATA'!AE336)),IF($B338="STD. DEVIATION",2,$F$1))))</f>
        <v/>
      </c>
      <c r="AG338" s="1" t="str">
        <f>IF(OR($B338="",AG$7=""),"",IF($B338="MEANS",INDEX('1-DATA'!$1:$1048576,$A337-1,COLUMN('1-DATA'!AF336)),ROUND(INDEX('1-DATA'!$1:$1048576,IF(OR($B338="STD. DEVIATION",$C$1=1),$A338,$A338+1),COLUMN('1-DATA'!AF336)),IF($B338="STD. DEVIATION",2,$F$1))))</f>
        <v/>
      </c>
      <c r="AH338" s="1" t="str">
        <f>IF(OR($B338="",AH$7=""),"",IF($B338="MEANS",INDEX('1-DATA'!$1:$1048576,$A337-1,COLUMN('1-DATA'!AG336)),ROUND(INDEX('1-DATA'!$1:$1048576,IF(OR($B338="STD. DEVIATION",$C$1=1),$A338,$A338+1),COLUMN('1-DATA'!AG336)),IF($B338="STD. DEVIATION",2,$F$1))))</f>
        <v/>
      </c>
      <c r="AI338" s="1" t="str">
        <f>IF(OR($B338="",AI$7=""),"",IF($B338="MEANS",INDEX('1-DATA'!$1:$1048576,$A337-1,COLUMN('1-DATA'!AH336)),ROUND(INDEX('1-DATA'!$1:$1048576,IF(OR($B338="STD. DEVIATION",$C$1=1),$A338,$A338+1),COLUMN('1-DATA'!AH336)),IF($B338="STD. DEVIATION",2,$F$1))))</f>
        <v/>
      </c>
      <c r="AJ338" s="1" t="str">
        <f>IF(OR($B338="",AJ$7=""),"",IF($B338="MEANS",INDEX('1-DATA'!$1:$1048576,$A337-1,COLUMN('1-DATA'!AI336)),ROUND(INDEX('1-DATA'!$1:$1048576,IF(OR($B338="STD. DEVIATION",$C$1=1),$A338,$A338+1),COLUMN('1-DATA'!AI336)),IF($B338="STD. DEVIATION",2,$F$1))))</f>
        <v/>
      </c>
      <c r="AK338" s="1" t="str">
        <f>IF(OR($B338="",AK$7=""),"",IF($B338="MEANS",INDEX('1-DATA'!$1:$1048576,$A337-1,COLUMN('1-DATA'!AJ336)),ROUND(INDEX('1-DATA'!$1:$1048576,IF(OR($B338="STD. DEVIATION",$C$1=1),$A338,$A338+1),COLUMN('1-DATA'!AJ336)),IF($B338="STD. DEVIATION",2,$F$1))))</f>
        <v/>
      </c>
      <c r="AL338" s="1" t="str">
        <f>IF(OR($B338="",AL$7=""),"",IF($B338="MEANS",INDEX('1-DATA'!$1:$1048576,$A337-1,COLUMN('1-DATA'!AK336)),ROUND(INDEX('1-DATA'!$1:$1048576,IF(OR($B338="STD. DEVIATION",$C$1=1),$A338,$A338+1),COLUMN('1-DATA'!AK336)),IF($B338="STD. DEVIATION",2,$F$1))))</f>
        <v/>
      </c>
      <c r="AM338" s="1" t="str">
        <f>IF(OR($B338="",AM$7=""),"",IF($B338="MEANS",INDEX('1-DATA'!$1:$1048576,$A337-1,COLUMN('1-DATA'!AL336)),ROUND(INDEX('1-DATA'!$1:$1048576,IF(OR($B338="STD. DEVIATION",$C$1=1),$A338,$A338+1),COLUMN('1-DATA'!AL336)),IF($B338="STD. DEVIATION",2,$F$1))))</f>
        <v/>
      </c>
      <c r="AN338" s="1" t="str">
        <f>IF(OR($B338="",AN$7=""),"",IF($B338="MEANS",INDEX('1-DATA'!$1:$1048576,$A337-1,COLUMN('1-DATA'!AM336)),ROUND(INDEX('1-DATA'!$1:$1048576,IF(OR($B338="STD. DEVIATION",$C$1=1),$A338,$A338+1),COLUMN('1-DATA'!AM336)),IF($B338="STD. DEVIATION",2,$F$1))))</f>
        <v/>
      </c>
      <c r="AO338" s="1" t="str">
        <f>IF(OR($B338="",AO$7=""),"",IF($B338="MEANS",INDEX('1-DATA'!$1:$1048576,$A337-1,COLUMN('1-DATA'!AN336)),ROUND(INDEX('1-DATA'!$1:$1048576,IF(OR($B338="STD. DEVIATION",$C$1=1),$A338,$A338+1),COLUMN('1-DATA'!AN336)),IF($B338="STD. DEVIATION",2,$F$1))))</f>
        <v/>
      </c>
      <c r="AP338" s="1" t="str">
        <f>IF(OR($B338="",AP$7=""),"",IF($B338="MEANS",INDEX('1-DATA'!$1:$1048576,$A337-1,COLUMN('1-DATA'!AO336)),ROUND(INDEX('1-DATA'!$1:$1048576,IF(OR($B338="STD. DEVIATION",$C$1=1),$A338,$A338+1),COLUMN('1-DATA'!AO336)),IF($B338="STD. DEVIATION",2,$F$1))))</f>
        <v/>
      </c>
      <c r="AQ338" s="1" t="str">
        <f>IF(OR($B338="",AQ$7=""),"",IF($B338="MEANS",INDEX('1-DATA'!$1:$1048576,$A337-1,COLUMN('1-DATA'!AP336)),ROUND(INDEX('1-DATA'!$1:$1048576,IF(OR($B338="STD. DEVIATION",$C$1=1),$A338,$A338+1),COLUMN('1-DATA'!AP336)),IF($B338="STD. DEVIATION",2,$F$1))))</f>
        <v/>
      </c>
      <c r="AR338" s="1" t="str">
        <f>IF(OR($B338="",AR$7=""),"",IF($B338="MEANS",INDEX('1-DATA'!$1:$1048576,$A337-1,COLUMN('1-DATA'!AQ336)),ROUND(INDEX('1-DATA'!$1:$1048576,IF(OR($B338="STD. DEVIATION",$C$1=1),$A338,$A338+1),COLUMN('1-DATA'!AQ336)),IF($B338="STD. DEVIATION",2,$F$1))))</f>
        <v/>
      </c>
      <c r="AS338" s="1" t="str">
        <f>IF(OR($B338="",AS$7=""),"",IF($B338="MEANS",INDEX('1-DATA'!$1:$1048576,$A337-1,COLUMN('1-DATA'!AR336)),ROUND(INDEX('1-DATA'!$1:$1048576,IF(OR($B338="STD. DEVIATION",$C$1=1),$A338,$A338+1),COLUMN('1-DATA'!AR336)),IF($B338="STD. DEVIATION",2,$F$1))))</f>
        <v/>
      </c>
      <c r="AT338" s="1" t="str">
        <f>IF(OR($B338="",AT$7=""),"",IF($B338="MEANS",INDEX('1-DATA'!$1:$1048576,$A337-1,COLUMN('1-DATA'!AS336)),ROUND(INDEX('1-DATA'!$1:$1048576,IF(OR($B338="STD. DEVIATION",$C$1=1),$A338,$A338+1),COLUMN('1-DATA'!AS336)),IF($B338="STD. DEVIATION",2,$F$1))))</f>
        <v/>
      </c>
      <c r="AU338" s="1" t="str">
        <f>IF(OR($B338="",AU$7=""),"",IF($B338="MEANS",INDEX('1-DATA'!$1:$1048576,$A337-1,COLUMN('1-DATA'!AT336)),ROUND(INDEX('1-DATA'!$1:$1048576,IF(OR($B338="STD. DEVIATION",$C$1=1),$A338,$A338+1),COLUMN('1-DATA'!AT336)),IF($B338="STD. DEVIATION",2,$F$1))))</f>
        <v/>
      </c>
      <c r="AV338" s="1" t="str">
        <f>IF(OR($B338="",AV$7=""),"",IF($B338="MEANS",INDEX('1-DATA'!$1:$1048576,$A337-1,COLUMN('1-DATA'!AU336)),ROUND(INDEX('1-DATA'!$1:$1048576,IF(OR($B338="STD. DEVIATION",$C$1=1),$A338,$A338+1),COLUMN('1-DATA'!AU336)),IF($B338="STD. DEVIATION",2,$F$1))))</f>
        <v/>
      </c>
      <c r="AW338" s="1" t="str">
        <f>IF(OR($B338="",AW$7=""),"",IF($B338="MEANS",INDEX('1-DATA'!$1:$1048576,$A337-1,COLUMN('1-DATA'!AV336)),ROUND(INDEX('1-DATA'!$1:$1048576,IF(OR($B338="STD. DEVIATION",$C$1=1),$A338,$A338+1),COLUMN('1-DATA'!AV336)),IF($B338="STD. DEVIATION",2,$F$1))))</f>
        <v/>
      </c>
      <c r="AX338" s="1" t="str">
        <f>IF(OR($B338="",AX$7=""),"",IF($B338="MEANS",INDEX('1-DATA'!$1:$1048576,$A337-1,COLUMN('1-DATA'!AW336)),ROUND(INDEX('1-DATA'!$1:$1048576,IF(OR($B338="STD. DEVIATION",$C$1=1),$A338,$A338+1),COLUMN('1-DATA'!AW336)),IF($B338="STD. DEVIATION",2,$F$1))))</f>
        <v/>
      </c>
      <c r="AY338" s="1" t="str">
        <f>IF(OR($B338="",AY$7=""),"",IF($B338="MEANS",INDEX('1-DATA'!$1:$1048576,$A337-1,COLUMN('1-DATA'!AX336)),ROUND(INDEX('1-DATA'!$1:$1048576,IF(OR($B338="STD. DEVIATION",$C$1=1),$A338,$A338+1),COLUMN('1-DATA'!AX336)),IF($B338="STD. DEVIATION",2,$F$1))))</f>
        <v/>
      </c>
      <c r="AZ338" s="1" t="str">
        <f>IF(OR($B338="",AZ$7=""),"",IF($B338="MEANS",INDEX('1-DATA'!$1:$1048576,$A337-1,COLUMN('1-DATA'!AY336)),ROUND(INDEX('1-DATA'!$1:$1048576,IF(OR($B338="STD. DEVIATION",$C$1=1),$A338,$A338+1),COLUMN('1-DATA'!AY336)),IF($B338="STD. DEVIATION",2,$F$1))))</f>
        <v/>
      </c>
    </row>
    <row r="339" spans="1:52" x14ac:dyDescent="0.25">
      <c r="A339" s="11">
        <f t="shared" si="5"/>
        <v>1003</v>
      </c>
      <c r="B339" s="1" t="str">
        <f>IF(B338="STD. DEVIATION",INDEX('1-DATA'!$1:$1048576,$A338-1,1),IF(INDEX('1-DATA'!$1:$1048576,$A339,1)&lt;&gt;"",INDEX('1-DATA'!$1:$1048576,$A339,1),""))</f>
        <v/>
      </c>
      <c r="C339" s="1" t="str">
        <f>IF(OR($B339="",C$7=""),"",IF($B339="MEANS",INDEX('1-DATA'!$1:$1048576,$A338-1,COLUMN('1-DATA'!B337)),ROUND(INDEX('1-DATA'!$1:$1048576,IF(OR($B339="STD. DEVIATION",$C$1=1),$A339,$A339+1),COLUMN('1-DATA'!B337)),IF($B339="STD. DEVIATION",2,$F$1))))</f>
        <v/>
      </c>
      <c r="D339" s="1" t="str">
        <f>IF(OR($B339="",D$7=""),"",IF($B339="MEANS",INDEX('1-DATA'!$1:$1048576,$A338-1,COLUMN('1-DATA'!C337)),ROUND(INDEX('1-DATA'!$1:$1048576,IF(OR($B339="STD. DEVIATION",$C$1=1),$A339,$A339+1),COLUMN('1-DATA'!C337)),IF($B339="STD. DEVIATION",2,$F$1))))</f>
        <v/>
      </c>
      <c r="E339" s="1" t="str">
        <f>IF(OR($B339="",E$7=""),"",IF($B339="MEANS",INDEX('1-DATA'!$1:$1048576,$A338-1,COLUMN('1-DATA'!D337)),ROUND(INDEX('1-DATA'!$1:$1048576,IF(OR($B339="STD. DEVIATION",$C$1=1),$A339,$A339+1),COLUMN('1-DATA'!D337)),IF($B339="STD. DEVIATION",2,$F$1))))</f>
        <v/>
      </c>
      <c r="F339" s="1" t="str">
        <f>IF(OR($B339="",F$7=""),"",IF($B339="MEANS",INDEX('1-DATA'!$1:$1048576,$A338-1,COLUMN('1-DATA'!E337)),ROUND(INDEX('1-DATA'!$1:$1048576,IF(OR($B339="STD. DEVIATION",$C$1=1),$A339,$A339+1),COLUMN('1-DATA'!E337)),IF($B339="STD. DEVIATION",2,$F$1))))</f>
        <v/>
      </c>
      <c r="G339" s="1" t="str">
        <f>IF(OR($B339="",G$7=""),"",IF($B339="MEANS",INDEX('1-DATA'!$1:$1048576,$A338-1,COLUMN('1-DATA'!F337)),ROUND(INDEX('1-DATA'!$1:$1048576,IF(OR($B339="STD. DEVIATION",$C$1=1),$A339,$A339+1),COLUMN('1-DATA'!F337)),IF($B339="STD. DEVIATION",2,$F$1))))</f>
        <v/>
      </c>
      <c r="H339" s="1" t="str">
        <f>IF(OR($B339="",H$7=""),"",IF($B339="MEANS",INDEX('1-DATA'!$1:$1048576,$A338-1,COLUMN('1-DATA'!G337)),ROUND(INDEX('1-DATA'!$1:$1048576,IF(OR($B339="STD. DEVIATION",$C$1=1),$A339,$A339+1),COLUMN('1-DATA'!G337)),IF($B339="STD. DEVIATION",2,$F$1))))</f>
        <v/>
      </c>
      <c r="I339" s="1" t="str">
        <f>IF(OR($B339="",I$7=""),"",IF($B339="MEANS",INDEX('1-DATA'!$1:$1048576,$A338-1,COLUMN('1-DATA'!H337)),ROUND(INDEX('1-DATA'!$1:$1048576,IF(OR($B339="STD. DEVIATION",$C$1=1),$A339,$A339+1),COLUMN('1-DATA'!H337)),IF($B339="STD. DEVIATION",2,$F$1))))</f>
        <v/>
      </c>
      <c r="J339" s="1" t="str">
        <f>IF(OR($B339="",J$7=""),"",IF($B339="MEANS",INDEX('1-DATA'!$1:$1048576,$A338-1,COLUMN('1-DATA'!I337)),ROUND(INDEX('1-DATA'!$1:$1048576,IF(OR($B339="STD. DEVIATION",$C$1=1),$A339,$A339+1),COLUMN('1-DATA'!I337)),IF($B339="STD. DEVIATION",2,$F$1))))</f>
        <v/>
      </c>
      <c r="K339" s="1" t="str">
        <f>IF(OR($B339="",K$7=""),"",IF($B339="MEANS",INDEX('1-DATA'!$1:$1048576,$A338-1,COLUMN('1-DATA'!J337)),ROUND(INDEX('1-DATA'!$1:$1048576,IF(OR($B339="STD. DEVIATION",$C$1=1),$A339,$A339+1),COLUMN('1-DATA'!J337)),IF($B339="STD. DEVIATION",2,$F$1))))</f>
        <v/>
      </c>
      <c r="L339" s="1" t="str">
        <f>IF(OR($B339="",L$7=""),"",IF($B339="MEANS",INDEX('1-DATA'!$1:$1048576,$A338-1,COLUMN('1-DATA'!K337)),ROUND(INDEX('1-DATA'!$1:$1048576,IF(OR($B339="STD. DEVIATION",$C$1=1),$A339,$A339+1),COLUMN('1-DATA'!K337)),IF($B339="STD. DEVIATION",2,$F$1))))</f>
        <v/>
      </c>
      <c r="M339" s="1" t="str">
        <f>IF(OR($B339="",M$7=""),"",IF($B339="MEANS",INDEX('1-DATA'!$1:$1048576,$A338-1,COLUMN('1-DATA'!L337)),ROUND(INDEX('1-DATA'!$1:$1048576,IF(OR($B339="STD. DEVIATION",$C$1=1),$A339,$A339+1),COLUMN('1-DATA'!L337)),IF($B339="STD. DEVIATION",2,$F$1))))</f>
        <v/>
      </c>
      <c r="N339" s="1" t="str">
        <f>IF(OR($B339="",N$7=""),"",IF($B339="MEANS",INDEX('1-DATA'!$1:$1048576,$A338-1,COLUMN('1-DATA'!M337)),ROUND(INDEX('1-DATA'!$1:$1048576,IF(OR($B339="STD. DEVIATION",$C$1=1),$A339,$A339+1),COLUMN('1-DATA'!M337)),IF($B339="STD. DEVIATION",2,$F$1))))</f>
        <v/>
      </c>
      <c r="O339" s="1" t="str">
        <f>IF(OR($B339="",O$7=""),"",IF($B339="MEANS",INDEX('1-DATA'!$1:$1048576,$A338-1,COLUMN('1-DATA'!N337)),ROUND(INDEX('1-DATA'!$1:$1048576,IF(OR($B339="STD. DEVIATION",$C$1=1),$A339,$A339+1),COLUMN('1-DATA'!N337)),IF($B339="STD. DEVIATION",2,$F$1))))</f>
        <v/>
      </c>
      <c r="P339" s="1" t="str">
        <f>IF(OR($B339="",P$7=""),"",IF($B339="MEANS",INDEX('1-DATA'!$1:$1048576,$A338-1,COLUMN('1-DATA'!O337)),ROUND(INDEX('1-DATA'!$1:$1048576,IF(OR($B339="STD. DEVIATION",$C$1=1),$A339,$A339+1),COLUMN('1-DATA'!O337)),IF($B339="STD. DEVIATION",2,$F$1))))</f>
        <v/>
      </c>
      <c r="Q339" s="1" t="str">
        <f>IF(OR($B339="",Q$7=""),"",IF($B339="MEANS",INDEX('1-DATA'!$1:$1048576,$A338-1,COLUMN('1-DATA'!P337)),ROUND(INDEX('1-DATA'!$1:$1048576,IF(OR($B339="STD. DEVIATION",$C$1=1),$A339,$A339+1),COLUMN('1-DATA'!P337)),IF($B339="STD. DEVIATION",2,$F$1))))</f>
        <v/>
      </c>
      <c r="R339" s="1" t="str">
        <f>IF(OR($B339="",R$7=""),"",IF($B339="MEANS",INDEX('1-DATA'!$1:$1048576,$A338-1,COLUMN('1-DATA'!Q337)),ROUND(INDEX('1-DATA'!$1:$1048576,IF(OR($B339="STD. DEVIATION",$C$1=1),$A339,$A339+1),COLUMN('1-DATA'!Q337)),IF($B339="STD. DEVIATION",2,$F$1))))</f>
        <v/>
      </c>
      <c r="S339" s="1" t="str">
        <f>IF(OR($B339="",S$7=""),"",IF($B339="MEANS",INDEX('1-DATA'!$1:$1048576,$A338-1,COLUMN('1-DATA'!R337)),ROUND(INDEX('1-DATA'!$1:$1048576,IF(OR($B339="STD. DEVIATION",$C$1=1),$A339,$A339+1),COLUMN('1-DATA'!R337)),IF($B339="STD. DEVIATION",2,$F$1))))</f>
        <v/>
      </c>
      <c r="T339" s="1" t="str">
        <f>IF(OR($B339="",T$7=""),"",IF($B339="MEANS",INDEX('1-DATA'!$1:$1048576,$A338-1,COLUMN('1-DATA'!S337)),ROUND(INDEX('1-DATA'!$1:$1048576,IF(OR($B339="STD. DEVIATION",$C$1=1),$A339,$A339+1),COLUMN('1-DATA'!S337)),IF($B339="STD. DEVIATION",2,$F$1))))</f>
        <v/>
      </c>
      <c r="U339" s="1" t="str">
        <f>IF(OR($B339="",U$7=""),"",IF($B339="MEANS",INDEX('1-DATA'!$1:$1048576,$A338-1,COLUMN('1-DATA'!T337)),ROUND(INDEX('1-DATA'!$1:$1048576,IF(OR($B339="STD. DEVIATION",$C$1=1),$A339,$A339+1),COLUMN('1-DATA'!T337)),IF($B339="STD. DEVIATION",2,$F$1))))</f>
        <v/>
      </c>
      <c r="V339" s="1" t="str">
        <f>IF(OR($B339="",V$7=""),"",IF($B339="MEANS",INDEX('1-DATA'!$1:$1048576,$A338-1,COLUMN('1-DATA'!U337)),ROUND(INDEX('1-DATA'!$1:$1048576,IF(OR($B339="STD. DEVIATION",$C$1=1),$A339,$A339+1),COLUMN('1-DATA'!U337)),IF($B339="STD. DEVIATION",2,$F$1))))</f>
        <v/>
      </c>
      <c r="W339" s="1" t="str">
        <f>IF(OR($B339="",W$7=""),"",IF($B339="MEANS",INDEX('1-DATA'!$1:$1048576,$A338-1,COLUMN('1-DATA'!V337)),ROUND(INDEX('1-DATA'!$1:$1048576,IF(OR($B339="STD. DEVIATION",$C$1=1),$A339,$A339+1),COLUMN('1-DATA'!V337)),IF($B339="STD. DEVIATION",2,$F$1))))</f>
        <v/>
      </c>
      <c r="X339" s="1" t="str">
        <f>IF(OR($B339="",X$7=""),"",IF($B339="MEANS",INDEX('1-DATA'!$1:$1048576,$A338-1,COLUMN('1-DATA'!W337)),ROUND(INDEX('1-DATA'!$1:$1048576,IF(OR($B339="STD. DEVIATION",$C$1=1),$A339,$A339+1),COLUMN('1-DATA'!W337)),IF($B339="STD. DEVIATION",2,$F$1))))</f>
        <v/>
      </c>
      <c r="Y339" s="1" t="str">
        <f>IF(OR($B339="",Y$7=""),"",IF($B339="MEANS",INDEX('1-DATA'!$1:$1048576,$A338-1,COLUMN('1-DATA'!X337)),ROUND(INDEX('1-DATA'!$1:$1048576,IF(OR($B339="STD. DEVIATION",$C$1=1),$A339,$A339+1),COLUMN('1-DATA'!X337)),IF($B339="STD. DEVIATION",2,$F$1))))</f>
        <v/>
      </c>
      <c r="Z339" s="1" t="str">
        <f>IF(OR($B339="",Z$7=""),"",IF($B339="MEANS",INDEX('1-DATA'!$1:$1048576,$A338-1,COLUMN('1-DATA'!Y337)),ROUND(INDEX('1-DATA'!$1:$1048576,IF(OR($B339="STD. DEVIATION",$C$1=1),$A339,$A339+1),COLUMN('1-DATA'!Y337)),IF($B339="STD. DEVIATION",2,$F$1))))</f>
        <v/>
      </c>
      <c r="AA339" s="1" t="str">
        <f>IF(OR($B339="",AA$7=""),"",IF($B339="MEANS",INDEX('1-DATA'!$1:$1048576,$A338-1,COLUMN('1-DATA'!Z337)),ROUND(INDEX('1-DATA'!$1:$1048576,IF(OR($B339="STD. DEVIATION",$C$1=1),$A339,$A339+1),COLUMN('1-DATA'!Z337)),IF($B339="STD. DEVIATION",2,$F$1))))</f>
        <v/>
      </c>
      <c r="AB339" s="1" t="str">
        <f>IF(OR($B339="",AB$7=""),"",IF($B339="MEANS",INDEX('1-DATA'!$1:$1048576,$A338-1,COLUMN('1-DATA'!AA337)),ROUND(INDEX('1-DATA'!$1:$1048576,IF(OR($B339="STD. DEVIATION",$C$1=1),$A339,$A339+1),COLUMN('1-DATA'!AA337)),IF($B339="STD. DEVIATION",2,$F$1))))</f>
        <v/>
      </c>
      <c r="AC339" s="1" t="str">
        <f>IF(OR($B339="",AC$7=""),"",IF($B339="MEANS",INDEX('1-DATA'!$1:$1048576,$A338-1,COLUMN('1-DATA'!AB337)),ROUND(INDEX('1-DATA'!$1:$1048576,IF(OR($B339="STD. DEVIATION",$C$1=1),$A339,$A339+1),COLUMN('1-DATA'!AB337)),IF($B339="STD. DEVIATION",2,$F$1))))</f>
        <v/>
      </c>
      <c r="AD339" s="1" t="str">
        <f>IF(OR($B339="",AD$7=""),"",IF($B339="MEANS",INDEX('1-DATA'!$1:$1048576,$A338-1,COLUMN('1-DATA'!AC337)),ROUND(INDEX('1-DATA'!$1:$1048576,IF(OR($B339="STD. DEVIATION",$C$1=1),$A339,$A339+1),COLUMN('1-DATA'!AC337)),IF($B339="STD. DEVIATION",2,$F$1))))</f>
        <v/>
      </c>
      <c r="AE339" s="1" t="str">
        <f>IF(OR($B339="",AE$7=""),"",IF($B339="MEANS",INDEX('1-DATA'!$1:$1048576,$A338-1,COLUMN('1-DATA'!AD337)),ROUND(INDEX('1-DATA'!$1:$1048576,IF(OR($B339="STD. DEVIATION",$C$1=1),$A339,$A339+1),COLUMN('1-DATA'!AD337)),IF($B339="STD. DEVIATION",2,$F$1))))</f>
        <v/>
      </c>
      <c r="AF339" s="1" t="str">
        <f>IF(OR($B339="",AF$7=""),"",IF($B339="MEANS",INDEX('1-DATA'!$1:$1048576,$A338-1,COLUMN('1-DATA'!AE337)),ROUND(INDEX('1-DATA'!$1:$1048576,IF(OR($B339="STD. DEVIATION",$C$1=1),$A339,$A339+1),COLUMN('1-DATA'!AE337)),IF($B339="STD. DEVIATION",2,$F$1))))</f>
        <v/>
      </c>
      <c r="AG339" s="1" t="str">
        <f>IF(OR($B339="",AG$7=""),"",IF($B339="MEANS",INDEX('1-DATA'!$1:$1048576,$A338-1,COLUMN('1-DATA'!AF337)),ROUND(INDEX('1-DATA'!$1:$1048576,IF(OR($B339="STD. DEVIATION",$C$1=1),$A339,$A339+1),COLUMN('1-DATA'!AF337)),IF($B339="STD. DEVIATION",2,$F$1))))</f>
        <v/>
      </c>
      <c r="AH339" s="1" t="str">
        <f>IF(OR($B339="",AH$7=""),"",IF($B339="MEANS",INDEX('1-DATA'!$1:$1048576,$A338-1,COLUMN('1-DATA'!AG337)),ROUND(INDEX('1-DATA'!$1:$1048576,IF(OR($B339="STD. DEVIATION",$C$1=1),$A339,$A339+1),COLUMN('1-DATA'!AG337)),IF($B339="STD. DEVIATION",2,$F$1))))</f>
        <v/>
      </c>
      <c r="AI339" s="1" t="str">
        <f>IF(OR($B339="",AI$7=""),"",IF($B339="MEANS",INDEX('1-DATA'!$1:$1048576,$A338-1,COLUMN('1-DATA'!AH337)),ROUND(INDEX('1-DATA'!$1:$1048576,IF(OR($B339="STD. DEVIATION",$C$1=1),$A339,$A339+1),COLUMN('1-DATA'!AH337)),IF($B339="STD. DEVIATION",2,$F$1))))</f>
        <v/>
      </c>
      <c r="AJ339" s="1" t="str">
        <f>IF(OR($B339="",AJ$7=""),"",IF($B339="MEANS",INDEX('1-DATA'!$1:$1048576,$A338-1,COLUMN('1-DATA'!AI337)),ROUND(INDEX('1-DATA'!$1:$1048576,IF(OR($B339="STD. DEVIATION",$C$1=1),$A339,$A339+1),COLUMN('1-DATA'!AI337)),IF($B339="STD. DEVIATION",2,$F$1))))</f>
        <v/>
      </c>
      <c r="AK339" s="1" t="str">
        <f>IF(OR($B339="",AK$7=""),"",IF($B339="MEANS",INDEX('1-DATA'!$1:$1048576,$A338-1,COLUMN('1-DATA'!AJ337)),ROUND(INDEX('1-DATA'!$1:$1048576,IF(OR($B339="STD. DEVIATION",$C$1=1),$A339,$A339+1),COLUMN('1-DATA'!AJ337)),IF($B339="STD. DEVIATION",2,$F$1))))</f>
        <v/>
      </c>
      <c r="AL339" s="1" t="str">
        <f>IF(OR($B339="",AL$7=""),"",IF($B339="MEANS",INDEX('1-DATA'!$1:$1048576,$A338-1,COLUMN('1-DATA'!AK337)),ROUND(INDEX('1-DATA'!$1:$1048576,IF(OR($B339="STD. DEVIATION",$C$1=1),$A339,$A339+1),COLUMN('1-DATA'!AK337)),IF($B339="STD. DEVIATION",2,$F$1))))</f>
        <v/>
      </c>
      <c r="AM339" s="1" t="str">
        <f>IF(OR($B339="",AM$7=""),"",IF($B339="MEANS",INDEX('1-DATA'!$1:$1048576,$A338-1,COLUMN('1-DATA'!AL337)),ROUND(INDEX('1-DATA'!$1:$1048576,IF(OR($B339="STD. DEVIATION",$C$1=1),$A339,$A339+1),COLUMN('1-DATA'!AL337)),IF($B339="STD. DEVIATION",2,$F$1))))</f>
        <v/>
      </c>
      <c r="AN339" s="1" t="str">
        <f>IF(OR($B339="",AN$7=""),"",IF($B339="MEANS",INDEX('1-DATA'!$1:$1048576,$A338-1,COLUMN('1-DATA'!AM337)),ROUND(INDEX('1-DATA'!$1:$1048576,IF(OR($B339="STD. DEVIATION",$C$1=1),$A339,$A339+1),COLUMN('1-DATA'!AM337)),IF($B339="STD. DEVIATION",2,$F$1))))</f>
        <v/>
      </c>
      <c r="AO339" s="1" t="str">
        <f>IF(OR($B339="",AO$7=""),"",IF($B339="MEANS",INDEX('1-DATA'!$1:$1048576,$A338-1,COLUMN('1-DATA'!AN337)),ROUND(INDEX('1-DATA'!$1:$1048576,IF(OR($B339="STD. DEVIATION",$C$1=1),$A339,$A339+1),COLUMN('1-DATA'!AN337)),IF($B339="STD. DEVIATION",2,$F$1))))</f>
        <v/>
      </c>
      <c r="AP339" s="1" t="str">
        <f>IF(OR($B339="",AP$7=""),"",IF($B339="MEANS",INDEX('1-DATA'!$1:$1048576,$A338-1,COLUMN('1-DATA'!AO337)),ROUND(INDEX('1-DATA'!$1:$1048576,IF(OR($B339="STD. DEVIATION",$C$1=1),$A339,$A339+1),COLUMN('1-DATA'!AO337)),IF($B339="STD. DEVIATION",2,$F$1))))</f>
        <v/>
      </c>
      <c r="AQ339" s="1" t="str">
        <f>IF(OR($B339="",AQ$7=""),"",IF($B339="MEANS",INDEX('1-DATA'!$1:$1048576,$A338-1,COLUMN('1-DATA'!AP337)),ROUND(INDEX('1-DATA'!$1:$1048576,IF(OR($B339="STD. DEVIATION",$C$1=1),$A339,$A339+1),COLUMN('1-DATA'!AP337)),IF($B339="STD. DEVIATION",2,$F$1))))</f>
        <v/>
      </c>
      <c r="AR339" s="1" t="str">
        <f>IF(OR($B339="",AR$7=""),"",IF($B339="MEANS",INDEX('1-DATA'!$1:$1048576,$A338-1,COLUMN('1-DATA'!AQ337)),ROUND(INDEX('1-DATA'!$1:$1048576,IF(OR($B339="STD. DEVIATION",$C$1=1),$A339,$A339+1),COLUMN('1-DATA'!AQ337)),IF($B339="STD. DEVIATION",2,$F$1))))</f>
        <v/>
      </c>
      <c r="AS339" s="1" t="str">
        <f>IF(OR($B339="",AS$7=""),"",IF($B339="MEANS",INDEX('1-DATA'!$1:$1048576,$A338-1,COLUMN('1-DATA'!AR337)),ROUND(INDEX('1-DATA'!$1:$1048576,IF(OR($B339="STD. DEVIATION",$C$1=1),$A339,$A339+1),COLUMN('1-DATA'!AR337)),IF($B339="STD. DEVIATION",2,$F$1))))</f>
        <v/>
      </c>
      <c r="AT339" s="1" t="str">
        <f>IF(OR($B339="",AT$7=""),"",IF($B339="MEANS",INDEX('1-DATA'!$1:$1048576,$A338-1,COLUMN('1-DATA'!AS337)),ROUND(INDEX('1-DATA'!$1:$1048576,IF(OR($B339="STD. DEVIATION",$C$1=1),$A339,$A339+1),COLUMN('1-DATA'!AS337)),IF($B339="STD. DEVIATION",2,$F$1))))</f>
        <v/>
      </c>
      <c r="AU339" s="1" t="str">
        <f>IF(OR($B339="",AU$7=""),"",IF($B339="MEANS",INDEX('1-DATA'!$1:$1048576,$A338-1,COLUMN('1-DATA'!AT337)),ROUND(INDEX('1-DATA'!$1:$1048576,IF(OR($B339="STD. DEVIATION",$C$1=1),$A339,$A339+1),COLUMN('1-DATA'!AT337)),IF($B339="STD. DEVIATION",2,$F$1))))</f>
        <v/>
      </c>
      <c r="AV339" s="1" t="str">
        <f>IF(OR($B339="",AV$7=""),"",IF($B339="MEANS",INDEX('1-DATA'!$1:$1048576,$A338-1,COLUMN('1-DATA'!AU337)),ROUND(INDEX('1-DATA'!$1:$1048576,IF(OR($B339="STD. DEVIATION",$C$1=1),$A339,$A339+1),COLUMN('1-DATA'!AU337)),IF($B339="STD. DEVIATION",2,$F$1))))</f>
        <v/>
      </c>
      <c r="AW339" s="1" t="str">
        <f>IF(OR($B339="",AW$7=""),"",IF($B339="MEANS",INDEX('1-DATA'!$1:$1048576,$A338-1,COLUMN('1-DATA'!AV337)),ROUND(INDEX('1-DATA'!$1:$1048576,IF(OR($B339="STD. DEVIATION",$C$1=1),$A339,$A339+1),COLUMN('1-DATA'!AV337)),IF($B339="STD. DEVIATION",2,$F$1))))</f>
        <v/>
      </c>
      <c r="AX339" s="1" t="str">
        <f>IF(OR($B339="",AX$7=""),"",IF($B339="MEANS",INDEX('1-DATA'!$1:$1048576,$A338-1,COLUMN('1-DATA'!AW337)),ROUND(INDEX('1-DATA'!$1:$1048576,IF(OR($B339="STD. DEVIATION",$C$1=1),$A339,$A339+1),COLUMN('1-DATA'!AW337)),IF($B339="STD. DEVIATION",2,$F$1))))</f>
        <v/>
      </c>
      <c r="AY339" s="1" t="str">
        <f>IF(OR($B339="",AY$7=""),"",IF($B339="MEANS",INDEX('1-DATA'!$1:$1048576,$A338-1,COLUMN('1-DATA'!AX337)),ROUND(INDEX('1-DATA'!$1:$1048576,IF(OR($B339="STD. DEVIATION",$C$1=1),$A339,$A339+1),COLUMN('1-DATA'!AX337)),IF($B339="STD. DEVIATION",2,$F$1))))</f>
        <v/>
      </c>
      <c r="AZ339" s="1" t="str">
        <f>IF(OR($B339="",AZ$7=""),"",IF($B339="MEANS",INDEX('1-DATA'!$1:$1048576,$A338-1,COLUMN('1-DATA'!AY337)),ROUND(INDEX('1-DATA'!$1:$1048576,IF(OR($B339="STD. DEVIATION",$C$1=1),$A339,$A339+1),COLUMN('1-DATA'!AY337)),IF($B339="STD. DEVIATION",2,$F$1))))</f>
        <v/>
      </c>
    </row>
    <row r="340" spans="1:52" x14ac:dyDescent="0.25">
      <c r="A340" s="11">
        <f t="shared" si="5"/>
        <v>1006</v>
      </c>
      <c r="B340" s="1" t="str">
        <f>IF(B339="STD. DEVIATION",INDEX('1-DATA'!$1:$1048576,$A339-1,1),IF(INDEX('1-DATA'!$1:$1048576,$A340,1)&lt;&gt;"",INDEX('1-DATA'!$1:$1048576,$A340,1),""))</f>
        <v/>
      </c>
      <c r="C340" s="1" t="str">
        <f>IF(OR($B340="",C$7=""),"",IF($B340="MEANS",INDEX('1-DATA'!$1:$1048576,$A339-1,COLUMN('1-DATA'!B338)),ROUND(INDEX('1-DATA'!$1:$1048576,IF(OR($B340="STD. DEVIATION",$C$1=1),$A340,$A340+1),COLUMN('1-DATA'!B338)),IF($B340="STD. DEVIATION",2,$F$1))))</f>
        <v/>
      </c>
      <c r="D340" s="1" t="str">
        <f>IF(OR($B340="",D$7=""),"",IF($B340="MEANS",INDEX('1-DATA'!$1:$1048576,$A339-1,COLUMN('1-DATA'!C338)),ROUND(INDEX('1-DATA'!$1:$1048576,IF(OR($B340="STD. DEVIATION",$C$1=1),$A340,$A340+1),COLUMN('1-DATA'!C338)),IF($B340="STD. DEVIATION",2,$F$1))))</f>
        <v/>
      </c>
      <c r="E340" s="1" t="str">
        <f>IF(OR($B340="",E$7=""),"",IF($B340="MEANS",INDEX('1-DATA'!$1:$1048576,$A339-1,COLUMN('1-DATA'!D338)),ROUND(INDEX('1-DATA'!$1:$1048576,IF(OR($B340="STD. DEVIATION",$C$1=1),$A340,$A340+1),COLUMN('1-DATA'!D338)),IF($B340="STD. DEVIATION",2,$F$1))))</f>
        <v/>
      </c>
      <c r="F340" s="1" t="str">
        <f>IF(OR($B340="",F$7=""),"",IF($B340="MEANS",INDEX('1-DATA'!$1:$1048576,$A339-1,COLUMN('1-DATA'!E338)),ROUND(INDEX('1-DATA'!$1:$1048576,IF(OR($B340="STD. DEVIATION",$C$1=1),$A340,$A340+1),COLUMN('1-DATA'!E338)),IF($B340="STD. DEVIATION",2,$F$1))))</f>
        <v/>
      </c>
      <c r="G340" s="1" t="str">
        <f>IF(OR($B340="",G$7=""),"",IF($B340="MEANS",INDEX('1-DATA'!$1:$1048576,$A339-1,COLUMN('1-DATA'!F338)),ROUND(INDEX('1-DATA'!$1:$1048576,IF(OR($B340="STD. DEVIATION",$C$1=1),$A340,$A340+1),COLUMN('1-DATA'!F338)),IF($B340="STD. DEVIATION",2,$F$1))))</f>
        <v/>
      </c>
      <c r="H340" s="1" t="str">
        <f>IF(OR($B340="",H$7=""),"",IF($B340="MEANS",INDEX('1-DATA'!$1:$1048576,$A339-1,COLUMN('1-DATA'!G338)),ROUND(INDEX('1-DATA'!$1:$1048576,IF(OR($B340="STD. DEVIATION",$C$1=1),$A340,$A340+1),COLUMN('1-DATA'!G338)),IF($B340="STD. DEVIATION",2,$F$1))))</f>
        <v/>
      </c>
      <c r="I340" s="1" t="str">
        <f>IF(OR($B340="",I$7=""),"",IF($B340="MEANS",INDEX('1-DATA'!$1:$1048576,$A339-1,COLUMN('1-DATA'!H338)),ROUND(INDEX('1-DATA'!$1:$1048576,IF(OR($B340="STD. DEVIATION",$C$1=1),$A340,$A340+1),COLUMN('1-DATA'!H338)),IF($B340="STD. DEVIATION",2,$F$1))))</f>
        <v/>
      </c>
      <c r="J340" s="1" t="str">
        <f>IF(OR($B340="",J$7=""),"",IF($B340="MEANS",INDEX('1-DATA'!$1:$1048576,$A339-1,COLUMN('1-DATA'!I338)),ROUND(INDEX('1-DATA'!$1:$1048576,IF(OR($B340="STD. DEVIATION",$C$1=1),$A340,$A340+1),COLUMN('1-DATA'!I338)),IF($B340="STD. DEVIATION",2,$F$1))))</f>
        <v/>
      </c>
      <c r="K340" s="1" t="str">
        <f>IF(OR($B340="",K$7=""),"",IF($B340="MEANS",INDEX('1-DATA'!$1:$1048576,$A339-1,COLUMN('1-DATA'!J338)),ROUND(INDEX('1-DATA'!$1:$1048576,IF(OR($B340="STD. DEVIATION",$C$1=1),$A340,$A340+1),COLUMN('1-DATA'!J338)),IF($B340="STD. DEVIATION",2,$F$1))))</f>
        <v/>
      </c>
      <c r="L340" s="1" t="str">
        <f>IF(OR($B340="",L$7=""),"",IF($B340="MEANS",INDEX('1-DATA'!$1:$1048576,$A339-1,COLUMN('1-DATA'!K338)),ROUND(INDEX('1-DATA'!$1:$1048576,IF(OR($B340="STD. DEVIATION",$C$1=1),$A340,$A340+1),COLUMN('1-DATA'!K338)),IF($B340="STD. DEVIATION",2,$F$1))))</f>
        <v/>
      </c>
      <c r="M340" s="1" t="str">
        <f>IF(OR($B340="",M$7=""),"",IF($B340="MEANS",INDEX('1-DATA'!$1:$1048576,$A339-1,COLUMN('1-DATA'!L338)),ROUND(INDEX('1-DATA'!$1:$1048576,IF(OR($B340="STD. DEVIATION",$C$1=1),$A340,$A340+1),COLUMN('1-DATA'!L338)),IF($B340="STD. DEVIATION",2,$F$1))))</f>
        <v/>
      </c>
      <c r="N340" s="1" t="str">
        <f>IF(OR($B340="",N$7=""),"",IF($B340="MEANS",INDEX('1-DATA'!$1:$1048576,$A339-1,COLUMN('1-DATA'!M338)),ROUND(INDEX('1-DATA'!$1:$1048576,IF(OR($B340="STD. DEVIATION",$C$1=1),$A340,$A340+1),COLUMN('1-DATA'!M338)),IF($B340="STD. DEVIATION",2,$F$1))))</f>
        <v/>
      </c>
      <c r="O340" s="1" t="str">
        <f>IF(OR($B340="",O$7=""),"",IF($B340="MEANS",INDEX('1-DATA'!$1:$1048576,$A339-1,COLUMN('1-DATA'!N338)),ROUND(INDEX('1-DATA'!$1:$1048576,IF(OR($B340="STD. DEVIATION",$C$1=1),$A340,$A340+1),COLUMN('1-DATA'!N338)),IF($B340="STD. DEVIATION",2,$F$1))))</f>
        <v/>
      </c>
      <c r="P340" s="1" t="str">
        <f>IF(OR($B340="",P$7=""),"",IF($B340="MEANS",INDEX('1-DATA'!$1:$1048576,$A339-1,COLUMN('1-DATA'!O338)),ROUND(INDEX('1-DATA'!$1:$1048576,IF(OR($B340="STD. DEVIATION",$C$1=1),$A340,$A340+1),COLUMN('1-DATA'!O338)),IF($B340="STD. DEVIATION",2,$F$1))))</f>
        <v/>
      </c>
      <c r="Q340" s="1" t="str">
        <f>IF(OR($B340="",Q$7=""),"",IF($B340="MEANS",INDEX('1-DATA'!$1:$1048576,$A339-1,COLUMN('1-DATA'!P338)),ROUND(INDEX('1-DATA'!$1:$1048576,IF(OR($B340="STD. DEVIATION",$C$1=1),$A340,$A340+1),COLUMN('1-DATA'!P338)),IF($B340="STD. DEVIATION",2,$F$1))))</f>
        <v/>
      </c>
      <c r="R340" s="1" t="str">
        <f>IF(OR($B340="",R$7=""),"",IF($B340="MEANS",INDEX('1-DATA'!$1:$1048576,$A339-1,COLUMN('1-DATA'!Q338)),ROUND(INDEX('1-DATA'!$1:$1048576,IF(OR($B340="STD. DEVIATION",$C$1=1),$A340,$A340+1),COLUMN('1-DATA'!Q338)),IF($B340="STD. DEVIATION",2,$F$1))))</f>
        <v/>
      </c>
      <c r="S340" s="1" t="str">
        <f>IF(OR($B340="",S$7=""),"",IF($B340="MEANS",INDEX('1-DATA'!$1:$1048576,$A339-1,COLUMN('1-DATA'!R338)),ROUND(INDEX('1-DATA'!$1:$1048576,IF(OR($B340="STD. DEVIATION",$C$1=1),$A340,$A340+1),COLUMN('1-DATA'!R338)),IF($B340="STD. DEVIATION",2,$F$1))))</f>
        <v/>
      </c>
      <c r="T340" s="1" t="str">
        <f>IF(OR($B340="",T$7=""),"",IF($B340="MEANS",INDEX('1-DATA'!$1:$1048576,$A339-1,COLUMN('1-DATA'!S338)),ROUND(INDEX('1-DATA'!$1:$1048576,IF(OR($B340="STD. DEVIATION",$C$1=1),$A340,$A340+1),COLUMN('1-DATA'!S338)),IF($B340="STD. DEVIATION",2,$F$1))))</f>
        <v/>
      </c>
      <c r="U340" s="1" t="str">
        <f>IF(OR($B340="",U$7=""),"",IF($B340="MEANS",INDEX('1-DATA'!$1:$1048576,$A339-1,COLUMN('1-DATA'!T338)),ROUND(INDEX('1-DATA'!$1:$1048576,IF(OR($B340="STD. DEVIATION",$C$1=1),$A340,$A340+1),COLUMN('1-DATA'!T338)),IF($B340="STD. DEVIATION",2,$F$1))))</f>
        <v/>
      </c>
      <c r="V340" s="1" t="str">
        <f>IF(OR($B340="",V$7=""),"",IF($B340="MEANS",INDEX('1-DATA'!$1:$1048576,$A339-1,COLUMN('1-DATA'!U338)),ROUND(INDEX('1-DATA'!$1:$1048576,IF(OR($B340="STD. DEVIATION",$C$1=1),$A340,$A340+1),COLUMN('1-DATA'!U338)),IF($B340="STD. DEVIATION",2,$F$1))))</f>
        <v/>
      </c>
      <c r="W340" s="1" t="str">
        <f>IF(OR($B340="",W$7=""),"",IF($B340="MEANS",INDEX('1-DATA'!$1:$1048576,$A339-1,COLUMN('1-DATA'!V338)),ROUND(INDEX('1-DATA'!$1:$1048576,IF(OR($B340="STD. DEVIATION",$C$1=1),$A340,$A340+1),COLUMN('1-DATA'!V338)),IF($B340="STD. DEVIATION",2,$F$1))))</f>
        <v/>
      </c>
      <c r="X340" s="1" t="str">
        <f>IF(OR($B340="",X$7=""),"",IF($B340="MEANS",INDEX('1-DATA'!$1:$1048576,$A339-1,COLUMN('1-DATA'!W338)),ROUND(INDEX('1-DATA'!$1:$1048576,IF(OR($B340="STD. DEVIATION",$C$1=1),$A340,$A340+1),COLUMN('1-DATA'!W338)),IF($B340="STD. DEVIATION",2,$F$1))))</f>
        <v/>
      </c>
      <c r="Y340" s="1" t="str">
        <f>IF(OR($B340="",Y$7=""),"",IF($B340="MEANS",INDEX('1-DATA'!$1:$1048576,$A339-1,COLUMN('1-DATA'!X338)),ROUND(INDEX('1-DATA'!$1:$1048576,IF(OR($B340="STD. DEVIATION",$C$1=1),$A340,$A340+1),COLUMN('1-DATA'!X338)),IF($B340="STD. DEVIATION",2,$F$1))))</f>
        <v/>
      </c>
      <c r="Z340" s="1" t="str">
        <f>IF(OR($B340="",Z$7=""),"",IF($B340="MEANS",INDEX('1-DATA'!$1:$1048576,$A339-1,COLUMN('1-DATA'!Y338)),ROUND(INDEX('1-DATA'!$1:$1048576,IF(OR($B340="STD. DEVIATION",$C$1=1),$A340,$A340+1),COLUMN('1-DATA'!Y338)),IF($B340="STD. DEVIATION",2,$F$1))))</f>
        <v/>
      </c>
      <c r="AA340" s="1" t="str">
        <f>IF(OR($B340="",AA$7=""),"",IF($B340="MEANS",INDEX('1-DATA'!$1:$1048576,$A339-1,COLUMN('1-DATA'!Z338)),ROUND(INDEX('1-DATA'!$1:$1048576,IF(OR($B340="STD. DEVIATION",$C$1=1),$A340,$A340+1),COLUMN('1-DATA'!Z338)),IF($B340="STD. DEVIATION",2,$F$1))))</f>
        <v/>
      </c>
      <c r="AB340" s="1" t="str">
        <f>IF(OR($B340="",AB$7=""),"",IF($B340="MEANS",INDEX('1-DATA'!$1:$1048576,$A339-1,COLUMN('1-DATA'!AA338)),ROUND(INDEX('1-DATA'!$1:$1048576,IF(OR($B340="STD. DEVIATION",$C$1=1),$A340,$A340+1),COLUMN('1-DATA'!AA338)),IF($B340="STD. DEVIATION",2,$F$1))))</f>
        <v/>
      </c>
      <c r="AC340" s="1" t="str">
        <f>IF(OR($B340="",AC$7=""),"",IF($B340="MEANS",INDEX('1-DATA'!$1:$1048576,$A339-1,COLUMN('1-DATA'!AB338)),ROUND(INDEX('1-DATA'!$1:$1048576,IF(OR($B340="STD. DEVIATION",$C$1=1),$A340,$A340+1),COLUMN('1-DATA'!AB338)),IF($B340="STD. DEVIATION",2,$F$1))))</f>
        <v/>
      </c>
      <c r="AD340" s="1" t="str">
        <f>IF(OR($B340="",AD$7=""),"",IF($B340="MEANS",INDEX('1-DATA'!$1:$1048576,$A339-1,COLUMN('1-DATA'!AC338)),ROUND(INDEX('1-DATA'!$1:$1048576,IF(OR($B340="STD. DEVIATION",$C$1=1),$A340,$A340+1),COLUMN('1-DATA'!AC338)),IF($B340="STD. DEVIATION",2,$F$1))))</f>
        <v/>
      </c>
      <c r="AE340" s="1" t="str">
        <f>IF(OR($B340="",AE$7=""),"",IF($B340="MEANS",INDEX('1-DATA'!$1:$1048576,$A339-1,COLUMN('1-DATA'!AD338)),ROUND(INDEX('1-DATA'!$1:$1048576,IF(OR($B340="STD. DEVIATION",$C$1=1),$A340,$A340+1),COLUMN('1-DATA'!AD338)),IF($B340="STD. DEVIATION",2,$F$1))))</f>
        <v/>
      </c>
      <c r="AF340" s="1" t="str">
        <f>IF(OR($B340="",AF$7=""),"",IF($B340="MEANS",INDEX('1-DATA'!$1:$1048576,$A339-1,COLUMN('1-DATA'!AE338)),ROUND(INDEX('1-DATA'!$1:$1048576,IF(OR($B340="STD. DEVIATION",$C$1=1),$A340,$A340+1),COLUMN('1-DATA'!AE338)),IF($B340="STD. DEVIATION",2,$F$1))))</f>
        <v/>
      </c>
      <c r="AG340" s="1" t="str">
        <f>IF(OR($B340="",AG$7=""),"",IF($B340="MEANS",INDEX('1-DATA'!$1:$1048576,$A339-1,COLUMN('1-DATA'!AF338)),ROUND(INDEX('1-DATA'!$1:$1048576,IF(OR($B340="STD. DEVIATION",$C$1=1),$A340,$A340+1),COLUMN('1-DATA'!AF338)),IF($B340="STD. DEVIATION",2,$F$1))))</f>
        <v/>
      </c>
      <c r="AH340" s="1" t="str">
        <f>IF(OR($B340="",AH$7=""),"",IF($B340="MEANS",INDEX('1-DATA'!$1:$1048576,$A339-1,COLUMN('1-DATA'!AG338)),ROUND(INDEX('1-DATA'!$1:$1048576,IF(OR($B340="STD. DEVIATION",$C$1=1),$A340,$A340+1),COLUMN('1-DATA'!AG338)),IF($B340="STD. DEVIATION",2,$F$1))))</f>
        <v/>
      </c>
      <c r="AI340" s="1" t="str">
        <f>IF(OR($B340="",AI$7=""),"",IF($B340="MEANS",INDEX('1-DATA'!$1:$1048576,$A339-1,COLUMN('1-DATA'!AH338)),ROUND(INDEX('1-DATA'!$1:$1048576,IF(OR($B340="STD. DEVIATION",$C$1=1),$A340,$A340+1),COLUMN('1-DATA'!AH338)),IF($B340="STD. DEVIATION",2,$F$1))))</f>
        <v/>
      </c>
      <c r="AJ340" s="1" t="str">
        <f>IF(OR($B340="",AJ$7=""),"",IF($B340="MEANS",INDEX('1-DATA'!$1:$1048576,$A339-1,COLUMN('1-DATA'!AI338)),ROUND(INDEX('1-DATA'!$1:$1048576,IF(OR($B340="STD. DEVIATION",$C$1=1),$A340,$A340+1),COLUMN('1-DATA'!AI338)),IF($B340="STD. DEVIATION",2,$F$1))))</f>
        <v/>
      </c>
      <c r="AK340" s="1" t="str">
        <f>IF(OR($B340="",AK$7=""),"",IF($B340="MEANS",INDEX('1-DATA'!$1:$1048576,$A339-1,COLUMN('1-DATA'!AJ338)),ROUND(INDEX('1-DATA'!$1:$1048576,IF(OR($B340="STD. DEVIATION",$C$1=1),$A340,$A340+1),COLUMN('1-DATA'!AJ338)),IF($B340="STD. DEVIATION",2,$F$1))))</f>
        <v/>
      </c>
      <c r="AL340" s="1" t="str">
        <f>IF(OR($B340="",AL$7=""),"",IF($B340="MEANS",INDEX('1-DATA'!$1:$1048576,$A339-1,COLUMN('1-DATA'!AK338)),ROUND(INDEX('1-DATA'!$1:$1048576,IF(OR($B340="STD. DEVIATION",$C$1=1),$A340,$A340+1),COLUMN('1-DATA'!AK338)),IF($B340="STD. DEVIATION",2,$F$1))))</f>
        <v/>
      </c>
      <c r="AM340" s="1" t="str">
        <f>IF(OR($B340="",AM$7=""),"",IF($B340="MEANS",INDEX('1-DATA'!$1:$1048576,$A339-1,COLUMN('1-DATA'!AL338)),ROUND(INDEX('1-DATA'!$1:$1048576,IF(OR($B340="STD. DEVIATION",$C$1=1),$A340,$A340+1),COLUMN('1-DATA'!AL338)),IF($B340="STD. DEVIATION",2,$F$1))))</f>
        <v/>
      </c>
      <c r="AN340" s="1" t="str">
        <f>IF(OR($B340="",AN$7=""),"",IF($B340="MEANS",INDEX('1-DATA'!$1:$1048576,$A339-1,COLUMN('1-DATA'!AM338)),ROUND(INDEX('1-DATA'!$1:$1048576,IF(OR($B340="STD. DEVIATION",$C$1=1),$A340,$A340+1),COLUMN('1-DATA'!AM338)),IF($B340="STD. DEVIATION",2,$F$1))))</f>
        <v/>
      </c>
      <c r="AO340" s="1" t="str">
        <f>IF(OR($B340="",AO$7=""),"",IF($B340="MEANS",INDEX('1-DATA'!$1:$1048576,$A339-1,COLUMN('1-DATA'!AN338)),ROUND(INDEX('1-DATA'!$1:$1048576,IF(OR($B340="STD. DEVIATION",$C$1=1),$A340,$A340+1),COLUMN('1-DATA'!AN338)),IF($B340="STD. DEVIATION",2,$F$1))))</f>
        <v/>
      </c>
      <c r="AP340" s="1" t="str">
        <f>IF(OR($B340="",AP$7=""),"",IF($B340="MEANS",INDEX('1-DATA'!$1:$1048576,$A339-1,COLUMN('1-DATA'!AO338)),ROUND(INDEX('1-DATA'!$1:$1048576,IF(OR($B340="STD. DEVIATION",$C$1=1),$A340,$A340+1),COLUMN('1-DATA'!AO338)),IF($B340="STD. DEVIATION",2,$F$1))))</f>
        <v/>
      </c>
      <c r="AQ340" s="1" t="str">
        <f>IF(OR($B340="",AQ$7=""),"",IF($B340="MEANS",INDEX('1-DATA'!$1:$1048576,$A339-1,COLUMN('1-DATA'!AP338)),ROUND(INDEX('1-DATA'!$1:$1048576,IF(OR($B340="STD. DEVIATION",$C$1=1),$A340,$A340+1),COLUMN('1-DATA'!AP338)),IF($B340="STD. DEVIATION",2,$F$1))))</f>
        <v/>
      </c>
      <c r="AR340" s="1" t="str">
        <f>IF(OR($B340="",AR$7=""),"",IF($B340="MEANS",INDEX('1-DATA'!$1:$1048576,$A339-1,COLUMN('1-DATA'!AQ338)),ROUND(INDEX('1-DATA'!$1:$1048576,IF(OR($B340="STD. DEVIATION",$C$1=1),$A340,$A340+1),COLUMN('1-DATA'!AQ338)),IF($B340="STD. DEVIATION",2,$F$1))))</f>
        <v/>
      </c>
      <c r="AS340" s="1" t="str">
        <f>IF(OR($B340="",AS$7=""),"",IF($B340="MEANS",INDEX('1-DATA'!$1:$1048576,$A339-1,COLUMN('1-DATA'!AR338)),ROUND(INDEX('1-DATA'!$1:$1048576,IF(OR($B340="STD. DEVIATION",$C$1=1),$A340,$A340+1),COLUMN('1-DATA'!AR338)),IF($B340="STD. DEVIATION",2,$F$1))))</f>
        <v/>
      </c>
      <c r="AT340" s="1" t="str">
        <f>IF(OR($B340="",AT$7=""),"",IF($B340="MEANS",INDEX('1-DATA'!$1:$1048576,$A339-1,COLUMN('1-DATA'!AS338)),ROUND(INDEX('1-DATA'!$1:$1048576,IF(OR($B340="STD. DEVIATION",$C$1=1),$A340,$A340+1),COLUMN('1-DATA'!AS338)),IF($B340="STD. DEVIATION",2,$F$1))))</f>
        <v/>
      </c>
      <c r="AU340" s="1" t="str">
        <f>IF(OR($B340="",AU$7=""),"",IF($B340="MEANS",INDEX('1-DATA'!$1:$1048576,$A339-1,COLUMN('1-DATA'!AT338)),ROUND(INDEX('1-DATA'!$1:$1048576,IF(OR($B340="STD. DEVIATION",$C$1=1),$A340,$A340+1),COLUMN('1-DATA'!AT338)),IF($B340="STD. DEVIATION",2,$F$1))))</f>
        <v/>
      </c>
      <c r="AV340" s="1" t="str">
        <f>IF(OR($B340="",AV$7=""),"",IF($B340="MEANS",INDEX('1-DATA'!$1:$1048576,$A339-1,COLUMN('1-DATA'!AU338)),ROUND(INDEX('1-DATA'!$1:$1048576,IF(OR($B340="STD. DEVIATION",$C$1=1),$A340,$A340+1),COLUMN('1-DATA'!AU338)),IF($B340="STD. DEVIATION",2,$F$1))))</f>
        <v/>
      </c>
      <c r="AW340" s="1" t="str">
        <f>IF(OR($B340="",AW$7=""),"",IF($B340="MEANS",INDEX('1-DATA'!$1:$1048576,$A339-1,COLUMN('1-DATA'!AV338)),ROUND(INDEX('1-DATA'!$1:$1048576,IF(OR($B340="STD. DEVIATION",$C$1=1),$A340,$A340+1),COLUMN('1-DATA'!AV338)),IF($B340="STD. DEVIATION",2,$F$1))))</f>
        <v/>
      </c>
      <c r="AX340" s="1" t="str">
        <f>IF(OR($B340="",AX$7=""),"",IF($B340="MEANS",INDEX('1-DATA'!$1:$1048576,$A339-1,COLUMN('1-DATA'!AW338)),ROUND(INDEX('1-DATA'!$1:$1048576,IF(OR($B340="STD. DEVIATION",$C$1=1),$A340,$A340+1),COLUMN('1-DATA'!AW338)),IF($B340="STD. DEVIATION",2,$F$1))))</f>
        <v/>
      </c>
      <c r="AY340" s="1" t="str">
        <f>IF(OR($B340="",AY$7=""),"",IF($B340="MEANS",INDEX('1-DATA'!$1:$1048576,$A339-1,COLUMN('1-DATA'!AX338)),ROUND(INDEX('1-DATA'!$1:$1048576,IF(OR($B340="STD. DEVIATION",$C$1=1),$A340,$A340+1),COLUMN('1-DATA'!AX338)),IF($B340="STD. DEVIATION",2,$F$1))))</f>
        <v/>
      </c>
      <c r="AZ340" s="1" t="str">
        <f>IF(OR($B340="",AZ$7=""),"",IF($B340="MEANS",INDEX('1-DATA'!$1:$1048576,$A339-1,COLUMN('1-DATA'!AY338)),ROUND(INDEX('1-DATA'!$1:$1048576,IF(OR($B340="STD. DEVIATION",$C$1=1),$A340,$A340+1),COLUMN('1-DATA'!AY338)),IF($B340="STD. DEVIATION",2,$F$1))))</f>
        <v/>
      </c>
    </row>
    <row r="341" spans="1:52" x14ac:dyDescent="0.25">
      <c r="A341" s="11">
        <f t="shared" si="5"/>
        <v>1009</v>
      </c>
      <c r="B341" s="1" t="str">
        <f>IF(B340="STD. DEVIATION",INDEX('1-DATA'!$1:$1048576,$A340-1,1),IF(INDEX('1-DATA'!$1:$1048576,$A341,1)&lt;&gt;"",INDEX('1-DATA'!$1:$1048576,$A341,1),""))</f>
        <v/>
      </c>
      <c r="C341" s="1" t="str">
        <f>IF(OR($B341="",C$7=""),"",IF($B341="MEANS",INDEX('1-DATA'!$1:$1048576,$A340-1,COLUMN('1-DATA'!B339)),ROUND(INDEX('1-DATA'!$1:$1048576,IF(OR($B341="STD. DEVIATION",$C$1=1),$A341,$A341+1),COLUMN('1-DATA'!B339)),IF($B341="STD. DEVIATION",2,$F$1))))</f>
        <v/>
      </c>
      <c r="D341" s="1" t="str">
        <f>IF(OR($B341="",D$7=""),"",IF($B341="MEANS",INDEX('1-DATA'!$1:$1048576,$A340-1,COLUMN('1-DATA'!C339)),ROUND(INDEX('1-DATA'!$1:$1048576,IF(OR($B341="STD. DEVIATION",$C$1=1),$A341,$A341+1),COLUMN('1-DATA'!C339)),IF($B341="STD. DEVIATION",2,$F$1))))</f>
        <v/>
      </c>
      <c r="E341" s="1" t="str">
        <f>IF(OR($B341="",E$7=""),"",IF($B341="MEANS",INDEX('1-DATA'!$1:$1048576,$A340-1,COLUMN('1-DATA'!D339)),ROUND(INDEX('1-DATA'!$1:$1048576,IF(OR($B341="STD. DEVIATION",$C$1=1),$A341,$A341+1),COLUMN('1-DATA'!D339)),IF($B341="STD. DEVIATION",2,$F$1))))</f>
        <v/>
      </c>
      <c r="F341" s="1" t="str">
        <f>IF(OR($B341="",F$7=""),"",IF($B341="MEANS",INDEX('1-DATA'!$1:$1048576,$A340-1,COLUMN('1-DATA'!E339)),ROUND(INDEX('1-DATA'!$1:$1048576,IF(OR($B341="STD. DEVIATION",$C$1=1),$A341,$A341+1),COLUMN('1-DATA'!E339)),IF($B341="STD. DEVIATION",2,$F$1))))</f>
        <v/>
      </c>
      <c r="G341" s="1" t="str">
        <f>IF(OR($B341="",G$7=""),"",IF($B341="MEANS",INDEX('1-DATA'!$1:$1048576,$A340-1,COLUMN('1-DATA'!F339)),ROUND(INDEX('1-DATA'!$1:$1048576,IF(OR($B341="STD. DEVIATION",$C$1=1),$A341,$A341+1),COLUMN('1-DATA'!F339)),IF($B341="STD. DEVIATION",2,$F$1))))</f>
        <v/>
      </c>
      <c r="H341" s="1" t="str">
        <f>IF(OR($B341="",H$7=""),"",IF($B341="MEANS",INDEX('1-DATA'!$1:$1048576,$A340-1,COLUMN('1-DATA'!G339)),ROUND(INDEX('1-DATA'!$1:$1048576,IF(OR($B341="STD. DEVIATION",$C$1=1),$A341,$A341+1),COLUMN('1-DATA'!G339)),IF($B341="STD. DEVIATION",2,$F$1))))</f>
        <v/>
      </c>
      <c r="I341" s="1" t="str">
        <f>IF(OR($B341="",I$7=""),"",IF($B341="MEANS",INDEX('1-DATA'!$1:$1048576,$A340-1,COLUMN('1-DATA'!H339)),ROUND(INDEX('1-DATA'!$1:$1048576,IF(OR($B341="STD. DEVIATION",$C$1=1),$A341,$A341+1),COLUMN('1-DATA'!H339)),IF($B341="STD. DEVIATION",2,$F$1))))</f>
        <v/>
      </c>
      <c r="J341" s="1" t="str">
        <f>IF(OR($B341="",J$7=""),"",IF($B341="MEANS",INDEX('1-DATA'!$1:$1048576,$A340-1,COLUMN('1-DATA'!I339)),ROUND(INDEX('1-DATA'!$1:$1048576,IF(OR($B341="STD. DEVIATION",$C$1=1),$A341,$A341+1),COLUMN('1-DATA'!I339)),IF($B341="STD. DEVIATION",2,$F$1))))</f>
        <v/>
      </c>
      <c r="K341" s="1" t="str">
        <f>IF(OR($B341="",K$7=""),"",IF($B341="MEANS",INDEX('1-DATA'!$1:$1048576,$A340-1,COLUMN('1-DATA'!J339)),ROUND(INDEX('1-DATA'!$1:$1048576,IF(OR($B341="STD. DEVIATION",$C$1=1),$A341,$A341+1),COLUMN('1-DATA'!J339)),IF($B341="STD. DEVIATION",2,$F$1))))</f>
        <v/>
      </c>
      <c r="L341" s="1" t="str">
        <f>IF(OR($B341="",L$7=""),"",IF($B341="MEANS",INDEX('1-DATA'!$1:$1048576,$A340-1,COLUMN('1-DATA'!K339)),ROUND(INDEX('1-DATA'!$1:$1048576,IF(OR($B341="STD. DEVIATION",$C$1=1),$A341,$A341+1),COLUMN('1-DATA'!K339)),IF($B341="STD. DEVIATION",2,$F$1))))</f>
        <v/>
      </c>
      <c r="M341" s="1" t="str">
        <f>IF(OR($B341="",M$7=""),"",IF($B341="MEANS",INDEX('1-DATA'!$1:$1048576,$A340-1,COLUMN('1-DATA'!L339)),ROUND(INDEX('1-DATA'!$1:$1048576,IF(OR($B341="STD. DEVIATION",$C$1=1),$A341,$A341+1),COLUMN('1-DATA'!L339)),IF($B341="STD. DEVIATION",2,$F$1))))</f>
        <v/>
      </c>
      <c r="N341" s="1" t="str">
        <f>IF(OR($B341="",N$7=""),"",IF($B341="MEANS",INDEX('1-DATA'!$1:$1048576,$A340-1,COLUMN('1-DATA'!M339)),ROUND(INDEX('1-DATA'!$1:$1048576,IF(OR($B341="STD. DEVIATION",$C$1=1),$A341,$A341+1),COLUMN('1-DATA'!M339)),IF($B341="STD. DEVIATION",2,$F$1))))</f>
        <v/>
      </c>
      <c r="O341" s="1" t="str">
        <f>IF(OR($B341="",O$7=""),"",IF($B341="MEANS",INDEX('1-DATA'!$1:$1048576,$A340-1,COLUMN('1-DATA'!N339)),ROUND(INDEX('1-DATA'!$1:$1048576,IF(OR($B341="STD. DEVIATION",$C$1=1),$A341,$A341+1),COLUMN('1-DATA'!N339)),IF($B341="STD. DEVIATION",2,$F$1))))</f>
        <v/>
      </c>
      <c r="P341" s="1" t="str">
        <f>IF(OR($B341="",P$7=""),"",IF($B341="MEANS",INDEX('1-DATA'!$1:$1048576,$A340-1,COLUMN('1-DATA'!O339)),ROUND(INDEX('1-DATA'!$1:$1048576,IF(OR($B341="STD. DEVIATION",$C$1=1),$A341,$A341+1),COLUMN('1-DATA'!O339)),IF($B341="STD. DEVIATION",2,$F$1))))</f>
        <v/>
      </c>
      <c r="Q341" s="1" t="str">
        <f>IF(OR($B341="",Q$7=""),"",IF($B341="MEANS",INDEX('1-DATA'!$1:$1048576,$A340-1,COLUMN('1-DATA'!P339)),ROUND(INDEX('1-DATA'!$1:$1048576,IF(OR($B341="STD. DEVIATION",$C$1=1),$A341,$A341+1),COLUMN('1-DATA'!P339)),IF($B341="STD. DEVIATION",2,$F$1))))</f>
        <v/>
      </c>
      <c r="R341" s="1" t="str">
        <f>IF(OR($B341="",R$7=""),"",IF($B341="MEANS",INDEX('1-DATA'!$1:$1048576,$A340-1,COLUMN('1-DATA'!Q339)),ROUND(INDEX('1-DATA'!$1:$1048576,IF(OR($B341="STD. DEVIATION",$C$1=1),$A341,$A341+1),COLUMN('1-DATA'!Q339)),IF($B341="STD. DEVIATION",2,$F$1))))</f>
        <v/>
      </c>
      <c r="S341" s="1" t="str">
        <f>IF(OR($B341="",S$7=""),"",IF($B341="MEANS",INDEX('1-DATA'!$1:$1048576,$A340-1,COLUMN('1-DATA'!R339)),ROUND(INDEX('1-DATA'!$1:$1048576,IF(OR($B341="STD. DEVIATION",$C$1=1),$A341,$A341+1),COLUMN('1-DATA'!R339)),IF($B341="STD. DEVIATION",2,$F$1))))</f>
        <v/>
      </c>
      <c r="T341" s="1" t="str">
        <f>IF(OR($B341="",T$7=""),"",IF($B341="MEANS",INDEX('1-DATA'!$1:$1048576,$A340-1,COLUMN('1-DATA'!S339)),ROUND(INDEX('1-DATA'!$1:$1048576,IF(OR($B341="STD. DEVIATION",$C$1=1),$A341,$A341+1),COLUMN('1-DATA'!S339)),IF($B341="STD. DEVIATION",2,$F$1))))</f>
        <v/>
      </c>
      <c r="U341" s="1" t="str">
        <f>IF(OR($B341="",U$7=""),"",IF($B341="MEANS",INDEX('1-DATA'!$1:$1048576,$A340-1,COLUMN('1-DATA'!T339)),ROUND(INDEX('1-DATA'!$1:$1048576,IF(OR($B341="STD. DEVIATION",$C$1=1),$A341,$A341+1),COLUMN('1-DATA'!T339)),IF($B341="STD. DEVIATION",2,$F$1))))</f>
        <v/>
      </c>
      <c r="V341" s="1" t="str">
        <f>IF(OR($B341="",V$7=""),"",IF($B341="MEANS",INDEX('1-DATA'!$1:$1048576,$A340-1,COLUMN('1-DATA'!U339)),ROUND(INDEX('1-DATA'!$1:$1048576,IF(OR($B341="STD. DEVIATION",$C$1=1),$A341,$A341+1),COLUMN('1-DATA'!U339)),IF($B341="STD. DEVIATION",2,$F$1))))</f>
        <v/>
      </c>
      <c r="W341" s="1" t="str">
        <f>IF(OR($B341="",W$7=""),"",IF($B341="MEANS",INDEX('1-DATA'!$1:$1048576,$A340-1,COLUMN('1-DATA'!V339)),ROUND(INDEX('1-DATA'!$1:$1048576,IF(OR($B341="STD. DEVIATION",$C$1=1),$A341,$A341+1),COLUMN('1-DATA'!V339)),IF($B341="STD. DEVIATION",2,$F$1))))</f>
        <v/>
      </c>
      <c r="X341" s="1" t="str">
        <f>IF(OR($B341="",X$7=""),"",IF($B341="MEANS",INDEX('1-DATA'!$1:$1048576,$A340-1,COLUMN('1-DATA'!W339)),ROUND(INDEX('1-DATA'!$1:$1048576,IF(OR($B341="STD. DEVIATION",$C$1=1),$A341,$A341+1),COLUMN('1-DATA'!W339)),IF($B341="STD. DEVIATION",2,$F$1))))</f>
        <v/>
      </c>
      <c r="Y341" s="1" t="str">
        <f>IF(OR($B341="",Y$7=""),"",IF($B341="MEANS",INDEX('1-DATA'!$1:$1048576,$A340-1,COLUMN('1-DATA'!X339)),ROUND(INDEX('1-DATA'!$1:$1048576,IF(OR($B341="STD. DEVIATION",$C$1=1),$A341,$A341+1),COLUMN('1-DATA'!X339)),IF($B341="STD. DEVIATION",2,$F$1))))</f>
        <v/>
      </c>
      <c r="Z341" s="1" t="str">
        <f>IF(OR($B341="",Z$7=""),"",IF($B341="MEANS",INDEX('1-DATA'!$1:$1048576,$A340-1,COLUMN('1-DATA'!Y339)),ROUND(INDEX('1-DATA'!$1:$1048576,IF(OR($B341="STD. DEVIATION",$C$1=1),$A341,$A341+1),COLUMN('1-DATA'!Y339)),IF($B341="STD. DEVIATION",2,$F$1))))</f>
        <v/>
      </c>
      <c r="AA341" s="1" t="str">
        <f>IF(OR($B341="",AA$7=""),"",IF($B341="MEANS",INDEX('1-DATA'!$1:$1048576,$A340-1,COLUMN('1-DATA'!Z339)),ROUND(INDEX('1-DATA'!$1:$1048576,IF(OR($B341="STD. DEVIATION",$C$1=1),$A341,$A341+1),COLUMN('1-DATA'!Z339)),IF($B341="STD. DEVIATION",2,$F$1))))</f>
        <v/>
      </c>
      <c r="AB341" s="1" t="str">
        <f>IF(OR($B341="",AB$7=""),"",IF($B341="MEANS",INDEX('1-DATA'!$1:$1048576,$A340-1,COLUMN('1-DATA'!AA339)),ROUND(INDEX('1-DATA'!$1:$1048576,IF(OR($B341="STD. DEVIATION",$C$1=1),$A341,$A341+1),COLUMN('1-DATA'!AA339)),IF($B341="STD. DEVIATION",2,$F$1))))</f>
        <v/>
      </c>
      <c r="AC341" s="1" t="str">
        <f>IF(OR($B341="",AC$7=""),"",IF($B341="MEANS",INDEX('1-DATA'!$1:$1048576,$A340-1,COLUMN('1-DATA'!AB339)),ROUND(INDEX('1-DATA'!$1:$1048576,IF(OR($B341="STD. DEVIATION",$C$1=1),$A341,$A341+1),COLUMN('1-DATA'!AB339)),IF($B341="STD. DEVIATION",2,$F$1))))</f>
        <v/>
      </c>
      <c r="AD341" s="1" t="str">
        <f>IF(OR($B341="",AD$7=""),"",IF($B341="MEANS",INDEX('1-DATA'!$1:$1048576,$A340-1,COLUMN('1-DATA'!AC339)),ROUND(INDEX('1-DATA'!$1:$1048576,IF(OR($B341="STD. DEVIATION",$C$1=1),$A341,$A341+1),COLUMN('1-DATA'!AC339)),IF($B341="STD. DEVIATION",2,$F$1))))</f>
        <v/>
      </c>
      <c r="AE341" s="1" t="str">
        <f>IF(OR($B341="",AE$7=""),"",IF($B341="MEANS",INDEX('1-DATA'!$1:$1048576,$A340-1,COLUMN('1-DATA'!AD339)),ROUND(INDEX('1-DATA'!$1:$1048576,IF(OR($B341="STD. DEVIATION",$C$1=1),$A341,$A341+1),COLUMN('1-DATA'!AD339)),IF($B341="STD. DEVIATION",2,$F$1))))</f>
        <v/>
      </c>
      <c r="AF341" s="1" t="str">
        <f>IF(OR($B341="",AF$7=""),"",IF($B341="MEANS",INDEX('1-DATA'!$1:$1048576,$A340-1,COLUMN('1-DATA'!AE339)),ROUND(INDEX('1-DATA'!$1:$1048576,IF(OR($B341="STD. DEVIATION",$C$1=1),$A341,$A341+1),COLUMN('1-DATA'!AE339)),IF($B341="STD. DEVIATION",2,$F$1))))</f>
        <v/>
      </c>
      <c r="AG341" s="1" t="str">
        <f>IF(OR($B341="",AG$7=""),"",IF($B341="MEANS",INDEX('1-DATA'!$1:$1048576,$A340-1,COLUMN('1-DATA'!AF339)),ROUND(INDEX('1-DATA'!$1:$1048576,IF(OR($B341="STD. DEVIATION",$C$1=1),$A341,$A341+1),COLUMN('1-DATA'!AF339)),IF($B341="STD. DEVIATION",2,$F$1))))</f>
        <v/>
      </c>
      <c r="AH341" s="1" t="str">
        <f>IF(OR($B341="",AH$7=""),"",IF($B341="MEANS",INDEX('1-DATA'!$1:$1048576,$A340-1,COLUMN('1-DATA'!AG339)),ROUND(INDEX('1-DATA'!$1:$1048576,IF(OR($B341="STD. DEVIATION",$C$1=1),$A341,$A341+1),COLUMN('1-DATA'!AG339)),IF($B341="STD. DEVIATION",2,$F$1))))</f>
        <v/>
      </c>
      <c r="AI341" s="1" t="str">
        <f>IF(OR($B341="",AI$7=""),"",IF($B341="MEANS",INDEX('1-DATA'!$1:$1048576,$A340-1,COLUMN('1-DATA'!AH339)),ROUND(INDEX('1-DATA'!$1:$1048576,IF(OR($B341="STD. DEVIATION",$C$1=1),$A341,$A341+1),COLUMN('1-DATA'!AH339)),IF($B341="STD. DEVIATION",2,$F$1))))</f>
        <v/>
      </c>
      <c r="AJ341" s="1" t="str">
        <f>IF(OR($B341="",AJ$7=""),"",IF($B341="MEANS",INDEX('1-DATA'!$1:$1048576,$A340-1,COLUMN('1-DATA'!AI339)),ROUND(INDEX('1-DATA'!$1:$1048576,IF(OR($B341="STD. DEVIATION",$C$1=1),$A341,$A341+1),COLUMN('1-DATA'!AI339)),IF($B341="STD. DEVIATION",2,$F$1))))</f>
        <v/>
      </c>
      <c r="AK341" s="1" t="str">
        <f>IF(OR($B341="",AK$7=""),"",IF($B341="MEANS",INDEX('1-DATA'!$1:$1048576,$A340-1,COLUMN('1-DATA'!AJ339)),ROUND(INDEX('1-DATA'!$1:$1048576,IF(OR($B341="STD. DEVIATION",$C$1=1),$A341,$A341+1),COLUMN('1-DATA'!AJ339)),IF($B341="STD. DEVIATION",2,$F$1))))</f>
        <v/>
      </c>
      <c r="AL341" s="1" t="str">
        <f>IF(OR($B341="",AL$7=""),"",IF($B341="MEANS",INDEX('1-DATA'!$1:$1048576,$A340-1,COLUMN('1-DATA'!AK339)),ROUND(INDEX('1-DATA'!$1:$1048576,IF(OR($B341="STD. DEVIATION",$C$1=1),$A341,$A341+1),COLUMN('1-DATA'!AK339)),IF($B341="STD. DEVIATION",2,$F$1))))</f>
        <v/>
      </c>
      <c r="AM341" s="1" t="str">
        <f>IF(OR($B341="",AM$7=""),"",IF($B341="MEANS",INDEX('1-DATA'!$1:$1048576,$A340-1,COLUMN('1-DATA'!AL339)),ROUND(INDEX('1-DATA'!$1:$1048576,IF(OR($B341="STD. DEVIATION",$C$1=1),$A341,$A341+1),COLUMN('1-DATA'!AL339)),IF($B341="STD. DEVIATION",2,$F$1))))</f>
        <v/>
      </c>
      <c r="AN341" s="1" t="str">
        <f>IF(OR($B341="",AN$7=""),"",IF($B341="MEANS",INDEX('1-DATA'!$1:$1048576,$A340-1,COLUMN('1-DATA'!AM339)),ROUND(INDEX('1-DATA'!$1:$1048576,IF(OR($B341="STD. DEVIATION",$C$1=1),$A341,$A341+1),COLUMN('1-DATA'!AM339)),IF($B341="STD. DEVIATION",2,$F$1))))</f>
        <v/>
      </c>
      <c r="AO341" s="1" t="str">
        <f>IF(OR($B341="",AO$7=""),"",IF($B341="MEANS",INDEX('1-DATA'!$1:$1048576,$A340-1,COLUMN('1-DATA'!AN339)),ROUND(INDEX('1-DATA'!$1:$1048576,IF(OR($B341="STD. DEVIATION",$C$1=1),$A341,$A341+1),COLUMN('1-DATA'!AN339)),IF($B341="STD. DEVIATION",2,$F$1))))</f>
        <v/>
      </c>
      <c r="AP341" s="1" t="str">
        <f>IF(OR($B341="",AP$7=""),"",IF($B341="MEANS",INDEX('1-DATA'!$1:$1048576,$A340-1,COLUMN('1-DATA'!AO339)),ROUND(INDEX('1-DATA'!$1:$1048576,IF(OR($B341="STD. DEVIATION",$C$1=1),$A341,$A341+1),COLUMN('1-DATA'!AO339)),IF($B341="STD. DEVIATION",2,$F$1))))</f>
        <v/>
      </c>
      <c r="AQ341" s="1" t="str">
        <f>IF(OR($B341="",AQ$7=""),"",IF($B341="MEANS",INDEX('1-DATA'!$1:$1048576,$A340-1,COLUMN('1-DATA'!AP339)),ROUND(INDEX('1-DATA'!$1:$1048576,IF(OR($B341="STD. DEVIATION",$C$1=1),$A341,$A341+1),COLUMN('1-DATA'!AP339)),IF($B341="STD. DEVIATION",2,$F$1))))</f>
        <v/>
      </c>
      <c r="AR341" s="1" t="str">
        <f>IF(OR($B341="",AR$7=""),"",IF($B341="MEANS",INDEX('1-DATA'!$1:$1048576,$A340-1,COLUMN('1-DATA'!AQ339)),ROUND(INDEX('1-DATA'!$1:$1048576,IF(OR($B341="STD. DEVIATION",$C$1=1),$A341,$A341+1),COLUMN('1-DATA'!AQ339)),IF($B341="STD. DEVIATION",2,$F$1))))</f>
        <v/>
      </c>
      <c r="AS341" s="1" t="str">
        <f>IF(OR($B341="",AS$7=""),"",IF($B341="MEANS",INDEX('1-DATA'!$1:$1048576,$A340-1,COLUMN('1-DATA'!AR339)),ROUND(INDEX('1-DATA'!$1:$1048576,IF(OR($B341="STD. DEVIATION",$C$1=1),$A341,$A341+1),COLUMN('1-DATA'!AR339)),IF($B341="STD. DEVIATION",2,$F$1))))</f>
        <v/>
      </c>
      <c r="AT341" s="1" t="str">
        <f>IF(OR($B341="",AT$7=""),"",IF($B341="MEANS",INDEX('1-DATA'!$1:$1048576,$A340-1,COLUMN('1-DATA'!AS339)),ROUND(INDEX('1-DATA'!$1:$1048576,IF(OR($B341="STD. DEVIATION",$C$1=1),$A341,$A341+1),COLUMN('1-DATA'!AS339)),IF($B341="STD. DEVIATION",2,$F$1))))</f>
        <v/>
      </c>
      <c r="AU341" s="1" t="str">
        <f>IF(OR($B341="",AU$7=""),"",IF($B341="MEANS",INDEX('1-DATA'!$1:$1048576,$A340-1,COLUMN('1-DATA'!AT339)),ROUND(INDEX('1-DATA'!$1:$1048576,IF(OR($B341="STD. DEVIATION",$C$1=1),$A341,$A341+1),COLUMN('1-DATA'!AT339)),IF($B341="STD. DEVIATION",2,$F$1))))</f>
        <v/>
      </c>
      <c r="AV341" s="1" t="str">
        <f>IF(OR($B341="",AV$7=""),"",IF($B341="MEANS",INDEX('1-DATA'!$1:$1048576,$A340-1,COLUMN('1-DATA'!AU339)),ROUND(INDEX('1-DATA'!$1:$1048576,IF(OR($B341="STD. DEVIATION",$C$1=1),$A341,$A341+1),COLUMN('1-DATA'!AU339)),IF($B341="STD. DEVIATION",2,$F$1))))</f>
        <v/>
      </c>
      <c r="AW341" s="1" t="str">
        <f>IF(OR($B341="",AW$7=""),"",IF($B341="MEANS",INDEX('1-DATA'!$1:$1048576,$A340-1,COLUMN('1-DATA'!AV339)),ROUND(INDEX('1-DATA'!$1:$1048576,IF(OR($B341="STD. DEVIATION",$C$1=1),$A341,$A341+1),COLUMN('1-DATA'!AV339)),IF($B341="STD. DEVIATION",2,$F$1))))</f>
        <v/>
      </c>
      <c r="AX341" s="1" t="str">
        <f>IF(OR($B341="",AX$7=""),"",IF($B341="MEANS",INDEX('1-DATA'!$1:$1048576,$A340-1,COLUMN('1-DATA'!AW339)),ROUND(INDEX('1-DATA'!$1:$1048576,IF(OR($B341="STD. DEVIATION",$C$1=1),$A341,$A341+1),COLUMN('1-DATA'!AW339)),IF($B341="STD. DEVIATION",2,$F$1))))</f>
        <v/>
      </c>
      <c r="AY341" s="1" t="str">
        <f>IF(OR($B341="",AY$7=""),"",IF($B341="MEANS",INDEX('1-DATA'!$1:$1048576,$A340-1,COLUMN('1-DATA'!AX339)),ROUND(INDEX('1-DATA'!$1:$1048576,IF(OR($B341="STD. DEVIATION",$C$1=1),$A341,$A341+1),COLUMN('1-DATA'!AX339)),IF($B341="STD. DEVIATION",2,$F$1))))</f>
        <v/>
      </c>
      <c r="AZ341" s="1" t="str">
        <f>IF(OR($B341="",AZ$7=""),"",IF($B341="MEANS",INDEX('1-DATA'!$1:$1048576,$A340-1,COLUMN('1-DATA'!AY339)),ROUND(INDEX('1-DATA'!$1:$1048576,IF(OR($B341="STD. DEVIATION",$C$1=1),$A341,$A341+1),COLUMN('1-DATA'!AY339)),IF($B341="STD. DEVIATION",2,$F$1))))</f>
        <v/>
      </c>
    </row>
    <row r="342" spans="1:52" x14ac:dyDescent="0.25">
      <c r="A342" s="11">
        <f t="shared" si="5"/>
        <v>1012</v>
      </c>
      <c r="B342" s="1" t="str">
        <f>IF(B341="STD. DEVIATION",INDEX('1-DATA'!$1:$1048576,$A341-1,1),IF(INDEX('1-DATA'!$1:$1048576,$A342,1)&lt;&gt;"",INDEX('1-DATA'!$1:$1048576,$A342,1),""))</f>
        <v/>
      </c>
      <c r="C342" s="1" t="str">
        <f>IF(OR($B342="",C$7=""),"",IF($B342="MEANS",INDEX('1-DATA'!$1:$1048576,$A341-1,COLUMN('1-DATA'!B340)),ROUND(INDEX('1-DATA'!$1:$1048576,IF(OR($B342="STD. DEVIATION",$C$1=1),$A342,$A342+1),COLUMN('1-DATA'!B340)),IF($B342="STD. DEVIATION",2,$F$1))))</f>
        <v/>
      </c>
      <c r="D342" s="1" t="str">
        <f>IF(OR($B342="",D$7=""),"",IF($B342="MEANS",INDEX('1-DATA'!$1:$1048576,$A341-1,COLUMN('1-DATA'!C340)),ROUND(INDEX('1-DATA'!$1:$1048576,IF(OR($B342="STD. DEVIATION",$C$1=1),$A342,$A342+1),COLUMN('1-DATA'!C340)),IF($B342="STD. DEVIATION",2,$F$1))))</f>
        <v/>
      </c>
      <c r="E342" s="1" t="str">
        <f>IF(OR($B342="",E$7=""),"",IF($B342="MEANS",INDEX('1-DATA'!$1:$1048576,$A341-1,COLUMN('1-DATA'!D340)),ROUND(INDEX('1-DATA'!$1:$1048576,IF(OR($B342="STD. DEVIATION",$C$1=1),$A342,$A342+1),COLUMN('1-DATA'!D340)),IF($B342="STD. DEVIATION",2,$F$1))))</f>
        <v/>
      </c>
      <c r="F342" s="1" t="str">
        <f>IF(OR($B342="",F$7=""),"",IF($B342="MEANS",INDEX('1-DATA'!$1:$1048576,$A341-1,COLUMN('1-DATA'!E340)),ROUND(INDEX('1-DATA'!$1:$1048576,IF(OR($B342="STD. DEVIATION",$C$1=1),$A342,$A342+1),COLUMN('1-DATA'!E340)),IF($B342="STD. DEVIATION",2,$F$1))))</f>
        <v/>
      </c>
      <c r="G342" s="1" t="str">
        <f>IF(OR($B342="",G$7=""),"",IF($B342="MEANS",INDEX('1-DATA'!$1:$1048576,$A341-1,COLUMN('1-DATA'!F340)),ROUND(INDEX('1-DATA'!$1:$1048576,IF(OR($B342="STD. DEVIATION",$C$1=1),$A342,$A342+1),COLUMN('1-DATA'!F340)),IF($B342="STD. DEVIATION",2,$F$1))))</f>
        <v/>
      </c>
      <c r="H342" s="1" t="str">
        <f>IF(OR($B342="",H$7=""),"",IF($B342="MEANS",INDEX('1-DATA'!$1:$1048576,$A341-1,COLUMN('1-DATA'!G340)),ROUND(INDEX('1-DATA'!$1:$1048576,IF(OR($B342="STD. DEVIATION",$C$1=1),$A342,$A342+1),COLUMN('1-DATA'!G340)),IF($B342="STD. DEVIATION",2,$F$1))))</f>
        <v/>
      </c>
      <c r="I342" s="1" t="str">
        <f>IF(OR($B342="",I$7=""),"",IF($B342="MEANS",INDEX('1-DATA'!$1:$1048576,$A341-1,COLUMN('1-DATA'!H340)),ROUND(INDEX('1-DATA'!$1:$1048576,IF(OR($B342="STD. DEVIATION",$C$1=1),$A342,$A342+1),COLUMN('1-DATA'!H340)),IF($B342="STD. DEVIATION",2,$F$1))))</f>
        <v/>
      </c>
      <c r="J342" s="1" t="str">
        <f>IF(OR($B342="",J$7=""),"",IF($B342="MEANS",INDEX('1-DATA'!$1:$1048576,$A341-1,COLUMN('1-DATA'!I340)),ROUND(INDEX('1-DATA'!$1:$1048576,IF(OR($B342="STD. DEVIATION",$C$1=1),$A342,$A342+1),COLUMN('1-DATA'!I340)),IF($B342="STD. DEVIATION",2,$F$1))))</f>
        <v/>
      </c>
      <c r="K342" s="1" t="str">
        <f>IF(OR($B342="",K$7=""),"",IF($B342="MEANS",INDEX('1-DATA'!$1:$1048576,$A341-1,COLUMN('1-DATA'!J340)),ROUND(INDEX('1-DATA'!$1:$1048576,IF(OR($B342="STD. DEVIATION",$C$1=1),$A342,$A342+1),COLUMN('1-DATA'!J340)),IF($B342="STD. DEVIATION",2,$F$1))))</f>
        <v/>
      </c>
      <c r="L342" s="1" t="str">
        <f>IF(OR($B342="",L$7=""),"",IF($B342="MEANS",INDEX('1-DATA'!$1:$1048576,$A341-1,COLUMN('1-DATA'!K340)),ROUND(INDEX('1-DATA'!$1:$1048576,IF(OR($B342="STD. DEVIATION",$C$1=1),$A342,$A342+1),COLUMN('1-DATA'!K340)),IF($B342="STD. DEVIATION",2,$F$1))))</f>
        <v/>
      </c>
      <c r="M342" s="1" t="str">
        <f>IF(OR($B342="",M$7=""),"",IF($B342="MEANS",INDEX('1-DATA'!$1:$1048576,$A341-1,COLUMN('1-DATA'!L340)),ROUND(INDEX('1-DATA'!$1:$1048576,IF(OR($B342="STD. DEVIATION",$C$1=1),$A342,$A342+1),COLUMN('1-DATA'!L340)),IF($B342="STD. DEVIATION",2,$F$1))))</f>
        <v/>
      </c>
      <c r="N342" s="1" t="str">
        <f>IF(OR($B342="",N$7=""),"",IF($B342="MEANS",INDEX('1-DATA'!$1:$1048576,$A341-1,COLUMN('1-DATA'!M340)),ROUND(INDEX('1-DATA'!$1:$1048576,IF(OR($B342="STD. DEVIATION",$C$1=1),$A342,$A342+1),COLUMN('1-DATA'!M340)),IF($B342="STD. DEVIATION",2,$F$1))))</f>
        <v/>
      </c>
      <c r="O342" s="1" t="str">
        <f>IF(OR($B342="",O$7=""),"",IF($B342="MEANS",INDEX('1-DATA'!$1:$1048576,$A341-1,COLUMN('1-DATA'!N340)),ROUND(INDEX('1-DATA'!$1:$1048576,IF(OR($B342="STD. DEVIATION",$C$1=1),$A342,$A342+1),COLUMN('1-DATA'!N340)),IF($B342="STD. DEVIATION",2,$F$1))))</f>
        <v/>
      </c>
      <c r="P342" s="1" t="str">
        <f>IF(OR($B342="",P$7=""),"",IF($B342="MEANS",INDEX('1-DATA'!$1:$1048576,$A341-1,COLUMN('1-DATA'!O340)),ROUND(INDEX('1-DATA'!$1:$1048576,IF(OR($B342="STD. DEVIATION",$C$1=1),$A342,$A342+1),COLUMN('1-DATA'!O340)),IF($B342="STD. DEVIATION",2,$F$1))))</f>
        <v/>
      </c>
      <c r="Q342" s="1" t="str">
        <f>IF(OR($B342="",Q$7=""),"",IF($B342="MEANS",INDEX('1-DATA'!$1:$1048576,$A341-1,COLUMN('1-DATA'!P340)),ROUND(INDEX('1-DATA'!$1:$1048576,IF(OR($B342="STD. DEVIATION",$C$1=1),$A342,$A342+1),COLUMN('1-DATA'!P340)),IF($B342="STD. DEVIATION",2,$F$1))))</f>
        <v/>
      </c>
      <c r="R342" s="1" t="str">
        <f>IF(OR($B342="",R$7=""),"",IF($B342="MEANS",INDEX('1-DATA'!$1:$1048576,$A341-1,COLUMN('1-DATA'!Q340)),ROUND(INDEX('1-DATA'!$1:$1048576,IF(OR($B342="STD. DEVIATION",$C$1=1),$A342,$A342+1),COLUMN('1-DATA'!Q340)),IF($B342="STD. DEVIATION",2,$F$1))))</f>
        <v/>
      </c>
      <c r="S342" s="1" t="str">
        <f>IF(OR($B342="",S$7=""),"",IF($B342="MEANS",INDEX('1-DATA'!$1:$1048576,$A341-1,COLUMN('1-DATA'!R340)),ROUND(INDEX('1-DATA'!$1:$1048576,IF(OR($B342="STD. DEVIATION",$C$1=1),$A342,$A342+1),COLUMN('1-DATA'!R340)),IF($B342="STD. DEVIATION",2,$F$1))))</f>
        <v/>
      </c>
      <c r="T342" s="1" t="str">
        <f>IF(OR($B342="",T$7=""),"",IF($B342="MEANS",INDEX('1-DATA'!$1:$1048576,$A341-1,COLUMN('1-DATA'!S340)),ROUND(INDEX('1-DATA'!$1:$1048576,IF(OR($B342="STD. DEVIATION",$C$1=1),$A342,$A342+1),COLUMN('1-DATA'!S340)),IF($B342="STD. DEVIATION",2,$F$1))))</f>
        <v/>
      </c>
      <c r="U342" s="1" t="str">
        <f>IF(OR($B342="",U$7=""),"",IF($B342="MEANS",INDEX('1-DATA'!$1:$1048576,$A341-1,COLUMN('1-DATA'!T340)),ROUND(INDEX('1-DATA'!$1:$1048576,IF(OR($B342="STD. DEVIATION",$C$1=1),$A342,$A342+1),COLUMN('1-DATA'!T340)),IF($B342="STD. DEVIATION",2,$F$1))))</f>
        <v/>
      </c>
      <c r="V342" s="1" t="str">
        <f>IF(OR($B342="",V$7=""),"",IF($B342="MEANS",INDEX('1-DATA'!$1:$1048576,$A341-1,COLUMN('1-DATA'!U340)),ROUND(INDEX('1-DATA'!$1:$1048576,IF(OR($B342="STD. DEVIATION",$C$1=1),$A342,$A342+1),COLUMN('1-DATA'!U340)),IF($B342="STD. DEVIATION",2,$F$1))))</f>
        <v/>
      </c>
      <c r="W342" s="1" t="str">
        <f>IF(OR($B342="",W$7=""),"",IF($B342="MEANS",INDEX('1-DATA'!$1:$1048576,$A341-1,COLUMN('1-DATA'!V340)),ROUND(INDEX('1-DATA'!$1:$1048576,IF(OR($B342="STD. DEVIATION",$C$1=1),$A342,$A342+1),COLUMN('1-DATA'!V340)),IF($B342="STD. DEVIATION",2,$F$1))))</f>
        <v/>
      </c>
      <c r="X342" s="1" t="str">
        <f>IF(OR($B342="",X$7=""),"",IF($B342="MEANS",INDEX('1-DATA'!$1:$1048576,$A341-1,COLUMN('1-DATA'!W340)),ROUND(INDEX('1-DATA'!$1:$1048576,IF(OR($B342="STD. DEVIATION",$C$1=1),$A342,$A342+1),COLUMN('1-DATA'!W340)),IF($B342="STD. DEVIATION",2,$F$1))))</f>
        <v/>
      </c>
      <c r="Y342" s="1" t="str">
        <f>IF(OR($B342="",Y$7=""),"",IF($B342="MEANS",INDEX('1-DATA'!$1:$1048576,$A341-1,COLUMN('1-DATA'!X340)),ROUND(INDEX('1-DATA'!$1:$1048576,IF(OR($B342="STD. DEVIATION",$C$1=1),$A342,$A342+1),COLUMN('1-DATA'!X340)),IF($B342="STD. DEVIATION",2,$F$1))))</f>
        <v/>
      </c>
      <c r="Z342" s="1" t="str">
        <f>IF(OR($B342="",Z$7=""),"",IF($B342="MEANS",INDEX('1-DATA'!$1:$1048576,$A341-1,COLUMN('1-DATA'!Y340)),ROUND(INDEX('1-DATA'!$1:$1048576,IF(OR($B342="STD. DEVIATION",$C$1=1),$A342,$A342+1),COLUMN('1-DATA'!Y340)),IF($B342="STD. DEVIATION",2,$F$1))))</f>
        <v/>
      </c>
      <c r="AA342" s="1" t="str">
        <f>IF(OR($B342="",AA$7=""),"",IF($B342="MEANS",INDEX('1-DATA'!$1:$1048576,$A341-1,COLUMN('1-DATA'!Z340)),ROUND(INDEX('1-DATA'!$1:$1048576,IF(OR($B342="STD. DEVIATION",$C$1=1),$A342,$A342+1),COLUMN('1-DATA'!Z340)),IF($B342="STD. DEVIATION",2,$F$1))))</f>
        <v/>
      </c>
      <c r="AB342" s="1" t="str">
        <f>IF(OR($B342="",AB$7=""),"",IF($B342="MEANS",INDEX('1-DATA'!$1:$1048576,$A341-1,COLUMN('1-DATA'!AA340)),ROUND(INDEX('1-DATA'!$1:$1048576,IF(OR($B342="STD. DEVIATION",$C$1=1),$A342,$A342+1),COLUMN('1-DATA'!AA340)),IF($B342="STD. DEVIATION",2,$F$1))))</f>
        <v/>
      </c>
      <c r="AC342" s="1" t="str">
        <f>IF(OR($B342="",AC$7=""),"",IF($B342="MEANS",INDEX('1-DATA'!$1:$1048576,$A341-1,COLUMN('1-DATA'!AB340)),ROUND(INDEX('1-DATA'!$1:$1048576,IF(OR($B342="STD. DEVIATION",$C$1=1),$A342,$A342+1),COLUMN('1-DATA'!AB340)),IF($B342="STD. DEVIATION",2,$F$1))))</f>
        <v/>
      </c>
      <c r="AD342" s="1" t="str">
        <f>IF(OR($B342="",AD$7=""),"",IF($B342="MEANS",INDEX('1-DATA'!$1:$1048576,$A341-1,COLUMN('1-DATA'!AC340)),ROUND(INDEX('1-DATA'!$1:$1048576,IF(OR($B342="STD. DEVIATION",$C$1=1),$A342,$A342+1),COLUMN('1-DATA'!AC340)),IF($B342="STD. DEVIATION",2,$F$1))))</f>
        <v/>
      </c>
      <c r="AE342" s="1" t="str">
        <f>IF(OR($B342="",AE$7=""),"",IF($B342="MEANS",INDEX('1-DATA'!$1:$1048576,$A341-1,COLUMN('1-DATA'!AD340)),ROUND(INDEX('1-DATA'!$1:$1048576,IF(OR($B342="STD. DEVIATION",$C$1=1),$A342,$A342+1),COLUMN('1-DATA'!AD340)),IF($B342="STD. DEVIATION",2,$F$1))))</f>
        <v/>
      </c>
      <c r="AF342" s="1" t="str">
        <f>IF(OR($B342="",AF$7=""),"",IF($B342="MEANS",INDEX('1-DATA'!$1:$1048576,$A341-1,COLUMN('1-DATA'!AE340)),ROUND(INDEX('1-DATA'!$1:$1048576,IF(OR($B342="STD. DEVIATION",$C$1=1),$A342,$A342+1),COLUMN('1-DATA'!AE340)),IF($B342="STD. DEVIATION",2,$F$1))))</f>
        <v/>
      </c>
      <c r="AG342" s="1" t="str">
        <f>IF(OR($B342="",AG$7=""),"",IF($B342="MEANS",INDEX('1-DATA'!$1:$1048576,$A341-1,COLUMN('1-DATA'!AF340)),ROUND(INDEX('1-DATA'!$1:$1048576,IF(OR($B342="STD. DEVIATION",$C$1=1),$A342,$A342+1),COLUMN('1-DATA'!AF340)),IF($B342="STD. DEVIATION",2,$F$1))))</f>
        <v/>
      </c>
      <c r="AH342" s="1" t="str">
        <f>IF(OR($B342="",AH$7=""),"",IF($B342="MEANS",INDEX('1-DATA'!$1:$1048576,$A341-1,COLUMN('1-DATA'!AG340)),ROUND(INDEX('1-DATA'!$1:$1048576,IF(OR($B342="STD. DEVIATION",$C$1=1),$A342,$A342+1),COLUMN('1-DATA'!AG340)),IF($B342="STD. DEVIATION",2,$F$1))))</f>
        <v/>
      </c>
      <c r="AI342" s="1" t="str">
        <f>IF(OR($B342="",AI$7=""),"",IF($B342="MEANS",INDEX('1-DATA'!$1:$1048576,$A341-1,COLUMN('1-DATA'!AH340)),ROUND(INDEX('1-DATA'!$1:$1048576,IF(OR($B342="STD. DEVIATION",$C$1=1),$A342,$A342+1),COLUMN('1-DATA'!AH340)),IF($B342="STD. DEVIATION",2,$F$1))))</f>
        <v/>
      </c>
      <c r="AJ342" s="1" t="str">
        <f>IF(OR($B342="",AJ$7=""),"",IF($B342="MEANS",INDEX('1-DATA'!$1:$1048576,$A341-1,COLUMN('1-DATA'!AI340)),ROUND(INDEX('1-DATA'!$1:$1048576,IF(OR($B342="STD. DEVIATION",$C$1=1),$A342,$A342+1),COLUMN('1-DATA'!AI340)),IF($B342="STD. DEVIATION",2,$F$1))))</f>
        <v/>
      </c>
      <c r="AK342" s="1" t="str">
        <f>IF(OR($B342="",AK$7=""),"",IF($B342="MEANS",INDEX('1-DATA'!$1:$1048576,$A341-1,COLUMN('1-DATA'!AJ340)),ROUND(INDEX('1-DATA'!$1:$1048576,IF(OR($B342="STD. DEVIATION",$C$1=1),$A342,$A342+1),COLUMN('1-DATA'!AJ340)),IF($B342="STD. DEVIATION",2,$F$1))))</f>
        <v/>
      </c>
      <c r="AL342" s="1" t="str">
        <f>IF(OR($B342="",AL$7=""),"",IF($B342="MEANS",INDEX('1-DATA'!$1:$1048576,$A341-1,COLUMN('1-DATA'!AK340)),ROUND(INDEX('1-DATA'!$1:$1048576,IF(OR($B342="STD. DEVIATION",$C$1=1),$A342,$A342+1),COLUMN('1-DATA'!AK340)),IF($B342="STD. DEVIATION",2,$F$1))))</f>
        <v/>
      </c>
      <c r="AM342" s="1" t="str">
        <f>IF(OR($B342="",AM$7=""),"",IF($B342="MEANS",INDEX('1-DATA'!$1:$1048576,$A341-1,COLUMN('1-DATA'!AL340)),ROUND(INDEX('1-DATA'!$1:$1048576,IF(OR($B342="STD. DEVIATION",$C$1=1),$A342,$A342+1),COLUMN('1-DATA'!AL340)),IF($B342="STD. DEVIATION",2,$F$1))))</f>
        <v/>
      </c>
      <c r="AN342" s="1" t="str">
        <f>IF(OR($B342="",AN$7=""),"",IF($B342="MEANS",INDEX('1-DATA'!$1:$1048576,$A341-1,COLUMN('1-DATA'!AM340)),ROUND(INDEX('1-DATA'!$1:$1048576,IF(OR($B342="STD. DEVIATION",$C$1=1),$A342,$A342+1),COLUMN('1-DATA'!AM340)),IF($B342="STD. DEVIATION",2,$F$1))))</f>
        <v/>
      </c>
      <c r="AO342" s="1" t="str">
        <f>IF(OR($B342="",AO$7=""),"",IF($B342="MEANS",INDEX('1-DATA'!$1:$1048576,$A341-1,COLUMN('1-DATA'!AN340)),ROUND(INDEX('1-DATA'!$1:$1048576,IF(OR($B342="STD. DEVIATION",$C$1=1),$A342,$A342+1),COLUMN('1-DATA'!AN340)),IF($B342="STD. DEVIATION",2,$F$1))))</f>
        <v/>
      </c>
      <c r="AP342" s="1" t="str">
        <f>IF(OR($B342="",AP$7=""),"",IF($B342="MEANS",INDEX('1-DATA'!$1:$1048576,$A341-1,COLUMN('1-DATA'!AO340)),ROUND(INDEX('1-DATA'!$1:$1048576,IF(OR($B342="STD. DEVIATION",$C$1=1),$A342,$A342+1),COLUMN('1-DATA'!AO340)),IF($B342="STD. DEVIATION",2,$F$1))))</f>
        <v/>
      </c>
      <c r="AQ342" s="1" t="str">
        <f>IF(OR($B342="",AQ$7=""),"",IF($B342="MEANS",INDEX('1-DATA'!$1:$1048576,$A341-1,COLUMN('1-DATA'!AP340)),ROUND(INDEX('1-DATA'!$1:$1048576,IF(OR($B342="STD. DEVIATION",$C$1=1),$A342,$A342+1),COLUMN('1-DATA'!AP340)),IF($B342="STD. DEVIATION",2,$F$1))))</f>
        <v/>
      </c>
      <c r="AR342" s="1" t="str">
        <f>IF(OR($B342="",AR$7=""),"",IF($B342="MEANS",INDEX('1-DATA'!$1:$1048576,$A341-1,COLUMN('1-DATA'!AQ340)),ROUND(INDEX('1-DATA'!$1:$1048576,IF(OR($B342="STD. DEVIATION",$C$1=1),$A342,$A342+1),COLUMN('1-DATA'!AQ340)),IF($B342="STD. DEVIATION",2,$F$1))))</f>
        <v/>
      </c>
      <c r="AS342" s="1" t="str">
        <f>IF(OR($B342="",AS$7=""),"",IF($B342="MEANS",INDEX('1-DATA'!$1:$1048576,$A341-1,COLUMN('1-DATA'!AR340)),ROUND(INDEX('1-DATA'!$1:$1048576,IF(OR($B342="STD. DEVIATION",$C$1=1),$A342,$A342+1),COLUMN('1-DATA'!AR340)),IF($B342="STD. DEVIATION",2,$F$1))))</f>
        <v/>
      </c>
      <c r="AT342" s="1" t="str">
        <f>IF(OR($B342="",AT$7=""),"",IF($B342="MEANS",INDEX('1-DATA'!$1:$1048576,$A341-1,COLUMN('1-DATA'!AS340)),ROUND(INDEX('1-DATA'!$1:$1048576,IF(OR($B342="STD. DEVIATION",$C$1=1),$A342,$A342+1),COLUMN('1-DATA'!AS340)),IF($B342="STD. DEVIATION",2,$F$1))))</f>
        <v/>
      </c>
      <c r="AU342" s="1" t="str">
        <f>IF(OR($B342="",AU$7=""),"",IF($B342="MEANS",INDEX('1-DATA'!$1:$1048576,$A341-1,COLUMN('1-DATA'!AT340)),ROUND(INDEX('1-DATA'!$1:$1048576,IF(OR($B342="STD. DEVIATION",$C$1=1),$A342,$A342+1),COLUMN('1-DATA'!AT340)),IF($B342="STD. DEVIATION",2,$F$1))))</f>
        <v/>
      </c>
      <c r="AV342" s="1" t="str">
        <f>IF(OR($B342="",AV$7=""),"",IF($B342="MEANS",INDEX('1-DATA'!$1:$1048576,$A341-1,COLUMN('1-DATA'!AU340)),ROUND(INDEX('1-DATA'!$1:$1048576,IF(OR($B342="STD. DEVIATION",$C$1=1),$A342,$A342+1),COLUMN('1-DATA'!AU340)),IF($B342="STD. DEVIATION",2,$F$1))))</f>
        <v/>
      </c>
      <c r="AW342" s="1" t="str">
        <f>IF(OR($B342="",AW$7=""),"",IF($B342="MEANS",INDEX('1-DATA'!$1:$1048576,$A341-1,COLUMN('1-DATA'!AV340)),ROUND(INDEX('1-DATA'!$1:$1048576,IF(OR($B342="STD. DEVIATION",$C$1=1),$A342,$A342+1),COLUMN('1-DATA'!AV340)),IF($B342="STD. DEVIATION",2,$F$1))))</f>
        <v/>
      </c>
      <c r="AX342" s="1" t="str">
        <f>IF(OR($B342="",AX$7=""),"",IF($B342="MEANS",INDEX('1-DATA'!$1:$1048576,$A341-1,COLUMN('1-DATA'!AW340)),ROUND(INDEX('1-DATA'!$1:$1048576,IF(OR($B342="STD. DEVIATION",$C$1=1),$A342,$A342+1),COLUMN('1-DATA'!AW340)),IF($B342="STD. DEVIATION",2,$F$1))))</f>
        <v/>
      </c>
      <c r="AY342" s="1" t="str">
        <f>IF(OR($B342="",AY$7=""),"",IF($B342="MEANS",INDEX('1-DATA'!$1:$1048576,$A341-1,COLUMN('1-DATA'!AX340)),ROUND(INDEX('1-DATA'!$1:$1048576,IF(OR($B342="STD. DEVIATION",$C$1=1),$A342,$A342+1),COLUMN('1-DATA'!AX340)),IF($B342="STD. DEVIATION",2,$F$1))))</f>
        <v/>
      </c>
      <c r="AZ342" s="1" t="str">
        <f>IF(OR($B342="",AZ$7=""),"",IF($B342="MEANS",INDEX('1-DATA'!$1:$1048576,$A341-1,COLUMN('1-DATA'!AY340)),ROUND(INDEX('1-DATA'!$1:$1048576,IF(OR($B342="STD. DEVIATION",$C$1=1),$A342,$A342+1),COLUMN('1-DATA'!AY340)),IF($B342="STD. DEVIATION",2,$F$1))))</f>
        <v/>
      </c>
    </row>
    <row r="343" spans="1:52" x14ac:dyDescent="0.25">
      <c r="A343" s="11">
        <f t="shared" si="5"/>
        <v>1015</v>
      </c>
      <c r="B343" s="1" t="str">
        <f>IF(B342="STD. DEVIATION",INDEX('1-DATA'!$1:$1048576,$A342-1,1),IF(INDEX('1-DATA'!$1:$1048576,$A343,1)&lt;&gt;"",INDEX('1-DATA'!$1:$1048576,$A343,1),""))</f>
        <v/>
      </c>
      <c r="C343" s="1" t="str">
        <f>IF(OR($B343="",C$7=""),"",IF($B343="MEANS",INDEX('1-DATA'!$1:$1048576,$A342-1,COLUMN('1-DATA'!B341)),ROUND(INDEX('1-DATA'!$1:$1048576,IF(OR($B343="STD. DEVIATION",$C$1=1),$A343,$A343+1),COLUMN('1-DATA'!B341)),IF($B343="STD. DEVIATION",2,$F$1))))</f>
        <v/>
      </c>
      <c r="D343" s="1" t="str">
        <f>IF(OR($B343="",D$7=""),"",IF($B343="MEANS",INDEX('1-DATA'!$1:$1048576,$A342-1,COLUMN('1-DATA'!C341)),ROUND(INDEX('1-DATA'!$1:$1048576,IF(OR($B343="STD. DEVIATION",$C$1=1),$A343,$A343+1),COLUMN('1-DATA'!C341)),IF($B343="STD. DEVIATION",2,$F$1))))</f>
        <v/>
      </c>
      <c r="E343" s="1" t="str">
        <f>IF(OR($B343="",E$7=""),"",IF($B343="MEANS",INDEX('1-DATA'!$1:$1048576,$A342-1,COLUMN('1-DATA'!D341)),ROUND(INDEX('1-DATA'!$1:$1048576,IF(OR($B343="STD. DEVIATION",$C$1=1),$A343,$A343+1),COLUMN('1-DATA'!D341)),IF($B343="STD. DEVIATION",2,$F$1))))</f>
        <v/>
      </c>
      <c r="F343" s="1" t="str">
        <f>IF(OR($B343="",F$7=""),"",IF($B343="MEANS",INDEX('1-DATA'!$1:$1048576,$A342-1,COLUMN('1-DATA'!E341)),ROUND(INDEX('1-DATA'!$1:$1048576,IF(OR($B343="STD. DEVIATION",$C$1=1),$A343,$A343+1),COLUMN('1-DATA'!E341)),IF($B343="STD. DEVIATION",2,$F$1))))</f>
        <v/>
      </c>
      <c r="G343" s="1" t="str">
        <f>IF(OR($B343="",G$7=""),"",IF($B343="MEANS",INDEX('1-DATA'!$1:$1048576,$A342-1,COLUMN('1-DATA'!F341)),ROUND(INDEX('1-DATA'!$1:$1048576,IF(OR($B343="STD. DEVIATION",$C$1=1),$A343,$A343+1),COLUMN('1-DATA'!F341)),IF($B343="STD. DEVIATION",2,$F$1))))</f>
        <v/>
      </c>
      <c r="H343" s="1" t="str">
        <f>IF(OR($B343="",H$7=""),"",IF($B343="MEANS",INDEX('1-DATA'!$1:$1048576,$A342-1,COLUMN('1-DATA'!G341)),ROUND(INDEX('1-DATA'!$1:$1048576,IF(OR($B343="STD. DEVIATION",$C$1=1),$A343,$A343+1),COLUMN('1-DATA'!G341)),IF($B343="STD. DEVIATION",2,$F$1))))</f>
        <v/>
      </c>
      <c r="I343" s="1" t="str">
        <f>IF(OR($B343="",I$7=""),"",IF($B343="MEANS",INDEX('1-DATA'!$1:$1048576,$A342-1,COLUMN('1-DATA'!H341)),ROUND(INDEX('1-DATA'!$1:$1048576,IF(OR($B343="STD. DEVIATION",$C$1=1),$A343,$A343+1),COLUMN('1-DATA'!H341)),IF($B343="STD. DEVIATION",2,$F$1))))</f>
        <v/>
      </c>
      <c r="J343" s="1" t="str">
        <f>IF(OR($B343="",J$7=""),"",IF($B343="MEANS",INDEX('1-DATA'!$1:$1048576,$A342-1,COLUMN('1-DATA'!I341)),ROUND(INDEX('1-DATA'!$1:$1048576,IF(OR($B343="STD. DEVIATION",$C$1=1),$A343,$A343+1),COLUMN('1-DATA'!I341)),IF($B343="STD. DEVIATION",2,$F$1))))</f>
        <v/>
      </c>
      <c r="K343" s="1" t="str">
        <f>IF(OR($B343="",K$7=""),"",IF($B343="MEANS",INDEX('1-DATA'!$1:$1048576,$A342-1,COLUMN('1-DATA'!J341)),ROUND(INDEX('1-DATA'!$1:$1048576,IF(OR($B343="STD. DEVIATION",$C$1=1),$A343,$A343+1),COLUMN('1-DATA'!J341)),IF($B343="STD. DEVIATION",2,$F$1))))</f>
        <v/>
      </c>
      <c r="L343" s="1" t="str">
        <f>IF(OR($B343="",L$7=""),"",IF($B343="MEANS",INDEX('1-DATA'!$1:$1048576,$A342-1,COLUMN('1-DATA'!K341)),ROUND(INDEX('1-DATA'!$1:$1048576,IF(OR($B343="STD. DEVIATION",$C$1=1),$A343,$A343+1),COLUMN('1-DATA'!K341)),IF($B343="STD. DEVIATION",2,$F$1))))</f>
        <v/>
      </c>
      <c r="M343" s="1" t="str">
        <f>IF(OR($B343="",M$7=""),"",IF($B343="MEANS",INDEX('1-DATA'!$1:$1048576,$A342-1,COLUMN('1-DATA'!L341)),ROUND(INDEX('1-DATA'!$1:$1048576,IF(OR($B343="STD. DEVIATION",$C$1=1),$A343,$A343+1),COLUMN('1-DATA'!L341)),IF($B343="STD. DEVIATION",2,$F$1))))</f>
        <v/>
      </c>
      <c r="N343" s="1" t="str">
        <f>IF(OR($B343="",N$7=""),"",IF($B343="MEANS",INDEX('1-DATA'!$1:$1048576,$A342-1,COLUMN('1-DATA'!M341)),ROUND(INDEX('1-DATA'!$1:$1048576,IF(OR($B343="STD. DEVIATION",$C$1=1),$A343,$A343+1),COLUMN('1-DATA'!M341)),IF($B343="STD. DEVIATION",2,$F$1))))</f>
        <v/>
      </c>
      <c r="O343" s="1" t="str">
        <f>IF(OR($B343="",O$7=""),"",IF($B343="MEANS",INDEX('1-DATA'!$1:$1048576,$A342-1,COLUMN('1-DATA'!N341)),ROUND(INDEX('1-DATA'!$1:$1048576,IF(OR($B343="STD. DEVIATION",$C$1=1),$A343,$A343+1),COLUMN('1-DATA'!N341)),IF($B343="STD. DEVIATION",2,$F$1))))</f>
        <v/>
      </c>
      <c r="P343" s="1" t="str">
        <f>IF(OR($B343="",P$7=""),"",IF($B343="MEANS",INDEX('1-DATA'!$1:$1048576,$A342-1,COLUMN('1-DATA'!O341)),ROUND(INDEX('1-DATA'!$1:$1048576,IF(OR($B343="STD. DEVIATION",$C$1=1),$A343,$A343+1),COLUMN('1-DATA'!O341)),IF($B343="STD. DEVIATION",2,$F$1))))</f>
        <v/>
      </c>
      <c r="Q343" s="1" t="str">
        <f>IF(OR($B343="",Q$7=""),"",IF($B343="MEANS",INDEX('1-DATA'!$1:$1048576,$A342-1,COLUMN('1-DATA'!P341)),ROUND(INDEX('1-DATA'!$1:$1048576,IF(OR($B343="STD. DEVIATION",$C$1=1),$A343,$A343+1),COLUMN('1-DATA'!P341)),IF($B343="STD. DEVIATION",2,$F$1))))</f>
        <v/>
      </c>
      <c r="R343" s="1" t="str">
        <f>IF(OR($B343="",R$7=""),"",IF($B343="MEANS",INDEX('1-DATA'!$1:$1048576,$A342-1,COLUMN('1-DATA'!Q341)),ROUND(INDEX('1-DATA'!$1:$1048576,IF(OR($B343="STD. DEVIATION",$C$1=1),$A343,$A343+1),COLUMN('1-DATA'!Q341)),IF($B343="STD. DEVIATION",2,$F$1))))</f>
        <v/>
      </c>
      <c r="S343" s="1" t="str">
        <f>IF(OR($B343="",S$7=""),"",IF($B343="MEANS",INDEX('1-DATA'!$1:$1048576,$A342-1,COLUMN('1-DATA'!R341)),ROUND(INDEX('1-DATA'!$1:$1048576,IF(OR($B343="STD. DEVIATION",$C$1=1),$A343,$A343+1),COLUMN('1-DATA'!R341)),IF($B343="STD. DEVIATION",2,$F$1))))</f>
        <v/>
      </c>
      <c r="T343" s="1" t="str">
        <f>IF(OR($B343="",T$7=""),"",IF($B343="MEANS",INDEX('1-DATA'!$1:$1048576,$A342-1,COLUMN('1-DATA'!S341)),ROUND(INDEX('1-DATA'!$1:$1048576,IF(OR($B343="STD. DEVIATION",$C$1=1),$A343,$A343+1),COLUMN('1-DATA'!S341)),IF($B343="STD. DEVIATION",2,$F$1))))</f>
        <v/>
      </c>
      <c r="U343" s="1" t="str">
        <f>IF(OR($B343="",U$7=""),"",IF($B343="MEANS",INDEX('1-DATA'!$1:$1048576,$A342-1,COLUMN('1-DATA'!T341)),ROUND(INDEX('1-DATA'!$1:$1048576,IF(OR($B343="STD. DEVIATION",$C$1=1),$A343,$A343+1),COLUMN('1-DATA'!T341)),IF($B343="STD. DEVIATION",2,$F$1))))</f>
        <v/>
      </c>
      <c r="V343" s="1" t="str">
        <f>IF(OR($B343="",V$7=""),"",IF($B343="MEANS",INDEX('1-DATA'!$1:$1048576,$A342-1,COLUMN('1-DATA'!U341)),ROUND(INDEX('1-DATA'!$1:$1048576,IF(OR($B343="STD. DEVIATION",$C$1=1),$A343,$A343+1),COLUMN('1-DATA'!U341)),IF($B343="STD. DEVIATION",2,$F$1))))</f>
        <v/>
      </c>
      <c r="W343" s="1" t="str">
        <f>IF(OR($B343="",W$7=""),"",IF($B343="MEANS",INDEX('1-DATA'!$1:$1048576,$A342-1,COLUMN('1-DATA'!V341)),ROUND(INDEX('1-DATA'!$1:$1048576,IF(OR($B343="STD. DEVIATION",$C$1=1),$A343,$A343+1),COLUMN('1-DATA'!V341)),IF($B343="STD. DEVIATION",2,$F$1))))</f>
        <v/>
      </c>
      <c r="X343" s="1" t="str">
        <f>IF(OR($B343="",X$7=""),"",IF($B343="MEANS",INDEX('1-DATA'!$1:$1048576,$A342-1,COLUMN('1-DATA'!W341)),ROUND(INDEX('1-DATA'!$1:$1048576,IF(OR($B343="STD. DEVIATION",$C$1=1),$A343,$A343+1),COLUMN('1-DATA'!W341)),IF($B343="STD. DEVIATION",2,$F$1))))</f>
        <v/>
      </c>
      <c r="Y343" s="1" t="str">
        <f>IF(OR($B343="",Y$7=""),"",IF($B343="MEANS",INDEX('1-DATA'!$1:$1048576,$A342-1,COLUMN('1-DATA'!X341)),ROUND(INDEX('1-DATA'!$1:$1048576,IF(OR($B343="STD. DEVIATION",$C$1=1),$A343,$A343+1),COLUMN('1-DATA'!X341)),IF($B343="STD. DEVIATION",2,$F$1))))</f>
        <v/>
      </c>
      <c r="Z343" s="1" t="str">
        <f>IF(OR($B343="",Z$7=""),"",IF($B343="MEANS",INDEX('1-DATA'!$1:$1048576,$A342-1,COLUMN('1-DATA'!Y341)),ROUND(INDEX('1-DATA'!$1:$1048576,IF(OR($B343="STD. DEVIATION",$C$1=1),$A343,$A343+1),COLUMN('1-DATA'!Y341)),IF($B343="STD. DEVIATION",2,$F$1))))</f>
        <v/>
      </c>
      <c r="AA343" s="1" t="str">
        <f>IF(OR($B343="",AA$7=""),"",IF($B343="MEANS",INDEX('1-DATA'!$1:$1048576,$A342-1,COLUMN('1-DATA'!Z341)),ROUND(INDEX('1-DATA'!$1:$1048576,IF(OR($B343="STD. DEVIATION",$C$1=1),$A343,$A343+1),COLUMN('1-DATA'!Z341)),IF($B343="STD. DEVIATION",2,$F$1))))</f>
        <v/>
      </c>
      <c r="AB343" s="1" t="str">
        <f>IF(OR($B343="",AB$7=""),"",IF($B343="MEANS",INDEX('1-DATA'!$1:$1048576,$A342-1,COLUMN('1-DATA'!AA341)),ROUND(INDEX('1-DATA'!$1:$1048576,IF(OR($B343="STD. DEVIATION",$C$1=1),$A343,$A343+1),COLUMN('1-DATA'!AA341)),IF($B343="STD. DEVIATION",2,$F$1))))</f>
        <v/>
      </c>
      <c r="AC343" s="1" t="str">
        <f>IF(OR($B343="",AC$7=""),"",IF($B343="MEANS",INDEX('1-DATA'!$1:$1048576,$A342-1,COLUMN('1-DATA'!AB341)),ROUND(INDEX('1-DATA'!$1:$1048576,IF(OR($B343="STD. DEVIATION",$C$1=1),$A343,$A343+1),COLUMN('1-DATA'!AB341)),IF($B343="STD. DEVIATION",2,$F$1))))</f>
        <v/>
      </c>
      <c r="AD343" s="1" t="str">
        <f>IF(OR($B343="",AD$7=""),"",IF($B343="MEANS",INDEX('1-DATA'!$1:$1048576,$A342-1,COLUMN('1-DATA'!AC341)),ROUND(INDEX('1-DATA'!$1:$1048576,IF(OR($B343="STD. DEVIATION",$C$1=1),$A343,$A343+1),COLUMN('1-DATA'!AC341)),IF($B343="STD. DEVIATION",2,$F$1))))</f>
        <v/>
      </c>
      <c r="AE343" s="1" t="str">
        <f>IF(OR($B343="",AE$7=""),"",IF($B343="MEANS",INDEX('1-DATA'!$1:$1048576,$A342-1,COLUMN('1-DATA'!AD341)),ROUND(INDEX('1-DATA'!$1:$1048576,IF(OR($B343="STD. DEVIATION",$C$1=1),$A343,$A343+1),COLUMN('1-DATA'!AD341)),IF($B343="STD. DEVIATION",2,$F$1))))</f>
        <v/>
      </c>
      <c r="AF343" s="1" t="str">
        <f>IF(OR($B343="",AF$7=""),"",IF($B343="MEANS",INDEX('1-DATA'!$1:$1048576,$A342-1,COLUMN('1-DATA'!AE341)),ROUND(INDEX('1-DATA'!$1:$1048576,IF(OR($B343="STD. DEVIATION",$C$1=1),$A343,$A343+1),COLUMN('1-DATA'!AE341)),IF($B343="STD. DEVIATION",2,$F$1))))</f>
        <v/>
      </c>
      <c r="AG343" s="1" t="str">
        <f>IF(OR($B343="",AG$7=""),"",IF($B343="MEANS",INDEX('1-DATA'!$1:$1048576,$A342-1,COLUMN('1-DATA'!AF341)),ROUND(INDEX('1-DATA'!$1:$1048576,IF(OR($B343="STD. DEVIATION",$C$1=1),$A343,$A343+1),COLUMN('1-DATA'!AF341)),IF($B343="STD. DEVIATION",2,$F$1))))</f>
        <v/>
      </c>
      <c r="AH343" s="1" t="str">
        <f>IF(OR($B343="",AH$7=""),"",IF($B343="MEANS",INDEX('1-DATA'!$1:$1048576,$A342-1,COLUMN('1-DATA'!AG341)),ROUND(INDEX('1-DATA'!$1:$1048576,IF(OR($B343="STD. DEVIATION",$C$1=1),$A343,$A343+1),COLUMN('1-DATA'!AG341)),IF($B343="STD. DEVIATION",2,$F$1))))</f>
        <v/>
      </c>
      <c r="AI343" s="1" t="str">
        <f>IF(OR($B343="",AI$7=""),"",IF($B343="MEANS",INDEX('1-DATA'!$1:$1048576,$A342-1,COLUMN('1-DATA'!AH341)),ROUND(INDEX('1-DATA'!$1:$1048576,IF(OR($B343="STD. DEVIATION",$C$1=1),$A343,$A343+1),COLUMN('1-DATA'!AH341)),IF($B343="STD. DEVIATION",2,$F$1))))</f>
        <v/>
      </c>
      <c r="AJ343" s="1" t="str">
        <f>IF(OR($B343="",AJ$7=""),"",IF($B343="MEANS",INDEX('1-DATA'!$1:$1048576,$A342-1,COLUMN('1-DATA'!AI341)),ROUND(INDEX('1-DATA'!$1:$1048576,IF(OR($B343="STD. DEVIATION",$C$1=1),$A343,$A343+1),COLUMN('1-DATA'!AI341)),IF($B343="STD. DEVIATION",2,$F$1))))</f>
        <v/>
      </c>
      <c r="AK343" s="1" t="str">
        <f>IF(OR($B343="",AK$7=""),"",IF($B343="MEANS",INDEX('1-DATA'!$1:$1048576,$A342-1,COLUMN('1-DATA'!AJ341)),ROUND(INDEX('1-DATA'!$1:$1048576,IF(OR($B343="STD. DEVIATION",$C$1=1),$A343,$A343+1),COLUMN('1-DATA'!AJ341)),IF($B343="STD. DEVIATION",2,$F$1))))</f>
        <v/>
      </c>
      <c r="AL343" s="1" t="str">
        <f>IF(OR($B343="",AL$7=""),"",IF($B343="MEANS",INDEX('1-DATA'!$1:$1048576,$A342-1,COLUMN('1-DATA'!AK341)),ROUND(INDEX('1-DATA'!$1:$1048576,IF(OR($B343="STD. DEVIATION",$C$1=1),$A343,$A343+1),COLUMN('1-DATA'!AK341)),IF($B343="STD. DEVIATION",2,$F$1))))</f>
        <v/>
      </c>
      <c r="AM343" s="1" t="str">
        <f>IF(OR($B343="",AM$7=""),"",IF($B343="MEANS",INDEX('1-DATA'!$1:$1048576,$A342-1,COLUMN('1-DATA'!AL341)),ROUND(INDEX('1-DATA'!$1:$1048576,IF(OR($B343="STD. DEVIATION",$C$1=1),$A343,$A343+1),COLUMN('1-DATA'!AL341)),IF($B343="STD. DEVIATION",2,$F$1))))</f>
        <v/>
      </c>
      <c r="AN343" s="1" t="str">
        <f>IF(OR($B343="",AN$7=""),"",IF($B343="MEANS",INDEX('1-DATA'!$1:$1048576,$A342-1,COLUMN('1-DATA'!AM341)),ROUND(INDEX('1-DATA'!$1:$1048576,IF(OR($B343="STD. DEVIATION",$C$1=1),$A343,$A343+1),COLUMN('1-DATA'!AM341)),IF($B343="STD. DEVIATION",2,$F$1))))</f>
        <v/>
      </c>
      <c r="AO343" s="1" t="str">
        <f>IF(OR($B343="",AO$7=""),"",IF($B343="MEANS",INDEX('1-DATA'!$1:$1048576,$A342-1,COLUMN('1-DATA'!AN341)),ROUND(INDEX('1-DATA'!$1:$1048576,IF(OR($B343="STD. DEVIATION",$C$1=1),$A343,$A343+1),COLUMN('1-DATA'!AN341)),IF($B343="STD. DEVIATION",2,$F$1))))</f>
        <v/>
      </c>
      <c r="AP343" s="1" t="str">
        <f>IF(OR($B343="",AP$7=""),"",IF($B343="MEANS",INDEX('1-DATA'!$1:$1048576,$A342-1,COLUMN('1-DATA'!AO341)),ROUND(INDEX('1-DATA'!$1:$1048576,IF(OR($B343="STD. DEVIATION",$C$1=1),$A343,$A343+1),COLUMN('1-DATA'!AO341)),IF($B343="STD. DEVIATION",2,$F$1))))</f>
        <v/>
      </c>
      <c r="AQ343" s="1" t="str">
        <f>IF(OR($B343="",AQ$7=""),"",IF($B343="MEANS",INDEX('1-DATA'!$1:$1048576,$A342-1,COLUMN('1-DATA'!AP341)),ROUND(INDEX('1-DATA'!$1:$1048576,IF(OR($B343="STD. DEVIATION",$C$1=1),$A343,$A343+1),COLUMN('1-DATA'!AP341)),IF($B343="STD. DEVIATION",2,$F$1))))</f>
        <v/>
      </c>
      <c r="AR343" s="1" t="str">
        <f>IF(OR($B343="",AR$7=""),"",IF($B343="MEANS",INDEX('1-DATA'!$1:$1048576,$A342-1,COLUMN('1-DATA'!AQ341)),ROUND(INDEX('1-DATA'!$1:$1048576,IF(OR($B343="STD. DEVIATION",$C$1=1),$A343,$A343+1),COLUMN('1-DATA'!AQ341)),IF($B343="STD. DEVIATION",2,$F$1))))</f>
        <v/>
      </c>
      <c r="AS343" s="1" t="str">
        <f>IF(OR($B343="",AS$7=""),"",IF($B343="MEANS",INDEX('1-DATA'!$1:$1048576,$A342-1,COLUMN('1-DATA'!AR341)),ROUND(INDEX('1-DATA'!$1:$1048576,IF(OR($B343="STD. DEVIATION",$C$1=1),$A343,$A343+1),COLUMN('1-DATA'!AR341)),IF($B343="STD. DEVIATION",2,$F$1))))</f>
        <v/>
      </c>
      <c r="AT343" s="1" t="str">
        <f>IF(OR($B343="",AT$7=""),"",IF($B343="MEANS",INDEX('1-DATA'!$1:$1048576,$A342-1,COLUMN('1-DATA'!AS341)),ROUND(INDEX('1-DATA'!$1:$1048576,IF(OR($B343="STD. DEVIATION",$C$1=1),$A343,$A343+1),COLUMN('1-DATA'!AS341)),IF($B343="STD. DEVIATION",2,$F$1))))</f>
        <v/>
      </c>
      <c r="AU343" s="1" t="str">
        <f>IF(OR($B343="",AU$7=""),"",IF($B343="MEANS",INDEX('1-DATA'!$1:$1048576,$A342-1,COLUMN('1-DATA'!AT341)),ROUND(INDEX('1-DATA'!$1:$1048576,IF(OR($B343="STD. DEVIATION",$C$1=1),$A343,$A343+1),COLUMN('1-DATA'!AT341)),IF($B343="STD. DEVIATION",2,$F$1))))</f>
        <v/>
      </c>
      <c r="AV343" s="1" t="str">
        <f>IF(OR($B343="",AV$7=""),"",IF($B343="MEANS",INDEX('1-DATA'!$1:$1048576,$A342-1,COLUMN('1-DATA'!AU341)),ROUND(INDEX('1-DATA'!$1:$1048576,IF(OR($B343="STD. DEVIATION",$C$1=1),$A343,$A343+1),COLUMN('1-DATA'!AU341)),IF($B343="STD. DEVIATION",2,$F$1))))</f>
        <v/>
      </c>
      <c r="AW343" s="1" t="str">
        <f>IF(OR($B343="",AW$7=""),"",IF($B343="MEANS",INDEX('1-DATA'!$1:$1048576,$A342-1,COLUMN('1-DATA'!AV341)),ROUND(INDEX('1-DATA'!$1:$1048576,IF(OR($B343="STD. DEVIATION",$C$1=1),$A343,$A343+1),COLUMN('1-DATA'!AV341)),IF($B343="STD. DEVIATION",2,$F$1))))</f>
        <v/>
      </c>
      <c r="AX343" s="1" t="str">
        <f>IF(OR($B343="",AX$7=""),"",IF($B343="MEANS",INDEX('1-DATA'!$1:$1048576,$A342-1,COLUMN('1-DATA'!AW341)),ROUND(INDEX('1-DATA'!$1:$1048576,IF(OR($B343="STD. DEVIATION",$C$1=1),$A343,$A343+1),COLUMN('1-DATA'!AW341)),IF($B343="STD. DEVIATION",2,$F$1))))</f>
        <v/>
      </c>
      <c r="AY343" s="1" t="str">
        <f>IF(OR($B343="",AY$7=""),"",IF($B343="MEANS",INDEX('1-DATA'!$1:$1048576,$A342-1,COLUMN('1-DATA'!AX341)),ROUND(INDEX('1-DATA'!$1:$1048576,IF(OR($B343="STD. DEVIATION",$C$1=1),$A343,$A343+1),COLUMN('1-DATA'!AX341)),IF($B343="STD. DEVIATION",2,$F$1))))</f>
        <v/>
      </c>
      <c r="AZ343" s="1" t="str">
        <f>IF(OR($B343="",AZ$7=""),"",IF($B343="MEANS",INDEX('1-DATA'!$1:$1048576,$A342-1,COLUMN('1-DATA'!AY341)),ROUND(INDEX('1-DATA'!$1:$1048576,IF(OR($B343="STD. DEVIATION",$C$1=1),$A343,$A343+1),COLUMN('1-DATA'!AY341)),IF($B343="STD. DEVIATION",2,$F$1))))</f>
        <v/>
      </c>
    </row>
    <row r="344" spans="1:52" x14ac:dyDescent="0.25">
      <c r="A344" s="11">
        <f t="shared" si="5"/>
        <v>1018</v>
      </c>
      <c r="B344" s="1" t="str">
        <f>IF(B343="STD. DEVIATION",INDEX('1-DATA'!$1:$1048576,$A343-1,1),IF(INDEX('1-DATA'!$1:$1048576,$A344,1)&lt;&gt;"",INDEX('1-DATA'!$1:$1048576,$A344,1),""))</f>
        <v/>
      </c>
      <c r="C344" s="1" t="str">
        <f>IF(OR($B344="",C$7=""),"",IF($B344="MEANS",INDEX('1-DATA'!$1:$1048576,$A343-1,COLUMN('1-DATA'!B342)),ROUND(INDEX('1-DATA'!$1:$1048576,IF(OR($B344="STD. DEVIATION",$C$1=1),$A344,$A344+1),COLUMN('1-DATA'!B342)),IF($B344="STD. DEVIATION",2,$F$1))))</f>
        <v/>
      </c>
      <c r="D344" s="1" t="str">
        <f>IF(OR($B344="",D$7=""),"",IF($B344="MEANS",INDEX('1-DATA'!$1:$1048576,$A343-1,COLUMN('1-DATA'!C342)),ROUND(INDEX('1-DATA'!$1:$1048576,IF(OR($B344="STD. DEVIATION",$C$1=1),$A344,$A344+1),COLUMN('1-DATA'!C342)),IF($B344="STD. DEVIATION",2,$F$1))))</f>
        <v/>
      </c>
      <c r="E344" s="1" t="str">
        <f>IF(OR($B344="",E$7=""),"",IF($B344="MEANS",INDEX('1-DATA'!$1:$1048576,$A343-1,COLUMN('1-DATA'!D342)),ROUND(INDEX('1-DATA'!$1:$1048576,IF(OR($B344="STD. DEVIATION",$C$1=1),$A344,$A344+1),COLUMN('1-DATA'!D342)),IF($B344="STD. DEVIATION",2,$F$1))))</f>
        <v/>
      </c>
      <c r="F344" s="1" t="str">
        <f>IF(OR($B344="",F$7=""),"",IF($B344="MEANS",INDEX('1-DATA'!$1:$1048576,$A343-1,COLUMN('1-DATA'!E342)),ROUND(INDEX('1-DATA'!$1:$1048576,IF(OR($B344="STD. DEVIATION",$C$1=1),$A344,$A344+1),COLUMN('1-DATA'!E342)),IF($B344="STD. DEVIATION",2,$F$1))))</f>
        <v/>
      </c>
      <c r="G344" s="1" t="str">
        <f>IF(OR($B344="",G$7=""),"",IF($B344="MEANS",INDEX('1-DATA'!$1:$1048576,$A343-1,COLUMN('1-DATA'!F342)),ROUND(INDEX('1-DATA'!$1:$1048576,IF(OR($B344="STD. DEVIATION",$C$1=1),$A344,$A344+1),COLUMN('1-DATA'!F342)),IF($B344="STD. DEVIATION",2,$F$1))))</f>
        <v/>
      </c>
      <c r="H344" s="1" t="str">
        <f>IF(OR($B344="",H$7=""),"",IF($B344="MEANS",INDEX('1-DATA'!$1:$1048576,$A343-1,COLUMN('1-DATA'!G342)),ROUND(INDEX('1-DATA'!$1:$1048576,IF(OR($B344="STD. DEVIATION",$C$1=1),$A344,$A344+1),COLUMN('1-DATA'!G342)),IF($B344="STD. DEVIATION",2,$F$1))))</f>
        <v/>
      </c>
      <c r="I344" s="1" t="str">
        <f>IF(OR($B344="",I$7=""),"",IF($B344="MEANS",INDEX('1-DATA'!$1:$1048576,$A343-1,COLUMN('1-DATA'!H342)),ROUND(INDEX('1-DATA'!$1:$1048576,IF(OR($B344="STD. DEVIATION",$C$1=1),$A344,$A344+1),COLUMN('1-DATA'!H342)),IF($B344="STD. DEVIATION",2,$F$1))))</f>
        <v/>
      </c>
      <c r="J344" s="1" t="str">
        <f>IF(OR($B344="",J$7=""),"",IF($B344="MEANS",INDEX('1-DATA'!$1:$1048576,$A343-1,COLUMN('1-DATA'!I342)),ROUND(INDEX('1-DATA'!$1:$1048576,IF(OR($B344="STD. DEVIATION",$C$1=1),$A344,$A344+1),COLUMN('1-DATA'!I342)),IF($B344="STD. DEVIATION",2,$F$1))))</f>
        <v/>
      </c>
      <c r="K344" s="1" t="str">
        <f>IF(OR($B344="",K$7=""),"",IF($B344="MEANS",INDEX('1-DATA'!$1:$1048576,$A343-1,COLUMN('1-DATA'!J342)),ROUND(INDEX('1-DATA'!$1:$1048576,IF(OR($B344="STD. DEVIATION",$C$1=1),$A344,$A344+1),COLUMN('1-DATA'!J342)),IF($B344="STD. DEVIATION",2,$F$1))))</f>
        <v/>
      </c>
      <c r="L344" s="1" t="str">
        <f>IF(OR($B344="",L$7=""),"",IF($B344="MEANS",INDEX('1-DATA'!$1:$1048576,$A343-1,COLUMN('1-DATA'!K342)),ROUND(INDEX('1-DATA'!$1:$1048576,IF(OR($B344="STD. DEVIATION",$C$1=1),$A344,$A344+1),COLUMN('1-DATA'!K342)),IF($B344="STD. DEVIATION",2,$F$1))))</f>
        <v/>
      </c>
      <c r="M344" s="1" t="str">
        <f>IF(OR($B344="",M$7=""),"",IF($B344="MEANS",INDEX('1-DATA'!$1:$1048576,$A343-1,COLUMN('1-DATA'!L342)),ROUND(INDEX('1-DATA'!$1:$1048576,IF(OR($B344="STD. DEVIATION",$C$1=1),$A344,$A344+1),COLUMN('1-DATA'!L342)),IF($B344="STD. DEVIATION",2,$F$1))))</f>
        <v/>
      </c>
      <c r="N344" s="1" t="str">
        <f>IF(OR($B344="",N$7=""),"",IF($B344="MEANS",INDEX('1-DATA'!$1:$1048576,$A343-1,COLUMN('1-DATA'!M342)),ROUND(INDEX('1-DATA'!$1:$1048576,IF(OR($B344="STD. DEVIATION",$C$1=1),$A344,$A344+1),COLUMN('1-DATA'!M342)),IF($B344="STD. DEVIATION",2,$F$1))))</f>
        <v/>
      </c>
      <c r="O344" s="1" t="str">
        <f>IF(OR($B344="",O$7=""),"",IF($B344="MEANS",INDEX('1-DATA'!$1:$1048576,$A343-1,COLUMN('1-DATA'!N342)),ROUND(INDEX('1-DATA'!$1:$1048576,IF(OR($B344="STD. DEVIATION",$C$1=1),$A344,$A344+1),COLUMN('1-DATA'!N342)),IF($B344="STD. DEVIATION",2,$F$1))))</f>
        <v/>
      </c>
      <c r="P344" s="1" t="str">
        <f>IF(OR($B344="",P$7=""),"",IF($B344="MEANS",INDEX('1-DATA'!$1:$1048576,$A343-1,COLUMN('1-DATA'!O342)),ROUND(INDEX('1-DATA'!$1:$1048576,IF(OR($B344="STD. DEVIATION",$C$1=1),$A344,$A344+1),COLUMN('1-DATA'!O342)),IF($B344="STD. DEVIATION",2,$F$1))))</f>
        <v/>
      </c>
      <c r="Q344" s="1" t="str">
        <f>IF(OR($B344="",Q$7=""),"",IF($B344="MEANS",INDEX('1-DATA'!$1:$1048576,$A343-1,COLUMN('1-DATA'!P342)),ROUND(INDEX('1-DATA'!$1:$1048576,IF(OR($B344="STD. DEVIATION",$C$1=1),$A344,$A344+1),COLUMN('1-DATA'!P342)),IF($B344="STD. DEVIATION",2,$F$1))))</f>
        <v/>
      </c>
      <c r="R344" s="1" t="str">
        <f>IF(OR($B344="",R$7=""),"",IF($B344="MEANS",INDEX('1-DATA'!$1:$1048576,$A343-1,COLUMN('1-DATA'!Q342)),ROUND(INDEX('1-DATA'!$1:$1048576,IF(OR($B344="STD. DEVIATION",$C$1=1),$A344,$A344+1),COLUMN('1-DATA'!Q342)),IF($B344="STD. DEVIATION",2,$F$1))))</f>
        <v/>
      </c>
      <c r="S344" s="1" t="str">
        <f>IF(OR($B344="",S$7=""),"",IF($B344="MEANS",INDEX('1-DATA'!$1:$1048576,$A343-1,COLUMN('1-DATA'!R342)),ROUND(INDEX('1-DATA'!$1:$1048576,IF(OR($B344="STD. DEVIATION",$C$1=1),$A344,$A344+1),COLUMN('1-DATA'!R342)),IF($B344="STD. DEVIATION",2,$F$1))))</f>
        <v/>
      </c>
      <c r="T344" s="1" t="str">
        <f>IF(OR($B344="",T$7=""),"",IF($B344="MEANS",INDEX('1-DATA'!$1:$1048576,$A343-1,COLUMN('1-DATA'!S342)),ROUND(INDEX('1-DATA'!$1:$1048576,IF(OR($B344="STD. DEVIATION",$C$1=1),$A344,$A344+1),COLUMN('1-DATA'!S342)),IF($B344="STD. DEVIATION",2,$F$1))))</f>
        <v/>
      </c>
      <c r="U344" s="1" t="str">
        <f>IF(OR($B344="",U$7=""),"",IF($B344="MEANS",INDEX('1-DATA'!$1:$1048576,$A343-1,COLUMN('1-DATA'!T342)),ROUND(INDEX('1-DATA'!$1:$1048576,IF(OR($B344="STD. DEVIATION",$C$1=1),$A344,$A344+1),COLUMN('1-DATA'!T342)),IF($B344="STD. DEVIATION",2,$F$1))))</f>
        <v/>
      </c>
      <c r="V344" s="1" t="str">
        <f>IF(OR($B344="",V$7=""),"",IF($B344="MEANS",INDEX('1-DATA'!$1:$1048576,$A343-1,COLUMN('1-DATA'!U342)),ROUND(INDEX('1-DATA'!$1:$1048576,IF(OR($B344="STD. DEVIATION",$C$1=1),$A344,$A344+1),COLUMN('1-DATA'!U342)),IF($B344="STD. DEVIATION",2,$F$1))))</f>
        <v/>
      </c>
      <c r="W344" s="1" t="str">
        <f>IF(OR($B344="",W$7=""),"",IF($B344="MEANS",INDEX('1-DATA'!$1:$1048576,$A343-1,COLUMN('1-DATA'!V342)),ROUND(INDEX('1-DATA'!$1:$1048576,IF(OR($B344="STD. DEVIATION",$C$1=1),$A344,$A344+1),COLUMN('1-DATA'!V342)),IF($B344="STD. DEVIATION",2,$F$1))))</f>
        <v/>
      </c>
      <c r="X344" s="1" t="str">
        <f>IF(OR($B344="",X$7=""),"",IF($B344="MEANS",INDEX('1-DATA'!$1:$1048576,$A343-1,COLUMN('1-DATA'!W342)),ROUND(INDEX('1-DATA'!$1:$1048576,IF(OR($B344="STD. DEVIATION",$C$1=1),$A344,$A344+1),COLUMN('1-DATA'!W342)),IF($B344="STD. DEVIATION",2,$F$1))))</f>
        <v/>
      </c>
      <c r="Y344" s="1" t="str">
        <f>IF(OR($B344="",Y$7=""),"",IF($B344="MEANS",INDEX('1-DATA'!$1:$1048576,$A343-1,COLUMN('1-DATA'!X342)),ROUND(INDEX('1-DATA'!$1:$1048576,IF(OR($B344="STD. DEVIATION",$C$1=1),$A344,$A344+1),COLUMN('1-DATA'!X342)),IF($B344="STD. DEVIATION",2,$F$1))))</f>
        <v/>
      </c>
      <c r="Z344" s="1" t="str">
        <f>IF(OR($B344="",Z$7=""),"",IF($B344="MEANS",INDEX('1-DATA'!$1:$1048576,$A343-1,COLUMN('1-DATA'!Y342)),ROUND(INDEX('1-DATA'!$1:$1048576,IF(OR($B344="STD. DEVIATION",$C$1=1),$A344,$A344+1),COLUMN('1-DATA'!Y342)),IF($B344="STD. DEVIATION",2,$F$1))))</f>
        <v/>
      </c>
      <c r="AA344" s="1" t="str">
        <f>IF(OR($B344="",AA$7=""),"",IF($B344="MEANS",INDEX('1-DATA'!$1:$1048576,$A343-1,COLUMN('1-DATA'!Z342)),ROUND(INDEX('1-DATA'!$1:$1048576,IF(OR($B344="STD. DEVIATION",$C$1=1),$A344,$A344+1),COLUMN('1-DATA'!Z342)),IF($B344="STD. DEVIATION",2,$F$1))))</f>
        <v/>
      </c>
      <c r="AB344" s="1" t="str">
        <f>IF(OR($B344="",AB$7=""),"",IF($B344="MEANS",INDEX('1-DATA'!$1:$1048576,$A343-1,COLUMN('1-DATA'!AA342)),ROUND(INDEX('1-DATA'!$1:$1048576,IF(OR($B344="STD. DEVIATION",$C$1=1),$A344,$A344+1),COLUMN('1-DATA'!AA342)),IF($B344="STD. DEVIATION",2,$F$1))))</f>
        <v/>
      </c>
      <c r="AC344" s="1" t="str">
        <f>IF(OR($B344="",AC$7=""),"",IF($B344="MEANS",INDEX('1-DATA'!$1:$1048576,$A343-1,COLUMN('1-DATA'!AB342)),ROUND(INDEX('1-DATA'!$1:$1048576,IF(OR($B344="STD. DEVIATION",$C$1=1),$A344,$A344+1),COLUMN('1-DATA'!AB342)),IF($B344="STD. DEVIATION",2,$F$1))))</f>
        <v/>
      </c>
      <c r="AD344" s="1" t="str">
        <f>IF(OR($B344="",AD$7=""),"",IF($B344="MEANS",INDEX('1-DATA'!$1:$1048576,$A343-1,COLUMN('1-DATA'!AC342)),ROUND(INDEX('1-DATA'!$1:$1048576,IF(OR($B344="STD. DEVIATION",$C$1=1),$A344,$A344+1),COLUMN('1-DATA'!AC342)),IF($B344="STD. DEVIATION",2,$F$1))))</f>
        <v/>
      </c>
      <c r="AE344" s="1" t="str">
        <f>IF(OR($B344="",AE$7=""),"",IF($B344="MEANS",INDEX('1-DATA'!$1:$1048576,$A343-1,COLUMN('1-DATA'!AD342)),ROUND(INDEX('1-DATA'!$1:$1048576,IF(OR($B344="STD. DEVIATION",$C$1=1),$A344,$A344+1),COLUMN('1-DATA'!AD342)),IF($B344="STD. DEVIATION",2,$F$1))))</f>
        <v/>
      </c>
      <c r="AF344" s="1" t="str">
        <f>IF(OR($B344="",AF$7=""),"",IF($B344="MEANS",INDEX('1-DATA'!$1:$1048576,$A343-1,COLUMN('1-DATA'!AE342)),ROUND(INDEX('1-DATA'!$1:$1048576,IF(OR($B344="STD. DEVIATION",$C$1=1),$A344,$A344+1),COLUMN('1-DATA'!AE342)),IF($B344="STD. DEVIATION",2,$F$1))))</f>
        <v/>
      </c>
      <c r="AG344" s="1" t="str">
        <f>IF(OR($B344="",AG$7=""),"",IF($B344="MEANS",INDEX('1-DATA'!$1:$1048576,$A343-1,COLUMN('1-DATA'!AF342)),ROUND(INDEX('1-DATA'!$1:$1048576,IF(OR($B344="STD. DEVIATION",$C$1=1),$A344,$A344+1),COLUMN('1-DATA'!AF342)),IF($B344="STD. DEVIATION",2,$F$1))))</f>
        <v/>
      </c>
      <c r="AH344" s="1" t="str">
        <f>IF(OR($B344="",AH$7=""),"",IF($B344="MEANS",INDEX('1-DATA'!$1:$1048576,$A343-1,COLUMN('1-DATA'!AG342)),ROUND(INDEX('1-DATA'!$1:$1048576,IF(OR($B344="STD. DEVIATION",$C$1=1),$A344,$A344+1),COLUMN('1-DATA'!AG342)),IF($B344="STD. DEVIATION",2,$F$1))))</f>
        <v/>
      </c>
      <c r="AI344" s="1" t="str">
        <f>IF(OR($B344="",AI$7=""),"",IF($B344="MEANS",INDEX('1-DATA'!$1:$1048576,$A343-1,COLUMN('1-DATA'!AH342)),ROUND(INDEX('1-DATA'!$1:$1048576,IF(OR($B344="STD. DEVIATION",$C$1=1),$A344,$A344+1),COLUMN('1-DATA'!AH342)),IF($B344="STD. DEVIATION",2,$F$1))))</f>
        <v/>
      </c>
      <c r="AJ344" s="1" t="str">
        <f>IF(OR($B344="",AJ$7=""),"",IF($B344="MEANS",INDEX('1-DATA'!$1:$1048576,$A343-1,COLUMN('1-DATA'!AI342)),ROUND(INDEX('1-DATA'!$1:$1048576,IF(OR($B344="STD. DEVIATION",$C$1=1),$A344,$A344+1),COLUMN('1-DATA'!AI342)),IF($B344="STD. DEVIATION",2,$F$1))))</f>
        <v/>
      </c>
      <c r="AK344" s="1" t="str">
        <f>IF(OR($B344="",AK$7=""),"",IF($B344="MEANS",INDEX('1-DATA'!$1:$1048576,$A343-1,COLUMN('1-DATA'!AJ342)),ROUND(INDEX('1-DATA'!$1:$1048576,IF(OR($B344="STD. DEVIATION",$C$1=1),$A344,$A344+1),COLUMN('1-DATA'!AJ342)),IF($B344="STD. DEVIATION",2,$F$1))))</f>
        <v/>
      </c>
      <c r="AL344" s="1" t="str">
        <f>IF(OR($B344="",AL$7=""),"",IF($B344="MEANS",INDEX('1-DATA'!$1:$1048576,$A343-1,COLUMN('1-DATA'!AK342)),ROUND(INDEX('1-DATA'!$1:$1048576,IF(OR($B344="STD. DEVIATION",$C$1=1),$A344,$A344+1),COLUMN('1-DATA'!AK342)),IF($B344="STD. DEVIATION",2,$F$1))))</f>
        <v/>
      </c>
      <c r="AM344" s="1" t="str">
        <f>IF(OR($B344="",AM$7=""),"",IF($B344="MEANS",INDEX('1-DATA'!$1:$1048576,$A343-1,COLUMN('1-DATA'!AL342)),ROUND(INDEX('1-DATA'!$1:$1048576,IF(OR($B344="STD. DEVIATION",$C$1=1),$A344,$A344+1),COLUMN('1-DATA'!AL342)),IF($B344="STD. DEVIATION",2,$F$1))))</f>
        <v/>
      </c>
      <c r="AN344" s="1" t="str">
        <f>IF(OR($B344="",AN$7=""),"",IF($B344="MEANS",INDEX('1-DATA'!$1:$1048576,$A343-1,COLUMN('1-DATA'!AM342)),ROUND(INDEX('1-DATA'!$1:$1048576,IF(OR($B344="STD. DEVIATION",$C$1=1),$A344,$A344+1),COLUMN('1-DATA'!AM342)),IF($B344="STD. DEVIATION",2,$F$1))))</f>
        <v/>
      </c>
      <c r="AO344" s="1" t="str">
        <f>IF(OR($B344="",AO$7=""),"",IF($B344="MEANS",INDEX('1-DATA'!$1:$1048576,$A343-1,COLUMN('1-DATA'!AN342)),ROUND(INDEX('1-DATA'!$1:$1048576,IF(OR($B344="STD. DEVIATION",$C$1=1),$A344,$A344+1),COLUMN('1-DATA'!AN342)),IF($B344="STD. DEVIATION",2,$F$1))))</f>
        <v/>
      </c>
      <c r="AP344" s="1" t="str">
        <f>IF(OR($B344="",AP$7=""),"",IF($B344="MEANS",INDEX('1-DATA'!$1:$1048576,$A343-1,COLUMN('1-DATA'!AO342)),ROUND(INDEX('1-DATA'!$1:$1048576,IF(OR($B344="STD. DEVIATION",$C$1=1),$A344,$A344+1),COLUMN('1-DATA'!AO342)),IF($B344="STD. DEVIATION",2,$F$1))))</f>
        <v/>
      </c>
      <c r="AQ344" s="1" t="str">
        <f>IF(OR($B344="",AQ$7=""),"",IF($B344="MEANS",INDEX('1-DATA'!$1:$1048576,$A343-1,COLUMN('1-DATA'!AP342)),ROUND(INDEX('1-DATA'!$1:$1048576,IF(OR($B344="STD. DEVIATION",$C$1=1),$A344,$A344+1),COLUMN('1-DATA'!AP342)),IF($B344="STD. DEVIATION",2,$F$1))))</f>
        <v/>
      </c>
      <c r="AR344" s="1" t="str">
        <f>IF(OR($B344="",AR$7=""),"",IF($B344="MEANS",INDEX('1-DATA'!$1:$1048576,$A343-1,COLUMN('1-DATA'!AQ342)),ROUND(INDEX('1-DATA'!$1:$1048576,IF(OR($B344="STD. DEVIATION",$C$1=1),$A344,$A344+1),COLUMN('1-DATA'!AQ342)),IF($B344="STD. DEVIATION",2,$F$1))))</f>
        <v/>
      </c>
      <c r="AS344" s="1" t="str">
        <f>IF(OR($B344="",AS$7=""),"",IF($B344="MEANS",INDEX('1-DATA'!$1:$1048576,$A343-1,COLUMN('1-DATA'!AR342)),ROUND(INDEX('1-DATA'!$1:$1048576,IF(OR($B344="STD. DEVIATION",$C$1=1),$A344,$A344+1),COLUMN('1-DATA'!AR342)),IF($B344="STD. DEVIATION",2,$F$1))))</f>
        <v/>
      </c>
      <c r="AT344" s="1" t="str">
        <f>IF(OR($B344="",AT$7=""),"",IF($B344="MEANS",INDEX('1-DATA'!$1:$1048576,$A343-1,COLUMN('1-DATA'!AS342)),ROUND(INDEX('1-DATA'!$1:$1048576,IF(OR($B344="STD. DEVIATION",$C$1=1),$A344,$A344+1),COLUMN('1-DATA'!AS342)),IF($B344="STD. DEVIATION",2,$F$1))))</f>
        <v/>
      </c>
      <c r="AU344" s="1" t="str">
        <f>IF(OR($B344="",AU$7=""),"",IF($B344="MEANS",INDEX('1-DATA'!$1:$1048576,$A343-1,COLUMN('1-DATA'!AT342)),ROUND(INDEX('1-DATA'!$1:$1048576,IF(OR($B344="STD. DEVIATION",$C$1=1),$A344,$A344+1),COLUMN('1-DATA'!AT342)),IF($B344="STD. DEVIATION",2,$F$1))))</f>
        <v/>
      </c>
      <c r="AV344" s="1" t="str">
        <f>IF(OR($B344="",AV$7=""),"",IF($B344="MEANS",INDEX('1-DATA'!$1:$1048576,$A343-1,COLUMN('1-DATA'!AU342)),ROUND(INDEX('1-DATA'!$1:$1048576,IF(OR($B344="STD. DEVIATION",$C$1=1),$A344,$A344+1),COLUMN('1-DATA'!AU342)),IF($B344="STD. DEVIATION",2,$F$1))))</f>
        <v/>
      </c>
      <c r="AW344" s="1" t="str">
        <f>IF(OR($B344="",AW$7=""),"",IF($B344="MEANS",INDEX('1-DATA'!$1:$1048576,$A343-1,COLUMN('1-DATA'!AV342)),ROUND(INDEX('1-DATA'!$1:$1048576,IF(OR($B344="STD. DEVIATION",$C$1=1),$A344,$A344+1),COLUMN('1-DATA'!AV342)),IF($B344="STD. DEVIATION",2,$F$1))))</f>
        <v/>
      </c>
      <c r="AX344" s="1" t="str">
        <f>IF(OR($B344="",AX$7=""),"",IF($B344="MEANS",INDEX('1-DATA'!$1:$1048576,$A343-1,COLUMN('1-DATA'!AW342)),ROUND(INDEX('1-DATA'!$1:$1048576,IF(OR($B344="STD. DEVIATION",$C$1=1),$A344,$A344+1),COLUMN('1-DATA'!AW342)),IF($B344="STD. DEVIATION",2,$F$1))))</f>
        <v/>
      </c>
      <c r="AY344" s="1" t="str">
        <f>IF(OR($B344="",AY$7=""),"",IF($B344="MEANS",INDEX('1-DATA'!$1:$1048576,$A343-1,COLUMN('1-DATA'!AX342)),ROUND(INDEX('1-DATA'!$1:$1048576,IF(OR($B344="STD. DEVIATION",$C$1=1),$A344,$A344+1),COLUMN('1-DATA'!AX342)),IF($B344="STD. DEVIATION",2,$F$1))))</f>
        <v/>
      </c>
      <c r="AZ344" s="1" t="str">
        <f>IF(OR($B344="",AZ$7=""),"",IF($B344="MEANS",INDEX('1-DATA'!$1:$1048576,$A343-1,COLUMN('1-DATA'!AY342)),ROUND(INDEX('1-DATA'!$1:$1048576,IF(OR($B344="STD. DEVIATION",$C$1=1),$A344,$A344+1),COLUMN('1-DATA'!AY342)),IF($B344="STD. DEVIATION",2,$F$1))))</f>
        <v/>
      </c>
    </row>
    <row r="345" spans="1:52" x14ac:dyDescent="0.25">
      <c r="A345" s="11">
        <f t="shared" si="5"/>
        <v>1021</v>
      </c>
      <c r="B345" s="1" t="str">
        <f>IF(B344="STD. DEVIATION",INDEX('1-DATA'!$1:$1048576,$A344-1,1),IF(INDEX('1-DATA'!$1:$1048576,$A345,1)&lt;&gt;"",INDEX('1-DATA'!$1:$1048576,$A345,1),""))</f>
        <v/>
      </c>
      <c r="C345" s="1" t="str">
        <f>IF(OR($B345="",C$7=""),"",IF($B345="MEANS",INDEX('1-DATA'!$1:$1048576,$A344-1,COLUMN('1-DATA'!B343)),ROUND(INDEX('1-DATA'!$1:$1048576,IF(OR($B345="STD. DEVIATION",$C$1=1),$A345,$A345+1),COLUMN('1-DATA'!B343)),IF($B345="STD. DEVIATION",2,$F$1))))</f>
        <v/>
      </c>
      <c r="D345" s="1" t="str">
        <f>IF(OR($B345="",D$7=""),"",IF($B345="MEANS",INDEX('1-DATA'!$1:$1048576,$A344-1,COLUMN('1-DATA'!C343)),ROUND(INDEX('1-DATA'!$1:$1048576,IF(OR($B345="STD. DEVIATION",$C$1=1),$A345,$A345+1),COLUMN('1-DATA'!C343)),IF($B345="STD. DEVIATION",2,$F$1))))</f>
        <v/>
      </c>
      <c r="E345" s="1" t="str">
        <f>IF(OR($B345="",E$7=""),"",IF($B345="MEANS",INDEX('1-DATA'!$1:$1048576,$A344-1,COLUMN('1-DATA'!D343)),ROUND(INDEX('1-DATA'!$1:$1048576,IF(OR($B345="STD. DEVIATION",$C$1=1),$A345,$A345+1),COLUMN('1-DATA'!D343)),IF($B345="STD. DEVIATION",2,$F$1))))</f>
        <v/>
      </c>
      <c r="F345" s="1" t="str">
        <f>IF(OR($B345="",F$7=""),"",IF($B345="MEANS",INDEX('1-DATA'!$1:$1048576,$A344-1,COLUMN('1-DATA'!E343)),ROUND(INDEX('1-DATA'!$1:$1048576,IF(OR($B345="STD. DEVIATION",$C$1=1),$A345,$A345+1),COLUMN('1-DATA'!E343)),IF($B345="STD. DEVIATION",2,$F$1))))</f>
        <v/>
      </c>
      <c r="G345" s="1" t="str">
        <f>IF(OR($B345="",G$7=""),"",IF($B345="MEANS",INDEX('1-DATA'!$1:$1048576,$A344-1,COLUMN('1-DATA'!F343)),ROUND(INDEX('1-DATA'!$1:$1048576,IF(OR($B345="STD. DEVIATION",$C$1=1),$A345,$A345+1),COLUMN('1-DATA'!F343)),IF($B345="STD. DEVIATION",2,$F$1))))</f>
        <v/>
      </c>
      <c r="H345" s="1" t="str">
        <f>IF(OR($B345="",H$7=""),"",IF($B345="MEANS",INDEX('1-DATA'!$1:$1048576,$A344-1,COLUMN('1-DATA'!G343)),ROUND(INDEX('1-DATA'!$1:$1048576,IF(OR($B345="STD. DEVIATION",$C$1=1),$A345,$A345+1),COLUMN('1-DATA'!G343)),IF($B345="STD. DEVIATION",2,$F$1))))</f>
        <v/>
      </c>
      <c r="I345" s="1" t="str">
        <f>IF(OR($B345="",I$7=""),"",IF($B345="MEANS",INDEX('1-DATA'!$1:$1048576,$A344-1,COLUMN('1-DATA'!H343)),ROUND(INDEX('1-DATA'!$1:$1048576,IF(OR($B345="STD. DEVIATION",$C$1=1),$A345,$A345+1),COLUMN('1-DATA'!H343)),IF($B345="STD. DEVIATION",2,$F$1))))</f>
        <v/>
      </c>
      <c r="J345" s="1" t="str">
        <f>IF(OR($B345="",J$7=""),"",IF($B345="MEANS",INDEX('1-DATA'!$1:$1048576,$A344-1,COLUMN('1-DATA'!I343)),ROUND(INDEX('1-DATA'!$1:$1048576,IF(OR($B345="STD. DEVIATION",$C$1=1),$A345,$A345+1),COLUMN('1-DATA'!I343)),IF($B345="STD. DEVIATION",2,$F$1))))</f>
        <v/>
      </c>
      <c r="K345" s="1" t="str">
        <f>IF(OR($B345="",K$7=""),"",IF($B345="MEANS",INDEX('1-DATA'!$1:$1048576,$A344-1,COLUMN('1-DATA'!J343)),ROUND(INDEX('1-DATA'!$1:$1048576,IF(OR($B345="STD. DEVIATION",$C$1=1),$A345,$A345+1),COLUMN('1-DATA'!J343)),IF($B345="STD. DEVIATION",2,$F$1))))</f>
        <v/>
      </c>
      <c r="L345" s="1" t="str">
        <f>IF(OR($B345="",L$7=""),"",IF($B345="MEANS",INDEX('1-DATA'!$1:$1048576,$A344-1,COLUMN('1-DATA'!K343)),ROUND(INDEX('1-DATA'!$1:$1048576,IF(OR($B345="STD. DEVIATION",$C$1=1),$A345,$A345+1),COLUMN('1-DATA'!K343)),IF($B345="STD. DEVIATION",2,$F$1))))</f>
        <v/>
      </c>
      <c r="M345" s="1" t="str">
        <f>IF(OR($B345="",M$7=""),"",IF($B345="MEANS",INDEX('1-DATA'!$1:$1048576,$A344-1,COLUMN('1-DATA'!L343)),ROUND(INDEX('1-DATA'!$1:$1048576,IF(OR($B345="STD. DEVIATION",$C$1=1),$A345,$A345+1),COLUMN('1-DATA'!L343)),IF($B345="STD. DEVIATION",2,$F$1))))</f>
        <v/>
      </c>
      <c r="N345" s="1" t="str">
        <f>IF(OR($B345="",N$7=""),"",IF($B345="MEANS",INDEX('1-DATA'!$1:$1048576,$A344-1,COLUMN('1-DATA'!M343)),ROUND(INDEX('1-DATA'!$1:$1048576,IF(OR($B345="STD. DEVIATION",$C$1=1),$A345,$A345+1),COLUMN('1-DATA'!M343)),IF($B345="STD. DEVIATION",2,$F$1))))</f>
        <v/>
      </c>
      <c r="O345" s="1" t="str">
        <f>IF(OR($B345="",O$7=""),"",IF($B345="MEANS",INDEX('1-DATA'!$1:$1048576,$A344-1,COLUMN('1-DATA'!N343)),ROUND(INDEX('1-DATA'!$1:$1048576,IF(OR($B345="STD. DEVIATION",$C$1=1),$A345,$A345+1),COLUMN('1-DATA'!N343)),IF($B345="STD. DEVIATION",2,$F$1))))</f>
        <v/>
      </c>
      <c r="P345" s="1" t="str">
        <f>IF(OR($B345="",P$7=""),"",IF($B345="MEANS",INDEX('1-DATA'!$1:$1048576,$A344-1,COLUMN('1-DATA'!O343)),ROUND(INDEX('1-DATA'!$1:$1048576,IF(OR($B345="STD. DEVIATION",$C$1=1),$A345,$A345+1),COLUMN('1-DATA'!O343)),IF($B345="STD. DEVIATION",2,$F$1))))</f>
        <v/>
      </c>
      <c r="Q345" s="1" t="str">
        <f>IF(OR($B345="",Q$7=""),"",IF($B345="MEANS",INDEX('1-DATA'!$1:$1048576,$A344-1,COLUMN('1-DATA'!P343)),ROUND(INDEX('1-DATA'!$1:$1048576,IF(OR($B345="STD. DEVIATION",$C$1=1),$A345,$A345+1),COLUMN('1-DATA'!P343)),IF($B345="STD. DEVIATION",2,$F$1))))</f>
        <v/>
      </c>
      <c r="R345" s="1" t="str">
        <f>IF(OR($B345="",R$7=""),"",IF($B345="MEANS",INDEX('1-DATA'!$1:$1048576,$A344-1,COLUMN('1-DATA'!Q343)),ROUND(INDEX('1-DATA'!$1:$1048576,IF(OR($B345="STD. DEVIATION",$C$1=1),$A345,$A345+1),COLUMN('1-DATA'!Q343)),IF($B345="STD. DEVIATION",2,$F$1))))</f>
        <v/>
      </c>
      <c r="S345" s="1" t="str">
        <f>IF(OR($B345="",S$7=""),"",IF($B345="MEANS",INDEX('1-DATA'!$1:$1048576,$A344-1,COLUMN('1-DATA'!R343)),ROUND(INDEX('1-DATA'!$1:$1048576,IF(OR($B345="STD. DEVIATION",$C$1=1),$A345,$A345+1),COLUMN('1-DATA'!R343)),IF($B345="STD. DEVIATION",2,$F$1))))</f>
        <v/>
      </c>
      <c r="T345" s="1" t="str">
        <f>IF(OR($B345="",T$7=""),"",IF($B345="MEANS",INDEX('1-DATA'!$1:$1048576,$A344-1,COLUMN('1-DATA'!S343)),ROUND(INDEX('1-DATA'!$1:$1048576,IF(OR($B345="STD. DEVIATION",$C$1=1),$A345,$A345+1),COLUMN('1-DATA'!S343)),IF($B345="STD. DEVIATION",2,$F$1))))</f>
        <v/>
      </c>
      <c r="U345" s="1" t="str">
        <f>IF(OR($B345="",U$7=""),"",IF($B345="MEANS",INDEX('1-DATA'!$1:$1048576,$A344-1,COLUMN('1-DATA'!T343)),ROUND(INDEX('1-DATA'!$1:$1048576,IF(OR($B345="STD. DEVIATION",$C$1=1),$A345,$A345+1),COLUMN('1-DATA'!T343)),IF($B345="STD. DEVIATION",2,$F$1))))</f>
        <v/>
      </c>
      <c r="V345" s="1" t="str">
        <f>IF(OR($B345="",V$7=""),"",IF($B345="MEANS",INDEX('1-DATA'!$1:$1048576,$A344-1,COLUMN('1-DATA'!U343)),ROUND(INDEX('1-DATA'!$1:$1048576,IF(OR($B345="STD. DEVIATION",$C$1=1),$A345,$A345+1),COLUMN('1-DATA'!U343)),IF($B345="STD. DEVIATION",2,$F$1))))</f>
        <v/>
      </c>
      <c r="W345" s="1" t="str">
        <f>IF(OR($B345="",W$7=""),"",IF($B345="MEANS",INDEX('1-DATA'!$1:$1048576,$A344-1,COLUMN('1-DATA'!V343)),ROUND(INDEX('1-DATA'!$1:$1048576,IF(OR($B345="STD. DEVIATION",$C$1=1),$A345,$A345+1),COLUMN('1-DATA'!V343)),IF($B345="STD. DEVIATION",2,$F$1))))</f>
        <v/>
      </c>
      <c r="X345" s="1" t="str">
        <f>IF(OR($B345="",X$7=""),"",IF($B345="MEANS",INDEX('1-DATA'!$1:$1048576,$A344-1,COLUMN('1-DATA'!W343)),ROUND(INDEX('1-DATA'!$1:$1048576,IF(OR($B345="STD. DEVIATION",$C$1=1),$A345,$A345+1),COLUMN('1-DATA'!W343)),IF($B345="STD. DEVIATION",2,$F$1))))</f>
        <v/>
      </c>
      <c r="Y345" s="1" t="str">
        <f>IF(OR($B345="",Y$7=""),"",IF($B345="MEANS",INDEX('1-DATA'!$1:$1048576,$A344-1,COLUMN('1-DATA'!X343)),ROUND(INDEX('1-DATA'!$1:$1048576,IF(OR($B345="STD. DEVIATION",$C$1=1),$A345,$A345+1),COLUMN('1-DATA'!X343)),IF($B345="STD. DEVIATION",2,$F$1))))</f>
        <v/>
      </c>
      <c r="Z345" s="1" t="str">
        <f>IF(OR($B345="",Z$7=""),"",IF($B345="MEANS",INDEX('1-DATA'!$1:$1048576,$A344-1,COLUMN('1-DATA'!Y343)),ROUND(INDEX('1-DATA'!$1:$1048576,IF(OR($B345="STD. DEVIATION",$C$1=1),$A345,$A345+1),COLUMN('1-DATA'!Y343)),IF($B345="STD. DEVIATION",2,$F$1))))</f>
        <v/>
      </c>
      <c r="AA345" s="1" t="str">
        <f>IF(OR($B345="",AA$7=""),"",IF($B345="MEANS",INDEX('1-DATA'!$1:$1048576,$A344-1,COLUMN('1-DATA'!Z343)),ROUND(INDEX('1-DATA'!$1:$1048576,IF(OR($B345="STD. DEVIATION",$C$1=1),$A345,$A345+1),COLUMN('1-DATA'!Z343)),IF($B345="STD. DEVIATION",2,$F$1))))</f>
        <v/>
      </c>
      <c r="AB345" s="1" t="str">
        <f>IF(OR($B345="",AB$7=""),"",IF($B345="MEANS",INDEX('1-DATA'!$1:$1048576,$A344-1,COLUMN('1-DATA'!AA343)),ROUND(INDEX('1-DATA'!$1:$1048576,IF(OR($B345="STD. DEVIATION",$C$1=1),$A345,$A345+1),COLUMN('1-DATA'!AA343)),IF($B345="STD. DEVIATION",2,$F$1))))</f>
        <v/>
      </c>
      <c r="AC345" s="1" t="str">
        <f>IF(OR($B345="",AC$7=""),"",IF($B345="MEANS",INDEX('1-DATA'!$1:$1048576,$A344-1,COLUMN('1-DATA'!AB343)),ROUND(INDEX('1-DATA'!$1:$1048576,IF(OR($B345="STD. DEVIATION",$C$1=1),$A345,$A345+1),COLUMN('1-DATA'!AB343)),IF($B345="STD. DEVIATION",2,$F$1))))</f>
        <v/>
      </c>
      <c r="AD345" s="1" t="str">
        <f>IF(OR($B345="",AD$7=""),"",IF($B345="MEANS",INDEX('1-DATA'!$1:$1048576,$A344-1,COLUMN('1-DATA'!AC343)),ROUND(INDEX('1-DATA'!$1:$1048576,IF(OR($B345="STD. DEVIATION",$C$1=1),$A345,$A345+1),COLUMN('1-DATA'!AC343)),IF($B345="STD. DEVIATION",2,$F$1))))</f>
        <v/>
      </c>
      <c r="AE345" s="1" t="str">
        <f>IF(OR($B345="",AE$7=""),"",IF($B345="MEANS",INDEX('1-DATA'!$1:$1048576,$A344-1,COLUMN('1-DATA'!AD343)),ROUND(INDEX('1-DATA'!$1:$1048576,IF(OR($B345="STD. DEVIATION",$C$1=1),$A345,$A345+1),COLUMN('1-DATA'!AD343)),IF($B345="STD. DEVIATION",2,$F$1))))</f>
        <v/>
      </c>
      <c r="AF345" s="1" t="str">
        <f>IF(OR($B345="",AF$7=""),"",IF($B345="MEANS",INDEX('1-DATA'!$1:$1048576,$A344-1,COLUMN('1-DATA'!AE343)),ROUND(INDEX('1-DATA'!$1:$1048576,IF(OR($B345="STD. DEVIATION",$C$1=1),$A345,$A345+1),COLUMN('1-DATA'!AE343)),IF($B345="STD. DEVIATION",2,$F$1))))</f>
        <v/>
      </c>
      <c r="AG345" s="1" t="str">
        <f>IF(OR($B345="",AG$7=""),"",IF($B345="MEANS",INDEX('1-DATA'!$1:$1048576,$A344-1,COLUMN('1-DATA'!AF343)),ROUND(INDEX('1-DATA'!$1:$1048576,IF(OR($B345="STD. DEVIATION",$C$1=1),$A345,$A345+1),COLUMN('1-DATA'!AF343)),IF($B345="STD. DEVIATION",2,$F$1))))</f>
        <v/>
      </c>
      <c r="AH345" s="1" t="str">
        <f>IF(OR($B345="",AH$7=""),"",IF($B345="MEANS",INDEX('1-DATA'!$1:$1048576,$A344-1,COLUMN('1-DATA'!AG343)),ROUND(INDEX('1-DATA'!$1:$1048576,IF(OR($B345="STD. DEVIATION",$C$1=1),$A345,$A345+1),COLUMN('1-DATA'!AG343)),IF($B345="STD. DEVIATION",2,$F$1))))</f>
        <v/>
      </c>
      <c r="AI345" s="1" t="str">
        <f>IF(OR($B345="",AI$7=""),"",IF($B345="MEANS",INDEX('1-DATA'!$1:$1048576,$A344-1,COLUMN('1-DATA'!AH343)),ROUND(INDEX('1-DATA'!$1:$1048576,IF(OR($B345="STD. DEVIATION",$C$1=1),$A345,$A345+1),COLUMN('1-DATA'!AH343)),IF($B345="STD. DEVIATION",2,$F$1))))</f>
        <v/>
      </c>
      <c r="AJ345" s="1" t="str">
        <f>IF(OR($B345="",AJ$7=""),"",IF($B345="MEANS",INDEX('1-DATA'!$1:$1048576,$A344-1,COLUMN('1-DATA'!AI343)),ROUND(INDEX('1-DATA'!$1:$1048576,IF(OR($B345="STD. DEVIATION",$C$1=1),$A345,$A345+1),COLUMN('1-DATA'!AI343)),IF($B345="STD. DEVIATION",2,$F$1))))</f>
        <v/>
      </c>
      <c r="AK345" s="1" t="str">
        <f>IF(OR($B345="",AK$7=""),"",IF($B345="MEANS",INDEX('1-DATA'!$1:$1048576,$A344-1,COLUMN('1-DATA'!AJ343)),ROUND(INDEX('1-DATA'!$1:$1048576,IF(OR($B345="STD. DEVIATION",$C$1=1),$A345,$A345+1),COLUMN('1-DATA'!AJ343)),IF($B345="STD. DEVIATION",2,$F$1))))</f>
        <v/>
      </c>
      <c r="AL345" s="1" t="str">
        <f>IF(OR($B345="",AL$7=""),"",IF($B345="MEANS",INDEX('1-DATA'!$1:$1048576,$A344-1,COLUMN('1-DATA'!AK343)),ROUND(INDEX('1-DATA'!$1:$1048576,IF(OR($B345="STD. DEVIATION",$C$1=1),$A345,$A345+1),COLUMN('1-DATA'!AK343)),IF($B345="STD. DEVIATION",2,$F$1))))</f>
        <v/>
      </c>
      <c r="AM345" s="1" t="str">
        <f>IF(OR($B345="",AM$7=""),"",IF($B345="MEANS",INDEX('1-DATA'!$1:$1048576,$A344-1,COLUMN('1-DATA'!AL343)),ROUND(INDEX('1-DATA'!$1:$1048576,IF(OR($B345="STD. DEVIATION",$C$1=1),$A345,$A345+1),COLUMN('1-DATA'!AL343)),IF($B345="STD. DEVIATION",2,$F$1))))</f>
        <v/>
      </c>
      <c r="AN345" s="1" t="str">
        <f>IF(OR($B345="",AN$7=""),"",IF($B345="MEANS",INDEX('1-DATA'!$1:$1048576,$A344-1,COLUMN('1-DATA'!AM343)),ROUND(INDEX('1-DATA'!$1:$1048576,IF(OR($B345="STD. DEVIATION",$C$1=1),$A345,$A345+1),COLUMN('1-DATA'!AM343)),IF($B345="STD. DEVIATION",2,$F$1))))</f>
        <v/>
      </c>
      <c r="AO345" s="1" t="str">
        <f>IF(OR($B345="",AO$7=""),"",IF($B345="MEANS",INDEX('1-DATA'!$1:$1048576,$A344-1,COLUMN('1-DATA'!AN343)),ROUND(INDEX('1-DATA'!$1:$1048576,IF(OR($B345="STD. DEVIATION",$C$1=1),$A345,$A345+1),COLUMN('1-DATA'!AN343)),IF($B345="STD. DEVIATION",2,$F$1))))</f>
        <v/>
      </c>
      <c r="AP345" s="1" t="str">
        <f>IF(OR($B345="",AP$7=""),"",IF($B345="MEANS",INDEX('1-DATA'!$1:$1048576,$A344-1,COLUMN('1-DATA'!AO343)),ROUND(INDEX('1-DATA'!$1:$1048576,IF(OR($B345="STD. DEVIATION",$C$1=1),$A345,$A345+1),COLUMN('1-DATA'!AO343)),IF($B345="STD. DEVIATION",2,$F$1))))</f>
        <v/>
      </c>
      <c r="AQ345" s="1" t="str">
        <f>IF(OR($B345="",AQ$7=""),"",IF($B345="MEANS",INDEX('1-DATA'!$1:$1048576,$A344-1,COLUMN('1-DATA'!AP343)),ROUND(INDEX('1-DATA'!$1:$1048576,IF(OR($B345="STD. DEVIATION",$C$1=1),$A345,$A345+1),COLUMN('1-DATA'!AP343)),IF($B345="STD. DEVIATION",2,$F$1))))</f>
        <v/>
      </c>
      <c r="AR345" s="1" t="str">
        <f>IF(OR($B345="",AR$7=""),"",IF($B345="MEANS",INDEX('1-DATA'!$1:$1048576,$A344-1,COLUMN('1-DATA'!AQ343)),ROUND(INDEX('1-DATA'!$1:$1048576,IF(OR($B345="STD. DEVIATION",$C$1=1),$A345,$A345+1),COLUMN('1-DATA'!AQ343)),IF($B345="STD. DEVIATION",2,$F$1))))</f>
        <v/>
      </c>
      <c r="AS345" s="1" t="str">
        <f>IF(OR($B345="",AS$7=""),"",IF($B345="MEANS",INDEX('1-DATA'!$1:$1048576,$A344-1,COLUMN('1-DATA'!AR343)),ROUND(INDEX('1-DATA'!$1:$1048576,IF(OR($B345="STD. DEVIATION",$C$1=1),$A345,$A345+1),COLUMN('1-DATA'!AR343)),IF($B345="STD. DEVIATION",2,$F$1))))</f>
        <v/>
      </c>
      <c r="AT345" s="1" t="str">
        <f>IF(OR($B345="",AT$7=""),"",IF($B345="MEANS",INDEX('1-DATA'!$1:$1048576,$A344-1,COLUMN('1-DATA'!AS343)),ROUND(INDEX('1-DATA'!$1:$1048576,IF(OR($B345="STD. DEVIATION",$C$1=1),$A345,$A345+1),COLUMN('1-DATA'!AS343)),IF($B345="STD. DEVIATION",2,$F$1))))</f>
        <v/>
      </c>
      <c r="AU345" s="1" t="str">
        <f>IF(OR($B345="",AU$7=""),"",IF($B345="MEANS",INDEX('1-DATA'!$1:$1048576,$A344-1,COLUMN('1-DATA'!AT343)),ROUND(INDEX('1-DATA'!$1:$1048576,IF(OR($B345="STD. DEVIATION",$C$1=1),$A345,$A345+1),COLUMN('1-DATA'!AT343)),IF($B345="STD. DEVIATION",2,$F$1))))</f>
        <v/>
      </c>
      <c r="AV345" s="1" t="str">
        <f>IF(OR($B345="",AV$7=""),"",IF($B345="MEANS",INDEX('1-DATA'!$1:$1048576,$A344-1,COLUMN('1-DATA'!AU343)),ROUND(INDEX('1-DATA'!$1:$1048576,IF(OR($B345="STD. DEVIATION",$C$1=1),$A345,$A345+1),COLUMN('1-DATA'!AU343)),IF($B345="STD. DEVIATION",2,$F$1))))</f>
        <v/>
      </c>
      <c r="AW345" s="1" t="str">
        <f>IF(OR($B345="",AW$7=""),"",IF($B345="MEANS",INDEX('1-DATA'!$1:$1048576,$A344-1,COLUMN('1-DATA'!AV343)),ROUND(INDEX('1-DATA'!$1:$1048576,IF(OR($B345="STD. DEVIATION",$C$1=1),$A345,$A345+1),COLUMN('1-DATA'!AV343)),IF($B345="STD. DEVIATION",2,$F$1))))</f>
        <v/>
      </c>
      <c r="AX345" s="1" t="str">
        <f>IF(OR($B345="",AX$7=""),"",IF($B345="MEANS",INDEX('1-DATA'!$1:$1048576,$A344-1,COLUMN('1-DATA'!AW343)),ROUND(INDEX('1-DATA'!$1:$1048576,IF(OR($B345="STD. DEVIATION",$C$1=1),$A345,$A345+1),COLUMN('1-DATA'!AW343)),IF($B345="STD. DEVIATION",2,$F$1))))</f>
        <v/>
      </c>
      <c r="AY345" s="1" t="str">
        <f>IF(OR($B345="",AY$7=""),"",IF($B345="MEANS",INDEX('1-DATA'!$1:$1048576,$A344-1,COLUMN('1-DATA'!AX343)),ROUND(INDEX('1-DATA'!$1:$1048576,IF(OR($B345="STD. DEVIATION",$C$1=1),$A345,$A345+1),COLUMN('1-DATA'!AX343)),IF($B345="STD. DEVIATION",2,$F$1))))</f>
        <v/>
      </c>
      <c r="AZ345" s="1" t="str">
        <f>IF(OR($B345="",AZ$7=""),"",IF($B345="MEANS",INDEX('1-DATA'!$1:$1048576,$A344-1,COLUMN('1-DATA'!AY343)),ROUND(INDEX('1-DATA'!$1:$1048576,IF(OR($B345="STD. DEVIATION",$C$1=1),$A345,$A345+1),COLUMN('1-DATA'!AY343)),IF($B345="STD. DEVIATION",2,$F$1))))</f>
        <v/>
      </c>
    </row>
    <row r="346" spans="1:52" x14ac:dyDescent="0.25">
      <c r="A346" s="11">
        <f t="shared" si="5"/>
        <v>1024</v>
      </c>
      <c r="B346" s="1" t="str">
        <f>IF(B345="STD. DEVIATION",INDEX('1-DATA'!$1:$1048576,$A345-1,1),IF(INDEX('1-DATA'!$1:$1048576,$A346,1)&lt;&gt;"",INDEX('1-DATA'!$1:$1048576,$A346,1),""))</f>
        <v/>
      </c>
      <c r="C346" s="1" t="str">
        <f>IF(OR($B346="",C$7=""),"",IF($B346="MEANS",INDEX('1-DATA'!$1:$1048576,$A345-1,COLUMN('1-DATA'!B344)),ROUND(INDEX('1-DATA'!$1:$1048576,IF(OR($B346="STD. DEVIATION",$C$1=1),$A346,$A346+1),COLUMN('1-DATA'!B344)),IF($B346="STD. DEVIATION",2,$F$1))))</f>
        <v/>
      </c>
      <c r="D346" s="1" t="str">
        <f>IF(OR($B346="",D$7=""),"",IF($B346="MEANS",INDEX('1-DATA'!$1:$1048576,$A345-1,COLUMN('1-DATA'!C344)),ROUND(INDEX('1-DATA'!$1:$1048576,IF(OR($B346="STD. DEVIATION",$C$1=1),$A346,$A346+1),COLUMN('1-DATA'!C344)),IF($B346="STD. DEVIATION",2,$F$1))))</f>
        <v/>
      </c>
      <c r="E346" s="1" t="str">
        <f>IF(OR($B346="",E$7=""),"",IF($B346="MEANS",INDEX('1-DATA'!$1:$1048576,$A345-1,COLUMN('1-DATA'!D344)),ROUND(INDEX('1-DATA'!$1:$1048576,IF(OR($B346="STD. DEVIATION",$C$1=1),$A346,$A346+1),COLUMN('1-DATA'!D344)),IF($B346="STD. DEVIATION",2,$F$1))))</f>
        <v/>
      </c>
      <c r="F346" s="1" t="str">
        <f>IF(OR($B346="",F$7=""),"",IF($B346="MEANS",INDEX('1-DATA'!$1:$1048576,$A345-1,COLUMN('1-DATA'!E344)),ROUND(INDEX('1-DATA'!$1:$1048576,IF(OR($B346="STD. DEVIATION",$C$1=1),$A346,$A346+1),COLUMN('1-DATA'!E344)),IF($B346="STD. DEVIATION",2,$F$1))))</f>
        <v/>
      </c>
      <c r="G346" s="1" t="str">
        <f>IF(OR($B346="",G$7=""),"",IF($B346="MEANS",INDEX('1-DATA'!$1:$1048576,$A345-1,COLUMN('1-DATA'!F344)),ROUND(INDEX('1-DATA'!$1:$1048576,IF(OR($B346="STD. DEVIATION",$C$1=1),$A346,$A346+1),COLUMN('1-DATA'!F344)),IF($B346="STD. DEVIATION",2,$F$1))))</f>
        <v/>
      </c>
      <c r="H346" s="1" t="str">
        <f>IF(OR($B346="",H$7=""),"",IF($B346="MEANS",INDEX('1-DATA'!$1:$1048576,$A345-1,COLUMN('1-DATA'!G344)),ROUND(INDEX('1-DATA'!$1:$1048576,IF(OR($B346="STD. DEVIATION",$C$1=1),$A346,$A346+1),COLUMN('1-DATA'!G344)),IF($B346="STD. DEVIATION",2,$F$1))))</f>
        <v/>
      </c>
      <c r="I346" s="1" t="str">
        <f>IF(OR($B346="",I$7=""),"",IF($B346="MEANS",INDEX('1-DATA'!$1:$1048576,$A345-1,COLUMN('1-DATA'!H344)),ROUND(INDEX('1-DATA'!$1:$1048576,IF(OR($B346="STD. DEVIATION",$C$1=1),$A346,$A346+1),COLUMN('1-DATA'!H344)),IF($B346="STD. DEVIATION",2,$F$1))))</f>
        <v/>
      </c>
      <c r="J346" s="1" t="str">
        <f>IF(OR($B346="",J$7=""),"",IF($B346="MEANS",INDEX('1-DATA'!$1:$1048576,$A345-1,COLUMN('1-DATA'!I344)),ROUND(INDEX('1-DATA'!$1:$1048576,IF(OR($B346="STD. DEVIATION",$C$1=1),$A346,$A346+1),COLUMN('1-DATA'!I344)),IF($B346="STD. DEVIATION",2,$F$1))))</f>
        <v/>
      </c>
      <c r="K346" s="1" t="str">
        <f>IF(OR($B346="",K$7=""),"",IF($B346="MEANS",INDEX('1-DATA'!$1:$1048576,$A345-1,COLUMN('1-DATA'!J344)),ROUND(INDEX('1-DATA'!$1:$1048576,IF(OR($B346="STD. DEVIATION",$C$1=1),$A346,$A346+1),COLUMN('1-DATA'!J344)),IF($B346="STD. DEVIATION",2,$F$1))))</f>
        <v/>
      </c>
      <c r="L346" s="1" t="str">
        <f>IF(OR($B346="",L$7=""),"",IF($B346="MEANS",INDEX('1-DATA'!$1:$1048576,$A345-1,COLUMN('1-DATA'!K344)),ROUND(INDEX('1-DATA'!$1:$1048576,IF(OR($B346="STD. DEVIATION",$C$1=1),$A346,$A346+1),COLUMN('1-DATA'!K344)),IF($B346="STD. DEVIATION",2,$F$1))))</f>
        <v/>
      </c>
      <c r="M346" s="1" t="str">
        <f>IF(OR($B346="",M$7=""),"",IF($B346="MEANS",INDEX('1-DATA'!$1:$1048576,$A345-1,COLUMN('1-DATA'!L344)),ROUND(INDEX('1-DATA'!$1:$1048576,IF(OR($B346="STD. DEVIATION",$C$1=1),$A346,$A346+1),COLUMN('1-DATA'!L344)),IF($B346="STD. DEVIATION",2,$F$1))))</f>
        <v/>
      </c>
      <c r="N346" s="1" t="str">
        <f>IF(OR($B346="",N$7=""),"",IF($B346="MEANS",INDEX('1-DATA'!$1:$1048576,$A345-1,COLUMN('1-DATA'!M344)),ROUND(INDEX('1-DATA'!$1:$1048576,IF(OR($B346="STD. DEVIATION",$C$1=1),$A346,$A346+1),COLUMN('1-DATA'!M344)),IF($B346="STD. DEVIATION",2,$F$1))))</f>
        <v/>
      </c>
      <c r="O346" s="1" t="str">
        <f>IF(OR($B346="",O$7=""),"",IF($B346="MEANS",INDEX('1-DATA'!$1:$1048576,$A345-1,COLUMN('1-DATA'!N344)),ROUND(INDEX('1-DATA'!$1:$1048576,IF(OR($B346="STD. DEVIATION",$C$1=1),$A346,$A346+1),COLUMN('1-DATA'!N344)),IF($B346="STD. DEVIATION",2,$F$1))))</f>
        <v/>
      </c>
      <c r="P346" s="1" t="str">
        <f>IF(OR($B346="",P$7=""),"",IF($B346="MEANS",INDEX('1-DATA'!$1:$1048576,$A345-1,COLUMN('1-DATA'!O344)),ROUND(INDEX('1-DATA'!$1:$1048576,IF(OR($B346="STD. DEVIATION",$C$1=1),$A346,$A346+1),COLUMN('1-DATA'!O344)),IF($B346="STD. DEVIATION",2,$F$1))))</f>
        <v/>
      </c>
      <c r="Q346" s="1" t="str">
        <f>IF(OR($B346="",Q$7=""),"",IF($B346="MEANS",INDEX('1-DATA'!$1:$1048576,$A345-1,COLUMN('1-DATA'!P344)),ROUND(INDEX('1-DATA'!$1:$1048576,IF(OR($B346="STD. DEVIATION",$C$1=1),$A346,$A346+1),COLUMN('1-DATA'!P344)),IF($B346="STD. DEVIATION",2,$F$1))))</f>
        <v/>
      </c>
      <c r="R346" s="1" t="str">
        <f>IF(OR($B346="",R$7=""),"",IF($B346="MEANS",INDEX('1-DATA'!$1:$1048576,$A345-1,COLUMN('1-DATA'!Q344)),ROUND(INDEX('1-DATA'!$1:$1048576,IF(OR($B346="STD. DEVIATION",$C$1=1),$A346,$A346+1),COLUMN('1-DATA'!Q344)),IF($B346="STD. DEVIATION",2,$F$1))))</f>
        <v/>
      </c>
      <c r="S346" s="1" t="str">
        <f>IF(OR($B346="",S$7=""),"",IF($B346="MEANS",INDEX('1-DATA'!$1:$1048576,$A345-1,COLUMN('1-DATA'!R344)),ROUND(INDEX('1-DATA'!$1:$1048576,IF(OR($B346="STD. DEVIATION",$C$1=1),$A346,$A346+1),COLUMN('1-DATA'!R344)),IF($B346="STD. DEVIATION",2,$F$1))))</f>
        <v/>
      </c>
      <c r="T346" s="1" t="str">
        <f>IF(OR($B346="",T$7=""),"",IF($B346="MEANS",INDEX('1-DATA'!$1:$1048576,$A345-1,COLUMN('1-DATA'!S344)),ROUND(INDEX('1-DATA'!$1:$1048576,IF(OR($B346="STD. DEVIATION",$C$1=1),$A346,$A346+1),COLUMN('1-DATA'!S344)),IF($B346="STD. DEVIATION",2,$F$1))))</f>
        <v/>
      </c>
      <c r="U346" s="1" t="str">
        <f>IF(OR($B346="",U$7=""),"",IF($B346="MEANS",INDEX('1-DATA'!$1:$1048576,$A345-1,COLUMN('1-DATA'!T344)),ROUND(INDEX('1-DATA'!$1:$1048576,IF(OR($B346="STD. DEVIATION",$C$1=1),$A346,$A346+1),COLUMN('1-DATA'!T344)),IF($B346="STD. DEVIATION",2,$F$1))))</f>
        <v/>
      </c>
      <c r="V346" s="1" t="str">
        <f>IF(OR($B346="",V$7=""),"",IF($B346="MEANS",INDEX('1-DATA'!$1:$1048576,$A345-1,COLUMN('1-DATA'!U344)),ROUND(INDEX('1-DATA'!$1:$1048576,IF(OR($B346="STD. DEVIATION",$C$1=1),$A346,$A346+1),COLUMN('1-DATA'!U344)),IF($B346="STD. DEVIATION",2,$F$1))))</f>
        <v/>
      </c>
      <c r="W346" s="1" t="str">
        <f>IF(OR($B346="",W$7=""),"",IF($B346="MEANS",INDEX('1-DATA'!$1:$1048576,$A345-1,COLUMN('1-DATA'!V344)),ROUND(INDEX('1-DATA'!$1:$1048576,IF(OR($B346="STD. DEVIATION",$C$1=1),$A346,$A346+1),COLUMN('1-DATA'!V344)),IF($B346="STD. DEVIATION",2,$F$1))))</f>
        <v/>
      </c>
      <c r="X346" s="1" t="str">
        <f>IF(OR($B346="",X$7=""),"",IF($B346="MEANS",INDEX('1-DATA'!$1:$1048576,$A345-1,COLUMN('1-DATA'!W344)),ROUND(INDEX('1-DATA'!$1:$1048576,IF(OR($B346="STD. DEVIATION",$C$1=1),$A346,$A346+1),COLUMN('1-DATA'!W344)),IF($B346="STD. DEVIATION",2,$F$1))))</f>
        <v/>
      </c>
      <c r="Y346" s="1" t="str">
        <f>IF(OR($B346="",Y$7=""),"",IF($B346="MEANS",INDEX('1-DATA'!$1:$1048576,$A345-1,COLUMN('1-DATA'!X344)),ROUND(INDEX('1-DATA'!$1:$1048576,IF(OR($B346="STD. DEVIATION",$C$1=1),$A346,$A346+1),COLUMN('1-DATA'!X344)),IF($B346="STD. DEVIATION",2,$F$1))))</f>
        <v/>
      </c>
      <c r="Z346" s="1" t="str">
        <f>IF(OR($B346="",Z$7=""),"",IF($B346="MEANS",INDEX('1-DATA'!$1:$1048576,$A345-1,COLUMN('1-DATA'!Y344)),ROUND(INDEX('1-DATA'!$1:$1048576,IF(OR($B346="STD. DEVIATION",$C$1=1),$A346,$A346+1),COLUMN('1-DATA'!Y344)),IF($B346="STD. DEVIATION",2,$F$1))))</f>
        <v/>
      </c>
      <c r="AA346" s="1" t="str">
        <f>IF(OR($B346="",AA$7=""),"",IF($B346="MEANS",INDEX('1-DATA'!$1:$1048576,$A345-1,COLUMN('1-DATA'!Z344)),ROUND(INDEX('1-DATA'!$1:$1048576,IF(OR($B346="STD. DEVIATION",$C$1=1),$A346,$A346+1),COLUMN('1-DATA'!Z344)),IF($B346="STD. DEVIATION",2,$F$1))))</f>
        <v/>
      </c>
      <c r="AB346" s="1" t="str">
        <f>IF(OR($B346="",AB$7=""),"",IF($B346="MEANS",INDEX('1-DATA'!$1:$1048576,$A345-1,COLUMN('1-DATA'!AA344)),ROUND(INDEX('1-DATA'!$1:$1048576,IF(OR($B346="STD. DEVIATION",$C$1=1),$A346,$A346+1),COLUMN('1-DATA'!AA344)),IF($B346="STD. DEVIATION",2,$F$1))))</f>
        <v/>
      </c>
      <c r="AC346" s="1" t="str">
        <f>IF(OR($B346="",AC$7=""),"",IF($B346="MEANS",INDEX('1-DATA'!$1:$1048576,$A345-1,COLUMN('1-DATA'!AB344)),ROUND(INDEX('1-DATA'!$1:$1048576,IF(OR($B346="STD. DEVIATION",$C$1=1),$A346,$A346+1),COLUMN('1-DATA'!AB344)),IF($B346="STD. DEVIATION",2,$F$1))))</f>
        <v/>
      </c>
      <c r="AD346" s="1" t="str">
        <f>IF(OR($B346="",AD$7=""),"",IF($B346="MEANS",INDEX('1-DATA'!$1:$1048576,$A345-1,COLUMN('1-DATA'!AC344)),ROUND(INDEX('1-DATA'!$1:$1048576,IF(OR($B346="STD. DEVIATION",$C$1=1),$A346,$A346+1),COLUMN('1-DATA'!AC344)),IF($B346="STD. DEVIATION",2,$F$1))))</f>
        <v/>
      </c>
      <c r="AE346" s="1" t="str">
        <f>IF(OR($B346="",AE$7=""),"",IF($B346="MEANS",INDEX('1-DATA'!$1:$1048576,$A345-1,COLUMN('1-DATA'!AD344)),ROUND(INDEX('1-DATA'!$1:$1048576,IF(OR($B346="STD. DEVIATION",$C$1=1),$A346,$A346+1),COLUMN('1-DATA'!AD344)),IF($B346="STD. DEVIATION",2,$F$1))))</f>
        <v/>
      </c>
      <c r="AF346" s="1" t="str">
        <f>IF(OR($B346="",AF$7=""),"",IF($B346="MEANS",INDEX('1-DATA'!$1:$1048576,$A345-1,COLUMN('1-DATA'!AE344)),ROUND(INDEX('1-DATA'!$1:$1048576,IF(OR($B346="STD. DEVIATION",$C$1=1),$A346,$A346+1),COLUMN('1-DATA'!AE344)),IF($B346="STD. DEVIATION",2,$F$1))))</f>
        <v/>
      </c>
      <c r="AG346" s="1" t="str">
        <f>IF(OR($B346="",AG$7=""),"",IF($B346="MEANS",INDEX('1-DATA'!$1:$1048576,$A345-1,COLUMN('1-DATA'!AF344)),ROUND(INDEX('1-DATA'!$1:$1048576,IF(OR($B346="STD. DEVIATION",$C$1=1),$A346,$A346+1),COLUMN('1-DATA'!AF344)),IF($B346="STD. DEVIATION",2,$F$1))))</f>
        <v/>
      </c>
      <c r="AH346" s="1" t="str">
        <f>IF(OR($B346="",AH$7=""),"",IF($B346="MEANS",INDEX('1-DATA'!$1:$1048576,$A345-1,COLUMN('1-DATA'!AG344)),ROUND(INDEX('1-DATA'!$1:$1048576,IF(OR($B346="STD. DEVIATION",$C$1=1),$A346,$A346+1),COLUMN('1-DATA'!AG344)),IF($B346="STD. DEVIATION",2,$F$1))))</f>
        <v/>
      </c>
      <c r="AI346" s="1" t="str">
        <f>IF(OR($B346="",AI$7=""),"",IF($B346="MEANS",INDEX('1-DATA'!$1:$1048576,$A345-1,COLUMN('1-DATA'!AH344)),ROUND(INDEX('1-DATA'!$1:$1048576,IF(OR($B346="STD. DEVIATION",$C$1=1),$A346,$A346+1),COLUMN('1-DATA'!AH344)),IF($B346="STD. DEVIATION",2,$F$1))))</f>
        <v/>
      </c>
      <c r="AJ346" s="1" t="str">
        <f>IF(OR($B346="",AJ$7=""),"",IF($B346="MEANS",INDEX('1-DATA'!$1:$1048576,$A345-1,COLUMN('1-DATA'!AI344)),ROUND(INDEX('1-DATA'!$1:$1048576,IF(OR($B346="STD. DEVIATION",$C$1=1),$A346,$A346+1),COLUMN('1-DATA'!AI344)),IF($B346="STD. DEVIATION",2,$F$1))))</f>
        <v/>
      </c>
      <c r="AK346" s="1" t="str">
        <f>IF(OR($B346="",AK$7=""),"",IF($B346="MEANS",INDEX('1-DATA'!$1:$1048576,$A345-1,COLUMN('1-DATA'!AJ344)),ROUND(INDEX('1-DATA'!$1:$1048576,IF(OR($B346="STD. DEVIATION",$C$1=1),$A346,$A346+1),COLUMN('1-DATA'!AJ344)),IF($B346="STD. DEVIATION",2,$F$1))))</f>
        <v/>
      </c>
      <c r="AL346" s="1" t="str">
        <f>IF(OR($B346="",AL$7=""),"",IF($B346="MEANS",INDEX('1-DATA'!$1:$1048576,$A345-1,COLUMN('1-DATA'!AK344)),ROUND(INDEX('1-DATA'!$1:$1048576,IF(OR($B346="STD. DEVIATION",$C$1=1),$A346,$A346+1),COLUMN('1-DATA'!AK344)),IF($B346="STD. DEVIATION",2,$F$1))))</f>
        <v/>
      </c>
      <c r="AM346" s="1" t="str">
        <f>IF(OR($B346="",AM$7=""),"",IF($B346="MEANS",INDEX('1-DATA'!$1:$1048576,$A345-1,COLUMN('1-DATA'!AL344)),ROUND(INDEX('1-DATA'!$1:$1048576,IF(OR($B346="STD. DEVIATION",$C$1=1),$A346,$A346+1),COLUMN('1-DATA'!AL344)),IF($B346="STD. DEVIATION",2,$F$1))))</f>
        <v/>
      </c>
      <c r="AN346" s="1" t="str">
        <f>IF(OR($B346="",AN$7=""),"",IF($B346="MEANS",INDEX('1-DATA'!$1:$1048576,$A345-1,COLUMN('1-DATA'!AM344)),ROUND(INDEX('1-DATA'!$1:$1048576,IF(OR($B346="STD. DEVIATION",$C$1=1),$A346,$A346+1),COLUMN('1-DATA'!AM344)),IF($B346="STD. DEVIATION",2,$F$1))))</f>
        <v/>
      </c>
      <c r="AO346" s="1" t="str">
        <f>IF(OR($B346="",AO$7=""),"",IF($B346="MEANS",INDEX('1-DATA'!$1:$1048576,$A345-1,COLUMN('1-DATA'!AN344)),ROUND(INDEX('1-DATA'!$1:$1048576,IF(OR($B346="STD. DEVIATION",$C$1=1),$A346,$A346+1),COLUMN('1-DATA'!AN344)),IF($B346="STD. DEVIATION",2,$F$1))))</f>
        <v/>
      </c>
      <c r="AP346" s="1" t="str">
        <f>IF(OR($B346="",AP$7=""),"",IF($B346="MEANS",INDEX('1-DATA'!$1:$1048576,$A345-1,COLUMN('1-DATA'!AO344)),ROUND(INDEX('1-DATA'!$1:$1048576,IF(OR($B346="STD. DEVIATION",$C$1=1),$A346,$A346+1),COLUMN('1-DATA'!AO344)),IF($B346="STD. DEVIATION",2,$F$1))))</f>
        <v/>
      </c>
      <c r="AQ346" s="1" t="str">
        <f>IF(OR($B346="",AQ$7=""),"",IF($B346="MEANS",INDEX('1-DATA'!$1:$1048576,$A345-1,COLUMN('1-DATA'!AP344)),ROUND(INDEX('1-DATA'!$1:$1048576,IF(OR($B346="STD. DEVIATION",$C$1=1),$A346,$A346+1),COLUMN('1-DATA'!AP344)),IF($B346="STD. DEVIATION",2,$F$1))))</f>
        <v/>
      </c>
      <c r="AR346" s="1" t="str">
        <f>IF(OR($B346="",AR$7=""),"",IF($B346="MEANS",INDEX('1-DATA'!$1:$1048576,$A345-1,COLUMN('1-DATA'!AQ344)),ROUND(INDEX('1-DATA'!$1:$1048576,IF(OR($B346="STD. DEVIATION",$C$1=1),$A346,$A346+1),COLUMN('1-DATA'!AQ344)),IF($B346="STD. DEVIATION",2,$F$1))))</f>
        <v/>
      </c>
      <c r="AS346" s="1" t="str">
        <f>IF(OR($B346="",AS$7=""),"",IF($B346="MEANS",INDEX('1-DATA'!$1:$1048576,$A345-1,COLUMN('1-DATA'!AR344)),ROUND(INDEX('1-DATA'!$1:$1048576,IF(OR($B346="STD. DEVIATION",$C$1=1),$A346,$A346+1),COLUMN('1-DATA'!AR344)),IF($B346="STD. DEVIATION",2,$F$1))))</f>
        <v/>
      </c>
      <c r="AT346" s="1" t="str">
        <f>IF(OR($B346="",AT$7=""),"",IF($B346="MEANS",INDEX('1-DATA'!$1:$1048576,$A345-1,COLUMN('1-DATA'!AS344)),ROUND(INDEX('1-DATA'!$1:$1048576,IF(OR($B346="STD. DEVIATION",$C$1=1),$A346,$A346+1),COLUMN('1-DATA'!AS344)),IF($B346="STD. DEVIATION",2,$F$1))))</f>
        <v/>
      </c>
      <c r="AU346" s="1" t="str">
        <f>IF(OR($B346="",AU$7=""),"",IF($B346="MEANS",INDEX('1-DATA'!$1:$1048576,$A345-1,COLUMN('1-DATA'!AT344)),ROUND(INDEX('1-DATA'!$1:$1048576,IF(OR($B346="STD. DEVIATION",$C$1=1),$A346,$A346+1),COLUMN('1-DATA'!AT344)),IF($B346="STD. DEVIATION",2,$F$1))))</f>
        <v/>
      </c>
      <c r="AV346" s="1" t="str">
        <f>IF(OR($B346="",AV$7=""),"",IF($B346="MEANS",INDEX('1-DATA'!$1:$1048576,$A345-1,COLUMN('1-DATA'!AU344)),ROUND(INDEX('1-DATA'!$1:$1048576,IF(OR($B346="STD. DEVIATION",$C$1=1),$A346,$A346+1),COLUMN('1-DATA'!AU344)),IF($B346="STD. DEVIATION",2,$F$1))))</f>
        <v/>
      </c>
      <c r="AW346" s="1" t="str">
        <f>IF(OR($B346="",AW$7=""),"",IF($B346="MEANS",INDEX('1-DATA'!$1:$1048576,$A345-1,COLUMN('1-DATA'!AV344)),ROUND(INDEX('1-DATA'!$1:$1048576,IF(OR($B346="STD. DEVIATION",$C$1=1),$A346,$A346+1),COLUMN('1-DATA'!AV344)),IF($B346="STD. DEVIATION",2,$F$1))))</f>
        <v/>
      </c>
      <c r="AX346" s="1" t="str">
        <f>IF(OR($B346="",AX$7=""),"",IF($B346="MEANS",INDEX('1-DATA'!$1:$1048576,$A345-1,COLUMN('1-DATA'!AW344)),ROUND(INDEX('1-DATA'!$1:$1048576,IF(OR($B346="STD. DEVIATION",$C$1=1),$A346,$A346+1),COLUMN('1-DATA'!AW344)),IF($B346="STD. DEVIATION",2,$F$1))))</f>
        <v/>
      </c>
      <c r="AY346" s="1" t="str">
        <f>IF(OR($B346="",AY$7=""),"",IF($B346="MEANS",INDEX('1-DATA'!$1:$1048576,$A345-1,COLUMN('1-DATA'!AX344)),ROUND(INDEX('1-DATA'!$1:$1048576,IF(OR($B346="STD. DEVIATION",$C$1=1),$A346,$A346+1),COLUMN('1-DATA'!AX344)),IF($B346="STD. DEVIATION",2,$F$1))))</f>
        <v/>
      </c>
      <c r="AZ346" s="1" t="str">
        <f>IF(OR($B346="",AZ$7=""),"",IF($B346="MEANS",INDEX('1-DATA'!$1:$1048576,$A345-1,COLUMN('1-DATA'!AY344)),ROUND(INDEX('1-DATA'!$1:$1048576,IF(OR($B346="STD. DEVIATION",$C$1=1),$A346,$A346+1),COLUMN('1-DATA'!AY344)),IF($B346="STD. DEVIATION",2,$F$1))))</f>
        <v/>
      </c>
    </row>
    <row r="347" spans="1:52" x14ac:dyDescent="0.25">
      <c r="A347" s="11">
        <f t="shared" si="5"/>
        <v>1027</v>
      </c>
      <c r="B347" s="1" t="str">
        <f>IF(B346="STD. DEVIATION",INDEX('1-DATA'!$1:$1048576,$A346-1,1),IF(INDEX('1-DATA'!$1:$1048576,$A347,1)&lt;&gt;"",INDEX('1-DATA'!$1:$1048576,$A347,1),""))</f>
        <v/>
      </c>
      <c r="C347" s="1" t="str">
        <f>IF(OR($B347="",C$7=""),"",IF($B347="MEANS",INDEX('1-DATA'!$1:$1048576,$A346-1,COLUMN('1-DATA'!B345)),ROUND(INDEX('1-DATA'!$1:$1048576,IF(OR($B347="STD. DEVIATION",$C$1=1),$A347,$A347+1),COLUMN('1-DATA'!B345)),IF($B347="STD. DEVIATION",2,$F$1))))</f>
        <v/>
      </c>
      <c r="D347" s="1" t="str">
        <f>IF(OR($B347="",D$7=""),"",IF($B347="MEANS",INDEX('1-DATA'!$1:$1048576,$A346-1,COLUMN('1-DATA'!C345)),ROUND(INDEX('1-DATA'!$1:$1048576,IF(OR($B347="STD. DEVIATION",$C$1=1),$A347,$A347+1),COLUMN('1-DATA'!C345)),IF($B347="STD. DEVIATION",2,$F$1))))</f>
        <v/>
      </c>
      <c r="E347" s="1" t="str">
        <f>IF(OR($B347="",E$7=""),"",IF($B347="MEANS",INDEX('1-DATA'!$1:$1048576,$A346-1,COLUMN('1-DATA'!D345)),ROUND(INDEX('1-DATA'!$1:$1048576,IF(OR($B347="STD. DEVIATION",$C$1=1),$A347,$A347+1),COLUMN('1-DATA'!D345)),IF($B347="STD. DEVIATION",2,$F$1))))</f>
        <v/>
      </c>
      <c r="F347" s="1" t="str">
        <f>IF(OR($B347="",F$7=""),"",IF($B347="MEANS",INDEX('1-DATA'!$1:$1048576,$A346-1,COLUMN('1-DATA'!E345)),ROUND(INDEX('1-DATA'!$1:$1048576,IF(OR($B347="STD. DEVIATION",$C$1=1),$A347,$A347+1),COLUMN('1-DATA'!E345)),IF($B347="STD. DEVIATION",2,$F$1))))</f>
        <v/>
      </c>
      <c r="G347" s="1" t="str">
        <f>IF(OR($B347="",G$7=""),"",IF($B347="MEANS",INDEX('1-DATA'!$1:$1048576,$A346-1,COLUMN('1-DATA'!F345)),ROUND(INDEX('1-DATA'!$1:$1048576,IF(OR($B347="STD. DEVIATION",$C$1=1),$A347,$A347+1),COLUMN('1-DATA'!F345)),IF($B347="STD. DEVIATION",2,$F$1))))</f>
        <v/>
      </c>
      <c r="H347" s="1" t="str">
        <f>IF(OR($B347="",H$7=""),"",IF($B347="MEANS",INDEX('1-DATA'!$1:$1048576,$A346-1,COLUMN('1-DATA'!G345)),ROUND(INDEX('1-DATA'!$1:$1048576,IF(OR($B347="STD. DEVIATION",$C$1=1),$A347,$A347+1),COLUMN('1-DATA'!G345)),IF($B347="STD. DEVIATION",2,$F$1))))</f>
        <v/>
      </c>
      <c r="I347" s="1" t="str">
        <f>IF(OR($B347="",I$7=""),"",IF($B347="MEANS",INDEX('1-DATA'!$1:$1048576,$A346-1,COLUMN('1-DATA'!H345)),ROUND(INDEX('1-DATA'!$1:$1048576,IF(OR($B347="STD. DEVIATION",$C$1=1),$A347,$A347+1),COLUMN('1-DATA'!H345)),IF($B347="STD. DEVIATION",2,$F$1))))</f>
        <v/>
      </c>
      <c r="J347" s="1" t="str">
        <f>IF(OR($B347="",J$7=""),"",IF($B347="MEANS",INDEX('1-DATA'!$1:$1048576,$A346-1,COLUMN('1-DATA'!I345)),ROUND(INDEX('1-DATA'!$1:$1048576,IF(OR($B347="STD. DEVIATION",$C$1=1),$A347,$A347+1),COLUMN('1-DATA'!I345)),IF($B347="STD. DEVIATION",2,$F$1))))</f>
        <v/>
      </c>
      <c r="K347" s="1" t="str">
        <f>IF(OR($B347="",K$7=""),"",IF($B347="MEANS",INDEX('1-DATA'!$1:$1048576,$A346-1,COLUMN('1-DATA'!J345)),ROUND(INDEX('1-DATA'!$1:$1048576,IF(OR($B347="STD. DEVIATION",$C$1=1),$A347,$A347+1),COLUMN('1-DATA'!J345)),IF($B347="STD. DEVIATION",2,$F$1))))</f>
        <v/>
      </c>
      <c r="L347" s="1" t="str">
        <f>IF(OR($B347="",L$7=""),"",IF($B347="MEANS",INDEX('1-DATA'!$1:$1048576,$A346-1,COLUMN('1-DATA'!K345)),ROUND(INDEX('1-DATA'!$1:$1048576,IF(OR($B347="STD. DEVIATION",$C$1=1),$A347,$A347+1),COLUMN('1-DATA'!K345)),IF($B347="STD. DEVIATION",2,$F$1))))</f>
        <v/>
      </c>
      <c r="M347" s="1" t="str">
        <f>IF(OR($B347="",M$7=""),"",IF($B347="MEANS",INDEX('1-DATA'!$1:$1048576,$A346-1,COLUMN('1-DATA'!L345)),ROUND(INDEX('1-DATA'!$1:$1048576,IF(OR($B347="STD. DEVIATION",$C$1=1),$A347,$A347+1),COLUMN('1-DATA'!L345)),IF($B347="STD. DEVIATION",2,$F$1))))</f>
        <v/>
      </c>
      <c r="N347" s="1" t="str">
        <f>IF(OR($B347="",N$7=""),"",IF($B347="MEANS",INDEX('1-DATA'!$1:$1048576,$A346-1,COLUMN('1-DATA'!M345)),ROUND(INDEX('1-DATA'!$1:$1048576,IF(OR($B347="STD. DEVIATION",$C$1=1),$A347,$A347+1),COLUMN('1-DATA'!M345)),IF($B347="STD. DEVIATION",2,$F$1))))</f>
        <v/>
      </c>
      <c r="O347" s="1" t="str">
        <f>IF(OR($B347="",O$7=""),"",IF($B347="MEANS",INDEX('1-DATA'!$1:$1048576,$A346-1,COLUMN('1-DATA'!N345)),ROUND(INDEX('1-DATA'!$1:$1048576,IF(OR($B347="STD. DEVIATION",$C$1=1),$A347,$A347+1),COLUMN('1-DATA'!N345)),IF($B347="STD. DEVIATION",2,$F$1))))</f>
        <v/>
      </c>
      <c r="P347" s="1" t="str">
        <f>IF(OR($B347="",P$7=""),"",IF($B347="MEANS",INDEX('1-DATA'!$1:$1048576,$A346-1,COLUMN('1-DATA'!O345)),ROUND(INDEX('1-DATA'!$1:$1048576,IF(OR($B347="STD. DEVIATION",$C$1=1),$A347,$A347+1),COLUMN('1-DATA'!O345)),IF($B347="STD. DEVIATION",2,$F$1))))</f>
        <v/>
      </c>
      <c r="Q347" s="1" t="str">
        <f>IF(OR($B347="",Q$7=""),"",IF($B347="MEANS",INDEX('1-DATA'!$1:$1048576,$A346-1,COLUMN('1-DATA'!P345)),ROUND(INDEX('1-DATA'!$1:$1048576,IF(OR($B347="STD. DEVIATION",$C$1=1),$A347,$A347+1),COLUMN('1-DATA'!P345)),IF($B347="STD. DEVIATION",2,$F$1))))</f>
        <v/>
      </c>
      <c r="R347" s="1" t="str">
        <f>IF(OR($B347="",R$7=""),"",IF($B347="MEANS",INDEX('1-DATA'!$1:$1048576,$A346-1,COLUMN('1-DATA'!Q345)),ROUND(INDEX('1-DATA'!$1:$1048576,IF(OR($B347="STD. DEVIATION",$C$1=1),$A347,$A347+1),COLUMN('1-DATA'!Q345)),IF($B347="STD. DEVIATION",2,$F$1))))</f>
        <v/>
      </c>
      <c r="S347" s="1" t="str">
        <f>IF(OR($B347="",S$7=""),"",IF($B347="MEANS",INDEX('1-DATA'!$1:$1048576,$A346-1,COLUMN('1-DATA'!R345)),ROUND(INDEX('1-DATA'!$1:$1048576,IF(OR($B347="STD. DEVIATION",$C$1=1),$A347,$A347+1),COLUMN('1-DATA'!R345)),IF($B347="STD. DEVIATION",2,$F$1))))</f>
        <v/>
      </c>
      <c r="T347" s="1" t="str">
        <f>IF(OR($B347="",T$7=""),"",IF($B347="MEANS",INDEX('1-DATA'!$1:$1048576,$A346-1,COLUMN('1-DATA'!S345)),ROUND(INDEX('1-DATA'!$1:$1048576,IF(OR($B347="STD. DEVIATION",$C$1=1),$A347,$A347+1),COLUMN('1-DATA'!S345)),IF($B347="STD. DEVIATION",2,$F$1))))</f>
        <v/>
      </c>
      <c r="U347" s="1" t="str">
        <f>IF(OR($B347="",U$7=""),"",IF($B347="MEANS",INDEX('1-DATA'!$1:$1048576,$A346-1,COLUMN('1-DATA'!T345)),ROUND(INDEX('1-DATA'!$1:$1048576,IF(OR($B347="STD. DEVIATION",$C$1=1),$A347,$A347+1),COLUMN('1-DATA'!T345)),IF($B347="STD. DEVIATION",2,$F$1))))</f>
        <v/>
      </c>
      <c r="V347" s="1" t="str">
        <f>IF(OR($B347="",V$7=""),"",IF($B347="MEANS",INDEX('1-DATA'!$1:$1048576,$A346-1,COLUMN('1-DATA'!U345)),ROUND(INDEX('1-DATA'!$1:$1048576,IF(OR($B347="STD. DEVIATION",$C$1=1),$A347,$A347+1),COLUMN('1-DATA'!U345)),IF($B347="STD. DEVIATION",2,$F$1))))</f>
        <v/>
      </c>
      <c r="W347" s="1" t="str">
        <f>IF(OR($B347="",W$7=""),"",IF($B347="MEANS",INDEX('1-DATA'!$1:$1048576,$A346-1,COLUMN('1-DATA'!V345)),ROUND(INDEX('1-DATA'!$1:$1048576,IF(OR($B347="STD. DEVIATION",$C$1=1),$A347,$A347+1),COLUMN('1-DATA'!V345)),IF($B347="STD. DEVIATION",2,$F$1))))</f>
        <v/>
      </c>
      <c r="X347" s="1" t="str">
        <f>IF(OR($B347="",X$7=""),"",IF($B347="MEANS",INDEX('1-DATA'!$1:$1048576,$A346-1,COLUMN('1-DATA'!W345)),ROUND(INDEX('1-DATA'!$1:$1048576,IF(OR($B347="STD. DEVIATION",$C$1=1),$A347,$A347+1),COLUMN('1-DATA'!W345)),IF($B347="STD. DEVIATION",2,$F$1))))</f>
        <v/>
      </c>
      <c r="Y347" s="1" t="str">
        <f>IF(OR($B347="",Y$7=""),"",IF($B347="MEANS",INDEX('1-DATA'!$1:$1048576,$A346-1,COLUMN('1-DATA'!X345)),ROUND(INDEX('1-DATA'!$1:$1048576,IF(OR($B347="STD. DEVIATION",$C$1=1),$A347,$A347+1),COLUMN('1-DATA'!X345)),IF($B347="STD. DEVIATION",2,$F$1))))</f>
        <v/>
      </c>
      <c r="Z347" s="1" t="str">
        <f>IF(OR($B347="",Z$7=""),"",IF($B347="MEANS",INDEX('1-DATA'!$1:$1048576,$A346-1,COLUMN('1-DATA'!Y345)),ROUND(INDEX('1-DATA'!$1:$1048576,IF(OR($B347="STD. DEVIATION",$C$1=1),$A347,$A347+1),COLUMN('1-DATA'!Y345)),IF($B347="STD. DEVIATION",2,$F$1))))</f>
        <v/>
      </c>
      <c r="AA347" s="1" t="str">
        <f>IF(OR($B347="",AA$7=""),"",IF($B347="MEANS",INDEX('1-DATA'!$1:$1048576,$A346-1,COLUMN('1-DATA'!Z345)),ROUND(INDEX('1-DATA'!$1:$1048576,IF(OR($B347="STD. DEVIATION",$C$1=1),$A347,$A347+1),COLUMN('1-DATA'!Z345)),IF($B347="STD. DEVIATION",2,$F$1))))</f>
        <v/>
      </c>
      <c r="AB347" s="1" t="str">
        <f>IF(OR($B347="",AB$7=""),"",IF($B347="MEANS",INDEX('1-DATA'!$1:$1048576,$A346-1,COLUMN('1-DATA'!AA345)),ROUND(INDEX('1-DATA'!$1:$1048576,IF(OR($B347="STD. DEVIATION",$C$1=1),$A347,$A347+1),COLUMN('1-DATA'!AA345)),IF($B347="STD. DEVIATION",2,$F$1))))</f>
        <v/>
      </c>
      <c r="AC347" s="1" t="str">
        <f>IF(OR($B347="",AC$7=""),"",IF($B347="MEANS",INDEX('1-DATA'!$1:$1048576,$A346-1,COLUMN('1-DATA'!AB345)),ROUND(INDEX('1-DATA'!$1:$1048576,IF(OR($B347="STD. DEVIATION",$C$1=1),$A347,$A347+1),COLUMN('1-DATA'!AB345)),IF($B347="STD. DEVIATION",2,$F$1))))</f>
        <v/>
      </c>
      <c r="AD347" s="1" t="str">
        <f>IF(OR($B347="",AD$7=""),"",IF($B347="MEANS",INDEX('1-DATA'!$1:$1048576,$A346-1,COLUMN('1-DATA'!AC345)),ROUND(INDEX('1-DATA'!$1:$1048576,IF(OR($B347="STD. DEVIATION",$C$1=1),$A347,$A347+1),COLUMN('1-DATA'!AC345)),IF($B347="STD. DEVIATION",2,$F$1))))</f>
        <v/>
      </c>
      <c r="AE347" s="1" t="str">
        <f>IF(OR($B347="",AE$7=""),"",IF($B347="MEANS",INDEX('1-DATA'!$1:$1048576,$A346-1,COLUMN('1-DATA'!AD345)),ROUND(INDEX('1-DATA'!$1:$1048576,IF(OR($B347="STD. DEVIATION",$C$1=1),$A347,$A347+1),COLUMN('1-DATA'!AD345)),IF($B347="STD. DEVIATION",2,$F$1))))</f>
        <v/>
      </c>
      <c r="AF347" s="1" t="str">
        <f>IF(OR($B347="",AF$7=""),"",IF($B347="MEANS",INDEX('1-DATA'!$1:$1048576,$A346-1,COLUMN('1-DATA'!AE345)),ROUND(INDEX('1-DATA'!$1:$1048576,IF(OR($B347="STD. DEVIATION",$C$1=1),$A347,$A347+1),COLUMN('1-DATA'!AE345)),IF($B347="STD. DEVIATION",2,$F$1))))</f>
        <v/>
      </c>
      <c r="AG347" s="1" t="str">
        <f>IF(OR($B347="",AG$7=""),"",IF($B347="MEANS",INDEX('1-DATA'!$1:$1048576,$A346-1,COLUMN('1-DATA'!AF345)),ROUND(INDEX('1-DATA'!$1:$1048576,IF(OR($B347="STD. DEVIATION",$C$1=1),$A347,$A347+1),COLUMN('1-DATA'!AF345)),IF($B347="STD. DEVIATION",2,$F$1))))</f>
        <v/>
      </c>
      <c r="AH347" s="1" t="str">
        <f>IF(OR($B347="",AH$7=""),"",IF($B347="MEANS",INDEX('1-DATA'!$1:$1048576,$A346-1,COLUMN('1-DATA'!AG345)),ROUND(INDEX('1-DATA'!$1:$1048576,IF(OR($B347="STD. DEVIATION",$C$1=1),$A347,$A347+1),COLUMN('1-DATA'!AG345)),IF($B347="STD. DEVIATION",2,$F$1))))</f>
        <v/>
      </c>
      <c r="AI347" s="1" t="str">
        <f>IF(OR($B347="",AI$7=""),"",IF($B347="MEANS",INDEX('1-DATA'!$1:$1048576,$A346-1,COLUMN('1-DATA'!AH345)),ROUND(INDEX('1-DATA'!$1:$1048576,IF(OR($B347="STD. DEVIATION",$C$1=1),$A347,$A347+1),COLUMN('1-DATA'!AH345)),IF($B347="STD. DEVIATION",2,$F$1))))</f>
        <v/>
      </c>
      <c r="AJ347" s="1" t="str">
        <f>IF(OR($B347="",AJ$7=""),"",IF($B347="MEANS",INDEX('1-DATA'!$1:$1048576,$A346-1,COLUMN('1-DATA'!AI345)),ROUND(INDEX('1-DATA'!$1:$1048576,IF(OR($B347="STD. DEVIATION",$C$1=1),$A347,$A347+1),COLUMN('1-DATA'!AI345)),IF($B347="STD. DEVIATION",2,$F$1))))</f>
        <v/>
      </c>
      <c r="AK347" s="1" t="str">
        <f>IF(OR($B347="",AK$7=""),"",IF($B347="MEANS",INDEX('1-DATA'!$1:$1048576,$A346-1,COLUMN('1-DATA'!AJ345)),ROUND(INDEX('1-DATA'!$1:$1048576,IF(OR($B347="STD. DEVIATION",$C$1=1),$A347,$A347+1),COLUMN('1-DATA'!AJ345)),IF($B347="STD. DEVIATION",2,$F$1))))</f>
        <v/>
      </c>
      <c r="AL347" s="1" t="str">
        <f>IF(OR($B347="",AL$7=""),"",IF($B347="MEANS",INDEX('1-DATA'!$1:$1048576,$A346-1,COLUMN('1-DATA'!AK345)),ROUND(INDEX('1-DATA'!$1:$1048576,IF(OR($B347="STD. DEVIATION",$C$1=1),$A347,$A347+1),COLUMN('1-DATA'!AK345)),IF($B347="STD. DEVIATION",2,$F$1))))</f>
        <v/>
      </c>
      <c r="AM347" s="1" t="str">
        <f>IF(OR($B347="",AM$7=""),"",IF($B347="MEANS",INDEX('1-DATA'!$1:$1048576,$A346-1,COLUMN('1-DATA'!AL345)),ROUND(INDEX('1-DATA'!$1:$1048576,IF(OR($B347="STD. DEVIATION",$C$1=1),$A347,$A347+1),COLUMN('1-DATA'!AL345)),IF($B347="STD. DEVIATION",2,$F$1))))</f>
        <v/>
      </c>
      <c r="AN347" s="1" t="str">
        <f>IF(OR($B347="",AN$7=""),"",IF($B347="MEANS",INDEX('1-DATA'!$1:$1048576,$A346-1,COLUMN('1-DATA'!AM345)),ROUND(INDEX('1-DATA'!$1:$1048576,IF(OR($B347="STD. DEVIATION",$C$1=1),$A347,$A347+1),COLUMN('1-DATA'!AM345)),IF($B347="STD. DEVIATION",2,$F$1))))</f>
        <v/>
      </c>
      <c r="AO347" s="1" t="str">
        <f>IF(OR($B347="",AO$7=""),"",IF($B347="MEANS",INDEX('1-DATA'!$1:$1048576,$A346-1,COLUMN('1-DATA'!AN345)),ROUND(INDEX('1-DATA'!$1:$1048576,IF(OR($B347="STD. DEVIATION",$C$1=1),$A347,$A347+1),COLUMN('1-DATA'!AN345)),IF($B347="STD. DEVIATION",2,$F$1))))</f>
        <v/>
      </c>
      <c r="AP347" s="1" t="str">
        <f>IF(OR($B347="",AP$7=""),"",IF($B347="MEANS",INDEX('1-DATA'!$1:$1048576,$A346-1,COLUMN('1-DATA'!AO345)),ROUND(INDEX('1-DATA'!$1:$1048576,IF(OR($B347="STD. DEVIATION",$C$1=1),$A347,$A347+1),COLUMN('1-DATA'!AO345)),IF($B347="STD. DEVIATION",2,$F$1))))</f>
        <v/>
      </c>
      <c r="AQ347" s="1" t="str">
        <f>IF(OR($B347="",AQ$7=""),"",IF($B347="MEANS",INDEX('1-DATA'!$1:$1048576,$A346-1,COLUMN('1-DATA'!AP345)),ROUND(INDEX('1-DATA'!$1:$1048576,IF(OR($B347="STD. DEVIATION",$C$1=1),$A347,$A347+1),COLUMN('1-DATA'!AP345)),IF($B347="STD. DEVIATION",2,$F$1))))</f>
        <v/>
      </c>
      <c r="AR347" s="1" t="str">
        <f>IF(OR($B347="",AR$7=""),"",IF($B347="MEANS",INDEX('1-DATA'!$1:$1048576,$A346-1,COLUMN('1-DATA'!AQ345)),ROUND(INDEX('1-DATA'!$1:$1048576,IF(OR($B347="STD. DEVIATION",$C$1=1),$A347,$A347+1),COLUMN('1-DATA'!AQ345)),IF($B347="STD. DEVIATION",2,$F$1))))</f>
        <v/>
      </c>
      <c r="AS347" s="1" t="str">
        <f>IF(OR($B347="",AS$7=""),"",IF($B347="MEANS",INDEX('1-DATA'!$1:$1048576,$A346-1,COLUMN('1-DATA'!AR345)),ROUND(INDEX('1-DATA'!$1:$1048576,IF(OR($B347="STD. DEVIATION",$C$1=1),$A347,$A347+1),COLUMN('1-DATA'!AR345)),IF($B347="STD. DEVIATION",2,$F$1))))</f>
        <v/>
      </c>
      <c r="AT347" s="1" t="str">
        <f>IF(OR($B347="",AT$7=""),"",IF($B347="MEANS",INDEX('1-DATA'!$1:$1048576,$A346-1,COLUMN('1-DATA'!AS345)),ROUND(INDEX('1-DATA'!$1:$1048576,IF(OR($B347="STD. DEVIATION",$C$1=1),$A347,$A347+1),COLUMN('1-DATA'!AS345)),IF($B347="STD. DEVIATION",2,$F$1))))</f>
        <v/>
      </c>
      <c r="AU347" s="1" t="str">
        <f>IF(OR($B347="",AU$7=""),"",IF($B347="MEANS",INDEX('1-DATA'!$1:$1048576,$A346-1,COLUMN('1-DATA'!AT345)),ROUND(INDEX('1-DATA'!$1:$1048576,IF(OR($B347="STD. DEVIATION",$C$1=1),$A347,$A347+1),COLUMN('1-DATA'!AT345)),IF($B347="STD. DEVIATION",2,$F$1))))</f>
        <v/>
      </c>
      <c r="AV347" s="1" t="str">
        <f>IF(OR($B347="",AV$7=""),"",IF($B347="MEANS",INDEX('1-DATA'!$1:$1048576,$A346-1,COLUMN('1-DATA'!AU345)),ROUND(INDEX('1-DATA'!$1:$1048576,IF(OR($B347="STD. DEVIATION",$C$1=1),$A347,$A347+1),COLUMN('1-DATA'!AU345)),IF($B347="STD. DEVIATION",2,$F$1))))</f>
        <v/>
      </c>
      <c r="AW347" s="1" t="str">
        <f>IF(OR($B347="",AW$7=""),"",IF($B347="MEANS",INDEX('1-DATA'!$1:$1048576,$A346-1,COLUMN('1-DATA'!AV345)),ROUND(INDEX('1-DATA'!$1:$1048576,IF(OR($B347="STD. DEVIATION",$C$1=1),$A347,$A347+1),COLUMN('1-DATA'!AV345)),IF($B347="STD. DEVIATION",2,$F$1))))</f>
        <v/>
      </c>
      <c r="AX347" s="1" t="str">
        <f>IF(OR($B347="",AX$7=""),"",IF($B347="MEANS",INDEX('1-DATA'!$1:$1048576,$A346-1,COLUMN('1-DATA'!AW345)),ROUND(INDEX('1-DATA'!$1:$1048576,IF(OR($B347="STD. DEVIATION",$C$1=1),$A347,$A347+1),COLUMN('1-DATA'!AW345)),IF($B347="STD. DEVIATION",2,$F$1))))</f>
        <v/>
      </c>
      <c r="AY347" s="1" t="str">
        <f>IF(OR($B347="",AY$7=""),"",IF($B347="MEANS",INDEX('1-DATA'!$1:$1048576,$A346-1,COLUMN('1-DATA'!AX345)),ROUND(INDEX('1-DATA'!$1:$1048576,IF(OR($B347="STD. DEVIATION",$C$1=1),$A347,$A347+1),COLUMN('1-DATA'!AX345)),IF($B347="STD. DEVIATION",2,$F$1))))</f>
        <v/>
      </c>
      <c r="AZ347" s="1" t="str">
        <f>IF(OR($B347="",AZ$7=""),"",IF($B347="MEANS",INDEX('1-DATA'!$1:$1048576,$A346-1,COLUMN('1-DATA'!AY345)),ROUND(INDEX('1-DATA'!$1:$1048576,IF(OR($B347="STD. DEVIATION",$C$1=1),$A347,$A347+1),COLUMN('1-DATA'!AY345)),IF($B347="STD. DEVIATION",2,$F$1))))</f>
        <v/>
      </c>
    </row>
    <row r="348" spans="1:52" x14ac:dyDescent="0.25">
      <c r="A348" s="11">
        <f t="shared" si="5"/>
        <v>1030</v>
      </c>
      <c r="B348" s="1" t="str">
        <f>IF(B347="STD. DEVIATION",INDEX('1-DATA'!$1:$1048576,$A347-1,1),IF(INDEX('1-DATA'!$1:$1048576,$A348,1)&lt;&gt;"",INDEX('1-DATA'!$1:$1048576,$A348,1),""))</f>
        <v/>
      </c>
      <c r="C348" s="1" t="str">
        <f>IF(OR($B348="",C$7=""),"",IF($B348="MEANS",INDEX('1-DATA'!$1:$1048576,$A347-1,COLUMN('1-DATA'!B346)),ROUND(INDEX('1-DATA'!$1:$1048576,IF(OR($B348="STD. DEVIATION",$C$1=1),$A348,$A348+1),COLUMN('1-DATA'!B346)),IF($B348="STD. DEVIATION",2,$F$1))))</f>
        <v/>
      </c>
      <c r="D348" s="1" t="str">
        <f>IF(OR($B348="",D$7=""),"",IF($B348="MEANS",INDEX('1-DATA'!$1:$1048576,$A347-1,COLUMN('1-DATA'!C346)),ROUND(INDEX('1-DATA'!$1:$1048576,IF(OR($B348="STD. DEVIATION",$C$1=1),$A348,$A348+1),COLUMN('1-DATA'!C346)),IF($B348="STD. DEVIATION",2,$F$1))))</f>
        <v/>
      </c>
      <c r="E348" s="1" t="str">
        <f>IF(OR($B348="",E$7=""),"",IF($B348="MEANS",INDEX('1-DATA'!$1:$1048576,$A347-1,COLUMN('1-DATA'!D346)),ROUND(INDEX('1-DATA'!$1:$1048576,IF(OR($B348="STD. DEVIATION",$C$1=1),$A348,$A348+1),COLUMN('1-DATA'!D346)),IF($B348="STD. DEVIATION",2,$F$1))))</f>
        <v/>
      </c>
      <c r="F348" s="1" t="str">
        <f>IF(OR($B348="",F$7=""),"",IF($B348="MEANS",INDEX('1-DATA'!$1:$1048576,$A347-1,COLUMN('1-DATA'!E346)),ROUND(INDEX('1-DATA'!$1:$1048576,IF(OR($B348="STD. DEVIATION",$C$1=1),$A348,$A348+1),COLUMN('1-DATA'!E346)),IF($B348="STD. DEVIATION",2,$F$1))))</f>
        <v/>
      </c>
      <c r="G348" s="1" t="str">
        <f>IF(OR($B348="",G$7=""),"",IF($B348="MEANS",INDEX('1-DATA'!$1:$1048576,$A347-1,COLUMN('1-DATA'!F346)),ROUND(INDEX('1-DATA'!$1:$1048576,IF(OR($B348="STD. DEVIATION",$C$1=1),$A348,$A348+1),COLUMN('1-DATA'!F346)),IF($B348="STD. DEVIATION",2,$F$1))))</f>
        <v/>
      </c>
      <c r="H348" s="1" t="str">
        <f>IF(OR($B348="",H$7=""),"",IF($B348="MEANS",INDEX('1-DATA'!$1:$1048576,$A347-1,COLUMN('1-DATA'!G346)),ROUND(INDEX('1-DATA'!$1:$1048576,IF(OR($B348="STD. DEVIATION",$C$1=1),$A348,$A348+1),COLUMN('1-DATA'!G346)),IF($B348="STD. DEVIATION",2,$F$1))))</f>
        <v/>
      </c>
      <c r="I348" s="1" t="str">
        <f>IF(OR($B348="",I$7=""),"",IF($B348="MEANS",INDEX('1-DATA'!$1:$1048576,$A347-1,COLUMN('1-DATA'!H346)),ROUND(INDEX('1-DATA'!$1:$1048576,IF(OR($B348="STD. DEVIATION",$C$1=1),$A348,$A348+1),COLUMN('1-DATA'!H346)),IF($B348="STD. DEVIATION",2,$F$1))))</f>
        <v/>
      </c>
      <c r="J348" s="1" t="str">
        <f>IF(OR($B348="",J$7=""),"",IF($B348="MEANS",INDEX('1-DATA'!$1:$1048576,$A347-1,COLUMN('1-DATA'!I346)),ROUND(INDEX('1-DATA'!$1:$1048576,IF(OR($B348="STD. DEVIATION",$C$1=1),$A348,$A348+1),COLUMN('1-DATA'!I346)),IF($B348="STD. DEVIATION",2,$F$1))))</f>
        <v/>
      </c>
      <c r="K348" s="1" t="str">
        <f>IF(OR($B348="",K$7=""),"",IF($B348="MEANS",INDEX('1-DATA'!$1:$1048576,$A347-1,COLUMN('1-DATA'!J346)),ROUND(INDEX('1-DATA'!$1:$1048576,IF(OR($B348="STD. DEVIATION",$C$1=1),$A348,$A348+1),COLUMN('1-DATA'!J346)),IF($B348="STD. DEVIATION",2,$F$1))))</f>
        <v/>
      </c>
      <c r="L348" s="1" t="str">
        <f>IF(OR($B348="",L$7=""),"",IF($B348="MEANS",INDEX('1-DATA'!$1:$1048576,$A347-1,COLUMN('1-DATA'!K346)),ROUND(INDEX('1-DATA'!$1:$1048576,IF(OR($B348="STD. DEVIATION",$C$1=1),$A348,$A348+1),COLUMN('1-DATA'!K346)),IF($B348="STD. DEVIATION",2,$F$1))))</f>
        <v/>
      </c>
      <c r="M348" s="1" t="str">
        <f>IF(OR($B348="",M$7=""),"",IF($B348="MEANS",INDEX('1-DATA'!$1:$1048576,$A347-1,COLUMN('1-DATA'!L346)),ROUND(INDEX('1-DATA'!$1:$1048576,IF(OR($B348="STD. DEVIATION",$C$1=1),$A348,$A348+1),COLUMN('1-DATA'!L346)),IF($B348="STD. DEVIATION",2,$F$1))))</f>
        <v/>
      </c>
      <c r="N348" s="1" t="str">
        <f>IF(OR($B348="",N$7=""),"",IF($B348="MEANS",INDEX('1-DATA'!$1:$1048576,$A347-1,COLUMN('1-DATA'!M346)),ROUND(INDEX('1-DATA'!$1:$1048576,IF(OR($B348="STD. DEVIATION",$C$1=1),$A348,$A348+1),COLUMN('1-DATA'!M346)),IF($B348="STD. DEVIATION",2,$F$1))))</f>
        <v/>
      </c>
      <c r="O348" s="1" t="str">
        <f>IF(OR($B348="",O$7=""),"",IF($B348="MEANS",INDEX('1-DATA'!$1:$1048576,$A347-1,COLUMN('1-DATA'!N346)),ROUND(INDEX('1-DATA'!$1:$1048576,IF(OR($B348="STD. DEVIATION",$C$1=1),$A348,$A348+1),COLUMN('1-DATA'!N346)),IF($B348="STD. DEVIATION",2,$F$1))))</f>
        <v/>
      </c>
      <c r="P348" s="1" t="str">
        <f>IF(OR($B348="",P$7=""),"",IF($B348="MEANS",INDEX('1-DATA'!$1:$1048576,$A347-1,COLUMN('1-DATA'!O346)),ROUND(INDEX('1-DATA'!$1:$1048576,IF(OR($B348="STD. DEVIATION",$C$1=1),$A348,$A348+1),COLUMN('1-DATA'!O346)),IF($B348="STD. DEVIATION",2,$F$1))))</f>
        <v/>
      </c>
      <c r="Q348" s="1" t="str">
        <f>IF(OR($B348="",Q$7=""),"",IF($B348="MEANS",INDEX('1-DATA'!$1:$1048576,$A347-1,COLUMN('1-DATA'!P346)),ROUND(INDEX('1-DATA'!$1:$1048576,IF(OR($B348="STD. DEVIATION",$C$1=1),$A348,$A348+1),COLUMN('1-DATA'!P346)),IF($B348="STD. DEVIATION",2,$F$1))))</f>
        <v/>
      </c>
      <c r="R348" s="1" t="str">
        <f>IF(OR($B348="",R$7=""),"",IF($B348="MEANS",INDEX('1-DATA'!$1:$1048576,$A347-1,COLUMN('1-DATA'!Q346)),ROUND(INDEX('1-DATA'!$1:$1048576,IF(OR($B348="STD. DEVIATION",$C$1=1),$A348,$A348+1),COLUMN('1-DATA'!Q346)),IF($B348="STD. DEVIATION",2,$F$1))))</f>
        <v/>
      </c>
      <c r="S348" s="1" t="str">
        <f>IF(OR($B348="",S$7=""),"",IF($B348="MEANS",INDEX('1-DATA'!$1:$1048576,$A347-1,COLUMN('1-DATA'!R346)),ROUND(INDEX('1-DATA'!$1:$1048576,IF(OR($B348="STD. DEVIATION",$C$1=1),$A348,$A348+1),COLUMN('1-DATA'!R346)),IF($B348="STD. DEVIATION",2,$F$1))))</f>
        <v/>
      </c>
      <c r="T348" s="1" t="str">
        <f>IF(OR($B348="",T$7=""),"",IF($B348="MEANS",INDEX('1-DATA'!$1:$1048576,$A347-1,COLUMN('1-DATA'!S346)),ROUND(INDEX('1-DATA'!$1:$1048576,IF(OR($B348="STD. DEVIATION",$C$1=1),$A348,$A348+1),COLUMN('1-DATA'!S346)),IF($B348="STD. DEVIATION",2,$F$1))))</f>
        <v/>
      </c>
      <c r="U348" s="1" t="str">
        <f>IF(OR($B348="",U$7=""),"",IF($B348="MEANS",INDEX('1-DATA'!$1:$1048576,$A347-1,COLUMN('1-DATA'!T346)),ROUND(INDEX('1-DATA'!$1:$1048576,IF(OR($B348="STD. DEVIATION",$C$1=1),$A348,$A348+1),COLUMN('1-DATA'!T346)),IF($B348="STD. DEVIATION",2,$F$1))))</f>
        <v/>
      </c>
      <c r="V348" s="1" t="str">
        <f>IF(OR($B348="",V$7=""),"",IF($B348="MEANS",INDEX('1-DATA'!$1:$1048576,$A347-1,COLUMN('1-DATA'!U346)),ROUND(INDEX('1-DATA'!$1:$1048576,IF(OR($B348="STD. DEVIATION",$C$1=1),$A348,$A348+1),COLUMN('1-DATA'!U346)),IF($B348="STD. DEVIATION",2,$F$1))))</f>
        <v/>
      </c>
      <c r="W348" s="1" t="str">
        <f>IF(OR($B348="",W$7=""),"",IF($B348="MEANS",INDEX('1-DATA'!$1:$1048576,$A347-1,COLUMN('1-DATA'!V346)),ROUND(INDEX('1-DATA'!$1:$1048576,IF(OR($B348="STD. DEVIATION",$C$1=1),$A348,$A348+1),COLUMN('1-DATA'!V346)),IF($B348="STD. DEVIATION",2,$F$1))))</f>
        <v/>
      </c>
      <c r="X348" s="1" t="str">
        <f>IF(OR($B348="",X$7=""),"",IF($B348="MEANS",INDEX('1-DATA'!$1:$1048576,$A347-1,COLUMN('1-DATA'!W346)),ROUND(INDEX('1-DATA'!$1:$1048576,IF(OR($B348="STD. DEVIATION",$C$1=1),$A348,$A348+1),COLUMN('1-DATA'!W346)),IF($B348="STD. DEVIATION",2,$F$1))))</f>
        <v/>
      </c>
      <c r="Y348" s="1" t="str">
        <f>IF(OR($B348="",Y$7=""),"",IF($B348="MEANS",INDEX('1-DATA'!$1:$1048576,$A347-1,COLUMN('1-DATA'!X346)),ROUND(INDEX('1-DATA'!$1:$1048576,IF(OR($B348="STD. DEVIATION",$C$1=1),$A348,$A348+1),COLUMN('1-DATA'!X346)),IF($B348="STD. DEVIATION",2,$F$1))))</f>
        <v/>
      </c>
      <c r="Z348" s="1" t="str">
        <f>IF(OR($B348="",Z$7=""),"",IF($B348="MEANS",INDEX('1-DATA'!$1:$1048576,$A347-1,COLUMN('1-DATA'!Y346)),ROUND(INDEX('1-DATA'!$1:$1048576,IF(OR($B348="STD. DEVIATION",$C$1=1),$A348,$A348+1),COLUMN('1-DATA'!Y346)),IF($B348="STD. DEVIATION",2,$F$1))))</f>
        <v/>
      </c>
      <c r="AA348" s="1" t="str">
        <f>IF(OR($B348="",AA$7=""),"",IF($B348="MEANS",INDEX('1-DATA'!$1:$1048576,$A347-1,COLUMN('1-DATA'!Z346)),ROUND(INDEX('1-DATA'!$1:$1048576,IF(OR($B348="STD. DEVIATION",$C$1=1),$A348,$A348+1),COLUMN('1-DATA'!Z346)),IF($B348="STD. DEVIATION",2,$F$1))))</f>
        <v/>
      </c>
      <c r="AB348" s="1" t="str">
        <f>IF(OR($B348="",AB$7=""),"",IF($B348="MEANS",INDEX('1-DATA'!$1:$1048576,$A347-1,COLUMN('1-DATA'!AA346)),ROUND(INDEX('1-DATA'!$1:$1048576,IF(OR($B348="STD. DEVIATION",$C$1=1),$A348,$A348+1),COLUMN('1-DATA'!AA346)),IF($B348="STD. DEVIATION",2,$F$1))))</f>
        <v/>
      </c>
      <c r="AC348" s="1" t="str">
        <f>IF(OR($B348="",AC$7=""),"",IF($B348="MEANS",INDEX('1-DATA'!$1:$1048576,$A347-1,COLUMN('1-DATA'!AB346)),ROUND(INDEX('1-DATA'!$1:$1048576,IF(OR($B348="STD. DEVIATION",$C$1=1),$A348,$A348+1),COLUMN('1-DATA'!AB346)),IF($B348="STD. DEVIATION",2,$F$1))))</f>
        <v/>
      </c>
      <c r="AD348" s="1" t="str">
        <f>IF(OR($B348="",AD$7=""),"",IF($B348="MEANS",INDEX('1-DATA'!$1:$1048576,$A347-1,COLUMN('1-DATA'!AC346)),ROUND(INDEX('1-DATA'!$1:$1048576,IF(OR($B348="STD. DEVIATION",$C$1=1),$A348,$A348+1),COLUMN('1-DATA'!AC346)),IF($B348="STD. DEVIATION",2,$F$1))))</f>
        <v/>
      </c>
      <c r="AE348" s="1" t="str">
        <f>IF(OR($B348="",AE$7=""),"",IF($B348="MEANS",INDEX('1-DATA'!$1:$1048576,$A347-1,COLUMN('1-DATA'!AD346)),ROUND(INDEX('1-DATA'!$1:$1048576,IF(OR($B348="STD. DEVIATION",$C$1=1),$A348,$A348+1),COLUMN('1-DATA'!AD346)),IF($B348="STD. DEVIATION",2,$F$1))))</f>
        <v/>
      </c>
      <c r="AF348" s="1" t="str">
        <f>IF(OR($B348="",AF$7=""),"",IF($B348="MEANS",INDEX('1-DATA'!$1:$1048576,$A347-1,COLUMN('1-DATA'!AE346)),ROUND(INDEX('1-DATA'!$1:$1048576,IF(OR($B348="STD. DEVIATION",$C$1=1),$A348,$A348+1),COLUMN('1-DATA'!AE346)),IF($B348="STD. DEVIATION",2,$F$1))))</f>
        <v/>
      </c>
      <c r="AG348" s="1" t="str">
        <f>IF(OR($B348="",AG$7=""),"",IF($B348="MEANS",INDEX('1-DATA'!$1:$1048576,$A347-1,COLUMN('1-DATA'!AF346)),ROUND(INDEX('1-DATA'!$1:$1048576,IF(OR($B348="STD. DEVIATION",$C$1=1),$A348,$A348+1),COLUMN('1-DATA'!AF346)),IF($B348="STD. DEVIATION",2,$F$1))))</f>
        <v/>
      </c>
      <c r="AH348" s="1" t="str">
        <f>IF(OR($B348="",AH$7=""),"",IF($B348="MEANS",INDEX('1-DATA'!$1:$1048576,$A347-1,COLUMN('1-DATA'!AG346)),ROUND(INDEX('1-DATA'!$1:$1048576,IF(OR($B348="STD. DEVIATION",$C$1=1),$A348,$A348+1),COLUMN('1-DATA'!AG346)),IF($B348="STD. DEVIATION",2,$F$1))))</f>
        <v/>
      </c>
      <c r="AI348" s="1" t="str">
        <f>IF(OR($B348="",AI$7=""),"",IF($B348="MEANS",INDEX('1-DATA'!$1:$1048576,$A347-1,COLUMN('1-DATA'!AH346)),ROUND(INDEX('1-DATA'!$1:$1048576,IF(OR($B348="STD. DEVIATION",$C$1=1),$A348,$A348+1),COLUMN('1-DATA'!AH346)),IF($B348="STD. DEVIATION",2,$F$1))))</f>
        <v/>
      </c>
      <c r="AJ348" s="1" t="str">
        <f>IF(OR($B348="",AJ$7=""),"",IF($B348="MEANS",INDEX('1-DATA'!$1:$1048576,$A347-1,COLUMN('1-DATA'!AI346)),ROUND(INDEX('1-DATA'!$1:$1048576,IF(OR($B348="STD. DEVIATION",$C$1=1),$A348,$A348+1),COLUMN('1-DATA'!AI346)),IF($B348="STD. DEVIATION",2,$F$1))))</f>
        <v/>
      </c>
      <c r="AK348" s="1" t="str">
        <f>IF(OR($B348="",AK$7=""),"",IF($B348="MEANS",INDEX('1-DATA'!$1:$1048576,$A347-1,COLUMN('1-DATA'!AJ346)),ROUND(INDEX('1-DATA'!$1:$1048576,IF(OR($B348="STD. DEVIATION",$C$1=1),$A348,$A348+1),COLUMN('1-DATA'!AJ346)),IF($B348="STD. DEVIATION",2,$F$1))))</f>
        <v/>
      </c>
      <c r="AL348" s="1" t="str">
        <f>IF(OR($B348="",AL$7=""),"",IF($B348="MEANS",INDEX('1-DATA'!$1:$1048576,$A347-1,COLUMN('1-DATA'!AK346)),ROUND(INDEX('1-DATA'!$1:$1048576,IF(OR($B348="STD. DEVIATION",$C$1=1),$A348,$A348+1),COLUMN('1-DATA'!AK346)),IF($B348="STD. DEVIATION",2,$F$1))))</f>
        <v/>
      </c>
      <c r="AM348" s="1" t="str">
        <f>IF(OR($B348="",AM$7=""),"",IF($B348="MEANS",INDEX('1-DATA'!$1:$1048576,$A347-1,COLUMN('1-DATA'!AL346)),ROUND(INDEX('1-DATA'!$1:$1048576,IF(OR($B348="STD. DEVIATION",$C$1=1),$A348,$A348+1),COLUMN('1-DATA'!AL346)),IF($B348="STD. DEVIATION",2,$F$1))))</f>
        <v/>
      </c>
      <c r="AN348" s="1" t="str">
        <f>IF(OR($B348="",AN$7=""),"",IF($B348="MEANS",INDEX('1-DATA'!$1:$1048576,$A347-1,COLUMN('1-DATA'!AM346)),ROUND(INDEX('1-DATA'!$1:$1048576,IF(OR($B348="STD. DEVIATION",$C$1=1),$A348,$A348+1),COLUMN('1-DATA'!AM346)),IF($B348="STD. DEVIATION",2,$F$1))))</f>
        <v/>
      </c>
      <c r="AO348" s="1" t="str">
        <f>IF(OR($B348="",AO$7=""),"",IF($B348="MEANS",INDEX('1-DATA'!$1:$1048576,$A347-1,COLUMN('1-DATA'!AN346)),ROUND(INDEX('1-DATA'!$1:$1048576,IF(OR($B348="STD. DEVIATION",$C$1=1),$A348,$A348+1),COLUMN('1-DATA'!AN346)),IF($B348="STD. DEVIATION",2,$F$1))))</f>
        <v/>
      </c>
      <c r="AP348" s="1" t="str">
        <f>IF(OR($B348="",AP$7=""),"",IF($B348="MEANS",INDEX('1-DATA'!$1:$1048576,$A347-1,COLUMN('1-DATA'!AO346)),ROUND(INDEX('1-DATA'!$1:$1048576,IF(OR($B348="STD. DEVIATION",$C$1=1),$A348,$A348+1),COLUMN('1-DATA'!AO346)),IF($B348="STD. DEVIATION",2,$F$1))))</f>
        <v/>
      </c>
      <c r="AQ348" s="1" t="str">
        <f>IF(OR($B348="",AQ$7=""),"",IF($B348="MEANS",INDEX('1-DATA'!$1:$1048576,$A347-1,COLUMN('1-DATA'!AP346)),ROUND(INDEX('1-DATA'!$1:$1048576,IF(OR($B348="STD. DEVIATION",$C$1=1),$A348,$A348+1),COLUMN('1-DATA'!AP346)),IF($B348="STD. DEVIATION",2,$F$1))))</f>
        <v/>
      </c>
      <c r="AR348" s="1" t="str">
        <f>IF(OR($B348="",AR$7=""),"",IF($B348="MEANS",INDEX('1-DATA'!$1:$1048576,$A347-1,COLUMN('1-DATA'!AQ346)),ROUND(INDEX('1-DATA'!$1:$1048576,IF(OR($B348="STD. DEVIATION",$C$1=1),$A348,$A348+1),COLUMN('1-DATA'!AQ346)),IF($B348="STD. DEVIATION",2,$F$1))))</f>
        <v/>
      </c>
      <c r="AS348" s="1" t="str">
        <f>IF(OR($B348="",AS$7=""),"",IF($B348="MEANS",INDEX('1-DATA'!$1:$1048576,$A347-1,COLUMN('1-DATA'!AR346)),ROUND(INDEX('1-DATA'!$1:$1048576,IF(OR($B348="STD. DEVIATION",$C$1=1),$A348,$A348+1),COLUMN('1-DATA'!AR346)),IF($B348="STD. DEVIATION",2,$F$1))))</f>
        <v/>
      </c>
      <c r="AT348" s="1" t="str">
        <f>IF(OR($B348="",AT$7=""),"",IF($B348="MEANS",INDEX('1-DATA'!$1:$1048576,$A347-1,COLUMN('1-DATA'!AS346)),ROUND(INDEX('1-DATA'!$1:$1048576,IF(OR($B348="STD. DEVIATION",$C$1=1),$A348,$A348+1),COLUMN('1-DATA'!AS346)),IF($B348="STD. DEVIATION",2,$F$1))))</f>
        <v/>
      </c>
      <c r="AU348" s="1" t="str">
        <f>IF(OR($B348="",AU$7=""),"",IF($B348="MEANS",INDEX('1-DATA'!$1:$1048576,$A347-1,COLUMN('1-DATA'!AT346)),ROUND(INDEX('1-DATA'!$1:$1048576,IF(OR($B348="STD. DEVIATION",$C$1=1),$A348,$A348+1),COLUMN('1-DATA'!AT346)),IF($B348="STD. DEVIATION",2,$F$1))))</f>
        <v/>
      </c>
      <c r="AV348" s="1" t="str">
        <f>IF(OR($B348="",AV$7=""),"",IF($B348="MEANS",INDEX('1-DATA'!$1:$1048576,$A347-1,COLUMN('1-DATA'!AU346)),ROUND(INDEX('1-DATA'!$1:$1048576,IF(OR($B348="STD. DEVIATION",$C$1=1),$A348,$A348+1),COLUMN('1-DATA'!AU346)),IF($B348="STD. DEVIATION",2,$F$1))))</f>
        <v/>
      </c>
      <c r="AW348" s="1" t="str">
        <f>IF(OR($B348="",AW$7=""),"",IF($B348="MEANS",INDEX('1-DATA'!$1:$1048576,$A347-1,COLUMN('1-DATA'!AV346)),ROUND(INDEX('1-DATA'!$1:$1048576,IF(OR($B348="STD. DEVIATION",$C$1=1),$A348,$A348+1),COLUMN('1-DATA'!AV346)),IF($B348="STD. DEVIATION",2,$F$1))))</f>
        <v/>
      </c>
      <c r="AX348" s="1" t="str">
        <f>IF(OR($B348="",AX$7=""),"",IF($B348="MEANS",INDEX('1-DATA'!$1:$1048576,$A347-1,COLUMN('1-DATA'!AW346)),ROUND(INDEX('1-DATA'!$1:$1048576,IF(OR($B348="STD. DEVIATION",$C$1=1),$A348,$A348+1),COLUMN('1-DATA'!AW346)),IF($B348="STD. DEVIATION",2,$F$1))))</f>
        <v/>
      </c>
      <c r="AY348" s="1" t="str">
        <f>IF(OR($B348="",AY$7=""),"",IF($B348="MEANS",INDEX('1-DATA'!$1:$1048576,$A347-1,COLUMN('1-DATA'!AX346)),ROUND(INDEX('1-DATA'!$1:$1048576,IF(OR($B348="STD. DEVIATION",$C$1=1),$A348,$A348+1),COLUMN('1-DATA'!AX346)),IF($B348="STD. DEVIATION",2,$F$1))))</f>
        <v/>
      </c>
      <c r="AZ348" s="1" t="str">
        <f>IF(OR($B348="",AZ$7=""),"",IF($B348="MEANS",INDEX('1-DATA'!$1:$1048576,$A347-1,COLUMN('1-DATA'!AY346)),ROUND(INDEX('1-DATA'!$1:$1048576,IF(OR($B348="STD. DEVIATION",$C$1=1),$A348,$A348+1),COLUMN('1-DATA'!AY346)),IF($B348="STD. DEVIATION",2,$F$1))))</f>
        <v/>
      </c>
    </row>
    <row r="349" spans="1:52" x14ac:dyDescent="0.25">
      <c r="A349" s="11">
        <f t="shared" si="5"/>
        <v>1033</v>
      </c>
      <c r="B349" s="1" t="str">
        <f>IF(B348="STD. DEVIATION",INDEX('1-DATA'!$1:$1048576,$A348-1,1),IF(INDEX('1-DATA'!$1:$1048576,$A349,1)&lt;&gt;"",INDEX('1-DATA'!$1:$1048576,$A349,1),""))</f>
        <v/>
      </c>
      <c r="C349" s="1" t="str">
        <f>IF(OR($B349="",C$7=""),"",IF($B349="MEANS",INDEX('1-DATA'!$1:$1048576,$A348-1,COLUMN('1-DATA'!B347)),ROUND(INDEX('1-DATA'!$1:$1048576,IF(OR($B349="STD. DEVIATION",$C$1=1),$A349,$A349+1),COLUMN('1-DATA'!B347)),IF($B349="STD. DEVIATION",2,$F$1))))</f>
        <v/>
      </c>
      <c r="D349" s="1" t="str">
        <f>IF(OR($B349="",D$7=""),"",IF($B349="MEANS",INDEX('1-DATA'!$1:$1048576,$A348-1,COLUMN('1-DATA'!C347)),ROUND(INDEX('1-DATA'!$1:$1048576,IF(OR($B349="STD. DEVIATION",$C$1=1),$A349,$A349+1),COLUMN('1-DATA'!C347)),IF($B349="STD. DEVIATION",2,$F$1))))</f>
        <v/>
      </c>
      <c r="E349" s="1" t="str">
        <f>IF(OR($B349="",E$7=""),"",IF($B349="MEANS",INDEX('1-DATA'!$1:$1048576,$A348-1,COLUMN('1-DATA'!D347)),ROUND(INDEX('1-DATA'!$1:$1048576,IF(OR($B349="STD. DEVIATION",$C$1=1),$A349,$A349+1),COLUMN('1-DATA'!D347)),IF($B349="STD. DEVIATION",2,$F$1))))</f>
        <v/>
      </c>
      <c r="F349" s="1" t="str">
        <f>IF(OR($B349="",F$7=""),"",IF($B349="MEANS",INDEX('1-DATA'!$1:$1048576,$A348-1,COLUMN('1-DATA'!E347)),ROUND(INDEX('1-DATA'!$1:$1048576,IF(OR($B349="STD. DEVIATION",$C$1=1),$A349,$A349+1),COLUMN('1-DATA'!E347)),IF($B349="STD. DEVIATION",2,$F$1))))</f>
        <v/>
      </c>
      <c r="G349" s="1" t="str">
        <f>IF(OR($B349="",G$7=""),"",IF($B349="MEANS",INDEX('1-DATA'!$1:$1048576,$A348-1,COLUMN('1-DATA'!F347)),ROUND(INDEX('1-DATA'!$1:$1048576,IF(OR($B349="STD. DEVIATION",$C$1=1),$A349,$A349+1),COLUMN('1-DATA'!F347)),IF($B349="STD. DEVIATION",2,$F$1))))</f>
        <v/>
      </c>
      <c r="H349" s="1" t="str">
        <f>IF(OR($B349="",H$7=""),"",IF($B349="MEANS",INDEX('1-DATA'!$1:$1048576,$A348-1,COLUMN('1-DATA'!G347)),ROUND(INDEX('1-DATA'!$1:$1048576,IF(OR($B349="STD. DEVIATION",$C$1=1),$A349,$A349+1),COLUMN('1-DATA'!G347)),IF($B349="STD. DEVIATION",2,$F$1))))</f>
        <v/>
      </c>
      <c r="I349" s="1" t="str">
        <f>IF(OR($B349="",I$7=""),"",IF($B349="MEANS",INDEX('1-DATA'!$1:$1048576,$A348-1,COLUMN('1-DATA'!H347)),ROUND(INDEX('1-DATA'!$1:$1048576,IF(OR($B349="STD. DEVIATION",$C$1=1),$A349,$A349+1),COLUMN('1-DATA'!H347)),IF($B349="STD. DEVIATION",2,$F$1))))</f>
        <v/>
      </c>
      <c r="J349" s="1" t="str">
        <f>IF(OR($B349="",J$7=""),"",IF($B349="MEANS",INDEX('1-DATA'!$1:$1048576,$A348-1,COLUMN('1-DATA'!I347)),ROUND(INDEX('1-DATA'!$1:$1048576,IF(OR($B349="STD. DEVIATION",$C$1=1),$A349,$A349+1),COLUMN('1-DATA'!I347)),IF($B349="STD. DEVIATION",2,$F$1))))</f>
        <v/>
      </c>
      <c r="K349" s="1" t="str">
        <f>IF(OR($B349="",K$7=""),"",IF($B349="MEANS",INDEX('1-DATA'!$1:$1048576,$A348-1,COLUMN('1-DATA'!J347)),ROUND(INDEX('1-DATA'!$1:$1048576,IF(OR($B349="STD. DEVIATION",$C$1=1),$A349,$A349+1),COLUMN('1-DATA'!J347)),IF($B349="STD. DEVIATION",2,$F$1))))</f>
        <v/>
      </c>
      <c r="L349" s="1" t="str">
        <f>IF(OR($B349="",L$7=""),"",IF($B349="MEANS",INDEX('1-DATA'!$1:$1048576,$A348-1,COLUMN('1-DATA'!K347)),ROUND(INDEX('1-DATA'!$1:$1048576,IF(OR($B349="STD. DEVIATION",$C$1=1),$A349,$A349+1),COLUMN('1-DATA'!K347)),IF($B349="STD. DEVIATION",2,$F$1))))</f>
        <v/>
      </c>
      <c r="M349" s="1" t="str">
        <f>IF(OR($B349="",M$7=""),"",IF($B349="MEANS",INDEX('1-DATA'!$1:$1048576,$A348-1,COLUMN('1-DATA'!L347)),ROUND(INDEX('1-DATA'!$1:$1048576,IF(OR($B349="STD. DEVIATION",$C$1=1),$A349,$A349+1),COLUMN('1-DATA'!L347)),IF($B349="STD. DEVIATION",2,$F$1))))</f>
        <v/>
      </c>
      <c r="N349" s="1" t="str">
        <f>IF(OR($B349="",N$7=""),"",IF($B349="MEANS",INDEX('1-DATA'!$1:$1048576,$A348-1,COLUMN('1-DATA'!M347)),ROUND(INDEX('1-DATA'!$1:$1048576,IF(OR($B349="STD. DEVIATION",$C$1=1),$A349,$A349+1),COLUMN('1-DATA'!M347)),IF($B349="STD. DEVIATION",2,$F$1))))</f>
        <v/>
      </c>
      <c r="O349" s="1" t="str">
        <f>IF(OR($B349="",O$7=""),"",IF($B349="MEANS",INDEX('1-DATA'!$1:$1048576,$A348-1,COLUMN('1-DATA'!N347)),ROUND(INDEX('1-DATA'!$1:$1048576,IF(OR($B349="STD. DEVIATION",$C$1=1),$A349,$A349+1),COLUMN('1-DATA'!N347)),IF($B349="STD. DEVIATION",2,$F$1))))</f>
        <v/>
      </c>
      <c r="P349" s="1" t="str">
        <f>IF(OR($B349="",P$7=""),"",IF($B349="MEANS",INDEX('1-DATA'!$1:$1048576,$A348-1,COLUMN('1-DATA'!O347)),ROUND(INDEX('1-DATA'!$1:$1048576,IF(OR($B349="STD. DEVIATION",$C$1=1),$A349,$A349+1),COLUMN('1-DATA'!O347)),IF($B349="STD. DEVIATION",2,$F$1))))</f>
        <v/>
      </c>
      <c r="Q349" s="1" t="str">
        <f>IF(OR($B349="",Q$7=""),"",IF($B349="MEANS",INDEX('1-DATA'!$1:$1048576,$A348-1,COLUMN('1-DATA'!P347)),ROUND(INDEX('1-DATA'!$1:$1048576,IF(OR($B349="STD. DEVIATION",$C$1=1),$A349,$A349+1),COLUMN('1-DATA'!P347)),IF($B349="STD. DEVIATION",2,$F$1))))</f>
        <v/>
      </c>
      <c r="R349" s="1" t="str">
        <f>IF(OR($B349="",R$7=""),"",IF($B349="MEANS",INDEX('1-DATA'!$1:$1048576,$A348-1,COLUMN('1-DATA'!Q347)),ROUND(INDEX('1-DATA'!$1:$1048576,IF(OR($B349="STD. DEVIATION",$C$1=1),$A349,$A349+1),COLUMN('1-DATA'!Q347)),IF($B349="STD. DEVIATION",2,$F$1))))</f>
        <v/>
      </c>
      <c r="S349" s="1" t="str">
        <f>IF(OR($B349="",S$7=""),"",IF($B349="MEANS",INDEX('1-DATA'!$1:$1048576,$A348-1,COLUMN('1-DATA'!R347)),ROUND(INDEX('1-DATA'!$1:$1048576,IF(OR($B349="STD. DEVIATION",$C$1=1),$A349,$A349+1),COLUMN('1-DATA'!R347)),IF($B349="STD. DEVIATION",2,$F$1))))</f>
        <v/>
      </c>
      <c r="T349" s="1" t="str">
        <f>IF(OR($B349="",T$7=""),"",IF($B349="MEANS",INDEX('1-DATA'!$1:$1048576,$A348-1,COLUMN('1-DATA'!S347)),ROUND(INDEX('1-DATA'!$1:$1048576,IF(OR($B349="STD. DEVIATION",$C$1=1),$A349,$A349+1),COLUMN('1-DATA'!S347)),IF($B349="STD. DEVIATION",2,$F$1))))</f>
        <v/>
      </c>
      <c r="U349" s="1" t="str">
        <f>IF(OR($B349="",U$7=""),"",IF($B349="MEANS",INDEX('1-DATA'!$1:$1048576,$A348-1,COLUMN('1-DATA'!T347)),ROUND(INDEX('1-DATA'!$1:$1048576,IF(OR($B349="STD. DEVIATION",$C$1=1),$A349,$A349+1),COLUMN('1-DATA'!T347)),IF($B349="STD. DEVIATION",2,$F$1))))</f>
        <v/>
      </c>
      <c r="V349" s="1" t="str">
        <f>IF(OR($B349="",V$7=""),"",IF($B349="MEANS",INDEX('1-DATA'!$1:$1048576,$A348-1,COLUMN('1-DATA'!U347)),ROUND(INDEX('1-DATA'!$1:$1048576,IF(OR($B349="STD. DEVIATION",$C$1=1),$A349,$A349+1),COLUMN('1-DATA'!U347)),IF($B349="STD. DEVIATION",2,$F$1))))</f>
        <v/>
      </c>
      <c r="W349" s="1" t="str">
        <f>IF(OR($B349="",W$7=""),"",IF($B349="MEANS",INDEX('1-DATA'!$1:$1048576,$A348-1,COLUMN('1-DATA'!V347)),ROUND(INDEX('1-DATA'!$1:$1048576,IF(OR($B349="STD. DEVIATION",$C$1=1),$A349,$A349+1),COLUMN('1-DATA'!V347)),IF($B349="STD. DEVIATION",2,$F$1))))</f>
        <v/>
      </c>
      <c r="X349" s="1" t="str">
        <f>IF(OR($B349="",X$7=""),"",IF($B349="MEANS",INDEX('1-DATA'!$1:$1048576,$A348-1,COLUMN('1-DATA'!W347)),ROUND(INDEX('1-DATA'!$1:$1048576,IF(OR($B349="STD. DEVIATION",$C$1=1),$A349,$A349+1),COLUMN('1-DATA'!W347)),IF($B349="STD. DEVIATION",2,$F$1))))</f>
        <v/>
      </c>
      <c r="Y349" s="1" t="str">
        <f>IF(OR($B349="",Y$7=""),"",IF($B349="MEANS",INDEX('1-DATA'!$1:$1048576,$A348-1,COLUMN('1-DATA'!X347)),ROUND(INDEX('1-DATA'!$1:$1048576,IF(OR($B349="STD. DEVIATION",$C$1=1),$A349,$A349+1),COLUMN('1-DATA'!X347)),IF($B349="STD. DEVIATION",2,$F$1))))</f>
        <v/>
      </c>
      <c r="Z349" s="1" t="str">
        <f>IF(OR($B349="",Z$7=""),"",IF($B349="MEANS",INDEX('1-DATA'!$1:$1048576,$A348-1,COLUMN('1-DATA'!Y347)),ROUND(INDEX('1-DATA'!$1:$1048576,IF(OR($B349="STD. DEVIATION",$C$1=1),$A349,$A349+1),COLUMN('1-DATA'!Y347)),IF($B349="STD. DEVIATION",2,$F$1))))</f>
        <v/>
      </c>
      <c r="AA349" s="1" t="str">
        <f>IF(OR($B349="",AA$7=""),"",IF($B349="MEANS",INDEX('1-DATA'!$1:$1048576,$A348-1,COLUMN('1-DATA'!Z347)),ROUND(INDEX('1-DATA'!$1:$1048576,IF(OR($B349="STD. DEVIATION",$C$1=1),$A349,$A349+1),COLUMN('1-DATA'!Z347)),IF($B349="STD. DEVIATION",2,$F$1))))</f>
        <v/>
      </c>
      <c r="AB349" s="1" t="str">
        <f>IF(OR($B349="",AB$7=""),"",IF($B349="MEANS",INDEX('1-DATA'!$1:$1048576,$A348-1,COLUMN('1-DATA'!AA347)),ROUND(INDEX('1-DATA'!$1:$1048576,IF(OR($B349="STD. DEVIATION",$C$1=1),$A349,$A349+1),COLUMN('1-DATA'!AA347)),IF($B349="STD. DEVIATION",2,$F$1))))</f>
        <v/>
      </c>
      <c r="AC349" s="1" t="str">
        <f>IF(OR($B349="",AC$7=""),"",IF($B349="MEANS",INDEX('1-DATA'!$1:$1048576,$A348-1,COLUMN('1-DATA'!AB347)),ROUND(INDEX('1-DATA'!$1:$1048576,IF(OR($B349="STD. DEVIATION",$C$1=1),$A349,$A349+1),COLUMN('1-DATA'!AB347)),IF($B349="STD. DEVIATION",2,$F$1))))</f>
        <v/>
      </c>
      <c r="AD349" s="1" t="str">
        <f>IF(OR($B349="",AD$7=""),"",IF($B349="MEANS",INDEX('1-DATA'!$1:$1048576,$A348-1,COLUMN('1-DATA'!AC347)),ROUND(INDEX('1-DATA'!$1:$1048576,IF(OR($B349="STD. DEVIATION",$C$1=1),$A349,$A349+1),COLUMN('1-DATA'!AC347)),IF($B349="STD. DEVIATION",2,$F$1))))</f>
        <v/>
      </c>
      <c r="AE349" s="1" t="str">
        <f>IF(OR($B349="",AE$7=""),"",IF($B349="MEANS",INDEX('1-DATA'!$1:$1048576,$A348-1,COLUMN('1-DATA'!AD347)),ROUND(INDEX('1-DATA'!$1:$1048576,IF(OR($B349="STD. DEVIATION",$C$1=1),$A349,$A349+1),COLUMN('1-DATA'!AD347)),IF($B349="STD. DEVIATION",2,$F$1))))</f>
        <v/>
      </c>
      <c r="AF349" s="1" t="str">
        <f>IF(OR($B349="",AF$7=""),"",IF($B349="MEANS",INDEX('1-DATA'!$1:$1048576,$A348-1,COLUMN('1-DATA'!AE347)),ROUND(INDEX('1-DATA'!$1:$1048576,IF(OR($B349="STD. DEVIATION",$C$1=1),$A349,$A349+1),COLUMN('1-DATA'!AE347)),IF($B349="STD. DEVIATION",2,$F$1))))</f>
        <v/>
      </c>
      <c r="AG349" s="1" t="str">
        <f>IF(OR($B349="",AG$7=""),"",IF($B349="MEANS",INDEX('1-DATA'!$1:$1048576,$A348-1,COLUMN('1-DATA'!AF347)),ROUND(INDEX('1-DATA'!$1:$1048576,IF(OR($B349="STD. DEVIATION",$C$1=1),$A349,$A349+1),COLUMN('1-DATA'!AF347)),IF($B349="STD. DEVIATION",2,$F$1))))</f>
        <v/>
      </c>
      <c r="AH349" s="1" t="str">
        <f>IF(OR($B349="",AH$7=""),"",IF($B349="MEANS",INDEX('1-DATA'!$1:$1048576,$A348-1,COLUMN('1-DATA'!AG347)),ROUND(INDEX('1-DATA'!$1:$1048576,IF(OR($B349="STD. DEVIATION",$C$1=1),$A349,$A349+1),COLUMN('1-DATA'!AG347)),IF($B349="STD. DEVIATION",2,$F$1))))</f>
        <v/>
      </c>
      <c r="AI349" s="1" t="str">
        <f>IF(OR($B349="",AI$7=""),"",IF($B349="MEANS",INDEX('1-DATA'!$1:$1048576,$A348-1,COLUMN('1-DATA'!AH347)),ROUND(INDEX('1-DATA'!$1:$1048576,IF(OR($B349="STD. DEVIATION",$C$1=1),$A349,$A349+1),COLUMN('1-DATA'!AH347)),IF($B349="STD. DEVIATION",2,$F$1))))</f>
        <v/>
      </c>
      <c r="AJ349" s="1" t="str">
        <f>IF(OR($B349="",AJ$7=""),"",IF($B349="MEANS",INDEX('1-DATA'!$1:$1048576,$A348-1,COLUMN('1-DATA'!AI347)),ROUND(INDEX('1-DATA'!$1:$1048576,IF(OR($B349="STD. DEVIATION",$C$1=1),$A349,$A349+1),COLUMN('1-DATA'!AI347)),IF($B349="STD. DEVIATION",2,$F$1))))</f>
        <v/>
      </c>
      <c r="AK349" s="1" t="str">
        <f>IF(OR($B349="",AK$7=""),"",IF($B349="MEANS",INDEX('1-DATA'!$1:$1048576,$A348-1,COLUMN('1-DATA'!AJ347)),ROUND(INDEX('1-DATA'!$1:$1048576,IF(OR($B349="STD. DEVIATION",$C$1=1),$A349,$A349+1),COLUMN('1-DATA'!AJ347)),IF($B349="STD. DEVIATION",2,$F$1))))</f>
        <v/>
      </c>
      <c r="AL349" s="1" t="str">
        <f>IF(OR($B349="",AL$7=""),"",IF($B349="MEANS",INDEX('1-DATA'!$1:$1048576,$A348-1,COLUMN('1-DATA'!AK347)),ROUND(INDEX('1-DATA'!$1:$1048576,IF(OR($B349="STD. DEVIATION",$C$1=1),$A349,$A349+1),COLUMN('1-DATA'!AK347)),IF($B349="STD. DEVIATION",2,$F$1))))</f>
        <v/>
      </c>
      <c r="AM349" s="1" t="str">
        <f>IF(OR($B349="",AM$7=""),"",IF($B349="MEANS",INDEX('1-DATA'!$1:$1048576,$A348-1,COLUMN('1-DATA'!AL347)),ROUND(INDEX('1-DATA'!$1:$1048576,IF(OR($B349="STD. DEVIATION",$C$1=1),$A349,$A349+1),COLUMN('1-DATA'!AL347)),IF($B349="STD. DEVIATION",2,$F$1))))</f>
        <v/>
      </c>
      <c r="AN349" s="1" t="str">
        <f>IF(OR($B349="",AN$7=""),"",IF($B349="MEANS",INDEX('1-DATA'!$1:$1048576,$A348-1,COLUMN('1-DATA'!AM347)),ROUND(INDEX('1-DATA'!$1:$1048576,IF(OR($B349="STD. DEVIATION",$C$1=1),$A349,$A349+1),COLUMN('1-DATA'!AM347)),IF($B349="STD. DEVIATION",2,$F$1))))</f>
        <v/>
      </c>
      <c r="AO349" s="1" t="str">
        <f>IF(OR($B349="",AO$7=""),"",IF($B349="MEANS",INDEX('1-DATA'!$1:$1048576,$A348-1,COLUMN('1-DATA'!AN347)),ROUND(INDEX('1-DATA'!$1:$1048576,IF(OR($B349="STD. DEVIATION",$C$1=1),$A349,$A349+1),COLUMN('1-DATA'!AN347)),IF($B349="STD. DEVIATION",2,$F$1))))</f>
        <v/>
      </c>
      <c r="AP349" s="1" t="str">
        <f>IF(OR($B349="",AP$7=""),"",IF($B349="MEANS",INDEX('1-DATA'!$1:$1048576,$A348-1,COLUMN('1-DATA'!AO347)),ROUND(INDEX('1-DATA'!$1:$1048576,IF(OR($B349="STD. DEVIATION",$C$1=1),$A349,$A349+1),COLUMN('1-DATA'!AO347)),IF($B349="STD. DEVIATION",2,$F$1))))</f>
        <v/>
      </c>
      <c r="AQ349" s="1" t="str">
        <f>IF(OR($B349="",AQ$7=""),"",IF($B349="MEANS",INDEX('1-DATA'!$1:$1048576,$A348-1,COLUMN('1-DATA'!AP347)),ROUND(INDEX('1-DATA'!$1:$1048576,IF(OR($B349="STD. DEVIATION",$C$1=1),$A349,$A349+1),COLUMN('1-DATA'!AP347)),IF($B349="STD. DEVIATION",2,$F$1))))</f>
        <v/>
      </c>
      <c r="AR349" s="1" t="str">
        <f>IF(OR($B349="",AR$7=""),"",IF($B349="MEANS",INDEX('1-DATA'!$1:$1048576,$A348-1,COLUMN('1-DATA'!AQ347)),ROUND(INDEX('1-DATA'!$1:$1048576,IF(OR($B349="STD. DEVIATION",$C$1=1),$A349,$A349+1),COLUMN('1-DATA'!AQ347)),IF($B349="STD. DEVIATION",2,$F$1))))</f>
        <v/>
      </c>
      <c r="AS349" s="1" t="str">
        <f>IF(OR($B349="",AS$7=""),"",IF($B349="MEANS",INDEX('1-DATA'!$1:$1048576,$A348-1,COLUMN('1-DATA'!AR347)),ROUND(INDEX('1-DATA'!$1:$1048576,IF(OR($B349="STD. DEVIATION",$C$1=1),$A349,$A349+1),COLUMN('1-DATA'!AR347)),IF($B349="STD. DEVIATION",2,$F$1))))</f>
        <v/>
      </c>
      <c r="AT349" s="1" t="str">
        <f>IF(OR($B349="",AT$7=""),"",IF($B349="MEANS",INDEX('1-DATA'!$1:$1048576,$A348-1,COLUMN('1-DATA'!AS347)),ROUND(INDEX('1-DATA'!$1:$1048576,IF(OR($B349="STD. DEVIATION",$C$1=1),$A349,$A349+1),COLUMN('1-DATA'!AS347)),IF($B349="STD. DEVIATION",2,$F$1))))</f>
        <v/>
      </c>
      <c r="AU349" s="1" t="str">
        <f>IF(OR($B349="",AU$7=""),"",IF($B349="MEANS",INDEX('1-DATA'!$1:$1048576,$A348-1,COLUMN('1-DATA'!AT347)),ROUND(INDEX('1-DATA'!$1:$1048576,IF(OR($B349="STD. DEVIATION",$C$1=1),$A349,$A349+1),COLUMN('1-DATA'!AT347)),IF($B349="STD. DEVIATION",2,$F$1))))</f>
        <v/>
      </c>
      <c r="AV349" s="1" t="str">
        <f>IF(OR($B349="",AV$7=""),"",IF($B349="MEANS",INDEX('1-DATA'!$1:$1048576,$A348-1,COLUMN('1-DATA'!AU347)),ROUND(INDEX('1-DATA'!$1:$1048576,IF(OR($B349="STD. DEVIATION",$C$1=1),$A349,$A349+1),COLUMN('1-DATA'!AU347)),IF($B349="STD. DEVIATION",2,$F$1))))</f>
        <v/>
      </c>
      <c r="AW349" s="1" t="str">
        <f>IF(OR($B349="",AW$7=""),"",IF($B349="MEANS",INDEX('1-DATA'!$1:$1048576,$A348-1,COLUMN('1-DATA'!AV347)),ROUND(INDEX('1-DATA'!$1:$1048576,IF(OR($B349="STD. DEVIATION",$C$1=1),$A349,$A349+1),COLUMN('1-DATA'!AV347)),IF($B349="STD. DEVIATION",2,$F$1))))</f>
        <v/>
      </c>
      <c r="AX349" s="1" t="str">
        <f>IF(OR($B349="",AX$7=""),"",IF($B349="MEANS",INDEX('1-DATA'!$1:$1048576,$A348-1,COLUMN('1-DATA'!AW347)),ROUND(INDEX('1-DATA'!$1:$1048576,IF(OR($B349="STD. DEVIATION",$C$1=1),$A349,$A349+1),COLUMN('1-DATA'!AW347)),IF($B349="STD. DEVIATION",2,$F$1))))</f>
        <v/>
      </c>
      <c r="AY349" s="1" t="str">
        <f>IF(OR($B349="",AY$7=""),"",IF($B349="MEANS",INDEX('1-DATA'!$1:$1048576,$A348-1,COLUMN('1-DATA'!AX347)),ROUND(INDEX('1-DATA'!$1:$1048576,IF(OR($B349="STD. DEVIATION",$C$1=1),$A349,$A349+1),COLUMN('1-DATA'!AX347)),IF($B349="STD. DEVIATION",2,$F$1))))</f>
        <v/>
      </c>
      <c r="AZ349" s="1" t="str">
        <f>IF(OR($B349="",AZ$7=""),"",IF($B349="MEANS",INDEX('1-DATA'!$1:$1048576,$A348-1,COLUMN('1-DATA'!AY347)),ROUND(INDEX('1-DATA'!$1:$1048576,IF(OR($B349="STD. DEVIATION",$C$1=1),$A349,$A349+1),COLUMN('1-DATA'!AY347)),IF($B349="STD. DEVIATION",2,$F$1))))</f>
        <v/>
      </c>
    </row>
    <row r="350" spans="1:52" x14ac:dyDescent="0.25">
      <c r="A350" s="11">
        <f t="shared" ref="A350:A413" si="6">A349+3</f>
        <v>1036</v>
      </c>
      <c r="B350" s="1" t="str">
        <f>IF(B349="STD. DEVIATION",INDEX('1-DATA'!$1:$1048576,$A349-1,1),IF(INDEX('1-DATA'!$1:$1048576,$A350,1)&lt;&gt;"",INDEX('1-DATA'!$1:$1048576,$A350,1),""))</f>
        <v/>
      </c>
      <c r="C350" s="1" t="str">
        <f>IF(OR($B350="",C$7=""),"",IF($B350="MEANS",INDEX('1-DATA'!$1:$1048576,$A349-1,COLUMN('1-DATA'!B348)),ROUND(INDEX('1-DATA'!$1:$1048576,IF(OR($B350="STD. DEVIATION",$C$1=1),$A350,$A350+1),COLUMN('1-DATA'!B348)),IF($B350="STD. DEVIATION",2,$F$1))))</f>
        <v/>
      </c>
      <c r="D350" s="1" t="str">
        <f>IF(OR($B350="",D$7=""),"",IF($B350="MEANS",INDEX('1-DATA'!$1:$1048576,$A349-1,COLUMN('1-DATA'!C348)),ROUND(INDEX('1-DATA'!$1:$1048576,IF(OR($B350="STD. DEVIATION",$C$1=1),$A350,$A350+1),COLUMN('1-DATA'!C348)),IF($B350="STD. DEVIATION",2,$F$1))))</f>
        <v/>
      </c>
      <c r="E350" s="1" t="str">
        <f>IF(OR($B350="",E$7=""),"",IF($B350="MEANS",INDEX('1-DATA'!$1:$1048576,$A349-1,COLUMN('1-DATA'!D348)),ROUND(INDEX('1-DATA'!$1:$1048576,IF(OR($B350="STD. DEVIATION",$C$1=1),$A350,$A350+1),COLUMN('1-DATA'!D348)),IF($B350="STD. DEVIATION",2,$F$1))))</f>
        <v/>
      </c>
      <c r="F350" s="1" t="str">
        <f>IF(OR($B350="",F$7=""),"",IF($B350="MEANS",INDEX('1-DATA'!$1:$1048576,$A349-1,COLUMN('1-DATA'!E348)),ROUND(INDEX('1-DATA'!$1:$1048576,IF(OR($B350="STD. DEVIATION",$C$1=1),$A350,$A350+1),COLUMN('1-DATA'!E348)),IF($B350="STD. DEVIATION",2,$F$1))))</f>
        <v/>
      </c>
      <c r="G350" s="1" t="str">
        <f>IF(OR($B350="",G$7=""),"",IF($B350="MEANS",INDEX('1-DATA'!$1:$1048576,$A349-1,COLUMN('1-DATA'!F348)),ROUND(INDEX('1-DATA'!$1:$1048576,IF(OR($B350="STD. DEVIATION",$C$1=1),$A350,$A350+1),COLUMN('1-DATA'!F348)),IF($B350="STD. DEVIATION",2,$F$1))))</f>
        <v/>
      </c>
      <c r="H350" s="1" t="str">
        <f>IF(OR($B350="",H$7=""),"",IF($B350="MEANS",INDEX('1-DATA'!$1:$1048576,$A349-1,COLUMN('1-DATA'!G348)),ROUND(INDEX('1-DATA'!$1:$1048576,IF(OR($B350="STD. DEVIATION",$C$1=1),$A350,$A350+1),COLUMN('1-DATA'!G348)),IF($B350="STD. DEVIATION",2,$F$1))))</f>
        <v/>
      </c>
      <c r="I350" s="1" t="str">
        <f>IF(OR($B350="",I$7=""),"",IF($B350="MEANS",INDEX('1-DATA'!$1:$1048576,$A349-1,COLUMN('1-DATA'!H348)),ROUND(INDEX('1-DATA'!$1:$1048576,IF(OR($B350="STD. DEVIATION",$C$1=1),$A350,$A350+1),COLUMN('1-DATA'!H348)),IF($B350="STD. DEVIATION",2,$F$1))))</f>
        <v/>
      </c>
      <c r="J350" s="1" t="str">
        <f>IF(OR($B350="",J$7=""),"",IF($B350="MEANS",INDEX('1-DATA'!$1:$1048576,$A349-1,COLUMN('1-DATA'!I348)),ROUND(INDEX('1-DATA'!$1:$1048576,IF(OR($B350="STD. DEVIATION",$C$1=1),$A350,$A350+1),COLUMN('1-DATA'!I348)),IF($B350="STD. DEVIATION",2,$F$1))))</f>
        <v/>
      </c>
      <c r="K350" s="1" t="str">
        <f>IF(OR($B350="",K$7=""),"",IF($B350="MEANS",INDEX('1-DATA'!$1:$1048576,$A349-1,COLUMN('1-DATA'!J348)),ROUND(INDEX('1-DATA'!$1:$1048576,IF(OR($B350="STD. DEVIATION",$C$1=1),$A350,$A350+1),COLUMN('1-DATA'!J348)),IF($B350="STD. DEVIATION",2,$F$1))))</f>
        <v/>
      </c>
      <c r="L350" s="1" t="str">
        <f>IF(OR($B350="",L$7=""),"",IF($B350="MEANS",INDEX('1-DATA'!$1:$1048576,$A349-1,COLUMN('1-DATA'!K348)),ROUND(INDEX('1-DATA'!$1:$1048576,IF(OR($B350="STD. DEVIATION",$C$1=1),$A350,$A350+1),COLUMN('1-DATA'!K348)),IF($B350="STD. DEVIATION",2,$F$1))))</f>
        <v/>
      </c>
      <c r="M350" s="1" t="str">
        <f>IF(OR($B350="",M$7=""),"",IF($B350="MEANS",INDEX('1-DATA'!$1:$1048576,$A349-1,COLUMN('1-DATA'!L348)),ROUND(INDEX('1-DATA'!$1:$1048576,IF(OR($B350="STD. DEVIATION",$C$1=1),$A350,$A350+1),COLUMN('1-DATA'!L348)),IF($B350="STD. DEVIATION",2,$F$1))))</f>
        <v/>
      </c>
      <c r="N350" s="1" t="str">
        <f>IF(OR($B350="",N$7=""),"",IF($B350="MEANS",INDEX('1-DATA'!$1:$1048576,$A349-1,COLUMN('1-DATA'!M348)),ROUND(INDEX('1-DATA'!$1:$1048576,IF(OR($B350="STD. DEVIATION",$C$1=1),$A350,$A350+1),COLUMN('1-DATA'!M348)),IF($B350="STD. DEVIATION",2,$F$1))))</f>
        <v/>
      </c>
      <c r="O350" s="1" t="str">
        <f>IF(OR($B350="",O$7=""),"",IF($B350="MEANS",INDEX('1-DATA'!$1:$1048576,$A349-1,COLUMN('1-DATA'!N348)),ROUND(INDEX('1-DATA'!$1:$1048576,IF(OR($B350="STD. DEVIATION",$C$1=1),$A350,$A350+1),COLUMN('1-DATA'!N348)),IF($B350="STD. DEVIATION",2,$F$1))))</f>
        <v/>
      </c>
      <c r="P350" s="1" t="str">
        <f>IF(OR($B350="",P$7=""),"",IF($B350="MEANS",INDEX('1-DATA'!$1:$1048576,$A349-1,COLUMN('1-DATA'!O348)),ROUND(INDEX('1-DATA'!$1:$1048576,IF(OR($B350="STD. DEVIATION",$C$1=1),$A350,$A350+1),COLUMN('1-DATA'!O348)),IF($B350="STD. DEVIATION",2,$F$1))))</f>
        <v/>
      </c>
      <c r="Q350" s="1" t="str">
        <f>IF(OR($B350="",Q$7=""),"",IF($B350="MEANS",INDEX('1-DATA'!$1:$1048576,$A349-1,COLUMN('1-DATA'!P348)),ROUND(INDEX('1-DATA'!$1:$1048576,IF(OR($B350="STD. DEVIATION",$C$1=1),$A350,$A350+1),COLUMN('1-DATA'!P348)),IF($B350="STD. DEVIATION",2,$F$1))))</f>
        <v/>
      </c>
      <c r="R350" s="1" t="str">
        <f>IF(OR($B350="",R$7=""),"",IF($B350="MEANS",INDEX('1-DATA'!$1:$1048576,$A349-1,COLUMN('1-DATA'!Q348)),ROUND(INDEX('1-DATA'!$1:$1048576,IF(OR($B350="STD. DEVIATION",$C$1=1),$A350,$A350+1),COLUMN('1-DATA'!Q348)),IF($B350="STD. DEVIATION",2,$F$1))))</f>
        <v/>
      </c>
      <c r="S350" s="1" t="str">
        <f>IF(OR($B350="",S$7=""),"",IF($B350="MEANS",INDEX('1-DATA'!$1:$1048576,$A349-1,COLUMN('1-DATA'!R348)),ROUND(INDEX('1-DATA'!$1:$1048576,IF(OR($B350="STD. DEVIATION",$C$1=1),$A350,$A350+1),COLUMN('1-DATA'!R348)),IF($B350="STD. DEVIATION",2,$F$1))))</f>
        <v/>
      </c>
      <c r="T350" s="1" t="str">
        <f>IF(OR($B350="",T$7=""),"",IF($B350="MEANS",INDEX('1-DATA'!$1:$1048576,$A349-1,COLUMN('1-DATA'!S348)),ROUND(INDEX('1-DATA'!$1:$1048576,IF(OR($B350="STD. DEVIATION",$C$1=1),$A350,$A350+1),COLUMN('1-DATA'!S348)),IF($B350="STD. DEVIATION",2,$F$1))))</f>
        <v/>
      </c>
      <c r="U350" s="1" t="str">
        <f>IF(OR($B350="",U$7=""),"",IF($B350="MEANS",INDEX('1-DATA'!$1:$1048576,$A349-1,COLUMN('1-DATA'!T348)),ROUND(INDEX('1-DATA'!$1:$1048576,IF(OR($B350="STD. DEVIATION",$C$1=1),$A350,$A350+1),COLUMN('1-DATA'!T348)),IF($B350="STD. DEVIATION",2,$F$1))))</f>
        <v/>
      </c>
      <c r="V350" s="1" t="str">
        <f>IF(OR($B350="",V$7=""),"",IF($B350="MEANS",INDEX('1-DATA'!$1:$1048576,$A349-1,COLUMN('1-DATA'!U348)),ROUND(INDEX('1-DATA'!$1:$1048576,IF(OR($B350="STD. DEVIATION",$C$1=1),$A350,$A350+1),COLUMN('1-DATA'!U348)),IF($B350="STD. DEVIATION",2,$F$1))))</f>
        <v/>
      </c>
      <c r="W350" s="1" t="str">
        <f>IF(OR($B350="",W$7=""),"",IF($B350="MEANS",INDEX('1-DATA'!$1:$1048576,$A349-1,COLUMN('1-DATA'!V348)),ROUND(INDEX('1-DATA'!$1:$1048576,IF(OR($B350="STD. DEVIATION",$C$1=1),$A350,$A350+1),COLUMN('1-DATA'!V348)),IF($B350="STD. DEVIATION",2,$F$1))))</f>
        <v/>
      </c>
      <c r="X350" s="1" t="str">
        <f>IF(OR($B350="",X$7=""),"",IF($B350="MEANS",INDEX('1-DATA'!$1:$1048576,$A349-1,COLUMN('1-DATA'!W348)),ROUND(INDEX('1-DATA'!$1:$1048576,IF(OR($B350="STD. DEVIATION",$C$1=1),$A350,$A350+1),COLUMN('1-DATA'!W348)),IF($B350="STD. DEVIATION",2,$F$1))))</f>
        <v/>
      </c>
      <c r="Y350" s="1" t="str">
        <f>IF(OR($B350="",Y$7=""),"",IF($B350="MEANS",INDEX('1-DATA'!$1:$1048576,$A349-1,COLUMN('1-DATA'!X348)),ROUND(INDEX('1-DATA'!$1:$1048576,IF(OR($B350="STD. DEVIATION",$C$1=1),$A350,$A350+1),COLUMN('1-DATA'!X348)),IF($B350="STD. DEVIATION",2,$F$1))))</f>
        <v/>
      </c>
      <c r="Z350" s="1" t="str">
        <f>IF(OR($B350="",Z$7=""),"",IF($B350="MEANS",INDEX('1-DATA'!$1:$1048576,$A349-1,COLUMN('1-DATA'!Y348)),ROUND(INDEX('1-DATA'!$1:$1048576,IF(OR($B350="STD. DEVIATION",$C$1=1),$A350,$A350+1),COLUMN('1-DATA'!Y348)),IF($B350="STD. DEVIATION",2,$F$1))))</f>
        <v/>
      </c>
      <c r="AA350" s="1" t="str">
        <f>IF(OR($B350="",AA$7=""),"",IF($B350="MEANS",INDEX('1-DATA'!$1:$1048576,$A349-1,COLUMN('1-DATA'!Z348)),ROUND(INDEX('1-DATA'!$1:$1048576,IF(OR($B350="STD. DEVIATION",$C$1=1),$A350,$A350+1),COLUMN('1-DATA'!Z348)),IF($B350="STD. DEVIATION",2,$F$1))))</f>
        <v/>
      </c>
      <c r="AB350" s="1" t="str">
        <f>IF(OR($B350="",AB$7=""),"",IF($B350="MEANS",INDEX('1-DATA'!$1:$1048576,$A349-1,COLUMN('1-DATA'!AA348)),ROUND(INDEX('1-DATA'!$1:$1048576,IF(OR($B350="STD. DEVIATION",$C$1=1),$A350,$A350+1),COLUMN('1-DATA'!AA348)),IF($B350="STD. DEVIATION",2,$F$1))))</f>
        <v/>
      </c>
      <c r="AC350" s="1" t="str">
        <f>IF(OR($B350="",AC$7=""),"",IF($B350="MEANS",INDEX('1-DATA'!$1:$1048576,$A349-1,COLUMN('1-DATA'!AB348)),ROUND(INDEX('1-DATA'!$1:$1048576,IF(OR($B350="STD. DEVIATION",$C$1=1),$A350,$A350+1),COLUMN('1-DATA'!AB348)),IF($B350="STD. DEVIATION",2,$F$1))))</f>
        <v/>
      </c>
      <c r="AD350" s="1" t="str">
        <f>IF(OR($B350="",AD$7=""),"",IF($B350="MEANS",INDEX('1-DATA'!$1:$1048576,$A349-1,COLUMN('1-DATA'!AC348)),ROUND(INDEX('1-DATA'!$1:$1048576,IF(OR($B350="STD. DEVIATION",$C$1=1),$A350,$A350+1),COLUMN('1-DATA'!AC348)),IF($B350="STD. DEVIATION",2,$F$1))))</f>
        <v/>
      </c>
      <c r="AE350" s="1" t="str">
        <f>IF(OR($B350="",AE$7=""),"",IF($B350="MEANS",INDEX('1-DATA'!$1:$1048576,$A349-1,COLUMN('1-DATA'!AD348)),ROUND(INDEX('1-DATA'!$1:$1048576,IF(OR($B350="STD. DEVIATION",$C$1=1),$A350,$A350+1),COLUMN('1-DATA'!AD348)),IF($B350="STD. DEVIATION",2,$F$1))))</f>
        <v/>
      </c>
      <c r="AF350" s="1" t="str">
        <f>IF(OR($B350="",AF$7=""),"",IF($B350="MEANS",INDEX('1-DATA'!$1:$1048576,$A349-1,COLUMN('1-DATA'!AE348)),ROUND(INDEX('1-DATA'!$1:$1048576,IF(OR($B350="STD. DEVIATION",$C$1=1),$A350,$A350+1),COLUMN('1-DATA'!AE348)),IF($B350="STD. DEVIATION",2,$F$1))))</f>
        <v/>
      </c>
      <c r="AG350" s="1" t="str">
        <f>IF(OR($B350="",AG$7=""),"",IF($B350="MEANS",INDEX('1-DATA'!$1:$1048576,$A349-1,COLUMN('1-DATA'!AF348)),ROUND(INDEX('1-DATA'!$1:$1048576,IF(OR($B350="STD. DEVIATION",$C$1=1),$A350,$A350+1),COLUMN('1-DATA'!AF348)),IF($B350="STD. DEVIATION",2,$F$1))))</f>
        <v/>
      </c>
      <c r="AH350" s="1" t="str">
        <f>IF(OR($B350="",AH$7=""),"",IF($B350="MEANS",INDEX('1-DATA'!$1:$1048576,$A349-1,COLUMN('1-DATA'!AG348)),ROUND(INDEX('1-DATA'!$1:$1048576,IF(OR($B350="STD. DEVIATION",$C$1=1),$A350,$A350+1),COLUMN('1-DATA'!AG348)),IF($B350="STD. DEVIATION",2,$F$1))))</f>
        <v/>
      </c>
      <c r="AI350" s="1" t="str">
        <f>IF(OR($B350="",AI$7=""),"",IF($B350="MEANS",INDEX('1-DATA'!$1:$1048576,$A349-1,COLUMN('1-DATA'!AH348)),ROUND(INDEX('1-DATA'!$1:$1048576,IF(OR($B350="STD. DEVIATION",$C$1=1),$A350,$A350+1),COLUMN('1-DATA'!AH348)),IF($B350="STD. DEVIATION",2,$F$1))))</f>
        <v/>
      </c>
      <c r="AJ350" s="1" t="str">
        <f>IF(OR($B350="",AJ$7=""),"",IF($B350="MEANS",INDEX('1-DATA'!$1:$1048576,$A349-1,COLUMN('1-DATA'!AI348)),ROUND(INDEX('1-DATA'!$1:$1048576,IF(OR($B350="STD. DEVIATION",$C$1=1),$A350,$A350+1),COLUMN('1-DATA'!AI348)),IF($B350="STD. DEVIATION",2,$F$1))))</f>
        <v/>
      </c>
      <c r="AK350" s="1" t="str">
        <f>IF(OR($B350="",AK$7=""),"",IF($B350="MEANS",INDEX('1-DATA'!$1:$1048576,$A349-1,COLUMN('1-DATA'!AJ348)),ROUND(INDEX('1-DATA'!$1:$1048576,IF(OR($B350="STD. DEVIATION",$C$1=1),$A350,$A350+1),COLUMN('1-DATA'!AJ348)),IF($B350="STD. DEVIATION",2,$F$1))))</f>
        <v/>
      </c>
      <c r="AL350" s="1" t="str">
        <f>IF(OR($B350="",AL$7=""),"",IF($B350="MEANS",INDEX('1-DATA'!$1:$1048576,$A349-1,COLUMN('1-DATA'!AK348)),ROUND(INDEX('1-DATA'!$1:$1048576,IF(OR($B350="STD. DEVIATION",$C$1=1),$A350,$A350+1),COLUMN('1-DATA'!AK348)),IF($B350="STD. DEVIATION",2,$F$1))))</f>
        <v/>
      </c>
      <c r="AM350" s="1" t="str">
        <f>IF(OR($B350="",AM$7=""),"",IF($B350="MEANS",INDEX('1-DATA'!$1:$1048576,$A349-1,COLUMN('1-DATA'!AL348)),ROUND(INDEX('1-DATA'!$1:$1048576,IF(OR($B350="STD. DEVIATION",$C$1=1),$A350,$A350+1),COLUMN('1-DATA'!AL348)),IF($B350="STD. DEVIATION",2,$F$1))))</f>
        <v/>
      </c>
      <c r="AN350" s="1" t="str">
        <f>IF(OR($B350="",AN$7=""),"",IF($B350="MEANS",INDEX('1-DATA'!$1:$1048576,$A349-1,COLUMN('1-DATA'!AM348)),ROUND(INDEX('1-DATA'!$1:$1048576,IF(OR($B350="STD. DEVIATION",$C$1=1),$A350,$A350+1),COLUMN('1-DATA'!AM348)),IF($B350="STD. DEVIATION",2,$F$1))))</f>
        <v/>
      </c>
      <c r="AO350" s="1" t="str">
        <f>IF(OR($B350="",AO$7=""),"",IF($B350="MEANS",INDEX('1-DATA'!$1:$1048576,$A349-1,COLUMN('1-DATA'!AN348)),ROUND(INDEX('1-DATA'!$1:$1048576,IF(OR($B350="STD. DEVIATION",$C$1=1),$A350,$A350+1),COLUMN('1-DATA'!AN348)),IF($B350="STD. DEVIATION",2,$F$1))))</f>
        <v/>
      </c>
      <c r="AP350" s="1" t="str">
        <f>IF(OR($B350="",AP$7=""),"",IF($B350="MEANS",INDEX('1-DATA'!$1:$1048576,$A349-1,COLUMN('1-DATA'!AO348)),ROUND(INDEX('1-DATA'!$1:$1048576,IF(OR($B350="STD. DEVIATION",$C$1=1),$A350,$A350+1),COLUMN('1-DATA'!AO348)),IF($B350="STD. DEVIATION",2,$F$1))))</f>
        <v/>
      </c>
      <c r="AQ350" s="1" t="str">
        <f>IF(OR($B350="",AQ$7=""),"",IF($B350="MEANS",INDEX('1-DATA'!$1:$1048576,$A349-1,COLUMN('1-DATA'!AP348)),ROUND(INDEX('1-DATA'!$1:$1048576,IF(OR($B350="STD. DEVIATION",$C$1=1),$A350,$A350+1),COLUMN('1-DATA'!AP348)),IF($B350="STD. DEVIATION",2,$F$1))))</f>
        <v/>
      </c>
      <c r="AR350" s="1" t="str">
        <f>IF(OR($B350="",AR$7=""),"",IF($B350="MEANS",INDEX('1-DATA'!$1:$1048576,$A349-1,COLUMN('1-DATA'!AQ348)),ROUND(INDEX('1-DATA'!$1:$1048576,IF(OR($B350="STD. DEVIATION",$C$1=1),$A350,$A350+1),COLUMN('1-DATA'!AQ348)),IF($B350="STD. DEVIATION",2,$F$1))))</f>
        <v/>
      </c>
      <c r="AS350" s="1" t="str">
        <f>IF(OR($B350="",AS$7=""),"",IF($B350="MEANS",INDEX('1-DATA'!$1:$1048576,$A349-1,COLUMN('1-DATA'!AR348)),ROUND(INDEX('1-DATA'!$1:$1048576,IF(OR($B350="STD. DEVIATION",$C$1=1),$A350,$A350+1),COLUMN('1-DATA'!AR348)),IF($B350="STD. DEVIATION",2,$F$1))))</f>
        <v/>
      </c>
      <c r="AT350" s="1" t="str">
        <f>IF(OR($B350="",AT$7=""),"",IF($B350="MEANS",INDEX('1-DATA'!$1:$1048576,$A349-1,COLUMN('1-DATA'!AS348)),ROUND(INDEX('1-DATA'!$1:$1048576,IF(OR($B350="STD. DEVIATION",$C$1=1),$A350,$A350+1),COLUMN('1-DATA'!AS348)),IF($B350="STD. DEVIATION",2,$F$1))))</f>
        <v/>
      </c>
      <c r="AU350" s="1" t="str">
        <f>IF(OR($B350="",AU$7=""),"",IF($B350="MEANS",INDEX('1-DATA'!$1:$1048576,$A349-1,COLUMN('1-DATA'!AT348)),ROUND(INDEX('1-DATA'!$1:$1048576,IF(OR($B350="STD. DEVIATION",$C$1=1),$A350,$A350+1),COLUMN('1-DATA'!AT348)),IF($B350="STD. DEVIATION",2,$F$1))))</f>
        <v/>
      </c>
      <c r="AV350" s="1" t="str">
        <f>IF(OR($B350="",AV$7=""),"",IF($B350="MEANS",INDEX('1-DATA'!$1:$1048576,$A349-1,COLUMN('1-DATA'!AU348)),ROUND(INDEX('1-DATA'!$1:$1048576,IF(OR($B350="STD. DEVIATION",$C$1=1),$A350,$A350+1),COLUMN('1-DATA'!AU348)),IF($B350="STD. DEVIATION",2,$F$1))))</f>
        <v/>
      </c>
      <c r="AW350" s="1" t="str">
        <f>IF(OR($B350="",AW$7=""),"",IF($B350="MEANS",INDEX('1-DATA'!$1:$1048576,$A349-1,COLUMN('1-DATA'!AV348)),ROUND(INDEX('1-DATA'!$1:$1048576,IF(OR($B350="STD. DEVIATION",$C$1=1),$A350,$A350+1),COLUMN('1-DATA'!AV348)),IF($B350="STD. DEVIATION",2,$F$1))))</f>
        <v/>
      </c>
      <c r="AX350" s="1" t="str">
        <f>IF(OR($B350="",AX$7=""),"",IF($B350="MEANS",INDEX('1-DATA'!$1:$1048576,$A349-1,COLUMN('1-DATA'!AW348)),ROUND(INDEX('1-DATA'!$1:$1048576,IF(OR($B350="STD. DEVIATION",$C$1=1),$A350,$A350+1),COLUMN('1-DATA'!AW348)),IF($B350="STD. DEVIATION",2,$F$1))))</f>
        <v/>
      </c>
      <c r="AY350" s="1" t="str">
        <f>IF(OR($B350="",AY$7=""),"",IF($B350="MEANS",INDEX('1-DATA'!$1:$1048576,$A349-1,COLUMN('1-DATA'!AX348)),ROUND(INDEX('1-DATA'!$1:$1048576,IF(OR($B350="STD. DEVIATION",$C$1=1),$A350,$A350+1),COLUMN('1-DATA'!AX348)),IF($B350="STD. DEVIATION",2,$F$1))))</f>
        <v/>
      </c>
      <c r="AZ350" s="1" t="str">
        <f>IF(OR($B350="",AZ$7=""),"",IF($B350="MEANS",INDEX('1-DATA'!$1:$1048576,$A349-1,COLUMN('1-DATA'!AY348)),ROUND(INDEX('1-DATA'!$1:$1048576,IF(OR($B350="STD. DEVIATION",$C$1=1),$A350,$A350+1),COLUMN('1-DATA'!AY348)),IF($B350="STD. DEVIATION",2,$F$1))))</f>
        <v/>
      </c>
    </row>
    <row r="351" spans="1:52" x14ac:dyDescent="0.25">
      <c r="A351" s="11">
        <f t="shared" si="6"/>
        <v>1039</v>
      </c>
      <c r="B351" s="1" t="str">
        <f>IF(B350="STD. DEVIATION",INDEX('1-DATA'!$1:$1048576,$A350-1,1),IF(INDEX('1-DATA'!$1:$1048576,$A351,1)&lt;&gt;"",INDEX('1-DATA'!$1:$1048576,$A351,1),""))</f>
        <v/>
      </c>
      <c r="C351" s="1" t="str">
        <f>IF(OR($B351="",C$7=""),"",IF($B351="MEANS",INDEX('1-DATA'!$1:$1048576,$A350-1,COLUMN('1-DATA'!B349)),ROUND(INDEX('1-DATA'!$1:$1048576,IF(OR($B351="STD. DEVIATION",$C$1=1),$A351,$A351+1),COLUMN('1-DATA'!B349)),IF($B351="STD. DEVIATION",2,$F$1))))</f>
        <v/>
      </c>
      <c r="D351" s="1" t="str">
        <f>IF(OR($B351="",D$7=""),"",IF($B351="MEANS",INDEX('1-DATA'!$1:$1048576,$A350-1,COLUMN('1-DATA'!C349)),ROUND(INDEX('1-DATA'!$1:$1048576,IF(OR($B351="STD. DEVIATION",$C$1=1),$A351,$A351+1),COLUMN('1-DATA'!C349)),IF($B351="STD. DEVIATION",2,$F$1))))</f>
        <v/>
      </c>
      <c r="E351" s="1" t="str">
        <f>IF(OR($B351="",E$7=""),"",IF($B351="MEANS",INDEX('1-DATA'!$1:$1048576,$A350-1,COLUMN('1-DATA'!D349)),ROUND(INDEX('1-DATA'!$1:$1048576,IF(OR($B351="STD. DEVIATION",$C$1=1),$A351,$A351+1),COLUMN('1-DATA'!D349)),IF($B351="STD. DEVIATION",2,$F$1))))</f>
        <v/>
      </c>
      <c r="F351" s="1" t="str">
        <f>IF(OR($B351="",F$7=""),"",IF($B351="MEANS",INDEX('1-DATA'!$1:$1048576,$A350-1,COLUMN('1-DATA'!E349)),ROUND(INDEX('1-DATA'!$1:$1048576,IF(OR($B351="STD. DEVIATION",$C$1=1),$A351,$A351+1),COLUMN('1-DATA'!E349)),IF($B351="STD. DEVIATION",2,$F$1))))</f>
        <v/>
      </c>
      <c r="G351" s="1" t="str">
        <f>IF(OR($B351="",G$7=""),"",IF($B351="MEANS",INDEX('1-DATA'!$1:$1048576,$A350-1,COLUMN('1-DATA'!F349)),ROUND(INDEX('1-DATA'!$1:$1048576,IF(OR($B351="STD. DEVIATION",$C$1=1),$A351,$A351+1),COLUMN('1-DATA'!F349)),IF($B351="STD. DEVIATION",2,$F$1))))</f>
        <v/>
      </c>
      <c r="H351" s="1" t="str">
        <f>IF(OR($B351="",H$7=""),"",IF($B351="MEANS",INDEX('1-DATA'!$1:$1048576,$A350-1,COLUMN('1-DATA'!G349)),ROUND(INDEX('1-DATA'!$1:$1048576,IF(OR($B351="STD. DEVIATION",$C$1=1),$A351,$A351+1),COLUMN('1-DATA'!G349)),IF($B351="STD. DEVIATION",2,$F$1))))</f>
        <v/>
      </c>
      <c r="I351" s="1" t="str">
        <f>IF(OR($B351="",I$7=""),"",IF($B351="MEANS",INDEX('1-DATA'!$1:$1048576,$A350-1,COLUMN('1-DATA'!H349)),ROUND(INDEX('1-DATA'!$1:$1048576,IF(OR($B351="STD. DEVIATION",$C$1=1),$A351,$A351+1),COLUMN('1-DATA'!H349)),IF($B351="STD. DEVIATION",2,$F$1))))</f>
        <v/>
      </c>
      <c r="J351" s="1" t="str">
        <f>IF(OR($B351="",J$7=""),"",IF($B351="MEANS",INDEX('1-DATA'!$1:$1048576,$A350-1,COLUMN('1-DATA'!I349)),ROUND(INDEX('1-DATA'!$1:$1048576,IF(OR($B351="STD. DEVIATION",$C$1=1),$A351,$A351+1),COLUMN('1-DATA'!I349)),IF($B351="STD. DEVIATION",2,$F$1))))</f>
        <v/>
      </c>
      <c r="K351" s="1" t="str">
        <f>IF(OR($B351="",K$7=""),"",IF($B351="MEANS",INDEX('1-DATA'!$1:$1048576,$A350-1,COLUMN('1-DATA'!J349)),ROUND(INDEX('1-DATA'!$1:$1048576,IF(OR($B351="STD. DEVIATION",$C$1=1),$A351,$A351+1),COLUMN('1-DATA'!J349)),IF($B351="STD. DEVIATION",2,$F$1))))</f>
        <v/>
      </c>
      <c r="L351" s="1" t="str">
        <f>IF(OR($B351="",L$7=""),"",IF($B351="MEANS",INDEX('1-DATA'!$1:$1048576,$A350-1,COLUMN('1-DATA'!K349)),ROUND(INDEX('1-DATA'!$1:$1048576,IF(OR($B351="STD. DEVIATION",$C$1=1),$A351,$A351+1),COLUMN('1-DATA'!K349)),IF($B351="STD. DEVIATION",2,$F$1))))</f>
        <v/>
      </c>
      <c r="M351" s="1" t="str">
        <f>IF(OR($B351="",M$7=""),"",IF($B351="MEANS",INDEX('1-DATA'!$1:$1048576,$A350-1,COLUMN('1-DATA'!L349)),ROUND(INDEX('1-DATA'!$1:$1048576,IF(OR($B351="STD. DEVIATION",$C$1=1),$A351,$A351+1),COLUMN('1-DATA'!L349)),IF($B351="STD. DEVIATION",2,$F$1))))</f>
        <v/>
      </c>
      <c r="N351" s="1" t="str">
        <f>IF(OR($B351="",N$7=""),"",IF($B351="MEANS",INDEX('1-DATA'!$1:$1048576,$A350-1,COLUMN('1-DATA'!M349)),ROUND(INDEX('1-DATA'!$1:$1048576,IF(OR($B351="STD. DEVIATION",$C$1=1),$A351,$A351+1),COLUMN('1-DATA'!M349)),IF($B351="STD. DEVIATION",2,$F$1))))</f>
        <v/>
      </c>
      <c r="O351" s="1" t="str">
        <f>IF(OR($B351="",O$7=""),"",IF($B351="MEANS",INDEX('1-DATA'!$1:$1048576,$A350-1,COLUMN('1-DATA'!N349)),ROUND(INDEX('1-DATA'!$1:$1048576,IF(OR($B351="STD. DEVIATION",$C$1=1),$A351,$A351+1),COLUMN('1-DATA'!N349)),IF($B351="STD. DEVIATION",2,$F$1))))</f>
        <v/>
      </c>
      <c r="P351" s="1" t="str">
        <f>IF(OR($B351="",P$7=""),"",IF($B351="MEANS",INDEX('1-DATA'!$1:$1048576,$A350-1,COLUMN('1-DATA'!O349)),ROUND(INDEX('1-DATA'!$1:$1048576,IF(OR($B351="STD. DEVIATION",$C$1=1),$A351,$A351+1),COLUMN('1-DATA'!O349)),IF($B351="STD. DEVIATION",2,$F$1))))</f>
        <v/>
      </c>
      <c r="Q351" s="1" t="str">
        <f>IF(OR($B351="",Q$7=""),"",IF($B351="MEANS",INDEX('1-DATA'!$1:$1048576,$A350-1,COLUMN('1-DATA'!P349)),ROUND(INDEX('1-DATA'!$1:$1048576,IF(OR($B351="STD. DEVIATION",$C$1=1),$A351,$A351+1),COLUMN('1-DATA'!P349)),IF($B351="STD. DEVIATION",2,$F$1))))</f>
        <v/>
      </c>
      <c r="R351" s="1" t="str">
        <f>IF(OR($B351="",R$7=""),"",IF($B351="MEANS",INDEX('1-DATA'!$1:$1048576,$A350-1,COLUMN('1-DATA'!Q349)),ROUND(INDEX('1-DATA'!$1:$1048576,IF(OR($B351="STD. DEVIATION",$C$1=1),$A351,$A351+1),COLUMN('1-DATA'!Q349)),IF($B351="STD. DEVIATION",2,$F$1))))</f>
        <v/>
      </c>
      <c r="S351" s="1" t="str">
        <f>IF(OR($B351="",S$7=""),"",IF($B351="MEANS",INDEX('1-DATA'!$1:$1048576,$A350-1,COLUMN('1-DATA'!R349)),ROUND(INDEX('1-DATA'!$1:$1048576,IF(OR($B351="STD. DEVIATION",$C$1=1),$A351,$A351+1),COLUMN('1-DATA'!R349)),IF($B351="STD. DEVIATION",2,$F$1))))</f>
        <v/>
      </c>
      <c r="T351" s="1" t="str">
        <f>IF(OR($B351="",T$7=""),"",IF($B351="MEANS",INDEX('1-DATA'!$1:$1048576,$A350-1,COLUMN('1-DATA'!S349)),ROUND(INDEX('1-DATA'!$1:$1048576,IF(OR($B351="STD. DEVIATION",$C$1=1),$A351,$A351+1),COLUMN('1-DATA'!S349)),IF($B351="STD. DEVIATION",2,$F$1))))</f>
        <v/>
      </c>
      <c r="U351" s="1" t="str">
        <f>IF(OR($B351="",U$7=""),"",IF($B351="MEANS",INDEX('1-DATA'!$1:$1048576,$A350-1,COLUMN('1-DATA'!T349)),ROUND(INDEX('1-DATA'!$1:$1048576,IF(OR($B351="STD. DEVIATION",$C$1=1),$A351,$A351+1),COLUMN('1-DATA'!T349)),IF($B351="STD. DEVIATION",2,$F$1))))</f>
        <v/>
      </c>
      <c r="V351" s="1" t="str">
        <f>IF(OR($B351="",V$7=""),"",IF($B351="MEANS",INDEX('1-DATA'!$1:$1048576,$A350-1,COLUMN('1-DATA'!U349)),ROUND(INDEX('1-DATA'!$1:$1048576,IF(OR($B351="STD. DEVIATION",$C$1=1),$A351,$A351+1),COLUMN('1-DATA'!U349)),IF($B351="STD. DEVIATION",2,$F$1))))</f>
        <v/>
      </c>
      <c r="W351" s="1" t="str">
        <f>IF(OR($B351="",W$7=""),"",IF($B351="MEANS",INDEX('1-DATA'!$1:$1048576,$A350-1,COLUMN('1-DATA'!V349)),ROUND(INDEX('1-DATA'!$1:$1048576,IF(OR($B351="STD. DEVIATION",$C$1=1),$A351,$A351+1),COLUMN('1-DATA'!V349)),IF($B351="STD. DEVIATION",2,$F$1))))</f>
        <v/>
      </c>
      <c r="X351" s="1" t="str">
        <f>IF(OR($B351="",X$7=""),"",IF($B351="MEANS",INDEX('1-DATA'!$1:$1048576,$A350-1,COLUMN('1-DATA'!W349)),ROUND(INDEX('1-DATA'!$1:$1048576,IF(OR($B351="STD. DEVIATION",$C$1=1),$A351,$A351+1),COLUMN('1-DATA'!W349)),IF($B351="STD. DEVIATION",2,$F$1))))</f>
        <v/>
      </c>
      <c r="Y351" s="1" t="str">
        <f>IF(OR($B351="",Y$7=""),"",IF($B351="MEANS",INDEX('1-DATA'!$1:$1048576,$A350-1,COLUMN('1-DATA'!X349)),ROUND(INDEX('1-DATA'!$1:$1048576,IF(OR($B351="STD. DEVIATION",$C$1=1),$A351,$A351+1),COLUMN('1-DATA'!X349)),IF($B351="STD. DEVIATION",2,$F$1))))</f>
        <v/>
      </c>
      <c r="Z351" s="1" t="str">
        <f>IF(OR($B351="",Z$7=""),"",IF($B351="MEANS",INDEX('1-DATA'!$1:$1048576,$A350-1,COLUMN('1-DATA'!Y349)),ROUND(INDEX('1-DATA'!$1:$1048576,IF(OR($B351="STD. DEVIATION",$C$1=1),$A351,$A351+1),COLUMN('1-DATA'!Y349)),IF($B351="STD. DEVIATION",2,$F$1))))</f>
        <v/>
      </c>
      <c r="AA351" s="1" t="str">
        <f>IF(OR($B351="",AA$7=""),"",IF($B351="MEANS",INDEX('1-DATA'!$1:$1048576,$A350-1,COLUMN('1-DATA'!Z349)),ROUND(INDEX('1-DATA'!$1:$1048576,IF(OR($B351="STD. DEVIATION",$C$1=1),$A351,$A351+1),COLUMN('1-DATA'!Z349)),IF($B351="STD. DEVIATION",2,$F$1))))</f>
        <v/>
      </c>
      <c r="AB351" s="1" t="str">
        <f>IF(OR($B351="",AB$7=""),"",IF($B351="MEANS",INDEX('1-DATA'!$1:$1048576,$A350-1,COLUMN('1-DATA'!AA349)),ROUND(INDEX('1-DATA'!$1:$1048576,IF(OR($B351="STD. DEVIATION",$C$1=1),$A351,$A351+1),COLUMN('1-DATA'!AA349)),IF($B351="STD. DEVIATION",2,$F$1))))</f>
        <v/>
      </c>
      <c r="AC351" s="1" t="str">
        <f>IF(OR($B351="",AC$7=""),"",IF($B351="MEANS",INDEX('1-DATA'!$1:$1048576,$A350-1,COLUMN('1-DATA'!AB349)),ROUND(INDEX('1-DATA'!$1:$1048576,IF(OR($B351="STD. DEVIATION",$C$1=1),$A351,$A351+1),COLUMN('1-DATA'!AB349)),IF($B351="STD. DEVIATION",2,$F$1))))</f>
        <v/>
      </c>
      <c r="AD351" s="1" t="str">
        <f>IF(OR($B351="",AD$7=""),"",IF($B351="MEANS",INDEX('1-DATA'!$1:$1048576,$A350-1,COLUMN('1-DATA'!AC349)),ROUND(INDEX('1-DATA'!$1:$1048576,IF(OR($B351="STD. DEVIATION",$C$1=1),$A351,$A351+1),COLUMN('1-DATA'!AC349)),IF($B351="STD. DEVIATION",2,$F$1))))</f>
        <v/>
      </c>
      <c r="AE351" s="1" t="str">
        <f>IF(OR($B351="",AE$7=""),"",IF($B351="MEANS",INDEX('1-DATA'!$1:$1048576,$A350-1,COLUMN('1-DATA'!AD349)),ROUND(INDEX('1-DATA'!$1:$1048576,IF(OR($B351="STD. DEVIATION",$C$1=1),$A351,$A351+1),COLUMN('1-DATA'!AD349)),IF($B351="STD. DEVIATION",2,$F$1))))</f>
        <v/>
      </c>
      <c r="AF351" s="1" t="str">
        <f>IF(OR($B351="",AF$7=""),"",IF($B351="MEANS",INDEX('1-DATA'!$1:$1048576,$A350-1,COLUMN('1-DATA'!AE349)),ROUND(INDEX('1-DATA'!$1:$1048576,IF(OR($B351="STD. DEVIATION",$C$1=1),$A351,$A351+1),COLUMN('1-DATA'!AE349)),IF($B351="STD. DEVIATION",2,$F$1))))</f>
        <v/>
      </c>
      <c r="AG351" s="1" t="str">
        <f>IF(OR($B351="",AG$7=""),"",IF($B351="MEANS",INDEX('1-DATA'!$1:$1048576,$A350-1,COLUMN('1-DATA'!AF349)),ROUND(INDEX('1-DATA'!$1:$1048576,IF(OR($B351="STD. DEVIATION",$C$1=1),$A351,$A351+1),COLUMN('1-DATA'!AF349)),IF($B351="STD. DEVIATION",2,$F$1))))</f>
        <v/>
      </c>
      <c r="AH351" s="1" t="str">
        <f>IF(OR($B351="",AH$7=""),"",IF($B351="MEANS",INDEX('1-DATA'!$1:$1048576,$A350-1,COLUMN('1-DATA'!AG349)),ROUND(INDEX('1-DATA'!$1:$1048576,IF(OR($B351="STD. DEVIATION",$C$1=1),$A351,$A351+1),COLUMN('1-DATA'!AG349)),IF($B351="STD. DEVIATION",2,$F$1))))</f>
        <v/>
      </c>
      <c r="AI351" s="1" t="str">
        <f>IF(OR($B351="",AI$7=""),"",IF($B351="MEANS",INDEX('1-DATA'!$1:$1048576,$A350-1,COLUMN('1-DATA'!AH349)),ROUND(INDEX('1-DATA'!$1:$1048576,IF(OR($B351="STD. DEVIATION",$C$1=1),$A351,$A351+1),COLUMN('1-DATA'!AH349)),IF($B351="STD. DEVIATION",2,$F$1))))</f>
        <v/>
      </c>
      <c r="AJ351" s="1" t="str">
        <f>IF(OR($B351="",AJ$7=""),"",IF($B351="MEANS",INDEX('1-DATA'!$1:$1048576,$A350-1,COLUMN('1-DATA'!AI349)),ROUND(INDEX('1-DATA'!$1:$1048576,IF(OR($B351="STD. DEVIATION",$C$1=1),$A351,$A351+1),COLUMN('1-DATA'!AI349)),IF($B351="STD. DEVIATION",2,$F$1))))</f>
        <v/>
      </c>
      <c r="AK351" s="1" t="str">
        <f>IF(OR($B351="",AK$7=""),"",IF($B351="MEANS",INDEX('1-DATA'!$1:$1048576,$A350-1,COLUMN('1-DATA'!AJ349)),ROUND(INDEX('1-DATA'!$1:$1048576,IF(OR($B351="STD. DEVIATION",$C$1=1),$A351,$A351+1),COLUMN('1-DATA'!AJ349)),IF($B351="STD. DEVIATION",2,$F$1))))</f>
        <v/>
      </c>
      <c r="AL351" s="1" t="str">
        <f>IF(OR($B351="",AL$7=""),"",IF($B351="MEANS",INDEX('1-DATA'!$1:$1048576,$A350-1,COLUMN('1-DATA'!AK349)),ROUND(INDEX('1-DATA'!$1:$1048576,IF(OR($B351="STD. DEVIATION",$C$1=1),$A351,$A351+1),COLUMN('1-DATA'!AK349)),IF($B351="STD. DEVIATION",2,$F$1))))</f>
        <v/>
      </c>
      <c r="AM351" s="1" t="str">
        <f>IF(OR($B351="",AM$7=""),"",IF($B351="MEANS",INDEX('1-DATA'!$1:$1048576,$A350-1,COLUMN('1-DATA'!AL349)),ROUND(INDEX('1-DATA'!$1:$1048576,IF(OR($B351="STD. DEVIATION",$C$1=1),$A351,$A351+1),COLUMN('1-DATA'!AL349)),IF($B351="STD. DEVIATION",2,$F$1))))</f>
        <v/>
      </c>
      <c r="AN351" s="1" t="str">
        <f>IF(OR($B351="",AN$7=""),"",IF($B351="MEANS",INDEX('1-DATA'!$1:$1048576,$A350-1,COLUMN('1-DATA'!AM349)),ROUND(INDEX('1-DATA'!$1:$1048576,IF(OR($B351="STD. DEVIATION",$C$1=1),$A351,$A351+1),COLUMN('1-DATA'!AM349)),IF($B351="STD. DEVIATION",2,$F$1))))</f>
        <v/>
      </c>
      <c r="AO351" s="1" t="str">
        <f>IF(OR($B351="",AO$7=""),"",IF($B351="MEANS",INDEX('1-DATA'!$1:$1048576,$A350-1,COLUMN('1-DATA'!AN349)),ROUND(INDEX('1-DATA'!$1:$1048576,IF(OR($B351="STD. DEVIATION",$C$1=1),$A351,$A351+1),COLUMN('1-DATA'!AN349)),IF($B351="STD. DEVIATION",2,$F$1))))</f>
        <v/>
      </c>
      <c r="AP351" s="1" t="str">
        <f>IF(OR($B351="",AP$7=""),"",IF($B351="MEANS",INDEX('1-DATA'!$1:$1048576,$A350-1,COLUMN('1-DATA'!AO349)),ROUND(INDEX('1-DATA'!$1:$1048576,IF(OR($B351="STD. DEVIATION",$C$1=1),$A351,$A351+1),COLUMN('1-DATA'!AO349)),IF($B351="STD. DEVIATION",2,$F$1))))</f>
        <v/>
      </c>
      <c r="AQ351" s="1" t="str">
        <f>IF(OR($B351="",AQ$7=""),"",IF($B351="MEANS",INDEX('1-DATA'!$1:$1048576,$A350-1,COLUMN('1-DATA'!AP349)),ROUND(INDEX('1-DATA'!$1:$1048576,IF(OR($B351="STD. DEVIATION",$C$1=1),$A351,$A351+1),COLUMN('1-DATA'!AP349)),IF($B351="STD. DEVIATION",2,$F$1))))</f>
        <v/>
      </c>
      <c r="AR351" s="1" t="str">
        <f>IF(OR($B351="",AR$7=""),"",IF($B351="MEANS",INDEX('1-DATA'!$1:$1048576,$A350-1,COLUMN('1-DATA'!AQ349)),ROUND(INDEX('1-DATA'!$1:$1048576,IF(OR($B351="STD. DEVIATION",$C$1=1),$A351,$A351+1),COLUMN('1-DATA'!AQ349)),IF($B351="STD. DEVIATION",2,$F$1))))</f>
        <v/>
      </c>
      <c r="AS351" s="1" t="str">
        <f>IF(OR($B351="",AS$7=""),"",IF($B351="MEANS",INDEX('1-DATA'!$1:$1048576,$A350-1,COLUMN('1-DATA'!AR349)),ROUND(INDEX('1-DATA'!$1:$1048576,IF(OR($B351="STD. DEVIATION",$C$1=1),$A351,$A351+1),COLUMN('1-DATA'!AR349)),IF($B351="STD. DEVIATION",2,$F$1))))</f>
        <v/>
      </c>
      <c r="AT351" s="1" t="str">
        <f>IF(OR($B351="",AT$7=""),"",IF($B351="MEANS",INDEX('1-DATA'!$1:$1048576,$A350-1,COLUMN('1-DATA'!AS349)),ROUND(INDEX('1-DATA'!$1:$1048576,IF(OR($B351="STD. DEVIATION",$C$1=1),$A351,$A351+1),COLUMN('1-DATA'!AS349)),IF($B351="STD. DEVIATION",2,$F$1))))</f>
        <v/>
      </c>
      <c r="AU351" s="1" t="str">
        <f>IF(OR($B351="",AU$7=""),"",IF($B351="MEANS",INDEX('1-DATA'!$1:$1048576,$A350-1,COLUMN('1-DATA'!AT349)),ROUND(INDEX('1-DATA'!$1:$1048576,IF(OR($B351="STD. DEVIATION",$C$1=1),$A351,$A351+1),COLUMN('1-DATA'!AT349)),IF($B351="STD. DEVIATION",2,$F$1))))</f>
        <v/>
      </c>
      <c r="AV351" s="1" t="str">
        <f>IF(OR($B351="",AV$7=""),"",IF($B351="MEANS",INDEX('1-DATA'!$1:$1048576,$A350-1,COLUMN('1-DATA'!AU349)),ROUND(INDEX('1-DATA'!$1:$1048576,IF(OR($B351="STD. DEVIATION",$C$1=1),$A351,$A351+1),COLUMN('1-DATA'!AU349)),IF($B351="STD. DEVIATION",2,$F$1))))</f>
        <v/>
      </c>
      <c r="AW351" s="1" t="str">
        <f>IF(OR($B351="",AW$7=""),"",IF($B351="MEANS",INDEX('1-DATA'!$1:$1048576,$A350-1,COLUMN('1-DATA'!AV349)),ROUND(INDEX('1-DATA'!$1:$1048576,IF(OR($B351="STD. DEVIATION",$C$1=1),$A351,$A351+1),COLUMN('1-DATA'!AV349)),IF($B351="STD. DEVIATION",2,$F$1))))</f>
        <v/>
      </c>
      <c r="AX351" s="1" t="str">
        <f>IF(OR($B351="",AX$7=""),"",IF($B351="MEANS",INDEX('1-DATA'!$1:$1048576,$A350-1,COLUMN('1-DATA'!AW349)),ROUND(INDEX('1-DATA'!$1:$1048576,IF(OR($B351="STD. DEVIATION",$C$1=1),$A351,$A351+1),COLUMN('1-DATA'!AW349)),IF($B351="STD. DEVIATION",2,$F$1))))</f>
        <v/>
      </c>
      <c r="AY351" s="1" t="str">
        <f>IF(OR($B351="",AY$7=""),"",IF($B351="MEANS",INDEX('1-DATA'!$1:$1048576,$A350-1,COLUMN('1-DATA'!AX349)),ROUND(INDEX('1-DATA'!$1:$1048576,IF(OR($B351="STD. DEVIATION",$C$1=1),$A351,$A351+1),COLUMN('1-DATA'!AX349)),IF($B351="STD. DEVIATION",2,$F$1))))</f>
        <v/>
      </c>
      <c r="AZ351" s="1" t="str">
        <f>IF(OR($B351="",AZ$7=""),"",IF($B351="MEANS",INDEX('1-DATA'!$1:$1048576,$A350-1,COLUMN('1-DATA'!AY349)),ROUND(INDEX('1-DATA'!$1:$1048576,IF(OR($B351="STD. DEVIATION",$C$1=1),$A351,$A351+1),COLUMN('1-DATA'!AY349)),IF($B351="STD. DEVIATION",2,$F$1))))</f>
        <v/>
      </c>
    </row>
    <row r="352" spans="1:52" x14ac:dyDescent="0.25">
      <c r="A352" s="11">
        <f t="shared" si="6"/>
        <v>1042</v>
      </c>
      <c r="B352" s="1" t="str">
        <f>IF(B351="STD. DEVIATION",INDEX('1-DATA'!$1:$1048576,$A351-1,1),IF(INDEX('1-DATA'!$1:$1048576,$A352,1)&lt;&gt;"",INDEX('1-DATA'!$1:$1048576,$A352,1),""))</f>
        <v/>
      </c>
      <c r="C352" s="1" t="str">
        <f>IF(OR($B352="",C$7=""),"",IF($B352="MEANS",INDEX('1-DATA'!$1:$1048576,$A351-1,COLUMN('1-DATA'!B350)),ROUND(INDEX('1-DATA'!$1:$1048576,IF(OR($B352="STD. DEVIATION",$C$1=1),$A352,$A352+1),COLUMN('1-DATA'!B350)),IF($B352="STD. DEVIATION",2,$F$1))))</f>
        <v/>
      </c>
      <c r="D352" s="1" t="str">
        <f>IF(OR($B352="",D$7=""),"",IF($B352="MEANS",INDEX('1-DATA'!$1:$1048576,$A351-1,COLUMN('1-DATA'!C350)),ROUND(INDEX('1-DATA'!$1:$1048576,IF(OR($B352="STD. DEVIATION",$C$1=1),$A352,$A352+1),COLUMN('1-DATA'!C350)),IF($B352="STD. DEVIATION",2,$F$1))))</f>
        <v/>
      </c>
      <c r="E352" s="1" t="str">
        <f>IF(OR($B352="",E$7=""),"",IF($B352="MEANS",INDEX('1-DATA'!$1:$1048576,$A351-1,COLUMN('1-DATA'!D350)),ROUND(INDEX('1-DATA'!$1:$1048576,IF(OR($B352="STD. DEVIATION",$C$1=1),$A352,$A352+1),COLUMN('1-DATA'!D350)),IF($B352="STD. DEVIATION",2,$F$1))))</f>
        <v/>
      </c>
      <c r="F352" s="1" t="str">
        <f>IF(OR($B352="",F$7=""),"",IF($B352="MEANS",INDEX('1-DATA'!$1:$1048576,$A351-1,COLUMN('1-DATA'!E350)),ROUND(INDEX('1-DATA'!$1:$1048576,IF(OR($B352="STD. DEVIATION",$C$1=1),$A352,$A352+1),COLUMN('1-DATA'!E350)),IF($B352="STD. DEVIATION",2,$F$1))))</f>
        <v/>
      </c>
      <c r="G352" s="1" t="str">
        <f>IF(OR($B352="",G$7=""),"",IF($B352="MEANS",INDEX('1-DATA'!$1:$1048576,$A351-1,COLUMN('1-DATA'!F350)),ROUND(INDEX('1-DATA'!$1:$1048576,IF(OR($B352="STD. DEVIATION",$C$1=1),$A352,$A352+1),COLUMN('1-DATA'!F350)),IF($B352="STD. DEVIATION",2,$F$1))))</f>
        <v/>
      </c>
      <c r="H352" s="1" t="str">
        <f>IF(OR($B352="",H$7=""),"",IF($B352="MEANS",INDEX('1-DATA'!$1:$1048576,$A351-1,COLUMN('1-DATA'!G350)),ROUND(INDEX('1-DATA'!$1:$1048576,IF(OR($B352="STD. DEVIATION",$C$1=1),$A352,$A352+1),COLUMN('1-DATA'!G350)),IF($B352="STD. DEVIATION",2,$F$1))))</f>
        <v/>
      </c>
      <c r="I352" s="1" t="str">
        <f>IF(OR($B352="",I$7=""),"",IF($B352="MEANS",INDEX('1-DATA'!$1:$1048576,$A351-1,COLUMN('1-DATA'!H350)),ROUND(INDEX('1-DATA'!$1:$1048576,IF(OR($B352="STD. DEVIATION",$C$1=1),$A352,$A352+1),COLUMN('1-DATA'!H350)),IF($B352="STD. DEVIATION",2,$F$1))))</f>
        <v/>
      </c>
      <c r="J352" s="1" t="str">
        <f>IF(OR($B352="",J$7=""),"",IF($B352="MEANS",INDEX('1-DATA'!$1:$1048576,$A351-1,COLUMN('1-DATA'!I350)),ROUND(INDEX('1-DATA'!$1:$1048576,IF(OR($B352="STD. DEVIATION",$C$1=1),$A352,$A352+1),COLUMN('1-DATA'!I350)),IF($B352="STD. DEVIATION",2,$F$1))))</f>
        <v/>
      </c>
      <c r="K352" s="1" t="str">
        <f>IF(OR($B352="",K$7=""),"",IF($B352="MEANS",INDEX('1-DATA'!$1:$1048576,$A351-1,COLUMN('1-DATA'!J350)),ROUND(INDEX('1-DATA'!$1:$1048576,IF(OR($B352="STD. DEVIATION",$C$1=1),$A352,$A352+1),COLUMN('1-DATA'!J350)),IF($B352="STD. DEVIATION",2,$F$1))))</f>
        <v/>
      </c>
      <c r="L352" s="1" t="str">
        <f>IF(OR($B352="",L$7=""),"",IF($B352="MEANS",INDEX('1-DATA'!$1:$1048576,$A351-1,COLUMN('1-DATA'!K350)),ROUND(INDEX('1-DATA'!$1:$1048576,IF(OR($B352="STD. DEVIATION",$C$1=1),$A352,$A352+1),COLUMN('1-DATA'!K350)),IF($B352="STD. DEVIATION",2,$F$1))))</f>
        <v/>
      </c>
      <c r="M352" s="1" t="str">
        <f>IF(OR($B352="",M$7=""),"",IF($B352="MEANS",INDEX('1-DATA'!$1:$1048576,$A351-1,COLUMN('1-DATA'!L350)),ROUND(INDEX('1-DATA'!$1:$1048576,IF(OR($B352="STD. DEVIATION",$C$1=1),$A352,$A352+1),COLUMN('1-DATA'!L350)),IF($B352="STD. DEVIATION",2,$F$1))))</f>
        <v/>
      </c>
      <c r="N352" s="1" t="str">
        <f>IF(OR($B352="",N$7=""),"",IF($B352="MEANS",INDEX('1-DATA'!$1:$1048576,$A351-1,COLUMN('1-DATA'!M350)),ROUND(INDEX('1-DATA'!$1:$1048576,IF(OR($B352="STD. DEVIATION",$C$1=1),$A352,$A352+1),COLUMN('1-DATA'!M350)),IF($B352="STD. DEVIATION",2,$F$1))))</f>
        <v/>
      </c>
      <c r="O352" s="1" t="str">
        <f>IF(OR($B352="",O$7=""),"",IF($B352="MEANS",INDEX('1-DATA'!$1:$1048576,$A351-1,COLUMN('1-DATA'!N350)),ROUND(INDEX('1-DATA'!$1:$1048576,IF(OR($B352="STD. DEVIATION",$C$1=1),$A352,$A352+1),COLUMN('1-DATA'!N350)),IF($B352="STD. DEVIATION",2,$F$1))))</f>
        <v/>
      </c>
      <c r="P352" s="1" t="str">
        <f>IF(OR($B352="",P$7=""),"",IF($B352="MEANS",INDEX('1-DATA'!$1:$1048576,$A351-1,COLUMN('1-DATA'!O350)),ROUND(INDEX('1-DATA'!$1:$1048576,IF(OR($B352="STD. DEVIATION",$C$1=1),$A352,$A352+1),COLUMN('1-DATA'!O350)),IF($B352="STD. DEVIATION",2,$F$1))))</f>
        <v/>
      </c>
      <c r="Q352" s="1" t="str">
        <f>IF(OR($B352="",Q$7=""),"",IF($B352="MEANS",INDEX('1-DATA'!$1:$1048576,$A351-1,COLUMN('1-DATA'!P350)),ROUND(INDEX('1-DATA'!$1:$1048576,IF(OR($B352="STD. DEVIATION",$C$1=1),$A352,$A352+1),COLUMN('1-DATA'!P350)),IF($B352="STD. DEVIATION",2,$F$1))))</f>
        <v/>
      </c>
      <c r="R352" s="1" t="str">
        <f>IF(OR($B352="",R$7=""),"",IF($B352="MEANS",INDEX('1-DATA'!$1:$1048576,$A351-1,COLUMN('1-DATA'!Q350)),ROUND(INDEX('1-DATA'!$1:$1048576,IF(OR($B352="STD. DEVIATION",$C$1=1),$A352,$A352+1),COLUMN('1-DATA'!Q350)),IF($B352="STD. DEVIATION",2,$F$1))))</f>
        <v/>
      </c>
      <c r="S352" s="1" t="str">
        <f>IF(OR($B352="",S$7=""),"",IF($B352="MEANS",INDEX('1-DATA'!$1:$1048576,$A351-1,COLUMN('1-DATA'!R350)),ROUND(INDEX('1-DATA'!$1:$1048576,IF(OR($B352="STD. DEVIATION",$C$1=1),$A352,$A352+1),COLUMN('1-DATA'!R350)),IF($B352="STD. DEVIATION",2,$F$1))))</f>
        <v/>
      </c>
      <c r="T352" s="1" t="str">
        <f>IF(OR($B352="",T$7=""),"",IF($B352="MEANS",INDEX('1-DATA'!$1:$1048576,$A351-1,COLUMN('1-DATA'!S350)),ROUND(INDEX('1-DATA'!$1:$1048576,IF(OR($B352="STD. DEVIATION",$C$1=1),$A352,$A352+1),COLUMN('1-DATA'!S350)),IF($B352="STD. DEVIATION",2,$F$1))))</f>
        <v/>
      </c>
      <c r="U352" s="1" t="str">
        <f>IF(OR($B352="",U$7=""),"",IF($B352="MEANS",INDEX('1-DATA'!$1:$1048576,$A351-1,COLUMN('1-DATA'!T350)),ROUND(INDEX('1-DATA'!$1:$1048576,IF(OR($B352="STD. DEVIATION",$C$1=1),$A352,$A352+1),COLUMN('1-DATA'!T350)),IF($B352="STD. DEVIATION",2,$F$1))))</f>
        <v/>
      </c>
      <c r="V352" s="1" t="str">
        <f>IF(OR($B352="",V$7=""),"",IF($B352="MEANS",INDEX('1-DATA'!$1:$1048576,$A351-1,COLUMN('1-DATA'!U350)),ROUND(INDEX('1-DATA'!$1:$1048576,IF(OR($B352="STD. DEVIATION",$C$1=1),$A352,$A352+1),COLUMN('1-DATA'!U350)),IF($B352="STD. DEVIATION",2,$F$1))))</f>
        <v/>
      </c>
      <c r="W352" s="1" t="str">
        <f>IF(OR($B352="",W$7=""),"",IF($B352="MEANS",INDEX('1-DATA'!$1:$1048576,$A351-1,COLUMN('1-DATA'!V350)),ROUND(INDEX('1-DATA'!$1:$1048576,IF(OR($B352="STD. DEVIATION",$C$1=1),$A352,$A352+1),COLUMN('1-DATA'!V350)),IF($B352="STD. DEVIATION",2,$F$1))))</f>
        <v/>
      </c>
      <c r="X352" s="1" t="str">
        <f>IF(OR($B352="",X$7=""),"",IF($B352="MEANS",INDEX('1-DATA'!$1:$1048576,$A351-1,COLUMN('1-DATA'!W350)),ROUND(INDEX('1-DATA'!$1:$1048576,IF(OR($B352="STD. DEVIATION",$C$1=1),$A352,$A352+1),COLUMN('1-DATA'!W350)),IF($B352="STD. DEVIATION",2,$F$1))))</f>
        <v/>
      </c>
      <c r="Y352" s="1" t="str">
        <f>IF(OR($B352="",Y$7=""),"",IF($B352="MEANS",INDEX('1-DATA'!$1:$1048576,$A351-1,COLUMN('1-DATA'!X350)),ROUND(INDEX('1-DATA'!$1:$1048576,IF(OR($B352="STD. DEVIATION",$C$1=1),$A352,$A352+1),COLUMN('1-DATA'!X350)),IF($B352="STD. DEVIATION",2,$F$1))))</f>
        <v/>
      </c>
      <c r="Z352" s="1" t="str">
        <f>IF(OR($B352="",Z$7=""),"",IF($B352="MEANS",INDEX('1-DATA'!$1:$1048576,$A351-1,COLUMN('1-DATA'!Y350)),ROUND(INDEX('1-DATA'!$1:$1048576,IF(OR($B352="STD. DEVIATION",$C$1=1),$A352,$A352+1),COLUMN('1-DATA'!Y350)),IF($B352="STD. DEVIATION",2,$F$1))))</f>
        <v/>
      </c>
      <c r="AA352" s="1" t="str">
        <f>IF(OR($B352="",AA$7=""),"",IF($B352="MEANS",INDEX('1-DATA'!$1:$1048576,$A351-1,COLUMN('1-DATA'!Z350)),ROUND(INDEX('1-DATA'!$1:$1048576,IF(OR($B352="STD. DEVIATION",$C$1=1),$A352,$A352+1),COLUMN('1-DATA'!Z350)),IF($B352="STD. DEVIATION",2,$F$1))))</f>
        <v/>
      </c>
      <c r="AB352" s="1" t="str">
        <f>IF(OR($B352="",AB$7=""),"",IF($B352="MEANS",INDEX('1-DATA'!$1:$1048576,$A351-1,COLUMN('1-DATA'!AA350)),ROUND(INDEX('1-DATA'!$1:$1048576,IF(OR($B352="STD. DEVIATION",$C$1=1),$A352,$A352+1),COLUMN('1-DATA'!AA350)),IF($B352="STD. DEVIATION",2,$F$1))))</f>
        <v/>
      </c>
      <c r="AC352" s="1" t="str">
        <f>IF(OR($B352="",AC$7=""),"",IF($B352="MEANS",INDEX('1-DATA'!$1:$1048576,$A351-1,COLUMN('1-DATA'!AB350)),ROUND(INDEX('1-DATA'!$1:$1048576,IF(OR($B352="STD. DEVIATION",$C$1=1),$A352,$A352+1),COLUMN('1-DATA'!AB350)),IF($B352="STD. DEVIATION",2,$F$1))))</f>
        <v/>
      </c>
      <c r="AD352" s="1" t="str">
        <f>IF(OR($B352="",AD$7=""),"",IF($B352="MEANS",INDEX('1-DATA'!$1:$1048576,$A351-1,COLUMN('1-DATA'!AC350)),ROUND(INDEX('1-DATA'!$1:$1048576,IF(OR($B352="STD. DEVIATION",$C$1=1),$A352,$A352+1),COLUMN('1-DATA'!AC350)),IF($B352="STD. DEVIATION",2,$F$1))))</f>
        <v/>
      </c>
      <c r="AE352" s="1" t="str">
        <f>IF(OR($B352="",AE$7=""),"",IF($B352="MEANS",INDEX('1-DATA'!$1:$1048576,$A351-1,COLUMN('1-DATA'!AD350)),ROUND(INDEX('1-DATA'!$1:$1048576,IF(OR($B352="STD. DEVIATION",$C$1=1),$A352,$A352+1),COLUMN('1-DATA'!AD350)),IF($B352="STD. DEVIATION",2,$F$1))))</f>
        <v/>
      </c>
      <c r="AF352" s="1" t="str">
        <f>IF(OR($B352="",AF$7=""),"",IF($B352="MEANS",INDEX('1-DATA'!$1:$1048576,$A351-1,COLUMN('1-DATA'!AE350)),ROUND(INDEX('1-DATA'!$1:$1048576,IF(OR($B352="STD. DEVIATION",$C$1=1),$A352,$A352+1),COLUMN('1-DATA'!AE350)),IF($B352="STD. DEVIATION",2,$F$1))))</f>
        <v/>
      </c>
      <c r="AG352" s="1" t="str">
        <f>IF(OR($B352="",AG$7=""),"",IF($B352="MEANS",INDEX('1-DATA'!$1:$1048576,$A351-1,COLUMN('1-DATA'!AF350)),ROUND(INDEX('1-DATA'!$1:$1048576,IF(OR($B352="STD. DEVIATION",$C$1=1),$A352,$A352+1),COLUMN('1-DATA'!AF350)),IF($B352="STD. DEVIATION",2,$F$1))))</f>
        <v/>
      </c>
      <c r="AH352" s="1" t="str">
        <f>IF(OR($B352="",AH$7=""),"",IF($B352="MEANS",INDEX('1-DATA'!$1:$1048576,$A351-1,COLUMN('1-DATA'!AG350)),ROUND(INDEX('1-DATA'!$1:$1048576,IF(OR($B352="STD. DEVIATION",$C$1=1),$A352,$A352+1),COLUMN('1-DATA'!AG350)),IF($B352="STD. DEVIATION",2,$F$1))))</f>
        <v/>
      </c>
      <c r="AI352" s="1" t="str">
        <f>IF(OR($B352="",AI$7=""),"",IF($B352="MEANS",INDEX('1-DATA'!$1:$1048576,$A351-1,COLUMN('1-DATA'!AH350)),ROUND(INDEX('1-DATA'!$1:$1048576,IF(OR($B352="STD. DEVIATION",$C$1=1),$A352,$A352+1),COLUMN('1-DATA'!AH350)),IF($B352="STD. DEVIATION",2,$F$1))))</f>
        <v/>
      </c>
      <c r="AJ352" s="1" t="str">
        <f>IF(OR($B352="",AJ$7=""),"",IF($B352="MEANS",INDEX('1-DATA'!$1:$1048576,$A351-1,COLUMN('1-DATA'!AI350)),ROUND(INDEX('1-DATA'!$1:$1048576,IF(OR($B352="STD. DEVIATION",$C$1=1),$A352,$A352+1),COLUMN('1-DATA'!AI350)),IF($B352="STD. DEVIATION",2,$F$1))))</f>
        <v/>
      </c>
      <c r="AK352" s="1" t="str">
        <f>IF(OR($B352="",AK$7=""),"",IF($B352="MEANS",INDEX('1-DATA'!$1:$1048576,$A351-1,COLUMN('1-DATA'!AJ350)),ROUND(INDEX('1-DATA'!$1:$1048576,IF(OR($B352="STD. DEVIATION",$C$1=1),$A352,$A352+1),COLUMN('1-DATA'!AJ350)),IF($B352="STD. DEVIATION",2,$F$1))))</f>
        <v/>
      </c>
      <c r="AL352" s="1" t="str">
        <f>IF(OR($B352="",AL$7=""),"",IF($B352="MEANS",INDEX('1-DATA'!$1:$1048576,$A351-1,COLUMN('1-DATA'!AK350)),ROUND(INDEX('1-DATA'!$1:$1048576,IF(OR($B352="STD. DEVIATION",$C$1=1),$A352,$A352+1),COLUMN('1-DATA'!AK350)),IF($B352="STD. DEVIATION",2,$F$1))))</f>
        <v/>
      </c>
      <c r="AM352" s="1" t="str">
        <f>IF(OR($B352="",AM$7=""),"",IF($B352="MEANS",INDEX('1-DATA'!$1:$1048576,$A351-1,COLUMN('1-DATA'!AL350)),ROUND(INDEX('1-DATA'!$1:$1048576,IF(OR($B352="STD. DEVIATION",$C$1=1),$A352,$A352+1),COLUMN('1-DATA'!AL350)),IF($B352="STD. DEVIATION",2,$F$1))))</f>
        <v/>
      </c>
      <c r="AN352" s="1" t="str">
        <f>IF(OR($B352="",AN$7=""),"",IF($B352="MEANS",INDEX('1-DATA'!$1:$1048576,$A351-1,COLUMN('1-DATA'!AM350)),ROUND(INDEX('1-DATA'!$1:$1048576,IF(OR($B352="STD. DEVIATION",$C$1=1),$A352,$A352+1),COLUMN('1-DATA'!AM350)),IF($B352="STD. DEVIATION",2,$F$1))))</f>
        <v/>
      </c>
      <c r="AO352" s="1" t="str">
        <f>IF(OR($B352="",AO$7=""),"",IF($B352="MEANS",INDEX('1-DATA'!$1:$1048576,$A351-1,COLUMN('1-DATA'!AN350)),ROUND(INDEX('1-DATA'!$1:$1048576,IF(OR($B352="STD. DEVIATION",$C$1=1),$A352,$A352+1),COLUMN('1-DATA'!AN350)),IF($B352="STD. DEVIATION",2,$F$1))))</f>
        <v/>
      </c>
      <c r="AP352" s="1" t="str">
        <f>IF(OR($B352="",AP$7=""),"",IF($B352="MEANS",INDEX('1-DATA'!$1:$1048576,$A351-1,COLUMN('1-DATA'!AO350)),ROUND(INDEX('1-DATA'!$1:$1048576,IF(OR($B352="STD. DEVIATION",$C$1=1),$A352,$A352+1),COLUMN('1-DATA'!AO350)),IF($B352="STD. DEVIATION",2,$F$1))))</f>
        <v/>
      </c>
      <c r="AQ352" s="1" t="str">
        <f>IF(OR($B352="",AQ$7=""),"",IF($B352="MEANS",INDEX('1-DATA'!$1:$1048576,$A351-1,COLUMN('1-DATA'!AP350)),ROUND(INDEX('1-DATA'!$1:$1048576,IF(OR($B352="STD. DEVIATION",$C$1=1),$A352,$A352+1),COLUMN('1-DATA'!AP350)),IF($B352="STD. DEVIATION",2,$F$1))))</f>
        <v/>
      </c>
      <c r="AR352" s="1" t="str">
        <f>IF(OR($B352="",AR$7=""),"",IF($B352="MEANS",INDEX('1-DATA'!$1:$1048576,$A351-1,COLUMN('1-DATA'!AQ350)),ROUND(INDEX('1-DATA'!$1:$1048576,IF(OR($B352="STD. DEVIATION",$C$1=1),$A352,$A352+1),COLUMN('1-DATA'!AQ350)),IF($B352="STD. DEVIATION",2,$F$1))))</f>
        <v/>
      </c>
      <c r="AS352" s="1" t="str">
        <f>IF(OR($B352="",AS$7=""),"",IF($B352="MEANS",INDEX('1-DATA'!$1:$1048576,$A351-1,COLUMN('1-DATA'!AR350)),ROUND(INDEX('1-DATA'!$1:$1048576,IF(OR($B352="STD. DEVIATION",$C$1=1),$A352,$A352+1),COLUMN('1-DATA'!AR350)),IF($B352="STD. DEVIATION",2,$F$1))))</f>
        <v/>
      </c>
      <c r="AT352" s="1" t="str">
        <f>IF(OR($B352="",AT$7=""),"",IF($B352="MEANS",INDEX('1-DATA'!$1:$1048576,$A351-1,COLUMN('1-DATA'!AS350)),ROUND(INDEX('1-DATA'!$1:$1048576,IF(OR($B352="STD. DEVIATION",$C$1=1),$A352,$A352+1),COLUMN('1-DATA'!AS350)),IF($B352="STD. DEVIATION",2,$F$1))))</f>
        <v/>
      </c>
      <c r="AU352" s="1" t="str">
        <f>IF(OR($B352="",AU$7=""),"",IF($B352="MEANS",INDEX('1-DATA'!$1:$1048576,$A351-1,COLUMN('1-DATA'!AT350)),ROUND(INDEX('1-DATA'!$1:$1048576,IF(OR($B352="STD. DEVIATION",$C$1=1),$A352,$A352+1),COLUMN('1-DATA'!AT350)),IF($B352="STD. DEVIATION",2,$F$1))))</f>
        <v/>
      </c>
      <c r="AV352" s="1" t="str">
        <f>IF(OR($B352="",AV$7=""),"",IF($B352="MEANS",INDEX('1-DATA'!$1:$1048576,$A351-1,COLUMN('1-DATA'!AU350)),ROUND(INDEX('1-DATA'!$1:$1048576,IF(OR($B352="STD. DEVIATION",$C$1=1),$A352,$A352+1),COLUMN('1-DATA'!AU350)),IF($B352="STD. DEVIATION",2,$F$1))))</f>
        <v/>
      </c>
      <c r="AW352" s="1" t="str">
        <f>IF(OR($B352="",AW$7=""),"",IF($B352="MEANS",INDEX('1-DATA'!$1:$1048576,$A351-1,COLUMN('1-DATA'!AV350)),ROUND(INDEX('1-DATA'!$1:$1048576,IF(OR($B352="STD. DEVIATION",$C$1=1),$A352,$A352+1),COLUMN('1-DATA'!AV350)),IF($B352="STD. DEVIATION",2,$F$1))))</f>
        <v/>
      </c>
      <c r="AX352" s="1" t="str">
        <f>IF(OR($B352="",AX$7=""),"",IF($B352="MEANS",INDEX('1-DATA'!$1:$1048576,$A351-1,COLUMN('1-DATA'!AW350)),ROUND(INDEX('1-DATA'!$1:$1048576,IF(OR($B352="STD. DEVIATION",$C$1=1),$A352,$A352+1),COLUMN('1-DATA'!AW350)),IF($B352="STD. DEVIATION",2,$F$1))))</f>
        <v/>
      </c>
      <c r="AY352" s="1" t="str">
        <f>IF(OR($B352="",AY$7=""),"",IF($B352="MEANS",INDEX('1-DATA'!$1:$1048576,$A351-1,COLUMN('1-DATA'!AX350)),ROUND(INDEX('1-DATA'!$1:$1048576,IF(OR($B352="STD. DEVIATION",$C$1=1),$A352,$A352+1),COLUMN('1-DATA'!AX350)),IF($B352="STD. DEVIATION",2,$F$1))))</f>
        <v/>
      </c>
      <c r="AZ352" s="1" t="str">
        <f>IF(OR($B352="",AZ$7=""),"",IF($B352="MEANS",INDEX('1-DATA'!$1:$1048576,$A351-1,COLUMN('1-DATA'!AY350)),ROUND(INDEX('1-DATA'!$1:$1048576,IF(OR($B352="STD. DEVIATION",$C$1=1),$A352,$A352+1),COLUMN('1-DATA'!AY350)),IF($B352="STD. DEVIATION",2,$F$1))))</f>
        <v/>
      </c>
    </row>
    <row r="353" spans="1:52" x14ac:dyDescent="0.25">
      <c r="A353" s="11">
        <f t="shared" si="6"/>
        <v>1045</v>
      </c>
      <c r="B353" s="1" t="str">
        <f>IF(B352="STD. DEVIATION",INDEX('1-DATA'!$1:$1048576,$A352-1,1),IF(INDEX('1-DATA'!$1:$1048576,$A353,1)&lt;&gt;"",INDEX('1-DATA'!$1:$1048576,$A353,1),""))</f>
        <v/>
      </c>
      <c r="C353" s="1" t="str">
        <f>IF(OR($B353="",C$7=""),"",IF($B353="MEANS",INDEX('1-DATA'!$1:$1048576,$A352-1,COLUMN('1-DATA'!B351)),ROUND(INDEX('1-DATA'!$1:$1048576,IF(OR($B353="STD. DEVIATION",$C$1=1),$A353,$A353+1),COLUMN('1-DATA'!B351)),IF($B353="STD. DEVIATION",2,$F$1))))</f>
        <v/>
      </c>
      <c r="D353" s="1" t="str">
        <f>IF(OR($B353="",D$7=""),"",IF($B353="MEANS",INDEX('1-DATA'!$1:$1048576,$A352-1,COLUMN('1-DATA'!C351)),ROUND(INDEX('1-DATA'!$1:$1048576,IF(OR($B353="STD. DEVIATION",$C$1=1),$A353,$A353+1),COLUMN('1-DATA'!C351)),IF($B353="STD. DEVIATION",2,$F$1))))</f>
        <v/>
      </c>
      <c r="E353" s="1" t="str">
        <f>IF(OR($B353="",E$7=""),"",IF($B353="MEANS",INDEX('1-DATA'!$1:$1048576,$A352-1,COLUMN('1-DATA'!D351)),ROUND(INDEX('1-DATA'!$1:$1048576,IF(OR($B353="STD. DEVIATION",$C$1=1),$A353,$A353+1),COLUMN('1-DATA'!D351)),IF($B353="STD. DEVIATION",2,$F$1))))</f>
        <v/>
      </c>
      <c r="F353" s="1" t="str">
        <f>IF(OR($B353="",F$7=""),"",IF($B353="MEANS",INDEX('1-DATA'!$1:$1048576,$A352-1,COLUMN('1-DATA'!E351)),ROUND(INDEX('1-DATA'!$1:$1048576,IF(OR($B353="STD. DEVIATION",$C$1=1),$A353,$A353+1),COLUMN('1-DATA'!E351)),IF($B353="STD. DEVIATION",2,$F$1))))</f>
        <v/>
      </c>
      <c r="G353" s="1" t="str">
        <f>IF(OR($B353="",G$7=""),"",IF($B353="MEANS",INDEX('1-DATA'!$1:$1048576,$A352-1,COLUMN('1-DATA'!F351)),ROUND(INDEX('1-DATA'!$1:$1048576,IF(OR($B353="STD. DEVIATION",$C$1=1),$A353,$A353+1),COLUMN('1-DATA'!F351)),IF($B353="STD. DEVIATION",2,$F$1))))</f>
        <v/>
      </c>
      <c r="H353" s="1" t="str">
        <f>IF(OR($B353="",H$7=""),"",IF($B353="MEANS",INDEX('1-DATA'!$1:$1048576,$A352-1,COLUMN('1-DATA'!G351)),ROUND(INDEX('1-DATA'!$1:$1048576,IF(OR($B353="STD. DEVIATION",$C$1=1),$A353,$A353+1),COLUMN('1-DATA'!G351)),IF($B353="STD. DEVIATION",2,$F$1))))</f>
        <v/>
      </c>
      <c r="I353" s="1" t="str">
        <f>IF(OR($B353="",I$7=""),"",IF($B353="MEANS",INDEX('1-DATA'!$1:$1048576,$A352-1,COLUMN('1-DATA'!H351)),ROUND(INDEX('1-DATA'!$1:$1048576,IF(OR($B353="STD. DEVIATION",$C$1=1),$A353,$A353+1),COLUMN('1-DATA'!H351)),IF($B353="STD. DEVIATION",2,$F$1))))</f>
        <v/>
      </c>
      <c r="J353" s="1" t="str">
        <f>IF(OR($B353="",J$7=""),"",IF($B353="MEANS",INDEX('1-DATA'!$1:$1048576,$A352-1,COLUMN('1-DATA'!I351)),ROUND(INDEX('1-DATA'!$1:$1048576,IF(OR($B353="STD. DEVIATION",$C$1=1),$A353,$A353+1),COLUMN('1-DATA'!I351)),IF($B353="STD. DEVIATION",2,$F$1))))</f>
        <v/>
      </c>
      <c r="K353" s="1" t="str">
        <f>IF(OR($B353="",K$7=""),"",IF($B353="MEANS",INDEX('1-DATA'!$1:$1048576,$A352-1,COLUMN('1-DATA'!J351)),ROUND(INDEX('1-DATA'!$1:$1048576,IF(OR($B353="STD. DEVIATION",$C$1=1),$A353,$A353+1),COLUMN('1-DATA'!J351)),IF($B353="STD. DEVIATION",2,$F$1))))</f>
        <v/>
      </c>
      <c r="L353" s="1" t="str">
        <f>IF(OR($B353="",L$7=""),"",IF($B353="MEANS",INDEX('1-DATA'!$1:$1048576,$A352-1,COLUMN('1-DATA'!K351)),ROUND(INDEX('1-DATA'!$1:$1048576,IF(OR($B353="STD. DEVIATION",$C$1=1),$A353,$A353+1),COLUMN('1-DATA'!K351)),IF($B353="STD. DEVIATION",2,$F$1))))</f>
        <v/>
      </c>
      <c r="M353" s="1" t="str">
        <f>IF(OR($B353="",M$7=""),"",IF($B353="MEANS",INDEX('1-DATA'!$1:$1048576,$A352-1,COLUMN('1-DATA'!L351)),ROUND(INDEX('1-DATA'!$1:$1048576,IF(OR($B353="STD. DEVIATION",$C$1=1),$A353,$A353+1),COLUMN('1-DATA'!L351)),IF($B353="STD. DEVIATION",2,$F$1))))</f>
        <v/>
      </c>
      <c r="N353" s="1" t="str">
        <f>IF(OR($B353="",N$7=""),"",IF($B353="MEANS",INDEX('1-DATA'!$1:$1048576,$A352-1,COLUMN('1-DATA'!M351)),ROUND(INDEX('1-DATA'!$1:$1048576,IF(OR($B353="STD. DEVIATION",$C$1=1),$A353,$A353+1),COLUMN('1-DATA'!M351)),IF($B353="STD. DEVIATION",2,$F$1))))</f>
        <v/>
      </c>
      <c r="O353" s="1" t="str">
        <f>IF(OR($B353="",O$7=""),"",IF($B353="MEANS",INDEX('1-DATA'!$1:$1048576,$A352-1,COLUMN('1-DATA'!N351)),ROUND(INDEX('1-DATA'!$1:$1048576,IF(OR($B353="STD. DEVIATION",$C$1=1),$A353,$A353+1),COLUMN('1-DATA'!N351)),IF($B353="STD. DEVIATION",2,$F$1))))</f>
        <v/>
      </c>
      <c r="P353" s="1" t="str">
        <f>IF(OR($B353="",P$7=""),"",IF($B353="MEANS",INDEX('1-DATA'!$1:$1048576,$A352-1,COLUMN('1-DATA'!O351)),ROUND(INDEX('1-DATA'!$1:$1048576,IF(OR($B353="STD. DEVIATION",$C$1=1),$A353,$A353+1),COLUMN('1-DATA'!O351)),IF($B353="STD. DEVIATION",2,$F$1))))</f>
        <v/>
      </c>
      <c r="Q353" s="1" t="str">
        <f>IF(OR($B353="",Q$7=""),"",IF($B353="MEANS",INDEX('1-DATA'!$1:$1048576,$A352-1,COLUMN('1-DATA'!P351)),ROUND(INDEX('1-DATA'!$1:$1048576,IF(OR($B353="STD. DEVIATION",$C$1=1),$A353,$A353+1),COLUMN('1-DATA'!P351)),IF($B353="STD. DEVIATION",2,$F$1))))</f>
        <v/>
      </c>
      <c r="R353" s="1" t="str">
        <f>IF(OR($B353="",R$7=""),"",IF($B353="MEANS",INDEX('1-DATA'!$1:$1048576,$A352-1,COLUMN('1-DATA'!Q351)),ROUND(INDEX('1-DATA'!$1:$1048576,IF(OR($B353="STD. DEVIATION",$C$1=1),$A353,$A353+1),COLUMN('1-DATA'!Q351)),IF($B353="STD. DEVIATION",2,$F$1))))</f>
        <v/>
      </c>
      <c r="S353" s="1" t="str">
        <f>IF(OR($B353="",S$7=""),"",IF($B353="MEANS",INDEX('1-DATA'!$1:$1048576,$A352-1,COLUMN('1-DATA'!R351)),ROUND(INDEX('1-DATA'!$1:$1048576,IF(OR($B353="STD. DEVIATION",$C$1=1),$A353,$A353+1),COLUMN('1-DATA'!R351)),IF($B353="STD. DEVIATION",2,$F$1))))</f>
        <v/>
      </c>
      <c r="T353" s="1" t="str">
        <f>IF(OR($B353="",T$7=""),"",IF($B353="MEANS",INDEX('1-DATA'!$1:$1048576,$A352-1,COLUMN('1-DATA'!S351)),ROUND(INDEX('1-DATA'!$1:$1048576,IF(OR($B353="STD. DEVIATION",$C$1=1),$A353,$A353+1),COLUMN('1-DATA'!S351)),IF($B353="STD. DEVIATION",2,$F$1))))</f>
        <v/>
      </c>
      <c r="U353" s="1" t="str">
        <f>IF(OR($B353="",U$7=""),"",IF($B353="MEANS",INDEX('1-DATA'!$1:$1048576,$A352-1,COLUMN('1-DATA'!T351)),ROUND(INDEX('1-DATA'!$1:$1048576,IF(OR($B353="STD. DEVIATION",$C$1=1),$A353,$A353+1),COLUMN('1-DATA'!T351)),IF($B353="STD. DEVIATION",2,$F$1))))</f>
        <v/>
      </c>
      <c r="V353" s="1" t="str">
        <f>IF(OR($B353="",V$7=""),"",IF($B353="MEANS",INDEX('1-DATA'!$1:$1048576,$A352-1,COLUMN('1-DATA'!U351)),ROUND(INDEX('1-DATA'!$1:$1048576,IF(OR($B353="STD. DEVIATION",$C$1=1),$A353,$A353+1),COLUMN('1-DATA'!U351)),IF($B353="STD. DEVIATION",2,$F$1))))</f>
        <v/>
      </c>
      <c r="W353" s="1" t="str">
        <f>IF(OR($B353="",W$7=""),"",IF($B353="MEANS",INDEX('1-DATA'!$1:$1048576,$A352-1,COLUMN('1-DATA'!V351)),ROUND(INDEX('1-DATA'!$1:$1048576,IF(OR($B353="STD. DEVIATION",$C$1=1),$A353,$A353+1),COLUMN('1-DATA'!V351)),IF($B353="STD. DEVIATION",2,$F$1))))</f>
        <v/>
      </c>
      <c r="X353" s="1" t="str">
        <f>IF(OR($B353="",X$7=""),"",IF($B353="MEANS",INDEX('1-DATA'!$1:$1048576,$A352-1,COLUMN('1-DATA'!W351)),ROUND(INDEX('1-DATA'!$1:$1048576,IF(OR($B353="STD. DEVIATION",$C$1=1),$A353,$A353+1),COLUMN('1-DATA'!W351)),IF($B353="STD. DEVIATION",2,$F$1))))</f>
        <v/>
      </c>
      <c r="Y353" s="1" t="str">
        <f>IF(OR($B353="",Y$7=""),"",IF($B353="MEANS",INDEX('1-DATA'!$1:$1048576,$A352-1,COLUMN('1-DATA'!X351)),ROUND(INDEX('1-DATA'!$1:$1048576,IF(OR($B353="STD. DEVIATION",$C$1=1),$A353,$A353+1),COLUMN('1-DATA'!X351)),IF($B353="STD. DEVIATION",2,$F$1))))</f>
        <v/>
      </c>
      <c r="Z353" s="1" t="str">
        <f>IF(OR($B353="",Z$7=""),"",IF($B353="MEANS",INDEX('1-DATA'!$1:$1048576,$A352-1,COLUMN('1-DATA'!Y351)),ROUND(INDEX('1-DATA'!$1:$1048576,IF(OR($B353="STD. DEVIATION",$C$1=1),$A353,$A353+1),COLUMN('1-DATA'!Y351)),IF($B353="STD. DEVIATION",2,$F$1))))</f>
        <v/>
      </c>
      <c r="AA353" s="1" t="str">
        <f>IF(OR($B353="",AA$7=""),"",IF($B353="MEANS",INDEX('1-DATA'!$1:$1048576,$A352-1,COLUMN('1-DATA'!Z351)),ROUND(INDEX('1-DATA'!$1:$1048576,IF(OR($B353="STD. DEVIATION",$C$1=1),$A353,$A353+1),COLUMN('1-DATA'!Z351)),IF($B353="STD. DEVIATION",2,$F$1))))</f>
        <v/>
      </c>
      <c r="AB353" s="1" t="str">
        <f>IF(OR($B353="",AB$7=""),"",IF($B353="MEANS",INDEX('1-DATA'!$1:$1048576,$A352-1,COLUMN('1-DATA'!AA351)),ROUND(INDEX('1-DATA'!$1:$1048576,IF(OR($B353="STD. DEVIATION",$C$1=1),$A353,$A353+1),COLUMN('1-DATA'!AA351)),IF($B353="STD. DEVIATION",2,$F$1))))</f>
        <v/>
      </c>
      <c r="AC353" s="1" t="str">
        <f>IF(OR($B353="",AC$7=""),"",IF($B353="MEANS",INDEX('1-DATA'!$1:$1048576,$A352-1,COLUMN('1-DATA'!AB351)),ROUND(INDEX('1-DATA'!$1:$1048576,IF(OR($B353="STD. DEVIATION",$C$1=1),$A353,$A353+1),COLUMN('1-DATA'!AB351)),IF($B353="STD. DEVIATION",2,$F$1))))</f>
        <v/>
      </c>
      <c r="AD353" s="1" t="str">
        <f>IF(OR($B353="",AD$7=""),"",IF($B353="MEANS",INDEX('1-DATA'!$1:$1048576,$A352-1,COLUMN('1-DATA'!AC351)),ROUND(INDEX('1-DATA'!$1:$1048576,IF(OR($B353="STD. DEVIATION",$C$1=1),$A353,$A353+1),COLUMN('1-DATA'!AC351)),IF($B353="STD. DEVIATION",2,$F$1))))</f>
        <v/>
      </c>
      <c r="AE353" s="1" t="str">
        <f>IF(OR($B353="",AE$7=""),"",IF($B353="MEANS",INDEX('1-DATA'!$1:$1048576,$A352-1,COLUMN('1-DATA'!AD351)),ROUND(INDEX('1-DATA'!$1:$1048576,IF(OR($B353="STD. DEVIATION",$C$1=1),$A353,$A353+1),COLUMN('1-DATA'!AD351)),IF($B353="STD. DEVIATION",2,$F$1))))</f>
        <v/>
      </c>
      <c r="AF353" s="1" t="str">
        <f>IF(OR($B353="",AF$7=""),"",IF($B353="MEANS",INDEX('1-DATA'!$1:$1048576,$A352-1,COLUMN('1-DATA'!AE351)),ROUND(INDEX('1-DATA'!$1:$1048576,IF(OR($B353="STD. DEVIATION",$C$1=1),$A353,$A353+1),COLUMN('1-DATA'!AE351)),IF($B353="STD. DEVIATION",2,$F$1))))</f>
        <v/>
      </c>
      <c r="AG353" s="1" t="str">
        <f>IF(OR($B353="",AG$7=""),"",IF($B353="MEANS",INDEX('1-DATA'!$1:$1048576,$A352-1,COLUMN('1-DATA'!AF351)),ROUND(INDEX('1-DATA'!$1:$1048576,IF(OR($B353="STD. DEVIATION",$C$1=1),$A353,$A353+1),COLUMN('1-DATA'!AF351)),IF($B353="STD. DEVIATION",2,$F$1))))</f>
        <v/>
      </c>
      <c r="AH353" s="1" t="str">
        <f>IF(OR($B353="",AH$7=""),"",IF($B353="MEANS",INDEX('1-DATA'!$1:$1048576,$A352-1,COLUMN('1-DATA'!AG351)),ROUND(INDEX('1-DATA'!$1:$1048576,IF(OR($B353="STD. DEVIATION",$C$1=1),$A353,$A353+1),COLUMN('1-DATA'!AG351)),IF($B353="STD. DEVIATION",2,$F$1))))</f>
        <v/>
      </c>
      <c r="AI353" s="1" t="str">
        <f>IF(OR($B353="",AI$7=""),"",IF($B353="MEANS",INDEX('1-DATA'!$1:$1048576,$A352-1,COLUMN('1-DATA'!AH351)),ROUND(INDEX('1-DATA'!$1:$1048576,IF(OR($B353="STD. DEVIATION",$C$1=1),$A353,$A353+1),COLUMN('1-DATA'!AH351)),IF($B353="STD. DEVIATION",2,$F$1))))</f>
        <v/>
      </c>
      <c r="AJ353" s="1" t="str">
        <f>IF(OR($B353="",AJ$7=""),"",IF($B353="MEANS",INDEX('1-DATA'!$1:$1048576,$A352-1,COLUMN('1-DATA'!AI351)),ROUND(INDEX('1-DATA'!$1:$1048576,IF(OR($B353="STD. DEVIATION",$C$1=1),$A353,$A353+1),COLUMN('1-DATA'!AI351)),IF($B353="STD. DEVIATION",2,$F$1))))</f>
        <v/>
      </c>
      <c r="AK353" s="1" t="str">
        <f>IF(OR($B353="",AK$7=""),"",IF($B353="MEANS",INDEX('1-DATA'!$1:$1048576,$A352-1,COLUMN('1-DATA'!AJ351)),ROUND(INDEX('1-DATA'!$1:$1048576,IF(OR($B353="STD. DEVIATION",$C$1=1),$A353,$A353+1),COLUMN('1-DATA'!AJ351)),IF($B353="STD. DEVIATION",2,$F$1))))</f>
        <v/>
      </c>
      <c r="AL353" s="1" t="str">
        <f>IF(OR($B353="",AL$7=""),"",IF($B353="MEANS",INDEX('1-DATA'!$1:$1048576,$A352-1,COLUMN('1-DATA'!AK351)),ROUND(INDEX('1-DATA'!$1:$1048576,IF(OR($B353="STD. DEVIATION",$C$1=1),$A353,$A353+1),COLUMN('1-DATA'!AK351)),IF($B353="STD. DEVIATION",2,$F$1))))</f>
        <v/>
      </c>
      <c r="AM353" s="1" t="str">
        <f>IF(OR($B353="",AM$7=""),"",IF($B353="MEANS",INDEX('1-DATA'!$1:$1048576,$A352-1,COLUMN('1-DATA'!AL351)),ROUND(INDEX('1-DATA'!$1:$1048576,IF(OR($B353="STD. DEVIATION",$C$1=1),$A353,$A353+1),COLUMN('1-DATA'!AL351)),IF($B353="STD. DEVIATION",2,$F$1))))</f>
        <v/>
      </c>
      <c r="AN353" s="1" t="str">
        <f>IF(OR($B353="",AN$7=""),"",IF($B353="MEANS",INDEX('1-DATA'!$1:$1048576,$A352-1,COLUMN('1-DATA'!AM351)),ROUND(INDEX('1-DATA'!$1:$1048576,IF(OR($B353="STD. DEVIATION",$C$1=1),$A353,$A353+1),COLUMN('1-DATA'!AM351)),IF($B353="STD. DEVIATION",2,$F$1))))</f>
        <v/>
      </c>
      <c r="AO353" s="1" t="str">
        <f>IF(OR($B353="",AO$7=""),"",IF($B353="MEANS",INDEX('1-DATA'!$1:$1048576,$A352-1,COLUMN('1-DATA'!AN351)),ROUND(INDEX('1-DATA'!$1:$1048576,IF(OR($B353="STD. DEVIATION",$C$1=1),$A353,$A353+1),COLUMN('1-DATA'!AN351)),IF($B353="STD. DEVIATION",2,$F$1))))</f>
        <v/>
      </c>
      <c r="AP353" s="1" t="str">
        <f>IF(OR($B353="",AP$7=""),"",IF($B353="MEANS",INDEX('1-DATA'!$1:$1048576,$A352-1,COLUMN('1-DATA'!AO351)),ROUND(INDEX('1-DATA'!$1:$1048576,IF(OR($B353="STD. DEVIATION",$C$1=1),$A353,$A353+1),COLUMN('1-DATA'!AO351)),IF($B353="STD. DEVIATION",2,$F$1))))</f>
        <v/>
      </c>
      <c r="AQ353" s="1" t="str">
        <f>IF(OR($B353="",AQ$7=""),"",IF($B353="MEANS",INDEX('1-DATA'!$1:$1048576,$A352-1,COLUMN('1-DATA'!AP351)),ROUND(INDEX('1-DATA'!$1:$1048576,IF(OR($B353="STD. DEVIATION",$C$1=1),$A353,$A353+1),COLUMN('1-DATA'!AP351)),IF($B353="STD. DEVIATION",2,$F$1))))</f>
        <v/>
      </c>
      <c r="AR353" s="1" t="str">
        <f>IF(OR($B353="",AR$7=""),"",IF($B353="MEANS",INDEX('1-DATA'!$1:$1048576,$A352-1,COLUMN('1-DATA'!AQ351)),ROUND(INDEX('1-DATA'!$1:$1048576,IF(OR($B353="STD. DEVIATION",$C$1=1),$A353,$A353+1),COLUMN('1-DATA'!AQ351)),IF($B353="STD. DEVIATION",2,$F$1))))</f>
        <v/>
      </c>
      <c r="AS353" s="1" t="str">
        <f>IF(OR($B353="",AS$7=""),"",IF($B353="MEANS",INDEX('1-DATA'!$1:$1048576,$A352-1,COLUMN('1-DATA'!AR351)),ROUND(INDEX('1-DATA'!$1:$1048576,IF(OR($B353="STD. DEVIATION",$C$1=1),$A353,$A353+1),COLUMN('1-DATA'!AR351)),IF($B353="STD. DEVIATION",2,$F$1))))</f>
        <v/>
      </c>
      <c r="AT353" s="1" t="str">
        <f>IF(OR($B353="",AT$7=""),"",IF($B353="MEANS",INDEX('1-DATA'!$1:$1048576,$A352-1,COLUMN('1-DATA'!AS351)),ROUND(INDEX('1-DATA'!$1:$1048576,IF(OR($B353="STD. DEVIATION",$C$1=1),$A353,$A353+1),COLUMN('1-DATA'!AS351)),IF($B353="STD. DEVIATION",2,$F$1))))</f>
        <v/>
      </c>
      <c r="AU353" s="1" t="str">
        <f>IF(OR($B353="",AU$7=""),"",IF($B353="MEANS",INDEX('1-DATA'!$1:$1048576,$A352-1,COLUMN('1-DATA'!AT351)),ROUND(INDEX('1-DATA'!$1:$1048576,IF(OR($B353="STD. DEVIATION",$C$1=1),$A353,$A353+1),COLUMN('1-DATA'!AT351)),IF($B353="STD. DEVIATION",2,$F$1))))</f>
        <v/>
      </c>
      <c r="AV353" s="1" t="str">
        <f>IF(OR($B353="",AV$7=""),"",IF($B353="MEANS",INDEX('1-DATA'!$1:$1048576,$A352-1,COLUMN('1-DATA'!AU351)),ROUND(INDEX('1-DATA'!$1:$1048576,IF(OR($B353="STD. DEVIATION",$C$1=1),$A353,$A353+1),COLUMN('1-DATA'!AU351)),IF($B353="STD. DEVIATION",2,$F$1))))</f>
        <v/>
      </c>
      <c r="AW353" s="1" t="str">
        <f>IF(OR($B353="",AW$7=""),"",IF($B353="MEANS",INDEX('1-DATA'!$1:$1048576,$A352-1,COLUMN('1-DATA'!AV351)),ROUND(INDEX('1-DATA'!$1:$1048576,IF(OR($B353="STD. DEVIATION",$C$1=1),$A353,$A353+1),COLUMN('1-DATA'!AV351)),IF($B353="STD. DEVIATION",2,$F$1))))</f>
        <v/>
      </c>
      <c r="AX353" s="1" t="str">
        <f>IF(OR($B353="",AX$7=""),"",IF($B353="MEANS",INDEX('1-DATA'!$1:$1048576,$A352-1,COLUMN('1-DATA'!AW351)),ROUND(INDEX('1-DATA'!$1:$1048576,IF(OR($B353="STD. DEVIATION",$C$1=1),$A353,$A353+1),COLUMN('1-DATA'!AW351)),IF($B353="STD. DEVIATION",2,$F$1))))</f>
        <v/>
      </c>
      <c r="AY353" s="1" t="str">
        <f>IF(OR($B353="",AY$7=""),"",IF($B353="MEANS",INDEX('1-DATA'!$1:$1048576,$A352-1,COLUMN('1-DATA'!AX351)),ROUND(INDEX('1-DATA'!$1:$1048576,IF(OR($B353="STD. DEVIATION",$C$1=1),$A353,$A353+1),COLUMN('1-DATA'!AX351)),IF($B353="STD. DEVIATION",2,$F$1))))</f>
        <v/>
      </c>
      <c r="AZ353" s="1" t="str">
        <f>IF(OR($B353="",AZ$7=""),"",IF($B353="MEANS",INDEX('1-DATA'!$1:$1048576,$A352-1,COLUMN('1-DATA'!AY351)),ROUND(INDEX('1-DATA'!$1:$1048576,IF(OR($B353="STD. DEVIATION",$C$1=1),$A353,$A353+1),COLUMN('1-DATA'!AY351)),IF($B353="STD. DEVIATION",2,$F$1))))</f>
        <v/>
      </c>
    </row>
    <row r="354" spans="1:52" x14ac:dyDescent="0.25">
      <c r="A354" s="11">
        <f t="shared" si="6"/>
        <v>1048</v>
      </c>
      <c r="B354" s="1" t="str">
        <f>IF(B353="STD. DEVIATION",INDEX('1-DATA'!$1:$1048576,$A353-1,1),IF(INDEX('1-DATA'!$1:$1048576,$A354,1)&lt;&gt;"",INDEX('1-DATA'!$1:$1048576,$A354,1),""))</f>
        <v/>
      </c>
      <c r="C354" s="1" t="str">
        <f>IF(OR($B354="",C$7=""),"",IF($B354="MEANS",INDEX('1-DATA'!$1:$1048576,$A353-1,COLUMN('1-DATA'!B352)),ROUND(INDEX('1-DATA'!$1:$1048576,IF(OR($B354="STD. DEVIATION",$C$1=1),$A354,$A354+1),COLUMN('1-DATA'!B352)),IF($B354="STD. DEVIATION",2,$F$1))))</f>
        <v/>
      </c>
      <c r="D354" s="1" t="str">
        <f>IF(OR($B354="",D$7=""),"",IF($B354="MEANS",INDEX('1-DATA'!$1:$1048576,$A353-1,COLUMN('1-DATA'!C352)),ROUND(INDEX('1-DATA'!$1:$1048576,IF(OR($B354="STD. DEVIATION",$C$1=1),$A354,$A354+1),COLUMN('1-DATA'!C352)),IF($B354="STD. DEVIATION",2,$F$1))))</f>
        <v/>
      </c>
      <c r="E354" s="1" t="str">
        <f>IF(OR($B354="",E$7=""),"",IF($B354="MEANS",INDEX('1-DATA'!$1:$1048576,$A353-1,COLUMN('1-DATA'!D352)),ROUND(INDEX('1-DATA'!$1:$1048576,IF(OR($B354="STD. DEVIATION",$C$1=1),$A354,$A354+1),COLUMN('1-DATA'!D352)),IF($B354="STD. DEVIATION",2,$F$1))))</f>
        <v/>
      </c>
      <c r="F354" s="1" t="str">
        <f>IF(OR($B354="",F$7=""),"",IF($B354="MEANS",INDEX('1-DATA'!$1:$1048576,$A353-1,COLUMN('1-DATA'!E352)),ROUND(INDEX('1-DATA'!$1:$1048576,IF(OR($B354="STD. DEVIATION",$C$1=1),$A354,$A354+1),COLUMN('1-DATA'!E352)),IF($B354="STD. DEVIATION",2,$F$1))))</f>
        <v/>
      </c>
      <c r="G354" s="1" t="str">
        <f>IF(OR($B354="",G$7=""),"",IF($B354="MEANS",INDEX('1-DATA'!$1:$1048576,$A353-1,COLUMN('1-DATA'!F352)),ROUND(INDEX('1-DATA'!$1:$1048576,IF(OR($B354="STD. DEVIATION",$C$1=1),$A354,$A354+1),COLUMN('1-DATA'!F352)),IF($B354="STD. DEVIATION",2,$F$1))))</f>
        <v/>
      </c>
      <c r="H354" s="1" t="str">
        <f>IF(OR($B354="",H$7=""),"",IF($B354="MEANS",INDEX('1-DATA'!$1:$1048576,$A353-1,COLUMN('1-DATA'!G352)),ROUND(INDEX('1-DATA'!$1:$1048576,IF(OR($B354="STD. DEVIATION",$C$1=1),$A354,$A354+1),COLUMN('1-DATA'!G352)),IF($B354="STD. DEVIATION",2,$F$1))))</f>
        <v/>
      </c>
      <c r="I354" s="1" t="str">
        <f>IF(OR($B354="",I$7=""),"",IF($B354="MEANS",INDEX('1-DATA'!$1:$1048576,$A353-1,COLUMN('1-DATA'!H352)),ROUND(INDEX('1-DATA'!$1:$1048576,IF(OR($B354="STD. DEVIATION",$C$1=1),$A354,$A354+1),COLUMN('1-DATA'!H352)),IF($B354="STD. DEVIATION",2,$F$1))))</f>
        <v/>
      </c>
      <c r="J354" s="1" t="str">
        <f>IF(OR($B354="",J$7=""),"",IF($B354="MEANS",INDEX('1-DATA'!$1:$1048576,$A353-1,COLUMN('1-DATA'!I352)),ROUND(INDEX('1-DATA'!$1:$1048576,IF(OR($B354="STD. DEVIATION",$C$1=1),$A354,$A354+1),COLUMN('1-DATA'!I352)),IF($B354="STD. DEVIATION",2,$F$1))))</f>
        <v/>
      </c>
      <c r="K354" s="1" t="str">
        <f>IF(OR($B354="",K$7=""),"",IF($B354="MEANS",INDEX('1-DATA'!$1:$1048576,$A353-1,COLUMN('1-DATA'!J352)),ROUND(INDEX('1-DATA'!$1:$1048576,IF(OR($B354="STD. DEVIATION",$C$1=1),$A354,$A354+1),COLUMN('1-DATA'!J352)),IF($B354="STD. DEVIATION",2,$F$1))))</f>
        <v/>
      </c>
      <c r="L354" s="1" t="str">
        <f>IF(OR($B354="",L$7=""),"",IF($B354="MEANS",INDEX('1-DATA'!$1:$1048576,$A353-1,COLUMN('1-DATA'!K352)),ROUND(INDEX('1-DATA'!$1:$1048576,IF(OR($B354="STD. DEVIATION",$C$1=1),$A354,$A354+1),COLUMN('1-DATA'!K352)),IF($B354="STD. DEVIATION",2,$F$1))))</f>
        <v/>
      </c>
      <c r="M354" s="1" t="str">
        <f>IF(OR($B354="",M$7=""),"",IF($B354="MEANS",INDEX('1-DATA'!$1:$1048576,$A353-1,COLUMN('1-DATA'!L352)),ROUND(INDEX('1-DATA'!$1:$1048576,IF(OR($B354="STD. DEVIATION",$C$1=1),$A354,$A354+1),COLUMN('1-DATA'!L352)),IF($B354="STD. DEVIATION",2,$F$1))))</f>
        <v/>
      </c>
      <c r="N354" s="1" t="str">
        <f>IF(OR($B354="",N$7=""),"",IF($B354="MEANS",INDEX('1-DATA'!$1:$1048576,$A353-1,COLUMN('1-DATA'!M352)),ROUND(INDEX('1-DATA'!$1:$1048576,IF(OR($B354="STD. DEVIATION",$C$1=1),$A354,$A354+1),COLUMN('1-DATA'!M352)),IF($B354="STD. DEVIATION",2,$F$1))))</f>
        <v/>
      </c>
      <c r="O354" s="1" t="str">
        <f>IF(OR($B354="",O$7=""),"",IF($B354="MEANS",INDEX('1-DATA'!$1:$1048576,$A353-1,COLUMN('1-DATA'!N352)),ROUND(INDEX('1-DATA'!$1:$1048576,IF(OR($B354="STD. DEVIATION",$C$1=1),$A354,$A354+1),COLUMN('1-DATA'!N352)),IF($B354="STD. DEVIATION",2,$F$1))))</f>
        <v/>
      </c>
      <c r="P354" s="1" t="str">
        <f>IF(OR($B354="",P$7=""),"",IF($B354="MEANS",INDEX('1-DATA'!$1:$1048576,$A353-1,COLUMN('1-DATA'!O352)),ROUND(INDEX('1-DATA'!$1:$1048576,IF(OR($B354="STD. DEVIATION",$C$1=1),$A354,$A354+1),COLUMN('1-DATA'!O352)),IF($B354="STD. DEVIATION",2,$F$1))))</f>
        <v/>
      </c>
      <c r="Q354" s="1" t="str">
        <f>IF(OR($B354="",Q$7=""),"",IF($B354="MEANS",INDEX('1-DATA'!$1:$1048576,$A353-1,COLUMN('1-DATA'!P352)),ROUND(INDEX('1-DATA'!$1:$1048576,IF(OR($B354="STD. DEVIATION",$C$1=1),$A354,$A354+1),COLUMN('1-DATA'!P352)),IF($B354="STD. DEVIATION",2,$F$1))))</f>
        <v/>
      </c>
      <c r="R354" s="1" t="str">
        <f>IF(OR($B354="",R$7=""),"",IF($B354="MEANS",INDEX('1-DATA'!$1:$1048576,$A353-1,COLUMN('1-DATA'!Q352)),ROUND(INDEX('1-DATA'!$1:$1048576,IF(OR($B354="STD. DEVIATION",$C$1=1),$A354,$A354+1),COLUMN('1-DATA'!Q352)),IF($B354="STD. DEVIATION",2,$F$1))))</f>
        <v/>
      </c>
      <c r="S354" s="1" t="str">
        <f>IF(OR($B354="",S$7=""),"",IF($B354="MEANS",INDEX('1-DATA'!$1:$1048576,$A353-1,COLUMN('1-DATA'!R352)),ROUND(INDEX('1-DATA'!$1:$1048576,IF(OR($B354="STD. DEVIATION",$C$1=1),$A354,$A354+1),COLUMN('1-DATA'!R352)),IF($B354="STD. DEVIATION",2,$F$1))))</f>
        <v/>
      </c>
      <c r="T354" s="1" t="str">
        <f>IF(OR($B354="",T$7=""),"",IF($B354="MEANS",INDEX('1-DATA'!$1:$1048576,$A353-1,COLUMN('1-DATA'!S352)),ROUND(INDEX('1-DATA'!$1:$1048576,IF(OR($B354="STD. DEVIATION",$C$1=1),$A354,$A354+1),COLUMN('1-DATA'!S352)),IF($B354="STD. DEVIATION",2,$F$1))))</f>
        <v/>
      </c>
      <c r="U354" s="1" t="str">
        <f>IF(OR($B354="",U$7=""),"",IF($B354="MEANS",INDEX('1-DATA'!$1:$1048576,$A353-1,COLUMN('1-DATA'!T352)),ROUND(INDEX('1-DATA'!$1:$1048576,IF(OR($B354="STD. DEVIATION",$C$1=1),$A354,$A354+1),COLUMN('1-DATA'!T352)),IF($B354="STD. DEVIATION",2,$F$1))))</f>
        <v/>
      </c>
      <c r="V354" s="1" t="str">
        <f>IF(OR($B354="",V$7=""),"",IF($B354="MEANS",INDEX('1-DATA'!$1:$1048576,$A353-1,COLUMN('1-DATA'!U352)),ROUND(INDEX('1-DATA'!$1:$1048576,IF(OR($B354="STD. DEVIATION",$C$1=1),$A354,$A354+1),COLUMN('1-DATA'!U352)),IF($B354="STD. DEVIATION",2,$F$1))))</f>
        <v/>
      </c>
      <c r="W354" s="1" t="str">
        <f>IF(OR($B354="",W$7=""),"",IF($B354="MEANS",INDEX('1-DATA'!$1:$1048576,$A353-1,COLUMN('1-DATA'!V352)),ROUND(INDEX('1-DATA'!$1:$1048576,IF(OR($B354="STD. DEVIATION",$C$1=1),$A354,$A354+1),COLUMN('1-DATA'!V352)),IF($B354="STD. DEVIATION",2,$F$1))))</f>
        <v/>
      </c>
      <c r="X354" s="1" t="str">
        <f>IF(OR($B354="",X$7=""),"",IF($B354="MEANS",INDEX('1-DATA'!$1:$1048576,$A353-1,COLUMN('1-DATA'!W352)),ROUND(INDEX('1-DATA'!$1:$1048576,IF(OR($B354="STD. DEVIATION",$C$1=1),$A354,$A354+1),COLUMN('1-DATA'!W352)),IF($B354="STD. DEVIATION",2,$F$1))))</f>
        <v/>
      </c>
      <c r="Y354" s="1" t="str">
        <f>IF(OR($B354="",Y$7=""),"",IF($B354="MEANS",INDEX('1-DATA'!$1:$1048576,$A353-1,COLUMN('1-DATA'!X352)),ROUND(INDEX('1-DATA'!$1:$1048576,IF(OR($B354="STD. DEVIATION",$C$1=1),$A354,$A354+1),COLUMN('1-DATA'!X352)),IF($B354="STD. DEVIATION",2,$F$1))))</f>
        <v/>
      </c>
      <c r="Z354" s="1" t="str">
        <f>IF(OR($B354="",Z$7=""),"",IF($B354="MEANS",INDEX('1-DATA'!$1:$1048576,$A353-1,COLUMN('1-DATA'!Y352)),ROUND(INDEX('1-DATA'!$1:$1048576,IF(OR($B354="STD. DEVIATION",$C$1=1),$A354,$A354+1),COLUMN('1-DATA'!Y352)),IF($B354="STD. DEVIATION",2,$F$1))))</f>
        <v/>
      </c>
      <c r="AA354" s="1" t="str">
        <f>IF(OR($B354="",AA$7=""),"",IF($B354="MEANS",INDEX('1-DATA'!$1:$1048576,$A353-1,COLUMN('1-DATA'!Z352)),ROUND(INDEX('1-DATA'!$1:$1048576,IF(OR($B354="STD. DEVIATION",$C$1=1),$A354,$A354+1),COLUMN('1-DATA'!Z352)),IF($B354="STD. DEVIATION",2,$F$1))))</f>
        <v/>
      </c>
      <c r="AB354" s="1" t="str">
        <f>IF(OR($B354="",AB$7=""),"",IF($B354="MEANS",INDEX('1-DATA'!$1:$1048576,$A353-1,COLUMN('1-DATA'!AA352)),ROUND(INDEX('1-DATA'!$1:$1048576,IF(OR($B354="STD. DEVIATION",$C$1=1),$A354,$A354+1),COLUMN('1-DATA'!AA352)),IF($B354="STD. DEVIATION",2,$F$1))))</f>
        <v/>
      </c>
      <c r="AC354" s="1" t="str">
        <f>IF(OR($B354="",AC$7=""),"",IF($B354="MEANS",INDEX('1-DATA'!$1:$1048576,$A353-1,COLUMN('1-DATA'!AB352)),ROUND(INDEX('1-DATA'!$1:$1048576,IF(OR($B354="STD. DEVIATION",$C$1=1),$A354,$A354+1),COLUMN('1-DATA'!AB352)),IF($B354="STD. DEVIATION",2,$F$1))))</f>
        <v/>
      </c>
      <c r="AD354" s="1" t="str">
        <f>IF(OR($B354="",AD$7=""),"",IF($B354="MEANS",INDEX('1-DATA'!$1:$1048576,$A353-1,COLUMN('1-DATA'!AC352)),ROUND(INDEX('1-DATA'!$1:$1048576,IF(OR($B354="STD. DEVIATION",$C$1=1),$A354,$A354+1),COLUMN('1-DATA'!AC352)),IF($B354="STD. DEVIATION",2,$F$1))))</f>
        <v/>
      </c>
      <c r="AE354" s="1" t="str">
        <f>IF(OR($B354="",AE$7=""),"",IF($B354="MEANS",INDEX('1-DATA'!$1:$1048576,$A353-1,COLUMN('1-DATA'!AD352)),ROUND(INDEX('1-DATA'!$1:$1048576,IF(OR($B354="STD. DEVIATION",$C$1=1),$A354,$A354+1),COLUMN('1-DATA'!AD352)),IF($B354="STD. DEVIATION",2,$F$1))))</f>
        <v/>
      </c>
      <c r="AF354" s="1" t="str">
        <f>IF(OR($B354="",AF$7=""),"",IF($B354="MEANS",INDEX('1-DATA'!$1:$1048576,$A353-1,COLUMN('1-DATA'!AE352)),ROUND(INDEX('1-DATA'!$1:$1048576,IF(OR($B354="STD. DEVIATION",$C$1=1),$A354,$A354+1),COLUMN('1-DATA'!AE352)),IF($B354="STD. DEVIATION",2,$F$1))))</f>
        <v/>
      </c>
      <c r="AG354" s="1" t="str">
        <f>IF(OR($B354="",AG$7=""),"",IF($B354="MEANS",INDEX('1-DATA'!$1:$1048576,$A353-1,COLUMN('1-DATA'!AF352)),ROUND(INDEX('1-DATA'!$1:$1048576,IF(OR($B354="STD. DEVIATION",$C$1=1),$A354,$A354+1),COLUMN('1-DATA'!AF352)),IF($B354="STD. DEVIATION",2,$F$1))))</f>
        <v/>
      </c>
      <c r="AH354" s="1" t="str">
        <f>IF(OR($B354="",AH$7=""),"",IF($B354="MEANS",INDEX('1-DATA'!$1:$1048576,$A353-1,COLUMN('1-DATA'!AG352)),ROUND(INDEX('1-DATA'!$1:$1048576,IF(OR($B354="STD. DEVIATION",$C$1=1),$A354,$A354+1),COLUMN('1-DATA'!AG352)),IF($B354="STD. DEVIATION",2,$F$1))))</f>
        <v/>
      </c>
      <c r="AI354" s="1" t="str">
        <f>IF(OR($B354="",AI$7=""),"",IF($B354="MEANS",INDEX('1-DATA'!$1:$1048576,$A353-1,COLUMN('1-DATA'!AH352)),ROUND(INDEX('1-DATA'!$1:$1048576,IF(OR($B354="STD. DEVIATION",$C$1=1),$A354,$A354+1),COLUMN('1-DATA'!AH352)),IF($B354="STD. DEVIATION",2,$F$1))))</f>
        <v/>
      </c>
      <c r="AJ354" s="1" t="str">
        <f>IF(OR($B354="",AJ$7=""),"",IF($B354="MEANS",INDEX('1-DATA'!$1:$1048576,$A353-1,COLUMN('1-DATA'!AI352)),ROUND(INDEX('1-DATA'!$1:$1048576,IF(OR($B354="STD. DEVIATION",$C$1=1),$A354,$A354+1),COLUMN('1-DATA'!AI352)),IF($B354="STD. DEVIATION",2,$F$1))))</f>
        <v/>
      </c>
      <c r="AK354" s="1" t="str">
        <f>IF(OR($B354="",AK$7=""),"",IF($B354="MEANS",INDEX('1-DATA'!$1:$1048576,$A353-1,COLUMN('1-DATA'!AJ352)),ROUND(INDEX('1-DATA'!$1:$1048576,IF(OR($B354="STD. DEVIATION",$C$1=1),$A354,$A354+1),COLUMN('1-DATA'!AJ352)),IF($B354="STD. DEVIATION",2,$F$1))))</f>
        <v/>
      </c>
      <c r="AL354" s="1" t="str">
        <f>IF(OR($B354="",AL$7=""),"",IF($B354="MEANS",INDEX('1-DATA'!$1:$1048576,$A353-1,COLUMN('1-DATA'!AK352)),ROUND(INDEX('1-DATA'!$1:$1048576,IF(OR($B354="STD. DEVIATION",$C$1=1),$A354,$A354+1),COLUMN('1-DATA'!AK352)),IF($B354="STD. DEVIATION",2,$F$1))))</f>
        <v/>
      </c>
      <c r="AM354" s="1" t="str">
        <f>IF(OR($B354="",AM$7=""),"",IF($B354="MEANS",INDEX('1-DATA'!$1:$1048576,$A353-1,COLUMN('1-DATA'!AL352)),ROUND(INDEX('1-DATA'!$1:$1048576,IF(OR($B354="STD. DEVIATION",$C$1=1),$A354,$A354+1),COLUMN('1-DATA'!AL352)),IF($B354="STD. DEVIATION",2,$F$1))))</f>
        <v/>
      </c>
      <c r="AN354" s="1" t="str">
        <f>IF(OR($B354="",AN$7=""),"",IF($B354="MEANS",INDEX('1-DATA'!$1:$1048576,$A353-1,COLUMN('1-DATA'!AM352)),ROUND(INDEX('1-DATA'!$1:$1048576,IF(OR($B354="STD. DEVIATION",$C$1=1),$A354,$A354+1),COLUMN('1-DATA'!AM352)),IF($B354="STD. DEVIATION",2,$F$1))))</f>
        <v/>
      </c>
      <c r="AO354" s="1" t="str">
        <f>IF(OR($B354="",AO$7=""),"",IF($B354="MEANS",INDEX('1-DATA'!$1:$1048576,$A353-1,COLUMN('1-DATA'!AN352)),ROUND(INDEX('1-DATA'!$1:$1048576,IF(OR($B354="STD. DEVIATION",$C$1=1),$A354,$A354+1),COLUMN('1-DATA'!AN352)),IF($B354="STD. DEVIATION",2,$F$1))))</f>
        <v/>
      </c>
      <c r="AP354" s="1" t="str">
        <f>IF(OR($B354="",AP$7=""),"",IF($B354="MEANS",INDEX('1-DATA'!$1:$1048576,$A353-1,COLUMN('1-DATA'!AO352)),ROUND(INDEX('1-DATA'!$1:$1048576,IF(OR($B354="STD. DEVIATION",$C$1=1),$A354,$A354+1),COLUMN('1-DATA'!AO352)),IF($B354="STD. DEVIATION",2,$F$1))))</f>
        <v/>
      </c>
      <c r="AQ354" s="1" t="str">
        <f>IF(OR($B354="",AQ$7=""),"",IF($B354="MEANS",INDEX('1-DATA'!$1:$1048576,$A353-1,COLUMN('1-DATA'!AP352)),ROUND(INDEX('1-DATA'!$1:$1048576,IF(OR($B354="STD. DEVIATION",$C$1=1),$A354,$A354+1),COLUMN('1-DATA'!AP352)),IF($B354="STD. DEVIATION",2,$F$1))))</f>
        <v/>
      </c>
      <c r="AR354" s="1" t="str">
        <f>IF(OR($B354="",AR$7=""),"",IF($B354="MEANS",INDEX('1-DATA'!$1:$1048576,$A353-1,COLUMN('1-DATA'!AQ352)),ROUND(INDEX('1-DATA'!$1:$1048576,IF(OR($B354="STD. DEVIATION",$C$1=1),$A354,$A354+1),COLUMN('1-DATA'!AQ352)),IF($B354="STD. DEVIATION",2,$F$1))))</f>
        <v/>
      </c>
      <c r="AS354" s="1" t="str">
        <f>IF(OR($B354="",AS$7=""),"",IF($B354="MEANS",INDEX('1-DATA'!$1:$1048576,$A353-1,COLUMN('1-DATA'!AR352)),ROUND(INDEX('1-DATA'!$1:$1048576,IF(OR($B354="STD. DEVIATION",$C$1=1),$A354,$A354+1),COLUMN('1-DATA'!AR352)),IF($B354="STD. DEVIATION",2,$F$1))))</f>
        <v/>
      </c>
      <c r="AT354" s="1" t="str">
        <f>IF(OR($B354="",AT$7=""),"",IF($B354="MEANS",INDEX('1-DATA'!$1:$1048576,$A353-1,COLUMN('1-DATA'!AS352)),ROUND(INDEX('1-DATA'!$1:$1048576,IF(OR($B354="STD. DEVIATION",$C$1=1),$A354,$A354+1),COLUMN('1-DATA'!AS352)),IF($B354="STD. DEVIATION",2,$F$1))))</f>
        <v/>
      </c>
      <c r="AU354" s="1" t="str">
        <f>IF(OR($B354="",AU$7=""),"",IF($B354="MEANS",INDEX('1-DATA'!$1:$1048576,$A353-1,COLUMN('1-DATA'!AT352)),ROUND(INDEX('1-DATA'!$1:$1048576,IF(OR($B354="STD. DEVIATION",$C$1=1),$A354,$A354+1),COLUMN('1-DATA'!AT352)),IF($B354="STD. DEVIATION",2,$F$1))))</f>
        <v/>
      </c>
      <c r="AV354" s="1" t="str">
        <f>IF(OR($B354="",AV$7=""),"",IF($B354="MEANS",INDEX('1-DATA'!$1:$1048576,$A353-1,COLUMN('1-DATA'!AU352)),ROUND(INDEX('1-DATA'!$1:$1048576,IF(OR($B354="STD. DEVIATION",$C$1=1),$A354,$A354+1),COLUMN('1-DATA'!AU352)),IF($B354="STD. DEVIATION",2,$F$1))))</f>
        <v/>
      </c>
      <c r="AW354" s="1" t="str">
        <f>IF(OR($B354="",AW$7=""),"",IF($B354="MEANS",INDEX('1-DATA'!$1:$1048576,$A353-1,COLUMN('1-DATA'!AV352)),ROUND(INDEX('1-DATA'!$1:$1048576,IF(OR($B354="STD. DEVIATION",$C$1=1),$A354,$A354+1),COLUMN('1-DATA'!AV352)),IF($B354="STD. DEVIATION",2,$F$1))))</f>
        <v/>
      </c>
      <c r="AX354" s="1" t="str">
        <f>IF(OR($B354="",AX$7=""),"",IF($B354="MEANS",INDEX('1-DATA'!$1:$1048576,$A353-1,COLUMN('1-DATA'!AW352)),ROUND(INDEX('1-DATA'!$1:$1048576,IF(OR($B354="STD. DEVIATION",$C$1=1),$A354,$A354+1),COLUMN('1-DATA'!AW352)),IF($B354="STD. DEVIATION",2,$F$1))))</f>
        <v/>
      </c>
      <c r="AY354" s="1" t="str">
        <f>IF(OR($B354="",AY$7=""),"",IF($B354="MEANS",INDEX('1-DATA'!$1:$1048576,$A353-1,COLUMN('1-DATA'!AX352)),ROUND(INDEX('1-DATA'!$1:$1048576,IF(OR($B354="STD. DEVIATION",$C$1=1),$A354,$A354+1),COLUMN('1-DATA'!AX352)),IF($B354="STD. DEVIATION",2,$F$1))))</f>
        <v/>
      </c>
      <c r="AZ354" s="1" t="str">
        <f>IF(OR($B354="",AZ$7=""),"",IF($B354="MEANS",INDEX('1-DATA'!$1:$1048576,$A353-1,COLUMN('1-DATA'!AY352)),ROUND(INDEX('1-DATA'!$1:$1048576,IF(OR($B354="STD. DEVIATION",$C$1=1),$A354,$A354+1),COLUMN('1-DATA'!AY352)),IF($B354="STD. DEVIATION",2,$F$1))))</f>
        <v/>
      </c>
    </row>
    <row r="355" spans="1:52" x14ac:dyDescent="0.25">
      <c r="A355" s="11">
        <f t="shared" si="6"/>
        <v>1051</v>
      </c>
      <c r="B355" s="1" t="str">
        <f>IF(B354="STD. DEVIATION",INDEX('1-DATA'!$1:$1048576,$A354-1,1),IF(INDEX('1-DATA'!$1:$1048576,$A355,1)&lt;&gt;"",INDEX('1-DATA'!$1:$1048576,$A355,1),""))</f>
        <v/>
      </c>
      <c r="C355" s="1" t="str">
        <f>IF(OR($B355="",C$7=""),"",IF($B355="MEANS",INDEX('1-DATA'!$1:$1048576,$A354-1,COLUMN('1-DATA'!B353)),ROUND(INDEX('1-DATA'!$1:$1048576,IF(OR($B355="STD. DEVIATION",$C$1=1),$A355,$A355+1),COLUMN('1-DATA'!B353)),IF($B355="STD. DEVIATION",2,$F$1))))</f>
        <v/>
      </c>
      <c r="D355" s="1" t="str">
        <f>IF(OR($B355="",D$7=""),"",IF($B355="MEANS",INDEX('1-DATA'!$1:$1048576,$A354-1,COLUMN('1-DATA'!C353)),ROUND(INDEX('1-DATA'!$1:$1048576,IF(OR($B355="STD. DEVIATION",$C$1=1),$A355,$A355+1),COLUMN('1-DATA'!C353)),IF($B355="STD. DEVIATION",2,$F$1))))</f>
        <v/>
      </c>
      <c r="E355" s="1" t="str">
        <f>IF(OR($B355="",E$7=""),"",IF($B355="MEANS",INDEX('1-DATA'!$1:$1048576,$A354-1,COLUMN('1-DATA'!D353)),ROUND(INDEX('1-DATA'!$1:$1048576,IF(OR($B355="STD. DEVIATION",$C$1=1),$A355,$A355+1),COLUMN('1-DATA'!D353)),IF($B355="STD. DEVIATION",2,$F$1))))</f>
        <v/>
      </c>
      <c r="F355" s="1" t="str">
        <f>IF(OR($B355="",F$7=""),"",IF($B355="MEANS",INDEX('1-DATA'!$1:$1048576,$A354-1,COLUMN('1-DATA'!E353)),ROUND(INDEX('1-DATA'!$1:$1048576,IF(OR($B355="STD. DEVIATION",$C$1=1),$A355,$A355+1),COLUMN('1-DATA'!E353)),IF($B355="STD. DEVIATION",2,$F$1))))</f>
        <v/>
      </c>
      <c r="G355" s="1" t="str">
        <f>IF(OR($B355="",G$7=""),"",IF($B355="MEANS",INDEX('1-DATA'!$1:$1048576,$A354-1,COLUMN('1-DATA'!F353)),ROUND(INDEX('1-DATA'!$1:$1048576,IF(OR($B355="STD. DEVIATION",$C$1=1),$A355,$A355+1),COLUMN('1-DATA'!F353)),IF($B355="STD. DEVIATION",2,$F$1))))</f>
        <v/>
      </c>
      <c r="H355" s="1" t="str">
        <f>IF(OR($B355="",H$7=""),"",IF($B355="MEANS",INDEX('1-DATA'!$1:$1048576,$A354-1,COLUMN('1-DATA'!G353)),ROUND(INDEX('1-DATA'!$1:$1048576,IF(OR($B355="STD. DEVIATION",$C$1=1),$A355,$A355+1),COLUMN('1-DATA'!G353)),IF($B355="STD. DEVIATION",2,$F$1))))</f>
        <v/>
      </c>
      <c r="I355" s="1" t="str">
        <f>IF(OR($B355="",I$7=""),"",IF($B355="MEANS",INDEX('1-DATA'!$1:$1048576,$A354-1,COLUMN('1-DATA'!H353)),ROUND(INDEX('1-DATA'!$1:$1048576,IF(OR($B355="STD. DEVIATION",$C$1=1),$A355,$A355+1),COLUMN('1-DATA'!H353)),IF($B355="STD. DEVIATION",2,$F$1))))</f>
        <v/>
      </c>
      <c r="J355" s="1" t="str">
        <f>IF(OR($B355="",J$7=""),"",IF($B355="MEANS",INDEX('1-DATA'!$1:$1048576,$A354-1,COLUMN('1-DATA'!I353)),ROUND(INDEX('1-DATA'!$1:$1048576,IF(OR($B355="STD. DEVIATION",$C$1=1),$A355,$A355+1),COLUMN('1-DATA'!I353)),IF($B355="STD. DEVIATION",2,$F$1))))</f>
        <v/>
      </c>
      <c r="K355" s="1" t="str">
        <f>IF(OR($B355="",K$7=""),"",IF($B355="MEANS",INDEX('1-DATA'!$1:$1048576,$A354-1,COLUMN('1-DATA'!J353)),ROUND(INDEX('1-DATA'!$1:$1048576,IF(OR($B355="STD. DEVIATION",$C$1=1),$A355,$A355+1),COLUMN('1-DATA'!J353)),IF($B355="STD. DEVIATION",2,$F$1))))</f>
        <v/>
      </c>
      <c r="L355" s="1" t="str">
        <f>IF(OR($B355="",L$7=""),"",IF($B355="MEANS",INDEX('1-DATA'!$1:$1048576,$A354-1,COLUMN('1-DATA'!K353)),ROUND(INDEX('1-DATA'!$1:$1048576,IF(OR($B355="STD. DEVIATION",$C$1=1),$A355,$A355+1),COLUMN('1-DATA'!K353)),IF($B355="STD. DEVIATION",2,$F$1))))</f>
        <v/>
      </c>
      <c r="M355" s="1" t="str">
        <f>IF(OR($B355="",M$7=""),"",IF($B355="MEANS",INDEX('1-DATA'!$1:$1048576,$A354-1,COLUMN('1-DATA'!L353)),ROUND(INDEX('1-DATA'!$1:$1048576,IF(OR($B355="STD. DEVIATION",$C$1=1),$A355,$A355+1),COLUMN('1-DATA'!L353)),IF($B355="STD. DEVIATION",2,$F$1))))</f>
        <v/>
      </c>
      <c r="N355" s="1" t="str">
        <f>IF(OR($B355="",N$7=""),"",IF($B355="MEANS",INDEX('1-DATA'!$1:$1048576,$A354-1,COLUMN('1-DATA'!M353)),ROUND(INDEX('1-DATA'!$1:$1048576,IF(OR($B355="STD. DEVIATION",$C$1=1),$A355,$A355+1),COLUMN('1-DATA'!M353)),IF($B355="STD. DEVIATION",2,$F$1))))</f>
        <v/>
      </c>
      <c r="O355" s="1" t="str">
        <f>IF(OR($B355="",O$7=""),"",IF($B355="MEANS",INDEX('1-DATA'!$1:$1048576,$A354-1,COLUMN('1-DATA'!N353)),ROUND(INDEX('1-DATA'!$1:$1048576,IF(OR($B355="STD. DEVIATION",$C$1=1),$A355,$A355+1),COLUMN('1-DATA'!N353)),IF($B355="STD. DEVIATION",2,$F$1))))</f>
        <v/>
      </c>
      <c r="P355" s="1" t="str">
        <f>IF(OR($B355="",P$7=""),"",IF($B355="MEANS",INDEX('1-DATA'!$1:$1048576,$A354-1,COLUMN('1-DATA'!O353)),ROUND(INDEX('1-DATA'!$1:$1048576,IF(OR($B355="STD. DEVIATION",$C$1=1),$A355,$A355+1),COLUMN('1-DATA'!O353)),IF($B355="STD. DEVIATION",2,$F$1))))</f>
        <v/>
      </c>
      <c r="Q355" s="1" t="str">
        <f>IF(OR($B355="",Q$7=""),"",IF($B355="MEANS",INDEX('1-DATA'!$1:$1048576,$A354-1,COLUMN('1-DATA'!P353)),ROUND(INDEX('1-DATA'!$1:$1048576,IF(OR($B355="STD. DEVIATION",$C$1=1),$A355,$A355+1),COLUMN('1-DATA'!P353)),IF($B355="STD. DEVIATION",2,$F$1))))</f>
        <v/>
      </c>
      <c r="R355" s="1" t="str">
        <f>IF(OR($B355="",R$7=""),"",IF($B355="MEANS",INDEX('1-DATA'!$1:$1048576,$A354-1,COLUMN('1-DATA'!Q353)),ROUND(INDEX('1-DATA'!$1:$1048576,IF(OR($B355="STD. DEVIATION",$C$1=1),$A355,$A355+1),COLUMN('1-DATA'!Q353)),IF($B355="STD. DEVIATION",2,$F$1))))</f>
        <v/>
      </c>
      <c r="S355" s="1" t="str">
        <f>IF(OR($B355="",S$7=""),"",IF($B355="MEANS",INDEX('1-DATA'!$1:$1048576,$A354-1,COLUMN('1-DATA'!R353)),ROUND(INDEX('1-DATA'!$1:$1048576,IF(OR($B355="STD. DEVIATION",$C$1=1),$A355,$A355+1),COLUMN('1-DATA'!R353)),IF($B355="STD. DEVIATION",2,$F$1))))</f>
        <v/>
      </c>
      <c r="T355" s="1" t="str">
        <f>IF(OR($B355="",T$7=""),"",IF($B355="MEANS",INDEX('1-DATA'!$1:$1048576,$A354-1,COLUMN('1-DATA'!S353)),ROUND(INDEX('1-DATA'!$1:$1048576,IF(OR($B355="STD. DEVIATION",$C$1=1),$A355,$A355+1),COLUMN('1-DATA'!S353)),IF($B355="STD. DEVIATION",2,$F$1))))</f>
        <v/>
      </c>
      <c r="U355" s="1" t="str">
        <f>IF(OR($B355="",U$7=""),"",IF($B355="MEANS",INDEX('1-DATA'!$1:$1048576,$A354-1,COLUMN('1-DATA'!T353)),ROUND(INDEX('1-DATA'!$1:$1048576,IF(OR($B355="STD. DEVIATION",$C$1=1),$A355,$A355+1),COLUMN('1-DATA'!T353)),IF($B355="STD. DEVIATION",2,$F$1))))</f>
        <v/>
      </c>
      <c r="V355" s="1" t="str">
        <f>IF(OR($B355="",V$7=""),"",IF($B355="MEANS",INDEX('1-DATA'!$1:$1048576,$A354-1,COLUMN('1-DATA'!U353)),ROUND(INDEX('1-DATA'!$1:$1048576,IF(OR($B355="STD. DEVIATION",$C$1=1),$A355,$A355+1),COLUMN('1-DATA'!U353)),IF($B355="STD. DEVIATION",2,$F$1))))</f>
        <v/>
      </c>
      <c r="W355" s="1" t="str">
        <f>IF(OR($B355="",W$7=""),"",IF($B355="MEANS",INDEX('1-DATA'!$1:$1048576,$A354-1,COLUMN('1-DATA'!V353)),ROUND(INDEX('1-DATA'!$1:$1048576,IF(OR($B355="STD. DEVIATION",$C$1=1),$A355,$A355+1),COLUMN('1-DATA'!V353)),IF($B355="STD. DEVIATION",2,$F$1))))</f>
        <v/>
      </c>
      <c r="X355" s="1" t="str">
        <f>IF(OR($B355="",X$7=""),"",IF($B355="MEANS",INDEX('1-DATA'!$1:$1048576,$A354-1,COLUMN('1-DATA'!W353)),ROUND(INDEX('1-DATA'!$1:$1048576,IF(OR($B355="STD. DEVIATION",$C$1=1),$A355,$A355+1),COLUMN('1-DATA'!W353)),IF($B355="STD. DEVIATION",2,$F$1))))</f>
        <v/>
      </c>
      <c r="Y355" s="1" t="str">
        <f>IF(OR($B355="",Y$7=""),"",IF($B355="MEANS",INDEX('1-DATA'!$1:$1048576,$A354-1,COLUMN('1-DATA'!X353)),ROUND(INDEX('1-DATA'!$1:$1048576,IF(OR($B355="STD. DEVIATION",$C$1=1),$A355,$A355+1),COLUMN('1-DATA'!X353)),IF($B355="STD. DEVIATION",2,$F$1))))</f>
        <v/>
      </c>
      <c r="Z355" s="1" t="str">
        <f>IF(OR($B355="",Z$7=""),"",IF($B355="MEANS",INDEX('1-DATA'!$1:$1048576,$A354-1,COLUMN('1-DATA'!Y353)),ROUND(INDEX('1-DATA'!$1:$1048576,IF(OR($B355="STD. DEVIATION",$C$1=1),$A355,$A355+1),COLUMN('1-DATA'!Y353)),IF($B355="STD. DEVIATION",2,$F$1))))</f>
        <v/>
      </c>
      <c r="AA355" s="1" t="str">
        <f>IF(OR($B355="",AA$7=""),"",IF($B355="MEANS",INDEX('1-DATA'!$1:$1048576,$A354-1,COLUMN('1-DATA'!Z353)),ROUND(INDEX('1-DATA'!$1:$1048576,IF(OR($B355="STD. DEVIATION",$C$1=1),$A355,$A355+1),COLUMN('1-DATA'!Z353)),IF($B355="STD. DEVIATION",2,$F$1))))</f>
        <v/>
      </c>
      <c r="AB355" s="1" t="str">
        <f>IF(OR($B355="",AB$7=""),"",IF($B355="MEANS",INDEX('1-DATA'!$1:$1048576,$A354-1,COLUMN('1-DATA'!AA353)),ROUND(INDEX('1-DATA'!$1:$1048576,IF(OR($B355="STD. DEVIATION",$C$1=1),$A355,$A355+1),COLUMN('1-DATA'!AA353)),IF($B355="STD. DEVIATION",2,$F$1))))</f>
        <v/>
      </c>
      <c r="AC355" s="1" t="str">
        <f>IF(OR($B355="",AC$7=""),"",IF($B355="MEANS",INDEX('1-DATA'!$1:$1048576,$A354-1,COLUMN('1-DATA'!AB353)),ROUND(INDEX('1-DATA'!$1:$1048576,IF(OR($B355="STD. DEVIATION",$C$1=1),$A355,$A355+1),COLUMN('1-DATA'!AB353)),IF($B355="STD. DEVIATION",2,$F$1))))</f>
        <v/>
      </c>
      <c r="AD355" s="1" t="str">
        <f>IF(OR($B355="",AD$7=""),"",IF($B355="MEANS",INDEX('1-DATA'!$1:$1048576,$A354-1,COLUMN('1-DATA'!AC353)),ROUND(INDEX('1-DATA'!$1:$1048576,IF(OR($B355="STD. DEVIATION",$C$1=1),$A355,$A355+1),COLUMN('1-DATA'!AC353)),IF($B355="STD. DEVIATION",2,$F$1))))</f>
        <v/>
      </c>
      <c r="AE355" s="1" t="str">
        <f>IF(OR($B355="",AE$7=""),"",IF($B355="MEANS",INDEX('1-DATA'!$1:$1048576,$A354-1,COLUMN('1-DATA'!AD353)),ROUND(INDEX('1-DATA'!$1:$1048576,IF(OR($B355="STD. DEVIATION",$C$1=1),$A355,$A355+1),COLUMN('1-DATA'!AD353)),IF($B355="STD. DEVIATION",2,$F$1))))</f>
        <v/>
      </c>
      <c r="AF355" s="1" t="str">
        <f>IF(OR($B355="",AF$7=""),"",IF($B355="MEANS",INDEX('1-DATA'!$1:$1048576,$A354-1,COLUMN('1-DATA'!AE353)),ROUND(INDEX('1-DATA'!$1:$1048576,IF(OR($B355="STD. DEVIATION",$C$1=1),$A355,$A355+1),COLUMN('1-DATA'!AE353)),IF($B355="STD. DEVIATION",2,$F$1))))</f>
        <v/>
      </c>
      <c r="AG355" s="1" t="str">
        <f>IF(OR($B355="",AG$7=""),"",IF($B355="MEANS",INDEX('1-DATA'!$1:$1048576,$A354-1,COLUMN('1-DATA'!AF353)),ROUND(INDEX('1-DATA'!$1:$1048576,IF(OR($B355="STD. DEVIATION",$C$1=1),$A355,$A355+1),COLUMN('1-DATA'!AF353)),IF($B355="STD. DEVIATION",2,$F$1))))</f>
        <v/>
      </c>
      <c r="AH355" s="1" t="str">
        <f>IF(OR($B355="",AH$7=""),"",IF($B355="MEANS",INDEX('1-DATA'!$1:$1048576,$A354-1,COLUMN('1-DATA'!AG353)),ROUND(INDEX('1-DATA'!$1:$1048576,IF(OR($B355="STD. DEVIATION",$C$1=1),$A355,$A355+1),COLUMN('1-DATA'!AG353)),IF($B355="STD. DEVIATION",2,$F$1))))</f>
        <v/>
      </c>
      <c r="AI355" s="1" t="str">
        <f>IF(OR($B355="",AI$7=""),"",IF($B355="MEANS",INDEX('1-DATA'!$1:$1048576,$A354-1,COLUMN('1-DATA'!AH353)),ROUND(INDEX('1-DATA'!$1:$1048576,IF(OR($B355="STD. DEVIATION",$C$1=1),$A355,$A355+1),COLUMN('1-DATA'!AH353)),IF($B355="STD. DEVIATION",2,$F$1))))</f>
        <v/>
      </c>
      <c r="AJ355" s="1" t="str">
        <f>IF(OR($B355="",AJ$7=""),"",IF($B355="MEANS",INDEX('1-DATA'!$1:$1048576,$A354-1,COLUMN('1-DATA'!AI353)),ROUND(INDEX('1-DATA'!$1:$1048576,IF(OR($B355="STD. DEVIATION",$C$1=1),$A355,$A355+1),COLUMN('1-DATA'!AI353)),IF($B355="STD. DEVIATION",2,$F$1))))</f>
        <v/>
      </c>
      <c r="AK355" s="1" t="str">
        <f>IF(OR($B355="",AK$7=""),"",IF($B355="MEANS",INDEX('1-DATA'!$1:$1048576,$A354-1,COLUMN('1-DATA'!AJ353)),ROUND(INDEX('1-DATA'!$1:$1048576,IF(OR($B355="STD. DEVIATION",$C$1=1),$A355,$A355+1),COLUMN('1-DATA'!AJ353)),IF($B355="STD. DEVIATION",2,$F$1))))</f>
        <v/>
      </c>
      <c r="AL355" s="1" t="str">
        <f>IF(OR($B355="",AL$7=""),"",IF($B355="MEANS",INDEX('1-DATA'!$1:$1048576,$A354-1,COLUMN('1-DATA'!AK353)),ROUND(INDEX('1-DATA'!$1:$1048576,IF(OR($B355="STD. DEVIATION",$C$1=1),$A355,$A355+1),COLUMN('1-DATA'!AK353)),IF($B355="STD. DEVIATION",2,$F$1))))</f>
        <v/>
      </c>
      <c r="AM355" s="1" t="str">
        <f>IF(OR($B355="",AM$7=""),"",IF($B355="MEANS",INDEX('1-DATA'!$1:$1048576,$A354-1,COLUMN('1-DATA'!AL353)),ROUND(INDEX('1-DATA'!$1:$1048576,IF(OR($B355="STD. DEVIATION",$C$1=1),$A355,$A355+1),COLUMN('1-DATA'!AL353)),IF($B355="STD. DEVIATION",2,$F$1))))</f>
        <v/>
      </c>
      <c r="AN355" s="1" t="str">
        <f>IF(OR($B355="",AN$7=""),"",IF($B355="MEANS",INDEX('1-DATA'!$1:$1048576,$A354-1,COLUMN('1-DATA'!AM353)),ROUND(INDEX('1-DATA'!$1:$1048576,IF(OR($B355="STD. DEVIATION",$C$1=1),$A355,$A355+1),COLUMN('1-DATA'!AM353)),IF($B355="STD. DEVIATION",2,$F$1))))</f>
        <v/>
      </c>
      <c r="AO355" s="1" t="str">
        <f>IF(OR($B355="",AO$7=""),"",IF($B355="MEANS",INDEX('1-DATA'!$1:$1048576,$A354-1,COLUMN('1-DATA'!AN353)),ROUND(INDEX('1-DATA'!$1:$1048576,IF(OR($B355="STD. DEVIATION",$C$1=1),$A355,$A355+1),COLUMN('1-DATA'!AN353)),IF($B355="STD. DEVIATION",2,$F$1))))</f>
        <v/>
      </c>
      <c r="AP355" s="1" t="str">
        <f>IF(OR($B355="",AP$7=""),"",IF($B355="MEANS",INDEX('1-DATA'!$1:$1048576,$A354-1,COLUMN('1-DATA'!AO353)),ROUND(INDEX('1-DATA'!$1:$1048576,IF(OR($B355="STD. DEVIATION",$C$1=1),$A355,$A355+1),COLUMN('1-DATA'!AO353)),IF($B355="STD. DEVIATION",2,$F$1))))</f>
        <v/>
      </c>
      <c r="AQ355" s="1" t="str">
        <f>IF(OR($B355="",AQ$7=""),"",IF($B355="MEANS",INDEX('1-DATA'!$1:$1048576,$A354-1,COLUMN('1-DATA'!AP353)),ROUND(INDEX('1-DATA'!$1:$1048576,IF(OR($B355="STD. DEVIATION",$C$1=1),$A355,$A355+1),COLUMN('1-DATA'!AP353)),IF($B355="STD. DEVIATION",2,$F$1))))</f>
        <v/>
      </c>
      <c r="AR355" s="1" t="str">
        <f>IF(OR($B355="",AR$7=""),"",IF($B355="MEANS",INDEX('1-DATA'!$1:$1048576,$A354-1,COLUMN('1-DATA'!AQ353)),ROUND(INDEX('1-DATA'!$1:$1048576,IF(OR($B355="STD. DEVIATION",$C$1=1),$A355,$A355+1),COLUMN('1-DATA'!AQ353)),IF($B355="STD. DEVIATION",2,$F$1))))</f>
        <v/>
      </c>
      <c r="AS355" s="1" t="str">
        <f>IF(OR($B355="",AS$7=""),"",IF($B355="MEANS",INDEX('1-DATA'!$1:$1048576,$A354-1,COLUMN('1-DATA'!AR353)),ROUND(INDEX('1-DATA'!$1:$1048576,IF(OR($B355="STD. DEVIATION",$C$1=1),$A355,$A355+1),COLUMN('1-DATA'!AR353)),IF($B355="STD. DEVIATION",2,$F$1))))</f>
        <v/>
      </c>
      <c r="AT355" s="1" t="str">
        <f>IF(OR($B355="",AT$7=""),"",IF($B355="MEANS",INDEX('1-DATA'!$1:$1048576,$A354-1,COLUMN('1-DATA'!AS353)),ROUND(INDEX('1-DATA'!$1:$1048576,IF(OR($B355="STD. DEVIATION",$C$1=1),$A355,$A355+1),COLUMN('1-DATA'!AS353)),IF($B355="STD. DEVIATION",2,$F$1))))</f>
        <v/>
      </c>
      <c r="AU355" s="1" t="str">
        <f>IF(OR($B355="",AU$7=""),"",IF($B355="MEANS",INDEX('1-DATA'!$1:$1048576,$A354-1,COLUMN('1-DATA'!AT353)),ROUND(INDEX('1-DATA'!$1:$1048576,IF(OR($B355="STD. DEVIATION",$C$1=1),$A355,$A355+1),COLUMN('1-DATA'!AT353)),IF($B355="STD. DEVIATION",2,$F$1))))</f>
        <v/>
      </c>
      <c r="AV355" s="1" t="str">
        <f>IF(OR($B355="",AV$7=""),"",IF($B355="MEANS",INDEX('1-DATA'!$1:$1048576,$A354-1,COLUMN('1-DATA'!AU353)),ROUND(INDEX('1-DATA'!$1:$1048576,IF(OR($B355="STD. DEVIATION",$C$1=1),$A355,$A355+1),COLUMN('1-DATA'!AU353)),IF($B355="STD. DEVIATION",2,$F$1))))</f>
        <v/>
      </c>
      <c r="AW355" s="1" t="str">
        <f>IF(OR($B355="",AW$7=""),"",IF($B355="MEANS",INDEX('1-DATA'!$1:$1048576,$A354-1,COLUMN('1-DATA'!AV353)),ROUND(INDEX('1-DATA'!$1:$1048576,IF(OR($B355="STD. DEVIATION",$C$1=1),$A355,$A355+1),COLUMN('1-DATA'!AV353)),IF($B355="STD. DEVIATION",2,$F$1))))</f>
        <v/>
      </c>
      <c r="AX355" s="1" t="str">
        <f>IF(OR($B355="",AX$7=""),"",IF($B355="MEANS",INDEX('1-DATA'!$1:$1048576,$A354-1,COLUMN('1-DATA'!AW353)),ROUND(INDEX('1-DATA'!$1:$1048576,IF(OR($B355="STD. DEVIATION",$C$1=1),$A355,$A355+1),COLUMN('1-DATA'!AW353)),IF($B355="STD. DEVIATION",2,$F$1))))</f>
        <v/>
      </c>
      <c r="AY355" s="1" t="str">
        <f>IF(OR($B355="",AY$7=""),"",IF($B355="MEANS",INDEX('1-DATA'!$1:$1048576,$A354-1,COLUMN('1-DATA'!AX353)),ROUND(INDEX('1-DATA'!$1:$1048576,IF(OR($B355="STD. DEVIATION",$C$1=1),$A355,$A355+1),COLUMN('1-DATA'!AX353)),IF($B355="STD. DEVIATION",2,$F$1))))</f>
        <v/>
      </c>
      <c r="AZ355" s="1" t="str">
        <f>IF(OR($B355="",AZ$7=""),"",IF($B355="MEANS",INDEX('1-DATA'!$1:$1048576,$A354-1,COLUMN('1-DATA'!AY353)),ROUND(INDEX('1-DATA'!$1:$1048576,IF(OR($B355="STD. DEVIATION",$C$1=1),$A355,$A355+1),COLUMN('1-DATA'!AY353)),IF($B355="STD. DEVIATION",2,$F$1))))</f>
        <v/>
      </c>
    </row>
    <row r="356" spans="1:52" x14ac:dyDescent="0.25">
      <c r="A356" s="11">
        <f t="shared" si="6"/>
        <v>1054</v>
      </c>
      <c r="B356" s="1" t="str">
        <f>IF(B355="STD. DEVIATION",INDEX('1-DATA'!$1:$1048576,$A355-1,1),IF(INDEX('1-DATA'!$1:$1048576,$A356,1)&lt;&gt;"",INDEX('1-DATA'!$1:$1048576,$A356,1),""))</f>
        <v/>
      </c>
      <c r="C356" s="1" t="str">
        <f>IF(OR($B356="",C$7=""),"",IF($B356="MEANS",INDEX('1-DATA'!$1:$1048576,$A355-1,COLUMN('1-DATA'!B354)),ROUND(INDEX('1-DATA'!$1:$1048576,IF(OR($B356="STD. DEVIATION",$C$1=1),$A356,$A356+1),COLUMN('1-DATA'!B354)),IF($B356="STD. DEVIATION",2,$F$1))))</f>
        <v/>
      </c>
      <c r="D356" s="1" t="str">
        <f>IF(OR($B356="",D$7=""),"",IF($B356="MEANS",INDEX('1-DATA'!$1:$1048576,$A355-1,COLUMN('1-DATA'!C354)),ROUND(INDEX('1-DATA'!$1:$1048576,IF(OR($B356="STD. DEVIATION",$C$1=1),$A356,$A356+1),COLUMN('1-DATA'!C354)),IF($B356="STD. DEVIATION",2,$F$1))))</f>
        <v/>
      </c>
      <c r="E356" s="1" t="str">
        <f>IF(OR($B356="",E$7=""),"",IF($B356="MEANS",INDEX('1-DATA'!$1:$1048576,$A355-1,COLUMN('1-DATA'!D354)),ROUND(INDEX('1-DATA'!$1:$1048576,IF(OR($B356="STD. DEVIATION",$C$1=1),$A356,$A356+1),COLUMN('1-DATA'!D354)),IF($B356="STD. DEVIATION",2,$F$1))))</f>
        <v/>
      </c>
      <c r="F356" s="1" t="str">
        <f>IF(OR($B356="",F$7=""),"",IF($B356="MEANS",INDEX('1-DATA'!$1:$1048576,$A355-1,COLUMN('1-DATA'!E354)),ROUND(INDEX('1-DATA'!$1:$1048576,IF(OR($B356="STD. DEVIATION",$C$1=1),$A356,$A356+1),COLUMN('1-DATA'!E354)),IF($B356="STD. DEVIATION",2,$F$1))))</f>
        <v/>
      </c>
      <c r="G356" s="1" t="str">
        <f>IF(OR($B356="",G$7=""),"",IF($B356="MEANS",INDEX('1-DATA'!$1:$1048576,$A355-1,COLUMN('1-DATA'!F354)),ROUND(INDEX('1-DATA'!$1:$1048576,IF(OR($B356="STD. DEVIATION",$C$1=1),$A356,$A356+1),COLUMN('1-DATA'!F354)),IF($B356="STD. DEVIATION",2,$F$1))))</f>
        <v/>
      </c>
      <c r="H356" s="1" t="str">
        <f>IF(OR($B356="",H$7=""),"",IF($B356="MEANS",INDEX('1-DATA'!$1:$1048576,$A355-1,COLUMN('1-DATA'!G354)),ROUND(INDEX('1-DATA'!$1:$1048576,IF(OR($B356="STD. DEVIATION",$C$1=1),$A356,$A356+1),COLUMN('1-DATA'!G354)),IF($B356="STD. DEVIATION",2,$F$1))))</f>
        <v/>
      </c>
      <c r="I356" s="1" t="str">
        <f>IF(OR($B356="",I$7=""),"",IF($B356="MEANS",INDEX('1-DATA'!$1:$1048576,$A355-1,COLUMN('1-DATA'!H354)),ROUND(INDEX('1-DATA'!$1:$1048576,IF(OR($B356="STD. DEVIATION",$C$1=1),$A356,$A356+1),COLUMN('1-DATA'!H354)),IF($B356="STD. DEVIATION",2,$F$1))))</f>
        <v/>
      </c>
      <c r="J356" s="1" t="str">
        <f>IF(OR($B356="",J$7=""),"",IF($B356="MEANS",INDEX('1-DATA'!$1:$1048576,$A355-1,COLUMN('1-DATA'!I354)),ROUND(INDEX('1-DATA'!$1:$1048576,IF(OR($B356="STD. DEVIATION",$C$1=1),$A356,$A356+1),COLUMN('1-DATA'!I354)),IF($B356="STD. DEVIATION",2,$F$1))))</f>
        <v/>
      </c>
      <c r="K356" s="1" t="str">
        <f>IF(OR($B356="",K$7=""),"",IF($B356="MEANS",INDEX('1-DATA'!$1:$1048576,$A355-1,COLUMN('1-DATA'!J354)),ROUND(INDEX('1-DATA'!$1:$1048576,IF(OR($B356="STD. DEVIATION",$C$1=1),$A356,$A356+1),COLUMN('1-DATA'!J354)),IF($B356="STD. DEVIATION",2,$F$1))))</f>
        <v/>
      </c>
      <c r="L356" s="1" t="str">
        <f>IF(OR($B356="",L$7=""),"",IF($B356="MEANS",INDEX('1-DATA'!$1:$1048576,$A355-1,COLUMN('1-DATA'!K354)),ROUND(INDEX('1-DATA'!$1:$1048576,IF(OR($B356="STD. DEVIATION",$C$1=1),$A356,$A356+1),COLUMN('1-DATA'!K354)),IF($B356="STD. DEVIATION",2,$F$1))))</f>
        <v/>
      </c>
      <c r="M356" s="1" t="str">
        <f>IF(OR($B356="",M$7=""),"",IF($B356="MEANS",INDEX('1-DATA'!$1:$1048576,$A355-1,COLUMN('1-DATA'!L354)),ROUND(INDEX('1-DATA'!$1:$1048576,IF(OR($B356="STD. DEVIATION",$C$1=1),$A356,$A356+1),COLUMN('1-DATA'!L354)),IF($B356="STD. DEVIATION",2,$F$1))))</f>
        <v/>
      </c>
      <c r="N356" s="1" t="str">
        <f>IF(OR($B356="",N$7=""),"",IF($B356="MEANS",INDEX('1-DATA'!$1:$1048576,$A355-1,COLUMN('1-DATA'!M354)),ROUND(INDEX('1-DATA'!$1:$1048576,IF(OR($B356="STD. DEVIATION",$C$1=1),$A356,$A356+1),COLUMN('1-DATA'!M354)),IF($B356="STD. DEVIATION",2,$F$1))))</f>
        <v/>
      </c>
      <c r="O356" s="1" t="str">
        <f>IF(OR($B356="",O$7=""),"",IF($B356="MEANS",INDEX('1-DATA'!$1:$1048576,$A355-1,COLUMN('1-DATA'!N354)),ROUND(INDEX('1-DATA'!$1:$1048576,IF(OR($B356="STD. DEVIATION",$C$1=1),$A356,$A356+1),COLUMN('1-DATA'!N354)),IF($B356="STD. DEVIATION",2,$F$1))))</f>
        <v/>
      </c>
      <c r="P356" s="1" t="str">
        <f>IF(OR($B356="",P$7=""),"",IF($B356="MEANS",INDEX('1-DATA'!$1:$1048576,$A355-1,COLUMN('1-DATA'!O354)),ROUND(INDEX('1-DATA'!$1:$1048576,IF(OR($B356="STD. DEVIATION",$C$1=1),$A356,$A356+1),COLUMN('1-DATA'!O354)),IF($B356="STD. DEVIATION",2,$F$1))))</f>
        <v/>
      </c>
      <c r="Q356" s="1" t="str">
        <f>IF(OR($B356="",Q$7=""),"",IF($B356="MEANS",INDEX('1-DATA'!$1:$1048576,$A355-1,COLUMN('1-DATA'!P354)),ROUND(INDEX('1-DATA'!$1:$1048576,IF(OR($B356="STD. DEVIATION",$C$1=1),$A356,$A356+1),COLUMN('1-DATA'!P354)),IF($B356="STD. DEVIATION",2,$F$1))))</f>
        <v/>
      </c>
      <c r="R356" s="1" t="str">
        <f>IF(OR($B356="",R$7=""),"",IF($B356="MEANS",INDEX('1-DATA'!$1:$1048576,$A355-1,COLUMN('1-DATA'!Q354)),ROUND(INDEX('1-DATA'!$1:$1048576,IF(OR($B356="STD. DEVIATION",$C$1=1),$A356,$A356+1),COLUMN('1-DATA'!Q354)),IF($B356="STD. DEVIATION",2,$F$1))))</f>
        <v/>
      </c>
      <c r="S356" s="1" t="str">
        <f>IF(OR($B356="",S$7=""),"",IF($B356="MEANS",INDEX('1-DATA'!$1:$1048576,$A355-1,COLUMN('1-DATA'!R354)),ROUND(INDEX('1-DATA'!$1:$1048576,IF(OR($B356="STD. DEVIATION",$C$1=1),$A356,$A356+1),COLUMN('1-DATA'!R354)),IF($B356="STD. DEVIATION",2,$F$1))))</f>
        <v/>
      </c>
      <c r="T356" s="1" t="str">
        <f>IF(OR($B356="",T$7=""),"",IF($B356="MEANS",INDEX('1-DATA'!$1:$1048576,$A355-1,COLUMN('1-DATA'!S354)),ROUND(INDEX('1-DATA'!$1:$1048576,IF(OR($B356="STD. DEVIATION",$C$1=1),$A356,$A356+1),COLUMN('1-DATA'!S354)),IF($B356="STD. DEVIATION",2,$F$1))))</f>
        <v/>
      </c>
      <c r="U356" s="1" t="str">
        <f>IF(OR($B356="",U$7=""),"",IF($B356="MEANS",INDEX('1-DATA'!$1:$1048576,$A355-1,COLUMN('1-DATA'!T354)),ROUND(INDEX('1-DATA'!$1:$1048576,IF(OR($B356="STD. DEVIATION",$C$1=1),$A356,$A356+1),COLUMN('1-DATA'!T354)),IF($B356="STD. DEVIATION",2,$F$1))))</f>
        <v/>
      </c>
      <c r="V356" s="1" t="str">
        <f>IF(OR($B356="",V$7=""),"",IF($B356="MEANS",INDEX('1-DATA'!$1:$1048576,$A355-1,COLUMN('1-DATA'!U354)),ROUND(INDEX('1-DATA'!$1:$1048576,IF(OR($B356="STD. DEVIATION",$C$1=1),$A356,$A356+1),COLUMN('1-DATA'!U354)),IF($B356="STD. DEVIATION",2,$F$1))))</f>
        <v/>
      </c>
      <c r="W356" s="1" t="str">
        <f>IF(OR($B356="",W$7=""),"",IF($B356="MEANS",INDEX('1-DATA'!$1:$1048576,$A355-1,COLUMN('1-DATA'!V354)),ROUND(INDEX('1-DATA'!$1:$1048576,IF(OR($B356="STD. DEVIATION",$C$1=1),$A356,$A356+1),COLUMN('1-DATA'!V354)),IF($B356="STD. DEVIATION",2,$F$1))))</f>
        <v/>
      </c>
      <c r="X356" s="1" t="str">
        <f>IF(OR($B356="",X$7=""),"",IF($B356="MEANS",INDEX('1-DATA'!$1:$1048576,$A355-1,COLUMN('1-DATA'!W354)),ROUND(INDEX('1-DATA'!$1:$1048576,IF(OR($B356="STD. DEVIATION",$C$1=1),$A356,$A356+1),COLUMN('1-DATA'!W354)),IF($B356="STD. DEVIATION",2,$F$1))))</f>
        <v/>
      </c>
      <c r="Y356" s="1" t="str">
        <f>IF(OR($B356="",Y$7=""),"",IF($B356="MEANS",INDEX('1-DATA'!$1:$1048576,$A355-1,COLUMN('1-DATA'!X354)),ROUND(INDEX('1-DATA'!$1:$1048576,IF(OR($B356="STD. DEVIATION",$C$1=1),$A356,$A356+1),COLUMN('1-DATA'!X354)),IF($B356="STD. DEVIATION",2,$F$1))))</f>
        <v/>
      </c>
      <c r="Z356" s="1" t="str">
        <f>IF(OR($B356="",Z$7=""),"",IF($B356="MEANS",INDEX('1-DATA'!$1:$1048576,$A355-1,COLUMN('1-DATA'!Y354)),ROUND(INDEX('1-DATA'!$1:$1048576,IF(OR($B356="STD. DEVIATION",$C$1=1),$A356,$A356+1),COLUMN('1-DATA'!Y354)),IF($B356="STD. DEVIATION",2,$F$1))))</f>
        <v/>
      </c>
      <c r="AA356" s="1" t="str">
        <f>IF(OR($B356="",AA$7=""),"",IF($B356="MEANS",INDEX('1-DATA'!$1:$1048576,$A355-1,COLUMN('1-DATA'!Z354)),ROUND(INDEX('1-DATA'!$1:$1048576,IF(OR($B356="STD. DEVIATION",$C$1=1),$A356,$A356+1),COLUMN('1-DATA'!Z354)),IF($B356="STD. DEVIATION",2,$F$1))))</f>
        <v/>
      </c>
      <c r="AB356" s="1" t="str">
        <f>IF(OR($B356="",AB$7=""),"",IF($B356="MEANS",INDEX('1-DATA'!$1:$1048576,$A355-1,COLUMN('1-DATA'!AA354)),ROUND(INDEX('1-DATA'!$1:$1048576,IF(OR($B356="STD. DEVIATION",$C$1=1),$A356,$A356+1),COLUMN('1-DATA'!AA354)),IF($B356="STD. DEVIATION",2,$F$1))))</f>
        <v/>
      </c>
      <c r="AC356" s="1" t="str">
        <f>IF(OR($B356="",AC$7=""),"",IF($B356="MEANS",INDEX('1-DATA'!$1:$1048576,$A355-1,COLUMN('1-DATA'!AB354)),ROUND(INDEX('1-DATA'!$1:$1048576,IF(OR($B356="STD. DEVIATION",$C$1=1),$A356,$A356+1),COLUMN('1-DATA'!AB354)),IF($B356="STD. DEVIATION",2,$F$1))))</f>
        <v/>
      </c>
      <c r="AD356" s="1" t="str">
        <f>IF(OR($B356="",AD$7=""),"",IF($B356="MEANS",INDEX('1-DATA'!$1:$1048576,$A355-1,COLUMN('1-DATA'!AC354)),ROUND(INDEX('1-DATA'!$1:$1048576,IF(OR($B356="STD. DEVIATION",$C$1=1),$A356,$A356+1),COLUMN('1-DATA'!AC354)),IF($B356="STD. DEVIATION",2,$F$1))))</f>
        <v/>
      </c>
      <c r="AE356" s="1" t="str">
        <f>IF(OR($B356="",AE$7=""),"",IF($B356="MEANS",INDEX('1-DATA'!$1:$1048576,$A355-1,COLUMN('1-DATA'!AD354)),ROUND(INDEX('1-DATA'!$1:$1048576,IF(OR($B356="STD. DEVIATION",$C$1=1),$A356,$A356+1),COLUMN('1-DATA'!AD354)),IF($B356="STD. DEVIATION",2,$F$1))))</f>
        <v/>
      </c>
      <c r="AF356" s="1" t="str">
        <f>IF(OR($B356="",AF$7=""),"",IF($B356="MEANS",INDEX('1-DATA'!$1:$1048576,$A355-1,COLUMN('1-DATA'!AE354)),ROUND(INDEX('1-DATA'!$1:$1048576,IF(OR($B356="STD. DEVIATION",$C$1=1),$A356,$A356+1),COLUMN('1-DATA'!AE354)),IF($B356="STD. DEVIATION",2,$F$1))))</f>
        <v/>
      </c>
      <c r="AG356" s="1" t="str">
        <f>IF(OR($B356="",AG$7=""),"",IF($B356="MEANS",INDEX('1-DATA'!$1:$1048576,$A355-1,COLUMN('1-DATA'!AF354)),ROUND(INDEX('1-DATA'!$1:$1048576,IF(OR($B356="STD. DEVIATION",$C$1=1),$A356,$A356+1),COLUMN('1-DATA'!AF354)),IF($B356="STD. DEVIATION",2,$F$1))))</f>
        <v/>
      </c>
      <c r="AH356" s="1" t="str">
        <f>IF(OR($B356="",AH$7=""),"",IF($B356="MEANS",INDEX('1-DATA'!$1:$1048576,$A355-1,COLUMN('1-DATA'!AG354)),ROUND(INDEX('1-DATA'!$1:$1048576,IF(OR($B356="STD. DEVIATION",$C$1=1),$A356,$A356+1),COLUMN('1-DATA'!AG354)),IF($B356="STD. DEVIATION",2,$F$1))))</f>
        <v/>
      </c>
      <c r="AI356" s="1" t="str">
        <f>IF(OR($B356="",AI$7=""),"",IF($B356="MEANS",INDEX('1-DATA'!$1:$1048576,$A355-1,COLUMN('1-DATA'!AH354)),ROUND(INDEX('1-DATA'!$1:$1048576,IF(OR($B356="STD. DEVIATION",$C$1=1),$A356,$A356+1),COLUMN('1-DATA'!AH354)),IF($B356="STD. DEVIATION",2,$F$1))))</f>
        <v/>
      </c>
      <c r="AJ356" s="1" t="str">
        <f>IF(OR($B356="",AJ$7=""),"",IF($B356="MEANS",INDEX('1-DATA'!$1:$1048576,$A355-1,COLUMN('1-DATA'!AI354)),ROUND(INDEX('1-DATA'!$1:$1048576,IF(OR($B356="STD. DEVIATION",$C$1=1),$A356,$A356+1),COLUMN('1-DATA'!AI354)),IF($B356="STD. DEVIATION",2,$F$1))))</f>
        <v/>
      </c>
      <c r="AK356" s="1" t="str">
        <f>IF(OR($B356="",AK$7=""),"",IF($B356="MEANS",INDEX('1-DATA'!$1:$1048576,$A355-1,COLUMN('1-DATA'!AJ354)),ROUND(INDEX('1-DATA'!$1:$1048576,IF(OR($B356="STD. DEVIATION",$C$1=1),$A356,$A356+1),COLUMN('1-DATA'!AJ354)),IF($B356="STD. DEVIATION",2,$F$1))))</f>
        <v/>
      </c>
      <c r="AL356" s="1" t="str">
        <f>IF(OR($B356="",AL$7=""),"",IF($B356="MEANS",INDEX('1-DATA'!$1:$1048576,$A355-1,COLUMN('1-DATA'!AK354)),ROUND(INDEX('1-DATA'!$1:$1048576,IF(OR($B356="STD. DEVIATION",$C$1=1),$A356,$A356+1),COLUMN('1-DATA'!AK354)),IF($B356="STD. DEVIATION",2,$F$1))))</f>
        <v/>
      </c>
      <c r="AM356" s="1" t="str">
        <f>IF(OR($B356="",AM$7=""),"",IF($B356="MEANS",INDEX('1-DATA'!$1:$1048576,$A355-1,COLUMN('1-DATA'!AL354)),ROUND(INDEX('1-DATA'!$1:$1048576,IF(OR($B356="STD. DEVIATION",$C$1=1),$A356,$A356+1),COLUMN('1-DATA'!AL354)),IF($B356="STD. DEVIATION",2,$F$1))))</f>
        <v/>
      </c>
      <c r="AN356" s="1" t="str">
        <f>IF(OR($B356="",AN$7=""),"",IF($B356="MEANS",INDEX('1-DATA'!$1:$1048576,$A355-1,COLUMN('1-DATA'!AM354)),ROUND(INDEX('1-DATA'!$1:$1048576,IF(OR($B356="STD. DEVIATION",$C$1=1),$A356,$A356+1),COLUMN('1-DATA'!AM354)),IF($B356="STD. DEVIATION",2,$F$1))))</f>
        <v/>
      </c>
      <c r="AO356" s="1" t="str">
        <f>IF(OR($B356="",AO$7=""),"",IF($B356="MEANS",INDEX('1-DATA'!$1:$1048576,$A355-1,COLUMN('1-DATA'!AN354)),ROUND(INDEX('1-DATA'!$1:$1048576,IF(OR($B356="STD. DEVIATION",$C$1=1),$A356,$A356+1),COLUMN('1-DATA'!AN354)),IF($B356="STD. DEVIATION",2,$F$1))))</f>
        <v/>
      </c>
      <c r="AP356" s="1" t="str">
        <f>IF(OR($B356="",AP$7=""),"",IF($B356="MEANS",INDEX('1-DATA'!$1:$1048576,$A355-1,COLUMN('1-DATA'!AO354)),ROUND(INDEX('1-DATA'!$1:$1048576,IF(OR($B356="STD. DEVIATION",$C$1=1),$A356,$A356+1),COLUMN('1-DATA'!AO354)),IF($B356="STD. DEVIATION",2,$F$1))))</f>
        <v/>
      </c>
      <c r="AQ356" s="1" t="str">
        <f>IF(OR($B356="",AQ$7=""),"",IF($B356="MEANS",INDEX('1-DATA'!$1:$1048576,$A355-1,COLUMN('1-DATA'!AP354)),ROUND(INDEX('1-DATA'!$1:$1048576,IF(OR($B356="STD. DEVIATION",$C$1=1),$A356,$A356+1),COLUMN('1-DATA'!AP354)),IF($B356="STD. DEVIATION",2,$F$1))))</f>
        <v/>
      </c>
      <c r="AR356" s="1" t="str">
        <f>IF(OR($B356="",AR$7=""),"",IF($B356="MEANS",INDEX('1-DATA'!$1:$1048576,$A355-1,COLUMN('1-DATA'!AQ354)),ROUND(INDEX('1-DATA'!$1:$1048576,IF(OR($B356="STD. DEVIATION",$C$1=1),$A356,$A356+1),COLUMN('1-DATA'!AQ354)),IF($B356="STD. DEVIATION",2,$F$1))))</f>
        <v/>
      </c>
      <c r="AS356" s="1" t="str">
        <f>IF(OR($B356="",AS$7=""),"",IF($B356="MEANS",INDEX('1-DATA'!$1:$1048576,$A355-1,COLUMN('1-DATA'!AR354)),ROUND(INDEX('1-DATA'!$1:$1048576,IF(OR($B356="STD. DEVIATION",$C$1=1),$A356,$A356+1),COLUMN('1-DATA'!AR354)),IF($B356="STD. DEVIATION",2,$F$1))))</f>
        <v/>
      </c>
      <c r="AT356" s="1" t="str">
        <f>IF(OR($B356="",AT$7=""),"",IF($B356="MEANS",INDEX('1-DATA'!$1:$1048576,$A355-1,COLUMN('1-DATA'!AS354)),ROUND(INDEX('1-DATA'!$1:$1048576,IF(OR($B356="STD. DEVIATION",$C$1=1),$A356,$A356+1),COLUMN('1-DATA'!AS354)),IF($B356="STD. DEVIATION",2,$F$1))))</f>
        <v/>
      </c>
      <c r="AU356" s="1" t="str">
        <f>IF(OR($B356="",AU$7=""),"",IF($B356="MEANS",INDEX('1-DATA'!$1:$1048576,$A355-1,COLUMN('1-DATA'!AT354)),ROUND(INDEX('1-DATA'!$1:$1048576,IF(OR($B356="STD. DEVIATION",$C$1=1),$A356,$A356+1),COLUMN('1-DATA'!AT354)),IF($B356="STD. DEVIATION",2,$F$1))))</f>
        <v/>
      </c>
      <c r="AV356" s="1" t="str">
        <f>IF(OR($B356="",AV$7=""),"",IF($B356="MEANS",INDEX('1-DATA'!$1:$1048576,$A355-1,COLUMN('1-DATA'!AU354)),ROUND(INDEX('1-DATA'!$1:$1048576,IF(OR($B356="STD. DEVIATION",$C$1=1),$A356,$A356+1),COLUMN('1-DATA'!AU354)),IF($B356="STD. DEVIATION",2,$F$1))))</f>
        <v/>
      </c>
      <c r="AW356" s="1" t="str">
        <f>IF(OR($B356="",AW$7=""),"",IF($B356="MEANS",INDEX('1-DATA'!$1:$1048576,$A355-1,COLUMN('1-DATA'!AV354)),ROUND(INDEX('1-DATA'!$1:$1048576,IF(OR($B356="STD. DEVIATION",$C$1=1),$A356,$A356+1),COLUMN('1-DATA'!AV354)),IF($B356="STD. DEVIATION",2,$F$1))))</f>
        <v/>
      </c>
      <c r="AX356" s="1" t="str">
        <f>IF(OR($B356="",AX$7=""),"",IF($B356="MEANS",INDEX('1-DATA'!$1:$1048576,$A355-1,COLUMN('1-DATA'!AW354)),ROUND(INDEX('1-DATA'!$1:$1048576,IF(OR($B356="STD. DEVIATION",$C$1=1),$A356,$A356+1),COLUMN('1-DATA'!AW354)),IF($B356="STD. DEVIATION",2,$F$1))))</f>
        <v/>
      </c>
      <c r="AY356" s="1" t="str">
        <f>IF(OR($B356="",AY$7=""),"",IF($B356="MEANS",INDEX('1-DATA'!$1:$1048576,$A355-1,COLUMN('1-DATA'!AX354)),ROUND(INDEX('1-DATA'!$1:$1048576,IF(OR($B356="STD. DEVIATION",$C$1=1),$A356,$A356+1),COLUMN('1-DATA'!AX354)),IF($B356="STD. DEVIATION",2,$F$1))))</f>
        <v/>
      </c>
      <c r="AZ356" s="1" t="str">
        <f>IF(OR($B356="",AZ$7=""),"",IF($B356="MEANS",INDEX('1-DATA'!$1:$1048576,$A355-1,COLUMN('1-DATA'!AY354)),ROUND(INDEX('1-DATA'!$1:$1048576,IF(OR($B356="STD. DEVIATION",$C$1=1),$A356,$A356+1),COLUMN('1-DATA'!AY354)),IF($B356="STD. DEVIATION",2,$F$1))))</f>
        <v/>
      </c>
    </row>
    <row r="357" spans="1:52" x14ac:dyDescent="0.25">
      <c r="A357" s="11">
        <f t="shared" si="6"/>
        <v>1057</v>
      </c>
      <c r="B357" s="1" t="str">
        <f>IF(B356="STD. DEVIATION",INDEX('1-DATA'!$1:$1048576,$A356-1,1),IF(INDEX('1-DATA'!$1:$1048576,$A357,1)&lt;&gt;"",INDEX('1-DATA'!$1:$1048576,$A357,1),""))</f>
        <v/>
      </c>
      <c r="C357" s="1" t="str">
        <f>IF(OR($B357="",C$7=""),"",IF($B357="MEANS",INDEX('1-DATA'!$1:$1048576,$A356-1,COLUMN('1-DATA'!B355)),ROUND(INDEX('1-DATA'!$1:$1048576,IF(OR($B357="STD. DEVIATION",$C$1=1),$A357,$A357+1),COLUMN('1-DATA'!B355)),IF($B357="STD. DEVIATION",2,$F$1))))</f>
        <v/>
      </c>
      <c r="D357" s="1" t="str">
        <f>IF(OR($B357="",D$7=""),"",IF($B357="MEANS",INDEX('1-DATA'!$1:$1048576,$A356-1,COLUMN('1-DATA'!C355)),ROUND(INDEX('1-DATA'!$1:$1048576,IF(OR($B357="STD. DEVIATION",$C$1=1),$A357,$A357+1),COLUMN('1-DATA'!C355)),IF($B357="STD. DEVIATION",2,$F$1))))</f>
        <v/>
      </c>
      <c r="E357" s="1" t="str">
        <f>IF(OR($B357="",E$7=""),"",IF($B357="MEANS",INDEX('1-DATA'!$1:$1048576,$A356-1,COLUMN('1-DATA'!D355)),ROUND(INDEX('1-DATA'!$1:$1048576,IF(OR($B357="STD. DEVIATION",$C$1=1),$A357,$A357+1),COLUMN('1-DATA'!D355)),IF($B357="STD. DEVIATION",2,$F$1))))</f>
        <v/>
      </c>
      <c r="F357" s="1" t="str">
        <f>IF(OR($B357="",F$7=""),"",IF($B357="MEANS",INDEX('1-DATA'!$1:$1048576,$A356-1,COLUMN('1-DATA'!E355)),ROUND(INDEX('1-DATA'!$1:$1048576,IF(OR($B357="STD. DEVIATION",$C$1=1),$A357,$A357+1),COLUMN('1-DATA'!E355)),IF($B357="STD. DEVIATION",2,$F$1))))</f>
        <v/>
      </c>
      <c r="G357" s="1" t="str">
        <f>IF(OR($B357="",G$7=""),"",IF($B357="MEANS",INDEX('1-DATA'!$1:$1048576,$A356-1,COLUMN('1-DATA'!F355)),ROUND(INDEX('1-DATA'!$1:$1048576,IF(OR($B357="STD. DEVIATION",$C$1=1),$A357,$A357+1),COLUMN('1-DATA'!F355)),IF($B357="STD. DEVIATION",2,$F$1))))</f>
        <v/>
      </c>
      <c r="H357" s="1" t="str">
        <f>IF(OR($B357="",H$7=""),"",IF($B357="MEANS",INDEX('1-DATA'!$1:$1048576,$A356-1,COLUMN('1-DATA'!G355)),ROUND(INDEX('1-DATA'!$1:$1048576,IF(OR($B357="STD. DEVIATION",$C$1=1),$A357,$A357+1),COLUMN('1-DATA'!G355)),IF($B357="STD. DEVIATION",2,$F$1))))</f>
        <v/>
      </c>
      <c r="I357" s="1" t="str">
        <f>IF(OR($B357="",I$7=""),"",IF($B357="MEANS",INDEX('1-DATA'!$1:$1048576,$A356-1,COLUMN('1-DATA'!H355)),ROUND(INDEX('1-DATA'!$1:$1048576,IF(OR($B357="STD. DEVIATION",$C$1=1),$A357,$A357+1),COLUMN('1-DATA'!H355)),IF($B357="STD. DEVIATION",2,$F$1))))</f>
        <v/>
      </c>
      <c r="J357" s="1" t="str">
        <f>IF(OR($B357="",J$7=""),"",IF($B357="MEANS",INDEX('1-DATA'!$1:$1048576,$A356-1,COLUMN('1-DATA'!I355)),ROUND(INDEX('1-DATA'!$1:$1048576,IF(OR($B357="STD. DEVIATION",$C$1=1),$A357,$A357+1),COLUMN('1-DATA'!I355)),IF($B357="STD. DEVIATION",2,$F$1))))</f>
        <v/>
      </c>
      <c r="K357" s="1" t="str">
        <f>IF(OR($B357="",K$7=""),"",IF($B357="MEANS",INDEX('1-DATA'!$1:$1048576,$A356-1,COLUMN('1-DATA'!J355)),ROUND(INDEX('1-DATA'!$1:$1048576,IF(OR($B357="STD. DEVIATION",$C$1=1),$A357,$A357+1),COLUMN('1-DATA'!J355)),IF($B357="STD. DEVIATION",2,$F$1))))</f>
        <v/>
      </c>
      <c r="L357" s="1" t="str">
        <f>IF(OR($B357="",L$7=""),"",IF($B357="MEANS",INDEX('1-DATA'!$1:$1048576,$A356-1,COLUMN('1-DATA'!K355)),ROUND(INDEX('1-DATA'!$1:$1048576,IF(OR($B357="STD. DEVIATION",$C$1=1),$A357,$A357+1),COLUMN('1-DATA'!K355)),IF($B357="STD. DEVIATION",2,$F$1))))</f>
        <v/>
      </c>
      <c r="M357" s="1" t="str">
        <f>IF(OR($B357="",M$7=""),"",IF($B357="MEANS",INDEX('1-DATA'!$1:$1048576,$A356-1,COLUMN('1-DATA'!L355)),ROUND(INDEX('1-DATA'!$1:$1048576,IF(OR($B357="STD. DEVIATION",$C$1=1),$A357,$A357+1),COLUMN('1-DATA'!L355)),IF($B357="STD. DEVIATION",2,$F$1))))</f>
        <v/>
      </c>
      <c r="N357" s="1" t="str">
        <f>IF(OR($B357="",N$7=""),"",IF($B357="MEANS",INDEX('1-DATA'!$1:$1048576,$A356-1,COLUMN('1-DATA'!M355)),ROUND(INDEX('1-DATA'!$1:$1048576,IF(OR($B357="STD. DEVIATION",$C$1=1),$A357,$A357+1),COLUMN('1-DATA'!M355)),IF($B357="STD. DEVIATION",2,$F$1))))</f>
        <v/>
      </c>
      <c r="O357" s="1" t="str">
        <f>IF(OR($B357="",O$7=""),"",IF($B357="MEANS",INDEX('1-DATA'!$1:$1048576,$A356-1,COLUMN('1-DATA'!N355)),ROUND(INDEX('1-DATA'!$1:$1048576,IF(OR($B357="STD. DEVIATION",$C$1=1),$A357,$A357+1),COLUMN('1-DATA'!N355)),IF($B357="STD. DEVIATION",2,$F$1))))</f>
        <v/>
      </c>
      <c r="P357" s="1" t="str">
        <f>IF(OR($B357="",P$7=""),"",IF($B357="MEANS",INDEX('1-DATA'!$1:$1048576,$A356-1,COLUMN('1-DATA'!O355)),ROUND(INDEX('1-DATA'!$1:$1048576,IF(OR($B357="STD. DEVIATION",$C$1=1),$A357,$A357+1),COLUMN('1-DATA'!O355)),IF($B357="STD. DEVIATION",2,$F$1))))</f>
        <v/>
      </c>
      <c r="Q357" s="1" t="str">
        <f>IF(OR($B357="",Q$7=""),"",IF($B357="MEANS",INDEX('1-DATA'!$1:$1048576,$A356-1,COLUMN('1-DATA'!P355)),ROUND(INDEX('1-DATA'!$1:$1048576,IF(OR($B357="STD. DEVIATION",$C$1=1),$A357,$A357+1),COLUMN('1-DATA'!P355)),IF($B357="STD. DEVIATION",2,$F$1))))</f>
        <v/>
      </c>
      <c r="R357" s="1" t="str">
        <f>IF(OR($B357="",R$7=""),"",IF($B357="MEANS",INDEX('1-DATA'!$1:$1048576,$A356-1,COLUMN('1-DATA'!Q355)),ROUND(INDEX('1-DATA'!$1:$1048576,IF(OR($B357="STD. DEVIATION",$C$1=1),$A357,$A357+1),COLUMN('1-DATA'!Q355)),IF($B357="STD. DEVIATION",2,$F$1))))</f>
        <v/>
      </c>
      <c r="S357" s="1" t="str">
        <f>IF(OR($B357="",S$7=""),"",IF($B357="MEANS",INDEX('1-DATA'!$1:$1048576,$A356-1,COLUMN('1-DATA'!R355)),ROUND(INDEX('1-DATA'!$1:$1048576,IF(OR($B357="STD. DEVIATION",$C$1=1),$A357,$A357+1),COLUMN('1-DATA'!R355)),IF($B357="STD. DEVIATION",2,$F$1))))</f>
        <v/>
      </c>
      <c r="T357" s="1" t="str">
        <f>IF(OR($B357="",T$7=""),"",IF($B357="MEANS",INDEX('1-DATA'!$1:$1048576,$A356-1,COLUMN('1-DATA'!S355)),ROUND(INDEX('1-DATA'!$1:$1048576,IF(OR($B357="STD. DEVIATION",$C$1=1),$A357,$A357+1),COLUMN('1-DATA'!S355)),IF($B357="STD. DEVIATION",2,$F$1))))</f>
        <v/>
      </c>
      <c r="U357" s="1" t="str">
        <f>IF(OR($B357="",U$7=""),"",IF($B357="MEANS",INDEX('1-DATA'!$1:$1048576,$A356-1,COLUMN('1-DATA'!T355)),ROUND(INDEX('1-DATA'!$1:$1048576,IF(OR($B357="STD. DEVIATION",$C$1=1),$A357,$A357+1),COLUMN('1-DATA'!T355)),IF($B357="STD. DEVIATION",2,$F$1))))</f>
        <v/>
      </c>
      <c r="V357" s="1" t="str">
        <f>IF(OR($B357="",V$7=""),"",IF($B357="MEANS",INDEX('1-DATA'!$1:$1048576,$A356-1,COLUMN('1-DATA'!U355)),ROUND(INDEX('1-DATA'!$1:$1048576,IF(OR($B357="STD. DEVIATION",$C$1=1),$A357,$A357+1),COLUMN('1-DATA'!U355)),IF($B357="STD. DEVIATION",2,$F$1))))</f>
        <v/>
      </c>
      <c r="W357" s="1" t="str">
        <f>IF(OR($B357="",W$7=""),"",IF($B357="MEANS",INDEX('1-DATA'!$1:$1048576,$A356-1,COLUMN('1-DATA'!V355)),ROUND(INDEX('1-DATA'!$1:$1048576,IF(OR($B357="STD. DEVIATION",$C$1=1),$A357,$A357+1),COLUMN('1-DATA'!V355)),IF($B357="STD. DEVIATION",2,$F$1))))</f>
        <v/>
      </c>
      <c r="X357" s="1" t="str">
        <f>IF(OR($B357="",X$7=""),"",IF($B357="MEANS",INDEX('1-DATA'!$1:$1048576,$A356-1,COLUMN('1-DATA'!W355)),ROUND(INDEX('1-DATA'!$1:$1048576,IF(OR($B357="STD. DEVIATION",$C$1=1),$A357,$A357+1),COLUMN('1-DATA'!W355)),IF($B357="STD. DEVIATION",2,$F$1))))</f>
        <v/>
      </c>
      <c r="Y357" s="1" t="str">
        <f>IF(OR($B357="",Y$7=""),"",IF($B357="MEANS",INDEX('1-DATA'!$1:$1048576,$A356-1,COLUMN('1-DATA'!X355)),ROUND(INDEX('1-DATA'!$1:$1048576,IF(OR($B357="STD. DEVIATION",$C$1=1),$A357,$A357+1),COLUMN('1-DATA'!X355)),IF($B357="STD. DEVIATION",2,$F$1))))</f>
        <v/>
      </c>
      <c r="Z357" s="1" t="str">
        <f>IF(OR($B357="",Z$7=""),"",IF($B357="MEANS",INDEX('1-DATA'!$1:$1048576,$A356-1,COLUMN('1-DATA'!Y355)),ROUND(INDEX('1-DATA'!$1:$1048576,IF(OR($B357="STD. DEVIATION",$C$1=1),$A357,$A357+1),COLUMN('1-DATA'!Y355)),IF($B357="STD. DEVIATION",2,$F$1))))</f>
        <v/>
      </c>
      <c r="AA357" s="1" t="str">
        <f>IF(OR($B357="",AA$7=""),"",IF($B357="MEANS",INDEX('1-DATA'!$1:$1048576,$A356-1,COLUMN('1-DATA'!Z355)),ROUND(INDEX('1-DATA'!$1:$1048576,IF(OR($B357="STD. DEVIATION",$C$1=1),$A357,$A357+1),COLUMN('1-DATA'!Z355)),IF($B357="STD. DEVIATION",2,$F$1))))</f>
        <v/>
      </c>
      <c r="AB357" s="1" t="str">
        <f>IF(OR($B357="",AB$7=""),"",IF($B357="MEANS",INDEX('1-DATA'!$1:$1048576,$A356-1,COLUMN('1-DATA'!AA355)),ROUND(INDEX('1-DATA'!$1:$1048576,IF(OR($B357="STD. DEVIATION",$C$1=1),$A357,$A357+1),COLUMN('1-DATA'!AA355)),IF($B357="STD. DEVIATION",2,$F$1))))</f>
        <v/>
      </c>
      <c r="AC357" s="1" t="str">
        <f>IF(OR($B357="",AC$7=""),"",IF($B357="MEANS",INDEX('1-DATA'!$1:$1048576,$A356-1,COLUMN('1-DATA'!AB355)),ROUND(INDEX('1-DATA'!$1:$1048576,IF(OR($B357="STD. DEVIATION",$C$1=1),$A357,$A357+1),COLUMN('1-DATA'!AB355)),IF($B357="STD. DEVIATION",2,$F$1))))</f>
        <v/>
      </c>
      <c r="AD357" s="1" t="str">
        <f>IF(OR($B357="",AD$7=""),"",IF($B357="MEANS",INDEX('1-DATA'!$1:$1048576,$A356-1,COLUMN('1-DATA'!AC355)),ROUND(INDEX('1-DATA'!$1:$1048576,IF(OR($B357="STD. DEVIATION",$C$1=1),$A357,$A357+1),COLUMN('1-DATA'!AC355)),IF($B357="STD. DEVIATION",2,$F$1))))</f>
        <v/>
      </c>
      <c r="AE357" s="1" t="str">
        <f>IF(OR($B357="",AE$7=""),"",IF($B357="MEANS",INDEX('1-DATA'!$1:$1048576,$A356-1,COLUMN('1-DATA'!AD355)),ROUND(INDEX('1-DATA'!$1:$1048576,IF(OR($B357="STD. DEVIATION",$C$1=1),$A357,$A357+1),COLUMN('1-DATA'!AD355)),IF($B357="STD. DEVIATION",2,$F$1))))</f>
        <v/>
      </c>
      <c r="AF357" s="1" t="str">
        <f>IF(OR($B357="",AF$7=""),"",IF($B357="MEANS",INDEX('1-DATA'!$1:$1048576,$A356-1,COLUMN('1-DATA'!AE355)),ROUND(INDEX('1-DATA'!$1:$1048576,IF(OR($B357="STD. DEVIATION",$C$1=1),$A357,$A357+1),COLUMN('1-DATA'!AE355)),IF($B357="STD. DEVIATION",2,$F$1))))</f>
        <v/>
      </c>
      <c r="AG357" s="1" t="str">
        <f>IF(OR($B357="",AG$7=""),"",IF($B357="MEANS",INDEX('1-DATA'!$1:$1048576,$A356-1,COLUMN('1-DATA'!AF355)),ROUND(INDEX('1-DATA'!$1:$1048576,IF(OR($B357="STD. DEVIATION",$C$1=1),$A357,$A357+1),COLUMN('1-DATA'!AF355)),IF($B357="STD. DEVIATION",2,$F$1))))</f>
        <v/>
      </c>
      <c r="AH357" s="1" t="str">
        <f>IF(OR($B357="",AH$7=""),"",IF($B357="MEANS",INDEX('1-DATA'!$1:$1048576,$A356-1,COLUMN('1-DATA'!AG355)),ROUND(INDEX('1-DATA'!$1:$1048576,IF(OR($B357="STD. DEVIATION",$C$1=1),$A357,$A357+1),COLUMN('1-DATA'!AG355)),IF($B357="STD. DEVIATION",2,$F$1))))</f>
        <v/>
      </c>
      <c r="AI357" s="1" t="str">
        <f>IF(OR($B357="",AI$7=""),"",IF($B357="MEANS",INDEX('1-DATA'!$1:$1048576,$A356-1,COLUMN('1-DATA'!AH355)),ROUND(INDEX('1-DATA'!$1:$1048576,IF(OR($B357="STD. DEVIATION",$C$1=1),$A357,$A357+1),COLUMN('1-DATA'!AH355)),IF($B357="STD. DEVIATION",2,$F$1))))</f>
        <v/>
      </c>
      <c r="AJ357" s="1" t="str">
        <f>IF(OR($B357="",AJ$7=""),"",IF($B357="MEANS",INDEX('1-DATA'!$1:$1048576,$A356-1,COLUMN('1-DATA'!AI355)),ROUND(INDEX('1-DATA'!$1:$1048576,IF(OR($B357="STD. DEVIATION",$C$1=1),$A357,$A357+1),COLUMN('1-DATA'!AI355)),IF($B357="STD. DEVIATION",2,$F$1))))</f>
        <v/>
      </c>
      <c r="AK357" s="1" t="str">
        <f>IF(OR($B357="",AK$7=""),"",IF($B357="MEANS",INDEX('1-DATA'!$1:$1048576,$A356-1,COLUMN('1-DATA'!AJ355)),ROUND(INDEX('1-DATA'!$1:$1048576,IF(OR($B357="STD. DEVIATION",$C$1=1),$A357,$A357+1),COLUMN('1-DATA'!AJ355)),IF($B357="STD. DEVIATION",2,$F$1))))</f>
        <v/>
      </c>
      <c r="AL357" s="1" t="str">
        <f>IF(OR($B357="",AL$7=""),"",IF($B357="MEANS",INDEX('1-DATA'!$1:$1048576,$A356-1,COLUMN('1-DATA'!AK355)),ROUND(INDEX('1-DATA'!$1:$1048576,IF(OR($B357="STD. DEVIATION",$C$1=1),$A357,$A357+1),COLUMN('1-DATA'!AK355)),IF($B357="STD. DEVIATION",2,$F$1))))</f>
        <v/>
      </c>
      <c r="AM357" s="1" t="str">
        <f>IF(OR($B357="",AM$7=""),"",IF($B357="MEANS",INDEX('1-DATA'!$1:$1048576,$A356-1,COLUMN('1-DATA'!AL355)),ROUND(INDEX('1-DATA'!$1:$1048576,IF(OR($B357="STD. DEVIATION",$C$1=1),$A357,$A357+1),COLUMN('1-DATA'!AL355)),IF($B357="STD. DEVIATION",2,$F$1))))</f>
        <v/>
      </c>
      <c r="AN357" s="1" t="str">
        <f>IF(OR($B357="",AN$7=""),"",IF($B357="MEANS",INDEX('1-DATA'!$1:$1048576,$A356-1,COLUMN('1-DATA'!AM355)),ROUND(INDEX('1-DATA'!$1:$1048576,IF(OR($B357="STD. DEVIATION",$C$1=1),$A357,$A357+1),COLUMN('1-DATA'!AM355)),IF($B357="STD. DEVIATION",2,$F$1))))</f>
        <v/>
      </c>
      <c r="AO357" s="1" t="str">
        <f>IF(OR($B357="",AO$7=""),"",IF($B357="MEANS",INDEX('1-DATA'!$1:$1048576,$A356-1,COLUMN('1-DATA'!AN355)),ROUND(INDEX('1-DATA'!$1:$1048576,IF(OR($B357="STD. DEVIATION",$C$1=1),$A357,$A357+1),COLUMN('1-DATA'!AN355)),IF($B357="STD. DEVIATION",2,$F$1))))</f>
        <v/>
      </c>
      <c r="AP357" s="1" t="str">
        <f>IF(OR($B357="",AP$7=""),"",IF($B357="MEANS",INDEX('1-DATA'!$1:$1048576,$A356-1,COLUMN('1-DATA'!AO355)),ROUND(INDEX('1-DATA'!$1:$1048576,IF(OR($B357="STD. DEVIATION",$C$1=1),$A357,$A357+1),COLUMN('1-DATA'!AO355)),IF($B357="STD. DEVIATION",2,$F$1))))</f>
        <v/>
      </c>
      <c r="AQ357" s="1" t="str">
        <f>IF(OR($B357="",AQ$7=""),"",IF($B357="MEANS",INDEX('1-DATA'!$1:$1048576,$A356-1,COLUMN('1-DATA'!AP355)),ROUND(INDEX('1-DATA'!$1:$1048576,IF(OR($B357="STD. DEVIATION",$C$1=1),$A357,$A357+1),COLUMN('1-DATA'!AP355)),IF($B357="STD. DEVIATION",2,$F$1))))</f>
        <v/>
      </c>
      <c r="AR357" s="1" t="str">
        <f>IF(OR($B357="",AR$7=""),"",IF($B357="MEANS",INDEX('1-DATA'!$1:$1048576,$A356-1,COLUMN('1-DATA'!AQ355)),ROUND(INDEX('1-DATA'!$1:$1048576,IF(OR($B357="STD. DEVIATION",$C$1=1),$A357,$A357+1),COLUMN('1-DATA'!AQ355)),IF($B357="STD. DEVIATION",2,$F$1))))</f>
        <v/>
      </c>
      <c r="AS357" s="1" t="str">
        <f>IF(OR($B357="",AS$7=""),"",IF($B357="MEANS",INDEX('1-DATA'!$1:$1048576,$A356-1,COLUMN('1-DATA'!AR355)),ROUND(INDEX('1-DATA'!$1:$1048576,IF(OR($B357="STD. DEVIATION",$C$1=1),$A357,$A357+1),COLUMN('1-DATA'!AR355)),IF($B357="STD. DEVIATION",2,$F$1))))</f>
        <v/>
      </c>
      <c r="AT357" s="1" t="str">
        <f>IF(OR($B357="",AT$7=""),"",IF($B357="MEANS",INDEX('1-DATA'!$1:$1048576,$A356-1,COLUMN('1-DATA'!AS355)),ROUND(INDEX('1-DATA'!$1:$1048576,IF(OR($B357="STD. DEVIATION",$C$1=1),$A357,$A357+1),COLUMN('1-DATA'!AS355)),IF($B357="STD. DEVIATION",2,$F$1))))</f>
        <v/>
      </c>
      <c r="AU357" s="1" t="str">
        <f>IF(OR($B357="",AU$7=""),"",IF($B357="MEANS",INDEX('1-DATA'!$1:$1048576,$A356-1,COLUMN('1-DATA'!AT355)),ROUND(INDEX('1-DATA'!$1:$1048576,IF(OR($B357="STD. DEVIATION",$C$1=1),$A357,$A357+1),COLUMN('1-DATA'!AT355)),IF($B357="STD. DEVIATION",2,$F$1))))</f>
        <v/>
      </c>
      <c r="AV357" s="1" t="str">
        <f>IF(OR($B357="",AV$7=""),"",IF($B357="MEANS",INDEX('1-DATA'!$1:$1048576,$A356-1,COLUMN('1-DATA'!AU355)),ROUND(INDEX('1-DATA'!$1:$1048576,IF(OR($B357="STD. DEVIATION",$C$1=1),$A357,$A357+1),COLUMN('1-DATA'!AU355)),IF($B357="STD. DEVIATION",2,$F$1))))</f>
        <v/>
      </c>
      <c r="AW357" s="1" t="str">
        <f>IF(OR($B357="",AW$7=""),"",IF($B357="MEANS",INDEX('1-DATA'!$1:$1048576,$A356-1,COLUMN('1-DATA'!AV355)),ROUND(INDEX('1-DATA'!$1:$1048576,IF(OR($B357="STD. DEVIATION",$C$1=1),$A357,$A357+1),COLUMN('1-DATA'!AV355)),IF($B357="STD. DEVIATION",2,$F$1))))</f>
        <v/>
      </c>
      <c r="AX357" s="1" t="str">
        <f>IF(OR($B357="",AX$7=""),"",IF($B357="MEANS",INDEX('1-DATA'!$1:$1048576,$A356-1,COLUMN('1-DATA'!AW355)),ROUND(INDEX('1-DATA'!$1:$1048576,IF(OR($B357="STD. DEVIATION",$C$1=1),$A357,$A357+1),COLUMN('1-DATA'!AW355)),IF($B357="STD. DEVIATION",2,$F$1))))</f>
        <v/>
      </c>
      <c r="AY357" s="1" t="str">
        <f>IF(OR($B357="",AY$7=""),"",IF($B357="MEANS",INDEX('1-DATA'!$1:$1048576,$A356-1,COLUMN('1-DATA'!AX355)),ROUND(INDEX('1-DATA'!$1:$1048576,IF(OR($B357="STD. DEVIATION",$C$1=1),$A357,$A357+1),COLUMN('1-DATA'!AX355)),IF($B357="STD. DEVIATION",2,$F$1))))</f>
        <v/>
      </c>
      <c r="AZ357" s="1" t="str">
        <f>IF(OR($B357="",AZ$7=""),"",IF($B357="MEANS",INDEX('1-DATA'!$1:$1048576,$A356-1,COLUMN('1-DATA'!AY355)),ROUND(INDEX('1-DATA'!$1:$1048576,IF(OR($B357="STD. DEVIATION",$C$1=1),$A357,$A357+1),COLUMN('1-DATA'!AY355)),IF($B357="STD. DEVIATION",2,$F$1))))</f>
        <v/>
      </c>
    </row>
    <row r="358" spans="1:52" x14ac:dyDescent="0.25">
      <c r="A358" s="11">
        <f t="shared" si="6"/>
        <v>1060</v>
      </c>
      <c r="B358" s="1" t="str">
        <f>IF(B357="STD. DEVIATION",INDEX('1-DATA'!$1:$1048576,$A357-1,1),IF(INDEX('1-DATA'!$1:$1048576,$A358,1)&lt;&gt;"",INDEX('1-DATA'!$1:$1048576,$A358,1),""))</f>
        <v/>
      </c>
      <c r="C358" s="1" t="str">
        <f>IF(OR($B358="",C$7=""),"",IF($B358="MEANS",INDEX('1-DATA'!$1:$1048576,$A357-1,COLUMN('1-DATA'!B356)),ROUND(INDEX('1-DATA'!$1:$1048576,IF(OR($B358="STD. DEVIATION",$C$1=1),$A358,$A358+1),COLUMN('1-DATA'!B356)),IF($B358="STD. DEVIATION",2,$F$1))))</f>
        <v/>
      </c>
      <c r="D358" s="1" t="str">
        <f>IF(OR($B358="",D$7=""),"",IF($B358="MEANS",INDEX('1-DATA'!$1:$1048576,$A357-1,COLUMN('1-DATA'!C356)),ROUND(INDEX('1-DATA'!$1:$1048576,IF(OR($B358="STD. DEVIATION",$C$1=1),$A358,$A358+1),COLUMN('1-DATA'!C356)),IF($B358="STD. DEVIATION",2,$F$1))))</f>
        <v/>
      </c>
      <c r="E358" s="1" t="str">
        <f>IF(OR($B358="",E$7=""),"",IF($B358="MEANS",INDEX('1-DATA'!$1:$1048576,$A357-1,COLUMN('1-DATA'!D356)),ROUND(INDEX('1-DATA'!$1:$1048576,IF(OR($B358="STD. DEVIATION",$C$1=1),$A358,$A358+1),COLUMN('1-DATA'!D356)),IF($B358="STD. DEVIATION",2,$F$1))))</f>
        <v/>
      </c>
      <c r="F358" s="1" t="str">
        <f>IF(OR($B358="",F$7=""),"",IF($B358="MEANS",INDEX('1-DATA'!$1:$1048576,$A357-1,COLUMN('1-DATA'!E356)),ROUND(INDEX('1-DATA'!$1:$1048576,IF(OR($B358="STD. DEVIATION",$C$1=1),$A358,$A358+1),COLUMN('1-DATA'!E356)),IF($B358="STD. DEVIATION",2,$F$1))))</f>
        <v/>
      </c>
      <c r="G358" s="1" t="str">
        <f>IF(OR($B358="",G$7=""),"",IF($B358="MEANS",INDEX('1-DATA'!$1:$1048576,$A357-1,COLUMN('1-DATA'!F356)),ROUND(INDEX('1-DATA'!$1:$1048576,IF(OR($B358="STD. DEVIATION",$C$1=1),$A358,$A358+1),COLUMN('1-DATA'!F356)),IF($B358="STD. DEVIATION",2,$F$1))))</f>
        <v/>
      </c>
      <c r="H358" s="1" t="str">
        <f>IF(OR($B358="",H$7=""),"",IF($B358="MEANS",INDEX('1-DATA'!$1:$1048576,$A357-1,COLUMN('1-DATA'!G356)),ROUND(INDEX('1-DATA'!$1:$1048576,IF(OR($B358="STD. DEVIATION",$C$1=1),$A358,$A358+1),COLUMN('1-DATA'!G356)),IF($B358="STD. DEVIATION",2,$F$1))))</f>
        <v/>
      </c>
      <c r="I358" s="1" t="str">
        <f>IF(OR($B358="",I$7=""),"",IF($B358="MEANS",INDEX('1-DATA'!$1:$1048576,$A357-1,COLUMN('1-DATA'!H356)),ROUND(INDEX('1-DATA'!$1:$1048576,IF(OR($B358="STD. DEVIATION",$C$1=1),$A358,$A358+1),COLUMN('1-DATA'!H356)),IF($B358="STD. DEVIATION",2,$F$1))))</f>
        <v/>
      </c>
      <c r="J358" s="1" t="str">
        <f>IF(OR($B358="",J$7=""),"",IF($B358="MEANS",INDEX('1-DATA'!$1:$1048576,$A357-1,COLUMN('1-DATA'!I356)),ROUND(INDEX('1-DATA'!$1:$1048576,IF(OR($B358="STD. DEVIATION",$C$1=1),$A358,$A358+1),COLUMN('1-DATA'!I356)),IF($B358="STD. DEVIATION",2,$F$1))))</f>
        <v/>
      </c>
      <c r="K358" s="1" t="str">
        <f>IF(OR($B358="",K$7=""),"",IF($B358="MEANS",INDEX('1-DATA'!$1:$1048576,$A357-1,COLUMN('1-DATA'!J356)),ROUND(INDEX('1-DATA'!$1:$1048576,IF(OR($B358="STD. DEVIATION",$C$1=1),$A358,$A358+1),COLUMN('1-DATA'!J356)),IF($B358="STD. DEVIATION",2,$F$1))))</f>
        <v/>
      </c>
      <c r="L358" s="1" t="str">
        <f>IF(OR($B358="",L$7=""),"",IF($B358="MEANS",INDEX('1-DATA'!$1:$1048576,$A357-1,COLUMN('1-DATA'!K356)),ROUND(INDEX('1-DATA'!$1:$1048576,IF(OR($B358="STD. DEVIATION",$C$1=1),$A358,$A358+1),COLUMN('1-DATA'!K356)),IF($B358="STD. DEVIATION",2,$F$1))))</f>
        <v/>
      </c>
      <c r="M358" s="1" t="str">
        <f>IF(OR($B358="",M$7=""),"",IF($B358="MEANS",INDEX('1-DATA'!$1:$1048576,$A357-1,COLUMN('1-DATA'!L356)),ROUND(INDEX('1-DATA'!$1:$1048576,IF(OR($B358="STD. DEVIATION",$C$1=1),$A358,$A358+1),COLUMN('1-DATA'!L356)),IF($B358="STD. DEVIATION",2,$F$1))))</f>
        <v/>
      </c>
      <c r="N358" s="1" t="str">
        <f>IF(OR($B358="",N$7=""),"",IF($B358="MEANS",INDEX('1-DATA'!$1:$1048576,$A357-1,COLUMN('1-DATA'!M356)),ROUND(INDEX('1-DATA'!$1:$1048576,IF(OR($B358="STD. DEVIATION",$C$1=1),$A358,$A358+1),COLUMN('1-DATA'!M356)),IF($B358="STD. DEVIATION",2,$F$1))))</f>
        <v/>
      </c>
      <c r="O358" s="1" t="str">
        <f>IF(OR($B358="",O$7=""),"",IF($B358="MEANS",INDEX('1-DATA'!$1:$1048576,$A357-1,COLUMN('1-DATA'!N356)),ROUND(INDEX('1-DATA'!$1:$1048576,IF(OR($B358="STD. DEVIATION",$C$1=1),$A358,$A358+1),COLUMN('1-DATA'!N356)),IF($B358="STD. DEVIATION",2,$F$1))))</f>
        <v/>
      </c>
      <c r="P358" s="1" t="str">
        <f>IF(OR($B358="",P$7=""),"",IF($B358="MEANS",INDEX('1-DATA'!$1:$1048576,$A357-1,COLUMN('1-DATA'!O356)),ROUND(INDEX('1-DATA'!$1:$1048576,IF(OR($B358="STD. DEVIATION",$C$1=1),$A358,$A358+1),COLUMN('1-DATA'!O356)),IF($B358="STD. DEVIATION",2,$F$1))))</f>
        <v/>
      </c>
      <c r="Q358" s="1" t="str">
        <f>IF(OR($B358="",Q$7=""),"",IF($B358="MEANS",INDEX('1-DATA'!$1:$1048576,$A357-1,COLUMN('1-DATA'!P356)),ROUND(INDEX('1-DATA'!$1:$1048576,IF(OR($B358="STD. DEVIATION",$C$1=1),$A358,$A358+1),COLUMN('1-DATA'!P356)),IF($B358="STD. DEVIATION",2,$F$1))))</f>
        <v/>
      </c>
      <c r="R358" s="1" t="str">
        <f>IF(OR($B358="",R$7=""),"",IF($B358="MEANS",INDEX('1-DATA'!$1:$1048576,$A357-1,COLUMN('1-DATA'!Q356)),ROUND(INDEX('1-DATA'!$1:$1048576,IF(OR($B358="STD. DEVIATION",$C$1=1),$A358,$A358+1),COLUMN('1-DATA'!Q356)),IF($B358="STD. DEVIATION",2,$F$1))))</f>
        <v/>
      </c>
      <c r="S358" s="1" t="str">
        <f>IF(OR($B358="",S$7=""),"",IF($B358="MEANS",INDEX('1-DATA'!$1:$1048576,$A357-1,COLUMN('1-DATA'!R356)),ROUND(INDEX('1-DATA'!$1:$1048576,IF(OR($B358="STD. DEVIATION",$C$1=1),$A358,$A358+1),COLUMN('1-DATA'!R356)),IF($B358="STD. DEVIATION",2,$F$1))))</f>
        <v/>
      </c>
      <c r="T358" s="1" t="str">
        <f>IF(OR($B358="",T$7=""),"",IF($B358="MEANS",INDEX('1-DATA'!$1:$1048576,$A357-1,COLUMN('1-DATA'!S356)),ROUND(INDEX('1-DATA'!$1:$1048576,IF(OR($B358="STD. DEVIATION",$C$1=1),$A358,$A358+1),COLUMN('1-DATA'!S356)),IF($B358="STD. DEVIATION",2,$F$1))))</f>
        <v/>
      </c>
      <c r="U358" s="1" t="str">
        <f>IF(OR($B358="",U$7=""),"",IF($B358="MEANS",INDEX('1-DATA'!$1:$1048576,$A357-1,COLUMN('1-DATA'!T356)),ROUND(INDEX('1-DATA'!$1:$1048576,IF(OR($B358="STD. DEVIATION",$C$1=1),$A358,$A358+1),COLUMN('1-DATA'!T356)),IF($B358="STD. DEVIATION",2,$F$1))))</f>
        <v/>
      </c>
      <c r="V358" s="1" t="str">
        <f>IF(OR($B358="",V$7=""),"",IF($B358="MEANS",INDEX('1-DATA'!$1:$1048576,$A357-1,COLUMN('1-DATA'!U356)),ROUND(INDEX('1-DATA'!$1:$1048576,IF(OR($B358="STD. DEVIATION",$C$1=1),$A358,$A358+1),COLUMN('1-DATA'!U356)),IF($B358="STD. DEVIATION",2,$F$1))))</f>
        <v/>
      </c>
      <c r="W358" s="1" t="str">
        <f>IF(OR($B358="",W$7=""),"",IF($B358="MEANS",INDEX('1-DATA'!$1:$1048576,$A357-1,COLUMN('1-DATA'!V356)),ROUND(INDEX('1-DATA'!$1:$1048576,IF(OR($B358="STD. DEVIATION",$C$1=1),$A358,$A358+1),COLUMN('1-DATA'!V356)),IF($B358="STD. DEVIATION",2,$F$1))))</f>
        <v/>
      </c>
      <c r="X358" s="1" t="str">
        <f>IF(OR($B358="",X$7=""),"",IF($B358="MEANS",INDEX('1-DATA'!$1:$1048576,$A357-1,COLUMN('1-DATA'!W356)),ROUND(INDEX('1-DATA'!$1:$1048576,IF(OR($B358="STD. DEVIATION",$C$1=1),$A358,$A358+1),COLUMN('1-DATA'!W356)),IF($B358="STD. DEVIATION",2,$F$1))))</f>
        <v/>
      </c>
      <c r="Y358" s="1" t="str">
        <f>IF(OR($B358="",Y$7=""),"",IF($B358="MEANS",INDEX('1-DATA'!$1:$1048576,$A357-1,COLUMN('1-DATA'!X356)),ROUND(INDEX('1-DATA'!$1:$1048576,IF(OR($B358="STD. DEVIATION",$C$1=1),$A358,$A358+1),COLUMN('1-DATA'!X356)),IF($B358="STD. DEVIATION",2,$F$1))))</f>
        <v/>
      </c>
      <c r="Z358" s="1" t="str">
        <f>IF(OR($B358="",Z$7=""),"",IF($B358="MEANS",INDEX('1-DATA'!$1:$1048576,$A357-1,COLUMN('1-DATA'!Y356)),ROUND(INDEX('1-DATA'!$1:$1048576,IF(OR($B358="STD. DEVIATION",$C$1=1),$A358,$A358+1),COLUMN('1-DATA'!Y356)),IF($B358="STD. DEVIATION",2,$F$1))))</f>
        <v/>
      </c>
      <c r="AA358" s="1" t="str">
        <f>IF(OR($B358="",AA$7=""),"",IF($B358="MEANS",INDEX('1-DATA'!$1:$1048576,$A357-1,COLUMN('1-DATA'!Z356)),ROUND(INDEX('1-DATA'!$1:$1048576,IF(OR($B358="STD. DEVIATION",$C$1=1),$A358,$A358+1),COLUMN('1-DATA'!Z356)),IF($B358="STD. DEVIATION",2,$F$1))))</f>
        <v/>
      </c>
      <c r="AB358" s="1" t="str">
        <f>IF(OR($B358="",AB$7=""),"",IF($B358="MEANS",INDEX('1-DATA'!$1:$1048576,$A357-1,COLUMN('1-DATA'!AA356)),ROUND(INDEX('1-DATA'!$1:$1048576,IF(OR($B358="STD. DEVIATION",$C$1=1),$A358,$A358+1),COLUMN('1-DATA'!AA356)),IF($B358="STD. DEVIATION",2,$F$1))))</f>
        <v/>
      </c>
      <c r="AC358" s="1" t="str">
        <f>IF(OR($B358="",AC$7=""),"",IF($B358="MEANS",INDEX('1-DATA'!$1:$1048576,$A357-1,COLUMN('1-DATA'!AB356)),ROUND(INDEX('1-DATA'!$1:$1048576,IF(OR($B358="STD. DEVIATION",$C$1=1),$A358,$A358+1),COLUMN('1-DATA'!AB356)),IF($B358="STD. DEVIATION",2,$F$1))))</f>
        <v/>
      </c>
      <c r="AD358" s="1" t="str">
        <f>IF(OR($B358="",AD$7=""),"",IF($B358="MEANS",INDEX('1-DATA'!$1:$1048576,$A357-1,COLUMN('1-DATA'!AC356)),ROUND(INDEX('1-DATA'!$1:$1048576,IF(OR($B358="STD. DEVIATION",$C$1=1),$A358,$A358+1),COLUMN('1-DATA'!AC356)),IF($B358="STD. DEVIATION",2,$F$1))))</f>
        <v/>
      </c>
      <c r="AE358" s="1" t="str">
        <f>IF(OR($B358="",AE$7=""),"",IF($B358="MEANS",INDEX('1-DATA'!$1:$1048576,$A357-1,COLUMN('1-DATA'!AD356)),ROUND(INDEX('1-DATA'!$1:$1048576,IF(OR($B358="STD. DEVIATION",$C$1=1),$A358,$A358+1),COLUMN('1-DATA'!AD356)),IF($B358="STD. DEVIATION",2,$F$1))))</f>
        <v/>
      </c>
      <c r="AF358" s="1" t="str">
        <f>IF(OR($B358="",AF$7=""),"",IF($B358="MEANS",INDEX('1-DATA'!$1:$1048576,$A357-1,COLUMN('1-DATA'!AE356)),ROUND(INDEX('1-DATA'!$1:$1048576,IF(OR($B358="STD. DEVIATION",$C$1=1),$A358,$A358+1),COLUMN('1-DATA'!AE356)),IF($B358="STD. DEVIATION",2,$F$1))))</f>
        <v/>
      </c>
      <c r="AG358" s="1" t="str">
        <f>IF(OR($B358="",AG$7=""),"",IF($B358="MEANS",INDEX('1-DATA'!$1:$1048576,$A357-1,COLUMN('1-DATA'!AF356)),ROUND(INDEX('1-DATA'!$1:$1048576,IF(OR($B358="STD. DEVIATION",$C$1=1),$A358,$A358+1),COLUMN('1-DATA'!AF356)),IF($B358="STD. DEVIATION",2,$F$1))))</f>
        <v/>
      </c>
      <c r="AH358" s="1" t="str">
        <f>IF(OR($B358="",AH$7=""),"",IF($B358="MEANS",INDEX('1-DATA'!$1:$1048576,$A357-1,COLUMN('1-DATA'!AG356)),ROUND(INDEX('1-DATA'!$1:$1048576,IF(OR($B358="STD. DEVIATION",$C$1=1),$A358,$A358+1),COLUMN('1-DATA'!AG356)),IF($B358="STD. DEVIATION",2,$F$1))))</f>
        <v/>
      </c>
      <c r="AI358" s="1" t="str">
        <f>IF(OR($B358="",AI$7=""),"",IF($B358="MEANS",INDEX('1-DATA'!$1:$1048576,$A357-1,COLUMN('1-DATA'!AH356)),ROUND(INDEX('1-DATA'!$1:$1048576,IF(OR($B358="STD. DEVIATION",$C$1=1),$A358,$A358+1),COLUMN('1-DATA'!AH356)),IF($B358="STD. DEVIATION",2,$F$1))))</f>
        <v/>
      </c>
      <c r="AJ358" s="1" t="str">
        <f>IF(OR($B358="",AJ$7=""),"",IF($B358="MEANS",INDEX('1-DATA'!$1:$1048576,$A357-1,COLUMN('1-DATA'!AI356)),ROUND(INDEX('1-DATA'!$1:$1048576,IF(OR($B358="STD. DEVIATION",$C$1=1),$A358,$A358+1),COLUMN('1-DATA'!AI356)),IF($B358="STD. DEVIATION",2,$F$1))))</f>
        <v/>
      </c>
      <c r="AK358" s="1" t="str">
        <f>IF(OR($B358="",AK$7=""),"",IF($B358="MEANS",INDEX('1-DATA'!$1:$1048576,$A357-1,COLUMN('1-DATA'!AJ356)),ROUND(INDEX('1-DATA'!$1:$1048576,IF(OR($B358="STD. DEVIATION",$C$1=1),$A358,$A358+1),COLUMN('1-DATA'!AJ356)),IF($B358="STD. DEVIATION",2,$F$1))))</f>
        <v/>
      </c>
      <c r="AL358" s="1" t="str">
        <f>IF(OR($B358="",AL$7=""),"",IF($B358="MEANS",INDEX('1-DATA'!$1:$1048576,$A357-1,COLUMN('1-DATA'!AK356)),ROUND(INDEX('1-DATA'!$1:$1048576,IF(OR($B358="STD. DEVIATION",$C$1=1),$A358,$A358+1),COLUMN('1-DATA'!AK356)),IF($B358="STD. DEVIATION",2,$F$1))))</f>
        <v/>
      </c>
      <c r="AM358" s="1" t="str">
        <f>IF(OR($B358="",AM$7=""),"",IF($B358="MEANS",INDEX('1-DATA'!$1:$1048576,$A357-1,COLUMN('1-DATA'!AL356)),ROUND(INDEX('1-DATA'!$1:$1048576,IF(OR($B358="STD. DEVIATION",$C$1=1),$A358,$A358+1),COLUMN('1-DATA'!AL356)),IF($B358="STD. DEVIATION",2,$F$1))))</f>
        <v/>
      </c>
      <c r="AN358" s="1" t="str">
        <f>IF(OR($B358="",AN$7=""),"",IF($B358="MEANS",INDEX('1-DATA'!$1:$1048576,$A357-1,COLUMN('1-DATA'!AM356)),ROUND(INDEX('1-DATA'!$1:$1048576,IF(OR($B358="STD. DEVIATION",$C$1=1),$A358,$A358+1),COLUMN('1-DATA'!AM356)),IF($B358="STD. DEVIATION",2,$F$1))))</f>
        <v/>
      </c>
      <c r="AO358" s="1" t="str">
        <f>IF(OR($B358="",AO$7=""),"",IF($B358="MEANS",INDEX('1-DATA'!$1:$1048576,$A357-1,COLUMN('1-DATA'!AN356)),ROUND(INDEX('1-DATA'!$1:$1048576,IF(OR($B358="STD. DEVIATION",$C$1=1),$A358,$A358+1),COLUMN('1-DATA'!AN356)),IF($B358="STD. DEVIATION",2,$F$1))))</f>
        <v/>
      </c>
      <c r="AP358" s="1" t="str">
        <f>IF(OR($B358="",AP$7=""),"",IF($B358="MEANS",INDEX('1-DATA'!$1:$1048576,$A357-1,COLUMN('1-DATA'!AO356)),ROUND(INDEX('1-DATA'!$1:$1048576,IF(OR($B358="STD. DEVIATION",$C$1=1),$A358,$A358+1),COLUMN('1-DATA'!AO356)),IF($B358="STD. DEVIATION",2,$F$1))))</f>
        <v/>
      </c>
      <c r="AQ358" s="1" t="str">
        <f>IF(OR($B358="",AQ$7=""),"",IF($B358="MEANS",INDEX('1-DATA'!$1:$1048576,$A357-1,COLUMN('1-DATA'!AP356)),ROUND(INDEX('1-DATA'!$1:$1048576,IF(OR($B358="STD. DEVIATION",$C$1=1),$A358,$A358+1),COLUMN('1-DATA'!AP356)),IF($B358="STD. DEVIATION",2,$F$1))))</f>
        <v/>
      </c>
      <c r="AR358" s="1" t="str">
        <f>IF(OR($B358="",AR$7=""),"",IF($B358="MEANS",INDEX('1-DATA'!$1:$1048576,$A357-1,COLUMN('1-DATA'!AQ356)),ROUND(INDEX('1-DATA'!$1:$1048576,IF(OR($B358="STD. DEVIATION",$C$1=1),$A358,$A358+1),COLUMN('1-DATA'!AQ356)),IF($B358="STD. DEVIATION",2,$F$1))))</f>
        <v/>
      </c>
      <c r="AS358" s="1" t="str">
        <f>IF(OR($B358="",AS$7=""),"",IF($B358="MEANS",INDEX('1-DATA'!$1:$1048576,$A357-1,COLUMN('1-DATA'!AR356)),ROUND(INDEX('1-DATA'!$1:$1048576,IF(OR($B358="STD. DEVIATION",$C$1=1),$A358,$A358+1),COLUMN('1-DATA'!AR356)),IF($B358="STD. DEVIATION",2,$F$1))))</f>
        <v/>
      </c>
      <c r="AT358" s="1" t="str">
        <f>IF(OR($B358="",AT$7=""),"",IF($B358="MEANS",INDEX('1-DATA'!$1:$1048576,$A357-1,COLUMN('1-DATA'!AS356)),ROUND(INDEX('1-DATA'!$1:$1048576,IF(OR($B358="STD. DEVIATION",$C$1=1),$A358,$A358+1),COLUMN('1-DATA'!AS356)),IF($B358="STD. DEVIATION",2,$F$1))))</f>
        <v/>
      </c>
      <c r="AU358" s="1" t="str">
        <f>IF(OR($B358="",AU$7=""),"",IF($B358="MEANS",INDEX('1-DATA'!$1:$1048576,$A357-1,COLUMN('1-DATA'!AT356)),ROUND(INDEX('1-DATA'!$1:$1048576,IF(OR($B358="STD. DEVIATION",$C$1=1),$A358,$A358+1),COLUMN('1-DATA'!AT356)),IF($B358="STD. DEVIATION",2,$F$1))))</f>
        <v/>
      </c>
      <c r="AV358" s="1" t="str">
        <f>IF(OR($B358="",AV$7=""),"",IF($B358="MEANS",INDEX('1-DATA'!$1:$1048576,$A357-1,COLUMN('1-DATA'!AU356)),ROUND(INDEX('1-DATA'!$1:$1048576,IF(OR($B358="STD. DEVIATION",$C$1=1),$A358,$A358+1),COLUMN('1-DATA'!AU356)),IF($B358="STD. DEVIATION",2,$F$1))))</f>
        <v/>
      </c>
      <c r="AW358" s="1" t="str">
        <f>IF(OR($B358="",AW$7=""),"",IF($B358="MEANS",INDEX('1-DATA'!$1:$1048576,$A357-1,COLUMN('1-DATA'!AV356)),ROUND(INDEX('1-DATA'!$1:$1048576,IF(OR($B358="STD. DEVIATION",$C$1=1),$A358,$A358+1),COLUMN('1-DATA'!AV356)),IF($B358="STD. DEVIATION",2,$F$1))))</f>
        <v/>
      </c>
      <c r="AX358" s="1" t="str">
        <f>IF(OR($B358="",AX$7=""),"",IF($B358="MEANS",INDEX('1-DATA'!$1:$1048576,$A357-1,COLUMN('1-DATA'!AW356)),ROUND(INDEX('1-DATA'!$1:$1048576,IF(OR($B358="STD. DEVIATION",$C$1=1),$A358,$A358+1),COLUMN('1-DATA'!AW356)),IF($B358="STD. DEVIATION",2,$F$1))))</f>
        <v/>
      </c>
      <c r="AY358" s="1" t="str">
        <f>IF(OR($B358="",AY$7=""),"",IF($B358="MEANS",INDEX('1-DATA'!$1:$1048576,$A357-1,COLUMN('1-DATA'!AX356)),ROUND(INDEX('1-DATA'!$1:$1048576,IF(OR($B358="STD. DEVIATION",$C$1=1),$A358,$A358+1),COLUMN('1-DATA'!AX356)),IF($B358="STD. DEVIATION",2,$F$1))))</f>
        <v/>
      </c>
      <c r="AZ358" s="1" t="str">
        <f>IF(OR($B358="",AZ$7=""),"",IF($B358="MEANS",INDEX('1-DATA'!$1:$1048576,$A357-1,COLUMN('1-DATA'!AY356)),ROUND(INDEX('1-DATA'!$1:$1048576,IF(OR($B358="STD. DEVIATION",$C$1=1),$A358,$A358+1),COLUMN('1-DATA'!AY356)),IF($B358="STD. DEVIATION",2,$F$1))))</f>
        <v/>
      </c>
    </row>
    <row r="359" spans="1:52" x14ac:dyDescent="0.25">
      <c r="A359" s="11">
        <f t="shared" si="6"/>
        <v>1063</v>
      </c>
      <c r="B359" s="1" t="str">
        <f>IF(B358="STD. DEVIATION",INDEX('1-DATA'!$1:$1048576,$A358-1,1),IF(INDEX('1-DATA'!$1:$1048576,$A359,1)&lt;&gt;"",INDEX('1-DATA'!$1:$1048576,$A359,1),""))</f>
        <v/>
      </c>
      <c r="C359" s="1" t="str">
        <f>IF(OR($B359="",C$7=""),"",IF($B359="MEANS",INDEX('1-DATA'!$1:$1048576,$A358-1,COLUMN('1-DATA'!B357)),ROUND(INDEX('1-DATA'!$1:$1048576,IF(OR($B359="STD. DEVIATION",$C$1=1),$A359,$A359+1),COLUMN('1-DATA'!B357)),IF($B359="STD. DEVIATION",2,$F$1))))</f>
        <v/>
      </c>
      <c r="D359" s="1" t="str">
        <f>IF(OR($B359="",D$7=""),"",IF($B359="MEANS",INDEX('1-DATA'!$1:$1048576,$A358-1,COLUMN('1-DATA'!C357)),ROUND(INDEX('1-DATA'!$1:$1048576,IF(OR($B359="STD. DEVIATION",$C$1=1),$A359,$A359+1),COLUMN('1-DATA'!C357)),IF($B359="STD. DEVIATION",2,$F$1))))</f>
        <v/>
      </c>
      <c r="E359" s="1" t="str">
        <f>IF(OR($B359="",E$7=""),"",IF($B359="MEANS",INDEX('1-DATA'!$1:$1048576,$A358-1,COLUMN('1-DATA'!D357)),ROUND(INDEX('1-DATA'!$1:$1048576,IF(OR($B359="STD. DEVIATION",$C$1=1),$A359,$A359+1),COLUMN('1-DATA'!D357)),IF($B359="STD. DEVIATION",2,$F$1))))</f>
        <v/>
      </c>
      <c r="F359" s="1" t="str">
        <f>IF(OR($B359="",F$7=""),"",IF($B359="MEANS",INDEX('1-DATA'!$1:$1048576,$A358-1,COLUMN('1-DATA'!E357)),ROUND(INDEX('1-DATA'!$1:$1048576,IF(OR($B359="STD. DEVIATION",$C$1=1),$A359,$A359+1),COLUMN('1-DATA'!E357)),IF($B359="STD. DEVIATION",2,$F$1))))</f>
        <v/>
      </c>
      <c r="G359" s="1" t="str">
        <f>IF(OR($B359="",G$7=""),"",IF($B359="MEANS",INDEX('1-DATA'!$1:$1048576,$A358-1,COLUMN('1-DATA'!F357)),ROUND(INDEX('1-DATA'!$1:$1048576,IF(OR($B359="STD. DEVIATION",$C$1=1),$A359,$A359+1),COLUMN('1-DATA'!F357)),IF($B359="STD. DEVIATION",2,$F$1))))</f>
        <v/>
      </c>
      <c r="H359" s="1" t="str">
        <f>IF(OR($B359="",H$7=""),"",IF($B359="MEANS",INDEX('1-DATA'!$1:$1048576,$A358-1,COLUMN('1-DATA'!G357)),ROUND(INDEX('1-DATA'!$1:$1048576,IF(OR($B359="STD. DEVIATION",$C$1=1),$A359,$A359+1),COLUMN('1-DATA'!G357)),IF($B359="STD. DEVIATION",2,$F$1))))</f>
        <v/>
      </c>
      <c r="I359" s="1" t="str">
        <f>IF(OR($B359="",I$7=""),"",IF($B359="MEANS",INDEX('1-DATA'!$1:$1048576,$A358-1,COLUMN('1-DATA'!H357)),ROUND(INDEX('1-DATA'!$1:$1048576,IF(OR($B359="STD. DEVIATION",$C$1=1),$A359,$A359+1),COLUMN('1-DATA'!H357)),IF($B359="STD. DEVIATION",2,$F$1))))</f>
        <v/>
      </c>
      <c r="J359" s="1" t="str">
        <f>IF(OR($B359="",J$7=""),"",IF($B359="MEANS",INDEX('1-DATA'!$1:$1048576,$A358-1,COLUMN('1-DATA'!I357)),ROUND(INDEX('1-DATA'!$1:$1048576,IF(OR($B359="STD. DEVIATION",$C$1=1),$A359,$A359+1),COLUMN('1-DATA'!I357)),IF($B359="STD. DEVIATION",2,$F$1))))</f>
        <v/>
      </c>
      <c r="K359" s="1" t="str">
        <f>IF(OR($B359="",K$7=""),"",IF($B359="MEANS",INDEX('1-DATA'!$1:$1048576,$A358-1,COLUMN('1-DATA'!J357)),ROUND(INDEX('1-DATA'!$1:$1048576,IF(OR($B359="STD. DEVIATION",$C$1=1),$A359,$A359+1),COLUMN('1-DATA'!J357)),IF($B359="STD. DEVIATION",2,$F$1))))</f>
        <v/>
      </c>
      <c r="L359" s="1" t="str">
        <f>IF(OR($B359="",L$7=""),"",IF($B359="MEANS",INDEX('1-DATA'!$1:$1048576,$A358-1,COLUMN('1-DATA'!K357)),ROUND(INDEX('1-DATA'!$1:$1048576,IF(OR($B359="STD. DEVIATION",$C$1=1),$A359,$A359+1),COLUMN('1-DATA'!K357)),IF($B359="STD. DEVIATION",2,$F$1))))</f>
        <v/>
      </c>
      <c r="M359" s="1" t="str">
        <f>IF(OR($B359="",M$7=""),"",IF($B359="MEANS",INDEX('1-DATA'!$1:$1048576,$A358-1,COLUMN('1-DATA'!L357)),ROUND(INDEX('1-DATA'!$1:$1048576,IF(OR($B359="STD. DEVIATION",$C$1=1),$A359,$A359+1),COLUMN('1-DATA'!L357)),IF($B359="STD. DEVIATION",2,$F$1))))</f>
        <v/>
      </c>
      <c r="N359" s="1" t="str">
        <f>IF(OR($B359="",N$7=""),"",IF($B359="MEANS",INDEX('1-DATA'!$1:$1048576,$A358-1,COLUMN('1-DATA'!M357)),ROUND(INDEX('1-DATA'!$1:$1048576,IF(OR($B359="STD. DEVIATION",$C$1=1),$A359,$A359+1),COLUMN('1-DATA'!M357)),IF($B359="STD. DEVIATION",2,$F$1))))</f>
        <v/>
      </c>
      <c r="O359" s="1" t="str">
        <f>IF(OR($B359="",O$7=""),"",IF($B359="MEANS",INDEX('1-DATA'!$1:$1048576,$A358-1,COLUMN('1-DATA'!N357)),ROUND(INDEX('1-DATA'!$1:$1048576,IF(OR($B359="STD. DEVIATION",$C$1=1),$A359,$A359+1),COLUMN('1-DATA'!N357)),IF($B359="STD. DEVIATION",2,$F$1))))</f>
        <v/>
      </c>
      <c r="P359" s="1" t="str">
        <f>IF(OR($B359="",P$7=""),"",IF($B359="MEANS",INDEX('1-DATA'!$1:$1048576,$A358-1,COLUMN('1-DATA'!O357)),ROUND(INDEX('1-DATA'!$1:$1048576,IF(OR($B359="STD. DEVIATION",$C$1=1),$A359,$A359+1),COLUMN('1-DATA'!O357)),IF($B359="STD. DEVIATION",2,$F$1))))</f>
        <v/>
      </c>
      <c r="Q359" s="1" t="str">
        <f>IF(OR($B359="",Q$7=""),"",IF($B359="MEANS",INDEX('1-DATA'!$1:$1048576,$A358-1,COLUMN('1-DATA'!P357)),ROUND(INDEX('1-DATA'!$1:$1048576,IF(OR($B359="STD. DEVIATION",$C$1=1),$A359,$A359+1),COLUMN('1-DATA'!P357)),IF($B359="STD. DEVIATION",2,$F$1))))</f>
        <v/>
      </c>
      <c r="R359" s="1" t="str">
        <f>IF(OR($B359="",R$7=""),"",IF($B359="MEANS",INDEX('1-DATA'!$1:$1048576,$A358-1,COLUMN('1-DATA'!Q357)),ROUND(INDEX('1-DATA'!$1:$1048576,IF(OR($B359="STD. DEVIATION",$C$1=1),$A359,$A359+1),COLUMN('1-DATA'!Q357)),IF($B359="STD. DEVIATION",2,$F$1))))</f>
        <v/>
      </c>
      <c r="S359" s="1" t="str">
        <f>IF(OR($B359="",S$7=""),"",IF($B359="MEANS",INDEX('1-DATA'!$1:$1048576,$A358-1,COLUMN('1-DATA'!R357)),ROUND(INDEX('1-DATA'!$1:$1048576,IF(OR($B359="STD. DEVIATION",$C$1=1),$A359,$A359+1),COLUMN('1-DATA'!R357)),IF($B359="STD. DEVIATION",2,$F$1))))</f>
        <v/>
      </c>
      <c r="T359" s="1" t="str">
        <f>IF(OR($B359="",T$7=""),"",IF($B359="MEANS",INDEX('1-DATA'!$1:$1048576,$A358-1,COLUMN('1-DATA'!S357)),ROUND(INDEX('1-DATA'!$1:$1048576,IF(OR($B359="STD. DEVIATION",$C$1=1),$A359,$A359+1),COLUMN('1-DATA'!S357)),IF($B359="STD. DEVIATION",2,$F$1))))</f>
        <v/>
      </c>
      <c r="U359" s="1" t="str">
        <f>IF(OR($B359="",U$7=""),"",IF($B359="MEANS",INDEX('1-DATA'!$1:$1048576,$A358-1,COLUMN('1-DATA'!T357)),ROUND(INDEX('1-DATA'!$1:$1048576,IF(OR($B359="STD. DEVIATION",$C$1=1),$A359,$A359+1),COLUMN('1-DATA'!T357)),IF($B359="STD. DEVIATION",2,$F$1))))</f>
        <v/>
      </c>
      <c r="V359" s="1" t="str">
        <f>IF(OR($B359="",V$7=""),"",IF($B359="MEANS",INDEX('1-DATA'!$1:$1048576,$A358-1,COLUMN('1-DATA'!U357)),ROUND(INDEX('1-DATA'!$1:$1048576,IF(OR($B359="STD. DEVIATION",$C$1=1),$A359,$A359+1),COLUMN('1-DATA'!U357)),IF($B359="STD. DEVIATION",2,$F$1))))</f>
        <v/>
      </c>
      <c r="W359" s="1" t="str">
        <f>IF(OR($B359="",W$7=""),"",IF($B359="MEANS",INDEX('1-DATA'!$1:$1048576,$A358-1,COLUMN('1-DATA'!V357)),ROUND(INDEX('1-DATA'!$1:$1048576,IF(OR($B359="STD. DEVIATION",$C$1=1),$A359,$A359+1),COLUMN('1-DATA'!V357)),IF($B359="STD. DEVIATION",2,$F$1))))</f>
        <v/>
      </c>
      <c r="X359" s="1" t="str">
        <f>IF(OR($B359="",X$7=""),"",IF($B359="MEANS",INDEX('1-DATA'!$1:$1048576,$A358-1,COLUMN('1-DATA'!W357)),ROUND(INDEX('1-DATA'!$1:$1048576,IF(OR($B359="STD. DEVIATION",$C$1=1),$A359,$A359+1),COLUMN('1-DATA'!W357)),IF($B359="STD. DEVIATION",2,$F$1))))</f>
        <v/>
      </c>
      <c r="Y359" s="1" t="str">
        <f>IF(OR($B359="",Y$7=""),"",IF($B359="MEANS",INDEX('1-DATA'!$1:$1048576,$A358-1,COLUMN('1-DATA'!X357)),ROUND(INDEX('1-DATA'!$1:$1048576,IF(OR($B359="STD. DEVIATION",$C$1=1),$A359,$A359+1),COLUMN('1-DATA'!X357)),IF($B359="STD. DEVIATION",2,$F$1))))</f>
        <v/>
      </c>
      <c r="Z359" s="1" t="str">
        <f>IF(OR($B359="",Z$7=""),"",IF($B359="MEANS",INDEX('1-DATA'!$1:$1048576,$A358-1,COLUMN('1-DATA'!Y357)),ROUND(INDEX('1-DATA'!$1:$1048576,IF(OR($B359="STD. DEVIATION",$C$1=1),$A359,$A359+1),COLUMN('1-DATA'!Y357)),IF($B359="STD. DEVIATION",2,$F$1))))</f>
        <v/>
      </c>
      <c r="AA359" s="1" t="str">
        <f>IF(OR($B359="",AA$7=""),"",IF($B359="MEANS",INDEX('1-DATA'!$1:$1048576,$A358-1,COLUMN('1-DATA'!Z357)),ROUND(INDEX('1-DATA'!$1:$1048576,IF(OR($B359="STD. DEVIATION",$C$1=1),$A359,$A359+1),COLUMN('1-DATA'!Z357)),IF($B359="STD. DEVIATION",2,$F$1))))</f>
        <v/>
      </c>
      <c r="AB359" s="1" t="str">
        <f>IF(OR($B359="",AB$7=""),"",IF($B359="MEANS",INDEX('1-DATA'!$1:$1048576,$A358-1,COLUMN('1-DATA'!AA357)),ROUND(INDEX('1-DATA'!$1:$1048576,IF(OR($B359="STD. DEVIATION",$C$1=1),$A359,$A359+1),COLUMN('1-DATA'!AA357)),IF($B359="STD. DEVIATION",2,$F$1))))</f>
        <v/>
      </c>
      <c r="AC359" s="1" t="str">
        <f>IF(OR($B359="",AC$7=""),"",IF($B359="MEANS",INDEX('1-DATA'!$1:$1048576,$A358-1,COLUMN('1-DATA'!AB357)),ROUND(INDEX('1-DATA'!$1:$1048576,IF(OR($B359="STD. DEVIATION",$C$1=1),$A359,$A359+1),COLUMN('1-DATA'!AB357)),IF($B359="STD. DEVIATION",2,$F$1))))</f>
        <v/>
      </c>
      <c r="AD359" s="1" t="str">
        <f>IF(OR($B359="",AD$7=""),"",IF($B359="MEANS",INDEX('1-DATA'!$1:$1048576,$A358-1,COLUMN('1-DATA'!AC357)),ROUND(INDEX('1-DATA'!$1:$1048576,IF(OR($B359="STD. DEVIATION",$C$1=1),$A359,$A359+1),COLUMN('1-DATA'!AC357)),IF($B359="STD. DEVIATION",2,$F$1))))</f>
        <v/>
      </c>
      <c r="AE359" s="1" t="str">
        <f>IF(OR($B359="",AE$7=""),"",IF($B359="MEANS",INDEX('1-DATA'!$1:$1048576,$A358-1,COLUMN('1-DATA'!AD357)),ROUND(INDEX('1-DATA'!$1:$1048576,IF(OR($B359="STD. DEVIATION",$C$1=1),$A359,$A359+1),COLUMN('1-DATA'!AD357)),IF($B359="STD. DEVIATION",2,$F$1))))</f>
        <v/>
      </c>
      <c r="AF359" s="1" t="str">
        <f>IF(OR($B359="",AF$7=""),"",IF($B359="MEANS",INDEX('1-DATA'!$1:$1048576,$A358-1,COLUMN('1-DATA'!AE357)),ROUND(INDEX('1-DATA'!$1:$1048576,IF(OR($B359="STD. DEVIATION",$C$1=1),$A359,$A359+1),COLUMN('1-DATA'!AE357)),IF($B359="STD. DEVIATION",2,$F$1))))</f>
        <v/>
      </c>
      <c r="AG359" s="1" t="str">
        <f>IF(OR($B359="",AG$7=""),"",IF($B359="MEANS",INDEX('1-DATA'!$1:$1048576,$A358-1,COLUMN('1-DATA'!AF357)),ROUND(INDEX('1-DATA'!$1:$1048576,IF(OR($B359="STD. DEVIATION",$C$1=1),$A359,$A359+1),COLUMN('1-DATA'!AF357)),IF($B359="STD. DEVIATION",2,$F$1))))</f>
        <v/>
      </c>
      <c r="AH359" s="1" t="str">
        <f>IF(OR($B359="",AH$7=""),"",IF($B359="MEANS",INDEX('1-DATA'!$1:$1048576,$A358-1,COLUMN('1-DATA'!AG357)),ROUND(INDEX('1-DATA'!$1:$1048576,IF(OR($B359="STD. DEVIATION",$C$1=1),$A359,$A359+1),COLUMN('1-DATA'!AG357)),IF($B359="STD. DEVIATION",2,$F$1))))</f>
        <v/>
      </c>
      <c r="AI359" s="1" t="str">
        <f>IF(OR($B359="",AI$7=""),"",IF($B359="MEANS",INDEX('1-DATA'!$1:$1048576,$A358-1,COLUMN('1-DATA'!AH357)),ROUND(INDEX('1-DATA'!$1:$1048576,IF(OR($B359="STD. DEVIATION",$C$1=1),$A359,$A359+1),COLUMN('1-DATA'!AH357)),IF($B359="STD. DEVIATION",2,$F$1))))</f>
        <v/>
      </c>
      <c r="AJ359" s="1" t="str">
        <f>IF(OR($B359="",AJ$7=""),"",IF($B359="MEANS",INDEX('1-DATA'!$1:$1048576,$A358-1,COLUMN('1-DATA'!AI357)),ROUND(INDEX('1-DATA'!$1:$1048576,IF(OR($B359="STD. DEVIATION",$C$1=1),$A359,$A359+1),COLUMN('1-DATA'!AI357)),IF($B359="STD. DEVIATION",2,$F$1))))</f>
        <v/>
      </c>
      <c r="AK359" s="1" t="str">
        <f>IF(OR($B359="",AK$7=""),"",IF($B359="MEANS",INDEX('1-DATA'!$1:$1048576,$A358-1,COLUMN('1-DATA'!AJ357)),ROUND(INDEX('1-DATA'!$1:$1048576,IF(OR($B359="STD. DEVIATION",$C$1=1),$A359,$A359+1),COLUMN('1-DATA'!AJ357)),IF($B359="STD. DEVIATION",2,$F$1))))</f>
        <v/>
      </c>
      <c r="AL359" s="1" t="str">
        <f>IF(OR($B359="",AL$7=""),"",IF($B359="MEANS",INDEX('1-DATA'!$1:$1048576,$A358-1,COLUMN('1-DATA'!AK357)),ROUND(INDEX('1-DATA'!$1:$1048576,IF(OR($B359="STD. DEVIATION",$C$1=1),$A359,$A359+1),COLUMN('1-DATA'!AK357)),IF($B359="STD. DEVIATION",2,$F$1))))</f>
        <v/>
      </c>
      <c r="AM359" s="1" t="str">
        <f>IF(OR($B359="",AM$7=""),"",IF($B359="MEANS",INDEX('1-DATA'!$1:$1048576,$A358-1,COLUMN('1-DATA'!AL357)),ROUND(INDEX('1-DATA'!$1:$1048576,IF(OR($B359="STD. DEVIATION",$C$1=1),$A359,$A359+1),COLUMN('1-DATA'!AL357)),IF($B359="STD. DEVIATION",2,$F$1))))</f>
        <v/>
      </c>
      <c r="AN359" s="1" t="str">
        <f>IF(OR($B359="",AN$7=""),"",IF($B359="MEANS",INDEX('1-DATA'!$1:$1048576,$A358-1,COLUMN('1-DATA'!AM357)),ROUND(INDEX('1-DATA'!$1:$1048576,IF(OR($B359="STD. DEVIATION",$C$1=1),$A359,$A359+1),COLUMN('1-DATA'!AM357)),IF($B359="STD. DEVIATION",2,$F$1))))</f>
        <v/>
      </c>
      <c r="AO359" s="1" t="str">
        <f>IF(OR($B359="",AO$7=""),"",IF($B359="MEANS",INDEX('1-DATA'!$1:$1048576,$A358-1,COLUMN('1-DATA'!AN357)),ROUND(INDEX('1-DATA'!$1:$1048576,IF(OR($B359="STD. DEVIATION",$C$1=1),$A359,$A359+1),COLUMN('1-DATA'!AN357)),IF($B359="STD. DEVIATION",2,$F$1))))</f>
        <v/>
      </c>
      <c r="AP359" s="1" t="str">
        <f>IF(OR($B359="",AP$7=""),"",IF($B359="MEANS",INDEX('1-DATA'!$1:$1048576,$A358-1,COLUMN('1-DATA'!AO357)),ROUND(INDEX('1-DATA'!$1:$1048576,IF(OR($B359="STD. DEVIATION",$C$1=1),$A359,$A359+1),COLUMN('1-DATA'!AO357)),IF($B359="STD. DEVIATION",2,$F$1))))</f>
        <v/>
      </c>
      <c r="AQ359" s="1" t="str">
        <f>IF(OR($B359="",AQ$7=""),"",IF($B359="MEANS",INDEX('1-DATA'!$1:$1048576,$A358-1,COLUMN('1-DATA'!AP357)),ROUND(INDEX('1-DATA'!$1:$1048576,IF(OR($B359="STD. DEVIATION",$C$1=1),$A359,$A359+1),COLUMN('1-DATA'!AP357)),IF($B359="STD. DEVIATION",2,$F$1))))</f>
        <v/>
      </c>
      <c r="AR359" s="1" t="str">
        <f>IF(OR($B359="",AR$7=""),"",IF($B359="MEANS",INDEX('1-DATA'!$1:$1048576,$A358-1,COLUMN('1-DATA'!AQ357)),ROUND(INDEX('1-DATA'!$1:$1048576,IF(OR($B359="STD. DEVIATION",$C$1=1),$A359,$A359+1),COLUMN('1-DATA'!AQ357)),IF($B359="STD. DEVIATION",2,$F$1))))</f>
        <v/>
      </c>
      <c r="AS359" s="1" t="str">
        <f>IF(OR($B359="",AS$7=""),"",IF($B359="MEANS",INDEX('1-DATA'!$1:$1048576,$A358-1,COLUMN('1-DATA'!AR357)),ROUND(INDEX('1-DATA'!$1:$1048576,IF(OR($B359="STD. DEVIATION",$C$1=1),$A359,$A359+1),COLUMN('1-DATA'!AR357)),IF($B359="STD. DEVIATION",2,$F$1))))</f>
        <v/>
      </c>
      <c r="AT359" s="1" t="str">
        <f>IF(OR($B359="",AT$7=""),"",IF($B359="MEANS",INDEX('1-DATA'!$1:$1048576,$A358-1,COLUMN('1-DATA'!AS357)),ROUND(INDEX('1-DATA'!$1:$1048576,IF(OR($B359="STD. DEVIATION",$C$1=1),$A359,$A359+1),COLUMN('1-DATA'!AS357)),IF($B359="STD. DEVIATION",2,$F$1))))</f>
        <v/>
      </c>
      <c r="AU359" s="1" t="str">
        <f>IF(OR($B359="",AU$7=""),"",IF($B359="MEANS",INDEX('1-DATA'!$1:$1048576,$A358-1,COLUMN('1-DATA'!AT357)),ROUND(INDEX('1-DATA'!$1:$1048576,IF(OR($B359="STD. DEVIATION",$C$1=1),$A359,$A359+1),COLUMN('1-DATA'!AT357)),IF($B359="STD. DEVIATION",2,$F$1))))</f>
        <v/>
      </c>
      <c r="AV359" s="1" t="str">
        <f>IF(OR($B359="",AV$7=""),"",IF($B359="MEANS",INDEX('1-DATA'!$1:$1048576,$A358-1,COLUMN('1-DATA'!AU357)),ROUND(INDEX('1-DATA'!$1:$1048576,IF(OR($B359="STD. DEVIATION",$C$1=1),$A359,$A359+1),COLUMN('1-DATA'!AU357)),IF($B359="STD. DEVIATION",2,$F$1))))</f>
        <v/>
      </c>
      <c r="AW359" s="1" t="str">
        <f>IF(OR($B359="",AW$7=""),"",IF($B359="MEANS",INDEX('1-DATA'!$1:$1048576,$A358-1,COLUMN('1-DATA'!AV357)),ROUND(INDEX('1-DATA'!$1:$1048576,IF(OR($B359="STD. DEVIATION",$C$1=1),$A359,$A359+1),COLUMN('1-DATA'!AV357)),IF($B359="STD. DEVIATION",2,$F$1))))</f>
        <v/>
      </c>
      <c r="AX359" s="1" t="str">
        <f>IF(OR($B359="",AX$7=""),"",IF($B359="MEANS",INDEX('1-DATA'!$1:$1048576,$A358-1,COLUMN('1-DATA'!AW357)),ROUND(INDEX('1-DATA'!$1:$1048576,IF(OR($B359="STD. DEVIATION",$C$1=1),$A359,$A359+1),COLUMN('1-DATA'!AW357)),IF($B359="STD. DEVIATION",2,$F$1))))</f>
        <v/>
      </c>
      <c r="AY359" s="1" t="str">
        <f>IF(OR($B359="",AY$7=""),"",IF($B359="MEANS",INDEX('1-DATA'!$1:$1048576,$A358-1,COLUMN('1-DATA'!AX357)),ROUND(INDEX('1-DATA'!$1:$1048576,IF(OR($B359="STD. DEVIATION",$C$1=1),$A359,$A359+1),COLUMN('1-DATA'!AX357)),IF($B359="STD. DEVIATION",2,$F$1))))</f>
        <v/>
      </c>
      <c r="AZ359" s="1" t="str">
        <f>IF(OR($B359="",AZ$7=""),"",IF($B359="MEANS",INDEX('1-DATA'!$1:$1048576,$A358-1,COLUMN('1-DATA'!AY357)),ROUND(INDEX('1-DATA'!$1:$1048576,IF(OR($B359="STD. DEVIATION",$C$1=1),$A359,$A359+1),COLUMN('1-DATA'!AY357)),IF($B359="STD. DEVIATION",2,$F$1))))</f>
        <v/>
      </c>
    </row>
    <row r="360" spans="1:52" x14ac:dyDescent="0.25">
      <c r="A360" s="11">
        <f t="shared" si="6"/>
        <v>1066</v>
      </c>
      <c r="B360" s="1" t="str">
        <f>IF(B359="STD. DEVIATION",INDEX('1-DATA'!$1:$1048576,$A359-1,1),IF(INDEX('1-DATA'!$1:$1048576,$A360,1)&lt;&gt;"",INDEX('1-DATA'!$1:$1048576,$A360,1),""))</f>
        <v/>
      </c>
      <c r="C360" s="1" t="str">
        <f>IF(OR($B360="",C$7=""),"",IF($B360="MEANS",INDEX('1-DATA'!$1:$1048576,$A359-1,COLUMN('1-DATA'!B358)),ROUND(INDEX('1-DATA'!$1:$1048576,IF(OR($B360="STD. DEVIATION",$C$1=1),$A360,$A360+1),COLUMN('1-DATA'!B358)),IF($B360="STD. DEVIATION",2,$F$1))))</f>
        <v/>
      </c>
      <c r="D360" s="1" t="str">
        <f>IF(OR($B360="",D$7=""),"",IF($B360="MEANS",INDEX('1-DATA'!$1:$1048576,$A359-1,COLUMN('1-DATA'!C358)),ROUND(INDEX('1-DATA'!$1:$1048576,IF(OR($B360="STD. DEVIATION",$C$1=1),$A360,$A360+1),COLUMN('1-DATA'!C358)),IF($B360="STD. DEVIATION",2,$F$1))))</f>
        <v/>
      </c>
      <c r="E360" s="1" t="str">
        <f>IF(OR($B360="",E$7=""),"",IF($B360="MEANS",INDEX('1-DATA'!$1:$1048576,$A359-1,COLUMN('1-DATA'!D358)),ROUND(INDEX('1-DATA'!$1:$1048576,IF(OR($B360="STD. DEVIATION",$C$1=1),$A360,$A360+1),COLUMN('1-DATA'!D358)),IF($B360="STD. DEVIATION",2,$F$1))))</f>
        <v/>
      </c>
      <c r="F360" s="1" t="str">
        <f>IF(OR($B360="",F$7=""),"",IF($B360="MEANS",INDEX('1-DATA'!$1:$1048576,$A359-1,COLUMN('1-DATA'!E358)),ROUND(INDEX('1-DATA'!$1:$1048576,IF(OR($B360="STD. DEVIATION",$C$1=1),$A360,$A360+1),COLUMN('1-DATA'!E358)),IF($B360="STD. DEVIATION",2,$F$1))))</f>
        <v/>
      </c>
      <c r="G360" s="1" t="str">
        <f>IF(OR($B360="",G$7=""),"",IF($B360="MEANS",INDEX('1-DATA'!$1:$1048576,$A359-1,COLUMN('1-DATA'!F358)),ROUND(INDEX('1-DATA'!$1:$1048576,IF(OR($B360="STD. DEVIATION",$C$1=1),$A360,$A360+1),COLUMN('1-DATA'!F358)),IF($B360="STD. DEVIATION",2,$F$1))))</f>
        <v/>
      </c>
      <c r="H360" s="1" t="str">
        <f>IF(OR($B360="",H$7=""),"",IF($B360="MEANS",INDEX('1-DATA'!$1:$1048576,$A359-1,COLUMN('1-DATA'!G358)),ROUND(INDEX('1-DATA'!$1:$1048576,IF(OR($B360="STD. DEVIATION",$C$1=1),$A360,$A360+1),COLUMN('1-DATA'!G358)),IF($B360="STD. DEVIATION",2,$F$1))))</f>
        <v/>
      </c>
      <c r="I360" s="1" t="str">
        <f>IF(OR($B360="",I$7=""),"",IF($B360="MEANS",INDEX('1-DATA'!$1:$1048576,$A359-1,COLUMN('1-DATA'!H358)),ROUND(INDEX('1-DATA'!$1:$1048576,IF(OR($B360="STD. DEVIATION",$C$1=1),$A360,$A360+1),COLUMN('1-DATA'!H358)),IF($B360="STD. DEVIATION",2,$F$1))))</f>
        <v/>
      </c>
      <c r="J360" s="1" t="str">
        <f>IF(OR($B360="",J$7=""),"",IF($B360="MEANS",INDEX('1-DATA'!$1:$1048576,$A359-1,COLUMN('1-DATA'!I358)),ROUND(INDEX('1-DATA'!$1:$1048576,IF(OR($B360="STD. DEVIATION",$C$1=1),$A360,$A360+1),COLUMN('1-DATA'!I358)),IF($B360="STD. DEVIATION",2,$F$1))))</f>
        <v/>
      </c>
      <c r="K360" s="1" t="str">
        <f>IF(OR($B360="",K$7=""),"",IF($B360="MEANS",INDEX('1-DATA'!$1:$1048576,$A359-1,COLUMN('1-DATA'!J358)),ROUND(INDEX('1-DATA'!$1:$1048576,IF(OR($B360="STD. DEVIATION",$C$1=1),$A360,$A360+1),COLUMN('1-DATA'!J358)),IF($B360="STD. DEVIATION",2,$F$1))))</f>
        <v/>
      </c>
      <c r="L360" s="1" t="str">
        <f>IF(OR($B360="",L$7=""),"",IF($B360="MEANS",INDEX('1-DATA'!$1:$1048576,$A359-1,COLUMN('1-DATA'!K358)),ROUND(INDEX('1-DATA'!$1:$1048576,IF(OR($B360="STD. DEVIATION",$C$1=1),$A360,$A360+1),COLUMN('1-DATA'!K358)),IF($B360="STD. DEVIATION",2,$F$1))))</f>
        <v/>
      </c>
      <c r="M360" s="1" t="str">
        <f>IF(OR($B360="",M$7=""),"",IF($B360="MEANS",INDEX('1-DATA'!$1:$1048576,$A359-1,COLUMN('1-DATA'!L358)),ROUND(INDEX('1-DATA'!$1:$1048576,IF(OR($B360="STD. DEVIATION",$C$1=1),$A360,$A360+1),COLUMN('1-DATA'!L358)),IF($B360="STD. DEVIATION",2,$F$1))))</f>
        <v/>
      </c>
      <c r="N360" s="1" t="str">
        <f>IF(OR($B360="",N$7=""),"",IF($B360="MEANS",INDEX('1-DATA'!$1:$1048576,$A359-1,COLUMN('1-DATA'!M358)),ROUND(INDEX('1-DATA'!$1:$1048576,IF(OR($B360="STD. DEVIATION",$C$1=1),$A360,$A360+1),COLUMN('1-DATA'!M358)),IF($B360="STD. DEVIATION",2,$F$1))))</f>
        <v/>
      </c>
      <c r="O360" s="1" t="str">
        <f>IF(OR($B360="",O$7=""),"",IF($B360="MEANS",INDEX('1-DATA'!$1:$1048576,$A359-1,COLUMN('1-DATA'!N358)),ROUND(INDEX('1-DATA'!$1:$1048576,IF(OR($B360="STD. DEVIATION",$C$1=1),$A360,$A360+1),COLUMN('1-DATA'!N358)),IF($B360="STD. DEVIATION",2,$F$1))))</f>
        <v/>
      </c>
      <c r="P360" s="1" t="str">
        <f>IF(OR($B360="",P$7=""),"",IF($B360="MEANS",INDEX('1-DATA'!$1:$1048576,$A359-1,COLUMN('1-DATA'!O358)),ROUND(INDEX('1-DATA'!$1:$1048576,IF(OR($B360="STD. DEVIATION",$C$1=1),$A360,$A360+1),COLUMN('1-DATA'!O358)),IF($B360="STD. DEVIATION",2,$F$1))))</f>
        <v/>
      </c>
      <c r="Q360" s="1" t="str">
        <f>IF(OR($B360="",Q$7=""),"",IF($B360="MEANS",INDEX('1-DATA'!$1:$1048576,$A359-1,COLUMN('1-DATA'!P358)),ROUND(INDEX('1-DATA'!$1:$1048576,IF(OR($B360="STD. DEVIATION",$C$1=1),$A360,$A360+1),COLUMN('1-DATA'!P358)),IF($B360="STD. DEVIATION",2,$F$1))))</f>
        <v/>
      </c>
      <c r="R360" s="1" t="str">
        <f>IF(OR($B360="",R$7=""),"",IF($B360="MEANS",INDEX('1-DATA'!$1:$1048576,$A359-1,COLUMN('1-DATA'!Q358)),ROUND(INDEX('1-DATA'!$1:$1048576,IF(OR($B360="STD. DEVIATION",$C$1=1),$A360,$A360+1),COLUMN('1-DATA'!Q358)),IF($B360="STD. DEVIATION",2,$F$1))))</f>
        <v/>
      </c>
      <c r="S360" s="1" t="str">
        <f>IF(OR($B360="",S$7=""),"",IF($B360="MEANS",INDEX('1-DATA'!$1:$1048576,$A359-1,COLUMN('1-DATA'!R358)),ROUND(INDEX('1-DATA'!$1:$1048576,IF(OR($B360="STD. DEVIATION",$C$1=1),$A360,$A360+1),COLUMN('1-DATA'!R358)),IF($B360="STD. DEVIATION",2,$F$1))))</f>
        <v/>
      </c>
      <c r="T360" s="1" t="str">
        <f>IF(OR($B360="",T$7=""),"",IF($B360="MEANS",INDEX('1-DATA'!$1:$1048576,$A359-1,COLUMN('1-DATA'!S358)),ROUND(INDEX('1-DATA'!$1:$1048576,IF(OR($B360="STD. DEVIATION",$C$1=1),$A360,$A360+1),COLUMN('1-DATA'!S358)),IF($B360="STD. DEVIATION",2,$F$1))))</f>
        <v/>
      </c>
      <c r="U360" s="1" t="str">
        <f>IF(OR($B360="",U$7=""),"",IF($B360="MEANS",INDEX('1-DATA'!$1:$1048576,$A359-1,COLUMN('1-DATA'!T358)),ROUND(INDEX('1-DATA'!$1:$1048576,IF(OR($B360="STD. DEVIATION",$C$1=1),$A360,$A360+1),COLUMN('1-DATA'!T358)),IF($B360="STD. DEVIATION",2,$F$1))))</f>
        <v/>
      </c>
      <c r="V360" s="1" t="str">
        <f>IF(OR($B360="",V$7=""),"",IF($B360="MEANS",INDEX('1-DATA'!$1:$1048576,$A359-1,COLUMN('1-DATA'!U358)),ROUND(INDEX('1-DATA'!$1:$1048576,IF(OR($B360="STD. DEVIATION",$C$1=1),$A360,$A360+1),COLUMN('1-DATA'!U358)),IF($B360="STD. DEVIATION",2,$F$1))))</f>
        <v/>
      </c>
      <c r="W360" s="1" t="str">
        <f>IF(OR($B360="",W$7=""),"",IF($B360="MEANS",INDEX('1-DATA'!$1:$1048576,$A359-1,COLUMN('1-DATA'!V358)),ROUND(INDEX('1-DATA'!$1:$1048576,IF(OR($B360="STD. DEVIATION",$C$1=1),$A360,$A360+1),COLUMN('1-DATA'!V358)),IF($B360="STD. DEVIATION",2,$F$1))))</f>
        <v/>
      </c>
      <c r="X360" s="1" t="str">
        <f>IF(OR($B360="",X$7=""),"",IF($B360="MEANS",INDEX('1-DATA'!$1:$1048576,$A359-1,COLUMN('1-DATA'!W358)),ROUND(INDEX('1-DATA'!$1:$1048576,IF(OR($B360="STD. DEVIATION",$C$1=1),$A360,$A360+1),COLUMN('1-DATA'!W358)),IF($B360="STD. DEVIATION",2,$F$1))))</f>
        <v/>
      </c>
      <c r="Y360" s="1" t="str">
        <f>IF(OR($B360="",Y$7=""),"",IF($B360="MEANS",INDEX('1-DATA'!$1:$1048576,$A359-1,COLUMN('1-DATA'!X358)),ROUND(INDEX('1-DATA'!$1:$1048576,IF(OR($B360="STD. DEVIATION",$C$1=1),$A360,$A360+1),COLUMN('1-DATA'!X358)),IF($B360="STD. DEVIATION",2,$F$1))))</f>
        <v/>
      </c>
      <c r="Z360" s="1" t="str">
        <f>IF(OR($B360="",Z$7=""),"",IF($B360="MEANS",INDEX('1-DATA'!$1:$1048576,$A359-1,COLUMN('1-DATA'!Y358)),ROUND(INDEX('1-DATA'!$1:$1048576,IF(OR($B360="STD. DEVIATION",$C$1=1),$A360,$A360+1),COLUMN('1-DATA'!Y358)),IF($B360="STD. DEVIATION",2,$F$1))))</f>
        <v/>
      </c>
      <c r="AA360" s="1" t="str">
        <f>IF(OR($B360="",AA$7=""),"",IF($B360="MEANS",INDEX('1-DATA'!$1:$1048576,$A359-1,COLUMN('1-DATA'!Z358)),ROUND(INDEX('1-DATA'!$1:$1048576,IF(OR($B360="STD. DEVIATION",$C$1=1),$A360,$A360+1),COLUMN('1-DATA'!Z358)),IF($B360="STD. DEVIATION",2,$F$1))))</f>
        <v/>
      </c>
      <c r="AB360" s="1" t="str">
        <f>IF(OR($B360="",AB$7=""),"",IF($B360="MEANS",INDEX('1-DATA'!$1:$1048576,$A359-1,COLUMN('1-DATA'!AA358)),ROUND(INDEX('1-DATA'!$1:$1048576,IF(OR($B360="STD. DEVIATION",$C$1=1),$A360,$A360+1),COLUMN('1-DATA'!AA358)),IF($B360="STD. DEVIATION",2,$F$1))))</f>
        <v/>
      </c>
      <c r="AC360" s="1" t="str">
        <f>IF(OR($B360="",AC$7=""),"",IF($B360="MEANS",INDEX('1-DATA'!$1:$1048576,$A359-1,COLUMN('1-DATA'!AB358)),ROUND(INDEX('1-DATA'!$1:$1048576,IF(OR($B360="STD. DEVIATION",$C$1=1),$A360,$A360+1),COLUMN('1-DATA'!AB358)),IF($B360="STD. DEVIATION",2,$F$1))))</f>
        <v/>
      </c>
      <c r="AD360" s="1" t="str">
        <f>IF(OR($B360="",AD$7=""),"",IF($B360="MEANS",INDEX('1-DATA'!$1:$1048576,$A359-1,COLUMN('1-DATA'!AC358)),ROUND(INDEX('1-DATA'!$1:$1048576,IF(OR($B360="STD. DEVIATION",$C$1=1),$A360,$A360+1),COLUMN('1-DATA'!AC358)),IF($B360="STD. DEVIATION",2,$F$1))))</f>
        <v/>
      </c>
      <c r="AE360" s="1" t="str">
        <f>IF(OR($B360="",AE$7=""),"",IF($B360="MEANS",INDEX('1-DATA'!$1:$1048576,$A359-1,COLUMN('1-DATA'!AD358)),ROUND(INDEX('1-DATA'!$1:$1048576,IF(OR($B360="STD. DEVIATION",$C$1=1),$A360,$A360+1),COLUMN('1-DATA'!AD358)),IF($B360="STD. DEVIATION",2,$F$1))))</f>
        <v/>
      </c>
      <c r="AF360" s="1" t="str">
        <f>IF(OR($B360="",AF$7=""),"",IF($B360="MEANS",INDEX('1-DATA'!$1:$1048576,$A359-1,COLUMN('1-DATA'!AE358)),ROUND(INDEX('1-DATA'!$1:$1048576,IF(OR($B360="STD. DEVIATION",$C$1=1),$A360,$A360+1),COLUMN('1-DATA'!AE358)),IF($B360="STD. DEVIATION",2,$F$1))))</f>
        <v/>
      </c>
      <c r="AG360" s="1" t="str">
        <f>IF(OR($B360="",AG$7=""),"",IF($B360="MEANS",INDEX('1-DATA'!$1:$1048576,$A359-1,COLUMN('1-DATA'!AF358)),ROUND(INDEX('1-DATA'!$1:$1048576,IF(OR($B360="STD. DEVIATION",$C$1=1),$A360,$A360+1),COLUMN('1-DATA'!AF358)),IF($B360="STD. DEVIATION",2,$F$1))))</f>
        <v/>
      </c>
      <c r="AH360" s="1" t="str">
        <f>IF(OR($B360="",AH$7=""),"",IF($B360="MEANS",INDEX('1-DATA'!$1:$1048576,$A359-1,COLUMN('1-DATA'!AG358)),ROUND(INDEX('1-DATA'!$1:$1048576,IF(OR($B360="STD. DEVIATION",$C$1=1),$A360,$A360+1),COLUMN('1-DATA'!AG358)),IF($B360="STD. DEVIATION",2,$F$1))))</f>
        <v/>
      </c>
      <c r="AI360" s="1" t="str">
        <f>IF(OR($B360="",AI$7=""),"",IF($B360="MEANS",INDEX('1-DATA'!$1:$1048576,$A359-1,COLUMN('1-DATA'!AH358)),ROUND(INDEX('1-DATA'!$1:$1048576,IF(OR($B360="STD. DEVIATION",$C$1=1),$A360,$A360+1),COLUMN('1-DATA'!AH358)),IF($B360="STD. DEVIATION",2,$F$1))))</f>
        <v/>
      </c>
      <c r="AJ360" s="1" t="str">
        <f>IF(OR($B360="",AJ$7=""),"",IF($B360="MEANS",INDEX('1-DATA'!$1:$1048576,$A359-1,COLUMN('1-DATA'!AI358)),ROUND(INDEX('1-DATA'!$1:$1048576,IF(OR($B360="STD. DEVIATION",$C$1=1),$A360,$A360+1),COLUMN('1-DATA'!AI358)),IF($B360="STD. DEVIATION",2,$F$1))))</f>
        <v/>
      </c>
      <c r="AK360" s="1" t="str">
        <f>IF(OR($B360="",AK$7=""),"",IF($B360="MEANS",INDEX('1-DATA'!$1:$1048576,$A359-1,COLUMN('1-DATA'!AJ358)),ROUND(INDEX('1-DATA'!$1:$1048576,IF(OR($B360="STD. DEVIATION",$C$1=1),$A360,$A360+1),COLUMN('1-DATA'!AJ358)),IF($B360="STD. DEVIATION",2,$F$1))))</f>
        <v/>
      </c>
      <c r="AL360" s="1" t="str">
        <f>IF(OR($B360="",AL$7=""),"",IF($B360="MEANS",INDEX('1-DATA'!$1:$1048576,$A359-1,COLUMN('1-DATA'!AK358)),ROUND(INDEX('1-DATA'!$1:$1048576,IF(OR($B360="STD. DEVIATION",$C$1=1),$A360,$A360+1),COLUMN('1-DATA'!AK358)),IF($B360="STD. DEVIATION",2,$F$1))))</f>
        <v/>
      </c>
      <c r="AM360" s="1" t="str">
        <f>IF(OR($B360="",AM$7=""),"",IF($B360="MEANS",INDEX('1-DATA'!$1:$1048576,$A359-1,COLUMN('1-DATA'!AL358)),ROUND(INDEX('1-DATA'!$1:$1048576,IF(OR($B360="STD. DEVIATION",$C$1=1),$A360,$A360+1),COLUMN('1-DATA'!AL358)),IF($B360="STD. DEVIATION",2,$F$1))))</f>
        <v/>
      </c>
      <c r="AN360" s="1" t="str">
        <f>IF(OR($B360="",AN$7=""),"",IF($B360="MEANS",INDEX('1-DATA'!$1:$1048576,$A359-1,COLUMN('1-DATA'!AM358)),ROUND(INDEX('1-DATA'!$1:$1048576,IF(OR($B360="STD. DEVIATION",$C$1=1),$A360,$A360+1),COLUMN('1-DATA'!AM358)),IF($B360="STD. DEVIATION",2,$F$1))))</f>
        <v/>
      </c>
      <c r="AO360" s="1" t="str">
        <f>IF(OR($B360="",AO$7=""),"",IF($B360="MEANS",INDEX('1-DATA'!$1:$1048576,$A359-1,COLUMN('1-DATA'!AN358)),ROUND(INDEX('1-DATA'!$1:$1048576,IF(OR($B360="STD. DEVIATION",$C$1=1),$A360,$A360+1),COLUMN('1-DATA'!AN358)),IF($B360="STD. DEVIATION",2,$F$1))))</f>
        <v/>
      </c>
      <c r="AP360" s="1" t="str">
        <f>IF(OR($B360="",AP$7=""),"",IF($B360="MEANS",INDEX('1-DATA'!$1:$1048576,$A359-1,COLUMN('1-DATA'!AO358)),ROUND(INDEX('1-DATA'!$1:$1048576,IF(OR($B360="STD. DEVIATION",$C$1=1),$A360,$A360+1),COLUMN('1-DATA'!AO358)),IF($B360="STD. DEVIATION",2,$F$1))))</f>
        <v/>
      </c>
      <c r="AQ360" s="1" t="str">
        <f>IF(OR($B360="",AQ$7=""),"",IF($B360="MEANS",INDEX('1-DATA'!$1:$1048576,$A359-1,COLUMN('1-DATA'!AP358)),ROUND(INDEX('1-DATA'!$1:$1048576,IF(OR($B360="STD. DEVIATION",$C$1=1),$A360,$A360+1),COLUMN('1-DATA'!AP358)),IF($B360="STD. DEVIATION",2,$F$1))))</f>
        <v/>
      </c>
      <c r="AR360" s="1" t="str">
        <f>IF(OR($B360="",AR$7=""),"",IF($B360="MEANS",INDEX('1-DATA'!$1:$1048576,$A359-1,COLUMN('1-DATA'!AQ358)),ROUND(INDEX('1-DATA'!$1:$1048576,IF(OR($B360="STD. DEVIATION",$C$1=1),$A360,$A360+1),COLUMN('1-DATA'!AQ358)),IF($B360="STD. DEVIATION",2,$F$1))))</f>
        <v/>
      </c>
      <c r="AS360" s="1" t="str">
        <f>IF(OR($B360="",AS$7=""),"",IF($B360="MEANS",INDEX('1-DATA'!$1:$1048576,$A359-1,COLUMN('1-DATA'!AR358)),ROUND(INDEX('1-DATA'!$1:$1048576,IF(OR($B360="STD. DEVIATION",$C$1=1),$A360,$A360+1),COLUMN('1-DATA'!AR358)),IF($B360="STD. DEVIATION",2,$F$1))))</f>
        <v/>
      </c>
      <c r="AT360" s="1" t="str">
        <f>IF(OR($B360="",AT$7=""),"",IF($B360="MEANS",INDEX('1-DATA'!$1:$1048576,$A359-1,COLUMN('1-DATA'!AS358)),ROUND(INDEX('1-DATA'!$1:$1048576,IF(OR($B360="STD. DEVIATION",$C$1=1),$A360,$A360+1),COLUMN('1-DATA'!AS358)),IF($B360="STD. DEVIATION",2,$F$1))))</f>
        <v/>
      </c>
      <c r="AU360" s="1" t="str">
        <f>IF(OR($B360="",AU$7=""),"",IF($B360="MEANS",INDEX('1-DATA'!$1:$1048576,$A359-1,COLUMN('1-DATA'!AT358)),ROUND(INDEX('1-DATA'!$1:$1048576,IF(OR($B360="STD. DEVIATION",$C$1=1),$A360,$A360+1),COLUMN('1-DATA'!AT358)),IF($B360="STD. DEVIATION",2,$F$1))))</f>
        <v/>
      </c>
      <c r="AV360" s="1" t="str">
        <f>IF(OR($B360="",AV$7=""),"",IF($B360="MEANS",INDEX('1-DATA'!$1:$1048576,$A359-1,COLUMN('1-DATA'!AU358)),ROUND(INDEX('1-DATA'!$1:$1048576,IF(OR($B360="STD. DEVIATION",$C$1=1),$A360,$A360+1),COLUMN('1-DATA'!AU358)),IF($B360="STD. DEVIATION",2,$F$1))))</f>
        <v/>
      </c>
      <c r="AW360" s="1" t="str">
        <f>IF(OR($B360="",AW$7=""),"",IF($B360="MEANS",INDEX('1-DATA'!$1:$1048576,$A359-1,COLUMN('1-DATA'!AV358)),ROUND(INDEX('1-DATA'!$1:$1048576,IF(OR($B360="STD. DEVIATION",$C$1=1),$A360,$A360+1),COLUMN('1-DATA'!AV358)),IF($B360="STD. DEVIATION",2,$F$1))))</f>
        <v/>
      </c>
      <c r="AX360" s="1" t="str">
        <f>IF(OR($B360="",AX$7=""),"",IF($B360="MEANS",INDEX('1-DATA'!$1:$1048576,$A359-1,COLUMN('1-DATA'!AW358)),ROUND(INDEX('1-DATA'!$1:$1048576,IF(OR($B360="STD. DEVIATION",$C$1=1),$A360,$A360+1),COLUMN('1-DATA'!AW358)),IF($B360="STD. DEVIATION",2,$F$1))))</f>
        <v/>
      </c>
      <c r="AY360" s="1" t="str">
        <f>IF(OR($B360="",AY$7=""),"",IF($B360="MEANS",INDEX('1-DATA'!$1:$1048576,$A359-1,COLUMN('1-DATA'!AX358)),ROUND(INDEX('1-DATA'!$1:$1048576,IF(OR($B360="STD. DEVIATION",$C$1=1),$A360,$A360+1),COLUMN('1-DATA'!AX358)),IF($B360="STD. DEVIATION",2,$F$1))))</f>
        <v/>
      </c>
      <c r="AZ360" s="1" t="str">
        <f>IF(OR($B360="",AZ$7=""),"",IF($B360="MEANS",INDEX('1-DATA'!$1:$1048576,$A359-1,COLUMN('1-DATA'!AY358)),ROUND(INDEX('1-DATA'!$1:$1048576,IF(OR($B360="STD. DEVIATION",$C$1=1),$A360,$A360+1),COLUMN('1-DATA'!AY358)),IF($B360="STD. DEVIATION",2,$F$1))))</f>
        <v/>
      </c>
    </row>
    <row r="361" spans="1:52" x14ac:dyDescent="0.25">
      <c r="A361" s="11">
        <f t="shared" si="6"/>
        <v>1069</v>
      </c>
      <c r="B361" s="1" t="str">
        <f>IF(B360="STD. DEVIATION",INDEX('1-DATA'!$1:$1048576,$A360-1,1),IF(INDEX('1-DATA'!$1:$1048576,$A361,1)&lt;&gt;"",INDEX('1-DATA'!$1:$1048576,$A361,1),""))</f>
        <v/>
      </c>
      <c r="C361" s="1" t="str">
        <f>IF(OR($B361="",C$7=""),"",IF($B361="MEANS",INDEX('1-DATA'!$1:$1048576,$A360-1,COLUMN('1-DATA'!B359)),ROUND(INDEX('1-DATA'!$1:$1048576,IF(OR($B361="STD. DEVIATION",$C$1=1),$A361,$A361+1),COLUMN('1-DATA'!B359)),IF($B361="STD. DEVIATION",2,$F$1))))</f>
        <v/>
      </c>
      <c r="D361" s="1" t="str">
        <f>IF(OR($B361="",D$7=""),"",IF($B361="MEANS",INDEX('1-DATA'!$1:$1048576,$A360-1,COLUMN('1-DATA'!C359)),ROUND(INDEX('1-DATA'!$1:$1048576,IF(OR($B361="STD. DEVIATION",$C$1=1),$A361,$A361+1),COLUMN('1-DATA'!C359)),IF($B361="STD. DEVIATION",2,$F$1))))</f>
        <v/>
      </c>
      <c r="E361" s="1" t="str">
        <f>IF(OR($B361="",E$7=""),"",IF($B361="MEANS",INDEX('1-DATA'!$1:$1048576,$A360-1,COLUMN('1-DATA'!D359)),ROUND(INDEX('1-DATA'!$1:$1048576,IF(OR($B361="STD. DEVIATION",$C$1=1),$A361,$A361+1),COLUMN('1-DATA'!D359)),IF($B361="STD. DEVIATION",2,$F$1))))</f>
        <v/>
      </c>
      <c r="F361" s="1" t="str">
        <f>IF(OR($B361="",F$7=""),"",IF($B361="MEANS",INDEX('1-DATA'!$1:$1048576,$A360-1,COLUMN('1-DATA'!E359)),ROUND(INDEX('1-DATA'!$1:$1048576,IF(OR($B361="STD. DEVIATION",$C$1=1),$A361,$A361+1),COLUMN('1-DATA'!E359)),IF($B361="STD. DEVIATION",2,$F$1))))</f>
        <v/>
      </c>
      <c r="G361" s="1" t="str">
        <f>IF(OR($B361="",G$7=""),"",IF($B361="MEANS",INDEX('1-DATA'!$1:$1048576,$A360-1,COLUMN('1-DATA'!F359)),ROUND(INDEX('1-DATA'!$1:$1048576,IF(OR($B361="STD. DEVIATION",$C$1=1),$A361,$A361+1),COLUMN('1-DATA'!F359)),IF($B361="STD. DEVIATION",2,$F$1))))</f>
        <v/>
      </c>
      <c r="H361" s="1" t="str">
        <f>IF(OR($B361="",H$7=""),"",IF($B361="MEANS",INDEX('1-DATA'!$1:$1048576,$A360-1,COLUMN('1-DATA'!G359)),ROUND(INDEX('1-DATA'!$1:$1048576,IF(OR($B361="STD. DEVIATION",$C$1=1),$A361,$A361+1),COLUMN('1-DATA'!G359)),IF($B361="STD. DEVIATION",2,$F$1))))</f>
        <v/>
      </c>
      <c r="I361" s="1" t="str">
        <f>IF(OR($B361="",I$7=""),"",IF($B361="MEANS",INDEX('1-DATA'!$1:$1048576,$A360-1,COLUMN('1-DATA'!H359)),ROUND(INDEX('1-DATA'!$1:$1048576,IF(OR($B361="STD. DEVIATION",$C$1=1),$A361,$A361+1),COLUMN('1-DATA'!H359)),IF($B361="STD. DEVIATION",2,$F$1))))</f>
        <v/>
      </c>
      <c r="J361" s="1" t="str">
        <f>IF(OR($B361="",J$7=""),"",IF($B361="MEANS",INDEX('1-DATA'!$1:$1048576,$A360-1,COLUMN('1-DATA'!I359)),ROUND(INDEX('1-DATA'!$1:$1048576,IF(OR($B361="STD. DEVIATION",$C$1=1),$A361,$A361+1),COLUMN('1-DATA'!I359)),IF($B361="STD. DEVIATION",2,$F$1))))</f>
        <v/>
      </c>
      <c r="K361" s="1" t="str">
        <f>IF(OR($B361="",K$7=""),"",IF($B361="MEANS",INDEX('1-DATA'!$1:$1048576,$A360-1,COLUMN('1-DATA'!J359)),ROUND(INDEX('1-DATA'!$1:$1048576,IF(OR($B361="STD. DEVIATION",$C$1=1),$A361,$A361+1),COLUMN('1-DATA'!J359)),IF($B361="STD. DEVIATION",2,$F$1))))</f>
        <v/>
      </c>
      <c r="L361" s="1" t="str">
        <f>IF(OR($B361="",L$7=""),"",IF($B361="MEANS",INDEX('1-DATA'!$1:$1048576,$A360-1,COLUMN('1-DATA'!K359)),ROUND(INDEX('1-DATA'!$1:$1048576,IF(OR($B361="STD. DEVIATION",$C$1=1),$A361,$A361+1),COLUMN('1-DATA'!K359)),IF($B361="STD. DEVIATION",2,$F$1))))</f>
        <v/>
      </c>
      <c r="M361" s="1" t="str">
        <f>IF(OR($B361="",M$7=""),"",IF($B361="MEANS",INDEX('1-DATA'!$1:$1048576,$A360-1,COLUMN('1-DATA'!L359)),ROUND(INDEX('1-DATA'!$1:$1048576,IF(OR($B361="STD. DEVIATION",$C$1=1),$A361,$A361+1),COLUMN('1-DATA'!L359)),IF($B361="STD. DEVIATION",2,$F$1))))</f>
        <v/>
      </c>
      <c r="N361" s="1" t="str">
        <f>IF(OR($B361="",N$7=""),"",IF($B361="MEANS",INDEX('1-DATA'!$1:$1048576,$A360-1,COLUMN('1-DATA'!M359)),ROUND(INDEX('1-DATA'!$1:$1048576,IF(OR($B361="STD. DEVIATION",$C$1=1),$A361,$A361+1),COLUMN('1-DATA'!M359)),IF($B361="STD. DEVIATION",2,$F$1))))</f>
        <v/>
      </c>
      <c r="O361" s="1" t="str">
        <f>IF(OR($B361="",O$7=""),"",IF($B361="MEANS",INDEX('1-DATA'!$1:$1048576,$A360-1,COLUMN('1-DATA'!N359)),ROUND(INDEX('1-DATA'!$1:$1048576,IF(OR($B361="STD. DEVIATION",$C$1=1),$A361,$A361+1),COLUMN('1-DATA'!N359)),IF($B361="STD. DEVIATION",2,$F$1))))</f>
        <v/>
      </c>
      <c r="P361" s="1" t="str">
        <f>IF(OR($B361="",P$7=""),"",IF($B361="MEANS",INDEX('1-DATA'!$1:$1048576,$A360-1,COLUMN('1-DATA'!O359)),ROUND(INDEX('1-DATA'!$1:$1048576,IF(OR($B361="STD. DEVIATION",$C$1=1),$A361,$A361+1),COLUMN('1-DATA'!O359)),IF($B361="STD. DEVIATION",2,$F$1))))</f>
        <v/>
      </c>
      <c r="Q361" s="1" t="str">
        <f>IF(OR($B361="",Q$7=""),"",IF($B361="MEANS",INDEX('1-DATA'!$1:$1048576,$A360-1,COLUMN('1-DATA'!P359)),ROUND(INDEX('1-DATA'!$1:$1048576,IF(OR($B361="STD. DEVIATION",$C$1=1),$A361,$A361+1),COLUMN('1-DATA'!P359)),IF($B361="STD. DEVIATION",2,$F$1))))</f>
        <v/>
      </c>
      <c r="R361" s="1" t="str">
        <f>IF(OR($B361="",R$7=""),"",IF($B361="MEANS",INDEX('1-DATA'!$1:$1048576,$A360-1,COLUMN('1-DATA'!Q359)),ROUND(INDEX('1-DATA'!$1:$1048576,IF(OR($B361="STD. DEVIATION",$C$1=1),$A361,$A361+1),COLUMN('1-DATA'!Q359)),IF($B361="STD. DEVIATION",2,$F$1))))</f>
        <v/>
      </c>
      <c r="S361" s="1" t="str">
        <f>IF(OR($B361="",S$7=""),"",IF($B361="MEANS",INDEX('1-DATA'!$1:$1048576,$A360-1,COLUMN('1-DATA'!R359)),ROUND(INDEX('1-DATA'!$1:$1048576,IF(OR($B361="STD. DEVIATION",$C$1=1),$A361,$A361+1),COLUMN('1-DATA'!R359)),IF($B361="STD. DEVIATION",2,$F$1))))</f>
        <v/>
      </c>
      <c r="T361" s="1" t="str">
        <f>IF(OR($B361="",T$7=""),"",IF($B361="MEANS",INDEX('1-DATA'!$1:$1048576,$A360-1,COLUMN('1-DATA'!S359)),ROUND(INDEX('1-DATA'!$1:$1048576,IF(OR($B361="STD. DEVIATION",$C$1=1),$A361,$A361+1),COLUMN('1-DATA'!S359)),IF($B361="STD. DEVIATION",2,$F$1))))</f>
        <v/>
      </c>
      <c r="U361" s="1" t="str">
        <f>IF(OR($B361="",U$7=""),"",IF($B361="MEANS",INDEX('1-DATA'!$1:$1048576,$A360-1,COLUMN('1-DATA'!T359)),ROUND(INDEX('1-DATA'!$1:$1048576,IF(OR($B361="STD. DEVIATION",$C$1=1),$A361,$A361+1),COLUMN('1-DATA'!T359)),IF($B361="STD. DEVIATION",2,$F$1))))</f>
        <v/>
      </c>
      <c r="V361" s="1" t="str">
        <f>IF(OR($B361="",V$7=""),"",IF($B361="MEANS",INDEX('1-DATA'!$1:$1048576,$A360-1,COLUMN('1-DATA'!U359)),ROUND(INDEX('1-DATA'!$1:$1048576,IF(OR($B361="STD. DEVIATION",$C$1=1),$A361,$A361+1),COLUMN('1-DATA'!U359)),IF($B361="STD. DEVIATION",2,$F$1))))</f>
        <v/>
      </c>
      <c r="W361" s="1" t="str">
        <f>IF(OR($B361="",W$7=""),"",IF($B361="MEANS",INDEX('1-DATA'!$1:$1048576,$A360-1,COLUMN('1-DATA'!V359)),ROUND(INDEX('1-DATA'!$1:$1048576,IF(OR($B361="STD. DEVIATION",$C$1=1),$A361,$A361+1),COLUMN('1-DATA'!V359)),IF($B361="STD. DEVIATION",2,$F$1))))</f>
        <v/>
      </c>
      <c r="X361" s="1" t="str">
        <f>IF(OR($B361="",X$7=""),"",IF($B361="MEANS",INDEX('1-DATA'!$1:$1048576,$A360-1,COLUMN('1-DATA'!W359)),ROUND(INDEX('1-DATA'!$1:$1048576,IF(OR($B361="STD. DEVIATION",$C$1=1),$A361,$A361+1),COLUMN('1-DATA'!W359)),IF($B361="STD. DEVIATION",2,$F$1))))</f>
        <v/>
      </c>
      <c r="Y361" s="1" t="str">
        <f>IF(OR($B361="",Y$7=""),"",IF($B361="MEANS",INDEX('1-DATA'!$1:$1048576,$A360-1,COLUMN('1-DATA'!X359)),ROUND(INDEX('1-DATA'!$1:$1048576,IF(OR($B361="STD. DEVIATION",$C$1=1),$A361,$A361+1),COLUMN('1-DATA'!X359)),IF($B361="STD. DEVIATION",2,$F$1))))</f>
        <v/>
      </c>
      <c r="Z361" s="1" t="str">
        <f>IF(OR($B361="",Z$7=""),"",IF($B361="MEANS",INDEX('1-DATA'!$1:$1048576,$A360-1,COLUMN('1-DATA'!Y359)),ROUND(INDEX('1-DATA'!$1:$1048576,IF(OR($B361="STD. DEVIATION",$C$1=1),$A361,$A361+1),COLUMN('1-DATA'!Y359)),IF($B361="STD. DEVIATION",2,$F$1))))</f>
        <v/>
      </c>
      <c r="AA361" s="1" t="str">
        <f>IF(OR($B361="",AA$7=""),"",IF($B361="MEANS",INDEX('1-DATA'!$1:$1048576,$A360-1,COLUMN('1-DATA'!Z359)),ROUND(INDEX('1-DATA'!$1:$1048576,IF(OR($B361="STD. DEVIATION",$C$1=1),$A361,$A361+1),COLUMN('1-DATA'!Z359)),IF($B361="STD. DEVIATION",2,$F$1))))</f>
        <v/>
      </c>
      <c r="AB361" s="1" t="str">
        <f>IF(OR($B361="",AB$7=""),"",IF($B361="MEANS",INDEX('1-DATA'!$1:$1048576,$A360-1,COLUMN('1-DATA'!AA359)),ROUND(INDEX('1-DATA'!$1:$1048576,IF(OR($B361="STD. DEVIATION",$C$1=1),$A361,$A361+1),COLUMN('1-DATA'!AA359)),IF($B361="STD. DEVIATION",2,$F$1))))</f>
        <v/>
      </c>
      <c r="AC361" s="1" t="str">
        <f>IF(OR($B361="",AC$7=""),"",IF($B361="MEANS",INDEX('1-DATA'!$1:$1048576,$A360-1,COLUMN('1-DATA'!AB359)),ROUND(INDEX('1-DATA'!$1:$1048576,IF(OR($B361="STD. DEVIATION",$C$1=1),$A361,$A361+1),COLUMN('1-DATA'!AB359)),IF($B361="STD. DEVIATION",2,$F$1))))</f>
        <v/>
      </c>
      <c r="AD361" s="1" t="str">
        <f>IF(OR($B361="",AD$7=""),"",IF($B361="MEANS",INDEX('1-DATA'!$1:$1048576,$A360-1,COLUMN('1-DATA'!AC359)),ROUND(INDEX('1-DATA'!$1:$1048576,IF(OR($B361="STD. DEVIATION",$C$1=1),$A361,$A361+1),COLUMN('1-DATA'!AC359)),IF($B361="STD. DEVIATION",2,$F$1))))</f>
        <v/>
      </c>
      <c r="AE361" s="1" t="str">
        <f>IF(OR($B361="",AE$7=""),"",IF($B361="MEANS",INDEX('1-DATA'!$1:$1048576,$A360-1,COLUMN('1-DATA'!AD359)),ROUND(INDEX('1-DATA'!$1:$1048576,IF(OR($B361="STD. DEVIATION",$C$1=1),$A361,$A361+1),COLUMN('1-DATA'!AD359)),IF($B361="STD. DEVIATION",2,$F$1))))</f>
        <v/>
      </c>
      <c r="AF361" s="1" t="str">
        <f>IF(OR($B361="",AF$7=""),"",IF($B361="MEANS",INDEX('1-DATA'!$1:$1048576,$A360-1,COLUMN('1-DATA'!AE359)),ROUND(INDEX('1-DATA'!$1:$1048576,IF(OR($B361="STD. DEVIATION",$C$1=1),$A361,$A361+1),COLUMN('1-DATA'!AE359)),IF($B361="STD. DEVIATION",2,$F$1))))</f>
        <v/>
      </c>
      <c r="AG361" s="1" t="str">
        <f>IF(OR($B361="",AG$7=""),"",IF($B361="MEANS",INDEX('1-DATA'!$1:$1048576,$A360-1,COLUMN('1-DATA'!AF359)),ROUND(INDEX('1-DATA'!$1:$1048576,IF(OR($B361="STD. DEVIATION",$C$1=1),$A361,$A361+1),COLUMN('1-DATA'!AF359)),IF($B361="STD. DEVIATION",2,$F$1))))</f>
        <v/>
      </c>
      <c r="AH361" s="1" t="str">
        <f>IF(OR($B361="",AH$7=""),"",IF($B361="MEANS",INDEX('1-DATA'!$1:$1048576,$A360-1,COLUMN('1-DATA'!AG359)),ROUND(INDEX('1-DATA'!$1:$1048576,IF(OR($B361="STD. DEVIATION",$C$1=1),$A361,$A361+1),COLUMN('1-DATA'!AG359)),IF($B361="STD. DEVIATION",2,$F$1))))</f>
        <v/>
      </c>
      <c r="AI361" s="1" t="str">
        <f>IF(OR($B361="",AI$7=""),"",IF($B361="MEANS",INDEX('1-DATA'!$1:$1048576,$A360-1,COLUMN('1-DATA'!AH359)),ROUND(INDEX('1-DATA'!$1:$1048576,IF(OR($B361="STD. DEVIATION",$C$1=1),$A361,$A361+1),COLUMN('1-DATA'!AH359)),IF($B361="STD. DEVIATION",2,$F$1))))</f>
        <v/>
      </c>
      <c r="AJ361" s="1" t="str">
        <f>IF(OR($B361="",AJ$7=""),"",IF($B361="MEANS",INDEX('1-DATA'!$1:$1048576,$A360-1,COLUMN('1-DATA'!AI359)),ROUND(INDEX('1-DATA'!$1:$1048576,IF(OR($B361="STD. DEVIATION",$C$1=1),$A361,$A361+1),COLUMN('1-DATA'!AI359)),IF($B361="STD. DEVIATION",2,$F$1))))</f>
        <v/>
      </c>
      <c r="AK361" s="1" t="str">
        <f>IF(OR($B361="",AK$7=""),"",IF($B361="MEANS",INDEX('1-DATA'!$1:$1048576,$A360-1,COLUMN('1-DATA'!AJ359)),ROUND(INDEX('1-DATA'!$1:$1048576,IF(OR($B361="STD. DEVIATION",$C$1=1),$A361,$A361+1),COLUMN('1-DATA'!AJ359)),IF($B361="STD. DEVIATION",2,$F$1))))</f>
        <v/>
      </c>
      <c r="AL361" s="1" t="str">
        <f>IF(OR($B361="",AL$7=""),"",IF($B361="MEANS",INDEX('1-DATA'!$1:$1048576,$A360-1,COLUMN('1-DATA'!AK359)),ROUND(INDEX('1-DATA'!$1:$1048576,IF(OR($B361="STD. DEVIATION",$C$1=1),$A361,$A361+1),COLUMN('1-DATA'!AK359)),IF($B361="STD. DEVIATION",2,$F$1))))</f>
        <v/>
      </c>
      <c r="AM361" s="1" t="str">
        <f>IF(OR($B361="",AM$7=""),"",IF($B361="MEANS",INDEX('1-DATA'!$1:$1048576,$A360-1,COLUMN('1-DATA'!AL359)),ROUND(INDEX('1-DATA'!$1:$1048576,IF(OR($B361="STD. DEVIATION",$C$1=1),$A361,$A361+1),COLUMN('1-DATA'!AL359)),IF($B361="STD. DEVIATION",2,$F$1))))</f>
        <v/>
      </c>
      <c r="AN361" s="1" t="str">
        <f>IF(OR($B361="",AN$7=""),"",IF($B361="MEANS",INDEX('1-DATA'!$1:$1048576,$A360-1,COLUMN('1-DATA'!AM359)),ROUND(INDEX('1-DATA'!$1:$1048576,IF(OR($B361="STD. DEVIATION",$C$1=1),$A361,$A361+1),COLUMN('1-DATA'!AM359)),IF($B361="STD. DEVIATION",2,$F$1))))</f>
        <v/>
      </c>
      <c r="AO361" s="1" t="str">
        <f>IF(OR($B361="",AO$7=""),"",IF($B361="MEANS",INDEX('1-DATA'!$1:$1048576,$A360-1,COLUMN('1-DATA'!AN359)),ROUND(INDEX('1-DATA'!$1:$1048576,IF(OR($B361="STD. DEVIATION",$C$1=1),$A361,$A361+1),COLUMN('1-DATA'!AN359)),IF($B361="STD. DEVIATION",2,$F$1))))</f>
        <v/>
      </c>
      <c r="AP361" s="1" t="str">
        <f>IF(OR($B361="",AP$7=""),"",IF($B361="MEANS",INDEX('1-DATA'!$1:$1048576,$A360-1,COLUMN('1-DATA'!AO359)),ROUND(INDEX('1-DATA'!$1:$1048576,IF(OR($B361="STD. DEVIATION",$C$1=1),$A361,$A361+1),COLUMN('1-DATA'!AO359)),IF($B361="STD. DEVIATION",2,$F$1))))</f>
        <v/>
      </c>
      <c r="AQ361" s="1" t="str">
        <f>IF(OR($B361="",AQ$7=""),"",IF($B361="MEANS",INDEX('1-DATA'!$1:$1048576,$A360-1,COLUMN('1-DATA'!AP359)),ROUND(INDEX('1-DATA'!$1:$1048576,IF(OR($B361="STD. DEVIATION",$C$1=1),$A361,$A361+1),COLUMN('1-DATA'!AP359)),IF($B361="STD. DEVIATION",2,$F$1))))</f>
        <v/>
      </c>
      <c r="AR361" s="1" t="str">
        <f>IF(OR($B361="",AR$7=""),"",IF($B361="MEANS",INDEX('1-DATA'!$1:$1048576,$A360-1,COLUMN('1-DATA'!AQ359)),ROUND(INDEX('1-DATA'!$1:$1048576,IF(OR($B361="STD. DEVIATION",$C$1=1),$A361,$A361+1),COLUMN('1-DATA'!AQ359)),IF($B361="STD. DEVIATION",2,$F$1))))</f>
        <v/>
      </c>
      <c r="AS361" s="1" t="str">
        <f>IF(OR($B361="",AS$7=""),"",IF($B361="MEANS",INDEX('1-DATA'!$1:$1048576,$A360-1,COLUMN('1-DATA'!AR359)),ROUND(INDEX('1-DATA'!$1:$1048576,IF(OR($B361="STD. DEVIATION",$C$1=1),$A361,$A361+1),COLUMN('1-DATA'!AR359)),IF($B361="STD. DEVIATION",2,$F$1))))</f>
        <v/>
      </c>
      <c r="AT361" s="1" t="str">
        <f>IF(OR($B361="",AT$7=""),"",IF($B361="MEANS",INDEX('1-DATA'!$1:$1048576,$A360-1,COLUMN('1-DATA'!AS359)),ROUND(INDEX('1-DATA'!$1:$1048576,IF(OR($B361="STD. DEVIATION",$C$1=1),$A361,$A361+1),COLUMN('1-DATA'!AS359)),IF($B361="STD. DEVIATION",2,$F$1))))</f>
        <v/>
      </c>
      <c r="AU361" s="1" t="str">
        <f>IF(OR($B361="",AU$7=""),"",IF($B361="MEANS",INDEX('1-DATA'!$1:$1048576,$A360-1,COLUMN('1-DATA'!AT359)),ROUND(INDEX('1-DATA'!$1:$1048576,IF(OR($B361="STD. DEVIATION",$C$1=1),$A361,$A361+1),COLUMN('1-DATA'!AT359)),IF($B361="STD. DEVIATION",2,$F$1))))</f>
        <v/>
      </c>
      <c r="AV361" s="1" t="str">
        <f>IF(OR($B361="",AV$7=""),"",IF($B361="MEANS",INDEX('1-DATA'!$1:$1048576,$A360-1,COLUMN('1-DATA'!AU359)),ROUND(INDEX('1-DATA'!$1:$1048576,IF(OR($B361="STD. DEVIATION",$C$1=1),$A361,$A361+1),COLUMN('1-DATA'!AU359)),IF($B361="STD. DEVIATION",2,$F$1))))</f>
        <v/>
      </c>
      <c r="AW361" s="1" t="str">
        <f>IF(OR($B361="",AW$7=""),"",IF($B361="MEANS",INDEX('1-DATA'!$1:$1048576,$A360-1,COLUMN('1-DATA'!AV359)),ROUND(INDEX('1-DATA'!$1:$1048576,IF(OR($B361="STD. DEVIATION",$C$1=1),$A361,$A361+1),COLUMN('1-DATA'!AV359)),IF($B361="STD. DEVIATION",2,$F$1))))</f>
        <v/>
      </c>
      <c r="AX361" s="1" t="str">
        <f>IF(OR($B361="",AX$7=""),"",IF($B361="MEANS",INDEX('1-DATA'!$1:$1048576,$A360-1,COLUMN('1-DATA'!AW359)),ROUND(INDEX('1-DATA'!$1:$1048576,IF(OR($B361="STD. DEVIATION",$C$1=1),$A361,$A361+1),COLUMN('1-DATA'!AW359)),IF($B361="STD. DEVIATION",2,$F$1))))</f>
        <v/>
      </c>
      <c r="AY361" s="1" t="str">
        <f>IF(OR($B361="",AY$7=""),"",IF($B361="MEANS",INDEX('1-DATA'!$1:$1048576,$A360-1,COLUMN('1-DATA'!AX359)),ROUND(INDEX('1-DATA'!$1:$1048576,IF(OR($B361="STD. DEVIATION",$C$1=1),$A361,$A361+1),COLUMN('1-DATA'!AX359)),IF($B361="STD. DEVIATION",2,$F$1))))</f>
        <v/>
      </c>
      <c r="AZ361" s="1" t="str">
        <f>IF(OR($B361="",AZ$7=""),"",IF($B361="MEANS",INDEX('1-DATA'!$1:$1048576,$A360-1,COLUMN('1-DATA'!AY359)),ROUND(INDEX('1-DATA'!$1:$1048576,IF(OR($B361="STD. DEVIATION",$C$1=1),$A361,$A361+1),COLUMN('1-DATA'!AY359)),IF($B361="STD. DEVIATION",2,$F$1))))</f>
        <v/>
      </c>
    </row>
    <row r="362" spans="1:52" x14ac:dyDescent="0.25">
      <c r="A362" s="11">
        <f t="shared" si="6"/>
        <v>1072</v>
      </c>
      <c r="B362" s="1" t="str">
        <f>IF(B361="STD. DEVIATION",INDEX('1-DATA'!$1:$1048576,$A361-1,1),IF(INDEX('1-DATA'!$1:$1048576,$A362,1)&lt;&gt;"",INDEX('1-DATA'!$1:$1048576,$A362,1),""))</f>
        <v/>
      </c>
      <c r="C362" s="1" t="str">
        <f>IF(OR($B362="",C$7=""),"",IF($B362="MEANS",INDEX('1-DATA'!$1:$1048576,$A361-1,COLUMN('1-DATA'!B360)),ROUND(INDEX('1-DATA'!$1:$1048576,IF(OR($B362="STD. DEVIATION",$C$1=1),$A362,$A362+1),COLUMN('1-DATA'!B360)),IF($B362="STD. DEVIATION",2,$F$1))))</f>
        <v/>
      </c>
      <c r="D362" s="1" t="str">
        <f>IF(OR($B362="",D$7=""),"",IF($B362="MEANS",INDEX('1-DATA'!$1:$1048576,$A361-1,COLUMN('1-DATA'!C360)),ROUND(INDEX('1-DATA'!$1:$1048576,IF(OR($B362="STD. DEVIATION",$C$1=1),$A362,$A362+1),COLUMN('1-DATA'!C360)),IF($B362="STD. DEVIATION",2,$F$1))))</f>
        <v/>
      </c>
      <c r="E362" s="1" t="str">
        <f>IF(OR($B362="",E$7=""),"",IF($B362="MEANS",INDEX('1-DATA'!$1:$1048576,$A361-1,COLUMN('1-DATA'!D360)),ROUND(INDEX('1-DATA'!$1:$1048576,IF(OR($B362="STD. DEVIATION",$C$1=1),$A362,$A362+1),COLUMN('1-DATA'!D360)),IF($B362="STD. DEVIATION",2,$F$1))))</f>
        <v/>
      </c>
      <c r="F362" s="1" t="str">
        <f>IF(OR($B362="",F$7=""),"",IF($B362="MEANS",INDEX('1-DATA'!$1:$1048576,$A361-1,COLUMN('1-DATA'!E360)),ROUND(INDEX('1-DATA'!$1:$1048576,IF(OR($B362="STD. DEVIATION",$C$1=1),$A362,$A362+1),COLUMN('1-DATA'!E360)),IF($B362="STD. DEVIATION",2,$F$1))))</f>
        <v/>
      </c>
      <c r="G362" s="1" t="str">
        <f>IF(OR($B362="",G$7=""),"",IF($B362="MEANS",INDEX('1-DATA'!$1:$1048576,$A361-1,COLUMN('1-DATA'!F360)),ROUND(INDEX('1-DATA'!$1:$1048576,IF(OR($B362="STD. DEVIATION",$C$1=1),$A362,$A362+1),COLUMN('1-DATA'!F360)),IF($B362="STD. DEVIATION",2,$F$1))))</f>
        <v/>
      </c>
      <c r="H362" s="1" t="str">
        <f>IF(OR($B362="",H$7=""),"",IF($B362="MEANS",INDEX('1-DATA'!$1:$1048576,$A361-1,COLUMN('1-DATA'!G360)),ROUND(INDEX('1-DATA'!$1:$1048576,IF(OR($B362="STD. DEVIATION",$C$1=1),$A362,$A362+1),COLUMN('1-DATA'!G360)),IF($B362="STD. DEVIATION",2,$F$1))))</f>
        <v/>
      </c>
      <c r="I362" s="1" t="str">
        <f>IF(OR($B362="",I$7=""),"",IF($B362="MEANS",INDEX('1-DATA'!$1:$1048576,$A361-1,COLUMN('1-DATA'!H360)),ROUND(INDEX('1-DATA'!$1:$1048576,IF(OR($B362="STD. DEVIATION",$C$1=1),$A362,$A362+1),COLUMN('1-DATA'!H360)),IF($B362="STD. DEVIATION",2,$F$1))))</f>
        <v/>
      </c>
      <c r="J362" s="1" t="str">
        <f>IF(OR($B362="",J$7=""),"",IF($B362="MEANS",INDEX('1-DATA'!$1:$1048576,$A361-1,COLUMN('1-DATA'!I360)),ROUND(INDEX('1-DATA'!$1:$1048576,IF(OR($B362="STD. DEVIATION",$C$1=1),$A362,$A362+1),COLUMN('1-DATA'!I360)),IF($B362="STD. DEVIATION",2,$F$1))))</f>
        <v/>
      </c>
      <c r="K362" s="1" t="str">
        <f>IF(OR($B362="",K$7=""),"",IF($B362="MEANS",INDEX('1-DATA'!$1:$1048576,$A361-1,COLUMN('1-DATA'!J360)),ROUND(INDEX('1-DATA'!$1:$1048576,IF(OR($B362="STD. DEVIATION",$C$1=1),$A362,$A362+1),COLUMN('1-DATA'!J360)),IF($B362="STD. DEVIATION",2,$F$1))))</f>
        <v/>
      </c>
      <c r="L362" s="1" t="str">
        <f>IF(OR($B362="",L$7=""),"",IF($B362="MEANS",INDEX('1-DATA'!$1:$1048576,$A361-1,COLUMN('1-DATA'!K360)),ROUND(INDEX('1-DATA'!$1:$1048576,IF(OR($B362="STD. DEVIATION",$C$1=1),$A362,$A362+1),COLUMN('1-DATA'!K360)),IF($B362="STD. DEVIATION",2,$F$1))))</f>
        <v/>
      </c>
      <c r="M362" s="1" t="str">
        <f>IF(OR($B362="",M$7=""),"",IF($B362="MEANS",INDEX('1-DATA'!$1:$1048576,$A361-1,COLUMN('1-DATA'!L360)),ROUND(INDEX('1-DATA'!$1:$1048576,IF(OR($B362="STD. DEVIATION",$C$1=1),$A362,$A362+1),COLUMN('1-DATA'!L360)),IF($B362="STD. DEVIATION",2,$F$1))))</f>
        <v/>
      </c>
      <c r="N362" s="1" t="str">
        <f>IF(OR($B362="",N$7=""),"",IF($B362="MEANS",INDEX('1-DATA'!$1:$1048576,$A361-1,COLUMN('1-DATA'!M360)),ROUND(INDEX('1-DATA'!$1:$1048576,IF(OR($B362="STD. DEVIATION",$C$1=1),$A362,$A362+1),COLUMN('1-DATA'!M360)),IF($B362="STD. DEVIATION",2,$F$1))))</f>
        <v/>
      </c>
      <c r="O362" s="1" t="str">
        <f>IF(OR($B362="",O$7=""),"",IF($B362="MEANS",INDEX('1-DATA'!$1:$1048576,$A361-1,COLUMN('1-DATA'!N360)),ROUND(INDEX('1-DATA'!$1:$1048576,IF(OR($B362="STD. DEVIATION",$C$1=1),$A362,$A362+1),COLUMN('1-DATA'!N360)),IF($B362="STD. DEVIATION",2,$F$1))))</f>
        <v/>
      </c>
      <c r="P362" s="1" t="str">
        <f>IF(OR($B362="",P$7=""),"",IF($B362="MEANS",INDEX('1-DATA'!$1:$1048576,$A361-1,COLUMN('1-DATA'!O360)),ROUND(INDEX('1-DATA'!$1:$1048576,IF(OR($B362="STD. DEVIATION",$C$1=1),$A362,$A362+1),COLUMN('1-DATA'!O360)),IF($B362="STD. DEVIATION",2,$F$1))))</f>
        <v/>
      </c>
      <c r="Q362" s="1" t="str">
        <f>IF(OR($B362="",Q$7=""),"",IF($B362="MEANS",INDEX('1-DATA'!$1:$1048576,$A361-1,COLUMN('1-DATA'!P360)),ROUND(INDEX('1-DATA'!$1:$1048576,IF(OR($B362="STD. DEVIATION",$C$1=1),$A362,$A362+1),COLUMN('1-DATA'!P360)),IF($B362="STD. DEVIATION",2,$F$1))))</f>
        <v/>
      </c>
      <c r="R362" s="1" t="str">
        <f>IF(OR($B362="",R$7=""),"",IF($B362="MEANS",INDEX('1-DATA'!$1:$1048576,$A361-1,COLUMN('1-DATA'!Q360)),ROUND(INDEX('1-DATA'!$1:$1048576,IF(OR($B362="STD. DEVIATION",$C$1=1),$A362,$A362+1),COLUMN('1-DATA'!Q360)),IF($B362="STD. DEVIATION",2,$F$1))))</f>
        <v/>
      </c>
      <c r="S362" s="1" t="str">
        <f>IF(OR($B362="",S$7=""),"",IF($B362="MEANS",INDEX('1-DATA'!$1:$1048576,$A361-1,COLUMN('1-DATA'!R360)),ROUND(INDEX('1-DATA'!$1:$1048576,IF(OR($B362="STD. DEVIATION",$C$1=1),$A362,$A362+1),COLUMN('1-DATA'!R360)),IF($B362="STD. DEVIATION",2,$F$1))))</f>
        <v/>
      </c>
      <c r="T362" s="1" t="str">
        <f>IF(OR($B362="",T$7=""),"",IF($B362="MEANS",INDEX('1-DATA'!$1:$1048576,$A361-1,COLUMN('1-DATA'!S360)),ROUND(INDEX('1-DATA'!$1:$1048576,IF(OR($B362="STD. DEVIATION",$C$1=1),$A362,$A362+1),COLUMN('1-DATA'!S360)),IF($B362="STD. DEVIATION",2,$F$1))))</f>
        <v/>
      </c>
      <c r="U362" s="1" t="str">
        <f>IF(OR($B362="",U$7=""),"",IF($B362="MEANS",INDEX('1-DATA'!$1:$1048576,$A361-1,COLUMN('1-DATA'!T360)),ROUND(INDEX('1-DATA'!$1:$1048576,IF(OR($B362="STD. DEVIATION",$C$1=1),$A362,$A362+1),COLUMN('1-DATA'!T360)),IF($B362="STD. DEVIATION",2,$F$1))))</f>
        <v/>
      </c>
      <c r="V362" s="1" t="str">
        <f>IF(OR($B362="",V$7=""),"",IF($B362="MEANS",INDEX('1-DATA'!$1:$1048576,$A361-1,COLUMN('1-DATA'!U360)),ROUND(INDEX('1-DATA'!$1:$1048576,IF(OR($B362="STD. DEVIATION",$C$1=1),$A362,$A362+1),COLUMN('1-DATA'!U360)),IF($B362="STD. DEVIATION",2,$F$1))))</f>
        <v/>
      </c>
      <c r="W362" s="1" t="str">
        <f>IF(OR($B362="",W$7=""),"",IF($B362="MEANS",INDEX('1-DATA'!$1:$1048576,$A361-1,COLUMN('1-DATA'!V360)),ROUND(INDEX('1-DATA'!$1:$1048576,IF(OR($B362="STD. DEVIATION",$C$1=1),$A362,$A362+1),COLUMN('1-DATA'!V360)),IF($B362="STD. DEVIATION",2,$F$1))))</f>
        <v/>
      </c>
      <c r="X362" s="1" t="str">
        <f>IF(OR($B362="",X$7=""),"",IF($B362="MEANS",INDEX('1-DATA'!$1:$1048576,$A361-1,COLUMN('1-DATA'!W360)),ROUND(INDEX('1-DATA'!$1:$1048576,IF(OR($B362="STD. DEVIATION",$C$1=1),$A362,$A362+1),COLUMN('1-DATA'!W360)),IF($B362="STD. DEVIATION",2,$F$1))))</f>
        <v/>
      </c>
      <c r="Y362" s="1" t="str">
        <f>IF(OR($B362="",Y$7=""),"",IF($B362="MEANS",INDEX('1-DATA'!$1:$1048576,$A361-1,COLUMN('1-DATA'!X360)),ROUND(INDEX('1-DATA'!$1:$1048576,IF(OR($B362="STD. DEVIATION",$C$1=1),$A362,$A362+1),COLUMN('1-DATA'!X360)),IF($B362="STD. DEVIATION",2,$F$1))))</f>
        <v/>
      </c>
      <c r="Z362" s="1" t="str">
        <f>IF(OR($B362="",Z$7=""),"",IF($B362="MEANS",INDEX('1-DATA'!$1:$1048576,$A361-1,COLUMN('1-DATA'!Y360)),ROUND(INDEX('1-DATA'!$1:$1048576,IF(OR($B362="STD. DEVIATION",$C$1=1),$A362,$A362+1),COLUMN('1-DATA'!Y360)),IF($B362="STD. DEVIATION",2,$F$1))))</f>
        <v/>
      </c>
      <c r="AA362" s="1" t="str">
        <f>IF(OR($B362="",AA$7=""),"",IF($B362="MEANS",INDEX('1-DATA'!$1:$1048576,$A361-1,COLUMN('1-DATA'!Z360)),ROUND(INDEX('1-DATA'!$1:$1048576,IF(OR($B362="STD. DEVIATION",$C$1=1),$A362,$A362+1),COLUMN('1-DATA'!Z360)),IF($B362="STD. DEVIATION",2,$F$1))))</f>
        <v/>
      </c>
      <c r="AB362" s="1" t="str">
        <f>IF(OR($B362="",AB$7=""),"",IF($B362="MEANS",INDEX('1-DATA'!$1:$1048576,$A361-1,COLUMN('1-DATA'!AA360)),ROUND(INDEX('1-DATA'!$1:$1048576,IF(OR($B362="STD. DEVIATION",$C$1=1),$A362,$A362+1),COLUMN('1-DATA'!AA360)),IF($B362="STD. DEVIATION",2,$F$1))))</f>
        <v/>
      </c>
      <c r="AC362" s="1" t="str">
        <f>IF(OR($B362="",AC$7=""),"",IF($B362="MEANS",INDEX('1-DATA'!$1:$1048576,$A361-1,COLUMN('1-DATA'!AB360)),ROUND(INDEX('1-DATA'!$1:$1048576,IF(OR($B362="STD. DEVIATION",$C$1=1),$A362,$A362+1),COLUMN('1-DATA'!AB360)),IF($B362="STD. DEVIATION",2,$F$1))))</f>
        <v/>
      </c>
      <c r="AD362" s="1" t="str">
        <f>IF(OR($B362="",AD$7=""),"",IF($B362="MEANS",INDEX('1-DATA'!$1:$1048576,$A361-1,COLUMN('1-DATA'!AC360)),ROUND(INDEX('1-DATA'!$1:$1048576,IF(OR($B362="STD. DEVIATION",$C$1=1),$A362,$A362+1),COLUMN('1-DATA'!AC360)),IF($B362="STD. DEVIATION",2,$F$1))))</f>
        <v/>
      </c>
      <c r="AE362" s="1" t="str">
        <f>IF(OR($B362="",AE$7=""),"",IF($B362="MEANS",INDEX('1-DATA'!$1:$1048576,$A361-1,COLUMN('1-DATA'!AD360)),ROUND(INDEX('1-DATA'!$1:$1048576,IF(OR($B362="STD. DEVIATION",$C$1=1),$A362,$A362+1),COLUMN('1-DATA'!AD360)),IF($B362="STD. DEVIATION",2,$F$1))))</f>
        <v/>
      </c>
      <c r="AF362" s="1" t="str">
        <f>IF(OR($B362="",AF$7=""),"",IF($B362="MEANS",INDEX('1-DATA'!$1:$1048576,$A361-1,COLUMN('1-DATA'!AE360)),ROUND(INDEX('1-DATA'!$1:$1048576,IF(OR($B362="STD. DEVIATION",$C$1=1),$A362,$A362+1),COLUMN('1-DATA'!AE360)),IF($B362="STD. DEVIATION",2,$F$1))))</f>
        <v/>
      </c>
      <c r="AG362" s="1" t="str">
        <f>IF(OR($B362="",AG$7=""),"",IF($B362="MEANS",INDEX('1-DATA'!$1:$1048576,$A361-1,COLUMN('1-DATA'!AF360)),ROUND(INDEX('1-DATA'!$1:$1048576,IF(OR($B362="STD. DEVIATION",$C$1=1),$A362,$A362+1),COLUMN('1-DATA'!AF360)),IF($B362="STD. DEVIATION",2,$F$1))))</f>
        <v/>
      </c>
      <c r="AH362" s="1" t="str">
        <f>IF(OR($B362="",AH$7=""),"",IF($B362="MEANS",INDEX('1-DATA'!$1:$1048576,$A361-1,COLUMN('1-DATA'!AG360)),ROUND(INDEX('1-DATA'!$1:$1048576,IF(OR($B362="STD. DEVIATION",$C$1=1),$A362,$A362+1),COLUMN('1-DATA'!AG360)),IF($B362="STD. DEVIATION",2,$F$1))))</f>
        <v/>
      </c>
      <c r="AI362" s="1" t="str">
        <f>IF(OR($B362="",AI$7=""),"",IF($B362="MEANS",INDEX('1-DATA'!$1:$1048576,$A361-1,COLUMN('1-DATA'!AH360)),ROUND(INDEX('1-DATA'!$1:$1048576,IF(OR($B362="STD. DEVIATION",$C$1=1),$A362,$A362+1),COLUMN('1-DATA'!AH360)),IF($B362="STD. DEVIATION",2,$F$1))))</f>
        <v/>
      </c>
      <c r="AJ362" s="1" t="str">
        <f>IF(OR($B362="",AJ$7=""),"",IF($B362="MEANS",INDEX('1-DATA'!$1:$1048576,$A361-1,COLUMN('1-DATA'!AI360)),ROUND(INDEX('1-DATA'!$1:$1048576,IF(OR($B362="STD. DEVIATION",$C$1=1),$A362,$A362+1),COLUMN('1-DATA'!AI360)),IF($B362="STD. DEVIATION",2,$F$1))))</f>
        <v/>
      </c>
      <c r="AK362" s="1" t="str">
        <f>IF(OR($B362="",AK$7=""),"",IF($B362="MEANS",INDEX('1-DATA'!$1:$1048576,$A361-1,COLUMN('1-DATA'!AJ360)),ROUND(INDEX('1-DATA'!$1:$1048576,IF(OR($B362="STD. DEVIATION",$C$1=1),$A362,$A362+1),COLUMN('1-DATA'!AJ360)),IF($B362="STD. DEVIATION",2,$F$1))))</f>
        <v/>
      </c>
      <c r="AL362" s="1" t="str">
        <f>IF(OR($B362="",AL$7=""),"",IF($B362="MEANS",INDEX('1-DATA'!$1:$1048576,$A361-1,COLUMN('1-DATA'!AK360)),ROUND(INDEX('1-DATA'!$1:$1048576,IF(OR($B362="STD. DEVIATION",$C$1=1),$A362,$A362+1),COLUMN('1-DATA'!AK360)),IF($B362="STD. DEVIATION",2,$F$1))))</f>
        <v/>
      </c>
      <c r="AM362" s="1" t="str">
        <f>IF(OR($B362="",AM$7=""),"",IF($B362="MEANS",INDEX('1-DATA'!$1:$1048576,$A361-1,COLUMN('1-DATA'!AL360)),ROUND(INDEX('1-DATA'!$1:$1048576,IF(OR($B362="STD. DEVIATION",$C$1=1),$A362,$A362+1),COLUMN('1-DATA'!AL360)),IF($B362="STD. DEVIATION",2,$F$1))))</f>
        <v/>
      </c>
      <c r="AN362" s="1" t="str">
        <f>IF(OR($B362="",AN$7=""),"",IF($B362="MEANS",INDEX('1-DATA'!$1:$1048576,$A361-1,COLUMN('1-DATA'!AM360)),ROUND(INDEX('1-DATA'!$1:$1048576,IF(OR($B362="STD. DEVIATION",$C$1=1),$A362,$A362+1),COLUMN('1-DATA'!AM360)),IF($B362="STD. DEVIATION",2,$F$1))))</f>
        <v/>
      </c>
      <c r="AO362" s="1" t="str">
        <f>IF(OR($B362="",AO$7=""),"",IF($B362="MEANS",INDEX('1-DATA'!$1:$1048576,$A361-1,COLUMN('1-DATA'!AN360)),ROUND(INDEX('1-DATA'!$1:$1048576,IF(OR($B362="STD. DEVIATION",$C$1=1),$A362,$A362+1),COLUMN('1-DATA'!AN360)),IF($B362="STD. DEVIATION",2,$F$1))))</f>
        <v/>
      </c>
      <c r="AP362" s="1" t="str">
        <f>IF(OR($B362="",AP$7=""),"",IF($B362="MEANS",INDEX('1-DATA'!$1:$1048576,$A361-1,COLUMN('1-DATA'!AO360)),ROUND(INDEX('1-DATA'!$1:$1048576,IF(OR($B362="STD. DEVIATION",$C$1=1),$A362,$A362+1),COLUMN('1-DATA'!AO360)),IF($B362="STD. DEVIATION",2,$F$1))))</f>
        <v/>
      </c>
      <c r="AQ362" s="1" t="str">
        <f>IF(OR($B362="",AQ$7=""),"",IF($B362="MEANS",INDEX('1-DATA'!$1:$1048576,$A361-1,COLUMN('1-DATA'!AP360)),ROUND(INDEX('1-DATA'!$1:$1048576,IF(OR($B362="STD. DEVIATION",$C$1=1),$A362,$A362+1),COLUMN('1-DATA'!AP360)),IF($B362="STD. DEVIATION",2,$F$1))))</f>
        <v/>
      </c>
      <c r="AR362" s="1" t="str">
        <f>IF(OR($B362="",AR$7=""),"",IF($B362="MEANS",INDEX('1-DATA'!$1:$1048576,$A361-1,COLUMN('1-DATA'!AQ360)),ROUND(INDEX('1-DATA'!$1:$1048576,IF(OR($B362="STD. DEVIATION",$C$1=1),$A362,$A362+1),COLUMN('1-DATA'!AQ360)),IF($B362="STD. DEVIATION",2,$F$1))))</f>
        <v/>
      </c>
      <c r="AS362" s="1" t="str">
        <f>IF(OR($B362="",AS$7=""),"",IF($B362="MEANS",INDEX('1-DATA'!$1:$1048576,$A361-1,COLUMN('1-DATA'!AR360)),ROUND(INDEX('1-DATA'!$1:$1048576,IF(OR($B362="STD. DEVIATION",$C$1=1),$A362,$A362+1),COLUMN('1-DATA'!AR360)),IF($B362="STD. DEVIATION",2,$F$1))))</f>
        <v/>
      </c>
      <c r="AT362" s="1" t="str">
        <f>IF(OR($B362="",AT$7=""),"",IF($B362="MEANS",INDEX('1-DATA'!$1:$1048576,$A361-1,COLUMN('1-DATA'!AS360)),ROUND(INDEX('1-DATA'!$1:$1048576,IF(OR($B362="STD. DEVIATION",$C$1=1),$A362,$A362+1),COLUMN('1-DATA'!AS360)),IF($B362="STD. DEVIATION",2,$F$1))))</f>
        <v/>
      </c>
      <c r="AU362" s="1" t="str">
        <f>IF(OR($B362="",AU$7=""),"",IF($B362="MEANS",INDEX('1-DATA'!$1:$1048576,$A361-1,COLUMN('1-DATA'!AT360)),ROUND(INDEX('1-DATA'!$1:$1048576,IF(OR($B362="STD. DEVIATION",$C$1=1),$A362,$A362+1),COLUMN('1-DATA'!AT360)),IF($B362="STD. DEVIATION",2,$F$1))))</f>
        <v/>
      </c>
      <c r="AV362" s="1" t="str">
        <f>IF(OR($B362="",AV$7=""),"",IF($B362="MEANS",INDEX('1-DATA'!$1:$1048576,$A361-1,COLUMN('1-DATA'!AU360)),ROUND(INDEX('1-DATA'!$1:$1048576,IF(OR($B362="STD. DEVIATION",$C$1=1),$A362,$A362+1),COLUMN('1-DATA'!AU360)),IF($B362="STD. DEVIATION",2,$F$1))))</f>
        <v/>
      </c>
      <c r="AW362" s="1" t="str">
        <f>IF(OR($B362="",AW$7=""),"",IF($B362="MEANS",INDEX('1-DATA'!$1:$1048576,$A361-1,COLUMN('1-DATA'!AV360)),ROUND(INDEX('1-DATA'!$1:$1048576,IF(OR($B362="STD. DEVIATION",$C$1=1),$A362,$A362+1),COLUMN('1-DATA'!AV360)),IF($B362="STD. DEVIATION",2,$F$1))))</f>
        <v/>
      </c>
      <c r="AX362" s="1" t="str">
        <f>IF(OR($B362="",AX$7=""),"",IF($B362="MEANS",INDEX('1-DATA'!$1:$1048576,$A361-1,COLUMN('1-DATA'!AW360)),ROUND(INDEX('1-DATA'!$1:$1048576,IF(OR($B362="STD. DEVIATION",$C$1=1),$A362,$A362+1),COLUMN('1-DATA'!AW360)),IF($B362="STD. DEVIATION",2,$F$1))))</f>
        <v/>
      </c>
      <c r="AY362" s="1" t="str">
        <f>IF(OR($B362="",AY$7=""),"",IF($B362="MEANS",INDEX('1-DATA'!$1:$1048576,$A361-1,COLUMN('1-DATA'!AX360)),ROUND(INDEX('1-DATA'!$1:$1048576,IF(OR($B362="STD. DEVIATION",$C$1=1),$A362,$A362+1),COLUMN('1-DATA'!AX360)),IF($B362="STD. DEVIATION",2,$F$1))))</f>
        <v/>
      </c>
      <c r="AZ362" s="1" t="str">
        <f>IF(OR($B362="",AZ$7=""),"",IF($B362="MEANS",INDEX('1-DATA'!$1:$1048576,$A361-1,COLUMN('1-DATA'!AY360)),ROUND(INDEX('1-DATA'!$1:$1048576,IF(OR($B362="STD. DEVIATION",$C$1=1),$A362,$A362+1),COLUMN('1-DATA'!AY360)),IF($B362="STD. DEVIATION",2,$F$1))))</f>
        <v/>
      </c>
    </row>
    <row r="363" spans="1:52" x14ac:dyDescent="0.25">
      <c r="A363" s="11">
        <f t="shared" si="6"/>
        <v>1075</v>
      </c>
      <c r="B363" s="1" t="str">
        <f>IF(B362="STD. DEVIATION",INDEX('1-DATA'!$1:$1048576,$A362-1,1),IF(INDEX('1-DATA'!$1:$1048576,$A363,1)&lt;&gt;"",INDEX('1-DATA'!$1:$1048576,$A363,1),""))</f>
        <v/>
      </c>
      <c r="C363" s="1" t="str">
        <f>IF(OR($B363="",C$7=""),"",IF($B363="MEANS",INDEX('1-DATA'!$1:$1048576,$A362-1,COLUMN('1-DATA'!B361)),ROUND(INDEX('1-DATA'!$1:$1048576,IF(OR($B363="STD. DEVIATION",$C$1=1),$A363,$A363+1),COLUMN('1-DATA'!B361)),IF($B363="STD. DEVIATION",2,$F$1))))</f>
        <v/>
      </c>
      <c r="D363" s="1" t="str">
        <f>IF(OR($B363="",D$7=""),"",IF($B363="MEANS",INDEX('1-DATA'!$1:$1048576,$A362-1,COLUMN('1-DATA'!C361)),ROUND(INDEX('1-DATA'!$1:$1048576,IF(OR($B363="STD. DEVIATION",$C$1=1),$A363,$A363+1),COLUMN('1-DATA'!C361)),IF($B363="STD. DEVIATION",2,$F$1))))</f>
        <v/>
      </c>
      <c r="E363" s="1" t="str">
        <f>IF(OR($B363="",E$7=""),"",IF($B363="MEANS",INDEX('1-DATA'!$1:$1048576,$A362-1,COLUMN('1-DATA'!D361)),ROUND(INDEX('1-DATA'!$1:$1048576,IF(OR($B363="STD. DEVIATION",$C$1=1),$A363,$A363+1),COLUMN('1-DATA'!D361)),IF($B363="STD. DEVIATION",2,$F$1))))</f>
        <v/>
      </c>
      <c r="F363" s="1" t="str">
        <f>IF(OR($B363="",F$7=""),"",IF($B363="MEANS",INDEX('1-DATA'!$1:$1048576,$A362-1,COLUMN('1-DATA'!E361)),ROUND(INDEX('1-DATA'!$1:$1048576,IF(OR($B363="STD. DEVIATION",$C$1=1),$A363,$A363+1),COLUMN('1-DATA'!E361)),IF($B363="STD. DEVIATION",2,$F$1))))</f>
        <v/>
      </c>
      <c r="G363" s="1" t="str">
        <f>IF(OR($B363="",G$7=""),"",IF($B363="MEANS",INDEX('1-DATA'!$1:$1048576,$A362-1,COLUMN('1-DATA'!F361)),ROUND(INDEX('1-DATA'!$1:$1048576,IF(OR($B363="STD. DEVIATION",$C$1=1),$A363,$A363+1),COLUMN('1-DATA'!F361)),IF($B363="STD. DEVIATION",2,$F$1))))</f>
        <v/>
      </c>
      <c r="H363" s="1" t="str">
        <f>IF(OR($B363="",H$7=""),"",IF($B363="MEANS",INDEX('1-DATA'!$1:$1048576,$A362-1,COLUMN('1-DATA'!G361)),ROUND(INDEX('1-DATA'!$1:$1048576,IF(OR($B363="STD. DEVIATION",$C$1=1),$A363,$A363+1),COLUMN('1-DATA'!G361)),IF($B363="STD. DEVIATION",2,$F$1))))</f>
        <v/>
      </c>
      <c r="I363" s="1" t="str">
        <f>IF(OR($B363="",I$7=""),"",IF($B363="MEANS",INDEX('1-DATA'!$1:$1048576,$A362-1,COLUMN('1-DATA'!H361)),ROUND(INDEX('1-DATA'!$1:$1048576,IF(OR($B363="STD. DEVIATION",$C$1=1),$A363,$A363+1),COLUMN('1-DATA'!H361)),IF($B363="STD. DEVIATION",2,$F$1))))</f>
        <v/>
      </c>
      <c r="J363" s="1" t="str">
        <f>IF(OR($B363="",J$7=""),"",IF($B363="MEANS",INDEX('1-DATA'!$1:$1048576,$A362-1,COLUMN('1-DATA'!I361)),ROUND(INDEX('1-DATA'!$1:$1048576,IF(OR($B363="STD. DEVIATION",$C$1=1),$A363,$A363+1),COLUMN('1-DATA'!I361)),IF($B363="STD. DEVIATION",2,$F$1))))</f>
        <v/>
      </c>
      <c r="K363" s="1" t="str">
        <f>IF(OR($B363="",K$7=""),"",IF($B363="MEANS",INDEX('1-DATA'!$1:$1048576,$A362-1,COLUMN('1-DATA'!J361)),ROUND(INDEX('1-DATA'!$1:$1048576,IF(OR($B363="STD. DEVIATION",$C$1=1),$A363,$A363+1),COLUMN('1-DATA'!J361)),IF($B363="STD. DEVIATION",2,$F$1))))</f>
        <v/>
      </c>
      <c r="L363" s="1" t="str">
        <f>IF(OR($B363="",L$7=""),"",IF($B363="MEANS",INDEX('1-DATA'!$1:$1048576,$A362-1,COLUMN('1-DATA'!K361)),ROUND(INDEX('1-DATA'!$1:$1048576,IF(OR($B363="STD. DEVIATION",$C$1=1),$A363,$A363+1),COLUMN('1-DATA'!K361)),IF($B363="STD. DEVIATION",2,$F$1))))</f>
        <v/>
      </c>
      <c r="M363" s="1" t="str">
        <f>IF(OR($B363="",M$7=""),"",IF($B363="MEANS",INDEX('1-DATA'!$1:$1048576,$A362-1,COLUMN('1-DATA'!L361)),ROUND(INDEX('1-DATA'!$1:$1048576,IF(OR($B363="STD. DEVIATION",$C$1=1),$A363,$A363+1),COLUMN('1-DATA'!L361)),IF($B363="STD. DEVIATION",2,$F$1))))</f>
        <v/>
      </c>
      <c r="N363" s="1" t="str">
        <f>IF(OR($B363="",N$7=""),"",IF($B363="MEANS",INDEX('1-DATA'!$1:$1048576,$A362-1,COLUMN('1-DATA'!M361)),ROUND(INDEX('1-DATA'!$1:$1048576,IF(OR($B363="STD. DEVIATION",$C$1=1),$A363,$A363+1),COLUMN('1-DATA'!M361)),IF($B363="STD. DEVIATION",2,$F$1))))</f>
        <v/>
      </c>
      <c r="O363" s="1" t="str">
        <f>IF(OR($B363="",O$7=""),"",IF($B363="MEANS",INDEX('1-DATA'!$1:$1048576,$A362-1,COLUMN('1-DATA'!N361)),ROUND(INDEX('1-DATA'!$1:$1048576,IF(OR($B363="STD. DEVIATION",$C$1=1),$A363,$A363+1),COLUMN('1-DATA'!N361)),IF($B363="STD. DEVIATION",2,$F$1))))</f>
        <v/>
      </c>
      <c r="P363" s="1" t="str">
        <f>IF(OR($B363="",P$7=""),"",IF($B363="MEANS",INDEX('1-DATA'!$1:$1048576,$A362-1,COLUMN('1-DATA'!O361)),ROUND(INDEX('1-DATA'!$1:$1048576,IF(OR($B363="STD. DEVIATION",$C$1=1),$A363,$A363+1),COLUMN('1-DATA'!O361)),IF($B363="STD. DEVIATION",2,$F$1))))</f>
        <v/>
      </c>
      <c r="Q363" s="1" t="str">
        <f>IF(OR($B363="",Q$7=""),"",IF($B363="MEANS",INDEX('1-DATA'!$1:$1048576,$A362-1,COLUMN('1-DATA'!P361)),ROUND(INDEX('1-DATA'!$1:$1048576,IF(OR($B363="STD. DEVIATION",$C$1=1),$A363,$A363+1),COLUMN('1-DATA'!P361)),IF($B363="STD. DEVIATION",2,$F$1))))</f>
        <v/>
      </c>
      <c r="R363" s="1" t="str">
        <f>IF(OR($B363="",R$7=""),"",IF($B363="MEANS",INDEX('1-DATA'!$1:$1048576,$A362-1,COLUMN('1-DATA'!Q361)),ROUND(INDEX('1-DATA'!$1:$1048576,IF(OR($B363="STD. DEVIATION",$C$1=1),$A363,$A363+1),COLUMN('1-DATA'!Q361)),IF($B363="STD. DEVIATION",2,$F$1))))</f>
        <v/>
      </c>
      <c r="S363" s="1" t="str">
        <f>IF(OR($B363="",S$7=""),"",IF($B363="MEANS",INDEX('1-DATA'!$1:$1048576,$A362-1,COLUMN('1-DATA'!R361)),ROUND(INDEX('1-DATA'!$1:$1048576,IF(OR($B363="STD. DEVIATION",$C$1=1),$A363,$A363+1),COLUMN('1-DATA'!R361)),IF($B363="STD. DEVIATION",2,$F$1))))</f>
        <v/>
      </c>
      <c r="T363" s="1" t="str">
        <f>IF(OR($B363="",T$7=""),"",IF($B363="MEANS",INDEX('1-DATA'!$1:$1048576,$A362-1,COLUMN('1-DATA'!S361)),ROUND(INDEX('1-DATA'!$1:$1048576,IF(OR($B363="STD. DEVIATION",$C$1=1),$A363,$A363+1),COLUMN('1-DATA'!S361)),IF($B363="STD. DEVIATION",2,$F$1))))</f>
        <v/>
      </c>
      <c r="U363" s="1" t="str">
        <f>IF(OR($B363="",U$7=""),"",IF($B363="MEANS",INDEX('1-DATA'!$1:$1048576,$A362-1,COLUMN('1-DATA'!T361)),ROUND(INDEX('1-DATA'!$1:$1048576,IF(OR($B363="STD. DEVIATION",$C$1=1),$A363,$A363+1),COLUMN('1-DATA'!T361)),IF($B363="STD. DEVIATION",2,$F$1))))</f>
        <v/>
      </c>
      <c r="V363" s="1" t="str">
        <f>IF(OR($B363="",V$7=""),"",IF($B363="MEANS",INDEX('1-DATA'!$1:$1048576,$A362-1,COLUMN('1-DATA'!U361)),ROUND(INDEX('1-DATA'!$1:$1048576,IF(OR($B363="STD. DEVIATION",$C$1=1),$A363,$A363+1),COLUMN('1-DATA'!U361)),IF($B363="STD. DEVIATION",2,$F$1))))</f>
        <v/>
      </c>
      <c r="W363" s="1" t="str">
        <f>IF(OR($B363="",W$7=""),"",IF($B363="MEANS",INDEX('1-DATA'!$1:$1048576,$A362-1,COLUMN('1-DATA'!V361)),ROUND(INDEX('1-DATA'!$1:$1048576,IF(OR($B363="STD. DEVIATION",$C$1=1),$A363,$A363+1),COLUMN('1-DATA'!V361)),IF($B363="STD. DEVIATION",2,$F$1))))</f>
        <v/>
      </c>
      <c r="X363" s="1" t="str">
        <f>IF(OR($B363="",X$7=""),"",IF($B363="MEANS",INDEX('1-DATA'!$1:$1048576,$A362-1,COLUMN('1-DATA'!W361)),ROUND(INDEX('1-DATA'!$1:$1048576,IF(OR($B363="STD. DEVIATION",$C$1=1),$A363,$A363+1),COLUMN('1-DATA'!W361)),IF($B363="STD. DEVIATION",2,$F$1))))</f>
        <v/>
      </c>
      <c r="Y363" s="1" t="str">
        <f>IF(OR($B363="",Y$7=""),"",IF($B363="MEANS",INDEX('1-DATA'!$1:$1048576,$A362-1,COLUMN('1-DATA'!X361)),ROUND(INDEX('1-DATA'!$1:$1048576,IF(OR($B363="STD. DEVIATION",$C$1=1),$A363,$A363+1),COLUMN('1-DATA'!X361)),IF($B363="STD. DEVIATION",2,$F$1))))</f>
        <v/>
      </c>
      <c r="Z363" s="1" t="str">
        <f>IF(OR($B363="",Z$7=""),"",IF($B363="MEANS",INDEX('1-DATA'!$1:$1048576,$A362-1,COLUMN('1-DATA'!Y361)),ROUND(INDEX('1-DATA'!$1:$1048576,IF(OR($B363="STD. DEVIATION",$C$1=1),$A363,$A363+1),COLUMN('1-DATA'!Y361)),IF($B363="STD. DEVIATION",2,$F$1))))</f>
        <v/>
      </c>
      <c r="AA363" s="1" t="str">
        <f>IF(OR($B363="",AA$7=""),"",IF($B363="MEANS",INDEX('1-DATA'!$1:$1048576,$A362-1,COLUMN('1-DATA'!Z361)),ROUND(INDEX('1-DATA'!$1:$1048576,IF(OR($B363="STD. DEVIATION",$C$1=1),$A363,$A363+1),COLUMN('1-DATA'!Z361)),IF($B363="STD. DEVIATION",2,$F$1))))</f>
        <v/>
      </c>
      <c r="AB363" s="1" t="str">
        <f>IF(OR($B363="",AB$7=""),"",IF($B363="MEANS",INDEX('1-DATA'!$1:$1048576,$A362-1,COLUMN('1-DATA'!AA361)),ROUND(INDEX('1-DATA'!$1:$1048576,IF(OR($B363="STD. DEVIATION",$C$1=1),$A363,$A363+1),COLUMN('1-DATA'!AA361)),IF($B363="STD. DEVIATION",2,$F$1))))</f>
        <v/>
      </c>
      <c r="AC363" s="1" t="str">
        <f>IF(OR($B363="",AC$7=""),"",IF($B363="MEANS",INDEX('1-DATA'!$1:$1048576,$A362-1,COLUMN('1-DATA'!AB361)),ROUND(INDEX('1-DATA'!$1:$1048576,IF(OR($B363="STD. DEVIATION",$C$1=1),$A363,$A363+1),COLUMN('1-DATA'!AB361)),IF($B363="STD. DEVIATION",2,$F$1))))</f>
        <v/>
      </c>
      <c r="AD363" s="1" t="str">
        <f>IF(OR($B363="",AD$7=""),"",IF($B363="MEANS",INDEX('1-DATA'!$1:$1048576,$A362-1,COLUMN('1-DATA'!AC361)),ROUND(INDEX('1-DATA'!$1:$1048576,IF(OR($B363="STD. DEVIATION",$C$1=1),$A363,$A363+1),COLUMN('1-DATA'!AC361)),IF($B363="STD. DEVIATION",2,$F$1))))</f>
        <v/>
      </c>
      <c r="AE363" s="1" t="str">
        <f>IF(OR($B363="",AE$7=""),"",IF($B363="MEANS",INDEX('1-DATA'!$1:$1048576,$A362-1,COLUMN('1-DATA'!AD361)),ROUND(INDEX('1-DATA'!$1:$1048576,IF(OR($B363="STD. DEVIATION",$C$1=1),$A363,$A363+1),COLUMN('1-DATA'!AD361)),IF($B363="STD. DEVIATION",2,$F$1))))</f>
        <v/>
      </c>
      <c r="AF363" s="1" t="str">
        <f>IF(OR($B363="",AF$7=""),"",IF($B363="MEANS",INDEX('1-DATA'!$1:$1048576,$A362-1,COLUMN('1-DATA'!AE361)),ROUND(INDEX('1-DATA'!$1:$1048576,IF(OR($B363="STD. DEVIATION",$C$1=1),$A363,$A363+1),COLUMN('1-DATA'!AE361)),IF($B363="STD. DEVIATION",2,$F$1))))</f>
        <v/>
      </c>
      <c r="AG363" s="1" t="str">
        <f>IF(OR($B363="",AG$7=""),"",IF($B363="MEANS",INDEX('1-DATA'!$1:$1048576,$A362-1,COLUMN('1-DATA'!AF361)),ROUND(INDEX('1-DATA'!$1:$1048576,IF(OR($B363="STD. DEVIATION",$C$1=1),$A363,$A363+1),COLUMN('1-DATA'!AF361)),IF($B363="STD. DEVIATION",2,$F$1))))</f>
        <v/>
      </c>
      <c r="AH363" s="1" t="str">
        <f>IF(OR($B363="",AH$7=""),"",IF($B363="MEANS",INDEX('1-DATA'!$1:$1048576,$A362-1,COLUMN('1-DATA'!AG361)),ROUND(INDEX('1-DATA'!$1:$1048576,IF(OR($B363="STD. DEVIATION",$C$1=1),$A363,$A363+1),COLUMN('1-DATA'!AG361)),IF($B363="STD. DEVIATION",2,$F$1))))</f>
        <v/>
      </c>
      <c r="AI363" s="1" t="str">
        <f>IF(OR($B363="",AI$7=""),"",IF($B363="MEANS",INDEX('1-DATA'!$1:$1048576,$A362-1,COLUMN('1-DATA'!AH361)),ROUND(INDEX('1-DATA'!$1:$1048576,IF(OR($B363="STD. DEVIATION",$C$1=1),$A363,$A363+1),COLUMN('1-DATA'!AH361)),IF($B363="STD. DEVIATION",2,$F$1))))</f>
        <v/>
      </c>
      <c r="AJ363" s="1" t="str">
        <f>IF(OR($B363="",AJ$7=""),"",IF($B363="MEANS",INDEX('1-DATA'!$1:$1048576,$A362-1,COLUMN('1-DATA'!AI361)),ROUND(INDEX('1-DATA'!$1:$1048576,IF(OR($B363="STD. DEVIATION",$C$1=1),$A363,$A363+1),COLUMN('1-DATA'!AI361)),IF($B363="STD. DEVIATION",2,$F$1))))</f>
        <v/>
      </c>
      <c r="AK363" s="1" t="str">
        <f>IF(OR($B363="",AK$7=""),"",IF($B363="MEANS",INDEX('1-DATA'!$1:$1048576,$A362-1,COLUMN('1-DATA'!AJ361)),ROUND(INDEX('1-DATA'!$1:$1048576,IF(OR($B363="STD. DEVIATION",$C$1=1),$A363,$A363+1),COLUMN('1-DATA'!AJ361)),IF($B363="STD. DEVIATION",2,$F$1))))</f>
        <v/>
      </c>
      <c r="AL363" s="1" t="str">
        <f>IF(OR($B363="",AL$7=""),"",IF($B363="MEANS",INDEX('1-DATA'!$1:$1048576,$A362-1,COLUMN('1-DATA'!AK361)),ROUND(INDEX('1-DATA'!$1:$1048576,IF(OR($B363="STD. DEVIATION",$C$1=1),$A363,$A363+1),COLUMN('1-DATA'!AK361)),IF($B363="STD. DEVIATION",2,$F$1))))</f>
        <v/>
      </c>
      <c r="AM363" s="1" t="str">
        <f>IF(OR($B363="",AM$7=""),"",IF($B363="MEANS",INDEX('1-DATA'!$1:$1048576,$A362-1,COLUMN('1-DATA'!AL361)),ROUND(INDEX('1-DATA'!$1:$1048576,IF(OR($B363="STD. DEVIATION",$C$1=1),$A363,$A363+1),COLUMN('1-DATA'!AL361)),IF($B363="STD. DEVIATION",2,$F$1))))</f>
        <v/>
      </c>
      <c r="AN363" s="1" t="str">
        <f>IF(OR($B363="",AN$7=""),"",IF($B363="MEANS",INDEX('1-DATA'!$1:$1048576,$A362-1,COLUMN('1-DATA'!AM361)),ROUND(INDEX('1-DATA'!$1:$1048576,IF(OR($B363="STD. DEVIATION",$C$1=1),$A363,$A363+1),COLUMN('1-DATA'!AM361)),IF($B363="STD. DEVIATION",2,$F$1))))</f>
        <v/>
      </c>
      <c r="AO363" s="1" t="str">
        <f>IF(OR($B363="",AO$7=""),"",IF($B363="MEANS",INDEX('1-DATA'!$1:$1048576,$A362-1,COLUMN('1-DATA'!AN361)),ROUND(INDEX('1-DATA'!$1:$1048576,IF(OR($B363="STD. DEVIATION",$C$1=1),$A363,$A363+1),COLUMN('1-DATA'!AN361)),IF($B363="STD. DEVIATION",2,$F$1))))</f>
        <v/>
      </c>
      <c r="AP363" s="1" t="str">
        <f>IF(OR($B363="",AP$7=""),"",IF($B363="MEANS",INDEX('1-DATA'!$1:$1048576,$A362-1,COLUMN('1-DATA'!AO361)),ROUND(INDEX('1-DATA'!$1:$1048576,IF(OR($B363="STD. DEVIATION",$C$1=1),$A363,$A363+1),COLUMN('1-DATA'!AO361)),IF($B363="STD. DEVIATION",2,$F$1))))</f>
        <v/>
      </c>
      <c r="AQ363" s="1" t="str">
        <f>IF(OR($B363="",AQ$7=""),"",IF($B363="MEANS",INDEX('1-DATA'!$1:$1048576,$A362-1,COLUMN('1-DATA'!AP361)),ROUND(INDEX('1-DATA'!$1:$1048576,IF(OR($B363="STD. DEVIATION",$C$1=1),$A363,$A363+1),COLUMN('1-DATA'!AP361)),IF($B363="STD. DEVIATION",2,$F$1))))</f>
        <v/>
      </c>
      <c r="AR363" s="1" t="str">
        <f>IF(OR($B363="",AR$7=""),"",IF($B363="MEANS",INDEX('1-DATA'!$1:$1048576,$A362-1,COLUMN('1-DATA'!AQ361)),ROUND(INDEX('1-DATA'!$1:$1048576,IF(OR($B363="STD. DEVIATION",$C$1=1),$A363,$A363+1),COLUMN('1-DATA'!AQ361)),IF($B363="STD. DEVIATION",2,$F$1))))</f>
        <v/>
      </c>
      <c r="AS363" s="1" t="str">
        <f>IF(OR($B363="",AS$7=""),"",IF($B363="MEANS",INDEX('1-DATA'!$1:$1048576,$A362-1,COLUMN('1-DATA'!AR361)),ROUND(INDEX('1-DATA'!$1:$1048576,IF(OR($B363="STD. DEVIATION",$C$1=1),$A363,$A363+1),COLUMN('1-DATA'!AR361)),IF($B363="STD. DEVIATION",2,$F$1))))</f>
        <v/>
      </c>
      <c r="AT363" s="1" t="str">
        <f>IF(OR($B363="",AT$7=""),"",IF($B363="MEANS",INDEX('1-DATA'!$1:$1048576,$A362-1,COLUMN('1-DATA'!AS361)),ROUND(INDEX('1-DATA'!$1:$1048576,IF(OR($B363="STD. DEVIATION",$C$1=1),$A363,$A363+1),COLUMN('1-DATA'!AS361)),IF($B363="STD. DEVIATION",2,$F$1))))</f>
        <v/>
      </c>
      <c r="AU363" s="1" t="str">
        <f>IF(OR($B363="",AU$7=""),"",IF($B363="MEANS",INDEX('1-DATA'!$1:$1048576,$A362-1,COLUMN('1-DATA'!AT361)),ROUND(INDEX('1-DATA'!$1:$1048576,IF(OR($B363="STD. DEVIATION",$C$1=1),$A363,$A363+1),COLUMN('1-DATA'!AT361)),IF($B363="STD. DEVIATION",2,$F$1))))</f>
        <v/>
      </c>
      <c r="AV363" s="1" t="str">
        <f>IF(OR($B363="",AV$7=""),"",IF($B363="MEANS",INDEX('1-DATA'!$1:$1048576,$A362-1,COLUMN('1-DATA'!AU361)),ROUND(INDEX('1-DATA'!$1:$1048576,IF(OR($B363="STD. DEVIATION",$C$1=1),$A363,$A363+1),COLUMN('1-DATA'!AU361)),IF($B363="STD. DEVIATION",2,$F$1))))</f>
        <v/>
      </c>
      <c r="AW363" s="1" t="str">
        <f>IF(OR($B363="",AW$7=""),"",IF($B363="MEANS",INDEX('1-DATA'!$1:$1048576,$A362-1,COLUMN('1-DATA'!AV361)),ROUND(INDEX('1-DATA'!$1:$1048576,IF(OR($B363="STD. DEVIATION",$C$1=1),$A363,$A363+1),COLUMN('1-DATA'!AV361)),IF($B363="STD. DEVIATION",2,$F$1))))</f>
        <v/>
      </c>
      <c r="AX363" s="1" t="str">
        <f>IF(OR($B363="",AX$7=""),"",IF($B363="MEANS",INDEX('1-DATA'!$1:$1048576,$A362-1,COLUMN('1-DATA'!AW361)),ROUND(INDEX('1-DATA'!$1:$1048576,IF(OR($B363="STD. DEVIATION",$C$1=1),$A363,$A363+1),COLUMN('1-DATA'!AW361)),IF($B363="STD. DEVIATION",2,$F$1))))</f>
        <v/>
      </c>
      <c r="AY363" s="1" t="str">
        <f>IF(OR($B363="",AY$7=""),"",IF($B363="MEANS",INDEX('1-DATA'!$1:$1048576,$A362-1,COLUMN('1-DATA'!AX361)),ROUND(INDEX('1-DATA'!$1:$1048576,IF(OR($B363="STD. DEVIATION",$C$1=1),$A363,$A363+1),COLUMN('1-DATA'!AX361)),IF($B363="STD. DEVIATION",2,$F$1))))</f>
        <v/>
      </c>
      <c r="AZ363" s="1" t="str">
        <f>IF(OR($B363="",AZ$7=""),"",IF($B363="MEANS",INDEX('1-DATA'!$1:$1048576,$A362-1,COLUMN('1-DATA'!AY361)),ROUND(INDEX('1-DATA'!$1:$1048576,IF(OR($B363="STD. DEVIATION",$C$1=1),$A363,$A363+1),COLUMN('1-DATA'!AY361)),IF($B363="STD. DEVIATION",2,$F$1))))</f>
        <v/>
      </c>
    </row>
    <row r="364" spans="1:52" x14ac:dyDescent="0.25">
      <c r="A364" s="11">
        <f t="shared" si="6"/>
        <v>1078</v>
      </c>
      <c r="B364" s="1" t="str">
        <f>IF(B363="STD. DEVIATION",INDEX('1-DATA'!$1:$1048576,$A363-1,1),IF(INDEX('1-DATA'!$1:$1048576,$A364,1)&lt;&gt;"",INDEX('1-DATA'!$1:$1048576,$A364,1),""))</f>
        <v/>
      </c>
      <c r="C364" s="1" t="str">
        <f>IF(OR($B364="",C$7=""),"",IF($B364="MEANS",INDEX('1-DATA'!$1:$1048576,$A363-1,COLUMN('1-DATA'!B362)),ROUND(INDEX('1-DATA'!$1:$1048576,IF(OR($B364="STD. DEVIATION",$C$1=1),$A364,$A364+1),COLUMN('1-DATA'!B362)),IF($B364="STD. DEVIATION",2,$F$1))))</f>
        <v/>
      </c>
      <c r="D364" s="1" t="str">
        <f>IF(OR($B364="",D$7=""),"",IF($B364="MEANS",INDEX('1-DATA'!$1:$1048576,$A363-1,COLUMN('1-DATA'!C362)),ROUND(INDEX('1-DATA'!$1:$1048576,IF(OR($B364="STD. DEVIATION",$C$1=1),$A364,$A364+1),COLUMN('1-DATA'!C362)),IF($B364="STD. DEVIATION",2,$F$1))))</f>
        <v/>
      </c>
      <c r="E364" s="1" t="str">
        <f>IF(OR($B364="",E$7=""),"",IF($B364="MEANS",INDEX('1-DATA'!$1:$1048576,$A363-1,COLUMN('1-DATA'!D362)),ROUND(INDEX('1-DATA'!$1:$1048576,IF(OR($B364="STD. DEVIATION",$C$1=1),$A364,$A364+1),COLUMN('1-DATA'!D362)),IF($B364="STD. DEVIATION",2,$F$1))))</f>
        <v/>
      </c>
      <c r="F364" s="1" t="str">
        <f>IF(OR($B364="",F$7=""),"",IF($B364="MEANS",INDEX('1-DATA'!$1:$1048576,$A363-1,COLUMN('1-DATA'!E362)),ROUND(INDEX('1-DATA'!$1:$1048576,IF(OR($B364="STD. DEVIATION",$C$1=1),$A364,$A364+1),COLUMN('1-DATA'!E362)),IF($B364="STD. DEVIATION",2,$F$1))))</f>
        <v/>
      </c>
      <c r="G364" s="1" t="str">
        <f>IF(OR($B364="",G$7=""),"",IF($B364="MEANS",INDEX('1-DATA'!$1:$1048576,$A363-1,COLUMN('1-DATA'!F362)),ROUND(INDEX('1-DATA'!$1:$1048576,IF(OR($B364="STD. DEVIATION",$C$1=1),$A364,$A364+1),COLUMN('1-DATA'!F362)),IF($B364="STD. DEVIATION",2,$F$1))))</f>
        <v/>
      </c>
      <c r="H364" s="1" t="str">
        <f>IF(OR($B364="",H$7=""),"",IF($B364="MEANS",INDEX('1-DATA'!$1:$1048576,$A363-1,COLUMN('1-DATA'!G362)),ROUND(INDEX('1-DATA'!$1:$1048576,IF(OR($B364="STD. DEVIATION",$C$1=1),$A364,$A364+1),COLUMN('1-DATA'!G362)),IF($B364="STD. DEVIATION",2,$F$1))))</f>
        <v/>
      </c>
      <c r="I364" s="1" t="str">
        <f>IF(OR($B364="",I$7=""),"",IF($B364="MEANS",INDEX('1-DATA'!$1:$1048576,$A363-1,COLUMN('1-DATA'!H362)),ROUND(INDEX('1-DATA'!$1:$1048576,IF(OR($B364="STD. DEVIATION",$C$1=1),$A364,$A364+1),COLUMN('1-DATA'!H362)),IF($B364="STD. DEVIATION",2,$F$1))))</f>
        <v/>
      </c>
      <c r="J364" s="1" t="str">
        <f>IF(OR($B364="",J$7=""),"",IF($B364="MEANS",INDEX('1-DATA'!$1:$1048576,$A363-1,COLUMN('1-DATA'!I362)),ROUND(INDEX('1-DATA'!$1:$1048576,IF(OR($B364="STD. DEVIATION",$C$1=1),$A364,$A364+1),COLUMN('1-DATA'!I362)),IF($B364="STD. DEVIATION",2,$F$1))))</f>
        <v/>
      </c>
      <c r="K364" s="1" t="str">
        <f>IF(OR($B364="",K$7=""),"",IF($B364="MEANS",INDEX('1-DATA'!$1:$1048576,$A363-1,COLUMN('1-DATA'!J362)),ROUND(INDEX('1-DATA'!$1:$1048576,IF(OR($B364="STD. DEVIATION",$C$1=1),$A364,$A364+1),COLUMN('1-DATA'!J362)),IF($B364="STD. DEVIATION",2,$F$1))))</f>
        <v/>
      </c>
      <c r="L364" s="1" t="str">
        <f>IF(OR($B364="",L$7=""),"",IF($B364="MEANS",INDEX('1-DATA'!$1:$1048576,$A363-1,COLUMN('1-DATA'!K362)),ROUND(INDEX('1-DATA'!$1:$1048576,IF(OR($B364="STD. DEVIATION",$C$1=1),$A364,$A364+1),COLUMN('1-DATA'!K362)),IF($B364="STD. DEVIATION",2,$F$1))))</f>
        <v/>
      </c>
      <c r="M364" s="1" t="str">
        <f>IF(OR($B364="",M$7=""),"",IF($B364="MEANS",INDEX('1-DATA'!$1:$1048576,$A363-1,COLUMN('1-DATA'!L362)),ROUND(INDEX('1-DATA'!$1:$1048576,IF(OR($B364="STD. DEVIATION",$C$1=1),$A364,$A364+1),COLUMN('1-DATA'!L362)),IF($B364="STD. DEVIATION",2,$F$1))))</f>
        <v/>
      </c>
      <c r="N364" s="1" t="str">
        <f>IF(OR($B364="",N$7=""),"",IF($B364="MEANS",INDEX('1-DATA'!$1:$1048576,$A363-1,COLUMN('1-DATA'!M362)),ROUND(INDEX('1-DATA'!$1:$1048576,IF(OR($B364="STD. DEVIATION",$C$1=1),$A364,$A364+1),COLUMN('1-DATA'!M362)),IF($B364="STD. DEVIATION",2,$F$1))))</f>
        <v/>
      </c>
      <c r="O364" s="1" t="str">
        <f>IF(OR($B364="",O$7=""),"",IF($B364="MEANS",INDEX('1-DATA'!$1:$1048576,$A363-1,COLUMN('1-DATA'!N362)),ROUND(INDEX('1-DATA'!$1:$1048576,IF(OR($B364="STD. DEVIATION",$C$1=1),$A364,$A364+1),COLUMN('1-DATA'!N362)),IF($B364="STD. DEVIATION",2,$F$1))))</f>
        <v/>
      </c>
      <c r="P364" s="1" t="str">
        <f>IF(OR($B364="",P$7=""),"",IF($B364="MEANS",INDEX('1-DATA'!$1:$1048576,$A363-1,COLUMN('1-DATA'!O362)),ROUND(INDEX('1-DATA'!$1:$1048576,IF(OR($B364="STD. DEVIATION",$C$1=1),$A364,$A364+1),COLUMN('1-DATA'!O362)),IF($B364="STD. DEVIATION",2,$F$1))))</f>
        <v/>
      </c>
      <c r="Q364" s="1" t="str">
        <f>IF(OR($B364="",Q$7=""),"",IF($B364="MEANS",INDEX('1-DATA'!$1:$1048576,$A363-1,COLUMN('1-DATA'!P362)),ROUND(INDEX('1-DATA'!$1:$1048576,IF(OR($B364="STD. DEVIATION",$C$1=1),$A364,$A364+1),COLUMN('1-DATA'!P362)),IF($B364="STD. DEVIATION",2,$F$1))))</f>
        <v/>
      </c>
      <c r="R364" s="1" t="str">
        <f>IF(OR($B364="",R$7=""),"",IF($B364="MEANS",INDEX('1-DATA'!$1:$1048576,$A363-1,COLUMN('1-DATA'!Q362)),ROUND(INDEX('1-DATA'!$1:$1048576,IF(OR($B364="STD. DEVIATION",$C$1=1),$A364,$A364+1),COLUMN('1-DATA'!Q362)),IF($B364="STD. DEVIATION",2,$F$1))))</f>
        <v/>
      </c>
      <c r="S364" s="1" t="str">
        <f>IF(OR($B364="",S$7=""),"",IF($B364="MEANS",INDEX('1-DATA'!$1:$1048576,$A363-1,COLUMN('1-DATA'!R362)),ROUND(INDEX('1-DATA'!$1:$1048576,IF(OR($B364="STD. DEVIATION",$C$1=1),$A364,$A364+1),COLUMN('1-DATA'!R362)),IF($B364="STD. DEVIATION",2,$F$1))))</f>
        <v/>
      </c>
      <c r="T364" s="1" t="str">
        <f>IF(OR($B364="",T$7=""),"",IF($B364="MEANS",INDEX('1-DATA'!$1:$1048576,$A363-1,COLUMN('1-DATA'!S362)),ROUND(INDEX('1-DATA'!$1:$1048576,IF(OR($B364="STD. DEVIATION",$C$1=1),$A364,$A364+1),COLUMN('1-DATA'!S362)),IF($B364="STD. DEVIATION",2,$F$1))))</f>
        <v/>
      </c>
      <c r="U364" s="1" t="str">
        <f>IF(OR($B364="",U$7=""),"",IF($B364="MEANS",INDEX('1-DATA'!$1:$1048576,$A363-1,COLUMN('1-DATA'!T362)),ROUND(INDEX('1-DATA'!$1:$1048576,IF(OR($B364="STD. DEVIATION",$C$1=1),$A364,$A364+1),COLUMN('1-DATA'!T362)),IF($B364="STD. DEVIATION",2,$F$1))))</f>
        <v/>
      </c>
      <c r="V364" s="1" t="str">
        <f>IF(OR($B364="",V$7=""),"",IF($B364="MEANS",INDEX('1-DATA'!$1:$1048576,$A363-1,COLUMN('1-DATA'!U362)),ROUND(INDEX('1-DATA'!$1:$1048576,IF(OR($B364="STD. DEVIATION",$C$1=1),$A364,$A364+1),COLUMN('1-DATA'!U362)),IF($B364="STD. DEVIATION",2,$F$1))))</f>
        <v/>
      </c>
      <c r="W364" s="1" t="str">
        <f>IF(OR($B364="",W$7=""),"",IF($B364="MEANS",INDEX('1-DATA'!$1:$1048576,$A363-1,COLUMN('1-DATA'!V362)),ROUND(INDEX('1-DATA'!$1:$1048576,IF(OR($B364="STD. DEVIATION",$C$1=1),$A364,$A364+1),COLUMN('1-DATA'!V362)),IF($B364="STD. DEVIATION",2,$F$1))))</f>
        <v/>
      </c>
      <c r="X364" s="1" t="str">
        <f>IF(OR($B364="",X$7=""),"",IF($B364="MEANS",INDEX('1-DATA'!$1:$1048576,$A363-1,COLUMN('1-DATA'!W362)),ROUND(INDEX('1-DATA'!$1:$1048576,IF(OR($B364="STD. DEVIATION",$C$1=1),$A364,$A364+1),COLUMN('1-DATA'!W362)),IF($B364="STD. DEVIATION",2,$F$1))))</f>
        <v/>
      </c>
      <c r="Y364" s="1" t="str">
        <f>IF(OR($B364="",Y$7=""),"",IF($B364="MEANS",INDEX('1-DATA'!$1:$1048576,$A363-1,COLUMN('1-DATA'!X362)),ROUND(INDEX('1-DATA'!$1:$1048576,IF(OR($B364="STD. DEVIATION",$C$1=1),$A364,$A364+1),COLUMN('1-DATA'!X362)),IF($B364="STD. DEVIATION",2,$F$1))))</f>
        <v/>
      </c>
      <c r="Z364" s="1" t="str">
        <f>IF(OR($B364="",Z$7=""),"",IF($B364="MEANS",INDEX('1-DATA'!$1:$1048576,$A363-1,COLUMN('1-DATA'!Y362)),ROUND(INDEX('1-DATA'!$1:$1048576,IF(OR($B364="STD. DEVIATION",$C$1=1),$A364,$A364+1),COLUMN('1-DATA'!Y362)),IF($B364="STD. DEVIATION",2,$F$1))))</f>
        <v/>
      </c>
      <c r="AA364" s="1" t="str">
        <f>IF(OR($B364="",AA$7=""),"",IF($B364="MEANS",INDEX('1-DATA'!$1:$1048576,$A363-1,COLUMN('1-DATA'!Z362)),ROUND(INDEX('1-DATA'!$1:$1048576,IF(OR($B364="STD. DEVIATION",$C$1=1),$A364,$A364+1),COLUMN('1-DATA'!Z362)),IF($B364="STD. DEVIATION",2,$F$1))))</f>
        <v/>
      </c>
      <c r="AB364" s="1" t="str">
        <f>IF(OR($B364="",AB$7=""),"",IF($B364="MEANS",INDEX('1-DATA'!$1:$1048576,$A363-1,COLUMN('1-DATA'!AA362)),ROUND(INDEX('1-DATA'!$1:$1048576,IF(OR($B364="STD. DEVIATION",$C$1=1),$A364,$A364+1),COLUMN('1-DATA'!AA362)),IF($B364="STD. DEVIATION",2,$F$1))))</f>
        <v/>
      </c>
      <c r="AC364" s="1" t="str">
        <f>IF(OR($B364="",AC$7=""),"",IF($B364="MEANS",INDEX('1-DATA'!$1:$1048576,$A363-1,COLUMN('1-DATA'!AB362)),ROUND(INDEX('1-DATA'!$1:$1048576,IF(OR($B364="STD. DEVIATION",$C$1=1),$A364,$A364+1),COLUMN('1-DATA'!AB362)),IF($B364="STD. DEVIATION",2,$F$1))))</f>
        <v/>
      </c>
      <c r="AD364" s="1" t="str">
        <f>IF(OR($B364="",AD$7=""),"",IF($B364="MEANS",INDEX('1-DATA'!$1:$1048576,$A363-1,COLUMN('1-DATA'!AC362)),ROUND(INDEX('1-DATA'!$1:$1048576,IF(OR($B364="STD. DEVIATION",$C$1=1),$A364,$A364+1),COLUMN('1-DATA'!AC362)),IF($B364="STD. DEVIATION",2,$F$1))))</f>
        <v/>
      </c>
      <c r="AE364" s="1" t="str">
        <f>IF(OR($B364="",AE$7=""),"",IF($B364="MEANS",INDEX('1-DATA'!$1:$1048576,$A363-1,COLUMN('1-DATA'!AD362)),ROUND(INDEX('1-DATA'!$1:$1048576,IF(OR($B364="STD. DEVIATION",$C$1=1),$A364,$A364+1),COLUMN('1-DATA'!AD362)),IF($B364="STD. DEVIATION",2,$F$1))))</f>
        <v/>
      </c>
      <c r="AF364" s="1" t="str">
        <f>IF(OR($B364="",AF$7=""),"",IF($B364="MEANS",INDEX('1-DATA'!$1:$1048576,$A363-1,COLUMN('1-DATA'!AE362)),ROUND(INDEX('1-DATA'!$1:$1048576,IF(OR($B364="STD. DEVIATION",$C$1=1),$A364,$A364+1),COLUMN('1-DATA'!AE362)),IF($B364="STD. DEVIATION",2,$F$1))))</f>
        <v/>
      </c>
      <c r="AG364" s="1" t="str">
        <f>IF(OR($B364="",AG$7=""),"",IF($B364="MEANS",INDEX('1-DATA'!$1:$1048576,$A363-1,COLUMN('1-DATA'!AF362)),ROUND(INDEX('1-DATA'!$1:$1048576,IF(OR($B364="STD. DEVIATION",$C$1=1),$A364,$A364+1),COLUMN('1-DATA'!AF362)),IF($B364="STD. DEVIATION",2,$F$1))))</f>
        <v/>
      </c>
      <c r="AH364" s="1" t="str">
        <f>IF(OR($B364="",AH$7=""),"",IF($B364="MEANS",INDEX('1-DATA'!$1:$1048576,$A363-1,COLUMN('1-DATA'!AG362)),ROUND(INDEX('1-DATA'!$1:$1048576,IF(OR($B364="STD. DEVIATION",$C$1=1),$A364,$A364+1),COLUMN('1-DATA'!AG362)),IF($B364="STD. DEVIATION",2,$F$1))))</f>
        <v/>
      </c>
      <c r="AI364" s="1" t="str">
        <f>IF(OR($B364="",AI$7=""),"",IF($B364="MEANS",INDEX('1-DATA'!$1:$1048576,$A363-1,COLUMN('1-DATA'!AH362)),ROUND(INDEX('1-DATA'!$1:$1048576,IF(OR($B364="STD. DEVIATION",$C$1=1),$A364,$A364+1),COLUMN('1-DATA'!AH362)),IF($B364="STD. DEVIATION",2,$F$1))))</f>
        <v/>
      </c>
      <c r="AJ364" s="1" t="str">
        <f>IF(OR($B364="",AJ$7=""),"",IF($B364="MEANS",INDEX('1-DATA'!$1:$1048576,$A363-1,COLUMN('1-DATA'!AI362)),ROUND(INDEX('1-DATA'!$1:$1048576,IF(OR($B364="STD. DEVIATION",$C$1=1),$A364,$A364+1),COLUMN('1-DATA'!AI362)),IF($B364="STD. DEVIATION",2,$F$1))))</f>
        <v/>
      </c>
      <c r="AK364" s="1" t="str">
        <f>IF(OR($B364="",AK$7=""),"",IF($B364="MEANS",INDEX('1-DATA'!$1:$1048576,$A363-1,COLUMN('1-DATA'!AJ362)),ROUND(INDEX('1-DATA'!$1:$1048576,IF(OR($B364="STD. DEVIATION",$C$1=1),$A364,$A364+1),COLUMN('1-DATA'!AJ362)),IF($B364="STD. DEVIATION",2,$F$1))))</f>
        <v/>
      </c>
      <c r="AL364" s="1" t="str">
        <f>IF(OR($B364="",AL$7=""),"",IF($B364="MEANS",INDEX('1-DATA'!$1:$1048576,$A363-1,COLUMN('1-DATA'!AK362)),ROUND(INDEX('1-DATA'!$1:$1048576,IF(OR($B364="STD. DEVIATION",$C$1=1),$A364,$A364+1),COLUMN('1-DATA'!AK362)),IF($B364="STD. DEVIATION",2,$F$1))))</f>
        <v/>
      </c>
      <c r="AM364" s="1" t="str">
        <f>IF(OR($B364="",AM$7=""),"",IF($B364="MEANS",INDEX('1-DATA'!$1:$1048576,$A363-1,COLUMN('1-DATA'!AL362)),ROUND(INDEX('1-DATA'!$1:$1048576,IF(OR($B364="STD. DEVIATION",$C$1=1),$A364,$A364+1),COLUMN('1-DATA'!AL362)),IF($B364="STD. DEVIATION",2,$F$1))))</f>
        <v/>
      </c>
      <c r="AN364" s="1" t="str">
        <f>IF(OR($B364="",AN$7=""),"",IF($B364="MEANS",INDEX('1-DATA'!$1:$1048576,$A363-1,COLUMN('1-DATA'!AM362)),ROUND(INDEX('1-DATA'!$1:$1048576,IF(OR($B364="STD. DEVIATION",$C$1=1),$A364,$A364+1),COLUMN('1-DATA'!AM362)),IF($B364="STD. DEVIATION",2,$F$1))))</f>
        <v/>
      </c>
      <c r="AO364" s="1" t="str">
        <f>IF(OR($B364="",AO$7=""),"",IF($B364="MEANS",INDEX('1-DATA'!$1:$1048576,$A363-1,COLUMN('1-DATA'!AN362)),ROUND(INDEX('1-DATA'!$1:$1048576,IF(OR($B364="STD. DEVIATION",$C$1=1),$A364,$A364+1),COLUMN('1-DATA'!AN362)),IF($B364="STD. DEVIATION",2,$F$1))))</f>
        <v/>
      </c>
      <c r="AP364" s="1" t="str">
        <f>IF(OR($B364="",AP$7=""),"",IF($B364="MEANS",INDEX('1-DATA'!$1:$1048576,$A363-1,COLUMN('1-DATA'!AO362)),ROUND(INDEX('1-DATA'!$1:$1048576,IF(OR($B364="STD. DEVIATION",$C$1=1),$A364,$A364+1),COLUMN('1-DATA'!AO362)),IF($B364="STD. DEVIATION",2,$F$1))))</f>
        <v/>
      </c>
      <c r="AQ364" s="1" t="str">
        <f>IF(OR($B364="",AQ$7=""),"",IF($B364="MEANS",INDEX('1-DATA'!$1:$1048576,$A363-1,COLUMN('1-DATA'!AP362)),ROUND(INDEX('1-DATA'!$1:$1048576,IF(OR($B364="STD. DEVIATION",$C$1=1),$A364,$A364+1),COLUMN('1-DATA'!AP362)),IF($B364="STD. DEVIATION",2,$F$1))))</f>
        <v/>
      </c>
      <c r="AR364" s="1" t="str">
        <f>IF(OR($B364="",AR$7=""),"",IF($B364="MEANS",INDEX('1-DATA'!$1:$1048576,$A363-1,COLUMN('1-DATA'!AQ362)),ROUND(INDEX('1-DATA'!$1:$1048576,IF(OR($B364="STD. DEVIATION",$C$1=1),$A364,$A364+1),COLUMN('1-DATA'!AQ362)),IF($B364="STD. DEVIATION",2,$F$1))))</f>
        <v/>
      </c>
      <c r="AS364" s="1" t="str">
        <f>IF(OR($B364="",AS$7=""),"",IF($B364="MEANS",INDEX('1-DATA'!$1:$1048576,$A363-1,COLUMN('1-DATA'!AR362)),ROUND(INDEX('1-DATA'!$1:$1048576,IF(OR($B364="STD. DEVIATION",$C$1=1),$A364,$A364+1),COLUMN('1-DATA'!AR362)),IF($B364="STD. DEVIATION",2,$F$1))))</f>
        <v/>
      </c>
      <c r="AT364" s="1" t="str">
        <f>IF(OR($B364="",AT$7=""),"",IF($B364="MEANS",INDEX('1-DATA'!$1:$1048576,$A363-1,COLUMN('1-DATA'!AS362)),ROUND(INDEX('1-DATA'!$1:$1048576,IF(OR($B364="STD. DEVIATION",$C$1=1),$A364,$A364+1),COLUMN('1-DATA'!AS362)),IF($B364="STD. DEVIATION",2,$F$1))))</f>
        <v/>
      </c>
      <c r="AU364" s="1" t="str">
        <f>IF(OR($B364="",AU$7=""),"",IF($B364="MEANS",INDEX('1-DATA'!$1:$1048576,$A363-1,COLUMN('1-DATA'!AT362)),ROUND(INDEX('1-DATA'!$1:$1048576,IF(OR($B364="STD. DEVIATION",$C$1=1),$A364,$A364+1),COLUMN('1-DATA'!AT362)),IF($B364="STD. DEVIATION",2,$F$1))))</f>
        <v/>
      </c>
      <c r="AV364" s="1" t="str">
        <f>IF(OR($B364="",AV$7=""),"",IF($B364="MEANS",INDEX('1-DATA'!$1:$1048576,$A363-1,COLUMN('1-DATA'!AU362)),ROUND(INDEX('1-DATA'!$1:$1048576,IF(OR($B364="STD. DEVIATION",$C$1=1),$A364,$A364+1),COLUMN('1-DATA'!AU362)),IF($B364="STD. DEVIATION",2,$F$1))))</f>
        <v/>
      </c>
      <c r="AW364" s="1" t="str">
        <f>IF(OR($B364="",AW$7=""),"",IF($B364="MEANS",INDEX('1-DATA'!$1:$1048576,$A363-1,COLUMN('1-DATA'!AV362)),ROUND(INDEX('1-DATA'!$1:$1048576,IF(OR($B364="STD. DEVIATION",$C$1=1),$A364,$A364+1),COLUMN('1-DATA'!AV362)),IF($B364="STD. DEVIATION",2,$F$1))))</f>
        <v/>
      </c>
      <c r="AX364" s="1" t="str">
        <f>IF(OR($B364="",AX$7=""),"",IF($B364="MEANS",INDEX('1-DATA'!$1:$1048576,$A363-1,COLUMN('1-DATA'!AW362)),ROUND(INDEX('1-DATA'!$1:$1048576,IF(OR($B364="STD. DEVIATION",$C$1=1),$A364,$A364+1),COLUMN('1-DATA'!AW362)),IF($B364="STD. DEVIATION",2,$F$1))))</f>
        <v/>
      </c>
      <c r="AY364" s="1" t="str">
        <f>IF(OR($B364="",AY$7=""),"",IF($B364="MEANS",INDEX('1-DATA'!$1:$1048576,$A363-1,COLUMN('1-DATA'!AX362)),ROUND(INDEX('1-DATA'!$1:$1048576,IF(OR($B364="STD. DEVIATION",$C$1=1),$A364,$A364+1),COLUMN('1-DATA'!AX362)),IF($B364="STD. DEVIATION",2,$F$1))))</f>
        <v/>
      </c>
      <c r="AZ364" s="1" t="str">
        <f>IF(OR($B364="",AZ$7=""),"",IF($B364="MEANS",INDEX('1-DATA'!$1:$1048576,$A363-1,COLUMN('1-DATA'!AY362)),ROUND(INDEX('1-DATA'!$1:$1048576,IF(OR($B364="STD. DEVIATION",$C$1=1),$A364,$A364+1),COLUMN('1-DATA'!AY362)),IF($B364="STD. DEVIATION",2,$F$1))))</f>
        <v/>
      </c>
    </row>
    <row r="365" spans="1:52" x14ac:dyDescent="0.25">
      <c r="A365" s="11">
        <f t="shared" si="6"/>
        <v>1081</v>
      </c>
      <c r="B365" s="1" t="str">
        <f>IF(B364="STD. DEVIATION",INDEX('1-DATA'!$1:$1048576,$A364-1,1),IF(INDEX('1-DATA'!$1:$1048576,$A365,1)&lt;&gt;"",INDEX('1-DATA'!$1:$1048576,$A365,1),""))</f>
        <v/>
      </c>
      <c r="C365" s="1" t="str">
        <f>IF(OR($B365="",C$7=""),"",IF($B365="MEANS",INDEX('1-DATA'!$1:$1048576,$A364-1,COLUMN('1-DATA'!B363)),ROUND(INDEX('1-DATA'!$1:$1048576,IF(OR($B365="STD. DEVIATION",$C$1=1),$A365,$A365+1),COLUMN('1-DATA'!B363)),IF($B365="STD. DEVIATION",2,$F$1))))</f>
        <v/>
      </c>
      <c r="D365" s="1" t="str">
        <f>IF(OR($B365="",D$7=""),"",IF($B365="MEANS",INDEX('1-DATA'!$1:$1048576,$A364-1,COLUMN('1-DATA'!C363)),ROUND(INDEX('1-DATA'!$1:$1048576,IF(OR($B365="STD. DEVIATION",$C$1=1),$A365,$A365+1),COLUMN('1-DATA'!C363)),IF($B365="STD. DEVIATION",2,$F$1))))</f>
        <v/>
      </c>
      <c r="E365" s="1" t="str">
        <f>IF(OR($B365="",E$7=""),"",IF($B365="MEANS",INDEX('1-DATA'!$1:$1048576,$A364-1,COLUMN('1-DATA'!D363)),ROUND(INDEX('1-DATA'!$1:$1048576,IF(OR($B365="STD. DEVIATION",$C$1=1),$A365,$A365+1),COLUMN('1-DATA'!D363)),IF($B365="STD. DEVIATION",2,$F$1))))</f>
        <v/>
      </c>
      <c r="F365" s="1" t="str">
        <f>IF(OR($B365="",F$7=""),"",IF($B365="MEANS",INDEX('1-DATA'!$1:$1048576,$A364-1,COLUMN('1-DATA'!E363)),ROUND(INDEX('1-DATA'!$1:$1048576,IF(OR($B365="STD. DEVIATION",$C$1=1),$A365,$A365+1),COLUMN('1-DATA'!E363)),IF($B365="STD. DEVIATION",2,$F$1))))</f>
        <v/>
      </c>
      <c r="G365" s="1" t="str">
        <f>IF(OR($B365="",G$7=""),"",IF($B365="MEANS",INDEX('1-DATA'!$1:$1048576,$A364-1,COLUMN('1-DATA'!F363)),ROUND(INDEX('1-DATA'!$1:$1048576,IF(OR($B365="STD. DEVIATION",$C$1=1),$A365,$A365+1),COLUMN('1-DATA'!F363)),IF($B365="STD. DEVIATION",2,$F$1))))</f>
        <v/>
      </c>
      <c r="H365" s="1" t="str">
        <f>IF(OR($B365="",H$7=""),"",IF($B365="MEANS",INDEX('1-DATA'!$1:$1048576,$A364-1,COLUMN('1-DATA'!G363)),ROUND(INDEX('1-DATA'!$1:$1048576,IF(OR($B365="STD. DEVIATION",$C$1=1),$A365,$A365+1),COLUMN('1-DATA'!G363)),IF($B365="STD. DEVIATION",2,$F$1))))</f>
        <v/>
      </c>
      <c r="I365" s="1" t="str">
        <f>IF(OR($B365="",I$7=""),"",IF($B365="MEANS",INDEX('1-DATA'!$1:$1048576,$A364-1,COLUMN('1-DATA'!H363)),ROUND(INDEX('1-DATA'!$1:$1048576,IF(OR($B365="STD. DEVIATION",$C$1=1),$A365,$A365+1),COLUMN('1-DATA'!H363)),IF($B365="STD. DEVIATION",2,$F$1))))</f>
        <v/>
      </c>
      <c r="J365" s="1" t="str">
        <f>IF(OR($B365="",J$7=""),"",IF($B365="MEANS",INDEX('1-DATA'!$1:$1048576,$A364-1,COLUMN('1-DATA'!I363)),ROUND(INDEX('1-DATA'!$1:$1048576,IF(OR($B365="STD. DEVIATION",$C$1=1),$A365,$A365+1),COLUMN('1-DATA'!I363)),IF($B365="STD. DEVIATION",2,$F$1))))</f>
        <v/>
      </c>
      <c r="K365" s="1" t="str">
        <f>IF(OR($B365="",K$7=""),"",IF($B365="MEANS",INDEX('1-DATA'!$1:$1048576,$A364-1,COLUMN('1-DATA'!J363)),ROUND(INDEX('1-DATA'!$1:$1048576,IF(OR($B365="STD. DEVIATION",$C$1=1),$A365,$A365+1),COLUMN('1-DATA'!J363)),IF($B365="STD. DEVIATION",2,$F$1))))</f>
        <v/>
      </c>
      <c r="L365" s="1" t="str">
        <f>IF(OR($B365="",L$7=""),"",IF($B365="MEANS",INDEX('1-DATA'!$1:$1048576,$A364-1,COLUMN('1-DATA'!K363)),ROUND(INDEX('1-DATA'!$1:$1048576,IF(OR($B365="STD. DEVIATION",$C$1=1),$A365,$A365+1),COLUMN('1-DATA'!K363)),IF($B365="STD. DEVIATION",2,$F$1))))</f>
        <v/>
      </c>
      <c r="M365" s="1" t="str">
        <f>IF(OR($B365="",M$7=""),"",IF($B365="MEANS",INDEX('1-DATA'!$1:$1048576,$A364-1,COLUMN('1-DATA'!L363)),ROUND(INDEX('1-DATA'!$1:$1048576,IF(OR($B365="STD. DEVIATION",$C$1=1),$A365,$A365+1),COLUMN('1-DATA'!L363)),IF($B365="STD. DEVIATION",2,$F$1))))</f>
        <v/>
      </c>
      <c r="N365" s="1" t="str">
        <f>IF(OR($B365="",N$7=""),"",IF($B365="MEANS",INDEX('1-DATA'!$1:$1048576,$A364-1,COLUMN('1-DATA'!M363)),ROUND(INDEX('1-DATA'!$1:$1048576,IF(OR($B365="STD. DEVIATION",$C$1=1),$A365,$A365+1),COLUMN('1-DATA'!M363)),IF($B365="STD. DEVIATION",2,$F$1))))</f>
        <v/>
      </c>
      <c r="O365" s="1" t="str">
        <f>IF(OR($B365="",O$7=""),"",IF($B365="MEANS",INDEX('1-DATA'!$1:$1048576,$A364-1,COLUMN('1-DATA'!N363)),ROUND(INDEX('1-DATA'!$1:$1048576,IF(OR($B365="STD. DEVIATION",$C$1=1),$A365,$A365+1),COLUMN('1-DATA'!N363)),IF($B365="STD. DEVIATION",2,$F$1))))</f>
        <v/>
      </c>
      <c r="P365" s="1" t="str">
        <f>IF(OR($B365="",P$7=""),"",IF($B365="MEANS",INDEX('1-DATA'!$1:$1048576,$A364-1,COLUMN('1-DATA'!O363)),ROUND(INDEX('1-DATA'!$1:$1048576,IF(OR($B365="STD. DEVIATION",$C$1=1),$A365,$A365+1),COLUMN('1-DATA'!O363)),IF($B365="STD. DEVIATION",2,$F$1))))</f>
        <v/>
      </c>
      <c r="Q365" s="1" t="str">
        <f>IF(OR($B365="",Q$7=""),"",IF($B365="MEANS",INDEX('1-DATA'!$1:$1048576,$A364-1,COLUMN('1-DATA'!P363)),ROUND(INDEX('1-DATA'!$1:$1048576,IF(OR($B365="STD. DEVIATION",$C$1=1),$A365,$A365+1),COLUMN('1-DATA'!P363)),IF($B365="STD. DEVIATION",2,$F$1))))</f>
        <v/>
      </c>
      <c r="R365" s="1" t="str">
        <f>IF(OR($B365="",R$7=""),"",IF($B365="MEANS",INDEX('1-DATA'!$1:$1048576,$A364-1,COLUMN('1-DATA'!Q363)),ROUND(INDEX('1-DATA'!$1:$1048576,IF(OR($B365="STD. DEVIATION",$C$1=1),$A365,$A365+1),COLUMN('1-DATA'!Q363)),IF($B365="STD. DEVIATION",2,$F$1))))</f>
        <v/>
      </c>
      <c r="S365" s="1" t="str">
        <f>IF(OR($B365="",S$7=""),"",IF($B365="MEANS",INDEX('1-DATA'!$1:$1048576,$A364-1,COLUMN('1-DATA'!R363)),ROUND(INDEX('1-DATA'!$1:$1048576,IF(OR($B365="STD. DEVIATION",$C$1=1),$A365,$A365+1),COLUMN('1-DATA'!R363)),IF($B365="STD. DEVIATION",2,$F$1))))</f>
        <v/>
      </c>
      <c r="T365" s="1" t="str">
        <f>IF(OR($B365="",T$7=""),"",IF($B365="MEANS",INDEX('1-DATA'!$1:$1048576,$A364-1,COLUMN('1-DATA'!S363)),ROUND(INDEX('1-DATA'!$1:$1048576,IF(OR($B365="STD. DEVIATION",$C$1=1),$A365,$A365+1),COLUMN('1-DATA'!S363)),IF($B365="STD. DEVIATION",2,$F$1))))</f>
        <v/>
      </c>
      <c r="U365" s="1" t="str">
        <f>IF(OR($B365="",U$7=""),"",IF($B365="MEANS",INDEX('1-DATA'!$1:$1048576,$A364-1,COLUMN('1-DATA'!T363)),ROUND(INDEX('1-DATA'!$1:$1048576,IF(OR($B365="STD. DEVIATION",$C$1=1),$A365,$A365+1),COLUMN('1-DATA'!T363)),IF($B365="STD. DEVIATION",2,$F$1))))</f>
        <v/>
      </c>
      <c r="V365" s="1" t="str">
        <f>IF(OR($B365="",V$7=""),"",IF($B365="MEANS",INDEX('1-DATA'!$1:$1048576,$A364-1,COLUMN('1-DATA'!U363)),ROUND(INDEX('1-DATA'!$1:$1048576,IF(OR($B365="STD. DEVIATION",$C$1=1),$A365,$A365+1),COLUMN('1-DATA'!U363)),IF($B365="STD. DEVIATION",2,$F$1))))</f>
        <v/>
      </c>
      <c r="W365" s="1" t="str">
        <f>IF(OR($B365="",W$7=""),"",IF($B365="MEANS",INDEX('1-DATA'!$1:$1048576,$A364-1,COLUMN('1-DATA'!V363)),ROUND(INDEX('1-DATA'!$1:$1048576,IF(OR($B365="STD. DEVIATION",$C$1=1),$A365,$A365+1),COLUMN('1-DATA'!V363)),IF($B365="STD. DEVIATION",2,$F$1))))</f>
        <v/>
      </c>
      <c r="X365" s="1" t="str">
        <f>IF(OR($B365="",X$7=""),"",IF($B365="MEANS",INDEX('1-DATA'!$1:$1048576,$A364-1,COLUMN('1-DATA'!W363)),ROUND(INDEX('1-DATA'!$1:$1048576,IF(OR($B365="STD. DEVIATION",$C$1=1),$A365,$A365+1),COLUMN('1-DATA'!W363)),IF($B365="STD. DEVIATION",2,$F$1))))</f>
        <v/>
      </c>
      <c r="Y365" s="1" t="str">
        <f>IF(OR($B365="",Y$7=""),"",IF($B365="MEANS",INDEX('1-DATA'!$1:$1048576,$A364-1,COLUMN('1-DATA'!X363)),ROUND(INDEX('1-DATA'!$1:$1048576,IF(OR($B365="STD. DEVIATION",$C$1=1),$A365,$A365+1),COLUMN('1-DATA'!X363)),IF($B365="STD. DEVIATION",2,$F$1))))</f>
        <v/>
      </c>
      <c r="Z365" s="1" t="str">
        <f>IF(OR($B365="",Z$7=""),"",IF($B365="MEANS",INDEX('1-DATA'!$1:$1048576,$A364-1,COLUMN('1-DATA'!Y363)),ROUND(INDEX('1-DATA'!$1:$1048576,IF(OR($B365="STD. DEVIATION",$C$1=1),$A365,$A365+1),COLUMN('1-DATA'!Y363)),IF($B365="STD. DEVIATION",2,$F$1))))</f>
        <v/>
      </c>
      <c r="AA365" s="1" t="str">
        <f>IF(OR($B365="",AA$7=""),"",IF($B365="MEANS",INDEX('1-DATA'!$1:$1048576,$A364-1,COLUMN('1-DATA'!Z363)),ROUND(INDEX('1-DATA'!$1:$1048576,IF(OR($B365="STD. DEVIATION",$C$1=1),$A365,$A365+1),COLUMN('1-DATA'!Z363)),IF($B365="STD. DEVIATION",2,$F$1))))</f>
        <v/>
      </c>
      <c r="AB365" s="1" t="str">
        <f>IF(OR($B365="",AB$7=""),"",IF($B365="MEANS",INDEX('1-DATA'!$1:$1048576,$A364-1,COLUMN('1-DATA'!AA363)),ROUND(INDEX('1-DATA'!$1:$1048576,IF(OR($B365="STD. DEVIATION",$C$1=1),$A365,$A365+1),COLUMN('1-DATA'!AA363)),IF($B365="STD. DEVIATION",2,$F$1))))</f>
        <v/>
      </c>
      <c r="AC365" s="1" t="str">
        <f>IF(OR($B365="",AC$7=""),"",IF($B365="MEANS",INDEX('1-DATA'!$1:$1048576,$A364-1,COLUMN('1-DATA'!AB363)),ROUND(INDEX('1-DATA'!$1:$1048576,IF(OR($B365="STD. DEVIATION",$C$1=1),$A365,$A365+1),COLUMN('1-DATA'!AB363)),IF($B365="STD. DEVIATION",2,$F$1))))</f>
        <v/>
      </c>
      <c r="AD365" s="1" t="str">
        <f>IF(OR($B365="",AD$7=""),"",IF($B365="MEANS",INDEX('1-DATA'!$1:$1048576,$A364-1,COLUMN('1-DATA'!AC363)),ROUND(INDEX('1-DATA'!$1:$1048576,IF(OR($B365="STD. DEVIATION",$C$1=1),$A365,$A365+1),COLUMN('1-DATA'!AC363)),IF($B365="STD. DEVIATION",2,$F$1))))</f>
        <v/>
      </c>
      <c r="AE365" s="1" t="str">
        <f>IF(OR($B365="",AE$7=""),"",IF($B365="MEANS",INDEX('1-DATA'!$1:$1048576,$A364-1,COLUMN('1-DATA'!AD363)),ROUND(INDEX('1-DATA'!$1:$1048576,IF(OR($B365="STD. DEVIATION",$C$1=1),$A365,$A365+1),COLUMN('1-DATA'!AD363)),IF($B365="STD. DEVIATION",2,$F$1))))</f>
        <v/>
      </c>
      <c r="AF365" s="1" t="str">
        <f>IF(OR($B365="",AF$7=""),"",IF($B365="MEANS",INDEX('1-DATA'!$1:$1048576,$A364-1,COLUMN('1-DATA'!AE363)),ROUND(INDEX('1-DATA'!$1:$1048576,IF(OR($B365="STD. DEVIATION",$C$1=1),$A365,$A365+1),COLUMN('1-DATA'!AE363)),IF($B365="STD. DEVIATION",2,$F$1))))</f>
        <v/>
      </c>
      <c r="AG365" s="1" t="str">
        <f>IF(OR($B365="",AG$7=""),"",IF($B365="MEANS",INDEX('1-DATA'!$1:$1048576,$A364-1,COLUMN('1-DATA'!AF363)),ROUND(INDEX('1-DATA'!$1:$1048576,IF(OR($B365="STD. DEVIATION",$C$1=1),$A365,$A365+1),COLUMN('1-DATA'!AF363)),IF($B365="STD. DEVIATION",2,$F$1))))</f>
        <v/>
      </c>
      <c r="AH365" s="1" t="str">
        <f>IF(OR($B365="",AH$7=""),"",IF($B365="MEANS",INDEX('1-DATA'!$1:$1048576,$A364-1,COLUMN('1-DATA'!AG363)),ROUND(INDEX('1-DATA'!$1:$1048576,IF(OR($B365="STD. DEVIATION",$C$1=1),$A365,$A365+1),COLUMN('1-DATA'!AG363)),IF($B365="STD. DEVIATION",2,$F$1))))</f>
        <v/>
      </c>
      <c r="AI365" s="1" t="str">
        <f>IF(OR($B365="",AI$7=""),"",IF($B365="MEANS",INDEX('1-DATA'!$1:$1048576,$A364-1,COLUMN('1-DATA'!AH363)),ROUND(INDEX('1-DATA'!$1:$1048576,IF(OR($B365="STD. DEVIATION",$C$1=1),$A365,$A365+1),COLUMN('1-DATA'!AH363)),IF($B365="STD. DEVIATION",2,$F$1))))</f>
        <v/>
      </c>
      <c r="AJ365" s="1" t="str">
        <f>IF(OR($B365="",AJ$7=""),"",IF($B365="MEANS",INDEX('1-DATA'!$1:$1048576,$A364-1,COLUMN('1-DATA'!AI363)),ROUND(INDEX('1-DATA'!$1:$1048576,IF(OR($B365="STD. DEVIATION",$C$1=1),$A365,$A365+1),COLUMN('1-DATA'!AI363)),IF($B365="STD. DEVIATION",2,$F$1))))</f>
        <v/>
      </c>
      <c r="AK365" s="1" t="str">
        <f>IF(OR($B365="",AK$7=""),"",IF($B365="MEANS",INDEX('1-DATA'!$1:$1048576,$A364-1,COLUMN('1-DATA'!AJ363)),ROUND(INDEX('1-DATA'!$1:$1048576,IF(OR($B365="STD. DEVIATION",$C$1=1),$A365,$A365+1),COLUMN('1-DATA'!AJ363)),IF($B365="STD. DEVIATION",2,$F$1))))</f>
        <v/>
      </c>
      <c r="AL365" s="1" t="str">
        <f>IF(OR($B365="",AL$7=""),"",IF($B365="MEANS",INDEX('1-DATA'!$1:$1048576,$A364-1,COLUMN('1-DATA'!AK363)),ROUND(INDEX('1-DATA'!$1:$1048576,IF(OR($B365="STD. DEVIATION",$C$1=1),$A365,$A365+1),COLUMN('1-DATA'!AK363)),IF($B365="STD. DEVIATION",2,$F$1))))</f>
        <v/>
      </c>
      <c r="AM365" s="1" t="str">
        <f>IF(OR($B365="",AM$7=""),"",IF($B365="MEANS",INDEX('1-DATA'!$1:$1048576,$A364-1,COLUMN('1-DATA'!AL363)),ROUND(INDEX('1-DATA'!$1:$1048576,IF(OR($B365="STD. DEVIATION",$C$1=1),$A365,$A365+1),COLUMN('1-DATA'!AL363)),IF($B365="STD. DEVIATION",2,$F$1))))</f>
        <v/>
      </c>
      <c r="AN365" s="1" t="str">
        <f>IF(OR($B365="",AN$7=""),"",IF($B365="MEANS",INDEX('1-DATA'!$1:$1048576,$A364-1,COLUMN('1-DATA'!AM363)),ROUND(INDEX('1-DATA'!$1:$1048576,IF(OR($B365="STD. DEVIATION",$C$1=1),$A365,$A365+1),COLUMN('1-DATA'!AM363)),IF($B365="STD. DEVIATION",2,$F$1))))</f>
        <v/>
      </c>
      <c r="AO365" s="1" t="str">
        <f>IF(OR($B365="",AO$7=""),"",IF($B365="MEANS",INDEX('1-DATA'!$1:$1048576,$A364-1,COLUMN('1-DATA'!AN363)),ROUND(INDEX('1-DATA'!$1:$1048576,IF(OR($B365="STD. DEVIATION",$C$1=1),$A365,$A365+1),COLUMN('1-DATA'!AN363)),IF($B365="STD. DEVIATION",2,$F$1))))</f>
        <v/>
      </c>
      <c r="AP365" s="1" t="str">
        <f>IF(OR($B365="",AP$7=""),"",IF($B365="MEANS",INDEX('1-DATA'!$1:$1048576,$A364-1,COLUMN('1-DATA'!AO363)),ROUND(INDEX('1-DATA'!$1:$1048576,IF(OR($B365="STD. DEVIATION",$C$1=1),$A365,$A365+1),COLUMN('1-DATA'!AO363)),IF($B365="STD. DEVIATION",2,$F$1))))</f>
        <v/>
      </c>
      <c r="AQ365" s="1" t="str">
        <f>IF(OR($B365="",AQ$7=""),"",IF($B365="MEANS",INDEX('1-DATA'!$1:$1048576,$A364-1,COLUMN('1-DATA'!AP363)),ROUND(INDEX('1-DATA'!$1:$1048576,IF(OR($B365="STD. DEVIATION",$C$1=1),$A365,$A365+1),COLUMN('1-DATA'!AP363)),IF($B365="STD. DEVIATION",2,$F$1))))</f>
        <v/>
      </c>
      <c r="AR365" s="1" t="str">
        <f>IF(OR($B365="",AR$7=""),"",IF($B365="MEANS",INDEX('1-DATA'!$1:$1048576,$A364-1,COLUMN('1-DATA'!AQ363)),ROUND(INDEX('1-DATA'!$1:$1048576,IF(OR($B365="STD. DEVIATION",$C$1=1),$A365,$A365+1),COLUMN('1-DATA'!AQ363)),IF($B365="STD. DEVIATION",2,$F$1))))</f>
        <v/>
      </c>
      <c r="AS365" s="1" t="str">
        <f>IF(OR($B365="",AS$7=""),"",IF($B365="MEANS",INDEX('1-DATA'!$1:$1048576,$A364-1,COLUMN('1-DATA'!AR363)),ROUND(INDEX('1-DATA'!$1:$1048576,IF(OR($B365="STD. DEVIATION",$C$1=1),$A365,$A365+1),COLUMN('1-DATA'!AR363)),IF($B365="STD. DEVIATION",2,$F$1))))</f>
        <v/>
      </c>
      <c r="AT365" s="1" t="str">
        <f>IF(OR($B365="",AT$7=""),"",IF($B365="MEANS",INDEX('1-DATA'!$1:$1048576,$A364-1,COLUMN('1-DATA'!AS363)),ROUND(INDEX('1-DATA'!$1:$1048576,IF(OR($B365="STD. DEVIATION",$C$1=1),$A365,$A365+1),COLUMN('1-DATA'!AS363)),IF($B365="STD. DEVIATION",2,$F$1))))</f>
        <v/>
      </c>
      <c r="AU365" s="1" t="str">
        <f>IF(OR($B365="",AU$7=""),"",IF($B365="MEANS",INDEX('1-DATA'!$1:$1048576,$A364-1,COLUMN('1-DATA'!AT363)),ROUND(INDEX('1-DATA'!$1:$1048576,IF(OR($B365="STD. DEVIATION",$C$1=1),$A365,$A365+1),COLUMN('1-DATA'!AT363)),IF($B365="STD. DEVIATION",2,$F$1))))</f>
        <v/>
      </c>
      <c r="AV365" s="1" t="str">
        <f>IF(OR($B365="",AV$7=""),"",IF($B365="MEANS",INDEX('1-DATA'!$1:$1048576,$A364-1,COLUMN('1-DATA'!AU363)),ROUND(INDEX('1-DATA'!$1:$1048576,IF(OR($B365="STD. DEVIATION",$C$1=1),$A365,$A365+1),COLUMN('1-DATA'!AU363)),IF($B365="STD. DEVIATION",2,$F$1))))</f>
        <v/>
      </c>
      <c r="AW365" s="1" t="str">
        <f>IF(OR($B365="",AW$7=""),"",IF($B365="MEANS",INDEX('1-DATA'!$1:$1048576,$A364-1,COLUMN('1-DATA'!AV363)),ROUND(INDEX('1-DATA'!$1:$1048576,IF(OR($B365="STD. DEVIATION",$C$1=1),$A365,$A365+1),COLUMN('1-DATA'!AV363)),IF($B365="STD. DEVIATION",2,$F$1))))</f>
        <v/>
      </c>
      <c r="AX365" s="1" t="str">
        <f>IF(OR($B365="",AX$7=""),"",IF($B365="MEANS",INDEX('1-DATA'!$1:$1048576,$A364-1,COLUMN('1-DATA'!AW363)),ROUND(INDEX('1-DATA'!$1:$1048576,IF(OR($B365="STD. DEVIATION",$C$1=1),$A365,$A365+1),COLUMN('1-DATA'!AW363)),IF($B365="STD. DEVIATION",2,$F$1))))</f>
        <v/>
      </c>
      <c r="AY365" s="1" t="str">
        <f>IF(OR($B365="",AY$7=""),"",IF($B365="MEANS",INDEX('1-DATA'!$1:$1048576,$A364-1,COLUMN('1-DATA'!AX363)),ROUND(INDEX('1-DATA'!$1:$1048576,IF(OR($B365="STD. DEVIATION",$C$1=1),$A365,$A365+1),COLUMN('1-DATA'!AX363)),IF($B365="STD. DEVIATION",2,$F$1))))</f>
        <v/>
      </c>
      <c r="AZ365" s="1" t="str">
        <f>IF(OR($B365="",AZ$7=""),"",IF($B365="MEANS",INDEX('1-DATA'!$1:$1048576,$A364-1,COLUMN('1-DATA'!AY363)),ROUND(INDEX('1-DATA'!$1:$1048576,IF(OR($B365="STD. DEVIATION",$C$1=1),$A365,$A365+1),COLUMN('1-DATA'!AY363)),IF($B365="STD. DEVIATION",2,$F$1))))</f>
        <v/>
      </c>
    </row>
    <row r="366" spans="1:52" x14ac:dyDescent="0.25">
      <c r="A366" s="11">
        <f t="shared" si="6"/>
        <v>1084</v>
      </c>
      <c r="B366" s="1" t="str">
        <f>IF(B365="STD. DEVIATION",INDEX('1-DATA'!$1:$1048576,$A365-1,1),IF(INDEX('1-DATA'!$1:$1048576,$A366,1)&lt;&gt;"",INDEX('1-DATA'!$1:$1048576,$A366,1),""))</f>
        <v/>
      </c>
      <c r="C366" s="1" t="str">
        <f>IF(OR($B366="",C$7=""),"",IF($B366="MEANS",INDEX('1-DATA'!$1:$1048576,$A365-1,COLUMN('1-DATA'!B364)),ROUND(INDEX('1-DATA'!$1:$1048576,IF(OR($B366="STD. DEVIATION",$C$1=1),$A366,$A366+1),COLUMN('1-DATA'!B364)),IF($B366="STD. DEVIATION",2,$F$1))))</f>
        <v/>
      </c>
      <c r="D366" s="1" t="str">
        <f>IF(OR($B366="",D$7=""),"",IF($B366="MEANS",INDEX('1-DATA'!$1:$1048576,$A365-1,COLUMN('1-DATA'!C364)),ROUND(INDEX('1-DATA'!$1:$1048576,IF(OR($B366="STD. DEVIATION",$C$1=1),$A366,$A366+1),COLUMN('1-DATA'!C364)),IF($B366="STD. DEVIATION",2,$F$1))))</f>
        <v/>
      </c>
      <c r="E366" s="1" t="str">
        <f>IF(OR($B366="",E$7=""),"",IF($B366="MEANS",INDEX('1-DATA'!$1:$1048576,$A365-1,COLUMN('1-DATA'!D364)),ROUND(INDEX('1-DATA'!$1:$1048576,IF(OR($B366="STD. DEVIATION",$C$1=1),$A366,$A366+1),COLUMN('1-DATA'!D364)),IF($B366="STD. DEVIATION",2,$F$1))))</f>
        <v/>
      </c>
      <c r="F366" s="1" t="str">
        <f>IF(OR($B366="",F$7=""),"",IF($B366="MEANS",INDEX('1-DATA'!$1:$1048576,$A365-1,COLUMN('1-DATA'!E364)),ROUND(INDEX('1-DATA'!$1:$1048576,IF(OR($B366="STD. DEVIATION",$C$1=1),$A366,$A366+1),COLUMN('1-DATA'!E364)),IF($B366="STD. DEVIATION",2,$F$1))))</f>
        <v/>
      </c>
      <c r="G366" s="1" t="str">
        <f>IF(OR($B366="",G$7=""),"",IF($B366="MEANS",INDEX('1-DATA'!$1:$1048576,$A365-1,COLUMN('1-DATA'!F364)),ROUND(INDEX('1-DATA'!$1:$1048576,IF(OR($B366="STD. DEVIATION",$C$1=1),$A366,$A366+1),COLUMN('1-DATA'!F364)),IF($B366="STD. DEVIATION",2,$F$1))))</f>
        <v/>
      </c>
      <c r="H366" s="1" t="str">
        <f>IF(OR($B366="",H$7=""),"",IF($B366="MEANS",INDEX('1-DATA'!$1:$1048576,$A365-1,COLUMN('1-DATA'!G364)),ROUND(INDEX('1-DATA'!$1:$1048576,IF(OR($B366="STD. DEVIATION",$C$1=1),$A366,$A366+1),COLUMN('1-DATA'!G364)),IF($B366="STD. DEVIATION",2,$F$1))))</f>
        <v/>
      </c>
      <c r="I366" s="1" t="str">
        <f>IF(OR($B366="",I$7=""),"",IF($B366="MEANS",INDEX('1-DATA'!$1:$1048576,$A365-1,COLUMN('1-DATA'!H364)),ROUND(INDEX('1-DATA'!$1:$1048576,IF(OR($B366="STD. DEVIATION",$C$1=1),$A366,$A366+1),COLUMN('1-DATA'!H364)),IF($B366="STD. DEVIATION",2,$F$1))))</f>
        <v/>
      </c>
      <c r="J366" s="1" t="str">
        <f>IF(OR($B366="",J$7=""),"",IF($B366="MEANS",INDEX('1-DATA'!$1:$1048576,$A365-1,COLUMN('1-DATA'!I364)),ROUND(INDEX('1-DATA'!$1:$1048576,IF(OR($B366="STD. DEVIATION",$C$1=1),$A366,$A366+1),COLUMN('1-DATA'!I364)),IF($B366="STD. DEVIATION",2,$F$1))))</f>
        <v/>
      </c>
      <c r="K366" s="1" t="str">
        <f>IF(OR($B366="",K$7=""),"",IF($B366="MEANS",INDEX('1-DATA'!$1:$1048576,$A365-1,COLUMN('1-DATA'!J364)),ROUND(INDEX('1-DATA'!$1:$1048576,IF(OR($B366="STD. DEVIATION",$C$1=1),$A366,$A366+1),COLUMN('1-DATA'!J364)),IF($B366="STD. DEVIATION",2,$F$1))))</f>
        <v/>
      </c>
      <c r="L366" s="1" t="str">
        <f>IF(OR($B366="",L$7=""),"",IF($B366="MEANS",INDEX('1-DATA'!$1:$1048576,$A365-1,COLUMN('1-DATA'!K364)),ROUND(INDEX('1-DATA'!$1:$1048576,IF(OR($B366="STD. DEVIATION",$C$1=1),$A366,$A366+1),COLUMN('1-DATA'!K364)),IF($B366="STD. DEVIATION",2,$F$1))))</f>
        <v/>
      </c>
      <c r="M366" s="1" t="str">
        <f>IF(OR($B366="",M$7=""),"",IF($B366="MEANS",INDEX('1-DATA'!$1:$1048576,$A365-1,COLUMN('1-DATA'!L364)),ROUND(INDEX('1-DATA'!$1:$1048576,IF(OR($B366="STD. DEVIATION",$C$1=1),$A366,$A366+1),COLUMN('1-DATA'!L364)),IF($B366="STD. DEVIATION",2,$F$1))))</f>
        <v/>
      </c>
      <c r="N366" s="1" t="str">
        <f>IF(OR($B366="",N$7=""),"",IF($B366="MEANS",INDEX('1-DATA'!$1:$1048576,$A365-1,COLUMN('1-DATA'!M364)),ROUND(INDEX('1-DATA'!$1:$1048576,IF(OR($B366="STD. DEVIATION",$C$1=1),$A366,$A366+1),COLUMN('1-DATA'!M364)),IF($B366="STD. DEVIATION",2,$F$1))))</f>
        <v/>
      </c>
      <c r="O366" s="1" t="str">
        <f>IF(OR($B366="",O$7=""),"",IF($B366="MEANS",INDEX('1-DATA'!$1:$1048576,$A365-1,COLUMN('1-DATA'!N364)),ROUND(INDEX('1-DATA'!$1:$1048576,IF(OR($B366="STD. DEVIATION",$C$1=1),$A366,$A366+1),COLUMN('1-DATA'!N364)),IF($B366="STD. DEVIATION",2,$F$1))))</f>
        <v/>
      </c>
      <c r="P366" s="1" t="str">
        <f>IF(OR($B366="",P$7=""),"",IF($B366="MEANS",INDEX('1-DATA'!$1:$1048576,$A365-1,COLUMN('1-DATA'!O364)),ROUND(INDEX('1-DATA'!$1:$1048576,IF(OR($B366="STD. DEVIATION",$C$1=1),$A366,$A366+1),COLUMN('1-DATA'!O364)),IF($B366="STD. DEVIATION",2,$F$1))))</f>
        <v/>
      </c>
      <c r="Q366" s="1" t="str">
        <f>IF(OR($B366="",Q$7=""),"",IF($B366="MEANS",INDEX('1-DATA'!$1:$1048576,$A365-1,COLUMN('1-DATA'!P364)),ROUND(INDEX('1-DATA'!$1:$1048576,IF(OR($B366="STD. DEVIATION",$C$1=1),$A366,$A366+1),COLUMN('1-DATA'!P364)),IF($B366="STD. DEVIATION",2,$F$1))))</f>
        <v/>
      </c>
      <c r="R366" s="1" t="str">
        <f>IF(OR($B366="",R$7=""),"",IF($B366="MEANS",INDEX('1-DATA'!$1:$1048576,$A365-1,COLUMN('1-DATA'!Q364)),ROUND(INDEX('1-DATA'!$1:$1048576,IF(OR($B366="STD. DEVIATION",$C$1=1),$A366,$A366+1),COLUMN('1-DATA'!Q364)),IF($B366="STD. DEVIATION",2,$F$1))))</f>
        <v/>
      </c>
      <c r="S366" s="1" t="str">
        <f>IF(OR($B366="",S$7=""),"",IF($B366="MEANS",INDEX('1-DATA'!$1:$1048576,$A365-1,COLUMN('1-DATA'!R364)),ROUND(INDEX('1-DATA'!$1:$1048576,IF(OR($B366="STD. DEVIATION",$C$1=1),$A366,$A366+1),COLUMN('1-DATA'!R364)),IF($B366="STD. DEVIATION",2,$F$1))))</f>
        <v/>
      </c>
      <c r="T366" s="1" t="str">
        <f>IF(OR($B366="",T$7=""),"",IF($B366="MEANS",INDEX('1-DATA'!$1:$1048576,$A365-1,COLUMN('1-DATA'!S364)),ROUND(INDEX('1-DATA'!$1:$1048576,IF(OR($B366="STD. DEVIATION",$C$1=1),$A366,$A366+1),COLUMN('1-DATA'!S364)),IF($B366="STD. DEVIATION",2,$F$1))))</f>
        <v/>
      </c>
      <c r="U366" s="1" t="str">
        <f>IF(OR($B366="",U$7=""),"",IF($B366="MEANS",INDEX('1-DATA'!$1:$1048576,$A365-1,COLUMN('1-DATA'!T364)),ROUND(INDEX('1-DATA'!$1:$1048576,IF(OR($B366="STD. DEVIATION",$C$1=1),$A366,$A366+1),COLUMN('1-DATA'!T364)),IF($B366="STD. DEVIATION",2,$F$1))))</f>
        <v/>
      </c>
      <c r="V366" s="1" t="str">
        <f>IF(OR($B366="",V$7=""),"",IF($B366="MEANS",INDEX('1-DATA'!$1:$1048576,$A365-1,COLUMN('1-DATA'!U364)),ROUND(INDEX('1-DATA'!$1:$1048576,IF(OR($B366="STD. DEVIATION",$C$1=1),$A366,$A366+1),COLUMN('1-DATA'!U364)),IF($B366="STD. DEVIATION",2,$F$1))))</f>
        <v/>
      </c>
      <c r="W366" s="1" t="str">
        <f>IF(OR($B366="",W$7=""),"",IF($B366="MEANS",INDEX('1-DATA'!$1:$1048576,$A365-1,COLUMN('1-DATA'!V364)),ROUND(INDEX('1-DATA'!$1:$1048576,IF(OR($B366="STD. DEVIATION",$C$1=1),$A366,$A366+1),COLUMN('1-DATA'!V364)),IF($B366="STD. DEVIATION",2,$F$1))))</f>
        <v/>
      </c>
      <c r="X366" s="1" t="str">
        <f>IF(OR($B366="",X$7=""),"",IF($B366="MEANS",INDEX('1-DATA'!$1:$1048576,$A365-1,COLUMN('1-DATA'!W364)),ROUND(INDEX('1-DATA'!$1:$1048576,IF(OR($B366="STD. DEVIATION",$C$1=1),$A366,$A366+1),COLUMN('1-DATA'!W364)),IF($B366="STD. DEVIATION",2,$F$1))))</f>
        <v/>
      </c>
      <c r="Y366" s="1" t="str">
        <f>IF(OR($B366="",Y$7=""),"",IF($B366="MEANS",INDEX('1-DATA'!$1:$1048576,$A365-1,COLUMN('1-DATA'!X364)),ROUND(INDEX('1-DATA'!$1:$1048576,IF(OR($B366="STD. DEVIATION",$C$1=1),$A366,$A366+1),COLUMN('1-DATA'!X364)),IF($B366="STD. DEVIATION",2,$F$1))))</f>
        <v/>
      </c>
      <c r="Z366" s="1" t="str">
        <f>IF(OR($B366="",Z$7=""),"",IF($B366="MEANS",INDEX('1-DATA'!$1:$1048576,$A365-1,COLUMN('1-DATA'!Y364)),ROUND(INDEX('1-DATA'!$1:$1048576,IF(OR($B366="STD. DEVIATION",$C$1=1),$A366,$A366+1),COLUMN('1-DATA'!Y364)),IF($B366="STD. DEVIATION",2,$F$1))))</f>
        <v/>
      </c>
      <c r="AA366" s="1" t="str">
        <f>IF(OR($B366="",AA$7=""),"",IF($B366="MEANS",INDEX('1-DATA'!$1:$1048576,$A365-1,COLUMN('1-DATA'!Z364)),ROUND(INDEX('1-DATA'!$1:$1048576,IF(OR($B366="STD. DEVIATION",$C$1=1),$A366,$A366+1),COLUMN('1-DATA'!Z364)),IF($B366="STD. DEVIATION",2,$F$1))))</f>
        <v/>
      </c>
      <c r="AB366" s="1" t="str">
        <f>IF(OR($B366="",AB$7=""),"",IF($B366="MEANS",INDEX('1-DATA'!$1:$1048576,$A365-1,COLUMN('1-DATA'!AA364)),ROUND(INDEX('1-DATA'!$1:$1048576,IF(OR($B366="STD. DEVIATION",$C$1=1),$A366,$A366+1),COLUMN('1-DATA'!AA364)),IF($B366="STD. DEVIATION",2,$F$1))))</f>
        <v/>
      </c>
      <c r="AC366" s="1" t="str">
        <f>IF(OR($B366="",AC$7=""),"",IF($B366="MEANS",INDEX('1-DATA'!$1:$1048576,$A365-1,COLUMN('1-DATA'!AB364)),ROUND(INDEX('1-DATA'!$1:$1048576,IF(OR($B366="STD. DEVIATION",$C$1=1),$A366,$A366+1),COLUMN('1-DATA'!AB364)),IF($B366="STD. DEVIATION",2,$F$1))))</f>
        <v/>
      </c>
      <c r="AD366" s="1" t="str">
        <f>IF(OR($B366="",AD$7=""),"",IF($B366="MEANS",INDEX('1-DATA'!$1:$1048576,$A365-1,COLUMN('1-DATA'!AC364)),ROUND(INDEX('1-DATA'!$1:$1048576,IF(OR($B366="STD. DEVIATION",$C$1=1),$A366,$A366+1),COLUMN('1-DATA'!AC364)),IF($B366="STD. DEVIATION",2,$F$1))))</f>
        <v/>
      </c>
      <c r="AE366" s="1" t="str">
        <f>IF(OR($B366="",AE$7=""),"",IF($B366="MEANS",INDEX('1-DATA'!$1:$1048576,$A365-1,COLUMN('1-DATA'!AD364)),ROUND(INDEX('1-DATA'!$1:$1048576,IF(OR($B366="STD. DEVIATION",$C$1=1),$A366,$A366+1),COLUMN('1-DATA'!AD364)),IF($B366="STD. DEVIATION",2,$F$1))))</f>
        <v/>
      </c>
      <c r="AF366" s="1" t="str">
        <f>IF(OR($B366="",AF$7=""),"",IF($B366="MEANS",INDEX('1-DATA'!$1:$1048576,$A365-1,COLUMN('1-DATA'!AE364)),ROUND(INDEX('1-DATA'!$1:$1048576,IF(OR($B366="STD. DEVIATION",$C$1=1),$A366,$A366+1),COLUMN('1-DATA'!AE364)),IF($B366="STD. DEVIATION",2,$F$1))))</f>
        <v/>
      </c>
      <c r="AG366" s="1" t="str">
        <f>IF(OR($B366="",AG$7=""),"",IF($B366="MEANS",INDEX('1-DATA'!$1:$1048576,$A365-1,COLUMN('1-DATA'!AF364)),ROUND(INDEX('1-DATA'!$1:$1048576,IF(OR($B366="STD. DEVIATION",$C$1=1),$A366,$A366+1),COLUMN('1-DATA'!AF364)),IF($B366="STD. DEVIATION",2,$F$1))))</f>
        <v/>
      </c>
      <c r="AH366" s="1" t="str">
        <f>IF(OR($B366="",AH$7=""),"",IF($B366="MEANS",INDEX('1-DATA'!$1:$1048576,$A365-1,COLUMN('1-DATA'!AG364)),ROUND(INDEX('1-DATA'!$1:$1048576,IF(OR($B366="STD. DEVIATION",$C$1=1),$A366,$A366+1),COLUMN('1-DATA'!AG364)),IF($B366="STD. DEVIATION",2,$F$1))))</f>
        <v/>
      </c>
      <c r="AI366" s="1" t="str">
        <f>IF(OR($B366="",AI$7=""),"",IF($B366="MEANS",INDEX('1-DATA'!$1:$1048576,$A365-1,COLUMN('1-DATA'!AH364)),ROUND(INDEX('1-DATA'!$1:$1048576,IF(OR($B366="STD. DEVIATION",$C$1=1),$A366,$A366+1),COLUMN('1-DATA'!AH364)),IF($B366="STD. DEVIATION",2,$F$1))))</f>
        <v/>
      </c>
      <c r="AJ366" s="1" t="str">
        <f>IF(OR($B366="",AJ$7=""),"",IF($B366="MEANS",INDEX('1-DATA'!$1:$1048576,$A365-1,COLUMN('1-DATA'!AI364)),ROUND(INDEX('1-DATA'!$1:$1048576,IF(OR($B366="STD. DEVIATION",$C$1=1),$A366,$A366+1),COLUMN('1-DATA'!AI364)),IF($B366="STD. DEVIATION",2,$F$1))))</f>
        <v/>
      </c>
      <c r="AK366" s="1" t="str">
        <f>IF(OR($B366="",AK$7=""),"",IF($B366="MEANS",INDEX('1-DATA'!$1:$1048576,$A365-1,COLUMN('1-DATA'!AJ364)),ROUND(INDEX('1-DATA'!$1:$1048576,IF(OR($B366="STD. DEVIATION",$C$1=1),$A366,$A366+1),COLUMN('1-DATA'!AJ364)),IF($B366="STD. DEVIATION",2,$F$1))))</f>
        <v/>
      </c>
      <c r="AL366" s="1" t="str">
        <f>IF(OR($B366="",AL$7=""),"",IF($B366="MEANS",INDEX('1-DATA'!$1:$1048576,$A365-1,COLUMN('1-DATA'!AK364)),ROUND(INDEX('1-DATA'!$1:$1048576,IF(OR($B366="STD. DEVIATION",$C$1=1),$A366,$A366+1),COLUMN('1-DATA'!AK364)),IF($B366="STD. DEVIATION",2,$F$1))))</f>
        <v/>
      </c>
      <c r="AM366" s="1" t="str">
        <f>IF(OR($B366="",AM$7=""),"",IF($B366="MEANS",INDEX('1-DATA'!$1:$1048576,$A365-1,COLUMN('1-DATA'!AL364)),ROUND(INDEX('1-DATA'!$1:$1048576,IF(OR($B366="STD. DEVIATION",$C$1=1),$A366,$A366+1),COLUMN('1-DATA'!AL364)),IF($B366="STD. DEVIATION",2,$F$1))))</f>
        <v/>
      </c>
      <c r="AN366" s="1" t="str">
        <f>IF(OR($B366="",AN$7=""),"",IF($B366="MEANS",INDEX('1-DATA'!$1:$1048576,$A365-1,COLUMN('1-DATA'!AM364)),ROUND(INDEX('1-DATA'!$1:$1048576,IF(OR($B366="STD. DEVIATION",$C$1=1),$A366,$A366+1),COLUMN('1-DATA'!AM364)),IF($B366="STD. DEVIATION",2,$F$1))))</f>
        <v/>
      </c>
      <c r="AO366" s="1" t="str">
        <f>IF(OR($B366="",AO$7=""),"",IF($B366="MEANS",INDEX('1-DATA'!$1:$1048576,$A365-1,COLUMN('1-DATA'!AN364)),ROUND(INDEX('1-DATA'!$1:$1048576,IF(OR($B366="STD. DEVIATION",$C$1=1),$A366,$A366+1),COLUMN('1-DATA'!AN364)),IF($B366="STD. DEVIATION",2,$F$1))))</f>
        <v/>
      </c>
      <c r="AP366" s="1" t="str">
        <f>IF(OR($B366="",AP$7=""),"",IF($B366="MEANS",INDEX('1-DATA'!$1:$1048576,$A365-1,COLUMN('1-DATA'!AO364)),ROUND(INDEX('1-DATA'!$1:$1048576,IF(OR($B366="STD. DEVIATION",$C$1=1),$A366,$A366+1),COLUMN('1-DATA'!AO364)),IF($B366="STD. DEVIATION",2,$F$1))))</f>
        <v/>
      </c>
      <c r="AQ366" s="1" t="str">
        <f>IF(OR($B366="",AQ$7=""),"",IF($B366="MEANS",INDEX('1-DATA'!$1:$1048576,$A365-1,COLUMN('1-DATA'!AP364)),ROUND(INDEX('1-DATA'!$1:$1048576,IF(OR($B366="STD. DEVIATION",$C$1=1),$A366,$A366+1),COLUMN('1-DATA'!AP364)),IF($B366="STD. DEVIATION",2,$F$1))))</f>
        <v/>
      </c>
      <c r="AR366" s="1" t="str">
        <f>IF(OR($B366="",AR$7=""),"",IF($B366="MEANS",INDEX('1-DATA'!$1:$1048576,$A365-1,COLUMN('1-DATA'!AQ364)),ROUND(INDEX('1-DATA'!$1:$1048576,IF(OR($B366="STD. DEVIATION",$C$1=1),$A366,$A366+1),COLUMN('1-DATA'!AQ364)),IF($B366="STD. DEVIATION",2,$F$1))))</f>
        <v/>
      </c>
      <c r="AS366" s="1" t="str">
        <f>IF(OR($B366="",AS$7=""),"",IF($B366="MEANS",INDEX('1-DATA'!$1:$1048576,$A365-1,COLUMN('1-DATA'!AR364)),ROUND(INDEX('1-DATA'!$1:$1048576,IF(OR($B366="STD. DEVIATION",$C$1=1),$A366,$A366+1),COLUMN('1-DATA'!AR364)),IF($B366="STD. DEVIATION",2,$F$1))))</f>
        <v/>
      </c>
      <c r="AT366" s="1" t="str">
        <f>IF(OR($B366="",AT$7=""),"",IF($B366="MEANS",INDEX('1-DATA'!$1:$1048576,$A365-1,COLUMN('1-DATA'!AS364)),ROUND(INDEX('1-DATA'!$1:$1048576,IF(OR($B366="STD. DEVIATION",$C$1=1),$A366,$A366+1),COLUMN('1-DATA'!AS364)),IF($B366="STD. DEVIATION",2,$F$1))))</f>
        <v/>
      </c>
      <c r="AU366" s="1" t="str">
        <f>IF(OR($B366="",AU$7=""),"",IF($B366="MEANS",INDEX('1-DATA'!$1:$1048576,$A365-1,COLUMN('1-DATA'!AT364)),ROUND(INDEX('1-DATA'!$1:$1048576,IF(OR($B366="STD. DEVIATION",$C$1=1),$A366,$A366+1),COLUMN('1-DATA'!AT364)),IF($B366="STD. DEVIATION",2,$F$1))))</f>
        <v/>
      </c>
      <c r="AV366" s="1" t="str">
        <f>IF(OR($B366="",AV$7=""),"",IF($B366="MEANS",INDEX('1-DATA'!$1:$1048576,$A365-1,COLUMN('1-DATA'!AU364)),ROUND(INDEX('1-DATA'!$1:$1048576,IF(OR($B366="STD. DEVIATION",$C$1=1),$A366,$A366+1),COLUMN('1-DATA'!AU364)),IF($B366="STD. DEVIATION",2,$F$1))))</f>
        <v/>
      </c>
      <c r="AW366" s="1" t="str">
        <f>IF(OR($B366="",AW$7=""),"",IF($B366="MEANS",INDEX('1-DATA'!$1:$1048576,$A365-1,COLUMN('1-DATA'!AV364)),ROUND(INDEX('1-DATA'!$1:$1048576,IF(OR($B366="STD. DEVIATION",$C$1=1),$A366,$A366+1),COLUMN('1-DATA'!AV364)),IF($B366="STD. DEVIATION",2,$F$1))))</f>
        <v/>
      </c>
      <c r="AX366" s="1" t="str">
        <f>IF(OR($B366="",AX$7=""),"",IF($B366="MEANS",INDEX('1-DATA'!$1:$1048576,$A365-1,COLUMN('1-DATA'!AW364)),ROUND(INDEX('1-DATA'!$1:$1048576,IF(OR($B366="STD. DEVIATION",$C$1=1),$A366,$A366+1),COLUMN('1-DATA'!AW364)),IF($B366="STD. DEVIATION",2,$F$1))))</f>
        <v/>
      </c>
      <c r="AY366" s="1" t="str">
        <f>IF(OR($B366="",AY$7=""),"",IF($B366="MEANS",INDEX('1-DATA'!$1:$1048576,$A365-1,COLUMN('1-DATA'!AX364)),ROUND(INDEX('1-DATA'!$1:$1048576,IF(OR($B366="STD. DEVIATION",$C$1=1),$A366,$A366+1),COLUMN('1-DATA'!AX364)),IF($B366="STD. DEVIATION",2,$F$1))))</f>
        <v/>
      </c>
      <c r="AZ366" s="1" t="str">
        <f>IF(OR($B366="",AZ$7=""),"",IF($B366="MEANS",INDEX('1-DATA'!$1:$1048576,$A365-1,COLUMN('1-DATA'!AY364)),ROUND(INDEX('1-DATA'!$1:$1048576,IF(OR($B366="STD. DEVIATION",$C$1=1),$A366,$A366+1),COLUMN('1-DATA'!AY364)),IF($B366="STD. DEVIATION",2,$F$1))))</f>
        <v/>
      </c>
    </row>
    <row r="367" spans="1:52" x14ac:dyDescent="0.25">
      <c r="A367" s="11">
        <f t="shared" si="6"/>
        <v>1087</v>
      </c>
      <c r="B367" s="1" t="str">
        <f>IF(B366="STD. DEVIATION",INDEX('1-DATA'!$1:$1048576,$A366-1,1),IF(INDEX('1-DATA'!$1:$1048576,$A367,1)&lt;&gt;"",INDEX('1-DATA'!$1:$1048576,$A367,1),""))</f>
        <v/>
      </c>
      <c r="C367" s="1" t="str">
        <f>IF(OR($B367="",C$7=""),"",IF($B367="MEANS",INDEX('1-DATA'!$1:$1048576,$A366-1,COLUMN('1-DATA'!B365)),ROUND(INDEX('1-DATA'!$1:$1048576,IF(OR($B367="STD. DEVIATION",$C$1=1),$A367,$A367+1),COLUMN('1-DATA'!B365)),IF($B367="STD. DEVIATION",2,$F$1))))</f>
        <v/>
      </c>
      <c r="D367" s="1" t="str">
        <f>IF(OR($B367="",D$7=""),"",IF($B367="MEANS",INDEX('1-DATA'!$1:$1048576,$A366-1,COLUMN('1-DATA'!C365)),ROUND(INDEX('1-DATA'!$1:$1048576,IF(OR($B367="STD. DEVIATION",$C$1=1),$A367,$A367+1),COLUMN('1-DATA'!C365)),IF($B367="STD. DEVIATION",2,$F$1))))</f>
        <v/>
      </c>
      <c r="E367" s="1" t="str">
        <f>IF(OR($B367="",E$7=""),"",IF($B367="MEANS",INDEX('1-DATA'!$1:$1048576,$A366-1,COLUMN('1-DATA'!D365)),ROUND(INDEX('1-DATA'!$1:$1048576,IF(OR($B367="STD. DEVIATION",$C$1=1),$A367,$A367+1),COLUMN('1-DATA'!D365)),IF($B367="STD. DEVIATION",2,$F$1))))</f>
        <v/>
      </c>
      <c r="F367" s="1" t="str">
        <f>IF(OR($B367="",F$7=""),"",IF($B367="MEANS",INDEX('1-DATA'!$1:$1048576,$A366-1,COLUMN('1-DATA'!E365)),ROUND(INDEX('1-DATA'!$1:$1048576,IF(OR($B367="STD. DEVIATION",$C$1=1),$A367,$A367+1),COLUMN('1-DATA'!E365)),IF($B367="STD. DEVIATION",2,$F$1))))</f>
        <v/>
      </c>
      <c r="G367" s="1" t="str">
        <f>IF(OR($B367="",G$7=""),"",IF($B367="MEANS",INDEX('1-DATA'!$1:$1048576,$A366-1,COLUMN('1-DATA'!F365)),ROUND(INDEX('1-DATA'!$1:$1048576,IF(OR($B367="STD. DEVIATION",$C$1=1),$A367,$A367+1),COLUMN('1-DATA'!F365)),IF($B367="STD. DEVIATION",2,$F$1))))</f>
        <v/>
      </c>
      <c r="H367" s="1" t="str">
        <f>IF(OR($B367="",H$7=""),"",IF($B367="MEANS",INDEX('1-DATA'!$1:$1048576,$A366-1,COLUMN('1-DATA'!G365)),ROUND(INDEX('1-DATA'!$1:$1048576,IF(OR($B367="STD. DEVIATION",$C$1=1),$A367,$A367+1),COLUMN('1-DATA'!G365)),IF($B367="STD. DEVIATION",2,$F$1))))</f>
        <v/>
      </c>
      <c r="I367" s="1" t="str">
        <f>IF(OR($B367="",I$7=""),"",IF($B367="MEANS",INDEX('1-DATA'!$1:$1048576,$A366-1,COLUMN('1-DATA'!H365)),ROUND(INDEX('1-DATA'!$1:$1048576,IF(OR($B367="STD. DEVIATION",$C$1=1),$A367,$A367+1),COLUMN('1-DATA'!H365)),IF($B367="STD. DEVIATION",2,$F$1))))</f>
        <v/>
      </c>
      <c r="J367" s="1" t="str">
        <f>IF(OR($B367="",J$7=""),"",IF($B367="MEANS",INDEX('1-DATA'!$1:$1048576,$A366-1,COLUMN('1-DATA'!I365)),ROUND(INDEX('1-DATA'!$1:$1048576,IF(OR($B367="STD. DEVIATION",$C$1=1),$A367,$A367+1),COLUMN('1-DATA'!I365)),IF($B367="STD. DEVIATION",2,$F$1))))</f>
        <v/>
      </c>
      <c r="K367" s="1" t="str">
        <f>IF(OR($B367="",K$7=""),"",IF($B367="MEANS",INDEX('1-DATA'!$1:$1048576,$A366-1,COLUMN('1-DATA'!J365)),ROUND(INDEX('1-DATA'!$1:$1048576,IF(OR($B367="STD. DEVIATION",$C$1=1),$A367,$A367+1),COLUMN('1-DATA'!J365)),IF($B367="STD. DEVIATION",2,$F$1))))</f>
        <v/>
      </c>
      <c r="L367" s="1" t="str">
        <f>IF(OR($B367="",L$7=""),"",IF($B367="MEANS",INDEX('1-DATA'!$1:$1048576,$A366-1,COLUMN('1-DATA'!K365)),ROUND(INDEX('1-DATA'!$1:$1048576,IF(OR($B367="STD. DEVIATION",$C$1=1),$A367,$A367+1),COLUMN('1-DATA'!K365)),IF($B367="STD. DEVIATION",2,$F$1))))</f>
        <v/>
      </c>
      <c r="M367" s="1" t="str">
        <f>IF(OR($B367="",M$7=""),"",IF($B367="MEANS",INDEX('1-DATA'!$1:$1048576,$A366-1,COLUMN('1-DATA'!L365)),ROUND(INDEX('1-DATA'!$1:$1048576,IF(OR($B367="STD. DEVIATION",$C$1=1),$A367,$A367+1),COLUMN('1-DATA'!L365)),IF($B367="STD. DEVIATION",2,$F$1))))</f>
        <v/>
      </c>
      <c r="N367" s="1" t="str">
        <f>IF(OR($B367="",N$7=""),"",IF($B367="MEANS",INDEX('1-DATA'!$1:$1048576,$A366-1,COLUMN('1-DATA'!M365)),ROUND(INDEX('1-DATA'!$1:$1048576,IF(OR($B367="STD. DEVIATION",$C$1=1),$A367,$A367+1),COLUMN('1-DATA'!M365)),IF($B367="STD. DEVIATION",2,$F$1))))</f>
        <v/>
      </c>
      <c r="O367" s="1" t="str">
        <f>IF(OR($B367="",O$7=""),"",IF($B367="MEANS",INDEX('1-DATA'!$1:$1048576,$A366-1,COLUMN('1-DATA'!N365)),ROUND(INDEX('1-DATA'!$1:$1048576,IF(OR($B367="STD. DEVIATION",$C$1=1),$A367,$A367+1),COLUMN('1-DATA'!N365)),IF($B367="STD. DEVIATION",2,$F$1))))</f>
        <v/>
      </c>
      <c r="P367" s="1" t="str">
        <f>IF(OR($B367="",P$7=""),"",IF($B367="MEANS",INDEX('1-DATA'!$1:$1048576,$A366-1,COLUMN('1-DATA'!O365)),ROUND(INDEX('1-DATA'!$1:$1048576,IF(OR($B367="STD. DEVIATION",$C$1=1),$A367,$A367+1),COLUMN('1-DATA'!O365)),IF($B367="STD. DEVIATION",2,$F$1))))</f>
        <v/>
      </c>
      <c r="Q367" s="1" t="str">
        <f>IF(OR($B367="",Q$7=""),"",IF($B367="MEANS",INDEX('1-DATA'!$1:$1048576,$A366-1,COLUMN('1-DATA'!P365)),ROUND(INDEX('1-DATA'!$1:$1048576,IF(OR($B367="STD. DEVIATION",$C$1=1),$A367,$A367+1),COLUMN('1-DATA'!P365)),IF($B367="STD. DEVIATION",2,$F$1))))</f>
        <v/>
      </c>
      <c r="R367" s="1" t="str">
        <f>IF(OR($B367="",R$7=""),"",IF($B367="MEANS",INDEX('1-DATA'!$1:$1048576,$A366-1,COLUMN('1-DATA'!Q365)),ROUND(INDEX('1-DATA'!$1:$1048576,IF(OR($B367="STD. DEVIATION",$C$1=1),$A367,$A367+1),COLUMN('1-DATA'!Q365)),IF($B367="STD. DEVIATION",2,$F$1))))</f>
        <v/>
      </c>
      <c r="S367" s="1" t="str">
        <f>IF(OR($B367="",S$7=""),"",IF($B367="MEANS",INDEX('1-DATA'!$1:$1048576,$A366-1,COLUMN('1-DATA'!R365)),ROUND(INDEX('1-DATA'!$1:$1048576,IF(OR($B367="STD. DEVIATION",$C$1=1),$A367,$A367+1),COLUMN('1-DATA'!R365)),IF($B367="STD. DEVIATION",2,$F$1))))</f>
        <v/>
      </c>
      <c r="T367" s="1" t="str">
        <f>IF(OR($B367="",T$7=""),"",IF($B367="MEANS",INDEX('1-DATA'!$1:$1048576,$A366-1,COLUMN('1-DATA'!S365)),ROUND(INDEX('1-DATA'!$1:$1048576,IF(OR($B367="STD. DEVIATION",$C$1=1),$A367,$A367+1),COLUMN('1-DATA'!S365)),IF($B367="STD. DEVIATION",2,$F$1))))</f>
        <v/>
      </c>
      <c r="U367" s="1" t="str">
        <f>IF(OR($B367="",U$7=""),"",IF($B367="MEANS",INDEX('1-DATA'!$1:$1048576,$A366-1,COLUMN('1-DATA'!T365)),ROUND(INDEX('1-DATA'!$1:$1048576,IF(OR($B367="STD. DEVIATION",$C$1=1),$A367,$A367+1),COLUMN('1-DATA'!T365)),IF($B367="STD. DEVIATION",2,$F$1))))</f>
        <v/>
      </c>
      <c r="V367" s="1" t="str">
        <f>IF(OR($B367="",V$7=""),"",IF($B367="MEANS",INDEX('1-DATA'!$1:$1048576,$A366-1,COLUMN('1-DATA'!U365)),ROUND(INDEX('1-DATA'!$1:$1048576,IF(OR($B367="STD. DEVIATION",$C$1=1),$A367,$A367+1),COLUMN('1-DATA'!U365)),IF($B367="STD. DEVIATION",2,$F$1))))</f>
        <v/>
      </c>
      <c r="W367" s="1" t="str">
        <f>IF(OR($B367="",W$7=""),"",IF($B367="MEANS",INDEX('1-DATA'!$1:$1048576,$A366-1,COLUMN('1-DATA'!V365)),ROUND(INDEX('1-DATA'!$1:$1048576,IF(OR($B367="STD. DEVIATION",$C$1=1),$A367,$A367+1),COLUMN('1-DATA'!V365)),IF($B367="STD. DEVIATION",2,$F$1))))</f>
        <v/>
      </c>
      <c r="X367" s="1" t="str">
        <f>IF(OR($B367="",X$7=""),"",IF($B367="MEANS",INDEX('1-DATA'!$1:$1048576,$A366-1,COLUMN('1-DATA'!W365)),ROUND(INDEX('1-DATA'!$1:$1048576,IF(OR($B367="STD. DEVIATION",$C$1=1),$A367,$A367+1),COLUMN('1-DATA'!W365)),IF($B367="STD. DEVIATION",2,$F$1))))</f>
        <v/>
      </c>
      <c r="Y367" s="1" t="str">
        <f>IF(OR($B367="",Y$7=""),"",IF($B367="MEANS",INDEX('1-DATA'!$1:$1048576,$A366-1,COLUMN('1-DATA'!X365)),ROUND(INDEX('1-DATA'!$1:$1048576,IF(OR($B367="STD. DEVIATION",$C$1=1),$A367,$A367+1),COLUMN('1-DATA'!X365)),IF($B367="STD. DEVIATION",2,$F$1))))</f>
        <v/>
      </c>
      <c r="Z367" s="1" t="str">
        <f>IF(OR($B367="",Z$7=""),"",IF($B367="MEANS",INDEX('1-DATA'!$1:$1048576,$A366-1,COLUMN('1-DATA'!Y365)),ROUND(INDEX('1-DATA'!$1:$1048576,IF(OR($B367="STD. DEVIATION",$C$1=1),$A367,$A367+1),COLUMN('1-DATA'!Y365)),IF($B367="STD. DEVIATION",2,$F$1))))</f>
        <v/>
      </c>
      <c r="AA367" s="1" t="str">
        <f>IF(OR($B367="",AA$7=""),"",IF($B367="MEANS",INDEX('1-DATA'!$1:$1048576,$A366-1,COLUMN('1-DATA'!Z365)),ROUND(INDEX('1-DATA'!$1:$1048576,IF(OR($B367="STD. DEVIATION",$C$1=1),$A367,$A367+1),COLUMN('1-DATA'!Z365)),IF($B367="STD. DEVIATION",2,$F$1))))</f>
        <v/>
      </c>
      <c r="AB367" s="1" t="str">
        <f>IF(OR($B367="",AB$7=""),"",IF($B367="MEANS",INDEX('1-DATA'!$1:$1048576,$A366-1,COLUMN('1-DATA'!AA365)),ROUND(INDEX('1-DATA'!$1:$1048576,IF(OR($B367="STD. DEVIATION",$C$1=1),$A367,$A367+1),COLUMN('1-DATA'!AA365)),IF($B367="STD. DEVIATION",2,$F$1))))</f>
        <v/>
      </c>
      <c r="AC367" s="1" t="str">
        <f>IF(OR($B367="",AC$7=""),"",IF($B367="MEANS",INDEX('1-DATA'!$1:$1048576,$A366-1,COLUMN('1-DATA'!AB365)),ROUND(INDEX('1-DATA'!$1:$1048576,IF(OR($B367="STD. DEVIATION",$C$1=1),$A367,$A367+1),COLUMN('1-DATA'!AB365)),IF($B367="STD. DEVIATION",2,$F$1))))</f>
        <v/>
      </c>
      <c r="AD367" s="1" t="str">
        <f>IF(OR($B367="",AD$7=""),"",IF($B367="MEANS",INDEX('1-DATA'!$1:$1048576,$A366-1,COLUMN('1-DATA'!AC365)),ROUND(INDEX('1-DATA'!$1:$1048576,IF(OR($B367="STD. DEVIATION",$C$1=1),$A367,$A367+1),COLUMN('1-DATA'!AC365)),IF($B367="STD. DEVIATION",2,$F$1))))</f>
        <v/>
      </c>
      <c r="AE367" s="1" t="str">
        <f>IF(OR($B367="",AE$7=""),"",IF($B367="MEANS",INDEX('1-DATA'!$1:$1048576,$A366-1,COLUMN('1-DATA'!AD365)),ROUND(INDEX('1-DATA'!$1:$1048576,IF(OR($B367="STD. DEVIATION",$C$1=1),$A367,$A367+1),COLUMN('1-DATA'!AD365)),IF($B367="STD. DEVIATION",2,$F$1))))</f>
        <v/>
      </c>
      <c r="AF367" s="1" t="str">
        <f>IF(OR($B367="",AF$7=""),"",IF($B367="MEANS",INDEX('1-DATA'!$1:$1048576,$A366-1,COLUMN('1-DATA'!AE365)),ROUND(INDEX('1-DATA'!$1:$1048576,IF(OR($B367="STD. DEVIATION",$C$1=1),$A367,$A367+1),COLUMN('1-DATA'!AE365)),IF($B367="STD. DEVIATION",2,$F$1))))</f>
        <v/>
      </c>
      <c r="AG367" s="1" t="str">
        <f>IF(OR($B367="",AG$7=""),"",IF($B367="MEANS",INDEX('1-DATA'!$1:$1048576,$A366-1,COLUMN('1-DATA'!AF365)),ROUND(INDEX('1-DATA'!$1:$1048576,IF(OR($B367="STD. DEVIATION",$C$1=1),$A367,$A367+1),COLUMN('1-DATA'!AF365)),IF($B367="STD. DEVIATION",2,$F$1))))</f>
        <v/>
      </c>
      <c r="AH367" s="1" t="str">
        <f>IF(OR($B367="",AH$7=""),"",IF($B367="MEANS",INDEX('1-DATA'!$1:$1048576,$A366-1,COLUMN('1-DATA'!AG365)),ROUND(INDEX('1-DATA'!$1:$1048576,IF(OR($B367="STD. DEVIATION",$C$1=1),$A367,$A367+1),COLUMN('1-DATA'!AG365)),IF($B367="STD. DEVIATION",2,$F$1))))</f>
        <v/>
      </c>
      <c r="AI367" s="1" t="str">
        <f>IF(OR($B367="",AI$7=""),"",IF($B367="MEANS",INDEX('1-DATA'!$1:$1048576,$A366-1,COLUMN('1-DATA'!AH365)),ROUND(INDEX('1-DATA'!$1:$1048576,IF(OR($B367="STD. DEVIATION",$C$1=1),$A367,$A367+1),COLUMN('1-DATA'!AH365)),IF($B367="STD. DEVIATION",2,$F$1))))</f>
        <v/>
      </c>
      <c r="AJ367" s="1" t="str">
        <f>IF(OR($B367="",AJ$7=""),"",IF($B367="MEANS",INDEX('1-DATA'!$1:$1048576,$A366-1,COLUMN('1-DATA'!AI365)),ROUND(INDEX('1-DATA'!$1:$1048576,IF(OR($B367="STD. DEVIATION",$C$1=1),$A367,$A367+1),COLUMN('1-DATA'!AI365)),IF($B367="STD. DEVIATION",2,$F$1))))</f>
        <v/>
      </c>
      <c r="AK367" s="1" t="str">
        <f>IF(OR($B367="",AK$7=""),"",IF($B367="MEANS",INDEX('1-DATA'!$1:$1048576,$A366-1,COLUMN('1-DATA'!AJ365)),ROUND(INDEX('1-DATA'!$1:$1048576,IF(OR($B367="STD. DEVIATION",$C$1=1),$A367,$A367+1),COLUMN('1-DATA'!AJ365)),IF($B367="STD. DEVIATION",2,$F$1))))</f>
        <v/>
      </c>
      <c r="AL367" s="1" t="str">
        <f>IF(OR($B367="",AL$7=""),"",IF($B367="MEANS",INDEX('1-DATA'!$1:$1048576,$A366-1,COLUMN('1-DATA'!AK365)),ROUND(INDEX('1-DATA'!$1:$1048576,IF(OR($B367="STD. DEVIATION",$C$1=1),$A367,$A367+1),COLUMN('1-DATA'!AK365)),IF($B367="STD. DEVIATION",2,$F$1))))</f>
        <v/>
      </c>
      <c r="AM367" s="1" t="str">
        <f>IF(OR($B367="",AM$7=""),"",IF($B367="MEANS",INDEX('1-DATA'!$1:$1048576,$A366-1,COLUMN('1-DATA'!AL365)),ROUND(INDEX('1-DATA'!$1:$1048576,IF(OR($B367="STD. DEVIATION",$C$1=1),$A367,$A367+1),COLUMN('1-DATA'!AL365)),IF($B367="STD. DEVIATION",2,$F$1))))</f>
        <v/>
      </c>
      <c r="AN367" s="1" t="str">
        <f>IF(OR($B367="",AN$7=""),"",IF($B367="MEANS",INDEX('1-DATA'!$1:$1048576,$A366-1,COLUMN('1-DATA'!AM365)),ROUND(INDEX('1-DATA'!$1:$1048576,IF(OR($B367="STD. DEVIATION",$C$1=1),$A367,$A367+1),COLUMN('1-DATA'!AM365)),IF($B367="STD. DEVIATION",2,$F$1))))</f>
        <v/>
      </c>
      <c r="AO367" s="1" t="str">
        <f>IF(OR($B367="",AO$7=""),"",IF($B367="MEANS",INDEX('1-DATA'!$1:$1048576,$A366-1,COLUMN('1-DATA'!AN365)),ROUND(INDEX('1-DATA'!$1:$1048576,IF(OR($B367="STD. DEVIATION",$C$1=1),$A367,$A367+1),COLUMN('1-DATA'!AN365)),IF($B367="STD. DEVIATION",2,$F$1))))</f>
        <v/>
      </c>
      <c r="AP367" s="1" t="str">
        <f>IF(OR($B367="",AP$7=""),"",IF($B367="MEANS",INDEX('1-DATA'!$1:$1048576,$A366-1,COLUMN('1-DATA'!AO365)),ROUND(INDEX('1-DATA'!$1:$1048576,IF(OR($B367="STD. DEVIATION",$C$1=1),$A367,$A367+1),COLUMN('1-DATA'!AO365)),IF($B367="STD. DEVIATION",2,$F$1))))</f>
        <v/>
      </c>
      <c r="AQ367" s="1" t="str">
        <f>IF(OR($B367="",AQ$7=""),"",IF($B367="MEANS",INDEX('1-DATA'!$1:$1048576,$A366-1,COLUMN('1-DATA'!AP365)),ROUND(INDEX('1-DATA'!$1:$1048576,IF(OR($B367="STD. DEVIATION",$C$1=1),$A367,$A367+1),COLUMN('1-DATA'!AP365)),IF($B367="STD. DEVIATION",2,$F$1))))</f>
        <v/>
      </c>
      <c r="AR367" s="1" t="str">
        <f>IF(OR($B367="",AR$7=""),"",IF($B367="MEANS",INDEX('1-DATA'!$1:$1048576,$A366-1,COLUMN('1-DATA'!AQ365)),ROUND(INDEX('1-DATA'!$1:$1048576,IF(OR($B367="STD. DEVIATION",$C$1=1),$A367,$A367+1),COLUMN('1-DATA'!AQ365)),IF($B367="STD. DEVIATION",2,$F$1))))</f>
        <v/>
      </c>
      <c r="AS367" s="1" t="str">
        <f>IF(OR($B367="",AS$7=""),"",IF($B367="MEANS",INDEX('1-DATA'!$1:$1048576,$A366-1,COLUMN('1-DATA'!AR365)),ROUND(INDEX('1-DATA'!$1:$1048576,IF(OR($B367="STD. DEVIATION",$C$1=1),$A367,$A367+1),COLUMN('1-DATA'!AR365)),IF($B367="STD. DEVIATION",2,$F$1))))</f>
        <v/>
      </c>
      <c r="AT367" s="1" t="str">
        <f>IF(OR($B367="",AT$7=""),"",IF($B367="MEANS",INDEX('1-DATA'!$1:$1048576,$A366-1,COLUMN('1-DATA'!AS365)),ROUND(INDEX('1-DATA'!$1:$1048576,IF(OR($B367="STD. DEVIATION",$C$1=1),$A367,$A367+1),COLUMN('1-DATA'!AS365)),IF($B367="STD. DEVIATION",2,$F$1))))</f>
        <v/>
      </c>
      <c r="AU367" s="1" t="str">
        <f>IF(OR($B367="",AU$7=""),"",IF($B367="MEANS",INDEX('1-DATA'!$1:$1048576,$A366-1,COLUMN('1-DATA'!AT365)),ROUND(INDEX('1-DATA'!$1:$1048576,IF(OR($B367="STD. DEVIATION",$C$1=1),$A367,$A367+1),COLUMN('1-DATA'!AT365)),IF($B367="STD. DEVIATION",2,$F$1))))</f>
        <v/>
      </c>
      <c r="AV367" s="1" t="str">
        <f>IF(OR($B367="",AV$7=""),"",IF($B367="MEANS",INDEX('1-DATA'!$1:$1048576,$A366-1,COLUMN('1-DATA'!AU365)),ROUND(INDEX('1-DATA'!$1:$1048576,IF(OR($B367="STD. DEVIATION",$C$1=1),$A367,$A367+1),COLUMN('1-DATA'!AU365)),IF($B367="STD. DEVIATION",2,$F$1))))</f>
        <v/>
      </c>
      <c r="AW367" s="1" t="str">
        <f>IF(OR($B367="",AW$7=""),"",IF($B367="MEANS",INDEX('1-DATA'!$1:$1048576,$A366-1,COLUMN('1-DATA'!AV365)),ROUND(INDEX('1-DATA'!$1:$1048576,IF(OR($B367="STD. DEVIATION",$C$1=1),$A367,$A367+1),COLUMN('1-DATA'!AV365)),IF($B367="STD. DEVIATION",2,$F$1))))</f>
        <v/>
      </c>
      <c r="AX367" s="1" t="str">
        <f>IF(OR($B367="",AX$7=""),"",IF($B367="MEANS",INDEX('1-DATA'!$1:$1048576,$A366-1,COLUMN('1-DATA'!AW365)),ROUND(INDEX('1-DATA'!$1:$1048576,IF(OR($B367="STD. DEVIATION",$C$1=1),$A367,$A367+1),COLUMN('1-DATA'!AW365)),IF($B367="STD. DEVIATION",2,$F$1))))</f>
        <v/>
      </c>
      <c r="AY367" s="1" t="str">
        <f>IF(OR($B367="",AY$7=""),"",IF($B367="MEANS",INDEX('1-DATA'!$1:$1048576,$A366-1,COLUMN('1-DATA'!AX365)),ROUND(INDEX('1-DATA'!$1:$1048576,IF(OR($B367="STD. DEVIATION",$C$1=1),$A367,$A367+1),COLUMN('1-DATA'!AX365)),IF($B367="STD. DEVIATION",2,$F$1))))</f>
        <v/>
      </c>
      <c r="AZ367" s="1" t="str">
        <f>IF(OR($B367="",AZ$7=""),"",IF($B367="MEANS",INDEX('1-DATA'!$1:$1048576,$A366-1,COLUMN('1-DATA'!AY365)),ROUND(INDEX('1-DATA'!$1:$1048576,IF(OR($B367="STD. DEVIATION",$C$1=1),$A367,$A367+1),COLUMN('1-DATA'!AY365)),IF($B367="STD. DEVIATION",2,$F$1))))</f>
        <v/>
      </c>
    </row>
    <row r="368" spans="1:52" x14ac:dyDescent="0.25">
      <c r="A368" s="11">
        <f t="shared" si="6"/>
        <v>1090</v>
      </c>
      <c r="B368" s="1" t="str">
        <f>IF(B367="STD. DEVIATION",INDEX('1-DATA'!$1:$1048576,$A367-1,1),IF(INDEX('1-DATA'!$1:$1048576,$A368,1)&lt;&gt;"",INDEX('1-DATA'!$1:$1048576,$A368,1),""))</f>
        <v/>
      </c>
      <c r="C368" s="1" t="str">
        <f>IF(OR($B368="",C$7=""),"",IF($B368="MEANS",INDEX('1-DATA'!$1:$1048576,$A367-1,COLUMN('1-DATA'!B366)),ROUND(INDEX('1-DATA'!$1:$1048576,IF(OR($B368="STD. DEVIATION",$C$1=1),$A368,$A368+1),COLUMN('1-DATA'!B366)),IF($B368="STD. DEVIATION",2,$F$1))))</f>
        <v/>
      </c>
      <c r="D368" s="1" t="str">
        <f>IF(OR($B368="",D$7=""),"",IF($B368="MEANS",INDEX('1-DATA'!$1:$1048576,$A367-1,COLUMN('1-DATA'!C366)),ROUND(INDEX('1-DATA'!$1:$1048576,IF(OR($B368="STD. DEVIATION",$C$1=1),$A368,$A368+1),COLUMN('1-DATA'!C366)),IF($B368="STD. DEVIATION",2,$F$1))))</f>
        <v/>
      </c>
      <c r="E368" s="1" t="str">
        <f>IF(OR($B368="",E$7=""),"",IF($B368="MEANS",INDEX('1-DATA'!$1:$1048576,$A367-1,COLUMN('1-DATA'!D366)),ROUND(INDEX('1-DATA'!$1:$1048576,IF(OR($B368="STD. DEVIATION",$C$1=1),$A368,$A368+1),COLUMN('1-DATA'!D366)),IF($B368="STD. DEVIATION",2,$F$1))))</f>
        <v/>
      </c>
      <c r="F368" s="1" t="str">
        <f>IF(OR($B368="",F$7=""),"",IF($B368="MEANS",INDEX('1-DATA'!$1:$1048576,$A367-1,COLUMN('1-DATA'!E366)),ROUND(INDEX('1-DATA'!$1:$1048576,IF(OR($B368="STD. DEVIATION",$C$1=1),$A368,$A368+1),COLUMN('1-DATA'!E366)),IF($B368="STD. DEVIATION",2,$F$1))))</f>
        <v/>
      </c>
      <c r="G368" s="1" t="str">
        <f>IF(OR($B368="",G$7=""),"",IF($B368="MEANS",INDEX('1-DATA'!$1:$1048576,$A367-1,COLUMN('1-DATA'!F366)),ROUND(INDEX('1-DATA'!$1:$1048576,IF(OR($B368="STD. DEVIATION",$C$1=1),$A368,$A368+1),COLUMN('1-DATA'!F366)),IF($B368="STD. DEVIATION",2,$F$1))))</f>
        <v/>
      </c>
      <c r="H368" s="1" t="str">
        <f>IF(OR($B368="",H$7=""),"",IF($B368="MEANS",INDEX('1-DATA'!$1:$1048576,$A367-1,COLUMN('1-DATA'!G366)),ROUND(INDEX('1-DATA'!$1:$1048576,IF(OR($B368="STD. DEVIATION",$C$1=1),$A368,$A368+1),COLUMN('1-DATA'!G366)),IF($B368="STD. DEVIATION",2,$F$1))))</f>
        <v/>
      </c>
      <c r="I368" s="1" t="str">
        <f>IF(OR($B368="",I$7=""),"",IF($B368="MEANS",INDEX('1-DATA'!$1:$1048576,$A367-1,COLUMN('1-DATA'!H366)),ROUND(INDEX('1-DATA'!$1:$1048576,IF(OR($B368="STD. DEVIATION",$C$1=1),$A368,$A368+1),COLUMN('1-DATA'!H366)),IF($B368="STD. DEVIATION",2,$F$1))))</f>
        <v/>
      </c>
      <c r="J368" s="1" t="str">
        <f>IF(OR($B368="",J$7=""),"",IF($B368="MEANS",INDEX('1-DATA'!$1:$1048576,$A367-1,COLUMN('1-DATA'!I366)),ROUND(INDEX('1-DATA'!$1:$1048576,IF(OR($B368="STD. DEVIATION",$C$1=1),$A368,$A368+1),COLUMN('1-DATA'!I366)),IF($B368="STD. DEVIATION",2,$F$1))))</f>
        <v/>
      </c>
      <c r="K368" s="1" t="str">
        <f>IF(OR($B368="",K$7=""),"",IF($B368="MEANS",INDEX('1-DATA'!$1:$1048576,$A367-1,COLUMN('1-DATA'!J366)),ROUND(INDEX('1-DATA'!$1:$1048576,IF(OR($B368="STD. DEVIATION",$C$1=1),$A368,$A368+1),COLUMN('1-DATA'!J366)),IF($B368="STD. DEVIATION",2,$F$1))))</f>
        <v/>
      </c>
      <c r="L368" s="1" t="str">
        <f>IF(OR($B368="",L$7=""),"",IF($B368="MEANS",INDEX('1-DATA'!$1:$1048576,$A367-1,COLUMN('1-DATA'!K366)),ROUND(INDEX('1-DATA'!$1:$1048576,IF(OR($B368="STD. DEVIATION",$C$1=1),$A368,$A368+1),COLUMN('1-DATA'!K366)),IF($B368="STD. DEVIATION",2,$F$1))))</f>
        <v/>
      </c>
      <c r="M368" s="1" t="str">
        <f>IF(OR($B368="",M$7=""),"",IF($B368="MEANS",INDEX('1-DATA'!$1:$1048576,$A367-1,COLUMN('1-DATA'!L366)),ROUND(INDEX('1-DATA'!$1:$1048576,IF(OR($B368="STD. DEVIATION",$C$1=1),$A368,$A368+1),COLUMN('1-DATA'!L366)),IF($B368="STD. DEVIATION",2,$F$1))))</f>
        <v/>
      </c>
      <c r="N368" s="1" t="str">
        <f>IF(OR($B368="",N$7=""),"",IF($B368="MEANS",INDEX('1-DATA'!$1:$1048576,$A367-1,COLUMN('1-DATA'!M366)),ROUND(INDEX('1-DATA'!$1:$1048576,IF(OR($B368="STD. DEVIATION",$C$1=1),$A368,$A368+1),COLUMN('1-DATA'!M366)),IF($B368="STD. DEVIATION",2,$F$1))))</f>
        <v/>
      </c>
      <c r="O368" s="1" t="str">
        <f>IF(OR($B368="",O$7=""),"",IF($B368="MEANS",INDEX('1-DATA'!$1:$1048576,$A367-1,COLUMN('1-DATA'!N366)),ROUND(INDEX('1-DATA'!$1:$1048576,IF(OR($B368="STD. DEVIATION",$C$1=1),$A368,$A368+1),COLUMN('1-DATA'!N366)),IF($B368="STD. DEVIATION",2,$F$1))))</f>
        <v/>
      </c>
      <c r="P368" s="1" t="str">
        <f>IF(OR($B368="",P$7=""),"",IF($B368="MEANS",INDEX('1-DATA'!$1:$1048576,$A367-1,COLUMN('1-DATA'!O366)),ROUND(INDEX('1-DATA'!$1:$1048576,IF(OR($B368="STD. DEVIATION",$C$1=1),$A368,$A368+1),COLUMN('1-DATA'!O366)),IF($B368="STD. DEVIATION",2,$F$1))))</f>
        <v/>
      </c>
      <c r="Q368" s="1" t="str">
        <f>IF(OR($B368="",Q$7=""),"",IF($B368="MEANS",INDEX('1-DATA'!$1:$1048576,$A367-1,COLUMN('1-DATA'!P366)),ROUND(INDEX('1-DATA'!$1:$1048576,IF(OR($B368="STD. DEVIATION",$C$1=1),$A368,$A368+1),COLUMN('1-DATA'!P366)),IF($B368="STD. DEVIATION",2,$F$1))))</f>
        <v/>
      </c>
      <c r="R368" s="1" t="str">
        <f>IF(OR($B368="",R$7=""),"",IF($B368="MEANS",INDEX('1-DATA'!$1:$1048576,$A367-1,COLUMN('1-DATA'!Q366)),ROUND(INDEX('1-DATA'!$1:$1048576,IF(OR($B368="STD. DEVIATION",$C$1=1),$A368,$A368+1),COLUMN('1-DATA'!Q366)),IF($B368="STD. DEVIATION",2,$F$1))))</f>
        <v/>
      </c>
      <c r="S368" s="1" t="str">
        <f>IF(OR($B368="",S$7=""),"",IF($B368="MEANS",INDEX('1-DATA'!$1:$1048576,$A367-1,COLUMN('1-DATA'!R366)),ROUND(INDEX('1-DATA'!$1:$1048576,IF(OR($B368="STD. DEVIATION",$C$1=1),$A368,$A368+1),COLUMN('1-DATA'!R366)),IF($B368="STD. DEVIATION",2,$F$1))))</f>
        <v/>
      </c>
      <c r="T368" s="1" t="str">
        <f>IF(OR($B368="",T$7=""),"",IF($B368="MEANS",INDEX('1-DATA'!$1:$1048576,$A367-1,COLUMN('1-DATA'!S366)),ROUND(INDEX('1-DATA'!$1:$1048576,IF(OR($B368="STD. DEVIATION",$C$1=1),$A368,$A368+1),COLUMN('1-DATA'!S366)),IF($B368="STD. DEVIATION",2,$F$1))))</f>
        <v/>
      </c>
      <c r="U368" s="1" t="str">
        <f>IF(OR($B368="",U$7=""),"",IF($B368="MEANS",INDEX('1-DATA'!$1:$1048576,$A367-1,COLUMN('1-DATA'!T366)),ROUND(INDEX('1-DATA'!$1:$1048576,IF(OR($B368="STD. DEVIATION",$C$1=1),$A368,$A368+1),COLUMN('1-DATA'!T366)),IF($B368="STD. DEVIATION",2,$F$1))))</f>
        <v/>
      </c>
      <c r="V368" s="1" t="str">
        <f>IF(OR($B368="",V$7=""),"",IF($B368="MEANS",INDEX('1-DATA'!$1:$1048576,$A367-1,COLUMN('1-DATA'!U366)),ROUND(INDEX('1-DATA'!$1:$1048576,IF(OR($B368="STD. DEVIATION",$C$1=1),$A368,$A368+1),COLUMN('1-DATA'!U366)),IF($B368="STD. DEVIATION",2,$F$1))))</f>
        <v/>
      </c>
      <c r="W368" s="1" t="str">
        <f>IF(OR($B368="",W$7=""),"",IF($B368="MEANS",INDEX('1-DATA'!$1:$1048576,$A367-1,COLUMN('1-DATA'!V366)),ROUND(INDEX('1-DATA'!$1:$1048576,IF(OR($B368="STD. DEVIATION",$C$1=1),$A368,$A368+1),COLUMN('1-DATA'!V366)),IF($B368="STD. DEVIATION",2,$F$1))))</f>
        <v/>
      </c>
      <c r="X368" s="1" t="str">
        <f>IF(OR($B368="",X$7=""),"",IF($B368="MEANS",INDEX('1-DATA'!$1:$1048576,$A367-1,COLUMN('1-DATA'!W366)),ROUND(INDEX('1-DATA'!$1:$1048576,IF(OR($B368="STD. DEVIATION",$C$1=1),$A368,$A368+1),COLUMN('1-DATA'!W366)),IF($B368="STD. DEVIATION",2,$F$1))))</f>
        <v/>
      </c>
      <c r="Y368" s="1" t="str">
        <f>IF(OR($B368="",Y$7=""),"",IF($B368="MEANS",INDEX('1-DATA'!$1:$1048576,$A367-1,COLUMN('1-DATA'!X366)),ROUND(INDEX('1-DATA'!$1:$1048576,IF(OR($B368="STD. DEVIATION",$C$1=1),$A368,$A368+1),COLUMN('1-DATA'!X366)),IF($B368="STD. DEVIATION",2,$F$1))))</f>
        <v/>
      </c>
      <c r="Z368" s="1" t="str">
        <f>IF(OR($B368="",Z$7=""),"",IF($B368="MEANS",INDEX('1-DATA'!$1:$1048576,$A367-1,COLUMN('1-DATA'!Y366)),ROUND(INDEX('1-DATA'!$1:$1048576,IF(OR($B368="STD. DEVIATION",$C$1=1),$A368,$A368+1),COLUMN('1-DATA'!Y366)),IF($B368="STD. DEVIATION",2,$F$1))))</f>
        <v/>
      </c>
      <c r="AA368" s="1" t="str">
        <f>IF(OR($B368="",AA$7=""),"",IF($B368="MEANS",INDEX('1-DATA'!$1:$1048576,$A367-1,COLUMN('1-DATA'!Z366)),ROUND(INDEX('1-DATA'!$1:$1048576,IF(OR($B368="STD. DEVIATION",$C$1=1),$A368,$A368+1),COLUMN('1-DATA'!Z366)),IF($B368="STD. DEVIATION",2,$F$1))))</f>
        <v/>
      </c>
      <c r="AB368" s="1" t="str">
        <f>IF(OR($B368="",AB$7=""),"",IF($B368="MEANS",INDEX('1-DATA'!$1:$1048576,$A367-1,COLUMN('1-DATA'!AA366)),ROUND(INDEX('1-DATA'!$1:$1048576,IF(OR($B368="STD. DEVIATION",$C$1=1),$A368,$A368+1),COLUMN('1-DATA'!AA366)),IF($B368="STD. DEVIATION",2,$F$1))))</f>
        <v/>
      </c>
      <c r="AC368" s="1" t="str">
        <f>IF(OR($B368="",AC$7=""),"",IF($B368="MEANS",INDEX('1-DATA'!$1:$1048576,$A367-1,COLUMN('1-DATA'!AB366)),ROUND(INDEX('1-DATA'!$1:$1048576,IF(OR($B368="STD. DEVIATION",$C$1=1),$A368,$A368+1),COLUMN('1-DATA'!AB366)),IF($B368="STD. DEVIATION",2,$F$1))))</f>
        <v/>
      </c>
      <c r="AD368" s="1" t="str">
        <f>IF(OR($B368="",AD$7=""),"",IF($B368="MEANS",INDEX('1-DATA'!$1:$1048576,$A367-1,COLUMN('1-DATA'!AC366)),ROUND(INDEX('1-DATA'!$1:$1048576,IF(OR($B368="STD. DEVIATION",$C$1=1),$A368,$A368+1),COLUMN('1-DATA'!AC366)),IF($B368="STD. DEVIATION",2,$F$1))))</f>
        <v/>
      </c>
      <c r="AE368" s="1" t="str">
        <f>IF(OR($B368="",AE$7=""),"",IF($B368="MEANS",INDEX('1-DATA'!$1:$1048576,$A367-1,COLUMN('1-DATA'!AD366)),ROUND(INDEX('1-DATA'!$1:$1048576,IF(OR($B368="STD. DEVIATION",$C$1=1),$A368,$A368+1),COLUMN('1-DATA'!AD366)),IF($B368="STD. DEVIATION",2,$F$1))))</f>
        <v/>
      </c>
      <c r="AF368" s="1" t="str">
        <f>IF(OR($B368="",AF$7=""),"",IF($B368="MEANS",INDEX('1-DATA'!$1:$1048576,$A367-1,COLUMN('1-DATA'!AE366)),ROUND(INDEX('1-DATA'!$1:$1048576,IF(OR($B368="STD. DEVIATION",$C$1=1),$A368,$A368+1),COLUMN('1-DATA'!AE366)),IF($B368="STD. DEVIATION",2,$F$1))))</f>
        <v/>
      </c>
      <c r="AG368" s="1" t="str">
        <f>IF(OR($B368="",AG$7=""),"",IF($B368="MEANS",INDEX('1-DATA'!$1:$1048576,$A367-1,COLUMN('1-DATA'!AF366)),ROUND(INDEX('1-DATA'!$1:$1048576,IF(OR($B368="STD. DEVIATION",$C$1=1),$A368,$A368+1),COLUMN('1-DATA'!AF366)),IF($B368="STD. DEVIATION",2,$F$1))))</f>
        <v/>
      </c>
      <c r="AH368" s="1" t="str">
        <f>IF(OR($B368="",AH$7=""),"",IF($B368="MEANS",INDEX('1-DATA'!$1:$1048576,$A367-1,COLUMN('1-DATA'!AG366)),ROUND(INDEX('1-DATA'!$1:$1048576,IF(OR($B368="STD. DEVIATION",$C$1=1),$A368,$A368+1),COLUMN('1-DATA'!AG366)),IF($B368="STD. DEVIATION",2,$F$1))))</f>
        <v/>
      </c>
      <c r="AI368" s="1" t="str">
        <f>IF(OR($B368="",AI$7=""),"",IF($B368="MEANS",INDEX('1-DATA'!$1:$1048576,$A367-1,COLUMN('1-DATA'!AH366)),ROUND(INDEX('1-DATA'!$1:$1048576,IF(OR($B368="STD. DEVIATION",$C$1=1),$A368,$A368+1),COLUMN('1-DATA'!AH366)),IF($B368="STD. DEVIATION",2,$F$1))))</f>
        <v/>
      </c>
      <c r="AJ368" s="1" t="str">
        <f>IF(OR($B368="",AJ$7=""),"",IF($B368="MEANS",INDEX('1-DATA'!$1:$1048576,$A367-1,COLUMN('1-DATA'!AI366)),ROUND(INDEX('1-DATA'!$1:$1048576,IF(OR($B368="STD. DEVIATION",$C$1=1),$A368,$A368+1),COLUMN('1-DATA'!AI366)),IF($B368="STD. DEVIATION",2,$F$1))))</f>
        <v/>
      </c>
      <c r="AK368" s="1" t="str">
        <f>IF(OR($B368="",AK$7=""),"",IF($B368="MEANS",INDEX('1-DATA'!$1:$1048576,$A367-1,COLUMN('1-DATA'!AJ366)),ROUND(INDEX('1-DATA'!$1:$1048576,IF(OR($B368="STD. DEVIATION",$C$1=1),$A368,$A368+1),COLUMN('1-DATA'!AJ366)),IF($B368="STD. DEVIATION",2,$F$1))))</f>
        <v/>
      </c>
      <c r="AL368" s="1" t="str">
        <f>IF(OR($B368="",AL$7=""),"",IF($B368="MEANS",INDEX('1-DATA'!$1:$1048576,$A367-1,COLUMN('1-DATA'!AK366)),ROUND(INDEX('1-DATA'!$1:$1048576,IF(OR($B368="STD. DEVIATION",$C$1=1),$A368,$A368+1),COLUMN('1-DATA'!AK366)),IF($B368="STD. DEVIATION",2,$F$1))))</f>
        <v/>
      </c>
      <c r="AM368" s="1" t="str">
        <f>IF(OR($B368="",AM$7=""),"",IF($B368="MEANS",INDEX('1-DATA'!$1:$1048576,$A367-1,COLUMN('1-DATA'!AL366)),ROUND(INDEX('1-DATA'!$1:$1048576,IF(OR($B368="STD. DEVIATION",$C$1=1),$A368,$A368+1),COLUMN('1-DATA'!AL366)),IF($B368="STD. DEVIATION",2,$F$1))))</f>
        <v/>
      </c>
      <c r="AN368" s="1" t="str">
        <f>IF(OR($B368="",AN$7=""),"",IF($B368="MEANS",INDEX('1-DATA'!$1:$1048576,$A367-1,COLUMN('1-DATA'!AM366)),ROUND(INDEX('1-DATA'!$1:$1048576,IF(OR($B368="STD. DEVIATION",$C$1=1),$A368,$A368+1),COLUMN('1-DATA'!AM366)),IF($B368="STD. DEVIATION",2,$F$1))))</f>
        <v/>
      </c>
      <c r="AO368" s="1" t="str">
        <f>IF(OR($B368="",AO$7=""),"",IF($B368="MEANS",INDEX('1-DATA'!$1:$1048576,$A367-1,COLUMN('1-DATA'!AN366)),ROUND(INDEX('1-DATA'!$1:$1048576,IF(OR($B368="STD. DEVIATION",$C$1=1),$A368,$A368+1),COLUMN('1-DATA'!AN366)),IF($B368="STD. DEVIATION",2,$F$1))))</f>
        <v/>
      </c>
      <c r="AP368" s="1" t="str">
        <f>IF(OR($B368="",AP$7=""),"",IF($B368="MEANS",INDEX('1-DATA'!$1:$1048576,$A367-1,COLUMN('1-DATA'!AO366)),ROUND(INDEX('1-DATA'!$1:$1048576,IF(OR($B368="STD. DEVIATION",$C$1=1),$A368,$A368+1),COLUMN('1-DATA'!AO366)),IF($B368="STD. DEVIATION",2,$F$1))))</f>
        <v/>
      </c>
      <c r="AQ368" s="1" t="str">
        <f>IF(OR($B368="",AQ$7=""),"",IF($B368="MEANS",INDEX('1-DATA'!$1:$1048576,$A367-1,COLUMN('1-DATA'!AP366)),ROUND(INDEX('1-DATA'!$1:$1048576,IF(OR($B368="STD. DEVIATION",$C$1=1),$A368,$A368+1),COLUMN('1-DATA'!AP366)),IF($B368="STD. DEVIATION",2,$F$1))))</f>
        <v/>
      </c>
      <c r="AR368" s="1" t="str">
        <f>IF(OR($B368="",AR$7=""),"",IF($B368="MEANS",INDEX('1-DATA'!$1:$1048576,$A367-1,COLUMN('1-DATA'!AQ366)),ROUND(INDEX('1-DATA'!$1:$1048576,IF(OR($B368="STD. DEVIATION",$C$1=1),$A368,$A368+1),COLUMN('1-DATA'!AQ366)),IF($B368="STD. DEVIATION",2,$F$1))))</f>
        <v/>
      </c>
      <c r="AS368" s="1" t="str">
        <f>IF(OR($B368="",AS$7=""),"",IF($B368="MEANS",INDEX('1-DATA'!$1:$1048576,$A367-1,COLUMN('1-DATA'!AR366)),ROUND(INDEX('1-DATA'!$1:$1048576,IF(OR($B368="STD. DEVIATION",$C$1=1),$A368,$A368+1),COLUMN('1-DATA'!AR366)),IF($B368="STD. DEVIATION",2,$F$1))))</f>
        <v/>
      </c>
      <c r="AT368" s="1" t="str">
        <f>IF(OR($B368="",AT$7=""),"",IF($B368="MEANS",INDEX('1-DATA'!$1:$1048576,$A367-1,COLUMN('1-DATA'!AS366)),ROUND(INDEX('1-DATA'!$1:$1048576,IF(OR($B368="STD. DEVIATION",$C$1=1),$A368,$A368+1),COLUMN('1-DATA'!AS366)),IF($B368="STD. DEVIATION",2,$F$1))))</f>
        <v/>
      </c>
      <c r="AU368" s="1" t="str">
        <f>IF(OR($B368="",AU$7=""),"",IF($B368="MEANS",INDEX('1-DATA'!$1:$1048576,$A367-1,COLUMN('1-DATA'!AT366)),ROUND(INDEX('1-DATA'!$1:$1048576,IF(OR($B368="STD. DEVIATION",$C$1=1),$A368,$A368+1),COLUMN('1-DATA'!AT366)),IF($B368="STD. DEVIATION",2,$F$1))))</f>
        <v/>
      </c>
      <c r="AV368" s="1" t="str">
        <f>IF(OR($B368="",AV$7=""),"",IF($B368="MEANS",INDEX('1-DATA'!$1:$1048576,$A367-1,COLUMN('1-DATA'!AU366)),ROUND(INDEX('1-DATA'!$1:$1048576,IF(OR($B368="STD. DEVIATION",$C$1=1),$A368,$A368+1),COLUMN('1-DATA'!AU366)),IF($B368="STD. DEVIATION",2,$F$1))))</f>
        <v/>
      </c>
      <c r="AW368" s="1" t="str">
        <f>IF(OR($B368="",AW$7=""),"",IF($B368="MEANS",INDEX('1-DATA'!$1:$1048576,$A367-1,COLUMN('1-DATA'!AV366)),ROUND(INDEX('1-DATA'!$1:$1048576,IF(OR($B368="STD. DEVIATION",$C$1=1),$A368,$A368+1),COLUMN('1-DATA'!AV366)),IF($B368="STD. DEVIATION",2,$F$1))))</f>
        <v/>
      </c>
      <c r="AX368" s="1" t="str">
        <f>IF(OR($B368="",AX$7=""),"",IF($B368="MEANS",INDEX('1-DATA'!$1:$1048576,$A367-1,COLUMN('1-DATA'!AW366)),ROUND(INDEX('1-DATA'!$1:$1048576,IF(OR($B368="STD. DEVIATION",$C$1=1),$A368,$A368+1),COLUMN('1-DATA'!AW366)),IF($B368="STD. DEVIATION",2,$F$1))))</f>
        <v/>
      </c>
      <c r="AY368" s="1" t="str">
        <f>IF(OR($B368="",AY$7=""),"",IF($B368="MEANS",INDEX('1-DATA'!$1:$1048576,$A367-1,COLUMN('1-DATA'!AX366)),ROUND(INDEX('1-DATA'!$1:$1048576,IF(OR($B368="STD. DEVIATION",$C$1=1),$A368,$A368+1),COLUMN('1-DATA'!AX366)),IF($B368="STD. DEVIATION",2,$F$1))))</f>
        <v/>
      </c>
      <c r="AZ368" s="1" t="str">
        <f>IF(OR($B368="",AZ$7=""),"",IF($B368="MEANS",INDEX('1-DATA'!$1:$1048576,$A367-1,COLUMN('1-DATA'!AY366)),ROUND(INDEX('1-DATA'!$1:$1048576,IF(OR($B368="STD. DEVIATION",$C$1=1),$A368,$A368+1),COLUMN('1-DATA'!AY366)),IF($B368="STD. DEVIATION",2,$F$1))))</f>
        <v/>
      </c>
    </row>
    <row r="369" spans="1:52" x14ac:dyDescent="0.25">
      <c r="A369" s="11">
        <f t="shared" si="6"/>
        <v>1093</v>
      </c>
      <c r="B369" s="1" t="str">
        <f>IF(B368="STD. DEVIATION",INDEX('1-DATA'!$1:$1048576,$A368-1,1),IF(INDEX('1-DATA'!$1:$1048576,$A369,1)&lt;&gt;"",INDEX('1-DATA'!$1:$1048576,$A369,1),""))</f>
        <v/>
      </c>
      <c r="C369" s="1" t="str">
        <f>IF(OR($B369="",C$7=""),"",IF($B369="MEANS",INDEX('1-DATA'!$1:$1048576,$A368-1,COLUMN('1-DATA'!B367)),ROUND(INDEX('1-DATA'!$1:$1048576,IF(OR($B369="STD. DEVIATION",$C$1=1),$A369,$A369+1),COLUMN('1-DATA'!B367)),IF($B369="STD. DEVIATION",2,$F$1))))</f>
        <v/>
      </c>
      <c r="D369" s="1" t="str">
        <f>IF(OR($B369="",D$7=""),"",IF($B369="MEANS",INDEX('1-DATA'!$1:$1048576,$A368-1,COLUMN('1-DATA'!C367)),ROUND(INDEX('1-DATA'!$1:$1048576,IF(OR($B369="STD. DEVIATION",$C$1=1),$A369,$A369+1),COLUMN('1-DATA'!C367)),IF($B369="STD. DEVIATION",2,$F$1))))</f>
        <v/>
      </c>
      <c r="E369" s="1" t="str">
        <f>IF(OR($B369="",E$7=""),"",IF($B369="MEANS",INDEX('1-DATA'!$1:$1048576,$A368-1,COLUMN('1-DATA'!D367)),ROUND(INDEX('1-DATA'!$1:$1048576,IF(OR($B369="STD. DEVIATION",$C$1=1),$A369,$A369+1),COLUMN('1-DATA'!D367)),IF($B369="STD. DEVIATION",2,$F$1))))</f>
        <v/>
      </c>
      <c r="F369" s="1" t="str">
        <f>IF(OR($B369="",F$7=""),"",IF($B369="MEANS",INDEX('1-DATA'!$1:$1048576,$A368-1,COLUMN('1-DATA'!E367)),ROUND(INDEX('1-DATA'!$1:$1048576,IF(OR($B369="STD. DEVIATION",$C$1=1),$A369,$A369+1),COLUMN('1-DATA'!E367)),IF($B369="STD. DEVIATION",2,$F$1))))</f>
        <v/>
      </c>
      <c r="G369" s="1" t="str">
        <f>IF(OR($B369="",G$7=""),"",IF($B369="MEANS",INDEX('1-DATA'!$1:$1048576,$A368-1,COLUMN('1-DATA'!F367)),ROUND(INDEX('1-DATA'!$1:$1048576,IF(OR($B369="STD. DEVIATION",$C$1=1),$A369,$A369+1),COLUMN('1-DATA'!F367)),IF($B369="STD. DEVIATION",2,$F$1))))</f>
        <v/>
      </c>
      <c r="H369" s="1" t="str">
        <f>IF(OR($B369="",H$7=""),"",IF($B369="MEANS",INDEX('1-DATA'!$1:$1048576,$A368-1,COLUMN('1-DATA'!G367)),ROUND(INDEX('1-DATA'!$1:$1048576,IF(OR($B369="STD. DEVIATION",$C$1=1),$A369,$A369+1),COLUMN('1-DATA'!G367)),IF($B369="STD. DEVIATION",2,$F$1))))</f>
        <v/>
      </c>
      <c r="I369" s="1" t="str">
        <f>IF(OR($B369="",I$7=""),"",IF($B369="MEANS",INDEX('1-DATA'!$1:$1048576,$A368-1,COLUMN('1-DATA'!H367)),ROUND(INDEX('1-DATA'!$1:$1048576,IF(OR($B369="STD. DEVIATION",$C$1=1),$A369,$A369+1),COLUMN('1-DATA'!H367)),IF($B369="STD. DEVIATION",2,$F$1))))</f>
        <v/>
      </c>
      <c r="J369" s="1" t="str">
        <f>IF(OR($B369="",J$7=""),"",IF($B369="MEANS",INDEX('1-DATA'!$1:$1048576,$A368-1,COLUMN('1-DATA'!I367)),ROUND(INDEX('1-DATA'!$1:$1048576,IF(OR($B369="STD. DEVIATION",$C$1=1),$A369,$A369+1),COLUMN('1-DATA'!I367)),IF($B369="STD. DEVIATION",2,$F$1))))</f>
        <v/>
      </c>
      <c r="K369" s="1" t="str">
        <f>IF(OR($B369="",K$7=""),"",IF($B369="MEANS",INDEX('1-DATA'!$1:$1048576,$A368-1,COLUMN('1-DATA'!J367)),ROUND(INDEX('1-DATA'!$1:$1048576,IF(OR($B369="STD. DEVIATION",$C$1=1),$A369,$A369+1),COLUMN('1-DATA'!J367)),IF($B369="STD. DEVIATION",2,$F$1))))</f>
        <v/>
      </c>
      <c r="L369" s="1" t="str">
        <f>IF(OR($B369="",L$7=""),"",IF($B369="MEANS",INDEX('1-DATA'!$1:$1048576,$A368-1,COLUMN('1-DATA'!K367)),ROUND(INDEX('1-DATA'!$1:$1048576,IF(OR($B369="STD. DEVIATION",$C$1=1),$A369,$A369+1),COLUMN('1-DATA'!K367)),IF($B369="STD. DEVIATION",2,$F$1))))</f>
        <v/>
      </c>
      <c r="M369" s="1" t="str">
        <f>IF(OR($B369="",M$7=""),"",IF($B369="MEANS",INDEX('1-DATA'!$1:$1048576,$A368-1,COLUMN('1-DATA'!L367)),ROUND(INDEX('1-DATA'!$1:$1048576,IF(OR($B369="STD. DEVIATION",$C$1=1),$A369,$A369+1),COLUMN('1-DATA'!L367)),IF($B369="STD. DEVIATION",2,$F$1))))</f>
        <v/>
      </c>
      <c r="N369" s="1" t="str">
        <f>IF(OR($B369="",N$7=""),"",IF($B369="MEANS",INDEX('1-DATA'!$1:$1048576,$A368-1,COLUMN('1-DATA'!M367)),ROUND(INDEX('1-DATA'!$1:$1048576,IF(OR($B369="STD. DEVIATION",$C$1=1),$A369,$A369+1),COLUMN('1-DATA'!M367)),IF($B369="STD. DEVIATION",2,$F$1))))</f>
        <v/>
      </c>
      <c r="O369" s="1" t="str">
        <f>IF(OR($B369="",O$7=""),"",IF($B369="MEANS",INDEX('1-DATA'!$1:$1048576,$A368-1,COLUMN('1-DATA'!N367)),ROUND(INDEX('1-DATA'!$1:$1048576,IF(OR($B369="STD. DEVIATION",$C$1=1),$A369,$A369+1),COLUMN('1-DATA'!N367)),IF($B369="STD. DEVIATION",2,$F$1))))</f>
        <v/>
      </c>
      <c r="P369" s="1" t="str">
        <f>IF(OR($B369="",P$7=""),"",IF($B369="MEANS",INDEX('1-DATA'!$1:$1048576,$A368-1,COLUMN('1-DATA'!O367)),ROUND(INDEX('1-DATA'!$1:$1048576,IF(OR($B369="STD. DEVIATION",$C$1=1),$A369,$A369+1),COLUMN('1-DATA'!O367)),IF($B369="STD. DEVIATION",2,$F$1))))</f>
        <v/>
      </c>
      <c r="Q369" s="1" t="str">
        <f>IF(OR($B369="",Q$7=""),"",IF($B369="MEANS",INDEX('1-DATA'!$1:$1048576,$A368-1,COLUMN('1-DATA'!P367)),ROUND(INDEX('1-DATA'!$1:$1048576,IF(OR($B369="STD. DEVIATION",$C$1=1),$A369,$A369+1),COLUMN('1-DATA'!P367)),IF($B369="STD. DEVIATION",2,$F$1))))</f>
        <v/>
      </c>
      <c r="R369" s="1" t="str">
        <f>IF(OR($B369="",R$7=""),"",IF($B369="MEANS",INDEX('1-DATA'!$1:$1048576,$A368-1,COLUMN('1-DATA'!Q367)),ROUND(INDEX('1-DATA'!$1:$1048576,IF(OR($B369="STD. DEVIATION",$C$1=1),$A369,$A369+1),COLUMN('1-DATA'!Q367)),IF($B369="STD. DEVIATION",2,$F$1))))</f>
        <v/>
      </c>
      <c r="S369" s="1" t="str">
        <f>IF(OR($B369="",S$7=""),"",IF($B369="MEANS",INDEX('1-DATA'!$1:$1048576,$A368-1,COLUMN('1-DATA'!R367)),ROUND(INDEX('1-DATA'!$1:$1048576,IF(OR($B369="STD. DEVIATION",$C$1=1),$A369,$A369+1),COLUMN('1-DATA'!R367)),IF($B369="STD. DEVIATION",2,$F$1))))</f>
        <v/>
      </c>
      <c r="T369" s="1" t="str">
        <f>IF(OR($B369="",T$7=""),"",IF($B369="MEANS",INDEX('1-DATA'!$1:$1048576,$A368-1,COLUMN('1-DATA'!S367)),ROUND(INDEX('1-DATA'!$1:$1048576,IF(OR($B369="STD. DEVIATION",$C$1=1),$A369,$A369+1),COLUMN('1-DATA'!S367)),IF($B369="STD. DEVIATION",2,$F$1))))</f>
        <v/>
      </c>
      <c r="U369" s="1" t="str">
        <f>IF(OR($B369="",U$7=""),"",IF($B369="MEANS",INDEX('1-DATA'!$1:$1048576,$A368-1,COLUMN('1-DATA'!T367)),ROUND(INDEX('1-DATA'!$1:$1048576,IF(OR($B369="STD. DEVIATION",$C$1=1),$A369,$A369+1),COLUMN('1-DATA'!T367)),IF($B369="STD. DEVIATION",2,$F$1))))</f>
        <v/>
      </c>
      <c r="V369" s="1" t="str">
        <f>IF(OR($B369="",V$7=""),"",IF($B369="MEANS",INDEX('1-DATA'!$1:$1048576,$A368-1,COLUMN('1-DATA'!U367)),ROUND(INDEX('1-DATA'!$1:$1048576,IF(OR($B369="STD. DEVIATION",$C$1=1),$A369,$A369+1),COLUMN('1-DATA'!U367)),IF($B369="STD. DEVIATION",2,$F$1))))</f>
        <v/>
      </c>
      <c r="W369" s="1" t="str">
        <f>IF(OR($B369="",W$7=""),"",IF($B369="MEANS",INDEX('1-DATA'!$1:$1048576,$A368-1,COLUMN('1-DATA'!V367)),ROUND(INDEX('1-DATA'!$1:$1048576,IF(OR($B369="STD. DEVIATION",$C$1=1),$A369,$A369+1),COLUMN('1-DATA'!V367)),IF($B369="STD. DEVIATION",2,$F$1))))</f>
        <v/>
      </c>
      <c r="X369" s="1" t="str">
        <f>IF(OR($B369="",X$7=""),"",IF($B369="MEANS",INDEX('1-DATA'!$1:$1048576,$A368-1,COLUMN('1-DATA'!W367)),ROUND(INDEX('1-DATA'!$1:$1048576,IF(OR($B369="STD. DEVIATION",$C$1=1),$A369,$A369+1),COLUMN('1-DATA'!W367)),IF($B369="STD. DEVIATION",2,$F$1))))</f>
        <v/>
      </c>
      <c r="Y369" s="1" t="str">
        <f>IF(OR($B369="",Y$7=""),"",IF($B369="MEANS",INDEX('1-DATA'!$1:$1048576,$A368-1,COLUMN('1-DATA'!X367)),ROUND(INDEX('1-DATA'!$1:$1048576,IF(OR($B369="STD. DEVIATION",$C$1=1),$A369,$A369+1),COLUMN('1-DATA'!X367)),IF($B369="STD. DEVIATION",2,$F$1))))</f>
        <v/>
      </c>
      <c r="Z369" s="1" t="str">
        <f>IF(OR($B369="",Z$7=""),"",IF($B369="MEANS",INDEX('1-DATA'!$1:$1048576,$A368-1,COLUMN('1-DATA'!Y367)),ROUND(INDEX('1-DATA'!$1:$1048576,IF(OR($B369="STD. DEVIATION",$C$1=1),$A369,$A369+1),COLUMN('1-DATA'!Y367)),IF($B369="STD. DEVIATION",2,$F$1))))</f>
        <v/>
      </c>
      <c r="AA369" s="1" t="str">
        <f>IF(OR($B369="",AA$7=""),"",IF($B369="MEANS",INDEX('1-DATA'!$1:$1048576,$A368-1,COLUMN('1-DATA'!Z367)),ROUND(INDEX('1-DATA'!$1:$1048576,IF(OR($B369="STD. DEVIATION",$C$1=1),$A369,$A369+1),COLUMN('1-DATA'!Z367)),IF($B369="STD. DEVIATION",2,$F$1))))</f>
        <v/>
      </c>
      <c r="AB369" s="1" t="str">
        <f>IF(OR($B369="",AB$7=""),"",IF($B369="MEANS",INDEX('1-DATA'!$1:$1048576,$A368-1,COLUMN('1-DATA'!AA367)),ROUND(INDEX('1-DATA'!$1:$1048576,IF(OR($B369="STD. DEVIATION",$C$1=1),$A369,$A369+1),COLUMN('1-DATA'!AA367)),IF($B369="STD. DEVIATION",2,$F$1))))</f>
        <v/>
      </c>
      <c r="AC369" s="1" t="str">
        <f>IF(OR($B369="",AC$7=""),"",IF($B369="MEANS",INDEX('1-DATA'!$1:$1048576,$A368-1,COLUMN('1-DATA'!AB367)),ROUND(INDEX('1-DATA'!$1:$1048576,IF(OR($B369="STD. DEVIATION",$C$1=1),$A369,$A369+1),COLUMN('1-DATA'!AB367)),IF($B369="STD. DEVIATION",2,$F$1))))</f>
        <v/>
      </c>
      <c r="AD369" s="1" t="str">
        <f>IF(OR($B369="",AD$7=""),"",IF($B369="MEANS",INDEX('1-DATA'!$1:$1048576,$A368-1,COLUMN('1-DATA'!AC367)),ROUND(INDEX('1-DATA'!$1:$1048576,IF(OR($B369="STD. DEVIATION",$C$1=1),$A369,$A369+1),COLUMN('1-DATA'!AC367)),IF($B369="STD. DEVIATION",2,$F$1))))</f>
        <v/>
      </c>
      <c r="AE369" s="1" t="str">
        <f>IF(OR($B369="",AE$7=""),"",IF($B369="MEANS",INDEX('1-DATA'!$1:$1048576,$A368-1,COLUMN('1-DATA'!AD367)),ROUND(INDEX('1-DATA'!$1:$1048576,IF(OR($B369="STD. DEVIATION",$C$1=1),$A369,$A369+1),COLUMN('1-DATA'!AD367)),IF($B369="STD. DEVIATION",2,$F$1))))</f>
        <v/>
      </c>
      <c r="AF369" s="1" t="str">
        <f>IF(OR($B369="",AF$7=""),"",IF($B369="MEANS",INDEX('1-DATA'!$1:$1048576,$A368-1,COLUMN('1-DATA'!AE367)),ROUND(INDEX('1-DATA'!$1:$1048576,IF(OR($B369="STD. DEVIATION",$C$1=1),$A369,$A369+1),COLUMN('1-DATA'!AE367)),IF($B369="STD. DEVIATION",2,$F$1))))</f>
        <v/>
      </c>
      <c r="AG369" s="1" t="str">
        <f>IF(OR($B369="",AG$7=""),"",IF($B369="MEANS",INDEX('1-DATA'!$1:$1048576,$A368-1,COLUMN('1-DATA'!AF367)),ROUND(INDEX('1-DATA'!$1:$1048576,IF(OR($B369="STD. DEVIATION",$C$1=1),$A369,$A369+1),COLUMN('1-DATA'!AF367)),IF($B369="STD. DEVIATION",2,$F$1))))</f>
        <v/>
      </c>
      <c r="AH369" s="1" t="str">
        <f>IF(OR($B369="",AH$7=""),"",IF($B369="MEANS",INDEX('1-DATA'!$1:$1048576,$A368-1,COLUMN('1-DATA'!AG367)),ROUND(INDEX('1-DATA'!$1:$1048576,IF(OR($B369="STD. DEVIATION",$C$1=1),$A369,$A369+1),COLUMN('1-DATA'!AG367)),IF($B369="STD. DEVIATION",2,$F$1))))</f>
        <v/>
      </c>
      <c r="AI369" s="1" t="str">
        <f>IF(OR($B369="",AI$7=""),"",IF($B369="MEANS",INDEX('1-DATA'!$1:$1048576,$A368-1,COLUMN('1-DATA'!AH367)),ROUND(INDEX('1-DATA'!$1:$1048576,IF(OR($B369="STD. DEVIATION",$C$1=1),$A369,$A369+1),COLUMN('1-DATA'!AH367)),IF($B369="STD. DEVIATION",2,$F$1))))</f>
        <v/>
      </c>
      <c r="AJ369" s="1" t="str">
        <f>IF(OR($B369="",AJ$7=""),"",IF($B369="MEANS",INDEX('1-DATA'!$1:$1048576,$A368-1,COLUMN('1-DATA'!AI367)),ROUND(INDEX('1-DATA'!$1:$1048576,IF(OR($B369="STD. DEVIATION",$C$1=1),$A369,$A369+1),COLUMN('1-DATA'!AI367)),IF($B369="STD. DEVIATION",2,$F$1))))</f>
        <v/>
      </c>
      <c r="AK369" s="1" t="str">
        <f>IF(OR($B369="",AK$7=""),"",IF($B369="MEANS",INDEX('1-DATA'!$1:$1048576,$A368-1,COLUMN('1-DATA'!AJ367)),ROUND(INDEX('1-DATA'!$1:$1048576,IF(OR($B369="STD. DEVIATION",$C$1=1),$A369,$A369+1),COLUMN('1-DATA'!AJ367)),IF($B369="STD. DEVIATION",2,$F$1))))</f>
        <v/>
      </c>
      <c r="AL369" s="1" t="str">
        <f>IF(OR($B369="",AL$7=""),"",IF($B369="MEANS",INDEX('1-DATA'!$1:$1048576,$A368-1,COLUMN('1-DATA'!AK367)),ROUND(INDEX('1-DATA'!$1:$1048576,IF(OR($B369="STD. DEVIATION",$C$1=1),$A369,$A369+1),COLUMN('1-DATA'!AK367)),IF($B369="STD. DEVIATION",2,$F$1))))</f>
        <v/>
      </c>
      <c r="AM369" s="1" t="str">
        <f>IF(OR($B369="",AM$7=""),"",IF($B369="MEANS",INDEX('1-DATA'!$1:$1048576,$A368-1,COLUMN('1-DATA'!AL367)),ROUND(INDEX('1-DATA'!$1:$1048576,IF(OR($B369="STD. DEVIATION",$C$1=1),$A369,$A369+1),COLUMN('1-DATA'!AL367)),IF($B369="STD. DEVIATION",2,$F$1))))</f>
        <v/>
      </c>
      <c r="AN369" s="1" t="str">
        <f>IF(OR($B369="",AN$7=""),"",IF($B369="MEANS",INDEX('1-DATA'!$1:$1048576,$A368-1,COLUMN('1-DATA'!AM367)),ROUND(INDEX('1-DATA'!$1:$1048576,IF(OR($B369="STD. DEVIATION",$C$1=1),$A369,$A369+1),COLUMN('1-DATA'!AM367)),IF($B369="STD. DEVIATION",2,$F$1))))</f>
        <v/>
      </c>
      <c r="AO369" s="1" t="str">
        <f>IF(OR($B369="",AO$7=""),"",IF($B369="MEANS",INDEX('1-DATA'!$1:$1048576,$A368-1,COLUMN('1-DATA'!AN367)),ROUND(INDEX('1-DATA'!$1:$1048576,IF(OR($B369="STD. DEVIATION",$C$1=1),$A369,$A369+1),COLUMN('1-DATA'!AN367)),IF($B369="STD. DEVIATION",2,$F$1))))</f>
        <v/>
      </c>
      <c r="AP369" s="1" t="str">
        <f>IF(OR($B369="",AP$7=""),"",IF($B369="MEANS",INDEX('1-DATA'!$1:$1048576,$A368-1,COLUMN('1-DATA'!AO367)),ROUND(INDEX('1-DATA'!$1:$1048576,IF(OR($B369="STD. DEVIATION",$C$1=1),$A369,$A369+1),COLUMN('1-DATA'!AO367)),IF($B369="STD. DEVIATION",2,$F$1))))</f>
        <v/>
      </c>
      <c r="AQ369" s="1" t="str">
        <f>IF(OR($B369="",AQ$7=""),"",IF($B369="MEANS",INDEX('1-DATA'!$1:$1048576,$A368-1,COLUMN('1-DATA'!AP367)),ROUND(INDEX('1-DATA'!$1:$1048576,IF(OR($B369="STD. DEVIATION",$C$1=1),$A369,$A369+1),COLUMN('1-DATA'!AP367)),IF($B369="STD. DEVIATION",2,$F$1))))</f>
        <v/>
      </c>
      <c r="AR369" s="1" t="str">
        <f>IF(OR($B369="",AR$7=""),"",IF($B369="MEANS",INDEX('1-DATA'!$1:$1048576,$A368-1,COLUMN('1-DATA'!AQ367)),ROUND(INDEX('1-DATA'!$1:$1048576,IF(OR($B369="STD. DEVIATION",$C$1=1),$A369,$A369+1),COLUMN('1-DATA'!AQ367)),IF($B369="STD. DEVIATION",2,$F$1))))</f>
        <v/>
      </c>
      <c r="AS369" s="1" t="str">
        <f>IF(OR($B369="",AS$7=""),"",IF($B369="MEANS",INDEX('1-DATA'!$1:$1048576,$A368-1,COLUMN('1-DATA'!AR367)),ROUND(INDEX('1-DATA'!$1:$1048576,IF(OR($B369="STD. DEVIATION",$C$1=1),$A369,$A369+1),COLUMN('1-DATA'!AR367)),IF($B369="STD. DEVIATION",2,$F$1))))</f>
        <v/>
      </c>
      <c r="AT369" s="1" t="str">
        <f>IF(OR($B369="",AT$7=""),"",IF($B369="MEANS",INDEX('1-DATA'!$1:$1048576,$A368-1,COLUMN('1-DATA'!AS367)),ROUND(INDEX('1-DATA'!$1:$1048576,IF(OR($B369="STD. DEVIATION",$C$1=1),$A369,$A369+1),COLUMN('1-DATA'!AS367)),IF($B369="STD. DEVIATION",2,$F$1))))</f>
        <v/>
      </c>
      <c r="AU369" s="1" t="str">
        <f>IF(OR($B369="",AU$7=""),"",IF($B369="MEANS",INDEX('1-DATA'!$1:$1048576,$A368-1,COLUMN('1-DATA'!AT367)),ROUND(INDEX('1-DATA'!$1:$1048576,IF(OR($B369="STD. DEVIATION",$C$1=1),$A369,$A369+1),COLUMN('1-DATA'!AT367)),IF($B369="STD. DEVIATION",2,$F$1))))</f>
        <v/>
      </c>
      <c r="AV369" s="1" t="str">
        <f>IF(OR($B369="",AV$7=""),"",IF($B369="MEANS",INDEX('1-DATA'!$1:$1048576,$A368-1,COLUMN('1-DATA'!AU367)),ROUND(INDEX('1-DATA'!$1:$1048576,IF(OR($B369="STD. DEVIATION",$C$1=1),$A369,$A369+1),COLUMN('1-DATA'!AU367)),IF($B369="STD. DEVIATION",2,$F$1))))</f>
        <v/>
      </c>
      <c r="AW369" s="1" t="str">
        <f>IF(OR($B369="",AW$7=""),"",IF($B369="MEANS",INDEX('1-DATA'!$1:$1048576,$A368-1,COLUMN('1-DATA'!AV367)),ROUND(INDEX('1-DATA'!$1:$1048576,IF(OR($B369="STD. DEVIATION",$C$1=1),$A369,$A369+1),COLUMN('1-DATA'!AV367)),IF($B369="STD. DEVIATION",2,$F$1))))</f>
        <v/>
      </c>
      <c r="AX369" s="1" t="str">
        <f>IF(OR($B369="",AX$7=""),"",IF($B369="MEANS",INDEX('1-DATA'!$1:$1048576,$A368-1,COLUMN('1-DATA'!AW367)),ROUND(INDEX('1-DATA'!$1:$1048576,IF(OR($B369="STD. DEVIATION",$C$1=1),$A369,$A369+1),COLUMN('1-DATA'!AW367)),IF($B369="STD. DEVIATION",2,$F$1))))</f>
        <v/>
      </c>
      <c r="AY369" s="1" t="str">
        <f>IF(OR($B369="",AY$7=""),"",IF($B369="MEANS",INDEX('1-DATA'!$1:$1048576,$A368-1,COLUMN('1-DATA'!AX367)),ROUND(INDEX('1-DATA'!$1:$1048576,IF(OR($B369="STD. DEVIATION",$C$1=1),$A369,$A369+1),COLUMN('1-DATA'!AX367)),IF($B369="STD. DEVIATION",2,$F$1))))</f>
        <v/>
      </c>
      <c r="AZ369" s="1" t="str">
        <f>IF(OR($B369="",AZ$7=""),"",IF($B369="MEANS",INDEX('1-DATA'!$1:$1048576,$A368-1,COLUMN('1-DATA'!AY367)),ROUND(INDEX('1-DATA'!$1:$1048576,IF(OR($B369="STD. DEVIATION",$C$1=1),$A369,$A369+1),COLUMN('1-DATA'!AY367)),IF($B369="STD. DEVIATION",2,$F$1))))</f>
        <v/>
      </c>
    </row>
    <row r="370" spans="1:52" x14ac:dyDescent="0.25">
      <c r="A370" s="11">
        <f t="shared" si="6"/>
        <v>1096</v>
      </c>
      <c r="B370" s="1" t="str">
        <f>IF(B369="STD. DEVIATION",INDEX('1-DATA'!$1:$1048576,$A369-1,1),IF(INDEX('1-DATA'!$1:$1048576,$A370,1)&lt;&gt;"",INDEX('1-DATA'!$1:$1048576,$A370,1),""))</f>
        <v/>
      </c>
      <c r="C370" s="1" t="str">
        <f>IF(OR($B370="",C$7=""),"",IF($B370="MEANS",INDEX('1-DATA'!$1:$1048576,$A369-1,COLUMN('1-DATA'!B368)),ROUND(INDEX('1-DATA'!$1:$1048576,IF(OR($B370="STD. DEVIATION",$C$1=1),$A370,$A370+1),COLUMN('1-DATA'!B368)),IF($B370="STD. DEVIATION",2,$F$1))))</f>
        <v/>
      </c>
      <c r="D370" s="1" t="str">
        <f>IF(OR($B370="",D$7=""),"",IF($B370="MEANS",INDEX('1-DATA'!$1:$1048576,$A369-1,COLUMN('1-DATA'!C368)),ROUND(INDEX('1-DATA'!$1:$1048576,IF(OR($B370="STD. DEVIATION",$C$1=1),$A370,$A370+1),COLUMN('1-DATA'!C368)),IF($B370="STD. DEVIATION",2,$F$1))))</f>
        <v/>
      </c>
      <c r="E370" s="1" t="str">
        <f>IF(OR($B370="",E$7=""),"",IF($B370="MEANS",INDEX('1-DATA'!$1:$1048576,$A369-1,COLUMN('1-DATA'!D368)),ROUND(INDEX('1-DATA'!$1:$1048576,IF(OR($B370="STD. DEVIATION",$C$1=1),$A370,$A370+1),COLUMN('1-DATA'!D368)),IF($B370="STD. DEVIATION",2,$F$1))))</f>
        <v/>
      </c>
      <c r="F370" s="1" t="str">
        <f>IF(OR($B370="",F$7=""),"",IF($B370="MEANS",INDEX('1-DATA'!$1:$1048576,$A369-1,COLUMN('1-DATA'!E368)),ROUND(INDEX('1-DATA'!$1:$1048576,IF(OR($B370="STD. DEVIATION",$C$1=1),$A370,$A370+1),COLUMN('1-DATA'!E368)),IF($B370="STD. DEVIATION",2,$F$1))))</f>
        <v/>
      </c>
      <c r="G370" s="1" t="str">
        <f>IF(OR($B370="",G$7=""),"",IF($B370="MEANS",INDEX('1-DATA'!$1:$1048576,$A369-1,COLUMN('1-DATA'!F368)),ROUND(INDEX('1-DATA'!$1:$1048576,IF(OR($B370="STD. DEVIATION",$C$1=1),$A370,$A370+1),COLUMN('1-DATA'!F368)),IF($B370="STD. DEVIATION",2,$F$1))))</f>
        <v/>
      </c>
      <c r="H370" s="1" t="str">
        <f>IF(OR($B370="",H$7=""),"",IF($B370="MEANS",INDEX('1-DATA'!$1:$1048576,$A369-1,COLUMN('1-DATA'!G368)),ROUND(INDEX('1-DATA'!$1:$1048576,IF(OR($B370="STD. DEVIATION",$C$1=1),$A370,$A370+1),COLUMN('1-DATA'!G368)),IF($B370="STD. DEVIATION",2,$F$1))))</f>
        <v/>
      </c>
      <c r="I370" s="1" t="str">
        <f>IF(OR($B370="",I$7=""),"",IF($B370="MEANS",INDEX('1-DATA'!$1:$1048576,$A369-1,COLUMN('1-DATA'!H368)),ROUND(INDEX('1-DATA'!$1:$1048576,IF(OR($B370="STD. DEVIATION",$C$1=1),$A370,$A370+1),COLUMN('1-DATA'!H368)),IF($B370="STD. DEVIATION",2,$F$1))))</f>
        <v/>
      </c>
      <c r="J370" s="1" t="str">
        <f>IF(OR($B370="",J$7=""),"",IF($B370="MEANS",INDEX('1-DATA'!$1:$1048576,$A369-1,COLUMN('1-DATA'!I368)),ROUND(INDEX('1-DATA'!$1:$1048576,IF(OR($B370="STD. DEVIATION",$C$1=1),$A370,$A370+1),COLUMN('1-DATA'!I368)),IF($B370="STD. DEVIATION",2,$F$1))))</f>
        <v/>
      </c>
      <c r="K370" s="1" t="str">
        <f>IF(OR($B370="",K$7=""),"",IF($B370="MEANS",INDEX('1-DATA'!$1:$1048576,$A369-1,COLUMN('1-DATA'!J368)),ROUND(INDEX('1-DATA'!$1:$1048576,IF(OR($B370="STD. DEVIATION",$C$1=1),$A370,$A370+1),COLUMN('1-DATA'!J368)),IF($B370="STD. DEVIATION",2,$F$1))))</f>
        <v/>
      </c>
      <c r="L370" s="1" t="str">
        <f>IF(OR($B370="",L$7=""),"",IF($B370="MEANS",INDEX('1-DATA'!$1:$1048576,$A369-1,COLUMN('1-DATA'!K368)),ROUND(INDEX('1-DATA'!$1:$1048576,IF(OR($B370="STD. DEVIATION",$C$1=1),$A370,$A370+1),COLUMN('1-DATA'!K368)),IF($B370="STD. DEVIATION",2,$F$1))))</f>
        <v/>
      </c>
      <c r="M370" s="1" t="str">
        <f>IF(OR($B370="",M$7=""),"",IF($B370="MEANS",INDEX('1-DATA'!$1:$1048576,$A369-1,COLUMN('1-DATA'!L368)),ROUND(INDEX('1-DATA'!$1:$1048576,IF(OR($B370="STD. DEVIATION",$C$1=1),$A370,$A370+1),COLUMN('1-DATA'!L368)),IF($B370="STD. DEVIATION",2,$F$1))))</f>
        <v/>
      </c>
      <c r="N370" s="1" t="str">
        <f>IF(OR($B370="",N$7=""),"",IF($B370="MEANS",INDEX('1-DATA'!$1:$1048576,$A369-1,COLUMN('1-DATA'!M368)),ROUND(INDEX('1-DATA'!$1:$1048576,IF(OR($B370="STD. DEVIATION",$C$1=1),$A370,$A370+1),COLUMN('1-DATA'!M368)),IF($B370="STD. DEVIATION",2,$F$1))))</f>
        <v/>
      </c>
      <c r="O370" s="1" t="str">
        <f>IF(OR($B370="",O$7=""),"",IF($B370="MEANS",INDEX('1-DATA'!$1:$1048576,$A369-1,COLUMN('1-DATA'!N368)),ROUND(INDEX('1-DATA'!$1:$1048576,IF(OR($B370="STD. DEVIATION",$C$1=1),$A370,$A370+1),COLUMN('1-DATA'!N368)),IF($B370="STD. DEVIATION",2,$F$1))))</f>
        <v/>
      </c>
      <c r="P370" s="1" t="str">
        <f>IF(OR($B370="",P$7=""),"",IF($B370="MEANS",INDEX('1-DATA'!$1:$1048576,$A369-1,COLUMN('1-DATA'!O368)),ROUND(INDEX('1-DATA'!$1:$1048576,IF(OR($B370="STD. DEVIATION",$C$1=1),$A370,$A370+1),COLUMN('1-DATA'!O368)),IF($B370="STD. DEVIATION",2,$F$1))))</f>
        <v/>
      </c>
      <c r="Q370" s="1" t="str">
        <f>IF(OR($B370="",Q$7=""),"",IF($B370="MEANS",INDEX('1-DATA'!$1:$1048576,$A369-1,COLUMN('1-DATA'!P368)),ROUND(INDEX('1-DATA'!$1:$1048576,IF(OR($B370="STD. DEVIATION",$C$1=1),$A370,$A370+1),COLUMN('1-DATA'!P368)),IF($B370="STD. DEVIATION",2,$F$1))))</f>
        <v/>
      </c>
      <c r="R370" s="1" t="str">
        <f>IF(OR($B370="",R$7=""),"",IF($B370="MEANS",INDEX('1-DATA'!$1:$1048576,$A369-1,COLUMN('1-DATA'!Q368)),ROUND(INDEX('1-DATA'!$1:$1048576,IF(OR($B370="STD. DEVIATION",$C$1=1),$A370,$A370+1),COLUMN('1-DATA'!Q368)),IF($B370="STD. DEVIATION",2,$F$1))))</f>
        <v/>
      </c>
      <c r="S370" s="1" t="str">
        <f>IF(OR($B370="",S$7=""),"",IF($B370="MEANS",INDEX('1-DATA'!$1:$1048576,$A369-1,COLUMN('1-DATA'!R368)),ROUND(INDEX('1-DATA'!$1:$1048576,IF(OR($B370="STD. DEVIATION",$C$1=1),$A370,$A370+1),COLUMN('1-DATA'!R368)),IF($B370="STD. DEVIATION",2,$F$1))))</f>
        <v/>
      </c>
      <c r="T370" s="1" t="str">
        <f>IF(OR($B370="",T$7=""),"",IF($B370="MEANS",INDEX('1-DATA'!$1:$1048576,$A369-1,COLUMN('1-DATA'!S368)),ROUND(INDEX('1-DATA'!$1:$1048576,IF(OR($B370="STD. DEVIATION",$C$1=1),$A370,$A370+1),COLUMN('1-DATA'!S368)),IF($B370="STD. DEVIATION",2,$F$1))))</f>
        <v/>
      </c>
      <c r="U370" s="1" t="str">
        <f>IF(OR($B370="",U$7=""),"",IF($B370="MEANS",INDEX('1-DATA'!$1:$1048576,$A369-1,COLUMN('1-DATA'!T368)),ROUND(INDEX('1-DATA'!$1:$1048576,IF(OR($B370="STD. DEVIATION",$C$1=1),$A370,$A370+1),COLUMN('1-DATA'!T368)),IF($B370="STD. DEVIATION",2,$F$1))))</f>
        <v/>
      </c>
      <c r="V370" s="1" t="str">
        <f>IF(OR($B370="",V$7=""),"",IF($B370="MEANS",INDEX('1-DATA'!$1:$1048576,$A369-1,COLUMN('1-DATA'!U368)),ROUND(INDEX('1-DATA'!$1:$1048576,IF(OR($B370="STD. DEVIATION",$C$1=1),$A370,$A370+1),COLUMN('1-DATA'!U368)),IF($B370="STD. DEVIATION",2,$F$1))))</f>
        <v/>
      </c>
      <c r="W370" s="1" t="str">
        <f>IF(OR($B370="",W$7=""),"",IF($B370="MEANS",INDEX('1-DATA'!$1:$1048576,$A369-1,COLUMN('1-DATA'!V368)),ROUND(INDEX('1-DATA'!$1:$1048576,IF(OR($B370="STD. DEVIATION",$C$1=1),$A370,$A370+1),COLUMN('1-DATA'!V368)),IF($B370="STD. DEVIATION",2,$F$1))))</f>
        <v/>
      </c>
      <c r="X370" s="1" t="str">
        <f>IF(OR($B370="",X$7=""),"",IF($B370="MEANS",INDEX('1-DATA'!$1:$1048576,$A369-1,COLUMN('1-DATA'!W368)),ROUND(INDEX('1-DATA'!$1:$1048576,IF(OR($B370="STD. DEVIATION",$C$1=1),$A370,$A370+1),COLUMN('1-DATA'!W368)),IF($B370="STD. DEVIATION",2,$F$1))))</f>
        <v/>
      </c>
      <c r="Y370" s="1" t="str">
        <f>IF(OR($B370="",Y$7=""),"",IF($B370="MEANS",INDEX('1-DATA'!$1:$1048576,$A369-1,COLUMN('1-DATA'!X368)),ROUND(INDEX('1-DATA'!$1:$1048576,IF(OR($B370="STD. DEVIATION",$C$1=1),$A370,$A370+1),COLUMN('1-DATA'!X368)),IF($B370="STD. DEVIATION",2,$F$1))))</f>
        <v/>
      </c>
      <c r="Z370" s="1" t="str">
        <f>IF(OR($B370="",Z$7=""),"",IF($B370="MEANS",INDEX('1-DATA'!$1:$1048576,$A369-1,COLUMN('1-DATA'!Y368)),ROUND(INDEX('1-DATA'!$1:$1048576,IF(OR($B370="STD. DEVIATION",$C$1=1),$A370,$A370+1),COLUMN('1-DATA'!Y368)),IF($B370="STD. DEVIATION",2,$F$1))))</f>
        <v/>
      </c>
      <c r="AA370" s="1" t="str">
        <f>IF(OR($B370="",AA$7=""),"",IF($B370="MEANS",INDEX('1-DATA'!$1:$1048576,$A369-1,COLUMN('1-DATA'!Z368)),ROUND(INDEX('1-DATA'!$1:$1048576,IF(OR($B370="STD. DEVIATION",$C$1=1),$A370,$A370+1),COLUMN('1-DATA'!Z368)),IF($B370="STD. DEVIATION",2,$F$1))))</f>
        <v/>
      </c>
      <c r="AB370" s="1" t="str">
        <f>IF(OR($B370="",AB$7=""),"",IF($B370="MEANS",INDEX('1-DATA'!$1:$1048576,$A369-1,COLUMN('1-DATA'!AA368)),ROUND(INDEX('1-DATA'!$1:$1048576,IF(OR($B370="STD. DEVIATION",$C$1=1),$A370,$A370+1),COLUMN('1-DATA'!AA368)),IF($B370="STD. DEVIATION",2,$F$1))))</f>
        <v/>
      </c>
      <c r="AC370" s="1" t="str">
        <f>IF(OR($B370="",AC$7=""),"",IF($B370="MEANS",INDEX('1-DATA'!$1:$1048576,$A369-1,COLUMN('1-DATA'!AB368)),ROUND(INDEX('1-DATA'!$1:$1048576,IF(OR($B370="STD. DEVIATION",$C$1=1),$A370,$A370+1),COLUMN('1-DATA'!AB368)),IF($B370="STD. DEVIATION",2,$F$1))))</f>
        <v/>
      </c>
      <c r="AD370" s="1" t="str">
        <f>IF(OR($B370="",AD$7=""),"",IF($B370="MEANS",INDEX('1-DATA'!$1:$1048576,$A369-1,COLUMN('1-DATA'!AC368)),ROUND(INDEX('1-DATA'!$1:$1048576,IF(OR($B370="STD. DEVIATION",$C$1=1),$A370,$A370+1),COLUMN('1-DATA'!AC368)),IF($B370="STD. DEVIATION",2,$F$1))))</f>
        <v/>
      </c>
      <c r="AE370" s="1" t="str">
        <f>IF(OR($B370="",AE$7=""),"",IF($B370="MEANS",INDEX('1-DATA'!$1:$1048576,$A369-1,COLUMN('1-DATA'!AD368)),ROUND(INDEX('1-DATA'!$1:$1048576,IF(OR($B370="STD. DEVIATION",$C$1=1),$A370,$A370+1),COLUMN('1-DATA'!AD368)),IF($B370="STD. DEVIATION",2,$F$1))))</f>
        <v/>
      </c>
      <c r="AF370" s="1" t="str">
        <f>IF(OR($B370="",AF$7=""),"",IF($B370="MEANS",INDEX('1-DATA'!$1:$1048576,$A369-1,COLUMN('1-DATA'!AE368)),ROUND(INDEX('1-DATA'!$1:$1048576,IF(OR($B370="STD. DEVIATION",$C$1=1),$A370,$A370+1),COLUMN('1-DATA'!AE368)),IF($B370="STD. DEVIATION",2,$F$1))))</f>
        <v/>
      </c>
      <c r="AG370" s="1" t="str">
        <f>IF(OR($B370="",AG$7=""),"",IF($B370="MEANS",INDEX('1-DATA'!$1:$1048576,$A369-1,COLUMN('1-DATA'!AF368)),ROUND(INDEX('1-DATA'!$1:$1048576,IF(OR($B370="STD. DEVIATION",$C$1=1),$A370,$A370+1),COLUMN('1-DATA'!AF368)),IF($B370="STD. DEVIATION",2,$F$1))))</f>
        <v/>
      </c>
      <c r="AH370" s="1" t="str">
        <f>IF(OR($B370="",AH$7=""),"",IF($B370="MEANS",INDEX('1-DATA'!$1:$1048576,$A369-1,COLUMN('1-DATA'!AG368)),ROUND(INDEX('1-DATA'!$1:$1048576,IF(OR($B370="STD. DEVIATION",$C$1=1),$A370,$A370+1),COLUMN('1-DATA'!AG368)),IF($B370="STD. DEVIATION",2,$F$1))))</f>
        <v/>
      </c>
      <c r="AI370" s="1" t="str">
        <f>IF(OR($B370="",AI$7=""),"",IF($B370="MEANS",INDEX('1-DATA'!$1:$1048576,$A369-1,COLUMN('1-DATA'!AH368)),ROUND(INDEX('1-DATA'!$1:$1048576,IF(OR($B370="STD. DEVIATION",$C$1=1),$A370,$A370+1),COLUMN('1-DATA'!AH368)),IF($B370="STD. DEVIATION",2,$F$1))))</f>
        <v/>
      </c>
      <c r="AJ370" s="1" t="str">
        <f>IF(OR($B370="",AJ$7=""),"",IF($B370="MEANS",INDEX('1-DATA'!$1:$1048576,$A369-1,COLUMN('1-DATA'!AI368)),ROUND(INDEX('1-DATA'!$1:$1048576,IF(OR($B370="STD. DEVIATION",$C$1=1),$A370,$A370+1),COLUMN('1-DATA'!AI368)),IF($B370="STD. DEVIATION",2,$F$1))))</f>
        <v/>
      </c>
      <c r="AK370" s="1" t="str">
        <f>IF(OR($B370="",AK$7=""),"",IF($B370="MEANS",INDEX('1-DATA'!$1:$1048576,$A369-1,COLUMN('1-DATA'!AJ368)),ROUND(INDEX('1-DATA'!$1:$1048576,IF(OR($B370="STD. DEVIATION",$C$1=1),$A370,$A370+1),COLUMN('1-DATA'!AJ368)),IF($B370="STD. DEVIATION",2,$F$1))))</f>
        <v/>
      </c>
      <c r="AL370" s="1" t="str">
        <f>IF(OR($B370="",AL$7=""),"",IF($B370="MEANS",INDEX('1-DATA'!$1:$1048576,$A369-1,COLUMN('1-DATA'!AK368)),ROUND(INDEX('1-DATA'!$1:$1048576,IF(OR($B370="STD. DEVIATION",$C$1=1),$A370,$A370+1),COLUMN('1-DATA'!AK368)),IF($B370="STD. DEVIATION",2,$F$1))))</f>
        <v/>
      </c>
      <c r="AM370" s="1" t="str">
        <f>IF(OR($B370="",AM$7=""),"",IF($B370="MEANS",INDEX('1-DATA'!$1:$1048576,$A369-1,COLUMN('1-DATA'!AL368)),ROUND(INDEX('1-DATA'!$1:$1048576,IF(OR($B370="STD. DEVIATION",$C$1=1),$A370,$A370+1),COLUMN('1-DATA'!AL368)),IF($B370="STD. DEVIATION",2,$F$1))))</f>
        <v/>
      </c>
      <c r="AN370" s="1" t="str">
        <f>IF(OR($B370="",AN$7=""),"",IF($B370="MEANS",INDEX('1-DATA'!$1:$1048576,$A369-1,COLUMN('1-DATA'!AM368)),ROUND(INDEX('1-DATA'!$1:$1048576,IF(OR($B370="STD. DEVIATION",$C$1=1),$A370,$A370+1),COLUMN('1-DATA'!AM368)),IF($B370="STD. DEVIATION",2,$F$1))))</f>
        <v/>
      </c>
      <c r="AO370" s="1" t="str">
        <f>IF(OR($B370="",AO$7=""),"",IF($B370="MEANS",INDEX('1-DATA'!$1:$1048576,$A369-1,COLUMN('1-DATA'!AN368)),ROUND(INDEX('1-DATA'!$1:$1048576,IF(OR($B370="STD. DEVIATION",$C$1=1),$A370,$A370+1),COLUMN('1-DATA'!AN368)),IF($B370="STD. DEVIATION",2,$F$1))))</f>
        <v/>
      </c>
      <c r="AP370" s="1" t="str">
        <f>IF(OR($B370="",AP$7=""),"",IF($B370="MEANS",INDEX('1-DATA'!$1:$1048576,$A369-1,COLUMN('1-DATA'!AO368)),ROUND(INDEX('1-DATA'!$1:$1048576,IF(OR($B370="STD. DEVIATION",$C$1=1),$A370,$A370+1),COLUMN('1-DATA'!AO368)),IF($B370="STD. DEVIATION",2,$F$1))))</f>
        <v/>
      </c>
      <c r="AQ370" s="1" t="str">
        <f>IF(OR($B370="",AQ$7=""),"",IF($B370="MEANS",INDEX('1-DATA'!$1:$1048576,$A369-1,COLUMN('1-DATA'!AP368)),ROUND(INDEX('1-DATA'!$1:$1048576,IF(OR($B370="STD. DEVIATION",$C$1=1),$A370,$A370+1),COLUMN('1-DATA'!AP368)),IF($B370="STD. DEVIATION",2,$F$1))))</f>
        <v/>
      </c>
      <c r="AR370" s="1" t="str">
        <f>IF(OR($B370="",AR$7=""),"",IF($B370="MEANS",INDEX('1-DATA'!$1:$1048576,$A369-1,COLUMN('1-DATA'!AQ368)),ROUND(INDEX('1-DATA'!$1:$1048576,IF(OR($B370="STD. DEVIATION",$C$1=1),$A370,$A370+1),COLUMN('1-DATA'!AQ368)),IF($B370="STD. DEVIATION",2,$F$1))))</f>
        <v/>
      </c>
      <c r="AS370" s="1" t="str">
        <f>IF(OR($B370="",AS$7=""),"",IF($B370="MEANS",INDEX('1-DATA'!$1:$1048576,$A369-1,COLUMN('1-DATA'!AR368)),ROUND(INDEX('1-DATA'!$1:$1048576,IF(OR($B370="STD. DEVIATION",$C$1=1),$A370,$A370+1),COLUMN('1-DATA'!AR368)),IF($B370="STD. DEVIATION",2,$F$1))))</f>
        <v/>
      </c>
      <c r="AT370" s="1" t="str">
        <f>IF(OR($B370="",AT$7=""),"",IF($B370="MEANS",INDEX('1-DATA'!$1:$1048576,$A369-1,COLUMN('1-DATA'!AS368)),ROUND(INDEX('1-DATA'!$1:$1048576,IF(OR($B370="STD. DEVIATION",$C$1=1),$A370,$A370+1),COLUMN('1-DATA'!AS368)),IF($B370="STD. DEVIATION",2,$F$1))))</f>
        <v/>
      </c>
      <c r="AU370" s="1" t="str">
        <f>IF(OR($B370="",AU$7=""),"",IF($B370="MEANS",INDEX('1-DATA'!$1:$1048576,$A369-1,COLUMN('1-DATA'!AT368)),ROUND(INDEX('1-DATA'!$1:$1048576,IF(OR($B370="STD. DEVIATION",$C$1=1),$A370,$A370+1),COLUMN('1-DATA'!AT368)),IF($B370="STD. DEVIATION",2,$F$1))))</f>
        <v/>
      </c>
      <c r="AV370" s="1" t="str">
        <f>IF(OR($B370="",AV$7=""),"",IF($B370="MEANS",INDEX('1-DATA'!$1:$1048576,$A369-1,COLUMN('1-DATA'!AU368)),ROUND(INDEX('1-DATA'!$1:$1048576,IF(OR($B370="STD. DEVIATION",$C$1=1),$A370,$A370+1),COLUMN('1-DATA'!AU368)),IF($B370="STD. DEVIATION",2,$F$1))))</f>
        <v/>
      </c>
      <c r="AW370" s="1" t="str">
        <f>IF(OR($B370="",AW$7=""),"",IF($B370="MEANS",INDEX('1-DATA'!$1:$1048576,$A369-1,COLUMN('1-DATA'!AV368)),ROUND(INDEX('1-DATA'!$1:$1048576,IF(OR($B370="STD. DEVIATION",$C$1=1),$A370,$A370+1),COLUMN('1-DATA'!AV368)),IF($B370="STD. DEVIATION",2,$F$1))))</f>
        <v/>
      </c>
      <c r="AX370" s="1" t="str">
        <f>IF(OR($B370="",AX$7=""),"",IF($B370="MEANS",INDEX('1-DATA'!$1:$1048576,$A369-1,COLUMN('1-DATA'!AW368)),ROUND(INDEX('1-DATA'!$1:$1048576,IF(OR($B370="STD. DEVIATION",$C$1=1),$A370,$A370+1),COLUMN('1-DATA'!AW368)),IF($B370="STD. DEVIATION",2,$F$1))))</f>
        <v/>
      </c>
      <c r="AY370" s="1" t="str">
        <f>IF(OR($B370="",AY$7=""),"",IF($B370="MEANS",INDEX('1-DATA'!$1:$1048576,$A369-1,COLUMN('1-DATA'!AX368)),ROUND(INDEX('1-DATA'!$1:$1048576,IF(OR($B370="STD. DEVIATION",$C$1=1),$A370,$A370+1),COLUMN('1-DATA'!AX368)),IF($B370="STD. DEVIATION",2,$F$1))))</f>
        <v/>
      </c>
      <c r="AZ370" s="1" t="str">
        <f>IF(OR($B370="",AZ$7=""),"",IF($B370="MEANS",INDEX('1-DATA'!$1:$1048576,$A369-1,COLUMN('1-DATA'!AY368)),ROUND(INDEX('1-DATA'!$1:$1048576,IF(OR($B370="STD. DEVIATION",$C$1=1),$A370,$A370+1),COLUMN('1-DATA'!AY368)),IF($B370="STD. DEVIATION",2,$F$1))))</f>
        <v/>
      </c>
    </row>
    <row r="371" spans="1:52" x14ac:dyDescent="0.25">
      <c r="A371" s="11">
        <f t="shared" si="6"/>
        <v>1099</v>
      </c>
      <c r="B371" s="1" t="str">
        <f>IF(B370="STD. DEVIATION",INDEX('1-DATA'!$1:$1048576,$A370-1,1),IF(INDEX('1-DATA'!$1:$1048576,$A371,1)&lt;&gt;"",INDEX('1-DATA'!$1:$1048576,$A371,1),""))</f>
        <v/>
      </c>
      <c r="C371" s="1" t="str">
        <f>IF(OR($B371="",C$7=""),"",IF($B371="MEANS",INDEX('1-DATA'!$1:$1048576,$A370-1,COLUMN('1-DATA'!B369)),ROUND(INDEX('1-DATA'!$1:$1048576,IF(OR($B371="STD. DEVIATION",$C$1=1),$A371,$A371+1),COLUMN('1-DATA'!B369)),IF($B371="STD. DEVIATION",2,$F$1))))</f>
        <v/>
      </c>
      <c r="D371" s="1" t="str">
        <f>IF(OR($B371="",D$7=""),"",IF($B371="MEANS",INDEX('1-DATA'!$1:$1048576,$A370-1,COLUMN('1-DATA'!C369)),ROUND(INDEX('1-DATA'!$1:$1048576,IF(OR($B371="STD. DEVIATION",$C$1=1),$A371,$A371+1),COLUMN('1-DATA'!C369)),IF($B371="STD. DEVIATION",2,$F$1))))</f>
        <v/>
      </c>
      <c r="E371" s="1" t="str">
        <f>IF(OR($B371="",E$7=""),"",IF($B371="MEANS",INDEX('1-DATA'!$1:$1048576,$A370-1,COLUMN('1-DATA'!D369)),ROUND(INDEX('1-DATA'!$1:$1048576,IF(OR($B371="STD. DEVIATION",$C$1=1),$A371,$A371+1),COLUMN('1-DATA'!D369)),IF($B371="STD. DEVIATION",2,$F$1))))</f>
        <v/>
      </c>
      <c r="F371" s="1" t="str">
        <f>IF(OR($B371="",F$7=""),"",IF($B371="MEANS",INDEX('1-DATA'!$1:$1048576,$A370-1,COLUMN('1-DATA'!E369)),ROUND(INDEX('1-DATA'!$1:$1048576,IF(OR($B371="STD. DEVIATION",$C$1=1),$A371,$A371+1),COLUMN('1-DATA'!E369)),IF($B371="STD. DEVIATION",2,$F$1))))</f>
        <v/>
      </c>
      <c r="G371" s="1" t="str">
        <f>IF(OR($B371="",G$7=""),"",IF($B371="MEANS",INDEX('1-DATA'!$1:$1048576,$A370-1,COLUMN('1-DATA'!F369)),ROUND(INDEX('1-DATA'!$1:$1048576,IF(OR($B371="STD. DEVIATION",$C$1=1),$A371,$A371+1),COLUMN('1-DATA'!F369)),IF($B371="STD. DEVIATION",2,$F$1))))</f>
        <v/>
      </c>
      <c r="H371" s="1" t="str">
        <f>IF(OR($B371="",H$7=""),"",IF($B371="MEANS",INDEX('1-DATA'!$1:$1048576,$A370-1,COLUMN('1-DATA'!G369)),ROUND(INDEX('1-DATA'!$1:$1048576,IF(OR($B371="STD. DEVIATION",$C$1=1),$A371,$A371+1),COLUMN('1-DATA'!G369)),IF($B371="STD. DEVIATION",2,$F$1))))</f>
        <v/>
      </c>
      <c r="I371" s="1" t="str">
        <f>IF(OR($B371="",I$7=""),"",IF($B371="MEANS",INDEX('1-DATA'!$1:$1048576,$A370-1,COLUMN('1-DATA'!H369)),ROUND(INDEX('1-DATA'!$1:$1048576,IF(OR($B371="STD. DEVIATION",$C$1=1),$A371,$A371+1),COLUMN('1-DATA'!H369)),IF($B371="STD. DEVIATION",2,$F$1))))</f>
        <v/>
      </c>
      <c r="J371" s="1" t="str">
        <f>IF(OR($B371="",J$7=""),"",IF($B371="MEANS",INDEX('1-DATA'!$1:$1048576,$A370-1,COLUMN('1-DATA'!I369)),ROUND(INDEX('1-DATA'!$1:$1048576,IF(OR($B371="STD. DEVIATION",$C$1=1),$A371,$A371+1),COLUMN('1-DATA'!I369)),IF($B371="STD. DEVIATION",2,$F$1))))</f>
        <v/>
      </c>
      <c r="K371" s="1" t="str">
        <f>IF(OR($B371="",K$7=""),"",IF($B371="MEANS",INDEX('1-DATA'!$1:$1048576,$A370-1,COLUMN('1-DATA'!J369)),ROUND(INDEX('1-DATA'!$1:$1048576,IF(OR($B371="STD. DEVIATION",$C$1=1),$A371,$A371+1),COLUMN('1-DATA'!J369)),IF($B371="STD. DEVIATION",2,$F$1))))</f>
        <v/>
      </c>
      <c r="L371" s="1" t="str">
        <f>IF(OR($B371="",L$7=""),"",IF($B371="MEANS",INDEX('1-DATA'!$1:$1048576,$A370-1,COLUMN('1-DATA'!K369)),ROUND(INDEX('1-DATA'!$1:$1048576,IF(OR($B371="STD. DEVIATION",$C$1=1),$A371,$A371+1),COLUMN('1-DATA'!K369)),IF($B371="STD. DEVIATION",2,$F$1))))</f>
        <v/>
      </c>
      <c r="M371" s="1" t="str">
        <f>IF(OR($B371="",M$7=""),"",IF($B371="MEANS",INDEX('1-DATA'!$1:$1048576,$A370-1,COLUMN('1-DATA'!L369)),ROUND(INDEX('1-DATA'!$1:$1048576,IF(OR($B371="STD. DEVIATION",$C$1=1),$A371,$A371+1),COLUMN('1-DATA'!L369)),IF($B371="STD. DEVIATION",2,$F$1))))</f>
        <v/>
      </c>
      <c r="N371" s="1" t="str">
        <f>IF(OR($B371="",N$7=""),"",IF($B371="MEANS",INDEX('1-DATA'!$1:$1048576,$A370-1,COLUMN('1-DATA'!M369)),ROUND(INDEX('1-DATA'!$1:$1048576,IF(OR($B371="STD. DEVIATION",$C$1=1),$A371,$A371+1),COLUMN('1-DATA'!M369)),IF($B371="STD. DEVIATION",2,$F$1))))</f>
        <v/>
      </c>
      <c r="O371" s="1" t="str">
        <f>IF(OR($B371="",O$7=""),"",IF($B371="MEANS",INDEX('1-DATA'!$1:$1048576,$A370-1,COLUMN('1-DATA'!N369)),ROUND(INDEX('1-DATA'!$1:$1048576,IF(OR($B371="STD. DEVIATION",$C$1=1),$A371,$A371+1),COLUMN('1-DATA'!N369)),IF($B371="STD. DEVIATION",2,$F$1))))</f>
        <v/>
      </c>
      <c r="P371" s="1" t="str">
        <f>IF(OR($B371="",P$7=""),"",IF($B371="MEANS",INDEX('1-DATA'!$1:$1048576,$A370-1,COLUMN('1-DATA'!O369)),ROUND(INDEX('1-DATA'!$1:$1048576,IF(OR($B371="STD. DEVIATION",$C$1=1),$A371,$A371+1),COLUMN('1-DATA'!O369)),IF($B371="STD. DEVIATION",2,$F$1))))</f>
        <v/>
      </c>
      <c r="Q371" s="1" t="str">
        <f>IF(OR($B371="",Q$7=""),"",IF($B371="MEANS",INDEX('1-DATA'!$1:$1048576,$A370-1,COLUMN('1-DATA'!P369)),ROUND(INDEX('1-DATA'!$1:$1048576,IF(OR($B371="STD. DEVIATION",$C$1=1),$A371,$A371+1),COLUMN('1-DATA'!P369)),IF($B371="STD. DEVIATION",2,$F$1))))</f>
        <v/>
      </c>
      <c r="R371" s="1" t="str">
        <f>IF(OR($B371="",R$7=""),"",IF($B371="MEANS",INDEX('1-DATA'!$1:$1048576,$A370-1,COLUMN('1-DATA'!Q369)),ROUND(INDEX('1-DATA'!$1:$1048576,IF(OR($B371="STD. DEVIATION",$C$1=1),$A371,$A371+1),COLUMN('1-DATA'!Q369)),IF($B371="STD. DEVIATION",2,$F$1))))</f>
        <v/>
      </c>
      <c r="S371" s="1" t="str">
        <f>IF(OR($B371="",S$7=""),"",IF($B371="MEANS",INDEX('1-DATA'!$1:$1048576,$A370-1,COLUMN('1-DATA'!R369)),ROUND(INDEX('1-DATA'!$1:$1048576,IF(OR($B371="STD. DEVIATION",$C$1=1),$A371,$A371+1),COLUMN('1-DATA'!R369)),IF($B371="STD. DEVIATION",2,$F$1))))</f>
        <v/>
      </c>
      <c r="T371" s="1" t="str">
        <f>IF(OR($B371="",T$7=""),"",IF($B371="MEANS",INDEX('1-DATA'!$1:$1048576,$A370-1,COLUMN('1-DATA'!S369)),ROUND(INDEX('1-DATA'!$1:$1048576,IF(OR($B371="STD. DEVIATION",$C$1=1),$A371,$A371+1),COLUMN('1-DATA'!S369)),IF($B371="STD. DEVIATION",2,$F$1))))</f>
        <v/>
      </c>
      <c r="U371" s="1" t="str">
        <f>IF(OR($B371="",U$7=""),"",IF($B371="MEANS",INDEX('1-DATA'!$1:$1048576,$A370-1,COLUMN('1-DATA'!T369)),ROUND(INDEX('1-DATA'!$1:$1048576,IF(OR($B371="STD. DEVIATION",$C$1=1),$A371,$A371+1),COLUMN('1-DATA'!T369)),IF($B371="STD. DEVIATION",2,$F$1))))</f>
        <v/>
      </c>
      <c r="V371" s="1" t="str">
        <f>IF(OR($B371="",V$7=""),"",IF($B371="MEANS",INDEX('1-DATA'!$1:$1048576,$A370-1,COLUMN('1-DATA'!U369)),ROUND(INDEX('1-DATA'!$1:$1048576,IF(OR($B371="STD. DEVIATION",$C$1=1),$A371,$A371+1),COLUMN('1-DATA'!U369)),IF($B371="STD. DEVIATION",2,$F$1))))</f>
        <v/>
      </c>
      <c r="W371" s="1" t="str">
        <f>IF(OR($B371="",W$7=""),"",IF($B371="MEANS",INDEX('1-DATA'!$1:$1048576,$A370-1,COLUMN('1-DATA'!V369)),ROUND(INDEX('1-DATA'!$1:$1048576,IF(OR($B371="STD. DEVIATION",$C$1=1),$A371,$A371+1),COLUMN('1-DATA'!V369)),IF($B371="STD. DEVIATION",2,$F$1))))</f>
        <v/>
      </c>
      <c r="X371" s="1" t="str">
        <f>IF(OR($B371="",X$7=""),"",IF($B371="MEANS",INDEX('1-DATA'!$1:$1048576,$A370-1,COLUMN('1-DATA'!W369)),ROUND(INDEX('1-DATA'!$1:$1048576,IF(OR($B371="STD. DEVIATION",$C$1=1),$A371,$A371+1),COLUMN('1-DATA'!W369)),IF($B371="STD. DEVIATION",2,$F$1))))</f>
        <v/>
      </c>
      <c r="Y371" s="1" t="str">
        <f>IF(OR($B371="",Y$7=""),"",IF($B371="MEANS",INDEX('1-DATA'!$1:$1048576,$A370-1,COLUMN('1-DATA'!X369)),ROUND(INDEX('1-DATA'!$1:$1048576,IF(OR($B371="STD. DEVIATION",$C$1=1),$A371,$A371+1),COLUMN('1-DATA'!X369)),IF($B371="STD. DEVIATION",2,$F$1))))</f>
        <v/>
      </c>
      <c r="Z371" s="1" t="str">
        <f>IF(OR($B371="",Z$7=""),"",IF($B371="MEANS",INDEX('1-DATA'!$1:$1048576,$A370-1,COLUMN('1-DATA'!Y369)),ROUND(INDEX('1-DATA'!$1:$1048576,IF(OR($B371="STD. DEVIATION",$C$1=1),$A371,$A371+1),COLUMN('1-DATA'!Y369)),IF($B371="STD. DEVIATION",2,$F$1))))</f>
        <v/>
      </c>
      <c r="AA371" s="1" t="str">
        <f>IF(OR($B371="",AA$7=""),"",IF($B371="MEANS",INDEX('1-DATA'!$1:$1048576,$A370-1,COLUMN('1-DATA'!Z369)),ROUND(INDEX('1-DATA'!$1:$1048576,IF(OR($B371="STD. DEVIATION",$C$1=1),$A371,$A371+1),COLUMN('1-DATA'!Z369)),IF($B371="STD. DEVIATION",2,$F$1))))</f>
        <v/>
      </c>
      <c r="AB371" s="1" t="str">
        <f>IF(OR($B371="",AB$7=""),"",IF($B371="MEANS",INDEX('1-DATA'!$1:$1048576,$A370-1,COLUMN('1-DATA'!AA369)),ROUND(INDEX('1-DATA'!$1:$1048576,IF(OR($B371="STD. DEVIATION",$C$1=1),$A371,$A371+1),COLUMN('1-DATA'!AA369)),IF($B371="STD. DEVIATION",2,$F$1))))</f>
        <v/>
      </c>
      <c r="AC371" s="1" t="str">
        <f>IF(OR($B371="",AC$7=""),"",IF($B371="MEANS",INDEX('1-DATA'!$1:$1048576,$A370-1,COLUMN('1-DATA'!AB369)),ROUND(INDEX('1-DATA'!$1:$1048576,IF(OR($B371="STD. DEVIATION",$C$1=1),$A371,$A371+1),COLUMN('1-DATA'!AB369)),IF($B371="STD. DEVIATION",2,$F$1))))</f>
        <v/>
      </c>
      <c r="AD371" s="1" t="str">
        <f>IF(OR($B371="",AD$7=""),"",IF($B371="MEANS",INDEX('1-DATA'!$1:$1048576,$A370-1,COLUMN('1-DATA'!AC369)),ROUND(INDEX('1-DATA'!$1:$1048576,IF(OR($B371="STD. DEVIATION",$C$1=1),$A371,$A371+1),COLUMN('1-DATA'!AC369)),IF($B371="STD. DEVIATION",2,$F$1))))</f>
        <v/>
      </c>
      <c r="AE371" s="1" t="str">
        <f>IF(OR($B371="",AE$7=""),"",IF($B371="MEANS",INDEX('1-DATA'!$1:$1048576,$A370-1,COLUMN('1-DATA'!AD369)),ROUND(INDEX('1-DATA'!$1:$1048576,IF(OR($B371="STD. DEVIATION",$C$1=1),$A371,$A371+1),COLUMN('1-DATA'!AD369)),IF($B371="STD. DEVIATION",2,$F$1))))</f>
        <v/>
      </c>
      <c r="AF371" s="1" t="str">
        <f>IF(OR($B371="",AF$7=""),"",IF($B371="MEANS",INDEX('1-DATA'!$1:$1048576,$A370-1,COLUMN('1-DATA'!AE369)),ROUND(INDEX('1-DATA'!$1:$1048576,IF(OR($B371="STD. DEVIATION",$C$1=1),$A371,$A371+1),COLUMN('1-DATA'!AE369)),IF($B371="STD. DEVIATION",2,$F$1))))</f>
        <v/>
      </c>
      <c r="AG371" s="1" t="str">
        <f>IF(OR($B371="",AG$7=""),"",IF($B371="MEANS",INDEX('1-DATA'!$1:$1048576,$A370-1,COLUMN('1-DATA'!AF369)),ROUND(INDEX('1-DATA'!$1:$1048576,IF(OR($B371="STD. DEVIATION",$C$1=1),$A371,$A371+1),COLUMN('1-DATA'!AF369)),IF($B371="STD. DEVIATION",2,$F$1))))</f>
        <v/>
      </c>
      <c r="AH371" s="1" t="str">
        <f>IF(OR($B371="",AH$7=""),"",IF($B371="MEANS",INDEX('1-DATA'!$1:$1048576,$A370-1,COLUMN('1-DATA'!AG369)),ROUND(INDEX('1-DATA'!$1:$1048576,IF(OR($B371="STD. DEVIATION",$C$1=1),$A371,$A371+1),COLUMN('1-DATA'!AG369)),IF($B371="STD. DEVIATION",2,$F$1))))</f>
        <v/>
      </c>
      <c r="AI371" s="1" t="str">
        <f>IF(OR($B371="",AI$7=""),"",IF($B371="MEANS",INDEX('1-DATA'!$1:$1048576,$A370-1,COLUMN('1-DATA'!AH369)),ROUND(INDEX('1-DATA'!$1:$1048576,IF(OR($B371="STD. DEVIATION",$C$1=1),$A371,$A371+1),COLUMN('1-DATA'!AH369)),IF($B371="STD. DEVIATION",2,$F$1))))</f>
        <v/>
      </c>
      <c r="AJ371" s="1" t="str">
        <f>IF(OR($B371="",AJ$7=""),"",IF($B371="MEANS",INDEX('1-DATA'!$1:$1048576,$A370-1,COLUMN('1-DATA'!AI369)),ROUND(INDEX('1-DATA'!$1:$1048576,IF(OR($B371="STD. DEVIATION",$C$1=1),$A371,$A371+1),COLUMN('1-DATA'!AI369)),IF($B371="STD. DEVIATION",2,$F$1))))</f>
        <v/>
      </c>
      <c r="AK371" s="1" t="str">
        <f>IF(OR($B371="",AK$7=""),"",IF($B371="MEANS",INDEX('1-DATA'!$1:$1048576,$A370-1,COLUMN('1-DATA'!AJ369)),ROUND(INDEX('1-DATA'!$1:$1048576,IF(OR($B371="STD. DEVIATION",$C$1=1),$A371,$A371+1),COLUMN('1-DATA'!AJ369)),IF($B371="STD. DEVIATION",2,$F$1))))</f>
        <v/>
      </c>
      <c r="AL371" s="1" t="str">
        <f>IF(OR($B371="",AL$7=""),"",IF($B371="MEANS",INDEX('1-DATA'!$1:$1048576,$A370-1,COLUMN('1-DATA'!AK369)),ROUND(INDEX('1-DATA'!$1:$1048576,IF(OR($B371="STD. DEVIATION",$C$1=1),$A371,$A371+1),COLUMN('1-DATA'!AK369)),IF($B371="STD. DEVIATION",2,$F$1))))</f>
        <v/>
      </c>
      <c r="AM371" s="1" t="str">
        <f>IF(OR($B371="",AM$7=""),"",IF($B371="MEANS",INDEX('1-DATA'!$1:$1048576,$A370-1,COLUMN('1-DATA'!AL369)),ROUND(INDEX('1-DATA'!$1:$1048576,IF(OR($B371="STD. DEVIATION",$C$1=1),$A371,$A371+1),COLUMN('1-DATA'!AL369)),IF($B371="STD. DEVIATION",2,$F$1))))</f>
        <v/>
      </c>
      <c r="AN371" s="1" t="str">
        <f>IF(OR($B371="",AN$7=""),"",IF($B371="MEANS",INDEX('1-DATA'!$1:$1048576,$A370-1,COLUMN('1-DATA'!AM369)),ROUND(INDEX('1-DATA'!$1:$1048576,IF(OR($B371="STD. DEVIATION",$C$1=1),$A371,$A371+1),COLUMN('1-DATA'!AM369)),IF($B371="STD. DEVIATION",2,$F$1))))</f>
        <v/>
      </c>
      <c r="AO371" s="1" t="str">
        <f>IF(OR($B371="",AO$7=""),"",IF($B371="MEANS",INDEX('1-DATA'!$1:$1048576,$A370-1,COLUMN('1-DATA'!AN369)),ROUND(INDEX('1-DATA'!$1:$1048576,IF(OR($B371="STD. DEVIATION",$C$1=1),$A371,$A371+1),COLUMN('1-DATA'!AN369)),IF($B371="STD. DEVIATION",2,$F$1))))</f>
        <v/>
      </c>
      <c r="AP371" s="1" t="str">
        <f>IF(OR($B371="",AP$7=""),"",IF($B371="MEANS",INDEX('1-DATA'!$1:$1048576,$A370-1,COLUMN('1-DATA'!AO369)),ROUND(INDEX('1-DATA'!$1:$1048576,IF(OR($B371="STD. DEVIATION",$C$1=1),$A371,$A371+1),COLUMN('1-DATA'!AO369)),IF($B371="STD. DEVIATION",2,$F$1))))</f>
        <v/>
      </c>
      <c r="AQ371" s="1" t="str">
        <f>IF(OR($B371="",AQ$7=""),"",IF($B371="MEANS",INDEX('1-DATA'!$1:$1048576,$A370-1,COLUMN('1-DATA'!AP369)),ROUND(INDEX('1-DATA'!$1:$1048576,IF(OR($B371="STD. DEVIATION",$C$1=1),$A371,$A371+1),COLUMN('1-DATA'!AP369)),IF($B371="STD. DEVIATION",2,$F$1))))</f>
        <v/>
      </c>
      <c r="AR371" s="1" t="str">
        <f>IF(OR($B371="",AR$7=""),"",IF($B371="MEANS",INDEX('1-DATA'!$1:$1048576,$A370-1,COLUMN('1-DATA'!AQ369)),ROUND(INDEX('1-DATA'!$1:$1048576,IF(OR($B371="STD. DEVIATION",$C$1=1),$A371,$A371+1),COLUMN('1-DATA'!AQ369)),IF($B371="STD. DEVIATION",2,$F$1))))</f>
        <v/>
      </c>
      <c r="AS371" s="1" t="str">
        <f>IF(OR($B371="",AS$7=""),"",IF($B371="MEANS",INDEX('1-DATA'!$1:$1048576,$A370-1,COLUMN('1-DATA'!AR369)),ROUND(INDEX('1-DATA'!$1:$1048576,IF(OR($B371="STD. DEVIATION",$C$1=1),$A371,$A371+1),COLUMN('1-DATA'!AR369)),IF($B371="STD. DEVIATION",2,$F$1))))</f>
        <v/>
      </c>
      <c r="AT371" s="1" t="str">
        <f>IF(OR($B371="",AT$7=""),"",IF($B371="MEANS",INDEX('1-DATA'!$1:$1048576,$A370-1,COLUMN('1-DATA'!AS369)),ROUND(INDEX('1-DATA'!$1:$1048576,IF(OR($B371="STD. DEVIATION",$C$1=1),$A371,$A371+1),COLUMN('1-DATA'!AS369)),IF($B371="STD. DEVIATION",2,$F$1))))</f>
        <v/>
      </c>
      <c r="AU371" s="1" t="str">
        <f>IF(OR($B371="",AU$7=""),"",IF($B371="MEANS",INDEX('1-DATA'!$1:$1048576,$A370-1,COLUMN('1-DATA'!AT369)),ROUND(INDEX('1-DATA'!$1:$1048576,IF(OR($B371="STD. DEVIATION",$C$1=1),$A371,$A371+1),COLUMN('1-DATA'!AT369)),IF($B371="STD. DEVIATION",2,$F$1))))</f>
        <v/>
      </c>
      <c r="AV371" s="1" t="str">
        <f>IF(OR($B371="",AV$7=""),"",IF($B371="MEANS",INDEX('1-DATA'!$1:$1048576,$A370-1,COLUMN('1-DATA'!AU369)),ROUND(INDEX('1-DATA'!$1:$1048576,IF(OR($B371="STD. DEVIATION",$C$1=1),$A371,$A371+1),COLUMN('1-DATA'!AU369)),IF($B371="STD. DEVIATION",2,$F$1))))</f>
        <v/>
      </c>
      <c r="AW371" s="1" t="str">
        <f>IF(OR($B371="",AW$7=""),"",IF($B371="MEANS",INDEX('1-DATA'!$1:$1048576,$A370-1,COLUMN('1-DATA'!AV369)),ROUND(INDEX('1-DATA'!$1:$1048576,IF(OR($B371="STD. DEVIATION",$C$1=1),$A371,$A371+1),COLUMN('1-DATA'!AV369)),IF($B371="STD. DEVIATION",2,$F$1))))</f>
        <v/>
      </c>
      <c r="AX371" s="1" t="str">
        <f>IF(OR($B371="",AX$7=""),"",IF($B371="MEANS",INDEX('1-DATA'!$1:$1048576,$A370-1,COLUMN('1-DATA'!AW369)),ROUND(INDEX('1-DATA'!$1:$1048576,IF(OR($B371="STD. DEVIATION",$C$1=1),$A371,$A371+1),COLUMN('1-DATA'!AW369)),IF($B371="STD. DEVIATION",2,$F$1))))</f>
        <v/>
      </c>
      <c r="AY371" s="1" t="str">
        <f>IF(OR($B371="",AY$7=""),"",IF($B371="MEANS",INDEX('1-DATA'!$1:$1048576,$A370-1,COLUMN('1-DATA'!AX369)),ROUND(INDEX('1-DATA'!$1:$1048576,IF(OR($B371="STD. DEVIATION",$C$1=1),$A371,$A371+1),COLUMN('1-DATA'!AX369)),IF($B371="STD. DEVIATION",2,$F$1))))</f>
        <v/>
      </c>
      <c r="AZ371" s="1" t="str">
        <f>IF(OR($B371="",AZ$7=""),"",IF($B371="MEANS",INDEX('1-DATA'!$1:$1048576,$A370-1,COLUMN('1-DATA'!AY369)),ROUND(INDEX('1-DATA'!$1:$1048576,IF(OR($B371="STD. DEVIATION",$C$1=1),$A371,$A371+1),COLUMN('1-DATA'!AY369)),IF($B371="STD. DEVIATION",2,$F$1))))</f>
        <v/>
      </c>
    </row>
    <row r="372" spans="1:52" x14ac:dyDescent="0.25">
      <c r="A372" s="11">
        <f t="shared" si="6"/>
        <v>1102</v>
      </c>
      <c r="B372" s="1" t="str">
        <f>IF(B371="STD. DEVIATION",INDEX('1-DATA'!$1:$1048576,$A371-1,1),IF(INDEX('1-DATA'!$1:$1048576,$A372,1)&lt;&gt;"",INDEX('1-DATA'!$1:$1048576,$A372,1),""))</f>
        <v/>
      </c>
      <c r="C372" s="1" t="str">
        <f>IF(OR($B372="",C$7=""),"",IF($B372="MEANS",INDEX('1-DATA'!$1:$1048576,$A371-1,COLUMN('1-DATA'!B370)),ROUND(INDEX('1-DATA'!$1:$1048576,IF(OR($B372="STD. DEVIATION",$C$1=1),$A372,$A372+1),COLUMN('1-DATA'!B370)),IF($B372="STD. DEVIATION",2,$F$1))))</f>
        <v/>
      </c>
      <c r="D372" s="1" t="str">
        <f>IF(OR($B372="",D$7=""),"",IF($B372="MEANS",INDEX('1-DATA'!$1:$1048576,$A371-1,COLUMN('1-DATA'!C370)),ROUND(INDEX('1-DATA'!$1:$1048576,IF(OR($B372="STD. DEVIATION",$C$1=1),$A372,$A372+1),COLUMN('1-DATA'!C370)),IF($B372="STD. DEVIATION",2,$F$1))))</f>
        <v/>
      </c>
      <c r="E372" s="1" t="str">
        <f>IF(OR($B372="",E$7=""),"",IF($B372="MEANS",INDEX('1-DATA'!$1:$1048576,$A371-1,COLUMN('1-DATA'!D370)),ROUND(INDEX('1-DATA'!$1:$1048576,IF(OR($B372="STD. DEVIATION",$C$1=1),$A372,$A372+1),COLUMN('1-DATA'!D370)),IF($B372="STD. DEVIATION",2,$F$1))))</f>
        <v/>
      </c>
      <c r="F372" s="1" t="str">
        <f>IF(OR($B372="",F$7=""),"",IF($B372="MEANS",INDEX('1-DATA'!$1:$1048576,$A371-1,COLUMN('1-DATA'!E370)),ROUND(INDEX('1-DATA'!$1:$1048576,IF(OR($B372="STD. DEVIATION",$C$1=1),$A372,$A372+1),COLUMN('1-DATA'!E370)),IF($B372="STD. DEVIATION",2,$F$1))))</f>
        <v/>
      </c>
      <c r="G372" s="1" t="str">
        <f>IF(OR($B372="",G$7=""),"",IF($B372="MEANS",INDEX('1-DATA'!$1:$1048576,$A371-1,COLUMN('1-DATA'!F370)),ROUND(INDEX('1-DATA'!$1:$1048576,IF(OR($B372="STD. DEVIATION",$C$1=1),$A372,$A372+1),COLUMN('1-DATA'!F370)),IF($B372="STD. DEVIATION",2,$F$1))))</f>
        <v/>
      </c>
      <c r="H372" s="1" t="str">
        <f>IF(OR($B372="",H$7=""),"",IF($B372="MEANS",INDEX('1-DATA'!$1:$1048576,$A371-1,COLUMN('1-DATA'!G370)),ROUND(INDEX('1-DATA'!$1:$1048576,IF(OR($B372="STD. DEVIATION",$C$1=1),$A372,$A372+1),COLUMN('1-DATA'!G370)),IF($B372="STD. DEVIATION",2,$F$1))))</f>
        <v/>
      </c>
      <c r="I372" s="1" t="str">
        <f>IF(OR($B372="",I$7=""),"",IF($B372="MEANS",INDEX('1-DATA'!$1:$1048576,$A371-1,COLUMN('1-DATA'!H370)),ROUND(INDEX('1-DATA'!$1:$1048576,IF(OR($B372="STD. DEVIATION",$C$1=1),$A372,$A372+1),COLUMN('1-DATA'!H370)),IF($B372="STD. DEVIATION",2,$F$1))))</f>
        <v/>
      </c>
      <c r="J372" s="1" t="str">
        <f>IF(OR($B372="",J$7=""),"",IF($B372="MEANS",INDEX('1-DATA'!$1:$1048576,$A371-1,COLUMN('1-DATA'!I370)),ROUND(INDEX('1-DATA'!$1:$1048576,IF(OR($B372="STD. DEVIATION",$C$1=1),$A372,$A372+1),COLUMN('1-DATA'!I370)),IF($B372="STD. DEVIATION",2,$F$1))))</f>
        <v/>
      </c>
      <c r="K372" s="1" t="str">
        <f>IF(OR($B372="",K$7=""),"",IF($B372="MEANS",INDEX('1-DATA'!$1:$1048576,$A371-1,COLUMN('1-DATA'!J370)),ROUND(INDEX('1-DATA'!$1:$1048576,IF(OR($B372="STD. DEVIATION",$C$1=1),$A372,$A372+1),COLUMN('1-DATA'!J370)),IF($B372="STD. DEVIATION",2,$F$1))))</f>
        <v/>
      </c>
      <c r="L372" s="1" t="str">
        <f>IF(OR($B372="",L$7=""),"",IF($B372="MEANS",INDEX('1-DATA'!$1:$1048576,$A371-1,COLUMN('1-DATA'!K370)),ROUND(INDEX('1-DATA'!$1:$1048576,IF(OR($B372="STD. DEVIATION",$C$1=1),$A372,$A372+1),COLUMN('1-DATA'!K370)),IF($B372="STD. DEVIATION",2,$F$1))))</f>
        <v/>
      </c>
      <c r="M372" s="1" t="str">
        <f>IF(OR($B372="",M$7=""),"",IF($B372="MEANS",INDEX('1-DATA'!$1:$1048576,$A371-1,COLUMN('1-DATA'!L370)),ROUND(INDEX('1-DATA'!$1:$1048576,IF(OR($B372="STD. DEVIATION",$C$1=1),$A372,$A372+1),COLUMN('1-DATA'!L370)),IF($B372="STD. DEVIATION",2,$F$1))))</f>
        <v/>
      </c>
      <c r="N372" s="1" t="str">
        <f>IF(OR($B372="",N$7=""),"",IF($B372="MEANS",INDEX('1-DATA'!$1:$1048576,$A371-1,COLUMN('1-DATA'!M370)),ROUND(INDEX('1-DATA'!$1:$1048576,IF(OR($B372="STD. DEVIATION",$C$1=1),$A372,$A372+1),COLUMN('1-DATA'!M370)),IF($B372="STD. DEVIATION",2,$F$1))))</f>
        <v/>
      </c>
      <c r="O372" s="1" t="str">
        <f>IF(OR($B372="",O$7=""),"",IF($B372="MEANS",INDEX('1-DATA'!$1:$1048576,$A371-1,COLUMN('1-DATA'!N370)),ROUND(INDEX('1-DATA'!$1:$1048576,IF(OR($B372="STD. DEVIATION",$C$1=1),$A372,$A372+1),COLUMN('1-DATA'!N370)),IF($B372="STD. DEVIATION",2,$F$1))))</f>
        <v/>
      </c>
      <c r="P372" s="1" t="str">
        <f>IF(OR($B372="",P$7=""),"",IF($B372="MEANS",INDEX('1-DATA'!$1:$1048576,$A371-1,COLUMN('1-DATA'!O370)),ROUND(INDEX('1-DATA'!$1:$1048576,IF(OR($B372="STD. DEVIATION",$C$1=1),$A372,$A372+1),COLUMN('1-DATA'!O370)),IF($B372="STD. DEVIATION",2,$F$1))))</f>
        <v/>
      </c>
      <c r="Q372" s="1" t="str">
        <f>IF(OR($B372="",Q$7=""),"",IF($B372="MEANS",INDEX('1-DATA'!$1:$1048576,$A371-1,COLUMN('1-DATA'!P370)),ROUND(INDEX('1-DATA'!$1:$1048576,IF(OR($B372="STD. DEVIATION",$C$1=1),$A372,$A372+1),COLUMN('1-DATA'!P370)),IF($B372="STD. DEVIATION",2,$F$1))))</f>
        <v/>
      </c>
      <c r="R372" s="1" t="str">
        <f>IF(OR($B372="",R$7=""),"",IF($B372="MEANS",INDEX('1-DATA'!$1:$1048576,$A371-1,COLUMN('1-DATA'!Q370)),ROUND(INDEX('1-DATA'!$1:$1048576,IF(OR($B372="STD. DEVIATION",$C$1=1),$A372,$A372+1),COLUMN('1-DATA'!Q370)),IF($B372="STD. DEVIATION",2,$F$1))))</f>
        <v/>
      </c>
      <c r="S372" s="1" t="str">
        <f>IF(OR($B372="",S$7=""),"",IF($B372="MEANS",INDEX('1-DATA'!$1:$1048576,$A371-1,COLUMN('1-DATA'!R370)),ROUND(INDEX('1-DATA'!$1:$1048576,IF(OR($B372="STD. DEVIATION",$C$1=1),$A372,$A372+1),COLUMN('1-DATA'!R370)),IF($B372="STD. DEVIATION",2,$F$1))))</f>
        <v/>
      </c>
      <c r="T372" s="1" t="str">
        <f>IF(OR($B372="",T$7=""),"",IF($B372="MEANS",INDEX('1-DATA'!$1:$1048576,$A371-1,COLUMN('1-DATA'!S370)),ROUND(INDEX('1-DATA'!$1:$1048576,IF(OR($B372="STD. DEVIATION",$C$1=1),$A372,$A372+1),COLUMN('1-DATA'!S370)),IF($B372="STD. DEVIATION",2,$F$1))))</f>
        <v/>
      </c>
      <c r="U372" s="1" t="str">
        <f>IF(OR($B372="",U$7=""),"",IF($B372="MEANS",INDEX('1-DATA'!$1:$1048576,$A371-1,COLUMN('1-DATA'!T370)),ROUND(INDEX('1-DATA'!$1:$1048576,IF(OR($B372="STD. DEVIATION",$C$1=1),$A372,$A372+1),COLUMN('1-DATA'!T370)),IF($B372="STD. DEVIATION",2,$F$1))))</f>
        <v/>
      </c>
      <c r="V372" s="1" t="str">
        <f>IF(OR($B372="",V$7=""),"",IF($B372="MEANS",INDEX('1-DATA'!$1:$1048576,$A371-1,COLUMN('1-DATA'!U370)),ROUND(INDEX('1-DATA'!$1:$1048576,IF(OR($B372="STD. DEVIATION",$C$1=1),$A372,$A372+1),COLUMN('1-DATA'!U370)),IF($B372="STD. DEVIATION",2,$F$1))))</f>
        <v/>
      </c>
      <c r="W372" s="1" t="str">
        <f>IF(OR($B372="",W$7=""),"",IF($B372="MEANS",INDEX('1-DATA'!$1:$1048576,$A371-1,COLUMN('1-DATA'!V370)),ROUND(INDEX('1-DATA'!$1:$1048576,IF(OR($B372="STD. DEVIATION",$C$1=1),$A372,$A372+1),COLUMN('1-DATA'!V370)),IF($B372="STD. DEVIATION",2,$F$1))))</f>
        <v/>
      </c>
      <c r="X372" s="1" t="str">
        <f>IF(OR($B372="",X$7=""),"",IF($B372="MEANS",INDEX('1-DATA'!$1:$1048576,$A371-1,COLUMN('1-DATA'!W370)),ROUND(INDEX('1-DATA'!$1:$1048576,IF(OR($B372="STD. DEVIATION",$C$1=1),$A372,$A372+1),COLUMN('1-DATA'!W370)),IF($B372="STD. DEVIATION",2,$F$1))))</f>
        <v/>
      </c>
      <c r="Y372" s="1" t="str">
        <f>IF(OR($B372="",Y$7=""),"",IF($B372="MEANS",INDEX('1-DATA'!$1:$1048576,$A371-1,COLUMN('1-DATA'!X370)),ROUND(INDEX('1-DATA'!$1:$1048576,IF(OR($B372="STD. DEVIATION",$C$1=1),$A372,$A372+1),COLUMN('1-DATA'!X370)),IF($B372="STD. DEVIATION",2,$F$1))))</f>
        <v/>
      </c>
      <c r="Z372" s="1" t="str">
        <f>IF(OR($B372="",Z$7=""),"",IF($B372="MEANS",INDEX('1-DATA'!$1:$1048576,$A371-1,COLUMN('1-DATA'!Y370)),ROUND(INDEX('1-DATA'!$1:$1048576,IF(OR($B372="STD. DEVIATION",$C$1=1),$A372,$A372+1),COLUMN('1-DATA'!Y370)),IF($B372="STD. DEVIATION",2,$F$1))))</f>
        <v/>
      </c>
      <c r="AA372" s="1" t="str">
        <f>IF(OR($B372="",AA$7=""),"",IF($B372="MEANS",INDEX('1-DATA'!$1:$1048576,$A371-1,COLUMN('1-DATA'!Z370)),ROUND(INDEX('1-DATA'!$1:$1048576,IF(OR($B372="STD. DEVIATION",$C$1=1),$A372,$A372+1),COLUMN('1-DATA'!Z370)),IF($B372="STD. DEVIATION",2,$F$1))))</f>
        <v/>
      </c>
      <c r="AB372" s="1" t="str">
        <f>IF(OR($B372="",AB$7=""),"",IF($B372="MEANS",INDEX('1-DATA'!$1:$1048576,$A371-1,COLUMN('1-DATA'!AA370)),ROUND(INDEX('1-DATA'!$1:$1048576,IF(OR($B372="STD. DEVIATION",$C$1=1),$A372,$A372+1),COLUMN('1-DATA'!AA370)),IF($B372="STD. DEVIATION",2,$F$1))))</f>
        <v/>
      </c>
      <c r="AC372" s="1" t="str">
        <f>IF(OR($B372="",AC$7=""),"",IF($B372="MEANS",INDEX('1-DATA'!$1:$1048576,$A371-1,COLUMN('1-DATA'!AB370)),ROUND(INDEX('1-DATA'!$1:$1048576,IF(OR($B372="STD. DEVIATION",$C$1=1),$A372,$A372+1),COLUMN('1-DATA'!AB370)),IF($B372="STD. DEVIATION",2,$F$1))))</f>
        <v/>
      </c>
      <c r="AD372" s="1" t="str">
        <f>IF(OR($B372="",AD$7=""),"",IF($B372="MEANS",INDEX('1-DATA'!$1:$1048576,$A371-1,COLUMN('1-DATA'!AC370)),ROUND(INDEX('1-DATA'!$1:$1048576,IF(OR($B372="STD. DEVIATION",$C$1=1),$A372,$A372+1),COLUMN('1-DATA'!AC370)),IF($B372="STD. DEVIATION",2,$F$1))))</f>
        <v/>
      </c>
      <c r="AE372" s="1" t="str">
        <f>IF(OR($B372="",AE$7=""),"",IF($B372="MEANS",INDEX('1-DATA'!$1:$1048576,$A371-1,COLUMN('1-DATA'!AD370)),ROUND(INDEX('1-DATA'!$1:$1048576,IF(OR($B372="STD. DEVIATION",$C$1=1),$A372,$A372+1),COLUMN('1-DATA'!AD370)),IF($B372="STD. DEVIATION",2,$F$1))))</f>
        <v/>
      </c>
      <c r="AF372" s="1" t="str">
        <f>IF(OR($B372="",AF$7=""),"",IF($B372="MEANS",INDEX('1-DATA'!$1:$1048576,$A371-1,COLUMN('1-DATA'!AE370)),ROUND(INDEX('1-DATA'!$1:$1048576,IF(OR($B372="STD. DEVIATION",$C$1=1),$A372,$A372+1),COLUMN('1-DATA'!AE370)),IF($B372="STD. DEVIATION",2,$F$1))))</f>
        <v/>
      </c>
      <c r="AG372" s="1" t="str">
        <f>IF(OR($B372="",AG$7=""),"",IF($B372="MEANS",INDEX('1-DATA'!$1:$1048576,$A371-1,COLUMN('1-DATA'!AF370)),ROUND(INDEX('1-DATA'!$1:$1048576,IF(OR($B372="STD. DEVIATION",$C$1=1),$A372,$A372+1),COLUMN('1-DATA'!AF370)),IF($B372="STD. DEVIATION",2,$F$1))))</f>
        <v/>
      </c>
      <c r="AH372" s="1" t="str">
        <f>IF(OR($B372="",AH$7=""),"",IF($B372="MEANS",INDEX('1-DATA'!$1:$1048576,$A371-1,COLUMN('1-DATA'!AG370)),ROUND(INDEX('1-DATA'!$1:$1048576,IF(OR($B372="STD. DEVIATION",$C$1=1),$A372,$A372+1),COLUMN('1-DATA'!AG370)),IF($B372="STD. DEVIATION",2,$F$1))))</f>
        <v/>
      </c>
      <c r="AI372" s="1" t="str">
        <f>IF(OR($B372="",AI$7=""),"",IF($B372="MEANS",INDEX('1-DATA'!$1:$1048576,$A371-1,COLUMN('1-DATA'!AH370)),ROUND(INDEX('1-DATA'!$1:$1048576,IF(OR($B372="STD. DEVIATION",$C$1=1),$A372,$A372+1),COLUMN('1-DATA'!AH370)),IF($B372="STD. DEVIATION",2,$F$1))))</f>
        <v/>
      </c>
      <c r="AJ372" s="1" t="str">
        <f>IF(OR($B372="",AJ$7=""),"",IF($B372="MEANS",INDEX('1-DATA'!$1:$1048576,$A371-1,COLUMN('1-DATA'!AI370)),ROUND(INDEX('1-DATA'!$1:$1048576,IF(OR($B372="STD. DEVIATION",$C$1=1),$A372,$A372+1),COLUMN('1-DATA'!AI370)),IF($B372="STD. DEVIATION",2,$F$1))))</f>
        <v/>
      </c>
      <c r="AK372" s="1" t="str">
        <f>IF(OR($B372="",AK$7=""),"",IF($B372="MEANS",INDEX('1-DATA'!$1:$1048576,$A371-1,COLUMN('1-DATA'!AJ370)),ROUND(INDEX('1-DATA'!$1:$1048576,IF(OR($B372="STD. DEVIATION",$C$1=1),$A372,$A372+1),COLUMN('1-DATA'!AJ370)),IF($B372="STD. DEVIATION",2,$F$1))))</f>
        <v/>
      </c>
      <c r="AL372" s="1" t="str">
        <f>IF(OR($B372="",AL$7=""),"",IF($B372="MEANS",INDEX('1-DATA'!$1:$1048576,$A371-1,COLUMN('1-DATA'!AK370)),ROUND(INDEX('1-DATA'!$1:$1048576,IF(OR($B372="STD. DEVIATION",$C$1=1),$A372,$A372+1),COLUMN('1-DATA'!AK370)),IF($B372="STD. DEVIATION",2,$F$1))))</f>
        <v/>
      </c>
      <c r="AM372" s="1" t="str">
        <f>IF(OR($B372="",AM$7=""),"",IF($B372="MEANS",INDEX('1-DATA'!$1:$1048576,$A371-1,COLUMN('1-DATA'!AL370)),ROUND(INDEX('1-DATA'!$1:$1048576,IF(OR($B372="STD. DEVIATION",$C$1=1),$A372,$A372+1),COLUMN('1-DATA'!AL370)),IF($B372="STD. DEVIATION",2,$F$1))))</f>
        <v/>
      </c>
      <c r="AN372" s="1" t="str">
        <f>IF(OR($B372="",AN$7=""),"",IF($B372="MEANS",INDEX('1-DATA'!$1:$1048576,$A371-1,COLUMN('1-DATA'!AM370)),ROUND(INDEX('1-DATA'!$1:$1048576,IF(OR($B372="STD. DEVIATION",$C$1=1),$A372,$A372+1),COLUMN('1-DATA'!AM370)),IF($B372="STD. DEVIATION",2,$F$1))))</f>
        <v/>
      </c>
      <c r="AO372" s="1" t="str">
        <f>IF(OR($B372="",AO$7=""),"",IF($B372="MEANS",INDEX('1-DATA'!$1:$1048576,$A371-1,COLUMN('1-DATA'!AN370)),ROUND(INDEX('1-DATA'!$1:$1048576,IF(OR($B372="STD. DEVIATION",$C$1=1),$A372,$A372+1),COLUMN('1-DATA'!AN370)),IF($B372="STD. DEVIATION",2,$F$1))))</f>
        <v/>
      </c>
      <c r="AP372" s="1" t="str">
        <f>IF(OR($B372="",AP$7=""),"",IF($B372="MEANS",INDEX('1-DATA'!$1:$1048576,$A371-1,COLUMN('1-DATA'!AO370)),ROUND(INDEX('1-DATA'!$1:$1048576,IF(OR($B372="STD. DEVIATION",$C$1=1),$A372,$A372+1),COLUMN('1-DATA'!AO370)),IF($B372="STD. DEVIATION",2,$F$1))))</f>
        <v/>
      </c>
      <c r="AQ372" s="1" t="str">
        <f>IF(OR($B372="",AQ$7=""),"",IF($B372="MEANS",INDEX('1-DATA'!$1:$1048576,$A371-1,COLUMN('1-DATA'!AP370)),ROUND(INDEX('1-DATA'!$1:$1048576,IF(OR($B372="STD. DEVIATION",$C$1=1),$A372,$A372+1),COLUMN('1-DATA'!AP370)),IF($B372="STD. DEVIATION",2,$F$1))))</f>
        <v/>
      </c>
      <c r="AR372" s="1" t="str">
        <f>IF(OR($B372="",AR$7=""),"",IF($B372="MEANS",INDEX('1-DATA'!$1:$1048576,$A371-1,COLUMN('1-DATA'!AQ370)),ROUND(INDEX('1-DATA'!$1:$1048576,IF(OR($B372="STD. DEVIATION",$C$1=1),$A372,$A372+1),COLUMN('1-DATA'!AQ370)),IF($B372="STD. DEVIATION",2,$F$1))))</f>
        <v/>
      </c>
      <c r="AS372" s="1" t="str">
        <f>IF(OR($B372="",AS$7=""),"",IF($B372="MEANS",INDEX('1-DATA'!$1:$1048576,$A371-1,COLUMN('1-DATA'!AR370)),ROUND(INDEX('1-DATA'!$1:$1048576,IF(OR($B372="STD. DEVIATION",$C$1=1),$A372,$A372+1),COLUMN('1-DATA'!AR370)),IF($B372="STD. DEVIATION",2,$F$1))))</f>
        <v/>
      </c>
      <c r="AT372" s="1" t="str">
        <f>IF(OR($B372="",AT$7=""),"",IF($B372="MEANS",INDEX('1-DATA'!$1:$1048576,$A371-1,COLUMN('1-DATA'!AS370)),ROUND(INDEX('1-DATA'!$1:$1048576,IF(OR($B372="STD. DEVIATION",$C$1=1),$A372,$A372+1),COLUMN('1-DATA'!AS370)),IF($B372="STD. DEVIATION",2,$F$1))))</f>
        <v/>
      </c>
      <c r="AU372" s="1" t="str">
        <f>IF(OR($B372="",AU$7=""),"",IF($B372="MEANS",INDEX('1-DATA'!$1:$1048576,$A371-1,COLUMN('1-DATA'!AT370)),ROUND(INDEX('1-DATA'!$1:$1048576,IF(OR($B372="STD. DEVIATION",$C$1=1),$A372,$A372+1),COLUMN('1-DATA'!AT370)),IF($B372="STD. DEVIATION",2,$F$1))))</f>
        <v/>
      </c>
      <c r="AV372" s="1" t="str">
        <f>IF(OR($B372="",AV$7=""),"",IF($B372="MEANS",INDEX('1-DATA'!$1:$1048576,$A371-1,COLUMN('1-DATA'!AU370)),ROUND(INDEX('1-DATA'!$1:$1048576,IF(OR($B372="STD. DEVIATION",$C$1=1),$A372,$A372+1),COLUMN('1-DATA'!AU370)),IF($B372="STD. DEVIATION",2,$F$1))))</f>
        <v/>
      </c>
      <c r="AW372" s="1" t="str">
        <f>IF(OR($B372="",AW$7=""),"",IF($B372="MEANS",INDEX('1-DATA'!$1:$1048576,$A371-1,COLUMN('1-DATA'!AV370)),ROUND(INDEX('1-DATA'!$1:$1048576,IF(OR($B372="STD. DEVIATION",$C$1=1),$A372,$A372+1),COLUMN('1-DATA'!AV370)),IF($B372="STD. DEVIATION",2,$F$1))))</f>
        <v/>
      </c>
      <c r="AX372" s="1" t="str">
        <f>IF(OR($B372="",AX$7=""),"",IF($B372="MEANS",INDEX('1-DATA'!$1:$1048576,$A371-1,COLUMN('1-DATA'!AW370)),ROUND(INDEX('1-DATA'!$1:$1048576,IF(OR($B372="STD. DEVIATION",$C$1=1),$A372,$A372+1),COLUMN('1-DATA'!AW370)),IF($B372="STD. DEVIATION",2,$F$1))))</f>
        <v/>
      </c>
      <c r="AY372" s="1" t="str">
        <f>IF(OR($B372="",AY$7=""),"",IF($B372="MEANS",INDEX('1-DATA'!$1:$1048576,$A371-1,COLUMN('1-DATA'!AX370)),ROUND(INDEX('1-DATA'!$1:$1048576,IF(OR($B372="STD. DEVIATION",$C$1=1),$A372,$A372+1),COLUMN('1-DATA'!AX370)),IF($B372="STD. DEVIATION",2,$F$1))))</f>
        <v/>
      </c>
      <c r="AZ372" s="1" t="str">
        <f>IF(OR($B372="",AZ$7=""),"",IF($B372="MEANS",INDEX('1-DATA'!$1:$1048576,$A371-1,COLUMN('1-DATA'!AY370)),ROUND(INDEX('1-DATA'!$1:$1048576,IF(OR($B372="STD. DEVIATION",$C$1=1),$A372,$A372+1),COLUMN('1-DATA'!AY370)),IF($B372="STD. DEVIATION",2,$F$1))))</f>
        <v/>
      </c>
    </row>
    <row r="373" spans="1:52" x14ac:dyDescent="0.25">
      <c r="A373" s="11">
        <f t="shared" si="6"/>
        <v>1105</v>
      </c>
      <c r="B373" s="1" t="str">
        <f>IF(B372="STD. DEVIATION",INDEX('1-DATA'!$1:$1048576,$A372-1,1),IF(INDEX('1-DATA'!$1:$1048576,$A373,1)&lt;&gt;"",INDEX('1-DATA'!$1:$1048576,$A373,1),""))</f>
        <v/>
      </c>
      <c r="C373" s="1" t="str">
        <f>IF(OR($B373="",C$7=""),"",IF($B373="MEANS",INDEX('1-DATA'!$1:$1048576,$A372-1,COLUMN('1-DATA'!B371)),ROUND(INDEX('1-DATA'!$1:$1048576,IF(OR($B373="STD. DEVIATION",$C$1=1),$A373,$A373+1),COLUMN('1-DATA'!B371)),IF($B373="STD. DEVIATION",2,$F$1))))</f>
        <v/>
      </c>
      <c r="D373" s="1" t="str">
        <f>IF(OR($B373="",D$7=""),"",IF($B373="MEANS",INDEX('1-DATA'!$1:$1048576,$A372-1,COLUMN('1-DATA'!C371)),ROUND(INDEX('1-DATA'!$1:$1048576,IF(OR($B373="STD. DEVIATION",$C$1=1),$A373,$A373+1),COLUMN('1-DATA'!C371)),IF($B373="STD. DEVIATION",2,$F$1))))</f>
        <v/>
      </c>
      <c r="E373" s="1" t="str">
        <f>IF(OR($B373="",E$7=""),"",IF($B373="MEANS",INDEX('1-DATA'!$1:$1048576,$A372-1,COLUMN('1-DATA'!D371)),ROUND(INDEX('1-DATA'!$1:$1048576,IF(OR($B373="STD. DEVIATION",$C$1=1),$A373,$A373+1),COLUMN('1-DATA'!D371)),IF($B373="STD. DEVIATION",2,$F$1))))</f>
        <v/>
      </c>
      <c r="F373" s="1" t="str">
        <f>IF(OR($B373="",F$7=""),"",IF($B373="MEANS",INDEX('1-DATA'!$1:$1048576,$A372-1,COLUMN('1-DATA'!E371)),ROUND(INDEX('1-DATA'!$1:$1048576,IF(OR($B373="STD. DEVIATION",$C$1=1),$A373,$A373+1),COLUMN('1-DATA'!E371)),IF($B373="STD. DEVIATION",2,$F$1))))</f>
        <v/>
      </c>
      <c r="G373" s="1" t="str">
        <f>IF(OR($B373="",G$7=""),"",IF($B373="MEANS",INDEX('1-DATA'!$1:$1048576,$A372-1,COLUMN('1-DATA'!F371)),ROUND(INDEX('1-DATA'!$1:$1048576,IF(OR($B373="STD. DEVIATION",$C$1=1),$A373,$A373+1),COLUMN('1-DATA'!F371)),IF($B373="STD. DEVIATION",2,$F$1))))</f>
        <v/>
      </c>
      <c r="H373" s="1" t="str">
        <f>IF(OR($B373="",H$7=""),"",IF($B373="MEANS",INDEX('1-DATA'!$1:$1048576,$A372-1,COLUMN('1-DATA'!G371)),ROUND(INDEX('1-DATA'!$1:$1048576,IF(OR($B373="STD. DEVIATION",$C$1=1),$A373,$A373+1),COLUMN('1-DATA'!G371)),IF($B373="STD. DEVIATION",2,$F$1))))</f>
        <v/>
      </c>
      <c r="I373" s="1" t="str">
        <f>IF(OR($B373="",I$7=""),"",IF($B373="MEANS",INDEX('1-DATA'!$1:$1048576,$A372-1,COLUMN('1-DATA'!H371)),ROUND(INDEX('1-DATA'!$1:$1048576,IF(OR($B373="STD. DEVIATION",$C$1=1),$A373,$A373+1),COLUMN('1-DATA'!H371)),IF($B373="STD. DEVIATION",2,$F$1))))</f>
        <v/>
      </c>
      <c r="J373" s="1" t="str">
        <f>IF(OR($B373="",J$7=""),"",IF($B373="MEANS",INDEX('1-DATA'!$1:$1048576,$A372-1,COLUMN('1-DATA'!I371)),ROUND(INDEX('1-DATA'!$1:$1048576,IF(OR($B373="STD. DEVIATION",$C$1=1),$A373,$A373+1),COLUMN('1-DATA'!I371)),IF($B373="STD. DEVIATION",2,$F$1))))</f>
        <v/>
      </c>
      <c r="K373" s="1" t="str">
        <f>IF(OR($B373="",K$7=""),"",IF($B373="MEANS",INDEX('1-DATA'!$1:$1048576,$A372-1,COLUMN('1-DATA'!J371)),ROUND(INDEX('1-DATA'!$1:$1048576,IF(OR($B373="STD. DEVIATION",$C$1=1),$A373,$A373+1),COLUMN('1-DATA'!J371)),IF($B373="STD. DEVIATION",2,$F$1))))</f>
        <v/>
      </c>
      <c r="L373" s="1" t="str">
        <f>IF(OR($B373="",L$7=""),"",IF($B373="MEANS",INDEX('1-DATA'!$1:$1048576,$A372-1,COLUMN('1-DATA'!K371)),ROUND(INDEX('1-DATA'!$1:$1048576,IF(OR($B373="STD. DEVIATION",$C$1=1),$A373,$A373+1),COLUMN('1-DATA'!K371)),IF($B373="STD. DEVIATION",2,$F$1))))</f>
        <v/>
      </c>
      <c r="M373" s="1" t="str">
        <f>IF(OR($B373="",M$7=""),"",IF($B373="MEANS",INDEX('1-DATA'!$1:$1048576,$A372-1,COLUMN('1-DATA'!L371)),ROUND(INDEX('1-DATA'!$1:$1048576,IF(OR($B373="STD. DEVIATION",$C$1=1),$A373,$A373+1),COLUMN('1-DATA'!L371)),IF($B373="STD. DEVIATION",2,$F$1))))</f>
        <v/>
      </c>
      <c r="N373" s="1" t="str">
        <f>IF(OR($B373="",N$7=""),"",IF($B373="MEANS",INDEX('1-DATA'!$1:$1048576,$A372-1,COLUMN('1-DATA'!M371)),ROUND(INDEX('1-DATA'!$1:$1048576,IF(OR($B373="STD. DEVIATION",$C$1=1),$A373,$A373+1),COLUMN('1-DATA'!M371)),IF($B373="STD. DEVIATION",2,$F$1))))</f>
        <v/>
      </c>
      <c r="O373" s="1" t="str">
        <f>IF(OR($B373="",O$7=""),"",IF($B373="MEANS",INDEX('1-DATA'!$1:$1048576,$A372-1,COLUMN('1-DATA'!N371)),ROUND(INDEX('1-DATA'!$1:$1048576,IF(OR($B373="STD. DEVIATION",$C$1=1),$A373,$A373+1),COLUMN('1-DATA'!N371)),IF($B373="STD. DEVIATION",2,$F$1))))</f>
        <v/>
      </c>
      <c r="P373" s="1" t="str">
        <f>IF(OR($B373="",P$7=""),"",IF($B373="MEANS",INDEX('1-DATA'!$1:$1048576,$A372-1,COLUMN('1-DATA'!O371)),ROUND(INDEX('1-DATA'!$1:$1048576,IF(OR($B373="STD. DEVIATION",$C$1=1),$A373,$A373+1),COLUMN('1-DATA'!O371)),IF($B373="STD. DEVIATION",2,$F$1))))</f>
        <v/>
      </c>
      <c r="Q373" s="1" t="str">
        <f>IF(OR($B373="",Q$7=""),"",IF($B373="MEANS",INDEX('1-DATA'!$1:$1048576,$A372-1,COLUMN('1-DATA'!P371)),ROUND(INDEX('1-DATA'!$1:$1048576,IF(OR($B373="STD. DEVIATION",$C$1=1),$A373,$A373+1),COLUMN('1-DATA'!P371)),IF($B373="STD. DEVIATION",2,$F$1))))</f>
        <v/>
      </c>
      <c r="R373" s="1" t="str">
        <f>IF(OR($B373="",R$7=""),"",IF($B373="MEANS",INDEX('1-DATA'!$1:$1048576,$A372-1,COLUMN('1-DATA'!Q371)),ROUND(INDEX('1-DATA'!$1:$1048576,IF(OR($B373="STD. DEVIATION",$C$1=1),$A373,$A373+1),COLUMN('1-DATA'!Q371)),IF($B373="STD. DEVIATION",2,$F$1))))</f>
        <v/>
      </c>
      <c r="S373" s="1" t="str">
        <f>IF(OR($B373="",S$7=""),"",IF($B373="MEANS",INDEX('1-DATA'!$1:$1048576,$A372-1,COLUMN('1-DATA'!R371)),ROUND(INDEX('1-DATA'!$1:$1048576,IF(OR($B373="STD. DEVIATION",$C$1=1),$A373,$A373+1),COLUMN('1-DATA'!R371)),IF($B373="STD. DEVIATION",2,$F$1))))</f>
        <v/>
      </c>
      <c r="T373" s="1" t="str">
        <f>IF(OR($B373="",T$7=""),"",IF($B373="MEANS",INDEX('1-DATA'!$1:$1048576,$A372-1,COLUMN('1-DATA'!S371)),ROUND(INDEX('1-DATA'!$1:$1048576,IF(OR($B373="STD. DEVIATION",$C$1=1),$A373,$A373+1),COLUMN('1-DATA'!S371)),IF($B373="STD. DEVIATION",2,$F$1))))</f>
        <v/>
      </c>
      <c r="U373" s="1" t="str">
        <f>IF(OR($B373="",U$7=""),"",IF($B373="MEANS",INDEX('1-DATA'!$1:$1048576,$A372-1,COLUMN('1-DATA'!T371)),ROUND(INDEX('1-DATA'!$1:$1048576,IF(OR($B373="STD. DEVIATION",$C$1=1),$A373,$A373+1),COLUMN('1-DATA'!T371)),IF($B373="STD. DEVIATION",2,$F$1))))</f>
        <v/>
      </c>
      <c r="V373" s="1" t="str">
        <f>IF(OR($B373="",V$7=""),"",IF($B373="MEANS",INDEX('1-DATA'!$1:$1048576,$A372-1,COLUMN('1-DATA'!U371)),ROUND(INDEX('1-DATA'!$1:$1048576,IF(OR($B373="STD. DEVIATION",$C$1=1),$A373,$A373+1),COLUMN('1-DATA'!U371)),IF($B373="STD. DEVIATION",2,$F$1))))</f>
        <v/>
      </c>
      <c r="W373" s="1" t="str">
        <f>IF(OR($B373="",W$7=""),"",IF($B373="MEANS",INDEX('1-DATA'!$1:$1048576,$A372-1,COLUMN('1-DATA'!V371)),ROUND(INDEX('1-DATA'!$1:$1048576,IF(OR($B373="STD. DEVIATION",$C$1=1),$A373,$A373+1),COLUMN('1-DATA'!V371)),IF($B373="STD. DEVIATION",2,$F$1))))</f>
        <v/>
      </c>
      <c r="X373" s="1" t="str">
        <f>IF(OR($B373="",X$7=""),"",IF($B373="MEANS",INDEX('1-DATA'!$1:$1048576,$A372-1,COLUMN('1-DATA'!W371)),ROUND(INDEX('1-DATA'!$1:$1048576,IF(OR($B373="STD. DEVIATION",$C$1=1),$A373,$A373+1),COLUMN('1-DATA'!W371)),IF($B373="STD. DEVIATION",2,$F$1))))</f>
        <v/>
      </c>
      <c r="Y373" s="1" t="str">
        <f>IF(OR($B373="",Y$7=""),"",IF($B373="MEANS",INDEX('1-DATA'!$1:$1048576,$A372-1,COLUMN('1-DATA'!X371)),ROUND(INDEX('1-DATA'!$1:$1048576,IF(OR($B373="STD. DEVIATION",$C$1=1),$A373,$A373+1),COLUMN('1-DATA'!X371)),IF($B373="STD. DEVIATION",2,$F$1))))</f>
        <v/>
      </c>
      <c r="Z373" s="1" t="str">
        <f>IF(OR($B373="",Z$7=""),"",IF($B373="MEANS",INDEX('1-DATA'!$1:$1048576,$A372-1,COLUMN('1-DATA'!Y371)),ROUND(INDEX('1-DATA'!$1:$1048576,IF(OR($B373="STD. DEVIATION",$C$1=1),$A373,$A373+1),COLUMN('1-DATA'!Y371)),IF($B373="STD. DEVIATION",2,$F$1))))</f>
        <v/>
      </c>
      <c r="AA373" s="1" t="str">
        <f>IF(OR($B373="",AA$7=""),"",IF($B373="MEANS",INDEX('1-DATA'!$1:$1048576,$A372-1,COLUMN('1-DATA'!Z371)),ROUND(INDEX('1-DATA'!$1:$1048576,IF(OR($B373="STD. DEVIATION",$C$1=1),$A373,$A373+1),COLUMN('1-DATA'!Z371)),IF($B373="STD. DEVIATION",2,$F$1))))</f>
        <v/>
      </c>
      <c r="AB373" s="1" t="str">
        <f>IF(OR($B373="",AB$7=""),"",IF($B373="MEANS",INDEX('1-DATA'!$1:$1048576,$A372-1,COLUMN('1-DATA'!AA371)),ROUND(INDEX('1-DATA'!$1:$1048576,IF(OR($B373="STD. DEVIATION",$C$1=1),$A373,$A373+1),COLUMN('1-DATA'!AA371)),IF($B373="STD. DEVIATION",2,$F$1))))</f>
        <v/>
      </c>
      <c r="AC373" s="1" t="str">
        <f>IF(OR($B373="",AC$7=""),"",IF($B373="MEANS",INDEX('1-DATA'!$1:$1048576,$A372-1,COLUMN('1-DATA'!AB371)),ROUND(INDEX('1-DATA'!$1:$1048576,IF(OR($B373="STD. DEVIATION",$C$1=1),$A373,$A373+1),COLUMN('1-DATA'!AB371)),IF($B373="STD. DEVIATION",2,$F$1))))</f>
        <v/>
      </c>
      <c r="AD373" s="1" t="str">
        <f>IF(OR($B373="",AD$7=""),"",IF($B373="MEANS",INDEX('1-DATA'!$1:$1048576,$A372-1,COLUMN('1-DATA'!AC371)),ROUND(INDEX('1-DATA'!$1:$1048576,IF(OR($B373="STD. DEVIATION",$C$1=1),$A373,$A373+1),COLUMN('1-DATA'!AC371)),IF($B373="STD. DEVIATION",2,$F$1))))</f>
        <v/>
      </c>
      <c r="AE373" s="1" t="str">
        <f>IF(OR($B373="",AE$7=""),"",IF($B373="MEANS",INDEX('1-DATA'!$1:$1048576,$A372-1,COLUMN('1-DATA'!AD371)),ROUND(INDEX('1-DATA'!$1:$1048576,IF(OR($B373="STD. DEVIATION",$C$1=1),$A373,$A373+1),COLUMN('1-DATA'!AD371)),IF($B373="STD. DEVIATION",2,$F$1))))</f>
        <v/>
      </c>
      <c r="AF373" s="1" t="str">
        <f>IF(OR($B373="",AF$7=""),"",IF($B373="MEANS",INDEX('1-DATA'!$1:$1048576,$A372-1,COLUMN('1-DATA'!AE371)),ROUND(INDEX('1-DATA'!$1:$1048576,IF(OR($B373="STD. DEVIATION",$C$1=1),$A373,$A373+1),COLUMN('1-DATA'!AE371)),IF($B373="STD. DEVIATION",2,$F$1))))</f>
        <v/>
      </c>
      <c r="AG373" s="1" t="str">
        <f>IF(OR($B373="",AG$7=""),"",IF($B373="MEANS",INDEX('1-DATA'!$1:$1048576,$A372-1,COLUMN('1-DATA'!AF371)),ROUND(INDEX('1-DATA'!$1:$1048576,IF(OR($B373="STD. DEVIATION",$C$1=1),$A373,$A373+1),COLUMN('1-DATA'!AF371)),IF($B373="STD. DEVIATION",2,$F$1))))</f>
        <v/>
      </c>
      <c r="AH373" s="1" t="str">
        <f>IF(OR($B373="",AH$7=""),"",IF($B373="MEANS",INDEX('1-DATA'!$1:$1048576,$A372-1,COLUMN('1-DATA'!AG371)),ROUND(INDEX('1-DATA'!$1:$1048576,IF(OR($B373="STD. DEVIATION",$C$1=1),$A373,$A373+1),COLUMN('1-DATA'!AG371)),IF($B373="STD. DEVIATION",2,$F$1))))</f>
        <v/>
      </c>
      <c r="AI373" s="1" t="str">
        <f>IF(OR($B373="",AI$7=""),"",IF($B373="MEANS",INDEX('1-DATA'!$1:$1048576,$A372-1,COLUMN('1-DATA'!AH371)),ROUND(INDEX('1-DATA'!$1:$1048576,IF(OR($B373="STD. DEVIATION",$C$1=1),$A373,$A373+1),COLUMN('1-DATA'!AH371)),IF($B373="STD. DEVIATION",2,$F$1))))</f>
        <v/>
      </c>
      <c r="AJ373" s="1" t="str">
        <f>IF(OR($B373="",AJ$7=""),"",IF($B373="MEANS",INDEX('1-DATA'!$1:$1048576,$A372-1,COLUMN('1-DATA'!AI371)),ROUND(INDEX('1-DATA'!$1:$1048576,IF(OR($B373="STD. DEVIATION",$C$1=1),$A373,$A373+1),COLUMN('1-DATA'!AI371)),IF($B373="STD. DEVIATION",2,$F$1))))</f>
        <v/>
      </c>
      <c r="AK373" s="1" t="str">
        <f>IF(OR($B373="",AK$7=""),"",IF($B373="MEANS",INDEX('1-DATA'!$1:$1048576,$A372-1,COLUMN('1-DATA'!AJ371)),ROUND(INDEX('1-DATA'!$1:$1048576,IF(OR($B373="STD. DEVIATION",$C$1=1),$A373,$A373+1),COLUMN('1-DATA'!AJ371)),IF($B373="STD. DEVIATION",2,$F$1))))</f>
        <v/>
      </c>
      <c r="AL373" s="1" t="str">
        <f>IF(OR($B373="",AL$7=""),"",IF($B373="MEANS",INDEX('1-DATA'!$1:$1048576,$A372-1,COLUMN('1-DATA'!AK371)),ROUND(INDEX('1-DATA'!$1:$1048576,IF(OR($B373="STD. DEVIATION",$C$1=1),$A373,$A373+1),COLUMN('1-DATA'!AK371)),IF($B373="STD. DEVIATION",2,$F$1))))</f>
        <v/>
      </c>
      <c r="AM373" s="1" t="str">
        <f>IF(OR($B373="",AM$7=""),"",IF($B373="MEANS",INDEX('1-DATA'!$1:$1048576,$A372-1,COLUMN('1-DATA'!AL371)),ROUND(INDEX('1-DATA'!$1:$1048576,IF(OR($B373="STD. DEVIATION",$C$1=1),$A373,$A373+1),COLUMN('1-DATA'!AL371)),IF($B373="STD. DEVIATION",2,$F$1))))</f>
        <v/>
      </c>
      <c r="AN373" s="1" t="str">
        <f>IF(OR($B373="",AN$7=""),"",IF($B373="MEANS",INDEX('1-DATA'!$1:$1048576,$A372-1,COLUMN('1-DATA'!AM371)),ROUND(INDEX('1-DATA'!$1:$1048576,IF(OR($B373="STD. DEVIATION",$C$1=1),$A373,$A373+1),COLUMN('1-DATA'!AM371)),IF($B373="STD. DEVIATION",2,$F$1))))</f>
        <v/>
      </c>
      <c r="AO373" s="1" t="str">
        <f>IF(OR($B373="",AO$7=""),"",IF($B373="MEANS",INDEX('1-DATA'!$1:$1048576,$A372-1,COLUMN('1-DATA'!AN371)),ROUND(INDEX('1-DATA'!$1:$1048576,IF(OR($B373="STD. DEVIATION",$C$1=1),$A373,$A373+1),COLUMN('1-DATA'!AN371)),IF($B373="STD. DEVIATION",2,$F$1))))</f>
        <v/>
      </c>
      <c r="AP373" s="1" t="str">
        <f>IF(OR($B373="",AP$7=""),"",IF($B373="MEANS",INDEX('1-DATA'!$1:$1048576,$A372-1,COLUMN('1-DATA'!AO371)),ROUND(INDEX('1-DATA'!$1:$1048576,IF(OR($B373="STD. DEVIATION",$C$1=1),$A373,$A373+1),COLUMN('1-DATA'!AO371)),IF($B373="STD. DEVIATION",2,$F$1))))</f>
        <v/>
      </c>
      <c r="AQ373" s="1" t="str">
        <f>IF(OR($B373="",AQ$7=""),"",IF($B373="MEANS",INDEX('1-DATA'!$1:$1048576,$A372-1,COLUMN('1-DATA'!AP371)),ROUND(INDEX('1-DATA'!$1:$1048576,IF(OR($B373="STD. DEVIATION",$C$1=1),$A373,$A373+1),COLUMN('1-DATA'!AP371)),IF($B373="STD. DEVIATION",2,$F$1))))</f>
        <v/>
      </c>
      <c r="AR373" s="1" t="str">
        <f>IF(OR($B373="",AR$7=""),"",IF($B373="MEANS",INDEX('1-DATA'!$1:$1048576,$A372-1,COLUMN('1-DATA'!AQ371)),ROUND(INDEX('1-DATA'!$1:$1048576,IF(OR($B373="STD. DEVIATION",$C$1=1),$A373,$A373+1),COLUMN('1-DATA'!AQ371)),IF($B373="STD. DEVIATION",2,$F$1))))</f>
        <v/>
      </c>
      <c r="AS373" s="1" t="str">
        <f>IF(OR($B373="",AS$7=""),"",IF($B373="MEANS",INDEX('1-DATA'!$1:$1048576,$A372-1,COLUMN('1-DATA'!AR371)),ROUND(INDEX('1-DATA'!$1:$1048576,IF(OR($B373="STD. DEVIATION",$C$1=1),$A373,$A373+1),COLUMN('1-DATA'!AR371)),IF($B373="STD. DEVIATION",2,$F$1))))</f>
        <v/>
      </c>
      <c r="AT373" s="1" t="str">
        <f>IF(OR($B373="",AT$7=""),"",IF($B373="MEANS",INDEX('1-DATA'!$1:$1048576,$A372-1,COLUMN('1-DATA'!AS371)),ROUND(INDEX('1-DATA'!$1:$1048576,IF(OR($B373="STD. DEVIATION",$C$1=1),$A373,$A373+1),COLUMN('1-DATA'!AS371)),IF($B373="STD. DEVIATION",2,$F$1))))</f>
        <v/>
      </c>
      <c r="AU373" s="1" t="str">
        <f>IF(OR($B373="",AU$7=""),"",IF($B373="MEANS",INDEX('1-DATA'!$1:$1048576,$A372-1,COLUMN('1-DATA'!AT371)),ROUND(INDEX('1-DATA'!$1:$1048576,IF(OR($B373="STD. DEVIATION",$C$1=1),$A373,$A373+1),COLUMN('1-DATA'!AT371)),IF($B373="STD. DEVIATION",2,$F$1))))</f>
        <v/>
      </c>
      <c r="AV373" s="1" t="str">
        <f>IF(OR($B373="",AV$7=""),"",IF($B373="MEANS",INDEX('1-DATA'!$1:$1048576,$A372-1,COLUMN('1-DATA'!AU371)),ROUND(INDEX('1-DATA'!$1:$1048576,IF(OR($B373="STD. DEVIATION",$C$1=1),$A373,$A373+1),COLUMN('1-DATA'!AU371)),IF($B373="STD. DEVIATION",2,$F$1))))</f>
        <v/>
      </c>
      <c r="AW373" s="1" t="str">
        <f>IF(OR($B373="",AW$7=""),"",IF($B373="MEANS",INDEX('1-DATA'!$1:$1048576,$A372-1,COLUMN('1-DATA'!AV371)),ROUND(INDEX('1-DATA'!$1:$1048576,IF(OR($B373="STD. DEVIATION",$C$1=1),$A373,$A373+1),COLUMN('1-DATA'!AV371)),IF($B373="STD. DEVIATION",2,$F$1))))</f>
        <v/>
      </c>
      <c r="AX373" s="1" t="str">
        <f>IF(OR($B373="",AX$7=""),"",IF($B373="MEANS",INDEX('1-DATA'!$1:$1048576,$A372-1,COLUMN('1-DATA'!AW371)),ROUND(INDEX('1-DATA'!$1:$1048576,IF(OR($B373="STD. DEVIATION",$C$1=1),$A373,$A373+1),COLUMN('1-DATA'!AW371)),IF($B373="STD. DEVIATION",2,$F$1))))</f>
        <v/>
      </c>
      <c r="AY373" s="1" t="str">
        <f>IF(OR($B373="",AY$7=""),"",IF($B373="MEANS",INDEX('1-DATA'!$1:$1048576,$A372-1,COLUMN('1-DATA'!AX371)),ROUND(INDEX('1-DATA'!$1:$1048576,IF(OR($B373="STD. DEVIATION",$C$1=1),$A373,$A373+1),COLUMN('1-DATA'!AX371)),IF($B373="STD. DEVIATION",2,$F$1))))</f>
        <v/>
      </c>
      <c r="AZ373" s="1" t="str">
        <f>IF(OR($B373="",AZ$7=""),"",IF($B373="MEANS",INDEX('1-DATA'!$1:$1048576,$A372-1,COLUMN('1-DATA'!AY371)),ROUND(INDEX('1-DATA'!$1:$1048576,IF(OR($B373="STD. DEVIATION",$C$1=1),$A373,$A373+1),COLUMN('1-DATA'!AY371)),IF($B373="STD. DEVIATION",2,$F$1))))</f>
        <v/>
      </c>
    </row>
    <row r="374" spans="1:52" x14ac:dyDescent="0.25">
      <c r="A374" s="11">
        <f t="shared" si="6"/>
        <v>1108</v>
      </c>
      <c r="B374" s="1" t="str">
        <f>IF(B373="STD. DEVIATION",INDEX('1-DATA'!$1:$1048576,$A373-1,1),IF(INDEX('1-DATA'!$1:$1048576,$A374,1)&lt;&gt;"",INDEX('1-DATA'!$1:$1048576,$A374,1),""))</f>
        <v/>
      </c>
      <c r="C374" s="1" t="str">
        <f>IF(OR($B374="",C$7=""),"",IF($B374="MEANS",INDEX('1-DATA'!$1:$1048576,$A373-1,COLUMN('1-DATA'!B372)),ROUND(INDEX('1-DATA'!$1:$1048576,IF(OR($B374="STD. DEVIATION",$C$1=1),$A374,$A374+1),COLUMN('1-DATA'!B372)),IF($B374="STD. DEVIATION",2,$F$1))))</f>
        <v/>
      </c>
      <c r="D374" s="1" t="str">
        <f>IF(OR($B374="",D$7=""),"",IF($B374="MEANS",INDEX('1-DATA'!$1:$1048576,$A373-1,COLUMN('1-DATA'!C372)),ROUND(INDEX('1-DATA'!$1:$1048576,IF(OR($B374="STD. DEVIATION",$C$1=1),$A374,$A374+1),COLUMN('1-DATA'!C372)),IF($B374="STD. DEVIATION",2,$F$1))))</f>
        <v/>
      </c>
      <c r="E374" s="1" t="str">
        <f>IF(OR($B374="",E$7=""),"",IF($B374="MEANS",INDEX('1-DATA'!$1:$1048576,$A373-1,COLUMN('1-DATA'!D372)),ROUND(INDEX('1-DATA'!$1:$1048576,IF(OR($B374="STD. DEVIATION",$C$1=1),$A374,$A374+1),COLUMN('1-DATA'!D372)),IF($B374="STD. DEVIATION",2,$F$1))))</f>
        <v/>
      </c>
      <c r="F374" s="1" t="str">
        <f>IF(OR($B374="",F$7=""),"",IF($B374="MEANS",INDEX('1-DATA'!$1:$1048576,$A373-1,COLUMN('1-DATA'!E372)),ROUND(INDEX('1-DATA'!$1:$1048576,IF(OR($B374="STD. DEVIATION",$C$1=1),$A374,$A374+1),COLUMN('1-DATA'!E372)),IF($B374="STD. DEVIATION",2,$F$1))))</f>
        <v/>
      </c>
      <c r="G374" s="1" t="str">
        <f>IF(OR($B374="",G$7=""),"",IF($B374="MEANS",INDEX('1-DATA'!$1:$1048576,$A373-1,COLUMN('1-DATA'!F372)),ROUND(INDEX('1-DATA'!$1:$1048576,IF(OR($B374="STD. DEVIATION",$C$1=1),$A374,$A374+1),COLUMN('1-DATA'!F372)),IF($B374="STD. DEVIATION",2,$F$1))))</f>
        <v/>
      </c>
      <c r="H374" s="1" t="str">
        <f>IF(OR($B374="",H$7=""),"",IF($B374="MEANS",INDEX('1-DATA'!$1:$1048576,$A373-1,COLUMN('1-DATA'!G372)),ROUND(INDEX('1-DATA'!$1:$1048576,IF(OR($B374="STD. DEVIATION",$C$1=1),$A374,$A374+1),COLUMN('1-DATA'!G372)),IF($B374="STD. DEVIATION",2,$F$1))))</f>
        <v/>
      </c>
      <c r="I374" s="1" t="str">
        <f>IF(OR($B374="",I$7=""),"",IF($B374="MEANS",INDEX('1-DATA'!$1:$1048576,$A373-1,COLUMN('1-DATA'!H372)),ROUND(INDEX('1-DATA'!$1:$1048576,IF(OR($B374="STD. DEVIATION",$C$1=1),$A374,$A374+1),COLUMN('1-DATA'!H372)),IF($B374="STD. DEVIATION",2,$F$1))))</f>
        <v/>
      </c>
      <c r="J374" s="1" t="str">
        <f>IF(OR($B374="",J$7=""),"",IF($B374="MEANS",INDEX('1-DATA'!$1:$1048576,$A373-1,COLUMN('1-DATA'!I372)),ROUND(INDEX('1-DATA'!$1:$1048576,IF(OR($B374="STD. DEVIATION",$C$1=1),$A374,$A374+1),COLUMN('1-DATA'!I372)),IF($B374="STD. DEVIATION",2,$F$1))))</f>
        <v/>
      </c>
      <c r="K374" s="1" t="str">
        <f>IF(OR($B374="",K$7=""),"",IF($B374="MEANS",INDEX('1-DATA'!$1:$1048576,$A373-1,COLUMN('1-DATA'!J372)),ROUND(INDEX('1-DATA'!$1:$1048576,IF(OR($B374="STD. DEVIATION",$C$1=1),$A374,$A374+1),COLUMN('1-DATA'!J372)),IF($B374="STD. DEVIATION",2,$F$1))))</f>
        <v/>
      </c>
      <c r="L374" s="1" t="str">
        <f>IF(OR($B374="",L$7=""),"",IF($B374="MEANS",INDEX('1-DATA'!$1:$1048576,$A373-1,COLUMN('1-DATA'!K372)),ROUND(INDEX('1-DATA'!$1:$1048576,IF(OR($B374="STD. DEVIATION",$C$1=1),$A374,$A374+1),COLUMN('1-DATA'!K372)),IF($B374="STD. DEVIATION",2,$F$1))))</f>
        <v/>
      </c>
      <c r="M374" s="1" t="str">
        <f>IF(OR($B374="",M$7=""),"",IF($B374="MEANS",INDEX('1-DATA'!$1:$1048576,$A373-1,COLUMN('1-DATA'!L372)),ROUND(INDEX('1-DATA'!$1:$1048576,IF(OR($B374="STD. DEVIATION",$C$1=1),$A374,$A374+1),COLUMN('1-DATA'!L372)),IF($B374="STD. DEVIATION",2,$F$1))))</f>
        <v/>
      </c>
      <c r="N374" s="1" t="str">
        <f>IF(OR($B374="",N$7=""),"",IF($B374="MEANS",INDEX('1-DATA'!$1:$1048576,$A373-1,COLUMN('1-DATA'!M372)),ROUND(INDEX('1-DATA'!$1:$1048576,IF(OR($B374="STD. DEVIATION",$C$1=1),$A374,$A374+1),COLUMN('1-DATA'!M372)),IF($B374="STD. DEVIATION",2,$F$1))))</f>
        <v/>
      </c>
      <c r="O374" s="1" t="str">
        <f>IF(OR($B374="",O$7=""),"",IF($B374="MEANS",INDEX('1-DATA'!$1:$1048576,$A373-1,COLUMN('1-DATA'!N372)),ROUND(INDEX('1-DATA'!$1:$1048576,IF(OR($B374="STD. DEVIATION",$C$1=1),$A374,$A374+1),COLUMN('1-DATA'!N372)),IF($B374="STD. DEVIATION",2,$F$1))))</f>
        <v/>
      </c>
      <c r="P374" s="1" t="str">
        <f>IF(OR($B374="",P$7=""),"",IF($B374="MEANS",INDEX('1-DATA'!$1:$1048576,$A373-1,COLUMN('1-DATA'!O372)),ROUND(INDEX('1-DATA'!$1:$1048576,IF(OR($B374="STD. DEVIATION",$C$1=1),$A374,$A374+1),COLUMN('1-DATA'!O372)),IF($B374="STD. DEVIATION",2,$F$1))))</f>
        <v/>
      </c>
      <c r="Q374" s="1" t="str">
        <f>IF(OR($B374="",Q$7=""),"",IF($B374="MEANS",INDEX('1-DATA'!$1:$1048576,$A373-1,COLUMN('1-DATA'!P372)),ROUND(INDEX('1-DATA'!$1:$1048576,IF(OR($B374="STD. DEVIATION",$C$1=1),$A374,$A374+1),COLUMN('1-DATA'!P372)),IF($B374="STD. DEVIATION",2,$F$1))))</f>
        <v/>
      </c>
      <c r="R374" s="1" t="str">
        <f>IF(OR($B374="",R$7=""),"",IF($B374="MEANS",INDEX('1-DATA'!$1:$1048576,$A373-1,COLUMN('1-DATA'!Q372)),ROUND(INDEX('1-DATA'!$1:$1048576,IF(OR($B374="STD. DEVIATION",$C$1=1),$A374,$A374+1),COLUMN('1-DATA'!Q372)),IF($B374="STD. DEVIATION",2,$F$1))))</f>
        <v/>
      </c>
      <c r="S374" s="1" t="str">
        <f>IF(OR($B374="",S$7=""),"",IF($B374="MEANS",INDEX('1-DATA'!$1:$1048576,$A373-1,COLUMN('1-DATA'!R372)),ROUND(INDEX('1-DATA'!$1:$1048576,IF(OR($B374="STD. DEVIATION",$C$1=1),$A374,$A374+1),COLUMN('1-DATA'!R372)),IF($B374="STD. DEVIATION",2,$F$1))))</f>
        <v/>
      </c>
      <c r="T374" s="1" t="str">
        <f>IF(OR($B374="",T$7=""),"",IF($B374="MEANS",INDEX('1-DATA'!$1:$1048576,$A373-1,COLUMN('1-DATA'!S372)),ROUND(INDEX('1-DATA'!$1:$1048576,IF(OR($B374="STD. DEVIATION",$C$1=1),$A374,$A374+1),COLUMN('1-DATA'!S372)),IF($B374="STD. DEVIATION",2,$F$1))))</f>
        <v/>
      </c>
      <c r="U374" s="1" t="str">
        <f>IF(OR($B374="",U$7=""),"",IF($B374="MEANS",INDEX('1-DATA'!$1:$1048576,$A373-1,COLUMN('1-DATA'!T372)),ROUND(INDEX('1-DATA'!$1:$1048576,IF(OR($B374="STD. DEVIATION",$C$1=1),$A374,$A374+1),COLUMN('1-DATA'!T372)),IF($B374="STD. DEVIATION",2,$F$1))))</f>
        <v/>
      </c>
      <c r="V374" s="1" t="str">
        <f>IF(OR($B374="",V$7=""),"",IF($B374="MEANS",INDEX('1-DATA'!$1:$1048576,$A373-1,COLUMN('1-DATA'!U372)),ROUND(INDEX('1-DATA'!$1:$1048576,IF(OR($B374="STD. DEVIATION",$C$1=1),$A374,$A374+1),COLUMN('1-DATA'!U372)),IF($B374="STD. DEVIATION",2,$F$1))))</f>
        <v/>
      </c>
      <c r="W374" s="1" t="str">
        <f>IF(OR($B374="",W$7=""),"",IF($B374="MEANS",INDEX('1-DATA'!$1:$1048576,$A373-1,COLUMN('1-DATA'!V372)),ROUND(INDEX('1-DATA'!$1:$1048576,IF(OR($B374="STD. DEVIATION",$C$1=1),$A374,$A374+1),COLUMN('1-DATA'!V372)),IF($B374="STD. DEVIATION",2,$F$1))))</f>
        <v/>
      </c>
      <c r="X374" s="1" t="str">
        <f>IF(OR($B374="",X$7=""),"",IF($B374="MEANS",INDEX('1-DATA'!$1:$1048576,$A373-1,COLUMN('1-DATA'!W372)),ROUND(INDEX('1-DATA'!$1:$1048576,IF(OR($B374="STD. DEVIATION",$C$1=1),$A374,$A374+1),COLUMN('1-DATA'!W372)),IF($B374="STD. DEVIATION",2,$F$1))))</f>
        <v/>
      </c>
      <c r="Y374" s="1" t="str">
        <f>IF(OR($B374="",Y$7=""),"",IF($B374="MEANS",INDEX('1-DATA'!$1:$1048576,$A373-1,COLUMN('1-DATA'!X372)),ROUND(INDEX('1-DATA'!$1:$1048576,IF(OR($B374="STD. DEVIATION",$C$1=1),$A374,$A374+1),COLUMN('1-DATA'!X372)),IF($B374="STD. DEVIATION",2,$F$1))))</f>
        <v/>
      </c>
      <c r="Z374" s="1" t="str">
        <f>IF(OR($B374="",Z$7=""),"",IF($B374="MEANS",INDEX('1-DATA'!$1:$1048576,$A373-1,COLUMN('1-DATA'!Y372)),ROUND(INDEX('1-DATA'!$1:$1048576,IF(OR($B374="STD. DEVIATION",$C$1=1),$A374,$A374+1),COLUMN('1-DATA'!Y372)),IF($B374="STD. DEVIATION",2,$F$1))))</f>
        <v/>
      </c>
      <c r="AA374" s="1" t="str">
        <f>IF(OR($B374="",AA$7=""),"",IF($B374="MEANS",INDEX('1-DATA'!$1:$1048576,$A373-1,COLUMN('1-DATA'!Z372)),ROUND(INDEX('1-DATA'!$1:$1048576,IF(OR($B374="STD. DEVIATION",$C$1=1),$A374,$A374+1),COLUMN('1-DATA'!Z372)),IF($B374="STD. DEVIATION",2,$F$1))))</f>
        <v/>
      </c>
      <c r="AB374" s="1" t="str">
        <f>IF(OR($B374="",AB$7=""),"",IF($B374="MEANS",INDEX('1-DATA'!$1:$1048576,$A373-1,COLUMN('1-DATA'!AA372)),ROUND(INDEX('1-DATA'!$1:$1048576,IF(OR($B374="STD. DEVIATION",$C$1=1),$A374,$A374+1),COLUMN('1-DATA'!AA372)),IF($B374="STD. DEVIATION",2,$F$1))))</f>
        <v/>
      </c>
      <c r="AC374" s="1" t="str">
        <f>IF(OR($B374="",AC$7=""),"",IF($B374="MEANS",INDEX('1-DATA'!$1:$1048576,$A373-1,COLUMN('1-DATA'!AB372)),ROUND(INDEX('1-DATA'!$1:$1048576,IF(OR($B374="STD. DEVIATION",$C$1=1),$A374,$A374+1),COLUMN('1-DATA'!AB372)),IF($B374="STD. DEVIATION",2,$F$1))))</f>
        <v/>
      </c>
      <c r="AD374" s="1" t="str">
        <f>IF(OR($B374="",AD$7=""),"",IF($B374="MEANS",INDEX('1-DATA'!$1:$1048576,$A373-1,COLUMN('1-DATA'!AC372)),ROUND(INDEX('1-DATA'!$1:$1048576,IF(OR($B374="STD. DEVIATION",$C$1=1),$A374,$A374+1),COLUMN('1-DATA'!AC372)),IF($B374="STD. DEVIATION",2,$F$1))))</f>
        <v/>
      </c>
      <c r="AE374" s="1" t="str">
        <f>IF(OR($B374="",AE$7=""),"",IF($B374="MEANS",INDEX('1-DATA'!$1:$1048576,$A373-1,COLUMN('1-DATA'!AD372)),ROUND(INDEX('1-DATA'!$1:$1048576,IF(OR($B374="STD. DEVIATION",$C$1=1),$A374,$A374+1),COLUMN('1-DATA'!AD372)),IF($B374="STD. DEVIATION",2,$F$1))))</f>
        <v/>
      </c>
      <c r="AF374" s="1" t="str">
        <f>IF(OR($B374="",AF$7=""),"",IF($B374="MEANS",INDEX('1-DATA'!$1:$1048576,$A373-1,COLUMN('1-DATA'!AE372)),ROUND(INDEX('1-DATA'!$1:$1048576,IF(OR($B374="STD. DEVIATION",$C$1=1),$A374,$A374+1),COLUMN('1-DATA'!AE372)),IF($B374="STD. DEVIATION",2,$F$1))))</f>
        <v/>
      </c>
      <c r="AG374" s="1" t="str">
        <f>IF(OR($B374="",AG$7=""),"",IF($B374="MEANS",INDEX('1-DATA'!$1:$1048576,$A373-1,COLUMN('1-DATA'!AF372)),ROUND(INDEX('1-DATA'!$1:$1048576,IF(OR($B374="STD. DEVIATION",$C$1=1),$A374,$A374+1),COLUMN('1-DATA'!AF372)),IF($B374="STD. DEVIATION",2,$F$1))))</f>
        <v/>
      </c>
      <c r="AH374" s="1" t="str">
        <f>IF(OR($B374="",AH$7=""),"",IF($B374="MEANS",INDEX('1-DATA'!$1:$1048576,$A373-1,COLUMN('1-DATA'!AG372)),ROUND(INDEX('1-DATA'!$1:$1048576,IF(OR($B374="STD. DEVIATION",$C$1=1),$A374,$A374+1),COLUMN('1-DATA'!AG372)),IF($B374="STD. DEVIATION",2,$F$1))))</f>
        <v/>
      </c>
      <c r="AI374" s="1" t="str">
        <f>IF(OR($B374="",AI$7=""),"",IF($B374="MEANS",INDEX('1-DATA'!$1:$1048576,$A373-1,COLUMN('1-DATA'!AH372)),ROUND(INDEX('1-DATA'!$1:$1048576,IF(OR($B374="STD. DEVIATION",$C$1=1),$A374,$A374+1),COLUMN('1-DATA'!AH372)),IF($B374="STD. DEVIATION",2,$F$1))))</f>
        <v/>
      </c>
      <c r="AJ374" s="1" t="str">
        <f>IF(OR($B374="",AJ$7=""),"",IF($B374="MEANS",INDEX('1-DATA'!$1:$1048576,$A373-1,COLUMN('1-DATA'!AI372)),ROUND(INDEX('1-DATA'!$1:$1048576,IF(OR($B374="STD. DEVIATION",$C$1=1),$A374,$A374+1),COLUMN('1-DATA'!AI372)),IF($B374="STD. DEVIATION",2,$F$1))))</f>
        <v/>
      </c>
      <c r="AK374" s="1" t="str">
        <f>IF(OR($B374="",AK$7=""),"",IF($B374="MEANS",INDEX('1-DATA'!$1:$1048576,$A373-1,COLUMN('1-DATA'!AJ372)),ROUND(INDEX('1-DATA'!$1:$1048576,IF(OR($B374="STD. DEVIATION",$C$1=1),$A374,$A374+1),COLUMN('1-DATA'!AJ372)),IF($B374="STD. DEVIATION",2,$F$1))))</f>
        <v/>
      </c>
      <c r="AL374" s="1" t="str">
        <f>IF(OR($B374="",AL$7=""),"",IF($B374="MEANS",INDEX('1-DATA'!$1:$1048576,$A373-1,COLUMN('1-DATA'!AK372)),ROUND(INDEX('1-DATA'!$1:$1048576,IF(OR($B374="STD. DEVIATION",$C$1=1),$A374,$A374+1),COLUMN('1-DATA'!AK372)),IF($B374="STD. DEVIATION",2,$F$1))))</f>
        <v/>
      </c>
      <c r="AM374" s="1" t="str">
        <f>IF(OR($B374="",AM$7=""),"",IF($B374="MEANS",INDEX('1-DATA'!$1:$1048576,$A373-1,COLUMN('1-DATA'!AL372)),ROUND(INDEX('1-DATA'!$1:$1048576,IF(OR($B374="STD. DEVIATION",$C$1=1),$A374,$A374+1),COLUMN('1-DATA'!AL372)),IF($B374="STD. DEVIATION",2,$F$1))))</f>
        <v/>
      </c>
      <c r="AN374" s="1" t="str">
        <f>IF(OR($B374="",AN$7=""),"",IF($B374="MEANS",INDEX('1-DATA'!$1:$1048576,$A373-1,COLUMN('1-DATA'!AM372)),ROUND(INDEX('1-DATA'!$1:$1048576,IF(OR($B374="STD. DEVIATION",$C$1=1),$A374,$A374+1),COLUMN('1-DATA'!AM372)),IF($B374="STD. DEVIATION",2,$F$1))))</f>
        <v/>
      </c>
      <c r="AO374" s="1" t="str">
        <f>IF(OR($B374="",AO$7=""),"",IF($B374="MEANS",INDEX('1-DATA'!$1:$1048576,$A373-1,COLUMN('1-DATA'!AN372)),ROUND(INDEX('1-DATA'!$1:$1048576,IF(OR($B374="STD. DEVIATION",$C$1=1),$A374,$A374+1),COLUMN('1-DATA'!AN372)),IF($B374="STD. DEVIATION",2,$F$1))))</f>
        <v/>
      </c>
      <c r="AP374" s="1" t="str">
        <f>IF(OR($B374="",AP$7=""),"",IF($B374="MEANS",INDEX('1-DATA'!$1:$1048576,$A373-1,COLUMN('1-DATA'!AO372)),ROUND(INDEX('1-DATA'!$1:$1048576,IF(OR($B374="STD. DEVIATION",$C$1=1),$A374,$A374+1),COLUMN('1-DATA'!AO372)),IF($B374="STD. DEVIATION",2,$F$1))))</f>
        <v/>
      </c>
      <c r="AQ374" s="1" t="str">
        <f>IF(OR($B374="",AQ$7=""),"",IF($B374="MEANS",INDEX('1-DATA'!$1:$1048576,$A373-1,COLUMN('1-DATA'!AP372)),ROUND(INDEX('1-DATA'!$1:$1048576,IF(OR($B374="STD. DEVIATION",$C$1=1),$A374,$A374+1),COLUMN('1-DATA'!AP372)),IF($B374="STD. DEVIATION",2,$F$1))))</f>
        <v/>
      </c>
      <c r="AR374" s="1" t="str">
        <f>IF(OR($B374="",AR$7=""),"",IF($B374="MEANS",INDEX('1-DATA'!$1:$1048576,$A373-1,COLUMN('1-DATA'!AQ372)),ROUND(INDEX('1-DATA'!$1:$1048576,IF(OR($B374="STD. DEVIATION",$C$1=1),$A374,$A374+1),COLUMN('1-DATA'!AQ372)),IF($B374="STD. DEVIATION",2,$F$1))))</f>
        <v/>
      </c>
      <c r="AS374" s="1" t="str">
        <f>IF(OR($B374="",AS$7=""),"",IF($B374="MEANS",INDEX('1-DATA'!$1:$1048576,$A373-1,COLUMN('1-DATA'!AR372)),ROUND(INDEX('1-DATA'!$1:$1048576,IF(OR($B374="STD. DEVIATION",$C$1=1),$A374,$A374+1),COLUMN('1-DATA'!AR372)),IF($B374="STD. DEVIATION",2,$F$1))))</f>
        <v/>
      </c>
      <c r="AT374" s="1" t="str">
        <f>IF(OR($B374="",AT$7=""),"",IF($B374="MEANS",INDEX('1-DATA'!$1:$1048576,$A373-1,COLUMN('1-DATA'!AS372)),ROUND(INDEX('1-DATA'!$1:$1048576,IF(OR($B374="STD. DEVIATION",$C$1=1),$A374,$A374+1),COLUMN('1-DATA'!AS372)),IF($B374="STD. DEVIATION",2,$F$1))))</f>
        <v/>
      </c>
      <c r="AU374" s="1" t="str">
        <f>IF(OR($B374="",AU$7=""),"",IF($B374="MEANS",INDEX('1-DATA'!$1:$1048576,$A373-1,COLUMN('1-DATA'!AT372)),ROUND(INDEX('1-DATA'!$1:$1048576,IF(OR($B374="STD. DEVIATION",$C$1=1),$A374,$A374+1),COLUMN('1-DATA'!AT372)),IF($B374="STD. DEVIATION",2,$F$1))))</f>
        <v/>
      </c>
      <c r="AV374" s="1" t="str">
        <f>IF(OR($B374="",AV$7=""),"",IF($B374="MEANS",INDEX('1-DATA'!$1:$1048576,$A373-1,COLUMN('1-DATA'!AU372)),ROUND(INDEX('1-DATA'!$1:$1048576,IF(OR($B374="STD. DEVIATION",$C$1=1),$A374,$A374+1),COLUMN('1-DATA'!AU372)),IF($B374="STD. DEVIATION",2,$F$1))))</f>
        <v/>
      </c>
      <c r="AW374" s="1" t="str">
        <f>IF(OR($B374="",AW$7=""),"",IF($B374="MEANS",INDEX('1-DATA'!$1:$1048576,$A373-1,COLUMN('1-DATA'!AV372)),ROUND(INDEX('1-DATA'!$1:$1048576,IF(OR($B374="STD. DEVIATION",$C$1=1),$A374,$A374+1),COLUMN('1-DATA'!AV372)),IF($B374="STD. DEVIATION",2,$F$1))))</f>
        <v/>
      </c>
      <c r="AX374" s="1" t="str">
        <f>IF(OR($B374="",AX$7=""),"",IF($B374="MEANS",INDEX('1-DATA'!$1:$1048576,$A373-1,COLUMN('1-DATA'!AW372)),ROUND(INDEX('1-DATA'!$1:$1048576,IF(OR($B374="STD. DEVIATION",$C$1=1),$A374,$A374+1),COLUMN('1-DATA'!AW372)),IF($B374="STD. DEVIATION",2,$F$1))))</f>
        <v/>
      </c>
      <c r="AY374" s="1" t="str">
        <f>IF(OR($B374="",AY$7=""),"",IF($B374="MEANS",INDEX('1-DATA'!$1:$1048576,$A373-1,COLUMN('1-DATA'!AX372)),ROUND(INDEX('1-DATA'!$1:$1048576,IF(OR($B374="STD. DEVIATION",$C$1=1),$A374,$A374+1),COLUMN('1-DATA'!AX372)),IF($B374="STD. DEVIATION",2,$F$1))))</f>
        <v/>
      </c>
      <c r="AZ374" s="1" t="str">
        <f>IF(OR($B374="",AZ$7=""),"",IF($B374="MEANS",INDEX('1-DATA'!$1:$1048576,$A373-1,COLUMN('1-DATA'!AY372)),ROUND(INDEX('1-DATA'!$1:$1048576,IF(OR($B374="STD. DEVIATION",$C$1=1),$A374,$A374+1),COLUMN('1-DATA'!AY372)),IF($B374="STD. DEVIATION",2,$F$1))))</f>
        <v/>
      </c>
    </row>
    <row r="375" spans="1:52" x14ac:dyDescent="0.25">
      <c r="A375" s="11">
        <f t="shared" si="6"/>
        <v>1111</v>
      </c>
      <c r="B375" s="1" t="str">
        <f>IF(B374="STD. DEVIATION",INDEX('1-DATA'!$1:$1048576,$A374-1,1),IF(INDEX('1-DATA'!$1:$1048576,$A375,1)&lt;&gt;"",INDEX('1-DATA'!$1:$1048576,$A375,1),""))</f>
        <v/>
      </c>
      <c r="C375" s="1" t="str">
        <f>IF(OR($B375="",C$7=""),"",IF($B375="MEANS",INDEX('1-DATA'!$1:$1048576,$A374-1,COLUMN('1-DATA'!B373)),ROUND(INDEX('1-DATA'!$1:$1048576,IF(OR($B375="STD. DEVIATION",$C$1=1),$A375,$A375+1),COLUMN('1-DATA'!B373)),IF($B375="STD. DEVIATION",2,$F$1))))</f>
        <v/>
      </c>
      <c r="D375" s="1" t="str">
        <f>IF(OR($B375="",D$7=""),"",IF($B375="MEANS",INDEX('1-DATA'!$1:$1048576,$A374-1,COLUMN('1-DATA'!C373)),ROUND(INDEX('1-DATA'!$1:$1048576,IF(OR($B375="STD. DEVIATION",$C$1=1),$A375,$A375+1),COLUMN('1-DATA'!C373)),IF($B375="STD. DEVIATION",2,$F$1))))</f>
        <v/>
      </c>
      <c r="E375" s="1" t="str">
        <f>IF(OR($B375="",E$7=""),"",IF($B375="MEANS",INDEX('1-DATA'!$1:$1048576,$A374-1,COLUMN('1-DATA'!D373)),ROUND(INDEX('1-DATA'!$1:$1048576,IF(OR($B375="STD. DEVIATION",$C$1=1),$A375,$A375+1),COLUMN('1-DATA'!D373)),IF($B375="STD. DEVIATION",2,$F$1))))</f>
        <v/>
      </c>
      <c r="F375" s="1" t="str">
        <f>IF(OR($B375="",F$7=""),"",IF($B375="MEANS",INDEX('1-DATA'!$1:$1048576,$A374-1,COLUMN('1-DATA'!E373)),ROUND(INDEX('1-DATA'!$1:$1048576,IF(OR($B375="STD. DEVIATION",$C$1=1),$A375,$A375+1),COLUMN('1-DATA'!E373)),IF($B375="STD. DEVIATION",2,$F$1))))</f>
        <v/>
      </c>
      <c r="G375" s="1" t="str">
        <f>IF(OR($B375="",G$7=""),"",IF($B375="MEANS",INDEX('1-DATA'!$1:$1048576,$A374-1,COLUMN('1-DATA'!F373)),ROUND(INDEX('1-DATA'!$1:$1048576,IF(OR($B375="STD. DEVIATION",$C$1=1),$A375,$A375+1),COLUMN('1-DATA'!F373)),IF($B375="STD. DEVIATION",2,$F$1))))</f>
        <v/>
      </c>
      <c r="H375" s="1" t="str">
        <f>IF(OR($B375="",H$7=""),"",IF($B375="MEANS",INDEX('1-DATA'!$1:$1048576,$A374-1,COLUMN('1-DATA'!G373)),ROUND(INDEX('1-DATA'!$1:$1048576,IF(OR($B375="STD. DEVIATION",$C$1=1),$A375,$A375+1),COLUMN('1-DATA'!G373)),IF($B375="STD. DEVIATION",2,$F$1))))</f>
        <v/>
      </c>
      <c r="I375" s="1" t="str">
        <f>IF(OR($B375="",I$7=""),"",IF($B375="MEANS",INDEX('1-DATA'!$1:$1048576,$A374-1,COLUMN('1-DATA'!H373)),ROUND(INDEX('1-DATA'!$1:$1048576,IF(OR($B375="STD. DEVIATION",$C$1=1),$A375,$A375+1),COLUMN('1-DATA'!H373)),IF($B375="STD. DEVIATION",2,$F$1))))</f>
        <v/>
      </c>
      <c r="J375" s="1" t="str">
        <f>IF(OR($B375="",J$7=""),"",IF($B375="MEANS",INDEX('1-DATA'!$1:$1048576,$A374-1,COLUMN('1-DATA'!I373)),ROUND(INDEX('1-DATA'!$1:$1048576,IF(OR($B375="STD. DEVIATION",$C$1=1),$A375,$A375+1),COLUMN('1-DATA'!I373)),IF($B375="STD. DEVIATION",2,$F$1))))</f>
        <v/>
      </c>
      <c r="K375" s="1" t="str">
        <f>IF(OR($B375="",K$7=""),"",IF($B375="MEANS",INDEX('1-DATA'!$1:$1048576,$A374-1,COLUMN('1-DATA'!J373)),ROUND(INDEX('1-DATA'!$1:$1048576,IF(OR($B375="STD. DEVIATION",$C$1=1),$A375,$A375+1),COLUMN('1-DATA'!J373)),IF($B375="STD. DEVIATION",2,$F$1))))</f>
        <v/>
      </c>
      <c r="L375" s="1" t="str">
        <f>IF(OR($B375="",L$7=""),"",IF($B375="MEANS",INDEX('1-DATA'!$1:$1048576,$A374-1,COLUMN('1-DATA'!K373)),ROUND(INDEX('1-DATA'!$1:$1048576,IF(OR($B375="STD. DEVIATION",$C$1=1),$A375,$A375+1),COLUMN('1-DATA'!K373)),IF($B375="STD. DEVIATION",2,$F$1))))</f>
        <v/>
      </c>
      <c r="M375" s="1" t="str">
        <f>IF(OR($B375="",M$7=""),"",IF($B375="MEANS",INDEX('1-DATA'!$1:$1048576,$A374-1,COLUMN('1-DATA'!L373)),ROUND(INDEX('1-DATA'!$1:$1048576,IF(OR($B375="STD. DEVIATION",$C$1=1),$A375,$A375+1),COLUMN('1-DATA'!L373)),IF($B375="STD. DEVIATION",2,$F$1))))</f>
        <v/>
      </c>
      <c r="N375" s="1" t="str">
        <f>IF(OR($B375="",N$7=""),"",IF($B375="MEANS",INDEX('1-DATA'!$1:$1048576,$A374-1,COLUMN('1-DATA'!M373)),ROUND(INDEX('1-DATA'!$1:$1048576,IF(OR($B375="STD. DEVIATION",$C$1=1),$A375,$A375+1),COLUMN('1-DATA'!M373)),IF($B375="STD. DEVIATION",2,$F$1))))</f>
        <v/>
      </c>
      <c r="O375" s="1" t="str">
        <f>IF(OR($B375="",O$7=""),"",IF($B375="MEANS",INDEX('1-DATA'!$1:$1048576,$A374-1,COLUMN('1-DATA'!N373)),ROUND(INDEX('1-DATA'!$1:$1048576,IF(OR($B375="STD. DEVIATION",$C$1=1),$A375,$A375+1),COLUMN('1-DATA'!N373)),IF($B375="STD. DEVIATION",2,$F$1))))</f>
        <v/>
      </c>
      <c r="P375" s="1" t="str">
        <f>IF(OR($B375="",P$7=""),"",IF($B375="MEANS",INDEX('1-DATA'!$1:$1048576,$A374-1,COLUMN('1-DATA'!O373)),ROUND(INDEX('1-DATA'!$1:$1048576,IF(OR($B375="STD. DEVIATION",$C$1=1),$A375,$A375+1),COLUMN('1-DATA'!O373)),IF($B375="STD. DEVIATION",2,$F$1))))</f>
        <v/>
      </c>
      <c r="Q375" s="1" t="str">
        <f>IF(OR($B375="",Q$7=""),"",IF($B375="MEANS",INDEX('1-DATA'!$1:$1048576,$A374-1,COLUMN('1-DATA'!P373)),ROUND(INDEX('1-DATA'!$1:$1048576,IF(OR($B375="STD. DEVIATION",$C$1=1),$A375,$A375+1),COLUMN('1-DATA'!P373)),IF($B375="STD. DEVIATION",2,$F$1))))</f>
        <v/>
      </c>
      <c r="R375" s="1" t="str">
        <f>IF(OR($B375="",R$7=""),"",IF($B375="MEANS",INDEX('1-DATA'!$1:$1048576,$A374-1,COLUMN('1-DATA'!Q373)),ROUND(INDEX('1-DATA'!$1:$1048576,IF(OR($B375="STD. DEVIATION",$C$1=1),$A375,$A375+1),COLUMN('1-DATA'!Q373)),IF($B375="STD. DEVIATION",2,$F$1))))</f>
        <v/>
      </c>
      <c r="S375" s="1" t="str">
        <f>IF(OR($B375="",S$7=""),"",IF($B375="MEANS",INDEX('1-DATA'!$1:$1048576,$A374-1,COLUMN('1-DATA'!R373)),ROUND(INDEX('1-DATA'!$1:$1048576,IF(OR($B375="STD. DEVIATION",$C$1=1),$A375,$A375+1),COLUMN('1-DATA'!R373)),IF($B375="STD. DEVIATION",2,$F$1))))</f>
        <v/>
      </c>
      <c r="T375" s="1" t="str">
        <f>IF(OR($B375="",T$7=""),"",IF($B375="MEANS",INDEX('1-DATA'!$1:$1048576,$A374-1,COLUMN('1-DATA'!S373)),ROUND(INDEX('1-DATA'!$1:$1048576,IF(OR($B375="STD. DEVIATION",$C$1=1),$A375,$A375+1),COLUMN('1-DATA'!S373)),IF($B375="STD. DEVIATION",2,$F$1))))</f>
        <v/>
      </c>
      <c r="U375" s="1" t="str">
        <f>IF(OR($B375="",U$7=""),"",IF($B375="MEANS",INDEX('1-DATA'!$1:$1048576,$A374-1,COLUMN('1-DATA'!T373)),ROUND(INDEX('1-DATA'!$1:$1048576,IF(OR($B375="STD. DEVIATION",$C$1=1),$A375,$A375+1),COLUMN('1-DATA'!T373)),IF($B375="STD. DEVIATION",2,$F$1))))</f>
        <v/>
      </c>
      <c r="V375" s="1" t="str">
        <f>IF(OR($B375="",V$7=""),"",IF($B375="MEANS",INDEX('1-DATA'!$1:$1048576,$A374-1,COLUMN('1-DATA'!U373)),ROUND(INDEX('1-DATA'!$1:$1048576,IF(OR($B375="STD. DEVIATION",$C$1=1),$A375,$A375+1),COLUMN('1-DATA'!U373)),IF($B375="STD. DEVIATION",2,$F$1))))</f>
        <v/>
      </c>
      <c r="W375" s="1" t="str">
        <f>IF(OR($B375="",W$7=""),"",IF($B375="MEANS",INDEX('1-DATA'!$1:$1048576,$A374-1,COLUMN('1-DATA'!V373)),ROUND(INDEX('1-DATA'!$1:$1048576,IF(OR($B375="STD. DEVIATION",$C$1=1),$A375,$A375+1),COLUMN('1-DATA'!V373)),IF($B375="STD. DEVIATION",2,$F$1))))</f>
        <v/>
      </c>
      <c r="X375" s="1" t="str">
        <f>IF(OR($B375="",X$7=""),"",IF($B375="MEANS",INDEX('1-DATA'!$1:$1048576,$A374-1,COLUMN('1-DATA'!W373)),ROUND(INDEX('1-DATA'!$1:$1048576,IF(OR($B375="STD. DEVIATION",$C$1=1),$A375,$A375+1),COLUMN('1-DATA'!W373)),IF($B375="STD. DEVIATION",2,$F$1))))</f>
        <v/>
      </c>
      <c r="Y375" s="1" t="str">
        <f>IF(OR($B375="",Y$7=""),"",IF($B375="MEANS",INDEX('1-DATA'!$1:$1048576,$A374-1,COLUMN('1-DATA'!X373)),ROUND(INDEX('1-DATA'!$1:$1048576,IF(OR($B375="STD. DEVIATION",$C$1=1),$A375,$A375+1),COLUMN('1-DATA'!X373)),IF($B375="STD. DEVIATION",2,$F$1))))</f>
        <v/>
      </c>
      <c r="Z375" s="1" t="str">
        <f>IF(OR($B375="",Z$7=""),"",IF($B375="MEANS",INDEX('1-DATA'!$1:$1048576,$A374-1,COLUMN('1-DATA'!Y373)),ROUND(INDEX('1-DATA'!$1:$1048576,IF(OR($B375="STD. DEVIATION",$C$1=1),$A375,$A375+1),COLUMN('1-DATA'!Y373)),IF($B375="STD. DEVIATION",2,$F$1))))</f>
        <v/>
      </c>
      <c r="AA375" s="1" t="str">
        <f>IF(OR($B375="",AA$7=""),"",IF($B375="MEANS",INDEX('1-DATA'!$1:$1048576,$A374-1,COLUMN('1-DATA'!Z373)),ROUND(INDEX('1-DATA'!$1:$1048576,IF(OR($B375="STD. DEVIATION",$C$1=1),$A375,$A375+1),COLUMN('1-DATA'!Z373)),IF($B375="STD. DEVIATION",2,$F$1))))</f>
        <v/>
      </c>
      <c r="AB375" s="1" t="str">
        <f>IF(OR($B375="",AB$7=""),"",IF($B375="MEANS",INDEX('1-DATA'!$1:$1048576,$A374-1,COLUMN('1-DATA'!AA373)),ROUND(INDEX('1-DATA'!$1:$1048576,IF(OR($B375="STD. DEVIATION",$C$1=1),$A375,$A375+1),COLUMN('1-DATA'!AA373)),IF($B375="STD. DEVIATION",2,$F$1))))</f>
        <v/>
      </c>
      <c r="AC375" s="1" t="str">
        <f>IF(OR($B375="",AC$7=""),"",IF($B375="MEANS",INDEX('1-DATA'!$1:$1048576,$A374-1,COLUMN('1-DATA'!AB373)),ROUND(INDEX('1-DATA'!$1:$1048576,IF(OR($B375="STD. DEVIATION",$C$1=1),$A375,$A375+1),COLUMN('1-DATA'!AB373)),IF($B375="STD. DEVIATION",2,$F$1))))</f>
        <v/>
      </c>
      <c r="AD375" s="1" t="str">
        <f>IF(OR($B375="",AD$7=""),"",IF($B375="MEANS",INDEX('1-DATA'!$1:$1048576,$A374-1,COLUMN('1-DATA'!AC373)),ROUND(INDEX('1-DATA'!$1:$1048576,IF(OR($B375="STD. DEVIATION",$C$1=1),$A375,$A375+1),COLUMN('1-DATA'!AC373)),IF($B375="STD. DEVIATION",2,$F$1))))</f>
        <v/>
      </c>
      <c r="AE375" s="1" t="str">
        <f>IF(OR($B375="",AE$7=""),"",IF($B375="MEANS",INDEX('1-DATA'!$1:$1048576,$A374-1,COLUMN('1-DATA'!AD373)),ROUND(INDEX('1-DATA'!$1:$1048576,IF(OR($B375="STD. DEVIATION",$C$1=1),$A375,$A375+1),COLUMN('1-DATA'!AD373)),IF($B375="STD. DEVIATION",2,$F$1))))</f>
        <v/>
      </c>
      <c r="AF375" s="1" t="str">
        <f>IF(OR($B375="",AF$7=""),"",IF($B375="MEANS",INDEX('1-DATA'!$1:$1048576,$A374-1,COLUMN('1-DATA'!AE373)),ROUND(INDEX('1-DATA'!$1:$1048576,IF(OR($B375="STD. DEVIATION",$C$1=1),$A375,$A375+1),COLUMN('1-DATA'!AE373)),IF($B375="STD. DEVIATION",2,$F$1))))</f>
        <v/>
      </c>
      <c r="AG375" s="1" t="str">
        <f>IF(OR($B375="",AG$7=""),"",IF($B375="MEANS",INDEX('1-DATA'!$1:$1048576,$A374-1,COLUMN('1-DATA'!AF373)),ROUND(INDEX('1-DATA'!$1:$1048576,IF(OR($B375="STD. DEVIATION",$C$1=1),$A375,$A375+1),COLUMN('1-DATA'!AF373)),IF($B375="STD. DEVIATION",2,$F$1))))</f>
        <v/>
      </c>
      <c r="AH375" s="1" t="str">
        <f>IF(OR($B375="",AH$7=""),"",IF($B375="MEANS",INDEX('1-DATA'!$1:$1048576,$A374-1,COLUMN('1-DATA'!AG373)),ROUND(INDEX('1-DATA'!$1:$1048576,IF(OR($B375="STD. DEVIATION",$C$1=1),$A375,$A375+1),COLUMN('1-DATA'!AG373)),IF($B375="STD. DEVIATION",2,$F$1))))</f>
        <v/>
      </c>
      <c r="AI375" s="1" t="str">
        <f>IF(OR($B375="",AI$7=""),"",IF($B375="MEANS",INDEX('1-DATA'!$1:$1048576,$A374-1,COLUMN('1-DATA'!AH373)),ROUND(INDEX('1-DATA'!$1:$1048576,IF(OR($B375="STD. DEVIATION",$C$1=1),$A375,$A375+1),COLUMN('1-DATA'!AH373)),IF($B375="STD. DEVIATION",2,$F$1))))</f>
        <v/>
      </c>
      <c r="AJ375" s="1" t="str">
        <f>IF(OR($B375="",AJ$7=""),"",IF($B375="MEANS",INDEX('1-DATA'!$1:$1048576,$A374-1,COLUMN('1-DATA'!AI373)),ROUND(INDEX('1-DATA'!$1:$1048576,IF(OR($B375="STD. DEVIATION",$C$1=1),$A375,$A375+1),COLUMN('1-DATA'!AI373)),IF($B375="STD. DEVIATION",2,$F$1))))</f>
        <v/>
      </c>
      <c r="AK375" s="1" t="str">
        <f>IF(OR($B375="",AK$7=""),"",IF($B375="MEANS",INDEX('1-DATA'!$1:$1048576,$A374-1,COLUMN('1-DATA'!AJ373)),ROUND(INDEX('1-DATA'!$1:$1048576,IF(OR($B375="STD. DEVIATION",$C$1=1),$A375,$A375+1),COLUMN('1-DATA'!AJ373)),IF($B375="STD. DEVIATION",2,$F$1))))</f>
        <v/>
      </c>
      <c r="AL375" s="1" t="str">
        <f>IF(OR($B375="",AL$7=""),"",IF($B375="MEANS",INDEX('1-DATA'!$1:$1048576,$A374-1,COLUMN('1-DATA'!AK373)),ROUND(INDEX('1-DATA'!$1:$1048576,IF(OR($B375="STD. DEVIATION",$C$1=1),$A375,$A375+1),COLUMN('1-DATA'!AK373)),IF($B375="STD. DEVIATION",2,$F$1))))</f>
        <v/>
      </c>
      <c r="AM375" s="1" t="str">
        <f>IF(OR($B375="",AM$7=""),"",IF($B375="MEANS",INDEX('1-DATA'!$1:$1048576,$A374-1,COLUMN('1-DATA'!AL373)),ROUND(INDEX('1-DATA'!$1:$1048576,IF(OR($B375="STD. DEVIATION",$C$1=1),$A375,$A375+1),COLUMN('1-DATA'!AL373)),IF($B375="STD. DEVIATION",2,$F$1))))</f>
        <v/>
      </c>
      <c r="AN375" s="1" t="str">
        <f>IF(OR($B375="",AN$7=""),"",IF($B375="MEANS",INDEX('1-DATA'!$1:$1048576,$A374-1,COLUMN('1-DATA'!AM373)),ROUND(INDEX('1-DATA'!$1:$1048576,IF(OR($B375="STD. DEVIATION",$C$1=1),$A375,$A375+1),COLUMN('1-DATA'!AM373)),IF($B375="STD. DEVIATION",2,$F$1))))</f>
        <v/>
      </c>
      <c r="AO375" s="1" t="str">
        <f>IF(OR($B375="",AO$7=""),"",IF($B375="MEANS",INDEX('1-DATA'!$1:$1048576,$A374-1,COLUMN('1-DATA'!AN373)),ROUND(INDEX('1-DATA'!$1:$1048576,IF(OR($B375="STD. DEVIATION",$C$1=1),$A375,$A375+1),COLUMN('1-DATA'!AN373)),IF($B375="STD. DEVIATION",2,$F$1))))</f>
        <v/>
      </c>
      <c r="AP375" s="1" t="str">
        <f>IF(OR($B375="",AP$7=""),"",IF($B375="MEANS",INDEX('1-DATA'!$1:$1048576,$A374-1,COLUMN('1-DATA'!AO373)),ROUND(INDEX('1-DATA'!$1:$1048576,IF(OR($B375="STD. DEVIATION",$C$1=1),$A375,$A375+1),COLUMN('1-DATA'!AO373)),IF($B375="STD. DEVIATION",2,$F$1))))</f>
        <v/>
      </c>
      <c r="AQ375" s="1" t="str">
        <f>IF(OR($B375="",AQ$7=""),"",IF($B375="MEANS",INDEX('1-DATA'!$1:$1048576,$A374-1,COLUMN('1-DATA'!AP373)),ROUND(INDEX('1-DATA'!$1:$1048576,IF(OR($B375="STD. DEVIATION",$C$1=1),$A375,$A375+1),COLUMN('1-DATA'!AP373)),IF($B375="STD. DEVIATION",2,$F$1))))</f>
        <v/>
      </c>
      <c r="AR375" s="1" t="str">
        <f>IF(OR($B375="",AR$7=""),"",IF($B375="MEANS",INDEX('1-DATA'!$1:$1048576,$A374-1,COLUMN('1-DATA'!AQ373)),ROUND(INDEX('1-DATA'!$1:$1048576,IF(OR($B375="STD. DEVIATION",$C$1=1),$A375,$A375+1),COLUMN('1-DATA'!AQ373)),IF($B375="STD. DEVIATION",2,$F$1))))</f>
        <v/>
      </c>
      <c r="AS375" s="1" t="str">
        <f>IF(OR($B375="",AS$7=""),"",IF($B375="MEANS",INDEX('1-DATA'!$1:$1048576,$A374-1,COLUMN('1-DATA'!AR373)),ROUND(INDEX('1-DATA'!$1:$1048576,IF(OR($B375="STD. DEVIATION",$C$1=1),$A375,$A375+1),COLUMN('1-DATA'!AR373)),IF($B375="STD. DEVIATION",2,$F$1))))</f>
        <v/>
      </c>
      <c r="AT375" s="1" t="str">
        <f>IF(OR($B375="",AT$7=""),"",IF($B375="MEANS",INDEX('1-DATA'!$1:$1048576,$A374-1,COLUMN('1-DATA'!AS373)),ROUND(INDEX('1-DATA'!$1:$1048576,IF(OR($B375="STD. DEVIATION",$C$1=1),$A375,$A375+1),COLUMN('1-DATA'!AS373)),IF($B375="STD. DEVIATION",2,$F$1))))</f>
        <v/>
      </c>
      <c r="AU375" s="1" t="str">
        <f>IF(OR($B375="",AU$7=""),"",IF($B375="MEANS",INDEX('1-DATA'!$1:$1048576,$A374-1,COLUMN('1-DATA'!AT373)),ROUND(INDEX('1-DATA'!$1:$1048576,IF(OR($B375="STD. DEVIATION",$C$1=1),$A375,$A375+1),COLUMN('1-DATA'!AT373)),IF($B375="STD. DEVIATION",2,$F$1))))</f>
        <v/>
      </c>
      <c r="AV375" s="1" t="str">
        <f>IF(OR($B375="",AV$7=""),"",IF($B375="MEANS",INDEX('1-DATA'!$1:$1048576,$A374-1,COLUMN('1-DATA'!AU373)),ROUND(INDEX('1-DATA'!$1:$1048576,IF(OR($B375="STD. DEVIATION",$C$1=1),$A375,$A375+1),COLUMN('1-DATA'!AU373)),IF($B375="STD. DEVIATION",2,$F$1))))</f>
        <v/>
      </c>
      <c r="AW375" s="1" t="str">
        <f>IF(OR($B375="",AW$7=""),"",IF($B375="MEANS",INDEX('1-DATA'!$1:$1048576,$A374-1,COLUMN('1-DATA'!AV373)),ROUND(INDEX('1-DATA'!$1:$1048576,IF(OR($B375="STD. DEVIATION",$C$1=1),$A375,$A375+1),COLUMN('1-DATA'!AV373)),IF($B375="STD. DEVIATION",2,$F$1))))</f>
        <v/>
      </c>
      <c r="AX375" s="1" t="str">
        <f>IF(OR($B375="",AX$7=""),"",IF($B375="MEANS",INDEX('1-DATA'!$1:$1048576,$A374-1,COLUMN('1-DATA'!AW373)),ROUND(INDEX('1-DATA'!$1:$1048576,IF(OR($B375="STD. DEVIATION",$C$1=1),$A375,$A375+1),COLUMN('1-DATA'!AW373)),IF($B375="STD. DEVIATION",2,$F$1))))</f>
        <v/>
      </c>
      <c r="AY375" s="1" t="str">
        <f>IF(OR($B375="",AY$7=""),"",IF($B375="MEANS",INDEX('1-DATA'!$1:$1048576,$A374-1,COLUMN('1-DATA'!AX373)),ROUND(INDEX('1-DATA'!$1:$1048576,IF(OR($B375="STD. DEVIATION",$C$1=1),$A375,$A375+1),COLUMN('1-DATA'!AX373)),IF($B375="STD. DEVIATION",2,$F$1))))</f>
        <v/>
      </c>
      <c r="AZ375" s="1" t="str">
        <f>IF(OR($B375="",AZ$7=""),"",IF($B375="MEANS",INDEX('1-DATA'!$1:$1048576,$A374-1,COLUMN('1-DATA'!AY373)),ROUND(INDEX('1-DATA'!$1:$1048576,IF(OR($B375="STD. DEVIATION",$C$1=1),$A375,$A375+1),COLUMN('1-DATA'!AY373)),IF($B375="STD. DEVIATION",2,$F$1))))</f>
        <v/>
      </c>
    </row>
    <row r="376" spans="1:52" x14ac:dyDescent="0.25">
      <c r="A376" s="11">
        <f t="shared" si="6"/>
        <v>1114</v>
      </c>
      <c r="B376" s="1" t="str">
        <f>IF(B375="STD. DEVIATION",INDEX('1-DATA'!$1:$1048576,$A375-1,1),IF(INDEX('1-DATA'!$1:$1048576,$A376,1)&lt;&gt;"",INDEX('1-DATA'!$1:$1048576,$A376,1),""))</f>
        <v/>
      </c>
      <c r="C376" s="1" t="str">
        <f>IF(OR($B376="",C$7=""),"",IF($B376="MEANS",INDEX('1-DATA'!$1:$1048576,$A375-1,COLUMN('1-DATA'!B374)),ROUND(INDEX('1-DATA'!$1:$1048576,IF(OR($B376="STD. DEVIATION",$C$1=1),$A376,$A376+1),COLUMN('1-DATA'!B374)),IF($B376="STD. DEVIATION",2,$F$1))))</f>
        <v/>
      </c>
      <c r="D376" s="1" t="str">
        <f>IF(OR($B376="",D$7=""),"",IF($B376="MEANS",INDEX('1-DATA'!$1:$1048576,$A375-1,COLUMN('1-DATA'!C374)),ROUND(INDEX('1-DATA'!$1:$1048576,IF(OR($B376="STD. DEVIATION",$C$1=1),$A376,$A376+1),COLUMN('1-DATA'!C374)),IF($B376="STD. DEVIATION",2,$F$1))))</f>
        <v/>
      </c>
      <c r="E376" s="1" t="str">
        <f>IF(OR($B376="",E$7=""),"",IF($B376="MEANS",INDEX('1-DATA'!$1:$1048576,$A375-1,COLUMN('1-DATA'!D374)),ROUND(INDEX('1-DATA'!$1:$1048576,IF(OR($B376="STD. DEVIATION",$C$1=1),$A376,$A376+1),COLUMN('1-DATA'!D374)),IF($B376="STD. DEVIATION",2,$F$1))))</f>
        <v/>
      </c>
      <c r="F376" s="1" t="str">
        <f>IF(OR($B376="",F$7=""),"",IF($B376="MEANS",INDEX('1-DATA'!$1:$1048576,$A375-1,COLUMN('1-DATA'!E374)),ROUND(INDEX('1-DATA'!$1:$1048576,IF(OR($B376="STD. DEVIATION",$C$1=1),$A376,$A376+1),COLUMN('1-DATA'!E374)),IF($B376="STD. DEVIATION",2,$F$1))))</f>
        <v/>
      </c>
      <c r="G376" s="1" t="str">
        <f>IF(OR($B376="",G$7=""),"",IF($B376="MEANS",INDEX('1-DATA'!$1:$1048576,$A375-1,COLUMN('1-DATA'!F374)),ROUND(INDEX('1-DATA'!$1:$1048576,IF(OR($B376="STD. DEVIATION",$C$1=1),$A376,$A376+1),COLUMN('1-DATA'!F374)),IF($B376="STD. DEVIATION",2,$F$1))))</f>
        <v/>
      </c>
      <c r="H376" s="1" t="str">
        <f>IF(OR($B376="",H$7=""),"",IF($B376="MEANS",INDEX('1-DATA'!$1:$1048576,$A375-1,COLUMN('1-DATA'!G374)),ROUND(INDEX('1-DATA'!$1:$1048576,IF(OR($B376="STD. DEVIATION",$C$1=1),$A376,$A376+1),COLUMN('1-DATA'!G374)),IF($B376="STD. DEVIATION",2,$F$1))))</f>
        <v/>
      </c>
      <c r="I376" s="1" t="str">
        <f>IF(OR($B376="",I$7=""),"",IF($B376="MEANS",INDEX('1-DATA'!$1:$1048576,$A375-1,COLUMN('1-DATA'!H374)),ROUND(INDEX('1-DATA'!$1:$1048576,IF(OR($B376="STD. DEVIATION",$C$1=1),$A376,$A376+1),COLUMN('1-DATA'!H374)),IF($B376="STD. DEVIATION",2,$F$1))))</f>
        <v/>
      </c>
      <c r="J376" s="1" t="str">
        <f>IF(OR($B376="",J$7=""),"",IF($B376="MEANS",INDEX('1-DATA'!$1:$1048576,$A375-1,COLUMN('1-DATA'!I374)),ROUND(INDEX('1-DATA'!$1:$1048576,IF(OR($B376="STD. DEVIATION",$C$1=1),$A376,$A376+1),COLUMN('1-DATA'!I374)),IF($B376="STD. DEVIATION",2,$F$1))))</f>
        <v/>
      </c>
      <c r="K376" s="1" t="str">
        <f>IF(OR($B376="",K$7=""),"",IF($B376="MEANS",INDEX('1-DATA'!$1:$1048576,$A375-1,COLUMN('1-DATA'!J374)),ROUND(INDEX('1-DATA'!$1:$1048576,IF(OR($B376="STD. DEVIATION",$C$1=1),$A376,$A376+1),COLUMN('1-DATA'!J374)),IF($B376="STD. DEVIATION",2,$F$1))))</f>
        <v/>
      </c>
      <c r="L376" s="1" t="str">
        <f>IF(OR($B376="",L$7=""),"",IF($B376="MEANS",INDEX('1-DATA'!$1:$1048576,$A375-1,COLUMN('1-DATA'!K374)),ROUND(INDEX('1-DATA'!$1:$1048576,IF(OR($B376="STD. DEVIATION",$C$1=1),$A376,$A376+1),COLUMN('1-DATA'!K374)),IF($B376="STD. DEVIATION",2,$F$1))))</f>
        <v/>
      </c>
      <c r="M376" s="1" t="str">
        <f>IF(OR($B376="",M$7=""),"",IF($B376="MEANS",INDEX('1-DATA'!$1:$1048576,$A375-1,COLUMN('1-DATA'!L374)),ROUND(INDEX('1-DATA'!$1:$1048576,IF(OR($B376="STD. DEVIATION",$C$1=1),$A376,$A376+1),COLUMN('1-DATA'!L374)),IF($B376="STD. DEVIATION",2,$F$1))))</f>
        <v/>
      </c>
      <c r="N376" s="1" t="str">
        <f>IF(OR($B376="",N$7=""),"",IF($B376="MEANS",INDEX('1-DATA'!$1:$1048576,$A375-1,COLUMN('1-DATA'!M374)),ROUND(INDEX('1-DATA'!$1:$1048576,IF(OR($B376="STD. DEVIATION",$C$1=1),$A376,$A376+1),COLUMN('1-DATA'!M374)),IF($B376="STD. DEVIATION",2,$F$1))))</f>
        <v/>
      </c>
      <c r="O376" s="1" t="str">
        <f>IF(OR($B376="",O$7=""),"",IF($B376="MEANS",INDEX('1-DATA'!$1:$1048576,$A375-1,COLUMN('1-DATA'!N374)),ROUND(INDEX('1-DATA'!$1:$1048576,IF(OR($B376="STD. DEVIATION",$C$1=1),$A376,$A376+1),COLUMN('1-DATA'!N374)),IF($B376="STD. DEVIATION",2,$F$1))))</f>
        <v/>
      </c>
      <c r="P376" s="1" t="str">
        <f>IF(OR($B376="",P$7=""),"",IF($B376="MEANS",INDEX('1-DATA'!$1:$1048576,$A375-1,COLUMN('1-DATA'!O374)),ROUND(INDEX('1-DATA'!$1:$1048576,IF(OR($B376="STD. DEVIATION",$C$1=1),$A376,$A376+1),COLUMN('1-DATA'!O374)),IF($B376="STD. DEVIATION",2,$F$1))))</f>
        <v/>
      </c>
      <c r="Q376" s="1" t="str">
        <f>IF(OR($B376="",Q$7=""),"",IF($B376="MEANS",INDEX('1-DATA'!$1:$1048576,$A375-1,COLUMN('1-DATA'!P374)),ROUND(INDEX('1-DATA'!$1:$1048576,IF(OR($B376="STD. DEVIATION",$C$1=1),$A376,$A376+1),COLUMN('1-DATA'!P374)),IF($B376="STD. DEVIATION",2,$F$1))))</f>
        <v/>
      </c>
      <c r="R376" s="1" t="str">
        <f>IF(OR($B376="",R$7=""),"",IF($B376="MEANS",INDEX('1-DATA'!$1:$1048576,$A375-1,COLUMN('1-DATA'!Q374)),ROUND(INDEX('1-DATA'!$1:$1048576,IF(OR($B376="STD. DEVIATION",$C$1=1),$A376,$A376+1),COLUMN('1-DATA'!Q374)),IF($B376="STD. DEVIATION",2,$F$1))))</f>
        <v/>
      </c>
      <c r="S376" s="1" t="str">
        <f>IF(OR($B376="",S$7=""),"",IF($B376="MEANS",INDEX('1-DATA'!$1:$1048576,$A375-1,COLUMN('1-DATA'!R374)),ROUND(INDEX('1-DATA'!$1:$1048576,IF(OR($B376="STD. DEVIATION",$C$1=1),$A376,$A376+1),COLUMN('1-DATA'!R374)),IF($B376="STD. DEVIATION",2,$F$1))))</f>
        <v/>
      </c>
      <c r="T376" s="1" t="str">
        <f>IF(OR($B376="",T$7=""),"",IF($B376="MEANS",INDEX('1-DATA'!$1:$1048576,$A375-1,COLUMN('1-DATA'!S374)),ROUND(INDEX('1-DATA'!$1:$1048576,IF(OR($B376="STD. DEVIATION",$C$1=1),$A376,$A376+1),COLUMN('1-DATA'!S374)),IF($B376="STD. DEVIATION",2,$F$1))))</f>
        <v/>
      </c>
      <c r="U376" s="1" t="str">
        <f>IF(OR($B376="",U$7=""),"",IF($B376="MEANS",INDEX('1-DATA'!$1:$1048576,$A375-1,COLUMN('1-DATA'!T374)),ROUND(INDEX('1-DATA'!$1:$1048576,IF(OR($B376="STD. DEVIATION",$C$1=1),$A376,$A376+1),COLUMN('1-DATA'!T374)),IF($B376="STD. DEVIATION",2,$F$1))))</f>
        <v/>
      </c>
      <c r="V376" s="1" t="str">
        <f>IF(OR($B376="",V$7=""),"",IF($B376="MEANS",INDEX('1-DATA'!$1:$1048576,$A375-1,COLUMN('1-DATA'!U374)),ROUND(INDEX('1-DATA'!$1:$1048576,IF(OR($B376="STD. DEVIATION",$C$1=1),$A376,$A376+1),COLUMN('1-DATA'!U374)),IF($B376="STD. DEVIATION",2,$F$1))))</f>
        <v/>
      </c>
      <c r="W376" s="1" t="str">
        <f>IF(OR($B376="",W$7=""),"",IF($B376="MEANS",INDEX('1-DATA'!$1:$1048576,$A375-1,COLUMN('1-DATA'!V374)),ROUND(INDEX('1-DATA'!$1:$1048576,IF(OR($B376="STD. DEVIATION",$C$1=1),$A376,$A376+1),COLUMN('1-DATA'!V374)),IF($B376="STD. DEVIATION",2,$F$1))))</f>
        <v/>
      </c>
      <c r="X376" s="1" t="str">
        <f>IF(OR($B376="",X$7=""),"",IF($B376="MEANS",INDEX('1-DATA'!$1:$1048576,$A375-1,COLUMN('1-DATA'!W374)),ROUND(INDEX('1-DATA'!$1:$1048576,IF(OR($B376="STD. DEVIATION",$C$1=1),$A376,$A376+1),COLUMN('1-DATA'!W374)),IF($B376="STD. DEVIATION",2,$F$1))))</f>
        <v/>
      </c>
      <c r="Y376" s="1" t="str">
        <f>IF(OR($B376="",Y$7=""),"",IF($B376="MEANS",INDEX('1-DATA'!$1:$1048576,$A375-1,COLUMN('1-DATA'!X374)),ROUND(INDEX('1-DATA'!$1:$1048576,IF(OR($B376="STD. DEVIATION",$C$1=1),$A376,$A376+1),COLUMN('1-DATA'!X374)),IF($B376="STD. DEVIATION",2,$F$1))))</f>
        <v/>
      </c>
      <c r="Z376" s="1" t="str">
        <f>IF(OR($B376="",Z$7=""),"",IF($B376="MEANS",INDEX('1-DATA'!$1:$1048576,$A375-1,COLUMN('1-DATA'!Y374)),ROUND(INDEX('1-DATA'!$1:$1048576,IF(OR($B376="STD. DEVIATION",$C$1=1),$A376,$A376+1),COLUMN('1-DATA'!Y374)),IF($B376="STD. DEVIATION",2,$F$1))))</f>
        <v/>
      </c>
      <c r="AA376" s="1" t="str">
        <f>IF(OR($B376="",AA$7=""),"",IF($B376="MEANS",INDEX('1-DATA'!$1:$1048576,$A375-1,COLUMN('1-DATA'!Z374)),ROUND(INDEX('1-DATA'!$1:$1048576,IF(OR($B376="STD. DEVIATION",$C$1=1),$A376,$A376+1),COLUMN('1-DATA'!Z374)),IF($B376="STD. DEVIATION",2,$F$1))))</f>
        <v/>
      </c>
      <c r="AB376" s="1" t="str">
        <f>IF(OR($B376="",AB$7=""),"",IF($B376="MEANS",INDEX('1-DATA'!$1:$1048576,$A375-1,COLUMN('1-DATA'!AA374)),ROUND(INDEX('1-DATA'!$1:$1048576,IF(OR($B376="STD. DEVIATION",$C$1=1),$A376,$A376+1),COLUMN('1-DATA'!AA374)),IF($B376="STD. DEVIATION",2,$F$1))))</f>
        <v/>
      </c>
      <c r="AC376" s="1" t="str">
        <f>IF(OR($B376="",AC$7=""),"",IF($B376="MEANS",INDEX('1-DATA'!$1:$1048576,$A375-1,COLUMN('1-DATA'!AB374)),ROUND(INDEX('1-DATA'!$1:$1048576,IF(OR($B376="STD. DEVIATION",$C$1=1),$A376,$A376+1),COLUMN('1-DATA'!AB374)),IF($B376="STD. DEVIATION",2,$F$1))))</f>
        <v/>
      </c>
      <c r="AD376" s="1" t="str">
        <f>IF(OR($B376="",AD$7=""),"",IF($B376="MEANS",INDEX('1-DATA'!$1:$1048576,$A375-1,COLUMN('1-DATA'!AC374)),ROUND(INDEX('1-DATA'!$1:$1048576,IF(OR($B376="STD. DEVIATION",$C$1=1),$A376,$A376+1),COLUMN('1-DATA'!AC374)),IF($B376="STD. DEVIATION",2,$F$1))))</f>
        <v/>
      </c>
      <c r="AE376" s="1" t="str">
        <f>IF(OR($B376="",AE$7=""),"",IF($B376="MEANS",INDEX('1-DATA'!$1:$1048576,$A375-1,COLUMN('1-DATA'!AD374)),ROUND(INDEX('1-DATA'!$1:$1048576,IF(OR($B376="STD. DEVIATION",$C$1=1),$A376,$A376+1),COLUMN('1-DATA'!AD374)),IF($B376="STD. DEVIATION",2,$F$1))))</f>
        <v/>
      </c>
      <c r="AF376" s="1" t="str">
        <f>IF(OR($B376="",AF$7=""),"",IF($B376="MEANS",INDEX('1-DATA'!$1:$1048576,$A375-1,COLUMN('1-DATA'!AE374)),ROUND(INDEX('1-DATA'!$1:$1048576,IF(OR($B376="STD. DEVIATION",$C$1=1),$A376,$A376+1),COLUMN('1-DATA'!AE374)),IF($B376="STD. DEVIATION",2,$F$1))))</f>
        <v/>
      </c>
      <c r="AG376" s="1" t="str">
        <f>IF(OR($B376="",AG$7=""),"",IF($B376="MEANS",INDEX('1-DATA'!$1:$1048576,$A375-1,COLUMN('1-DATA'!AF374)),ROUND(INDEX('1-DATA'!$1:$1048576,IF(OR($B376="STD. DEVIATION",$C$1=1),$A376,$A376+1),COLUMN('1-DATA'!AF374)),IF($B376="STD. DEVIATION",2,$F$1))))</f>
        <v/>
      </c>
      <c r="AH376" s="1" t="str">
        <f>IF(OR($B376="",AH$7=""),"",IF($B376="MEANS",INDEX('1-DATA'!$1:$1048576,$A375-1,COLUMN('1-DATA'!AG374)),ROUND(INDEX('1-DATA'!$1:$1048576,IF(OR($B376="STD. DEVIATION",$C$1=1),$A376,$A376+1),COLUMN('1-DATA'!AG374)),IF($B376="STD. DEVIATION",2,$F$1))))</f>
        <v/>
      </c>
      <c r="AI376" s="1" t="str">
        <f>IF(OR($B376="",AI$7=""),"",IF($B376="MEANS",INDEX('1-DATA'!$1:$1048576,$A375-1,COLUMN('1-DATA'!AH374)),ROUND(INDEX('1-DATA'!$1:$1048576,IF(OR($B376="STD. DEVIATION",$C$1=1),$A376,$A376+1),COLUMN('1-DATA'!AH374)),IF($B376="STD. DEVIATION",2,$F$1))))</f>
        <v/>
      </c>
      <c r="AJ376" s="1" t="str">
        <f>IF(OR($B376="",AJ$7=""),"",IF($B376="MEANS",INDEX('1-DATA'!$1:$1048576,$A375-1,COLUMN('1-DATA'!AI374)),ROUND(INDEX('1-DATA'!$1:$1048576,IF(OR($B376="STD. DEVIATION",$C$1=1),$A376,$A376+1),COLUMN('1-DATA'!AI374)),IF($B376="STD. DEVIATION",2,$F$1))))</f>
        <v/>
      </c>
      <c r="AK376" s="1" t="str">
        <f>IF(OR($B376="",AK$7=""),"",IF($B376="MEANS",INDEX('1-DATA'!$1:$1048576,$A375-1,COLUMN('1-DATA'!AJ374)),ROUND(INDEX('1-DATA'!$1:$1048576,IF(OR($B376="STD. DEVIATION",$C$1=1),$A376,$A376+1),COLUMN('1-DATA'!AJ374)),IF($B376="STD. DEVIATION",2,$F$1))))</f>
        <v/>
      </c>
      <c r="AL376" s="1" t="str">
        <f>IF(OR($B376="",AL$7=""),"",IF($B376="MEANS",INDEX('1-DATA'!$1:$1048576,$A375-1,COLUMN('1-DATA'!AK374)),ROUND(INDEX('1-DATA'!$1:$1048576,IF(OR($B376="STD. DEVIATION",$C$1=1),$A376,$A376+1),COLUMN('1-DATA'!AK374)),IF($B376="STD. DEVIATION",2,$F$1))))</f>
        <v/>
      </c>
      <c r="AM376" s="1" t="str">
        <f>IF(OR($B376="",AM$7=""),"",IF($B376="MEANS",INDEX('1-DATA'!$1:$1048576,$A375-1,COLUMN('1-DATA'!AL374)),ROUND(INDEX('1-DATA'!$1:$1048576,IF(OR($B376="STD. DEVIATION",$C$1=1),$A376,$A376+1),COLUMN('1-DATA'!AL374)),IF($B376="STD. DEVIATION",2,$F$1))))</f>
        <v/>
      </c>
      <c r="AN376" s="1" t="str">
        <f>IF(OR($B376="",AN$7=""),"",IF($B376="MEANS",INDEX('1-DATA'!$1:$1048576,$A375-1,COLUMN('1-DATA'!AM374)),ROUND(INDEX('1-DATA'!$1:$1048576,IF(OR($B376="STD. DEVIATION",$C$1=1),$A376,$A376+1),COLUMN('1-DATA'!AM374)),IF($B376="STD. DEVIATION",2,$F$1))))</f>
        <v/>
      </c>
      <c r="AO376" s="1" t="str">
        <f>IF(OR($B376="",AO$7=""),"",IF($B376="MEANS",INDEX('1-DATA'!$1:$1048576,$A375-1,COLUMN('1-DATA'!AN374)),ROUND(INDEX('1-DATA'!$1:$1048576,IF(OR($B376="STD. DEVIATION",$C$1=1),$A376,$A376+1),COLUMN('1-DATA'!AN374)),IF($B376="STD. DEVIATION",2,$F$1))))</f>
        <v/>
      </c>
      <c r="AP376" s="1" t="str">
        <f>IF(OR($B376="",AP$7=""),"",IF($B376="MEANS",INDEX('1-DATA'!$1:$1048576,$A375-1,COLUMN('1-DATA'!AO374)),ROUND(INDEX('1-DATA'!$1:$1048576,IF(OR($B376="STD. DEVIATION",$C$1=1),$A376,$A376+1),COLUMN('1-DATA'!AO374)),IF($B376="STD. DEVIATION",2,$F$1))))</f>
        <v/>
      </c>
      <c r="AQ376" s="1" t="str">
        <f>IF(OR($B376="",AQ$7=""),"",IF($B376="MEANS",INDEX('1-DATA'!$1:$1048576,$A375-1,COLUMN('1-DATA'!AP374)),ROUND(INDEX('1-DATA'!$1:$1048576,IF(OR($B376="STD. DEVIATION",$C$1=1),$A376,$A376+1),COLUMN('1-DATA'!AP374)),IF($B376="STD. DEVIATION",2,$F$1))))</f>
        <v/>
      </c>
      <c r="AR376" s="1" t="str">
        <f>IF(OR($B376="",AR$7=""),"",IF($B376="MEANS",INDEX('1-DATA'!$1:$1048576,$A375-1,COLUMN('1-DATA'!AQ374)),ROUND(INDEX('1-DATA'!$1:$1048576,IF(OR($B376="STD. DEVIATION",$C$1=1),$A376,$A376+1),COLUMN('1-DATA'!AQ374)),IF($B376="STD. DEVIATION",2,$F$1))))</f>
        <v/>
      </c>
      <c r="AS376" s="1" t="str">
        <f>IF(OR($B376="",AS$7=""),"",IF($B376="MEANS",INDEX('1-DATA'!$1:$1048576,$A375-1,COLUMN('1-DATA'!AR374)),ROUND(INDEX('1-DATA'!$1:$1048576,IF(OR($B376="STD. DEVIATION",$C$1=1),$A376,$A376+1),COLUMN('1-DATA'!AR374)),IF($B376="STD. DEVIATION",2,$F$1))))</f>
        <v/>
      </c>
      <c r="AT376" s="1" t="str">
        <f>IF(OR($B376="",AT$7=""),"",IF($B376="MEANS",INDEX('1-DATA'!$1:$1048576,$A375-1,COLUMN('1-DATA'!AS374)),ROUND(INDEX('1-DATA'!$1:$1048576,IF(OR($B376="STD. DEVIATION",$C$1=1),$A376,$A376+1),COLUMN('1-DATA'!AS374)),IF($B376="STD. DEVIATION",2,$F$1))))</f>
        <v/>
      </c>
      <c r="AU376" s="1" t="str">
        <f>IF(OR($B376="",AU$7=""),"",IF($B376="MEANS",INDEX('1-DATA'!$1:$1048576,$A375-1,COLUMN('1-DATA'!AT374)),ROUND(INDEX('1-DATA'!$1:$1048576,IF(OR($B376="STD. DEVIATION",$C$1=1),$A376,$A376+1),COLUMN('1-DATA'!AT374)),IF($B376="STD. DEVIATION",2,$F$1))))</f>
        <v/>
      </c>
      <c r="AV376" s="1" t="str">
        <f>IF(OR($B376="",AV$7=""),"",IF($B376="MEANS",INDEX('1-DATA'!$1:$1048576,$A375-1,COLUMN('1-DATA'!AU374)),ROUND(INDEX('1-DATA'!$1:$1048576,IF(OR($B376="STD. DEVIATION",$C$1=1),$A376,$A376+1),COLUMN('1-DATA'!AU374)),IF($B376="STD. DEVIATION",2,$F$1))))</f>
        <v/>
      </c>
      <c r="AW376" s="1" t="str">
        <f>IF(OR($B376="",AW$7=""),"",IF($B376="MEANS",INDEX('1-DATA'!$1:$1048576,$A375-1,COLUMN('1-DATA'!AV374)),ROUND(INDEX('1-DATA'!$1:$1048576,IF(OR($B376="STD. DEVIATION",$C$1=1),$A376,$A376+1),COLUMN('1-DATA'!AV374)),IF($B376="STD. DEVIATION",2,$F$1))))</f>
        <v/>
      </c>
      <c r="AX376" s="1" t="str">
        <f>IF(OR($B376="",AX$7=""),"",IF($B376="MEANS",INDEX('1-DATA'!$1:$1048576,$A375-1,COLUMN('1-DATA'!AW374)),ROUND(INDEX('1-DATA'!$1:$1048576,IF(OR($B376="STD. DEVIATION",$C$1=1),$A376,$A376+1),COLUMN('1-DATA'!AW374)),IF($B376="STD. DEVIATION",2,$F$1))))</f>
        <v/>
      </c>
      <c r="AY376" s="1" t="str">
        <f>IF(OR($B376="",AY$7=""),"",IF($B376="MEANS",INDEX('1-DATA'!$1:$1048576,$A375-1,COLUMN('1-DATA'!AX374)),ROUND(INDEX('1-DATA'!$1:$1048576,IF(OR($B376="STD. DEVIATION",$C$1=1),$A376,$A376+1),COLUMN('1-DATA'!AX374)),IF($B376="STD. DEVIATION",2,$F$1))))</f>
        <v/>
      </c>
      <c r="AZ376" s="1" t="str">
        <f>IF(OR($B376="",AZ$7=""),"",IF($B376="MEANS",INDEX('1-DATA'!$1:$1048576,$A375-1,COLUMN('1-DATA'!AY374)),ROUND(INDEX('1-DATA'!$1:$1048576,IF(OR($B376="STD. DEVIATION",$C$1=1),$A376,$A376+1),COLUMN('1-DATA'!AY374)),IF($B376="STD. DEVIATION",2,$F$1))))</f>
        <v/>
      </c>
    </row>
    <row r="377" spans="1:52" x14ac:dyDescent="0.25">
      <c r="A377" s="11">
        <f t="shared" si="6"/>
        <v>1117</v>
      </c>
      <c r="B377" s="1" t="str">
        <f>IF(B376="STD. DEVIATION",INDEX('1-DATA'!$1:$1048576,$A376-1,1),IF(INDEX('1-DATA'!$1:$1048576,$A377,1)&lt;&gt;"",INDEX('1-DATA'!$1:$1048576,$A377,1),""))</f>
        <v/>
      </c>
      <c r="C377" s="1" t="str">
        <f>IF(OR($B377="",C$7=""),"",IF($B377="MEANS",INDEX('1-DATA'!$1:$1048576,$A376-1,COLUMN('1-DATA'!B375)),ROUND(INDEX('1-DATA'!$1:$1048576,IF(OR($B377="STD. DEVIATION",$C$1=1),$A377,$A377+1),COLUMN('1-DATA'!B375)),IF($B377="STD. DEVIATION",2,$F$1))))</f>
        <v/>
      </c>
      <c r="D377" s="1" t="str">
        <f>IF(OR($B377="",D$7=""),"",IF($B377="MEANS",INDEX('1-DATA'!$1:$1048576,$A376-1,COLUMN('1-DATA'!C375)),ROUND(INDEX('1-DATA'!$1:$1048576,IF(OR($B377="STD. DEVIATION",$C$1=1),$A377,$A377+1),COLUMN('1-DATA'!C375)),IF($B377="STD. DEVIATION",2,$F$1))))</f>
        <v/>
      </c>
      <c r="E377" s="1" t="str">
        <f>IF(OR($B377="",E$7=""),"",IF($B377="MEANS",INDEX('1-DATA'!$1:$1048576,$A376-1,COLUMN('1-DATA'!D375)),ROUND(INDEX('1-DATA'!$1:$1048576,IF(OR($B377="STD. DEVIATION",$C$1=1),$A377,$A377+1),COLUMN('1-DATA'!D375)),IF($B377="STD. DEVIATION",2,$F$1))))</f>
        <v/>
      </c>
      <c r="F377" s="1" t="str">
        <f>IF(OR($B377="",F$7=""),"",IF($B377="MEANS",INDEX('1-DATA'!$1:$1048576,$A376-1,COLUMN('1-DATA'!E375)),ROUND(INDEX('1-DATA'!$1:$1048576,IF(OR($B377="STD. DEVIATION",$C$1=1),$A377,$A377+1),COLUMN('1-DATA'!E375)),IF($B377="STD. DEVIATION",2,$F$1))))</f>
        <v/>
      </c>
      <c r="G377" s="1" t="str">
        <f>IF(OR($B377="",G$7=""),"",IF($B377="MEANS",INDEX('1-DATA'!$1:$1048576,$A376-1,COLUMN('1-DATA'!F375)),ROUND(INDEX('1-DATA'!$1:$1048576,IF(OR($B377="STD. DEVIATION",$C$1=1),$A377,$A377+1),COLUMN('1-DATA'!F375)),IF($B377="STD. DEVIATION",2,$F$1))))</f>
        <v/>
      </c>
      <c r="H377" s="1" t="str">
        <f>IF(OR($B377="",H$7=""),"",IF($B377="MEANS",INDEX('1-DATA'!$1:$1048576,$A376-1,COLUMN('1-DATA'!G375)),ROUND(INDEX('1-DATA'!$1:$1048576,IF(OR($B377="STD. DEVIATION",$C$1=1),$A377,$A377+1),COLUMN('1-DATA'!G375)),IF($B377="STD. DEVIATION",2,$F$1))))</f>
        <v/>
      </c>
      <c r="I377" s="1" t="str">
        <f>IF(OR($B377="",I$7=""),"",IF($B377="MEANS",INDEX('1-DATA'!$1:$1048576,$A376-1,COLUMN('1-DATA'!H375)),ROUND(INDEX('1-DATA'!$1:$1048576,IF(OR($B377="STD. DEVIATION",$C$1=1),$A377,$A377+1),COLUMN('1-DATA'!H375)),IF($B377="STD. DEVIATION",2,$F$1))))</f>
        <v/>
      </c>
      <c r="J377" s="1" t="str">
        <f>IF(OR($B377="",J$7=""),"",IF($B377="MEANS",INDEX('1-DATA'!$1:$1048576,$A376-1,COLUMN('1-DATA'!I375)),ROUND(INDEX('1-DATA'!$1:$1048576,IF(OR($B377="STD. DEVIATION",$C$1=1),$A377,$A377+1),COLUMN('1-DATA'!I375)),IF($B377="STD. DEVIATION",2,$F$1))))</f>
        <v/>
      </c>
      <c r="K377" s="1" t="str">
        <f>IF(OR($B377="",K$7=""),"",IF($B377="MEANS",INDEX('1-DATA'!$1:$1048576,$A376-1,COLUMN('1-DATA'!J375)),ROUND(INDEX('1-DATA'!$1:$1048576,IF(OR($B377="STD. DEVIATION",$C$1=1),$A377,$A377+1),COLUMN('1-DATA'!J375)),IF($B377="STD. DEVIATION",2,$F$1))))</f>
        <v/>
      </c>
      <c r="L377" s="1" t="str">
        <f>IF(OR($B377="",L$7=""),"",IF($B377="MEANS",INDEX('1-DATA'!$1:$1048576,$A376-1,COLUMN('1-DATA'!K375)),ROUND(INDEX('1-DATA'!$1:$1048576,IF(OR($B377="STD. DEVIATION",$C$1=1),$A377,$A377+1),COLUMN('1-DATA'!K375)),IF($B377="STD. DEVIATION",2,$F$1))))</f>
        <v/>
      </c>
      <c r="M377" s="1" t="str">
        <f>IF(OR($B377="",M$7=""),"",IF($B377="MEANS",INDEX('1-DATA'!$1:$1048576,$A376-1,COLUMN('1-DATA'!L375)),ROUND(INDEX('1-DATA'!$1:$1048576,IF(OR($B377="STD. DEVIATION",$C$1=1),$A377,$A377+1),COLUMN('1-DATA'!L375)),IF($B377="STD. DEVIATION",2,$F$1))))</f>
        <v/>
      </c>
      <c r="N377" s="1" t="str">
        <f>IF(OR($B377="",N$7=""),"",IF($B377="MEANS",INDEX('1-DATA'!$1:$1048576,$A376-1,COLUMN('1-DATA'!M375)),ROUND(INDEX('1-DATA'!$1:$1048576,IF(OR($B377="STD. DEVIATION",$C$1=1),$A377,$A377+1),COLUMN('1-DATA'!M375)),IF($B377="STD. DEVIATION",2,$F$1))))</f>
        <v/>
      </c>
      <c r="O377" s="1" t="str">
        <f>IF(OR($B377="",O$7=""),"",IF($B377="MEANS",INDEX('1-DATA'!$1:$1048576,$A376-1,COLUMN('1-DATA'!N375)),ROUND(INDEX('1-DATA'!$1:$1048576,IF(OR($B377="STD. DEVIATION",$C$1=1),$A377,$A377+1),COLUMN('1-DATA'!N375)),IF($B377="STD. DEVIATION",2,$F$1))))</f>
        <v/>
      </c>
      <c r="P377" s="1" t="str">
        <f>IF(OR($B377="",P$7=""),"",IF($B377="MEANS",INDEX('1-DATA'!$1:$1048576,$A376-1,COLUMN('1-DATA'!O375)),ROUND(INDEX('1-DATA'!$1:$1048576,IF(OR($B377="STD. DEVIATION",$C$1=1),$A377,$A377+1),COLUMN('1-DATA'!O375)),IF($B377="STD. DEVIATION",2,$F$1))))</f>
        <v/>
      </c>
      <c r="Q377" s="1" t="str">
        <f>IF(OR($B377="",Q$7=""),"",IF($B377="MEANS",INDEX('1-DATA'!$1:$1048576,$A376-1,COLUMN('1-DATA'!P375)),ROUND(INDEX('1-DATA'!$1:$1048576,IF(OR($B377="STD. DEVIATION",$C$1=1),$A377,$A377+1),COLUMN('1-DATA'!P375)),IF($B377="STD. DEVIATION",2,$F$1))))</f>
        <v/>
      </c>
      <c r="R377" s="1" t="str">
        <f>IF(OR($B377="",R$7=""),"",IF($B377="MEANS",INDEX('1-DATA'!$1:$1048576,$A376-1,COLUMN('1-DATA'!Q375)),ROUND(INDEX('1-DATA'!$1:$1048576,IF(OR($B377="STD. DEVIATION",$C$1=1),$A377,$A377+1),COLUMN('1-DATA'!Q375)),IF($B377="STD. DEVIATION",2,$F$1))))</f>
        <v/>
      </c>
      <c r="S377" s="1" t="str">
        <f>IF(OR($B377="",S$7=""),"",IF($B377="MEANS",INDEX('1-DATA'!$1:$1048576,$A376-1,COLUMN('1-DATA'!R375)),ROUND(INDEX('1-DATA'!$1:$1048576,IF(OR($B377="STD. DEVIATION",$C$1=1),$A377,$A377+1),COLUMN('1-DATA'!R375)),IF($B377="STD. DEVIATION",2,$F$1))))</f>
        <v/>
      </c>
      <c r="T377" s="1" t="str">
        <f>IF(OR($B377="",T$7=""),"",IF($B377="MEANS",INDEX('1-DATA'!$1:$1048576,$A376-1,COLUMN('1-DATA'!S375)),ROUND(INDEX('1-DATA'!$1:$1048576,IF(OR($B377="STD. DEVIATION",$C$1=1),$A377,$A377+1),COLUMN('1-DATA'!S375)),IF($B377="STD. DEVIATION",2,$F$1))))</f>
        <v/>
      </c>
      <c r="U377" s="1" t="str">
        <f>IF(OR($B377="",U$7=""),"",IF($B377="MEANS",INDEX('1-DATA'!$1:$1048576,$A376-1,COLUMN('1-DATA'!T375)),ROUND(INDEX('1-DATA'!$1:$1048576,IF(OR($B377="STD. DEVIATION",$C$1=1),$A377,$A377+1),COLUMN('1-DATA'!T375)),IF($B377="STD. DEVIATION",2,$F$1))))</f>
        <v/>
      </c>
      <c r="V377" s="1" t="str">
        <f>IF(OR($B377="",V$7=""),"",IF($B377="MEANS",INDEX('1-DATA'!$1:$1048576,$A376-1,COLUMN('1-DATA'!U375)),ROUND(INDEX('1-DATA'!$1:$1048576,IF(OR($B377="STD. DEVIATION",$C$1=1),$A377,$A377+1),COLUMN('1-DATA'!U375)),IF($B377="STD. DEVIATION",2,$F$1))))</f>
        <v/>
      </c>
      <c r="W377" s="1" t="str">
        <f>IF(OR($B377="",W$7=""),"",IF($B377="MEANS",INDEX('1-DATA'!$1:$1048576,$A376-1,COLUMN('1-DATA'!V375)),ROUND(INDEX('1-DATA'!$1:$1048576,IF(OR($B377="STD. DEVIATION",$C$1=1),$A377,$A377+1),COLUMN('1-DATA'!V375)),IF($B377="STD. DEVIATION",2,$F$1))))</f>
        <v/>
      </c>
      <c r="X377" s="1" t="str">
        <f>IF(OR($B377="",X$7=""),"",IF($B377="MEANS",INDEX('1-DATA'!$1:$1048576,$A376-1,COLUMN('1-DATA'!W375)),ROUND(INDEX('1-DATA'!$1:$1048576,IF(OR($B377="STD. DEVIATION",$C$1=1),$A377,$A377+1),COLUMN('1-DATA'!W375)),IF($B377="STD. DEVIATION",2,$F$1))))</f>
        <v/>
      </c>
      <c r="Y377" s="1" t="str">
        <f>IF(OR($B377="",Y$7=""),"",IF($B377="MEANS",INDEX('1-DATA'!$1:$1048576,$A376-1,COLUMN('1-DATA'!X375)),ROUND(INDEX('1-DATA'!$1:$1048576,IF(OR($B377="STD. DEVIATION",$C$1=1),$A377,$A377+1),COLUMN('1-DATA'!X375)),IF($B377="STD. DEVIATION",2,$F$1))))</f>
        <v/>
      </c>
      <c r="Z377" s="1" t="str">
        <f>IF(OR($B377="",Z$7=""),"",IF($B377="MEANS",INDEX('1-DATA'!$1:$1048576,$A376-1,COLUMN('1-DATA'!Y375)),ROUND(INDEX('1-DATA'!$1:$1048576,IF(OR($B377="STD. DEVIATION",$C$1=1),$A377,$A377+1),COLUMN('1-DATA'!Y375)),IF($B377="STD. DEVIATION",2,$F$1))))</f>
        <v/>
      </c>
      <c r="AA377" s="1" t="str">
        <f>IF(OR($B377="",AA$7=""),"",IF($B377="MEANS",INDEX('1-DATA'!$1:$1048576,$A376-1,COLUMN('1-DATA'!Z375)),ROUND(INDEX('1-DATA'!$1:$1048576,IF(OR($B377="STD. DEVIATION",$C$1=1),$A377,$A377+1),COLUMN('1-DATA'!Z375)),IF($B377="STD. DEVIATION",2,$F$1))))</f>
        <v/>
      </c>
      <c r="AB377" s="1" t="str">
        <f>IF(OR($B377="",AB$7=""),"",IF($B377="MEANS",INDEX('1-DATA'!$1:$1048576,$A376-1,COLUMN('1-DATA'!AA375)),ROUND(INDEX('1-DATA'!$1:$1048576,IF(OR($B377="STD. DEVIATION",$C$1=1),$A377,$A377+1),COLUMN('1-DATA'!AA375)),IF($B377="STD. DEVIATION",2,$F$1))))</f>
        <v/>
      </c>
      <c r="AC377" s="1" t="str">
        <f>IF(OR($B377="",AC$7=""),"",IF($B377="MEANS",INDEX('1-DATA'!$1:$1048576,$A376-1,COLUMN('1-DATA'!AB375)),ROUND(INDEX('1-DATA'!$1:$1048576,IF(OR($B377="STD. DEVIATION",$C$1=1),$A377,$A377+1),COLUMN('1-DATA'!AB375)),IF($B377="STD. DEVIATION",2,$F$1))))</f>
        <v/>
      </c>
      <c r="AD377" s="1" t="str">
        <f>IF(OR($B377="",AD$7=""),"",IF($B377="MEANS",INDEX('1-DATA'!$1:$1048576,$A376-1,COLUMN('1-DATA'!AC375)),ROUND(INDEX('1-DATA'!$1:$1048576,IF(OR($B377="STD. DEVIATION",$C$1=1),$A377,$A377+1),COLUMN('1-DATA'!AC375)),IF($B377="STD. DEVIATION",2,$F$1))))</f>
        <v/>
      </c>
      <c r="AE377" s="1" t="str">
        <f>IF(OR($B377="",AE$7=""),"",IF($B377="MEANS",INDEX('1-DATA'!$1:$1048576,$A376-1,COLUMN('1-DATA'!AD375)),ROUND(INDEX('1-DATA'!$1:$1048576,IF(OR($B377="STD. DEVIATION",$C$1=1),$A377,$A377+1),COLUMN('1-DATA'!AD375)),IF($B377="STD. DEVIATION",2,$F$1))))</f>
        <v/>
      </c>
      <c r="AF377" s="1" t="str">
        <f>IF(OR($B377="",AF$7=""),"",IF($B377="MEANS",INDEX('1-DATA'!$1:$1048576,$A376-1,COLUMN('1-DATA'!AE375)),ROUND(INDEX('1-DATA'!$1:$1048576,IF(OR($B377="STD. DEVIATION",$C$1=1),$A377,$A377+1),COLUMN('1-DATA'!AE375)),IF($B377="STD. DEVIATION",2,$F$1))))</f>
        <v/>
      </c>
      <c r="AG377" s="1" t="str">
        <f>IF(OR($B377="",AG$7=""),"",IF($B377="MEANS",INDEX('1-DATA'!$1:$1048576,$A376-1,COLUMN('1-DATA'!AF375)),ROUND(INDEX('1-DATA'!$1:$1048576,IF(OR($B377="STD. DEVIATION",$C$1=1),$A377,$A377+1),COLUMN('1-DATA'!AF375)),IF($B377="STD. DEVIATION",2,$F$1))))</f>
        <v/>
      </c>
      <c r="AH377" s="1" t="str">
        <f>IF(OR($B377="",AH$7=""),"",IF($B377="MEANS",INDEX('1-DATA'!$1:$1048576,$A376-1,COLUMN('1-DATA'!AG375)),ROUND(INDEX('1-DATA'!$1:$1048576,IF(OR($B377="STD. DEVIATION",$C$1=1),$A377,$A377+1),COLUMN('1-DATA'!AG375)),IF($B377="STD. DEVIATION",2,$F$1))))</f>
        <v/>
      </c>
      <c r="AI377" s="1" t="str">
        <f>IF(OR($B377="",AI$7=""),"",IF($B377="MEANS",INDEX('1-DATA'!$1:$1048576,$A376-1,COLUMN('1-DATA'!AH375)),ROUND(INDEX('1-DATA'!$1:$1048576,IF(OR($B377="STD. DEVIATION",$C$1=1),$A377,$A377+1),COLUMN('1-DATA'!AH375)),IF($B377="STD. DEVIATION",2,$F$1))))</f>
        <v/>
      </c>
      <c r="AJ377" s="1" t="str">
        <f>IF(OR($B377="",AJ$7=""),"",IF($B377="MEANS",INDEX('1-DATA'!$1:$1048576,$A376-1,COLUMN('1-DATA'!AI375)),ROUND(INDEX('1-DATA'!$1:$1048576,IF(OR($B377="STD. DEVIATION",$C$1=1),$A377,$A377+1),COLUMN('1-DATA'!AI375)),IF($B377="STD. DEVIATION",2,$F$1))))</f>
        <v/>
      </c>
      <c r="AK377" s="1" t="str">
        <f>IF(OR($B377="",AK$7=""),"",IF($B377="MEANS",INDEX('1-DATA'!$1:$1048576,$A376-1,COLUMN('1-DATA'!AJ375)),ROUND(INDEX('1-DATA'!$1:$1048576,IF(OR($B377="STD. DEVIATION",$C$1=1),$A377,$A377+1),COLUMN('1-DATA'!AJ375)),IF($B377="STD. DEVIATION",2,$F$1))))</f>
        <v/>
      </c>
      <c r="AL377" s="1" t="str">
        <f>IF(OR($B377="",AL$7=""),"",IF($B377="MEANS",INDEX('1-DATA'!$1:$1048576,$A376-1,COLUMN('1-DATA'!AK375)),ROUND(INDEX('1-DATA'!$1:$1048576,IF(OR($B377="STD. DEVIATION",$C$1=1),$A377,$A377+1),COLUMN('1-DATA'!AK375)),IF($B377="STD. DEVIATION",2,$F$1))))</f>
        <v/>
      </c>
      <c r="AM377" s="1" t="str">
        <f>IF(OR($B377="",AM$7=""),"",IF($B377="MEANS",INDEX('1-DATA'!$1:$1048576,$A376-1,COLUMN('1-DATA'!AL375)),ROUND(INDEX('1-DATA'!$1:$1048576,IF(OR($B377="STD. DEVIATION",$C$1=1),$A377,$A377+1),COLUMN('1-DATA'!AL375)),IF($B377="STD. DEVIATION",2,$F$1))))</f>
        <v/>
      </c>
      <c r="AN377" s="1" t="str">
        <f>IF(OR($B377="",AN$7=""),"",IF($B377="MEANS",INDEX('1-DATA'!$1:$1048576,$A376-1,COLUMN('1-DATA'!AM375)),ROUND(INDEX('1-DATA'!$1:$1048576,IF(OR($B377="STD. DEVIATION",$C$1=1),$A377,$A377+1),COLUMN('1-DATA'!AM375)),IF($B377="STD. DEVIATION",2,$F$1))))</f>
        <v/>
      </c>
      <c r="AO377" s="1" t="str">
        <f>IF(OR($B377="",AO$7=""),"",IF($B377="MEANS",INDEX('1-DATA'!$1:$1048576,$A376-1,COLUMN('1-DATA'!AN375)),ROUND(INDEX('1-DATA'!$1:$1048576,IF(OR($B377="STD. DEVIATION",$C$1=1),$A377,$A377+1),COLUMN('1-DATA'!AN375)),IF($B377="STD. DEVIATION",2,$F$1))))</f>
        <v/>
      </c>
      <c r="AP377" s="1" t="str">
        <f>IF(OR($B377="",AP$7=""),"",IF($B377="MEANS",INDEX('1-DATA'!$1:$1048576,$A376-1,COLUMN('1-DATA'!AO375)),ROUND(INDEX('1-DATA'!$1:$1048576,IF(OR($B377="STD. DEVIATION",$C$1=1),$A377,$A377+1),COLUMN('1-DATA'!AO375)),IF($B377="STD. DEVIATION",2,$F$1))))</f>
        <v/>
      </c>
      <c r="AQ377" s="1" t="str">
        <f>IF(OR($B377="",AQ$7=""),"",IF($B377="MEANS",INDEX('1-DATA'!$1:$1048576,$A376-1,COLUMN('1-DATA'!AP375)),ROUND(INDEX('1-DATA'!$1:$1048576,IF(OR($B377="STD. DEVIATION",$C$1=1),$A377,$A377+1),COLUMN('1-DATA'!AP375)),IF($B377="STD. DEVIATION",2,$F$1))))</f>
        <v/>
      </c>
      <c r="AR377" s="1" t="str">
        <f>IF(OR($B377="",AR$7=""),"",IF($B377="MEANS",INDEX('1-DATA'!$1:$1048576,$A376-1,COLUMN('1-DATA'!AQ375)),ROUND(INDEX('1-DATA'!$1:$1048576,IF(OR($B377="STD. DEVIATION",$C$1=1),$A377,$A377+1),COLUMN('1-DATA'!AQ375)),IF($B377="STD. DEVIATION",2,$F$1))))</f>
        <v/>
      </c>
      <c r="AS377" s="1" t="str">
        <f>IF(OR($B377="",AS$7=""),"",IF($B377="MEANS",INDEX('1-DATA'!$1:$1048576,$A376-1,COLUMN('1-DATA'!AR375)),ROUND(INDEX('1-DATA'!$1:$1048576,IF(OR($B377="STD. DEVIATION",$C$1=1),$A377,$A377+1),COLUMN('1-DATA'!AR375)),IF($B377="STD. DEVIATION",2,$F$1))))</f>
        <v/>
      </c>
      <c r="AT377" s="1" t="str">
        <f>IF(OR($B377="",AT$7=""),"",IF($B377="MEANS",INDEX('1-DATA'!$1:$1048576,$A376-1,COLUMN('1-DATA'!AS375)),ROUND(INDEX('1-DATA'!$1:$1048576,IF(OR($B377="STD. DEVIATION",$C$1=1),$A377,$A377+1),COLUMN('1-DATA'!AS375)),IF($B377="STD. DEVIATION",2,$F$1))))</f>
        <v/>
      </c>
      <c r="AU377" s="1" t="str">
        <f>IF(OR($B377="",AU$7=""),"",IF($B377="MEANS",INDEX('1-DATA'!$1:$1048576,$A376-1,COLUMN('1-DATA'!AT375)),ROUND(INDEX('1-DATA'!$1:$1048576,IF(OR($B377="STD. DEVIATION",$C$1=1),$A377,$A377+1),COLUMN('1-DATA'!AT375)),IF($B377="STD. DEVIATION",2,$F$1))))</f>
        <v/>
      </c>
      <c r="AV377" s="1" t="str">
        <f>IF(OR($B377="",AV$7=""),"",IF($B377="MEANS",INDEX('1-DATA'!$1:$1048576,$A376-1,COLUMN('1-DATA'!AU375)),ROUND(INDEX('1-DATA'!$1:$1048576,IF(OR($B377="STD. DEVIATION",$C$1=1),$A377,$A377+1),COLUMN('1-DATA'!AU375)),IF($B377="STD. DEVIATION",2,$F$1))))</f>
        <v/>
      </c>
      <c r="AW377" s="1" t="str">
        <f>IF(OR($B377="",AW$7=""),"",IF($B377="MEANS",INDEX('1-DATA'!$1:$1048576,$A376-1,COLUMN('1-DATA'!AV375)),ROUND(INDEX('1-DATA'!$1:$1048576,IF(OR($B377="STD. DEVIATION",$C$1=1),$A377,$A377+1),COLUMN('1-DATA'!AV375)),IF($B377="STD. DEVIATION",2,$F$1))))</f>
        <v/>
      </c>
      <c r="AX377" s="1" t="str">
        <f>IF(OR($B377="",AX$7=""),"",IF($B377="MEANS",INDEX('1-DATA'!$1:$1048576,$A376-1,COLUMN('1-DATA'!AW375)),ROUND(INDEX('1-DATA'!$1:$1048576,IF(OR($B377="STD. DEVIATION",$C$1=1),$A377,$A377+1),COLUMN('1-DATA'!AW375)),IF($B377="STD. DEVIATION",2,$F$1))))</f>
        <v/>
      </c>
      <c r="AY377" s="1" t="str">
        <f>IF(OR($B377="",AY$7=""),"",IF($B377="MEANS",INDEX('1-DATA'!$1:$1048576,$A376-1,COLUMN('1-DATA'!AX375)),ROUND(INDEX('1-DATA'!$1:$1048576,IF(OR($B377="STD. DEVIATION",$C$1=1),$A377,$A377+1),COLUMN('1-DATA'!AX375)),IF($B377="STD. DEVIATION",2,$F$1))))</f>
        <v/>
      </c>
      <c r="AZ377" s="1" t="str">
        <f>IF(OR($B377="",AZ$7=""),"",IF($B377="MEANS",INDEX('1-DATA'!$1:$1048576,$A376-1,COLUMN('1-DATA'!AY375)),ROUND(INDEX('1-DATA'!$1:$1048576,IF(OR($B377="STD. DEVIATION",$C$1=1),$A377,$A377+1),COLUMN('1-DATA'!AY375)),IF($B377="STD. DEVIATION",2,$F$1))))</f>
        <v/>
      </c>
    </row>
    <row r="378" spans="1:52" x14ac:dyDescent="0.25">
      <c r="A378" s="11">
        <f t="shared" si="6"/>
        <v>1120</v>
      </c>
      <c r="B378" s="1" t="str">
        <f>IF(B377="STD. DEVIATION",INDEX('1-DATA'!$1:$1048576,$A377-1,1),IF(INDEX('1-DATA'!$1:$1048576,$A378,1)&lt;&gt;"",INDEX('1-DATA'!$1:$1048576,$A378,1),""))</f>
        <v/>
      </c>
      <c r="C378" s="1" t="str">
        <f>IF(OR($B378="",C$7=""),"",IF($B378="MEANS",INDEX('1-DATA'!$1:$1048576,$A377-1,COLUMN('1-DATA'!B376)),ROUND(INDEX('1-DATA'!$1:$1048576,IF(OR($B378="STD. DEVIATION",$C$1=1),$A378,$A378+1),COLUMN('1-DATA'!B376)),IF($B378="STD. DEVIATION",2,$F$1))))</f>
        <v/>
      </c>
      <c r="D378" s="1" t="str">
        <f>IF(OR($B378="",D$7=""),"",IF($B378="MEANS",INDEX('1-DATA'!$1:$1048576,$A377-1,COLUMN('1-DATA'!C376)),ROUND(INDEX('1-DATA'!$1:$1048576,IF(OR($B378="STD. DEVIATION",$C$1=1),$A378,$A378+1),COLUMN('1-DATA'!C376)),IF($B378="STD. DEVIATION",2,$F$1))))</f>
        <v/>
      </c>
      <c r="E378" s="1" t="str">
        <f>IF(OR($B378="",E$7=""),"",IF($B378="MEANS",INDEX('1-DATA'!$1:$1048576,$A377-1,COLUMN('1-DATA'!D376)),ROUND(INDEX('1-DATA'!$1:$1048576,IF(OR($B378="STD. DEVIATION",$C$1=1),$A378,$A378+1),COLUMN('1-DATA'!D376)),IF($B378="STD. DEVIATION",2,$F$1))))</f>
        <v/>
      </c>
      <c r="F378" s="1" t="str">
        <f>IF(OR($B378="",F$7=""),"",IF($B378="MEANS",INDEX('1-DATA'!$1:$1048576,$A377-1,COLUMN('1-DATA'!E376)),ROUND(INDEX('1-DATA'!$1:$1048576,IF(OR($B378="STD. DEVIATION",$C$1=1),$A378,$A378+1),COLUMN('1-DATA'!E376)),IF($B378="STD. DEVIATION",2,$F$1))))</f>
        <v/>
      </c>
      <c r="G378" s="1" t="str">
        <f>IF(OR($B378="",G$7=""),"",IF($B378="MEANS",INDEX('1-DATA'!$1:$1048576,$A377-1,COLUMN('1-DATA'!F376)),ROUND(INDEX('1-DATA'!$1:$1048576,IF(OR($B378="STD. DEVIATION",$C$1=1),$A378,$A378+1),COLUMN('1-DATA'!F376)),IF($B378="STD. DEVIATION",2,$F$1))))</f>
        <v/>
      </c>
      <c r="H378" s="1" t="str">
        <f>IF(OR($B378="",H$7=""),"",IF($B378="MEANS",INDEX('1-DATA'!$1:$1048576,$A377-1,COLUMN('1-DATA'!G376)),ROUND(INDEX('1-DATA'!$1:$1048576,IF(OR($B378="STD. DEVIATION",$C$1=1),$A378,$A378+1),COLUMN('1-DATA'!G376)),IF($B378="STD. DEVIATION",2,$F$1))))</f>
        <v/>
      </c>
      <c r="I378" s="1" t="str">
        <f>IF(OR($B378="",I$7=""),"",IF($B378="MEANS",INDEX('1-DATA'!$1:$1048576,$A377-1,COLUMN('1-DATA'!H376)),ROUND(INDEX('1-DATA'!$1:$1048576,IF(OR($B378="STD. DEVIATION",$C$1=1),$A378,$A378+1),COLUMN('1-DATA'!H376)),IF($B378="STD. DEVIATION",2,$F$1))))</f>
        <v/>
      </c>
      <c r="J378" s="1" t="str">
        <f>IF(OR($B378="",J$7=""),"",IF($B378="MEANS",INDEX('1-DATA'!$1:$1048576,$A377-1,COLUMN('1-DATA'!I376)),ROUND(INDEX('1-DATA'!$1:$1048576,IF(OR($B378="STD. DEVIATION",$C$1=1),$A378,$A378+1),COLUMN('1-DATA'!I376)),IF($B378="STD. DEVIATION",2,$F$1))))</f>
        <v/>
      </c>
      <c r="K378" s="1" t="str">
        <f>IF(OR($B378="",K$7=""),"",IF($B378="MEANS",INDEX('1-DATA'!$1:$1048576,$A377-1,COLUMN('1-DATA'!J376)),ROUND(INDEX('1-DATA'!$1:$1048576,IF(OR($B378="STD. DEVIATION",$C$1=1),$A378,$A378+1),COLUMN('1-DATA'!J376)),IF($B378="STD. DEVIATION",2,$F$1))))</f>
        <v/>
      </c>
      <c r="L378" s="1" t="str">
        <f>IF(OR($B378="",L$7=""),"",IF($B378="MEANS",INDEX('1-DATA'!$1:$1048576,$A377-1,COLUMN('1-DATA'!K376)),ROUND(INDEX('1-DATA'!$1:$1048576,IF(OR($B378="STD. DEVIATION",$C$1=1),$A378,$A378+1),COLUMN('1-DATA'!K376)),IF($B378="STD. DEVIATION",2,$F$1))))</f>
        <v/>
      </c>
      <c r="M378" s="1" t="str">
        <f>IF(OR($B378="",M$7=""),"",IF($B378="MEANS",INDEX('1-DATA'!$1:$1048576,$A377-1,COLUMN('1-DATA'!L376)),ROUND(INDEX('1-DATA'!$1:$1048576,IF(OR($B378="STD. DEVIATION",$C$1=1),$A378,$A378+1),COLUMN('1-DATA'!L376)),IF($B378="STD. DEVIATION",2,$F$1))))</f>
        <v/>
      </c>
      <c r="N378" s="1" t="str">
        <f>IF(OR($B378="",N$7=""),"",IF($B378="MEANS",INDEX('1-DATA'!$1:$1048576,$A377-1,COLUMN('1-DATA'!M376)),ROUND(INDEX('1-DATA'!$1:$1048576,IF(OR($B378="STD. DEVIATION",$C$1=1),$A378,$A378+1),COLUMN('1-DATA'!M376)),IF($B378="STD. DEVIATION",2,$F$1))))</f>
        <v/>
      </c>
      <c r="O378" s="1" t="str">
        <f>IF(OR($B378="",O$7=""),"",IF($B378="MEANS",INDEX('1-DATA'!$1:$1048576,$A377-1,COLUMN('1-DATA'!N376)),ROUND(INDEX('1-DATA'!$1:$1048576,IF(OR($B378="STD. DEVIATION",$C$1=1),$A378,$A378+1),COLUMN('1-DATA'!N376)),IF($B378="STD. DEVIATION",2,$F$1))))</f>
        <v/>
      </c>
      <c r="P378" s="1" t="str">
        <f>IF(OR($B378="",P$7=""),"",IF($B378="MEANS",INDEX('1-DATA'!$1:$1048576,$A377-1,COLUMN('1-DATA'!O376)),ROUND(INDEX('1-DATA'!$1:$1048576,IF(OR($B378="STD. DEVIATION",$C$1=1),$A378,$A378+1),COLUMN('1-DATA'!O376)),IF($B378="STD. DEVIATION",2,$F$1))))</f>
        <v/>
      </c>
      <c r="Q378" s="1" t="str">
        <f>IF(OR($B378="",Q$7=""),"",IF($B378="MEANS",INDEX('1-DATA'!$1:$1048576,$A377-1,COLUMN('1-DATA'!P376)),ROUND(INDEX('1-DATA'!$1:$1048576,IF(OR($B378="STD. DEVIATION",$C$1=1),$A378,$A378+1),COLUMN('1-DATA'!P376)),IF($B378="STD. DEVIATION",2,$F$1))))</f>
        <v/>
      </c>
      <c r="R378" s="1" t="str">
        <f>IF(OR($B378="",R$7=""),"",IF($B378="MEANS",INDEX('1-DATA'!$1:$1048576,$A377-1,COLUMN('1-DATA'!Q376)),ROUND(INDEX('1-DATA'!$1:$1048576,IF(OR($B378="STD. DEVIATION",$C$1=1),$A378,$A378+1),COLUMN('1-DATA'!Q376)),IF($B378="STD. DEVIATION",2,$F$1))))</f>
        <v/>
      </c>
      <c r="S378" s="1" t="str">
        <f>IF(OR($B378="",S$7=""),"",IF($B378="MEANS",INDEX('1-DATA'!$1:$1048576,$A377-1,COLUMN('1-DATA'!R376)),ROUND(INDEX('1-DATA'!$1:$1048576,IF(OR($B378="STD. DEVIATION",$C$1=1),$A378,$A378+1),COLUMN('1-DATA'!R376)),IF($B378="STD. DEVIATION",2,$F$1))))</f>
        <v/>
      </c>
      <c r="T378" s="1" t="str">
        <f>IF(OR($B378="",T$7=""),"",IF($B378="MEANS",INDEX('1-DATA'!$1:$1048576,$A377-1,COLUMN('1-DATA'!S376)),ROUND(INDEX('1-DATA'!$1:$1048576,IF(OR($B378="STD. DEVIATION",$C$1=1),$A378,$A378+1),COLUMN('1-DATA'!S376)),IF($B378="STD. DEVIATION",2,$F$1))))</f>
        <v/>
      </c>
      <c r="U378" s="1" t="str">
        <f>IF(OR($B378="",U$7=""),"",IF($B378="MEANS",INDEX('1-DATA'!$1:$1048576,$A377-1,COLUMN('1-DATA'!T376)),ROUND(INDEX('1-DATA'!$1:$1048576,IF(OR($B378="STD. DEVIATION",$C$1=1),$A378,$A378+1),COLUMN('1-DATA'!T376)),IF($B378="STD. DEVIATION",2,$F$1))))</f>
        <v/>
      </c>
      <c r="V378" s="1" t="str">
        <f>IF(OR($B378="",V$7=""),"",IF($B378="MEANS",INDEX('1-DATA'!$1:$1048576,$A377-1,COLUMN('1-DATA'!U376)),ROUND(INDEX('1-DATA'!$1:$1048576,IF(OR($B378="STD. DEVIATION",$C$1=1),$A378,$A378+1),COLUMN('1-DATA'!U376)),IF($B378="STD. DEVIATION",2,$F$1))))</f>
        <v/>
      </c>
      <c r="W378" s="1" t="str">
        <f>IF(OR($B378="",W$7=""),"",IF($B378="MEANS",INDEX('1-DATA'!$1:$1048576,$A377-1,COLUMN('1-DATA'!V376)),ROUND(INDEX('1-DATA'!$1:$1048576,IF(OR($B378="STD. DEVIATION",$C$1=1),$A378,$A378+1),COLUMN('1-DATA'!V376)),IF($B378="STD. DEVIATION",2,$F$1))))</f>
        <v/>
      </c>
      <c r="X378" s="1" t="str">
        <f>IF(OR($B378="",X$7=""),"",IF($B378="MEANS",INDEX('1-DATA'!$1:$1048576,$A377-1,COLUMN('1-DATA'!W376)),ROUND(INDEX('1-DATA'!$1:$1048576,IF(OR($B378="STD. DEVIATION",$C$1=1),$A378,$A378+1),COLUMN('1-DATA'!W376)),IF($B378="STD. DEVIATION",2,$F$1))))</f>
        <v/>
      </c>
      <c r="Y378" s="1" t="str">
        <f>IF(OR($B378="",Y$7=""),"",IF($B378="MEANS",INDEX('1-DATA'!$1:$1048576,$A377-1,COLUMN('1-DATA'!X376)),ROUND(INDEX('1-DATA'!$1:$1048576,IF(OR($B378="STD. DEVIATION",$C$1=1),$A378,$A378+1),COLUMN('1-DATA'!X376)),IF($B378="STD. DEVIATION",2,$F$1))))</f>
        <v/>
      </c>
      <c r="Z378" s="1" t="str">
        <f>IF(OR($B378="",Z$7=""),"",IF($B378="MEANS",INDEX('1-DATA'!$1:$1048576,$A377-1,COLUMN('1-DATA'!Y376)),ROUND(INDEX('1-DATA'!$1:$1048576,IF(OR($B378="STD. DEVIATION",$C$1=1),$A378,$A378+1),COLUMN('1-DATA'!Y376)),IF($B378="STD. DEVIATION",2,$F$1))))</f>
        <v/>
      </c>
      <c r="AA378" s="1" t="str">
        <f>IF(OR($B378="",AA$7=""),"",IF($B378="MEANS",INDEX('1-DATA'!$1:$1048576,$A377-1,COLUMN('1-DATA'!Z376)),ROUND(INDEX('1-DATA'!$1:$1048576,IF(OR($B378="STD. DEVIATION",$C$1=1),$A378,$A378+1),COLUMN('1-DATA'!Z376)),IF($B378="STD. DEVIATION",2,$F$1))))</f>
        <v/>
      </c>
      <c r="AB378" s="1" t="str">
        <f>IF(OR($B378="",AB$7=""),"",IF($B378="MEANS",INDEX('1-DATA'!$1:$1048576,$A377-1,COLUMN('1-DATA'!AA376)),ROUND(INDEX('1-DATA'!$1:$1048576,IF(OR($B378="STD. DEVIATION",$C$1=1),$A378,$A378+1),COLUMN('1-DATA'!AA376)),IF($B378="STD. DEVIATION",2,$F$1))))</f>
        <v/>
      </c>
      <c r="AC378" s="1" t="str">
        <f>IF(OR($B378="",AC$7=""),"",IF($B378="MEANS",INDEX('1-DATA'!$1:$1048576,$A377-1,COLUMN('1-DATA'!AB376)),ROUND(INDEX('1-DATA'!$1:$1048576,IF(OR($B378="STD. DEVIATION",$C$1=1),$A378,$A378+1),COLUMN('1-DATA'!AB376)),IF($B378="STD. DEVIATION",2,$F$1))))</f>
        <v/>
      </c>
      <c r="AD378" s="1" t="str">
        <f>IF(OR($B378="",AD$7=""),"",IF($B378="MEANS",INDEX('1-DATA'!$1:$1048576,$A377-1,COLUMN('1-DATA'!AC376)),ROUND(INDEX('1-DATA'!$1:$1048576,IF(OR($B378="STD. DEVIATION",$C$1=1),$A378,$A378+1),COLUMN('1-DATA'!AC376)),IF($B378="STD. DEVIATION",2,$F$1))))</f>
        <v/>
      </c>
      <c r="AE378" s="1" t="str">
        <f>IF(OR($B378="",AE$7=""),"",IF($B378="MEANS",INDEX('1-DATA'!$1:$1048576,$A377-1,COLUMN('1-DATA'!AD376)),ROUND(INDEX('1-DATA'!$1:$1048576,IF(OR($B378="STD. DEVIATION",$C$1=1),$A378,$A378+1),COLUMN('1-DATA'!AD376)),IF($B378="STD. DEVIATION",2,$F$1))))</f>
        <v/>
      </c>
      <c r="AF378" s="1" t="str">
        <f>IF(OR($B378="",AF$7=""),"",IF($B378="MEANS",INDEX('1-DATA'!$1:$1048576,$A377-1,COLUMN('1-DATA'!AE376)),ROUND(INDEX('1-DATA'!$1:$1048576,IF(OR($B378="STD. DEVIATION",$C$1=1),$A378,$A378+1),COLUMN('1-DATA'!AE376)),IF($B378="STD. DEVIATION",2,$F$1))))</f>
        <v/>
      </c>
      <c r="AG378" s="1" t="str">
        <f>IF(OR($B378="",AG$7=""),"",IF($B378="MEANS",INDEX('1-DATA'!$1:$1048576,$A377-1,COLUMN('1-DATA'!AF376)),ROUND(INDEX('1-DATA'!$1:$1048576,IF(OR($B378="STD. DEVIATION",$C$1=1),$A378,$A378+1),COLUMN('1-DATA'!AF376)),IF($B378="STD. DEVIATION",2,$F$1))))</f>
        <v/>
      </c>
      <c r="AH378" s="1" t="str">
        <f>IF(OR($B378="",AH$7=""),"",IF($B378="MEANS",INDEX('1-DATA'!$1:$1048576,$A377-1,COLUMN('1-DATA'!AG376)),ROUND(INDEX('1-DATA'!$1:$1048576,IF(OR($B378="STD. DEVIATION",$C$1=1),$A378,$A378+1),COLUMN('1-DATA'!AG376)),IF($B378="STD. DEVIATION",2,$F$1))))</f>
        <v/>
      </c>
      <c r="AI378" s="1" t="str">
        <f>IF(OR($B378="",AI$7=""),"",IF($B378="MEANS",INDEX('1-DATA'!$1:$1048576,$A377-1,COLUMN('1-DATA'!AH376)),ROUND(INDEX('1-DATA'!$1:$1048576,IF(OR($B378="STD. DEVIATION",$C$1=1),$A378,$A378+1),COLUMN('1-DATA'!AH376)),IF($B378="STD. DEVIATION",2,$F$1))))</f>
        <v/>
      </c>
      <c r="AJ378" s="1" t="str">
        <f>IF(OR($B378="",AJ$7=""),"",IF($B378="MEANS",INDEX('1-DATA'!$1:$1048576,$A377-1,COLUMN('1-DATA'!AI376)),ROUND(INDEX('1-DATA'!$1:$1048576,IF(OR($B378="STD. DEVIATION",$C$1=1),$A378,$A378+1),COLUMN('1-DATA'!AI376)),IF($B378="STD. DEVIATION",2,$F$1))))</f>
        <v/>
      </c>
      <c r="AK378" s="1" t="str">
        <f>IF(OR($B378="",AK$7=""),"",IF($B378="MEANS",INDEX('1-DATA'!$1:$1048576,$A377-1,COLUMN('1-DATA'!AJ376)),ROUND(INDEX('1-DATA'!$1:$1048576,IF(OR($B378="STD. DEVIATION",$C$1=1),$A378,$A378+1),COLUMN('1-DATA'!AJ376)),IF($B378="STD. DEVIATION",2,$F$1))))</f>
        <v/>
      </c>
      <c r="AL378" s="1" t="str">
        <f>IF(OR($B378="",AL$7=""),"",IF($B378="MEANS",INDEX('1-DATA'!$1:$1048576,$A377-1,COLUMN('1-DATA'!AK376)),ROUND(INDEX('1-DATA'!$1:$1048576,IF(OR($B378="STD. DEVIATION",$C$1=1),$A378,$A378+1),COLUMN('1-DATA'!AK376)),IF($B378="STD. DEVIATION",2,$F$1))))</f>
        <v/>
      </c>
      <c r="AM378" s="1" t="str">
        <f>IF(OR($B378="",AM$7=""),"",IF($B378="MEANS",INDEX('1-DATA'!$1:$1048576,$A377-1,COLUMN('1-DATA'!AL376)),ROUND(INDEX('1-DATA'!$1:$1048576,IF(OR($B378="STD. DEVIATION",$C$1=1),$A378,$A378+1),COLUMN('1-DATA'!AL376)),IF($B378="STD. DEVIATION",2,$F$1))))</f>
        <v/>
      </c>
      <c r="AN378" s="1" t="str">
        <f>IF(OR($B378="",AN$7=""),"",IF($B378="MEANS",INDEX('1-DATA'!$1:$1048576,$A377-1,COLUMN('1-DATA'!AM376)),ROUND(INDEX('1-DATA'!$1:$1048576,IF(OR($B378="STD. DEVIATION",$C$1=1),$A378,$A378+1),COLUMN('1-DATA'!AM376)),IF($B378="STD. DEVIATION",2,$F$1))))</f>
        <v/>
      </c>
      <c r="AO378" s="1" t="str">
        <f>IF(OR($B378="",AO$7=""),"",IF($B378="MEANS",INDEX('1-DATA'!$1:$1048576,$A377-1,COLUMN('1-DATA'!AN376)),ROUND(INDEX('1-DATA'!$1:$1048576,IF(OR($B378="STD. DEVIATION",$C$1=1),$A378,$A378+1),COLUMN('1-DATA'!AN376)),IF($B378="STD. DEVIATION",2,$F$1))))</f>
        <v/>
      </c>
      <c r="AP378" s="1" t="str">
        <f>IF(OR($B378="",AP$7=""),"",IF($B378="MEANS",INDEX('1-DATA'!$1:$1048576,$A377-1,COLUMN('1-DATA'!AO376)),ROUND(INDEX('1-DATA'!$1:$1048576,IF(OR($B378="STD. DEVIATION",$C$1=1),$A378,$A378+1),COLUMN('1-DATA'!AO376)),IF($B378="STD. DEVIATION",2,$F$1))))</f>
        <v/>
      </c>
      <c r="AQ378" s="1" t="str">
        <f>IF(OR($B378="",AQ$7=""),"",IF($B378="MEANS",INDEX('1-DATA'!$1:$1048576,$A377-1,COLUMN('1-DATA'!AP376)),ROUND(INDEX('1-DATA'!$1:$1048576,IF(OR($B378="STD. DEVIATION",$C$1=1),$A378,$A378+1),COLUMN('1-DATA'!AP376)),IF($B378="STD. DEVIATION",2,$F$1))))</f>
        <v/>
      </c>
      <c r="AR378" s="1" t="str">
        <f>IF(OR($B378="",AR$7=""),"",IF($B378="MEANS",INDEX('1-DATA'!$1:$1048576,$A377-1,COLUMN('1-DATA'!AQ376)),ROUND(INDEX('1-DATA'!$1:$1048576,IF(OR($B378="STD. DEVIATION",$C$1=1),$A378,$A378+1),COLUMN('1-DATA'!AQ376)),IF($B378="STD. DEVIATION",2,$F$1))))</f>
        <v/>
      </c>
      <c r="AS378" s="1" t="str">
        <f>IF(OR($B378="",AS$7=""),"",IF($B378="MEANS",INDEX('1-DATA'!$1:$1048576,$A377-1,COLUMN('1-DATA'!AR376)),ROUND(INDEX('1-DATA'!$1:$1048576,IF(OR($B378="STD. DEVIATION",$C$1=1),$A378,$A378+1),COLUMN('1-DATA'!AR376)),IF($B378="STD. DEVIATION",2,$F$1))))</f>
        <v/>
      </c>
      <c r="AT378" s="1" t="str">
        <f>IF(OR($B378="",AT$7=""),"",IF($B378="MEANS",INDEX('1-DATA'!$1:$1048576,$A377-1,COLUMN('1-DATA'!AS376)),ROUND(INDEX('1-DATA'!$1:$1048576,IF(OR($B378="STD. DEVIATION",$C$1=1),$A378,$A378+1),COLUMN('1-DATA'!AS376)),IF($B378="STD. DEVIATION",2,$F$1))))</f>
        <v/>
      </c>
      <c r="AU378" s="1" t="str">
        <f>IF(OR($B378="",AU$7=""),"",IF($B378="MEANS",INDEX('1-DATA'!$1:$1048576,$A377-1,COLUMN('1-DATA'!AT376)),ROUND(INDEX('1-DATA'!$1:$1048576,IF(OR($B378="STD. DEVIATION",$C$1=1),$A378,$A378+1),COLUMN('1-DATA'!AT376)),IF($B378="STD. DEVIATION",2,$F$1))))</f>
        <v/>
      </c>
      <c r="AV378" s="1" t="str">
        <f>IF(OR($B378="",AV$7=""),"",IF($B378="MEANS",INDEX('1-DATA'!$1:$1048576,$A377-1,COLUMN('1-DATA'!AU376)),ROUND(INDEX('1-DATA'!$1:$1048576,IF(OR($B378="STD. DEVIATION",$C$1=1),$A378,$A378+1),COLUMN('1-DATA'!AU376)),IF($B378="STD. DEVIATION",2,$F$1))))</f>
        <v/>
      </c>
      <c r="AW378" s="1" t="str">
        <f>IF(OR($B378="",AW$7=""),"",IF($B378="MEANS",INDEX('1-DATA'!$1:$1048576,$A377-1,COLUMN('1-DATA'!AV376)),ROUND(INDEX('1-DATA'!$1:$1048576,IF(OR($B378="STD. DEVIATION",$C$1=1),$A378,$A378+1),COLUMN('1-DATA'!AV376)),IF($B378="STD. DEVIATION",2,$F$1))))</f>
        <v/>
      </c>
      <c r="AX378" s="1" t="str">
        <f>IF(OR($B378="",AX$7=""),"",IF($B378="MEANS",INDEX('1-DATA'!$1:$1048576,$A377-1,COLUMN('1-DATA'!AW376)),ROUND(INDEX('1-DATA'!$1:$1048576,IF(OR($B378="STD. DEVIATION",$C$1=1),$A378,$A378+1),COLUMN('1-DATA'!AW376)),IF($B378="STD. DEVIATION",2,$F$1))))</f>
        <v/>
      </c>
      <c r="AY378" s="1" t="str">
        <f>IF(OR($B378="",AY$7=""),"",IF($B378="MEANS",INDEX('1-DATA'!$1:$1048576,$A377-1,COLUMN('1-DATA'!AX376)),ROUND(INDEX('1-DATA'!$1:$1048576,IF(OR($B378="STD. DEVIATION",$C$1=1),$A378,$A378+1),COLUMN('1-DATA'!AX376)),IF($B378="STD. DEVIATION",2,$F$1))))</f>
        <v/>
      </c>
      <c r="AZ378" s="1" t="str">
        <f>IF(OR($B378="",AZ$7=""),"",IF($B378="MEANS",INDEX('1-DATA'!$1:$1048576,$A377-1,COLUMN('1-DATA'!AY376)),ROUND(INDEX('1-DATA'!$1:$1048576,IF(OR($B378="STD. DEVIATION",$C$1=1),$A378,$A378+1),COLUMN('1-DATA'!AY376)),IF($B378="STD. DEVIATION",2,$F$1))))</f>
        <v/>
      </c>
    </row>
    <row r="379" spans="1:52" x14ac:dyDescent="0.25">
      <c r="A379" s="11">
        <f t="shared" si="6"/>
        <v>1123</v>
      </c>
      <c r="B379" s="1" t="str">
        <f>IF(B378="STD. DEVIATION",INDEX('1-DATA'!$1:$1048576,$A378-1,1),IF(INDEX('1-DATA'!$1:$1048576,$A379,1)&lt;&gt;"",INDEX('1-DATA'!$1:$1048576,$A379,1),""))</f>
        <v/>
      </c>
      <c r="C379" s="1" t="str">
        <f>IF(OR($B379="",C$7=""),"",IF($B379="MEANS",INDEX('1-DATA'!$1:$1048576,$A378-1,COLUMN('1-DATA'!B377)),ROUND(INDEX('1-DATA'!$1:$1048576,IF(OR($B379="STD. DEVIATION",$C$1=1),$A379,$A379+1),COLUMN('1-DATA'!B377)),IF($B379="STD. DEVIATION",2,$F$1))))</f>
        <v/>
      </c>
      <c r="D379" s="1" t="str">
        <f>IF(OR($B379="",D$7=""),"",IF($B379="MEANS",INDEX('1-DATA'!$1:$1048576,$A378-1,COLUMN('1-DATA'!C377)),ROUND(INDEX('1-DATA'!$1:$1048576,IF(OR($B379="STD. DEVIATION",$C$1=1),$A379,$A379+1),COLUMN('1-DATA'!C377)),IF($B379="STD. DEVIATION",2,$F$1))))</f>
        <v/>
      </c>
      <c r="E379" s="1" t="str">
        <f>IF(OR($B379="",E$7=""),"",IF($B379="MEANS",INDEX('1-DATA'!$1:$1048576,$A378-1,COLUMN('1-DATA'!D377)),ROUND(INDEX('1-DATA'!$1:$1048576,IF(OR($B379="STD. DEVIATION",$C$1=1),$A379,$A379+1),COLUMN('1-DATA'!D377)),IF($B379="STD. DEVIATION",2,$F$1))))</f>
        <v/>
      </c>
      <c r="F379" s="1" t="str">
        <f>IF(OR($B379="",F$7=""),"",IF($B379="MEANS",INDEX('1-DATA'!$1:$1048576,$A378-1,COLUMN('1-DATA'!E377)),ROUND(INDEX('1-DATA'!$1:$1048576,IF(OR($B379="STD. DEVIATION",$C$1=1),$A379,$A379+1),COLUMN('1-DATA'!E377)),IF($B379="STD. DEVIATION",2,$F$1))))</f>
        <v/>
      </c>
      <c r="G379" s="1" t="str">
        <f>IF(OR($B379="",G$7=""),"",IF($B379="MEANS",INDEX('1-DATA'!$1:$1048576,$A378-1,COLUMN('1-DATA'!F377)),ROUND(INDEX('1-DATA'!$1:$1048576,IF(OR($B379="STD. DEVIATION",$C$1=1),$A379,$A379+1),COLUMN('1-DATA'!F377)),IF($B379="STD. DEVIATION",2,$F$1))))</f>
        <v/>
      </c>
      <c r="H379" s="1" t="str">
        <f>IF(OR($B379="",H$7=""),"",IF($B379="MEANS",INDEX('1-DATA'!$1:$1048576,$A378-1,COLUMN('1-DATA'!G377)),ROUND(INDEX('1-DATA'!$1:$1048576,IF(OR($B379="STD. DEVIATION",$C$1=1),$A379,$A379+1),COLUMN('1-DATA'!G377)),IF($B379="STD. DEVIATION",2,$F$1))))</f>
        <v/>
      </c>
      <c r="I379" s="1" t="str">
        <f>IF(OR($B379="",I$7=""),"",IF($B379="MEANS",INDEX('1-DATA'!$1:$1048576,$A378-1,COLUMN('1-DATA'!H377)),ROUND(INDEX('1-DATA'!$1:$1048576,IF(OR($B379="STD. DEVIATION",$C$1=1),$A379,$A379+1),COLUMN('1-DATA'!H377)),IF($B379="STD. DEVIATION",2,$F$1))))</f>
        <v/>
      </c>
      <c r="J379" s="1" t="str">
        <f>IF(OR($B379="",J$7=""),"",IF($B379="MEANS",INDEX('1-DATA'!$1:$1048576,$A378-1,COLUMN('1-DATA'!I377)),ROUND(INDEX('1-DATA'!$1:$1048576,IF(OR($B379="STD. DEVIATION",$C$1=1),$A379,$A379+1),COLUMN('1-DATA'!I377)),IF($B379="STD. DEVIATION",2,$F$1))))</f>
        <v/>
      </c>
      <c r="K379" s="1" t="str">
        <f>IF(OR($B379="",K$7=""),"",IF($B379="MEANS",INDEX('1-DATA'!$1:$1048576,$A378-1,COLUMN('1-DATA'!J377)),ROUND(INDEX('1-DATA'!$1:$1048576,IF(OR($B379="STD. DEVIATION",$C$1=1),$A379,$A379+1),COLUMN('1-DATA'!J377)),IF($B379="STD. DEVIATION",2,$F$1))))</f>
        <v/>
      </c>
      <c r="L379" s="1" t="str">
        <f>IF(OR($B379="",L$7=""),"",IF($B379="MEANS",INDEX('1-DATA'!$1:$1048576,$A378-1,COLUMN('1-DATA'!K377)),ROUND(INDEX('1-DATA'!$1:$1048576,IF(OR($B379="STD. DEVIATION",$C$1=1),$A379,$A379+1),COLUMN('1-DATA'!K377)),IF($B379="STD. DEVIATION",2,$F$1))))</f>
        <v/>
      </c>
      <c r="M379" s="1" t="str">
        <f>IF(OR($B379="",M$7=""),"",IF($B379="MEANS",INDEX('1-DATA'!$1:$1048576,$A378-1,COLUMN('1-DATA'!L377)),ROUND(INDEX('1-DATA'!$1:$1048576,IF(OR($B379="STD. DEVIATION",$C$1=1),$A379,$A379+1),COLUMN('1-DATA'!L377)),IF($B379="STD. DEVIATION",2,$F$1))))</f>
        <v/>
      </c>
      <c r="N379" s="1" t="str">
        <f>IF(OR($B379="",N$7=""),"",IF($B379="MEANS",INDEX('1-DATA'!$1:$1048576,$A378-1,COLUMN('1-DATA'!M377)),ROUND(INDEX('1-DATA'!$1:$1048576,IF(OR($B379="STD. DEVIATION",$C$1=1),$A379,$A379+1),COLUMN('1-DATA'!M377)),IF($B379="STD. DEVIATION",2,$F$1))))</f>
        <v/>
      </c>
      <c r="O379" s="1" t="str">
        <f>IF(OR($B379="",O$7=""),"",IF($B379="MEANS",INDEX('1-DATA'!$1:$1048576,$A378-1,COLUMN('1-DATA'!N377)),ROUND(INDEX('1-DATA'!$1:$1048576,IF(OR($B379="STD. DEVIATION",$C$1=1),$A379,$A379+1),COLUMN('1-DATA'!N377)),IF($B379="STD. DEVIATION",2,$F$1))))</f>
        <v/>
      </c>
      <c r="P379" s="1" t="str">
        <f>IF(OR($B379="",P$7=""),"",IF($B379="MEANS",INDEX('1-DATA'!$1:$1048576,$A378-1,COLUMN('1-DATA'!O377)),ROUND(INDEX('1-DATA'!$1:$1048576,IF(OR($B379="STD. DEVIATION",$C$1=1),$A379,$A379+1),COLUMN('1-DATA'!O377)),IF($B379="STD. DEVIATION",2,$F$1))))</f>
        <v/>
      </c>
      <c r="Q379" s="1" t="str">
        <f>IF(OR($B379="",Q$7=""),"",IF($B379="MEANS",INDEX('1-DATA'!$1:$1048576,$A378-1,COLUMN('1-DATA'!P377)),ROUND(INDEX('1-DATA'!$1:$1048576,IF(OR($B379="STD. DEVIATION",$C$1=1),$A379,$A379+1),COLUMN('1-DATA'!P377)),IF($B379="STD. DEVIATION",2,$F$1))))</f>
        <v/>
      </c>
      <c r="R379" s="1" t="str">
        <f>IF(OR($B379="",R$7=""),"",IF($B379="MEANS",INDEX('1-DATA'!$1:$1048576,$A378-1,COLUMN('1-DATA'!Q377)),ROUND(INDEX('1-DATA'!$1:$1048576,IF(OR($B379="STD. DEVIATION",$C$1=1),$A379,$A379+1),COLUMN('1-DATA'!Q377)),IF($B379="STD. DEVIATION",2,$F$1))))</f>
        <v/>
      </c>
      <c r="S379" s="1" t="str">
        <f>IF(OR($B379="",S$7=""),"",IF($B379="MEANS",INDEX('1-DATA'!$1:$1048576,$A378-1,COLUMN('1-DATA'!R377)),ROUND(INDEX('1-DATA'!$1:$1048576,IF(OR($B379="STD. DEVIATION",$C$1=1),$A379,$A379+1),COLUMN('1-DATA'!R377)),IF($B379="STD. DEVIATION",2,$F$1))))</f>
        <v/>
      </c>
      <c r="T379" s="1" t="str">
        <f>IF(OR($B379="",T$7=""),"",IF($B379="MEANS",INDEX('1-DATA'!$1:$1048576,$A378-1,COLUMN('1-DATA'!S377)),ROUND(INDEX('1-DATA'!$1:$1048576,IF(OR($B379="STD. DEVIATION",$C$1=1),$A379,$A379+1),COLUMN('1-DATA'!S377)),IF($B379="STD. DEVIATION",2,$F$1))))</f>
        <v/>
      </c>
      <c r="U379" s="1" t="str">
        <f>IF(OR($B379="",U$7=""),"",IF($B379="MEANS",INDEX('1-DATA'!$1:$1048576,$A378-1,COLUMN('1-DATA'!T377)),ROUND(INDEX('1-DATA'!$1:$1048576,IF(OR($B379="STD. DEVIATION",$C$1=1),$A379,$A379+1),COLUMN('1-DATA'!T377)),IF($B379="STD. DEVIATION",2,$F$1))))</f>
        <v/>
      </c>
      <c r="V379" s="1" t="str">
        <f>IF(OR($B379="",V$7=""),"",IF($B379="MEANS",INDEX('1-DATA'!$1:$1048576,$A378-1,COLUMN('1-DATA'!U377)),ROUND(INDEX('1-DATA'!$1:$1048576,IF(OR($B379="STD. DEVIATION",$C$1=1),$A379,$A379+1),COLUMN('1-DATA'!U377)),IF($B379="STD. DEVIATION",2,$F$1))))</f>
        <v/>
      </c>
      <c r="W379" s="1" t="str">
        <f>IF(OR($B379="",W$7=""),"",IF($B379="MEANS",INDEX('1-DATA'!$1:$1048576,$A378-1,COLUMN('1-DATA'!V377)),ROUND(INDEX('1-DATA'!$1:$1048576,IF(OR($B379="STD. DEVIATION",$C$1=1),$A379,$A379+1),COLUMN('1-DATA'!V377)),IF($B379="STD. DEVIATION",2,$F$1))))</f>
        <v/>
      </c>
      <c r="X379" s="1" t="str">
        <f>IF(OR($B379="",X$7=""),"",IF($B379="MEANS",INDEX('1-DATA'!$1:$1048576,$A378-1,COLUMN('1-DATA'!W377)),ROUND(INDEX('1-DATA'!$1:$1048576,IF(OR($B379="STD. DEVIATION",$C$1=1),$A379,$A379+1),COLUMN('1-DATA'!W377)),IF($B379="STD. DEVIATION",2,$F$1))))</f>
        <v/>
      </c>
      <c r="Y379" s="1" t="str">
        <f>IF(OR($B379="",Y$7=""),"",IF($B379="MEANS",INDEX('1-DATA'!$1:$1048576,$A378-1,COLUMN('1-DATA'!X377)),ROUND(INDEX('1-DATA'!$1:$1048576,IF(OR($B379="STD. DEVIATION",$C$1=1),$A379,$A379+1),COLUMN('1-DATA'!X377)),IF($B379="STD. DEVIATION",2,$F$1))))</f>
        <v/>
      </c>
      <c r="Z379" s="1" t="str">
        <f>IF(OR($B379="",Z$7=""),"",IF($B379="MEANS",INDEX('1-DATA'!$1:$1048576,$A378-1,COLUMN('1-DATA'!Y377)),ROUND(INDEX('1-DATA'!$1:$1048576,IF(OR($B379="STD. DEVIATION",$C$1=1),$A379,$A379+1),COLUMN('1-DATA'!Y377)),IF($B379="STD. DEVIATION",2,$F$1))))</f>
        <v/>
      </c>
      <c r="AA379" s="1" t="str">
        <f>IF(OR($B379="",AA$7=""),"",IF($B379="MEANS",INDEX('1-DATA'!$1:$1048576,$A378-1,COLUMN('1-DATA'!Z377)),ROUND(INDEX('1-DATA'!$1:$1048576,IF(OR($B379="STD. DEVIATION",$C$1=1),$A379,$A379+1),COLUMN('1-DATA'!Z377)),IF($B379="STD. DEVIATION",2,$F$1))))</f>
        <v/>
      </c>
      <c r="AB379" s="1" t="str">
        <f>IF(OR($B379="",AB$7=""),"",IF($B379="MEANS",INDEX('1-DATA'!$1:$1048576,$A378-1,COLUMN('1-DATA'!AA377)),ROUND(INDEX('1-DATA'!$1:$1048576,IF(OR($B379="STD. DEVIATION",$C$1=1),$A379,$A379+1),COLUMN('1-DATA'!AA377)),IF($B379="STD. DEVIATION",2,$F$1))))</f>
        <v/>
      </c>
      <c r="AC379" s="1" t="str">
        <f>IF(OR($B379="",AC$7=""),"",IF($B379="MEANS",INDEX('1-DATA'!$1:$1048576,$A378-1,COLUMN('1-DATA'!AB377)),ROUND(INDEX('1-DATA'!$1:$1048576,IF(OR($B379="STD. DEVIATION",$C$1=1),$A379,$A379+1),COLUMN('1-DATA'!AB377)),IF($B379="STD. DEVIATION",2,$F$1))))</f>
        <v/>
      </c>
      <c r="AD379" s="1" t="str">
        <f>IF(OR($B379="",AD$7=""),"",IF($B379="MEANS",INDEX('1-DATA'!$1:$1048576,$A378-1,COLUMN('1-DATA'!AC377)),ROUND(INDEX('1-DATA'!$1:$1048576,IF(OR($B379="STD. DEVIATION",$C$1=1),$A379,$A379+1),COLUMN('1-DATA'!AC377)),IF($B379="STD. DEVIATION",2,$F$1))))</f>
        <v/>
      </c>
      <c r="AE379" s="1" t="str">
        <f>IF(OR($B379="",AE$7=""),"",IF($B379="MEANS",INDEX('1-DATA'!$1:$1048576,$A378-1,COLUMN('1-DATA'!AD377)),ROUND(INDEX('1-DATA'!$1:$1048576,IF(OR($B379="STD. DEVIATION",$C$1=1),$A379,$A379+1),COLUMN('1-DATA'!AD377)),IF($B379="STD. DEVIATION",2,$F$1))))</f>
        <v/>
      </c>
      <c r="AF379" s="1" t="str">
        <f>IF(OR($B379="",AF$7=""),"",IF($B379="MEANS",INDEX('1-DATA'!$1:$1048576,$A378-1,COLUMN('1-DATA'!AE377)),ROUND(INDEX('1-DATA'!$1:$1048576,IF(OR($B379="STD. DEVIATION",$C$1=1),$A379,$A379+1),COLUMN('1-DATA'!AE377)),IF($B379="STD. DEVIATION",2,$F$1))))</f>
        <v/>
      </c>
      <c r="AG379" s="1" t="str">
        <f>IF(OR($B379="",AG$7=""),"",IF($B379="MEANS",INDEX('1-DATA'!$1:$1048576,$A378-1,COLUMN('1-DATA'!AF377)),ROUND(INDEX('1-DATA'!$1:$1048576,IF(OR($B379="STD. DEVIATION",$C$1=1),$A379,$A379+1),COLUMN('1-DATA'!AF377)),IF($B379="STD. DEVIATION",2,$F$1))))</f>
        <v/>
      </c>
      <c r="AH379" s="1" t="str">
        <f>IF(OR($B379="",AH$7=""),"",IF($B379="MEANS",INDEX('1-DATA'!$1:$1048576,$A378-1,COLUMN('1-DATA'!AG377)),ROUND(INDEX('1-DATA'!$1:$1048576,IF(OR($B379="STD. DEVIATION",$C$1=1),$A379,$A379+1),COLUMN('1-DATA'!AG377)),IF($B379="STD. DEVIATION",2,$F$1))))</f>
        <v/>
      </c>
      <c r="AI379" s="1" t="str">
        <f>IF(OR($B379="",AI$7=""),"",IF($B379="MEANS",INDEX('1-DATA'!$1:$1048576,$A378-1,COLUMN('1-DATA'!AH377)),ROUND(INDEX('1-DATA'!$1:$1048576,IF(OR($B379="STD. DEVIATION",$C$1=1),$A379,$A379+1),COLUMN('1-DATA'!AH377)),IF($B379="STD. DEVIATION",2,$F$1))))</f>
        <v/>
      </c>
      <c r="AJ379" s="1" t="str">
        <f>IF(OR($B379="",AJ$7=""),"",IF($B379="MEANS",INDEX('1-DATA'!$1:$1048576,$A378-1,COLUMN('1-DATA'!AI377)),ROUND(INDEX('1-DATA'!$1:$1048576,IF(OR($B379="STD. DEVIATION",$C$1=1),$A379,$A379+1),COLUMN('1-DATA'!AI377)),IF($B379="STD. DEVIATION",2,$F$1))))</f>
        <v/>
      </c>
      <c r="AK379" s="1" t="str">
        <f>IF(OR($B379="",AK$7=""),"",IF($B379="MEANS",INDEX('1-DATA'!$1:$1048576,$A378-1,COLUMN('1-DATA'!AJ377)),ROUND(INDEX('1-DATA'!$1:$1048576,IF(OR($B379="STD. DEVIATION",$C$1=1),$A379,$A379+1),COLUMN('1-DATA'!AJ377)),IF($B379="STD. DEVIATION",2,$F$1))))</f>
        <v/>
      </c>
      <c r="AL379" s="1" t="str">
        <f>IF(OR($B379="",AL$7=""),"",IF($B379="MEANS",INDEX('1-DATA'!$1:$1048576,$A378-1,COLUMN('1-DATA'!AK377)),ROUND(INDEX('1-DATA'!$1:$1048576,IF(OR($B379="STD. DEVIATION",$C$1=1),$A379,$A379+1),COLUMN('1-DATA'!AK377)),IF($B379="STD. DEVIATION",2,$F$1))))</f>
        <v/>
      </c>
      <c r="AM379" s="1" t="str">
        <f>IF(OR($B379="",AM$7=""),"",IF($B379="MEANS",INDEX('1-DATA'!$1:$1048576,$A378-1,COLUMN('1-DATA'!AL377)),ROUND(INDEX('1-DATA'!$1:$1048576,IF(OR($B379="STD. DEVIATION",$C$1=1),$A379,$A379+1),COLUMN('1-DATA'!AL377)),IF($B379="STD. DEVIATION",2,$F$1))))</f>
        <v/>
      </c>
      <c r="AN379" s="1" t="str">
        <f>IF(OR($B379="",AN$7=""),"",IF($B379="MEANS",INDEX('1-DATA'!$1:$1048576,$A378-1,COLUMN('1-DATA'!AM377)),ROUND(INDEX('1-DATA'!$1:$1048576,IF(OR($B379="STD. DEVIATION",$C$1=1),$A379,$A379+1),COLUMN('1-DATA'!AM377)),IF($B379="STD. DEVIATION",2,$F$1))))</f>
        <v/>
      </c>
      <c r="AO379" s="1" t="str">
        <f>IF(OR($B379="",AO$7=""),"",IF($B379="MEANS",INDEX('1-DATA'!$1:$1048576,$A378-1,COLUMN('1-DATA'!AN377)),ROUND(INDEX('1-DATA'!$1:$1048576,IF(OR($B379="STD. DEVIATION",$C$1=1),$A379,$A379+1),COLUMN('1-DATA'!AN377)),IF($B379="STD. DEVIATION",2,$F$1))))</f>
        <v/>
      </c>
      <c r="AP379" s="1" t="str">
        <f>IF(OR($B379="",AP$7=""),"",IF($B379="MEANS",INDEX('1-DATA'!$1:$1048576,$A378-1,COLUMN('1-DATA'!AO377)),ROUND(INDEX('1-DATA'!$1:$1048576,IF(OR($B379="STD. DEVIATION",$C$1=1),$A379,$A379+1),COLUMN('1-DATA'!AO377)),IF($B379="STD. DEVIATION",2,$F$1))))</f>
        <v/>
      </c>
      <c r="AQ379" s="1" t="str">
        <f>IF(OR($B379="",AQ$7=""),"",IF($B379="MEANS",INDEX('1-DATA'!$1:$1048576,$A378-1,COLUMN('1-DATA'!AP377)),ROUND(INDEX('1-DATA'!$1:$1048576,IF(OR($B379="STD. DEVIATION",$C$1=1),$A379,$A379+1),COLUMN('1-DATA'!AP377)),IF($B379="STD. DEVIATION",2,$F$1))))</f>
        <v/>
      </c>
      <c r="AR379" s="1" t="str">
        <f>IF(OR($B379="",AR$7=""),"",IF($B379="MEANS",INDEX('1-DATA'!$1:$1048576,$A378-1,COLUMN('1-DATA'!AQ377)),ROUND(INDEX('1-DATA'!$1:$1048576,IF(OR($B379="STD. DEVIATION",$C$1=1),$A379,$A379+1),COLUMN('1-DATA'!AQ377)),IF($B379="STD. DEVIATION",2,$F$1))))</f>
        <v/>
      </c>
      <c r="AS379" s="1" t="str">
        <f>IF(OR($B379="",AS$7=""),"",IF($B379="MEANS",INDEX('1-DATA'!$1:$1048576,$A378-1,COLUMN('1-DATA'!AR377)),ROUND(INDEX('1-DATA'!$1:$1048576,IF(OR($B379="STD. DEVIATION",$C$1=1),$A379,$A379+1),COLUMN('1-DATA'!AR377)),IF($B379="STD. DEVIATION",2,$F$1))))</f>
        <v/>
      </c>
      <c r="AT379" s="1" t="str">
        <f>IF(OR($B379="",AT$7=""),"",IF($B379="MEANS",INDEX('1-DATA'!$1:$1048576,$A378-1,COLUMN('1-DATA'!AS377)),ROUND(INDEX('1-DATA'!$1:$1048576,IF(OR($B379="STD. DEVIATION",$C$1=1),$A379,$A379+1),COLUMN('1-DATA'!AS377)),IF($B379="STD. DEVIATION",2,$F$1))))</f>
        <v/>
      </c>
      <c r="AU379" s="1" t="str">
        <f>IF(OR($B379="",AU$7=""),"",IF($B379="MEANS",INDEX('1-DATA'!$1:$1048576,$A378-1,COLUMN('1-DATA'!AT377)),ROUND(INDEX('1-DATA'!$1:$1048576,IF(OR($B379="STD. DEVIATION",$C$1=1),$A379,$A379+1),COLUMN('1-DATA'!AT377)),IF($B379="STD. DEVIATION",2,$F$1))))</f>
        <v/>
      </c>
      <c r="AV379" s="1" t="str">
        <f>IF(OR($B379="",AV$7=""),"",IF($B379="MEANS",INDEX('1-DATA'!$1:$1048576,$A378-1,COLUMN('1-DATA'!AU377)),ROUND(INDEX('1-DATA'!$1:$1048576,IF(OR($B379="STD. DEVIATION",$C$1=1),$A379,$A379+1),COLUMN('1-DATA'!AU377)),IF($B379="STD. DEVIATION",2,$F$1))))</f>
        <v/>
      </c>
      <c r="AW379" s="1" t="str">
        <f>IF(OR($B379="",AW$7=""),"",IF($B379="MEANS",INDEX('1-DATA'!$1:$1048576,$A378-1,COLUMN('1-DATA'!AV377)),ROUND(INDEX('1-DATA'!$1:$1048576,IF(OR($B379="STD. DEVIATION",$C$1=1),$A379,$A379+1),COLUMN('1-DATA'!AV377)),IF($B379="STD. DEVIATION",2,$F$1))))</f>
        <v/>
      </c>
      <c r="AX379" s="1" t="str">
        <f>IF(OR($B379="",AX$7=""),"",IF($B379="MEANS",INDEX('1-DATA'!$1:$1048576,$A378-1,COLUMN('1-DATA'!AW377)),ROUND(INDEX('1-DATA'!$1:$1048576,IF(OR($B379="STD. DEVIATION",$C$1=1),$A379,$A379+1),COLUMN('1-DATA'!AW377)),IF($B379="STD. DEVIATION",2,$F$1))))</f>
        <v/>
      </c>
      <c r="AY379" s="1" t="str">
        <f>IF(OR($B379="",AY$7=""),"",IF($B379="MEANS",INDEX('1-DATA'!$1:$1048576,$A378-1,COLUMN('1-DATA'!AX377)),ROUND(INDEX('1-DATA'!$1:$1048576,IF(OR($B379="STD. DEVIATION",$C$1=1),$A379,$A379+1),COLUMN('1-DATA'!AX377)),IF($B379="STD. DEVIATION",2,$F$1))))</f>
        <v/>
      </c>
      <c r="AZ379" s="1" t="str">
        <f>IF(OR($B379="",AZ$7=""),"",IF($B379="MEANS",INDEX('1-DATA'!$1:$1048576,$A378-1,COLUMN('1-DATA'!AY377)),ROUND(INDEX('1-DATA'!$1:$1048576,IF(OR($B379="STD. DEVIATION",$C$1=1),$A379,$A379+1),COLUMN('1-DATA'!AY377)),IF($B379="STD. DEVIATION",2,$F$1))))</f>
        <v/>
      </c>
    </row>
    <row r="380" spans="1:52" x14ac:dyDescent="0.25">
      <c r="A380" s="11">
        <f t="shared" si="6"/>
        <v>1126</v>
      </c>
      <c r="B380" s="1" t="str">
        <f>IF(B379="STD. DEVIATION",INDEX('1-DATA'!$1:$1048576,$A379-1,1),IF(INDEX('1-DATA'!$1:$1048576,$A380,1)&lt;&gt;"",INDEX('1-DATA'!$1:$1048576,$A380,1),""))</f>
        <v/>
      </c>
      <c r="C380" s="1" t="str">
        <f>IF(OR($B380="",C$7=""),"",IF($B380="MEANS",INDEX('1-DATA'!$1:$1048576,$A379-1,COLUMN('1-DATA'!B378)),ROUND(INDEX('1-DATA'!$1:$1048576,IF(OR($B380="STD. DEVIATION",$C$1=1),$A380,$A380+1),COLUMN('1-DATA'!B378)),IF($B380="STD. DEVIATION",2,$F$1))))</f>
        <v/>
      </c>
      <c r="D380" s="1" t="str">
        <f>IF(OR($B380="",D$7=""),"",IF($B380="MEANS",INDEX('1-DATA'!$1:$1048576,$A379-1,COLUMN('1-DATA'!C378)),ROUND(INDEX('1-DATA'!$1:$1048576,IF(OR($B380="STD. DEVIATION",$C$1=1),$A380,$A380+1),COLUMN('1-DATA'!C378)),IF($B380="STD. DEVIATION",2,$F$1))))</f>
        <v/>
      </c>
      <c r="E380" s="1" t="str">
        <f>IF(OR($B380="",E$7=""),"",IF($B380="MEANS",INDEX('1-DATA'!$1:$1048576,$A379-1,COLUMN('1-DATA'!D378)),ROUND(INDEX('1-DATA'!$1:$1048576,IF(OR($B380="STD. DEVIATION",$C$1=1),$A380,$A380+1),COLUMN('1-DATA'!D378)),IF($B380="STD. DEVIATION",2,$F$1))))</f>
        <v/>
      </c>
      <c r="F380" s="1" t="str">
        <f>IF(OR($B380="",F$7=""),"",IF($B380="MEANS",INDEX('1-DATA'!$1:$1048576,$A379-1,COLUMN('1-DATA'!E378)),ROUND(INDEX('1-DATA'!$1:$1048576,IF(OR($B380="STD. DEVIATION",$C$1=1),$A380,$A380+1),COLUMN('1-DATA'!E378)),IF($B380="STD. DEVIATION",2,$F$1))))</f>
        <v/>
      </c>
      <c r="G380" s="1" t="str">
        <f>IF(OR($B380="",G$7=""),"",IF($B380="MEANS",INDEX('1-DATA'!$1:$1048576,$A379-1,COLUMN('1-DATA'!F378)),ROUND(INDEX('1-DATA'!$1:$1048576,IF(OR($B380="STD. DEVIATION",$C$1=1),$A380,$A380+1),COLUMN('1-DATA'!F378)),IF($B380="STD. DEVIATION",2,$F$1))))</f>
        <v/>
      </c>
      <c r="H380" s="1" t="str">
        <f>IF(OR($B380="",H$7=""),"",IF($B380="MEANS",INDEX('1-DATA'!$1:$1048576,$A379-1,COLUMN('1-DATA'!G378)),ROUND(INDEX('1-DATA'!$1:$1048576,IF(OR($B380="STD. DEVIATION",$C$1=1),$A380,$A380+1),COLUMN('1-DATA'!G378)),IF($B380="STD. DEVIATION",2,$F$1))))</f>
        <v/>
      </c>
      <c r="I380" s="1" t="str">
        <f>IF(OR($B380="",I$7=""),"",IF($B380="MEANS",INDEX('1-DATA'!$1:$1048576,$A379-1,COLUMN('1-DATA'!H378)),ROUND(INDEX('1-DATA'!$1:$1048576,IF(OR($B380="STD. DEVIATION",$C$1=1),$A380,$A380+1),COLUMN('1-DATA'!H378)),IF($B380="STD. DEVIATION",2,$F$1))))</f>
        <v/>
      </c>
      <c r="J380" s="1" t="str">
        <f>IF(OR($B380="",J$7=""),"",IF($B380="MEANS",INDEX('1-DATA'!$1:$1048576,$A379-1,COLUMN('1-DATA'!I378)),ROUND(INDEX('1-DATA'!$1:$1048576,IF(OR($B380="STD. DEVIATION",$C$1=1),$A380,$A380+1),COLUMN('1-DATA'!I378)),IF($B380="STD. DEVIATION",2,$F$1))))</f>
        <v/>
      </c>
      <c r="K380" s="1" t="str">
        <f>IF(OR($B380="",K$7=""),"",IF($B380="MEANS",INDEX('1-DATA'!$1:$1048576,$A379-1,COLUMN('1-DATA'!J378)),ROUND(INDEX('1-DATA'!$1:$1048576,IF(OR($B380="STD. DEVIATION",$C$1=1),$A380,$A380+1),COLUMN('1-DATA'!J378)),IF($B380="STD. DEVIATION",2,$F$1))))</f>
        <v/>
      </c>
      <c r="L380" s="1" t="str">
        <f>IF(OR($B380="",L$7=""),"",IF($B380="MEANS",INDEX('1-DATA'!$1:$1048576,$A379-1,COLUMN('1-DATA'!K378)),ROUND(INDEX('1-DATA'!$1:$1048576,IF(OR($B380="STD. DEVIATION",$C$1=1),$A380,$A380+1),COLUMN('1-DATA'!K378)),IF($B380="STD. DEVIATION",2,$F$1))))</f>
        <v/>
      </c>
      <c r="M380" s="1" t="str">
        <f>IF(OR($B380="",M$7=""),"",IF($B380="MEANS",INDEX('1-DATA'!$1:$1048576,$A379-1,COLUMN('1-DATA'!L378)),ROUND(INDEX('1-DATA'!$1:$1048576,IF(OR($B380="STD. DEVIATION",$C$1=1),$A380,$A380+1),COLUMN('1-DATA'!L378)),IF($B380="STD. DEVIATION",2,$F$1))))</f>
        <v/>
      </c>
      <c r="N380" s="1" t="str">
        <f>IF(OR($B380="",N$7=""),"",IF($B380="MEANS",INDEX('1-DATA'!$1:$1048576,$A379-1,COLUMN('1-DATA'!M378)),ROUND(INDEX('1-DATA'!$1:$1048576,IF(OR($B380="STD. DEVIATION",$C$1=1),$A380,$A380+1),COLUMN('1-DATA'!M378)),IF($B380="STD. DEVIATION",2,$F$1))))</f>
        <v/>
      </c>
      <c r="O380" s="1" t="str">
        <f>IF(OR($B380="",O$7=""),"",IF($B380="MEANS",INDEX('1-DATA'!$1:$1048576,$A379-1,COLUMN('1-DATA'!N378)),ROUND(INDEX('1-DATA'!$1:$1048576,IF(OR($B380="STD. DEVIATION",$C$1=1),$A380,$A380+1),COLUMN('1-DATA'!N378)),IF($B380="STD. DEVIATION",2,$F$1))))</f>
        <v/>
      </c>
      <c r="P380" s="1" t="str">
        <f>IF(OR($B380="",P$7=""),"",IF($B380="MEANS",INDEX('1-DATA'!$1:$1048576,$A379-1,COLUMN('1-DATA'!O378)),ROUND(INDEX('1-DATA'!$1:$1048576,IF(OR($B380="STD. DEVIATION",$C$1=1),$A380,$A380+1),COLUMN('1-DATA'!O378)),IF($B380="STD. DEVIATION",2,$F$1))))</f>
        <v/>
      </c>
      <c r="Q380" s="1" t="str">
        <f>IF(OR($B380="",Q$7=""),"",IF($B380="MEANS",INDEX('1-DATA'!$1:$1048576,$A379-1,COLUMN('1-DATA'!P378)),ROUND(INDEX('1-DATA'!$1:$1048576,IF(OR($B380="STD. DEVIATION",$C$1=1),$A380,$A380+1),COLUMN('1-DATA'!P378)),IF($B380="STD. DEVIATION",2,$F$1))))</f>
        <v/>
      </c>
      <c r="R380" s="1" t="str">
        <f>IF(OR($B380="",R$7=""),"",IF($B380="MEANS",INDEX('1-DATA'!$1:$1048576,$A379-1,COLUMN('1-DATA'!Q378)),ROUND(INDEX('1-DATA'!$1:$1048576,IF(OR($B380="STD. DEVIATION",$C$1=1),$A380,$A380+1),COLUMN('1-DATA'!Q378)),IF($B380="STD. DEVIATION",2,$F$1))))</f>
        <v/>
      </c>
      <c r="S380" s="1" t="str">
        <f>IF(OR($B380="",S$7=""),"",IF($B380="MEANS",INDEX('1-DATA'!$1:$1048576,$A379-1,COLUMN('1-DATA'!R378)),ROUND(INDEX('1-DATA'!$1:$1048576,IF(OR($B380="STD. DEVIATION",$C$1=1),$A380,$A380+1),COLUMN('1-DATA'!R378)),IF($B380="STD. DEVIATION",2,$F$1))))</f>
        <v/>
      </c>
      <c r="T380" s="1" t="str">
        <f>IF(OR($B380="",T$7=""),"",IF($B380="MEANS",INDEX('1-DATA'!$1:$1048576,$A379-1,COLUMN('1-DATA'!S378)),ROUND(INDEX('1-DATA'!$1:$1048576,IF(OR($B380="STD. DEVIATION",$C$1=1),$A380,$A380+1),COLUMN('1-DATA'!S378)),IF($B380="STD. DEVIATION",2,$F$1))))</f>
        <v/>
      </c>
      <c r="U380" s="1" t="str">
        <f>IF(OR($B380="",U$7=""),"",IF($B380="MEANS",INDEX('1-DATA'!$1:$1048576,$A379-1,COLUMN('1-DATA'!T378)),ROUND(INDEX('1-DATA'!$1:$1048576,IF(OR($B380="STD. DEVIATION",$C$1=1),$A380,$A380+1),COLUMN('1-DATA'!T378)),IF($B380="STD. DEVIATION",2,$F$1))))</f>
        <v/>
      </c>
      <c r="V380" s="1" t="str">
        <f>IF(OR($B380="",V$7=""),"",IF($B380="MEANS",INDEX('1-DATA'!$1:$1048576,$A379-1,COLUMN('1-DATA'!U378)),ROUND(INDEX('1-DATA'!$1:$1048576,IF(OR($B380="STD. DEVIATION",$C$1=1),$A380,$A380+1),COLUMN('1-DATA'!U378)),IF($B380="STD. DEVIATION",2,$F$1))))</f>
        <v/>
      </c>
      <c r="W380" s="1" t="str">
        <f>IF(OR($B380="",W$7=""),"",IF($B380="MEANS",INDEX('1-DATA'!$1:$1048576,$A379-1,COLUMN('1-DATA'!V378)),ROUND(INDEX('1-DATA'!$1:$1048576,IF(OR($B380="STD. DEVIATION",$C$1=1),$A380,$A380+1),COLUMN('1-DATA'!V378)),IF($B380="STD. DEVIATION",2,$F$1))))</f>
        <v/>
      </c>
      <c r="X380" s="1" t="str">
        <f>IF(OR($B380="",X$7=""),"",IF($B380="MEANS",INDEX('1-DATA'!$1:$1048576,$A379-1,COLUMN('1-DATA'!W378)),ROUND(INDEX('1-DATA'!$1:$1048576,IF(OR($B380="STD. DEVIATION",$C$1=1),$A380,$A380+1),COLUMN('1-DATA'!W378)),IF($B380="STD. DEVIATION",2,$F$1))))</f>
        <v/>
      </c>
      <c r="Y380" s="1" t="str">
        <f>IF(OR($B380="",Y$7=""),"",IF($B380="MEANS",INDEX('1-DATA'!$1:$1048576,$A379-1,COLUMN('1-DATA'!X378)),ROUND(INDEX('1-DATA'!$1:$1048576,IF(OR($B380="STD. DEVIATION",$C$1=1),$A380,$A380+1),COLUMN('1-DATA'!X378)),IF($B380="STD. DEVIATION",2,$F$1))))</f>
        <v/>
      </c>
      <c r="Z380" s="1" t="str">
        <f>IF(OR($B380="",Z$7=""),"",IF($B380="MEANS",INDEX('1-DATA'!$1:$1048576,$A379-1,COLUMN('1-DATA'!Y378)),ROUND(INDEX('1-DATA'!$1:$1048576,IF(OR($B380="STD. DEVIATION",$C$1=1),$A380,$A380+1),COLUMN('1-DATA'!Y378)),IF($B380="STD. DEVIATION",2,$F$1))))</f>
        <v/>
      </c>
      <c r="AA380" s="1" t="str">
        <f>IF(OR($B380="",AA$7=""),"",IF($B380="MEANS",INDEX('1-DATA'!$1:$1048576,$A379-1,COLUMN('1-DATA'!Z378)),ROUND(INDEX('1-DATA'!$1:$1048576,IF(OR($B380="STD. DEVIATION",$C$1=1),$A380,$A380+1),COLUMN('1-DATA'!Z378)),IF($B380="STD. DEVIATION",2,$F$1))))</f>
        <v/>
      </c>
      <c r="AB380" s="1" t="str">
        <f>IF(OR($B380="",AB$7=""),"",IF($B380="MEANS",INDEX('1-DATA'!$1:$1048576,$A379-1,COLUMN('1-DATA'!AA378)),ROUND(INDEX('1-DATA'!$1:$1048576,IF(OR($B380="STD. DEVIATION",$C$1=1),$A380,$A380+1),COLUMN('1-DATA'!AA378)),IF($B380="STD. DEVIATION",2,$F$1))))</f>
        <v/>
      </c>
      <c r="AC380" s="1" t="str">
        <f>IF(OR($B380="",AC$7=""),"",IF($B380="MEANS",INDEX('1-DATA'!$1:$1048576,$A379-1,COLUMN('1-DATA'!AB378)),ROUND(INDEX('1-DATA'!$1:$1048576,IF(OR($B380="STD. DEVIATION",$C$1=1),$A380,$A380+1),COLUMN('1-DATA'!AB378)),IF($B380="STD. DEVIATION",2,$F$1))))</f>
        <v/>
      </c>
      <c r="AD380" s="1" t="str">
        <f>IF(OR($B380="",AD$7=""),"",IF($B380="MEANS",INDEX('1-DATA'!$1:$1048576,$A379-1,COLUMN('1-DATA'!AC378)),ROUND(INDEX('1-DATA'!$1:$1048576,IF(OR($B380="STD. DEVIATION",$C$1=1),$A380,$A380+1),COLUMN('1-DATA'!AC378)),IF($B380="STD. DEVIATION",2,$F$1))))</f>
        <v/>
      </c>
      <c r="AE380" s="1" t="str">
        <f>IF(OR($B380="",AE$7=""),"",IF($B380="MEANS",INDEX('1-DATA'!$1:$1048576,$A379-1,COLUMN('1-DATA'!AD378)),ROUND(INDEX('1-DATA'!$1:$1048576,IF(OR($B380="STD. DEVIATION",$C$1=1),$A380,$A380+1),COLUMN('1-DATA'!AD378)),IF($B380="STD. DEVIATION",2,$F$1))))</f>
        <v/>
      </c>
      <c r="AF380" s="1" t="str">
        <f>IF(OR($B380="",AF$7=""),"",IF($B380="MEANS",INDEX('1-DATA'!$1:$1048576,$A379-1,COLUMN('1-DATA'!AE378)),ROUND(INDEX('1-DATA'!$1:$1048576,IF(OR($B380="STD. DEVIATION",$C$1=1),$A380,$A380+1),COLUMN('1-DATA'!AE378)),IF($B380="STD. DEVIATION",2,$F$1))))</f>
        <v/>
      </c>
      <c r="AG380" s="1" t="str">
        <f>IF(OR($B380="",AG$7=""),"",IF($B380="MEANS",INDEX('1-DATA'!$1:$1048576,$A379-1,COLUMN('1-DATA'!AF378)),ROUND(INDEX('1-DATA'!$1:$1048576,IF(OR($B380="STD. DEVIATION",$C$1=1),$A380,$A380+1),COLUMN('1-DATA'!AF378)),IF($B380="STD. DEVIATION",2,$F$1))))</f>
        <v/>
      </c>
      <c r="AH380" s="1" t="str">
        <f>IF(OR($B380="",AH$7=""),"",IF($B380="MEANS",INDEX('1-DATA'!$1:$1048576,$A379-1,COLUMN('1-DATA'!AG378)),ROUND(INDEX('1-DATA'!$1:$1048576,IF(OR($B380="STD. DEVIATION",$C$1=1),$A380,$A380+1),COLUMN('1-DATA'!AG378)),IF($B380="STD. DEVIATION",2,$F$1))))</f>
        <v/>
      </c>
      <c r="AI380" s="1" t="str">
        <f>IF(OR($B380="",AI$7=""),"",IF($B380="MEANS",INDEX('1-DATA'!$1:$1048576,$A379-1,COLUMN('1-DATA'!AH378)),ROUND(INDEX('1-DATA'!$1:$1048576,IF(OR($B380="STD. DEVIATION",$C$1=1),$A380,$A380+1),COLUMN('1-DATA'!AH378)),IF($B380="STD. DEVIATION",2,$F$1))))</f>
        <v/>
      </c>
      <c r="AJ380" s="1" t="str">
        <f>IF(OR($B380="",AJ$7=""),"",IF($B380="MEANS",INDEX('1-DATA'!$1:$1048576,$A379-1,COLUMN('1-DATA'!AI378)),ROUND(INDEX('1-DATA'!$1:$1048576,IF(OR($B380="STD. DEVIATION",$C$1=1),$A380,$A380+1),COLUMN('1-DATA'!AI378)),IF($B380="STD. DEVIATION",2,$F$1))))</f>
        <v/>
      </c>
      <c r="AK380" s="1" t="str">
        <f>IF(OR($B380="",AK$7=""),"",IF($B380="MEANS",INDEX('1-DATA'!$1:$1048576,$A379-1,COLUMN('1-DATA'!AJ378)),ROUND(INDEX('1-DATA'!$1:$1048576,IF(OR($B380="STD. DEVIATION",$C$1=1),$A380,$A380+1),COLUMN('1-DATA'!AJ378)),IF($B380="STD. DEVIATION",2,$F$1))))</f>
        <v/>
      </c>
      <c r="AL380" s="1" t="str">
        <f>IF(OR($B380="",AL$7=""),"",IF($B380="MEANS",INDEX('1-DATA'!$1:$1048576,$A379-1,COLUMN('1-DATA'!AK378)),ROUND(INDEX('1-DATA'!$1:$1048576,IF(OR($B380="STD. DEVIATION",$C$1=1),$A380,$A380+1),COLUMN('1-DATA'!AK378)),IF($B380="STD. DEVIATION",2,$F$1))))</f>
        <v/>
      </c>
      <c r="AM380" s="1" t="str">
        <f>IF(OR($B380="",AM$7=""),"",IF($B380="MEANS",INDEX('1-DATA'!$1:$1048576,$A379-1,COLUMN('1-DATA'!AL378)),ROUND(INDEX('1-DATA'!$1:$1048576,IF(OR($B380="STD. DEVIATION",$C$1=1),$A380,$A380+1),COLUMN('1-DATA'!AL378)),IF($B380="STD. DEVIATION",2,$F$1))))</f>
        <v/>
      </c>
      <c r="AN380" s="1" t="str">
        <f>IF(OR($B380="",AN$7=""),"",IF($B380="MEANS",INDEX('1-DATA'!$1:$1048576,$A379-1,COLUMN('1-DATA'!AM378)),ROUND(INDEX('1-DATA'!$1:$1048576,IF(OR($B380="STD. DEVIATION",$C$1=1),$A380,$A380+1),COLUMN('1-DATA'!AM378)),IF($B380="STD. DEVIATION",2,$F$1))))</f>
        <v/>
      </c>
      <c r="AO380" s="1" t="str">
        <f>IF(OR($B380="",AO$7=""),"",IF($B380="MEANS",INDEX('1-DATA'!$1:$1048576,$A379-1,COLUMN('1-DATA'!AN378)),ROUND(INDEX('1-DATA'!$1:$1048576,IF(OR($B380="STD. DEVIATION",$C$1=1),$A380,$A380+1),COLUMN('1-DATA'!AN378)),IF($B380="STD. DEVIATION",2,$F$1))))</f>
        <v/>
      </c>
      <c r="AP380" s="1" t="str">
        <f>IF(OR($B380="",AP$7=""),"",IF($B380="MEANS",INDEX('1-DATA'!$1:$1048576,$A379-1,COLUMN('1-DATA'!AO378)),ROUND(INDEX('1-DATA'!$1:$1048576,IF(OR($B380="STD. DEVIATION",$C$1=1),$A380,$A380+1),COLUMN('1-DATA'!AO378)),IF($B380="STD. DEVIATION",2,$F$1))))</f>
        <v/>
      </c>
      <c r="AQ380" s="1" t="str">
        <f>IF(OR($B380="",AQ$7=""),"",IF($B380="MEANS",INDEX('1-DATA'!$1:$1048576,$A379-1,COLUMN('1-DATA'!AP378)),ROUND(INDEX('1-DATA'!$1:$1048576,IF(OR($B380="STD. DEVIATION",$C$1=1),$A380,$A380+1),COLUMN('1-DATA'!AP378)),IF($B380="STD. DEVIATION",2,$F$1))))</f>
        <v/>
      </c>
      <c r="AR380" s="1" t="str">
        <f>IF(OR($B380="",AR$7=""),"",IF($B380="MEANS",INDEX('1-DATA'!$1:$1048576,$A379-1,COLUMN('1-DATA'!AQ378)),ROUND(INDEX('1-DATA'!$1:$1048576,IF(OR($B380="STD. DEVIATION",$C$1=1),$A380,$A380+1),COLUMN('1-DATA'!AQ378)),IF($B380="STD. DEVIATION",2,$F$1))))</f>
        <v/>
      </c>
      <c r="AS380" s="1" t="str">
        <f>IF(OR($B380="",AS$7=""),"",IF($B380="MEANS",INDEX('1-DATA'!$1:$1048576,$A379-1,COLUMN('1-DATA'!AR378)),ROUND(INDEX('1-DATA'!$1:$1048576,IF(OR($B380="STD. DEVIATION",$C$1=1),$A380,$A380+1),COLUMN('1-DATA'!AR378)),IF($B380="STD. DEVIATION",2,$F$1))))</f>
        <v/>
      </c>
      <c r="AT380" s="1" t="str">
        <f>IF(OR($B380="",AT$7=""),"",IF($B380="MEANS",INDEX('1-DATA'!$1:$1048576,$A379-1,COLUMN('1-DATA'!AS378)),ROUND(INDEX('1-DATA'!$1:$1048576,IF(OR($B380="STD. DEVIATION",$C$1=1),$A380,$A380+1),COLUMN('1-DATA'!AS378)),IF($B380="STD. DEVIATION",2,$F$1))))</f>
        <v/>
      </c>
      <c r="AU380" s="1" t="str">
        <f>IF(OR($B380="",AU$7=""),"",IF($B380="MEANS",INDEX('1-DATA'!$1:$1048576,$A379-1,COLUMN('1-DATA'!AT378)),ROUND(INDEX('1-DATA'!$1:$1048576,IF(OR($B380="STD. DEVIATION",$C$1=1),$A380,$A380+1),COLUMN('1-DATA'!AT378)),IF($B380="STD. DEVIATION",2,$F$1))))</f>
        <v/>
      </c>
      <c r="AV380" s="1" t="str">
        <f>IF(OR($B380="",AV$7=""),"",IF($B380="MEANS",INDEX('1-DATA'!$1:$1048576,$A379-1,COLUMN('1-DATA'!AU378)),ROUND(INDEX('1-DATA'!$1:$1048576,IF(OR($B380="STD. DEVIATION",$C$1=1),$A380,$A380+1),COLUMN('1-DATA'!AU378)),IF($B380="STD. DEVIATION",2,$F$1))))</f>
        <v/>
      </c>
      <c r="AW380" s="1" t="str">
        <f>IF(OR($B380="",AW$7=""),"",IF($B380="MEANS",INDEX('1-DATA'!$1:$1048576,$A379-1,COLUMN('1-DATA'!AV378)),ROUND(INDEX('1-DATA'!$1:$1048576,IF(OR($B380="STD. DEVIATION",$C$1=1),$A380,$A380+1),COLUMN('1-DATA'!AV378)),IF($B380="STD. DEVIATION",2,$F$1))))</f>
        <v/>
      </c>
      <c r="AX380" s="1" t="str">
        <f>IF(OR($B380="",AX$7=""),"",IF($B380="MEANS",INDEX('1-DATA'!$1:$1048576,$A379-1,COLUMN('1-DATA'!AW378)),ROUND(INDEX('1-DATA'!$1:$1048576,IF(OR($B380="STD. DEVIATION",$C$1=1),$A380,$A380+1),COLUMN('1-DATA'!AW378)),IF($B380="STD. DEVIATION",2,$F$1))))</f>
        <v/>
      </c>
      <c r="AY380" s="1" t="str">
        <f>IF(OR($B380="",AY$7=""),"",IF($B380="MEANS",INDEX('1-DATA'!$1:$1048576,$A379-1,COLUMN('1-DATA'!AX378)),ROUND(INDEX('1-DATA'!$1:$1048576,IF(OR($B380="STD. DEVIATION",$C$1=1),$A380,$A380+1),COLUMN('1-DATA'!AX378)),IF($B380="STD. DEVIATION",2,$F$1))))</f>
        <v/>
      </c>
      <c r="AZ380" s="1" t="str">
        <f>IF(OR($B380="",AZ$7=""),"",IF($B380="MEANS",INDEX('1-DATA'!$1:$1048576,$A379-1,COLUMN('1-DATA'!AY378)),ROUND(INDEX('1-DATA'!$1:$1048576,IF(OR($B380="STD. DEVIATION",$C$1=1),$A380,$A380+1),COLUMN('1-DATA'!AY378)),IF($B380="STD. DEVIATION",2,$F$1))))</f>
        <v/>
      </c>
    </row>
    <row r="381" spans="1:52" x14ac:dyDescent="0.25">
      <c r="A381" s="11">
        <f t="shared" si="6"/>
        <v>1129</v>
      </c>
      <c r="B381" s="1" t="str">
        <f>IF(B380="STD. DEVIATION",INDEX('1-DATA'!$1:$1048576,$A380-1,1),IF(INDEX('1-DATA'!$1:$1048576,$A381,1)&lt;&gt;"",INDEX('1-DATA'!$1:$1048576,$A381,1),""))</f>
        <v/>
      </c>
      <c r="C381" s="1" t="str">
        <f>IF(OR($B381="",C$7=""),"",IF($B381="MEANS",INDEX('1-DATA'!$1:$1048576,$A380-1,COLUMN('1-DATA'!B379)),ROUND(INDEX('1-DATA'!$1:$1048576,IF(OR($B381="STD. DEVIATION",$C$1=1),$A381,$A381+1),COLUMN('1-DATA'!B379)),IF($B381="STD. DEVIATION",2,$F$1))))</f>
        <v/>
      </c>
      <c r="D381" s="1" t="str">
        <f>IF(OR($B381="",D$7=""),"",IF($B381="MEANS",INDEX('1-DATA'!$1:$1048576,$A380-1,COLUMN('1-DATA'!C379)),ROUND(INDEX('1-DATA'!$1:$1048576,IF(OR($B381="STD. DEVIATION",$C$1=1),$A381,$A381+1),COLUMN('1-DATA'!C379)),IF($B381="STD. DEVIATION",2,$F$1))))</f>
        <v/>
      </c>
      <c r="E381" s="1" t="str">
        <f>IF(OR($B381="",E$7=""),"",IF($B381="MEANS",INDEX('1-DATA'!$1:$1048576,$A380-1,COLUMN('1-DATA'!D379)),ROUND(INDEX('1-DATA'!$1:$1048576,IF(OR($B381="STD. DEVIATION",$C$1=1),$A381,$A381+1),COLUMN('1-DATA'!D379)),IF($B381="STD. DEVIATION",2,$F$1))))</f>
        <v/>
      </c>
      <c r="F381" s="1" t="str">
        <f>IF(OR($B381="",F$7=""),"",IF($B381="MEANS",INDEX('1-DATA'!$1:$1048576,$A380-1,COLUMN('1-DATA'!E379)),ROUND(INDEX('1-DATA'!$1:$1048576,IF(OR($B381="STD. DEVIATION",$C$1=1),$A381,$A381+1),COLUMN('1-DATA'!E379)),IF($B381="STD. DEVIATION",2,$F$1))))</f>
        <v/>
      </c>
      <c r="G381" s="1" t="str">
        <f>IF(OR($B381="",G$7=""),"",IF($B381="MEANS",INDEX('1-DATA'!$1:$1048576,$A380-1,COLUMN('1-DATA'!F379)),ROUND(INDEX('1-DATA'!$1:$1048576,IF(OR($B381="STD. DEVIATION",$C$1=1),$A381,$A381+1),COLUMN('1-DATA'!F379)),IF($B381="STD. DEVIATION",2,$F$1))))</f>
        <v/>
      </c>
      <c r="H381" s="1" t="str">
        <f>IF(OR($B381="",H$7=""),"",IF($B381="MEANS",INDEX('1-DATA'!$1:$1048576,$A380-1,COLUMN('1-DATA'!G379)),ROUND(INDEX('1-DATA'!$1:$1048576,IF(OR($B381="STD. DEVIATION",$C$1=1),$A381,$A381+1),COLUMN('1-DATA'!G379)),IF($B381="STD. DEVIATION",2,$F$1))))</f>
        <v/>
      </c>
      <c r="I381" s="1" t="str">
        <f>IF(OR($B381="",I$7=""),"",IF($B381="MEANS",INDEX('1-DATA'!$1:$1048576,$A380-1,COLUMN('1-DATA'!H379)),ROUND(INDEX('1-DATA'!$1:$1048576,IF(OR($B381="STD. DEVIATION",$C$1=1),$A381,$A381+1),COLUMN('1-DATA'!H379)),IF($B381="STD. DEVIATION",2,$F$1))))</f>
        <v/>
      </c>
      <c r="J381" s="1" t="str">
        <f>IF(OR($B381="",J$7=""),"",IF($B381="MEANS",INDEX('1-DATA'!$1:$1048576,$A380-1,COLUMN('1-DATA'!I379)),ROUND(INDEX('1-DATA'!$1:$1048576,IF(OR($B381="STD. DEVIATION",$C$1=1),$A381,$A381+1),COLUMN('1-DATA'!I379)),IF($B381="STD. DEVIATION",2,$F$1))))</f>
        <v/>
      </c>
      <c r="K381" s="1" t="str">
        <f>IF(OR($B381="",K$7=""),"",IF($B381="MEANS",INDEX('1-DATA'!$1:$1048576,$A380-1,COLUMN('1-DATA'!J379)),ROUND(INDEX('1-DATA'!$1:$1048576,IF(OR($B381="STD. DEVIATION",$C$1=1),$A381,$A381+1),COLUMN('1-DATA'!J379)),IF($B381="STD. DEVIATION",2,$F$1))))</f>
        <v/>
      </c>
      <c r="L381" s="1" t="str">
        <f>IF(OR($B381="",L$7=""),"",IF($B381="MEANS",INDEX('1-DATA'!$1:$1048576,$A380-1,COLUMN('1-DATA'!K379)),ROUND(INDEX('1-DATA'!$1:$1048576,IF(OR($B381="STD. DEVIATION",$C$1=1),$A381,$A381+1),COLUMN('1-DATA'!K379)),IF($B381="STD. DEVIATION",2,$F$1))))</f>
        <v/>
      </c>
      <c r="M381" s="1" t="str">
        <f>IF(OR($B381="",M$7=""),"",IF($B381="MEANS",INDEX('1-DATA'!$1:$1048576,$A380-1,COLUMN('1-DATA'!L379)),ROUND(INDEX('1-DATA'!$1:$1048576,IF(OR($B381="STD. DEVIATION",$C$1=1),$A381,$A381+1),COLUMN('1-DATA'!L379)),IF($B381="STD. DEVIATION",2,$F$1))))</f>
        <v/>
      </c>
      <c r="N381" s="1" t="str">
        <f>IF(OR($B381="",N$7=""),"",IF($B381="MEANS",INDEX('1-DATA'!$1:$1048576,$A380-1,COLUMN('1-DATA'!M379)),ROUND(INDEX('1-DATA'!$1:$1048576,IF(OR($B381="STD. DEVIATION",$C$1=1),$A381,$A381+1),COLUMN('1-DATA'!M379)),IF($B381="STD. DEVIATION",2,$F$1))))</f>
        <v/>
      </c>
      <c r="O381" s="1" t="str">
        <f>IF(OR($B381="",O$7=""),"",IF($B381="MEANS",INDEX('1-DATA'!$1:$1048576,$A380-1,COLUMN('1-DATA'!N379)),ROUND(INDEX('1-DATA'!$1:$1048576,IF(OR($B381="STD. DEVIATION",$C$1=1),$A381,$A381+1),COLUMN('1-DATA'!N379)),IF($B381="STD. DEVIATION",2,$F$1))))</f>
        <v/>
      </c>
      <c r="P381" s="1" t="str">
        <f>IF(OR($B381="",P$7=""),"",IF($B381="MEANS",INDEX('1-DATA'!$1:$1048576,$A380-1,COLUMN('1-DATA'!O379)),ROUND(INDEX('1-DATA'!$1:$1048576,IF(OR($B381="STD. DEVIATION",$C$1=1),$A381,$A381+1),COLUMN('1-DATA'!O379)),IF($B381="STD. DEVIATION",2,$F$1))))</f>
        <v/>
      </c>
      <c r="Q381" s="1" t="str">
        <f>IF(OR($B381="",Q$7=""),"",IF($B381="MEANS",INDEX('1-DATA'!$1:$1048576,$A380-1,COLUMN('1-DATA'!P379)),ROUND(INDEX('1-DATA'!$1:$1048576,IF(OR($B381="STD. DEVIATION",$C$1=1),$A381,$A381+1),COLUMN('1-DATA'!P379)),IF($B381="STD. DEVIATION",2,$F$1))))</f>
        <v/>
      </c>
      <c r="R381" s="1" t="str">
        <f>IF(OR($B381="",R$7=""),"",IF($B381="MEANS",INDEX('1-DATA'!$1:$1048576,$A380-1,COLUMN('1-DATA'!Q379)),ROUND(INDEX('1-DATA'!$1:$1048576,IF(OR($B381="STD. DEVIATION",$C$1=1),$A381,$A381+1),COLUMN('1-DATA'!Q379)),IF($B381="STD. DEVIATION",2,$F$1))))</f>
        <v/>
      </c>
      <c r="S381" s="1" t="str">
        <f>IF(OR($B381="",S$7=""),"",IF($B381="MEANS",INDEX('1-DATA'!$1:$1048576,$A380-1,COLUMN('1-DATA'!R379)),ROUND(INDEX('1-DATA'!$1:$1048576,IF(OR($B381="STD. DEVIATION",$C$1=1),$A381,$A381+1),COLUMN('1-DATA'!R379)),IF($B381="STD. DEVIATION",2,$F$1))))</f>
        <v/>
      </c>
      <c r="T381" s="1" t="str">
        <f>IF(OR($B381="",T$7=""),"",IF($B381="MEANS",INDEX('1-DATA'!$1:$1048576,$A380-1,COLUMN('1-DATA'!S379)),ROUND(INDEX('1-DATA'!$1:$1048576,IF(OR($B381="STD. DEVIATION",$C$1=1),$A381,$A381+1),COLUMN('1-DATA'!S379)),IF($B381="STD. DEVIATION",2,$F$1))))</f>
        <v/>
      </c>
      <c r="U381" s="1" t="str">
        <f>IF(OR($B381="",U$7=""),"",IF($B381="MEANS",INDEX('1-DATA'!$1:$1048576,$A380-1,COLUMN('1-DATA'!T379)),ROUND(INDEX('1-DATA'!$1:$1048576,IF(OR($B381="STD. DEVIATION",$C$1=1),$A381,$A381+1),COLUMN('1-DATA'!T379)),IF($B381="STD. DEVIATION",2,$F$1))))</f>
        <v/>
      </c>
      <c r="V381" s="1" t="str">
        <f>IF(OR($B381="",V$7=""),"",IF($B381="MEANS",INDEX('1-DATA'!$1:$1048576,$A380-1,COLUMN('1-DATA'!U379)),ROUND(INDEX('1-DATA'!$1:$1048576,IF(OR($B381="STD. DEVIATION",$C$1=1),$A381,$A381+1),COLUMN('1-DATA'!U379)),IF($B381="STD. DEVIATION",2,$F$1))))</f>
        <v/>
      </c>
      <c r="W381" s="1" t="str">
        <f>IF(OR($B381="",W$7=""),"",IF($B381="MEANS",INDEX('1-DATA'!$1:$1048576,$A380-1,COLUMN('1-DATA'!V379)),ROUND(INDEX('1-DATA'!$1:$1048576,IF(OR($B381="STD. DEVIATION",$C$1=1),$A381,$A381+1),COLUMN('1-DATA'!V379)),IF($B381="STD. DEVIATION",2,$F$1))))</f>
        <v/>
      </c>
      <c r="X381" s="1" t="str">
        <f>IF(OR($B381="",X$7=""),"",IF($B381="MEANS",INDEX('1-DATA'!$1:$1048576,$A380-1,COLUMN('1-DATA'!W379)),ROUND(INDEX('1-DATA'!$1:$1048576,IF(OR($B381="STD. DEVIATION",$C$1=1),$A381,$A381+1),COLUMN('1-DATA'!W379)),IF($B381="STD. DEVIATION",2,$F$1))))</f>
        <v/>
      </c>
      <c r="Y381" s="1" t="str">
        <f>IF(OR($B381="",Y$7=""),"",IF($B381="MEANS",INDEX('1-DATA'!$1:$1048576,$A380-1,COLUMN('1-DATA'!X379)),ROUND(INDEX('1-DATA'!$1:$1048576,IF(OR($B381="STD. DEVIATION",$C$1=1),$A381,$A381+1),COLUMN('1-DATA'!X379)),IF($B381="STD. DEVIATION",2,$F$1))))</f>
        <v/>
      </c>
      <c r="Z381" s="1" t="str">
        <f>IF(OR($B381="",Z$7=""),"",IF($B381="MEANS",INDEX('1-DATA'!$1:$1048576,$A380-1,COLUMN('1-DATA'!Y379)),ROUND(INDEX('1-DATA'!$1:$1048576,IF(OR($B381="STD. DEVIATION",$C$1=1),$A381,$A381+1),COLUMN('1-DATA'!Y379)),IF($B381="STD. DEVIATION",2,$F$1))))</f>
        <v/>
      </c>
      <c r="AA381" s="1" t="str">
        <f>IF(OR($B381="",AA$7=""),"",IF($B381="MEANS",INDEX('1-DATA'!$1:$1048576,$A380-1,COLUMN('1-DATA'!Z379)),ROUND(INDEX('1-DATA'!$1:$1048576,IF(OR($B381="STD. DEVIATION",$C$1=1),$A381,$A381+1),COLUMN('1-DATA'!Z379)),IF($B381="STD. DEVIATION",2,$F$1))))</f>
        <v/>
      </c>
      <c r="AB381" s="1" t="str">
        <f>IF(OR($B381="",AB$7=""),"",IF($B381="MEANS",INDEX('1-DATA'!$1:$1048576,$A380-1,COLUMN('1-DATA'!AA379)),ROUND(INDEX('1-DATA'!$1:$1048576,IF(OR($B381="STD. DEVIATION",$C$1=1),$A381,$A381+1),COLUMN('1-DATA'!AA379)),IF($B381="STD. DEVIATION",2,$F$1))))</f>
        <v/>
      </c>
      <c r="AC381" s="1" t="str">
        <f>IF(OR($B381="",AC$7=""),"",IF($B381="MEANS",INDEX('1-DATA'!$1:$1048576,$A380-1,COLUMN('1-DATA'!AB379)),ROUND(INDEX('1-DATA'!$1:$1048576,IF(OR($B381="STD. DEVIATION",$C$1=1),$A381,$A381+1),COLUMN('1-DATA'!AB379)),IF($B381="STD. DEVIATION",2,$F$1))))</f>
        <v/>
      </c>
      <c r="AD381" s="1" t="str">
        <f>IF(OR($B381="",AD$7=""),"",IF($B381="MEANS",INDEX('1-DATA'!$1:$1048576,$A380-1,COLUMN('1-DATA'!AC379)),ROUND(INDEX('1-DATA'!$1:$1048576,IF(OR($B381="STD. DEVIATION",$C$1=1),$A381,$A381+1),COLUMN('1-DATA'!AC379)),IF($B381="STD. DEVIATION",2,$F$1))))</f>
        <v/>
      </c>
      <c r="AE381" s="1" t="str">
        <f>IF(OR($B381="",AE$7=""),"",IF($B381="MEANS",INDEX('1-DATA'!$1:$1048576,$A380-1,COLUMN('1-DATA'!AD379)),ROUND(INDEX('1-DATA'!$1:$1048576,IF(OR($B381="STD. DEVIATION",$C$1=1),$A381,$A381+1),COLUMN('1-DATA'!AD379)),IF($B381="STD. DEVIATION",2,$F$1))))</f>
        <v/>
      </c>
      <c r="AF381" s="1" t="str">
        <f>IF(OR($B381="",AF$7=""),"",IF($B381="MEANS",INDEX('1-DATA'!$1:$1048576,$A380-1,COLUMN('1-DATA'!AE379)),ROUND(INDEX('1-DATA'!$1:$1048576,IF(OR($B381="STD. DEVIATION",$C$1=1),$A381,$A381+1),COLUMN('1-DATA'!AE379)),IF($B381="STD. DEVIATION",2,$F$1))))</f>
        <v/>
      </c>
      <c r="AG381" s="1" t="str">
        <f>IF(OR($B381="",AG$7=""),"",IF($B381="MEANS",INDEX('1-DATA'!$1:$1048576,$A380-1,COLUMN('1-DATA'!AF379)),ROUND(INDEX('1-DATA'!$1:$1048576,IF(OR($B381="STD. DEVIATION",$C$1=1),$A381,$A381+1),COLUMN('1-DATA'!AF379)),IF($B381="STD. DEVIATION",2,$F$1))))</f>
        <v/>
      </c>
      <c r="AH381" s="1" t="str">
        <f>IF(OR($B381="",AH$7=""),"",IF($B381="MEANS",INDEX('1-DATA'!$1:$1048576,$A380-1,COLUMN('1-DATA'!AG379)),ROUND(INDEX('1-DATA'!$1:$1048576,IF(OR($B381="STD. DEVIATION",$C$1=1),$A381,$A381+1),COLUMN('1-DATA'!AG379)),IF($B381="STD. DEVIATION",2,$F$1))))</f>
        <v/>
      </c>
      <c r="AI381" s="1" t="str">
        <f>IF(OR($B381="",AI$7=""),"",IF($B381="MEANS",INDEX('1-DATA'!$1:$1048576,$A380-1,COLUMN('1-DATA'!AH379)),ROUND(INDEX('1-DATA'!$1:$1048576,IF(OR($B381="STD. DEVIATION",$C$1=1),$A381,$A381+1),COLUMN('1-DATA'!AH379)),IF($B381="STD. DEVIATION",2,$F$1))))</f>
        <v/>
      </c>
      <c r="AJ381" s="1" t="str">
        <f>IF(OR($B381="",AJ$7=""),"",IF($B381="MEANS",INDEX('1-DATA'!$1:$1048576,$A380-1,COLUMN('1-DATA'!AI379)),ROUND(INDEX('1-DATA'!$1:$1048576,IF(OR($B381="STD. DEVIATION",$C$1=1),$A381,$A381+1),COLUMN('1-DATA'!AI379)),IF($B381="STD. DEVIATION",2,$F$1))))</f>
        <v/>
      </c>
      <c r="AK381" s="1" t="str">
        <f>IF(OR($B381="",AK$7=""),"",IF($B381="MEANS",INDEX('1-DATA'!$1:$1048576,$A380-1,COLUMN('1-DATA'!AJ379)),ROUND(INDEX('1-DATA'!$1:$1048576,IF(OR($B381="STD. DEVIATION",$C$1=1),$A381,$A381+1),COLUMN('1-DATA'!AJ379)),IF($B381="STD. DEVIATION",2,$F$1))))</f>
        <v/>
      </c>
      <c r="AL381" s="1" t="str">
        <f>IF(OR($B381="",AL$7=""),"",IF($B381="MEANS",INDEX('1-DATA'!$1:$1048576,$A380-1,COLUMN('1-DATA'!AK379)),ROUND(INDEX('1-DATA'!$1:$1048576,IF(OR($B381="STD. DEVIATION",$C$1=1),$A381,$A381+1),COLUMN('1-DATA'!AK379)),IF($B381="STD. DEVIATION",2,$F$1))))</f>
        <v/>
      </c>
      <c r="AM381" s="1" t="str">
        <f>IF(OR($B381="",AM$7=""),"",IF($B381="MEANS",INDEX('1-DATA'!$1:$1048576,$A380-1,COLUMN('1-DATA'!AL379)),ROUND(INDEX('1-DATA'!$1:$1048576,IF(OR($B381="STD. DEVIATION",$C$1=1),$A381,$A381+1),COLUMN('1-DATA'!AL379)),IF($B381="STD. DEVIATION",2,$F$1))))</f>
        <v/>
      </c>
      <c r="AN381" s="1" t="str">
        <f>IF(OR($B381="",AN$7=""),"",IF($B381="MEANS",INDEX('1-DATA'!$1:$1048576,$A380-1,COLUMN('1-DATA'!AM379)),ROUND(INDEX('1-DATA'!$1:$1048576,IF(OR($B381="STD. DEVIATION",$C$1=1),$A381,$A381+1),COLUMN('1-DATA'!AM379)),IF($B381="STD. DEVIATION",2,$F$1))))</f>
        <v/>
      </c>
      <c r="AO381" s="1" t="str">
        <f>IF(OR($B381="",AO$7=""),"",IF($B381="MEANS",INDEX('1-DATA'!$1:$1048576,$A380-1,COLUMN('1-DATA'!AN379)),ROUND(INDEX('1-DATA'!$1:$1048576,IF(OR($B381="STD. DEVIATION",$C$1=1),$A381,$A381+1),COLUMN('1-DATA'!AN379)),IF($B381="STD. DEVIATION",2,$F$1))))</f>
        <v/>
      </c>
      <c r="AP381" s="1" t="str">
        <f>IF(OR($B381="",AP$7=""),"",IF($B381="MEANS",INDEX('1-DATA'!$1:$1048576,$A380-1,COLUMN('1-DATA'!AO379)),ROUND(INDEX('1-DATA'!$1:$1048576,IF(OR($B381="STD. DEVIATION",$C$1=1),$A381,$A381+1),COLUMN('1-DATA'!AO379)),IF($B381="STD. DEVIATION",2,$F$1))))</f>
        <v/>
      </c>
      <c r="AQ381" s="1" t="str">
        <f>IF(OR($B381="",AQ$7=""),"",IF($B381="MEANS",INDEX('1-DATA'!$1:$1048576,$A380-1,COLUMN('1-DATA'!AP379)),ROUND(INDEX('1-DATA'!$1:$1048576,IF(OR($B381="STD. DEVIATION",$C$1=1),$A381,$A381+1),COLUMN('1-DATA'!AP379)),IF($B381="STD. DEVIATION",2,$F$1))))</f>
        <v/>
      </c>
      <c r="AR381" s="1" t="str">
        <f>IF(OR($B381="",AR$7=""),"",IF($B381="MEANS",INDEX('1-DATA'!$1:$1048576,$A380-1,COLUMN('1-DATA'!AQ379)),ROUND(INDEX('1-DATA'!$1:$1048576,IF(OR($B381="STD. DEVIATION",$C$1=1),$A381,$A381+1),COLUMN('1-DATA'!AQ379)),IF($B381="STD. DEVIATION",2,$F$1))))</f>
        <v/>
      </c>
      <c r="AS381" s="1" t="str">
        <f>IF(OR($B381="",AS$7=""),"",IF($B381="MEANS",INDEX('1-DATA'!$1:$1048576,$A380-1,COLUMN('1-DATA'!AR379)),ROUND(INDEX('1-DATA'!$1:$1048576,IF(OR($B381="STD. DEVIATION",$C$1=1),$A381,$A381+1),COLUMN('1-DATA'!AR379)),IF($B381="STD. DEVIATION",2,$F$1))))</f>
        <v/>
      </c>
      <c r="AT381" s="1" t="str">
        <f>IF(OR($B381="",AT$7=""),"",IF($B381="MEANS",INDEX('1-DATA'!$1:$1048576,$A380-1,COLUMN('1-DATA'!AS379)),ROUND(INDEX('1-DATA'!$1:$1048576,IF(OR($B381="STD. DEVIATION",$C$1=1),$A381,$A381+1),COLUMN('1-DATA'!AS379)),IF($B381="STD. DEVIATION",2,$F$1))))</f>
        <v/>
      </c>
      <c r="AU381" s="1" t="str">
        <f>IF(OR($B381="",AU$7=""),"",IF($B381="MEANS",INDEX('1-DATA'!$1:$1048576,$A380-1,COLUMN('1-DATA'!AT379)),ROUND(INDEX('1-DATA'!$1:$1048576,IF(OR($B381="STD. DEVIATION",$C$1=1),$A381,$A381+1),COLUMN('1-DATA'!AT379)),IF($B381="STD. DEVIATION",2,$F$1))))</f>
        <v/>
      </c>
      <c r="AV381" s="1" t="str">
        <f>IF(OR($B381="",AV$7=""),"",IF($B381="MEANS",INDEX('1-DATA'!$1:$1048576,$A380-1,COLUMN('1-DATA'!AU379)),ROUND(INDEX('1-DATA'!$1:$1048576,IF(OR($B381="STD. DEVIATION",$C$1=1),$A381,$A381+1),COLUMN('1-DATA'!AU379)),IF($B381="STD. DEVIATION",2,$F$1))))</f>
        <v/>
      </c>
      <c r="AW381" s="1" t="str">
        <f>IF(OR($B381="",AW$7=""),"",IF($B381="MEANS",INDEX('1-DATA'!$1:$1048576,$A380-1,COLUMN('1-DATA'!AV379)),ROUND(INDEX('1-DATA'!$1:$1048576,IF(OR($B381="STD. DEVIATION",$C$1=1),$A381,$A381+1),COLUMN('1-DATA'!AV379)),IF($B381="STD. DEVIATION",2,$F$1))))</f>
        <v/>
      </c>
      <c r="AX381" s="1" t="str">
        <f>IF(OR($B381="",AX$7=""),"",IF($B381="MEANS",INDEX('1-DATA'!$1:$1048576,$A380-1,COLUMN('1-DATA'!AW379)),ROUND(INDEX('1-DATA'!$1:$1048576,IF(OR($B381="STD. DEVIATION",$C$1=1),$A381,$A381+1),COLUMN('1-DATA'!AW379)),IF($B381="STD. DEVIATION",2,$F$1))))</f>
        <v/>
      </c>
      <c r="AY381" s="1" t="str">
        <f>IF(OR($B381="",AY$7=""),"",IF($B381="MEANS",INDEX('1-DATA'!$1:$1048576,$A380-1,COLUMN('1-DATA'!AX379)),ROUND(INDEX('1-DATA'!$1:$1048576,IF(OR($B381="STD. DEVIATION",$C$1=1),$A381,$A381+1),COLUMN('1-DATA'!AX379)),IF($B381="STD. DEVIATION",2,$F$1))))</f>
        <v/>
      </c>
      <c r="AZ381" s="1" t="str">
        <f>IF(OR($B381="",AZ$7=""),"",IF($B381="MEANS",INDEX('1-DATA'!$1:$1048576,$A380-1,COLUMN('1-DATA'!AY379)),ROUND(INDEX('1-DATA'!$1:$1048576,IF(OR($B381="STD. DEVIATION",$C$1=1),$A381,$A381+1),COLUMN('1-DATA'!AY379)),IF($B381="STD. DEVIATION",2,$F$1))))</f>
        <v/>
      </c>
    </row>
    <row r="382" spans="1:52" x14ac:dyDescent="0.25">
      <c r="A382" s="11">
        <f t="shared" si="6"/>
        <v>1132</v>
      </c>
      <c r="B382" s="1" t="str">
        <f>IF(B381="STD. DEVIATION",INDEX('1-DATA'!$1:$1048576,$A381-1,1),IF(INDEX('1-DATA'!$1:$1048576,$A382,1)&lt;&gt;"",INDEX('1-DATA'!$1:$1048576,$A382,1),""))</f>
        <v/>
      </c>
      <c r="C382" s="1" t="str">
        <f>IF(OR($B382="",C$7=""),"",IF($B382="MEANS",INDEX('1-DATA'!$1:$1048576,$A381-1,COLUMN('1-DATA'!B380)),ROUND(INDEX('1-DATA'!$1:$1048576,IF(OR($B382="STD. DEVIATION",$C$1=1),$A382,$A382+1),COLUMN('1-DATA'!B380)),IF($B382="STD. DEVIATION",2,$F$1))))</f>
        <v/>
      </c>
      <c r="D382" s="1" t="str">
        <f>IF(OR($B382="",D$7=""),"",IF($B382="MEANS",INDEX('1-DATA'!$1:$1048576,$A381-1,COLUMN('1-DATA'!C380)),ROUND(INDEX('1-DATA'!$1:$1048576,IF(OR($B382="STD. DEVIATION",$C$1=1),$A382,$A382+1),COLUMN('1-DATA'!C380)),IF($B382="STD. DEVIATION",2,$F$1))))</f>
        <v/>
      </c>
      <c r="E382" s="1" t="str">
        <f>IF(OR($B382="",E$7=""),"",IF($B382="MEANS",INDEX('1-DATA'!$1:$1048576,$A381-1,COLUMN('1-DATA'!D380)),ROUND(INDEX('1-DATA'!$1:$1048576,IF(OR($B382="STD. DEVIATION",$C$1=1),$A382,$A382+1),COLUMN('1-DATA'!D380)),IF($B382="STD. DEVIATION",2,$F$1))))</f>
        <v/>
      </c>
      <c r="F382" s="1" t="str">
        <f>IF(OR($B382="",F$7=""),"",IF($B382="MEANS",INDEX('1-DATA'!$1:$1048576,$A381-1,COLUMN('1-DATA'!E380)),ROUND(INDEX('1-DATA'!$1:$1048576,IF(OR($B382="STD. DEVIATION",$C$1=1),$A382,$A382+1),COLUMN('1-DATA'!E380)),IF($B382="STD. DEVIATION",2,$F$1))))</f>
        <v/>
      </c>
      <c r="G382" s="1" t="str">
        <f>IF(OR($B382="",G$7=""),"",IF($B382="MEANS",INDEX('1-DATA'!$1:$1048576,$A381-1,COLUMN('1-DATA'!F380)),ROUND(INDEX('1-DATA'!$1:$1048576,IF(OR($B382="STD. DEVIATION",$C$1=1),$A382,$A382+1),COLUMN('1-DATA'!F380)),IF($B382="STD. DEVIATION",2,$F$1))))</f>
        <v/>
      </c>
      <c r="H382" s="1" t="str">
        <f>IF(OR($B382="",H$7=""),"",IF($B382="MEANS",INDEX('1-DATA'!$1:$1048576,$A381-1,COLUMN('1-DATA'!G380)),ROUND(INDEX('1-DATA'!$1:$1048576,IF(OR($B382="STD. DEVIATION",$C$1=1),$A382,$A382+1),COLUMN('1-DATA'!G380)),IF($B382="STD. DEVIATION",2,$F$1))))</f>
        <v/>
      </c>
      <c r="I382" s="1" t="str">
        <f>IF(OR($B382="",I$7=""),"",IF($B382="MEANS",INDEX('1-DATA'!$1:$1048576,$A381-1,COLUMN('1-DATA'!H380)),ROUND(INDEX('1-DATA'!$1:$1048576,IF(OR($B382="STD. DEVIATION",$C$1=1),$A382,$A382+1),COLUMN('1-DATA'!H380)),IF($B382="STD. DEVIATION",2,$F$1))))</f>
        <v/>
      </c>
      <c r="J382" s="1" t="str">
        <f>IF(OR($B382="",J$7=""),"",IF($B382="MEANS",INDEX('1-DATA'!$1:$1048576,$A381-1,COLUMN('1-DATA'!I380)),ROUND(INDEX('1-DATA'!$1:$1048576,IF(OR($B382="STD. DEVIATION",$C$1=1),$A382,$A382+1),COLUMN('1-DATA'!I380)),IF($B382="STD. DEVIATION",2,$F$1))))</f>
        <v/>
      </c>
      <c r="K382" s="1" t="str">
        <f>IF(OR($B382="",K$7=""),"",IF($B382="MEANS",INDEX('1-DATA'!$1:$1048576,$A381-1,COLUMN('1-DATA'!J380)),ROUND(INDEX('1-DATA'!$1:$1048576,IF(OR($B382="STD. DEVIATION",$C$1=1),$A382,$A382+1),COLUMN('1-DATA'!J380)),IF($B382="STD. DEVIATION",2,$F$1))))</f>
        <v/>
      </c>
      <c r="L382" s="1" t="str">
        <f>IF(OR($B382="",L$7=""),"",IF($B382="MEANS",INDEX('1-DATA'!$1:$1048576,$A381-1,COLUMN('1-DATA'!K380)),ROUND(INDEX('1-DATA'!$1:$1048576,IF(OR($B382="STD. DEVIATION",$C$1=1),$A382,$A382+1),COLUMN('1-DATA'!K380)),IF($B382="STD. DEVIATION",2,$F$1))))</f>
        <v/>
      </c>
      <c r="M382" s="1" t="str">
        <f>IF(OR($B382="",M$7=""),"",IF($B382="MEANS",INDEX('1-DATA'!$1:$1048576,$A381-1,COLUMN('1-DATA'!L380)),ROUND(INDEX('1-DATA'!$1:$1048576,IF(OR($B382="STD. DEVIATION",$C$1=1),$A382,$A382+1),COLUMN('1-DATA'!L380)),IF($B382="STD. DEVIATION",2,$F$1))))</f>
        <v/>
      </c>
      <c r="N382" s="1" t="str">
        <f>IF(OR($B382="",N$7=""),"",IF($B382="MEANS",INDEX('1-DATA'!$1:$1048576,$A381-1,COLUMN('1-DATA'!M380)),ROUND(INDEX('1-DATA'!$1:$1048576,IF(OR($B382="STD. DEVIATION",$C$1=1),$A382,$A382+1),COLUMN('1-DATA'!M380)),IF($B382="STD. DEVIATION",2,$F$1))))</f>
        <v/>
      </c>
      <c r="O382" s="1" t="str">
        <f>IF(OR($B382="",O$7=""),"",IF($B382="MEANS",INDEX('1-DATA'!$1:$1048576,$A381-1,COLUMN('1-DATA'!N380)),ROUND(INDEX('1-DATA'!$1:$1048576,IF(OR($B382="STD. DEVIATION",$C$1=1),$A382,$A382+1),COLUMN('1-DATA'!N380)),IF($B382="STD. DEVIATION",2,$F$1))))</f>
        <v/>
      </c>
      <c r="P382" s="1" t="str">
        <f>IF(OR($B382="",P$7=""),"",IF($B382="MEANS",INDEX('1-DATA'!$1:$1048576,$A381-1,COLUMN('1-DATA'!O380)),ROUND(INDEX('1-DATA'!$1:$1048576,IF(OR($B382="STD. DEVIATION",$C$1=1),$A382,$A382+1),COLUMN('1-DATA'!O380)),IF($B382="STD. DEVIATION",2,$F$1))))</f>
        <v/>
      </c>
      <c r="Q382" s="1" t="str">
        <f>IF(OR($B382="",Q$7=""),"",IF($B382="MEANS",INDEX('1-DATA'!$1:$1048576,$A381-1,COLUMN('1-DATA'!P380)),ROUND(INDEX('1-DATA'!$1:$1048576,IF(OR($B382="STD. DEVIATION",$C$1=1),$A382,$A382+1),COLUMN('1-DATA'!P380)),IF($B382="STD. DEVIATION",2,$F$1))))</f>
        <v/>
      </c>
      <c r="R382" s="1" t="str">
        <f>IF(OR($B382="",R$7=""),"",IF($B382="MEANS",INDEX('1-DATA'!$1:$1048576,$A381-1,COLUMN('1-DATA'!Q380)),ROUND(INDEX('1-DATA'!$1:$1048576,IF(OR($B382="STD. DEVIATION",$C$1=1),$A382,$A382+1),COLUMN('1-DATA'!Q380)),IF($B382="STD. DEVIATION",2,$F$1))))</f>
        <v/>
      </c>
      <c r="S382" s="1" t="str">
        <f>IF(OR($B382="",S$7=""),"",IF($B382="MEANS",INDEX('1-DATA'!$1:$1048576,$A381-1,COLUMN('1-DATA'!R380)),ROUND(INDEX('1-DATA'!$1:$1048576,IF(OR($B382="STD. DEVIATION",$C$1=1),$A382,$A382+1),COLUMN('1-DATA'!R380)),IF($B382="STD. DEVIATION",2,$F$1))))</f>
        <v/>
      </c>
      <c r="T382" s="1" t="str">
        <f>IF(OR($B382="",T$7=""),"",IF($B382="MEANS",INDEX('1-DATA'!$1:$1048576,$A381-1,COLUMN('1-DATA'!S380)),ROUND(INDEX('1-DATA'!$1:$1048576,IF(OR($B382="STD. DEVIATION",$C$1=1),$A382,$A382+1),COLUMN('1-DATA'!S380)),IF($B382="STD. DEVIATION",2,$F$1))))</f>
        <v/>
      </c>
      <c r="U382" s="1" t="str">
        <f>IF(OR($B382="",U$7=""),"",IF($B382="MEANS",INDEX('1-DATA'!$1:$1048576,$A381-1,COLUMN('1-DATA'!T380)),ROUND(INDEX('1-DATA'!$1:$1048576,IF(OR($B382="STD. DEVIATION",$C$1=1),$A382,$A382+1),COLUMN('1-DATA'!T380)),IF($B382="STD. DEVIATION",2,$F$1))))</f>
        <v/>
      </c>
      <c r="V382" s="1" t="str">
        <f>IF(OR($B382="",V$7=""),"",IF($B382="MEANS",INDEX('1-DATA'!$1:$1048576,$A381-1,COLUMN('1-DATA'!U380)),ROUND(INDEX('1-DATA'!$1:$1048576,IF(OR($B382="STD. DEVIATION",$C$1=1),$A382,$A382+1),COLUMN('1-DATA'!U380)),IF($B382="STD. DEVIATION",2,$F$1))))</f>
        <v/>
      </c>
      <c r="W382" s="1" t="str">
        <f>IF(OR($B382="",W$7=""),"",IF($B382="MEANS",INDEX('1-DATA'!$1:$1048576,$A381-1,COLUMN('1-DATA'!V380)),ROUND(INDEX('1-DATA'!$1:$1048576,IF(OR($B382="STD. DEVIATION",$C$1=1),$A382,$A382+1),COLUMN('1-DATA'!V380)),IF($B382="STD. DEVIATION",2,$F$1))))</f>
        <v/>
      </c>
      <c r="X382" s="1" t="str">
        <f>IF(OR($B382="",X$7=""),"",IF($B382="MEANS",INDEX('1-DATA'!$1:$1048576,$A381-1,COLUMN('1-DATA'!W380)),ROUND(INDEX('1-DATA'!$1:$1048576,IF(OR($B382="STD. DEVIATION",$C$1=1),$A382,$A382+1),COLUMN('1-DATA'!W380)),IF($B382="STD. DEVIATION",2,$F$1))))</f>
        <v/>
      </c>
      <c r="Y382" s="1" t="str">
        <f>IF(OR($B382="",Y$7=""),"",IF($B382="MEANS",INDEX('1-DATA'!$1:$1048576,$A381-1,COLUMN('1-DATA'!X380)),ROUND(INDEX('1-DATA'!$1:$1048576,IF(OR($B382="STD. DEVIATION",$C$1=1),$A382,$A382+1),COLUMN('1-DATA'!X380)),IF($B382="STD. DEVIATION",2,$F$1))))</f>
        <v/>
      </c>
      <c r="Z382" s="1" t="str">
        <f>IF(OR($B382="",Z$7=""),"",IF($B382="MEANS",INDEX('1-DATA'!$1:$1048576,$A381-1,COLUMN('1-DATA'!Y380)),ROUND(INDEX('1-DATA'!$1:$1048576,IF(OR($B382="STD. DEVIATION",$C$1=1),$A382,$A382+1),COLUMN('1-DATA'!Y380)),IF($B382="STD. DEVIATION",2,$F$1))))</f>
        <v/>
      </c>
      <c r="AA382" s="1" t="str">
        <f>IF(OR($B382="",AA$7=""),"",IF($B382="MEANS",INDEX('1-DATA'!$1:$1048576,$A381-1,COLUMN('1-DATA'!Z380)),ROUND(INDEX('1-DATA'!$1:$1048576,IF(OR($B382="STD. DEVIATION",$C$1=1),$A382,$A382+1),COLUMN('1-DATA'!Z380)),IF($B382="STD. DEVIATION",2,$F$1))))</f>
        <v/>
      </c>
      <c r="AB382" s="1" t="str">
        <f>IF(OR($B382="",AB$7=""),"",IF($B382="MEANS",INDEX('1-DATA'!$1:$1048576,$A381-1,COLUMN('1-DATA'!AA380)),ROUND(INDEX('1-DATA'!$1:$1048576,IF(OR($B382="STD. DEVIATION",$C$1=1),$A382,$A382+1),COLUMN('1-DATA'!AA380)),IF($B382="STD. DEVIATION",2,$F$1))))</f>
        <v/>
      </c>
      <c r="AC382" s="1" t="str">
        <f>IF(OR($B382="",AC$7=""),"",IF($B382="MEANS",INDEX('1-DATA'!$1:$1048576,$A381-1,COLUMN('1-DATA'!AB380)),ROUND(INDEX('1-DATA'!$1:$1048576,IF(OR($B382="STD. DEVIATION",$C$1=1),$A382,$A382+1),COLUMN('1-DATA'!AB380)),IF($B382="STD. DEVIATION",2,$F$1))))</f>
        <v/>
      </c>
      <c r="AD382" s="1" t="str">
        <f>IF(OR($B382="",AD$7=""),"",IF($B382="MEANS",INDEX('1-DATA'!$1:$1048576,$A381-1,COLUMN('1-DATA'!AC380)),ROUND(INDEX('1-DATA'!$1:$1048576,IF(OR($B382="STD. DEVIATION",$C$1=1),$A382,$A382+1),COLUMN('1-DATA'!AC380)),IF($B382="STD. DEVIATION",2,$F$1))))</f>
        <v/>
      </c>
      <c r="AE382" s="1" t="str">
        <f>IF(OR($B382="",AE$7=""),"",IF($B382="MEANS",INDEX('1-DATA'!$1:$1048576,$A381-1,COLUMN('1-DATA'!AD380)),ROUND(INDEX('1-DATA'!$1:$1048576,IF(OR($B382="STD. DEVIATION",$C$1=1),$A382,$A382+1),COLUMN('1-DATA'!AD380)),IF($B382="STD. DEVIATION",2,$F$1))))</f>
        <v/>
      </c>
      <c r="AF382" s="1" t="str">
        <f>IF(OR($B382="",AF$7=""),"",IF($B382="MEANS",INDEX('1-DATA'!$1:$1048576,$A381-1,COLUMN('1-DATA'!AE380)),ROUND(INDEX('1-DATA'!$1:$1048576,IF(OR($B382="STD. DEVIATION",$C$1=1),$A382,$A382+1),COLUMN('1-DATA'!AE380)),IF($B382="STD. DEVIATION",2,$F$1))))</f>
        <v/>
      </c>
      <c r="AG382" s="1" t="str">
        <f>IF(OR($B382="",AG$7=""),"",IF($B382="MEANS",INDEX('1-DATA'!$1:$1048576,$A381-1,COLUMN('1-DATA'!AF380)),ROUND(INDEX('1-DATA'!$1:$1048576,IF(OR($B382="STD. DEVIATION",$C$1=1),$A382,$A382+1),COLUMN('1-DATA'!AF380)),IF($B382="STD. DEVIATION",2,$F$1))))</f>
        <v/>
      </c>
      <c r="AH382" s="1" t="str">
        <f>IF(OR($B382="",AH$7=""),"",IF($B382="MEANS",INDEX('1-DATA'!$1:$1048576,$A381-1,COLUMN('1-DATA'!AG380)),ROUND(INDEX('1-DATA'!$1:$1048576,IF(OR($B382="STD. DEVIATION",$C$1=1),$A382,$A382+1),COLUMN('1-DATA'!AG380)),IF($B382="STD. DEVIATION",2,$F$1))))</f>
        <v/>
      </c>
      <c r="AI382" s="1" t="str">
        <f>IF(OR($B382="",AI$7=""),"",IF($B382="MEANS",INDEX('1-DATA'!$1:$1048576,$A381-1,COLUMN('1-DATA'!AH380)),ROUND(INDEX('1-DATA'!$1:$1048576,IF(OR($B382="STD. DEVIATION",$C$1=1),$A382,$A382+1),COLUMN('1-DATA'!AH380)),IF($B382="STD. DEVIATION",2,$F$1))))</f>
        <v/>
      </c>
      <c r="AJ382" s="1" t="str">
        <f>IF(OR($B382="",AJ$7=""),"",IF($B382="MEANS",INDEX('1-DATA'!$1:$1048576,$A381-1,COLUMN('1-DATA'!AI380)),ROUND(INDEX('1-DATA'!$1:$1048576,IF(OR($B382="STD. DEVIATION",$C$1=1),$A382,$A382+1),COLUMN('1-DATA'!AI380)),IF($B382="STD. DEVIATION",2,$F$1))))</f>
        <v/>
      </c>
      <c r="AK382" s="1" t="str">
        <f>IF(OR($B382="",AK$7=""),"",IF($B382="MEANS",INDEX('1-DATA'!$1:$1048576,$A381-1,COLUMN('1-DATA'!AJ380)),ROUND(INDEX('1-DATA'!$1:$1048576,IF(OR($B382="STD. DEVIATION",$C$1=1),$A382,$A382+1),COLUMN('1-DATA'!AJ380)),IF($B382="STD. DEVIATION",2,$F$1))))</f>
        <v/>
      </c>
      <c r="AL382" s="1" t="str">
        <f>IF(OR($B382="",AL$7=""),"",IF($B382="MEANS",INDEX('1-DATA'!$1:$1048576,$A381-1,COLUMN('1-DATA'!AK380)),ROUND(INDEX('1-DATA'!$1:$1048576,IF(OR($B382="STD. DEVIATION",$C$1=1),$A382,$A382+1),COLUMN('1-DATA'!AK380)),IF($B382="STD. DEVIATION",2,$F$1))))</f>
        <v/>
      </c>
      <c r="AM382" s="1" t="str">
        <f>IF(OR($B382="",AM$7=""),"",IF($B382="MEANS",INDEX('1-DATA'!$1:$1048576,$A381-1,COLUMN('1-DATA'!AL380)),ROUND(INDEX('1-DATA'!$1:$1048576,IF(OR($B382="STD. DEVIATION",$C$1=1),$A382,$A382+1),COLUMN('1-DATA'!AL380)),IF($B382="STD. DEVIATION",2,$F$1))))</f>
        <v/>
      </c>
      <c r="AN382" s="1" t="str">
        <f>IF(OR($B382="",AN$7=""),"",IF($B382="MEANS",INDEX('1-DATA'!$1:$1048576,$A381-1,COLUMN('1-DATA'!AM380)),ROUND(INDEX('1-DATA'!$1:$1048576,IF(OR($B382="STD. DEVIATION",$C$1=1),$A382,$A382+1),COLUMN('1-DATA'!AM380)),IF($B382="STD. DEVIATION",2,$F$1))))</f>
        <v/>
      </c>
      <c r="AO382" s="1" t="str">
        <f>IF(OR($B382="",AO$7=""),"",IF($B382="MEANS",INDEX('1-DATA'!$1:$1048576,$A381-1,COLUMN('1-DATA'!AN380)),ROUND(INDEX('1-DATA'!$1:$1048576,IF(OR($B382="STD. DEVIATION",$C$1=1),$A382,$A382+1),COLUMN('1-DATA'!AN380)),IF($B382="STD. DEVIATION",2,$F$1))))</f>
        <v/>
      </c>
      <c r="AP382" s="1" t="str">
        <f>IF(OR($B382="",AP$7=""),"",IF($B382="MEANS",INDEX('1-DATA'!$1:$1048576,$A381-1,COLUMN('1-DATA'!AO380)),ROUND(INDEX('1-DATA'!$1:$1048576,IF(OR($B382="STD. DEVIATION",$C$1=1),$A382,$A382+1),COLUMN('1-DATA'!AO380)),IF($B382="STD. DEVIATION",2,$F$1))))</f>
        <v/>
      </c>
      <c r="AQ382" s="1" t="str">
        <f>IF(OR($B382="",AQ$7=""),"",IF($B382="MEANS",INDEX('1-DATA'!$1:$1048576,$A381-1,COLUMN('1-DATA'!AP380)),ROUND(INDEX('1-DATA'!$1:$1048576,IF(OR($B382="STD. DEVIATION",$C$1=1),$A382,$A382+1),COLUMN('1-DATA'!AP380)),IF($B382="STD. DEVIATION",2,$F$1))))</f>
        <v/>
      </c>
      <c r="AR382" s="1" t="str">
        <f>IF(OR($B382="",AR$7=""),"",IF($B382="MEANS",INDEX('1-DATA'!$1:$1048576,$A381-1,COLUMN('1-DATA'!AQ380)),ROUND(INDEX('1-DATA'!$1:$1048576,IF(OR($B382="STD. DEVIATION",$C$1=1),$A382,$A382+1),COLUMN('1-DATA'!AQ380)),IF($B382="STD. DEVIATION",2,$F$1))))</f>
        <v/>
      </c>
      <c r="AS382" s="1" t="str">
        <f>IF(OR($B382="",AS$7=""),"",IF($B382="MEANS",INDEX('1-DATA'!$1:$1048576,$A381-1,COLUMN('1-DATA'!AR380)),ROUND(INDEX('1-DATA'!$1:$1048576,IF(OR($B382="STD. DEVIATION",$C$1=1),$A382,$A382+1),COLUMN('1-DATA'!AR380)),IF($B382="STD. DEVIATION",2,$F$1))))</f>
        <v/>
      </c>
      <c r="AT382" s="1" t="str">
        <f>IF(OR($B382="",AT$7=""),"",IF($B382="MEANS",INDEX('1-DATA'!$1:$1048576,$A381-1,COLUMN('1-DATA'!AS380)),ROUND(INDEX('1-DATA'!$1:$1048576,IF(OR($B382="STD. DEVIATION",$C$1=1),$A382,$A382+1),COLUMN('1-DATA'!AS380)),IF($B382="STD. DEVIATION",2,$F$1))))</f>
        <v/>
      </c>
      <c r="AU382" s="1" t="str">
        <f>IF(OR($B382="",AU$7=""),"",IF($B382="MEANS",INDEX('1-DATA'!$1:$1048576,$A381-1,COLUMN('1-DATA'!AT380)),ROUND(INDEX('1-DATA'!$1:$1048576,IF(OR($B382="STD. DEVIATION",$C$1=1),$A382,$A382+1),COLUMN('1-DATA'!AT380)),IF($B382="STD. DEVIATION",2,$F$1))))</f>
        <v/>
      </c>
      <c r="AV382" s="1" t="str">
        <f>IF(OR($B382="",AV$7=""),"",IF($B382="MEANS",INDEX('1-DATA'!$1:$1048576,$A381-1,COLUMN('1-DATA'!AU380)),ROUND(INDEX('1-DATA'!$1:$1048576,IF(OR($B382="STD. DEVIATION",$C$1=1),$A382,$A382+1),COLUMN('1-DATA'!AU380)),IF($B382="STD. DEVIATION",2,$F$1))))</f>
        <v/>
      </c>
      <c r="AW382" s="1" t="str">
        <f>IF(OR($B382="",AW$7=""),"",IF($B382="MEANS",INDEX('1-DATA'!$1:$1048576,$A381-1,COLUMN('1-DATA'!AV380)),ROUND(INDEX('1-DATA'!$1:$1048576,IF(OR($B382="STD. DEVIATION",$C$1=1),$A382,$A382+1),COLUMN('1-DATA'!AV380)),IF($B382="STD. DEVIATION",2,$F$1))))</f>
        <v/>
      </c>
      <c r="AX382" s="1" t="str">
        <f>IF(OR($B382="",AX$7=""),"",IF($B382="MEANS",INDEX('1-DATA'!$1:$1048576,$A381-1,COLUMN('1-DATA'!AW380)),ROUND(INDEX('1-DATA'!$1:$1048576,IF(OR($B382="STD. DEVIATION",$C$1=1),$A382,$A382+1),COLUMN('1-DATA'!AW380)),IF($B382="STD. DEVIATION",2,$F$1))))</f>
        <v/>
      </c>
      <c r="AY382" s="1" t="str">
        <f>IF(OR($B382="",AY$7=""),"",IF($B382="MEANS",INDEX('1-DATA'!$1:$1048576,$A381-1,COLUMN('1-DATA'!AX380)),ROUND(INDEX('1-DATA'!$1:$1048576,IF(OR($B382="STD. DEVIATION",$C$1=1),$A382,$A382+1),COLUMN('1-DATA'!AX380)),IF($B382="STD. DEVIATION",2,$F$1))))</f>
        <v/>
      </c>
      <c r="AZ382" s="1" t="str">
        <f>IF(OR($B382="",AZ$7=""),"",IF($B382="MEANS",INDEX('1-DATA'!$1:$1048576,$A381-1,COLUMN('1-DATA'!AY380)),ROUND(INDEX('1-DATA'!$1:$1048576,IF(OR($B382="STD. DEVIATION",$C$1=1),$A382,$A382+1),COLUMN('1-DATA'!AY380)),IF($B382="STD. DEVIATION",2,$F$1))))</f>
        <v/>
      </c>
    </row>
    <row r="383" spans="1:52" x14ac:dyDescent="0.25">
      <c r="A383" s="11">
        <f t="shared" si="6"/>
        <v>1135</v>
      </c>
      <c r="B383" s="1" t="str">
        <f>IF(B382="STD. DEVIATION",INDEX('1-DATA'!$1:$1048576,$A382-1,1),IF(INDEX('1-DATA'!$1:$1048576,$A383,1)&lt;&gt;"",INDEX('1-DATA'!$1:$1048576,$A383,1),""))</f>
        <v/>
      </c>
      <c r="C383" s="1" t="str">
        <f>IF(OR($B383="",C$7=""),"",IF($B383="MEANS",INDEX('1-DATA'!$1:$1048576,$A382-1,COLUMN('1-DATA'!B381)),ROUND(INDEX('1-DATA'!$1:$1048576,IF(OR($B383="STD. DEVIATION",$C$1=1),$A383,$A383+1),COLUMN('1-DATA'!B381)),IF($B383="STD. DEVIATION",2,$F$1))))</f>
        <v/>
      </c>
      <c r="D383" s="1" t="str">
        <f>IF(OR($B383="",D$7=""),"",IF($B383="MEANS",INDEX('1-DATA'!$1:$1048576,$A382-1,COLUMN('1-DATA'!C381)),ROUND(INDEX('1-DATA'!$1:$1048576,IF(OR($B383="STD. DEVIATION",$C$1=1),$A383,$A383+1),COLUMN('1-DATA'!C381)),IF($B383="STD. DEVIATION",2,$F$1))))</f>
        <v/>
      </c>
      <c r="E383" s="1" t="str">
        <f>IF(OR($B383="",E$7=""),"",IF($B383="MEANS",INDEX('1-DATA'!$1:$1048576,$A382-1,COLUMN('1-DATA'!D381)),ROUND(INDEX('1-DATA'!$1:$1048576,IF(OR($B383="STD. DEVIATION",$C$1=1),$A383,$A383+1),COLUMN('1-DATA'!D381)),IF($B383="STD. DEVIATION",2,$F$1))))</f>
        <v/>
      </c>
      <c r="F383" s="1" t="str">
        <f>IF(OR($B383="",F$7=""),"",IF($B383="MEANS",INDEX('1-DATA'!$1:$1048576,$A382-1,COLUMN('1-DATA'!E381)),ROUND(INDEX('1-DATA'!$1:$1048576,IF(OR($B383="STD. DEVIATION",$C$1=1),$A383,$A383+1),COLUMN('1-DATA'!E381)),IF($B383="STD. DEVIATION",2,$F$1))))</f>
        <v/>
      </c>
      <c r="G383" s="1" t="str">
        <f>IF(OR($B383="",G$7=""),"",IF($B383="MEANS",INDEX('1-DATA'!$1:$1048576,$A382-1,COLUMN('1-DATA'!F381)),ROUND(INDEX('1-DATA'!$1:$1048576,IF(OR($B383="STD. DEVIATION",$C$1=1),$A383,$A383+1),COLUMN('1-DATA'!F381)),IF($B383="STD. DEVIATION",2,$F$1))))</f>
        <v/>
      </c>
      <c r="H383" s="1" t="str">
        <f>IF(OR($B383="",H$7=""),"",IF($B383="MEANS",INDEX('1-DATA'!$1:$1048576,$A382-1,COLUMN('1-DATA'!G381)),ROUND(INDEX('1-DATA'!$1:$1048576,IF(OR($B383="STD. DEVIATION",$C$1=1),$A383,$A383+1),COLUMN('1-DATA'!G381)),IF($B383="STD. DEVIATION",2,$F$1))))</f>
        <v/>
      </c>
      <c r="I383" s="1" t="str">
        <f>IF(OR($B383="",I$7=""),"",IF($B383="MEANS",INDEX('1-DATA'!$1:$1048576,$A382-1,COLUMN('1-DATA'!H381)),ROUND(INDEX('1-DATA'!$1:$1048576,IF(OR($B383="STD. DEVIATION",$C$1=1),$A383,$A383+1),COLUMN('1-DATA'!H381)),IF($B383="STD. DEVIATION",2,$F$1))))</f>
        <v/>
      </c>
      <c r="J383" s="1" t="str">
        <f>IF(OR($B383="",J$7=""),"",IF($B383="MEANS",INDEX('1-DATA'!$1:$1048576,$A382-1,COLUMN('1-DATA'!I381)),ROUND(INDEX('1-DATA'!$1:$1048576,IF(OR($B383="STD. DEVIATION",$C$1=1),$A383,$A383+1),COLUMN('1-DATA'!I381)),IF($B383="STD. DEVIATION",2,$F$1))))</f>
        <v/>
      </c>
      <c r="K383" s="1" t="str">
        <f>IF(OR($B383="",K$7=""),"",IF($B383="MEANS",INDEX('1-DATA'!$1:$1048576,$A382-1,COLUMN('1-DATA'!J381)),ROUND(INDEX('1-DATA'!$1:$1048576,IF(OR($B383="STD. DEVIATION",$C$1=1),$A383,$A383+1),COLUMN('1-DATA'!J381)),IF($B383="STD. DEVIATION",2,$F$1))))</f>
        <v/>
      </c>
      <c r="L383" s="1" t="str">
        <f>IF(OR($B383="",L$7=""),"",IF($B383="MEANS",INDEX('1-DATA'!$1:$1048576,$A382-1,COLUMN('1-DATA'!K381)),ROUND(INDEX('1-DATA'!$1:$1048576,IF(OR($B383="STD. DEVIATION",$C$1=1),$A383,$A383+1),COLUMN('1-DATA'!K381)),IF($B383="STD. DEVIATION",2,$F$1))))</f>
        <v/>
      </c>
      <c r="M383" s="1" t="str">
        <f>IF(OR($B383="",M$7=""),"",IF($B383="MEANS",INDEX('1-DATA'!$1:$1048576,$A382-1,COLUMN('1-DATA'!L381)),ROUND(INDEX('1-DATA'!$1:$1048576,IF(OR($B383="STD. DEVIATION",$C$1=1),$A383,$A383+1),COLUMN('1-DATA'!L381)),IF($B383="STD. DEVIATION",2,$F$1))))</f>
        <v/>
      </c>
      <c r="N383" s="1" t="str">
        <f>IF(OR($B383="",N$7=""),"",IF($B383="MEANS",INDEX('1-DATA'!$1:$1048576,$A382-1,COLUMN('1-DATA'!M381)),ROUND(INDEX('1-DATA'!$1:$1048576,IF(OR($B383="STD. DEVIATION",$C$1=1),$A383,$A383+1),COLUMN('1-DATA'!M381)),IF($B383="STD. DEVIATION",2,$F$1))))</f>
        <v/>
      </c>
      <c r="O383" s="1" t="str">
        <f>IF(OR($B383="",O$7=""),"",IF($B383="MEANS",INDEX('1-DATA'!$1:$1048576,$A382-1,COLUMN('1-DATA'!N381)),ROUND(INDEX('1-DATA'!$1:$1048576,IF(OR($B383="STD. DEVIATION",$C$1=1),$A383,$A383+1),COLUMN('1-DATA'!N381)),IF($B383="STD. DEVIATION",2,$F$1))))</f>
        <v/>
      </c>
      <c r="P383" s="1" t="str">
        <f>IF(OR($B383="",P$7=""),"",IF($B383="MEANS",INDEX('1-DATA'!$1:$1048576,$A382-1,COLUMN('1-DATA'!O381)),ROUND(INDEX('1-DATA'!$1:$1048576,IF(OR($B383="STD. DEVIATION",$C$1=1),$A383,$A383+1),COLUMN('1-DATA'!O381)),IF($B383="STD. DEVIATION",2,$F$1))))</f>
        <v/>
      </c>
      <c r="Q383" s="1" t="str">
        <f>IF(OR($B383="",Q$7=""),"",IF($B383="MEANS",INDEX('1-DATA'!$1:$1048576,$A382-1,COLUMN('1-DATA'!P381)),ROUND(INDEX('1-DATA'!$1:$1048576,IF(OR($B383="STD. DEVIATION",$C$1=1),$A383,$A383+1),COLUMN('1-DATA'!P381)),IF($B383="STD. DEVIATION",2,$F$1))))</f>
        <v/>
      </c>
      <c r="R383" s="1" t="str">
        <f>IF(OR($B383="",R$7=""),"",IF($B383="MEANS",INDEX('1-DATA'!$1:$1048576,$A382-1,COLUMN('1-DATA'!Q381)),ROUND(INDEX('1-DATA'!$1:$1048576,IF(OR($B383="STD. DEVIATION",$C$1=1),$A383,$A383+1),COLUMN('1-DATA'!Q381)),IF($B383="STD. DEVIATION",2,$F$1))))</f>
        <v/>
      </c>
      <c r="S383" s="1" t="str">
        <f>IF(OR($B383="",S$7=""),"",IF($B383="MEANS",INDEX('1-DATA'!$1:$1048576,$A382-1,COLUMN('1-DATA'!R381)),ROUND(INDEX('1-DATA'!$1:$1048576,IF(OR($B383="STD. DEVIATION",$C$1=1),$A383,$A383+1),COLUMN('1-DATA'!R381)),IF($B383="STD. DEVIATION",2,$F$1))))</f>
        <v/>
      </c>
      <c r="T383" s="1" t="str">
        <f>IF(OR($B383="",T$7=""),"",IF($B383="MEANS",INDEX('1-DATA'!$1:$1048576,$A382-1,COLUMN('1-DATA'!S381)),ROUND(INDEX('1-DATA'!$1:$1048576,IF(OR($B383="STD. DEVIATION",$C$1=1),$A383,$A383+1),COLUMN('1-DATA'!S381)),IF($B383="STD. DEVIATION",2,$F$1))))</f>
        <v/>
      </c>
      <c r="U383" s="1" t="str">
        <f>IF(OR($B383="",U$7=""),"",IF($B383="MEANS",INDEX('1-DATA'!$1:$1048576,$A382-1,COLUMN('1-DATA'!T381)),ROUND(INDEX('1-DATA'!$1:$1048576,IF(OR($B383="STD. DEVIATION",$C$1=1),$A383,$A383+1),COLUMN('1-DATA'!T381)),IF($B383="STD. DEVIATION",2,$F$1))))</f>
        <v/>
      </c>
      <c r="V383" s="1" t="str">
        <f>IF(OR($B383="",V$7=""),"",IF($B383="MEANS",INDEX('1-DATA'!$1:$1048576,$A382-1,COLUMN('1-DATA'!U381)),ROUND(INDEX('1-DATA'!$1:$1048576,IF(OR($B383="STD. DEVIATION",$C$1=1),$A383,$A383+1),COLUMN('1-DATA'!U381)),IF($B383="STD. DEVIATION",2,$F$1))))</f>
        <v/>
      </c>
      <c r="W383" s="1" t="str">
        <f>IF(OR($B383="",W$7=""),"",IF($B383="MEANS",INDEX('1-DATA'!$1:$1048576,$A382-1,COLUMN('1-DATA'!V381)),ROUND(INDEX('1-DATA'!$1:$1048576,IF(OR($B383="STD. DEVIATION",$C$1=1),$A383,$A383+1),COLUMN('1-DATA'!V381)),IF($B383="STD. DEVIATION",2,$F$1))))</f>
        <v/>
      </c>
      <c r="X383" s="1" t="str">
        <f>IF(OR($B383="",X$7=""),"",IF($B383="MEANS",INDEX('1-DATA'!$1:$1048576,$A382-1,COLUMN('1-DATA'!W381)),ROUND(INDEX('1-DATA'!$1:$1048576,IF(OR($B383="STD. DEVIATION",$C$1=1),$A383,$A383+1),COLUMN('1-DATA'!W381)),IF($B383="STD. DEVIATION",2,$F$1))))</f>
        <v/>
      </c>
      <c r="Y383" s="1" t="str">
        <f>IF(OR($B383="",Y$7=""),"",IF($B383="MEANS",INDEX('1-DATA'!$1:$1048576,$A382-1,COLUMN('1-DATA'!X381)),ROUND(INDEX('1-DATA'!$1:$1048576,IF(OR($B383="STD. DEVIATION",$C$1=1),$A383,$A383+1),COLUMN('1-DATA'!X381)),IF($B383="STD. DEVIATION",2,$F$1))))</f>
        <v/>
      </c>
      <c r="Z383" s="1" t="str">
        <f>IF(OR($B383="",Z$7=""),"",IF($B383="MEANS",INDEX('1-DATA'!$1:$1048576,$A382-1,COLUMN('1-DATA'!Y381)),ROUND(INDEX('1-DATA'!$1:$1048576,IF(OR($B383="STD. DEVIATION",$C$1=1),$A383,$A383+1),COLUMN('1-DATA'!Y381)),IF($B383="STD. DEVIATION",2,$F$1))))</f>
        <v/>
      </c>
      <c r="AA383" s="1" t="str">
        <f>IF(OR($B383="",AA$7=""),"",IF($B383="MEANS",INDEX('1-DATA'!$1:$1048576,$A382-1,COLUMN('1-DATA'!Z381)),ROUND(INDEX('1-DATA'!$1:$1048576,IF(OR($B383="STD. DEVIATION",$C$1=1),$A383,$A383+1),COLUMN('1-DATA'!Z381)),IF($B383="STD. DEVIATION",2,$F$1))))</f>
        <v/>
      </c>
      <c r="AB383" s="1" t="str">
        <f>IF(OR($B383="",AB$7=""),"",IF($B383="MEANS",INDEX('1-DATA'!$1:$1048576,$A382-1,COLUMN('1-DATA'!AA381)),ROUND(INDEX('1-DATA'!$1:$1048576,IF(OR($B383="STD. DEVIATION",$C$1=1),$A383,$A383+1),COLUMN('1-DATA'!AA381)),IF($B383="STD. DEVIATION",2,$F$1))))</f>
        <v/>
      </c>
      <c r="AC383" s="1" t="str">
        <f>IF(OR($B383="",AC$7=""),"",IF($B383="MEANS",INDEX('1-DATA'!$1:$1048576,$A382-1,COLUMN('1-DATA'!AB381)),ROUND(INDEX('1-DATA'!$1:$1048576,IF(OR($B383="STD. DEVIATION",$C$1=1),$A383,$A383+1),COLUMN('1-DATA'!AB381)),IF($B383="STD. DEVIATION",2,$F$1))))</f>
        <v/>
      </c>
      <c r="AD383" s="1" t="str">
        <f>IF(OR($B383="",AD$7=""),"",IF($B383="MEANS",INDEX('1-DATA'!$1:$1048576,$A382-1,COLUMN('1-DATA'!AC381)),ROUND(INDEX('1-DATA'!$1:$1048576,IF(OR($B383="STD. DEVIATION",$C$1=1),$A383,$A383+1),COLUMN('1-DATA'!AC381)),IF($B383="STD. DEVIATION",2,$F$1))))</f>
        <v/>
      </c>
      <c r="AE383" s="1" t="str">
        <f>IF(OR($B383="",AE$7=""),"",IF($B383="MEANS",INDEX('1-DATA'!$1:$1048576,$A382-1,COLUMN('1-DATA'!AD381)),ROUND(INDEX('1-DATA'!$1:$1048576,IF(OR($B383="STD. DEVIATION",$C$1=1),$A383,$A383+1),COLUMN('1-DATA'!AD381)),IF($B383="STD. DEVIATION",2,$F$1))))</f>
        <v/>
      </c>
      <c r="AF383" s="1" t="str">
        <f>IF(OR($B383="",AF$7=""),"",IF($B383="MEANS",INDEX('1-DATA'!$1:$1048576,$A382-1,COLUMN('1-DATA'!AE381)),ROUND(INDEX('1-DATA'!$1:$1048576,IF(OR($B383="STD. DEVIATION",$C$1=1),$A383,$A383+1),COLUMN('1-DATA'!AE381)),IF($B383="STD. DEVIATION",2,$F$1))))</f>
        <v/>
      </c>
      <c r="AG383" s="1" t="str">
        <f>IF(OR($B383="",AG$7=""),"",IF($B383="MEANS",INDEX('1-DATA'!$1:$1048576,$A382-1,COLUMN('1-DATA'!AF381)),ROUND(INDEX('1-DATA'!$1:$1048576,IF(OR($B383="STD. DEVIATION",$C$1=1),$A383,$A383+1),COLUMN('1-DATA'!AF381)),IF($B383="STD. DEVIATION",2,$F$1))))</f>
        <v/>
      </c>
      <c r="AH383" s="1" t="str">
        <f>IF(OR($B383="",AH$7=""),"",IF($B383="MEANS",INDEX('1-DATA'!$1:$1048576,$A382-1,COLUMN('1-DATA'!AG381)),ROUND(INDEX('1-DATA'!$1:$1048576,IF(OR($B383="STD. DEVIATION",$C$1=1),$A383,$A383+1),COLUMN('1-DATA'!AG381)),IF($B383="STD. DEVIATION",2,$F$1))))</f>
        <v/>
      </c>
      <c r="AI383" s="1" t="str">
        <f>IF(OR($B383="",AI$7=""),"",IF($B383="MEANS",INDEX('1-DATA'!$1:$1048576,$A382-1,COLUMN('1-DATA'!AH381)),ROUND(INDEX('1-DATA'!$1:$1048576,IF(OR($B383="STD. DEVIATION",$C$1=1),$A383,$A383+1),COLUMN('1-DATA'!AH381)),IF($B383="STD. DEVIATION",2,$F$1))))</f>
        <v/>
      </c>
      <c r="AJ383" s="1" t="str">
        <f>IF(OR($B383="",AJ$7=""),"",IF($B383="MEANS",INDEX('1-DATA'!$1:$1048576,$A382-1,COLUMN('1-DATA'!AI381)),ROUND(INDEX('1-DATA'!$1:$1048576,IF(OR($B383="STD. DEVIATION",$C$1=1),$A383,$A383+1),COLUMN('1-DATA'!AI381)),IF($B383="STD. DEVIATION",2,$F$1))))</f>
        <v/>
      </c>
      <c r="AK383" s="1" t="str">
        <f>IF(OR($B383="",AK$7=""),"",IF($B383="MEANS",INDEX('1-DATA'!$1:$1048576,$A382-1,COLUMN('1-DATA'!AJ381)),ROUND(INDEX('1-DATA'!$1:$1048576,IF(OR($B383="STD. DEVIATION",$C$1=1),$A383,$A383+1),COLUMN('1-DATA'!AJ381)),IF($B383="STD. DEVIATION",2,$F$1))))</f>
        <v/>
      </c>
      <c r="AL383" s="1" t="str">
        <f>IF(OR($B383="",AL$7=""),"",IF($B383="MEANS",INDEX('1-DATA'!$1:$1048576,$A382-1,COLUMN('1-DATA'!AK381)),ROUND(INDEX('1-DATA'!$1:$1048576,IF(OR($B383="STD. DEVIATION",$C$1=1),$A383,$A383+1),COLUMN('1-DATA'!AK381)),IF($B383="STD. DEVIATION",2,$F$1))))</f>
        <v/>
      </c>
      <c r="AM383" s="1" t="str">
        <f>IF(OR($B383="",AM$7=""),"",IF($B383="MEANS",INDEX('1-DATA'!$1:$1048576,$A382-1,COLUMN('1-DATA'!AL381)),ROUND(INDEX('1-DATA'!$1:$1048576,IF(OR($B383="STD. DEVIATION",$C$1=1),$A383,$A383+1),COLUMN('1-DATA'!AL381)),IF($B383="STD. DEVIATION",2,$F$1))))</f>
        <v/>
      </c>
      <c r="AN383" s="1" t="str">
        <f>IF(OR($B383="",AN$7=""),"",IF($B383="MEANS",INDEX('1-DATA'!$1:$1048576,$A382-1,COLUMN('1-DATA'!AM381)),ROUND(INDEX('1-DATA'!$1:$1048576,IF(OR($B383="STD. DEVIATION",$C$1=1),$A383,$A383+1),COLUMN('1-DATA'!AM381)),IF($B383="STD. DEVIATION",2,$F$1))))</f>
        <v/>
      </c>
      <c r="AO383" s="1" t="str">
        <f>IF(OR($B383="",AO$7=""),"",IF($B383="MEANS",INDEX('1-DATA'!$1:$1048576,$A382-1,COLUMN('1-DATA'!AN381)),ROUND(INDEX('1-DATA'!$1:$1048576,IF(OR($B383="STD. DEVIATION",$C$1=1),$A383,$A383+1),COLUMN('1-DATA'!AN381)),IF($B383="STD. DEVIATION",2,$F$1))))</f>
        <v/>
      </c>
      <c r="AP383" s="1" t="str">
        <f>IF(OR($B383="",AP$7=""),"",IF($B383="MEANS",INDEX('1-DATA'!$1:$1048576,$A382-1,COLUMN('1-DATA'!AO381)),ROUND(INDEX('1-DATA'!$1:$1048576,IF(OR($B383="STD. DEVIATION",$C$1=1),$A383,$A383+1),COLUMN('1-DATA'!AO381)),IF($B383="STD. DEVIATION",2,$F$1))))</f>
        <v/>
      </c>
      <c r="AQ383" s="1" t="str">
        <f>IF(OR($B383="",AQ$7=""),"",IF($B383="MEANS",INDEX('1-DATA'!$1:$1048576,$A382-1,COLUMN('1-DATA'!AP381)),ROUND(INDEX('1-DATA'!$1:$1048576,IF(OR($B383="STD. DEVIATION",$C$1=1),$A383,$A383+1),COLUMN('1-DATA'!AP381)),IF($B383="STD. DEVIATION",2,$F$1))))</f>
        <v/>
      </c>
      <c r="AR383" s="1" t="str">
        <f>IF(OR($B383="",AR$7=""),"",IF($B383="MEANS",INDEX('1-DATA'!$1:$1048576,$A382-1,COLUMN('1-DATA'!AQ381)),ROUND(INDEX('1-DATA'!$1:$1048576,IF(OR($B383="STD. DEVIATION",$C$1=1),$A383,$A383+1),COLUMN('1-DATA'!AQ381)),IF($B383="STD. DEVIATION",2,$F$1))))</f>
        <v/>
      </c>
      <c r="AS383" s="1" t="str">
        <f>IF(OR($B383="",AS$7=""),"",IF($B383="MEANS",INDEX('1-DATA'!$1:$1048576,$A382-1,COLUMN('1-DATA'!AR381)),ROUND(INDEX('1-DATA'!$1:$1048576,IF(OR($B383="STD. DEVIATION",$C$1=1),$A383,$A383+1),COLUMN('1-DATA'!AR381)),IF($B383="STD. DEVIATION",2,$F$1))))</f>
        <v/>
      </c>
      <c r="AT383" s="1" t="str">
        <f>IF(OR($B383="",AT$7=""),"",IF($B383="MEANS",INDEX('1-DATA'!$1:$1048576,$A382-1,COLUMN('1-DATA'!AS381)),ROUND(INDEX('1-DATA'!$1:$1048576,IF(OR($B383="STD. DEVIATION",$C$1=1),$A383,$A383+1),COLUMN('1-DATA'!AS381)),IF($B383="STD. DEVIATION",2,$F$1))))</f>
        <v/>
      </c>
      <c r="AU383" s="1" t="str">
        <f>IF(OR($B383="",AU$7=""),"",IF($B383="MEANS",INDEX('1-DATA'!$1:$1048576,$A382-1,COLUMN('1-DATA'!AT381)),ROUND(INDEX('1-DATA'!$1:$1048576,IF(OR($B383="STD. DEVIATION",$C$1=1),$A383,$A383+1),COLUMN('1-DATA'!AT381)),IF($B383="STD. DEVIATION",2,$F$1))))</f>
        <v/>
      </c>
      <c r="AV383" s="1" t="str">
        <f>IF(OR($B383="",AV$7=""),"",IF($B383="MEANS",INDEX('1-DATA'!$1:$1048576,$A382-1,COLUMN('1-DATA'!AU381)),ROUND(INDEX('1-DATA'!$1:$1048576,IF(OR($B383="STD. DEVIATION",$C$1=1),$A383,$A383+1),COLUMN('1-DATA'!AU381)),IF($B383="STD. DEVIATION",2,$F$1))))</f>
        <v/>
      </c>
      <c r="AW383" s="1" t="str">
        <f>IF(OR($B383="",AW$7=""),"",IF($B383="MEANS",INDEX('1-DATA'!$1:$1048576,$A382-1,COLUMN('1-DATA'!AV381)),ROUND(INDEX('1-DATA'!$1:$1048576,IF(OR($B383="STD. DEVIATION",$C$1=1),$A383,$A383+1),COLUMN('1-DATA'!AV381)),IF($B383="STD. DEVIATION",2,$F$1))))</f>
        <v/>
      </c>
      <c r="AX383" s="1" t="str">
        <f>IF(OR($B383="",AX$7=""),"",IF($B383="MEANS",INDEX('1-DATA'!$1:$1048576,$A382-1,COLUMN('1-DATA'!AW381)),ROUND(INDEX('1-DATA'!$1:$1048576,IF(OR($B383="STD. DEVIATION",$C$1=1),$A383,$A383+1),COLUMN('1-DATA'!AW381)),IF($B383="STD. DEVIATION",2,$F$1))))</f>
        <v/>
      </c>
      <c r="AY383" s="1" t="str">
        <f>IF(OR($B383="",AY$7=""),"",IF($B383="MEANS",INDEX('1-DATA'!$1:$1048576,$A382-1,COLUMN('1-DATA'!AX381)),ROUND(INDEX('1-DATA'!$1:$1048576,IF(OR($B383="STD. DEVIATION",$C$1=1),$A383,$A383+1),COLUMN('1-DATA'!AX381)),IF($B383="STD. DEVIATION",2,$F$1))))</f>
        <v/>
      </c>
      <c r="AZ383" s="1" t="str">
        <f>IF(OR($B383="",AZ$7=""),"",IF($B383="MEANS",INDEX('1-DATA'!$1:$1048576,$A382-1,COLUMN('1-DATA'!AY381)),ROUND(INDEX('1-DATA'!$1:$1048576,IF(OR($B383="STD. DEVIATION",$C$1=1),$A383,$A383+1),COLUMN('1-DATA'!AY381)),IF($B383="STD. DEVIATION",2,$F$1))))</f>
        <v/>
      </c>
    </row>
    <row r="384" spans="1:52" x14ac:dyDescent="0.25">
      <c r="A384" s="11">
        <f t="shared" si="6"/>
        <v>1138</v>
      </c>
      <c r="B384" s="1" t="str">
        <f>IF(B383="STD. DEVIATION",INDEX('1-DATA'!$1:$1048576,$A383-1,1),IF(INDEX('1-DATA'!$1:$1048576,$A384,1)&lt;&gt;"",INDEX('1-DATA'!$1:$1048576,$A384,1),""))</f>
        <v/>
      </c>
      <c r="C384" s="1" t="str">
        <f>IF(OR($B384="",C$7=""),"",IF($B384="MEANS",INDEX('1-DATA'!$1:$1048576,$A383-1,COLUMN('1-DATA'!B382)),ROUND(INDEX('1-DATA'!$1:$1048576,IF(OR($B384="STD. DEVIATION",$C$1=1),$A384,$A384+1),COLUMN('1-DATA'!B382)),IF($B384="STD. DEVIATION",2,$F$1))))</f>
        <v/>
      </c>
      <c r="D384" s="1" t="str">
        <f>IF(OR($B384="",D$7=""),"",IF($B384="MEANS",INDEX('1-DATA'!$1:$1048576,$A383-1,COLUMN('1-DATA'!C382)),ROUND(INDEX('1-DATA'!$1:$1048576,IF(OR($B384="STD. DEVIATION",$C$1=1),$A384,$A384+1),COLUMN('1-DATA'!C382)),IF($B384="STD. DEVIATION",2,$F$1))))</f>
        <v/>
      </c>
      <c r="E384" s="1" t="str">
        <f>IF(OR($B384="",E$7=""),"",IF($B384="MEANS",INDEX('1-DATA'!$1:$1048576,$A383-1,COLUMN('1-DATA'!D382)),ROUND(INDEX('1-DATA'!$1:$1048576,IF(OR($B384="STD. DEVIATION",$C$1=1),$A384,$A384+1),COLUMN('1-DATA'!D382)),IF($B384="STD. DEVIATION",2,$F$1))))</f>
        <v/>
      </c>
      <c r="F384" s="1" t="str">
        <f>IF(OR($B384="",F$7=""),"",IF($B384="MEANS",INDEX('1-DATA'!$1:$1048576,$A383-1,COLUMN('1-DATA'!E382)),ROUND(INDEX('1-DATA'!$1:$1048576,IF(OR($B384="STD. DEVIATION",$C$1=1),$A384,$A384+1),COLUMN('1-DATA'!E382)),IF($B384="STD. DEVIATION",2,$F$1))))</f>
        <v/>
      </c>
      <c r="G384" s="1" t="str">
        <f>IF(OR($B384="",G$7=""),"",IF($B384="MEANS",INDEX('1-DATA'!$1:$1048576,$A383-1,COLUMN('1-DATA'!F382)),ROUND(INDEX('1-DATA'!$1:$1048576,IF(OR($B384="STD. DEVIATION",$C$1=1),$A384,$A384+1),COLUMN('1-DATA'!F382)),IF($B384="STD. DEVIATION",2,$F$1))))</f>
        <v/>
      </c>
      <c r="H384" s="1" t="str">
        <f>IF(OR($B384="",H$7=""),"",IF($B384="MEANS",INDEX('1-DATA'!$1:$1048576,$A383-1,COLUMN('1-DATA'!G382)),ROUND(INDEX('1-DATA'!$1:$1048576,IF(OR($B384="STD. DEVIATION",$C$1=1),$A384,$A384+1),COLUMN('1-DATA'!G382)),IF($B384="STD. DEVIATION",2,$F$1))))</f>
        <v/>
      </c>
      <c r="I384" s="1" t="str">
        <f>IF(OR($B384="",I$7=""),"",IF($B384="MEANS",INDEX('1-DATA'!$1:$1048576,$A383-1,COLUMN('1-DATA'!H382)),ROUND(INDEX('1-DATA'!$1:$1048576,IF(OR($B384="STD. DEVIATION",$C$1=1),$A384,$A384+1),COLUMN('1-DATA'!H382)),IF($B384="STD. DEVIATION",2,$F$1))))</f>
        <v/>
      </c>
      <c r="J384" s="1" t="str">
        <f>IF(OR($B384="",J$7=""),"",IF($B384="MEANS",INDEX('1-DATA'!$1:$1048576,$A383-1,COLUMN('1-DATA'!I382)),ROUND(INDEX('1-DATA'!$1:$1048576,IF(OR($B384="STD. DEVIATION",$C$1=1),$A384,$A384+1),COLUMN('1-DATA'!I382)),IF($B384="STD. DEVIATION",2,$F$1))))</f>
        <v/>
      </c>
      <c r="K384" s="1" t="str">
        <f>IF(OR($B384="",K$7=""),"",IF($B384="MEANS",INDEX('1-DATA'!$1:$1048576,$A383-1,COLUMN('1-DATA'!J382)),ROUND(INDEX('1-DATA'!$1:$1048576,IF(OR($B384="STD. DEVIATION",$C$1=1),$A384,$A384+1),COLUMN('1-DATA'!J382)),IF($B384="STD. DEVIATION",2,$F$1))))</f>
        <v/>
      </c>
      <c r="L384" s="1" t="str">
        <f>IF(OR($B384="",L$7=""),"",IF($B384="MEANS",INDEX('1-DATA'!$1:$1048576,$A383-1,COLUMN('1-DATA'!K382)),ROUND(INDEX('1-DATA'!$1:$1048576,IF(OR($B384="STD. DEVIATION",$C$1=1),$A384,$A384+1),COLUMN('1-DATA'!K382)),IF($B384="STD. DEVIATION",2,$F$1))))</f>
        <v/>
      </c>
      <c r="M384" s="1" t="str">
        <f>IF(OR($B384="",M$7=""),"",IF($B384="MEANS",INDEX('1-DATA'!$1:$1048576,$A383-1,COLUMN('1-DATA'!L382)),ROUND(INDEX('1-DATA'!$1:$1048576,IF(OR($B384="STD. DEVIATION",$C$1=1),$A384,$A384+1),COLUMN('1-DATA'!L382)),IF($B384="STD. DEVIATION",2,$F$1))))</f>
        <v/>
      </c>
      <c r="N384" s="1" t="str">
        <f>IF(OR($B384="",N$7=""),"",IF($B384="MEANS",INDEX('1-DATA'!$1:$1048576,$A383-1,COLUMN('1-DATA'!M382)),ROUND(INDEX('1-DATA'!$1:$1048576,IF(OR($B384="STD. DEVIATION",$C$1=1),$A384,$A384+1),COLUMN('1-DATA'!M382)),IF($B384="STD. DEVIATION",2,$F$1))))</f>
        <v/>
      </c>
      <c r="O384" s="1" t="str">
        <f>IF(OR($B384="",O$7=""),"",IF($B384="MEANS",INDEX('1-DATA'!$1:$1048576,$A383-1,COLUMN('1-DATA'!N382)),ROUND(INDEX('1-DATA'!$1:$1048576,IF(OR($B384="STD. DEVIATION",$C$1=1),$A384,$A384+1),COLUMN('1-DATA'!N382)),IF($B384="STD. DEVIATION",2,$F$1))))</f>
        <v/>
      </c>
      <c r="P384" s="1" t="str">
        <f>IF(OR($B384="",P$7=""),"",IF($B384="MEANS",INDEX('1-DATA'!$1:$1048576,$A383-1,COLUMN('1-DATA'!O382)),ROUND(INDEX('1-DATA'!$1:$1048576,IF(OR($B384="STD. DEVIATION",$C$1=1),$A384,$A384+1),COLUMN('1-DATA'!O382)),IF($B384="STD. DEVIATION",2,$F$1))))</f>
        <v/>
      </c>
      <c r="Q384" s="1" t="str">
        <f>IF(OR($B384="",Q$7=""),"",IF($B384="MEANS",INDEX('1-DATA'!$1:$1048576,$A383-1,COLUMN('1-DATA'!P382)),ROUND(INDEX('1-DATA'!$1:$1048576,IF(OR($B384="STD. DEVIATION",$C$1=1),$A384,$A384+1),COLUMN('1-DATA'!P382)),IF($B384="STD. DEVIATION",2,$F$1))))</f>
        <v/>
      </c>
      <c r="R384" s="1" t="str">
        <f>IF(OR($B384="",R$7=""),"",IF($B384="MEANS",INDEX('1-DATA'!$1:$1048576,$A383-1,COLUMN('1-DATA'!Q382)),ROUND(INDEX('1-DATA'!$1:$1048576,IF(OR($B384="STD. DEVIATION",$C$1=1),$A384,$A384+1),COLUMN('1-DATA'!Q382)),IF($B384="STD. DEVIATION",2,$F$1))))</f>
        <v/>
      </c>
      <c r="S384" s="1" t="str">
        <f>IF(OR($B384="",S$7=""),"",IF($B384="MEANS",INDEX('1-DATA'!$1:$1048576,$A383-1,COLUMN('1-DATA'!R382)),ROUND(INDEX('1-DATA'!$1:$1048576,IF(OR($B384="STD. DEVIATION",$C$1=1),$A384,$A384+1),COLUMN('1-DATA'!R382)),IF($B384="STD. DEVIATION",2,$F$1))))</f>
        <v/>
      </c>
      <c r="T384" s="1" t="str">
        <f>IF(OR($B384="",T$7=""),"",IF($B384="MEANS",INDEX('1-DATA'!$1:$1048576,$A383-1,COLUMN('1-DATA'!S382)),ROUND(INDEX('1-DATA'!$1:$1048576,IF(OR($B384="STD. DEVIATION",$C$1=1),$A384,$A384+1),COLUMN('1-DATA'!S382)),IF($B384="STD. DEVIATION",2,$F$1))))</f>
        <v/>
      </c>
      <c r="U384" s="1" t="str">
        <f>IF(OR($B384="",U$7=""),"",IF($B384="MEANS",INDEX('1-DATA'!$1:$1048576,$A383-1,COLUMN('1-DATA'!T382)),ROUND(INDEX('1-DATA'!$1:$1048576,IF(OR($B384="STD. DEVIATION",$C$1=1),$A384,$A384+1),COLUMN('1-DATA'!T382)),IF($B384="STD. DEVIATION",2,$F$1))))</f>
        <v/>
      </c>
      <c r="V384" s="1" t="str">
        <f>IF(OR($B384="",V$7=""),"",IF($B384="MEANS",INDEX('1-DATA'!$1:$1048576,$A383-1,COLUMN('1-DATA'!U382)),ROUND(INDEX('1-DATA'!$1:$1048576,IF(OR($B384="STD. DEVIATION",$C$1=1),$A384,$A384+1),COLUMN('1-DATA'!U382)),IF($B384="STD. DEVIATION",2,$F$1))))</f>
        <v/>
      </c>
      <c r="W384" s="1" t="str">
        <f>IF(OR($B384="",W$7=""),"",IF($B384="MEANS",INDEX('1-DATA'!$1:$1048576,$A383-1,COLUMN('1-DATA'!V382)),ROUND(INDEX('1-DATA'!$1:$1048576,IF(OR($B384="STD. DEVIATION",$C$1=1),$A384,$A384+1),COLUMN('1-DATA'!V382)),IF($B384="STD. DEVIATION",2,$F$1))))</f>
        <v/>
      </c>
      <c r="X384" s="1" t="str">
        <f>IF(OR($B384="",X$7=""),"",IF($B384="MEANS",INDEX('1-DATA'!$1:$1048576,$A383-1,COLUMN('1-DATA'!W382)),ROUND(INDEX('1-DATA'!$1:$1048576,IF(OR($B384="STD. DEVIATION",$C$1=1),$A384,$A384+1),COLUMN('1-DATA'!W382)),IF($B384="STD. DEVIATION",2,$F$1))))</f>
        <v/>
      </c>
      <c r="Y384" s="1" t="str">
        <f>IF(OR($B384="",Y$7=""),"",IF($B384="MEANS",INDEX('1-DATA'!$1:$1048576,$A383-1,COLUMN('1-DATA'!X382)),ROUND(INDEX('1-DATA'!$1:$1048576,IF(OR($B384="STD. DEVIATION",$C$1=1),$A384,$A384+1),COLUMN('1-DATA'!X382)),IF($B384="STD. DEVIATION",2,$F$1))))</f>
        <v/>
      </c>
      <c r="Z384" s="1" t="str">
        <f>IF(OR($B384="",Z$7=""),"",IF($B384="MEANS",INDEX('1-DATA'!$1:$1048576,$A383-1,COLUMN('1-DATA'!Y382)),ROUND(INDEX('1-DATA'!$1:$1048576,IF(OR($B384="STD. DEVIATION",$C$1=1),$A384,$A384+1),COLUMN('1-DATA'!Y382)),IF($B384="STD. DEVIATION",2,$F$1))))</f>
        <v/>
      </c>
      <c r="AA384" s="1" t="str">
        <f>IF(OR($B384="",AA$7=""),"",IF($B384="MEANS",INDEX('1-DATA'!$1:$1048576,$A383-1,COLUMN('1-DATA'!Z382)),ROUND(INDEX('1-DATA'!$1:$1048576,IF(OR($B384="STD. DEVIATION",$C$1=1),$A384,$A384+1),COLUMN('1-DATA'!Z382)),IF($B384="STD. DEVIATION",2,$F$1))))</f>
        <v/>
      </c>
      <c r="AB384" s="1" t="str">
        <f>IF(OR($B384="",AB$7=""),"",IF($B384="MEANS",INDEX('1-DATA'!$1:$1048576,$A383-1,COLUMN('1-DATA'!AA382)),ROUND(INDEX('1-DATA'!$1:$1048576,IF(OR($B384="STD. DEVIATION",$C$1=1),$A384,$A384+1),COLUMN('1-DATA'!AA382)),IF($B384="STD. DEVIATION",2,$F$1))))</f>
        <v/>
      </c>
      <c r="AC384" s="1" t="str">
        <f>IF(OR($B384="",AC$7=""),"",IF($B384="MEANS",INDEX('1-DATA'!$1:$1048576,$A383-1,COLUMN('1-DATA'!AB382)),ROUND(INDEX('1-DATA'!$1:$1048576,IF(OR($B384="STD. DEVIATION",$C$1=1),$A384,$A384+1),COLUMN('1-DATA'!AB382)),IF($B384="STD. DEVIATION",2,$F$1))))</f>
        <v/>
      </c>
      <c r="AD384" s="1" t="str">
        <f>IF(OR($B384="",AD$7=""),"",IF($B384="MEANS",INDEX('1-DATA'!$1:$1048576,$A383-1,COLUMN('1-DATA'!AC382)),ROUND(INDEX('1-DATA'!$1:$1048576,IF(OR($B384="STD. DEVIATION",$C$1=1),$A384,$A384+1),COLUMN('1-DATA'!AC382)),IF($B384="STD. DEVIATION",2,$F$1))))</f>
        <v/>
      </c>
      <c r="AE384" s="1" t="str">
        <f>IF(OR($B384="",AE$7=""),"",IF($B384="MEANS",INDEX('1-DATA'!$1:$1048576,$A383-1,COLUMN('1-DATA'!AD382)),ROUND(INDEX('1-DATA'!$1:$1048576,IF(OR($B384="STD. DEVIATION",$C$1=1),$A384,$A384+1),COLUMN('1-DATA'!AD382)),IF($B384="STD. DEVIATION",2,$F$1))))</f>
        <v/>
      </c>
      <c r="AF384" s="1" t="str">
        <f>IF(OR($B384="",AF$7=""),"",IF($B384="MEANS",INDEX('1-DATA'!$1:$1048576,$A383-1,COLUMN('1-DATA'!AE382)),ROUND(INDEX('1-DATA'!$1:$1048576,IF(OR($B384="STD. DEVIATION",$C$1=1),$A384,$A384+1),COLUMN('1-DATA'!AE382)),IF($B384="STD. DEVIATION",2,$F$1))))</f>
        <v/>
      </c>
      <c r="AG384" s="1" t="str">
        <f>IF(OR($B384="",AG$7=""),"",IF($B384="MEANS",INDEX('1-DATA'!$1:$1048576,$A383-1,COLUMN('1-DATA'!AF382)),ROUND(INDEX('1-DATA'!$1:$1048576,IF(OR($B384="STD. DEVIATION",$C$1=1),$A384,$A384+1),COLUMN('1-DATA'!AF382)),IF($B384="STD. DEVIATION",2,$F$1))))</f>
        <v/>
      </c>
      <c r="AH384" s="1" t="str">
        <f>IF(OR($B384="",AH$7=""),"",IF($B384="MEANS",INDEX('1-DATA'!$1:$1048576,$A383-1,COLUMN('1-DATA'!AG382)),ROUND(INDEX('1-DATA'!$1:$1048576,IF(OR($B384="STD. DEVIATION",$C$1=1),$A384,$A384+1),COLUMN('1-DATA'!AG382)),IF($B384="STD. DEVIATION",2,$F$1))))</f>
        <v/>
      </c>
      <c r="AI384" s="1" t="str">
        <f>IF(OR($B384="",AI$7=""),"",IF($B384="MEANS",INDEX('1-DATA'!$1:$1048576,$A383-1,COLUMN('1-DATA'!AH382)),ROUND(INDEX('1-DATA'!$1:$1048576,IF(OR($B384="STD. DEVIATION",$C$1=1),$A384,$A384+1),COLUMN('1-DATA'!AH382)),IF($B384="STD. DEVIATION",2,$F$1))))</f>
        <v/>
      </c>
      <c r="AJ384" s="1" t="str">
        <f>IF(OR($B384="",AJ$7=""),"",IF($B384="MEANS",INDEX('1-DATA'!$1:$1048576,$A383-1,COLUMN('1-DATA'!AI382)),ROUND(INDEX('1-DATA'!$1:$1048576,IF(OR($B384="STD. DEVIATION",$C$1=1),$A384,$A384+1),COLUMN('1-DATA'!AI382)),IF($B384="STD. DEVIATION",2,$F$1))))</f>
        <v/>
      </c>
      <c r="AK384" s="1" t="str">
        <f>IF(OR($B384="",AK$7=""),"",IF($B384="MEANS",INDEX('1-DATA'!$1:$1048576,$A383-1,COLUMN('1-DATA'!AJ382)),ROUND(INDEX('1-DATA'!$1:$1048576,IF(OR($B384="STD. DEVIATION",$C$1=1),$A384,$A384+1),COLUMN('1-DATA'!AJ382)),IF($B384="STD. DEVIATION",2,$F$1))))</f>
        <v/>
      </c>
      <c r="AL384" s="1" t="str">
        <f>IF(OR($B384="",AL$7=""),"",IF($B384="MEANS",INDEX('1-DATA'!$1:$1048576,$A383-1,COLUMN('1-DATA'!AK382)),ROUND(INDEX('1-DATA'!$1:$1048576,IF(OR($B384="STD. DEVIATION",$C$1=1),$A384,$A384+1),COLUMN('1-DATA'!AK382)),IF($B384="STD. DEVIATION",2,$F$1))))</f>
        <v/>
      </c>
      <c r="AM384" s="1" t="str">
        <f>IF(OR($B384="",AM$7=""),"",IF($B384="MEANS",INDEX('1-DATA'!$1:$1048576,$A383-1,COLUMN('1-DATA'!AL382)),ROUND(INDEX('1-DATA'!$1:$1048576,IF(OR($B384="STD. DEVIATION",$C$1=1),$A384,$A384+1),COLUMN('1-DATA'!AL382)),IF($B384="STD. DEVIATION",2,$F$1))))</f>
        <v/>
      </c>
      <c r="AN384" s="1" t="str">
        <f>IF(OR($B384="",AN$7=""),"",IF($B384="MEANS",INDEX('1-DATA'!$1:$1048576,$A383-1,COLUMN('1-DATA'!AM382)),ROUND(INDEX('1-DATA'!$1:$1048576,IF(OR($B384="STD. DEVIATION",$C$1=1),$A384,$A384+1),COLUMN('1-DATA'!AM382)),IF($B384="STD. DEVIATION",2,$F$1))))</f>
        <v/>
      </c>
      <c r="AO384" s="1" t="str">
        <f>IF(OR($B384="",AO$7=""),"",IF($B384="MEANS",INDEX('1-DATA'!$1:$1048576,$A383-1,COLUMN('1-DATA'!AN382)),ROUND(INDEX('1-DATA'!$1:$1048576,IF(OR($B384="STD. DEVIATION",$C$1=1),$A384,$A384+1),COLUMN('1-DATA'!AN382)),IF($B384="STD. DEVIATION",2,$F$1))))</f>
        <v/>
      </c>
      <c r="AP384" s="1" t="str">
        <f>IF(OR($B384="",AP$7=""),"",IF($B384="MEANS",INDEX('1-DATA'!$1:$1048576,$A383-1,COLUMN('1-DATA'!AO382)),ROUND(INDEX('1-DATA'!$1:$1048576,IF(OR($B384="STD. DEVIATION",$C$1=1),$A384,$A384+1),COLUMN('1-DATA'!AO382)),IF($B384="STD. DEVIATION",2,$F$1))))</f>
        <v/>
      </c>
      <c r="AQ384" s="1" t="str">
        <f>IF(OR($B384="",AQ$7=""),"",IF($B384="MEANS",INDEX('1-DATA'!$1:$1048576,$A383-1,COLUMN('1-DATA'!AP382)),ROUND(INDEX('1-DATA'!$1:$1048576,IF(OR($B384="STD. DEVIATION",$C$1=1),$A384,$A384+1),COLUMN('1-DATA'!AP382)),IF($B384="STD. DEVIATION",2,$F$1))))</f>
        <v/>
      </c>
      <c r="AR384" s="1" t="str">
        <f>IF(OR($B384="",AR$7=""),"",IF($B384="MEANS",INDEX('1-DATA'!$1:$1048576,$A383-1,COLUMN('1-DATA'!AQ382)),ROUND(INDEX('1-DATA'!$1:$1048576,IF(OR($B384="STD. DEVIATION",$C$1=1),$A384,$A384+1),COLUMN('1-DATA'!AQ382)),IF($B384="STD. DEVIATION",2,$F$1))))</f>
        <v/>
      </c>
      <c r="AS384" s="1" t="str">
        <f>IF(OR($B384="",AS$7=""),"",IF($B384="MEANS",INDEX('1-DATA'!$1:$1048576,$A383-1,COLUMN('1-DATA'!AR382)),ROUND(INDEX('1-DATA'!$1:$1048576,IF(OR($B384="STD. DEVIATION",$C$1=1),$A384,$A384+1),COLUMN('1-DATA'!AR382)),IF($B384="STD. DEVIATION",2,$F$1))))</f>
        <v/>
      </c>
      <c r="AT384" s="1" t="str">
        <f>IF(OR($B384="",AT$7=""),"",IF($B384="MEANS",INDEX('1-DATA'!$1:$1048576,$A383-1,COLUMN('1-DATA'!AS382)),ROUND(INDEX('1-DATA'!$1:$1048576,IF(OR($B384="STD. DEVIATION",$C$1=1),$A384,$A384+1),COLUMN('1-DATA'!AS382)),IF($B384="STD. DEVIATION",2,$F$1))))</f>
        <v/>
      </c>
      <c r="AU384" s="1" t="str">
        <f>IF(OR($B384="",AU$7=""),"",IF($B384="MEANS",INDEX('1-DATA'!$1:$1048576,$A383-1,COLUMN('1-DATA'!AT382)),ROUND(INDEX('1-DATA'!$1:$1048576,IF(OR($B384="STD. DEVIATION",$C$1=1),$A384,$A384+1),COLUMN('1-DATA'!AT382)),IF($B384="STD. DEVIATION",2,$F$1))))</f>
        <v/>
      </c>
      <c r="AV384" s="1" t="str">
        <f>IF(OR($B384="",AV$7=""),"",IF($B384="MEANS",INDEX('1-DATA'!$1:$1048576,$A383-1,COLUMN('1-DATA'!AU382)),ROUND(INDEX('1-DATA'!$1:$1048576,IF(OR($B384="STD. DEVIATION",$C$1=1),$A384,$A384+1),COLUMN('1-DATA'!AU382)),IF($B384="STD. DEVIATION",2,$F$1))))</f>
        <v/>
      </c>
      <c r="AW384" s="1" t="str">
        <f>IF(OR($B384="",AW$7=""),"",IF($B384="MEANS",INDEX('1-DATA'!$1:$1048576,$A383-1,COLUMN('1-DATA'!AV382)),ROUND(INDEX('1-DATA'!$1:$1048576,IF(OR($B384="STD. DEVIATION",$C$1=1),$A384,$A384+1),COLUMN('1-DATA'!AV382)),IF($B384="STD. DEVIATION",2,$F$1))))</f>
        <v/>
      </c>
      <c r="AX384" s="1" t="str">
        <f>IF(OR($B384="",AX$7=""),"",IF($B384="MEANS",INDEX('1-DATA'!$1:$1048576,$A383-1,COLUMN('1-DATA'!AW382)),ROUND(INDEX('1-DATA'!$1:$1048576,IF(OR($B384="STD. DEVIATION",$C$1=1),$A384,$A384+1),COLUMN('1-DATA'!AW382)),IF($B384="STD. DEVIATION",2,$F$1))))</f>
        <v/>
      </c>
      <c r="AY384" s="1" t="str">
        <f>IF(OR($B384="",AY$7=""),"",IF($B384="MEANS",INDEX('1-DATA'!$1:$1048576,$A383-1,COLUMN('1-DATA'!AX382)),ROUND(INDEX('1-DATA'!$1:$1048576,IF(OR($B384="STD. DEVIATION",$C$1=1),$A384,$A384+1),COLUMN('1-DATA'!AX382)),IF($B384="STD. DEVIATION",2,$F$1))))</f>
        <v/>
      </c>
      <c r="AZ384" s="1" t="str">
        <f>IF(OR($B384="",AZ$7=""),"",IF($B384="MEANS",INDEX('1-DATA'!$1:$1048576,$A383-1,COLUMN('1-DATA'!AY382)),ROUND(INDEX('1-DATA'!$1:$1048576,IF(OR($B384="STD. DEVIATION",$C$1=1),$A384,$A384+1),COLUMN('1-DATA'!AY382)),IF($B384="STD. DEVIATION",2,$F$1))))</f>
        <v/>
      </c>
    </row>
    <row r="385" spans="1:52" x14ac:dyDescent="0.25">
      <c r="A385" s="11">
        <f t="shared" si="6"/>
        <v>1141</v>
      </c>
      <c r="B385" s="1" t="str">
        <f>IF(B384="STD. DEVIATION",INDEX('1-DATA'!$1:$1048576,$A384-1,1),IF(INDEX('1-DATA'!$1:$1048576,$A385,1)&lt;&gt;"",INDEX('1-DATA'!$1:$1048576,$A385,1),""))</f>
        <v/>
      </c>
      <c r="C385" s="1" t="str">
        <f>IF(OR($B385="",C$7=""),"",IF($B385="MEANS",INDEX('1-DATA'!$1:$1048576,$A384-1,COLUMN('1-DATA'!B383)),ROUND(INDEX('1-DATA'!$1:$1048576,IF(OR($B385="STD. DEVIATION",$C$1=1),$A385,$A385+1),COLUMN('1-DATA'!B383)),IF($B385="STD. DEVIATION",2,$F$1))))</f>
        <v/>
      </c>
      <c r="D385" s="1" t="str">
        <f>IF(OR($B385="",D$7=""),"",IF($B385="MEANS",INDEX('1-DATA'!$1:$1048576,$A384-1,COLUMN('1-DATA'!C383)),ROUND(INDEX('1-DATA'!$1:$1048576,IF(OR($B385="STD. DEVIATION",$C$1=1),$A385,$A385+1),COLUMN('1-DATA'!C383)),IF($B385="STD. DEVIATION",2,$F$1))))</f>
        <v/>
      </c>
      <c r="E385" s="1" t="str">
        <f>IF(OR($B385="",E$7=""),"",IF($B385="MEANS",INDEX('1-DATA'!$1:$1048576,$A384-1,COLUMN('1-DATA'!D383)),ROUND(INDEX('1-DATA'!$1:$1048576,IF(OR($B385="STD. DEVIATION",$C$1=1),$A385,$A385+1),COLUMN('1-DATA'!D383)),IF($B385="STD. DEVIATION",2,$F$1))))</f>
        <v/>
      </c>
      <c r="F385" s="1" t="str">
        <f>IF(OR($B385="",F$7=""),"",IF($B385="MEANS",INDEX('1-DATA'!$1:$1048576,$A384-1,COLUMN('1-DATA'!E383)),ROUND(INDEX('1-DATA'!$1:$1048576,IF(OR($B385="STD. DEVIATION",$C$1=1),$A385,$A385+1),COLUMN('1-DATA'!E383)),IF($B385="STD. DEVIATION",2,$F$1))))</f>
        <v/>
      </c>
      <c r="G385" s="1" t="str">
        <f>IF(OR($B385="",G$7=""),"",IF($B385="MEANS",INDEX('1-DATA'!$1:$1048576,$A384-1,COLUMN('1-DATA'!F383)),ROUND(INDEX('1-DATA'!$1:$1048576,IF(OR($B385="STD. DEVIATION",$C$1=1),$A385,$A385+1),COLUMN('1-DATA'!F383)),IF($B385="STD. DEVIATION",2,$F$1))))</f>
        <v/>
      </c>
      <c r="H385" s="1" t="str">
        <f>IF(OR($B385="",H$7=""),"",IF($B385="MEANS",INDEX('1-DATA'!$1:$1048576,$A384-1,COLUMN('1-DATA'!G383)),ROUND(INDEX('1-DATA'!$1:$1048576,IF(OR($B385="STD. DEVIATION",$C$1=1),$A385,$A385+1),COLUMN('1-DATA'!G383)),IF($B385="STD. DEVIATION",2,$F$1))))</f>
        <v/>
      </c>
      <c r="I385" s="1" t="str">
        <f>IF(OR($B385="",I$7=""),"",IF($B385="MEANS",INDEX('1-DATA'!$1:$1048576,$A384-1,COLUMN('1-DATA'!H383)),ROUND(INDEX('1-DATA'!$1:$1048576,IF(OR($B385="STD. DEVIATION",$C$1=1),$A385,$A385+1),COLUMN('1-DATA'!H383)),IF($B385="STD. DEVIATION",2,$F$1))))</f>
        <v/>
      </c>
      <c r="J385" s="1" t="str">
        <f>IF(OR($B385="",J$7=""),"",IF($B385="MEANS",INDEX('1-DATA'!$1:$1048576,$A384-1,COLUMN('1-DATA'!I383)),ROUND(INDEX('1-DATA'!$1:$1048576,IF(OR($B385="STD. DEVIATION",$C$1=1),$A385,$A385+1),COLUMN('1-DATA'!I383)),IF($B385="STD. DEVIATION",2,$F$1))))</f>
        <v/>
      </c>
      <c r="K385" s="1" t="str">
        <f>IF(OR($B385="",K$7=""),"",IF($B385="MEANS",INDEX('1-DATA'!$1:$1048576,$A384-1,COLUMN('1-DATA'!J383)),ROUND(INDEX('1-DATA'!$1:$1048576,IF(OR($B385="STD. DEVIATION",$C$1=1),$A385,$A385+1),COLUMN('1-DATA'!J383)),IF($B385="STD. DEVIATION",2,$F$1))))</f>
        <v/>
      </c>
      <c r="L385" s="1" t="str">
        <f>IF(OR($B385="",L$7=""),"",IF($B385="MEANS",INDEX('1-DATA'!$1:$1048576,$A384-1,COLUMN('1-DATA'!K383)),ROUND(INDEX('1-DATA'!$1:$1048576,IF(OR($B385="STD. DEVIATION",$C$1=1),$A385,$A385+1),COLUMN('1-DATA'!K383)),IF($B385="STD. DEVIATION",2,$F$1))))</f>
        <v/>
      </c>
      <c r="M385" s="1" t="str">
        <f>IF(OR($B385="",M$7=""),"",IF($B385="MEANS",INDEX('1-DATA'!$1:$1048576,$A384-1,COLUMN('1-DATA'!L383)),ROUND(INDEX('1-DATA'!$1:$1048576,IF(OR($B385="STD. DEVIATION",$C$1=1),$A385,$A385+1),COLUMN('1-DATA'!L383)),IF($B385="STD. DEVIATION",2,$F$1))))</f>
        <v/>
      </c>
      <c r="N385" s="1" t="str">
        <f>IF(OR($B385="",N$7=""),"",IF($B385="MEANS",INDEX('1-DATA'!$1:$1048576,$A384-1,COLUMN('1-DATA'!M383)),ROUND(INDEX('1-DATA'!$1:$1048576,IF(OR($B385="STD. DEVIATION",$C$1=1),$A385,$A385+1),COLUMN('1-DATA'!M383)),IF($B385="STD. DEVIATION",2,$F$1))))</f>
        <v/>
      </c>
      <c r="O385" s="1" t="str">
        <f>IF(OR($B385="",O$7=""),"",IF($B385="MEANS",INDEX('1-DATA'!$1:$1048576,$A384-1,COLUMN('1-DATA'!N383)),ROUND(INDEX('1-DATA'!$1:$1048576,IF(OR($B385="STD. DEVIATION",$C$1=1),$A385,$A385+1),COLUMN('1-DATA'!N383)),IF($B385="STD. DEVIATION",2,$F$1))))</f>
        <v/>
      </c>
      <c r="P385" s="1" t="str">
        <f>IF(OR($B385="",P$7=""),"",IF($B385="MEANS",INDEX('1-DATA'!$1:$1048576,$A384-1,COLUMN('1-DATA'!O383)),ROUND(INDEX('1-DATA'!$1:$1048576,IF(OR($B385="STD. DEVIATION",$C$1=1),$A385,$A385+1),COLUMN('1-DATA'!O383)),IF($B385="STD. DEVIATION",2,$F$1))))</f>
        <v/>
      </c>
      <c r="Q385" s="1" t="str">
        <f>IF(OR($B385="",Q$7=""),"",IF($B385="MEANS",INDEX('1-DATA'!$1:$1048576,$A384-1,COLUMN('1-DATA'!P383)),ROUND(INDEX('1-DATA'!$1:$1048576,IF(OR($B385="STD. DEVIATION",$C$1=1),$A385,$A385+1),COLUMN('1-DATA'!P383)),IF($B385="STD. DEVIATION",2,$F$1))))</f>
        <v/>
      </c>
      <c r="R385" s="1" t="str">
        <f>IF(OR($B385="",R$7=""),"",IF($B385="MEANS",INDEX('1-DATA'!$1:$1048576,$A384-1,COLUMN('1-DATA'!Q383)),ROUND(INDEX('1-DATA'!$1:$1048576,IF(OR($B385="STD. DEVIATION",$C$1=1),$A385,$A385+1),COLUMN('1-DATA'!Q383)),IF($B385="STD. DEVIATION",2,$F$1))))</f>
        <v/>
      </c>
      <c r="S385" s="1" t="str">
        <f>IF(OR($B385="",S$7=""),"",IF($B385="MEANS",INDEX('1-DATA'!$1:$1048576,$A384-1,COLUMN('1-DATA'!R383)),ROUND(INDEX('1-DATA'!$1:$1048576,IF(OR($B385="STD. DEVIATION",$C$1=1),$A385,$A385+1),COLUMN('1-DATA'!R383)),IF($B385="STD. DEVIATION",2,$F$1))))</f>
        <v/>
      </c>
      <c r="T385" s="1" t="str">
        <f>IF(OR($B385="",T$7=""),"",IF($B385="MEANS",INDEX('1-DATA'!$1:$1048576,$A384-1,COLUMN('1-DATA'!S383)),ROUND(INDEX('1-DATA'!$1:$1048576,IF(OR($B385="STD. DEVIATION",$C$1=1),$A385,$A385+1),COLUMN('1-DATA'!S383)),IF($B385="STD. DEVIATION",2,$F$1))))</f>
        <v/>
      </c>
      <c r="U385" s="1" t="str">
        <f>IF(OR($B385="",U$7=""),"",IF($B385="MEANS",INDEX('1-DATA'!$1:$1048576,$A384-1,COLUMN('1-DATA'!T383)),ROUND(INDEX('1-DATA'!$1:$1048576,IF(OR($B385="STD. DEVIATION",$C$1=1),$A385,$A385+1),COLUMN('1-DATA'!T383)),IF($B385="STD. DEVIATION",2,$F$1))))</f>
        <v/>
      </c>
      <c r="V385" s="1" t="str">
        <f>IF(OR($B385="",V$7=""),"",IF($B385="MEANS",INDEX('1-DATA'!$1:$1048576,$A384-1,COLUMN('1-DATA'!U383)),ROUND(INDEX('1-DATA'!$1:$1048576,IF(OR($B385="STD. DEVIATION",$C$1=1),$A385,$A385+1),COLUMN('1-DATA'!U383)),IF($B385="STD. DEVIATION",2,$F$1))))</f>
        <v/>
      </c>
      <c r="W385" s="1" t="str">
        <f>IF(OR($B385="",W$7=""),"",IF($B385="MEANS",INDEX('1-DATA'!$1:$1048576,$A384-1,COLUMN('1-DATA'!V383)),ROUND(INDEX('1-DATA'!$1:$1048576,IF(OR($B385="STD. DEVIATION",$C$1=1),$A385,$A385+1),COLUMN('1-DATA'!V383)),IF($B385="STD. DEVIATION",2,$F$1))))</f>
        <v/>
      </c>
      <c r="X385" s="1" t="str">
        <f>IF(OR($B385="",X$7=""),"",IF($B385="MEANS",INDEX('1-DATA'!$1:$1048576,$A384-1,COLUMN('1-DATA'!W383)),ROUND(INDEX('1-DATA'!$1:$1048576,IF(OR($B385="STD. DEVIATION",$C$1=1),$A385,$A385+1),COLUMN('1-DATA'!W383)),IF($B385="STD. DEVIATION",2,$F$1))))</f>
        <v/>
      </c>
      <c r="Y385" s="1" t="str">
        <f>IF(OR($B385="",Y$7=""),"",IF($B385="MEANS",INDEX('1-DATA'!$1:$1048576,$A384-1,COLUMN('1-DATA'!X383)),ROUND(INDEX('1-DATA'!$1:$1048576,IF(OR($B385="STD. DEVIATION",$C$1=1),$A385,$A385+1),COLUMN('1-DATA'!X383)),IF($B385="STD. DEVIATION",2,$F$1))))</f>
        <v/>
      </c>
      <c r="Z385" s="1" t="str">
        <f>IF(OR($B385="",Z$7=""),"",IF($B385="MEANS",INDEX('1-DATA'!$1:$1048576,$A384-1,COLUMN('1-DATA'!Y383)),ROUND(INDEX('1-DATA'!$1:$1048576,IF(OR($B385="STD. DEVIATION",$C$1=1),$A385,$A385+1),COLUMN('1-DATA'!Y383)),IF($B385="STD. DEVIATION",2,$F$1))))</f>
        <v/>
      </c>
      <c r="AA385" s="1" t="str">
        <f>IF(OR($B385="",AA$7=""),"",IF($B385="MEANS",INDEX('1-DATA'!$1:$1048576,$A384-1,COLUMN('1-DATA'!Z383)),ROUND(INDEX('1-DATA'!$1:$1048576,IF(OR($B385="STD. DEVIATION",$C$1=1),$A385,$A385+1),COLUMN('1-DATA'!Z383)),IF($B385="STD. DEVIATION",2,$F$1))))</f>
        <v/>
      </c>
      <c r="AB385" s="1" t="str">
        <f>IF(OR($B385="",AB$7=""),"",IF($B385="MEANS",INDEX('1-DATA'!$1:$1048576,$A384-1,COLUMN('1-DATA'!AA383)),ROUND(INDEX('1-DATA'!$1:$1048576,IF(OR($B385="STD. DEVIATION",$C$1=1),$A385,$A385+1),COLUMN('1-DATA'!AA383)),IF($B385="STD. DEVIATION",2,$F$1))))</f>
        <v/>
      </c>
      <c r="AC385" s="1" t="str">
        <f>IF(OR($B385="",AC$7=""),"",IF($B385="MEANS",INDEX('1-DATA'!$1:$1048576,$A384-1,COLUMN('1-DATA'!AB383)),ROUND(INDEX('1-DATA'!$1:$1048576,IF(OR($B385="STD. DEVIATION",$C$1=1),$A385,$A385+1),COLUMN('1-DATA'!AB383)),IF($B385="STD. DEVIATION",2,$F$1))))</f>
        <v/>
      </c>
      <c r="AD385" s="1" t="str">
        <f>IF(OR($B385="",AD$7=""),"",IF($B385="MEANS",INDEX('1-DATA'!$1:$1048576,$A384-1,COLUMN('1-DATA'!AC383)),ROUND(INDEX('1-DATA'!$1:$1048576,IF(OR($B385="STD. DEVIATION",$C$1=1),$A385,$A385+1),COLUMN('1-DATA'!AC383)),IF($B385="STD. DEVIATION",2,$F$1))))</f>
        <v/>
      </c>
      <c r="AE385" s="1" t="str">
        <f>IF(OR($B385="",AE$7=""),"",IF($B385="MEANS",INDEX('1-DATA'!$1:$1048576,$A384-1,COLUMN('1-DATA'!AD383)),ROUND(INDEX('1-DATA'!$1:$1048576,IF(OR($B385="STD. DEVIATION",$C$1=1),$A385,$A385+1),COLUMN('1-DATA'!AD383)),IF($B385="STD. DEVIATION",2,$F$1))))</f>
        <v/>
      </c>
      <c r="AF385" s="1" t="str">
        <f>IF(OR($B385="",AF$7=""),"",IF($B385="MEANS",INDEX('1-DATA'!$1:$1048576,$A384-1,COLUMN('1-DATA'!AE383)),ROUND(INDEX('1-DATA'!$1:$1048576,IF(OR($B385="STD. DEVIATION",$C$1=1),$A385,$A385+1),COLUMN('1-DATA'!AE383)),IF($B385="STD. DEVIATION",2,$F$1))))</f>
        <v/>
      </c>
      <c r="AG385" s="1" t="str">
        <f>IF(OR($B385="",AG$7=""),"",IF($B385="MEANS",INDEX('1-DATA'!$1:$1048576,$A384-1,COLUMN('1-DATA'!AF383)),ROUND(INDEX('1-DATA'!$1:$1048576,IF(OR($B385="STD. DEVIATION",$C$1=1),$A385,$A385+1),COLUMN('1-DATA'!AF383)),IF($B385="STD. DEVIATION",2,$F$1))))</f>
        <v/>
      </c>
      <c r="AH385" s="1" t="str">
        <f>IF(OR($B385="",AH$7=""),"",IF($B385="MEANS",INDEX('1-DATA'!$1:$1048576,$A384-1,COLUMN('1-DATA'!AG383)),ROUND(INDEX('1-DATA'!$1:$1048576,IF(OR($B385="STD. DEVIATION",$C$1=1),$A385,$A385+1),COLUMN('1-DATA'!AG383)),IF($B385="STD. DEVIATION",2,$F$1))))</f>
        <v/>
      </c>
      <c r="AI385" s="1" t="str">
        <f>IF(OR($B385="",AI$7=""),"",IF($B385="MEANS",INDEX('1-DATA'!$1:$1048576,$A384-1,COLUMN('1-DATA'!AH383)),ROUND(INDEX('1-DATA'!$1:$1048576,IF(OR($B385="STD. DEVIATION",$C$1=1),$A385,$A385+1),COLUMN('1-DATA'!AH383)),IF($B385="STD. DEVIATION",2,$F$1))))</f>
        <v/>
      </c>
      <c r="AJ385" s="1" t="str">
        <f>IF(OR($B385="",AJ$7=""),"",IF($B385="MEANS",INDEX('1-DATA'!$1:$1048576,$A384-1,COLUMN('1-DATA'!AI383)),ROUND(INDEX('1-DATA'!$1:$1048576,IF(OR($B385="STD. DEVIATION",$C$1=1),$A385,$A385+1),COLUMN('1-DATA'!AI383)),IF($B385="STD. DEVIATION",2,$F$1))))</f>
        <v/>
      </c>
      <c r="AK385" s="1" t="str">
        <f>IF(OR($B385="",AK$7=""),"",IF($B385="MEANS",INDEX('1-DATA'!$1:$1048576,$A384-1,COLUMN('1-DATA'!AJ383)),ROUND(INDEX('1-DATA'!$1:$1048576,IF(OR($B385="STD. DEVIATION",$C$1=1),$A385,$A385+1),COLUMN('1-DATA'!AJ383)),IF($B385="STD. DEVIATION",2,$F$1))))</f>
        <v/>
      </c>
      <c r="AL385" s="1" t="str">
        <f>IF(OR($B385="",AL$7=""),"",IF($B385="MEANS",INDEX('1-DATA'!$1:$1048576,$A384-1,COLUMN('1-DATA'!AK383)),ROUND(INDEX('1-DATA'!$1:$1048576,IF(OR($B385="STD. DEVIATION",$C$1=1),$A385,$A385+1),COLUMN('1-DATA'!AK383)),IF($B385="STD. DEVIATION",2,$F$1))))</f>
        <v/>
      </c>
      <c r="AM385" s="1" t="str">
        <f>IF(OR($B385="",AM$7=""),"",IF($B385="MEANS",INDEX('1-DATA'!$1:$1048576,$A384-1,COLUMN('1-DATA'!AL383)),ROUND(INDEX('1-DATA'!$1:$1048576,IF(OR($B385="STD. DEVIATION",$C$1=1),$A385,$A385+1),COLUMN('1-DATA'!AL383)),IF($B385="STD. DEVIATION",2,$F$1))))</f>
        <v/>
      </c>
      <c r="AN385" s="1" t="str">
        <f>IF(OR($B385="",AN$7=""),"",IF($B385="MEANS",INDEX('1-DATA'!$1:$1048576,$A384-1,COLUMN('1-DATA'!AM383)),ROUND(INDEX('1-DATA'!$1:$1048576,IF(OR($B385="STD. DEVIATION",$C$1=1),$A385,$A385+1),COLUMN('1-DATA'!AM383)),IF($B385="STD. DEVIATION",2,$F$1))))</f>
        <v/>
      </c>
      <c r="AO385" s="1" t="str">
        <f>IF(OR($B385="",AO$7=""),"",IF($B385="MEANS",INDEX('1-DATA'!$1:$1048576,$A384-1,COLUMN('1-DATA'!AN383)),ROUND(INDEX('1-DATA'!$1:$1048576,IF(OR($B385="STD. DEVIATION",$C$1=1),$A385,$A385+1),COLUMN('1-DATA'!AN383)),IF($B385="STD. DEVIATION",2,$F$1))))</f>
        <v/>
      </c>
      <c r="AP385" s="1" t="str">
        <f>IF(OR($B385="",AP$7=""),"",IF($B385="MEANS",INDEX('1-DATA'!$1:$1048576,$A384-1,COLUMN('1-DATA'!AO383)),ROUND(INDEX('1-DATA'!$1:$1048576,IF(OR($B385="STD. DEVIATION",$C$1=1),$A385,$A385+1),COLUMN('1-DATA'!AO383)),IF($B385="STD. DEVIATION",2,$F$1))))</f>
        <v/>
      </c>
      <c r="AQ385" s="1" t="str">
        <f>IF(OR($B385="",AQ$7=""),"",IF($B385="MEANS",INDEX('1-DATA'!$1:$1048576,$A384-1,COLUMN('1-DATA'!AP383)),ROUND(INDEX('1-DATA'!$1:$1048576,IF(OR($B385="STD. DEVIATION",$C$1=1),$A385,$A385+1),COLUMN('1-DATA'!AP383)),IF($B385="STD. DEVIATION",2,$F$1))))</f>
        <v/>
      </c>
      <c r="AR385" s="1" t="str">
        <f>IF(OR($B385="",AR$7=""),"",IF($B385="MEANS",INDEX('1-DATA'!$1:$1048576,$A384-1,COLUMN('1-DATA'!AQ383)),ROUND(INDEX('1-DATA'!$1:$1048576,IF(OR($B385="STD. DEVIATION",$C$1=1),$A385,$A385+1),COLUMN('1-DATA'!AQ383)),IF($B385="STD. DEVIATION",2,$F$1))))</f>
        <v/>
      </c>
      <c r="AS385" s="1" t="str">
        <f>IF(OR($B385="",AS$7=""),"",IF($B385="MEANS",INDEX('1-DATA'!$1:$1048576,$A384-1,COLUMN('1-DATA'!AR383)),ROUND(INDEX('1-DATA'!$1:$1048576,IF(OR($B385="STD. DEVIATION",$C$1=1),$A385,$A385+1),COLUMN('1-DATA'!AR383)),IF($B385="STD. DEVIATION",2,$F$1))))</f>
        <v/>
      </c>
      <c r="AT385" s="1" t="str">
        <f>IF(OR($B385="",AT$7=""),"",IF($B385="MEANS",INDEX('1-DATA'!$1:$1048576,$A384-1,COLUMN('1-DATA'!AS383)),ROUND(INDEX('1-DATA'!$1:$1048576,IF(OR($B385="STD. DEVIATION",$C$1=1),$A385,$A385+1),COLUMN('1-DATA'!AS383)),IF($B385="STD. DEVIATION",2,$F$1))))</f>
        <v/>
      </c>
      <c r="AU385" s="1" t="str">
        <f>IF(OR($B385="",AU$7=""),"",IF($B385="MEANS",INDEX('1-DATA'!$1:$1048576,$A384-1,COLUMN('1-DATA'!AT383)),ROUND(INDEX('1-DATA'!$1:$1048576,IF(OR($B385="STD. DEVIATION",$C$1=1),$A385,$A385+1),COLUMN('1-DATA'!AT383)),IF($B385="STD. DEVIATION",2,$F$1))))</f>
        <v/>
      </c>
      <c r="AV385" s="1" t="str">
        <f>IF(OR($B385="",AV$7=""),"",IF($B385="MEANS",INDEX('1-DATA'!$1:$1048576,$A384-1,COLUMN('1-DATA'!AU383)),ROUND(INDEX('1-DATA'!$1:$1048576,IF(OR($B385="STD. DEVIATION",$C$1=1),$A385,$A385+1),COLUMN('1-DATA'!AU383)),IF($B385="STD. DEVIATION",2,$F$1))))</f>
        <v/>
      </c>
      <c r="AW385" s="1" t="str">
        <f>IF(OR($B385="",AW$7=""),"",IF($B385="MEANS",INDEX('1-DATA'!$1:$1048576,$A384-1,COLUMN('1-DATA'!AV383)),ROUND(INDEX('1-DATA'!$1:$1048576,IF(OR($B385="STD. DEVIATION",$C$1=1),$A385,$A385+1),COLUMN('1-DATA'!AV383)),IF($B385="STD. DEVIATION",2,$F$1))))</f>
        <v/>
      </c>
      <c r="AX385" s="1" t="str">
        <f>IF(OR($B385="",AX$7=""),"",IF($B385="MEANS",INDEX('1-DATA'!$1:$1048576,$A384-1,COLUMN('1-DATA'!AW383)),ROUND(INDEX('1-DATA'!$1:$1048576,IF(OR($B385="STD. DEVIATION",$C$1=1),$A385,$A385+1),COLUMN('1-DATA'!AW383)),IF($B385="STD. DEVIATION",2,$F$1))))</f>
        <v/>
      </c>
      <c r="AY385" s="1" t="str">
        <f>IF(OR($B385="",AY$7=""),"",IF($B385="MEANS",INDEX('1-DATA'!$1:$1048576,$A384-1,COLUMN('1-DATA'!AX383)),ROUND(INDEX('1-DATA'!$1:$1048576,IF(OR($B385="STD. DEVIATION",$C$1=1),$A385,$A385+1),COLUMN('1-DATA'!AX383)),IF($B385="STD. DEVIATION",2,$F$1))))</f>
        <v/>
      </c>
      <c r="AZ385" s="1" t="str">
        <f>IF(OR($B385="",AZ$7=""),"",IF($B385="MEANS",INDEX('1-DATA'!$1:$1048576,$A384-1,COLUMN('1-DATA'!AY383)),ROUND(INDEX('1-DATA'!$1:$1048576,IF(OR($B385="STD. DEVIATION",$C$1=1),$A385,$A385+1),COLUMN('1-DATA'!AY383)),IF($B385="STD. DEVIATION",2,$F$1))))</f>
        <v/>
      </c>
    </row>
    <row r="386" spans="1:52" x14ac:dyDescent="0.25">
      <c r="A386" s="11">
        <f t="shared" si="6"/>
        <v>1144</v>
      </c>
      <c r="B386" s="1" t="str">
        <f>IF(B385="STD. DEVIATION",INDEX('1-DATA'!$1:$1048576,$A385-1,1),IF(INDEX('1-DATA'!$1:$1048576,$A386,1)&lt;&gt;"",INDEX('1-DATA'!$1:$1048576,$A386,1),""))</f>
        <v/>
      </c>
      <c r="C386" s="1" t="str">
        <f>IF(OR($B386="",C$7=""),"",IF($B386="MEANS",INDEX('1-DATA'!$1:$1048576,$A385-1,COLUMN('1-DATA'!B384)),ROUND(INDEX('1-DATA'!$1:$1048576,IF(OR($B386="STD. DEVIATION",$C$1=1),$A386,$A386+1),COLUMN('1-DATA'!B384)),IF($B386="STD. DEVIATION",2,$F$1))))</f>
        <v/>
      </c>
      <c r="D386" s="1" t="str">
        <f>IF(OR($B386="",D$7=""),"",IF($B386="MEANS",INDEX('1-DATA'!$1:$1048576,$A385-1,COLUMN('1-DATA'!C384)),ROUND(INDEX('1-DATA'!$1:$1048576,IF(OR($B386="STD. DEVIATION",$C$1=1),$A386,$A386+1),COLUMN('1-DATA'!C384)),IF($B386="STD. DEVIATION",2,$F$1))))</f>
        <v/>
      </c>
      <c r="E386" s="1" t="str">
        <f>IF(OR($B386="",E$7=""),"",IF($B386="MEANS",INDEX('1-DATA'!$1:$1048576,$A385-1,COLUMN('1-DATA'!D384)),ROUND(INDEX('1-DATA'!$1:$1048576,IF(OR($B386="STD. DEVIATION",$C$1=1),$A386,$A386+1),COLUMN('1-DATA'!D384)),IF($B386="STD. DEVIATION",2,$F$1))))</f>
        <v/>
      </c>
      <c r="F386" s="1" t="str">
        <f>IF(OR($B386="",F$7=""),"",IF($B386="MEANS",INDEX('1-DATA'!$1:$1048576,$A385-1,COLUMN('1-DATA'!E384)),ROUND(INDEX('1-DATA'!$1:$1048576,IF(OR($B386="STD. DEVIATION",$C$1=1),$A386,$A386+1),COLUMN('1-DATA'!E384)),IF($B386="STD. DEVIATION",2,$F$1))))</f>
        <v/>
      </c>
      <c r="G386" s="1" t="str">
        <f>IF(OR($B386="",G$7=""),"",IF($B386="MEANS",INDEX('1-DATA'!$1:$1048576,$A385-1,COLUMN('1-DATA'!F384)),ROUND(INDEX('1-DATA'!$1:$1048576,IF(OR($B386="STD. DEVIATION",$C$1=1),$A386,$A386+1),COLUMN('1-DATA'!F384)),IF($B386="STD. DEVIATION",2,$F$1))))</f>
        <v/>
      </c>
      <c r="H386" s="1" t="str">
        <f>IF(OR($B386="",H$7=""),"",IF($B386="MEANS",INDEX('1-DATA'!$1:$1048576,$A385-1,COLUMN('1-DATA'!G384)),ROUND(INDEX('1-DATA'!$1:$1048576,IF(OR($B386="STD. DEVIATION",$C$1=1),$A386,$A386+1),COLUMN('1-DATA'!G384)),IF($B386="STD. DEVIATION",2,$F$1))))</f>
        <v/>
      </c>
      <c r="I386" s="1" t="str">
        <f>IF(OR($B386="",I$7=""),"",IF($B386="MEANS",INDEX('1-DATA'!$1:$1048576,$A385-1,COLUMN('1-DATA'!H384)),ROUND(INDEX('1-DATA'!$1:$1048576,IF(OR($B386="STD. DEVIATION",$C$1=1),$A386,$A386+1),COLUMN('1-DATA'!H384)),IF($B386="STD. DEVIATION",2,$F$1))))</f>
        <v/>
      </c>
      <c r="J386" s="1" t="str">
        <f>IF(OR($B386="",J$7=""),"",IF($B386="MEANS",INDEX('1-DATA'!$1:$1048576,$A385-1,COLUMN('1-DATA'!I384)),ROUND(INDEX('1-DATA'!$1:$1048576,IF(OR($B386="STD. DEVIATION",$C$1=1),$A386,$A386+1),COLUMN('1-DATA'!I384)),IF($B386="STD. DEVIATION",2,$F$1))))</f>
        <v/>
      </c>
      <c r="K386" s="1" t="str">
        <f>IF(OR($B386="",K$7=""),"",IF($B386="MEANS",INDEX('1-DATA'!$1:$1048576,$A385-1,COLUMN('1-DATA'!J384)),ROUND(INDEX('1-DATA'!$1:$1048576,IF(OR($B386="STD. DEVIATION",$C$1=1),$A386,$A386+1),COLUMN('1-DATA'!J384)),IF($B386="STD. DEVIATION",2,$F$1))))</f>
        <v/>
      </c>
      <c r="L386" s="1" t="str">
        <f>IF(OR($B386="",L$7=""),"",IF($B386="MEANS",INDEX('1-DATA'!$1:$1048576,$A385-1,COLUMN('1-DATA'!K384)),ROUND(INDEX('1-DATA'!$1:$1048576,IF(OR($B386="STD. DEVIATION",$C$1=1),$A386,$A386+1),COLUMN('1-DATA'!K384)),IF($B386="STD. DEVIATION",2,$F$1))))</f>
        <v/>
      </c>
      <c r="M386" s="1" t="str">
        <f>IF(OR($B386="",M$7=""),"",IF($B386="MEANS",INDEX('1-DATA'!$1:$1048576,$A385-1,COLUMN('1-DATA'!L384)),ROUND(INDEX('1-DATA'!$1:$1048576,IF(OR($B386="STD. DEVIATION",$C$1=1),$A386,$A386+1),COLUMN('1-DATA'!L384)),IF($B386="STD. DEVIATION",2,$F$1))))</f>
        <v/>
      </c>
      <c r="N386" s="1" t="str">
        <f>IF(OR($B386="",N$7=""),"",IF($B386="MEANS",INDEX('1-DATA'!$1:$1048576,$A385-1,COLUMN('1-DATA'!M384)),ROUND(INDEX('1-DATA'!$1:$1048576,IF(OR($B386="STD. DEVIATION",$C$1=1),$A386,$A386+1),COLUMN('1-DATA'!M384)),IF($B386="STD. DEVIATION",2,$F$1))))</f>
        <v/>
      </c>
      <c r="O386" s="1" t="str">
        <f>IF(OR($B386="",O$7=""),"",IF($B386="MEANS",INDEX('1-DATA'!$1:$1048576,$A385-1,COLUMN('1-DATA'!N384)),ROUND(INDEX('1-DATA'!$1:$1048576,IF(OR($B386="STD. DEVIATION",$C$1=1),$A386,$A386+1),COLUMN('1-DATA'!N384)),IF($B386="STD. DEVIATION",2,$F$1))))</f>
        <v/>
      </c>
      <c r="P386" s="1" t="str">
        <f>IF(OR($B386="",P$7=""),"",IF($B386="MEANS",INDEX('1-DATA'!$1:$1048576,$A385-1,COLUMN('1-DATA'!O384)),ROUND(INDEX('1-DATA'!$1:$1048576,IF(OR($B386="STD. DEVIATION",$C$1=1),$A386,$A386+1),COLUMN('1-DATA'!O384)),IF($B386="STD. DEVIATION",2,$F$1))))</f>
        <v/>
      </c>
      <c r="Q386" s="1" t="str">
        <f>IF(OR($B386="",Q$7=""),"",IF($B386="MEANS",INDEX('1-DATA'!$1:$1048576,$A385-1,COLUMN('1-DATA'!P384)),ROUND(INDEX('1-DATA'!$1:$1048576,IF(OR($B386="STD. DEVIATION",$C$1=1),$A386,$A386+1),COLUMN('1-DATA'!P384)),IF($B386="STD. DEVIATION",2,$F$1))))</f>
        <v/>
      </c>
      <c r="R386" s="1" t="str">
        <f>IF(OR($B386="",R$7=""),"",IF($B386="MEANS",INDEX('1-DATA'!$1:$1048576,$A385-1,COLUMN('1-DATA'!Q384)),ROUND(INDEX('1-DATA'!$1:$1048576,IF(OR($B386="STD. DEVIATION",$C$1=1),$A386,$A386+1),COLUMN('1-DATA'!Q384)),IF($B386="STD. DEVIATION",2,$F$1))))</f>
        <v/>
      </c>
      <c r="S386" s="1" t="str">
        <f>IF(OR($B386="",S$7=""),"",IF($B386="MEANS",INDEX('1-DATA'!$1:$1048576,$A385-1,COLUMN('1-DATA'!R384)),ROUND(INDEX('1-DATA'!$1:$1048576,IF(OR($B386="STD. DEVIATION",$C$1=1),$A386,$A386+1),COLUMN('1-DATA'!R384)),IF($B386="STD. DEVIATION",2,$F$1))))</f>
        <v/>
      </c>
      <c r="T386" s="1" t="str">
        <f>IF(OR($B386="",T$7=""),"",IF($B386="MEANS",INDEX('1-DATA'!$1:$1048576,$A385-1,COLUMN('1-DATA'!S384)),ROUND(INDEX('1-DATA'!$1:$1048576,IF(OR($B386="STD. DEVIATION",$C$1=1),$A386,$A386+1),COLUMN('1-DATA'!S384)),IF($B386="STD. DEVIATION",2,$F$1))))</f>
        <v/>
      </c>
      <c r="U386" s="1" t="str">
        <f>IF(OR($B386="",U$7=""),"",IF($B386="MEANS",INDEX('1-DATA'!$1:$1048576,$A385-1,COLUMN('1-DATA'!T384)),ROUND(INDEX('1-DATA'!$1:$1048576,IF(OR($B386="STD. DEVIATION",$C$1=1),$A386,$A386+1),COLUMN('1-DATA'!T384)),IF($B386="STD. DEVIATION",2,$F$1))))</f>
        <v/>
      </c>
      <c r="V386" s="1" t="str">
        <f>IF(OR($B386="",V$7=""),"",IF($B386="MEANS",INDEX('1-DATA'!$1:$1048576,$A385-1,COLUMN('1-DATA'!U384)),ROUND(INDEX('1-DATA'!$1:$1048576,IF(OR($B386="STD. DEVIATION",$C$1=1),$A386,$A386+1),COLUMN('1-DATA'!U384)),IF($B386="STD. DEVIATION",2,$F$1))))</f>
        <v/>
      </c>
      <c r="W386" s="1" t="str">
        <f>IF(OR($B386="",W$7=""),"",IF($B386="MEANS",INDEX('1-DATA'!$1:$1048576,$A385-1,COLUMN('1-DATA'!V384)),ROUND(INDEX('1-DATA'!$1:$1048576,IF(OR($B386="STD. DEVIATION",$C$1=1),$A386,$A386+1),COLUMN('1-DATA'!V384)),IF($B386="STD. DEVIATION",2,$F$1))))</f>
        <v/>
      </c>
      <c r="X386" s="1" t="str">
        <f>IF(OR($B386="",X$7=""),"",IF($B386="MEANS",INDEX('1-DATA'!$1:$1048576,$A385-1,COLUMN('1-DATA'!W384)),ROUND(INDEX('1-DATA'!$1:$1048576,IF(OR($B386="STD. DEVIATION",$C$1=1),$A386,$A386+1),COLUMN('1-DATA'!W384)),IF($B386="STD. DEVIATION",2,$F$1))))</f>
        <v/>
      </c>
      <c r="Y386" s="1" t="str">
        <f>IF(OR($B386="",Y$7=""),"",IF($B386="MEANS",INDEX('1-DATA'!$1:$1048576,$A385-1,COLUMN('1-DATA'!X384)),ROUND(INDEX('1-DATA'!$1:$1048576,IF(OR($B386="STD. DEVIATION",$C$1=1),$A386,$A386+1),COLUMN('1-DATA'!X384)),IF($B386="STD. DEVIATION",2,$F$1))))</f>
        <v/>
      </c>
      <c r="Z386" s="1" t="str">
        <f>IF(OR($B386="",Z$7=""),"",IF($B386="MEANS",INDEX('1-DATA'!$1:$1048576,$A385-1,COLUMN('1-DATA'!Y384)),ROUND(INDEX('1-DATA'!$1:$1048576,IF(OR($B386="STD. DEVIATION",$C$1=1),$A386,$A386+1),COLUMN('1-DATA'!Y384)),IF($B386="STD. DEVIATION",2,$F$1))))</f>
        <v/>
      </c>
      <c r="AA386" s="1" t="str">
        <f>IF(OR($B386="",AA$7=""),"",IF($B386="MEANS",INDEX('1-DATA'!$1:$1048576,$A385-1,COLUMN('1-DATA'!Z384)),ROUND(INDEX('1-DATA'!$1:$1048576,IF(OR($B386="STD. DEVIATION",$C$1=1),$A386,$A386+1),COLUMN('1-DATA'!Z384)),IF($B386="STD. DEVIATION",2,$F$1))))</f>
        <v/>
      </c>
      <c r="AB386" s="1" t="str">
        <f>IF(OR($B386="",AB$7=""),"",IF($B386="MEANS",INDEX('1-DATA'!$1:$1048576,$A385-1,COLUMN('1-DATA'!AA384)),ROUND(INDEX('1-DATA'!$1:$1048576,IF(OR($B386="STD. DEVIATION",$C$1=1),$A386,$A386+1),COLUMN('1-DATA'!AA384)),IF($B386="STD. DEVIATION",2,$F$1))))</f>
        <v/>
      </c>
      <c r="AC386" s="1" t="str">
        <f>IF(OR($B386="",AC$7=""),"",IF($B386="MEANS",INDEX('1-DATA'!$1:$1048576,$A385-1,COLUMN('1-DATA'!AB384)),ROUND(INDEX('1-DATA'!$1:$1048576,IF(OR($B386="STD. DEVIATION",$C$1=1),$A386,$A386+1),COLUMN('1-DATA'!AB384)),IF($B386="STD. DEVIATION",2,$F$1))))</f>
        <v/>
      </c>
      <c r="AD386" s="1" t="str">
        <f>IF(OR($B386="",AD$7=""),"",IF($B386="MEANS",INDEX('1-DATA'!$1:$1048576,$A385-1,COLUMN('1-DATA'!AC384)),ROUND(INDEX('1-DATA'!$1:$1048576,IF(OR($B386="STD. DEVIATION",$C$1=1),$A386,$A386+1),COLUMN('1-DATA'!AC384)),IF($B386="STD. DEVIATION",2,$F$1))))</f>
        <v/>
      </c>
      <c r="AE386" s="1" t="str">
        <f>IF(OR($B386="",AE$7=""),"",IF($B386="MEANS",INDEX('1-DATA'!$1:$1048576,$A385-1,COLUMN('1-DATA'!AD384)),ROUND(INDEX('1-DATA'!$1:$1048576,IF(OR($B386="STD. DEVIATION",$C$1=1),$A386,$A386+1),COLUMN('1-DATA'!AD384)),IF($B386="STD. DEVIATION",2,$F$1))))</f>
        <v/>
      </c>
      <c r="AF386" s="1" t="str">
        <f>IF(OR($B386="",AF$7=""),"",IF($B386="MEANS",INDEX('1-DATA'!$1:$1048576,$A385-1,COLUMN('1-DATA'!AE384)),ROUND(INDEX('1-DATA'!$1:$1048576,IF(OR($B386="STD. DEVIATION",$C$1=1),$A386,$A386+1),COLUMN('1-DATA'!AE384)),IF($B386="STD. DEVIATION",2,$F$1))))</f>
        <v/>
      </c>
      <c r="AG386" s="1" t="str">
        <f>IF(OR($B386="",AG$7=""),"",IF($B386="MEANS",INDEX('1-DATA'!$1:$1048576,$A385-1,COLUMN('1-DATA'!AF384)),ROUND(INDEX('1-DATA'!$1:$1048576,IF(OR($B386="STD. DEVIATION",$C$1=1),$A386,$A386+1),COLUMN('1-DATA'!AF384)),IF($B386="STD. DEVIATION",2,$F$1))))</f>
        <v/>
      </c>
      <c r="AH386" s="1" t="str">
        <f>IF(OR($B386="",AH$7=""),"",IF($B386="MEANS",INDEX('1-DATA'!$1:$1048576,$A385-1,COLUMN('1-DATA'!AG384)),ROUND(INDEX('1-DATA'!$1:$1048576,IF(OR($B386="STD. DEVIATION",$C$1=1),$A386,$A386+1),COLUMN('1-DATA'!AG384)),IF($B386="STD. DEVIATION",2,$F$1))))</f>
        <v/>
      </c>
      <c r="AI386" s="1" t="str">
        <f>IF(OR($B386="",AI$7=""),"",IF($B386="MEANS",INDEX('1-DATA'!$1:$1048576,$A385-1,COLUMN('1-DATA'!AH384)),ROUND(INDEX('1-DATA'!$1:$1048576,IF(OR($B386="STD. DEVIATION",$C$1=1),$A386,$A386+1),COLUMN('1-DATA'!AH384)),IF($B386="STD. DEVIATION",2,$F$1))))</f>
        <v/>
      </c>
      <c r="AJ386" s="1" t="str">
        <f>IF(OR($B386="",AJ$7=""),"",IF($B386="MEANS",INDEX('1-DATA'!$1:$1048576,$A385-1,COLUMN('1-DATA'!AI384)),ROUND(INDEX('1-DATA'!$1:$1048576,IF(OR($B386="STD. DEVIATION",$C$1=1),$A386,$A386+1),COLUMN('1-DATA'!AI384)),IF($B386="STD. DEVIATION",2,$F$1))))</f>
        <v/>
      </c>
      <c r="AK386" s="1" t="str">
        <f>IF(OR($B386="",AK$7=""),"",IF($B386="MEANS",INDEX('1-DATA'!$1:$1048576,$A385-1,COLUMN('1-DATA'!AJ384)),ROUND(INDEX('1-DATA'!$1:$1048576,IF(OR($B386="STD. DEVIATION",$C$1=1),$A386,$A386+1),COLUMN('1-DATA'!AJ384)),IF($B386="STD. DEVIATION",2,$F$1))))</f>
        <v/>
      </c>
      <c r="AL386" s="1" t="str">
        <f>IF(OR($B386="",AL$7=""),"",IF($B386="MEANS",INDEX('1-DATA'!$1:$1048576,$A385-1,COLUMN('1-DATA'!AK384)),ROUND(INDEX('1-DATA'!$1:$1048576,IF(OR($B386="STD. DEVIATION",$C$1=1),$A386,$A386+1),COLUMN('1-DATA'!AK384)),IF($B386="STD. DEVIATION",2,$F$1))))</f>
        <v/>
      </c>
      <c r="AM386" s="1" t="str">
        <f>IF(OR($B386="",AM$7=""),"",IF($B386="MEANS",INDEX('1-DATA'!$1:$1048576,$A385-1,COLUMN('1-DATA'!AL384)),ROUND(INDEX('1-DATA'!$1:$1048576,IF(OR($B386="STD. DEVIATION",$C$1=1),$A386,$A386+1),COLUMN('1-DATA'!AL384)),IF($B386="STD. DEVIATION",2,$F$1))))</f>
        <v/>
      </c>
      <c r="AN386" s="1" t="str">
        <f>IF(OR($B386="",AN$7=""),"",IF($B386="MEANS",INDEX('1-DATA'!$1:$1048576,$A385-1,COLUMN('1-DATA'!AM384)),ROUND(INDEX('1-DATA'!$1:$1048576,IF(OR($B386="STD. DEVIATION",$C$1=1),$A386,$A386+1),COLUMN('1-DATA'!AM384)),IF($B386="STD. DEVIATION",2,$F$1))))</f>
        <v/>
      </c>
      <c r="AO386" s="1" t="str">
        <f>IF(OR($B386="",AO$7=""),"",IF($B386="MEANS",INDEX('1-DATA'!$1:$1048576,$A385-1,COLUMN('1-DATA'!AN384)),ROUND(INDEX('1-DATA'!$1:$1048576,IF(OR($B386="STD. DEVIATION",$C$1=1),$A386,$A386+1),COLUMN('1-DATA'!AN384)),IF($B386="STD. DEVIATION",2,$F$1))))</f>
        <v/>
      </c>
      <c r="AP386" s="1" t="str">
        <f>IF(OR($B386="",AP$7=""),"",IF($B386="MEANS",INDEX('1-DATA'!$1:$1048576,$A385-1,COLUMN('1-DATA'!AO384)),ROUND(INDEX('1-DATA'!$1:$1048576,IF(OR($B386="STD. DEVIATION",$C$1=1),$A386,$A386+1),COLUMN('1-DATA'!AO384)),IF($B386="STD. DEVIATION",2,$F$1))))</f>
        <v/>
      </c>
      <c r="AQ386" s="1" t="str">
        <f>IF(OR($B386="",AQ$7=""),"",IF($B386="MEANS",INDEX('1-DATA'!$1:$1048576,$A385-1,COLUMN('1-DATA'!AP384)),ROUND(INDEX('1-DATA'!$1:$1048576,IF(OR($B386="STD. DEVIATION",$C$1=1),$A386,$A386+1),COLUMN('1-DATA'!AP384)),IF($B386="STD. DEVIATION",2,$F$1))))</f>
        <v/>
      </c>
      <c r="AR386" s="1" t="str">
        <f>IF(OR($B386="",AR$7=""),"",IF($B386="MEANS",INDEX('1-DATA'!$1:$1048576,$A385-1,COLUMN('1-DATA'!AQ384)),ROUND(INDEX('1-DATA'!$1:$1048576,IF(OR($B386="STD. DEVIATION",$C$1=1),$A386,$A386+1),COLUMN('1-DATA'!AQ384)),IF($B386="STD. DEVIATION",2,$F$1))))</f>
        <v/>
      </c>
      <c r="AS386" s="1" t="str">
        <f>IF(OR($B386="",AS$7=""),"",IF($B386="MEANS",INDEX('1-DATA'!$1:$1048576,$A385-1,COLUMN('1-DATA'!AR384)),ROUND(INDEX('1-DATA'!$1:$1048576,IF(OR($B386="STD. DEVIATION",$C$1=1),$A386,$A386+1),COLUMN('1-DATA'!AR384)),IF($B386="STD. DEVIATION",2,$F$1))))</f>
        <v/>
      </c>
      <c r="AT386" s="1" t="str">
        <f>IF(OR($B386="",AT$7=""),"",IF($B386="MEANS",INDEX('1-DATA'!$1:$1048576,$A385-1,COLUMN('1-DATA'!AS384)),ROUND(INDEX('1-DATA'!$1:$1048576,IF(OR($B386="STD. DEVIATION",$C$1=1),$A386,$A386+1),COLUMN('1-DATA'!AS384)),IF($B386="STD. DEVIATION",2,$F$1))))</f>
        <v/>
      </c>
      <c r="AU386" s="1" t="str">
        <f>IF(OR($B386="",AU$7=""),"",IF($B386="MEANS",INDEX('1-DATA'!$1:$1048576,$A385-1,COLUMN('1-DATA'!AT384)),ROUND(INDEX('1-DATA'!$1:$1048576,IF(OR($B386="STD. DEVIATION",$C$1=1),$A386,$A386+1),COLUMN('1-DATA'!AT384)),IF($B386="STD. DEVIATION",2,$F$1))))</f>
        <v/>
      </c>
      <c r="AV386" s="1" t="str">
        <f>IF(OR($B386="",AV$7=""),"",IF($B386="MEANS",INDEX('1-DATA'!$1:$1048576,$A385-1,COLUMN('1-DATA'!AU384)),ROUND(INDEX('1-DATA'!$1:$1048576,IF(OR($B386="STD. DEVIATION",$C$1=1),$A386,$A386+1),COLUMN('1-DATA'!AU384)),IF($B386="STD. DEVIATION",2,$F$1))))</f>
        <v/>
      </c>
      <c r="AW386" s="1" t="str">
        <f>IF(OR($B386="",AW$7=""),"",IF($B386="MEANS",INDEX('1-DATA'!$1:$1048576,$A385-1,COLUMN('1-DATA'!AV384)),ROUND(INDEX('1-DATA'!$1:$1048576,IF(OR($B386="STD. DEVIATION",$C$1=1),$A386,$A386+1),COLUMN('1-DATA'!AV384)),IF($B386="STD. DEVIATION",2,$F$1))))</f>
        <v/>
      </c>
      <c r="AX386" s="1" t="str">
        <f>IF(OR($B386="",AX$7=""),"",IF($B386="MEANS",INDEX('1-DATA'!$1:$1048576,$A385-1,COLUMN('1-DATA'!AW384)),ROUND(INDEX('1-DATA'!$1:$1048576,IF(OR($B386="STD. DEVIATION",$C$1=1),$A386,$A386+1),COLUMN('1-DATA'!AW384)),IF($B386="STD. DEVIATION",2,$F$1))))</f>
        <v/>
      </c>
      <c r="AY386" s="1" t="str">
        <f>IF(OR($B386="",AY$7=""),"",IF($B386="MEANS",INDEX('1-DATA'!$1:$1048576,$A385-1,COLUMN('1-DATA'!AX384)),ROUND(INDEX('1-DATA'!$1:$1048576,IF(OR($B386="STD. DEVIATION",$C$1=1),$A386,$A386+1),COLUMN('1-DATA'!AX384)),IF($B386="STD. DEVIATION",2,$F$1))))</f>
        <v/>
      </c>
      <c r="AZ386" s="1" t="str">
        <f>IF(OR($B386="",AZ$7=""),"",IF($B386="MEANS",INDEX('1-DATA'!$1:$1048576,$A385-1,COLUMN('1-DATA'!AY384)),ROUND(INDEX('1-DATA'!$1:$1048576,IF(OR($B386="STD. DEVIATION",$C$1=1),$A386,$A386+1),COLUMN('1-DATA'!AY384)),IF($B386="STD. DEVIATION",2,$F$1))))</f>
        <v/>
      </c>
    </row>
    <row r="387" spans="1:52" x14ac:dyDescent="0.25">
      <c r="A387" s="11">
        <f t="shared" si="6"/>
        <v>1147</v>
      </c>
      <c r="B387" s="1" t="str">
        <f>IF(B386="STD. DEVIATION",INDEX('1-DATA'!$1:$1048576,$A386-1,1),IF(INDEX('1-DATA'!$1:$1048576,$A387,1)&lt;&gt;"",INDEX('1-DATA'!$1:$1048576,$A387,1),""))</f>
        <v/>
      </c>
      <c r="C387" s="1" t="str">
        <f>IF(OR($B387="",C$7=""),"",IF($B387="MEANS",INDEX('1-DATA'!$1:$1048576,$A386-1,COLUMN('1-DATA'!B385)),ROUND(INDEX('1-DATA'!$1:$1048576,IF(OR($B387="STD. DEVIATION",$C$1=1),$A387,$A387+1),COLUMN('1-DATA'!B385)),IF($B387="STD. DEVIATION",2,$F$1))))</f>
        <v/>
      </c>
      <c r="D387" s="1" t="str">
        <f>IF(OR($B387="",D$7=""),"",IF($B387="MEANS",INDEX('1-DATA'!$1:$1048576,$A386-1,COLUMN('1-DATA'!C385)),ROUND(INDEX('1-DATA'!$1:$1048576,IF(OR($B387="STD. DEVIATION",$C$1=1),$A387,$A387+1),COLUMN('1-DATA'!C385)),IF($B387="STD. DEVIATION",2,$F$1))))</f>
        <v/>
      </c>
      <c r="E387" s="1" t="str">
        <f>IF(OR($B387="",E$7=""),"",IF($B387="MEANS",INDEX('1-DATA'!$1:$1048576,$A386-1,COLUMN('1-DATA'!D385)),ROUND(INDEX('1-DATA'!$1:$1048576,IF(OR($B387="STD. DEVIATION",$C$1=1),$A387,$A387+1),COLUMN('1-DATA'!D385)),IF($B387="STD. DEVIATION",2,$F$1))))</f>
        <v/>
      </c>
      <c r="F387" s="1" t="str">
        <f>IF(OR($B387="",F$7=""),"",IF($B387="MEANS",INDEX('1-DATA'!$1:$1048576,$A386-1,COLUMN('1-DATA'!E385)),ROUND(INDEX('1-DATA'!$1:$1048576,IF(OR($B387="STD. DEVIATION",$C$1=1),$A387,$A387+1),COLUMN('1-DATA'!E385)),IF($B387="STD. DEVIATION",2,$F$1))))</f>
        <v/>
      </c>
      <c r="G387" s="1" t="str">
        <f>IF(OR($B387="",G$7=""),"",IF($B387="MEANS",INDEX('1-DATA'!$1:$1048576,$A386-1,COLUMN('1-DATA'!F385)),ROUND(INDEX('1-DATA'!$1:$1048576,IF(OR($B387="STD. DEVIATION",$C$1=1),$A387,$A387+1),COLUMN('1-DATA'!F385)),IF($B387="STD. DEVIATION",2,$F$1))))</f>
        <v/>
      </c>
      <c r="H387" s="1" t="str">
        <f>IF(OR($B387="",H$7=""),"",IF($B387="MEANS",INDEX('1-DATA'!$1:$1048576,$A386-1,COLUMN('1-DATA'!G385)),ROUND(INDEX('1-DATA'!$1:$1048576,IF(OR($B387="STD. DEVIATION",$C$1=1),$A387,$A387+1),COLUMN('1-DATA'!G385)),IF($B387="STD. DEVIATION",2,$F$1))))</f>
        <v/>
      </c>
      <c r="I387" s="1" t="str">
        <f>IF(OR($B387="",I$7=""),"",IF($B387="MEANS",INDEX('1-DATA'!$1:$1048576,$A386-1,COLUMN('1-DATA'!H385)),ROUND(INDEX('1-DATA'!$1:$1048576,IF(OR($B387="STD. DEVIATION",$C$1=1),$A387,$A387+1),COLUMN('1-DATA'!H385)),IF($B387="STD. DEVIATION",2,$F$1))))</f>
        <v/>
      </c>
      <c r="J387" s="1" t="str">
        <f>IF(OR($B387="",J$7=""),"",IF($B387="MEANS",INDEX('1-DATA'!$1:$1048576,$A386-1,COLUMN('1-DATA'!I385)),ROUND(INDEX('1-DATA'!$1:$1048576,IF(OR($B387="STD. DEVIATION",$C$1=1),$A387,$A387+1),COLUMN('1-DATA'!I385)),IF($B387="STD. DEVIATION",2,$F$1))))</f>
        <v/>
      </c>
      <c r="K387" s="1" t="str">
        <f>IF(OR($B387="",K$7=""),"",IF($B387="MEANS",INDEX('1-DATA'!$1:$1048576,$A386-1,COLUMN('1-DATA'!J385)),ROUND(INDEX('1-DATA'!$1:$1048576,IF(OR($B387="STD. DEVIATION",$C$1=1),$A387,$A387+1),COLUMN('1-DATA'!J385)),IF($B387="STD. DEVIATION",2,$F$1))))</f>
        <v/>
      </c>
      <c r="L387" s="1" t="str">
        <f>IF(OR($B387="",L$7=""),"",IF($B387="MEANS",INDEX('1-DATA'!$1:$1048576,$A386-1,COLUMN('1-DATA'!K385)),ROUND(INDEX('1-DATA'!$1:$1048576,IF(OR($B387="STD. DEVIATION",$C$1=1),$A387,$A387+1),COLUMN('1-DATA'!K385)),IF($B387="STD. DEVIATION",2,$F$1))))</f>
        <v/>
      </c>
      <c r="M387" s="1" t="str">
        <f>IF(OR($B387="",M$7=""),"",IF($B387="MEANS",INDEX('1-DATA'!$1:$1048576,$A386-1,COLUMN('1-DATA'!L385)),ROUND(INDEX('1-DATA'!$1:$1048576,IF(OR($B387="STD. DEVIATION",$C$1=1),$A387,$A387+1),COLUMN('1-DATA'!L385)),IF($B387="STD. DEVIATION",2,$F$1))))</f>
        <v/>
      </c>
      <c r="N387" s="1" t="str">
        <f>IF(OR($B387="",N$7=""),"",IF($B387="MEANS",INDEX('1-DATA'!$1:$1048576,$A386-1,COLUMN('1-DATA'!M385)),ROUND(INDEX('1-DATA'!$1:$1048576,IF(OR($B387="STD. DEVIATION",$C$1=1),$A387,$A387+1),COLUMN('1-DATA'!M385)),IF($B387="STD. DEVIATION",2,$F$1))))</f>
        <v/>
      </c>
      <c r="O387" s="1" t="str">
        <f>IF(OR($B387="",O$7=""),"",IF($B387="MEANS",INDEX('1-DATA'!$1:$1048576,$A386-1,COLUMN('1-DATA'!N385)),ROUND(INDEX('1-DATA'!$1:$1048576,IF(OR($B387="STD. DEVIATION",$C$1=1),$A387,$A387+1),COLUMN('1-DATA'!N385)),IF($B387="STD. DEVIATION",2,$F$1))))</f>
        <v/>
      </c>
      <c r="P387" s="1" t="str">
        <f>IF(OR($B387="",P$7=""),"",IF($B387="MEANS",INDEX('1-DATA'!$1:$1048576,$A386-1,COLUMN('1-DATA'!O385)),ROUND(INDEX('1-DATA'!$1:$1048576,IF(OR($B387="STD. DEVIATION",$C$1=1),$A387,$A387+1),COLUMN('1-DATA'!O385)),IF($B387="STD. DEVIATION",2,$F$1))))</f>
        <v/>
      </c>
      <c r="Q387" s="1" t="str">
        <f>IF(OR($B387="",Q$7=""),"",IF($B387="MEANS",INDEX('1-DATA'!$1:$1048576,$A386-1,COLUMN('1-DATA'!P385)),ROUND(INDEX('1-DATA'!$1:$1048576,IF(OR($B387="STD. DEVIATION",$C$1=1),$A387,$A387+1),COLUMN('1-DATA'!P385)),IF($B387="STD. DEVIATION",2,$F$1))))</f>
        <v/>
      </c>
      <c r="R387" s="1" t="str">
        <f>IF(OR($B387="",R$7=""),"",IF($B387="MEANS",INDEX('1-DATA'!$1:$1048576,$A386-1,COLUMN('1-DATA'!Q385)),ROUND(INDEX('1-DATA'!$1:$1048576,IF(OR($B387="STD. DEVIATION",$C$1=1),$A387,$A387+1),COLUMN('1-DATA'!Q385)),IF($B387="STD. DEVIATION",2,$F$1))))</f>
        <v/>
      </c>
      <c r="S387" s="1" t="str">
        <f>IF(OR($B387="",S$7=""),"",IF($B387="MEANS",INDEX('1-DATA'!$1:$1048576,$A386-1,COLUMN('1-DATA'!R385)),ROUND(INDEX('1-DATA'!$1:$1048576,IF(OR($B387="STD. DEVIATION",$C$1=1),$A387,$A387+1),COLUMN('1-DATA'!R385)),IF($B387="STD. DEVIATION",2,$F$1))))</f>
        <v/>
      </c>
      <c r="T387" s="1" t="str">
        <f>IF(OR($B387="",T$7=""),"",IF($B387="MEANS",INDEX('1-DATA'!$1:$1048576,$A386-1,COLUMN('1-DATA'!S385)),ROUND(INDEX('1-DATA'!$1:$1048576,IF(OR($B387="STD. DEVIATION",$C$1=1),$A387,$A387+1),COLUMN('1-DATA'!S385)),IF($B387="STD. DEVIATION",2,$F$1))))</f>
        <v/>
      </c>
      <c r="U387" s="1" t="str">
        <f>IF(OR($B387="",U$7=""),"",IF($B387="MEANS",INDEX('1-DATA'!$1:$1048576,$A386-1,COLUMN('1-DATA'!T385)),ROUND(INDEX('1-DATA'!$1:$1048576,IF(OR($B387="STD. DEVIATION",$C$1=1),$A387,$A387+1),COLUMN('1-DATA'!T385)),IF($B387="STD. DEVIATION",2,$F$1))))</f>
        <v/>
      </c>
      <c r="V387" s="1" t="str">
        <f>IF(OR($B387="",V$7=""),"",IF($B387="MEANS",INDEX('1-DATA'!$1:$1048576,$A386-1,COLUMN('1-DATA'!U385)),ROUND(INDEX('1-DATA'!$1:$1048576,IF(OR($B387="STD. DEVIATION",$C$1=1),$A387,$A387+1),COLUMN('1-DATA'!U385)),IF($B387="STD. DEVIATION",2,$F$1))))</f>
        <v/>
      </c>
      <c r="W387" s="1" t="str">
        <f>IF(OR($B387="",W$7=""),"",IF($B387="MEANS",INDEX('1-DATA'!$1:$1048576,$A386-1,COLUMN('1-DATA'!V385)),ROUND(INDEX('1-DATA'!$1:$1048576,IF(OR($B387="STD. DEVIATION",$C$1=1),$A387,$A387+1),COLUMN('1-DATA'!V385)),IF($B387="STD. DEVIATION",2,$F$1))))</f>
        <v/>
      </c>
      <c r="X387" s="1" t="str">
        <f>IF(OR($B387="",X$7=""),"",IF($B387="MEANS",INDEX('1-DATA'!$1:$1048576,$A386-1,COLUMN('1-DATA'!W385)),ROUND(INDEX('1-DATA'!$1:$1048576,IF(OR($B387="STD. DEVIATION",$C$1=1),$A387,$A387+1),COLUMN('1-DATA'!W385)),IF($B387="STD. DEVIATION",2,$F$1))))</f>
        <v/>
      </c>
      <c r="Y387" s="1" t="str">
        <f>IF(OR($B387="",Y$7=""),"",IF($B387="MEANS",INDEX('1-DATA'!$1:$1048576,$A386-1,COLUMN('1-DATA'!X385)),ROUND(INDEX('1-DATA'!$1:$1048576,IF(OR($B387="STD. DEVIATION",$C$1=1),$A387,$A387+1),COLUMN('1-DATA'!X385)),IF($B387="STD. DEVIATION",2,$F$1))))</f>
        <v/>
      </c>
      <c r="Z387" s="1" t="str">
        <f>IF(OR($B387="",Z$7=""),"",IF($B387="MEANS",INDEX('1-DATA'!$1:$1048576,$A386-1,COLUMN('1-DATA'!Y385)),ROUND(INDEX('1-DATA'!$1:$1048576,IF(OR($B387="STD. DEVIATION",$C$1=1),$A387,$A387+1),COLUMN('1-DATA'!Y385)),IF($B387="STD. DEVIATION",2,$F$1))))</f>
        <v/>
      </c>
      <c r="AA387" s="1" t="str">
        <f>IF(OR($B387="",AA$7=""),"",IF($B387="MEANS",INDEX('1-DATA'!$1:$1048576,$A386-1,COLUMN('1-DATA'!Z385)),ROUND(INDEX('1-DATA'!$1:$1048576,IF(OR($B387="STD. DEVIATION",$C$1=1),$A387,$A387+1),COLUMN('1-DATA'!Z385)),IF($B387="STD. DEVIATION",2,$F$1))))</f>
        <v/>
      </c>
      <c r="AB387" s="1" t="str">
        <f>IF(OR($B387="",AB$7=""),"",IF($B387="MEANS",INDEX('1-DATA'!$1:$1048576,$A386-1,COLUMN('1-DATA'!AA385)),ROUND(INDEX('1-DATA'!$1:$1048576,IF(OR($B387="STD. DEVIATION",$C$1=1),$A387,$A387+1),COLUMN('1-DATA'!AA385)),IF($B387="STD. DEVIATION",2,$F$1))))</f>
        <v/>
      </c>
      <c r="AC387" s="1" t="str">
        <f>IF(OR($B387="",AC$7=""),"",IF($B387="MEANS",INDEX('1-DATA'!$1:$1048576,$A386-1,COLUMN('1-DATA'!AB385)),ROUND(INDEX('1-DATA'!$1:$1048576,IF(OR($B387="STD. DEVIATION",$C$1=1),$A387,$A387+1),COLUMN('1-DATA'!AB385)),IF($B387="STD. DEVIATION",2,$F$1))))</f>
        <v/>
      </c>
      <c r="AD387" s="1" t="str">
        <f>IF(OR($B387="",AD$7=""),"",IF($B387="MEANS",INDEX('1-DATA'!$1:$1048576,$A386-1,COLUMN('1-DATA'!AC385)),ROUND(INDEX('1-DATA'!$1:$1048576,IF(OR($B387="STD. DEVIATION",$C$1=1),$A387,$A387+1),COLUMN('1-DATA'!AC385)),IF($B387="STD. DEVIATION",2,$F$1))))</f>
        <v/>
      </c>
      <c r="AE387" s="1" t="str">
        <f>IF(OR($B387="",AE$7=""),"",IF($B387="MEANS",INDEX('1-DATA'!$1:$1048576,$A386-1,COLUMN('1-DATA'!AD385)),ROUND(INDEX('1-DATA'!$1:$1048576,IF(OR($B387="STD. DEVIATION",$C$1=1),$A387,$A387+1),COLUMN('1-DATA'!AD385)),IF($B387="STD. DEVIATION",2,$F$1))))</f>
        <v/>
      </c>
      <c r="AF387" s="1" t="str">
        <f>IF(OR($B387="",AF$7=""),"",IF($B387="MEANS",INDEX('1-DATA'!$1:$1048576,$A386-1,COLUMN('1-DATA'!AE385)),ROUND(INDEX('1-DATA'!$1:$1048576,IF(OR($B387="STD. DEVIATION",$C$1=1),$A387,$A387+1),COLUMN('1-DATA'!AE385)),IF($B387="STD. DEVIATION",2,$F$1))))</f>
        <v/>
      </c>
      <c r="AG387" s="1" t="str">
        <f>IF(OR($B387="",AG$7=""),"",IF($B387="MEANS",INDEX('1-DATA'!$1:$1048576,$A386-1,COLUMN('1-DATA'!AF385)),ROUND(INDEX('1-DATA'!$1:$1048576,IF(OR($B387="STD. DEVIATION",$C$1=1),$A387,$A387+1),COLUMN('1-DATA'!AF385)),IF($B387="STD. DEVIATION",2,$F$1))))</f>
        <v/>
      </c>
      <c r="AH387" s="1" t="str">
        <f>IF(OR($B387="",AH$7=""),"",IF($B387="MEANS",INDEX('1-DATA'!$1:$1048576,$A386-1,COLUMN('1-DATA'!AG385)),ROUND(INDEX('1-DATA'!$1:$1048576,IF(OR($B387="STD. DEVIATION",$C$1=1),$A387,$A387+1),COLUMN('1-DATA'!AG385)),IF($B387="STD. DEVIATION",2,$F$1))))</f>
        <v/>
      </c>
      <c r="AI387" s="1" t="str">
        <f>IF(OR($B387="",AI$7=""),"",IF($B387="MEANS",INDEX('1-DATA'!$1:$1048576,$A386-1,COLUMN('1-DATA'!AH385)),ROUND(INDEX('1-DATA'!$1:$1048576,IF(OR($B387="STD. DEVIATION",$C$1=1),$A387,$A387+1),COLUMN('1-DATA'!AH385)),IF($B387="STD. DEVIATION",2,$F$1))))</f>
        <v/>
      </c>
      <c r="AJ387" s="1" t="str">
        <f>IF(OR($B387="",AJ$7=""),"",IF($B387="MEANS",INDEX('1-DATA'!$1:$1048576,$A386-1,COLUMN('1-DATA'!AI385)),ROUND(INDEX('1-DATA'!$1:$1048576,IF(OR($B387="STD. DEVIATION",$C$1=1),$A387,$A387+1),COLUMN('1-DATA'!AI385)),IF($B387="STD. DEVIATION",2,$F$1))))</f>
        <v/>
      </c>
      <c r="AK387" s="1" t="str">
        <f>IF(OR($B387="",AK$7=""),"",IF($B387="MEANS",INDEX('1-DATA'!$1:$1048576,$A386-1,COLUMN('1-DATA'!AJ385)),ROUND(INDEX('1-DATA'!$1:$1048576,IF(OR($B387="STD. DEVIATION",$C$1=1),$A387,$A387+1),COLUMN('1-DATA'!AJ385)),IF($B387="STD. DEVIATION",2,$F$1))))</f>
        <v/>
      </c>
      <c r="AL387" s="1" t="str">
        <f>IF(OR($B387="",AL$7=""),"",IF($B387="MEANS",INDEX('1-DATA'!$1:$1048576,$A386-1,COLUMN('1-DATA'!AK385)),ROUND(INDEX('1-DATA'!$1:$1048576,IF(OR($B387="STD. DEVIATION",$C$1=1),$A387,$A387+1),COLUMN('1-DATA'!AK385)),IF($B387="STD. DEVIATION",2,$F$1))))</f>
        <v/>
      </c>
      <c r="AM387" s="1" t="str">
        <f>IF(OR($B387="",AM$7=""),"",IF($B387="MEANS",INDEX('1-DATA'!$1:$1048576,$A386-1,COLUMN('1-DATA'!AL385)),ROUND(INDEX('1-DATA'!$1:$1048576,IF(OR($B387="STD. DEVIATION",$C$1=1),$A387,$A387+1),COLUMN('1-DATA'!AL385)),IF($B387="STD. DEVIATION",2,$F$1))))</f>
        <v/>
      </c>
      <c r="AN387" s="1" t="str">
        <f>IF(OR($B387="",AN$7=""),"",IF($B387="MEANS",INDEX('1-DATA'!$1:$1048576,$A386-1,COLUMN('1-DATA'!AM385)),ROUND(INDEX('1-DATA'!$1:$1048576,IF(OR($B387="STD. DEVIATION",$C$1=1),$A387,$A387+1),COLUMN('1-DATA'!AM385)),IF($B387="STD. DEVIATION",2,$F$1))))</f>
        <v/>
      </c>
      <c r="AO387" s="1" t="str">
        <f>IF(OR($B387="",AO$7=""),"",IF($B387="MEANS",INDEX('1-DATA'!$1:$1048576,$A386-1,COLUMN('1-DATA'!AN385)),ROUND(INDEX('1-DATA'!$1:$1048576,IF(OR($B387="STD. DEVIATION",$C$1=1),$A387,$A387+1),COLUMN('1-DATA'!AN385)),IF($B387="STD. DEVIATION",2,$F$1))))</f>
        <v/>
      </c>
      <c r="AP387" s="1" t="str">
        <f>IF(OR($B387="",AP$7=""),"",IF($B387="MEANS",INDEX('1-DATA'!$1:$1048576,$A386-1,COLUMN('1-DATA'!AO385)),ROUND(INDEX('1-DATA'!$1:$1048576,IF(OR($B387="STD. DEVIATION",$C$1=1),$A387,$A387+1),COLUMN('1-DATA'!AO385)),IF($B387="STD. DEVIATION",2,$F$1))))</f>
        <v/>
      </c>
      <c r="AQ387" s="1" t="str">
        <f>IF(OR($B387="",AQ$7=""),"",IF($B387="MEANS",INDEX('1-DATA'!$1:$1048576,$A386-1,COLUMN('1-DATA'!AP385)),ROUND(INDEX('1-DATA'!$1:$1048576,IF(OR($B387="STD. DEVIATION",$C$1=1),$A387,$A387+1),COLUMN('1-DATA'!AP385)),IF($B387="STD. DEVIATION",2,$F$1))))</f>
        <v/>
      </c>
      <c r="AR387" s="1" t="str">
        <f>IF(OR($B387="",AR$7=""),"",IF($B387="MEANS",INDEX('1-DATA'!$1:$1048576,$A386-1,COLUMN('1-DATA'!AQ385)),ROUND(INDEX('1-DATA'!$1:$1048576,IF(OR($B387="STD. DEVIATION",$C$1=1),$A387,$A387+1),COLUMN('1-DATA'!AQ385)),IF($B387="STD. DEVIATION",2,$F$1))))</f>
        <v/>
      </c>
      <c r="AS387" s="1" t="str">
        <f>IF(OR($B387="",AS$7=""),"",IF($B387="MEANS",INDEX('1-DATA'!$1:$1048576,$A386-1,COLUMN('1-DATA'!AR385)),ROUND(INDEX('1-DATA'!$1:$1048576,IF(OR($B387="STD. DEVIATION",$C$1=1),$A387,$A387+1),COLUMN('1-DATA'!AR385)),IF($B387="STD. DEVIATION",2,$F$1))))</f>
        <v/>
      </c>
      <c r="AT387" s="1" t="str">
        <f>IF(OR($B387="",AT$7=""),"",IF($B387="MEANS",INDEX('1-DATA'!$1:$1048576,$A386-1,COLUMN('1-DATA'!AS385)),ROUND(INDEX('1-DATA'!$1:$1048576,IF(OR($B387="STD. DEVIATION",$C$1=1),$A387,$A387+1),COLUMN('1-DATA'!AS385)),IF($B387="STD. DEVIATION",2,$F$1))))</f>
        <v/>
      </c>
      <c r="AU387" s="1" t="str">
        <f>IF(OR($B387="",AU$7=""),"",IF($B387="MEANS",INDEX('1-DATA'!$1:$1048576,$A386-1,COLUMN('1-DATA'!AT385)),ROUND(INDEX('1-DATA'!$1:$1048576,IF(OR($B387="STD. DEVIATION",$C$1=1),$A387,$A387+1),COLUMN('1-DATA'!AT385)),IF($B387="STD. DEVIATION",2,$F$1))))</f>
        <v/>
      </c>
      <c r="AV387" s="1" t="str">
        <f>IF(OR($B387="",AV$7=""),"",IF($B387="MEANS",INDEX('1-DATA'!$1:$1048576,$A386-1,COLUMN('1-DATA'!AU385)),ROUND(INDEX('1-DATA'!$1:$1048576,IF(OR($B387="STD. DEVIATION",$C$1=1),$A387,$A387+1),COLUMN('1-DATA'!AU385)),IF($B387="STD. DEVIATION",2,$F$1))))</f>
        <v/>
      </c>
      <c r="AW387" s="1" t="str">
        <f>IF(OR($B387="",AW$7=""),"",IF($B387="MEANS",INDEX('1-DATA'!$1:$1048576,$A386-1,COLUMN('1-DATA'!AV385)),ROUND(INDEX('1-DATA'!$1:$1048576,IF(OR($B387="STD. DEVIATION",$C$1=1),$A387,$A387+1),COLUMN('1-DATA'!AV385)),IF($B387="STD. DEVIATION",2,$F$1))))</f>
        <v/>
      </c>
      <c r="AX387" s="1" t="str">
        <f>IF(OR($B387="",AX$7=""),"",IF($B387="MEANS",INDEX('1-DATA'!$1:$1048576,$A386-1,COLUMN('1-DATA'!AW385)),ROUND(INDEX('1-DATA'!$1:$1048576,IF(OR($B387="STD. DEVIATION",$C$1=1),$A387,$A387+1),COLUMN('1-DATA'!AW385)),IF($B387="STD. DEVIATION",2,$F$1))))</f>
        <v/>
      </c>
      <c r="AY387" s="1" t="str">
        <f>IF(OR($B387="",AY$7=""),"",IF($B387="MEANS",INDEX('1-DATA'!$1:$1048576,$A386-1,COLUMN('1-DATA'!AX385)),ROUND(INDEX('1-DATA'!$1:$1048576,IF(OR($B387="STD. DEVIATION",$C$1=1),$A387,$A387+1),COLUMN('1-DATA'!AX385)),IF($B387="STD. DEVIATION",2,$F$1))))</f>
        <v/>
      </c>
      <c r="AZ387" s="1" t="str">
        <f>IF(OR($B387="",AZ$7=""),"",IF($B387="MEANS",INDEX('1-DATA'!$1:$1048576,$A386-1,COLUMN('1-DATA'!AY385)),ROUND(INDEX('1-DATA'!$1:$1048576,IF(OR($B387="STD. DEVIATION",$C$1=1),$A387,$A387+1),COLUMN('1-DATA'!AY385)),IF($B387="STD. DEVIATION",2,$F$1))))</f>
        <v/>
      </c>
    </row>
    <row r="388" spans="1:52" x14ac:dyDescent="0.25">
      <c r="A388" s="11">
        <f t="shared" si="6"/>
        <v>1150</v>
      </c>
      <c r="B388" s="1" t="str">
        <f>IF(B387="STD. DEVIATION",INDEX('1-DATA'!$1:$1048576,$A387-1,1),IF(INDEX('1-DATA'!$1:$1048576,$A388,1)&lt;&gt;"",INDEX('1-DATA'!$1:$1048576,$A388,1),""))</f>
        <v/>
      </c>
      <c r="C388" s="1" t="str">
        <f>IF(OR($B388="",C$7=""),"",IF($B388="MEANS",INDEX('1-DATA'!$1:$1048576,$A387-1,COLUMN('1-DATA'!B386)),ROUND(INDEX('1-DATA'!$1:$1048576,IF(OR($B388="STD. DEVIATION",$C$1=1),$A388,$A388+1),COLUMN('1-DATA'!B386)),IF($B388="STD. DEVIATION",2,$F$1))))</f>
        <v/>
      </c>
      <c r="D388" s="1" t="str">
        <f>IF(OR($B388="",D$7=""),"",IF($B388="MEANS",INDEX('1-DATA'!$1:$1048576,$A387-1,COLUMN('1-DATA'!C386)),ROUND(INDEX('1-DATA'!$1:$1048576,IF(OR($B388="STD. DEVIATION",$C$1=1),$A388,$A388+1),COLUMN('1-DATA'!C386)),IF($B388="STD. DEVIATION",2,$F$1))))</f>
        <v/>
      </c>
      <c r="E388" s="1" t="str">
        <f>IF(OR($B388="",E$7=""),"",IF($B388="MEANS",INDEX('1-DATA'!$1:$1048576,$A387-1,COLUMN('1-DATA'!D386)),ROUND(INDEX('1-DATA'!$1:$1048576,IF(OR($B388="STD. DEVIATION",$C$1=1),$A388,$A388+1),COLUMN('1-DATA'!D386)),IF($B388="STD. DEVIATION",2,$F$1))))</f>
        <v/>
      </c>
      <c r="F388" s="1" t="str">
        <f>IF(OR($B388="",F$7=""),"",IF($B388="MEANS",INDEX('1-DATA'!$1:$1048576,$A387-1,COLUMN('1-DATA'!E386)),ROUND(INDEX('1-DATA'!$1:$1048576,IF(OR($B388="STD. DEVIATION",$C$1=1),$A388,$A388+1),COLUMN('1-DATA'!E386)),IF($B388="STD. DEVIATION",2,$F$1))))</f>
        <v/>
      </c>
      <c r="G388" s="1" t="str">
        <f>IF(OR($B388="",G$7=""),"",IF($B388="MEANS",INDEX('1-DATA'!$1:$1048576,$A387-1,COLUMN('1-DATA'!F386)),ROUND(INDEX('1-DATA'!$1:$1048576,IF(OR($B388="STD. DEVIATION",$C$1=1),$A388,$A388+1),COLUMN('1-DATA'!F386)),IF($B388="STD. DEVIATION",2,$F$1))))</f>
        <v/>
      </c>
      <c r="H388" s="1" t="str">
        <f>IF(OR($B388="",H$7=""),"",IF($B388="MEANS",INDEX('1-DATA'!$1:$1048576,$A387-1,COLUMN('1-DATA'!G386)),ROUND(INDEX('1-DATA'!$1:$1048576,IF(OR($B388="STD. DEVIATION",$C$1=1),$A388,$A388+1),COLUMN('1-DATA'!G386)),IF($B388="STD. DEVIATION",2,$F$1))))</f>
        <v/>
      </c>
      <c r="I388" s="1" t="str">
        <f>IF(OR($B388="",I$7=""),"",IF($B388="MEANS",INDEX('1-DATA'!$1:$1048576,$A387-1,COLUMN('1-DATA'!H386)),ROUND(INDEX('1-DATA'!$1:$1048576,IF(OR($B388="STD. DEVIATION",$C$1=1),$A388,$A388+1),COLUMN('1-DATA'!H386)),IF($B388="STD. DEVIATION",2,$F$1))))</f>
        <v/>
      </c>
      <c r="J388" s="1" t="str">
        <f>IF(OR($B388="",J$7=""),"",IF($B388="MEANS",INDEX('1-DATA'!$1:$1048576,$A387-1,COLUMN('1-DATA'!I386)),ROUND(INDEX('1-DATA'!$1:$1048576,IF(OR($B388="STD. DEVIATION",$C$1=1),$A388,$A388+1),COLUMN('1-DATA'!I386)),IF($B388="STD. DEVIATION",2,$F$1))))</f>
        <v/>
      </c>
      <c r="K388" s="1" t="str">
        <f>IF(OR($B388="",K$7=""),"",IF($B388="MEANS",INDEX('1-DATA'!$1:$1048576,$A387-1,COLUMN('1-DATA'!J386)),ROUND(INDEX('1-DATA'!$1:$1048576,IF(OR($B388="STD. DEVIATION",$C$1=1),$A388,$A388+1),COLUMN('1-DATA'!J386)),IF($B388="STD. DEVIATION",2,$F$1))))</f>
        <v/>
      </c>
      <c r="L388" s="1" t="str">
        <f>IF(OR($B388="",L$7=""),"",IF($B388="MEANS",INDEX('1-DATA'!$1:$1048576,$A387-1,COLUMN('1-DATA'!K386)),ROUND(INDEX('1-DATA'!$1:$1048576,IF(OR($B388="STD. DEVIATION",$C$1=1),$A388,$A388+1),COLUMN('1-DATA'!K386)),IF($B388="STD. DEVIATION",2,$F$1))))</f>
        <v/>
      </c>
      <c r="M388" s="1" t="str">
        <f>IF(OR($B388="",M$7=""),"",IF($B388="MEANS",INDEX('1-DATA'!$1:$1048576,$A387-1,COLUMN('1-DATA'!L386)),ROUND(INDEX('1-DATA'!$1:$1048576,IF(OR($B388="STD. DEVIATION",$C$1=1),$A388,$A388+1),COLUMN('1-DATA'!L386)),IF($B388="STD. DEVIATION",2,$F$1))))</f>
        <v/>
      </c>
      <c r="N388" s="1" t="str">
        <f>IF(OR($B388="",N$7=""),"",IF($B388="MEANS",INDEX('1-DATA'!$1:$1048576,$A387-1,COLUMN('1-DATA'!M386)),ROUND(INDEX('1-DATA'!$1:$1048576,IF(OR($B388="STD. DEVIATION",$C$1=1),$A388,$A388+1),COLUMN('1-DATA'!M386)),IF($B388="STD. DEVIATION",2,$F$1))))</f>
        <v/>
      </c>
      <c r="O388" s="1" t="str">
        <f>IF(OR($B388="",O$7=""),"",IF($B388="MEANS",INDEX('1-DATA'!$1:$1048576,$A387-1,COLUMN('1-DATA'!N386)),ROUND(INDEX('1-DATA'!$1:$1048576,IF(OR($B388="STD. DEVIATION",$C$1=1),$A388,$A388+1),COLUMN('1-DATA'!N386)),IF($B388="STD. DEVIATION",2,$F$1))))</f>
        <v/>
      </c>
      <c r="P388" s="1" t="str">
        <f>IF(OR($B388="",P$7=""),"",IF($B388="MEANS",INDEX('1-DATA'!$1:$1048576,$A387-1,COLUMN('1-DATA'!O386)),ROUND(INDEX('1-DATA'!$1:$1048576,IF(OR($B388="STD. DEVIATION",$C$1=1),$A388,$A388+1),COLUMN('1-DATA'!O386)),IF($B388="STD. DEVIATION",2,$F$1))))</f>
        <v/>
      </c>
      <c r="Q388" s="1" t="str">
        <f>IF(OR($B388="",Q$7=""),"",IF($B388="MEANS",INDEX('1-DATA'!$1:$1048576,$A387-1,COLUMN('1-DATA'!P386)),ROUND(INDEX('1-DATA'!$1:$1048576,IF(OR($B388="STD. DEVIATION",$C$1=1),$A388,$A388+1),COLUMN('1-DATA'!P386)),IF($B388="STD. DEVIATION",2,$F$1))))</f>
        <v/>
      </c>
      <c r="R388" s="1" t="str">
        <f>IF(OR($B388="",R$7=""),"",IF($B388="MEANS",INDEX('1-DATA'!$1:$1048576,$A387-1,COLUMN('1-DATA'!Q386)),ROUND(INDEX('1-DATA'!$1:$1048576,IF(OR($B388="STD. DEVIATION",$C$1=1),$A388,$A388+1),COLUMN('1-DATA'!Q386)),IF($B388="STD. DEVIATION",2,$F$1))))</f>
        <v/>
      </c>
      <c r="S388" s="1" t="str">
        <f>IF(OR($B388="",S$7=""),"",IF($B388="MEANS",INDEX('1-DATA'!$1:$1048576,$A387-1,COLUMN('1-DATA'!R386)),ROUND(INDEX('1-DATA'!$1:$1048576,IF(OR($B388="STD. DEVIATION",$C$1=1),$A388,$A388+1),COLUMN('1-DATA'!R386)),IF($B388="STD. DEVIATION",2,$F$1))))</f>
        <v/>
      </c>
      <c r="T388" s="1" t="str">
        <f>IF(OR($B388="",T$7=""),"",IF($B388="MEANS",INDEX('1-DATA'!$1:$1048576,$A387-1,COLUMN('1-DATA'!S386)),ROUND(INDEX('1-DATA'!$1:$1048576,IF(OR($B388="STD. DEVIATION",$C$1=1),$A388,$A388+1),COLUMN('1-DATA'!S386)),IF($B388="STD. DEVIATION",2,$F$1))))</f>
        <v/>
      </c>
      <c r="U388" s="1" t="str">
        <f>IF(OR($B388="",U$7=""),"",IF($B388="MEANS",INDEX('1-DATA'!$1:$1048576,$A387-1,COLUMN('1-DATA'!T386)),ROUND(INDEX('1-DATA'!$1:$1048576,IF(OR($B388="STD. DEVIATION",$C$1=1),$A388,$A388+1),COLUMN('1-DATA'!T386)),IF($B388="STD. DEVIATION",2,$F$1))))</f>
        <v/>
      </c>
      <c r="V388" s="1" t="str">
        <f>IF(OR($B388="",V$7=""),"",IF($B388="MEANS",INDEX('1-DATA'!$1:$1048576,$A387-1,COLUMN('1-DATA'!U386)),ROUND(INDEX('1-DATA'!$1:$1048576,IF(OR($B388="STD. DEVIATION",$C$1=1),$A388,$A388+1),COLUMN('1-DATA'!U386)),IF($B388="STD. DEVIATION",2,$F$1))))</f>
        <v/>
      </c>
      <c r="W388" s="1" t="str">
        <f>IF(OR($B388="",W$7=""),"",IF($B388="MEANS",INDEX('1-DATA'!$1:$1048576,$A387-1,COLUMN('1-DATA'!V386)),ROUND(INDEX('1-DATA'!$1:$1048576,IF(OR($B388="STD. DEVIATION",$C$1=1),$A388,$A388+1),COLUMN('1-DATA'!V386)),IF($B388="STD. DEVIATION",2,$F$1))))</f>
        <v/>
      </c>
      <c r="X388" s="1" t="str">
        <f>IF(OR($B388="",X$7=""),"",IF($B388="MEANS",INDEX('1-DATA'!$1:$1048576,$A387-1,COLUMN('1-DATA'!W386)),ROUND(INDEX('1-DATA'!$1:$1048576,IF(OR($B388="STD. DEVIATION",$C$1=1),$A388,$A388+1),COLUMN('1-DATA'!W386)),IF($B388="STD. DEVIATION",2,$F$1))))</f>
        <v/>
      </c>
      <c r="Y388" s="1" t="str">
        <f>IF(OR($B388="",Y$7=""),"",IF($B388="MEANS",INDEX('1-DATA'!$1:$1048576,$A387-1,COLUMN('1-DATA'!X386)),ROUND(INDEX('1-DATA'!$1:$1048576,IF(OR($B388="STD. DEVIATION",$C$1=1),$A388,$A388+1),COLUMN('1-DATA'!X386)),IF($B388="STD. DEVIATION",2,$F$1))))</f>
        <v/>
      </c>
      <c r="Z388" s="1" t="str">
        <f>IF(OR($B388="",Z$7=""),"",IF($B388="MEANS",INDEX('1-DATA'!$1:$1048576,$A387-1,COLUMN('1-DATA'!Y386)),ROUND(INDEX('1-DATA'!$1:$1048576,IF(OR($B388="STD. DEVIATION",$C$1=1),$A388,$A388+1),COLUMN('1-DATA'!Y386)),IF($B388="STD. DEVIATION",2,$F$1))))</f>
        <v/>
      </c>
      <c r="AA388" s="1" t="str">
        <f>IF(OR($B388="",AA$7=""),"",IF($B388="MEANS",INDEX('1-DATA'!$1:$1048576,$A387-1,COLUMN('1-DATA'!Z386)),ROUND(INDEX('1-DATA'!$1:$1048576,IF(OR($B388="STD. DEVIATION",$C$1=1),$A388,$A388+1),COLUMN('1-DATA'!Z386)),IF($B388="STD. DEVIATION",2,$F$1))))</f>
        <v/>
      </c>
      <c r="AB388" s="1" t="str">
        <f>IF(OR($B388="",AB$7=""),"",IF($B388="MEANS",INDEX('1-DATA'!$1:$1048576,$A387-1,COLUMN('1-DATA'!AA386)),ROUND(INDEX('1-DATA'!$1:$1048576,IF(OR($B388="STD. DEVIATION",$C$1=1),$A388,$A388+1),COLUMN('1-DATA'!AA386)),IF($B388="STD. DEVIATION",2,$F$1))))</f>
        <v/>
      </c>
      <c r="AC388" s="1" t="str">
        <f>IF(OR($B388="",AC$7=""),"",IF($B388="MEANS",INDEX('1-DATA'!$1:$1048576,$A387-1,COLUMN('1-DATA'!AB386)),ROUND(INDEX('1-DATA'!$1:$1048576,IF(OR($B388="STD. DEVIATION",$C$1=1),$A388,$A388+1),COLUMN('1-DATA'!AB386)),IF($B388="STD. DEVIATION",2,$F$1))))</f>
        <v/>
      </c>
      <c r="AD388" s="1" t="str">
        <f>IF(OR($B388="",AD$7=""),"",IF($B388="MEANS",INDEX('1-DATA'!$1:$1048576,$A387-1,COLUMN('1-DATA'!AC386)),ROUND(INDEX('1-DATA'!$1:$1048576,IF(OR($B388="STD. DEVIATION",$C$1=1),$A388,$A388+1),COLUMN('1-DATA'!AC386)),IF($B388="STD. DEVIATION",2,$F$1))))</f>
        <v/>
      </c>
      <c r="AE388" s="1" t="str">
        <f>IF(OR($B388="",AE$7=""),"",IF($B388="MEANS",INDEX('1-DATA'!$1:$1048576,$A387-1,COLUMN('1-DATA'!AD386)),ROUND(INDEX('1-DATA'!$1:$1048576,IF(OR($B388="STD. DEVIATION",$C$1=1),$A388,$A388+1),COLUMN('1-DATA'!AD386)),IF($B388="STD. DEVIATION",2,$F$1))))</f>
        <v/>
      </c>
      <c r="AF388" s="1" t="str">
        <f>IF(OR($B388="",AF$7=""),"",IF($B388="MEANS",INDEX('1-DATA'!$1:$1048576,$A387-1,COLUMN('1-DATA'!AE386)),ROUND(INDEX('1-DATA'!$1:$1048576,IF(OR($B388="STD. DEVIATION",$C$1=1),$A388,$A388+1),COLUMN('1-DATA'!AE386)),IF($B388="STD. DEVIATION",2,$F$1))))</f>
        <v/>
      </c>
      <c r="AG388" s="1" t="str">
        <f>IF(OR($B388="",AG$7=""),"",IF($B388="MEANS",INDEX('1-DATA'!$1:$1048576,$A387-1,COLUMN('1-DATA'!AF386)),ROUND(INDEX('1-DATA'!$1:$1048576,IF(OR($B388="STD. DEVIATION",$C$1=1),$A388,$A388+1),COLUMN('1-DATA'!AF386)),IF($B388="STD. DEVIATION",2,$F$1))))</f>
        <v/>
      </c>
      <c r="AH388" s="1" t="str">
        <f>IF(OR($B388="",AH$7=""),"",IF($B388="MEANS",INDEX('1-DATA'!$1:$1048576,$A387-1,COLUMN('1-DATA'!AG386)),ROUND(INDEX('1-DATA'!$1:$1048576,IF(OR($B388="STD. DEVIATION",$C$1=1),$A388,$A388+1),COLUMN('1-DATA'!AG386)),IF($B388="STD. DEVIATION",2,$F$1))))</f>
        <v/>
      </c>
      <c r="AI388" s="1" t="str">
        <f>IF(OR($B388="",AI$7=""),"",IF($B388="MEANS",INDEX('1-DATA'!$1:$1048576,$A387-1,COLUMN('1-DATA'!AH386)),ROUND(INDEX('1-DATA'!$1:$1048576,IF(OR($B388="STD. DEVIATION",$C$1=1),$A388,$A388+1),COLUMN('1-DATA'!AH386)),IF($B388="STD. DEVIATION",2,$F$1))))</f>
        <v/>
      </c>
      <c r="AJ388" s="1" t="str">
        <f>IF(OR($B388="",AJ$7=""),"",IF($B388="MEANS",INDEX('1-DATA'!$1:$1048576,$A387-1,COLUMN('1-DATA'!AI386)),ROUND(INDEX('1-DATA'!$1:$1048576,IF(OR($B388="STD. DEVIATION",$C$1=1),$A388,$A388+1),COLUMN('1-DATA'!AI386)),IF($B388="STD. DEVIATION",2,$F$1))))</f>
        <v/>
      </c>
      <c r="AK388" s="1" t="str">
        <f>IF(OR($B388="",AK$7=""),"",IF($B388="MEANS",INDEX('1-DATA'!$1:$1048576,$A387-1,COLUMN('1-DATA'!AJ386)),ROUND(INDEX('1-DATA'!$1:$1048576,IF(OR($B388="STD. DEVIATION",$C$1=1),$A388,$A388+1),COLUMN('1-DATA'!AJ386)),IF($B388="STD. DEVIATION",2,$F$1))))</f>
        <v/>
      </c>
      <c r="AL388" s="1" t="str">
        <f>IF(OR($B388="",AL$7=""),"",IF($B388="MEANS",INDEX('1-DATA'!$1:$1048576,$A387-1,COLUMN('1-DATA'!AK386)),ROUND(INDEX('1-DATA'!$1:$1048576,IF(OR($B388="STD. DEVIATION",$C$1=1),$A388,$A388+1),COLUMN('1-DATA'!AK386)),IF($B388="STD. DEVIATION",2,$F$1))))</f>
        <v/>
      </c>
      <c r="AM388" s="1" t="str">
        <f>IF(OR($B388="",AM$7=""),"",IF($B388="MEANS",INDEX('1-DATA'!$1:$1048576,$A387-1,COLUMN('1-DATA'!AL386)),ROUND(INDEX('1-DATA'!$1:$1048576,IF(OR($B388="STD. DEVIATION",$C$1=1),$A388,$A388+1),COLUMN('1-DATA'!AL386)),IF($B388="STD. DEVIATION",2,$F$1))))</f>
        <v/>
      </c>
      <c r="AN388" s="1" t="str">
        <f>IF(OR($B388="",AN$7=""),"",IF($B388="MEANS",INDEX('1-DATA'!$1:$1048576,$A387-1,COLUMN('1-DATA'!AM386)),ROUND(INDEX('1-DATA'!$1:$1048576,IF(OR($B388="STD. DEVIATION",$C$1=1),$A388,$A388+1),COLUMN('1-DATA'!AM386)),IF($B388="STD. DEVIATION",2,$F$1))))</f>
        <v/>
      </c>
      <c r="AO388" s="1" t="str">
        <f>IF(OR($B388="",AO$7=""),"",IF($B388="MEANS",INDEX('1-DATA'!$1:$1048576,$A387-1,COLUMN('1-DATA'!AN386)),ROUND(INDEX('1-DATA'!$1:$1048576,IF(OR($B388="STD. DEVIATION",$C$1=1),$A388,$A388+1),COLUMN('1-DATA'!AN386)),IF($B388="STD. DEVIATION",2,$F$1))))</f>
        <v/>
      </c>
      <c r="AP388" s="1" t="str">
        <f>IF(OR($B388="",AP$7=""),"",IF($B388="MEANS",INDEX('1-DATA'!$1:$1048576,$A387-1,COLUMN('1-DATA'!AO386)),ROUND(INDEX('1-DATA'!$1:$1048576,IF(OR($B388="STD. DEVIATION",$C$1=1),$A388,$A388+1),COLUMN('1-DATA'!AO386)),IF($B388="STD. DEVIATION",2,$F$1))))</f>
        <v/>
      </c>
      <c r="AQ388" s="1" t="str">
        <f>IF(OR($B388="",AQ$7=""),"",IF($B388="MEANS",INDEX('1-DATA'!$1:$1048576,$A387-1,COLUMN('1-DATA'!AP386)),ROUND(INDEX('1-DATA'!$1:$1048576,IF(OR($B388="STD. DEVIATION",$C$1=1),$A388,$A388+1),COLUMN('1-DATA'!AP386)),IF($B388="STD. DEVIATION",2,$F$1))))</f>
        <v/>
      </c>
      <c r="AR388" s="1" t="str">
        <f>IF(OR($B388="",AR$7=""),"",IF($B388="MEANS",INDEX('1-DATA'!$1:$1048576,$A387-1,COLUMN('1-DATA'!AQ386)),ROUND(INDEX('1-DATA'!$1:$1048576,IF(OR($B388="STD. DEVIATION",$C$1=1),$A388,$A388+1),COLUMN('1-DATA'!AQ386)),IF($B388="STD. DEVIATION",2,$F$1))))</f>
        <v/>
      </c>
      <c r="AS388" s="1" t="str">
        <f>IF(OR($B388="",AS$7=""),"",IF($B388="MEANS",INDEX('1-DATA'!$1:$1048576,$A387-1,COLUMN('1-DATA'!AR386)),ROUND(INDEX('1-DATA'!$1:$1048576,IF(OR($B388="STD. DEVIATION",$C$1=1),$A388,$A388+1),COLUMN('1-DATA'!AR386)),IF($B388="STD. DEVIATION",2,$F$1))))</f>
        <v/>
      </c>
      <c r="AT388" s="1" t="str">
        <f>IF(OR($B388="",AT$7=""),"",IF($B388="MEANS",INDEX('1-DATA'!$1:$1048576,$A387-1,COLUMN('1-DATA'!AS386)),ROUND(INDEX('1-DATA'!$1:$1048576,IF(OR($B388="STD. DEVIATION",$C$1=1),$A388,$A388+1),COLUMN('1-DATA'!AS386)),IF($B388="STD. DEVIATION",2,$F$1))))</f>
        <v/>
      </c>
      <c r="AU388" s="1" t="str">
        <f>IF(OR($B388="",AU$7=""),"",IF($B388="MEANS",INDEX('1-DATA'!$1:$1048576,$A387-1,COLUMN('1-DATA'!AT386)),ROUND(INDEX('1-DATA'!$1:$1048576,IF(OR($B388="STD. DEVIATION",$C$1=1),$A388,$A388+1),COLUMN('1-DATA'!AT386)),IF($B388="STD. DEVIATION",2,$F$1))))</f>
        <v/>
      </c>
      <c r="AV388" s="1" t="str">
        <f>IF(OR($B388="",AV$7=""),"",IF($B388="MEANS",INDEX('1-DATA'!$1:$1048576,$A387-1,COLUMN('1-DATA'!AU386)),ROUND(INDEX('1-DATA'!$1:$1048576,IF(OR($B388="STD. DEVIATION",$C$1=1),$A388,$A388+1),COLUMN('1-DATA'!AU386)),IF($B388="STD. DEVIATION",2,$F$1))))</f>
        <v/>
      </c>
      <c r="AW388" s="1" t="str">
        <f>IF(OR($B388="",AW$7=""),"",IF($B388="MEANS",INDEX('1-DATA'!$1:$1048576,$A387-1,COLUMN('1-DATA'!AV386)),ROUND(INDEX('1-DATA'!$1:$1048576,IF(OR($B388="STD. DEVIATION",$C$1=1),$A388,$A388+1),COLUMN('1-DATA'!AV386)),IF($B388="STD. DEVIATION",2,$F$1))))</f>
        <v/>
      </c>
      <c r="AX388" s="1" t="str">
        <f>IF(OR($B388="",AX$7=""),"",IF($B388="MEANS",INDEX('1-DATA'!$1:$1048576,$A387-1,COLUMN('1-DATA'!AW386)),ROUND(INDEX('1-DATA'!$1:$1048576,IF(OR($B388="STD. DEVIATION",$C$1=1),$A388,$A388+1),COLUMN('1-DATA'!AW386)),IF($B388="STD. DEVIATION",2,$F$1))))</f>
        <v/>
      </c>
      <c r="AY388" s="1" t="str">
        <f>IF(OR($B388="",AY$7=""),"",IF($B388="MEANS",INDEX('1-DATA'!$1:$1048576,$A387-1,COLUMN('1-DATA'!AX386)),ROUND(INDEX('1-DATA'!$1:$1048576,IF(OR($B388="STD. DEVIATION",$C$1=1),$A388,$A388+1),COLUMN('1-DATA'!AX386)),IF($B388="STD. DEVIATION",2,$F$1))))</f>
        <v/>
      </c>
      <c r="AZ388" s="1" t="str">
        <f>IF(OR($B388="",AZ$7=""),"",IF($B388="MEANS",INDEX('1-DATA'!$1:$1048576,$A387-1,COLUMN('1-DATA'!AY386)),ROUND(INDEX('1-DATA'!$1:$1048576,IF(OR($B388="STD. DEVIATION",$C$1=1),$A388,$A388+1),COLUMN('1-DATA'!AY386)),IF($B388="STD. DEVIATION",2,$F$1))))</f>
        <v/>
      </c>
    </row>
    <row r="389" spans="1:52" x14ac:dyDescent="0.25">
      <c r="A389" s="11">
        <f t="shared" si="6"/>
        <v>1153</v>
      </c>
      <c r="B389" s="1" t="str">
        <f>IF(B388="STD. DEVIATION",INDEX('1-DATA'!$1:$1048576,$A388-1,1),IF(INDEX('1-DATA'!$1:$1048576,$A389,1)&lt;&gt;"",INDEX('1-DATA'!$1:$1048576,$A389,1),""))</f>
        <v/>
      </c>
      <c r="C389" s="1" t="str">
        <f>IF(OR($B389="",C$7=""),"",IF($B389="MEANS",INDEX('1-DATA'!$1:$1048576,$A388-1,COLUMN('1-DATA'!B387)),ROUND(INDEX('1-DATA'!$1:$1048576,IF(OR($B389="STD. DEVIATION",$C$1=1),$A389,$A389+1),COLUMN('1-DATA'!B387)),IF($B389="STD. DEVIATION",2,$F$1))))</f>
        <v/>
      </c>
      <c r="D389" s="1" t="str">
        <f>IF(OR($B389="",D$7=""),"",IF($B389="MEANS",INDEX('1-DATA'!$1:$1048576,$A388-1,COLUMN('1-DATA'!C387)),ROUND(INDEX('1-DATA'!$1:$1048576,IF(OR($B389="STD. DEVIATION",$C$1=1),$A389,$A389+1),COLUMN('1-DATA'!C387)),IF($B389="STD. DEVIATION",2,$F$1))))</f>
        <v/>
      </c>
      <c r="E389" s="1" t="str">
        <f>IF(OR($B389="",E$7=""),"",IF($B389="MEANS",INDEX('1-DATA'!$1:$1048576,$A388-1,COLUMN('1-DATA'!D387)),ROUND(INDEX('1-DATA'!$1:$1048576,IF(OR($B389="STD. DEVIATION",$C$1=1),$A389,$A389+1),COLUMN('1-DATA'!D387)),IF($B389="STD. DEVIATION",2,$F$1))))</f>
        <v/>
      </c>
      <c r="F389" s="1" t="str">
        <f>IF(OR($B389="",F$7=""),"",IF($B389="MEANS",INDEX('1-DATA'!$1:$1048576,$A388-1,COLUMN('1-DATA'!E387)),ROUND(INDEX('1-DATA'!$1:$1048576,IF(OR($B389="STD. DEVIATION",$C$1=1),$A389,$A389+1),COLUMN('1-DATA'!E387)),IF($B389="STD. DEVIATION",2,$F$1))))</f>
        <v/>
      </c>
      <c r="G389" s="1" t="str">
        <f>IF(OR($B389="",G$7=""),"",IF($B389="MEANS",INDEX('1-DATA'!$1:$1048576,$A388-1,COLUMN('1-DATA'!F387)),ROUND(INDEX('1-DATA'!$1:$1048576,IF(OR($B389="STD. DEVIATION",$C$1=1),$A389,$A389+1),COLUMN('1-DATA'!F387)),IF($B389="STD. DEVIATION",2,$F$1))))</f>
        <v/>
      </c>
      <c r="H389" s="1" t="str">
        <f>IF(OR($B389="",H$7=""),"",IF($B389="MEANS",INDEX('1-DATA'!$1:$1048576,$A388-1,COLUMN('1-DATA'!G387)),ROUND(INDEX('1-DATA'!$1:$1048576,IF(OR($B389="STD. DEVIATION",$C$1=1),$A389,$A389+1),COLUMN('1-DATA'!G387)),IF($B389="STD. DEVIATION",2,$F$1))))</f>
        <v/>
      </c>
      <c r="I389" s="1" t="str">
        <f>IF(OR($B389="",I$7=""),"",IF($B389="MEANS",INDEX('1-DATA'!$1:$1048576,$A388-1,COLUMN('1-DATA'!H387)),ROUND(INDEX('1-DATA'!$1:$1048576,IF(OR($B389="STD. DEVIATION",$C$1=1),$A389,$A389+1),COLUMN('1-DATA'!H387)),IF($B389="STD. DEVIATION",2,$F$1))))</f>
        <v/>
      </c>
      <c r="J389" s="1" t="str">
        <f>IF(OR($B389="",J$7=""),"",IF($B389="MEANS",INDEX('1-DATA'!$1:$1048576,$A388-1,COLUMN('1-DATA'!I387)),ROUND(INDEX('1-DATA'!$1:$1048576,IF(OR($B389="STD. DEVIATION",$C$1=1),$A389,$A389+1),COLUMN('1-DATA'!I387)),IF($B389="STD. DEVIATION",2,$F$1))))</f>
        <v/>
      </c>
      <c r="K389" s="1" t="str">
        <f>IF(OR($B389="",K$7=""),"",IF($B389="MEANS",INDEX('1-DATA'!$1:$1048576,$A388-1,COLUMN('1-DATA'!J387)),ROUND(INDEX('1-DATA'!$1:$1048576,IF(OR($B389="STD. DEVIATION",$C$1=1),$A389,$A389+1),COLUMN('1-DATA'!J387)),IF($B389="STD. DEVIATION",2,$F$1))))</f>
        <v/>
      </c>
      <c r="L389" s="1" t="str">
        <f>IF(OR($B389="",L$7=""),"",IF($B389="MEANS",INDEX('1-DATA'!$1:$1048576,$A388-1,COLUMN('1-DATA'!K387)),ROUND(INDEX('1-DATA'!$1:$1048576,IF(OR($B389="STD. DEVIATION",$C$1=1),$A389,$A389+1),COLUMN('1-DATA'!K387)),IF($B389="STD. DEVIATION",2,$F$1))))</f>
        <v/>
      </c>
      <c r="M389" s="1" t="str">
        <f>IF(OR($B389="",M$7=""),"",IF($B389="MEANS",INDEX('1-DATA'!$1:$1048576,$A388-1,COLUMN('1-DATA'!L387)),ROUND(INDEX('1-DATA'!$1:$1048576,IF(OR($B389="STD. DEVIATION",$C$1=1),$A389,$A389+1),COLUMN('1-DATA'!L387)),IF($B389="STD. DEVIATION",2,$F$1))))</f>
        <v/>
      </c>
      <c r="N389" s="1" t="str">
        <f>IF(OR($B389="",N$7=""),"",IF($B389="MEANS",INDEX('1-DATA'!$1:$1048576,$A388-1,COLUMN('1-DATA'!M387)),ROUND(INDEX('1-DATA'!$1:$1048576,IF(OR($B389="STD. DEVIATION",$C$1=1),$A389,$A389+1),COLUMN('1-DATA'!M387)),IF($B389="STD. DEVIATION",2,$F$1))))</f>
        <v/>
      </c>
      <c r="O389" s="1" t="str">
        <f>IF(OR($B389="",O$7=""),"",IF($B389="MEANS",INDEX('1-DATA'!$1:$1048576,$A388-1,COLUMN('1-DATA'!N387)),ROUND(INDEX('1-DATA'!$1:$1048576,IF(OR($B389="STD. DEVIATION",$C$1=1),$A389,$A389+1),COLUMN('1-DATA'!N387)),IF($B389="STD. DEVIATION",2,$F$1))))</f>
        <v/>
      </c>
      <c r="P389" s="1" t="str">
        <f>IF(OR($B389="",P$7=""),"",IF($B389="MEANS",INDEX('1-DATA'!$1:$1048576,$A388-1,COLUMN('1-DATA'!O387)),ROUND(INDEX('1-DATA'!$1:$1048576,IF(OR($B389="STD. DEVIATION",$C$1=1),$A389,$A389+1),COLUMN('1-DATA'!O387)),IF($B389="STD. DEVIATION",2,$F$1))))</f>
        <v/>
      </c>
      <c r="Q389" s="1" t="str">
        <f>IF(OR($B389="",Q$7=""),"",IF($B389="MEANS",INDEX('1-DATA'!$1:$1048576,$A388-1,COLUMN('1-DATA'!P387)),ROUND(INDEX('1-DATA'!$1:$1048576,IF(OR($B389="STD. DEVIATION",$C$1=1),$A389,$A389+1),COLUMN('1-DATA'!P387)),IF($B389="STD. DEVIATION",2,$F$1))))</f>
        <v/>
      </c>
      <c r="R389" s="1" t="str">
        <f>IF(OR($B389="",R$7=""),"",IF($B389="MEANS",INDEX('1-DATA'!$1:$1048576,$A388-1,COLUMN('1-DATA'!Q387)),ROUND(INDEX('1-DATA'!$1:$1048576,IF(OR($B389="STD. DEVIATION",$C$1=1),$A389,$A389+1),COLUMN('1-DATA'!Q387)),IF($B389="STD. DEVIATION",2,$F$1))))</f>
        <v/>
      </c>
      <c r="S389" s="1" t="str">
        <f>IF(OR($B389="",S$7=""),"",IF($B389="MEANS",INDEX('1-DATA'!$1:$1048576,$A388-1,COLUMN('1-DATA'!R387)),ROUND(INDEX('1-DATA'!$1:$1048576,IF(OR($B389="STD. DEVIATION",$C$1=1),$A389,$A389+1),COLUMN('1-DATA'!R387)),IF($B389="STD. DEVIATION",2,$F$1))))</f>
        <v/>
      </c>
      <c r="T389" s="1" t="str">
        <f>IF(OR($B389="",T$7=""),"",IF($B389="MEANS",INDEX('1-DATA'!$1:$1048576,$A388-1,COLUMN('1-DATA'!S387)),ROUND(INDEX('1-DATA'!$1:$1048576,IF(OR($B389="STD. DEVIATION",$C$1=1),$A389,$A389+1),COLUMN('1-DATA'!S387)),IF($B389="STD. DEVIATION",2,$F$1))))</f>
        <v/>
      </c>
      <c r="U389" s="1" t="str">
        <f>IF(OR($B389="",U$7=""),"",IF($B389="MEANS",INDEX('1-DATA'!$1:$1048576,$A388-1,COLUMN('1-DATA'!T387)),ROUND(INDEX('1-DATA'!$1:$1048576,IF(OR($B389="STD. DEVIATION",$C$1=1),$A389,$A389+1),COLUMN('1-DATA'!T387)),IF($B389="STD. DEVIATION",2,$F$1))))</f>
        <v/>
      </c>
      <c r="V389" s="1" t="str">
        <f>IF(OR($B389="",V$7=""),"",IF($B389="MEANS",INDEX('1-DATA'!$1:$1048576,$A388-1,COLUMN('1-DATA'!U387)),ROUND(INDEX('1-DATA'!$1:$1048576,IF(OR($B389="STD. DEVIATION",$C$1=1),$A389,$A389+1),COLUMN('1-DATA'!U387)),IF($B389="STD. DEVIATION",2,$F$1))))</f>
        <v/>
      </c>
      <c r="W389" s="1" t="str">
        <f>IF(OR($B389="",W$7=""),"",IF($B389="MEANS",INDEX('1-DATA'!$1:$1048576,$A388-1,COLUMN('1-DATA'!V387)),ROUND(INDEX('1-DATA'!$1:$1048576,IF(OR($B389="STD. DEVIATION",$C$1=1),$A389,$A389+1),COLUMN('1-DATA'!V387)),IF($B389="STD. DEVIATION",2,$F$1))))</f>
        <v/>
      </c>
      <c r="X389" s="1" t="str">
        <f>IF(OR($B389="",X$7=""),"",IF($B389="MEANS",INDEX('1-DATA'!$1:$1048576,$A388-1,COLUMN('1-DATA'!W387)),ROUND(INDEX('1-DATA'!$1:$1048576,IF(OR($B389="STD. DEVIATION",$C$1=1),$A389,$A389+1),COLUMN('1-DATA'!W387)),IF($B389="STD. DEVIATION",2,$F$1))))</f>
        <v/>
      </c>
      <c r="Y389" s="1" t="str">
        <f>IF(OR($B389="",Y$7=""),"",IF($B389="MEANS",INDEX('1-DATA'!$1:$1048576,$A388-1,COLUMN('1-DATA'!X387)),ROUND(INDEX('1-DATA'!$1:$1048576,IF(OR($B389="STD. DEVIATION",$C$1=1),$A389,$A389+1),COLUMN('1-DATA'!X387)),IF($B389="STD. DEVIATION",2,$F$1))))</f>
        <v/>
      </c>
      <c r="Z389" s="1" t="str">
        <f>IF(OR($B389="",Z$7=""),"",IF($B389="MEANS",INDEX('1-DATA'!$1:$1048576,$A388-1,COLUMN('1-DATA'!Y387)),ROUND(INDEX('1-DATA'!$1:$1048576,IF(OR($B389="STD. DEVIATION",$C$1=1),$A389,$A389+1),COLUMN('1-DATA'!Y387)),IF($B389="STD. DEVIATION",2,$F$1))))</f>
        <v/>
      </c>
      <c r="AA389" s="1" t="str">
        <f>IF(OR($B389="",AA$7=""),"",IF($B389="MEANS",INDEX('1-DATA'!$1:$1048576,$A388-1,COLUMN('1-DATA'!Z387)),ROUND(INDEX('1-DATA'!$1:$1048576,IF(OR($B389="STD. DEVIATION",$C$1=1),$A389,$A389+1),COLUMN('1-DATA'!Z387)),IF($B389="STD. DEVIATION",2,$F$1))))</f>
        <v/>
      </c>
      <c r="AB389" s="1" t="str">
        <f>IF(OR($B389="",AB$7=""),"",IF($B389="MEANS",INDEX('1-DATA'!$1:$1048576,$A388-1,COLUMN('1-DATA'!AA387)),ROUND(INDEX('1-DATA'!$1:$1048576,IF(OR($B389="STD. DEVIATION",$C$1=1),$A389,$A389+1),COLUMN('1-DATA'!AA387)),IF($B389="STD. DEVIATION",2,$F$1))))</f>
        <v/>
      </c>
      <c r="AC389" s="1" t="str">
        <f>IF(OR($B389="",AC$7=""),"",IF($B389="MEANS",INDEX('1-DATA'!$1:$1048576,$A388-1,COLUMN('1-DATA'!AB387)),ROUND(INDEX('1-DATA'!$1:$1048576,IF(OR($B389="STD. DEVIATION",$C$1=1),$A389,$A389+1),COLUMN('1-DATA'!AB387)),IF($B389="STD. DEVIATION",2,$F$1))))</f>
        <v/>
      </c>
      <c r="AD389" s="1" t="str">
        <f>IF(OR($B389="",AD$7=""),"",IF($B389="MEANS",INDEX('1-DATA'!$1:$1048576,$A388-1,COLUMN('1-DATA'!AC387)),ROUND(INDEX('1-DATA'!$1:$1048576,IF(OR($B389="STD. DEVIATION",$C$1=1),$A389,$A389+1),COLUMN('1-DATA'!AC387)),IF($B389="STD. DEVIATION",2,$F$1))))</f>
        <v/>
      </c>
      <c r="AE389" s="1" t="str">
        <f>IF(OR($B389="",AE$7=""),"",IF($B389="MEANS",INDEX('1-DATA'!$1:$1048576,$A388-1,COLUMN('1-DATA'!AD387)),ROUND(INDEX('1-DATA'!$1:$1048576,IF(OR($B389="STD. DEVIATION",$C$1=1),$A389,$A389+1),COLUMN('1-DATA'!AD387)),IF($B389="STD. DEVIATION",2,$F$1))))</f>
        <v/>
      </c>
      <c r="AF389" s="1" t="str">
        <f>IF(OR($B389="",AF$7=""),"",IF($B389="MEANS",INDEX('1-DATA'!$1:$1048576,$A388-1,COLUMN('1-DATA'!AE387)),ROUND(INDEX('1-DATA'!$1:$1048576,IF(OR($B389="STD. DEVIATION",$C$1=1),$A389,$A389+1),COLUMN('1-DATA'!AE387)),IF($B389="STD. DEVIATION",2,$F$1))))</f>
        <v/>
      </c>
      <c r="AG389" s="1" t="str">
        <f>IF(OR($B389="",AG$7=""),"",IF($B389="MEANS",INDEX('1-DATA'!$1:$1048576,$A388-1,COLUMN('1-DATA'!AF387)),ROUND(INDEX('1-DATA'!$1:$1048576,IF(OR($B389="STD. DEVIATION",$C$1=1),$A389,$A389+1),COLUMN('1-DATA'!AF387)),IF($B389="STD. DEVIATION",2,$F$1))))</f>
        <v/>
      </c>
      <c r="AH389" s="1" t="str">
        <f>IF(OR($B389="",AH$7=""),"",IF($B389="MEANS",INDEX('1-DATA'!$1:$1048576,$A388-1,COLUMN('1-DATA'!AG387)),ROUND(INDEX('1-DATA'!$1:$1048576,IF(OR($B389="STD. DEVIATION",$C$1=1),$A389,$A389+1),COLUMN('1-DATA'!AG387)),IF($B389="STD. DEVIATION",2,$F$1))))</f>
        <v/>
      </c>
      <c r="AI389" s="1" t="str">
        <f>IF(OR($B389="",AI$7=""),"",IF($B389="MEANS",INDEX('1-DATA'!$1:$1048576,$A388-1,COLUMN('1-DATA'!AH387)),ROUND(INDEX('1-DATA'!$1:$1048576,IF(OR($B389="STD. DEVIATION",$C$1=1),$A389,$A389+1),COLUMN('1-DATA'!AH387)),IF($B389="STD. DEVIATION",2,$F$1))))</f>
        <v/>
      </c>
      <c r="AJ389" s="1" t="str">
        <f>IF(OR($B389="",AJ$7=""),"",IF($B389="MEANS",INDEX('1-DATA'!$1:$1048576,$A388-1,COLUMN('1-DATA'!AI387)),ROUND(INDEX('1-DATA'!$1:$1048576,IF(OR($B389="STD. DEVIATION",$C$1=1),$A389,$A389+1),COLUMN('1-DATA'!AI387)),IF($B389="STD. DEVIATION",2,$F$1))))</f>
        <v/>
      </c>
      <c r="AK389" s="1" t="str">
        <f>IF(OR($B389="",AK$7=""),"",IF($B389="MEANS",INDEX('1-DATA'!$1:$1048576,$A388-1,COLUMN('1-DATA'!AJ387)),ROUND(INDEX('1-DATA'!$1:$1048576,IF(OR($B389="STD. DEVIATION",$C$1=1),$A389,$A389+1),COLUMN('1-DATA'!AJ387)),IF($B389="STD. DEVIATION",2,$F$1))))</f>
        <v/>
      </c>
      <c r="AL389" s="1" t="str">
        <f>IF(OR($B389="",AL$7=""),"",IF($B389="MEANS",INDEX('1-DATA'!$1:$1048576,$A388-1,COLUMN('1-DATA'!AK387)),ROUND(INDEX('1-DATA'!$1:$1048576,IF(OR($B389="STD. DEVIATION",$C$1=1),$A389,$A389+1),COLUMN('1-DATA'!AK387)),IF($B389="STD. DEVIATION",2,$F$1))))</f>
        <v/>
      </c>
      <c r="AM389" s="1" t="str">
        <f>IF(OR($B389="",AM$7=""),"",IF($B389="MEANS",INDEX('1-DATA'!$1:$1048576,$A388-1,COLUMN('1-DATA'!AL387)),ROUND(INDEX('1-DATA'!$1:$1048576,IF(OR($B389="STD. DEVIATION",$C$1=1),$A389,$A389+1),COLUMN('1-DATA'!AL387)),IF($B389="STD. DEVIATION",2,$F$1))))</f>
        <v/>
      </c>
      <c r="AN389" s="1" t="str">
        <f>IF(OR($B389="",AN$7=""),"",IF($B389="MEANS",INDEX('1-DATA'!$1:$1048576,$A388-1,COLUMN('1-DATA'!AM387)),ROUND(INDEX('1-DATA'!$1:$1048576,IF(OR($B389="STD. DEVIATION",$C$1=1),$A389,$A389+1),COLUMN('1-DATA'!AM387)),IF($B389="STD. DEVIATION",2,$F$1))))</f>
        <v/>
      </c>
      <c r="AO389" s="1" t="str">
        <f>IF(OR($B389="",AO$7=""),"",IF($B389="MEANS",INDEX('1-DATA'!$1:$1048576,$A388-1,COLUMN('1-DATA'!AN387)),ROUND(INDEX('1-DATA'!$1:$1048576,IF(OR($B389="STD. DEVIATION",$C$1=1),$A389,$A389+1),COLUMN('1-DATA'!AN387)),IF($B389="STD. DEVIATION",2,$F$1))))</f>
        <v/>
      </c>
      <c r="AP389" s="1" t="str">
        <f>IF(OR($B389="",AP$7=""),"",IF($B389="MEANS",INDEX('1-DATA'!$1:$1048576,$A388-1,COLUMN('1-DATA'!AO387)),ROUND(INDEX('1-DATA'!$1:$1048576,IF(OR($B389="STD. DEVIATION",$C$1=1),$A389,$A389+1),COLUMN('1-DATA'!AO387)),IF($B389="STD. DEVIATION",2,$F$1))))</f>
        <v/>
      </c>
      <c r="AQ389" s="1" t="str">
        <f>IF(OR($B389="",AQ$7=""),"",IF($B389="MEANS",INDEX('1-DATA'!$1:$1048576,$A388-1,COLUMN('1-DATA'!AP387)),ROUND(INDEX('1-DATA'!$1:$1048576,IF(OR($B389="STD. DEVIATION",$C$1=1),$A389,$A389+1),COLUMN('1-DATA'!AP387)),IF($B389="STD. DEVIATION",2,$F$1))))</f>
        <v/>
      </c>
      <c r="AR389" s="1" t="str">
        <f>IF(OR($B389="",AR$7=""),"",IF($B389="MEANS",INDEX('1-DATA'!$1:$1048576,$A388-1,COLUMN('1-DATA'!AQ387)),ROUND(INDEX('1-DATA'!$1:$1048576,IF(OR($B389="STD. DEVIATION",$C$1=1),$A389,$A389+1),COLUMN('1-DATA'!AQ387)),IF($B389="STD. DEVIATION",2,$F$1))))</f>
        <v/>
      </c>
      <c r="AS389" s="1" t="str">
        <f>IF(OR($B389="",AS$7=""),"",IF($B389="MEANS",INDEX('1-DATA'!$1:$1048576,$A388-1,COLUMN('1-DATA'!AR387)),ROUND(INDEX('1-DATA'!$1:$1048576,IF(OR($B389="STD. DEVIATION",$C$1=1),$A389,$A389+1),COLUMN('1-DATA'!AR387)),IF($B389="STD. DEVIATION",2,$F$1))))</f>
        <v/>
      </c>
      <c r="AT389" s="1" t="str">
        <f>IF(OR($B389="",AT$7=""),"",IF($B389="MEANS",INDEX('1-DATA'!$1:$1048576,$A388-1,COLUMN('1-DATA'!AS387)),ROUND(INDEX('1-DATA'!$1:$1048576,IF(OR($B389="STD. DEVIATION",$C$1=1),$A389,$A389+1),COLUMN('1-DATA'!AS387)),IF($B389="STD. DEVIATION",2,$F$1))))</f>
        <v/>
      </c>
      <c r="AU389" s="1" t="str">
        <f>IF(OR($B389="",AU$7=""),"",IF($B389="MEANS",INDEX('1-DATA'!$1:$1048576,$A388-1,COLUMN('1-DATA'!AT387)),ROUND(INDEX('1-DATA'!$1:$1048576,IF(OR($B389="STD. DEVIATION",$C$1=1),$A389,$A389+1),COLUMN('1-DATA'!AT387)),IF($B389="STD. DEVIATION",2,$F$1))))</f>
        <v/>
      </c>
      <c r="AV389" s="1" t="str">
        <f>IF(OR($B389="",AV$7=""),"",IF($B389="MEANS",INDEX('1-DATA'!$1:$1048576,$A388-1,COLUMN('1-DATA'!AU387)),ROUND(INDEX('1-DATA'!$1:$1048576,IF(OR($B389="STD. DEVIATION",$C$1=1),$A389,$A389+1),COLUMN('1-DATA'!AU387)),IF($B389="STD. DEVIATION",2,$F$1))))</f>
        <v/>
      </c>
      <c r="AW389" s="1" t="str">
        <f>IF(OR($B389="",AW$7=""),"",IF($B389="MEANS",INDEX('1-DATA'!$1:$1048576,$A388-1,COLUMN('1-DATA'!AV387)),ROUND(INDEX('1-DATA'!$1:$1048576,IF(OR($B389="STD. DEVIATION",$C$1=1),$A389,$A389+1),COLUMN('1-DATA'!AV387)),IF($B389="STD. DEVIATION",2,$F$1))))</f>
        <v/>
      </c>
      <c r="AX389" s="1" t="str">
        <f>IF(OR($B389="",AX$7=""),"",IF($B389="MEANS",INDEX('1-DATA'!$1:$1048576,$A388-1,COLUMN('1-DATA'!AW387)),ROUND(INDEX('1-DATA'!$1:$1048576,IF(OR($B389="STD. DEVIATION",$C$1=1),$A389,$A389+1),COLUMN('1-DATA'!AW387)),IF($B389="STD. DEVIATION",2,$F$1))))</f>
        <v/>
      </c>
      <c r="AY389" s="1" t="str">
        <f>IF(OR($B389="",AY$7=""),"",IF($B389="MEANS",INDEX('1-DATA'!$1:$1048576,$A388-1,COLUMN('1-DATA'!AX387)),ROUND(INDEX('1-DATA'!$1:$1048576,IF(OR($B389="STD. DEVIATION",$C$1=1),$A389,$A389+1),COLUMN('1-DATA'!AX387)),IF($B389="STD. DEVIATION",2,$F$1))))</f>
        <v/>
      </c>
      <c r="AZ389" s="1" t="str">
        <f>IF(OR($B389="",AZ$7=""),"",IF($B389="MEANS",INDEX('1-DATA'!$1:$1048576,$A388-1,COLUMN('1-DATA'!AY387)),ROUND(INDEX('1-DATA'!$1:$1048576,IF(OR($B389="STD. DEVIATION",$C$1=1),$A389,$A389+1),COLUMN('1-DATA'!AY387)),IF($B389="STD. DEVIATION",2,$F$1))))</f>
        <v/>
      </c>
    </row>
    <row r="390" spans="1:52" x14ac:dyDescent="0.25">
      <c r="A390" s="11">
        <f t="shared" si="6"/>
        <v>1156</v>
      </c>
      <c r="B390" s="1" t="str">
        <f>IF(B389="STD. DEVIATION",INDEX('1-DATA'!$1:$1048576,$A389-1,1),IF(INDEX('1-DATA'!$1:$1048576,$A390,1)&lt;&gt;"",INDEX('1-DATA'!$1:$1048576,$A390,1),""))</f>
        <v/>
      </c>
      <c r="C390" s="1" t="str">
        <f>IF(OR($B390="",C$7=""),"",IF($B390="MEANS",INDEX('1-DATA'!$1:$1048576,$A389-1,COLUMN('1-DATA'!B388)),ROUND(INDEX('1-DATA'!$1:$1048576,IF(OR($B390="STD. DEVIATION",$C$1=1),$A390,$A390+1),COLUMN('1-DATA'!B388)),IF($B390="STD. DEVIATION",2,$F$1))))</f>
        <v/>
      </c>
      <c r="D390" s="1" t="str">
        <f>IF(OR($B390="",D$7=""),"",IF($B390="MEANS",INDEX('1-DATA'!$1:$1048576,$A389-1,COLUMN('1-DATA'!C388)),ROUND(INDEX('1-DATA'!$1:$1048576,IF(OR($B390="STD. DEVIATION",$C$1=1),$A390,$A390+1),COLUMN('1-DATA'!C388)),IF($B390="STD. DEVIATION",2,$F$1))))</f>
        <v/>
      </c>
      <c r="E390" s="1" t="str">
        <f>IF(OR($B390="",E$7=""),"",IF($B390="MEANS",INDEX('1-DATA'!$1:$1048576,$A389-1,COLUMN('1-DATA'!D388)),ROUND(INDEX('1-DATA'!$1:$1048576,IF(OR($B390="STD. DEVIATION",$C$1=1),$A390,$A390+1),COLUMN('1-DATA'!D388)),IF($B390="STD. DEVIATION",2,$F$1))))</f>
        <v/>
      </c>
      <c r="F390" s="1" t="str">
        <f>IF(OR($B390="",F$7=""),"",IF($B390="MEANS",INDEX('1-DATA'!$1:$1048576,$A389-1,COLUMN('1-DATA'!E388)),ROUND(INDEX('1-DATA'!$1:$1048576,IF(OR($B390="STD. DEVIATION",$C$1=1),$A390,$A390+1),COLUMN('1-DATA'!E388)),IF($B390="STD. DEVIATION",2,$F$1))))</f>
        <v/>
      </c>
      <c r="G390" s="1" t="str">
        <f>IF(OR($B390="",G$7=""),"",IF($B390="MEANS",INDEX('1-DATA'!$1:$1048576,$A389-1,COLUMN('1-DATA'!F388)),ROUND(INDEX('1-DATA'!$1:$1048576,IF(OR($B390="STD. DEVIATION",$C$1=1),$A390,$A390+1),COLUMN('1-DATA'!F388)),IF($B390="STD. DEVIATION",2,$F$1))))</f>
        <v/>
      </c>
      <c r="H390" s="1" t="str">
        <f>IF(OR($B390="",H$7=""),"",IF($B390="MEANS",INDEX('1-DATA'!$1:$1048576,$A389-1,COLUMN('1-DATA'!G388)),ROUND(INDEX('1-DATA'!$1:$1048576,IF(OR($B390="STD. DEVIATION",$C$1=1),$A390,$A390+1),COLUMN('1-DATA'!G388)),IF($B390="STD. DEVIATION",2,$F$1))))</f>
        <v/>
      </c>
      <c r="I390" s="1" t="str">
        <f>IF(OR($B390="",I$7=""),"",IF($B390="MEANS",INDEX('1-DATA'!$1:$1048576,$A389-1,COLUMN('1-DATA'!H388)),ROUND(INDEX('1-DATA'!$1:$1048576,IF(OR($B390="STD. DEVIATION",$C$1=1),$A390,$A390+1),COLUMN('1-DATA'!H388)),IF($B390="STD. DEVIATION",2,$F$1))))</f>
        <v/>
      </c>
      <c r="J390" s="1" t="str">
        <f>IF(OR($B390="",J$7=""),"",IF($B390="MEANS",INDEX('1-DATA'!$1:$1048576,$A389-1,COLUMN('1-DATA'!I388)),ROUND(INDEX('1-DATA'!$1:$1048576,IF(OR($B390="STD. DEVIATION",$C$1=1),$A390,$A390+1),COLUMN('1-DATA'!I388)),IF($B390="STD. DEVIATION",2,$F$1))))</f>
        <v/>
      </c>
      <c r="K390" s="1" t="str">
        <f>IF(OR($B390="",K$7=""),"",IF($B390="MEANS",INDEX('1-DATA'!$1:$1048576,$A389-1,COLUMN('1-DATA'!J388)),ROUND(INDEX('1-DATA'!$1:$1048576,IF(OR($B390="STD. DEVIATION",$C$1=1),$A390,$A390+1),COLUMN('1-DATA'!J388)),IF($B390="STD. DEVIATION",2,$F$1))))</f>
        <v/>
      </c>
      <c r="L390" s="1" t="str">
        <f>IF(OR($B390="",L$7=""),"",IF($B390="MEANS",INDEX('1-DATA'!$1:$1048576,$A389-1,COLUMN('1-DATA'!K388)),ROUND(INDEX('1-DATA'!$1:$1048576,IF(OR($B390="STD. DEVIATION",$C$1=1),$A390,$A390+1),COLUMN('1-DATA'!K388)),IF($B390="STD. DEVIATION",2,$F$1))))</f>
        <v/>
      </c>
      <c r="M390" s="1" t="str">
        <f>IF(OR($B390="",M$7=""),"",IF($B390="MEANS",INDEX('1-DATA'!$1:$1048576,$A389-1,COLUMN('1-DATA'!L388)),ROUND(INDEX('1-DATA'!$1:$1048576,IF(OR($B390="STD. DEVIATION",$C$1=1),$A390,$A390+1),COLUMN('1-DATA'!L388)),IF($B390="STD. DEVIATION",2,$F$1))))</f>
        <v/>
      </c>
      <c r="N390" s="1" t="str">
        <f>IF(OR($B390="",N$7=""),"",IF($B390="MEANS",INDEX('1-DATA'!$1:$1048576,$A389-1,COLUMN('1-DATA'!M388)),ROUND(INDEX('1-DATA'!$1:$1048576,IF(OR($B390="STD. DEVIATION",$C$1=1),$A390,$A390+1),COLUMN('1-DATA'!M388)),IF($B390="STD. DEVIATION",2,$F$1))))</f>
        <v/>
      </c>
      <c r="O390" s="1" t="str">
        <f>IF(OR($B390="",O$7=""),"",IF($B390="MEANS",INDEX('1-DATA'!$1:$1048576,$A389-1,COLUMN('1-DATA'!N388)),ROUND(INDEX('1-DATA'!$1:$1048576,IF(OR($B390="STD. DEVIATION",$C$1=1),$A390,$A390+1),COLUMN('1-DATA'!N388)),IF($B390="STD. DEVIATION",2,$F$1))))</f>
        <v/>
      </c>
      <c r="P390" s="1" t="str">
        <f>IF(OR($B390="",P$7=""),"",IF($B390="MEANS",INDEX('1-DATA'!$1:$1048576,$A389-1,COLUMN('1-DATA'!O388)),ROUND(INDEX('1-DATA'!$1:$1048576,IF(OR($B390="STD. DEVIATION",$C$1=1),$A390,$A390+1),COLUMN('1-DATA'!O388)),IF($B390="STD. DEVIATION",2,$F$1))))</f>
        <v/>
      </c>
      <c r="Q390" s="1" t="str">
        <f>IF(OR($B390="",Q$7=""),"",IF($B390="MEANS",INDEX('1-DATA'!$1:$1048576,$A389-1,COLUMN('1-DATA'!P388)),ROUND(INDEX('1-DATA'!$1:$1048576,IF(OR($B390="STD. DEVIATION",$C$1=1),$A390,$A390+1),COLUMN('1-DATA'!P388)),IF($B390="STD. DEVIATION",2,$F$1))))</f>
        <v/>
      </c>
      <c r="R390" s="1" t="str">
        <f>IF(OR($B390="",R$7=""),"",IF($B390="MEANS",INDEX('1-DATA'!$1:$1048576,$A389-1,COLUMN('1-DATA'!Q388)),ROUND(INDEX('1-DATA'!$1:$1048576,IF(OR($B390="STD. DEVIATION",$C$1=1),$A390,$A390+1),COLUMN('1-DATA'!Q388)),IF($B390="STD. DEVIATION",2,$F$1))))</f>
        <v/>
      </c>
      <c r="S390" s="1" t="str">
        <f>IF(OR($B390="",S$7=""),"",IF($B390="MEANS",INDEX('1-DATA'!$1:$1048576,$A389-1,COLUMN('1-DATA'!R388)),ROUND(INDEX('1-DATA'!$1:$1048576,IF(OR($B390="STD. DEVIATION",$C$1=1),$A390,$A390+1),COLUMN('1-DATA'!R388)),IF($B390="STD. DEVIATION",2,$F$1))))</f>
        <v/>
      </c>
      <c r="T390" s="1" t="str">
        <f>IF(OR($B390="",T$7=""),"",IF($B390="MEANS",INDEX('1-DATA'!$1:$1048576,$A389-1,COLUMN('1-DATA'!S388)),ROUND(INDEX('1-DATA'!$1:$1048576,IF(OR($B390="STD. DEVIATION",$C$1=1),$A390,$A390+1),COLUMN('1-DATA'!S388)),IF($B390="STD. DEVIATION",2,$F$1))))</f>
        <v/>
      </c>
      <c r="U390" s="1" t="str">
        <f>IF(OR($B390="",U$7=""),"",IF($B390="MEANS",INDEX('1-DATA'!$1:$1048576,$A389-1,COLUMN('1-DATA'!T388)),ROUND(INDEX('1-DATA'!$1:$1048576,IF(OR($B390="STD. DEVIATION",$C$1=1),$A390,$A390+1),COLUMN('1-DATA'!T388)),IF($B390="STD. DEVIATION",2,$F$1))))</f>
        <v/>
      </c>
      <c r="V390" s="1" t="str">
        <f>IF(OR($B390="",V$7=""),"",IF($B390="MEANS",INDEX('1-DATA'!$1:$1048576,$A389-1,COLUMN('1-DATA'!U388)),ROUND(INDEX('1-DATA'!$1:$1048576,IF(OR($B390="STD. DEVIATION",$C$1=1),$A390,$A390+1),COLUMN('1-DATA'!U388)),IF($B390="STD. DEVIATION",2,$F$1))))</f>
        <v/>
      </c>
      <c r="W390" s="1" t="str">
        <f>IF(OR($B390="",W$7=""),"",IF($B390="MEANS",INDEX('1-DATA'!$1:$1048576,$A389-1,COLUMN('1-DATA'!V388)),ROUND(INDEX('1-DATA'!$1:$1048576,IF(OR($B390="STD. DEVIATION",$C$1=1),$A390,$A390+1),COLUMN('1-DATA'!V388)),IF($B390="STD. DEVIATION",2,$F$1))))</f>
        <v/>
      </c>
      <c r="X390" s="1" t="str">
        <f>IF(OR($B390="",X$7=""),"",IF($B390="MEANS",INDEX('1-DATA'!$1:$1048576,$A389-1,COLUMN('1-DATA'!W388)),ROUND(INDEX('1-DATA'!$1:$1048576,IF(OR($B390="STD. DEVIATION",$C$1=1),$A390,$A390+1),COLUMN('1-DATA'!W388)),IF($B390="STD. DEVIATION",2,$F$1))))</f>
        <v/>
      </c>
      <c r="Y390" s="1" t="str">
        <f>IF(OR($B390="",Y$7=""),"",IF($B390="MEANS",INDEX('1-DATA'!$1:$1048576,$A389-1,COLUMN('1-DATA'!X388)),ROUND(INDEX('1-DATA'!$1:$1048576,IF(OR($B390="STD. DEVIATION",$C$1=1),$A390,$A390+1),COLUMN('1-DATA'!X388)),IF($B390="STD. DEVIATION",2,$F$1))))</f>
        <v/>
      </c>
      <c r="Z390" s="1" t="str">
        <f>IF(OR($B390="",Z$7=""),"",IF($B390="MEANS",INDEX('1-DATA'!$1:$1048576,$A389-1,COLUMN('1-DATA'!Y388)),ROUND(INDEX('1-DATA'!$1:$1048576,IF(OR($B390="STD. DEVIATION",$C$1=1),$A390,$A390+1),COLUMN('1-DATA'!Y388)),IF($B390="STD. DEVIATION",2,$F$1))))</f>
        <v/>
      </c>
      <c r="AA390" s="1" t="str">
        <f>IF(OR($B390="",AA$7=""),"",IF($B390="MEANS",INDEX('1-DATA'!$1:$1048576,$A389-1,COLUMN('1-DATA'!Z388)),ROUND(INDEX('1-DATA'!$1:$1048576,IF(OR($B390="STD. DEVIATION",$C$1=1),$A390,$A390+1),COLUMN('1-DATA'!Z388)),IF($B390="STD. DEVIATION",2,$F$1))))</f>
        <v/>
      </c>
      <c r="AB390" s="1" t="str">
        <f>IF(OR($B390="",AB$7=""),"",IF($B390="MEANS",INDEX('1-DATA'!$1:$1048576,$A389-1,COLUMN('1-DATA'!AA388)),ROUND(INDEX('1-DATA'!$1:$1048576,IF(OR($B390="STD. DEVIATION",$C$1=1),$A390,$A390+1),COLUMN('1-DATA'!AA388)),IF($B390="STD. DEVIATION",2,$F$1))))</f>
        <v/>
      </c>
      <c r="AC390" s="1" t="str">
        <f>IF(OR($B390="",AC$7=""),"",IF($B390="MEANS",INDEX('1-DATA'!$1:$1048576,$A389-1,COLUMN('1-DATA'!AB388)),ROUND(INDEX('1-DATA'!$1:$1048576,IF(OR($B390="STD. DEVIATION",$C$1=1),$A390,$A390+1),COLUMN('1-DATA'!AB388)),IF($B390="STD. DEVIATION",2,$F$1))))</f>
        <v/>
      </c>
      <c r="AD390" s="1" t="str">
        <f>IF(OR($B390="",AD$7=""),"",IF($B390="MEANS",INDEX('1-DATA'!$1:$1048576,$A389-1,COLUMN('1-DATA'!AC388)),ROUND(INDEX('1-DATA'!$1:$1048576,IF(OR($B390="STD. DEVIATION",$C$1=1),$A390,$A390+1),COLUMN('1-DATA'!AC388)),IF($B390="STD. DEVIATION",2,$F$1))))</f>
        <v/>
      </c>
      <c r="AE390" s="1" t="str">
        <f>IF(OR($B390="",AE$7=""),"",IF($B390="MEANS",INDEX('1-DATA'!$1:$1048576,$A389-1,COLUMN('1-DATA'!AD388)),ROUND(INDEX('1-DATA'!$1:$1048576,IF(OR($B390="STD. DEVIATION",$C$1=1),$A390,$A390+1),COLUMN('1-DATA'!AD388)),IF($B390="STD. DEVIATION",2,$F$1))))</f>
        <v/>
      </c>
      <c r="AF390" s="1" t="str">
        <f>IF(OR($B390="",AF$7=""),"",IF($B390="MEANS",INDEX('1-DATA'!$1:$1048576,$A389-1,COLUMN('1-DATA'!AE388)),ROUND(INDEX('1-DATA'!$1:$1048576,IF(OR($B390="STD. DEVIATION",$C$1=1),$A390,$A390+1),COLUMN('1-DATA'!AE388)),IF($B390="STD. DEVIATION",2,$F$1))))</f>
        <v/>
      </c>
      <c r="AG390" s="1" t="str">
        <f>IF(OR($B390="",AG$7=""),"",IF($B390="MEANS",INDEX('1-DATA'!$1:$1048576,$A389-1,COLUMN('1-DATA'!AF388)),ROUND(INDEX('1-DATA'!$1:$1048576,IF(OR($B390="STD. DEVIATION",$C$1=1),$A390,$A390+1),COLUMN('1-DATA'!AF388)),IF($B390="STD. DEVIATION",2,$F$1))))</f>
        <v/>
      </c>
      <c r="AH390" s="1" t="str">
        <f>IF(OR($B390="",AH$7=""),"",IF($B390="MEANS",INDEX('1-DATA'!$1:$1048576,$A389-1,COLUMN('1-DATA'!AG388)),ROUND(INDEX('1-DATA'!$1:$1048576,IF(OR($B390="STD. DEVIATION",$C$1=1),$A390,$A390+1),COLUMN('1-DATA'!AG388)),IF($B390="STD. DEVIATION",2,$F$1))))</f>
        <v/>
      </c>
      <c r="AI390" s="1" t="str">
        <f>IF(OR($B390="",AI$7=""),"",IF($B390="MEANS",INDEX('1-DATA'!$1:$1048576,$A389-1,COLUMN('1-DATA'!AH388)),ROUND(INDEX('1-DATA'!$1:$1048576,IF(OR($B390="STD. DEVIATION",$C$1=1),$A390,$A390+1),COLUMN('1-DATA'!AH388)),IF($B390="STD. DEVIATION",2,$F$1))))</f>
        <v/>
      </c>
      <c r="AJ390" s="1" t="str">
        <f>IF(OR($B390="",AJ$7=""),"",IF($B390="MEANS",INDEX('1-DATA'!$1:$1048576,$A389-1,COLUMN('1-DATA'!AI388)),ROUND(INDEX('1-DATA'!$1:$1048576,IF(OR($B390="STD. DEVIATION",$C$1=1),$A390,$A390+1),COLUMN('1-DATA'!AI388)),IF($B390="STD. DEVIATION",2,$F$1))))</f>
        <v/>
      </c>
      <c r="AK390" s="1" t="str">
        <f>IF(OR($B390="",AK$7=""),"",IF($B390="MEANS",INDEX('1-DATA'!$1:$1048576,$A389-1,COLUMN('1-DATA'!AJ388)),ROUND(INDEX('1-DATA'!$1:$1048576,IF(OR($B390="STD. DEVIATION",$C$1=1),$A390,$A390+1),COLUMN('1-DATA'!AJ388)),IF($B390="STD. DEVIATION",2,$F$1))))</f>
        <v/>
      </c>
      <c r="AL390" s="1" t="str">
        <f>IF(OR($B390="",AL$7=""),"",IF($B390="MEANS",INDEX('1-DATA'!$1:$1048576,$A389-1,COLUMN('1-DATA'!AK388)),ROUND(INDEX('1-DATA'!$1:$1048576,IF(OR($B390="STD. DEVIATION",$C$1=1),$A390,$A390+1),COLUMN('1-DATA'!AK388)),IF($B390="STD. DEVIATION",2,$F$1))))</f>
        <v/>
      </c>
      <c r="AM390" s="1" t="str">
        <f>IF(OR($B390="",AM$7=""),"",IF($B390="MEANS",INDEX('1-DATA'!$1:$1048576,$A389-1,COLUMN('1-DATA'!AL388)),ROUND(INDEX('1-DATA'!$1:$1048576,IF(OR($B390="STD. DEVIATION",$C$1=1),$A390,$A390+1),COLUMN('1-DATA'!AL388)),IF($B390="STD. DEVIATION",2,$F$1))))</f>
        <v/>
      </c>
      <c r="AN390" s="1" t="str">
        <f>IF(OR($B390="",AN$7=""),"",IF($B390="MEANS",INDEX('1-DATA'!$1:$1048576,$A389-1,COLUMN('1-DATA'!AM388)),ROUND(INDEX('1-DATA'!$1:$1048576,IF(OR($B390="STD. DEVIATION",$C$1=1),$A390,$A390+1),COLUMN('1-DATA'!AM388)),IF($B390="STD. DEVIATION",2,$F$1))))</f>
        <v/>
      </c>
      <c r="AO390" s="1" t="str">
        <f>IF(OR($B390="",AO$7=""),"",IF($B390="MEANS",INDEX('1-DATA'!$1:$1048576,$A389-1,COLUMN('1-DATA'!AN388)),ROUND(INDEX('1-DATA'!$1:$1048576,IF(OR($B390="STD. DEVIATION",$C$1=1),$A390,$A390+1),COLUMN('1-DATA'!AN388)),IF($B390="STD. DEVIATION",2,$F$1))))</f>
        <v/>
      </c>
      <c r="AP390" s="1" t="str">
        <f>IF(OR($B390="",AP$7=""),"",IF($B390="MEANS",INDEX('1-DATA'!$1:$1048576,$A389-1,COLUMN('1-DATA'!AO388)),ROUND(INDEX('1-DATA'!$1:$1048576,IF(OR($B390="STD. DEVIATION",$C$1=1),$A390,$A390+1),COLUMN('1-DATA'!AO388)),IF($B390="STD. DEVIATION",2,$F$1))))</f>
        <v/>
      </c>
      <c r="AQ390" s="1" t="str">
        <f>IF(OR($B390="",AQ$7=""),"",IF($B390="MEANS",INDEX('1-DATA'!$1:$1048576,$A389-1,COLUMN('1-DATA'!AP388)),ROUND(INDEX('1-DATA'!$1:$1048576,IF(OR($B390="STD. DEVIATION",$C$1=1),$A390,$A390+1),COLUMN('1-DATA'!AP388)),IF($B390="STD. DEVIATION",2,$F$1))))</f>
        <v/>
      </c>
      <c r="AR390" s="1" t="str">
        <f>IF(OR($B390="",AR$7=""),"",IF($B390="MEANS",INDEX('1-DATA'!$1:$1048576,$A389-1,COLUMN('1-DATA'!AQ388)),ROUND(INDEX('1-DATA'!$1:$1048576,IF(OR($B390="STD. DEVIATION",$C$1=1),$A390,$A390+1),COLUMN('1-DATA'!AQ388)),IF($B390="STD. DEVIATION",2,$F$1))))</f>
        <v/>
      </c>
      <c r="AS390" s="1" t="str">
        <f>IF(OR($B390="",AS$7=""),"",IF($B390="MEANS",INDEX('1-DATA'!$1:$1048576,$A389-1,COLUMN('1-DATA'!AR388)),ROUND(INDEX('1-DATA'!$1:$1048576,IF(OR($B390="STD. DEVIATION",$C$1=1),$A390,$A390+1),COLUMN('1-DATA'!AR388)),IF($B390="STD. DEVIATION",2,$F$1))))</f>
        <v/>
      </c>
      <c r="AT390" s="1" t="str">
        <f>IF(OR($B390="",AT$7=""),"",IF($B390="MEANS",INDEX('1-DATA'!$1:$1048576,$A389-1,COLUMN('1-DATA'!AS388)),ROUND(INDEX('1-DATA'!$1:$1048576,IF(OR($B390="STD. DEVIATION",$C$1=1),$A390,$A390+1),COLUMN('1-DATA'!AS388)),IF($B390="STD. DEVIATION",2,$F$1))))</f>
        <v/>
      </c>
      <c r="AU390" s="1" t="str">
        <f>IF(OR($B390="",AU$7=""),"",IF($B390="MEANS",INDEX('1-DATA'!$1:$1048576,$A389-1,COLUMN('1-DATA'!AT388)),ROUND(INDEX('1-DATA'!$1:$1048576,IF(OR($B390="STD. DEVIATION",$C$1=1),$A390,$A390+1),COLUMN('1-DATA'!AT388)),IF($B390="STD. DEVIATION",2,$F$1))))</f>
        <v/>
      </c>
      <c r="AV390" s="1" t="str">
        <f>IF(OR($B390="",AV$7=""),"",IF($B390="MEANS",INDEX('1-DATA'!$1:$1048576,$A389-1,COLUMN('1-DATA'!AU388)),ROUND(INDEX('1-DATA'!$1:$1048576,IF(OR($B390="STD. DEVIATION",$C$1=1),$A390,$A390+1),COLUMN('1-DATA'!AU388)),IF($B390="STD. DEVIATION",2,$F$1))))</f>
        <v/>
      </c>
      <c r="AW390" s="1" t="str">
        <f>IF(OR($B390="",AW$7=""),"",IF($B390="MEANS",INDEX('1-DATA'!$1:$1048576,$A389-1,COLUMN('1-DATA'!AV388)),ROUND(INDEX('1-DATA'!$1:$1048576,IF(OR($B390="STD. DEVIATION",$C$1=1),$A390,$A390+1),COLUMN('1-DATA'!AV388)),IF($B390="STD. DEVIATION",2,$F$1))))</f>
        <v/>
      </c>
      <c r="AX390" s="1" t="str">
        <f>IF(OR($B390="",AX$7=""),"",IF($B390="MEANS",INDEX('1-DATA'!$1:$1048576,$A389-1,COLUMN('1-DATA'!AW388)),ROUND(INDEX('1-DATA'!$1:$1048576,IF(OR($B390="STD. DEVIATION",$C$1=1),$A390,$A390+1),COLUMN('1-DATA'!AW388)),IF($B390="STD. DEVIATION",2,$F$1))))</f>
        <v/>
      </c>
      <c r="AY390" s="1" t="str">
        <f>IF(OR($B390="",AY$7=""),"",IF($B390="MEANS",INDEX('1-DATA'!$1:$1048576,$A389-1,COLUMN('1-DATA'!AX388)),ROUND(INDEX('1-DATA'!$1:$1048576,IF(OR($B390="STD. DEVIATION",$C$1=1),$A390,$A390+1),COLUMN('1-DATA'!AX388)),IF($B390="STD. DEVIATION",2,$F$1))))</f>
        <v/>
      </c>
      <c r="AZ390" s="1" t="str">
        <f>IF(OR($B390="",AZ$7=""),"",IF($B390="MEANS",INDEX('1-DATA'!$1:$1048576,$A389-1,COLUMN('1-DATA'!AY388)),ROUND(INDEX('1-DATA'!$1:$1048576,IF(OR($B390="STD. DEVIATION",$C$1=1),$A390,$A390+1),COLUMN('1-DATA'!AY388)),IF($B390="STD. DEVIATION",2,$F$1))))</f>
        <v/>
      </c>
    </row>
    <row r="391" spans="1:52" x14ac:dyDescent="0.25">
      <c r="A391" s="11">
        <f t="shared" si="6"/>
        <v>1159</v>
      </c>
      <c r="B391" s="1" t="str">
        <f>IF(B390="STD. DEVIATION",INDEX('1-DATA'!$1:$1048576,$A390-1,1),IF(INDEX('1-DATA'!$1:$1048576,$A391,1)&lt;&gt;"",INDEX('1-DATA'!$1:$1048576,$A391,1),""))</f>
        <v/>
      </c>
      <c r="C391" s="1" t="str">
        <f>IF(OR($B391="",C$7=""),"",IF($B391="MEANS",INDEX('1-DATA'!$1:$1048576,$A390-1,COLUMN('1-DATA'!B389)),ROUND(INDEX('1-DATA'!$1:$1048576,IF(OR($B391="STD. DEVIATION",$C$1=1),$A391,$A391+1),COLUMN('1-DATA'!B389)),IF($B391="STD. DEVIATION",2,$F$1))))</f>
        <v/>
      </c>
      <c r="D391" s="1" t="str">
        <f>IF(OR($B391="",D$7=""),"",IF($B391="MEANS",INDEX('1-DATA'!$1:$1048576,$A390-1,COLUMN('1-DATA'!C389)),ROUND(INDEX('1-DATA'!$1:$1048576,IF(OR($B391="STD. DEVIATION",$C$1=1),$A391,$A391+1),COLUMN('1-DATA'!C389)),IF($B391="STD. DEVIATION",2,$F$1))))</f>
        <v/>
      </c>
      <c r="E391" s="1" t="str">
        <f>IF(OR($B391="",E$7=""),"",IF($B391="MEANS",INDEX('1-DATA'!$1:$1048576,$A390-1,COLUMN('1-DATA'!D389)),ROUND(INDEX('1-DATA'!$1:$1048576,IF(OR($B391="STD. DEVIATION",$C$1=1),$A391,$A391+1),COLUMN('1-DATA'!D389)),IF($B391="STD. DEVIATION",2,$F$1))))</f>
        <v/>
      </c>
      <c r="F391" s="1" t="str">
        <f>IF(OR($B391="",F$7=""),"",IF($B391="MEANS",INDEX('1-DATA'!$1:$1048576,$A390-1,COLUMN('1-DATA'!E389)),ROUND(INDEX('1-DATA'!$1:$1048576,IF(OR($B391="STD. DEVIATION",$C$1=1),$A391,$A391+1),COLUMN('1-DATA'!E389)),IF($B391="STD. DEVIATION",2,$F$1))))</f>
        <v/>
      </c>
      <c r="G391" s="1" t="str">
        <f>IF(OR($B391="",G$7=""),"",IF($B391="MEANS",INDEX('1-DATA'!$1:$1048576,$A390-1,COLUMN('1-DATA'!F389)),ROUND(INDEX('1-DATA'!$1:$1048576,IF(OR($B391="STD. DEVIATION",$C$1=1),$A391,$A391+1),COLUMN('1-DATA'!F389)),IF($B391="STD. DEVIATION",2,$F$1))))</f>
        <v/>
      </c>
      <c r="H391" s="1" t="str">
        <f>IF(OR($B391="",H$7=""),"",IF($B391="MEANS",INDEX('1-DATA'!$1:$1048576,$A390-1,COLUMN('1-DATA'!G389)),ROUND(INDEX('1-DATA'!$1:$1048576,IF(OR($B391="STD. DEVIATION",$C$1=1),$A391,$A391+1),COLUMN('1-DATA'!G389)),IF($B391="STD. DEVIATION",2,$F$1))))</f>
        <v/>
      </c>
      <c r="I391" s="1" t="str">
        <f>IF(OR($B391="",I$7=""),"",IF($B391="MEANS",INDEX('1-DATA'!$1:$1048576,$A390-1,COLUMN('1-DATA'!H389)),ROUND(INDEX('1-DATA'!$1:$1048576,IF(OR($B391="STD. DEVIATION",$C$1=1),$A391,$A391+1),COLUMN('1-DATA'!H389)),IF($B391="STD. DEVIATION",2,$F$1))))</f>
        <v/>
      </c>
      <c r="J391" s="1" t="str">
        <f>IF(OR($B391="",J$7=""),"",IF($B391="MEANS",INDEX('1-DATA'!$1:$1048576,$A390-1,COLUMN('1-DATA'!I389)),ROUND(INDEX('1-DATA'!$1:$1048576,IF(OR($B391="STD. DEVIATION",$C$1=1),$A391,$A391+1),COLUMN('1-DATA'!I389)),IF($B391="STD. DEVIATION",2,$F$1))))</f>
        <v/>
      </c>
      <c r="K391" s="1" t="str">
        <f>IF(OR($B391="",K$7=""),"",IF($B391="MEANS",INDEX('1-DATA'!$1:$1048576,$A390-1,COLUMN('1-DATA'!J389)),ROUND(INDEX('1-DATA'!$1:$1048576,IF(OR($B391="STD. DEVIATION",$C$1=1),$A391,$A391+1),COLUMN('1-DATA'!J389)),IF($B391="STD. DEVIATION",2,$F$1))))</f>
        <v/>
      </c>
      <c r="L391" s="1" t="str">
        <f>IF(OR($B391="",L$7=""),"",IF($B391="MEANS",INDEX('1-DATA'!$1:$1048576,$A390-1,COLUMN('1-DATA'!K389)),ROUND(INDEX('1-DATA'!$1:$1048576,IF(OR($B391="STD. DEVIATION",$C$1=1),$A391,$A391+1),COLUMN('1-DATA'!K389)),IF($B391="STD. DEVIATION",2,$F$1))))</f>
        <v/>
      </c>
      <c r="M391" s="1" t="str">
        <f>IF(OR($B391="",M$7=""),"",IF($B391="MEANS",INDEX('1-DATA'!$1:$1048576,$A390-1,COLUMN('1-DATA'!L389)),ROUND(INDEX('1-DATA'!$1:$1048576,IF(OR($B391="STD. DEVIATION",$C$1=1),$A391,$A391+1),COLUMN('1-DATA'!L389)),IF($B391="STD. DEVIATION",2,$F$1))))</f>
        <v/>
      </c>
      <c r="N391" s="1" t="str">
        <f>IF(OR($B391="",N$7=""),"",IF($B391="MEANS",INDEX('1-DATA'!$1:$1048576,$A390-1,COLUMN('1-DATA'!M389)),ROUND(INDEX('1-DATA'!$1:$1048576,IF(OR($B391="STD. DEVIATION",$C$1=1),$A391,$A391+1),COLUMN('1-DATA'!M389)),IF($B391="STD. DEVIATION",2,$F$1))))</f>
        <v/>
      </c>
      <c r="O391" s="1" t="str">
        <f>IF(OR($B391="",O$7=""),"",IF($B391="MEANS",INDEX('1-DATA'!$1:$1048576,$A390-1,COLUMN('1-DATA'!N389)),ROUND(INDEX('1-DATA'!$1:$1048576,IF(OR($B391="STD. DEVIATION",$C$1=1),$A391,$A391+1),COLUMN('1-DATA'!N389)),IF($B391="STD. DEVIATION",2,$F$1))))</f>
        <v/>
      </c>
      <c r="P391" s="1" t="str">
        <f>IF(OR($B391="",P$7=""),"",IF($B391="MEANS",INDEX('1-DATA'!$1:$1048576,$A390-1,COLUMN('1-DATA'!O389)),ROUND(INDEX('1-DATA'!$1:$1048576,IF(OR($B391="STD. DEVIATION",$C$1=1),$A391,$A391+1),COLUMN('1-DATA'!O389)),IF($B391="STD. DEVIATION",2,$F$1))))</f>
        <v/>
      </c>
      <c r="Q391" s="1" t="str">
        <f>IF(OR($B391="",Q$7=""),"",IF($B391="MEANS",INDEX('1-DATA'!$1:$1048576,$A390-1,COLUMN('1-DATA'!P389)),ROUND(INDEX('1-DATA'!$1:$1048576,IF(OR($B391="STD. DEVIATION",$C$1=1),$A391,$A391+1),COLUMN('1-DATA'!P389)),IF($B391="STD. DEVIATION",2,$F$1))))</f>
        <v/>
      </c>
      <c r="R391" s="1" t="str">
        <f>IF(OR($B391="",R$7=""),"",IF($B391="MEANS",INDEX('1-DATA'!$1:$1048576,$A390-1,COLUMN('1-DATA'!Q389)),ROUND(INDEX('1-DATA'!$1:$1048576,IF(OR($B391="STD. DEVIATION",$C$1=1),$A391,$A391+1),COLUMN('1-DATA'!Q389)),IF($B391="STD. DEVIATION",2,$F$1))))</f>
        <v/>
      </c>
      <c r="S391" s="1" t="str">
        <f>IF(OR($B391="",S$7=""),"",IF($B391="MEANS",INDEX('1-DATA'!$1:$1048576,$A390-1,COLUMN('1-DATA'!R389)),ROUND(INDEX('1-DATA'!$1:$1048576,IF(OR($B391="STD. DEVIATION",$C$1=1),$A391,$A391+1),COLUMN('1-DATA'!R389)),IF($B391="STD. DEVIATION",2,$F$1))))</f>
        <v/>
      </c>
      <c r="T391" s="1" t="str">
        <f>IF(OR($B391="",T$7=""),"",IF($B391="MEANS",INDEX('1-DATA'!$1:$1048576,$A390-1,COLUMN('1-DATA'!S389)),ROUND(INDEX('1-DATA'!$1:$1048576,IF(OR($B391="STD. DEVIATION",$C$1=1),$A391,$A391+1),COLUMN('1-DATA'!S389)),IF($B391="STD. DEVIATION",2,$F$1))))</f>
        <v/>
      </c>
      <c r="U391" s="1" t="str">
        <f>IF(OR($B391="",U$7=""),"",IF($B391="MEANS",INDEX('1-DATA'!$1:$1048576,$A390-1,COLUMN('1-DATA'!T389)),ROUND(INDEX('1-DATA'!$1:$1048576,IF(OR($B391="STD. DEVIATION",$C$1=1),$A391,$A391+1),COLUMN('1-DATA'!T389)),IF($B391="STD. DEVIATION",2,$F$1))))</f>
        <v/>
      </c>
      <c r="V391" s="1" t="str">
        <f>IF(OR($B391="",V$7=""),"",IF($B391="MEANS",INDEX('1-DATA'!$1:$1048576,$A390-1,COLUMN('1-DATA'!U389)),ROUND(INDEX('1-DATA'!$1:$1048576,IF(OR($B391="STD. DEVIATION",$C$1=1),$A391,$A391+1),COLUMN('1-DATA'!U389)),IF($B391="STD. DEVIATION",2,$F$1))))</f>
        <v/>
      </c>
      <c r="W391" s="1" t="str">
        <f>IF(OR($B391="",W$7=""),"",IF($B391="MEANS",INDEX('1-DATA'!$1:$1048576,$A390-1,COLUMN('1-DATA'!V389)),ROUND(INDEX('1-DATA'!$1:$1048576,IF(OR($B391="STD. DEVIATION",$C$1=1),$A391,$A391+1),COLUMN('1-DATA'!V389)),IF($B391="STD. DEVIATION",2,$F$1))))</f>
        <v/>
      </c>
      <c r="X391" s="1" t="str">
        <f>IF(OR($B391="",X$7=""),"",IF($B391="MEANS",INDEX('1-DATA'!$1:$1048576,$A390-1,COLUMN('1-DATA'!W389)),ROUND(INDEX('1-DATA'!$1:$1048576,IF(OR($B391="STD. DEVIATION",$C$1=1),$A391,$A391+1),COLUMN('1-DATA'!W389)),IF($B391="STD. DEVIATION",2,$F$1))))</f>
        <v/>
      </c>
      <c r="Y391" s="1" t="str">
        <f>IF(OR($B391="",Y$7=""),"",IF($B391="MEANS",INDEX('1-DATA'!$1:$1048576,$A390-1,COLUMN('1-DATA'!X389)),ROUND(INDEX('1-DATA'!$1:$1048576,IF(OR($B391="STD. DEVIATION",$C$1=1),$A391,$A391+1),COLUMN('1-DATA'!X389)),IF($B391="STD. DEVIATION",2,$F$1))))</f>
        <v/>
      </c>
      <c r="Z391" s="1" t="str">
        <f>IF(OR($B391="",Z$7=""),"",IF($B391="MEANS",INDEX('1-DATA'!$1:$1048576,$A390-1,COLUMN('1-DATA'!Y389)),ROUND(INDEX('1-DATA'!$1:$1048576,IF(OR($B391="STD. DEVIATION",$C$1=1),$A391,$A391+1),COLUMN('1-DATA'!Y389)),IF($B391="STD. DEVIATION",2,$F$1))))</f>
        <v/>
      </c>
      <c r="AA391" s="1" t="str">
        <f>IF(OR($B391="",AA$7=""),"",IF($B391="MEANS",INDEX('1-DATA'!$1:$1048576,$A390-1,COLUMN('1-DATA'!Z389)),ROUND(INDEX('1-DATA'!$1:$1048576,IF(OR($B391="STD. DEVIATION",$C$1=1),$A391,$A391+1),COLUMN('1-DATA'!Z389)),IF($B391="STD. DEVIATION",2,$F$1))))</f>
        <v/>
      </c>
      <c r="AB391" s="1" t="str">
        <f>IF(OR($B391="",AB$7=""),"",IF($B391="MEANS",INDEX('1-DATA'!$1:$1048576,$A390-1,COLUMN('1-DATA'!AA389)),ROUND(INDEX('1-DATA'!$1:$1048576,IF(OR($B391="STD. DEVIATION",$C$1=1),$A391,$A391+1),COLUMN('1-DATA'!AA389)),IF($B391="STD. DEVIATION",2,$F$1))))</f>
        <v/>
      </c>
      <c r="AC391" s="1" t="str">
        <f>IF(OR($B391="",AC$7=""),"",IF($B391="MEANS",INDEX('1-DATA'!$1:$1048576,$A390-1,COLUMN('1-DATA'!AB389)),ROUND(INDEX('1-DATA'!$1:$1048576,IF(OR($B391="STD. DEVIATION",$C$1=1),$A391,$A391+1),COLUMN('1-DATA'!AB389)),IF($B391="STD. DEVIATION",2,$F$1))))</f>
        <v/>
      </c>
      <c r="AD391" s="1" t="str">
        <f>IF(OR($B391="",AD$7=""),"",IF($B391="MEANS",INDEX('1-DATA'!$1:$1048576,$A390-1,COLUMN('1-DATA'!AC389)),ROUND(INDEX('1-DATA'!$1:$1048576,IF(OR($B391="STD. DEVIATION",$C$1=1),$A391,$A391+1),COLUMN('1-DATA'!AC389)),IF($B391="STD. DEVIATION",2,$F$1))))</f>
        <v/>
      </c>
      <c r="AE391" s="1" t="str">
        <f>IF(OR($B391="",AE$7=""),"",IF($B391="MEANS",INDEX('1-DATA'!$1:$1048576,$A390-1,COLUMN('1-DATA'!AD389)),ROUND(INDEX('1-DATA'!$1:$1048576,IF(OR($B391="STD. DEVIATION",$C$1=1),$A391,$A391+1),COLUMN('1-DATA'!AD389)),IF($B391="STD. DEVIATION",2,$F$1))))</f>
        <v/>
      </c>
      <c r="AF391" s="1" t="str">
        <f>IF(OR($B391="",AF$7=""),"",IF($B391="MEANS",INDEX('1-DATA'!$1:$1048576,$A390-1,COLUMN('1-DATA'!AE389)),ROUND(INDEX('1-DATA'!$1:$1048576,IF(OR($B391="STD. DEVIATION",$C$1=1),$A391,$A391+1),COLUMN('1-DATA'!AE389)),IF($B391="STD. DEVIATION",2,$F$1))))</f>
        <v/>
      </c>
      <c r="AG391" s="1" t="str">
        <f>IF(OR($B391="",AG$7=""),"",IF($B391="MEANS",INDEX('1-DATA'!$1:$1048576,$A390-1,COLUMN('1-DATA'!AF389)),ROUND(INDEX('1-DATA'!$1:$1048576,IF(OR($B391="STD. DEVIATION",$C$1=1),$A391,$A391+1),COLUMN('1-DATA'!AF389)),IF($B391="STD. DEVIATION",2,$F$1))))</f>
        <v/>
      </c>
      <c r="AH391" s="1" t="str">
        <f>IF(OR($B391="",AH$7=""),"",IF($B391="MEANS",INDEX('1-DATA'!$1:$1048576,$A390-1,COLUMN('1-DATA'!AG389)),ROUND(INDEX('1-DATA'!$1:$1048576,IF(OR($B391="STD. DEVIATION",$C$1=1),$A391,$A391+1),COLUMN('1-DATA'!AG389)),IF($B391="STD. DEVIATION",2,$F$1))))</f>
        <v/>
      </c>
      <c r="AI391" s="1" t="str">
        <f>IF(OR($B391="",AI$7=""),"",IF($B391="MEANS",INDEX('1-DATA'!$1:$1048576,$A390-1,COLUMN('1-DATA'!AH389)),ROUND(INDEX('1-DATA'!$1:$1048576,IF(OR($B391="STD. DEVIATION",$C$1=1),$A391,$A391+1),COLUMN('1-DATA'!AH389)),IF($B391="STD. DEVIATION",2,$F$1))))</f>
        <v/>
      </c>
      <c r="AJ391" s="1" t="str">
        <f>IF(OR($B391="",AJ$7=""),"",IF($B391="MEANS",INDEX('1-DATA'!$1:$1048576,$A390-1,COLUMN('1-DATA'!AI389)),ROUND(INDEX('1-DATA'!$1:$1048576,IF(OR($B391="STD. DEVIATION",$C$1=1),$A391,$A391+1),COLUMN('1-DATA'!AI389)),IF($B391="STD. DEVIATION",2,$F$1))))</f>
        <v/>
      </c>
      <c r="AK391" s="1" t="str">
        <f>IF(OR($B391="",AK$7=""),"",IF($B391="MEANS",INDEX('1-DATA'!$1:$1048576,$A390-1,COLUMN('1-DATA'!AJ389)),ROUND(INDEX('1-DATA'!$1:$1048576,IF(OR($B391="STD. DEVIATION",$C$1=1),$A391,$A391+1),COLUMN('1-DATA'!AJ389)),IF($B391="STD. DEVIATION",2,$F$1))))</f>
        <v/>
      </c>
      <c r="AL391" s="1" t="str">
        <f>IF(OR($B391="",AL$7=""),"",IF($B391="MEANS",INDEX('1-DATA'!$1:$1048576,$A390-1,COLUMN('1-DATA'!AK389)),ROUND(INDEX('1-DATA'!$1:$1048576,IF(OR($B391="STD. DEVIATION",$C$1=1),$A391,$A391+1),COLUMN('1-DATA'!AK389)),IF($B391="STD. DEVIATION",2,$F$1))))</f>
        <v/>
      </c>
      <c r="AM391" s="1" t="str">
        <f>IF(OR($B391="",AM$7=""),"",IF($B391="MEANS",INDEX('1-DATA'!$1:$1048576,$A390-1,COLUMN('1-DATA'!AL389)),ROUND(INDEX('1-DATA'!$1:$1048576,IF(OR($B391="STD. DEVIATION",$C$1=1),$A391,$A391+1),COLUMN('1-DATA'!AL389)),IF($B391="STD. DEVIATION",2,$F$1))))</f>
        <v/>
      </c>
      <c r="AN391" s="1" t="str">
        <f>IF(OR($B391="",AN$7=""),"",IF($B391="MEANS",INDEX('1-DATA'!$1:$1048576,$A390-1,COLUMN('1-DATA'!AM389)),ROUND(INDEX('1-DATA'!$1:$1048576,IF(OR($B391="STD. DEVIATION",$C$1=1),$A391,$A391+1),COLUMN('1-DATA'!AM389)),IF($B391="STD. DEVIATION",2,$F$1))))</f>
        <v/>
      </c>
      <c r="AO391" s="1" t="str">
        <f>IF(OR($B391="",AO$7=""),"",IF($B391="MEANS",INDEX('1-DATA'!$1:$1048576,$A390-1,COLUMN('1-DATA'!AN389)),ROUND(INDEX('1-DATA'!$1:$1048576,IF(OR($B391="STD. DEVIATION",$C$1=1),$A391,$A391+1),COLUMN('1-DATA'!AN389)),IF($B391="STD. DEVIATION",2,$F$1))))</f>
        <v/>
      </c>
      <c r="AP391" s="1" t="str">
        <f>IF(OR($B391="",AP$7=""),"",IF($B391="MEANS",INDEX('1-DATA'!$1:$1048576,$A390-1,COLUMN('1-DATA'!AO389)),ROUND(INDEX('1-DATA'!$1:$1048576,IF(OR($B391="STD. DEVIATION",$C$1=1),$A391,$A391+1),COLUMN('1-DATA'!AO389)),IF($B391="STD. DEVIATION",2,$F$1))))</f>
        <v/>
      </c>
      <c r="AQ391" s="1" t="str">
        <f>IF(OR($B391="",AQ$7=""),"",IF($B391="MEANS",INDEX('1-DATA'!$1:$1048576,$A390-1,COLUMN('1-DATA'!AP389)),ROUND(INDEX('1-DATA'!$1:$1048576,IF(OR($B391="STD. DEVIATION",$C$1=1),$A391,$A391+1),COLUMN('1-DATA'!AP389)),IF($B391="STD. DEVIATION",2,$F$1))))</f>
        <v/>
      </c>
      <c r="AR391" s="1" t="str">
        <f>IF(OR($B391="",AR$7=""),"",IF($B391="MEANS",INDEX('1-DATA'!$1:$1048576,$A390-1,COLUMN('1-DATA'!AQ389)),ROUND(INDEX('1-DATA'!$1:$1048576,IF(OR($B391="STD. DEVIATION",$C$1=1),$A391,$A391+1),COLUMN('1-DATA'!AQ389)),IF($B391="STD. DEVIATION",2,$F$1))))</f>
        <v/>
      </c>
      <c r="AS391" s="1" t="str">
        <f>IF(OR($B391="",AS$7=""),"",IF($B391="MEANS",INDEX('1-DATA'!$1:$1048576,$A390-1,COLUMN('1-DATA'!AR389)),ROUND(INDEX('1-DATA'!$1:$1048576,IF(OR($B391="STD. DEVIATION",$C$1=1),$A391,$A391+1),COLUMN('1-DATA'!AR389)),IF($B391="STD. DEVIATION",2,$F$1))))</f>
        <v/>
      </c>
      <c r="AT391" s="1" t="str">
        <f>IF(OR($B391="",AT$7=""),"",IF($B391="MEANS",INDEX('1-DATA'!$1:$1048576,$A390-1,COLUMN('1-DATA'!AS389)),ROUND(INDEX('1-DATA'!$1:$1048576,IF(OR($B391="STD. DEVIATION",$C$1=1),$A391,$A391+1),COLUMN('1-DATA'!AS389)),IF($B391="STD. DEVIATION",2,$F$1))))</f>
        <v/>
      </c>
      <c r="AU391" s="1" t="str">
        <f>IF(OR($B391="",AU$7=""),"",IF($B391="MEANS",INDEX('1-DATA'!$1:$1048576,$A390-1,COLUMN('1-DATA'!AT389)),ROUND(INDEX('1-DATA'!$1:$1048576,IF(OR($B391="STD. DEVIATION",$C$1=1),$A391,$A391+1),COLUMN('1-DATA'!AT389)),IF($B391="STD. DEVIATION",2,$F$1))))</f>
        <v/>
      </c>
      <c r="AV391" s="1" t="str">
        <f>IF(OR($B391="",AV$7=""),"",IF($B391="MEANS",INDEX('1-DATA'!$1:$1048576,$A390-1,COLUMN('1-DATA'!AU389)),ROUND(INDEX('1-DATA'!$1:$1048576,IF(OR($B391="STD. DEVIATION",$C$1=1),$A391,$A391+1),COLUMN('1-DATA'!AU389)),IF($B391="STD. DEVIATION",2,$F$1))))</f>
        <v/>
      </c>
      <c r="AW391" s="1" t="str">
        <f>IF(OR($B391="",AW$7=""),"",IF($B391="MEANS",INDEX('1-DATA'!$1:$1048576,$A390-1,COLUMN('1-DATA'!AV389)),ROUND(INDEX('1-DATA'!$1:$1048576,IF(OR($B391="STD. DEVIATION",$C$1=1),$A391,$A391+1),COLUMN('1-DATA'!AV389)),IF($B391="STD. DEVIATION",2,$F$1))))</f>
        <v/>
      </c>
      <c r="AX391" s="1" t="str">
        <f>IF(OR($B391="",AX$7=""),"",IF($B391="MEANS",INDEX('1-DATA'!$1:$1048576,$A390-1,COLUMN('1-DATA'!AW389)),ROUND(INDEX('1-DATA'!$1:$1048576,IF(OR($B391="STD. DEVIATION",$C$1=1),$A391,$A391+1),COLUMN('1-DATA'!AW389)),IF($B391="STD. DEVIATION",2,$F$1))))</f>
        <v/>
      </c>
      <c r="AY391" s="1" t="str">
        <f>IF(OR($B391="",AY$7=""),"",IF($B391="MEANS",INDEX('1-DATA'!$1:$1048576,$A390-1,COLUMN('1-DATA'!AX389)),ROUND(INDEX('1-DATA'!$1:$1048576,IF(OR($B391="STD. DEVIATION",$C$1=1),$A391,$A391+1),COLUMN('1-DATA'!AX389)),IF($B391="STD. DEVIATION",2,$F$1))))</f>
        <v/>
      </c>
      <c r="AZ391" s="1" t="str">
        <f>IF(OR($B391="",AZ$7=""),"",IF($B391="MEANS",INDEX('1-DATA'!$1:$1048576,$A390-1,COLUMN('1-DATA'!AY389)),ROUND(INDEX('1-DATA'!$1:$1048576,IF(OR($B391="STD. DEVIATION",$C$1=1),$A391,$A391+1),COLUMN('1-DATA'!AY389)),IF($B391="STD. DEVIATION",2,$F$1))))</f>
        <v/>
      </c>
    </row>
    <row r="392" spans="1:52" x14ac:dyDescent="0.25">
      <c r="A392" s="11">
        <f t="shared" si="6"/>
        <v>1162</v>
      </c>
      <c r="B392" s="1" t="str">
        <f>IF(B391="STD. DEVIATION",INDEX('1-DATA'!$1:$1048576,$A391-1,1),IF(INDEX('1-DATA'!$1:$1048576,$A392,1)&lt;&gt;"",INDEX('1-DATA'!$1:$1048576,$A392,1),""))</f>
        <v/>
      </c>
      <c r="C392" s="1" t="str">
        <f>IF(OR($B392="",C$7=""),"",IF($B392="MEANS",INDEX('1-DATA'!$1:$1048576,$A391-1,COLUMN('1-DATA'!B390)),ROUND(INDEX('1-DATA'!$1:$1048576,IF(OR($B392="STD. DEVIATION",$C$1=1),$A392,$A392+1),COLUMN('1-DATA'!B390)),IF($B392="STD. DEVIATION",2,$F$1))))</f>
        <v/>
      </c>
      <c r="D392" s="1" t="str">
        <f>IF(OR($B392="",D$7=""),"",IF($B392="MEANS",INDEX('1-DATA'!$1:$1048576,$A391-1,COLUMN('1-DATA'!C390)),ROUND(INDEX('1-DATA'!$1:$1048576,IF(OR($B392="STD. DEVIATION",$C$1=1),$A392,$A392+1),COLUMN('1-DATA'!C390)),IF($B392="STD. DEVIATION",2,$F$1))))</f>
        <v/>
      </c>
      <c r="E392" s="1" t="str">
        <f>IF(OR($B392="",E$7=""),"",IF($B392="MEANS",INDEX('1-DATA'!$1:$1048576,$A391-1,COLUMN('1-DATA'!D390)),ROUND(INDEX('1-DATA'!$1:$1048576,IF(OR($B392="STD. DEVIATION",$C$1=1),$A392,$A392+1),COLUMN('1-DATA'!D390)),IF($B392="STD. DEVIATION",2,$F$1))))</f>
        <v/>
      </c>
      <c r="F392" s="1" t="str">
        <f>IF(OR($B392="",F$7=""),"",IF($B392="MEANS",INDEX('1-DATA'!$1:$1048576,$A391-1,COLUMN('1-DATA'!E390)),ROUND(INDEX('1-DATA'!$1:$1048576,IF(OR($B392="STD. DEVIATION",$C$1=1),$A392,$A392+1),COLUMN('1-DATA'!E390)),IF($B392="STD. DEVIATION",2,$F$1))))</f>
        <v/>
      </c>
      <c r="G392" s="1" t="str">
        <f>IF(OR($B392="",G$7=""),"",IF($B392="MEANS",INDEX('1-DATA'!$1:$1048576,$A391-1,COLUMN('1-DATA'!F390)),ROUND(INDEX('1-DATA'!$1:$1048576,IF(OR($B392="STD. DEVIATION",$C$1=1),$A392,$A392+1),COLUMN('1-DATA'!F390)),IF($B392="STD. DEVIATION",2,$F$1))))</f>
        <v/>
      </c>
      <c r="H392" s="1" t="str">
        <f>IF(OR($B392="",H$7=""),"",IF($B392="MEANS",INDEX('1-DATA'!$1:$1048576,$A391-1,COLUMN('1-DATA'!G390)),ROUND(INDEX('1-DATA'!$1:$1048576,IF(OR($B392="STD. DEVIATION",$C$1=1),$A392,$A392+1),COLUMN('1-DATA'!G390)),IF($B392="STD. DEVIATION",2,$F$1))))</f>
        <v/>
      </c>
      <c r="I392" s="1" t="str">
        <f>IF(OR($B392="",I$7=""),"",IF($B392="MEANS",INDEX('1-DATA'!$1:$1048576,$A391-1,COLUMN('1-DATA'!H390)),ROUND(INDEX('1-DATA'!$1:$1048576,IF(OR($B392="STD. DEVIATION",$C$1=1),$A392,$A392+1),COLUMN('1-DATA'!H390)),IF($B392="STD. DEVIATION",2,$F$1))))</f>
        <v/>
      </c>
      <c r="J392" s="1" t="str">
        <f>IF(OR($B392="",J$7=""),"",IF($B392="MEANS",INDEX('1-DATA'!$1:$1048576,$A391-1,COLUMN('1-DATA'!I390)),ROUND(INDEX('1-DATA'!$1:$1048576,IF(OR($B392="STD. DEVIATION",$C$1=1),$A392,$A392+1),COLUMN('1-DATA'!I390)),IF($B392="STD. DEVIATION",2,$F$1))))</f>
        <v/>
      </c>
      <c r="K392" s="1" t="str">
        <f>IF(OR($B392="",K$7=""),"",IF($B392="MEANS",INDEX('1-DATA'!$1:$1048576,$A391-1,COLUMN('1-DATA'!J390)),ROUND(INDEX('1-DATA'!$1:$1048576,IF(OR($B392="STD. DEVIATION",$C$1=1),$A392,$A392+1),COLUMN('1-DATA'!J390)),IF($B392="STD. DEVIATION",2,$F$1))))</f>
        <v/>
      </c>
      <c r="L392" s="1" t="str">
        <f>IF(OR($B392="",L$7=""),"",IF($B392="MEANS",INDEX('1-DATA'!$1:$1048576,$A391-1,COLUMN('1-DATA'!K390)),ROUND(INDEX('1-DATA'!$1:$1048576,IF(OR($B392="STD. DEVIATION",$C$1=1),$A392,$A392+1),COLUMN('1-DATA'!K390)),IF($B392="STD. DEVIATION",2,$F$1))))</f>
        <v/>
      </c>
      <c r="M392" s="1" t="str">
        <f>IF(OR($B392="",M$7=""),"",IF($B392="MEANS",INDEX('1-DATA'!$1:$1048576,$A391-1,COLUMN('1-DATA'!L390)),ROUND(INDEX('1-DATA'!$1:$1048576,IF(OR($B392="STD. DEVIATION",$C$1=1),$A392,$A392+1),COLUMN('1-DATA'!L390)),IF($B392="STD. DEVIATION",2,$F$1))))</f>
        <v/>
      </c>
      <c r="N392" s="1" t="str">
        <f>IF(OR($B392="",N$7=""),"",IF($B392="MEANS",INDEX('1-DATA'!$1:$1048576,$A391-1,COLUMN('1-DATA'!M390)),ROUND(INDEX('1-DATA'!$1:$1048576,IF(OR($B392="STD. DEVIATION",$C$1=1),$A392,$A392+1),COLUMN('1-DATA'!M390)),IF($B392="STD. DEVIATION",2,$F$1))))</f>
        <v/>
      </c>
      <c r="O392" s="1" t="str">
        <f>IF(OR($B392="",O$7=""),"",IF($B392="MEANS",INDEX('1-DATA'!$1:$1048576,$A391-1,COLUMN('1-DATA'!N390)),ROUND(INDEX('1-DATA'!$1:$1048576,IF(OR($B392="STD. DEVIATION",$C$1=1),$A392,$A392+1),COLUMN('1-DATA'!N390)),IF($B392="STD. DEVIATION",2,$F$1))))</f>
        <v/>
      </c>
      <c r="P392" s="1" t="str">
        <f>IF(OR($B392="",P$7=""),"",IF($B392="MEANS",INDEX('1-DATA'!$1:$1048576,$A391-1,COLUMN('1-DATA'!O390)),ROUND(INDEX('1-DATA'!$1:$1048576,IF(OR($B392="STD. DEVIATION",$C$1=1),$A392,$A392+1),COLUMN('1-DATA'!O390)),IF($B392="STD. DEVIATION",2,$F$1))))</f>
        <v/>
      </c>
      <c r="Q392" s="1" t="str">
        <f>IF(OR($B392="",Q$7=""),"",IF($B392="MEANS",INDEX('1-DATA'!$1:$1048576,$A391-1,COLUMN('1-DATA'!P390)),ROUND(INDEX('1-DATA'!$1:$1048576,IF(OR($B392="STD. DEVIATION",$C$1=1),$A392,$A392+1),COLUMN('1-DATA'!P390)),IF($B392="STD. DEVIATION",2,$F$1))))</f>
        <v/>
      </c>
      <c r="R392" s="1" t="str">
        <f>IF(OR($B392="",R$7=""),"",IF($B392="MEANS",INDEX('1-DATA'!$1:$1048576,$A391-1,COLUMN('1-DATA'!Q390)),ROUND(INDEX('1-DATA'!$1:$1048576,IF(OR($B392="STD. DEVIATION",$C$1=1),$A392,$A392+1),COLUMN('1-DATA'!Q390)),IF($B392="STD. DEVIATION",2,$F$1))))</f>
        <v/>
      </c>
      <c r="S392" s="1" t="str">
        <f>IF(OR($B392="",S$7=""),"",IF($B392="MEANS",INDEX('1-DATA'!$1:$1048576,$A391-1,COLUMN('1-DATA'!R390)),ROUND(INDEX('1-DATA'!$1:$1048576,IF(OR($B392="STD. DEVIATION",$C$1=1),$A392,$A392+1),COLUMN('1-DATA'!R390)),IF($B392="STD. DEVIATION",2,$F$1))))</f>
        <v/>
      </c>
      <c r="T392" s="1" t="str">
        <f>IF(OR($B392="",T$7=""),"",IF($B392="MEANS",INDEX('1-DATA'!$1:$1048576,$A391-1,COLUMN('1-DATA'!S390)),ROUND(INDEX('1-DATA'!$1:$1048576,IF(OR($B392="STD. DEVIATION",$C$1=1),$A392,$A392+1),COLUMN('1-DATA'!S390)),IF($B392="STD. DEVIATION",2,$F$1))))</f>
        <v/>
      </c>
      <c r="U392" s="1" t="str">
        <f>IF(OR($B392="",U$7=""),"",IF($B392="MEANS",INDEX('1-DATA'!$1:$1048576,$A391-1,COLUMN('1-DATA'!T390)),ROUND(INDEX('1-DATA'!$1:$1048576,IF(OR($B392="STD. DEVIATION",$C$1=1),$A392,$A392+1),COLUMN('1-DATA'!T390)),IF($B392="STD. DEVIATION",2,$F$1))))</f>
        <v/>
      </c>
      <c r="V392" s="1" t="str">
        <f>IF(OR($B392="",V$7=""),"",IF($B392="MEANS",INDEX('1-DATA'!$1:$1048576,$A391-1,COLUMN('1-DATA'!U390)),ROUND(INDEX('1-DATA'!$1:$1048576,IF(OR($B392="STD. DEVIATION",$C$1=1),$A392,$A392+1),COLUMN('1-DATA'!U390)),IF($B392="STD. DEVIATION",2,$F$1))))</f>
        <v/>
      </c>
      <c r="W392" s="1" t="str">
        <f>IF(OR($B392="",W$7=""),"",IF($B392="MEANS",INDEX('1-DATA'!$1:$1048576,$A391-1,COLUMN('1-DATA'!V390)),ROUND(INDEX('1-DATA'!$1:$1048576,IF(OR($B392="STD. DEVIATION",$C$1=1),$A392,$A392+1),COLUMN('1-DATA'!V390)),IF($B392="STD. DEVIATION",2,$F$1))))</f>
        <v/>
      </c>
      <c r="X392" s="1" t="str">
        <f>IF(OR($B392="",X$7=""),"",IF($B392="MEANS",INDEX('1-DATA'!$1:$1048576,$A391-1,COLUMN('1-DATA'!W390)),ROUND(INDEX('1-DATA'!$1:$1048576,IF(OR($B392="STD. DEVIATION",$C$1=1),$A392,$A392+1),COLUMN('1-DATA'!W390)),IF($B392="STD. DEVIATION",2,$F$1))))</f>
        <v/>
      </c>
      <c r="Y392" s="1" t="str">
        <f>IF(OR($B392="",Y$7=""),"",IF($B392="MEANS",INDEX('1-DATA'!$1:$1048576,$A391-1,COLUMN('1-DATA'!X390)),ROUND(INDEX('1-DATA'!$1:$1048576,IF(OR($B392="STD. DEVIATION",$C$1=1),$A392,$A392+1),COLUMN('1-DATA'!X390)),IF($B392="STD. DEVIATION",2,$F$1))))</f>
        <v/>
      </c>
      <c r="Z392" s="1" t="str">
        <f>IF(OR($B392="",Z$7=""),"",IF($B392="MEANS",INDEX('1-DATA'!$1:$1048576,$A391-1,COLUMN('1-DATA'!Y390)),ROUND(INDEX('1-DATA'!$1:$1048576,IF(OR($B392="STD. DEVIATION",$C$1=1),$A392,$A392+1),COLUMN('1-DATA'!Y390)),IF($B392="STD. DEVIATION",2,$F$1))))</f>
        <v/>
      </c>
      <c r="AA392" s="1" t="str">
        <f>IF(OR($B392="",AA$7=""),"",IF($B392="MEANS",INDEX('1-DATA'!$1:$1048576,$A391-1,COLUMN('1-DATA'!Z390)),ROUND(INDEX('1-DATA'!$1:$1048576,IF(OR($B392="STD. DEVIATION",$C$1=1),$A392,$A392+1),COLUMN('1-DATA'!Z390)),IF($B392="STD. DEVIATION",2,$F$1))))</f>
        <v/>
      </c>
      <c r="AB392" s="1" t="str">
        <f>IF(OR($B392="",AB$7=""),"",IF($B392="MEANS",INDEX('1-DATA'!$1:$1048576,$A391-1,COLUMN('1-DATA'!AA390)),ROUND(INDEX('1-DATA'!$1:$1048576,IF(OR($B392="STD. DEVIATION",$C$1=1),$A392,$A392+1),COLUMN('1-DATA'!AA390)),IF($B392="STD. DEVIATION",2,$F$1))))</f>
        <v/>
      </c>
      <c r="AC392" s="1" t="str">
        <f>IF(OR($B392="",AC$7=""),"",IF($B392="MEANS",INDEX('1-DATA'!$1:$1048576,$A391-1,COLUMN('1-DATA'!AB390)),ROUND(INDEX('1-DATA'!$1:$1048576,IF(OR($B392="STD. DEVIATION",$C$1=1),$A392,$A392+1),COLUMN('1-DATA'!AB390)),IF($B392="STD. DEVIATION",2,$F$1))))</f>
        <v/>
      </c>
      <c r="AD392" s="1" t="str">
        <f>IF(OR($B392="",AD$7=""),"",IF($B392="MEANS",INDEX('1-DATA'!$1:$1048576,$A391-1,COLUMN('1-DATA'!AC390)),ROUND(INDEX('1-DATA'!$1:$1048576,IF(OR($B392="STD. DEVIATION",$C$1=1),$A392,$A392+1),COLUMN('1-DATA'!AC390)),IF($B392="STD. DEVIATION",2,$F$1))))</f>
        <v/>
      </c>
      <c r="AE392" s="1" t="str">
        <f>IF(OR($B392="",AE$7=""),"",IF($B392="MEANS",INDEX('1-DATA'!$1:$1048576,$A391-1,COLUMN('1-DATA'!AD390)),ROUND(INDEX('1-DATA'!$1:$1048576,IF(OR($B392="STD. DEVIATION",$C$1=1),$A392,$A392+1),COLUMN('1-DATA'!AD390)),IF($B392="STD. DEVIATION",2,$F$1))))</f>
        <v/>
      </c>
      <c r="AF392" s="1" t="str">
        <f>IF(OR($B392="",AF$7=""),"",IF($B392="MEANS",INDEX('1-DATA'!$1:$1048576,$A391-1,COLUMN('1-DATA'!AE390)),ROUND(INDEX('1-DATA'!$1:$1048576,IF(OR($B392="STD. DEVIATION",$C$1=1),$A392,$A392+1),COLUMN('1-DATA'!AE390)),IF($B392="STD. DEVIATION",2,$F$1))))</f>
        <v/>
      </c>
      <c r="AG392" s="1" t="str">
        <f>IF(OR($B392="",AG$7=""),"",IF($B392="MEANS",INDEX('1-DATA'!$1:$1048576,$A391-1,COLUMN('1-DATA'!AF390)),ROUND(INDEX('1-DATA'!$1:$1048576,IF(OR($B392="STD. DEVIATION",$C$1=1),$A392,$A392+1),COLUMN('1-DATA'!AF390)),IF($B392="STD. DEVIATION",2,$F$1))))</f>
        <v/>
      </c>
      <c r="AH392" s="1" t="str">
        <f>IF(OR($B392="",AH$7=""),"",IF($B392="MEANS",INDEX('1-DATA'!$1:$1048576,$A391-1,COLUMN('1-DATA'!AG390)),ROUND(INDEX('1-DATA'!$1:$1048576,IF(OR($B392="STD. DEVIATION",$C$1=1),$A392,$A392+1),COLUMN('1-DATA'!AG390)),IF($B392="STD. DEVIATION",2,$F$1))))</f>
        <v/>
      </c>
      <c r="AI392" s="1" t="str">
        <f>IF(OR($B392="",AI$7=""),"",IF($B392="MEANS",INDEX('1-DATA'!$1:$1048576,$A391-1,COLUMN('1-DATA'!AH390)),ROUND(INDEX('1-DATA'!$1:$1048576,IF(OR($B392="STD. DEVIATION",$C$1=1),$A392,$A392+1),COLUMN('1-DATA'!AH390)),IF($B392="STD. DEVIATION",2,$F$1))))</f>
        <v/>
      </c>
      <c r="AJ392" s="1" t="str">
        <f>IF(OR($B392="",AJ$7=""),"",IF($B392="MEANS",INDEX('1-DATA'!$1:$1048576,$A391-1,COLUMN('1-DATA'!AI390)),ROUND(INDEX('1-DATA'!$1:$1048576,IF(OR($B392="STD. DEVIATION",$C$1=1),$A392,$A392+1),COLUMN('1-DATA'!AI390)),IF($B392="STD. DEVIATION",2,$F$1))))</f>
        <v/>
      </c>
      <c r="AK392" s="1" t="str">
        <f>IF(OR($B392="",AK$7=""),"",IF($B392="MEANS",INDEX('1-DATA'!$1:$1048576,$A391-1,COLUMN('1-DATA'!AJ390)),ROUND(INDEX('1-DATA'!$1:$1048576,IF(OR($B392="STD. DEVIATION",$C$1=1),$A392,$A392+1),COLUMN('1-DATA'!AJ390)),IF($B392="STD. DEVIATION",2,$F$1))))</f>
        <v/>
      </c>
      <c r="AL392" s="1" t="str">
        <f>IF(OR($B392="",AL$7=""),"",IF($B392="MEANS",INDEX('1-DATA'!$1:$1048576,$A391-1,COLUMN('1-DATA'!AK390)),ROUND(INDEX('1-DATA'!$1:$1048576,IF(OR($B392="STD. DEVIATION",$C$1=1),$A392,$A392+1),COLUMN('1-DATA'!AK390)),IF($B392="STD. DEVIATION",2,$F$1))))</f>
        <v/>
      </c>
      <c r="AM392" s="1" t="str">
        <f>IF(OR($B392="",AM$7=""),"",IF($B392="MEANS",INDEX('1-DATA'!$1:$1048576,$A391-1,COLUMN('1-DATA'!AL390)),ROUND(INDEX('1-DATA'!$1:$1048576,IF(OR($B392="STD. DEVIATION",$C$1=1),$A392,$A392+1),COLUMN('1-DATA'!AL390)),IF($B392="STD. DEVIATION",2,$F$1))))</f>
        <v/>
      </c>
      <c r="AN392" s="1" t="str">
        <f>IF(OR($B392="",AN$7=""),"",IF($B392="MEANS",INDEX('1-DATA'!$1:$1048576,$A391-1,COLUMN('1-DATA'!AM390)),ROUND(INDEX('1-DATA'!$1:$1048576,IF(OR($B392="STD. DEVIATION",$C$1=1),$A392,$A392+1),COLUMN('1-DATA'!AM390)),IF($B392="STD. DEVIATION",2,$F$1))))</f>
        <v/>
      </c>
      <c r="AO392" s="1" t="str">
        <f>IF(OR($B392="",AO$7=""),"",IF($B392="MEANS",INDEX('1-DATA'!$1:$1048576,$A391-1,COLUMN('1-DATA'!AN390)),ROUND(INDEX('1-DATA'!$1:$1048576,IF(OR($B392="STD. DEVIATION",$C$1=1),$A392,$A392+1),COLUMN('1-DATA'!AN390)),IF($B392="STD. DEVIATION",2,$F$1))))</f>
        <v/>
      </c>
      <c r="AP392" s="1" t="str">
        <f>IF(OR($B392="",AP$7=""),"",IF($B392="MEANS",INDEX('1-DATA'!$1:$1048576,$A391-1,COLUMN('1-DATA'!AO390)),ROUND(INDEX('1-DATA'!$1:$1048576,IF(OR($B392="STD. DEVIATION",$C$1=1),$A392,$A392+1),COLUMN('1-DATA'!AO390)),IF($B392="STD. DEVIATION",2,$F$1))))</f>
        <v/>
      </c>
      <c r="AQ392" s="1" t="str">
        <f>IF(OR($B392="",AQ$7=""),"",IF($B392="MEANS",INDEX('1-DATA'!$1:$1048576,$A391-1,COLUMN('1-DATA'!AP390)),ROUND(INDEX('1-DATA'!$1:$1048576,IF(OR($B392="STD. DEVIATION",$C$1=1),$A392,$A392+1),COLUMN('1-DATA'!AP390)),IF($B392="STD. DEVIATION",2,$F$1))))</f>
        <v/>
      </c>
      <c r="AR392" s="1" t="str">
        <f>IF(OR($B392="",AR$7=""),"",IF($B392="MEANS",INDEX('1-DATA'!$1:$1048576,$A391-1,COLUMN('1-DATA'!AQ390)),ROUND(INDEX('1-DATA'!$1:$1048576,IF(OR($B392="STD. DEVIATION",$C$1=1),$A392,$A392+1),COLUMN('1-DATA'!AQ390)),IF($B392="STD. DEVIATION",2,$F$1))))</f>
        <v/>
      </c>
      <c r="AS392" s="1" t="str">
        <f>IF(OR($B392="",AS$7=""),"",IF($B392="MEANS",INDEX('1-DATA'!$1:$1048576,$A391-1,COLUMN('1-DATA'!AR390)),ROUND(INDEX('1-DATA'!$1:$1048576,IF(OR($B392="STD. DEVIATION",$C$1=1),$A392,$A392+1),COLUMN('1-DATA'!AR390)),IF($B392="STD. DEVIATION",2,$F$1))))</f>
        <v/>
      </c>
      <c r="AT392" s="1" t="str">
        <f>IF(OR($B392="",AT$7=""),"",IF($B392="MEANS",INDEX('1-DATA'!$1:$1048576,$A391-1,COLUMN('1-DATA'!AS390)),ROUND(INDEX('1-DATA'!$1:$1048576,IF(OR($B392="STD. DEVIATION",$C$1=1),$A392,$A392+1),COLUMN('1-DATA'!AS390)),IF($B392="STD. DEVIATION",2,$F$1))))</f>
        <v/>
      </c>
      <c r="AU392" s="1" t="str">
        <f>IF(OR($B392="",AU$7=""),"",IF($B392="MEANS",INDEX('1-DATA'!$1:$1048576,$A391-1,COLUMN('1-DATA'!AT390)),ROUND(INDEX('1-DATA'!$1:$1048576,IF(OR($B392="STD. DEVIATION",$C$1=1),$A392,$A392+1),COLUMN('1-DATA'!AT390)),IF($B392="STD. DEVIATION",2,$F$1))))</f>
        <v/>
      </c>
      <c r="AV392" s="1" t="str">
        <f>IF(OR($B392="",AV$7=""),"",IF($B392="MEANS",INDEX('1-DATA'!$1:$1048576,$A391-1,COLUMN('1-DATA'!AU390)),ROUND(INDEX('1-DATA'!$1:$1048576,IF(OR($B392="STD. DEVIATION",$C$1=1),$A392,$A392+1),COLUMN('1-DATA'!AU390)),IF($B392="STD. DEVIATION",2,$F$1))))</f>
        <v/>
      </c>
      <c r="AW392" s="1" t="str">
        <f>IF(OR($B392="",AW$7=""),"",IF($B392="MEANS",INDEX('1-DATA'!$1:$1048576,$A391-1,COLUMN('1-DATA'!AV390)),ROUND(INDEX('1-DATA'!$1:$1048576,IF(OR($B392="STD. DEVIATION",$C$1=1),$A392,$A392+1),COLUMN('1-DATA'!AV390)),IF($B392="STD. DEVIATION",2,$F$1))))</f>
        <v/>
      </c>
      <c r="AX392" s="1" t="str">
        <f>IF(OR($B392="",AX$7=""),"",IF($B392="MEANS",INDEX('1-DATA'!$1:$1048576,$A391-1,COLUMN('1-DATA'!AW390)),ROUND(INDEX('1-DATA'!$1:$1048576,IF(OR($B392="STD. DEVIATION",$C$1=1),$A392,$A392+1),COLUMN('1-DATA'!AW390)),IF($B392="STD. DEVIATION",2,$F$1))))</f>
        <v/>
      </c>
      <c r="AY392" s="1" t="str">
        <f>IF(OR($B392="",AY$7=""),"",IF($B392="MEANS",INDEX('1-DATA'!$1:$1048576,$A391-1,COLUMN('1-DATA'!AX390)),ROUND(INDEX('1-DATA'!$1:$1048576,IF(OR($B392="STD. DEVIATION",$C$1=1),$A392,$A392+1),COLUMN('1-DATA'!AX390)),IF($B392="STD. DEVIATION",2,$F$1))))</f>
        <v/>
      </c>
      <c r="AZ392" s="1" t="str">
        <f>IF(OR($B392="",AZ$7=""),"",IF($B392="MEANS",INDEX('1-DATA'!$1:$1048576,$A391-1,COLUMN('1-DATA'!AY390)),ROUND(INDEX('1-DATA'!$1:$1048576,IF(OR($B392="STD. DEVIATION",$C$1=1),$A392,$A392+1),COLUMN('1-DATA'!AY390)),IF($B392="STD. DEVIATION",2,$F$1))))</f>
        <v/>
      </c>
    </row>
    <row r="393" spans="1:52" x14ac:dyDescent="0.25">
      <c r="A393" s="11">
        <f t="shared" si="6"/>
        <v>1165</v>
      </c>
      <c r="B393" s="1" t="str">
        <f>IF(B392="STD. DEVIATION",INDEX('1-DATA'!$1:$1048576,$A392-1,1),IF(INDEX('1-DATA'!$1:$1048576,$A393,1)&lt;&gt;"",INDEX('1-DATA'!$1:$1048576,$A393,1),""))</f>
        <v/>
      </c>
      <c r="C393" s="1" t="str">
        <f>IF(OR($B393="",C$7=""),"",IF($B393="MEANS",INDEX('1-DATA'!$1:$1048576,$A392-1,COLUMN('1-DATA'!B391)),ROUND(INDEX('1-DATA'!$1:$1048576,IF(OR($B393="STD. DEVIATION",$C$1=1),$A393,$A393+1),COLUMN('1-DATA'!B391)),IF($B393="STD. DEVIATION",2,$F$1))))</f>
        <v/>
      </c>
      <c r="D393" s="1" t="str">
        <f>IF(OR($B393="",D$7=""),"",IF($B393="MEANS",INDEX('1-DATA'!$1:$1048576,$A392-1,COLUMN('1-DATA'!C391)),ROUND(INDEX('1-DATA'!$1:$1048576,IF(OR($B393="STD. DEVIATION",$C$1=1),$A393,$A393+1),COLUMN('1-DATA'!C391)),IF($B393="STD. DEVIATION",2,$F$1))))</f>
        <v/>
      </c>
      <c r="E393" s="1" t="str">
        <f>IF(OR($B393="",E$7=""),"",IF($B393="MEANS",INDEX('1-DATA'!$1:$1048576,$A392-1,COLUMN('1-DATA'!D391)),ROUND(INDEX('1-DATA'!$1:$1048576,IF(OR($B393="STD. DEVIATION",$C$1=1),$A393,$A393+1),COLUMN('1-DATA'!D391)),IF($B393="STD. DEVIATION",2,$F$1))))</f>
        <v/>
      </c>
      <c r="F393" s="1" t="str">
        <f>IF(OR($B393="",F$7=""),"",IF($B393="MEANS",INDEX('1-DATA'!$1:$1048576,$A392-1,COLUMN('1-DATA'!E391)),ROUND(INDEX('1-DATA'!$1:$1048576,IF(OR($B393="STD. DEVIATION",$C$1=1),$A393,$A393+1),COLUMN('1-DATA'!E391)),IF($B393="STD. DEVIATION",2,$F$1))))</f>
        <v/>
      </c>
      <c r="G393" s="1" t="str">
        <f>IF(OR($B393="",G$7=""),"",IF($B393="MEANS",INDEX('1-DATA'!$1:$1048576,$A392-1,COLUMN('1-DATA'!F391)),ROUND(INDEX('1-DATA'!$1:$1048576,IF(OR($B393="STD. DEVIATION",$C$1=1),$A393,$A393+1),COLUMN('1-DATA'!F391)),IF($B393="STD. DEVIATION",2,$F$1))))</f>
        <v/>
      </c>
      <c r="H393" s="1" t="str">
        <f>IF(OR($B393="",H$7=""),"",IF($B393="MEANS",INDEX('1-DATA'!$1:$1048576,$A392-1,COLUMN('1-DATA'!G391)),ROUND(INDEX('1-DATA'!$1:$1048576,IF(OR($B393="STD. DEVIATION",$C$1=1),$A393,$A393+1),COLUMN('1-DATA'!G391)),IF($B393="STD. DEVIATION",2,$F$1))))</f>
        <v/>
      </c>
      <c r="I393" s="1" t="str">
        <f>IF(OR($B393="",I$7=""),"",IF($B393="MEANS",INDEX('1-DATA'!$1:$1048576,$A392-1,COLUMN('1-DATA'!H391)),ROUND(INDEX('1-DATA'!$1:$1048576,IF(OR($B393="STD. DEVIATION",$C$1=1),$A393,$A393+1),COLUMN('1-DATA'!H391)),IF($B393="STD. DEVIATION",2,$F$1))))</f>
        <v/>
      </c>
      <c r="J393" s="1" t="str">
        <f>IF(OR($B393="",J$7=""),"",IF($B393="MEANS",INDEX('1-DATA'!$1:$1048576,$A392-1,COLUMN('1-DATA'!I391)),ROUND(INDEX('1-DATA'!$1:$1048576,IF(OR($B393="STD. DEVIATION",$C$1=1),$A393,$A393+1),COLUMN('1-DATA'!I391)),IF($B393="STD. DEVIATION",2,$F$1))))</f>
        <v/>
      </c>
      <c r="K393" s="1" t="str">
        <f>IF(OR($B393="",K$7=""),"",IF($B393="MEANS",INDEX('1-DATA'!$1:$1048576,$A392-1,COLUMN('1-DATA'!J391)),ROUND(INDEX('1-DATA'!$1:$1048576,IF(OR($B393="STD. DEVIATION",$C$1=1),$A393,$A393+1),COLUMN('1-DATA'!J391)),IF($B393="STD. DEVIATION",2,$F$1))))</f>
        <v/>
      </c>
      <c r="L393" s="1" t="str">
        <f>IF(OR($B393="",L$7=""),"",IF($B393="MEANS",INDEX('1-DATA'!$1:$1048576,$A392-1,COLUMN('1-DATA'!K391)),ROUND(INDEX('1-DATA'!$1:$1048576,IF(OR($B393="STD. DEVIATION",$C$1=1),$A393,$A393+1),COLUMN('1-DATA'!K391)),IF($B393="STD. DEVIATION",2,$F$1))))</f>
        <v/>
      </c>
      <c r="M393" s="1" t="str">
        <f>IF(OR($B393="",M$7=""),"",IF($B393="MEANS",INDEX('1-DATA'!$1:$1048576,$A392-1,COLUMN('1-DATA'!L391)),ROUND(INDEX('1-DATA'!$1:$1048576,IF(OR($B393="STD. DEVIATION",$C$1=1),$A393,$A393+1),COLUMN('1-DATA'!L391)),IF($B393="STD. DEVIATION",2,$F$1))))</f>
        <v/>
      </c>
      <c r="N393" s="1" t="str">
        <f>IF(OR($B393="",N$7=""),"",IF($B393="MEANS",INDEX('1-DATA'!$1:$1048576,$A392-1,COLUMN('1-DATA'!M391)),ROUND(INDEX('1-DATA'!$1:$1048576,IF(OR($B393="STD. DEVIATION",$C$1=1),$A393,$A393+1),COLUMN('1-DATA'!M391)),IF($B393="STD. DEVIATION",2,$F$1))))</f>
        <v/>
      </c>
      <c r="O393" s="1" t="str">
        <f>IF(OR($B393="",O$7=""),"",IF($B393="MEANS",INDEX('1-DATA'!$1:$1048576,$A392-1,COLUMN('1-DATA'!N391)),ROUND(INDEX('1-DATA'!$1:$1048576,IF(OR($B393="STD. DEVIATION",$C$1=1),$A393,$A393+1),COLUMN('1-DATA'!N391)),IF($B393="STD. DEVIATION",2,$F$1))))</f>
        <v/>
      </c>
      <c r="P393" s="1" t="str">
        <f>IF(OR($B393="",P$7=""),"",IF($B393="MEANS",INDEX('1-DATA'!$1:$1048576,$A392-1,COLUMN('1-DATA'!O391)),ROUND(INDEX('1-DATA'!$1:$1048576,IF(OR($B393="STD. DEVIATION",$C$1=1),$A393,$A393+1),COLUMN('1-DATA'!O391)),IF($B393="STD. DEVIATION",2,$F$1))))</f>
        <v/>
      </c>
      <c r="Q393" s="1" t="str">
        <f>IF(OR($B393="",Q$7=""),"",IF($B393="MEANS",INDEX('1-DATA'!$1:$1048576,$A392-1,COLUMN('1-DATA'!P391)),ROUND(INDEX('1-DATA'!$1:$1048576,IF(OR($B393="STD. DEVIATION",$C$1=1),$A393,$A393+1),COLUMN('1-DATA'!P391)),IF($B393="STD. DEVIATION",2,$F$1))))</f>
        <v/>
      </c>
      <c r="R393" s="1" t="str">
        <f>IF(OR($B393="",R$7=""),"",IF($B393="MEANS",INDEX('1-DATA'!$1:$1048576,$A392-1,COLUMN('1-DATA'!Q391)),ROUND(INDEX('1-DATA'!$1:$1048576,IF(OR($B393="STD. DEVIATION",$C$1=1),$A393,$A393+1),COLUMN('1-DATA'!Q391)),IF($B393="STD. DEVIATION",2,$F$1))))</f>
        <v/>
      </c>
      <c r="S393" s="1" t="str">
        <f>IF(OR($B393="",S$7=""),"",IF($B393="MEANS",INDEX('1-DATA'!$1:$1048576,$A392-1,COLUMN('1-DATA'!R391)),ROUND(INDEX('1-DATA'!$1:$1048576,IF(OR($B393="STD. DEVIATION",$C$1=1),$A393,$A393+1),COLUMN('1-DATA'!R391)),IF($B393="STD. DEVIATION",2,$F$1))))</f>
        <v/>
      </c>
      <c r="T393" s="1" t="str">
        <f>IF(OR($B393="",T$7=""),"",IF($B393="MEANS",INDEX('1-DATA'!$1:$1048576,$A392-1,COLUMN('1-DATA'!S391)),ROUND(INDEX('1-DATA'!$1:$1048576,IF(OR($B393="STD. DEVIATION",$C$1=1),$A393,$A393+1),COLUMN('1-DATA'!S391)),IF($B393="STD. DEVIATION",2,$F$1))))</f>
        <v/>
      </c>
      <c r="U393" s="1" t="str">
        <f>IF(OR($B393="",U$7=""),"",IF($B393="MEANS",INDEX('1-DATA'!$1:$1048576,$A392-1,COLUMN('1-DATA'!T391)),ROUND(INDEX('1-DATA'!$1:$1048576,IF(OR($B393="STD. DEVIATION",$C$1=1),$A393,$A393+1),COLUMN('1-DATA'!T391)),IF($B393="STD. DEVIATION",2,$F$1))))</f>
        <v/>
      </c>
      <c r="V393" s="1" t="str">
        <f>IF(OR($B393="",V$7=""),"",IF($B393="MEANS",INDEX('1-DATA'!$1:$1048576,$A392-1,COLUMN('1-DATA'!U391)),ROUND(INDEX('1-DATA'!$1:$1048576,IF(OR($B393="STD. DEVIATION",$C$1=1),$A393,$A393+1),COLUMN('1-DATA'!U391)),IF($B393="STD. DEVIATION",2,$F$1))))</f>
        <v/>
      </c>
      <c r="W393" s="1" t="str">
        <f>IF(OR($B393="",W$7=""),"",IF($B393="MEANS",INDEX('1-DATA'!$1:$1048576,$A392-1,COLUMN('1-DATA'!V391)),ROUND(INDEX('1-DATA'!$1:$1048576,IF(OR($B393="STD. DEVIATION",$C$1=1),$A393,$A393+1),COLUMN('1-DATA'!V391)),IF($B393="STD. DEVIATION",2,$F$1))))</f>
        <v/>
      </c>
      <c r="X393" s="1" t="str">
        <f>IF(OR($B393="",X$7=""),"",IF($B393="MEANS",INDEX('1-DATA'!$1:$1048576,$A392-1,COLUMN('1-DATA'!W391)),ROUND(INDEX('1-DATA'!$1:$1048576,IF(OR($B393="STD. DEVIATION",$C$1=1),$A393,$A393+1),COLUMN('1-DATA'!W391)),IF($B393="STD. DEVIATION",2,$F$1))))</f>
        <v/>
      </c>
      <c r="Y393" s="1" t="str">
        <f>IF(OR($B393="",Y$7=""),"",IF($B393="MEANS",INDEX('1-DATA'!$1:$1048576,$A392-1,COLUMN('1-DATA'!X391)),ROUND(INDEX('1-DATA'!$1:$1048576,IF(OR($B393="STD. DEVIATION",$C$1=1),$A393,$A393+1),COLUMN('1-DATA'!X391)),IF($B393="STD. DEVIATION",2,$F$1))))</f>
        <v/>
      </c>
      <c r="Z393" s="1" t="str">
        <f>IF(OR($B393="",Z$7=""),"",IF($B393="MEANS",INDEX('1-DATA'!$1:$1048576,$A392-1,COLUMN('1-DATA'!Y391)),ROUND(INDEX('1-DATA'!$1:$1048576,IF(OR($B393="STD. DEVIATION",$C$1=1),$A393,$A393+1),COLUMN('1-DATA'!Y391)),IF($B393="STD. DEVIATION",2,$F$1))))</f>
        <v/>
      </c>
      <c r="AA393" s="1" t="str">
        <f>IF(OR($B393="",AA$7=""),"",IF($B393="MEANS",INDEX('1-DATA'!$1:$1048576,$A392-1,COLUMN('1-DATA'!Z391)),ROUND(INDEX('1-DATA'!$1:$1048576,IF(OR($B393="STD. DEVIATION",$C$1=1),$A393,$A393+1),COLUMN('1-DATA'!Z391)),IF($B393="STD. DEVIATION",2,$F$1))))</f>
        <v/>
      </c>
      <c r="AB393" s="1" t="str">
        <f>IF(OR($B393="",AB$7=""),"",IF($B393="MEANS",INDEX('1-DATA'!$1:$1048576,$A392-1,COLUMN('1-DATA'!AA391)),ROUND(INDEX('1-DATA'!$1:$1048576,IF(OR($B393="STD. DEVIATION",$C$1=1),$A393,$A393+1),COLUMN('1-DATA'!AA391)),IF($B393="STD. DEVIATION",2,$F$1))))</f>
        <v/>
      </c>
      <c r="AC393" s="1" t="str">
        <f>IF(OR($B393="",AC$7=""),"",IF($B393="MEANS",INDEX('1-DATA'!$1:$1048576,$A392-1,COLUMN('1-DATA'!AB391)),ROUND(INDEX('1-DATA'!$1:$1048576,IF(OR($B393="STD. DEVIATION",$C$1=1),$A393,$A393+1),COLUMN('1-DATA'!AB391)),IF($B393="STD. DEVIATION",2,$F$1))))</f>
        <v/>
      </c>
      <c r="AD393" s="1" t="str">
        <f>IF(OR($B393="",AD$7=""),"",IF($B393="MEANS",INDEX('1-DATA'!$1:$1048576,$A392-1,COLUMN('1-DATA'!AC391)),ROUND(INDEX('1-DATA'!$1:$1048576,IF(OR($B393="STD. DEVIATION",$C$1=1),$A393,$A393+1),COLUMN('1-DATA'!AC391)),IF($B393="STD. DEVIATION",2,$F$1))))</f>
        <v/>
      </c>
      <c r="AE393" s="1" t="str">
        <f>IF(OR($B393="",AE$7=""),"",IF($B393="MEANS",INDEX('1-DATA'!$1:$1048576,$A392-1,COLUMN('1-DATA'!AD391)),ROUND(INDEX('1-DATA'!$1:$1048576,IF(OR($B393="STD. DEVIATION",$C$1=1),$A393,$A393+1),COLUMN('1-DATA'!AD391)),IF($B393="STD. DEVIATION",2,$F$1))))</f>
        <v/>
      </c>
      <c r="AF393" s="1" t="str">
        <f>IF(OR($B393="",AF$7=""),"",IF($B393="MEANS",INDEX('1-DATA'!$1:$1048576,$A392-1,COLUMN('1-DATA'!AE391)),ROUND(INDEX('1-DATA'!$1:$1048576,IF(OR($B393="STD. DEVIATION",$C$1=1),$A393,$A393+1),COLUMN('1-DATA'!AE391)),IF($B393="STD. DEVIATION",2,$F$1))))</f>
        <v/>
      </c>
      <c r="AG393" s="1" t="str">
        <f>IF(OR($B393="",AG$7=""),"",IF($B393="MEANS",INDEX('1-DATA'!$1:$1048576,$A392-1,COLUMN('1-DATA'!AF391)),ROUND(INDEX('1-DATA'!$1:$1048576,IF(OR($B393="STD. DEVIATION",$C$1=1),$A393,$A393+1),COLUMN('1-DATA'!AF391)),IF($B393="STD. DEVIATION",2,$F$1))))</f>
        <v/>
      </c>
      <c r="AH393" s="1" t="str">
        <f>IF(OR($B393="",AH$7=""),"",IF($B393="MEANS",INDEX('1-DATA'!$1:$1048576,$A392-1,COLUMN('1-DATA'!AG391)),ROUND(INDEX('1-DATA'!$1:$1048576,IF(OR($B393="STD. DEVIATION",$C$1=1),$A393,$A393+1),COLUMN('1-DATA'!AG391)),IF($B393="STD. DEVIATION",2,$F$1))))</f>
        <v/>
      </c>
      <c r="AI393" s="1" t="str">
        <f>IF(OR($B393="",AI$7=""),"",IF($B393="MEANS",INDEX('1-DATA'!$1:$1048576,$A392-1,COLUMN('1-DATA'!AH391)),ROUND(INDEX('1-DATA'!$1:$1048576,IF(OR($B393="STD. DEVIATION",$C$1=1),$A393,$A393+1),COLUMN('1-DATA'!AH391)),IF($B393="STD. DEVIATION",2,$F$1))))</f>
        <v/>
      </c>
      <c r="AJ393" s="1" t="str">
        <f>IF(OR($B393="",AJ$7=""),"",IF($B393="MEANS",INDEX('1-DATA'!$1:$1048576,$A392-1,COLUMN('1-DATA'!AI391)),ROUND(INDEX('1-DATA'!$1:$1048576,IF(OR($B393="STD. DEVIATION",$C$1=1),$A393,$A393+1),COLUMN('1-DATA'!AI391)),IF($B393="STD. DEVIATION",2,$F$1))))</f>
        <v/>
      </c>
      <c r="AK393" s="1" t="str">
        <f>IF(OR($B393="",AK$7=""),"",IF($B393="MEANS",INDEX('1-DATA'!$1:$1048576,$A392-1,COLUMN('1-DATA'!AJ391)),ROUND(INDEX('1-DATA'!$1:$1048576,IF(OR($B393="STD. DEVIATION",$C$1=1),$A393,$A393+1),COLUMN('1-DATA'!AJ391)),IF($B393="STD. DEVIATION",2,$F$1))))</f>
        <v/>
      </c>
      <c r="AL393" s="1" t="str">
        <f>IF(OR($B393="",AL$7=""),"",IF($B393="MEANS",INDEX('1-DATA'!$1:$1048576,$A392-1,COLUMN('1-DATA'!AK391)),ROUND(INDEX('1-DATA'!$1:$1048576,IF(OR($B393="STD. DEVIATION",$C$1=1),$A393,$A393+1),COLUMN('1-DATA'!AK391)),IF($B393="STD. DEVIATION",2,$F$1))))</f>
        <v/>
      </c>
      <c r="AM393" s="1" t="str">
        <f>IF(OR($B393="",AM$7=""),"",IF($B393="MEANS",INDEX('1-DATA'!$1:$1048576,$A392-1,COLUMN('1-DATA'!AL391)),ROUND(INDEX('1-DATA'!$1:$1048576,IF(OR($B393="STD. DEVIATION",$C$1=1),$A393,$A393+1),COLUMN('1-DATA'!AL391)),IF($B393="STD. DEVIATION",2,$F$1))))</f>
        <v/>
      </c>
      <c r="AN393" s="1" t="str">
        <f>IF(OR($B393="",AN$7=""),"",IF($B393="MEANS",INDEX('1-DATA'!$1:$1048576,$A392-1,COLUMN('1-DATA'!AM391)),ROUND(INDEX('1-DATA'!$1:$1048576,IF(OR($B393="STD. DEVIATION",$C$1=1),$A393,$A393+1),COLUMN('1-DATA'!AM391)),IF($B393="STD. DEVIATION",2,$F$1))))</f>
        <v/>
      </c>
      <c r="AO393" s="1" t="str">
        <f>IF(OR($B393="",AO$7=""),"",IF($B393="MEANS",INDEX('1-DATA'!$1:$1048576,$A392-1,COLUMN('1-DATA'!AN391)),ROUND(INDEX('1-DATA'!$1:$1048576,IF(OR($B393="STD. DEVIATION",$C$1=1),$A393,$A393+1),COLUMN('1-DATA'!AN391)),IF($B393="STD. DEVIATION",2,$F$1))))</f>
        <v/>
      </c>
      <c r="AP393" s="1" t="str">
        <f>IF(OR($B393="",AP$7=""),"",IF($B393="MEANS",INDEX('1-DATA'!$1:$1048576,$A392-1,COLUMN('1-DATA'!AO391)),ROUND(INDEX('1-DATA'!$1:$1048576,IF(OR($B393="STD. DEVIATION",$C$1=1),$A393,$A393+1),COLUMN('1-DATA'!AO391)),IF($B393="STD. DEVIATION",2,$F$1))))</f>
        <v/>
      </c>
      <c r="AQ393" s="1" t="str">
        <f>IF(OR($B393="",AQ$7=""),"",IF($B393="MEANS",INDEX('1-DATA'!$1:$1048576,$A392-1,COLUMN('1-DATA'!AP391)),ROUND(INDEX('1-DATA'!$1:$1048576,IF(OR($B393="STD. DEVIATION",$C$1=1),$A393,$A393+1),COLUMN('1-DATA'!AP391)),IF($B393="STD. DEVIATION",2,$F$1))))</f>
        <v/>
      </c>
      <c r="AR393" s="1" t="str">
        <f>IF(OR($B393="",AR$7=""),"",IF($B393="MEANS",INDEX('1-DATA'!$1:$1048576,$A392-1,COLUMN('1-DATA'!AQ391)),ROUND(INDEX('1-DATA'!$1:$1048576,IF(OR($B393="STD. DEVIATION",$C$1=1),$A393,$A393+1),COLUMN('1-DATA'!AQ391)),IF($B393="STD. DEVIATION",2,$F$1))))</f>
        <v/>
      </c>
      <c r="AS393" s="1" t="str">
        <f>IF(OR($B393="",AS$7=""),"",IF($B393="MEANS",INDEX('1-DATA'!$1:$1048576,$A392-1,COLUMN('1-DATA'!AR391)),ROUND(INDEX('1-DATA'!$1:$1048576,IF(OR($B393="STD. DEVIATION",$C$1=1),$A393,$A393+1),COLUMN('1-DATA'!AR391)),IF($B393="STD. DEVIATION",2,$F$1))))</f>
        <v/>
      </c>
      <c r="AT393" s="1" t="str">
        <f>IF(OR($B393="",AT$7=""),"",IF($B393="MEANS",INDEX('1-DATA'!$1:$1048576,$A392-1,COLUMN('1-DATA'!AS391)),ROUND(INDEX('1-DATA'!$1:$1048576,IF(OR($B393="STD. DEVIATION",$C$1=1),$A393,$A393+1),COLUMN('1-DATA'!AS391)),IF($B393="STD. DEVIATION",2,$F$1))))</f>
        <v/>
      </c>
      <c r="AU393" s="1" t="str">
        <f>IF(OR($B393="",AU$7=""),"",IF($B393="MEANS",INDEX('1-DATA'!$1:$1048576,$A392-1,COLUMN('1-DATA'!AT391)),ROUND(INDEX('1-DATA'!$1:$1048576,IF(OR($B393="STD. DEVIATION",$C$1=1),$A393,$A393+1),COLUMN('1-DATA'!AT391)),IF($B393="STD. DEVIATION",2,$F$1))))</f>
        <v/>
      </c>
      <c r="AV393" s="1" t="str">
        <f>IF(OR($B393="",AV$7=""),"",IF($B393="MEANS",INDEX('1-DATA'!$1:$1048576,$A392-1,COLUMN('1-DATA'!AU391)),ROUND(INDEX('1-DATA'!$1:$1048576,IF(OR($B393="STD. DEVIATION",$C$1=1),$A393,$A393+1),COLUMN('1-DATA'!AU391)),IF($B393="STD. DEVIATION",2,$F$1))))</f>
        <v/>
      </c>
      <c r="AW393" s="1" t="str">
        <f>IF(OR($B393="",AW$7=""),"",IF($B393="MEANS",INDEX('1-DATA'!$1:$1048576,$A392-1,COLUMN('1-DATA'!AV391)),ROUND(INDEX('1-DATA'!$1:$1048576,IF(OR($B393="STD. DEVIATION",$C$1=1),$A393,$A393+1),COLUMN('1-DATA'!AV391)),IF($B393="STD. DEVIATION",2,$F$1))))</f>
        <v/>
      </c>
      <c r="AX393" s="1" t="str">
        <f>IF(OR($B393="",AX$7=""),"",IF($B393="MEANS",INDEX('1-DATA'!$1:$1048576,$A392-1,COLUMN('1-DATA'!AW391)),ROUND(INDEX('1-DATA'!$1:$1048576,IF(OR($B393="STD. DEVIATION",$C$1=1),$A393,$A393+1),COLUMN('1-DATA'!AW391)),IF($B393="STD. DEVIATION",2,$F$1))))</f>
        <v/>
      </c>
      <c r="AY393" s="1" t="str">
        <f>IF(OR($B393="",AY$7=""),"",IF($B393="MEANS",INDEX('1-DATA'!$1:$1048576,$A392-1,COLUMN('1-DATA'!AX391)),ROUND(INDEX('1-DATA'!$1:$1048576,IF(OR($B393="STD. DEVIATION",$C$1=1),$A393,$A393+1),COLUMN('1-DATA'!AX391)),IF($B393="STD. DEVIATION",2,$F$1))))</f>
        <v/>
      </c>
      <c r="AZ393" s="1" t="str">
        <f>IF(OR($B393="",AZ$7=""),"",IF($B393="MEANS",INDEX('1-DATA'!$1:$1048576,$A392-1,COLUMN('1-DATA'!AY391)),ROUND(INDEX('1-DATA'!$1:$1048576,IF(OR($B393="STD. DEVIATION",$C$1=1),$A393,$A393+1),COLUMN('1-DATA'!AY391)),IF($B393="STD. DEVIATION",2,$F$1))))</f>
        <v/>
      </c>
    </row>
    <row r="394" spans="1:52" x14ac:dyDescent="0.25">
      <c r="A394" s="11">
        <f t="shared" si="6"/>
        <v>1168</v>
      </c>
      <c r="B394" s="1" t="str">
        <f>IF(B393="STD. DEVIATION",INDEX('1-DATA'!$1:$1048576,$A393-1,1),IF(INDEX('1-DATA'!$1:$1048576,$A394,1)&lt;&gt;"",INDEX('1-DATA'!$1:$1048576,$A394,1),""))</f>
        <v/>
      </c>
      <c r="C394" s="1" t="str">
        <f>IF(OR($B394="",C$7=""),"",IF($B394="MEANS",INDEX('1-DATA'!$1:$1048576,$A393-1,COLUMN('1-DATA'!B392)),ROUND(INDEX('1-DATA'!$1:$1048576,IF(OR($B394="STD. DEVIATION",$C$1=1),$A394,$A394+1),COLUMN('1-DATA'!B392)),IF($B394="STD. DEVIATION",2,$F$1))))</f>
        <v/>
      </c>
      <c r="D394" s="1" t="str">
        <f>IF(OR($B394="",D$7=""),"",IF($B394="MEANS",INDEX('1-DATA'!$1:$1048576,$A393-1,COLUMN('1-DATA'!C392)),ROUND(INDEX('1-DATA'!$1:$1048576,IF(OR($B394="STD. DEVIATION",$C$1=1),$A394,$A394+1),COLUMN('1-DATA'!C392)),IF($B394="STD. DEVIATION",2,$F$1))))</f>
        <v/>
      </c>
      <c r="E394" s="1" t="str">
        <f>IF(OR($B394="",E$7=""),"",IF($B394="MEANS",INDEX('1-DATA'!$1:$1048576,$A393-1,COLUMN('1-DATA'!D392)),ROUND(INDEX('1-DATA'!$1:$1048576,IF(OR($B394="STD. DEVIATION",$C$1=1),$A394,$A394+1),COLUMN('1-DATA'!D392)),IF($B394="STD. DEVIATION",2,$F$1))))</f>
        <v/>
      </c>
      <c r="F394" s="1" t="str">
        <f>IF(OR($B394="",F$7=""),"",IF($B394="MEANS",INDEX('1-DATA'!$1:$1048576,$A393-1,COLUMN('1-DATA'!E392)),ROUND(INDEX('1-DATA'!$1:$1048576,IF(OR($B394="STD. DEVIATION",$C$1=1),$A394,$A394+1),COLUMN('1-DATA'!E392)),IF($B394="STD. DEVIATION",2,$F$1))))</f>
        <v/>
      </c>
      <c r="G394" s="1" t="str">
        <f>IF(OR($B394="",G$7=""),"",IF($B394="MEANS",INDEX('1-DATA'!$1:$1048576,$A393-1,COLUMN('1-DATA'!F392)),ROUND(INDEX('1-DATA'!$1:$1048576,IF(OR($B394="STD. DEVIATION",$C$1=1),$A394,$A394+1),COLUMN('1-DATA'!F392)),IF($B394="STD. DEVIATION",2,$F$1))))</f>
        <v/>
      </c>
      <c r="H394" s="1" t="str">
        <f>IF(OR($B394="",H$7=""),"",IF($B394="MEANS",INDEX('1-DATA'!$1:$1048576,$A393-1,COLUMN('1-DATA'!G392)),ROUND(INDEX('1-DATA'!$1:$1048576,IF(OR($B394="STD. DEVIATION",$C$1=1),$A394,$A394+1),COLUMN('1-DATA'!G392)),IF($B394="STD. DEVIATION",2,$F$1))))</f>
        <v/>
      </c>
      <c r="I394" s="1" t="str">
        <f>IF(OR($B394="",I$7=""),"",IF($B394="MEANS",INDEX('1-DATA'!$1:$1048576,$A393-1,COLUMN('1-DATA'!H392)),ROUND(INDEX('1-DATA'!$1:$1048576,IF(OR($B394="STD. DEVIATION",$C$1=1),$A394,$A394+1),COLUMN('1-DATA'!H392)),IF($B394="STD. DEVIATION",2,$F$1))))</f>
        <v/>
      </c>
      <c r="J394" s="1" t="str">
        <f>IF(OR($B394="",J$7=""),"",IF($B394="MEANS",INDEX('1-DATA'!$1:$1048576,$A393-1,COLUMN('1-DATA'!I392)),ROUND(INDEX('1-DATA'!$1:$1048576,IF(OR($B394="STD. DEVIATION",$C$1=1),$A394,$A394+1),COLUMN('1-DATA'!I392)),IF($B394="STD. DEVIATION",2,$F$1))))</f>
        <v/>
      </c>
      <c r="K394" s="1" t="str">
        <f>IF(OR($B394="",K$7=""),"",IF($B394="MEANS",INDEX('1-DATA'!$1:$1048576,$A393-1,COLUMN('1-DATA'!J392)),ROUND(INDEX('1-DATA'!$1:$1048576,IF(OR($B394="STD. DEVIATION",$C$1=1),$A394,$A394+1),COLUMN('1-DATA'!J392)),IF($B394="STD. DEVIATION",2,$F$1))))</f>
        <v/>
      </c>
      <c r="L394" s="1" t="str">
        <f>IF(OR($B394="",L$7=""),"",IF($B394="MEANS",INDEX('1-DATA'!$1:$1048576,$A393-1,COLUMN('1-DATA'!K392)),ROUND(INDEX('1-DATA'!$1:$1048576,IF(OR($B394="STD. DEVIATION",$C$1=1),$A394,$A394+1),COLUMN('1-DATA'!K392)),IF($B394="STD. DEVIATION",2,$F$1))))</f>
        <v/>
      </c>
      <c r="M394" s="1" t="str">
        <f>IF(OR($B394="",M$7=""),"",IF($B394="MEANS",INDEX('1-DATA'!$1:$1048576,$A393-1,COLUMN('1-DATA'!L392)),ROUND(INDEX('1-DATA'!$1:$1048576,IF(OR($B394="STD. DEVIATION",$C$1=1),$A394,$A394+1),COLUMN('1-DATA'!L392)),IF($B394="STD. DEVIATION",2,$F$1))))</f>
        <v/>
      </c>
      <c r="N394" s="1" t="str">
        <f>IF(OR($B394="",N$7=""),"",IF($B394="MEANS",INDEX('1-DATA'!$1:$1048576,$A393-1,COLUMN('1-DATA'!M392)),ROUND(INDEX('1-DATA'!$1:$1048576,IF(OR($B394="STD. DEVIATION",$C$1=1),$A394,$A394+1),COLUMN('1-DATA'!M392)),IF($B394="STD. DEVIATION",2,$F$1))))</f>
        <v/>
      </c>
      <c r="O394" s="1" t="str">
        <f>IF(OR($B394="",O$7=""),"",IF($B394="MEANS",INDEX('1-DATA'!$1:$1048576,$A393-1,COLUMN('1-DATA'!N392)),ROUND(INDEX('1-DATA'!$1:$1048576,IF(OR($B394="STD. DEVIATION",$C$1=1),$A394,$A394+1),COLUMN('1-DATA'!N392)),IF($B394="STD. DEVIATION",2,$F$1))))</f>
        <v/>
      </c>
      <c r="P394" s="1" t="str">
        <f>IF(OR($B394="",P$7=""),"",IF($B394="MEANS",INDEX('1-DATA'!$1:$1048576,$A393-1,COLUMN('1-DATA'!O392)),ROUND(INDEX('1-DATA'!$1:$1048576,IF(OR($B394="STD. DEVIATION",$C$1=1),$A394,$A394+1),COLUMN('1-DATA'!O392)),IF($B394="STD. DEVIATION",2,$F$1))))</f>
        <v/>
      </c>
      <c r="Q394" s="1" t="str">
        <f>IF(OR($B394="",Q$7=""),"",IF($B394="MEANS",INDEX('1-DATA'!$1:$1048576,$A393-1,COLUMN('1-DATA'!P392)),ROUND(INDEX('1-DATA'!$1:$1048576,IF(OR($B394="STD. DEVIATION",$C$1=1),$A394,$A394+1),COLUMN('1-DATA'!P392)),IF($B394="STD. DEVIATION",2,$F$1))))</f>
        <v/>
      </c>
      <c r="R394" s="1" t="str">
        <f>IF(OR($B394="",R$7=""),"",IF($B394="MEANS",INDEX('1-DATA'!$1:$1048576,$A393-1,COLUMN('1-DATA'!Q392)),ROUND(INDEX('1-DATA'!$1:$1048576,IF(OR($B394="STD. DEVIATION",$C$1=1),$A394,$A394+1),COLUMN('1-DATA'!Q392)),IF($B394="STD. DEVIATION",2,$F$1))))</f>
        <v/>
      </c>
      <c r="S394" s="1" t="str">
        <f>IF(OR($B394="",S$7=""),"",IF($B394="MEANS",INDEX('1-DATA'!$1:$1048576,$A393-1,COLUMN('1-DATA'!R392)),ROUND(INDEX('1-DATA'!$1:$1048576,IF(OR($B394="STD. DEVIATION",$C$1=1),$A394,$A394+1),COLUMN('1-DATA'!R392)),IF($B394="STD. DEVIATION",2,$F$1))))</f>
        <v/>
      </c>
      <c r="T394" s="1" t="str">
        <f>IF(OR($B394="",T$7=""),"",IF($B394="MEANS",INDEX('1-DATA'!$1:$1048576,$A393-1,COLUMN('1-DATA'!S392)),ROUND(INDEX('1-DATA'!$1:$1048576,IF(OR($B394="STD. DEVIATION",$C$1=1),$A394,$A394+1),COLUMN('1-DATA'!S392)),IF($B394="STD. DEVIATION",2,$F$1))))</f>
        <v/>
      </c>
      <c r="U394" s="1" t="str">
        <f>IF(OR($B394="",U$7=""),"",IF($B394="MEANS",INDEX('1-DATA'!$1:$1048576,$A393-1,COLUMN('1-DATA'!T392)),ROUND(INDEX('1-DATA'!$1:$1048576,IF(OR($B394="STD. DEVIATION",$C$1=1),$A394,$A394+1),COLUMN('1-DATA'!T392)),IF($B394="STD. DEVIATION",2,$F$1))))</f>
        <v/>
      </c>
      <c r="V394" s="1" t="str">
        <f>IF(OR($B394="",V$7=""),"",IF($B394="MEANS",INDEX('1-DATA'!$1:$1048576,$A393-1,COLUMN('1-DATA'!U392)),ROUND(INDEX('1-DATA'!$1:$1048576,IF(OR($B394="STD. DEVIATION",$C$1=1),$A394,$A394+1),COLUMN('1-DATA'!U392)),IF($B394="STD. DEVIATION",2,$F$1))))</f>
        <v/>
      </c>
      <c r="W394" s="1" t="str">
        <f>IF(OR($B394="",W$7=""),"",IF($B394="MEANS",INDEX('1-DATA'!$1:$1048576,$A393-1,COLUMN('1-DATA'!V392)),ROUND(INDEX('1-DATA'!$1:$1048576,IF(OR($B394="STD. DEVIATION",$C$1=1),$A394,$A394+1),COLUMN('1-DATA'!V392)),IF($B394="STD. DEVIATION",2,$F$1))))</f>
        <v/>
      </c>
      <c r="X394" s="1" t="str">
        <f>IF(OR($B394="",X$7=""),"",IF($B394="MEANS",INDEX('1-DATA'!$1:$1048576,$A393-1,COLUMN('1-DATA'!W392)),ROUND(INDEX('1-DATA'!$1:$1048576,IF(OR($B394="STD. DEVIATION",$C$1=1),$A394,$A394+1),COLUMN('1-DATA'!W392)),IF($B394="STD. DEVIATION",2,$F$1))))</f>
        <v/>
      </c>
      <c r="Y394" s="1" t="str">
        <f>IF(OR($B394="",Y$7=""),"",IF($B394="MEANS",INDEX('1-DATA'!$1:$1048576,$A393-1,COLUMN('1-DATA'!X392)),ROUND(INDEX('1-DATA'!$1:$1048576,IF(OR($B394="STD. DEVIATION",$C$1=1),$A394,$A394+1),COLUMN('1-DATA'!X392)),IF($B394="STD. DEVIATION",2,$F$1))))</f>
        <v/>
      </c>
      <c r="Z394" s="1" t="str">
        <f>IF(OR($B394="",Z$7=""),"",IF($B394="MEANS",INDEX('1-DATA'!$1:$1048576,$A393-1,COLUMN('1-DATA'!Y392)),ROUND(INDEX('1-DATA'!$1:$1048576,IF(OR($B394="STD. DEVIATION",$C$1=1),$A394,$A394+1),COLUMN('1-DATA'!Y392)),IF($B394="STD. DEVIATION",2,$F$1))))</f>
        <v/>
      </c>
      <c r="AA394" s="1" t="str">
        <f>IF(OR($B394="",AA$7=""),"",IF($B394="MEANS",INDEX('1-DATA'!$1:$1048576,$A393-1,COLUMN('1-DATA'!Z392)),ROUND(INDEX('1-DATA'!$1:$1048576,IF(OR($B394="STD. DEVIATION",$C$1=1),$A394,$A394+1),COLUMN('1-DATA'!Z392)),IF($B394="STD. DEVIATION",2,$F$1))))</f>
        <v/>
      </c>
      <c r="AB394" s="1" t="str">
        <f>IF(OR($B394="",AB$7=""),"",IF($B394="MEANS",INDEX('1-DATA'!$1:$1048576,$A393-1,COLUMN('1-DATA'!AA392)),ROUND(INDEX('1-DATA'!$1:$1048576,IF(OR($B394="STD. DEVIATION",$C$1=1),$A394,$A394+1),COLUMN('1-DATA'!AA392)),IF($B394="STD. DEVIATION",2,$F$1))))</f>
        <v/>
      </c>
      <c r="AC394" s="1" t="str">
        <f>IF(OR($B394="",AC$7=""),"",IF($B394="MEANS",INDEX('1-DATA'!$1:$1048576,$A393-1,COLUMN('1-DATA'!AB392)),ROUND(INDEX('1-DATA'!$1:$1048576,IF(OR($B394="STD. DEVIATION",$C$1=1),$A394,$A394+1),COLUMN('1-DATA'!AB392)),IF($B394="STD. DEVIATION",2,$F$1))))</f>
        <v/>
      </c>
      <c r="AD394" s="1" t="str">
        <f>IF(OR($B394="",AD$7=""),"",IF($B394="MEANS",INDEX('1-DATA'!$1:$1048576,$A393-1,COLUMN('1-DATA'!AC392)),ROUND(INDEX('1-DATA'!$1:$1048576,IF(OR($B394="STD. DEVIATION",$C$1=1),$A394,$A394+1),COLUMN('1-DATA'!AC392)),IF($B394="STD. DEVIATION",2,$F$1))))</f>
        <v/>
      </c>
      <c r="AE394" s="1" t="str">
        <f>IF(OR($B394="",AE$7=""),"",IF($B394="MEANS",INDEX('1-DATA'!$1:$1048576,$A393-1,COLUMN('1-DATA'!AD392)),ROUND(INDEX('1-DATA'!$1:$1048576,IF(OR($B394="STD. DEVIATION",$C$1=1),$A394,$A394+1),COLUMN('1-DATA'!AD392)),IF($B394="STD. DEVIATION",2,$F$1))))</f>
        <v/>
      </c>
      <c r="AF394" s="1" t="str">
        <f>IF(OR($B394="",AF$7=""),"",IF($B394="MEANS",INDEX('1-DATA'!$1:$1048576,$A393-1,COLUMN('1-DATA'!AE392)),ROUND(INDEX('1-DATA'!$1:$1048576,IF(OR($B394="STD. DEVIATION",$C$1=1),$A394,$A394+1),COLUMN('1-DATA'!AE392)),IF($B394="STD. DEVIATION",2,$F$1))))</f>
        <v/>
      </c>
      <c r="AG394" s="1" t="str">
        <f>IF(OR($B394="",AG$7=""),"",IF($B394="MEANS",INDEX('1-DATA'!$1:$1048576,$A393-1,COLUMN('1-DATA'!AF392)),ROUND(INDEX('1-DATA'!$1:$1048576,IF(OR($B394="STD. DEVIATION",$C$1=1),$A394,$A394+1),COLUMN('1-DATA'!AF392)),IF($B394="STD. DEVIATION",2,$F$1))))</f>
        <v/>
      </c>
      <c r="AH394" s="1" t="str">
        <f>IF(OR($B394="",AH$7=""),"",IF($B394="MEANS",INDEX('1-DATA'!$1:$1048576,$A393-1,COLUMN('1-DATA'!AG392)),ROUND(INDEX('1-DATA'!$1:$1048576,IF(OR($B394="STD. DEVIATION",$C$1=1),$A394,$A394+1),COLUMN('1-DATA'!AG392)),IF($B394="STD. DEVIATION",2,$F$1))))</f>
        <v/>
      </c>
      <c r="AI394" s="1" t="str">
        <f>IF(OR($B394="",AI$7=""),"",IF($B394="MEANS",INDEX('1-DATA'!$1:$1048576,$A393-1,COLUMN('1-DATA'!AH392)),ROUND(INDEX('1-DATA'!$1:$1048576,IF(OR($B394="STD. DEVIATION",$C$1=1),$A394,$A394+1),COLUMN('1-DATA'!AH392)),IF($B394="STD. DEVIATION",2,$F$1))))</f>
        <v/>
      </c>
      <c r="AJ394" s="1" t="str">
        <f>IF(OR($B394="",AJ$7=""),"",IF($B394="MEANS",INDEX('1-DATA'!$1:$1048576,$A393-1,COLUMN('1-DATA'!AI392)),ROUND(INDEX('1-DATA'!$1:$1048576,IF(OR($B394="STD. DEVIATION",$C$1=1),$A394,$A394+1),COLUMN('1-DATA'!AI392)),IF($B394="STD. DEVIATION",2,$F$1))))</f>
        <v/>
      </c>
      <c r="AK394" s="1" t="str">
        <f>IF(OR($B394="",AK$7=""),"",IF($B394="MEANS",INDEX('1-DATA'!$1:$1048576,$A393-1,COLUMN('1-DATA'!AJ392)),ROUND(INDEX('1-DATA'!$1:$1048576,IF(OR($B394="STD. DEVIATION",$C$1=1),$A394,$A394+1),COLUMN('1-DATA'!AJ392)),IF($B394="STD. DEVIATION",2,$F$1))))</f>
        <v/>
      </c>
      <c r="AL394" s="1" t="str">
        <f>IF(OR($B394="",AL$7=""),"",IF($B394="MEANS",INDEX('1-DATA'!$1:$1048576,$A393-1,COLUMN('1-DATA'!AK392)),ROUND(INDEX('1-DATA'!$1:$1048576,IF(OR($B394="STD. DEVIATION",$C$1=1),$A394,$A394+1),COLUMN('1-DATA'!AK392)),IF($B394="STD. DEVIATION",2,$F$1))))</f>
        <v/>
      </c>
      <c r="AM394" s="1" t="str">
        <f>IF(OR($B394="",AM$7=""),"",IF($B394="MEANS",INDEX('1-DATA'!$1:$1048576,$A393-1,COLUMN('1-DATA'!AL392)),ROUND(INDEX('1-DATA'!$1:$1048576,IF(OR($B394="STD. DEVIATION",$C$1=1),$A394,$A394+1),COLUMN('1-DATA'!AL392)),IF($B394="STD. DEVIATION",2,$F$1))))</f>
        <v/>
      </c>
      <c r="AN394" s="1" t="str">
        <f>IF(OR($B394="",AN$7=""),"",IF($B394="MEANS",INDEX('1-DATA'!$1:$1048576,$A393-1,COLUMN('1-DATA'!AM392)),ROUND(INDEX('1-DATA'!$1:$1048576,IF(OR($B394="STD. DEVIATION",$C$1=1),$A394,$A394+1),COLUMN('1-DATA'!AM392)),IF($B394="STD. DEVIATION",2,$F$1))))</f>
        <v/>
      </c>
      <c r="AO394" s="1" t="str">
        <f>IF(OR($B394="",AO$7=""),"",IF($B394="MEANS",INDEX('1-DATA'!$1:$1048576,$A393-1,COLUMN('1-DATA'!AN392)),ROUND(INDEX('1-DATA'!$1:$1048576,IF(OR($B394="STD. DEVIATION",$C$1=1),$A394,$A394+1),COLUMN('1-DATA'!AN392)),IF($B394="STD. DEVIATION",2,$F$1))))</f>
        <v/>
      </c>
      <c r="AP394" s="1" t="str">
        <f>IF(OR($B394="",AP$7=""),"",IF($B394="MEANS",INDEX('1-DATA'!$1:$1048576,$A393-1,COLUMN('1-DATA'!AO392)),ROUND(INDEX('1-DATA'!$1:$1048576,IF(OR($B394="STD. DEVIATION",$C$1=1),$A394,$A394+1),COLUMN('1-DATA'!AO392)),IF($B394="STD. DEVIATION",2,$F$1))))</f>
        <v/>
      </c>
      <c r="AQ394" s="1" t="str">
        <f>IF(OR($B394="",AQ$7=""),"",IF($B394="MEANS",INDEX('1-DATA'!$1:$1048576,$A393-1,COLUMN('1-DATA'!AP392)),ROUND(INDEX('1-DATA'!$1:$1048576,IF(OR($B394="STD. DEVIATION",$C$1=1),$A394,$A394+1),COLUMN('1-DATA'!AP392)),IF($B394="STD. DEVIATION",2,$F$1))))</f>
        <v/>
      </c>
      <c r="AR394" s="1" t="str">
        <f>IF(OR($B394="",AR$7=""),"",IF($B394="MEANS",INDEX('1-DATA'!$1:$1048576,$A393-1,COLUMN('1-DATA'!AQ392)),ROUND(INDEX('1-DATA'!$1:$1048576,IF(OR($B394="STD. DEVIATION",$C$1=1),$A394,$A394+1),COLUMN('1-DATA'!AQ392)),IF($B394="STD. DEVIATION",2,$F$1))))</f>
        <v/>
      </c>
      <c r="AS394" s="1" t="str">
        <f>IF(OR($B394="",AS$7=""),"",IF($B394="MEANS",INDEX('1-DATA'!$1:$1048576,$A393-1,COLUMN('1-DATA'!AR392)),ROUND(INDEX('1-DATA'!$1:$1048576,IF(OR($B394="STD. DEVIATION",$C$1=1),$A394,$A394+1),COLUMN('1-DATA'!AR392)),IF($B394="STD. DEVIATION",2,$F$1))))</f>
        <v/>
      </c>
      <c r="AT394" s="1" t="str">
        <f>IF(OR($B394="",AT$7=""),"",IF($B394="MEANS",INDEX('1-DATA'!$1:$1048576,$A393-1,COLUMN('1-DATA'!AS392)),ROUND(INDEX('1-DATA'!$1:$1048576,IF(OR($B394="STD. DEVIATION",$C$1=1),$A394,$A394+1),COLUMN('1-DATA'!AS392)),IF($B394="STD. DEVIATION",2,$F$1))))</f>
        <v/>
      </c>
      <c r="AU394" s="1" t="str">
        <f>IF(OR($B394="",AU$7=""),"",IF($B394="MEANS",INDEX('1-DATA'!$1:$1048576,$A393-1,COLUMN('1-DATA'!AT392)),ROUND(INDEX('1-DATA'!$1:$1048576,IF(OR($B394="STD. DEVIATION",$C$1=1),$A394,$A394+1),COLUMN('1-DATA'!AT392)),IF($B394="STD. DEVIATION",2,$F$1))))</f>
        <v/>
      </c>
      <c r="AV394" s="1" t="str">
        <f>IF(OR($B394="",AV$7=""),"",IF($B394="MEANS",INDEX('1-DATA'!$1:$1048576,$A393-1,COLUMN('1-DATA'!AU392)),ROUND(INDEX('1-DATA'!$1:$1048576,IF(OR($B394="STD. DEVIATION",$C$1=1),$A394,$A394+1),COLUMN('1-DATA'!AU392)),IF($B394="STD. DEVIATION",2,$F$1))))</f>
        <v/>
      </c>
      <c r="AW394" s="1" t="str">
        <f>IF(OR($B394="",AW$7=""),"",IF($B394="MEANS",INDEX('1-DATA'!$1:$1048576,$A393-1,COLUMN('1-DATA'!AV392)),ROUND(INDEX('1-DATA'!$1:$1048576,IF(OR($B394="STD. DEVIATION",$C$1=1),$A394,$A394+1),COLUMN('1-DATA'!AV392)),IF($B394="STD. DEVIATION",2,$F$1))))</f>
        <v/>
      </c>
      <c r="AX394" s="1" t="str">
        <f>IF(OR($B394="",AX$7=""),"",IF($B394="MEANS",INDEX('1-DATA'!$1:$1048576,$A393-1,COLUMN('1-DATA'!AW392)),ROUND(INDEX('1-DATA'!$1:$1048576,IF(OR($B394="STD. DEVIATION",$C$1=1),$A394,$A394+1),COLUMN('1-DATA'!AW392)),IF($B394="STD. DEVIATION",2,$F$1))))</f>
        <v/>
      </c>
      <c r="AY394" s="1" t="str">
        <f>IF(OR($B394="",AY$7=""),"",IF($B394="MEANS",INDEX('1-DATA'!$1:$1048576,$A393-1,COLUMN('1-DATA'!AX392)),ROUND(INDEX('1-DATA'!$1:$1048576,IF(OR($B394="STD. DEVIATION",$C$1=1),$A394,$A394+1),COLUMN('1-DATA'!AX392)),IF($B394="STD. DEVIATION",2,$F$1))))</f>
        <v/>
      </c>
      <c r="AZ394" s="1" t="str">
        <f>IF(OR($B394="",AZ$7=""),"",IF($B394="MEANS",INDEX('1-DATA'!$1:$1048576,$A393-1,COLUMN('1-DATA'!AY392)),ROUND(INDEX('1-DATA'!$1:$1048576,IF(OR($B394="STD. DEVIATION",$C$1=1),$A394,$A394+1),COLUMN('1-DATA'!AY392)),IF($B394="STD. DEVIATION",2,$F$1))))</f>
        <v/>
      </c>
    </row>
    <row r="395" spans="1:52" x14ac:dyDescent="0.25">
      <c r="A395" s="11">
        <f t="shared" si="6"/>
        <v>1171</v>
      </c>
      <c r="B395" s="1" t="str">
        <f>IF(B394="STD. DEVIATION",INDEX('1-DATA'!$1:$1048576,$A394-1,1),IF(INDEX('1-DATA'!$1:$1048576,$A395,1)&lt;&gt;"",INDEX('1-DATA'!$1:$1048576,$A395,1),""))</f>
        <v/>
      </c>
      <c r="C395" s="1" t="str">
        <f>IF(OR($B395="",C$7=""),"",IF($B395="MEANS",INDEX('1-DATA'!$1:$1048576,$A394-1,COLUMN('1-DATA'!B393)),ROUND(INDEX('1-DATA'!$1:$1048576,IF(OR($B395="STD. DEVIATION",$C$1=1),$A395,$A395+1),COLUMN('1-DATA'!B393)),IF($B395="STD. DEVIATION",2,$F$1))))</f>
        <v/>
      </c>
      <c r="D395" s="1" t="str">
        <f>IF(OR($B395="",D$7=""),"",IF($B395="MEANS",INDEX('1-DATA'!$1:$1048576,$A394-1,COLUMN('1-DATA'!C393)),ROUND(INDEX('1-DATA'!$1:$1048576,IF(OR($B395="STD. DEVIATION",$C$1=1),$A395,$A395+1),COLUMN('1-DATA'!C393)),IF($B395="STD. DEVIATION",2,$F$1))))</f>
        <v/>
      </c>
      <c r="E395" s="1" t="str">
        <f>IF(OR($B395="",E$7=""),"",IF($B395="MEANS",INDEX('1-DATA'!$1:$1048576,$A394-1,COLUMN('1-DATA'!D393)),ROUND(INDEX('1-DATA'!$1:$1048576,IF(OR($B395="STD. DEVIATION",$C$1=1),$A395,$A395+1),COLUMN('1-DATA'!D393)),IF($B395="STD. DEVIATION",2,$F$1))))</f>
        <v/>
      </c>
      <c r="F395" s="1" t="str">
        <f>IF(OR($B395="",F$7=""),"",IF($B395="MEANS",INDEX('1-DATA'!$1:$1048576,$A394-1,COLUMN('1-DATA'!E393)),ROUND(INDEX('1-DATA'!$1:$1048576,IF(OR($B395="STD. DEVIATION",$C$1=1),$A395,$A395+1),COLUMN('1-DATA'!E393)),IF($B395="STD. DEVIATION",2,$F$1))))</f>
        <v/>
      </c>
      <c r="G395" s="1" t="str">
        <f>IF(OR($B395="",G$7=""),"",IF($B395="MEANS",INDEX('1-DATA'!$1:$1048576,$A394-1,COLUMN('1-DATA'!F393)),ROUND(INDEX('1-DATA'!$1:$1048576,IF(OR($B395="STD. DEVIATION",$C$1=1),$A395,$A395+1),COLUMN('1-DATA'!F393)),IF($B395="STD. DEVIATION",2,$F$1))))</f>
        <v/>
      </c>
      <c r="H395" s="1" t="str">
        <f>IF(OR($B395="",H$7=""),"",IF($B395="MEANS",INDEX('1-DATA'!$1:$1048576,$A394-1,COLUMN('1-DATA'!G393)),ROUND(INDEX('1-DATA'!$1:$1048576,IF(OR($B395="STD. DEVIATION",$C$1=1),$A395,$A395+1),COLUMN('1-DATA'!G393)),IF($B395="STD. DEVIATION",2,$F$1))))</f>
        <v/>
      </c>
      <c r="I395" s="1" t="str">
        <f>IF(OR($B395="",I$7=""),"",IF($B395="MEANS",INDEX('1-DATA'!$1:$1048576,$A394-1,COLUMN('1-DATA'!H393)),ROUND(INDEX('1-DATA'!$1:$1048576,IF(OR($B395="STD. DEVIATION",$C$1=1),$A395,$A395+1),COLUMN('1-DATA'!H393)),IF($B395="STD. DEVIATION",2,$F$1))))</f>
        <v/>
      </c>
      <c r="J395" s="1" t="str">
        <f>IF(OR($B395="",J$7=""),"",IF($B395="MEANS",INDEX('1-DATA'!$1:$1048576,$A394-1,COLUMN('1-DATA'!I393)),ROUND(INDEX('1-DATA'!$1:$1048576,IF(OR($B395="STD. DEVIATION",$C$1=1),$A395,$A395+1),COLUMN('1-DATA'!I393)),IF($B395="STD. DEVIATION",2,$F$1))))</f>
        <v/>
      </c>
      <c r="K395" s="1" t="str">
        <f>IF(OR($B395="",K$7=""),"",IF($B395="MEANS",INDEX('1-DATA'!$1:$1048576,$A394-1,COLUMN('1-DATA'!J393)),ROUND(INDEX('1-DATA'!$1:$1048576,IF(OR($B395="STD. DEVIATION",$C$1=1),$A395,$A395+1),COLUMN('1-DATA'!J393)),IF($B395="STD. DEVIATION",2,$F$1))))</f>
        <v/>
      </c>
      <c r="L395" s="1" t="str">
        <f>IF(OR($B395="",L$7=""),"",IF($B395="MEANS",INDEX('1-DATA'!$1:$1048576,$A394-1,COLUMN('1-DATA'!K393)),ROUND(INDEX('1-DATA'!$1:$1048576,IF(OR($B395="STD. DEVIATION",$C$1=1),$A395,$A395+1),COLUMN('1-DATA'!K393)),IF($B395="STD. DEVIATION",2,$F$1))))</f>
        <v/>
      </c>
      <c r="M395" s="1" t="str">
        <f>IF(OR($B395="",M$7=""),"",IF($B395="MEANS",INDEX('1-DATA'!$1:$1048576,$A394-1,COLUMN('1-DATA'!L393)),ROUND(INDEX('1-DATA'!$1:$1048576,IF(OR($B395="STD. DEVIATION",$C$1=1),$A395,$A395+1),COLUMN('1-DATA'!L393)),IF($B395="STD. DEVIATION",2,$F$1))))</f>
        <v/>
      </c>
      <c r="N395" s="1" t="str">
        <f>IF(OR($B395="",N$7=""),"",IF($B395="MEANS",INDEX('1-DATA'!$1:$1048576,$A394-1,COLUMN('1-DATA'!M393)),ROUND(INDEX('1-DATA'!$1:$1048576,IF(OR($B395="STD. DEVIATION",$C$1=1),$A395,$A395+1),COLUMN('1-DATA'!M393)),IF($B395="STD. DEVIATION",2,$F$1))))</f>
        <v/>
      </c>
      <c r="O395" s="1" t="str">
        <f>IF(OR($B395="",O$7=""),"",IF($B395="MEANS",INDEX('1-DATA'!$1:$1048576,$A394-1,COLUMN('1-DATA'!N393)),ROUND(INDEX('1-DATA'!$1:$1048576,IF(OR($B395="STD. DEVIATION",$C$1=1),$A395,$A395+1),COLUMN('1-DATA'!N393)),IF($B395="STD. DEVIATION",2,$F$1))))</f>
        <v/>
      </c>
      <c r="P395" s="1" t="str">
        <f>IF(OR($B395="",P$7=""),"",IF($B395="MEANS",INDEX('1-DATA'!$1:$1048576,$A394-1,COLUMN('1-DATA'!O393)),ROUND(INDEX('1-DATA'!$1:$1048576,IF(OR($B395="STD. DEVIATION",$C$1=1),$A395,$A395+1),COLUMN('1-DATA'!O393)),IF($B395="STD. DEVIATION",2,$F$1))))</f>
        <v/>
      </c>
      <c r="Q395" s="1" t="str">
        <f>IF(OR($B395="",Q$7=""),"",IF($B395="MEANS",INDEX('1-DATA'!$1:$1048576,$A394-1,COLUMN('1-DATA'!P393)),ROUND(INDEX('1-DATA'!$1:$1048576,IF(OR($B395="STD. DEVIATION",$C$1=1),$A395,$A395+1),COLUMN('1-DATA'!P393)),IF($B395="STD. DEVIATION",2,$F$1))))</f>
        <v/>
      </c>
      <c r="R395" s="1" t="str">
        <f>IF(OR($B395="",R$7=""),"",IF($B395="MEANS",INDEX('1-DATA'!$1:$1048576,$A394-1,COLUMN('1-DATA'!Q393)),ROUND(INDEX('1-DATA'!$1:$1048576,IF(OR($B395="STD. DEVIATION",$C$1=1),$A395,$A395+1),COLUMN('1-DATA'!Q393)),IF($B395="STD. DEVIATION",2,$F$1))))</f>
        <v/>
      </c>
      <c r="S395" s="1" t="str">
        <f>IF(OR($B395="",S$7=""),"",IF($B395="MEANS",INDEX('1-DATA'!$1:$1048576,$A394-1,COLUMN('1-DATA'!R393)),ROUND(INDEX('1-DATA'!$1:$1048576,IF(OR($B395="STD. DEVIATION",$C$1=1),$A395,$A395+1),COLUMN('1-DATA'!R393)),IF($B395="STD. DEVIATION",2,$F$1))))</f>
        <v/>
      </c>
      <c r="T395" s="1" t="str">
        <f>IF(OR($B395="",T$7=""),"",IF($B395="MEANS",INDEX('1-DATA'!$1:$1048576,$A394-1,COLUMN('1-DATA'!S393)),ROUND(INDEX('1-DATA'!$1:$1048576,IF(OR($B395="STD. DEVIATION",$C$1=1),$A395,$A395+1),COLUMN('1-DATA'!S393)),IF($B395="STD. DEVIATION",2,$F$1))))</f>
        <v/>
      </c>
      <c r="U395" s="1" t="str">
        <f>IF(OR($B395="",U$7=""),"",IF($B395="MEANS",INDEX('1-DATA'!$1:$1048576,$A394-1,COLUMN('1-DATA'!T393)),ROUND(INDEX('1-DATA'!$1:$1048576,IF(OR($B395="STD. DEVIATION",$C$1=1),$A395,$A395+1),COLUMN('1-DATA'!T393)),IF($B395="STD. DEVIATION",2,$F$1))))</f>
        <v/>
      </c>
      <c r="V395" s="1" t="str">
        <f>IF(OR($B395="",V$7=""),"",IF($B395="MEANS",INDEX('1-DATA'!$1:$1048576,$A394-1,COLUMN('1-DATA'!U393)),ROUND(INDEX('1-DATA'!$1:$1048576,IF(OR($B395="STD. DEVIATION",$C$1=1),$A395,$A395+1),COLUMN('1-DATA'!U393)),IF($B395="STD. DEVIATION",2,$F$1))))</f>
        <v/>
      </c>
      <c r="W395" s="1" t="str">
        <f>IF(OR($B395="",W$7=""),"",IF($B395="MEANS",INDEX('1-DATA'!$1:$1048576,$A394-1,COLUMN('1-DATA'!V393)),ROUND(INDEX('1-DATA'!$1:$1048576,IF(OR($B395="STD. DEVIATION",$C$1=1),$A395,$A395+1),COLUMN('1-DATA'!V393)),IF($B395="STD. DEVIATION",2,$F$1))))</f>
        <v/>
      </c>
      <c r="X395" s="1" t="str">
        <f>IF(OR($B395="",X$7=""),"",IF($B395="MEANS",INDEX('1-DATA'!$1:$1048576,$A394-1,COLUMN('1-DATA'!W393)),ROUND(INDEX('1-DATA'!$1:$1048576,IF(OR($B395="STD. DEVIATION",$C$1=1),$A395,$A395+1),COLUMN('1-DATA'!W393)),IF($B395="STD. DEVIATION",2,$F$1))))</f>
        <v/>
      </c>
      <c r="Y395" s="1" t="str">
        <f>IF(OR($B395="",Y$7=""),"",IF($B395="MEANS",INDEX('1-DATA'!$1:$1048576,$A394-1,COLUMN('1-DATA'!X393)),ROUND(INDEX('1-DATA'!$1:$1048576,IF(OR($B395="STD. DEVIATION",$C$1=1),$A395,$A395+1),COLUMN('1-DATA'!X393)),IF($B395="STD. DEVIATION",2,$F$1))))</f>
        <v/>
      </c>
      <c r="Z395" s="1" t="str">
        <f>IF(OR($B395="",Z$7=""),"",IF($B395="MEANS",INDEX('1-DATA'!$1:$1048576,$A394-1,COLUMN('1-DATA'!Y393)),ROUND(INDEX('1-DATA'!$1:$1048576,IF(OR($B395="STD. DEVIATION",$C$1=1),$A395,$A395+1),COLUMN('1-DATA'!Y393)),IF($B395="STD. DEVIATION",2,$F$1))))</f>
        <v/>
      </c>
      <c r="AA395" s="1" t="str">
        <f>IF(OR($B395="",AA$7=""),"",IF($B395="MEANS",INDEX('1-DATA'!$1:$1048576,$A394-1,COLUMN('1-DATA'!Z393)),ROUND(INDEX('1-DATA'!$1:$1048576,IF(OR($B395="STD. DEVIATION",$C$1=1),$A395,$A395+1),COLUMN('1-DATA'!Z393)),IF($B395="STD. DEVIATION",2,$F$1))))</f>
        <v/>
      </c>
      <c r="AB395" s="1" t="str">
        <f>IF(OR($B395="",AB$7=""),"",IF($B395="MEANS",INDEX('1-DATA'!$1:$1048576,$A394-1,COLUMN('1-DATA'!AA393)),ROUND(INDEX('1-DATA'!$1:$1048576,IF(OR($B395="STD. DEVIATION",$C$1=1),$A395,$A395+1),COLUMN('1-DATA'!AA393)),IF($B395="STD. DEVIATION",2,$F$1))))</f>
        <v/>
      </c>
      <c r="AC395" s="1" t="str">
        <f>IF(OR($B395="",AC$7=""),"",IF($B395="MEANS",INDEX('1-DATA'!$1:$1048576,$A394-1,COLUMN('1-DATA'!AB393)),ROUND(INDEX('1-DATA'!$1:$1048576,IF(OR($B395="STD. DEVIATION",$C$1=1),$A395,$A395+1),COLUMN('1-DATA'!AB393)),IF($B395="STD. DEVIATION",2,$F$1))))</f>
        <v/>
      </c>
      <c r="AD395" s="1" t="str">
        <f>IF(OR($B395="",AD$7=""),"",IF($B395="MEANS",INDEX('1-DATA'!$1:$1048576,$A394-1,COLUMN('1-DATA'!AC393)),ROUND(INDEX('1-DATA'!$1:$1048576,IF(OR($B395="STD. DEVIATION",$C$1=1),$A395,$A395+1),COLUMN('1-DATA'!AC393)),IF($B395="STD. DEVIATION",2,$F$1))))</f>
        <v/>
      </c>
      <c r="AE395" s="1" t="str">
        <f>IF(OR($B395="",AE$7=""),"",IF($B395="MEANS",INDEX('1-DATA'!$1:$1048576,$A394-1,COLUMN('1-DATA'!AD393)),ROUND(INDEX('1-DATA'!$1:$1048576,IF(OR($B395="STD. DEVIATION",$C$1=1),$A395,$A395+1),COLUMN('1-DATA'!AD393)),IF($B395="STD. DEVIATION",2,$F$1))))</f>
        <v/>
      </c>
      <c r="AF395" s="1" t="str">
        <f>IF(OR($B395="",AF$7=""),"",IF($B395="MEANS",INDEX('1-DATA'!$1:$1048576,$A394-1,COLUMN('1-DATA'!AE393)),ROUND(INDEX('1-DATA'!$1:$1048576,IF(OR($B395="STD. DEVIATION",$C$1=1),$A395,$A395+1),COLUMN('1-DATA'!AE393)),IF($B395="STD. DEVIATION",2,$F$1))))</f>
        <v/>
      </c>
      <c r="AG395" s="1" t="str">
        <f>IF(OR($B395="",AG$7=""),"",IF($B395="MEANS",INDEX('1-DATA'!$1:$1048576,$A394-1,COLUMN('1-DATA'!AF393)),ROUND(INDEX('1-DATA'!$1:$1048576,IF(OR($B395="STD. DEVIATION",$C$1=1),$A395,$A395+1),COLUMN('1-DATA'!AF393)),IF($B395="STD. DEVIATION",2,$F$1))))</f>
        <v/>
      </c>
      <c r="AH395" s="1" t="str">
        <f>IF(OR($B395="",AH$7=""),"",IF($B395="MEANS",INDEX('1-DATA'!$1:$1048576,$A394-1,COLUMN('1-DATA'!AG393)),ROUND(INDEX('1-DATA'!$1:$1048576,IF(OR($B395="STD. DEVIATION",$C$1=1),$A395,$A395+1),COLUMN('1-DATA'!AG393)),IF($B395="STD. DEVIATION",2,$F$1))))</f>
        <v/>
      </c>
      <c r="AI395" s="1" t="str">
        <f>IF(OR($B395="",AI$7=""),"",IF($B395="MEANS",INDEX('1-DATA'!$1:$1048576,$A394-1,COLUMN('1-DATA'!AH393)),ROUND(INDEX('1-DATA'!$1:$1048576,IF(OR($B395="STD. DEVIATION",$C$1=1),$A395,$A395+1),COLUMN('1-DATA'!AH393)),IF($B395="STD. DEVIATION",2,$F$1))))</f>
        <v/>
      </c>
      <c r="AJ395" s="1" t="str">
        <f>IF(OR($B395="",AJ$7=""),"",IF($B395="MEANS",INDEX('1-DATA'!$1:$1048576,$A394-1,COLUMN('1-DATA'!AI393)),ROUND(INDEX('1-DATA'!$1:$1048576,IF(OR($B395="STD. DEVIATION",$C$1=1),$A395,$A395+1),COLUMN('1-DATA'!AI393)),IF($B395="STD. DEVIATION",2,$F$1))))</f>
        <v/>
      </c>
      <c r="AK395" s="1" t="str">
        <f>IF(OR($B395="",AK$7=""),"",IF($B395="MEANS",INDEX('1-DATA'!$1:$1048576,$A394-1,COLUMN('1-DATA'!AJ393)),ROUND(INDEX('1-DATA'!$1:$1048576,IF(OR($B395="STD. DEVIATION",$C$1=1),$A395,$A395+1),COLUMN('1-DATA'!AJ393)),IF($B395="STD. DEVIATION",2,$F$1))))</f>
        <v/>
      </c>
      <c r="AL395" s="1" t="str">
        <f>IF(OR($B395="",AL$7=""),"",IF($B395="MEANS",INDEX('1-DATA'!$1:$1048576,$A394-1,COLUMN('1-DATA'!AK393)),ROUND(INDEX('1-DATA'!$1:$1048576,IF(OR($B395="STD. DEVIATION",$C$1=1),$A395,$A395+1),COLUMN('1-DATA'!AK393)),IF($B395="STD. DEVIATION",2,$F$1))))</f>
        <v/>
      </c>
      <c r="AM395" s="1" t="str">
        <f>IF(OR($B395="",AM$7=""),"",IF($B395="MEANS",INDEX('1-DATA'!$1:$1048576,$A394-1,COLUMN('1-DATA'!AL393)),ROUND(INDEX('1-DATA'!$1:$1048576,IF(OR($B395="STD. DEVIATION",$C$1=1),$A395,$A395+1),COLUMN('1-DATA'!AL393)),IF($B395="STD. DEVIATION",2,$F$1))))</f>
        <v/>
      </c>
      <c r="AN395" s="1" t="str">
        <f>IF(OR($B395="",AN$7=""),"",IF($B395="MEANS",INDEX('1-DATA'!$1:$1048576,$A394-1,COLUMN('1-DATA'!AM393)),ROUND(INDEX('1-DATA'!$1:$1048576,IF(OR($B395="STD. DEVIATION",$C$1=1),$A395,$A395+1),COLUMN('1-DATA'!AM393)),IF($B395="STD. DEVIATION",2,$F$1))))</f>
        <v/>
      </c>
      <c r="AO395" s="1" t="str">
        <f>IF(OR($B395="",AO$7=""),"",IF($B395="MEANS",INDEX('1-DATA'!$1:$1048576,$A394-1,COLUMN('1-DATA'!AN393)),ROUND(INDEX('1-DATA'!$1:$1048576,IF(OR($B395="STD. DEVIATION",$C$1=1),$A395,$A395+1),COLUMN('1-DATA'!AN393)),IF($B395="STD. DEVIATION",2,$F$1))))</f>
        <v/>
      </c>
      <c r="AP395" s="1" t="str">
        <f>IF(OR($B395="",AP$7=""),"",IF($B395="MEANS",INDEX('1-DATA'!$1:$1048576,$A394-1,COLUMN('1-DATA'!AO393)),ROUND(INDEX('1-DATA'!$1:$1048576,IF(OR($B395="STD. DEVIATION",$C$1=1),$A395,$A395+1),COLUMN('1-DATA'!AO393)),IF($B395="STD. DEVIATION",2,$F$1))))</f>
        <v/>
      </c>
      <c r="AQ395" s="1" t="str">
        <f>IF(OR($B395="",AQ$7=""),"",IF($B395="MEANS",INDEX('1-DATA'!$1:$1048576,$A394-1,COLUMN('1-DATA'!AP393)),ROUND(INDEX('1-DATA'!$1:$1048576,IF(OR($B395="STD. DEVIATION",$C$1=1),$A395,$A395+1),COLUMN('1-DATA'!AP393)),IF($B395="STD. DEVIATION",2,$F$1))))</f>
        <v/>
      </c>
      <c r="AR395" s="1" t="str">
        <f>IF(OR($B395="",AR$7=""),"",IF($B395="MEANS",INDEX('1-DATA'!$1:$1048576,$A394-1,COLUMN('1-DATA'!AQ393)),ROUND(INDEX('1-DATA'!$1:$1048576,IF(OR($B395="STD. DEVIATION",$C$1=1),$A395,$A395+1),COLUMN('1-DATA'!AQ393)),IF($B395="STD. DEVIATION",2,$F$1))))</f>
        <v/>
      </c>
      <c r="AS395" s="1" t="str">
        <f>IF(OR($B395="",AS$7=""),"",IF($B395="MEANS",INDEX('1-DATA'!$1:$1048576,$A394-1,COLUMN('1-DATA'!AR393)),ROUND(INDEX('1-DATA'!$1:$1048576,IF(OR($B395="STD. DEVIATION",$C$1=1),$A395,$A395+1),COLUMN('1-DATA'!AR393)),IF($B395="STD. DEVIATION",2,$F$1))))</f>
        <v/>
      </c>
      <c r="AT395" s="1" t="str">
        <f>IF(OR($B395="",AT$7=""),"",IF($B395="MEANS",INDEX('1-DATA'!$1:$1048576,$A394-1,COLUMN('1-DATA'!AS393)),ROUND(INDEX('1-DATA'!$1:$1048576,IF(OR($B395="STD. DEVIATION",$C$1=1),$A395,$A395+1),COLUMN('1-DATA'!AS393)),IF($B395="STD. DEVIATION",2,$F$1))))</f>
        <v/>
      </c>
      <c r="AU395" s="1" t="str">
        <f>IF(OR($B395="",AU$7=""),"",IF($B395="MEANS",INDEX('1-DATA'!$1:$1048576,$A394-1,COLUMN('1-DATA'!AT393)),ROUND(INDEX('1-DATA'!$1:$1048576,IF(OR($B395="STD. DEVIATION",$C$1=1),$A395,$A395+1),COLUMN('1-DATA'!AT393)),IF($B395="STD. DEVIATION",2,$F$1))))</f>
        <v/>
      </c>
      <c r="AV395" s="1" t="str">
        <f>IF(OR($B395="",AV$7=""),"",IF($B395="MEANS",INDEX('1-DATA'!$1:$1048576,$A394-1,COLUMN('1-DATA'!AU393)),ROUND(INDEX('1-DATA'!$1:$1048576,IF(OR($B395="STD. DEVIATION",$C$1=1),$A395,$A395+1),COLUMN('1-DATA'!AU393)),IF($B395="STD. DEVIATION",2,$F$1))))</f>
        <v/>
      </c>
      <c r="AW395" s="1" t="str">
        <f>IF(OR($B395="",AW$7=""),"",IF($B395="MEANS",INDEX('1-DATA'!$1:$1048576,$A394-1,COLUMN('1-DATA'!AV393)),ROUND(INDEX('1-DATA'!$1:$1048576,IF(OR($B395="STD. DEVIATION",$C$1=1),$A395,$A395+1),COLUMN('1-DATA'!AV393)),IF($B395="STD. DEVIATION",2,$F$1))))</f>
        <v/>
      </c>
      <c r="AX395" s="1" t="str">
        <f>IF(OR($B395="",AX$7=""),"",IF($B395="MEANS",INDEX('1-DATA'!$1:$1048576,$A394-1,COLUMN('1-DATA'!AW393)),ROUND(INDEX('1-DATA'!$1:$1048576,IF(OR($B395="STD. DEVIATION",$C$1=1),$A395,$A395+1),COLUMN('1-DATA'!AW393)),IF($B395="STD. DEVIATION",2,$F$1))))</f>
        <v/>
      </c>
      <c r="AY395" s="1" t="str">
        <f>IF(OR($B395="",AY$7=""),"",IF($B395="MEANS",INDEX('1-DATA'!$1:$1048576,$A394-1,COLUMN('1-DATA'!AX393)),ROUND(INDEX('1-DATA'!$1:$1048576,IF(OR($B395="STD. DEVIATION",$C$1=1),$A395,$A395+1),COLUMN('1-DATA'!AX393)),IF($B395="STD. DEVIATION",2,$F$1))))</f>
        <v/>
      </c>
      <c r="AZ395" s="1" t="str">
        <f>IF(OR($B395="",AZ$7=""),"",IF($B395="MEANS",INDEX('1-DATA'!$1:$1048576,$A394-1,COLUMN('1-DATA'!AY393)),ROUND(INDEX('1-DATA'!$1:$1048576,IF(OR($B395="STD. DEVIATION",$C$1=1),$A395,$A395+1),COLUMN('1-DATA'!AY393)),IF($B395="STD. DEVIATION",2,$F$1))))</f>
        <v/>
      </c>
    </row>
    <row r="396" spans="1:52" x14ac:dyDescent="0.25">
      <c r="A396" s="11">
        <f t="shared" si="6"/>
        <v>1174</v>
      </c>
      <c r="B396" s="1" t="str">
        <f>IF(B395="STD. DEVIATION",INDEX('1-DATA'!$1:$1048576,$A395-1,1),IF(INDEX('1-DATA'!$1:$1048576,$A396,1)&lt;&gt;"",INDEX('1-DATA'!$1:$1048576,$A396,1),""))</f>
        <v/>
      </c>
      <c r="C396" s="1" t="str">
        <f>IF(OR($B396="",C$7=""),"",IF($B396="MEANS",INDEX('1-DATA'!$1:$1048576,$A395-1,COLUMN('1-DATA'!B394)),ROUND(INDEX('1-DATA'!$1:$1048576,IF(OR($B396="STD. DEVIATION",$C$1=1),$A396,$A396+1),COLUMN('1-DATA'!B394)),IF($B396="STD. DEVIATION",2,$F$1))))</f>
        <v/>
      </c>
      <c r="D396" s="1" t="str">
        <f>IF(OR($B396="",D$7=""),"",IF($B396="MEANS",INDEX('1-DATA'!$1:$1048576,$A395-1,COLUMN('1-DATA'!C394)),ROUND(INDEX('1-DATA'!$1:$1048576,IF(OR($B396="STD. DEVIATION",$C$1=1),$A396,$A396+1),COLUMN('1-DATA'!C394)),IF($B396="STD. DEVIATION",2,$F$1))))</f>
        <v/>
      </c>
      <c r="E396" s="1" t="str">
        <f>IF(OR($B396="",E$7=""),"",IF($B396="MEANS",INDEX('1-DATA'!$1:$1048576,$A395-1,COLUMN('1-DATA'!D394)),ROUND(INDEX('1-DATA'!$1:$1048576,IF(OR($B396="STD. DEVIATION",$C$1=1),$A396,$A396+1),COLUMN('1-DATA'!D394)),IF($B396="STD. DEVIATION",2,$F$1))))</f>
        <v/>
      </c>
      <c r="F396" s="1" t="str">
        <f>IF(OR($B396="",F$7=""),"",IF($B396="MEANS",INDEX('1-DATA'!$1:$1048576,$A395-1,COLUMN('1-DATA'!E394)),ROUND(INDEX('1-DATA'!$1:$1048576,IF(OR($B396="STD. DEVIATION",$C$1=1),$A396,$A396+1),COLUMN('1-DATA'!E394)),IF($B396="STD. DEVIATION",2,$F$1))))</f>
        <v/>
      </c>
      <c r="G396" s="1" t="str">
        <f>IF(OR($B396="",G$7=""),"",IF($B396="MEANS",INDEX('1-DATA'!$1:$1048576,$A395-1,COLUMN('1-DATA'!F394)),ROUND(INDEX('1-DATA'!$1:$1048576,IF(OR($B396="STD. DEVIATION",$C$1=1),$A396,$A396+1),COLUMN('1-DATA'!F394)),IF($B396="STD. DEVIATION",2,$F$1))))</f>
        <v/>
      </c>
      <c r="H396" s="1" t="str">
        <f>IF(OR($B396="",H$7=""),"",IF($B396="MEANS",INDEX('1-DATA'!$1:$1048576,$A395-1,COLUMN('1-DATA'!G394)),ROUND(INDEX('1-DATA'!$1:$1048576,IF(OR($B396="STD. DEVIATION",$C$1=1),$A396,$A396+1),COLUMN('1-DATA'!G394)),IF($B396="STD. DEVIATION",2,$F$1))))</f>
        <v/>
      </c>
      <c r="I396" s="1" t="str">
        <f>IF(OR($B396="",I$7=""),"",IF($B396="MEANS",INDEX('1-DATA'!$1:$1048576,$A395-1,COLUMN('1-DATA'!H394)),ROUND(INDEX('1-DATA'!$1:$1048576,IF(OR($B396="STD. DEVIATION",$C$1=1),$A396,$A396+1),COLUMN('1-DATA'!H394)),IF($B396="STD. DEVIATION",2,$F$1))))</f>
        <v/>
      </c>
      <c r="J396" s="1" t="str">
        <f>IF(OR($B396="",J$7=""),"",IF($B396="MEANS",INDEX('1-DATA'!$1:$1048576,$A395-1,COLUMN('1-DATA'!I394)),ROUND(INDEX('1-DATA'!$1:$1048576,IF(OR($B396="STD. DEVIATION",$C$1=1),$A396,$A396+1),COLUMN('1-DATA'!I394)),IF($B396="STD. DEVIATION",2,$F$1))))</f>
        <v/>
      </c>
      <c r="K396" s="1" t="str">
        <f>IF(OR($B396="",K$7=""),"",IF($B396="MEANS",INDEX('1-DATA'!$1:$1048576,$A395-1,COLUMN('1-DATA'!J394)),ROUND(INDEX('1-DATA'!$1:$1048576,IF(OR($B396="STD. DEVIATION",$C$1=1),$A396,$A396+1),COLUMN('1-DATA'!J394)),IF($B396="STD. DEVIATION",2,$F$1))))</f>
        <v/>
      </c>
      <c r="L396" s="1" t="str">
        <f>IF(OR($B396="",L$7=""),"",IF($B396="MEANS",INDEX('1-DATA'!$1:$1048576,$A395-1,COLUMN('1-DATA'!K394)),ROUND(INDEX('1-DATA'!$1:$1048576,IF(OR($B396="STD. DEVIATION",$C$1=1),$A396,$A396+1),COLUMN('1-DATA'!K394)),IF($B396="STD. DEVIATION",2,$F$1))))</f>
        <v/>
      </c>
      <c r="M396" s="1" t="str">
        <f>IF(OR($B396="",M$7=""),"",IF($B396="MEANS",INDEX('1-DATA'!$1:$1048576,$A395-1,COLUMN('1-DATA'!L394)),ROUND(INDEX('1-DATA'!$1:$1048576,IF(OR($B396="STD. DEVIATION",$C$1=1),$A396,$A396+1),COLUMN('1-DATA'!L394)),IF($B396="STD. DEVIATION",2,$F$1))))</f>
        <v/>
      </c>
      <c r="N396" s="1" t="str">
        <f>IF(OR($B396="",N$7=""),"",IF($B396="MEANS",INDEX('1-DATA'!$1:$1048576,$A395-1,COLUMN('1-DATA'!M394)),ROUND(INDEX('1-DATA'!$1:$1048576,IF(OR($B396="STD. DEVIATION",$C$1=1),$A396,$A396+1),COLUMN('1-DATA'!M394)),IF($B396="STD. DEVIATION",2,$F$1))))</f>
        <v/>
      </c>
      <c r="O396" s="1" t="str">
        <f>IF(OR($B396="",O$7=""),"",IF($B396="MEANS",INDEX('1-DATA'!$1:$1048576,$A395-1,COLUMN('1-DATA'!N394)),ROUND(INDEX('1-DATA'!$1:$1048576,IF(OR($B396="STD. DEVIATION",$C$1=1),$A396,$A396+1),COLUMN('1-DATA'!N394)),IF($B396="STD. DEVIATION",2,$F$1))))</f>
        <v/>
      </c>
      <c r="P396" s="1" t="str">
        <f>IF(OR($B396="",P$7=""),"",IF($B396="MEANS",INDEX('1-DATA'!$1:$1048576,$A395-1,COLUMN('1-DATA'!O394)),ROUND(INDEX('1-DATA'!$1:$1048576,IF(OR($B396="STD. DEVIATION",$C$1=1),$A396,$A396+1),COLUMN('1-DATA'!O394)),IF($B396="STD. DEVIATION",2,$F$1))))</f>
        <v/>
      </c>
      <c r="Q396" s="1" t="str">
        <f>IF(OR($B396="",Q$7=""),"",IF($B396="MEANS",INDEX('1-DATA'!$1:$1048576,$A395-1,COLUMN('1-DATA'!P394)),ROUND(INDEX('1-DATA'!$1:$1048576,IF(OR($B396="STD. DEVIATION",$C$1=1),$A396,$A396+1),COLUMN('1-DATA'!P394)),IF($B396="STD. DEVIATION",2,$F$1))))</f>
        <v/>
      </c>
      <c r="R396" s="1" t="str">
        <f>IF(OR($B396="",R$7=""),"",IF($B396="MEANS",INDEX('1-DATA'!$1:$1048576,$A395-1,COLUMN('1-DATA'!Q394)),ROUND(INDEX('1-DATA'!$1:$1048576,IF(OR($B396="STD. DEVIATION",$C$1=1),$A396,$A396+1),COLUMN('1-DATA'!Q394)),IF($B396="STD. DEVIATION",2,$F$1))))</f>
        <v/>
      </c>
      <c r="S396" s="1" t="str">
        <f>IF(OR($B396="",S$7=""),"",IF($B396="MEANS",INDEX('1-DATA'!$1:$1048576,$A395-1,COLUMN('1-DATA'!R394)),ROUND(INDEX('1-DATA'!$1:$1048576,IF(OR($B396="STD. DEVIATION",$C$1=1),$A396,$A396+1),COLUMN('1-DATA'!R394)),IF($B396="STD. DEVIATION",2,$F$1))))</f>
        <v/>
      </c>
      <c r="T396" s="1" t="str">
        <f>IF(OR($B396="",T$7=""),"",IF($B396="MEANS",INDEX('1-DATA'!$1:$1048576,$A395-1,COLUMN('1-DATA'!S394)),ROUND(INDEX('1-DATA'!$1:$1048576,IF(OR($B396="STD. DEVIATION",$C$1=1),$A396,$A396+1),COLUMN('1-DATA'!S394)),IF($B396="STD. DEVIATION",2,$F$1))))</f>
        <v/>
      </c>
      <c r="U396" s="1" t="str">
        <f>IF(OR($B396="",U$7=""),"",IF($B396="MEANS",INDEX('1-DATA'!$1:$1048576,$A395-1,COLUMN('1-DATA'!T394)),ROUND(INDEX('1-DATA'!$1:$1048576,IF(OR($B396="STD. DEVIATION",$C$1=1),$A396,$A396+1),COLUMN('1-DATA'!T394)),IF($B396="STD. DEVIATION",2,$F$1))))</f>
        <v/>
      </c>
      <c r="V396" s="1" t="str">
        <f>IF(OR($B396="",V$7=""),"",IF($B396="MEANS",INDEX('1-DATA'!$1:$1048576,$A395-1,COLUMN('1-DATA'!U394)),ROUND(INDEX('1-DATA'!$1:$1048576,IF(OR($B396="STD. DEVIATION",$C$1=1),$A396,$A396+1),COLUMN('1-DATA'!U394)),IF($B396="STD. DEVIATION",2,$F$1))))</f>
        <v/>
      </c>
      <c r="W396" s="1" t="str">
        <f>IF(OR($B396="",W$7=""),"",IF($B396="MEANS",INDEX('1-DATA'!$1:$1048576,$A395-1,COLUMN('1-DATA'!V394)),ROUND(INDEX('1-DATA'!$1:$1048576,IF(OR($B396="STD. DEVIATION",$C$1=1),$A396,$A396+1),COLUMN('1-DATA'!V394)),IF($B396="STD. DEVIATION",2,$F$1))))</f>
        <v/>
      </c>
      <c r="X396" s="1" t="str">
        <f>IF(OR($B396="",X$7=""),"",IF($B396="MEANS",INDEX('1-DATA'!$1:$1048576,$A395-1,COLUMN('1-DATA'!W394)),ROUND(INDEX('1-DATA'!$1:$1048576,IF(OR($B396="STD. DEVIATION",$C$1=1),$A396,$A396+1),COLUMN('1-DATA'!W394)),IF($B396="STD. DEVIATION",2,$F$1))))</f>
        <v/>
      </c>
      <c r="Y396" s="1" t="str">
        <f>IF(OR($B396="",Y$7=""),"",IF($B396="MEANS",INDEX('1-DATA'!$1:$1048576,$A395-1,COLUMN('1-DATA'!X394)),ROUND(INDEX('1-DATA'!$1:$1048576,IF(OR($B396="STD. DEVIATION",$C$1=1),$A396,$A396+1),COLUMN('1-DATA'!X394)),IF($B396="STD. DEVIATION",2,$F$1))))</f>
        <v/>
      </c>
      <c r="Z396" s="1" t="str">
        <f>IF(OR($B396="",Z$7=""),"",IF($B396="MEANS",INDEX('1-DATA'!$1:$1048576,$A395-1,COLUMN('1-DATA'!Y394)),ROUND(INDEX('1-DATA'!$1:$1048576,IF(OR($B396="STD. DEVIATION",$C$1=1),$A396,$A396+1),COLUMN('1-DATA'!Y394)),IF($B396="STD. DEVIATION",2,$F$1))))</f>
        <v/>
      </c>
      <c r="AA396" s="1" t="str">
        <f>IF(OR($B396="",AA$7=""),"",IF($B396="MEANS",INDEX('1-DATA'!$1:$1048576,$A395-1,COLUMN('1-DATA'!Z394)),ROUND(INDEX('1-DATA'!$1:$1048576,IF(OR($B396="STD. DEVIATION",$C$1=1),$A396,$A396+1),COLUMN('1-DATA'!Z394)),IF($B396="STD. DEVIATION",2,$F$1))))</f>
        <v/>
      </c>
      <c r="AB396" s="1" t="str">
        <f>IF(OR($B396="",AB$7=""),"",IF($B396="MEANS",INDEX('1-DATA'!$1:$1048576,$A395-1,COLUMN('1-DATA'!AA394)),ROUND(INDEX('1-DATA'!$1:$1048576,IF(OR($B396="STD. DEVIATION",$C$1=1),$A396,$A396+1),COLUMN('1-DATA'!AA394)),IF($B396="STD. DEVIATION",2,$F$1))))</f>
        <v/>
      </c>
      <c r="AC396" s="1" t="str">
        <f>IF(OR($B396="",AC$7=""),"",IF($B396="MEANS",INDEX('1-DATA'!$1:$1048576,$A395-1,COLUMN('1-DATA'!AB394)),ROUND(INDEX('1-DATA'!$1:$1048576,IF(OR($B396="STD. DEVIATION",$C$1=1),$A396,$A396+1),COLUMN('1-DATA'!AB394)),IF($B396="STD. DEVIATION",2,$F$1))))</f>
        <v/>
      </c>
      <c r="AD396" s="1" t="str">
        <f>IF(OR($B396="",AD$7=""),"",IF($B396="MEANS",INDEX('1-DATA'!$1:$1048576,$A395-1,COLUMN('1-DATA'!AC394)),ROUND(INDEX('1-DATA'!$1:$1048576,IF(OR($B396="STD. DEVIATION",$C$1=1),$A396,$A396+1),COLUMN('1-DATA'!AC394)),IF($B396="STD. DEVIATION",2,$F$1))))</f>
        <v/>
      </c>
      <c r="AE396" s="1" t="str">
        <f>IF(OR($B396="",AE$7=""),"",IF($B396="MEANS",INDEX('1-DATA'!$1:$1048576,$A395-1,COLUMN('1-DATA'!AD394)),ROUND(INDEX('1-DATA'!$1:$1048576,IF(OR($B396="STD. DEVIATION",$C$1=1),$A396,$A396+1),COLUMN('1-DATA'!AD394)),IF($B396="STD. DEVIATION",2,$F$1))))</f>
        <v/>
      </c>
      <c r="AF396" s="1" t="str">
        <f>IF(OR($B396="",AF$7=""),"",IF($B396="MEANS",INDEX('1-DATA'!$1:$1048576,$A395-1,COLUMN('1-DATA'!AE394)),ROUND(INDEX('1-DATA'!$1:$1048576,IF(OR($B396="STD. DEVIATION",$C$1=1),$A396,$A396+1),COLUMN('1-DATA'!AE394)),IF($B396="STD. DEVIATION",2,$F$1))))</f>
        <v/>
      </c>
      <c r="AG396" s="1" t="str">
        <f>IF(OR($B396="",AG$7=""),"",IF($B396="MEANS",INDEX('1-DATA'!$1:$1048576,$A395-1,COLUMN('1-DATA'!AF394)),ROUND(INDEX('1-DATA'!$1:$1048576,IF(OR($B396="STD. DEVIATION",$C$1=1),$A396,$A396+1),COLUMN('1-DATA'!AF394)),IF($B396="STD. DEVIATION",2,$F$1))))</f>
        <v/>
      </c>
      <c r="AH396" s="1" t="str">
        <f>IF(OR($B396="",AH$7=""),"",IF($B396="MEANS",INDEX('1-DATA'!$1:$1048576,$A395-1,COLUMN('1-DATA'!AG394)),ROUND(INDEX('1-DATA'!$1:$1048576,IF(OR($B396="STD. DEVIATION",$C$1=1),$A396,$A396+1),COLUMN('1-DATA'!AG394)),IF($B396="STD. DEVIATION",2,$F$1))))</f>
        <v/>
      </c>
      <c r="AI396" s="1" t="str">
        <f>IF(OR($B396="",AI$7=""),"",IF($B396="MEANS",INDEX('1-DATA'!$1:$1048576,$A395-1,COLUMN('1-DATA'!AH394)),ROUND(INDEX('1-DATA'!$1:$1048576,IF(OR($B396="STD. DEVIATION",$C$1=1),$A396,$A396+1),COLUMN('1-DATA'!AH394)),IF($B396="STD. DEVIATION",2,$F$1))))</f>
        <v/>
      </c>
      <c r="AJ396" s="1" t="str">
        <f>IF(OR($B396="",AJ$7=""),"",IF($B396="MEANS",INDEX('1-DATA'!$1:$1048576,$A395-1,COLUMN('1-DATA'!AI394)),ROUND(INDEX('1-DATA'!$1:$1048576,IF(OR($B396="STD. DEVIATION",$C$1=1),$A396,$A396+1),COLUMN('1-DATA'!AI394)),IF($B396="STD. DEVIATION",2,$F$1))))</f>
        <v/>
      </c>
      <c r="AK396" s="1" t="str">
        <f>IF(OR($B396="",AK$7=""),"",IF($B396="MEANS",INDEX('1-DATA'!$1:$1048576,$A395-1,COLUMN('1-DATA'!AJ394)),ROUND(INDEX('1-DATA'!$1:$1048576,IF(OR($B396="STD. DEVIATION",$C$1=1),$A396,$A396+1),COLUMN('1-DATA'!AJ394)),IF($B396="STD. DEVIATION",2,$F$1))))</f>
        <v/>
      </c>
      <c r="AL396" s="1" t="str">
        <f>IF(OR($B396="",AL$7=""),"",IF($B396="MEANS",INDEX('1-DATA'!$1:$1048576,$A395-1,COLUMN('1-DATA'!AK394)),ROUND(INDEX('1-DATA'!$1:$1048576,IF(OR($B396="STD. DEVIATION",$C$1=1),$A396,$A396+1),COLUMN('1-DATA'!AK394)),IF($B396="STD. DEVIATION",2,$F$1))))</f>
        <v/>
      </c>
      <c r="AM396" s="1" t="str">
        <f>IF(OR($B396="",AM$7=""),"",IF($B396="MEANS",INDEX('1-DATA'!$1:$1048576,$A395-1,COLUMN('1-DATA'!AL394)),ROUND(INDEX('1-DATA'!$1:$1048576,IF(OR($B396="STD. DEVIATION",$C$1=1),$A396,$A396+1),COLUMN('1-DATA'!AL394)),IF($B396="STD. DEVIATION",2,$F$1))))</f>
        <v/>
      </c>
      <c r="AN396" s="1" t="str">
        <f>IF(OR($B396="",AN$7=""),"",IF($B396="MEANS",INDEX('1-DATA'!$1:$1048576,$A395-1,COLUMN('1-DATA'!AM394)),ROUND(INDEX('1-DATA'!$1:$1048576,IF(OR($B396="STD. DEVIATION",$C$1=1),$A396,$A396+1),COLUMN('1-DATA'!AM394)),IF($B396="STD. DEVIATION",2,$F$1))))</f>
        <v/>
      </c>
      <c r="AO396" s="1" t="str">
        <f>IF(OR($B396="",AO$7=""),"",IF($B396="MEANS",INDEX('1-DATA'!$1:$1048576,$A395-1,COLUMN('1-DATA'!AN394)),ROUND(INDEX('1-DATA'!$1:$1048576,IF(OR($B396="STD. DEVIATION",$C$1=1),$A396,$A396+1),COLUMN('1-DATA'!AN394)),IF($B396="STD. DEVIATION",2,$F$1))))</f>
        <v/>
      </c>
      <c r="AP396" s="1" t="str">
        <f>IF(OR($B396="",AP$7=""),"",IF($B396="MEANS",INDEX('1-DATA'!$1:$1048576,$A395-1,COLUMN('1-DATA'!AO394)),ROUND(INDEX('1-DATA'!$1:$1048576,IF(OR($B396="STD. DEVIATION",$C$1=1),$A396,$A396+1),COLUMN('1-DATA'!AO394)),IF($B396="STD. DEVIATION",2,$F$1))))</f>
        <v/>
      </c>
      <c r="AQ396" s="1" t="str">
        <f>IF(OR($B396="",AQ$7=""),"",IF($B396="MEANS",INDEX('1-DATA'!$1:$1048576,$A395-1,COLUMN('1-DATA'!AP394)),ROUND(INDEX('1-DATA'!$1:$1048576,IF(OR($B396="STD. DEVIATION",$C$1=1),$A396,$A396+1),COLUMN('1-DATA'!AP394)),IF($B396="STD. DEVIATION",2,$F$1))))</f>
        <v/>
      </c>
      <c r="AR396" s="1" t="str">
        <f>IF(OR($B396="",AR$7=""),"",IF($B396="MEANS",INDEX('1-DATA'!$1:$1048576,$A395-1,COLUMN('1-DATA'!AQ394)),ROUND(INDEX('1-DATA'!$1:$1048576,IF(OR($B396="STD. DEVIATION",$C$1=1),$A396,$A396+1),COLUMN('1-DATA'!AQ394)),IF($B396="STD. DEVIATION",2,$F$1))))</f>
        <v/>
      </c>
      <c r="AS396" s="1" t="str">
        <f>IF(OR($B396="",AS$7=""),"",IF($B396="MEANS",INDEX('1-DATA'!$1:$1048576,$A395-1,COLUMN('1-DATA'!AR394)),ROUND(INDEX('1-DATA'!$1:$1048576,IF(OR($B396="STD. DEVIATION",$C$1=1),$A396,$A396+1),COLUMN('1-DATA'!AR394)),IF($B396="STD. DEVIATION",2,$F$1))))</f>
        <v/>
      </c>
      <c r="AT396" s="1" t="str">
        <f>IF(OR($B396="",AT$7=""),"",IF($B396="MEANS",INDEX('1-DATA'!$1:$1048576,$A395-1,COLUMN('1-DATA'!AS394)),ROUND(INDEX('1-DATA'!$1:$1048576,IF(OR($B396="STD. DEVIATION",$C$1=1),$A396,$A396+1),COLUMN('1-DATA'!AS394)),IF($B396="STD. DEVIATION",2,$F$1))))</f>
        <v/>
      </c>
      <c r="AU396" s="1" t="str">
        <f>IF(OR($B396="",AU$7=""),"",IF($B396="MEANS",INDEX('1-DATA'!$1:$1048576,$A395-1,COLUMN('1-DATA'!AT394)),ROUND(INDEX('1-DATA'!$1:$1048576,IF(OR($B396="STD. DEVIATION",$C$1=1),$A396,$A396+1),COLUMN('1-DATA'!AT394)),IF($B396="STD. DEVIATION",2,$F$1))))</f>
        <v/>
      </c>
      <c r="AV396" s="1" t="str">
        <f>IF(OR($B396="",AV$7=""),"",IF($B396="MEANS",INDEX('1-DATA'!$1:$1048576,$A395-1,COLUMN('1-DATA'!AU394)),ROUND(INDEX('1-DATA'!$1:$1048576,IF(OR($B396="STD. DEVIATION",$C$1=1),$A396,$A396+1),COLUMN('1-DATA'!AU394)),IF($B396="STD. DEVIATION",2,$F$1))))</f>
        <v/>
      </c>
      <c r="AW396" s="1" t="str">
        <f>IF(OR($B396="",AW$7=""),"",IF($B396="MEANS",INDEX('1-DATA'!$1:$1048576,$A395-1,COLUMN('1-DATA'!AV394)),ROUND(INDEX('1-DATA'!$1:$1048576,IF(OR($B396="STD. DEVIATION",$C$1=1),$A396,$A396+1),COLUMN('1-DATA'!AV394)),IF($B396="STD. DEVIATION",2,$F$1))))</f>
        <v/>
      </c>
      <c r="AX396" s="1" t="str">
        <f>IF(OR($B396="",AX$7=""),"",IF($B396="MEANS",INDEX('1-DATA'!$1:$1048576,$A395-1,COLUMN('1-DATA'!AW394)),ROUND(INDEX('1-DATA'!$1:$1048576,IF(OR($B396="STD. DEVIATION",$C$1=1),$A396,$A396+1),COLUMN('1-DATA'!AW394)),IF($B396="STD. DEVIATION",2,$F$1))))</f>
        <v/>
      </c>
      <c r="AY396" s="1" t="str">
        <f>IF(OR($B396="",AY$7=""),"",IF($B396="MEANS",INDEX('1-DATA'!$1:$1048576,$A395-1,COLUMN('1-DATA'!AX394)),ROUND(INDEX('1-DATA'!$1:$1048576,IF(OR($B396="STD. DEVIATION",$C$1=1),$A396,$A396+1),COLUMN('1-DATA'!AX394)),IF($B396="STD. DEVIATION",2,$F$1))))</f>
        <v/>
      </c>
      <c r="AZ396" s="1" t="str">
        <f>IF(OR($B396="",AZ$7=""),"",IF($B396="MEANS",INDEX('1-DATA'!$1:$1048576,$A395-1,COLUMN('1-DATA'!AY394)),ROUND(INDEX('1-DATA'!$1:$1048576,IF(OR($B396="STD. DEVIATION",$C$1=1),$A396,$A396+1),COLUMN('1-DATA'!AY394)),IF($B396="STD. DEVIATION",2,$F$1))))</f>
        <v/>
      </c>
    </row>
    <row r="397" spans="1:52" x14ac:dyDescent="0.25">
      <c r="A397" s="11">
        <f t="shared" si="6"/>
        <v>1177</v>
      </c>
      <c r="B397" s="1" t="str">
        <f>IF(B396="STD. DEVIATION",INDEX('1-DATA'!$1:$1048576,$A396-1,1),IF(INDEX('1-DATA'!$1:$1048576,$A397,1)&lt;&gt;"",INDEX('1-DATA'!$1:$1048576,$A397,1),""))</f>
        <v/>
      </c>
      <c r="C397" s="1" t="str">
        <f>IF(OR($B397="",C$7=""),"",IF($B397="MEANS",INDEX('1-DATA'!$1:$1048576,$A396-1,COLUMN('1-DATA'!B395)),ROUND(INDEX('1-DATA'!$1:$1048576,IF(OR($B397="STD. DEVIATION",$C$1=1),$A397,$A397+1),COLUMN('1-DATA'!B395)),IF($B397="STD. DEVIATION",2,$F$1))))</f>
        <v/>
      </c>
      <c r="D397" s="1" t="str">
        <f>IF(OR($B397="",D$7=""),"",IF($B397="MEANS",INDEX('1-DATA'!$1:$1048576,$A396-1,COLUMN('1-DATA'!C395)),ROUND(INDEX('1-DATA'!$1:$1048576,IF(OR($B397="STD. DEVIATION",$C$1=1),$A397,$A397+1),COLUMN('1-DATA'!C395)),IF($B397="STD. DEVIATION",2,$F$1))))</f>
        <v/>
      </c>
      <c r="E397" s="1" t="str">
        <f>IF(OR($B397="",E$7=""),"",IF($B397="MEANS",INDEX('1-DATA'!$1:$1048576,$A396-1,COLUMN('1-DATA'!D395)),ROUND(INDEX('1-DATA'!$1:$1048576,IF(OR($B397="STD. DEVIATION",$C$1=1),$A397,$A397+1),COLUMN('1-DATA'!D395)),IF($B397="STD. DEVIATION",2,$F$1))))</f>
        <v/>
      </c>
      <c r="F397" s="1" t="str">
        <f>IF(OR($B397="",F$7=""),"",IF($B397="MEANS",INDEX('1-DATA'!$1:$1048576,$A396-1,COLUMN('1-DATA'!E395)),ROUND(INDEX('1-DATA'!$1:$1048576,IF(OR($B397="STD. DEVIATION",$C$1=1),$A397,$A397+1),COLUMN('1-DATA'!E395)),IF($B397="STD. DEVIATION",2,$F$1))))</f>
        <v/>
      </c>
      <c r="G397" s="1" t="str">
        <f>IF(OR($B397="",G$7=""),"",IF($B397="MEANS",INDEX('1-DATA'!$1:$1048576,$A396-1,COLUMN('1-DATA'!F395)),ROUND(INDEX('1-DATA'!$1:$1048576,IF(OR($B397="STD. DEVIATION",$C$1=1),$A397,$A397+1),COLUMN('1-DATA'!F395)),IF($B397="STD. DEVIATION",2,$F$1))))</f>
        <v/>
      </c>
      <c r="H397" s="1" t="str">
        <f>IF(OR($B397="",H$7=""),"",IF($B397="MEANS",INDEX('1-DATA'!$1:$1048576,$A396-1,COLUMN('1-DATA'!G395)),ROUND(INDEX('1-DATA'!$1:$1048576,IF(OR($B397="STD. DEVIATION",$C$1=1),$A397,$A397+1),COLUMN('1-DATA'!G395)),IF($B397="STD. DEVIATION",2,$F$1))))</f>
        <v/>
      </c>
      <c r="I397" s="1" t="str">
        <f>IF(OR($B397="",I$7=""),"",IF($B397="MEANS",INDEX('1-DATA'!$1:$1048576,$A396-1,COLUMN('1-DATA'!H395)),ROUND(INDEX('1-DATA'!$1:$1048576,IF(OR($B397="STD. DEVIATION",$C$1=1),$A397,$A397+1),COLUMN('1-DATA'!H395)),IF($B397="STD. DEVIATION",2,$F$1))))</f>
        <v/>
      </c>
      <c r="J397" s="1" t="str">
        <f>IF(OR($B397="",J$7=""),"",IF($B397="MEANS",INDEX('1-DATA'!$1:$1048576,$A396-1,COLUMN('1-DATA'!I395)),ROUND(INDEX('1-DATA'!$1:$1048576,IF(OR($B397="STD. DEVIATION",$C$1=1),$A397,$A397+1),COLUMN('1-DATA'!I395)),IF($B397="STD. DEVIATION",2,$F$1))))</f>
        <v/>
      </c>
      <c r="K397" s="1" t="str">
        <f>IF(OR($B397="",K$7=""),"",IF($B397="MEANS",INDEX('1-DATA'!$1:$1048576,$A396-1,COLUMN('1-DATA'!J395)),ROUND(INDEX('1-DATA'!$1:$1048576,IF(OR($B397="STD. DEVIATION",$C$1=1),$A397,$A397+1),COLUMN('1-DATA'!J395)),IF($B397="STD. DEVIATION",2,$F$1))))</f>
        <v/>
      </c>
      <c r="L397" s="1" t="str">
        <f>IF(OR($B397="",L$7=""),"",IF($B397="MEANS",INDEX('1-DATA'!$1:$1048576,$A396-1,COLUMN('1-DATA'!K395)),ROUND(INDEX('1-DATA'!$1:$1048576,IF(OR($B397="STD. DEVIATION",$C$1=1),$A397,$A397+1),COLUMN('1-DATA'!K395)),IF($B397="STD. DEVIATION",2,$F$1))))</f>
        <v/>
      </c>
      <c r="M397" s="1" t="str">
        <f>IF(OR($B397="",M$7=""),"",IF($B397="MEANS",INDEX('1-DATA'!$1:$1048576,$A396-1,COLUMN('1-DATA'!L395)),ROUND(INDEX('1-DATA'!$1:$1048576,IF(OR($B397="STD. DEVIATION",$C$1=1),$A397,$A397+1),COLUMN('1-DATA'!L395)),IF($B397="STD. DEVIATION",2,$F$1))))</f>
        <v/>
      </c>
      <c r="N397" s="1" t="str">
        <f>IF(OR($B397="",N$7=""),"",IF($B397="MEANS",INDEX('1-DATA'!$1:$1048576,$A396-1,COLUMN('1-DATA'!M395)),ROUND(INDEX('1-DATA'!$1:$1048576,IF(OR($B397="STD. DEVIATION",$C$1=1),$A397,$A397+1),COLUMN('1-DATA'!M395)),IF($B397="STD. DEVIATION",2,$F$1))))</f>
        <v/>
      </c>
      <c r="O397" s="1" t="str">
        <f>IF(OR($B397="",O$7=""),"",IF($B397="MEANS",INDEX('1-DATA'!$1:$1048576,$A396-1,COLUMN('1-DATA'!N395)),ROUND(INDEX('1-DATA'!$1:$1048576,IF(OR($B397="STD. DEVIATION",$C$1=1),$A397,$A397+1),COLUMN('1-DATA'!N395)),IF($B397="STD. DEVIATION",2,$F$1))))</f>
        <v/>
      </c>
      <c r="P397" s="1" t="str">
        <f>IF(OR($B397="",P$7=""),"",IF($B397="MEANS",INDEX('1-DATA'!$1:$1048576,$A396-1,COLUMN('1-DATA'!O395)),ROUND(INDEX('1-DATA'!$1:$1048576,IF(OR($B397="STD. DEVIATION",$C$1=1),$A397,$A397+1),COLUMN('1-DATA'!O395)),IF($B397="STD. DEVIATION",2,$F$1))))</f>
        <v/>
      </c>
      <c r="Q397" s="1" t="str">
        <f>IF(OR($B397="",Q$7=""),"",IF($B397="MEANS",INDEX('1-DATA'!$1:$1048576,$A396-1,COLUMN('1-DATA'!P395)),ROUND(INDEX('1-DATA'!$1:$1048576,IF(OR($B397="STD. DEVIATION",$C$1=1),$A397,$A397+1),COLUMN('1-DATA'!P395)),IF($B397="STD. DEVIATION",2,$F$1))))</f>
        <v/>
      </c>
      <c r="R397" s="1" t="str">
        <f>IF(OR($B397="",R$7=""),"",IF($B397="MEANS",INDEX('1-DATA'!$1:$1048576,$A396-1,COLUMN('1-DATA'!Q395)),ROUND(INDEX('1-DATA'!$1:$1048576,IF(OR($B397="STD. DEVIATION",$C$1=1),$A397,$A397+1),COLUMN('1-DATA'!Q395)),IF($B397="STD. DEVIATION",2,$F$1))))</f>
        <v/>
      </c>
      <c r="S397" s="1" t="str">
        <f>IF(OR($B397="",S$7=""),"",IF($B397="MEANS",INDEX('1-DATA'!$1:$1048576,$A396-1,COLUMN('1-DATA'!R395)),ROUND(INDEX('1-DATA'!$1:$1048576,IF(OR($B397="STD. DEVIATION",$C$1=1),$A397,$A397+1),COLUMN('1-DATA'!R395)),IF($B397="STD. DEVIATION",2,$F$1))))</f>
        <v/>
      </c>
      <c r="T397" s="1" t="str">
        <f>IF(OR($B397="",T$7=""),"",IF($B397="MEANS",INDEX('1-DATA'!$1:$1048576,$A396-1,COLUMN('1-DATA'!S395)),ROUND(INDEX('1-DATA'!$1:$1048576,IF(OR($B397="STD. DEVIATION",$C$1=1),$A397,$A397+1),COLUMN('1-DATA'!S395)),IF($B397="STD. DEVIATION",2,$F$1))))</f>
        <v/>
      </c>
      <c r="U397" s="1" t="str">
        <f>IF(OR($B397="",U$7=""),"",IF($B397="MEANS",INDEX('1-DATA'!$1:$1048576,$A396-1,COLUMN('1-DATA'!T395)),ROUND(INDEX('1-DATA'!$1:$1048576,IF(OR($B397="STD. DEVIATION",$C$1=1),$A397,$A397+1),COLUMN('1-DATA'!T395)),IF($B397="STD. DEVIATION",2,$F$1))))</f>
        <v/>
      </c>
      <c r="V397" s="1" t="str">
        <f>IF(OR($B397="",V$7=""),"",IF($B397="MEANS",INDEX('1-DATA'!$1:$1048576,$A396-1,COLUMN('1-DATA'!U395)),ROUND(INDEX('1-DATA'!$1:$1048576,IF(OR($B397="STD. DEVIATION",$C$1=1),$A397,$A397+1),COLUMN('1-DATA'!U395)),IF($B397="STD. DEVIATION",2,$F$1))))</f>
        <v/>
      </c>
      <c r="W397" s="1" t="str">
        <f>IF(OR($B397="",W$7=""),"",IF($B397="MEANS",INDEX('1-DATA'!$1:$1048576,$A396-1,COLUMN('1-DATA'!V395)),ROUND(INDEX('1-DATA'!$1:$1048576,IF(OR($B397="STD. DEVIATION",$C$1=1),$A397,$A397+1),COLUMN('1-DATA'!V395)),IF($B397="STD. DEVIATION",2,$F$1))))</f>
        <v/>
      </c>
      <c r="X397" s="1" t="str">
        <f>IF(OR($B397="",X$7=""),"",IF($B397="MEANS",INDEX('1-DATA'!$1:$1048576,$A396-1,COLUMN('1-DATA'!W395)),ROUND(INDEX('1-DATA'!$1:$1048576,IF(OR($B397="STD. DEVIATION",$C$1=1),$A397,$A397+1),COLUMN('1-DATA'!W395)),IF($B397="STD. DEVIATION",2,$F$1))))</f>
        <v/>
      </c>
      <c r="Y397" s="1" t="str">
        <f>IF(OR($B397="",Y$7=""),"",IF($B397="MEANS",INDEX('1-DATA'!$1:$1048576,$A396-1,COLUMN('1-DATA'!X395)),ROUND(INDEX('1-DATA'!$1:$1048576,IF(OR($B397="STD. DEVIATION",$C$1=1),$A397,$A397+1),COLUMN('1-DATA'!X395)),IF($B397="STD. DEVIATION",2,$F$1))))</f>
        <v/>
      </c>
      <c r="Z397" s="1" t="str">
        <f>IF(OR($B397="",Z$7=""),"",IF($B397="MEANS",INDEX('1-DATA'!$1:$1048576,$A396-1,COLUMN('1-DATA'!Y395)),ROUND(INDEX('1-DATA'!$1:$1048576,IF(OR($B397="STD. DEVIATION",$C$1=1),$A397,$A397+1),COLUMN('1-DATA'!Y395)),IF($B397="STD. DEVIATION",2,$F$1))))</f>
        <v/>
      </c>
      <c r="AA397" s="1" t="str">
        <f>IF(OR($B397="",AA$7=""),"",IF($B397="MEANS",INDEX('1-DATA'!$1:$1048576,$A396-1,COLUMN('1-DATA'!Z395)),ROUND(INDEX('1-DATA'!$1:$1048576,IF(OR($B397="STD. DEVIATION",$C$1=1),$A397,$A397+1),COLUMN('1-DATA'!Z395)),IF($B397="STD. DEVIATION",2,$F$1))))</f>
        <v/>
      </c>
      <c r="AB397" s="1" t="str">
        <f>IF(OR($B397="",AB$7=""),"",IF($B397="MEANS",INDEX('1-DATA'!$1:$1048576,$A396-1,COLUMN('1-DATA'!AA395)),ROUND(INDEX('1-DATA'!$1:$1048576,IF(OR($B397="STD. DEVIATION",$C$1=1),$A397,$A397+1),COLUMN('1-DATA'!AA395)),IF($B397="STD. DEVIATION",2,$F$1))))</f>
        <v/>
      </c>
      <c r="AC397" s="1" t="str">
        <f>IF(OR($B397="",AC$7=""),"",IF($B397="MEANS",INDEX('1-DATA'!$1:$1048576,$A396-1,COLUMN('1-DATA'!AB395)),ROUND(INDEX('1-DATA'!$1:$1048576,IF(OR($B397="STD. DEVIATION",$C$1=1),$A397,$A397+1),COLUMN('1-DATA'!AB395)),IF($B397="STD. DEVIATION",2,$F$1))))</f>
        <v/>
      </c>
      <c r="AD397" s="1" t="str">
        <f>IF(OR($B397="",AD$7=""),"",IF($B397="MEANS",INDEX('1-DATA'!$1:$1048576,$A396-1,COLUMN('1-DATA'!AC395)),ROUND(INDEX('1-DATA'!$1:$1048576,IF(OR($B397="STD. DEVIATION",$C$1=1),$A397,$A397+1),COLUMN('1-DATA'!AC395)),IF($B397="STD. DEVIATION",2,$F$1))))</f>
        <v/>
      </c>
      <c r="AE397" s="1" t="str">
        <f>IF(OR($B397="",AE$7=""),"",IF($B397="MEANS",INDEX('1-DATA'!$1:$1048576,$A396-1,COLUMN('1-DATA'!AD395)),ROUND(INDEX('1-DATA'!$1:$1048576,IF(OR($B397="STD. DEVIATION",$C$1=1),$A397,$A397+1),COLUMN('1-DATA'!AD395)),IF($B397="STD. DEVIATION",2,$F$1))))</f>
        <v/>
      </c>
      <c r="AF397" s="1" t="str">
        <f>IF(OR($B397="",AF$7=""),"",IF($B397="MEANS",INDEX('1-DATA'!$1:$1048576,$A396-1,COLUMN('1-DATA'!AE395)),ROUND(INDEX('1-DATA'!$1:$1048576,IF(OR($B397="STD. DEVIATION",$C$1=1),$A397,$A397+1),COLUMN('1-DATA'!AE395)),IF($B397="STD. DEVIATION",2,$F$1))))</f>
        <v/>
      </c>
      <c r="AG397" s="1" t="str">
        <f>IF(OR($B397="",AG$7=""),"",IF($B397="MEANS",INDEX('1-DATA'!$1:$1048576,$A396-1,COLUMN('1-DATA'!AF395)),ROUND(INDEX('1-DATA'!$1:$1048576,IF(OR($B397="STD. DEVIATION",$C$1=1),$A397,$A397+1),COLUMN('1-DATA'!AF395)),IF($B397="STD. DEVIATION",2,$F$1))))</f>
        <v/>
      </c>
      <c r="AH397" s="1" t="str">
        <f>IF(OR($B397="",AH$7=""),"",IF($B397="MEANS",INDEX('1-DATA'!$1:$1048576,$A396-1,COLUMN('1-DATA'!AG395)),ROUND(INDEX('1-DATA'!$1:$1048576,IF(OR($B397="STD. DEVIATION",$C$1=1),$A397,$A397+1),COLUMN('1-DATA'!AG395)),IF($B397="STD. DEVIATION",2,$F$1))))</f>
        <v/>
      </c>
      <c r="AI397" s="1" t="str">
        <f>IF(OR($B397="",AI$7=""),"",IF($B397="MEANS",INDEX('1-DATA'!$1:$1048576,$A396-1,COLUMN('1-DATA'!AH395)),ROUND(INDEX('1-DATA'!$1:$1048576,IF(OR($B397="STD. DEVIATION",$C$1=1),$A397,$A397+1),COLUMN('1-DATA'!AH395)),IF($B397="STD. DEVIATION",2,$F$1))))</f>
        <v/>
      </c>
      <c r="AJ397" s="1" t="str">
        <f>IF(OR($B397="",AJ$7=""),"",IF($B397="MEANS",INDEX('1-DATA'!$1:$1048576,$A396-1,COLUMN('1-DATA'!AI395)),ROUND(INDEX('1-DATA'!$1:$1048576,IF(OR($B397="STD. DEVIATION",$C$1=1),$A397,$A397+1),COLUMN('1-DATA'!AI395)),IF($B397="STD. DEVIATION",2,$F$1))))</f>
        <v/>
      </c>
      <c r="AK397" s="1" t="str">
        <f>IF(OR($B397="",AK$7=""),"",IF($B397="MEANS",INDEX('1-DATA'!$1:$1048576,$A396-1,COLUMN('1-DATA'!AJ395)),ROUND(INDEX('1-DATA'!$1:$1048576,IF(OR($B397="STD. DEVIATION",$C$1=1),$A397,$A397+1),COLUMN('1-DATA'!AJ395)),IF($B397="STD. DEVIATION",2,$F$1))))</f>
        <v/>
      </c>
      <c r="AL397" s="1" t="str">
        <f>IF(OR($B397="",AL$7=""),"",IF($B397="MEANS",INDEX('1-DATA'!$1:$1048576,$A396-1,COLUMN('1-DATA'!AK395)),ROUND(INDEX('1-DATA'!$1:$1048576,IF(OR($B397="STD. DEVIATION",$C$1=1),$A397,$A397+1),COLUMN('1-DATA'!AK395)),IF($B397="STD. DEVIATION",2,$F$1))))</f>
        <v/>
      </c>
      <c r="AM397" s="1" t="str">
        <f>IF(OR($B397="",AM$7=""),"",IF($B397="MEANS",INDEX('1-DATA'!$1:$1048576,$A396-1,COLUMN('1-DATA'!AL395)),ROUND(INDEX('1-DATA'!$1:$1048576,IF(OR($B397="STD. DEVIATION",$C$1=1),$A397,$A397+1),COLUMN('1-DATA'!AL395)),IF($B397="STD. DEVIATION",2,$F$1))))</f>
        <v/>
      </c>
      <c r="AN397" s="1" t="str">
        <f>IF(OR($B397="",AN$7=""),"",IF($B397="MEANS",INDEX('1-DATA'!$1:$1048576,$A396-1,COLUMN('1-DATA'!AM395)),ROUND(INDEX('1-DATA'!$1:$1048576,IF(OR($B397="STD. DEVIATION",$C$1=1),$A397,$A397+1),COLUMN('1-DATA'!AM395)),IF($B397="STD. DEVIATION",2,$F$1))))</f>
        <v/>
      </c>
      <c r="AO397" s="1" t="str">
        <f>IF(OR($B397="",AO$7=""),"",IF($B397="MEANS",INDEX('1-DATA'!$1:$1048576,$A396-1,COLUMN('1-DATA'!AN395)),ROUND(INDEX('1-DATA'!$1:$1048576,IF(OR($B397="STD. DEVIATION",$C$1=1),$A397,$A397+1),COLUMN('1-DATA'!AN395)),IF($B397="STD. DEVIATION",2,$F$1))))</f>
        <v/>
      </c>
      <c r="AP397" s="1" t="str">
        <f>IF(OR($B397="",AP$7=""),"",IF($B397="MEANS",INDEX('1-DATA'!$1:$1048576,$A396-1,COLUMN('1-DATA'!AO395)),ROUND(INDEX('1-DATA'!$1:$1048576,IF(OR($B397="STD. DEVIATION",$C$1=1),$A397,$A397+1),COLUMN('1-DATA'!AO395)),IF($B397="STD. DEVIATION",2,$F$1))))</f>
        <v/>
      </c>
      <c r="AQ397" s="1" t="str">
        <f>IF(OR($B397="",AQ$7=""),"",IF($B397="MEANS",INDEX('1-DATA'!$1:$1048576,$A396-1,COLUMN('1-DATA'!AP395)),ROUND(INDEX('1-DATA'!$1:$1048576,IF(OR($B397="STD. DEVIATION",$C$1=1),$A397,$A397+1),COLUMN('1-DATA'!AP395)),IF($B397="STD. DEVIATION",2,$F$1))))</f>
        <v/>
      </c>
      <c r="AR397" s="1" t="str">
        <f>IF(OR($B397="",AR$7=""),"",IF($B397="MEANS",INDEX('1-DATA'!$1:$1048576,$A396-1,COLUMN('1-DATA'!AQ395)),ROUND(INDEX('1-DATA'!$1:$1048576,IF(OR($B397="STD. DEVIATION",$C$1=1),$A397,$A397+1),COLUMN('1-DATA'!AQ395)),IF($B397="STD. DEVIATION",2,$F$1))))</f>
        <v/>
      </c>
      <c r="AS397" s="1" t="str">
        <f>IF(OR($B397="",AS$7=""),"",IF($B397="MEANS",INDEX('1-DATA'!$1:$1048576,$A396-1,COLUMN('1-DATA'!AR395)),ROUND(INDEX('1-DATA'!$1:$1048576,IF(OR($B397="STD. DEVIATION",$C$1=1),$A397,$A397+1),COLUMN('1-DATA'!AR395)),IF($B397="STD. DEVIATION",2,$F$1))))</f>
        <v/>
      </c>
      <c r="AT397" s="1" t="str">
        <f>IF(OR($B397="",AT$7=""),"",IF($B397="MEANS",INDEX('1-DATA'!$1:$1048576,$A396-1,COLUMN('1-DATA'!AS395)),ROUND(INDEX('1-DATA'!$1:$1048576,IF(OR($B397="STD. DEVIATION",$C$1=1),$A397,$A397+1),COLUMN('1-DATA'!AS395)),IF($B397="STD. DEVIATION",2,$F$1))))</f>
        <v/>
      </c>
      <c r="AU397" s="1" t="str">
        <f>IF(OR($B397="",AU$7=""),"",IF($B397="MEANS",INDEX('1-DATA'!$1:$1048576,$A396-1,COLUMN('1-DATA'!AT395)),ROUND(INDEX('1-DATA'!$1:$1048576,IF(OR($B397="STD. DEVIATION",$C$1=1),$A397,$A397+1),COLUMN('1-DATA'!AT395)),IF($B397="STD. DEVIATION",2,$F$1))))</f>
        <v/>
      </c>
      <c r="AV397" s="1" t="str">
        <f>IF(OR($B397="",AV$7=""),"",IF($B397="MEANS",INDEX('1-DATA'!$1:$1048576,$A396-1,COLUMN('1-DATA'!AU395)),ROUND(INDEX('1-DATA'!$1:$1048576,IF(OR($B397="STD. DEVIATION",$C$1=1),$A397,$A397+1),COLUMN('1-DATA'!AU395)),IF($B397="STD. DEVIATION",2,$F$1))))</f>
        <v/>
      </c>
      <c r="AW397" s="1" t="str">
        <f>IF(OR($B397="",AW$7=""),"",IF($B397="MEANS",INDEX('1-DATA'!$1:$1048576,$A396-1,COLUMN('1-DATA'!AV395)),ROUND(INDEX('1-DATA'!$1:$1048576,IF(OR($B397="STD. DEVIATION",$C$1=1),$A397,$A397+1),COLUMN('1-DATA'!AV395)),IF($B397="STD. DEVIATION",2,$F$1))))</f>
        <v/>
      </c>
      <c r="AX397" s="1" t="str">
        <f>IF(OR($B397="",AX$7=""),"",IF($B397="MEANS",INDEX('1-DATA'!$1:$1048576,$A396-1,COLUMN('1-DATA'!AW395)),ROUND(INDEX('1-DATA'!$1:$1048576,IF(OR($B397="STD. DEVIATION",$C$1=1),$A397,$A397+1),COLUMN('1-DATA'!AW395)),IF($B397="STD. DEVIATION",2,$F$1))))</f>
        <v/>
      </c>
      <c r="AY397" s="1" t="str">
        <f>IF(OR($B397="",AY$7=""),"",IF($B397="MEANS",INDEX('1-DATA'!$1:$1048576,$A396-1,COLUMN('1-DATA'!AX395)),ROUND(INDEX('1-DATA'!$1:$1048576,IF(OR($B397="STD. DEVIATION",$C$1=1),$A397,$A397+1),COLUMN('1-DATA'!AX395)),IF($B397="STD. DEVIATION",2,$F$1))))</f>
        <v/>
      </c>
      <c r="AZ397" s="1" t="str">
        <f>IF(OR($B397="",AZ$7=""),"",IF($B397="MEANS",INDEX('1-DATA'!$1:$1048576,$A396-1,COLUMN('1-DATA'!AY395)),ROUND(INDEX('1-DATA'!$1:$1048576,IF(OR($B397="STD. DEVIATION",$C$1=1),$A397,$A397+1),COLUMN('1-DATA'!AY395)),IF($B397="STD. DEVIATION",2,$F$1))))</f>
        <v/>
      </c>
    </row>
    <row r="398" spans="1:52" x14ac:dyDescent="0.25">
      <c r="A398" s="11">
        <f t="shared" si="6"/>
        <v>1180</v>
      </c>
      <c r="B398" s="1" t="str">
        <f>IF(B397="STD. DEVIATION",INDEX('1-DATA'!$1:$1048576,$A397-1,1),IF(INDEX('1-DATA'!$1:$1048576,$A398,1)&lt;&gt;"",INDEX('1-DATA'!$1:$1048576,$A398,1),""))</f>
        <v/>
      </c>
      <c r="C398" s="1" t="str">
        <f>IF(OR($B398="",C$7=""),"",IF($B398="MEANS",INDEX('1-DATA'!$1:$1048576,$A397-1,COLUMN('1-DATA'!B396)),ROUND(INDEX('1-DATA'!$1:$1048576,IF(OR($B398="STD. DEVIATION",$C$1=1),$A398,$A398+1),COLUMN('1-DATA'!B396)),IF($B398="STD. DEVIATION",2,$F$1))))</f>
        <v/>
      </c>
      <c r="D398" s="1" t="str">
        <f>IF(OR($B398="",D$7=""),"",IF($B398="MEANS",INDEX('1-DATA'!$1:$1048576,$A397-1,COLUMN('1-DATA'!C396)),ROUND(INDEX('1-DATA'!$1:$1048576,IF(OR($B398="STD. DEVIATION",$C$1=1),$A398,$A398+1),COLUMN('1-DATA'!C396)),IF($B398="STD. DEVIATION",2,$F$1))))</f>
        <v/>
      </c>
      <c r="E398" s="1" t="str">
        <f>IF(OR($B398="",E$7=""),"",IF($B398="MEANS",INDEX('1-DATA'!$1:$1048576,$A397-1,COLUMN('1-DATA'!D396)),ROUND(INDEX('1-DATA'!$1:$1048576,IF(OR($B398="STD. DEVIATION",$C$1=1),$A398,$A398+1),COLUMN('1-DATA'!D396)),IF($B398="STD. DEVIATION",2,$F$1))))</f>
        <v/>
      </c>
      <c r="F398" s="1" t="str">
        <f>IF(OR($B398="",F$7=""),"",IF($B398="MEANS",INDEX('1-DATA'!$1:$1048576,$A397-1,COLUMN('1-DATA'!E396)),ROUND(INDEX('1-DATA'!$1:$1048576,IF(OR($B398="STD. DEVIATION",$C$1=1),$A398,$A398+1),COLUMN('1-DATA'!E396)),IF($B398="STD. DEVIATION",2,$F$1))))</f>
        <v/>
      </c>
      <c r="G398" s="1" t="str">
        <f>IF(OR($B398="",G$7=""),"",IF($B398="MEANS",INDEX('1-DATA'!$1:$1048576,$A397-1,COLUMN('1-DATA'!F396)),ROUND(INDEX('1-DATA'!$1:$1048576,IF(OR($B398="STD. DEVIATION",$C$1=1),$A398,$A398+1),COLUMN('1-DATA'!F396)),IF($B398="STD. DEVIATION",2,$F$1))))</f>
        <v/>
      </c>
      <c r="H398" s="1" t="str">
        <f>IF(OR($B398="",H$7=""),"",IF($B398="MEANS",INDEX('1-DATA'!$1:$1048576,$A397-1,COLUMN('1-DATA'!G396)),ROUND(INDEX('1-DATA'!$1:$1048576,IF(OR($B398="STD. DEVIATION",$C$1=1),$A398,$A398+1),COLUMN('1-DATA'!G396)),IF($B398="STD. DEVIATION",2,$F$1))))</f>
        <v/>
      </c>
      <c r="I398" s="1" t="str">
        <f>IF(OR($B398="",I$7=""),"",IF($B398="MEANS",INDEX('1-DATA'!$1:$1048576,$A397-1,COLUMN('1-DATA'!H396)),ROUND(INDEX('1-DATA'!$1:$1048576,IF(OR($B398="STD. DEVIATION",$C$1=1),$A398,$A398+1),COLUMN('1-DATA'!H396)),IF($B398="STD. DEVIATION",2,$F$1))))</f>
        <v/>
      </c>
      <c r="J398" s="1" t="str">
        <f>IF(OR($B398="",J$7=""),"",IF($B398="MEANS",INDEX('1-DATA'!$1:$1048576,$A397-1,COLUMN('1-DATA'!I396)),ROUND(INDEX('1-DATA'!$1:$1048576,IF(OR($B398="STD. DEVIATION",$C$1=1),$A398,$A398+1),COLUMN('1-DATA'!I396)),IF($B398="STD. DEVIATION",2,$F$1))))</f>
        <v/>
      </c>
      <c r="K398" s="1" t="str">
        <f>IF(OR($B398="",K$7=""),"",IF($B398="MEANS",INDEX('1-DATA'!$1:$1048576,$A397-1,COLUMN('1-DATA'!J396)),ROUND(INDEX('1-DATA'!$1:$1048576,IF(OR($B398="STD. DEVIATION",$C$1=1),$A398,$A398+1),COLUMN('1-DATA'!J396)),IF($B398="STD. DEVIATION",2,$F$1))))</f>
        <v/>
      </c>
      <c r="L398" s="1" t="str">
        <f>IF(OR($B398="",L$7=""),"",IF($B398="MEANS",INDEX('1-DATA'!$1:$1048576,$A397-1,COLUMN('1-DATA'!K396)),ROUND(INDEX('1-DATA'!$1:$1048576,IF(OR($B398="STD. DEVIATION",$C$1=1),$A398,$A398+1),COLUMN('1-DATA'!K396)),IF($B398="STD. DEVIATION",2,$F$1))))</f>
        <v/>
      </c>
      <c r="M398" s="1" t="str">
        <f>IF(OR($B398="",M$7=""),"",IF($B398="MEANS",INDEX('1-DATA'!$1:$1048576,$A397-1,COLUMN('1-DATA'!L396)),ROUND(INDEX('1-DATA'!$1:$1048576,IF(OR($B398="STD. DEVIATION",$C$1=1),$A398,$A398+1),COLUMN('1-DATA'!L396)),IF($B398="STD. DEVIATION",2,$F$1))))</f>
        <v/>
      </c>
      <c r="N398" s="1" t="str">
        <f>IF(OR($B398="",N$7=""),"",IF($B398="MEANS",INDEX('1-DATA'!$1:$1048576,$A397-1,COLUMN('1-DATA'!M396)),ROUND(INDEX('1-DATA'!$1:$1048576,IF(OR($B398="STD. DEVIATION",$C$1=1),$A398,$A398+1),COLUMN('1-DATA'!M396)),IF($B398="STD. DEVIATION",2,$F$1))))</f>
        <v/>
      </c>
      <c r="O398" s="1" t="str">
        <f>IF(OR($B398="",O$7=""),"",IF($B398="MEANS",INDEX('1-DATA'!$1:$1048576,$A397-1,COLUMN('1-DATA'!N396)),ROUND(INDEX('1-DATA'!$1:$1048576,IF(OR($B398="STD. DEVIATION",$C$1=1),$A398,$A398+1),COLUMN('1-DATA'!N396)),IF($B398="STD. DEVIATION",2,$F$1))))</f>
        <v/>
      </c>
      <c r="P398" s="1" t="str">
        <f>IF(OR($B398="",P$7=""),"",IF($B398="MEANS",INDEX('1-DATA'!$1:$1048576,$A397-1,COLUMN('1-DATA'!O396)),ROUND(INDEX('1-DATA'!$1:$1048576,IF(OR($B398="STD. DEVIATION",$C$1=1),$A398,$A398+1),COLUMN('1-DATA'!O396)),IF($B398="STD. DEVIATION",2,$F$1))))</f>
        <v/>
      </c>
      <c r="Q398" s="1" t="str">
        <f>IF(OR($B398="",Q$7=""),"",IF($B398="MEANS",INDEX('1-DATA'!$1:$1048576,$A397-1,COLUMN('1-DATA'!P396)),ROUND(INDEX('1-DATA'!$1:$1048576,IF(OR($B398="STD. DEVIATION",$C$1=1),$A398,$A398+1),COLUMN('1-DATA'!P396)),IF($B398="STD. DEVIATION",2,$F$1))))</f>
        <v/>
      </c>
      <c r="R398" s="1" t="str">
        <f>IF(OR($B398="",R$7=""),"",IF($B398="MEANS",INDEX('1-DATA'!$1:$1048576,$A397-1,COLUMN('1-DATA'!Q396)),ROUND(INDEX('1-DATA'!$1:$1048576,IF(OR($B398="STD. DEVIATION",$C$1=1),$A398,$A398+1),COLUMN('1-DATA'!Q396)),IF($B398="STD. DEVIATION",2,$F$1))))</f>
        <v/>
      </c>
      <c r="S398" s="1" t="str">
        <f>IF(OR($B398="",S$7=""),"",IF($B398="MEANS",INDEX('1-DATA'!$1:$1048576,$A397-1,COLUMN('1-DATA'!R396)),ROUND(INDEX('1-DATA'!$1:$1048576,IF(OR($B398="STD. DEVIATION",$C$1=1),$A398,$A398+1),COLUMN('1-DATA'!R396)),IF($B398="STD. DEVIATION",2,$F$1))))</f>
        <v/>
      </c>
      <c r="T398" s="1" t="str">
        <f>IF(OR($B398="",T$7=""),"",IF($B398="MEANS",INDEX('1-DATA'!$1:$1048576,$A397-1,COLUMN('1-DATA'!S396)),ROUND(INDEX('1-DATA'!$1:$1048576,IF(OR($B398="STD. DEVIATION",$C$1=1),$A398,$A398+1),COLUMN('1-DATA'!S396)),IF($B398="STD. DEVIATION",2,$F$1))))</f>
        <v/>
      </c>
      <c r="U398" s="1" t="str">
        <f>IF(OR($B398="",U$7=""),"",IF($B398="MEANS",INDEX('1-DATA'!$1:$1048576,$A397-1,COLUMN('1-DATA'!T396)),ROUND(INDEX('1-DATA'!$1:$1048576,IF(OR($B398="STD. DEVIATION",$C$1=1),$A398,$A398+1),COLUMN('1-DATA'!T396)),IF($B398="STD. DEVIATION",2,$F$1))))</f>
        <v/>
      </c>
      <c r="V398" s="1" t="str">
        <f>IF(OR($B398="",V$7=""),"",IF($B398="MEANS",INDEX('1-DATA'!$1:$1048576,$A397-1,COLUMN('1-DATA'!U396)),ROUND(INDEX('1-DATA'!$1:$1048576,IF(OR($B398="STD. DEVIATION",$C$1=1),$A398,$A398+1),COLUMN('1-DATA'!U396)),IF($B398="STD. DEVIATION",2,$F$1))))</f>
        <v/>
      </c>
      <c r="W398" s="1" t="str">
        <f>IF(OR($B398="",W$7=""),"",IF($B398="MEANS",INDEX('1-DATA'!$1:$1048576,$A397-1,COLUMN('1-DATA'!V396)),ROUND(INDEX('1-DATA'!$1:$1048576,IF(OR($B398="STD. DEVIATION",$C$1=1),$A398,$A398+1),COLUMN('1-DATA'!V396)),IF($B398="STD. DEVIATION",2,$F$1))))</f>
        <v/>
      </c>
      <c r="X398" s="1" t="str">
        <f>IF(OR($B398="",X$7=""),"",IF($B398="MEANS",INDEX('1-DATA'!$1:$1048576,$A397-1,COLUMN('1-DATA'!W396)),ROUND(INDEX('1-DATA'!$1:$1048576,IF(OR($B398="STD. DEVIATION",$C$1=1),$A398,$A398+1),COLUMN('1-DATA'!W396)),IF($B398="STD. DEVIATION",2,$F$1))))</f>
        <v/>
      </c>
      <c r="Y398" s="1" t="str">
        <f>IF(OR($B398="",Y$7=""),"",IF($B398="MEANS",INDEX('1-DATA'!$1:$1048576,$A397-1,COLUMN('1-DATA'!X396)),ROUND(INDEX('1-DATA'!$1:$1048576,IF(OR($B398="STD. DEVIATION",$C$1=1),$A398,$A398+1),COLUMN('1-DATA'!X396)),IF($B398="STD. DEVIATION",2,$F$1))))</f>
        <v/>
      </c>
      <c r="Z398" s="1" t="str">
        <f>IF(OR($B398="",Z$7=""),"",IF($B398="MEANS",INDEX('1-DATA'!$1:$1048576,$A397-1,COLUMN('1-DATA'!Y396)),ROUND(INDEX('1-DATA'!$1:$1048576,IF(OR($B398="STD. DEVIATION",$C$1=1),$A398,$A398+1),COLUMN('1-DATA'!Y396)),IF($B398="STD. DEVIATION",2,$F$1))))</f>
        <v/>
      </c>
      <c r="AA398" s="1" t="str">
        <f>IF(OR($B398="",AA$7=""),"",IF($B398="MEANS",INDEX('1-DATA'!$1:$1048576,$A397-1,COLUMN('1-DATA'!Z396)),ROUND(INDEX('1-DATA'!$1:$1048576,IF(OR($B398="STD. DEVIATION",$C$1=1),$A398,$A398+1),COLUMN('1-DATA'!Z396)),IF($B398="STD. DEVIATION",2,$F$1))))</f>
        <v/>
      </c>
      <c r="AB398" s="1" t="str">
        <f>IF(OR($B398="",AB$7=""),"",IF($B398="MEANS",INDEX('1-DATA'!$1:$1048576,$A397-1,COLUMN('1-DATA'!AA396)),ROUND(INDEX('1-DATA'!$1:$1048576,IF(OR($B398="STD. DEVIATION",$C$1=1),$A398,$A398+1),COLUMN('1-DATA'!AA396)),IF($B398="STD. DEVIATION",2,$F$1))))</f>
        <v/>
      </c>
      <c r="AC398" s="1" t="str">
        <f>IF(OR($B398="",AC$7=""),"",IF($B398="MEANS",INDEX('1-DATA'!$1:$1048576,$A397-1,COLUMN('1-DATA'!AB396)),ROUND(INDEX('1-DATA'!$1:$1048576,IF(OR($B398="STD. DEVIATION",$C$1=1),$A398,$A398+1),COLUMN('1-DATA'!AB396)),IF($B398="STD. DEVIATION",2,$F$1))))</f>
        <v/>
      </c>
      <c r="AD398" s="1" t="str">
        <f>IF(OR($B398="",AD$7=""),"",IF($B398="MEANS",INDEX('1-DATA'!$1:$1048576,$A397-1,COLUMN('1-DATA'!AC396)),ROUND(INDEX('1-DATA'!$1:$1048576,IF(OR($B398="STD. DEVIATION",$C$1=1),$A398,$A398+1),COLUMN('1-DATA'!AC396)),IF($B398="STD. DEVIATION",2,$F$1))))</f>
        <v/>
      </c>
      <c r="AE398" s="1" t="str">
        <f>IF(OR($B398="",AE$7=""),"",IF($B398="MEANS",INDEX('1-DATA'!$1:$1048576,$A397-1,COLUMN('1-DATA'!AD396)),ROUND(INDEX('1-DATA'!$1:$1048576,IF(OR($B398="STD. DEVIATION",$C$1=1),$A398,$A398+1),COLUMN('1-DATA'!AD396)),IF($B398="STD. DEVIATION",2,$F$1))))</f>
        <v/>
      </c>
      <c r="AF398" s="1" t="str">
        <f>IF(OR($B398="",AF$7=""),"",IF($B398="MEANS",INDEX('1-DATA'!$1:$1048576,$A397-1,COLUMN('1-DATA'!AE396)),ROUND(INDEX('1-DATA'!$1:$1048576,IF(OR($B398="STD. DEVIATION",$C$1=1),$A398,$A398+1),COLUMN('1-DATA'!AE396)),IF($B398="STD. DEVIATION",2,$F$1))))</f>
        <v/>
      </c>
      <c r="AG398" s="1" t="str">
        <f>IF(OR($B398="",AG$7=""),"",IF($B398="MEANS",INDEX('1-DATA'!$1:$1048576,$A397-1,COLUMN('1-DATA'!AF396)),ROUND(INDEX('1-DATA'!$1:$1048576,IF(OR($B398="STD. DEVIATION",$C$1=1),$A398,$A398+1),COLUMN('1-DATA'!AF396)),IF($B398="STD. DEVIATION",2,$F$1))))</f>
        <v/>
      </c>
      <c r="AH398" s="1" t="str">
        <f>IF(OR($B398="",AH$7=""),"",IF($B398="MEANS",INDEX('1-DATA'!$1:$1048576,$A397-1,COLUMN('1-DATA'!AG396)),ROUND(INDEX('1-DATA'!$1:$1048576,IF(OR($B398="STD. DEVIATION",$C$1=1),$A398,$A398+1),COLUMN('1-DATA'!AG396)),IF($B398="STD. DEVIATION",2,$F$1))))</f>
        <v/>
      </c>
      <c r="AI398" s="1" t="str">
        <f>IF(OR($B398="",AI$7=""),"",IF($B398="MEANS",INDEX('1-DATA'!$1:$1048576,$A397-1,COLUMN('1-DATA'!AH396)),ROUND(INDEX('1-DATA'!$1:$1048576,IF(OR($B398="STD. DEVIATION",$C$1=1),$A398,$A398+1),COLUMN('1-DATA'!AH396)),IF($B398="STD. DEVIATION",2,$F$1))))</f>
        <v/>
      </c>
      <c r="AJ398" s="1" t="str">
        <f>IF(OR($B398="",AJ$7=""),"",IF($B398="MEANS",INDEX('1-DATA'!$1:$1048576,$A397-1,COLUMN('1-DATA'!AI396)),ROUND(INDEX('1-DATA'!$1:$1048576,IF(OR($B398="STD. DEVIATION",$C$1=1),$A398,$A398+1),COLUMN('1-DATA'!AI396)),IF($B398="STD. DEVIATION",2,$F$1))))</f>
        <v/>
      </c>
      <c r="AK398" s="1" t="str">
        <f>IF(OR($B398="",AK$7=""),"",IF($B398="MEANS",INDEX('1-DATA'!$1:$1048576,$A397-1,COLUMN('1-DATA'!AJ396)),ROUND(INDEX('1-DATA'!$1:$1048576,IF(OR($B398="STD. DEVIATION",$C$1=1),$A398,$A398+1),COLUMN('1-DATA'!AJ396)),IF($B398="STD. DEVIATION",2,$F$1))))</f>
        <v/>
      </c>
      <c r="AL398" s="1" t="str">
        <f>IF(OR($B398="",AL$7=""),"",IF($B398="MEANS",INDEX('1-DATA'!$1:$1048576,$A397-1,COLUMN('1-DATA'!AK396)),ROUND(INDEX('1-DATA'!$1:$1048576,IF(OR($B398="STD. DEVIATION",$C$1=1),$A398,$A398+1),COLUMN('1-DATA'!AK396)),IF($B398="STD. DEVIATION",2,$F$1))))</f>
        <v/>
      </c>
      <c r="AM398" s="1" t="str">
        <f>IF(OR($B398="",AM$7=""),"",IF($B398="MEANS",INDEX('1-DATA'!$1:$1048576,$A397-1,COLUMN('1-DATA'!AL396)),ROUND(INDEX('1-DATA'!$1:$1048576,IF(OR($B398="STD. DEVIATION",$C$1=1),$A398,$A398+1),COLUMN('1-DATA'!AL396)),IF($B398="STD. DEVIATION",2,$F$1))))</f>
        <v/>
      </c>
      <c r="AN398" s="1" t="str">
        <f>IF(OR($B398="",AN$7=""),"",IF($B398="MEANS",INDEX('1-DATA'!$1:$1048576,$A397-1,COLUMN('1-DATA'!AM396)),ROUND(INDEX('1-DATA'!$1:$1048576,IF(OR($B398="STD. DEVIATION",$C$1=1),$A398,$A398+1),COLUMN('1-DATA'!AM396)),IF($B398="STD. DEVIATION",2,$F$1))))</f>
        <v/>
      </c>
      <c r="AO398" s="1" t="str">
        <f>IF(OR($B398="",AO$7=""),"",IF($B398="MEANS",INDEX('1-DATA'!$1:$1048576,$A397-1,COLUMN('1-DATA'!AN396)),ROUND(INDEX('1-DATA'!$1:$1048576,IF(OR($B398="STD. DEVIATION",$C$1=1),$A398,$A398+1),COLUMN('1-DATA'!AN396)),IF($B398="STD. DEVIATION",2,$F$1))))</f>
        <v/>
      </c>
      <c r="AP398" s="1" t="str">
        <f>IF(OR($B398="",AP$7=""),"",IF($B398="MEANS",INDEX('1-DATA'!$1:$1048576,$A397-1,COLUMN('1-DATA'!AO396)),ROUND(INDEX('1-DATA'!$1:$1048576,IF(OR($B398="STD. DEVIATION",$C$1=1),$A398,$A398+1),COLUMN('1-DATA'!AO396)),IF($B398="STD. DEVIATION",2,$F$1))))</f>
        <v/>
      </c>
      <c r="AQ398" s="1" t="str">
        <f>IF(OR($B398="",AQ$7=""),"",IF($B398="MEANS",INDEX('1-DATA'!$1:$1048576,$A397-1,COLUMN('1-DATA'!AP396)),ROUND(INDEX('1-DATA'!$1:$1048576,IF(OR($B398="STD. DEVIATION",$C$1=1),$A398,$A398+1),COLUMN('1-DATA'!AP396)),IF($B398="STD. DEVIATION",2,$F$1))))</f>
        <v/>
      </c>
      <c r="AR398" s="1" t="str">
        <f>IF(OR($B398="",AR$7=""),"",IF($B398="MEANS",INDEX('1-DATA'!$1:$1048576,$A397-1,COLUMN('1-DATA'!AQ396)),ROUND(INDEX('1-DATA'!$1:$1048576,IF(OR($B398="STD. DEVIATION",$C$1=1),$A398,$A398+1),COLUMN('1-DATA'!AQ396)),IF($B398="STD. DEVIATION",2,$F$1))))</f>
        <v/>
      </c>
      <c r="AS398" s="1" t="str">
        <f>IF(OR($B398="",AS$7=""),"",IF($B398="MEANS",INDEX('1-DATA'!$1:$1048576,$A397-1,COLUMN('1-DATA'!AR396)),ROUND(INDEX('1-DATA'!$1:$1048576,IF(OR($B398="STD. DEVIATION",$C$1=1),$A398,$A398+1),COLUMN('1-DATA'!AR396)),IF($B398="STD. DEVIATION",2,$F$1))))</f>
        <v/>
      </c>
      <c r="AT398" s="1" t="str">
        <f>IF(OR($B398="",AT$7=""),"",IF($B398="MEANS",INDEX('1-DATA'!$1:$1048576,$A397-1,COLUMN('1-DATA'!AS396)),ROUND(INDEX('1-DATA'!$1:$1048576,IF(OR($B398="STD. DEVIATION",$C$1=1),$A398,$A398+1),COLUMN('1-DATA'!AS396)),IF($B398="STD. DEVIATION",2,$F$1))))</f>
        <v/>
      </c>
      <c r="AU398" s="1" t="str">
        <f>IF(OR($B398="",AU$7=""),"",IF($B398="MEANS",INDEX('1-DATA'!$1:$1048576,$A397-1,COLUMN('1-DATA'!AT396)),ROUND(INDEX('1-DATA'!$1:$1048576,IF(OR($B398="STD. DEVIATION",$C$1=1),$A398,$A398+1),COLUMN('1-DATA'!AT396)),IF($B398="STD. DEVIATION",2,$F$1))))</f>
        <v/>
      </c>
      <c r="AV398" s="1" t="str">
        <f>IF(OR($B398="",AV$7=""),"",IF($B398="MEANS",INDEX('1-DATA'!$1:$1048576,$A397-1,COLUMN('1-DATA'!AU396)),ROUND(INDEX('1-DATA'!$1:$1048576,IF(OR($B398="STD. DEVIATION",$C$1=1),$A398,$A398+1),COLUMN('1-DATA'!AU396)),IF($B398="STD. DEVIATION",2,$F$1))))</f>
        <v/>
      </c>
      <c r="AW398" s="1" t="str">
        <f>IF(OR($B398="",AW$7=""),"",IF($B398="MEANS",INDEX('1-DATA'!$1:$1048576,$A397-1,COLUMN('1-DATA'!AV396)),ROUND(INDEX('1-DATA'!$1:$1048576,IF(OR($B398="STD. DEVIATION",$C$1=1),$A398,$A398+1),COLUMN('1-DATA'!AV396)),IF($B398="STD. DEVIATION",2,$F$1))))</f>
        <v/>
      </c>
      <c r="AX398" s="1" t="str">
        <f>IF(OR($B398="",AX$7=""),"",IF($B398="MEANS",INDEX('1-DATA'!$1:$1048576,$A397-1,COLUMN('1-DATA'!AW396)),ROUND(INDEX('1-DATA'!$1:$1048576,IF(OR($B398="STD. DEVIATION",$C$1=1),$A398,$A398+1),COLUMN('1-DATA'!AW396)),IF($B398="STD. DEVIATION",2,$F$1))))</f>
        <v/>
      </c>
      <c r="AY398" s="1" t="str">
        <f>IF(OR($B398="",AY$7=""),"",IF($B398="MEANS",INDEX('1-DATA'!$1:$1048576,$A397-1,COLUMN('1-DATA'!AX396)),ROUND(INDEX('1-DATA'!$1:$1048576,IF(OR($B398="STD. DEVIATION",$C$1=1),$A398,$A398+1),COLUMN('1-DATA'!AX396)),IF($B398="STD. DEVIATION",2,$F$1))))</f>
        <v/>
      </c>
      <c r="AZ398" s="1" t="str">
        <f>IF(OR($B398="",AZ$7=""),"",IF($B398="MEANS",INDEX('1-DATA'!$1:$1048576,$A397-1,COLUMN('1-DATA'!AY396)),ROUND(INDEX('1-DATA'!$1:$1048576,IF(OR($B398="STD. DEVIATION",$C$1=1),$A398,$A398+1),COLUMN('1-DATA'!AY396)),IF($B398="STD. DEVIATION",2,$F$1))))</f>
        <v/>
      </c>
    </row>
    <row r="399" spans="1:52" x14ac:dyDescent="0.25">
      <c r="A399" s="11">
        <f t="shared" si="6"/>
        <v>1183</v>
      </c>
      <c r="B399" s="1" t="str">
        <f>IF(B398="STD. DEVIATION",INDEX('1-DATA'!$1:$1048576,$A398-1,1),IF(INDEX('1-DATA'!$1:$1048576,$A399,1)&lt;&gt;"",INDEX('1-DATA'!$1:$1048576,$A399,1),""))</f>
        <v/>
      </c>
      <c r="C399" s="1" t="str">
        <f>IF(OR($B399="",C$7=""),"",IF($B399="MEANS",INDEX('1-DATA'!$1:$1048576,$A398-1,COLUMN('1-DATA'!B397)),ROUND(INDEX('1-DATA'!$1:$1048576,IF(OR($B399="STD. DEVIATION",$C$1=1),$A399,$A399+1),COLUMN('1-DATA'!B397)),IF($B399="STD. DEVIATION",2,$F$1))))</f>
        <v/>
      </c>
      <c r="D399" s="1" t="str">
        <f>IF(OR($B399="",D$7=""),"",IF($B399="MEANS",INDEX('1-DATA'!$1:$1048576,$A398-1,COLUMN('1-DATA'!C397)),ROUND(INDEX('1-DATA'!$1:$1048576,IF(OR($B399="STD. DEVIATION",$C$1=1),$A399,$A399+1),COLUMN('1-DATA'!C397)),IF($B399="STD. DEVIATION",2,$F$1))))</f>
        <v/>
      </c>
      <c r="E399" s="1" t="str">
        <f>IF(OR($B399="",E$7=""),"",IF($B399="MEANS",INDEX('1-DATA'!$1:$1048576,$A398-1,COLUMN('1-DATA'!D397)),ROUND(INDEX('1-DATA'!$1:$1048576,IF(OR($B399="STD. DEVIATION",$C$1=1),$A399,$A399+1),COLUMN('1-DATA'!D397)),IF($B399="STD. DEVIATION",2,$F$1))))</f>
        <v/>
      </c>
      <c r="F399" s="1" t="str">
        <f>IF(OR($B399="",F$7=""),"",IF($B399="MEANS",INDEX('1-DATA'!$1:$1048576,$A398-1,COLUMN('1-DATA'!E397)),ROUND(INDEX('1-DATA'!$1:$1048576,IF(OR($B399="STD. DEVIATION",$C$1=1),$A399,$A399+1),COLUMN('1-DATA'!E397)),IF($B399="STD. DEVIATION",2,$F$1))))</f>
        <v/>
      </c>
      <c r="G399" s="1" t="str">
        <f>IF(OR($B399="",G$7=""),"",IF($B399="MEANS",INDEX('1-DATA'!$1:$1048576,$A398-1,COLUMN('1-DATA'!F397)),ROUND(INDEX('1-DATA'!$1:$1048576,IF(OR($B399="STD. DEVIATION",$C$1=1),$A399,$A399+1),COLUMN('1-DATA'!F397)),IF($B399="STD. DEVIATION",2,$F$1))))</f>
        <v/>
      </c>
      <c r="H399" s="1" t="str">
        <f>IF(OR($B399="",H$7=""),"",IF($B399="MEANS",INDEX('1-DATA'!$1:$1048576,$A398-1,COLUMN('1-DATA'!G397)),ROUND(INDEX('1-DATA'!$1:$1048576,IF(OR($B399="STD. DEVIATION",$C$1=1),$A399,$A399+1),COLUMN('1-DATA'!G397)),IF($B399="STD. DEVIATION",2,$F$1))))</f>
        <v/>
      </c>
      <c r="I399" s="1" t="str">
        <f>IF(OR($B399="",I$7=""),"",IF($B399="MEANS",INDEX('1-DATA'!$1:$1048576,$A398-1,COLUMN('1-DATA'!H397)),ROUND(INDEX('1-DATA'!$1:$1048576,IF(OR($B399="STD. DEVIATION",$C$1=1),$A399,$A399+1),COLUMN('1-DATA'!H397)),IF($B399="STD. DEVIATION",2,$F$1))))</f>
        <v/>
      </c>
      <c r="J399" s="1" t="str">
        <f>IF(OR($B399="",J$7=""),"",IF($B399="MEANS",INDEX('1-DATA'!$1:$1048576,$A398-1,COLUMN('1-DATA'!I397)),ROUND(INDEX('1-DATA'!$1:$1048576,IF(OR($B399="STD. DEVIATION",$C$1=1),$A399,$A399+1),COLUMN('1-DATA'!I397)),IF($B399="STD. DEVIATION",2,$F$1))))</f>
        <v/>
      </c>
      <c r="K399" s="1" t="str">
        <f>IF(OR($B399="",K$7=""),"",IF($B399="MEANS",INDEX('1-DATA'!$1:$1048576,$A398-1,COLUMN('1-DATA'!J397)),ROUND(INDEX('1-DATA'!$1:$1048576,IF(OR($B399="STD. DEVIATION",$C$1=1),$A399,$A399+1),COLUMN('1-DATA'!J397)),IF($B399="STD. DEVIATION",2,$F$1))))</f>
        <v/>
      </c>
      <c r="L399" s="1" t="str">
        <f>IF(OR($B399="",L$7=""),"",IF($B399="MEANS",INDEX('1-DATA'!$1:$1048576,$A398-1,COLUMN('1-DATA'!K397)),ROUND(INDEX('1-DATA'!$1:$1048576,IF(OR($B399="STD. DEVIATION",$C$1=1),$A399,$A399+1),COLUMN('1-DATA'!K397)),IF($B399="STD. DEVIATION",2,$F$1))))</f>
        <v/>
      </c>
      <c r="M399" s="1" t="str">
        <f>IF(OR($B399="",M$7=""),"",IF($B399="MEANS",INDEX('1-DATA'!$1:$1048576,$A398-1,COLUMN('1-DATA'!L397)),ROUND(INDEX('1-DATA'!$1:$1048576,IF(OR($B399="STD. DEVIATION",$C$1=1),$A399,$A399+1),COLUMN('1-DATA'!L397)),IF($B399="STD. DEVIATION",2,$F$1))))</f>
        <v/>
      </c>
      <c r="N399" s="1" t="str">
        <f>IF(OR($B399="",N$7=""),"",IF($B399="MEANS",INDEX('1-DATA'!$1:$1048576,$A398-1,COLUMN('1-DATA'!M397)),ROUND(INDEX('1-DATA'!$1:$1048576,IF(OR($B399="STD. DEVIATION",$C$1=1),$A399,$A399+1),COLUMN('1-DATA'!M397)),IF($B399="STD. DEVIATION",2,$F$1))))</f>
        <v/>
      </c>
      <c r="O399" s="1" t="str">
        <f>IF(OR($B399="",O$7=""),"",IF($B399="MEANS",INDEX('1-DATA'!$1:$1048576,$A398-1,COLUMN('1-DATA'!N397)),ROUND(INDEX('1-DATA'!$1:$1048576,IF(OR($B399="STD. DEVIATION",$C$1=1),$A399,$A399+1),COLUMN('1-DATA'!N397)),IF($B399="STD. DEVIATION",2,$F$1))))</f>
        <v/>
      </c>
      <c r="P399" s="1" t="str">
        <f>IF(OR($B399="",P$7=""),"",IF($B399="MEANS",INDEX('1-DATA'!$1:$1048576,$A398-1,COLUMN('1-DATA'!O397)),ROUND(INDEX('1-DATA'!$1:$1048576,IF(OR($B399="STD. DEVIATION",$C$1=1),$A399,$A399+1),COLUMN('1-DATA'!O397)),IF($B399="STD. DEVIATION",2,$F$1))))</f>
        <v/>
      </c>
      <c r="Q399" s="1" t="str">
        <f>IF(OR($B399="",Q$7=""),"",IF($B399="MEANS",INDEX('1-DATA'!$1:$1048576,$A398-1,COLUMN('1-DATA'!P397)),ROUND(INDEX('1-DATA'!$1:$1048576,IF(OR($B399="STD. DEVIATION",$C$1=1),$A399,$A399+1),COLUMN('1-DATA'!P397)),IF($B399="STD. DEVIATION",2,$F$1))))</f>
        <v/>
      </c>
      <c r="R399" s="1" t="str">
        <f>IF(OR($B399="",R$7=""),"",IF($B399="MEANS",INDEX('1-DATA'!$1:$1048576,$A398-1,COLUMN('1-DATA'!Q397)),ROUND(INDEX('1-DATA'!$1:$1048576,IF(OR($B399="STD. DEVIATION",$C$1=1),$A399,$A399+1),COLUMN('1-DATA'!Q397)),IF($B399="STD. DEVIATION",2,$F$1))))</f>
        <v/>
      </c>
      <c r="S399" s="1" t="str">
        <f>IF(OR($B399="",S$7=""),"",IF($B399="MEANS",INDEX('1-DATA'!$1:$1048576,$A398-1,COLUMN('1-DATA'!R397)),ROUND(INDEX('1-DATA'!$1:$1048576,IF(OR($B399="STD. DEVIATION",$C$1=1),$A399,$A399+1),COLUMN('1-DATA'!R397)),IF($B399="STD. DEVIATION",2,$F$1))))</f>
        <v/>
      </c>
      <c r="T399" s="1" t="str">
        <f>IF(OR($B399="",T$7=""),"",IF($B399="MEANS",INDEX('1-DATA'!$1:$1048576,$A398-1,COLUMN('1-DATA'!S397)),ROUND(INDEX('1-DATA'!$1:$1048576,IF(OR($B399="STD. DEVIATION",$C$1=1),$A399,$A399+1),COLUMN('1-DATA'!S397)),IF($B399="STD. DEVIATION",2,$F$1))))</f>
        <v/>
      </c>
      <c r="U399" s="1" t="str">
        <f>IF(OR($B399="",U$7=""),"",IF($B399="MEANS",INDEX('1-DATA'!$1:$1048576,$A398-1,COLUMN('1-DATA'!T397)),ROUND(INDEX('1-DATA'!$1:$1048576,IF(OR($B399="STD. DEVIATION",$C$1=1),$A399,$A399+1),COLUMN('1-DATA'!T397)),IF($B399="STD. DEVIATION",2,$F$1))))</f>
        <v/>
      </c>
      <c r="V399" s="1" t="str">
        <f>IF(OR($B399="",V$7=""),"",IF($B399="MEANS",INDEX('1-DATA'!$1:$1048576,$A398-1,COLUMN('1-DATA'!U397)),ROUND(INDEX('1-DATA'!$1:$1048576,IF(OR($B399="STD. DEVIATION",$C$1=1),$A399,$A399+1),COLUMN('1-DATA'!U397)),IF($B399="STD. DEVIATION",2,$F$1))))</f>
        <v/>
      </c>
      <c r="W399" s="1" t="str">
        <f>IF(OR($B399="",W$7=""),"",IF($B399="MEANS",INDEX('1-DATA'!$1:$1048576,$A398-1,COLUMN('1-DATA'!V397)),ROUND(INDEX('1-DATA'!$1:$1048576,IF(OR($B399="STD. DEVIATION",$C$1=1),$A399,$A399+1),COLUMN('1-DATA'!V397)),IF($B399="STD. DEVIATION",2,$F$1))))</f>
        <v/>
      </c>
      <c r="X399" s="1" t="str">
        <f>IF(OR($B399="",X$7=""),"",IF($B399="MEANS",INDEX('1-DATA'!$1:$1048576,$A398-1,COLUMN('1-DATA'!W397)),ROUND(INDEX('1-DATA'!$1:$1048576,IF(OR($B399="STD. DEVIATION",$C$1=1),$A399,$A399+1),COLUMN('1-DATA'!W397)),IF($B399="STD. DEVIATION",2,$F$1))))</f>
        <v/>
      </c>
      <c r="Y399" s="1" t="str">
        <f>IF(OR($B399="",Y$7=""),"",IF($B399="MEANS",INDEX('1-DATA'!$1:$1048576,$A398-1,COLUMN('1-DATA'!X397)),ROUND(INDEX('1-DATA'!$1:$1048576,IF(OR($B399="STD. DEVIATION",$C$1=1),$A399,$A399+1),COLUMN('1-DATA'!X397)),IF($B399="STD. DEVIATION",2,$F$1))))</f>
        <v/>
      </c>
      <c r="Z399" s="1" t="str">
        <f>IF(OR($B399="",Z$7=""),"",IF($B399="MEANS",INDEX('1-DATA'!$1:$1048576,$A398-1,COLUMN('1-DATA'!Y397)),ROUND(INDEX('1-DATA'!$1:$1048576,IF(OR($B399="STD. DEVIATION",$C$1=1),$A399,$A399+1),COLUMN('1-DATA'!Y397)),IF($B399="STD. DEVIATION",2,$F$1))))</f>
        <v/>
      </c>
      <c r="AA399" s="1" t="str">
        <f>IF(OR($B399="",AA$7=""),"",IF($B399="MEANS",INDEX('1-DATA'!$1:$1048576,$A398-1,COLUMN('1-DATA'!Z397)),ROUND(INDEX('1-DATA'!$1:$1048576,IF(OR($B399="STD. DEVIATION",$C$1=1),$A399,$A399+1),COLUMN('1-DATA'!Z397)),IF($B399="STD. DEVIATION",2,$F$1))))</f>
        <v/>
      </c>
      <c r="AB399" s="1" t="str">
        <f>IF(OR($B399="",AB$7=""),"",IF($B399="MEANS",INDEX('1-DATA'!$1:$1048576,$A398-1,COLUMN('1-DATA'!AA397)),ROUND(INDEX('1-DATA'!$1:$1048576,IF(OR($B399="STD. DEVIATION",$C$1=1),$A399,$A399+1),COLUMN('1-DATA'!AA397)),IF($B399="STD. DEVIATION",2,$F$1))))</f>
        <v/>
      </c>
      <c r="AC399" s="1" t="str">
        <f>IF(OR($B399="",AC$7=""),"",IF($B399="MEANS",INDEX('1-DATA'!$1:$1048576,$A398-1,COLUMN('1-DATA'!AB397)),ROUND(INDEX('1-DATA'!$1:$1048576,IF(OR($B399="STD. DEVIATION",$C$1=1),$A399,$A399+1),COLUMN('1-DATA'!AB397)),IF($B399="STD. DEVIATION",2,$F$1))))</f>
        <v/>
      </c>
      <c r="AD399" s="1" t="str">
        <f>IF(OR($B399="",AD$7=""),"",IF($B399="MEANS",INDEX('1-DATA'!$1:$1048576,$A398-1,COLUMN('1-DATA'!AC397)),ROUND(INDEX('1-DATA'!$1:$1048576,IF(OR($B399="STD. DEVIATION",$C$1=1),$A399,$A399+1),COLUMN('1-DATA'!AC397)),IF($B399="STD. DEVIATION",2,$F$1))))</f>
        <v/>
      </c>
      <c r="AE399" s="1" t="str">
        <f>IF(OR($B399="",AE$7=""),"",IF($B399="MEANS",INDEX('1-DATA'!$1:$1048576,$A398-1,COLUMN('1-DATA'!AD397)),ROUND(INDEX('1-DATA'!$1:$1048576,IF(OR($B399="STD. DEVIATION",$C$1=1),$A399,$A399+1),COLUMN('1-DATA'!AD397)),IF($B399="STD. DEVIATION",2,$F$1))))</f>
        <v/>
      </c>
      <c r="AF399" s="1" t="str">
        <f>IF(OR($B399="",AF$7=""),"",IF($B399="MEANS",INDEX('1-DATA'!$1:$1048576,$A398-1,COLUMN('1-DATA'!AE397)),ROUND(INDEX('1-DATA'!$1:$1048576,IF(OR($B399="STD. DEVIATION",$C$1=1),$A399,$A399+1),COLUMN('1-DATA'!AE397)),IF($B399="STD. DEVIATION",2,$F$1))))</f>
        <v/>
      </c>
      <c r="AG399" s="1" t="str">
        <f>IF(OR($B399="",AG$7=""),"",IF($B399="MEANS",INDEX('1-DATA'!$1:$1048576,$A398-1,COLUMN('1-DATA'!AF397)),ROUND(INDEX('1-DATA'!$1:$1048576,IF(OR($B399="STD. DEVIATION",$C$1=1),$A399,$A399+1),COLUMN('1-DATA'!AF397)),IF($B399="STD. DEVIATION",2,$F$1))))</f>
        <v/>
      </c>
      <c r="AH399" s="1" t="str">
        <f>IF(OR($B399="",AH$7=""),"",IF($B399="MEANS",INDEX('1-DATA'!$1:$1048576,$A398-1,COLUMN('1-DATA'!AG397)),ROUND(INDEX('1-DATA'!$1:$1048576,IF(OR($B399="STD. DEVIATION",$C$1=1),$A399,$A399+1),COLUMN('1-DATA'!AG397)),IF($B399="STD. DEVIATION",2,$F$1))))</f>
        <v/>
      </c>
      <c r="AI399" s="1" t="str">
        <f>IF(OR($B399="",AI$7=""),"",IF($B399="MEANS",INDEX('1-DATA'!$1:$1048576,$A398-1,COLUMN('1-DATA'!AH397)),ROUND(INDEX('1-DATA'!$1:$1048576,IF(OR($B399="STD. DEVIATION",$C$1=1),$A399,$A399+1),COLUMN('1-DATA'!AH397)),IF($B399="STD. DEVIATION",2,$F$1))))</f>
        <v/>
      </c>
      <c r="AJ399" s="1" t="str">
        <f>IF(OR($B399="",AJ$7=""),"",IF($B399="MEANS",INDEX('1-DATA'!$1:$1048576,$A398-1,COLUMN('1-DATA'!AI397)),ROUND(INDEX('1-DATA'!$1:$1048576,IF(OR($B399="STD. DEVIATION",$C$1=1),$A399,$A399+1),COLUMN('1-DATA'!AI397)),IF($B399="STD. DEVIATION",2,$F$1))))</f>
        <v/>
      </c>
      <c r="AK399" s="1" t="str">
        <f>IF(OR($B399="",AK$7=""),"",IF($B399="MEANS",INDEX('1-DATA'!$1:$1048576,$A398-1,COLUMN('1-DATA'!AJ397)),ROUND(INDEX('1-DATA'!$1:$1048576,IF(OR($B399="STD. DEVIATION",$C$1=1),$A399,$A399+1),COLUMN('1-DATA'!AJ397)),IF($B399="STD. DEVIATION",2,$F$1))))</f>
        <v/>
      </c>
      <c r="AL399" s="1" t="str">
        <f>IF(OR($B399="",AL$7=""),"",IF($B399="MEANS",INDEX('1-DATA'!$1:$1048576,$A398-1,COLUMN('1-DATA'!AK397)),ROUND(INDEX('1-DATA'!$1:$1048576,IF(OR($B399="STD. DEVIATION",$C$1=1),$A399,$A399+1),COLUMN('1-DATA'!AK397)),IF($B399="STD. DEVIATION",2,$F$1))))</f>
        <v/>
      </c>
      <c r="AM399" s="1" t="str">
        <f>IF(OR($B399="",AM$7=""),"",IF($B399="MEANS",INDEX('1-DATA'!$1:$1048576,$A398-1,COLUMN('1-DATA'!AL397)),ROUND(INDEX('1-DATA'!$1:$1048576,IF(OR($B399="STD. DEVIATION",$C$1=1),$A399,$A399+1),COLUMN('1-DATA'!AL397)),IF($B399="STD. DEVIATION",2,$F$1))))</f>
        <v/>
      </c>
      <c r="AN399" s="1" t="str">
        <f>IF(OR($B399="",AN$7=""),"",IF($B399="MEANS",INDEX('1-DATA'!$1:$1048576,$A398-1,COLUMN('1-DATA'!AM397)),ROUND(INDEX('1-DATA'!$1:$1048576,IF(OR($B399="STD. DEVIATION",$C$1=1),$A399,$A399+1),COLUMN('1-DATA'!AM397)),IF($B399="STD. DEVIATION",2,$F$1))))</f>
        <v/>
      </c>
      <c r="AO399" s="1" t="str">
        <f>IF(OR($B399="",AO$7=""),"",IF($B399="MEANS",INDEX('1-DATA'!$1:$1048576,$A398-1,COLUMN('1-DATA'!AN397)),ROUND(INDEX('1-DATA'!$1:$1048576,IF(OR($B399="STD. DEVIATION",$C$1=1),$A399,$A399+1),COLUMN('1-DATA'!AN397)),IF($B399="STD. DEVIATION",2,$F$1))))</f>
        <v/>
      </c>
      <c r="AP399" s="1" t="str">
        <f>IF(OR($B399="",AP$7=""),"",IF($B399="MEANS",INDEX('1-DATA'!$1:$1048576,$A398-1,COLUMN('1-DATA'!AO397)),ROUND(INDEX('1-DATA'!$1:$1048576,IF(OR($B399="STD. DEVIATION",$C$1=1),$A399,$A399+1),COLUMN('1-DATA'!AO397)),IF($B399="STD. DEVIATION",2,$F$1))))</f>
        <v/>
      </c>
      <c r="AQ399" s="1" t="str">
        <f>IF(OR($B399="",AQ$7=""),"",IF($B399="MEANS",INDEX('1-DATA'!$1:$1048576,$A398-1,COLUMN('1-DATA'!AP397)),ROUND(INDEX('1-DATA'!$1:$1048576,IF(OR($B399="STD. DEVIATION",$C$1=1),$A399,$A399+1),COLUMN('1-DATA'!AP397)),IF($B399="STD. DEVIATION",2,$F$1))))</f>
        <v/>
      </c>
      <c r="AR399" s="1" t="str">
        <f>IF(OR($B399="",AR$7=""),"",IF($B399="MEANS",INDEX('1-DATA'!$1:$1048576,$A398-1,COLUMN('1-DATA'!AQ397)),ROUND(INDEX('1-DATA'!$1:$1048576,IF(OR($B399="STD. DEVIATION",$C$1=1),$A399,$A399+1),COLUMN('1-DATA'!AQ397)),IF($B399="STD. DEVIATION",2,$F$1))))</f>
        <v/>
      </c>
      <c r="AS399" s="1" t="str">
        <f>IF(OR($B399="",AS$7=""),"",IF($B399="MEANS",INDEX('1-DATA'!$1:$1048576,$A398-1,COLUMN('1-DATA'!AR397)),ROUND(INDEX('1-DATA'!$1:$1048576,IF(OR($B399="STD. DEVIATION",$C$1=1),$A399,$A399+1),COLUMN('1-DATA'!AR397)),IF($B399="STD. DEVIATION",2,$F$1))))</f>
        <v/>
      </c>
      <c r="AT399" s="1" t="str">
        <f>IF(OR($B399="",AT$7=""),"",IF($B399="MEANS",INDEX('1-DATA'!$1:$1048576,$A398-1,COLUMN('1-DATA'!AS397)),ROUND(INDEX('1-DATA'!$1:$1048576,IF(OR($B399="STD. DEVIATION",$C$1=1),$A399,$A399+1),COLUMN('1-DATA'!AS397)),IF($B399="STD. DEVIATION",2,$F$1))))</f>
        <v/>
      </c>
      <c r="AU399" s="1" t="str">
        <f>IF(OR($B399="",AU$7=""),"",IF($B399="MEANS",INDEX('1-DATA'!$1:$1048576,$A398-1,COLUMN('1-DATA'!AT397)),ROUND(INDEX('1-DATA'!$1:$1048576,IF(OR($B399="STD. DEVIATION",$C$1=1),$A399,$A399+1),COLUMN('1-DATA'!AT397)),IF($B399="STD. DEVIATION",2,$F$1))))</f>
        <v/>
      </c>
      <c r="AV399" s="1" t="str">
        <f>IF(OR($B399="",AV$7=""),"",IF($B399="MEANS",INDEX('1-DATA'!$1:$1048576,$A398-1,COLUMN('1-DATA'!AU397)),ROUND(INDEX('1-DATA'!$1:$1048576,IF(OR($B399="STD. DEVIATION",$C$1=1),$A399,$A399+1),COLUMN('1-DATA'!AU397)),IF($B399="STD. DEVIATION",2,$F$1))))</f>
        <v/>
      </c>
      <c r="AW399" s="1" t="str">
        <f>IF(OR($B399="",AW$7=""),"",IF($B399="MEANS",INDEX('1-DATA'!$1:$1048576,$A398-1,COLUMN('1-DATA'!AV397)),ROUND(INDEX('1-DATA'!$1:$1048576,IF(OR($B399="STD. DEVIATION",$C$1=1),$A399,$A399+1),COLUMN('1-DATA'!AV397)),IF($B399="STD. DEVIATION",2,$F$1))))</f>
        <v/>
      </c>
      <c r="AX399" s="1" t="str">
        <f>IF(OR($B399="",AX$7=""),"",IF($B399="MEANS",INDEX('1-DATA'!$1:$1048576,$A398-1,COLUMN('1-DATA'!AW397)),ROUND(INDEX('1-DATA'!$1:$1048576,IF(OR($B399="STD. DEVIATION",$C$1=1),$A399,$A399+1),COLUMN('1-DATA'!AW397)),IF($B399="STD. DEVIATION",2,$F$1))))</f>
        <v/>
      </c>
      <c r="AY399" s="1" t="str">
        <f>IF(OR($B399="",AY$7=""),"",IF($B399="MEANS",INDEX('1-DATA'!$1:$1048576,$A398-1,COLUMN('1-DATA'!AX397)),ROUND(INDEX('1-DATA'!$1:$1048576,IF(OR($B399="STD. DEVIATION",$C$1=1),$A399,$A399+1),COLUMN('1-DATA'!AX397)),IF($B399="STD. DEVIATION",2,$F$1))))</f>
        <v/>
      </c>
      <c r="AZ399" s="1" t="str">
        <f>IF(OR($B399="",AZ$7=""),"",IF($B399="MEANS",INDEX('1-DATA'!$1:$1048576,$A398-1,COLUMN('1-DATA'!AY397)),ROUND(INDEX('1-DATA'!$1:$1048576,IF(OR($B399="STD. DEVIATION",$C$1=1),$A399,$A399+1),COLUMN('1-DATA'!AY397)),IF($B399="STD. DEVIATION",2,$F$1))))</f>
        <v/>
      </c>
    </row>
    <row r="400" spans="1:52" x14ac:dyDescent="0.25">
      <c r="A400" s="11">
        <f t="shared" si="6"/>
        <v>1186</v>
      </c>
      <c r="B400" s="1" t="str">
        <f>IF(B399="STD. DEVIATION",INDEX('1-DATA'!$1:$1048576,$A399-1,1),IF(INDEX('1-DATA'!$1:$1048576,$A400,1)&lt;&gt;"",INDEX('1-DATA'!$1:$1048576,$A400,1),""))</f>
        <v/>
      </c>
      <c r="C400" s="1" t="str">
        <f>IF(OR($B400="",C$7=""),"",IF($B400="MEANS",INDEX('1-DATA'!$1:$1048576,$A399-1,COLUMN('1-DATA'!B398)),ROUND(INDEX('1-DATA'!$1:$1048576,IF(OR($B400="STD. DEVIATION",$C$1=1),$A400,$A400+1),COLUMN('1-DATA'!B398)),IF($B400="STD. DEVIATION",2,$F$1))))</f>
        <v/>
      </c>
      <c r="D400" s="1" t="str">
        <f>IF(OR($B400="",D$7=""),"",IF($B400="MEANS",INDEX('1-DATA'!$1:$1048576,$A399-1,COLUMN('1-DATA'!C398)),ROUND(INDEX('1-DATA'!$1:$1048576,IF(OR($B400="STD. DEVIATION",$C$1=1),$A400,$A400+1),COLUMN('1-DATA'!C398)),IF($B400="STD. DEVIATION",2,$F$1))))</f>
        <v/>
      </c>
      <c r="E400" s="1" t="str">
        <f>IF(OR($B400="",E$7=""),"",IF($B400="MEANS",INDEX('1-DATA'!$1:$1048576,$A399-1,COLUMN('1-DATA'!D398)),ROUND(INDEX('1-DATA'!$1:$1048576,IF(OR($B400="STD. DEVIATION",$C$1=1),$A400,$A400+1),COLUMN('1-DATA'!D398)),IF($B400="STD. DEVIATION",2,$F$1))))</f>
        <v/>
      </c>
      <c r="F400" s="1" t="str">
        <f>IF(OR($B400="",F$7=""),"",IF($B400="MEANS",INDEX('1-DATA'!$1:$1048576,$A399-1,COLUMN('1-DATA'!E398)),ROUND(INDEX('1-DATA'!$1:$1048576,IF(OR($B400="STD. DEVIATION",$C$1=1),$A400,$A400+1),COLUMN('1-DATA'!E398)),IF($B400="STD. DEVIATION",2,$F$1))))</f>
        <v/>
      </c>
      <c r="G400" s="1" t="str">
        <f>IF(OR($B400="",G$7=""),"",IF($B400="MEANS",INDEX('1-DATA'!$1:$1048576,$A399-1,COLUMN('1-DATA'!F398)),ROUND(INDEX('1-DATA'!$1:$1048576,IF(OR($B400="STD. DEVIATION",$C$1=1),$A400,$A400+1),COLUMN('1-DATA'!F398)),IF($B400="STD. DEVIATION",2,$F$1))))</f>
        <v/>
      </c>
      <c r="H400" s="1" t="str">
        <f>IF(OR($B400="",H$7=""),"",IF($B400="MEANS",INDEX('1-DATA'!$1:$1048576,$A399-1,COLUMN('1-DATA'!G398)),ROUND(INDEX('1-DATA'!$1:$1048576,IF(OR($B400="STD. DEVIATION",$C$1=1),$A400,$A400+1),COLUMN('1-DATA'!G398)),IF($B400="STD. DEVIATION",2,$F$1))))</f>
        <v/>
      </c>
      <c r="I400" s="1" t="str">
        <f>IF(OR($B400="",I$7=""),"",IF($B400="MEANS",INDEX('1-DATA'!$1:$1048576,$A399-1,COLUMN('1-DATA'!H398)),ROUND(INDEX('1-DATA'!$1:$1048576,IF(OR($B400="STD. DEVIATION",$C$1=1),$A400,$A400+1),COLUMN('1-DATA'!H398)),IF($B400="STD. DEVIATION",2,$F$1))))</f>
        <v/>
      </c>
      <c r="J400" s="1" t="str">
        <f>IF(OR($B400="",J$7=""),"",IF($B400="MEANS",INDEX('1-DATA'!$1:$1048576,$A399-1,COLUMN('1-DATA'!I398)),ROUND(INDEX('1-DATA'!$1:$1048576,IF(OR($B400="STD. DEVIATION",$C$1=1),$A400,$A400+1),COLUMN('1-DATA'!I398)),IF($B400="STD. DEVIATION",2,$F$1))))</f>
        <v/>
      </c>
      <c r="K400" s="1" t="str">
        <f>IF(OR($B400="",K$7=""),"",IF($B400="MEANS",INDEX('1-DATA'!$1:$1048576,$A399-1,COLUMN('1-DATA'!J398)),ROUND(INDEX('1-DATA'!$1:$1048576,IF(OR($B400="STD. DEVIATION",$C$1=1),$A400,$A400+1),COLUMN('1-DATA'!J398)),IF($B400="STD. DEVIATION",2,$F$1))))</f>
        <v/>
      </c>
      <c r="L400" s="1" t="str">
        <f>IF(OR($B400="",L$7=""),"",IF($B400="MEANS",INDEX('1-DATA'!$1:$1048576,$A399-1,COLUMN('1-DATA'!K398)),ROUND(INDEX('1-DATA'!$1:$1048576,IF(OR($B400="STD. DEVIATION",$C$1=1),$A400,$A400+1),COLUMN('1-DATA'!K398)),IF($B400="STD. DEVIATION",2,$F$1))))</f>
        <v/>
      </c>
      <c r="M400" s="1" t="str">
        <f>IF(OR($B400="",M$7=""),"",IF($B400="MEANS",INDEX('1-DATA'!$1:$1048576,$A399-1,COLUMN('1-DATA'!L398)),ROUND(INDEX('1-DATA'!$1:$1048576,IF(OR($B400="STD. DEVIATION",$C$1=1),$A400,$A400+1),COLUMN('1-DATA'!L398)),IF($B400="STD. DEVIATION",2,$F$1))))</f>
        <v/>
      </c>
      <c r="N400" s="1" t="str">
        <f>IF(OR($B400="",N$7=""),"",IF($B400="MEANS",INDEX('1-DATA'!$1:$1048576,$A399-1,COLUMN('1-DATA'!M398)),ROUND(INDEX('1-DATA'!$1:$1048576,IF(OR($B400="STD. DEVIATION",$C$1=1),$A400,$A400+1),COLUMN('1-DATA'!M398)),IF($B400="STD. DEVIATION",2,$F$1))))</f>
        <v/>
      </c>
      <c r="O400" s="1" t="str">
        <f>IF(OR($B400="",O$7=""),"",IF($B400="MEANS",INDEX('1-DATA'!$1:$1048576,$A399-1,COLUMN('1-DATA'!N398)),ROUND(INDEX('1-DATA'!$1:$1048576,IF(OR($B400="STD. DEVIATION",$C$1=1),$A400,$A400+1),COLUMN('1-DATA'!N398)),IF($B400="STD. DEVIATION",2,$F$1))))</f>
        <v/>
      </c>
      <c r="P400" s="1" t="str">
        <f>IF(OR($B400="",P$7=""),"",IF($B400="MEANS",INDEX('1-DATA'!$1:$1048576,$A399-1,COLUMN('1-DATA'!O398)),ROUND(INDEX('1-DATA'!$1:$1048576,IF(OR($B400="STD. DEVIATION",$C$1=1),$A400,$A400+1),COLUMN('1-DATA'!O398)),IF($B400="STD. DEVIATION",2,$F$1))))</f>
        <v/>
      </c>
      <c r="Q400" s="1" t="str">
        <f>IF(OR($B400="",Q$7=""),"",IF($B400="MEANS",INDEX('1-DATA'!$1:$1048576,$A399-1,COLUMN('1-DATA'!P398)),ROUND(INDEX('1-DATA'!$1:$1048576,IF(OR($B400="STD. DEVIATION",$C$1=1),$A400,$A400+1),COLUMN('1-DATA'!P398)),IF($B400="STD. DEVIATION",2,$F$1))))</f>
        <v/>
      </c>
      <c r="R400" s="1" t="str">
        <f>IF(OR($B400="",R$7=""),"",IF($B400="MEANS",INDEX('1-DATA'!$1:$1048576,$A399-1,COLUMN('1-DATA'!Q398)),ROUND(INDEX('1-DATA'!$1:$1048576,IF(OR($B400="STD. DEVIATION",$C$1=1),$A400,$A400+1),COLUMN('1-DATA'!Q398)),IF($B400="STD. DEVIATION",2,$F$1))))</f>
        <v/>
      </c>
      <c r="S400" s="1" t="str">
        <f>IF(OR($B400="",S$7=""),"",IF($B400="MEANS",INDEX('1-DATA'!$1:$1048576,$A399-1,COLUMN('1-DATA'!R398)),ROUND(INDEX('1-DATA'!$1:$1048576,IF(OR($B400="STD. DEVIATION",$C$1=1),$A400,$A400+1),COLUMN('1-DATA'!R398)),IF($B400="STD. DEVIATION",2,$F$1))))</f>
        <v/>
      </c>
      <c r="T400" s="1" t="str">
        <f>IF(OR($B400="",T$7=""),"",IF($B400="MEANS",INDEX('1-DATA'!$1:$1048576,$A399-1,COLUMN('1-DATA'!S398)),ROUND(INDEX('1-DATA'!$1:$1048576,IF(OR($B400="STD. DEVIATION",$C$1=1),$A400,$A400+1),COLUMN('1-DATA'!S398)),IF($B400="STD. DEVIATION",2,$F$1))))</f>
        <v/>
      </c>
      <c r="U400" s="1" t="str">
        <f>IF(OR($B400="",U$7=""),"",IF($B400="MEANS",INDEX('1-DATA'!$1:$1048576,$A399-1,COLUMN('1-DATA'!T398)),ROUND(INDEX('1-DATA'!$1:$1048576,IF(OR($B400="STD. DEVIATION",$C$1=1),$A400,$A400+1),COLUMN('1-DATA'!T398)),IF($B400="STD. DEVIATION",2,$F$1))))</f>
        <v/>
      </c>
      <c r="V400" s="1" t="str">
        <f>IF(OR($B400="",V$7=""),"",IF($B400="MEANS",INDEX('1-DATA'!$1:$1048576,$A399-1,COLUMN('1-DATA'!U398)),ROUND(INDEX('1-DATA'!$1:$1048576,IF(OR($B400="STD. DEVIATION",$C$1=1),$A400,$A400+1),COLUMN('1-DATA'!U398)),IF($B400="STD. DEVIATION",2,$F$1))))</f>
        <v/>
      </c>
      <c r="W400" s="1" t="str">
        <f>IF(OR($B400="",W$7=""),"",IF($B400="MEANS",INDEX('1-DATA'!$1:$1048576,$A399-1,COLUMN('1-DATA'!V398)),ROUND(INDEX('1-DATA'!$1:$1048576,IF(OR($B400="STD. DEVIATION",$C$1=1),$A400,$A400+1),COLUMN('1-DATA'!V398)),IF($B400="STD. DEVIATION",2,$F$1))))</f>
        <v/>
      </c>
      <c r="X400" s="1" t="str">
        <f>IF(OR($B400="",X$7=""),"",IF($B400="MEANS",INDEX('1-DATA'!$1:$1048576,$A399-1,COLUMN('1-DATA'!W398)),ROUND(INDEX('1-DATA'!$1:$1048576,IF(OR($B400="STD. DEVIATION",$C$1=1),$A400,$A400+1),COLUMN('1-DATA'!W398)),IF($B400="STD. DEVIATION",2,$F$1))))</f>
        <v/>
      </c>
      <c r="Y400" s="1" t="str">
        <f>IF(OR($B400="",Y$7=""),"",IF($B400="MEANS",INDEX('1-DATA'!$1:$1048576,$A399-1,COLUMN('1-DATA'!X398)),ROUND(INDEX('1-DATA'!$1:$1048576,IF(OR($B400="STD. DEVIATION",$C$1=1),$A400,$A400+1),COLUMN('1-DATA'!X398)),IF($B400="STD. DEVIATION",2,$F$1))))</f>
        <v/>
      </c>
      <c r="Z400" s="1" t="str">
        <f>IF(OR($B400="",Z$7=""),"",IF($B400="MEANS",INDEX('1-DATA'!$1:$1048576,$A399-1,COLUMN('1-DATA'!Y398)),ROUND(INDEX('1-DATA'!$1:$1048576,IF(OR($B400="STD. DEVIATION",$C$1=1),$A400,$A400+1),COLUMN('1-DATA'!Y398)),IF($B400="STD. DEVIATION",2,$F$1))))</f>
        <v/>
      </c>
      <c r="AA400" s="1" t="str">
        <f>IF(OR($B400="",AA$7=""),"",IF($B400="MEANS",INDEX('1-DATA'!$1:$1048576,$A399-1,COLUMN('1-DATA'!Z398)),ROUND(INDEX('1-DATA'!$1:$1048576,IF(OR($B400="STD. DEVIATION",$C$1=1),$A400,$A400+1),COLUMN('1-DATA'!Z398)),IF($B400="STD. DEVIATION",2,$F$1))))</f>
        <v/>
      </c>
      <c r="AB400" s="1" t="str">
        <f>IF(OR($B400="",AB$7=""),"",IF($B400="MEANS",INDEX('1-DATA'!$1:$1048576,$A399-1,COLUMN('1-DATA'!AA398)),ROUND(INDEX('1-DATA'!$1:$1048576,IF(OR($B400="STD. DEVIATION",$C$1=1),$A400,$A400+1),COLUMN('1-DATA'!AA398)),IF($B400="STD. DEVIATION",2,$F$1))))</f>
        <v/>
      </c>
      <c r="AC400" s="1" t="str">
        <f>IF(OR($B400="",AC$7=""),"",IF($B400="MEANS",INDEX('1-DATA'!$1:$1048576,$A399-1,COLUMN('1-DATA'!AB398)),ROUND(INDEX('1-DATA'!$1:$1048576,IF(OR($B400="STD. DEVIATION",$C$1=1),$A400,$A400+1),COLUMN('1-DATA'!AB398)),IF($B400="STD. DEVIATION",2,$F$1))))</f>
        <v/>
      </c>
      <c r="AD400" s="1" t="str">
        <f>IF(OR($B400="",AD$7=""),"",IF($B400="MEANS",INDEX('1-DATA'!$1:$1048576,$A399-1,COLUMN('1-DATA'!AC398)),ROUND(INDEX('1-DATA'!$1:$1048576,IF(OR($B400="STD. DEVIATION",$C$1=1),$A400,$A400+1),COLUMN('1-DATA'!AC398)),IF($B400="STD. DEVIATION",2,$F$1))))</f>
        <v/>
      </c>
      <c r="AE400" s="1" t="str">
        <f>IF(OR($B400="",AE$7=""),"",IF($B400="MEANS",INDEX('1-DATA'!$1:$1048576,$A399-1,COLUMN('1-DATA'!AD398)),ROUND(INDEX('1-DATA'!$1:$1048576,IF(OR($B400="STD. DEVIATION",$C$1=1),$A400,$A400+1),COLUMN('1-DATA'!AD398)),IF($B400="STD. DEVIATION",2,$F$1))))</f>
        <v/>
      </c>
      <c r="AF400" s="1" t="str">
        <f>IF(OR($B400="",AF$7=""),"",IF($B400="MEANS",INDEX('1-DATA'!$1:$1048576,$A399-1,COLUMN('1-DATA'!AE398)),ROUND(INDEX('1-DATA'!$1:$1048576,IF(OR($B400="STD. DEVIATION",$C$1=1),$A400,$A400+1),COLUMN('1-DATA'!AE398)),IF($B400="STD. DEVIATION",2,$F$1))))</f>
        <v/>
      </c>
      <c r="AG400" s="1" t="str">
        <f>IF(OR($B400="",AG$7=""),"",IF($B400="MEANS",INDEX('1-DATA'!$1:$1048576,$A399-1,COLUMN('1-DATA'!AF398)),ROUND(INDEX('1-DATA'!$1:$1048576,IF(OR($B400="STD. DEVIATION",$C$1=1),$A400,$A400+1),COLUMN('1-DATA'!AF398)),IF($B400="STD. DEVIATION",2,$F$1))))</f>
        <v/>
      </c>
      <c r="AH400" s="1" t="str">
        <f>IF(OR($B400="",AH$7=""),"",IF($B400="MEANS",INDEX('1-DATA'!$1:$1048576,$A399-1,COLUMN('1-DATA'!AG398)),ROUND(INDEX('1-DATA'!$1:$1048576,IF(OR($B400="STD. DEVIATION",$C$1=1),$A400,$A400+1),COLUMN('1-DATA'!AG398)),IF($B400="STD. DEVIATION",2,$F$1))))</f>
        <v/>
      </c>
      <c r="AI400" s="1" t="str">
        <f>IF(OR($B400="",AI$7=""),"",IF($B400="MEANS",INDEX('1-DATA'!$1:$1048576,$A399-1,COLUMN('1-DATA'!AH398)),ROUND(INDEX('1-DATA'!$1:$1048576,IF(OR($B400="STD. DEVIATION",$C$1=1),$A400,$A400+1),COLUMN('1-DATA'!AH398)),IF($B400="STD. DEVIATION",2,$F$1))))</f>
        <v/>
      </c>
      <c r="AJ400" s="1" t="str">
        <f>IF(OR($B400="",AJ$7=""),"",IF($B400="MEANS",INDEX('1-DATA'!$1:$1048576,$A399-1,COLUMN('1-DATA'!AI398)),ROUND(INDEX('1-DATA'!$1:$1048576,IF(OR($B400="STD. DEVIATION",$C$1=1),$A400,$A400+1),COLUMN('1-DATA'!AI398)),IF($B400="STD. DEVIATION",2,$F$1))))</f>
        <v/>
      </c>
      <c r="AK400" s="1" t="str">
        <f>IF(OR($B400="",AK$7=""),"",IF($B400="MEANS",INDEX('1-DATA'!$1:$1048576,$A399-1,COLUMN('1-DATA'!AJ398)),ROUND(INDEX('1-DATA'!$1:$1048576,IF(OR($B400="STD. DEVIATION",$C$1=1),$A400,$A400+1),COLUMN('1-DATA'!AJ398)),IF($B400="STD. DEVIATION",2,$F$1))))</f>
        <v/>
      </c>
      <c r="AL400" s="1" t="str">
        <f>IF(OR($B400="",AL$7=""),"",IF($B400="MEANS",INDEX('1-DATA'!$1:$1048576,$A399-1,COLUMN('1-DATA'!AK398)),ROUND(INDEX('1-DATA'!$1:$1048576,IF(OR($B400="STD. DEVIATION",$C$1=1),$A400,$A400+1),COLUMN('1-DATA'!AK398)),IF($B400="STD. DEVIATION",2,$F$1))))</f>
        <v/>
      </c>
      <c r="AM400" s="1" t="str">
        <f>IF(OR($B400="",AM$7=""),"",IF($B400="MEANS",INDEX('1-DATA'!$1:$1048576,$A399-1,COLUMN('1-DATA'!AL398)),ROUND(INDEX('1-DATA'!$1:$1048576,IF(OR($B400="STD. DEVIATION",$C$1=1),$A400,$A400+1),COLUMN('1-DATA'!AL398)),IF($B400="STD. DEVIATION",2,$F$1))))</f>
        <v/>
      </c>
      <c r="AN400" s="1" t="str">
        <f>IF(OR($B400="",AN$7=""),"",IF($B400="MEANS",INDEX('1-DATA'!$1:$1048576,$A399-1,COLUMN('1-DATA'!AM398)),ROUND(INDEX('1-DATA'!$1:$1048576,IF(OR($B400="STD. DEVIATION",$C$1=1),$A400,$A400+1),COLUMN('1-DATA'!AM398)),IF($B400="STD. DEVIATION",2,$F$1))))</f>
        <v/>
      </c>
      <c r="AO400" s="1" t="str">
        <f>IF(OR($B400="",AO$7=""),"",IF($B400="MEANS",INDEX('1-DATA'!$1:$1048576,$A399-1,COLUMN('1-DATA'!AN398)),ROUND(INDEX('1-DATA'!$1:$1048576,IF(OR($B400="STD. DEVIATION",$C$1=1),$A400,$A400+1),COLUMN('1-DATA'!AN398)),IF($B400="STD. DEVIATION",2,$F$1))))</f>
        <v/>
      </c>
      <c r="AP400" s="1" t="str">
        <f>IF(OR($B400="",AP$7=""),"",IF($B400="MEANS",INDEX('1-DATA'!$1:$1048576,$A399-1,COLUMN('1-DATA'!AO398)),ROUND(INDEX('1-DATA'!$1:$1048576,IF(OR($B400="STD. DEVIATION",$C$1=1),$A400,$A400+1),COLUMN('1-DATA'!AO398)),IF($B400="STD. DEVIATION",2,$F$1))))</f>
        <v/>
      </c>
      <c r="AQ400" s="1" t="str">
        <f>IF(OR($B400="",AQ$7=""),"",IF($B400="MEANS",INDEX('1-DATA'!$1:$1048576,$A399-1,COLUMN('1-DATA'!AP398)),ROUND(INDEX('1-DATA'!$1:$1048576,IF(OR($B400="STD. DEVIATION",$C$1=1),$A400,$A400+1),COLUMN('1-DATA'!AP398)),IF($B400="STD. DEVIATION",2,$F$1))))</f>
        <v/>
      </c>
      <c r="AR400" s="1" t="str">
        <f>IF(OR($B400="",AR$7=""),"",IF($B400="MEANS",INDEX('1-DATA'!$1:$1048576,$A399-1,COLUMN('1-DATA'!AQ398)),ROUND(INDEX('1-DATA'!$1:$1048576,IF(OR($B400="STD. DEVIATION",$C$1=1),$A400,$A400+1),COLUMN('1-DATA'!AQ398)),IF($B400="STD. DEVIATION",2,$F$1))))</f>
        <v/>
      </c>
      <c r="AS400" s="1" t="str">
        <f>IF(OR($B400="",AS$7=""),"",IF($B400="MEANS",INDEX('1-DATA'!$1:$1048576,$A399-1,COLUMN('1-DATA'!AR398)),ROUND(INDEX('1-DATA'!$1:$1048576,IF(OR($B400="STD. DEVIATION",$C$1=1),$A400,$A400+1),COLUMN('1-DATA'!AR398)),IF($B400="STD. DEVIATION",2,$F$1))))</f>
        <v/>
      </c>
      <c r="AT400" s="1" t="str">
        <f>IF(OR($B400="",AT$7=""),"",IF($B400="MEANS",INDEX('1-DATA'!$1:$1048576,$A399-1,COLUMN('1-DATA'!AS398)),ROUND(INDEX('1-DATA'!$1:$1048576,IF(OR($B400="STD. DEVIATION",$C$1=1),$A400,$A400+1),COLUMN('1-DATA'!AS398)),IF($B400="STD. DEVIATION",2,$F$1))))</f>
        <v/>
      </c>
      <c r="AU400" s="1" t="str">
        <f>IF(OR($B400="",AU$7=""),"",IF($B400="MEANS",INDEX('1-DATA'!$1:$1048576,$A399-1,COLUMN('1-DATA'!AT398)),ROUND(INDEX('1-DATA'!$1:$1048576,IF(OR($B400="STD. DEVIATION",$C$1=1),$A400,$A400+1),COLUMN('1-DATA'!AT398)),IF($B400="STD. DEVIATION",2,$F$1))))</f>
        <v/>
      </c>
      <c r="AV400" s="1" t="str">
        <f>IF(OR($B400="",AV$7=""),"",IF($B400="MEANS",INDEX('1-DATA'!$1:$1048576,$A399-1,COLUMN('1-DATA'!AU398)),ROUND(INDEX('1-DATA'!$1:$1048576,IF(OR($B400="STD. DEVIATION",$C$1=1),$A400,$A400+1),COLUMN('1-DATA'!AU398)),IF($B400="STD. DEVIATION",2,$F$1))))</f>
        <v/>
      </c>
      <c r="AW400" s="1" t="str">
        <f>IF(OR($B400="",AW$7=""),"",IF($B400="MEANS",INDEX('1-DATA'!$1:$1048576,$A399-1,COLUMN('1-DATA'!AV398)),ROUND(INDEX('1-DATA'!$1:$1048576,IF(OR($B400="STD. DEVIATION",$C$1=1),$A400,$A400+1),COLUMN('1-DATA'!AV398)),IF($B400="STD. DEVIATION",2,$F$1))))</f>
        <v/>
      </c>
      <c r="AX400" s="1" t="str">
        <f>IF(OR($B400="",AX$7=""),"",IF($B400="MEANS",INDEX('1-DATA'!$1:$1048576,$A399-1,COLUMN('1-DATA'!AW398)),ROUND(INDEX('1-DATA'!$1:$1048576,IF(OR($B400="STD. DEVIATION",$C$1=1),$A400,$A400+1),COLUMN('1-DATA'!AW398)),IF($B400="STD. DEVIATION",2,$F$1))))</f>
        <v/>
      </c>
      <c r="AY400" s="1" t="str">
        <f>IF(OR($B400="",AY$7=""),"",IF($B400="MEANS",INDEX('1-DATA'!$1:$1048576,$A399-1,COLUMN('1-DATA'!AX398)),ROUND(INDEX('1-DATA'!$1:$1048576,IF(OR($B400="STD. DEVIATION",$C$1=1),$A400,$A400+1),COLUMN('1-DATA'!AX398)),IF($B400="STD. DEVIATION",2,$F$1))))</f>
        <v/>
      </c>
      <c r="AZ400" s="1" t="str">
        <f>IF(OR($B400="",AZ$7=""),"",IF($B400="MEANS",INDEX('1-DATA'!$1:$1048576,$A399-1,COLUMN('1-DATA'!AY398)),ROUND(INDEX('1-DATA'!$1:$1048576,IF(OR($B400="STD. DEVIATION",$C$1=1),$A400,$A400+1),COLUMN('1-DATA'!AY398)),IF($B400="STD. DEVIATION",2,$F$1))))</f>
        <v/>
      </c>
    </row>
    <row r="401" spans="1:52" x14ac:dyDescent="0.25">
      <c r="A401" s="11">
        <f t="shared" si="6"/>
        <v>1189</v>
      </c>
      <c r="B401" s="1" t="str">
        <f>IF(B400="STD. DEVIATION",INDEX('1-DATA'!$1:$1048576,$A400-1,1),IF(INDEX('1-DATA'!$1:$1048576,$A401,1)&lt;&gt;"",INDEX('1-DATA'!$1:$1048576,$A401,1),""))</f>
        <v/>
      </c>
      <c r="C401" s="1" t="str">
        <f>IF(OR($B401="",C$7=""),"",IF($B401="MEANS",INDEX('1-DATA'!$1:$1048576,$A400-1,COLUMN('1-DATA'!B399)),ROUND(INDEX('1-DATA'!$1:$1048576,IF(OR($B401="STD. DEVIATION",$C$1=1),$A401,$A401+1),COLUMN('1-DATA'!B399)),IF($B401="STD. DEVIATION",2,$F$1))))</f>
        <v/>
      </c>
      <c r="D401" s="1" t="str">
        <f>IF(OR($B401="",D$7=""),"",IF($B401="MEANS",INDEX('1-DATA'!$1:$1048576,$A400-1,COLUMN('1-DATA'!C399)),ROUND(INDEX('1-DATA'!$1:$1048576,IF(OR($B401="STD. DEVIATION",$C$1=1),$A401,$A401+1),COLUMN('1-DATA'!C399)),IF($B401="STD. DEVIATION",2,$F$1))))</f>
        <v/>
      </c>
      <c r="E401" s="1" t="str">
        <f>IF(OR($B401="",E$7=""),"",IF($B401="MEANS",INDEX('1-DATA'!$1:$1048576,$A400-1,COLUMN('1-DATA'!D399)),ROUND(INDEX('1-DATA'!$1:$1048576,IF(OR($B401="STD. DEVIATION",$C$1=1),$A401,$A401+1),COLUMN('1-DATA'!D399)),IF($B401="STD. DEVIATION",2,$F$1))))</f>
        <v/>
      </c>
      <c r="F401" s="1" t="str">
        <f>IF(OR($B401="",F$7=""),"",IF($B401="MEANS",INDEX('1-DATA'!$1:$1048576,$A400-1,COLUMN('1-DATA'!E399)),ROUND(INDEX('1-DATA'!$1:$1048576,IF(OR($B401="STD. DEVIATION",$C$1=1),$A401,$A401+1),COLUMN('1-DATA'!E399)),IF($B401="STD. DEVIATION",2,$F$1))))</f>
        <v/>
      </c>
      <c r="G401" s="1" t="str">
        <f>IF(OR($B401="",G$7=""),"",IF($B401="MEANS",INDEX('1-DATA'!$1:$1048576,$A400-1,COLUMN('1-DATA'!F399)),ROUND(INDEX('1-DATA'!$1:$1048576,IF(OR($B401="STD. DEVIATION",$C$1=1),$A401,$A401+1),COLUMN('1-DATA'!F399)),IF($B401="STD. DEVIATION",2,$F$1))))</f>
        <v/>
      </c>
      <c r="H401" s="1" t="str">
        <f>IF(OR($B401="",H$7=""),"",IF($B401="MEANS",INDEX('1-DATA'!$1:$1048576,$A400-1,COLUMN('1-DATA'!G399)),ROUND(INDEX('1-DATA'!$1:$1048576,IF(OR($B401="STD. DEVIATION",$C$1=1),$A401,$A401+1),COLUMN('1-DATA'!G399)),IF($B401="STD. DEVIATION",2,$F$1))))</f>
        <v/>
      </c>
      <c r="I401" s="1" t="str">
        <f>IF(OR($B401="",I$7=""),"",IF($B401="MEANS",INDEX('1-DATA'!$1:$1048576,$A400-1,COLUMN('1-DATA'!H399)),ROUND(INDEX('1-DATA'!$1:$1048576,IF(OR($B401="STD. DEVIATION",$C$1=1),$A401,$A401+1),COLUMN('1-DATA'!H399)),IF($B401="STD. DEVIATION",2,$F$1))))</f>
        <v/>
      </c>
      <c r="J401" s="1" t="str">
        <f>IF(OR($B401="",J$7=""),"",IF($B401="MEANS",INDEX('1-DATA'!$1:$1048576,$A400-1,COLUMN('1-DATA'!I399)),ROUND(INDEX('1-DATA'!$1:$1048576,IF(OR($B401="STD. DEVIATION",$C$1=1),$A401,$A401+1),COLUMN('1-DATA'!I399)),IF($B401="STD. DEVIATION",2,$F$1))))</f>
        <v/>
      </c>
      <c r="K401" s="1" t="str">
        <f>IF(OR($B401="",K$7=""),"",IF($B401="MEANS",INDEX('1-DATA'!$1:$1048576,$A400-1,COLUMN('1-DATA'!J399)),ROUND(INDEX('1-DATA'!$1:$1048576,IF(OR($B401="STD. DEVIATION",$C$1=1),$A401,$A401+1),COLUMN('1-DATA'!J399)),IF($B401="STD. DEVIATION",2,$F$1))))</f>
        <v/>
      </c>
      <c r="L401" s="1" t="str">
        <f>IF(OR($B401="",L$7=""),"",IF($B401="MEANS",INDEX('1-DATA'!$1:$1048576,$A400-1,COLUMN('1-DATA'!K399)),ROUND(INDEX('1-DATA'!$1:$1048576,IF(OR($B401="STD. DEVIATION",$C$1=1),$A401,$A401+1),COLUMN('1-DATA'!K399)),IF($B401="STD. DEVIATION",2,$F$1))))</f>
        <v/>
      </c>
      <c r="M401" s="1" t="str">
        <f>IF(OR($B401="",M$7=""),"",IF($B401="MEANS",INDEX('1-DATA'!$1:$1048576,$A400-1,COLUMN('1-DATA'!L399)),ROUND(INDEX('1-DATA'!$1:$1048576,IF(OR($B401="STD. DEVIATION",$C$1=1),$A401,$A401+1),COLUMN('1-DATA'!L399)),IF($B401="STD. DEVIATION",2,$F$1))))</f>
        <v/>
      </c>
      <c r="N401" s="1" t="str">
        <f>IF(OR($B401="",N$7=""),"",IF($B401="MEANS",INDEX('1-DATA'!$1:$1048576,$A400-1,COLUMN('1-DATA'!M399)),ROUND(INDEX('1-DATA'!$1:$1048576,IF(OR($B401="STD. DEVIATION",$C$1=1),$A401,$A401+1),COLUMN('1-DATA'!M399)),IF($B401="STD. DEVIATION",2,$F$1))))</f>
        <v/>
      </c>
      <c r="O401" s="1" t="str">
        <f>IF(OR($B401="",O$7=""),"",IF($B401="MEANS",INDEX('1-DATA'!$1:$1048576,$A400-1,COLUMN('1-DATA'!N399)),ROUND(INDEX('1-DATA'!$1:$1048576,IF(OR($B401="STD. DEVIATION",$C$1=1),$A401,$A401+1),COLUMN('1-DATA'!N399)),IF($B401="STD. DEVIATION",2,$F$1))))</f>
        <v/>
      </c>
      <c r="P401" s="1" t="str">
        <f>IF(OR($B401="",P$7=""),"",IF($B401="MEANS",INDEX('1-DATA'!$1:$1048576,$A400-1,COLUMN('1-DATA'!O399)),ROUND(INDEX('1-DATA'!$1:$1048576,IF(OR($B401="STD. DEVIATION",$C$1=1),$A401,$A401+1),COLUMN('1-DATA'!O399)),IF($B401="STD. DEVIATION",2,$F$1))))</f>
        <v/>
      </c>
      <c r="Q401" s="1" t="str">
        <f>IF(OR($B401="",Q$7=""),"",IF($B401="MEANS",INDEX('1-DATA'!$1:$1048576,$A400-1,COLUMN('1-DATA'!P399)),ROUND(INDEX('1-DATA'!$1:$1048576,IF(OR($B401="STD. DEVIATION",$C$1=1),$A401,$A401+1),COLUMN('1-DATA'!P399)),IF($B401="STD. DEVIATION",2,$F$1))))</f>
        <v/>
      </c>
      <c r="R401" s="1" t="str">
        <f>IF(OR($B401="",R$7=""),"",IF($B401="MEANS",INDEX('1-DATA'!$1:$1048576,$A400-1,COLUMN('1-DATA'!Q399)),ROUND(INDEX('1-DATA'!$1:$1048576,IF(OR($B401="STD. DEVIATION",$C$1=1),$A401,$A401+1),COLUMN('1-DATA'!Q399)),IF($B401="STD. DEVIATION",2,$F$1))))</f>
        <v/>
      </c>
      <c r="S401" s="1" t="str">
        <f>IF(OR($B401="",S$7=""),"",IF($B401="MEANS",INDEX('1-DATA'!$1:$1048576,$A400-1,COLUMN('1-DATA'!R399)),ROUND(INDEX('1-DATA'!$1:$1048576,IF(OR($B401="STD. DEVIATION",$C$1=1),$A401,$A401+1),COLUMN('1-DATA'!R399)),IF($B401="STD. DEVIATION",2,$F$1))))</f>
        <v/>
      </c>
      <c r="T401" s="1" t="str">
        <f>IF(OR($B401="",T$7=""),"",IF($B401="MEANS",INDEX('1-DATA'!$1:$1048576,$A400-1,COLUMN('1-DATA'!S399)),ROUND(INDEX('1-DATA'!$1:$1048576,IF(OR($B401="STD. DEVIATION",$C$1=1),$A401,$A401+1),COLUMN('1-DATA'!S399)),IF($B401="STD. DEVIATION",2,$F$1))))</f>
        <v/>
      </c>
      <c r="U401" s="1" t="str">
        <f>IF(OR($B401="",U$7=""),"",IF($B401="MEANS",INDEX('1-DATA'!$1:$1048576,$A400-1,COLUMN('1-DATA'!T399)),ROUND(INDEX('1-DATA'!$1:$1048576,IF(OR($B401="STD. DEVIATION",$C$1=1),$A401,$A401+1),COLUMN('1-DATA'!T399)),IF($B401="STD. DEVIATION",2,$F$1))))</f>
        <v/>
      </c>
      <c r="V401" s="1" t="str">
        <f>IF(OR($B401="",V$7=""),"",IF($B401="MEANS",INDEX('1-DATA'!$1:$1048576,$A400-1,COLUMN('1-DATA'!U399)),ROUND(INDEX('1-DATA'!$1:$1048576,IF(OR($B401="STD. DEVIATION",$C$1=1),$A401,$A401+1),COLUMN('1-DATA'!U399)),IF($B401="STD. DEVIATION",2,$F$1))))</f>
        <v/>
      </c>
      <c r="W401" s="1" t="str">
        <f>IF(OR($B401="",W$7=""),"",IF($B401="MEANS",INDEX('1-DATA'!$1:$1048576,$A400-1,COLUMN('1-DATA'!V399)),ROUND(INDEX('1-DATA'!$1:$1048576,IF(OR($B401="STD. DEVIATION",$C$1=1),$A401,$A401+1),COLUMN('1-DATA'!V399)),IF($B401="STD. DEVIATION",2,$F$1))))</f>
        <v/>
      </c>
      <c r="X401" s="1" t="str">
        <f>IF(OR($B401="",X$7=""),"",IF($B401="MEANS",INDEX('1-DATA'!$1:$1048576,$A400-1,COLUMN('1-DATA'!W399)),ROUND(INDEX('1-DATA'!$1:$1048576,IF(OR($B401="STD. DEVIATION",$C$1=1),$A401,$A401+1),COLUMN('1-DATA'!W399)),IF($B401="STD. DEVIATION",2,$F$1))))</f>
        <v/>
      </c>
      <c r="Y401" s="1" t="str">
        <f>IF(OR($B401="",Y$7=""),"",IF($B401="MEANS",INDEX('1-DATA'!$1:$1048576,$A400-1,COLUMN('1-DATA'!X399)),ROUND(INDEX('1-DATA'!$1:$1048576,IF(OR($B401="STD. DEVIATION",$C$1=1),$A401,$A401+1),COLUMN('1-DATA'!X399)),IF($B401="STD. DEVIATION",2,$F$1))))</f>
        <v/>
      </c>
      <c r="Z401" s="1" t="str">
        <f>IF(OR($B401="",Z$7=""),"",IF($B401="MEANS",INDEX('1-DATA'!$1:$1048576,$A400-1,COLUMN('1-DATA'!Y399)),ROUND(INDEX('1-DATA'!$1:$1048576,IF(OR($B401="STD. DEVIATION",$C$1=1),$A401,$A401+1),COLUMN('1-DATA'!Y399)),IF($B401="STD. DEVIATION",2,$F$1))))</f>
        <v/>
      </c>
      <c r="AA401" s="1" t="str">
        <f>IF(OR($B401="",AA$7=""),"",IF($B401="MEANS",INDEX('1-DATA'!$1:$1048576,$A400-1,COLUMN('1-DATA'!Z399)),ROUND(INDEX('1-DATA'!$1:$1048576,IF(OR($B401="STD. DEVIATION",$C$1=1),$A401,$A401+1),COLUMN('1-DATA'!Z399)),IF($B401="STD. DEVIATION",2,$F$1))))</f>
        <v/>
      </c>
      <c r="AB401" s="1" t="str">
        <f>IF(OR($B401="",AB$7=""),"",IF($B401="MEANS",INDEX('1-DATA'!$1:$1048576,$A400-1,COLUMN('1-DATA'!AA399)),ROUND(INDEX('1-DATA'!$1:$1048576,IF(OR($B401="STD. DEVIATION",$C$1=1),$A401,$A401+1),COLUMN('1-DATA'!AA399)),IF($B401="STD. DEVIATION",2,$F$1))))</f>
        <v/>
      </c>
      <c r="AC401" s="1" t="str">
        <f>IF(OR($B401="",AC$7=""),"",IF($B401="MEANS",INDEX('1-DATA'!$1:$1048576,$A400-1,COLUMN('1-DATA'!AB399)),ROUND(INDEX('1-DATA'!$1:$1048576,IF(OR($B401="STD. DEVIATION",$C$1=1),$A401,$A401+1),COLUMN('1-DATA'!AB399)),IF($B401="STD. DEVIATION",2,$F$1))))</f>
        <v/>
      </c>
      <c r="AD401" s="1" t="str">
        <f>IF(OR($B401="",AD$7=""),"",IF($B401="MEANS",INDEX('1-DATA'!$1:$1048576,$A400-1,COLUMN('1-DATA'!AC399)),ROUND(INDEX('1-DATA'!$1:$1048576,IF(OR($B401="STD. DEVIATION",$C$1=1),$A401,$A401+1),COLUMN('1-DATA'!AC399)),IF($B401="STD. DEVIATION",2,$F$1))))</f>
        <v/>
      </c>
      <c r="AE401" s="1" t="str">
        <f>IF(OR($B401="",AE$7=""),"",IF($B401="MEANS",INDEX('1-DATA'!$1:$1048576,$A400-1,COLUMN('1-DATA'!AD399)),ROUND(INDEX('1-DATA'!$1:$1048576,IF(OR($B401="STD. DEVIATION",$C$1=1),$A401,$A401+1),COLUMN('1-DATA'!AD399)),IF($B401="STD. DEVIATION",2,$F$1))))</f>
        <v/>
      </c>
      <c r="AF401" s="1" t="str">
        <f>IF(OR($B401="",AF$7=""),"",IF($B401="MEANS",INDEX('1-DATA'!$1:$1048576,$A400-1,COLUMN('1-DATA'!AE399)),ROUND(INDEX('1-DATA'!$1:$1048576,IF(OR($B401="STD. DEVIATION",$C$1=1),$A401,$A401+1),COLUMN('1-DATA'!AE399)),IF($B401="STD. DEVIATION",2,$F$1))))</f>
        <v/>
      </c>
      <c r="AG401" s="1" t="str">
        <f>IF(OR($B401="",AG$7=""),"",IF($B401="MEANS",INDEX('1-DATA'!$1:$1048576,$A400-1,COLUMN('1-DATA'!AF399)),ROUND(INDEX('1-DATA'!$1:$1048576,IF(OR($B401="STD. DEVIATION",$C$1=1),$A401,$A401+1),COLUMN('1-DATA'!AF399)),IF($B401="STD. DEVIATION",2,$F$1))))</f>
        <v/>
      </c>
      <c r="AH401" s="1" t="str">
        <f>IF(OR($B401="",AH$7=""),"",IF($B401="MEANS",INDEX('1-DATA'!$1:$1048576,$A400-1,COLUMN('1-DATA'!AG399)),ROUND(INDEX('1-DATA'!$1:$1048576,IF(OR($B401="STD. DEVIATION",$C$1=1),$A401,$A401+1),COLUMN('1-DATA'!AG399)),IF($B401="STD. DEVIATION",2,$F$1))))</f>
        <v/>
      </c>
      <c r="AI401" s="1" t="str">
        <f>IF(OR($B401="",AI$7=""),"",IF($B401="MEANS",INDEX('1-DATA'!$1:$1048576,$A400-1,COLUMN('1-DATA'!AH399)),ROUND(INDEX('1-DATA'!$1:$1048576,IF(OR($B401="STD. DEVIATION",$C$1=1),$A401,$A401+1),COLUMN('1-DATA'!AH399)),IF($B401="STD. DEVIATION",2,$F$1))))</f>
        <v/>
      </c>
      <c r="AJ401" s="1" t="str">
        <f>IF(OR($B401="",AJ$7=""),"",IF($B401="MEANS",INDEX('1-DATA'!$1:$1048576,$A400-1,COLUMN('1-DATA'!AI399)),ROUND(INDEX('1-DATA'!$1:$1048576,IF(OR($B401="STD. DEVIATION",$C$1=1),$A401,$A401+1),COLUMN('1-DATA'!AI399)),IF($B401="STD. DEVIATION",2,$F$1))))</f>
        <v/>
      </c>
      <c r="AK401" s="1" t="str">
        <f>IF(OR($B401="",AK$7=""),"",IF($B401="MEANS",INDEX('1-DATA'!$1:$1048576,$A400-1,COLUMN('1-DATA'!AJ399)),ROUND(INDEX('1-DATA'!$1:$1048576,IF(OR($B401="STD. DEVIATION",$C$1=1),$A401,$A401+1),COLUMN('1-DATA'!AJ399)),IF($B401="STD. DEVIATION",2,$F$1))))</f>
        <v/>
      </c>
      <c r="AL401" s="1" t="str">
        <f>IF(OR($B401="",AL$7=""),"",IF($B401="MEANS",INDEX('1-DATA'!$1:$1048576,$A400-1,COLUMN('1-DATA'!AK399)),ROUND(INDEX('1-DATA'!$1:$1048576,IF(OR($B401="STD. DEVIATION",$C$1=1),$A401,$A401+1),COLUMN('1-DATA'!AK399)),IF($B401="STD. DEVIATION",2,$F$1))))</f>
        <v/>
      </c>
      <c r="AM401" s="1" t="str">
        <f>IF(OR($B401="",AM$7=""),"",IF($B401="MEANS",INDEX('1-DATA'!$1:$1048576,$A400-1,COLUMN('1-DATA'!AL399)),ROUND(INDEX('1-DATA'!$1:$1048576,IF(OR($B401="STD. DEVIATION",$C$1=1),$A401,$A401+1),COLUMN('1-DATA'!AL399)),IF($B401="STD. DEVIATION",2,$F$1))))</f>
        <v/>
      </c>
      <c r="AN401" s="1" t="str">
        <f>IF(OR($B401="",AN$7=""),"",IF($B401="MEANS",INDEX('1-DATA'!$1:$1048576,$A400-1,COLUMN('1-DATA'!AM399)),ROUND(INDEX('1-DATA'!$1:$1048576,IF(OR($B401="STD. DEVIATION",$C$1=1),$A401,$A401+1),COLUMN('1-DATA'!AM399)),IF($B401="STD. DEVIATION",2,$F$1))))</f>
        <v/>
      </c>
      <c r="AO401" s="1" t="str">
        <f>IF(OR($B401="",AO$7=""),"",IF($B401="MEANS",INDEX('1-DATA'!$1:$1048576,$A400-1,COLUMN('1-DATA'!AN399)),ROUND(INDEX('1-DATA'!$1:$1048576,IF(OR($B401="STD. DEVIATION",$C$1=1),$A401,$A401+1),COLUMN('1-DATA'!AN399)),IF($B401="STD. DEVIATION",2,$F$1))))</f>
        <v/>
      </c>
      <c r="AP401" s="1" t="str">
        <f>IF(OR($B401="",AP$7=""),"",IF($B401="MEANS",INDEX('1-DATA'!$1:$1048576,$A400-1,COLUMN('1-DATA'!AO399)),ROUND(INDEX('1-DATA'!$1:$1048576,IF(OR($B401="STD. DEVIATION",$C$1=1),$A401,$A401+1),COLUMN('1-DATA'!AO399)),IF($B401="STD. DEVIATION",2,$F$1))))</f>
        <v/>
      </c>
      <c r="AQ401" s="1" t="str">
        <f>IF(OR($B401="",AQ$7=""),"",IF($B401="MEANS",INDEX('1-DATA'!$1:$1048576,$A400-1,COLUMN('1-DATA'!AP399)),ROUND(INDEX('1-DATA'!$1:$1048576,IF(OR($B401="STD. DEVIATION",$C$1=1),$A401,$A401+1),COLUMN('1-DATA'!AP399)),IF($B401="STD. DEVIATION",2,$F$1))))</f>
        <v/>
      </c>
      <c r="AR401" s="1" t="str">
        <f>IF(OR($B401="",AR$7=""),"",IF($B401="MEANS",INDEX('1-DATA'!$1:$1048576,$A400-1,COLUMN('1-DATA'!AQ399)),ROUND(INDEX('1-DATA'!$1:$1048576,IF(OR($B401="STD. DEVIATION",$C$1=1),$A401,$A401+1),COLUMN('1-DATA'!AQ399)),IF($B401="STD. DEVIATION",2,$F$1))))</f>
        <v/>
      </c>
      <c r="AS401" s="1" t="str">
        <f>IF(OR($B401="",AS$7=""),"",IF($B401="MEANS",INDEX('1-DATA'!$1:$1048576,$A400-1,COLUMN('1-DATA'!AR399)),ROUND(INDEX('1-DATA'!$1:$1048576,IF(OR($B401="STD. DEVIATION",$C$1=1),$A401,$A401+1),COLUMN('1-DATA'!AR399)),IF($B401="STD. DEVIATION",2,$F$1))))</f>
        <v/>
      </c>
      <c r="AT401" s="1" t="str">
        <f>IF(OR($B401="",AT$7=""),"",IF($B401="MEANS",INDEX('1-DATA'!$1:$1048576,$A400-1,COLUMN('1-DATA'!AS399)),ROUND(INDEX('1-DATA'!$1:$1048576,IF(OR($B401="STD. DEVIATION",$C$1=1),$A401,$A401+1),COLUMN('1-DATA'!AS399)),IF($B401="STD. DEVIATION",2,$F$1))))</f>
        <v/>
      </c>
      <c r="AU401" s="1" t="str">
        <f>IF(OR($B401="",AU$7=""),"",IF($B401="MEANS",INDEX('1-DATA'!$1:$1048576,$A400-1,COLUMN('1-DATA'!AT399)),ROUND(INDEX('1-DATA'!$1:$1048576,IF(OR($B401="STD. DEVIATION",$C$1=1),$A401,$A401+1),COLUMN('1-DATA'!AT399)),IF($B401="STD. DEVIATION",2,$F$1))))</f>
        <v/>
      </c>
      <c r="AV401" s="1" t="str">
        <f>IF(OR($B401="",AV$7=""),"",IF($B401="MEANS",INDEX('1-DATA'!$1:$1048576,$A400-1,COLUMN('1-DATA'!AU399)),ROUND(INDEX('1-DATA'!$1:$1048576,IF(OR($B401="STD. DEVIATION",$C$1=1),$A401,$A401+1),COLUMN('1-DATA'!AU399)),IF($B401="STD. DEVIATION",2,$F$1))))</f>
        <v/>
      </c>
      <c r="AW401" s="1" t="str">
        <f>IF(OR($B401="",AW$7=""),"",IF($B401="MEANS",INDEX('1-DATA'!$1:$1048576,$A400-1,COLUMN('1-DATA'!AV399)),ROUND(INDEX('1-DATA'!$1:$1048576,IF(OR($B401="STD. DEVIATION",$C$1=1),$A401,$A401+1),COLUMN('1-DATA'!AV399)),IF($B401="STD. DEVIATION",2,$F$1))))</f>
        <v/>
      </c>
      <c r="AX401" s="1" t="str">
        <f>IF(OR($B401="",AX$7=""),"",IF($B401="MEANS",INDEX('1-DATA'!$1:$1048576,$A400-1,COLUMN('1-DATA'!AW399)),ROUND(INDEX('1-DATA'!$1:$1048576,IF(OR($B401="STD. DEVIATION",$C$1=1),$A401,$A401+1),COLUMN('1-DATA'!AW399)),IF($B401="STD. DEVIATION",2,$F$1))))</f>
        <v/>
      </c>
      <c r="AY401" s="1" t="str">
        <f>IF(OR($B401="",AY$7=""),"",IF($B401="MEANS",INDEX('1-DATA'!$1:$1048576,$A400-1,COLUMN('1-DATA'!AX399)),ROUND(INDEX('1-DATA'!$1:$1048576,IF(OR($B401="STD. DEVIATION",$C$1=1),$A401,$A401+1),COLUMN('1-DATA'!AX399)),IF($B401="STD. DEVIATION",2,$F$1))))</f>
        <v/>
      </c>
      <c r="AZ401" s="1" t="str">
        <f>IF(OR($B401="",AZ$7=""),"",IF($B401="MEANS",INDEX('1-DATA'!$1:$1048576,$A400-1,COLUMN('1-DATA'!AY399)),ROUND(INDEX('1-DATA'!$1:$1048576,IF(OR($B401="STD. DEVIATION",$C$1=1),$A401,$A401+1),COLUMN('1-DATA'!AY399)),IF($B401="STD. DEVIATION",2,$F$1))))</f>
        <v/>
      </c>
    </row>
    <row r="402" spans="1:52" x14ac:dyDescent="0.25">
      <c r="A402" s="11">
        <f t="shared" si="6"/>
        <v>1192</v>
      </c>
      <c r="B402" s="1" t="str">
        <f>IF(B401="STD. DEVIATION",INDEX('1-DATA'!$1:$1048576,$A401-1,1),IF(INDEX('1-DATA'!$1:$1048576,$A402,1)&lt;&gt;"",INDEX('1-DATA'!$1:$1048576,$A402,1),""))</f>
        <v/>
      </c>
      <c r="C402" s="1" t="str">
        <f>IF(OR($B402="",C$7=""),"",IF($B402="MEANS",INDEX('1-DATA'!$1:$1048576,$A401-1,COLUMN('1-DATA'!B400)),ROUND(INDEX('1-DATA'!$1:$1048576,IF(OR($B402="STD. DEVIATION",$C$1=1),$A402,$A402+1),COLUMN('1-DATA'!B400)),IF($B402="STD. DEVIATION",2,$F$1))))</f>
        <v/>
      </c>
      <c r="D402" s="1" t="str">
        <f>IF(OR($B402="",D$7=""),"",IF($B402="MEANS",INDEX('1-DATA'!$1:$1048576,$A401-1,COLUMN('1-DATA'!C400)),ROUND(INDEX('1-DATA'!$1:$1048576,IF(OR($B402="STD. DEVIATION",$C$1=1),$A402,$A402+1),COLUMN('1-DATA'!C400)),IF($B402="STD. DEVIATION",2,$F$1))))</f>
        <v/>
      </c>
      <c r="E402" s="1" t="str">
        <f>IF(OR($B402="",E$7=""),"",IF($B402="MEANS",INDEX('1-DATA'!$1:$1048576,$A401-1,COLUMN('1-DATA'!D400)),ROUND(INDEX('1-DATA'!$1:$1048576,IF(OR($B402="STD. DEVIATION",$C$1=1),$A402,$A402+1),COLUMN('1-DATA'!D400)),IF($B402="STD. DEVIATION",2,$F$1))))</f>
        <v/>
      </c>
      <c r="F402" s="1" t="str">
        <f>IF(OR($B402="",F$7=""),"",IF($B402="MEANS",INDEX('1-DATA'!$1:$1048576,$A401-1,COLUMN('1-DATA'!E400)),ROUND(INDEX('1-DATA'!$1:$1048576,IF(OR($B402="STD. DEVIATION",$C$1=1),$A402,$A402+1),COLUMN('1-DATA'!E400)),IF($B402="STD. DEVIATION",2,$F$1))))</f>
        <v/>
      </c>
      <c r="G402" s="1" t="str">
        <f>IF(OR($B402="",G$7=""),"",IF($B402="MEANS",INDEX('1-DATA'!$1:$1048576,$A401-1,COLUMN('1-DATA'!F400)),ROUND(INDEX('1-DATA'!$1:$1048576,IF(OR($B402="STD. DEVIATION",$C$1=1),$A402,$A402+1),COLUMN('1-DATA'!F400)),IF($B402="STD. DEVIATION",2,$F$1))))</f>
        <v/>
      </c>
      <c r="H402" s="1" t="str">
        <f>IF(OR($B402="",H$7=""),"",IF($B402="MEANS",INDEX('1-DATA'!$1:$1048576,$A401-1,COLUMN('1-DATA'!G400)),ROUND(INDEX('1-DATA'!$1:$1048576,IF(OR($B402="STD. DEVIATION",$C$1=1),$A402,$A402+1),COLUMN('1-DATA'!G400)),IF($B402="STD. DEVIATION",2,$F$1))))</f>
        <v/>
      </c>
      <c r="I402" s="1" t="str">
        <f>IF(OR($B402="",I$7=""),"",IF($B402="MEANS",INDEX('1-DATA'!$1:$1048576,$A401-1,COLUMN('1-DATA'!H400)),ROUND(INDEX('1-DATA'!$1:$1048576,IF(OR($B402="STD. DEVIATION",$C$1=1),$A402,$A402+1),COLUMN('1-DATA'!H400)),IF($B402="STD. DEVIATION",2,$F$1))))</f>
        <v/>
      </c>
      <c r="J402" s="1" t="str">
        <f>IF(OR($B402="",J$7=""),"",IF($B402="MEANS",INDEX('1-DATA'!$1:$1048576,$A401-1,COLUMN('1-DATA'!I400)),ROUND(INDEX('1-DATA'!$1:$1048576,IF(OR($B402="STD. DEVIATION",$C$1=1),$A402,$A402+1),COLUMN('1-DATA'!I400)),IF($B402="STD. DEVIATION",2,$F$1))))</f>
        <v/>
      </c>
      <c r="K402" s="1" t="str">
        <f>IF(OR($B402="",K$7=""),"",IF($B402="MEANS",INDEX('1-DATA'!$1:$1048576,$A401-1,COLUMN('1-DATA'!J400)),ROUND(INDEX('1-DATA'!$1:$1048576,IF(OR($B402="STD. DEVIATION",$C$1=1),$A402,$A402+1),COLUMN('1-DATA'!J400)),IF($B402="STD. DEVIATION",2,$F$1))))</f>
        <v/>
      </c>
      <c r="L402" s="1" t="str">
        <f>IF(OR($B402="",L$7=""),"",IF($B402="MEANS",INDEX('1-DATA'!$1:$1048576,$A401-1,COLUMN('1-DATA'!K400)),ROUND(INDEX('1-DATA'!$1:$1048576,IF(OR($B402="STD. DEVIATION",$C$1=1),$A402,$A402+1),COLUMN('1-DATA'!K400)),IF($B402="STD. DEVIATION",2,$F$1))))</f>
        <v/>
      </c>
      <c r="M402" s="1" t="str">
        <f>IF(OR($B402="",M$7=""),"",IF($B402="MEANS",INDEX('1-DATA'!$1:$1048576,$A401-1,COLUMN('1-DATA'!L400)),ROUND(INDEX('1-DATA'!$1:$1048576,IF(OR($B402="STD. DEVIATION",$C$1=1),$A402,$A402+1),COLUMN('1-DATA'!L400)),IF($B402="STD. DEVIATION",2,$F$1))))</f>
        <v/>
      </c>
      <c r="N402" s="1" t="str">
        <f>IF(OR($B402="",N$7=""),"",IF($B402="MEANS",INDEX('1-DATA'!$1:$1048576,$A401-1,COLUMN('1-DATA'!M400)),ROUND(INDEX('1-DATA'!$1:$1048576,IF(OR($B402="STD. DEVIATION",$C$1=1),$A402,$A402+1),COLUMN('1-DATA'!M400)),IF($B402="STD. DEVIATION",2,$F$1))))</f>
        <v/>
      </c>
      <c r="O402" s="1" t="str">
        <f>IF(OR($B402="",O$7=""),"",IF($B402="MEANS",INDEX('1-DATA'!$1:$1048576,$A401-1,COLUMN('1-DATA'!N400)),ROUND(INDEX('1-DATA'!$1:$1048576,IF(OR($B402="STD. DEVIATION",$C$1=1),$A402,$A402+1),COLUMN('1-DATA'!N400)),IF($B402="STD. DEVIATION",2,$F$1))))</f>
        <v/>
      </c>
      <c r="P402" s="1" t="str">
        <f>IF(OR($B402="",P$7=""),"",IF($B402="MEANS",INDEX('1-DATA'!$1:$1048576,$A401-1,COLUMN('1-DATA'!O400)),ROUND(INDEX('1-DATA'!$1:$1048576,IF(OR($B402="STD. DEVIATION",$C$1=1),$A402,$A402+1),COLUMN('1-DATA'!O400)),IF($B402="STD. DEVIATION",2,$F$1))))</f>
        <v/>
      </c>
      <c r="Q402" s="1" t="str">
        <f>IF(OR($B402="",Q$7=""),"",IF($B402="MEANS",INDEX('1-DATA'!$1:$1048576,$A401-1,COLUMN('1-DATA'!P400)),ROUND(INDEX('1-DATA'!$1:$1048576,IF(OR($B402="STD. DEVIATION",$C$1=1),$A402,$A402+1),COLUMN('1-DATA'!P400)),IF($B402="STD. DEVIATION",2,$F$1))))</f>
        <v/>
      </c>
      <c r="R402" s="1" t="str">
        <f>IF(OR($B402="",R$7=""),"",IF($B402="MEANS",INDEX('1-DATA'!$1:$1048576,$A401-1,COLUMN('1-DATA'!Q400)),ROUND(INDEX('1-DATA'!$1:$1048576,IF(OR($B402="STD. DEVIATION",$C$1=1),$A402,$A402+1),COLUMN('1-DATA'!Q400)),IF($B402="STD. DEVIATION",2,$F$1))))</f>
        <v/>
      </c>
      <c r="S402" s="1" t="str">
        <f>IF(OR($B402="",S$7=""),"",IF($B402="MEANS",INDEX('1-DATA'!$1:$1048576,$A401-1,COLUMN('1-DATA'!R400)),ROUND(INDEX('1-DATA'!$1:$1048576,IF(OR($B402="STD. DEVIATION",$C$1=1),$A402,$A402+1),COLUMN('1-DATA'!R400)),IF($B402="STD. DEVIATION",2,$F$1))))</f>
        <v/>
      </c>
      <c r="T402" s="1" t="str">
        <f>IF(OR($B402="",T$7=""),"",IF($B402="MEANS",INDEX('1-DATA'!$1:$1048576,$A401-1,COLUMN('1-DATA'!S400)),ROUND(INDEX('1-DATA'!$1:$1048576,IF(OR($B402="STD. DEVIATION",$C$1=1),$A402,$A402+1),COLUMN('1-DATA'!S400)),IF($B402="STD. DEVIATION",2,$F$1))))</f>
        <v/>
      </c>
      <c r="U402" s="1" t="str">
        <f>IF(OR($B402="",U$7=""),"",IF($B402="MEANS",INDEX('1-DATA'!$1:$1048576,$A401-1,COLUMN('1-DATA'!T400)),ROUND(INDEX('1-DATA'!$1:$1048576,IF(OR($B402="STD. DEVIATION",$C$1=1),$A402,$A402+1),COLUMN('1-DATA'!T400)),IF($B402="STD. DEVIATION",2,$F$1))))</f>
        <v/>
      </c>
      <c r="V402" s="1" t="str">
        <f>IF(OR($B402="",V$7=""),"",IF($B402="MEANS",INDEX('1-DATA'!$1:$1048576,$A401-1,COLUMN('1-DATA'!U400)),ROUND(INDEX('1-DATA'!$1:$1048576,IF(OR($B402="STD. DEVIATION",$C$1=1),$A402,$A402+1),COLUMN('1-DATA'!U400)),IF($B402="STD. DEVIATION",2,$F$1))))</f>
        <v/>
      </c>
      <c r="W402" s="1" t="str">
        <f>IF(OR($B402="",W$7=""),"",IF($B402="MEANS",INDEX('1-DATA'!$1:$1048576,$A401-1,COLUMN('1-DATA'!V400)),ROUND(INDEX('1-DATA'!$1:$1048576,IF(OR($B402="STD. DEVIATION",$C$1=1),$A402,$A402+1),COLUMN('1-DATA'!V400)),IF($B402="STD. DEVIATION",2,$F$1))))</f>
        <v/>
      </c>
      <c r="X402" s="1" t="str">
        <f>IF(OR($B402="",X$7=""),"",IF($B402="MEANS",INDEX('1-DATA'!$1:$1048576,$A401-1,COLUMN('1-DATA'!W400)),ROUND(INDEX('1-DATA'!$1:$1048576,IF(OR($B402="STD. DEVIATION",$C$1=1),$A402,$A402+1),COLUMN('1-DATA'!W400)),IF($B402="STD. DEVIATION",2,$F$1))))</f>
        <v/>
      </c>
      <c r="Y402" s="1" t="str">
        <f>IF(OR($B402="",Y$7=""),"",IF($B402="MEANS",INDEX('1-DATA'!$1:$1048576,$A401-1,COLUMN('1-DATA'!X400)),ROUND(INDEX('1-DATA'!$1:$1048576,IF(OR($B402="STD. DEVIATION",$C$1=1),$A402,$A402+1),COLUMN('1-DATA'!X400)),IF($B402="STD. DEVIATION",2,$F$1))))</f>
        <v/>
      </c>
      <c r="Z402" s="1" t="str">
        <f>IF(OR($B402="",Z$7=""),"",IF($B402="MEANS",INDEX('1-DATA'!$1:$1048576,$A401-1,COLUMN('1-DATA'!Y400)),ROUND(INDEX('1-DATA'!$1:$1048576,IF(OR($B402="STD. DEVIATION",$C$1=1),$A402,$A402+1),COLUMN('1-DATA'!Y400)),IF($B402="STD. DEVIATION",2,$F$1))))</f>
        <v/>
      </c>
      <c r="AA402" s="1" t="str">
        <f>IF(OR($B402="",AA$7=""),"",IF($B402="MEANS",INDEX('1-DATA'!$1:$1048576,$A401-1,COLUMN('1-DATA'!Z400)),ROUND(INDEX('1-DATA'!$1:$1048576,IF(OR($B402="STD. DEVIATION",$C$1=1),$A402,$A402+1),COLUMN('1-DATA'!Z400)),IF($B402="STD. DEVIATION",2,$F$1))))</f>
        <v/>
      </c>
      <c r="AB402" s="1" t="str">
        <f>IF(OR($B402="",AB$7=""),"",IF($B402="MEANS",INDEX('1-DATA'!$1:$1048576,$A401-1,COLUMN('1-DATA'!AA400)),ROUND(INDEX('1-DATA'!$1:$1048576,IF(OR($B402="STD. DEVIATION",$C$1=1),$A402,$A402+1),COLUMN('1-DATA'!AA400)),IF($B402="STD. DEVIATION",2,$F$1))))</f>
        <v/>
      </c>
      <c r="AC402" s="1" t="str">
        <f>IF(OR($B402="",AC$7=""),"",IF($B402="MEANS",INDEX('1-DATA'!$1:$1048576,$A401-1,COLUMN('1-DATA'!AB400)),ROUND(INDEX('1-DATA'!$1:$1048576,IF(OR($B402="STD. DEVIATION",$C$1=1),$A402,$A402+1),COLUMN('1-DATA'!AB400)),IF($B402="STD. DEVIATION",2,$F$1))))</f>
        <v/>
      </c>
      <c r="AD402" s="1" t="str">
        <f>IF(OR($B402="",AD$7=""),"",IF($B402="MEANS",INDEX('1-DATA'!$1:$1048576,$A401-1,COLUMN('1-DATA'!AC400)),ROUND(INDEX('1-DATA'!$1:$1048576,IF(OR($B402="STD. DEVIATION",$C$1=1),$A402,$A402+1),COLUMN('1-DATA'!AC400)),IF($B402="STD. DEVIATION",2,$F$1))))</f>
        <v/>
      </c>
      <c r="AE402" s="1" t="str">
        <f>IF(OR($B402="",AE$7=""),"",IF($B402="MEANS",INDEX('1-DATA'!$1:$1048576,$A401-1,COLUMN('1-DATA'!AD400)),ROUND(INDEX('1-DATA'!$1:$1048576,IF(OR($B402="STD. DEVIATION",$C$1=1),$A402,$A402+1),COLUMN('1-DATA'!AD400)),IF($B402="STD. DEVIATION",2,$F$1))))</f>
        <v/>
      </c>
      <c r="AF402" s="1" t="str">
        <f>IF(OR($B402="",AF$7=""),"",IF($B402="MEANS",INDEX('1-DATA'!$1:$1048576,$A401-1,COLUMN('1-DATA'!AE400)),ROUND(INDEX('1-DATA'!$1:$1048576,IF(OR($B402="STD. DEVIATION",$C$1=1),$A402,$A402+1),COLUMN('1-DATA'!AE400)),IF($B402="STD. DEVIATION",2,$F$1))))</f>
        <v/>
      </c>
      <c r="AG402" s="1" t="str">
        <f>IF(OR($B402="",AG$7=""),"",IF($B402="MEANS",INDEX('1-DATA'!$1:$1048576,$A401-1,COLUMN('1-DATA'!AF400)),ROUND(INDEX('1-DATA'!$1:$1048576,IF(OR($B402="STD. DEVIATION",$C$1=1),$A402,$A402+1),COLUMN('1-DATA'!AF400)),IF($B402="STD. DEVIATION",2,$F$1))))</f>
        <v/>
      </c>
      <c r="AH402" s="1" t="str">
        <f>IF(OR($B402="",AH$7=""),"",IF($B402="MEANS",INDEX('1-DATA'!$1:$1048576,$A401-1,COLUMN('1-DATA'!AG400)),ROUND(INDEX('1-DATA'!$1:$1048576,IF(OR($B402="STD. DEVIATION",$C$1=1),$A402,$A402+1),COLUMN('1-DATA'!AG400)),IF($B402="STD. DEVIATION",2,$F$1))))</f>
        <v/>
      </c>
      <c r="AI402" s="1" t="str">
        <f>IF(OR($B402="",AI$7=""),"",IF($B402="MEANS",INDEX('1-DATA'!$1:$1048576,$A401-1,COLUMN('1-DATA'!AH400)),ROUND(INDEX('1-DATA'!$1:$1048576,IF(OR($B402="STD. DEVIATION",$C$1=1),$A402,$A402+1),COLUMN('1-DATA'!AH400)),IF($B402="STD. DEVIATION",2,$F$1))))</f>
        <v/>
      </c>
      <c r="AJ402" s="1" t="str">
        <f>IF(OR($B402="",AJ$7=""),"",IF($B402="MEANS",INDEX('1-DATA'!$1:$1048576,$A401-1,COLUMN('1-DATA'!AI400)),ROUND(INDEX('1-DATA'!$1:$1048576,IF(OR($B402="STD. DEVIATION",$C$1=1),$A402,$A402+1),COLUMN('1-DATA'!AI400)),IF($B402="STD. DEVIATION",2,$F$1))))</f>
        <v/>
      </c>
      <c r="AK402" s="1" t="str">
        <f>IF(OR($B402="",AK$7=""),"",IF($B402="MEANS",INDEX('1-DATA'!$1:$1048576,$A401-1,COLUMN('1-DATA'!AJ400)),ROUND(INDEX('1-DATA'!$1:$1048576,IF(OR($B402="STD. DEVIATION",$C$1=1),$A402,$A402+1),COLUMN('1-DATA'!AJ400)),IF($B402="STD. DEVIATION",2,$F$1))))</f>
        <v/>
      </c>
      <c r="AL402" s="1" t="str">
        <f>IF(OR($B402="",AL$7=""),"",IF($B402="MEANS",INDEX('1-DATA'!$1:$1048576,$A401-1,COLUMN('1-DATA'!AK400)),ROUND(INDEX('1-DATA'!$1:$1048576,IF(OR($B402="STD. DEVIATION",$C$1=1),$A402,$A402+1),COLUMN('1-DATA'!AK400)),IF($B402="STD. DEVIATION",2,$F$1))))</f>
        <v/>
      </c>
      <c r="AM402" s="1" t="str">
        <f>IF(OR($B402="",AM$7=""),"",IF($B402="MEANS",INDEX('1-DATA'!$1:$1048576,$A401-1,COLUMN('1-DATA'!AL400)),ROUND(INDEX('1-DATA'!$1:$1048576,IF(OR($B402="STD. DEVIATION",$C$1=1),$A402,$A402+1),COLUMN('1-DATA'!AL400)),IF($B402="STD. DEVIATION",2,$F$1))))</f>
        <v/>
      </c>
      <c r="AN402" s="1" t="str">
        <f>IF(OR($B402="",AN$7=""),"",IF($B402="MEANS",INDEX('1-DATA'!$1:$1048576,$A401-1,COLUMN('1-DATA'!AM400)),ROUND(INDEX('1-DATA'!$1:$1048576,IF(OR($B402="STD. DEVIATION",$C$1=1),$A402,$A402+1),COLUMN('1-DATA'!AM400)),IF($B402="STD. DEVIATION",2,$F$1))))</f>
        <v/>
      </c>
      <c r="AO402" s="1" t="str">
        <f>IF(OR($B402="",AO$7=""),"",IF($B402="MEANS",INDEX('1-DATA'!$1:$1048576,$A401-1,COLUMN('1-DATA'!AN400)),ROUND(INDEX('1-DATA'!$1:$1048576,IF(OR($B402="STD. DEVIATION",$C$1=1),$A402,$A402+1),COLUMN('1-DATA'!AN400)),IF($B402="STD. DEVIATION",2,$F$1))))</f>
        <v/>
      </c>
      <c r="AP402" s="1" t="str">
        <f>IF(OR($B402="",AP$7=""),"",IF($B402="MEANS",INDEX('1-DATA'!$1:$1048576,$A401-1,COLUMN('1-DATA'!AO400)),ROUND(INDEX('1-DATA'!$1:$1048576,IF(OR($B402="STD. DEVIATION",$C$1=1),$A402,$A402+1),COLUMN('1-DATA'!AO400)),IF($B402="STD. DEVIATION",2,$F$1))))</f>
        <v/>
      </c>
      <c r="AQ402" s="1" t="str">
        <f>IF(OR($B402="",AQ$7=""),"",IF($B402="MEANS",INDEX('1-DATA'!$1:$1048576,$A401-1,COLUMN('1-DATA'!AP400)),ROUND(INDEX('1-DATA'!$1:$1048576,IF(OR($B402="STD. DEVIATION",$C$1=1),$A402,$A402+1),COLUMN('1-DATA'!AP400)),IF($B402="STD. DEVIATION",2,$F$1))))</f>
        <v/>
      </c>
      <c r="AR402" s="1" t="str">
        <f>IF(OR($B402="",AR$7=""),"",IF($B402="MEANS",INDEX('1-DATA'!$1:$1048576,$A401-1,COLUMN('1-DATA'!AQ400)),ROUND(INDEX('1-DATA'!$1:$1048576,IF(OR($B402="STD. DEVIATION",$C$1=1),$A402,$A402+1),COLUMN('1-DATA'!AQ400)),IF($B402="STD. DEVIATION",2,$F$1))))</f>
        <v/>
      </c>
      <c r="AS402" s="1" t="str">
        <f>IF(OR($B402="",AS$7=""),"",IF($B402="MEANS",INDEX('1-DATA'!$1:$1048576,$A401-1,COLUMN('1-DATA'!AR400)),ROUND(INDEX('1-DATA'!$1:$1048576,IF(OR($B402="STD. DEVIATION",$C$1=1),$A402,$A402+1),COLUMN('1-DATA'!AR400)),IF($B402="STD. DEVIATION",2,$F$1))))</f>
        <v/>
      </c>
      <c r="AT402" s="1" t="str">
        <f>IF(OR($B402="",AT$7=""),"",IF($B402="MEANS",INDEX('1-DATA'!$1:$1048576,$A401-1,COLUMN('1-DATA'!AS400)),ROUND(INDEX('1-DATA'!$1:$1048576,IF(OR($B402="STD. DEVIATION",$C$1=1),$A402,$A402+1),COLUMN('1-DATA'!AS400)),IF($B402="STD. DEVIATION",2,$F$1))))</f>
        <v/>
      </c>
      <c r="AU402" s="1" t="str">
        <f>IF(OR($B402="",AU$7=""),"",IF($B402="MEANS",INDEX('1-DATA'!$1:$1048576,$A401-1,COLUMN('1-DATA'!AT400)),ROUND(INDEX('1-DATA'!$1:$1048576,IF(OR($B402="STD. DEVIATION",$C$1=1),$A402,$A402+1),COLUMN('1-DATA'!AT400)),IF($B402="STD. DEVIATION",2,$F$1))))</f>
        <v/>
      </c>
      <c r="AV402" s="1" t="str">
        <f>IF(OR($B402="",AV$7=""),"",IF($B402="MEANS",INDEX('1-DATA'!$1:$1048576,$A401-1,COLUMN('1-DATA'!AU400)),ROUND(INDEX('1-DATA'!$1:$1048576,IF(OR($B402="STD. DEVIATION",$C$1=1),$A402,$A402+1),COLUMN('1-DATA'!AU400)),IF($B402="STD. DEVIATION",2,$F$1))))</f>
        <v/>
      </c>
      <c r="AW402" s="1" t="str">
        <f>IF(OR($B402="",AW$7=""),"",IF($B402="MEANS",INDEX('1-DATA'!$1:$1048576,$A401-1,COLUMN('1-DATA'!AV400)),ROUND(INDEX('1-DATA'!$1:$1048576,IF(OR($B402="STD. DEVIATION",$C$1=1),$A402,$A402+1),COLUMN('1-DATA'!AV400)),IF($B402="STD. DEVIATION",2,$F$1))))</f>
        <v/>
      </c>
      <c r="AX402" s="1" t="str">
        <f>IF(OR($B402="",AX$7=""),"",IF($B402="MEANS",INDEX('1-DATA'!$1:$1048576,$A401-1,COLUMN('1-DATA'!AW400)),ROUND(INDEX('1-DATA'!$1:$1048576,IF(OR($B402="STD. DEVIATION",$C$1=1),$A402,$A402+1),COLUMN('1-DATA'!AW400)),IF($B402="STD. DEVIATION",2,$F$1))))</f>
        <v/>
      </c>
      <c r="AY402" s="1" t="str">
        <f>IF(OR($B402="",AY$7=""),"",IF($B402="MEANS",INDEX('1-DATA'!$1:$1048576,$A401-1,COLUMN('1-DATA'!AX400)),ROUND(INDEX('1-DATA'!$1:$1048576,IF(OR($B402="STD. DEVIATION",$C$1=1),$A402,$A402+1),COLUMN('1-DATA'!AX400)),IF($B402="STD. DEVIATION",2,$F$1))))</f>
        <v/>
      </c>
      <c r="AZ402" s="1" t="str">
        <f>IF(OR($B402="",AZ$7=""),"",IF($B402="MEANS",INDEX('1-DATA'!$1:$1048576,$A401-1,COLUMN('1-DATA'!AY400)),ROUND(INDEX('1-DATA'!$1:$1048576,IF(OR($B402="STD. DEVIATION",$C$1=1),$A402,$A402+1),COLUMN('1-DATA'!AY400)),IF($B402="STD. DEVIATION",2,$F$1))))</f>
        <v/>
      </c>
    </row>
    <row r="403" spans="1:52" x14ac:dyDescent="0.25">
      <c r="A403" s="11">
        <f t="shared" si="6"/>
        <v>1195</v>
      </c>
      <c r="B403" s="1" t="str">
        <f>IF(B402="STD. DEVIATION",INDEX('1-DATA'!$1:$1048576,$A402-1,1),IF(INDEX('1-DATA'!$1:$1048576,$A403,1)&lt;&gt;"",INDEX('1-DATA'!$1:$1048576,$A403,1),""))</f>
        <v/>
      </c>
      <c r="C403" s="1" t="str">
        <f>IF(OR($B403="",C$7=""),"",IF($B403="MEANS",INDEX('1-DATA'!$1:$1048576,$A402-1,COLUMN('1-DATA'!B401)),ROUND(INDEX('1-DATA'!$1:$1048576,IF(OR($B403="STD. DEVIATION",$C$1=1),$A403,$A403+1),COLUMN('1-DATA'!B401)),IF($B403="STD. DEVIATION",2,$F$1))))</f>
        <v/>
      </c>
      <c r="D403" s="1" t="str">
        <f>IF(OR($B403="",D$7=""),"",IF($B403="MEANS",INDEX('1-DATA'!$1:$1048576,$A402-1,COLUMN('1-DATA'!C401)),ROUND(INDEX('1-DATA'!$1:$1048576,IF(OR($B403="STD. DEVIATION",$C$1=1),$A403,$A403+1),COLUMN('1-DATA'!C401)),IF($B403="STD. DEVIATION",2,$F$1))))</f>
        <v/>
      </c>
      <c r="E403" s="1" t="str">
        <f>IF(OR($B403="",E$7=""),"",IF($B403="MEANS",INDEX('1-DATA'!$1:$1048576,$A402-1,COLUMN('1-DATA'!D401)),ROUND(INDEX('1-DATA'!$1:$1048576,IF(OR($B403="STD. DEVIATION",$C$1=1),$A403,$A403+1),COLUMN('1-DATA'!D401)),IF($B403="STD. DEVIATION",2,$F$1))))</f>
        <v/>
      </c>
      <c r="F403" s="1" t="str">
        <f>IF(OR($B403="",F$7=""),"",IF($B403="MEANS",INDEX('1-DATA'!$1:$1048576,$A402-1,COLUMN('1-DATA'!E401)),ROUND(INDEX('1-DATA'!$1:$1048576,IF(OR($B403="STD. DEVIATION",$C$1=1),$A403,$A403+1),COLUMN('1-DATA'!E401)),IF($B403="STD. DEVIATION",2,$F$1))))</f>
        <v/>
      </c>
      <c r="G403" s="1" t="str">
        <f>IF(OR($B403="",G$7=""),"",IF($B403="MEANS",INDEX('1-DATA'!$1:$1048576,$A402-1,COLUMN('1-DATA'!F401)),ROUND(INDEX('1-DATA'!$1:$1048576,IF(OR($B403="STD. DEVIATION",$C$1=1),$A403,$A403+1),COLUMN('1-DATA'!F401)),IF($B403="STD. DEVIATION",2,$F$1))))</f>
        <v/>
      </c>
      <c r="H403" s="1" t="str">
        <f>IF(OR($B403="",H$7=""),"",IF($B403="MEANS",INDEX('1-DATA'!$1:$1048576,$A402-1,COLUMN('1-DATA'!G401)),ROUND(INDEX('1-DATA'!$1:$1048576,IF(OR($B403="STD. DEVIATION",$C$1=1),$A403,$A403+1),COLUMN('1-DATA'!G401)),IF($B403="STD. DEVIATION",2,$F$1))))</f>
        <v/>
      </c>
      <c r="I403" s="1" t="str">
        <f>IF(OR($B403="",I$7=""),"",IF($B403="MEANS",INDEX('1-DATA'!$1:$1048576,$A402-1,COLUMN('1-DATA'!H401)),ROUND(INDEX('1-DATA'!$1:$1048576,IF(OR($B403="STD. DEVIATION",$C$1=1),$A403,$A403+1),COLUMN('1-DATA'!H401)),IF($B403="STD. DEVIATION",2,$F$1))))</f>
        <v/>
      </c>
      <c r="J403" s="1" t="str">
        <f>IF(OR($B403="",J$7=""),"",IF($B403="MEANS",INDEX('1-DATA'!$1:$1048576,$A402-1,COLUMN('1-DATA'!I401)),ROUND(INDEX('1-DATA'!$1:$1048576,IF(OR($B403="STD. DEVIATION",$C$1=1),$A403,$A403+1),COLUMN('1-DATA'!I401)),IF($B403="STD. DEVIATION",2,$F$1))))</f>
        <v/>
      </c>
      <c r="K403" s="1" t="str">
        <f>IF(OR($B403="",K$7=""),"",IF($B403="MEANS",INDEX('1-DATA'!$1:$1048576,$A402-1,COLUMN('1-DATA'!J401)),ROUND(INDEX('1-DATA'!$1:$1048576,IF(OR($B403="STD. DEVIATION",$C$1=1),$A403,$A403+1),COLUMN('1-DATA'!J401)),IF($B403="STD. DEVIATION",2,$F$1))))</f>
        <v/>
      </c>
      <c r="L403" s="1" t="str">
        <f>IF(OR($B403="",L$7=""),"",IF($B403="MEANS",INDEX('1-DATA'!$1:$1048576,$A402-1,COLUMN('1-DATA'!K401)),ROUND(INDEX('1-DATA'!$1:$1048576,IF(OR($B403="STD. DEVIATION",$C$1=1),$A403,$A403+1),COLUMN('1-DATA'!K401)),IF($B403="STD. DEVIATION",2,$F$1))))</f>
        <v/>
      </c>
      <c r="M403" s="1" t="str">
        <f>IF(OR($B403="",M$7=""),"",IF($B403="MEANS",INDEX('1-DATA'!$1:$1048576,$A402-1,COLUMN('1-DATA'!L401)),ROUND(INDEX('1-DATA'!$1:$1048576,IF(OR($B403="STD. DEVIATION",$C$1=1),$A403,$A403+1),COLUMN('1-DATA'!L401)),IF($B403="STD. DEVIATION",2,$F$1))))</f>
        <v/>
      </c>
      <c r="N403" s="1" t="str">
        <f>IF(OR($B403="",N$7=""),"",IF($B403="MEANS",INDEX('1-DATA'!$1:$1048576,$A402-1,COLUMN('1-DATA'!M401)),ROUND(INDEX('1-DATA'!$1:$1048576,IF(OR($B403="STD. DEVIATION",$C$1=1),$A403,$A403+1),COLUMN('1-DATA'!M401)),IF($B403="STD. DEVIATION",2,$F$1))))</f>
        <v/>
      </c>
      <c r="O403" s="1" t="str">
        <f>IF(OR($B403="",O$7=""),"",IF($B403="MEANS",INDEX('1-DATA'!$1:$1048576,$A402-1,COLUMN('1-DATA'!N401)),ROUND(INDEX('1-DATA'!$1:$1048576,IF(OR($B403="STD. DEVIATION",$C$1=1),$A403,$A403+1),COLUMN('1-DATA'!N401)),IF($B403="STD. DEVIATION",2,$F$1))))</f>
        <v/>
      </c>
      <c r="P403" s="1" t="str">
        <f>IF(OR($B403="",P$7=""),"",IF($B403="MEANS",INDEX('1-DATA'!$1:$1048576,$A402-1,COLUMN('1-DATA'!O401)),ROUND(INDEX('1-DATA'!$1:$1048576,IF(OR($B403="STD. DEVIATION",$C$1=1),$A403,$A403+1),COLUMN('1-DATA'!O401)),IF($B403="STD. DEVIATION",2,$F$1))))</f>
        <v/>
      </c>
      <c r="Q403" s="1" t="str">
        <f>IF(OR($B403="",Q$7=""),"",IF($B403="MEANS",INDEX('1-DATA'!$1:$1048576,$A402-1,COLUMN('1-DATA'!P401)),ROUND(INDEX('1-DATA'!$1:$1048576,IF(OR($B403="STD. DEVIATION",$C$1=1),$A403,$A403+1),COLUMN('1-DATA'!P401)),IF($B403="STD. DEVIATION",2,$F$1))))</f>
        <v/>
      </c>
      <c r="R403" s="1" t="str">
        <f>IF(OR($B403="",R$7=""),"",IF($B403="MEANS",INDEX('1-DATA'!$1:$1048576,$A402-1,COLUMN('1-DATA'!Q401)),ROUND(INDEX('1-DATA'!$1:$1048576,IF(OR($B403="STD. DEVIATION",$C$1=1),$A403,$A403+1),COLUMN('1-DATA'!Q401)),IF($B403="STD. DEVIATION",2,$F$1))))</f>
        <v/>
      </c>
      <c r="S403" s="1" t="str">
        <f>IF(OR($B403="",S$7=""),"",IF($B403="MEANS",INDEX('1-DATA'!$1:$1048576,$A402-1,COLUMN('1-DATA'!R401)),ROUND(INDEX('1-DATA'!$1:$1048576,IF(OR($B403="STD. DEVIATION",$C$1=1),$A403,$A403+1),COLUMN('1-DATA'!R401)),IF($B403="STD. DEVIATION",2,$F$1))))</f>
        <v/>
      </c>
      <c r="T403" s="1" t="str">
        <f>IF(OR($B403="",T$7=""),"",IF($B403="MEANS",INDEX('1-DATA'!$1:$1048576,$A402-1,COLUMN('1-DATA'!S401)),ROUND(INDEX('1-DATA'!$1:$1048576,IF(OR($B403="STD. DEVIATION",$C$1=1),$A403,$A403+1),COLUMN('1-DATA'!S401)),IF($B403="STD. DEVIATION",2,$F$1))))</f>
        <v/>
      </c>
      <c r="U403" s="1" t="str">
        <f>IF(OR($B403="",U$7=""),"",IF($B403="MEANS",INDEX('1-DATA'!$1:$1048576,$A402-1,COLUMN('1-DATA'!T401)),ROUND(INDEX('1-DATA'!$1:$1048576,IF(OR($B403="STD. DEVIATION",$C$1=1),$A403,$A403+1),COLUMN('1-DATA'!T401)),IF($B403="STD. DEVIATION",2,$F$1))))</f>
        <v/>
      </c>
      <c r="V403" s="1" t="str">
        <f>IF(OR($B403="",V$7=""),"",IF($B403="MEANS",INDEX('1-DATA'!$1:$1048576,$A402-1,COLUMN('1-DATA'!U401)),ROUND(INDEX('1-DATA'!$1:$1048576,IF(OR($B403="STD. DEVIATION",$C$1=1),$A403,$A403+1),COLUMN('1-DATA'!U401)),IF($B403="STD. DEVIATION",2,$F$1))))</f>
        <v/>
      </c>
      <c r="W403" s="1" t="str">
        <f>IF(OR($B403="",W$7=""),"",IF($B403="MEANS",INDEX('1-DATA'!$1:$1048576,$A402-1,COLUMN('1-DATA'!V401)),ROUND(INDEX('1-DATA'!$1:$1048576,IF(OR($B403="STD. DEVIATION",$C$1=1),$A403,$A403+1),COLUMN('1-DATA'!V401)),IF($B403="STD. DEVIATION",2,$F$1))))</f>
        <v/>
      </c>
      <c r="X403" s="1" t="str">
        <f>IF(OR($B403="",X$7=""),"",IF($B403="MEANS",INDEX('1-DATA'!$1:$1048576,$A402-1,COLUMN('1-DATA'!W401)),ROUND(INDEX('1-DATA'!$1:$1048576,IF(OR($B403="STD. DEVIATION",$C$1=1),$A403,$A403+1),COLUMN('1-DATA'!W401)),IF($B403="STD. DEVIATION",2,$F$1))))</f>
        <v/>
      </c>
      <c r="Y403" s="1" t="str">
        <f>IF(OR($B403="",Y$7=""),"",IF($B403="MEANS",INDEX('1-DATA'!$1:$1048576,$A402-1,COLUMN('1-DATA'!X401)),ROUND(INDEX('1-DATA'!$1:$1048576,IF(OR($B403="STD. DEVIATION",$C$1=1),$A403,$A403+1),COLUMN('1-DATA'!X401)),IF($B403="STD. DEVIATION",2,$F$1))))</f>
        <v/>
      </c>
      <c r="Z403" s="1" t="str">
        <f>IF(OR($B403="",Z$7=""),"",IF($B403="MEANS",INDEX('1-DATA'!$1:$1048576,$A402-1,COLUMN('1-DATA'!Y401)),ROUND(INDEX('1-DATA'!$1:$1048576,IF(OR($B403="STD. DEVIATION",$C$1=1),$A403,$A403+1),COLUMN('1-DATA'!Y401)),IF($B403="STD. DEVIATION",2,$F$1))))</f>
        <v/>
      </c>
      <c r="AA403" s="1" t="str">
        <f>IF(OR($B403="",AA$7=""),"",IF($B403="MEANS",INDEX('1-DATA'!$1:$1048576,$A402-1,COLUMN('1-DATA'!Z401)),ROUND(INDEX('1-DATA'!$1:$1048576,IF(OR($B403="STD. DEVIATION",$C$1=1),$A403,$A403+1),COLUMN('1-DATA'!Z401)),IF($B403="STD. DEVIATION",2,$F$1))))</f>
        <v/>
      </c>
      <c r="AB403" s="1" t="str">
        <f>IF(OR($B403="",AB$7=""),"",IF($B403="MEANS",INDEX('1-DATA'!$1:$1048576,$A402-1,COLUMN('1-DATA'!AA401)),ROUND(INDEX('1-DATA'!$1:$1048576,IF(OR($B403="STD. DEVIATION",$C$1=1),$A403,$A403+1),COLUMN('1-DATA'!AA401)),IF($B403="STD. DEVIATION",2,$F$1))))</f>
        <v/>
      </c>
      <c r="AC403" s="1" t="str">
        <f>IF(OR($B403="",AC$7=""),"",IF($B403="MEANS",INDEX('1-DATA'!$1:$1048576,$A402-1,COLUMN('1-DATA'!AB401)),ROUND(INDEX('1-DATA'!$1:$1048576,IF(OR($B403="STD. DEVIATION",$C$1=1),$A403,$A403+1),COLUMN('1-DATA'!AB401)),IF($B403="STD. DEVIATION",2,$F$1))))</f>
        <v/>
      </c>
      <c r="AD403" s="1" t="str">
        <f>IF(OR($B403="",AD$7=""),"",IF($B403="MEANS",INDEX('1-DATA'!$1:$1048576,$A402-1,COLUMN('1-DATA'!AC401)),ROUND(INDEX('1-DATA'!$1:$1048576,IF(OR($B403="STD. DEVIATION",$C$1=1),$A403,$A403+1),COLUMN('1-DATA'!AC401)),IF($B403="STD. DEVIATION",2,$F$1))))</f>
        <v/>
      </c>
      <c r="AE403" s="1" t="str">
        <f>IF(OR($B403="",AE$7=""),"",IF($B403="MEANS",INDEX('1-DATA'!$1:$1048576,$A402-1,COLUMN('1-DATA'!AD401)),ROUND(INDEX('1-DATA'!$1:$1048576,IF(OR($B403="STD. DEVIATION",$C$1=1),$A403,$A403+1),COLUMN('1-DATA'!AD401)),IF($B403="STD. DEVIATION",2,$F$1))))</f>
        <v/>
      </c>
      <c r="AF403" s="1" t="str">
        <f>IF(OR($B403="",AF$7=""),"",IF($B403="MEANS",INDEX('1-DATA'!$1:$1048576,$A402-1,COLUMN('1-DATA'!AE401)),ROUND(INDEX('1-DATA'!$1:$1048576,IF(OR($B403="STD. DEVIATION",$C$1=1),$A403,$A403+1),COLUMN('1-DATA'!AE401)),IF($B403="STD. DEVIATION",2,$F$1))))</f>
        <v/>
      </c>
      <c r="AG403" s="1" t="str">
        <f>IF(OR($B403="",AG$7=""),"",IF($B403="MEANS",INDEX('1-DATA'!$1:$1048576,$A402-1,COLUMN('1-DATA'!AF401)),ROUND(INDEX('1-DATA'!$1:$1048576,IF(OR($B403="STD. DEVIATION",$C$1=1),$A403,$A403+1),COLUMN('1-DATA'!AF401)),IF($B403="STD. DEVIATION",2,$F$1))))</f>
        <v/>
      </c>
      <c r="AH403" s="1" t="str">
        <f>IF(OR($B403="",AH$7=""),"",IF($B403="MEANS",INDEX('1-DATA'!$1:$1048576,$A402-1,COLUMN('1-DATA'!AG401)),ROUND(INDEX('1-DATA'!$1:$1048576,IF(OR($B403="STD. DEVIATION",$C$1=1),$A403,$A403+1),COLUMN('1-DATA'!AG401)),IF($B403="STD. DEVIATION",2,$F$1))))</f>
        <v/>
      </c>
      <c r="AI403" s="1" t="str">
        <f>IF(OR($B403="",AI$7=""),"",IF($B403="MEANS",INDEX('1-DATA'!$1:$1048576,$A402-1,COLUMN('1-DATA'!AH401)),ROUND(INDEX('1-DATA'!$1:$1048576,IF(OR($B403="STD. DEVIATION",$C$1=1),$A403,$A403+1),COLUMN('1-DATA'!AH401)),IF($B403="STD. DEVIATION",2,$F$1))))</f>
        <v/>
      </c>
      <c r="AJ403" s="1" t="str">
        <f>IF(OR($B403="",AJ$7=""),"",IF($B403="MEANS",INDEX('1-DATA'!$1:$1048576,$A402-1,COLUMN('1-DATA'!AI401)),ROUND(INDEX('1-DATA'!$1:$1048576,IF(OR($B403="STD. DEVIATION",$C$1=1),$A403,$A403+1),COLUMN('1-DATA'!AI401)),IF($B403="STD. DEVIATION",2,$F$1))))</f>
        <v/>
      </c>
      <c r="AK403" s="1" t="str">
        <f>IF(OR($B403="",AK$7=""),"",IF($B403="MEANS",INDEX('1-DATA'!$1:$1048576,$A402-1,COLUMN('1-DATA'!AJ401)),ROUND(INDEX('1-DATA'!$1:$1048576,IF(OR($B403="STD. DEVIATION",$C$1=1),$A403,$A403+1),COLUMN('1-DATA'!AJ401)),IF($B403="STD. DEVIATION",2,$F$1))))</f>
        <v/>
      </c>
      <c r="AL403" s="1" t="str">
        <f>IF(OR($B403="",AL$7=""),"",IF($B403="MEANS",INDEX('1-DATA'!$1:$1048576,$A402-1,COLUMN('1-DATA'!AK401)),ROUND(INDEX('1-DATA'!$1:$1048576,IF(OR($B403="STD. DEVIATION",$C$1=1),$A403,$A403+1),COLUMN('1-DATA'!AK401)),IF($B403="STD. DEVIATION",2,$F$1))))</f>
        <v/>
      </c>
      <c r="AM403" s="1" t="str">
        <f>IF(OR($B403="",AM$7=""),"",IF($B403="MEANS",INDEX('1-DATA'!$1:$1048576,$A402-1,COLUMN('1-DATA'!AL401)),ROUND(INDEX('1-DATA'!$1:$1048576,IF(OR($B403="STD. DEVIATION",$C$1=1),$A403,$A403+1),COLUMN('1-DATA'!AL401)),IF($B403="STD. DEVIATION",2,$F$1))))</f>
        <v/>
      </c>
      <c r="AN403" s="1" t="str">
        <f>IF(OR($B403="",AN$7=""),"",IF($B403="MEANS",INDEX('1-DATA'!$1:$1048576,$A402-1,COLUMN('1-DATA'!AM401)),ROUND(INDEX('1-DATA'!$1:$1048576,IF(OR($B403="STD. DEVIATION",$C$1=1),$A403,$A403+1),COLUMN('1-DATA'!AM401)),IF($B403="STD. DEVIATION",2,$F$1))))</f>
        <v/>
      </c>
      <c r="AO403" s="1" t="str">
        <f>IF(OR($B403="",AO$7=""),"",IF($B403="MEANS",INDEX('1-DATA'!$1:$1048576,$A402-1,COLUMN('1-DATA'!AN401)),ROUND(INDEX('1-DATA'!$1:$1048576,IF(OR($B403="STD. DEVIATION",$C$1=1),$A403,$A403+1),COLUMN('1-DATA'!AN401)),IF($B403="STD. DEVIATION",2,$F$1))))</f>
        <v/>
      </c>
      <c r="AP403" s="1" t="str">
        <f>IF(OR($B403="",AP$7=""),"",IF($B403="MEANS",INDEX('1-DATA'!$1:$1048576,$A402-1,COLUMN('1-DATA'!AO401)),ROUND(INDEX('1-DATA'!$1:$1048576,IF(OR($B403="STD. DEVIATION",$C$1=1),$A403,$A403+1),COLUMN('1-DATA'!AO401)),IF($B403="STD. DEVIATION",2,$F$1))))</f>
        <v/>
      </c>
      <c r="AQ403" s="1" t="str">
        <f>IF(OR($B403="",AQ$7=""),"",IF($B403="MEANS",INDEX('1-DATA'!$1:$1048576,$A402-1,COLUMN('1-DATA'!AP401)),ROUND(INDEX('1-DATA'!$1:$1048576,IF(OR($B403="STD. DEVIATION",$C$1=1),$A403,$A403+1),COLUMN('1-DATA'!AP401)),IF($B403="STD. DEVIATION",2,$F$1))))</f>
        <v/>
      </c>
      <c r="AR403" s="1" t="str">
        <f>IF(OR($B403="",AR$7=""),"",IF($B403="MEANS",INDEX('1-DATA'!$1:$1048576,$A402-1,COLUMN('1-DATA'!AQ401)),ROUND(INDEX('1-DATA'!$1:$1048576,IF(OR($B403="STD. DEVIATION",$C$1=1),$A403,$A403+1),COLUMN('1-DATA'!AQ401)),IF($B403="STD. DEVIATION",2,$F$1))))</f>
        <v/>
      </c>
      <c r="AS403" s="1" t="str">
        <f>IF(OR($B403="",AS$7=""),"",IF($B403="MEANS",INDEX('1-DATA'!$1:$1048576,$A402-1,COLUMN('1-DATA'!AR401)),ROUND(INDEX('1-DATA'!$1:$1048576,IF(OR($B403="STD. DEVIATION",$C$1=1),$A403,$A403+1),COLUMN('1-DATA'!AR401)),IF($B403="STD. DEVIATION",2,$F$1))))</f>
        <v/>
      </c>
      <c r="AT403" s="1" t="str">
        <f>IF(OR($B403="",AT$7=""),"",IF($B403="MEANS",INDEX('1-DATA'!$1:$1048576,$A402-1,COLUMN('1-DATA'!AS401)),ROUND(INDEX('1-DATA'!$1:$1048576,IF(OR($B403="STD. DEVIATION",$C$1=1),$A403,$A403+1),COLUMN('1-DATA'!AS401)),IF($B403="STD. DEVIATION",2,$F$1))))</f>
        <v/>
      </c>
      <c r="AU403" s="1" t="str">
        <f>IF(OR($B403="",AU$7=""),"",IF($B403="MEANS",INDEX('1-DATA'!$1:$1048576,$A402-1,COLUMN('1-DATA'!AT401)),ROUND(INDEX('1-DATA'!$1:$1048576,IF(OR($B403="STD. DEVIATION",$C$1=1),$A403,$A403+1),COLUMN('1-DATA'!AT401)),IF($B403="STD. DEVIATION",2,$F$1))))</f>
        <v/>
      </c>
      <c r="AV403" s="1" t="str">
        <f>IF(OR($B403="",AV$7=""),"",IF($B403="MEANS",INDEX('1-DATA'!$1:$1048576,$A402-1,COLUMN('1-DATA'!AU401)),ROUND(INDEX('1-DATA'!$1:$1048576,IF(OR($B403="STD. DEVIATION",$C$1=1),$A403,$A403+1),COLUMN('1-DATA'!AU401)),IF($B403="STD. DEVIATION",2,$F$1))))</f>
        <v/>
      </c>
      <c r="AW403" s="1" t="str">
        <f>IF(OR($B403="",AW$7=""),"",IF($B403="MEANS",INDEX('1-DATA'!$1:$1048576,$A402-1,COLUMN('1-DATA'!AV401)),ROUND(INDEX('1-DATA'!$1:$1048576,IF(OR($B403="STD. DEVIATION",$C$1=1),$A403,$A403+1),COLUMN('1-DATA'!AV401)),IF($B403="STD. DEVIATION",2,$F$1))))</f>
        <v/>
      </c>
      <c r="AX403" s="1" t="str">
        <f>IF(OR($B403="",AX$7=""),"",IF($B403="MEANS",INDEX('1-DATA'!$1:$1048576,$A402-1,COLUMN('1-DATA'!AW401)),ROUND(INDEX('1-DATA'!$1:$1048576,IF(OR($B403="STD. DEVIATION",$C$1=1),$A403,$A403+1),COLUMN('1-DATA'!AW401)),IF($B403="STD. DEVIATION",2,$F$1))))</f>
        <v/>
      </c>
      <c r="AY403" s="1" t="str">
        <f>IF(OR($B403="",AY$7=""),"",IF($B403="MEANS",INDEX('1-DATA'!$1:$1048576,$A402-1,COLUMN('1-DATA'!AX401)),ROUND(INDEX('1-DATA'!$1:$1048576,IF(OR($B403="STD. DEVIATION",$C$1=1),$A403,$A403+1),COLUMN('1-DATA'!AX401)),IF($B403="STD. DEVIATION",2,$F$1))))</f>
        <v/>
      </c>
      <c r="AZ403" s="1" t="str">
        <f>IF(OR($B403="",AZ$7=""),"",IF($B403="MEANS",INDEX('1-DATA'!$1:$1048576,$A402-1,COLUMN('1-DATA'!AY401)),ROUND(INDEX('1-DATA'!$1:$1048576,IF(OR($B403="STD. DEVIATION",$C$1=1),$A403,$A403+1),COLUMN('1-DATA'!AY401)),IF($B403="STD. DEVIATION",2,$F$1))))</f>
        <v/>
      </c>
    </row>
    <row r="404" spans="1:52" x14ac:dyDescent="0.25">
      <c r="A404" s="11">
        <f t="shared" si="6"/>
        <v>1198</v>
      </c>
      <c r="B404" s="1" t="str">
        <f>IF(B403="STD. DEVIATION",INDEX('1-DATA'!$1:$1048576,$A403-1,1),IF(INDEX('1-DATA'!$1:$1048576,$A404,1)&lt;&gt;"",INDEX('1-DATA'!$1:$1048576,$A404,1),""))</f>
        <v/>
      </c>
      <c r="C404" s="1" t="str">
        <f>IF(OR($B404="",C$7=""),"",IF($B404="MEANS",INDEX('1-DATA'!$1:$1048576,$A403-1,COLUMN('1-DATA'!B402)),ROUND(INDEX('1-DATA'!$1:$1048576,IF(OR($B404="STD. DEVIATION",$C$1=1),$A404,$A404+1),COLUMN('1-DATA'!B402)),IF($B404="STD. DEVIATION",2,$F$1))))</f>
        <v/>
      </c>
      <c r="D404" s="1" t="str">
        <f>IF(OR($B404="",D$7=""),"",IF($B404="MEANS",INDEX('1-DATA'!$1:$1048576,$A403-1,COLUMN('1-DATA'!C402)),ROUND(INDEX('1-DATA'!$1:$1048576,IF(OR($B404="STD. DEVIATION",$C$1=1),$A404,$A404+1),COLUMN('1-DATA'!C402)),IF($B404="STD. DEVIATION",2,$F$1))))</f>
        <v/>
      </c>
      <c r="E404" s="1" t="str">
        <f>IF(OR($B404="",E$7=""),"",IF($B404="MEANS",INDEX('1-DATA'!$1:$1048576,$A403-1,COLUMN('1-DATA'!D402)),ROUND(INDEX('1-DATA'!$1:$1048576,IF(OR($B404="STD. DEVIATION",$C$1=1),$A404,$A404+1),COLUMN('1-DATA'!D402)),IF($B404="STD. DEVIATION",2,$F$1))))</f>
        <v/>
      </c>
      <c r="F404" s="1" t="str">
        <f>IF(OR($B404="",F$7=""),"",IF($B404="MEANS",INDEX('1-DATA'!$1:$1048576,$A403-1,COLUMN('1-DATA'!E402)),ROUND(INDEX('1-DATA'!$1:$1048576,IF(OR($B404="STD. DEVIATION",$C$1=1),$A404,$A404+1),COLUMN('1-DATA'!E402)),IF($B404="STD. DEVIATION",2,$F$1))))</f>
        <v/>
      </c>
      <c r="G404" s="1" t="str">
        <f>IF(OR($B404="",G$7=""),"",IF($B404="MEANS",INDEX('1-DATA'!$1:$1048576,$A403-1,COLUMN('1-DATA'!F402)),ROUND(INDEX('1-DATA'!$1:$1048576,IF(OR($B404="STD. DEVIATION",$C$1=1),$A404,$A404+1),COLUMN('1-DATA'!F402)),IF($B404="STD. DEVIATION",2,$F$1))))</f>
        <v/>
      </c>
      <c r="H404" s="1" t="str">
        <f>IF(OR($B404="",H$7=""),"",IF($B404="MEANS",INDEX('1-DATA'!$1:$1048576,$A403-1,COLUMN('1-DATA'!G402)),ROUND(INDEX('1-DATA'!$1:$1048576,IF(OR($B404="STD. DEVIATION",$C$1=1),$A404,$A404+1),COLUMN('1-DATA'!G402)),IF($B404="STD. DEVIATION",2,$F$1))))</f>
        <v/>
      </c>
      <c r="I404" s="1" t="str">
        <f>IF(OR($B404="",I$7=""),"",IF($B404="MEANS",INDEX('1-DATA'!$1:$1048576,$A403-1,COLUMN('1-DATA'!H402)),ROUND(INDEX('1-DATA'!$1:$1048576,IF(OR($B404="STD. DEVIATION",$C$1=1),$A404,$A404+1),COLUMN('1-DATA'!H402)),IF($B404="STD. DEVIATION",2,$F$1))))</f>
        <v/>
      </c>
      <c r="J404" s="1" t="str">
        <f>IF(OR($B404="",J$7=""),"",IF($B404="MEANS",INDEX('1-DATA'!$1:$1048576,$A403-1,COLUMN('1-DATA'!I402)),ROUND(INDEX('1-DATA'!$1:$1048576,IF(OR($B404="STD. DEVIATION",$C$1=1),$A404,$A404+1),COLUMN('1-DATA'!I402)),IF($B404="STD. DEVIATION",2,$F$1))))</f>
        <v/>
      </c>
      <c r="K404" s="1" t="str">
        <f>IF(OR($B404="",K$7=""),"",IF($B404="MEANS",INDEX('1-DATA'!$1:$1048576,$A403-1,COLUMN('1-DATA'!J402)),ROUND(INDEX('1-DATA'!$1:$1048576,IF(OR($B404="STD. DEVIATION",$C$1=1),$A404,$A404+1),COLUMN('1-DATA'!J402)),IF($B404="STD. DEVIATION",2,$F$1))))</f>
        <v/>
      </c>
      <c r="L404" s="1" t="str">
        <f>IF(OR($B404="",L$7=""),"",IF($B404="MEANS",INDEX('1-DATA'!$1:$1048576,$A403-1,COLUMN('1-DATA'!K402)),ROUND(INDEX('1-DATA'!$1:$1048576,IF(OR($B404="STD. DEVIATION",$C$1=1),$A404,$A404+1),COLUMN('1-DATA'!K402)),IF($B404="STD. DEVIATION",2,$F$1))))</f>
        <v/>
      </c>
      <c r="M404" s="1" t="str">
        <f>IF(OR($B404="",M$7=""),"",IF($B404="MEANS",INDEX('1-DATA'!$1:$1048576,$A403-1,COLUMN('1-DATA'!L402)),ROUND(INDEX('1-DATA'!$1:$1048576,IF(OR($B404="STD. DEVIATION",$C$1=1),$A404,$A404+1),COLUMN('1-DATA'!L402)),IF($B404="STD. DEVIATION",2,$F$1))))</f>
        <v/>
      </c>
      <c r="N404" s="1" t="str">
        <f>IF(OR($B404="",N$7=""),"",IF($B404="MEANS",INDEX('1-DATA'!$1:$1048576,$A403-1,COLUMN('1-DATA'!M402)),ROUND(INDEX('1-DATA'!$1:$1048576,IF(OR($B404="STD. DEVIATION",$C$1=1),$A404,$A404+1),COLUMN('1-DATA'!M402)),IF($B404="STD. DEVIATION",2,$F$1))))</f>
        <v/>
      </c>
      <c r="O404" s="1" t="str">
        <f>IF(OR($B404="",O$7=""),"",IF($B404="MEANS",INDEX('1-DATA'!$1:$1048576,$A403-1,COLUMN('1-DATA'!N402)),ROUND(INDEX('1-DATA'!$1:$1048576,IF(OR($B404="STD. DEVIATION",$C$1=1),$A404,$A404+1),COLUMN('1-DATA'!N402)),IF($B404="STD. DEVIATION",2,$F$1))))</f>
        <v/>
      </c>
      <c r="P404" s="1" t="str">
        <f>IF(OR($B404="",P$7=""),"",IF($B404="MEANS",INDEX('1-DATA'!$1:$1048576,$A403-1,COLUMN('1-DATA'!O402)),ROUND(INDEX('1-DATA'!$1:$1048576,IF(OR($B404="STD. DEVIATION",$C$1=1),$A404,$A404+1),COLUMN('1-DATA'!O402)),IF($B404="STD. DEVIATION",2,$F$1))))</f>
        <v/>
      </c>
      <c r="Q404" s="1" t="str">
        <f>IF(OR($B404="",Q$7=""),"",IF($B404="MEANS",INDEX('1-DATA'!$1:$1048576,$A403-1,COLUMN('1-DATA'!P402)),ROUND(INDEX('1-DATA'!$1:$1048576,IF(OR($B404="STD. DEVIATION",$C$1=1),$A404,$A404+1),COLUMN('1-DATA'!P402)),IF($B404="STD. DEVIATION",2,$F$1))))</f>
        <v/>
      </c>
      <c r="R404" s="1" t="str">
        <f>IF(OR($B404="",R$7=""),"",IF($B404="MEANS",INDEX('1-DATA'!$1:$1048576,$A403-1,COLUMN('1-DATA'!Q402)),ROUND(INDEX('1-DATA'!$1:$1048576,IF(OR($B404="STD. DEVIATION",$C$1=1),$A404,$A404+1),COLUMN('1-DATA'!Q402)),IF($B404="STD. DEVIATION",2,$F$1))))</f>
        <v/>
      </c>
      <c r="S404" s="1" t="str">
        <f>IF(OR($B404="",S$7=""),"",IF($B404="MEANS",INDEX('1-DATA'!$1:$1048576,$A403-1,COLUMN('1-DATA'!R402)),ROUND(INDEX('1-DATA'!$1:$1048576,IF(OR($B404="STD. DEVIATION",$C$1=1),$A404,$A404+1),COLUMN('1-DATA'!R402)),IF($B404="STD. DEVIATION",2,$F$1))))</f>
        <v/>
      </c>
      <c r="T404" s="1" t="str">
        <f>IF(OR($B404="",T$7=""),"",IF($B404="MEANS",INDEX('1-DATA'!$1:$1048576,$A403-1,COLUMN('1-DATA'!S402)),ROUND(INDEX('1-DATA'!$1:$1048576,IF(OR($B404="STD. DEVIATION",$C$1=1),$A404,$A404+1),COLUMN('1-DATA'!S402)),IF($B404="STD. DEVIATION",2,$F$1))))</f>
        <v/>
      </c>
      <c r="U404" s="1" t="str">
        <f>IF(OR($B404="",U$7=""),"",IF($B404="MEANS",INDEX('1-DATA'!$1:$1048576,$A403-1,COLUMN('1-DATA'!T402)),ROUND(INDEX('1-DATA'!$1:$1048576,IF(OR($B404="STD. DEVIATION",$C$1=1),$A404,$A404+1),COLUMN('1-DATA'!T402)),IF($B404="STD. DEVIATION",2,$F$1))))</f>
        <v/>
      </c>
      <c r="V404" s="1" t="str">
        <f>IF(OR($B404="",V$7=""),"",IF($B404="MEANS",INDEX('1-DATA'!$1:$1048576,$A403-1,COLUMN('1-DATA'!U402)),ROUND(INDEX('1-DATA'!$1:$1048576,IF(OR($B404="STD. DEVIATION",$C$1=1),$A404,$A404+1),COLUMN('1-DATA'!U402)),IF($B404="STD. DEVIATION",2,$F$1))))</f>
        <v/>
      </c>
      <c r="W404" s="1" t="str">
        <f>IF(OR($B404="",W$7=""),"",IF($B404="MEANS",INDEX('1-DATA'!$1:$1048576,$A403-1,COLUMN('1-DATA'!V402)),ROUND(INDEX('1-DATA'!$1:$1048576,IF(OR($B404="STD. DEVIATION",$C$1=1),$A404,$A404+1),COLUMN('1-DATA'!V402)),IF($B404="STD. DEVIATION",2,$F$1))))</f>
        <v/>
      </c>
      <c r="X404" s="1" t="str">
        <f>IF(OR($B404="",X$7=""),"",IF($B404="MEANS",INDEX('1-DATA'!$1:$1048576,$A403-1,COLUMN('1-DATA'!W402)),ROUND(INDEX('1-DATA'!$1:$1048576,IF(OR($B404="STD. DEVIATION",$C$1=1),$A404,$A404+1),COLUMN('1-DATA'!W402)),IF($B404="STD. DEVIATION",2,$F$1))))</f>
        <v/>
      </c>
      <c r="Y404" s="1" t="str">
        <f>IF(OR($B404="",Y$7=""),"",IF($B404="MEANS",INDEX('1-DATA'!$1:$1048576,$A403-1,COLUMN('1-DATA'!X402)),ROUND(INDEX('1-DATA'!$1:$1048576,IF(OR($B404="STD. DEVIATION",$C$1=1),$A404,$A404+1),COLUMN('1-DATA'!X402)),IF($B404="STD. DEVIATION",2,$F$1))))</f>
        <v/>
      </c>
      <c r="Z404" s="1" t="str">
        <f>IF(OR($B404="",Z$7=""),"",IF($B404="MEANS",INDEX('1-DATA'!$1:$1048576,$A403-1,COLUMN('1-DATA'!Y402)),ROUND(INDEX('1-DATA'!$1:$1048576,IF(OR($B404="STD. DEVIATION",$C$1=1),$A404,$A404+1),COLUMN('1-DATA'!Y402)),IF($B404="STD. DEVIATION",2,$F$1))))</f>
        <v/>
      </c>
      <c r="AA404" s="1" t="str">
        <f>IF(OR($B404="",AA$7=""),"",IF($B404="MEANS",INDEX('1-DATA'!$1:$1048576,$A403-1,COLUMN('1-DATA'!Z402)),ROUND(INDEX('1-DATA'!$1:$1048576,IF(OR($B404="STD. DEVIATION",$C$1=1),$A404,$A404+1),COLUMN('1-DATA'!Z402)),IF($B404="STD. DEVIATION",2,$F$1))))</f>
        <v/>
      </c>
      <c r="AB404" s="1" t="str">
        <f>IF(OR($B404="",AB$7=""),"",IF($B404="MEANS",INDEX('1-DATA'!$1:$1048576,$A403-1,COLUMN('1-DATA'!AA402)),ROUND(INDEX('1-DATA'!$1:$1048576,IF(OR($B404="STD. DEVIATION",$C$1=1),$A404,$A404+1),COLUMN('1-DATA'!AA402)),IF($B404="STD. DEVIATION",2,$F$1))))</f>
        <v/>
      </c>
      <c r="AC404" s="1" t="str">
        <f>IF(OR($B404="",AC$7=""),"",IF($B404="MEANS",INDEX('1-DATA'!$1:$1048576,$A403-1,COLUMN('1-DATA'!AB402)),ROUND(INDEX('1-DATA'!$1:$1048576,IF(OR($B404="STD. DEVIATION",$C$1=1),$A404,$A404+1),COLUMN('1-DATA'!AB402)),IF($B404="STD. DEVIATION",2,$F$1))))</f>
        <v/>
      </c>
      <c r="AD404" s="1" t="str">
        <f>IF(OR($B404="",AD$7=""),"",IF($B404="MEANS",INDEX('1-DATA'!$1:$1048576,$A403-1,COLUMN('1-DATA'!AC402)),ROUND(INDEX('1-DATA'!$1:$1048576,IF(OR($B404="STD. DEVIATION",$C$1=1),$A404,$A404+1),COLUMN('1-DATA'!AC402)),IF($B404="STD. DEVIATION",2,$F$1))))</f>
        <v/>
      </c>
      <c r="AE404" s="1" t="str">
        <f>IF(OR($B404="",AE$7=""),"",IF($B404="MEANS",INDEX('1-DATA'!$1:$1048576,$A403-1,COLUMN('1-DATA'!AD402)),ROUND(INDEX('1-DATA'!$1:$1048576,IF(OR($B404="STD. DEVIATION",$C$1=1),$A404,$A404+1),COLUMN('1-DATA'!AD402)),IF($B404="STD. DEVIATION",2,$F$1))))</f>
        <v/>
      </c>
      <c r="AF404" s="1" t="str">
        <f>IF(OR($B404="",AF$7=""),"",IF($B404="MEANS",INDEX('1-DATA'!$1:$1048576,$A403-1,COLUMN('1-DATA'!AE402)),ROUND(INDEX('1-DATA'!$1:$1048576,IF(OR($B404="STD. DEVIATION",$C$1=1),$A404,$A404+1),COLUMN('1-DATA'!AE402)),IF($B404="STD. DEVIATION",2,$F$1))))</f>
        <v/>
      </c>
      <c r="AG404" s="1" t="str">
        <f>IF(OR($B404="",AG$7=""),"",IF($B404="MEANS",INDEX('1-DATA'!$1:$1048576,$A403-1,COLUMN('1-DATA'!AF402)),ROUND(INDEX('1-DATA'!$1:$1048576,IF(OR($B404="STD. DEVIATION",$C$1=1),$A404,$A404+1),COLUMN('1-DATA'!AF402)),IF($B404="STD. DEVIATION",2,$F$1))))</f>
        <v/>
      </c>
      <c r="AH404" s="1" t="str">
        <f>IF(OR($B404="",AH$7=""),"",IF($B404="MEANS",INDEX('1-DATA'!$1:$1048576,$A403-1,COLUMN('1-DATA'!AG402)),ROUND(INDEX('1-DATA'!$1:$1048576,IF(OR($B404="STD. DEVIATION",$C$1=1),$A404,$A404+1),COLUMN('1-DATA'!AG402)),IF($B404="STD. DEVIATION",2,$F$1))))</f>
        <v/>
      </c>
      <c r="AI404" s="1" t="str">
        <f>IF(OR($B404="",AI$7=""),"",IF($B404="MEANS",INDEX('1-DATA'!$1:$1048576,$A403-1,COLUMN('1-DATA'!AH402)),ROUND(INDEX('1-DATA'!$1:$1048576,IF(OR($B404="STD. DEVIATION",$C$1=1),$A404,$A404+1),COLUMN('1-DATA'!AH402)),IF($B404="STD. DEVIATION",2,$F$1))))</f>
        <v/>
      </c>
      <c r="AJ404" s="1" t="str">
        <f>IF(OR($B404="",AJ$7=""),"",IF($B404="MEANS",INDEX('1-DATA'!$1:$1048576,$A403-1,COLUMN('1-DATA'!AI402)),ROUND(INDEX('1-DATA'!$1:$1048576,IF(OR($B404="STD. DEVIATION",$C$1=1),$A404,$A404+1),COLUMN('1-DATA'!AI402)),IF($B404="STD. DEVIATION",2,$F$1))))</f>
        <v/>
      </c>
      <c r="AK404" s="1" t="str">
        <f>IF(OR($B404="",AK$7=""),"",IF($B404="MEANS",INDEX('1-DATA'!$1:$1048576,$A403-1,COLUMN('1-DATA'!AJ402)),ROUND(INDEX('1-DATA'!$1:$1048576,IF(OR($B404="STD. DEVIATION",$C$1=1),$A404,$A404+1),COLUMN('1-DATA'!AJ402)),IF($B404="STD. DEVIATION",2,$F$1))))</f>
        <v/>
      </c>
      <c r="AL404" s="1" t="str">
        <f>IF(OR($B404="",AL$7=""),"",IF($B404="MEANS",INDEX('1-DATA'!$1:$1048576,$A403-1,COLUMN('1-DATA'!AK402)),ROUND(INDEX('1-DATA'!$1:$1048576,IF(OR($B404="STD. DEVIATION",$C$1=1),$A404,$A404+1),COLUMN('1-DATA'!AK402)),IF($B404="STD. DEVIATION",2,$F$1))))</f>
        <v/>
      </c>
      <c r="AM404" s="1" t="str">
        <f>IF(OR($B404="",AM$7=""),"",IF($B404="MEANS",INDEX('1-DATA'!$1:$1048576,$A403-1,COLUMN('1-DATA'!AL402)),ROUND(INDEX('1-DATA'!$1:$1048576,IF(OR($B404="STD. DEVIATION",$C$1=1),$A404,$A404+1),COLUMN('1-DATA'!AL402)),IF($B404="STD. DEVIATION",2,$F$1))))</f>
        <v/>
      </c>
      <c r="AN404" s="1" t="str">
        <f>IF(OR($B404="",AN$7=""),"",IF($B404="MEANS",INDEX('1-DATA'!$1:$1048576,$A403-1,COLUMN('1-DATA'!AM402)),ROUND(INDEX('1-DATA'!$1:$1048576,IF(OR($B404="STD. DEVIATION",$C$1=1),$A404,$A404+1),COLUMN('1-DATA'!AM402)),IF($B404="STD. DEVIATION",2,$F$1))))</f>
        <v/>
      </c>
      <c r="AO404" s="1" t="str">
        <f>IF(OR($B404="",AO$7=""),"",IF($B404="MEANS",INDEX('1-DATA'!$1:$1048576,$A403-1,COLUMN('1-DATA'!AN402)),ROUND(INDEX('1-DATA'!$1:$1048576,IF(OR($B404="STD. DEVIATION",$C$1=1),$A404,$A404+1),COLUMN('1-DATA'!AN402)),IF($B404="STD. DEVIATION",2,$F$1))))</f>
        <v/>
      </c>
      <c r="AP404" s="1" t="str">
        <f>IF(OR($B404="",AP$7=""),"",IF($B404="MEANS",INDEX('1-DATA'!$1:$1048576,$A403-1,COLUMN('1-DATA'!AO402)),ROUND(INDEX('1-DATA'!$1:$1048576,IF(OR($B404="STD. DEVIATION",$C$1=1),$A404,$A404+1),COLUMN('1-DATA'!AO402)),IF($B404="STD. DEVIATION",2,$F$1))))</f>
        <v/>
      </c>
      <c r="AQ404" s="1" t="str">
        <f>IF(OR($B404="",AQ$7=""),"",IF($B404="MEANS",INDEX('1-DATA'!$1:$1048576,$A403-1,COLUMN('1-DATA'!AP402)),ROUND(INDEX('1-DATA'!$1:$1048576,IF(OR($B404="STD. DEVIATION",$C$1=1),$A404,$A404+1),COLUMN('1-DATA'!AP402)),IF($B404="STD. DEVIATION",2,$F$1))))</f>
        <v/>
      </c>
      <c r="AR404" s="1" t="str">
        <f>IF(OR($B404="",AR$7=""),"",IF($B404="MEANS",INDEX('1-DATA'!$1:$1048576,$A403-1,COLUMN('1-DATA'!AQ402)),ROUND(INDEX('1-DATA'!$1:$1048576,IF(OR($B404="STD. DEVIATION",$C$1=1),$A404,$A404+1),COLUMN('1-DATA'!AQ402)),IF($B404="STD. DEVIATION",2,$F$1))))</f>
        <v/>
      </c>
      <c r="AS404" s="1" t="str">
        <f>IF(OR($B404="",AS$7=""),"",IF($B404="MEANS",INDEX('1-DATA'!$1:$1048576,$A403-1,COLUMN('1-DATA'!AR402)),ROUND(INDEX('1-DATA'!$1:$1048576,IF(OR($B404="STD. DEVIATION",$C$1=1),$A404,$A404+1),COLUMN('1-DATA'!AR402)),IF($B404="STD. DEVIATION",2,$F$1))))</f>
        <v/>
      </c>
      <c r="AT404" s="1" t="str">
        <f>IF(OR($B404="",AT$7=""),"",IF($B404="MEANS",INDEX('1-DATA'!$1:$1048576,$A403-1,COLUMN('1-DATA'!AS402)),ROUND(INDEX('1-DATA'!$1:$1048576,IF(OR($B404="STD. DEVIATION",$C$1=1),$A404,$A404+1),COLUMN('1-DATA'!AS402)),IF($B404="STD. DEVIATION",2,$F$1))))</f>
        <v/>
      </c>
      <c r="AU404" s="1" t="str">
        <f>IF(OR($B404="",AU$7=""),"",IF($B404="MEANS",INDEX('1-DATA'!$1:$1048576,$A403-1,COLUMN('1-DATA'!AT402)),ROUND(INDEX('1-DATA'!$1:$1048576,IF(OR($B404="STD. DEVIATION",$C$1=1),$A404,$A404+1),COLUMN('1-DATA'!AT402)),IF($B404="STD. DEVIATION",2,$F$1))))</f>
        <v/>
      </c>
      <c r="AV404" s="1" t="str">
        <f>IF(OR($B404="",AV$7=""),"",IF($B404="MEANS",INDEX('1-DATA'!$1:$1048576,$A403-1,COLUMN('1-DATA'!AU402)),ROUND(INDEX('1-DATA'!$1:$1048576,IF(OR($B404="STD. DEVIATION",$C$1=1),$A404,$A404+1),COLUMN('1-DATA'!AU402)),IF($B404="STD. DEVIATION",2,$F$1))))</f>
        <v/>
      </c>
      <c r="AW404" s="1" t="str">
        <f>IF(OR($B404="",AW$7=""),"",IF($B404="MEANS",INDEX('1-DATA'!$1:$1048576,$A403-1,COLUMN('1-DATA'!AV402)),ROUND(INDEX('1-DATA'!$1:$1048576,IF(OR($B404="STD. DEVIATION",$C$1=1),$A404,$A404+1),COLUMN('1-DATA'!AV402)),IF($B404="STD. DEVIATION",2,$F$1))))</f>
        <v/>
      </c>
      <c r="AX404" s="1" t="str">
        <f>IF(OR($B404="",AX$7=""),"",IF($B404="MEANS",INDEX('1-DATA'!$1:$1048576,$A403-1,COLUMN('1-DATA'!AW402)),ROUND(INDEX('1-DATA'!$1:$1048576,IF(OR($B404="STD. DEVIATION",$C$1=1),$A404,$A404+1),COLUMN('1-DATA'!AW402)),IF($B404="STD. DEVIATION",2,$F$1))))</f>
        <v/>
      </c>
      <c r="AY404" s="1" t="str">
        <f>IF(OR($B404="",AY$7=""),"",IF($B404="MEANS",INDEX('1-DATA'!$1:$1048576,$A403-1,COLUMN('1-DATA'!AX402)),ROUND(INDEX('1-DATA'!$1:$1048576,IF(OR($B404="STD. DEVIATION",$C$1=1),$A404,$A404+1),COLUMN('1-DATA'!AX402)),IF($B404="STD. DEVIATION",2,$F$1))))</f>
        <v/>
      </c>
      <c r="AZ404" s="1" t="str">
        <f>IF(OR($B404="",AZ$7=""),"",IF($B404="MEANS",INDEX('1-DATA'!$1:$1048576,$A403-1,COLUMN('1-DATA'!AY402)),ROUND(INDEX('1-DATA'!$1:$1048576,IF(OR($B404="STD. DEVIATION",$C$1=1),$A404,$A404+1),COLUMN('1-DATA'!AY402)),IF($B404="STD. DEVIATION",2,$F$1))))</f>
        <v/>
      </c>
    </row>
    <row r="405" spans="1:52" x14ac:dyDescent="0.25">
      <c r="A405" s="11">
        <f t="shared" si="6"/>
        <v>1201</v>
      </c>
      <c r="B405" s="1" t="str">
        <f>IF(B404="STD. DEVIATION",INDEX('1-DATA'!$1:$1048576,$A404-1,1),IF(INDEX('1-DATA'!$1:$1048576,$A405,1)&lt;&gt;"",INDEX('1-DATA'!$1:$1048576,$A405,1),""))</f>
        <v/>
      </c>
      <c r="C405" s="1" t="str">
        <f>IF(OR($B405="",C$7=""),"",IF($B405="MEANS",INDEX('1-DATA'!$1:$1048576,$A404-1,COLUMN('1-DATA'!B403)),ROUND(INDEX('1-DATA'!$1:$1048576,IF(OR($B405="STD. DEVIATION",$C$1=1),$A405,$A405+1),COLUMN('1-DATA'!B403)),IF($B405="STD. DEVIATION",2,$F$1))))</f>
        <v/>
      </c>
      <c r="D405" s="1" t="str">
        <f>IF(OR($B405="",D$7=""),"",IF($B405="MEANS",INDEX('1-DATA'!$1:$1048576,$A404-1,COLUMN('1-DATA'!C403)),ROUND(INDEX('1-DATA'!$1:$1048576,IF(OR($B405="STD. DEVIATION",$C$1=1),$A405,$A405+1),COLUMN('1-DATA'!C403)),IF($B405="STD. DEVIATION",2,$F$1))))</f>
        <v/>
      </c>
      <c r="E405" s="1" t="str">
        <f>IF(OR($B405="",E$7=""),"",IF($B405="MEANS",INDEX('1-DATA'!$1:$1048576,$A404-1,COLUMN('1-DATA'!D403)),ROUND(INDEX('1-DATA'!$1:$1048576,IF(OR($B405="STD. DEVIATION",$C$1=1),$A405,$A405+1),COLUMN('1-DATA'!D403)),IF($B405="STD. DEVIATION",2,$F$1))))</f>
        <v/>
      </c>
      <c r="F405" s="1" t="str">
        <f>IF(OR($B405="",F$7=""),"",IF($B405="MEANS",INDEX('1-DATA'!$1:$1048576,$A404-1,COLUMN('1-DATA'!E403)),ROUND(INDEX('1-DATA'!$1:$1048576,IF(OR($B405="STD. DEVIATION",$C$1=1),$A405,$A405+1),COLUMN('1-DATA'!E403)),IF($B405="STD. DEVIATION",2,$F$1))))</f>
        <v/>
      </c>
      <c r="G405" s="1" t="str">
        <f>IF(OR($B405="",G$7=""),"",IF($B405="MEANS",INDEX('1-DATA'!$1:$1048576,$A404-1,COLUMN('1-DATA'!F403)),ROUND(INDEX('1-DATA'!$1:$1048576,IF(OR($B405="STD. DEVIATION",$C$1=1),$A405,$A405+1),COLUMN('1-DATA'!F403)),IF($B405="STD. DEVIATION",2,$F$1))))</f>
        <v/>
      </c>
      <c r="H405" s="1" t="str">
        <f>IF(OR($B405="",H$7=""),"",IF($B405="MEANS",INDEX('1-DATA'!$1:$1048576,$A404-1,COLUMN('1-DATA'!G403)),ROUND(INDEX('1-DATA'!$1:$1048576,IF(OR($B405="STD. DEVIATION",$C$1=1),$A405,$A405+1),COLUMN('1-DATA'!G403)),IF($B405="STD. DEVIATION",2,$F$1))))</f>
        <v/>
      </c>
      <c r="I405" s="1" t="str">
        <f>IF(OR($B405="",I$7=""),"",IF($B405="MEANS",INDEX('1-DATA'!$1:$1048576,$A404-1,COLUMN('1-DATA'!H403)),ROUND(INDEX('1-DATA'!$1:$1048576,IF(OR($B405="STD. DEVIATION",$C$1=1),$A405,$A405+1),COLUMN('1-DATA'!H403)),IF($B405="STD. DEVIATION",2,$F$1))))</f>
        <v/>
      </c>
      <c r="J405" s="1" t="str">
        <f>IF(OR($B405="",J$7=""),"",IF($B405="MEANS",INDEX('1-DATA'!$1:$1048576,$A404-1,COLUMN('1-DATA'!I403)),ROUND(INDEX('1-DATA'!$1:$1048576,IF(OR($B405="STD. DEVIATION",$C$1=1),$A405,$A405+1),COLUMN('1-DATA'!I403)),IF($B405="STD. DEVIATION",2,$F$1))))</f>
        <v/>
      </c>
      <c r="K405" s="1" t="str">
        <f>IF(OR($B405="",K$7=""),"",IF($B405="MEANS",INDEX('1-DATA'!$1:$1048576,$A404-1,COLUMN('1-DATA'!J403)),ROUND(INDEX('1-DATA'!$1:$1048576,IF(OR($B405="STD. DEVIATION",$C$1=1),$A405,$A405+1),COLUMN('1-DATA'!J403)),IF($B405="STD. DEVIATION",2,$F$1))))</f>
        <v/>
      </c>
      <c r="L405" s="1" t="str">
        <f>IF(OR($B405="",L$7=""),"",IF($B405="MEANS",INDEX('1-DATA'!$1:$1048576,$A404-1,COLUMN('1-DATA'!K403)),ROUND(INDEX('1-DATA'!$1:$1048576,IF(OR($B405="STD. DEVIATION",$C$1=1),$A405,$A405+1),COLUMN('1-DATA'!K403)),IF($B405="STD. DEVIATION",2,$F$1))))</f>
        <v/>
      </c>
      <c r="M405" s="1" t="str">
        <f>IF(OR($B405="",M$7=""),"",IF($B405="MEANS",INDEX('1-DATA'!$1:$1048576,$A404-1,COLUMN('1-DATA'!L403)),ROUND(INDEX('1-DATA'!$1:$1048576,IF(OR($B405="STD. DEVIATION",$C$1=1),$A405,$A405+1),COLUMN('1-DATA'!L403)),IF($B405="STD. DEVIATION",2,$F$1))))</f>
        <v/>
      </c>
      <c r="N405" s="1" t="str">
        <f>IF(OR($B405="",N$7=""),"",IF($B405="MEANS",INDEX('1-DATA'!$1:$1048576,$A404-1,COLUMN('1-DATA'!M403)),ROUND(INDEX('1-DATA'!$1:$1048576,IF(OR($B405="STD. DEVIATION",$C$1=1),$A405,$A405+1),COLUMN('1-DATA'!M403)),IF($B405="STD. DEVIATION",2,$F$1))))</f>
        <v/>
      </c>
      <c r="O405" s="1" t="str">
        <f>IF(OR($B405="",O$7=""),"",IF($B405="MEANS",INDEX('1-DATA'!$1:$1048576,$A404-1,COLUMN('1-DATA'!N403)),ROUND(INDEX('1-DATA'!$1:$1048576,IF(OR($B405="STD. DEVIATION",$C$1=1),$A405,$A405+1),COLUMN('1-DATA'!N403)),IF($B405="STD. DEVIATION",2,$F$1))))</f>
        <v/>
      </c>
      <c r="P405" s="1" t="str">
        <f>IF(OR($B405="",P$7=""),"",IF($B405="MEANS",INDEX('1-DATA'!$1:$1048576,$A404-1,COLUMN('1-DATA'!O403)),ROUND(INDEX('1-DATA'!$1:$1048576,IF(OR($B405="STD. DEVIATION",$C$1=1),$A405,$A405+1),COLUMN('1-DATA'!O403)),IF($B405="STD. DEVIATION",2,$F$1))))</f>
        <v/>
      </c>
      <c r="Q405" s="1" t="str">
        <f>IF(OR($B405="",Q$7=""),"",IF($B405="MEANS",INDEX('1-DATA'!$1:$1048576,$A404-1,COLUMN('1-DATA'!P403)),ROUND(INDEX('1-DATA'!$1:$1048576,IF(OR($B405="STD. DEVIATION",$C$1=1),$A405,$A405+1),COLUMN('1-DATA'!P403)),IF($B405="STD. DEVIATION",2,$F$1))))</f>
        <v/>
      </c>
      <c r="R405" s="1" t="str">
        <f>IF(OR($B405="",R$7=""),"",IF($B405="MEANS",INDEX('1-DATA'!$1:$1048576,$A404-1,COLUMN('1-DATA'!Q403)),ROUND(INDEX('1-DATA'!$1:$1048576,IF(OR($B405="STD. DEVIATION",$C$1=1),$A405,$A405+1),COLUMN('1-DATA'!Q403)),IF($B405="STD. DEVIATION",2,$F$1))))</f>
        <v/>
      </c>
      <c r="S405" s="1" t="str">
        <f>IF(OR($B405="",S$7=""),"",IF($B405="MEANS",INDEX('1-DATA'!$1:$1048576,$A404-1,COLUMN('1-DATA'!R403)),ROUND(INDEX('1-DATA'!$1:$1048576,IF(OR($B405="STD. DEVIATION",$C$1=1),$A405,$A405+1),COLUMN('1-DATA'!R403)),IF($B405="STD. DEVIATION",2,$F$1))))</f>
        <v/>
      </c>
      <c r="T405" s="1" t="str">
        <f>IF(OR($B405="",T$7=""),"",IF($B405="MEANS",INDEX('1-DATA'!$1:$1048576,$A404-1,COLUMN('1-DATA'!S403)),ROUND(INDEX('1-DATA'!$1:$1048576,IF(OR($B405="STD. DEVIATION",$C$1=1),$A405,$A405+1),COLUMN('1-DATA'!S403)),IF($B405="STD. DEVIATION",2,$F$1))))</f>
        <v/>
      </c>
      <c r="U405" s="1" t="str">
        <f>IF(OR($B405="",U$7=""),"",IF($B405="MEANS",INDEX('1-DATA'!$1:$1048576,$A404-1,COLUMN('1-DATA'!T403)),ROUND(INDEX('1-DATA'!$1:$1048576,IF(OR($B405="STD. DEVIATION",$C$1=1),$A405,$A405+1),COLUMN('1-DATA'!T403)),IF($B405="STD. DEVIATION",2,$F$1))))</f>
        <v/>
      </c>
      <c r="V405" s="1" t="str">
        <f>IF(OR($B405="",V$7=""),"",IF($B405="MEANS",INDEX('1-DATA'!$1:$1048576,$A404-1,COLUMN('1-DATA'!U403)),ROUND(INDEX('1-DATA'!$1:$1048576,IF(OR($B405="STD. DEVIATION",$C$1=1),$A405,$A405+1),COLUMN('1-DATA'!U403)),IF($B405="STD. DEVIATION",2,$F$1))))</f>
        <v/>
      </c>
      <c r="W405" s="1" t="str">
        <f>IF(OR($B405="",W$7=""),"",IF($B405="MEANS",INDEX('1-DATA'!$1:$1048576,$A404-1,COLUMN('1-DATA'!V403)),ROUND(INDEX('1-DATA'!$1:$1048576,IF(OR($B405="STD. DEVIATION",$C$1=1),$A405,$A405+1),COLUMN('1-DATA'!V403)),IF($B405="STD. DEVIATION",2,$F$1))))</f>
        <v/>
      </c>
      <c r="X405" s="1" t="str">
        <f>IF(OR($B405="",X$7=""),"",IF($B405="MEANS",INDEX('1-DATA'!$1:$1048576,$A404-1,COLUMN('1-DATA'!W403)),ROUND(INDEX('1-DATA'!$1:$1048576,IF(OR($B405="STD. DEVIATION",$C$1=1),$A405,$A405+1),COLUMN('1-DATA'!W403)),IF($B405="STD. DEVIATION",2,$F$1))))</f>
        <v/>
      </c>
      <c r="Y405" s="1" t="str">
        <f>IF(OR($B405="",Y$7=""),"",IF($B405="MEANS",INDEX('1-DATA'!$1:$1048576,$A404-1,COLUMN('1-DATA'!X403)),ROUND(INDEX('1-DATA'!$1:$1048576,IF(OR($B405="STD. DEVIATION",$C$1=1),$A405,$A405+1),COLUMN('1-DATA'!X403)),IF($B405="STD. DEVIATION",2,$F$1))))</f>
        <v/>
      </c>
      <c r="Z405" s="1" t="str">
        <f>IF(OR($B405="",Z$7=""),"",IF($B405="MEANS",INDEX('1-DATA'!$1:$1048576,$A404-1,COLUMN('1-DATA'!Y403)),ROUND(INDEX('1-DATA'!$1:$1048576,IF(OR($B405="STD. DEVIATION",$C$1=1),$A405,$A405+1),COLUMN('1-DATA'!Y403)),IF($B405="STD. DEVIATION",2,$F$1))))</f>
        <v/>
      </c>
      <c r="AA405" s="1" t="str">
        <f>IF(OR($B405="",AA$7=""),"",IF($B405="MEANS",INDEX('1-DATA'!$1:$1048576,$A404-1,COLUMN('1-DATA'!Z403)),ROUND(INDEX('1-DATA'!$1:$1048576,IF(OR($B405="STD. DEVIATION",$C$1=1),$A405,$A405+1),COLUMN('1-DATA'!Z403)),IF($B405="STD. DEVIATION",2,$F$1))))</f>
        <v/>
      </c>
      <c r="AB405" s="1" t="str">
        <f>IF(OR($B405="",AB$7=""),"",IF($B405="MEANS",INDEX('1-DATA'!$1:$1048576,$A404-1,COLUMN('1-DATA'!AA403)),ROUND(INDEX('1-DATA'!$1:$1048576,IF(OR($B405="STD. DEVIATION",$C$1=1),$A405,$A405+1),COLUMN('1-DATA'!AA403)),IF($B405="STD. DEVIATION",2,$F$1))))</f>
        <v/>
      </c>
      <c r="AC405" s="1" t="str">
        <f>IF(OR($B405="",AC$7=""),"",IF($B405="MEANS",INDEX('1-DATA'!$1:$1048576,$A404-1,COLUMN('1-DATA'!AB403)),ROUND(INDEX('1-DATA'!$1:$1048576,IF(OR($B405="STD. DEVIATION",$C$1=1),$A405,$A405+1),COLUMN('1-DATA'!AB403)),IF($B405="STD. DEVIATION",2,$F$1))))</f>
        <v/>
      </c>
      <c r="AD405" s="1" t="str">
        <f>IF(OR($B405="",AD$7=""),"",IF($B405="MEANS",INDEX('1-DATA'!$1:$1048576,$A404-1,COLUMN('1-DATA'!AC403)),ROUND(INDEX('1-DATA'!$1:$1048576,IF(OR($B405="STD. DEVIATION",$C$1=1),$A405,$A405+1),COLUMN('1-DATA'!AC403)),IF($B405="STD. DEVIATION",2,$F$1))))</f>
        <v/>
      </c>
      <c r="AE405" s="1" t="str">
        <f>IF(OR($B405="",AE$7=""),"",IF($B405="MEANS",INDEX('1-DATA'!$1:$1048576,$A404-1,COLUMN('1-DATA'!AD403)),ROUND(INDEX('1-DATA'!$1:$1048576,IF(OR($B405="STD. DEVIATION",$C$1=1),$A405,$A405+1),COLUMN('1-DATA'!AD403)),IF($B405="STD. DEVIATION",2,$F$1))))</f>
        <v/>
      </c>
      <c r="AF405" s="1" t="str">
        <f>IF(OR($B405="",AF$7=""),"",IF($B405="MEANS",INDEX('1-DATA'!$1:$1048576,$A404-1,COLUMN('1-DATA'!AE403)),ROUND(INDEX('1-DATA'!$1:$1048576,IF(OR($B405="STD. DEVIATION",$C$1=1),$A405,$A405+1),COLUMN('1-DATA'!AE403)),IF($B405="STD. DEVIATION",2,$F$1))))</f>
        <v/>
      </c>
      <c r="AG405" s="1" t="str">
        <f>IF(OR($B405="",AG$7=""),"",IF($B405="MEANS",INDEX('1-DATA'!$1:$1048576,$A404-1,COLUMN('1-DATA'!AF403)),ROUND(INDEX('1-DATA'!$1:$1048576,IF(OR($B405="STD. DEVIATION",$C$1=1),$A405,$A405+1),COLUMN('1-DATA'!AF403)),IF($B405="STD. DEVIATION",2,$F$1))))</f>
        <v/>
      </c>
      <c r="AH405" s="1" t="str">
        <f>IF(OR($B405="",AH$7=""),"",IF($B405="MEANS",INDEX('1-DATA'!$1:$1048576,$A404-1,COLUMN('1-DATA'!AG403)),ROUND(INDEX('1-DATA'!$1:$1048576,IF(OR($B405="STD. DEVIATION",$C$1=1),$A405,$A405+1),COLUMN('1-DATA'!AG403)),IF($B405="STD. DEVIATION",2,$F$1))))</f>
        <v/>
      </c>
      <c r="AI405" s="1" t="str">
        <f>IF(OR($B405="",AI$7=""),"",IF($B405="MEANS",INDEX('1-DATA'!$1:$1048576,$A404-1,COLUMN('1-DATA'!AH403)),ROUND(INDEX('1-DATA'!$1:$1048576,IF(OR($B405="STD. DEVIATION",$C$1=1),$A405,$A405+1),COLUMN('1-DATA'!AH403)),IF($B405="STD. DEVIATION",2,$F$1))))</f>
        <v/>
      </c>
      <c r="AJ405" s="1" t="str">
        <f>IF(OR($B405="",AJ$7=""),"",IF($B405="MEANS",INDEX('1-DATA'!$1:$1048576,$A404-1,COLUMN('1-DATA'!AI403)),ROUND(INDEX('1-DATA'!$1:$1048576,IF(OR($B405="STD. DEVIATION",$C$1=1),$A405,$A405+1),COLUMN('1-DATA'!AI403)),IF($B405="STD. DEVIATION",2,$F$1))))</f>
        <v/>
      </c>
      <c r="AK405" s="1" t="str">
        <f>IF(OR($B405="",AK$7=""),"",IF($B405="MEANS",INDEX('1-DATA'!$1:$1048576,$A404-1,COLUMN('1-DATA'!AJ403)),ROUND(INDEX('1-DATA'!$1:$1048576,IF(OR($B405="STD. DEVIATION",$C$1=1),$A405,$A405+1),COLUMN('1-DATA'!AJ403)),IF($B405="STD. DEVIATION",2,$F$1))))</f>
        <v/>
      </c>
      <c r="AL405" s="1" t="str">
        <f>IF(OR($B405="",AL$7=""),"",IF($B405="MEANS",INDEX('1-DATA'!$1:$1048576,$A404-1,COLUMN('1-DATA'!AK403)),ROUND(INDEX('1-DATA'!$1:$1048576,IF(OR($B405="STD. DEVIATION",$C$1=1),$A405,$A405+1),COLUMN('1-DATA'!AK403)),IF($B405="STD. DEVIATION",2,$F$1))))</f>
        <v/>
      </c>
      <c r="AM405" s="1" t="str">
        <f>IF(OR($B405="",AM$7=""),"",IF($B405="MEANS",INDEX('1-DATA'!$1:$1048576,$A404-1,COLUMN('1-DATA'!AL403)),ROUND(INDEX('1-DATA'!$1:$1048576,IF(OR($B405="STD. DEVIATION",$C$1=1),$A405,$A405+1),COLUMN('1-DATA'!AL403)),IF($B405="STD. DEVIATION",2,$F$1))))</f>
        <v/>
      </c>
      <c r="AN405" s="1" t="str">
        <f>IF(OR($B405="",AN$7=""),"",IF($B405="MEANS",INDEX('1-DATA'!$1:$1048576,$A404-1,COLUMN('1-DATA'!AM403)),ROUND(INDEX('1-DATA'!$1:$1048576,IF(OR($B405="STD. DEVIATION",$C$1=1),$A405,$A405+1),COLUMN('1-DATA'!AM403)),IF($B405="STD. DEVIATION",2,$F$1))))</f>
        <v/>
      </c>
      <c r="AO405" s="1" t="str">
        <f>IF(OR($B405="",AO$7=""),"",IF($B405="MEANS",INDEX('1-DATA'!$1:$1048576,$A404-1,COLUMN('1-DATA'!AN403)),ROUND(INDEX('1-DATA'!$1:$1048576,IF(OR($B405="STD. DEVIATION",$C$1=1),$A405,$A405+1),COLUMN('1-DATA'!AN403)),IF($B405="STD. DEVIATION",2,$F$1))))</f>
        <v/>
      </c>
      <c r="AP405" s="1" t="str">
        <f>IF(OR($B405="",AP$7=""),"",IF($B405="MEANS",INDEX('1-DATA'!$1:$1048576,$A404-1,COLUMN('1-DATA'!AO403)),ROUND(INDEX('1-DATA'!$1:$1048576,IF(OR($B405="STD. DEVIATION",$C$1=1),$A405,$A405+1),COLUMN('1-DATA'!AO403)),IF($B405="STD. DEVIATION",2,$F$1))))</f>
        <v/>
      </c>
      <c r="AQ405" s="1" t="str">
        <f>IF(OR($B405="",AQ$7=""),"",IF($B405="MEANS",INDEX('1-DATA'!$1:$1048576,$A404-1,COLUMN('1-DATA'!AP403)),ROUND(INDEX('1-DATA'!$1:$1048576,IF(OR($B405="STD. DEVIATION",$C$1=1),$A405,$A405+1),COLUMN('1-DATA'!AP403)),IF($B405="STD. DEVIATION",2,$F$1))))</f>
        <v/>
      </c>
      <c r="AR405" s="1" t="str">
        <f>IF(OR($B405="",AR$7=""),"",IF($B405="MEANS",INDEX('1-DATA'!$1:$1048576,$A404-1,COLUMN('1-DATA'!AQ403)),ROUND(INDEX('1-DATA'!$1:$1048576,IF(OR($B405="STD. DEVIATION",$C$1=1),$A405,$A405+1),COLUMN('1-DATA'!AQ403)),IF($B405="STD. DEVIATION",2,$F$1))))</f>
        <v/>
      </c>
      <c r="AS405" s="1" t="str">
        <f>IF(OR($B405="",AS$7=""),"",IF($B405="MEANS",INDEX('1-DATA'!$1:$1048576,$A404-1,COLUMN('1-DATA'!AR403)),ROUND(INDEX('1-DATA'!$1:$1048576,IF(OR($B405="STD. DEVIATION",$C$1=1),$A405,$A405+1),COLUMN('1-DATA'!AR403)),IF($B405="STD. DEVIATION",2,$F$1))))</f>
        <v/>
      </c>
      <c r="AT405" s="1" t="str">
        <f>IF(OR($B405="",AT$7=""),"",IF($B405="MEANS",INDEX('1-DATA'!$1:$1048576,$A404-1,COLUMN('1-DATA'!AS403)),ROUND(INDEX('1-DATA'!$1:$1048576,IF(OR($B405="STD. DEVIATION",$C$1=1),$A405,$A405+1),COLUMN('1-DATA'!AS403)),IF($B405="STD. DEVIATION",2,$F$1))))</f>
        <v/>
      </c>
      <c r="AU405" s="1" t="str">
        <f>IF(OR($B405="",AU$7=""),"",IF($B405="MEANS",INDEX('1-DATA'!$1:$1048576,$A404-1,COLUMN('1-DATA'!AT403)),ROUND(INDEX('1-DATA'!$1:$1048576,IF(OR($B405="STD. DEVIATION",$C$1=1),$A405,$A405+1),COLUMN('1-DATA'!AT403)),IF($B405="STD. DEVIATION",2,$F$1))))</f>
        <v/>
      </c>
      <c r="AV405" s="1" t="str">
        <f>IF(OR($B405="",AV$7=""),"",IF($B405="MEANS",INDEX('1-DATA'!$1:$1048576,$A404-1,COLUMN('1-DATA'!AU403)),ROUND(INDEX('1-DATA'!$1:$1048576,IF(OR($B405="STD. DEVIATION",$C$1=1),$A405,$A405+1),COLUMN('1-DATA'!AU403)),IF($B405="STD. DEVIATION",2,$F$1))))</f>
        <v/>
      </c>
      <c r="AW405" s="1" t="str">
        <f>IF(OR($B405="",AW$7=""),"",IF($B405="MEANS",INDEX('1-DATA'!$1:$1048576,$A404-1,COLUMN('1-DATA'!AV403)),ROUND(INDEX('1-DATA'!$1:$1048576,IF(OR($B405="STD. DEVIATION",$C$1=1),$A405,$A405+1),COLUMN('1-DATA'!AV403)),IF($B405="STD. DEVIATION",2,$F$1))))</f>
        <v/>
      </c>
      <c r="AX405" s="1" t="str">
        <f>IF(OR($B405="",AX$7=""),"",IF($B405="MEANS",INDEX('1-DATA'!$1:$1048576,$A404-1,COLUMN('1-DATA'!AW403)),ROUND(INDEX('1-DATA'!$1:$1048576,IF(OR($B405="STD. DEVIATION",$C$1=1),$A405,$A405+1),COLUMN('1-DATA'!AW403)),IF($B405="STD. DEVIATION",2,$F$1))))</f>
        <v/>
      </c>
      <c r="AY405" s="1" t="str">
        <f>IF(OR($B405="",AY$7=""),"",IF($B405="MEANS",INDEX('1-DATA'!$1:$1048576,$A404-1,COLUMN('1-DATA'!AX403)),ROUND(INDEX('1-DATA'!$1:$1048576,IF(OR($B405="STD. DEVIATION",$C$1=1),$A405,$A405+1),COLUMN('1-DATA'!AX403)),IF($B405="STD. DEVIATION",2,$F$1))))</f>
        <v/>
      </c>
      <c r="AZ405" s="1" t="str">
        <f>IF(OR($B405="",AZ$7=""),"",IF($B405="MEANS",INDEX('1-DATA'!$1:$1048576,$A404-1,COLUMN('1-DATA'!AY403)),ROUND(INDEX('1-DATA'!$1:$1048576,IF(OR($B405="STD. DEVIATION",$C$1=1),$A405,$A405+1),COLUMN('1-DATA'!AY403)),IF($B405="STD. DEVIATION",2,$F$1))))</f>
        <v/>
      </c>
    </row>
    <row r="406" spans="1:52" x14ac:dyDescent="0.25">
      <c r="A406" s="11">
        <f t="shared" si="6"/>
        <v>1204</v>
      </c>
      <c r="B406" s="1" t="str">
        <f>IF(B405="STD. DEVIATION",INDEX('1-DATA'!$1:$1048576,$A405-1,1),IF(INDEX('1-DATA'!$1:$1048576,$A406,1)&lt;&gt;"",INDEX('1-DATA'!$1:$1048576,$A406,1),""))</f>
        <v/>
      </c>
      <c r="C406" s="1" t="str">
        <f>IF(OR($B406="",C$7=""),"",IF($B406="MEANS",INDEX('1-DATA'!$1:$1048576,$A405-1,COLUMN('1-DATA'!B404)),ROUND(INDEX('1-DATA'!$1:$1048576,IF(OR($B406="STD. DEVIATION",$C$1=1),$A406,$A406+1),COLUMN('1-DATA'!B404)),IF($B406="STD. DEVIATION",2,$F$1))))</f>
        <v/>
      </c>
      <c r="D406" s="1" t="str">
        <f>IF(OR($B406="",D$7=""),"",IF($B406="MEANS",INDEX('1-DATA'!$1:$1048576,$A405-1,COLUMN('1-DATA'!C404)),ROUND(INDEX('1-DATA'!$1:$1048576,IF(OR($B406="STD. DEVIATION",$C$1=1),$A406,$A406+1),COLUMN('1-DATA'!C404)),IF($B406="STD. DEVIATION",2,$F$1))))</f>
        <v/>
      </c>
      <c r="E406" s="1" t="str">
        <f>IF(OR($B406="",E$7=""),"",IF($B406="MEANS",INDEX('1-DATA'!$1:$1048576,$A405-1,COLUMN('1-DATA'!D404)),ROUND(INDEX('1-DATA'!$1:$1048576,IF(OR($B406="STD. DEVIATION",$C$1=1),$A406,$A406+1),COLUMN('1-DATA'!D404)),IF($B406="STD. DEVIATION",2,$F$1))))</f>
        <v/>
      </c>
      <c r="F406" s="1" t="str">
        <f>IF(OR($B406="",F$7=""),"",IF($B406="MEANS",INDEX('1-DATA'!$1:$1048576,$A405-1,COLUMN('1-DATA'!E404)),ROUND(INDEX('1-DATA'!$1:$1048576,IF(OR($B406="STD. DEVIATION",$C$1=1),$A406,$A406+1),COLUMN('1-DATA'!E404)),IF($B406="STD. DEVIATION",2,$F$1))))</f>
        <v/>
      </c>
      <c r="G406" s="1" t="str">
        <f>IF(OR($B406="",G$7=""),"",IF($B406="MEANS",INDEX('1-DATA'!$1:$1048576,$A405-1,COLUMN('1-DATA'!F404)),ROUND(INDEX('1-DATA'!$1:$1048576,IF(OR($B406="STD. DEVIATION",$C$1=1),$A406,$A406+1),COLUMN('1-DATA'!F404)),IF($B406="STD. DEVIATION",2,$F$1))))</f>
        <v/>
      </c>
      <c r="H406" s="1" t="str">
        <f>IF(OR($B406="",H$7=""),"",IF($B406="MEANS",INDEX('1-DATA'!$1:$1048576,$A405-1,COLUMN('1-DATA'!G404)),ROUND(INDEX('1-DATA'!$1:$1048576,IF(OR($B406="STD. DEVIATION",$C$1=1),$A406,$A406+1),COLUMN('1-DATA'!G404)),IF($B406="STD. DEVIATION",2,$F$1))))</f>
        <v/>
      </c>
      <c r="I406" s="1" t="str">
        <f>IF(OR($B406="",I$7=""),"",IF($B406="MEANS",INDEX('1-DATA'!$1:$1048576,$A405-1,COLUMN('1-DATA'!H404)),ROUND(INDEX('1-DATA'!$1:$1048576,IF(OR($B406="STD. DEVIATION",$C$1=1),$A406,$A406+1),COLUMN('1-DATA'!H404)),IF($B406="STD. DEVIATION",2,$F$1))))</f>
        <v/>
      </c>
      <c r="J406" s="1" t="str">
        <f>IF(OR($B406="",J$7=""),"",IF($B406="MEANS",INDEX('1-DATA'!$1:$1048576,$A405-1,COLUMN('1-DATA'!I404)),ROUND(INDEX('1-DATA'!$1:$1048576,IF(OR($B406="STD. DEVIATION",$C$1=1),$A406,$A406+1),COLUMN('1-DATA'!I404)),IF($B406="STD. DEVIATION",2,$F$1))))</f>
        <v/>
      </c>
      <c r="K406" s="1" t="str">
        <f>IF(OR($B406="",K$7=""),"",IF($B406="MEANS",INDEX('1-DATA'!$1:$1048576,$A405-1,COLUMN('1-DATA'!J404)),ROUND(INDEX('1-DATA'!$1:$1048576,IF(OR($B406="STD. DEVIATION",$C$1=1),$A406,$A406+1),COLUMN('1-DATA'!J404)),IF($B406="STD. DEVIATION",2,$F$1))))</f>
        <v/>
      </c>
      <c r="L406" s="1" t="str">
        <f>IF(OR($B406="",L$7=""),"",IF($B406="MEANS",INDEX('1-DATA'!$1:$1048576,$A405-1,COLUMN('1-DATA'!K404)),ROUND(INDEX('1-DATA'!$1:$1048576,IF(OR($B406="STD. DEVIATION",$C$1=1),$A406,$A406+1),COLUMN('1-DATA'!K404)),IF($B406="STD. DEVIATION",2,$F$1))))</f>
        <v/>
      </c>
      <c r="M406" s="1" t="str">
        <f>IF(OR($B406="",M$7=""),"",IF($B406="MEANS",INDEX('1-DATA'!$1:$1048576,$A405-1,COLUMN('1-DATA'!L404)),ROUND(INDEX('1-DATA'!$1:$1048576,IF(OR($B406="STD. DEVIATION",$C$1=1),$A406,$A406+1),COLUMN('1-DATA'!L404)),IF($B406="STD. DEVIATION",2,$F$1))))</f>
        <v/>
      </c>
      <c r="N406" s="1" t="str">
        <f>IF(OR($B406="",N$7=""),"",IF($B406="MEANS",INDEX('1-DATA'!$1:$1048576,$A405-1,COLUMN('1-DATA'!M404)),ROUND(INDEX('1-DATA'!$1:$1048576,IF(OR($B406="STD. DEVIATION",$C$1=1),$A406,$A406+1),COLUMN('1-DATA'!M404)),IF($B406="STD. DEVIATION",2,$F$1))))</f>
        <v/>
      </c>
      <c r="O406" s="1" t="str">
        <f>IF(OR($B406="",O$7=""),"",IF($B406="MEANS",INDEX('1-DATA'!$1:$1048576,$A405-1,COLUMN('1-DATA'!N404)),ROUND(INDEX('1-DATA'!$1:$1048576,IF(OR($B406="STD. DEVIATION",$C$1=1),$A406,$A406+1),COLUMN('1-DATA'!N404)),IF($B406="STD. DEVIATION",2,$F$1))))</f>
        <v/>
      </c>
      <c r="P406" s="1" t="str">
        <f>IF(OR($B406="",P$7=""),"",IF($B406="MEANS",INDEX('1-DATA'!$1:$1048576,$A405-1,COLUMN('1-DATA'!O404)),ROUND(INDEX('1-DATA'!$1:$1048576,IF(OR($B406="STD. DEVIATION",$C$1=1),$A406,$A406+1),COLUMN('1-DATA'!O404)),IF($B406="STD. DEVIATION",2,$F$1))))</f>
        <v/>
      </c>
      <c r="Q406" s="1" t="str">
        <f>IF(OR($B406="",Q$7=""),"",IF($B406="MEANS",INDEX('1-DATA'!$1:$1048576,$A405-1,COLUMN('1-DATA'!P404)),ROUND(INDEX('1-DATA'!$1:$1048576,IF(OR($B406="STD. DEVIATION",$C$1=1),$A406,$A406+1),COLUMN('1-DATA'!P404)),IF($B406="STD. DEVIATION",2,$F$1))))</f>
        <v/>
      </c>
      <c r="R406" s="1" t="str">
        <f>IF(OR($B406="",R$7=""),"",IF($B406="MEANS",INDEX('1-DATA'!$1:$1048576,$A405-1,COLUMN('1-DATA'!Q404)),ROUND(INDEX('1-DATA'!$1:$1048576,IF(OR($B406="STD. DEVIATION",$C$1=1),$A406,$A406+1),COLUMN('1-DATA'!Q404)),IF($B406="STD. DEVIATION",2,$F$1))))</f>
        <v/>
      </c>
      <c r="S406" s="1" t="str">
        <f>IF(OR($B406="",S$7=""),"",IF($B406="MEANS",INDEX('1-DATA'!$1:$1048576,$A405-1,COLUMN('1-DATA'!R404)),ROUND(INDEX('1-DATA'!$1:$1048576,IF(OR($B406="STD. DEVIATION",$C$1=1),$A406,$A406+1),COLUMN('1-DATA'!R404)),IF($B406="STD. DEVIATION",2,$F$1))))</f>
        <v/>
      </c>
      <c r="T406" s="1" t="str">
        <f>IF(OR($B406="",T$7=""),"",IF($B406="MEANS",INDEX('1-DATA'!$1:$1048576,$A405-1,COLUMN('1-DATA'!S404)),ROUND(INDEX('1-DATA'!$1:$1048576,IF(OR($B406="STD. DEVIATION",$C$1=1),$A406,$A406+1),COLUMN('1-DATA'!S404)),IF($B406="STD. DEVIATION",2,$F$1))))</f>
        <v/>
      </c>
      <c r="U406" s="1" t="str">
        <f>IF(OR($B406="",U$7=""),"",IF($B406="MEANS",INDEX('1-DATA'!$1:$1048576,$A405-1,COLUMN('1-DATA'!T404)),ROUND(INDEX('1-DATA'!$1:$1048576,IF(OR($B406="STD. DEVIATION",$C$1=1),$A406,$A406+1),COLUMN('1-DATA'!T404)),IF($B406="STD. DEVIATION",2,$F$1))))</f>
        <v/>
      </c>
      <c r="V406" s="1" t="str">
        <f>IF(OR($B406="",V$7=""),"",IF($B406="MEANS",INDEX('1-DATA'!$1:$1048576,$A405-1,COLUMN('1-DATA'!U404)),ROUND(INDEX('1-DATA'!$1:$1048576,IF(OR($B406="STD. DEVIATION",$C$1=1),$A406,$A406+1),COLUMN('1-DATA'!U404)),IF($B406="STD. DEVIATION",2,$F$1))))</f>
        <v/>
      </c>
      <c r="W406" s="1" t="str">
        <f>IF(OR($B406="",W$7=""),"",IF($B406="MEANS",INDEX('1-DATA'!$1:$1048576,$A405-1,COLUMN('1-DATA'!V404)),ROUND(INDEX('1-DATA'!$1:$1048576,IF(OR($B406="STD. DEVIATION",$C$1=1),$A406,$A406+1),COLUMN('1-DATA'!V404)),IF($B406="STD. DEVIATION",2,$F$1))))</f>
        <v/>
      </c>
      <c r="X406" s="1" t="str">
        <f>IF(OR($B406="",X$7=""),"",IF($B406="MEANS",INDEX('1-DATA'!$1:$1048576,$A405-1,COLUMN('1-DATA'!W404)),ROUND(INDEX('1-DATA'!$1:$1048576,IF(OR($B406="STD. DEVIATION",$C$1=1),$A406,$A406+1),COLUMN('1-DATA'!W404)),IF($B406="STD. DEVIATION",2,$F$1))))</f>
        <v/>
      </c>
      <c r="Y406" s="1" t="str">
        <f>IF(OR($B406="",Y$7=""),"",IF($B406="MEANS",INDEX('1-DATA'!$1:$1048576,$A405-1,COLUMN('1-DATA'!X404)),ROUND(INDEX('1-DATA'!$1:$1048576,IF(OR($B406="STD. DEVIATION",$C$1=1),$A406,$A406+1),COLUMN('1-DATA'!X404)),IF($B406="STD. DEVIATION",2,$F$1))))</f>
        <v/>
      </c>
      <c r="Z406" s="1" t="str">
        <f>IF(OR($B406="",Z$7=""),"",IF($B406="MEANS",INDEX('1-DATA'!$1:$1048576,$A405-1,COLUMN('1-DATA'!Y404)),ROUND(INDEX('1-DATA'!$1:$1048576,IF(OR($B406="STD. DEVIATION",$C$1=1),$A406,$A406+1),COLUMN('1-DATA'!Y404)),IF($B406="STD. DEVIATION",2,$F$1))))</f>
        <v/>
      </c>
      <c r="AA406" s="1" t="str">
        <f>IF(OR($B406="",AA$7=""),"",IF($B406="MEANS",INDEX('1-DATA'!$1:$1048576,$A405-1,COLUMN('1-DATA'!Z404)),ROUND(INDEX('1-DATA'!$1:$1048576,IF(OR($B406="STD. DEVIATION",$C$1=1),$A406,$A406+1),COLUMN('1-DATA'!Z404)),IF($B406="STD. DEVIATION",2,$F$1))))</f>
        <v/>
      </c>
      <c r="AB406" s="1" t="str">
        <f>IF(OR($B406="",AB$7=""),"",IF($B406="MEANS",INDEX('1-DATA'!$1:$1048576,$A405-1,COLUMN('1-DATA'!AA404)),ROUND(INDEX('1-DATA'!$1:$1048576,IF(OR($B406="STD. DEVIATION",$C$1=1),$A406,$A406+1),COLUMN('1-DATA'!AA404)),IF($B406="STD. DEVIATION",2,$F$1))))</f>
        <v/>
      </c>
      <c r="AC406" s="1" t="str">
        <f>IF(OR($B406="",AC$7=""),"",IF($B406="MEANS",INDEX('1-DATA'!$1:$1048576,$A405-1,COLUMN('1-DATA'!AB404)),ROUND(INDEX('1-DATA'!$1:$1048576,IF(OR($B406="STD. DEVIATION",$C$1=1),$A406,$A406+1),COLUMN('1-DATA'!AB404)),IF($B406="STD. DEVIATION",2,$F$1))))</f>
        <v/>
      </c>
      <c r="AD406" s="1" t="str">
        <f>IF(OR($B406="",AD$7=""),"",IF($B406="MEANS",INDEX('1-DATA'!$1:$1048576,$A405-1,COLUMN('1-DATA'!AC404)),ROUND(INDEX('1-DATA'!$1:$1048576,IF(OR($B406="STD. DEVIATION",$C$1=1),$A406,$A406+1),COLUMN('1-DATA'!AC404)),IF($B406="STD. DEVIATION",2,$F$1))))</f>
        <v/>
      </c>
      <c r="AE406" s="1" t="str">
        <f>IF(OR($B406="",AE$7=""),"",IF($B406="MEANS",INDEX('1-DATA'!$1:$1048576,$A405-1,COLUMN('1-DATA'!AD404)),ROUND(INDEX('1-DATA'!$1:$1048576,IF(OR($B406="STD. DEVIATION",$C$1=1),$A406,$A406+1),COLUMN('1-DATA'!AD404)),IF($B406="STD. DEVIATION",2,$F$1))))</f>
        <v/>
      </c>
      <c r="AF406" s="1" t="str">
        <f>IF(OR($B406="",AF$7=""),"",IF($B406="MEANS",INDEX('1-DATA'!$1:$1048576,$A405-1,COLUMN('1-DATA'!AE404)),ROUND(INDEX('1-DATA'!$1:$1048576,IF(OR($B406="STD. DEVIATION",$C$1=1),$A406,$A406+1),COLUMN('1-DATA'!AE404)),IF($B406="STD. DEVIATION",2,$F$1))))</f>
        <v/>
      </c>
      <c r="AG406" s="1" t="str">
        <f>IF(OR($B406="",AG$7=""),"",IF($B406="MEANS",INDEX('1-DATA'!$1:$1048576,$A405-1,COLUMN('1-DATA'!AF404)),ROUND(INDEX('1-DATA'!$1:$1048576,IF(OR($B406="STD. DEVIATION",$C$1=1),$A406,$A406+1),COLUMN('1-DATA'!AF404)),IF($B406="STD. DEVIATION",2,$F$1))))</f>
        <v/>
      </c>
      <c r="AH406" s="1" t="str">
        <f>IF(OR($B406="",AH$7=""),"",IF($B406="MEANS",INDEX('1-DATA'!$1:$1048576,$A405-1,COLUMN('1-DATA'!AG404)),ROUND(INDEX('1-DATA'!$1:$1048576,IF(OR($B406="STD. DEVIATION",$C$1=1),$A406,$A406+1),COLUMN('1-DATA'!AG404)),IF($B406="STD. DEVIATION",2,$F$1))))</f>
        <v/>
      </c>
      <c r="AI406" s="1" t="str">
        <f>IF(OR($B406="",AI$7=""),"",IF($B406="MEANS",INDEX('1-DATA'!$1:$1048576,$A405-1,COLUMN('1-DATA'!AH404)),ROUND(INDEX('1-DATA'!$1:$1048576,IF(OR($B406="STD. DEVIATION",$C$1=1),$A406,$A406+1),COLUMN('1-DATA'!AH404)),IF($B406="STD. DEVIATION",2,$F$1))))</f>
        <v/>
      </c>
      <c r="AJ406" s="1" t="str">
        <f>IF(OR($B406="",AJ$7=""),"",IF($B406="MEANS",INDEX('1-DATA'!$1:$1048576,$A405-1,COLUMN('1-DATA'!AI404)),ROUND(INDEX('1-DATA'!$1:$1048576,IF(OR($B406="STD. DEVIATION",$C$1=1),$A406,$A406+1),COLUMN('1-DATA'!AI404)),IF($B406="STD. DEVIATION",2,$F$1))))</f>
        <v/>
      </c>
      <c r="AK406" s="1" t="str">
        <f>IF(OR($B406="",AK$7=""),"",IF($B406="MEANS",INDEX('1-DATA'!$1:$1048576,$A405-1,COLUMN('1-DATA'!AJ404)),ROUND(INDEX('1-DATA'!$1:$1048576,IF(OR($B406="STD. DEVIATION",$C$1=1),$A406,$A406+1),COLUMN('1-DATA'!AJ404)),IF($B406="STD. DEVIATION",2,$F$1))))</f>
        <v/>
      </c>
      <c r="AL406" s="1" t="str">
        <f>IF(OR($B406="",AL$7=""),"",IF($B406="MEANS",INDEX('1-DATA'!$1:$1048576,$A405-1,COLUMN('1-DATA'!AK404)),ROUND(INDEX('1-DATA'!$1:$1048576,IF(OR($B406="STD. DEVIATION",$C$1=1),$A406,$A406+1),COLUMN('1-DATA'!AK404)),IF($B406="STD. DEVIATION",2,$F$1))))</f>
        <v/>
      </c>
      <c r="AM406" s="1" t="str">
        <f>IF(OR($B406="",AM$7=""),"",IF($B406="MEANS",INDEX('1-DATA'!$1:$1048576,$A405-1,COLUMN('1-DATA'!AL404)),ROUND(INDEX('1-DATA'!$1:$1048576,IF(OR($B406="STD. DEVIATION",$C$1=1),$A406,$A406+1),COLUMN('1-DATA'!AL404)),IF($B406="STD. DEVIATION",2,$F$1))))</f>
        <v/>
      </c>
      <c r="AN406" s="1" t="str">
        <f>IF(OR($B406="",AN$7=""),"",IF($B406="MEANS",INDEX('1-DATA'!$1:$1048576,$A405-1,COLUMN('1-DATA'!AM404)),ROUND(INDEX('1-DATA'!$1:$1048576,IF(OR($B406="STD. DEVIATION",$C$1=1),$A406,$A406+1),COLUMN('1-DATA'!AM404)),IF($B406="STD. DEVIATION",2,$F$1))))</f>
        <v/>
      </c>
      <c r="AO406" s="1" t="str">
        <f>IF(OR($B406="",AO$7=""),"",IF($B406="MEANS",INDEX('1-DATA'!$1:$1048576,$A405-1,COLUMN('1-DATA'!AN404)),ROUND(INDEX('1-DATA'!$1:$1048576,IF(OR($B406="STD. DEVIATION",$C$1=1),$A406,$A406+1),COLUMN('1-DATA'!AN404)),IF($B406="STD. DEVIATION",2,$F$1))))</f>
        <v/>
      </c>
      <c r="AP406" s="1" t="str">
        <f>IF(OR($B406="",AP$7=""),"",IF($B406="MEANS",INDEX('1-DATA'!$1:$1048576,$A405-1,COLUMN('1-DATA'!AO404)),ROUND(INDEX('1-DATA'!$1:$1048576,IF(OR($B406="STD. DEVIATION",$C$1=1),$A406,$A406+1),COLUMN('1-DATA'!AO404)),IF($B406="STD. DEVIATION",2,$F$1))))</f>
        <v/>
      </c>
      <c r="AQ406" s="1" t="str">
        <f>IF(OR($B406="",AQ$7=""),"",IF($B406="MEANS",INDEX('1-DATA'!$1:$1048576,$A405-1,COLUMN('1-DATA'!AP404)),ROUND(INDEX('1-DATA'!$1:$1048576,IF(OR($B406="STD. DEVIATION",$C$1=1),$A406,$A406+1),COLUMN('1-DATA'!AP404)),IF($B406="STD. DEVIATION",2,$F$1))))</f>
        <v/>
      </c>
      <c r="AR406" s="1" t="str">
        <f>IF(OR($B406="",AR$7=""),"",IF($B406="MEANS",INDEX('1-DATA'!$1:$1048576,$A405-1,COLUMN('1-DATA'!AQ404)),ROUND(INDEX('1-DATA'!$1:$1048576,IF(OR($B406="STD. DEVIATION",$C$1=1),$A406,$A406+1),COLUMN('1-DATA'!AQ404)),IF($B406="STD. DEVIATION",2,$F$1))))</f>
        <v/>
      </c>
      <c r="AS406" s="1" t="str">
        <f>IF(OR($B406="",AS$7=""),"",IF($B406="MEANS",INDEX('1-DATA'!$1:$1048576,$A405-1,COLUMN('1-DATA'!AR404)),ROUND(INDEX('1-DATA'!$1:$1048576,IF(OR($B406="STD. DEVIATION",$C$1=1),$A406,$A406+1),COLUMN('1-DATA'!AR404)),IF($B406="STD. DEVIATION",2,$F$1))))</f>
        <v/>
      </c>
      <c r="AT406" s="1" t="str">
        <f>IF(OR($B406="",AT$7=""),"",IF($B406="MEANS",INDEX('1-DATA'!$1:$1048576,$A405-1,COLUMN('1-DATA'!AS404)),ROUND(INDEX('1-DATA'!$1:$1048576,IF(OR($B406="STD. DEVIATION",$C$1=1),$A406,$A406+1),COLUMN('1-DATA'!AS404)),IF($B406="STD. DEVIATION",2,$F$1))))</f>
        <v/>
      </c>
      <c r="AU406" s="1" t="str">
        <f>IF(OR($B406="",AU$7=""),"",IF($B406="MEANS",INDEX('1-DATA'!$1:$1048576,$A405-1,COLUMN('1-DATA'!AT404)),ROUND(INDEX('1-DATA'!$1:$1048576,IF(OR($B406="STD. DEVIATION",$C$1=1),$A406,$A406+1),COLUMN('1-DATA'!AT404)),IF($B406="STD. DEVIATION",2,$F$1))))</f>
        <v/>
      </c>
      <c r="AV406" s="1" t="str">
        <f>IF(OR($B406="",AV$7=""),"",IF($B406="MEANS",INDEX('1-DATA'!$1:$1048576,$A405-1,COLUMN('1-DATA'!AU404)),ROUND(INDEX('1-DATA'!$1:$1048576,IF(OR($B406="STD. DEVIATION",$C$1=1),$A406,$A406+1),COLUMN('1-DATA'!AU404)),IF($B406="STD. DEVIATION",2,$F$1))))</f>
        <v/>
      </c>
      <c r="AW406" s="1" t="str">
        <f>IF(OR($B406="",AW$7=""),"",IF($B406="MEANS",INDEX('1-DATA'!$1:$1048576,$A405-1,COLUMN('1-DATA'!AV404)),ROUND(INDEX('1-DATA'!$1:$1048576,IF(OR($B406="STD. DEVIATION",$C$1=1),$A406,$A406+1),COLUMN('1-DATA'!AV404)),IF($B406="STD. DEVIATION",2,$F$1))))</f>
        <v/>
      </c>
      <c r="AX406" s="1" t="str">
        <f>IF(OR($B406="",AX$7=""),"",IF($B406="MEANS",INDEX('1-DATA'!$1:$1048576,$A405-1,COLUMN('1-DATA'!AW404)),ROUND(INDEX('1-DATA'!$1:$1048576,IF(OR($B406="STD. DEVIATION",$C$1=1),$A406,$A406+1),COLUMN('1-DATA'!AW404)),IF($B406="STD. DEVIATION",2,$F$1))))</f>
        <v/>
      </c>
      <c r="AY406" s="1" t="str">
        <f>IF(OR($B406="",AY$7=""),"",IF($B406="MEANS",INDEX('1-DATA'!$1:$1048576,$A405-1,COLUMN('1-DATA'!AX404)),ROUND(INDEX('1-DATA'!$1:$1048576,IF(OR($B406="STD. DEVIATION",$C$1=1),$A406,$A406+1),COLUMN('1-DATA'!AX404)),IF($B406="STD. DEVIATION",2,$F$1))))</f>
        <v/>
      </c>
      <c r="AZ406" s="1" t="str">
        <f>IF(OR($B406="",AZ$7=""),"",IF($B406="MEANS",INDEX('1-DATA'!$1:$1048576,$A405-1,COLUMN('1-DATA'!AY404)),ROUND(INDEX('1-DATA'!$1:$1048576,IF(OR($B406="STD. DEVIATION",$C$1=1),$A406,$A406+1),COLUMN('1-DATA'!AY404)),IF($B406="STD. DEVIATION",2,$F$1))))</f>
        <v/>
      </c>
    </row>
    <row r="407" spans="1:52" x14ac:dyDescent="0.25">
      <c r="A407" s="11">
        <f t="shared" si="6"/>
        <v>1207</v>
      </c>
      <c r="B407" s="1" t="str">
        <f>IF(B406="STD. DEVIATION",INDEX('1-DATA'!$1:$1048576,$A406-1,1),IF(INDEX('1-DATA'!$1:$1048576,$A407,1)&lt;&gt;"",INDEX('1-DATA'!$1:$1048576,$A407,1),""))</f>
        <v/>
      </c>
      <c r="C407" s="1" t="str">
        <f>IF(OR($B407="",C$7=""),"",IF($B407="MEANS",INDEX('1-DATA'!$1:$1048576,$A406-1,COLUMN('1-DATA'!B405)),ROUND(INDEX('1-DATA'!$1:$1048576,IF(OR($B407="STD. DEVIATION",$C$1=1),$A407,$A407+1),COLUMN('1-DATA'!B405)),IF($B407="STD. DEVIATION",2,$F$1))))</f>
        <v/>
      </c>
      <c r="D407" s="1" t="str">
        <f>IF(OR($B407="",D$7=""),"",IF($B407="MEANS",INDEX('1-DATA'!$1:$1048576,$A406-1,COLUMN('1-DATA'!C405)),ROUND(INDEX('1-DATA'!$1:$1048576,IF(OR($B407="STD. DEVIATION",$C$1=1),$A407,$A407+1),COLUMN('1-DATA'!C405)),IF($B407="STD. DEVIATION",2,$F$1))))</f>
        <v/>
      </c>
      <c r="E407" s="1" t="str">
        <f>IF(OR($B407="",E$7=""),"",IF($B407="MEANS",INDEX('1-DATA'!$1:$1048576,$A406-1,COLUMN('1-DATA'!D405)),ROUND(INDEX('1-DATA'!$1:$1048576,IF(OR($B407="STD. DEVIATION",$C$1=1),$A407,$A407+1),COLUMN('1-DATA'!D405)),IF($B407="STD. DEVIATION",2,$F$1))))</f>
        <v/>
      </c>
      <c r="F407" s="1" t="str">
        <f>IF(OR($B407="",F$7=""),"",IF($B407="MEANS",INDEX('1-DATA'!$1:$1048576,$A406-1,COLUMN('1-DATA'!E405)),ROUND(INDEX('1-DATA'!$1:$1048576,IF(OR($B407="STD. DEVIATION",$C$1=1),$A407,$A407+1),COLUMN('1-DATA'!E405)),IF($B407="STD. DEVIATION",2,$F$1))))</f>
        <v/>
      </c>
      <c r="G407" s="1" t="str">
        <f>IF(OR($B407="",G$7=""),"",IF($B407="MEANS",INDEX('1-DATA'!$1:$1048576,$A406-1,COLUMN('1-DATA'!F405)),ROUND(INDEX('1-DATA'!$1:$1048576,IF(OR($B407="STD. DEVIATION",$C$1=1),$A407,$A407+1),COLUMN('1-DATA'!F405)),IF($B407="STD. DEVIATION",2,$F$1))))</f>
        <v/>
      </c>
      <c r="H407" s="1" t="str">
        <f>IF(OR($B407="",H$7=""),"",IF($B407="MEANS",INDEX('1-DATA'!$1:$1048576,$A406-1,COLUMN('1-DATA'!G405)),ROUND(INDEX('1-DATA'!$1:$1048576,IF(OR($B407="STD. DEVIATION",$C$1=1),$A407,$A407+1),COLUMN('1-DATA'!G405)),IF($B407="STD. DEVIATION",2,$F$1))))</f>
        <v/>
      </c>
      <c r="I407" s="1" t="str">
        <f>IF(OR($B407="",I$7=""),"",IF($B407="MEANS",INDEX('1-DATA'!$1:$1048576,$A406-1,COLUMN('1-DATA'!H405)),ROUND(INDEX('1-DATA'!$1:$1048576,IF(OR($B407="STD. DEVIATION",$C$1=1),$A407,$A407+1),COLUMN('1-DATA'!H405)),IF($B407="STD. DEVIATION",2,$F$1))))</f>
        <v/>
      </c>
      <c r="J407" s="1" t="str">
        <f>IF(OR($B407="",J$7=""),"",IF($B407="MEANS",INDEX('1-DATA'!$1:$1048576,$A406-1,COLUMN('1-DATA'!I405)),ROUND(INDEX('1-DATA'!$1:$1048576,IF(OR($B407="STD. DEVIATION",$C$1=1),$A407,$A407+1),COLUMN('1-DATA'!I405)),IF($B407="STD. DEVIATION",2,$F$1))))</f>
        <v/>
      </c>
      <c r="K407" s="1" t="str">
        <f>IF(OR($B407="",K$7=""),"",IF($B407="MEANS",INDEX('1-DATA'!$1:$1048576,$A406-1,COLUMN('1-DATA'!J405)),ROUND(INDEX('1-DATA'!$1:$1048576,IF(OR($B407="STD. DEVIATION",$C$1=1),$A407,$A407+1),COLUMN('1-DATA'!J405)),IF($B407="STD. DEVIATION",2,$F$1))))</f>
        <v/>
      </c>
      <c r="L407" s="1" t="str">
        <f>IF(OR($B407="",L$7=""),"",IF($B407="MEANS",INDEX('1-DATA'!$1:$1048576,$A406-1,COLUMN('1-DATA'!K405)),ROUND(INDEX('1-DATA'!$1:$1048576,IF(OR($B407="STD. DEVIATION",$C$1=1),$A407,$A407+1),COLUMN('1-DATA'!K405)),IF($B407="STD. DEVIATION",2,$F$1))))</f>
        <v/>
      </c>
      <c r="M407" s="1" t="str">
        <f>IF(OR($B407="",M$7=""),"",IF($B407="MEANS",INDEX('1-DATA'!$1:$1048576,$A406-1,COLUMN('1-DATA'!L405)),ROUND(INDEX('1-DATA'!$1:$1048576,IF(OR($B407="STD. DEVIATION",$C$1=1),$A407,$A407+1),COLUMN('1-DATA'!L405)),IF($B407="STD. DEVIATION",2,$F$1))))</f>
        <v/>
      </c>
      <c r="N407" s="1" t="str">
        <f>IF(OR($B407="",N$7=""),"",IF($B407="MEANS",INDEX('1-DATA'!$1:$1048576,$A406-1,COLUMN('1-DATA'!M405)),ROUND(INDEX('1-DATA'!$1:$1048576,IF(OR($B407="STD. DEVIATION",$C$1=1),$A407,$A407+1),COLUMN('1-DATA'!M405)),IF($B407="STD. DEVIATION",2,$F$1))))</f>
        <v/>
      </c>
      <c r="O407" s="1" t="str">
        <f>IF(OR($B407="",O$7=""),"",IF($B407="MEANS",INDEX('1-DATA'!$1:$1048576,$A406-1,COLUMN('1-DATA'!N405)),ROUND(INDEX('1-DATA'!$1:$1048576,IF(OR($B407="STD. DEVIATION",$C$1=1),$A407,$A407+1),COLUMN('1-DATA'!N405)),IF($B407="STD. DEVIATION",2,$F$1))))</f>
        <v/>
      </c>
      <c r="P407" s="1" t="str">
        <f>IF(OR($B407="",P$7=""),"",IF($B407="MEANS",INDEX('1-DATA'!$1:$1048576,$A406-1,COLUMN('1-DATA'!O405)),ROUND(INDEX('1-DATA'!$1:$1048576,IF(OR($B407="STD. DEVIATION",$C$1=1),$A407,$A407+1),COLUMN('1-DATA'!O405)),IF($B407="STD. DEVIATION",2,$F$1))))</f>
        <v/>
      </c>
      <c r="Q407" s="1" t="str">
        <f>IF(OR($B407="",Q$7=""),"",IF($B407="MEANS",INDEX('1-DATA'!$1:$1048576,$A406-1,COLUMN('1-DATA'!P405)),ROUND(INDEX('1-DATA'!$1:$1048576,IF(OR($B407="STD. DEVIATION",$C$1=1),$A407,$A407+1),COLUMN('1-DATA'!P405)),IF($B407="STD. DEVIATION",2,$F$1))))</f>
        <v/>
      </c>
      <c r="R407" s="1" t="str">
        <f>IF(OR($B407="",R$7=""),"",IF($B407="MEANS",INDEX('1-DATA'!$1:$1048576,$A406-1,COLUMN('1-DATA'!Q405)),ROUND(INDEX('1-DATA'!$1:$1048576,IF(OR($B407="STD. DEVIATION",$C$1=1),$A407,$A407+1),COLUMN('1-DATA'!Q405)),IF($B407="STD. DEVIATION",2,$F$1))))</f>
        <v/>
      </c>
      <c r="S407" s="1" t="str">
        <f>IF(OR($B407="",S$7=""),"",IF($B407="MEANS",INDEX('1-DATA'!$1:$1048576,$A406-1,COLUMN('1-DATA'!R405)),ROUND(INDEX('1-DATA'!$1:$1048576,IF(OR($B407="STD. DEVIATION",$C$1=1),$A407,$A407+1),COLUMN('1-DATA'!R405)),IF($B407="STD. DEVIATION",2,$F$1))))</f>
        <v/>
      </c>
      <c r="T407" s="1" t="str">
        <f>IF(OR($B407="",T$7=""),"",IF($B407="MEANS",INDEX('1-DATA'!$1:$1048576,$A406-1,COLUMN('1-DATA'!S405)),ROUND(INDEX('1-DATA'!$1:$1048576,IF(OR($B407="STD. DEVIATION",$C$1=1),$A407,$A407+1),COLUMN('1-DATA'!S405)),IF($B407="STD. DEVIATION",2,$F$1))))</f>
        <v/>
      </c>
      <c r="U407" s="1" t="str">
        <f>IF(OR($B407="",U$7=""),"",IF($B407="MEANS",INDEX('1-DATA'!$1:$1048576,$A406-1,COLUMN('1-DATA'!T405)),ROUND(INDEX('1-DATA'!$1:$1048576,IF(OR($B407="STD. DEVIATION",$C$1=1),$A407,$A407+1),COLUMN('1-DATA'!T405)),IF($B407="STD. DEVIATION",2,$F$1))))</f>
        <v/>
      </c>
      <c r="V407" s="1" t="str">
        <f>IF(OR($B407="",V$7=""),"",IF($B407="MEANS",INDEX('1-DATA'!$1:$1048576,$A406-1,COLUMN('1-DATA'!U405)),ROUND(INDEX('1-DATA'!$1:$1048576,IF(OR($B407="STD. DEVIATION",$C$1=1),$A407,$A407+1),COLUMN('1-DATA'!U405)),IF($B407="STD. DEVIATION",2,$F$1))))</f>
        <v/>
      </c>
      <c r="W407" s="1" t="str">
        <f>IF(OR($B407="",W$7=""),"",IF($B407="MEANS",INDEX('1-DATA'!$1:$1048576,$A406-1,COLUMN('1-DATA'!V405)),ROUND(INDEX('1-DATA'!$1:$1048576,IF(OR($B407="STD. DEVIATION",$C$1=1),$A407,$A407+1),COLUMN('1-DATA'!V405)),IF($B407="STD. DEVIATION",2,$F$1))))</f>
        <v/>
      </c>
      <c r="X407" s="1" t="str">
        <f>IF(OR($B407="",X$7=""),"",IF($B407="MEANS",INDEX('1-DATA'!$1:$1048576,$A406-1,COLUMN('1-DATA'!W405)),ROUND(INDEX('1-DATA'!$1:$1048576,IF(OR($B407="STD. DEVIATION",$C$1=1),$A407,$A407+1),COLUMN('1-DATA'!W405)),IF($B407="STD. DEVIATION",2,$F$1))))</f>
        <v/>
      </c>
      <c r="Y407" s="1" t="str">
        <f>IF(OR($B407="",Y$7=""),"",IF($B407="MEANS",INDEX('1-DATA'!$1:$1048576,$A406-1,COLUMN('1-DATA'!X405)),ROUND(INDEX('1-DATA'!$1:$1048576,IF(OR($B407="STD. DEVIATION",$C$1=1),$A407,$A407+1),COLUMN('1-DATA'!X405)),IF($B407="STD. DEVIATION",2,$F$1))))</f>
        <v/>
      </c>
      <c r="Z407" s="1" t="str">
        <f>IF(OR($B407="",Z$7=""),"",IF($B407="MEANS",INDEX('1-DATA'!$1:$1048576,$A406-1,COLUMN('1-DATA'!Y405)),ROUND(INDEX('1-DATA'!$1:$1048576,IF(OR($B407="STD. DEVIATION",$C$1=1),$A407,$A407+1),COLUMN('1-DATA'!Y405)),IF($B407="STD. DEVIATION",2,$F$1))))</f>
        <v/>
      </c>
      <c r="AA407" s="1" t="str">
        <f>IF(OR($B407="",AA$7=""),"",IF($B407="MEANS",INDEX('1-DATA'!$1:$1048576,$A406-1,COLUMN('1-DATA'!Z405)),ROUND(INDEX('1-DATA'!$1:$1048576,IF(OR($B407="STD. DEVIATION",$C$1=1),$A407,$A407+1),COLUMN('1-DATA'!Z405)),IF($B407="STD. DEVIATION",2,$F$1))))</f>
        <v/>
      </c>
      <c r="AB407" s="1" t="str">
        <f>IF(OR($B407="",AB$7=""),"",IF($B407="MEANS",INDEX('1-DATA'!$1:$1048576,$A406-1,COLUMN('1-DATA'!AA405)),ROUND(INDEX('1-DATA'!$1:$1048576,IF(OR($B407="STD. DEVIATION",$C$1=1),$A407,$A407+1),COLUMN('1-DATA'!AA405)),IF($B407="STD. DEVIATION",2,$F$1))))</f>
        <v/>
      </c>
      <c r="AC407" s="1" t="str">
        <f>IF(OR($B407="",AC$7=""),"",IF($B407="MEANS",INDEX('1-DATA'!$1:$1048576,$A406-1,COLUMN('1-DATA'!AB405)),ROUND(INDEX('1-DATA'!$1:$1048576,IF(OR($B407="STD. DEVIATION",$C$1=1),$A407,$A407+1),COLUMN('1-DATA'!AB405)),IF($B407="STD. DEVIATION",2,$F$1))))</f>
        <v/>
      </c>
      <c r="AD407" s="1" t="str">
        <f>IF(OR($B407="",AD$7=""),"",IF($B407="MEANS",INDEX('1-DATA'!$1:$1048576,$A406-1,COLUMN('1-DATA'!AC405)),ROUND(INDEX('1-DATA'!$1:$1048576,IF(OR($B407="STD. DEVIATION",$C$1=1),$A407,$A407+1),COLUMN('1-DATA'!AC405)),IF($B407="STD. DEVIATION",2,$F$1))))</f>
        <v/>
      </c>
      <c r="AE407" s="1" t="str">
        <f>IF(OR($B407="",AE$7=""),"",IF($B407="MEANS",INDEX('1-DATA'!$1:$1048576,$A406-1,COLUMN('1-DATA'!AD405)),ROUND(INDEX('1-DATA'!$1:$1048576,IF(OR($B407="STD. DEVIATION",$C$1=1),$A407,$A407+1),COLUMN('1-DATA'!AD405)),IF($B407="STD. DEVIATION",2,$F$1))))</f>
        <v/>
      </c>
      <c r="AF407" s="1" t="str">
        <f>IF(OR($B407="",AF$7=""),"",IF($B407="MEANS",INDEX('1-DATA'!$1:$1048576,$A406-1,COLUMN('1-DATA'!AE405)),ROUND(INDEX('1-DATA'!$1:$1048576,IF(OR($B407="STD. DEVIATION",$C$1=1),$A407,$A407+1),COLUMN('1-DATA'!AE405)),IF($B407="STD. DEVIATION",2,$F$1))))</f>
        <v/>
      </c>
      <c r="AG407" s="1" t="str">
        <f>IF(OR($B407="",AG$7=""),"",IF($B407="MEANS",INDEX('1-DATA'!$1:$1048576,$A406-1,COLUMN('1-DATA'!AF405)),ROUND(INDEX('1-DATA'!$1:$1048576,IF(OR($B407="STD. DEVIATION",$C$1=1),$A407,$A407+1),COLUMN('1-DATA'!AF405)),IF($B407="STD. DEVIATION",2,$F$1))))</f>
        <v/>
      </c>
      <c r="AH407" s="1" t="str">
        <f>IF(OR($B407="",AH$7=""),"",IF($B407="MEANS",INDEX('1-DATA'!$1:$1048576,$A406-1,COLUMN('1-DATA'!AG405)),ROUND(INDEX('1-DATA'!$1:$1048576,IF(OR($B407="STD. DEVIATION",$C$1=1),$A407,$A407+1),COLUMN('1-DATA'!AG405)),IF($B407="STD. DEVIATION",2,$F$1))))</f>
        <v/>
      </c>
      <c r="AI407" s="1" t="str">
        <f>IF(OR($B407="",AI$7=""),"",IF($B407="MEANS",INDEX('1-DATA'!$1:$1048576,$A406-1,COLUMN('1-DATA'!AH405)),ROUND(INDEX('1-DATA'!$1:$1048576,IF(OR($B407="STD. DEVIATION",$C$1=1),$A407,$A407+1),COLUMN('1-DATA'!AH405)),IF($B407="STD. DEVIATION",2,$F$1))))</f>
        <v/>
      </c>
      <c r="AJ407" s="1" t="str">
        <f>IF(OR($B407="",AJ$7=""),"",IF($B407="MEANS",INDEX('1-DATA'!$1:$1048576,$A406-1,COLUMN('1-DATA'!AI405)),ROUND(INDEX('1-DATA'!$1:$1048576,IF(OR($B407="STD. DEVIATION",$C$1=1),$A407,$A407+1),COLUMN('1-DATA'!AI405)),IF($B407="STD. DEVIATION",2,$F$1))))</f>
        <v/>
      </c>
      <c r="AK407" s="1" t="str">
        <f>IF(OR($B407="",AK$7=""),"",IF($B407="MEANS",INDEX('1-DATA'!$1:$1048576,$A406-1,COLUMN('1-DATA'!AJ405)),ROUND(INDEX('1-DATA'!$1:$1048576,IF(OR($B407="STD. DEVIATION",$C$1=1),$A407,$A407+1),COLUMN('1-DATA'!AJ405)),IF($B407="STD. DEVIATION",2,$F$1))))</f>
        <v/>
      </c>
      <c r="AL407" s="1" t="str">
        <f>IF(OR($B407="",AL$7=""),"",IF($B407="MEANS",INDEX('1-DATA'!$1:$1048576,$A406-1,COLUMN('1-DATA'!AK405)),ROUND(INDEX('1-DATA'!$1:$1048576,IF(OR($B407="STD. DEVIATION",$C$1=1),$A407,$A407+1),COLUMN('1-DATA'!AK405)),IF($B407="STD. DEVIATION",2,$F$1))))</f>
        <v/>
      </c>
      <c r="AM407" s="1" t="str">
        <f>IF(OR($B407="",AM$7=""),"",IF($B407="MEANS",INDEX('1-DATA'!$1:$1048576,$A406-1,COLUMN('1-DATA'!AL405)),ROUND(INDEX('1-DATA'!$1:$1048576,IF(OR($B407="STD. DEVIATION",$C$1=1),$A407,$A407+1),COLUMN('1-DATA'!AL405)),IF($B407="STD. DEVIATION",2,$F$1))))</f>
        <v/>
      </c>
      <c r="AN407" s="1" t="str">
        <f>IF(OR($B407="",AN$7=""),"",IF($B407="MEANS",INDEX('1-DATA'!$1:$1048576,$A406-1,COLUMN('1-DATA'!AM405)),ROUND(INDEX('1-DATA'!$1:$1048576,IF(OR($B407="STD. DEVIATION",$C$1=1),$A407,$A407+1),COLUMN('1-DATA'!AM405)),IF($B407="STD. DEVIATION",2,$F$1))))</f>
        <v/>
      </c>
      <c r="AO407" s="1" t="str">
        <f>IF(OR($B407="",AO$7=""),"",IF($B407="MEANS",INDEX('1-DATA'!$1:$1048576,$A406-1,COLUMN('1-DATA'!AN405)),ROUND(INDEX('1-DATA'!$1:$1048576,IF(OR($B407="STD. DEVIATION",$C$1=1),$A407,$A407+1),COLUMN('1-DATA'!AN405)),IF($B407="STD. DEVIATION",2,$F$1))))</f>
        <v/>
      </c>
      <c r="AP407" s="1" t="str">
        <f>IF(OR($B407="",AP$7=""),"",IF($B407="MEANS",INDEX('1-DATA'!$1:$1048576,$A406-1,COLUMN('1-DATA'!AO405)),ROUND(INDEX('1-DATA'!$1:$1048576,IF(OR($B407="STD. DEVIATION",$C$1=1),$A407,$A407+1),COLUMN('1-DATA'!AO405)),IF($B407="STD. DEVIATION",2,$F$1))))</f>
        <v/>
      </c>
      <c r="AQ407" s="1" t="str">
        <f>IF(OR($B407="",AQ$7=""),"",IF($B407="MEANS",INDEX('1-DATA'!$1:$1048576,$A406-1,COLUMN('1-DATA'!AP405)),ROUND(INDEX('1-DATA'!$1:$1048576,IF(OR($B407="STD. DEVIATION",$C$1=1),$A407,$A407+1),COLUMN('1-DATA'!AP405)),IF($B407="STD. DEVIATION",2,$F$1))))</f>
        <v/>
      </c>
      <c r="AR407" s="1" t="str">
        <f>IF(OR($B407="",AR$7=""),"",IF($B407="MEANS",INDEX('1-DATA'!$1:$1048576,$A406-1,COLUMN('1-DATA'!AQ405)),ROUND(INDEX('1-DATA'!$1:$1048576,IF(OR($B407="STD. DEVIATION",$C$1=1),$A407,$A407+1),COLUMN('1-DATA'!AQ405)),IF($B407="STD. DEVIATION",2,$F$1))))</f>
        <v/>
      </c>
      <c r="AS407" s="1" t="str">
        <f>IF(OR($B407="",AS$7=""),"",IF($B407="MEANS",INDEX('1-DATA'!$1:$1048576,$A406-1,COLUMN('1-DATA'!AR405)),ROUND(INDEX('1-DATA'!$1:$1048576,IF(OR($B407="STD. DEVIATION",$C$1=1),$A407,$A407+1),COLUMN('1-DATA'!AR405)),IF($B407="STD. DEVIATION",2,$F$1))))</f>
        <v/>
      </c>
      <c r="AT407" s="1" t="str">
        <f>IF(OR($B407="",AT$7=""),"",IF($B407="MEANS",INDEX('1-DATA'!$1:$1048576,$A406-1,COLUMN('1-DATA'!AS405)),ROUND(INDEX('1-DATA'!$1:$1048576,IF(OR($B407="STD. DEVIATION",$C$1=1),$A407,$A407+1),COLUMN('1-DATA'!AS405)),IF($B407="STD. DEVIATION",2,$F$1))))</f>
        <v/>
      </c>
      <c r="AU407" s="1" t="str">
        <f>IF(OR($B407="",AU$7=""),"",IF($B407="MEANS",INDEX('1-DATA'!$1:$1048576,$A406-1,COLUMN('1-DATA'!AT405)),ROUND(INDEX('1-DATA'!$1:$1048576,IF(OR($B407="STD. DEVIATION",$C$1=1),$A407,$A407+1),COLUMN('1-DATA'!AT405)),IF($B407="STD. DEVIATION",2,$F$1))))</f>
        <v/>
      </c>
      <c r="AV407" s="1" t="str">
        <f>IF(OR($B407="",AV$7=""),"",IF($B407="MEANS",INDEX('1-DATA'!$1:$1048576,$A406-1,COLUMN('1-DATA'!AU405)),ROUND(INDEX('1-DATA'!$1:$1048576,IF(OR($B407="STD. DEVIATION",$C$1=1),$A407,$A407+1),COLUMN('1-DATA'!AU405)),IF($B407="STD. DEVIATION",2,$F$1))))</f>
        <v/>
      </c>
      <c r="AW407" s="1" t="str">
        <f>IF(OR($B407="",AW$7=""),"",IF($B407="MEANS",INDEX('1-DATA'!$1:$1048576,$A406-1,COLUMN('1-DATA'!AV405)),ROUND(INDEX('1-DATA'!$1:$1048576,IF(OR($B407="STD. DEVIATION",$C$1=1),$A407,$A407+1),COLUMN('1-DATA'!AV405)),IF($B407="STD. DEVIATION",2,$F$1))))</f>
        <v/>
      </c>
      <c r="AX407" s="1" t="str">
        <f>IF(OR($B407="",AX$7=""),"",IF($B407="MEANS",INDEX('1-DATA'!$1:$1048576,$A406-1,COLUMN('1-DATA'!AW405)),ROUND(INDEX('1-DATA'!$1:$1048576,IF(OR($B407="STD. DEVIATION",$C$1=1),$A407,$A407+1),COLUMN('1-DATA'!AW405)),IF($B407="STD. DEVIATION",2,$F$1))))</f>
        <v/>
      </c>
      <c r="AY407" s="1" t="str">
        <f>IF(OR($B407="",AY$7=""),"",IF($B407="MEANS",INDEX('1-DATA'!$1:$1048576,$A406-1,COLUMN('1-DATA'!AX405)),ROUND(INDEX('1-DATA'!$1:$1048576,IF(OR($B407="STD. DEVIATION",$C$1=1),$A407,$A407+1),COLUMN('1-DATA'!AX405)),IF($B407="STD. DEVIATION",2,$F$1))))</f>
        <v/>
      </c>
      <c r="AZ407" s="1" t="str">
        <f>IF(OR($B407="",AZ$7=""),"",IF($B407="MEANS",INDEX('1-DATA'!$1:$1048576,$A406-1,COLUMN('1-DATA'!AY405)),ROUND(INDEX('1-DATA'!$1:$1048576,IF(OR($B407="STD. DEVIATION",$C$1=1),$A407,$A407+1),COLUMN('1-DATA'!AY405)),IF($B407="STD. DEVIATION",2,$F$1))))</f>
        <v/>
      </c>
    </row>
    <row r="408" spans="1:52" x14ac:dyDescent="0.25">
      <c r="A408" s="11">
        <f t="shared" si="6"/>
        <v>1210</v>
      </c>
      <c r="B408" s="1" t="str">
        <f>IF(B407="STD. DEVIATION",INDEX('1-DATA'!$1:$1048576,$A407-1,1),IF(INDEX('1-DATA'!$1:$1048576,$A408,1)&lt;&gt;"",INDEX('1-DATA'!$1:$1048576,$A408,1),""))</f>
        <v/>
      </c>
      <c r="C408" s="1" t="str">
        <f>IF(OR($B408="",C$7=""),"",IF($B408="MEANS",INDEX('1-DATA'!$1:$1048576,$A407-1,COLUMN('1-DATA'!B406)),ROUND(INDEX('1-DATA'!$1:$1048576,IF(OR($B408="STD. DEVIATION",$C$1=1),$A408,$A408+1),COLUMN('1-DATA'!B406)),IF($B408="STD. DEVIATION",2,$F$1))))</f>
        <v/>
      </c>
      <c r="D408" s="1" t="str">
        <f>IF(OR($B408="",D$7=""),"",IF($B408="MEANS",INDEX('1-DATA'!$1:$1048576,$A407-1,COLUMN('1-DATA'!C406)),ROUND(INDEX('1-DATA'!$1:$1048576,IF(OR($B408="STD. DEVIATION",$C$1=1),$A408,$A408+1),COLUMN('1-DATA'!C406)),IF($B408="STD. DEVIATION",2,$F$1))))</f>
        <v/>
      </c>
      <c r="E408" s="1" t="str">
        <f>IF(OR($B408="",E$7=""),"",IF($B408="MEANS",INDEX('1-DATA'!$1:$1048576,$A407-1,COLUMN('1-DATA'!D406)),ROUND(INDEX('1-DATA'!$1:$1048576,IF(OR($B408="STD. DEVIATION",$C$1=1),$A408,$A408+1),COLUMN('1-DATA'!D406)),IF($B408="STD. DEVIATION",2,$F$1))))</f>
        <v/>
      </c>
      <c r="F408" s="1" t="str">
        <f>IF(OR($B408="",F$7=""),"",IF($B408="MEANS",INDEX('1-DATA'!$1:$1048576,$A407-1,COLUMN('1-DATA'!E406)),ROUND(INDEX('1-DATA'!$1:$1048576,IF(OR($B408="STD. DEVIATION",$C$1=1),$A408,$A408+1),COLUMN('1-DATA'!E406)),IF($B408="STD. DEVIATION",2,$F$1))))</f>
        <v/>
      </c>
      <c r="G408" s="1" t="str">
        <f>IF(OR($B408="",G$7=""),"",IF($B408="MEANS",INDEX('1-DATA'!$1:$1048576,$A407-1,COLUMN('1-DATA'!F406)),ROUND(INDEX('1-DATA'!$1:$1048576,IF(OR($B408="STD. DEVIATION",$C$1=1),$A408,$A408+1),COLUMN('1-DATA'!F406)),IF($B408="STD. DEVIATION",2,$F$1))))</f>
        <v/>
      </c>
      <c r="H408" s="1" t="str">
        <f>IF(OR($B408="",H$7=""),"",IF($B408="MEANS",INDEX('1-DATA'!$1:$1048576,$A407-1,COLUMN('1-DATA'!G406)),ROUND(INDEX('1-DATA'!$1:$1048576,IF(OR($B408="STD. DEVIATION",$C$1=1),$A408,$A408+1),COLUMN('1-DATA'!G406)),IF($B408="STD. DEVIATION",2,$F$1))))</f>
        <v/>
      </c>
      <c r="I408" s="1" t="str">
        <f>IF(OR($B408="",I$7=""),"",IF($B408="MEANS",INDEX('1-DATA'!$1:$1048576,$A407-1,COLUMN('1-DATA'!H406)),ROUND(INDEX('1-DATA'!$1:$1048576,IF(OR($B408="STD. DEVIATION",$C$1=1),$A408,$A408+1),COLUMN('1-DATA'!H406)),IF($B408="STD. DEVIATION",2,$F$1))))</f>
        <v/>
      </c>
      <c r="J408" s="1" t="str">
        <f>IF(OR($B408="",J$7=""),"",IF($B408="MEANS",INDEX('1-DATA'!$1:$1048576,$A407-1,COLUMN('1-DATA'!I406)),ROUND(INDEX('1-DATA'!$1:$1048576,IF(OR($B408="STD. DEVIATION",$C$1=1),$A408,$A408+1),COLUMN('1-DATA'!I406)),IF($B408="STD. DEVIATION",2,$F$1))))</f>
        <v/>
      </c>
      <c r="K408" s="1" t="str">
        <f>IF(OR($B408="",K$7=""),"",IF($B408="MEANS",INDEX('1-DATA'!$1:$1048576,$A407-1,COLUMN('1-DATA'!J406)),ROUND(INDEX('1-DATA'!$1:$1048576,IF(OR($B408="STD. DEVIATION",$C$1=1),$A408,$A408+1),COLUMN('1-DATA'!J406)),IF($B408="STD. DEVIATION",2,$F$1))))</f>
        <v/>
      </c>
      <c r="L408" s="1" t="str">
        <f>IF(OR($B408="",L$7=""),"",IF($B408="MEANS",INDEX('1-DATA'!$1:$1048576,$A407-1,COLUMN('1-DATA'!K406)),ROUND(INDEX('1-DATA'!$1:$1048576,IF(OR($B408="STD. DEVIATION",$C$1=1),$A408,$A408+1),COLUMN('1-DATA'!K406)),IF($B408="STD. DEVIATION",2,$F$1))))</f>
        <v/>
      </c>
      <c r="M408" s="1" t="str">
        <f>IF(OR($B408="",M$7=""),"",IF($B408="MEANS",INDEX('1-DATA'!$1:$1048576,$A407-1,COLUMN('1-DATA'!L406)),ROUND(INDEX('1-DATA'!$1:$1048576,IF(OR($B408="STD. DEVIATION",$C$1=1),$A408,$A408+1),COLUMN('1-DATA'!L406)),IF($B408="STD. DEVIATION",2,$F$1))))</f>
        <v/>
      </c>
      <c r="N408" s="1" t="str">
        <f>IF(OR($B408="",N$7=""),"",IF($B408="MEANS",INDEX('1-DATA'!$1:$1048576,$A407-1,COLUMN('1-DATA'!M406)),ROUND(INDEX('1-DATA'!$1:$1048576,IF(OR($B408="STD. DEVIATION",$C$1=1),$A408,$A408+1),COLUMN('1-DATA'!M406)),IF($B408="STD. DEVIATION",2,$F$1))))</f>
        <v/>
      </c>
      <c r="O408" s="1" t="str">
        <f>IF(OR($B408="",O$7=""),"",IF($B408="MEANS",INDEX('1-DATA'!$1:$1048576,$A407-1,COLUMN('1-DATA'!N406)),ROUND(INDEX('1-DATA'!$1:$1048576,IF(OR($B408="STD. DEVIATION",$C$1=1),$A408,$A408+1),COLUMN('1-DATA'!N406)),IF($B408="STD. DEVIATION",2,$F$1))))</f>
        <v/>
      </c>
      <c r="P408" s="1" t="str">
        <f>IF(OR($B408="",P$7=""),"",IF($B408="MEANS",INDEX('1-DATA'!$1:$1048576,$A407-1,COLUMN('1-DATA'!O406)),ROUND(INDEX('1-DATA'!$1:$1048576,IF(OR($B408="STD. DEVIATION",$C$1=1),$A408,$A408+1),COLUMN('1-DATA'!O406)),IF($B408="STD. DEVIATION",2,$F$1))))</f>
        <v/>
      </c>
      <c r="Q408" s="1" t="str">
        <f>IF(OR($B408="",Q$7=""),"",IF($B408="MEANS",INDEX('1-DATA'!$1:$1048576,$A407-1,COLUMN('1-DATA'!P406)),ROUND(INDEX('1-DATA'!$1:$1048576,IF(OR($B408="STD. DEVIATION",$C$1=1),$A408,$A408+1),COLUMN('1-DATA'!P406)),IF($B408="STD. DEVIATION",2,$F$1))))</f>
        <v/>
      </c>
      <c r="R408" s="1" t="str">
        <f>IF(OR($B408="",R$7=""),"",IF($B408="MEANS",INDEX('1-DATA'!$1:$1048576,$A407-1,COLUMN('1-DATA'!Q406)),ROUND(INDEX('1-DATA'!$1:$1048576,IF(OR($B408="STD. DEVIATION",$C$1=1),$A408,$A408+1),COLUMN('1-DATA'!Q406)),IF($B408="STD. DEVIATION",2,$F$1))))</f>
        <v/>
      </c>
      <c r="S408" s="1" t="str">
        <f>IF(OR($B408="",S$7=""),"",IF($B408="MEANS",INDEX('1-DATA'!$1:$1048576,$A407-1,COLUMN('1-DATA'!R406)),ROUND(INDEX('1-DATA'!$1:$1048576,IF(OR($B408="STD. DEVIATION",$C$1=1),$A408,$A408+1),COLUMN('1-DATA'!R406)),IF($B408="STD. DEVIATION",2,$F$1))))</f>
        <v/>
      </c>
      <c r="T408" s="1" t="str">
        <f>IF(OR($B408="",T$7=""),"",IF($B408="MEANS",INDEX('1-DATA'!$1:$1048576,$A407-1,COLUMN('1-DATA'!S406)),ROUND(INDEX('1-DATA'!$1:$1048576,IF(OR($B408="STD. DEVIATION",$C$1=1),$A408,$A408+1),COLUMN('1-DATA'!S406)),IF($B408="STD. DEVIATION",2,$F$1))))</f>
        <v/>
      </c>
      <c r="U408" s="1" t="str">
        <f>IF(OR($B408="",U$7=""),"",IF($B408="MEANS",INDEX('1-DATA'!$1:$1048576,$A407-1,COLUMN('1-DATA'!T406)),ROUND(INDEX('1-DATA'!$1:$1048576,IF(OR($B408="STD. DEVIATION",$C$1=1),$A408,$A408+1),COLUMN('1-DATA'!T406)),IF($B408="STD. DEVIATION",2,$F$1))))</f>
        <v/>
      </c>
      <c r="V408" s="1" t="str">
        <f>IF(OR($B408="",V$7=""),"",IF($B408="MEANS",INDEX('1-DATA'!$1:$1048576,$A407-1,COLUMN('1-DATA'!U406)),ROUND(INDEX('1-DATA'!$1:$1048576,IF(OR($B408="STD. DEVIATION",$C$1=1),$A408,$A408+1),COLUMN('1-DATA'!U406)),IF($B408="STD. DEVIATION",2,$F$1))))</f>
        <v/>
      </c>
      <c r="W408" s="1" t="str">
        <f>IF(OR($B408="",W$7=""),"",IF($B408="MEANS",INDEX('1-DATA'!$1:$1048576,$A407-1,COLUMN('1-DATA'!V406)),ROUND(INDEX('1-DATA'!$1:$1048576,IF(OR($B408="STD. DEVIATION",$C$1=1),$A408,$A408+1),COLUMN('1-DATA'!V406)),IF($B408="STD. DEVIATION",2,$F$1))))</f>
        <v/>
      </c>
      <c r="X408" s="1" t="str">
        <f>IF(OR($B408="",X$7=""),"",IF($B408="MEANS",INDEX('1-DATA'!$1:$1048576,$A407-1,COLUMN('1-DATA'!W406)),ROUND(INDEX('1-DATA'!$1:$1048576,IF(OR($B408="STD. DEVIATION",$C$1=1),$A408,$A408+1),COLUMN('1-DATA'!W406)),IF($B408="STD. DEVIATION",2,$F$1))))</f>
        <v/>
      </c>
      <c r="Y408" s="1" t="str">
        <f>IF(OR($B408="",Y$7=""),"",IF($B408="MEANS",INDEX('1-DATA'!$1:$1048576,$A407-1,COLUMN('1-DATA'!X406)),ROUND(INDEX('1-DATA'!$1:$1048576,IF(OR($B408="STD. DEVIATION",$C$1=1),$A408,$A408+1),COLUMN('1-DATA'!X406)),IF($B408="STD. DEVIATION",2,$F$1))))</f>
        <v/>
      </c>
      <c r="Z408" s="1" t="str">
        <f>IF(OR($B408="",Z$7=""),"",IF($B408="MEANS",INDEX('1-DATA'!$1:$1048576,$A407-1,COLUMN('1-DATA'!Y406)),ROUND(INDEX('1-DATA'!$1:$1048576,IF(OR($B408="STD. DEVIATION",$C$1=1),$A408,$A408+1),COLUMN('1-DATA'!Y406)),IF($B408="STD. DEVIATION",2,$F$1))))</f>
        <v/>
      </c>
      <c r="AA408" s="1" t="str">
        <f>IF(OR($B408="",AA$7=""),"",IF($B408="MEANS",INDEX('1-DATA'!$1:$1048576,$A407-1,COLUMN('1-DATA'!Z406)),ROUND(INDEX('1-DATA'!$1:$1048576,IF(OR($B408="STD. DEVIATION",$C$1=1),$A408,$A408+1),COLUMN('1-DATA'!Z406)),IF($B408="STD. DEVIATION",2,$F$1))))</f>
        <v/>
      </c>
      <c r="AB408" s="1" t="str">
        <f>IF(OR($B408="",AB$7=""),"",IF($B408="MEANS",INDEX('1-DATA'!$1:$1048576,$A407-1,COLUMN('1-DATA'!AA406)),ROUND(INDEX('1-DATA'!$1:$1048576,IF(OR($B408="STD. DEVIATION",$C$1=1),$A408,$A408+1),COLUMN('1-DATA'!AA406)),IF($B408="STD. DEVIATION",2,$F$1))))</f>
        <v/>
      </c>
      <c r="AC408" s="1" t="str">
        <f>IF(OR($B408="",AC$7=""),"",IF($B408="MEANS",INDEX('1-DATA'!$1:$1048576,$A407-1,COLUMN('1-DATA'!AB406)),ROUND(INDEX('1-DATA'!$1:$1048576,IF(OR($B408="STD. DEVIATION",$C$1=1),$A408,$A408+1),COLUMN('1-DATA'!AB406)),IF($B408="STD. DEVIATION",2,$F$1))))</f>
        <v/>
      </c>
      <c r="AD408" s="1" t="str">
        <f>IF(OR($B408="",AD$7=""),"",IF($B408="MEANS",INDEX('1-DATA'!$1:$1048576,$A407-1,COLUMN('1-DATA'!AC406)),ROUND(INDEX('1-DATA'!$1:$1048576,IF(OR($B408="STD. DEVIATION",$C$1=1),$A408,$A408+1),COLUMN('1-DATA'!AC406)),IF($B408="STD. DEVIATION",2,$F$1))))</f>
        <v/>
      </c>
      <c r="AE408" s="1" t="str">
        <f>IF(OR($B408="",AE$7=""),"",IF($B408="MEANS",INDEX('1-DATA'!$1:$1048576,$A407-1,COLUMN('1-DATA'!AD406)),ROUND(INDEX('1-DATA'!$1:$1048576,IF(OR($B408="STD. DEVIATION",$C$1=1),$A408,$A408+1),COLUMN('1-DATA'!AD406)),IF($B408="STD. DEVIATION",2,$F$1))))</f>
        <v/>
      </c>
      <c r="AF408" s="1" t="str">
        <f>IF(OR($B408="",AF$7=""),"",IF($B408="MEANS",INDEX('1-DATA'!$1:$1048576,$A407-1,COLUMN('1-DATA'!AE406)),ROUND(INDEX('1-DATA'!$1:$1048576,IF(OR($B408="STD. DEVIATION",$C$1=1),$A408,$A408+1),COLUMN('1-DATA'!AE406)),IF($B408="STD. DEVIATION",2,$F$1))))</f>
        <v/>
      </c>
      <c r="AG408" s="1" t="str">
        <f>IF(OR($B408="",AG$7=""),"",IF($B408="MEANS",INDEX('1-DATA'!$1:$1048576,$A407-1,COLUMN('1-DATA'!AF406)),ROUND(INDEX('1-DATA'!$1:$1048576,IF(OR($B408="STD. DEVIATION",$C$1=1),$A408,$A408+1),COLUMN('1-DATA'!AF406)),IF($B408="STD. DEVIATION",2,$F$1))))</f>
        <v/>
      </c>
      <c r="AH408" s="1" t="str">
        <f>IF(OR($B408="",AH$7=""),"",IF($B408="MEANS",INDEX('1-DATA'!$1:$1048576,$A407-1,COLUMN('1-DATA'!AG406)),ROUND(INDEX('1-DATA'!$1:$1048576,IF(OR($B408="STD. DEVIATION",$C$1=1),$A408,$A408+1),COLUMN('1-DATA'!AG406)),IF($B408="STD. DEVIATION",2,$F$1))))</f>
        <v/>
      </c>
      <c r="AI408" s="1" t="str">
        <f>IF(OR($B408="",AI$7=""),"",IF($B408="MEANS",INDEX('1-DATA'!$1:$1048576,$A407-1,COLUMN('1-DATA'!AH406)),ROUND(INDEX('1-DATA'!$1:$1048576,IF(OR($B408="STD. DEVIATION",$C$1=1),$A408,$A408+1),COLUMN('1-DATA'!AH406)),IF($B408="STD. DEVIATION",2,$F$1))))</f>
        <v/>
      </c>
      <c r="AJ408" s="1" t="str">
        <f>IF(OR($B408="",AJ$7=""),"",IF($B408="MEANS",INDEX('1-DATA'!$1:$1048576,$A407-1,COLUMN('1-DATA'!AI406)),ROUND(INDEX('1-DATA'!$1:$1048576,IF(OR($B408="STD. DEVIATION",$C$1=1),$A408,$A408+1),COLUMN('1-DATA'!AI406)),IF($B408="STD. DEVIATION",2,$F$1))))</f>
        <v/>
      </c>
      <c r="AK408" s="1" t="str">
        <f>IF(OR($B408="",AK$7=""),"",IF($B408="MEANS",INDEX('1-DATA'!$1:$1048576,$A407-1,COLUMN('1-DATA'!AJ406)),ROUND(INDEX('1-DATA'!$1:$1048576,IF(OR($B408="STD. DEVIATION",$C$1=1),$A408,$A408+1),COLUMN('1-DATA'!AJ406)),IF($B408="STD. DEVIATION",2,$F$1))))</f>
        <v/>
      </c>
      <c r="AL408" s="1" t="str">
        <f>IF(OR($B408="",AL$7=""),"",IF($B408="MEANS",INDEX('1-DATA'!$1:$1048576,$A407-1,COLUMN('1-DATA'!AK406)),ROUND(INDEX('1-DATA'!$1:$1048576,IF(OR($B408="STD. DEVIATION",$C$1=1),$A408,$A408+1),COLUMN('1-DATA'!AK406)),IF($B408="STD. DEVIATION",2,$F$1))))</f>
        <v/>
      </c>
      <c r="AM408" s="1" t="str">
        <f>IF(OR($B408="",AM$7=""),"",IF($B408="MEANS",INDEX('1-DATA'!$1:$1048576,$A407-1,COLUMN('1-DATA'!AL406)),ROUND(INDEX('1-DATA'!$1:$1048576,IF(OR($B408="STD. DEVIATION",$C$1=1),$A408,$A408+1),COLUMN('1-DATA'!AL406)),IF($B408="STD. DEVIATION",2,$F$1))))</f>
        <v/>
      </c>
      <c r="AN408" s="1" t="str">
        <f>IF(OR($B408="",AN$7=""),"",IF($B408="MEANS",INDEX('1-DATA'!$1:$1048576,$A407-1,COLUMN('1-DATA'!AM406)),ROUND(INDEX('1-DATA'!$1:$1048576,IF(OR($B408="STD. DEVIATION",$C$1=1),$A408,$A408+1),COLUMN('1-DATA'!AM406)),IF($B408="STD. DEVIATION",2,$F$1))))</f>
        <v/>
      </c>
      <c r="AO408" s="1" t="str">
        <f>IF(OR($B408="",AO$7=""),"",IF($B408="MEANS",INDEX('1-DATA'!$1:$1048576,$A407-1,COLUMN('1-DATA'!AN406)),ROUND(INDEX('1-DATA'!$1:$1048576,IF(OR($B408="STD. DEVIATION",$C$1=1),$A408,$A408+1),COLUMN('1-DATA'!AN406)),IF($B408="STD. DEVIATION",2,$F$1))))</f>
        <v/>
      </c>
      <c r="AP408" s="1" t="str">
        <f>IF(OR($B408="",AP$7=""),"",IF($B408="MEANS",INDEX('1-DATA'!$1:$1048576,$A407-1,COLUMN('1-DATA'!AO406)),ROUND(INDEX('1-DATA'!$1:$1048576,IF(OR($B408="STD. DEVIATION",$C$1=1),$A408,$A408+1),COLUMN('1-DATA'!AO406)),IF($B408="STD. DEVIATION",2,$F$1))))</f>
        <v/>
      </c>
      <c r="AQ408" s="1" t="str">
        <f>IF(OR($B408="",AQ$7=""),"",IF($B408="MEANS",INDEX('1-DATA'!$1:$1048576,$A407-1,COLUMN('1-DATA'!AP406)),ROUND(INDEX('1-DATA'!$1:$1048576,IF(OR($B408="STD. DEVIATION",$C$1=1),$A408,$A408+1),COLUMN('1-DATA'!AP406)),IF($B408="STD. DEVIATION",2,$F$1))))</f>
        <v/>
      </c>
      <c r="AR408" s="1" t="str">
        <f>IF(OR($B408="",AR$7=""),"",IF($B408="MEANS",INDEX('1-DATA'!$1:$1048576,$A407-1,COLUMN('1-DATA'!AQ406)),ROUND(INDEX('1-DATA'!$1:$1048576,IF(OR($B408="STD. DEVIATION",$C$1=1),$A408,$A408+1),COLUMN('1-DATA'!AQ406)),IF($B408="STD. DEVIATION",2,$F$1))))</f>
        <v/>
      </c>
      <c r="AS408" s="1" t="str">
        <f>IF(OR($B408="",AS$7=""),"",IF($B408="MEANS",INDEX('1-DATA'!$1:$1048576,$A407-1,COLUMN('1-DATA'!AR406)),ROUND(INDEX('1-DATA'!$1:$1048576,IF(OR($B408="STD. DEVIATION",$C$1=1),$A408,$A408+1),COLUMN('1-DATA'!AR406)),IF($B408="STD. DEVIATION",2,$F$1))))</f>
        <v/>
      </c>
      <c r="AT408" s="1" t="str">
        <f>IF(OR($B408="",AT$7=""),"",IF($B408="MEANS",INDEX('1-DATA'!$1:$1048576,$A407-1,COLUMN('1-DATA'!AS406)),ROUND(INDEX('1-DATA'!$1:$1048576,IF(OR($B408="STD. DEVIATION",$C$1=1),$A408,$A408+1),COLUMN('1-DATA'!AS406)),IF($B408="STD. DEVIATION",2,$F$1))))</f>
        <v/>
      </c>
      <c r="AU408" s="1" t="str">
        <f>IF(OR($B408="",AU$7=""),"",IF($B408="MEANS",INDEX('1-DATA'!$1:$1048576,$A407-1,COLUMN('1-DATA'!AT406)),ROUND(INDEX('1-DATA'!$1:$1048576,IF(OR($B408="STD. DEVIATION",$C$1=1),$A408,$A408+1),COLUMN('1-DATA'!AT406)),IF($B408="STD. DEVIATION",2,$F$1))))</f>
        <v/>
      </c>
      <c r="AV408" s="1" t="str">
        <f>IF(OR($B408="",AV$7=""),"",IF($B408="MEANS",INDEX('1-DATA'!$1:$1048576,$A407-1,COLUMN('1-DATA'!AU406)),ROUND(INDEX('1-DATA'!$1:$1048576,IF(OR($B408="STD. DEVIATION",$C$1=1),$A408,$A408+1),COLUMN('1-DATA'!AU406)),IF($B408="STD. DEVIATION",2,$F$1))))</f>
        <v/>
      </c>
      <c r="AW408" s="1" t="str">
        <f>IF(OR($B408="",AW$7=""),"",IF($B408="MEANS",INDEX('1-DATA'!$1:$1048576,$A407-1,COLUMN('1-DATA'!AV406)),ROUND(INDEX('1-DATA'!$1:$1048576,IF(OR($B408="STD. DEVIATION",$C$1=1),$A408,$A408+1),COLUMN('1-DATA'!AV406)),IF($B408="STD. DEVIATION",2,$F$1))))</f>
        <v/>
      </c>
      <c r="AX408" s="1" t="str">
        <f>IF(OR($B408="",AX$7=""),"",IF($B408="MEANS",INDEX('1-DATA'!$1:$1048576,$A407-1,COLUMN('1-DATA'!AW406)),ROUND(INDEX('1-DATA'!$1:$1048576,IF(OR($B408="STD. DEVIATION",$C$1=1),$A408,$A408+1),COLUMN('1-DATA'!AW406)),IF($B408="STD. DEVIATION",2,$F$1))))</f>
        <v/>
      </c>
      <c r="AY408" s="1" t="str">
        <f>IF(OR($B408="",AY$7=""),"",IF($B408="MEANS",INDEX('1-DATA'!$1:$1048576,$A407-1,COLUMN('1-DATA'!AX406)),ROUND(INDEX('1-DATA'!$1:$1048576,IF(OR($B408="STD. DEVIATION",$C$1=1),$A408,$A408+1),COLUMN('1-DATA'!AX406)),IF($B408="STD. DEVIATION",2,$F$1))))</f>
        <v/>
      </c>
      <c r="AZ408" s="1" t="str">
        <f>IF(OR($B408="",AZ$7=""),"",IF($B408="MEANS",INDEX('1-DATA'!$1:$1048576,$A407-1,COLUMN('1-DATA'!AY406)),ROUND(INDEX('1-DATA'!$1:$1048576,IF(OR($B408="STD. DEVIATION",$C$1=1),$A408,$A408+1),COLUMN('1-DATA'!AY406)),IF($B408="STD. DEVIATION",2,$F$1))))</f>
        <v/>
      </c>
    </row>
    <row r="409" spans="1:52" x14ac:dyDescent="0.25">
      <c r="A409" s="11">
        <f t="shared" si="6"/>
        <v>1213</v>
      </c>
      <c r="B409" s="1" t="str">
        <f>IF(B408="STD. DEVIATION",INDEX('1-DATA'!$1:$1048576,$A408-1,1),IF(INDEX('1-DATA'!$1:$1048576,$A409,1)&lt;&gt;"",INDEX('1-DATA'!$1:$1048576,$A409,1),""))</f>
        <v/>
      </c>
      <c r="C409" s="1" t="str">
        <f>IF(OR($B409="",C$7=""),"",IF($B409="MEANS",INDEX('1-DATA'!$1:$1048576,$A408-1,COLUMN('1-DATA'!B407)),ROUND(INDEX('1-DATA'!$1:$1048576,IF(OR($B409="STD. DEVIATION",$C$1=1),$A409,$A409+1),COLUMN('1-DATA'!B407)),IF($B409="STD. DEVIATION",2,$F$1))))</f>
        <v/>
      </c>
      <c r="D409" s="1" t="str">
        <f>IF(OR($B409="",D$7=""),"",IF($B409="MEANS",INDEX('1-DATA'!$1:$1048576,$A408-1,COLUMN('1-DATA'!C407)),ROUND(INDEX('1-DATA'!$1:$1048576,IF(OR($B409="STD. DEVIATION",$C$1=1),$A409,$A409+1),COLUMN('1-DATA'!C407)),IF($B409="STD. DEVIATION",2,$F$1))))</f>
        <v/>
      </c>
      <c r="E409" s="1" t="str">
        <f>IF(OR($B409="",E$7=""),"",IF($B409="MEANS",INDEX('1-DATA'!$1:$1048576,$A408-1,COLUMN('1-DATA'!D407)),ROUND(INDEX('1-DATA'!$1:$1048576,IF(OR($B409="STD. DEVIATION",$C$1=1),$A409,$A409+1),COLUMN('1-DATA'!D407)),IF($B409="STD. DEVIATION",2,$F$1))))</f>
        <v/>
      </c>
      <c r="F409" s="1" t="str">
        <f>IF(OR($B409="",F$7=""),"",IF($B409="MEANS",INDEX('1-DATA'!$1:$1048576,$A408-1,COLUMN('1-DATA'!E407)),ROUND(INDEX('1-DATA'!$1:$1048576,IF(OR($B409="STD. DEVIATION",$C$1=1),$A409,$A409+1),COLUMN('1-DATA'!E407)),IF($B409="STD. DEVIATION",2,$F$1))))</f>
        <v/>
      </c>
      <c r="G409" s="1" t="str">
        <f>IF(OR($B409="",G$7=""),"",IF($B409="MEANS",INDEX('1-DATA'!$1:$1048576,$A408-1,COLUMN('1-DATA'!F407)),ROUND(INDEX('1-DATA'!$1:$1048576,IF(OR($B409="STD. DEVIATION",$C$1=1),$A409,$A409+1),COLUMN('1-DATA'!F407)),IF($B409="STD. DEVIATION",2,$F$1))))</f>
        <v/>
      </c>
      <c r="H409" s="1" t="str">
        <f>IF(OR($B409="",H$7=""),"",IF($B409="MEANS",INDEX('1-DATA'!$1:$1048576,$A408-1,COLUMN('1-DATA'!G407)),ROUND(INDEX('1-DATA'!$1:$1048576,IF(OR($B409="STD. DEVIATION",$C$1=1),$A409,$A409+1),COLUMN('1-DATA'!G407)),IF($B409="STD. DEVIATION",2,$F$1))))</f>
        <v/>
      </c>
      <c r="I409" s="1" t="str">
        <f>IF(OR($B409="",I$7=""),"",IF($B409="MEANS",INDEX('1-DATA'!$1:$1048576,$A408-1,COLUMN('1-DATA'!H407)),ROUND(INDEX('1-DATA'!$1:$1048576,IF(OR($B409="STD. DEVIATION",$C$1=1),$A409,$A409+1),COLUMN('1-DATA'!H407)),IF($B409="STD. DEVIATION",2,$F$1))))</f>
        <v/>
      </c>
      <c r="J409" s="1" t="str">
        <f>IF(OR($B409="",J$7=""),"",IF($B409="MEANS",INDEX('1-DATA'!$1:$1048576,$A408-1,COLUMN('1-DATA'!I407)),ROUND(INDEX('1-DATA'!$1:$1048576,IF(OR($B409="STD. DEVIATION",$C$1=1),$A409,$A409+1),COLUMN('1-DATA'!I407)),IF($B409="STD. DEVIATION",2,$F$1))))</f>
        <v/>
      </c>
      <c r="K409" s="1" t="str">
        <f>IF(OR($B409="",K$7=""),"",IF($B409="MEANS",INDEX('1-DATA'!$1:$1048576,$A408-1,COLUMN('1-DATA'!J407)),ROUND(INDEX('1-DATA'!$1:$1048576,IF(OR($B409="STD. DEVIATION",$C$1=1),$A409,$A409+1),COLUMN('1-DATA'!J407)),IF($B409="STD. DEVIATION",2,$F$1))))</f>
        <v/>
      </c>
      <c r="L409" s="1" t="str">
        <f>IF(OR($B409="",L$7=""),"",IF($B409="MEANS",INDEX('1-DATA'!$1:$1048576,$A408-1,COLUMN('1-DATA'!K407)),ROUND(INDEX('1-DATA'!$1:$1048576,IF(OR($B409="STD. DEVIATION",$C$1=1),$A409,$A409+1),COLUMN('1-DATA'!K407)),IF($B409="STD. DEVIATION",2,$F$1))))</f>
        <v/>
      </c>
      <c r="M409" s="1" t="str">
        <f>IF(OR($B409="",M$7=""),"",IF($B409="MEANS",INDEX('1-DATA'!$1:$1048576,$A408-1,COLUMN('1-DATA'!L407)),ROUND(INDEX('1-DATA'!$1:$1048576,IF(OR($B409="STD. DEVIATION",$C$1=1),$A409,$A409+1),COLUMN('1-DATA'!L407)),IF($B409="STD. DEVIATION",2,$F$1))))</f>
        <v/>
      </c>
      <c r="N409" s="1" t="str">
        <f>IF(OR($B409="",N$7=""),"",IF($B409="MEANS",INDEX('1-DATA'!$1:$1048576,$A408-1,COLUMN('1-DATA'!M407)),ROUND(INDEX('1-DATA'!$1:$1048576,IF(OR($B409="STD. DEVIATION",$C$1=1),$A409,$A409+1),COLUMN('1-DATA'!M407)),IF($B409="STD. DEVIATION",2,$F$1))))</f>
        <v/>
      </c>
      <c r="O409" s="1" t="str">
        <f>IF(OR($B409="",O$7=""),"",IF($B409="MEANS",INDEX('1-DATA'!$1:$1048576,$A408-1,COLUMN('1-DATA'!N407)),ROUND(INDEX('1-DATA'!$1:$1048576,IF(OR($B409="STD. DEVIATION",$C$1=1),$A409,$A409+1),COLUMN('1-DATA'!N407)),IF($B409="STD. DEVIATION",2,$F$1))))</f>
        <v/>
      </c>
      <c r="P409" s="1" t="str">
        <f>IF(OR($B409="",P$7=""),"",IF($B409="MEANS",INDEX('1-DATA'!$1:$1048576,$A408-1,COLUMN('1-DATA'!O407)),ROUND(INDEX('1-DATA'!$1:$1048576,IF(OR($B409="STD. DEVIATION",$C$1=1),$A409,$A409+1),COLUMN('1-DATA'!O407)),IF($B409="STD. DEVIATION",2,$F$1))))</f>
        <v/>
      </c>
      <c r="Q409" s="1" t="str">
        <f>IF(OR($B409="",Q$7=""),"",IF($B409="MEANS",INDEX('1-DATA'!$1:$1048576,$A408-1,COLUMN('1-DATA'!P407)),ROUND(INDEX('1-DATA'!$1:$1048576,IF(OR($B409="STD. DEVIATION",$C$1=1),$A409,$A409+1),COLUMN('1-DATA'!P407)),IF($B409="STD. DEVIATION",2,$F$1))))</f>
        <v/>
      </c>
      <c r="R409" s="1" t="str">
        <f>IF(OR($B409="",R$7=""),"",IF($B409="MEANS",INDEX('1-DATA'!$1:$1048576,$A408-1,COLUMN('1-DATA'!Q407)),ROUND(INDEX('1-DATA'!$1:$1048576,IF(OR($B409="STD. DEVIATION",$C$1=1),$A409,$A409+1),COLUMN('1-DATA'!Q407)),IF($B409="STD. DEVIATION",2,$F$1))))</f>
        <v/>
      </c>
      <c r="S409" s="1" t="str">
        <f>IF(OR($B409="",S$7=""),"",IF($B409="MEANS",INDEX('1-DATA'!$1:$1048576,$A408-1,COLUMN('1-DATA'!R407)),ROUND(INDEX('1-DATA'!$1:$1048576,IF(OR($B409="STD. DEVIATION",$C$1=1),$A409,$A409+1),COLUMN('1-DATA'!R407)),IF($B409="STD. DEVIATION",2,$F$1))))</f>
        <v/>
      </c>
      <c r="T409" s="1" t="str">
        <f>IF(OR($B409="",T$7=""),"",IF($B409="MEANS",INDEX('1-DATA'!$1:$1048576,$A408-1,COLUMN('1-DATA'!S407)),ROUND(INDEX('1-DATA'!$1:$1048576,IF(OR($B409="STD. DEVIATION",$C$1=1),$A409,$A409+1),COLUMN('1-DATA'!S407)),IF($B409="STD. DEVIATION",2,$F$1))))</f>
        <v/>
      </c>
      <c r="U409" s="1" t="str">
        <f>IF(OR($B409="",U$7=""),"",IF($B409="MEANS",INDEX('1-DATA'!$1:$1048576,$A408-1,COLUMN('1-DATA'!T407)),ROUND(INDEX('1-DATA'!$1:$1048576,IF(OR($B409="STD. DEVIATION",$C$1=1),$A409,$A409+1),COLUMN('1-DATA'!T407)),IF($B409="STD. DEVIATION",2,$F$1))))</f>
        <v/>
      </c>
      <c r="V409" s="1" t="str">
        <f>IF(OR($B409="",V$7=""),"",IF($B409="MEANS",INDEX('1-DATA'!$1:$1048576,$A408-1,COLUMN('1-DATA'!U407)),ROUND(INDEX('1-DATA'!$1:$1048576,IF(OR($B409="STD. DEVIATION",$C$1=1),$A409,$A409+1),COLUMN('1-DATA'!U407)),IF($B409="STD. DEVIATION",2,$F$1))))</f>
        <v/>
      </c>
      <c r="W409" s="1" t="str">
        <f>IF(OR($B409="",W$7=""),"",IF($B409="MEANS",INDEX('1-DATA'!$1:$1048576,$A408-1,COLUMN('1-DATA'!V407)),ROUND(INDEX('1-DATA'!$1:$1048576,IF(OR($B409="STD. DEVIATION",$C$1=1),$A409,$A409+1),COLUMN('1-DATA'!V407)),IF($B409="STD. DEVIATION",2,$F$1))))</f>
        <v/>
      </c>
      <c r="X409" s="1" t="str">
        <f>IF(OR($B409="",X$7=""),"",IF($B409="MEANS",INDEX('1-DATA'!$1:$1048576,$A408-1,COLUMN('1-DATA'!W407)),ROUND(INDEX('1-DATA'!$1:$1048576,IF(OR($B409="STD. DEVIATION",$C$1=1),$A409,$A409+1),COLUMN('1-DATA'!W407)),IF($B409="STD. DEVIATION",2,$F$1))))</f>
        <v/>
      </c>
      <c r="Y409" s="1" t="str">
        <f>IF(OR($B409="",Y$7=""),"",IF($B409="MEANS",INDEX('1-DATA'!$1:$1048576,$A408-1,COLUMN('1-DATA'!X407)),ROUND(INDEX('1-DATA'!$1:$1048576,IF(OR($B409="STD. DEVIATION",$C$1=1),$A409,$A409+1),COLUMN('1-DATA'!X407)),IF($B409="STD. DEVIATION",2,$F$1))))</f>
        <v/>
      </c>
      <c r="Z409" s="1" t="str">
        <f>IF(OR($B409="",Z$7=""),"",IF($B409="MEANS",INDEX('1-DATA'!$1:$1048576,$A408-1,COLUMN('1-DATA'!Y407)),ROUND(INDEX('1-DATA'!$1:$1048576,IF(OR($B409="STD. DEVIATION",$C$1=1),$A409,$A409+1),COLUMN('1-DATA'!Y407)),IF($B409="STD. DEVIATION",2,$F$1))))</f>
        <v/>
      </c>
      <c r="AA409" s="1" t="str">
        <f>IF(OR($B409="",AA$7=""),"",IF($B409="MEANS",INDEX('1-DATA'!$1:$1048576,$A408-1,COLUMN('1-DATA'!Z407)),ROUND(INDEX('1-DATA'!$1:$1048576,IF(OR($B409="STD. DEVIATION",$C$1=1),$A409,$A409+1),COLUMN('1-DATA'!Z407)),IF($B409="STD. DEVIATION",2,$F$1))))</f>
        <v/>
      </c>
      <c r="AB409" s="1" t="str">
        <f>IF(OR($B409="",AB$7=""),"",IF($B409="MEANS",INDEX('1-DATA'!$1:$1048576,$A408-1,COLUMN('1-DATA'!AA407)),ROUND(INDEX('1-DATA'!$1:$1048576,IF(OR($B409="STD. DEVIATION",$C$1=1),$A409,$A409+1),COLUMN('1-DATA'!AA407)),IF($B409="STD. DEVIATION",2,$F$1))))</f>
        <v/>
      </c>
      <c r="AC409" s="1" t="str">
        <f>IF(OR($B409="",AC$7=""),"",IF($B409="MEANS",INDEX('1-DATA'!$1:$1048576,$A408-1,COLUMN('1-DATA'!AB407)),ROUND(INDEX('1-DATA'!$1:$1048576,IF(OR($B409="STD. DEVIATION",$C$1=1),$A409,$A409+1),COLUMN('1-DATA'!AB407)),IF($B409="STD. DEVIATION",2,$F$1))))</f>
        <v/>
      </c>
      <c r="AD409" s="1" t="str">
        <f>IF(OR($B409="",AD$7=""),"",IF($B409="MEANS",INDEX('1-DATA'!$1:$1048576,$A408-1,COLUMN('1-DATA'!AC407)),ROUND(INDEX('1-DATA'!$1:$1048576,IF(OR($B409="STD. DEVIATION",$C$1=1),$A409,$A409+1),COLUMN('1-DATA'!AC407)),IF($B409="STD. DEVIATION",2,$F$1))))</f>
        <v/>
      </c>
      <c r="AE409" s="1" t="str">
        <f>IF(OR($B409="",AE$7=""),"",IF($B409="MEANS",INDEX('1-DATA'!$1:$1048576,$A408-1,COLUMN('1-DATA'!AD407)),ROUND(INDEX('1-DATA'!$1:$1048576,IF(OR($B409="STD. DEVIATION",$C$1=1),$A409,$A409+1),COLUMN('1-DATA'!AD407)),IF($B409="STD. DEVIATION",2,$F$1))))</f>
        <v/>
      </c>
      <c r="AF409" s="1" t="str">
        <f>IF(OR($B409="",AF$7=""),"",IF($B409="MEANS",INDEX('1-DATA'!$1:$1048576,$A408-1,COLUMN('1-DATA'!AE407)),ROUND(INDEX('1-DATA'!$1:$1048576,IF(OR($B409="STD. DEVIATION",$C$1=1),$A409,$A409+1),COLUMN('1-DATA'!AE407)),IF($B409="STD. DEVIATION",2,$F$1))))</f>
        <v/>
      </c>
      <c r="AG409" s="1" t="str">
        <f>IF(OR($B409="",AG$7=""),"",IF($B409="MEANS",INDEX('1-DATA'!$1:$1048576,$A408-1,COLUMN('1-DATA'!AF407)),ROUND(INDEX('1-DATA'!$1:$1048576,IF(OR($B409="STD. DEVIATION",$C$1=1),$A409,$A409+1),COLUMN('1-DATA'!AF407)),IF($B409="STD. DEVIATION",2,$F$1))))</f>
        <v/>
      </c>
      <c r="AH409" s="1" t="str">
        <f>IF(OR($B409="",AH$7=""),"",IF($B409="MEANS",INDEX('1-DATA'!$1:$1048576,$A408-1,COLUMN('1-DATA'!AG407)),ROUND(INDEX('1-DATA'!$1:$1048576,IF(OR($B409="STD. DEVIATION",$C$1=1),$A409,$A409+1),COLUMN('1-DATA'!AG407)),IF($B409="STD. DEVIATION",2,$F$1))))</f>
        <v/>
      </c>
      <c r="AI409" s="1" t="str">
        <f>IF(OR($B409="",AI$7=""),"",IF($B409="MEANS",INDEX('1-DATA'!$1:$1048576,$A408-1,COLUMN('1-DATA'!AH407)),ROUND(INDEX('1-DATA'!$1:$1048576,IF(OR($B409="STD. DEVIATION",$C$1=1),$A409,$A409+1),COLUMN('1-DATA'!AH407)),IF($B409="STD. DEVIATION",2,$F$1))))</f>
        <v/>
      </c>
      <c r="AJ409" s="1" t="str">
        <f>IF(OR($B409="",AJ$7=""),"",IF($B409="MEANS",INDEX('1-DATA'!$1:$1048576,$A408-1,COLUMN('1-DATA'!AI407)),ROUND(INDEX('1-DATA'!$1:$1048576,IF(OR($B409="STD. DEVIATION",$C$1=1),$A409,$A409+1),COLUMN('1-DATA'!AI407)),IF($B409="STD. DEVIATION",2,$F$1))))</f>
        <v/>
      </c>
      <c r="AK409" s="1" t="str">
        <f>IF(OR($B409="",AK$7=""),"",IF($B409="MEANS",INDEX('1-DATA'!$1:$1048576,$A408-1,COLUMN('1-DATA'!AJ407)),ROUND(INDEX('1-DATA'!$1:$1048576,IF(OR($B409="STD. DEVIATION",$C$1=1),$A409,$A409+1),COLUMN('1-DATA'!AJ407)),IF($B409="STD. DEVIATION",2,$F$1))))</f>
        <v/>
      </c>
      <c r="AL409" s="1" t="str">
        <f>IF(OR($B409="",AL$7=""),"",IF($B409="MEANS",INDEX('1-DATA'!$1:$1048576,$A408-1,COLUMN('1-DATA'!AK407)),ROUND(INDEX('1-DATA'!$1:$1048576,IF(OR($B409="STD. DEVIATION",$C$1=1),$A409,$A409+1),COLUMN('1-DATA'!AK407)),IF($B409="STD. DEVIATION",2,$F$1))))</f>
        <v/>
      </c>
      <c r="AM409" s="1" t="str">
        <f>IF(OR($B409="",AM$7=""),"",IF($B409="MEANS",INDEX('1-DATA'!$1:$1048576,$A408-1,COLUMN('1-DATA'!AL407)),ROUND(INDEX('1-DATA'!$1:$1048576,IF(OR($B409="STD. DEVIATION",$C$1=1),$A409,$A409+1),COLUMN('1-DATA'!AL407)),IF($B409="STD. DEVIATION",2,$F$1))))</f>
        <v/>
      </c>
      <c r="AN409" s="1" t="str">
        <f>IF(OR($B409="",AN$7=""),"",IF($B409="MEANS",INDEX('1-DATA'!$1:$1048576,$A408-1,COLUMN('1-DATA'!AM407)),ROUND(INDEX('1-DATA'!$1:$1048576,IF(OR($B409="STD. DEVIATION",$C$1=1),$A409,$A409+1),COLUMN('1-DATA'!AM407)),IF($B409="STD. DEVIATION",2,$F$1))))</f>
        <v/>
      </c>
      <c r="AO409" s="1" t="str">
        <f>IF(OR($B409="",AO$7=""),"",IF($B409="MEANS",INDEX('1-DATA'!$1:$1048576,$A408-1,COLUMN('1-DATA'!AN407)),ROUND(INDEX('1-DATA'!$1:$1048576,IF(OR($B409="STD. DEVIATION",$C$1=1),$A409,$A409+1),COLUMN('1-DATA'!AN407)),IF($B409="STD. DEVIATION",2,$F$1))))</f>
        <v/>
      </c>
      <c r="AP409" s="1" t="str">
        <f>IF(OR($B409="",AP$7=""),"",IF($B409="MEANS",INDEX('1-DATA'!$1:$1048576,$A408-1,COLUMN('1-DATA'!AO407)),ROUND(INDEX('1-DATA'!$1:$1048576,IF(OR($B409="STD. DEVIATION",$C$1=1),$A409,$A409+1),COLUMN('1-DATA'!AO407)),IF($B409="STD. DEVIATION",2,$F$1))))</f>
        <v/>
      </c>
      <c r="AQ409" s="1" t="str">
        <f>IF(OR($B409="",AQ$7=""),"",IF($B409="MEANS",INDEX('1-DATA'!$1:$1048576,$A408-1,COLUMN('1-DATA'!AP407)),ROUND(INDEX('1-DATA'!$1:$1048576,IF(OR($B409="STD. DEVIATION",$C$1=1),$A409,$A409+1),COLUMN('1-DATA'!AP407)),IF($B409="STD. DEVIATION",2,$F$1))))</f>
        <v/>
      </c>
      <c r="AR409" s="1" t="str">
        <f>IF(OR($B409="",AR$7=""),"",IF($B409="MEANS",INDEX('1-DATA'!$1:$1048576,$A408-1,COLUMN('1-DATA'!AQ407)),ROUND(INDEX('1-DATA'!$1:$1048576,IF(OR($B409="STD. DEVIATION",$C$1=1),$A409,$A409+1),COLUMN('1-DATA'!AQ407)),IF($B409="STD. DEVIATION",2,$F$1))))</f>
        <v/>
      </c>
      <c r="AS409" s="1" t="str">
        <f>IF(OR($B409="",AS$7=""),"",IF($B409="MEANS",INDEX('1-DATA'!$1:$1048576,$A408-1,COLUMN('1-DATA'!AR407)),ROUND(INDEX('1-DATA'!$1:$1048576,IF(OR($B409="STD. DEVIATION",$C$1=1),$A409,$A409+1),COLUMN('1-DATA'!AR407)),IF($B409="STD. DEVIATION",2,$F$1))))</f>
        <v/>
      </c>
      <c r="AT409" s="1" t="str">
        <f>IF(OR($B409="",AT$7=""),"",IF($B409="MEANS",INDEX('1-DATA'!$1:$1048576,$A408-1,COLUMN('1-DATA'!AS407)),ROUND(INDEX('1-DATA'!$1:$1048576,IF(OR($B409="STD. DEVIATION",$C$1=1),$A409,$A409+1),COLUMN('1-DATA'!AS407)),IF($B409="STD. DEVIATION",2,$F$1))))</f>
        <v/>
      </c>
      <c r="AU409" s="1" t="str">
        <f>IF(OR($B409="",AU$7=""),"",IF($B409="MEANS",INDEX('1-DATA'!$1:$1048576,$A408-1,COLUMN('1-DATA'!AT407)),ROUND(INDEX('1-DATA'!$1:$1048576,IF(OR($B409="STD. DEVIATION",$C$1=1),$A409,$A409+1),COLUMN('1-DATA'!AT407)),IF($B409="STD. DEVIATION",2,$F$1))))</f>
        <v/>
      </c>
      <c r="AV409" s="1" t="str">
        <f>IF(OR($B409="",AV$7=""),"",IF($B409="MEANS",INDEX('1-DATA'!$1:$1048576,$A408-1,COLUMN('1-DATA'!AU407)),ROUND(INDEX('1-DATA'!$1:$1048576,IF(OR($B409="STD. DEVIATION",$C$1=1),$A409,$A409+1),COLUMN('1-DATA'!AU407)),IF($B409="STD. DEVIATION",2,$F$1))))</f>
        <v/>
      </c>
      <c r="AW409" s="1" t="str">
        <f>IF(OR($B409="",AW$7=""),"",IF($B409="MEANS",INDEX('1-DATA'!$1:$1048576,$A408-1,COLUMN('1-DATA'!AV407)),ROUND(INDEX('1-DATA'!$1:$1048576,IF(OR($B409="STD. DEVIATION",$C$1=1),$A409,$A409+1),COLUMN('1-DATA'!AV407)),IF($B409="STD. DEVIATION",2,$F$1))))</f>
        <v/>
      </c>
      <c r="AX409" s="1" t="str">
        <f>IF(OR($B409="",AX$7=""),"",IF($B409="MEANS",INDEX('1-DATA'!$1:$1048576,$A408-1,COLUMN('1-DATA'!AW407)),ROUND(INDEX('1-DATA'!$1:$1048576,IF(OR($B409="STD. DEVIATION",$C$1=1),$A409,$A409+1),COLUMN('1-DATA'!AW407)),IF($B409="STD. DEVIATION",2,$F$1))))</f>
        <v/>
      </c>
      <c r="AY409" s="1" t="str">
        <f>IF(OR($B409="",AY$7=""),"",IF($B409="MEANS",INDEX('1-DATA'!$1:$1048576,$A408-1,COLUMN('1-DATA'!AX407)),ROUND(INDEX('1-DATA'!$1:$1048576,IF(OR($B409="STD. DEVIATION",$C$1=1),$A409,$A409+1),COLUMN('1-DATA'!AX407)),IF($B409="STD. DEVIATION",2,$F$1))))</f>
        <v/>
      </c>
      <c r="AZ409" s="1" t="str">
        <f>IF(OR($B409="",AZ$7=""),"",IF($B409="MEANS",INDEX('1-DATA'!$1:$1048576,$A408-1,COLUMN('1-DATA'!AY407)),ROUND(INDEX('1-DATA'!$1:$1048576,IF(OR($B409="STD. DEVIATION",$C$1=1),$A409,$A409+1),COLUMN('1-DATA'!AY407)),IF($B409="STD. DEVIATION",2,$F$1))))</f>
        <v/>
      </c>
    </row>
    <row r="410" spans="1:52" x14ac:dyDescent="0.25">
      <c r="A410" s="11">
        <f t="shared" si="6"/>
        <v>1216</v>
      </c>
      <c r="B410" s="1" t="str">
        <f>IF(B409="STD. DEVIATION",INDEX('1-DATA'!$1:$1048576,$A409-1,1),IF(INDEX('1-DATA'!$1:$1048576,$A410,1)&lt;&gt;"",INDEX('1-DATA'!$1:$1048576,$A410,1),""))</f>
        <v/>
      </c>
      <c r="C410" s="1" t="str">
        <f>IF(OR($B410="",C$7=""),"",IF($B410="MEANS",INDEX('1-DATA'!$1:$1048576,$A409-1,COLUMN('1-DATA'!B408)),ROUND(INDEX('1-DATA'!$1:$1048576,IF(OR($B410="STD. DEVIATION",$C$1=1),$A410,$A410+1),COLUMN('1-DATA'!B408)),IF($B410="STD. DEVIATION",2,$F$1))))</f>
        <v/>
      </c>
      <c r="D410" s="1" t="str">
        <f>IF(OR($B410="",D$7=""),"",IF($B410="MEANS",INDEX('1-DATA'!$1:$1048576,$A409-1,COLUMN('1-DATA'!C408)),ROUND(INDEX('1-DATA'!$1:$1048576,IF(OR($B410="STD. DEVIATION",$C$1=1),$A410,$A410+1),COLUMN('1-DATA'!C408)),IF($B410="STD. DEVIATION",2,$F$1))))</f>
        <v/>
      </c>
      <c r="E410" s="1" t="str">
        <f>IF(OR($B410="",E$7=""),"",IF($B410="MEANS",INDEX('1-DATA'!$1:$1048576,$A409-1,COLUMN('1-DATA'!D408)),ROUND(INDEX('1-DATA'!$1:$1048576,IF(OR($B410="STD. DEVIATION",$C$1=1),$A410,$A410+1),COLUMN('1-DATA'!D408)),IF($B410="STD. DEVIATION",2,$F$1))))</f>
        <v/>
      </c>
      <c r="F410" s="1" t="str">
        <f>IF(OR($B410="",F$7=""),"",IF($B410="MEANS",INDEX('1-DATA'!$1:$1048576,$A409-1,COLUMN('1-DATA'!E408)),ROUND(INDEX('1-DATA'!$1:$1048576,IF(OR($B410="STD. DEVIATION",$C$1=1),$A410,$A410+1),COLUMN('1-DATA'!E408)),IF($B410="STD. DEVIATION",2,$F$1))))</f>
        <v/>
      </c>
      <c r="G410" s="1" t="str">
        <f>IF(OR($B410="",G$7=""),"",IF($B410="MEANS",INDEX('1-DATA'!$1:$1048576,$A409-1,COLUMN('1-DATA'!F408)),ROUND(INDEX('1-DATA'!$1:$1048576,IF(OR($B410="STD. DEVIATION",$C$1=1),$A410,$A410+1),COLUMN('1-DATA'!F408)),IF($B410="STD. DEVIATION",2,$F$1))))</f>
        <v/>
      </c>
      <c r="H410" s="1" t="str">
        <f>IF(OR($B410="",H$7=""),"",IF($B410="MEANS",INDEX('1-DATA'!$1:$1048576,$A409-1,COLUMN('1-DATA'!G408)),ROUND(INDEX('1-DATA'!$1:$1048576,IF(OR($B410="STD. DEVIATION",$C$1=1),$A410,$A410+1),COLUMN('1-DATA'!G408)),IF($B410="STD. DEVIATION",2,$F$1))))</f>
        <v/>
      </c>
      <c r="I410" s="1" t="str">
        <f>IF(OR($B410="",I$7=""),"",IF($B410="MEANS",INDEX('1-DATA'!$1:$1048576,$A409-1,COLUMN('1-DATA'!H408)),ROUND(INDEX('1-DATA'!$1:$1048576,IF(OR($B410="STD. DEVIATION",$C$1=1),$A410,$A410+1),COLUMN('1-DATA'!H408)),IF($B410="STD. DEVIATION",2,$F$1))))</f>
        <v/>
      </c>
      <c r="J410" s="1" t="str">
        <f>IF(OR($B410="",J$7=""),"",IF($B410="MEANS",INDEX('1-DATA'!$1:$1048576,$A409-1,COLUMN('1-DATA'!I408)),ROUND(INDEX('1-DATA'!$1:$1048576,IF(OR($B410="STD. DEVIATION",$C$1=1),$A410,$A410+1),COLUMN('1-DATA'!I408)),IF($B410="STD. DEVIATION",2,$F$1))))</f>
        <v/>
      </c>
      <c r="K410" s="1" t="str">
        <f>IF(OR($B410="",K$7=""),"",IF($B410="MEANS",INDEX('1-DATA'!$1:$1048576,$A409-1,COLUMN('1-DATA'!J408)),ROUND(INDEX('1-DATA'!$1:$1048576,IF(OR($B410="STD. DEVIATION",$C$1=1),$A410,$A410+1),COLUMN('1-DATA'!J408)),IF($B410="STD. DEVIATION",2,$F$1))))</f>
        <v/>
      </c>
      <c r="L410" s="1" t="str">
        <f>IF(OR($B410="",L$7=""),"",IF($B410="MEANS",INDEX('1-DATA'!$1:$1048576,$A409-1,COLUMN('1-DATA'!K408)),ROUND(INDEX('1-DATA'!$1:$1048576,IF(OR($B410="STD. DEVIATION",$C$1=1),$A410,$A410+1),COLUMN('1-DATA'!K408)),IF($B410="STD. DEVIATION",2,$F$1))))</f>
        <v/>
      </c>
      <c r="M410" s="1" t="str">
        <f>IF(OR($B410="",M$7=""),"",IF($B410="MEANS",INDEX('1-DATA'!$1:$1048576,$A409-1,COLUMN('1-DATA'!L408)),ROUND(INDEX('1-DATA'!$1:$1048576,IF(OR($B410="STD. DEVIATION",$C$1=1),$A410,$A410+1),COLUMN('1-DATA'!L408)),IF($B410="STD. DEVIATION",2,$F$1))))</f>
        <v/>
      </c>
      <c r="N410" s="1" t="str">
        <f>IF(OR($B410="",N$7=""),"",IF($B410="MEANS",INDEX('1-DATA'!$1:$1048576,$A409-1,COLUMN('1-DATA'!M408)),ROUND(INDEX('1-DATA'!$1:$1048576,IF(OR($B410="STD. DEVIATION",$C$1=1),$A410,$A410+1),COLUMN('1-DATA'!M408)),IF($B410="STD. DEVIATION",2,$F$1))))</f>
        <v/>
      </c>
      <c r="O410" s="1" t="str">
        <f>IF(OR($B410="",O$7=""),"",IF($B410="MEANS",INDEX('1-DATA'!$1:$1048576,$A409-1,COLUMN('1-DATA'!N408)),ROUND(INDEX('1-DATA'!$1:$1048576,IF(OR($B410="STD. DEVIATION",$C$1=1),$A410,$A410+1),COLUMN('1-DATA'!N408)),IF($B410="STD. DEVIATION",2,$F$1))))</f>
        <v/>
      </c>
      <c r="P410" s="1" t="str">
        <f>IF(OR($B410="",P$7=""),"",IF($B410="MEANS",INDEX('1-DATA'!$1:$1048576,$A409-1,COLUMN('1-DATA'!O408)),ROUND(INDEX('1-DATA'!$1:$1048576,IF(OR($B410="STD. DEVIATION",$C$1=1),$A410,$A410+1),COLUMN('1-DATA'!O408)),IF($B410="STD. DEVIATION",2,$F$1))))</f>
        <v/>
      </c>
      <c r="Q410" s="1" t="str">
        <f>IF(OR($B410="",Q$7=""),"",IF($B410="MEANS",INDEX('1-DATA'!$1:$1048576,$A409-1,COLUMN('1-DATA'!P408)),ROUND(INDEX('1-DATA'!$1:$1048576,IF(OR($B410="STD. DEVIATION",$C$1=1),$A410,$A410+1),COLUMN('1-DATA'!P408)),IF($B410="STD. DEVIATION",2,$F$1))))</f>
        <v/>
      </c>
      <c r="R410" s="1" t="str">
        <f>IF(OR($B410="",R$7=""),"",IF($B410="MEANS",INDEX('1-DATA'!$1:$1048576,$A409-1,COLUMN('1-DATA'!Q408)),ROUND(INDEX('1-DATA'!$1:$1048576,IF(OR($B410="STD. DEVIATION",$C$1=1),$A410,$A410+1),COLUMN('1-DATA'!Q408)),IF($B410="STD. DEVIATION",2,$F$1))))</f>
        <v/>
      </c>
      <c r="S410" s="1" t="str">
        <f>IF(OR($B410="",S$7=""),"",IF($B410="MEANS",INDEX('1-DATA'!$1:$1048576,$A409-1,COLUMN('1-DATA'!R408)),ROUND(INDEX('1-DATA'!$1:$1048576,IF(OR($B410="STD. DEVIATION",$C$1=1),$A410,$A410+1),COLUMN('1-DATA'!R408)),IF($B410="STD. DEVIATION",2,$F$1))))</f>
        <v/>
      </c>
      <c r="T410" s="1" t="str">
        <f>IF(OR($B410="",T$7=""),"",IF($B410="MEANS",INDEX('1-DATA'!$1:$1048576,$A409-1,COLUMN('1-DATA'!S408)),ROUND(INDEX('1-DATA'!$1:$1048576,IF(OR($B410="STD. DEVIATION",$C$1=1),$A410,$A410+1),COLUMN('1-DATA'!S408)),IF($B410="STD. DEVIATION",2,$F$1))))</f>
        <v/>
      </c>
      <c r="U410" s="1" t="str">
        <f>IF(OR($B410="",U$7=""),"",IF($B410="MEANS",INDEX('1-DATA'!$1:$1048576,$A409-1,COLUMN('1-DATA'!T408)),ROUND(INDEX('1-DATA'!$1:$1048576,IF(OR($B410="STD. DEVIATION",$C$1=1),$A410,$A410+1),COLUMN('1-DATA'!T408)),IF($B410="STD. DEVIATION",2,$F$1))))</f>
        <v/>
      </c>
      <c r="V410" s="1" t="str">
        <f>IF(OR($B410="",V$7=""),"",IF($B410="MEANS",INDEX('1-DATA'!$1:$1048576,$A409-1,COLUMN('1-DATA'!U408)),ROUND(INDEX('1-DATA'!$1:$1048576,IF(OR($B410="STD. DEVIATION",$C$1=1),$A410,$A410+1),COLUMN('1-DATA'!U408)),IF($B410="STD. DEVIATION",2,$F$1))))</f>
        <v/>
      </c>
      <c r="W410" s="1" t="str">
        <f>IF(OR($B410="",W$7=""),"",IF($B410="MEANS",INDEX('1-DATA'!$1:$1048576,$A409-1,COLUMN('1-DATA'!V408)),ROUND(INDEX('1-DATA'!$1:$1048576,IF(OR($B410="STD. DEVIATION",$C$1=1),$A410,$A410+1),COLUMN('1-DATA'!V408)),IF($B410="STD. DEVIATION",2,$F$1))))</f>
        <v/>
      </c>
      <c r="X410" s="1" t="str">
        <f>IF(OR($B410="",X$7=""),"",IF($B410="MEANS",INDEX('1-DATA'!$1:$1048576,$A409-1,COLUMN('1-DATA'!W408)),ROUND(INDEX('1-DATA'!$1:$1048576,IF(OR($B410="STD. DEVIATION",$C$1=1),$A410,$A410+1),COLUMN('1-DATA'!W408)),IF($B410="STD. DEVIATION",2,$F$1))))</f>
        <v/>
      </c>
      <c r="Y410" s="1" t="str">
        <f>IF(OR($B410="",Y$7=""),"",IF($B410="MEANS",INDEX('1-DATA'!$1:$1048576,$A409-1,COLUMN('1-DATA'!X408)),ROUND(INDEX('1-DATA'!$1:$1048576,IF(OR($B410="STD. DEVIATION",$C$1=1),$A410,$A410+1),COLUMN('1-DATA'!X408)),IF($B410="STD. DEVIATION",2,$F$1))))</f>
        <v/>
      </c>
      <c r="Z410" s="1" t="str">
        <f>IF(OR($B410="",Z$7=""),"",IF($B410="MEANS",INDEX('1-DATA'!$1:$1048576,$A409-1,COLUMN('1-DATA'!Y408)),ROUND(INDEX('1-DATA'!$1:$1048576,IF(OR($B410="STD. DEVIATION",$C$1=1),$A410,$A410+1),COLUMN('1-DATA'!Y408)),IF($B410="STD. DEVIATION",2,$F$1))))</f>
        <v/>
      </c>
      <c r="AA410" s="1" t="str">
        <f>IF(OR($B410="",AA$7=""),"",IF($B410="MEANS",INDEX('1-DATA'!$1:$1048576,$A409-1,COLUMN('1-DATA'!Z408)),ROUND(INDEX('1-DATA'!$1:$1048576,IF(OR($B410="STD. DEVIATION",$C$1=1),$A410,$A410+1),COLUMN('1-DATA'!Z408)),IF($B410="STD. DEVIATION",2,$F$1))))</f>
        <v/>
      </c>
      <c r="AB410" s="1" t="str">
        <f>IF(OR($B410="",AB$7=""),"",IF($B410="MEANS",INDEX('1-DATA'!$1:$1048576,$A409-1,COLUMN('1-DATA'!AA408)),ROUND(INDEX('1-DATA'!$1:$1048576,IF(OR($B410="STD. DEVIATION",$C$1=1),$A410,$A410+1),COLUMN('1-DATA'!AA408)),IF($B410="STD. DEVIATION",2,$F$1))))</f>
        <v/>
      </c>
      <c r="AC410" s="1" t="str">
        <f>IF(OR($B410="",AC$7=""),"",IF($B410="MEANS",INDEX('1-DATA'!$1:$1048576,$A409-1,COLUMN('1-DATA'!AB408)),ROUND(INDEX('1-DATA'!$1:$1048576,IF(OR($B410="STD. DEVIATION",$C$1=1),$A410,$A410+1),COLUMN('1-DATA'!AB408)),IF($B410="STD. DEVIATION",2,$F$1))))</f>
        <v/>
      </c>
      <c r="AD410" s="1" t="str">
        <f>IF(OR($B410="",AD$7=""),"",IF($B410="MEANS",INDEX('1-DATA'!$1:$1048576,$A409-1,COLUMN('1-DATA'!AC408)),ROUND(INDEX('1-DATA'!$1:$1048576,IF(OR($B410="STD. DEVIATION",$C$1=1),$A410,$A410+1),COLUMN('1-DATA'!AC408)),IF($B410="STD. DEVIATION",2,$F$1))))</f>
        <v/>
      </c>
      <c r="AE410" s="1" t="str">
        <f>IF(OR($B410="",AE$7=""),"",IF($B410="MEANS",INDEX('1-DATA'!$1:$1048576,$A409-1,COLUMN('1-DATA'!AD408)),ROUND(INDEX('1-DATA'!$1:$1048576,IF(OR($B410="STD. DEVIATION",$C$1=1),$A410,$A410+1),COLUMN('1-DATA'!AD408)),IF($B410="STD. DEVIATION",2,$F$1))))</f>
        <v/>
      </c>
      <c r="AF410" s="1" t="str">
        <f>IF(OR($B410="",AF$7=""),"",IF($B410="MEANS",INDEX('1-DATA'!$1:$1048576,$A409-1,COLUMN('1-DATA'!AE408)),ROUND(INDEX('1-DATA'!$1:$1048576,IF(OR($B410="STD. DEVIATION",$C$1=1),$A410,$A410+1),COLUMN('1-DATA'!AE408)),IF($B410="STD. DEVIATION",2,$F$1))))</f>
        <v/>
      </c>
      <c r="AG410" s="1" t="str">
        <f>IF(OR($B410="",AG$7=""),"",IF($B410="MEANS",INDEX('1-DATA'!$1:$1048576,$A409-1,COLUMN('1-DATA'!AF408)),ROUND(INDEX('1-DATA'!$1:$1048576,IF(OR($B410="STD. DEVIATION",$C$1=1),$A410,$A410+1),COLUMN('1-DATA'!AF408)),IF($B410="STD. DEVIATION",2,$F$1))))</f>
        <v/>
      </c>
      <c r="AH410" s="1" t="str">
        <f>IF(OR($B410="",AH$7=""),"",IF($B410="MEANS",INDEX('1-DATA'!$1:$1048576,$A409-1,COLUMN('1-DATA'!AG408)),ROUND(INDEX('1-DATA'!$1:$1048576,IF(OR($B410="STD. DEVIATION",$C$1=1),$A410,$A410+1),COLUMN('1-DATA'!AG408)),IF($B410="STD. DEVIATION",2,$F$1))))</f>
        <v/>
      </c>
      <c r="AI410" s="1" t="str">
        <f>IF(OR($B410="",AI$7=""),"",IF($B410="MEANS",INDEX('1-DATA'!$1:$1048576,$A409-1,COLUMN('1-DATA'!AH408)),ROUND(INDEX('1-DATA'!$1:$1048576,IF(OR($B410="STD. DEVIATION",$C$1=1),$A410,$A410+1),COLUMN('1-DATA'!AH408)),IF($B410="STD. DEVIATION",2,$F$1))))</f>
        <v/>
      </c>
      <c r="AJ410" s="1" t="str">
        <f>IF(OR($B410="",AJ$7=""),"",IF($B410="MEANS",INDEX('1-DATA'!$1:$1048576,$A409-1,COLUMN('1-DATA'!AI408)),ROUND(INDEX('1-DATA'!$1:$1048576,IF(OR($B410="STD. DEVIATION",$C$1=1),$A410,$A410+1),COLUMN('1-DATA'!AI408)),IF($B410="STD. DEVIATION",2,$F$1))))</f>
        <v/>
      </c>
      <c r="AK410" s="1" t="str">
        <f>IF(OR($B410="",AK$7=""),"",IF($B410="MEANS",INDEX('1-DATA'!$1:$1048576,$A409-1,COLUMN('1-DATA'!AJ408)),ROUND(INDEX('1-DATA'!$1:$1048576,IF(OR($B410="STD. DEVIATION",$C$1=1),$A410,$A410+1),COLUMN('1-DATA'!AJ408)),IF($B410="STD. DEVIATION",2,$F$1))))</f>
        <v/>
      </c>
      <c r="AL410" s="1" t="str">
        <f>IF(OR($B410="",AL$7=""),"",IF($B410="MEANS",INDEX('1-DATA'!$1:$1048576,$A409-1,COLUMN('1-DATA'!AK408)),ROUND(INDEX('1-DATA'!$1:$1048576,IF(OR($B410="STD. DEVIATION",$C$1=1),$A410,$A410+1),COLUMN('1-DATA'!AK408)),IF($B410="STD. DEVIATION",2,$F$1))))</f>
        <v/>
      </c>
      <c r="AM410" s="1" t="str">
        <f>IF(OR($B410="",AM$7=""),"",IF($B410="MEANS",INDEX('1-DATA'!$1:$1048576,$A409-1,COLUMN('1-DATA'!AL408)),ROUND(INDEX('1-DATA'!$1:$1048576,IF(OR($B410="STD. DEVIATION",$C$1=1),$A410,$A410+1),COLUMN('1-DATA'!AL408)),IF($B410="STD. DEVIATION",2,$F$1))))</f>
        <v/>
      </c>
      <c r="AN410" s="1" t="str">
        <f>IF(OR($B410="",AN$7=""),"",IF($B410="MEANS",INDEX('1-DATA'!$1:$1048576,$A409-1,COLUMN('1-DATA'!AM408)),ROUND(INDEX('1-DATA'!$1:$1048576,IF(OR($B410="STD. DEVIATION",$C$1=1),$A410,$A410+1),COLUMN('1-DATA'!AM408)),IF($B410="STD. DEVIATION",2,$F$1))))</f>
        <v/>
      </c>
      <c r="AO410" s="1" t="str">
        <f>IF(OR($B410="",AO$7=""),"",IF($B410="MEANS",INDEX('1-DATA'!$1:$1048576,$A409-1,COLUMN('1-DATA'!AN408)),ROUND(INDEX('1-DATA'!$1:$1048576,IF(OR($B410="STD. DEVIATION",$C$1=1),$A410,$A410+1),COLUMN('1-DATA'!AN408)),IF($B410="STD. DEVIATION",2,$F$1))))</f>
        <v/>
      </c>
      <c r="AP410" s="1" t="str">
        <f>IF(OR($B410="",AP$7=""),"",IF($B410="MEANS",INDEX('1-DATA'!$1:$1048576,$A409-1,COLUMN('1-DATA'!AO408)),ROUND(INDEX('1-DATA'!$1:$1048576,IF(OR($B410="STD. DEVIATION",$C$1=1),$A410,$A410+1),COLUMN('1-DATA'!AO408)),IF($B410="STD. DEVIATION",2,$F$1))))</f>
        <v/>
      </c>
      <c r="AQ410" s="1" t="str">
        <f>IF(OR($B410="",AQ$7=""),"",IF($B410="MEANS",INDEX('1-DATA'!$1:$1048576,$A409-1,COLUMN('1-DATA'!AP408)),ROUND(INDEX('1-DATA'!$1:$1048576,IF(OR($B410="STD. DEVIATION",$C$1=1),$A410,$A410+1),COLUMN('1-DATA'!AP408)),IF($B410="STD. DEVIATION",2,$F$1))))</f>
        <v/>
      </c>
      <c r="AR410" s="1" t="str">
        <f>IF(OR($B410="",AR$7=""),"",IF($B410="MEANS",INDEX('1-DATA'!$1:$1048576,$A409-1,COLUMN('1-DATA'!AQ408)),ROUND(INDEX('1-DATA'!$1:$1048576,IF(OR($B410="STD. DEVIATION",$C$1=1),$A410,$A410+1),COLUMN('1-DATA'!AQ408)),IF($B410="STD. DEVIATION",2,$F$1))))</f>
        <v/>
      </c>
      <c r="AS410" s="1" t="str">
        <f>IF(OR($B410="",AS$7=""),"",IF($B410="MEANS",INDEX('1-DATA'!$1:$1048576,$A409-1,COLUMN('1-DATA'!AR408)),ROUND(INDEX('1-DATA'!$1:$1048576,IF(OR($B410="STD. DEVIATION",$C$1=1),$A410,$A410+1),COLUMN('1-DATA'!AR408)),IF($B410="STD. DEVIATION",2,$F$1))))</f>
        <v/>
      </c>
      <c r="AT410" s="1" t="str">
        <f>IF(OR($B410="",AT$7=""),"",IF($B410="MEANS",INDEX('1-DATA'!$1:$1048576,$A409-1,COLUMN('1-DATA'!AS408)),ROUND(INDEX('1-DATA'!$1:$1048576,IF(OR($B410="STD. DEVIATION",$C$1=1),$A410,$A410+1),COLUMN('1-DATA'!AS408)),IF($B410="STD. DEVIATION",2,$F$1))))</f>
        <v/>
      </c>
      <c r="AU410" s="1" t="str">
        <f>IF(OR($B410="",AU$7=""),"",IF($B410="MEANS",INDEX('1-DATA'!$1:$1048576,$A409-1,COLUMN('1-DATA'!AT408)),ROUND(INDEX('1-DATA'!$1:$1048576,IF(OR($B410="STD. DEVIATION",$C$1=1),$A410,$A410+1),COLUMN('1-DATA'!AT408)),IF($B410="STD. DEVIATION",2,$F$1))))</f>
        <v/>
      </c>
      <c r="AV410" s="1" t="str">
        <f>IF(OR($B410="",AV$7=""),"",IF($B410="MEANS",INDEX('1-DATA'!$1:$1048576,$A409-1,COLUMN('1-DATA'!AU408)),ROUND(INDEX('1-DATA'!$1:$1048576,IF(OR($B410="STD. DEVIATION",$C$1=1),$A410,$A410+1),COLUMN('1-DATA'!AU408)),IF($B410="STD. DEVIATION",2,$F$1))))</f>
        <v/>
      </c>
      <c r="AW410" s="1" t="str">
        <f>IF(OR($B410="",AW$7=""),"",IF($B410="MEANS",INDEX('1-DATA'!$1:$1048576,$A409-1,COLUMN('1-DATA'!AV408)),ROUND(INDEX('1-DATA'!$1:$1048576,IF(OR($B410="STD. DEVIATION",$C$1=1),$A410,$A410+1),COLUMN('1-DATA'!AV408)),IF($B410="STD. DEVIATION",2,$F$1))))</f>
        <v/>
      </c>
      <c r="AX410" s="1" t="str">
        <f>IF(OR($B410="",AX$7=""),"",IF($B410="MEANS",INDEX('1-DATA'!$1:$1048576,$A409-1,COLUMN('1-DATA'!AW408)),ROUND(INDEX('1-DATA'!$1:$1048576,IF(OR($B410="STD. DEVIATION",$C$1=1),$A410,$A410+1),COLUMN('1-DATA'!AW408)),IF($B410="STD. DEVIATION",2,$F$1))))</f>
        <v/>
      </c>
      <c r="AY410" s="1" t="str">
        <f>IF(OR($B410="",AY$7=""),"",IF($B410="MEANS",INDEX('1-DATA'!$1:$1048576,$A409-1,COLUMN('1-DATA'!AX408)),ROUND(INDEX('1-DATA'!$1:$1048576,IF(OR($B410="STD. DEVIATION",$C$1=1),$A410,$A410+1),COLUMN('1-DATA'!AX408)),IF($B410="STD. DEVIATION",2,$F$1))))</f>
        <v/>
      </c>
      <c r="AZ410" s="1" t="str">
        <f>IF(OR($B410="",AZ$7=""),"",IF($B410="MEANS",INDEX('1-DATA'!$1:$1048576,$A409-1,COLUMN('1-DATA'!AY408)),ROUND(INDEX('1-DATA'!$1:$1048576,IF(OR($B410="STD. DEVIATION",$C$1=1),$A410,$A410+1),COLUMN('1-DATA'!AY408)),IF($B410="STD. DEVIATION",2,$F$1))))</f>
        <v/>
      </c>
    </row>
    <row r="411" spans="1:52" x14ac:dyDescent="0.25">
      <c r="A411" s="11">
        <f t="shared" si="6"/>
        <v>1219</v>
      </c>
      <c r="B411" s="1" t="str">
        <f>IF(B410="STD. DEVIATION",INDEX('1-DATA'!$1:$1048576,$A410-1,1),IF(INDEX('1-DATA'!$1:$1048576,$A411,1)&lt;&gt;"",INDEX('1-DATA'!$1:$1048576,$A411,1),""))</f>
        <v/>
      </c>
      <c r="C411" s="1" t="str">
        <f>IF(OR($B411="",C$7=""),"",IF($B411="MEANS",INDEX('1-DATA'!$1:$1048576,$A410-1,COLUMN('1-DATA'!B409)),ROUND(INDEX('1-DATA'!$1:$1048576,IF(OR($B411="STD. DEVIATION",$C$1=1),$A411,$A411+1),COLUMN('1-DATA'!B409)),IF($B411="STD. DEVIATION",2,$F$1))))</f>
        <v/>
      </c>
      <c r="D411" s="1" t="str">
        <f>IF(OR($B411="",D$7=""),"",IF($B411="MEANS",INDEX('1-DATA'!$1:$1048576,$A410-1,COLUMN('1-DATA'!C409)),ROUND(INDEX('1-DATA'!$1:$1048576,IF(OR($B411="STD. DEVIATION",$C$1=1),$A411,$A411+1),COLUMN('1-DATA'!C409)),IF($B411="STD. DEVIATION",2,$F$1))))</f>
        <v/>
      </c>
      <c r="E411" s="1" t="str">
        <f>IF(OR($B411="",E$7=""),"",IF($B411="MEANS",INDEX('1-DATA'!$1:$1048576,$A410-1,COLUMN('1-DATA'!D409)),ROUND(INDEX('1-DATA'!$1:$1048576,IF(OR($B411="STD. DEVIATION",$C$1=1),$A411,$A411+1),COLUMN('1-DATA'!D409)),IF($B411="STD. DEVIATION",2,$F$1))))</f>
        <v/>
      </c>
      <c r="F411" s="1" t="str">
        <f>IF(OR($B411="",F$7=""),"",IF($B411="MEANS",INDEX('1-DATA'!$1:$1048576,$A410-1,COLUMN('1-DATA'!E409)),ROUND(INDEX('1-DATA'!$1:$1048576,IF(OR($B411="STD. DEVIATION",$C$1=1),$A411,$A411+1),COLUMN('1-DATA'!E409)),IF($B411="STD. DEVIATION",2,$F$1))))</f>
        <v/>
      </c>
      <c r="G411" s="1" t="str">
        <f>IF(OR($B411="",G$7=""),"",IF($B411="MEANS",INDEX('1-DATA'!$1:$1048576,$A410-1,COLUMN('1-DATA'!F409)),ROUND(INDEX('1-DATA'!$1:$1048576,IF(OR($B411="STD. DEVIATION",$C$1=1),$A411,$A411+1),COLUMN('1-DATA'!F409)),IF($B411="STD. DEVIATION",2,$F$1))))</f>
        <v/>
      </c>
      <c r="H411" s="1" t="str">
        <f>IF(OR($B411="",H$7=""),"",IF($B411="MEANS",INDEX('1-DATA'!$1:$1048576,$A410-1,COLUMN('1-DATA'!G409)),ROUND(INDEX('1-DATA'!$1:$1048576,IF(OR($B411="STD. DEVIATION",$C$1=1),$A411,$A411+1),COLUMN('1-DATA'!G409)),IF($B411="STD. DEVIATION",2,$F$1))))</f>
        <v/>
      </c>
      <c r="I411" s="1" t="str">
        <f>IF(OR($B411="",I$7=""),"",IF($B411="MEANS",INDEX('1-DATA'!$1:$1048576,$A410-1,COLUMN('1-DATA'!H409)),ROUND(INDEX('1-DATA'!$1:$1048576,IF(OR($B411="STD. DEVIATION",$C$1=1),$A411,$A411+1),COLUMN('1-DATA'!H409)),IF($B411="STD. DEVIATION",2,$F$1))))</f>
        <v/>
      </c>
      <c r="J411" s="1" t="str">
        <f>IF(OR($B411="",J$7=""),"",IF($B411="MEANS",INDEX('1-DATA'!$1:$1048576,$A410-1,COLUMN('1-DATA'!I409)),ROUND(INDEX('1-DATA'!$1:$1048576,IF(OR($B411="STD. DEVIATION",$C$1=1),$A411,$A411+1),COLUMN('1-DATA'!I409)),IF($B411="STD. DEVIATION",2,$F$1))))</f>
        <v/>
      </c>
      <c r="K411" s="1" t="str">
        <f>IF(OR($B411="",K$7=""),"",IF($B411="MEANS",INDEX('1-DATA'!$1:$1048576,$A410-1,COLUMN('1-DATA'!J409)),ROUND(INDEX('1-DATA'!$1:$1048576,IF(OR($B411="STD. DEVIATION",$C$1=1),$A411,$A411+1),COLUMN('1-DATA'!J409)),IF($B411="STD. DEVIATION",2,$F$1))))</f>
        <v/>
      </c>
      <c r="L411" s="1" t="str">
        <f>IF(OR($B411="",L$7=""),"",IF($B411="MEANS",INDEX('1-DATA'!$1:$1048576,$A410-1,COLUMN('1-DATA'!K409)),ROUND(INDEX('1-DATA'!$1:$1048576,IF(OR($B411="STD. DEVIATION",$C$1=1),$A411,$A411+1),COLUMN('1-DATA'!K409)),IF($B411="STD. DEVIATION",2,$F$1))))</f>
        <v/>
      </c>
      <c r="M411" s="1" t="str">
        <f>IF(OR($B411="",M$7=""),"",IF($B411="MEANS",INDEX('1-DATA'!$1:$1048576,$A410-1,COLUMN('1-DATA'!L409)),ROUND(INDEX('1-DATA'!$1:$1048576,IF(OR($B411="STD. DEVIATION",$C$1=1),$A411,$A411+1),COLUMN('1-DATA'!L409)),IF($B411="STD. DEVIATION",2,$F$1))))</f>
        <v/>
      </c>
      <c r="N411" s="1" t="str">
        <f>IF(OR($B411="",N$7=""),"",IF($B411="MEANS",INDEX('1-DATA'!$1:$1048576,$A410-1,COLUMN('1-DATA'!M409)),ROUND(INDEX('1-DATA'!$1:$1048576,IF(OR($B411="STD. DEVIATION",$C$1=1),$A411,$A411+1),COLUMN('1-DATA'!M409)),IF($B411="STD. DEVIATION",2,$F$1))))</f>
        <v/>
      </c>
      <c r="O411" s="1" t="str">
        <f>IF(OR($B411="",O$7=""),"",IF($B411="MEANS",INDEX('1-DATA'!$1:$1048576,$A410-1,COLUMN('1-DATA'!N409)),ROUND(INDEX('1-DATA'!$1:$1048576,IF(OR($B411="STD. DEVIATION",$C$1=1),$A411,$A411+1),COLUMN('1-DATA'!N409)),IF($B411="STD. DEVIATION",2,$F$1))))</f>
        <v/>
      </c>
      <c r="P411" s="1" t="str">
        <f>IF(OR($B411="",P$7=""),"",IF($B411="MEANS",INDEX('1-DATA'!$1:$1048576,$A410-1,COLUMN('1-DATA'!O409)),ROUND(INDEX('1-DATA'!$1:$1048576,IF(OR($B411="STD. DEVIATION",$C$1=1),$A411,$A411+1),COLUMN('1-DATA'!O409)),IF($B411="STD. DEVIATION",2,$F$1))))</f>
        <v/>
      </c>
      <c r="Q411" s="1" t="str">
        <f>IF(OR($B411="",Q$7=""),"",IF($B411="MEANS",INDEX('1-DATA'!$1:$1048576,$A410-1,COLUMN('1-DATA'!P409)),ROUND(INDEX('1-DATA'!$1:$1048576,IF(OR($B411="STD. DEVIATION",$C$1=1),$A411,$A411+1),COLUMN('1-DATA'!P409)),IF($B411="STD. DEVIATION",2,$F$1))))</f>
        <v/>
      </c>
      <c r="R411" s="1" t="str">
        <f>IF(OR($B411="",R$7=""),"",IF($B411="MEANS",INDEX('1-DATA'!$1:$1048576,$A410-1,COLUMN('1-DATA'!Q409)),ROUND(INDEX('1-DATA'!$1:$1048576,IF(OR($B411="STD. DEVIATION",$C$1=1),$A411,$A411+1),COLUMN('1-DATA'!Q409)),IF($B411="STD. DEVIATION",2,$F$1))))</f>
        <v/>
      </c>
      <c r="S411" s="1" t="str">
        <f>IF(OR($B411="",S$7=""),"",IF($B411="MEANS",INDEX('1-DATA'!$1:$1048576,$A410-1,COLUMN('1-DATA'!R409)),ROUND(INDEX('1-DATA'!$1:$1048576,IF(OR($B411="STD. DEVIATION",$C$1=1),$A411,$A411+1),COLUMN('1-DATA'!R409)),IF($B411="STD. DEVIATION",2,$F$1))))</f>
        <v/>
      </c>
      <c r="T411" s="1" t="str">
        <f>IF(OR($B411="",T$7=""),"",IF($B411="MEANS",INDEX('1-DATA'!$1:$1048576,$A410-1,COLUMN('1-DATA'!S409)),ROUND(INDEX('1-DATA'!$1:$1048576,IF(OR($B411="STD. DEVIATION",$C$1=1),$A411,$A411+1),COLUMN('1-DATA'!S409)),IF($B411="STD. DEVIATION",2,$F$1))))</f>
        <v/>
      </c>
      <c r="U411" s="1" t="str">
        <f>IF(OR($B411="",U$7=""),"",IF($B411="MEANS",INDEX('1-DATA'!$1:$1048576,$A410-1,COLUMN('1-DATA'!T409)),ROUND(INDEX('1-DATA'!$1:$1048576,IF(OR($B411="STD. DEVIATION",$C$1=1),$A411,$A411+1),COLUMN('1-DATA'!T409)),IF($B411="STD. DEVIATION",2,$F$1))))</f>
        <v/>
      </c>
      <c r="V411" s="1" t="str">
        <f>IF(OR($B411="",V$7=""),"",IF($B411="MEANS",INDEX('1-DATA'!$1:$1048576,$A410-1,COLUMN('1-DATA'!U409)),ROUND(INDEX('1-DATA'!$1:$1048576,IF(OR($B411="STD. DEVIATION",$C$1=1),$A411,$A411+1),COLUMN('1-DATA'!U409)),IF($B411="STD. DEVIATION",2,$F$1))))</f>
        <v/>
      </c>
      <c r="W411" s="1" t="str">
        <f>IF(OR($B411="",W$7=""),"",IF($B411="MEANS",INDEX('1-DATA'!$1:$1048576,$A410-1,COLUMN('1-DATA'!V409)),ROUND(INDEX('1-DATA'!$1:$1048576,IF(OR($B411="STD. DEVIATION",$C$1=1),$A411,$A411+1),COLUMN('1-DATA'!V409)),IF($B411="STD. DEVIATION",2,$F$1))))</f>
        <v/>
      </c>
      <c r="X411" s="1" t="str">
        <f>IF(OR($B411="",X$7=""),"",IF($B411="MEANS",INDEX('1-DATA'!$1:$1048576,$A410-1,COLUMN('1-DATA'!W409)),ROUND(INDEX('1-DATA'!$1:$1048576,IF(OR($B411="STD. DEVIATION",$C$1=1),$A411,$A411+1),COLUMN('1-DATA'!W409)),IF($B411="STD. DEVIATION",2,$F$1))))</f>
        <v/>
      </c>
      <c r="Y411" s="1" t="str">
        <f>IF(OR($B411="",Y$7=""),"",IF($B411="MEANS",INDEX('1-DATA'!$1:$1048576,$A410-1,COLUMN('1-DATA'!X409)),ROUND(INDEX('1-DATA'!$1:$1048576,IF(OR($B411="STD. DEVIATION",$C$1=1),$A411,$A411+1),COLUMN('1-DATA'!X409)),IF($B411="STD. DEVIATION",2,$F$1))))</f>
        <v/>
      </c>
      <c r="Z411" s="1" t="str">
        <f>IF(OR($B411="",Z$7=""),"",IF($B411="MEANS",INDEX('1-DATA'!$1:$1048576,$A410-1,COLUMN('1-DATA'!Y409)),ROUND(INDEX('1-DATA'!$1:$1048576,IF(OR($B411="STD. DEVIATION",$C$1=1),$A411,$A411+1),COLUMN('1-DATA'!Y409)),IF($B411="STD. DEVIATION",2,$F$1))))</f>
        <v/>
      </c>
      <c r="AA411" s="1" t="str">
        <f>IF(OR($B411="",AA$7=""),"",IF($B411="MEANS",INDEX('1-DATA'!$1:$1048576,$A410-1,COLUMN('1-DATA'!Z409)),ROUND(INDEX('1-DATA'!$1:$1048576,IF(OR($B411="STD. DEVIATION",$C$1=1),$A411,$A411+1),COLUMN('1-DATA'!Z409)),IF($B411="STD. DEVIATION",2,$F$1))))</f>
        <v/>
      </c>
      <c r="AB411" s="1" t="str">
        <f>IF(OR($B411="",AB$7=""),"",IF($B411="MEANS",INDEX('1-DATA'!$1:$1048576,$A410-1,COLUMN('1-DATA'!AA409)),ROUND(INDEX('1-DATA'!$1:$1048576,IF(OR($B411="STD. DEVIATION",$C$1=1),$A411,$A411+1),COLUMN('1-DATA'!AA409)),IF($B411="STD. DEVIATION",2,$F$1))))</f>
        <v/>
      </c>
      <c r="AC411" s="1" t="str">
        <f>IF(OR($B411="",AC$7=""),"",IF($B411="MEANS",INDEX('1-DATA'!$1:$1048576,$A410-1,COLUMN('1-DATA'!AB409)),ROUND(INDEX('1-DATA'!$1:$1048576,IF(OR($B411="STD. DEVIATION",$C$1=1),$A411,$A411+1),COLUMN('1-DATA'!AB409)),IF($B411="STD. DEVIATION",2,$F$1))))</f>
        <v/>
      </c>
      <c r="AD411" s="1" t="str">
        <f>IF(OR($B411="",AD$7=""),"",IF($B411="MEANS",INDEX('1-DATA'!$1:$1048576,$A410-1,COLUMN('1-DATA'!AC409)),ROUND(INDEX('1-DATA'!$1:$1048576,IF(OR($B411="STD. DEVIATION",$C$1=1),$A411,$A411+1),COLUMN('1-DATA'!AC409)),IF($B411="STD. DEVIATION",2,$F$1))))</f>
        <v/>
      </c>
      <c r="AE411" s="1" t="str">
        <f>IF(OR($B411="",AE$7=""),"",IF($B411="MEANS",INDEX('1-DATA'!$1:$1048576,$A410-1,COLUMN('1-DATA'!AD409)),ROUND(INDEX('1-DATA'!$1:$1048576,IF(OR($B411="STD. DEVIATION",$C$1=1),$A411,$A411+1),COLUMN('1-DATA'!AD409)),IF($B411="STD. DEVIATION",2,$F$1))))</f>
        <v/>
      </c>
      <c r="AF411" s="1" t="str">
        <f>IF(OR($B411="",AF$7=""),"",IF($B411="MEANS",INDEX('1-DATA'!$1:$1048576,$A410-1,COLUMN('1-DATA'!AE409)),ROUND(INDEX('1-DATA'!$1:$1048576,IF(OR($B411="STD. DEVIATION",$C$1=1),$A411,$A411+1),COLUMN('1-DATA'!AE409)),IF($B411="STD. DEVIATION",2,$F$1))))</f>
        <v/>
      </c>
      <c r="AG411" s="1" t="str">
        <f>IF(OR($B411="",AG$7=""),"",IF($B411="MEANS",INDEX('1-DATA'!$1:$1048576,$A410-1,COLUMN('1-DATA'!AF409)),ROUND(INDEX('1-DATA'!$1:$1048576,IF(OR($B411="STD. DEVIATION",$C$1=1),$A411,$A411+1),COLUMN('1-DATA'!AF409)),IF($B411="STD. DEVIATION",2,$F$1))))</f>
        <v/>
      </c>
      <c r="AH411" s="1" t="str">
        <f>IF(OR($B411="",AH$7=""),"",IF($B411="MEANS",INDEX('1-DATA'!$1:$1048576,$A410-1,COLUMN('1-DATA'!AG409)),ROUND(INDEX('1-DATA'!$1:$1048576,IF(OR($B411="STD. DEVIATION",$C$1=1),$A411,$A411+1),COLUMN('1-DATA'!AG409)),IF($B411="STD. DEVIATION",2,$F$1))))</f>
        <v/>
      </c>
      <c r="AI411" s="1" t="str">
        <f>IF(OR($B411="",AI$7=""),"",IF($B411="MEANS",INDEX('1-DATA'!$1:$1048576,$A410-1,COLUMN('1-DATA'!AH409)),ROUND(INDEX('1-DATA'!$1:$1048576,IF(OR($B411="STD. DEVIATION",$C$1=1),$A411,$A411+1),COLUMN('1-DATA'!AH409)),IF($B411="STD. DEVIATION",2,$F$1))))</f>
        <v/>
      </c>
      <c r="AJ411" s="1" t="str">
        <f>IF(OR($B411="",AJ$7=""),"",IF($B411="MEANS",INDEX('1-DATA'!$1:$1048576,$A410-1,COLUMN('1-DATA'!AI409)),ROUND(INDEX('1-DATA'!$1:$1048576,IF(OR($B411="STD. DEVIATION",$C$1=1),$A411,$A411+1),COLUMN('1-DATA'!AI409)),IF($B411="STD. DEVIATION",2,$F$1))))</f>
        <v/>
      </c>
      <c r="AK411" s="1" t="str">
        <f>IF(OR($B411="",AK$7=""),"",IF($B411="MEANS",INDEX('1-DATA'!$1:$1048576,$A410-1,COLUMN('1-DATA'!AJ409)),ROUND(INDEX('1-DATA'!$1:$1048576,IF(OR($B411="STD. DEVIATION",$C$1=1),$A411,$A411+1),COLUMN('1-DATA'!AJ409)),IF($B411="STD. DEVIATION",2,$F$1))))</f>
        <v/>
      </c>
      <c r="AL411" s="1" t="str">
        <f>IF(OR($B411="",AL$7=""),"",IF($B411="MEANS",INDEX('1-DATA'!$1:$1048576,$A410-1,COLUMN('1-DATA'!AK409)),ROUND(INDEX('1-DATA'!$1:$1048576,IF(OR($B411="STD. DEVIATION",$C$1=1),$A411,$A411+1),COLUMN('1-DATA'!AK409)),IF($B411="STD. DEVIATION",2,$F$1))))</f>
        <v/>
      </c>
      <c r="AM411" s="1" t="str">
        <f>IF(OR($B411="",AM$7=""),"",IF($B411="MEANS",INDEX('1-DATA'!$1:$1048576,$A410-1,COLUMN('1-DATA'!AL409)),ROUND(INDEX('1-DATA'!$1:$1048576,IF(OR($B411="STD. DEVIATION",$C$1=1),$A411,$A411+1),COLUMN('1-DATA'!AL409)),IF($B411="STD. DEVIATION",2,$F$1))))</f>
        <v/>
      </c>
      <c r="AN411" s="1" t="str">
        <f>IF(OR($B411="",AN$7=""),"",IF($B411="MEANS",INDEX('1-DATA'!$1:$1048576,$A410-1,COLUMN('1-DATA'!AM409)),ROUND(INDEX('1-DATA'!$1:$1048576,IF(OR($B411="STD. DEVIATION",$C$1=1),$A411,$A411+1),COLUMN('1-DATA'!AM409)),IF($B411="STD. DEVIATION",2,$F$1))))</f>
        <v/>
      </c>
      <c r="AO411" s="1" t="str">
        <f>IF(OR($B411="",AO$7=""),"",IF($B411="MEANS",INDEX('1-DATA'!$1:$1048576,$A410-1,COLUMN('1-DATA'!AN409)),ROUND(INDEX('1-DATA'!$1:$1048576,IF(OR($B411="STD. DEVIATION",$C$1=1),$A411,$A411+1),COLUMN('1-DATA'!AN409)),IF($B411="STD. DEVIATION",2,$F$1))))</f>
        <v/>
      </c>
      <c r="AP411" s="1" t="str">
        <f>IF(OR($B411="",AP$7=""),"",IF($B411="MEANS",INDEX('1-DATA'!$1:$1048576,$A410-1,COLUMN('1-DATA'!AO409)),ROUND(INDEX('1-DATA'!$1:$1048576,IF(OR($B411="STD. DEVIATION",$C$1=1),$A411,$A411+1),COLUMN('1-DATA'!AO409)),IF($B411="STD. DEVIATION",2,$F$1))))</f>
        <v/>
      </c>
      <c r="AQ411" s="1" t="str">
        <f>IF(OR($B411="",AQ$7=""),"",IF($B411="MEANS",INDEX('1-DATA'!$1:$1048576,$A410-1,COLUMN('1-DATA'!AP409)),ROUND(INDEX('1-DATA'!$1:$1048576,IF(OR($B411="STD. DEVIATION",$C$1=1),$A411,$A411+1),COLUMN('1-DATA'!AP409)),IF($B411="STD. DEVIATION",2,$F$1))))</f>
        <v/>
      </c>
      <c r="AR411" s="1" t="str">
        <f>IF(OR($B411="",AR$7=""),"",IF($B411="MEANS",INDEX('1-DATA'!$1:$1048576,$A410-1,COLUMN('1-DATA'!AQ409)),ROUND(INDEX('1-DATA'!$1:$1048576,IF(OR($B411="STD. DEVIATION",$C$1=1),$A411,$A411+1),COLUMN('1-DATA'!AQ409)),IF($B411="STD. DEVIATION",2,$F$1))))</f>
        <v/>
      </c>
      <c r="AS411" s="1" t="str">
        <f>IF(OR($B411="",AS$7=""),"",IF($B411="MEANS",INDEX('1-DATA'!$1:$1048576,$A410-1,COLUMN('1-DATA'!AR409)),ROUND(INDEX('1-DATA'!$1:$1048576,IF(OR($B411="STD. DEVIATION",$C$1=1),$A411,$A411+1),COLUMN('1-DATA'!AR409)),IF($B411="STD. DEVIATION",2,$F$1))))</f>
        <v/>
      </c>
      <c r="AT411" s="1" t="str">
        <f>IF(OR($B411="",AT$7=""),"",IF($B411="MEANS",INDEX('1-DATA'!$1:$1048576,$A410-1,COLUMN('1-DATA'!AS409)),ROUND(INDEX('1-DATA'!$1:$1048576,IF(OR($B411="STD. DEVIATION",$C$1=1),$A411,$A411+1),COLUMN('1-DATA'!AS409)),IF($B411="STD. DEVIATION",2,$F$1))))</f>
        <v/>
      </c>
      <c r="AU411" s="1" t="str">
        <f>IF(OR($B411="",AU$7=""),"",IF($B411="MEANS",INDEX('1-DATA'!$1:$1048576,$A410-1,COLUMN('1-DATA'!AT409)),ROUND(INDEX('1-DATA'!$1:$1048576,IF(OR($B411="STD. DEVIATION",$C$1=1),$A411,$A411+1),COLUMN('1-DATA'!AT409)),IF($B411="STD. DEVIATION",2,$F$1))))</f>
        <v/>
      </c>
      <c r="AV411" s="1" t="str">
        <f>IF(OR($B411="",AV$7=""),"",IF($B411="MEANS",INDEX('1-DATA'!$1:$1048576,$A410-1,COLUMN('1-DATA'!AU409)),ROUND(INDEX('1-DATA'!$1:$1048576,IF(OR($B411="STD. DEVIATION",$C$1=1),$A411,$A411+1),COLUMN('1-DATA'!AU409)),IF($B411="STD. DEVIATION",2,$F$1))))</f>
        <v/>
      </c>
      <c r="AW411" s="1" t="str">
        <f>IF(OR($B411="",AW$7=""),"",IF($B411="MEANS",INDEX('1-DATA'!$1:$1048576,$A410-1,COLUMN('1-DATA'!AV409)),ROUND(INDEX('1-DATA'!$1:$1048576,IF(OR($B411="STD. DEVIATION",$C$1=1),$A411,$A411+1),COLUMN('1-DATA'!AV409)),IF($B411="STD. DEVIATION",2,$F$1))))</f>
        <v/>
      </c>
      <c r="AX411" s="1" t="str">
        <f>IF(OR($B411="",AX$7=""),"",IF($B411="MEANS",INDEX('1-DATA'!$1:$1048576,$A410-1,COLUMN('1-DATA'!AW409)),ROUND(INDEX('1-DATA'!$1:$1048576,IF(OR($B411="STD. DEVIATION",$C$1=1),$A411,$A411+1),COLUMN('1-DATA'!AW409)),IF($B411="STD. DEVIATION",2,$F$1))))</f>
        <v/>
      </c>
      <c r="AY411" s="1" t="str">
        <f>IF(OR($B411="",AY$7=""),"",IF($B411="MEANS",INDEX('1-DATA'!$1:$1048576,$A410-1,COLUMN('1-DATA'!AX409)),ROUND(INDEX('1-DATA'!$1:$1048576,IF(OR($B411="STD. DEVIATION",$C$1=1),$A411,$A411+1),COLUMN('1-DATA'!AX409)),IF($B411="STD. DEVIATION",2,$F$1))))</f>
        <v/>
      </c>
      <c r="AZ411" s="1" t="str">
        <f>IF(OR($B411="",AZ$7=""),"",IF($B411="MEANS",INDEX('1-DATA'!$1:$1048576,$A410-1,COLUMN('1-DATA'!AY409)),ROUND(INDEX('1-DATA'!$1:$1048576,IF(OR($B411="STD. DEVIATION",$C$1=1),$A411,$A411+1),COLUMN('1-DATA'!AY409)),IF($B411="STD. DEVIATION",2,$F$1))))</f>
        <v/>
      </c>
    </row>
    <row r="412" spans="1:52" x14ac:dyDescent="0.25">
      <c r="A412" s="11">
        <f t="shared" si="6"/>
        <v>1222</v>
      </c>
      <c r="B412" s="1" t="str">
        <f>IF(B411="STD. DEVIATION",INDEX('1-DATA'!$1:$1048576,$A411-1,1),IF(INDEX('1-DATA'!$1:$1048576,$A412,1)&lt;&gt;"",INDEX('1-DATA'!$1:$1048576,$A412,1),""))</f>
        <v/>
      </c>
      <c r="C412" s="1" t="str">
        <f>IF(OR($B412="",C$7=""),"",IF($B412="MEANS",INDEX('1-DATA'!$1:$1048576,$A411-1,COLUMN('1-DATA'!B410)),ROUND(INDEX('1-DATA'!$1:$1048576,IF(OR($B412="STD. DEVIATION",$C$1=1),$A412,$A412+1),COLUMN('1-DATA'!B410)),IF($B412="STD. DEVIATION",2,$F$1))))</f>
        <v/>
      </c>
      <c r="D412" s="1" t="str">
        <f>IF(OR($B412="",D$7=""),"",IF($B412="MEANS",INDEX('1-DATA'!$1:$1048576,$A411-1,COLUMN('1-DATA'!C410)),ROUND(INDEX('1-DATA'!$1:$1048576,IF(OR($B412="STD. DEVIATION",$C$1=1),$A412,$A412+1),COLUMN('1-DATA'!C410)),IF($B412="STD. DEVIATION",2,$F$1))))</f>
        <v/>
      </c>
      <c r="E412" s="1" t="str">
        <f>IF(OR($B412="",E$7=""),"",IF($B412="MEANS",INDEX('1-DATA'!$1:$1048576,$A411-1,COLUMN('1-DATA'!D410)),ROUND(INDEX('1-DATA'!$1:$1048576,IF(OR($B412="STD. DEVIATION",$C$1=1),$A412,$A412+1),COLUMN('1-DATA'!D410)),IF($B412="STD. DEVIATION",2,$F$1))))</f>
        <v/>
      </c>
      <c r="F412" s="1" t="str">
        <f>IF(OR($B412="",F$7=""),"",IF($B412="MEANS",INDEX('1-DATA'!$1:$1048576,$A411-1,COLUMN('1-DATA'!E410)),ROUND(INDEX('1-DATA'!$1:$1048576,IF(OR($B412="STD. DEVIATION",$C$1=1),$A412,$A412+1),COLUMN('1-DATA'!E410)),IF($B412="STD. DEVIATION",2,$F$1))))</f>
        <v/>
      </c>
      <c r="G412" s="1" t="str">
        <f>IF(OR($B412="",G$7=""),"",IF($B412="MEANS",INDEX('1-DATA'!$1:$1048576,$A411-1,COLUMN('1-DATA'!F410)),ROUND(INDEX('1-DATA'!$1:$1048576,IF(OR($B412="STD. DEVIATION",$C$1=1),$A412,$A412+1),COLUMN('1-DATA'!F410)),IF($B412="STD. DEVIATION",2,$F$1))))</f>
        <v/>
      </c>
      <c r="H412" s="1" t="str">
        <f>IF(OR($B412="",H$7=""),"",IF($B412="MEANS",INDEX('1-DATA'!$1:$1048576,$A411-1,COLUMN('1-DATA'!G410)),ROUND(INDEX('1-DATA'!$1:$1048576,IF(OR($B412="STD. DEVIATION",$C$1=1),$A412,$A412+1),COLUMN('1-DATA'!G410)),IF($B412="STD. DEVIATION",2,$F$1))))</f>
        <v/>
      </c>
      <c r="I412" s="1" t="str">
        <f>IF(OR($B412="",I$7=""),"",IF($B412="MEANS",INDEX('1-DATA'!$1:$1048576,$A411-1,COLUMN('1-DATA'!H410)),ROUND(INDEX('1-DATA'!$1:$1048576,IF(OR($B412="STD. DEVIATION",$C$1=1),$A412,$A412+1),COLUMN('1-DATA'!H410)),IF($B412="STD. DEVIATION",2,$F$1))))</f>
        <v/>
      </c>
      <c r="J412" s="1" t="str">
        <f>IF(OR($B412="",J$7=""),"",IF($B412="MEANS",INDEX('1-DATA'!$1:$1048576,$A411-1,COLUMN('1-DATA'!I410)),ROUND(INDEX('1-DATA'!$1:$1048576,IF(OR($B412="STD. DEVIATION",$C$1=1),$A412,$A412+1),COLUMN('1-DATA'!I410)),IF($B412="STD. DEVIATION",2,$F$1))))</f>
        <v/>
      </c>
      <c r="K412" s="1" t="str">
        <f>IF(OR($B412="",K$7=""),"",IF($B412="MEANS",INDEX('1-DATA'!$1:$1048576,$A411-1,COLUMN('1-DATA'!J410)),ROUND(INDEX('1-DATA'!$1:$1048576,IF(OR($B412="STD. DEVIATION",$C$1=1),$A412,$A412+1),COLUMN('1-DATA'!J410)),IF($B412="STD. DEVIATION",2,$F$1))))</f>
        <v/>
      </c>
      <c r="L412" s="1" t="str">
        <f>IF(OR($B412="",L$7=""),"",IF($B412="MEANS",INDEX('1-DATA'!$1:$1048576,$A411-1,COLUMN('1-DATA'!K410)),ROUND(INDEX('1-DATA'!$1:$1048576,IF(OR($B412="STD. DEVIATION",$C$1=1),$A412,$A412+1),COLUMN('1-DATA'!K410)),IF($B412="STD. DEVIATION",2,$F$1))))</f>
        <v/>
      </c>
      <c r="M412" s="1" t="str">
        <f>IF(OR($B412="",M$7=""),"",IF($B412="MEANS",INDEX('1-DATA'!$1:$1048576,$A411-1,COLUMN('1-DATA'!L410)),ROUND(INDEX('1-DATA'!$1:$1048576,IF(OR($B412="STD. DEVIATION",$C$1=1),$A412,$A412+1),COLUMN('1-DATA'!L410)),IF($B412="STD. DEVIATION",2,$F$1))))</f>
        <v/>
      </c>
      <c r="N412" s="1" t="str">
        <f>IF(OR($B412="",N$7=""),"",IF($B412="MEANS",INDEX('1-DATA'!$1:$1048576,$A411-1,COLUMN('1-DATA'!M410)),ROUND(INDEX('1-DATA'!$1:$1048576,IF(OR($B412="STD. DEVIATION",$C$1=1),$A412,$A412+1),COLUMN('1-DATA'!M410)),IF($B412="STD. DEVIATION",2,$F$1))))</f>
        <v/>
      </c>
      <c r="O412" s="1" t="str">
        <f>IF(OR($B412="",O$7=""),"",IF($B412="MEANS",INDEX('1-DATA'!$1:$1048576,$A411-1,COLUMN('1-DATA'!N410)),ROUND(INDEX('1-DATA'!$1:$1048576,IF(OR($B412="STD. DEVIATION",$C$1=1),$A412,$A412+1),COLUMN('1-DATA'!N410)),IF($B412="STD. DEVIATION",2,$F$1))))</f>
        <v/>
      </c>
      <c r="P412" s="1" t="str">
        <f>IF(OR($B412="",P$7=""),"",IF($B412="MEANS",INDEX('1-DATA'!$1:$1048576,$A411-1,COLUMN('1-DATA'!O410)),ROUND(INDEX('1-DATA'!$1:$1048576,IF(OR($B412="STD. DEVIATION",$C$1=1),$A412,$A412+1),COLUMN('1-DATA'!O410)),IF($B412="STD. DEVIATION",2,$F$1))))</f>
        <v/>
      </c>
      <c r="Q412" s="1" t="str">
        <f>IF(OR($B412="",Q$7=""),"",IF($B412="MEANS",INDEX('1-DATA'!$1:$1048576,$A411-1,COLUMN('1-DATA'!P410)),ROUND(INDEX('1-DATA'!$1:$1048576,IF(OR($B412="STD. DEVIATION",$C$1=1),$A412,$A412+1),COLUMN('1-DATA'!P410)),IF($B412="STD. DEVIATION",2,$F$1))))</f>
        <v/>
      </c>
      <c r="R412" s="1" t="str">
        <f>IF(OR($B412="",R$7=""),"",IF($B412="MEANS",INDEX('1-DATA'!$1:$1048576,$A411-1,COLUMN('1-DATA'!Q410)),ROUND(INDEX('1-DATA'!$1:$1048576,IF(OR($B412="STD. DEVIATION",$C$1=1),$A412,$A412+1),COLUMN('1-DATA'!Q410)),IF($B412="STD. DEVIATION",2,$F$1))))</f>
        <v/>
      </c>
      <c r="S412" s="1" t="str">
        <f>IF(OR($B412="",S$7=""),"",IF($B412="MEANS",INDEX('1-DATA'!$1:$1048576,$A411-1,COLUMN('1-DATA'!R410)),ROUND(INDEX('1-DATA'!$1:$1048576,IF(OR($B412="STD. DEVIATION",$C$1=1),$A412,$A412+1),COLUMN('1-DATA'!R410)),IF($B412="STD. DEVIATION",2,$F$1))))</f>
        <v/>
      </c>
      <c r="T412" s="1" t="str">
        <f>IF(OR($B412="",T$7=""),"",IF($B412="MEANS",INDEX('1-DATA'!$1:$1048576,$A411-1,COLUMN('1-DATA'!S410)),ROUND(INDEX('1-DATA'!$1:$1048576,IF(OR($B412="STD. DEVIATION",$C$1=1),$A412,$A412+1),COLUMN('1-DATA'!S410)),IF($B412="STD. DEVIATION",2,$F$1))))</f>
        <v/>
      </c>
      <c r="U412" s="1" t="str">
        <f>IF(OR($B412="",U$7=""),"",IF($B412="MEANS",INDEX('1-DATA'!$1:$1048576,$A411-1,COLUMN('1-DATA'!T410)),ROUND(INDEX('1-DATA'!$1:$1048576,IF(OR($B412="STD. DEVIATION",$C$1=1),$A412,$A412+1),COLUMN('1-DATA'!T410)),IF($B412="STD. DEVIATION",2,$F$1))))</f>
        <v/>
      </c>
      <c r="V412" s="1" t="str">
        <f>IF(OR($B412="",V$7=""),"",IF($B412="MEANS",INDEX('1-DATA'!$1:$1048576,$A411-1,COLUMN('1-DATA'!U410)),ROUND(INDEX('1-DATA'!$1:$1048576,IF(OR($B412="STD. DEVIATION",$C$1=1),$A412,$A412+1),COLUMN('1-DATA'!U410)),IF($B412="STD. DEVIATION",2,$F$1))))</f>
        <v/>
      </c>
      <c r="W412" s="1" t="str">
        <f>IF(OR($B412="",W$7=""),"",IF($B412="MEANS",INDEX('1-DATA'!$1:$1048576,$A411-1,COLUMN('1-DATA'!V410)),ROUND(INDEX('1-DATA'!$1:$1048576,IF(OR($B412="STD. DEVIATION",$C$1=1),$A412,$A412+1),COLUMN('1-DATA'!V410)),IF($B412="STD. DEVIATION",2,$F$1))))</f>
        <v/>
      </c>
      <c r="X412" s="1" t="str">
        <f>IF(OR($B412="",X$7=""),"",IF($B412="MEANS",INDEX('1-DATA'!$1:$1048576,$A411-1,COLUMN('1-DATA'!W410)),ROUND(INDEX('1-DATA'!$1:$1048576,IF(OR($B412="STD. DEVIATION",$C$1=1),$A412,$A412+1),COLUMN('1-DATA'!W410)),IF($B412="STD. DEVIATION",2,$F$1))))</f>
        <v/>
      </c>
      <c r="Y412" s="1" t="str">
        <f>IF(OR($B412="",Y$7=""),"",IF($B412="MEANS",INDEX('1-DATA'!$1:$1048576,$A411-1,COLUMN('1-DATA'!X410)),ROUND(INDEX('1-DATA'!$1:$1048576,IF(OR($B412="STD. DEVIATION",$C$1=1),$A412,$A412+1),COLUMN('1-DATA'!X410)),IF($B412="STD. DEVIATION",2,$F$1))))</f>
        <v/>
      </c>
      <c r="Z412" s="1" t="str">
        <f>IF(OR($B412="",Z$7=""),"",IF($B412="MEANS",INDEX('1-DATA'!$1:$1048576,$A411-1,COLUMN('1-DATA'!Y410)),ROUND(INDEX('1-DATA'!$1:$1048576,IF(OR($B412="STD. DEVIATION",$C$1=1),$A412,$A412+1),COLUMN('1-DATA'!Y410)),IF($B412="STD. DEVIATION",2,$F$1))))</f>
        <v/>
      </c>
      <c r="AA412" s="1" t="str">
        <f>IF(OR($B412="",AA$7=""),"",IF($B412="MEANS",INDEX('1-DATA'!$1:$1048576,$A411-1,COLUMN('1-DATA'!Z410)),ROUND(INDEX('1-DATA'!$1:$1048576,IF(OR($B412="STD. DEVIATION",$C$1=1),$A412,$A412+1),COLUMN('1-DATA'!Z410)),IF($B412="STD. DEVIATION",2,$F$1))))</f>
        <v/>
      </c>
      <c r="AB412" s="1" t="str">
        <f>IF(OR($B412="",AB$7=""),"",IF($B412="MEANS",INDEX('1-DATA'!$1:$1048576,$A411-1,COLUMN('1-DATA'!AA410)),ROUND(INDEX('1-DATA'!$1:$1048576,IF(OR($B412="STD. DEVIATION",$C$1=1),$A412,$A412+1),COLUMN('1-DATA'!AA410)),IF($B412="STD. DEVIATION",2,$F$1))))</f>
        <v/>
      </c>
      <c r="AC412" s="1" t="str">
        <f>IF(OR($B412="",AC$7=""),"",IF($B412="MEANS",INDEX('1-DATA'!$1:$1048576,$A411-1,COLUMN('1-DATA'!AB410)),ROUND(INDEX('1-DATA'!$1:$1048576,IF(OR($B412="STD. DEVIATION",$C$1=1),$A412,$A412+1),COLUMN('1-DATA'!AB410)),IF($B412="STD. DEVIATION",2,$F$1))))</f>
        <v/>
      </c>
      <c r="AD412" s="1" t="str">
        <f>IF(OR($B412="",AD$7=""),"",IF($B412="MEANS",INDEX('1-DATA'!$1:$1048576,$A411-1,COLUMN('1-DATA'!AC410)),ROUND(INDEX('1-DATA'!$1:$1048576,IF(OR($B412="STD. DEVIATION",$C$1=1),$A412,$A412+1),COLUMN('1-DATA'!AC410)),IF($B412="STD. DEVIATION",2,$F$1))))</f>
        <v/>
      </c>
      <c r="AE412" s="1" t="str">
        <f>IF(OR($B412="",AE$7=""),"",IF($B412="MEANS",INDEX('1-DATA'!$1:$1048576,$A411-1,COLUMN('1-DATA'!AD410)),ROUND(INDEX('1-DATA'!$1:$1048576,IF(OR($B412="STD. DEVIATION",$C$1=1),$A412,$A412+1),COLUMN('1-DATA'!AD410)),IF($B412="STD. DEVIATION",2,$F$1))))</f>
        <v/>
      </c>
      <c r="AF412" s="1" t="str">
        <f>IF(OR($B412="",AF$7=""),"",IF($B412="MEANS",INDEX('1-DATA'!$1:$1048576,$A411-1,COLUMN('1-DATA'!AE410)),ROUND(INDEX('1-DATA'!$1:$1048576,IF(OR($B412="STD. DEVIATION",$C$1=1),$A412,$A412+1),COLUMN('1-DATA'!AE410)),IF($B412="STD. DEVIATION",2,$F$1))))</f>
        <v/>
      </c>
      <c r="AG412" s="1" t="str">
        <f>IF(OR($B412="",AG$7=""),"",IF($B412="MEANS",INDEX('1-DATA'!$1:$1048576,$A411-1,COLUMN('1-DATA'!AF410)),ROUND(INDEX('1-DATA'!$1:$1048576,IF(OR($B412="STD. DEVIATION",$C$1=1),$A412,$A412+1),COLUMN('1-DATA'!AF410)),IF($B412="STD. DEVIATION",2,$F$1))))</f>
        <v/>
      </c>
      <c r="AH412" s="1" t="str">
        <f>IF(OR($B412="",AH$7=""),"",IF($B412="MEANS",INDEX('1-DATA'!$1:$1048576,$A411-1,COLUMN('1-DATA'!AG410)),ROUND(INDEX('1-DATA'!$1:$1048576,IF(OR($B412="STD. DEVIATION",$C$1=1),$A412,$A412+1),COLUMN('1-DATA'!AG410)),IF($B412="STD. DEVIATION",2,$F$1))))</f>
        <v/>
      </c>
      <c r="AI412" s="1" t="str">
        <f>IF(OR($B412="",AI$7=""),"",IF($B412="MEANS",INDEX('1-DATA'!$1:$1048576,$A411-1,COLUMN('1-DATA'!AH410)),ROUND(INDEX('1-DATA'!$1:$1048576,IF(OR($B412="STD. DEVIATION",$C$1=1),$A412,$A412+1),COLUMN('1-DATA'!AH410)),IF($B412="STD. DEVIATION",2,$F$1))))</f>
        <v/>
      </c>
      <c r="AJ412" s="1" t="str">
        <f>IF(OR($B412="",AJ$7=""),"",IF($B412="MEANS",INDEX('1-DATA'!$1:$1048576,$A411-1,COLUMN('1-DATA'!AI410)),ROUND(INDEX('1-DATA'!$1:$1048576,IF(OR($B412="STD. DEVIATION",$C$1=1),$A412,$A412+1),COLUMN('1-DATA'!AI410)),IF($B412="STD. DEVIATION",2,$F$1))))</f>
        <v/>
      </c>
      <c r="AK412" s="1" t="str">
        <f>IF(OR($B412="",AK$7=""),"",IF($B412="MEANS",INDEX('1-DATA'!$1:$1048576,$A411-1,COLUMN('1-DATA'!AJ410)),ROUND(INDEX('1-DATA'!$1:$1048576,IF(OR($B412="STD. DEVIATION",$C$1=1),$A412,$A412+1),COLUMN('1-DATA'!AJ410)),IF($B412="STD. DEVIATION",2,$F$1))))</f>
        <v/>
      </c>
      <c r="AL412" s="1" t="str">
        <f>IF(OR($B412="",AL$7=""),"",IF($B412="MEANS",INDEX('1-DATA'!$1:$1048576,$A411-1,COLUMN('1-DATA'!AK410)),ROUND(INDEX('1-DATA'!$1:$1048576,IF(OR($B412="STD. DEVIATION",$C$1=1),$A412,$A412+1),COLUMN('1-DATA'!AK410)),IF($B412="STD. DEVIATION",2,$F$1))))</f>
        <v/>
      </c>
      <c r="AM412" s="1" t="str">
        <f>IF(OR($B412="",AM$7=""),"",IF($B412="MEANS",INDEX('1-DATA'!$1:$1048576,$A411-1,COLUMN('1-DATA'!AL410)),ROUND(INDEX('1-DATA'!$1:$1048576,IF(OR($B412="STD. DEVIATION",$C$1=1),$A412,$A412+1),COLUMN('1-DATA'!AL410)),IF($B412="STD. DEVIATION",2,$F$1))))</f>
        <v/>
      </c>
      <c r="AN412" s="1" t="str">
        <f>IF(OR($B412="",AN$7=""),"",IF($B412="MEANS",INDEX('1-DATA'!$1:$1048576,$A411-1,COLUMN('1-DATA'!AM410)),ROUND(INDEX('1-DATA'!$1:$1048576,IF(OR($B412="STD. DEVIATION",$C$1=1),$A412,$A412+1),COLUMN('1-DATA'!AM410)),IF($B412="STD. DEVIATION",2,$F$1))))</f>
        <v/>
      </c>
      <c r="AO412" s="1" t="str">
        <f>IF(OR($B412="",AO$7=""),"",IF($B412="MEANS",INDEX('1-DATA'!$1:$1048576,$A411-1,COLUMN('1-DATA'!AN410)),ROUND(INDEX('1-DATA'!$1:$1048576,IF(OR($B412="STD. DEVIATION",$C$1=1),$A412,$A412+1),COLUMN('1-DATA'!AN410)),IF($B412="STD. DEVIATION",2,$F$1))))</f>
        <v/>
      </c>
      <c r="AP412" s="1" t="str">
        <f>IF(OR($B412="",AP$7=""),"",IF($B412="MEANS",INDEX('1-DATA'!$1:$1048576,$A411-1,COLUMN('1-DATA'!AO410)),ROUND(INDEX('1-DATA'!$1:$1048576,IF(OR($B412="STD. DEVIATION",$C$1=1),$A412,$A412+1),COLUMN('1-DATA'!AO410)),IF($B412="STD. DEVIATION",2,$F$1))))</f>
        <v/>
      </c>
      <c r="AQ412" s="1" t="str">
        <f>IF(OR($B412="",AQ$7=""),"",IF($B412="MEANS",INDEX('1-DATA'!$1:$1048576,$A411-1,COLUMN('1-DATA'!AP410)),ROUND(INDEX('1-DATA'!$1:$1048576,IF(OR($B412="STD. DEVIATION",$C$1=1),$A412,$A412+1),COLUMN('1-DATA'!AP410)),IF($B412="STD. DEVIATION",2,$F$1))))</f>
        <v/>
      </c>
      <c r="AR412" s="1" t="str">
        <f>IF(OR($B412="",AR$7=""),"",IF($B412="MEANS",INDEX('1-DATA'!$1:$1048576,$A411-1,COLUMN('1-DATA'!AQ410)),ROUND(INDEX('1-DATA'!$1:$1048576,IF(OR($B412="STD. DEVIATION",$C$1=1),$A412,$A412+1),COLUMN('1-DATA'!AQ410)),IF($B412="STD. DEVIATION",2,$F$1))))</f>
        <v/>
      </c>
      <c r="AS412" s="1" t="str">
        <f>IF(OR($B412="",AS$7=""),"",IF($B412="MEANS",INDEX('1-DATA'!$1:$1048576,$A411-1,COLUMN('1-DATA'!AR410)),ROUND(INDEX('1-DATA'!$1:$1048576,IF(OR($B412="STD. DEVIATION",$C$1=1),$A412,$A412+1),COLUMN('1-DATA'!AR410)),IF($B412="STD. DEVIATION",2,$F$1))))</f>
        <v/>
      </c>
      <c r="AT412" s="1" t="str">
        <f>IF(OR($B412="",AT$7=""),"",IF($B412="MEANS",INDEX('1-DATA'!$1:$1048576,$A411-1,COLUMN('1-DATA'!AS410)),ROUND(INDEX('1-DATA'!$1:$1048576,IF(OR($B412="STD. DEVIATION",$C$1=1),$A412,$A412+1),COLUMN('1-DATA'!AS410)),IF($B412="STD. DEVIATION",2,$F$1))))</f>
        <v/>
      </c>
      <c r="AU412" s="1" t="str">
        <f>IF(OR($B412="",AU$7=""),"",IF($B412="MEANS",INDEX('1-DATA'!$1:$1048576,$A411-1,COLUMN('1-DATA'!AT410)),ROUND(INDEX('1-DATA'!$1:$1048576,IF(OR($B412="STD. DEVIATION",$C$1=1),$A412,$A412+1),COLUMN('1-DATA'!AT410)),IF($B412="STD. DEVIATION",2,$F$1))))</f>
        <v/>
      </c>
      <c r="AV412" s="1" t="str">
        <f>IF(OR($B412="",AV$7=""),"",IF($B412="MEANS",INDEX('1-DATA'!$1:$1048576,$A411-1,COLUMN('1-DATA'!AU410)),ROUND(INDEX('1-DATA'!$1:$1048576,IF(OR($B412="STD. DEVIATION",$C$1=1),$A412,$A412+1),COLUMN('1-DATA'!AU410)),IF($B412="STD. DEVIATION",2,$F$1))))</f>
        <v/>
      </c>
      <c r="AW412" s="1" t="str">
        <f>IF(OR($B412="",AW$7=""),"",IF($B412="MEANS",INDEX('1-DATA'!$1:$1048576,$A411-1,COLUMN('1-DATA'!AV410)),ROUND(INDEX('1-DATA'!$1:$1048576,IF(OR($B412="STD. DEVIATION",$C$1=1),$A412,$A412+1),COLUMN('1-DATA'!AV410)),IF($B412="STD. DEVIATION",2,$F$1))))</f>
        <v/>
      </c>
      <c r="AX412" s="1" t="str">
        <f>IF(OR($B412="",AX$7=""),"",IF($B412="MEANS",INDEX('1-DATA'!$1:$1048576,$A411-1,COLUMN('1-DATA'!AW410)),ROUND(INDEX('1-DATA'!$1:$1048576,IF(OR($B412="STD. DEVIATION",$C$1=1),$A412,$A412+1),COLUMN('1-DATA'!AW410)),IF($B412="STD. DEVIATION",2,$F$1))))</f>
        <v/>
      </c>
      <c r="AY412" s="1" t="str">
        <f>IF(OR($B412="",AY$7=""),"",IF($B412="MEANS",INDEX('1-DATA'!$1:$1048576,$A411-1,COLUMN('1-DATA'!AX410)),ROUND(INDEX('1-DATA'!$1:$1048576,IF(OR($B412="STD. DEVIATION",$C$1=1),$A412,$A412+1),COLUMN('1-DATA'!AX410)),IF($B412="STD. DEVIATION",2,$F$1))))</f>
        <v/>
      </c>
      <c r="AZ412" s="1" t="str">
        <f>IF(OR($B412="",AZ$7=""),"",IF($B412="MEANS",INDEX('1-DATA'!$1:$1048576,$A411-1,COLUMN('1-DATA'!AY410)),ROUND(INDEX('1-DATA'!$1:$1048576,IF(OR($B412="STD. DEVIATION",$C$1=1),$A412,$A412+1),COLUMN('1-DATA'!AY410)),IF($B412="STD. DEVIATION",2,$F$1))))</f>
        <v/>
      </c>
    </row>
    <row r="413" spans="1:52" x14ac:dyDescent="0.25">
      <c r="A413" s="11">
        <f t="shared" si="6"/>
        <v>1225</v>
      </c>
      <c r="B413" s="1" t="str">
        <f>IF(B412="STD. DEVIATION",INDEX('1-DATA'!$1:$1048576,$A412-1,1),IF(INDEX('1-DATA'!$1:$1048576,$A413,1)&lt;&gt;"",INDEX('1-DATA'!$1:$1048576,$A413,1),""))</f>
        <v/>
      </c>
      <c r="C413" s="1" t="str">
        <f>IF(OR($B413="",C$7=""),"",IF($B413="MEANS",INDEX('1-DATA'!$1:$1048576,$A412-1,COLUMN('1-DATA'!B411)),ROUND(INDEX('1-DATA'!$1:$1048576,IF(OR($B413="STD. DEVIATION",$C$1=1),$A413,$A413+1),COLUMN('1-DATA'!B411)),IF($B413="STD. DEVIATION",2,$F$1))))</f>
        <v/>
      </c>
      <c r="D413" s="1" t="str">
        <f>IF(OR($B413="",D$7=""),"",IF($B413="MEANS",INDEX('1-DATA'!$1:$1048576,$A412-1,COLUMN('1-DATA'!C411)),ROUND(INDEX('1-DATA'!$1:$1048576,IF(OR($B413="STD. DEVIATION",$C$1=1),$A413,$A413+1),COLUMN('1-DATA'!C411)),IF($B413="STD. DEVIATION",2,$F$1))))</f>
        <v/>
      </c>
      <c r="E413" s="1" t="str">
        <f>IF(OR($B413="",E$7=""),"",IF($B413="MEANS",INDEX('1-DATA'!$1:$1048576,$A412-1,COLUMN('1-DATA'!D411)),ROUND(INDEX('1-DATA'!$1:$1048576,IF(OR($B413="STD. DEVIATION",$C$1=1),$A413,$A413+1),COLUMN('1-DATA'!D411)),IF($B413="STD. DEVIATION",2,$F$1))))</f>
        <v/>
      </c>
      <c r="F413" s="1" t="str">
        <f>IF(OR($B413="",F$7=""),"",IF($B413="MEANS",INDEX('1-DATA'!$1:$1048576,$A412-1,COLUMN('1-DATA'!E411)),ROUND(INDEX('1-DATA'!$1:$1048576,IF(OR($B413="STD. DEVIATION",$C$1=1),$A413,$A413+1),COLUMN('1-DATA'!E411)),IF($B413="STD. DEVIATION",2,$F$1))))</f>
        <v/>
      </c>
      <c r="G413" s="1" t="str">
        <f>IF(OR($B413="",G$7=""),"",IF($B413="MEANS",INDEX('1-DATA'!$1:$1048576,$A412-1,COLUMN('1-DATA'!F411)),ROUND(INDEX('1-DATA'!$1:$1048576,IF(OR($B413="STD. DEVIATION",$C$1=1),$A413,$A413+1),COLUMN('1-DATA'!F411)),IF($B413="STD. DEVIATION",2,$F$1))))</f>
        <v/>
      </c>
      <c r="H413" s="1" t="str">
        <f>IF(OR($B413="",H$7=""),"",IF($B413="MEANS",INDEX('1-DATA'!$1:$1048576,$A412-1,COLUMN('1-DATA'!G411)),ROUND(INDEX('1-DATA'!$1:$1048576,IF(OR($B413="STD. DEVIATION",$C$1=1),$A413,$A413+1),COLUMN('1-DATA'!G411)),IF($B413="STD. DEVIATION",2,$F$1))))</f>
        <v/>
      </c>
      <c r="I413" s="1" t="str">
        <f>IF(OR($B413="",I$7=""),"",IF($B413="MEANS",INDEX('1-DATA'!$1:$1048576,$A412-1,COLUMN('1-DATA'!H411)),ROUND(INDEX('1-DATA'!$1:$1048576,IF(OR($B413="STD. DEVIATION",$C$1=1),$A413,$A413+1),COLUMN('1-DATA'!H411)),IF($B413="STD. DEVIATION",2,$F$1))))</f>
        <v/>
      </c>
      <c r="J413" s="1" t="str">
        <f>IF(OR($B413="",J$7=""),"",IF($B413="MEANS",INDEX('1-DATA'!$1:$1048576,$A412-1,COLUMN('1-DATA'!I411)),ROUND(INDEX('1-DATA'!$1:$1048576,IF(OR($B413="STD. DEVIATION",$C$1=1),$A413,$A413+1),COLUMN('1-DATA'!I411)),IF($B413="STD. DEVIATION",2,$F$1))))</f>
        <v/>
      </c>
      <c r="K413" s="1" t="str">
        <f>IF(OR($B413="",K$7=""),"",IF($B413="MEANS",INDEX('1-DATA'!$1:$1048576,$A412-1,COLUMN('1-DATA'!J411)),ROUND(INDEX('1-DATA'!$1:$1048576,IF(OR($B413="STD. DEVIATION",$C$1=1),$A413,$A413+1),COLUMN('1-DATA'!J411)),IF($B413="STD. DEVIATION",2,$F$1))))</f>
        <v/>
      </c>
      <c r="L413" s="1" t="str">
        <f>IF(OR($B413="",L$7=""),"",IF($B413="MEANS",INDEX('1-DATA'!$1:$1048576,$A412-1,COLUMN('1-DATA'!K411)),ROUND(INDEX('1-DATA'!$1:$1048576,IF(OR($B413="STD. DEVIATION",$C$1=1),$A413,$A413+1),COLUMN('1-DATA'!K411)),IF($B413="STD. DEVIATION",2,$F$1))))</f>
        <v/>
      </c>
      <c r="M413" s="1" t="str">
        <f>IF(OR($B413="",M$7=""),"",IF($B413="MEANS",INDEX('1-DATA'!$1:$1048576,$A412-1,COLUMN('1-DATA'!L411)),ROUND(INDEX('1-DATA'!$1:$1048576,IF(OR($B413="STD. DEVIATION",$C$1=1),$A413,$A413+1),COLUMN('1-DATA'!L411)),IF($B413="STD. DEVIATION",2,$F$1))))</f>
        <v/>
      </c>
      <c r="N413" s="1" t="str">
        <f>IF(OR($B413="",N$7=""),"",IF($B413="MEANS",INDEX('1-DATA'!$1:$1048576,$A412-1,COLUMN('1-DATA'!M411)),ROUND(INDEX('1-DATA'!$1:$1048576,IF(OR($B413="STD. DEVIATION",$C$1=1),$A413,$A413+1),COLUMN('1-DATA'!M411)),IF($B413="STD. DEVIATION",2,$F$1))))</f>
        <v/>
      </c>
      <c r="O413" s="1" t="str">
        <f>IF(OR($B413="",O$7=""),"",IF($B413="MEANS",INDEX('1-DATA'!$1:$1048576,$A412-1,COLUMN('1-DATA'!N411)),ROUND(INDEX('1-DATA'!$1:$1048576,IF(OR($B413="STD. DEVIATION",$C$1=1),$A413,$A413+1),COLUMN('1-DATA'!N411)),IF($B413="STD. DEVIATION",2,$F$1))))</f>
        <v/>
      </c>
      <c r="P413" s="1" t="str">
        <f>IF(OR($B413="",P$7=""),"",IF($B413="MEANS",INDEX('1-DATA'!$1:$1048576,$A412-1,COLUMN('1-DATA'!O411)),ROUND(INDEX('1-DATA'!$1:$1048576,IF(OR($B413="STD. DEVIATION",$C$1=1),$A413,$A413+1),COLUMN('1-DATA'!O411)),IF($B413="STD. DEVIATION",2,$F$1))))</f>
        <v/>
      </c>
      <c r="Q413" s="1" t="str">
        <f>IF(OR($B413="",Q$7=""),"",IF($B413="MEANS",INDEX('1-DATA'!$1:$1048576,$A412-1,COLUMN('1-DATA'!P411)),ROUND(INDEX('1-DATA'!$1:$1048576,IF(OR($B413="STD. DEVIATION",$C$1=1),$A413,$A413+1),COLUMN('1-DATA'!P411)),IF($B413="STD. DEVIATION",2,$F$1))))</f>
        <v/>
      </c>
      <c r="R413" s="1" t="str">
        <f>IF(OR($B413="",R$7=""),"",IF($B413="MEANS",INDEX('1-DATA'!$1:$1048576,$A412-1,COLUMN('1-DATA'!Q411)),ROUND(INDEX('1-DATA'!$1:$1048576,IF(OR($B413="STD. DEVIATION",$C$1=1),$A413,$A413+1),COLUMN('1-DATA'!Q411)),IF($B413="STD. DEVIATION",2,$F$1))))</f>
        <v/>
      </c>
      <c r="S413" s="1" t="str">
        <f>IF(OR($B413="",S$7=""),"",IF($B413="MEANS",INDEX('1-DATA'!$1:$1048576,$A412-1,COLUMN('1-DATA'!R411)),ROUND(INDEX('1-DATA'!$1:$1048576,IF(OR($B413="STD. DEVIATION",$C$1=1),$A413,$A413+1),COLUMN('1-DATA'!R411)),IF($B413="STD. DEVIATION",2,$F$1))))</f>
        <v/>
      </c>
      <c r="T413" s="1" t="str">
        <f>IF(OR($B413="",T$7=""),"",IF($B413="MEANS",INDEX('1-DATA'!$1:$1048576,$A412-1,COLUMN('1-DATA'!S411)),ROUND(INDEX('1-DATA'!$1:$1048576,IF(OR($B413="STD. DEVIATION",$C$1=1),$A413,$A413+1),COLUMN('1-DATA'!S411)),IF($B413="STD. DEVIATION",2,$F$1))))</f>
        <v/>
      </c>
      <c r="U413" s="1" t="str">
        <f>IF(OR($B413="",U$7=""),"",IF($B413="MEANS",INDEX('1-DATA'!$1:$1048576,$A412-1,COLUMN('1-DATA'!T411)),ROUND(INDEX('1-DATA'!$1:$1048576,IF(OR($B413="STD. DEVIATION",$C$1=1),$A413,$A413+1),COLUMN('1-DATA'!T411)),IF($B413="STD. DEVIATION",2,$F$1))))</f>
        <v/>
      </c>
      <c r="V413" s="1" t="str">
        <f>IF(OR($B413="",V$7=""),"",IF($B413="MEANS",INDEX('1-DATA'!$1:$1048576,$A412-1,COLUMN('1-DATA'!U411)),ROUND(INDEX('1-DATA'!$1:$1048576,IF(OR($B413="STD. DEVIATION",$C$1=1),$A413,$A413+1),COLUMN('1-DATA'!U411)),IF($B413="STD. DEVIATION",2,$F$1))))</f>
        <v/>
      </c>
      <c r="W413" s="1" t="str">
        <f>IF(OR($B413="",W$7=""),"",IF($B413="MEANS",INDEX('1-DATA'!$1:$1048576,$A412-1,COLUMN('1-DATA'!V411)),ROUND(INDEX('1-DATA'!$1:$1048576,IF(OR($B413="STD. DEVIATION",$C$1=1),$A413,$A413+1),COLUMN('1-DATA'!V411)),IF($B413="STD. DEVIATION",2,$F$1))))</f>
        <v/>
      </c>
      <c r="X413" s="1" t="str">
        <f>IF(OR($B413="",X$7=""),"",IF($B413="MEANS",INDEX('1-DATA'!$1:$1048576,$A412-1,COLUMN('1-DATA'!W411)),ROUND(INDEX('1-DATA'!$1:$1048576,IF(OR($B413="STD. DEVIATION",$C$1=1),$A413,$A413+1),COLUMN('1-DATA'!W411)),IF($B413="STD. DEVIATION",2,$F$1))))</f>
        <v/>
      </c>
      <c r="Y413" s="1" t="str">
        <f>IF(OR($B413="",Y$7=""),"",IF($B413="MEANS",INDEX('1-DATA'!$1:$1048576,$A412-1,COLUMN('1-DATA'!X411)),ROUND(INDEX('1-DATA'!$1:$1048576,IF(OR($B413="STD. DEVIATION",$C$1=1),$A413,$A413+1),COLUMN('1-DATA'!X411)),IF($B413="STD. DEVIATION",2,$F$1))))</f>
        <v/>
      </c>
      <c r="Z413" s="1" t="str">
        <f>IF(OR($B413="",Z$7=""),"",IF($B413="MEANS",INDEX('1-DATA'!$1:$1048576,$A412-1,COLUMN('1-DATA'!Y411)),ROUND(INDEX('1-DATA'!$1:$1048576,IF(OR($B413="STD. DEVIATION",$C$1=1),$A413,$A413+1),COLUMN('1-DATA'!Y411)),IF($B413="STD. DEVIATION",2,$F$1))))</f>
        <v/>
      </c>
      <c r="AA413" s="1" t="str">
        <f>IF(OR($B413="",AA$7=""),"",IF($B413="MEANS",INDEX('1-DATA'!$1:$1048576,$A412-1,COLUMN('1-DATA'!Z411)),ROUND(INDEX('1-DATA'!$1:$1048576,IF(OR($B413="STD. DEVIATION",$C$1=1),$A413,$A413+1),COLUMN('1-DATA'!Z411)),IF($B413="STD. DEVIATION",2,$F$1))))</f>
        <v/>
      </c>
      <c r="AB413" s="1" t="str">
        <f>IF(OR($B413="",AB$7=""),"",IF($B413="MEANS",INDEX('1-DATA'!$1:$1048576,$A412-1,COLUMN('1-DATA'!AA411)),ROUND(INDEX('1-DATA'!$1:$1048576,IF(OR($B413="STD. DEVIATION",$C$1=1),$A413,$A413+1),COLUMN('1-DATA'!AA411)),IF($B413="STD. DEVIATION",2,$F$1))))</f>
        <v/>
      </c>
      <c r="AC413" s="1" t="str">
        <f>IF(OR($B413="",AC$7=""),"",IF($B413="MEANS",INDEX('1-DATA'!$1:$1048576,$A412-1,COLUMN('1-DATA'!AB411)),ROUND(INDEX('1-DATA'!$1:$1048576,IF(OR($B413="STD. DEVIATION",$C$1=1),$A413,$A413+1),COLUMN('1-DATA'!AB411)),IF($B413="STD. DEVIATION",2,$F$1))))</f>
        <v/>
      </c>
      <c r="AD413" s="1" t="str">
        <f>IF(OR($B413="",AD$7=""),"",IF($B413="MEANS",INDEX('1-DATA'!$1:$1048576,$A412-1,COLUMN('1-DATA'!AC411)),ROUND(INDEX('1-DATA'!$1:$1048576,IF(OR($B413="STD. DEVIATION",$C$1=1),$A413,$A413+1),COLUMN('1-DATA'!AC411)),IF($B413="STD. DEVIATION",2,$F$1))))</f>
        <v/>
      </c>
      <c r="AE413" s="1" t="str">
        <f>IF(OR($B413="",AE$7=""),"",IF($B413="MEANS",INDEX('1-DATA'!$1:$1048576,$A412-1,COLUMN('1-DATA'!AD411)),ROUND(INDEX('1-DATA'!$1:$1048576,IF(OR($B413="STD. DEVIATION",$C$1=1),$A413,$A413+1),COLUMN('1-DATA'!AD411)),IF($B413="STD. DEVIATION",2,$F$1))))</f>
        <v/>
      </c>
      <c r="AF413" s="1" t="str">
        <f>IF(OR($B413="",AF$7=""),"",IF($B413="MEANS",INDEX('1-DATA'!$1:$1048576,$A412-1,COLUMN('1-DATA'!AE411)),ROUND(INDEX('1-DATA'!$1:$1048576,IF(OR($B413="STD. DEVIATION",$C$1=1),$A413,$A413+1),COLUMN('1-DATA'!AE411)),IF($B413="STD. DEVIATION",2,$F$1))))</f>
        <v/>
      </c>
      <c r="AG413" s="1" t="str">
        <f>IF(OR($B413="",AG$7=""),"",IF($B413="MEANS",INDEX('1-DATA'!$1:$1048576,$A412-1,COLUMN('1-DATA'!AF411)),ROUND(INDEX('1-DATA'!$1:$1048576,IF(OR($B413="STD. DEVIATION",$C$1=1),$A413,$A413+1),COLUMN('1-DATA'!AF411)),IF($B413="STD. DEVIATION",2,$F$1))))</f>
        <v/>
      </c>
      <c r="AH413" s="1" t="str">
        <f>IF(OR($B413="",AH$7=""),"",IF($B413="MEANS",INDEX('1-DATA'!$1:$1048576,$A412-1,COLUMN('1-DATA'!AG411)),ROUND(INDEX('1-DATA'!$1:$1048576,IF(OR($B413="STD. DEVIATION",$C$1=1),$A413,$A413+1),COLUMN('1-DATA'!AG411)),IF($B413="STD. DEVIATION",2,$F$1))))</f>
        <v/>
      </c>
      <c r="AI413" s="1" t="str">
        <f>IF(OR($B413="",AI$7=""),"",IF($B413="MEANS",INDEX('1-DATA'!$1:$1048576,$A412-1,COLUMN('1-DATA'!AH411)),ROUND(INDEX('1-DATA'!$1:$1048576,IF(OR($B413="STD. DEVIATION",$C$1=1),$A413,$A413+1),COLUMN('1-DATA'!AH411)),IF($B413="STD. DEVIATION",2,$F$1))))</f>
        <v/>
      </c>
      <c r="AJ413" s="1" t="str">
        <f>IF(OR($B413="",AJ$7=""),"",IF($B413="MEANS",INDEX('1-DATA'!$1:$1048576,$A412-1,COLUMN('1-DATA'!AI411)),ROUND(INDEX('1-DATA'!$1:$1048576,IF(OR($B413="STD. DEVIATION",$C$1=1),$A413,$A413+1),COLUMN('1-DATA'!AI411)),IF($B413="STD. DEVIATION",2,$F$1))))</f>
        <v/>
      </c>
      <c r="AK413" s="1" t="str">
        <f>IF(OR($B413="",AK$7=""),"",IF($B413="MEANS",INDEX('1-DATA'!$1:$1048576,$A412-1,COLUMN('1-DATA'!AJ411)),ROUND(INDEX('1-DATA'!$1:$1048576,IF(OR($B413="STD. DEVIATION",$C$1=1),$A413,$A413+1),COLUMN('1-DATA'!AJ411)),IF($B413="STD. DEVIATION",2,$F$1))))</f>
        <v/>
      </c>
      <c r="AL413" s="1" t="str">
        <f>IF(OR($B413="",AL$7=""),"",IF($B413="MEANS",INDEX('1-DATA'!$1:$1048576,$A412-1,COLUMN('1-DATA'!AK411)),ROUND(INDEX('1-DATA'!$1:$1048576,IF(OR($B413="STD. DEVIATION",$C$1=1),$A413,$A413+1),COLUMN('1-DATA'!AK411)),IF($B413="STD. DEVIATION",2,$F$1))))</f>
        <v/>
      </c>
      <c r="AM413" s="1" t="str">
        <f>IF(OR($B413="",AM$7=""),"",IF($B413="MEANS",INDEX('1-DATA'!$1:$1048576,$A412-1,COLUMN('1-DATA'!AL411)),ROUND(INDEX('1-DATA'!$1:$1048576,IF(OR($B413="STD. DEVIATION",$C$1=1),$A413,$A413+1),COLUMN('1-DATA'!AL411)),IF($B413="STD. DEVIATION",2,$F$1))))</f>
        <v/>
      </c>
      <c r="AN413" s="1" t="str">
        <f>IF(OR($B413="",AN$7=""),"",IF($B413="MEANS",INDEX('1-DATA'!$1:$1048576,$A412-1,COLUMN('1-DATA'!AM411)),ROUND(INDEX('1-DATA'!$1:$1048576,IF(OR($B413="STD. DEVIATION",$C$1=1),$A413,$A413+1),COLUMN('1-DATA'!AM411)),IF($B413="STD. DEVIATION",2,$F$1))))</f>
        <v/>
      </c>
      <c r="AO413" s="1" t="str">
        <f>IF(OR($B413="",AO$7=""),"",IF($B413="MEANS",INDEX('1-DATA'!$1:$1048576,$A412-1,COLUMN('1-DATA'!AN411)),ROUND(INDEX('1-DATA'!$1:$1048576,IF(OR($B413="STD. DEVIATION",$C$1=1),$A413,$A413+1),COLUMN('1-DATA'!AN411)),IF($B413="STD. DEVIATION",2,$F$1))))</f>
        <v/>
      </c>
      <c r="AP413" s="1" t="str">
        <f>IF(OR($B413="",AP$7=""),"",IF($B413="MEANS",INDEX('1-DATA'!$1:$1048576,$A412-1,COLUMN('1-DATA'!AO411)),ROUND(INDEX('1-DATA'!$1:$1048576,IF(OR($B413="STD. DEVIATION",$C$1=1),$A413,$A413+1),COLUMN('1-DATA'!AO411)),IF($B413="STD. DEVIATION",2,$F$1))))</f>
        <v/>
      </c>
      <c r="AQ413" s="1" t="str">
        <f>IF(OR($B413="",AQ$7=""),"",IF($B413="MEANS",INDEX('1-DATA'!$1:$1048576,$A412-1,COLUMN('1-DATA'!AP411)),ROUND(INDEX('1-DATA'!$1:$1048576,IF(OR($B413="STD. DEVIATION",$C$1=1),$A413,$A413+1),COLUMN('1-DATA'!AP411)),IF($B413="STD. DEVIATION",2,$F$1))))</f>
        <v/>
      </c>
      <c r="AR413" s="1" t="str">
        <f>IF(OR($B413="",AR$7=""),"",IF($B413="MEANS",INDEX('1-DATA'!$1:$1048576,$A412-1,COLUMN('1-DATA'!AQ411)),ROUND(INDEX('1-DATA'!$1:$1048576,IF(OR($B413="STD. DEVIATION",$C$1=1),$A413,$A413+1),COLUMN('1-DATA'!AQ411)),IF($B413="STD. DEVIATION",2,$F$1))))</f>
        <v/>
      </c>
      <c r="AS413" s="1" t="str">
        <f>IF(OR($B413="",AS$7=""),"",IF($B413="MEANS",INDEX('1-DATA'!$1:$1048576,$A412-1,COLUMN('1-DATA'!AR411)),ROUND(INDEX('1-DATA'!$1:$1048576,IF(OR($B413="STD. DEVIATION",$C$1=1),$A413,$A413+1),COLUMN('1-DATA'!AR411)),IF($B413="STD. DEVIATION",2,$F$1))))</f>
        <v/>
      </c>
      <c r="AT413" s="1" t="str">
        <f>IF(OR($B413="",AT$7=""),"",IF($B413="MEANS",INDEX('1-DATA'!$1:$1048576,$A412-1,COLUMN('1-DATA'!AS411)),ROUND(INDEX('1-DATA'!$1:$1048576,IF(OR($B413="STD. DEVIATION",$C$1=1),$A413,$A413+1),COLUMN('1-DATA'!AS411)),IF($B413="STD. DEVIATION",2,$F$1))))</f>
        <v/>
      </c>
      <c r="AU413" s="1" t="str">
        <f>IF(OR($B413="",AU$7=""),"",IF($B413="MEANS",INDEX('1-DATA'!$1:$1048576,$A412-1,COLUMN('1-DATA'!AT411)),ROUND(INDEX('1-DATA'!$1:$1048576,IF(OR($B413="STD. DEVIATION",$C$1=1),$A413,$A413+1),COLUMN('1-DATA'!AT411)),IF($B413="STD. DEVIATION",2,$F$1))))</f>
        <v/>
      </c>
      <c r="AV413" s="1" t="str">
        <f>IF(OR($B413="",AV$7=""),"",IF($B413="MEANS",INDEX('1-DATA'!$1:$1048576,$A412-1,COLUMN('1-DATA'!AU411)),ROUND(INDEX('1-DATA'!$1:$1048576,IF(OR($B413="STD. DEVIATION",$C$1=1),$A413,$A413+1),COLUMN('1-DATA'!AU411)),IF($B413="STD. DEVIATION",2,$F$1))))</f>
        <v/>
      </c>
      <c r="AW413" s="1" t="str">
        <f>IF(OR($B413="",AW$7=""),"",IF($B413="MEANS",INDEX('1-DATA'!$1:$1048576,$A412-1,COLUMN('1-DATA'!AV411)),ROUND(INDEX('1-DATA'!$1:$1048576,IF(OR($B413="STD. DEVIATION",$C$1=1),$A413,$A413+1),COLUMN('1-DATA'!AV411)),IF($B413="STD. DEVIATION",2,$F$1))))</f>
        <v/>
      </c>
      <c r="AX413" s="1" t="str">
        <f>IF(OR($B413="",AX$7=""),"",IF($B413="MEANS",INDEX('1-DATA'!$1:$1048576,$A412-1,COLUMN('1-DATA'!AW411)),ROUND(INDEX('1-DATA'!$1:$1048576,IF(OR($B413="STD. DEVIATION",$C$1=1),$A413,$A413+1),COLUMN('1-DATA'!AW411)),IF($B413="STD. DEVIATION",2,$F$1))))</f>
        <v/>
      </c>
      <c r="AY413" s="1" t="str">
        <f>IF(OR($B413="",AY$7=""),"",IF($B413="MEANS",INDEX('1-DATA'!$1:$1048576,$A412-1,COLUMN('1-DATA'!AX411)),ROUND(INDEX('1-DATA'!$1:$1048576,IF(OR($B413="STD. DEVIATION",$C$1=1),$A413,$A413+1),COLUMN('1-DATA'!AX411)),IF($B413="STD. DEVIATION",2,$F$1))))</f>
        <v/>
      </c>
      <c r="AZ413" s="1" t="str">
        <f>IF(OR($B413="",AZ$7=""),"",IF($B413="MEANS",INDEX('1-DATA'!$1:$1048576,$A412-1,COLUMN('1-DATA'!AY411)),ROUND(INDEX('1-DATA'!$1:$1048576,IF(OR($B413="STD. DEVIATION",$C$1=1),$A413,$A413+1),COLUMN('1-DATA'!AY411)),IF($B413="STD. DEVIATION",2,$F$1))))</f>
        <v/>
      </c>
    </row>
    <row r="414" spans="1:52" x14ac:dyDescent="0.25">
      <c r="A414" s="11">
        <f t="shared" ref="A414:A477" si="7">A413+3</f>
        <v>1228</v>
      </c>
      <c r="B414" s="1" t="str">
        <f>IF(B413="STD. DEVIATION",INDEX('1-DATA'!$1:$1048576,$A413-1,1),IF(INDEX('1-DATA'!$1:$1048576,$A414,1)&lt;&gt;"",INDEX('1-DATA'!$1:$1048576,$A414,1),""))</f>
        <v/>
      </c>
      <c r="C414" s="1" t="str">
        <f>IF(OR($B414="",C$7=""),"",IF($B414="MEANS",INDEX('1-DATA'!$1:$1048576,$A413-1,COLUMN('1-DATA'!B412)),ROUND(INDEX('1-DATA'!$1:$1048576,IF(OR($B414="STD. DEVIATION",$C$1=1),$A414,$A414+1),COLUMN('1-DATA'!B412)),IF($B414="STD. DEVIATION",2,$F$1))))</f>
        <v/>
      </c>
      <c r="D414" s="1" t="str">
        <f>IF(OR($B414="",D$7=""),"",IF($B414="MEANS",INDEX('1-DATA'!$1:$1048576,$A413-1,COLUMN('1-DATA'!C412)),ROUND(INDEX('1-DATA'!$1:$1048576,IF(OR($B414="STD. DEVIATION",$C$1=1),$A414,$A414+1),COLUMN('1-DATA'!C412)),IF($B414="STD. DEVIATION",2,$F$1))))</f>
        <v/>
      </c>
      <c r="E414" s="1" t="str">
        <f>IF(OR($B414="",E$7=""),"",IF($B414="MEANS",INDEX('1-DATA'!$1:$1048576,$A413-1,COLUMN('1-DATA'!D412)),ROUND(INDEX('1-DATA'!$1:$1048576,IF(OR($B414="STD. DEVIATION",$C$1=1),$A414,$A414+1),COLUMN('1-DATA'!D412)),IF($B414="STD. DEVIATION",2,$F$1))))</f>
        <v/>
      </c>
      <c r="F414" s="1" t="str">
        <f>IF(OR($B414="",F$7=""),"",IF($B414="MEANS",INDEX('1-DATA'!$1:$1048576,$A413-1,COLUMN('1-DATA'!E412)),ROUND(INDEX('1-DATA'!$1:$1048576,IF(OR($B414="STD. DEVIATION",$C$1=1),$A414,$A414+1),COLUMN('1-DATA'!E412)),IF($B414="STD. DEVIATION",2,$F$1))))</f>
        <v/>
      </c>
      <c r="G414" s="1" t="str">
        <f>IF(OR($B414="",G$7=""),"",IF($B414="MEANS",INDEX('1-DATA'!$1:$1048576,$A413-1,COLUMN('1-DATA'!F412)),ROUND(INDEX('1-DATA'!$1:$1048576,IF(OR($B414="STD. DEVIATION",$C$1=1),$A414,$A414+1),COLUMN('1-DATA'!F412)),IF($B414="STD. DEVIATION",2,$F$1))))</f>
        <v/>
      </c>
      <c r="H414" s="1" t="str">
        <f>IF(OR($B414="",H$7=""),"",IF($B414="MEANS",INDEX('1-DATA'!$1:$1048576,$A413-1,COLUMN('1-DATA'!G412)),ROUND(INDEX('1-DATA'!$1:$1048576,IF(OR($B414="STD. DEVIATION",$C$1=1),$A414,$A414+1),COLUMN('1-DATA'!G412)),IF($B414="STD. DEVIATION",2,$F$1))))</f>
        <v/>
      </c>
      <c r="I414" s="1" t="str">
        <f>IF(OR($B414="",I$7=""),"",IF($B414="MEANS",INDEX('1-DATA'!$1:$1048576,$A413-1,COLUMN('1-DATA'!H412)),ROUND(INDEX('1-DATA'!$1:$1048576,IF(OR($B414="STD. DEVIATION",$C$1=1),$A414,$A414+1),COLUMN('1-DATA'!H412)),IF($B414="STD. DEVIATION",2,$F$1))))</f>
        <v/>
      </c>
      <c r="J414" s="1" t="str">
        <f>IF(OR($B414="",J$7=""),"",IF($B414="MEANS",INDEX('1-DATA'!$1:$1048576,$A413-1,COLUMN('1-DATA'!I412)),ROUND(INDEX('1-DATA'!$1:$1048576,IF(OR($B414="STD. DEVIATION",$C$1=1),$A414,$A414+1),COLUMN('1-DATA'!I412)),IF($B414="STD. DEVIATION",2,$F$1))))</f>
        <v/>
      </c>
      <c r="K414" s="1" t="str">
        <f>IF(OR($B414="",K$7=""),"",IF($B414="MEANS",INDEX('1-DATA'!$1:$1048576,$A413-1,COLUMN('1-DATA'!J412)),ROUND(INDEX('1-DATA'!$1:$1048576,IF(OR($B414="STD. DEVIATION",$C$1=1),$A414,$A414+1),COLUMN('1-DATA'!J412)),IF($B414="STD. DEVIATION",2,$F$1))))</f>
        <v/>
      </c>
      <c r="L414" s="1" t="str">
        <f>IF(OR($B414="",L$7=""),"",IF($B414="MEANS",INDEX('1-DATA'!$1:$1048576,$A413-1,COLUMN('1-DATA'!K412)),ROUND(INDEX('1-DATA'!$1:$1048576,IF(OR($B414="STD. DEVIATION",$C$1=1),$A414,$A414+1),COLUMN('1-DATA'!K412)),IF($B414="STD. DEVIATION",2,$F$1))))</f>
        <v/>
      </c>
      <c r="M414" s="1" t="str">
        <f>IF(OR($B414="",M$7=""),"",IF($B414="MEANS",INDEX('1-DATA'!$1:$1048576,$A413-1,COLUMN('1-DATA'!L412)),ROUND(INDEX('1-DATA'!$1:$1048576,IF(OR($B414="STD. DEVIATION",$C$1=1),$A414,$A414+1),COLUMN('1-DATA'!L412)),IF($B414="STD. DEVIATION",2,$F$1))))</f>
        <v/>
      </c>
      <c r="N414" s="1" t="str">
        <f>IF(OR($B414="",N$7=""),"",IF($B414="MEANS",INDEX('1-DATA'!$1:$1048576,$A413-1,COLUMN('1-DATA'!M412)),ROUND(INDEX('1-DATA'!$1:$1048576,IF(OR($B414="STD. DEVIATION",$C$1=1),$A414,$A414+1),COLUMN('1-DATA'!M412)),IF($B414="STD. DEVIATION",2,$F$1))))</f>
        <v/>
      </c>
      <c r="O414" s="1" t="str">
        <f>IF(OR($B414="",O$7=""),"",IF($B414="MEANS",INDEX('1-DATA'!$1:$1048576,$A413-1,COLUMN('1-DATA'!N412)),ROUND(INDEX('1-DATA'!$1:$1048576,IF(OR($B414="STD. DEVIATION",$C$1=1),$A414,$A414+1),COLUMN('1-DATA'!N412)),IF($B414="STD. DEVIATION",2,$F$1))))</f>
        <v/>
      </c>
      <c r="P414" s="1" t="str">
        <f>IF(OR($B414="",P$7=""),"",IF($B414="MEANS",INDEX('1-DATA'!$1:$1048576,$A413-1,COLUMN('1-DATA'!O412)),ROUND(INDEX('1-DATA'!$1:$1048576,IF(OR($B414="STD. DEVIATION",$C$1=1),$A414,$A414+1),COLUMN('1-DATA'!O412)),IF($B414="STD. DEVIATION",2,$F$1))))</f>
        <v/>
      </c>
      <c r="Q414" s="1" t="str">
        <f>IF(OR($B414="",Q$7=""),"",IF($B414="MEANS",INDEX('1-DATA'!$1:$1048576,$A413-1,COLUMN('1-DATA'!P412)),ROUND(INDEX('1-DATA'!$1:$1048576,IF(OR($B414="STD. DEVIATION",$C$1=1),$A414,$A414+1),COLUMN('1-DATA'!P412)),IF($B414="STD. DEVIATION",2,$F$1))))</f>
        <v/>
      </c>
      <c r="R414" s="1" t="str">
        <f>IF(OR($B414="",R$7=""),"",IF($B414="MEANS",INDEX('1-DATA'!$1:$1048576,$A413-1,COLUMN('1-DATA'!Q412)),ROUND(INDEX('1-DATA'!$1:$1048576,IF(OR($B414="STD. DEVIATION",$C$1=1),$A414,$A414+1),COLUMN('1-DATA'!Q412)),IF($B414="STD. DEVIATION",2,$F$1))))</f>
        <v/>
      </c>
      <c r="S414" s="1" t="str">
        <f>IF(OR($B414="",S$7=""),"",IF($B414="MEANS",INDEX('1-DATA'!$1:$1048576,$A413-1,COLUMN('1-DATA'!R412)),ROUND(INDEX('1-DATA'!$1:$1048576,IF(OR($B414="STD. DEVIATION",$C$1=1),$A414,$A414+1),COLUMN('1-DATA'!R412)),IF($B414="STD. DEVIATION",2,$F$1))))</f>
        <v/>
      </c>
      <c r="T414" s="1" t="str">
        <f>IF(OR($B414="",T$7=""),"",IF($B414="MEANS",INDEX('1-DATA'!$1:$1048576,$A413-1,COLUMN('1-DATA'!S412)),ROUND(INDEX('1-DATA'!$1:$1048576,IF(OR($B414="STD. DEVIATION",$C$1=1),$A414,$A414+1),COLUMN('1-DATA'!S412)),IF($B414="STD. DEVIATION",2,$F$1))))</f>
        <v/>
      </c>
      <c r="U414" s="1" t="str">
        <f>IF(OR($B414="",U$7=""),"",IF($B414="MEANS",INDEX('1-DATA'!$1:$1048576,$A413-1,COLUMN('1-DATA'!T412)),ROUND(INDEX('1-DATA'!$1:$1048576,IF(OR($B414="STD. DEVIATION",$C$1=1),$A414,$A414+1),COLUMN('1-DATA'!T412)),IF($B414="STD. DEVIATION",2,$F$1))))</f>
        <v/>
      </c>
      <c r="V414" s="1" t="str">
        <f>IF(OR($B414="",V$7=""),"",IF($B414="MEANS",INDEX('1-DATA'!$1:$1048576,$A413-1,COLUMN('1-DATA'!U412)),ROUND(INDEX('1-DATA'!$1:$1048576,IF(OR($B414="STD. DEVIATION",$C$1=1),$A414,$A414+1),COLUMN('1-DATA'!U412)),IF($B414="STD. DEVIATION",2,$F$1))))</f>
        <v/>
      </c>
      <c r="W414" s="1" t="str">
        <f>IF(OR($B414="",W$7=""),"",IF($B414="MEANS",INDEX('1-DATA'!$1:$1048576,$A413-1,COLUMN('1-DATA'!V412)),ROUND(INDEX('1-DATA'!$1:$1048576,IF(OR($B414="STD. DEVIATION",$C$1=1),$A414,$A414+1),COLUMN('1-DATA'!V412)),IF($B414="STD. DEVIATION",2,$F$1))))</f>
        <v/>
      </c>
      <c r="X414" s="1" t="str">
        <f>IF(OR($B414="",X$7=""),"",IF($B414="MEANS",INDEX('1-DATA'!$1:$1048576,$A413-1,COLUMN('1-DATA'!W412)),ROUND(INDEX('1-DATA'!$1:$1048576,IF(OR($B414="STD. DEVIATION",$C$1=1),$A414,$A414+1),COLUMN('1-DATA'!W412)),IF($B414="STD. DEVIATION",2,$F$1))))</f>
        <v/>
      </c>
      <c r="Y414" s="1" t="str">
        <f>IF(OR($B414="",Y$7=""),"",IF($B414="MEANS",INDEX('1-DATA'!$1:$1048576,$A413-1,COLUMN('1-DATA'!X412)),ROUND(INDEX('1-DATA'!$1:$1048576,IF(OR($B414="STD. DEVIATION",$C$1=1),$A414,$A414+1),COLUMN('1-DATA'!X412)),IF($B414="STD. DEVIATION",2,$F$1))))</f>
        <v/>
      </c>
      <c r="Z414" s="1" t="str">
        <f>IF(OR($B414="",Z$7=""),"",IF($B414="MEANS",INDEX('1-DATA'!$1:$1048576,$A413-1,COLUMN('1-DATA'!Y412)),ROUND(INDEX('1-DATA'!$1:$1048576,IF(OR($B414="STD. DEVIATION",$C$1=1),$A414,$A414+1),COLUMN('1-DATA'!Y412)),IF($B414="STD. DEVIATION",2,$F$1))))</f>
        <v/>
      </c>
      <c r="AA414" s="1" t="str">
        <f>IF(OR($B414="",AA$7=""),"",IF($B414="MEANS",INDEX('1-DATA'!$1:$1048576,$A413-1,COLUMN('1-DATA'!Z412)),ROUND(INDEX('1-DATA'!$1:$1048576,IF(OR($B414="STD. DEVIATION",$C$1=1),$A414,$A414+1),COLUMN('1-DATA'!Z412)),IF($B414="STD. DEVIATION",2,$F$1))))</f>
        <v/>
      </c>
      <c r="AB414" s="1" t="str">
        <f>IF(OR($B414="",AB$7=""),"",IF($B414="MEANS",INDEX('1-DATA'!$1:$1048576,$A413-1,COLUMN('1-DATA'!AA412)),ROUND(INDEX('1-DATA'!$1:$1048576,IF(OR($B414="STD. DEVIATION",$C$1=1),$A414,$A414+1),COLUMN('1-DATA'!AA412)),IF($B414="STD. DEVIATION",2,$F$1))))</f>
        <v/>
      </c>
      <c r="AC414" s="1" t="str">
        <f>IF(OR($B414="",AC$7=""),"",IF($B414="MEANS",INDEX('1-DATA'!$1:$1048576,$A413-1,COLUMN('1-DATA'!AB412)),ROUND(INDEX('1-DATA'!$1:$1048576,IF(OR($B414="STD. DEVIATION",$C$1=1),$A414,$A414+1),COLUMN('1-DATA'!AB412)),IF($B414="STD. DEVIATION",2,$F$1))))</f>
        <v/>
      </c>
      <c r="AD414" s="1" t="str">
        <f>IF(OR($B414="",AD$7=""),"",IF($B414="MEANS",INDEX('1-DATA'!$1:$1048576,$A413-1,COLUMN('1-DATA'!AC412)),ROUND(INDEX('1-DATA'!$1:$1048576,IF(OR($B414="STD. DEVIATION",$C$1=1),$A414,$A414+1),COLUMN('1-DATA'!AC412)),IF($B414="STD. DEVIATION",2,$F$1))))</f>
        <v/>
      </c>
      <c r="AE414" s="1" t="str">
        <f>IF(OR($B414="",AE$7=""),"",IF($B414="MEANS",INDEX('1-DATA'!$1:$1048576,$A413-1,COLUMN('1-DATA'!AD412)),ROUND(INDEX('1-DATA'!$1:$1048576,IF(OR($B414="STD. DEVIATION",$C$1=1),$A414,$A414+1),COLUMN('1-DATA'!AD412)),IF($B414="STD. DEVIATION",2,$F$1))))</f>
        <v/>
      </c>
      <c r="AF414" s="1" t="str">
        <f>IF(OR($B414="",AF$7=""),"",IF($B414="MEANS",INDEX('1-DATA'!$1:$1048576,$A413-1,COLUMN('1-DATA'!AE412)),ROUND(INDEX('1-DATA'!$1:$1048576,IF(OR($B414="STD. DEVIATION",$C$1=1),$A414,$A414+1),COLUMN('1-DATA'!AE412)),IF($B414="STD. DEVIATION",2,$F$1))))</f>
        <v/>
      </c>
      <c r="AG414" s="1" t="str">
        <f>IF(OR($B414="",AG$7=""),"",IF($B414="MEANS",INDEX('1-DATA'!$1:$1048576,$A413-1,COLUMN('1-DATA'!AF412)),ROUND(INDEX('1-DATA'!$1:$1048576,IF(OR($B414="STD. DEVIATION",$C$1=1),$A414,$A414+1),COLUMN('1-DATA'!AF412)),IF($B414="STD. DEVIATION",2,$F$1))))</f>
        <v/>
      </c>
      <c r="AH414" s="1" t="str">
        <f>IF(OR($B414="",AH$7=""),"",IF($B414="MEANS",INDEX('1-DATA'!$1:$1048576,$A413-1,COLUMN('1-DATA'!AG412)),ROUND(INDEX('1-DATA'!$1:$1048576,IF(OR($B414="STD. DEVIATION",$C$1=1),$A414,$A414+1),COLUMN('1-DATA'!AG412)),IF($B414="STD. DEVIATION",2,$F$1))))</f>
        <v/>
      </c>
      <c r="AI414" s="1" t="str">
        <f>IF(OR($B414="",AI$7=""),"",IF($B414="MEANS",INDEX('1-DATA'!$1:$1048576,$A413-1,COLUMN('1-DATA'!AH412)),ROUND(INDEX('1-DATA'!$1:$1048576,IF(OR($B414="STD. DEVIATION",$C$1=1),$A414,$A414+1),COLUMN('1-DATA'!AH412)),IF($B414="STD. DEVIATION",2,$F$1))))</f>
        <v/>
      </c>
      <c r="AJ414" s="1" t="str">
        <f>IF(OR($B414="",AJ$7=""),"",IF($B414="MEANS",INDEX('1-DATA'!$1:$1048576,$A413-1,COLUMN('1-DATA'!AI412)),ROUND(INDEX('1-DATA'!$1:$1048576,IF(OR($B414="STD. DEVIATION",$C$1=1),$A414,$A414+1),COLUMN('1-DATA'!AI412)),IF($B414="STD. DEVIATION",2,$F$1))))</f>
        <v/>
      </c>
      <c r="AK414" s="1" t="str">
        <f>IF(OR($B414="",AK$7=""),"",IF($B414="MEANS",INDEX('1-DATA'!$1:$1048576,$A413-1,COLUMN('1-DATA'!AJ412)),ROUND(INDEX('1-DATA'!$1:$1048576,IF(OR($B414="STD. DEVIATION",$C$1=1),$A414,$A414+1),COLUMN('1-DATA'!AJ412)),IF($B414="STD. DEVIATION",2,$F$1))))</f>
        <v/>
      </c>
      <c r="AL414" s="1" t="str">
        <f>IF(OR($B414="",AL$7=""),"",IF($B414="MEANS",INDEX('1-DATA'!$1:$1048576,$A413-1,COLUMN('1-DATA'!AK412)),ROUND(INDEX('1-DATA'!$1:$1048576,IF(OR($B414="STD. DEVIATION",$C$1=1),$A414,$A414+1),COLUMN('1-DATA'!AK412)),IF($B414="STD. DEVIATION",2,$F$1))))</f>
        <v/>
      </c>
      <c r="AM414" s="1" t="str">
        <f>IF(OR($B414="",AM$7=""),"",IF($B414="MEANS",INDEX('1-DATA'!$1:$1048576,$A413-1,COLUMN('1-DATA'!AL412)),ROUND(INDEX('1-DATA'!$1:$1048576,IF(OR($B414="STD. DEVIATION",$C$1=1),$A414,$A414+1),COLUMN('1-DATA'!AL412)),IF($B414="STD. DEVIATION",2,$F$1))))</f>
        <v/>
      </c>
      <c r="AN414" s="1" t="str">
        <f>IF(OR($B414="",AN$7=""),"",IF($B414="MEANS",INDEX('1-DATA'!$1:$1048576,$A413-1,COLUMN('1-DATA'!AM412)),ROUND(INDEX('1-DATA'!$1:$1048576,IF(OR($B414="STD. DEVIATION",$C$1=1),$A414,$A414+1),COLUMN('1-DATA'!AM412)),IF($B414="STD. DEVIATION",2,$F$1))))</f>
        <v/>
      </c>
      <c r="AO414" s="1" t="str">
        <f>IF(OR($B414="",AO$7=""),"",IF($B414="MEANS",INDEX('1-DATA'!$1:$1048576,$A413-1,COLUMN('1-DATA'!AN412)),ROUND(INDEX('1-DATA'!$1:$1048576,IF(OR($B414="STD. DEVIATION",$C$1=1),$A414,$A414+1),COLUMN('1-DATA'!AN412)),IF($B414="STD. DEVIATION",2,$F$1))))</f>
        <v/>
      </c>
      <c r="AP414" s="1" t="str">
        <f>IF(OR($B414="",AP$7=""),"",IF($B414="MEANS",INDEX('1-DATA'!$1:$1048576,$A413-1,COLUMN('1-DATA'!AO412)),ROUND(INDEX('1-DATA'!$1:$1048576,IF(OR($B414="STD. DEVIATION",$C$1=1),$A414,$A414+1),COLUMN('1-DATA'!AO412)),IF($B414="STD. DEVIATION",2,$F$1))))</f>
        <v/>
      </c>
      <c r="AQ414" s="1" t="str">
        <f>IF(OR($B414="",AQ$7=""),"",IF($B414="MEANS",INDEX('1-DATA'!$1:$1048576,$A413-1,COLUMN('1-DATA'!AP412)),ROUND(INDEX('1-DATA'!$1:$1048576,IF(OR($B414="STD. DEVIATION",$C$1=1),$A414,$A414+1),COLUMN('1-DATA'!AP412)),IF($B414="STD. DEVIATION",2,$F$1))))</f>
        <v/>
      </c>
      <c r="AR414" s="1" t="str">
        <f>IF(OR($B414="",AR$7=""),"",IF($B414="MEANS",INDEX('1-DATA'!$1:$1048576,$A413-1,COLUMN('1-DATA'!AQ412)),ROUND(INDEX('1-DATA'!$1:$1048576,IF(OR($B414="STD. DEVIATION",$C$1=1),$A414,$A414+1),COLUMN('1-DATA'!AQ412)),IF($B414="STD. DEVIATION",2,$F$1))))</f>
        <v/>
      </c>
      <c r="AS414" s="1" t="str">
        <f>IF(OR($B414="",AS$7=""),"",IF($B414="MEANS",INDEX('1-DATA'!$1:$1048576,$A413-1,COLUMN('1-DATA'!AR412)),ROUND(INDEX('1-DATA'!$1:$1048576,IF(OR($B414="STD. DEVIATION",$C$1=1),$A414,$A414+1),COLUMN('1-DATA'!AR412)),IF($B414="STD. DEVIATION",2,$F$1))))</f>
        <v/>
      </c>
      <c r="AT414" s="1" t="str">
        <f>IF(OR($B414="",AT$7=""),"",IF($B414="MEANS",INDEX('1-DATA'!$1:$1048576,$A413-1,COLUMN('1-DATA'!AS412)),ROUND(INDEX('1-DATA'!$1:$1048576,IF(OR($B414="STD. DEVIATION",$C$1=1),$A414,$A414+1),COLUMN('1-DATA'!AS412)),IF($B414="STD. DEVIATION",2,$F$1))))</f>
        <v/>
      </c>
      <c r="AU414" s="1" t="str">
        <f>IF(OR($B414="",AU$7=""),"",IF($B414="MEANS",INDEX('1-DATA'!$1:$1048576,$A413-1,COLUMN('1-DATA'!AT412)),ROUND(INDEX('1-DATA'!$1:$1048576,IF(OR($B414="STD. DEVIATION",$C$1=1),$A414,$A414+1),COLUMN('1-DATA'!AT412)),IF($B414="STD. DEVIATION",2,$F$1))))</f>
        <v/>
      </c>
      <c r="AV414" s="1" t="str">
        <f>IF(OR($B414="",AV$7=""),"",IF($B414="MEANS",INDEX('1-DATA'!$1:$1048576,$A413-1,COLUMN('1-DATA'!AU412)),ROUND(INDEX('1-DATA'!$1:$1048576,IF(OR($B414="STD. DEVIATION",$C$1=1),$A414,$A414+1),COLUMN('1-DATA'!AU412)),IF($B414="STD. DEVIATION",2,$F$1))))</f>
        <v/>
      </c>
      <c r="AW414" s="1" t="str">
        <f>IF(OR($B414="",AW$7=""),"",IF($B414="MEANS",INDEX('1-DATA'!$1:$1048576,$A413-1,COLUMN('1-DATA'!AV412)),ROUND(INDEX('1-DATA'!$1:$1048576,IF(OR($B414="STD. DEVIATION",$C$1=1),$A414,$A414+1),COLUMN('1-DATA'!AV412)),IF($B414="STD. DEVIATION",2,$F$1))))</f>
        <v/>
      </c>
      <c r="AX414" s="1" t="str">
        <f>IF(OR($B414="",AX$7=""),"",IF($B414="MEANS",INDEX('1-DATA'!$1:$1048576,$A413-1,COLUMN('1-DATA'!AW412)),ROUND(INDEX('1-DATA'!$1:$1048576,IF(OR($B414="STD. DEVIATION",$C$1=1),$A414,$A414+1),COLUMN('1-DATA'!AW412)),IF($B414="STD. DEVIATION",2,$F$1))))</f>
        <v/>
      </c>
      <c r="AY414" s="1" t="str">
        <f>IF(OR($B414="",AY$7=""),"",IF($B414="MEANS",INDEX('1-DATA'!$1:$1048576,$A413-1,COLUMN('1-DATA'!AX412)),ROUND(INDEX('1-DATA'!$1:$1048576,IF(OR($B414="STD. DEVIATION",$C$1=1),$A414,$A414+1),COLUMN('1-DATA'!AX412)),IF($B414="STD. DEVIATION",2,$F$1))))</f>
        <v/>
      </c>
      <c r="AZ414" s="1" t="str">
        <f>IF(OR($B414="",AZ$7=""),"",IF($B414="MEANS",INDEX('1-DATA'!$1:$1048576,$A413-1,COLUMN('1-DATA'!AY412)),ROUND(INDEX('1-DATA'!$1:$1048576,IF(OR($B414="STD. DEVIATION",$C$1=1),$A414,$A414+1),COLUMN('1-DATA'!AY412)),IF($B414="STD. DEVIATION",2,$F$1))))</f>
        <v/>
      </c>
    </row>
    <row r="415" spans="1:52" x14ac:dyDescent="0.25">
      <c r="A415" s="11">
        <f t="shared" si="7"/>
        <v>1231</v>
      </c>
      <c r="B415" s="1" t="str">
        <f>IF(B414="STD. DEVIATION",INDEX('1-DATA'!$1:$1048576,$A414-1,1),IF(INDEX('1-DATA'!$1:$1048576,$A415,1)&lt;&gt;"",INDEX('1-DATA'!$1:$1048576,$A415,1),""))</f>
        <v/>
      </c>
      <c r="C415" s="1" t="str">
        <f>IF(OR($B415="",C$7=""),"",IF($B415="MEANS",INDEX('1-DATA'!$1:$1048576,$A414-1,COLUMN('1-DATA'!B413)),ROUND(INDEX('1-DATA'!$1:$1048576,IF(OR($B415="STD. DEVIATION",$C$1=1),$A415,$A415+1),COLUMN('1-DATA'!B413)),IF($B415="STD. DEVIATION",2,$F$1))))</f>
        <v/>
      </c>
      <c r="D415" s="1" t="str">
        <f>IF(OR($B415="",D$7=""),"",IF($B415="MEANS",INDEX('1-DATA'!$1:$1048576,$A414-1,COLUMN('1-DATA'!C413)),ROUND(INDEX('1-DATA'!$1:$1048576,IF(OR($B415="STD. DEVIATION",$C$1=1),$A415,$A415+1),COLUMN('1-DATA'!C413)),IF($B415="STD. DEVIATION",2,$F$1))))</f>
        <v/>
      </c>
      <c r="E415" s="1" t="str">
        <f>IF(OR($B415="",E$7=""),"",IF($B415="MEANS",INDEX('1-DATA'!$1:$1048576,$A414-1,COLUMN('1-DATA'!D413)),ROUND(INDEX('1-DATA'!$1:$1048576,IF(OR($B415="STD. DEVIATION",$C$1=1),$A415,$A415+1),COLUMN('1-DATA'!D413)),IF($B415="STD. DEVIATION",2,$F$1))))</f>
        <v/>
      </c>
      <c r="F415" s="1" t="str">
        <f>IF(OR($B415="",F$7=""),"",IF($B415="MEANS",INDEX('1-DATA'!$1:$1048576,$A414-1,COLUMN('1-DATA'!E413)),ROUND(INDEX('1-DATA'!$1:$1048576,IF(OR($B415="STD. DEVIATION",$C$1=1),$A415,$A415+1),COLUMN('1-DATA'!E413)),IF($B415="STD. DEVIATION",2,$F$1))))</f>
        <v/>
      </c>
      <c r="G415" s="1" t="str">
        <f>IF(OR($B415="",G$7=""),"",IF($B415="MEANS",INDEX('1-DATA'!$1:$1048576,$A414-1,COLUMN('1-DATA'!F413)),ROUND(INDEX('1-DATA'!$1:$1048576,IF(OR($B415="STD. DEVIATION",$C$1=1),$A415,$A415+1),COLUMN('1-DATA'!F413)),IF($B415="STD. DEVIATION",2,$F$1))))</f>
        <v/>
      </c>
      <c r="H415" s="1" t="str">
        <f>IF(OR($B415="",H$7=""),"",IF($B415="MEANS",INDEX('1-DATA'!$1:$1048576,$A414-1,COLUMN('1-DATA'!G413)),ROUND(INDEX('1-DATA'!$1:$1048576,IF(OR($B415="STD. DEVIATION",$C$1=1),$A415,$A415+1),COLUMN('1-DATA'!G413)),IF($B415="STD. DEVIATION",2,$F$1))))</f>
        <v/>
      </c>
      <c r="I415" s="1" t="str">
        <f>IF(OR($B415="",I$7=""),"",IF($B415="MEANS",INDEX('1-DATA'!$1:$1048576,$A414-1,COLUMN('1-DATA'!H413)),ROUND(INDEX('1-DATA'!$1:$1048576,IF(OR($B415="STD. DEVIATION",$C$1=1),$A415,$A415+1),COLUMN('1-DATA'!H413)),IF($B415="STD. DEVIATION",2,$F$1))))</f>
        <v/>
      </c>
      <c r="J415" s="1" t="str">
        <f>IF(OR($B415="",J$7=""),"",IF($B415="MEANS",INDEX('1-DATA'!$1:$1048576,$A414-1,COLUMN('1-DATA'!I413)),ROUND(INDEX('1-DATA'!$1:$1048576,IF(OR($B415="STD. DEVIATION",$C$1=1),$A415,$A415+1),COLUMN('1-DATA'!I413)),IF($B415="STD. DEVIATION",2,$F$1))))</f>
        <v/>
      </c>
      <c r="K415" s="1" t="str">
        <f>IF(OR($B415="",K$7=""),"",IF($B415="MEANS",INDEX('1-DATA'!$1:$1048576,$A414-1,COLUMN('1-DATA'!J413)),ROUND(INDEX('1-DATA'!$1:$1048576,IF(OR($B415="STD. DEVIATION",$C$1=1),$A415,$A415+1),COLUMN('1-DATA'!J413)),IF($B415="STD. DEVIATION",2,$F$1))))</f>
        <v/>
      </c>
      <c r="L415" s="1" t="str">
        <f>IF(OR($B415="",L$7=""),"",IF($B415="MEANS",INDEX('1-DATA'!$1:$1048576,$A414-1,COLUMN('1-DATA'!K413)),ROUND(INDEX('1-DATA'!$1:$1048576,IF(OR($B415="STD. DEVIATION",$C$1=1),$A415,$A415+1),COLUMN('1-DATA'!K413)),IF($B415="STD. DEVIATION",2,$F$1))))</f>
        <v/>
      </c>
      <c r="M415" s="1" t="str">
        <f>IF(OR($B415="",M$7=""),"",IF($B415="MEANS",INDEX('1-DATA'!$1:$1048576,$A414-1,COLUMN('1-DATA'!L413)),ROUND(INDEX('1-DATA'!$1:$1048576,IF(OR($B415="STD. DEVIATION",$C$1=1),$A415,$A415+1),COLUMN('1-DATA'!L413)),IF($B415="STD. DEVIATION",2,$F$1))))</f>
        <v/>
      </c>
      <c r="N415" s="1" t="str">
        <f>IF(OR($B415="",N$7=""),"",IF($B415="MEANS",INDEX('1-DATA'!$1:$1048576,$A414-1,COLUMN('1-DATA'!M413)),ROUND(INDEX('1-DATA'!$1:$1048576,IF(OR($B415="STD. DEVIATION",$C$1=1),$A415,$A415+1),COLUMN('1-DATA'!M413)),IF($B415="STD. DEVIATION",2,$F$1))))</f>
        <v/>
      </c>
      <c r="O415" s="1" t="str">
        <f>IF(OR($B415="",O$7=""),"",IF($B415="MEANS",INDEX('1-DATA'!$1:$1048576,$A414-1,COLUMN('1-DATA'!N413)),ROUND(INDEX('1-DATA'!$1:$1048576,IF(OR($B415="STD. DEVIATION",$C$1=1),$A415,$A415+1),COLUMN('1-DATA'!N413)),IF($B415="STD. DEVIATION",2,$F$1))))</f>
        <v/>
      </c>
      <c r="P415" s="1" t="str">
        <f>IF(OR($B415="",P$7=""),"",IF($B415="MEANS",INDEX('1-DATA'!$1:$1048576,$A414-1,COLUMN('1-DATA'!O413)),ROUND(INDEX('1-DATA'!$1:$1048576,IF(OR($B415="STD. DEVIATION",$C$1=1),$A415,$A415+1),COLUMN('1-DATA'!O413)),IF($B415="STD. DEVIATION",2,$F$1))))</f>
        <v/>
      </c>
      <c r="Q415" s="1" t="str">
        <f>IF(OR($B415="",Q$7=""),"",IF($B415="MEANS",INDEX('1-DATA'!$1:$1048576,$A414-1,COLUMN('1-DATA'!P413)),ROUND(INDEX('1-DATA'!$1:$1048576,IF(OR($B415="STD. DEVIATION",$C$1=1),$A415,$A415+1),COLUMN('1-DATA'!P413)),IF($B415="STD. DEVIATION",2,$F$1))))</f>
        <v/>
      </c>
      <c r="R415" s="1" t="str">
        <f>IF(OR($B415="",R$7=""),"",IF($B415="MEANS",INDEX('1-DATA'!$1:$1048576,$A414-1,COLUMN('1-DATA'!Q413)),ROUND(INDEX('1-DATA'!$1:$1048576,IF(OR($B415="STD. DEVIATION",$C$1=1),$A415,$A415+1),COLUMN('1-DATA'!Q413)),IF($B415="STD. DEVIATION",2,$F$1))))</f>
        <v/>
      </c>
      <c r="S415" s="1" t="str">
        <f>IF(OR($B415="",S$7=""),"",IF($B415="MEANS",INDEX('1-DATA'!$1:$1048576,$A414-1,COLUMN('1-DATA'!R413)),ROUND(INDEX('1-DATA'!$1:$1048576,IF(OR($B415="STD. DEVIATION",$C$1=1),$A415,$A415+1),COLUMN('1-DATA'!R413)),IF($B415="STD. DEVIATION",2,$F$1))))</f>
        <v/>
      </c>
      <c r="T415" s="1" t="str">
        <f>IF(OR($B415="",T$7=""),"",IF($B415="MEANS",INDEX('1-DATA'!$1:$1048576,$A414-1,COLUMN('1-DATA'!S413)),ROUND(INDEX('1-DATA'!$1:$1048576,IF(OR($B415="STD. DEVIATION",$C$1=1),$A415,$A415+1),COLUMN('1-DATA'!S413)),IF($B415="STD. DEVIATION",2,$F$1))))</f>
        <v/>
      </c>
      <c r="U415" s="1" t="str">
        <f>IF(OR($B415="",U$7=""),"",IF($B415="MEANS",INDEX('1-DATA'!$1:$1048576,$A414-1,COLUMN('1-DATA'!T413)),ROUND(INDEX('1-DATA'!$1:$1048576,IF(OR($B415="STD. DEVIATION",$C$1=1),$A415,$A415+1),COLUMN('1-DATA'!T413)),IF($B415="STD. DEVIATION",2,$F$1))))</f>
        <v/>
      </c>
      <c r="V415" s="1" t="str">
        <f>IF(OR($B415="",V$7=""),"",IF($B415="MEANS",INDEX('1-DATA'!$1:$1048576,$A414-1,COLUMN('1-DATA'!U413)),ROUND(INDEX('1-DATA'!$1:$1048576,IF(OR($B415="STD. DEVIATION",$C$1=1),$A415,$A415+1),COLUMN('1-DATA'!U413)),IF($B415="STD. DEVIATION",2,$F$1))))</f>
        <v/>
      </c>
      <c r="W415" s="1" t="str">
        <f>IF(OR($B415="",W$7=""),"",IF($B415="MEANS",INDEX('1-DATA'!$1:$1048576,$A414-1,COLUMN('1-DATA'!V413)),ROUND(INDEX('1-DATA'!$1:$1048576,IF(OR($B415="STD. DEVIATION",$C$1=1),$A415,$A415+1),COLUMN('1-DATA'!V413)),IF($B415="STD. DEVIATION",2,$F$1))))</f>
        <v/>
      </c>
      <c r="X415" s="1" t="str">
        <f>IF(OR($B415="",X$7=""),"",IF($B415="MEANS",INDEX('1-DATA'!$1:$1048576,$A414-1,COLUMN('1-DATA'!W413)),ROUND(INDEX('1-DATA'!$1:$1048576,IF(OR($B415="STD. DEVIATION",$C$1=1),$A415,$A415+1),COLUMN('1-DATA'!W413)),IF($B415="STD. DEVIATION",2,$F$1))))</f>
        <v/>
      </c>
      <c r="Y415" s="1" t="str">
        <f>IF(OR($B415="",Y$7=""),"",IF($B415="MEANS",INDEX('1-DATA'!$1:$1048576,$A414-1,COLUMN('1-DATA'!X413)),ROUND(INDEX('1-DATA'!$1:$1048576,IF(OR($B415="STD. DEVIATION",$C$1=1),$A415,$A415+1),COLUMN('1-DATA'!X413)),IF($B415="STD. DEVIATION",2,$F$1))))</f>
        <v/>
      </c>
      <c r="Z415" s="1" t="str">
        <f>IF(OR($B415="",Z$7=""),"",IF($B415="MEANS",INDEX('1-DATA'!$1:$1048576,$A414-1,COLUMN('1-DATA'!Y413)),ROUND(INDEX('1-DATA'!$1:$1048576,IF(OR($B415="STD. DEVIATION",$C$1=1),$A415,$A415+1),COLUMN('1-DATA'!Y413)),IF($B415="STD. DEVIATION",2,$F$1))))</f>
        <v/>
      </c>
      <c r="AA415" s="1" t="str">
        <f>IF(OR($B415="",AA$7=""),"",IF($B415="MEANS",INDEX('1-DATA'!$1:$1048576,$A414-1,COLUMN('1-DATA'!Z413)),ROUND(INDEX('1-DATA'!$1:$1048576,IF(OR($B415="STD. DEVIATION",$C$1=1),$A415,$A415+1),COLUMN('1-DATA'!Z413)),IF($B415="STD. DEVIATION",2,$F$1))))</f>
        <v/>
      </c>
      <c r="AB415" s="1" t="str">
        <f>IF(OR($B415="",AB$7=""),"",IF($B415="MEANS",INDEX('1-DATA'!$1:$1048576,$A414-1,COLUMN('1-DATA'!AA413)),ROUND(INDEX('1-DATA'!$1:$1048576,IF(OR($B415="STD. DEVIATION",$C$1=1),$A415,$A415+1),COLUMN('1-DATA'!AA413)),IF($B415="STD. DEVIATION",2,$F$1))))</f>
        <v/>
      </c>
      <c r="AC415" s="1" t="str">
        <f>IF(OR($B415="",AC$7=""),"",IF($B415="MEANS",INDEX('1-DATA'!$1:$1048576,$A414-1,COLUMN('1-DATA'!AB413)),ROUND(INDEX('1-DATA'!$1:$1048576,IF(OR($B415="STD. DEVIATION",$C$1=1),$A415,$A415+1),COLUMN('1-DATA'!AB413)),IF($B415="STD. DEVIATION",2,$F$1))))</f>
        <v/>
      </c>
      <c r="AD415" s="1" t="str">
        <f>IF(OR($B415="",AD$7=""),"",IF($B415="MEANS",INDEX('1-DATA'!$1:$1048576,$A414-1,COLUMN('1-DATA'!AC413)),ROUND(INDEX('1-DATA'!$1:$1048576,IF(OR($B415="STD. DEVIATION",$C$1=1),$A415,$A415+1),COLUMN('1-DATA'!AC413)),IF($B415="STD. DEVIATION",2,$F$1))))</f>
        <v/>
      </c>
      <c r="AE415" s="1" t="str">
        <f>IF(OR($B415="",AE$7=""),"",IF($B415="MEANS",INDEX('1-DATA'!$1:$1048576,$A414-1,COLUMN('1-DATA'!AD413)),ROUND(INDEX('1-DATA'!$1:$1048576,IF(OR($B415="STD. DEVIATION",$C$1=1),$A415,$A415+1),COLUMN('1-DATA'!AD413)),IF($B415="STD. DEVIATION",2,$F$1))))</f>
        <v/>
      </c>
      <c r="AF415" s="1" t="str">
        <f>IF(OR($B415="",AF$7=""),"",IF($B415="MEANS",INDEX('1-DATA'!$1:$1048576,$A414-1,COLUMN('1-DATA'!AE413)),ROUND(INDEX('1-DATA'!$1:$1048576,IF(OR($B415="STD. DEVIATION",$C$1=1),$A415,$A415+1),COLUMN('1-DATA'!AE413)),IF($B415="STD. DEVIATION",2,$F$1))))</f>
        <v/>
      </c>
      <c r="AG415" s="1" t="str">
        <f>IF(OR($B415="",AG$7=""),"",IF($B415="MEANS",INDEX('1-DATA'!$1:$1048576,$A414-1,COLUMN('1-DATA'!AF413)),ROUND(INDEX('1-DATA'!$1:$1048576,IF(OR($B415="STD. DEVIATION",$C$1=1),$A415,$A415+1),COLUMN('1-DATA'!AF413)),IF($B415="STD. DEVIATION",2,$F$1))))</f>
        <v/>
      </c>
      <c r="AH415" s="1" t="str">
        <f>IF(OR($B415="",AH$7=""),"",IF($B415="MEANS",INDEX('1-DATA'!$1:$1048576,$A414-1,COLUMN('1-DATA'!AG413)),ROUND(INDEX('1-DATA'!$1:$1048576,IF(OR($B415="STD. DEVIATION",$C$1=1),$A415,$A415+1),COLUMN('1-DATA'!AG413)),IF($B415="STD. DEVIATION",2,$F$1))))</f>
        <v/>
      </c>
      <c r="AI415" s="1" t="str">
        <f>IF(OR($B415="",AI$7=""),"",IF($B415="MEANS",INDEX('1-DATA'!$1:$1048576,$A414-1,COLUMN('1-DATA'!AH413)),ROUND(INDEX('1-DATA'!$1:$1048576,IF(OR($B415="STD. DEVIATION",$C$1=1),$A415,$A415+1),COLUMN('1-DATA'!AH413)),IF($B415="STD. DEVIATION",2,$F$1))))</f>
        <v/>
      </c>
      <c r="AJ415" s="1" t="str">
        <f>IF(OR($B415="",AJ$7=""),"",IF($B415="MEANS",INDEX('1-DATA'!$1:$1048576,$A414-1,COLUMN('1-DATA'!AI413)),ROUND(INDEX('1-DATA'!$1:$1048576,IF(OR($B415="STD. DEVIATION",$C$1=1),$A415,$A415+1),COLUMN('1-DATA'!AI413)),IF($B415="STD. DEVIATION",2,$F$1))))</f>
        <v/>
      </c>
      <c r="AK415" s="1" t="str">
        <f>IF(OR($B415="",AK$7=""),"",IF($B415="MEANS",INDEX('1-DATA'!$1:$1048576,$A414-1,COLUMN('1-DATA'!AJ413)),ROUND(INDEX('1-DATA'!$1:$1048576,IF(OR($B415="STD. DEVIATION",$C$1=1),$A415,$A415+1),COLUMN('1-DATA'!AJ413)),IF($B415="STD. DEVIATION",2,$F$1))))</f>
        <v/>
      </c>
      <c r="AL415" s="1" t="str">
        <f>IF(OR($B415="",AL$7=""),"",IF($B415="MEANS",INDEX('1-DATA'!$1:$1048576,$A414-1,COLUMN('1-DATA'!AK413)),ROUND(INDEX('1-DATA'!$1:$1048576,IF(OR($B415="STD. DEVIATION",$C$1=1),$A415,$A415+1),COLUMN('1-DATA'!AK413)),IF($B415="STD. DEVIATION",2,$F$1))))</f>
        <v/>
      </c>
      <c r="AM415" s="1" t="str">
        <f>IF(OR($B415="",AM$7=""),"",IF($B415="MEANS",INDEX('1-DATA'!$1:$1048576,$A414-1,COLUMN('1-DATA'!AL413)),ROUND(INDEX('1-DATA'!$1:$1048576,IF(OR($B415="STD. DEVIATION",$C$1=1),$A415,$A415+1),COLUMN('1-DATA'!AL413)),IF($B415="STD. DEVIATION",2,$F$1))))</f>
        <v/>
      </c>
      <c r="AN415" s="1" t="str">
        <f>IF(OR($B415="",AN$7=""),"",IF($B415="MEANS",INDEX('1-DATA'!$1:$1048576,$A414-1,COLUMN('1-DATA'!AM413)),ROUND(INDEX('1-DATA'!$1:$1048576,IF(OR($B415="STD. DEVIATION",$C$1=1),$A415,$A415+1),COLUMN('1-DATA'!AM413)),IF($B415="STD. DEVIATION",2,$F$1))))</f>
        <v/>
      </c>
      <c r="AO415" s="1" t="str">
        <f>IF(OR($B415="",AO$7=""),"",IF($B415="MEANS",INDEX('1-DATA'!$1:$1048576,$A414-1,COLUMN('1-DATA'!AN413)),ROUND(INDEX('1-DATA'!$1:$1048576,IF(OR($B415="STD. DEVIATION",$C$1=1),$A415,$A415+1),COLUMN('1-DATA'!AN413)),IF($B415="STD. DEVIATION",2,$F$1))))</f>
        <v/>
      </c>
      <c r="AP415" s="1" t="str">
        <f>IF(OR($B415="",AP$7=""),"",IF($B415="MEANS",INDEX('1-DATA'!$1:$1048576,$A414-1,COLUMN('1-DATA'!AO413)),ROUND(INDEX('1-DATA'!$1:$1048576,IF(OR($B415="STD. DEVIATION",$C$1=1),$A415,$A415+1),COLUMN('1-DATA'!AO413)),IF($B415="STD. DEVIATION",2,$F$1))))</f>
        <v/>
      </c>
      <c r="AQ415" s="1" t="str">
        <f>IF(OR($B415="",AQ$7=""),"",IF($B415="MEANS",INDEX('1-DATA'!$1:$1048576,$A414-1,COLUMN('1-DATA'!AP413)),ROUND(INDEX('1-DATA'!$1:$1048576,IF(OR($B415="STD. DEVIATION",$C$1=1),$A415,$A415+1),COLUMN('1-DATA'!AP413)),IF($B415="STD. DEVIATION",2,$F$1))))</f>
        <v/>
      </c>
      <c r="AR415" s="1" t="str">
        <f>IF(OR($B415="",AR$7=""),"",IF($B415="MEANS",INDEX('1-DATA'!$1:$1048576,$A414-1,COLUMN('1-DATA'!AQ413)),ROUND(INDEX('1-DATA'!$1:$1048576,IF(OR($B415="STD. DEVIATION",$C$1=1),$A415,$A415+1),COLUMN('1-DATA'!AQ413)),IF($B415="STD. DEVIATION",2,$F$1))))</f>
        <v/>
      </c>
      <c r="AS415" s="1" t="str">
        <f>IF(OR($B415="",AS$7=""),"",IF($B415="MEANS",INDEX('1-DATA'!$1:$1048576,$A414-1,COLUMN('1-DATA'!AR413)),ROUND(INDEX('1-DATA'!$1:$1048576,IF(OR($B415="STD. DEVIATION",$C$1=1),$A415,$A415+1),COLUMN('1-DATA'!AR413)),IF($B415="STD. DEVIATION",2,$F$1))))</f>
        <v/>
      </c>
      <c r="AT415" s="1" t="str">
        <f>IF(OR($B415="",AT$7=""),"",IF($B415="MEANS",INDEX('1-DATA'!$1:$1048576,$A414-1,COLUMN('1-DATA'!AS413)),ROUND(INDEX('1-DATA'!$1:$1048576,IF(OR($B415="STD. DEVIATION",$C$1=1),$A415,$A415+1),COLUMN('1-DATA'!AS413)),IF($B415="STD. DEVIATION",2,$F$1))))</f>
        <v/>
      </c>
      <c r="AU415" s="1" t="str">
        <f>IF(OR($B415="",AU$7=""),"",IF($B415="MEANS",INDEX('1-DATA'!$1:$1048576,$A414-1,COLUMN('1-DATA'!AT413)),ROUND(INDEX('1-DATA'!$1:$1048576,IF(OR($B415="STD. DEVIATION",$C$1=1),$A415,$A415+1),COLUMN('1-DATA'!AT413)),IF($B415="STD. DEVIATION",2,$F$1))))</f>
        <v/>
      </c>
      <c r="AV415" s="1" t="str">
        <f>IF(OR($B415="",AV$7=""),"",IF($B415="MEANS",INDEX('1-DATA'!$1:$1048576,$A414-1,COLUMN('1-DATA'!AU413)),ROUND(INDEX('1-DATA'!$1:$1048576,IF(OR($B415="STD. DEVIATION",$C$1=1),$A415,$A415+1),COLUMN('1-DATA'!AU413)),IF($B415="STD. DEVIATION",2,$F$1))))</f>
        <v/>
      </c>
      <c r="AW415" s="1" t="str">
        <f>IF(OR($B415="",AW$7=""),"",IF($B415="MEANS",INDEX('1-DATA'!$1:$1048576,$A414-1,COLUMN('1-DATA'!AV413)),ROUND(INDEX('1-DATA'!$1:$1048576,IF(OR($B415="STD. DEVIATION",$C$1=1),$A415,$A415+1),COLUMN('1-DATA'!AV413)),IF($B415="STD. DEVIATION",2,$F$1))))</f>
        <v/>
      </c>
      <c r="AX415" s="1" t="str">
        <f>IF(OR($B415="",AX$7=""),"",IF($B415="MEANS",INDEX('1-DATA'!$1:$1048576,$A414-1,COLUMN('1-DATA'!AW413)),ROUND(INDEX('1-DATA'!$1:$1048576,IF(OR($B415="STD. DEVIATION",$C$1=1),$A415,$A415+1),COLUMN('1-DATA'!AW413)),IF($B415="STD. DEVIATION",2,$F$1))))</f>
        <v/>
      </c>
      <c r="AY415" s="1" t="str">
        <f>IF(OR($B415="",AY$7=""),"",IF($B415="MEANS",INDEX('1-DATA'!$1:$1048576,$A414-1,COLUMN('1-DATA'!AX413)),ROUND(INDEX('1-DATA'!$1:$1048576,IF(OR($B415="STD. DEVIATION",$C$1=1),$A415,$A415+1),COLUMN('1-DATA'!AX413)),IF($B415="STD. DEVIATION",2,$F$1))))</f>
        <v/>
      </c>
      <c r="AZ415" s="1" t="str">
        <f>IF(OR($B415="",AZ$7=""),"",IF($B415="MEANS",INDEX('1-DATA'!$1:$1048576,$A414-1,COLUMN('1-DATA'!AY413)),ROUND(INDEX('1-DATA'!$1:$1048576,IF(OR($B415="STD. DEVIATION",$C$1=1),$A415,$A415+1),COLUMN('1-DATA'!AY413)),IF($B415="STD. DEVIATION",2,$F$1))))</f>
        <v/>
      </c>
    </row>
    <row r="416" spans="1:52" x14ac:dyDescent="0.25">
      <c r="A416" s="11">
        <f t="shared" si="7"/>
        <v>1234</v>
      </c>
      <c r="B416" s="1" t="str">
        <f>IF(B415="STD. DEVIATION",INDEX('1-DATA'!$1:$1048576,$A415-1,1),IF(INDEX('1-DATA'!$1:$1048576,$A416,1)&lt;&gt;"",INDEX('1-DATA'!$1:$1048576,$A416,1),""))</f>
        <v/>
      </c>
      <c r="C416" s="1" t="str">
        <f>IF(OR($B416="",C$7=""),"",IF($B416="MEANS",INDEX('1-DATA'!$1:$1048576,$A415-1,COLUMN('1-DATA'!B414)),ROUND(INDEX('1-DATA'!$1:$1048576,IF(OR($B416="STD. DEVIATION",$C$1=1),$A416,$A416+1),COLUMN('1-DATA'!B414)),IF($B416="STD. DEVIATION",2,$F$1))))</f>
        <v/>
      </c>
      <c r="D416" s="1" t="str">
        <f>IF(OR($B416="",D$7=""),"",IF($B416="MEANS",INDEX('1-DATA'!$1:$1048576,$A415-1,COLUMN('1-DATA'!C414)),ROUND(INDEX('1-DATA'!$1:$1048576,IF(OR($B416="STD. DEVIATION",$C$1=1),$A416,$A416+1),COLUMN('1-DATA'!C414)),IF($B416="STD. DEVIATION",2,$F$1))))</f>
        <v/>
      </c>
      <c r="E416" s="1" t="str">
        <f>IF(OR($B416="",E$7=""),"",IF($B416="MEANS",INDEX('1-DATA'!$1:$1048576,$A415-1,COLUMN('1-DATA'!D414)),ROUND(INDEX('1-DATA'!$1:$1048576,IF(OR($B416="STD. DEVIATION",$C$1=1),$A416,$A416+1),COLUMN('1-DATA'!D414)),IF($B416="STD. DEVIATION",2,$F$1))))</f>
        <v/>
      </c>
      <c r="F416" s="1" t="str">
        <f>IF(OR($B416="",F$7=""),"",IF($B416="MEANS",INDEX('1-DATA'!$1:$1048576,$A415-1,COLUMN('1-DATA'!E414)),ROUND(INDEX('1-DATA'!$1:$1048576,IF(OR($B416="STD. DEVIATION",$C$1=1),$A416,$A416+1),COLUMN('1-DATA'!E414)),IF($B416="STD. DEVIATION",2,$F$1))))</f>
        <v/>
      </c>
      <c r="G416" s="1" t="str">
        <f>IF(OR($B416="",G$7=""),"",IF($B416="MEANS",INDEX('1-DATA'!$1:$1048576,$A415-1,COLUMN('1-DATA'!F414)),ROUND(INDEX('1-DATA'!$1:$1048576,IF(OR($B416="STD. DEVIATION",$C$1=1),$A416,$A416+1),COLUMN('1-DATA'!F414)),IF($B416="STD. DEVIATION",2,$F$1))))</f>
        <v/>
      </c>
      <c r="H416" s="1" t="str">
        <f>IF(OR($B416="",H$7=""),"",IF($B416="MEANS",INDEX('1-DATA'!$1:$1048576,$A415-1,COLUMN('1-DATA'!G414)),ROUND(INDEX('1-DATA'!$1:$1048576,IF(OR($B416="STD. DEVIATION",$C$1=1),$A416,$A416+1),COLUMN('1-DATA'!G414)),IF($B416="STD. DEVIATION",2,$F$1))))</f>
        <v/>
      </c>
      <c r="I416" s="1" t="str">
        <f>IF(OR($B416="",I$7=""),"",IF($B416="MEANS",INDEX('1-DATA'!$1:$1048576,$A415-1,COLUMN('1-DATA'!H414)),ROUND(INDEX('1-DATA'!$1:$1048576,IF(OR($B416="STD. DEVIATION",$C$1=1),$A416,$A416+1),COLUMN('1-DATA'!H414)),IF($B416="STD. DEVIATION",2,$F$1))))</f>
        <v/>
      </c>
      <c r="J416" s="1" t="str">
        <f>IF(OR($B416="",J$7=""),"",IF($B416="MEANS",INDEX('1-DATA'!$1:$1048576,$A415-1,COLUMN('1-DATA'!I414)),ROUND(INDEX('1-DATA'!$1:$1048576,IF(OR($B416="STD. DEVIATION",$C$1=1),$A416,$A416+1),COLUMN('1-DATA'!I414)),IF($B416="STD. DEVIATION",2,$F$1))))</f>
        <v/>
      </c>
      <c r="K416" s="1" t="str">
        <f>IF(OR($B416="",K$7=""),"",IF($B416="MEANS",INDEX('1-DATA'!$1:$1048576,$A415-1,COLUMN('1-DATA'!J414)),ROUND(INDEX('1-DATA'!$1:$1048576,IF(OR($B416="STD. DEVIATION",$C$1=1),$A416,$A416+1),COLUMN('1-DATA'!J414)),IF($B416="STD. DEVIATION",2,$F$1))))</f>
        <v/>
      </c>
      <c r="L416" s="1" t="str">
        <f>IF(OR($B416="",L$7=""),"",IF($B416="MEANS",INDEX('1-DATA'!$1:$1048576,$A415-1,COLUMN('1-DATA'!K414)),ROUND(INDEX('1-DATA'!$1:$1048576,IF(OR($B416="STD. DEVIATION",$C$1=1),$A416,$A416+1),COLUMN('1-DATA'!K414)),IF($B416="STD. DEVIATION",2,$F$1))))</f>
        <v/>
      </c>
      <c r="M416" s="1" t="str">
        <f>IF(OR($B416="",M$7=""),"",IF($B416="MEANS",INDEX('1-DATA'!$1:$1048576,$A415-1,COLUMN('1-DATA'!L414)),ROUND(INDEX('1-DATA'!$1:$1048576,IF(OR($B416="STD. DEVIATION",$C$1=1),$A416,$A416+1),COLUMN('1-DATA'!L414)),IF($B416="STD. DEVIATION",2,$F$1))))</f>
        <v/>
      </c>
      <c r="N416" s="1" t="str">
        <f>IF(OR($B416="",N$7=""),"",IF($B416="MEANS",INDEX('1-DATA'!$1:$1048576,$A415-1,COLUMN('1-DATA'!M414)),ROUND(INDEX('1-DATA'!$1:$1048576,IF(OR($B416="STD. DEVIATION",$C$1=1),$A416,$A416+1),COLUMN('1-DATA'!M414)),IF($B416="STD. DEVIATION",2,$F$1))))</f>
        <v/>
      </c>
      <c r="O416" s="1" t="str">
        <f>IF(OR($B416="",O$7=""),"",IF($B416="MEANS",INDEX('1-DATA'!$1:$1048576,$A415-1,COLUMN('1-DATA'!N414)),ROUND(INDEX('1-DATA'!$1:$1048576,IF(OR($B416="STD. DEVIATION",$C$1=1),$A416,$A416+1),COLUMN('1-DATA'!N414)),IF($B416="STD. DEVIATION",2,$F$1))))</f>
        <v/>
      </c>
      <c r="P416" s="1" t="str">
        <f>IF(OR($B416="",P$7=""),"",IF($B416="MEANS",INDEX('1-DATA'!$1:$1048576,$A415-1,COLUMN('1-DATA'!O414)),ROUND(INDEX('1-DATA'!$1:$1048576,IF(OR($B416="STD. DEVIATION",$C$1=1),$A416,$A416+1),COLUMN('1-DATA'!O414)),IF($B416="STD. DEVIATION",2,$F$1))))</f>
        <v/>
      </c>
      <c r="Q416" s="1" t="str">
        <f>IF(OR($B416="",Q$7=""),"",IF($B416="MEANS",INDEX('1-DATA'!$1:$1048576,$A415-1,COLUMN('1-DATA'!P414)),ROUND(INDEX('1-DATA'!$1:$1048576,IF(OR($B416="STD. DEVIATION",$C$1=1),$A416,$A416+1),COLUMN('1-DATA'!P414)),IF($B416="STD. DEVIATION",2,$F$1))))</f>
        <v/>
      </c>
      <c r="R416" s="1" t="str">
        <f>IF(OR($B416="",R$7=""),"",IF($B416="MEANS",INDEX('1-DATA'!$1:$1048576,$A415-1,COLUMN('1-DATA'!Q414)),ROUND(INDEX('1-DATA'!$1:$1048576,IF(OR($B416="STD. DEVIATION",$C$1=1),$A416,$A416+1),COLUMN('1-DATA'!Q414)),IF($B416="STD. DEVIATION",2,$F$1))))</f>
        <v/>
      </c>
      <c r="S416" s="1" t="str">
        <f>IF(OR($B416="",S$7=""),"",IF($B416="MEANS",INDEX('1-DATA'!$1:$1048576,$A415-1,COLUMN('1-DATA'!R414)),ROUND(INDEX('1-DATA'!$1:$1048576,IF(OR($B416="STD. DEVIATION",$C$1=1),$A416,$A416+1),COLUMN('1-DATA'!R414)),IF($B416="STD. DEVIATION",2,$F$1))))</f>
        <v/>
      </c>
      <c r="T416" s="1" t="str">
        <f>IF(OR($B416="",T$7=""),"",IF($B416="MEANS",INDEX('1-DATA'!$1:$1048576,$A415-1,COLUMN('1-DATA'!S414)),ROUND(INDEX('1-DATA'!$1:$1048576,IF(OR($B416="STD. DEVIATION",$C$1=1),$A416,$A416+1),COLUMN('1-DATA'!S414)),IF($B416="STD. DEVIATION",2,$F$1))))</f>
        <v/>
      </c>
      <c r="U416" s="1" t="str">
        <f>IF(OR($B416="",U$7=""),"",IF($B416="MEANS",INDEX('1-DATA'!$1:$1048576,$A415-1,COLUMN('1-DATA'!T414)),ROUND(INDEX('1-DATA'!$1:$1048576,IF(OR($B416="STD. DEVIATION",$C$1=1),$A416,$A416+1),COLUMN('1-DATA'!T414)),IF($B416="STD. DEVIATION",2,$F$1))))</f>
        <v/>
      </c>
      <c r="V416" s="1" t="str">
        <f>IF(OR($B416="",V$7=""),"",IF($B416="MEANS",INDEX('1-DATA'!$1:$1048576,$A415-1,COLUMN('1-DATA'!U414)),ROUND(INDEX('1-DATA'!$1:$1048576,IF(OR($B416="STD. DEVIATION",$C$1=1),$A416,$A416+1),COLUMN('1-DATA'!U414)),IF($B416="STD. DEVIATION",2,$F$1))))</f>
        <v/>
      </c>
      <c r="W416" s="1" t="str">
        <f>IF(OR($B416="",W$7=""),"",IF($B416="MEANS",INDEX('1-DATA'!$1:$1048576,$A415-1,COLUMN('1-DATA'!V414)),ROUND(INDEX('1-DATA'!$1:$1048576,IF(OR($B416="STD. DEVIATION",$C$1=1),$A416,$A416+1),COLUMN('1-DATA'!V414)),IF($B416="STD. DEVIATION",2,$F$1))))</f>
        <v/>
      </c>
      <c r="X416" s="1" t="str">
        <f>IF(OR($B416="",X$7=""),"",IF($B416="MEANS",INDEX('1-DATA'!$1:$1048576,$A415-1,COLUMN('1-DATA'!W414)),ROUND(INDEX('1-DATA'!$1:$1048576,IF(OR($B416="STD. DEVIATION",$C$1=1),$A416,$A416+1),COLUMN('1-DATA'!W414)),IF($B416="STD. DEVIATION",2,$F$1))))</f>
        <v/>
      </c>
      <c r="Y416" s="1" t="str">
        <f>IF(OR($B416="",Y$7=""),"",IF($B416="MEANS",INDEX('1-DATA'!$1:$1048576,$A415-1,COLUMN('1-DATA'!X414)),ROUND(INDEX('1-DATA'!$1:$1048576,IF(OR($B416="STD. DEVIATION",$C$1=1),$A416,$A416+1),COLUMN('1-DATA'!X414)),IF($B416="STD. DEVIATION",2,$F$1))))</f>
        <v/>
      </c>
      <c r="Z416" s="1" t="str">
        <f>IF(OR($B416="",Z$7=""),"",IF($B416="MEANS",INDEX('1-DATA'!$1:$1048576,$A415-1,COLUMN('1-DATA'!Y414)),ROUND(INDEX('1-DATA'!$1:$1048576,IF(OR($B416="STD. DEVIATION",$C$1=1),$A416,$A416+1),COLUMN('1-DATA'!Y414)),IF($B416="STD. DEVIATION",2,$F$1))))</f>
        <v/>
      </c>
      <c r="AA416" s="1" t="str">
        <f>IF(OR($B416="",AA$7=""),"",IF($B416="MEANS",INDEX('1-DATA'!$1:$1048576,$A415-1,COLUMN('1-DATA'!Z414)),ROUND(INDEX('1-DATA'!$1:$1048576,IF(OR($B416="STD. DEVIATION",$C$1=1),$A416,$A416+1),COLUMN('1-DATA'!Z414)),IF($B416="STD. DEVIATION",2,$F$1))))</f>
        <v/>
      </c>
      <c r="AB416" s="1" t="str">
        <f>IF(OR($B416="",AB$7=""),"",IF($B416="MEANS",INDEX('1-DATA'!$1:$1048576,$A415-1,COLUMN('1-DATA'!AA414)),ROUND(INDEX('1-DATA'!$1:$1048576,IF(OR($B416="STD. DEVIATION",$C$1=1),$A416,$A416+1),COLUMN('1-DATA'!AA414)),IF($B416="STD. DEVIATION",2,$F$1))))</f>
        <v/>
      </c>
      <c r="AC416" s="1" t="str">
        <f>IF(OR($B416="",AC$7=""),"",IF($B416="MEANS",INDEX('1-DATA'!$1:$1048576,$A415-1,COLUMN('1-DATA'!AB414)),ROUND(INDEX('1-DATA'!$1:$1048576,IF(OR($B416="STD. DEVIATION",$C$1=1),$A416,$A416+1),COLUMN('1-DATA'!AB414)),IF($B416="STD. DEVIATION",2,$F$1))))</f>
        <v/>
      </c>
      <c r="AD416" s="1" t="str">
        <f>IF(OR($B416="",AD$7=""),"",IF($B416="MEANS",INDEX('1-DATA'!$1:$1048576,$A415-1,COLUMN('1-DATA'!AC414)),ROUND(INDEX('1-DATA'!$1:$1048576,IF(OR($B416="STD. DEVIATION",$C$1=1),$A416,$A416+1),COLUMN('1-DATA'!AC414)),IF($B416="STD. DEVIATION",2,$F$1))))</f>
        <v/>
      </c>
      <c r="AE416" s="1" t="str">
        <f>IF(OR($B416="",AE$7=""),"",IF($B416="MEANS",INDEX('1-DATA'!$1:$1048576,$A415-1,COLUMN('1-DATA'!AD414)),ROUND(INDEX('1-DATA'!$1:$1048576,IF(OR($B416="STD. DEVIATION",$C$1=1),$A416,$A416+1),COLUMN('1-DATA'!AD414)),IF($B416="STD. DEVIATION",2,$F$1))))</f>
        <v/>
      </c>
      <c r="AF416" s="1" t="str">
        <f>IF(OR($B416="",AF$7=""),"",IF($B416="MEANS",INDEX('1-DATA'!$1:$1048576,$A415-1,COLUMN('1-DATA'!AE414)),ROUND(INDEX('1-DATA'!$1:$1048576,IF(OR($B416="STD. DEVIATION",$C$1=1),$A416,$A416+1),COLUMN('1-DATA'!AE414)),IF($B416="STD. DEVIATION",2,$F$1))))</f>
        <v/>
      </c>
      <c r="AG416" s="1" t="str">
        <f>IF(OR($B416="",AG$7=""),"",IF($B416="MEANS",INDEX('1-DATA'!$1:$1048576,$A415-1,COLUMN('1-DATA'!AF414)),ROUND(INDEX('1-DATA'!$1:$1048576,IF(OR($B416="STD. DEVIATION",$C$1=1),$A416,$A416+1),COLUMN('1-DATA'!AF414)),IF($B416="STD. DEVIATION",2,$F$1))))</f>
        <v/>
      </c>
      <c r="AH416" s="1" t="str">
        <f>IF(OR($B416="",AH$7=""),"",IF($B416="MEANS",INDEX('1-DATA'!$1:$1048576,$A415-1,COLUMN('1-DATA'!AG414)),ROUND(INDEX('1-DATA'!$1:$1048576,IF(OR($B416="STD. DEVIATION",$C$1=1),$A416,$A416+1),COLUMN('1-DATA'!AG414)),IF($B416="STD. DEVIATION",2,$F$1))))</f>
        <v/>
      </c>
      <c r="AI416" s="1" t="str">
        <f>IF(OR($B416="",AI$7=""),"",IF($B416="MEANS",INDEX('1-DATA'!$1:$1048576,$A415-1,COLUMN('1-DATA'!AH414)),ROUND(INDEX('1-DATA'!$1:$1048576,IF(OR($B416="STD. DEVIATION",$C$1=1),$A416,$A416+1),COLUMN('1-DATA'!AH414)),IF($B416="STD. DEVIATION",2,$F$1))))</f>
        <v/>
      </c>
      <c r="AJ416" s="1" t="str">
        <f>IF(OR($B416="",AJ$7=""),"",IF($B416="MEANS",INDEX('1-DATA'!$1:$1048576,$A415-1,COLUMN('1-DATA'!AI414)),ROUND(INDEX('1-DATA'!$1:$1048576,IF(OR($B416="STD. DEVIATION",$C$1=1),$A416,$A416+1),COLUMN('1-DATA'!AI414)),IF($B416="STD. DEVIATION",2,$F$1))))</f>
        <v/>
      </c>
      <c r="AK416" s="1" t="str">
        <f>IF(OR($B416="",AK$7=""),"",IF($B416="MEANS",INDEX('1-DATA'!$1:$1048576,$A415-1,COLUMN('1-DATA'!AJ414)),ROUND(INDEX('1-DATA'!$1:$1048576,IF(OR($B416="STD. DEVIATION",$C$1=1),$A416,$A416+1),COLUMN('1-DATA'!AJ414)),IF($B416="STD. DEVIATION",2,$F$1))))</f>
        <v/>
      </c>
      <c r="AL416" s="1" t="str">
        <f>IF(OR($B416="",AL$7=""),"",IF($B416="MEANS",INDEX('1-DATA'!$1:$1048576,$A415-1,COLUMN('1-DATA'!AK414)),ROUND(INDEX('1-DATA'!$1:$1048576,IF(OR($B416="STD. DEVIATION",$C$1=1),$A416,$A416+1),COLUMN('1-DATA'!AK414)),IF($B416="STD. DEVIATION",2,$F$1))))</f>
        <v/>
      </c>
      <c r="AM416" s="1" t="str">
        <f>IF(OR($B416="",AM$7=""),"",IF($B416="MEANS",INDEX('1-DATA'!$1:$1048576,$A415-1,COLUMN('1-DATA'!AL414)),ROUND(INDEX('1-DATA'!$1:$1048576,IF(OR($B416="STD. DEVIATION",$C$1=1),$A416,$A416+1),COLUMN('1-DATA'!AL414)),IF($B416="STD. DEVIATION",2,$F$1))))</f>
        <v/>
      </c>
      <c r="AN416" s="1" t="str">
        <f>IF(OR($B416="",AN$7=""),"",IF($B416="MEANS",INDEX('1-DATA'!$1:$1048576,$A415-1,COLUMN('1-DATA'!AM414)),ROUND(INDEX('1-DATA'!$1:$1048576,IF(OR($B416="STD. DEVIATION",$C$1=1),$A416,$A416+1),COLUMN('1-DATA'!AM414)),IF($B416="STD. DEVIATION",2,$F$1))))</f>
        <v/>
      </c>
      <c r="AO416" s="1" t="str">
        <f>IF(OR($B416="",AO$7=""),"",IF($B416="MEANS",INDEX('1-DATA'!$1:$1048576,$A415-1,COLUMN('1-DATA'!AN414)),ROUND(INDEX('1-DATA'!$1:$1048576,IF(OR($B416="STD. DEVIATION",$C$1=1),$A416,$A416+1),COLUMN('1-DATA'!AN414)),IF($B416="STD. DEVIATION",2,$F$1))))</f>
        <v/>
      </c>
      <c r="AP416" s="1" t="str">
        <f>IF(OR($B416="",AP$7=""),"",IF($B416="MEANS",INDEX('1-DATA'!$1:$1048576,$A415-1,COLUMN('1-DATA'!AO414)),ROUND(INDEX('1-DATA'!$1:$1048576,IF(OR($B416="STD. DEVIATION",$C$1=1),$A416,$A416+1),COLUMN('1-DATA'!AO414)),IF($B416="STD. DEVIATION",2,$F$1))))</f>
        <v/>
      </c>
      <c r="AQ416" s="1" t="str">
        <f>IF(OR($B416="",AQ$7=""),"",IF($B416="MEANS",INDEX('1-DATA'!$1:$1048576,$A415-1,COLUMN('1-DATA'!AP414)),ROUND(INDEX('1-DATA'!$1:$1048576,IF(OR($B416="STD. DEVIATION",$C$1=1),$A416,$A416+1),COLUMN('1-DATA'!AP414)),IF($B416="STD. DEVIATION",2,$F$1))))</f>
        <v/>
      </c>
      <c r="AR416" s="1" t="str">
        <f>IF(OR($B416="",AR$7=""),"",IF($B416="MEANS",INDEX('1-DATA'!$1:$1048576,$A415-1,COLUMN('1-DATA'!AQ414)),ROUND(INDEX('1-DATA'!$1:$1048576,IF(OR($B416="STD. DEVIATION",$C$1=1),$A416,$A416+1),COLUMN('1-DATA'!AQ414)),IF($B416="STD. DEVIATION",2,$F$1))))</f>
        <v/>
      </c>
      <c r="AS416" s="1" t="str">
        <f>IF(OR($B416="",AS$7=""),"",IF($B416="MEANS",INDEX('1-DATA'!$1:$1048576,$A415-1,COLUMN('1-DATA'!AR414)),ROUND(INDEX('1-DATA'!$1:$1048576,IF(OR($B416="STD. DEVIATION",$C$1=1),$A416,$A416+1),COLUMN('1-DATA'!AR414)),IF($B416="STD. DEVIATION",2,$F$1))))</f>
        <v/>
      </c>
      <c r="AT416" s="1" t="str">
        <f>IF(OR($B416="",AT$7=""),"",IF($B416="MEANS",INDEX('1-DATA'!$1:$1048576,$A415-1,COLUMN('1-DATA'!AS414)),ROUND(INDEX('1-DATA'!$1:$1048576,IF(OR($B416="STD. DEVIATION",$C$1=1),$A416,$A416+1),COLUMN('1-DATA'!AS414)),IF($B416="STD. DEVIATION",2,$F$1))))</f>
        <v/>
      </c>
      <c r="AU416" s="1" t="str">
        <f>IF(OR($B416="",AU$7=""),"",IF($B416="MEANS",INDEX('1-DATA'!$1:$1048576,$A415-1,COLUMN('1-DATA'!AT414)),ROUND(INDEX('1-DATA'!$1:$1048576,IF(OR($B416="STD. DEVIATION",$C$1=1),$A416,$A416+1),COLUMN('1-DATA'!AT414)),IF($B416="STD. DEVIATION",2,$F$1))))</f>
        <v/>
      </c>
      <c r="AV416" s="1" t="str">
        <f>IF(OR($B416="",AV$7=""),"",IF($B416="MEANS",INDEX('1-DATA'!$1:$1048576,$A415-1,COLUMN('1-DATA'!AU414)),ROUND(INDEX('1-DATA'!$1:$1048576,IF(OR($B416="STD. DEVIATION",$C$1=1),$A416,$A416+1),COLUMN('1-DATA'!AU414)),IF($B416="STD. DEVIATION",2,$F$1))))</f>
        <v/>
      </c>
      <c r="AW416" s="1" t="str">
        <f>IF(OR($B416="",AW$7=""),"",IF($B416="MEANS",INDEX('1-DATA'!$1:$1048576,$A415-1,COLUMN('1-DATA'!AV414)),ROUND(INDEX('1-DATA'!$1:$1048576,IF(OR($B416="STD. DEVIATION",$C$1=1),$A416,$A416+1),COLUMN('1-DATA'!AV414)),IF($B416="STD. DEVIATION",2,$F$1))))</f>
        <v/>
      </c>
      <c r="AX416" s="1" t="str">
        <f>IF(OR($B416="",AX$7=""),"",IF($B416="MEANS",INDEX('1-DATA'!$1:$1048576,$A415-1,COLUMN('1-DATA'!AW414)),ROUND(INDEX('1-DATA'!$1:$1048576,IF(OR($B416="STD. DEVIATION",$C$1=1),$A416,$A416+1),COLUMN('1-DATA'!AW414)),IF($B416="STD. DEVIATION",2,$F$1))))</f>
        <v/>
      </c>
      <c r="AY416" s="1" t="str">
        <f>IF(OR($B416="",AY$7=""),"",IF($B416="MEANS",INDEX('1-DATA'!$1:$1048576,$A415-1,COLUMN('1-DATA'!AX414)),ROUND(INDEX('1-DATA'!$1:$1048576,IF(OR($B416="STD. DEVIATION",$C$1=1),$A416,$A416+1),COLUMN('1-DATA'!AX414)),IF($B416="STD. DEVIATION",2,$F$1))))</f>
        <v/>
      </c>
      <c r="AZ416" s="1" t="str">
        <f>IF(OR($B416="",AZ$7=""),"",IF($B416="MEANS",INDEX('1-DATA'!$1:$1048576,$A415-1,COLUMN('1-DATA'!AY414)),ROUND(INDEX('1-DATA'!$1:$1048576,IF(OR($B416="STD. DEVIATION",$C$1=1),$A416,$A416+1),COLUMN('1-DATA'!AY414)),IF($B416="STD. DEVIATION",2,$F$1))))</f>
        <v/>
      </c>
    </row>
    <row r="417" spans="1:52" x14ac:dyDescent="0.25">
      <c r="A417" s="11">
        <f t="shared" si="7"/>
        <v>1237</v>
      </c>
      <c r="B417" s="1" t="str">
        <f>IF(B416="STD. DEVIATION",INDEX('1-DATA'!$1:$1048576,$A416-1,1),IF(INDEX('1-DATA'!$1:$1048576,$A417,1)&lt;&gt;"",INDEX('1-DATA'!$1:$1048576,$A417,1),""))</f>
        <v/>
      </c>
      <c r="C417" s="1" t="str">
        <f>IF(OR($B417="",C$7=""),"",IF($B417="MEANS",INDEX('1-DATA'!$1:$1048576,$A416-1,COLUMN('1-DATA'!B415)),ROUND(INDEX('1-DATA'!$1:$1048576,IF(OR($B417="STD. DEVIATION",$C$1=1),$A417,$A417+1),COLUMN('1-DATA'!B415)),IF($B417="STD. DEVIATION",2,$F$1))))</f>
        <v/>
      </c>
      <c r="D417" s="1" t="str">
        <f>IF(OR($B417="",D$7=""),"",IF($B417="MEANS",INDEX('1-DATA'!$1:$1048576,$A416-1,COLUMN('1-DATA'!C415)),ROUND(INDEX('1-DATA'!$1:$1048576,IF(OR($B417="STD. DEVIATION",$C$1=1),$A417,$A417+1),COLUMN('1-DATA'!C415)),IF($B417="STD. DEVIATION",2,$F$1))))</f>
        <v/>
      </c>
      <c r="E417" s="1" t="str">
        <f>IF(OR($B417="",E$7=""),"",IF($B417="MEANS",INDEX('1-DATA'!$1:$1048576,$A416-1,COLUMN('1-DATA'!D415)),ROUND(INDEX('1-DATA'!$1:$1048576,IF(OR($B417="STD. DEVIATION",$C$1=1),$A417,$A417+1),COLUMN('1-DATA'!D415)),IF($B417="STD. DEVIATION",2,$F$1))))</f>
        <v/>
      </c>
      <c r="F417" s="1" t="str">
        <f>IF(OR($B417="",F$7=""),"",IF($B417="MEANS",INDEX('1-DATA'!$1:$1048576,$A416-1,COLUMN('1-DATA'!E415)),ROUND(INDEX('1-DATA'!$1:$1048576,IF(OR($B417="STD. DEVIATION",$C$1=1),$A417,$A417+1),COLUMN('1-DATA'!E415)),IF($B417="STD. DEVIATION",2,$F$1))))</f>
        <v/>
      </c>
      <c r="G417" s="1" t="str">
        <f>IF(OR($B417="",G$7=""),"",IF($B417="MEANS",INDEX('1-DATA'!$1:$1048576,$A416-1,COLUMN('1-DATA'!F415)),ROUND(INDEX('1-DATA'!$1:$1048576,IF(OR($B417="STD. DEVIATION",$C$1=1),$A417,$A417+1),COLUMN('1-DATA'!F415)),IF($B417="STD. DEVIATION",2,$F$1))))</f>
        <v/>
      </c>
      <c r="H417" s="1" t="str">
        <f>IF(OR($B417="",H$7=""),"",IF($B417="MEANS",INDEX('1-DATA'!$1:$1048576,$A416-1,COLUMN('1-DATA'!G415)),ROUND(INDEX('1-DATA'!$1:$1048576,IF(OR($B417="STD. DEVIATION",$C$1=1),$A417,$A417+1),COLUMN('1-DATA'!G415)),IF($B417="STD. DEVIATION",2,$F$1))))</f>
        <v/>
      </c>
      <c r="I417" s="1" t="str">
        <f>IF(OR($B417="",I$7=""),"",IF($B417="MEANS",INDEX('1-DATA'!$1:$1048576,$A416-1,COLUMN('1-DATA'!H415)),ROUND(INDEX('1-DATA'!$1:$1048576,IF(OR($B417="STD. DEVIATION",$C$1=1),$A417,$A417+1),COLUMN('1-DATA'!H415)),IF($B417="STD. DEVIATION",2,$F$1))))</f>
        <v/>
      </c>
      <c r="J417" s="1" t="str">
        <f>IF(OR($B417="",J$7=""),"",IF($B417="MEANS",INDEX('1-DATA'!$1:$1048576,$A416-1,COLUMN('1-DATA'!I415)),ROUND(INDEX('1-DATA'!$1:$1048576,IF(OR($B417="STD. DEVIATION",$C$1=1),$A417,$A417+1),COLUMN('1-DATA'!I415)),IF($B417="STD. DEVIATION",2,$F$1))))</f>
        <v/>
      </c>
      <c r="K417" s="1" t="str">
        <f>IF(OR($B417="",K$7=""),"",IF($B417="MEANS",INDEX('1-DATA'!$1:$1048576,$A416-1,COLUMN('1-DATA'!J415)),ROUND(INDEX('1-DATA'!$1:$1048576,IF(OR($B417="STD. DEVIATION",$C$1=1),$A417,$A417+1),COLUMN('1-DATA'!J415)),IF($B417="STD. DEVIATION",2,$F$1))))</f>
        <v/>
      </c>
      <c r="L417" s="1" t="str">
        <f>IF(OR($B417="",L$7=""),"",IF($B417="MEANS",INDEX('1-DATA'!$1:$1048576,$A416-1,COLUMN('1-DATA'!K415)),ROUND(INDEX('1-DATA'!$1:$1048576,IF(OR($B417="STD. DEVIATION",$C$1=1),$A417,$A417+1),COLUMN('1-DATA'!K415)),IF($B417="STD. DEVIATION",2,$F$1))))</f>
        <v/>
      </c>
      <c r="M417" s="1" t="str">
        <f>IF(OR($B417="",M$7=""),"",IF($B417="MEANS",INDEX('1-DATA'!$1:$1048576,$A416-1,COLUMN('1-DATA'!L415)),ROUND(INDEX('1-DATA'!$1:$1048576,IF(OR($B417="STD. DEVIATION",$C$1=1),$A417,$A417+1),COLUMN('1-DATA'!L415)),IF($B417="STD. DEVIATION",2,$F$1))))</f>
        <v/>
      </c>
      <c r="N417" s="1" t="str">
        <f>IF(OR($B417="",N$7=""),"",IF($B417="MEANS",INDEX('1-DATA'!$1:$1048576,$A416-1,COLUMN('1-DATA'!M415)),ROUND(INDEX('1-DATA'!$1:$1048576,IF(OR($B417="STD. DEVIATION",$C$1=1),$A417,$A417+1),COLUMN('1-DATA'!M415)),IF($B417="STD. DEVIATION",2,$F$1))))</f>
        <v/>
      </c>
      <c r="O417" s="1" t="str">
        <f>IF(OR($B417="",O$7=""),"",IF($B417="MEANS",INDEX('1-DATA'!$1:$1048576,$A416-1,COLUMN('1-DATA'!N415)),ROUND(INDEX('1-DATA'!$1:$1048576,IF(OR($B417="STD. DEVIATION",$C$1=1),$A417,$A417+1),COLUMN('1-DATA'!N415)),IF($B417="STD. DEVIATION",2,$F$1))))</f>
        <v/>
      </c>
      <c r="P417" s="1" t="str">
        <f>IF(OR($B417="",P$7=""),"",IF($B417="MEANS",INDEX('1-DATA'!$1:$1048576,$A416-1,COLUMN('1-DATA'!O415)),ROUND(INDEX('1-DATA'!$1:$1048576,IF(OR($B417="STD. DEVIATION",$C$1=1),$A417,$A417+1),COLUMN('1-DATA'!O415)),IF($B417="STD. DEVIATION",2,$F$1))))</f>
        <v/>
      </c>
      <c r="Q417" s="1" t="str">
        <f>IF(OR($B417="",Q$7=""),"",IF($B417="MEANS",INDEX('1-DATA'!$1:$1048576,$A416-1,COLUMN('1-DATA'!P415)),ROUND(INDEX('1-DATA'!$1:$1048576,IF(OR($B417="STD. DEVIATION",$C$1=1),$A417,$A417+1),COLUMN('1-DATA'!P415)),IF($B417="STD. DEVIATION",2,$F$1))))</f>
        <v/>
      </c>
      <c r="R417" s="1" t="str">
        <f>IF(OR($B417="",R$7=""),"",IF($B417="MEANS",INDEX('1-DATA'!$1:$1048576,$A416-1,COLUMN('1-DATA'!Q415)),ROUND(INDEX('1-DATA'!$1:$1048576,IF(OR($B417="STD. DEVIATION",$C$1=1),$A417,$A417+1),COLUMN('1-DATA'!Q415)),IF($B417="STD. DEVIATION",2,$F$1))))</f>
        <v/>
      </c>
      <c r="S417" s="1" t="str">
        <f>IF(OR($B417="",S$7=""),"",IF($B417="MEANS",INDEX('1-DATA'!$1:$1048576,$A416-1,COLUMN('1-DATA'!R415)),ROUND(INDEX('1-DATA'!$1:$1048576,IF(OR($B417="STD. DEVIATION",$C$1=1),$A417,$A417+1),COLUMN('1-DATA'!R415)),IF($B417="STD. DEVIATION",2,$F$1))))</f>
        <v/>
      </c>
      <c r="T417" s="1" t="str">
        <f>IF(OR($B417="",T$7=""),"",IF($B417="MEANS",INDEX('1-DATA'!$1:$1048576,$A416-1,COLUMN('1-DATA'!S415)),ROUND(INDEX('1-DATA'!$1:$1048576,IF(OR($B417="STD. DEVIATION",$C$1=1),$A417,$A417+1),COLUMN('1-DATA'!S415)),IF($B417="STD. DEVIATION",2,$F$1))))</f>
        <v/>
      </c>
      <c r="U417" s="1" t="str">
        <f>IF(OR($B417="",U$7=""),"",IF($B417="MEANS",INDEX('1-DATA'!$1:$1048576,$A416-1,COLUMN('1-DATA'!T415)),ROUND(INDEX('1-DATA'!$1:$1048576,IF(OR($B417="STD. DEVIATION",$C$1=1),$A417,$A417+1),COLUMN('1-DATA'!T415)),IF($B417="STD. DEVIATION",2,$F$1))))</f>
        <v/>
      </c>
      <c r="V417" s="1" t="str">
        <f>IF(OR($B417="",V$7=""),"",IF($B417="MEANS",INDEX('1-DATA'!$1:$1048576,$A416-1,COLUMN('1-DATA'!U415)),ROUND(INDEX('1-DATA'!$1:$1048576,IF(OR($B417="STD. DEVIATION",$C$1=1),$A417,$A417+1),COLUMN('1-DATA'!U415)),IF($B417="STD. DEVIATION",2,$F$1))))</f>
        <v/>
      </c>
      <c r="W417" s="1" t="str">
        <f>IF(OR($B417="",W$7=""),"",IF($B417="MEANS",INDEX('1-DATA'!$1:$1048576,$A416-1,COLUMN('1-DATA'!V415)),ROUND(INDEX('1-DATA'!$1:$1048576,IF(OR($B417="STD. DEVIATION",$C$1=1),$A417,$A417+1),COLUMN('1-DATA'!V415)),IF($B417="STD. DEVIATION",2,$F$1))))</f>
        <v/>
      </c>
      <c r="X417" s="1" t="str">
        <f>IF(OR($B417="",X$7=""),"",IF($B417="MEANS",INDEX('1-DATA'!$1:$1048576,$A416-1,COLUMN('1-DATA'!W415)),ROUND(INDEX('1-DATA'!$1:$1048576,IF(OR($B417="STD. DEVIATION",$C$1=1),$A417,$A417+1),COLUMN('1-DATA'!W415)),IF($B417="STD. DEVIATION",2,$F$1))))</f>
        <v/>
      </c>
      <c r="Y417" s="1" t="str">
        <f>IF(OR($B417="",Y$7=""),"",IF($B417="MEANS",INDEX('1-DATA'!$1:$1048576,$A416-1,COLUMN('1-DATA'!X415)),ROUND(INDEX('1-DATA'!$1:$1048576,IF(OR($B417="STD. DEVIATION",$C$1=1),$A417,$A417+1),COLUMN('1-DATA'!X415)),IF($B417="STD. DEVIATION",2,$F$1))))</f>
        <v/>
      </c>
      <c r="Z417" s="1" t="str">
        <f>IF(OR($B417="",Z$7=""),"",IF($B417="MEANS",INDEX('1-DATA'!$1:$1048576,$A416-1,COLUMN('1-DATA'!Y415)),ROUND(INDEX('1-DATA'!$1:$1048576,IF(OR($B417="STD. DEVIATION",$C$1=1),$A417,$A417+1),COLUMN('1-DATA'!Y415)),IF($B417="STD. DEVIATION",2,$F$1))))</f>
        <v/>
      </c>
      <c r="AA417" s="1" t="str">
        <f>IF(OR($B417="",AA$7=""),"",IF($B417="MEANS",INDEX('1-DATA'!$1:$1048576,$A416-1,COLUMN('1-DATA'!Z415)),ROUND(INDEX('1-DATA'!$1:$1048576,IF(OR($B417="STD. DEVIATION",$C$1=1),$A417,$A417+1),COLUMN('1-DATA'!Z415)),IF($B417="STD. DEVIATION",2,$F$1))))</f>
        <v/>
      </c>
      <c r="AB417" s="1" t="str">
        <f>IF(OR($B417="",AB$7=""),"",IF($B417="MEANS",INDEX('1-DATA'!$1:$1048576,$A416-1,COLUMN('1-DATA'!AA415)),ROUND(INDEX('1-DATA'!$1:$1048576,IF(OR($B417="STD. DEVIATION",$C$1=1),$A417,$A417+1),COLUMN('1-DATA'!AA415)),IF($B417="STD. DEVIATION",2,$F$1))))</f>
        <v/>
      </c>
      <c r="AC417" s="1" t="str">
        <f>IF(OR($B417="",AC$7=""),"",IF($B417="MEANS",INDEX('1-DATA'!$1:$1048576,$A416-1,COLUMN('1-DATA'!AB415)),ROUND(INDEX('1-DATA'!$1:$1048576,IF(OR($B417="STD. DEVIATION",$C$1=1),$A417,$A417+1),COLUMN('1-DATA'!AB415)),IF($B417="STD. DEVIATION",2,$F$1))))</f>
        <v/>
      </c>
      <c r="AD417" s="1" t="str">
        <f>IF(OR($B417="",AD$7=""),"",IF($B417="MEANS",INDEX('1-DATA'!$1:$1048576,$A416-1,COLUMN('1-DATA'!AC415)),ROUND(INDEX('1-DATA'!$1:$1048576,IF(OR($B417="STD. DEVIATION",$C$1=1),$A417,$A417+1),COLUMN('1-DATA'!AC415)),IF($B417="STD. DEVIATION",2,$F$1))))</f>
        <v/>
      </c>
      <c r="AE417" s="1" t="str">
        <f>IF(OR($B417="",AE$7=""),"",IF($B417="MEANS",INDEX('1-DATA'!$1:$1048576,$A416-1,COLUMN('1-DATA'!AD415)),ROUND(INDEX('1-DATA'!$1:$1048576,IF(OR($B417="STD. DEVIATION",$C$1=1),$A417,$A417+1),COLUMN('1-DATA'!AD415)),IF($B417="STD. DEVIATION",2,$F$1))))</f>
        <v/>
      </c>
      <c r="AF417" s="1" t="str">
        <f>IF(OR($B417="",AF$7=""),"",IF($B417="MEANS",INDEX('1-DATA'!$1:$1048576,$A416-1,COLUMN('1-DATA'!AE415)),ROUND(INDEX('1-DATA'!$1:$1048576,IF(OR($B417="STD. DEVIATION",$C$1=1),$A417,$A417+1),COLUMN('1-DATA'!AE415)),IF($B417="STD. DEVIATION",2,$F$1))))</f>
        <v/>
      </c>
      <c r="AG417" s="1" t="str">
        <f>IF(OR($B417="",AG$7=""),"",IF($B417="MEANS",INDEX('1-DATA'!$1:$1048576,$A416-1,COLUMN('1-DATA'!AF415)),ROUND(INDEX('1-DATA'!$1:$1048576,IF(OR($B417="STD. DEVIATION",$C$1=1),$A417,$A417+1),COLUMN('1-DATA'!AF415)),IF($B417="STD. DEVIATION",2,$F$1))))</f>
        <v/>
      </c>
      <c r="AH417" s="1" t="str">
        <f>IF(OR($B417="",AH$7=""),"",IF($B417="MEANS",INDEX('1-DATA'!$1:$1048576,$A416-1,COLUMN('1-DATA'!AG415)),ROUND(INDEX('1-DATA'!$1:$1048576,IF(OR($B417="STD. DEVIATION",$C$1=1),$A417,$A417+1),COLUMN('1-DATA'!AG415)),IF($B417="STD. DEVIATION",2,$F$1))))</f>
        <v/>
      </c>
      <c r="AI417" s="1" t="str">
        <f>IF(OR($B417="",AI$7=""),"",IF($B417="MEANS",INDEX('1-DATA'!$1:$1048576,$A416-1,COLUMN('1-DATA'!AH415)),ROUND(INDEX('1-DATA'!$1:$1048576,IF(OR($B417="STD. DEVIATION",$C$1=1),$A417,$A417+1),COLUMN('1-DATA'!AH415)),IF($B417="STD. DEVIATION",2,$F$1))))</f>
        <v/>
      </c>
      <c r="AJ417" s="1" t="str">
        <f>IF(OR($B417="",AJ$7=""),"",IF($B417="MEANS",INDEX('1-DATA'!$1:$1048576,$A416-1,COLUMN('1-DATA'!AI415)),ROUND(INDEX('1-DATA'!$1:$1048576,IF(OR($B417="STD. DEVIATION",$C$1=1),$A417,$A417+1),COLUMN('1-DATA'!AI415)),IF($B417="STD. DEVIATION",2,$F$1))))</f>
        <v/>
      </c>
      <c r="AK417" s="1" t="str">
        <f>IF(OR($B417="",AK$7=""),"",IF($B417="MEANS",INDEX('1-DATA'!$1:$1048576,$A416-1,COLUMN('1-DATA'!AJ415)),ROUND(INDEX('1-DATA'!$1:$1048576,IF(OR($B417="STD. DEVIATION",$C$1=1),$A417,$A417+1),COLUMN('1-DATA'!AJ415)),IF($B417="STD. DEVIATION",2,$F$1))))</f>
        <v/>
      </c>
      <c r="AL417" s="1" t="str">
        <f>IF(OR($B417="",AL$7=""),"",IF($B417="MEANS",INDEX('1-DATA'!$1:$1048576,$A416-1,COLUMN('1-DATA'!AK415)),ROUND(INDEX('1-DATA'!$1:$1048576,IF(OR($B417="STD. DEVIATION",$C$1=1),$A417,$A417+1),COLUMN('1-DATA'!AK415)),IF($B417="STD. DEVIATION",2,$F$1))))</f>
        <v/>
      </c>
      <c r="AM417" s="1" t="str">
        <f>IF(OR($B417="",AM$7=""),"",IF($B417="MEANS",INDEX('1-DATA'!$1:$1048576,$A416-1,COLUMN('1-DATA'!AL415)),ROUND(INDEX('1-DATA'!$1:$1048576,IF(OR($B417="STD. DEVIATION",$C$1=1),$A417,$A417+1),COLUMN('1-DATA'!AL415)),IF($B417="STD. DEVIATION",2,$F$1))))</f>
        <v/>
      </c>
      <c r="AN417" s="1" t="str">
        <f>IF(OR($B417="",AN$7=""),"",IF($B417="MEANS",INDEX('1-DATA'!$1:$1048576,$A416-1,COLUMN('1-DATA'!AM415)),ROUND(INDEX('1-DATA'!$1:$1048576,IF(OR($B417="STD. DEVIATION",$C$1=1),$A417,$A417+1),COLUMN('1-DATA'!AM415)),IF($B417="STD. DEVIATION",2,$F$1))))</f>
        <v/>
      </c>
      <c r="AO417" s="1" t="str">
        <f>IF(OR($B417="",AO$7=""),"",IF($B417="MEANS",INDEX('1-DATA'!$1:$1048576,$A416-1,COLUMN('1-DATA'!AN415)),ROUND(INDEX('1-DATA'!$1:$1048576,IF(OR($B417="STD. DEVIATION",$C$1=1),$A417,$A417+1),COLUMN('1-DATA'!AN415)),IF($B417="STD. DEVIATION",2,$F$1))))</f>
        <v/>
      </c>
      <c r="AP417" s="1" t="str">
        <f>IF(OR($B417="",AP$7=""),"",IF($B417="MEANS",INDEX('1-DATA'!$1:$1048576,$A416-1,COLUMN('1-DATA'!AO415)),ROUND(INDEX('1-DATA'!$1:$1048576,IF(OR($B417="STD. DEVIATION",$C$1=1),$A417,$A417+1),COLUMN('1-DATA'!AO415)),IF($B417="STD. DEVIATION",2,$F$1))))</f>
        <v/>
      </c>
      <c r="AQ417" s="1" t="str">
        <f>IF(OR($B417="",AQ$7=""),"",IF($B417="MEANS",INDEX('1-DATA'!$1:$1048576,$A416-1,COLUMN('1-DATA'!AP415)),ROUND(INDEX('1-DATA'!$1:$1048576,IF(OR($B417="STD. DEVIATION",$C$1=1),$A417,$A417+1),COLUMN('1-DATA'!AP415)),IF($B417="STD. DEVIATION",2,$F$1))))</f>
        <v/>
      </c>
      <c r="AR417" s="1" t="str">
        <f>IF(OR($B417="",AR$7=""),"",IF($B417="MEANS",INDEX('1-DATA'!$1:$1048576,$A416-1,COLUMN('1-DATA'!AQ415)),ROUND(INDEX('1-DATA'!$1:$1048576,IF(OR($B417="STD. DEVIATION",$C$1=1),$A417,$A417+1),COLUMN('1-DATA'!AQ415)),IF($B417="STD. DEVIATION",2,$F$1))))</f>
        <v/>
      </c>
      <c r="AS417" s="1" t="str">
        <f>IF(OR($B417="",AS$7=""),"",IF($B417="MEANS",INDEX('1-DATA'!$1:$1048576,$A416-1,COLUMN('1-DATA'!AR415)),ROUND(INDEX('1-DATA'!$1:$1048576,IF(OR($B417="STD. DEVIATION",$C$1=1),$A417,$A417+1),COLUMN('1-DATA'!AR415)),IF($B417="STD. DEVIATION",2,$F$1))))</f>
        <v/>
      </c>
      <c r="AT417" s="1" t="str">
        <f>IF(OR($B417="",AT$7=""),"",IF($B417="MEANS",INDEX('1-DATA'!$1:$1048576,$A416-1,COLUMN('1-DATA'!AS415)),ROUND(INDEX('1-DATA'!$1:$1048576,IF(OR($B417="STD. DEVIATION",$C$1=1),$A417,$A417+1),COLUMN('1-DATA'!AS415)),IF($B417="STD. DEVIATION",2,$F$1))))</f>
        <v/>
      </c>
      <c r="AU417" s="1" t="str">
        <f>IF(OR($B417="",AU$7=""),"",IF($B417="MEANS",INDEX('1-DATA'!$1:$1048576,$A416-1,COLUMN('1-DATA'!AT415)),ROUND(INDEX('1-DATA'!$1:$1048576,IF(OR($B417="STD. DEVIATION",$C$1=1),$A417,$A417+1),COLUMN('1-DATA'!AT415)),IF($B417="STD. DEVIATION",2,$F$1))))</f>
        <v/>
      </c>
      <c r="AV417" s="1" t="str">
        <f>IF(OR($B417="",AV$7=""),"",IF($B417="MEANS",INDEX('1-DATA'!$1:$1048576,$A416-1,COLUMN('1-DATA'!AU415)),ROUND(INDEX('1-DATA'!$1:$1048576,IF(OR($B417="STD. DEVIATION",$C$1=1),$A417,$A417+1),COLUMN('1-DATA'!AU415)),IF($B417="STD. DEVIATION",2,$F$1))))</f>
        <v/>
      </c>
      <c r="AW417" s="1" t="str">
        <f>IF(OR($B417="",AW$7=""),"",IF($B417="MEANS",INDEX('1-DATA'!$1:$1048576,$A416-1,COLUMN('1-DATA'!AV415)),ROUND(INDEX('1-DATA'!$1:$1048576,IF(OR($B417="STD. DEVIATION",$C$1=1),$A417,$A417+1),COLUMN('1-DATA'!AV415)),IF($B417="STD. DEVIATION",2,$F$1))))</f>
        <v/>
      </c>
      <c r="AX417" s="1" t="str">
        <f>IF(OR($B417="",AX$7=""),"",IF($B417="MEANS",INDEX('1-DATA'!$1:$1048576,$A416-1,COLUMN('1-DATA'!AW415)),ROUND(INDEX('1-DATA'!$1:$1048576,IF(OR($B417="STD. DEVIATION",$C$1=1),$A417,$A417+1),COLUMN('1-DATA'!AW415)),IF($B417="STD. DEVIATION",2,$F$1))))</f>
        <v/>
      </c>
      <c r="AY417" s="1" t="str">
        <f>IF(OR($B417="",AY$7=""),"",IF($B417="MEANS",INDEX('1-DATA'!$1:$1048576,$A416-1,COLUMN('1-DATA'!AX415)),ROUND(INDEX('1-DATA'!$1:$1048576,IF(OR($B417="STD. DEVIATION",$C$1=1),$A417,$A417+1),COLUMN('1-DATA'!AX415)),IF($B417="STD. DEVIATION",2,$F$1))))</f>
        <v/>
      </c>
      <c r="AZ417" s="1" t="str">
        <f>IF(OR($B417="",AZ$7=""),"",IF($B417="MEANS",INDEX('1-DATA'!$1:$1048576,$A416-1,COLUMN('1-DATA'!AY415)),ROUND(INDEX('1-DATA'!$1:$1048576,IF(OR($B417="STD. DEVIATION",$C$1=1),$A417,$A417+1),COLUMN('1-DATA'!AY415)),IF($B417="STD. DEVIATION",2,$F$1))))</f>
        <v/>
      </c>
    </row>
    <row r="418" spans="1:52" x14ac:dyDescent="0.25">
      <c r="A418" s="11">
        <f t="shared" si="7"/>
        <v>1240</v>
      </c>
      <c r="B418" s="1" t="str">
        <f>IF(B417="STD. DEVIATION",INDEX('1-DATA'!$1:$1048576,$A417-1,1),IF(INDEX('1-DATA'!$1:$1048576,$A418,1)&lt;&gt;"",INDEX('1-DATA'!$1:$1048576,$A418,1),""))</f>
        <v/>
      </c>
      <c r="C418" s="1" t="str">
        <f>IF(OR($B418="",C$7=""),"",IF($B418="MEANS",INDEX('1-DATA'!$1:$1048576,$A417-1,COLUMN('1-DATA'!B416)),ROUND(INDEX('1-DATA'!$1:$1048576,IF(OR($B418="STD. DEVIATION",$C$1=1),$A418,$A418+1),COLUMN('1-DATA'!B416)),IF($B418="STD. DEVIATION",2,$F$1))))</f>
        <v/>
      </c>
      <c r="D418" s="1" t="str">
        <f>IF(OR($B418="",D$7=""),"",IF($B418="MEANS",INDEX('1-DATA'!$1:$1048576,$A417-1,COLUMN('1-DATA'!C416)),ROUND(INDEX('1-DATA'!$1:$1048576,IF(OR($B418="STD. DEVIATION",$C$1=1),$A418,$A418+1),COLUMN('1-DATA'!C416)),IF($B418="STD. DEVIATION",2,$F$1))))</f>
        <v/>
      </c>
      <c r="E418" s="1" t="str">
        <f>IF(OR($B418="",E$7=""),"",IF($B418="MEANS",INDEX('1-DATA'!$1:$1048576,$A417-1,COLUMN('1-DATA'!D416)),ROUND(INDEX('1-DATA'!$1:$1048576,IF(OR($B418="STD. DEVIATION",$C$1=1),$A418,$A418+1),COLUMN('1-DATA'!D416)),IF($B418="STD. DEVIATION",2,$F$1))))</f>
        <v/>
      </c>
      <c r="F418" s="1" t="str">
        <f>IF(OR($B418="",F$7=""),"",IF($B418="MEANS",INDEX('1-DATA'!$1:$1048576,$A417-1,COLUMN('1-DATA'!E416)),ROUND(INDEX('1-DATA'!$1:$1048576,IF(OR($B418="STD. DEVIATION",$C$1=1),$A418,$A418+1),COLUMN('1-DATA'!E416)),IF($B418="STD. DEVIATION",2,$F$1))))</f>
        <v/>
      </c>
      <c r="G418" s="1" t="str">
        <f>IF(OR($B418="",G$7=""),"",IF($B418="MEANS",INDEX('1-DATA'!$1:$1048576,$A417-1,COLUMN('1-DATA'!F416)),ROUND(INDEX('1-DATA'!$1:$1048576,IF(OR($B418="STD. DEVIATION",$C$1=1),$A418,$A418+1),COLUMN('1-DATA'!F416)),IF($B418="STD. DEVIATION",2,$F$1))))</f>
        <v/>
      </c>
      <c r="H418" s="1" t="str">
        <f>IF(OR($B418="",H$7=""),"",IF($B418="MEANS",INDEX('1-DATA'!$1:$1048576,$A417-1,COLUMN('1-DATA'!G416)),ROUND(INDEX('1-DATA'!$1:$1048576,IF(OR($B418="STD. DEVIATION",$C$1=1),$A418,$A418+1),COLUMN('1-DATA'!G416)),IF($B418="STD. DEVIATION",2,$F$1))))</f>
        <v/>
      </c>
      <c r="I418" s="1" t="str">
        <f>IF(OR($B418="",I$7=""),"",IF($B418="MEANS",INDEX('1-DATA'!$1:$1048576,$A417-1,COLUMN('1-DATA'!H416)),ROUND(INDEX('1-DATA'!$1:$1048576,IF(OR($B418="STD. DEVIATION",$C$1=1),$A418,$A418+1),COLUMN('1-DATA'!H416)),IF($B418="STD. DEVIATION",2,$F$1))))</f>
        <v/>
      </c>
      <c r="J418" s="1" t="str">
        <f>IF(OR($B418="",J$7=""),"",IF($B418="MEANS",INDEX('1-DATA'!$1:$1048576,$A417-1,COLUMN('1-DATA'!I416)),ROUND(INDEX('1-DATA'!$1:$1048576,IF(OR($B418="STD. DEVIATION",$C$1=1),$A418,$A418+1),COLUMN('1-DATA'!I416)),IF($B418="STD. DEVIATION",2,$F$1))))</f>
        <v/>
      </c>
      <c r="K418" s="1" t="str">
        <f>IF(OR($B418="",K$7=""),"",IF($B418="MEANS",INDEX('1-DATA'!$1:$1048576,$A417-1,COLUMN('1-DATA'!J416)),ROUND(INDEX('1-DATA'!$1:$1048576,IF(OR($B418="STD. DEVIATION",$C$1=1),$A418,$A418+1),COLUMN('1-DATA'!J416)),IF($B418="STD. DEVIATION",2,$F$1))))</f>
        <v/>
      </c>
      <c r="L418" s="1" t="str">
        <f>IF(OR($B418="",L$7=""),"",IF($B418="MEANS",INDEX('1-DATA'!$1:$1048576,$A417-1,COLUMN('1-DATA'!K416)),ROUND(INDEX('1-DATA'!$1:$1048576,IF(OR($B418="STD. DEVIATION",$C$1=1),$A418,$A418+1),COLUMN('1-DATA'!K416)),IF($B418="STD. DEVIATION",2,$F$1))))</f>
        <v/>
      </c>
      <c r="M418" s="1" t="str">
        <f>IF(OR($B418="",M$7=""),"",IF($B418="MEANS",INDEX('1-DATA'!$1:$1048576,$A417-1,COLUMN('1-DATA'!L416)),ROUND(INDEX('1-DATA'!$1:$1048576,IF(OR($B418="STD. DEVIATION",$C$1=1),$A418,$A418+1),COLUMN('1-DATA'!L416)),IF($B418="STD. DEVIATION",2,$F$1))))</f>
        <v/>
      </c>
      <c r="N418" s="1" t="str">
        <f>IF(OR($B418="",N$7=""),"",IF($B418="MEANS",INDEX('1-DATA'!$1:$1048576,$A417-1,COLUMN('1-DATA'!M416)),ROUND(INDEX('1-DATA'!$1:$1048576,IF(OR($B418="STD. DEVIATION",$C$1=1),$A418,$A418+1),COLUMN('1-DATA'!M416)),IF($B418="STD. DEVIATION",2,$F$1))))</f>
        <v/>
      </c>
      <c r="O418" s="1" t="str">
        <f>IF(OR($B418="",O$7=""),"",IF($B418="MEANS",INDEX('1-DATA'!$1:$1048576,$A417-1,COLUMN('1-DATA'!N416)),ROUND(INDEX('1-DATA'!$1:$1048576,IF(OR($B418="STD. DEVIATION",$C$1=1),$A418,$A418+1),COLUMN('1-DATA'!N416)),IF($B418="STD. DEVIATION",2,$F$1))))</f>
        <v/>
      </c>
      <c r="P418" s="1" t="str">
        <f>IF(OR($B418="",P$7=""),"",IF($B418="MEANS",INDEX('1-DATA'!$1:$1048576,$A417-1,COLUMN('1-DATA'!O416)),ROUND(INDEX('1-DATA'!$1:$1048576,IF(OR($B418="STD. DEVIATION",$C$1=1),$A418,$A418+1),COLUMN('1-DATA'!O416)),IF($B418="STD. DEVIATION",2,$F$1))))</f>
        <v/>
      </c>
      <c r="Q418" s="1" t="str">
        <f>IF(OR($B418="",Q$7=""),"",IF($B418="MEANS",INDEX('1-DATA'!$1:$1048576,$A417-1,COLUMN('1-DATA'!P416)),ROUND(INDEX('1-DATA'!$1:$1048576,IF(OR($B418="STD. DEVIATION",$C$1=1),$A418,$A418+1),COLUMN('1-DATA'!P416)),IF($B418="STD. DEVIATION",2,$F$1))))</f>
        <v/>
      </c>
      <c r="R418" s="1" t="str">
        <f>IF(OR($B418="",R$7=""),"",IF($B418="MEANS",INDEX('1-DATA'!$1:$1048576,$A417-1,COLUMN('1-DATA'!Q416)),ROUND(INDEX('1-DATA'!$1:$1048576,IF(OR($B418="STD. DEVIATION",$C$1=1),$A418,$A418+1),COLUMN('1-DATA'!Q416)),IF($B418="STD. DEVIATION",2,$F$1))))</f>
        <v/>
      </c>
      <c r="S418" s="1" t="str">
        <f>IF(OR($B418="",S$7=""),"",IF($B418="MEANS",INDEX('1-DATA'!$1:$1048576,$A417-1,COLUMN('1-DATA'!R416)),ROUND(INDEX('1-DATA'!$1:$1048576,IF(OR($B418="STD. DEVIATION",$C$1=1),$A418,$A418+1),COLUMN('1-DATA'!R416)),IF($B418="STD. DEVIATION",2,$F$1))))</f>
        <v/>
      </c>
      <c r="T418" s="1" t="str">
        <f>IF(OR($B418="",T$7=""),"",IF($B418="MEANS",INDEX('1-DATA'!$1:$1048576,$A417-1,COLUMN('1-DATA'!S416)),ROUND(INDEX('1-DATA'!$1:$1048576,IF(OR($B418="STD. DEVIATION",$C$1=1),$A418,$A418+1),COLUMN('1-DATA'!S416)),IF($B418="STD. DEVIATION",2,$F$1))))</f>
        <v/>
      </c>
      <c r="U418" s="1" t="str">
        <f>IF(OR($B418="",U$7=""),"",IF($B418="MEANS",INDEX('1-DATA'!$1:$1048576,$A417-1,COLUMN('1-DATA'!T416)),ROUND(INDEX('1-DATA'!$1:$1048576,IF(OR($B418="STD. DEVIATION",$C$1=1),$A418,$A418+1),COLUMN('1-DATA'!T416)),IF($B418="STD. DEVIATION",2,$F$1))))</f>
        <v/>
      </c>
      <c r="V418" s="1" t="str">
        <f>IF(OR($B418="",V$7=""),"",IF($B418="MEANS",INDEX('1-DATA'!$1:$1048576,$A417-1,COLUMN('1-DATA'!U416)),ROUND(INDEX('1-DATA'!$1:$1048576,IF(OR($B418="STD. DEVIATION",$C$1=1),$A418,$A418+1),COLUMN('1-DATA'!U416)),IF($B418="STD. DEVIATION",2,$F$1))))</f>
        <v/>
      </c>
      <c r="W418" s="1" t="str">
        <f>IF(OR($B418="",W$7=""),"",IF($B418="MEANS",INDEX('1-DATA'!$1:$1048576,$A417-1,COLUMN('1-DATA'!V416)),ROUND(INDEX('1-DATA'!$1:$1048576,IF(OR($B418="STD. DEVIATION",$C$1=1),$A418,$A418+1),COLUMN('1-DATA'!V416)),IF($B418="STD. DEVIATION",2,$F$1))))</f>
        <v/>
      </c>
      <c r="X418" s="1" t="str">
        <f>IF(OR($B418="",X$7=""),"",IF($B418="MEANS",INDEX('1-DATA'!$1:$1048576,$A417-1,COLUMN('1-DATA'!W416)),ROUND(INDEX('1-DATA'!$1:$1048576,IF(OR($B418="STD. DEVIATION",$C$1=1),$A418,$A418+1),COLUMN('1-DATA'!W416)),IF($B418="STD. DEVIATION",2,$F$1))))</f>
        <v/>
      </c>
      <c r="Y418" s="1" t="str">
        <f>IF(OR($B418="",Y$7=""),"",IF($B418="MEANS",INDEX('1-DATA'!$1:$1048576,$A417-1,COLUMN('1-DATA'!X416)),ROUND(INDEX('1-DATA'!$1:$1048576,IF(OR($B418="STD. DEVIATION",$C$1=1),$A418,$A418+1),COLUMN('1-DATA'!X416)),IF($B418="STD. DEVIATION",2,$F$1))))</f>
        <v/>
      </c>
      <c r="Z418" s="1" t="str">
        <f>IF(OR($B418="",Z$7=""),"",IF($B418="MEANS",INDEX('1-DATA'!$1:$1048576,$A417-1,COLUMN('1-DATA'!Y416)),ROUND(INDEX('1-DATA'!$1:$1048576,IF(OR($B418="STD. DEVIATION",$C$1=1),$A418,$A418+1),COLUMN('1-DATA'!Y416)),IF($B418="STD. DEVIATION",2,$F$1))))</f>
        <v/>
      </c>
      <c r="AA418" s="1" t="str">
        <f>IF(OR($B418="",AA$7=""),"",IF($B418="MEANS",INDEX('1-DATA'!$1:$1048576,$A417-1,COLUMN('1-DATA'!Z416)),ROUND(INDEX('1-DATA'!$1:$1048576,IF(OR($B418="STD. DEVIATION",$C$1=1),$A418,$A418+1),COLUMN('1-DATA'!Z416)),IF($B418="STD. DEVIATION",2,$F$1))))</f>
        <v/>
      </c>
      <c r="AB418" s="1" t="str">
        <f>IF(OR($B418="",AB$7=""),"",IF($B418="MEANS",INDEX('1-DATA'!$1:$1048576,$A417-1,COLUMN('1-DATA'!AA416)),ROUND(INDEX('1-DATA'!$1:$1048576,IF(OR($B418="STD. DEVIATION",$C$1=1),$A418,$A418+1),COLUMN('1-DATA'!AA416)),IF($B418="STD. DEVIATION",2,$F$1))))</f>
        <v/>
      </c>
      <c r="AC418" s="1" t="str">
        <f>IF(OR($B418="",AC$7=""),"",IF($B418="MEANS",INDEX('1-DATA'!$1:$1048576,$A417-1,COLUMN('1-DATA'!AB416)),ROUND(INDEX('1-DATA'!$1:$1048576,IF(OR($B418="STD. DEVIATION",$C$1=1),$A418,$A418+1),COLUMN('1-DATA'!AB416)),IF($B418="STD. DEVIATION",2,$F$1))))</f>
        <v/>
      </c>
      <c r="AD418" s="1" t="str">
        <f>IF(OR($B418="",AD$7=""),"",IF($B418="MEANS",INDEX('1-DATA'!$1:$1048576,$A417-1,COLUMN('1-DATA'!AC416)),ROUND(INDEX('1-DATA'!$1:$1048576,IF(OR($B418="STD. DEVIATION",$C$1=1),$A418,$A418+1),COLUMN('1-DATA'!AC416)),IF($B418="STD. DEVIATION",2,$F$1))))</f>
        <v/>
      </c>
      <c r="AE418" s="1" t="str">
        <f>IF(OR($B418="",AE$7=""),"",IF($B418="MEANS",INDEX('1-DATA'!$1:$1048576,$A417-1,COLUMN('1-DATA'!AD416)),ROUND(INDEX('1-DATA'!$1:$1048576,IF(OR($B418="STD. DEVIATION",$C$1=1),$A418,$A418+1),COLUMN('1-DATA'!AD416)),IF($B418="STD. DEVIATION",2,$F$1))))</f>
        <v/>
      </c>
      <c r="AF418" s="1" t="str">
        <f>IF(OR($B418="",AF$7=""),"",IF($B418="MEANS",INDEX('1-DATA'!$1:$1048576,$A417-1,COLUMN('1-DATA'!AE416)),ROUND(INDEX('1-DATA'!$1:$1048576,IF(OR($B418="STD. DEVIATION",$C$1=1),$A418,$A418+1),COLUMN('1-DATA'!AE416)),IF($B418="STD. DEVIATION",2,$F$1))))</f>
        <v/>
      </c>
      <c r="AG418" s="1" t="str">
        <f>IF(OR($B418="",AG$7=""),"",IF($B418="MEANS",INDEX('1-DATA'!$1:$1048576,$A417-1,COLUMN('1-DATA'!AF416)),ROUND(INDEX('1-DATA'!$1:$1048576,IF(OR($B418="STD. DEVIATION",$C$1=1),$A418,$A418+1),COLUMN('1-DATA'!AF416)),IF($B418="STD. DEVIATION",2,$F$1))))</f>
        <v/>
      </c>
      <c r="AH418" s="1" t="str">
        <f>IF(OR($B418="",AH$7=""),"",IF($B418="MEANS",INDEX('1-DATA'!$1:$1048576,$A417-1,COLUMN('1-DATA'!AG416)),ROUND(INDEX('1-DATA'!$1:$1048576,IF(OR($B418="STD. DEVIATION",$C$1=1),$A418,$A418+1),COLUMN('1-DATA'!AG416)),IF($B418="STD. DEVIATION",2,$F$1))))</f>
        <v/>
      </c>
      <c r="AI418" s="1" t="str">
        <f>IF(OR($B418="",AI$7=""),"",IF($B418="MEANS",INDEX('1-DATA'!$1:$1048576,$A417-1,COLUMN('1-DATA'!AH416)),ROUND(INDEX('1-DATA'!$1:$1048576,IF(OR($B418="STD. DEVIATION",$C$1=1),$A418,$A418+1),COLUMN('1-DATA'!AH416)),IF($B418="STD. DEVIATION",2,$F$1))))</f>
        <v/>
      </c>
      <c r="AJ418" s="1" t="str">
        <f>IF(OR($B418="",AJ$7=""),"",IF($B418="MEANS",INDEX('1-DATA'!$1:$1048576,$A417-1,COLUMN('1-DATA'!AI416)),ROUND(INDEX('1-DATA'!$1:$1048576,IF(OR($B418="STD. DEVIATION",$C$1=1),$A418,$A418+1),COLUMN('1-DATA'!AI416)),IF($B418="STD. DEVIATION",2,$F$1))))</f>
        <v/>
      </c>
      <c r="AK418" s="1" t="str">
        <f>IF(OR($B418="",AK$7=""),"",IF($B418="MEANS",INDEX('1-DATA'!$1:$1048576,$A417-1,COLUMN('1-DATA'!AJ416)),ROUND(INDEX('1-DATA'!$1:$1048576,IF(OR($B418="STD. DEVIATION",$C$1=1),$A418,$A418+1),COLUMN('1-DATA'!AJ416)),IF($B418="STD. DEVIATION",2,$F$1))))</f>
        <v/>
      </c>
      <c r="AL418" s="1" t="str">
        <f>IF(OR($B418="",AL$7=""),"",IF($B418="MEANS",INDEX('1-DATA'!$1:$1048576,$A417-1,COLUMN('1-DATA'!AK416)),ROUND(INDEX('1-DATA'!$1:$1048576,IF(OR($B418="STD. DEVIATION",$C$1=1),$A418,$A418+1),COLUMN('1-DATA'!AK416)),IF($B418="STD. DEVIATION",2,$F$1))))</f>
        <v/>
      </c>
      <c r="AM418" s="1" t="str">
        <f>IF(OR($B418="",AM$7=""),"",IF($B418="MEANS",INDEX('1-DATA'!$1:$1048576,$A417-1,COLUMN('1-DATA'!AL416)),ROUND(INDEX('1-DATA'!$1:$1048576,IF(OR($B418="STD. DEVIATION",$C$1=1),$A418,$A418+1),COLUMN('1-DATA'!AL416)),IF($B418="STD. DEVIATION",2,$F$1))))</f>
        <v/>
      </c>
      <c r="AN418" s="1" t="str">
        <f>IF(OR($B418="",AN$7=""),"",IF($B418="MEANS",INDEX('1-DATA'!$1:$1048576,$A417-1,COLUMN('1-DATA'!AM416)),ROUND(INDEX('1-DATA'!$1:$1048576,IF(OR($B418="STD. DEVIATION",$C$1=1),$A418,$A418+1),COLUMN('1-DATA'!AM416)),IF($B418="STD. DEVIATION",2,$F$1))))</f>
        <v/>
      </c>
      <c r="AO418" s="1" t="str">
        <f>IF(OR($B418="",AO$7=""),"",IF($B418="MEANS",INDEX('1-DATA'!$1:$1048576,$A417-1,COLUMN('1-DATA'!AN416)),ROUND(INDEX('1-DATA'!$1:$1048576,IF(OR($B418="STD. DEVIATION",$C$1=1),$A418,$A418+1),COLUMN('1-DATA'!AN416)),IF($B418="STD. DEVIATION",2,$F$1))))</f>
        <v/>
      </c>
      <c r="AP418" s="1" t="str">
        <f>IF(OR($B418="",AP$7=""),"",IF($B418="MEANS",INDEX('1-DATA'!$1:$1048576,$A417-1,COLUMN('1-DATA'!AO416)),ROUND(INDEX('1-DATA'!$1:$1048576,IF(OR($B418="STD. DEVIATION",$C$1=1),$A418,$A418+1),COLUMN('1-DATA'!AO416)),IF($B418="STD. DEVIATION",2,$F$1))))</f>
        <v/>
      </c>
      <c r="AQ418" s="1" t="str">
        <f>IF(OR($B418="",AQ$7=""),"",IF($B418="MEANS",INDEX('1-DATA'!$1:$1048576,$A417-1,COLUMN('1-DATA'!AP416)),ROUND(INDEX('1-DATA'!$1:$1048576,IF(OR($B418="STD. DEVIATION",$C$1=1),$A418,$A418+1),COLUMN('1-DATA'!AP416)),IF($B418="STD. DEVIATION",2,$F$1))))</f>
        <v/>
      </c>
      <c r="AR418" s="1" t="str">
        <f>IF(OR($B418="",AR$7=""),"",IF($B418="MEANS",INDEX('1-DATA'!$1:$1048576,$A417-1,COLUMN('1-DATA'!AQ416)),ROUND(INDEX('1-DATA'!$1:$1048576,IF(OR($B418="STD. DEVIATION",$C$1=1),$A418,$A418+1),COLUMN('1-DATA'!AQ416)),IF($B418="STD. DEVIATION",2,$F$1))))</f>
        <v/>
      </c>
      <c r="AS418" s="1" t="str">
        <f>IF(OR($B418="",AS$7=""),"",IF($B418="MEANS",INDEX('1-DATA'!$1:$1048576,$A417-1,COLUMN('1-DATA'!AR416)),ROUND(INDEX('1-DATA'!$1:$1048576,IF(OR($B418="STD. DEVIATION",$C$1=1),$A418,$A418+1),COLUMN('1-DATA'!AR416)),IF($B418="STD. DEVIATION",2,$F$1))))</f>
        <v/>
      </c>
      <c r="AT418" s="1" t="str">
        <f>IF(OR($B418="",AT$7=""),"",IF($B418="MEANS",INDEX('1-DATA'!$1:$1048576,$A417-1,COLUMN('1-DATA'!AS416)),ROUND(INDEX('1-DATA'!$1:$1048576,IF(OR($B418="STD. DEVIATION",$C$1=1),$A418,$A418+1),COLUMN('1-DATA'!AS416)),IF($B418="STD. DEVIATION",2,$F$1))))</f>
        <v/>
      </c>
      <c r="AU418" s="1" t="str">
        <f>IF(OR($B418="",AU$7=""),"",IF($B418="MEANS",INDEX('1-DATA'!$1:$1048576,$A417-1,COLUMN('1-DATA'!AT416)),ROUND(INDEX('1-DATA'!$1:$1048576,IF(OR($B418="STD. DEVIATION",$C$1=1),$A418,$A418+1),COLUMN('1-DATA'!AT416)),IF($B418="STD. DEVIATION",2,$F$1))))</f>
        <v/>
      </c>
      <c r="AV418" s="1" t="str">
        <f>IF(OR($B418="",AV$7=""),"",IF($B418="MEANS",INDEX('1-DATA'!$1:$1048576,$A417-1,COLUMN('1-DATA'!AU416)),ROUND(INDEX('1-DATA'!$1:$1048576,IF(OR($B418="STD. DEVIATION",$C$1=1),$A418,$A418+1),COLUMN('1-DATA'!AU416)),IF($B418="STD. DEVIATION",2,$F$1))))</f>
        <v/>
      </c>
      <c r="AW418" s="1" t="str">
        <f>IF(OR($B418="",AW$7=""),"",IF($B418="MEANS",INDEX('1-DATA'!$1:$1048576,$A417-1,COLUMN('1-DATA'!AV416)),ROUND(INDEX('1-DATA'!$1:$1048576,IF(OR($B418="STD. DEVIATION",$C$1=1),$A418,$A418+1),COLUMN('1-DATA'!AV416)),IF($B418="STD. DEVIATION",2,$F$1))))</f>
        <v/>
      </c>
      <c r="AX418" s="1" t="str">
        <f>IF(OR($B418="",AX$7=""),"",IF($B418="MEANS",INDEX('1-DATA'!$1:$1048576,$A417-1,COLUMN('1-DATA'!AW416)),ROUND(INDEX('1-DATA'!$1:$1048576,IF(OR($B418="STD. DEVIATION",$C$1=1),$A418,$A418+1),COLUMN('1-DATA'!AW416)),IF($B418="STD. DEVIATION",2,$F$1))))</f>
        <v/>
      </c>
      <c r="AY418" s="1" t="str">
        <f>IF(OR($B418="",AY$7=""),"",IF($B418="MEANS",INDEX('1-DATA'!$1:$1048576,$A417-1,COLUMN('1-DATA'!AX416)),ROUND(INDEX('1-DATA'!$1:$1048576,IF(OR($B418="STD. DEVIATION",$C$1=1),$A418,$A418+1),COLUMN('1-DATA'!AX416)),IF($B418="STD. DEVIATION",2,$F$1))))</f>
        <v/>
      </c>
      <c r="AZ418" s="1" t="str">
        <f>IF(OR($B418="",AZ$7=""),"",IF($B418="MEANS",INDEX('1-DATA'!$1:$1048576,$A417-1,COLUMN('1-DATA'!AY416)),ROUND(INDEX('1-DATA'!$1:$1048576,IF(OR($B418="STD. DEVIATION",$C$1=1),$A418,$A418+1),COLUMN('1-DATA'!AY416)),IF($B418="STD. DEVIATION",2,$F$1))))</f>
        <v/>
      </c>
    </row>
    <row r="419" spans="1:52" x14ac:dyDescent="0.25">
      <c r="A419" s="11">
        <f t="shared" si="7"/>
        <v>1243</v>
      </c>
      <c r="B419" s="1" t="str">
        <f>IF(B418="STD. DEVIATION",INDEX('1-DATA'!$1:$1048576,$A418-1,1),IF(INDEX('1-DATA'!$1:$1048576,$A419,1)&lt;&gt;"",INDEX('1-DATA'!$1:$1048576,$A419,1),""))</f>
        <v/>
      </c>
      <c r="C419" s="1" t="str">
        <f>IF(OR($B419="",C$7=""),"",IF($B419="MEANS",INDEX('1-DATA'!$1:$1048576,$A418-1,COLUMN('1-DATA'!B417)),ROUND(INDEX('1-DATA'!$1:$1048576,IF(OR($B419="STD. DEVIATION",$C$1=1),$A419,$A419+1),COLUMN('1-DATA'!B417)),IF($B419="STD. DEVIATION",2,$F$1))))</f>
        <v/>
      </c>
      <c r="D419" s="1" t="str">
        <f>IF(OR($B419="",D$7=""),"",IF($B419="MEANS",INDEX('1-DATA'!$1:$1048576,$A418-1,COLUMN('1-DATA'!C417)),ROUND(INDEX('1-DATA'!$1:$1048576,IF(OR($B419="STD. DEVIATION",$C$1=1),$A419,$A419+1),COLUMN('1-DATA'!C417)),IF($B419="STD. DEVIATION",2,$F$1))))</f>
        <v/>
      </c>
      <c r="E419" s="1" t="str">
        <f>IF(OR($B419="",E$7=""),"",IF($B419="MEANS",INDEX('1-DATA'!$1:$1048576,$A418-1,COLUMN('1-DATA'!D417)),ROUND(INDEX('1-DATA'!$1:$1048576,IF(OR($B419="STD. DEVIATION",$C$1=1),$A419,$A419+1),COLUMN('1-DATA'!D417)),IF($B419="STD. DEVIATION",2,$F$1))))</f>
        <v/>
      </c>
      <c r="F419" s="1" t="str">
        <f>IF(OR($B419="",F$7=""),"",IF($B419="MEANS",INDEX('1-DATA'!$1:$1048576,$A418-1,COLUMN('1-DATA'!E417)),ROUND(INDEX('1-DATA'!$1:$1048576,IF(OR($B419="STD. DEVIATION",$C$1=1),$A419,$A419+1),COLUMN('1-DATA'!E417)),IF($B419="STD. DEVIATION",2,$F$1))))</f>
        <v/>
      </c>
      <c r="G419" s="1" t="str">
        <f>IF(OR($B419="",G$7=""),"",IF($B419="MEANS",INDEX('1-DATA'!$1:$1048576,$A418-1,COLUMN('1-DATA'!F417)),ROUND(INDEX('1-DATA'!$1:$1048576,IF(OR($B419="STD. DEVIATION",$C$1=1),$A419,$A419+1),COLUMN('1-DATA'!F417)),IF($B419="STD. DEVIATION",2,$F$1))))</f>
        <v/>
      </c>
      <c r="H419" s="1" t="str">
        <f>IF(OR($B419="",H$7=""),"",IF($B419="MEANS",INDEX('1-DATA'!$1:$1048576,$A418-1,COLUMN('1-DATA'!G417)),ROUND(INDEX('1-DATA'!$1:$1048576,IF(OR($B419="STD. DEVIATION",$C$1=1),$A419,$A419+1),COLUMN('1-DATA'!G417)),IF($B419="STD. DEVIATION",2,$F$1))))</f>
        <v/>
      </c>
      <c r="I419" s="1" t="str">
        <f>IF(OR($B419="",I$7=""),"",IF($B419="MEANS",INDEX('1-DATA'!$1:$1048576,$A418-1,COLUMN('1-DATA'!H417)),ROUND(INDEX('1-DATA'!$1:$1048576,IF(OR($B419="STD. DEVIATION",$C$1=1),$A419,$A419+1),COLUMN('1-DATA'!H417)),IF($B419="STD. DEVIATION",2,$F$1))))</f>
        <v/>
      </c>
      <c r="J419" s="1" t="str">
        <f>IF(OR($B419="",J$7=""),"",IF($B419="MEANS",INDEX('1-DATA'!$1:$1048576,$A418-1,COLUMN('1-DATA'!I417)),ROUND(INDEX('1-DATA'!$1:$1048576,IF(OR($B419="STD. DEVIATION",$C$1=1),$A419,$A419+1),COLUMN('1-DATA'!I417)),IF($B419="STD. DEVIATION",2,$F$1))))</f>
        <v/>
      </c>
      <c r="K419" s="1" t="str">
        <f>IF(OR($B419="",K$7=""),"",IF($B419="MEANS",INDEX('1-DATA'!$1:$1048576,$A418-1,COLUMN('1-DATA'!J417)),ROUND(INDEX('1-DATA'!$1:$1048576,IF(OR($B419="STD. DEVIATION",$C$1=1),$A419,$A419+1),COLUMN('1-DATA'!J417)),IF($B419="STD. DEVIATION",2,$F$1))))</f>
        <v/>
      </c>
      <c r="L419" s="1" t="str">
        <f>IF(OR($B419="",L$7=""),"",IF($B419="MEANS",INDEX('1-DATA'!$1:$1048576,$A418-1,COLUMN('1-DATA'!K417)),ROUND(INDEX('1-DATA'!$1:$1048576,IF(OR($B419="STD. DEVIATION",$C$1=1),$A419,$A419+1),COLUMN('1-DATA'!K417)),IF($B419="STD. DEVIATION",2,$F$1))))</f>
        <v/>
      </c>
      <c r="M419" s="1" t="str">
        <f>IF(OR($B419="",M$7=""),"",IF($B419="MEANS",INDEX('1-DATA'!$1:$1048576,$A418-1,COLUMN('1-DATA'!L417)),ROUND(INDEX('1-DATA'!$1:$1048576,IF(OR($B419="STD. DEVIATION",$C$1=1),$A419,$A419+1),COLUMN('1-DATA'!L417)),IF($B419="STD. DEVIATION",2,$F$1))))</f>
        <v/>
      </c>
      <c r="N419" s="1" t="str">
        <f>IF(OR($B419="",N$7=""),"",IF($B419="MEANS",INDEX('1-DATA'!$1:$1048576,$A418-1,COLUMN('1-DATA'!M417)),ROUND(INDEX('1-DATA'!$1:$1048576,IF(OR($B419="STD. DEVIATION",$C$1=1),$A419,$A419+1),COLUMN('1-DATA'!M417)),IF($B419="STD. DEVIATION",2,$F$1))))</f>
        <v/>
      </c>
      <c r="O419" s="1" t="str">
        <f>IF(OR($B419="",O$7=""),"",IF($B419="MEANS",INDEX('1-DATA'!$1:$1048576,$A418-1,COLUMN('1-DATA'!N417)),ROUND(INDEX('1-DATA'!$1:$1048576,IF(OR($B419="STD. DEVIATION",$C$1=1),$A419,$A419+1),COLUMN('1-DATA'!N417)),IF($B419="STD. DEVIATION",2,$F$1))))</f>
        <v/>
      </c>
      <c r="P419" s="1" t="str">
        <f>IF(OR($B419="",P$7=""),"",IF($B419="MEANS",INDEX('1-DATA'!$1:$1048576,$A418-1,COLUMN('1-DATA'!O417)),ROUND(INDEX('1-DATA'!$1:$1048576,IF(OR($B419="STD. DEVIATION",$C$1=1),$A419,$A419+1),COLUMN('1-DATA'!O417)),IF($B419="STD. DEVIATION",2,$F$1))))</f>
        <v/>
      </c>
      <c r="Q419" s="1" t="str">
        <f>IF(OR($B419="",Q$7=""),"",IF($B419="MEANS",INDEX('1-DATA'!$1:$1048576,$A418-1,COLUMN('1-DATA'!P417)),ROUND(INDEX('1-DATA'!$1:$1048576,IF(OR($B419="STD. DEVIATION",$C$1=1),$A419,$A419+1),COLUMN('1-DATA'!P417)),IF($B419="STD. DEVIATION",2,$F$1))))</f>
        <v/>
      </c>
      <c r="R419" s="1" t="str">
        <f>IF(OR($B419="",R$7=""),"",IF($B419="MEANS",INDEX('1-DATA'!$1:$1048576,$A418-1,COLUMN('1-DATA'!Q417)),ROUND(INDEX('1-DATA'!$1:$1048576,IF(OR($B419="STD. DEVIATION",$C$1=1),$A419,$A419+1),COLUMN('1-DATA'!Q417)),IF($B419="STD. DEVIATION",2,$F$1))))</f>
        <v/>
      </c>
      <c r="S419" s="1" t="str">
        <f>IF(OR($B419="",S$7=""),"",IF($B419="MEANS",INDEX('1-DATA'!$1:$1048576,$A418-1,COLUMN('1-DATA'!R417)),ROUND(INDEX('1-DATA'!$1:$1048576,IF(OR($B419="STD. DEVIATION",$C$1=1),$A419,$A419+1),COLUMN('1-DATA'!R417)),IF($B419="STD. DEVIATION",2,$F$1))))</f>
        <v/>
      </c>
      <c r="T419" s="1" t="str">
        <f>IF(OR($B419="",T$7=""),"",IF($B419="MEANS",INDEX('1-DATA'!$1:$1048576,$A418-1,COLUMN('1-DATA'!S417)),ROUND(INDEX('1-DATA'!$1:$1048576,IF(OR($B419="STD. DEVIATION",$C$1=1),$A419,$A419+1),COLUMN('1-DATA'!S417)),IF($B419="STD. DEVIATION",2,$F$1))))</f>
        <v/>
      </c>
      <c r="U419" s="1" t="str">
        <f>IF(OR($B419="",U$7=""),"",IF($B419="MEANS",INDEX('1-DATA'!$1:$1048576,$A418-1,COLUMN('1-DATA'!T417)),ROUND(INDEX('1-DATA'!$1:$1048576,IF(OR($B419="STD. DEVIATION",$C$1=1),$A419,$A419+1),COLUMN('1-DATA'!T417)),IF($B419="STD. DEVIATION",2,$F$1))))</f>
        <v/>
      </c>
      <c r="V419" s="1" t="str">
        <f>IF(OR($B419="",V$7=""),"",IF($B419="MEANS",INDEX('1-DATA'!$1:$1048576,$A418-1,COLUMN('1-DATA'!U417)),ROUND(INDEX('1-DATA'!$1:$1048576,IF(OR($B419="STD. DEVIATION",$C$1=1),$A419,$A419+1),COLUMN('1-DATA'!U417)),IF($B419="STD. DEVIATION",2,$F$1))))</f>
        <v/>
      </c>
      <c r="W419" s="1" t="str">
        <f>IF(OR($B419="",W$7=""),"",IF($B419="MEANS",INDEX('1-DATA'!$1:$1048576,$A418-1,COLUMN('1-DATA'!V417)),ROUND(INDEX('1-DATA'!$1:$1048576,IF(OR($B419="STD. DEVIATION",$C$1=1),$A419,$A419+1),COLUMN('1-DATA'!V417)),IF($B419="STD. DEVIATION",2,$F$1))))</f>
        <v/>
      </c>
      <c r="X419" s="1" t="str">
        <f>IF(OR($B419="",X$7=""),"",IF($B419="MEANS",INDEX('1-DATA'!$1:$1048576,$A418-1,COLUMN('1-DATA'!W417)),ROUND(INDEX('1-DATA'!$1:$1048576,IF(OR($B419="STD. DEVIATION",$C$1=1),$A419,$A419+1),COLUMN('1-DATA'!W417)),IF($B419="STD. DEVIATION",2,$F$1))))</f>
        <v/>
      </c>
      <c r="Y419" s="1" t="str">
        <f>IF(OR($B419="",Y$7=""),"",IF($B419="MEANS",INDEX('1-DATA'!$1:$1048576,$A418-1,COLUMN('1-DATA'!X417)),ROUND(INDEX('1-DATA'!$1:$1048576,IF(OR($B419="STD. DEVIATION",$C$1=1),$A419,$A419+1),COLUMN('1-DATA'!X417)),IF($B419="STD. DEVIATION",2,$F$1))))</f>
        <v/>
      </c>
      <c r="Z419" s="1" t="str">
        <f>IF(OR($B419="",Z$7=""),"",IF($B419="MEANS",INDEX('1-DATA'!$1:$1048576,$A418-1,COLUMN('1-DATA'!Y417)),ROUND(INDEX('1-DATA'!$1:$1048576,IF(OR($B419="STD. DEVIATION",$C$1=1),$A419,$A419+1),COLUMN('1-DATA'!Y417)),IF($B419="STD. DEVIATION",2,$F$1))))</f>
        <v/>
      </c>
      <c r="AA419" s="1" t="str">
        <f>IF(OR($B419="",AA$7=""),"",IF($B419="MEANS",INDEX('1-DATA'!$1:$1048576,$A418-1,COLUMN('1-DATA'!Z417)),ROUND(INDEX('1-DATA'!$1:$1048576,IF(OR($B419="STD. DEVIATION",$C$1=1),$A419,$A419+1),COLUMN('1-DATA'!Z417)),IF($B419="STD. DEVIATION",2,$F$1))))</f>
        <v/>
      </c>
      <c r="AB419" s="1" t="str">
        <f>IF(OR($B419="",AB$7=""),"",IF($B419="MEANS",INDEX('1-DATA'!$1:$1048576,$A418-1,COLUMN('1-DATA'!AA417)),ROUND(INDEX('1-DATA'!$1:$1048576,IF(OR($B419="STD. DEVIATION",$C$1=1),$A419,$A419+1),COLUMN('1-DATA'!AA417)),IF($B419="STD. DEVIATION",2,$F$1))))</f>
        <v/>
      </c>
      <c r="AC419" s="1" t="str">
        <f>IF(OR($B419="",AC$7=""),"",IF($B419="MEANS",INDEX('1-DATA'!$1:$1048576,$A418-1,COLUMN('1-DATA'!AB417)),ROUND(INDEX('1-DATA'!$1:$1048576,IF(OR($B419="STD. DEVIATION",$C$1=1),$A419,$A419+1),COLUMN('1-DATA'!AB417)),IF($B419="STD. DEVIATION",2,$F$1))))</f>
        <v/>
      </c>
      <c r="AD419" s="1" t="str">
        <f>IF(OR($B419="",AD$7=""),"",IF($B419="MEANS",INDEX('1-DATA'!$1:$1048576,$A418-1,COLUMN('1-DATA'!AC417)),ROUND(INDEX('1-DATA'!$1:$1048576,IF(OR($B419="STD. DEVIATION",$C$1=1),$A419,$A419+1),COLUMN('1-DATA'!AC417)),IF($B419="STD. DEVIATION",2,$F$1))))</f>
        <v/>
      </c>
      <c r="AE419" s="1" t="str">
        <f>IF(OR($B419="",AE$7=""),"",IF($B419="MEANS",INDEX('1-DATA'!$1:$1048576,$A418-1,COLUMN('1-DATA'!AD417)),ROUND(INDEX('1-DATA'!$1:$1048576,IF(OR($B419="STD. DEVIATION",$C$1=1),$A419,$A419+1),COLUMN('1-DATA'!AD417)),IF($B419="STD. DEVIATION",2,$F$1))))</f>
        <v/>
      </c>
      <c r="AF419" s="1" t="str">
        <f>IF(OR($B419="",AF$7=""),"",IF($B419="MEANS",INDEX('1-DATA'!$1:$1048576,$A418-1,COLUMN('1-DATA'!AE417)),ROUND(INDEX('1-DATA'!$1:$1048576,IF(OR($B419="STD. DEVIATION",$C$1=1),$A419,$A419+1),COLUMN('1-DATA'!AE417)),IF($B419="STD. DEVIATION",2,$F$1))))</f>
        <v/>
      </c>
      <c r="AG419" s="1" t="str">
        <f>IF(OR($B419="",AG$7=""),"",IF($B419="MEANS",INDEX('1-DATA'!$1:$1048576,$A418-1,COLUMN('1-DATA'!AF417)),ROUND(INDEX('1-DATA'!$1:$1048576,IF(OR($B419="STD. DEVIATION",$C$1=1),$A419,$A419+1),COLUMN('1-DATA'!AF417)),IF($B419="STD. DEVIATION",2,$F$1))))</f>
        <v/>
      </c>
      <c r="AH419" s="1" t="str">
        <f>IF(OR($B419="",AH$7=""),"",IF($B419="MEANS",INDEX('1-DATA'!$1:$1048576,$A418-1,COLUMN('1-DATA'!AG417)),ROUND(INDEX('1-DATA'!$1:$1048576,IF(OR($B419="STD. DEVIATION",$C$1=1),$A419,$A419+1),COLUMN('1-DATA'!AG417)),IF($B419="STD. DEVIATION",2,$F$1))))</f>
        <v/>
      </c>
      <c r="AI419" s="1" t="str">
        <f>IF(OR($B419="",AI$7=""),"",IF($B419="MEANS",INDEX('1-DATA'!$1:$1048576,$A418-1,COLUMN('1-DATA'!AH417)),ROUND(INDEX('1-DATA'!$1:$1048576,IF(OR($B419="STD. DEVIATION",$C$1=1),$A419,$A419+1),COLUMN('1-DATA'!AH417)),IF($B419="STD. DEVIATION",2,$F$1))))</f>
        <v/>
      </c>
      <c r="AJ419" s="1" t="str">
        <f>IF(OR($B419="",AJ$7=""),"",IF($B419="MEANS",INDEX('1-DATA'!$1:$1048576,$A418-1,COLUMN('1-DATA'!AI417)),ROUND(INDEX('1-DATA'!$1:$1048576,IF(OR($B419="STD. DEVIATION",$C$1=1),$A419,$A419+1),COLUMN('1-DATA'!AI417)),IF($B419="STD. DEVIATION",2,$F$1))))</f>
        <v/>
      </c>
      <c r="AK419" s="1" t="str">
        <f>IF(OR($B419="",AK$7=""),"",IF($B419="MEANS",INDEX('1-DATA'!$1:$1048576,$A418-1,COLUMN('1-DATA'!AJ417)),ROUND(INDEX('1-DATA'!$1:$1048576,IF(OR($B419="STD. DEVIATION",$C$1=1),$A419,$A419+1),COLUMN('1-DATA'!AJ417)),IF($B419="STD. DEVIATION",2,$F$1))))</f>
        <v/>
      </c>
      <c r="AL419" s="1" t="str">
        <f>IF(OR($B419="",AL$7=""),"",IF($B419="MEANS",INDEX('1-DATA'!$1:$1048576,$A418-1,COLUMN('1-DATA'!AK417)),ROUND(INDEX('1-DATA'!$1:$1048576,IF(OR($B419="STD. DEVIATION",$C$1=1),$A419,$A419+1),COLUMN('1-DATA'!AK417)),IF($B419="STD. DEVIATION",2,$F$1))))</f>
        <v/>
      </c>
      <c r="AM419" s="1" t="str">
        <f>IF(OR($B419="",AM$7=""),"",IF($B419="MEANS",INDEX('1-DATA'!$1:$1048576,$A418-1,COLUMN('1-DATA'!AL417)),ROUND(INDEX('1-DATA'!$1:$1048576,IF(OR($B419="STD. DEVIATION",$C$1=1),$A419,$A419+1),COLUMN('1-DATA'!AL417)),IF($B419="STD. DEVIATION",2,$F$1))))</f>
        <v/>
      </c>
      <c r="AN419" s="1" t="str">
        <f>IF(OR($B419="",AN$7=""),"",IF($B419="MEANS",INDEX('1-DATA'!$1:$1048576,$A418-1,COLUMN('1-DATA'!AM417)),ROUND(INDEX('1-DATA'!$1:$1048576,IF(OR($B419="STD. DEVIATION",$C$1=1),$A419,$A419+1),COLUMN('1-DATA'!AM417)),IF($B419="STD. DEVIATION",2,$F$1))))</f>
        <v/>
      </c>
      <c r="AO419" s="1" t="str">
        <f>IF(OR($B419="",AO$7=""),"",IF($B419="MEANS",INDEX('1-DATA'!$1:$1048576,$A418-1,COLUMN('1-DATA'!AN417)),ROUND(INDEX('1-DATA'!$1:$1048576,IF(OR($B419="STD. DEVIATION",$C$1=1),$A419,$A419+1),COLUMN('1-DATA'!AN417)),IF($B419="STD. DEVIATION",2,$F$1))))</f>
        <v/>
      </c>
      <c r="AP419" s="1" t="str">
        <f>IF(OR($B419="",AP$7=""),"",IF($B419="MEANS",INDEX('1-DATA'!$1:$1048576,$A418-1,COLUMN('1-DATA'!AO417)),ROUND(INDEX('1-DATA'!$1:$1048576,IF(OR($B419="STD. DEVIATION",$C$1=1),$A419,$A419+1),COLUMN('1-DATA'!AO417)),IF($B419="STD. DEVIATION",2,$F$1))))</f>
        <v/>
      </c>
      <c r="AQ419" s="1" t="str">
        <f>IF(OR($B419="",AQ$7=""),"",IF($B419="MEANS",INDEX('1-DATA'!$1:$1048576,$A418-1,COLUMN('1-DATA'!AP417)),ROUND(INDEX('1-DATA'!$1:$1048576,IF(OR($B419="STD. DEVIATION",$C$1=1),$A419,$A419+1),COLUMN('1-DATA'!AP417)),IF($B419="STD. DEVIATION",2,$F$1))))</f>
        <v/>
      </c>
      <c r="AR419" s="1" t="str">
        <f>IF(OR($B419="",AR$7=""),"",IF($B419="MEANS",INDEX('1-DATA'!$1:$1048576,$A418-1,COLUMN('1-DATA'!AQ417)),ROUND(INDEX('1-DATA'!$1:$1048576,IF(OR($B419="STD. DEVIATION",$C$1=1),$A419,$A419+1),COLUMN('1-DATA'!AQ417)),IF($B419="STD. DEVIATION",2,$F$1))))</f>
        <v/>
      </c>
      <c r="AS419" s="1" t="str">
        <f>IF(OR($B419="",AS$7=""),"",IF($B419="MEANS",INDEX('1-DATA'!$1:$1048576,$A418-1,COLUMN('1-DATA'!AR417)),ROUND(INDEX('1-DATA'!$1:$1048576,IF(OR($B419="STD. DEVIATION",$C$1=1),$A419,$A419+1),COLUMN('1-DATA'!AR417)),IF($B419="STD. DEVIATION",2,$F$1))))</f>
        <v/>
      </c>
      <c r="AT419" s="1" t="str">
        <f>IF(OR($B419="",AT$7=""),"",IF($B419="MEANS",INDEX('1-DATA'!$1:$1048576,$A418-1,COLUMN('1-DATA'!AS417)),ROUND(INDEX('1-DATA'!$1:$1048576,IF(OR($B419="STD. DEVIATION",$C$1=1),$A419,$A419+1),COLUMN('1-DATA'!AS417)),IF($B419="STD. DEVIATION",2,$F$1))))</f>
        <v/>
      </c>
      <c r="AU419" s="1" t="str">
        <f>IF(OR($B419="",AU$7=""),"",IF($B419="MEANS",INDEX('1-DATA'!$1:$1048576,$A418-1,COLUMN('1-DATA'!AT417)),ROUND(INDEX('1-DATA'!$1:$1048576,IF(OR($B419="STD. DEVIATION",$C$1=1),$A419,$A419+1),COLUMN('1-DATA'!AT417)),IF($B419="STD. DEVIATION",2,$F$1))))</f>
        <v/>
      </c>
      <c r="AV419" s="1" t="str">
        <f>IF(OR($B419="",AV$7=""),"",IF($B419="MEANS",INDEX('1-DATA'!$1:$1048576,$A418-1,COLUMN('1-DATA'!AU417)),ROUND(INDEX('1-DATA'!$1:$1048576,IF(OR($B419="STD. DEVIATION",$C$1=1),$A419,$A419+1),COLUMN('1-DATA'!AU417)),IF($B419="STD. DEVIATION",2,$F$1))))</f>
        <v/>
      </c>
      <c r="AW419" s="1" t="str">
        <f>IF(OR($B419="",AW$7=""),"",IF($B419="MEANS",INDEX('1-DATA'!$1:$1048576,$A418-1,COLUMN('1-DATA'!AV417)),ROUND(INDEX('1-DATA'!$1:$1048576,IF(OR($B419="STD. DEVIATION",$C$1=1),$A419,$A419+1),COLUMN('1-DATA'!AV417)),IF($B419="STD. DEVIATION",2,$F$1))))</f>
        <v/>
      </c>
      <c r="AX419" s="1" t="str">
        <f>IF(OR($B419="",AX$7=""),"",IF($B419="MEANS",INDEX('1-DATA'!$1:$1048576,$A418-1,COLUMN('1-DATA'!AW417)),ROUND(INDEX('1-DATA'!$1:$1048576,IF(OR($B419="STD. DEVIATION",$C$1=1),$A419,$A419+1),COLUMN('1-DATA'!AW417)),IF($B419="STD. DEVIATION",2,$F$1))))</f>
        <v/>
      </c>
      <c r="AY419" s="1" t="str">
        <f>IF(OR($B419="",AY$7=""),"",IF($B419="MEANS",INDEX('1-DATA'!$1:$1048576,$A418-1,COLUMN('1-DATA'!AX417)),ROUND(INDEX('1-DATA'!$1:$1048576,IF(OR($B419="STD. DEVIATION",$C$1=1),$A419,$A419+1),COLUMN('1-DATA'!AX417)),IF($B419="STD. DEVIATION",2,$F$1))))</f>
        <v/>
      </c>
      <c r="AZ419" s="1" t="str">
        <f>IF(OR($B419="",AZ$7=""),"",IF($B419="MEANS",INDEX('1-DATA'!$1:$1048576,$A418-1,COLUMN('1-DATA'!AY417)),ROUND(INDEX('1-DATA'!$1:$1048576,IF(OR($B419="STD. DEVIATION",$C$1=1),$A419,$A419+1),COLUMN('1-DATA'!AY417)),IF($B419="STD. DEVIATION",2,$F$1))))</f>
        <v/>
      </c>
    </row>
    <row r="420" spans="1:52" x14ac:dyDescent="0.25">
      <c r="A420" s="11">
        <f t="shared" si="7"/>
        <v>1246</v>
      </c>
      <c r="B420" s="1" t="str">
        <f>IF(B419="STD. DEVIATION",INDEX('1-DATA'!$1:$1048576,$A419-1,1),IF(INDEX('1-DATA'!$1:$1048576,$A420,1)&lt;&gt;"",INDEX('1-DATA'!$1:$1048576,$A420,1),""))</f>
        <v/>
      </c>
      <c r="C420" s="1" t="str">
        <f>IF(OR($B420="",C$7=""),"",IF($B420="MEANS",INDEX('1-DATA'!$1:$1048576,$A419-1,COLUMN('1-DATA'!B418)),ROUND(INDEX('1-DATA'!$1:$1048576,IF(OR($B420="STD. DEVIATION",$C$1=1),$A420,$A420+1),COLUMN('1-DATA'!B418)),IF($B420="STD. DEVIATION",2,$F$1))))</f>
        <v/>
      </c>
      <c r="D420" s="1" t="str">
        <f>IF(OR($B420="",D$7=""),"",IF($B420="MEANS",INDEX('1-DATA'!$1:$1048576,$A419-1,COLUMN('1-DATA'!C418)),ROUND(INDEX('1-DATA'!$1:$1048576,IF(OR($B420="STD. DEVIATION",$C$1=1),$A420,$A420+1),COLUMN('1-DATA'!C418)),IF($B420="STD. DEVIATION",2,$F$1))))</f>
        <v/>
      </c>
      <c r="E420" s="1" t="str">
        <f>IF(OR($B420="",E$7=""),"",IF($B420="MEANS",INDEX('1-DATA'!$1:$1048576,$A419-1,COLUMN('1-DATA'!D418)),ROUND(INDEX('1-DATA'!$1:$1048576,IF(OR($B420="STD. DEVIATION",$C$1=1),$A420,$A420+1),COLUMN('1-DATA'!D418)),IF($B420="STD. DEVIATION",2,$F$1))))</f>
        <v/>
      </c>
      <c r="F420" s="1" t="str">
        <f>IF(OR($B420="",F$7=""),"",IF($B420="MEANS",INDEX('1-DATA'!$1:$1048576,$A419-1,COLUMN('1-DATA'!E418)),ROUND(INDEX('1-DATA'!$1:$1048576,IF(OR($B420="STD. DEVIATION",$C$1=1),$A420,$A420+1),COLUMN('1-DATA'!E418)),IF($B420="STD. DEVIATION",2,$F$1))))</f>
        <v/>
      </c>
      <c r="G420" s="1" t="str">
        <f>IF(OR($B420="",G$7=""),"",IF($B420="MEANS",INDEX('1-DATA'!$1:$1048576,$A419-1,COLUMN('1-DATA'!F418)),ROUND(INDEX('1-DATA'!$1:$1048576,IF(OR($B420="STD. DEVIATION",$C$1=1),$A420,$A420+1),COLUMN('1-DATA'!F418)),IF($B420="STD. DEVIATION",2,$F$1))))</f>
        <v/>
      </c>
      <c r="H420" s="1" t="str">
        <f>IF(OR($B420="",H$7=""),"",IF($B420="MEANS",INDEX('1-DATA'!$1:$1048576,$A419-1,COLUMN('1-DATA'!G418)),ROUND(INDEX('1-DATA'!$1:$1048576,IF(OR($B420="STD. DEVIATION",$C$1=1),$A420,$A420+1),COLUMN('1-DATA'!G418)),IF($B420="STD. DEVIATION",2,$F$1))))</f>
        <v/>
      </c>
      <c r="I420" s="1" t="str">
        <f>IF(OR($B420="",I$7=""),"",IF($B420="MEANS",INDEX('1-DATA'!$1:$1048576,$A419-1,COLUMN('1-DATA'!H418)),ROUND(INDEX('1-DATA'!$1:$1048576,IF(OR($B420="STD. DEVIATION",$C$1=1),$A420,$A420+1),COLUMN('1-DATA'!H418)),IF($B420="STD. DEVIATION",2,$F$1))))</f>
        <v/>
      </c>
      <c r="J420" s="1" t="str">
        <f>IF(OR($B420="",J$7=""),"",IF($B420="MEANS",INDEX('1-DATA'!$1:$1048576,$A419-1,COLUMN('1-DATA'!I418)),ROUND(INDEX('1-DATA'!$1:$1048576,IF(OR($B420="STD. DEVIATION",$C$1=1),$A420,$A420+1),COLUMN('1-DATA'!I418)),IF($B420="STD. DEVIATION",2,$F$1))))</f>
        <v/>
      </c>
      <c r="K420" s="1" t="str">
        <f>IF(OR($B420="",K$7=""),"",IF($B420="MEANS",INDEX('1-DATA'!$1:$1048576,$A419-1,COLUMN('1-DATA'!J418)),ROUND(INDEX('1-DATA'!$1:$1048576,IF(OR($B420="STD. DEVIATION",$C$1=1),$A420,$A420+1),COLUMN('1-DATA'!J418)),IF($B420="STD. DEVIATION",2,$F$1))))</f>
        <v/>
      </c>
      <c r="L420" s="1" t="str">
        <f>IF(OR($B420="",L$7=""),"",IF($B420="MEANS",INDEX('1-DATA'!$1:$1048576,$A419-1,COLUMN('1-DATA'!K418)),ROUND(INDEX('1-DATA'!$1:$1048576,IF(OR($B420="STD. DEVIATION",$C$1=1),$A420,$A420+1),COLUMN('1-DATA'!K418)),IF($B420="STD. DEVIATION",2,$F$1))))</f>
        <v/>
      </c>
      <c r="M420" s="1" t="str">
        <f>IF(OR($B420="",M$7=""),"",IF($B420="MEANS",INDEX('1-DATA'!$1:$1048576,$A419-1,COLUMN('1-DATA'!L418)),ROUND(INDEX('1-DATA'!$1:$1048576,IF(OR($B420="STD. DEVIATION",$C$1=1),$A420,$A420+1),COLUMN('1-DATA'!L418)),IF($B420="STD. DEVIATION",2,$F$1))))</f>
        <v/>
      </c>
      <c r="N420" s="1" t="str">
        <f>IF(OR($B420="",N$7=""),"",IF($B420="MEANS",INDEX('1-DATA'!$1:$1048576,$A419-1,COLUMN('1-DATA'!M418)),ROUND(INDEX('1-DATA'!$1:$1048576,IF(OR($B420="STD. DEVIATION",$C$1=1),$A420,$A420+1),COLUMN('1-DATA'!M418)),IF($B420="STD. DEVIATION",2,$F$1))))</f>
        <v/>
      </c>
      <c r="O420" s="1" t="str">
        <f>IF(OR($B420="",O$7=""),"",IF($B420="MEANS",INDEX('1-DATA'!$1:$1048576,$A419-1,COLUMN('1-DATA'!N418)),ROUND(INDEX('1-DATA'!$1:$1048576,IF(OR($B420="STD. DEVIATION",$C$1=1),$A420,$A420+1),COLUMN('1-DATA'!N418)),IF($B420="STD. DEVIATION",2,$F$1))))</f>
        <v/>
      </c>
      <c r="P420" s="1" t="str">
        <f>IF(OR($B420="",P$7=""),"",IF($B420="MEANS",INDEX('1-DATA'!$1:$1048576,$A419-1,COLUMN('1-DATA'!O418)),ROUND(INDEX('1-DATA'!$1:$1048576,IF(OR($B420="STD. DEVIATION",$C$1=1),$A420,$A420+1),COLUMN('1-DATA'!O418)),IF($B420="STD. DEVIATION",2,$F$1))))</f>
        <v/>
      </c>
      <c r="Q420" s="1" t="str">
        <f>IF(OR($B420="",Q$7=""),"",IF($B420="MEANS",INDEX('1-DATA'!$1:$1048576,$A419-1,COLUMN('1-DATA'!P418)),ROUND(INDEX('1-DATA'!$1:$1048576,IF(OR($B420="STD. DEVIATION",$C$1=1),$A420,$A420+1),COLUMN('1-DATA'!P418)),IF($B420="STD. DEVIATION",2,$F$1))))</f>
        <v/>
      </c>
      <c r="R420" s="1" t="str">
        <f>IF(OR($B420="",R$7=""),"",IF($B420="MEANS",INDEX('1-DATA'!$1:$1048576,$A419-1,COLUMN('1-DATA'!Q418)),ROUND(INDEX('1-DATA'!$1:$1048576,IF(OR($B420="STD. DEVIATION",$C$1=1),$A420,$A420+1),COLUMN('1-DATA'!Q418)),IF($B420="STD. DEVIATION",2,$F$1))))</f>
        <v/>
      </c>
      <c r="S420" s="1" t="str">
        <f>IF(OR($B420="",S$7=""),"",IF($B420="MEANS",INDEX('1-DATA'!$1:$1048576,$A419-1,COLUMN('1-DATA'!R418)),ROUND(INDEX('1-DATA'!$1:$1048576,IF(OR($B420="STD. DEVIATION",$C$1=1),$A420,$A420+1),COLUMN('1-DATA'!R418)),IF($B420="STD. DEVIATION",2,$F$1))))</f>
        <v/>
      </c>
      <c r="T420" s="1" t="str">
        <f>IF(OR($B420="",T$7=""),"",IF($B420="MEANS",INDEX('1-DATA'!$1:$1048576,$A419-1,COLUMN('1-DATA'!S418)),ROUND(INDEX('1-DATA'!$1:$1048576,IF(OR($B420="STD. DEVIATION",$C$1=1),$A420,$A420+1),COLUMN('1-DATA'!S418)),IF($B420="STD. DEVIATION",2,$F$1))))</f>
        <v/>
      </c>
      <c r="U420" s="1" t="str">
        <f>IF(OR($B420="",U$7=""),"",IF($B420="MEANS",INDEX('1-DATA'!$1:$1048576,$A419-1,COLUMN('1-DATA'!T418)),ROUND(INDEX('1-DATA'!$1:$1048576,IF(OR($B420="STD. DEVIATION",$C$1=1),$A420,$A420+1),COLUMN('1-DATA'!T418)),IF($B420="STD. DEVIATION",2,$F$1))))</f>
        <v/>
      </c>
      <c r="V420" s="1" t="str">
        <f>IF(OR($B420="",V$7=""),"",IF($B420="MEANS",INDEX('1-DATA'!$1:$1048576,$A419-1,COLUMN('1-DATA'!U418)),ROUND(INDEX('1-DATA'!$1:$1048576,IF(OR($B420="STD. DEVIATION",$C$1=1),$A420,$A420+1),COLUMN('1-DATA'!U418)),IF($B420="STD. DEVIATION",2,$F$1))))</f>
        <v/>
      </c>
      <c r="W420" s="1" t="str">
        <f>IF(OR($B420="",W$7=""),"",IF($B420="MEANS",INDEX('1-DATA'!$1:$1048576,$A419-1,COLUMN('1-DATA'!V418)),ROUND(INDEX('1-DATA'!$1:$1048576,IF(OR($B420="STD. DEVIATION",$C$1=1),$A420,$A420+1),COLUMN('1-DATA'!V418)),IF($B420="STD. DEVIATION",2,$F$1))))</f>
        <v/>
      </c>
      <c r="X420" s="1" t="str">
        <f>IF(OR($B420="",X$7=""),"",IF($B420="MEANS",INDEX('1-DATA'!$1:$1048576,$A419-1,COLUMN('1-DATA'!W418)),ROUND(INDEX('1-DATA'!$1:$1048576,IF(OR($B420="STD. DEVIATION",$C$1=1),$A420,$A420+1),COLUMN('1-DATA'!W418)),IF($B420="STD. DEVIATION",2,$F$1))))</f>
        <v/>
      </c>
      <c r="Y420" s="1" t="str">
        <f>IF(OR($B420="",Y$7=""),"",IF($B420="MEANS",INDEX('1-DATA'!$1:$1048576,$A419-1,COLUMN('1-DATA'!X418)),ROUND(INDEX('1-DATA'!$1:$1048576,IF(OR($B420="STD. DEVIATION",$C$1=1),$A420,$A420+1),COLUMN('1-DATA'!X418)),IF($B420="STD. DEVIATION",2,$F$1))))</f>
        <v/>
      </c>
      <c r="Z420" s="1" t="str">
        <f>IF(OR($B420="",Z$7=""),"",IF($B420="MEANS",INDEX('1-DATA'!$1:$1048576,$A419-1,COLUMN('1-DATA'!Y418)),ROUND(INDEX('1-DATA'!$1:$1048576,IF(OR($B420="STD. DEVIATION",$C$1=1),$A420,$A420+1),COLUMN('1-DATA'!Y418)),IF($B420="STD. DEVIATION",2,$F$1))))</f>
        <v/>
      </c>
      <c r="AA420" s="1" t="str">
        <f>IF(OR($B420="",AA$7=""),"",IF($B420="MEANS",INDEX('1-DATA'!$1:$1048576,$A419-1,COLUMN('1-DATA'!Z418)),ROUND(INDEX('1-DATA'!$1:$1048576,IF(OR($B420="STD. DEVIATION",$C$1=1),$A420,$A420+1),COLUMN('1-DATA'!Z418)),IF($B420="STD. DEVIATION",2,$F$1))))</f>
        <v/>
      </c>
      <c r="AB420" s="1" t="str">
        <f>IF(OR($B420="",AB$7=""),"",IF($B420="MEANS",INDEX('1-DATA'!$1:$1048576,$A419-1,COLUMN('1-DATA'!AA418)),ROUND(INDEX('1-DATA'!$1:$1048576,IF(OR($B420="STD. DEVIATION",$C$1=1),$A420,$A420+1),COLUMN('1-DATA'!AA418)),IF($B420="STD. DEVIATION",2,$F$1))))</f>
        <v/>
      </c>
      <c r="AC420" s="1" t="str">
        <f>IF(OR($B420="",AC$7=""),"",IF($B420="MEANS",INDEX('1-DATA'!$1:$1048576,$A419-1,COLUMN('1-DATA'!AB418)),ROUND(INDEX('1-DATA'!$1:$1048576,IF(OR($B420="STD. DEVIATION",$C$1=1),$A420,$A420+1),COLUMN('1-DATA'!AB418)),IF($B420="STD. DEVIATION",2,$F$1))))</f>
        <v/>
      </c>
      <c r="AD420" s="1" t="str">
        <f>IF(OR($B420="",AD$7=""),"",IF($B420="MEANS",INDEX('1-DATA'!$1:$1048576,$A419-1,COLUMN('1-DATA'!AC418)),ROUND(INDEX('1-DATA'!$1:$1048576,IF(OR($B420="STD. DEVIATION",$C$1=1),$A420,$A420+1),COLUMN('1-DATA'!AC418)),IF($B420="STD. DEVIATION",2,$F$1))))</f>
        <v/>
      </c>
      <c r="AE420" s="1" t="str">
        <f>IF(OR($B420="",AE$7=""),"",IF($B420="MEANS",INDEX('1-DATA'!$1:$1048576,$A419-1,COLUMN('1-DATA'!AD418)),ROUND(INDEX('1-DATA'!$1:$1048576,IF(OR($B420="STD. DEVIATION",$C$1=1),$A420,$A420+1),COLUMN('1-DATA'!AD418)),IF($B420="STD. DEVIATION",2,$F$1))))</f>
        <v/>
      </c>
      <c r="AF420" s="1" t="str">
        <f>IF(OR($B420="",AF$7=""),"",IF($B420="MEANS",INDEX('1-DATA'!$1:$1048576,$A419-1,COLUMN('1-DATA'!AE418)),ROUND(INDEX('1-DATA'!$1:$1048576,IF(OR($B420="STD. DEVIATION",$C$1=1),$A420,$A420+1),COLUMN('1-DATA'!AE418)),IF($B420="STD. DEVIATION",2,$F$1))))</f>
        <v/>
      </c>
      <c r="AG420" s="1" t="str">
        <f>IF(OR($B420="",AG$7=""),"",IF($B420="MEANS",INDEX('1-DATA'!$1:$1048576,$A419-1,COLUMN('1-DATA'!AF418)),ROUND(INDEX('1-DATA'!$1:$1048576,IF(OR($B420="STD. DEVIATION",$C$1=1),$A420,$A420+1),COLUMN('1-DATA'!AF418)),IF($B420="STD. DEVIATION",2,$F$1))))</f>
        <v/>
      </c>
      <c r="AH420" s="1" t="str">
        <f>IF(OR($B420="",AH$7=""),"",IF($B420="MEANS",INDEX('1-DATA'!$1:$1048576,$A419-1,COLUMN('1-DATA'!AG418)),ROUND(INDEX('1-DATA'!$1:$1048576,IF(OR($B420="STD. DEVIATION",$C$1=1),$A420,$A420+1),COLUMN('1-DATA'!AG418)),IF($B420="STD. DEVIATION",2,$F$1))))</f>
        <v/>
      </c>
      <c r="AI420" s="1" t="str">
        <f>IF(OR($B420="",AI$7=""),"",IF($B420="MEANS",INDEX('1-DATA'!$1:$1048576,$A419-1,COLUMN('1-DATA'!AH418)),ROUND(INDEX('1-DATA'!$1:$1048576,IF(OR($B420="STD. DEVIATION",$C$1=1),$A420,$A420+1),COLUMN('1-DATA'!AH418)),IF($B420="STD. DEVIATION",2,$F$1))))</f>
        <v/>
      </c>
      <c r="AJ420" s="1" t="str">
        <f>IF(OR($B420="",AJ$7=""),"",IF($B420="MEANS",INDEX('1-DATA'!$1:$1048576,$A419-1,COLUMN('1-DATA'!AI418)),ROUND(INDEX('1-DATA'!$1:$1048576,IF(OR($B420="STD. DEVIATION",$C$1=1),$A420,$A420+1),COLUMN('1-DATA'!AI418)),IF($B420="STD. DEVIATION",2,$F$1))))</f>
        <v/>
      </c>
      <c r="AK420" s="1" t="str">
        <f>IF(OR($B420="",AK$7=""),"",IF($B420="MEANS",INDEX('1-DATA'!$1:$1048576,$A419-1,COLUMN('1-DATA'!AJ418)),ROUND(INDEX('1-DATA'!$1:$1048576,IF(OR($B420="STD. DEVIATION",$C$1=1),$A420,$A420+1),COLUMN('1-DATA'!AJ418)),IF($B420="STD. DEVIATION",2,$F$1))))</f>
        <v/>
      </c>
      <c r="AL420" s="1" t="str">
        <f>IF(OR($B420="",AL$7=""),"",IF($B420="MEANS",INDEX('1-DATA'!$1:$1048576,$A419-1,COLUMN('1-DATA'!AK418)),ROUND(INDEX('1-DATA'!$1:$1048576,IF(OR($B420="STD. DEVIATION",$C$1=1),$A420,$A420+1),COLUMN('1-DATA'!AK418)),IF($B420="STD. DEVIATION",2,$F$1))))</f>
        <v/>
      </c>
      <c r="AM420" s="1" t="str">
        <f>IF(OR($B420="",AM$7=""),"",IF($B420="MEANS",INDEX('1-DATA'!$1:$1048576,$A419-1,COLUMN('1-DATA'!AL418)),ROUND(INDEX('1-DATA'!$1:$1048576,IF(OR($B420="STD. DEVIATION",$C$1=1),$A420,$A420+1),COLUMN('1-DATA'!AL418)),IF($B420="STD. DEVIATION",2,$F$1))))</f>
        <v/>
      </c>
      <c r="AN420" s="1" t="str">
        <f>IF(OR($B420="",AN$7=""),"",IF($B420="MEANS",INDEX('1-DATA'!$1:$1048576,$A419-1,COLUMN('1-DATA'!AM418)),ROUND(INDEX('1-DATA'!$1:$1048576,IF(OR($B420="STD. DEVIATION",$C$1=1),$A420,$A420+1),COLUMN('1-DATA'!AM418)),IF($B420="STD. DEVIATION",2,$F$1))))</f>
        <v/>
      </c>
      <c r="AO420" s="1" t="str">
        <f>IF(OR($B420="",AO$7=""),"",IF($B420="MEANS",INDEX('1-DATA'!$1:$1048576,$A419-1,COLUMN('1-DATA'!AN418)),ROUND(INDEX('1-DATA'!$1:$1048576,IF(OR($B420="STD. DEVIATION",$C$1=1),$A420,$A420+1),COLUMN('1-DATA'!AN418)),IF($B420="STD. DEVIATION",2,$F$1))))</f>
        <v/>
      </c>
      <c r="AP420" s="1" t="str">
        <f>IF(OR($B420="",AP$7=""),"",IF($B420="MEANS",INDEX('1-DATA'!$1:$1048576,$A419-1,COLUMN('1-DATA'!AO418)),ROUND(INDEX('1-DATA'!$1:$1048576,IF(OR($B420="STD. DEVIATION",$C$1=1),$A420,$A420+1),COLUMN('1-DATA'!AO418)),IF($B420="STD. DEVIATION",2,$F$1))))</f>
        <v/>
      </c>
      <c r="AQ420" s="1" t="str">
        <f>IF(OR($B420="",AQ$7=""),"",IF($B420="MEANS",INDEX('1-DATA'!$1:$1048576,$A419-1,COLUMN('1-DATA'!AP418)),ROUND(INDEX('1-DATA'!$1:$1048576,IF(OR($B420="STD. DEVIATION",$C$1=1),$A420,$A420+1),COLUMN('1-DATA'!AP418)),IF($B420="STD. DEVIATION",2,$F$1))))</f>
        <v/>
      </c>
      <c r="AR420" s="1" t="str">
        <f>IF(OR($B420="",AR$7=""),"",IF($B420="MEANS",INDEX('1-DATA'!$1:$1048576,$A419-1,COLUMN('1-DATA'!AQ418)),ROUND(INDEX('1-DATA'!$1:$1048576,IF(OR($B420="STD. DEVIATION",$C$1=1),$A420,$A420+1),COLUMN('1-DATA'!AQ418)),IF($B420="STD. DEVIATION",2,$F$1))))</f>
        <v/>
      </c>
      <c r="AS420" s="1" t="str">
        <f>IF(OR($B420="",AS$7=""),"",IF($B420="MEANS",INDEX('1-DATA'!$1:$1048576,$A419-1,COLUMN('1-DATA'!AR418)),ROUND(INDEX('1-DATA'!$1:$1048576,IF(OR($B420="STD. DEVIATION",$C$1=1),$A420,$A420+1),COLUMN('1-DATA'!AR418)),IF($B420="STD. DEVIATION",2,$F$1))))</f>
        <v/>
      </c>
      <c r="AT420" s="1" t="str">
        <f>IF(OR($B420="",AT$7=""),"",IF($B420="MEANS",INDEX('1-DATA'!$1:$1048576,$A419-1,COLUMN('1-DATA'!AS418)),ROUND(INDEX('1-DATA'!$1:$1048576,IF(OR($B420="STD. DEVIATION",$C$1=1),$A420,$A420+1),COLUMN('1-DATA'!AS418)),IF($B420="STD. DEVIATION",2,$F$1))))</f>
        <v/>
      </c>
      <c r="AU420" s="1" t="str">
        <f>IF(OR($B420="",AU$7=""),"",IF($B420="MEANS",INDEX('1-DATA'!$1:$1048576,$A419-1,COLUMN('1-DATA'!AT418)),ROUND(INDEX('1-DATA'!$1:$1048576,IF(OR($B420="STD. DEVIATION",$C$1=1),$A420,$A420+1),COLUMN('1-DATA'!AT418)),IF($B420="STD. DEVIATION",2,$F$1))))</f>
        <v/>
      </c>
      <c r="AV420" s="1" t="str">
        <f>IF(OR($B420="",AV$7=""),"",IF($B420="MEANS",INDEX('1-DATA'!$1:$1048576,$A419-1,COLUMN('1-DATA'!AU418)),ROUND(INDEX('1-DATA'!$1:$1048576,IF(OR($B420="STD. DEVIATION",$C$1=1),$A420,$A420+1),COLUMN('1-DATA'!AU418)),IF($B420="STD. DEVIATION",2,$F$1))))</f>
        <v/>
      </c>
      <c r="AW420" s="1" t="str">
        <f>IF(OR($B420="",AW$7=""),"",IF($B420="MEANS",INDEX('1-DATA'!$1:$1048576,$A419-1,COLUMN('1-DATA'!AV418)),ROUND(INDEX('1-DATA'!$1:$1048576,IF(OR($B420="STD. DEVIATION",$C$1=1),$A420,$A420+1),COLUMN('1-DATA'!AV418)),IF($B420="STD. DEVIATION",2,$F$1))))</f>
        <v/>
      </c>
      <c r="AX420" s="1" t="str">
        <f>IF(OR($B420="",AX$7=""),"",IF($B420="MEANS",INDEX('1-DATA'!$1:$1048576,$A419-1,COLUMN('1-DATA'!AW418)),ROUND(INDEX('1-DATA'!$1:$1048576,IF(OR($B420="STD. DEVIATION",$C$1=1),$A420,$A420+1),COLUMN('1-DATA'!AW418)),IF($B420="STD. DEVIATION",2,$F$1))))</f>
        <v/>
      </c>
      <c r="AY420" s="1" t="str">
        <f>IF(OR($B420="",AY$7=""),"",IF($B420="MEANS",INDEX('1-DATA'!$1:$1048576,$A419-1,COLUMN('1-DATA'!AX418)),ROUND(INDEX('1-DATA'!$1:$1048576,IF(OR($B420="STD. DEVIATION",$C$1=1),$A420,$A420+1),COLUMN('1-DATA'!AX418)),IF($B420="STD. DEVIATION",2,$F$1))))</f>
        <v/>
      </c>
      <c r="AZ420" s="1" t="str">
        <f>IF(OR($B420="",AZ$7=""),"",IF($B420="MEANS",INDEX('1-DATA'!$1:$1048576,$A419-1,COLUMN('1-DATA'!AY418)),ROUND(INDEX('1-DATA'!$1:$1048576,IF(OR($B420="STD. DEVIATION",$C$1=1),$A420,$A420+1),COLUMN('1-DATA'!AY418)),IF($B420="STD. DEVIATION",2,$F$1))))</f>
        <v/>
      </c>
    </row>
    <row r="421" spans="1:52" x14ac:dyDescent="0.25">
      <c r="A421" s="11">
        <f t="shared" si="7"/>
        <v>1249</v>
      </c>
      <c r="B421" s="1" t="str">
        <f>IF(B420="STD. DEVIATION",INDEX('1-DATA'!$1:$1048576,$A420-1,1),IF(INDEX('1-DATA'!$1:$1048576,$A421,1)&lt;&gt;"",INDEX('1-DATA'!$1:$1048576,$A421,1),""))</f>
        <v/>
      </c>
      <c r="C421" s="1" t="str">
        <f>IF(OR($B421="",C$7=""),"",IF($B421="MEANS",INDEX('1-DATA'!$1:$1048576,$A420-1,COLUMN('1-DATA'!B419)),ROUND(INDEX('1-DATA'!$1:$1048576,IF(OR($B421="STD. DEVIATION",$C$1=1),$A421,$A421+1),COLUMN('1-DATA'!B419)),IF($B421="STD. DEVIATION",2,$F$1))))</f>
        <v/>
      </c>
      <c r="D421" s="1" t="str">
        <f>IF(OR($B421="",D$7=""),"",IF($B421="MEANS",INDEX('1-DATA'!$1:$1048576,$A420-1,COLUMN('1-DATA'!C419)),ROUND(INDEX('1-DATA'!$1:$1048576,IF(OR($B421="STD. DEVIATION",$C$1=1),$A421,$A421+1),COLUMN('1-DATA'!C419)),IF($B421="STD. DEVIATION",2,$F$1))))</f>
        <v/>
      </c>
      <c r="E421" s="1" t="str">
        <f>IF(OR($B421="",E$7=""),"",IF($B421="MEANS",INDEX('1-DATA'!$1:$1048576,$A420-1,COLUMN('1-DATA'!D419)),ROUND(INDEX('1-DATA'!$1:$1048576,IF(OR($B421="STD. DEVIATION",$C$1=1),$A421,$A421+1),COLUMN('1-DATA'!D419)),IF($B421="STD. DEVIATION",2,$F$1))))</f>
        <v/>
      </c>
      <c r="F421" s="1" t="str">
        <f>IF(OR($B421="",F$7=""),"",IF($B421="MEANS",INDEX('1-DATA'!$1:$1048576,$A420-1,COLUMN('1-DATA'!E419)),ROUND(INDEX('1-DATA'!$1:$1048576,IF(OR($B421="STD. DEVIATION",$C$1=1),$A421,$A421+1),COLUMN('1-DATA'!E419)),IF($B421="STD. DEVIATION",2,$F$1))))</f>
        <v/>
      </c>
      <c r="G421" s="1" t="str">
        <f>IF(OR($B421="",G$7=""),"",IF($B421="MEANS",INDEX('1-DATA'!$1:$1048576,$A420-1,COLUMN('1-DATA'!F419)),ROUND(INDEX('1-DATA'!$1:$1048576,IF(OR($B421="STD. DEVIATION",$C$1=1),$A421,$A421+1),COLUMN('1-DATA'!F419)),IF($B421="STD. DEVIATION",2,$F$1))))</f>
        <v/>
      </c>
      <c r="H421" s="1" t="str">
        <f>IF(OR($B421="",H$7=""),"",IF($B421="MEANS",INDEX('1-DATA'!$1:$1048576,$A420-1,COLUMN('1-DATA'!G419)),ROUND(INDEX('1-DATA'!$1:$1048576,IF(OR($B421="STD. DEVIATION",$C$1=1),$A421,$A421+1),COLUMN('1-DATA'!G419)),IF($B421="STD. DEVIATION",2,$F$1))))</f>
        <v/>
      </c>
      <c r="I421" s="1" t="str">
        <f>IF(OR($B421="",I$7=""),"",IF($B421="MEANS",INDEX('1-DATA'!$1:$1048576,$A420-1,COLUMN('1-DATA'!H419)),ROUND(INDEX('1-DATA'!$1:$1048576,IF(OR($B421="STD. DEVIATION",$C$1=1),$A421,$A421+1),COLUMN('1-DATA'!H419)),IF($B421="STD. DEVIATION",2,$F$1))))</f>
        <v/>
      </c>
      <c r="J421" s="1" t="str">
        <f>IF(OR($B421="",J$7=""),"",IF($B421="MEANS",INDEX('1-DATA'!$1:$1048576,$A420-1,COLUMN('1-DATA'!I419)),ROUND(INDEX('1-DATA'!$1:$1048576,IF(OR($B421="STD. DEVIATION",$C$1=1),$A421,$A421+1),COLUMN('1-DATA'!I419)),IF($B421="STD. DEVIATION",2,$F$1))))</f>
        <v/>
      </c>
      <c r="K421" s="1" t="str">
        <f>IF(OR($B421="",K$7=""),"",IF($B421="MEANS",INDEX('1-DATA'!$1:$1048576,$A420-1,COLUMN('1-DATA'!J419)),ROUND(INDEX('1-DATA'!$1:$1048576,IF(OR($B421="STD. DEVIATION",$C$1=1),$A421,$A421+1),COLUMN('1-DATA'!J419)),IF($B421="STD. DEVIATION",2,$F$1))))</f>
        <v/>
      </c>
      <c r="L421" s="1" t="str">
        <f>IF(OR($B421="",L$7=""),"",IF($B421="MEANS",INDEX('1-DATA'!$1:$1048576,$A420-1,COLUMN('1-DATA'!K419)),ROUND(INDEX('1-DATA'!$1:$1048576,IF(OR($B421="STD. DEVIATION",$C$1=1),$A421,$A421+1),COLUMN('1-DATA'!K419)),IF($B421="STD. DEVIATION",2,$F$1))))</f>
        <v/>
      </c>
      <c r="M421" s="1" t="str">
        <f>IF(OR($B421="",M$7=""),"",IF($B421="MEANS",INDEX('1-DATA'!$1:$1048576,$A420-1,COLUMN('1-DATA'!L419)),ROUND(INDEX('1-DATA'!$1:$1048576,IF(OR($B421="STD. DEVIATION",$C$1=1),$A421,$A421+1),COLUMN('1-DATA'!L419)),IF($B421="STD. DEVIATION",2,$F$1))))</f>
        <v/>
      </c>
      <c r="N421" s="1" t="str">
        <f>IF(OR($B421="",N$7=""),"",IF($B421="MEANS",INDEX('1-DATA'!$1:$1048576,$A420-1,COLUMN('1-DATA'!M419)),ROUND(INDEX('1-DATA'!$1:$1048576,IF(OR($B421="STD. DEVIATION",$C$1=1),$A421,$A421+1),COLUMN('1-DATA'!M419)),IF($B421="STD. DEVIATION",2,$F$1))))</f>
        <v/>
      </c>
      <c r="O421" s="1" t="str">
        <f>IF(OR($B421="",O$7=""),"",IF($B421="MEANS",INDEX('1-DATA'!$1:$1048576,$A420-1,COLUMN('1-DATA'!N419)),ROUND(INDEX('1-DATA'!$1:$1048576,IF(OR($B421="STD. DEVIATION",$C$1=1),$A421,$A421+1),COLUMN('1-DATA'!N419)),IF($B421="STD. DEVIATION",2,$F$1))))</f>
        <v/>
      </c>
      <c r="P421" s="1" t="str">
        <f>IF(OR($B421="",P$7=""),"",IF($B421="MEANS",INDEX('1-DATA'!$1:$1048576,$A420-1,COLUMN('1-DATA'!O419)),ROUND(INDEX('1-DATA'!$1:$1048576,IF(OR($B421="STD. DEVIATION",$C$1=1),$A421,$A421+1),COLUMN('1-DATA'!O419)),IF($B421="STD. DEVIATION",2,$F$1))))</f>
        <v/>
      </c>
      <c r="Q421" s="1" t="str">
        <f>IF(OR($B421="",Q$7=""),"",IF($B421="MEANS",INDEX('1-DATA'!$1:$1048576,$A420-1,COLUMN('1-DATA'!P419)),ROUND(INDEX('1-DATA'!$1:$1048576,IF(OR($B421="STD. DEVIATION",$C$1=1),$A421,$A421+1),COLUMN('1-DATA'!P419)),IF($B421="STD. DEVIATION",2,$F$1))))</f>
        <v/>
      </c>
      <c r="R421" s="1" t="str">
        <f>IF(OR($B421="",R$7=""),"",IF($B421="MEANS",INDEX('1-DATA'!$1:$1048576,$A420-1,COLUMN('1-DATA'!Q419)),ROUND(INDEX('1-DATA'!$1:$1048576,IF(OR($B421="STD. DEVIATION",$C$1=1),$A421,$A421+1),COLUMN('1-DATA'!Q419)),IF($B421="STD. DEVIATION",2,$F$1))))</f>
        <v/>
      </c>
      <c r="S421" s="1" t="str">
        <f>IF(OR($B421="",S$7=""),"",IF($B421="MEANS",INDEX('1-DATA'!$1:$1048576,$A420-1,COLUMN('1-DATA'!R419)),ROUND(INDEX('1-DATA'!$1:$1048576,IF(OR($B421="STD. DEVIATION",$C$1=1),$A421,$A421+1),COLUMN('1-DATA'!R419)),IF($B421="STD. DEVIATION",2,$F$1))))</f>
        <v/>
      </c>
      <c r="T421" s="1" t="str">
        <f>IF(OR($B421="",T$7=""),"",IF($B421="MEANS",INDEX('1-DATA'!$1:$1048576,$A420-1,COLUMN('1-DATA'!S419)),ROUND(INDEX('1-DATA'!$1:$1048576,IF(OR($B421="STD. DEVIATION",$C$1=1),$A421,$A421+1),COLUMN('1-DATA'!S419)),IF($B421="STD. DEVIATION",2,$F$1))))</f>
        <v/>
      </c>
      <c r="U421" s="1" t="str">
        <f>IF(OR($B421="",U$7=""),"",IF($B421="MEANS",INDEX('1-DATA'!$1:$1048576,$A420-1,COLUMN('1-DATA'!T419)),ROUND(INDEX('1-DATA'!$1:$1048576,IF(OR($B421="STD. DEVIATION",$C$1=1),$A421,$A421+1),COLUMN('1-DATA'!T419)),IF($B421="STD. DEVIATION",2,$F$1))))</f>
        <v/>
      </c>
      <c r="V421" s="1" t="str">
        <f>IF(OR($B421="",V$7=""),"",IF($B421="MEANS",INDEX('1-DATA'!$1:$1048576,$A420-1,COLUMN('1-DATA'!U419)),ROUND(INDEX('1-DATA'!$1:$1048576,IF(OR($B421="STD. DEVIATION",$C$1=1),$A421,$A421+1),COLUMN('1-DATA'!U419)),IF($B421="STD. DEVIATION",2,$F$1))))</f>
        <v/>
      </c>
      <c r="W421" s="1" t="str">
        <f>IF(OR($B421="",W$7=""),"",IF($B421="MEANS",INDEX('1-DATA'!$1:$1048576,$A420-1,COLUMN('1-DATA'!V419)),ROUND(INDEX('1-DATA'!$1:$1048576,IF(OR($B421="STD. DEVIATION",$C$1=1),$A421,$A421+1),COLUMN('1-DATA'!V419)),IF($B421="STD. DEVIATION",2,$F$1))))</f>
        <v/>
      </c>
      <c r="X421" s="1" t="str">
        <f>IF(OR($B421="",X$7=""),"",IF($B421="MEANS",INDEX('1-DATA'!$1:$1048576,$A420-1,COLUMN('1-DATA'!W419)),ROUND(INDEX('1-DATA'!$1:$1048576,IF(OR($B421="STD. DEVIATION",$C$1=1),$A421,$A421+1),COLUMN('1-DATA'!W419)),IF($B421="STD. DEVIATION",2,$F$1))))</f>
        <v/>
      </c>
      <c r="Y421" s="1" t="str">
        <f>IF(OR($B421="",Y$7=""),"",IF($B421="MEANS",INDEX('1-DATA'!$1:$1048576,$A420-1,COLUMN('1-DATA'!X419)),ROUND(INDEX('1-DATA'!$1:$1048576,IF(OR($B421="STD. DEVIATION",$C$1=1),$A421,$A421+1),COLUMN('1-DATA'!X419)),IF($B421="STD. DEVIATION",2,$F$1))))</f>
        <v/>
      </c>
      <c r="Z421" s="1" t="str">
        <f>IF(OR($B421="",Z$7=""),"",IF($B421="MEANS",INDEX('1-DATA'!$1:$1048576,$A420-1,COLUMN('1-DATA'!Y419)),ROUND(INDEX('1-DATA'!$1:$1048576,IF(OR($B421="STD. DEVIATION",$C$1=1),$A421,$A421+1),COLUMN('1-DATA'!Y419)),IF($B421="STD. DEVIATION",2,$F$1))))</f>
        <v/>
      </c>
      <c r="AA421" s="1" t="str">
        <f>IF(OR($B421="",AA$7=""),"",IF($B421="MEANS",INDEX('1-DATA'!$1:$1048576,$A420-1,COLUMN('1-DATA'!Z419)),ROUND(INDEX('1-DATA'!$1:$1048576,IF(OR($B421="STD. DEVIATION",$C$1=1),$A421,$A421+1),COLUMN('1-DATA'!Z419)),IF($B421="STD. DEVIATION",2,$F$1))))</f>
        <v/>
      </c>
      <c r="AB421" s="1" t="str">
        <f>IF(OR($B421="",AB$7=""),"",IF($B421="MEANS",INDEX('1-DATA'!$1:$1048576,$A420-1,COLUMN('1-DATA'!AA419)),ROUND(INDEX('1-DATA'!$1:$1048576,IF(OR($B421="STD. DEVIATION",$C$1=1),$A421,$A421+1),COLUMN('1-DATA'!AA419)),IF($B421="STD. DEVIATION",2,$F$1))))</f>
        <v/>
      </c>
      <c r="AC421" s="1" t="str">
        <f>IF(OR($B421="",AC$7=""),"",IF($B421="MEANS",INDEX('1-DATA'!$1:$1048576,$A420-1,COLUMN('1-DATA'!AB419)),ROUND(INDEX('1-DATA'!$1:$1048576,IF(OR($B421="STD. DEVIATION",$C$1=1),$A421,$A421+1),COLUMN('1-DATA'!AB419)),IF($B421="STD. DEVIATION",2,$F$1))))</f>
        <v/>
      </c>
      <c r="AD421" s="1" t="str">
        <f>IF(OR($B421="",AD$7=""),"",IF($B421="MEANS",INDEX('1-DATA'!$1:$1048576,$A420-1,COLUMN('1-DATA'!AC419)),ROUND(INDEX('1-DATA'!$1:$1048576,IF(OR($B421="STD. DEVIATION",$C$1=1),$A421,$A421+1),COLUMN('1-DATA'!AC419)),IF($B421="STD. DEVIATION",2,$F$1))))</f>
        <v/>
      </c>
      <c r="AE421" s="1" t="str">
        <f>IF(OR($B421="",AE$7=""),"",IF($B421="MEANS",INDEX('1-DATA'!$1:$1048576,$A420-1,COLUMN('1-DATA'!AD419)),ROUND(INDEX('1-DATA'!$1:$1048576,IF(OR($B421="STD. DEVIATION",$C$1=1),$A421,$A421+1),COLUMN('1-DATA'!AD419)),IF($B421="STD. DEVIATION",2,$F$1))))</f>
        <v/>
      </c>
      <c r="AF421" s="1" t="str">
        <f>IF(OR($B421="",AF$7=""),"",IF($B421="MEANS",INDEX('1-DATA'!$1:$1048576,$A420-1,COLUMN('1-DATA'!AE419)),ROUND(INDEX('1-DATA'!$1:$1048576,IF(OR($B421="STD. DEVIATION",$C$1=1),$A421,$A421+1),COLUMN('1-DATA'!AE419)),IF($B421="STD. DEVIATION",2,$F$1))))</f>
        <v/>
      </c>
      <c r="AG421" s="1" t="str">
        <f>IF(OR($B421="",AG$7=""),"",IF($B421="MEANS",INDEX('1-DATA'!$1:$1048576,$A420-1,COLUMN('1-DATA'!AF419)),ROUND(INDEX('1-DATA'!$1:$1048576,IF(OR($B421="STD. DEVIATION",$C$1=1),$A421,$A421+1),COLUMN('1-DATA'!AF419)),IF($B421="STD. DEVIATION",2,$F$1))))</f>
        <v/>
      </c>
      <c r="AH421" s="1" t="str">
        <f>IF(OR($B421="",AH$7=""),"",IF($B421="MEANS",INDEX('1-DATA'!$1:$1048576,$A420-1,COLUMN('1-DATA'!AG419)),ROUND(INDEX('1-DATA'!$1:$1048576,IF(OR($B421="STD. DEVIATION",$C$1=1),$A421,$A421+1),COLUMN('1-DATA'!AG419)),IF($B421="STD. DEVIATION",2,$F$1))))</f>
        <v/>
      </c>
      <c r="AI421" s="1" t="str">
        <f>IF(OR($B421="",AI$7=""),"",IF($B421="MEANS",INDEX('1-DATA'!$1:$1048576,$A420-1,COLUMN('1-DATA'!AH419)),ROUND(INDEX('1-DATA'!$1:$1048576,IF(OR($B421="STD. DEVIATION",$C$1=1),$A421,$A421+1),COLUMN('1-DATA'!AH419)),IF($B421="STD. DEVIATION",2,$F$1))))</f>
        <v/>
      </c>
      <c r="AJ421" s="1" t="str">
        <f>IF(OR($B421="",AJ$7=""),"",IF($B421="MEANS",INDEX('1-DATA'!$1:$1048576,$A420-1,COLUMN('1-DATA'!AI419)),ROUND(INDEX('1-DATA'!$1:$1048576,IF(OR($B421="STD. DEVIATION",$C$1=1),$A421,$A421+1),COLUMN('1-DATA'!AI419)),IF($B421="STD. DEVIATION",2,$F$1))))</f>
        <v/>
      </c>
      <c r="AK421" s="1" t="str">
        <f>IF(OR($B421="",AK$7=""),"",IF($B421="MEANS",INDEX('1-DATA'!$1:$1048576,$A420-1,COLUMN('1-DATA'!AJ419)),ROUND(INDEX('1-DATA'!$1:$1048576,IF(OR($B421="STD. DEVIATION",$C$1=1),$A421,$A421+1),COLUMN('1-DATA'!AJ419)),IF($B421="STD. DEVIATION",2,$F$1))))</f>
        <v/>
      </c>
      <c r="AL421" s="1" t="str">
        <f>IF(OR($B421="",AL$7=""),"",IF($B421="MEANS",INDEX('1-DATA'!$1:$1048576,$A420-1,COLUMN('1-DATA'!AK419)),ROUND(INDEX('1-DATA'!$1:$1048576,IF(OR($B421="STD. DEVIATION",$C$1=1),$A421,$A421+1),COLUMN('1-DATA'!AK419)),IF($B421="STD. DEVIATION",2,$F$1))))</f>
        <v/>
      </c>
      <c r="AM421" s="1" t="str">
        <f>IF(OR($B421="",AM$7=""),"",IF($B421="MEANS",INDEX('1-DATA'!$1:$1048576,$A420-1,COLUMN('1-DATA'!AL419)),ROUND(INDEX('1-DATA'!$1:$1048576,IF(OR($B421="STD. DEVIATION",$C$1=1),$A421,$A421+1),COLUMN('1-DATA'!AL419)),IF($B421="STD. DEVIATION",2,$F$1))))</f>
        <v/>
      </c>
      <c r="AN421" s="1" t="str">
        <f>IF(OR($B421="",AN$7=""),"",IF($B421="MEANS",INDEX('1-DATA'!$1:$1048576,$A420-1,COLUMN('1-DATA'!AM419)),ROUND(INDEX('1-DATA'!$1:$1048576,IF(OR($B421="STD. DEVIATION",$C$1=1),$A421,$A421+1),COLUMN('1-DATA'!AM419)),IF($B421="STD. DEVIATION",2,$F$1))))</f>
        <v/>
      </c>
      <c r="AO421" s="1" t="str">
        <f>IF(OR($B421="",AO$7=""),"",IF($B421="MEANS",INDEX('1-DATA'!$1:$1048576,$A420-1,COLUMN('1-DATA'!AN419)),ROUND(INDEX('1-DATA'!$1:$1048576,IF(OR($B421="STD. DEVIATION",$C$1=1),$A421,$A421+1),COLUMN('1-DATA'!AN419)),IF($B421="STD. DEVIATION",2,$F$1))))</f>
        <v/>
      </c>
      <c r="AP421" s="1" t="str">
        <f>IF(OR($B421="",AP$7=""),"",IF($B421="MEANS",INDEX('1-DATA'!$1:$1048576,$A420-1,COLUMN('1-DATA'!AO419)),ROUND(INDEX('1-DATA'!$1:$1048576,IF(OR($B421="STD. DEVIATION",$C$1=1),$A421,$A421+1),COLUMN('1-DATA'!AO419)),IF($B421="STD. DEVIATION",2,$F$1))))</f>
        <v/>
      </c>
      <c r="AQ421" s="1" t="str">
        <f>IF(OR($B421="",AQ$7=""),"",IF($B421="MEANS",INDEX('1-DATA'!$1:$1048576,$A420-1,COLUMN('1-DATA'!AP419)),ROUND(INDEX('1-DATA'!$1:$1048576,IF(OR($B421="STD. DEVIATION",$C$1=1),$A421,$A421+1),COLUMN('1-DATA'!AP419)),IF($B421="STD. DEVIATION",2,$F$1))))</f>
        <v/>
      </c>
      <c r="AR421" s="1" t="str">
        <f>IF(OR($B421="",AR$7=""),"",IF($B421="MEANS",INDEX('1-DATA'!$1:$1048576,$A420-1,COLUMN('1-DATA'!AQ419)),ROUND(INDEX('1-DATA'!$1:$1048576,IF(OR($B421="STD. DEVIATION",$C$1=1),$A421,$A421+1),COLUMN('1-DATA'!AQ419)),IF($B421="STD. DEVIATION",2,$F$1))))</f>
        <v/>
      </c>
      <c r="AS421" s="1" t="str">
        <f>IF(OR($B421="",AS$7=""),"",IF($B421="MEANS",INDEX('1-DATA'!$1:$1048576,$A420-1,COLUMN('1-DATA'!AR419)),ROUND(INDEX('1-DATA'!$1:$1048576,IF(OR($B421="STD. DEVIATION",$C$1=1),$A421,$A421+1),COLUMN('1-DATA'!AR419)),IF($B421="STD. DEVIATION",2,$F$1))))</f>
        <v/>
      </c>
      <c r="AT421" s="1" t="str">
        <f>IF(OR($B421="",AT$7=""),"",IF($B421="MEANS",INDEX('1-DATA'!$1:$1048576,$A420-1,COLUMN('1-DATA'!AS419)),ROUND(INDEX('1-DATA'!$1:$1048576,IF(OR($B421="STD. DEVIATION",$C$1=1),$A421,$A421+1),COLUMN('1-DATA'!AS419)),IF($B421="STD. DEVIATION",2,$F$1))))</f>
        <v/>
      </c>
      <c r="AU421" s="1" t="str">
        <f>IF(OR($B421="",AU$7=""),"",IF($B421="MEANS",INDEX('1-DATA'!$1:$1048576,$A420-1,COLUMN('1-DATA'!AT419)),ROUND(INDEX('1-DATA'!$1:$1048576,IF(OR($B421="STD. DEVIATION",$C$1=1),$A421,$A421+1),COLUMN('1-DATA'!AT419)),IF($B421="STD. DEVIATION",2,$F$1))))</f>
        <v/>
      </c>
      <c r="AV421" s="1" t="str">
        <f>IF(OR($B421="",AV$7=""),"",IF($B421="MEANS",INDEX('1-DATA'!$1:$1048576,$A420-1,COLUMN('1-DATA'!AU419)),ROUND(INDEX('1-DATA'!$1:$1048576,IF(OR($B421="STD. DEVIATION",$C$1=1),$A421,$A421+1),COLUMN('1-DATA'!AU419)),IF($B421="STD. DEVIATION",2,$F$1))))</f>
        <v/>
      </c>
      <c r="AW421" s="1" t="str">
        <f>IF(OR($B421="",AW$7=""),"",IF($B421="MEANS",INDEX('1-DATA'!$1:$1048576,$A420-1,COLUMN('1-DATA'!AV419)),ROUND(INDEX('1-DATA'!$1:$1048576,IF(OR($B421="STD. DEVIATION",$C$1=1),$A421,$A421+1),COLUMN('1-DATA'!AV419)),IF($B421="STD. DEVIATION",2,$F$1))))</f>
        <v/>
      </c>
      <c r="AX421" s="1" t="str">
        <f>IF(OR($B421="",AX$7=""),"",IF($B421="MEANS",INDEX('1-DATA'!$1:$1048576,$A420-1,COLUMN('1-DATA'!AW419)),ROUND(INDEX('1-DATA'!$1:$1048576,IF(OR($B421="STD. DEVIATION",$C$1=1),$A421,$A421+1),COLUMN('1-DATA'!AW419)),IF($B421="STD. DEVIATION",2,$F$1))))</f>
        <v/>
      </c>
      <c r="AY421" s="1" t="str">
        <f>IF(OR($B421="",AY$7=""),"",IF($B421="MEANS",INDEX('1-DATA'!$1:$1048576,$A420-1,COLUMN('1-DATA'!AX419)),ROUND(INDEX('1-DATA'!$1:$1048576,IF(OR($B421="STD. DEVIATION",$C$1=1),$A421,$A421+1),COLUMN('1-DATA'!AX419)),IF($B421="STD. DEVIATION",2,$F$1))))</f>
        <v/>
      </c>
      <c r="AZ421" s="1" t="str">
        <f>IF(OR($B421="",AZ$7=""),"",IF($B421="MEANS",INDEX('1-DATA'!$1:$1048576,$A420-1,COLUMN('1-DATA'!AY419)),ROUND(INDEX('1-DATA'!$1:$1048576,IF(OR($B421="STD. DEVIATION",$C$1=1),$A421,$A421+1),COLUMN('1-DATA'!AY419)),IF($B421="STD. DEVIATION",2,$F$1))))</f>
        <v/>
      </c>
    </row>
    <row r="422" spans="1:52" x14ac:dyDescent="0.25">
      <c r="A422" s="11">
        <f t="shared" si="7"/>
        <v>1252</v>
      </c>
      <c r="B422" s="1" t="str">
        <f>IF(B421="STD. DEVIATION",INDEX('1-DATA'!$1:$1048576,$A421-1,1),IF(INDEX('1-DATA'!$1:$1048576,$A422,1)&lt;&gt;"",INDEX('1-DATA'!$1:$1048576,$A422,1),""))</f>
        <v/>
      </c>
      <c r="C422" s="1" t="str">
        <f>IF(OR($B422="",C$7=""),"",IF($B422="MEANS",INDEX('1-DATA'!$1:$1048576,$A421-1,COLUMN('1-DATA'!B420)),ROUND(INDEX('1-DATA'!$1:$1048576,IF(OR($B422="STD. DEVIATION",$C$1=1),$A422,$A422+1),COLUMN('1-DATA'!B420)),IF($B422="STD. DEVIATION",2,$F$1))))</f>
        <v/>
      </c>
      <c r="D422" s="1" t="str">
        <f>IF(OR($B422="",D$7=""),"",IF($B422="MEANS",INDEX('1-DATA'!$1:$1048576,$A421-1,COLUMN('1-DATA'!C420)),ROUND(INDEX('1-DATA'!$1:$1048576,IF(OR($B422="STD. DEVIATION",$C$1=1),$A422,$A422+1),COLUMN('1-DATA'!C420)),IF($B422="STD. DEVIATION",2,$F$1))))</f>
        <v/>
      </c>
      <c r="E422" s="1" t="str">
        <f>IF(OR($B422="",E$7=""),"",IF($B422="MEANS",INDEX('1-DATA'!$1:$1048576,$A421-1,COLUMN('1-DATA'!D420)),ROUND(INDEX('1-DATA'!$1:$1048576,IF(OR($B422="STD. DEVIATION",$C$1=1),$A422,$A422+1),COLUMN('1-DATA'!D420)),IF($B422="STD. DEVIATION",2,$F$1))))</f>
        <v/>
      </c>
      <c r="F422" s="1" t="str">
        <f>IF(OR($B422="",F$7=""),"",IF($B422="MEANS",INDEX('1-DATA'!$1:$1048576,$A421-1,COLUMN('1-DATA'!E420)),ROUND(INDEX('1-DATA'!$1:$1048576,IF(OR($B422="STD. DEVIATION",$C$1=1),$A422,$A422+1),COLUMN('1-DATA'!E420)),IF($B422="STD. DEVIATION",2,$F$1))))</f>
        <v/>
      </c>
      <c r="G422" s="1" t="str">
        <f>IF(OR($B422="",G$7=""),"",IF($B422="MEANS",INDEX('1-DATA'!$1:$1048576,$A421-1,COLUMN('1-DATA'!F420)),ROUND(INDEX('1-DATA'!$1:$1048576,IF(OR($B422="STD. DEVIATION",$C$1=1),$A422,$A422+1),COLUMN('1-DATA'!F420)),IF($B422="STD. DEVIATION",2,$F$1))))</f>
        <v/>
      </c>
      <c r="H422" s="1" t="str">
        <f>IF(OR($B422="",H$7=""),"",IF($B422="MEANS",INDEX('1-DATA'!$1:$1048576,$A421-1,COLUMN('1-DATA'!G420)),ROUND(INDEX('1-DATA'!$1:$1048576,IF(OR($B422="STD. DEVIATION",$C$1=1),$A422,$A422+1),COLUMN('1-DATA'!G420)),IF($B422="STD. DEVIATION",2,$F$1))))</f>
        <v/>
      </c>
      <c r="I422" s="1" t="str">
        <f>IF(OR($B422="",I$7=""),"",IF($B422="MEANS",INDEX('1-DATA'!$1:$1048576,$A421-1,COLUMN('1-DATA'!H420)),ROUND(INDEX('1-DATA'!$1:$1048576,IF(OR($B422="STD. DEVIATION",$C$1=1),$A422,$A422+1),COLUMN('1-DATA'!H420)),IF($B422="STD. DEVIATION",2,$F$1))))</f>
        <v/>
      </c>
      <c r="J422" s="1" t="str">
        <f>IF(OR($B422="",J$7=""),"",IF($B422="MEANS",INDEX('1-DATA'!$1:$1048576,$A421-1,COLUMN('1-DATA'!I420)),ROUND(INDEX('1-DATA'!$1:$1048576,IF(OR($B422="STD. DEVIATION",$C$1=1),$A422,$A422+1),COLUMN('1-DATA'!I420)),IF($B422="STD. DEVIATION",2,$F$1))))</f>
        <v/>
      </c>
      <c r="K422" s="1" t="str">
        <f>IF(OR($B422="",K$7=""),"",IF($B422="MEANS",INDEX('1-DATA'!$1:$1048576,$A421-1,COLUMN('1-DATA'!J420)),ROUND(INDEX('1-DATA'!$1:$1048576,IF(OR($B422="STD. DEVIATION",$C$1=1),$A422,$A422+1),COLUMN('1-DATA'!J420)),IF($B422="STD. DEVIATION",2,$F$1))))</f>
        <v/>
      </c>
      <c r="L422" s="1" t="str">
        <f>IF(OR($B422="",L$7=""),"",IF($B422="MEANS",INDEX('1-DATA'!$1:$1048576,$A421-1,COLUMN('1-DATA'!K420)),ROUND(INDEX('1-DATA'!$1:$1048576,IF(OR($B422="STD. DEVIATION",$C$1=1),$A422,$A422+1),COLUMN('1-DATA'!K420)),IF($B422="STD. DEVIATION",2,$F$1))))</f>
        <v/>
      </c>
      <c r="M422" s="1" t="str">
        <f>IF(OR($B422="",M$7=""),"",IF($B422="MEANS",INDEX('1-DATA'!$1:$1048576,$A421-1,COLUMN('1-DATA'!L420)),ROUND(INDEX('1-DATA'!$1:$1048576,IF(OR($B422="STD. DEVIATION",$C$1=1),$A422,$A422+1),COLUMN('1-DATA'!L420)),IF($B422="STD. DEVIATION",2,$F$1))))</f>
        <v/>
      </c>
      <c r="N422" s="1" t="str">
        <f>IF(OR($B422="",N$7=""),"",IF($B422="MEANS",INDEX('1-DATA'!$1:$1048576,$A421-1,COLUMN('1-DATA'!M420)),ROUND(INDEX('1-DATA'!$1:$1048576,IF(OR($B422="STD. DEVIATION",$C$1=1),$A422,$A422+1),COLUMN('1-DATA'!M420)),IF($B422="STD. DEVIATION",2,$F$1))))</f>
        <v/>
      </c>
      <c r="O422" s="1" t="str">
        <f>IF(OR($B422="",O$7=""),"",IF($B422="MEANS",INDEX('1-DATA'!$1:$1048576,$A421-1,COLUMN('1-DATA'!N420)),ROUND(INDEX('1-DATA'!$1:$1048576,IF(OR($B422="STD. DEVIATION",$C$1=1),$A422,$A422+1),COLUMN('1-DATA'!N420)),IF($B422="STD. DEVIATION",2,$F$1))))</f>
        <v/>
      </c>
      <c r="P422" s="1" t="str">
        <f>IF(OR($B422="",P$7=""),"",IF($B422="MEANS",INDEX('1-DATA'!$1:$1048576,$A421-1,COLUMN('1-DATA'!O420)),ROUND(INDEX('1-DATA'!$1:$1048576,IF(OR($B422="STD. DEVIATION",$C$1=1),$A422,$A422+1),COLUMN('1-DATA'!O420)),IF($B422="STD. DEVIATION",2,$F$1))))</f>
        <v/>
      </c>
      <c r="Q422" s="1" t="str">
        <f>IF(OR($B422="",Q$7=""),"",IF($B422="MEANS",INDEX('1-DATA'!$1:$1048576,$A421-1,COLUMN('1-DATA'!P420)),ROUND(INDEX('1-DATA'!$1:$1048576,IF(OR($B422="STD. DEVIATION",$C$1=1),$A422,$A422+1),COLUMN('1-DATA'!P420)),IF($B422="STD. DEVIATION",2,$F$1))))</f>
        <v/>
      </c>
      <c r="R422" s="1" t="str">
        <f>IF(OR($B422="",R$7=""),"",IF($B422="MEANS",INDEX('1-DATA'!$1:$1048576,$A421-1,COLUMN('1-DATA'!Q420)),ROUND(INDEX('1-DATA'!$1:$1048576,IF(OR($B422="STD. DEVIATION",$C$1=1),$A422,$A422+1),COLUMN('1-DATA'!Q420)),IF($B422="STD. DEVIATION",2,$F$1))))</f>
        <v/>
      </c>
      <c r="S422" s="1" t="str">
        <f>IF(OR($B422="",S$7=""),"",IF($B422="MEANS",INDEX('1-DATA'!$1:$1048576,$A421-1,COLUMN('1-DATA'!R420)),ROUND(INDEX('1-DATA'!$1:$1048576,IF(OR($B422="STD. DEVIATION",$C$1=1),$A422,$A422+1),COLUMN('1-DATA'!R420)),IF($B422="STD. DEVIATION",2,$F$1))))</f>
        <v/>
      </c>
      <c r="T422" s="1" t="str">
        <f>IF(OR($B422="",T$7=""),"",IF($B422="MEANS",INDEX('1-DATA'!$1:$1048576,$A421-1,COLUMN('1-DATA'!S420)),ROUND(INDEX('1-DATA'!$1:$1048576,IF(OR($B422="STD. DEVIATION",$C$1=1),$A422,$A422+1),COLUMN('1-DATA'!S420)),IF($B422="STD. DEVIATION",2,$F$1))))</f>
        <v/>
      </c>
      <c r="U422" s="1" t="str">
        <f>IF(OR($B422="",U$7=""),"",IF($B422="MEANS",INDEX('1-DATA'!$1:$1048576,$A421-1,COLUMN('1-DATA'!T420)),ROUND(INDEX('1-DATA'!$1:$1048576,IF(OR($B422="STD. DEVIATION",$C$1=1),$A422,$A422+1),COLUMN('1-DATA'!T420)),IF($B422="STD. DEVIATION",2,$F$1))))</f>
        <v/>
      </c>
      <c r="V422" s="1" t="str">
        <f>IF(OR($B422="",V$7=""),"",IF($B422="MEANS",INDEX('1-DATA'!$1:$1048576,$A421-1,COLUMN('1-DATA'!U420)),ROUND(INDEX('1-DATA'!$1:$1048576,IF(OR($B422="STD. DEVIATION",$C$1=1),$A422,$A422+1),COLUMN('1-DATA'!U420)),IF($B422="STD. DEVIATION",2,$F$1))))</f>
        <v/>
      </c>
      <c r="W422" s="1" t="str">
        <f>IF(OR($B422="",W$7=""),"",IF($B422="MEANS",INDEX('1-DATA'!$1:$1048576,$A421-1,COLUMN('1-DATA'!V420)),ROUND(INDEX('1-DATA'!$1:$1048576,IF(OR($B422="STD. DEVIATION",$C$1=1),$A422,$A422+1),COLUMN('1-DATA'!V420)),IF($B422="STD. DEVIATION",2,$F$1))))</f>
        <v/>
      </c>
      <c r="X422" s="1" t="str">
        <f>IF(OR($B422="",X$7=""),"",IF($B422="MEANS",INDEX('1-DATA'!$1:$1048576,$A421-1,COLUMN('1-DATA'!W420)),ROUND(INDEX('1-DATA'!$1:$1048576,IF(OR($B422="STD. DEVIATION",$C$1=1),$A422,$A422+1),COLUMN('1-DATA'!W420)),IF($B422="STD. DEVIATION",2,$F$1))))</f>
        <v/>
      </c>
      <c r="Y422" s="1" t="str">
        <f>IF(OR($B422="",Y$7=""),"",IF($B422="MEANS",INDEX('1-DATA'!$1:$1048576,$A421-1,COLUMN('1-DATA'!X420)),ROUND(INDEX('1-DATA'!$1:$1048576,IF(OR($B422="STD. DEVIATION",$C$1=1),$A422,$A422+1),COLUMN('1-DATA'!X420)),IF($B422="STD. DEVIATION",2,$F$1))))</f>
        <v/>
      </c>
      <c r="Z422" s="1" t="str">
        <f>IF(OR($B422="",Z$7=""),"",IF($B422="MEANS",INDEX('1-DATA'!$1:$1048576,$A421-1,COLUMN('1-DATA'!Y420)),ROUND(INDEX('1-DATA'!$1:$1048576,IF(OR($B422="STD. DEVIATION",$C$1=1),$A422,$A422+1),COLUMN('1-DATA'!Y420)),IF($B422="STD. DEVIATION",2,$F$1))))</f>
        <v/>
      </c>
      <c r="AA422" s="1" t="str">
        <f>IF(OR($B422="",AA$7=""),"",IF($B422="MEANS",INDEX('1-DATA'!$1:$1048576,$A421-1,COLUMN('1-DATA'!Z420)),ROUND(INDEX('1-DATA'!$1:$1048576,IF(OR($B422="STD. DEVIATION",$C$1=1),$A422,$A422+1),COLUMN('1-DATA'!Z420)),IF($B422="STD. DEVIATION",2,$F$1))))</f>
        <v/>
      </c>
      <c r="AB422" s="1" t="str">
        <f>IF(OR($B422="",AB$7=""),"",IF($B422="MEANS",INDEX('1-DATA'!$1:$1048576,$A421-1,COLUMN('1-DATA'!AA420)),ROUND(INDEX('1-DATA'!$1:$1048576,IF(OR($B422="STD. DEVIATION",$C$1=1),$A422,$A422+1),COLUMN('1-DATA'!AA420)),IF($B422="STD. DEVIATION",2,$F$1))))</f>
        <v/>
      </c>
      <c r="AC422" s="1" t="str">
        <f>IF(OR($B422="",AC$7=""),"",IF($B422="MEANS",INDEX('1-DATA'!$1:$1048576,$A421-1,COLUMN('1-DATA'!AB420)),ROUND(INDEX('1-DATA'!$1:$1048576,IF(OR($B422="STD. DEVIATION",$C$1=1),$A422,$A422+1),COLUMN('1-DATA'!AB420)),IF($B422="STD. DEVIATION",2,$F$1))))</f>
        <v/>
      </c>
      <c r="AD422" s="1" t="str">
        <f>IF(OR($B422="",AD$7=""),"",IF($B422="MEANS",INDEX('1-DATA'!$1:$1048576,$A421-1,COLUMN('1-DATA'!AC420)),ROUND(INDEX('1-DATA'!$1:$1048576,IF(OR($B422="STD. DEVIATION",$C$1=1),$A422,$A422+1),COLUMN('1-DATA'!AC420)),IF($B422="STD. DEVIATION",2,$F$1))))</f>
        <v/>
      </c>
      <c r="AE422" s="1" t="str">
        <f>IF(OR($B422="",AE$7=""),"",IF($B422="MEANS",INDEX('1-DATA'!$1:$1048576,$A421-1,COLUMN('1-DATA'!AD420)),ROUND(INDEX('1-DATA'!$1:$1048576,IF(OR($B422="STD. DEVIATION",$C$1=1),$A422,$A422+1),COLUMN('1-DATA'!AD420)),IF($B422="STD. DEVIATION",2,$F$1))))</f>
        <v/>
      </c>
      <c r="AF422" s="1" t="str">
        <f>IF(OR($B422="",AF$7=""),"",IF($B422="MEANS",INDEX('1-DATA'!$1:$1048576,$A421-1,COLUMN('1-DATA'!AE420)),ROUND(INDEX('1-DATA'!$1:$1048576,IF(OR($B422="STD. DEVIATION",$C$1=1),$A422,$A422+1),COLUMN('1-DATA'!AE420)),IF($B422="STD. DEVIATION",2,$F$1))))</f>
        <v/>
      </c>
      <c r="AG422" s="1" t="str">
        <f>IF(OR($B422="",AG$7=""),"",IF($B422="MEANS",INDEX('1-DATA'!$1:$1048576,$A421-1,COLUMN('1-DATA'!AF420)),ROUND(INDEX('1-DATA'!$1:$1048576,IF(OR($B422="STD. DEVIATION",$C$1=1),$A422,$A422+1),COLUMN('1-DATA'!AF420)),IF($B422="STD. DEVIATION",2,$F$1))))</f>
        <v/>
      </c>
      <c r="AH422" s="1" t="str">
        <f>IF(OR($B422="",AH$7=""),"",IF($B422="MEANS",INDEX('1-DATA'!$1:$1048576,$A421-1,COLUMN('1-DATA'!AG420)),ROUND(INDEX('1-DATA'!$1:$1048576,IF(OR($B422="STD. DEVIATION",$C$1=1),$A422,$A422+1),COLUMN('1-DATA'!AG420)),IF($B422="STD. DEVIATION",2,$F$1))))</f>
        <v/>
      </c>
      <c r="AI422" s="1" t="str">
        <f>IF(OR($B422="",AI$7=""),"",IF($B422="MEANS",INDEX('1-DATA'!$1:$1048576,$A421-1,COLUMN('1-DATA'!AH420)),ROUND(INDEX('1-DATA'!$1:$1048576,IF(OR($B422="STD. DEVIATION",$C$1=1),$A422,$A422+1),COLUMN('1-DATA'!AH420)),IF($B422="STD. DEVIATION",2,$F$1))))</f>
        <v/>
      </c>
      <c r="AJ422" s="1" t="str">
        <f>IF(OR($B422="",AJ$7=""),"",IF($B422="MEANS",INDEX('1-DATA'!$1:$1048576,$A421-1,COLUMN('1-DATA'!AI420)),ROUND(INDEX('1-DATA'!$1:$1048576,IF(OR($B422="STD. DEVIATION",$C$1=1),$A422,$A422+1),COLUMN('1-DATA'!AI420)),IF($B422="STD. DEVIATION",2,$F$1))))</f>
        <v/>
      </c>
      <c r="AK422" s="1" t="str">
        <f>IF(OR($B422="",AK$7=""),"",IF($B422="MEANS",INDEX('1-DATA'!$1:$1048576,$A421-1,COLUMN('1-DATA'!AJ420)),ROUND(INDEX('1-DATA'!$1:$1048576,IF(OR($B422="STD. DEVIATION",$C$1=1),$A422,$A422+1),COLUMN('1-DATA'!AJ420)),IF($B422="STD. DEVIATION",2,$F$1))))</f>
        <v/>
      </c>
      <c r="AL422" s="1" t="str">
        <f>IF(OR($B422="",AL$7=""),"",IF($B422="MEANS",INDEX('1-DATA'!$1:$1048576,$A421-1,COLUMN('1-DATA'!AK420)),ROUND(INDEX('1-DATA'!$1:$1048576,IF(OR($B422="STD. DEVIATION",$C$1=1),$A422,$A422+1),COLUMN('1-DATA'!AK420)),IF($B422="STD. DEVIATION",2,$F$1))))</f>
        <v/>
      </c>
      <c r="AM422" s="1" t="str">
        <f>IF(OR($B422="",AM$7=""),"",IF($B422="MEANS",INDEX('1-DATA'!$1:$1048576,$A421-1,COLUMN('1-DATA'!AL420)),ROUND(INDEX('1-DATA'!$1:$1048576,IF(OR($B422="STD. DEVIATION",$C$1=1),$A422,$A422+1),COLUMN('1-DATA'!AL420)),IF($B422="STD. DEVIATION",2,$F$1))))</f>
        <v/>
      </c>
      <c r="AN422" s="1" t="str">
        <f>IF(OR($B422="",AN$7=""),"",IF($B422="MEANS",INDEX('1-DATA'!$1:$1048576,$A421-1,COLUMN('1-DATA'!AM420)),ROUND(INDEX('1-DATA'!$1:$1048576,IF(OR($B422="STD. DEVIATION",$C$1=1),$A422,$A422+1),COLUMN('1-DATA'!AM420)),IF($B422="STD. DEVIATION",2,$F$1))))</f>
        <v/>
      </c>
      <c r="AO422" s="1" t="str">
        <f>IF(OR($B422="",AO$7=""),"",IF($B422="MEANS",INDEX('1-DATA'!$1:$1048576,$A421-1,COLUMN('1-DATA'!AN420)),ROUND(INDEX('1-DATA'!$1:$1048576,IF(OR($B422="STD. DEVIATION",$C$1=1),$A422,$A422+1),COLUMN('1-DATA'!AN420)),IF($B422="STD. DEVIATION",2,$F$1))))</f>
        <v/>
      </c>
      <c r="AP422" s="1" t="str">
        <f>IF(OR($B422="",AP$7=""),"",IF($B422="MEANS",INDEX('1-DATA'!$1:$1048576,$A421-1,COLUMN('1-DATA'!AO420)),ROUND(INDEX('1-DATA'!$1:$1048576,IF(OR($B422="STD. DEVIATION",$C$1=1),$A422,$A422+1),COLUMN('1-DATA'!AO420)),IF($B422="STD. DEVIATION",2,$F$1))))</f>
        <v/>
      </c>
      <c r="AQ422" s="1" t="str">
        <f>IF(OR($B422="",AQ$7=""),"",IF($B422="MEANS",INDEX('1-DATA'!$1:$1048576,$A421-1,COLUMN('1-DATA'!AP420)),ROUND(INDEX('1-DATA'!$1:$1048576,IF(OR($B422="STD. DEVIATION",$C$1=1),$A422,$A422+1),COLUMN('1-DATA'!AP420)),IF($B422="STD. DEVIATION",2,$F$1))))</f>
        <v/>
      </c>
      <c r="AR422" s="1" t="str">
        <f>IF(OR($B422="",AR$7=""),"",IF($B422="MEANS",INDEX('1-DATA'!$1:$1048576,$A421-1,COLUMN('1-DATA'!AQ420)),ROUND(INDEX('1-DATA'!$1:$1048576,IF(OR($B422="STD. DEVIATION",$C$1=1),$A422,$A422+1),COLUMN('1-DATA'!AQ420)),IF($B422="STD. DEVIATION",2,$F$1))))</f>
        <v/>
      </c>
      <c r="AS422" s="1" t="str">
        <f>IF(OR($B422="",AS$7=""),"",IF($B422="MEANS",INDEX('1-DATA'!$1:$1048576,$A421-1,COLUMN('1-DATA'!AR420)),ROUND(INDEX('1-DATA'!$1:$1048576,IF(OR($B422="STD. DEVIATION",$C$1=1),$A422,$A422+1),COLUMN('1-DATA'!AR420)),IF($B422="STD. DEVIATION",2,$F$1))))</f>
        <v/>
      </c>
      <c r="AT422" s="1" t="str">
        <f>IF(OR($B422="",AT$7=""),"",IF($B422="MEANS",INDEX('1-DATA'!$1:$1048576,$A421-1,COLUMN('1-DATA'!AS420)),ROUND(INDEX('1-DATA'!$1:$1048576,IF(OR($B422="STD. DEVIATION",$C$1=1),$A422,$A422+1),COLUMN('1-DATA'!AS420)),IF($B422="STD. DEVIATION",2,$F$1))))</f>
        <v/>
      </c>
      <c r="AU422" s="1" t="str">
        <f>IF(OR($B422="",AU$7=""),"",IF($B422="MEANS",INDEX('1-DATA'!$1:$1048576,$A421-1,COLUMN('1-DATA'!AT420)),ROUND(INDEX('1-DATA'!$1:$1048576,IF(OR($B422="STD. DEVIATION",$C$1=1),$A422,$A422+1),COLUMN('1-DATA'!AT420)),IF($B422="STD. DEVIATION",2,$F$1))))</f>
        <v/>
      </c>
      <c r="AV422" s="1" t="str">
        <f>IF(OR($B422="",AV$7=""),"",IF($B422="MEANS",INDEX('1-DATA'!$1:$1048576,$A421-1,COLUMN('1-DATA'!AU420)),ROUND(INDEX('1-DATA'!$1:$1048576,IF(OR($B422="STD. DEVIATION",$C$1=1),$A422,$A422+1),COLUMN('1-DATA'!AU420)),IF($B422="STD. DEVIATION",2,$F$1))))</f>
        <v/>
      </c>
      <c r="AW422" s="1" t="str">
        <f>IF(OR($B422="",AW$7=""),"",IF($B422="MEANS",INDEX('1-DATA'!$1:$1048576,$A421-1,COLUMN('1-DATA'!AV420)),ROUND(INDEX('1-DATA'!$1:$1048576,IF(OR($B422="STD. DEVIATION",$C$1=1),$A422,$A422+1),COLUMN('1-DATA'!AV420)),IF($B422="STD. DEVIATION",2,$F$1))))</f>
        <v/>
      </c>
      <c r="AX422" s="1" t="str">
        <f>IF(OR($B422="",AX$7=""),"",IF($B422="MEANS",INDEX('1-DATA'!$1:$1048576,$A421-1,COLUMN('1-DATA'!AW420)),ROUND(INDEX('1-DATA'!$1:$1048576,IF(OR($B422="STD. DEVIATION",$C$1=1),$A422,$A422+1),COLUMN('1-DATA'!AW420)),IF($B422="STD. DEVIATION",2,$F$1))))</f>
        <v/>
      </c>
      <c r="AY422" s="1" t="str">
        <f>IF(OR($B422="",AY$7=""),"",IF($B422="MEANS",INDEX('1-DATA'!$1:$1048576,$A421-1,COLUMN('1-DATA'!AX420)),ROUND(INDEX('1-DATA'!$1:$1048576,IF(OR($B422="STD. DEVIATION",$C$1=1),$A422,$A422+1),COLUMN('1-DATA'!AX420)),IF($B422="STD. DEVIATION",2,$F$1))))</f>
        <v/>
      </c>
      <c r="AZ422" s="1" t="str">
        <f>IF(OR($B422="",AZ$7=""),"",IF($B422="MEANS",INDEX('1-DATA'!$1:$1048576,$A421-1,COLUMN('1-DATA'!AY420)),ROUND(INDEX('1-DATA'!$1:$1048576,IF(OR($B422="STD. DEVIATION",$C$1=1),$A422,$A422+1),COLUMN('1-DATA'!AY420)),IF($B422="STD. DEVIATION",2,$F$1))))</f>
        <v/>
      </c>
    </row>
    <row r="423" spans="1:52" x14ac:dyDescent="0.25">
      <c r="A423" s="11">
        <f t="shared" si="7"/>
        <v>1255</v>
      </c>
      <c r="B423" s="1" t="str">
        <f>IF(B422="STD. DEVIATION",INDEX('1-DATA'!$1:$1048576,$A422-1,1),IF(INDEX('1-DATA'!$1:$1048576,$A423,1)&lt;&gt;"",INDEX('1-DATA'!$1:$1048576,$A423,1),""))</f>
        <v/>
      </c>
      <c r="C423" s="1" t="str">
        <f>IF(OR($B423="",C$7=""),"",IF($B423="MEANS",INDEX('1-DATA'!$1:$1048576,$A422-1,COLUMN('1-DATA'!B421)),ROUND(INDEX('1-DATA'!$1:$1048576,IF(OR($B423="STD. DEVIATION",$C$1=1),$A423,$A423+1),COLUMN('1-DATA'!B421)),IF($B423="STD. DEVIATION",2,$F$1))))</f>
        <v/>
      </c>
      <c r="D423" s="1" t="str">
        <f>IF(OR($B423="",D$7=""),"",IF($B423="MEANS",INDEX('1-DATA'!$1:$1048576,$A422-1,COLUMN('1-DATA'!C421)),ROUND(INDEX('1-DATA'!$1:$1048576,IF(OR($B423="STD. DEVIATION",$C$1=1),$A423,$A423+1),COLUMN('1-DATA'!C421)),IF($B423="STD. DEVIATION",2,$F$1))))</f>
        <v/>
      </c>
      <c r="E423" s="1" t="str">
        <f>IF(OR($B423="",E$7=""),"",IF($B423="MEANS",INDEX('1-DATA'!$1:$1048576,$A422-1,COLUMN('1-DATA'!D421)),ROUND(INDEX('1-DATA'!$1:$1048576,IF(OR($B423="STD. DEVIATION",$C$1=1),$A423,$A423+1),COLUMN('1-DATA'!D421)),IF($B423="STD. DEVIATION",2,$F$1))))</f>
        <v/>
      </c>
      <c r="F423" s="1" t="str">
        <f>IF(OR($B423="",F$7=""),"",IF($B423="MEANS",INDEX('1-DATA'!$1:$1048576,$A422-1,COLUMN('1-DATA'!E421)),ROUND(INDEX('1-DATA'!$1:$1048576,IF(OR($B423="STD. DEVIATION",$C$1=1),$A423,$A423+1),COLUMN('1-DATA'!E421)),IF($B423="STD. DEVIATION",2,$F$1))))</f>
        <v/>
      </c>
      <c r="G423" s="1" t="str">
        <f>IF(OR($B423="",G$7=""),"",IF($B423="MEANS",INDEX('1-DATA'!$1:$1048576,$A422-1,COLUMN('1-DATA'!F421)),ROUND(INDEX('1-DATA'!$1:$1048576,IF(OR($B423="STD. DEVIATION",$C$1=1),$A423,$A423+1),COLUMN('1-DATA'!F421)),IF($B423="STD. DEVIATION",2,$F$1))))</f>
        <v/>
      </c>
      <c r="H423" s="1" t="str">
        <f>IF(OR($B423="",H$7=""),"",IF($B423="MEANS",INDEX('1-DATA'!$1:$1048576,$A422-1,COLUMN('1-DATA'!G421)),ROUND(INDEX('1-DATA'!$1:$1048576,IF(OR($B423="STD. DEVIATION",$C$1=1),$A423,$A423+1),COLUMN('1-DATA'!G421)),IF($B423="STD. DEVIATION",2,$F$1))))</f>
        <v/>
      </c>
      <c r="I423" s="1" t="str">
        <f>IF(OR($B423="",I$7=""),"",IF($B423="MEANS",INDEX('1-DATA'!$1:$1048576,$A422-1,COLUMN('1-DATA'!H421)),ROUND(INDEX('1-DATA'!$1:$1048576,IF(OR($B423="STD. DEVIATION",$C$1=1),$A423,$A423+1),COLUMN('1-DATA'!H421)),IF($B423="STD. DEVIATION",2,$F$1))))</f>
        <v/>
      </c>
      <c r="J423" s="1" t="str">
        <f>IF(OR($B423="",J$7=""),"",IF($B423="MEANS",INDEX('1-DATA'!$1:$1048576,$A422-1,COLUMN('1-DATA'!I421)),ROUND(INDEX('1-DATA'!$1:$1048576,IF(OR($B423="STD. DEVIATION",$C$1=1),$A423,$A423+1),COLUMN('1-DATA'!I421)),IF($B423="STD. DEVIATION",2,$F$1))))</f>
        <v/>
      </c>
      <c r="K423" s="1" t="str">
        <f>IF(OR($B423="",K$7=""),"",IF($B423="MEANS",INDEX('1-DATA'!$1:$1048576,$A422-1,COLUMN('1-DATA'!J421)),ROUND(INDEX('1-DATA'!$1:$1048576,IF(OR($B423="STD. DEVIATION",$C$1=1),$A423,$A423+1),COLUMN('1-DATA'!J421)),IF($B423="STD. DEVIATION",2,$F$1))))</f>
        <v/>
      </c>
      <c r="L423" s="1" t="str">
        <f>IF(OR($B423="",L$7=""),"",IF($B423="MEANS",INDEX('1-DATA'!$1:$1048576,$A422-1,COLUMN('1-DATA'!K421)),ROUND(INDEX('1-DATA'!$1:$1048576,IF(OR($B423="STD. DEVIATION",$C$1=1),$A423,$A423+1),COLUMN('1-DATA'!K421)),IF($B423="STD. DEVIATION",2,$F$1))))</f>
        <v/>
      </c>
      <c r="M423" s="1" t="str">
        <f>IF(OR($B423="",M$7=""),"",IF($B423="MEANS",INDEX('1-DATA'!$1:$1048576,$A422-1,COLUMN('1-DATA'!L421)),ROUND(INDEX('1-DATA'!$1:$1048576,IF(OR($B423="STD. DEVIATION",$C$1=1),$A423,$A423+1),COLUMN('1-DATA'!L421)),IF($B423="STD. DEVIATION",2,$F$1))))</f>
        <v/>
      </c>
      <c r="N423" s="1" t="str">
        <f>IF(OR($B423="",N$7=""),"",IF($B423="MEANS",INDEX('1-DATA'!$1:$1048576,$A422-1,COLUMN('1-DATA'!M421)),ROUND(INDEX('1-DATA'!$1:$1048576,IF(OR($B423="STD. DEVIATION",$C$1=1),$A423,$A423+1),COLUMN('1-DATA'!M421)),IF($B423="STD. DEVIATION",2,$F$1))))</f>
        <v/>
      </c>
      <c r="O423" s="1" t="str">
        <f>IF(OR($B423="",O$7=""),"",IF($B423="MEANS",INDEX('1-DATA'!$1:$1048576,$A422-1,COLUMN('1-DATA'!N421)),ROUND(INDEX('1-DATA'!$1:$1048576,IF(OR($B423="STD. DEVIATION",$C$1=1),$A423,$A423+1),COLUMN('1-DATA'!N421)),IF($B423="STD. DEVIATION",2,$F$1))))</f>
        <v/>
      </c>
      <c r="P423" s="1" t="str">
        <f>IF(OR($B423="",P$7=""),"",IF($B423="MEANS",INDEX('1-DATA'!$1:$1048576,$A422-1,COLUMN('1-DATA'!O421)),ROUND(INDEX('1-DATA'!$1:$1048576,IF(OR($B423="STD. DEVIATION",$C$1=1),$A423,$A423+1),COLUMN('1-DATA'!O421)),IF($B423="STD. DEVIATION",2,$F$1))))</f>
        <v/>
      </c>
      <c r="Q423" s="1" t="str">
        <f>IF(OR($B423="",Q$7=""),"",IF($B423="MEANS",INDEX('1-DATA'!$1:$1048576,$A422-1,COLUMN('1-DATA'!P421)),ROUND(INDEX('1-DATA'!$1:$1048576,IF(OR($B423="STD. DEVIATION",$C$1=1),$A423,$A423+1),COLUMN('1-DATA'!P421)),IF($B423="STD. DEVIATION",2,$F$1))))</f>
        <v/>
      </c>
      <c r="R423" s="1" t="str">
        <f>IF(OR($B423="",R$7=""),"",IF($B423="MEANS",INDEX('1-DATA'!$1:$1048576,$A422-1,COLUMN('1-DATA'!Q421)),ROUND(INDEX('1-DATA'!$1:$1048576,IF(OR($B423="STD. DEVIATION",$C$1=1),$A423,$A423+1),COLUMN('1-DATA'!Q421)),IF($B423="STD. DEVIATION",2,$F$1))))</f>
        <v/>
      </c>
      <c r="S423" s="1" t="str">
        <f>IF(OR($B423="",S$7=""),"",IF($B423="MEANS",INDEX('1-DATA'!$1:$1048576,$A422-1,COLUMN('1-DATA'!R421)),ROUND(INDEX('1-DATA'!$1:$1048576,IF(OR($B423="STD. DEVIATION",$C$1=1),$A423,$A423+1),COLUMN('1-DATA'!R421)),IF($B423="STD. DEVIATION",2,$F$1))))</f>
        <v/>
      </c>
      <c r="T423" s="1" t="str">
        <f>IF(OR($B423="",T$7=""),"",IF($B423="MEANS",INDEX('1-DATA'!$1:$1048576,$A422-1,COLUMN('1-DATA'!S421)),ROUND(INDEX('1-DATA'!$1:$1048576,IF(OR($B423="STD. DEVIATION",$C$1=1),$A423,$A423+1),COLUMN('1-DATA'!S421)),IF($B423="STD. DEVIATION",2,$F$1))))</f>
        <v/>
      </c>
      <c r="U423" s="1" t="str">
        <f>IF(OR($B423="",U$7=""),"",IF($B423="MEANS",INDEX('1-DATA'!$1:$1048576,$A422-1,COLUMN('1-DATA'!T421)),ROUND(INDEX('1-DATA'!$1:$1048576,IF(OR($B423="STD. DEVIATION",$C$1=1),$A423,$A423+1),COLUMN('1-DATA'!T421)),IF($B423="STD. DEVIATION",2,$F$1))))</f>
        <v/>
      </c>
      <c r="V423" s="1" t="str">
        <f>IF(OR($B423="",V$7=""),"",IF($B423="MEANS",INDEX('1-DATA'!$1:$1048576,$A422-1,COLUMN('1-DATA'!U421)),ROUND(INDEX('1-DATA'!$1:$1048576,IF(OR($B423="STD. DEVIATION",$C$1=1),$A423,$A423+1),COLUMN('1-DATA'!U421)),IF($B423="STD. DEVIATION",2,$F$1))))</f>
        <v/>
      </c>
      <c r="W423" s="1" t="str">
        <f>IF(OR($B423="",W$7=""),"",IF($B423="MEANS",INDEX('1-DATA'!$1:$1048576,$A422-1,COLUMN('1-DATA'!V421)),ROUND(INDEX('1-DATA'!$1:$1048576,IF(OR($B423="STD. DEVIATION",$C$1=1),$A423,$A423+1),COLUMN('1-DATA'!V421)),IF($B423="STD. DEVIATION",2,$F$1))))</f>
        <v/>
      </c>
      <c r="X423" s="1" t="str">
        <f>IF(OR($B423="",X$7=""),"",IF($B423="MEANS",INDEX('1-DATA'!$1:$1048576,$A422-1,COLUMN('1-DATA'!W421)),ROUND(INDEX('1-DATA'!$1:$1048576,IF(OR($B423="STD. DEVIATION",$C$1=1),$A423,$A423+1),COLUMN('1-DATA'!W421)),IF($B423="STD. DEVIATION",2,$F$1))))</f>
        <v/>
      </c>
      <c r="Y423" s="1" t="str">
        <f>IF(OR($B423="",Y$7=""),"",IF($B423="MEANS",INDEX('1-DATA'!$1:$1048576,$A422-1,COLUMN('1-DATA'!X421)),ROUND(INDEX('1-DATA'!$1:$1048576,IF(OR($B423="STD. DEVIATION",$C$1=1),$A423,$A423+1),COLUMN('1-DATA'!X421)),IF($B423="STD. DEVIATION",2,$F$1))))</f>
        <v/>
      </c>
      <c r="Z423" s="1" t="str">
        <f>IF(OR($B423="",Z$7=""),"",IF($B423="MEANS",INDEX('1-DATA'!$1:$1048576,$A422-1,COLUMN('1-DATA'!Y421)),ROUND(INDEX('1-DATA'!$1:$1048576,IF(OR($B423="STD. DEVIATION",$C$1=1),$A423,$A423+1),COLUMN('1-DATA'!Y421)),IF($B423="STD. DEVIATION",2,$F$1))))</f>
        <v/>
      </c>
      <c r="AA423" s="1" t="str">
        <f>IF(OR($B423="",AA$7=""),"",IF($B423="MEANS",INDEX('1-DATA'!$1:$1048576,$A422-1,COLUMN('1-DATA'!Z421)),ROUND(INDEX('1-DATA'!$1:$1048576,IF(OR($B423="STD. DEVIATION",$C$1=1),$A423,$A423+1),COLUMN('1-DATA'!Z421)),IF($B423="STD. DEVIATION",2,$F$1))))</f>
        <v/>
      </c>
      <c r="AB423" s="1" t="str">
        <f>IF(OR($B423="",AB$7=""),"",IF($B423="MEANS",INDEX('1-DATA'!$1:$1048576,$A422-1,COLUMN('1-DATA'!AA421)),ROUND(INDEX('1-DATA'!$1:$1048576,IF(OR($B423="STD. DEVIATION",$C$1=1),$A423,$A423+1),COLUMN('1-DATA'!AA421)),IF($B423="STD. DEVIATION",2,$F$1))))</f>
        <v/>
      </c>
      <c r="AC423" s="1" t="str">
        <f>IF(OR($B423="",AC$7=""),"",IF($B423="MEANS",INDEX('1-DATA'!$1:$1048576,$A422-1,COLUMN('1-DATA'!AB421)),ROUND(INDEX('1-DATA'!$1:$1048576,IF(OR($B423="STD. DEVIATION",$C$1=1),$A423,$A423+1),COLUMN('1-DATA'!AB421)),IF($B423="STD. DEVIATION",2,$F$1))))</f>
        <v/>
      </c>
      <c r="AD423" s="1" t="str">
        <f>IF(OR($B423="",AD$7=""),"",IF($B423="MEANS",INDEX('1-DATA'!$1:$1048576,$A422-1,COLUMN('1-DATA'!AC421)),ROUND(INDEX('1-DATA'!$1:$1048576,IF(OR($B423="STD. DEVIATION",$C$1=1),$A423,$A423+1),COLUMN('1-DATA'!AC421)),IF($B423="STD. DEVIATION",2,$F$1))))</f>
        <v/>
      </c>
      <c r="AE423" s="1" t="str">
        <f>IF(OR($B423="",AE$7=""),"",IF($B423="MEANS",INDEX('1-DATA'!$1:$1048576,$A422-1,COLUMN('1-DATA'!AD421)),ROUND(INDEX('1-DATA'!$1:$1048576,IF(OR($B423="STD. DEVIATION",$C$1=1),$A423,$A423+1),COLUMN('1-DATA'!AD421)),IF($B423="STD. DEVIATION",2,$F$1))))</f>
        <v/>
      </c>
      <c r="AF423" s="1" t="str">
        <f>IF(OR($B423="",AF$7=""),"",IF($B423="MEANS",INDEX('1-DATA'!$1:$1048576,$A422-1,COLUMN('1-DATA'!AE421)),ROUND(INDEX('1-DATA'!$1:$1048576,IF(OR($B423="STD. DEVIATION",$C$1=1),$A423,$A423+1),COLUMN('1-DATA'!AE421)),IF($B423="STD. DEVIATION",2,$F$1))))</f>
        <v/>
      </c>
      <c r="AG423" s="1" t="str">
        <f>IF(OR($B423="",AG$7=""),"",IF($B423="MEANS",INDEX('1-DATA'!$1:$1048576,$A422-1,COLUMN('1-DATA'!AF421)),ROUND(INDEX('1-DATA'!$1:$1048576,IF(OR($B423="STD. DEVIATION",$C$1=1),$A423,$A423+1),COLUMN('1-DATA'!AF421)),IF($B423="STD. DEVIATION",2,$F$1))))</f>
        <v/>
      </c>
      <c r="AH423" s="1" t="str">
        <f>IF(OR($B423="",AH$7=""),"",IF($B423="MEANS",INDEX('1-DATA'!$1:$1048576,$A422-1,COLUMN('1-DATA'!AG421)),ROUND(INDEX('1-DATA'!$1:$1048576,IF(OR($B423="STD. DEVIATION",$C$1=1),$A423,$A423+1),COLUMN('1-DATA'!AG421)),IF($B423="STD. DEVIATION",2,$F$1))))</f>
        <v/>
      </c>
      <c r="AI423" s="1" t="str">
        <f>IF(OR($B423="",AI$7=""),"",IF($B423="MEANS",INDEX('1-DATA'!$1:$1048576,$A422-1,COLUMN('1-DATA'!AH421)),ROUND(INDEX('1-DATA'!$1:$1048576,IF(OR($B423="STD. DEVIATION",$C$1=1),$A423,$A423+1),COLUMN('1-DATA'!AH421)),IF($B423="STD. DEVIATION",2,$F$1))))</f>
        <v/>
      </c>
      <c r="AJ423" s="1" t="str">
        <f>IF(OR($B423="",AJ$7=""),"",IF($B423="MEANS",INDEX('1-DATA'!$1:$1048576,$A422-1,COLUMN('1-DATA'!AI421)),ROUND(INDEX('1-DATA'!$1:$1048576,IF(OR($B423="STD. DEVIATION",$C$1=1),$A423,$A423+1),COLUMN('1-DATA'!AI421)),IF($B423="STD. DEVIATION",2,$F$1))))</f>
        <v/>
      </c>
      <c r="AK423" s="1" t="str">
        <f>IF(OR($B423="",AK$7=""),"",IF($B423="MEANS",INDEX('1-DATA'!$1:$1048576,$A422-1,COLUMN('1-DATA'!AJ421)),ROUND(INDEX('1-DATA'!$1:$1048576,IF(OR($B423="STD. DEVIATION",$C$1=1),$A423,$A423+1),COLUMN('1-DATA'!AJ421)),IF($B423="STD. DEVIATION",2,$F$1))))</f>
        <v/>
      </c>
      <c r="AL423" s="1" t="str">
        <f>IF(OR($B423="",AL$7=""),"",IF($B423="MEANS",INDEX('1-DATA'!$1:$1048576,$A422-1,COLUMN('1-DATA'!AK421)),ROUND(INDEX('1-DATA'!$1:$1048576,IF(OR($B423="STD. DEVIATION",$C$1=1),$A423,$A423+1),COLUMN('1-DATA'!AK421)),IF($B423="STD. DEVIATION",2,$F$1))))</f>
        <v/>
      </c>
      <c r="AM423" s="1" t="str">
        <f>IF(OR($B423="",AM$7=""),"",IF($B423="MEANS",INDEX('1-DATA'!$1:$1048576,$A422-1,COLUMN('1-DATA'!AL421)),ROUND(INDEX('1-DATA'!$1:$1048576,IF(OR($B423="STD. DEVIATION",$C$1=1),$A423,$A423+1),COLUMN('1-DATA'!AL421)),IF($B423="STD. DEVIATION",2,$F$1))))</f>
        <v/>
      </c>
      <c r="AN423" s="1" t="str">
        <f>IF(OR($B423="",AN$7=""),"",IF($B423="MEANS",INDEX('1-DATA'!$1:$1048576,$A422-1,COLUMN('1-DATA'!AM421)),ROUND(INDEX('1-DATA'!$1:$1048576,IF(OR($B423="STD. DEVIATION",$C$1=1),$A423,$A423+1),COLUMN('1-DATA'!AM421)),IF($B423="STD. DEVIATION",2,$F$1))))</f>
        <v/>
      </c>
      <c r="AO423" s="1" t="str">
        <f>IF(OR($B423="",AO$7=""),"",IF($B423="MEANS",INDEX('1-DATA'!$1:$1048576,$A422-1,COLUMN('1-DATA'!AN421)),ROUND(INDEX('1-DATA'!$1:$1048576,IF(OR($B423="STD. DEVIATION",$C$1=1),$A423,$A423+1),COLUMN('1-DATA'!AN421)),IF($B423="STD. DEVIATION",2,$F$1))))</f>
        <v/>
      </c>
      <c r="AP423" s="1" t="str">
        <f>IF(OR($B423="",AP$7=""),"",IF($B423="MEANS",INDEX('1-DATA'!$1:$1048576,$A422-1,COLUMN('1-DATA'!AO421)),ROUND(INDEX('1-DATA'!$1:$1048576,IF(OR($B423="STD. DEVIATION",$C$1=1),$A423,$A423+1),COLUMN('1-DATA'!AO421)),IF($B423="STD. DEVIATION",2,$F$1))))</f>
        <v/>
      </c>
      <c r="AQ423" s="1" t="str">
        <f>IF(OR($B423="",AQ$7=""),"",IF($B423="MEANS",INDEX('1-DATA'!$1:$1048576,$A422-1,COLUMN('1-DATA'!AP421)),ROUND(INDEX('1-DATA'!$1:$1048576,IF(OR($B423="STD. DEVIATION",$C$1=1),$A423,$A423+1),COLUMN('1-DATA'!AP421)),IF($B423="STD. DEVIATION",2,$F$1))))</f>
        <v/>
      </c>
      <c r="AR423" s="1" t="str">
        <f>IF(OR($B423="",AR$7=""),"",IF($B423="MEANS",INDEX('1-DATA'!$1:$1048576,$A422-1,COLUMN('1-DATA'!AQ421)),ROUND(INDEX('1-DATA'!$1:$1048576,IF(OR($B423="STD. DEVIATION",$C$1=1),$A423,$A423+1),COLUMN('1-DATA'!AQ421)),IF($B423="STD. DEVIATION",2,$F$1))))</f>
        <v/>
      </c>
      <c r="AS423" s="1" t="str">
        <f>IF(OR($B423="",AS$7=""),"",IF($B423="MEANS",INDEX('1-DATA'!$1:$1048576,$A422-1,COLUMN('1-DATA'!AR421)),ROUND(INDEX('1-DATA'!$1:$1048576,IF(OR($B423="STD. DEVIATION",$C$1=1),$A423,$A423+1),COLUMN('1-DATA'!AR421)),IF($B423="STD. DEVIATION",2,$F$1))))</f>
        <v/>
      </c>
      <c r="AT423" s="1" t="str">
        <f>IF(OR($B423="",AT$7=""),"",IF($B423="MEANS",INDEX('1-DATA'!$1:$1048576,$A422-1,COLUMN('1-DATA'!AS421)),ROUND(INDEX('1-DATA'!$1:$1048576,IF(OR($B423="STD. DEVIATION",$C$1=1),$A423,$A423+1),COLUMN('1-DATA'!AS421)),IF($B423="STD. DEVIATION",2,$F$1))))</f>
        <v/>
      </c>
      <c r="AU423" s="1" t="str">
        <f>IF(OR($B423="",AU$7=""),"",IF($B423="MEANS",INDEX('1-DATA'!$1:$1048576,$A422-1,COLUMN('1-DATA'!AT421)),ROUND(INDEX('1-DATA'!$1:$1048576,IF(OR($B423="STD. DEVIATION",$C$1=1),$A423,$A423+1),COLUMN('1-DATA'!AT421)),IF($B423="STD. DEVIATION",2,$F$1))))</f>
        <v/>
      </c>
      <c r="AV423" s="1" t="str">
        <f>IF(OR($B423="",AV$7=""),"",IF($B423="MEANS",INDEX('1-DATA'!$1:$1048576,$A422-1,COLUMN('1-DATA'!AU421)),ROUND(INDEX('1-DATA'!$1:$1048576,IF(OR($B423="STD. DEVIATION",$C$1=1),$A423,$A423+1),COLUMN('1-DATA'!AU421)),IF($B423="STD. DEVIATION",2,$F$1))))</f>
        <v/>
      </c>
      <c r="AW423" s="1" t="str">
        <f>IF(OR($B423="",AW$7=""),"",IF($B423="MEANS",INDEX('1-DATA'!$1:$1048576,$A422-1,COLUMN('1-DATA'!AV421)),ROUND(INDEX('1-DATA'!$1:$1048576,IF(OR($B423="STD. DEVIATION",$C$1=1),$A423,$A423+1),COLUMN('1-DATA'!AV421)),IF($B423="STD. DEVIATION",2,$F$1))))</f>
        <v/>
      </c>
      <c r="AX423" s="1" t="str">
        <f>IF(OR($B423="",AX$7=""),"",IF($B423="MEANS",INDEX('1-DATA'!$1:$1048576,$A422-1,COLUMN('1-DATA'!AW421)),ROUND(INDEX('1-DATA'!$1:$1048576,IF(OR($B423="STD. DEVIATION",$C$1=1),$A423,$A423+1),COLUMN('1-DATA'!AW421)),IF($B423="STD. DEVIATION",2,$F$1))))</f>
        <v/>
      </c>
      <c r="AY423" s="1" t="str">
        <f>IF(OR($B423="",AY$7=""),"",IF($B423="MEANS",INDEX('1-DATA'!$1:$1048576,$A422-1,COLUMN('1-DATA'!AX421)),ROUND(INDEX('1-DATA'!$1:$1048576,IF(OR($B423="STD. DEVIATION",$C$1=1),$A423,$A423+1),COLUMN('1-DATA'!AX421)),IF($B423="STD. DEVIATION",2,$F$1))))</f>
        <v/>
      </c>
      <c r="AZ423" s="1" t="str">
        <f>IF(OR($B423="",AZ$7=""),"",IF($B423="MEANS",INDEX('1-DATA'!$1:$1048576,$A422-1,COLUMN('1-DATA'!AY421)),ROUND(INDEX('1-DATA'!$1:$1048576,IF(OR($B423="STD. DEVIATION",$C$1=1),$A423,$A423+1),COLUMN('1-DATA'!AY421)),IF($B423="STD. DEVIATION",2,$F$1))))</f>
        <v/>
      </c>
    </row>
    <row r="424" spans="1:52" x14ac:dyDescent="0.25">
      <c r="A424" s="11">
        <f t="shared" si="7"/>
        <v>1258</v>
      </c>
      <c r="B424" s="1" t="str">
        <f>IF(B423="STD. DEVIATION",INDEX('1-DATA'!$1:$1048576,$A423-1,1),IF(INDEX('1-DATA'!$1:$1048576,$A424,1)&lt;&gt;"",INDEX('1-DATA'!$1:$1048576,$A424,1),""))</f>
        <v/>
      </c>
      <c r="C424" s="1" t="str">
        <f>IF(OR($B424="",C$7=""),"",IF($B424="MEANS",INDEX('1-DATA'!$1:$1048576,$A423-1,COLUMN('1-DATA'!B422)),ROUND(INDEX('1-DATA'!$1:$1048576,IF(OR($B424="STD. DEVIATION",$C$1=1),$A424,$A424+1),COLUMN('1-DATA'!B422)),IF($B424="STD. DEVIATION",2,$F$1))))</f>
        <v/>
      </c>
      <c r="D424" s="1" t="str">
        <f>IF(OR($B424="",D$7=""),"",IF($B424="MEANS",INDEX('1-DATA'!$1:$1048576,$A423-1,COLUMN('1-DATA'!C422)),ROUND(INDEX('1-DATA'!$1:$1048576,IF(OR($B424="STD. DEVIATION",$C$1=1),$A424,$A424+1),COLUMN('1-DATA'!C422)),IF($B424="STD. DEVIATION",2,$F$1))))</f>
        <v/>
      </c>
      <c r="E424" s="1" t="str">
        <f>IF(OR($B424="",E$7=""),"",IF($B424="MEANS",INDEX('1-DATA'!$1:$1048576,$A423-1,COLUMN('1-DATA'!D422)),ROUND(INDEX('1-DATA'!$1:$1048576,IF(OR($B424="STD. DEVIATION",$C$1=1),$A424,$A424+1),COLUMN('1-DATA'!D422)),IF($B424="STD. DEVIATION",2,$F$1))))</f>
        <v/>
      </c>
      <c r="F424" s="1" t="str">
        <f>IF(OR($B424="",F$7=""),"",IF($B424="MEANS",INDEX('1-DATA'!$1:$1048576,$A423-1,COLUMN('1-DATA'!E422)),ROUND(INDEX('1-DATA'!$1:$1048576,IF(OR($B424="STD. DEVIATION",$C$1=1),$A424,$A424+1),COLUMN('1-DATA'!E422)),IF($B424="STD. DEVIATION",2,$F$1))))</f>
        <v/>
      </c>
      <c r="G424" s="1" t="str">
        <f>IF(OR($B424="",G$7=""),"",IF($B424="MEANS",INDEX('1-DATA'!$1:$1048576,$A423-1,COLUMN('1-DATA'!F422)),ROUND(INDEX('1-DATA'!$1:$1048576,IF(OR($B424="STD. DEVIATION",$C$1=1),$A424,$A424+1),COLUMN('1-DATA'!F422)),IF($B424="STD. DEVIATION",2,$F$1))))</f>
        <v/>
      </c>
      <c r="H424" s="1" t="str">
        <f>IF(OR($B424="",H$7=""),"",IF($B424="MEANS",INDEX('1-DATA'!$1:$1048576,$A423-1,COLUMN('1-DATA'!G422)),ROUND(INDEX('1-DATA'!$1:$1048576,IF(OR($B424="STD. DEVIATION",$C$1=1),$A424,$A424+1),COLUMN('1-DATA'!G422)),IF($B424="STD. DEVIATION",2,$F$1))))</f>
        <v/>
      </c>
      <c r="I424" s="1" t="str">
        <f>IF(OR($B424="",I$7=""),"",IF($B424="MEANS",INDEX('1-DATA'!$1:$1048576,$A423-1,COLUMN('1-DATA'!H422)),ROUND(INDEX('1-DATA'!$1:$1048576,IF(OR($B424="STD. DEVIATION",$C$1=1),$A424,$A424+1),COLUMN('1-DATA'!H422)),IF($B424="STD. DEVIATION",2,$F$1))))</f>
        <v/>
      </c>
      <c r="J424" s="1" t="str">
        <f>IF(OR($B424="",J$7=""),"",IF($B424="MEANS",INDEX('1-DATA'!$1:$1048576,$A423-1,COLUMN('1-DATA'!I422)),ROUND(INDEX('1-DATA'!$1:$1048576,IF(OR($B424="STD. DEVIATION",$C$1=1),$A424,$A424+1),COLUMN('1-DATA'!I422)),IF($B424="STD. DEVIATION",2,$F$1))))</f>
        <v/>
      </c>
      <c r="K424" s="1" t="str">
        <f>IF(OR($B424="",K$7=""),"",IF($B424="MEANS",INDEX('1-DATA'!$1:$1048576,$A423-1,COLUMN('1-DATA'!J422)),ROUND(INDEX('1-DATA'!$1:$1048576,IF(OR($B424="STD. DEVIATION",$C$1=1),$A424,$A424+1),COLUMN('1-DATA'!J422)),IF($B424="STD. DEVIATION",2,$F$1))))</f>
        <v/>
      </c>
      <c r="L424" s="1" t="str">
        <f>IF(OR($B424="",L$7=""),"",IF($B424="MEANS",INDEX('1-DATA'!$1:$1048576,$A423-1,COLUMN('1-DATA'!K422)),ROUND(INDEX('1-DATA'!$1:$1048576,IF(OR($B424="STD. DEVIATION",$C$1=1),$A424,$A424+1),COLUMN('1-DATA'!K422)),IF($B424="STD. DEVIATION",2,$F$1))))</f>
        <v/>
      </c>
      <c r="M424" s="1" t="str">
        <f>IF(OR($B424="",M$7=""),"",IF($B424="MEANS",INDEX('1-DATA'!$1:$1048576,$A423-1,COLUMN('1-DATA'!L422)),ROUND(INDEX('1-DATA'!$1:$1048576,IF(OR($B424="STD. DEVIATION",$C$1=1),$A424,$A424+1),COLUMN('1-DATA'!L422)),IF($B424="STD. DEVIATION",2,$F$1))))</f>
        <v/>
      </c>
      <c r="N424" s="1" t="str">
        <f>IF(OR($B424="",N$7=""),"",IF($B424="MEANS",INDEX('1-DATA'!$1:$1048576,$A423-1,COLUMN('1-DATA'!M422)),ROUND(INDEX('1-DATA'!$1:$1048576,IF(OR($B424="STD. DEVIATION",$C$1=1),$A424,$A424+1),COLUMN('1-DATA'!M422)),IF($B424="STD. DEVIATION",2,$F$1))))</f>
        <v/>
      </c>
      <c r="O424" s="1" t="str">
        <f>IF(OR($B424="",O$7=""),"",IF($B424="MEANS",INDEX('1-DATA'!$1:$1048576,$A423-1,COLUMN('1-DATA'!N422)),ROUND(INDEX('1-DATA'!$1:$1048576,IF(OR($B424="STD. DEVIATION",$C$1=1),$A424,$A424+1),COLUMN('1-DATA'!N422)),IF($B424="STD. DEVIATION",2,$F$1))))</f>
        <v/>
      </c>
      <c r="P424" s="1" t="str">
        <f>IF(OR($B424="",P$7=""),"",IF($B424="MEANS",INDEX('1-DATA'!$1:$1048576,$A423-1,COLUMN('1-DATA'!O422)),ROUND(INDEX('1-DATA'!$1:$1048576,IF(OR($B424="STD. DEVIATION",$C$1=1),$A424,$A424+1),COLUMN('1-DATA'!O422)),IF($B424="STD. DEVIATION",2,$F$1))))</f>
        <v/>
      </c>
      <c r="Q424" s="1" t="str">
        <f>IF(OR($B424="",Q$7=""),"",IF($B424="MEANS",INDEX('1-DATA'!$1:$1048576,$A423-1,COLUMN('1-DATA'!P422)),ROUND(INDEX('1-DATA'!$1:$1048576,IF(OR($B424="STD. DEVIATION",$C$1=1),$A424,$A424+1),COLUMN('1-DATA'!P422)),IF($B424="STD. DEVIATION",2,$F$1))))</f>
        <v/>
      </c>
      <c r="R424" s="1" t="str">
        <f>IF(OR($B424="",R$7=""),"",IF($B424="MEANS",INDEX('1-DATA'!$1:$1048576,$A423-1,COLUMN('1-DATA'!Q422)),ROUND(INDEX('1-DATA'!$1:$1048576,IF(OR($B424="STD. DEVIATION",$C$1=1),$A424,$A424+1),COLUMN('1-DATA'!Q422)),IF($B424="STD. DEVIATION",2,$F$1))))</f>
        <v/>
      </c>
      <c r="S424" s="1" t="str">
        <f>IF(OR($B424="",S$7=""),"",IF($B424="MEANS",INDEX('1-DATA'!$1:$1048576,$A423-1,COLUMN('1-DATA'!R422)),ROUND(INDEX('1-DATA'!$1:$1048576,IF(OR($B424="STD. DEVIATION",$C$1=1),$A424,$A424+1),COLUMN('1-DATA'!R422)),IF($B424="STD. DEVIATION",2,$F$1))))</f>
        <v/>
      </c>
      <c r="T424" s="1" t="str">
        <f>IF(OR($B424="",T$7=""),"",IF($B424="MEANS",INDEX('1-DATA'!$1:$1048576,$A423-1,COLUMN('1-DATA'!S422)),ROUND(INDEX('1-DATA'!$1:$1048576,IF(OR($B424="STD. DEVIATION",$C$1=1),$A424,$A424+1),COLUMN('1-DATA'!S422)),IF($B424="STD. DEVIATION",2,$F$1))))</f>
        <v/>
      </c>
      <c r="U424" s="1" t="str">
        <f>IF(OR($B424="",U$7=""),"",IF($B424="MEANS",INDEX('1-DATA'!$1:$1048576,$A423-1,COLUMN('1-DATA'!T422)),ROUND(INDEX('1-DATA'!$1:$1048576,IF(OR($B424="STD. DEVIATION",$C$1=1),$A424,$A424+1),COLUMN('1-DATA'!T422)),IF($B424="STD. DEVIATION",2,$F$1))))</f>
        <v/>
      </c>
      <c r="V424" s="1" t="str">
        <f>IF(OR($B424="",V$7=""),"",IF($B424="MEANS",INDEX('1-DATA'!$1:$1048576,$A423-1,COLUMN('1-DATA'!U422)),ROUND(INDEX('1-DATA'!$1:$1048576,IF(OR($B424="STD. DEVIATION",$C$1=1),$A424,$A424+1),COLUMN('1-DATA'!U422)),IF($B424="STD. DEVIATION",2,$F$1))))</f>
        <v/>
      </c>
      <c r="W424" s="1" t="str">
        <f>IF(OR($B424="",W$7=""),"",IF($B424="MEANS",INDEX('1-DATA'!$1:$1048576,$A423-1,COLUMN('1-DATA'!V422)),ROUND(INDEX('1-DATA'!$1:$1048576,IF(OR($B424="STD. DEVIATION",$C$1=1),$A424,$A424+1),COLUMN('1-DATA'!V422)),IF($B424="STD. DEVIATION",2,$F$1))))</f>
        <v/>
      </c>
      <c r="X424" s="1" t="str">
        <f>IF(OR($B424="",X$7=""),"",IF($B424="MEANS",INDEX('1-DATA'!$1:$1048576,$A423-1,COLUMN('1-DATA'!W422)),ROUND(INDEX('1-DATA'!$1:$1048576,IF(OR($B424="STD. DEVIATION",$C$1=1),$A424,$A424+1),COLUMN('1-DATA'!W422)),IF($B424="STD. DEVIATION",2,$F$1))))</f>
        <v/>
      </c>
      <c r="Y424" s="1" t="str">
        <f>IF(OR($B424="",Y$7=""),"",IF($B424="MEANS",INDEX('1-DATA'!$1:$1048576,$A423-1,COLUMN('1-DATA'!X422)),ROUND(INDEX('1-DATA'!$1:$1048576,IF(OR($B424="STD. DEVIATION",$C$1=1),$A424,$A424+1),COLUMN('1-DATA'!X422)),IF($B424="STD. DEVIATION",2,$F$1))))</f>
        <v/>
      </c>
      <c r="Z424" s="1" t="str">
        <f>IF(OR($B424="",Z$7=""),"",IF($B424="MEANS",INDEX('1-DATA'!$1:$1048576,$A423-1,COLUMN('1-DATA'!Y422)),ROUND(INDEX('1-DATA'!$1:$1048576,IF(OR($B424="STD. DEVIATION",$C$1=1),$A424,$A424+1),COLUMN('1-DATA'!Y422)),IF($B424="STD. DEVIATION",2,$F$1))))</f>
        <v/>
      </c>
      <c r="AA424" s="1" t="str">
        <f>IF(OR($B424="",AA$7=""),"",IF($B424="MEANS",INDEX('1-DATA'!$1:$1048576,$A423-1,COLUMN('1-DATA'!Z422)),ROUND(INDEX('1-DATA'!$1:$1048576,IF(OR($B424="STD. DEVIATION",$C$1=1),$A424,$A424+1),COLUMN('1-DATA'!Z422)),IF($B424="STD. DEVIATION",2,$F$1))))</f>
        <v/>
      </c>
      <c r="AB424" s="1" t="str">
        <f>IF(OR($B424="",AB$7=""),"",IF($B424="MEANS",INDEX('1-DATA'!$1:$1048576,$A423-1,COLUMN('1-DATA'!AA422)),ROUND(INDEX('1-DATA'!$1:$1048576,IF(OR($B424="STD. DEVIATION",$C$1=1),$A424,$A424+1),COLUMN('1-DATA'!AA422)),IF($B424="STD. DEVIATION",2,$F$1))))</f>
        <v/>
      </c>
      <c r="AC424" s="1" t="str">
        <f>IF(OR($B424="",AC$7=""),"",IF($B424="MEANS",INDEX('1-DATA'!$1:$1048576,$A423-1,COLUMN('1-DATA'!AB422)),ROUND(INDEX('1-DATA'!$1:$1048576,IF(OR($B424="STD. DEVIATION",$C$1=1),$A424,$A424+1),COLUMN('1-DATA'!AB422)),IF($B424="STD. DEVIATION",2,$F$1))))</f>
        <v/>
      </c>
      <c r="AD424" s="1" t="str">
        <f>IF(OR($B424="",AD$7=""),"",IF($B424="MEANS",INDEX('1-DATA'!$1:$1048576,$A423-1,COLUMN('1-DATA'!AC422)),ROUND(INDEX('1-DATA'!$1:$1048576,IF(OR($B424="STD. DEVIATION",$C$1=1),$A424,$A424+1),COLUMN('1-DATA'!AC422)),IF($B424="STD. DEVIATION",2,$F$1))))</f>
        <v/>
      </c>
      <c r="AE424" s="1" t="str">
        <f>IF(OR($B424="",AE$7=""),"",IF($B424="MEANS",INDEX('1-DATA'!$1:$1048576,$A423-1,COLUMN('1-DATA'!AD422)),ROUND(INDEX('1-DATA'!$1:$1048576,IF(OR($B424="STD. DEVIATION",$C$1=1),$A424,$A424+1),COLUMN('1-DATA'!AD422)),IF($B424="STD. DEVIATION",2,$F$1))))</f>
        <v/>
      </c>
      <c r="AF424" s="1" t="str">
        <f>IF(OR($B424="",AF$7=""),"",IF($B424="MEANS",INDEX('1-DATA'!$1:$1048576,$A423-1,COLUMN('1-DATA'!AE422)),ROUND(INDEX('1-DATA'!$1:$1048576,IF(OR($B424="STD. DEVIATION",$C$1=1),$A424,$A424+1),COLUMN('1-DATA'!AE422)),IF($B424="STD. DEVIATION",2,$F$1))))</f>
        <v/>
      </c>
      <c r="AG424" s="1" t="str">
        <f>IF(OR($B424="",AG$7=""),"",IF($B424="MEANS",INDEX('1-DATA'!$1:$1048576,$A423-1,COLUMN('1-DATA'!AF422)),ROUND(INDEX('1-DATA'!$1:$1048576,IF(OR($B424="STD. DEVIATION",$C$1=1),$A424,$A424+1),COLUMN('1-DATA'!AF422)),IF($B424="STD. DEVIATION",2,$F$1))))</f>
        <v/>
      </c>
      <c r="AH424" s="1" t="str">
        <f>IF(OR($B424="",AH$7=""),"",IF($B424="MEANS",INDEX('1-DATA'!$1:$1048576,$A423-1,COLUMN('1-DATA'!AG422)),ROUND(INDEX('1-DATA'!$1:$1048576,IF(OR($B424="STD. DEVIATION",$C$1=1),$A424,$A424+1),COLUMN('1-DATA'!AG422)),IF($B424="STD. DEVIATION",2,$F$1))))</f>
        <v/>
      </c>
      <c r="AI424" s="1" t="str">
        <f>IF(OR($B424="",AI$7=""),"",IF($B424="MEANS",INDEX('1-DATA'!$1:$1048576,$A423-1,COLUMN('1-DATA'!AH422)),ROUND(INDEX('1-DATA'!$1:$1048576,IF(OR($B424="STD. DEVIATION",$C$1=1),$A424,$A424+1),COLUMN('1-DATA'!AH422)),IF($B424="STD. DEVIATION",2,$F$1))))</f>
        <v/>
      </c>
      <c r="AJ424" s="1" t="str">
        <f>IF(OR($B424="",AJ$7=""),"",IF($B424="MEANS",INDEX('1-DATA'!$1:$1048576,$A423-1,COLUMN('1-DATA'!AI422)),ROUND(INDEX('1-DATA'!$1:$1048576,IF(OR($B424="STD. DEVIATION",$C$1=1),$A424,$A424+1),COLUMN('1-DATA'!AI422)),IF($B424="STD. DEVIATION",2,$F$1))))</f>
        <v/>
      </c>
      <c r="AK424" s="1" t="str">
        <f>IF(OR($B424="",AK$7=""),"",IF($B424="MEANS",INDEX('1-DATA'!$1:$1048576,$A423-1,COLUMN('1-DATA'!AJ422)),ROUND(INDEX('1-DATA'!$1:$1048576,IF(OR($B424="STD. DEVIATION",$C$1=1),$A424,$A424+1),COLUMN('1-DATA'!AJ422)),IF($B424="STD. DEVIATION",2,$F$1))))</f>
        <v/>
      </c>
      <c r="AL424" s="1" t="str">
        <f>IF(OR($B424="",AL$7=""),"",IF($B424="MEANS",INDEX('1-DATA'!$1:$1048576,$A423-1,COLUMN('1-DATA'!AK422)),ROUND(INDEX('1-DATA'!$1:$1048576,IF(OR($B424="STD. DEVIATION",$C$1=1),$A424,$A424+1),COLUMN('1-DATA'!AK422)),IF($B424="STD. DEVIATION",2,$F$1))))</f>
        <v/>
      </c>
      <c r="AM424" s="1" t="str">
        <f>IF(OR($B424="",AM$7=""),"",IF($B424="MEANS",INDEX('1-DATA'!$1:$1048576,$A423-1,COLUMN('1-DATA'!AL422)),ROUND(INDEX('1-DATA'!$1:$1048576,IF(OR($B424="STD. DEVIATION",$C$1=1),$A424,$A424+1),COLUMN('1-DATA'!AL422)),IF($B424="STD. DEVIATION",2,$F$1))))</f>
        <v/>
      </c>
      <c r="AN424" s="1" t="str">
        <f>IF(OR($B424="",AN$7=""),"",IF($B424="MEANS",INDEX('1-DATA'!$1:$1048576,$A423-1,COLUMN('1-DATA'!AM422)),ROUND(INDEX('1-DATA'!$1:$1048576,IF(OR($B424="STD. DEVIATION",$C$1=1),$A424,$A424+1),COLUMN('1-DATA'!AM422)),IF($B424="STD. DEVIATION",2,$F$1))))</f>
        <v/>
      </c>
      <c r="AO424" s="1" t="str">
        <f>IF(OR($B424="",AO$7=""),"",IF($B424="MEANS",INDEX('1-DATA'!$1:$1048576,$A423-1,COLUMN('1-DATA'!AN422)),ROUND(INDEX('1-DATA'!$1:$1048576,IF(OR($B424="STD. DEVIATION",$C$1=1),$A424,$A424+1),COLUMN('1-DATA'!AN422)),IF($B424="STD. DEVIATION",2,$F$1))))</f>
        <v/>
      </c>
      <c r="AP424" s="1" t="str">
        <f>IF(OR($B424="",AP$7=""),"",IF($B424="MEANS",INDEX('1-DATA'!$1:$1048576,$A423-1,COLUMN('1-DATA'!AO422)),ROUND(INDEX('1-DATA'!$1:$1048576,IF(OR($B424="STD. DEVIATION",$C$1=1),$A424,$A424+1),COLUMN('1-DATA'!AO422)),IF($B424="STD. DEVIATION",2,$F$1))))</f>
        <v/>
      </c>
      <c r="AQ424" s="1" t="str">
        <f>IF(OR($B424="",AQ$7=""),"",IF($B424="MEANS",INDEX('1-DATA'!$1:$1048576,$A423-1,COLUMN('1-DATA'!AP422)),ROUND(INDEX('1-DATA'!$1:$1048576,IF(OR($B424="STD. DEVIATION",$C$1=1),$A424,$A424+1),COLUMN('1-DATA'!AP422)),IF($B424="STD. DEVIATION",2,$F$1))))</f>
        <v/>
      </c>
      <c r="AR424" s="1" t="str">
        <f>IF(OR($B424="",AR$7=""),"",IF($B424="MEANS",INDEX('1-DATA'!$1:$1048576,$A423-1,COLUMN('1-DATA'!AQ422)),ROUND(INDEX('1-DATA'!$1:$1048576,IF(OR($B424="STD. DEVIATION",$C$1=1),$A424,$A424+1),COLUMN('1-DATA'!AQ422)),IF($B424="STD. DEVIATION",2,$F$1))))</f>
        <v/>
      </c>
      <c r="AS424" s="1" t="str">
        <f>IF(OR($B424="",AS$7=""),"",IF($B424="MEANS",INDEX('1-DATA'!$1:$1048576,$A423-1,COLUMN('1-DATA'!AR422)),ROUND(INDEX('1-DATA'!$1:$1048576,IF(OR($B424="STD. DEVIATION",$C$1=1),$A424,$A424+1),COLUMN('1-DATA'!AR422)),IF($B424="STD. DEVIATION",2,$F$1))))</f>
        <v/>
      </c>
      <c r="AT424" s="1" t="str">
        <f>IF(OR($B424="",AT$7=""),"",IF($B424="MEANS",INDEX('1-DATA'!$1:$1048576,$A423-1,COLUMN('1-DATA'!AS422)),ROUND(INDEX('1-DATA'!$1:$1048576,IF(OR($B424="STD. DEVIATION",$C$1=1),$A424,$A424+1),COLUMN('1-DATA'!AS422)),IF($B424="STD. DEVIATION",2,$F$1))))</f>
        <v/>
      </c>
      <c r="AU424" s="1" t="str">
        <f>IF(OR($B424="",AU$7=""),"",IF($B424="MEANS",INDEX('1-DATA'!$1:$1048576,$A423-1,COLUMN('1-DATA'!AT422)),ROUND(INDEX('1-DATA'!$1:$1048576,IF(OR($B424="STD. DEVIATION",$C$1=1),$A424,$A424+1),COLUMN('1-DATA'!AT422)),IF($B424="STD. DEVIATION",2,$F$1))))</f>
        <v/>
      </c>
      <c r="AV424" s="1" t="str">
        <f>IF(OR($B424="",AV$7=""),"",IF($B424="MEANS",INDEX('1-DATA'!$1:$1048576,$A423-1,COLUMN('1-DATA'!AU422)),ROUND(INDEX('1-DATA'!$1:$1048576,IF(OR($B424="STD. DEVIATION",$C$1=1),$A424,$A424+1),COLUMN('1-DATA'!AU422)),IF($B424="STD. DEVIATION",2,$F$1))))</f>
        <v/>
      </c>
      <c r="AW424" s="1" t="str">
        <f>IF(OR($B424="",AW$7=""),"",IF($B424="MEANS",INDEX('1-DATA'!$1:$1048576,$A423-1,COLUMN('1-DATA'!AV422)),ROUND(INDEX('1-DATA'!$1:$1048576,IF(OR($B424="STD. DEVIATION",$C$1=1),$A424,$A424+1),COLUMN('1-DATA'!AV422)),IF($B424="STD. DEVIATION",2,$F$1))))</f>
        <v/>
      </c>
      <c r="AX424" s="1" t="str">
        <f>IF(OR($B424="",AX$7=""),"",IF($B424="MEANS",INDEX('1-DATA'!$1:$1048576,$A423-1,COLUMN('1-DATA'!AW422)),ROUND(INDEX('1-DATA'!$1:$1048576,IF(OR($B424="STD. DEVIATION",$C$1=1),$A424,$A424+1),COLUMN('1-DATA'!AW422)),IF($B424="STD. DEVIATION",2,$F$1))))</f>
        <v/>
      </c>
      <c r="AY424" s="1" t="str">
        <f>IF(OR($B424="",AY$7=""),"",IF($B424="MEANS",INDEX('1-DATA'!$1:$1048576,$A423-1,COLUMN('1-DATA'!AX422)),ROUND(INDEX('1-DATA'!$1:$1048576,IF(OR($B424="STD. DEVIATION",$C$1=1),$A424,$A424+1),COLUMN('1-DATA'!AX422)),IF($B424="STD. DEVIATION",2,$F$1))))</f>
        <v/>
      </c>
      <c r="AZ424" s="1" t="str">
        <f>IF(OR($B424="",AZ$7=""),"",IF($B424="MEANS",INDEX('1-DATA'!$1:$1048576,$A423-1,COLUMN('1-DATA'!AY422)),ROUND(INDEX('1-DATA'!$1:$1048576,IF(OR($B424="STD. DEVIATION",$C$1=1),$A424,$A424+1),COLUMN('1-DATA'!AY422)),IF($B424="STD. DEVIATION",2,$F$1))))</f>
        <v/>
      </c>
    </row>
    <row r="425" spans="1:52" x14ac:dyDescent="0.25">
      <c r="A425" s="11">
        <f t="shared" si="7"/>
        <v>1261</v>
      </c>
      <c r="B425" s="1" t="str">
        <f>IF(B424="STD. DEVIATION",INDEX('1-DATA'!$1:$1048576,$A424-1,1),IF(INDEX('1-DATA'!$1:$1048576,$A425,1)&lt;&gt;"",INDEX('1-DATA'!$1:$1048576,$A425,1),""))</f>
        <v/>
      </c>
      <c r="C425" s="1" t="str">
        <f>IF(OR($B425="",C$7=""),"",IF($B425="MEANS",INDEX('1-DATA'!$1:$1048576,$A424-1,COLUMN('1-DATA'!B423)),ROUND(INDEX('1-DATA'!$1:$1048576,IF(OR($B425="STD. DEVIATION",$C$1=1),$A425,$A425+1),COLUMN('1-DATA'!B423)),IF($B425="STD. DEVIATION",2,$F$1))))</f>
        <v/>
      </c>
      <c r="D425" s="1" t="str">
        <f>IF(OR($B425="",D$7=""),"",IF($B425="MEANS",INDEX('1-DATA'!$1:$1048576,$A424-1,COLUMN('1-DATA'!C423)),ROUND(INDEX('1-DATA'!$1:$1048576,IF(OR($B425="STD. DEVIATION",$C$1=1),$A425,$A425+1),COLUMN('1-DATA'!C423)),IF($B425="STD. DEVIATION",2,$F$1))))</f>
        <v/>
      </c>
      <c r="E425" s="1" t="str">
        <f>IF(OR($B425="",E$7=""),"",IF($B425="MEANS",INDEX('1-DATA'!$1:$1048576,$A424-1,COLUMN('1-DATA'!D423)),ROUND(INDEX('1-DATA'!$1:$1048576,IF(OR($B425="STD. DEVIATION",$C$1=1),$A425,$A425+1),COLUMN('1-DATA'!D423)),IF($B425="STD. DEVIATION",2,$F$1))))</f>
        <v/>
      </c>
      <c r="F425" s="1" t="str">
        <f>IF(OR($B425="",F$7=""),"",IF($B425="MEANS",INDEX('1-DATA'!$1:$1048576,$A424-1,COLUMN('1-DATA'!E423)),ROUND(INDEX('1-DATA'!$1:$1048576,IF(OR($B425="STD. DEVIATION",$C$1=1),$A425,$A425+1),COLUMN('1-DATA'!E423)),IF($B425="STD. DEVIATION",2,$F$1))))</f>
        <v/>
      </c>
      <c r="G425" s="1" t="str">
        <f>IF(OR($B425="",G$7=""),"",IF($B425="MEANS",INDEX('1-DATA'!$1:$1048576,$A424-1,COLUMN('1-DATA'!F423)),ROUND(INDEX('1-DATA'!$1:$1048576,IF(OR($B425="STD. DEVIATION",$C$1=1),$A425,$A425+1),COLUMN('1-DATA'!F423)),IF($B425="STD. DEVIATION",2,$F$1))))</f>
        <v/>
      </c>
      <c r="H425" s="1" t="str">
        <f>IF(OR($B425="",H$7=""),"",IF($B425="MEANS",INDEX('1-DATA'!$1:$1048576,$A424-1,COLUMN('1-DATA'!G423)),ROUND(INDEX('1-DATA'!$1:$1048576,IF(OR($B425="STD. DEVIATION",$C$1=1),$A425,$A425+1),COLUMN('1-DATA'!G423)),IF($B425="STD. DEVIATION",2,$F$1))))</f>
        <v/>
      </c>
      <c r="I425" s="1" t="str">
        <f>IF(OR($B425="",I$7=""),"",IF($B425="MEANS",INDEX('1-DATA'!$1:$1048576,$A424-1,COLUMN('1-DATA'!H423)),ROUND(INDEX('1-DATA'!$1:$1048576,IF(OR($B425="STD. DEVIATION",$C$1=1),$A425,$A425+1),COLUMN('1-DATA'!H423)),IF($B425="STD. DEVIATION",2,$F$1))))</f>
        <v/>
      </c>
      <c r="J425" s="1" t="str">
        <f>IF(OR($B425="",J$7=""),"",IF($B425="MEANS",INDEX('1-DATA'!$1:$1048576,$A424-1,COLUMN('1-DATA'!I423)),ROUND(INDEX('1-DATA'!$1:$1048576,IF(OR($B425="STD. DEVIATION",$C$1=1),$A425,$A425+1),COLUMN('1-DATA'!I423)),IF($B425="STD. DEVIATION",2,$F$1))))</f>
        <v/>
      </c>
      <c r="K425" s="1" t="str">
        <f>IF(OR($B425="",K$7=""),"",IF($B425="MEANS",INDEX('1-DATA'!$1:$1048576,$A424-1,COLUMN('1-DATA'!J423)),ROUND(INDEX('1-DATA'!$1:$1048576,IF(OR($B425="STD. DEVIATION",$C$1=1),$A425,$A425+1),COLUMN('1-DATA'!J423)),IF($B425="STD. DEVIATION",2,$F$1))))</f>
        <v/>
      </c>
      <c r="L425" s="1" t="str">
        <f>IF(OR($B425="",L$7=""),"",IF($B425="MEANS",INDEX('1-DATA'!$1:$1048576,$A424-1,COLUMN('1-DATA'!K423)),ROUND(INDEX('1-DATA'!$1:$1048576,IF(OR($B425="STD. DEVIATION",$C$1=1),$A425,$A425+1),COLUMN('1-DATA'!K423)),IF($B425="STD. DEVIATION",2,$F$1))))</f>
        <v/>
      </c>
      <c r="M425" s="1" t="str">
        <f>IF(OR($B425="",M$7=""),"",IF($B425="MEANS",INDEX('1-DATA'!$1:$1048576,$A424-1,COLUMN('1-DATA'!L423)),ROUND(INDEX('1-DATA'!$1:$1048576,IF(OR($B425="STD. DEVIATION",$C$1=1),$A425,$A425+1),COLUMN('1-DATA'!L423)),IF($B425="STD. DEVIATION",2,$F$1))))</f>
        <v/>
      </c>
      <c r="N425" s="1" t="str">
        <f>IF(OR($B425="",N$7=""),"",IF($B425="MEANS",INDEX('1-DATA'!$1:$1048576,$A424-1,COLUMN('1-DATA'!M423)),ROUND(INDEX('1-DATA'!$1:$1048576,IF(OR($B425="STD. DEVIATION",$C$1=1),$A425,$A425+1),COLUMN('1-DATA'!M423)),IF($B425="STD. DEVIATION",2,$F$1))))</f>
        <v/>
      </c>
      <c r="O425" s="1" t="str">
        <f>IF(OR($B425="",O$7=""),"",IF($B425="MEANS",INDEX('1-DATA'!$1:$1048576,$A424-1,COLUMN('1-DATA'!N423)),ROUND(INDEX('1-DATA'!$1:$1048576,IF(OR($B425="STD. DEVIATION",$C$1=1),$A425,$A425+1),COLUMN('1-DATA'!N423)),IF($B425="STD. DEVIATION",2,$F$1))))</f>
        <v/>
      </c>
      <c r="P425" s="1" t="str">
        <f>IF(OR($B425="",P$7=""),"",IF($B425="MEANS",INDEX('1-DATA'!$1:$1048576,$A424-1,COLUMN('1-DATA'!O423)),ROUND(INDEX('1-DATA'!$1:$1048576,IF(OR($B425="STD. DEVIATION",$C$1=1),$A425,$A425+1),COLUMN('1-DATA'!O423)),IF($B425="STD. DEVIATION",2,$F$1))))</f>
        <v/>
      </c>
      <c r="Q425" s="1" t="str">
        <f>IF(OR($B425="",Q$7=""),"",IF($B425="MEANS",INDEX('1-DATA'!$1:$1048576,$A424-1,COLUMN('1-DATA'!P423)),ROUND(INDEX('1-DATA'!$1:$1048576,IF(OR($B425="STD. DEVIATION",$C$1=1),$A425,$A425+1),COLUMN('1-DATA'!P423)),IF($B425="STD. DEVIATION",2,$F$1))))</f>
        <v/>
      </c>
      <c r="R425" s="1" t="str">
        <f>IF(OR($B425="",R$7=""),"",IF($B425="MEANS",INDEX('1-DATA'!$1:$1048576,$A424-1,COLUMN('1-DATA'!Q423)),ROUND(INDEX('1-DATA'!$1:$1048576,IF(OR($B425="STD. DEVIATION",$C$1=1),$A425,$A425+1),COLUMN('1-DATA'!Q423)),IF($B425="STD. DEVIATION",2,$F$1))))</f>
        <v/>
      </c>
      <c r="S425" s="1" t="str">
        <f>IF(OR($B425="",S$7=""),"",IF($B425="MEANS",INDEX('1-DATA'!$1:$1048576,$A424-1,COLUMN('1-DATA'!R423)),ROUND(INDEX('1-DATA'!$1:$1048576,IF(OR($B425="STD. DEVIATION",$C$1=1),$A425,$A425+1),COLUMN('1-DATA'!R423)),IF($B425="STD. DEVIATION",2,$F$1))))</f>
        <v/>
      </c>
      <c r="T425" s="1" t="str">
        <f>IF(OR($B425="",T$7=""),"",IF($B425="MEANS",INDEX('1-DATA'!$1:$1048576,$A424-1,COLUMN('1-DATA'!S423)),ROUND(INDEX('1-DATA'!$1:$1048576,IF(OR($B425="STD. DEVIATION",$C$1=1),$A425,$A425+1),COLUMN('1-DATA'!S423)),IF($B425="STD. DEVIATION",2,$F$1))))</f>
        <v/>
      </c>
      <c r="U425" s="1" t="str">
        <f>IF(OR($B425="",U$7=""),"",IF($B425="MEANS",INDEX('1-DATA'!$1:$1048576,$A424-1,COLUMN('1-DATA'!T423)),ROUND(INDEX('1-DATA'!$1:$1048576,IF(OR($B425="STD. DEVIATION",$C$1=1),$A425,$A425+1),COLUMN('1-DATA'!T423)),IF($B425="STD. DEVIATION",2,$F$1))))</f>
        <v/>
      </c>
      <c r="V425" s="1" t="str">
        <f>IF(OR($B425="",V$7=""),"",IF($B425="MEANS",INDEX('1-DATA'!$1:$1048576,$A424-1,COLUMN('1-DATA'!U423)),ROUND(INDEX('1-DATA'!$1:$1048576,IF(OR($B425="STD. DEVIATION",$C$1=1),$A425,$A425+1),COLUMN('1-DATA'!U423)),IF($B425="STD. DEVIATION",2,$F$1))))</f>
        <v/>
      </c>
      <c r="W425" s="1" t="str">
        <f>IF(OR($B425="",W$7=""),"",IF($B425="MEANS",INDEX('1-DATA'!$1:$1048576,$A424-1,COLUMN('1-DATA'!V423)),ROUND(INDEX('1-DATA'!$1:$1048576,IF(OR($B425="STD. DEVIATION",$C$1=1),$A425,$A425+1),COLUMN('1-DATA'!V423)),IF($B425="STD. DEVIATION",2,$F$1))))</f>
        <v/>
      </c>
      <c r="X425" s="1" t="str">
        <f>IF(OR($B425="",X$7=""),"",IF($B425="MEANS",INDEX('1-DATA'!$1:$1048576,$A424-1,COLUMN('1-DATA'!W423)),ROUND(INDEX('1-DATA'!$1:$1048576,IF(OR($B425="STD. DEVIATION",$C$1=1),$A425,$A425+1),COLUMN('1-DATA'!W423)),IF($B425="STD. DEVIATION",2,$F$1))))</f>
        <v/>
      </c>
      <c r="Y425" s="1" t="str">
        <f>IF(OR($B425="",Y$7=""),"",IF($B425="MEANS",INDEX('1-DATA'!$1:$1048576,$A424-1,COLUMN('1-DATA'!X423)),ROUND(INDEX('1-DATA'!$1:$1048576,IF(OR($B425="STD. DEVIATION",$C$1=1),$A425,$A425+1),COLUMN('1-DATA'!X423)),IF($B425="STD. DEVIATION",2,$F$1))))</f>
        <v/>
      </c>
      <c r="Z425" s="1" t="str">
        <f>IF(OR($B425="",Z$7=""),"",IF($B425="MEANS",INDEX('1-DATA'!$1:$1048576,$A424-1,COLUMN('1-DATA'!Y423)),ROUND(INDEX('1-DATA'!$1:$1048576,IF(OR($B425="STD. DEVIATION",$C$1=1),$A425,$A425+1),COLUMN('1-DATA'!Y423)),IF($B425="STD. DEVIATION",2,$F$1))))</f>
        <v/>
      </c>
      <c r="AA425" s="1" t="str">
        <f>IF(OR($B425="",AA$7=""),"",IF($B425="MEANS",INDEX('1-DATA'!$1:$1048576,$A424-1,COLUMN('1-DATA'!Z423)),ROUND(INDEX('1-DATA'!$1:$1048576,IF(OR($B425="STD. DEVIATION",$C$1=1),$A425,$A425+1),COLUMN('1-DATA'!Z423)),IF($B425="STD. DEVIATION",2,$F$1))))</f>
        <v/>
      </c>
      <c r="AB425" s="1" t="str">
        <f>IF(OR($B425="",AB$7=""),"",IF($B425="MEANS",INDEX('1-DATA'!$1:$1048576,$A424-1,COLUMN('1-DATA'!AA423)),ROUND(INDEX('1-DATA'!$1:$1048576,IF(OR($B425="STD. DEVIATION",$C$1=1),$A425,$A425+1),COLUMN('1-DATA'!AA423)),IF($B425="STD. DEVIATION",2,$F$1))))</f>
        <v/>
      </c>
      <c r="AC425" s="1" t="str">
        <f>IF(OR($B425="",AC$7=""),"",IF($B425="MEANS",INDEX('1-DATA'!$1:$1048576,$A424-1,COLUMN('1-DATA'!AB423)),ROUND(INDEX('1-DATA'!$1:$1048576,IF(OR($B425="STD. DEVIATION",$C$1=1),$A425,$A425+1),COLUMN('1-DATA'!AB423)),IF($B425="STD. DEVIATION",2,$F$1))))</f>
        <v/>
      </c>
      <c r="AD425" s="1" t="str">
        <f>IF(OR($B425="",AD$7=""),"",IF($B425="MEANS",INDEX('1-DATA'!$1:$1048576,$A424-1,COLUMN('1-DATA'!AC423)),ROUND(INDEX('1-DATA'!$1:$1048576,IF(OR($B425="STD. DEVIATION",$C$1=1),$A425,$A425+1),COLUMN('1-DATA'!AC423)),IF($B425="STD. DEVIATION",2,$F$1))))</f>
        <v/>
      </c>
      <c r="AE425" s="1" t="str">
        <f>IF(OR($B425="",AE$7=""),"",IF($B425="MEANS",INDEX('1-DATA'!$1:$1048576,$A424-1,COLUMN('1-DATA'!AD423)),ROUND(INDEX('1-DATA'!$1:$1048576,IF(OR($B425="STD. DEVIATION",$C$1=1),$A425,$A425+1),COLUMN('1-DATA'!AD423)),IF($B425="STD. DEVIATION",2,$F$1))))</f>
        <v/>
      </c>
      <c r="AF425" s="1" t="str">
        <f>IF(OR($B425="",AF$7=""),"",IF($B425="MEANS",INDEX('1-DATA'!$1:$1048576,$A424-1,COLUMN('1-DATA'!AE423)),ROUND(INDEX('1-DATA'!$1:$1048576,IF(OR($B425="STD. DEVIATION",$C$1=1),$A425,$A425+1),COLUMN('1-DATA'!AE423)),IF($B425="STD. DEVIATION",2,$F$1))))</f>
        <v/>
      </c>
      <c r="AG425" s="1" t="str">
        <f>IF(OR($B425="",AG$7=""),"",IF($B425="MEANS",INDEX('1-DATA'!$1:$1048576,$A424-1,COLUMN('1-DATA'!AF423)),ROUND(INDEX('1-DATA'!$1:$1048576,IF(OR($B425="STD. DEVIATION",$C$1=1),$A425,$A425+1),COLUMN('1-DATA'!AF423)),IF($B425="STD. DEVIATION",2,$F$1))))</f>
        <v/>
      </c>
      <c r="AH425" s="1" t="str">
        <f>IF(OR($B425="",AH$7=""),"",IF($B425="MEANS",INDEX('1-DATA'!$1:$1048576,$A424-1,COLUMN('1-DATA'!AG423)),ROUND(INDEX('1-DATA'!$1:$1048576,IF(OR($B425="STD. DEVIATION",$C$1=1),$A425,$A425+1),COLUMN('1-DATA'!AG423)),IF($B425="STD. DEVIATION",2,$F$1))))</f>
        <v/>
      </c>
      <c r="AI425" s="1" t="str">
        <f>IF(OR($B425="",AI$7=""),"",IF($B425="MEANS",INDEX('1-DATA'!$1:$1048576,$A424-1,COLUMN('1-DATA'!AH423)),ROUND(INDEX('1-DATA'!$1:$1048576,IF(OR($B425="STD. DEVIATION",$C$1=1),$A425,$A425+1),COLUMN('1-DATA'!AH423)),IF($B425="STD. DEVIATION",2,$F$1))))</f>
        <v/>
      </c>
      <c r="AJ425" s="1" t="str">
        <f>IF(OR($B425="",AJ$7=""),"",IF($B425="MEANS",INDEX('1-DATA'!$1:$1048576,$A424-1,COLUMN('1-DATA'!AI423)),ROUND(INDEX('1-DATA'!$1:$1048576,IF(OR($B425="STD. DEVIATION",$C$1=1),$A425,$A425+1),COLUMN('1-DATA'!AI423)),IF($B425="STD. DEVIATION",2,$F$1))))</f>
        <v/>
      </c>
      <c r="AK425" s="1" t="str">
        <f>IF(OR($B425="",AK$7=""),"",IF($B425="MEANS",INDEX('1-DATA'!$1:$1048576,$A424-1,COLUMN('1-DATA'!AJ423)),ROUND(INDEX('1-DATA'!$1:$1048576,IF(OR($B425="STD. DEVIATION",$C$1=1),$A425,$A425+1),COLUMN('1-DATA'!AJ423)),IF($B425="STD. DEVIATION",2,$F$1))))</f>
        <v/>
      </c>
      <c r="AL425" s="1" t="str">
        <f>IF(OR($B425="",AL$7=""),"",IF($B425="MEANS",INDEX('1-DATA'!$1:$1048576,$A424-1,COLUMN('1-DATA'!AK423)),ROUND(INDEX('1-DATA'!$1:$1048576,IF(OR($B425="STD. DEVIATION",$C$1=1),$A425,$A425+1),COLUMN('1-DATA'!AK423)),IF($B425="STD. DEVIATION",2,$F$1))))</f>
        <v/>
      </c>
      <c r="AM425" s="1" t="str">
        <f>IF(OR($B425="",AM$7=""),"",IF($B425="MEANS",INDEX('1-DATA'!$1:$1048576,$A424-1,COLUMN('1-DATA'!AL423)),ROUND(INDEX('1-DATA'!$1:$1048576,IF(OR($B425="STD. DEVIATION",$C$1=1),$A425,$A425+1),COLUMN('1-DATA'!AL423)),IF($B425="STD. DEVIATION",2,$F$1))))</f>
        <v/>
      </c>
      <c r="AN425" s="1" t="str">
        <f>IF(OR($B425="",AN$7=""),"",IF($B425="MEANS",INDEX('1-DATA'!$1:$1048576,$A424-1,COLUMN('1-DATA'!AM423)),ROUND(INDEX('1-DATA'!$1:$1048576,IF(OR($B425="STD. DEVIATION",$C$1=1),$A425,$A425+1),COLUMN('1-DATA'!AM423)),IF($B425="STD. DEVIATION",2,$F$1))))</f>
        <v/>
      </c>
      <c r="AO425" s="1" t="str">
        <f>IF(OR($B425="",AO$7=""),"",IF($B425="MEANS",INDEX('1-DATA'!$1:$1048576,$A424-1,COLUMN('1-DATA'!AN423)),ROUND(INDEX('1-DATA'!$1:$1048576,IF(OR($B425="STD. DEVIATION",$C$1=1),$A425,$A425+1),COLUMN('1-DATA'!AN423)),IF($B425="STD. DEVIATION",2,$F$1))))</f>
        <v/>
      </c>
      <c r="AP425" s="1" t="str">
        <f>IF(OR($B425="",AP$7=""),"",IF($B425="MEANS",INDEX('1-DATA'!$1:$1048576,$A424-1,COLUMN('1-DATA'!AO423)),ROUND(INDEX('1-DATA'!$1:$1048576,IF(OR($B425="STD. DEVIATION",$C$1=1),$A425,$A425+1),COLUMN('1-DATA'!AO423)),IF($B425="STD. DEVIATION",2,$F$1))))</f>
        <v/>
      </c>
      <c r="AQ425" s="1" t="str">
        <f>IF(OR($B425="",AQ$7=""),"",IF($B425="MEANS",INDEX('1-DATA'!$1:$1048576,$A424-1,COLUMN('1-DATA'!AP423)),ROUND(INDEX('1-DATA'!$1:$1048576,IF(OR($B425="STD. DEVIATION",$C$1=1),$A425,$A425+1),COLUMN('1-DATA'!AP423)),IF($B425="STD. DEVIATION",2,$F$1))))</f>
        <v/>
      </c>
      <c r="AR425" s="1" t="str">
        <f>IF(OR($B425="",AR$7=""),"",IF($B425="MEANS",INDEX('1-DATA'!$1:$1048576,$A424-1,COLUMN('1-DATA'!AQ423)),ROUND(INDEX('1-DATA'!$1:$1048576,IF(OR($B425="STD. DEVIATION",$C$1=1),$A425,$A425+1),COLUMN('1-DATA'!AQ423)),IF($B425="STD. DEVIATION",2,$F$1))))</f>
        <v/>
      </c>
      <c r="AS425" s="1" t="str">
        <f>IF(OR($B425="",AS$7=""),"",IF($B425="MEANS",INDEX('1-DATA'!$1:$1048576,$A424-1,COLUMN('1-DATA'!AR423)),ROUND(INDEX('1-DATA'!$1:$1048576,IF(OR($B425="STD. DEVIATION",$C$1=1),$A425,$A425+1),COLUMN('1-DATA'!AR423)),IF($B425="STD. DEVIATION",2,$F$1))))</f>
        <v/>
      </c>
      <c r="AT425" s="1" t="str">
        <f>IF(OR($B425="",AT$7=""),"",IF($B425="MEANS",INDEX('1-DATA'!$1:$1048576,$A424-1,COLUMN('1-DATA'!AS423)),ROUND(INDEX('1-DATA'!$1:$1048576,IF(OR($B425="STD. DEVIATION",$C$1=1),$A425,$A425+1),COLUMN('1-DATA'!AS423)),IF($B425="STD. DEVIATION",2,$F$1))))</f>
        <v/>
      </c>
      <c r="AU425" s="1" t="str">
        <f>IF(OR($B425="",AU$7=""),"",IF($B425="MEANS",INDEX('1-DATA'!$1:$1048576,$A424-1,COLUMN('1-DATA'!AT423)),ROUND(INDEX('1-DATA'!$1:$1048576,IF(OR($B425="STD. DEVIATION",$C$1=1),$A425,$A425+1),COLUMN('1-DATA'!AT423)),IF($B425="STD. DEVIATION",2,$F$1))))</f>
        <v/>
      </c>
      <c r="AV425" s="1" t="str">
        <f>IF(OR($B425="",AV$7=""),"",IF($B425="MEANS",INDEX('1-DATA'!$1:$1048576,$A424-1,COLUMN('1-DATA'!AU423)),ROUND(INDEX('1-DATA'!$1:$1048576,IF(OR($B425="STD. DEVIATION",$C$1=1),$A425,$A425+1),COLUMN('1-DATA'!AU423)),IF($B425="STD. DEVIATION",2,$F$1))))</f>
        <v/>
      </c>
      <c r="AW425" s="1" t="str">
        <f>IF(OR($B425="",AW$7=""),"",IF($B425="MEANS",INDEX('1-DATA'!$1:$1048576,$A424-1,COLUMN('1-DATA'!AV423)),ROUND(INDEX('1-DATA'!$1:$1048576,IF(OR($B425="STD. DEVIATION",$C$1=1),$A425,$A425+1),COLUMN('1-DATA'!AV423)),IF($B425="STD. DEVIATION",2,$F$1))))</f>
        <v/>
      </c>
      <c r="AX425" s="1" t="str">
        <f>IF(OR($B425="",AX$7=""),"",IF($B425="MEANS",INDEX('1-DATA'!$1:$1048576,$A424-1,COLUMN('1-DATA'!AW423)),ROUND(INDEX('1-DATA'!$1:$1048576,IF(OR($B425="STD. DEVIATION",$C$1=1),$A425,$A425+1),COLUMN('1-DATA'!AW423)),IF($B425="STD. DEVIATION",2,$F$1))))</f>
        <v/>
      </c>
      <c r="AY425" s="1" t="str">
        <f>IF(OR($B425="",AY$7=""),"",IF($B425="MEANS",INDEX('1-DATA'!$1:$1048576,$A424-1,COLUMN('1-DATA'!AX423)),ROUND(INDEX('1-DATA'!$1:$1048576,IF(OR($B425="STD. DEVIATION",$C$1=1),$A425,$A425+1),COLUMN('1-DATA'!AX423)),IF($B425="STD. DEVIATION",2,$F$1))))</f>
        <v/>
      </c>
      <c r="AZ425" s="1" t="str">
        <f>IF(OR($B425="",AZ$7=""),"",IF($B425="MEANS",INDEX('1-DATA'!$1:$1048576,$A424-1,COLUMN('1-DATA'!AY423)),ROUND(INDEX('1-DATA'!$1:$1048576,IF(OR($B425="STD. DEVIATION",$C$1=1),$A425,$A425+1),COLUMN('1-DATA'!AY423)),IF($B425="STD. DEVIATION",2,$F$1))))</f>
        <v/>
      </c>
    </row>
    <row r="426" spans="1:52" x14ac:dyDescent="0.25">
      <c r="A426" s="11">
        <f t="shared" si="7"/>
        <v>1264</v>
      </c>
      <c r="B426" s="1" t="str">
        <f>IF(B425="STD. DEVIATION",INDEX('1-DATA'!$1:$1048576,$A425-1,1),IF(INDEX('1-DATA'!$1:$1048576,$A426,1)&lt;&gt;"",INDEX('1-DATA'!$1:$1048576,$A426,1),""))</f>
        <v/>
      </c>
      <c r="C426" s="1" t="str">
        <f>IF(OR($B426="",C$7=""),"",IF($B426="MEANS",INDEX('1-DATA'!$1:$1048576,$A425-1,COLUMN('1-DATA'!B424)),ROUND(INDEX('1-DATA'!$1:$1048576,IF(OR($B426="STD. DEVIATION",$C$1=1),$A426,$A426+1),COLUMN('1-DATA'!B424)),IF($B426="STD. DEVIATION",2,$F$1))))</f>
        <v/>
      </c>
      <c r="D426" s="1" t="str">
        <f>IF(OR($B426="",D$7=""),"",IF($B426="MEANS",INDEX('1-DATA'!$1:$1048576,$A425-1,COLUMN('1-DATA'!C424)),ROUND(INDEX('1-DATA'!$1:$1048576,IF(OR($B426="STD. DEVIATION",$C$1=1),$A426,$A426+1),COLUMN('1-DATA'!C424)),IF($B426="STD. DEVIATION",2,$F$1))))</f>
        <v/>
      </c>
      <c r="E426" s="1" t="str">
        <f>IF(OR($B426="",E$7=""),"",IF($B426="MEANS",INDEX('1-DATA'!$1:$1048576,$A425-1,COLUMN('1-DATA'!D424)),ROUND(INDEX('1-DATA'!$1:$1048576,IF(OR($B426="STD. DEVIATION",$C$1=1),$A426,$A426+1),COLUMN('1-DATA'!D424)),IF($B426="STD. DEVIATION",2,$F$1))))</f>
        <v/>
      </c>
      <c r="F426" s="1" t="str">
        <f>IF(OR($B426="",F$7=""),"",IF($B426="MEANS",INDEX('1-DATA'!$1:$1048576,$A425-1,COLUMN('1-DATA'!E424)),ROUND(INDEX('1-DATA'!$1:$1048576,IF(OR($B426="STD. DEVIATION",$C$1=1),$A426,$A426+1),COLUMN('1-DATA'!E424)),IF($B426="STD. DEVIATION",2,$F$1))))</f>
        <v/>
      </c>
      <c r="G426" s="1" t="str">
        <f>IF(OR($B426="",G$7=""),"",IF($B426="MEANS",INDEX('1-DATA'!$1:$1048576,$A425-1,COLUMN('1-DATA'!F424)),ROUND(INDEX('1-DATA'!$1:$1048576,IF(OR($B426="STD. DEVIATION",$C$1=1),$A426,$A426+1),COLUMN('1-DATA'!F424)),IF($B426="STD. DEVIATION",2,$F$1))))</f>
        <v/>
      </c>
      <c r="H426" s="1" t="str">
        <f>IF(OR($B426="",H$7=""),"",IF($B426="MEANS",INDEX('1-DATA'!$1:$1048576,$A425-1,COLUMN('1-DATA'!G424)),ROUND(INDEX('1-DATA'!$1:$1048576,IF(OR($B426="STD. DEVIATION",$C$1=1),$A426,$A426+1),COLUMN('1-DATA'!G424)),IF($B426="STD. DEVIATION",2,$F$1))))</f>
        <v/>
      </c>
      <c r="I426" s="1" t="str">
        <f>IF(OR($B426="",I$7=""),"",IF($B426="MEANS",INDEX('1-DATA'!$1:$1048576,$A425-1,COLUMN('1-DATA'!H424)),ROUND(INDEX('1-DATA'!$1:$1048576,IF(OR($B426="STD. DEVIATION",$C$1=1),$A426,$A426+1),COLUMN('1-DATA'!H424)),IF($B426="STD. DEVIATION",2,$F$1))))</f>
        <v/>
      </c>
      <c r="J426" s="1" t="str">
        <f>IF(OR($B426="",J$7=""),"",IF($B426="MEANS",INDEX('1-DATA'!$1:$1048576,$A425-1,COLUMN('1-DATA'!I424)),ROUND(INDEX('1-DATA'!$1:$1048576,IF(OR($B426="STD. DEVIATION",$C$1=1),$A426,$A426+1),COLUMN('1-DATA'!I424)),IF($B426="STD. DEVIATION",2,$F$1))))</f>
        <v/>
      </c>
      <c r="K426" s="1" t="str">
        <f>IF(OR($B426="",K$7=""),"",IF($B426="MEANS",INDEX('1-DATA'!$1:$1048576,$A425-1,COLUMN('1-DATA'!J424)),ROUND(INDEX('1-DATA'!$1:$1048576,IF(OR($B426="STD. DEVIATION",$C$1=1),$A426,$A426+1),COLUMN('1-DATA'!J424)),IF($B426="STD. DEVIATION",2,$F$1))))</f>
        <v/>
      </c>
      <c r="L426" s="1" t="str">
        <f>IF(OR($B426="",L$7=""),"",IF($B426="MEANS",INDEX('1-DATA'!$1:$1048576,$A425-1,COLUMN('1-DATA'!K424)),ROUND(INDEX('1-DATA'!$1:$1048576,IF(OR($B426="STD. DEVIATION",$C$1=1),$A426,$A426+1),COLUMN('1-DATA'!K424)),IF($B426="STD. DEVIATION",2,$F$1))))</f>
        <v/>
      </c>
      <c r="M426" s="1" t="str">
        <f>IF(OR($B426="",M$7=""),"",IF($B426="MEANS",INDEX('1-DATA'!$1:$1048576,$A425-1,COLUMN('1-DATA'!L424)),ROUND(INDEX('1-DATA'!$1:$1048576,IF(OR($B426="STD. DEVIATION",$C$1=1),$A426,$A426+1),COLUMN('1-DATA'!L424)),IF($B426="STD. DEVIATION",2,$F$1))))</f>
        <v/>
      </c>
      <c r="N426" s="1" t="str">
        <f>IF(OR($B426="",N$7=""),"",IF($B426="MEANS",INDEX('1-DATA'!$1:$1048576,$A425-1,COLUMN('1-DATA'!M424)),ROUND(INDEX('1-DATA'!$1:$1048576,IF(OR($B426="STD. DEVIATION",$C$1=1),$A426,$A426+1),COLUMN('1-DATA'!M424)),IF($B426="STD. DEVIATION",2,$F$1))))</f>
        <v/>
      </c>
      <c r="O426" s="1" t="str">
        <f>IF(OR($B426="",O$7=""),"",IF($B426="MEANS",INDEX('1-DATA'!$1:$1048576,$A425-1,COLUMN('1-DATA'!N424)),ROUND(INDEX('1-DATA'!$1:$1048576,IF(OR($B426="STD. DEVIATION",$C$1=1),$A426,$A426+1),COLUMN('1-DATA'!N424)),IF($B426="STD. DEVIATION",2,$F$1))))</f>
        <v/>
      </c>
      <c r="P426" s="1" t="str">
        <f>IF(OR($B426="",P$7=""),"",IF($B426="MEANS",INDEX('1-DATA'!$1:$1048576,$A425-1,COLUMN('1-DATA'!O424)),ROUND(INDEX('1-DATA'!$1:$1048576,IF(OR($B426="STD. DEVIATION",$C$1=1),$A426,$A426+1),COLUMN('1-DATA'!O424)),IF($B426="STD. DEVIATION",2,$F$1))))</f>
        <v/>
      </c>
      <c r="Q426" s="1" t="str">
        <f>IF(OR($B426="",Q$7=""),"",IF($B426="MEANS",INDEX('1-DATA'!$1:$1048576,$A425-1,COLUMN('1-DATA'!P424)),ROUND(INDEX('1-DATA'!$1:$1048576,IF(OR($B426="STD. DEVIATION",$C$1=1),$A426,$A426+1),COLUMN('1-DATA'!P424)),IF($B426="STD. DEVIATION",2,$F$1))))</f>
        <v/>
      </c>
      <c r="R426" s="1" t="str">
        <f>IF(OR($B426="",R$7=""),"",IF($B426="MEANS",INDEX('1-DATA'!$1:$1048576,$A425-1,COLUMN('1-DATA'!Q424)),ROUND(INDEX('1-DATA'!$1:$1048576,IF(OR($B426="STD. DEVIATION",$C$1=1),$A426,$A426+1),COLUMN('1-DATA'!Q424)),IF($B426="STD. DEVIATION",2,$F$1))))</f>
        <v/>
      </c>
      <c r="S426" s="1" t="str">
        <f>IF(OR($B426="",S$7=""),"",IF($B426="MEANS",INDEX('1-DATA'!$1:$1048576,$A425-1,COLUMN('1-DATA'!R424)),ROUND(INDEX('1-DATA'!$1:$1048576,IF(OR($B426="STD. DEVIATION",$C$1=1),$A426,$A426+1),COLUMN('1-DATA'!R424)),IF($B426="STD. DEVIATION",2,$F$1))))</f>
        <v/>
      </c>
      <c r="T426" s="1" t="str">
        <f>IF(OR($B426="",T$7=""),"",IF($B426="MEANS",INDEX('1-DATA'!$1:$1048576,$A425-1,COLUMN('1-DATA'!S424)),ROUND(INDEX('1-DATA'!$1:$1048576,IF(OR($B426="STD. DEVIATION",$C$1=1),$A426,$A426+1),COLUMN('1-DATA'!S424)),IF($B426="STD. DEVIATION",2,$F$1))))</f>
        <v/>
      </c>
      <c r="U426" s="1" t="str">
        <f>IF(OR($B426="",U$7=""),"",IF($B426="MEANS",INDEX('1-DATA'!$1:$1048576,$A425-1,COLUMN('1-DATA'!T424)),ROUND(INDEX('1-DATA'!$1:$1048576,IF(OR($B426="STD. DEVIATION",$C$1=1),$A426,$A426+1),COLUMN('1-DATA'!T424)),IF($B426="STD. DEVIATION",2,$F$1))))</f>
        <v/>
      </c>
      <c r="V426" s="1" t="str">
        <f>IF(OR($B426="",V$7=""),"",IF($B426="MEANS",INDEX('1-DATA'!$1:$1048576,$A425-1,COLUMN('1-DATA'!U424)),ROUND(INDEX('1-DATA'!$1:$1048576,IF(OR($B426="STD. DEVIATION",$C$1=1),$A426,$A426+1),COLUMN('1-DATA'!U424)),IF($B426="STD. DEVIATION",2,$F$1))))</f>
        <v/>
      </c>
      <c r="W426" s="1" t="str">
        <f>IF(OR($B426="",W$7=""),"",IF($B426="MEANS",INDEX('1-DATA'!$1:$1048576,$A425-1,COLUMN('1-DATA'!V424)),ROUND(INDEX('1-DATA'!$1:$1048576,IF(OR($B426="STD. DEVIATION",$C$1=1),$A426,$A426+1),COLUMN('1-DATA'!V424)),IF($B426="STD. DEVIATION",2,$F$1))))</f>
        <v/>
      </c>
      <c r="X426" s="1" t="str">
        <f>IF(OR($B426="",X$7=""),"",IF($B426="MEANS",INDEX('1-DATA'!$1:$1048576,$A425-1,COLUMN('1-DATA'!W424)),ROUND(INDEX('1-DATA'!$1:$1048576,IF(OR($B426="STD. DEVIATION",$C$1=1),$A426,$A426+1),COLUMN('1-DATA'!W424)),IF($B426="STD. DEVIATION",2,$F$1))))</f>
        <v/>
      </c>
      <c r="Y426" s="1" t="str">
        <f>IF(OR($B426="",Y$7=""),"",IF($B426="MEANS",INDEX('1-DATA'!$1:$1048576,$A425-1,COLUMN('1-DATA'!X424)),ROUND(INDEX('1-DATA'!$1:$1048576,IF(OR($B426="STD. DEVIATION",$C$1=1),$A426,$A426+1),COLUMN('1-DATA'!X424)),IF($B426="STD. DEVIATION",2,$F$1))))</f>
        <v/>
      </c>
      <c r="Z426" s="1" t="str">
        <f>IF(OR($B426="",Z$7=""),"",IF($B426="MEANS",INDEX('1-DATA'!$1:$1048576,$A425-1,COLUMN('1-DATA'!Y424)),ROUND(INDEX('1-DATA'!$1:$1048576,IF(OR($B426="STD. DEVIATION",$C$1=1),$A426,$A426+1),COLUMN('1-DATA'!Y424)),IF($B426="STD. DEVIATION",2,$F$1))))</f>
        <v/>
      </c>
      <c r="AA426" s="1" t="str">
        <f>IF(OR($B426="",AA$7=""),"",IF($B426="MEANS",INDEX('1-DATA'!$1:$1048576,$A425-1,COLUMN('1-DATA'!Z424)),ROUND(INDEX('1-DATA'!$1:$1048576,IF(OR($B426="STD. DEVIATION",$C$1=1),$A426,$A426+1),COLUMN('1-DATA'!Z424)),IF($B426="STD. DEVIATION",2,$F$1))))</f>
        <v/>
      </c>
      <c r="AB426" s="1" t="str">
        <f>IF(OR($B426="",AB$7=""),"",IF($B426="MEANS",INDEX('1-DATA'!$1:$1048576,$A425-1,COLUMN('1-DATA'!AA424)),ROUND(INDEX('1-DATA'!$1:$1048576,IF(OR($B426="STD. DEVIATION",$C$1=1),$A426,$A426+1),COLUMN('1-DATA'!AA424)),IF($B426="STD. DEVIATION",2,$F$1))))</f>
        <v/>
      </c>
      <c r="AC426" s="1" t="str">
        <f>IF(OR($B426="",AC$7=""),"",IF($B426="MEANS",INDEX('1-DATA'!$1:$1048576,$A425-1,COLUMN('1-DATA'!AB424)),ROUND(INDEX('1-DATA'!$1:$1048576,IF(OR($B426="STD. DEVIATION",$C$1=1),$A426,$A426+1),COLUMN('1-DATA'!AB424)),IF($B426="STD. DEVIATION",2,$F$1))))</f>
        <v/>
      </c>
      <c r="AD426" s="1" t="str">
        <f>IF(OR($B426="",AD$7=""),"",IF($B426="MEANS",INDEX('1-DATA'!$1:$1048576,$A425-1,COLUMN('1-DATA'!AC424)),ROUND(INDEX('1-DATA'!$1:$1048576,IF(OR($B426="STD. DEVIATION",$C$1=1),$A426,$A426+1),COLUMN('1-DATA'!AC424)),IF($B426="STD. DEVIATION",2,$F$1))))</f>
        <v/>
      </c>
      <c r="AE426" s="1" t="str">
        <f>IF(OR($B426="",AE$7=""),"",IF($B426="MEANS",INDEX('1-DATA'!$1:$1048576,$A425-1,COLUMN('1-DATA'!AD424)),ROUND(INDEX('1-DATA'!$1:$1048576,IF(OR($B426="STD. DEVIATION",$C$1=1),$A426,$A426+1),COLUMN('1-DATA'!AD424)),IF($B426="STD. DEVIATION",2,$F$1))))</f>
        <v/>
      </c>
      <c r="AF426" s="1" t="str">
        <f>IF(OR($B426="",AF$7=""),"",IF($B426="MEANS",INDEX('1-DATA'!$1:$1048576,$A425-1,COLUMN('1-DATA'!AE424)),ROUND(INDEX('1-DATA'!$1:$1048576,IF(OR($B426="STD. DEVIATION",$C$1=1),$A426,$A426+1),COLUMN('1-DATA'!AE424)),IF($B426="STD. DEVIATION",2,$F$1))))</f>
        <v/>
      </c>
      <c r="AG426" s="1" t="str">
        <f>IF(OR($B426="",AG$7=""),"",IF($B426="MEANS",INDEX('1-DATA'!$1:$1048576,$A425-1,COLUMN('1-DATA'!AF424)),ROUND(INDEX('1-DATA'!$1:$1048576,IF(OR($B426="STD. DEVIATION",$C$1=1),$A426,$A426+1),COLUMN('1-DATA'!AF424)),IF($B426="STD. DEVIATION",2,$F$1))))</f>
        <v/>
      </c>
      <c r="AH426" s="1" t="str">
        <f>IF(OR($B426="",AH$7=""),"",IF($B426="MEANS",INDEX('1-DATA'!$1:$1048576,$A425-1,COLUMN('1-DATA'!AG424)),ROUND(INDEX('1-DATA'!$1:$1048576,IF(OR($B426="STD. DEVIATION",$C$1=1),$A426,$A426+1),COLUMN('1-DATA'!AG424)),IF($B426="STD. DEVIATION",2,$F$1))))</f>
        <v/>
      </c>
      <c r="AI426" s="1" t="str">
        <f>IF(OR($B426="",AI$7=""),"",IF($B426="MEANS",INDEX('1-DATA'!$1:$1048576,$A425-1,COLUMN('1-DATA'!AH424)),ROUND(INDEX('1-DATA'!$1:$1048576,IF(OR($B426="STD. DEVIATION",$C$1=1),$A426,$A426+1),COLUMN('1-DATA'!AH424)),IF($B426="STD. DEVIATION",2,$F$1))))</f>
        <v/>
      </c>
      <c r="AJ426" s="1" t="str">
        <f>IF(OR($B426="",AJ$7=""),"",IF($B426="MEANS",INDEX('1-DATA'!$1:$1048576,$A425-1,COLUMN('1-DATA'!AI424)),ROUND(INDEX('1-DATA'!$1:$1048576,IF(OR($B426="STD. DEVIATION",$C$1=1),$A426,$A426+1),COLUMN('1-DATA'!AI424)),IF($B426="STD. DEVIATION",2,$F$1))))</f>
        <v/>
      </c>
      <c r="AK426" s="1" t="str">
        <f>IF(OR($B426="",AK$7=""),"",IF($B426="MEANS",INDEX('1-DATA'!$1:$1048576,$A425-1,COLUMN('1-DATA'!AJ424)),ROUND(INDEX('1-DATA'!$1:$1048576,IF(OR($B426="STD. DEVIATION",$C$1=1),$A426,$A426+1),COLUMN('1-DATA'!AJ424)),IF($B426="STD. DEVIATION",2,$F$1))))</f>
        <v/>
      </c>
      <c r="AL426" s="1" t="str">
        <f>IF(OR($B426="",AL$7=""),"",IF($B426="MEANS",INDEX('1-DATA'!$1:$1048576,$A425-1,COLUMN('1-DATA'!AK424)),ROUND(INDEX('1-DATA'!$1:$1048576,IF(OR($B426="STD. DEVIATION",$C$1=1),$A426,$A426+1),COLUMN('1-DATA'!AK424)),IF($B426="STD. DEVIATION",2,$F$1))))</f>
        <v/>
      </c>
      <c r="AM426" s="1" t="str">
        <f>IF(OR($B426="",AM$7=""),"",IF($B426="MEANS",INDEX('1-DATA'!$1:$1048576,$A425-1,COLUMN('1-DATA'!AL424)),ROUND(INDEX('1-DATA'!$1:$1048576,IF(OR($B426="STD. DEVIATION",$C$1=1),$A426,$A426+1),COLUMN('1-DATA'!AL424)),IF($B426="STD. DEVIATION",2,$F$1))))</f>
        <v/>
      </c>
      <c r="AN426" s="1" t="str">
        <f>IF(OR($B426="",AN$7=""),"",IF($B426="MEANS",INDEX('1-DATA'!$1:$1048576,$A425-1,COLUMN('1-DATA'!AM424)),ROUND(INDEX('1-DATA'!$1:$1048576,IF(OR($B426="STD. DEVIATION",$C$1=1),$A426,$A426+1),COLUMN('1-DATA'!AM424)),IF($B426="STD. DEVIATION",2,$F$1))))</f>
        <v/>
      </c>
      <c r="AO426" s="1" t="str">
        <f>IF(OR($B426="",AO$7=""),"",IF($B426="MEANS",INDEX('1-DATA'!$1:$1048576,$A425-1,COLUMN('1-DATA'!AN424)),ROUND(INDEX('1-DATA'!$1:$1048576,IF(OR($B426="STD. DEVIATION",$C$1=1),$A426,$A426+1),COLUMN('1-DATA'!AN424)),IF($B426="STD. DEVIATION",2,$F$1))))</f>
        <v/>
      </c>
      <c r="AP426" s="1" t="str">
        <f>IF(OR($B426="",AP$7=""),"",IF($B426="MEANS",INDEX('1-DATA'!$1:$1048576,$A425-1,COLUMN('1-DATA'!AO424)),ROUND(INDEX('1-DATA'!$1:$1048576,IF(OR($B426="STD. DEVIATION",$C$1=1),$A426,$A426+1),COLUMN('1-DATA'!AO424)),IF($B426="STD. DEVIATION",2,$F$1))))</f>
        <v/>
      </c>
      <c r="AQ426" s="1" t="str">
        <f>IF(OR($B426="",AQ$7=""),"",IF($B426="MEANS",INDEX('1-DATA'!$1:$1048576,$A425-1,COLUMN('1-DATA'!AP424)),ROUND(INDEX('1-DATA'!$1:$1048576,IF(OR($B426="STD. DEVIATION",$C$1=1),$A426,$A426+1),COLUMN('1-DATA'!AP424)),IF($B426="STD. DEVIATION",2,$F$1))))</f>
        <v/>
      </c>
      <c r="AR426" s="1" t="str">
        <f>IF(OR($B426="",AR$7=""),"",IF($B426="MEANS",INDEX('1-DATA'!$1:$1048576,$A425-1,COLUMN('1-DATA'!AQ424)),ROUND(INDEX('1-DATA'!$1:$1048576,IF(OR($B426="STD. DEVIATION",$C$1=1),$A426,$A426+1),COLUMN('1-DATA'!AQ424)),IF($B426="STD. DEVIATION",2,$F$1))))</f>
        <v/>
      </c>
      <c r="AS426" s="1" t="str">
        <f>IF(OR($B426="",AS$7=""),"",IF($B426="MEANS",INDEX('1-DATA'!$1:$1048576,$A425-1,COLUMN('1-DATA'!AR424)),ROUND(INDEX('1-DATA'!$1:$1048576,IF(OR($B426="STD. DEVIATION",$C$1=1),$A426,$A426+1),COLUMN('1-DATA'!AR424)),IF($B426="STD. DEVIATION",2,$F$1))))</f>
        <v/>
      </c>
      <c r="AT426" s="1" t="str">
        <f>IF(OR($B426="",AT$7=""),"",IF($B426="MEANS",INDEX('1-DATA'!$1:$1048576,$A425-1,COLUMN('1-DATA'!AS424)),ROUND(INDEX('1-DATA'!$1:$1048576,IF(OR($B426="STD. DEVIATION",$C$1=1),$A426,$A426+1),COLUMN('1-DATA'!AS424)),IF($B426="STD. DEVIATION",2,$F$1))))</f>
        <v/>
      </c>
      <c r="AU426" s="1" t="str">
        <f>IF(OR($B426="",AU$7=""),"",IF($B426="MEANS",INDEX('1-DATA'!$1:$1048576,$A425-1,COLUMN('1-DATA'!AT424)),ROUND(INDEX('1-DATA'!$1:$1048576,IF(OR($B426="STD. DEVIATION",$C$1=1),$A426,$A426+1),COLUMN('1-DATA'!AT424)),IF($B426="STD. DEVIATION",2,$F$1))))</f>
        <v/>
      </c>
      <c r="AV426" s="1" t="str">
        <f>IF(OR($B426="",AV$7=""),"",IF($B426="MEANS",INDEX('1-DATA'!$1:$1048576,$A425-1,COLUMN('1-DATA'!AU424)),ROUND(INDEX('1-DATA'!$1:$1048576,IF(OR($B426="STD. DEVIATION",$C$1=1),$A426,$A426+1),COLUMN('1-DATA'!AU424)),IF($B426="STD. DEVIATION",2,$F$1))))</f>
        <v/>
      </c>
      <c r="AW426" s="1" t="str">
        <f>IF(OR($B426="",AW$7=""),"",IF($B426="MEANS",INDEX('1-DATA'!$1:$1048576,$A425-1,COLUMN('1-DATA'!AV424)),ROUND(INDEX('1-DATA'!$1:$1048576,IF(OR($B426="STD. DEVIATION",$C$1=1),$A426,$A426+1),COLUMN('1-DATA'!AV424)),IF($B426="STD. DEVIATION",2,$F$1))))</f>
        <v/>
      </c>
      <c r="AX426" s="1" t="str">
        <f>IF(OR($B426="",AX$7=""),"",IF($B426="MEANS",INDEX('1-DATA'!$1:$1048576,$A425-1,COLUMN('1-DATA'!AW424)),ROUND(INDEX('1-DATA'!$1:$1048576,IF(OR($B426="STD. DEVIATION",$C$1=1),$A426,$A426+1),COLUMN('1-DATA'!AW424)),IF($B426="STD. DEVIATION",2,$F$1))))</f>
        <v/>
      </c>
      <c r="AY426" s="1" t="str">
        <f>IF(OR($B426="",AY$7=""),"",IF($B426="MEANS",INDEX('1-DATA'!$1:$1048576,$A425-1,COLUMN('1-DATA'!AX424)),ROUND(INDEX('1-DATA'!$1:$1048576,IF(OR($B426="STD. DEVIATION",$C$1=1),$A426,$A426+1),COLUMN('1-DATA'!AX424)),IF($B426="STD. DEVIATION",2,$F$1))))</f>
        <v/>
      </c>
      <c r="AZ426" s="1" t="str">
        <f>IF(OR($B426="",AZ$7=""),"",IF($B426="MEANS",INDEX('1-DATA'!$1:$1048576,$A425-1,COLUMN('1-DATA'!AY424)),ROUND(INDEX('1-DATA'!$1:$1048576,IF(OR($B426="STD. DEVIATION",$C$1=1),$A426,$A426+1),COLUMN('1-DATA'!AY424)),IF($B426="STD. DEVIATION",2,$F$1))))</f>
        <v/>
      </c>
    </row>
    <row r="427" spans="1:52" x14ac:dyDescent="0.25">
      <c r="A427" s="11">
        <f t="shared" si="7"/>
        <v>1267</v>
      </c>
      <c r="B427" s="1" t="str">
        <f>IF(B426="STD. DEVIATION",INDEX('1-DATA'!$1:$1048576,$A426-1,1),IF(INDEX('1-DATA'!$1:$1048576,$A427,1)&lt;&gt;"",INDEX('1-DATA'!$1:$1048576,$A427,1),""))</f>
        <v/>
      </c>
      <c r="C427" s="1" t="str">
        <f>IF(OR($B427="",C$7=""),"",IF($B427="MEANS",INDEX('1-DATA'!$1:$1048576,$A426-1,COLUMN('1-DATA'!B425)),ROUND(INDEX('1-DATA'!$1:$1048576,IF(OR($B427="STD. DEVIATION",$C$1=1),$A427,$A427+1),COLUMN('1-DATA'!B425)),IF($B427="STD. DEVIATION",2,$F$1))))</f>
        <v/>
      </c>
      <c r="D427" s="1" t="str">
        <f>IF(OR($B427="",D$7=""),"",IF($B427="MEANS",INDEX('1-DATA'!$1:$1048576,$A426-1,COLUMN('1-DATA'!C425)),ROUND(INDEX('1-DATA'!$1:$1048576,IF(OR($B427="STD. DEVIATION",$C$1=1),$A427,$A427+1),COLUMN('1-DATA'!C425)),IF($B427="STD. DEVIATION",2,$F$1))))</f>
        <v/>
      </c>
      <c r="E427" s="1" t="str">
        <f>IF(OR($B427="",E$7=""),"",IF($B427="MEANS",INDEX('1-DATA'!$1:$1048576,$A426-1,COLUMN('1-DATA'!D425)),ROUND(INDEX('1-DATA'!$1:$1048576,IF(OR($B427="STD. DEVIATION",$C$1=1),$A427,$A427+1),COLUMN('1-DATA'!D425)),IF($B427="STD. DEVIATION",2,$F$1))))</f>
        <v/>
      </c>
      <c r="F427" s="1" t="str">
        <f>IF(OR($B427="",F$7=""),"",IF($B427="MEANS",INDEX('1-DATA'!$1:$1048576,$A426-1,COLUMN('1-DATA'!E425)),ROUND(INDEX('1-DATA'!$1:$1048576,IF(OR($B427="STD. DEVIATION",$C$1=1),$A427,$A427+1),COLUMN('1-DATA'!E425)),IF($B427="STD. DEVIATION",2,$F$1))))</f>
        <v/>
      </c>
      <c r="G427" s="1" t="str">
        <f>IF(OR($B427="",G$7=""),"",IF($B427="MEANS",INDEX('1-DATA'!$1:$1048576,$A426-1,COLUMN('1-DATA'!F425)),ROUND(INDEX('1-DATA'!$1:$1048576,IF(OR($B427="STD. DEVIATION",$C$1=1),$A427,$A427+1),COLUMN('1-DATA'!F425)),IF($B427="STD. DEVIATION",2,$F$1))))</f>
        <v/>
      </c>
      <c r="H427" s="1" t="str">
        <f>IF(OR($B427="",H$7=""),"",IF($B427="MEANS",INDEX('1-DATA'!$1:$1048576,$A426-1,COLUMN('1-DATA'!G425)),ROUND(INDEX('1-DATA'!$1:$1048576,IF(OR($B427="STD. DEVIATION",$C$1=1),$A427,$A427+1),COLUMN('1-DATA'!G425)),IF($B427="STD. DEVIATION",2,$F$1))))</f>
        <v/>
      </c>
      <c r="I427" s="1" t="str">
        <f>IF(OR($B427="",I$7=""),"",IF($B427="MEANS",INDEX('1-DATA'!$1:$1048576,$A426-1,COLUMN('1-DATA'!H425)),ROUND(INDEX('1-DATA'!$1:$1048576,IF(OR($B427="STD. DEVIATION",$C$1=1),$A427,$A427+1),COLUMN('1-DATA'!H425)),IF($B427="STD. DEVIATION",2,$F$1))))</f>
        <v/>
      </c>
      <c r="J427" s="1" t="str">
        <f>IF(OR($B427="",J$7=""),"",IF($B427="MEANS",INDEX('1-DATA'!$1:$1048576,$A426-1,COLUMN('1-DATA'!I425)),ROUND(INDEX('1-DATA'!$1:$1048576,IF(OR($B427="STD. DEVIATION",$C$1=1),$A427,$A427+1),COLUMN('1-DATA'!I425)),IF($B427="STD. DEVIATION",2,$F$1))))</f>
        <v/>
      </c>
      <c r="K427" s="1" t="str">
        <f>IF(OR($B427="",K$7=""),"",IF($B427="MEANS",INDEX('1-DATA'!$1:$1048576,$A426-1,COLUMN('1-DATA'!J425)),ROUND(INDEX('1-DATA'!$1:$1048576,IF(OR($B427="STD. DEVIATION",$C$1=1),$A427,$A427+1),COLUMN('1-DATA'!J425)),IF($B427="STD. DEVIATION",2,$F$1))))</f>
        <v/>
      </c>
      <c r="L427" s="1" t="str">
        <f>IF(OR($B427="",L$7=""),"",IF($B427="MEANS",INDEX('1-DATA'!$1:$1048576,$A426-1,COLUMN('1-DATA'!K425)),ROUND(INDEX('1-DATA'!$1:$1048576,IF(OR($B427="STD. DEVIATION",$C$1=1),$A427,$A427+1),COLUMN('1-DATA'!K425)),IF($B427="STD. DEVIATION",2,$F$1))))</f>
        <v/>
      </c>
      <c r="M427" s="1" t="str">
        <f>IF(OR($B427="",M$7=""),"",IF($B427="MEANS",INDEX('1-DATA'!$1:$1048576,$A426-1,COLUMN('1-DATA'!L425)),ROUND(INDEX('1-DATA'!$1:$1048576,IF(OR($B427="STD. DEVIATION",$C$1=1),$A427,$A427+1),COLUMN('1-DATA'!L425)),IF($B427="STD. DEVIATION",2,$F$1))))</f>
        <v/>
      </c>
      <c r="N427" s="1" t="str">
        <f>IF(OR($B427="",N$7=""),"",IF($B427="MEANS",INDEX('1-DATA'!$1:$1048576,$A426-1,COLUMN('1-DATA'!M425)),ROUND(INDEX('1-DATA'!$1:$1048576,IF(OR($B427="STD. DEVIATION",$C$1=1),$A427,$A427+1),COLUMN('1-DATA'!M425)),IF($B427="STD. DEVIATION",2,$F$1))))</f>
        <v/>
      </c>
      <c r="O427" s="1" t="str">
        <f>IF(OR($B427="",O$7=""),"",IF($B427="MEANS",INDEX('1-DATA'!$1:$1048576,$A426-1,COLUMN('1-DATA'!N425)),ROUND(INDEX('1-DATA'!$1:$1048576,IF(OR($B427="STD. DEVIATION",$C$1=1),$A427,$A427+1),COLUMN('1-DATA'!N425)),IF($B427="STD. DEVIATION",2,$F$1))))</f>
        <v/>
      </c>
      <c r="P427" s="1" t="str">
        <f>IF(OR($B427="",P$7=""),"",IF($B427="MEANS",INDEX('1-DATA'!$1:$1048576,$A426-1,COLUMN('1-DATA'!O425)),ROUND(INDEX('1-DATA'!$1:$1048576,IF(OR($B427="STD. DEVIATION",$C$1=1),$A427,$A427+1),COLUMN('1-DATA'!O425)),IF($B427="STD. DEVIATION",2,$F$1))))</f>
        <v/>
      </c>
      <c r="Q427" s="1" t="str">
        <f>IF(OR($B427="",Q$7=""),"",IF($B427="MEANS",INDEX('1-DATA'!$1:$1048576,$A426-1,COLUMN('1-DATA'!P425)),ROUND(INDEX('1-DATA'!$1:$1048576,IF(OR($B427="STD. DEVIATION",$C$1=1),$A427,$A427+1),COLUMN('1-DATA'!P425)),IF($B427="STD. DEVIATION",2,$F$1))))</f>
        <v/>
      </c>
      <c r="R427" s="1" t="str">
        <f>IF(OR($B427="",R$7=""),"",IF($B427="MEANS",INDEX('1-DATA'!$1:$1048576,$A426-1,COLUMN('1-DATA'!Q425)),ROUND(INDEX('1-DATA'!$1:$1048576,IF(OR($B427="STD. DEVIATION",$C$1=1),$A427,$A427+1),COLUMN('1-DATA'!Q425)),IF($B427="STD. DEVIATION",2,$F$1))))</f>
        <v/>
      </c>
      <c r="S427" s="1" t="str">
        <f>IF(OR($B427="",S$7=""),"",IF($B427="MEANS",INDEX('1-DATA'!$1:$1048576,$A426-1,COLUMN('1-DATA'!R425)),ROUND(INDEX('1-DATA'!$1:$1048576,IF(OR($B427="STD. DEVIATION",$C$1=1),$A427,$A427+1),COLUMN('1-DATA'!R425)),IF($B427="STD. DEVIATION",2,$F$1))))</f>
        <v/>
      </c>
      <c r="T427" s="1" t="str">
        <f>IF(OR($B427="",T$7=""),"",IF($B427="MEANS",INDEX('1-DATA'!$1:$1048576,$A426-1,COLUMN('1-DATA'!S425)),ROUND(INDEX('1-DATA'!$1:$1048576,IF(OR($B427="STD. DEVIATION",$C$1=1),$A427,$A427+1),COLUMN('1-DATA'!S425)),IF($B427="STD. DEVIATION",2,$F$1))))</f>
        <v/>
      </c>
      <c r="U427" s="1" t="str">
        <f>IF(OR($B427="",U$7=""),"",IF($B427="MEANS",INDEX('1-DATA'!$1:$1048576,$A426-1,COLUMN('1-DATA'!T425)),ROUND(INDEX('1-DATA'!$1:$1048576,IF(OR($B427="STD. DEVIATION",$C$1=1),$A427,$A427+1),COLUMN('1-DATA'!T425)),IF($B427="STD. DEVIATION",2,$F$1))))</f>
        <v/>
      </c>
      <c r="V427" s="1" t="str">
        <f>IF(OR($B427="",V$7=""),"",IF($B427="MEANS",INDEX('1-DATA'!$1:$1048576,$A426-1,COLUMN('1-DATA'!U425)),ROUND(INDEX('1-DATA'!$1:$1048576,IF(OR($B427="STD. DEVIATION",$C$1=1),$A427,$A427+1),COLUMN('1-DATA'!U425)),IF($B427="STD. DEVIATION",2,$F$1))))</f>
        <v/>
      </c>
      <c r="W427" s="1" t="str">
        <f>IF(OR($B427="",W$7=""),"",IF($B427="MEANS",INDEX('1-DATA'!$1:$1048576,$A426-1,COLUMN('1-DATA'!V425)),ROUND(INDEX('1-DATA'!$1:$1048576,IF(OR($B427="STD. DEVIATION",$C$1=1),$A427,$A427+1),COLUMN('1-DATA'!V425)),IF($B427="STD. DEVIATION",2,$F$1))))</f>
        <v/>
      </c>
      <c r="X427" s="1" t="str">
        <f>IF(OR($B427="",X$7=""),"",IF($B427="MEANS",INDEX('1-DATA'!$1:$1048576,$A426-1,COLUMN('1-DATA'!W425)),ROUND(INDEX('1-DATA'!$1:$1048576,IF(OR($B427="STD. DEVIATION",$C$1=1),$A427,$A427+1),COLUMN('1-DATA'!W425)),IF($B427="STD. DEVIATION",2,$F$1))))</f>
        <v/>
      </c>
      <c r="Y427" s="1" t="str">
        <f>IF(OR($B427="",Y$7=""),"",IF($B427="MEANS",INDEX('1-DATA'!$1:$1048576,$A426-1,COLUMN('1-DATA'!X425)),ROUND(INDEX('1-DATA'!$1:$1048576,IF(OR($B427="STD. DEVIATION",$C$1=1),$A427,$A427+1),COLUMN('1-DATA'!X425)),IF($B427="STD. DEVIATION",2,$F$1))))</f>
        <v/>
      </c>
      <c r="Z427" s="1" t="str">
        <f>IF(OR($B427="",Z$7=""),"",IF($B427="MEANS",INDEX('1-DATA'!$1:$1048576,$A426-1,COLUMN('1-DATA'!Y425)),ROUND(INDEX('1-DATA'!$1:$1048576,IF(OR($B427="STD. DEVIATION",$C$1=1),$A427,$A427+1),COLUMN('1-DATA'!Y425)),IF($B427="STD. DEVIATION",2,$F$1))))</f>
        <v/>
      </c>
      <c r="AA427" s="1" t="str">
        <f>IF(OR($B427="",AA$7=""),"",IF($B427="MEANS",INDEX('1-DATA'!$1:$1048576,$A426-1,COLUMN('1-DATA'!Z425)),ROUND(INDEX('1-DATA'!$1:$1048576,IF(OR($B427="STD. DEVIATION",$C$1=1),$A427,$A427+1),COLUMN('1-DATA'!Z425)),IF($B427="STD. DEVIATION",2,$F$1))))</f>
        <v/>
      </c>
      <c r="AB427" s="1" t="str">
        <f>IF(OR($B427="",AB$7=""),"",IF($B427="MEANS",INDEX('1-DATA'!$1:$1048576,$A426-1,COLUMN('1-DATA'!AA425)),ROUND(INDEX('1-DATA'!$1:$1048576,IF(OR($B427="STD. DEVIATION",$C$1=1),$A427,$A427+1),COLUMN('1-DATA'!AA425)),IF($B427="STD. DEVIATION",2,$F$1))))</f>
        <v/>
      </c>
      <c r="AC427" s="1" t="str">
        <f>IF(OR($B427="",AC$7=""),"",IF($B427="MEANS",INDEX('1-DATA'!$1:$1048576,$A426-1,COLUMN('1-DATA'!AB425)),ROUND(INDEX('1-DATA'!$1:$1048576,IF(OR($B427="STD. DEVIATION",$C$1=1),$A427,$A427+1),COLUMN('1-DATA'!AB425)),IF($B427="STD. DEVIATION",2,$F$1))))</f>
        <v/>
      </c>
      <c r="AD427" s="1" t="str">
        <f>IF(OR($B427="",AD$7=""),"",IF($B427="MEANS",INDEX('1-DATA'!$1:$1048576,$A426-1,COLUMN('1-DATA'!AC425)),ROUND(INDEX('1-DATA'!$1:$1048576,IF(OR($B427="STD. DEVIATION",$C$1=1),$A427,$A427+1),COLUMN('1-DATA'!AC425)),IF($B427="STD. DEVIATION",2,$F$1))))</f>
        <v/>
      </c>
      <c r="AE427" s="1" t="str">
        <f>IF(OR($B427="",AE$7=""),"",IF($B427="MEANS",INDEX('1-DATA'!$1:$1048576,$A426-1,COLUMN('1-DATA'!AD425)),ROUND(INDEX('1-DATA'!$1:$1048576,IF(OR($B427="STD. DEVIATION",$C$1=1),$A427,$A427+1),COLUMN('1-DATA'!AD425)),IF($B427="STD. DEVIATION",2,$F$1))))</f>
        <v/>
      </c>
      <c r="AF427" s="1" t="str">
        <f>IF(OR($B427="",AF$7=""),"",IF($B427="MEANS",INDEX('1-DATA'!$1:$1048576,$A426-1,COLUMN('1-DATA'!AE425)),ROUND(INDEX('1-DATA'!$1:$1048576,IF(OR($B427="STD. DEVIATION",$C$1=1),$A427,$A427+1),COLUMN('1-DATA'!AE425)),IF($B427="STD. DEVIATION",2,$F$1))))</f>
        <v/>
      </c>
      <c r="AG427" s="1" t="str">
        <f>IF(OR($B427="",AG$7=""),"",IF($B427="MEANS",INDEX('1-DATA'!$1:$1048576,$A426-1,COLUMN('1-DATA'!AF425)),ROUND(INDEX('1-DATA'!$1:$1048576,IF(OR($B427="STD. DEVIATION",$C$1=1),$A427,$A427+1),COLUMN('1-DATA'!AF425)),IF($B427="STD. DEVIATION",2,$F$1))))</f>
        <v/>
      </c>
      <c r="AH427" s="1" t="str">
        <f>IF(OR($B427="",AH$7=""),"",IF($B427="MEANS",INDEX('1-DATA'!$1:$1048576,$A426-1,COLUMN('1-DATA'!AG425)),ROUND(INDEX('1-DATA'!$1:$1048576,IF(OR($B427="STD. DEVIATION",$C$1=1),$A427,$A427+1),COLUMN('1-DATA'!AG425)),IF($B427="STD. DEVIATION",2,$F$1))))</f>
        <v/>
      </c>
      <c r="AI427" s="1" t="str">
        <f>IF(OR($B427="",AI$7=""),"",IF($B427="MEANS",INDEX('1-DATA'!$1:$1048576,$A426-1,COLUMN('1-DATA'!AH425)),ROUND(INDEX('1-DATA'!$1:$1048576,IF(OR($B427="STD. DEVIATION",$C$1=1),$A427,$A427+1),COLUMN('1-DATA'!AH425)),IF($B427="STD. DEVIATION",2,$F$1))))</f>
        <v/>
      </c>
      <c r="AJ427" s="1" t="str">
        <f>IF(OR($B427="",AJ$7=""),"",IF($B427="MEANS",INDEX('1-DATA'!$1:$1048576,$A426-1,COLUMN('1-DATA'!AI425)),ROUND(INDEX('1-DATA'!$1:$1048576,IF(OR($B427="STD. DEVIATION",$C$1=1),$A427,$A427+1),COLUMN('1-DATA'!AI425)),IF($B427="STD. DEVIATION",2,$F$1))))</f>
        <v/>
      </c>
      <c r="AK427" s="1" t="str">
        <f>IF(OR($B427="",AK$7=""),"",IF($B427="MEANS",INDEX('1-DATA'!$1:$1048576,$A426-1,COLUMN('1-DATA'!AJ425)),ROUND(INDEX('1-DATA'!$1:$1048576,IF(OR($B427="STD. DEVIATION",$C$1=1),$A427,$A427+1),COLUMN('1-DATA'!AJ425)),IF($B427="STD. DEVIATION",2,$F$1))))</f>
        <v/>
      </c>
      <c r="AL427" s="1" t="str">
        <f>IF(OR($B427="",AL$7=""),"",IF($B427="MEANS",INDEX('1-DATA'!$1:$1048576,$A426-1,COLUMN('1-DATA'!AK425)),ROUND(INDEX('1-DATA'!$1:$1048576,IF(OR($B427="STD. DEVIATION",$C$1=1),$A427,$A427+1),COLUMN('1-DATA'!AK425)),IF($B427="STD. DEVIATION",2,$F$1))))</f>
        <v/>
      </c>
      <c r="AM427" s="1" t="str">
        <f>IF(OR($B427="",AM$7=""),"",IF($B427="MEANS",INDEX('1-DATA'!$1:$1048576,$A426-1,COLUMN('1-DATA'!AL425)),ROUND(INDEX('1-DATA'!$1:$1048576,IF(OR($B427="STD. DEVIATION",$C$1=1),$A427,$A427+1),COLUMN('1-DATA'!AL425)),IF($B427="STD. DEVIATION",2,$F$1))))</f>
        <v/>
      </c>
      <c r="AN427" s="1" t="str">
        <f>IF(OR($B427="",AN$7=""),"",IF($B427="MEANS",INDEX('1-DATA'!$1:$1048576,$A426-1,COLUMN('1-DATA'!AM425)),ROUND(INDEX('1-DATA'!$1:$1048576,IF(OR($B427="STD. DEVIATION",$C$1=1),$A427,$A427+1),COLUMN('1-DATA'!AM425)),IF($B427="STD. DEVIATION",2,$F$1))))</f>
        <v/>
      </c>
      <c r="AO427" s="1" t="str">
        <f>IF(OR($B427="",AO$7=""),"",IF($B427="MEANS",INDEX('1-DATA'!$1:$1048576,$A426-1,COLUMN('1-DATA'!AN425)),ROUND(INDEX('1-DATA'!$1:$1048576,IF(OR($B427="STD. DEVIATION",$C$1=1),$A427,$A427+1),COLUMN('1-DATA'!AN425)),IF($B427="STD. DEVIATION",2,$F$1))))</f>
        <v/>
      </c>
      <c r="AP427" s="1" t="str">
        <f>IF(OR($B427="",AP$7=""),"",IF($B427="MEANS",INDEX('1-DATA'!$1:$1048576,$A426-1,COLUMN('1-DATA'!AO425)),ROUND(INDEX('1-DATA'!$1:$1048576,IF(OR($B427="STD. DEVIATION",$C$1=1),$A427,$A427+1),COLUMN('1-DATA'!AO425)),IF($B427="STD. DEVIATION",2,$F$1))))</f>
        <v/>
      </c>
      <c r="AQ427" s="1" t="str">
        <f>IF(OR($B427="",AQ$7=""),"",IF($B427="MEANS",INDEX('1-DATA'!$1:$1048576,$A426-1,COLUMN('1-DATA'!AP425)),ROUND(INDEX('1-DATA'!$1:$1048576,IF(OR($B427="STD. DEVIATION",$C$1=1),$A427,$A427+1),COLUMN('1-DATA'!AP425)),IF($B427="STD. DEVIATION",2,$F$1))))</f>
        <v/>
      </c>
      <c r="AR427" s="1" t="str">
        <f>IF(OR($B427="",AR$7=""),"",IF($B427="MEANS",INDEX('1-DATA'!$1:$1048576,$A426-1,COLUMN('1-DATA'!AQ425)),ROUND(INDEX('1-DATA'!$1:$1048576,IF(OR($B427="STD. DEVIATION",$C$1=1),$A427,$A427+1),COLUMN('1-DATA'!AQ425)),IF($B427="STD. DEVIATION",2,$F$1))))</f>
        <v/>
      </c>
      <c r="AS427" s="1" t="str">
        <f>IF(OR($B427="",AS$7=""),"",IF($B427="MEANS",INDEX('1-DATA'!$1:$1048576,$A426-1,COLUMN('1-DATA'!AR425)),ROUND(INDEX('1-DATA'!$1:$1048576,IF(OR($B427="STD. DEVIATION",$C$1=1),$A427,$A427+1),COLUMN('1-DATA'!AR425)),IF($B427="STD. DEVIATION",2,$F$1))))</f>
        <v/>
      </c>
      <c r="AT427" s="1" t="str">
        <f>IF(OR($B427="",AT$7=""),"",IF($B427="MEANS",INDEX('1-DATA'!$1:$1048576,$A426-1,COLUMN('1-DATA'!AS425)),ROUND(INDEX('1-DATA'!$1:$1048576,IF(OR($B427="STD. DEVIATION",$C$1=1),$A427,$A427+1),COLUMN('1-DATA'!AS425)),IF($B427="STD. DEVIATION",2,$F$1))))</f>
        <v/>
      </c>
      <c r="AU427" s="1" t="str">
        <f>IF(OR($B427="",AU$7=""),"",IF($B427="MEANS",INDEX('1-DATA'!$1:$1048576,$A426-1,COLUMN('1-DATA'!AT425)),ROUND(INDEX('1-DATA'!$1:$1048576,IF(OR($B427="STD. DEVIATION",$C$1=1),$A427,$A427+1),COLUMN('1-DATA'!AT425)),IF($B427="STD. DEVIATION",2,$F$1))))</f>
        <v/>
      </c>
      <c r="AV427" s="1" t="str">
        <f>IF(OR($B427="",AV$7=""),"",IF($B427="MEANS",INDEX('1-DATA'!$1:$1048576,$A426-1,COLUMN('1-DATA'!AU425)),ROUND(INDEX('1-DATA'!$1:$1048576,IF(OR($B427="STD. DEVIATION",$C$1=1),$A427,$A427+1),COLUMN('1-DATA'!AU425)),IF($B427="STD. DEVIATION",2,$F$1))))</f>
        <v/>
      </c>
      <c r="AW427" s="1" t="str">
        <f>IF(OR($B427="",AW$7=""),"",IF($B427="MEANS",INDEX('1-DATA'!$1:$1048576,$A426-1,COLUMN('1-DATA'!AV425)),ROUND(INDEX('1-DATA'!$1:$1048576,IF(OR($B427="STD. DEVIATION",$C$1=1),$A427,$A427+1),COLUMN('1-DATA'!AV425)),IF($B427="STD. DEVIATION",2,$F$1))))</f>
        <v/>
      </c>
      <c r="AX427" s="1" t="str">
        <f>IF(OR($B427="",AX$7=""),"",IF($B427="MEANS",INDEX('1-DATA'!$1:$1048576,$A426-1,COLUMN('1-DATA'!AW425)),ROUND(INDEX('1-DATA'!$1:$1048576,IF(OR($B427="STD. DEVIATION",$C$1=1),$A427,$A427+1),COLUMN('1-DATA'!AW425)),IF($B427="STD. DEVIATION",2,$F$1))))</f>
        <v/>
      </c>
      <c r="AY427" s="1" t="str">
        <f>IF(OR($B427="",AY$7=""),"",IF($B427="MEANS",INDEX('1-DATA'!$1:$1048576,$A426-1,COLUMN('1-DATA'!AX425)),ROUND(INDEX('1-DATA'!$1:$1048576,IF(OR($B427="STD. DEVIATION",$C$1=1),$A427,$A427+1),COLUMN('1-DATA'!AX425)),IF($B427="STD. DEVIATION",2,$F$1))))</f>
        <v/>
      </c>
      <c r="AZ427" s="1" t="str">
        <f>IF(OR($B427="",AZ$7=""),"",IF($B427="MEANS",INDEX('1-DATA'!$1:$1048576,$A426-1,COLUMN('1-DATA'!AY425)),ROUND(INDEX('1-DATA'!$1:$1048576,IF(OR($B427="STD. DEVIATION",$C$1=1),$A427,$A427+1),COLUMN('1-DATA'!AY425)),IF($B427="STD. DEVIATION",2,$F$1))))</f>
        <v/>
      </c>
    </row>
    <row r="428" spans="1:52" x14ac:dyDescent="0.25">
      <c r="A428" s="11">
        <f t="shared" si="7"/>
        <v>1270</v>
      </c>
      <c r="B428" s="1" t="str">
        <f>IF(B427="STD. DEVIATION",INDEX('1-DATA'!$1:$1048576,$A427-1,1),IF(INDEX('1-DATA'!$1:$1048576,$A428,1)&lt;&gt;"",INDEX('1-DATA'!$1:$1048576,$A428,1),""))</f>
        <v/>
      </c>
      <c r="C428" s="1" t="str">
        <f>IF(OR($B428="",C$7=""),"",IF($B428="MEANS",INDEX('1-DATA'!$1:$1048576,$A427-1,COLUMN('1-DATA'!B426)),ROUND(INDEX('1-DATA'!$1:$1048576,IF(OR($B428="STD. DEVIATION",$C$1=1),$A428,$A428+1),COLUMN('1-DATA'!B426)),IF($B428="STD. DEVIATION",2,$F$1))))</f>
        <v/>
      </c>
      <c r="D428" s="1" t="str">
        <f>IF(OR($B428="",D$7=""),"",IF($B428="MEANS",INDEX('1-DATA'!$1:$1048576,$A427-1,COLUMN('1-DATA'!C426)),ROUND(INDEX('1-DATA'!$1:$1048576,IF(OR($B428="STD. DEVIATION",$C$1=1),$A428,$A428+1),COLUMN('1-DATA'!C426)),IF($B428="STD. DEVIATION",2,$F$1))))</f>
        <v/>
      </c>
      <c r="E428" s="1" t="str">
        <f>IF(OR($B428="",E$7=""),"",IF($B428="MEANS",INDEX('1-DATA'!$1:$1048576,$A427-1,COLUMN('1-DATA'!D426)),ROUND(INDEX('1-DATA'!$1:$1048576,IF(OR($B428="STD. DEVIATION",$C$1=1),$A428,$A428+1),COLUMN('1-DATA'!D426)),IF($B428="STD. DEVIATION",2,$F$1))))</f>
        <v/>
      </c>
      <c r="F428" s="1" t="str">
        <f>IF(OR($B428="",F$7=""),"",IF($B428="MEANS",INDEX('1-DATA'!$1:$1048576,$A427-1,COLUMN('1-DATA'!E426)),ROUND(INDEX('1-DATA'!$1:$1048576,IF(OR($B428="STD. DEVIATION",$C$1=1),$A428,$A428+1),COLUMN('1-DATA'!E426)),IF($B428="STD. DEVIATION",2,$F$1))))</f>
        <v/>
      </c>
      <c r="G428" s="1" t="str">
        <f>IF(OR($B428="",G$7=""),"",IF($B428="MEANS",INDEX('1-DATA'!$1:$1048576,$A427-1,COLUMN('1-DATA'!F426)),ROUND(INDEX('1-DATA'!$1:$1048576,IF(OR($B428="STD. DEVIATION",$C$1=1),$A428,$A428+1),COLUMN('1-DATA'!F426)),IF($B428="STD. DEVIATION",2,$F$1))))</f>
        <v/>
      </c>
      <c r="H428" s="1" t="str">
        <f>IF(OR($B428="",H$7=""),"",IF($B428="MEANS",INDEX('1-DATA'!$1:$1048576,$A427-1,COLUMN('1-DATA'!G426)),ROUND(INDEX('1-DATA'!$1:$1048576,IF(OR($B428="STD. DEVIATION",$C$1=1),$A428,$A428+1),COLUMN('1-DATA'!G426)),IF($B428="STD. DEVIATION",2,$F$1))))</f>
        <v/>
      </c>
      <c r="I428" s="1" t="str">
        <f>IF(OR($B428="",I$7=""),"",IF($B428="MEANS",INDEX('1-DATA'!$1:$1048576,$A427-1,COLUMN('1-DATA'!H426)),ROUND(INDEX('1-DATA'!$1:$1048576,IF(OR($B428="STD. DEVIATION",$C$1=1),$A428,$A428+1),COLUMN('1-DATA'!H426)),IF($B428="STD. DEVIATION",2,$F$1))))</f>
        <v/>
      </c>
      <c r="J428" s="1" t="str">
        <f>IF(OR($B428="",J$7=""),"",IF($B428="MEANS",INDEX('1-DATA'!$1:$1048576,$A427-1,COLUMN('1-DATA'!I426)),ROUND(INDEX('1-DATA'!$1:$1048576,IF(OR($B428="STD. DEVIATION",$C$1=1),$A428,$A428+1),COLUMN('1-DATA'!I426)),IF($B428="STD. DEVIATION",2,$F$1))))</f>
        <v/>
      </c>
      <c r="K428" s="1" t="str">
        <f>IF(OR($B428="",K$7=""),"",IF($B428="MEANS",INDEX('1-DATA'!$1:$1048576,$A427-1,COLUMN('1-DATA'!J426)),ROUND(INDEX('1-DATA'!$1:$1048576,IF(OR($B428="STD. DEVIATION",$C$1=1),$A428,$A428+1),COLUMN('1-DATA'!J426)),IF($B428="STD. DEVIATION",2,$F$1))))</f>
        <v/>
      </c>
      <c r="L428" s="1" t="str">
        <f>IF(OR($B428="",L$7=""),"",IF($B428="MEANS",INDEX('1-DATA'!$1:$1048576,$A427-1,COLUMN('1-DATA'!K426)),ROUND(INDEX('1-DATA'!$1:$1048576,IF(OR($B428="STD. DEVIATION",$C$1=1),$A428,$A428+1),COLUMN('1-DATA'!K426)),IF($B428="STD. DEVIATION",2,$F$1))))</f>
        <v/>
      </c>
      <c r="M428" s="1" t="str">
        <f>IF(OR($B428="",M$7=""),"",IF($B428="MEANS",INDEX('1-DATA'!$1:$1048576,$A427-1,COLUMN('1-DATA'!L426)),ROUND(INDEX('1-DATA'!$1:$1048576,IF(OR($B428="STD. DEVIATION",$C$1=1),$A428,$A428+1),COLUMN('1-DATA'!L426)),IF($B428="STD. DEVIATION",2,$F$1))))</f>
        <v/>
      </c>
      <c r="N428" s="1" t="str">
        <f>IF(OR($B428="",N$7=""),"",IF($B428="MEANS",INDEX('1-DATA'!$1:$1048576,$A427-1,COLUMN('1-DATA'!M426)),ROUND(INDEX('1-DATA'!$1:$1048576,IF(OR($B428="STD. DEVIATION",$C$1=1),$A428,$A428+1),COLUMN('1-DATA'!M426)),IF($B428="STD. DEVIATION",2,$F$1))))</f>
        <v/>
      </c>
      <c r="O428" s="1" t="str">
        <f>IF(OR($B428="",O$7=""),"",IF($B428="MEANS",INDEX('1-DATA'!$1:$1048576,$A427-1,COLUMN('1-DATA'!N426)),ROUND(INDEX('1-DATA'!$1:$1048576,IF(OR($B428="STD. DEVIATION",$C$1=1),$A428,$A428+1),COLUMN('1-DATA'!N426)),IF($B428="STD. DEVIATION",2,$F$1))))</f>
        <v/>
      </c>
      <c r="P428" s="1" t="str">
        <f>IF(OR($B428="",P$7=""),"",IF($B428="MEANS",INDEX('1-DATA'!$1:$1048576,$A427-1,COLUMN('1-DATA'!O426)),ROUND(INDEX('1-DATA'!$1:$1048576,IF(OR($B428="STD. DEVIATION",$C$1=1),$A428,$A428+1),COLUMN('1-DATA'!O426)),IF($B428="STD. DEVIATION",2,$F$1))))</f>
        <v/>
      </c>
      <c r="Q428" s="1" t="str">
        <f>IF(OR($B428="",Q$7=""),"",IF($B428="MEANS",INDEX('1-DATA'!$1:$1048576,$A427-1,COLUMN('1-DATA'!P426)),ROUND(INDEX('1-DATA'!$1:$1048576,IF(OR($B428="STD. DEVIATION",$C$1=1),$A428,$A428+1),COLUMN('1-DATA'!P426)),IF($B428="STD. DEVIATION",2,$F$1))))</f>
        <v/>
      </c>
      <c r="R428" s="1" t="str">
        <f>IF(OR($B428="",R$7=""),"",IF($B428="MEANS",INDEX('1-DATA'!$1:$1048576,$A427-1,COLUMN('1-DATA'!Q426)),ROUND(INDEX('1-DATA'!$1:$1048576,IF(OR($B428="STD. DEVIATION",$C$1=1),$A428,$A428+1),COLUMN('1-DATA'!Q426)),IF($B428="STD. DEVIATION",2,$F$1))))</f>
        <v/>
      </c>
      <c r="S428" s="1" t="str">
        <f>IF(OR($B428="",S$7=""),"",IF($B428="MEANS",INDEX('1-DATA'!$1:$1048576,$A427-1,COLUMN('1-DATA'!R426)),ROUND(INDEX('1-DATA'!$1:$1048576,IF(OR($B428="STD. DEVIATION",$C$1=1),$A428,$A428+1),COLUMN('1-DATA'!R426)),IF($B428="STD. DEVIATION",2,$F$1))))</f>
        <v/>
      </c>
      <c r="T428" s="1" t="str">
        <f>IF(OR($B428="",T$7=""),"",IF($B428="MEANS",INDEX('1-DATA'!$1:$1048576,$A427-1,COLUMN('1-DATA'!S426)),ROUND(INDEX('1-DATA'!$1:$1048576,IF(OR($B428="STD. DEVIATION",$C$1=1),$A428,$A428+1),COLUMN('1-DATA'!S426)),IF($B428="STD. DEVIATION",2,$F$1))))</f>
        <v/>
      </c>
      <c r="U428" s="1" t="str">
        <f>IF(OR($B428="",U$7=""),"",IF($B428="MEANS",INDEX('1-DATA'!$1:$1048576,$A427-1,COLUMN('1-DATA'!T426)),ROUND(INDEX('1-DATA'!$1:$1048576,IF(OR($B428="STD. DEVIATION",$C$1=1),$A428,$A428+1),COLUMN('1-DATA'!T426)),IF($B428="STD. DEVIATION",2,$F$1))))</f>
        <v/>
      </c>
      <c r="V428" s="1" t="str">
        <f>IF(OR($B428="",V$7=""),"",IF($B428="MEANS",INDEX('1-DATA'!$1:$1048576,$A427-1,COLUMN('1-DATA'!U426)),ROUND(INDEX('1-DATA'!$1:$1048576,IF(OR($B428="STD. DEVIATION",$C$1=1),$A428,$A428+1),COLUMN('1-DATA'!U426)),IF($B428="STD. DEVIATION",2,$F$1))))</f>
        <v/>
      </c>
      <c r="W428" s="1" t="str">
        <f>IF(OR($B428="",W$7=""),"",IF($B428="MEANS",INDEX('1-DATA'!$1:$1048576,$A427-1,COLUMN('1-DATA'!V426)),ROUND(INDEX('1-DATA'!$1:$1048576,IF(OR($B428="STD. DEVIATION",$C$1=1),$A428,$A428+1),COLUMN('1-DATA'!V426)),IF($B428="STD. DEVIATION",2,$F$1))))</f>
        <v/>
      </c>
      <c r="X428" s="1" t="str">
        <f>IF(OR($B428="",X$7=""),"",IF($B428="MEANS",INDEX('1-DATA'!$1:$1048576,$A427-1,COLUMN('1-DATA'!W426)),ROUND(INDEX('1-DATA'!$1:$1048576,IF(OR($B428="STD. DEVIATION",$C$1=1),$A428,$A428+1),COLUMN('1-DATA'!W426)),IF($B428="STD. DEVIATION",2,$F$1))))</f>
        <v/>
      </c>
      <c r="Y428" s="1" t="str">
        <f>IF(OR($B428="",Y$7=""),"",IF($B428="MEANS",INDEX('1-DATA'!$1:$1048576,$A427-1,COLUMN('1-DATA'!X426)),ROUND(INDEX('1-DATA'!$1:$1048576,IF(OR($B428="STD. DEVIATION",$C$1=1),$A428,$A428+1),COLUMN('1-DATA'!X426)),IF($B428="STD. DEVIATION",2,$F$1))))</f>
        <v/>
      </c>
      <c r="Z428" s="1" t="str">
        <f>IF(OR($B428="",Z$7=""),"",IF($B428="MEANS",INDEX('1-DATA'!$1:$1048576,$A427-1,COLUMN('1-DATA'!Y426)),ROUND(INDEX('1-DATA'!$1:$1048576,IF(OR($B428="STD. DEVIATION",$C$1=1),$A428,$A428+1),COLUMN('1-DATA'!Y426)),IF($B428="STD. DEVIATION",2,$F$1))))</f>
        <v/>
      </c>
      <c r="AA428" s="1" t="str">
        <f>IF(OR($B428="",AA$7=""),"",IF($B428="MEANS",INDEX('1-DATA'!$1:$1048576,$A427-1,COLUMN('1-DATA'!Z426)),ROUND(INDEX('1-DATA'!$1:$1048576,IF(OR($B428="STD. DEVIATION",$C$1=1),$A428,$A428+1),COLUMN('1-DATA'!Z426)),IF($B428="STD. DEVIATION",2,$F$1))))</f>
        <v/>
      </c>
      <c r="AB428" s="1" t="str">
        <f>IF(OR($B428="",AB$7=""),"",IF($B428="MEANS",INDEX('1-DATA'!$1:$1048576,$A427-1,COLUMN('1-DATA'!AA426)),ROUND(INDEX('1-DATA'!$1:$1048576,IF(OR($B428="STD. DEVIATION",$C$1=1),$A428,$A428+1),COLUMN('1-DATA'!AA426)),IF($B428="STD. DEVIATION",2,$F$1))))</f>
        <v/>
      </c>
      <c r="AC428" s="1" t="str">
        <f>IF(OR($B428="",AC$7=""),"",IF($B428="MEANS",INDEX('1-DATA'!$1:$1048576,$A427-1,COLUMN('1-DATA'!AB426)),ROUND(INDEX('1-DATA'!$1:$1048576,IF(OR($B428="STD. DEVIATION",$C$1=1),$A428,$A428+1),COLUMN('1-DATA'!AB426)),IF($B428="STD. DEVIATION",2,$F$1))))</f>
        <v/>
      </c>
      <c r="AD428" s="1" t="str">
        <f>IF(OR($B428="",AD$7=""),"",IF($B428="MEANS",INDEX('1-DATA'!$1:$1048576,$A427-1,COLUMN('1-DATA'!AC426)),ROUND(INDEX('1-DATA'!$1:$1048576,IF(OR($B428="STD. DEVIATION",$C$1=1),$A428,$A428+1),COLUMN('1-DATA'!AC426)),IF($B428="STD. DEVIATION",2,$F$1))))</f>
        <v/>
      </c>
      <c r="AE428" s="1" t="str">
        <f>IF(OR($B428="",AE$7=""),"",IF($B428="MEANS",INDEX('1-DATA'!$1:$1048576,$A427-1,COLUMN('1-DATA'!AD426)),ROUND(INDEX('1-DATA'!$1:$1048576,IF(OR($B428="STD. DEVIATION",$C$1=1),$A428,$A428+1),COLUMN('1-DATA'!AD426)),IF($B428="STD. DEVIATION",2,$F$1))))</f>
        <v/>
      </c>
      <c r="AF428" s="1" t="str">
        <f>IF(OR($B428="",AF$7=""),"",IF($B428="MEANS",INDEX('1-DATA'!$1:$1048576,$A427-1,COLUMN('1-DATA'!AE426)),ROUND(INDEX('1-DATA'!$1:$1048576,IF(OR($B428="STD. DEVIATION",$C$1=1),$A428,$A428+1),COLUMN('1-DATA'!AE426)),IF($B428="STD. DEVIATION",2,$F$1))))</f>
        <v/>
      </c>
      <c r="AG428" s="1" t="str">
        <f>IF(OR($B428="",AG$7=""),"",IF($B428="MEANS",INDEX('1-DATA'!$1:$1048576,$A427-1,COLUMN('1-DATA'!AF426)),ROUND(INDEX('1-DATA'!$1:$1048576,IF(OR($B428="STD. DEVIATION",$C$1=1),$A428,$A428+1),COLUMN('1-DATA'!AF426)),IF($B428="STD. DEVIATION",2,$F$1))))</f>
        <v/>
      </c>
      <c r="AH428" s="1" t="str">
        <f>IF(OR($B428="",AH$7=""),"",IF($B428="MEANS",INDEX('1-DATA'!$1:$1048576,$A427-1,COLUMN('1-DATA'!AG426)),ROUND(INDEX('1-DATA'!$1:$1048576,IF(OR($B428="STD. DEVIATION",$C$1=1),$A428,$A428+1),COLUMN('1-DATA'!AG426)),IF($B428="STD. DEVIATION",2,$F$1))))</f>
        <v/>
      </c>
      <c r="AI428" s="1" t="str">
        <f>IF(OR($B428="",AI$7=""),"",IF($B428="MEANS",INDEX('1-DATA'!$1:$1048576,$A427-1,COLUMN('1-DATA'!AH426)),ROUND(INDEX('1-DATA'!$1:$1048576,IF(OR($B428="STD. DEVIATION",$C$1=1),$A428,$A428+1),COLUMN('1-DATA'!AH426)),IF($B428="STD. DEVIATION",2,$F$1))))</f>
        <v/>
      </c>
      <c r="AJ428" s="1" t="str">
        <f>IF(OR($B428="",AJ$7=""),"",IF($B428="MEANS",INDEX('1-DATA'!$1:$1048576,$A427-1,COLUMN('1-DATA'!AI426)),ROUND(INDEX('1-DATA'!$1:$1048576,IF(OR($B428="STD. DEVIATION",$C$1=1),$A428,$A428+1),COLUMN('1-DATA'!AI426)),IF($B428="STD. DEVIATION",2,$F$1))))</f>
        <v/>
      </c>
      <c r="AK428" s="1" t="str">
        <f>IF(OR($B428="",AK$7=""),"",IF($B428="MEANS",INDEX('1-DATA'!$1:$1048576,$A427-1,COLUMN('1-DATA'!AJ426)),ROUND(INDEX('1-DATA'!$1:$1048576,IF(OR($B428="STD. DEVIATION",$C$1=1),$A428,$A428+1),COLUMN('1-DATA'!AJ426)),IF($B428="STD. DEVIATION",2,$F$1))))</f>
        <v/>
      </c>
      <c r="AL428" s="1" t="str">
        <f>IF(OR($B428="",AL$7=""),"",IF($B428="MEANS",INDEX('1-DATA'!$1:$1048576,$A427-1,COLUMN('1-DATA'!AK426)),ROUND(INDEX('1-DATA'!$1:$1048576,IF(OR($B428="STD. DEVIATION",$C$1=1),$A428,$A428+1),COLUMN('1-DATA'!AK426)),IF($B428="STD. DEVIATION",2,$F$1))))</f>
        <v/>
      </c>
      <c r="AM428" s="1" t="str">
        <f>IF(OR($B428="",AM$7=""),"",IF($B428="MEANS",INDEX('1-DATA'!$1:$1048576,$A427-1,COLUMN('1-DATA'!AL426)),ROUND(INDEX('1-DATA'!$1:$1048576,IF(OR($B428="STD. DEVIATION",$C$1=1),$A428,$A428+1),COLUMN('1-DATA'!AL426)),IF($B428="STD. DEVIATION",2,$F$1))))</f>
        <v/>
      </c>
      <c r="AN428" s="1" t="str">
        <f>IF(OR($B428="",AN$7=""),"",IF($B428="MEANS",INDEX('1-DATA'!$1:$1048576,$A427-1,COLUMN('1-DATA'!AM426)),ROUND(INDEX('1-DATA'!$1:$1048576,IF(OR($B428="STD. DEVIATION",$C$1=1),$A428,$A428+1),COLUMN('1-DATA'!AM426)),IF($B428="STD. DEVIATION",2,$F$1))))</f>
        <v/>
      </c>
      <c r="AO428" s="1" t="str">
        <f>IF(OR($B428="",AO$7=""),"",IF($B428="MEANS",INDEX('1-DATA'!$1:$1048576,$A427-1,COLUMN('1-DATA'!AN426)),ROUND(INDEX('1-DATA'!$1:$1048576,IF(OR($B428="STD. DEVIATION",$C$1=1),$A428,$A428+1),COLUMN('1-DATA'!AN426)),IF($B428="STD. DEVIATION",2,$F$1))))</f>
        <v/>
      </c>
      <c r="AP428" s="1" t="str">
        <f>IF(OR($B428="",AP$7=""),"",IF($B428="MEANS",INDEX('1-DATA'!$1:$1048576,$A427-1,COLUMN('1-DATA'!AO426)),ROUND(INDEX('1-DATA'!$1:$1048576,IF(OR($B428="STD. DEVIATION",$C$1=1),$A428,$A428+1),COLUMN('1-DATA'!AO426)),IF($B428="STD. DEVIATION",2,$F$1))))</f>
        <v/>
      </c>
      <c r="AQ428" s="1" t="str">
        <f>IF(OR($B428="",AQ$7=""),"",IF($B428="MEANS",INDEX('1-DATA'!$1:$1048576,$A427-1,COLUMN('1-DATA'!AP426)),ROUND(INDEX('1-DATA'!$1:$1048576,IF(OR($B428="STD. DEVIATION",$C$1=1),$A428,$A428+1),COLUMN('1-DATA'!AP426)),IF($B428="STD. DEVIATION",2,$F$1))))</f>
        <v/>
      </c>
      <c r="AR428" s="1" t="str">
        <f>IF(OR($B428="",AR$7=""),"",IF($B428="MEANS",INDEX('1-DATA'!$1:$1048576,$A427-1,COLUMN('1-DATA'!AQ426)),ROUND(INDEX('1-DATA'!$1:$1048576,IF(OR($B428="STD. DEVIATION",$C$1=1),$A428,$A428+1),COLUMN('1-DATA'!AQ426)),IF($B428="STD. DEVIATION",2,$F$1))))</f>
        <v/>
      </c>
      <c r="AS428" s="1" t="str">
        <f>IF(OR($B428="",AS$7=""),"",IF($B428="MEANS",INDEX('1-DATA'!$1:$1048576,$A427-1,COLUMN('1-DATA'!AR426)),ROUND(INDEX('1-DATA'!$1:$1048576,IF(OR($B428="STD. DEVIATION",$C$1=1),$A428,$A428+1),COLUMN('1-DATA'!AR426)),IF($B428="STD. DEVIATION",2,$F$1))))</f>
        <v/>
      </c>
      <c r="AT428" s="1" t="str">
        <f>IF(OR($B428="",AT$7=""),"",IF($B428="MEANS",INDEX('1-DATA'!$1:$1048576,$A427-1,COLUMN('1-DATA'!AS426)),ROUND(INDEX('1-DATA'!$1:$1048576,IF(OR($B428="STD. DEVIATION",$C$1=1),$A428,$A428+1),COLUMN('1-DATA'!AS426)),IF($B428="STD. DEVIATION",2,$F$1))))</f>
        <v/>
      </c>
      <c r="AU428" s="1" t="str">
        <f>IF(OR($B428="",AU$7=""),"",IF($B428="MEANS",INDEX('1-DATA'!$1:$1048576,$A427-1,COLUMN('1-DATA'!AT426)),ROUND(INDEX('1-DATA'!$1:$1048576,IF(OR($B428="STD. DEVIATION",$C$1=1),$A428,$A428+1),COLUMN('1-DATA'!AT426)),IF($B428="STD. DEVIATION",2,$F$1))))</f>
        <v/>
      </c>
      <c r="AV428" s="1" t="str">
        <f>IF(OR($B428="",AV$7=""),"",IF($B428="MEANS",INDEX('1-DATA'!$1:$1048576,$A427-1,COLUMN('1-DATA'!AU426)),ROUND(INDEX('1-DATA'!$1:$1048576,IF(OR($B428="STD. DEVIATION",$C$1=1),$A428,$A428+1),COLUMN('1-DATA'!AU426)),IF($B428="STD. DEVIATION",2,$F$1))))</f>
        <v/>
      </c>
      <c r="AW428" s="1" t="str">
        <f>IF(OR($B428="",AW$7=""),"",IF($B428="MEANS",INDEX('1-DATA'!$1:$1048576,$A427-1,COLUMN('1-DATA'!AV426)),ROUND(INDEX('1-DATA'!$1:$1048576,IF(OR($B428="STD. DEVIATION",$C$1=1),$A428,$A428+1),COLUMN('1-DATA'!AV426)),IF($B428="STD. DEVIATION",2,$F$1))))</f>
        <v/>
      </c>
      <c r="AX428" s="1" t="str">
        <f>IF(OR($B428="",AX$7=""),"",IF($B428="MEANS",INDEX('1-DATA'!$1:$1048576,$A427-1,COLUMN('1-DATA'!AW426)),ROUND(INDEX('1-DATA'!$1:$1048576,IF(OR($B428="STD. DEVIATION",$C$1=1),$A428,$A428+1),COLUMN('1-DATA'!AW426)),IF($B428="STD. DEVIATION",2,$F$1))))</f>
        <v/>
      </c>
      <c r="AY428" s="1" t="str">
        <f>IF(OR($B428="",AY$7=""),"",IF($B428="MEANS",INDEX('1-DATA'!$1:$1048576,$A427-1,COLUMN('1-DATA'!AX426)),ROUND(INDEX('1-DATA'!$1:$1048576,IF(OR($B428="STD. DEVIATION",$C$1=1),$A428,$A428+1),COLUMN('1-DATA'!AX426)),IF($B428="STD. DEVIATION",2,$F$1))))</f>
        <v/>
      </c>
      <c r="AZ428" s="1" t="str">
        <f>IF(OR($B428="",AZ$7=""),"",IF($B428="MEANS",INDEX('1-DATA'!$1:$1048576,$A427-1,COLUMN('1-DATA'!AY426)),ROUND(INDEX('1-DATA'!$1:$1048576,IF(OR($B428="STD. DEVIATION",$C$1=1),$A428,$A428+1),COLUMN('1-DATA'!AY426)),IF($B428="STD. DEVIATION",2,$F$1))))</f>
        <v/>
      </c>
    </row>
    <row r="429" spans="1:52" x14ac:dyDescent="0.25">
      <c r="A429" s="11">
        <f t="shared" si="7"/>
        <v>1273</v>
      </c>
      <c r="B429" s="1" t="str">
        <f>IF(B428="STD. DEVIATION",INDEX('1-DATA'!$1:$1048576,$A428-1,1),IF(INDEX('1-DATA'!$1:$1048576,$A429,1)&lt;&gt;"",INDEX('1-DATA'!$1:$1048576,$A429,1),""))</f>
        <v/>
      </c>
      <c r="C429" s="1" t="str">
        <f>IF(OR($B429="",C$7=""),"",IF($B429="MEANS",INDEX('1-DATA'!$1:$1048576,$A428-1,COLUMN('1-DATA'!B427)),ROUND(INDEX('1-DATA'!$1:$1048576,IF(OR($B429="STD. DEVIATION",$C$1=1),$A429,$A429+1),COLUMN('1-DATA'!B427)),IF($B429="STD. DEVIATION",2,$F$1))))</f>
        <v/>
      </c>
      <c r="D429" s="1" t="str">
        <f>IF(OR($B429="",D$7=""),"",IF($B429="MEANS",INDEX('1-DATA'!$1:$1048576,$A428-1,COLUMN('1-DATA'!C427)),ROUND(INDEX('1-DATA'!$1:$1048576,IF(OR($B429="STD. DEVIATION",$C$1=1),$A429,$A429+1),COLUMN('1-DATA'!C427)),IF($B429="STD. DEVIATION",2,$F$1))))</f>
        <v/>
      </c>
      <c r="E429" s="1" t="str">
        <f>IF(OR($B429="",E$7=""),"",IF($B429="MEANS",INDEX('1-DATA'!$1:$1048576,$A428-1,COLUMN('1-DATA'!D427)),ROUND(INDEX('1-DATA'!$1:$1048576,IF(OR($B429="STD. DEVIATION",$C$1=1),$A429,$A429+1),COLUMN('1-DATA'!D427)),IF($B429="STD. DEVIATION",2,$F$1))))</f>
        <v/>
      </c>
      <c r="F429" s="1" t="str">
        <f>IF(OR($B429="",F$7=""),"",IF($B429="MEANS",INDEX('1-DATA'!$1:$1048576,$A428-1,COLUMN('1-DATA'!E427)),ROUND(INDEX('1-DATA'!$1:$1048576,IF(OR($B429="STD. DEVIATION",$C$1=1),$A429,$A429+1),COLUMN('1-DATA'!E427)),IF($B429="STD. DEVIATION",2,$F$1))))</f>
        <v/>
      </c>
      <c r="G429" s="1" t="str">
        <f>IF(OR($B429="",G$7=""),"",IF($B429="MEANS",INDEX('1-DATA'!$1:$1048576,$A428-1,COLUMN('1-DATA'!F427)),ROUND(INDEX('1-DATA'!$1:$1048576,IF(OR($B429="STD. DEVIATION",$C$1=1),$A429,$A429+1),COLUMN('1-DATA'!F427)),IF($B429="STD. DEVIATION",2,$F$1))))</f>
        <v/>
      </c>
      <c r="H429" s="1" t="str">
        <f>IF(OR($B429="",H$7=""),"",IF($B429="MEANS",INDEX('1-DATA'!$1:$1048576,$A428-1,COLUMN('1-DATA'!G427)),ROUND(INDEX('1-DATA'!$1:$1048576,IF(OR($B429="STD. DEVIATION",$C$1=1),$A429,$A429+1),COLUMN('1-DATA'!G427)),IF($B429="STD. DEVIATION",2,$F$1))))</f>
        <v/>
      </c>
      <c r="I429" s="1" t="str">
        <f>IF(OR($B429="",I$7=""),"",IF($B429="MEANS",INDEX('1-DATA'!$1:$1048576,$A428-1,COLUMN('1-DATA'!H427)),ROUND(INDEX('1-DATA'!$1:$1048576,IF(OR($B429="STD. DEVIATION",$C$1=1),$A429,$A429+1),COLUMN('1-DATA'!H427)),IF($B429="STD. DEVIATION",2,$F$1))))</f>
        <v/>
      </c>
      <c r="J429" s="1" t="str">
        <f>IF(OR($B429="",J$7=""),"",IF($B429="MEANS",INDEX('1-DATA'!$1:$1048576,$A428-1,COLUMN('1-DATA'!I427)),ROUND(INDEX('1-DATA'!$1:$1048576,IF(OR($B429="STD. DEVIATION",$C$1=1),$A429,$A429+1),COLUMN('1-DATA'!I427)),IF($B429="STD. DEVIATION",2,$F$1))))</f>
        <v/>
      </c>
      <c r="K429" s="1" t="str">
        <f>IF(OR($B429="",K$7=""),"",IF($B429="MEANS",INDEX('1-DATA'!$1:$1048576,$A428-1,COLUMN('1-DATA'!J427)),ROUND(INDEX('1-DATA'!$1:$1048576,IF(OR($B429="STD. DEVIATION",$C$1=1),$A429,$A429+1),COLUMN('1-DATA'!J427)),IF($B429="STD. DEVIATION",2,$F$1))))</f>
        <v/>
      </c>
      <c r="L429" s="1" t="str">
        <f>IF(OR($B429="",L$7=""),"",IF($B429="MEANS",INDEX('1-DATA'!$1:$1048576,$A428-1,COLUMN('1-DATA'!K427)),ROUND(INDEX('1-DATA'!$1:$1048576,IF(OR($B429="STD. DEVIATION",$C$1=1),$A429,$A429+1),COLUMN('1-DATA'!K427)),IF($B429="STD. DEVIATION",2,$F$1))))</f>
        <v/>
      </c>
      <c r="M429" s="1" t="str">
        <f>IF(OR($B429="",M$7=""),"",IF($B429="MEANS",INDEX('1-DATA'!$1:$1048576,$A428-1,COLUMN('1-DATA'!L427)),ROUND(INDEX('1-DATA'!$1:$1048576,IF(OR($B429="STD. DEVIATION",$C$1=1),$A429,$A429+1),COLUMN('1-DATA'!L427)),IF($B429="STD. DEVIATION",2,$F$1))))</f>
        <v/>
      </c>
      <c r="N429" s="1" t="str">
        <f>IF(OR($B429="",N$7=""),"",IF($B429="MEANS",INDEX('1-DATA'!$1:$1048576,$A428-1,COLUMN('1-DATA'!M427)),ROUND(INDEX('1-DATA'!$1:$1048576,IF(OR($B429="STD. DEVIATION",$C$1=1),$A429,$A429+1),COLUMN('1-DATA'!M427)),IF($B429="STD. DEVIATION",2,$F$1))))</f>
        <v/>
      </c>
      <c r="O429" s="1" t="str">
        <f>IF(OR($B429="",O$7=""),"",IF($B429="MEANS",INDEX('1-DATA'!$1:$1048576,$A428-1,COLUMN('1-DATA'!N427)),ROUND(INDEX('1-DATA'!$1:$1048576,IF(OR($B429="STD. DEVIATION",$C$1=1),$A429,$A429+1),COLUMN('1-DATA'!N427)),IF($B429="STD. DEVIATION",2,$F$1))))</f>
        <v/>
      </c>
      <c r="P429" s="1" t="str">
        <f>IF(OR($B429="",P$7=""),"",IF($B429="MEANS",INDEX('1-DATA'!$1:$1048576,$A428-1,COLUMN('1-DATA'!O427)),ROUND(INDEX('1-DATA'!$1:$1048576,IF(OR($B429="STD. DEVIATION",$C$1=1),$A429,$A429+1),COLUMN('1-DATA'!O427)),IF($B429="STD. DEVIATION",2,$F$1))))</f>
        <v/>
      </c>
      <c r="Q429" s="1" t="str">
        <f>IF(OR($B429="",Q$7=""),"",IF($B429="MEANS",INDEX('1-DATA'!$1:$1048576,$A428-1,COLUMN('1-DATA'!P427)),ROUND(INDEX('1-DATA'!$1:$1048576,IF(OR($B429="STD. DEVIATION",$C$1=1),$A429,$A429+1),COLUMN('1-DATA'!P427)),IF($B429="STD. DEVIATION",2,$F$1))))</f>
        <v/>
      </c>
      <c r="R429" s="1" t="str">
        <f>IF(OR($B429="",R$7=""),"",IF($B429="MEANS",INDEX('1-DATA'!$1:$1048576,$A428-1,COLUMN('1-DATA'!Q427)),ROUND(INDEX('1-DATA'!$1:$1048576,IF(OR($B429="STD. DEVIATION",$C$1=1),$A429,$A429+1),COLUMN('1-DATA'!Q427)),IF($B429="STD. DEVIATION",2,$F$1))))</f>
        <v/>
      </c>
      <c r="S429" s="1" t="str">
        <f>IF(OR($B429="",S$7=""),"",IF($B429="MEANS",INDEX('1-DATA'!$1:$1048576,$A428-1,COLUMN('1-DATA'!R427)),ROUND(INDEX('1-DATA'!$1:$1048576,IF(OR($B429="STD. DEVIATION",$C$1=1),$A429,$A429+1),COLUMN('1-DATA'!R427)),IF($B429="STD. DEVIATION",2,$F$1))))</f>
        <v/>
      </c>
      <c r="T429" s="1" t="str">
        <f>IF(OR($B429="",T$7=""),"",IF($B429="MEANS",INDEX('1-DATA'!$1:$1048576,$A428-1,COLUMN('1-DATA'!S427)),ROUND(INDEX('1-DATA'!$1:$1048576,IF(OR($B429="STD. DEVIATION",$C$1=1),$A429,$A429+1),COLUMN('1-DATA'!S427)),IF($B429="STD. DEVIATION",2,$F$1))))</f>
        <v/>
      </c>
      <c r="U429" s="1" t="str">
        <f>IF(OR($B429="",U$7=""),"",IF($B429="MEANS",INDEX('1-DATA'!$1:$1048576,$A428-1,COLUMN('1-DATA'!T427)),ROUND(INDEX('1-DATA'!$1:$1048576,IF(OR($B429="STD. DEVIATION",$C$1=1),$A429,$A429+1),COLUMN('1-DATA'!T427)),IF($B429="STD. DEVIATION",2,$F$1))))</f>
        <v/>
      </c>
      <c r="V429" s="1" t="str">
        <f>IF(OR($B429="",V$7=""),"",IF($B429="MEANS",INDEX('1-DATA'!$1:$1048576,$A428-1,COLUMN('1-DATA'!U427)),ROUND(INDEX('1-DATA'!$1:$1048576,IF(OR($B429="STD. DEVIATION",$C$1=1),$A429,$A429+1),COLUMN('1-DATA'!U427)),IF($B429="STD. DEVIATION",2,$F$1))))</f>
        <v/>
      </c>
      <c r="W429" s="1" t="str">
        <f>IF(OR($B429="",W$7=""),"",IF($B429="MEANS",INDEX('1-DATA'!$1:$1048576,$A428-1,COLUMN('1-DATA'!V427)),ROUND(INDEX('1-DATA'!$1:$1048576,IF(OR($B429="STD. DEVIATION",$C$1=1),$A429,$A429+1),COLUMN('1-DATA'!V427)),IF($B429="STD. DEVIATION",2,$F$1))))</f>
        <v/>
      </c>
      <c r="X429" s="1" t="str">
        <f>IF(OR($B429="",X$7=""),"",IF($B429="MEANS",INDEX('1-DATA'!$1:$1048576,$A428-1,COLUMN('1-DATA'!W427)),ROUND(INDEX('1-DATA'!$1:$1048576,IF(OR($B429="STD. DEVIATION",$C$1=1),$A429,$A429+1),COLUMN('1-DATA'!W427)),IF($B429="STD. DEVIATION",2,$F$1))))</f>
        <v/>
      </c>
      <c r="Y429" s="1" t="str">
        <f>IF(OR($B429="",Y$7=""),"",IF($B429="MEANS",INDEX('1-DATA'!$1:$1048576,$A428-1,COLUMN('1-DATA'!X427)),ROUND(INDEX('1-DATA'!$1:$1048576,IF(OR($B429="STD. DEVIATION",$C$1=1),$A429,$A429+1),COLUMN('1-DATA'!X427)),IF($B429="STD. DEVIATION",2,$F$1))))</f>
        <v/>
      </c>
      <c r="Z429" s="1" t="str">
        <f>IF(OR($B429="",Z$7=""),"",IF($B429="MEANS",INDEX('1-DATA'!$1:$1048576,$A428-1,COLUMN('1-DATA'!Y427)),ROUND(INDEX('1-DATA'!$1:$1048576,IF(OR($B429="STD. DEVIATION",$C$1=1),$A429,$A429+1),COLUMN('1-DATA'!Y427)),IF($B429="STD. DEVIATION",2,$F$1))))</f>
        <v/>
      </c>
      <c r="AA429" s="1" t="str">
        <f>IF(OR($B429="",AA$7=""),"",IF($B429="MEANS",INDEX('1-DATA'!$1:$1048576,$A428-1,COLUMN('1-DATA'!Z427)),ROUND(INDEX('1-DATA'!$1:$1048576,IF(OR($B429="STD. DEVIATION",$C$1=1),$A429,$A429+1),COLUMN('1-DATA'!Z427)),IF($B429="STD. DEVIATION",2,$F$1))))</f>
        <v/>
      </c>
      <c r="AB429" s="1" t="str">
        <f>IF(OR($B429="",AB$7=""),"",IF($B429="MEANS",INDEX('1-DATA'!$1:$1048576,$A428-1,COLUMN('1-DATA'!AA427)),ROUND(INDEX('1-DATA'!$1:$1048576,IF(OR($B429="STD. DEVIATION",$C$1=1),$A429,$A429+1),COLUMN('1-DATA'!AA427)),IF($B429="STD. DEVIATION",2,$F$1))))</f>
        <v/>
      </c>
      <c r="AC429" s="1" t="str">
        <f>IF(OR($B429="",AC$7=""),"",IF($B429="MEANS",INDEX('1-DATA'!$1:$1048576,$A428-1,COLUMN('1-DATA'!AB427)),ROUND(INDEX('1-DATA'!$1:$1048576,IF(OR($B429="STD. DEVIATION",$C$1=1),$A429,$A429+1),COLUMN('1-DATA'!AB427)),IF($B429="STD. DEVIATION",2,$F$1))))</f>
        <v/>
      </c>
      <c r="AD429" s="1" t="str">
        <f>IF(OR($B429="",AD$7=""),"",IF($B429="MEANS",INDEX('1-DATA'!$1:$1048576,$A428-1,COLUMN('1-DATA'!AC427)),ROUND(INDEX('1-DATA'!$1:$1048576,IF(OR($B429="STD. DEVIATION",$C$1=1),$A429,$A429+1),COLUMN('1-DATA'!AC427)),IF($B429="STD. DEVIATION",2,$F$1))))</f>
        <v/>
      </c>
      <c r="AE429" s="1" t="str">
        <f>IF(OR($B429="",AE$7=""),"",IF($B429="MEANS",INDEX('1-DATA'!$1:$1048576,$A428-1,COLUMN('1-DATA'!AD427)),ROUND(INDEX('1-DATA'!$1:$1048576,IF(OR($B429="STD. DEVIATION",$C$1=1),$A429,$A429+1),COLUMN('1-DATA'!AD427)),IF($B429="STD. DEVIATION",2,$F$1))))</f>
        <v/>
      </c>
      <c r="AF429" s="1" t="str">
        <f>IF(OR($B429="",AF$7=""),"",IF($B429="MEANS",INDEX('1-DATA'!$1:$1048576,$A428-1,COLUMN('1-DATA'!AE427)),ROUND(INDEX('1-DATA'!$1:$1048576,IF(OR($B429="STD. DEVIATION",$C$1=1),$A429,$A429+1),COLUMN('1-DATA'!AE427)),IF($B429="STD. DEVIATION",2,$F$1))))</f>
        <v/>
      </c>
      <c r="AG429" s="1" t="str">
        <f>IF(OR($B429="",AG$7=""),"",IF($B429="MEANS",INDEX('1-DATA'!$1:$1048576,$A428-1,COLUMN('1-DATA'!AF427)),ROUND(INDEX('1-DATA'!$1:$1048576,IF(OR($B429="STD. DEVIATION",$C$1=1),$A429,$A429+1),COLUMN('1-DATA'!AF427)),IF($B429="STD. DEVIATION",2,$F$1))))</f>
        <v/>
      </c>
      <c r="AH429" s="1" t="str">
        <f>IF(OR($B429="",AH$7=""),"",IF($B429="MEANS",INDEX('1-DATA'!$1:$1048576,$A428-1,COLUMN('1-DATA'!AG427)),ROUND(INDEX('1-DATA'!$1:$1048576,IF(OR($B429="STD. DEVIATION",$C$1=1),$A429,$A429+1),COLUMN('1-DATA'!AG427)),IF($B429="STD. DEVIATION",2,$F$1))))</f>
        <v/>
      </c>
      <c r="AI429" s="1" t="str">
        <f>IF(OR($B429="",AI$7=""),"",IF($B429="MEANS",INDEX('1-DATA'!$1:$1048576,$A428-1,COLUMN('1-DATA'!AH427)),ROUND(INDEX('1-DATA'!$1:$1048576,IF(OR($B429="STD. DEVIATION",$C$1=1),$A429,$A429+1),COLUMN('1-DATA'!AH427)),IF($B429="STD. DEVIATION",2,$F$1))))</f>
        <v/>
      </c>
      <c r="AJ429" s="1" t="str">
        <f>IF(OR($B429="",AJ$7=""),"",IF($B429="MEANS",INDEX('1-DATA'!$1:$1048576,$A428-1,COLUMN('1-DATA'!AI427)),ROUND(INDEX('1-DATA'!$1:$1048576,IF(OR($B429="STD. DEVIATION",$C$1=1),$A429,$A429+1),COLUMN('1-DATA'!AI427)),IF($B429="STD. DEVIATION",2,$F$1))))</f>
        <v/>
      </c>
      <c r="AK429" s="1" t="str">
        <f>IF(OR($B429="",AK$7=""),"",IF($B429="MEANS",INDEX('1-DATA'!$1:$1048576,$A428-1,COLUMN('1-DATA'!AJ427)),ROUND(INDEX('1-DATA'!$1:$1048576,IF(OR($B429="STD. DEVIATION",$C$1=1),$A429,$A429+1),COLUMN('1-DATA'!AJ427)),IF($B429="STD. DEVIATION",2,$F$1))))</f>
        <v/>
      </c>
      <c r="AL429" s="1" t="str">
        <f>IF(OR($B429="",AL$7=""),"",IF($B429="MEANS",INDEX('1-DATA'!$1:$1048576,$A428-1,COLUMN('1-DATA'!AK427)),ROUND(INDEX('1-DATA'!$1:$1048576,IF(OR($B429="STD. DEVIATION",$C$1=1),$A429,$A429+1),COLUMN('1-DATA'!AK427)),IF($B429="STD. DEVIATION",2,$F$1))))</f>
        <v/>
      </c>
      <c r="AM429" s="1" t="str">
        <f>IF(OR($B429="",AM$7=""),"",IF($B429="MEANS",INDEX('1-DATA'!$1:$1048576,$A428-1,COLUMN('1-DATA'!AL427)),ROUND(INDEX('1-DATA'!$1:$1048576,IF(OR($B429="STD. DEVIATION",$C$1=1),$A429,$A429+1),COLUMN('1-DATA'!AL427)),IF($B429="STD. DEVIATION",2,$F$1))))</f>
        <v/>
      </c>
      <c r="AN429" s="1" t="str">
        <f>IF(OR($B429="",AN$7=""),"",IF($B429="MEANS",INDEX('1-DATA'!$1:$1048576,$A428-1,COLUMN('1-DATA'!AM427)),ROUND(INDEX('1-DATA'!$1:$1048576,IF(OR($B429="STD. DEVIATION",$C$1=1),$A429,$A429+1),COLUMN('1-DATA'!AM427)),IF($B429="STD. DEVIATION",2,$F$1))))</f>
        <v/>
      </c>
      <c r="AO429" s="1" t="str">
        <f>IF(OR($B429="",AO$7=""),"",IF($B429="MEANS",INDEX('1-DATA'!$1:$1048576,$A428-1,COLUMN('1-DATA'!AN427)),ROUND(INDEX('1-DATA'!$1:$1048576,IF(OR($B429="STD. DEVIATION",$C$1=1),$A429,$A429+1),COLUMN('1-DATA'!AN427)),IF($B429="STD. DEVIATION",2,$F$1))))</f>
        <v/>
      </c>
      <c r="AP429" s="1" t="str">
        <f>IF(OR($B429="",AP$7=""),"",IF($B429="MEANS",INDEX('1-DATA'!$1:$1048576,$A428-1,COLUMN('1-DATA'!AO427)),ROUND(INDEX('1-DATA'!$1:$1048576,IF(OR($B429="STD. DEVIATION",$C$1=1),$A429,$A429+1),COLUMN('1-DATA'!AO427)),IF($B429="STD. DEVIATION",2,$F$1))))</f>
        <v/>
      </c>
      <c r="AQ429" s="1" t="str">
        <f>IF(OR($B429="",AQ$7=""),"",IF($B429="MEANS",INDEX('1-DATA'!$1:$1048576,$A428-1,COLUMN('1-DATA'!AP427)),ROUND(INDEX('1-DATA'!$1:$1048576,IF(OR($B429="STD. DEVIATION",$C$1=1),$A429,$A429+1),COLUMN('1-DATA'!AP427)),IF($B429="STD. DEVIATION",2,$F$1))))</f>
        <v/>
      </c>
      <c r="AR429" s="1" t="str">
        <f>IF(OR($B429="",AR$7=""),"",IF($B429="MEANS",INDEX('1-DATA'!$1:$1048576,$A428-1,COLUMN('1-DATA'!AQ427)),ROUND(INDEX('1-DATA'!$1:$1048576,IF(OR($B429="STD. DEVIATION",$C$1=1),$A429,$A429+1),COLUMN('1-DATA'!AQ427)),IF($B429="STD. DEVIATION",2,$F$1))))</f>
        <v/>
      </c>
      <c r="AS429" s="1" t="str">
        <f>IF(OR($B429="",AS$7=""),"",IF($B429="MEANS",INDEX('1-DATA'!$1:$1048576,$A428-1,COLUMN('1-DATA'!AR427)),ROUND(INDEX('1-DATA'!$1:$1048576,IF(OR($B429="STD. DEVIATION",$C$1=1),$A429,$A429+1),COLUMN('1-DATA'!AR427)),IF($B429="STD. DEVIATION",2,$F$1))))</f>
        <v/>
      </c>
      <c r="AT429" s="1" t="str">
        <f>IF(OR($B429="",AT$7=""),"",IF($B429="MEANS",INDEX('1-DATA'!$1:$1048576,$A428-1,COLUMN('1-DATA'!AS427)),ROUND(INDEX('1-DATA'!$1:$1048576,IF(OR($B429="STD. DEVIATION",$C$1=1),$A429,$A429+1),COLUMN('1-DATA'!AS427)),IF($B429="STD. DEVIATION",2,$F$1))))</f>
        <v/>
      </c>
      <c r="AU429" s="1" t="str">
        <f>IF(OR($B429="",AU$7=""),"",IF($B429="MEANS",INDEX('1-DATA'!$1:$1048576,$A428-1,COLUMN('1-DATA'!AT427)),ROUND(INDEX('1-DATA'!$1:$1048576,IF(OR($B429="STD. DEVIATION",$C$1=1),$A429,$A429+1),COLUMN('1-DATA'!AT427)),IF($B429="STD. DEVIATION",2,$F$1))))</f>
        <v/>
      </c>
      <c r="AV429" s="1" t="str">
        <f>IF(OR($B429="",AV$7=""),"",IF($B429="MEANS",INDEX('1-DATA'!$1:$1048576,$A428-1,COLUMN('1-DATA'!AU427)),ROUND(INDEX('1-DATA'!$1:$1048576,IF(OR($B429="STD. DEVIATION",$C$1=1),$A429,$A429+1),COLUMN('1-DATA'!AU427)),IF($B429="STD. DEVIATION",2,$F$1))))</f>
        <v/>
      </c>
      <c r="AW429" s="1" t="str">
        <f>IF(OR($B429="",AW$7=""),"",IF($B429="MEANS",INDEX('1-DATA'!$1:$1048576,$A428-1,COLUMN('1-DATA'!AV427)),ROUND(INDEX('1-DATA'!$1:$1048576,IF(OR($B429="STD. DEVIATION",$C$1=1),$A429,$A429+1),COLUMN('1-DATA'!AV427)),IF($B429="STD. DEVIATION",2,$F$1))))</f>
        <v/>
      </c>
      <c r="AX429" s="1" t="str">
        <f>IF(OR($B429="",AX$7=""),"",IF($B429="MEANS",INDEX('1-DATA'!$1:$1048576,$A428-1,COLUMN('1-DATA'!AW427)),ROUND(INDEX('1-DATA'!$1:$1048576,IF(OR($B429="STD. DEVIATION",$C$1=1),$A429,$A429+1),COLUMN('1-DATA'!AW427)),IF($B429="STD. DEVIATION",2,$F$1))))</f>
        <v/>
      </c>
      <c r="AY429" s="1" t="str">
        <f>IF(OR($B429="",AY$7=""),"",IF($B429="MEANS",INDEX('1-DATA'!$1:$1048576,$A428-1,COLUMN('1-DATA'!AX427)),ROUND(INDEX('1-DATA'!$1:$1048576,IF(OR($B429="STD. DEVIATION",$C$1=1),$A429,$A429+1),COLUMN('1-DATA'!AX427)),IF($B429="STD. DEVIATION",2,$F$1))))</f>
        <v/>
      </c>
      <c r="AZ429" s="1" t="str">
        <f>IF(OR($B429="",AZ$7=""),"",IF($B429="MEANS",INDEX('1-DATA'!$1:$1048576,$A428-1,COLUMN('1-DATA'!AY427)),ROUND(INDEX('1-DATA'!$1:$1048576,IF(OR($B429="STD. DEVIATION",$C$1=1),$A429,$A429+1),COLUMN('1-DATA'!AY427)),IF($B429="STD. DEVIATION",2,$F$1))))</f>
        <v/>
      </c>
    </row>
    <row r="430" spans="1:52" x14ac:dyDescent="0.25">
      <c r="A430" s="11">
        <f t="shared" si="7"/>
        <v>1276</v>
      </c>
      <c r="B430" s="1" t="str">
        <f>IF(B429="STD. DEVIATION",INDEX('1-DATA'!$1:$1048576,$A429-1,1),IF(INDEX('1-DATA'!$1:$1048576,$A430,1)&lt;&gt;"",INDEX('1-DATA'!$1:$1048576,$A430,1),""))</f>
        <v/>
      </c>
      <c r="C430" s="1" t="str">
        <f>IF(OR($B430="",C$7=""),"",IF($B430="MEANS",INDEX('1-DATA'!$1:$1048576,$A429-1,COLUMN('1-DATA'!B428)),ROUND(INDEX('1-DATA'!$1:$1048576,IF(OR($B430="STD. DEVIATION",$C$1=1),$A430,$A430+1),COLUMN('1-DATA'!B428)),IF($B430="STD. DEVIATION",2,$F$1))))</f>
        <v/>
      </c>
      <c r="D430" s="1" t="str">
        <f>IF(OR($B430="",D$7=""),"",IF($B430="MEANS",INDEX('1-DATA'!$1:$1048576,$A429-1,COLUMN('1-DATA'!C428)),ROUND(INDEX('1-DATA'!$1:$1048576,IF(OR($B430="STD. DEVIATION",$C$1=1),$A430,$A430+1),COLUMN('1-DATA'!C428)),IF($B430="STD. DEVIATION",2,$F$1))))</f>
        <v/>
      </c>
      <c r="E430" s="1" t="str">
        <f>IF(OR($B430="",E$7=""),"",IF($B430="MEANS",INDEX('1-DATA'!$1:$1048576,$A429-1,COLUMN('1-DATA'!D428)),ROUND(INDEX('1-DATA'!$1:$1048576,IF(OR($B430="STD. DEVIATION",$C$1=1),$A430,$A430+1),COLUMN('1-DATA'!D428)),IF($B430="STD. DEVIATION",2,$F$1))))</f>
        <v/>
      </c>
      <c r="F430" s="1" t="str">
        <f>IF(OR($B430="",F$7=""),"",IF($B430="MEANS",INDEX('1-DATA'!$1:$1048576,$A429-1,COLUMN('1-DATA'!E428)),ROUND(INDEX('1-DATA'!$1:$1048576,IF(OR($B430="STD. DEVIATION",$C$1=1),$A430,$A430+1),COLUMN('1-DATA'!E428)),IF($B430="STD. DEVIATION",2,$F$1))))</f>
        <v/>
      </c>
      <c r="G430" s="1" t="str">
        <f>IF(OR($B430="",G$7=""),"",IF($B430="MEANS",INDEX('1-DATA'!$1:$1048576,$A429-1,COLUMN('1-DATA'!F428)),ROUND(INDEX('1-DATA'!$1:$1048576,IF(OR($B430="STD. DEVIATION",$C$1=1),$A430,$A430+1),COLUMN('1-DATA'!F428)),IF($B430="STD. DEVIATION",2,$F$1))))</f>
        <v/>
      </c>
      <c r="H430" s="1" t="str">
        <f>IF(OR($B430="",H$7=""),"",IF($B430="MEANS",INDEX('1-DATA'!$1:$1048576,$A429-1,COLUMN('1-DATA'!G428)),ROUND(INDEX('1-DATA'!$1:$1048576,IF(OR($B430="STD. DEVIATION",$C$1=1),$A430,$A430+1),COLUMN('1-DATA'!G428)),IF($B430="STD. DEVIATION",2,$F$1))))</f>
        <v/>
      </c>
      <c r="I430" s="1" t="str">
        <f>IF(OR($B430="",I$7=""),"",IF($B430="MEANS",INDEX('1-DATA'!$1:$1048576,$A429-1,COLUMN('1-DATA'!H428)),ROUND(INDEX('1-DATA'!$1:$1048576,IF(OR($B430="STD. DEVIATION",$C$1=1),$A430,$A430+1),COLUMN('1-DATA'!H428)),IF($B430="STD. DEVIATION",2,$F$1))))</f>
        <v/>
      </c>
      <c r="J430" s="1" t="str">
        <f>IF(OR($B430="",J$7=""),"",IF($B430="MEANS",INDEX('1-DATA'!$1:$1048576,$A429-1,COLUMN('1-DATA'!I428)),ROUND(INDEX('1-DATA'!$1:$1048576,IF(OR($B430="STD. DEVIATION",$C$1=1),$A430,$A430+1),COLUMN('1-DATA'!I428)),IF($B430="STD. DEVIATION",2,$F$1))))</f>
        <v/>
      </c>
      <c r="K430" s="1" t="str">
        <f>IF(OR($B430="",K$7=""),"",IF($B430="MEANS",INDEX('1-DATA'!$1:$1048576,$A429-1,COLUMN('1-DATA'!J428)),ROUND(INDEX('1-DATA'!$1:$1048576,IF(OR($B430="STD. DEVIATION",$C$1=1),$A430,$A430+1),COLUMN('1-DATA'!J428)),IF($B430="STD. DEVIATION",2,$F$1))))</f>
        <v/>
      </c>
      <c r="L430" s="1" t="str">
        <f>IF(OR($B430="",L$7=""),"",IF($B430="MEANS",INDEX('1-DATA'!$1:$1048576,$A429-1,COLUMN('1-DATA'!K428)),ROUND(INDEX('1-DATA'!$1:$1048576,IF(OR($B430="STD. DEVIATION",$C$1=1),$A430,$A430+1),COLUMN('1-DATA'!K428)),IF($B430="STD. DEVIATION",2,$F$1))))</f>
        <v/>
      </c>
      <c r="M430" s="1" t="str">
        <f>IF(OR($B430="",M$7=""),"",IF($B430="MEANS",INDEX('1-DATA'!$1:$1048576,$A429-1,COLUMN('1-DATA'!L428)),ROUND(INDEX('1-DATA'!$1:$1048576,IF(OR($B430="STD. DEVIATION",$C$1=1),$A430,$A430+1),COLUMN('1-DATA'!L428)),IF($B430="STD. DEVIATION",2,$F$1))))</f>
        <v/>
      </c>
      <c r="N430" s="1" t="str">
        <f>IF(OR($B430="",N$7=""),"",IF($B430="MEANS",INDEX('1-DATA'!$1:$1048576,$A429-1,COLUMN('1-DATA'!M428)),ROUND(INDEX('1-DATA'!$1:$1048576,IF(OR($B430="STD. DEVIATION",$C$1=1),$A430,$A430+1),COLUMN('1-DATA'!M428)),IF($B430="STD. DEVIATION",2,$F$1))))</f>
        <v/>
      </c>
      <c r="O430" s="1" t="str">
        <f>IF(OR($B430="",O$7=""),"",IF($B430="MEANS",INDEX('1-DATA'!$1:$1048576,$A429-1,COLUMN('1-DATA'!N428)),ROUND(INDEX('1-DATA'!$1:$1048576,IF(OR($B430="STD. DEVIATION",$C$1=1),$A430,$A430+1),COLUMN('1-DATA'!N428)),IF($B430="STD. DEVIATION",2,$F$1))))</f>
        <v/>
      </c>
      <c r="P430" s="1" t="str">
        <f>IF(OR($B430="",P$7=""),"",IF($B430="MEANS",INDEX('1-DATA'!$1:$1048576,$A429-1,COLUMN('1-DATA'!O428)),ROUND(INDEX('1-DATA'!$1:$1048576,IF(OR($B430="STD. DEVIATION",$C$1=1),$A430,$A430+1),COLUMN('1-DATA'!O428)),IF($B430="STD. DEVIATION",2,$F$1))))</f>
        <v/>
      </c>
      <c r="Q430" s="1" t="str">
        <f>IF(OR($B430="",Q$7=""),"",IF($B430="MEANS",INDEX('1-DATA'!$1:$1048576,$A429-1,COLUMN('1-DATA'!P428)),ROUND(INDEX('1-DATA'!$1:$1048576,IF(OR($B430="STD. DEVIATION",$C$1=1),$A430,$A430+1),COLUMN('1-DATA'!P428)),IF($B430="STD. DEVIATION",2,$F$1))))</f>
        <v/>
      </c>
      <c r="R430" s="1" t="str">
        <f>IF(OR($B430="",R$7=""),"",IF($B430="MEANS",INDEX('1-DATA'!$1:$1048576,$A429-1,COLUMN('1-DATA'!Q428)),ROUND(INDEX('1-DATA'!$1:$1048576,IF(OR($B430="STD. DEVIATION",$C$1=1),$A430,$A430+1),COLUMN('1-DATA'!Q428)),IF($B430="STD. DEVIATION",2,$F$1))))</f>
        <v/>
      </c>
      <c r="S430" s="1" t="str">
        <f>IF(OR($B430="",S$7=""),"",IF($B430="MEANS",INDEX('1-DATA'!$1:$1048576,$A429-1,COLUMN('1-DATA'!R428)),ROUND(INDEX('1-DATA'!$1:$1048576,IF(OR($B430="STD. DEVIATION",$C$1=1),$A430,$A430+1),COLUMN('1-DATA'!R428)),IF($B430="STD. DEVIATION",2,$F$1))))</f>
        <v/>
      </c>
      <c r="T430" s="1" t="str">
        <f>IF(OR($B430="",T$7=""),"",IF($B430="MEANS",INDEX('1-DATA'!$1:$1048576,$A429-1,COLUMN('1-DATA'!S428)),ROUND(INDEX('1-DATA'!$1:$1048576,IF(OR($B430="STD. DEVIATION",$C$1=1),$A430,$A430+1),COLUMN('1-DATA'!S428)),IF($B430="STD. DEVIATION",2,$F$1))))</f>
        <v/>
      </c>
      <c r="U430" s="1" t="str">
        <f>IF(OR($B430="",U$7=""),"",IF($B430="MEANS",INDEX('1-DATA'!$1:$1048576,$A429-1,COLUMN('1-DATA'!T428)),ROUND(INDEX('1-DATA'!$1:$1048576,IF(OR($B430="STD. DEVIATION",$C$1=1),$A430,$A430+1),COLUMN('1-DATA'!T428)),IF($B430="STD. DEVIATION",2,$F$1))))</f>
        <v/>
      </c>
      <c r="V430" s="1" t="str">
        <f>IF(OR($B430="",V$7=""),"",IF($B430="MEANS",INDEX('1-DATA'!$1:$1048576,$A429-1,COLUMN('1-DATA'!U428)),ROUND(INDEX('1-DATA'!$1:$1048576,IF(OR($B430="STD. DEVIATION",$C$1=1),$A430,$A430+1),COLUMN('1-DATA'!U428)),IF($B430="STD. DEVIATION",2,$F$1))))</f>
        <v/>
      </c>
      <c r="W430" s="1" t="str">
        <f>IF(OR($B430="",W$7=""),"",IF($B430="MEANS",INDEX('1-DATA'!$1:$1048576,$A429-1,COLUMN('1-DATA'!V428)),ROUND(INDEX('1-DATA'!$1:$1048576,IF(OR($B430="STD. DEVIATION",$C$1=1),$A430,$A430+1),COLUMN('1-DATA'!V428)),IF($B430="STD. DEVIATION",2,$F$1))))</f>
        <v/>
      </c>
      <c r="X430" s="1" t="str">
        <f>IF(OR($B430="",X$7=""),"",IF($B430="MEANS",INDEX('1-DATA'!$1:$1048576,$A429-1,COLUMN('1-DATA'!W428)),ROUND(INDEX('1-DATA'!$1:$1048576,IF(OR($B430="STD. DEVIATION",$C$1=1),$A430,$A430+1),COLUMN('1-DATA'!W428)),IF($B430="STD. DEVIATION",2,$F$1))))</f>
        <v/>
      </c>
      <c r="Y430" s="1" t="str">
        <f>IF(OR($B430="",Y$7=""),"",IF($B430="MEANS",INDEX('1-DATA'!$1:$1048576,$A429-1,COLUMN('1-DATA'!X428)),ROUND(INDEX('1-DATA'!$1:$1048576,IF(OR($B430="STD. DEVIATION",$C$1=1),$A430,$A430+1),COLUMN('1-DATA'!X428)),IF($B430="STD. DEVIATION",2,$F$1))))</f>
        <v/>
      </c>
      <c r="Z430" s="1" t="str">
        <f>IF(OR($B430="",Z$7=""),"",IF($B430="MEANS",INDEX('1-DATA'!$1:$1048576,$A429-1,COLUMN('1-DATA'!Y428)),ROUND(INDEX('1-DATA'!$1:$1048576,IF(OR($B430="STD. DEVIATION",$C$1=1),$A430,$A430+1),COLUMN('1-DATA'!Y428)),IF($B430="STD. DEVIATION",2,$F$1))))</f>
        <v/>
      </c>
      <c r="AA430" s="1" t="str">
        <f>IF(OR($B430="",AA$7=""),"",IF($B430="MEANS",INDEX('1-DATA'!$1:$1048576,$A429-1,COLUMN('1-DATA'!Z428)),ROUND(INDEX('1-DATA'!$1:$1048576,IF(OR($B430="STD. DEVIATION",$C$1=1),$A430,$A430+1),COLUMN('1-DATA'!Z428)),IF($B430="STD. DEVIATION",2,$F$1))))</f>
        <v/>
      </c>
      <c r="AB430" s="1" t="str">
        <f>IF(OR($B430="",AB$7=""),"",IF($B430="MEANS",INDEX('1-DATA'!$1:$1048576,$A429-1,COLUMN('1-DATA'!AA428)),ROUND(INDEX('1-DATA'!$1:$1048576,IF(OR($B430="STD. DEVIATION",$C$1=1),$A430,$A430+1),COLUMN('1-DATA'!AA428)),IF($B430="STD. DEVIATION",2,$F$1))))</f>
        <v/>
      </c>
      <c r="AC430" s="1" t="str">
        <f>IF(OR($B430="",AC$7=""),"",IF($B430="MEANS",INDEX('1-DATA'!$1:$1048576,$A429-1,COLUMN('1-DATA'!AB428)),ROUND(INDEX('1-DATA'!$1:$1048576,IF(OR($B430="STD. DEVIATION",$C$1=1),$A430,$A430+1),COLUMN('1-DATA'!AB428)),IF($B430="STD. DEVIATION",2,$F$1))))</f>
        <v/>
      </c>
      <c r="AD430" s="1" t="str">
        <f>IF(OR($B430="",AD$7=""),"",IF($B430="MEANS",INDEX('1-DATA'!$1:$1048576,$A429-1,COLUMN('1-DATA'!AC428)),ROUND(INDEX('1-DATA'!$1:$1048576,IF(OR($B430="STD. DEVIATION",$C$1=1),$A430,$A430+1),COLUMN('1-DATA'!AC428)),IF($B430="STD. DEVIATION",2,$F$1))))</f>
        <v/>
      </c>
      <c r="AE430" s="1" t="str">
        <f>IF(OR($B430="",AE$7=""),"",IF($B430="MEANS",INDEX('1-DATA'!$1:$1048576,$A429-1,COLUMN('1-DATA'!AD428)),ROUND(INDEX('1-DATA'!$1:$1048576,IF(OR($B430="STD. DEVIATION",$C$1=1),$A430,$A430+1),COLUMN('1-DATA'!AD428)),IF($B430="STD. DEVIATION",2,$F$1))))</f>
        <v/>
      </c>
      <c r="AF430" s="1" t="str">
        <f>IF(OR($B430="",AF$7=""),"",IF($B430="MEANS",INDEX('1-DATA'!$1:$1048576,$A429-1,COLUMN('1-DATA'!AE428)),ROUND(INDEX('1-DATA'!$1:$1048576,IF(OR($B430="STD. DEVIATION",$C$1=1),$A430,$A430+1),COLUMN('1-DATA'!AE428)),IF($B430="STD. DEVIATION",2,$F$1))))</f>
        <v/>
      </c>
      <c r="AG430" s="1" t="str">
        <f>IF(OR($B430="",AG$7=""),"",IF($B430="MEANS",INDEX('1-DATA'!$1:$1048576,$A429-1,COLUMN('1-DATA'!AF428)),ROUND(INDEX('1-DATA'!$1:$1048576,IF(OR($B430="STD. DEVIATION",$C$1=1),$A430,$A430+1),COLUMN('1-DATA'!AF428)),IF($B430="STD. DEVIATION",2,$F$1))))</f>
        <v/>
      </c>
      <c r="AH430" s="1" t="str">
        <f>IF(OR($B430="",AH$7=""),"",IF($B430="MEANS",INDEX('1-DATA'!$1:$1048576,$A429-1,COLUMN('1-DATA'!AG428)),ROUND(INDEX('1-DATA'!$1:$1048576,IF(OR($B430="STD. DEVIATION",$C$1=1),$A430,$A430+1),COLUMN('1-DATA'!AG428)),IF($B430="STD. DEVIATION",2,$F$1))))</f>
        <v/>
      </c>
      <c r="AI430" s="1" t="str">
        <f>IF(OR($B430="",AI$7=""),"",IF($B430="MEANS",INDEX('1-DATA'!$1:$1048576,$A429-1,COLUMN('1-DATA'!AH428)),ROUND(INDEX('1-DATA'!$1:$1048576,IF(OR($B430="STD. DEVIATION",$C$1=1),$A430,$A430+1),COLUMN('1-DATA'!AH428)),IF($B430="STD. DEVIATION",2,$F$1))))</f>
        <v/>
      </c>
      <c r="AJ430" s="1" t="str">
        <f>IF(OR($B430="",AJ$7=""),"",IF($B430="MEANS",INDEX('1-DATA'!$1:$1048576,$A429-1,COLUMN('1-DATA'!AI428)),ROUND(INDEX('1-DATA'!$1:$1048576,IF(OR($B430="STD. DEVIATION",$C$1=1),$A430,$A430+1),COLUMN('1-DATA'!AI428)),IF($B430="STD. DEVIATION",2,$F$1))))</f>
        <v/>
      </c>
      <c r="AK430" s="1" t="str">
        <f>IF(OR($B430="",AK$7=""),"",IF($B430="MEANS",INDEX('1-DATA'!$1:$1048576,$A429-1,COLUMN('1-DATA'!AJ428)),ROUND(INDEX('1-DATA'!$1:$1048576,IF(OR($B430="STD. DEVIATION",$C$1=1),$A430,$A430+1),COLUMN('1-DATA'!AJ428)),IF($B430="STD. DEVIATION",2,$F$1))))</f>
        <v/>
      </c>
      <c r="AL430" s="1" t="str">
        <f>IF(OR($B430="",AL$7=""),"",IF($B430="MEANS",INDEX('1-DATA'!$1:$1048576,$A429-1,COLUMN('1-DATA'!AK428)),ROUND(INDEX('1-DATA'!$1:$1048576,IF(OR($B430="STD. DEVIATION",$C$1=1),$A430,$A430+1),COLUMN('1-DATA'!AK428)),IF($B430="STD. DEVIATION",2,$F$1))))</f>
        <v/>
      </c>
      <c r="AM430" s="1" t="str">
        <f>IF(OR($B430="",AM$7=""),"",IF($B430="MEANS",INDEX('1-DATA'!$1:$1048576,$A429-1,COLUMN('1-DATA'!AL428)),ROUND(INDEX('1-DATA'!$1:$1048576,IF(OR($B430="STD. DEVIATION",$C$1=1),$A430,$A430+1),COLUMN('1-DATA'!AL428)),IF($B430="STD. DEVIATION",2,$F$1))))</f>
        <v/>
      </c>
      <c r="AN430" s="1" t="str">
        <f>IF(OR($B430="",AN$7=""),"",IF($B430="MEANS",INDEX('1-DATA'!$1:$1048576,$A429-1,COLUMN('1-DATA'!AM428)),ROUND(INDEX('1-DATA'!$1:$1048576,IF(OR($B430="STD. DEVIATION",$C$1=1),$A430,$A430+1),COLUMN('1-DATA'!AM428)),IF($B430="STD. DEVIATION",2,$F$1))))</f>
        <v/>
      </c>
      <c r="AO430" s="1" t="str">
        <f>IF(OR($B430="",AO$7=""),"",IF($B430="MEANS",INDEX('1-DATA'!$1:$1048576,$A429-1,COLUMN('1-DATA'!AN428)),ROUND(INDEX('1-DATA'!$1:$1048576,IF(OR($B430="STD. DEVIATION",$C$1=1),$A430,$A430+1),COLUMN('1-DATA'!AN428)),IF($B430="STD. DEVIATION",2,$F$1))))</f>
        <v/>
      </c>
      <c r="AP430" s="1" t="str">
        <f>IF(OR($B430="",AP$7=""),"",IF($B430="MEANS",INDEX('1-DATA'!$1:$1048576,$A429-1,COLUMN('1-DATA'!AO428)),ROUND(INDEX('1-DATA'!$1:$1048576,IF(OR($B430="STD. DEVIATION",$C$1=1),$A430,$A430+1),COLUMN('1-DATA'!AO428)),IF($B430="STD. DEVIATION",2,$F$1))))</f>
        <v/>
      </c>
      <c r="AQ430" s="1" t="str">
        <f>IF(OR($B430="",AQ$7=""),"",IF($B430="MEANS",INDEX('1-DATA'!$1:$1048576,$A429-1,COLUMN('1-DATA'!AP428)),ROUND(INDEX('1-DATA'!$1:$1048576,IF(OR($B430="STD. DEVIATION",$C$1=1),$A430,$A430+1),COLUMN('1-DATA'!AP428)),IF($B430="STD. DEVIATION",2,$F$1))))</f>
        <v/>
      </c>
      <c r="AR430" s="1" t="str">
        <f>IF(OR($B430="",AR$7=""),"",IF($B430="MEANS",INDEX('1-DATA'!$1:$1048576,$A429-1,COLUMN('1-DATA'!AQ428)),ROUND(INDEX('1-DATA'!$1:$1048576,IF(OR($B430="STD. DEVIATION",$C$1=1),$A430,$A430+1),COLUMN('1-DATA'!AQ428)),IF($B430="STD. DEVIATION",2,$F$1))))</f>
        <v/>
      </c>
      <c r="AS430" s="1" t="str">
        <f>IF(OR($B430="",AS$7=""),"",IF($B430="MEANS",INDEX('1-DATA'!$1:$1048576,$A429-1,COLUMN('1-DATA'!AR428)),ROUND(INDEX('1-DATA'!$1:$1048576,IF(OR($B430="STD. DEVIATION",$C$1=1),$A430,$A430+1),COLUMN('1-DATA'!AR428)),IF($B430="STD. DEVIATION",2,$F$1))))</f>
        <v/>
      </c>
      <c r="AT430" s="1" t="str">
        <f>IF(OR($B430="",AT$7=""),"",IF($B430="MEANS",INDEX('1-DATA'!$1:$1048576,$A429-1,COLUMN('1-DATA'!AS428)),ROUND(INDEX('1-DATA'!$1:$1048576,IF(OR($B430="STD. DEVIATION",$C$1=1),$A430,$A430+1),COLUMN('1-DATA'!AS428)),IF($B430="STD. DEVIATION",2,$F$1))))</f>
        <v/>
      </c>
      <c r="AU430" s="1" t="str">
        <f>IF(OR($B430="",AU$7=""),"",IF($B430="MEANS",INDEX('1-DATA'!$1:$1048576,$A429-1,COLUMN('1-DATA'!AT428)),ROUND(INDEX('1-DATA'!$1:$1048576,IF(OR($B430="STD. DEVIATION",$C$1=1),$A430,$A430+1),COLUMN('1-DATA'!AT428)),IF($B430="STD. DEVIATION",2,$F$1))))</f>
        <v/>
      </c>
      <c r="AV430" s="1" t="str">
        <f>IF(OR($B430="",AV$7=""),"",IF($B430="MEANS",INDEX('1-DATA'!$1:$1048576,$A429-1,COLUMN('1-DATA'!AU428)),ROUND(INDEX('1-DATA'!$1:$1048576,IF(OR($B430="STD. DEVIATION",$C$1=1),$A430,$A430+1),COLUMN('1-DATA'!AU428)),IF($B430="STD. DEVIATION",2,$F$1))))</f>
        <v/>
      </c>
      <c r="AW430" s="1" t="str">
        <f>IF(OR($B430="",AW$7=""),"",IF($B430="MEANS",INDEX('1-DATA'!$1:$1048576,$A429-1,COLUMN('1-DATA'!AV428)),ROUND(INDEX('1-DATA'!$1:$1048576,IF(OR($B430="STD. DEVIATION",$C$1=1),$A430,$A430+1),COLUMN('1-DATA'!AV428)),IF($B430="STD. DEVIATION",2,$F$1))))</f>
        <v/>
      </c>
      <c r="AX430" s="1" t="str">
        <f>IF(OR($B430="",AX$7=""),"",IF($B430="MEANS",INDEX('1-DATA'!$1:$1048576,$A429-1,COLUMN('1-DATA'!AW428)),ROUND(INDEX('1-DATA'!$1:$1048576,IF(OR($B430="STD. DEVIATION",$C$1=1),$A430,$A430+1),COLUMN('1-DATA'!AW428)),IF($B430="STD. DEVIATION",2,$F$1))))</f>
        <v/>
      </c>
      <c r="AY430" s="1" t="str">
        <f>IF(OR($B430="",AY$7=""),"",IF($B430="MEANS",INDEX('1-DATA'!$1:$1048576,$A429-1,COLUMN('1-DATA'!AX428)),ROUND(INDEX('1-DATA'!$1:$1048576,IF(OR($B430="STD. DEVIATION",$C$1=1),$A430,$A430+1),COLUMN('1-DATA'!AX428)),IF($B430="STD. DEVIATION",2,$F$1))))</f>
        <v/>
      </c>
      <c r="AZ430" s="1" t="str">
        <f>IF(OR($B430="",AZ$7=""),"",IF($B430="MEANS",INDEX('1-DATA'!$1:$1048576,$A429-1,COLUMN('1-DATA'!AY428)),ROUND(INDEX('1-DATA'!$1:$1048576,IF(OR($B430="STD. DEVIATION",$C$1=1),$A430,$A430+1),COLUMN('1-DATA'!AY428)),IF($B430="STD. DEVIATION",2,$F$1))))</f>
        <v/>
      </c>
    </row>
    <row r="431" spans="1:52" x14ac:dyDescent="0.25">
      <c r="A431" s="11">
        <f t="shared" si="7"/>
        <v>1279</v>
      </c>
      <c r="B431" s="1" t="str">
        <f>IF(B430="STD. DEVIATION",INDEX('1-DATA'!$1:$1048576,$A430-1,1),IF(INDEX('1-DATA'!$1:$1048576,$A431,1)&lt;&gt;"",INDEX('1-DATA'!$1:$1048576,$A431,1),""))</f>
        <v/>
      </c>
      <c r="C431" s="1" t="str">
        <f>IF(OR($B431="",C$7=""),"",IF($B431="MEANS",INDEX('1-DATA'!$1:$1048576,$A430-1,COLUMN('1-DATA'!B429)),ROUND(INDEX('1-DATA'!$1:$1048576,IF(OR($B431="STD. DEVIATION",$C$1=1),$A431,$A431+1),COLUMN('1-DATA'!B429)),IF($B431="STD. DEVIATION",2,$F$1))))</f>
        <v/>
      </c>
      <c r="D431" s="1" t="str">
        <f>IF(OR($B431="",D$7=""),"",IF($B431="MEANS",INDEX('1-DATA'!$1:$1048576,$A430-1,COLUMN('1-DATA'!C429)),ROUND(INDEX('1-DATA'!$1:$1048576,IF(OR($B431="STD. DEVIATION",$C$1=1),$A431,$A431+1),COLUMN('1-DATA'!C429)),IF($B431="STD. DEVIATION",2,$F$1))))</f>
        <v/>
      </c>
      <c r="E431" s="1" t="str">
        <f>IF(OR($B431="",E$7=""),"",IF($B431="MEANS",INDEX('1-DATA'!$1:$1048576,$A430-1,COLUMN('1-DATA'!D429)),ROUND(INDEX('1-DATA'!$1:$1048576,IF(OR($B431="STD. DEVIATION",$C$1=1),$A431,$A431+1),COLUMN('1-DATA'!D429)),IF($B431="STD. DEVIATION",2,$F$1))))</f>
        <v/>
      </c>
      <c r="F431" s="1" t="str">
        <f>IF(OR($B431="",F$7=""),"",IF($B431="MEANS",INDEX('1-DATA'!$1:$1048576,$A430-1,COLUMN('1-DATA'!E429)),ROUND(INDEX('1-DATA'!$1:$1048576,IF(OR($B431="STD. DEVIATION",$C$1=1),$A431,$A431+1),COLUMN('1-DATA'!E429)),IF($B431="STD. DEVIATION",2,$F$1))))</f>
        <v/>
      </c>
      <c r="G431" s="1" t="str">
        <f>IF(OR($B431="",G$7=""),"",IF($B431="MEANS",INDEX('1-DATA'!$1:$1048576,$A430-1,COLUMN('1-DATA'!F429)),ROUND(INDEX('1-DATA'!$1:$1048576,IF(OR($B431="STD. DEVIATION",$C$1=1),$A431,$A431+1),COLUMN('1-DATA'!F429)),IF($B431="STD. DEVIATION",2,$F$1))))</f>
        <v/>
      </c>
      <c r="H431" s="1" t="str">
        <f>IF(OR($B431="",H$7=""),"",IF($B431="MEANS",INDEX('1-DATA'!$1:$1048576,$A430-1,COLUMN('1-DATA'!G429)),ROUND(INDEX('1-DATA'!$1:$1048576,IF(OR($B431="STD. DEVIATION",$C$1=1),$A431,$A431+1),COLUMN('1-DATA'!G429)),IF($B431="STD. DEVIATION",2,$F$1))))</f>
        <v/>
      </c>
      <c r="I431" s="1" t="str">
        <f>IF(OR($B431="",I$7=""),"",IF($B431="MEANS",INDEX('1-DATA'!$1:$1048576,$A430-1,COLUMN('1-DATA'!H429)),ROUND(INDEX('1-DATA'!$1:$1048576,IF(OR($B431="STD. DEVIATION",$C$1=1),$A431,$A431+1),COLUMN('1-DATA'!H429)),IF($B431="STD. DEVIATION",2,$F$1))))</f>
        <v/>
      </c>
      <c r="J431" s="1" t="str">
        <f>IF(OR($B431="",J$7=""),"",IF($B431="MEANS",INDEX('1-DATA'!$1:$1048576,$A430-1,COLUMN('1-DATA'!I429)),ROUND(INDEX('1-DATA'!$1:$1048576,IF(OR($B431="STD. DEVIATION",$C$1=1),$A431,$A431+1),COLUMN('1-DATA'!I429)),IF($B431="STD. DEVIATION",2,$F$1))))</f>
        <v/>
      </c>
      <c r="K431" s="1" t="str">
        <f>IF(OR($B431="",K$7=""),"",IF($B431="MEANS",INDEX('1-DATA'!$1:$1048576,$A430-1,COLUMN('1-DATA'!J429)),ROUND(INDEX('1-DATA'!$1:$1048576,IF(OR($B431="STD. DEVIATION",$C$1=1),$A431,$A431+1),COLUMN('1-DATA'!J429)),IF($B431="STD. DEVIATION",2,$F$1))))</f>
        <v/>
      </c>
      <c r="L431" s="1" t="str">
        <f>IF(OR($B431="",L$7=""),"",IF($B431="MEANS",INDEX('1-DATA'!$1:$1048576,$A430-1,COLUMN('1-DATA'!K429)),ROUND(INDEX('1-DATA'!$1:$1048576,IF(OR($B431="STD. DEVIATION",$C$1=1),$A431,$A431+1),COLUMN('1-DATA'!K429)),IF($B431="STD. DEVIATION",2,$F$1))))</f>
        <v/>
      </c>
      <c r="M431" s="1" t="str">
        <f>IF(OR($B431="",M$7=""),"",IF($B431="MEANS",INDEX('1-DATA'!$1:$1048576,$A430-1,COLUMN('1-DATA'!L429)),ROUND(INDEX('1-DATA'!$1:$1048576,IF(OR($B431="STD. DEVIATION",$C$1=1),$A431,$A431+1),COLUMN('1-DATA'!L429)),IF($B431="STD. DEVIATION",2,$F$1))))</f>
        <v/>
      </c>
      <c r="N431" s="1" t="str">
        <f>IF(OR($B431="",N$7=""),"",IF($B431="MEANS",INDEX('1-DATA'!$1:$1048576,$A430-1,COLUMN('1-DATA'!M429)),ROUND(INDEX('1-DATA'!$1:$1048576,IF(OR($B431="STD. DEVIATION",$C$1=1),$A431,$A431+1),COLUMN('1-DATA'!M429)),IF($B431="STD. DEVIATION",2,$F$1))))</f>
        <v/>
      </c>
      <c r="O431" s="1" t="str">
        <f>IF(OR($B431="",O$7=""),"",IF($B431="MEANS",INDEX('1-DATA'!$1:$1048576,$A430-1,COLUMN('1-DATA'!N429)),ROUND(INDEX('1-DATA'!$1:$1048576,IF(OR($B431="STD. DEVIATION",$C$1=1),$A431,$A431+1),COLUMN('1-DATA'!N429)),IF($B431="STD. DEVIATION",2,$F$1))))</f>
        <v/>
      </c>
      <c r="P431" s="1" t="str">
        <f>IF(OR($B431="",P$7=""),"",IF($B431="MEANS",INDEX('1-DATA'!$1:$1048576,$A430-1,COLUMN('1-DATA'!O429)),ROUND(INDEX('1-DATA'!$1:$1048576,IF(OR($B431="STD. DEVIATION",$C$1=1),$A431,$A431+1),COLUMN('1-DATA'!O429)),IF($B431="STD. DEVIATION",2,$F$1))))</f>
        <v/>
      </c>
      <c r="Q431" s="1" t="str">
        <f>IF(OR($B431="",Q$7=""),"",IF($B431="MEANS",INDEX('1-DATA'!$1:$1048576,$A430-1,COLUMN('1-DATA'!P429)),ROUND(INDEX('1-DATA'!$1:$1048576,IF(OR($B431="STD. DEVIATION",$C$1=1),$A431,$A431+1),COLUMN('1-DATA'!P429)),IF($B431="STD. DEVIATION",2,$F$1))))</f>
        <v/>
      </c>
      <c r="R431" s="1" t="str">
        <f>IF(OR($B431="",R$7=""),"",IF($B431="MEANS",INDEX('1-DATA'!$1:$1048576,$A430-1,COLUMN('1-DATA'!Q429)),ROUND(INDEX('1-DATA'!$1:$1048576,IF(OR($B431="STD. DEVIATION",$C$1=1),$A431,$A431+1),COLUMN('1-DATA'!Q429)),IF($B431="STD. DEVIATION",2,$F$1))))</f>
        <v/>
      </c>
      <c r="S431" s="1" t="str">
        <f>IF(OR($B431="",S$7=""),"",IF($B431="MEANS",INDEX('1-DATA'!$1:$1048576,$A430-1,COLUMN('1-DATA'!R429)),ROUND(INDEX('1-DATA'!$1:$1048576,IF(OR($B431="STD. DEVIATION",$C$1=1),$A431,$A431+1),COLUMN('1-DATA'!R429)),IF($B431="STD. DEVIATION",2,$F$1))))</f>
        <v/>
      </c>
      <c r="T431" s="1" t="str">
        <f>IF(OR($B431="",T$7=""),"",IF($B431="MEANS",INDEX('1-DATA'!$1:$1048576,$A430-1,COLUMN('1-DATA'!S429)),ROUND(INDEX('1-DATA'!$1:$1048576,IF(OR($B431="STD. DEVIATION",$C$1=1),$A431,$A431+1),COLUMN('1-DATA'!S429)),IF($B431="STD. DEVIATION",2,$F$1))))</f>
        <v/>
      </c>
      <c r="U431" s="1" t="str">
        <f>IF(OR($B431="",U$7=""),"",IF($B431="MEANS",INDEX('1-DATA'!$1:$1048576,$A430-1,COLUMN('1-DATA'!T429)),ROUND(INDEX('1-DATA'!$1:$1048576,IF(OR($B431="STD. DEVIATION",$C$1=1),$A431,$A431+1),COLUMN('1-DATA'!T429)),IF($B431="STD. DEVIATION",2,$F$1))))</f>
        <v/>
      </c>
      <c r="V431" s="1" t="str">
        <f>IF(OR($B431="",V$7=""),"",IF($B431="MEANS",INDEX('1-DATA'!$1:$1048576,$A430-1,COLUMN('1-DATA'!U429)),ROUND(INDEX('1-DATA'!$1:$1048576,IF(OR($B431="STD. DEVIATION",$C$1=1),$A431,$A431+1),COLUMN('1-DATA'!U429)),IF($B431="STD. DEVIATION",2,$F$1))))</f>
        <v/>
      </c>
      <c r="W431" s="1" t="str">
        <f>IF(OR($B431="",W$7=""),"",IF($B431="MEANS",INDEX('1-DATA'!$1:$1048576,$A430-1,COLUMN('1-DATA'!V429)),ROUND(INDEX('1-DATA'!$1:$1048576,IF(OR($B431="STD. DEVIATION",$C$1=1),$A431,$A431+1),COLUMN('1-DATA'!V429)),IF($B431="STD. DEVIATION",2,$F$1))))</f>
        <v/>
      </c>
      <c r="X431" s="1" t="str">
        <f>IF(OR($B431="",X$7=""),"",IF($B431="MEANS",INDEX('1-DATA'!$1:$1048576,$A430-1,COLUMN('1-DATA'!W429)),ROUND(INDEX('1-DATA'!$1:$1048576,IF(OR($B431="STD. DEVIATION",$C$1=1),$A431,$A431+1),COLUMN('1-DATA'!W429)),IF($B431="STD. DEVIATION",2,$F$1))))</f>
        <v/>
      </c>
      <c r="Y431" s="1" t="str">
        <f>IF(OR($B431="",Y$7=""),"",IF($B431="MEANS",INDEX('1-DATA'!$1:$1048576,$A430-1,COLUMN('1-DATA'!X429)),ROUND(INDEX('1-DATA'!$1:$1048576,IF(OR($B431="STD. DEVIATION",$C$1=1),$A431,$A431+1),COLUMN('1-DATA'!X429)),IF($B431="STD. DEVIATION",2,$F$1))))</f>
        <v/>
      </c>
      <c r="Z431" s="1" t="str">
        <f>IF(OR($B431="",Z$7=""),"",IF($B431="MEANS",INDEX('1-DATA'!$1:$1048576,$A430-1,COLUMN('1-DATA'!Y429)),ROUND(INDEX('1-DATA'!$1:$1048576,IF(OR($B431="STD. DEVIATION",$C$1=1),$A431,$A431+1),COLUMN('1-DATA'!Y429)),IF($B431="STD. DEVIATION",2,$F$1))))</f>
        <v/>
      </c>
      <c r="AA431" s="1" t="str">
        <f>IF(OR($B431="",AA$7=""),"",IF($B431="MEANS",INDEX('1-DATA'!$1:$1048576,$A430-1,COLUMN('1-DATA'!Z429)),ROUND(INDEX('1-DATA'!$1:$1048576,IF(OR($B431="STD. DEVIATION",$C$1=1),$A431,$A431+1),COLUMN('1-DATA'!Z429)),IF($B431="STD. DEVIATION",2,$F$1))))</f>
        <v/>
      </c>
      <c r="AB431" s="1" t="str">
        <f>IF(OR($B431="",AB$7=""),"",IF($B431="MEANS",INDEX('1-DATA'!$1:$1048576,$A430-1,COLUMN('1-DATA'!AA429)),ROUND(INDEX('1-DATA'!$1:$1048576,IF(OR($B431="STD. DEVIATION",$C$1=1),$A431,$A431+1),COLUMN('1-DATA'!AA429)),IF($B431="STD. DEVIATION",2,$F$1))))</f>
        <v/>
      </c>
      <c r="AC431" s="1" t="str">
        <f>IF(OR($B431="",AC$7=""),"",IF($B431="MEANS",INDEX('1-DATA'!$1:$1048576,$A430-1,COLUMN('1-DATA'!AB429)),ROUND(INDEX('1-DATA'!$1:$1048576,IF(OR($B431="STD. DEVIATION",$C$1=1),$A431,$A431+1),COLUMN('1-DATA'!AB429)),IF($B431="STD. DEVIATION",2,$F$1))))</f>
        <v/>
      </c>
      <c r="AD431" s="1" t="str">
        <f>IF(OR($B431="",AD$7=""),"",IF($B431="MEANS",INDEX('1-DATA'!$1:$1048576,$A430-1,COLUMN('1-DATA'!AC429)),ROUND(INDEX('1-DATA'!$1:$1048576,IF(OR($B431="STD. DEVIATION",$C$1=1),$A431,$A431+1),COLUMN('1-DATA'!AC429)),IF($B431="STD. DEVIATION",2,$F$1))))</f>
        <v/>
      </c>
      <c r="AE431" s="1" t="str">
        <f>IF(OR($B431="",AE$7=""),"",IF($B431="MEANS",INDEX('1-DATA'!$1:$1048576,$A430-1,COLUMN('1-DATA'!AD429)),ROUND(INDEX('1-DATA'!$1:$1048576,IF(OR($B431="STD. DEVIATION",$C$1=1),$A431,$A431+1),COLUMN('1-DATA'!AD429)),IF($B431="STD. DEVIATION",2,$F$1))))</f>
        <v/>
      </c>
      <c r="AF431" s="1" t="str">
        <f>IF(OR($B431="",AF$7=""),"",IF($B431="MEANS",INDEX('1-DATA'!$1:$1048576,$A430-1,COLUMN('1-DATA'!AE429)),ROUND(INDEX('1-DATA'!$1:$1048576,IF(OR($B431="STD. DEVIATION",$C$1=1),$A431,$A431+1),COLUMN('1-DATA'!AE429)),IF($B431="STD. DEVIATION",2,$F$1))))</f>
        <v/>
      </c>
      <c r="AG431" s="1" t="str">
        <f>IF(OR($B431="",AG$7=""),"",IF($B431="MEANS",INDEX('1-DATA'!$1:$1048576,$A430-1,COLUMN('1-DATA'!AF429)),ROUND(INDEX('1-DATA'!$1:$1048576,IF(OR($B431="STD. DEVIATION",$C$1=1),$A431,$A431+1),COLUMN('1-DATA'!AF429)),IF($B431="STD. DEVIATION",2,$F$1))))</f>
        <v/>
      </c>
      <c r="AH431" s="1" t="str">
        <f>IF(OR($B431="",AH$7=""),"",IF($B431="MEANS",INDEX('1-DATA'!$1:$1048576,$A430-1,COLUMN('1-DATA'!AG429)),ROUND(INDEX('1-DATA'!$1:$1048576,IF(OR($B431="STD. DEVIATION",$C$1=1),$A431,$A431+1),COLUMN('1-DATA'!AG429)),IF($B431="STD. DEVIATION",2,$F$1))))</f>
        <v/>
      </c>
      <c r="AI431" s="1" t="str">
        <f>IF(OR($B431="",AI$7=""),"",IF($B431="MEANS",INDEX('1-DATA'!$1:$1048576,$A430-1,COLUMN('1-DATA'!AH429)),ROUND(INDEX('1-DATA'!$1:$1048576,IF(OR($B431="STD. DEVIATION",$C$1=1),$A431,$A431+1),COLUMN('1-DATA'!AH429)),IF($B431="STD. DEVIATION",2,$F$1))))</f>
        <v/>
      </c>
      <c r="AJ431" s="1" t="str">
        <f>IF(OR($B431="",AJ$7=""),"",IF($B431="MEANS",INDEX('1-DATA'!$1:$1048576,$A430-1,COLUMN('1-DATA'!AI429)),ROUND(INDEX('1-DATA'!$1:$1048576,IF(OR($B431="STD. DEVIATION",$C$1=1),$A431,$A431+1),COLUMN('1-DATA'!AI429)),IF($B431="STD. DEVIATION",2,$F$1))))</f>
        <v/>
      </c>
      <c r="AK431" s="1" t="str">
        <f>IF(OR($B431="",AK$7=""),"",IF($B431="MEANS",INDEX('1-DATA'!$1:$1048576,$A430-1,COLUMN('1-DATA'!AJ429)),ROUND(INDEX('1-DATA'!$1:$1048576,IF(OR($B431="STD. DEVIATION",$C$1=1),$A431,$A431+1),COLUMN('1-DATA'!AJ429)),IF($B431="STD. DEVIATION",2,$F$1))))</f>
        <v/>
      </c>
      <c r="AL431" s="1" t="str">
        <f>IF(OR($B431="",AL$7=""),"",IF($B431="MEANS",INDEX('1-DATA'!$1:$1048576,$A430-1,COLUMN('1-DATA'!AK429)),ROUND(INDEX('1-DATA'!$1:$1048576,IF(OR($B431="STD. DEVIATION",$C$1=1),$A431,$A431+1),COLUMN('1-DATA'!AK429)),IF($B431="STD. DEVIATION",2,$F$1))))</f>
        <v/>
      </c>
      <c r="AM431" s="1" t="str">
        <f>IF(OR($B431="",AM$7=""),"",IF($B431="MEANS",INDEX('1-DATA'!$1:$1048576,$A430-1,COLUMN('1-DATA'!AL429)),ROUND(INDEX('1-DATA'!$1:$1048576,IF(OR($B431="STD. DEVIATION",$C$1=1),$A431,$A431+1),COLUMN('1-DATA'!AL429)),IF($B431="STD. DEVIATION",2,$F$1))))</f>
        <v/>
      </c>
      <c r="AN431" s="1" t="str">
        <f>IF(OR($B431="",AN$7=""),"",IF($B431="MEANS",INDEX('1-DATA'!$1:$1048576,$A430-1,COLUMN('1-DATA'!AM429)),ROUND(INDEX('1-DATA'!$1:$1048576,IF(OR($B431="STD. DEVIATION",$C$1=1),$A431,$A431+1),COLUMN('1-DATA'!AM429)),IF($B431="STD. DEVIATION",2,$F$1))))</f>
        <v/>
      </c>
      <c r="AO431" s="1" t="str">
        <f>IF(OR($B431="",AO$7=""),"",IF($B431="MEANS",INDEX('1-DATA'!$1:$1048576,$A430-1,COLUMN('1-DATA'!AN429)),ROUND(INDEX('1-DATA'!$1:$1048576,IF(OR($B431="STD. DEVIATION",$C$1=1),$A431,$A431+1),COLUMN('1-DATA'!AN429)),IF($B431="STD. DEVIATION",2,$F$1))))</f>
        <v/>
      </c>
      <c r="AP431" s="1" t="str">
        <f>IF(OR($B431="",AP$7=""),"",IF($B431="MEANS",INDEX('1-DATA'!$1:$1048576,$A430-1,COLUMN('1-DATA'!AO429)),ROUND(INDEX('1-DATA'!$1:$1048576,IF(OR($B431="STD. DEVIATION",$C$1=1),$A431,$A431+1),COLUMN('1-DATA'!AO429)),IF($B431="STD. DEVIATION",2,$F$1))))</f>
        <v/>
      </c>
      <c r="AQ431" s="1" t="str">
        <f>IF(OR($B431="",AQ$7=""),"",IF($B431="MEANS",INDEX('1-DATA'!$1:$1048576,$A430-1,COLUMN('1-DATA'!AP429)),ROUND(INDEX('1-DATA'!$1:$1048576,IF(OR($B431="STD. DEVIATION",$C$1=1),$A431,$A431+1),COLUMN('1-DATA'!AP429)),IF($B431="STD. DEVIATION",2,$F$1))))</f>
        <v/>
      </c>
      <c r="AR431" s="1" t="str">
        <f>IF(OR($B431="",AR$7=""),"",IF($B431="MEANS",INDEX('1-DATA'!$1:$1048576,$A430-1,COLUMN('1-DATA'!AQ429)),ROUND(INDEX('1-DATA'!$1:$1048576,IF(OR($B431="STD. DEVIATION",$C$1=1),$A431,$A431+1),COLUMN('1-DATA'!AQ429)),IF($B431="STD. DEVIATION",2,$F$1))))</f>
        <v/>
      </c>
      <c r="AS431" s="1" t="str">
        <f>IF(OR($B431="",AS$7=""),"",IF($B431="MEANS",INDEX('1-DATA'!$1:$1048576,$A430-1,COLUMN('1-DATA'!AR429)),ROUND(INDEX('1-DATA'!$1:$1048576,IF(OR($B431="STD. DEVIATION",$C$1=1),$A431,$A431+1),COLUMN('1-DATA'!AR429)),IF($B431="STD. DEVIATION",2,$F$1))))</f>
        <v/>
      </c>
      <c r="AT431" s="1" t="str">
        <f>IF(OR($B431="",AT$7=""),"",IF($B431="MEANS",INDEX('1-DATA'!$1:$1048576,$A430-1,COLUMN('1-DATA'!AS429)),ROUND(INDEX('1-DATA'!$1:$1048576,IF(OR($B431="STD. DEVIATION",$C$1=1),$A431,$A431+1),COLUMN('1-DATA'!AS429)),IF($B431="STD. DEVIATION",2,$F$1))))</f>
        <v/>
      </c>
      <c r="AU431" s="1" t="str">
        <f>IF(OR($B431="",AU$7=""),"",IF($B431="MEANS",INDEX('1-DATA'!$1:$1048576,$A430-1,COLUMN('1-DATA'!AT429)),ROUND(INDEX('1-DATA'!$1:$1048576,IF(OR($B431="STD. DEVIATION",$C$1=1),$A431,$A431+1),COLUMN('1-DATA'!AT429)),IF($B431="STD. DEVIATION",2,$F$1))))</f>
        <v/>
      </c>
      <c r="AV431" s="1" t="str">
        <f>IF(OR($B431="",AV$7=""),"",IF($B431="MEANS",INDEX('1-DATA'!$1:$1048576,$A430-1,COLUMN('1-DATA'!AU429)),ROUND(INDEX('1-DATA'!$1:$1048576,IF(OR($B431="STD. DEVIATION",$C$1=1),$A431,$A431+1),COLUMN('1-DATA'!AU429)),IF($B431="STD. DEVIATION",2,$F$1))))</f>
        <v/>
      </c>
      <c r="AW431" s="1" t="str">
        <f>IF(OR($B431="",AW$7=""),"",IF($B431="MEANS",INDEX('1-DATA'!$1:$1048576,$A430-1,COLUMN('1-DATA'!AV429)),ROUND(INDEX('1-DATA'!$1:$1048576,IF(OR($B431="STD. DEVIATION",$C$1=1),$A431,$A431+1),COLUMN('1-DATA'!AV429)),IF($B431="STD. DEVIATION",2,$F$1))))</f>
        <v/>
      </c>
      <c r="AX431" s="1" t="str">
        <f>IF(OR($B431="",AX$7=""),"",IF($B431="MEANS",INDEX('1-DATA'!$1:$1048576,$A430-1,COLUMN('1-DATA'!AW429)),ROUND(INDEX('1-DATA'!$1:$1048576,IF(OR($B431="STD. DEVIATION",$C$1=1),$A431,$A431+1),COLUMN('1-DATA'!AW429)),IF($B431="STD. DEVIATION",2,$F$1))))</f>
        <v/>
      </c>
      <c r="AY431" s="1" t="str">
        <f>IF(OR($B431="",AY$7=""),"",IF($B431="MEANS",INDEX('1-DATA'!$1:$1048576,$A430-1,COLUMN('1-DATA'!AX429)),ROUND(INDEX('1-DATA'!$1:$1048576,IF(OR($B431="STD. DEVIATION",$C$1=1),$A431,$A431+1),COLUMN('1-DATA'!AX429)),IF($B431="STD. DEVIATION",2,$F$1))))</f>
        <v/>
      </c>
      <c r="AZ431" s="1" t="str">
        <f>IF(OR($B431="",AZ$7=""),"",IF($B431="MEANS",INDEX('1-DATA'!$1:$1048576,$A430-1,COLUMN('1-DATA'!AY429)),ROUND(INDEX('1-DATA'!$1:$1048576,IF(OR($B431="STD. DEVIATION",$C$1=1),$A431,$A431+1),COLUMN('1-DATA'!AY429)),IF($B431="STD. DEVIATION",2,$F$1))))</f>
        <v/>
      </c>
    </row>
    <row r="432" spans="1:52" x14ac:dyDescent="0.25">
      <c r="A432" s="11">
        <f t="shared" si="7"/>
        <v>1282</v>
      </c>
      <c r="B432" s="1" t="str">
        <f>IF(B431="STD. DEVIATION",INDEX('1-DATA'!$1:$1048576,$A431-1,1),IF(INDEX('1-DATA'!$1:$1048576,$A432,1)&lt;&gt;"",INDEX('1-DATA'!$1:$1048576,$A432,1),""))</f>
        <v/>
      </c>
      <c r="C432" s="1" t="str">
        <f>IF(OR($B432="",C$7=""),"",IF($B432="MEANS",INDEX('1-DATA'!$1:$1048576,$A431-1,COLUMN('1-DATA'!B430)),ROUND(INDEX('1-DATA'!$1:$1048576,IF(OR($B432="STD. DEVIATION",$C$1=1),$A432,$A432+1),COLUMN('1-DATA'!B430)),IF($B432="STD. DEVIATION",2,$F$1))))</f>
        <v/>
      </c>
      <c r="D432" s="1" t="str">
        <f>IF(OR($B432="",D$7=""),"",IF($B432="MEANS",INDEX('1-DATA'!$1:$1048576,$A431-1,COLUMN('1-DATA'!C430)),ROUND(INDEX('1-DATA'!$1:$1048576,IF(OR($B432="STD. DEVIATION",$C$1=1),$A432,$A432+1),COLUMN('1-DATA'!C430)),IF($B432="STD. DEVIATION",2,$F$1))))</f>
        <v/>
      </c>
      <c r="E432" s="1" t="str">
        <f>IF(OR($B432="",E$7=""),"",IF($B432="MEANS",INDEX('1-DATA'!$1:$1048576,$A431-1,COLUMN('1-DATA'!D430)),ROUND(INDEX('1-DATA'!$1:$1048576,IF(OR($B432="STD. DEVIATION",$C$1=1),$A432,$A432+1),COLUMN('1-DATA'!D430)),IF($B432="STD. DEVIATION",2,$F$1))))</f>
        <v/>
      </c>
      <c r="F432" s="1" t="str">
        <f>IF(OR($B432="",F$7=""),"",IF($B432="MEANS",INDEX('1-DATA'!$1:$1048576,$A431-1,COLUMN('1-DATA'!E430)),ROUND(INDEX('1-DATA'!$1:$1048576,IF(OR($B432="STD. DEVIATION",$C$1=1),$A432,$A432+1),COLUMN('1-DATA'!E430)),IF($B432="STD. DEVIATION",2,$F$1))))</f>
        <v/>
      </c>
      <c r="G432" s="1" t="str">
        <f>IF(OR($B432="",G$7=""),"",IF($B432="MEANS",INDEX('1-DATA'!$1:$1048576,$A431-1,COLUMN('1-DATA'!F430)),ROUND(INDEX('1-DATA'!$1:$1048576,IF(OR($B432="STD. DEVIATION",$C$1=1),$A432,$A432+1),COLUMN('1-DATA'!F430)),IF($B432="STD. DEVIATION",2,$F$1))))</f>
        <v/>
      </c>
      <c r="H432" s="1" t="str">
        <f>IF(OR($B432="",H$7=""),"",IF($B432="MEANS",INDEX('1-DATA'!$1:$1048576,$A431-1,COLUMN('1-DATA'!G430)),ROUND(INDEX('1-DATA'!$1:$1048576,IF(OR($B432="STD. DEVIATION",$C$1=1),$A432,$A432+1),COLUMN('1-DATA'!G430)),IF($B432="STD. DEVIATION",2,$F$1))))</f>
        <v/>
      </c>
      <c r="I432" s="1" t="str">
        <f>IF(OR($B432="",I$7=""),"",IF($B432="MEANS",INDEX('1-DATA'!$1:$1048576,$A431-1,COLUMN('1-DATA'!H430)),ROUND(INDEX('1-DATA'!$1:$1048576,IF(OR($B432="STD. DEVIATION",$C$1=1),$A432,$A432+1),COLUMN('1-DATA'!H430)),IF($B432="STD. DEVIATION",2,$F$1))))</f>
        <v/>
      </c>
      <c r="J432" s="1" t="str">
        <f>IF(OR($B432="",J$7=""),"",IF($B432="MEANS",INDEX('1-DATA'!$1:$1048576,$A431-1,COLUMN('1-DATA'!I430)),ROUND(INDEX('1-DATA'!$1:$1048576,IF(OR($B432="STD. DEVIATION",$C$1=1),$A432,$A432+1),COLUMN('1-DATA'!I430)),IF($B432="STD. DEVIATION",2,$F$1))))</f>
        <v/>
      </c>
      <c r="K432" s="1" t="str">
        <f>IF(OR($B432="",K$7=""),"",IF($B432="MEANS",INDEX('1-DATA'!$1:$1048576,$A431-1,COLUMN('1-DATA'!J430)),ROUND(INDEX('1-DATA'!$1:$1048576,IF(OR($B432="STD. DEVIATION",$C$1=1),$A432,$A432+1),COLUMN('1-DATA'!J430)),IF($B432="STD. DEVIATION",2,$F$1))))</f>
        <v/>
      </c>
      <c r="L432" s="1" t="str">
        <f>IF(OR($B432="",L$7=""),"",IF($B432="MEANS",INDEX('1-DATA'!$1:$1048576,$A431-1,COLUMN('1-DATA'!K430)),ROUND(INDEX('1-DATA'!$1:$1048576,IF(OR($B432="STD. DEVIATION",$C$1=1),$A432,$A432+1),COLUMN('1-DATA'!K430)),IF($B432="STD. DEVIATION",2,$F$1))))</f>
        <v/>
      </c>
      <c r="M432" s="1" t="str">
        <f>IF(OR($B432="",M$7=""),"",IF($B432="MEANS",INDEX('1-DATA'!$1:$1048576,$A431-1,COLUMN('1-DATA'!L430)),ROUND(INDEX('1-DATA'!$1:$1048576,IF(OR($B432="STD. DEVIATION",$C$1=1),$A432,$A432+1),COLUMN('1-DATA'!L430)),IF($B432="STD. DEVIATION",2,$F$1))))</f>
        <v/>
      </c>
      <c r="N432" s="1" t="str">
        <f>IF(OR($B432="",N$7=""),"",IF($B432="MEANS",INDEX('1-DATA'!$1:$1048576,$A431-1,COLUMN('1-DATA'!M430)),ROUND(INDEX('1-DATA'!$1:$1048576,IF(OR($B432="STD. DEVIATION",$C$1=1),$A432,$A432+1),COLUMN('1-DATA'!M430)),IF($B432="STD. DEVIATION",2,$F$1))))</f>
        <v/>
      </c>
      <c r="O432" s="1" t="str">
        <f>IF(OR($B432="",O$7=""),"",IF($B432="MEANS",INDEX('1-DATA'!$1:$1048576,$A431-1,COLUMN('1-DATA'!N430)),ROUND(INDEX('1-DATA'!$1:$1048576,IF(OR($B432="STD. DEVIATION",$C$1=1),$A432,$A432+1),COLUMN('1-DATA'!N430)),IF($B432="STD. DEVIATION",2,$F$1))))</f>
        <v/>
      </c>
      <c r="P432" s="1" t="str">
        <f>IF(OR($B432="",P$7=""),"",IF($B432="MEANS",INDEX('1-DATA'!$1:$1048576,$A431-1,COLUMN('1-DATA'!O430)),ROUND(INDEX('1-DATA'!$1:$1048576,IF(OR($B432="STD. DEVIATION",$C$1=1),$A432,$A432+1),COLUMN('1-DATA'!O430)),IF($B432="STD. DEVIATION",2,$F$1))))</f>
        <v/>
      </c>
      <c r="Q432" s="1" t="str">
        <f>IF(OR($B432="",Q$7=""),"",IF($B432="MEANS",INDEX('1-DATA'!$1:$1048576,$A431-1,COLUMN('1-DATA'!P430)),ROUND(INDEX('1-DATA'!$1:$1048576,IF(OR($B432="STD. DEVIATION",$C$1=1),$A432,$A432+1),COLUMN('1-DATA'!P430)),IF($B432="STD. DEVIATION",2,$F$1))))</f>
        <v/>
      </c>
      <c r="R432" s="1" t="str">
        <f>IF(OR($B432="",R$7=""),"",IF($B432="MEANS",INDEX('1-DATA'!$1:$1048576,$A431-1,COLUMN('1-DATA'!Q430)),ROUND(INDEX('1-DATA'!$1:$1048576,IF(OR($B432="STD. DEVIATION",$C$1=1),$A432,$A432+1),COLUMN('1-DATA'!Q430)),IF($B432="STD. DEVIATION",2,$F$1))))</f>
        <v/>
      </c>
      <c r="S432" s="1" t="str">
        <f>IF(OR($B432="",S$7=""),"",IF($B432="MEANS",INDEX('1-DATA'!$1:$1048576,$A431-1,COLUMN('1-DATA'!R430)),ROUND(INDEX('1-DATA'!$1:$1048576,IF(OR($B432="STD. DEVIATION",$C$1=1),$A432,$A432+1),COLUMN('1-DATA'!R430)),IF($B432="STD. DEVIATION",2,$F$1))))</f>
        <v/>
      </c>
      <c r="T432" s="1" t="str">
        <f>IF(OR($B432="",T$7=""),"",IF($B432="MEANS",INDEX('1-DATA'!$1:$1048576,$A431-1,COLUMN('1-DATA'!S430)),ROUND(INDEX('1-DATA'!$1:$1048576,IF(OR($B432="STD. DEVIATION",$C$1=1),$A432,$A432+1),COLUMN('1-DATA'!S430)),IF($B432="STD. DEVIATION",2,$F$1))))</f>
        <v/>
      </c>
      <c r="U432" s="1" t="str">
        <f>IF(OR($B432="",U$7=""),"",IF($B432="MEANS",INDEX('1-DATA'!$1:$1048576,$A431-1,COLUMN('1-DATA'!T430)),ROUND(INDEX('1-DATA'!$1:$1048576,IF(OR($B432="STD. DEVIATION",$C$1=1),$A432,$A432+1),COLUMN('1-DATA'!T430)),IF($B432="STD. DEVIATION",2,$F$1))))</f>
        <v/>
      </c>
      <c r="V432" s="1" t="str">
        <f>IF(OR($B432="",V$7=""),"",IF($B432="MEANS",INDEX('1-DATA'!$1:$1048576,$A431-1,COLUMN('1-DATA'!U430)),ROUND(INDEX('1-DATA'!$1:$1048576,IF(OR($B432="STD. DEVIATION",$C$1=1),$A432,$A432+1),COLUMN('1-DATA'!U430)),IF($B432="STD. DEVIATION",2,$F$1))))</f>
        <v/>
      </c>
      <c r="W432" s="1" t="str">
        <f>IF(OR($B432="",W$7=""),"",IF($B432="MEANS",INDEX('1-DATA'!$1:$1048576,$A431-1,COLUMN('1-DATA'!V430)),ROUND(INDEX('1-DATA'!$1:$1048576,IF(OR($B432="STD. DEVIATION",$C$1=1),$A432,$A432+1),COLUMN('1-DATA'!V430)),IF($B432="STD. DEVIATION",2,$F$1))))</f>
        <v/>
      </c>
      <c r="X432" s="1" t="str">
        <f>IF(OR($B432="",X$7=""),"",IF($B432="MEANS",INDEX('1-DATA'!$1:$1048576,$A431-1,COLUMN('1-DATA'!W430)),ROUND(INDEX('1-DATA'!$1:$1048576,IF(OR($B432="STD. DEVIATION",$C$1=1),$A432,$A432+1),COLUMN('1-DATA'!W430)),IF($B432="STD. DEVIATION",2,$F$1))))</f>
        <v/>
      </c>
      <c r="Y432" s="1" t="str">
        <f>IF(OR($B432="",Y$7=""),"",IF($B432="MEANS",INDEX('1-DATA'!$1:$1048576,$A431-1,COLUMN('1-DATA'!X430)),ROUND(INDEX('1-DATA'!$1:$1048576,IF(OR($B432="STD. DEVIATION",$C$1=1),$A432,$A432+1),COLUMN('1-DATA'!X430)),IF($B432="STD. DEVIATION",2,$F$1))))</f>
        <v/>
      </c>
      <c r="Z432" s="1" t="str">
        <f>IF(OR($B432="",Z$7=""),"",IF($B432="MEANS",INDEX('1-DATA'!$1:$1048576,$A431-1,COLUMN('1-DATA'!Y430)),ROUND(INDEX('1-DATA'!$1:$1048576,IF(OR($B432="STD. DEVIATION",$C$1=1),$A432,$A432+1),COLUMN('1-DATA'!Y430)),IF($B432="STD. DEVIATION",2,$F$1))))</f>
        <v/>
      </c>
      <c r="AA432" s="1" t="str">
        <f>IF(OR($B432="",AA$7=""),"",IF($B432="MEANS",INDEX('1-DATA'!$1:$1048576,$A431-1,COLUMN('1-DATA'!Z430)),ROUND(INDEX('1-DATA'!$1:$1048576,IF(OR($B432="STD. DEVIATION",$C$1=1),$A432,$A432+1),COLUMN('1-DATA'!Z430)),IF($B432="STD. DEVIATION",2,$F$1))))</f>
        <v/>
      </c>
      <c r="AB432" s="1" t="str">
        <f>IF(OR($B432="",AB$7=""),"",IF($B432="MEANS",INDEX('1-DATA'!$1:$1048576,$A431-1,COLUMN('1-DATA'!AA430)),ROUND(INDEX('1-DATA'!$1:$1048576,IF(OR($B432="STD. DEVIATION",$C$1=1),$A432,$A432+1),COLUMN('1-DATA'!AA430)),IF($B432="STD. DEVIATION",2,$F$1))))</f>
        <v/>
      </c>
      <c r="AC432" s="1" t="str">
        <f>IF(OR($B432="",AC$7=""),"",IF($B432="MEANS",INDEX('1-DATA'!$1:$1048576,$A431-1,COLUMN('1-DATA'!AB430)),ROUND(INDEX('1-DATA'!$1:$1048576,IF(OR($B432="STD. DEVIATION",$C$1=1),$A432,$A432+1),COLUMN('1-DATA'!AB430)),IF($B432="STD. DEVIATION",2,$F$1))))</f>
        <v/>
      </c>
      <c r="AD432" s="1" t="str">
        <f>IF(OR($B432="",AD$7=""),"",IF($B432="MEANS",INDEX('1-DATA'!$1:$1048576,$A431-1,COLUMN('1-DATA'!AC430)),ROUND(INDEX('1-DATA'!$1:$1048576,IF(OR($B432="STD. DEVIATION",$C$1=1),$A432,$A432+1),COLUMN('1-DATA'!AC430)),IF($B432="STD. DEVIATION",2,$F$1))))</f>
        <v/>
      </c>
      <c r="AE432" s="1" t="str">
        <f>IF(OR($B432="",AE$7=""),"",IF($B432="MEANS",INDEX('1-DATA'!$1:$1048576,$A431-1,COLUMN('1-DATA'!AD430)),ROUND(INDEX('1-DATA'!$1:$1048576,IF(OR($B432="STD. DEVIATION",$C$1=1),$A432,$A432+1),COLUMN('1-DATA'!AD430)),IF($B432="STD. DEVIATION",2,$F$1))))</f>
        <v/>
      </c>
      <c r="AF432" s="1" t="str">
        <f>IF(OR($B432="",AF$7=""),"",IF($B432="MEANS",INDEX('1-DATA'!$1:$1048576,$A431-1,COLUMN('1-DATA'!AE430)),ROUND(INDEX('1-DATA'!$1:$1048576,IF(OR($B432="STD. DEVIATION",$C$1=1),$A432,$A432+1),COLUMN('1-DATA'!AE430)),IF($B432="STD. DEVIATION",2,$F$1))))</f>
        <v/>
      </c>
      <c r="AG432" s="1" t="str">
        <f>IF(OR($B432="",AG$7=""),"",IF($B432="MEANS",INDEX('1-DATA'!$1:$1048576,$A431-1,COLUMN('1-DATA'!AF430)),ROUND(INDEX('1-DATA'!$1:$1048576,IF(OR($B432="STD. DEVIATION",$C$1=1),$A432,$A432+1),COLUMN('1-DATA'!AF430)),IF($B432="STD. DEVIATION",2,$F$1))))</f>
        <v/>
      </c>
      <c r="AH432" s="1" t="str">
        <f>IF(OR($B432="",AH$7=""),"",IF($B432="MEANS",INDEX('1-DATA'!$1:$1048576,$A431-1,COLUMN('1-DATA'!AG430)),ROUND(INDEX('1-DATA'!$1:$1048576,IF(OR($B432="STD. DEVIATION",$C$1=1),$A432,$A432+1),COLUMN('1-DATA'!AG430)),IF($B432="STD. DEVIATION",2,$F$1))))</f>
        <v/>
      </c>
      <c r="AI432" s="1" t="str">
        <f>IF(OR($B432="",AI$7=""),"",IF($B432="MEANS",INDEX('1-DATA'!$1:$1048576,$A431-1,COLUMN('1-DATA'!AH430)),ROUND(INDEX('1-DATA'!$1:$1048576,IF(OR($B432="STD. DEVIATION",$C$1=1),$A432,$A432+1),COLUMN('1-DATA'!AH430)),IF($B432="STD. DEVIATION",2,$F$1))))</f>
        <v/>
      </c>
      <c r="AJ432" s="1" t="str">
        <f>IF(OR($B432="",AJ$7=""),"",IF($B432="MEANS",INDEX('1-DATA'!$1:$1048576,$A431-1,COLUMN('1-DATA'!AI430)),ROUND(INDEX('1-DATA'!$1:$1048576,IF(OR($B432="STD. DEVIATION",$C$1=1),$A432,$A432+1),COLUMN('1-DATA'!AI430)),IF($B432="STD. DEVIATION",2,$F$1))))</f>
        <v/>
      </c>
      <c r="AK432" s="1" t="str">
        <f>IF(OR($B432="",AK$7=""),"",IF($B432="MEANS",INDEX('1-DATA'!$1:$1048576,$A431-1,COLUMN('1-DATA'!AJ430)),ROUND(INDEX('1-DATA'!$1:$1048576,IF(OR($B432="STD. DEVIATION",$C$1=1),$A432,$A432+1),COLUMN('1-DATA'!AJ430)),IF($B432="STD. DEVIATION",2,$F$1))))</f>
        <v/>
      </c>
      <c r="AL432" s="1" t="str">
        <f>IF(OR($B432="",AL$7=""),"",IF($B432="MEANS",INDEX('1-DATA'!$1:$1048576,$A431-1,COLUMN('1-DATA'!AK430)),ROUND(INDEX('1-DATA'!$1:$1048576,IF(OR($B432="STD. DEVIATION",$C$1=1),$A432,$A432+1),COLUMN('1-DATA'!AK430)),IF($B432="STD. DEVIATION",2,$F$1))))</f>
        <v/>
      </c>
      <c r="AM432" s="1" t="str">
        <f>IF(OR($B432="",AM$7=""),"",IF($B432="MEANS",INDEX('1-DATA'!$1:$1048576,$A431-1,COLUMN('1-DATA'!AL430)),ROUND(INDEX('1-DATA'!$1:$1048576,IF(OR($B432="STD. DEVIATION",$C$1=1),$A432,$A432+1),COLUMN('1-DATA'!AL430)),IF($B432="STD. DEVIATION",2,$F$1))))</f>
        <v/>
      </c>
      <c r="AN432" s="1" t="str">
        <f>IF(OR($B432="",AN$7=""),"",IF($B432="MEANS",INDEX('1-DATA'!$1:$1048576,$A431-1,COLUMN('1-DATA'!AM430)),ROUND(INDEX('1-DATA'!$1:$1048576,IF(OR($B432="STD. DEVIATION",$C$1=1),$A432,$A432+1),COLUMN('1-DATA'!AM430)),IF($B432="STD. DEVIATION",2,$F$1))))</f>
        <v/>
      </c>
      <c r="AO432" s="1" t="str">
        <f>IF(OR($B432="",AO$7=""),"",IF($B432="MEANS",INDEX('1-DATA'!$1:$1048576,$A431-1,COLUMN('1-DATA'!AN430)),ROUND(INDEX('1-DATA'!$1:$1048576,IF(OR($B432="STD. DEVIATION",$C$1=1),$A432,$A432+1),COLUMN('1-DATA'!AN430)),IF($B432="STD. DEVIATION",2,$F$1))))</f>
        <v/>
      </c>
      <c r="AP432" s="1" t="str">
        <f>IF(OR($B432="",AP$7=""),"",IF($B432="MEANS",INDEX('1-DATA'!$1:$1048576,$A431-1,COLUMN('1-DATA'!AO430)),ROUND(INDEX('1-DATA'!$1:$1048576,IF(OR($B432="STD. DEVIATION",$C$1=1),$A432,$A432+1),COLUMN('1-DATA'!AO430)),IF($B432="STD. DEVIATION",2,$F$1))))</f>
        <v/>
      </c>
      <c r="AQ432" s="1" t="str">
        <f>IF(OR($B432="",AQ$7=""),"",IF($B432="MEANS",INDEX('1-DATA'!$1:$1048576,$A431-1,COLUMN('1-DATA'!AP430)),ROUND(INDEX('1-DATA'!$1:$1048576,IF(OR($B432="STD. DEVIATION",$C$1=1),$A432,$A432+1),COLUMN('1-DATA'!AP430)),IF($B432="STD. DEVIATION",2,$F$1))))</f>
        <v/>
      </c>
      <c r="AR432" s="1" t="str">
        <f>IF(OR($B432="",AR$7=""),"",IF($B432="MEANS",INDEX('1-DATA'!$1:$1048576,$A431-1,COLUMN('1-DATA'!AQ430)),ROUND(INDEX('1-DATA'!$1:$1048576,IF(OR($B432="STD. DEVIATION",$C$1=1),$A432,$A432+1),COLUMN('1-DATA'!AQ430)),IF($B432="STD. DEVIATION",2,$F$1))))</f>
        <v/>
      </c>
      <c r="AS432" s="1" t="str">
        <f>IF(OR($B432="",AS$7=""),"",IF($B432="MEANS",INDEX('1-DATA'!$1:$1048576,$A431-1,COLUMN('1-DATA'!AR430)),ROUND(INDEX('1-DATA'!$1:$1048576,IF(OR($B432="STD. DEVIATION",$C$1=1),$A432,$A432+1),COLUMN('1-DATA'!AR430)),IF($B432="STD. DEVIATION",2,$F$1))))</f>
        <v/>
      </c>
      <c r="AT432" s="1" t="str">
        <f>IF(OR($B432="",AT$7=""),"",IF($B432="MEANS",INDEX('1-DATA'!$1:$1048576,$A431-1,COLUMN('1-DATA'!AS430)),ROUND(INDEX('1-DATA'!$1:$1048576,IF(OR($B432="STD. DEVIATION",$C$1=1),$A432,$A432+1),COLUMN('1-DATA'!AS430)),IF($B432="STD. DEVIATION",2,$F$1))))</f>
        <v/>
      </c>
      <c r="AU432" s="1" t="str">
        <f>IF(OR($B432="",AU$7=""),"",IF($B432="MEANS",INDEX('1-DATA'!$1:$1048576,$A431-1,COLUMN('1-DATA'!AT430)),ROUND(INDEX('1-DATA'!$1:$1048576,IF(OR($B432="STD. DEVIATION",$C$1=1),$A432,$A432+1),COLUMN('1-DATA'!AT430)),IF($B432="STD. DEVIATION",2,$F$1))))</f>
        <v/>
      </c>
      <c r="AV432" s="1" t="str">
        <f>IF(OR($B432="",AV$7=""),"",IF($B432="MEANS",INDEX('1-DATA'!$1:$1048576,$A431-1,COLUMN('1-DATA'!AU430)),ROUND(INDEX('1-DATA'!$1:$1048576,IF(OR($B432="STD. DEVIATION",$C$1=1),$A432,$A432+1),COLUMN('1-DATA'!AU430)),IF($B432="STD. DEVIATION",2,$F$1))))</f>
        <v/>
      </c>
      <c r="AW432" s="1" t="str">
        <f>IF(OR($B432="",AW$7=""),"",IF($B432="MEANS",INDEX('1-DATA'!$1:$1048576,$A431-1,COLUMN('1-DATA'!AV430)),ROUND(INDEX('1-DATA'!$1:$1048576,IF(OR($B432="STD. DEVIATION",$C$1=1),$A432,$A432+1),COLUMN('1-DATA'!AV430)),IF($B432="STD. DEVIATION",2,$F$1))))</f>
        <v/>
      </c>
      <c r="AX432" s="1" t="str">
        <f>IF(OR($B432="",AX$7=""),"",IF($B432="MEANS",INDEX('1-DATA'!$1:$1048576,$A431-1,COLUMN('1-DATA'!AW430)),ROUND(INDEX('1-DATA'!$1:$1048576,IF(OR($B432="STD. DEVIATION",$C$1=1),$A432,$A432+1),COLUMN('1-DATA'!AW430)),IF($B432="STD. DEVIATION",2,$F$1))))</f>
        <v/>
      </c>
      <c r="AY432" s="1" t="str">
        <f>IF(OR($B432="",AY$7=""),"",IF($B432="MEANS",INDEX('1-DATA'!$1:$1048576,$A431-1,COLUMN('1-DATA'!AX430)),ROUND(INDEX('1-DATA'!$1:$1048576,IF(OR($B432="STD. DEVIATION",$C$1=1),$A432,$A432+1),COLUMN('1-DATA'!AX430)),IF($B432="STD. DEVIATION",2,$F$1))))</f>
        <v/>
      </c>
      <c r="AZ432" s="1" t="str">
        <f>IF(OR($B432="",AZ$7=""),"",IF($B432="MEANS",INDEX('1-DATA'!$1:$1048576,$A431-1,COLUMN('1-DATA'!AY430)),ROUND(INDEX('1-DATA'!$1:$1048576,IF(OR($B432="STD. DEVIATION",$C$1=1),$A432,$A432+1),COLUMN('1-DATA'!AY430)),IF($B432="STD. DEVIATION",2,$F$1))))</f>
        <v/>
      </c>
    </row>
    <row r="433" spans="1:52" x14ac:dyDescent="0.25">
      <c r="A433" s="11">
        <f t="shared" si="7"/>
        <v>1285</v>
      </c>
      <c r="B433" s="1" t="str">
        <f>IF(B432="STD. DEVIATION",INDEX('1-DATA'!$1:$1048576,$A432-1,1),IF(INDEX('1-DATA'!$1:$1048576,$A433,1)&lt;&gt;"",INDEX('1-DATA'!$1:$1048576,$A433,1),""))</f>
        <v/>
      </c>
      <c r="C433" s="1" t="str">
        <f>IF(OR($B433="",C$7=""),"",IF($B433="MEANS",INDEX('1-DATA'!$1:$1048576,$A432-1,COLUMN('1-DATA'!B431)),ROUND(INDEX('1-DATA'!$1:$1048576,IF(OR($B433="STD. DEVIATION",$C$1=1),$A433,$A433+1),COLUMN('1-DATA'!B431)),IF($B433="STD. DEVIATION",2,$F$1))))</f>
        <v/>
      </c>
      <c r="D433" s="1" t="str">
        <f>IF(OR($B433="",D$7=""),"",IF($B433="MEANS",INDEX('1-DATA'!$1:$1048576,$A432-1,COLUMN('1-DATA'!C431)),ROUND(INDEX('1-DATA'!$1:$1048576,IF(OR($B433="STD. DEVIATION",$C$1=1),$A433,$A433+1),COLUMN('1-DATA'!C431)),IF($B433="STD. DEVIATION",2,$F$1))))</f>
        <v/>
      </c>
      <c r="E433" s="1" t="str">
        <f>IF(OR($B433="",E$7=""),"",IF($B433="MEANS",INDEX('1-DATA'!$1:$1048576,$A432-1,COLUMN('1-DATA'!D431)),ROUND(INDEX('1-DATA'!$1:$1048576,IF(OR($B433="STD. DEVIATION",$C$1=1),$A433,$A433+1),COLUMN('1-DATA'!D431)),IF($B433="STD. DEVIATION",2,$F$1))))</f>
        <v/>
      </c>
      <c r="F433" s="1" t="str">
        <f>IF(OR($B433="",F$7=""),"",IF($B433="MEANS",INDEX('1-DATA'!$1:$1048576,$A432-1,COLUMN('1-DATA'!E431)),ROUND(INDEX('1-DATA'!$1:$1048576,IF(OR($B433="STD. DEVIATION",$C$1=1),$A433,$A433+1),COLUMN('1-DATA'!E431)),IF($B433="STD. DEVIATION",2,$F$1))))</f>
        <v/>
      </c>
      <c r="G433" s="1" t="str">
        <f>IF(OR($B433="",G$7=""),"",IF($B433="MEANS",INDEX('1-DATA'!$1:$1048576,$A432-1,COLUMN('1-DATA'!F431)),ROUND(INDEX('1-DATA'!$1:$1048576,IF(OR($B433="STD. DEVIATION",$C$1=1),$A433,$A433+1),COLUMN('1-DATA'!F431)),IF($B433="STD. DEVIATION",2,$F$1))))</f>
        <v/>
      </c>
      <c r="H433" s="1" t="str">
        <f>IF(OR($B433="",H$7=""),"",IF($B433="MEANS",INDEX('1-DATA'!$1:$1048576,$A432-1,COLUMN('1-DATA'!G431)),ROUND(INDEX('1-DATA'!$1:$1048576,IF(OR($B433="STD. DEVIATION",$C$1=1),$A433,$A433+1),COLUMN('1-DATA'!G431)),IF($B433="STD. DEVIATION",2,$F$1))))</f>
        <v/>
      </c>
      <c r="I433" s="1" t="str">
        <f>IF(OR($B433="",I$7=""),"",IF($B433="MEANS",INDEX('1-DATA'!$1:$1048576,$A432-1,COLUMN('1-DATA'!H431)),ROUND(INDEX('1-DATA'!$1:$1048576,IF(OR($B433="STD. DEVIATION",$C$1=1),$A433,$A433+1),COLUMN('1-DATA'!H431)),IF($B433="STD. DEVIATION",2,$F$1))))</f>
        <v/>
      </c>
      <c r="J433" s="1" t="str">
        <f>IF(OR($B433="",J$7=""),"",IF($B433="MEANS",INDEX('1-DATA'!$1:$1048576,$A432-1,COLUMN('1-DATA'!I431)),ROUND(INDEX('1-DATA'!$1:$1048576,IF(OR($B433="STD. DEVIATION",$C$1=1),$A433,$A433+1),COLUMN('1-DATA'!I431)),IF($B433="STD. DEVIATION",2,$F$1))))</f>
        <v/>
      </c>
      <c r="K433" s="1" t="str">
        <f>IF(OR($B433="",K$7=""),"",IF($B433="MEANS",INDEX('1-DATA'!$1:$1048576,$A432-1,COLUMN('1-DATA'!J431)),ROUND(INDEX('1-DATA'!$1:$1048576,IF(OR($B433="STD. DEVIATION",$C$1=1),$A433,$A433+1),COLUMN('1-DATA'!J431)),IF($B433="STD. DEVIATION",2,$F$1))))</f>
        <v/>
      </c>
      <c r="L433" s="1" t="str">
        <f>IF(OR($B433="",L$7=""),"",IF($B433="MEANS",INDEX('1-DATA'!$1:$1048576,$A432-1,COLUMN('1-DATA'!K431)),ROUND(INDEX('1-DATA'!$1:$1048576,IF(OR($B433="STD. DEVIATION",$C$1=1),$A433,$A433+1),COLUMN('1-DATA'!K431)),IF($B433="STD. DEVIATION",2,$F$1))))</f>
        <v/>
      </c>
      <c r="M433" s="1" t="str">
        <f>IF(OR($B433="",M$7=""),"",IF($B433="MEANS",INDEX('1-DATA'!$1:$1048576,$A432-1,COLUMN('1-DATA'!L431)),ROUND(INDEX('1-DATA'!$1:$1048576,IF(OR($B433="STD. DEVIATION",$C$1=1),$A433,$A433+1),COLUMN('1-DATA'!L431)),IF($B433="STD. DEVIATION",2,$F$1))))</f>
        <v/>
      </c>
      <c r="N433" s="1" t="str">
        <f>IF(OR($B433="",N$7=""),"",IF($B433="MEANS",INDEX('1-DATA'!$1:$1048576,$A432-1,COLUMN('1-DATA'!M431)),ROUND(INDEX('1-DATA'!$1:$1048576,IF(OR($B433="STD. DEVIATION",$C$1=1),$A433,$A433+1),COLUMN('1-DATA'!M431)),IF($B433="STD. DEVIATION",2,$F$1))))</f>
        <v/>
      </c>
      <c r="O433" s="1" t="str">
        <f>IF(OR($B433="",O$7=""),"",IF($B433="MEANS",INDEX('1-DATA'!$1:$1048576,$A432-1,COLUMN('1-DATA'!N431)),ROUND(INDEX('1-DATA'!$1:$1048576,IF(OR($B433="STD. DEVIATION",$C$1=1),$A433,$A433+1),COLUMN('1-DATA'!N431)),IF($B433="STD. DEVIATION",2,$F$1))))</f>
        <v/>
      </c>
      <c r="P433" s="1" t="str">
        <f>IF(OR($B433="",P$7=""),"",IF($B433="MEANS",INDEX('1-DATA'!$1:$1048576,$A432-1,COLUMN('1-DATA'!O431)),ROUND(INDEX('1-DATA'!$1:$1048576,IF(OR($B433="STD. DEVIATION",$C$1=1),$A433,$A433+1),COLUMN('1-DATA'!O431)),IF($B433="STD. DEVIATION",2,$F$1))))</f>
        <v/>
      </c>
      <c r="Q433" s="1" t="str">
        <f>IF(OR($B433="",Q$7=""),"",IF($B433="MEANS",INDEX('1-DATA'!$1:$1048576,$A432-1,COLUMN('1-DATA'!P431)),ROUND(INDEX('1-DATA'!$1:$1048576,IF(OR($B433="STD. DEVIATION",$C$1=1),$A433,$A433+1),COLUMN('1-DATA'!P431)),IF($B433="STD. DEVIATION",2,$F$1))))</f>
        <v/>
      </c>
      <c r="R433" s="1" t="str">
        <f>IF(OR($B433="",R$7=""),"",IF($B433="MEANS",INDEX('1-DATA'!$1:$1048576,$A432-1,COLUMN('1-DATA'!Q431)),ROUND(INDEX('1-DATA'!$1:$1048576,IF(OR($B433="STD. DEVIATION",$C$1=1),$A433,$A433+1),COLUMN('1-DATA'!Q431)),IF($B433="STD. DEVIATION",2,$F$1))))</f>
        <v/>
      </c>
      <c r="S433" s="1" t="str">
        <f>IF(OR($B433="",S$7=""),"",IF($B433="MEANS",INDEX('1-DATA'!$1:$1048576,$A432-1,COLUMN('1-DATA'!R431)),ROUND(INDEX('1-DATA'!$1:$1048576,IF(OR($B433="STD. DEVIATION",$C$1=1),$A433,$A433+1),COLUMN('1-DATA'!R431)),IF($B433="STD. DEVIATION",2,$F$1))))</f>
        <v/>
      </c>
      <c r="T433" s="1" t="str">
        <f>IF(OR($B433="",T$7=""),"",IF($B433="MEANS",INDEX('1-DATA'!$1:$1048576,$A432-1,COLUMN('1-DATA'!S431)),ROUND(INDEX('1-DATA'!$1:$1048576,IF(OR($B433="STD. DEVIATION",$C$1=1),$A433,$A433+1),COLUMN('1-DATA'!S431)),IF($B433="STD. DEVIATION",2,$F$1))))</f>
        <v/>
      </c>
      <c r="U433" s="1" t="str">
        <f>IF(OR($B433="",U$7=""),"",IF($B433="MEANS",INDEX('1-DATA'!$1:$1048576,$A432-1,COLUMN('1-DATA'!T431)),ROUND(INDEX('1-DATA'!$1:$1048576,IF(OR($B433="STD. DEVIATION",$C$1=1),$A433,$A433+1),COLUMN('1-DATA'!T431)),IF($B433="STD. DEVIATION",2,$F$1))))</f>
        <v/>
      </c>
      <c r="V433" s="1" t="str">
        <f>IF(OR($B433="",V$7=""),"",IF($B433="MEANS",INDEX('1-DATA'!$1:$1048576,$A432-1,COLUMN('1-DATA'!U431)),ROUND(INDEX('1-DATA'!$1:$1048576,IF(OR($B433="STD. DEVIATION",$C$1=1),$A433,$A433+1),COLUMN('1-DATA'!U431)),IF($B433="STD. DEVIATION",2,$F$1))))</f>
        <v/>
      </c>
      <c r="W433" s="1" t="str">
        <f>IF(OR($B433="",W$7=""),"",IF($B433="MEANS",INDEX('1-DATA'!$1:$1048576,$A432-1,COLUMN('1-DATA'!V431)),ROUND(INDEX('1-DATA'!$1:$1048576,IF(OR($B433="STD. DEVIATION",$C$1=1),$A433,$A433+1),COLUMN('1-DATA'!V431)),IF($B433="STD. DEVIATION",2,$F$1))))</f>
        <v/>
      </c>
      <c r="X433" s="1" t="str">
        <f>IF(OR($B433="",X$7=""),"",IF($B433="MEANS",INDEX('1-DATA'!$1:$1048576,$A432-1,COLUMN('1-DATA'!W431)),ROUND(INDEX('1-DATA'!$1:$1048576,IF(OR($B433="STD. DEVIATION",$C$1=1),$A433,$A433+1),COLUMN('1-DATA'!W431)),IF($B433="STD. DEVIATION",2,$F$1))))</f>
        <v/>
      </c>
      <c r="Y433" s="1" t="str">
        <f>IF(OR($B433="",Y$7=""),"",IF($B433="MEANS",INDEX('1-DATA'!$1:$1048576,$A432-1,COLUMN('1-DATA'!X431)),ROUND(INDEX('1-DATA'!$1:$1048576,IF(OR($B433="STD. DEVIATION",$C$1=1),$A433,$A433+1),COLUMN('1-DATA'!X431)),IF($B433="STD. DEVIATION",2,$F$1))))</f>
        <v/>
      </c>
      <c r="Z433" s="1" t="str">
        <f>IF(OR($B433="",Z$7=""),"",IF($B433="MEANS",INDEX('1-DATA'!$1:$1048576,$A432-1,COLUMN('1-DATA'!Y431)),ROUND(INDEX('1-DATA'!$1:$1048576,IF(OR($B433="STD. DEVIATION",$C$1=1),$A433,$A433+1),COLUMN('1-DATA'!Y431)),IF($B433="STD. DEVIATION",2,$F$1))))</f>
        <v/>
      </c>
      <c r="AA433" s="1" t="str">
        <f>IF(OR($B433="",AA$7=""),"",IF($B433="MEANS",INDEX('1-DATA'!$1:$1048576,$A432-1,COLUMN('1-DATA'!Z431)),ROUND(INDEX('1-DATA'!$1:$1048576,IF(OR($B433="STD. DEVIATION",$C$1=1),$A433,$A433+1),COLUMN('1-DATA'!Z431)),IF($B433="STD. DEVIATION",2,$F$1))))</f>
        <v/>
      </c>
      <c r="AB433" s="1" t="str">
        <f>IF(OR($B433="",AB$7=""),"",IF($B433="MEANS",INDEX('1-DATA'!$1:$1048576,$A432-1,COLUMN('1-DATA'!AA431)),ROUND(INDEX('1-DATA'!$1:$1048576,IF(OR($B433="STD. DEVIATION",$C$1=1),$A433,$A433+1),COLUMN('1-DATA'!AA431)),IF($B433="STD. DEVIATION",2,$F$1))))</f>
        <v/>
      </c>
      <c r="AC433" s="1" t="str">
        <f>IF(OR($B433="",AC$7=""),"",IF($B433="MEANS",INDEX('1-DATA'!$1:$1048576,$A432-1,COLUMN('1-DATA'!AB431)),ROUND(INDEX('1-DATA'!$1:$1048576,IF(OR($B433="STD. DEVIATION",$C$1=1),$A433,$A433+1),COLUMN('1-DATA'!AB431)),IF($B433="STD. DEVIATION",2,$F$1))))</f>
        <v/>
      </c>
      <c r="AD433" s="1" t="str">
        <f>IF(OR($B433="",AD$7=""),"",IF($B433="MEANS",INDEX('1-DATA'!$1:$1048576,$A432-1,COLUMN('1-DATA'!AC431)),ROUND(INDEX('1-DATA'!$1:$1048576,IF(OR($B433="STD. DEVIATION",$C$1=1),$A433,$A433+1),COLUMN('1-DATA'!AC431)),IF($B433="STD. DEVIATION",2,$F$1))))</f>
        <v/>
      </c>
      <c r="AE433" s="1" t="str">
        <f>IF(OR($B433="",AE$7=""),"",IF($B433="MEANS",INDEX('1-DATA'!$1:$1048576,$A432-1,COLUMN('1-DATA'!AD431)),ROUND(INDEX('1-DATA'!$1:$1048576,IF(OR($B433="STD. DEVIATION",$C$1=1),$A433,$A433+1),COLUMN('1-DATA'!AD431)),IF($B433="STD. DEVIATION",2,$F$1))))</f>
        <v/>
      </c>
      <c r="AF433" s="1" t="str">
        <f>IF(OR($B433="",AF$7=""),"",IF($B433="MEANS",INDEX('1-DATA'!$1:$1048576,$A432-1,COLUMN('1-DATA'!AE431)),ROUND(INDEX('1-DATA'!$1:$1048576,IF(OR($B433="STD. DEVIATION",$C$1=1),$A433,$A433+1),COLUMN('1-DATA'!AE431)),IF($B433="STD. DEVIATION",2,$F$1))))</f>
        <v/>
      </c>
      <c r="AG433" s="1" t="str">
        <f>IF(OR($B433="",AG$7=""),"",IF($B433="MEANS",INDEX('1-DATA'!$1:$1048576,$A432-1,COLUMN('1-DATA'!AF431)),ROUND(INDEX('1-DATA'!$1:$1048576,IF(OR($B433="STD. DEVIATION",$C$1=1),$A433,$A433+1),COLUMN('1-DATA'!AF431)),IF($B433="STD. DEVIATION",2,$F$1))))</f>
        <v/>
      </c>
      <c r="AH433" s="1" t="str">
        <f>IF(OR($B433="",AH$7=""),"",IF($B433="MEANS",INDEX('1-DATA'!$1:$1048576,$A432-1,COLUMN('1-DATA'!AG431)),ROUND(INDEX('1-DATA'!$1:$1048576,IF(OR($B433="STD. DEVIATION",$C$1=1),$A433,$A433+1),COLUMN('1-DATA'!AG431)),IF($B433="STD. DEVIATION",2,$F$1))))</f>
        <v/>
      </c>
      <c r="AI433" s="1" t="str">
        <f>IF(OR($B433="",AI$7=""),"",IF($B433="MEANS",INDEX('1-DATA'!$1:$1048576,$A432-1,COLUMN('1-DATA'!AH431)),ROUND(INDEX('1-DATA'!$1:$1048576,IF(OR($B433="STD. DEVIATION",$C$1=1),$A433,$A433+1),COLUMN('1-DATA'!AH431)),IF($B433="STD. DEVIATION",2,$F$1))))</f>
        <v/>
      </c>
      <c r="AJ433" s="1" t="str">
        <f>IF(OR($B433="",AJ$7=""),"",IF($B433="MEANS",INDEX('1-DATA'!$1:$1048576,$A432-1,COLUMN('1-DATA'!AI431)),ROUND(INDEX('1-DATA'!$1:$1048576,IF(OR($B433="STD. DEVIATION",$C$1=1),$A433,$A433+1),COLUMN('1-DATA'!AI431)),IF($B433="STD. DEVIATION",2,$F$1))))</f>
        <v/>
      </c>
      <c r="AK433" s="1" t="str">
        <f>IF(OR($B433="",AK$7=""),"",IF($B433="MEANS",INDEX('1-DATA'!$1:$1048576,$A432-1,COLUMN('1-DATA'!AJ431)),ROUND(INDEX('1-DATA'!$1:$1048576,IF(OR($B433="STD. DEVIATION",$C$1=1),$A433,$A433+1),COLUMN('1-DATA'!AJ431)),IF($B433="STD. DEVIATION",2,$F$1))))</f>
        <v/>
      </c>
      <c r="AL433" s="1" t="str">
        <f>IF(OR($B433="",AL$7=""),"",IF($B433="MEANS",INDEX('1-DATA'!$1:$1048576,$A432-1,COLUMN('1-DATA'!AK431)),ROUND(INDEX('1-DATA'!$1:$1048576,IF(OR($B433="STD. DEVIATION",$C$1=1),$A433,$A433+1),COLUMN('1-DATA'!AK431)),IF($B433="STD. DEVIATION",2,$F$1))))</f>
        <v/>
      </c>
      <c r="AM433" s="1" t="str">
        <f>IF(OR($B433="",AM$7=""),"",IF($B433="MEANS",INDEX('1-DATA'!$1:$1048576,$A432-1,COLUMN('1-DATA'!AL431)),ROUND(INDEX('1-DATA'!$1:$1048576,IF(OR($B433="STD. DEVIATION",$C$1=1),$A433,$A433+1),COLUMN('1-DATA'!AL431)),IF($B433="STD. DEVIATION",2,$F$1))))</f>
        <v/>
      </c>
      <c r="AN433" s="1" t="str">
        <f>IF(OR($B433="",AN$7=""),"",IF($B433="MEANS",INDEX('1-DATA'!$1:$1048576,$A432-1,COLUMN('1-DATA'!AM431)),ROUND(INDEX('1-DATA'!$1:$1048576,IF(OR($B433="STD. DEVIATION",$C$1=1),$A433,$A433+1),COLUMN('1-DATA'!AM431)),IF($B433="STD. DEVIATION",2,$F$1))))</f>
        <v/>
      </c>
      <c r="AO433" s="1" t="str">
        <f>IF(OR($B433="",AO$7=""),"",IF($B433="MEANS",INDEX('1-DATA'!$1:$1048576,$A432-1,COLUMN('1-DATA'!AN431)),ROUND(INDEX('1-DATA'!$1:$1048576,IF(OR($B433="STD. DEVIATION",$C$1=1),$A433,$A433+1),COLUMN('1-DATA'!AN431)),IF($B433="STD. DEVIATION",2,$F$1))))</f>
        <v/>
      </c>
      <c r="AP433" s="1" t="str">
        <f>IF(OR($B433="",AP$7=""),"",IF($B433="MEANS",INDEX('1-DATA'!$1:$1048576,$A432-1,COLUMN('1-DATA'!AO431)),ROUND(INDEX('1-DATA'!$1:$1048576,IF(OR($B433="STD. DEVIATION",$C$1=1),$A433,$A433+1),COLUMN('1-DATA'!AO431)),IF($B433="STD. DEVIATION",2,$F$1))))</f>
        <v/>
      </c>
      <c r="AQ433" s="1" t="str">
        <f>IF(OR($B433="",AQ$7=""),"",IF($B433="MEANS",INDEX('1-DATA'!$1:$1048576,$A432-1,COLUMN('1-DATA'!AP431)),ROUND(INDEX('1-DATA'!$1:$1048576,IF(OR($B433="STD. DEVIATION",$C$1=1),$A433,$A433+1),COLUMN('1-DATA'!AP431)),IF($B433="STD. DEVIATION",2,$F$1))))</f>
        <v/>
      </c>
      <c r="AR433" s="1" t="str">
        <f>IF(OR($B433="",AR$7=""),"",IF($B433="MEANS",INDEX('1-DATA'!$1:$1048576,$A432-1,COLUMN('1-DATA'!AQ431)),ROUND(INDEX('1-DATA'!$1:$1048576,IF(OR($B433="STD. DEVIATION",$C$1=1),$A433,$A433+1),COLUMN('1-DATA'!AQ431)),IF($B433="STD. DEVIATION",2,$F$1))))</f>
        <v/>
      </c>
      <c r="AS433" s="1" t="str">
        <f>IF(OR($B433="",AS$7=""),"",IF($B433="MEANS",INDEX('1-DATA'!$1:$1048576,$A432-1,COLUMN('1-DATA'!AR431)),ROUND(INDEX('1-DATA'!$1:$1048576,IF(OR($B433="STD. DEVIATION",$C$1=1),$A433,$A433+1),COLUMN('1-DATA'!AR431)),IF($B433="STD. DEVIATION",2,$F$1))))</f>
        <v/>
      </c>
      <c r="AT433" s="1" t="str">
        <f>IF(OR($B433="",AT$7=""),"",IF($B433="MEANS",INDEX('1-DATA'!$1:$1048576,$A432-1,COLUMN('1-DATA'!AS431)),ROUND(INDEX('1-DATA'!$1:$1048576,IF(OR($B433="STD. DEVIATION",$C$1=1),$A433,$A433+1),COLUMN('1-DATA'!AS431)),IF($B433="STD. DEVIATION",2,$F$1))))</f>
        <v/>
      </c>
      <c r="AU433" s="1" t="str">
        <f>IF(OR($B433="",AU$7=""),"",IF($B433="MEANS",INDEX('1-DATA'!$1:$1048576,$A432-1,COLUMN('1-DATA'!AT431)),ROUND(INDEX('1-DATA'!$1:$1048576,IF(OR($B433="STD. DEVIATION",$C$1=1),$A433,$A433+1),COLUMN('1-DATA'!AT431)),IF($B433="STD. DEVIATION",2,$F$1))))</f>
        <v/>
      </c>
      <c r="AV433" s="1" t="str">
        <f>IF(OR($B433="",AV$7=""),"",IF($B433="MEANS",INDEX('1-DATA'!$1:$1048576,$A432-1,COLUMN('1-DATA'!AU431)),ROUND(INDEX('1-DATA'!$1:$1048576,IF(OR($B433="STD. DEVIATION",$C$1=1),$A433,$A433+1),COLUMN('1-DATA'!AU431)),IF($B433="STD. DEVIATION",2,$F$1))))</f>
        <v/>
      </c>
      <c r="AW433" s="1" t="str">
        <f>IF(OR($B433="",AW$7=""),"",IF($B433="MEANS",INDEX('1-DATA'!$1:$1048576,$A432-1,COLUMN('1-DATA'!AV431)),ROUND(INDEX('1-DATA'!$1:$1048576,IF(OR($B433="STD. DEVIATION",$C$1=1),$A433,$A433+1),COLUMN('1-DATA'!AV431)),IF($B433="STD. DEVIATION",2,$F$1))))</f>
        <v/>
      </c>
      <c r="AX433" s="1" t="str">
        <f>IF(OR($B433="",AX$7=""),"",IF($B433="MEANS",INDEX('1-DATA'!$1:$1048576,$A432-1,COLUMN('1-DATA'!AW431)),ROUND(INDEX('1-DATA'!$1:$1048576,IF(OR($B433="STD. DEVIATION",$C$1=1),$A433,$A433+1),COLUMN('1-DATA'!AW431)),IF($B433="STD. DEVIATION",2,$F$1))))</f>
        <v/>
      </c>
      <c r="AY433" s="1" t="str">
        <f>IF(OR($B433="",AY$7=""),"",IF($B433="MEANS",INDEX('1-DATA'!$1:$1048576,$A432-1,COLUMN('1-DATA'!AX431)),ROUND(INDEX('1-DATA'!$1:$1048576,IF(OR($B433="STD. DEVIATION",$C$1=1),$A433,$A433+1),COLUMN('1-DATA'!AX431)),IF($B433="STD. DEVIATION",2,$F$1))))</f>
        <v/>
      </c>
      <c r="AZ433" s="1" t="str">
        <f>IF(OR($B433="",AZ$7=""),"",IF($B433="MEANS",INDEX('1-DATA'!$1:$1048576,$A432-1,COLUMN('1-DATA'!AY431)),ROUND(INDEX('1-DATA'!$1:$1048576,IF(OR($B433="STD. DEVIATION",$C$1=1),$A433,$A433+1),COLUMN('1-DATA'!AY431)),IF($B433="STD. DEVIATION",2,$F$1))))</f>
        <v/>
      </c>
    </row>
    <row r="434" spans="1:52" x14ac:dyDescent="0.25">
      <c r="A434" s="11">
        <f t="shared" si="7"/>
        <v>1288</v>
      </c>
      <c r="B434" s="1" t="str">
        <f>IF(B433="STD. DEVIATION",INDEX('1-DATA'!$1:$1048576,$A433-1,1),IF(INDEX('1-DATA'!$1:$1048576,$A434,1)&lt;&gt;"",INDEX('1-DATA'!$1:$1048576,$A434,1),""))</f>
        <v/>
      </c>
      <c r="C434" s="1" t="str">
        <f>IF(OR($B434="",C$7=""),"",IF($B434="MEANS",INDEX('1-DATA'!$1:$1048576,$A433-1,COLUMN('1-DATA'!B432)),ROUND(INDEX('1-DATA'!$1:$1048576,IF(OR($B434="STD. DEVIATION",$C$1=1),$A434,$A434+1),COLUMN('1-DATA'!B432)),IF($B434="STD. DEVIATION",2,$F$1))))</f>
        <v/>
      </c>
      <c r="D434" s="1" t="str">
        <f>IF(OR($B434="",D$7=""),"",IF($B434="MEANS",INDEX('1-DATA'!$1:$1048576,$A433-1,COLUMN('1-DATA'!C432)),ROUND(INDEX('1-DATA'!$1:$1048576,IF(OR($B434="STD. DEVIATION",$C$1=1),$A434,$A434+1),COLUMN('1-DATA'!C432)),IF($B434="STD. DEVIATION",2,$F$1))))</f>
        <v/>
      </c>
      <c r="E434" s="1" t="str">
        <f>IF(OR($B434="",E$7=""),"",IF($B434="MEANS",INDEX('1-DATA'!$1:$1048576,$A433-1,COLUMN('1-DATA'!D432)),ROUND(INDEX('1-DATA'!$1:$1048576,IF(OR($B434="STD. DEVIATION",$C$1=1),$A434,$A434+1),COLUMN('1-DATA'!D432)),IF($B434="STD. DEVIATION",2,$F$1))))</f>
        <v/>
      </c>
      <c r="F434" s="1" t="str">
        <f>IF(OR($B434="",F$7=""),"",IF($B434="MEANS",INDEX('1-DATA'!$1:$1048576,$A433-1,COLUMN('1-DATA'!E432)),ROUND(INDEX('1-DATA'!$1:$1048576,IF(OR($B434="STD. DEVIATION",$C$1=1),$A434,$A434+1),COLUMN('1-DATA'!E432)),IF($B434="STD. DEVIATION",2,$F$1))))</f>
        <v/>
      </c>
      <c r="G434" s="1" t="str">
        <f>IF(OR($B434="",G$7=""),"",IF($B434="MEANS",INDEX('1-DATA'!$1:$1048576,$A433-1,COLUMN('1-DATA'!F432)),ROUND(INDEX('1-DATA'!$1:$1048576,IF(OR($B434="STD. DEVIATION",$C$1=1),$A434,$A434+1),COLUMN('1-DATA'!F432)),IF($B434="STD. DEVIATION",2,$F$1))))</f>
        <v/>
      </c>
      <c r="H434" s="1" t="str">
        <f>IF(OR($B434="",H$7=""),"",IF($B434="MEANS",INDEX('1-DATA'!$1:$1048576,$A433-1,COLUMN('1-DATA'!G432)),ROUND(INDEX('1-DATA'!$1:$1048576,IF(OR($B434="STD. DEVIATION",$C$1=1),$A434,$A434+1),COLUMN('1-DATA'!G432)),IF($B434="STD. DEVIATION",2,$F$1))))</f>
        <v/>
      </c>
      <c r="I434" s="1" t="str">
        <f>IF(OR($B434="",I$7=""),"",IF($B434="MEANS",INDEX('1-DATA'!$1:$1048576,$A433-1,COLUMN('1-DATA'!H432)),ROUND(INDEX('1-DATA'!$1:$1048576,IF(OR($B434="STD. DEVIATION",$C$1=1),$A434,$A434+1),COLUMN('1-DATA'!H432)),IF($B434="STD. DEVIATION",2,$F$1))))</f>
        <v/>
      </c>
      <c r="J434" s="1" t="str">
        <f>IF(OR($B434="",J$7=""),"",IF($B434="MEANS",INDEX('1-DATA'!$1:$1048576,$A433-1,COLUMN('1-DATA'!I432)),ROUND(INDEX('1-DATA'!$1:$1048576,IF(OR($B434="STD. DEVIATION",$C$1=1),$A434,$A434+1),COLUMN('1-DATA'!I432)),IF($B434="STD. DEVIATION",2,$F$1))))</f>
        <v/>
      </c>
      <c r="K434" s="1" t="str">
        <f>IF(OR($B434="",K$7=""),"",IF($B434="MEANS",INDEX('1-DATA'!$1:$1048576,$A433-1,COLUMN('1-DATA'!J432)),ROUND(INDEX('1-DATA'!$1:$1048576,IF(OR($B434="STD. DEVIATION",$C$1=1),$A434,$A434+1),COLUMN('1-DATA'!J432)),IF($B434="STD. DEVIATION",2,$F$1))))</f>
        <v/>
      </c>
      <c r="L434" s="1" t="str">
        <f>IF(OR($B434="",L$7=""),"",IF($B434="MEANS",INDEX('1-DATA'!$1:$1048576,$A433-1,COLUMN('1-DATA'!K432)),ROUND(INDEX('1-DATA'!$1:$1048576,IF(OR($B434="STD. DEVIATION",$C$1=1),$A434,$A434+1),COLUMN('1-DATA'!K432)),IF($B434="STD. DEVIATION",2,$F$1))))</f>
        <v/>
      </c>
      <c r="M434" s="1" t="str">
        <f>IF(OR($B434="",M$7=""),"",IF($B434="MEANS",INDEX('1-DATA'!$1:$1048576,$A433-1,COLUMN('1-DATA'!L432)),ROUND(INDEX('1-DATA'!$1:$1048576,IF(OR($B434="STD. DEVIATION",$C$1=1),$A434,$A434+1),COLUMN('1-DATA'!L432)),IF($B434="STD. DEVIATION",2,$F$1))))</f>
        <v/>
      </c>
      <c r="N434" s="1" t="str">
        <f>IF(OR($B434="",N$7=""),"",IF($B434="MEANS",INDEX('1-DATA'!$1:$1048576,$A433-1,COLUMN('1-DATA'!M432)),ROUND(INDEX('1-DATA'!$1:$1048576,IF(OR($B434="STD. DEVIATION",$C$1=1),$A434,$A434+1),COLUMN('1-DATA'!M432)),IF($B434="STD. DEVIATION",2,$F$1))))</f>
        <v/>
      </c>
      <c r="O434" s="1" t="str">
        <f>IF(OR($B434="",O$7=""),"",IF($B434="MEANS",INDEX('1-DATA'!$1:$1048576,$A433-1,COLUMN('1-DATA'!N432)),ROUND(INDEX('1-DATA'!$1:$1048576,IF(OR($B434="STD. DEVIATION",$C$1=1),$A434,$A434+1),COLUMN('1-DATA'!N432)),IF($B434="STD. DEVIATION",2,$F$1))))</f>
        <v/>
      </c>
      <c r="P434" s="1" t="str">
        <f>IF(OR($B434="",P$7=""),"",IF($B434="MEANS",INDEX('1-DATA'!$1:$1048576,$A433-1,COLUMN('1-DATA'!O432)),ROUND(INDEX('1-DATA'!$1:$1048576,IF(OR($B434="STD. DEVIATION",$C$1=1),$A434,$A434+1),COLUMN('1-DATA'!O432)),IF($B434="STD. DEVIATION",2,$F$1))))</f>
        <v/>
      </c>
      <c r="Q434" s="1" t="str">
        <f>IF(OR($B434="",Q$7=""),"",IF($B434="MEANS",INDEX('1-DATA'!$1:$1048576,$A433-1,COLUMN('1-DATA'!P432)),ROUND(INDEX('1-DATA'!$1:$1048576,IF(OR($B434="STD. DEVIATION",$C$1=1),$A434,$A434+1),COLUMN('1-DATA'!P432)),IF($B434="STD. DEVIATION",2,$F$1))))</f>
        <v/>
      </c>
      <c r="R434" s="1" t="str">
        <f>IF(OR($B434="",R$7=""),"",IF($B434="MEANS",INDEX('1-DATA'!$1:$1048576,$A433-1,COLUMN('1-DATA'!Q432)),ROUND(INDEX('1-DATA'!$1:$1048576,IF(OR($B434="STD. DEVIATION",$C$1=1),$A434,$A434+1),COLUMN('1-DATA'!Q432)),IF($B434="STD. DEVIATION",2,$F$1))))</f>
        <v/>
      </c>
      <c r="S434" s="1" t="str">
        <f>IF(OR($B434="",S$7=""),"",IF($B434="MEANS",INDEX('1-DATA'!$1:$1048576,$A433-1,COLUMN('1-DATA'!R432)),ROUND(INDEX('1-DATA'!$1:$1048576,IF(OR($B434="STD. DEVIATION",$C$1=1),$A434,$A434+1),COLUMN('1-DATA'!R432)),IF($B434="STD. DEVIATION",2,$F$1))))</f>
        <v/>
      </c>
      <c r="T434" s="1" t="str">
        <f>IF(OR($B434="",T$7=""),"",IF($B434="MEANS",INDEX('1-DATA'!$1:$1048576,$A433-1,COLUMN('1-DATA'!S432)),ROUND(INDEX('1-DATA'!$1:$1048576,IF(OR($B434="STD. DEVIATION",$C$1=1),$A434,$A434+1),COLUMN('1-DATA'!S432)),IF($B434="STD. DEVIATION",2,$F$1))))</f>
        <v/>
      </c>
      <c r="U434" s="1" t="str">
        <f>IF(OR($B434="",U$7=""),"",IF($B434="MEANS",INDEX('1-DATA'!$1:$1048576,$A433-1,COLUMN('1-DATA'!T432)),ROUND(INDEX('1-DATA'!$1:$1048576,IF(OR($B434="STD. DEVIATION",$C$1=1),$A434,$A434+1),COLUMN('1-DATA'!T432)),IF($B434="STD. DEVIATION",2,$F$1))))</f>
        <v/>
      </c>
      <c r="V434" s="1" t="str">
        <f>IF(OR($B434="",V$7=""),"",IF($B434="MEANS",INDEX('1-DATA'!$1:$1048576,$A433-1,COLUMN('1-DATA'!U432)),ROUND(INDEX('1-DATA'!$1:$1048576,IF(OR($B434="STD. DEVIATION",$C$1=1),$A434,$A434+1),COLUMN('1-DATA'!U432)),IF($B434="STD. DEVIATION",2,$F$1))))</f>
        <v/>
      </c>
      <c r="W434" s="1" t="str">
        <f>IF(OR($B434="",W$7=""),"",IF($B434="MEANS",INDEX('1-DATA'!$1:$1048576,$A433-1,COLUMN('1-DATA'!V432)),ROUND(INDEX('1-DATA'!$1:$1048576,IF(OR($B434="STD. DEVIATION",$C$1=1),$A434,$A434+1),COLUMN('1-DATA'!V432)),IF($B434="STD. DEVIATION",2,$F$1))))</f>
        <v/>
      </c>
      <c r="X434" s="1" t="str">
        <f>IF(OR($B434="",X$7=""),"",IF($B434="MEANS",INDEX('1-DATA'!$1:$1048576,$A433-1,COLUMN('1-DATA'!W432)),ROUND(INDEX('1-DATA'!$1:$1048576,IF(OR($B434="STD. DEVIATION",$C$1=1),$A434,$A434+1),COLUMN('1-DATA'!W432)),IF($B434="STD. DEVIATION",2,$F$1))))</f>
        <v/>
      </c>
      <c r="Y434" s="1" t="str">
        <f>IF(OR($B434="",Y$7=""),"",IF($B434="MEANS",INDEX('1-DATA'!$1:$1048576,$A433-1,COLUMN('1-DATA'!X432)),ROUND(INDEX('1-DATA'!$1:$1048576,IF(OR($B434="STD. DEVIATION",$C$1=1),$A434,$A434+1),COLUMN('1-DATA'!X432)),IF($B434="STD. DEVIATION",2,$F$1))))</f>
        <v/>
      </c>
      <c r="Z434" s="1" t="str">
        <f>IF(OR($B434="",Z$7=""),"",IF($B434="MEANS",INDEX('1-DATA'!$1:$1048576,$A433-1,COLUMN('1-DATA'!Y432)),ROUND(INDEX('1-DATA'!$1:$1048576,IF(OR($B434="STD. DEVIATION",$C$1=1),$A434,$A434+1),COLUMN('1-DATA'!Y432)),IF($B434="STD. DEVIATION",2,$F$1))))</f>
        <v/>
      </c>
      <c r="AA434" s="1" t="str">
        <f>IF(OR($B434="",AA$7=""),"",IF($B434="MEANS",INDEX('1-DATA'!$1:$1048576,$A433-1,COLUMN('1-DATA'!Z432)),ROUND(INDEX('1-DATA'!$1:$1048576,IF(OR($B434="STD. DEVIATION",$C$1=1),$A434,$A434+1),COLUMN('1-DATA'!Z432)),IF($B434="STD. DEVIATION",2,$F$1))))</f>
        <v/>
      </c>
      <c r="AB434" s="1" t="str">
        <f>IF(OR($B434="",AB$7=""),"",IF($B434="MEANS",INDEX('1-DATA'!$1:$1048576,$A433-1,COLUMN('1-DATA'!AA432)),ROUND(INDEX('1-DATA'!$1:$1048576,IF(OR($B434="STD. DEVIATION",$C$1=1),$A434,$A434+1),COLUMN('1-DATA'!AA432)),IF($B434="STD. DEVIATION",2,$F$1))))</f>
        <v/>
      </c>
      <c r="AC434" s="1" t="str">
        <f>IF(OR($B434="",AC$7=""),"",IF($B434="MEANS",INDEX('1-DATA'!$1:$1048576,$A433-1,COLUMN('1-DATA'!AB432)),ROUND(INDEX('1-DATA'!$1:$1048576,IF(OR($B434="STD. DEVIATION",$C$1=1),$A434,$A434+1),COLUMN('1-DATA'!AB432)),IF($B434="STD. DEVIATION",2,$F$1))))</f>
        <v/>
      </c>
      <c r="AD434" s="1" t="str">
        <f>IF(OR($B434="",AD$7=""),"",IF($B434="MEANS",INDEX('1-DATA'!$1:$1048576,$A433-1,COLUMN('1-DATA'!AC432)),ROUND(INDEX('1-DATA'!$1:$1048576,IF(OR($B434="STD. DEVIATION",$C$1=1),$A434,$A434+1),COLUMN('1-DATA'!AC432)),IF($B434="STD. DEVIATION",2,$F$1))))</f>
        <v/>
      </c>
      <c r="AE434" s="1" t="str">
        <f>IF(OR($B434="",AE$7=""),"",IF($B434="MEANS",INDEX('1-DATA'!$1:$1048576,$A433-1,COLUMN('1-DATA'!AD432)),ROUND(INDEX('1-DATA'!$1:$1048576,IF(OR($B434="STD. DEVIATION",$C$1=1),$A434,$A434+1),COLUMN('1-DATA'!AD432)),IF($B434="STD. DEVIATION",2,$F$1))))</f>
        <v/>
      </c>
      <c r="AF434" s="1" t="str">
        <f>IF(OR($B434="",AF$7=""),"",IF($B434="MEANS",INDEX('1-DATA'!$1:$1048576,$A433-1,COLUMN('1-DATA'!AE432)),ROUND(INDEX('1-DATA'!$1:$1048576,IF(OR($B434="STD. DEVIATION",$C$1=1),$A434,$A434+1),COLUMN('1-DATA'!AE432)),IF($B434="STD. DEVIATION",2,$F$1))))</f>
        <v/>
      </c>
      <c r="AG434" s="1" t="str">
        <f>IF(OR($B434="",AG$7=""),"",IF($B434="MEANS",INDEX('1-DATA'!$1:$1048576,$A433-1,COLUMN('1-DATA'!AF432)),ROUND(INDEX('1-DATA'!$1:$1048576,IF(OR($B434="STD. DEVIATION",$C$1=1),$A434,$A434+1),COLUMN('1-DATA'!AF432)),IF($B434="STD. DEVIATION",2,$F$1))))</f>
        <v/>
      </c>
      <c r="AH434" s="1" t="str">
        <f>IF(OR($B434="",AH$7=""),"",IF($B434="MEANS",INDEX('1-DATA'!$1:$1048576,$A433-1,COLUMN('1-DATA'!AG432)),ROUND(INDEX('1-DATA'!$1:$1048576,IF(OR($B434="STD. DEVIATION",$C$1=1),$A434,$A434+1),COLUMN('1-DATA'!AG432)),IF($B434="STD. DEVIATION",2,$F$1))))</f>
        <v/>
      </c>
      <c r="AI434" s="1" t="str">
        <f>IF(OR($B434="",AI$7=""),"",IF($B434="MEANS",INDEX('1-DATA'!$1:$1048576,$A433-1,COLUMN('1-DATA'!AH432)),ROUND(INDEX('1-DATA'!$1:$1048576,IF(OR($B434="STD. DEVIATION",$C$1=1),$A434,$A434+1),COLUMN('1-DATA'!AH432)),IF($B434="STD. DEVIATION",2,$F$1))))</f>
        <v/>
      </c>
      <c r="AJ434" s="1" t="str">
        <f>IF(OR($B434="",AJ$7=""),"",IF($B434="MEANS",INDEX('1-DATA'!$1:$1048576,$A433-1,COLUMN('1-DATA'!AI432)),ROUND(INDEX('1-DATA'!$1:$1048576,IF(OR($B434="STD. DEVIATION",$C$1=1),$A434,$A434+1),COLUMN('1-DATA'!AI432)),IF($B434="STD. DEVIATION",2,$F$1))))</f>
        <v/>
      </c>
      <c r="AK434" s="1" t="str">
        <f>IF(OR($B434="",AK$7=""),"",IF($B434="MEANS",INDEX('1-DATA'!$1:$1048576,$A433-1,COLUMN('1-DATA'!AJ432)),ROUND(INDEX('1-DATA'!$1:$1048576,IF(OR($B434="STD. DEVIATION",$C$1=1),$A434,$A434+1),COLUMN('1-DATA'!AJ432)),IF($B434="STD. DEVIATION",2,$F$1))))</f>
        <v/>
      </c>
      <c r="AL434" s="1" t="str">
        <f>IF(OR($B434="",AL$7=""),"",IF($B434="MEANS",INDEX('1-DATA'!$1:$1048576,$A433-1,COLUMN('1-DATA'!AK432)),ROUND(INDEX('1-DATA'!$1:$1048576,IF(OR($B434="STD. DEVIATION",$C$1=1),$A434,$A434+1),COLUMN('1-DATA'!AK432)),IF($B434="STD. DEVIATION",2,$F$1))))</f>
        <v/>
      </c>
      <c r="AM434" s="1" t="str">
        <f>IF(OR($B434="",AM$7=""),"",IF($B434="MEANS",INDEX('1-DATA'!$1:$1048576,$A433-1,COLUMN('1-DATA'!AL432)),ROUND(INDEX('1-DATA'!$1:$1048576,IF(OR($B434="STD. DEVIATION",$C$1=1),$A434,$A434+1),COLUMN('1-DATA'!AL432)),IF($B434="STD. DEVIATION",2,$F$1))))</f>
        <v/>
      </c>
      <c r="AN434" s="1" t="str">
        <f>IF(OR($B434="",AN$7=""),"",IF($B434="MEANS",INDEX('1-DATA'!$1:$1048576,$A433-1,COLUMN('1-DATA'!AM432)),ROUND(INDEX('1-DATA'!$1:$1048576,IF(OR($B434="STD. DEVIATION",$C$1=1),$A434,$A434+1),COLUMN('1-DATA'!AM432)),IF($B434="STD. DEVIATION",2,$F$1))))</f>
        <v/>
      </c>
      <c r="AO434" s="1" t="str">
        <f>IF(OR($B434="",AO$7=""),"",IF($B434="MEANS",INDEX('1-DATA'!$1:$1048576,$A433-1,COLUMN('1-DATA'!AN432)),ROUND(INDEX('1-DATA'!$1:$1048576,IF(OR($B434="STD. DEVIATION",$C$1=1),$A434,$A434+1),COLUMN('1-DATA'!AN432)),IF($B434="STD. DEVIATION",2,$F$1))))</f>
        <v/>
      </c>
      <c r="AP434" s="1" t="str">
        <f>IF(OR($B434="",AP$7=""),"",IF($B434="MEANS",INDEX('1-DATA'!$1:$1048576,$A433-1,COLUMN('1-DATA'!AO432)),ROUND(INDEX('1-DATA'!$1:$1048576,IF(OR($B434="STD. DEVIATION",$C$1=1),$A434,$A434+1),COLUMN('1-DATA'!AO432)),IF($B434="STD. DEVIATION",2,$F$1))))</f>
        <v/>
      </c>
      <c r="AQ434" s="1" t="str">
        <f>IF(OR($B434="",AQ$7=""),"",IF($B434="MEANS",INDEX('1-DATA'!$1:$1048576,$A433-1,COLUMN('1-DATA'!AP432)),ROUND(INDEX('1-DATA'!$1:$1048576,IF(OR($B434="STD. DEVIATION",$C$1=1),$A434,$A434+1),COLUMN('1-DATA'!AP432)),IF($B434="STD. DEVIATION",2,$F$1))))</f>
        <v/>
      </c>
      <c r="AR434" s="1" t="str">
        <f>IF(OR($B434="",AR$7=""),"",IF($B434="MEANS",INDEX('1-DATA'!$1:$1048576,$A433-1,COLUMN('1-DATA'!AQ432)),ROUND(INDEX('1-DATA'!$1:$1048576,IF(OR($B434="STD. DEVIATION",$C$1=1),$A434,$A434+1),COLUMN('1-DATA'!AQ432)),IF($B434="STD. DEVIATION",2,$F$1))))</f>
        <v/>
      </c>
      <c r="AS434" s="1" t="str">
        <f>IF(OR($B434="",AS$7=""),"",IF($B434="MEANS",INDEX('1-DATA'!$1:$1048576,$A433-1,COLUMN('1-DATA'!AR432)),ROUND(INDEX('1-DATA'!$1:$1048576,IF(OR($B434="STD. DEVIATION",$C$1=1),$A434,$A434+1),COLUMN('1-DATA'!AR432)),IF($B434="STD. DEVIATION",2,$F$1))))</f>
        <v/>
      </c>
      <c r="AT434" s="1" t="str">
        <f>IF(OR($B434="",AT$7=""),"",IF($B434="MEANS",INDEX('1-DATA'!$1:$1048576,$A433-1,COLUMN('1-DATA'!AS432)),ROUND(INDEX('1-DATA'!$1:$1048576,IF(OR($B434="STD. DEVIATION",$C$1=1),$A434,$A434+1),COLUMN('1-DATA'!AS432)),IF($B434="STD. DEVIATION",2,$F$1))))</f>
        <v/>
      </c>
      <c r="AU434" s="1" t="str">
        <f>IF(OR($B434="",AU$7=""),"",IF($B434="MEANS",INDEX('1-DATA'!$1:$1048576,$A433-1,COLUMN('1-DATA'!AT432)),ROUND(INDEX('1-DATA'!$1:$1048576,IF(OR($B434="STD. DEVIATION",$C$1=1),$A434,$A434+1),COLUMN('1-DATA'!AT432)),IF($B434="STD. DEVIATION",2,$F$1))))</f>
        <v/>
      </c>
      <c r="AV434" s="1" t="str">
        <f>IF(OR($B434="",AV$7=""),"",IF($B434="MEANS",INDEX('1-DATA'!$1:$1048576,$A433-1,COLUMN('1-DATA'!AU432)),ROUND(INDEX('1-DATA'!$1:$1048576,IF(OR($B434="STD. DEVIATION",$C$1=1),$A434,$A434+1),COLUMN('1-DATA'!AU432)),IF($B434="STD. DEVIATION",2,$F$1))))</f>
        <v/>
      </c>
      <c r="AW434" s="1" t="str">
        <f>IF(OR($B434="",AW$7=""),"",IF($B434="MEANS",INDEX('1-DATA'!$1:$1048576,$A433-1,COLUMN('1-DATA'!AV432)),ROUND(INDEX('1-DATA'!$1:$1048576,IF(OR($B434="STD. DEVIATION",$C$1=1),$A434,$A434+1),COLUMN('1-DATA'!AV432)),IF($B434="STD. DEVIATION",2,$F$1))))</f>
        <v/>
      </c>
      <c r="AX434" s="1" t="str">
        <f>IF(OR($B434="",AX$7=""),"",IF($B434="MEANS",INDEX('1-DATA'!$1:$1048576,$A433-1,COLUMN('1-DATA'!AW432)),ROUND(INDEX('1-DATA'!$1:$1048576,IF(OR($B434="STD. DEVIATION",$C$1=1),$A434,$A434+1),COLUMN('1-DATA'!AW432)),IF($B434="STD. DEVIATION",2,$F$1))))</f>
        <v/>
      </c>
      <c r="AY434" s="1" t="str">
        <f>IF(OR($B434="",AY$7=""),"",IF($B434="MEANS",INDEX('1-DATA'!$1:$1048576,$A433-1,COLUMN('1-DATA'!AX432)),ROUND(INDEX('1-DATA'!$1:$1048576,IF(OR($B434="STD. DEVIATION",$C$1=1),$A434,$A434+1),COLUMN('1-DATA'!AX432)),IF($B434="STD. DEVIATION",2,$F$1))))</f>
        <v/>
      </c>
      <c r="AZ434" s="1" t="str">
        <f>IF(OR($B434="",AZ$7=""),"",IF($B434="MEANS",INDEX('1-DATA'!$1:$1048576,$A433-1,COLUMN('1-DATA'!AY432)),ROUND(INDEX('1-DATA'!$1:$1048576,IF(OR($B434="STD. DEVIATION",$C$1=1),$A434,$A434+1),COLUMN('1-DATA'!AY432)),IF($B434="STD. DEVIATION",2,$F$1))))</f>
        <v/>
      </c>
    </row>
    <row r="435" spans="1:52" x14ac:dyDescent="0.25">
      <c r="A435" s="11">
        <f t="shared" si="7"/>
        <v>1291</v>
      </c>
      <c r="B435" s="1" t="str">
        <f>IF(B434="STD. DEVIATION",INDEX('1-DATA'!$1:$1048576,$A434-1,1),IF(INDEX('1-DATA'!$1:$1048576,$A435,1)&lt;&gt;"",INDEX('1-DATA'!$1:$1048576,$A435,1),""))</f>
        <v/>
      </c>
      <c r="C435" s="1" t="str">
        <f>IF(OR($B435="",C$7=""),"",IF($B435="MEANS",INDEX('1-DATA'!$1:$1048576,$A434-1,COLUMN('1-DATA'!B433)),ROUND(INDEX('1-DATA'!$1:$1048576,IF(OR($B435="STD. DEVIATION",$C$1=1),$A435,$A435+1),COLUMN('1-DATA'!B433)),IF($B435="STD. DEVIATION",2,$F$1))))</f>
        <v/>
      </c>
      <c r="D435" s="1" t="str">
        <f>IF(OR($B435="",D$7=""),"",IF($B435="MEANS",INDEX('1-DATA'!$1:$1048576,$A434-1,COLUMN('1-DATA'!C433)),ROUND(INDEX('1-DATA'!$1:$1048576,IF(OR($B435="STD. DEVIATION",$C$1=1),$A435,$A435+1),COLUMN('1-DATA'!C433)),IF($B435="STD. DEVIATION",2,$F$1))))</f>
        <v/>
      </c>
      <c r="E435" s="1" t="str">
        <f>IF(OR($B435="",E$7=""),"",IF($B435="MEANS",INDEX('1-DATA'!$1:$1048576,$A434-1,COLUMN('1-DATA'!D433)),ROUND(INDEX('1-DATA'!$1:$1048576,IF(OR($B435="STD. DEVIATION",$C$1=1),$A435,$A435+1),COLUMN('1-DATA'!D433)),IF($B435="STD. DEVIATION",2,$F$1))))</f>
        <v/>
      </c>
      <c r="F435" s="1" t="str">
        <f>IF(OR($B435="",F$7=""),"",IF($B435="MEANS",INDEX('1-DATA'!$1:$1048576,$A434-1,COLUMN('1-DATA'!E433)),ROUND(INDEX('1-DATA'!$1:$1048576,IF(OR($B435="STD. DEVIATION",$C$1=1),$A435,$A435+1),COLUMN('1-DATA'!E433)),IF($B435="STD. DEVIATION",2,$F$1))))</f>
        <v/>
      </c>
      <c r="G435" s="1" t="str">
        <f>IF(OR($B435="",G$7=""),"",IF($B435="MEANS",INDEX('1-DATA'!$1:$1048576,$A434-1,COLUMN('1-DATA'!F433)),ROUND(INDEX('1-DATA'!$1:$1048576,IF(OR($B435="STD. DEVIATION",$C$1=1),$A435,$A435+1),COLUMN('1-DATA'!F433)),IF($B435="STD. DEVIATION",2,$F$1))))</f>
        <v/>
      </c>
      <c r="H435" s="1" t="str">
        <f>IF(OR($B435="",H$7=""),"",IF($B435="MEANS",INDEX('1-DATA'!$1:$1048576,$A434-1,COLUMN('1-DATA'!G433)),ROUND(INDEX('1-DATA'!$1:$1048576,IF(OR($B435="STD. DEVIATION",$C$1=1),$A435,$A435+1),COLUMN('1-DATA'!G433)),IF($B435="STD. DEVIATION",2,$F$1))))</f>
        <v/>
      </c>
      <c r="I435" s="1" t="str">
        <f>IF(OR($B435="",I$7=""),"",IF($B435="MEANS",INDEX('1-DATA'!$1:$1048576,$A434-1,COLUMN('1-DATA'!H433)),ROUND(INDEX('1-DATA'!$1:$1048576,IF(OR($B435="STD. DEVIATION",$C$1=1),$A435,$A435+1),COLUMN('1-DATA'!H433)),IF($B435="STD. DEVIATION",2,$F$1))))</f>
        <v/>
      </c>
      <c r="J435" s="1" t="str">
        <f>IF(OR($B435="",J$7=""),"",IF($B435="MEANS",INDEX('1-DATA'!$1:$1048576,$A434-1,COLUMN('1-DATA'!I433)),ROUND(INDEX('1-DATA'!$1:$1048576,IF(OR($B435="STD. DEVIATION",$C$1=1),$A435,$A435+1),COLUMN('1-DATA'!I433)),IF($B435="STD. DEVIATION",2,$F$1))))</f>
        <v/>
      </c>
      <c r="K435" s="1" t="str">
        <f>IF(OR($B435="",K$7=""),"",IF($B435="MEANS",INDEX('1-DATA'!$1:$1048576,$A434-1,COLUMN('1-DATA'!J433)),ROUND(INDEX('1-DATA'!$1:$1048576,IF(OR($B435="STD. DEVIATION",$C$1=1),$A435,$A435+1),COLUMN('1-DATA'!J433)),IF($B435="STD. DEVIATION",2,$F$1))))</f>
        <v/>
      </c>
      <c r="L435" s="1" t="str">
        <f>IF(OR($B435="",L$7=""),"",IF($B435="MEANS",INDEX('1-DATA'!$1:$1048576,$A434-1,COLUMN('1-DATA'!K433)),ROUND(INDEX('1-DATA'!$1:$1048576,IF(OR($B435="STD. DEVIATION",$C$1=1),$A435,$A435+1),COLUMN('1-DATA'!K433)),IF($B435="STD. DEVIATION",2,$F$1))))</f>
        <v/>
      </c>
      <c r="M435" s="1" t="str">
        <f>IF(OR($B435="",M$7=""),"",IF($B435="MEANS",INDEX('1-DATA'!$1:$1048576,$A434-1,COLUMN('1-DATA'!L433)),ROUND(INDEX('1-DATA'!$1:$1048576,IF(OR($B435="STD. DEVIATION",$C$1=1),$A435,$A435+1),COLUMN('1-DATA'!L433)),IF($B435="STD. DEVIATION",2,$F$1))))</f>
        <v/>
      </c>
      <c r="N435" s="1" t="str">
        <f>IF(OR($B435="",N$7=""),"",IF($B435="MEANS",INDEX('1-DATA'!$1:$1048576,$A434-1,COLUMN('1-DATA'!M433)),ROUND(INDEX('1-DATA'!$1:$1048576,IF(OR($B435="STD. DEVIATION",$C$1=1),$A435,$A435+1),COLUMN('1-DATA'!M433)),IF($B435="STD. DEVIATION",2,$F$1))))</f>
        <v/>
      </c>
      <c r="O435" s="1" t="str">
        <f>IF(OR($B435="",O$7=""),"",IF($B435="MEANS",INDEX('1-DATA'!$1:$1048576,$A434-1,COLUMN('1-DATA'!N433)),ROUND(INDEX('1-DATA'!$1:$1048576,IF(OR($B435="STD. DEVIATION",$C$1=1),$A435,$A435+1),COLUMN('1-DATA'!N433)),IF($B435="STD. DEVIATION",2,$F$1))))</f>
        <v/>
      </c>
      <c r="P435" s="1" t="str">
        <f>IF(OR($B435="",P$7=""),"",IF($B435="MEANS",INDEX('1-DATA'!$1:$1048576,$A434-1,COLUMN('1-DATA'!O433)),ROUND(INDEX('1-DATA'!$1:$1048576,IF(OR($B435="STD. DEVIATION",$C$1=1),$A435,$A435+1),COLUMN('1-DATA'!O433)),IF($B435="STD. DEVIATION",2,$F$1))))</f>
        <v/>
      </c>
      <c r="Q435" s="1" t="str">
        <f>IF(OR($B435="",Q$7=""),"",IF($B435="MEANS",INDEX('1-DATA'!$1:$1048576,$A434-1,COLUMN('1-DATA'!P433)),ROUND(INDEX('1-DATA'!$1:$1048576,IF(OR($B435="STD. DEVIATION",$C$1=1),$A435,$A435+1),COLUMN('1-DATA'!P433)),IF($B435="STD. DEVIATION",2,$F$1))))</f>
        <v/>
      </c>
      <c r="R435" s="1" t="str">
        <f>IF(OR($B435="",R$7=""),"",IF($B435="MEANS",INDEX('1-DATA'!$1:$1048576,$A434-1,COLUMN('1-DATA'!Q433)),ROUND(INDEX('1-DATA'!$1:$1048576,IF(OR($B435="STD. DEVIATION",$C$1=1),$A435,$A435+1),COLUMN('1-DATA'!Q433)),IF($B435="STD. DEVIATION",2,$F$1))))</f>
        <v/>
      </c>
      <c r="S435" s="1" t="str">
        <f>IF(OR($B435="",S$7=""),"",IF($B435="MEANS",INDEX('1-DATA'!$1:$1048576,$A434-1,COLUMN('1-DATA'!R433)),ROUND(INDEX('1-DATA'!$1:$1048576,IF(OR($B435="STD. DEVIATION",$C$1=1),$A435,$A435+1),COLUMN('1-DATA'!R433)),IF($B435="STD. DEVIATION",2,$F$1))))</f>
        <v/>
      </c>
      <c r="T435" s="1" t="str">
        <f>IF(OR($B435="",T$7=""),"",IF($B435="MEANS",INDEX('1-DATA'!$1:$1048576,$A434-1,COLUMN('1-DATA'!S433)),ROUND(INDEX('1-DATA'!$1:$1048576,IF(OR($B435="STD. DEVIATION",$C$1=1),$A435,$A435+1),COLUMN('1-DATA'!S433)),IF($B435="STD. DEVIATION",2,$F$1))))</f>
        <v/>
      </c>
      <c r="U435" s="1" t="str">
        <f>IF(OR($B435="",U$7=""),"",IF($B435="MEANS",INDEX('1-DATA'!$1:$1048576,$A434-1,COLUMN('1-DATA'!T433)),ROUND(INDEX('1-DATA'!$1:$1048576,IF(OR($B435="STD. DEVIATION",$C$1=1),$A435,$A435+1),COLUMN('1-DATA'!T433)),IF($B435="STD. DEVIATION",2,$F$1))))</f>
        <v/>
      </c>
      <c r="V435" s="1" t="str">
        <f>IF(OR($B435="",V$7=""),"",IF($B435="MEANS",INDEX('1-DATA'!$1:$1048576,$A434-1,COLUMN('1-DATA'!U433)),ROUND(INDEX('1-DATA'!$1:$1048576,IF(OR($B435="STD. DEVIATION",$C$1=1),$A435,$A435+1),COLUMN('1-DATA'!U433)),IF($B435="STD. DEVIATION",2,$F$1))))</f>
        <v/>
      </c>
      <c r="W435" s="1" t="str">
        <f>IF(OR($B435="",W$7=""),"",IF($B435="MEANS",INDEX('1-DATA'!$1:$1048576,$A434-1,COLUMN('1-DATA'!V433)),ROUND(INDEX('1-DATA'!$1:$1048576,IF(OR($B435="STD. DEVIATION",$C$1=1),$A435,$A435+1),COLUMN('1-DATA'!V433)),IF($B435="STD. DEVIATION",2,$F$1))))</f>
        <v/>
      </c>
      <c r="X435" s="1" t="str">
        <f>IF(OR($B435="",X$7=""),"",IF($B435="MEANS",INDEX('1-DATA'!$1:$1048576,$A434-1,COLUMN('1-DATA'!W433)),ROUND(INDEX('1-DATA'!$1:$1048576,IF(OR($B435="STD. DEVIATION",$C$1=1),$A435,$A435+1),COLUMN('1-DATA'!W433)),IF($B435="STD. DEVIATION",2,$F$1))))</f>
        <v/>
      </c>
      <c r="Y435" s="1" t="str">
        <f>IF(OR($B435="",Y$7=""),"",IF($B435="MEANS",INDEX('1-DATA'!$1:$1048576,$A434-1,COLUMN('1-DATA'!X433)),ROUND(INDEX('1-DATA'!$1:$1048576,IF(OR($B435="STD. DEVIATION",$C$1=1),$A435,$A435+1),COLUMN('1-DATA'!X433)),IF($B435="STD. DEVIATION",2,$F$1))))</f>
        <v/>
      </c>
      <c r="Z435" s="1" t="str">
        <f>IF(OR($B435="",Z$7=""),"",IF($B435="MEANS",INDEX('1-DATA'!$1:$1048576,$A434-1,COLUMN('1-DATA'!Y433)),ROUND(INDEX('1-DATA'!$1:$1048576,IF(OR($B435="STD. DEVIATION",$C$1=1),$A435,$A435+1),COLUMN('1-DATA'!Y433)),IF($B435="STD. DEVIATION",2,$F$1))))</f>
        <v/>
      </c>
      <c r="AA435" s="1" t="str">
        <f>IF(OR($B435="",AA$7=""),"",IF($B435="MEANS",INDEX('1-DATA'!$1:$1048576,$A434-1,COLUMN('1-DATA'!Z433)),ROUND(INDEX('1-DATA'!$1:$1048576,IF(OR($B435="STD. DEVIATION",$C$1=1),$A435,$A435+1),COLUMN('1-DATA'!Z433)),IF($B435="STD. DEVIATION",2,$F$1))))</f>
        <v/>
      </c>
      <c r="AB435" s="1" t="str">
        <f>IF(OR($B435="",AB$7=""),"",IF($B435="MEANS",INDEX('1-DATA'!$1:$1048576,$A434-1,COLUMN('1-DATA'!AA433)),ROUND(INDEX('1-DATA'!$1:$1048576,IF(OR($B435="STD. DEVIATION",$C$1=1),$A435,$A435+1),COLUMN('1-DATA'!AA433)),IF($B435="STD. DEVIATION",2,$F$1))))</f>
        <v/>
      </c>
      <c r="AC435" s="1" t="str">
        <f>IF(OR($B435="",AC$7=""),"",IF($B435="MEANS",INDEX('1-DATA'!$1:$1048576,$A434-1,COLUMN('1-DATA'!AB433)),ROUND(INDEX('1-DATA'!$1:$1048576,IF(OR($B435="STD. DEVIATION",$C$1=1),$A435,$A435+1),COLUMN('1-DATA'!AB433)),IF($B435="STD. DEVIATION",2,$F$1))))</f>
        <v/>
      </c>
      <c r="AD435" s="1" t="str">
        <f>IF(OR($B435="",AD$7=""),"",IF($B435="MEANS",INDEX('1-DATA'!$1:$1048576,$A434-1,COLUMN('1-DATA'!AC433)),ROUND(INDEX('1-DATA'!$1:$1048576,IF(OR($B435="STD. DEVIATION",$C$1=1),$A435,$A435+1),COLUMN('1-DATA'!AC433)),IF($B435="STD. DEVIATION",2,$F$1))))</f>
        <v/>
      </c>
      <c r="AE435" s="1" t="str">
        <f>IF(OR($B435="",AE$7=""),"",IF($B435="MEANS",INDEX('1-DATA'!$1:$1048576,$A434-1,COLUMN('1-DATA'!AD433)),ROUND(INDEX('1-DATA'!$1:$1048576,IF(OR($B435="STD. DEVIATION",$C$1=1),$A435,$A435+1),COLUMN('1-DATA'!AD433)),IF($B435="STD. DEVIATION",2,$F$1))))</f>
        <v/>
      </c>
      <c r="AF435" s="1" t="str">
        <f>IF(OR($B435="",AF$7=""),"",IF($B435="MEANS",INDEX('1-DATA'!$1:$1048576,$A434-1,COLUMN('1-DATA'!AE433)),ROUND(INDEX('1-DATA'!$1:$1048576,IF(OR($B435="STD. DEVIATION",$C$1=1),$A435,$A435+1),COLUMN('1-DATA'!AE433)),IF($B435="STD. DEVIATION",2,$F$1))))</f>
        <v/>
      </c>
      <c r="AG435" s="1" t="str">
        <f>IF(OR($B435="",AG$7=""),"",IF($B435="MEANS",INDEX('1-DATA'!$1:$1048576,$A434-1,COLUMN('1-DATA'!AF433)),ROUND(INDEX('1-DATA'!$1:$1048576,IF(OR($B435="STD. DEVIATION",$C$1=1),$A435,$A435+1),COLUMN('1-DATA'!AF433)),IF($B435="STD. DEVIATION",2,$F$1))))</f>
        <v/>
      </c>
      <c r="AH435" s="1" t="str">
        <f>IF(OR($B435="",AH$7=""),"",IF($B435="MEANS",INDEX('1-DATA'!$1:$1048576,$A434-1,COLUMN('1-DATA'!AG433)),ROUND(INDEX('1-DATA'!$1:$1048576,IF(OR($B435="STD. DEVIATION",$C$1=1),$A435,$A435+1),COLUMN('1-DATA'!AG433)),IF($B435="STD. DEVIATION",2,$F$1))))</f>
        <v/>
      </c>
      <c r="AI435" s="1" t="str">
        <f>IF(OR($B435="",AI$7=""),"",IF($B435="MEANS",INDEX('1-DATA'!$1:$1048576,$A434-1,COLUMN('1-DATA'!AH433)),ROUND(INDEX('1-DATA'!$1:$1048576,IF(OR($B435="STD. DEVIATION",$C$1=1),$A435,$A435+1),COLUMN('1-DATA'!AH433)),IF($B435="STD. DEVIATION",2,$F$1))))</f>
        <v/>
      </c>
      <c r="AJ435" s="1" t="str">
        <f>IF(OR($B435="",AJ$7=""),"",IF($B435="MEANS",INDEX('1-DATA'!$1:$1048576,$A434-1,COLUMN('1-DATA'!AI433)),ROUND(INDEX('1-DATA'!$1:$1048576,IF(OR($B435="STD. DEVIATION",$C$1=1),$A435,$A435+1),COLUMN('1-DATA'!AI433)),IF($B435="STD. DEVIATION",2,$F$1))))</f>
        <v/>
      </c>
      <c r="AK435" s="1" t="str">
        <f>IF(OR($B435="",AK$7=""),"",IF($B435="MEANS",INDEX('1-DATA'!$1:$1048576,$A434-1,COLUMN('1-DATA'!AJ433)),ROUND(INDEX('1-DATA'!$1:$1048576,IF(OR($B435="STD. DEVIATION",$C$1=1),$A435,$A435+1),COLUMN('1-DATA'!AJ433)),IF($B435="STD. DEVIATION",2,$F$1))))</f>
        <v/>
      </c>
      <c r="AL435" s="1" t="str">
        <f>IF(OR($B435="",AL$7=""),"",IF($B435="MEANS",INDEX('1-DATA'!$1:$1048576,$A434-1,COLUMN('1-DATA'!AK433)),ROUND(INDEX('1-DATA'!$1:$1048576,IF(OR($B435="STD. DEVIATION",$C$1=1),$A435,$A435+1),COLUMN('1-DATA'!AK433)),IF($B435="STD. DEVIATION",2,$F$1))))</f>
        <v/>
      </c>
      <c r="AM435" s="1" t="str">
        <f>IF(OR($B435="",AM$7=""),"",IF($B435="MEANS",INDEX('1-DATA'!$1:$1048576,$A434-1,COLUMN('1-DATA'!AL433)),ROUND(INDEX('1-DATA'!$1:$1048576,IF(OR($B435="STD. DEVIATION",$C$1=1),$A435,$A435+1),COLUMN('1-DATA'!AL433)),IF($B435="STD. DEVIATION",2,$F$1))))</f>
        <v/>
      </c>
      <c r="AN435" s="1" t="str">
        <f>IF(OR($B435="",AN$7=""),"",IF($B435="MEANS",INDEX('1-DATA'!$1:$1048576,$A434-1,COLUMN('1-DATA'!AM433)),ROUND(INDEX('1-DATA'!$1:$1048576,IF(OR($B435="STD. DEVIATION",$C$1=1),$A435,$A435+1),COLUMN('1-DATA'!AM433)),IF($B435="STD. DEVIATION",2,$F$1))))</f>
        <v/>
      </c>
      <c r="AO435" s="1" t="str">
        <f>IF(OR($B435="",AO$7=""),"",IF($B435="MEANS",INDEX('1-DATA'!$1:$1048576,$A434-1,COLUMN('1-DATA'!AN433)),ROUND(INDEX('1-DATA'!$1:$1048576,IF(OR($B435="STD. DEVIATION",$C$1=1),$A435,$A435+1),COLUMN('1-DATA'!AN433)),IF($B435="STD. DEVIATION",2,$F$1))))</f>
        <v/>
      </c>
      <c r="AP435" s="1" t="str">
        <f>IF(OR($B435="",AP$7=""),"",IF($B435="MEANS",INDEX('1-DATA'!$1:$1048576,$A434-1,COLUMN('1-DATA'!AO433)),ROUND(INDEX('1-DATA'!$1:$1048576,IF(OR($B435="STD. DEVIATION",$C$1=1),$A435,$A435+1),COLUMN('1-DATA'!AO433)),IF($B435="STD. DEVIATION",2,$F$1))))</f>
        <v/>
      </c>
      <c r="AQ435" s="1" t="str">
        <f>IF(OR($B435="",AQ$7=""),"",IF($B435="MEANS",INDEX('1-DATA'!$1:$1048576,$A434-1,COLUMN('1-DATA'!AP433)),ROUND(INDEX('1-DATA'!$1:$1048576,IF(OR($B435="STD. DEVIATION",$C$1=1),$A435,$A435+1),COLUMN('1-DATA'!AP433)),IF($B435="STD. DEVIATION",2,$F$1))))</f>
        <v/>
      </c>
      <c r="AR435" s="1" t="str">
        <f>IF(OR($B435="",AR$7=""),"",IF($B435="MEANS",INDEX('1-DATA'!$1:$1048576,$A434-1,COLUMN('1-DATA'!AQ433)),ROUND(INDEX('1-DATA'!$1:$1048576,IF(OR($B435="STD. DEVIATION",$C$1=1),$A435,$A435+1),COLUMN('1-DATA'!AQ433)),IF($B435="STD. DEVIATION",2,$F$1))))</f>
        <v/>
      </c>
      <c r="AS435" s="1" t="str">
        <f>IF(OR($B435="",AS$7=""),"",IF($B435="MEANS",INDEX('1-DATA'!$1:$1048576,$A434-1,COLUMN('1-DATA'!AR433)),ROUND(INDEX('1-DATA'!$1:$1048576,IF(OR($B435="STD. DEVIATION",$C$1=1),$A435,$A435+1),COLUMN('1-DATA'!AR433)),IF($B435="STD. DEVIATION",2,$F$1))))</f>
        <v/>
      </c>
      <c r="AT435" s="1" t="str">
        <f>IF(OR($B435="",AT$7=""),"",IF($B435="MEANS",INDEX('1-DATA'!$1:$1048576,$A434-1,COLUMN('1-DATA'!AS433)),ROUND(INDEX('1-DATA'!$1:$1048576,IF(OR($B435="STD. DEVIATION",$C$1=1),$A435,$A435+1),COLUMN('1-DATA'!AS433)),IF($B435="STD. DEVIATION",2,$F$1))))</f>
        <v/>
      </c>
      <c r="AU435" s="1" t="str">
        <f>IF(OR($B435="",AU$7=""),"",IF($B435="MEANS",INDEX('1-DATA'!$1:$1048576,$A434-1,COLUMN('1-DATA'!AT433)),ROUND(INDEX('1-DATA'!$1:$1048576,IF(OR($B435="STD. DEVIATION",$C$1=1),$A435,$A435+1),COLUMN('1-DATA'!AT433)),IF($B435="STD. DEVIATION",2,$F$1))))</f>
        <v/>
      </c>
      <c r="AV435" s="1" t="str">
        <f>IF(OR($B435="",AV$7=""),"",IF($B435="MEANS",INDEX('1-DATA'!$1:$1048576,$A434-1,COLUMN('1-DATA'!AU433)),ROUND(INDEX('1-DATA'!$1:$1048576,IF(OR($B435="STD. DEVIATION",$C$1=1),$A435,$A435+1),COLUMN('1-DATA'!AU433)),IF($B435="STD. DEVIATION",2,$F$1))))</f>
        <v/>
      </c>
      <c r="AW435" s="1" t="str">
        <f>IF(OR($B435="",AW$7=""),"",IF($B435="MEANS",INDEX('1-DATA'!$1:$1048576,$A434-1,COLUMN('1-DATA'!AV433)),ROUND(INDEX('1-DATA'!$1:$1048576,IF(OR($B435="STD. DEVIATION",$C$1=1),$A435,$A435+1),COLUMN('1-DATA'!AV433)),IF($B435="STD. DEVIATION",2,$F$1))))</f>
        <v/>
      </c>
      <c r="AX435" s="1" t="str">
        <f>IF(OR($B435="",AX$7=""),"",IF($B435="MEANS",INDEX('1-DATA'!$1:$1048576,$A434-1,COLUMN('1-DATA'!AW433)),ROUND(INDEX('1-DATA'!$1:$1048576,IF(OR($B435="STD. DEVIATION",$C$1=1),$A435,$A435+1),COLUMN('1-DATA'!AW433)),IF($B435="STD. DEVIATION",2,$F$1))))</f>
        <v/>
      </c>
      <c r="AY435" s="1" t="str">
        <f>IF(OR($B435="",AY$7=""),"",IF($B435="MEANS",INDEX('1-DATA'!$1:$1048576,$A434-1,COLUMN('1-DATA'!AX433)),ROUND(INDEX('1-DATA'!$1:$1048576,IF(OR($B435="STD. DEVIATION",$C$1=1),$A435,$A435+1),COLUMN('1-DATA'!AX433)),IF($B435="STD. DEVIATION",2,$F$1))))</f>
        <v/>
      </c>
      <c r="AZ435" s="1" t="str">
        <f>IF(OR($B435="",AZ$7=""),"",IF($B435="MEANS",INDEX('1-DATA'!$1:$1048576,$A434-1,COLUMN('1-DATA'!AY433)),ROUND(INDEX('1-DATA'!$1:$1048576,IF(OR($B435="STD. DEVIATION",$C$1=1),$A435,$A435+1),COLUMN('1-DATA'!AY433)),IF($B435="STD. DEVIATION",2,$F$1))))</f>
        <v/>
      </c>
    </row>
    <row r="436" spans="1:52" x14ac:dyDescent="0.25">
      <c r="A436" s="11">
        <f t="shared" si="7"/>
        <v>1294</v>
      </c>
      <c r="B436" s="1" t="str">
        <f>IF(B435="STD. DEVIATION",INDEX('1-DATA'!$1:$1048576,$A435-1,1),IF(INDEX('1-DATA'!$1:$1048576,$A436,1)&lt;&gt;"",INDEX('1-DATA'!$1:$1048576,$A436,1),""))</f>
        <v/>
      </c>
      <c r="C436" s="1" t="str">
        <f>IF(OR($B436="",C$7=""),"",IF($B436="MEANS",INDEX('1-DATA'!$1:$1048576,$A435-1,COLUMN('1-DATA'!B434)),ROUND(INDEX('1-DATA'!$1:$1048576,IF(OR($B436="STD. DEVIATION",$C$1=1),$A436,$A436+1),COLUMN('1-DATA'!B434)),IF($B436="STD. DEVIATION",2,$F$1))))</f>
        <v/>
      </c>
      <c r="D436" s="1" t="str">
        <f>IF(OR($B436="",D$7=""),"",IF($B436="MEANS",INDEX('1-DATA'!$1:$1048576,$A435-1,COLUMN('1-DATA'!C434)),ROUND(INDEX('1-DATA'!$1:$1048576,IF(OR($B436="STD. DEVIATION",$C$1=1),$A436,$A436+1),COLUMN('1-DATA'!C434)),IF($B436="STD. DEVIATION",2,$F$1))))</f>
        <v/>
      </c>
      <c r="E436" s="1" t="str">
        <f>IF(OR($B436="",E$7=""),"",IF($B436="MEANS",INDEX('1-DATA'!$1:$1048576,$A435-1,COLUMN('1-DATA'!D434)),ROUND(INDEX('1-DATA'!$1:$1048576,IF(OR($B436="STD. DEVIATION",$C$1=1),$A436,$A436+1),COLUMN('1-DATA'!D434)),IF($B436="STD. DEVIATION",2,$F$1))))</f>
        <v/>
      </c>
      <c r="F436" s="1" t="str">
        <f>IF(OR($B436="",F$7=""),"",IF($B436="MEANS",INDEX('1-DATA'!$1:$1048576,$A435-1,COLUMN('1-DATA'!E434)),ROUND(INDEX('1-DATA'!$1:$1048576,IF(OR($B436="STD. DEVIATION",$C$1=1),$A436,$A436+1),COLUMN('1-DATA'!E434)),IF($B436="STD. DEVIATION",2,$F$1))))</f>
        <v/>
      </c>
      <c r="G436" s="1" t="str">
        <f>IF(OR($B436="",G$7=""),"",IF($B436="MEANS",INDEX('1-DATA'!$1:$1048576,$A435-1,COLUMN('1-DATA'!F434)),ROUND(INDEX('1-DATA'!$1:$1048576,IF(OR($B436="STD. DEVIATION",$C$1=1),$A436,$A436+1),COLUMN('1-DATA'!F434)),IF($B436="STD. DEVIATION",2,$F$1))))</f>
        <v/>
      </c>
      <c r="H436" s="1" t="str">
        <f>IF(OR($B436="",H$7=""),"",IF($B436="MEANS",INDEX('1-DATA'!$1:$1048576,$A435-1,COLUMN('1-DATA'!G434)),ROUND(INDEX('1-DATA'!$1:$1048576,IF(OR($B436="STD. DEVIATION",$C$1=1),$A436,$A436+1),COLUMN('1-DATA'!G434)),IF($B436="STD. DEVIATION",2,$F$1))))</f>
        <v/>
      </c>
      <c r="I436" s="1" t="str">
        <f>IF(OR($B436="",I$7=""),"",IF($B436="MEANS",INDEX('1-DATA'!$1:$1048576,$A435-1,COLUMN('1-DATA'!H434)),ROUND(INDEX('1-DATA'!$1:$1048576,IF(OR($B436="STD. DEVIATION",$C$1=1),$A436,$A436+1),COLUMN('1-DATA'!H434)),IF($B436="STD. DEVIATION",2,$F$1))))</f>
        <v/>
      </c>
      <c r="J436" s="1" t="str">
        <f>IF(OR($B436="",J$7=""),"",IF($B436="MEANS",INDEX('1-DATA'!$1:$1048576,$A435-1,COLUMN('1-DATA'!I434)),ROUND(INDEX('1-DATA'!$1:$1048576,IF(OR($B436="STD. DEVIATION",$C$1=1),$A436,$A436+1),COLUMN('1-DATA'!I434)),IF($B436="STD. DEVIATION",2,$F$1))))</f>
        <v/>
      </c>
      <c r="K436" s="1" t="str">
        <f>IF(OR($B436="",K$7=""),"",IF($B436="MEANS",INDEX('1-DATA'!$1:$1048576,$A435-1,COLUMN('1-DATA'!J434)),ROUND(INDEX('1-DATA'!$1:$1048576,IF(OR($B436="STD. DEVIATION",$C$1=1),$A436,$A436+1),COLUMN('1-DATA'!J434)),IF($B436="STD. DEVIATION",2,$F$1))))</f>
        <v/>
      </c>
      <c r="L436" s="1" t="str">
        <f>IF(OR($B436="",L$7=""),"",IF($B436="MEANS",INDEX('1-DATA'!$1:$1048576,$A435-1,COLUMN('1-DATA'!K434)),ROUND(INDEX('1-DATA'!$1:$1048576,IF(OR($B436="STD. DEVIATION",$C$1=1),$A436,$A436+1),COLUMN('1-DATA'!K434)),IF($B436="STD. DEVIATION",2,$F$1))))</f>
        <v/>
      </c>
      <c r="M436" s="1" t="str">
        <f>IF(OR($B436="",M$7=""),"",IF($B436="MEANS",INDEX('1-DATA'!$1:$1048576,$A435-1,COLUMN('1-DATA'!L434)),ROUND(INDEX('1-DATA'!$1:$1048576,IF(OR($B436="STD. DEVIATION",$C$1=1),$A436,$A436+1),COLUMN('1-DATA'!L434)),IF($B436="STD. DEVIATION",2,$F$1))))</f>
        <v/>
      </c>
      <c r="N436" s="1" t="str">
        <f>IF(OR($B436="",N$7=""),"",IF($B436="MEANS",INDEX('1-DATA'!$1:$1048576,$A435-1,COLUMN('1-DATA'!M434)),ROUND(INDEX('1-DATA'!$1:$1048576,IF(OR($B436="STD. DEVIATION",$C$1=1),$A436,$A436+1),COLUMN('1-DATA'!M434)),IF($B436="STD. DEVIATION",2,$F$1))))</f>
        <v/>
      </c>
      <c r="O436" s="1" t="str">
        <f>IF(OR($B436="",O$7=""),"",IF($B436="MEANS",INDEX('1-DATA'!$1:$1048576,$A435-1,COLUMN('1-DATA'!N434)),ROUND(INDEX('1-DATA'!$1:$1048576,IF(OR($B436="STD. DEVIATION",$C$1=1),$A436,$A436+1),COLUMN('1-DATA'!N434)),IF($B436="STD. DEVIATION",2,$F$1))))</f>
        <v/>
      </c>
      <c r="P436" s="1" t="str">
        <f>IF(OR($B436="",P$7=""),"",IF($B436="MEANS",INDEX('1-DATA'!$1:$1048576,$A435-1,COLUMN('1-DATA'!O434)),ROUND(INDEX('1-DATA'!$1:$1048576,IF(OR($B436="STD. DEVIATION",$C$1=1),$A436,$A436+1),COLUMN('1-DATA'!O434)),IF($B436="STD. DEVIATION",2,$F$1))))</f>
        <v/>
      </c>
      <c r="Q436" s="1" t="str">
        <f>IF(OR($B436="",Q$7=""),"",IF($B436="MEANS",INDEX('1-DATA'!$1:$1048576,$A435-1,COLUMN('1-DATA'!P434)),ROUND(INDEX('1-DATA'!$1:$1048576,IF(OR($B436="STD. DEVIATION",$C$1=1),$A436,$A436+1),COLUMN('1-DATA'!P434)),IF($B436="STD. DEVIATION",2,$F$1))))</f>
        <v/>
      </c>
      <c r="R436" s="1" t="str">
        <f>IF(OR($B436="",R$7=""),"",IF($B436="MEANS",INDEX('1-DATA'!$1:$1048576,$A435-1,COLUMN('1-DATA'!Q434)),ROUND(INDEX('1-DATA'!$1:$1048576,IF(OR($B436="STD. DEVIATION",$C$1=1),$A436,$A436+1),COLUMN('1-DATA'!Q434)),IF($B436="STD. DEVIATION",2,$F$1))))</f>
        <v/>
      </c>
      <c r="S436" s="1" t="str">
        <f>IF(OR($B436="",S$7=""),"",IF($B436="MEANS",INDEX('1-DATA'!$1:$1048576,$A435-1,COLUMN('1-DATA'!R434)),ROUND(INDEX('1-DATA'!$1:$1048576,IF(OR($B436="STD. DEVIATION",$C$1=1),$A436,$A436+1),COLUMN('1-DATA'!R434)),IF($B436="STD. DEVIATION",2,$F$1))))</f>
        <v/>
      </c>
      <c r="T436" s="1" t="str">
        <f>IF(OR($B436="",T$7=""),"",IF($B436="MEANS",INDEX('1-DATA'!$1:$1048576,$A435-1,COLUMN('1-DATA'!S434)),ROUND(INDEX('1-DATA'!$1:$1048576,IF(OR($B436="STD. DEVIATION",$C$1=1),$A436,$A436+1),COLUMN('1-DATA'!S434)),IF($B436="STD. DEVIATION",2,$F$1))))</f>
        <v/>
      </c>
      <c r="U436" s="1" t="str">
        <f>IF(OR($B436="",U$7=""),"",IF($B436="MEANS",INDEX('1-DATA'!$1:$1048576,$A435-1,COLUMN('1-DATA'!T434)),ROUND(INDEX('1-DATA'!$1:$1048576,IF(OR($B436="STD. DEVIATION",$C$1=1),$A436,$A436+1),COLUMN('1-DATA'!T434)),IF($B436="STD. DEVIATION",2,$F$1))))</f>
        <v/>
      </c>
      <c r="V436" s="1" t="str">
        <f>IF(OR($B436="",V$7=""),"",IF($B436="MEANS",INDEX('1-DATA'!$1:$1048576,$A435-1,COLUMN('1-DATA'!U434)),ROUND(INDEX('1-DATA'!$1:$1048576,IF(OR($B436="STD. DEVIATION",$C$1=1),$A436,$A436+1),COLUMN('1-DATA'!U434)),IF($B436="STD. DEVIATION",2,$F$1))))</f>
        <v/>
      </c>
      <c r="W436" s="1" t="str">
        <f>IF(OR($B436="",W$7=""),"",IF($B436="MEANS",INDEX('1-DATA'!$1:$1048576,$A435-1,COLUMN('1-DATA'!V434)),ROUND(INDEX('1-DATA'!$1:$1048576,IF(OR($B436="STD. DEVIATION",$C$1=1),$A436,$A436+1),COLUMN('1-DATA'!V434)),IF($B436="STD. DEVIATION",2,$F$1))))</f>
        <v/>
      </c>
      <c r="X436" s="1" t="str">
        <f>IF(OR($B436="",X$7=""),"",IF($B436="MEANS",INDEX('1-DATA'!$1:$1048576,$A435-1,COLUMN('1-DATA'!W434)),ROUND(INDEX('1-DATA'!$1:$1048576,IF(OR($B436="STD. DEVIATION",$C$1=1),$A436,$A436+1),COLUMN('1-DATA'!W434)),IF($B436="STD. DEVIATION",2,$F$1))))</f>
        <v/>
      </c>
      <c r="Y436" s="1" t="str">
        <f>IF(OR($B436="",Y$7=""),"",IF($B436="MEANS",INDEX('1-DATA'!$1:$1048576,$A435-1,COLUMN('1-DATA'!X434)),ROUND(INDEX('1-DATA'!$1:$1048576,IF(OR($B436="STD. DEVIATION",$C$1=1),$A436,$A436+1),COLUMN('1-DATA'!X434)),IF($B436="STD. DEVIATION",2,$F$1))))</f>
        <v/>
      </c>
      <c r="Z436" s="1" t="str">
        <f>IF(OR($B436="",Z$7=""),"",IF($B436="MEANS",INDEX('1-DATA'!$1:$1048576,$A435-1,COLUMN('1-DATA'!Y434)),ROUND(INDEX('1-DATA'!$1:$1048576,IF(OR($B436="STD. DEVIATION",$C$1=1),$A436,$A436+1),COLUMN('1-DATA'!Y434)),IF($B436="STD. DEVIATION",2,$F$1))))</f>
        <v/>
      </c>
      <c r="AA436" s="1" t="str">
        <f>IF(OR($B436="",AA$7=""),"",IF($B436="MEANS",INDEX('1-DATA'!$1:$1048576,$A435-1,COLUMN('1-DATA'!Z434)),ROUND(INDEX('1-DATA'!$1:$1048576,IF(OR($B436="STD. DEVIATION",$C$1=1),$A436,$A436+1),COLUMN('1-DATA'!Z434)),IF($B436="STD. DEVIATION",2,$F$1))))</f>
        <v/>
      </c>
      <c r="AB436" s="1" t="str">
        <f>IF(OR($B436="",AB$7=""),"",IF($B436="MEANS",INDEX('1-DATA'!$1:$1048576,$A435-1,COLUMN('1-DATA'!AA434)),ROUND(INDEX('1-DATA'!$1:$1048576,IF(OR($B436="STD. DEVIATION",$C$1=1),$A436,$A436+1),COLUMN('1-DATA'!AA434)),IF($B436="STD. DEVIATION",2,$F$1))))</f>
        <v/>
      </c>
      <c r="AC436" s="1" t="str">
        <f>IF(OR($B436="",AC$7=""),"",IF($B436="MEANS",INDEX('1-DATA'!$1:$1048576,$A435-1,COLUMN('1-DATA'!AB434)),ROUND(INDEX('1-DATA'!$1:$1048576,IF(OR($B436="STD. DEVIATION",$C$1=1),$A436,$A436+1),COLUMN('1-DATA'!AB434)),IF($B436="STD. DEVIATION",2,$F$1))))</f>
        <v/>
      </c>
      <c r="AD436" s="1" t="str">
        <f>IF(OR($B436="",AD$7=""),"",IF($B436="MEANS",INDEX('1-DATA'!$1:$1048576,$A435-1,COLUMN('1-DATA'!AC434)),ROUND(INDEX('1-DATA'!$1:$1048576,IF(OR($B436="STD. DEVIATION",$C$1=1),$A436,$A436+1),COLUMN('1-DATA'!AC434)),IF($B436="STD. DEVIATION",2,$F$1))))</f>
        <v/>
      </c>
      <c r="AE436" s="1" t="str">
        <f>IF(OR($B436="",AE$7=""),"",IF($B436="MEANS",INDEX('1-DATA'!$1:$1048576,$A435-1,COLUMN('1-DATA'!AD434)),ROUND(INDEX('1-DATA'!$1:$1048576,IF(OR($B436="STD. DEVIATION",$C$1=1),$A436,$A436+1),COLUMN('1-DATA'!AD434)),IF($B436="STD. DEVIATION",2,$F$1))))</f>
        <v/>
      </c>
      <c r="AF436" s="1" t="str">
        <f>IF(OR($B436="",AF$7=""),"",IF($B436="MEANS",INDEX('1-DATA'!$1:$1048576,$A435-1,COLUMN('1-DATA'!AE434)),ROUND(INDEX('1-DATA'!$1:$1048576,IF(OR($B436="STD. DEVIATION",$C$1=1),$A436,$A436+1),COLUMN('1-DATA'!AE434)),IF($B436="STD. DEVIATION",2,$F$1))))</f>
        <v/>
      </c>
      <c r="AG436" s="1" t="str">
        <f>IF(OR($B436="",AG$7=""),"",IF($B436="MEANS",INDEX('1-DATA'!$1:$1048576,$A435-1,COLUMN('1-DATA'!AF434)),ROUND(INDEX('1-DATA'!$1:$1048576,IF(OR($B436="STD. DEVIATION",$C$1=1),$A436,$A436+1),COLUMN('1-DATA'!AF434)),IF($B436="STD. DEVIATION",2,$F$1))))</f>
        <v/>
      </c>
      <c r="AH436" s="1" t="str">
        <f>IF(OR($B436="",AH$7=""),"",IF($B436="MEANS",INDEX('1-DATA'!$1:$1048576,$A435-1,COLUMN('1-DATA'!AG434)),ROUND(INDEX('1-DATA'!$1:$1048576,IF(OR($B436="STD. DEVIATION",$C$1=1),$A436,$A436+1),COLUMN('1-DATA'!AG434)),IF($B436="STD. DEVIATION",2,$F$1))))</f>
        <v/>
      </c>
      <c r="AI436" s="1" t="str">
        <f>IF(OR($B436="",AI$7=""),"",IF($B436="MEANS",INDEX('1-DATA'!$1:$1048576,$A435-1,COLUMN('1-DATA'!AH434)),ROUND(INDEX('1-DATA'!$1:$1048576,IF(OR($B436="STD. DEVIATION",$C$1=1),$A436,$A436+1),COLUMN('1-DATA'!AH434)),IF($B436="STD. DEVIATION",2,$F$1))))</f>
        <v/>
      </c>
      <c r="AJ436" s="1" t="str">
        <f>IF(OR($B436="",AJ$7=""),"",IF($B436="MEANS",INDEX('1-DATA'!$1:$1048576,$A435-1,COLUMN('1-DATA'!AI434)),ROUND(INDEX('1-DATA'!$1:$1048576,IF(OR($B436="STD. DEVIATION",$C$1=1),$A436,$A436+1),COLUMN('1-DATA'!AI434)),IF($B436="STD. DEVIATION",2,$F$1))))</f>
        <v/>
      </c>
      <c r="AK436" s="1" t="str">
        <f>IF(OR($B436="",AK$7=""),"",IF($B436="MEANS",INDEX('1-DATA'!$1:$1048576,$A435-1,COLUMN('1-DATA'!AJ434)),ROUND(INDEX('1-DATA'!$1:$1048576,IF(OR($B436="STD. DEVIATION",$C$1=1),$A436,$A436+1),COLUMN('1-DATA'!AJ434)),IF($B436="STD. DEVIATION",2,$F$1))))</f>
        <v/>
      </c>
      <c r="AL436" s="1" t="str">
        <f>IF(OR($B436="",AL$7=""),"",IF($B436="MEANS",INDEX('1-DATA'!$1:$1048576,$A435-1,COLUMN('1-DATA'!AK434)),ROUND(INDEX('1-DATA'!$1:$1048576,IF(OR($B436="STD. DEVIATION",$C$1=1),$A436,$A436+1),COLUMN('1-DATA'!AK434)),IF($B436="STD. DEVIATION",2,$F$1))))</f>
        <v/>
      </c>
      <c r="AM436" s="1" t="str">
        <f>IF(OR($B436="",AM$7=""),"",IF($B436="MEANS",INDEX('1-DATA'!$1:$1048576,$A435-1,COLUMN('1-DATA'!AL434)),ROUND(INDEX('1-DATA'!$1:$1048576,IF(OR($B436="STD. DEVIATION",$C$1=1),$A436,$A436+1),COLUMN('1-DATA'!AL434)),IF($B436="STD. DEVIATION",2,$F$1))))</f>
        <v/>
      </c>
      <c r="AN436" s="1" t="str">
        <f>IF(OR($B436="",AN$7=""),"",IF($B436="MEANS",INDEX('1-DATA'!$1:$1048576,$A435-1,COLUMN('1-DATA'!AM434)),ROUND(INDEX('1-DATA'!$1:$1048576,IF(OR($B436="STD. DEVIATION",$C$1=1),$A436,$A436+1),COLUMN('1-DATA'!AM434)),IF($B436="STD. DEVIATION",2,$F$1))))</f>
        <v/>
      </c>
      <c r="AO436" s="1" t="str">
        <f>IF(OR($B436="",AO$7=""),"",IF($B436="MEANS",INDEX('1-DATA'!$1:$1048576,$A435-1,COLUMN('1-DATA'!AN434)),ROUND(INDEX('1-DATA'!$1:$1048576,IF(OR($B436="STD. DEVIATION",$C$1=1),$A436,$A436+1),COLUMN('1-DATA'!AN434)),IF($B436="STD. DEVIATION",2,$F$1))))</f>
        <v/>
      </c>
      <c r="AP436" s="1" t="str">
        <f>IF(OR($B436="",AP$7=""),"",IF($B436="MEANS",INDEX('1-DATA'!$1:$1048576,$A435-1,COLUMN('1-DATA'!AO434)),ROUND(INDEX('1-DATA'!$1:$1048576,IF(OR($B436="STD. DEVIATION",$C$1=1),$A436,$A436+1),COLUMN('1-DATA'!AO434)),IF($B436="STD. DEVIATION",2,$F$1))))</f>
        <v/>
      </c>
      <c r="AQ436" s="1" t="str">
        <f>IF(OR($B436="",AQ$7=""),"",IF($B436="MEANS",INDEX('1-DATA'!$1:$1048576,$A435-1,COLUMN('1-DATA'!AP434)),ROUND(INDEX('1-DATA'!$1:$1048576,IF(OR($B436="STD. DEVIATION",$C$1=1),$A436,$A436+1),COLUMN('1-DATA'!AP434)),IF($B436="STD. DEVIATION",2,$F$1))))</f>
        <v/>
      </c>
      <c r="AR436" s="1" t="str">
        <f>IF(OR($B436="",AR$7=""),"",IF($B436="MEANS",INDEX('1-DATA'!$1:$1048576,$A435-1,COLUMN('1-DATA'!AQ434)),ROUND(INDEX('1-DATA'!$1:$1048576,IF(OR($B436="STD. DEVIATION",$C$1=1),$A436,$A436+1),COLUMN('1-DATA'!AQ434)),IF($B436="STD. DEVIATION",2,$F$1))))</f>
        <v/>
      </c>
      <c r="AS436" s="1" t="str">
        <f>IF(OR($B436="",AS$7=""),"",IF($B436="MEANS",INDEX('1-DATA'!$1:$1048576,$A435-1,COLUMN('1-DATA'!AR434)),ROUND(INDEX('1-DATA'!$1:$1048576,IF(OR($B436="STD. DEVIATION",$C$1=1),$A436,$A436+1),COLUMN('1-DATA'!AR434)),IF($B436="STD. DEVIATION",2,$F$1))))</f>
        <v/>
      </c>
      <c r="AT436" s="1" t="str">
        <f>IF(OR($B436="",AT$7=""),"",IF($B436="MEANS",INDEX('1-DATA'!$1:$1048576,$A435-1,COLUMN('1-DATA'!AS434)),ROUND(INDEX('1-DATA'!$1:$1048576,IF(OR($B436="STD. DEVIATION",$C$1=1),$A436,$A436+1),COLUMN('1-DATA'!AS434)),IF($B436="STD. DEVIATION",2,$F$1))))</f>
        <v/>
      </c>
      <c r="AU436" s="1" t="str">
        <f>IF(OR($B436="",AU$7=""),"",IF($B436="MEANS",INDEX('1-DATA'!$1:$1048576,$A435-1,COLUMN('1-DATA'!AT434)),ROUND(INDEX('1-DATA'!$1:$1048576,IF(OR($B436="STD. DEVIATION",$C$1=1),$A436,$A436+1),COLUMN('1-DATA'!AT434)),IF($B436="STD. DEVIATION",2,$F$1))))</f>
        <v/>
      </c>
      <c r="AV436" s="1" t="str">
        <f>IF(OR($B436="",AV$7=""),"",IF($B436="MEANS",INDEX('1-DATA'!$1:$1048576,$A435-1,COLUMN('1-DATA'!AU434)),ROUND(INDEX('1-DATA'!$1:$1048576,IF(OR($B436="STD. DEVIATION",$C$1=1),$A436,$A436+1),COLUMN('1-DATA'!AU434)),IF($B436="STD. DEVIATION",2,$F$1))))</f>
        <v/>
      </c>
      <c r="AW436" s="1" t="str">
        <f>IF(OR($B436="",AW$7=""),"",IF($B436="MEANS",INDEX('1-DATA'!$1:$1048576,$A435-1,COLUMN('1-DATA'!AV434)),ROUND(INDEX('1-DATA'!$1:$1048576,IF(OR($B436="STD. DEVIATION",$C$1=1),$A436,$A436+1),COLUMN('1-DATA'!AV434)),IF($B436="STD. DEVIATION",2,$F$1))))</f>
        <v/>
      </c>
      <c r="AX436" s="1" t="str">
        <f>IF(OR($B436="",AX$7=""),"",IF($B436="MEANS",INDEX('1-DATA'!$1:$1048576,$A435-1,COLUMN('1-DATA'!AW434)),ROUND(INDEX('1-DATA'!$1:$1048576,IF(OR($B436="STD. DEVIATION",$C$1=1),$A436,$A436+1),COLUMN('1-DATA'!AW434)),IF($B436="STD. DEVIATION",2,$F$1))))</f>
        <v/>
      </c>
      <c r="AY436" s="1" t="str">
        <f>IF(OR($B436="",AY$7=""),"",IF($B436="MEANS",INDEX('1-DATA'!$1:$1048576,$A435-1,COLUMN('1-DATA'!AX434)),ROUND(INDEX('1-DATA'!$1:$1048576,IF(OR($B436="STD. DEVIATION",$C$1=1),$A436,$A436+1),COLUMN('1-DATA'!AX434)),IF($B436="STD. DEVIATION",2,$F$1))))</f>
        <v/>
      </c>
      <c r="AZ436" s="1" t="str">
        <f>IF(OR($B436="",AZ$7=""),"",IF($B436="MEANS",INDEX('1-DATA'!$1:$1048576,$A435-1,COLUMN('1-DATA'!AY434)),ROUND(INDEX('1-DATA'!$1:$1048576,IF(OR($B436="STD. DEVIATION",$C$1=1),$A436,$A436+1),COLUMN('1-DATA'!AY434)),IF($B436="STD. DEVIATION",2,$F$1))))</f>
        <v/>
      </c>
    </row>
    <row r="437" spans="1:52" x14ac:dyDescent="0.25">
      <c r="A437" s="11">
        <f t="shared" si="7"/>
        <v>1297</v>
      </c>
      <c r="B437" s="1" t="str">
        <f>IF(B436="STD. DEVIATION",INDEX('1-DATA'!$1:$1048576,$A436-1,1),IF(INDEX('1-DATA'!$1:$1048576,$A437,1)&lt;&gt;"",INDEX('1-DATA'!$1:$1048576,$A437,1),""))</f>
        <v/>
      </c>
      <c r="C437" s="1" t="str">
        <f>IF(OR($B437="",C$7=""),"",IF($B437="MEANS",INDEX('1-DATA'!$1:$1048576,$A436-1,COLUMN('1-DATA'!B435)),ROUND(INDEX('1-DATA'!$1:$1048576,IF(OR($B437="STD. DEVIATION",$C$1=1),$A437,$A437+1),COLUMN('1-DATA'!B435)),IF($B437="STD. DEVIATION",2,$F$1))))</f>
        <v/>
      </c>
      <c r="D437" s="1" t="str">
        <f>IF(OR($B437="",D$7=""),"",IF($B437="MEANS",INDEX('1-DATA'!$1:$1048576,$A436-1,COLUMN('1-DATA'!C435)),ROUND(INDEX('1-DATA'!$1:$1048576,IF(OR($B437="STD. DEVIATION",$C$1=1),$A437,$A437+1),COLUMN('1-DATA'!C435)),IF($B437="STD. DEVIATION",2,$F$1))))</f>
        <v/>
      </c>
      <c r="E437" s="1" t="str">
        <f>IF(OR($B437="",E$7=""),"",IF($B437="MEANS",INDEX('1-DATA'!$1:$1048576,$A436-1,COLUMN('1-DATA'!D435)),ROUND(INDEX('1-DATA'!$1:$1048576,IF(OR($B437="STD. DEVIATION",$C$1=1),$A437,$A437+1),COLUMN('1-DATA'!D435)),IF($B437="STD. DEVIATION",2,$F$1))))</f>
        <v/>
      </c>
      <c r="F437" s="1" t="str">
        <f>IF(OR($B437="",F$7=""),"",IF($B437="MEANS",INDEX('1-DATA'!$1:$1048576,$A436-1,COLUMN('1-DATA'!E435)),ROUND(INDEX('1-DATA'!$1:$1048576,IF(OR($B437="STD. DEVIATION",$C$1=1),$A437,$A437+1),COLUMN('1-DATA'!E435)),IF($B437="STD. DEVIATION",2,$F$1))))</f>
        <v/>
      </c>
      <c r="G437" s="1" t="str">
        <f>IF(OR($B437="",G$7=""),"",IF($B437="MEANS",INDEX('1-DATA'!$1:$1048576,$A436-1,COLUMN('1-DATA'!F435)),ROUND(INDEX('1-DATA'!$1:$1048576,IF(OR($B437="STD. DEVIATION",$C$1=1),$A437,$A437+1),COLUMN('1-DATA'!F435)),IF($B437="STD. DEVIATION",2,$F$1))))</f>
        <v/>
      </c>
      <c r="H437" s="1" t="str">
        <f>IF(OR($B437="",H$7=""),"",IF($B437="MEANS",INDEX('1-DATA'!$1:$1048576,$A436-1,COLUMN('1-DATA'!G435)),ROUND(INDEX('1-DATA'!$1:$1048576,IF(OR($B437="STD. DEVIATION",$C$1=1),$A437,$A437+1),COLUMN('1-DATA'!G435)),IF($B437="STD. DEVIATION",2,$F$1))))</f>
        <v/>
      </c>
      <c r="I437" s="1" t="str">
        <f>IF(OR($B437="",I$7=""),"",IF($B437="MEANS",INDEX('1-DATA'!$1:$1048576,$A436-1,COLUMN('1-DATA'!H435)),ROUND(INDEX('1-DATA'!$1:$1048576,IF(OR($B437="STD. DEVIATION",$C$1=1),$A437,$A437+1),COLUMN('1-DATA'!H435)),IF($B437="STD. DEVIATION",2,$F$1))))</f>
        <v/>
      </c>
      <c r="J437" s="1" t="str">
        <f>IF(OR($B437="",J$7=""),"",IF($B437="MEANS",INDEX('1-DATA'!$1:$1048576,$A436-1,COLUMN('1-DATA'!I435)),ROUND(INDEX('1-DATA'!$1:$1048576,IF(OR($B437="STD. DEVIATION",$C$1=1),$A437,$A437+1),COLUMN('1-DATA'!I435)),IF($B437="STD. DEVIATION",2,$F$1))))</f>
        <v/>
      </c>
      <c r="K437" s="1" t="str">
        <f>IF(OR($B437="",K$7=""),"",IF($B437="MEANS",INDEX('1-DATA'!$1:$1048576,$A436-1,COLUMN('1-DATA'!J435)),ROUND(INDEX('1-DATA'!$1:$1048576,IF(OR($B437="STD. DEVIATION",$C$1=1),$A437,$A437+1),COLUMN('1-DATA'!J435)),IF($B437="STD. DEVIATION",2,$F$1))))</f>
        <v/>
      </c>
      <c r="L437" s="1" t="str">
        <f>IF(OR($B437="",L$7=""),"",IF($B437="MEANS",INDEX('1-DATA'!$1:$1048576,$A436-1,COLUMN('1-DATA'!K435)),ROUND(INDEX('1-DATA'!$1:$1048576,IF(OR($B437="STD. DEVIATION",$C$1=1),$A437,$A437+1),COLUMN('1-DATA'!K435)),IF($B437="STD. DEVIATION",2,$F$1))))</f>
        <v/>
      </c>
      <c r="M437" s="1" t="str">
        <f>IF(OR($B437="",M$7=""),"",IF($B437="MEANS",INDEX('1-DATA'!$1:$1048576,$A436-1,COLUMN('1-DATA'!L435)),ROUND(INDEX('1-DATA'!$1:$1048576,IF(OR($B437="STD. DEVIATION",$C$1=1),$A437,$A437+1),COLUMN('1-DATA'!L435)),IF($B437="STD. DEVIATION",2,$F$1))))</f>
        <v/>
      </c>
      <c r="N437" s="1" t="str">
        <f>IF(OR($B437="",N$7=""),"",IF($B437="MEANS",INDEX('1-DATA'!$1:$1048576,$A436-1,COLUMN('1-DATA'!M435)),ROUND(INDEX('1-DATA'!$1:$1048576,IF(OR($B437="STD. DEVIATION",$C$1=1),$A437,$A437+1),COLUMN('1-DATA'!M435)),IF($B437="STD. DEVIATION",2,$F$1))))</f>
        <v/>
      </c>
      <c r="O437" s="1" t="str">
        <f>IF(OR($B437="",O$7=""),"",IF($B437="MEANS",INDEX('1-DATA'!$1:$1048576,$A436-1,COLUMN('1-DATA'!N435)),ROUND(INDEX('1-DATA'!$1:$1048576,IF(OR($B437="STD. DEVIATION",$C$1=1),$A437,$A437+1),COLUMN('1-DATA'!N435)),IF($B437="STD. DEVIATION",2,$F$1))))</f>
        <v/>
      </c>
      <c r="P437" s="1" t="str">
        <f>IF(OR($B437="",P$7=""),"",IF($B437="MEANS",INDEX('1-DATA'!$1:$1048576,$A436-1,COLUMN('1-DATA'!O435)),ROUND(INDEX('1-DATA'!$1:$1048576,IF(OR($B437="STD. DEVIATION",$C$1=1),$A437,$A437+1),COLUMN('1-DATA'!O435)),IF($B437="STD. DEVIATION",2,$F$1))))</f>
        <v/>
      </c>
      <c r="Q437" s="1" t="str">
        <f>IF(OR($B437="",Q$7=""),"",IF($B437="MEANS",INDEX('1-DATA'!$1:$1048576,$A436-1,COLUMN('1-DATA'!P435)),ROUND(INDEX('1-DATA'!$1:$1048576,IF(OR($B437="STD. DEVIATION",$C$1=1),$A437,$A437+1),COLUMN('1-DATA'!P435)),IF($B437="STD. DEVIATION",2,$F$1))))</f>
        <v/>
      </c>
      <c r="R437" s="1" t="str">
        <f>IF(OR($B437="",R$7=""),"",IF($B437="MEANS",INDEX('1-DATA'!$1:$1048576,$A436-1,COLUMN('1-DATA'!Q435)),ROUND(INDEX('1-DATA'!$1:$1048576,IF(OR($B437="STD. DEVIATION",$C$1=1),$A437,$A437+1),COLUMN('1-DATA'!Q435)),IF($B437="STD. DEVIATION",2,$F$1))))</f>
        <v/>
      </c>
      <c r="S437" s="1" t="str">
        <f>IF(OR($B437="",S$7=""),"",IF($B437="MEANS",INDEX('1-DATA'!$1:$1048576,$A436-1,COLUMN('1-DATA'!R435)),ROUND(INDEX('1-DATA'!$1:$1048576,IF(OR($B437="STD. DEVIATION",$C$1=1),$A437,$A437+1),COLUMN('1-DATA'!R435)),IF($B437="STD. DEVIATION",2,$F$1))))</f>
        <v/>
      </c>
      <c r="T437" s="1" t="str">
        <f>IF(OR($B437="",T$7=""),"",IF($B437="MEANS",INDEX('1-DATA'!$1:$1048576,$A436-1,COLUMN('1-DATA'!S435)),ROUND(INDEX('1-DATA'!$1:$1048576,IF(OR($B437="STD. DEVIATION",$C$1=1),$A437,$A437+1),COLUMN('1-DATA'!S435)),IF($B437="STD. DEVIATION",2,$F$1))))</f>
        <v/>
      </c>
      <c r="U437" s="1" t="str">
        <f>IF(OR($B437="",U$7=""),"",IF($B437="MEANS",INDEX('1-DATA'!$1:$1048576,$A436-1,COLUMN('1-DATA'!T435)),ROUND(INDEX('1-DATA'!$1:$1048576,IF(OR($B437="STD. DEVIATION",$C$1=1),$A437,$A437+1),COLUMN('1-DATA'!T435)),IF($B437="STD. DEVIATION",2,$F$1))))</f>
        <v/>
      </c>
      <c r="V437" s="1" t="str">
        <f>IF(OR($B437="",V$7=""),"",IF($B437="MEANS",INDEX('1-DATA'!$1:$1048576,$A436-1,COLUMN('1-DATA'!U435)),ROUND(INDEX('1-DATA'!$1:$1048576,IF(OR($B437="STD. DEVIATION",$C$1=1),$A437,$A437+1),COLUMN('1-DATA'!U435)),IF($B437="STD. DEVIATION",2,$F$1))))</f>
        <v/>
      </c>
      <c r="W437" s="1" t="str">
        <f>IF(OR($B437="",W$7=""),"",IF($B437="MEANS",INDEX('1-DATA'!$1:$1048576,$A436-1,COLUMN('1-DATA'!V435)),ROUND(INDEX('1-DATA'!$1:$1048576,IF(OR($B437="STD. DEVIATION",$C$1=1),$A437,$A437+1),COLUMN('1-DATA'!V435)),IF($B437="STD. DEVIATION",2,$F$1))))</f>
        <v/>
      </c>
      <c r="X437" s="1" t="str">
        <f>IF(OR($B437="",X$7=""),"",IF($B437="MEANS",INDEX('1-DATA'!$1:$1048576,$A436-1,COLUMN('1-DATA'!W435)),ROUND(INDEX('1-DATA'!$1:$1048576,IF(OR($B437="STD. DEVIATION",$C$1=1),$A437,$A437+1),COLUMN('1-DATA'!W435)),IF($B437="STD. DEVIATION",2,$F$1))))</f>
        <v/>
      </c>
      <c r="Y437" s="1" t="str">
        <f>IF(OR($B437="",Y$7=""),"",IF($B437="MEANS",INDEX('1-DATA'!$1:$1048576,$A436-1,COLUMN('1-DATA'!X435)),ROUND(INDEX('1-DATA'!$1:$1048576,IF(OR($B437="STD. DEVIATION",$C$1=1),$A437,$A437+1),COLUMN('1-DATA'!X435)),IF($B437="STD. DEVIATION",2,$F$1))))</f>
        <v/>
      </c>
      <c r="Z437" s="1" t="str">
        <f>IF(OR($B437="",Z$7=""),"",IF($B437="MEANS",INDEX('1-DATA'!$1:$1048576,$A436-1,COLUMN('1-DATA'!Y435)),ROUND(INDEX('1-DATA'!$1:$1048576,IF(OR($B437="STD. DEVIATION",$C$1=1),$A437,$A437+1),COLUMN('1-DATA'!Y435)),IF($B437="STD. DEVIATION",2,$F$1))))</f>
        <v/>
      </c>
      <c r="AA437" s="1" t="str">
        <f>IF(OR($B437="",AA$7=""),"",IF($B437="MEANS",INDEX('1-DATA'!$1:$1048576,$A436-1,COLUMN('1-DATA'!Z435)),ROUND(INDEX('1-DATA'!$1:$1048576,IF(OR($B437="STD. DEVIATION",$C$1=1),$A437,$A437+1),COLUMN('1-DATA'!Z435)),IF($B437="STD. DEVIATION",2,$F$1))))</f>
        <v/>
      </c>
      <c r="AB437" s="1" t="str">
        <f>IF(OR($B437="",AB$7=""),"",IF($B437="MEANS",INDEX('1-DATA'!$1:$1048576,$A436-1,COLUMN('1-DATA'!AA435)),ROUND(INDEX('1-DATA'!$1:$1048576,IF(OR($B437="STD. DEVIATION",$C$1=1),$A437,$A437+1),COLUMN('1-DATA'!AA435)),IF($B437="STD. DEVIATION",2,$F$1))))</f>
        <v/>
      </c>
      <c r="AC437" s="1" t="str">
        <f>IF(OR($B437="",AC$7=""),"",IF($B437="MEANS",INDEX('1-DATA'!$1:$1048576,$A436-1,COLUMN('1-DATA'!AB435)),ROUND(INDEX('1-DATA'!$1:$1048576,IF(OR($B437="STD. DEVIATION",$C$1=1),$A437,$A437+1),COLUMN('1-DATA'!AB435)),IF($B437="STD. DEVIATION",2,$F$1))))</f>
        <v/>
      </c>
      <c r="AD437" s="1" t="str">
        <f>IF(OR($B437="",AD$7=""),"",IF($B437="MEANS",INDEX('1-DATA'!$1:$1048576,$A436-1,COLUMN('1-DATA'!AC435)),ROUND(INDEX('1-DATA'!$1:$1048576,IF(OR($B437="STD. DEVIATION",$C$1=1),$A437,$A437+1),COLUMN('1-DATA'!AC435)),IF($B437="STD. DEVIATION",2,$F$1))))</f>
        <v/>
      </c>
      <c r="AE437" s="1" t="str">
        <f>IF(OR($B437="",AE$7=""),"",IF($B437="MEANS",INDEX('1-DATA'!$1:$1048576,$A436-1,COLUMN('1-DATA'!AD435)),ROUND(INDEX('1-DATA'!$1:$1048576,IF(OR($B437="STD. DEVIATION",$C$1=1),$A437,$A437+1),COLUMN('1-DATA'!AD435)),IF($B437="STD. DEVIATION",2,$F$1))))</f>
        <v/>
      </c>
      <c r="AF437" s="1" t="str">
        <f>IF(OR($B437="",AF$7=""),"",IF($B437="MEANS",INDEX('1-DATA'!$1:$1048576,$A436-1,COLUMN('1-DATA'!AE435)),ROUND(INDEX('1-DATA'!$1:$1048576,IF(OR($B437="STD. DEVIATION",$C$1=1),$A437,$A437+1),COLUMN('1-DATA'!AE435)),IF($B437="STD. DEVIATION",2,$F$1))))</f>
        <v/>
      </c>
      <c r="AG437" s="1" t="str">
        <f>IF(OR($B437="",AG$7=""),"",IF($B437="MEANS",INDEX('1-DATA'!$1:$1048576,$A436-1,COLUMN('1-DATA'!AF435)),ROUND(INDEX('1-DATA'!$1:$1048576,IF(OR($B437="STD. DEVIATION",$C$1=1),$A437,$A437+1),COLUMN('1-DATA'!AF435)),IF($B437="STD. DEVIATION",2,$F$1))))</f>
        <v/>
      </c>
      <c r="AH437" s="1" t="str">
        <f>IF(OR($B437="",AH$7=""),"",IF($B437="MEANS",INDEX('1-DATA'!$1:$1048576,$A436-1,COLUMN('1-DATA'!AG435)),ROUND(INDEX('1-DATA'!$1:$1048576,IF(OR($B437="STD. DEVIATION",$C$1=1),$A437,$A437+1),COLUMN('1-DATA'!AG435)),IF($B437="STD. DEVIATION",2,$F$1))))</f>
        <v/>
      </c>
      <c r="AI437" s="1" t="str">
        <f>IF(OR($B437="",AI$7=""),"",IF($B437="MEANS",INDEX('1-DATA'!$1:$1048576,$A436-1,COLUMN('1-DATA'!AH435)),ROUND(INDEX('1-DATA'!$1:$1048576,IF(OR($B437="STD. DEVIATION",$C$1=1),$A437,$A437+1),COLUMN('1-DATA'!AH435)),IF($B437="STD. DEVIATION",2,$F$1))))</f>
        <v/>
      </c>
      <c r="AJ437" s="1" t="str">
        <f>IF(OR($B437="",AJ$7=""),"",IF($B437="MEANS",INDEX('1-DATA'!$1:$1048576,$A436-1,COLUMN('1-DATA'!AI435)),ROUND(INDEX('1-DATA'!$1:$1048576,IF(OR($B437="STD. DEVIATION",$C$1=1),$A437,$A437+1),COLUMN('1-DATA'!AI435)),IF($B437="STD. DEVIATION",2,$F$1))))</f>
        <v/>
      </c>
      <c r="AK437" s="1" t="str">
        <f>IF(OR($B437="",AK$7=""),"",IF($B437="MEANS",INDEX('1-DATA'!$1:$1048576,$A436-1,COLUMN('1-DATA'!AJ435)),ROUND(INDEX('1-DATA'!$1:$1048576,IF(OR($B437="STD. DEVIATION",$C$1=1),$A437,$A437+1),COLUMN('1-DATA'!AJ435)),IF($B437="STD. DEVIATION",2,$F$1))))</f>
        <v/>
      </c>
      <c r="AL437" s="1" t="str">
        <f>IF(OR($B437="",AL$7=""),"",IF($B437="MEANS",INDEX('1-DATA'!$1:$1048576,$A436-1,COLUMN('1-DATA'!AK435)),ROUND(INDEX('1-DATA'!$1:$1048576,IF(OR($B437="STD. DEVIATION",$C$1=1),$A437,$A437+1),COLUMN('1-DATA'!AK435)),IF($B437="STD. DEVIATION",2,$F$1))))</f>
        <v/>
      </c>
      <c r="AM437" s="1" t="str">
        <f>IF(OR($B437="",AM$7=""),"",IF($B437="MEANS",INDEX('1-DATA'!$1:$1048576,$A436-1,COLUMN('1-DATA'!AL435)),ROUND(INDEX('1-DATA'!$1:$1048576,IF(OR($B437="STD. DEVIATION",$C$1=1),$A437,$A437+1),COLUMN('1-DATA'!AL435)),IF($B437="STD. DEVIATION",2,$F$1))))</f>
        <v/>
      </c>
      <c r="AN437" s="1" t="str">
        <f>IF(OR($B437="",AN$7=""),"",IF($B437="MEANS",INDEX('1-DATA'!$1:$1048576,$A436-1,COLUMN('1-DATA'!AM435)),ROUND(INDEX('1-DATA'!$1:$1048576,IF(OR($B437="STD. DEVIATION",$C$1=1),$A437,$A437+1),COLUMN('1-DATA'!AM435)),IF($B437="STD. DEVIATION",2,$F$1))))</f>
        <v/>
      </c>
      <c r="AO437" s="1" t="str">
        <f>IF(OR($B437="",AO$7=""),"",IF($B437="MEANS",INDEX('1-DATA'!$1:$1048576,$A436-1,COLUMN('1-DATA'!AN435)),ROUND(INDEX('1-DATA'!$1:$1048576,IF(OR($B437="STD. DEVIATION",$C$1=1),$A437,$A437+1),COLUMN('1-DATA'!AN435)),IF($B437="STD. DEVIATION",2,$F$1))))</f>
        <v/>
      </c>
      <c r="AP437" s="1" t="str">
        <f>IF(OR($B437="",AP$7=""),"",IF($B437="MEANS",INDEX('1-DATA'!$1:$1048576,$A436-1,COLUMN('1-DATA'!AO435)),ROUND(INDEX('1-DATA'!$1:$1048576,IF(OR($B437="STD. DEVIATION",$C$1=1),$A437,$A437+1),COLUMN('1-DATA'!AO435)),IF($B437="STD. DEVIATION",2,$F$1))))</f>
        <v/>
      </c>
      <c r="AQ437" s="1" t="str">
        <f>IF(OR($B437="",AQ$7=""),"",IF($B437="MEANS",INDEX('1-DATA'!$1:$1048576,$A436-1,COLUMN('1-DATA'!AP435)),ROUND(INDEX('1-DATA'!$1:$1048576,IF(OR($B437="STD. DEVIATION",$C$1=1),$A437,$A437+1),COLUMN('1-DATA'!AP435)),IF($B437="STD. DEVIATION",2,$F$1))))</f>
        <v/>
      </c>
      <c r="AR437" s="1" t="str">
        <f>IF(OR($B437="",AR$7=""),"",IF($B437="MEANS",INDEX('1-DATA'!$1:$1048576,$A436-1,COLUMN('1-DATA'!AQ435)),ROUND(INDEX('1-DATA'!$1:$1048576,IF(OR($B437="STD. DEVIATION",$C$1=1),$A437,$A437+1),COLUMN('1-DATA'!AQ435)),IF($B437="STD. DEVIATION",2,$F$1))))</f>
        <v/>
      </c>
      <c r="AS437" s="1" t="str">
        <f>IF(OR($B437="",AS$7=""),"",IF($B437="MEANS",INDEX('1-DATA'!$1:$1048576,$A436-1,COLUMN('1-DATA'!AR435)),ROUND(INDEX('1-DATA'!$1:$1048576,IF(OR($B437="STD. DEVIATION",$C$1=1),$A437,$A437+1),COLUMN('1-DATA'!AR435)),IF($B437="STD. DEVIATION",2,$F$1))))</f>
        <v/>
      </c>
      <c r="AT437" s="1" t="str">
        <f>IF(OR($B437="",AT$7=""),"",IF($B437="MEANS",INDEX('1-DATA'!$1:$1048576,$A436-1,COLUMN('1-DATA'!AS435)),ROUND(INDEX('1-DATA'!$1:$1048576,IF(OR($B437="STD. DEVIATION",$C$1=1),$A437,$A437+1),COLUMN('1-DATA'!AS435)),IF($B437="STD. DEVIATION",2,$F$1))))</f>
        <v/>
      </c>
      <c r="AU437" s="1" t="str">
        <f>IF(OR($B437="",AU$7=""),"",IF($B437="MEANS",INDEX('1-DATA'!$1:$1048576,$A436-1,COLUMN('1-DATA'!AT435)),ROUND(INDEX('1-DATA'!$1:$1048576,IF(OR($B437="STD. DEVIATION",$C$1=1),$A437,$A437+1),COLUMN('1-DATA'!AT435)),IF($B437="STD. DEVIATION",2,$F$1))))</f>
        <v/>
      </c>
      <c r="AV437" s="1" t="str">
        <f>IF(OR($B437="",AV$7=""),"",IF($B437="MEANS",INDEX('1-DATA'!$1:$1048576,$A436-1,COLUMN('1-DATA'!AU435)),ROUND(INDEX('1-DATA'!$1:$1048576,IF(OR($B437="STD. DEVIATION",$C$1=1),$A437,$A437+1),COLUMN('1-DATA'!AU435)),IF($B437="STD. DEVIATION",2,$F$1))))</f>
        <v/>
      </c>
      <c r="AW437" s="1" t="str">
        <f>IF(OR($B437="",AW$7=""),"",IF($B437="MEANS",INDEX('1-DATA'!$1:$1048576,$A436-1,COLUMN('1-DATA'!AV435)),ROUND(INDEX('1-DATA'!$1:$1048576,IF(OR($B437="STD. DEVIATION",$C$1=1),$A437,$A437+1),COLUMN('1-DATA'!AV435)),IF($B437="STD. DEVIATION",2,$F$1))))</f>
        <v/>
      </c>
      <c r="AX437" s="1" t="str">
        <f>IF(OR($B437="",AX$7=""),"",IF($B437="MEANS",INDEX('1-DATA'!$1:$1048576,$A436-1,COLUMN('1-DATA'!AW435)),ROUND(INDEX('1-DATA'!$1:$1048576,IF(OR($B437="STD. DEVIATION",$C$1=1),$A437,$A437+1),COLUMN('1-DATA'!AW435)),IF($B437="STD. DEVIATION",2,$F$1))))</f>
        <v/>
      </c>
      <c r="AY437" s="1" t="str">
        <f>IF(OR($B437="",AY$7=""),"",IF($B437="MEANS",INDEX('1-DATA'!$1:$1048576,$A436-1,COLUMN('1-DATA'!AX435)),ROUND(INDEX('1-DATA'!$1:$1048576,IF(OR($B437="STD. DEVIATION",$C$1=1),$A437,$A437+1),COLUMN('1-DATA'!AX435)),IF($B437="STD. DEVIATION",2,$F$1))))</f>
        <v/>
      </c>
      <c r="AZ437" s="1" t="str">
        <f>IF(OR($B437="",AZ$7=""),"",IF($B437="MEANS",INDEX('1-DATA'!$1:$1048576,$A436-1,COLUMN('1-DATA'!AY435)),ROUND(INDEX('1-DATA'!$1:$1048576,IF(OR($B437="STD. DEVIATION",$C$1=1),$A437,$A437+1),COLUMN('1-DATA'!AY435)),IF($B437="STD. DEVIATION",2,$F$1))))</f>
        <v/>
      </c>
    </row>
    <row r="438" spans="1:52" x14ac:dyDescent="0.25">
      <c r="A438" s="11">
        <f t="shared" si="7"/>
        <v>1300</v>
      </c>
      <c r="B438" s="1" t="str">
        <f>IF(B437="STD. DEVIATION",INDEX('1-DATA'!$1:$1048576,$A437-1,1),IF(INDEX('1-DATA'!$1:$1048576,$A438,1)&lt;&gt;"",INDEX('1-DATA'!$1:$1048576,$A438,1),""))</f>
        <v/>
      </c>
      <c r="C438" s="1" t="str">
        <f>IF(OR($B438="",C$7=""),"",IF($B438="MEANS",INDEX('1-DATA'!$1:$1048576,$A437-1,COLUMN('1-DATA'!B436)),ROUND(INDEX('1-DATA'!$1:$1048576,IF(OR($B438="STD. DEVIATION",$C$1=1),$A438,$A438+1),COLUMN('1-DATA'!B436)),IF($B438="STD. DEVIATION",2,$F$1))))</f>
        <v/>
      </c>
      <c r="D438" s="1" t="str">
        <f>IF(OR($B438="",D$7=""),"",IF($B438="MEANS",INDEX('1-DATA'!$1:$1048576,$A437-1,COLUMN('1-DATA'!C436)),ROUND(INDEX('1-DATA'!$1:$1048576,IF(OR($B438="STD. DEVIATION",$C$1=1),$A438,$A438+1),COLUMN('1-DATA'!C436)),IF($B438="STD. DEVIATION",2,$F$1))))</f>
        <v/>
      </c>
      <c r="E438" s="1" t="str">
        <f>IF(OR($B438="",E$7=""),"",IF($B438="MEANS",INDEX('1-DATA'!$1:$1048576,$A437-1,COLUMN('1-DATA'!D436)),ROUND(INDEX('1-DATA'!$1:$1048576,IF(OR($B438="STD. DEVIATION",$C$1=1),$A438,$A438+1),COLUMN('1-DATA'!D436)),IF($B438="STD. DEVIATION",2,$F$1))))</f>
        <v/>
      </c>
      <c r="F438" s="1" t="str">
        <f>IF(OR($B438="",F$7=""),"",IF($B438="MEANS",INDEX('1-DATA'!$1:$1048576,$A437-1,COLUMN('1-DATA'!E436)),ROUND(INDEX('1-DATA'!$1:$1048576,IF(OR($B438="STD. DEVIATION",$C$1=1),$A438,$A438+1),COLUMN('1-DATA'!E436)),IF($B438="STD. DEVIATION",2,$F$1))))</f>
        <v/>
      </c>
      <c r="G438" s="1" t="str">
        <f>IF(OR($B438="",G$7=""),"",IF($B438="MEANS",INDEX('1-DATA'!$1:$1048576,$A437-1,COLUMN('1-DATA'!F436)),ROUND(INDEX('1-DATA'!$1:$1048576,IF(OR($B438="STD. DEVIATION",$C$1=1),$A438,$A438+1),COLUMN('1-DATA'!F436)),IF($B438="STD. DEVIATION",2,$F$1))))</f>
        <v/>
      </c>
      <c r="H438" s="1" t="str">
        <f>IF(OR($B438="",H$7=""),"",IF($B438="MEANS",INDEX('1-DATA'!$1:$1048576,$A437-1,COLUMN('1-DATA'!G436)),ROUND(INDEX('1-DATA'!$1:$1048576,IF(OR($B438="STD. DEVIATION",$C$1=1),$A438,$A438+1),COLUMN('1-DATA'!G436)),IF($B438="STD. DEVIATION",2,$F$1))))</f>
        <v/>
      </c>
      <c r="I438" s="1" t="str">
        <f>IF(OR($B438="",I$7=""),"",IF($B438="MEANS",INDEX('1-DATA'!$1:$1048576,$A437-1,COLUMN('1-DATA'!H436)),ROUND(INDEX('1-DATA'!$1:$1048576,IF(OR($B438="STD. DEVIATION",$C$1=1),$A438,$A438+1),COLUMN('1-DATA'!H436)),IF($B438="STD. DEVIATION",2,$F$1))))</f>
        <v/>
      </c>
      <c r="J438" s="1" t="str">
        <f>IF(OR($B438="",J$7=""),"",IF($B438="MEANS",INDEX('1-DATA'!$1:$1048576,$A437-1,COLUMN('1-DATA'!I436)),ROUND(INDEX('1-DATA'!$1:$1048576,IF(OR($B438="STD. DEVIATION",$C$1=1),$A438,$A438+1),COLUMN('1-DATA'!I436)),IF($B438="STD. DEVIATION",2,$F$1))))</f>
        <v/>
      </c>
      <c r="K438" s="1" t="str">
        <f>IF(OR($B438="",K$7=""),"",IF($B438="MEANS",INDEX('1-DATA'!$1:$1048576,$A437-1,COLUMN('1-DATA'!J436)),ROUND(INDEX('1-DATA'!$1:$1048576,IF(OR($B438="STD. DEVIATION",$C$1=1),$A438,$A438+1),COLUMN('1-DATA'!J436)),IF($B438="STD. DEVIATION",2,$F$1))))</f>
        <v/>
      </c>
      <c r="L438" s="1" t="str">
        <f>IF(OR($B438="",L$7=""),"",IF($B438="MEANS",INDEX('1-DATA'!$1:$1048576,$A437-1,COLUMN('1-DATA'!K436)),ROUND(INDEX('1-DATA'!$1:$1048576,IF(OR($B438="STD. DEVIATION",$C$1=1),$A438,$A438+1),COLUMN('1-DATA'!K436)),IF($B438="STD. DEVIATION",2,$F$1))))</f>
        <v/>
      </c>
      <c r="M438" s="1" t="str">
        <f>IF(OR($B438="",M$7=""),"",IF($B438="MEANS",INDEX('1-DATA'!$1:$1048576,$A437-1,COLUMN('1-DATA'!L436)),ROUND(INDEX('1-DATA'!$1:$1048576,IF(OR($B438="STD. DEVIATION",$C$1=1),$A438,$A438+1),COLUMN('1-DATA'!L436)),IF($B438="STD. DEVIATION",2,$F$1))))</f>
        <v/>
      </c>
      <c r="N438" s="1" t="str">
        <f>IF(OR($B438="",N$7=""),"",IF($B438="MEANS",INDEX('1-DATA'!$1:$1048576,$A437-1,COLUMN('1-DATA'!M436)),ROUND(INDEX('1-DATA'!$1:$1048576,IF(OR($B438="STD. DEVIATION",$C$1=1),$A438,$A438+1),COLUMN('1-DATA'!M436)),IF($B438="STD. DEVIATION",2,$F$1))))</f>
        <v/>
      </c>
      <c r="O438" s="1" t="str">
        <f>IF(OR($B438="",O$7=""),"",IF($B438="MEANS",INDEX('1-DATA'!$1:$1048576,$A437-1,COLUMN('1-DATA'!N436)),ROUND(INDEX('1-DATA'!$1:$1048576,IF(OR($B438="STD. DEVIATION",$C$1=1),$A438,$A438+1),COLUMN('1-DATA'!N436)),IF($B438="STD. DEVIATION",2,$F$1))))</f>
        <v/>
      </c>
      <c r="P438" s="1" t="str">
        <f>IF(OR($B438="",P$7=""),"",IF($B438="MEANS",INDEX('1-DATA'!$1:$1048576,$A437-1,COLUMN('1-DATA'!O436)),ROUND(INDEX('1-DATA'!$1:$1048576,IF(OR($B438="STD. DEVIATION",$C$1=1),$A438,$A438+1),COLUMN('1-DATA'!O436)),IF($B438="STD. DEVIATION",2,$F$1))))</f>
        <v/>
      </c>
      <c r="Q438" s="1" t="str">
        <f>IF(OR($B438="",Q$7=""),"",IF($B438="MEANS",INDEX('1-DATA'!$1:$1048576,$A437-1,COLUMN('1-DATA'!P436)),ROUND(INDEX('1-DATA'!$1:$1048576,IF(OR($B438="STD. DEVIATION",$C$1=1),$A438,$A438+1),COLUMN('1-DATA'!P436)),IF($B438="STD. DEVIATION",2,$F$1))))</f>
        <v/>
      </c>
      <c r="R438" s="1" t="str">
        <f>IF(OR($B438="",R$7=""),"",IF($B438="MEANS",INDEX('1-DATA'!$1:$1048576,$A437-1,COLUMN('1-DATA'!Q436)),ROUND(INDEX('1-DATA'!$1:$1048576,IF(OR($B438="STD. DEVIATION",$C$1=1),$A438,$A438+1),COLUMN('1-DATA'!Q436)),IF($B438="STD. DEVIATION",2,$F$1))))</f>
        <v/>
      </c>
      <c r="S438" s="1" t="str">
        <f>IF(OR($B438="",S$7=""),"",IF($B438="MEANS",INDEX('1-DATA'!$1:$1048576,$A437-1,COLUMN('1-DATA'!R436)),ROUND(INDEX('1-DATA'!$1:$1048576,IF(OR($B438="STD. DEVIATION",$C$1=1),$A438,$A438+1),COLUMN('1-DATA'!R436)),IF($B438="STD. DEVIATION",2,$F$1))))</f>
        <v/>
      </c>
      <c r="T438" s="1" t="str">
        <f>IF(OR($B438="",T$7=""),"",IF($B438="MEANS",INDEX('1-DATA'!$1:$1048576,$A437-1,COLUMN('1-DATA'!S436)),ROUND(INDEX('1-DATA'!$1:$1048576,IF(OR($B438="STD. DEVIATION",$C$1=1),$A438,$A438+1),COLUMN('1-DATA'!S436)),IF($B438="STD. DEVIATION",2,$F$1))))</f>
        <v/>
      </c>
      <c r="U438" s="1" t="str">
        <f>IF(OR($B438="",U$7=""),"",IF($B438="MEANS",INDEX('1-DATA'!$1:$1048576,$A437-1,COLUMN('1-DATA'!T436)),ROUND(INDEX('1-DATA'!$1:$1048576,IF(OR($B438="STD. DEVIATION",$C$1=1),$A438,$A438+1),COLUMN('1-DATA'!T436)),IF($B438="STD. DEVIATION",2,$F$1))))</f>
        <v/>
      </c>
      <c r="V438" s="1" t="str">
        <f>IF(OR($B438="",V$7=""),"",IF($B438="MEANS",INDEX('1-DATA'!$1:$1048576,$A437-1,COLUMN('1-DATA'!U436)),ROUND(INDEX('1-DATA'!$1:$1048576,IF(OR($B438="STD. DEVIATION",$C$1=1),$A438,$A438+1),COLUMN('1-DATA'!U436)),IF($B438="STD. DEVIATION",2,$F$1))))</f>
        <v/>
      </c>
      <c r="W438" s="1" t="str">
        <f>IF(OR($B438="",W$7=""),"",IF($B438="MEANS",INDEX('1-DATA'!$1:$1048576,$A437-1,COLUMN('1-DATA'!V436)),ROUND(INDEX('1-DATA'!$1:$1048576,IF(OR($B438="STD. DEVIATION",$C$1=1),$A438,$A438+1),COLUMN('1-DATA'!V436)),IF($B438="STD. DEVIATION",2,$F$1))))</f>
        <v/>
      </c>
      <c r="X438" s="1" t="str">
        <f>IF(OR($B438="",X$7=""),"",IF($B438="MEANS",INDEX('1-DATA'!$1:$1048576,$A437-1,COLUMN('1-DATA'!W436)),ROUND(INDEX('1-DATA'!$1:$1048576,IF(OR($B438="STD. DEVIATION",$C$1=1),$A438,$A438+1),COLUMN('1-DATA'!W436)),IF($B438="STD. DEVIATION",2,$F$1))))</f>
        <v/>
      </c>
      <c r="Y438" s="1" t="str">
        <f>IF(OR($B438="",Y$7=""),"",IF($B438="MEANS",INDEX('1-DATA'!$1:$1048576,$A437-1,COLUMN('1-DATA'!X436)),ROUND(INDEX('1-DATA'!$1:$1048576,IF(OR($B438="STD. DEVIATION",$C$1=1),$A438,$A438+1),COLUMN('1-DATA'!X436)),IF($B438="STD. DEVIATION",2,$F$1))))</f>
        <v/>
      </c>
      <c r="Z438" s="1" t="str">
        <f>IF(OR($B438="",Z$7=""),"",IF($B438="MEANS",INDEX('1-DATA'!$1:$1048576,$A437-1,COLUMN('1-DATA'!Y436)),ROUND(INDEX('1-DATA'!$1:$1048576,IF(OR($B438="STD. DEVIATION",$C$1=1),$A438,$A438+1),COLUMN('1-DATA'!Y436)),IF($B438="STD. DEVIATION",2,$F$1))))</f>
        <v/>
      </c>
      <c r="AA438" s="1" t="str">
        <f>IF(OR($B438="",AA$7=""),"",IF($B438="MEANS",INDEX('1-DATA'!$1:$1048576,$A437-1,COLUMN('1-DATA'!Z436)),ROUND(INDEX('1-DATA'!$1:$1048576,IF(OR($B438="STD. DEVIATION",$C$1=1),$A438,$A438+1),COLUMN('1-DATA'!Z436)),IF($B438="STD. DEVIATION",2,$F$1))))</f>
        <v/>
      </c>
      <c r="AB438" s="1" t="str">
        <f>IF(OR($B438="",AB$7=""),"",IF($B438="MEANS",INDEX('1-DATA'!$1:$1048576,$A437-1,COLUMN('1-DATA'!AA436)),ROUND(INDEX('1-DATA'!$1:$1048576,IF(OR($B438="STD. DEVIATION",$C$1=1),$A438,$A438+1),COLUMN('1-DATA'!AA436)),IF($B438="STD. DEVIATION",2,$F$1))))</f>
        <v/>
      </c>
      <c r="AC438" s="1" t="str">
        <f>IF(OR($B438="",AC$7=""),"",IF($B438="MEANS",INDEX('1-DATA'!$1:$1048576,$A437-1,COLUMN('1-DATA'!AB436)),ROUND(INDEX('1-DATA'!$1:$1048576,IF(OR($B438="STD. DEVIATION",$C$1=1),$A438,$A438+1),COLUMN('1-DATA'!AB436)),IF($B438="STD. DEVIATION",2,$F$1))))</f>
        <v/>
      </c>
      <c r="AD438" s="1" t="str">
        <f>IF(OR($B438="",AD$7=""),"",IF($B438="MEANS",INDEX('1-DATA'!$1:$1048576,$A437-1,COLUMN('1-DATA'!AC436)),ROUND(INDEX('1-DATA'!$1:$1048576,IF(OR($B438="STD. DEVIATION",$C$1=1),$A438,$A438+1),COLUMN('1-DATA'!AC436)),IF($B438="STD. DEVIATION",2,$F$1))))</f>
        <v/>
      </c>
      <c r="AE438" s="1" t="str">
        <f>IF(OR($B438="",AE$7=""),"",IF($B438="MEANS",INDEX('1-DATA'!$1:$1048576,$A437-1,COLUMN('1-DATA'!AD436)),ROUND(INDEX('1-DATA'!$1:$1048576,IF(OR($B438="STD. DEVIATION",$C$1=1),$A438,$A438+1),COLUMN('1-DATA'!AD436)),IF($B438="STD. DEVIATION",2,$F$1))))</f>
        <v/>
      </c>
      <c r="AF438" s="1" t="str">
        <f>IF(OR($B438="",AF$7=""),"",IF($B438="MEANS",INDEX('1-DATA'!$1:$1048576,$A437-1,COLUMN('1-DATA'!AE436)),ROUND(INDEX('1-DATA'!$1:$1048576,IF(OR($B438="STD. DEVIATION",$C$1=1),$A438,$A438+1),COLUMN('1-DATA'!AE436)),IF($B438="STD. DEVIATION",2,$F$1))))</f>
        <v/>
      </c>
      <c r="AG438" s="1" t="str">
        <f>IF(OR($B438="",AG$7=""),"",IF($B438="MEANS",INDEX('1-DATA'!$1:$1048576,$A437-1,COLUMN('1-DATA'!AF436)),ROUND(INDEX('1-DATA'!$1:$1048576,IF(OR($B438="STD. DEVIATION",$C$1=1),$A438,$A438+1),COLUMN('1-DATA'!AF436)),IF($B438="STD. DEVIATION",2,$F$1))))</f>
        <v/>
      </c>
      <c r="AH438" s="1" t="str">
        <f>IF(OR($B438="",AH$7=""),"",IF($B438="MEANS",INDEX('1-DATA'!$1:$1048576,$A437-1,COLUMN('1-DATA'!AG436)),ROUND(INDEX('1-DATA'!$1:$1048576,IF(OR($B438="STD. DEVIATION",$C$1=1),$A438,$A438+1),COLUMN('1-DATA'!AG436)),IF($B438="STD. DEVIATION",2,$F$1))))</f>
        <v/>
      </c>
      <c r="AI438" s="1" t="str">
        <f>IF(OR($B438="",AI$7=""),"",IF($B438="MEANS",INDEX('1-DATA'!$1:$1048576,$A437-1,COLUMN('1-DATA'!AH436)),ROUND(INDEX('1-DATA'!$1:$1048576,IF(OR($B438="STD. DEVIATION",$C$1=1),$A438,$A438+1),COLUMN('1-DATA'!AH436)),IF($B438="STD. DEVIATION",2,$F$1))))</f>
        <v/>
      </c>
      <c r="AJ438" s="1" t="str">
        <f>IF(OR($B438="",AJ$7=""),"",IF($B438="MEANS",INDEX('1-DATA'!$1:$1048576,$A437-1,COLUMN('1-DATA'!AI436)),ROUND(INDEX('1-DATA'!$1:$1048576,IF(OR($B438="STD. DEVIATION",$C$1=1),$A438,$A438+1),COLUMN('1-DATA'!AI436)),IF($B438="STD. DEVIATION",2,$F$1))))</f>
        <v/>
      </c>
      <c r="AK438" s="1" t="str">
        <f>IF(OR($B438="",AK$7=""),"",IF($B438="MEANS",INDEX('1-DATA'!$1:$1048576,$A437-1,COLUMN('1-DATA'!AJ436)),ROUND(INDEX('1-DATA'!$1:$1048576,IF(OR($B438="STD. DEVIATION",$C$1=1),$A438,$A438+1),COLUMN('1-DATA'!AJ436)),IF($B438="STD. DEVIATION",2,$F$1))))</f>
        <v/>
      </c>
      <c r="AL438" s="1" t="str">
        <f>IF(OR($B438="",AL$7=""),"",IF($B438="MEANS",INDEX('1-DATA'!$1:$1048576,$A437-1,COLUMN('1-DATA'!AK436)),ROUND(INDEX('1-DATA'!$1:$1048576,IF(OR($B438="STD. DEVIATION",$C$1=1),$A438,$A438+1),COLUMN('1-DATA'!AK436)),IF($B438="STD. DEVIATION",2,$F$1))))</f>
        <v/>
      </c>
      <c r="AM438" s="1" t="str">
        <f>IF(OR($B438="",AM$7=""),"",IF($B438="MEANS",INDEX('1-DATA'!$1:$1048576,$A437-1,COLUMN('1-DATA'!AL436)),ROUND(INDEX('1-DATA'!$1:$1048576,IF(OR($B438="STD. DEVIATION",$C$1=1),$A438,$A438+1),COLUMN('1-DATA'!AL436)),IF($B438="STD. DEVIATION",2,$F$1))))</f>
        <v/>
      </c>
      <c r="AN438" s="1" t="str">
        <f>IF(OR($B438="",AN$7=""),"",IF($B438="MEANS",INDEX('1-DATA'!$1:$1048576,$A437-1,COLUMN('1-DATA'!AM436)),ROUND(INDEX('1-DATA'!$1:$1048576,IF(OR($B438="STD. DEVIATION",$C$1=1),$A438,$A438+1),COLUMN('1-DATA'!AM436)),IF($B438="STD. DEVIATION",2,$F$1))))</f>
        <v/>
      </c>
      <c r="AO438" s="1" t="str">
        <f>IF(OR($B438="",AO$7=""),"",IF($B438="MEANS",INDEX('1-DATA'!$1:$1048576,$A437-1,COLUMN('1-DATA'!AN436)),ROUND(INDEX('1-DATA'!$1:$1048576,IF(OR($B438="STD. DEVIATION",$C$1=1),$A438,$A438+1),COLUMN('1-DATA'!AN436)),IF($B438="STD. DEVIATION",2,$F$1))))</f>
        <v/>
      </c>
      <c r="AP438" s="1" t="str">
        <f>IF(OR($B438="",AP$7=""),"",IF($B438="MEANS",INDEX('1-DATA'!$1:$1048576,$A437-1,COLUMN('1-DATA'!AO436)),ROUND(INDEX('1-DATA'!$1:$1048576,IF(OR($B438="STD. DEVIATION",$C$1=1),$A438,$A438+1),COLUMN('1-DATA'!AO436)),IF($B438="STD. DEVIATION",2,$F$1))))</f>
        <v/>
      </c>
      <c r="AQ438" s="1" t="str">
        <f>IF(OR($B438="",AQ$7=""),"",IF($B438="MEANS",INDEX('1-DATA'!$1:$1048576,$A437-1,COLUMN('1-DATA'!AP436)),ROUND(INDEX('1-DATA'!$1:$1048576,IF(OR($B438="STD. DEVIATION",$C$1=1),$A438,$A438+1),COLUMN('1-DATA'!AP436)),IF($B438="STD. DEVIATION",2,$F$1))))</f>
        <v/>
      </c>
      <c r="AR438" s="1" t="str">
        <f>IF(OR($B438="",AR$7=""),"",IF($B438="MEANS",INDEX('1-DATA'!$1:$1048576,$A437-1,COLUMN('1-DATA'!AQ436)),ROUND(INDEX('1-DATA'!$1:$1048576,IF(OR($B438="STD. DEVIATION",$C$1=1),$A438,$A438+1),COLUMN('1-DATA'!AQ436)),IF($B438="STD. DEVIATION",2,$F$1))))</f>
        <v/>
      </c>
      <c r="AS438" s="1" t="str">
        <f>IF(OR($B438="",AS$7=""),"",IF($B438="MEANS",INDEX('1-DATA'!$1:$1048576,$A437-1,COLUMN('1-DATA'!AR436)),ROUND(INDEX('1-DATA'!$1:$1048576,IF(OR($B438="STD. DEVIATION",$C$1=1),$A438,$A438+1),COLUMN('1-DATA'!AR436)),IF($B438="STD. DEVIATION",2,$F$1))))</f>
        <v/>
      </c>
      <c r="AT438" s="1" t="str">
        <f>IF(OR($B438="",AT$7=""),"",IF($B438="MEANS",INDEX('1-DATA'!$1:$1048576,$A437-1,COLUMN('1-DATA'!AS436)),ROUND(INDEX('1-DATA'!$1:$1048576,IF(OR($B438="STD. DEVIATION",$C$1=1),$A438,$A438+1),COLUMN('1-DATA'!AS436)),IF($B438="STD. DEVIATION",2,$F$1))))</f>
        <v/>
      </c>
      <c r="AU438" s="1" t="str">
        <f>IF(OR($B438="",AU$7=""),"",IF($B438="MEANS",INDEX('1-DATA'!$1:$1048576,$A437-1,COLUMN('1-DATA'!AT436)),ROUND(INDEX('1-DATA'!$1:$1048576,IF(OR($B438="STD. DEVIATION",$C$1=1),$A438,$A438+1),COLUMN('1-DATA'!AT436)),IF($B438="STD. DEVIATION",2,$F$1))))</f>
        <v/>
      </c>
      <c r="AV438" s="1" t="str">
        <f>IF(OR($B438="",AV$7=""),"",IF($B438="MEANS",INDEX('1-DATA'!$1:$1048576,$A437-1,COLUMN('1-DATA'!AU436)),ROUND(INDEX('1-DATA'!$1:$1048576,IF(OR($B438="STD. DEVIATION",$C$1=1),$A438,$A438+1),COLUMN('1-DATA'!AU436)),IF($B438="STD. DEVIATION",2,$F$1))))</f>
        <v/>
      </c>
      <c r="AW438" s="1" t="str">
        <f>IF(OR($B438="",AW$7=""),"",IF($B438="MEANS",INDEX('1-DATA'!$1:$1048576,$A437-1,COLUMN('1-DATA'!AV436)),ROUND(INDEX('1-DATA'!$1:$1048576,IF(OR($B438="STD. DEVIATION",$C$1=1),$A438,$A438+1),COLUMN('1-DATA'!AV436)),IF($B438="STD. DEVIATION",2,$F$1))))</f>
        <v/>
      </c>
      <c r="AX438" s="1" t="str">
        <f>IF(OR($B438="",AX$7=""),"",IF($B438="MEANS",INDEX('1-DATA'!$1:$1048576,$A437-1,COLUMN('1-DATA'!AW436)),ROUND(INDEX('1-DATA'!$1:$1048576,IF(OR($B438="STD. DEVIATION",$C$1=1),$A438,$A438+1),COLUMN('1-DATA'!AW436)),IF($B438="STD. DEVIATION",2,$F$1))))</f>
        <v/>
      </c>
      <c r="AY438" s="1" t="str">
        <f>IF(OR($B438="",AY$7=""),"",IF($B438="MEANS",INDEX('1-DATA'!$1:$1048576,$A437-1,COLUMN('1-DATA'!AX436)),ROUND(INDEX('1-DATA'!$1:$1048576,IF(OR($B438="STD. DEVIATION",$C$1=1),$A438,$A438+1),COLUMN('1-DATA'!AX436)),IF($B438="STD. DEVIATION",2,$F$1))))</f>
        <v/>
      </c>
      <c r="AZ438" s="1" t="str">
        <f>IF(OR($B438="",AZ$7=""),"",IF($B438="MEANS",INDEX('1-DATA'!$1:$1048576,$A437-1,COLUMN('1-DATA'!AY436)),ROUND(INDEX('1-DATA'!$1:$1048576,IF(OR($B438="STD. DEVIATION",$C$1=1),$A438,$A438+1),COLUMN('1-DATA'!AY436)),IF($B438="STD. DEVIATION",2,$F$1))))</f>
        <v/>
      </c>
    </row>
    <row r="439" spans="1:52" x14ac:dyDescent="0.25">
      <c r="A439" s="11">
        <f t="shared" si="7"/>
        <v>1303</v>
      </c>
      <c r="B439" s="1" t="str">
        <f>IF(B438="STD. DEVIATION",INDEX('1-DATA'!$1:$1048576,$A438-1,1),IF(INDEX('1-DATA'!$1:$1048576,$A439,1)&lt;&gt;"",INDEX('1-DATA'!$1:$1048576,$A439,1),""))</f>
        <v/>
      </c>
      <c r="C439" s="1" t="str">
        <f>IF(OR($B439="",C$7=""),"",IF($B439="MEANS",INDEX('1-DATA'!$1:$1048576,$A438-1,COLUMN('1-DATA'!B437)),ROUND(INDEX('1-DATA'!$1:$1048576,IF(OR($B439="STD. DEVIATION",$C$1=1),$A439,$A439+1),COLUMN('1-DATA'!B437)),IF($B439="STD. DEVIATION",2,$F$1))))</f>
        <v/>
      </c>
      <c r="D439" s="1" t="str">
        <f>IF(OR($B439="",D$7=""),"",IF($B439="MEANS",INDEX('1-DATA'!$1:$1048576,$A438-1,COLUMN('1-DATA'!C437)),ROUND(INDEX('1-DATA'!$1:$1048576,IF(OR($B439="STD. DEVIATION",$C$1=1),$A439,$A439+1),COLUMN('1-DATA'!C437)),IF($B439="STD. DEVIATION",2,$F$1))))</f>
        <v/>
      </c>
      <c r="E439" s="1" t="str">
        <f>IF(OR($B439="",E$7=""),"",IF($B439="MEANS",INDEX('1-DATA'!$1:$1048576,$A438-1,COLUMN('1-DATA'!D437)),ROUND(INDEX('1-DATA'!$1:$1048576,IF(OR($B439="STD. DEVIATION",$C$1=1),$A439,$A439+1),COLUMN('1-DATA'!D437)),IF($B439="STD. DEVIATION",2,$F$1))))</f>
        <v/>
      </c>
      <c r="F439" s="1" t="str">
        <f>IF(OR($B439="",F$7=""),"",IF($B439="MEANS",INDEX('1-DATA'!$1:$1048576,$A438-1,COLUMN('1-DATA'!E437)),ROUND(INDEX('1-DATA'!$1:$1048576,IF(OR($B439="STD. DEVIATION",$C$1=1),$A439,$A439+1),COLUMN('1-DATA'!E437)),IF($B439="STD. DEVIATION",2,$F$1))))</f>
        <v/>
      </c>
      <c r="G439" s="1" t="str">
        <f>IF(OR($B439="",G$7=""),"",IF($B439="MEANS",INDEX('1-DATA'!$1:$1048576,$A438-1,COLUMN('1-DATA'!F437)),ROUND(INDEX('1-DATA'!$1:$1048576,IF(OR($B439="STD. DEVIATION",$C$1=1),$A439,$A439+1),COLUMN('1-DATA'!F437)),IF($B439="STD. DEVIATION",2,$F$1))))</f>
        <v/>
      </c>
      <c r="H439" s="1" t="str">
        <f>IF(OR($B439="",H$7=""),"",IF($B439="MEANS",INDEX('1-DATA'!$1:$1048576,$A438-1,COLUMN('1-DATA'!G437)),ROUND(INDEX('1-DATA'!$1:$1048576,IF(OR($B439="STD. DEVIATION",$C$1=1),$A439,$A439+1),COLUMN('1-DATA'!G437)),IF($B439="STD. DEVIATION",2,$F$1))))</f>
        <v/>
      </c>
      <c r="I439" s="1" t="str">
        <f>IF(OR($B439="",I$7=""),"",IF($B439="MEANS",INDEX('1-DATA'!$1:$1048576,$A438-1,COLUMN('1-DATA'!H437)),ROUND(INDEX('1-DATA'!$1:$1048576,IF(OR($B439="STD. DEVIATION",$C$1=1),$A439,$A439+1),COLUMN('1-DATA'!H437)),IF($B439="STD. DEVIATION",2,$F$1))))</f>
        <v/>
      </c>
      <c r="J439" s="1" t="str">
        <f>IF(OR($B439="",J$7=""),"",IF($B439="MEANS",INDEX('1-DATA'!$1:$1048576,$A438-1,COLUMN('1-DATA'!I437)),ROUND(INDEX('1-DATA'!$1:$1048576,IF(OR($B439="STD. DEVIATION",$C$1=1),$A439,$A439+1),COLUMN('1-DATA'!I437)),IF($B439="STD. DEVIATION",2,$F$1))))</f>
        <v/>
      </c>
      <c r="K439" s="1" t="str">
        <f>IF(OR($B439="",K$7=""),"",IF($B439="MEANS",INDEX('1-DATA'!$1:$1048576,$A438-1,COLUMN('1-DATA'!J437)),ROUND(INDEX('1-DATA'!$1:$1048576,IF(OR($B439="STD. DEVIATION",$C$1=1),$A439,$A439+1),COLUMN('1-DATA'!J437)),IF($B439="STD. DEVIATION",2,$F$1))))</f>
        <v/>
      </c>
      <c r="L439" s="1" t="str">
        <f>IF(OR($B439="",L$7=""),"",IF($B439="MEANS",INDEX('1-DATA'!$1:$1048576,$A438-1,COLUMN('1-DATA'!K437)),ROUND(INDEX('1-DATA'!$1:$1048576,IF(OR($B439="STD. DEVIATION",$C$1=1),$A439,$A439+1),COLUMN('1-DATA'!K437)),IF($B439="STD. DEVIATION",2,$F$1))))</f>
        <v/>
      </c>
      <c r="M439" s="1" t="str">
        <f>IF(OR($B439="",M$7=""),"",IF($B439="MEANS",INDEX('1-DATA'!$1:$1048576,$A438-1,COLUMN('1-DATA'!L437)),ROUND(INDEX('1-DATA'!$1:$1048576,IF(OR($B439="STD. DEVIATION",$C$1=1),$A439,$A439+1),COLUMN('1-DATA'!L437)),IF($B439="STD. DEVIATION",2,$F$1))))</f>
        <v/>
      </c>
      <c r="N439" s="1" t="str">
        <f>IF(OR($B439="",N$7=""),"",IF($B439="MEANS",INDEX('1-DATA'!$1:$1048576,$A438-1,COLUMN('1-DATA'!M437)),ROUND(INDEX('1-DATA'!$1:$1048576,IF(OR($B439="STD. DEVIATION",$C$1=1),$A439,$A439+1),COLUMN('1-DATA'!M437)),IF($B439="STD. DEVIATION",2,$F$1))))</f>
        <v/>
      </c>
      <c r="O439" s="1" t="str">
        <f>IF(OR($B439="",O$7=""),"",IF($B439="MEANS",INDEX('1-DATA'!$1:$1048576,$A438-1,COLUMN('1-DATA'!N437)),ROUND(INDEX('1-DATA'!$1:$1048576,IF(OR($B439="STD. DEVIATION",$C$1=1),$A439,$A439+1),COLUMN('1-DATA'!N437)),IF($B439="STD. DEVIATION",2,$F$1))))</f>
        <v/>
      </c>
      <c r="P439" s="1" t="str">
        <f>IF(OR($B439="",P$7=""),"",IF($B439="MEANS",INDEX('1-DATA'!$1:$1048576,$A438-1,COLUMN('1-DATA'!O437)),ROUND(INDEX('1-DATA'!$1:$1048576,IF(OR($B439="STD. DEVIATION",$C$1=1),$A439,$A439+1),COLUMN('1-DATA'!O437)),IF($B439="STD. DEVIATION",2,$F$1))))</f>
        <v/>
      </c>
      <c r="Q439" s="1" t="str">
        <f>IF(OR($B439="",Q$7=""),"",IF($B439="MEANS",INDEX('1-DATA'!$1:$1048576,$A438-1,COLUMN('1-DATA'!P437)),ROUND(INDEX('1-DATA'!$1:$1048576,IF(OR($B439="STD. DEVIATION",$C$1=1),$A439,$A439+1),COLUMN('1-DATA'!P437)),IF($B439="STD. DEVIATION",2,$F$1))))</f>
        <v/>
      </c>
      <c r="R439" s="1" t="str">
        <f>IF(OR($B439="",R$7=""),"",IF($B439="MEANS",INDEX('1-DATA'!$1:$1048576,$A438-1,COLUMN('1-DATA'!Q437)),ROUND(INDEX('1-DATA'!$1:$1048576,IF(OR($B439="STD. DEVIATION",$C$1=1),$A439,$A439+1),COLUMN('1-DATA'!Q437)),IF($B439="STD. DEVIATION",2,$F$1))))</f>
        <v/>
      </c>
      <c r="S439" s="1" t="str">
        <f>IF(OR($B439="",S$7=""),"",IF($B439="MEANS",INDEX('1-DATA'!$1:$1048576,$A438-1,COLUMN('1-DATA'!R437)),ROUND(INDEX('1-DATA'!$1:$1048576,IF(OR($B439="STD. DEVIATION",$C$1=1),$A439,$A439+1),COLUMN('1-DATA'!R437)),IF($B439="STD. DEVIATION",2,$F$1))))</f>
        <v/>
      </c>
      <c r="T439" s="1" t="str">
        <f>IF(OR($B439="",T$7=""),"",IF($B439="MEANS",INDEX('1-DATA'!$1:$1048576,$A438-1,COLUMN('1-DATA'!S437)),ROUND(INDEX('1-DATA'!$1:$1048576,IF(OR($B439="STD. DEVIATION",$C$1=1),$A439,$A439+1),COLUMN('1-DATA'!S437)),IF($B439="STD. DEVIATION",2,$F$1))))</f>
        <v/>
      </c>
      <c r="U439" s="1" t="str">
        <f>IF(OR($B439="",U$7=""),"",IF($B439="MEANS",INDEX('1-DATA'!$1:$1048576,$A438-1,COLUMN('1-DATA'!T437)),ROUND(INDEX('1-DATA'!$1:$1048576,IF(OR($B439="STD. DEVIATION",$C$1=1),$A439,$A439+1),COLUMN('1-DATA'!T437)),IF($B439="STD. DEVIATION",2,$F$1))))</f>
        <v/>
      </c>
      <c r="V439" s="1" t="str">
        <f>IF(OR($B439="",V$7=""),"",IF($B439="MEANS",INDEX('1-DATA'!$1:$1048576,$A438-1,COLUMN('1-DATA'!U437)),ROUND(INDEX('1-DATA'!$1:$1048576,IF(OR($B439="STD. DEVIATION",$C$1=1),$A439,$A439+1),COLUMN('1-DATA'!U437)),IF($B439="STD. DEVIATION",2,$F$1))))</f>
        <v/>
      </c>
      <c r="W439" s="1" t="str">
        <f>IF(OR($B439="",W$7=""),"",IF($B439="MEANS",INDEX('1-DATA'!$1:$1048576,$A438-1,COLUMN('1-DATA'!V437)),ROUND(INDEX('1-DATA'!$1:$1048576,IF(OR($B439="STD. DEVIATION",$C$1=1),$A439,$A439+1),COLUMN('1-DATA'!V437)),IF($B439="STD. DEVIATION",2,$F$1))))</f>
        <v/>
      </c>
      <c r="X439" s="1" t="str">
        <f>IF(OR($B439="",X$7=""),"",IF($B439="MEANS",INDEX('1-DATA'!$1:$1048576,$A438-1,COLUMN('1-DATA'!W437)),ROUND(INDEX('1-DATA'!$1:$1048576,IF(OR($B439="STD. DEVIATION",$C$1=1),$A439,$A439+1),COLUMN('1-DATA'!W437)),IF($B439="STD. DEVIATION",2,$F$1))))</f>
        <v/>
      </c>
      <c r="Y439" s="1" t="str">
        <f>IF(OR($B439="",Y$7=""),"",IF($B439="MEANS",INDEX('1-DATA'!$1:$1048576,$A438-1,COLUMN('1-DATA'!X437)),ROUND(INDEX('1-DATA'!$1:$1048576,IF(OR($B439="STD. DEVIATION",$C$1=1),$A439,$A439+1),COLUMN('1-DATA'!X437)),IF($B439="STD. DEVIATION",2,$F$1))))</f>
        <v/>
      </c>
      <c r="Z439" s="1" t="str">
        <f>IF(OR($B439="",Z$7=""),"",IF($B439="MEANS",INDEX('1-DATA'!$1:$1048576,$A438-1,COLUMN('1-DATA'!Y437)),ROUND(INDEX('1-DATA'!$1:$1048576,IF(OR($B439="STD. DEVIATION",$C$1=1),$A439,$A439+1),COLUMN('1-DATA'!Y437)),IF($B439="STD. DEVIATION",2,$F$1))))</f>
        <v/>
      </c>
      <c r="AA439" s="1" t="str">
        <f>IF(OR($B439="",AA$7=""),"",IF($B439="MEANS",INDEX('1-DATA'!$1:$1048576,$A438-1,COLUMN('1-DATA'!Z437)),ROUND(INDEX('1-DATA'!$1:$1048576,IF(OR($B439="STD. DEVIATION",$C$1=1),$A439,$A439+1),COLUMN('1-DATA'!Z437)),IF($B439="STD. DEVIATION",2,$F$1))))</f>
        <v/>
      </c>
      <c r="AB439" s="1" t="str">
        <f>IF(OR($B439="",AB$7=""),"",IF($B439="MEANS",INDEX('1-DATA'!$1:$1048576,$A438-1,COLUMN('1-DATA'!AA437)),ROUND(INDEX('1-DATA'!$1:$1048576,IF(OR($B439="STD. DEVIATION",$C$1=1),$A439,$A439+1),COLUMN('1-DATA'!AA437)),IF($B439="STD. DEVIATION",2,$F$1))))</f>
        <v/>
      </c>
      <c r="AC439" s="1" t="str">
        <f>IF(OR($B439="",AC$7=""),"",IF($B439="MEANS",INDEX('1-DATA'!$1:$1048576,$A438-1,COLUMN('1-DATA'!AB437)),ROUND(INDEX('1-DATA'!$1:$1048576,IF(OR($B439="STD. DEVIATION",$C$1=1),$A439,$A439+1),COLUMN('1-DATA'!AB437)),IF($B439="STD. DEVIATION",2,$F$1))))</f>
        <v/>
      </c>
      <c r="AD439" s="1" t="str">
        <f>IF(OR($B439="",AD$7=""),"",IF($B439="MEANS",INDEX('1-DATA'!$1:$1048576,$A438-1,COLUMN('1-DATA'!AC437)),ROUND(INDEX('1-DATA'!$1:$1048576,IF(OR($B439="STD. DEVIATION",$C$1=1),$A439,$A439+1),COLUMN('1-DATA'!AC437)),IF($B439="STD. DEVIATION",2,$F$1))))</f>
        <v/>
      </c>
      <c r="AE439" s="1" t="str">
        <f>IF(OR($B439="",AE$7=""),"",IF($B439="MEANS",INDEX('1-DATA'!$1:$1048576,$A438-1,COLUMN('1-DATA'!AD437)),ROUND(INDEX('1-DATA'!$1:$1048576,IF(OR($B439="STD. DEVIATION",$C$1=1),$A439,$A439+1),COLUMN('1-DATA'!AD437)),IF($B439="STD. DEVIATION",2,$F$1))))</f>
        <v/>
      </c>
      <c r="AF439" s="1" t="str">
        <f>IF(OR($B439="",AF$7=""),"",IF($B439="MEANS",INDEX('1-DATA'!$1:$1048576,$A438-1,COLUMN('1-DATA'!AE437)),ROUND(INDEX('1-DATA'!$1:$1048576,IF(OR($B439="STD. DEVIATION",$C$1=1),$A439,$A439+1),COLUMN('1-DATA'!AE437)),IF($B439="STD. DEVIATION",2,$F$1))))</f>
        <v/>
      </c>
      <c r="AG439" s="1" t="str">
        <f>IF(OR($B439="",AG$7=""),"",IF($B439="MEANS",INDEX('1-DATA'!$1:$1048576,$A438-1,COLUMN('1-DATA'!AF437)),ROUND(INDEX('1-DATA'!$1:$1048576,IF(OR($B439="STD. DEVIATION",$C$1=1),$A439,$A439+1),COLUMN('1-DATA'!AF437)),IF($B439="STD. DEVIATION",2,$F$1))))</f>
        <v/>
      </c>
      <c r="AH439" s="1" t="str">
        <f>IF(OR($B439="",AH$7=""),"",IF($B439="MEANS",INDEX('1-DATA'!$1:$1048576,$A438-1,COLUMN('1-DATA'!AG437)),ROUND(INDEX('1-DATA'!$1:$1048576,IF(OR($B439="STD. DEVIATION",$C$1=1),$A439,$A439+1),COLUMN('1-DATA'!AG437)),IF($B439="STD. DEVIATION",2,$F$1))))</f>
        <v/>
      </c>
      <c r="AI439" s="1" t="str">
        <f>IF(OR($B439="",AI$7=""),"",IF($B439="MEANS",INDEX('1-DATA'!$1:$1048576,$A438-1,COLUMN('1-DATA'!AH437)),ROUND(INDEX('1-DATA'!$1:$1048576,IF(OR($B439="STD. DEVIATION",$C$1=1),$A439,$A439+1),COLUMN('1-DATA'!AH437)),IF($B439="STD. DEVIATION",2,$F$1))))</f>
        <v/>
      </c>
      <c r="AJ439" s="1" t="str">
        <f>IF(OR($B439="",AJ$7=""),"",IF($B439="MEANS",INDEX('1-DATA'!$1:$1048576,$A438-1,COLUMN('1-DATA'!AI437)),ROUND(INDEX('1-DATA'!$1:$1048576,IF(OR($B439="STD. DEVIATION",$C$1=1),$A439,$A439+1),COLUMN('1-DATA'!AI437)),IF($B439="STD. DEVIATION",2,$F$1))))</f>
        <v/>
      </c>
      <c r="AK439" s="1" t="str">
        <f>IF(OR($B439="",AK$7=""),"",IF($B439="MEANS",INDEX('1-DATA'!$1:$1048576,$A438-1,COLUMN('1-DATA'!AJ437)),ROUND(INDEX('1-DATA'!$1:$1048576,IF(OR($B439="STD. DEVIATION",$C$1=1),$A439,$A439+1),COLUMN('1-DATA'!AJ437)),IF($B439="STD. DEVIATION",2,$F$1))))</f>
        <v/>
      </c>
      <c r="AL439" s="1" t="str">
        <f>IF(OR($B439="",AL$7=""),"",IF($B439="MEANS",INDEX('1-DATA'!$1:$1048576,$A438-1,COLUMN('1-DATA'!AK437)),ROUND(INDEX('1-DATA'!$1:$1048576,IF(OR($B439="STD. DEVIATION",$C$1=1),$A439,$A439+1),COLUMN('1-DATA'!AK437)),IF($B439="STD. DEVIATION",2,$F$1))))</f>
        <v/>
      </c>
      <c r="AM439" s="1" t="str">
        <f>IF(OR($B439="",AM$7=""),"",IF($B439="MEANS",INDEX('1-DATA'!$1:$1048576,$A438-1,COLUMN('1-DATA'!AL437)),ROUND(INDEX('1-DATA'!$1:$1048576,IF(OR($B439="STD. DEVIATION",$C$1=1),$A439,$A439+1),COLUMN('1-DATA'!AL437)),IF($B439="STD. DEVIATION",2,$F$1))))</f>
        <v/>
      </c>
      <c r="AN439" s="1" t="str">
        <f>IF(OR($B439="",AN$7=""),"",IF($B439="MEANS",INDEX('1-DATA'!$1:$1048576,$A438-1,COLUMN('1-DATA'!AM437)),ROUND(INDEX('1-DATA'!$1:$1048576,IF(OR($B439="STD. DEVIATION",$C$1=1),$A439,$A439+1),COLUMN('1-DATA'!AM437)),IF($B439="STD. DEVIATION",2,$F$1))))</f>
        <v/>
      </c>
      <c r="AO439" s="1" t="str">
        <f>IF(OR($B439="",AO$7=""),"",IF($B439="MEANS",INDEX('1-DATA'!$1:$1048576,$A438-1,COLUMN('1-DATA'!AN437)),ROUND(INDEX('1-DATA'!$1:$1048576,IF(OR($B439="STD. DEVIATION",$C$1=1),$A439,$A439+1),COLUMN('1-DATA'!AN437)),IF($B439="STD. DEVIATION",2,$F$1))))</f>
        <v/>
      </c>
      <c r="AP439" s="1" t="str">
        <f>IF(OR($B439="",AP$7=""),"",IF($B439="MEANS",INDEX('1-DATA'!$1:$1048576,$A438-1,COLUMN('1-DATA'!AO437)),ROUND(INDEX('1-DATA'!$1:$1048576,IF(OR($B439="STD. DEVIATION",$C$1=1),$A439,$A439+1),COLUMN('1-DATA'!AO437)),IF($B439="STD. DEVIATION",2,$F$1))))</f>
        <v/>
      </c>
      <c r="AQ439" s="1" t="str">
        <f>IF(OR($B439="",AQ$7=""),"",IF($B439="MEANS",INDEX('1-DATA'!$1:$1048576,$A438-1,COLUMN('1-DATA'!AP437)),ROUND(INDEX('1-DATA'!$1:$1048576,IF(OR($B439="STD. DEVIATION",$C$1=1),$A439,$A439+1),COLUMN('1-DATA'!AP437)),IF($B439="STD. DEVIATION",2,$F$1))))</f>
        <v/>
      </c>
      <c r="AR439" s="1" t="str">
        <f>IF(OR($B439="",AR$7=""),"",IF($B439="MEANS",INDEX('1-DATA'!$1:$1048576,$A438-1,COLUMN('1-DATA'!AQ437)),ROUND(INDEX('1-DATA'!$1:$1048576,IF(OR($B439="STD. DEVIATION",$C$1=1),$A439,$A439+1),COLUMN('1-DATA'!AQ437)),IF($B439="STD. DEVIATION",2,$F$1))))</f>
        <v/>
      </c>
      <c r="AS439" s="1" t="str">
        <f>IF(OR($B439="",AS$7=""),"",IF($B439="MEANS",INDEX('1-DATA'!$1:$1048576,$A438-1,COLUMN('1-DATA'!AR437)),ROUND(INDEX('1-DATA'!$1:$1048576,IF(OR($B439="STD. DEVIATION",$C$1=1),$A439,$A439+1),COLUMN('1-DATA'!AR437)),IF($B439="STD. DEVIATION",2,$F$1))))</f>
        <v/>
      </c>
      <c r="AT439" s="1" t="str">
        <f>IF(OR($B439="",AT$7=""),"",IF($B439="MEANS",INDEX('1-DATA'!$1:$1048576,$A438-1,COLUMN('1-DATA'!AS437)),ROUND(INDEX('1-DATA'!$1:$1048576,IF(OR($B439="STD. DEVIATION",$C$1=1),$A439,$A439+1),COLUMN('1-DATA'!AS437)),IF($B439="STD. DEVIATION",2,$F$1))))</f>
        <v/>
      </c>
      <c r="AU439" s="1" t="str">
        <f>IF(OR($B439="",AU$7=""),"",IF($B439="MEANS",INDEX('1-DATA'!$1:$1048576,$A438-1,COLUMN('1-DATA'!AT437)),ROUND(INDEX('1-DATA'!$1:$1048576,IF(OR($B439="STD. DEVIATION",$C$1=1),$A439,$A439+1),COLUMN('1-DATA'!AT437)),IF($B439="STD. DEVIATION",2,$F$1))))</f>
        <v/>
      </c>
      <c r="AV439" s="1" t="str">
        <f>IF(OR($B439="",AV$7=""),"",IF($B439="MEANS",INDEX('1-DATA'!$1:$1048576,$A438-1,COLUMN('1-DATA'!AU437)),ROUND(INDEX('1-DATA'!$1:$1048576,IF(OR($B439="STD. DEVIATION",$C$1=1),$A439,$A439+1),COLUMN('1-DATA'!AU437)),IF($B439="STD. DEVIATION",2,$F$1))))</f>
        <v/>
      </c>
      <c r="AW439" s="1" t="str">
        <f>IF(OR($B439="",AW$7=""),"",IF($B439="MEANS",INDEX('1-DATA'!$1:$1048576,$A438-1,COLUMN('1-DATA'!AV437)),ROUND(INDEX('1-DATA'!$1:$1048576,IF(OR($B439="STD. DEVIATION",$C$1=1),$A439,$A439+1),COLUMN('1-DATA'!AV437)),IF($B439="STD. DEVIATION",2,$F$1))))</f>
        <v/>
      </c>
      <c r="AX439" s="1" t="str">
        <f>IF(OR($B439="",AX$7=""),"",IF($B439="MEANS",INDEX('1-DATA'!$1:$1048576,$A438-1,COLUMN('1-DATA'!AW437)),ROUND(INDEX('1-DATA'!$1:$1048576,IF(OR($B439="STD. DEVIATION",$C$1=1),$A439,$A439+1),COLUMN('1-DATA'!AW437)),IF($B439="STD. DEVIATION",2,$F$1))))</f>
        <v/>
      </c>
      <c r="AY439" s="1" t="str">
        <f>IF(OR($B439="",AY$7=""),"",IF($B439="MEANS",INDEX('1-DATA'!$1:$1048576,$A438-1,COLUMN('1-DATA'!AX437)),ROUND(INDEX('1-DATA'!$1:$1048576,IF(OR($B439="STD. DEVIATION",$C$1=1),$A439,$A439+1),COLUMN('1-DATA'!AX437)),IF($B439="STD. DEVIATION",2,$F$1))))</f>
        <v/>
      </c>
      <c r="AZ439" s="1" t="str">
        <f>IF(OR($B439="",AZ$7=""),"",IF($B439="MEANS",INDEX('1-DATA'!$1:$1048576,$A438-1,COLUMN('1-DATA'!AY437)),ROUND(INDEX('1-DATA'!$1:$1048576,IF(OR($B439="STD. DEVIATION",$C$1=1),$A439,$A439+1),COLUMN('1-DATA'!AY437)),IF($B439="STD. DEVIATION",2,$F$1))))</f>
        <v/>
      </c>
    </row>
    <row r="440" spans="1:52" x14ac:dyDescent="0.25">
      <c r="A440" s="11">
        <f t="shared" si="7"/>
        <v>1306</v>
      </c>
      <c r="B440" s="1" t="str">
        <f>IF(B439="STD. DEVIATION",INDEX('1-DATA'!$1:$1048576,$A439-1,1),IF(INDEX('1-DATA'!$1:$1048576,$A440,1)&lt;&gt;"",INDEX('1-DATA'!$1:$1048576,$A440,1),""))</f>
        <v/>
      </c>
      <c r="C440" s="1" t="str">
        <f>IF(OR($B440="",C$7=""),"",IF($B440="MEANS",INDEX('1-DATA'!$1:$1048576,$A439-1,COLUMN('1-DATA'!B438)),ROUND(INDEX('1-DATA'!$1:$1048576,IF(OR($B440="STD. DEVIATION",$C$1=1),$A440,$A440+1),COLUMN('1-DATA'!B438)),IF($B440="STD. DEVIATION",2,$F$1))))</f>
        <v/>
      </c>
      <c r="D440" s="1" t="str">
        <f>IF(OR($B440="",D$7=""),"",IF($B440="MEANS",INDEX('1-DATA'!$1:$1048576,$A439-1,COLUMN('1-DATA'!C438)),ROUND(INDEX('1-DATA'!$1:$1048576,IF(OR($B440="STD. DEVIATION",$C$1=1),$A440,$A440+1),COLUMN('1-DATA'!C438)),IF($B440="STD. DEVIATION",2,$F$1))))</f>
        <v/>
      </c>
      <c r="E440" s="1" t="str">
        <f>IF(OR($B440="",E$7=""),"",IF($B440="MEANS",INDEX('1-DATA'!$1:$1048576,$A439-1,COLUMN('1-DATA'!D438)),ROUND(INDEX('1-DATA'!$1:$1048576,IF(OR($B440="STD. DEVIATION",$C$1=1),$A440,$A440+1),COLUMN('1-DATA'!D438)),IF($B440="STD. DEVIATION",2,$F$1))))</f>
        <v/>
      </c>
      <c r="F440" s="1" t="str">
        <f>IF(OR($B440="",F$7=""),"",IF($B440="MEANS",INDEX('1-DATA'!$1:$1048576,$A439-1,COLUMN('1-DATA'!E438)),ROUND(INDEX('1-DATA'!$1:$1048576,IF(OR($B440="STD. DEVIATION",$C$1=1),$A440,$A440+1),COLUMN('1-DATA'!E438)),IF($B440="STD. DEVIATION",2,$F$1))))</f>
        <v/>
      </c>
      <c r="G440" s="1" t="str">
        <f>IF(OR($B440="",G$7=""),"",IF($B440="MEANS",INDEX('1-DATA'!$1:$1048576,$A439-1,COLUMN('1-DATA'!F438)),ROUND(INDEX('1-DATA'!$1:$1048576,IF(OR($B440="STD. DEVIATION",$C$1=1),$A440,$A440+1),COLUMN('1-DATA'!F438)),IF($B440="STD. DEVIATION",2,$F$1))))</f>
        <v/>
      </c>
      <c r="H440" s="1" t="str">
        <f>IF(OR($B440="",H$7=""),"",IF($B440="MEANS",INDEX('1-DATA'!$1:$1048576,$A439-1,COLUMN('1-DATA'!G438)),ROUND(INDEX('1-DATA'!$1:$1048576,IF(OR($B440="STD. DEVIATION",$C$1=1),$A440,$A440+1),COLUMN('1-DATA'!G438)),IF($B440="STD. DEVIATION",2,$F$1))))</f>
        <v/>
      </c>
      <c r="I440" s="1" t="str">
        <f>IF(OR($B440="",I$7=""),"",IF($B440="MEANS",INDEX('1-DATA'!$1:$1048576,$A439-1,COLUMN('1-DATA'!H438)),ROUND(INDEX('1-DATA'!$1:$1048576,IF(OR($B440="STD. DEVIATION",$C$1=1),$A440,$A440+1),COLUMN('1-DATA'!H438)),IF($B440="STD. DEVIATION",2,$F$1))))</f>
        <v/>
      </c>
      <c r="J440" s="1" t="str">
        <f>IF(OR($B440="",J$7=""),"",IF($B440="MEANS",INDEX('1-DATA'!$1:$1048576,$A439-1,COLUMN('1-DATA'!I438)),ROUND(INDEX('1-DATA'!$1:$1048576,IF(OR($B440="STD. DEVIATION",$C$1=1),$A440,$A440+1),COLUMN('1-DATA'!I438)),IF($B440="STD. DEVIATION",2,$F$1))))</f>
        <v/>
      </c>
      <c r="K440" s="1" t="str">
        <f>IF(OR($B440="",K$7=""),"",IF($B440="MEANS",INDEX('1-DATA'!$1:$1048576,$A439-1,COLUMN('1-DATA'!J438)),ROUND(INDEX('1-DATA'!$1:$1048576,IF(OR($B440="STD. DEVIATION",$C$1=1),$A440,$A440+1),COLUMN('1-DATA'!J438)),IF($B440="STD. DEVIATION",2,$F$1))))</f>
        <v/>
      </c>
      <c r="L440" s="1" t="str">
        <f>IF(OR($B440="",L$7=""),"",IF($B440="MEANS",INDEX('1-DATA'!$1:$1048576,$A439-1,COLUMN('1-DATA'!K438)),ROUND(INDEX('1-DATA'!$1:$1048576,IF(OR($B440="STD. DEVIATION",$C$1=1),$A440,$A440+1),COLUMN('1-DATA'!K438)),IF($B440="STD. DEVIATION",2,$F$1))))</f>
        <v/>
      </c>
      <c r="M440" s="1" t="str">
        <f>IF(OR($B440="",M$7=""),"",IF($B440="MEANS",INDEX('1-DATA'!$1:$1048576,$A439-1,COLUMN('1-DATA'!L438)),ROUND(INDEX('1-DATA'!$1:$1048576,IF(OR($B440="STD. DEVIATION",$C$1=1),$A440,$A440+1),COLUMN('1-DATA'!L438)),IF($B440="STD. DEVIATION",2,$F$1))))</f>
        <v/>
      </c>
      <c r="N440" s="1" t="str">
        <f>IF(OR($B440="",N$7=""),"",IF($B440="MEANS",INDEX('1-DATA'!$1:$1048576,$A439-1,COLUMN('1-DATA'!M438)),ROUND(INDEX('1-DATA'!$1:$1048576,IF(OR($B440="STD. DEVIATION",$C$1=1),$A440,$A440+1),COLUMN('1-DATA'!M438)),IF($B440="STD. DEVIATION",2,$F$1))))</f>
        <v/>
      </c>
      <c r="O440" s="1" t="str">
        <f>IF(OR($B440="",O$7=""),"",IF($B440="MEANS",INDEX('1-DATA'!$1:$1048576,$A439-1,COLUMN('1-DATA'!N438)),ROUND(INDEX('1-DATA'!$1:$1048576,IF(OR($B440="STD. DEVIATION",$C$1=1),$A440,$A440+1),COLUMN('1-DATA'!N438)),IF($B440="STD. DEVIATION",2,$F$1))))</f>
        <v/>
      </c>
      <c r="P440" s="1" t="str">
        <f>IF(OR($B440="",P$7=""),"",IF($B440="MEANS",INDEX('1-DATA'!$1:$1048576,$A439-1,COLUMN('1-DATA'!O438)),ROUND(INDEX('1-DATA'!$1:$1048576,IF(OR($B440="STD. DEVIATION",$C$1=1),$A440,$A440+1),COLUMN('1-DATA'!O438)),IF($B440="STD. DEVIATION",2,$F$1))))</f>
        <v/>
      </c>
      <c r="Q440" s="1" t="str">
        <f>IF(OR($B440="",Q$7=""),"",IF($B440="MEANS",INDEX('1-DATA'!$1:$1048576,$A439-1,COLUMN('1-DATA'!P438)),ROUND(INDEX('1-DATA'!$1:$1048576,IF(OR($B440="STD. DEVIATION",$C$1=1),$A440,$A440+1),COLUMN('1-DATA'!P438)),IF($B440="STD. DEVIATION",2,$F$1))))</f>
        <v/>
      </c>
      <c r="R440" s="1" t="str">
        <f>IF(OR($B440="",R$7=""),"",IF($B440="MEANS",INDEX('1-DATA'!$1:$1048576,$A439-1,COLUMN('1-DATA'!Q438)),ROUND(INDEX('1-DATA'!$1:$1048576,IF(OR($B440="STD. DEVIATION",$C$1=1),$A440,$A440+1),COLUMN('1-DATA'!Q438)),IF($B440="STD. DEVIATION",2,$F$1))))</f>
        <v/>
      </c>
      <c r="S440" s="1" t="str">
        <f>IF(OR($B440="",S$7=""),"",IF($B440="MEANS",INDEX('1-DATA'!$1:$1048576,$A439-1,COLUMN('1-DATA'!R438)),ROUND(INDEX('1-DATA'!$1:$1048576,IF(OR($B440="STD. DEVIATION",$C$1=1),$A440,$A440+1),COLUMN('1-DATA'!R438)),IF($B440="STD. DEVIATION",2,$F$1))))</f>
        <v/>
      </c>
      <c r="T440" s="1" t="str">
        <f>IF(OR($B440="",T$7=""),"",IF($B440="MEANS",INDEX('1-DATA'!$1:$1048576,$A439-1,COLUMN('1-DATA'!S438)),ROUND(INDEX('1-DATA'!$1:$1048576,IF(OR($B440="STD. DEVIATION",$C$1=1),$A440,$A440+1),COLUMN('1-DATA'!S438)),IF($B440="STD. DEVIATION",2,$F$1))))</f>
        <v/>
      </c>
      <c r="U440" s="1" t="str">
        <f>IF(OR($B440="",U$7=""),"",IF($B440="MEANS",INDEX('1-DATA'!$1:$1048576,$A439-1,COLUMN('1-DATA'!T438)),ROUND(INDEX('1-DATA'!$1:$1048576,IF(OR($B440="STD. DEVIATION",$C$1=1),$A440,$A440+1),COLUMN('1-DATA'!T438)),IF($B440="STD. DEVIATION",2,$F$1))))</f>
        <v/>
      </c>
      <c r="V440" s="1" t="str">
        <f>IF(OR($B440="",V$7=""),"",IF($B440="MEANS",INDEX('1-DATA'!$1:$1048576,$A439-1,COLUMN('1-DATA'!U438)),ROUND(INDEX('1-DATA'!$1:$1048576,IF(OR($B440="STD. DEVIATION",$C$1=1),$A440,$A440+1),COLUMN('1-DATA'!U438)),IF($B440="STD. DEVIATION",2,$F$1))))</f>
        <v/>
      </c>
      <c r="W440" s="1" t="str">
        <f>IF(OR($B440="",W$7=""),"",IF($B440="MEANS",INDEX('1-DATA'!$1:$1048576,$A439-1,COLUMN('1-DATA'!V438)),ROUND(INDEX('1-DATA'!$1:$1048576,IF(OR($B440="STD. DEVIATION",$C$1=1),$A440,$A440+1),COLUMN('1-DATA'!V438)),IF($B440="STD. DEVIATION",2,$F$1))))</f>
        <v/>
      </c>
      <c r="X440" s="1" t="str">
        <f>IF(OR($B440="",X$7=""),"",IF($B440="MEANS",INDEX('1-DATA'!$1:$1048576,$A439-1,COLUMN('1-DATA'!W438)),ROUND(INDEX('1-DATA'!$1:$1048576,IF(OR($B440="STD. DEVIATION",$C$1=1),$A440,$A440+1),COLUMN('1-DATA'!W438)),IF($B440="STD. DEVIATION",2,$F$1))))</f>
        <v/>
      </c>
      <c r="Y440" s="1" t="str">
        <f>IF(OR($B440="",Y$7=""),"",IF($B440="MEANS",INDEX('1-DATA'!$1:$1048576,$A439-1,COLUMN('1-DATA'!X438)),ROUND(INDEX('1-DATA'!$1:$1048576,IF(OR($B440="STD. DEVIATION",$C$1=1),$A440,$A440+1),COLUMN('1-DATA'!X438)),IF($B440="STD. DEVIATION",2,$F$1))))</f>
        <v/>
      </c>
      <c r="Z440" s="1" t="str">
        <f>IF(OR($B440="",Z$7=""),"",IF($B440="MEANS",INDEX('1-DATA'!$1:$1048576,$A439-1,COLUMN('1-DATA'!Y438)),ROUND(INDEX('1-DATA'!$1:$1048576,IF(OR($B440="STD. DEVIATION",$C$1=1),$A440,$A440+1),COLUMN('1-DATA'!Y438)),IF($B440="STD. DEVIATION",2,$F$1))))</f>
        <v/>
      </c>
      <c r="AA440" s="1" t="str">
        <f>IF(OR($B440="",AA$7=""),"",IF($B440="MEANS",INDEX('1-DATA'!$1:$1048576,$A439-1,COLUMN('1-DATA'!Z438)),ROUND(INDEX('1-DATA'!$1:$1048576,IF(OR($B440="STD. DEVIATION",$C$1=1),$A440,$A440+1),COLUMN('1-DATA'!Z438)),IF($B440="STD. DEVIATION",2,$F$1))))</f>
        <v/>
      </c>
      <c r="AB440" s="1" t="str">
        <f>IF(OR($B440="",AB$7=""),"",IF($B440="MEANS",INDEX('1-DATA'!$1:$1048576,$A439-1,COLUMN('1-DATA'!AA438)),ROUND(INDEX('1-DATA'!$1:$1048576,IF(OR($B440="STD. DEVIATION",$C$1=1),$A440,$A440+1),COLUMN('1-DATA'!AA438)),IF($B440="STD. DEVIATION",2,$F$1))))</f>
        <v/>
      </c>
      <c r="AC440" s="1" t="str">
        <f>IF(OR($B440="",AC$7=""),"",IF($B440="MEANS",INDEX('1-DATA'!$1:$1048576,$A439-1,COLUMN('1-DATA'!AB438)),ROUND(INDEX('1-DATA'!$1:$1048576,IF(OR($B440="STD. DEVIATION",$C$1=1),$A440,$A440+1),COLUMN('1-DATA'!AB438)),IF($B440="STD. DEVIATION",2,$F$1))))</f>
        <v/>
      </c>
      <c r="AD440" s="1" t="str">
        <f>IF(OR($B440="",AD$7=""),"",IF($B440="MEANS",INDEX('1-DATA'!$1:$1048576,$A439-1,COLUMN('1-DATA'!AC438)),ROUND(INDEX('1-DATA'!$1:$1048576,IF(OR($B440="STD. DEVIATION",$C$1=1),$A440,$A440+1),COLUMN('1-DATA'!AC438)),IF($B440="STD. DEVIATION",2,$F$1))))</f>
        <v/>
      </c>
      <c r="AE440" s="1" t="str">
        <f>IF(OR($B440="",AE$7=""),"",IF($B440="MEANS",INDEX('1-DATA'!$1:$1048576,$A439-1,COLUMN('1-DATA'!AD438)),ROUND(INDEX('1-DATA'!$1:$1048576,IF(OR($B440="STD. DEVIATION",$C$1=1),$A440,$A440+1),COLUMN('1-DATA'!AD438)),IF($B440="STD. DEVIATION",2,$F$1))))</f>
        <v/>
      </c>
      <c r="AF440" s="1" t="str">
        <f>IF(OR($B440="",AF$7=""),"",IF($B440="MEANS",INDEX('1-DATA'!$1:$1048576,$A439-1,COLUMN('1-DATA'!AE438)),ROUND(INDEX('1-DATA'!$1:$1048576,IF(OR($B440="STD. DEVIATION",$C$1=1),$A440,$A440+1),COLUMN('1-DATA'!AE438)),IF($B440="STD. DEVIATION",2,$F$1))))</f>
        <v/>
      </c>
      <c r="AG440" s="1" t="str">
        <f>IF(OR($B440="",AG$7=""),"",IF($B440="MEANS",INDEX('1-DATA'!$1:$1048576,$A439-1,COLUMN('1-DATA'!AF438)),ROUND(INDEX('1-DATA'!$1:$1048576,IF(OR($B440="STD. DEVIATION",$C$1=1),$A440,$A440+1),COLUMN('1-DATA'!AF438)),IF($B440="STD. DEVIATION",2,$F$1))))</f>
        <v/>
      </c>
      <c r="AH440" s="1" t="str">
        <f>IF(OR($B440="",AH$7=""),"",IF($B440="MEANS",INDEX('1-DATA'!$1:$1048576,$A439-1,COLUMN('1-DATA'!AG438)),ROUND(INDEX('1-DATA'!$1:$1048576,IF(OR($B440="STD. DEVIATION",$C$1=1),$A440,$A440+1),COLUMN('1-DATA'!AG438)),IF($B440="STD. DEVIATION",2,$F$1))))</f>
        <v/>
      </c>
      <c r="AI440" s="1" t="str">
        <f>IF(OR($B440="",AI$7=""),"",IF($B440="MEANS",INDEX('1-DATA'!$1:$1048576,$A439-1,COLUMN('1-DATA'!AH438)),ROUND(INDEX('1-DATA'!$1:$1048576,IF(OR($B440="STD. DEVIATION",$C$1=1),$A440,$A440+1),COLUMN('1-DATA'!AH438)),IF($B440="STD. DEVIATION",2,$F$1))))</f>
        <v/>
      </c>
      <c r="AJ440" s="1" t="str">
        <f>IF(OR($B440="",AJ$7=""),"",IF($B440="MEANS",INDEX('1-DATA'!$1:$1048576,$A439-1,COLUMN('1-DATA'!AI438)),ROUND(INDEX('1-DATA'!$1:$1048576,IF(OR($B440="STD. DEVIATION",$C$1=1),$A440,$A440+1),COLUMN('1-DATA'!AI438)),IF($B440="STD. DEVIATION",2,$F$1))))</f>
        <v/>
      </c>
      <c r="AK440" s="1" t="str">
        <f>IF(OR($B440="",AK$7=""),"",IF($B440="MEANS",INDEX('1-DATA'!$1:$1048576,$A439-1,COLUMN('1-DATA'!AJ438)),ROUND(INDEX('1-DATA'!$1:$1048576,IF(OR($B440="STD. DEVIATION",$C$1=1),$A440,$A440+1),COLUMN('1-DATA'!AJ438)),IF($B440="STD. DEVIATION",2,$F$1))))</f>
        <v/>
      </c>
      <c r="AL440" s="1" t="str">
        <f>IF(OR($B440="",AL$7=""),"",IF($B440="MEANS",INDEX('1-DATA'!$1:$1048576,$A439-1,COLUMN('1-DATA'!AK438)),ROUND(INDEX('1-DATA'!$1:$1048576,IF(OR($B440="STD. DEVIATION",$C$1=1),$A440,$A440+1),COLUMN('1-DATA'!AK438)),IF($B440="STD. DEVIATION",2,$F$1))))</f>
        <v/>
      </c>
      <c r="AM440" s="1" t="str">
        <f>IF(OR($B440="",AM$7=""),"",IF($B440="MEANS",INDEX('1-DATA'!$1:$1048576,$A439-1,COLUMN('1-DATA'!AL438)),ROUND(INDEX('1-DATA'!$1:$1048576,IF(OR($B440="STD. DEVIATION",$C$1=1),$A440,$A440+1),COLUMN('1-DATA'!AL438)),IF($B440="STD. DEVIATION",2,$F$1))))</f>
        <v/>
      </c>
      <c r="AN440" s="1" t="str">
        <f>IF(OR($B440="",AN$7=""),"",IF($B440="MEANS",INDEX('1-DATA'!$1:$1048576,$A439-1,COLUMN('1-DATA'!AM438)),ROUND(INDEX('1-DATA'!$1:$1048576,IF(OR($B440="STD. DEVIATION",$C$1=1),$A440,$A440+1),COLUMN('1-DATA'!AM438)),IF($B440="STD. DEVIATION",2,$F$1))))</f>
        <v/>
      </c>
      <c r="AO440" s="1" t="str">
        <f>IF(OR($B440="",AO$7=""),"",IF($B440="MEANS",INDEX('1-DATA'!$1:$1048576,$A439-1,COLUMN('1-DATA'!AN438)),ROUND(INDEX('1-DATA'!$1:$1048576,IF(OR($B440="STD. DEVIATION",$C$1=1),$A440,$A440+1),COLUMN('1-DATA'!AN438)),IF($B440="STD. DEVIATION",2,$F$1))))</f>
        <v/>
      </c>
      <c r="AP440" s="1" t="str">
        <f>IF(OR($B440="",AP$7=""),"",IF($B440="MEANS",INDEX('1-DATA'!$1:$1048576,$A439-1,COLUMN('1-DATA'!AO438)),ROUND(INDEX('1-DATA'!$1:$1048576,IF(OR($B440="STD. DEVIATION",$C$1=1),$A440,$A440+1),COLUMN('1-DATA'!AO438)),IF($B440="STD. DEVIATION",2,$F$1))))</f>
        <v/>
      </c>
      <c r="AQ440" s="1" t="str">
        <f>IF(OR($B440="",AQ$7=""),"",IF($B440="MEANS",INDEX('1-DATA'!$1:$1048576,$A439-1,COLUMN('1-DATA'!AP438)),ROUND(INDEX('1-DATA'!$1:$1048576,IF(OR($B440="STD. DEVIATION",$C$1=1),$A440,$A440+1),COLUMN('1-DATA'!AP438)),IF($B440="STD. DEVIATION",2,$F$1))))</f>
        <v/>
      </c>
      <c r="AR440" s="1" t="str">
        <f>IF(OR($B440="",AR$7=""),"",IF($B440="MEANS",INDEX('1-DATA'!$1:$1048576,$A439-1,COLUMN('1-DATA'!AQ438)),ROUND(INDEX('1-DATA'!$1:$1048576,IF(OR($B440="STD. DEVIATION",$C$1=1),$A440,$A440+1),COLUMN('1-DATA'!AQ438)),IF($B440="STD. DEVIATION",2,$F$1))))</f>
        <v/>
      </c>
      <c r="AS440" s="1" t="str">
        <f>IF(OR($B440="",AS$7=""),"",IF($B440="MEANS",INDEX('1-DATA'!$1:$1048576,$A439-1,COLUMN('1-DATA'!AR438)),ROUND(INDEX('1-DATA'!$1:$1048576,IF(OR($B440="STD. DEVIATION",$C$1=1),$A440,$A440+1),COLUMN('1-DATA'!AR438)),IF($B440="STD. DEVIATION",2,$F$1))))</f>
        <v/>
      </c>
      <c r="AT440" s="1" t="str">
        <f>IF(OR($B440="",AT$7=""),"",IF($B440="MEANS",INDEX('1-DATA'!$1:$1048576,$A439-1,COLUMN('1-DATA'!AS438)),ROUND(INDEX('1-DATA'!$1:$1048576,IF(OR($B440="STD. DEVIATION",$C$1=1),$A440,$A440+1),COLUMN('1-DATA'!AS438)),IF($B440="STD. DEVIATION",2,$F$1))))</f>
        <v/>
      </c>
      <c r="AU440" s="1" t="str">
        <f>IF(OR($B440="",AU$7=""),"",IF($B440="MEANS",INDEX('1-DATA'!$1:$1048576,$A439-1,COLUMN('1-DATA'!AT438)),ROUND(INDEX('1-DATA'!$1:$1048576,IF(OR($B440="STD. DEVIATION",$C$1=1),$A440,$A440+1),COLUMN('1-DATA'!AT438)),IF($B440="STD. DEVIATION",2,$F$1))))</f>
        <v/>
      </c>
      <c r="AV440" s="1" t="str">
        <f>IF(OR($B440="",AV$7=""),"",IF($B440="MEANS",INDEX('1-DATA'!$1:$1048576,$A439-1,COLUMN('1-DATA'!AU438)),ROUND(INDEX('1-DATA'!$1:$1048576,IF(OR($B440="STD. DEVIATION",$C$1=1),$A440,$A440+1),COLUMN('1-DATA'!AU438)),IF($B440="STD. DEVIATION",2,$F$1))))</f>
        <v/>
      </c>
      <c r="AW440" s="1" t="str">
        <f>IF(OR($B440="",AW$7=""),"",IF($B440="MEANS",INDEX('1-DATA'!$1:$1048576,$A439-1,COLUMN('1-DATA'!AV438)),ROUND(INDEX('1-DATA'!$1:$1048576,IF(OR($B440="STD. DEVIATION",$C$1=1),$A440,$A440+1),COLUMN('1-DATA'!AV438)),IF($B440="STD. DEVIATION",2,$F$1))))</f>
        <v/>
      </c>
      <c r="AX440" s="1" t="str">
        <f>IF(OR($B440="",AX$7=""),"",IF($B440="MEANS",INDEX('1-DATA'!$1:$1048576,$A439-1,COLUMN('1-DATA'!AW438)),ROUND(INDEX('1-DATA'!$1:$1048576,IF(OR($B440="STD. DEVIATION",$C$1=1),$A440,$A440+1),COLUMN('1-DATA'!AW438)),IF($B440="STD. DEVIATION",2,$F$1))))</f>
        <v/>
      </c>
      <c r="AY440" s="1" t="str">
        <f>IF(OR($B440="",AY$7=""),"",IF($B440="MEANS",INDEX('1-DATA'!$1:$1048576,$A439-1,COLUMN('1-DATA'!AX438)),ROUND(INDEX('1-DATA'!$1:$1048576,IF(OR($B440="STD. DEVIATION",$C$1=1),$A440,$A440+1),COLUMN('1-DATA'!AX438)),IF($B440="STD. DEVIATION",2,$F$1))))</f>
        <v/>
      </c>
      <c r="AZ440" s="1" t="str">
        <f>IF(OR($B440="",AZ$7=""),"",IF($B440="MEANS",INDEX('1-DATA'!$1:$1048576,$A439-1,COLUMN('1-DATA'!AY438)),ROUND(INDEX('1-DATA'!$1:$1048576,IF(OR($B440="STD. DEVIATION",$C$1=1),$A440,$A440+1),COLUMN('1-DATA'!AY438)),IF($B440="STD. DEVIATION",2,$F$1))))</f>
        <v/>
      </c>
    </row>
    <row r="441" spans="1:52" x14ac:dyDescent="0.25">
      <c r="A441" s="11">
        <f t="shared" si="7"/>
        <v>1309</v>
      </c>
      <c r="B441" s="1" t="str">
        <f>IF(B440="STD. DEVIATION",INDEX('1-DATA'!$1:$1048576,$A440-1,1),IF(INDEX('1-DATA'!$1:$1048576,$A441,1)&lt;&gt;"",INDEX('1-DATA'!$1:$1048576,$A441,1),""))</f>
        <v/>
      </c>
      <c r="C441" s="1" t="str">
        <f>IF(OR($B441="",C$7=""),"",IF($B441="MEANS",INDEX('1-DATA'!$1:$1048576,$A440-1,COLUMN('1-DATA'!B439)),ROUND(INDEX('1-DATA'!$1:$1048576,IF(OR($B441="STD. DEVIATION",$C$1=1),$A441,$A441+1),COLUMN('1-DATA'!B439)),IF($B441="STD. DEVIATION",2,$F$1))))</f>
        <v/>
      </c>
      <c r="D441" s="1" t="str">
        <f>IF(OR($B441="",D$7=""),"",IF($B441="MEANS",INDEX('1-DATA'!$1:$1048576,$A440-1,COLUMN('1-DATA'!C439)),ROUND(INDEX('1-DATA'!$1:$1048576,IF(OR($B441="STD. DEVIATION",$C$1=1),$A441,$A441+1),COLUMN('1-DATA'!C439)),IF($B441="STD. DEVIATION",2,$F$1))))</f>
        <v/>
      </c>
      <c r="E441" s="1" t="str">
        <f>IF(OR($B441="",E$7=""),"",IF($B441="MEANS",INDEX('1-DATA'!$1:$1048576,$A440-1,COLUMN('1-DATA'!D439)),ROUND(INDEX('1-DATA'!$1:$1048576,IF(OR($B441="STD. DEVIATION",$C$1=1),$A441,$A441+1),COLUMN('1-DATA'!D439)),IF($B441="STD. DEVIATION",2,$F$1))))</f>
        <v/>
      </c>
      <c r="F441" s="1" t="str">
        <f>IF(OR($B441="",F$7=""),"",IF($B441="MEANS",INDEX('1-DATA'!$1:$1048576,$A440-1,COLUMN('1-DATA'!E439)),ROUND(INDEX('1-DATA'!$1:$1048576,IF(OR($B441="STD. DEVIATION",$C$1=1),$A441,$A441+1),COLUMN('1-DATA'!E439)),IF($B441="STD. DEVIATION",2,$F$1))))</f>
        <v/>
      </c>
      <c r="G441" s="1" t="str">
        <f>IF(OR($B441="",G$7=""),"",IF($B441="MEANS",INDEX('1-DATA'!$1:$1048576,$A440-1,COLUMN('1-DATA'!F439)),ROUND(INDEX('1-DATA'!$1:$1048576,IF(OR($B441="STD. DEVIATION",$C$1=1),$A441,$A441+1),COLUMN('1-DATA'!F439)),IF($B441="STD. DEVIATION",2,$F$1))))</f>
        <v/>
      </c>
      <c r="H441" s="1" t="str">
        <f>IF(OR($B441="",H$7=""),"",IF($B441="MEANS",INDEX('1-DATA'!$1:$1048576,$A440-1,COLUMN('1-DATA'!G439)),ROUND(INDEX('1-DATA'!$1:$1048576,IF(OR($B441="STD. DEVIATION",$C$1=1),$A441,$A441+1),COLUMN('1-DATA'!G439)),IF($B441="STD. DEVIATION",2,$F$1))))</f>
        <v/>
      </c>
      <c r="I441" s="1" t="str">
        <f>IF(OR($B441="",I$7=""),"",IF($B441="MEANS",INDEX('1-DATA'!$1:$1048576,$A440-1,COLUMN('1-DATA'!H439)),ROUND(INDEX('1-DATA'!$1:$1048576,IF(OR($B441="STD. DEVIATION",$C$1=1),$A441,$A441+1),COLUMN('1-DATA'!H439)),IF($B441="STD. DEVIATION",2,$F$1))))</f>
        <v/>
      </c>
      <c r="J441" s="1" t="str">
        <f>IF(OR($B441="",J$7=""),"",IF($B441="MEANS",INDEX('1-DATA'!$1:$1048576,$A440-1,COLUMN('1-DATA'!I439)),ROUND(INDEX('1-DATA'!$1:$1048576,IF(OR($B441="STD. DEVIATION",$C$1=1),$A441,$A441+1),COLUMN('1-DATA'!I439)),IF($B441="STD. DEVIATION",2,$F$1))))</f>
        <v/>
      </c>
      <c r="K441" s="1" t="str">
        <f>IF(OR($B441="",K$7=""),"",IF($B441="MEANS",INDEX('1-DATA'!$1:$1048576,$A440-1,COLUMN('1-DATA'!J439)),ROUND(INDEX('1-DATA'!$1:$1048576,IF(OR($B441="STD. DEVIATION",$C$1=1),$A441,$A441+1),COLUMN('1-DATA'!J439)),IF($B441="STD. DEVIATION",2,$F$1))))</f>
        <v/>
      </c>
      <c r="L441" s="1" t="str">
        <f>IF(OR($B441="",L$7=""),"",IF($B441="MEANS",INDEX('1-DATA'!$1:$1048576,$A440-1,COLUMN('1-DATA'!K439)),ROUND(INDEX('1-DATA'!$1:$1048576,IF(OR($B441="STD. DEVIATION",$C$1=1),$A441,$A441+1),COLUMN('1-DATA'!K439)),IF($B441="STD. DEVIATION",2,$F$1))))</f>
        <v/>
      </c>
      <c r="M441" s="1" t="str">
        <f>IF(OR($B441="",M$7=""),"",IF($B441="MEANS",INDEX('1-DATA'!$1:$1048576,$A440-1,COLUMN('1-DATA'!L439)),ROUND(INDEX('1-DATA'!$1:$1048576,IF(OR($B441="STD. DEVIATION",$C$1=1),$A441,$A441+1),COLUMN('1-DATA'!L439)),IF($B441="STD. DEVIATION",2,$F$1))))</f>
        <v/>
      </c>
      <c r="N441" s="1" t="str">
        <f>IF(OR($B441="",N$7=""),"",IF($B441="MEANS",INDEX('1-DATA'!$1:$1048576,$A440-1,COLUMN('1-DATA'!M439)),ROUND(INDEX('1-DATA'!$1:$1048576,IF(OR($B441="STD. DEVIATION",$C$1=1),$A441,$A441+1),COLUMN('1-DATA'!M439)),IF($B441="STD. DEVIATION",2,$F$1))))</f>
        <v/>
      </c>
      <c r="O441" s="1" t="str">
        <f>IF(OR($B441="",O$7=""),"",IF($B441="MEANS",INDEX('1-DATA'!$1:$1048576,$A440-1,COLUMN('1-DATA'!N439)),ROUND(INDEX('1-DATA'!$1:$1048576,IF(OR($B441="STD. DEVIATION",$C$1=1),$A441,$A441+1),COLUMN('1-DATA'!N439)),IF($B441="STD. DEVIATION",2,$F$1))))</f>
        <v/>
      </c>
      <c r="P441" s="1" t="str">
        <f>IF(OR($B441="",P$7=""),"",IF($B441="MEANS",INDEX('1-DATA'!$1:$1048576,$A440-1,COLUMN('1-DATA'!O439)),ROUND(INDEX('1-DATA'!$1:$1048576,IF(OR($B441="STD. DEVIATION",$C$1=1),$A441,$A441+1),COLUMN('1-DATA'!O439)),IF($B441="STD. DEVIATION",2,$F$1))))</f>
        <v/>
      </c>
      <c r="Q441" s="1" t="str">
        <f>IF(OR($B441="",Q$7=""),"",IF($B441="MEANS",INDEX('1-DATA'!$1:$1048576,$A440-1,COLUMN('1-DATA'!P439)),ROUND(INDEX('1-DATA'!$1:$1048576,IF(OR($B441="STD. DEVIATION",$C$1=1),$A441,$A441+1),COLUMN('1-DATA'!P439)),IF($B441="STD. DEVIATION",2,$F$1))))</f>
        <v/>
      </c>
      <c r="R441" s="1" t="str">
        <f>IF(OR($B441="",R$7=""),"",IF($B441="MEANS",INDEX('1-DATA'!$1:$1048576,$A440-1,COLUMN('1-DATA'!Q439)),ROUND(INDEX('1-DATA'!$1:$1048576,IF(OR($B441="STD. DEVIATION",$C$1=1),$A441,$A441+1),COLUMN('1-DATA'!Q439)),IF($B441="STD. DEVIATION",2,$F$1))))</f>
        <v/>
      </c>
      <c r="S441" s="1" t="str">
        <f>IF(OR($B441="",S$7=""),"",IF($B441="MEANS",INDEX('1-DATA'!$1:$1048576,$A440-1,COLUMN('1-DATA'!R439)),ROUND(INDEX('1-DATA'!$1:$1048576,IF(OR($B441="STD. DEVIATION",$C$1=1),$A441,$A441+1),COLUMN('1-DATA'!R439)),IF($B441="STD. DEVIATION",2,$F$1))))</f>
        <v/>
      </c>
      <c r="T441" s="1" t="str">
        <f>IF(OR($B441="",T$7=""),"",IF($B441="MEANS",INDEX('1-DATA'!$1:$1048576,$A440-1,COLUMN('1-DATA'!S439)),ROUND(INDEX('1-DATA'!$1:$1048576,IF(OR($B441="STD. DEVIATION",$C$1=1),$A441,$A441+1),COLUMN('1-DATA'!S439)),IF($B441="STD. DEVIATION",2,$F$1))))</f>
        <v/>
      </c>
      <c r="U441" s="1" t="str">
        <f>IF(OR($B441="",U$7=""),"",IF($B441="MEANS",INDEX('1-DATA'!$1:$1048576,$A440-1,COLUMN('1-DATA'!T439)),ROUND(INDEX('1-DATA'!$1:$1048576,IF(OR($B441="STD. DEVIATION",$C$1=1),$A441,$A441+1),COLUMN('1-DATA'!T439)),IF($B441="STD. DEVIATION",2,$F$1))))</f>
        <v/>
      </c>
      <c r="V441" s="1" t="str">
        <f>IF(OR($B441="",V$7=""),"",IF($B441="MEANS",INDEX('1-DATA'!$1:$1048576,$A440-1,COLUMN('1-DATA'!U439)),ROUND(INDEX('1-DATA'!$1:$1048576,IF(OR($B441="STD. DEVIATION",$C$1=1),$A441,$A441+1),COLUMN('1-DATA'!U439)),IF($B441="STD. DEVIATION",2,$F$1))))</f>
        <v/>
      </c>
      <c r="W441" s="1" t="str">
        <f>IF(OR($B441="",W$7=""),"",IF($B441="MEANS",INDEX('1-DATA'!$1:$1048576,$A440-1,COLUMN('1-DATA'!V439)),ROUND(INDEX('1-DATA'!$1:$1048576,IF(OR($B441="STD. DEVIATION",$C$1=1),$A441,$A441+1),COLUMN('1-DATA'!V439)),IF($B441="STD. DEVIATION",2,$F$1))))</f>
        <v/>
      </c>
      <c r="X441" s="1" t="str">
        <f>IF(OR($B441="",X$7=""),"",IF($B441="MEANS",INDEX('1-DATA'!$1:$1048576,$A440-1,COLUMN('1-DATA'!W439)),ROUND(INDEX('1-DATA'!$1:$1048576,IF(OR($B441="STD. DEVIATION",$C$1=1),$A441,$A441+1),COLUMN('1-DATA'!W439)),IF($B441="STD. DEVIATION",2,$F$1))))</f>
        <v/>
      </c>
      <c r="Y441" s="1" t="str">
        <f>IF(OR($B441="",Y$7=""),"",IF($B441="MEANS",INDEX('1-DATA'!$1:$1048576,$A440-1,COLUMN('1-DATA'!X439)),ROUND(INDEX('1-DATA'!$1:$1048576,IF(OR($B441="STD. DEVIATION",$C$1=1),$A441,$A441+1),COLUMN('1-DATA'!X439)),IF($B441="STD. DEVIATION",2,$F$1))))</f>
        <v/>
      </c>
      <c r="Z441" s="1" t="str">
        <f>IF(OR($B441="",Z$7=""),"",IF($B441="MEANS",INDEX('1-DATA'!$1:$1048576,$A440-1,COLUMN('1-DATA'!Y439)),ROUND(INDEX('1-DATA'!$1:$1048576,IF(OR($B441="STD. DEVIATION",$C$1=1),$A441,$A441+1),COLUMN('1-DATA'!Y439)),IF($B441="STD. DEVIATION",2,$F$1))))</f>
        <v/>
      </c>
      <c r="AA441" s="1" t="str">
        <f>IF(OR($B441="",AA$7=""),"",IF($B441="MEANS",INDEX('1-DATA'!$1:$1048576,$A440-1,COLUMN('1-DATA'!Z439)),ROUND(INDEX('1-DATA'!$1:$1048576,IF(OR($B441="STD. DEVIATION",$C$1=1),$A441,$A441+1),COLUMN('1-DATA'!Z439)),IF($B441="STD. DEVIATION",2,$F$1))))</f>
        <v/>
      </c>
      <c r="AB441" s="1" t="str">
        <f>IF(OR($B441="",AB$7=""),"",IF($B441="MEANS",INDEX('1-DATA'!$1:$1048576,$A440-1,COLUMN('1-DATA'!AA439)),ROUND(INDEX('1-DATA'!$1:$1048576,IF(OR($B441="STD. DEVIATION",$C$1=1),$A441,$A441+1),COLUMN('1-DATA'!AA439)),IF($B441="STD. DEVIATION",2,$F$1))))</f>
        <v/>
      </c>
      <c r="AC441" s="1" t="str">
        <f>IF(OR($B441="",AC$7=""),"",IF($B441="MEANS",INDEX('1-DATA'!$1:$1048576,$A440-1,COLUMN('1-DATA'!AB439)),ROUND(INDEX('1-DATA'!$1:$1048576,IF(OR($B441="STD. DEVIATION",$C$1=1),$A441,$A441+1),COLUMN('1-DATA'!AB439)),IF($B441="STD. DEVIATION",2,$F$1))))</f>
        <v/>
      </c>
      <c r="AD441" s="1" t="str">
        <f>IF(OR($B441="",AD$7=""),"",IF($B441="MEANS",INDEX('1-DATA'!$1:$1048576,$A440-1,COLUMN('1-DATA'!AC439)),ROUND(INDEX('1-DATA'!$1:$1048576,IF(OR($B441="STD. DEVIATION",$C$1=1),$A441,$A441+1),COLUMN('1-DATA'!AC439)),IF($B441="STD. DEVIATION",2,$F$1))))</f>
        <v/>
      </c>
      <c r="AE441" s="1" t="str">
        <f>IF(OR($B441="",AE$7=""),"",IF($B441="MEANS",INDEX('1-DATA'!$1:$1048576,$A440-1,COLUMN('1-DATA'!AD439)),ROUND(INDEX('1-DATA'!$1:$1048576,IF(OR($B441="STD. DEVIATION",$C$1=1),$A441,$A441+1),COLUMN('1-DATA'!AD439)),IF($B441="STD. DEVIATION",2,$F$1))))</f>
        <v/>
      </c>
      <c r="AF441" s="1" t="str">
        <f>IF(OR($B441="",AF$7=""),"",IF($B441="MEANS",INDEX('1-DATA'!$1:$1048576,$A440-1,COLUMN('1-DATA'!AE439)),ROUND(INDEX('1-DATA'!$1:$1048576,IF(OR($B441="STD. DEVIATION",$C$1=1),$A441,$A441+1),COLUMN('1-DATA'!AE439)),IF($B441="STD. DEVIATION",2,$F$1))))</f>
        <v/>
      </c>
      <c r="AG441" s="1" t="str">
        <f>IF(OR($B441="",AG$7=""),"",IF($B441="MEANS",INDEX('1-DATA'!$1:$1048576,$A440-1,COLUMN('1-DATA'!AF439)),ROUND(INDEX('1-DATA'!$1:$1048576,IF(OR($B441="STD. DEVIATION",$C$1=1),$A441,$A441+1),COLUMN('1-DATA'!AF439)),IF($B441="STD. DEVIATION",2,$F$1))))</f>
        <v/>
      </c>
      <c r="AH441" s="1" t="str">
        <f>IF(OR($B441="",AH$7=""),"",IF($B441="MEANS",INDEX('1-DATA'!$1:$1048576,$A440-1,COLUMN('1-DATA'!AG439)),ROUND(INDEX('1-DATA'!$1:$1048576,IF(OR($B441="STD. DEVIATION",$C$1=1),$A441,$A441+1),COLUMN('1-DATA'!AG439)),IF($B441="STD. DEVIATION",2,$F$1))))</f>
        <v/>
      </c>
      <c r="AI441" s="1" t="str">
        <f>IF(OR($B441="",AI$7=""),"",IF($B441="MEANS",INDEX('1-DATA'!$1:$1048576,$A440-1,COLUMN('1-DATA'!AH439)),ROUND(INDEX('1-DATA'!$1:$1048576,IF(OR($B441="STD. DEVIATION",$C$1=1),$A441,$A441+1),COLUMN('1-DATA'!AH439)),IF($B441="STD. DEVIATION",2,$F$1))))</f>
        <v/>
      </c>
      <c r="AJ441" s="1" t="str">
        <f>IF(OR($B441="",AJ$7=""),"",IF($B441="MEANS",INDEX('1-DATA'!$1:$1048576,$A440-1,COLUMN('1-DATA'!AI439)),ROUND(INDEX('1-DATA'!$1:$1048576,IF(OR($B441="STD. DEVIATION",$C$1=1),$A441,$A441+1),COLUMN('1-DATA'!AI439)),IF($B441="STD. DEVIATION",2,$F$1))))</f>
        <v/>
      </c>
      <c r="AK441" s="1" t="str">
        <f>IF(OR($B441="",AK$7=""),"",IF($B441="MEANS",INDEX('1-DATA'!$1:$1048576,$A440-1,COLUMN('1-DATA'!AJ439)),ROUND(INDEX('1-DATA'!$1:$1048576,IF(OR($B441="STD. DEVIATION",$C$1=1),$A441,$A441+1),COLUMN('1-DATA'!AJ439)),IF($B441="STD. DEVIATION",2,$F$1))))</f>
        <v/>
      </c>
      <c r="AL441" s="1" t="str">
        <f>IF(OR($B441="",AL$7=""),"",IF($B441="MEANS",INDEX('1-DATA'!$1:$1048576,$A440-1,COLUMN('1-DATA'!AK439)),ROUND(INDEX('1-DATA'!$1:$1048576,IF(OR($B441="STD. DEVIATION",$C$1=1),$A441,$A441+1),COLUMN('1-DATA'!AK439)),IF($B441="STD. DEVIATION",2,$F$1))))</f>
        <v/>
      </c>
      <c r="AM441" s="1" t="str">
        <f>IF(OR($B441="",AM$7=""),"",IF($B441="MEANS",INDEX('1-DATA'!$1:$1048576,$A440-1,COLUMN('1-DATA'!AL439)),ROUND(INDEX('1-DATA'!$1:$1048576,IF(OR($B441="STD. DEVIATION",$C$1=1),$A441,$A441+1),COLUMN('1-DATA'!AL439)),IF($B441="STD. DEVIATION",2,$F$1))))</f>
        <v/>
      </c>
      <c r="AN441" s="1" t="str">
        <f>IF(OR($B441="",AN$7=""),"",IF($B441="MEANS",INDEX('1-DATA'!$1:$1048576,$A440-1,COLUMN('1-DATA'!AM439)),ROUND(INDEX('1-DATA'!$1:$1048576,IF(OR($B441="STD. DEVIATION",$C$1=1),$A441,$A441+1),COLUMN('1-DATA'!AM439)),IF($B441="STD. DEVIATION",2,$F$1))))</f>
        <v/>
      </c>
      <c r="AO441" s="1" t="str">
        <f>IF(OR($B441="",AO$7=""),"",IF($B441="MEANS",INDEX('1-DATA'!$1:$1048576,$A440-1,COLUMN('1-DATA'!AN439)),ROUND(INDEX('1-DATA'!$1:$1048576,IF(OR($B441="STD. DEVIATION",$C$1=1),$A441,$A441+1),COLUMN('1-DATA'!AN439)),IF($B441="STD. DEVIATION",2,$F$1))))</f>
        <v/>
      </c>
      <c r="AP441" s="1" t="str">
        <f>IF(OR($B441="",AP$7=""),"",IF($B441="MEANS",INDEX('1-DATA'!$1:$1048576,$A440-1,COLUMN('1-DATA'!AO439)),ROUND(INDEX('1-DATA'!$1:$1048576,IF(OR($B441="STD. DEVIATION",$C$1=1),$A441,$A441+1),COLUMN('1-DATA'!AO439)),IF($B441="STD. DEVIATION",2,$F$1))))</f>
        <v/>
      </c>
      <c r="AQ441" s="1" t="str">
        <f>IF(OR($B441="",AQ$7=""),"",IF($B441="MEANS",INDEX('1-DATA'!$1:$1048576,$A440-1,COLUMN('1-DATA'!AP439)),ROUND(INDEX('1-DATA'!$1:$1048576,IF(OR($B441="STD. DEVIATION",$C$1=1),$A441,$A441+1),COLUMN('1-DATA'!AP439)),IF($B441="STD. DEVIATION",2,$F$1))))</f>
        <v/>
      </c>
      <c r="AR441" s="1" t="str">
        <f>IF(OR($B441="",AR$7=""),"",IF($B441="MEANS",INDEX('1-DATA'!$1:$1048576,$A440-1,COLUMN('1-DATA'!AQ439)),ROUND(INDEX('1-DATA'!$1:$1048576,IF(OR($B441="STD. DEVIATION",$C$1=1),$A441,$A441+1),COLUMN('1-DATA'!AQ439)),IF($B441="STD. DEVIATION",2,$F$1))))</f>
        <v/>
      </c>
      <c r="AS441" s="1" t="str">
        <f>IF(OR($B441="",AS$7=""),"",IF($B441="MEANS",INDEX('1-DATA'!$1:$1048576,$A440-1,COLUMN('1-DATA'!AR439)),ROUND(INDEX('1-DATA'!$1:$1048576,IF(OR($B441="STD. DEVIATION",$C$1=1),$A441,$A441+1),COLUMN('1-DATA'!AR439)),IF($B441="STD. DEVIATION",2,$F$1))))</f>
        <v/>
      </c>
      <c r="AT441" s="1" t="str">
        <f>IF(OR($B441="",AT$7=""),"",IF($B441="MEANS",INDEX('1-DATA'!$1:$1048576,$A440-1,COLUMN('1-DATA'!AS439)),ROUND(INDEX('1-DATA'!$1:$1048576,IF(OR($B441="STD. DEVIATION",$C$1=1),$A441,$A441+1),COLUMN('1-DATA'!AS439)),IF($B441="STD. DEVIATION",2,$F$1))))</f>
        <v/>
      </c>
      <c r="AU441" s="1" t="str">
        <f>IF(OR($B441="",AU$7=""),"",IF($B441="MEANS",INDEX('1-DATA'!$1:$1048576,$A440-1,COLUMN('1-DATA'!AT439)),ROUND(INDEX('1-DATA'!$1:$1048576,IF(OR($B441="STD. DEVIATION",$C$1=1),$A441,$A441+1),COLUMN('1-DATA'!AT439)),IF($B441="STD. DEVIATION",2,$F$1))))</f>
        <v/>
      </c>
      <c r="AV441" s="1" t="str">
        <f>IF(OR($B441="",AV$7=""),"",IF($B441="MEANS",INDEX('1-DATA'!$1:$1048576,$A440-1,COLUMN('1-DATA'!AU439)),ROUND(INDEX('1-DATA'!$1:$1048576,IF(OR($B441="STD. DEVIATION",$C$1=1),$A441,$A441+1),COLUMN('1-DATA'!AU439)),IF($B441="STD. DEVIATION",2,$F$1))))</f>
        <v/>
      </c>
      <c r="AW441" s="1" t="str">
        <f>IF(OR($B441="",AW$7=""),"",IF($B441="MEANS",INDEX('1-DATA'!$1:$1048576,$A440-1,COLUMN('1-DATA'!AV439)),ROUND(INDEX('1-DATA'!$1:$1048576,IF(OR($B441="STD. DEVIATION",$C$1=1),$A441,$A441+1),COLUMN('1-DATA'!AV439)),IF($B441="STD. DEVIATION",2,$F$1))))</f>
        <v/>
      </c>
      <c r="AX441" s="1" t="str">
        <f>IF(OR($B441="",AX$7=""),"",IF($B441="MEANS",INDEX('1-DATA'!$1:$1048576,$A440-1,COLUMN('1-DATA'!AW439)),ROUND(INDEX('1-DATA'!$1:$1048576,IF(OR($B441="STD. DEVIATION",$C$1=1),$A441,$A441+1),COLUMN('1-DATA'!AW439)),IF($B441="STD. DEVIATION",2,$F$1))))</f>
        <v/>
      </c>
      <c r="AY441" s="1" t="str">
        <f>IF(OR($B441="",AY$7=""),"",IF($B441="MEANS",INDEX('1-DATA'!$1:$1048576,$A440-1,COLUMN('1-DATA'!AX439)),ROUND(INDEX('1-DATA'!$1:$1048576,IF(OR($B441="STD. DEVIATION",$C$1=1),$A441,$A441+1),COLUMN('1-DATA'!AX439)),IF($B441="STD. DEVIATION",2,$F$1))))</f>
        <v/>
      </c>
      <c r="AZ441" s="1" t="str">
        <f>IF(OR($B441="",AZ$7=""),"",IF($B441="MEANS",INDEX('1-DATA'!$1:$1048576,$A440-1,COLUMN('1-DATA'!AY439)),ROUND(INDEX('1-DATA'!$1:$1048576,IF(OR($B441="STD. DEVIATION",$C$1=1),$A441,$A441+1),COLUMN('1-DATA'!AY439)),IF($B441="STD. DEVIATION",2,$F$1))))</f>
        <v/>
      </c>
    </row>
    <row r="442" spans="1:52" x14ac:dyDescent="0.25">
      <c r="A442" s="11">
        <f t="shared" si="7"/>
        <v>1312</v>
      </c>
      <c r="B442" s="1" t="str">
        <f>IF(B441="STD. DEVIATION",INDEX('1-DATA'!$1:$1048576,$A441-1,1),IF(INDEX('1-DATA'!$1:$1048576,$A442,1)&lt;&gt;"",INDEX('1-DATA'!$1:$1048576,$A442,1),""))</f>
        <v/>
      </c>
      <c r="C442" s="1" t="str">
        <f>IF(OR($B442="",C$7=""),"",IF($B442="MEANS",INDEX('1-DATA'!$1:$1048576,$A441-1,COLUMN('1-DATA'!B440)),ROUND(INDEX('1-DATA'!$1:$1048576,IF(OR($B442="STD. DEVIATION",$C$1=1),$A442,$A442+1),COLUMN('1-DATA'!B440)),IF($B442="STD. DEVIATION",2,$F$1))))</f>
        <v/>
      </c>
      <c r="D442" s="1" t="str">
        <f>IF(OR($B442="",D$7=""),"",IF($B442="MEANS",INDEX('1-DATA'!$1:$1048576,$A441-1,COLUMN('1-DATA'!C440)),ROUND(INDEX('1-DATA'!$1:$1048576,IF(OR($B442="STD. DEVIATION",$C$1=1),$A442,$A442+1),COLUMN('1-DATA'!C440)),IF($B442="STD. DEVIATION",2,$F$1))))</f>
        <v/>
      </c>
      <c r="E442" s="1" t="str">
        <f>IF(OR($B442="",E$7=""),"",IF($B442="MEANS",INDEX('1-DATA'!$1:$1048576,$A441-1,COLUMN('1-DATA'!D440)),ROUND(INDEX('1-DATA'!$1:$1048576,IF(OR($B442="STD. DEVIATION",$C$1=1),$A442,$A442+1),COLUMN('1-DATA'!D440)),IF($B442="STD. DEVIATION",2,$F$1))))</f>
        <v/>
      </c>
      <c r="F442" s="1" t="str">
        <f>IF(OR($B442="",F$7=""),"",IF($B442="MEANS",INDEX('1-DATA'!$1:$1048576,$A441-1,COLUMN('1-DATA'!E440)),ROUND(INDEX('1-DATA'!$1:$1048576,IF(OR($B442="STD. DEVIATION",$C$1=1),$A442,$A442+1),COLUMN('1-DATA'!E440)),IF($B442="STD. DEVIATION",2,$F$1))))</f>
        <v/>
      </c>
      <c r="G442" s="1" t="str">
        <f>IF(OR($B442="",G$7=""),"",IF($B442="MEANS",INDEX('1-DATA'!$1:$1048576,$A441-1,COLUMN('1-DATA'!F440)),ROUND(INDEX('1-DATA'!$1:$1048576,IF(OR($B442="STD. DEVIATION",$C$1=1),$A442,$A442+1),COLUMN('1-DATA'!F440)),IF($B442="STD. DEVIATION",2,$F$1))))</f>
        <v/>
      </c>
      <c r="H442" s="1" t="str">
        <f>IF(OR($B442="",H$7=""),"",IF($B442="MEANS",INDEX('1-DATA'!$1:$1048576,$A441-1,COLUMN('1-DATA'!G440)),ROUND(INDEX('1-DATA'!$1:$1048576,IF(OR($B442="STD. DEVIATION",$C$1=1),$A442,$A442+1),COLUMN('1-DATA'!G440)),IF($B442="STD. DEVIATION",2,$F$1))))</f>
        <v/>
      </c>
      <c r="I442" s="1" t="str">
        <f>IF(OR($B442="",I$7=""),"",IF($B442="MEANS",INDEX('1-DATA'!$1:$1048576,$A441-1,COLUMN('1-DATA'!H440)),ROUND(INDEX('1-DATA'!$1:$1048576,IF(OR($B442="STD. DEVIATION",$C$1=1),$A442,$A442+1),COLUMN('1-DATA'!H440)),IF($B442="STD. DEVIATION",2,$F$1))))</f>
        <v/>
      </c>
      <c r="J442" s="1" t="str">
        <f>IF(OR($B442="",J$7=""),"",IF($B442="MEANS",INDEX('1-DATA'!$1:$1048576,$A441-1,COLUMN('1-DATA'!I440)),ROUND(INDEX('1-DATA'!$1:$1048576,IF(OR($B442="STD. DEVIATION",$C$1=1),$A442,$A442+1),COLUMN('1-DATA'!I440)),IF($B442="STD. DEVIATION",2,$F$1))))</f>
        <v/>
      </c>
      <c r="K442" s="1" t="str">
        <f>IF(OR($B442="",K$7=""),"",IF($B442="MEANS",INDEX('1-DATA'!$1:$1048576,$A441-1,COLUMN('1-DATA'!J440)),ROUND(INDEX('1-DATA'!$1:$1048576,IF(OR($B442="STD. DEVIATION",$C$1=1),$A442,$A442+1),COLUMN('1-DATA'!J440)),IF($B442="STD. DEVIATION",2,$F$1))))</f>
        <v/>
      </c>
      <c r="L442" s="1" t="str">
        <f>IF(OR($B442="",L$7=""),"",IF($B442="MEANS",INDEX('1-DATA'!$1:$1048576,$A441-1,COLUMN('1-DATA'!K440)),ROUND(INDEX('1-DATA'!$1:$1048576,IF(OR($B442="STD. DEVIATION",$C$1=1),$A442,$A442+1),COLUMN('1-DATA'!K440)),IF($B442="STD. DEVIATION",2,$F$1))))</f>
        <v/>
      </c>
      <c r="M442" s="1" t="str">
        <f>IF(OR($B442="",M$7=""),"",IF($B442="MEANS",INDEX('1-DATA'!$1:$1048576,$A441-1,COLUMN('1-DATA'!L440)),ROUND(INDEX('1-DATA'!$1:$1048576,IF(OR($B442="STD. DEVIATION",$C$1=1),$A442,$A442+1),COLUMN('1-DATA'!L440)),IF($B442="STD. DEVIATION",2,$F$1))))</f>
        <v/>
      </c>
      <c r="N442" s="1" t="str">
        <f>IF(OR($B442="",N$7=""),"",IF($B442="MEANS",INDEX('1-DATA'!$1:$1048576,$A441-1,COLUMN('1-DATA'!M440)),ROUND(INDEX('1-DATA'!$1:$1048576,IF(OR($B442="STD. DEVIATION",$C$1=1),$A442,$A442+1),COLUMN('1-DATA'!M440)),IF($B442="STD. DEVIATION",2,$F$1))))</f>
        <v/>
      </c>
      <c r="O442" s="1" t="str">
        <f>IF(OR($B442="",O$7=""),"",IF($B442="MEANS",INDEX('1-DATA'!$1:$1048576,$A441-1,COLUMN('1-DATA'!N440)),ROUND(INDEX('1-DATA'!$1:$1048576,IF(OR($B442="STD. DEVIATION",$C$1=1),$A442,$A442+1),COLUMN('1-DATA'!N440)),IF($B442="STD. DEVIATION",2,$F$1))))</f>
        <v/>
      </c>
      <c r="P442" s="1" t="str">
        <f>IF(OR($B442="",P$7=""),"",IF($B442="MEANS",INDEX('1-DATA'!$1:$1048576,$A441-1,COLUMN('1-DATA'!O440)),ROUND(INDEX('1-DATA'!$1:$1048576,IF(OR($B442="STD. DEVIATION",$C$1=1),$A442,$A442+1),COLUMN('1-DATA'!O440)),IF($B442="STD. DEVIATION",2,$F$1))))</f>
        <v/>
      </c>
      <c r="Q442" s="1" t="str">
        <f>IF(OR($B442="",Q$7=""),"",IF($B442="MEANS",INDEX('1-DATA'!$1:$1048576,$A441-1,COLUMN('1-DATA'!P440)),ROUND(INDEX('1-DATA'!$1:$1048576,IF(OR($B442="STD. DEVIATION",$C$1=1),$A442,$A442+1),COLUMN('1-DATA'!P440)),IF($B442="STD. DEVIATION",2,$F$1))))</f>
        <v/>
      </c>
      <c r="R442" s="1" t="str">
        <f>IF(OR($B442="",R$7=""),"",IF($B442="MEANS",INDEX('1-DATA'!$1:$1048576,$A441-1,COLUMN('1-DATA'!Q440)),ROUND(INDEX('1-DATA'!$1:$1048576,IF(OR($B442="STD. DEVIATION",$C$1=1),$A442,$A442+1),COLUMN('1-DATA'!Q440)),IF($B442="STD. DEVIATION",2,$F$1))))</f>
        <v/>
      </c>
      <c r="S442" s="1" t="str">
        <f>IF(OR($B442="",S$7=""),"",IF($B442="MEANS",INDEX('1-DATA'!$1:$1048576,$A441-1,COLUMN('1-DATA'!R440)),ROUND(INDEX('1-DATA'!$1:$1048576,IF(OR($B442="STD. DEVIATION",$C$1=1),$A442,$A442+1),COLUMN('1-DATA'!R440)),IF($B442="STD. DEVIATION",2,$F$1))))</f>
        <v/>
      </c>
      <c r="T442" s="1" t="str">
        <f>IF(OR($B442="",T$7=""),"",IF($B442="MEANS",INDEX('1-DATA'!$1:$1048576,$A441-1,COLUMN('1-DATA'!S440)),ROUND(INDEX('1-DATA'!$1:$1048576,IF(OR($B442="STD. DEVIATION",$C$1=1),$A442,$A442+1),COLUMN('1-DATA'!S440)),IF($B442="STD. DEVIATION",2,$F$1))))</f>
        <v/>
      </c>
      <c r="U442" s="1" t="str">
        <f>IF(OR($B442="",U$7=""),"",IF($B442="MEANS",INDEX('1-DATA'!$1:$1048576,$A441-1,COLUMN('1-DATA'!T440)),ROUND(INDEX('1-DATA'!$1:$1048576,IF(OR($B442="STD. DEVIATION",$C$1=1),$A442,$A442+1),COLUMN('1-DATA'!T440)),IF($B442="STD. DEVIATION",2,$F$1))))</f>
        <v/>
      </c>
      <c r="V442" s="1" t="str">
        <f>IF(OR($B442="",V$7=""),"",IF($B442="MEANS",INDEX('1-DATA'!$1:$1048576,$A441-1,COLUMN('1-DATA'!U440)),ROUND(INDEX('1-DATA'!$1:$1048576,IF(OR($B442="STD. DEVIATION",$C$1=1),$A442,$A442+1),COLUMN('1-DATA'!U440)),IF($B442="STD. DEVIATION",2,$F$1))))</f>
        <v/>
      </c>
      <c r="W442" s="1" t="str">
        <f>IF(OR($B442="",W$7=""),"",IF($B442="MEANS",INDEX('1-DATA'!$1:$1048576,$A441-1,COLUMN('1-DATA'!V440)),ROUND(INDEX('1-DATA'!$1:$1048576,IF(OR($B442="STD. DEVIATION",$C$1=1),$A442,$A442+1),COLUMN('1-DATA'!V440)),IF($B442="STD. DEVIATION",2,$F$1))))</f>
        <v/>
      </c>
      <c r="X442" s="1" t="str">
        <f>IF(OR($B442="",X$7=""),"",IF($B442="MEANS",INDEX('1-DATA'!$1:$1048576,$A441-1,COLUMN('1-DATA'!W440)),ROUND(INDEX('1-DATA'!$1:$1048576,IF(OR($B442="STD. DEVIATION",$C$1=1),$A442,$A442+1),COLUMN('1-DATA'!W440)),IF($B442="STD. DEVIATION",2,$F$1))))</f>
        <v/>
      </c>
      <c r="Y442" s="1" t="str">
        <f>IF(OR($B442="",Y$7=""),"",IF($B442="MEANS",INDEX('1-DATA'!$1:$1048576,$A441-1,COLUMN('1-DATA'!X440)),ROUND(INDEX('1-DATA'!$1:$1048576,IF(OR($B442="STD. DEVIATION",$C$1=1),$A442,$A442+1),COLUMN('1-DATA'!X440)),IF($B442="STD. DEVIATION",2,$F$1))))</f>
        <v/>
      </c>
      <c r="Z442" s="1" t="str">
        <f>IF(OR($B442="",Z$7=""),"",IF($B442="MEANS",INDEX('1-DATA'!$1:$1048576,$A441-1,COLUMN('1-DATA'!Y440)),ROUND(INDEX('1-DATA'!$1:$1048576,IF(OR($B442="STD. DEVIATION",$C$1=1),$A442,$A442+1),COLUMN('1-DATA'!Y440)),IF($B442="STD. DEVIATION",2,$F$1))))</f>
        <v/>
      </c>
      <c r="AA442" s="1" t="str">
        <f>IF(OR($B442="",AA$7=""),"",IF($B442="MEANS",INDEX('1-DATA'!$1:$1048576,$A441-1,COLUMN('1-DATA'!Z440)),ROUND(INDEX('1-DATA'!$1:$1048576,IF(OR($B442="STD. DEVIATION",$C$1=1),$A442,$A442+1),COLUMN('1-DATA'!Z440)),IF($B442="STD. DEVIATION",2,$F$1))))</f>
        <v/>
      </c>
      <c r="AB442" s="1" t="str">
        <f>IF(OR($B442="",AB$7=""),"",IF($B442="MEANS",INDEX('1-DATA'!$1:$1048576,$A441-1,COLUMN('1-DATA'!AA440)),ROUND(INDEX('1-DATA'!$1:$1048576,IF(OR($B442="STD. DEVIATION",$C$1=1),$A442,$A442+1),COLUMN('1-DATA'!AA440)),IF($B442="STD. DEVIATION",2,$F$1))))</f>
        <v/>
      </c>
      <c r="AC442" s="1" t="str">
        <f>IF(OR($B442="",AC$7=""),"",IF($B442="MEANS",INDEX('1-DATA'!$1:$1048576,$A441-1,COLUMN('1-DATA'!AB440)),ROUND(INDEX('1-DATA'!$1:$1048576,IF(OR($B442="STD. DEVIATION",$C$1=1),$A442,$A442+1),COLUMN('1-DATA'!AB440)),IF($B442="STD. DEVIATION",2,$F$1))))</f>
        <v/>
      </c>
      <c r="AD442" s="1" t="str">
        <f>IF(OR($B442="",AD$7=""),"",IF($B442="MEANS",INDEX('1-DATA'!$1:$1048576,$A441-1,COLUMN('1-DATA'!AC440)),ROUND(INDEX('1-DATA'!$1:$1048576,IF(OR($B442="STD. DEVIATION",$C$1=1),$A442,$A442+1),COLUMN('1-DATA'!AC440)),IF($B442="STD. DEVIATION",2,$F$1))))</f>
        <v/>
      </c>
      <c r="AE442" s="1" t="str">
        <f>IF(OR($B442="",AE$7=""),"",IF($B442="MEANS",INDEX('1-DATA'!$1:$1048576,$A441-1,COLUMN('1-DATA'!AD440)),ROUND(INDEX('1-DATA'!$1:$1048576,IF(OR($B442="STD. DEVIATION",$C$1=1),$A442,$A442+1),COLUMN('1-DATA'!AD440)),IF($B442="STD. DEVIATION",2,$F$1))))</f>
        <v/>
      </c>
      <c r="AF442" s="1" t="str">
        <f>IF(OR($B442="",AF$7=""),"",IF($B442="MEANS",INDEX('1-DATA'!$1:$1048576,$A441-1,COLUMN('1-DATA'!AE440)),ROUND(INDEX('1-DATA'!$1:$1048576,IF(OR($B442="STD. DEVIATION",$C$1=1),$A442,$A442+1),COLUMN('1-DATA'!AE440)),IF($B442="STD. DEVIATION",2,$F$1))))</f>
        <v/>
      </c>
      <c r="AG442" s="1" t="str">
        <f>IF(OR($B442="",AG$7=""),"",IF($B442="MEANS",INDEX('1-DATA'!$1:$1048576,$A441-1,COLUMN('1-DATA'!AF440)),ROUND(INDEX('1-DATA'!$1:$1048576,IF(OR($B442="STD. DEVIATION",$C$1=1),$A442,$A442+1),COLUMN('1-DATA'!AF440)),IF($B442="STD. DEVIATION",2,$F$1))))</f>
        <v/>
      </c>
      <c r="AH442" s="1" t="str">
        <f>IF(OR($B442="",AH$7=""),"",IF($B442="MEANS",INDEX('1-DATA'!$1:$1048576,$A441-1,COLUMN('1-DATA'!AG440)),ROUND(INDEX('1-DATA'!$1:$1048576,IF(OR($B442="STD. DEVIATION",$C$1=1),$A442,$A442+1),COLUMN('1-DATA'!AG440)),IF($B442="STD. DEVIATION",2,$F$1))))</f>
        <v/>
      </c>
      <c r="AI442" s="1" t="str">
        <f>IF(OR($B442="",AI$7=""),"",IF($B442="MEANS",INDEX('1-DATA'!$1:$1048576,$A441-1,COLUMN('1-DATA'!AH440)),ROUND(INDEX('1-DATA'!$1:$1048576,IF(OR($B442="STD. DEVIATION",$C$1=1),$A442,$A442+1),COLUMN('1-DATA'!AH440)),IF($B442="STD. DEVIATION",2,$F$1))))</f>
        <v/>
      </c>
      <c r="AJ442" s="1" t="str">
        <f>IF(OR($B442="",AJ$7=""),"",IF($B442="MEANS",INDEX('1-DATA'!$1:$1048576,$A441-1,COLUMN('1-DATA'!AI440)),ROUND(INDEX('1-DATA'!$1:$1048576,IF(OR($B442="STD. DEVIATION",$C$1=1),$A442,$A442+1),COLUMN('1-DATA'!AI440)),IF($B442="STD. DEVIATION",2,$F$1))))</f>
        <v/>
      </c>
      <c r="AK442" s="1" t="str">
        <f>IF(OR($B442="",AK$7=""),"",IF($B442="MEANS",INDEX('1-DATA'!$1:$1048576,$A441-1,COLUMN('1-DATA'!AJ440)),ROUND(INDEX('1-DATA'!$1:$1048576,IF(OR($B442="STD. DEVIATION",$C$1=1),$A442,$A442+1),COLUMN('1-DATA'!AJ440)),IF($B442="STD. DEVIATION",2,$F$1))))</f>
        <v/>
      </c>
      <c r="AL442" s="1" t="str">
        <f>IF(OR($B442="",AL$7=""),"",IF($B442="MEANS",INDEX('1-DATA'!$1:$1048576,$A441-1,COLUMN('1-DATA'!AK440)),ROUND(INDEX('1-DATA'!$1:$1048576,IF(OR($B442="STD. DEVIATION",$C$1=1),$A442,$A442+1),COLUMN('1-DATA'!AK440)),IF($B442="STD. DEVIATION",2,$F$1))))</f>
        <v/>
      </c>
      <c r="AM442" s="1" t="str">
        <f>IF(OR($B442="",AM$7=""),"",IF($B442="MEANS",INDEX('1-DATA'!$1:$1048576,$A441-1,COLUMN('1-DATA'!AL440)),ROUND(INDEX('1-DATA'!$1:$1048576,IF(OR($B442="STD. DEVIATION",$C$1=1),$A442,$A442+1),COLUMN('1-DATA'!AL440)),IF($B442="STD. DEVIATION",2,$F$1))))</f>
        <v/>
      </c>
      <c r="AN442" s="1" t="str">
        <f>IF(OR($B442="",AN$7=""),"",IF($B442="MEANS",INDEX('1-DATA'!$1:$1048576,$A441-1,COLUMN('1-DATA'!AM440)),ROUND(INDEX('1-DATA'!$1:$1048576,IF(OR($B442="STD. DEVIATION",$C$1=1),$A442,$A442+1),COLUMN('1-DATA'!AM440)),IF($B442="STD. DEVIATION",2,$F$1))))</f>
        <v/>
      </c>
      <c r="AO442" s="1" t="str">
        <f>IF(OR($B442="",AO$7=""),"",IF($B442="MEANS",INDEX('1-DATA'!$1:$1048576,$A441-1,COLUMN('1-DATA'!AN440)),ROUND(INDEX('1-DATA'!$1:$1048576,IF(OR($B442="STD. DEVIATION",$C$1=1),$A442,$A442+1),COLUMN('1-DATA'!AN440)),IF($B442="STD. DEVIATION",2,$F$1))))</f>
        <v/>
      </c>
      <c r="AP442" s="1" t="str">
        <f>IF(OR($B442="",AP$7=""),"",IF($B442="MEANS",INDEX('1-DATA'!$1:$1048576,$A441-1,COLUMN('1-DATA'!AO440)),ROUND(INDEX('1-DATA'!$1:$1048576,IF(OR($B442="STD. DEVIATION",$C$1=1),$A442,$A442+1),COLUMN('1-DATA'!AO440)),IF($B442="STD. DEVIATION",2,$F$1))))</f>
        <v/>
      </c>
      <c r="AQ442" s="1" t="str">
        <f>IF(OR($B442="",AQ$7=""),"",IF($B442="MEANS",INDEX('1-DATA'!$1:$1048576,$A441-1,COLUMN('1-DATA'!AP440)),ROUND(INDEX('1-DATA'!$1:$1048576,IF(OR($B442="STD. DEVIATION",$C$1=1),$A442,$A442+1),COLUMN('1-DATA'!AP440)),IF($B442="STD. DEVIATION",2,$F$1))))</f>
        <v/>
      </c>
      <c r="AR442" s="1" t="str">
        <f>IF(OR($B442="",AR$7=""),"",IF($B442="MEANS",INDEX('1-DATA'!$1:$1048576,$A441-1,COLUMN('1-DATA'!AQ440)),ROUND(INDEX('1-DATA'!$1:$1048576,IF(OR($B442="STD. DEVIATION",$C$1=1),$A442,$A442+1),COLUMN('1-DATA'!AQ440)),IF($B442="STD. DEVIATION",2,$F$1))))</f>
        <v/>
      </c>
      <c r="AS442" s="1" t="str">
        <f>IF(OR($B442="",AS$7=""),"",IF($B442="MEANS",INDEX('1-DATA'!$1:$1048576,$A441-1,COLUMN('1-DATA'!AR440)),ROUND(INDEX('1-DATA'!$1:$1048576,IF(OR($B442="STD. DEVIATION",$C$1=1),$A442,$A442+1),COLUMN('1-DATA'!AR440)),IF($B442="STD. DEVIATION",2,$F$1))))</f>
        <v/>
      </c>
      <c r="AT442" s="1" t="str">
        <f>IF(OR($B442="",AT$7=""),"",IF($B442="MEANS",INDEX('1-DATA'!$1:$1048576,$A441-1,COLUMN('1-DATA'!AS440)),ROUND(INDEX('1-DATA'!$1:$1048576,IF(OR($B442="STD. DEVIATION",$C$1=1),$A442,$A442+1),COLUMN('1-DATA'!AS440)),IF($B442="STD. DEVIATION",2,$F$1))))</f>
        <v/>
      </c>
      <c r="AU442" s="1" t="str">
        <f>IF(OR($B442="",AU$7=""),"",IF($B442="MEANS",INDEX('1-DATA'!$1:$1048576,$A441-1,COLUMN('1-DATA'!AT440)),ROUND(INDEX('1-DATA'!$1:$1048576,IF(OR($B442="STD. DEVIATION",$C$1=1),$A442,$A442+1),COLUMN('1-DATA'!AT440)),IF($B442="STD. DEVIATION",2,$F$1))))</f>
        <v/>
      </c>
      <c r="AV442" s="1" t="str">
        <f>IF(OR($B442="",AV$7=""),"",IF($B442="MEANS",INDEX('1-DATA'!$1:$1048576,$A441-1,COLUMN('1-DATA'!AU440)),ROUND(INDEX('1-DATA'!$1:$1048576,IF(OR($B442="STD. DEVIATION",$C$1=1),$A442,$A442+1),COLUMN('1-DATA'!AU440)),IF($B442="STD. DEVIATION",2,$F$1))))</f>
        <v/>
      </c>
      <c r="AW442" s="1" t="str">
        <f>IF(OR($B442="",AW$7=""),"",IF($B442="MEANS",INDEX('1-DATA'!$1:$1048576,$A441-1,COLUMN('1-DATA'!AV440)),ROUND(INDEX('1-DATA'!$1:$1048576,IF(OR($B442="STD. DEVIATION",$C$1=1),$A442,$A442+1),COLUMN('1-DATA'!AV440)),IF($B442="STD. DEVIATION",2,$F$1))))</f>
        <v/>
      </c>
      <c r="AX442" s="1" t="str">
        <f>IF(OR($B442="",AX$7=""),"",IF($B442="MEANS",INDEX('1-DATA'!$1:$1048576,$A441-1,COLUMN('1-DATA'!AW440)),ROUND(INDEX('1-DATA'!$1:$1048576,IF(OR($B442="STD. DEVIATION",$C$1=1),$A442,$A442+1),COLUMN('1-DATA'!AW440)),IF($B442="STD. DEVIATION",2,$F$1))))</f>
        <v/>
      </c>
      <c r="AY442" s="1" t="str">
        <f>IF(OR($B442="",AY$7=""),"",IF($B442="MEANS",INDEX('1-DATA'!$1:$1048576,$A441-1,COLUMN('1-DATA'!AX440)),ROUND(INDEX('1-DATA'!$1:$1048576,IF(OR($B442="STD. DEVIATION",$C$1=1),$A442,$A442+1),COLUMN('1-DATA'!AX440)),IF($B442="STD. DEVIATION",2,$F$1))))</f>
        <v/>
      </c>
      <c r="AZ442" s="1" t="str">
        <f>IF(OR($B442="",AZ$7=""),"",IF($B442="MEANS",INDEX('1-DATA'!$1:$1048576,$A441-1,COLUMN('1-DATA'!AY440)),ROUND(INDEX('1-DATA'!$1:$1048576,IF(OR($B442="STD. DEVIATION",$C$1=1),$A442,$A442+1),COLUMN('1-DATA'!AY440)),IF($B442="STD. DEVIATION",2,$F$1))))</f>
        <v/>
      </c>
    </row>
    <row r="443" spans="1:52" x14ac:dyDescent="0.25">
      <c r="A443" s="11">
        <f t="shared" si="7"/>
        <v>1315</v>
      </c>
      <c r="B443" s="1" t="str">
        <f>IF(B442="STD. DEVIATION",INDEX('1-DATA'!$1:$1048576,$A442-1,1),IF(INDEX('1-DATA'!$1:$1048576,$A443,1)&lt;&gt;"",INDEX('1-DATA'!$1:$1048576,$A443,1),""))</f>
        <v/>
      </c>
      <c r="C443" s="1" t="str">
        <f>IF(OR($B443="",C$7=""),"",IF($B443="MEANS",INDEX('1-DATA'!$1:$1048576,$A442-1,COLUMN('1-DATA'!B441)),ROUND(INDEX('1-DATA'!$1:$1048576,IF(OR($B443="STD. DEVIATION",$C$1=1),$A443,$A443+1),COLUMN('1-DATA'!B441)),IF($B443="STD. DEVIATION",2,$F$1))))</f>
        <v/>
      </c>
      <c r="D443" s="1" t="str">
        <f>IF(OR($B443="",D$7=""),"",IF($B443="MEANS",INDEX('1-DATA'!$1:$1048576,$A442-1,COLUMN('1-DATA'!C441)),ROUND(INDEX('1-DATA'!$1:$1048576,IF(OR($B443="STD. DEVIATION",$C$1=1),$A443,$A443+1),COLUMN('1-DATA'!C441)),IF($B443="STD. DEVIATION",2,$F$1))))</f>
        <v/>
      </c>
      <c r="E443" s="1" t="str">
        <f>IF(OR($B443="",E$7=""),"",IF($B443="MEANS",INDEX('1-DATA'!$1:$1048576,$A442-1,COLUMN('1-DATA'!D441)),ROUND(INDEX('1-DATA'!$1:$1048576,IF(OR($B443="STD. DEVIATION",$C$1=1),$A443,$A443+1),COLUMN('1-DATA'!D441)),IF($B443="STD. DEVIATION",2,$F$1))))</f>
        <v/>
      </c>
      <c r="F443" s="1" t="str">
        <f>IF(OR($B443="",F$7=""),"",IF($B443="MEANS",INDEX('1-DATA'!$1:$1048576,$A442-1,COLUMN('1-DATA'!E441)),ROUND(INDEX('1-DATA'!$1:$1048576,IF(OR($B443="STD. DEVIATION",$C$1=1),$A443,$A443+1),COLUMN('1-DATA'!E441)),IF($B443="STD. DEVIATION",2,$F$1))))</f>
        <v/>
      </c>
      <c r="G443" s="1" t="str">
        <f>IF(OR($B443="",G$7=""),"",IF($B443="MEANS",INDEX('1-DATA'!$1:$1048576,$A442-1,COLUMN('1-DATA'!F441)),ROUND(INDEX('1-DATA'!$1:$1048576,IF(OR($B443="STD. DEVIATION",$C$1=1),$A443,$A443+1),COLUMN('1-DATA'!F441)),IF($B443="STD. DEVIATION",2,$F$1))))</f>
        <v/>
      </c>
      <c r="H443" s="1" t="str">
        <f>IF(OR($B443="",H$7=""),"",IF($B443="MEANS",INDEX('1-DATA'!$1:$1048576,$A442-1,COLUMN('1-DATA'!G441)),ROUND(INDEX('1-DATA'!$1:$1048576,IF(OR($B443="STD. DEVIATION",$C$1=1),$A443,$A443+1),COLUMN('1-DATA'!G441)),IF($B443="STD. DEVIATION",2,$F$1))))</f>
        <v/>
      </c>
      <c r="I443" s="1" t="str">
        <f>IF(OR($B443="",I$7=""),"",IF($B443="MEANS",INDEX('1-DATA'!$1:$1048576,$A442-1,COLUMN('1-DATA'!H441)),ROUND(INDEX('1-DATA'!$1:$1048576,IF(OR($B443="STD. DEVIATION",$C$1=1),$A443,$A443+1),COLUMN('1-DATA'!H441)),IF($B443="STD. DEVIATION",2,$F$1))))</f>
        <v/>
      </c>
      <c r="J443" s="1" t="str">
        <f>IF(OR($B443="",J$7=""),"",IF($B443="MEANS",INDEX('1-DATA'!$1:$1048576,$A442-1,COLUMN('1-DATA'!I441)),ROUND(INDEX('1-DATA'!$1:$1048576,IF(OR($B443="STD. DEVIATION",$C$1=1),$A443,$A443+1),COLUMN('1-DATA'!I441)),IF($B443="STD. DEVIATION",2,$F$1))))</f>
        <v/>
      </c>
      <c r="K443" s="1" t="str">
        <f>IF(OR($B443="",K$7=""),"",IF($B443="MEANS",INDEX('1-DATA'!$1:$1048576,$A442-1,COLUMN('1-DATA'!J441)),ROUND(INDEX('1-DATA'!$1:$1048576,IF(OR($B443="STD. DEVIATION",$C$1=1),$A443,$A443+1),COLUMN('1-DATA'!J441)),IF($B443="STD. DEVIATION",2,$F$1))))</f>
        <v/>
      </c>
      <c r="L443" s="1" t="str">
        <f>IF(OR($B443="",L$7=""),"",IF($B443="MEANS",INDEX('1-DATA'!$1:$1048576,$A442-1,COLUMN('1-DATA'!K441)),ROUND(INDEX('1-DATA'!$1:$1048576,IF(OR($B443="STD. DEVIATION",$C$1=1),$A443,$A443+1),COLUMN('1-DATA'!K441)),IF($B443="STD. DEVIATION",2,$F$1))))</f>
        <v/>
      </c>
      <c r="M443" s="1" t="str">
        <f>IF(OR($B443="",M$7=""),"",IF($B443="MEANS",INDEX('1-DATA'!$1:$1048576,$A442-1,COLUMN('1-DATA'!L441)),ROUND(INDEX('1-DATA'!$1:$1048576,IF(OR($B443="STD. DEVIATION",$C$1=1),$A443,$A443+1),COLUMN('1-DATA'!L441)),IF($B443="STD. DEVIATION",2,$F$1))))</f>
        <v/>
      </c>
      <c r="N443" s="1" t="str">
        <f>IF(OR($B443="",N$7=""),"",IF($B443="MEANS",INDEX('1-DATA'!$1:$1048576,$A442-1,COLUMN('1-DATA'!M441)),ROUND(INDEX('1-DATA'!$1:$1048576,IF(OR($B443="STD. DEVIATION",$C$1=1),$A443,$A443+1),COLUMN('1-DATA'!M441)),IF($B443="STD. DEVIATION",2,$F$1))))</f>
        <v/>
      </c>
      <c r="O443" s="1" t="str">
        <f>IF(OR($B443="",O$7=""),"",IF($B443="MEANS",INDEX('1-DATA'!$1:$1048576,$A442-1,COLUMN('1-DATA'!N441)),ROUND(INDEX('1-DATA'!$1:$1048576,IF(OR($B443="STD. DEVIATION",$C$1=1),$A443,$A443+1),COLUMN('1-DATA'!N441)),IF($B443="STD. DEVIATION",2,$F$1))))</f>
        <v/>
      </c>
      <c r="P443" s="1" t="str">
        <f>IF(OR($B443="",P$7=""),"",IF($B443="MEANS",INDEX('1-DATA'!$1:$1048576,$A442-1,COLUMN('1-DATA'!O441)),ROUND(INDEX('1-DATA'!$1:$1048576,IF(OR($B443="STD. DEVIATION",$C$1=1),$A443,$A443+1),COLUMN('1-DATA'!O441)),IF($B443="STD. DEVIATION",2,$F$1))))</f>
        <v/>
      </c>
      <c r="Q443" s="1" t="str">
        <f>IF(OR($B443="",Q$7=""),"",IF($B443="MEANS",INDEX('1-DATA'!$1:$1048576,$A442-1,COLUMN('1-DATA'!P441)),ROUND(INDEX('1-DATA'!$1:$1048576,IF(OR($B443="STD. DEVIATION",$C$1=1),$A443,$A443+1),COLUMN('1-DATA'!P441)),IF($B443="STD. DEVIATION",2,$F$1))))</f>
        <v/>
      </c>
      <c r="R443" s="1" t="str">
        <f>IF(OR($B443="",R$7=""),"",IF($B443="MEANS",INDEX('1-DATA'!$1:$1048576,$A442-1,COLUMN('1-DATA'!Q441)),ROUND(INDEX('1-DATA'!$1:$1048576,IF(OR($B443="STD. DEVIATION",$C$1=1),$A443,$A443+1),COLUMN('1-DATA'!Q441)),IF($B443="STD. DEVIATION",2,$F$1))))</f>
        <v/>
      </c>
      <c r="S443" s="1" t="str">
        <f>IF(OR($B443="",S$7=""),"",IF($B443="MEANS",INDEX('1-DATA'!$1:$1048576,$A442-1,COLUMN('1-DATA'!R441)),ROUND(INDEX('1-DATA'!$1:$1048576,IF(OR($B443="STD. DEVIATION",$C$1=1),$A443,$A443+1),COLUMN('1-DATA'!R441)),IF($B443="STD. DEVIATION",2,$F$1))))</f>
        <v/>
      </c>
      <c r="T443" s="1" t="str">
        <f>IF(OR($B443="",T$7=""),"",IF($B443="MEANS",INDEX('1-DATA'!$1:$1048576,$A442-1,COLUMN('1-DATA'!S441)),ROUND(INDEX('1-DATA'!$1:$1048576,IF(OR($B443="STD. DEVIATION",$C$1=1),$A443,$A443+1),COLUMN('1-DATA'!S441)),IF($B443="STD. DEVIATION",2,$F$1))))</f>
        <v/>
      </c>
      <c r="U443" s="1" t="str">
        <f>IF(OR($B443="",U$7=""),"",IF($B443="MEANS",INDEX('1-DATA'!$1:$1048576,$A442-1,COLUMN('1-DATA'!T441)),ROUND(INDEX('1-DATA'!$1:$1048576,IF(OR($B443="STD. DEVIATION",$C$1=1),$A443,$A443+1),COLUMN('1-DATA'!T441)),IF($B443="STD. DEVIATION",2,$F$1))))</f>
        <v/>
      </c>
      <c r="V443" s="1" t="str">
        <f>IF(OR($B443="",V$7=""),"",IF($B443="MEANS",INDEX('1-DATA'!$1:$1048576,$A442-1,COLUMN('1-DATA'!U441)),ROUND(INDEX('1-DATA'!$1:$1048576,IF(OR($B443="STD. DEVIATION",$C$1=1),$A443,$A443+1),COLUMN('1-DATA'!U441)),IF($B443="STD. DEVIATION",2,$F$1))))</f>
        <v/>
      </c>
      <c r="W443" s="1" t="str">
        <f>IF(OR($B443="",W$7=""),"",IF($B443="MEANS",INDEX('1-DATA'!$1:$1048576,$A442-1,COLUMN('1-DATA'!V441)),ROUND(INDEX('1-DATA'!$1:$1048576,IF(OR($B443="STD. DEVIATION",$C$1=1),$A443,$A443+1),COLUMN('1-DATA'!V441)),IF($B443="STD. DEVIATION",2,$F$1))))</f>
        <v/>
      </c>
      <c r="X443" s="1" t="str">
        <f>IF(OR($B443="",X$7=""),"",IF($B443="MEANS",INDEX('1-DATA'!$1:$1048576,$A442-1,COLUMN('1-DATA'!W441)),ROUND(INDEX('1-DATA'!$1:$1048576,IF(OR($B443="STD. DEVIATION",$C$1=1),$A443,$A443+1),COLUMN('1-DATA'!W441)),IF($B443="STD. DEVIATION",2,$F$1))))</f>
        <v/>
      </c>
      <c r="Y443" s="1" t="str">
        <f>IF(OR($B443="",Y$7=""),"",IF($B443="MEANS",INDEX('1-DATA'!$1:$1048576,$A442-1,COLUMN('1-DATA'!X441)),ROUND(INDEX('1-DATA'!$1:$1048576,IF(OR($B443="STD. DEVIATION",$C$1=1),$A443,$A443+1),COLUMN('1-DATA'!X441)),IF($B443="STD. DEVIATION",2,$F$1))))</f>
        <v/>
      </c>
      <c r="Z443" s="1" t="str">
        <f>IF(OR($B443="",Z$7=""),"",IF($B443="MEANS",INDEX('1-DATA'!$1:$1048576,$A442-1,COLUMN('1-DATA'!Y441)),ROUND(INDEX('1-DATA'!$1:$1048576,IF(OR($B443="STD. DEVIATION",$C$1=1),$A443,$A443+1),COLUMN('1-DATA'!Y441)),IF($B443="STD. DEVIATION",2,$F$1))))</f>
        <v/>
      </c>
      <c r="AA443" s="1" t="str">
        <f>IF(OR($B443="",AA$7=""),"",IF($B443="MEANS",INDEX('1-DATA'!$1:$1048576,$A442-1,COLUMN('1-DATA'!Z441)),ROUND(INDEX('1-DATA'!$1:$1048576,IF(OR($B443="STD. DEVIATION",$C$1=1),$A443,$A443+1),COLUMN('1-DATA'!Z441)),IF($B443="STD. DEVIATION",2,$F$1))))</f>
        <v/>
      </c>
      <c r="AB443" s="1" t="str">
        <f>IF(OR($B443="",AB$7=""),"",IF($B443="MEANS",INDEX('1-DATA'!$1:$1048576,$A442-1,COLUMN('1-DATA'!AA441)),ROUND(INDEX('1-DATA'!$1:$1048576,IF(OR($B443="STD. DEVIATION",$C$1=1),$A443,$A443+1),COLUMN('1-DATA'!AA441)),IF($B443="STD. DEVIATION",2,$F$1))))</f>
        <v/>
      </c>
      <c r="AC443" s="1" t="str">
        <f>IF(OR($B443="",AC$7=""),"",IF($B443="MEANS",INDEX('1-DATA'!$1:$1048576,$A442-1,COLUMN('1-DATA'!AB441)),ROUND(INDEX('1-DATA'!$1:$1048576,IF(OR($B443="STD. DEVIATION",$C$1=1),$A443,$A443+1),COLUMN('1-DATA'!AB441)),IF($B443="STD. DEVIATION",2,$F$1))))</f>
        <v/>
      </c>
      <c r="AD443" s="1" t="str">
        <f>IF(OR($B443="",AD$7=""),"",IF($B443="MEANS",INDEX('1-DATA'!$1:$1048576,$A442-1,COLUMN('1-DATA'!AC441)),ROUND(INDEX('1-DATA'!$1:$1048576,IF(OR($B443="STD. DEVIATION",$C$1=1),$A443,$A443+1),COLUMN('1-DATA'!AC441)),IF($B443="STD. DEVIATION",2,$F$1))))</f>
        <v/>
      </c>
      <c r="AE443" s="1" t="str">
        <f>IF(OR($B443="",AE$7=""),"",IF($B443="MEANS",INDEX('1-DATA'!$1:$1048576,$A442-1,COLUMN('1-DATA'!AD441)),ROUND(INDEX('1-DATA'!$1:$1048576,IF(OR($B443="STD. DEVIATION",$C$1=1),$A443,$A443+1),COLUMN('1-DATA'!AD441)),IF($B443="STD. DEVIATION",2,$F$1))))</f>
        <v/>
      </c>
      <c r="AF443" s="1" t="str">
        <f>IF(OR($B443="",AF$7=""),"",IF($B443="MEANS",INDEX('1-DATA'!$1:$1048576,$A442-1,COLUMN('1-DATA'!AE441)),ROUND(INDEX('1-DATA'!$1:$1048576,IF(OR($B443="STD. DEVIATION",$C$1=1),$A443,$A443+1),COLUMN('1-DATA'!AE441)),IF($B443="STD. DEVIATION",2,$F$1))))</f>
        <v/>
      </c>
      <c r="AG443" s="1" t="str">
        <f>IF(OR($B443="",AG$7=""),"",IF($B443="MEANS",INDEX('1-DATA'!$1:$1048576,$A442-1,COLUMN('1-DATA'!AF441)),ROUND(INDEX('1-DATA'!$1:$1048576,IF(OR($B443="STD. DEVIATION",$C$1=1),$A443,$A443+1),COLUMN('1-DATA'!AF441)),IF($B443="STD. DEVIATION",2,$F$1))))</f>
        <v/>
      </c>
      <c r="AH443" s="1" t="str">
        <f>IF(OR($B443="",AH$7=""),"",IF($B443="MEANS",INDEX('1-DATA'!$1:$1048576,$A442-1,COLUMN('1-DATA'!AG441)),ROUND(INDEX('1-DATA'!$1:$1048576,IF(OR($B443="STD. DEVIATION",$C$1=1),$A443,$A443+1),COLUMN('1-DATA'!AG441)),IF($B443="STD. DEVIATION",2,$F$1))))</f>
        <v/>
      </c>
      <c r="AI443" s="1" t="str">
        <f>IF(OR($B443="",AI$7=""),"",IF($B443="MEANS",INDEX('1-DATA'!$1:$1048576,$A442-1,COLUMN('1-DATA'!AH441)),ROUND(INDEX('1-DATA'!$1:$1048576,IF(OR($B443="STD. DEVIATION",$C$1=1),$A443,$A443+1),COLUMN('1-DATA'!AH441)),IF($B443="STD. DEVIATION",2,$F$1))))</f>
        <v/>
      </c>
      <c r="AJ443" s="1" t="str">
        <f>IF(OR($B443="",AJ$7=""),"",IF($B443="MEANS",INDEX('1-DATA'!$1:$1048576,$A442-1,COLUMN('1-DATA'!AI441)),ROUND(INDEX('1-DATA'!$1:$1048576,IF(OR($B443="STD. DEVIATION",$C$1=1),$A443,$A443+1),COLUMN('1-DATA'!AI441)),IF($B443="STD. DEVIATION",2,$F$1))))</f>
        <v/>
      </c>
      <c r="AK443" s="1" t="str">
        <f>IF(OR($B443="",AK$7=""),"",IF($B443="MEANS",INDEX('1-DATA'!$1:$1048576,$A442-1,COLUMN('1-DATA'!AJ441)),ROUND(INDEX('1-DATA'!$1:$1048576,IF(OR($B443="STD. DEVIATION",$C$1=1),$A443,$A443+1),COLUMN('1-DATA'!AJ441)),IF($B443="STD. DEVIATION",2,$F$1))))</f>
        <v/>
      </c>
      <c r="AL443" s="1" t="str">
        <f>IF(OR($B443="",AL$7=""),"",IF($B443="MEANS",INDEX('1-DATA'!$1:$1048576,$A442-1,COLUMN('1-DATA'!AK441)),ROUND(INDEX('1-DATA'!$1:$1048576,IF(OR($B443="STD. DEVIATION",$C$1=1),$A443,$A443+1),COLUMN('1-DATA'!AK441)),IF($B443="STD. DEVIATION",2,$F$1))))</f>
        <v/>
      </c>
      <c r="AM443" s="1" t="str">
        <f>IF(OR($B443="",AM$7=""),"",IF($B443="MEANS",INDEX('1-DATA'!$1:$1048576,$A442-1,COLUMN('1-DATA'!AL441)),ROUND(INDEX('1-DATA'!$1:$1048576,IF(OR($B443="STD. DEVIATION",$C$1=1),$A443,$A443+1),COLUMN('1-DATA'!AL441)),IF($B443="STD. DEVIATION",2,$F$1))))</f>
        <v/>
      </c>
      <c r="AN443" s="1" t="str">
        <f>IF(OR($B443="",AN$7=""),"",IF($B443="MEANS",INDEX('1-DATA'!$1:$1048576,$A442-1,COLUMN('1-DATA'!AM441)),ROUND(INDEX('1-DATA'!$1:$1048576,IF(OR($B443="STD. DEVIATION",$C$1=1),$A443,$A443+1),COLUMN('1-DATA'!AM441)),IF($B443="STD. DEVIATION",2,$F$1))))</f>
        <v/>
      </c>
      <c r="AO443" s="1" t="str">
        <f>IF(OR($B443="",AO$7=""),"",IF($B443="MEANS",INDEX('1-DATA'!$1:$1048576,$A442-1,COLUMN('1-DATA'!AN441)),ROUND(INDEX('1-DATA'!$1:$1048576,IF(OR($B443="STD. DEVIATION",$C$1=1),$A443,$A443+1),COLUMN('1-DATA'!AN441)),IF($B443="STD. DEVIATION",2,$F$1))))</f>
        <v/>
      </c>
      <c r="AP443" s="1" t="str">
        <f>IF(OR($B443="",AP$7=""),"",IF($B443="MEANS",INDEX('1-DATA'!$1:$1048576,$A442-1,COLUMN('1-DATA'!AO441)),ROUND(INDEX('1-DATA'!$1:$1048576,IF(OR($B443="STD. DEVIATION",$C$1=1),$A443,$A443+1),COLUMN('1-DATA'!AO441)),IF($B443="STD. DEVIATION",2,$F$1))))</f>
        <v/>
      </c>
      <c r="AQ443" s="1" t="str">
        <f>IF(OR($B443="",AQ$7=""),"",IF($B443="MEANS",INDEX('1-DATA'!$1:$1048576,$A442-1,COLUMN('1-DATA'!AP441)),ROUND(INDEX('1-DATA'!$1:$1048576,IF(OR($B443="STD. DEVIATION",$C$1=1),$A443,$A443+1),COLUMN('1-DATA'!AP441)),IF($B443="STD. DEVIATION",2,$F$1))))</f>
        <v/>
      </c>
      <c r="AR443" s="1" t="str">
        <f>IF(OR($B443="",AR$7=""),"",IF($B443="MEANS",INDEX('1-DATA'!$1:$1048576,$A442-1,COLUMN('1-DATA'!AQ441)),ROUND(INDEX('1-DATA'!$1:$1048576,IF(OR($B443="STD. DEVIATION",$C$1=1),$A443,$A443+1),COLUMN('1-DATA'!AQ441)),IF($B443="STD. DEVIATION",2,$F$1))))</f>
        <v/>
      </c>
      <c r="AS443" s="1" t="str">
        <f>IF(OR($B443="",AS$7=""),"",IF($B443="MEANS",INDEX('1-DATA'!$1:$1048576,$A442-1,COLUMN('1-DATA'!AR441)),ROUND(INDEX('1-DATA'!$1:$1048576,IF(OR($B443="STD. DEVIATION",$C$1=1),$A443,$A443+1),COLUMN('1-DATA'!AR441)),IF($B443="STD. DEVIATION",2,$F$1))))</f>
        <v/>
      </c>
      <c r="AT443" s="1" t="str">
        <f>IF(OR($B443="",AT$7=""),"",IF($B443="MEANS",INDEX('1-DATA'!$1:$1048576,$A442-1,COLUMN('1-DATA'!AS441)),ROUND(INDEX('1-DATA'!$1:$1048576,IF(OR($B443="STD. DEVIATION",$C$1=1),$A443,$A443+1),COLUMN('1-DATA'!AS441)),IF($B443="STD. DEVIATION",2,$F$1))))</f>
        <v/>
      </c>
      <c r="AU443" s="1" t="str">
        <f>IF(OR($B443="",AU$7=""),"",IF($B443="MEANS",INDEX('1-DATA'!$1:$1048576,$A442-1,COLUMN('1-DATA'!AT441)),ROUND(INDEX('1-DATA'!$1:$1048576,IF(OR($B443="STD. DEVIATION",$C$1=1),$A443,$A443+1),COLUMN('1-DATA'!AT441)),IF($B443="STD. DEVIATION",2,$F$1))))</f>
        <v/>
      </c>
      <c r="AV443" s="1" t="str">
        <f>IF(OR($B443="",AV$7=""),"",IF($B443="MEANS",INDEX('1-DATA'!$1:$1048576,$A442-1,COLUMN('1-DATA'!AU441)),ROUND(INDEX('1-DATA'!$1:$1048576,IF(OR($B443="STD. DEVIATION",$C$1=1),$A443,$A443+1),COLUMN('1-DATA'!AU441)),IF($B443="STD. DEVIATION",2,$F$1))))</f>
        <v/>
      </c>
      <c r="AW443" s="1" t="str">
        <f>IF(OR($B443="",AW$7=""),"",IF($B443="MEANS",INDEX('1-DATA'!$1:$1048576,$A442-1,COLUMN('1-DATA'!AV441)),ROUND(INDEX('1-DATA'!$1:$1048576,IF(OR($B443="STD. DEVIATION",$C$1=1),$A443,$A443+1),COLUMN('1-DATA'!AV441)),IF($B443="STD. DEVIATION",2,$F$1))))</f>
        <v/>
      </c>
      <c r="AX443" s="1" t="str">
        <f>IF(OR($B443="",AX$7=""),"",IF($B443="MEANS",INDEX('1-DATA'!$1:$1048576,$A442-1,COLUMN('1-DATA'!AW441)),ROUND(INDEX('1-DATA'!$1:$1048576,IF(OR($B443="STD. DEVIATION",$C$1=1),$A443,$A443+1),COLUMN('1-DATA'!AW441)),IF($B443="STD. DEVIATION",2,$F$1))))</f>
        <v/>
      </c>
      <c r="AY443" s="1" t="str">
        <f>IF(OR($B443="",AY$7=""),"",IF($B443="MEANS",INDEX('1-DATA'!$1:$1048576,$A442-1,COLUMN('1-DATA'!AX441)),ROUND(INDEX('1-DATA'!$1:$1048576,IF(OR($B443="STD. DEVIATION",$C$1=1),$A443,$A443+1),COLUMN('1-DATA'!AX441)),IF($B443="STD. DEVIATION",2,$F$1))))</f>
        <v/>
      </c>
      <c r="AZ443" s="1" t="str">
        <f>IF(OR($B443="",AZ$7=""),"",IF($B443="MEANS",INDEX('1-DATA'!$1:$1048576,$A442-1,COLUMN('1-DATA'!AY441)),ROUND(INDEX('1-DATA'!$1:$1048576,IF(OR($B443="STD. DEVIATION",$C$1=1),$A443,$A443+1),COLUMN('1-DATA'!AY441)),IF($B443="STD. DEVIATION",2,$F$1))))</f>
        <v/>
      </c>
    </row>
    <row r="444" spans="1:52" x14ac:dyDescent="0.25">
      <c r="A444" s="11">
        <f t="shared" si="7"/>
        <v>1318</v>
      </c>
      <c r="B444" s="1" t="str">
        <f>IF(B443="STD. DEVIATION",INDEX('1-DATA'!$1:$1048576,$A443-1,1),IF(INDEX('1-DATA'!$1:$1048576,$A444,1)&lt;&gt;"",INDEX('1-DATA'!$1:$1048576,$A444,1),""))</f>
        <v/>
      </c>
      <c r="C444" s="1" t="str">
        <f>IF(OR($B444="",C$7=""),"",IF($B444="MEANS",INDEX('1-DATA'!$1:$1048576,$A443-1,COLUMN('1-DATA'!B442)),ROUND(INDEX('1-DATA'!$1:$1048576,IF(OR($B444="STD. DEVIATION",$C$1=1),$A444,$A444+1),COLUMN('1-DATA'!B442)),IF($B444="STD. DEVIATION",2,$F$1))))</f>
        <v/>
      </c>
      <c r="D444" s="1" t="str">
        <f>IF(OR($B444="",D$7=""),"",IF($B444="MEANS",INDEX('1-DATA'!$1:$1048576,$A443-1,COLUMN('1-DATA'!C442)),ROUND(INDEX('1-DATA'!$1:$1048576,IF(OR($B444="STD. DEVIATION",$C$1=1),$A444,$A444+1),COLUMN('1-DATA'!C442)),IF($B444="STD. DEVIATION",2,$F$1))))</f>
        <v/>
      </c>
      <c r="E444" s="1" t="str">
        <f>IF(OR($B444="",E$7=""),"",IF($B444="MEANS",INDEX('1-DATA'!$1:$1048576,$A443-1,COLUMN('1-DATA'!D442)),ROUND(INDEX('1-DATA'!$1:$1048576,IF(OR($B444="STD. DEVIATION",$C$1=1),$A444,$A444+1),COLUMN('1-DATA'!D442)),IF($B444="STD. DEVIATION",2,$F$1))))</f>
        <v/>
      </c>
      <c r="F444" s="1" t="str">
        <f>IF(OR($B444="",F$7=""),"",IF($B444="MEANS",INDEX('1-DATA'!$1:$1048576,$A443-1,COLUMN('1-DATA'!E442)),ROUND(INDEX('1-DATA'!$1:$1048576,IF(OR($B444="STD. DEVIATION",$C$1=1),$A444,$A444+1),COLUMN('1-DATA'!E442)),IF($B444="STD. DEVIATION",2,$F$1))))</f>
        <v/>
      </c>
      <c r="G444" s="1" t="str">
        <f>IF(OR($B444="",G$7=""),"",IF($B444="MEANS",INDEX('1-DATA'!$1:$1048576,$A443-1,COLUMN('1-DATA'!F442)),ROUND(INDEX('1-DATA'!$1:$1048576,IF(OR($B444="STD. DEVIATION",$C$1=1),$A444,$A444+1),COLUMN('1-DATA'!F442)),IF($B444="STD. DEVIATION",2,$F$1))))</f>
        <v/>
      </c>
      <c r="H444" s="1" t="str">
        <f>IF(OR($B444="",H$7=""),"",IF($B444="MEANS",INDEX('1-DATA'!$1:$1048576,$A443-1,COLUMN('1-DATA'!G442)),ROUND(INDEX('1-DATA'!$1:$1048576,IF(OR($B444="STD. DEVIATION",$C$1=1),$A444,$A444+1),COLUMN('1-DATA'!G442)),IF($B444="STD. DEVIATION",2,$F$1))))</f>
        <v/>
      </c>
      <c r="I444" s="1" t="str">
        <f>IF(OR($B444="",I$7=""),"",IF($B444="MEANS",INDEX('1-DATA'!$1:$1048576,$A443-1,COLUMN('1-DATA'!H442)),ROUND(INDEX('1-DATA'!$1:$1048576,IF(OR($B444="STD. DEVIATION",$C$1=1),$A444,$A444+1),COLUMN('1-DATA'!H442)),IF($B444="STD. DEVIATION",2,$F$1))))</f>
        <v/>
      </c>
      <c r="J444" s="1" t="str">
        <f>IF(OR($B444="",J$7=""),"",IF($B444="MEANS",INDEX('1-DATA'!$1:$1048576,$A443-1,COLUMN('1-DATA'!I442)),ROUND(INDEX('1-DATA'!$1:$1048576,IF(OR($B444="STD. DEVIATION",$C$1=1),$A444,$A444+1),COLUMN('1-DATA'!I442)),IF($B444="STD. DEVIATION",2,$F$1))))</f>
        <v/>
      </c>
      <c r="K444" s="1" t="str">
        <f>IF(OR($B444="",K$7=""),"",IF($B444="MEANS",INDEX('1-DATA'!$1:$1048576,$A443-1,COLUMN('1-DATA'!J442)),ROUND(INDEX('1-DATA'!$1:$1048576,IF(OR($B444="STD. DEVIATION",$C$1=1),$A444,$A444+1),COLUMN('1-DATA'!J442)),IF($B444="STD. DEVIATION",2,$F$1))))</f>
        <v/>
      </c>
      <c r="L444" s="1" t="str">
        <f>IF(OR($B444="",L$7=""),"",IF($B444="MEANS",INDEX('1-DATA'!$1:$1048576,$A443-1,COLUMN('1-DATA'!K442)),ROUND(INDEX('1-DATA'!$1:$1048576,IF(OR($B444="STD. DEVIATION",$C$1=1),$A444,$A444+1),COLUMN('1-DATA'!K442)),IF($B444="STD. DEVIATION",2,$F$1))))</f>
        <v/>
      </c>
      <c r="M444" s="1" t="str">
        <f>IF(OR($B444="",M$7=""),"",IF($B444="MEANS",INDEX('1-DATA'!$1:$1048576,$A443-1,COLUMN('1-DATA'!L442)),ROUND(INDEX('1-DATA'!$1:$1048576,IF(OR($B444="STD. DEVIATION",$C$1=1),$A444,$A444+1),COLUMN('1-DATA'!L442)),IF($B444="STD. DEVIATION",2,$F$1))))</f>
        <v/>
      </c>
      <c r="N444" s="1" t="str">
        <f>IF(OR($B444="",N$7=""),"",IF($B444="MEANS",INDEX('1-DATA'!$1:$1048576,$A443-1,COLUMN('1-DATA'!M442)),ROUND(INDEX('1-DATA'!$1:$1048576,IF(OR($B444="STD. DEVIATION",$C$1=1),$A444,$A444+1),COLUMN('1-DATA'!M442)),IF($B444="STD. DEVIATION",2,$F$1))))</f>
        <v/>
      </c>
      <c r="O444" s="1" t="str">
        <f>IF(OR($B444="",O$7=""),"",IF($B444="MEANS",INDEX('1-DATA'!$1:$1048576,$A443-1,COLUMN('1-DATA'!N442)),ROUND(INDEX('1-DATA'!$1:$1048576,IF(OR($B444="STD. DEVIATION",$C$1=1),$A444,$A444+1),COLUMN('1-DATA'!N442)),IF($B444="STD. DEVIATION",2,$F$1))))</f>
        <v/>
      </c>
      <c r="P444" s="1" t="str">
        <f>IF(OR($B444="",P$7=""),"",IF($B444="MEANS",INDEX('1-DATA'!$1:$1048576,$A443-1,COLUMN('1-DATA'!O442)),ROUND(INDEX('1-DATA'!$1:$1048576,IF(OR($B444="STD. DEVIATION",$C$1=1),$A444,$A444+1),COLUMN('1-DATA'!O442)),IF($B444="STD. DEVIATION",2,$F$1))))</f>
        <v/>
      </c>
      <c r="Q444" s="1" t="str">
        <f>IF(OR($B444="",Q$7=""),"",IF($B444="MEANS",INDEX('1-DATA'!$1:$1048576,$A443-1,COLUMN('1-DATA'!P442)),ROUND(INDEX('1-DATA'!$1:$1048576,IF(OR($B444="STD. DEVIATION",$C$1=1),$A444,$A444+1),COLUMN('1-DATA'!P442)),IF($B444="STD. DEVIATION",2,$F$1))))</f>
        <v/>
      </c>
      <c r="R444" s="1" t="str">
        <f>IF(OR($B444="",R$7=""),"",IF($B444="MEANS",INDEX('1-DATA'!$1:$1048576,$A443-1,COLUMN('1-DATA'!Q442)),ROUND(INDEX('1-DATA'!$1:$1048576,IF(OR($B444="STD. DEVIATION",$C$1=1),$A444,$A444+1),COLUMN('1-DATA'!Q442)),IF($B444="STD. DEVIATION",2,$F$1))))</f>
        <v/>
      </c>
      <c r="S444" s="1" t="str">
        <f>IF(OR($B444="",S$7=""),"",IF($B444="MEANS",INDEX('1-DATA'!$1:$1048576,$A443-1,COLUMN('1-DATA'!R442)),ROUND(INDEX('1-DATA'!$1:$1048576,IF(OR($B444="STD. DEVIATION",$C$1=1),$A444,$A444+1),COLUMN('1-DATA'!R442)),IF($B444="STD. DEVIATION",2,$F$1))))</f>
        <v/>
      </c>
      <c r="T444" s="1" t="str">
        <f>IF(OR($B444="",T$7=""),"",IF($B444="MEANS",INDEX('1-DATA'!$1:$1048576,$A443-1,COLUMN('1-DATA'!S442)),ROUND(INDEX('1-DATA'!$1:$1048576,IF(OR($B444="STD. DEVIATION",$C$1=1),$A444,$A444+1),COLUMN('1-DATA'!S442)),IF($B444="STD. DEVIATION",2,$F$1))))</f>
        <v/>
      </c>
      <c r="U444" s="1" t="str">
        <f>IF(OR($B444="",U$7=""),"",IF($B444="MEANS",INDEX('1-DATA'!$1:$1048576,$A443-1,COLUMN('1-DATA'!T442)),ROUND(INDEX('1-DATA'!$1:$1048576,IF(OR($B444="STD. DEVIATION",$C$1=1),$A444,$A444+1),COLUMN('1-DATA'!T442)),IF($B444="STD. DEVIATION",2,$F$1))))</f>
        <v/>
      </c>
      <c r="V444" s="1" t="str">
        <f>IF(OR($B444="",V$7=""),"",IF($B444="MEANS",INDEX('1-DATA'!$1:$1048576,$A443-1,COLUMN('1-DATA'!U442)),ROUND(INDEX('1-DATA'!$1:$1048576,IF(OR($B444="STD. DEVIATION",$C$1=1),$A444,$A444+1),COLUMN('1-DATA'!U442)),IF($B444="STD. DEVIATION",2,$F$1))))</f>
        <v/>
      </c>
      <c r="W444" s="1" t="str">
        <f>IF(OR($B444="",W$7=""),"",IF($B444="MEANS",INDEX('1-DATA'!$1:$1048576,$A443-1,COLUMN('1-DATA'!V442)),ROUND(INDEX('1-DATA'!$1:$1048576,IF(OR($B444="STD. DEVIATION",$C$1=1),$A444,$A444+1),COLUMN('1-DATA'!V442)),IF($B444="STD. DEVIATION",2,$F$1))))</f>
        <v/>
      </c>
      <c r="X444" s="1" t="str">
        <f>IF(OR($B444="",X$7=""),"",IF($B444="MEANS",INDEX('1-DATA'!$1:$1048576,$A443-1,COLUMN('1-DATA'!W442)),ROUND(INDEX('1-DATA'!$1:$1048576,IF(OR($B444="STD. DEVIATION",$C$1=1),$A444,$A444+1),COLUMN('1-DATA'!W442)),IF($B444="STD. DEVIATION",2,$F$1))))</f>
        <v/>
      </c>
      <c r="Y444" s="1" t="str">
        <f>IF(OR($B444="",Y$7=""),"",IF($B444="MEANS",INDEX('1-DATA'!$1:$1048576,$A443-1,COLUMN('1-DATA'!X442)),ROUND(INDEX('1-DATA'!$1:$1048576,IF(OR($B444="STD. DEVIATION",$C$1=1),$A444,$A444+1),COLUMN('1-DATA'!X442)),IF($B444="STD. DEVIATION",2,$F$1))))</f>
        <v/>
      </c>
      <c r="Z444" s="1" t="str">
        <f>IF(OR($B444="",Z$7=""),"",IF($B444="MEANS",INDEX('1-DATA'!$1:$1048576,$A443-1,COLUMN('1-DATA'!Y442)),ROUND(INDEX('1-DATA'!$1:$1048576,IF(OR($B444="STD. DEVIATION",$C$1=1),$A444,$A444+1),COLUMN('1-DATA'!Y442)),IF($B444="STD. DEVIATION",2,$F$1))))</f>
        <v/>
      </c>
      <c r="AA444" s="1" t="str">
        <f>IF(OR($B444="",AA$7=""),"",IF($B444="MEANS",INDEX('1-DATA'!$1:$1048576,$A443-1,COLUMN('1-DATA'!Z442)),ROUND(INDEX('1-DATA'!$1:$1048576,IF(OR($B444="STD. DEVIATION",$C$1=1),$A444,$A444+1),COLUMN('1-DATA'!Z442)),IF($B444="STD. DEVIATION",2,$F$1))))</f>
        <v/>
      </c>
      <c r="AB444" s="1" t="str">
        <f>IF(OR($B444="",AB$7=""),"",IF($B444="MEANS",INDEX('1-DATA'!$1:$1048576,$A443-1,COLUMN('1-DATA'!AA442)),ROUND(INDEX('1-DATA'!$1:$1048576,IF(OR($B444="STD. DEVIATION",$C$1=1),$A444,$A444+1),COLUMN('1-DATA'!AA442)),IF($B444="STD. DEVIATION",2,$F$1))))</f>
        <v/>
      </c>
      <c r="AC444" s="1" t="str">
        <f>IF(OR($B444="",AC$7=""),"",IF($B444="MEANS",INDEX('1-DATA'!$1:$1048576,$A443-1,COLUMN('1-DATA'!AB442)),ROUND(INDEX('1-DATA'!$1:$1048576,IF(OR($B444="STD. DEVIATION",$C$1=1),$A444,$A444+1),COLUMN('1-DATA'!AB442)),IF($B444="STD. DEVIATION",2,$F$1))))</f>
        <v/>
      </c>
      <c r="AD444" s="1" t="str">
        <f>IF(OR($B444="",AD$7=""),"",IF($B444="MEANS",INDEX('1-DATA'!$1:$1048576,$A443-1,COLUMN('1-DATA'!AC442)),ROUND(INDEX('1-DATA'!$1:$1048576,IF(OR($B444="STD. DEVIATION",$C$1=1),$A444,$A444+1),COLUMN('1-DATA'!AC442)),IF($B444="STD. DEVIATION",2,$F$1))))</f>
        <v/>
      </c>
      <c r="AE444" s="1" t="str">
        <f>IF(OR($B444="",AE$7=""),"",IF($B444="MEANS",INDEX('1-DATA'!$1:$1048576,$A443-1,COLUMN('1-DATA'!AD442)),ROUND(INDEX('1-DATA'!$1:$1048576,IF(OR($B444="STD. DEVIATION",$C$1=1),$A444,$A444+1),COLUMN('1-DATA'!AD442)),IF($B444="STD. DEVIATION",2,$F$1))))</f>
        <v/>
      </c>
      <c r="AF444" s="1" t="str">
        <f>IF(OR($B444="",AF$7=""),"",IF($B444="MEANS",INDEX('1-DATA'!$1:$1048576,$A443-1,COLUMN('1-DATA'!AE442)),ROUND(INDEX('1-DATA'!$1:$1048576,IF(OR($B444="STD. DEVIATION",$C$1=1),$A444,$A444+1),COLUMN('1-DATA'!AE442)),IF($B444="STD. DEVIATION",2,$F$1))))</f>
        <v/>
      </c>
      <c r="AG444" s="1" t="str">
        <f>IF(OR($B444="",AG$7=""),"",IF($B444="MEANS",INDEX('1-DATA'!$1:$1048576,$A443-1,COLUMN('1-DATA'!AF442)),ROUND(INDEX('1-DATA'!$1:$1048576,IF(OR($B444="STD. DEVIATION",$C$1=1),$A444,$A444+1),COLUMN('1-DATA'!AF442)),IF($B444="STD. DEVIATION",2,$F$1))))</f>
        <v/>
      </c>
      <c r="AH444" s="1" t="str">
        <f>IF(OR($B444="",AH$7=""),"",IF($B444="MEANS",INDEX('1-DATA'!$1:$1048576,$A443-1,COLUMN('1-DATA'!AG442)),ROUND(INDEX('1-DATA'!$1:$1048576,IF(OR($B444="STD. DEVIATION",$C$1=1),$A444,$A444+1),COLUMN('1-DATA'!AG442)),IF($B444="STD. DEVIATION",2,$F$1))))</f>
        <v/>
      </c>
      <c r="AI444" s="1" t="str">
        <f>IF(OR($B444="",AI$7=""),"",IF($B444="MEANS",INDEX('1-DATA'!$1:$1048576,$A443-1,COLUMN('1-DATA'!AH442)),ROUND(INDEX('1-DATA'!$1:$1048576,IF(OR($B444="STD. DEVIATION",$C$1=1),$A444,$A444+1),COLUMN('1-DATA'!AH442)),IF($B444="STD. DEVIATION",2,$F$1))))</f>
        <v/>
      </c>
      <c r="AJ444" s="1" t="str">
        <f>IF(OR($B444="",AJ$7=""),"",IF($B444="MEANS",INDEX('1-DATA'!$1:$1048576,$A443-1,COLUMN('1-DATA'!AI442)),ROUND(INDEX('1-DATA'!$1:$1048576,IF(OR($B444="STD. DEVIATION",$C$1=1),$A444,$A444+1),COLUMN('1-DATA'!AI442)),IF($B444="STD. DEVIATION",2,$F$1))))</f>
        <v/>
      </c>
      <c r="AK444" s="1" t="str">
        <f>IF(OR($B444="",AK$7=""),"",IF($B444="MEANS",INDEX('1-DATA'!$1:$1048576,$A443-1,COLUMN('1-DATA'!AJ442)),ROUND(INDEX('1-DATA'!$1:$1048576,IF(OR($B444="STD. DEVIATION",$C$1=1),$A444,$A444+1),COLUMN('1-DATA'!AJ442)),IF($B444="STD. DEVIATION",2,$F$1))))</f>
        <v/>
      </c>
      <c r="AL444" s="1" t="str">
        <f>IF(OR($B444="",AL$7=""),"",IF($B444="MEANS",INDEX('1-DATA'!$1:$1048576,$A443-1,COLUMN('1-DATA'!AK442)),ROUND(INDEX('1-DATA'!$1:$1048576,IF(OR($B444="STD. DEVIATION",$C$1=1),$A444,$A444+1),COLUMN('1-DATA'!AK442)),IF($B444="STD. DEVIATION",2,$F$1))))</f>
        <v/>
      </c>
      <c r="AM444" s="1" t="str">
        <f>IF(OR($B444="",AM$7=""),"",IF($B444="MEANS",INDEX('1-DATA'!$1:$1048576,$A443-1,COLUMN('1-DATA'!AL442)),ROUND(INDEX('1-DATA'!$1:$1048576,IF(OR($B444="STD. DEVIATION",$C$1=1),$A444,$A444+1),COLUMN('1-DATA'!AL442)),IF($B444="STD. DEVIATION",2,$F$1))))</f>
        <v/>
      </c>
      <c r="AN444" s="1" t="str">
        <f>IF(OR($B444="",AN$7=""),"",IF($B444="MEANS",INDEX('1-DATA'!$1:$1048576,$A443-1,COLUMN('1-DATA'!AM442)),ROUND(INDEX('1-DATA'!$1:$1048576,IF(OR($B444="STD. DEVIATION",$C$1=1),$A444,$A444+1),COLUMN('1-DATA'!AM442)),IF($B444="STD. DEVIATION",2,$F$1))))</f>
        <v/>
      </c>
      <c r="AO444" s="1" t="str">
        <f>IF(OR($B444="",AO$7=""),"",IF($B444="MEANS",INDEX('1-DATA'!$1:$1048576,$A443-1,COLUMN('1-DATA'!AN442)),ROUND(INDEX('1-DATA'!$1:$1048576,IF(OR($B444="STD. DEVIATION",$C$1=1),$A444,$A444+1),COLUMN('1-DATA'!AN442)),IF($B444="STD. DEVIATION",2,$F$1))))</f>
        <v/>
      </c>
      <c r="AP444" s="1" t="str">
        <f>IF(OR($B444="",AP$7=""),"",IF($B444="MEANS",INDEX('1-DATA'!$1:$1048576,$A443-1,COLUMN('1-DATA'!AO442)),ROUND(INDEX('1-DATA'!$1:$1048576,IF(OR($B444="STD. DEVIATION",$C$1=1),$A444,$A444+1),COLUMN('1-DATA'!AO442)),IF($B444="STD. DEVIATION",2,$F$1))))</f>
        <v/>
      </c>
      <c r="AQ444" s="1" t="str">
        <f>IF(OR($B444="",AQ$7=""),"",IF($B444="MEANS",INDEX('1-DATA'!$1:$1048576,$A443-1,COLUMN('1-DATA'!AP442)),ROUND(INDEX('1-DATA'!$1:$1048576,IF(OR($B444="STD. DEVIATION",$C$1=1),$A444,$A444+1),COLUMN('1-DATA'!AP442)),IF($B444="STD. DEVIATION",2,$F$1))))</f>
        <v/>
      </c>
      <c r="AR444" s="1" t="str">
        <f>IF(OR($B444="",AR$7=""),"",IF($B444="MEANS",INDEX('1-DATA'!$1:$1048576,$A443-1,COLUMN('1-DATA'!AQ442)),ROUND(INDEX('1-DATA'!$1:$1048576,IF(OR($B444="STD. DEVIATION",$C$1=1),$A444,$A444+1),COLUMN('1-DATA'!AQ442)),IF($B444="STD. DEVIATION",2,$F$1))))</f>
        <v/>
      </c>
      <c r="AS444" s="1" t="str">
        <f>IF(OR($B444="",AS$7=""),"",IF($B444="MEANS",INDEX('1-DATA'!$1:$1048576,$A443-1,COLUMN('1-DATA'!AR442)),ROUND(INDEX('1-DATA'!$1:$1048576,IF(OR($B444="STD. DEVIATION",$C$1=1),$A444,$A444+1),COLUMN('1-DATA'!AR442)),IF($B444="STD. DEVIATION",2,$F$1))))</f>
        <v/>
      </c>
      <c r="AT444" s="1" t="str">
        <f>IF(OR($B444="",AT$7=""),"",IF($B444="MEANS",INDEX('1-DATA'!$1:$1048576,$A443-1,COLUMN('1-DATA'!AS442)),ROUND(INDEX('1-DATA'!$1:$1048576,IF(OR($B444="STD. DEVIATION",$C$1=1),$A444,$A444+1),COLUMN('1-DATA'!AS442)),IF($B444="STD. DEVIATION",2,$F$1))))</f>
        <v/>
      </c>
      <c r="AU444" s="1" t="str">
        <f>IF(OR($B444="",AU$7=""),"",IF($B444="MEANS",INDEX('1-DATA'!$1:$1048576,$A443-1,COLUMN('1-DATA'!AT442)),ROUND(INDEX('1-DATA'!$1:$1048576,IF(OR($B444="STD. DEVIATION",$C$1=1),$A444,$A444+1),COLUMN('1-DATA'!AT442)),IF($B444="STD. DEVIATION",2,$F$1))))</f>
        <v/>
      </c>
      <c r="AV444" s="1" t="str">
        <f>IF(OR($B444="",AV$7=""),"",IF($B444="MEANS",INDEX('1-DATA'!$1:$1048576,$A443-1,COLUMN('1-DATA'!AU442)),ROUND(INDEX('1-DATA'!$1:$1048576,IF(OR($B444="STD. DEVIATION",$C$1=1),$A444,$A444+1),COLUMN('1-DATA'!AU442)),IF($B444="STD. DEVIATION",2,$F$1))))</f>
        <v/>
      </c>
      <c r="AW444" s="1" t="str">
        <f>IF(OR($B444="",AW$7=""),"",IF($B444="MEANS",INDEX('1-DATA'!$1:$1048576,$A443-1,COLUMN('1-DATA'!AV442)),ROUND(INDEX('1-DATA'!$1:$1048576,IF(OR($B444="STD. DEVIATION",$C$1=1),$A444,$A444+1),COLUMN('1-DATA'!AV442)),IF($B444="STD. DEVIATION",2,$F$1))))</f>
        <v/>
      </c>
      <c r="AX444" s="1" t="str">
        <f>IF(OR($B444="",AX$7=""),"",IF($B444="MEANS",INDEX('1-DATA'!$1:$1048576,$A443-1,COLUMN('1-DATA'!AW442)),ROUND(INDEX('1-DATA'!$1:$1048576,IF(OR($B444="STD. DEVIATION",$C$1=1),$A444,$A444+1),COLUMN('1-DATA'!AW442)),IF($B444="STD. DEVIATION",2,$F$1))))</f>
        <v/>
      </c>
      <c r="AY444" s="1" t="str">
        <f>IF(OR($B444="",AY$7=""),"",IF($B444="MEANS",INDEX('1-DATA'!$1:$1048576,$A443-1,COLUMN('1-DATA'!AX442)),ROUND(INDEX('1-DATA'!$1:$1048576,IF(OR($B444="STD. DEVIATION",$C$1=1),$A444,$A444+1),COLUMN('1-DATA'!AX442)),IF($B444="STD. DEVIATION",2,$F$1))))</f>
        <v/>
      </c>
      <c r="AZ444" s="1" t="str">
        <f>IF(OR($B444="",AZ$7=""),"",IF($B444="MEANS",INDEX('1-DATA'!$1:$1048576,$A443-1,COLUMN('1-DATA'!AY442)),ROUND(INDEX('1-DATA'!$1:$1048576,IF(OR($B444="STD. DEVIATION",$C$1=1),$A444,$A444+1),COLUMN('1-DATA'!AY442)),IF($B444="STD. DEVIATION",2,$F$1))))</f>
        <v/>
      </c>
    </row>
    <row r="445" spans="1:52" x14ac:dyDescent="0.25">
      <c r="A445" s="11">
        <f t="shared" si="7"/>
        <v>1321</v>
      </c>
      <c r="B445" s="1" t="str">
        <f>IF(B444="STD. DEVIATION",INDEX('1-DATA'!$1:$1048576,$A444-1,1),IF(INDEX('1-DATA'!$1:$1048576,$A445,1)&lt;&gt;"",INDEX('1-DATA'!$1:$1048576,$A445,1),""))</f>
        <v/>
      </c>
      <c r="C445" s="1" t="str">
        <f>IF(OR($B445="",C$7=""),"",IF($B445="MEANS",INDEX('1-DATA'!$1:$1048576,$A444-1,COLUMN('1-DATA'!B443)),ROUND(INDEX('1-DATA'!$1:$1048576,IF(OR($B445="STD. DEVIATION",$C$1=1),$A445,$A445+1),COLUMN('1-DATA'!B443)),IF($B445="STD. DEVIATION",2,$F$1))))</f>
        <v/>
      </c>
      <c r="D445" s="1" t="str">
        <f>IF(OR($B445="",D$7=""),"",IF($B445="MEANS",INDEX('1-DATA'!$1:$1048576,$A444-1,COLUMN('1-DATA'!C443)),ROUND(INDEX('1-DATA'!$1:$1048576,IF(OR($B445="STD. DEVIATION",$C$1=1),$A445,$A445+1),COLUMN('1-DATA'!C443)),IF($B445="STD. DEVIATION",2,$F$1))))</f>
        <v/>
      </c>
      <c r="E445" s="1" t="str">
        <f>IF(OR($B445="",E$7=""),"",IF($B445="MEANS",INDEX('1-DATA'!$1:$1048576,$A444-1,COLUMN('1-DATA'!D443)),ROUND(INDEX('1-DATA'!$1:$1048576,IF(OR($B445="STD. DEVIATION",$C$1=1),$A445,$A445+1),COLUMN('1-DATA'!D443)),IF($B445="STD. DEVIATION",2,$F$1))))</f>
        <v/>
      </c>
      <c r="F445" s="1" t="str">
        <f>IF(OR($B445="",F$7=""),"",IF($B445="MEANS",INDEX('1-DATA'!$1:$1048576,$A444-1,COLUMN('1-DATA'!E443)),ROUND(INDEX('1-DATA'!$1:$1048576,IF(OR($B445="STD. DEVIATION",$C$1=1),$A445,$A445+1),COLUMN('1-DATA'!E443)),IF($B445="STD. DEVIATION",2,$F$1))))</f>
        <v/>
      </c>
      <c r="G445" s="1" t="str">
        <f>IF(OR($B445="",G$7=""),"",IF($B445="MEANS",INDEX('1-DATA'!$1:$1048576,$A444-1,COLUMN('1-DATA'!F443)),ROUND(INDEX('1-DATA'!$1:$1048576,IF(OR($B445="STD. DEVIATION",$C$1=1),$A445,$A445+1),COLUMN('1-DATA'!F443)),IF($B445="STD. DEVIATION",2,$F$1))))</f>
        <v/>
      </c>
      <c r="H445" s="1" t="str">
        <f>IF(OR($B445="",H$7=""),"",IF($B445="MEANS",INDEX('1-DATA'!$1:$1048576,$A444-1,COLUMN('1-DATA'!G443)),ROUND(INDEX('1-DATA'!$1:$1048576,IF(OR($B445="STD. DEVIATION",$C$1=1),$A445,$A445+1),COLUMN('1-DATA'!G443)),IF($B445="STD. DEVIATION",2,$F$1))))</f>
        <v/>
      </c>
      <c r="I445" s="1" t="str">
        <f>IF(OR($B445="",I$7=""),"",IF($B445="MEANS",INDEX('1-DATA'!$1:$1048576,$A444-1,COLUMN('1-DATA'!H443)),ROUND(INDEX('1-DATA'!$1:$1048576,IF(OR($B445="STD. DEVIATION",$C$1=1),$A445,$A445+1),COLUMN('1-DATA'!H443)),IF($B445="STD. DEVIATION",2,$F$1))))</f>
        <v/>
      </c>
      <c r="J445" s="1" t="str">
        <f>IF(OR($B445="",J$7=""),"",IF($B445="MEANS",INDEX('1-DATA'!$1:$1048576,$A444-1,COLUMN('1-DATA'!I443)),ROUND(INDEX('1-DATA'!$1:$1048576,IF(OR($B445="STD. DEVIATION",$C$1=1),$A445,$A445+1),COLUMN('1-DATA'!I443)),IF($B445="STD. DEVIATION",2,$F$1))))</f>
        <v/>
      </c>
      <c r="K445" s="1" t="str">
        <f>IF(OR($B445="",K$7=""),"",IF($B445="MEANS",INDEX('1-DATA'!$1:$1048576,$A444-1,COLUMN('1-DATA'!J443)),ROUND(INDEX('1-DATA'!$1:$1048576,IF(OR($B445="STD. DEVIATION",$C$1=1),$A445,$A445+1),COLUMN('1-DATA'!J443)),IF($B445="STD. DEVIATION",2,$F$1))))</f>
        <v/>
      </c>
      <c r="L445" s="1" t="str">
        <f>IF(OR($B445="",L$7=""),"",IF($B445="MEANS",INDEX('1-DATA'!$1:$1048576,$A444-1,COLUMN('1-DATA'!K443)),ROUND(INDEX('1-DATA'!$1:$1048576,IF(OR($B445="STD. DEVIATION",$C$1=1),$A445,$A445+1),COLUMN('1-DATA'!K443)),IF($B445="STD. DEVIATION",2,$F$1))))</f>
        <v/>
      </c>
      <c r="M445" s="1" t="str">
        <f>IF(OR($B445="",M$7=""),"",IF($B445="MEANS",INDEX('1-DATA'!$1:$1048576,$A444-1,COLUMN('1-DATA'!L443)),ROUND(INDEX('1-DATA'!$1:$1048576,IF(OR($B445="STD. DEVIATION",$C$1=1),$A445,$A445+1),COLUMN('1-DATA'!L443)),IF($B445="STD. DEVIATION",2,$F$1))))</f>
        <v/>
      </c>
      <c r="N445" s="1" t="str">
        <f>IF(OR($B445="",N$7=""),"",IF($B445="MEANS",INDEX('1-DATA'!$1:$1048576,$A444-1,COLUMN('1-DATA'!M443)),ROUND(INDEX('1-DATA'!$1:$1048576,IF(OR($B445="STD. DEVIATION",$C$1=1),$A445,$A445+1),COLUMN('1-DATA'!M443)),IF($B445="STD. DEVIATION",2,$F$1))))</f>
        <v/>
      </c>
      <c r="O445" s="1" t="str">
        <f>IF(OR($B445="",O$7=""),"",IF($B445="MEANS",INDEX('1-DATA'!$1:$1048576,$A444-1,COLUMN('1-DATA'!N443)),ROUND(INDEX('1-DATA'!$1:$1048576,IF(OR($B445="STD. DEVIATION",$C$1=1),$A445,$A445+1),COLUMN('1-DATA'!N443)),IF($B445="STD. DEVIATION",2,$F$1))))</f>
        <v/>
      </c>
      <c r="P445" s="1" t="str">
        <f>IF(OR($B445="",P$7=""),"",IF($B445="MEANS",INDEX('1-DATA'!$1:$1048576,$A444-1,COLUMN('1-DATA'!O443)),ROUND(INDEX('1-DATA'!$1:$1048576,IF(OR($B445="STD. DEVIATION",$C$1=1),$A445,$A445+1),COLUMN('1-DATA'!O443)),IF($B445="STD. DEVIATION",2,$F$1))))</f>
        <v/>
      </c>
      <c r="Q445" s="1" t="str">
        <f>IF(OR($B445="",Q$7=""),"",IF($B445="MEANS",INDEX('1-DATA'!$1:$1048576,$A444-1,COLUMN('1-DATA'!P443)),ROUND(INDEX('1-DATA'!$1:$1048576,IF(OR($B445="STD. DEVIATION",$C$1=1),$A445,$A445+1),COLUMN('1-DATA'!P443)),IF($B445="STD. DEVIATION",2,$F$1))))</f>
        <v/>
      </c>
      <c r="R445" s="1" t="str">
        <f>IF(OR($B445="",R$7=""),"",IF($B445="MEANS",INDEX('1-DATA'!$1:$1048576,$A444-1,COLUMN('1-DATA'!Q443)),ROUND(INDEX('1-DATA'!$1:$1048576,IF(OR($B445="STD. DEVIATION",$C$1=1),$A445,$A445+1),COLUMN('1-DATA'!Q443)),IF($B445="STD. DEVIATION",2,$F$1))))</f>
        <v/>
      </c>
      <c r="S445" s="1" t="str">
        <f>IF(OR($B445="",S$7=""),"",IF($B445="MEANS",INDEX('1-DATA'!$1:$1048576,$A444-1,COLUMN('1-DATA'!R443)),ROUND(INDEX('1-DATA'!$1:$1048576,IF(OR($B445="STD. DEVIATION",$C$1=1),$A445,$A445+1),COLUMN('1-DATA'!R443)),IF($B445="STD. DEVIATION",2,$F$1))))</f>
        <v/>
      </c>
      <c r="T445" s="1" t="str">
        <f>IF(OR($B445="",T$7=""),"",IF($B445="MEANS",INDEX('1-DATA'!$1:$1048576,$A444-1,COLUMN('1-DATA'!S443)),ROUND(INDEX('1-DATA'!$1:$1048576,IF(OR($B445="STD. DEVIATION",$C$1=1),$A445,$A445+1),COLUMN('1-DATA'!S443)),IF($B445="STD. DEVIATION",2,$F$1))))</f>
        <v/>
      </c>
      <c r="U445" s="1" t="str">
        <f>IF(OR($B445="",U$7=""),"",IF($B445="MEANS",INDEX('1-DATA'!$1:$1048576,$A444-1,COLUMN('1-DATA'!T443)),ROUND(INDEX('1-DATA'!$1:$1048576,IF(OR($B445="STD. DEVIATION",$C$1=1),$A445,$A445+1),COLUMN('1-DATA'!T443)),IF($B445="STD. DEVIATION",2,$F$1))))</f>
        <v/>
      </c>
      <c r="V445" s="1" t="str">
        <f>IF(OR($B445="",V$7=""),"",IF($B445="MEANS",INDEX('1-DATA'!$1:$1048576,$A444-1,COLUMN('1-DATA'!U443)),ROUND(INDEX('1-DATA'!$1:$1048576,IF(OR($B445="STD. DEVIATION",$C$1=1),$A445,$A445+1),COLUMN('1-DATA'!U443)),IF($B445="STD. DEVIATION",2,$F$1))))</f>
        <v/>
      </c>
      <c r="W445" s="1" t="str">
        <f>IF(OR($B445="",W$7=""),"",IF($B445="MEANS",INDEX('1-DATA'!$1:$1048576,$A444-1,COLUMN('1-DATA'!V443)),ROUND(INDEX('1-DATA'!$1:$1048576,IF(OR($B445="STD. DEVIATION",$C$1=1),$A445,$A445+1),COLUMN('1-DATA'!V443)),IF($B445="STD. DEVIATION",2,$F$1))))</f>
        <v/>
      </c>
      <c r="X445" s="1" t="str">
        <f>IF(OR($B445="",X$7=""),"",IF($B445="MEANS",INDEX('1-DATA'!$1:$1048576,$A444-1,COLUMN('1-DATA'!W443)),ROUND(INDEX('1-DATA'!$1:$1048576,IF(OR($B445="STD. DEVIATION",$C$1=1),$A445,$A445+1),COLUMN('1-DATA'!W443)),IF($B445="STD. DEVIATION",2,$F$1))))</f>
        <v/>
      </c>
      <c r="Y445" s="1" t="str">
        <f>IF(OR($B445="",Y$7=""),"",IF($B445="MEANS",INDEX('1-DATA'!$1:$1048576,$A444-1,COLUMN('1-DATA'!X443)),ROUND(INDEX('1-DATA'!$1:$1048576,IF(OR($B445="STD. DEVIATION",$C$1=1),$A445,$A445+1),COLUMN('1-DATA'!X443)),IF($B445="STD. DEVIATION",2,$F$1))))</f>
        <v/>
      </c>
      <c r="Z445" s="1" t="str">
        <f>IF(OR($B445="",Z$7=""),"",IF($B445="MEANS",INDEX('1-DATA'!$1:$1048576,$A444-1,COLUMN('1-DATA'!Y443)),ROUND(INDEX('1-DATA'!$1:$1048576,IF(OR($B445="STD. DEVIATION",$C$1=1),$A445,$A445+1),COLUMN('1-DATA'!Y443)),IF($B445="STD. DEVIATION",2,$F$1))))</f>
        <v/>
      </c>
      <c r="AA445" s="1" t="str">
        <f>IF(OR($B445="",AA$7=""),"",IF($B445="MEANS",INDEX('1-DATA'!$1:$1048576,$A444-1,COLUMN('1-DATA'!Z443)),ROUND(INDEX('1-DATA'!$1:$1048576,IF(OR($B445="STD. DEVIATION",$C$1=1),$A445,$A445+1),COLUMN('1-DATA'!Z443)),IF($B445="STD. DEVIATION",2,$F$1))))</f>
        <v/>
      </c>
      <c r="AB445" s="1" t="str">
        <f>IF(OR($B445="",AB$7=""),"",IF($B445="MEANS",INDEX('1-DATA'!$1:$1048576,$A444-1,COLUMN('1-DATA'!AA443)),ROUND(INDEX('1-DATA'!$1:$1048576,IF(OR($B445="STD. DEVIATION",$C$1=1),$A445,$A445+1),COLUMN('1-DATA'!AA443)),IF($B445="STD. DEVIATION",2,$F$1))))</f>
        <v/>
      </c>
      <c r="AC445" s="1" t="str">
        <f>IF(OR($B445="",AC$7=""),"",IF($B445="MEANS",INDEX('1-DATA'!$1:$1048576,$A444-1,COLUMN('1-DATA'!AB443)),ROUND(INDEX('1-DATA'!$1:$1048576,IF(OR($B445="STD. DEVIATION",$C$1=1),$A445,$A445+1),COLUMN('1-DATA'!AB443)),IF($B445="STD. DEVIATION",2,$F$1))))</f>
        <v/>
      </c>
      <c r="AD445" s="1" t="str">
        <f>IF(OR($B445="",AD$7=""),"",IF($B445="MEANS",INDEX('1-DATA'!$1:$1048576,$A444-1,COLUMN('1-DATA'!AC443)),ROUND(INDEX('1-DATA'!$1:$1048576,IF(OR($B445="STD. DEVIATION",$C$1=1),$A445,$A445+1),COLUMN('1-DATA'!AC443)),IF($B445="STD. DEVIATION",2,$F$1))))</f>
        <v/>
      </c>
      <c r="AE445" s="1" t="str">
        <f>IF(OR($B445="",AE$7=""),"",IF($B445="MEANS",INDEX('1-DATA'!$1:$1048576,$A444-1,COLUMN('1-DATA'!AD443)),ROUND(INDEX('1-DATA'!$1:$1048576,IF(OR($B445="STD. DEVIATION",$C$1=1),$A445,$A445+1),COLUMN('1-DATA'!AD443)),IF($B445="STD. DEVIATION",2,$F$1))))</f>
        <v/>
      </c>
      <c r="AF445" s="1" t="str">
        <f>IF(OR($B445="",AF$7=""),"",IF($B445="MEANS",INDEX('1-DATA'!$1:$1048576,$A444-1,COLUMN('1-DATA'!AE443)),ROUND(INDEX('1-DATA'!$1:$1048576,IF(OR($B445="STD. DEVIATION",$C$1=1),$A445,$A445+1),COLUMN('1-DATA'!AE443)),IF($B445="STD. DEVIATION",2,$F$1))))</f>
        <v/>
      </c>
      <c r="AG445" s="1" t="str">
        <f>IF(OR($B445="",AG$7=""),"",IF($B445="MEANS",INDEX('1-DATA'!$1:$1048576,$A444-1,COLUMN('1-DATA'!AF443)),ROUND(INDEX('1-DATA'!$1:$1048576,IF(OR($B445="STD. DEVIATION",$C$1=1),$A445,$A445+1),COLUMN('1-DATA'!AF443)),IF($B445="STD. DEVIATION",2,$F$1))))</f>
        <v/>
      </c>
      <c r="AH445" s="1" t="str">
        <f>IF(OR($B445="",AH$7=""),"",IF($B445="MEANS",INDEX('1-DATA'!$1:$1048576,$A444-1,COLUMN('1-DATA'!AG443)),ROUND(INDEX('1-DATA'!$1:$1048576,IF(OR($B445="STD. DEVIATION",$C$1=1),$A445,$A445+1),COLUMN('1-DATA'!AG443)),IF($B445="STD. DEVIATION",2,$F$1))))</f>
        <v/>
      </c>
      <c r="AI445" s="1" t="str">
        <f>IF(OR($B445="",AI$7=""),"",IF($B445="MEANS",INDEX('1-DATA'!$1:$1048576,$A444-1,COLUMN('1-DATA'!AH443)),ROUND(INDEX('1-DATA'!$1:$1048576,IF(OR($B445="STD. DEVIATION",$C$1=1),$A445,$A445+1),COLUMN('1-DATA'!AH443)),IF($B445="STD. DEVIATION",2,$F$1))))</f>
        <v/>
      </c>
      <c r="AJ445" s="1" t="str">
        <f>IF(OR($B445="",AJ$7=""),"",IF($B445="MEANS",INDEX('1-DATA'!$1:$1048576,$A444-1,COLUMN('1-DATA'!AI443)),ROUND(INDEX('1-DATA'!$1:$1048576,IF(OR($B445="STD. DEVIATION",$C$1=1),$A445,$A445+1),COLUMN('1-DATA'!AI443)),IF($B445="STD. DEVIATION",2,$F$1))))</f>
        <v/>
      </c>
      <c r="AK445" s="1" t="str">
        <f>IF(OR($B445="",AK$7=""),"",IF($B445="MEANS",INDEX('1-DATA'!$1:$1048576,$A444-1,COLUMN('1-DATA'!AJ443)),ROUND(INDEX('1-DATA'!$1:$1048576,IF(OR($B445="STD. DEVIATION",$C$1=1),$A445,$A445+1),COLUMN('1-DATA'!AJ443)),IF($B445="STD. DEVIATION",2,$F$1))))</f>
        <v/>
      </c>
      <c r="AL445" s="1" t="str">
        <f>IF(OR($B445="",AL$7=""),"",IF($B445="MEANS",INDEX('1-DATA'!$1:$1048576,$A444-1,COLUMN('1-DATA'!AK443)),ROUND(INDEX('1-DATA'!$1:$1048576,IF(OR($B445="STD. DEVIATION",$C$1=1),$A445,$A445+1),COLUMN('1-DATA'!AK443)),IF($B445="STD. DEVIATION",2,$F$1))))</f>
        <v/>
      </c>
      <c r="AM445" s="1" t="str">
        <f>IF(OR($B445="",AM$7=""),"",IF($B445="MEANS",INDEX('1-DATA'!$1:$1048576,$A444-1,COLUMN('1-DATA'!AL443)),ROUND(INDEX('1-DATA'!$1:$1048576,IF(OR($B445="STD. DEVIATION",$C$1=1),$A445,$A445+1),COLUMN('1-DATA'!AL443)),IF($B445="STD. DEVIATION",2,$F$1))))</f>
        <v/>
      </c>
      <c r="AN445" s="1" t="str">
        <f>IF(OR($B445="",AN$7=""),"",IF($B445="MEANS",INDEX('1-DATA'!$1:$1048576,$A444-1,COLUMN('1-DATA'!AM443)),ROUND(INDEX('1-DATA'!$1:$1048576,IF(OR($B445="STD. DEVIATION",$C$1=1),$A445,$A445+1),COLUMN('1-DATA'!AM443)),IF($B445="STD. DEVIATION",2,$F$1))))</f>
        <v/>
      </c>
      <c r="AO445" s="1" t="str">
        <f>IF(OR($B445="",AO$7=""),"",IF($B445="MEANS",INDEX('1-DATA'!$1:$1048576,$A444-1,COLUMN('1-DATA'!AN443)),ROUND(INDEX('1-DATA'!$1:$1048576,IF(OR($B445="STD. DEVIATION",$C$1=1),$A445,$A445+1),COLUMN('1-DATA'!AN443)),IF($B445="STD. DEVIATION",2,$F$1))))</f>
        <v/>
      </c>
      <c r="AP445" s="1" t="str">
        <f>IF(OR($B445="",AP$7=""),"",IF($B445="MEANS",INDEX('1-DATA'!$1:$1048576,$A444-1,COLUMN('1-DATA'!AO443)),ROUND(INDEX('1-DATA'!$1:$1048576,IF(OR($B445="STD. DEVIATION",$C$1=1),$A445,$A445+1),COLUMN('1-DATA'!AO443)),IF($B445="STD. DEVIATION",2,$F$1))))</f>
        <v/>
      </c>
      <c r="AQ445" s="1" t="str">
        <f>IF(OR($B445="",AQ$7=""),"",IF($B445="MEANS",INDEX('1-DATA'!$1:$1048576,$A444-1,COLUMN('1-DATA'!AP443)),ROUND(INDEX('1-DATA'!$1:$1048576,IF(OR($B445="STD. DEVIATION",$C$1=1),$A445,$A445+1),COLUMN('1-DATA'!AP443)),IF($B445="STD. DEVIATION",2,$F$1))))</f>
        <v/>
      </c>
      <c r="AR445" s="1" t="str">
        <f>IF(OR($B445="",AR$7=""),"",IF($B445="MEANS",INDEX('1-DATA'!$1:$1048576,$A444-1,COLUMN('1-DATA'!AQ443)),ROUND(INDEX('1-DATA'!$1:$1048576,IF(OR($B445="STD. DEVIATION",$C$1=1),$A445,$A445+1),COLUMN('1-DATA'!AQ443)),IF($B445="STD. DEVIATION",2,$F$1))))</f>
        <v/>
      </c>
      <c r="AS445" s="1" t="str">
        <f>IF(OR($B445="",AS$7=""),"",IF($B445="MEANS",INDEX('1-DATA'!$1:$1048576,$A444-1,COLUMN('1-DATA'!AR443)),ROUND(INDEX('1-DATA'!$1:$1048576,IF(OR($B445="STD. DEVIATION",$C$1=1),$A445,$A445+1),COLUMN('1-DATA'!AR443)),IF($B445="STD. DEVIATION",2,$F$1))))</f>
        <v/>
      </c>
      <c r="AT445" s="1" t="str">
        <f>IF(OR($B445="",AT$7=""),"",IF($B445="MEANS",INDEX('1-DATA'!$1:$1048576,$A444-1,COLUMN('1-DATA'!AS443)),ROUND(INDEX('1-DATA'!$1:$1048576,IF(OR($B445="STD. DEVIATION",$C$1=1),$A445,$A445+1),COLUMN('1-DATA'!AS443)),IF($B445="STD. DEVIATION",2,$F$1))))</f>
        <v/>
      </c>
      <c r="AU445" s="1" t="str">
        <f>IF(OR($B445="",AU$7=""),"",IF($B445="MEANS",INDEX('1-DATA'!$1:$1048576,$A444-1,COLUMN('1-DATA'!AT443)),ROUND(INDEX('1-DATA'!$1:$1048576,IF(OR($B445="STD. DEVIATION",$C$1=1),$A445,$A445+1),COLUMN('1-DATA'!AT443)),IF($B445="STD. DEVIATION",2,$F$1))))</f>
        <v/>
      </c>
      <c r="AV445" s="1" t="str">
        <f>IF(OR($B445="",AV$7=""),"",IF($B445="MEANS",INDEX('1-DATA'!$1:$1048576,$A444-1,COLUMN('1-DATA'!AU443)),ROUND(INDEX('1-DATA'!$1:$1048576,IF(OR($B445="STD. DEVIATION",$C$1=1),$A445,$A445+1),COLUMN('1-DATA'!AU443)),IF($B445="STD. DEVIATION",2,$F$1))))</f>
        <v/>
      </c>
      <c r="AW445" s="1" t="str">
        <f>IF(OR($B445="",AW$7=""),"",IF($B445="MEANS",INDEX('1-DATA'!$1:$1048576,$A444-1,COLUMN('1-DATA'!AV443)),ROUND(INDEX('1-DATA'!$1:$1048576,IF(OR($B445="STD. DEVIATION",$C$1=1),$A445,$A445+1),COLUMN('1-DATA'!AV443)),IF($B445="STD. DEVIATION",2,$F$1))))</f>
        <v/>
      </c>
      <c r="AX445" s="1" t="str">
        <f>IF(OR($B445="",AX$7=""),"",IF($B445="MEANS",INDEX('1-DATA'!$1:$1048576,$A444-1,COLUMN('1-DATA'!AW443)),ROUND(INDEX('1-DATA'!$1:$1048576,IF(OR($B445="STD. DEVIATION",$C$1=1),$A445,$A445+1),COLUMN('1-DATA'!AW443)),IF($B445="STD. DEVIATION",2,$F$1))))</f>
        <v/>
      </c>
      <c r="AY445" s="1" t="str">
        <f>IF(OR($B445="",AY$7=""),"",IF($B445="MEANS",INDEX('1-DATA'!$1:$1048576,$A444-1,COLUMN('1-DATA'!AX443)),ROUND(INDEX('1-DATA'!$1:$1048576,IF(OR($B445="STD. DEVIATION",$C$1=1),$A445,$A445+1),COLUMN('1-DATA'!AX443)),IF($B445="STD. DEVIATION",2,$F$1))))</f>
        <v/>
      </c>
      <c r="AZ445" s="1" t="str">
        <f>IF(OR($B445="",AZ$7=""),"",IF($B445="MEANS",INDEX('1-DATA'!$1:$1048576,$A444-1,COLUMN('1-DATA'!AY443)),ROUND(INDEX('1-DATA'!$1:$1048576,IF(OR($B445="STD. DEVIATION",$C$1=1),$A445,$A445+1),COLUMN('1-DATA'!AY443)),IF($B445="STD. DEVIATION",2,$F$1))))</f>
        <v/>
      </c>
    </row>
    <row r="446" spans="1:52" x14ac:dyDescent="0.25">
      <c r="A446" s="11">
        <f t="shared" si="7"/>
        <v>1324</v>
      </c>
      <c r="B446" s="1" t="str">
        <f>IF(B445="STD. DEVIATION",INDEX('1-DATA'!$1:$1048576,$A445-1,1),IF(INDEX('1-DATA'!$1:$1048576,$A446,1)&lt;&gt;"",INDEX('1-DATA'!$1:$1048576,$A446,1),""))</f>
        <v/>
      </c>
      <c r="C446" s="1" t="str">
        <f>IF(OR($B446="",C$7=""),"",IF($B446="MEANS",INDEX('1-DATA'!$1:$1048576,$A445-1,COLUMN('1-DATA'!B444)),ROUND(INDEX('1-DATA'!$1:$1048576,IF(OR($B446="STD. DEVIATION",$C$1=1),$A446,$A446+1),COLUMN('1-DATA'!B444)),IF($B446="STD. DEVIATION",2,$F$1))))</f>
        <v/>
      </c>
      <c r="D446" s="1" t="str">
        <f>IF(OR($B446="",D$7=""),"",IF($B446="MEANS",INDEX('1-DATA'!$1:$1048576,$A445-1,COLUMN('1-DATA'!C444)),ROUND(INDEX('1-DATA'!$1:$1048576,IF(OR($B446="STD. DEVIATION",$C$1=1),$A446,$A446+1),COLUMN('1-DATA'!C444)),IF($B446="STD. DEVIATION",2,$F$1))))</f>
        <v/>
      </c>
      <c r="E446" s="1" t="str">
        <f>IF(OR($B446="",E$7=""),"",IF($B446="MEANS",INDEX('1-DATA'!$1:$1048576,$A445-1,COLUMN('1-DATA'!D444)),ROUND(INDEX('1-DATA'!$1:$1048576,IF(OR($B446="STD. DEVIATION",$C$1=1),$A446,$A446+1),COLUMN('1-DATA'!D444)),IF($B446="STD. DEVIATION",2,$F$1))))</f>
        <v/>
      </c>
      <c r="F446" s="1" t="str">
        <f>IF(OR($B446="",F$7=""),"",IF($B446="MEANS",INDEX('1-DATA'!$1:$1048576,$A445-1,COLUMN('1-DATA'!E444)),ROUND(INDEX('1-DATA'!$1:$1048576,IF(OR($B446="STD. DEVIATION",$C$1=1),$A446,$A446+1),COLUMN('1-DATA'!E444)),IF($B446="STD. DEVIATION",2,$F$1))))</f>
        <v/>
      </c>
      <c r="G446" s="1" t="str">
        <f>IF(OR($B446="",G$7=""),"",IF($B446="MEANS",INDEX('1-DATA'!$1:$1048576,$A445-1,COLUMN('1-DATA'!F444)),ROUND(INDEX('1-DATA'!$1:$1048576,IF(OR($B446="STD. DEVIATION",$C$1=1),$A446,$A446+1),COLUMN('1-DATA'!F444)),IF($B446="STD. DEVIATION",2,$F$1))))</f>
        <v/>
      </c>
      <c r="H446" s="1" t="str">
        <f>IF(OR($B446="",H$7=""),"",IF($B446="MEANS",INDEX('1-DATA'!$1:$1048576,$A445-1,COLUMN('1-DATA'!G444)),ROUND(INDEX('1-DATA'!$1:$1048576,IF(OR($B446="STD. DEVIATION",$C$1=1),$A446,$A446+1),COLUMN('1-DATA'!G444)),IF($B446="STD. DEVIATION",2,$F$1))))</f>
        <v/>
      </c>
      <c r="I446" s="1" t="str">
        <f>IF(OR($B446="",I$7=""),"",IF($B446="MEANS",INDEX('1-DATA'!$1:$1048576,$A445-1,COLUMN('1-DATA'!H444)),ROUND(INDEX('1-DATA'!$1:$1048576,IF(OR($B446="STD. DEVIATION",$C$1=1),$A446,$A446+1),COLUMN('1-DATA'!H444)),IF($B446="STD. DEVIATION",2,$F$1))))</f>
        <v/>
      </c>
      <c r="J446" s="1" t="str">
        <f>IF(OR($B446="",J$7=""),"",IF($B446="MEANS",INDEX('1-DATA'!$1:$1048576,$A445-1,COLUMN('1-DATA'!I444)),ROUND(INDEX('1-DATA'!$1:$1048576,IF(OR($B446="STD. DEVIATION",$C$1=1),$A446,$A446+1),COLUMN('1-DATA'!I444)),IF($B446="STD. DEVIATION",2,$F$1))))</f>
        <v/>
      </c>
      <c r="K446" s="1" t="str">
        <f>IF(OR($B446="",K$7=""),"",IF($B446="MEANS",INDEX('1-DATA'!$1:$1048576,$A445-1,COLUMN('1-DATA'!J444)),ROUND(INDEX('1-DATA'!$1:$1048576,IF(OR($B446="STD. DEVIATION",$C$1=1),$A446,$A446+1),COLUMN('1-DATA'!J444)),IF($B446="STD. DEVIATION",2,$F$1))))</f>
        <v/>
      </c>
      <c r="L446" s="1" t="str">
        <f>IF(OR($B446="",L$7=""),"",IF($B446="MEANS",INDEX('1-DATA'!$1:$1048576,$A445-1,COLUMN('1-DATA'!K444)),ROUND(INDEX('1-DATA'!$1:$1048576,IF(OR($B446="STD. DEVIATION",$C$1=1),$A446,$A446+1),COLUMN('1-DATA'!K444)),IF($B446="STD. DEVIATION",2,$F$1))))</f>
        <v/>
      </c>
      <c r="M446" s="1" t="str">
        <f>IF(OR($B446="",M$7=""),"",IF($B446="MEANS",INDEX('1-DATA'!$1:$1048576,$A445-1,COLUMN('1-DATA'!L444)),ROUND(INDEX('1-DATA'!$1:$1048576,IF(OR($B446="STD. DEVIATION",$C$1=1),$A446,$A446+1),COLUMN('1-DATA'!L444)),IF($B446="STD. DEVIATION",2,$F$1))))</f>
        <v/>
      </c>
      <c r="N446" s="1" t="str">
        <f>IF(OR($B446="",N$7=""),"",IF($B446="MEANS",INDEX('1-DATA'!$1:$1048576,$A445-1,COLUMN('1-DATA'!M444)),ROUND(INDEX('1-DATA'!$1:$1048576,IF(OR($B446="STD. DEVIATION",$C$1=1),$A446,$A446+1),COLUMN('1-DATA'!M444)),IF($B446="STD. DEVIATION",2,$F$1))))</f>
        <v/>
      </c>
      <c r="O446" s="1" t="str">
        <f>IF(OR($B446="",O$7=""),"",IF($B446="MEANS",INDEX('1-DATA'!$1:$1048576,$A445-1,COLUMN('1-DATA'!N444)),ROUND(INDEX('1-DATA'!$1:$1048576,IF(OR($B446="STD. DEVIATION",$C$1=1),$A446,$A446+1),COLUMN('1-DATA'!N444)),IF($B446="STD. DEVIATION",2,$F$1))))</f>
        <v/>
      </c>
      <c r="P446" s="1" t="str">
        <f>IF(OR($B446="",P$7=""),"",IF($B446="MEANS",INDEX('1-DATA'!$1:$1048576,$A445-1,COLUMN('1-DATA'!O444)),ROUND(INDEX('1-DATA'!$1:$1048576,IF(OR($B446="STD. DEVIATION",$C$1=1),$A446,$A446+1),COLUMN('1-DATA'!O444)),IF($B446="STD. DEVIATION",2,$F$1))))</f>
        <v/>
      </c>
      <c r="Q446" s="1" t="str">
        <f>IF(OR($B446="",Q$7=""),"",IF($B446="MEANS",INDEX('1-DATA'!$1:$1048576,$A445-1,COLUMN('1-DATA'!P444)),ROUND(INDEX('1-DATA'!$1:$1048576,IF(OR($B446="STD. DEVIATION",$C$1=1),$A446,$A446+1),COLUMN('1-DATA'!P444)),IF($B446="STD. DEVIATION",2,$F$1))))</f>
        <v/>
      </c>
      <c r="R446" s="1" t="str">
        <f>IF(OR($B446="",R$7=""),"",IF($B446="MEANS",INDEX('1-DATA'!$1:$1048576,$A445-1,COLUMN('1-DATA'!Q444)),ROUND(INDEX('1-DATA'!$1:$1048576,IF(OR($B446="STD. DEVIATION",$C$1=1),$A446,$A446+1),COLUMN('1-DATA'!Q444)),IF($B446="STD. DEVIATION",2,$F$1))))</f>
        <v/>
      </c>
      <c r="S446" s="1" t="str">
        <f>IF(OR($B446="",S$7=""),"",IF($B446="MEANS",INDEX('1-DATA'!$1:$1048576,$A445-1,COLUMN('1-DATA'!R444)),ROUND(INDEX('1-DATA'!$1:$1048576,IF(OR($B446="STD. DEVIATION",$C$1=1),$A446,$A446+1),COLUMN('1-DATA'!R444)),IF($B446="STD. DEVIATION",2,$F$1))))</f>
        <v/>
      </c>
      <c r="T446" s="1" t="str">
        <f>IF(OR($B446="",T$7=""),"",IF($B446="MEANS",INDEX('1-DATA'!$1:$1048576,$A445-1,COLUMN('1-DATA'!S444)),ROUND(INDEX('1-DATA'!$1:$1048576,IF(OR($B446="STD. DEVIATION",$C$1=1),$A446,$A446+1),COLUMN('1-DATA'!S444)),IF($B446="STD. DEVIATION",2,$F$1))))</f>
        <v/>
      </c>
      <c r="U446" s="1" t="str">
        <f>IF(OR($B446="",U$7=""),"",IF($B446="MEANS",INDEX('1-DATA'!$1:$1048576,$A445-1,COLUMN('1-DATA'!T444)),ROUND(INDEX('1-DATA'!$1:$1048576,IF(OR($B446="STD. DEVIATION",$C$1=1),$A446,$A446+1),COLUMN('1-DATA'!T444)),IF($B446="STD. DEVIATION",2,$F$1))))</f>
        <v/>
      </c>
      <c r="V446" s="1" t="str">
        <f>IF(OR($B446="",V$7=""),"",IF($B446="MEANS",INDEX('1-DATA'!$1:$1048576,$A445-1,COLUMN('1-DATA'!U444)),ROUND(INDEX('1-DATA'!$1:$1048576,IF(OR($B446="STD. DEVIATION",$C$1=1),$A446,$A446+1),COLUMN('1-DATA'!U444)),IF($B446="STD. DEVIATION",2,$F$1))))</f>
        <v/>
      </c>
      <c r="W446" s="1" t="str">
        <f>IF(OR($B446="",W$7=""),"",IF($B446="MEANS",INDEX('1-DATA'!$1:$1048576,$A445-1,COLUMN('1-DATA'!V444)),ROUND(INDEX('1-DATA'!$1:$1048576,IF(OR($B446="STD. DEVIATION",$C$1=1),$A446,$A446+1),COLUMN('1-DATA'!V444)),IF($B446="STD. DEVIATION",2,$F$1))))</f>
        <v/>
      </c>
      <c r="X446" s="1" t="str">
        <f>IF(OR($B446="",X$7=""),"",IF($B446="MEANS",INDEX('1-DATA'!$1:$1048576,$A445-1,COLUMN('1-DATA'!W444)),ROUND(INDEX('1-DATA'!$1:$1048576,IF(OR($B446="STD. DEVIATION",$C$1=1),$A446,$A446+1),COLUMN('1-DATA'!W444)),IF($B446="STD. DEVIATION",2,$F$1))))</f>
        <v/>
      </c>
      <c r="Y446" s="1" t="str">
        <f>IF(OR($B446="",Y$7=""),"",IF($B446="MEANS",INDEX('1-DATA'!$1:$1048576,$A445-1,COLUMN('1-DATA'!X444)),ROUND(INDEX('1-DATA'!$1:$1048576,IF(OR($B446="STD. DEVIATION",$C$1=1),$A446,$A446+1),COLUMN('1-DATA'!X444)),IF($B446="STD. DEVIATION",2,$F$1))))</f>
        <v/>
      </c>
      <c r="Z446" s="1" t="str">
        <f>IF(OR($B446="",Z$7=""),"",IF($B446="MEANS",INDEX('1-DATA'!$1:$1048576,$A445-1,COLUMN('1-DATA'!Y444)),ROUND(INDEX('1-DATA'!$1:$1048576,IF(OR($B446="STD. DEVIATION",$C$1=1),$A446,$A446+1),COLUMN('1-DATA'!Y444)),IF($B446="STD. DEVIATION",2,$F$1))))</f>
        <v/>
      </c>
      <c r="AA446" s="1" t="str">
        <f>IF(OR($B446="",AA$7=""),"",IF($B446="MEANS",INDEX('1-DATA'!$1:$1048576,$A445-1,COLUMN('1-DATA'!Z444)),ROUND(INDEX('1-DATA'!$1:$1048576,IF(OR($B446="STD. DEVIATION",$C$1=1),$A446,$A446+1),COLUMN('1-DATA'!Z444)),IF($B446="STD. DEVIATION",2,$F$1))))</f>
        <v/>
      </c>
      <c r="AB446" s="1" t="str">
        <f>IF(OR($B446="",AB$7=""),"",IF($B446="MEANS",INDEX('1-DATA'!$1:$1048576,$A445-1,COLUMN('1-DATA'!AA444)),ROUND(INDEX('1-DATA'!$1:$1048576,IF(OR($B446="STD. DEVIATION",$C$1=1),$A446,$A446+1),COLUMN('1-DATA'!AA444)),IF($B446="STD. DEVIATION",2,$F$1))))</f>
        <v/>
      </c>
      <c r="AC446" s="1" t="str">
        <f>IF(OR($B446="",AC$7=""),"",IF($B446="MEANS",INDEX('1-DATA'!$1:$1048576,$A445-1,COLUMN('1-DATA'!AB444)),ROUND(INDEX('1-DATA'!$1:$1048576,IF(OR($B446="STD. DEVIATION",$C$1=1),$A446,$A446+1),COLUMN('1-DATA'!AB444)),IF($B446="STD. DEVIATION",2,$F$1))))</f>
        <v/>
      </c>
      <c r="AD446" s="1" t="str">
        <f>IF(OR($B446="",AD$7=""),"",IF($B446="MEANS",INDEX('1-DATA'!$1:$1048576,$A445-1,COLUMN('1-DATA'!AC444)),ROUND(INDEX('1-DATA'!$1:$1048576,IF(OR($B446="STD. DEVIATION",$C$1=1),$A446,$A446+1),COLUMN('1-DATA'!AC444)),IF($B446="STD. DEVIATION",2,$F$1))))</f>
        <v/>
      </c>
      <c r="AE446" s="1" t="str">
        <f>IF(OR($B446="",AE$7=""),"",IF($B446="MEANS",INDEX('1-DATA'!$1:$1048576,$A445-1,COLUMN('1-DATA'!AD444)),ROUND(INDEX('1-DATA'!$1:$1048576,IF(OR($B446="STD. DEVIATION",$C$1=1),$A446,$A446+1),COLUMN('1-DATA'!AD444)),IF($B446="STD. DEVIATION",2,$F$1))))</f>
        <v/>
      </c>
      <c r="AF446" s="1" t="str">
        <f>IF(OR($B446="",AF$7=""),"",IF($B446="MEANS",INDEX('1-DATA'!$1:$1048576,$A445-1,COLUMN('1-DATA'!AE444)),ROUND(INDEX('1-DATA'!$1:$1048576,IF(OR($B446="STD. DEVIATION",$C$1=1),$A446,$A446+1),COLUMN('1-DATA'!AE444)),IF($B446="STD. DEVIATION",2,$F$1))))</f>
        <v/>
      </c>
      <c r="AG446" s="1" t="str">
        <f>IF(OR($B446="",AG$7=""),"",IF($B446="MEANS",INDEX('1-DATA'!$1:$1048576,$A445-1,COLUMN('1-DATA'!AF444)),ROUND(INDEX('1-DATA'!$1:$1048576,IF(OR($B446="STD. DEVIATION",$C$1=1),$A446,$A446+1),COLUMN('1-DATA'!AF444)),IF($B446="STD. DEVIATION",2,$F$1))))</f>
        <v/>
      </c>
      <c r="AH446" s="1" t="str">
        <f>IF(OR($B446="",AH$7=""),"",IF($B446="MEANS",INDEX('1-DATA'!$1:$1048576,$A445-1,COLUMN('1-DATA'!AG444)),ROUND(INDEX('1-DATA'!$1:$1048576,IF(OR($B446="STD. DEVIATION",$C$1=1),$A446,$A446+1),COLUMN('1-DATA'!AG444)),IF($B446="STD. DEVIATION",2,$F$1))))</f>
        <v/>
      </c>
      <c r="AI446" s="1" t="str">
        <f>IF(OR($B446="",AI$7=""),"",IF($B446="MEANS",INDEX('1-DATA'!$1:$1048576,$A445-1,COLUMN('1-DATA'!AH444)),ROUND(INDEX('1-DATA'!$1:$1048576,IF(OR($B446="STD. DEVIATION",$C$1=1),$A446,$A446+1),COLUMN('1-DATA'!AH444)),IF($B446="STD. DEVIATION",2,$F$1))))</f>
        <v/>
      </c>
      <c r="AJ446" s="1" t="str">
        <f>IF(OR($B446="",AJ$7=""),"",IF($B446="MEANS",INDEX('1-DATA'!$1:$1048576,$A445-1,COLUMN('1-DATA'!AI444)),ROUND(INDEX('1-DATA'!$1:$1048576,IF(OR($B446="STD. DEVIATION",$C$1=1),$A446,$A446+1),COLUMN('1-DATA'!AI444)),IF($B446="STD. DEVIATION",2,$F$1))))</f>
        <v/>
      </c>
      <c r="AK446" s="1" t="str">
        <f>IF(OR($B446="",AK$7=""),"",IF($B446="MEANS",INDEX('1-DATA'!$1:$1048576,$A445-1,COLUMN('1-DATA'!AJ444)),ROUND(INDEX('1-DATA'!$1:$1048576,IF(OR($B446="STD. DEVIATION",$C$1=1),$A446,$A446+1),COLUMN('1-DATA'!AJ444)),IF($B446="STD. DEVIATION",2,$F$1))))</f>
        <v/>
      </c>
      <c r="AL446" s="1" t="str">
        <f>IF(OR($B446="",AL$7=""),"",IF($B446="MEANS",INDEX('1-DATA'!$1:$1048576,$A445-1,COLUMN('1-DATA'!AK444)),ROUND(INDEX('1-DATA'!$1:$1048576,IF(OR($B446="STD. DEVIATION",$C$1=1),$A446,$A446+1),COLUMN('1-DATA'!AK444)),IF($B446="STD. DEVIATION",2,$F$1))))</f>
        <v/>
      </c>
      <c r="AM446" s="1" t="str">
        <f>IF(OR($B446="",AM$7=""),"",IF($B446="MEANS",INDEX('1-DATA'!$1:$1048576,$A445-1,COLUMN('1-DATA'!AL444)),ROUND(INDEX('1-DATA'!$1:$1048576,IF(OR($B446="STD. DEVIATION",$C$1=1),$A446,$A446+1),COLUMN('1-DATA'!AL444)),IF($B446="STD. DEVIATION",2,$F$1))))</f>
        <v/>
      </c>
      <c r="AN446" s="1" t="str">
        <f>IF(OR($B446="",AN$7=""),"",IF($B446="MEANS",INDEX('1-DATA'!$1:$1048576,$A445-1,COLUMN('1-DATA'!AM444)),ROUND(INDEX('1-DATA'!$1:$1048576,IF(OR($B446="STD. DEVIATION",$C$1=1),$A446,$A446+1),COLUMN('1-DATA'!AM444)),IF($B446="STD. DEVIATION",2,$F$1))))</f>
        <v/>
      </c>
      <c r="AO446" s="1" t="str">
        <f>IF(OR($B446="",AO$7=""),"",IF($B446="MEANS",INDEX('1-DATA'!$1:$1048576,$A445-1,COLUMN('1-DATA'!AN444)),ROUND(INDEX('1-DATA'!$1:$1048576,IF(OR($B446="STD. DEVIATION",$C$1=1),$A446,$A446+1),COLUMN('1-DATA'!AN444)),IF($B446="STD. DEVIATION",2,$F$1))))</f>
        <v/>
      </c>
      <c r="AP446" s="1" t="str">
        <f>IF(OR($B446="",AP$7=""),"",IF($B446="MEANS",INDEX('1-DATA'!$1:$1048576,$A445-1,COLUMN('1-DATA'!AO444)),ROUND(INDEX('1-DATA'!$1:$1048576,IF(OR($B446="STD. DEVIATION",$C$1=1),$A446,$A446+1),COLUMN('1-DATA'!AO444)),IF($B446="STD. DEVIATION",2,$F$1))))</f>
        <v/>
      </c>
      <c r="AQ446" s="1" t="str">
        <f>IF(OR($B446="",AQ$7=""),"",IF($B446="MEANS",INDEX('1-DATA'!$1:$1048576,$A445-1,COLUMN('1-DATA'!AP444)),ROUND(INDEX('1-DATA'!$1:$1048576,IF(OR($B446="STD. DEVIATION",$C$1=1),$A446,$A446+1),COLUMN('1-DATA'!AP444)),IF($B446="STD. DEVIATION",2,$F$1))))</f>
        <v/>
      </c>
      <c r="AR446" s="1" t="str">
        <f>IF(OR($B446="",AR$7=""),"",IF($B446="MEANS",INDEX('1-DATA'!$1:$1048576,$A445-1,COLUMN('1-DATA'!AQ444)),ROUND(INDEX('1-DATA'!$1:$1048576,IF(OR($B446="STD. DEVIATION",$C$1=1),$A446,$A446+1),COLUMN('1-DATA'!AQ444)),IF($B446="STD. DEVIATION",2,$F$1))))</f>
        <v/>
      </c>
      <c r="AS446" s="1" t="str">
        <f>IF(OR($B446="",AS$7=""),"",IF($B446="MEANS",INDEX('1-DATA'!$1:$1048576,$A445-1,COLUMN('1-DATA'!AR444)),ROUND(INDEX('1-DATA'!$1:$1048576,IF(OR($B446="STD. DEVIATION",$C$1=1),$A446,$A446+1),COLUMN('1-DATA'!AR444)),IF($B446="STD. DEVIATION",2,$F$1))))</f>
        <v/>
      </c>
      <c r="AT446" s="1" t="str">
        <f>IF(OR($B446="",AT$7=""),"",IF($B446="MEANS",INDEX('1-DATA'!$1:$1048576,$A445-1,COLUMN('1-DATA'!AS444)),ROUND(INDEX('1-DATA'!$1:$1048576,IF(OR($B446="STD. DEVIATION",$C$1=1),$A446,$A446+1),COLUMN('1-DATA'!AS444)),IF($B446="STD. DEVIATION",2,$F$1))))</f>
        <v/>
      </c>
      <c r="AU446" s="1" t="str">
        <f>IF(OR($B446="",AU$7=""),"",IF($B446="MEANS",INDEX('1-DATA'!$1:$1048576,$A445-1,COLUMN('1-DATA'!AT444)),ROUND(INDEX('1-DATA'!$1:$1048576,IF(OR($B446="STD. DEVIATION",$C$1=1),$A446,$A446+1),COLUMN('1-DATA'!AT444)),IF($B446="STD. DEVIATION",2,$F$1))))</f>
        <v/>
      </c>
      <c r="AV446" s="1" t="str">
        <f>IF(OR($B446="",AV$7=""),"",IF($B446="MEANS",INDEX('1-DATA'!$1:$1048576,$A445-1,COLUMN('1-DATA'!AU444)),ROUND(INDEX('1-DATA'!$1:$1048576,IF(OR($B446="STD. DEVIATION",$C$1=1),$A446,$A446+1),COLUMN('1-DATA'!AU444)),IF($B446="STD. DEVIATION",2,$F$1))))</f>
        <v/>
      </c>
      <c r="AW446" s="1" t="str">
        <f>IF(OR($B446="",AW$7=""),"",IF($B446="MEANS",INDEX('1-DATA'!$1:$1048576,$A445-1,COLUMN('1-DATA'!AV444)),ROUND(INDEX('1-DATA'!$1:$1048576,IF(OR($B446="STD. DEVIATION",$C$1=1),$A446,$A446+1),COLUMN('1-DATA'!AV444)),IF($B446="STD. DEVIATION",2,$F$1))))</f>
        <v/>
      </c>
      <c r="AX446" s="1" t="str">
        <f>IF(OR($B446="",AX$7=""),"",IF($B446="MEANS",INDEX('1-DATA'!$1:$1048576,$A445-1,COLUMN('1-DATA'!AW444)),ROUND(INDEX('1-DATA'!$1:$1048576,IF(OR($B446="STD. DEVIATION",$C$1=1),$A446,$A446+1),COLUMN('1-DATA'!AW444)),IF($B446="STD. DEVIATION",2,$F$1))))</f>
        <v/>
      </c>
      <c r="AY446" s="1" t="str">
        <f>IF(OR($B446="",AY$7=""),"",IF($B446="MEANS",INDEX('1-DATA'!$1:$1048576,$A445-1,COLUMN('1-DATA'!AX444)),ROUND(INDEX('1-DATA'!$1:$1048576,IF(OR($B446="STD. DEVIATION",$C$1=1),$A446,$A446+1),COLUMN('1-DATA'!AX444)),IF($B446="STD. DEVIATION",2,$F$1))))</f>
        <v/>
      </c>
      <c r="AZ446" s="1" t="str">
        <f>IF(OR($B446="",AZ$7=""),"",IF($B446="MEANS",INDEX('1-DATA'!$1:$1048576,$A445-1,COLUMN('1-DATA'!AY444)),ROUND(INDEX('1-DATA'!$1:$1048576,IF(OR($B446="STD. DEVIATION",$C$1=1),$A446,$A446+1),COLUMN('1-DATA'!AY444)),IF($B446="STD. DEVIATION",2,$F$1))))</f>
        <v/>
      </c>
    </row>
    <row r="447" spans="1:52" x14ac:dyDescent="0.25">
      <c r="A447" s="11">
        <f t="shared" si="7"/>
        <v>1327</v>
      </c>
      <c r="B447" s="1" t="str">
        <f>IF(B446="STD. DEVIATION",INDEX('1-DATA'!$1:$1048576,$A446-1,1),IF(INDEX('1-DATA'!$1:$1048576,$A447,1)&lt;&gt;"",INDEX('1-DATA'!$1:$1048576,$A447,1),""))</f>
        <v/>
      </c>
      <c r="C447" s="1" t="str">
        <f>IF(OR($B447="",C$7=""),"",IF($B447="MEANS",INDEX('1-DATA'!$1:$1048576,$A446-1,COLUMN('1-DATA'!B445)),ROUND(INDEX('1-DATA'!$1:$1048576,IF(OR($B447="STD. DEVIATION",$C$1=1),$A447,$A447+1),COLUMN('1-DATA'!B445)),IF($B447="STD. DEVIATION",2,$F$1))))</f>
        <v/>
      </c>
      <c r="D447" s="1" t="str">
        <f>IF(OR($B447="",D$7=""),"",IF($B447="MEANS",INDEX('1-DATA'!$1:$1048576,$A446-1,COLUMN('1-DATA'!C445)),ROUND(INDEX('1-DATA'!$1:$1048576,IF(OR($B447="STD. DEVIATION",$C$1=1),$A447,$A447+1),COLUMN('1-DATA'!C445)),IF($B447="STD. DEVIATION",2,$F$1))))</f>
        <v/>
      </c>
      <c r="E447" s="1" t="str">
        <f>IF(OR($B447="",E$7=""),"",IF($B447="MEANS",INDEX('1-DATA'!$1:$1048576,$A446-1,COLUMN('1-DATA'!D445)),ROUND(INDEX('1-DATA'!$1:$1048576,IF(OR($B447="STD. DEVIATION",$C$1=1),$A447,$A447+1),COLUMN('1-DATA'!D445)),IF($B447="STD. DEVIATION",2,$F$1))))</f>
        <v/>
      </c>
      <c r="F447" s="1" t="str">
        <f>IF(OR($B447="",F$7=""),"",IF($B447="MEANS",INDEX('1-DATA'!$1:$1048576,$A446-1,COLUMN('1-DATA'!E445)),ROUND(INDEX('1-DATA'!$1:$1048576,IF(OR($B447="STD. DEVIATION",$C$1=1),$A447,$A447+1),COLUMN('1-DATA'!E445)),IF($B447="STD. DEVIATION",2,$F$1))))</f>
        <v/>
      </c>
      <c r="G447" s="1" t="str">
        <f>IF(OR($B447="",G$7=""),"",IF($B447="MEANS",INDEX('1-DATA'!$1:$1048576,$A446-1,COLUMN('1-DATA'!F445)),ROUND(INDEX('1-DATA'!$1:$1048576,IF(OR($B447="STD. DEVIATION",$C$1=1),$A447,$A447+1),COLUMN('1-DATA'!F445)),IF($B447="STD. DEVIATION",2,$F$1))))</f>
        <v/>
      </c>
      <c r="H447" s="1" t="str">
        <f>IF(OR($B447="",H$7=""),"",IF($B447="MEANS",INDEX('1-DATA'!$1:$1048576,$A446-1,COLUMN('1-DATA'!G445)),ROUND(INDEX('1-DATA'!$1:$1048576,IF(OR($B447="STD. DEVIATION",$C$1=1),$A447,$A447+1),COLUMN('1-DATA'!G445)),IF($B447="STD. DEVIATION",2,$F$1))))</f>
        <v/>
      </c>
      <c r="I447" s="1" t="str">
        <f>IF(OR($B447="",I$7=""),"",IF($B447="MEANS",INDEX('1-DATA'!$1:$1048576,$A446-1,COLUMN('1-DATA'!H445)),ROUND(INDEX('1-DATA'!$1:$1048576,IF(OR($B447="STD. DEVIATION",$C$1=1),$A447,$A447+1),COLUMN('1-DATA'!H445)),IF($B447="STD. DEVIATION",2,$F$1))))</f>
        <v/>
      </c>
      <c r="J447" s="1" t="str">
        <f>IF(OR($B447="",J$7=""),"",IF($B447="MEANS",INDEX('1-DATA'!$1:$1048576,$A446-1,COLUMN('1-DATA'!I445)),ROUND(INDEX('1-DATA'!$1:$1048576,IF(OR($B447="STD. DEVIATION",$C$1=1),$A447,$A447+1),COLUMN('1-DATA'!I445)),IF($B447="STD. DEVIATION",2,$F$1))))</f>
        <v/>
      </c>
      <c r="K447" s="1" t="str">
        <f>IF(OR($B447="",K$7=""),"",IF($B447="MEANS",INDEX('1-DATA'!$1:$1048576,$A446-1,COLUMN('1-DATA'!J445)),ROUND(INDEX('1-DATA'!$1:$1048576,IF(OR($B447="STD. DEVIATION",$C$1=1),$A447,$A447+1),COLUMN('1-DATA'!J445)),IF($B447="STD. DEVIATION",2,$F$1))))</f>
        <v/>
      </c>
      <c r="L447" s="1" t="str">
        <f>IF(OR($B447="",L$7=""),"",IF($B447="MEANS",INDEX('1-DATA'!$1:$1048576,$A446-1,COLUMN('1-DATA'!K445)),ROUND(INDEX('1-DATA'!$1:$1048576,IF(OR($B447="STD. DEVIATION",$C$1=1),$A447,$A447+1),COLUMN('1-DATA'!K445)),IF($B447="STD. DEVIATION",2,$F$1))))</f>
        <v/>
      </c>
      <c r="M447" s="1" t="str">
        <f>IF(OR($B447="",M$7=""),"",IF($B447="MEANS",INDEX('1-DATA'!$1:$1048576,$A446-1,COLUMN('1-DATA'!L445)),ROUND(INDEX('1-DATA'!$1:$1048576,IF(OR($B447="STD. DEVIATION",$C$1=1),$A447,$A447+1),COLUMN('1-DATA'!L445)),IF($B447="STD. DEVIATION",2,$F$1))))</f>
        <v/>
      </c>
      <c r="N447" s="1" t="str">
        <f>IF(OR($B447="",N$7=""),"",IF($B447="MEANS",INDEX('1-DATA'!$1:$1048576,$A446-1,COLUMN('1-DATA'!M445)),ROUND(INDEX('1-DATA'!$1:$1048576,IF(OR($B447="STD. DEVIATION",$C$1=1),$A447,$A447+1),COLUMN('1-DATA'!M445)),IF($B447="STD. DEVIATION",2,$F$1))))</f>
        <v/>
      </c>
      <c r="O447" s="1" t="str">
        <f>IF(OR($B447="",O$7=""),"",IF($B447="MEANS",INDEX('1-DATA'!$1:$1048576,$A446-1,COLUMN('1-DATA'!N445)),ROUND(INDEX('1-DATA'!$1:$1048576,IF(OR($B447="STD. DEVIATION",$C$1=1),$A447,$A447+1),COLUMN('1-DATA'!N445)),IF($B447="STD. DEVIATION",2,$F$1))))</f>
        <v/>
      </c>
      <c r="P447" s="1" t="str">
        <f>IF(OR($B447="",P$7=""),"",IF($B447="MEANS",INDEX('1-DATA'!$1:$1048576,$A446-1,COLUMN('1-DATA'!O445)),ROUND(INDEX('1-DATA'!$1:$1048576,IF(OR($B447="STD. DEVIATION",$C$1=1),$A447,$A447+1),COLUMN('1-DATA'!O445)),IF($B447="STD. DEVIATION",2,$F$1))))</f>
        <v/>
      </c>
      <c r="Q447" s="1" t="str">
        <f>IF(OR($B447="",Q$7=""),"",IF($B447="MEANS",INDEX('1-DATA'!$1:$1048576,$A446-1,COLUMN('1-DATA'!P445)),ROUND(INDEX('1-DATA'!$1:$1048576,IF(OR($B447="STD. DEVIATION",$C$1=1),$A447,$A447+1),COLUMN('1-DATA'!P445)),IF($B447="STD. DEVIATION",2,$F$1))))</f>
        <v/>
      </c>
      <c r="R447" s="1" t="str">
        <f>IF(OR($B447="",R$7=""),"",IF($B447="MEANS",INDEX('1-DATA'!$1:$1048576,$A446-1,COLUMN('1-DATA'!Q445)),ROUND(INDEX('1-DATA'!$1:$1048576,IF(OR($B447="STD. DEVIATION",$C$1=1),$A447,$A447+1),COLUMN('1-DATA'!Q445)),IF($B447="STD. DEVIATION",2,$F$1))))</f>
        <v/>
      </c>
      <c r="S447" s="1" t="str">
        <f>IF(OR($B447="",S$7=""),"",IF($B447="MEANS",INDEX('1-DATA'!$1:$1048576,$A446-1,COLUMN('1-DATA'!R445)),ROUND(INDEX('1-DATA'!$1:$1048576,IF(OR($B447="STD. DEVIATION",$C$1=1),$A447,$A447+1),COLUMN('1-DATA'!R445)),IF($B447="STD. DEVIATION",2,$F$1))))</f>
        <v/>
      </c>
      <c r="T447" s="1" t="str">
        <f>IF(OR($B447="",T$7=""),"",IF($B447="MEANS",INDEX('1-DATA'!$1:$1048576,$A446-1,COLUMN('1-DATA'!S445)),ROUND(INDEX('1-DATA'!$1:$1048576,IF(OR($B447="STD. DEVIATION",$C$1=1),$A447,$A447+1),COLUMN('1-DATA'!S445)),IF($B447="STD. DEVIATION",2,$F$1))))</f>
        <v/>
      </c>
      <c r="U447" s="1" t="str">
        <f>IF(OR($B447="",U$7=""),"",IF($B447="MEANS",INDEX('1-DATA'!$1:$1048576,$A446-1,COLUMN('1-DATA'!T445)),ROUND(INDEX('1-DATA'!$1:$1048576,IF(OR($B447="STD. DEVIATION",$C$1=1),$A447,$A447+1),COLUMN('1-DATA'!T445)),IF($B447="STD. DEVIATION",2,$F$1))))</f>
        <v/>
      </c>
      <c r="V447" s="1" t="str">
        <f>IF(OR($B447="",V$7=""),"",IF($B447="MEANS",INDEX('1-DATA'!$1:$1048576,$A446-1,COLUMN('1-DATA'!U445)),ROUND(INDEX('1-DATA'!$1:$1048576,IF(OR($B447="STD. DEVIATION",$C$1=1),$A447,$A447+1),COLUMN('1-DATA'!U445)),IF($B447="STD. DEVIATION",2,$F$1))))</f>
        <v/>
      </c>
      <c r="W447" s="1" t="str">
        <f>IF(OR($B447="",W$7=""),"",IF($B447="MEANS",INDEX('1-DATA'!$1:$1048576,$A446-1,COLUMN('1-DATA'!V445)),ROUND(INDEX('1-DATA'!$1:$1048576,IF(OR($B447="STD. DEVIATION",$C$1=1),$A447,$A447+1),COLUMN('1-DATA'!V445)),IF($B447="STD. DEVIATION",2,$F$1))))</f>
        <v/>
      </c>
      <c r="X447" s="1" t="str">
        <f>IF(OR($B447="",X$7=""),"",IF($B447="MEANS",INDEX('1-DATA'!$1:$1048576,$A446-1,COLUMN('1-DATA'!W445)),ROUND(INDEX('1-DATA'!$1:$1048576,IF(OR($B447="STD. DEVIATION",$C$1=1),$A447,$A447+1),COLUMN('1-DATA'!W445)),IF($B447="STD. DEVIATION",2,$F$1))))</f>
        <v/>
      </c>
      <c r="Y447" s="1" t="str">
        <f>IF(OR($B447="",Y$7=""),"",IF($B447="MEANS",INDEX('1-DATA'!$1:$1048576,$A446-1,COLUMN('1-DATA'!X445)),ROUND(INDEX('1-DATA'!$1:$1048576,IF(OR($B447="STD. DEVIATION",$C$1=1),$A447,$A447+1),COLUMN('1-DATA'!X445)),IF($B447="STD. DEVIATION",2,$F$1))))</f>
        <v/>
      </c>
      <c r="Z447" s="1" t="str">
        <f>IF(OR($B447="",Z$7=""),"",IF($B447="MEANS",INDEX('1-DATA'!$1:$1048576,$A446-1,COLUMN('1-DATA'!Y445)),ROUND(INDEX('1-DATA'!$1:$1048576,IF(OR($B447="STD. DEVIATION",$C$1=1),$A447,$A447+1),COLUMN('1-DATA'!Y445)),IF($B447="STD. DEVIATION",2,$F$1))))</f>
        <v/>
      </c>
      <c r="AA447" s="1" t="str">
        <f>IF(OR($B447="",AA$7=""),"",IF($B447="MEANS",INDEX('1-DATA'!$1:$1048576,$A446-1,COLUMN('1-DATA'!Z445)),ROUND(INDEX('1-DATA'!$1:$1048576,IF(OR($B447="STD. DEVIATION",$C$1=1),$A447,$A447+1),COLUMN('1-DATA'!Z445)),IF($B447="STD. DEVIATION",2,$F$1))))</f>
        <v/>
      </c>
      <c r="AB447" s="1" t="str">
        <f>IF(OR($B447="",AB$7=""),"",IF($B447="MEANS",INDEX('1-DATA'!$1:$1048576,$A446-1,COLUMN('1-DATA'!AA445)),ROUND(INDEX('1-DATA'!$1:$1048576,IF(OR($B447="STD. DEVIATION",$C$1=1),$A447,$A447+1),COLUMN('1-DATA'!AA445)),IF($B447="STD. DEVIATION",2,$F$1))))</f>
        <v/>
      </c>
      <c r="AC447" s="1" t="str">
        <f>IF(OR($B447="",AC$7=""),"",IF($B447="MEANS",INDEX('1-DATA'!$1:$1048576,$A446-1,COLUMN('1-DATA'!AB445)),ROUND(INDEX('1-DATA'!$1:$1048576,IF(OR($B447="STD. DEVIATION",$C$1=1),$A447,$A447+1),COLUMN('1-DATA'!AB445)),IF($B447="STD. DEVIATION",2,$F$1))))</f>
        <v/>
      </c>
      <c r="AD447" s="1" t="str">
        <f>IF(OR($B447="",AD$7=""),"",IF($B447="MEANS",INDEX('1-DATA'!$1:$1048576,$A446-1,COLUMN('1-DATA'!AC445)),ROUND(INDEX('1-DATA'!$1:$1048576,IF(OR($B447="STD. DEVIATION",$C$1=1),$A447,$A447+1),COLUMN('1-DATA'!AC445)),IF($B447="STD. DEVIATION",2,$F$1))))</f>
        <v/>
      </c>
      <c r="AE447" s="1" t="str">
        <f>IF(OR($B447="",AE$7=""),"",IF($B447="MEANS",INDEX('1-DATA'!$1:$1048576,$A446-1,COLUMN('1-DATA'!AD445)),ROUND(INDEX('1-DATA'!$1:$1048576,IF(OR($B447="STD. DEVIATION",$C$1=1),$A447,$A447+1),COLUMN('1-DATA'!AD445)),IF($B447="STD. DEVIATION",2,$F$1))))</f>
        <v/>
      </c>
      <c r="AF447" s="1" t="str">
        <f>IF(OR($B447="",AF$7=""),"",IF($B447="MEANS",INDEX('1-DATA'!$1:$1048576,$A446-1,COLUMN('1-DATA'!AE445)),ROUND(INDEX('1-DATA'!$1:$1048576,IF(OR($B447="STD. DEVIATION",$C$1=1),$A447,$A447+1),COLUMN('1-DATA'!AE445)),IF($B447="STD. DEVIATION",2,$F$1))))</f>
        <v/>
      </c>
      <c r="AG447" s="1" t="str">
        <f>IF(OR($B447="",AG$7=""),"",IF($B447="MEANS",INDEX('1-DATA'!$1:$1048576,$A446-1,COLUMN('1-DATA'!AF445)),ROUND(INDEX('1-DATA'!$1:$1048576,IF(OR($B447="STD. DEVIATION",$C$1=1),$A447,$A447+1),COLUMN('1-DATA'!AF445)),IF($B447="STD. DEVIATION",2,$F$1))))</f>
        <v/>
      </c>
      <c r="AH447" s="1" t="str">
        <f>IF(OR($B447="",AH$7=""),"",IF($B447="MEANS",INDEX('1-DATA'!$1:$1048576,$A446-1,COLUMN('1-DATA'!AG445)),ROUND(INDEX('1-DATA'!$1:$1048576,IF(OR($B447="STD. DEVIATION",$C$1=1),$A447,$A447+1),COLUMN('1-DATA'!AG445)),IF($B447="STD. DEVIATION",2,$F$1))))</f>
        <v/>
      </c>
      <c r="AI447" s="1" t="str">
        <f>IF(OR($B447="",AI$7=""),"",IF($B447="MEANS",INDEX('1-DATA'!$1:$1048576,$A446-1,COLUMN('1-DATA'!AH445)),ROUND(INDEX('1-DATA'!$1:$1048576,IF(OR($B447="STD. DEVIATION",$C$1=1),$A447,$A447+1),COLUMN('1-DATA'!AH445)),IF($B447="STD. DEVIATION",2,$F$1))))</f>
        <v/>
      </c>
      <c r="AJ447" s="1" t="str">
        <f>IF(OR($B447="",AJ$7=""),"",IF($B447="MEANS",INDEX('1-DATA'!$1:$1048576,$A446-1,COLUMN('1-DATA'!AI445)),ROUND(INDEX('1-DATA'!$1:$1048576,IF(OR($B447="STD. DEVIATION",$C$1=1),$A447,$A447+1),COLUMN('1-DATA'!AI445)),IF($B447="STD. DEVIATION",2,$F$1))))</f>
        <v/>
      </c>
      <c r="AK447" s="1" t="str">
        <f>IF(OR($B447="",AK$7=""),"",IF($B447="MEANS",INDEX('1-DATA'!$1:$1048576,$A446-1,COLUMN('1-DATA'!AJ445)),ROUND(INDEX('1-DATA'!$1:$1048576,IF(OR($B447="STD. DEVIATION",$C$1=1),$A447,$A447+1),COLUMN('1-DATA'!AJ445)),IF($B447="STD. DEVIATION",2,$F$1))))</f>
        <v/>
      </c>
      <c r="AL447" s="1" t="str">
        <f>IF(OR($B447="",AL$7=""),"",IF($B447="MEANS",INDEX('1-DATA'!$1:$1048576,$A446-1,COLUMN('1-DATA'!AK445)),ROUND(INDEX('1-DATA'!$1:$1048576,IF(OR($B447="STD. DEVIATION",$C$1=1),$A447,$A447+1),COLUMN('1-DATA'!AK445)),IF($B447="STD. DEVIATION",2,$F$1))))</f>
        <v/>
      </c>
      <c r="AM447" s="1" t="str">
        <f>IF(OR($B447="",AM$7=""),"",IF($B447="MEANS",INDEX('1-DATA'!$1:$1048576,$A446-1,COLUMN('1-DATA'!AL445)),ROUND(INDEX('1-DATA'!$1:$1048576,IF(OR($B447="STD. DEVIATION",$C$1=1),$A447,$A447+1),COLUMN('1-DATA'!AL445)),IF($B447="STD. DEVIATION",2,$F$1))))</f>
        <v/>
      </c>
      <c r="AN447" s="1" t="str">
        <f>IF(OR($B447="",AN$7=""),"",IF($B447="MEANS",INDEX('1-DATA'!$1:$1048576,$A446-1,COLUMN('1-DATA'!AM445)),ROUND(INDEX('1-DATA'!$1:$1048576,IF(OR($B447="STD. DEVIATION",$C$1=1),$A447,$A447+1),COLUMN('1-DATA'!AM445)),IF($B447="STD. DEVIATION",2,$F$1))))</f>
        <v/>
      </c>
      <c r="AO447" s="1" t="str">
        <f>IF(OR($B447="",AO$7=""),"",IF($B447="MEANS",INDEX('1-DATA'!$1:$1048576,$A446-1,COLUMN('1-DATA'!AN445)),ROUND(INDEX('1-DATA'!$1:$1048576,IF(OR($B447="STD. DEVIATION",$C$1=1),$A447,$A447+1),COLUMN('1-DATA'!AN445)),IF($B447="STD. DEVIATION",2,$F$1))))</f>
        <v/>
      </c>
      <c r="AP447" s="1" t="str">
        <f>IF(OR($B447="",AP$7=""),"",IF($B447="MEANS",INDEX('1-DATA'!$1:$1048576,$A446-1,COLUMN('1-DATA'!AO445)),ROUND(INDEX('1-DATA'!$1:$1048576,IF(OR($B447="STD. DEVIATION",$C$1=1),$A447,$A447+1),COLUMN('1-DATA'!AO445)),IF($B447="STD. DEVIATION",2,$F$1))))</f>
        <v/>
      </c>
      <c r="AQ447" s="1" t="str">
        <f>IF(OR($B447="",AQ$7=""),"",IF($B447="MEANS",INDEX('1-DATA'!$1:$1048576,$A446-1,COLUMN('1-DATA'!AP445)),ROUND(INDEX('1-DATA'!$1:$1048576,IF(OR($B447="STD. DEVIATION",$C$1=1),$A447,$A447+1),COLUMN('1-DATA'!AP445)),IF($B447="STD. DEVIATION",2,$F$1))))</f>
        <v/>
      </c>
      <c r="AR447" s="1" t="str">
        <f>IF(OR($B447="",AR$7=""),"",IF($B447="MEANS",INDEX('1-DATA'!$1:$1048576,$A446-1,COLUMN('1-DATA'!AQ445)),ROUND(INDEX('1-DATA'!$1:$1048576,IF(OR($B447="STD. DEVIATION",$C$1=1),$A447,$A447+1),COLUMN('1-DATA'!AQ445)),IF($B447="STD. DEVIATION",2,$F$1))))</f>
        <v/>
      </c>
      <c r="AS447" s="1" t="str">
        <f>IF(OR($B447="",AS$7=""),"",IF($B447="MEANS",INDEX('1-DATA'!$1:$1048576,$A446-1,COLUMN('1-DATA'!AR445)),ROUND(INDEX('1-DATA'!$1:$1048576,IF(OR($B447="STD. DEVIATION",$C$1=1),$A447,$A447+1),COLUMN('1-DATA'!AR445)),IF($B447="STD. DEVIATION",2,$F$1))))</f>
        <v/>
      </c>
      <c r="AT447" s="1" t="str">
        <f>IF(OR($B447="",AT$7=""),"",IF($B447="MEANS",INDEX('1-DATA'!$1:$1048576,$A446-1,COLUMN('1-DATA'!AS445)),ROUND(INDEX('1-DATA'!$1:$1048576,IF(OR($B447="STD. DEVIATION",$C$1=1),$A447,$A447+1),COLUMN('1-DATA'!AS445)),IF($B447="STD. DEVIATION",2,$F$1))))</f>
        <v/>
      </c>
      <c r="AU447" s="1" t="str">
        <f>IF(OR($B447="",AU$7=""),"",IF($B447="MEANS",INDEX('1-DATA'!$1:$1048576,$A446-1,COLUMN('1-DATA'!AT445)),ROUND(INDEX('1-DATA'!$1:$1048576,IF(OR($B447="STD. DEVIATION",$C$1=1),$A447,$A447+1),COLUMN('1-DATA'!AT445)),IF($B447="STD. DEVIATION",2,$F$1))))</f>
        <v/>
      </c>
      <c r="AV447" s="1" t="str">
        <f>IF(OR($B447="",AV$7=""),"",IF($B447="MEANS",INDEX('1-DATA'!$1:$1048576,$A446-1,COLUMN('1-DATA'!AU445)),ROUND(INDEX('1-DATA'!$1:$1048576,IF(OR($B447="STD. DEVIATION",$C$1=1),$A447,$A447+1),COLUMN('1-DATA'!AU445)),IF($B447="STD. DEVIATION",2,$F$1))))</f>
        <v/>
      </c>
      <c r="AW447" s="1" t="str">
        <f>IF(OR($B447="",AW$7=""),"",IF($B447="MEANS",INDEX('1-DATA'!$1:$1048576,$A446-1,COLUMN('1-DATA'!AV445)),ROUND(INDEX('1-DATA'!$1:$1048576,IF(OR($B447="STD. DEVIATION",$C$1=1),$A447,$A447+1),COLUMN('1-DATA'!AV445)),IF($B447="STD. DEVIATION",2,$F$1))))</f>
        <v/>
      </c>
      <c r="AX447" s="1" t="str">
        <f>IF(OR($B447="",AX$7=""),"",IF($B447="MEANS",INDEX('1-DATA'!$1:$1048576,$A446-1,COLUMN('1-DATA'!AW445)),ROUND(INDEX('1-DATA'!$1:$1048576,IF(OR($B447="STD. DEVIATION",$C$1=1),$A447,$A447+1),COLUMN('1-DATA'!AW445)),IF($B447="STD. DEVIATION",2,$F$1))))</f>
        <v/>
      </c>
      <c r="AY447" s="1" t="str">
        <f>IF(OR($B447="",AY$7=""),"",IF($B447="MEANS",INDEX('1-DATA'!$1:$1048576,$A446-1,COLUMN('1-DATA'!AX445)),ROUND(INDEX('1-DATA'!$1:$1048576,IF(OR($B447="STD. DEVIATION",$C$1=1),$A447,$A447+1),COLUMN('1-DATA'!AX445)),IF($B447="STD. DEVIATION",2,$F$1))))</f>
        <v/>
      </c>
      <c r="AZ447" s="1" t="str">
        <f>IF(OR($B447="",AZ$7=""),"",IF($B447="MEANS",INDEX('1-DATA'!$1:$1048576,$A446-1,COLUMN('1-DATA'!AY445)),ROUND(INDEX('1-DATA'!$1:$1048576,IF(OR($B447="STD. DEVIATION",$C$1=1),$A447,$A447+1),COLUMN('1-DATA'!AY445)),IF($B447="STD. DEVIATION",2,$F$1))))</f>
        <v/>
      </c>
    </row>
    <row r="448" spans="1:52" x14ac:dyDescent="0.25">
      <c r="A448" s="11">
        <f t="shared" si="7"/>
        <v>1330</v>
      </c>
      <c r="B448" s="1" t="str">
        <f>IF(B447="STD. DEVIATION",INDEX('1-DATA'!$1:$1048576,$A447-1,1),IF(INDEX('1-DATA'!$1:$1048576,$A448,1)&lt;&gt;"",INDEX('1-DATA'!$1:$1048576,$A448,1),""))</f>
        <v/>
      </c>
      <c r="C448" s="1" t="str">
        <f>IF(OR($B448="",C$7=""),"",IF($B448="MEANS",INDEX('1-DATA'!$1:$1048576,$A447-1,COLUMN('1-DATA'!B446)),ROUND(INDEX('1-DATA'!$1:$1048576,IF(OR($B448="STD. DEVIATION",$C$1=1),$A448,$A448+1),COLUMN('1-DATA'!B446)),IF($B448="STD. DEVIATION",2,$F$1))))</f>
        <v/>
      </c>
      <c r="D448" s="1" t="str">
        <f>IF(OR($B448="",D$7=""),"",IF($B448="MEANS",INDEX('1-DATA'!$1:$1048576,$A447-1,COLUMN('1-DATA'!C446)),ROUND(INDEX('1-DATA'!$1:$1048576,IF(OR($B448="STD. DEVIATION",$C$1=1),$A448,$A448+1),COLUMN('1-DATA'!C446)),IF($B448="STD. DEVIATION",2,$F$1))))</f>
        <v/>
      </c>
      <c r="E448" s="1" t="str">
        <f>IF(OR($B448="",E$7=""),"",IF($B448="MEANS",INDEX('1-DATA'!$1:$1048576,$A447-1,COLUMN('1-DATA'!D446)),ROUND(INDEX('1-DATA'!$1:$1048576,IF(OR($B448="STD. DEVIATION",$C$1=1),$A448,$A448+1),COLUMN('1-DATA'!D446)),IF($B448="STD. DEVIATION",2,$F$1))))</f>
        <v/>
      </c>
      <c r="F448" s="1" t="str">
        <f>IF(OR($B448="",F$7=""),"",IF($B448="MEANS",INDEX('1-DATA'!$1:$1048576,$A447-1,COLUMN('1-DATA'!E446)),ROUND(INDEX('1-DATA'!$1:$1048576,IF(OR($B448="STD. DEVIATION",$C$1=1),$A448,$A448+1),COLUMN('1-DATA'!E446)),IF($B448="STD. DEVIATION",2,$F$1))))</f>
        <v/>
      </c>
      <c r="G448" s="1" t="str">
        <f>IF(OR($B448="",G$7=""),"",IF($B448="MEANS",INDEX('1-DATA'!$1:$1048576,$A447-1,COLUMN('1-DATA'!F446)),ROUND(INDEX('1-DATA'!$1:$1048576,IF(OR($B448="STD. DEVIATION",$C$1=1),$A448,$A448+1),COLUMN('1-DATA'!F446)),IF($B448="STD. DEVIATION",2,$F$1))))</f>
        <v/>
      </c>
      <c r="H448" s="1" t="str">
        <f>IF(OR($B448="",H$7=""),"",IF($B448="MEANS",INDEX('1-DATA'!$1:$1048576,$A447-1,COLUMN('1-DATA'!G446)),ROUND(INDEX('1-DATA'!$1:$1048576,IF(OR($B448="STD. DEVIATION",$C$1=1),$A448,$A448+1),COLUMN('1-DATA'!G446)),IF($B448="STD. DEVIATION",2,$F$1))))</f>
        <v/>
      </c>
      <c r="I448" s="1" t="str">
        <f>IF(OR($B448="",I$7=""),"",IF($B448="MEANS",INDEX('1-DATA'!$1:$1048576,$A447-1,COLUMN('1-DATA'!H446)),ROUND(INDEX('1-DATA'!$1:$1048576,IF(OR($B448="STD. DEVIATION",$C$1=1),$A448,$A448+1),COLUMN('1-DATA'!H446)),IF($B448="STD. DEVIATION",2,$F$1))))</f>
        <v/>
      </c>
      <c r="J448" s="1" t="str">
        <f>IF(OR($B448="",J$7=""),"",IF($B448="MEANS",INDEX('1-DATA'!$1:$1048576,$A447-1,COLUMN('1-DATA'!I446)),ROUND(INDEX('1-DATA'!$1:$1048576,IF(OR($B448="STD. DEVIATION",$C$1=1),$A448,$A448+1),COLUMN('1-DATA'!I446)),IF($B448="STD. DEVIATION",2,$F$1))))</f>
        <v/>
      </c>
      <c r="K448" s="1" t="str">
        <f>IF(OR($B448="",K$7=""),"",IF($B448="MEANS",INDEX('1-DATA'!$1:$1048576,$A447-1,COLUMN('1-DATA'!J446)),ROUND(INDEX('1-DATA'!$1:$1048576,IF(OR($B448="STD. DEVIATION",$C$1=1),$A448,$A448+1),COLUMN('1-DATA'!J446)),IF($B448="STD. DEVIATION",2,$F$1))))</f>
        <v/>
      </c>
      <c r="L448" s="1" t="str">
        <f>IF(OR($B448="",L$7=""),"",IF($B448="MEANS",INDEX('1-DATA'!$1:$1048576,$A447-1,COLUMN('1-DATA'!K446)),ROUND(INDEX('1-DATA'!$1:$1048576,IF(OR($B448="STD. DEVIATION",$C$1=1),$A448,$A448+1),COLUMN('1-DATA'!K446)),IF($B448="STD. DEVIATION",2,$F$1))))</f>
        <v/>
      </c>
      <c r="M448" s="1" t="str">
        <f>IF(OR($B448="",M$7=""),"",IF($B448="MEANS",INDEX('1-DATA'!$1:$1048576,$A447-1,COLUMN('1-DATA'!L446)),ROUND(INDEX('1-DATA'!$1:$1048576,IF(OR($B448="STD. DEVIATION",$C$1=1),$A448,$A448+1),COLUMN('1-DATA'!L446)),IF($B448="STD. DEVIATION",2,$F$1))))</f>
        <v/>
      </c>
      <c r="N448" s="1" t="str">
        <f>IF(OR($B448="",N$7=""),"",IF($B448="MEANS",INDEX('1-DATA'!$1:$1048576,$A447-1,COLUMN('1-DATA'!M446)),ROUND(INDEX('1-DATA'!$1:$1048576,IF(OR($B448="STD. DEVIATION",$C$1=1),$A448,$A448+1),COLUMN('1-DATA'!M446)),IF($B448="STD. DEVIATION",2,$F$1))))</f>
        <v/>
      </c>
      <c r="O448" s="1" t="str">
        <f>IF(OR($B448="",O$7=""),"",IF($B448="MEANS",INDEX('1-DATA'!$1:$1048576,$A447-1,COLUMN('1-DATA'!N446)),ROUND(INDEX('1-DATA'!$1:$1048576,IF(OR($B448="STD. DEVIATION",$C$1=1),$A448,$A448+1),COLUMN('1-DATA'!N446)),IF($B448="STD. DEVIATION",2,$F$1))))</f>
        <v/>
      </c>
      <c r="P448" s="1" t="str">
        <f>IF(OR($B448="",P$7=""),"",IF($B448="MEANS",INDEX('1-DATA'!$1:$1048576,$A447-1,COLUMN('1-DATA'!O446)),ROUND(INDEX('1-DATA'!$1:$1048576,IF(OR($B448="STD. DEVIATION",$C$1=1),$A448,$A448+1),COLUMN('1-DATA'!O446)),IF($B448="STD. DEVIATION",2,$F$1))))</f>
        <v/>
      </c>
      <c r="Q448" s="1" t="str">
        <f>IF(OR($B448="",Q$7=""),"",IF($B448="MEANS",INDEX('1-DATA'!$1:$1048576,$A447-1,COLUMN('1-DATA'!P446)),ROUND(INDEX('1-DATA'!$1:$1048576,IF(OR($B448="STD. DEVIATION",$C$1=1),$A448,$A448+1),COLUMN('1-DATA'!P446)),IF($B448="STD. DEVIATION",2,$F$1))))</f>
        <v/>
      </c>
      <c r="R448" s="1" t="str">
        <f>IF(OR($B448="",R$7=""),"",IF($B448="MEANS",INDEX('1-DATA'!$1:$1048576,$A447-1,COLUMN('1-DATA'!Q446)),ROUND(INDEX('1-DATA'!$1:$1048576,IF(OR($B448="STD. DEVIATION",$C$1=1),$A448,$A448+1),COLUMN('1-DATA'!Q446)),IF($B448="STD. DEVIATION",2,$F$1))))</f>
        <v/>
      </c>
      <c r="S448" s="1" t="str">
        <f>IF(OR($B448="",S$7=""),"",IF($B448="MEANS",INDEX('1-DATA'!$1:$1048576,$A447-1,COLUMN('1-DATA'!R446)),ROUND(INDEX('1-DATA'!$1:$1048576,IF(OR($B448="STD. DEVIATION",$C$1=1),$A448,$A448+1),COLUMN('1-DATA'!R446)),IF($B448="STD. DEVIATION",2,$F$1))))</f>
        <v/>
      </c>
      <c r="T448" s="1" t="str">
        <f>IF(OR($B448="",T$7=""),"",IF($B448="MEANS",INDEX('1-DATA'!$1:$1048576,$A447-1,COLUMN('1-DATA'!S446)),ROUND(INDEX('1-DATA'!$1:$1048576,IF(OR($B448="STD. DEVIATION",$C$1=1),$A448,$A448+1),COLUMN('1-DATA'!S446)),IF($B448="STD. DEVIATION",2,$F$1))))</f>
        <v/>
      </c>
      <c r="U448" s="1" t="str">
        <f>IF(OR($B448="",U$7=""),"",IF($B448="MEANS",INDEX('1-DATA'!$1:$1048576,$A447-1,COLUMN('1-DATA'!T446)),ROUND(INDEX('1-DATA'!$1:$1048576,IF(OR($B448="STD. DEVIATION",$C$1=1),$A448,$A448+1),COLUMN('1-DATA'!T446)),IF($B448="STD. DEVIATION",2,$F$1))))</f>
        <v/>
      </c>
      <c r="V448" s="1" t="str">
        <f>IF(OR($B448="",V$7=""),"",IF($B448="MEANS",INDEX('1-DATA'!$1:$1048576,$A447-1,COLUMN('1-DATA'!U446)),ROUND(INDEX('1-DATA'!$1:$1048576,IF(OR($B448="STD. DEVIATION",$C$1=1),$A448,$A448+1),COLUMN('1-DATA'!U446)),IF($B448="STD. DEVIATION",2,$F$1))))</f>
        <v/>
      </c>
      <c r="W448" s="1" t="str">
        <f>IF(OR($B448="",W$7=""),"",IF($B448="MEANS",INDEX('1-DATA'!$1:$1048576,$A447-1,COLUMN('1-DATA'!V446)),ROUND(INDEX('1-DATA'!$1:$1048576,IF(OR($B448="STD. DEVIATION",$C$1=1),$A448,$A448+1),COLUMN('1-DATA'!V446)),IF($B448="STD. DEVIATION",2,$F$1))))</f>
        <v/>
      </c>
      <c r="X448" s="1" t="str">
        <f>IF(OR($B448="",X$7=""),"",IF($B448="MEANS",INDEX('1-DATA'!$1:$1048576,$A447-1,COLUMN('1-DATA'!W446)),ROUND(INDEX('1-DATA'!$1:$1048576,IF(OR($B448="STD. DEVIATION",$C$1=1),$A448,$A448+1),COLUMN('1-DATA'!W446)),IF($B448="STD. DEVIATION",2,$F$1))))</f>
        <v/>
      </c>
      <c r="Y448" s="1" t="str">
        <f>IF(OR($B448="",Y$7=""),"",IF($B448="MEANS",INDEX('1-DATA'!$1:$1048576,$A447-1,COLUMN('1-DATA'!X446)),ROUND(INDEX('1-DATA'!$1:$1048576,IF(OR($B448="STD. DEVIATION",$C$1=1),$A448,$A448+1),COLUMN('1-DATA'!X446)),IF($B448="STD. DEVIATION",2,$F$1))))</f>
        <v/>
      </c>
      <c r="Z448" s="1" t="str">
        <f>IF(OR($B448="",Z$7=""),"",IF($B448="MEANS",INDEX('1-DATA'!$1:$1048576,$A447-1,COLUMN('1-DATA'!Y446)),ROUND(INDEX('1-DATA'!$1:$1048576,IF(OR($B448="STD. DEVIATION",$C$1=1),$A448,$A448+1),COLUMN('1-DATA'!Y446)),IF($B448="STD. DEVIATION",2,$F$1))))</f>
        <v/>
      </c>
      <c r="AA448" s="1" t="str">
        <f>IF(OR($B448="",AA$7=""),"",IF($B448="MEANS",INDEX('1-DATA'!$1:$1048576,$A447-1,COLUMN('1-DATA'!Z446)),ROUND(INDEX('1-DATA'!$1:$1048576,IF(OR($B448="STD. DEVIATION",$C$1=1),$A448,$A448+1),COLUMN('1-DATA'!Z446)),IF($B448="STD. DEVIATION",2,$F$1))))</f>
        <v/>
      </c>
      <c r="AB448" s="1" t="str">
        <f>IF(OR($B448="",AB$7=""),"",IF($B448="MEANS",INDEX('1-DATA'!$1:$1048576,$A447-1,COLUMN('1-DATA'!AA446)),ROUND(INDEX('1-DATA'!$1:$1048576,IF(OR($B448="STD. DEVIATION",$C$1=1),$A448,$A448+1),COLUMN('1-DATA'!AA446)),IF($B448="STD. DEVIATION",2,$F$1))))</f>
        <v/>
      </c>
      <c r="AC448" s="1" t="str">
        <f>IF(OR($B448="",AC$7=""),"",IF($B448="MEANS",INDEX('1-DATA'!$1:$1048576,$A447-1,COLUMN('1-DATA'!AB446)),ROUND(INDEX('1-DATA'!$1:$1048576,IF(OR($B448="STD. DEVIATION",$C$1=1),$A448,$A448+1),COLUMN('1-DATA'!AB446)),IF($B448="STD. DEVIATION",2,$F$1))))</f>
        <v/>
      </c>
      <c r="AD448" s="1" t="str">
        <f>IF(OR($B448="",AD$7=""),"",IF($B448="MEANS",INDEX('1-DATA'!$1:$1048576,$A447-1,COLUMN('1-DATA'!AC446)),ROUND(INDEX('1-DATA'!$1:$1048576,IF(OR($B448="STD. DEVIATION",$C$1=1),$A448,$A448+1),COLUMN('1-DATA'!AC446)),IF($B448="STD. DEVIATION",2,$F$1))))</f>
        <v/>
      </c>
      <c r="AE448" s="1" t="str">
        <f>IF(OR($B448="",AE$7=""),"",IF($B448="MEANS",INDEX('1-DATA'!$1:$1048576,$A447-1,COLUMN('1-DATA'!AD446)),ROUND(INDEX('1-DATA'!$1:$1048576,IF(OR($B448="STD. DEVIATION",$C$1=1),$A448,$A448+1),COLUMN('1-DATA'!AD446)),IF($B448="STD. DEVIATION",2,$F$1))))</f>
        <v/>
      </c>
      <c r="AF448" s="1" t="str">
        <f>IF(OR($B448="",AF$7=""),"",IF($B448="MEANS",INDEX('1-DATA'!$1:$1048576,$A447-1,COLUMN('1-DATA'!AE446)),ROUND(INDEX('1-DATA'!$1:$1048576,IF(OR($B448="STD. DEVIATION",$C$1=1),$A448,$A448+1),COLUMN('1-DATA'!AE446)),IF($B448="STD. DEVIATION",2,$F$1))))</f>
        <v/>
      </c>
      <c r="AG448" s="1" t="str">
        <f>IF(OR($B448="",AG$7=""),"",IF($B448="MEANS",INDEX('1-DATA'!$1:$1048576,$A447-1,COLUMN('1-DATA'!AF446)),ROUND(INDEX('1-DATA'!$1:$1048576,IF(OR($B448="STD. DEVIATION",$C$1=1),$A448,$A448+1),COLUMN('1-DATA'!AF446)),IF($B448="STD. DEVIATION",2,$F$1))))</f>
        <v/>
      </c>
      <c r="AH448" s="1" t="str">
        <f>IF(OR($B448="",AH$7=""),"",IF($B448="MEANS",INDEX('1-DATA'!$1:$1048576,$A447-1,COLUMN('1-DATA'!AG446)),ROUND(INDEX('1-DATA'!$1:$1048576,IF(OR($B448="STD. DEVIATION",$C$1=1),$A448,$A448+1),COLUMN('1-DATA'!AG446)),IF($B448="STD. DEVIATION",2,$F$1))))</f>
        <v/>
      </c>
      <c r="AI448" s="1" t="str">
        <f>IF(OR($B448="",AI$7=""),"",IF($B448="MEANS",INDEX('1-DATA'!$1:$1048576,$A447-1,COLUMN('1-DATA'!AH446)),ROUND(INDEX('1-DATA'!$1:$1048576,IF(OR($B448="STD. DEVIATION",$C$1=1),$A448,$A448+1),COLUMN('1-DATA'!AH446)),IF($B448="STD. DEVIATION",2,$F$1))))</f>
        <v/>
      </c>
      <c r="AJ448" s="1" t="str">
        <f>IF(OR($B448="",AJ$7=""),"",IF($B448="MEANS",INDEX('1-DATA'!$1:$1048576,$A447-1,COLUMN('1-DATA'!AI446)),ROUND(INDEX('1-DATA'!$1:$1048576,IF(OR($B448="STD. DEVIATION",$C$1=1),$A448,$A448+1),COLUMN('1-DATA'!AI446)),IF($B448="STD. DEVIATION",2,$F$1))))</f>
        <v/>
      </c>
      <c r="AK448" s="1" t="str">
        <f>IF(OR($B448="",AK$7=""),"",IF($B448="MEANS",INDEX('1-DATA'!$1:$1048576,$A447-1,COLUMN('1-DATA'!AJ446)),ROUND(INDEX('1-DATA'!$1:$1048576,IF(OR($B448="STD. DEVIATION",$C$1=1),$A448,$A448+1),COLUMN('1-DATA'!AJ446)),IF($B448="STD. DEVIATION",2,$F$1))))</f>
        <v/>
      </c>
      <c r="AL448" s="1" t="str">
        <f>IF(OR($B448="",AL$7=""),"",IF($B448="MEANS",INDEX('1-DATA'!$1:$1048576,$A447-1,COLUMN('1-DATA'!AK446)),ROUND(INDEX('1-DATA'!$1:$1048576,IF(OR($B448="STD. DEVIATION",$C$1=1),$A448,$A448+1),COLUMN('1-DATA'!AK446)),IF($B448="STD. DEVIATION",2,$F$1))))</f>
        <v/>
      </c>
      <c r="AM448" s="1" t="str">
        <f>IF(OR($B448="",AM$7=""),"",IF($B448="MEANS",INDEX('1-DATA'!$1:$1048576,$A447-1,COLUMN('1-DATA'!AL446)),ROUND(INDEX('1-DATA'!$1:$1048576,IF(OR($B448="STD. DEVIATION",$C$1=1),$A448,$A448+1),COLUMN('1-DATA'!AL446)),IF($B448="STD. DEVIATION",2,$F$1))))</f>
        <v/>
      </c>
      <c r="AN448" s="1" t="str">
        <f>IF(OR($B448="",AN$7=""),"",IF($B448="MEANS",INDEX('1-DATA'!$1:$1048576,$A447-1,COLUMN('1-DATA'!AM446)),ROUND(INDEX('1-DATA'!$1:$1048576,IF(OR($B448="STD. DEVIATION",$C$1=1),$A448,$A448+1),COLUMN('1-DATA'!AM446)),IF($B448="STD. DEVIATION",2,$F$1))))</f>
        <v/>
      </c>
      <c r="AO448" s="1" t="str">
        <f>IF(OR($B448="",AO$7=""),"",IF($B448="MEANS",INDEX('1-DATA'!$1:$1048576,$A447-1,COLUMN('1-DATA'!AN446)),ROUND(INDEX('1-DATA'!$1:$1048576,IF(OR($B448="STD. DEVIATION",$C$1=1),$A448,$A448+1),COLUMN('1-DATA'!AN446)),IF($B448="STD. DEVIATION",2,$F$1))))</f>
        <v/>
      </c>
      <c r="AP448" s="1" t="str">
        <f>IF(OR($B448="",AP$7=""),"",IF($B448="MEANS",INDEX('1-DATA'!$1:$1048576,$A447-1,COLUMN('1-DATA'!AO446)),ROUND(INDEX('1-DATA'!$1:$1048576,IF(OR($B448="STD. DEVIATION",$C$1=1),$A448,$A448+1),COLUMN('1-DATA'!AO446)),IF($B448="STD. DEVIATION",2,$F$1))))</f>
        <v/>
      </c>
      <c r="AQ448" s="1" t="str">
        <f>IF(OR($B448="",AQ$7=""),"",IF($B448="MEANS",INDEX('1-DATA'!$1:$1048576,$A447-1,COLUMN('1-DATA'!AP446)),ROUND(INDEX('1-DATA'!$1:$1048576,IF(OR($B448="STD. DEVIATION",$C$1=1),$A448,$A448+1),COLUMN('1-DATA'!AP446)),IF($B448="STD. DEVIATION",2,$F$1))))</f>
        <v/>
      </c>
      <c r="AR448" s="1" t="str">
        <f>IF(OR($B448="",AR$7=""),"",IF($B448="MEANS",INDEX('1-DATA'!$1:$1048576,$A447-1,COLUMN('1-DATA'!AQ446)),ROUND(INDEX('1-DATA'!$1:$1048576,IF(OR($B448="STD. DEVIATION",$C$1=1),$A448,$A448+1),COLUMN('1-DATA'!AQ446)),IF($B448="STD. DEVIATION",2,$F$1))))</f>
        <v/>
      </c>
      <c r="AS448" s="1" t="str">
        <f>IF(OR($B448="",AS$7=""),"",IF($B448="MEANS",INDEX('1-DATA'!$1:$1048576,$A447-1,COLUMN('1-DATA'!AR446)),ROUND(INDEX('1-DATA'!$1:$1048576,IF(OR($B448="STD. DEVIATION",$C$1=1),$A448,$A448+1),COLUMN('1-DATA'!AR446)),IF($B448="STD. DEVIATION",2,$F$1))))</f>
        <v/>
      </c>
      <c r="AT448" s="1" t="str">
        <f>IF(OR($B448="",AT$7=""),"",IF($B448="MEANS",INDEX('1-DATA'!$1:$1048576,$A447-1,COLUMN('1-DATA'!AS446)),ROUND(INDEX('1-DATA'!$1:$1048576,IF(OR($B448="STD. DEVIATION",$C$1=1),$A448,$A448+1),COLUMN('1-DATA'!AS446)),IF($B448="STD. DEVIATION",2,$F$1))))</f>
        <v/>
      </c>
      <c r="AU448" s="1" t="str">
        <f>IF(OR($B448="",AU$7=""),"",IF($B448="MEANS",INDEX('1-DATA'!$1:$1048576,$A447-1,COLUMN('1-DATA'!AT446)),ROUND(INDEX('1-DATA'!$1:$1048576,IF(OR($B448="STD. DEVIATION",$C$1=1),$A448,$A448+1),COLUMN('1-DATA'!AT446)),IF($B448="STD. DEVIATION",2,$F$1))))</f>
        <v/>
      </c>
      <c r="AV448" s="1" t="str">
        <f>IF(OR($B448="",AV$7=""),"",IF($B448="MEANS",INDEX('1-DATA'!$1:$1048576,$A447-1,COLUMN('1-DATA'!AU446)),ROUND(INDEX('1-DATA'!$1:$1048576,IF(OR($B448="STD. DEVIATION",$C$1=1),$A448,$A448+1),COLUMN('1-DATA'!AU446)),IF($B448="STD. DEVIATION",2,$F$1))))</f>
        <v/>
      </c>
      <c r="AW448" s="1" t="str">
        <f>IF(OR($B448="",AW$7=""),"",IF($B448="MEANS",INDEX('1-DATA'!$1:$1048576,$A447-1,COLUMN('1-DATA'!AV446)),ROUND(INDEX('1-DATA'!$1:$1048576,IF(OR($B448="STD. DEVIATION",$C$1=1),$A448,$A448+1),COLUMN('1-DATA'!AV446)),IF($B448="STD. DEVIATION",2,$F$1))))</f>
        <v/>
      </c>
      <c r="AX448" s="1" t="str">
        <f>IF(OR($B448="",AX$7=""),"",IF($B448="MEANS",INDEX('1-DATA'!$1:$1048576,$A447-1,COLUMN('1-DATA'!AW446)),ROUND(INDEX('1-DATA'!$1:$1048576,IF(OR($B448="STD. DEVIATION",$C$1=1),$A448,$A448+1),COLUMN('1-DATA'!AW446)),IF($B448="STD. DEVIATION",2,$F$1))))</f>
        <v/>
      </c>
      <c r="AY448" s="1" t="str">
        <f>IF(OR($B448="",AY$7=""),"",IF($B448="MEANS",INDEX('1-DATA'!$1:$1048576,$A447-1,COLUMN('1-DATA'!AX446)),ROUND(INDEX('1-DATA'!$1:$1048576,IF(OR($B448="STD. DEVIATION",$C$1=1),$A448,$A448+1),COLUMN('1-DATA'!AX446)),IF($B448="STD. DEVIATION",2,$F$1))))</f>
        <v/>
      </c>
      <c r="AZ448" s="1" t="str">
        <f>IF(OR($B448="",AZ$7=""),"",IF($B448="MEANS",INDEX('1-DATA'!$1:$1048576,$A447-1,COLUMN('1-DATA'!AY446)),ROUND(INDEX('1-DATA'!$1:$1048576,IF(OR($B448="STD. DEVIATION",$C$1=1),$A448,$A448+1),COLUMN('1-DATA'!AY446)),IF($B448="STD. DEVIATION",2,$F$1))))</f>
        <v/>
      </c>
    </row>
    <row r="449" spans="1:52" x14ac:dyDescent="0.25">
      <c r="A449" s="11">
        <f t="shared" si="7"/>
        <v>1333</v>
      </c>
      <c r="B449" s="1" t="str">
        <f>IF(B448="STD. DEVIATION",INDEX('1-DATA'!$1:$1048576,$A448-1,1),IF(INDEX('1-DATA'!$1:$1048576,$A449,1)&lt;&gt;"",INDEX('1-DATA'!$1:$1048576,$A449,1),""))</f>
        <v/>
      </c>
      <c r="C449" s="1" t="str">
        <f>IF(OR($B449="",C$7=""),"",IF($B449="MEANS",INDEX('1-DATA'!$1:$1048576,$A448-1,COLUMN('1-DATA'!B447)),ROUND(INDEX('1-DATA'!$1:$1048576,IF(OR($B449="STD. DEVIATION",$C$1=1),$A449,$A449+1),COLUMN('1-DATA'!B447)),IF($B449="STD. DEVIATION",2,$F$1))))</f>
        <v/>
      </c>
      <c r="D449" s="1" t="str">
        <f>IF(OR($B449="",D$7=""),"",IF($B449="MEANS",INDEX('1-DATA'!$1:$1048576,$A448-1,COLUMN('1-DATA'!C447)),ROUND(INDEX('1-DATA'!$1:$1048576,IF(OR($B449="STD. DEVIATION",$C$1=1),$A449,$A449+1),COLUMN('1-DATA'!C447)),IF($B449="STD. DEVIATION",2,$F$1))))</f>
        <v/>
      </c>
      <c r="E449" s="1" t="str">
        <f>IF(OR($B449="",E$7=""),"",IF($B449="MEANS",INDEX('1-DATA'!$1:$1048576,$A448-1,COLUMN('1-DATA'!D447)),ROUND(INDEX('1-DATA'!$1:$1048576,IF(OR($B449="STD. DEVIATION",$C$1=1),$A449,$A449+1),COLUMN('1-DATA'!D447)),IF($B449="STD. DEVIATION",2,$F$1))))</f>
        <v/>
      </c>
      <c r="F449" s="1" t="str">
        <f>IF(OR($B449="",F$7=""),"",IF($B449="MEANS",INDEX('1-DATA'!$1:$1048576,$A448-1,COLUMN('1-DATA'!E447)),ROUND(INDEX('1-DATA'!$1:$1048576,IF(OR($B449="STD. DEVIATION",$C$1=1),$A449,$A449+1),COLUMN('1-DATA'!E447)),IF($B449="STD. DEVIATION",2,$F$1))))</f>
        <v/>
      </c>
      <c r="G449" s="1" t="str">
        <f>IF(OR($B449="",G$7=""),"",IF($B449="MEANS",INDEX('1-DATA'!$1:$1048576,$A448-1,COLUMN('1-DATA'!F447)),ROUND(INDEX('1-DATA'!$1:$1048576,IF(OR($B449="STD. DEVIATION",$C$1=1),$A449,$A449+1),COLUMN('1-DATA'!F447)),IF($B449="STD. DEVIATION",2,$F$1))))</f>
        <v/>
      </c>
      <c r="H449" s="1" t="str">
        <f>IF(OR($B449="",H$7=""),"",IF($B449="MEANS",INDEX('1-DATA'!$1:$1048576,$A448-1,COLUMN('1-DATA'!G447)),ROUND(INDEX('1-DATA'!$1:$1048576,IF(OR($B449="STD. DEVIATION",$C$1=1),$A449,$A449+1),COLUMN('1-DATA'!G447)),IF($B449="STD. DEVIATION",2,$F$1))))</f>
        <v/>
      </c>
      <c r="I449" s="1" t="str">
        <f>IF(OR($B449="",I$7=""),"",IF($B449="MEANS",INDEX('1-DATA'!$1:$1048576,$A448-1,COLUMN('1-DATA'!H447)),ROUND(INDEX('1-DATA'!$1:$1048576,IF(OR($B449="STD. DEVIATION",$C$1=1),$A449,$A449+1),COLUMN('1-DATA'!H447)),IF($B449="STD. DEVIATION",2,$F$1))))</f>
        <v/>
      </c>
      <c r="J449" s="1" t="str">
        <f>IF(OR($B449="",J$7=""),"",IF($B449="MEANS",INDEX('1-DATA'!$1:$1048576,$A448-1,COLUMN('1-DATA'!I447)),ROUND(INDEX('1-DATA'!$1:$1048576,IF(OR($B449="STD. DEVIATION",$C$1=1),$A449,$A449+1),COLUMN('1-DATA'!I447)),IF($B449="STD. DEVIATION",2,$F$1))))</f>
        <v/>
      </c>
      <c r="K449" s="1" t="str">
        <f>IF(OR($B449="",K$7=""),"",IF($B449="MEANS",INDEX('1-DATA'!$1:$1048576,$A448-1,COLUMN('1-DATA'!J447)),ROUND(INDEX('1-DATA'!$1:$1048576,IF(OR($B449="STD. DEVIATION",$C$1=1),$A449,$A449+1),COLUMN('1-DATA'!J447)),IF($B449="STD. DEVIATION",2,$F$1))))</f>
        <v/>
      </c>
      <c r="L449" s="1" t="str">
        <f>IF(OR($B449="",L$7=""),"",IF($B449="MEANS",INDEX('1-DATA'!$1:$1048576,$A448-1,COLUMN('1-DATA'!K447)),ROUND(INDEX('1-DATA'!$1:$1048576,IF(OR($B449="STD. DEVIATION",$C$1=1),$A449,$A449+1),COLUMN('1-DATA'!K447)),IF($B449="STD. DEVIATION",2,$F$1))))</f>
        <v/>
      </c>
      <c r="M449" s="1" t="str">
        <f>IF(OR($B449="",M$7=""),"",IF($B449="MEANS",INDEX('1-DATA'!$1:$1048576,$A448-1,COLUMN('1-DATA'!L447)),ROUND(INDEX('1-DATA'!$1:$1048576,IF(OR($B449="STD. DEVIATION",$C$1=1),$A449,$A449+1),COLUMN('1-DATA'!L447)),IF($B449="STD. DEVIATION",2,$F$1))))</f>
        <v/>
      </c>
      <c r="N449" s="1" t="str">
        <f>IF(OR($B449="",N$7=""),"",IF($B449="MEANS",INDEX('1-DATA'!$1:$1048576,$A448-1,COLUMN('1-DATA'!M447)),ROUND(INDEX('1-DATA'!$1:$1048576,IF(OR($B449="STD. DEVIATION",$C$1=1),$A449,$A449+1),COLUMN('1-DATA'!M447)),IF($B449="STD. DEVIATION",2,$F$1))))</f>
        <v/>
      </c>
      <c r="O449" s="1" t="str">
        <f>IF(OR($B449="",O$7=""),"",IF($B449="MEANS",INDEX('1-DATA'!$1:$1048576,$A448-1,COLUMN('1-DATA'!N447)),ROUND(INDEX('1-DATA'!$1:$1048576,IF(OR($B449="STD. DEVIATION",$C$1=1),$A449,$A449+1),COLUMN('1-DATA'!N447)),IF($B449="STD. DEVIATION",2,$F$1))))</f>
        <v/>
      </c>
      <c r="P449" s="1" t="str">
        <f>IF(OR($B449="",P$7=""),"",IF($B449="MEANS",INDEX('1-DATA'!$1:$1048576,$A448-1,COLUMN('1-DATA'!O447)),ROUND(INDEX('1-DATA'!$1:$1048576,IF(OR($B449="STD. DEVIATION",$C$1=1),$A449,$A449+1),COLUMN('1-DATA'!O447)),IF($B449="STD. DEVIATION",2,$F$1))))</f>
        <v/>
      </c>
      <c r="Q449" s="1" t="str">
        <f>IF(OR($B449="",Q$7=""),"",IF($B449="MEANS",INDEX('1-DATA'!$1:$1048576,$A448-1,COLUMN('1-DATA'!P447)),ROUND(INDEX('1-DATA'!$1:$1048576,IF(OR($B449="STD. DEVIATION",$C$1=1),$A449,$A449+1),COLUMN('1-DATA'!P447)),IF($B449="STD. DEVIATION",2,$F$1))))</f>
        <v/>
      </c>
      <c r="R449" s="1" t="str">
        <f>IF(OR($B449="",R$7=""),"",IF($B449="MEANS",INDEX('1-DATA'!$1:$1048576,$A448-1,COLUMN('1-DATA'!Q447)),ROUND(INDEX('1-DATA'!$1:$1048576,IF(OR($B449="STD. DEVIATION",$C$1=1),$A449,$A449+1),COLUMN('1-DATA'!Q447)),IF($B449="STD. DEVIATION",2,$F$1))))</f>
        <v/>
      </c>
      <c r="S449" s="1" t="str">
        <f>IF(OR($B449="",S$7=""),"",IF($B449="MEANS",INDEX('1-DATA'!$1:$1048576,$A448-1,COLUMN('1-DATA'!R447)),ROUND(INDEX('1-DATA'!$1:$1048576,IF(OR($B449="STD. DEVIATION",$C$1=1),$A449,$A449+1),COLUMN('1-DATA'!R447)),IF($B449="STD. DEVIATION",2,$F$1))))</f>
        <v/>
      </c>
      <c r="T449" s="1" t="str">
        <f>IF(OR($B449="",T$7=""),"",IF($B449="MEANS",INDEX('1-DATA'!$1:$1048576,$A448-1,COLUMN('1-DATA'!S447)),ROUND(INDEX('1-DATA'!$1:$1048576,IF(OR($B449="STD. DEVIATION",$C$1=1),$A449,$A449+1),COLUMN('1-DATA'!S447)),IF($B449="STD. DEVIATION",2,$F$1))))</f>
        <v/>
      </c>
      <c r="U449" s="1" t="str">
        <f>IF(OR($B449="",U$7=""),"",IF($B449="MEANS",INDEX('1-DATA'!$1:$1048576,$A448-1,COLUMN('1-DATA'!T447)),ROUND(INDEX('1-DATA'!$1:$1048576,IF(OR($B449="STD. DEVIATION",$C$1=1),$A449,$A449+1),COLUMN('1-DATA'!T447)),IF($B449="STD. DEVIATION",2,$F$1))))</f>
        <v/>
      </c>
      <c r="V449" s="1" t="str">
        <f>IF(OR($B449="",V$7=""),"",IF($B449="MEANS",INDEX('1-DATA'!$1:$1048576,$A448-1,COLUMN('1-DATA'!U447)),ROUND(INDEX('1-DATA'!$1:$1048576,IF(OR($B449="STD. DEVIATION",$C$1=1),$A449,$A449+1),COLUMN('1-DATA'!U447)),IF($B449="STD. DEVIATION",2,$F$1))))</f>
        <v/>
      </c>
      <c r="W449" s="1" t="str">
        <f>IF(OR($B449="",W$7=""),"",IF($B449="MEANS",INDEX('1-DATA'!$1:$1048576,$A448-1,COLUMN('1-DATA'!V447)),ROUND(INDEX('1-DATA'!$1:$1048576,IF(OR($B449="STD. DEVIATION",$C$1=1),$A449,$A449+1),COLUMN('1-DATA'!V447)),IF($B449="STD. DEVIATION",2,$F$1))))</f>
        <v/>
      </c>
      <c r="X449" s="1" t="str">
        <f>IF(OR($B449="",X$7=""),"",IF($B449="MEANS",INDEX('1-DATA'!$1:$1048576,$A448-1,COLUMN('1-DATA'!W447)),ROUND(INDEX('1-DATA'!$1:$1048576,IF(OR($B449="STD. DEVIATION",$C$1=1),$A449,$A449+1),COLUMN('1-DATA'!W447)),IF($B449="STD. DEVIATION",2,$F$1))))</f>
        <v/>
      </c>
      <c r="Y449" s="1" t="str">
        <f>IF(OR($B449="",Y$7=""),"",IF($B449="MEANS",INDEX('1-DATA'!$1:$1048576,$A448-1,COLUMN('1-DATA'!X447)),ROUND(INDEX('1-DATA'!$1:$1048576,IF(OR($B449="STD. DEVIATION",$C$1=1),$A449,$A449+1),COLUMN('1-DATA'!X447)),IF($B449="STD. DEVIATION",2,$F$1))))</f>
        <v/>
      </c>
      <c r="Z449" s="1" t="str">
        <f>IF(OR($B449="",Z$7=""),"",IF($B449="MEANS",INDEX('1-DATA'!$1:$1048576,$A448-1,COLUMN('1-DATA'!Y447)),ROUND(INDEX('1-DATA'!$1:$1048576,IF(OR($B449="STD. DEVIATION",$C$1=1),$A449,$A449+1),COLUMN('1-DATA'!Y447)),IF($B449="STD. DEVIATION",2,$F$1))))</f>
        <v/>
      </c>
      <c r="AA449" s="1" t="str">
        <f>IF(OR($B449="",AA$7=""),"",IF($B449="MEANS",INDEX('1-DATA'!$1:$1048576,$A448-1,COLUMN('1-DATA'!Z447)),ROUND(INDEX('1-DATA'!$1:$1048576,IF(OR($B449="STD. DEVIATION",$C$1=1),$A449,$A449+1),COLUMN('1-DATA'!Z447)),IF($B449="STD. DEVIATION",2,$F$1))))</f>
        <v/>
      </c>
      <c r="AB449" s="1" t="str">
        <f>IF(OR($B449="",AB$7=""),"",IF($B449="MEANS",INDEX('1-DATA'!$1:$1048576,$A448-1,COLUMN('1-DATA'!AA447)),ROUND(INDEX('1-DATA'!$1:$1048576,IF(OR($B449="STD. DEVIATION",$C$1=1),$A449,$A449+1),COLUMN('1-DATA'!AA447)),IF($B449="STD. DEVIATION",2,$F$1))))</f>
        <v/>
      </c>
      <c r="AC449" s="1" t="str">
        <f>IF(OR($B449="",AC$7=""),"",IF($B449="MEANS",INDEX('1-DATA'!$1:$1048576,$A448-1,COLUMN('1-DATA'!AB447)),ROUND(INDEX('1-DATA'!$1:$1048576,IF(OR($B449="STD. DEVIATION",$C$1=1),$A449,$A449+1),COLUMN('1-DATA'!AB447)),IF($B449="STD. DEVIATION",2,$F$1))))</f>
        <v/>
      </c>
      <c r="AD449" s="1" t="str">
        <f>IF(OR($B449="",AD$7=""),"",IF($B449="MEANS",INDEX('1-DATA'!$1:$1048576,$A448-1,COLUMN('1-DATA'!AC447)),ROUND(INDEX('1-DATA'!$1:$1048576,IF(OR($B449="STD. DEVIATION",$C$1=1),$A449,$A449+1),COLUMN('1-DATA'!AC447)),IF($B449="STD. DEVIATION",2,$F$1))))</f>
        <v/>
      </c>
      <c r="AE449" s="1" t="str">
        <f>IF(OR($B449="",AE$7=""),"",IF($B449="MEANS",INDEX('1-DATA'!$1:$1048576,$A448-1,COLUMN('1-DATA'!AD447)),ROUND(INDEX('1-DATA'!$1:$1048576,IF(OR($B449="STD. DEVIATION",$C$1=1),$A449,$A449+1),COLUMN('1-DATA'!AD447)),IF($B449="STD. DEVIATION",2,$F$1))))</f>
        <v/>
      </c>
      <c r="AF449" s="1" t="str">
        <f>IF(OR($B449="",AF$7=""),"",IF($B449="MEANS",INDEX('1-DATA'!$1:$1048576,$A448-1,COLUMN('1-DATA'!AE447)),ROUND(INDEX('1-DATA'!$1:$1048576,IF(OR($B449="STD. DEVIATION",$C$1=1),$A449,$A449+1),COLUMN('1-DATA'!AE447)),IF($B449="STD. DEVIATION",2,$F$1))))</f>
        <v/>
      </c>
      <c r="AG449" s="1" t="str">
        <f>IF(OR($B449="",AG$7=""),"",IF($B449="MEANS",INDEX('1-DATA'!$1:$1048576,$A448-1,COLUMN('1-DATA'!AF447)),ROUND(INDEX('1-DATA'!$1:$1048576,IF(OR($B449="STD. DEVIATION",$C$1=1),$A449,$A449+1),COLUMN('1-DATA'!AF447)),IF($B449="STD. DEVIATION",2,$F$1))))</f>
        <v/>
      </c>
      <c r="AH449" s="1" t="str">
        <f>IF(OR($B449="",AH$7=""),"",IF($B449="MEANS",INDEX('1-DATA'!$1:$1048576,$A448-1,COLUMN('1-DATA'!AG447)),ROUND(INDEX('1-DATA'!$1:$1048576,IF(OR($B449="STD. DEVIATION",$C$1=1),$A449,$A449+1),COLUMN('1-DATA'!AG447)),IF($B449="STD. DEVIATION",2,$F$1))))</f>
        <v/>
      </c>
      <c r="AI449" s="1" t="str">
        <f>IF(OR($B449="",AI$7=""),"",IF($B449="MEANS",INDEX('1-DATA'!$1:$1048576,$A448-1,COLUMN('1-DATA'!AH447)),ROUND(INDEX('1-DATA'!$1:$1048576,IF(OR($B449="STD. DEVIATION",$C$1=1),$A449,$A449+1),COLUMN('1-DATA'!AH447)),IF($B449="STD. DEVIATION",2,$F$1))))</f>
        <v/>
      </c>
      <c r="AJ449" s="1" t="str">
        <f>IF(OR($B449="",AJ$7=""),"",IF($B449="MEANS",INDEX('1-DATA'!$1:$1048576,$A448-1,COLUMN('1-DATA'!AI447)),ROUND(INDEX('1-DATA'!$1:$1048576,IF(OR($B449="STD. DEVIATION",$C$1=1),$A449,$A449+1),COLUMN('1-DATA'!AI447)),IF($B449="STD. DEVIATION",2,$F$1))))</f>
        <v/>
      </c>
      <c r="AK449" s="1" t="str">
        <f>IF(OR($B449="",AK$7=""),"",IF($B449="MEANS",INDEX('1-DATA'!$1:$1048576,$A448-1,COLUMN('1-DATA'!AJ447)),ROUND(INDEX('1-DATA'!$1:$1048576,IF(OR($B449="STD. DEVIATION",$C$1=1),$A449,$A449+1),COLUMN('1-DATA'!AJ447)),IF($B449="STD. DEVIATION",2,$F$1))))</f>
        <v/>
      </c>
      <c r="AL449" s="1" t="str">
        <f>IF(OR($B449="",AL$7=""),"",IF($B449="MEANS",INDEX('1-DATA'!$1:$1048576,$A448-1,COLUMN('1-DATA'!AK447)),ROUND(INDEX('1-DATA'!$1:$1048576,IF(OR($B449="STD. DEVIATION",$C$1=1),$A449,$A449+1),COLUMN('1-DATA'!AK447)),IF($B449="STD. DEVIATION",2,$F$1))))</f>
        <v/>
      </c>
      <c r="AM449" s="1" t="str">
        <f>IF(OR($B449="",AM$7=""),"",IF($B449="MEANS",INDEX('1-DATA'!$1:$1048576,$A448-1,COLUMN('1-DATA'!AL447)),ROUND(INDEX('1-DATA'!$1:$1048576,IF(OR($B449="STD. DEVIATION",$C$1=1),$A449,$A449+1),COLUMN('1-DATA'!AL447)),IF($B449="STD. DEVIATION",2,$F$1))))</f>
        <v/>
      </c>
      <c r="AN449" s="1" t="str">
        <f>IF(OR($B449="",AN$7=""),"",IF($B449="MEANS",INDEX('1-DATA'!$1:$1048576,$A448-1,COLUMN('1-DATA'!AM447)),ROUND(INDEX('1-DATA'!$1:$1048576,IF(OR($B449="STD. DEVIATION",$C$1=1),$A449,$A449+1),COLUMN('1-DATA'!AM447)),IF($B449="STD. DEVIATION",2,$F$1))))</f>
        <v/>
      </c>
      <c r="AO449" s="1" t="str">
        <f>IF(OR($B449="",AO$7=""),"",IF($B449="MEANS",INDEX('1-DATA'!$1:$1048576,$A448-1,COLUMN('1-DATA'!AN447)),ROUND(INDEX('1-DATA'!$1:$1048576,IF(OR($B449="STD. DEVIATION",$C$1=1),$A449,$A449+1),COLUMN('1-DATA'!AN447)),IF($B449="STD. DEVIATION",2,$F$1))))</f>
        <v/>
      </c>
      <c r="AP449" s="1" t="str">
        <f>IF(OR($B449="",AP$7=""),"",IF($B449="MEANS",INDEX('1-DATA'!$1:$1048576,$A448-1,COLUMN('1-DATA'!AO447)),ROUND(INDEX('1-DATA'!$1:$1048576,IF(OR($B449="STD. DEVIATION",$C$1=1),$A449,$A449+1),COLUMN('1-DATA'!AO447)),IF($B449="STD. DEVIATION",2,$F$1))))</f>
        <v/>
      </c>
      <c r="AQ449" s="1" t="str">
        <f>IF(OR($B449="",AQ$7=""),"",IF($B449="MEANS",INDEX('1-DATA'!$1:$1048576,$A448-1,COLUMN('1-DATA'!AP447)),ROUND(INDEX('1-DATA'!$1:$1048576,IF(OR($B449="STD. DEVIATION",$C$1=1),$A449,$A449+1),COLUMN('1-DATA'!AP447)),IF($B449="STD. DEVIATION",2,$F$1))))</f>
        <v/>
      </c>
      <c r="AR449" s="1" t="str">
        <f>IF(OR($B449="",AR$7=""),"",IF($B449="MEANS",INDEX('1-DATA'!$1:$1048576,$A448-1,COLUMN('1-DATA'!AQ447)),ROUND(INDEX('1-DATA'!$1:$1048576,IF(OR($B449="STD. DEVIATION",$C$1=1),$A449,$A449+1),COLUMN('1-DATA'!AQ447)),IF($B449="STD. DEVIATION",2,$F$1))))</f>
        <v/>
      </c>
      <c r="AS449" s="1" t="str">
        <f>IF(OR($B449="",AS$7=""),"",IF($B449="MEANS",INDEX('1-DATA'!$1:$1048576,$A448-1,COLUMN('1-DATA'!AR447)),ROUND(INDEX('1-DATA'!$1:$1048576,IF(OR($B449="STD. DEVIATION",$C$1=1),$A449,$A449+1),COLUMN('1-DATA'!AR447)),IF($B449="STD. DEVIATION",2,$F$1))))</f>
        <v/>
      </c>
      <c r="AT449" s="1" t="str">
        <f>IF(OR($B449="",AT$7=""),"",IF($B449="MEANS",INDEX('1-DATA'!$1:$1048576,$A448-1,COLUMN('1-DATA'!AS447)),ROUND(INDEX('1-DATA'!$1:$1048576,IF(OR($B449="STD. DEVIATION",$C$1=1),$A449,$A449+1),COLUMN('1-DATA'!AS447)),IF($B449="STD. DEVIATION",2,$F$1))))</f>
        <v/>
      </c>
      <c r="AU449" s="1" t="str">
        <f>IF(OR($B449="",AU$7=""),"",IF($B449="MEANS",INDEX('1-DATA'!$1:$1048576,$A448-1,COLUMN('1-DATA'!AT447)),ROUND(INDEX('1-DATA'!$1:$1048576,IF(OR($B449="STD. DEVIATION",$C$1=1),$A449,$A449+1),COLUMN('1-DATA'!AT447)),IF($B449="STD. DEVIATION",2,$F$1))))</f>
        <v/>
      </c>
      <c r="AV449" s="1" t="str">
        <f>IF(OR($B449="",AV$7=""),"",IF($B449="MEANS",INDEX('1-DATA'!$1:$1048576,$A448-1,COLUMN('1-DATA'!AU447)),ROUND(INDEX('1-DATA'!$1:$1048576,IF(OR($B449="STD. DEVIATION",$C$1=1),$A449,$A449+1),COLUMN('1-DATA'!AU447)),IF($B449="STD. DEVIATION",2,$F$1))))</f>
        <v/>
      </c>
      <c r="AW449" s="1" t="str">
        <f>IF(OR($B449="",AW$7=""),"",IF($B449="MEANS",INDEX('1-DATA'!$1:$1048576,$A448-1,COLUMN('1-DATA'!AV447)),ROUND(INDEX('1-DATA'!$1:$1048576,IF(OR($B449="STD. DEVIATION",$C$1=1),$A449,$A449+1),COLUMN('1-DATA'!AV447)),IF($B449="STD. DEVIATION",2,$F$1))))</f>
        <v/>
      </c>
      <c r="AX449" s="1" t="str">
        <f>IF(OR($B449="",AX$7=""),"",IF($B449="MEANS",INDEX('1-DATA'!$1:$1048576,$A448-1,COLUMN('1-DATA'!AW447)),ROUND(INDEX('1-DATA'!$1:$1048576,IF(OR($B449="STD. DEVIATION",$C$1=1),$A449,$A449+1),COLUMN('1-DATA'!AW447)),IF($B449="STD. DEVIATION",2,$F$1))))</f>
        <v/>
      </c>
      <c r="AY449" s="1" t="str">
        <f>IF(OR($B449="",AY$7=""),"",IF($B449="MEANS",INDEX('1-DATA'!$1:$1048576,$A448-1,COLUMN('1-DATA'!AX447)),ROUND(INDEX('1-DATA'!$1:$1048576,IF(OR($B449="STD. DEVIATION",$C$1=1),$A449,$A449+1),COLUMN('1-DATA'!AX447)),IF($B449="STD. DEVIATION",2,$F$1))))</f>
        <v/>
      </c>
      <c r="AZ449" s="1" t="str">
        <f>IF(OR($B449="",AZ$7=""),"",IF($B449="MEANS",INDEX('1-DATA'!$1:$1048576,$A448-1,COLUMN('1-DATA'!AY447)),ROUND(INDEX('1-DATA'!$1:$1048576,IF(OR($B449="STD. DEVIATION",$C$1=1),$A449,$A449+1),COLUMN('1-DATA'!AY447)),IF($B449="STD. DEVIATION",2,$F$1))))</f>
        <v/>
      </c>
    </row>
    <row r="450" spans="1:52" x14ac:dyDescent="0.25">
      <c r="A450" s="11">
        <f t="shared" si="7"/>
        <v>1336</v>
      </c>
      <c r="B450" s="1" t="str">
        <f>IF(B449="STD. DEVIATION",INDEX('1-DATA'!$1:$1048576,$A449-1,1),IF(INDEX('1-DATA'!$1:$1048576,$A450,1)&lt;&gt;"",INDEX('1-DATA'!$1:$1048576,$A450,1),""))</f>
        <v/>
      </c>
      <c r="C450" s="1" t="str">
        <f>IF(OR($B450="",C$7=""),"",IF($B450="MEANS",INDEX('1-DATA'!$1:$1048576,$A449-1,COLUMN('1-DATA'!B448)),ROUND(INDEX('1-DATA'!$1:$1048576,IF(OR($B450="STD. DEVIATION",$C$1=1),$A450,$A450+1),COLUMN('1-DATA'!B448)),IF($B450="STD. DEVIATION",2,$F$1))))</f>
        <v/>
      </c>
      <c r="D450" s="1" t="str">
        <f>IF(OR($B450="",D$7=""),"",IF($B450="MEANS",INDEX('1-DATA'!$1:$1048576,$A449-1,COLUMN('1-DATA'!C448)),ROUND(INDEX('1-DATA'!$1:$1048576,IF(OR($B450="STD. DEVIATION",$C$1=1),$A450,$A450+1),COLUMN('1-DATA'!C448)),IF($B450="STD. DEVIATION",2,$F$1))))</f>
        <v/>
      </c>
      <c r="E450" s="1" t="str">
        <f>IF(OR($B450="",E$7=""),"",IF($B450="MEANS",INDEX('1-DATA'!$1:$1048576,$A449-1,COLUMN('1-DATA'!D448)),ROUND(INDEX('1-DATA'!$1:$1048576,IF(OR($B450="STD. DEVIATION",$C$1=1),$A450,$A450+1),COLUMN('1-DATA'!D448)),IF($B450="STD. DEVIATION",2,$F$1))))</f>
        <v/>
      </c>
      <c r="F450" s="1" t="str">
        <f>IF(OR($B450="",F$7=""),"",IF($B450="MEANS",INDEX('1-DATA'!$1:$1048576,$A449-1,COLUMN('1-DATA'!E448)),ROUND(INDEX('1-DATA'!$1:$1048576,IF(OR($B450="STD. DEVIATION",$C$1=1),$A450,$A450+1),COLUMN('1-DATA'!E448)),IF($B450="STD. DEVIATION",2,$F$1))))</f>
        <v/>
      </c>
      <c r="G450" s="1" t="str">
        <f>IF(OR($B450="",G$7=""),"",IF($B450="MEANS",INDEX('1-DATA'!$1:$1048576,$A449-1,COLUMN('1-DATA'!F448)),ROUND(INDEX('1-DATA'!$1:$1048576,IF(OR($B450="STD. DEVIATION",$C$1=1),$A450,$A450+1),COLUMN('1-DATA'!F448)),IF($B450="STD. DEVIATION",2,$F$1))))</f>
        <v/>
      </c>
      <c r="H450" s="1" t="str">
        <f>IF(OR($B450="",H$7=""),"",IF($B450="MEANS",INDEX('1-DATA'!$1:$1048576,$A449-1,COLUMN('1-DATA'!G448)),ROUND(INDEX('1-DATA'!$1:$1048576,IF(OR($B450="STD. DEVIATION",$C$1=1),$A450,$A450+1),COLUMN('1-DATA'!G448)),IF($B450="STD. DEVIATION",2,$F$1))))</f>
        <v/>
      </c>
      <c r="I450" s="1" t="str">
        <f>IF(OR($B450="",I$7=""),"",IF($B450="MEANS",INDEX('1-DATA'!$1:$1048576,$A449-1,COLUMN('1-DATA'!H448)),ROUND(INDEX('1-DATA'!$1:$1048576,IF(OR($B450="STD. DEVIATION",$C$1=1),$A450,$A450+1),COLUMN('1-DATA'!H448)),IF($B450="STD. DEVIATION",2,$F$1))))</f>
        <v/>
      </c>
      <c r="J450" s="1" t="str">
        <f>IF(OR($B450="",J$7=""),"",IF($B450="MEANS",INDEX('1-DATA'!$1:$1048576,$A449-1,COLUMN('1-DATA'!I448)),ROUND(INDEX('1-DATA'!$1:$1048576,IF(OR($B450="STD. DEVIATION",$C$1=1),$A450,$A450+1),COLUMN('1-DATA'!I448)),IF($B450="STD. DEVIATION",2,$F$1))))</f>
        <v/>
      </c>
      <c r="K450" s="1" t="str">
        <f>IF(OR($B450="",K$7=""),"",IF($B450="MEANS",INDEX('1-DATA'!$1:$1048576,$A449-1,COLUMN('1-DATA'!J448)),ROUND(INDEX('1-DATA'!$1:$1048576,IF(OR($B450="STD. DEVIATION",$C$1=1),$A450,$A450+1),COLUMN('1-DATA'!J448)),IF($B450="STD. DEVIATION",2,$F$1))))</f>
        <v/>
      </c>
      <c r="L450" s="1" t="str">
        <f>IF(OR($B450="",L$7=""),"",IF($B450="MEANS",INDEX('1-DATA'!$1:$1048576,$A449-1,COLUMN('1-DATA'!K448)),ROUND(INDEX('1-DATA'!$1:$1048576,IF(OR($B450="STD. DEVIATION",$C$1=1),$A450,$A450+1),COLUMN('1-DATA'!K448)),IF($B450="STD. DEVIATION",2,$F$1))))</f>
        <v/>
      </c>
      <c r="M450" s="1" t="str">
        <f>IF(OR($B450="",M$7=""),"",IF($B450="MEANS",INDEX('1-DATA'!$1:$1048576,$A449-1,COLUMN('1-DATA'!L448)),ROUND(INDEX('1-DATA'!$1:$1048576,IF(OR($B450="STD. DEVIATION",$C$1=1),$A450,$A450+1),COLUMN('1-DATA'!L448)),IF($B450="STD. DEVIATION",2,$F$1))))</f>
        <v/>
      </c>
      <c r="N450" s="1" t="str">
        <f>IF(OR($B450="",N$7=""),"",IF($B450="MEANS",INDEX('1-DATA'!$1:$1048576,$A449-1,COLUMN('1-DATA'!M448)),ROUND(INDEX('1-DATA'!$1:$1048576,IF(OR($B450="STD. DEVIATION",$C$1=1),$A450,$A450+1),COLUMN('1-DATA'!M448)),IF($B450="STD. DEVIATION",2,$F$1))))</f>
        <v/>
      </c>
      <c r="O450" s="1" t="str">
        <f>IF(OR($B450="",O$7=""),"",IF($B450="MEANS",INDEX('1-DATA'!$1:$1048576,$A449-1,COLUMN('1-DATA'!N448)),ROUND(INDEX('1-DATA'!$1:$1048576,IF(OR($B450="STD. DEVIATION",$C$1=1),$A450,$A450+1),COLUMN('1-DATA'!N448)),IF($B450="STD. DEVIATION",2,$F$1))))</f>
        <v/>
      </c>
      <c r="P450" s="1" t="str">
        <f>IF(OR($B450="",P$7=""),"",IF($B450="MEANS",INDEX('1-DATA'!$1:$1048576,$A449-1,COLUMN('1-DATA'!O448)),ROUND(INDEX('1-DATA'!$1:$1048576,IF(OR($B450="STD. DEVIATION",$C$1=1),$A450,$A450+1),COLUMN('1-DATA'!O448)),IF($B450="STD. DEVIATION",2,$F$1))))</f>
        <v/>
      </c>
      <c r="Q450" s="1" t="str">
        <f>IF(OR($B450="",Q$7=""),"",IF($B450="MEANS",INDEX('1-DATA'!$1:$1048576,$A449-1,COLUMN('1-DATA'!P448)),ROUND(INDEX('1-DATA'!$1:$1048576,IF(OR($B450="STD. DEVIATION",$C$1=1),$A450,$A450+1),COLUMN('1-DATA'!P448)),IF($B450="STD. DEVIATION",2,$F$1))))</f>
        <v/>
      </c>
      <c r="R450" s="1" t="str">
        <f>IF(OR($B450="",R$7=""),"",IF($B450="MEANS",INDEX('1-DATA'!$1:$1048576,$A449-1,COLUMN('1-DATA'!Q448)),ROUND(INDEX('1-DATA'!$1:$1048576,IF(OR($B450="STD. DEVIATION",$C$1=1),$A450,$A450+1),COLUMN('1-DATA'!Q448)),IF($B450="STD. DEVIATION",2,$F$1))))</f>
        <v/>
      </c>
      <c r="S450" s="1" t="str">
        <f>IF(OR($B450="",S$7=""),"",IF($B450="MEANS",INDEX('1-DATA'!$1:$1048576,$A449-1,COLUMN('1-DATA'!R448)),ROUND(INDEX('1-DATA'!$1:$1048576,IF(OR($B450="STD. DEVIATION",$C$1=1),$A450,$A450+1),COLUMN('1-DATA'!R448)),IF($B450="STD. DEVIATION",2,$F$1))))</f>
        <v/>
      </c>
      <c r="T450" s="1" t="str">
        <f>IF(OR($B450="",T$7=""),"",IF($B450="MEANS",INDEX('1-DATA'!$1:$1048576,$A449-1,COLUMN('1-DATA'!S448)),ROUND(INDEX('1-DATA'!$1:$1048576,IF(OR($B450="STD. DEVIATION",$C$1=1),$A450,$A450+1),COLUMN('1-DATA'!S448)),IF($B450="STD. DEVIATION",2,$F$1))))</f>
        <v/>
      </c>
      <c r="U450" s="1" t="str">
        <f>IF(OR($B450="",U$7=""),"",IF($B450="MEANS",INDEX('1-DATA'!$1:$1048576,$A449-1,COLUMN('1-DATA'!T448)),ROUND(INDEX('1-DATA'!$1:$1048576,IF(OR($B450="STD. DEVIATION",$C$1=1),$A450,$A450+1),COLUMN('1-DATA'!T448)),IF($B450="STD. DEVIATION",2,$F$1))))</f>
        <v/>
      </c>
      <c r="V450" s="1" t="str">
        <f>IF(OR($B450="",V$7=""),"",IF($B450="MEANS",INDEX('1-DATA'!$1:$1048576,$A449-1,COLUMN('1-DATA'!U448)),ROUND(INDEX('1-DATA'!$1:$1048576,IF(OR($B450="STD. DEVIATION",$C$1=1),$A450,$A450+1),COLUMN('1-DATA'!U448)),IF($B450="STD. DEVIATION",2,$F$1))))</f>
        <v/>
      </c>
      <c r="W450" s="1" t="str">
        <f>IF(OR($B450="",W$7=""),"",IF($B450="MEANS",INDEX('1-DATA'!$1:$1048576,$A449-1,COLUMN('1-DATA'!V448)),ROUND(INDEX('1-DATA'!$1:$1048576,IF(OR($B450="STD. DEVIATION",$C$1=1),$A450,$A450+1),COLUMN('1-DATA'!V448)),IF($B450="STD. DEVIATION",2,$F$1))))</f>
        <v/>
      </c>
      <c r="X450" s="1" t="str">
        <f>IF(OR($B450="",X$7=""),"",IF($B450="MEANS",INDEX('1-DATA'!$1:$1048576,$A449-1,COLUMN('1-DATA'!W448)),ROUND(INDEX('1-DATA'!$1:$1048576,IF(OR($B450="STD. DEVIATION",$C$1=1),$A450,$A450+1),COLUMN('1-DATA'!W448)),IF($B450="STD. DEVIATION",2,$F$1))))</f>
        <v/>
      </c>
      <c r="Y450" s="1" t="str">
        <f>IF(OR($B450="",Y$7=""),"",IF($B450="MEANS",INDEX('1-DATA'!$1:$1048576,$A449-1,COLUMN('1-DATA'!X448)),ROUND(INDEX('1-DATA'!$1:$1048576,IF(OR($B450="STD. DEVIATION",$C$1=1),$A450,$A450+1),COLUMN('1-DATA'!X448)),IF($B450="STD. DEVIATION",2,$F$1))))</f>
        <v/>
      </c>
      <c r="Z450" s="1" t="str">
        <f>IF(OR($B450="",Z$7=""),"",IF($B450="MEANS",INDEX('1-DATA'!$1:$1048576,$A449-1,COLUMN('1-DATA'!Y448)),ROUND(INDEX('1-DATA'!$1:$1048576,IF(OR($B450="STD. DEVIATION",$C$1=1),$A450,$A450+1),COLUMN('1-DATA'!Y448)),IF($B450="STD. DEVIATION",2,$F$1))))</f>
        <v/>
      </c>
      <c r="AA450" s="1" t="str">
        <f>IF(OR($B450="",AA$7=""),"",IF($B450="MEANS",INDEX('1-DATA'!$1:$1048576,$A449-1,COLUMN('1-DATA'!Z448)),ROUND(INDEX('1-DATA'!$1:$1048576,IF(OR($B450="STD. DEVIATION",$C$1=1),$A450,$A450+1),COLUMN('1-DATA'!Z448)),IF($B450="STD. DEVIATION",2,$F$1))))</f>
        <v/>
      </c>
      <c r="AB450" s="1" t="str">
        <f>IF(OR($B450="",AB$7=""),"",IF($B450="MEANS",INDEX('1-DATA'!$1:$1048576,$A449-1,COLUMN('1-DATA'!AA448)),ROUND(INDEX('1-DATA'!$1:$1048576,IF(OR($B450="STD. DEVIATION",$C$1=1),$A450,$A450+1),COLUMN('1-DATA'!AA448)),IF($B450="STD. DEVIATION",2,$F$1))))</f>
        <v/>
      </c>
      <c r="AC450" s="1" t="str">
        <f>IF(OR($B450="",AC$7=""),"",IF($B450="MEANS",INDEX('1-DATA'!$1:$1048576,$A449-1,COLUMN('1-DATA'!AB448)),ROUND(INDEX('1-DATA'!$1:$1048576,IF(OR($B450="STD. DEVIATION",$C$1=1),$A450,$A450+1),COLUMN('1-DATA'!AB448)),IF($B450="STD. DEVIATION",2,$F$1))))</f>
        <v/>
      </c>
      <c r="AD450" s="1" t="str">
        <f>IF(OR($B450="",AD$7=""),"",IF($B450="MEANS",INDEX('1-DATA'!$1:$1048576,$A449-1,COLUMN('1-DATA'!AC448)),ROUND(INDEX('1-DATA'!$1:$1048576,IF(OR($B450="STD. DEVIATION",$C$1=1),$A450,$A450+1),COLUMN('1-DATA'!AC448)),IF($B450="STD. DEVIATION",2,$F$1))))</f>
        <v/>
      </c>
      <c r="AE450" s="1" t="str">
        <f>IF(OR($B450="",AE$7=""),"",IF($B450="MEANS",INDEX('1-DATA'!$1:$1048576,$A449-1,COLUMN('1-DATA'!AD448)),ROUND(INDEX('1-DATA'!$1:$1048576,IF(OR($B450="STD. DEVIATION",$C$1=1),$A450,$A450+1),COLUMN('1-DATA'!AD448)),IF($B450="STD. DEVIATION",2,$F$1))))</f>
        <v/>
      </c>
      <c r="AF450" s="1" t="str">
        <f>IF(OR($B450="",AF$7=""),"",IF($B450="MEANS",INDEX('1-DATA'!$1:$1048576,$A449-1,COLUMN('1-DATA'!AE448)),ROUND(INDEX('1-DATA'!$1:$1048576,IF(OR($B450="STD. DEVIATION",$C$1=1),$A450,$A450+1),COLUMN('1-DATA'!AE448)),IF($B450="STD. DEVIATION",2,$F$1))))</f>
        <v/>
      </c>
      <c r="AG450" s="1" t="str">
        <f>IF(OR($B450="",AG$7=""),"",IF($B450="MEANS",INDEX('1-DATA'!$1:$1048576,$A449-1,COLUMN('1-DATA'!AF448)),ROUND(INDEX('1-DATA'!$1:$1048576,IF(OR($B450="STD. DEVIATION",$C$1=1),$A450,$A450+1),COLUMN('1-DATA'!AF448)),IF($B450="STD. DEVIATION",2,$F$1))))</f>
        <v/>
      </c>
      <c r="AH450" s="1" t="str">
        <f>IF(OR($B450="",AH$7=""),"",IF($B450="MEANS",INDEX('1-DATA'!$1:$1048576,$A449-1,COLUMN('1-DATA'!AG448)),ROUND(INDEX('1-DATA'!$1:$1048576,IF(OR($B450="STD. DEVIATION",$C$1=1),$A450,$A450+1),COLUMN('1-DATA'!AG448)),IF($B450="STD. DEVIATION",2,$F$1))))</f>
        <v/>
      </c>
      <c r="AI450" s="1" t="str">
        <f>IF(OR($B450="",AI$7=""),"",IF($B450="MEANS",INDEX('1-DATA'!$1:$1048576,$A449-1,COLUMN('1-DATA'!AH448)),ROUND(INDEX('1-DATA'!$1:$1048576,IF(OR($B450="STD. DEVIATION",$C$1=1),$A450,$A450+1),COLUMN('1-DATA'!AH448)),IF($B450="STD. DEVIATION",2,$F$1))))</f>
        <v/>
      </c>
      <c r="AJ450" s="1" t="str">
        <f>IF(OR($B450="",AJ$7=""),"",IF($B450="MEANS",INDEX('1-DATA'!$1:$1048576,$A449-1,COLUMN('1-DATA'!AI448)),ROUND(INDEX('1-DATA'!$1:$1048576,IF(OR($B450="STD. DEVIATION",$C$1=1),$A450,$A450+1),COLUMN('1-DATA'!AI448)),IF($B450="STD. DEVIATION",2,$F$1))))</f>
        <v/>
      </c>
      <c r="AK450" s="1" t="str">
        <f>IF(OR($B450="",AK$7=""),"",IF($B450="MEANS",INDEX('1-DATA'!$1:$1048576,$A449-1,COLUMN('1-DATA'!AJ448)),ROUND(INDEX('1-DATA'!$1:$1048576,IF(OR($B450="STD. DEVIATION",$C$1=1),$A450,$A450+1),COLUMN('1-DATA'!AJ448)),IF($B450="STD. DEVIATION",2,$F$1))))</f>
        <v/>
      </c>
      <c r="AL450" s="1" t="str">
        <f>IF(OR($B450="",AL$7=""),"",IF($B450="MEANS",INDEX('1-DATA'!$1:$1048576,$A449-1,COLUMN('1-DATA'!AK448)),ROUND(INDEX('1-DATA'!$1:$1048576,IF(OR($B450="STD. DEVIATION",$C$1=1),$A450,$A450+1),COLUMN('1-DATA'!AK448)),IF($B450="STD. DEVIATION",2,$F$1))))</f>
        <v/>
      </c>
      <c r="AM450" s="1" t="str">
        <f>IF(OR($B450="",AM$7=""),"",IF($B450="MEANS",INDEX('1-DATA'!$1:$1048576,$A449-1,COLUMN('1-DATA'!AL448)),ROUND(INDEX('1-DATA'!$1:$1048576,IF(OR($B450="STD. DEVIATION",$C$1=1),$A450,$A450+1),COLUMN('1-DATA'!AL448)),IF($B450="STD. DEVIATION",2,$F$1))))</f>
        <v/>
      </c>
      <c r="AN450" s="1" t="str">
        <f>IF(OR($B450="",AN$7=""),"",IF($B450="MEANS",INDEX('1-DATA'!$1:$1048576,$A449-1,COLUMN('1-DATA'!AM448)),ROUND(INDEX('1-DATA'!$1:$1048576,IF(OR($B450="STD. DEVIATION",$C$1=1),$A450,$A450+1),COLUMN('1-DATA'!AM448)),IF($B450="STD. DEVIATION",2,$F$1))))</f>
        <v/>
      </c>
      <c r="AO450" s="1" t="str">
        <f>IF(OR($B450="",AO$7=""),"",IF($B450="MEANS",INDEX('1-DATA'!$1:$1048576,$A449-1,COLUMN('1-DATA'!AN448)),ROUND(INDEX('1-DATA'!$1:$1048576,IF(OR($B450="STD. DEVIATION",$C$1=1),$A450,$A450+1),COLUMN('1-DATA'!AN448)),IF($B450="STD. DEVIATION",2,$F$1))))</f>
        <v/>
      </c>
      <c r="AP450" s="1" t="str">
        <f>IF(OR($B450="",AP$7=""),"",IF($B450="MEANS",INDEX('1-DATA'!$1:$1048576,$A449-1,COLUMN('1-DATA'!AO448)),ROUND(INDEX('1-DATA'!$1:$1048576,IF(OR($B450="STD. DEVIATION",$C$1=1),$A450,$A450+1),COLUMN('1-DATA'!AO448)),IF($B450="STD. DEVIATION",2,$F$1))))</f>
        <v/>
      </c>
      <c r="AQ450" s="1" t="str">
        <f>IF(OR($B450="",AQ$7=""),"",IF($B450="MEANS",INDEX('1-DATA'!$1:$1048576,$A449-1,COLUMN('1-DATA'!AP448)),ROUND(INDEX('1-DATA'!$1:$1048576,IF(OR($B450="STD. DEVIATION",$C$1=1),$A450,$A450+1),COLUMN('1-DATA'!AP448)),IF($B450="STD. DEVIATION",2,$F$1))))</f>
        <v/>
      </c>
      <c r="AR450" s="1" t="str">
        <f>IF(OR($B450="",AR$7=""),"",IF($B450="MEANS",INDEX('1-DATA'!$1:$1048576,$A449-1,COLUMN('1-DATA'!AQ448)),ROUND(INDEX('1-DATA'!$1:$1048576,IF(OR($B450="STD. DEVIATION",$C$1=1),$A450,$A450+1),COLUMN('1-DATA'!AQ448)),IF($B450="STD. DEVIATION",2,$F$1))))</f>
        <v/>
      </c>
      <c r="AS450" s="1" t="str">
        <f>IF(OR($B450="",AS$7=""),"",IF($B450="MEANS",INDEX('1-DATA'!$1:$1048576,$A449-1,COLUMN('1-DATA'!AR448)),ROUND(INDEX('1-DATA'!$1:$1048576,IF(OR($B450="STD. DEVIATION",$C$1=1),$A450,$A450+1),COLUMN('1-DATA'!AR448)),IF($B450="STD. DEVIATION",2,$F$1))))</f>
        <v/>
      </c>
      <c r="AT450" s="1" t="str">
        <f>IF(OR($B450="",AT$7=""),"",IF($B450="MEANS",INDEX('1-DATA'!$1:$1048576,$A449-1,COLUMN('1-DATA'!AS448)),ROUND(INDEX('1-DATA'!$1:$1048576,IF(OR($B450="STD. DEVIATION",$C$1=1),$A450,$A450+1),COLUMN('1-DATA'!AS448)),IF($B450="STD. DEVIATION",2,$F$1))))</f>
        <v/>
      </c>
      <c r="AU450" s="1" t="str">
        <f>IF(OR($B450="",AU$7=""),"",IF($B450="MEANS",INDEX('1-DATA'!$1:$1048576,$A449-1,COLUMN('1-DATA'!AT448)),ROUND(INDEX('1-DATA'!$1:$1048576,IF(OR($B450="STD. DEVIATION",$C$1=1),$A450,$A450+1),COLUMN('1-DATA'!AT448)),IF($B450="STD. DEVIATION",2,$F$1))))</f>
        <v/>
      </c>
      <c r="AV450" s="1" t="str">
        <f>IF(OR($B450="",AV$7=""),"",IF($B450="MEANS",INDEX('1-DATA'!$1:$1048576,$A449-1,COLUMN('1-DATA'!AU448)),ROUND(INDEX('1-DATA'!$1:$1048576,IF(OR($B450="STD. DEVIATION",$C$1=1),$A450,$A450+1),COLUMN('1-DATA'!AU448)),IF($B450="STD. DEVIATION",2,$F$1))))</f>
        <v/>
      </c>
      <c r="AW450" s="1" t="str">
        <f>IF(OR($B450="",AW$7=""),"",IF($B450="MEANS",INDEX('1-DATA'!$1:$1048576,$A449-1,COLUMN('1-DATA'!AV448)),ROUND(INDEX('1-DATA'!$1:$1048576,IF(OR($B450="STD. DEVIATION",$C$1=1),$A450,$A450+1),COLUMN('1-DATA'!AV448)),IF($B450="STD. DEVIATION",2,$F$1))))</f>
        <v/>
      </c>
      <c r="AX450" s="1" t="str">
        <f>IF(OR($B450="",AX$7=""),"",IF($B450="MEANS",INDEX('1-DATA'!$1:$1048576,$A449-1,COLUMN('1-DATA'!AW448)),ROUND(INDEX('1-DATA'!$1:$1048576,IF(OR($B450="STD. DEVIATION",$C$1=1),$A450,$A450+1),COLUMN('1-DATA'!AW448)),IF($B450="STD. DEVIATION",2,$F$1))))</f>
        <v/>
      </c>
      <c r="AY450" s="1" t="str">
        <f>IF(OR($B450="",AY$7=""),"",IF($B450="MEANS",INDEX('1-DATA'!$1:$1048576,$A449-1,COLUMN('1-DATA'!AX448)),ROUND(INDEX('1-DATA'!$1:$1048576,IF(OR($B450="STD. DEVIATION",$C$1=1),$A450,$A450+1),COLUMN('1-DATA'!AX448)),IF($B450="STD. DEVIATION",2,$F$1))))</f>
        <v/>
      </c>
      <c r="AZ450" s="1" t="str">
        <f>IF(OR($B450="",AZ$7=""),"",IF($B450="MEANS",INDEX('1-DATA'!$1:$1048576,$A449-1,COLUMN('1-DATA'!AY448)),ROUND(INDEX('1-DATA'!$1:$1048576,IF(OR($B450="STD. DEVIATION",$C$1=1),$A450,$A450+1),COLUMN('1-DATA'!AY448)),IF($B450="STD. DEVIATION",2,$F$1))))</f>
        <v/>
      </c>
    </row>
    <row r="451" spans="1:52" x14ac:dyDescent="0.25">
      <c r="A451" s="11">
        <f t="shared" si="7"/>
        <v>1339</v>
      </c>
      <c r="B451" s="1" t="str">
        <f>IF(B450="STD. DEVIATION",INDEX('1-DATA'!$1:$1048576,$A450-1,1),IF(INDEX('1-DATA'!$1:$1048576,$A451,1)&lt;&gt;"",INDEX('1-DATA'!$1:$1048576,$A451,1),""))</f>
        <v/>
      </c>
      <c r="C451" s="1" t="str">
        <f>IF(OR($B451="",C$7=""),"",IF($B451="MEANS",INDEX('1-DATA'!$1:$1048576,$A450-1,COLUMN('1-DATA'!B449)),ROUND(INDEX('1-DATA'!$1:$1048576,IF(OR($B451="STD. DEVIATION",$C$1=1),$A451,$A451+1),COLUMN('1-DATA'!B449)),IF($B451="STD. DEVIATION",2,$F$1))))</f>
        <v/>
      </c>
      <c r="D451" s="1" t="str">
        <f>IF(OR($B451="",D$7=""),"",IF($B451="MEANS",INDEX('1-DATA'!$1:$1048576,$A450-1,COLUMN('1-DATA'!C449)),ROUND(INDEX('1-DATA'!$1:$1048576,IF(OR($B451="STD. DEVIATION",$C$1=1),$A451,$A451+1),COLUMN('1-DATA'!C449)),IF($B451="STD. DEVIATION",2,$F$1))))</f>
        <v/>
      </c>
      <c r="E451" s="1" t="str">
        <f>IF(OR($B451="",E$7=""),"",IF($B451="MEANS",INDEX('1-DATA'!$1:$1048576,$A450-1,COLUMN('1-DATA'!D449)),ROUND(INDEX('1-DATA'!$1:$1048576,IF(OR($B451="STD. DEVIATION",$C$1=1),$A451,$A451+1),COLUMN('1-DATA'!D449)),IF($B451="STD. DEVIATION",2,$F$1))))</f>
        <v/>
      </c>
      <c r="F451" s="1" t="str">
        <f>IF(OR($B451="",F$7=""),"",IF($B451="MEANS",INDEX('1-DATA'!$1:$1048576,$A450-1,COLUMN('1-DATA'!E449)),ROUND(INDEX('1-DATA'!$1:$1048576,IF(OR($B451="STD. DEVIATION",$C$1=1),$A451,$A451+1),COLUMN('1-DATA'!E449)),IF($B451="STD. DEVIATION",2,$F$1))))</f>
        <v/>
      </c>
      <c r="G451" s="1" t="str">
        <f>IF(OR($B451="",G$7=""),"",IF($B451="MEANS",INDEX('1-DATA'!$1:$1048576,$A450-1,COLUMN('1-DATA'!F449)),ROUND(INDEX('1-DATA'!$1:$1048576,IF(OR($B451="STD. DEVIATION",$C$1=1),$A451,$A451+1),COLUMN('1-DATA'!F449)),IF($B451="STD. DEVIATION",2,$F$1))))</f>
        <v/>
      </c>
      <c r="H451" s="1" t="str">
        <f>IF(OR($B451="",H$7=""),"",IF($B451="MEANS",INDEX('1-DATA'!$1:$1048576,$A450-1,COLUMN('1-DATA'!G449)),ROUND(INDEX('1-DATA'!$1:$1048576,IF(OR($B451="STD. DEVIATION",$C$1=1),$A451,$A451+1),COLUMN('1-DATA'!G449)),IF($B451="STD. DEVIATION",2,$F$1))))</f>
        <v/>
      </c>
      <c r="I451" s="1" t="str">
        <f>IF(OR($B451="",I$7=""),"",IF($B451="MEANS",INDEX('1-DATA'!$1:$1048576,$A450-1,COLUMN('1-DATA'!H449)),ROUND(INDEX('1-DATA'!$1:$1048576,IF(OR($B451="STD. DEVIATION",$C$1=1),$A451,$A451+1),COLUMN('1-DATA'!H449)),IF($B451="STD. DEVIATION",2,$F$1))))</f>
        <v/>
      </c>
      <c r="J451" s="1" t="str">
        <f>IF(OR($B451="",J$7=""),"",IF($B451="MEANS",INDEX('1-DATA'!$1:$1048576,$A450-1,COLUMN('1-DATA'!I449)),ROUND(INDEX('1-DATA'!$1:$1048576,IF(OR($B451="STD. DEVIATION",$C$1=1),$A451,$A451+1),COLUMN('1-DATA'!I449)),IF($B451="STD. DEVIATION",2,$F$1))))</f>
        <v/>
      </c>
      <c r="K451" s="1" t="str">
        <f>IF(OR($B451="",K$7=""),"",IF($B451="MEANS",INDEX('1-DATA'!$1:$1048576,$A450-1,COLUMN('1-DATA'!J449)),ROUND(INDEX('1-DATA'!$1:$1048576,IF(OR($B451="STD. DEVIATION",$C$1=1),$A451,$A451+1),COLUMN('1-DATA'!J449)),IF($B451="STD. DEVIATION",2,$F$1))))</f>
        <v/>
      </c>
      <c r="L451" s="1" t="str">
        <f>IF(OR($B451="",L$7=""),"",IF($B451="MEANS",INDEX('1-DATA'!$1:$1048576,$A450-1,COLUMN('1-DATA'!K449)),ROUND(INDEX('1-DATA'!$1:$1048576,IF(OR($B451="STD. DEVIATION",$C$1=1),$A451,$A451+1),COLUMN('1-DATA'!K449)),IF($B451="STD. DEVIATION",2,$F$1))))</f>
        <v/>
      </c>
      <c r="M451" s="1" t="str">
        <f>IF(OR($B451="",M$7=""),"",IF($B451="MEANS",INDEX('1-DATA'!$1:$1048576,$A450-1,COLUMN('1-DATA'!L449)),ROUND(INDEX('1-DATA'!$1:$1048576,IF(OR($B451="STD. DEVIATION",$C$1=1),$A451,$A451+1),COLUMN('1-DATA'!L449)),IF($B451="STD. DEVIATION",2,$F$1))))</f>
        <v/>
      </c>
      <c r="N451" s="1" t="str">
        <f>IF(OR($B451="",N$7=""),"",IF($B451="MEANS",INDEX('1-DATA'!$1:$1048576,$A450-1,COLUMN('1-DATA'!M449)),ROUND(INDEX('1-DATA'!$1:$1048576,IF(OR($B451="STD. DEVIATION",$C$1=1),$A451,$A451+1),COLUMN('1-DATA'!M449)),IF($B451="STD. DEVIATION",2,$F$1))))</f>
        <v/>
      </c>
      <c r="O451" s="1" t="str">
        <f>IF(OR($B451="",O$7=""),"",IF($B451="MEANS",INDEX('1-DATA'!$1:$1048576,$A450-1,COLUMN('1-DATA'!N449)),ROUND(INDEX('1-DATA'!$1:$1048576,IF(OR($B451="STD. DEVIATION",$C$1=1),$A451,$A451+1),COLUMN('1-DATA'!N449)),IF($B451="STD. DEVIATION",2,$F$1))))</f>
        <v/>
      </c>
      <c r="P451" s="1" t="str">
        <f>IF(OR($B451="",P$7=""),"",IF($B451="MEANS",INDEX('1-DATA'!$1:$1048576,$A450-1,COLUMN('1-DATA'!O449)),ROUND(INDEX('1-DATA'!$1:$1048576,IF(OR($B451="STD. DEVIATION",$C$1=1),$A451,$A451+1),COLUMN('1-DATA'!O449)),IF($B451="STD. DEVIATION",2,$F$1))))</f>
        <v/>
      </c>
      <c r="Q451" s="1" t="str">
        <f>IF(OR($B451="",Q$7=""),"",IF($B451="MEANS",INDEX('1-DATA'!$1:$1048576,$A450-1,COLUMN('1-DATA'!P449)),ROUND(INDEX('1-DATA'!$1:$1048576,IF(OR($B451="STD. DEVIATION",$C$1=1),$A451,$A451+1),COLUMN('1-DATA'!P449)),IF($B451="STD. DEVIATION",2,$F$1))))</f>
        <v/>
      </c>
      <c r="R451" s="1" t="str">
        <f>IF(OR($B451="",R$7=""),"",IF($B451="MEANS",INDEX('1-DATA'!$1:$1048576,$A450-1,COLUMN('1-DATA'!Q449)),ROUND(INDEX('1-DATA'!$1:$1048576,IF(OR($B451="STD. DEVIATION",$C$1=1),$A451,$A451+1),COLUMN('1-DATA'!Q449)),IF($B451="STD. DEVIATION",2,$F$1))))</f>
        <v/>
      </c>
      <c r="S451" s="1" t="str">
        <f>IF(OR($B451="",S$7=""),"",IF($B451="MEANS",INDEX('1-DATA'!$1:$1048576,$A450-1,COLUMN('1-DATA'!R449)),ROUND(INDEX('1-DATA'!$1:$1048576,IF(OR($B451="STD. DEVIATION",$C$1=1),$A451,$A451+1),COLUMN('1-DATA'!R449)),IF($B451="STD. DEVIATION",2,$F$1))))</f>
        <v/>
      </c>
      <c r="T451" s="1" t="str">
        <f>IF(OR($B451="",T$7=""),"",IF($B451="MEANS",INDEX('1-DATA'!$1:$1048576,$A450-1,COLUMN('1-DATA'!S449)),ROUND(INDEX('1-DATA'!$1:$1048576,IF(OR($B451="STD. DEVIATION",$C$1=1),$A451,$A451+1),COLUMN('1-DATA'!S449)),IF($B451="STD. DEVIATION",2,$F$1))))</f>
        <v/>
      </c>
      <c r="U451" s="1" t="str">
        <f>IF(OR($B451="",U$7=""),"",IF($B451="MEANS",INDEX('1-DATA'!$1:$1048576,$A450-1,COLUMN('1-DATA'!T449)),ROUND(INDEX('1-DATA'!$1:$1048576,IF(OR($B451="STD. DEVIATION",$C$1=1),$A451,$A451+1),COLUMN('1-DATA'!T449)),IF($B451="STD. DEVIATION",2,$F$1))))</f>
        <v/>
      </c>
      <c r="V451" s="1" t="str">
        <f>IF(OR($B451="",V$7=""),"",IF($B451="MEANS",INDEX('1-DATA'!$1:$1048576,$A450-1,COLUMN('1-DATA'!U449)),ROUND(INDEX('1-DATA'!$1:$1048576,IF(OR($B451="STD. DEVIATION",$C$1=1),$A451,$A451+1),COLUMN('1-DATA'!U449)),IF($B451="STD. DEVIATION",2,$F$1))))</f>
        <v/>
      </c>
      <c r="W451" s="1" t="str">
        <f>IF(OR($B451="",W$7=""),"",IF($B451="MEANS",INDEX('1-DATA'!$1:$1048576,$A450-1,COLUMN('1-DATA'!V449)),ROUND(INDEX('1-DATA'!$1:$1048576,IF(OR($B451="STD. DEVIATION",$C$1=1),$A451,$A451+1),COLUMN('1-DATA'!V449)),IF($B451="STD. DEVIATION",2,$F$1))))</f>
        <v/>
      </c>
      <c r="X451" s="1" t="str">
        <f>IF(OR($B451="",X$7=""),"",IF($B451="MEANS",INDEX('1-DATA'!$1:$1048576,$A450-1,COLUMN('1-DATA'!W449)),ROUND(INDEX('1-DATA'!$1:$1048576,IF(OR($B451="STD. DEVIATION",$C$1=1),$A451,$A451+1),COLUMN('1-DATA'!W449)),IF($B451="STD. DEVIATION",2,$F$1))))</f>
        <v/>
      </c>
      <c r="Y451" s="1" t="str">
        <f>IF(OR($B451="",Y$7=""),"",IF($B451="MEANS",INDEX('1-DATA'!$1:$1048576,$A450-1,COLUMN('1-DATA'!X449)),ROUND(INDEX('1-DATA'!$1:$1048576,IF(OR($B451="STD. DEVIATION",$C$1=1),$A451,$A451+1),COLUMN('1-DATA'!X449)),IF($B451="STD. DEVIATION",2,$F$1))))</f>
        <v/>
      </c>
      <c r="Z451" s="1" t="str">
        <f>IF(OR($B451="",Z$7=""),"",IF($B451="MEANS",INDEX('1-DATA'!$1:$1048576,$A450-1,COLUMN('1-DATA'!Y449)),ROUND(INDEX('1-DATA'!$1:$1048576,IF(OR($B451="STD. DEVIATION",$C$1=1),$A451,$A451+1),COLUMN('1-DATA'!Y449)),IF($B451="STD. DEVIATION",2,$F$1))))</f>
        <v/>
      </c>
      <c r="AA451" s="1" t="str">
        <f>IF(OR($B451="",AA$7=""),"",IF($B451="MEANS",INDEX('1-DATA'!$1:$1048576,$A450-1,COLUMN('1-DATA'!Z449)),ROUND(INDEX('1-DATA'!$1:$1048576,IF(OR($B451="STD. DEVIATION",$C$1=1),$A451,$A451+1),COLUMN('1-DATA'!Z449)),IF($B451="STD. DEVIATION",2,$F$1))))</f>
        <v/>
      </c>
      <c r="AB451" s="1" t="str">
        <f>IF(OR($B451="",AB$7=""),"",IF($B451="MEANS",INDEX('1-DATA'!$1:$1048576,$A450-1,COLUMN('1-DATA'!AA449)),ROUND(INDEX('1-DATA'!$1:$1048576,IF(OR($B451="STD. DEVIATION",$C$1=1),$A451,$A451+1),COLUMN('1-DATA'!AA449)),IF($B451="STD. DEVIATION",2,$F$1))))</f>
        <v/>
      </c>
      <c r="AC451" s="1" t="str">
        <f>IF(OR($B451="",AC$7=""),"",IF($B451="MEANS",INDEX('1-DATA'!$1:$1048576,$A450-1,COLUMN('1-DATA'!AB449)),ROUND(INDEX('1-DATA'!$1:$1048576,IF(OR($B451="STD. DEVIATION",$C$1=1),$A451,$A451+1),COLUMN('1-DATA'!AB449)),IF($B451="STD. DEVIATION",2,$F$1))))</f>
        <v/>
      </c>
      <c r="AD451" s="1" t="str">
        <f>IF(OR($B451="",AD$7=""),"",IF($B451="MEANS",INDEX('1-DATA'!$1:$1048576,$A450-1,COLUMN('1-DATA'!AC449)),ROUND(INDEX('1-DATA'!$1:$1048576,IF(OR($B451="STD. DEVIATION",$C$1=1),$A451,$A451+1),COLUMN('1-DATA'!AC449)),IF($B451="STD. DEVIATION",2,$F$1))))</f>
        <v/>
      </c>
      <c r="AE451" s="1" t="str">
        <f>IF(OR($B451="",AE$7=""),"",IF($B451="MEANS",INDEX('1-DATA'!$1:$1048576,$A450-1,COLUMN('1-DATA'!AD449)),ROUND(INDEX('1-DATA'!$1:$1048576,IF(OR($B451="STD. DEVIATION",$C$1=1),$A451,$A451+1),COLUMN('1-DATA'!AD449)),IF($B451="STD. DEVIATION",2,$F$1))))</f>
        <v/>
      </c>
      <c r="AF451" s="1" t="str">
        <f>IF(OR($B451="",AF$7=""),"",IF($B451="MEANS",INDEX('1-DATA'!$1:$1048576,$A450-1,COLUMN('1-DATA'!AE449)),ROUND(INDEX('1-DATA'!$1:$1048576,IF(OR($B451="STD. DEVIATION",$C$1=1),$A451,$A451+1),COLUMN('1-DATA'!AE449)),IF($B451="STD. DEVIATION",2,$F$1))))</f>
        <v/>
      </c>
      <c r="AG451" s="1" t="str">
        <f>IF(OR($B451="",AG$7=""),"",IF($B451="MEANS",INDEX('1-DATA'!$1:$1048576,$A450-1,COLUMN('1-DATA'!AF449)),ROUND(INDEX('1-DATA'!$1:$1048576,IF(OR($B451="STD. DEVIATION",$C$1=1),$A451,$A451+1),COLUMN('1-DATA'!AF449)),IF($B451="STD. DEVIATION",2,$F$1))))</f>
        <v/>
      </c>
      <c r="AH451" s="1" t="str">
        <f>IF(OR($B451="",AH$7=""),"",IF($B451="MEANS",INDEX('1-DATA'!$1:$1048576,$A450-1,COLUMN('1-DATA'!AG449)),ROUND(INDEX('1-DATA'!$1:$1048576,IF(OR($B451="STD. DEVIATION",$C$1=1),$A451,$A451+1),COLUMN('1-DATA'!AG449)),IF($B451="STD. DEVIATION",2,$F$1))))</f>
        <v/>
      </c>
      <c r="AI451" s="1" t="str">
        <f>IF(OR($B451="",AI$7=""),"",IF($B451="MEANS",INDEX('1-DATA'!$1:$1048576,$A450-1,COLUMN('1-DATA'!AH449)),ROUND(INDEX('1-DATA'!$1:$1048576,IF(OR($B451="STD. DEVIATION",$C$1=1),$A451,$A451+1),COLUMN('1-DATA'!AH449)),IF($B451="STD. DEVIATION",2,$F$1))))</f>
        <v/>
      </c>
      <c r="AJ451" s="1" t="str">
        <f>IF(OR($B451="",AJ$7=""),"",IF($B451="MEANS",INDEX('1-DATA'!$1:$1048576,$A450-1,COLUMN('1-DATA'!AI449)),ROUND(INDEX('1-DATA'!$1:$1048576,IF(OR($B451="STD. DEVIATION",$C$1=1),$A451,$A451+1),COLUMN('1-DATA'!AI449)),IF($B451="STD. DEVIATION",2,$F$1))))</f>
        <v/>
      </c>
      <c r="AK451" s="1" t="str">
        <f>IF(OR($B451="",AK$7=""),"",IF($B451="MEANS",INDEX('1-DATA'!$1:$1048576,$A450-1,COLUMN('1-DATA'!AJ449)),ROUND(INDEX('1-DATA'!$1:$1048576,IF(OR($B451="STD. DEVIATION",$C$1=1),$A451,$A451+1),COLUMN('1-DATA'!AJ449)),IF($B451="STD. DEVIATION",2,$F$1))))</f>
        <v/>
      </c>
      <c r="AL451" s="1" t="str">
        <f>IF(OR($B451="",AL$7=""),"",IF($B451="MEANS",INDEX('1-DATA'!$1:$1048576,$A450-1,COLUMN('1-DATA'!AK449)),ROUND(INDEX('1-DATA'!$1:$1048576,IF(OR($B451="STD. DEVIATION",$C$1=1),$A451,$A451+1),COLUMN('1-DATA'!AK449)),IF($B451="STD. DEVIATION",2,$F$1))))</f>
        <v/>
      </c>
      <c r="AM451" s="1" t="str">
        <f>IF(OR($B451="",AM$7=""),"",IF($B451="MEANS",INDEX('1-DATA'!$1:$1048576,$A450-1,COLUMN('1-DATA'!AL449)),ROUND(INDEX('1-DATA'!$1:$1048576,IF(OR($B451="STD. DEVIATION",$C$1=1),$A451,$A451+1),COLUMN('1-DATA'!AL449)),IF($B451="STD. DEVIATION",2,$F$1))))</f>
        <v/>
      </c>
      <c r="AN451" s="1" t="str">
        <f>IF(OR($B451="",AN$7=""),"",IF($B451="MEANS",INDEX('1-DATA'!$1:$1048576,$A450-1,COLUMN('1-DATA'!AM449)),ROUND(INDEX('1-DATA'!$1:$1048576,IF(OR($B451="STD. DEVIATION",$C$1=1),$A451,$A451+1),COLUMN('1-DATA'!AM449)),IF($B451="STD. DEVIATION",2,$F$1))))</f>
        <v/>
      </c>
      <c r="AO451" s="1" t="str">
        <f>IF(OR($B451="",AO$7=""),"",IF($B451="MEANS",INDEX('1-DATA'!$1:$1048576,$A450-1,COLUMN('1-DATA'!AN449)),ROUND(INDEX('1-DATA'!$1:$1048576,IF(OR($B451="STD. DEVIATION",$C$1=1),$A451,$A451+1),COLUMN('1-DATA'!AN449)),IF($B451="STD. DEVIATION",2,$F$1))))</f>
        <v/>
      </c>
      <c r="AP451" s="1" t="str">
        <f>IF(OR($B451="",AP$7=""),"",IF($B451="MEANS",INDEX('1-DATA'!$1:$1048576,$A450-1,COLUMN('1-DATA'!AO449)),ROUND(INDEX('1-DATA'!$1:$1048576,IF(OR($B451="STD. DEVIATION",$C$1=1),$A451,$A451+1),COLUMN('1-DATA'!AO449)),IF($B451="STD. DEVIATION",2,$F$1))))</f>
        <v/>
      </c>
      <c r="AQ451" s="1" t="str">
        <f>IF(OR($B451="",AQ$7=""),"",IF($B451="MEANS",INDEX('1-DATA'!$1:$1048576,$A450-1,COLUMN('1-DATA'!AP449)),ROUND(INDEX('1-DATA'!$1:$1048576,IF(OR($B451="STD. DEVIATION",$C$1=1),$A451,$A451+1),COLUMN('1-DATA'!AP449)),IF($B451="STD. DEVIATION",2,$F$1))))</f>
        <v/>
      </c>
      <c r="AR451" s="1" t="str">
        <f>IF(OR($B451="",AR$7=""),"",IF($B451="MEANS",INDEX('1-DATA'!$1:$1048576,$A450-1,COLUMN('1-DATA'!AQ449)),ROUND(INDEX('1-DATA'!$1:$1048576,IF(OR($B451="STD. DEVIATION",$C$1=1),$A451,$A451+1),COLUMN('1-DATA'!AQ449)),IF($B451="STD. DEVIATION",2,$F$1))))</f>
        <v/>
      </c>
      <c r="AS451" s="1" t="str">
        <f>IF(OR($B451="",AS$7=""),"",IF($B451="MEANS",INDEX('1-DATA'!$1:$1048576,$A450-1,COLUMN('1-DATA'!AR449)),ROUND(INDEX('1-DATA'!$1:$1048576,IF(OR($B451="STD. DEVIATION",$C$1=1),$A451,$A451+1),COLUMN('1-DATA'!AR449)),IF($B451="STD. DEVIATION",2,$F$1))))</f>
        <v/>
      </c>
      <c r="AT451" s="1" t="str">
        <f>IF(OR($B451="",AT$7=""),"",IF($B451="MEANS",INDEX('1-DATA'!$1:$1048576,$A450-1,COLUMN('1-DATA'!AS449)),ROUND(INDEX('1-DATA'!$1:$1048576,IF(OR($B451="STD. DEVIATION",$C$1=1),$A451,$A451+1),COLUMN('1-DATA'!AS449)),IF($B451="STD. DEVIATION",2,$F$1))))</f>
        <v/>
      </c>
      <c r="AU451" s="1" t="str">
        <f>IF(OR($B451="",AU$7=""),"",IF($B451="MEANS",INDEX('1-DATA'!$1:$1048576,$A450-1,COLUMN('1-DATA'!AT449)),ROUND(INDEX('1-DATA'!$1:$1048576,IF(OR($B451="STD. DEVIATION",$C$1=1),$A451,$A451+1),COLUMN('1-DATA'!AT449)),IF($B451="STD. DEVIATION",2,$F$1))))</f>
        <v/>
      </c>
      <c r="AV451" s="1" t="str">
        <f>IF(OR($B451="",AV$7=""),"",IF($B451="MEANS",INDEX('1-DATA'!$1:$1048576,$A450-1,COLUMN('1-DATA'!AU449)),ROUND(INDEX('1-DATA'!$1:$1048576,IF(OR($B451="STD. DEVIATION",$C$1=1),$A451,$A451+1),COLUMN('1-DATA'!AU449)),IF($B451="STD. DEVIATION",2,$F$1))))</f>
        <v/>
      </c>
      <c r="AW451" s="1" t="str">
        <f>IF(OR($B451="",AW$7=""),"",IF($B451="MEANS",INDEX('1-DATA'!$1:$1048576,$A450-1,COLUMN('1-DATA'!AV449)),ROUND(INDEX('1-DATA'!$1:$1048576,IF(OR($B451="STD. DEVIATION",$C$1=1),$A451,$A451+1),COLUMN('1-DATA'!AV449)),IF($B451="STD. DEVIATION",2,$F$1))))</f>
        <v/>
      </c>
      <c r="AX451" s="1" t="str">
        <f>IF(OR($B451="",AX$7=""),"",IF($B451="MEANS",INDEX('1-DATA'!$1:$1048576,$A450-1,COLUMN('1-DATA'!AW449)),ROUND(INDEX('1-DATA'!$1:$1048576,IF(OR($B451="STD. DEVIATION",$C$1=1),$A451,$A451+1),COLUMN('1-DATA'!AW449)),IF($B451="STD. DEVIATION",2,$F$1))))</f>
        <v/>
      </c>
      <c r="AY451" s="1" t="str">
        <f>IF(OR($B451="",AY$7=""),"",IF($B451="MEANS",INDEX('1-DATA'!$1:$1048576,$A450-1,COLUMN('1-DATA'!AX449)),ROUND(INDEX('1-DATA'!$1:$1048576,IF(OR($B451="STD. DEVIATION",$C$1=1),$A451,$A451+1),COLUMN('1-DATA'!AX449)),IF($B451="STD. DEVIATION",2,$F$1))))</f>
        <v/>
      </c>
      <c r="AZ451" s="1" t="str">
        <f>IF(OR($B451="",AZ$7=""),"",IF($B451="MEANS",INDEX('1-DATA'!$1:$1048576,$A450-1,COLUMN('1-DATA'!AY449)),ROUND(INDEX('1-DATA'!$1:$1048576,IF(OR($B451="STD. DEVIATION",$C$1=1),$A451,$A451+1),COLUMN('1-DATA'!AY449)),IF($B451="STD. DEVIATION",2,$F$1))))</f>
        <v/>
      </c>
    </row>
    <row r="452" spans="1:52" x14ac:dyDescent="0.25">
      <c r="A452" s="11">
        <f t="shared" si="7"/>
        <v>1342</v>
      </c>
      <c r="B452" s="1" t="str">
        <f>IF(B451="STD. DEVIATION",INDEX('1-DATA'!$1:$1048576,$A451-1,1),IF(INDEX('1-DATA'!$1:$1048576,$A452,1)&lt;&gt;"",INDEX('1-DATA'!$1:$1048576,$A452,1),""))</f>
        <v/>
      </c>
      <c r="C452" s="1" t="str">
        <f>IF(OR($B452="",C$7=""),"",IF($B452="MEANS",INDEX('1-DATA'!$1:$1048576,$A451-1,COLUMN('1-DATA'!B450)),ROUND(INDEX('1-DATA'!$1:$1048576,IF(OR($B452="STD. DEVIATION",$C$1=1),$A452,$A452+1),COLUMN('1-DATA'!B450)),IF($B452="STD. DEVIATION",2,$F$1))))</f>
        <v/>
      </c>
      <c r="D452" s="1" t="str">
        <f>IF(OR($B452="",D$7=""),"",IF($B452="MEANS",INDEX('1-DATA'!$1:$1048576,$A451-1,COLUMN('1-DATA'!C450)),ROUND(INDEX('1-DATA'!$1:$1048576,IF(OR($B452="STD. DEVIATION",$C$1=1),$A452,$A452+1),COLUMN('1-DATA'!C450)),IF($B452="STD. DEVIATION",2,$F$1))))</f>
        <v/>
      </c>
      <c r="E452" s="1" t="str">
        <f>IF(OR($B452="",E$7=""),"",IF($B452="MEANS",INDEX('1-DATA'!$1:$1048576,$A451-1,COLUMN('1-DATA'!D450)),ROUND(INDEX('1-DATA'!$1:$1048576,IF(OR($B452="STD. DEVIATION",$C$1=1),$A452,$A452+1),COLUMN('1-DATA'!D450)),IF($B452="STD. DEVIATION",2,$F$1))))</f>
        <v/>
      </c>
      <c r="F452" s="1" t="str">
        <f>IF(OR($B452="",F$7=""),"",IF($B452="MEANS",INDEX('1-DATA'!$1:$1048576,$A451-1,COLUMN('1-DATA'!E450)),ROUND(INDEX('1-DATA'!$1:$1048576,IF(OR($B452="STD. DEVIATION",$C$1=1),$A452,$A452+1),COLUMN('1-DATA'!E450)),IF($B452="STD. DEVIATION",2,$F$1))))</f>
        <v/>
      </c>
      <c r="G452" s="1" t="str">
        <f>IF(OR($B452="",G$7=""),"",IF($B452="MEANS",INDEX('1-DATA'!$1:$1048576,$A451-1,COLUMN('1-DATA'!F450)),ROUND(INDEX('1-DATA'!$1:$1048576,IF(OR($B452="STD. DEVIATION",$C$1=1),$A452,$A452+1),COLUMN('1-DATA'!F450)),IF($B452="STD. DEVIATION",2,$F$1))))</f>
        <v/>
      </c>
      <c r="H452" s="1" t="str">
        <f>IF(OR($B452="",H$7=""),"",IF($B452="MEANS",INDEX('1-DATA'!$1:$1048576,$A451-1,COLUMN('1-DATA'!G450)),ROUND(INDEX('1-DATA'!$1:$1048576,IF(OR($B452="STD. DEVIATION",$C$1=1),$A452,$A452+1),COLUMN('1-DATA'!G450)),IF($B452="STD. DEVIATION",2,$F$1))))</f>
        <v/>
      </c>
      <c r="I452" s="1" t="str">
        <f>IF(OR($B452="",I$7=""),"",IF($B452="MEANS",INDEX('1-DATA'!$1:$1048576,$A451-1,COLUMN('1-DATA'!H450)),ROUND(INDEX('1-DATA'!$1:$1048576,IF(OR($B452="STD. DEVIATION",$C$1=1),$A452,$A452+1),COLUMN('1-DATA'!H450)),IF($B452="STD. DEVIATION",2,$F$1))))</f>
        <v/>
      </c>
      <c r="J452" s="1" t="str">
        <f>IF(OR($B452="",J$7=""),"",IF($B452="MEANS",INDEX('1-DATA'!$1:$1048576,$A451-1,COLUMN('1-DATA'!I450)),ROUND(INDEX('1-DATA'!$1:$1048576,IF(OR($B452="STD. DEVIATION",$C$1=1),$A452,$A452+1),COLUMN('1-DATA'!I450)),IF($B452="STD. DEVIATION",2,$F$1))))</f>
        <v/>
      </c>
      <c r="K452" s="1" t="str">
        <f>IF(OR($B452="",K$7=""),"",IF($B452="MEANS",INDEX('1-DATA'!$1:$1048576,$A451-1,COLUMN('1-DATA'!J450)),ROUND(INDEX('1-DATA'!$1:$1048576,IF(OR($B452="STD. DEVIATION",$C$1=1),$A452,$A452+1),COLUMN('1-DATA'!J450)),IF($B452="STD. DEVIATION",2,$F$1))))</f>
        <v/>
      </c>
      <c r="L452" s="1" t="str">
        <f>IF(OR($B452="",L$7=""),"",IF($B452="MEANS",INDEX('1-DATA'!$1:$1048576,$A451-1,COLUMN('1-DATA'!K450)),ROUND(INDEX('1-DATA'!$1:$1048576,IF(OR($B452="STD. DEVIATION",$C$1=1),$A452,$A452+1),COLUMN('1-DATA'!K450)),IF($B452="STD. DEVIATION",2,$F$1))))</f>
        <v/>
      </c>
      <c r="M452" s="1" t="str">
        <f>IF(OR($B452="",M$7=""),"",IF($B452="MEANS",INDEX('1-DATA'!$1:$1048576,$A451-1,COLUMN('1-DATA'!L450)),ROUND(INDEX('1-DATA'!$1:$1048576,IF(OR($B452="STD. DEVIATION",$C$1=1),$A452,$A452+1),COLUMN('1-DATA'!L450)),IF($B452="STD. DEVIATION",2,$F$1))))</f>
        <v/>
      </c>
      <c r="N452" s="1" t="str">
        <f>IF(OR($B452="",N$7=""),"",IF($B452="MEANS",INDEX('1-DATA'!$1:$1048576,$A451-1,COLUMN('1-DATA'!M450)),ROUND(INDEX('1-DATA'!$1:$1048576,IF(OR($B452="STD. DEVIATION",$C$1=1),$A452,$A452+1),COLUMN('1-DATA'!M450)),IF($B452="STD. DEVIATION",2,$F$1))))</f>
        <v/>
      </c>
      <c r="O452" s="1" t="str">
        <f>IF(OR($B452="",O$7=""),"",IF($B452="MEANS",INDEX('1-DATA'!$1:$1048576,$A451-1,COLUMN('1-DATA'!N450)),ROUND(INDEX('1-DATA'!$1:$1048576,IF(OR($B452="STD. DEVIATION",$C$1=1),$A452,$A452+1),COLUMN('1-DATA'!N450)),IF($B452="STD. DEVIATION",2,$F$1))))</f>
        <v/>
      </c>
      <c r="P452" s="1" t="str">
        <f>IF(OR($B452="",P$7=""),"",IF($B452="MEANS",INDEX('1-DATA'!$1:$1048576,$A451-1,COLUMN('1-DATA'!O450)),ROUND(INDEX('1-DATA'!$1:$1048576,IF(OR($B452="STD. DEVIATION",$C$1=1),$A452,$A452+1),COLUMN('1-DATA'!O450)),IF($B452="STD. DEVIATION",2,$F$1))))</f>
        <v/>
      </c>
      <c r="Q452" s="1" t="str">
        <f>IF(OR($B452="",Q$7=""),"",IF($B452="MEANS",INDEX('1-DATA'!$1:$1048576,$A451-1,COLUMN('1-DATA'!P450)),ROUND(INDEX('1-DATA'!$1:$1048576,IF(OR($B452="STD. DEVIATION",$C$1=1),$A452,$A452+1),COLUMN('1-DATA'!P450)),IF($B452="STD. DEVIATION",2,$F$1))))</f>
        <v/>
      </c>
      <c r="R452" s="1" t="str">
        <f>IF(OR($B452="",R$7=""),"",IF($B452="MEANS",INDEX('1-DATA'!$1:$1048576,$A451-1,COLUMN('1-DATA'!Q450)),ROUND(INDEX('1-DATA'!$1:$1048576,IF(OR($B452="STD. DEVIATION",$C$1=1),$A452,$A452+1),COLUMN('1-DATA'!Q450)),IF($B452="STD. DEVIATION",2,$F$1))))</f>
        <v/>
      </c>
      <c r="S452" s="1" t="str">
        <f>IF(OR($B452="",S$7=""),"",IF($B452="MEANS",INDEX('1-DATA'!$1:$1048576,$A451-1,COLUMN('1-DATA'!R450)),ROUND(INDEX('1-DATA'!$1:$1048576,IF(OR($B452="STD. DEVIATION",$C$1=1),$A452,$A452+1),COLUMN('1-DATA'!R450)),IF($B452="STD. DEVIATION",2,$F$1))))</f>
        <v/>
      </c>
      <c r="T452" s="1" t="str">
        <f>IF(OR($B452="",T$7=""),"",IF($B452="MEANS",INDEX('1-DATA'!$1:$1048576,$A451-1,COLUMN('1-DATA'!S450)),ROUND(INDEX('1-DATA'!$1:$1048576,IF(OR($B452="STD. DEVIATION",$C$1=1),$A452,$A452+1),COLUMN('1-DATA'!S450)),IF($B452="STD. DEVIATION",2,$F$1))))</f>
        <v/>
      </c>
      <c r="U452" s="1" t="str">
        <f>IF(OR($B452="",U$7=""),"",IF($B452="MEANS",INDEX('1-DATA'!$1:$1048576,$A451-1,COLUMN('1-DATA'!T450)),ROUND(INDEX('1-DATA'!$1:$1048576,IF(OR($B452="STD. DEVIATION",$C$1=1),$A452,$A452+1),COLUMN('1-DATA'!T450)),IF($B452="STD. DEVIATION",2,$F$1))))</f>
        <v/>
      </c>
      <c r="V452" s="1" t="str">
        <f>IF(OR($B452="",V$7=""),"",IF($B452="MEANS",INDEX('1-DATA'!$1:$1048576,$A451-1,COLUMN('1-DATA'!U450)),ROUND(INDEX('1-DATA'!$1:$1048576,IF(OR($B452="STD. DEVIATION",$C$1=1),$A452,$A452+1),COLUMN('1-DATA'!U450)),IF($B452="STD. DEVIATION",2,$F$1))))</f>
        <v/>
      </c>
      <c r="W452" s="1" t="str">
        <f>IF(OR($B452="",W$7=""),"",IF($B452="MEANS",INDEX('1-DATA'!$1:$1048576,$A451-1,COLUMN('1-DATA'!V450)),ROUND(INDEX('1-DATA'!$1:$1048576,IF(OR($B452="STD. DEVIATION",$C$1=1),$A452,$A452+1),COLUMN('1-DATA'!V450)),IF($B452="STD. DEVIATION",2,$F$1))))</f>
        <v/>
      </c>
      <c r="X452" s="1" t="str">
        <f>IF(OR($B452="",X$7=""),"",IF($B452="MEANS",INDEX('1-DATA'!$1:$1048576,$A451-1,COLUMN('1-DATA'!W450)),ROUND(INDEX('1-DATA'!$1:$1048576,IF(OR($B452="STD. DEVIATION",$C$1=1),$A452,$A452+1),COLUMN('1-DATA'!W450)),IF($B452="STD. DEVIATION",2,$F$1))))</f>
        <v/>
      </c>
      <c r="Y452" s="1" t="str">
        <f>IF(OR($B452="",Y$7=""),"",IF($B452="MEANS",INDEX('1-DATA'!$1:$1048576,$A451-1,COLUMN('1-DATA'!X450)),ROUND(INDEX('1-DATA'!$1:$1048576,IF(OR($B452="STD. DEVIATION",$C$1=1),$A452,$A452+1),COLUMN('1-DATA'!X450)),IF($B452="STD. DEVIATION",2,$F$1))))</f>
        <v/>
      </c>
      <c r="Z452" s="1" t="str">
        <f>IF(OR($B452="",Z$7=""),"",IF($B452="MEANS",INDEX('1-DATA'!$1:$1048576,$A451-1,COLUMN('1-DATA'!Y450)),ROUND(INDEX('1-DATA'!$1:$1048576,IF(OR($B452="STD. DEVIATION",$C$1=1),$A452,$A452+1),COLUMN('1-DATA'!Y450)),IF($B452="STD. DEVIATION",2,$F$1))))</f>
        <v/>
      </c>
      <c r="AA452" s="1" t="str">
        <f>IF(OR($B452="",AA$7=""),"",IF($B452="MEANS",INDEX('1-DATA'!$1:$1048576,$A451-1,COLUMN('1-DATA'!Z450)),ROUND(INDEX('1-DATA'!$1:$1048576,IF(OR($B452="STD. DEVIATION",$C$1=1),$A452,$A452+1),COLUMN('1-DATA'!Z450)),IF($B452="STD. DEVIATION",2,$F$1))))</f>
        <v/>
      </c>
      <c r="AB452" s="1" t="str">
        <f>IF(OR($B452="",AB$7=""),"",IF($B452="MEANS",INDEX('1-DATA'!$1:$1048576,$A451-1,COLUMN('1-DATA'!AA450)),ROUND(INDEX('1-DATA'!$1:$1048576,IF(OR($B452="STD. DEVIATION",$C$1=1),$A452,$A452+1),COLUMN('1-DATA'!AA450)),IF($B452="STD. DEVIATION",2,$F$1))))</f>
        <v/>
      </c>
      <c r="AC452" s="1" t="str">
        <f>IF(OR($B452="",AC$7=""),"",IF($B452="MEANS",INDEX('1-DATA'!$1:$1048576,$A451-1,COLUMN('1-DATA'!AB450)),ROUND(INDEX('1-DATA'!$1:$1048576,IF(OR($B452="STD. DEVIATION",$C$1=1),$A452,$A452+1),COLUMN('1-DATA'!AB450)),IF($B452="STD. DEVIATION",2,$F$1))))</f>
        <v/>
      </c>
      <c r="AD452" s="1" t="str">
        <f>IF(OR($B452="",AD$7=""),"",IF($B452="MEANS",INDEX('1-DATA'!$1:$1048576,$A451-1,COLUMN('1-DATA'!AC450)),ROUND(INDEX('1-DATA'!$1:$1048576,IF(OR($B452="STD. DEVIATION",$C$1=1),$A452,$A452+1),COLUMN('1-DATA'!AC450)),IF($B452="STD. DEVIATION",2,$F$1))))</f>
        <v/>
      </c>
      <c r="AE452" s="1" t="str">
        <f>IF(OR($B452="",AE$7=""),"",IF($B452="MEANS",INDEX('1-DATA'!$1:$1048576,$A451-1,COLUMN('1-DATA'!AD450)),ROUND(INDEX('1-DATA'!$1:$1048576,IF(OR($B452="STD. DEVIATION",$C$1=1),$A452,$A452+1),COLUMN('1-DATA'!AD450)),IF($B452="STD. DEVIATION",2,$F$1))))</f>
        <v/>
      </c>
      <c r="AF452" s="1" t="str">
        <f>IF(OR($B452="",AF$7=""),"",IF($B452="MEANS",INDEX('1-DATA'!$1:$1048576,$A451-1,COLUMN('1-DATA'!AE450)),ROUND(INDEX('1-DATA'!$1:$1048576,IF(OR($B452="STD. DEVIATION",$C$1=1),$A452,$A452+1),COLUMN('1-DATA'!AE450)),IF($B452="STD. DEVIATION",2,$F$1))))</f>
        <v/>
      </c>
      <c r="AG452" s="1" t="str">
        <f>IF(OR($B452="",AG$7=""),"",IF($B452="MEANS",INDEX('1-DATA'!$1:$1048576,$A451-1,COLUMN('1-DATA'!AF450)),ROUND(INDEX('1-DATA'!$1:$1048576,IF(OR($B452="STD. DEVIATION",$C$1=1),$A452,$A452+1),COLUMN('1-DATA'!AF450)),IF($B452="STD. DEVIATION",2,$F$1))))</f>
        <v/>
      </c>
      <c r="AH452" s="1" t="str">
        <f>IF(OR($B452="",AH$7=""),"",IF($B452="MEANS",INDEX('1-DATA'!$1:$1048576,$A451-1,COLUMN('1-DATA'!AG450)),ROUND(INDEX('1-DATA'!$1:$1048576,IF(OR($B452="STD. DEVIATION",$C$1=1),$A452,$A452+1),COLUMN('1-DATA'!AG450)),IF($B452="STD. DEVIATION",2,$F$1))))</f>
        <v/>
      </c>
      <c r="AI452" s="1" t="str">
        <f>IF(OR($B452="",AI$7=""),"",IF($B452="MEANS",INDEX('1-DATA'!$1:$1048576,$A451-1,COLUMN('1-DATA'!AH450)),ROUND(INDEX('1-DATA'!$1:$1048576,IF(OR($B452="STD. DEVIATION",$C$1=1),$A452,$A452+1),COLUMN('1-DATA'!AH450)),IF($B452="STD. DEVIATION",2,$F$1))))</f>
        <v/>
      </c>
      <c r="AJ452" s="1" t="str">
        <f>IF(OR($B452="",AJ$7=""),"",IF($B452="MEANS",INDEX('1-DATA'!$1:$1048576,$A451-1,COLUMN('1-DATA'!AI450)),ROUND(INDEX('1-DATA'!$1:$1048576,IF(OR($B452="STD. DEVIATION",$C$1=1),$A452,$A452+1),COLUMN('1-DATA'!AI450)),IF($B452="STD. DEVIATION",2,$F$1))))</f>
        <v/>
      </c>
      <c r="AK452" s="1" t="str">
        <f>IF(OR($B452="",AK$7=""),"",IF($B452="MEANS",INDEX('1-DATA'!$1:$1048576,$A451-1,COLUMN('1-DATA'!AJ450)),ROUND(INDEX('1-DATA'!$1:$1048576,IF(OR($B452="STD. DEVIATION",$C$1=1),$A452,$A452+1),COLUMN('1-DATA'!AJ450)),IF($B452="STD. DEVIATION",2,$F$1))))</f>
        <v/>
      </c>
      <c r="AL452" s="1" t="str">
        <f>IF(OR($B452="",AL$7=""),"",IF($B452="MEANS",INDEX('1-DATA'!$1:$1048576,$A451-1,COLUMN('1-DATA'!AK450)),ROUND(INDEX('1-DATA'!$1:$1048576,IF(OR($B452="STD. DEVIATION",$C$1=1),$A452,$A452+1),COLUMN('1-DATA'!AK450)),IF($B452="STD. DEVIATION",2,$F$1))))</f>
        <v/>
      </c>
      <c r="AM452" s="1" t="str">
        <f>IF(OR($B452="",AM$7=""),"",IF($B452="MEANS",INDEX('1-DATA'!$1:$1048576,$A451-1,COLUMN('1-DATA'!AL450)),ROUND(INDEX('1-DATA'!$1:$1048576,IF(OR($B452="STD. DEVIATION",$C$1=1),$A452,$A452+1),COLUMN('1-DATA'!AL450)),IF($B452="STD. DEVIATION",2,$F$1))))</f>
        <v/>
      </c>
      <c r="AN452" s="1" t="str">
        <f>IF(OR($B452="",AN$7=""),"",IF($B452="MEANS",INDEX('1-DATA'!$1:$1048576,$A451-1,COLUMN('1-DATA'!AM450)),ROUND(INDEX('1-DATA'!$1:$1048576,IF(OR($B452="STD. DEVIATION",$C$1=1),$A452,$A452+1),COLUMN('1-DATA'!AM450)),IF($B452="STD. DEVIATION",2,$F$1))))</f>
        <v/>
      </c>
      <c r="AO452" s="1" t="str">
        <f>IF(OR($B452="",AO$7=""),"",IF($B452="MEANS",INDEX('1-DATA'!$1:$1048576,$A451-1,COLUMN('1-DATA'!AN450)),ROUND(INDEX('1-DATA'!$1:$1048576,IF(OR($B452="STD. DEVIATION",$C$1=1),$A452,$A452+1),COLUMN('1-DATA'!AN450)),IF($B452="STD. DEVIATION",2,$F$1))))</f>
        <v/>
      </c>
      <c r="AP452" s="1" t="str">
        <f>IF(OR($B452="",AP$7=""),"",IF($B452="MEANS",INDEX('1-DATA'!$1:$1048576,$A451-1,COLUMN('1-DATA'!AO450)),ROUND(INDEX('1-DATA'!$1:$1048576,IF(OR($B452="STD. DEVIATION",$C$1=1),$A452,$A452+1),COLUMN('1-DATA'!AO450)),IF($B452="STD. DEVIATION",2,$F$1))))</f>
        <v/>
      </c>
      <c r="AQ452" s="1" t="str">
        <f>IF(OR($B452="",AQ$7=""),"",IF($B452="MEANS",INDEX('1-DATA'!$1:$1048576,$A451-1,COLUMN('1-DATA'!AP450)),ROUND(INDEX('1-DATA'!$1:$1048576,IF(OR($B452="STD. DEVIATION",$C$1=1),$A452,$A452+1),COLUMN('1-DATA'!AP450)),IF($B452="STD. DEVIATION",2,$F$1))))</f>
        <v/>
      </c>
      <c r="AR452" s="1" t="str">
        <f>IF(OR($B452="",AR$7=""),"",IF($B452="MEANS",INDEX('1-DATA'!$1:$1048576,$A451-1,COLUMN('1-DATA'!AQ450)),ROUND(INDEX('1-DATA'!$1:$1048576,IF(OR($B452="STD. DEVIATION",$C$1=1),$A452,$A452+1),COLUMN('1-DATA'!AQ450)),IF($B452="STD. DEVIATION",2,$F$1))))</f>
        <v/>
      </c>
      <c r="AS452" s="1" t="str">
        <f>IF(OR($B452="",AS$7=""),"",IF($B452="MEANS",INDEX('1-DATA'!$1:$1048576,$A451-1,COLUMN('1-DATA'!AR450)),ROUND(INDEX('1-DATA'!$1:$1048576,IF(OR($B452="STD. DEVIATION",$C$1=1),$A452,$A452+1),COLUMN('1-DATA'!AR450)),IF($B452="STD. DEVIATION",2,$F$1))))</f>
        <v/>
      </c>
      <c r="AT452" s="1" t="str">
        <f>IF(OR($B452="",AT$7=""),"",IF($B452="MEANS",INDEX('1-DATA'!$1:$1048576,$A451-1,COLUMN('1-DATA'!AS450)),ROUND(INDEX('1-DATA'!$1:$1048576,IF(OR($B452="STD. DEVIATION",$C$1=1),$A452,$A452+1),COLUMN('1-DATA'!AS450)),IF($B452="STD. DEVIATION",2,$F$1))))</f>
        <v/>
      </c>
      <c r="AU452" s="1" t="str">
        <f>IF(OR($B452="",AU$7=""),"",IF($B452="MEANS",INDEX('1-DATA'!$1:$1048576,$A451-1,COLUMN('1-DATA'!AT450)),ROUND(INDEX('1-DATA'!$1:$1048576,IF(OR($B452="STD. DEVIATION",$C$1=1),$A452,$A452+1),COLUMN('1-DATA'!AT450)),IF($B452="STD. DEVIATION",2,$F$1))))</f>
        <v/>
      </c>
      <c r="AV452" s="1" t="str">
        <f>IF(OR($B452="",AV$7=""),"",IF($B452="MEANS",INDEX('1-DATA'!$1:$1048576,$A451-1,COLUMN('1-DATA'!AU450)),ROUND(INDEX('1-DATA'!$1:$1048576,IF(OR($B452="STD. DEVIATION",$C$1=1),$A452,$A452+1),COLUMN('1-DATA'!AU450)),IF($B452="STD. DEVIATION",2,$F$1))))</f>
        <v/>
      </c>
      <c r="AW452" s="1" t="str">
        <f>IF(OR($B452="",AW$7=""),"",IF($B452="MEANS",INDEX('1-DATA'!$1:$1048576,$A451-1,COLUMN('1-DATA'!AV450)),ROUND(INDEX('1-DATA'!$1:$1048576,IF(OR($B452="STD. DEVIATION",$C$1=1),$A452,$A452+1),COLUMN('1-DATA'!AV450)),IF($B452="STD. DEVIATION",2,$F$1))))</f>
        <v/>
      </c>
      <c r="AX452" s="1" t="str">
        <f>IF(OR($B452="",AX$7=""),"",IF($B452="MEANS",INDEX('1-DATA'!$1:$1048576,$A451-1,COLUMN('1-DATA'!AW450)),ROUND(INDEX('1-DATA'!$1:$1048576,IF(OR($B452="STD. DEVIATION",$C$1=1),$A452,$A452+1),COLUMN('1-DATA'!AW450)),IF($B452="STD. DEVIATION",2,$F$1))))</f>
        <v/>
      </c>
      <c r="AY452" s="1" t="str">
        <f>IF(OR($B452="",AY$7=""),"",IF($B452="MEANS",INDEX('1-DATA'!$1:$1048576,$A451-1,COLUMN('1-DATA'!AX450)),ROUND(INDEX('1-DATA'!$1:$1048576,IF(OR($B452="STD. DEVIATION",$C$1=1),$A452,$A452+1),COLUMN('1-DATA'!AX450)),IF($B452="STD. DEVIATION",2,$F$1))))</f>
        <v/>
      </c>
      <c r="AZ452" s="1" t="str">
        <f>IF(OR($B452="",AZ$7=""),"",IF($B452="MEANS",INDEX('1-DATA'!$1:$1048576,$A451-1,COLUMN('1-DATA'!AY450)),ROUND(INDEX('1-DATA'!$1:$1048576,IF(OR($B452="STD. DEVIATION",$C$1=1),$A452,$A452+1),COLUMN('1-DATA'!AY450)),IF($B452="STD. DEVIATION",2,$F$1))))</f>
        <v/>
      </c>
    </row>
    <row r="453" spans="1:52" x14ac:dyDescent="0.25">
      <c r="A453" s="11">
        <f t="shared" si="7"/>
        <v>1345</v>
      </c>
      <c r="B453" s="1" t="str">
        <f>IF(B452="STD. DEVIATION",INDEX('1-DATA'!$1:$1048576,$A452-1,1),IF(INDEX('1-DATA'!$1:$1048576,$A453,1)&lt;&gt;"",INDEX('1-DATA'!$1:$1048576,$A453,1),""))</f>
        <v/>
      </c>
      <c r="C453" s="1" t="str">
        <f>IF(OR($B453="",C$7=""),"",IF($B453="MEANS",INDEX('1-DATA'!$1:$1048576,$A452-1,COLUMN('1-DATA'!B451)),ROUND(INDEX('1-DATA'!$1:$1048576,IF(OR($B453="STD. DEVIATION",$C$1=1),$A453,$A453+1),COLUMN('1-DATA'!B451)),IF($B453="STD. DEVIATION",2,$F$1))))</f>
        <v/>
      </c>
      <c r="D453" s="1" t="str">
        <f>IF(OR($B453="",D$7=""),"",IF($B453="MEANS",INDEX('1-DATA'!$1:$1048576,$A452-1,COLUMN('1-DATA'!C451)),ROUND(INDEX('1-DATA'!$1:$1048576,IF(OR($B453="STD. DEVIATION",$C$1=1),$A453,$A453+1),COLUMN('1-DATA'!C451)),IF($B453="STD. DEVIATION",2,$F$1))))</f>
        <v/>
      </c>
      <c r="E453" s="1" t="str">
        <f>IF(OR($B453="",E$7=""),"",IF($B453="MEANS",INDEX('1-DATA'!$1:$1048576,$A452-1,COLUMN('1-DATA'!D451)),ROUND(INDEX('1-DATA'!$1:$1048576,IF(OR($B453="STD. DEVIATION",$C$1=1),$A453,$A453+1),COLUMN('1-DATA'!D451)),IF($B453="STD. DEVIATION",2,$F$1))))</f>
        <v/>
      </c>
      <c r="F453" s="1" t="str">
        <f>IF(OR($B453="",F$7=""),"",IF($B453="MEANS",INDEX('1-DATA'!$1:$1048576,$A452-1,COLUMN('1-DATA'!E451)),ROUND(INDEX('1-DATA'!$1:$1048576,IF(OR($B453="STD. DEVIATION",$C$1=1),$A453,$A453+1),COLUMN('1-DATA'!E451)),IF($B453="STD. DEVIATION",2,$F$1))))</f>
        <v/>
      </c>
      <c r="G453" s="1" t="str">
        <f>IF(OR($B453="",G$7=""),"",IF($B453="MEANS",INDEX('1-DATA'!$1:$1048576,$A452-1,COLUMN('1-DATA'!F451)),ROUND(INDEX('1-DATA'!$1:$1048576,IF(OR($B453="STD. DEVIATION",$C$1=1),$A453,$A453+1),COLUMN('1-DATA'!F451)),IF($B453="STD. DEVIATION",2,$F$1))))</f>
        <v/>
      </c>
      <c r="H453" s="1" t="str">
        <f>IF(OR($B453="",H$7=""),"",IF($B453="MEANS",INDEX('1-DATA'!$1:$1048576,$A452-1,COLUMN('1-DATA'!G451)),ROUND(INDEX('1-DATA'!$1:$1048576,IF(OR($B453="STD. DEVIATION",$C$1=1),$A453,$A453+1),COLUMN('1-DATA'!G451)),IF($B453="STD. DEVIATION",2,$F$1))))</f>
        <v/>
      </c>
      <c r="I453" s="1" t="str">
        <f>IF(OR($B453="",I$7=""),"",IF($B453="MEANS",INDEX('1-DATA'!$1:$1048576,$A452-1,COLUMN('1-DATA'!H451)),ROUND(INDEX('1-DATA'!$1:$1048576,IF(OR($B453="STD. DEVIATION",$C$1=1),$A453,$A453+1),COLUMN('1-DATA'!H451)),IF($B453="STD. DEVIATION",2,$F$1))))</f>
        <v/>
      </c>
      <c r="J453" s="1" t="str">
        <f>IF(OR($B453="",J$7=""),"",IF($B453="MEANS",INDEX('1-DATA'!$1:$1048576,$A452-1,COLUMN('1-DATA'!I451)),ROUND(INDEX('1-DATA'!$1:$1048576,IF(OR($B453="STD. DEVIATION",$C$1=1),$A453,$A453+1),COLUMN('1-DATA'!I451)),IF($B453="STD. DEVIATION",2,$F$1))))</f>
        <v/>
      </c>
      <c r="K453" s="1" t="str">
        <f>IF(OR($B453="",K$7=""),"",IF($B453="MEANS",INDEX('1-DATA'!$1:$1048576,$A452-1,COLUMN('1-DATA'!J451)),ROUND(INDEX('1-DATA'!$1:$1048576,IF(OR($B453="STD. DEVIATION",$C$1=1),$A453,$A453+1),COLUMN('1-DATA'!J451)),IF($B453="STD. DEVIATION",2,$F$1))))</f>
        <v/>
      </c>
      <c r="L453" s="1" t="str">
        <f>IF(OR($B453="",L$7=""),"",IF($B453="MEANS",INDEX('1-DATA'!$1:$1048576,$A452-1,COLUMN('1-DATA'!K451)),ROUND(INDEX('1-DATA'!$1:$1048576,IF(OR($B453="STD. DEVIATION",$C$1=1),$A453,$A453+1),COLUMN('1-DATA'!K451)),IF($B453="STD. DEVIATION",2,$F$1))))</f>
        <v/>
      </c>
      <c r="M453" s="1" t="str">
        <f>IF(OR($B453="",M$7=""),"",IF($B453="MEANS",INDEX('1-DATA'!$1:$1048576,$A452-1,COLUMN('1-DATA'!L451)),ROUND(INDEX('1-DATA'!$1:$1048576,IF(OR($B453="STD. DEVIATION",$C$1=1),$A453,$A453+1),COLUMN('1-DATA'!L451)),IF($B453="STD. DEVIATION",2,$F$1))))</f>
        <v/>
      </c>
      <c r="N453" s="1" t="str">
        <f>IF(OR($B453="",N$7=""),"",IF($B453="MEANS",INDEX('1-DATA'!$1:$1048576,$A452-1,COLUMN('1-DATA'!M451)),ROUND(INDEX('1-DATA'!$1:$1048576,IF(OR($B453="STD. DEVIATION",$C$1=1),$A453,$A453+1),COLUMN('1-DATA'!M451)),IF($B453="STD. DEVIATION",2,$F$1))))</f>
        <v/>
      </c>
      <c r="O453" s="1" t="str">
        <f>IF(OR($B453="",O$7=""),"",IF($B453="MEANS",INDEX('1-DATA'!$1:$1048576,$A452-1,COLUMN('1-DATA'!N451)),ROUND(INDEX('1-DATA'!$1:$1048576,IF(OR($B453="STD. DEVIATION",$C$1=1),$A453,$A453+1),COLUMN('1-DATA'!N451)),IF($B453="STD. DEVIATION",2,$F$1))))</f>
        <v/>
      </c>
      <c r="P453" s="1" t="str">
        <f>IF(OR($B453="",P$7=""),"",IF($B453="MEANS",INDEX('1-DATA'!$1:$1048576,$A452-1,COLUMN('1-DATA'!O451)),ROUND(INDEX('1-DATA'!$1:$1048576,IF(OR($B453="STD. DEVIATION",$C$1=1),$A453,$A453+1),COLUMN('1-DATA'!O451)),IF($B453="STD. DEVIATION",2,$F$1))))</f>
        <v/>
      </c>
      <c r="Q453" s="1" t="str">
        <f>IF(OR($B453="",Q$7=""),"",IF($B453="MEANS",INDEX('1-DATA'!$1:$1048576,$A452-1,COLUMN('1-DATA'!P451)),ROUND(INDEX('1-DATA'!$1:$1048576,IF(OR($B453="STD. DEVIATION",$C$1=1),$A453,$A453+1),COLUMN('1-DATA'!P451)),IF($B453="STD. DEVIATION",2,$F$1))))</f>
        <v/>
      </c>
      <c r="R453" s="1" t="str">
        <f>IF(OR($B453="",R$7=""),"",IF($B453="MEANS",INDEX('1-DATA'!$1:$1048576,$A452-1,COLUMN('1-DATA'!Q451)),ROUND(INDEX('1-DATA'!$1:$1048576,IF(OR($B453="STD. DEVIATION",$C$1=1),$A453,$A453+1),COLUMN('1-DATA'!Q451)),IF($B453="STD. DEVIATION",2,$F$1))))</f>
        <v/>
      </c>
      <c r="S453" s="1" t="str">
        <f>IF(OR($B453="",S$7=""),"",IF($B453="MEANS",INDEX('1-DATA'!$1:$1048576,$A452-1,COLUMN('1-DATA'!R451)),ROUND(INDEX('1-DATA'!$1:$1048576,IF(OR($B453="STD. DEVIATION",$C$1=1),$A453,$A453+1),COLUMN('1-DATA'!R451)),IF($B453="STD. DEVIATION",2,$F$1))))</f>
        <v/>
      </c>
      <c r="T453" s="1" t="str">
        <f>IF(OR($B453="",T$7=""),"",IF($B453="MEANS",INDEX('1-DATA'!$1:$1048576,$A452-1,COLUMN('1-DATA'!S451)),ROUND(INDEX('1-DATA'!$1:$1048576,IF(OR($B453="STD. DEVIATION",$C$1=1),$A453,$A453+1),COLUMN('1-DATA'!S451)),IF($B453="STD. DEVIATION",2,$F$1))))</f>
        <v/>
      </c>
      <c r="U453" s="1" t="str">
        <f>IF(OR($B453="",U$7=""),"",IF($B453="MEANS",INDEX('1-DATA'!$1:$1048576,$A452-1,COLUMN('1-DATA'!T451)),ROUND(INDEX('1-DATA'!$1:$1048576,IF(OR($B453="STD. DEVIATION",$C$1=1),$A453,$A453+1),COLUMN('1-DATA'!T451)),IF($B453="STD. DEVIATION",2,$F$1))))</f>
        <v/>
      </c>
      <c r="V453" s="1" t="str">
        <f>IF(OR($B453="",V$7=""),"",IF($B453="MEANS",INDEX('1-DATA'!$1:$1048576,$A452-1,COLUMN('1-DATA'!U451)),ROUND(INDEX('1-DATA'!$1:$1048576,IF(OR($B453="STD. DEVIATION",$C$1=1),$A453,$A453+1),COLUMN('1-DATA'!U451)),IF($B453="STD. DEVIATION",2,$F$1))))</f>
        <v/>
      </c>
      <c r="W453" s="1" t="str">
        <f>IF(OR($B453="",W$7=""),"",IF($B453="MEANS",INDEX('1-DATA'!$1:$1048576,$A452-1,COLUMN('1-DATA'!V451)),ROUND(INDEX('1-DATA'!$1:$1048576,IF(OR($B453="STD. DEVIATION",$C$1=1),$A453,$A453+1),COLUMN('1-DATA'!V451)),IF($B453="STD. DEVIATION",2,$F$1))))</f>
        <v/>
      </c>
      <c r="X453" s="1" t="str">
        <f>IF(OR($B453="",X$7=""),"",IF($B453="MEANS",INDEX('1-DATA'!$1:$1048576,$A452-1,COLUMN('1-DATA'!W451)),ROUND(INDEX('1-DATA'!$1:$1048576,IF(OR($B453="STD. DEVIATION",$C$1=1),$A453,$A453+1),COLUMN('1-DATA'!W451)),IF($B453="STD. DEVIATION",2,$F$1))))</f>
        <v/>
      </c>
      <c r="Y453" s="1" t="str">
        <f>IF(OR($B453="",Y$7=""),"",IF($B453="MEANS",INDEX('1-DATA'!$1:$1048576,$A452-1,COLUMN('1-DATA'!X451)),ROUND(INDEX('1-DATA'!$1:$1048576,IF(OR($B453="STD. DEVIATION",$C$1=1),$A453,$A453+1),COLUMN('1-DATA'!X451)),IF($B453="STD. DEVIATION",2,$F$1))))</f>
        <v/>
      </c>
      <c r="Z453" s="1" t="str">
        <f>IF(OR($B453="",Z$7=""),"",IF($B453="MEANS",INDEX('1-DATA'!$1:$1048576,$A452-1,COLUMN('1-DATA'!Y451)),ROUND(INDEX('1-DATA'!$1:$1048576,IF(OR($B453="STD. DEVIATION",$C$1=1),$A453,$A453+1),COLUMN('1-DATA'!Y451)),IF($B453="STD. DEVIATION",2,$F$1))))</f>
        <v/>
      </c>
      <c r="AA453" s="1" t="str">
        <f>IF(OR($B453="",AA$7=""),"",IF($B453="MEANS",INDEX('1-DATA'!$1:$1048576,$A452-1,COLUMN('1-DATA'!Z451)),ROUND(INDEX('1-DATA'!$1:$1048576,IF(OR($B453="STD. DEVIATION",$C$1=1),$A453,$A453+1),COLUMN('1-DATA'!Z451)),IF($B453="STD. DEVIATION",2,$F$1))))</f>
        <v/>
      </c>
      <c r="AB453" s="1" t="str">
        <f>IF(OR($B453="",AB$7=""),"",IF($B453="MEANS",INDEX('1-DATA'!$1:$1048576,$A452-1,COLUMN('1-DATA'!AA451)),ROUND(INDEX('1-DATA'!$1:$1048576,IF(OR($B453="STD. DEVIATION",$C$1=1),$A453,$A453+1),COLUMN('1-DATA'!AA451)),IF($B453="STD. DEVIATION",2,$F$1))))</f>
        <v/>
      </c>
      <c r="AC453" s="1" t="str">
        <f>IF(OR($B453="",AC$7=""),"",IF($B453="MEANS",INDEX('1-DATA'!$1:$1048576,$A452-1,COLUMN('1-DATA'!AB451)),ROUND(INDEX('1-DATA'!$1:$1048576,IF(OR($B453="STD. DEVIATION",$C$1=1),$A453,$A453+1),COLUMN('1-DATA'!AB451)),IF($B453="STD. DEVIATION",2,$F$1))))</f>
        <v/>
      </c>
      <c r="AD453" s="1" t="str">
        <f>IF(OR($B453="",AD$7=""),"",IF($B453="MEANS",INDEX('1-DATA'!$1:$1048576,$A452-1,COLUMN('1-DATA'!AC451)),ROUND(INDEX('1-DATA'!$1:$1048576,IF(OR($B453="STD. DEVIATION",$C$1=1),$A453,$A453+1),COLUMN('1-DATA'!AC451)),IF($B453="STD. DEVIATION",2,$F$1))))</f>
        <v/>
      </c>
      <c r="AE453" s="1" t="str">
        <f>IF(OR($B453="",AE$7=""),"",IF($B453="MEANS",INDEX('1-DATA'!$1:$1048576,$A452-1,COLUMN('1-DATA'!AD451)),ROUND(INDEX('1-DATA'!$1:$1048576,IF(OR($B453="STD. DEVIATION",$C$1=1),$A453,$A453+1),COLUMN('1-DATA'!AD451)),IF($B453="STD. DEVIATION",2,$F$1))))</f>
        <v/>
      </c>
      <c r="AF453" s="1" t="str">
        <f>IF(OR($B453="",AF$7=""),"",IF($B453="MEANS",INDEX('1-DATA'!$1:$1048576,$A452-1,COLUMN('1-DATA'!AE451)),ROUND(INDEX('1-DATA'!$1:$1048576,IF(OR($B453="STD. DEVIATION",$C$1=1),$A453,$A453+1),COLUMN('1-DATA'!AE451)),IF($B453="STD. DEVIATION",2,$F$1))))</f>
        <v/>
      </c>
      <c r="AG453" s="1" t="str">
        <f>IF(OR($B453="",AG$7=""),"",IF($B453="MEANS",INDEX('1-DATA'!$1:$1048576,$A452-1,COLUMN('1-DATA'!AF451)),ROUND(INDEX('1-DATA'!$1:$1048576,IF(OR($B453="STD. DEVIATION",$C$1=1),$A453,$A453+1),COLUMN('1-DATA'!AF451)),IF($B453="STD. DEVIATION",2,$F$1))))</f>
        <v/>
      </c>
      <c r="AH453" s="1" t="str">
        <f>IF(OR($B453="",AH$7=""),"",IF($B453="MEANS",INDEX('1-DATA'!$1:$1048576,$A452-1,COLUMN('1-DATA'!AG451)),ROUND(INDEX('1-DATA'!$1:$1048576,IF(OR($B453="STD. DEVIATION",$C$1=1),$A453,$A453+1),COLUMN('1-DATA'!AG451)),IF($B453="STD. DEVIATION",2,$F$1))))</f>
        <v/>
      </c>
      <c r="AI453" s="1" t="str">
        <f>IF(OR($B453="",AI$7=""),"",IF($B453="MEANS",INDEX('1-DATA'!$1:$1048576,$A452-1,COLUMN('1-DATA'!AH451)),ROUND(INDEX('1-DATA'!$1:$1048576,IF(OR($B453="STD. DEVIATION",$C$1=1),$A453,$A453+1),COLUMN('1-DATA'!AH451)),IF($B453="STD. DEVIATION",2,$F$1))))</f>
        <v/>
      </c>
      <c r="AJ453" s="1" t="str">
        <f>IF(OR($B453="",AJ$7=""),"",IF($B453="MEANS",INDEX('1-DATA'!$1:$1048576,$A452-1,COLUMN('1-DATA'!AI451)),ROUND(INDEX('1-DATA'!$1:$1048576,IF(OR($B453="STD. DEVIATION",$C$1=1),$A453,$A453+1),COLUMN('1-DATA'!AI451)),IF($B453="STD. DEVIATION",2,$F$1))))</f>
        <v/>
      </c>
      <c r="AK453" s="1" t="str">
        <f>IF(OR($B453="",AK$7=""),"",IF($B453="MEANS",INDEX('1-DATA'!$1:$1048576,$A452-1,COLUMN('1-DATA'!AJ451)),ROUND(INDEX('1-DATA'!$1:$1048576,IF(OR($B453="STD. DEVIATION",$C$1=1),$A453,$A453+1),COLUMN('1-DATA'!AJ451)),IF($B453="STD. DEVIATION",2,$F$1))))</f>
        <v/>
      </c>
      <c r="AL453" s="1" t="str">
        <f>IF(OR($B453="",AL$7=""),"",IF($B453="MEANS",INDEX('1-DATA'!$1:$1048576,$A452-1,COLUMN('1-DATA'!AK451)),ROUND(INDEX('1-DATA'!$1:$1048576,IF(OR($B453="STD. DEVIATION",$C$1=1),$A453,$A453+1),COLUMN('1-DATA'!AK451)),IF($B453="STD. DEVIATION",2,$F$1))))</f>
        <v/>
      </c>
      <c r="AM453" s="1" t="str">
        <f>IF(OR($B453="",AM$7=""),"",IF($B453="MEANS",INDEX('1-DATA'!$1:$1048576,$A452-1,COLUMN('1-DATA'!AL451)),ROUND(INDEX('1-DATA'!$1:$1048576,IF(OR($B453="STD. DEVIATION",$C$1=1),$A453,$A453+1),COLUMN('1-DATA'!AL451)),IF($B453="STD. DEVIATION",2,$F$1))))</f>
        <v/>
      </c>
      <c r="AN453" s="1" t="str">
        <f>IF(OR($B453="",AN$7=""),"",IF($B453="MEANS",INDEX('1-DATA'!$1:$1048576,$A452-1,COLUMN('1-DATA'!AM451)),ROUND(INDEX('1-DATA'!$1:$1048576,IF(OR($B453="STD. DEVIATION",$C$1=1),$A453,$A453+1),COLUMN('1-DATA'!AM451)),IF($B453="STD. DEVIATION",2,$F$1))))</f>
        <v/>
      </c>
      <c r="AO453" s="1" t="str">
        <f>IF(OR($B453="",AO$7=""),"",IF($B453="MEANS",INDEX('1-DATA'!$1:$1048576,$A452-1,COLUMN('1-DATA'!AN451)),ROUND(INDEX('1-DATA'!$1:$1048576,IF(OR($B453="STD. DEVIATION",$C$1=1),$A453,$A453+1),COLUMN('1-DATA'!AN451)),IF($B453="STD. DEVIATION",2,$F$1))))</f>
        <v/>
      </c>
      <c r="AP453" s="1" t="str">
        <f>IF(OR($B453="",AP$7=""),"",IF($B453="MEANS",INDEX('1-DATA'!$1:$1048576,$A452-1,COLUMN('1-DATA'!AO451)),ROUND(INDEX('1-DATA'!$1:$1048576,IF(OR($B453="STD. DEVIATION",$C$1=1),$A453,$A453+1),COLUMN('1-DATA'!AO451)),IF($B453="STD. DEVIATION",2,$F$1))))</f>
        <v/>
      </c>
      <c r="AQ453" s="1" t="str">
        <f>IF(OR($B453="",AQ$7=""),"",IF($B453="MEANS",INDEX('1-DATA'!$1:$1048576,$A452-1,COLUMN('1-DATA'!AP451)),ROUND(INDEX('1-DATA'!$1:$1048576,IF(OR($B453="STD. DEVIATION",$C$1=1),$A453,$A453+1),COLUMN('1-DATA'!AP451)),IF($B453="STD. DEVIATION",2,$F$1))))</f>
        <v/>
      </c>
      <c r="AR453" s="1" t="str">
        <f>IF(OR($B453="",AR$7=""),"",IF($B453="MEANS",INDEX('1-DATA'!$1:$1048576,$A452-1,COLUMN('1-DATA'!AQ451)),ROUND(INDEX('1-DATA'!$1:$1048576,IF(OR($B453="STD. DEVIATION",$C$1=1),$A453,$A453+1),COLUMN('1-DATA'!AQ451)),IF($B453="STD. DEVIATION",2,$F$1))))</f>
        <v/>
      </c>
      <c r="AS453" s="1" t="str">
        <f>IF(OR($B453="",AS$7=""),"",IF($B453="MEANS",INDEX('1-DATA'!$1:$1048576,$A452-1,COLUMN('1-DATA'!AR451)),ROUND(INDEX('1-DATA'!$1:$1048576,IF(OR($B453="STD. DEVIATION",$C$1=1),$A453,$A453+1),COLUMN('1-DATA'!AR451)),IF($B453="STD. DEVIATION",2,$F$1))))</f>
        <v/>
      </c>
      <c r="AT453" s="1" t="str">
        <f>IF(OR($B453="",AT$7=""),"",IF($B453="MEANS",INDEX('1-DATA'!$1:$1048576,$A452-1,COLUMN('1-DATA'!AS451)),ROUND(INDEX('1-DATA'!$1:$1048576,IF(OR($B453="STD. DEVIATION",$C$1=1),$A453,$A453+1),COLUMN('1-DATA'!AS451)),IF($B453="STD. DEVIATION",2,$F$1))))</f>
        <v/>
      </c>
      <c r="AU453" s="1" t="str">
        <f>IF(OR($B453="",AU$7=""),"",IF($B453="MEANS",INDEX('1-DATA'!$1:$1048576,$A452-1,COLUMN('1-DATA'!AT451)),ROUND(INDEX('1-DATA'!$1:$1048576,IF(OR($B453="STD. DEVIATION",$C$1=1),$A453,$A453+1),COLUMN('1-DATA'!AT451)),IF($B453="STD. DEVIATION",2,$F$1))))</f>
        <v/>
      </c>
      <c r="AV453" s="1" t="str">
        <f>IF(OR($B453="",AV$7=""),"",IF($B453="MEANS",INDEX('1-DATA'!$1:$1048576,$A452-1,COLUMN('1-DATA'!AU451)),ROUND(INDEX('1-DATA'!$1:$1048576,IF(OR($B453="STD. DEVIATION",$C$1=1),$A453,$A453+1),COLUMN('1-DATA'!AU451)),IF($B453="STD. DEVIATION",2,$F$1))))</f>
        <v/>
      </c>
      <c r="AW453" s="1" t="str">
        <f>IF(OR($B453="",AW$7=""),"",IF($B453="MEANS",INDEX('1-DATA'!$1:$1048576,$A452-1,COLUMN('1-DATA'!AV451)),ROUND(INDEX('1-DATA'!$1:$1048576,IF(OR($B453="STD. DEVIATION",$C$1=1),$A453,$A453+1),COLUMN('1-DATA'!AV451)),IF($B453="STD. DEVIATION",2,$F$1))))</f>
        <v/>
      </c>
      <c r="AX453" s="1" t="str">
        <f>IF(OR($B453="",AX$7=""),"",IF($B453="MEANS",INDEX('1-DATA'!$1:$1048576,$A452-1,COLUMN('1-DATA'!AW451)),ROUND(INDEX('1-DATA'!$1:$1048576,IF(OR($B453="STD. DEVIATION",$C$1=1),$A453,$A453+1),COLUMN('1-DATA'!AW451)),IF($B453="STD. DEVIATION",2,$F$1))))</f>
        <v/>
      </c>
      <c r="AY453" s="1" t="str">
        <f>IF(OR($B453="",AY$7=""),"",IF($B453="MEANS",INDEX('1-DATA'!$1:$1048576,$A452-1,COLUMN('1-DATA'!AX451)),ROUND(INDEX('1-DATA'!$1:$1048576,IF(OR($B453="STD. DEVIATION",$C$1=1),$A453,$A453+1),COLUMN('1-DATA'!AX451)),IF($B453="STD. DEVIATION",2,$F$1))))</f>
        <v/>
      </c>
      <c r="AZ453" s="1" t="str">
        <f>IF(OR($B453="",AZ$7=""),"",IF($B453="MEANS",INDEX('1-DATA'!$1:$1048576,$A452-1,COLUMN('1-DATA'!AY451)),ROUND(INDEX('1-DATA'!$1:$1048576,IF(OR($B453="STD. DEVIATION",$C$1=1),$A453,$A453+1),COLUMN('1-DATA'!AY451)),IF($B453="STD. DEVIATION",2,$F$1))))</f>
        <v/>
      </c>
    </row>
    <row r="454" spans="1:52" x14ac:dyDescent="0.25">
      <c r="A454" s="11">
        <f t="shared" si="7"/>
        <v>1348</v>
      </c>
      <c r="B454" s="1" t="str">
        <f>IF(B453="STD. DEVIATION",INDEX('1-DATA'!$1:$1048576,$A453-1,1),IF(INDEX('1-DATA'!$1:$1048576,$A454,1)&lt;&gt;"",INDEX('1-DATA'!$1:$1048576,$A454,1),""))</f>
        <v/>
      </c>
      <c r="C454" s="1" t="str">
        <f>IF(OR($B454="",C$7=""),"",IF($B454="MEANS",INDEX('1-DATA'!$1:$1048576,$A453-1,COLUMN('1-DATA'!B452)),ROUND(INDEX('1-DATA'!$1:$1048576,IF(OR($B454="STD. DEVIATION",$C$1=1),$A454,$A454+1),COLUMN('1-DATA'!B452)),IF($B454="STD. DEVIATION",2,$F$1))))</f>
        <v/>
      </c>
      <c r="D454" s="1" t="str">
        <f>IF(OR($B454="",D$7=""),"",IF($B454="MEANS",INDEX('1-DATA'!$1:$1048576,$A453-1,COLUMN('1-DATA'!C452)),ROUND(INDEX('1-DATA'!$1:$1048576,IF(OR($B454="STD. DEVIATION",$C$1=1),$A454,$A454+1),COLUMN('1-DATA'!C452)),IF($B454="STD. DEVIATION",2,$F$1))))</f>
        <v/>
      </c>
      <c r="E454" s="1" t="str">
        <f>IF(OR($B454="",E$7=""),"",IF($B454="MEANS",INDEX('1-DATA'!$1:$1048576,$A453-1,COLUMN('1-DATA'!D452)),ROUND(INDEX('1-DATA'!$1:$1048576,IF(OR($B454="STD. DEVIATION",$C$1=1),$A454,$A454+1),COLUMN('1-DATA'!D452)),IF($B454="STD. DEVIATION",2,$F$1))))</f>
        <v/>
      </c>
      <c r="F454" s="1" t="str">
        <f>IF(OR($B454="",F$7=""),"",IF($B454="MEANS",INDEX('1-DATA'!$1:$1048576,$A453-1,COLUMN('1-DATA'!E452)),ROUND(INDEX('1-DATA'!$1:$1048576,IF(OR($B454="STD. DEVIATION",$C$1=1),$A454,$A454+1),COLUMN('1-DATA'!E452)),IF($B454="STD. DEVIATION",2,$F$1))))</f>
        <v/>
      </c>
      <c r="G454" s="1" t="str">
        <f>IF(OR($B454="",G$7=""),"",IF($B454="MEANS",INDEX('1-DATA'!$1:$1048576,$A453-1,COLUMN('1-DATA'!F452)),ROUND(INDEX('1-DATA'!$1:$1048576,IF(OR($B454="STD. DEVIATION",$C$1=1),$A454,$A454+1),COLUMN('1-DATA'!F452)),IF($B454="STD. DEVIATION",2,$F$1))))</f>
        <v/>
      </c>
      <c r="H454" s="1" t="str">
        <f>IF(OR($B454="",H$7=""),"",IF($B454="MEANS",INDEX('1-DATA'!$1:$1048576,$A453-1,COLUMN('1-DATA'!G452)),ROUND(INDEX('1-DATA'!$1:$1048576,IF(OR($B454="STD. DEVIATION",$C$1=1),$A454,$A454+1),COLUMN('1-DATA'!G452)),IF($B454="STD. DEVIATION",2,$F$1))))</f>
        <v/>
      </c>
      <c r="I454" s="1" t="str">
        <f>IF(OR($B454="",I$7=""),"",IF($B454="MEANS",INDEX('1-DATA'!$1:$1048576,$A453-1,COLUMN('1-DATA'!H452)),ROUND(INDEX('1-DATA'!$1:$1048576,IF(OR($B454="STD. DEVIATION",$C$1=1),$A454,$A454+1),COLUMN('1-DATA'!H452)),IF($B454="STD. DEVIATION",2,$F$1))))</f>
        <v/>
      </c>
      <c r="J454" s="1" t="str">
        <f>IF(OR($B454="",J$7=""),"",IF($B454="MEANS",INDEX('1-DATA'!$1:$1048576,$A453-1,COLUMN('1-DATA'!I452)),ROUND(INDEX('1-DATA'!$1:$1048576,IF(OR($B454="STD. DEVIATION",$C$1=1),$A454,$A454+1),COLUMN('1-DATA'!I452)),IF($B454="STD. DEVIATION",2,$F$1))))</f>
        <v/>
      </c>
      <c r="K454" s="1" t="str">
        <f>IF(OR($B454="",K$7=""),"",IF($B454="MEANS",INDEX('1-DATA'!$1:$1048576,$A453-1,COLUMN('1-DATA'!J452)),ROUND(INDEX('1-DATA'!$1:$1048576,IF(OR($B454="STD. DEVIATION",$C$1=1),$A454,$A454+1),COLUMN('1-DATA'!J452)),IF($B454="STD. DEVIATION",2,$F$1))))</f>
        <v/>
      </c>
      <c r="L454" s="1" t="str">
        <f>IF(OR($B454="",L$7=""),"",IF($B454="MEANS",INDEX('1-DATA'!$1:$1048576,$A453-1,COLUMN('1-DATA'!K452)),ROUND(INDEX('1-DATA'!$1:$1048576,IF(OR($B454="STD. DEVIATION",$C$1=1),$A454,$A454+1),COLUMN('1-DATA'!K452)),IF($B454="STD. DEVIATION",2,$F$1))))</f>
        <v/>
      </c>
      <c r="M454" s="1" t="str">
        <f>IF(OR($B454="",M$7=""),"",IF($B454="MEANS",INDEX('1-DATA'!$1:$1048576,$A453-1,COLUMN('1-DATA'!L452)),ROUND(INDEX('1-DATA'!$1:$1048576,IF(OR($B454="STD. DEVIATION",$C$1=1),$A454,$A454+1),COLUMN('1-DATA'!L452)),IF($B454="STD. DEVIATION",2,$F$1))))</f>
        <v/>
      </c>
      <c r="N454" s="1" t="str">
        <f>IF(OR($B454="",N$7=""),"",IF($B454="MEANS",INDEX('1-DATA'!$1:$1048576,$A453-1,COLUMN('1-DATA'!M452)),ROUND(INDEX('1-DATA'!$1:$1048576,IF(OR($B454="STD. DEVIATION",$C$1=1),$A454,$A454+1),COLUMN('1-DATA'!M452)),IF($B454="STD. DEVIATION",2,$F$1))))</f>
        <v/>
      </c>
      <c r="O454" s="1" t="str">
        <f>IF(OR($B454="",O$7=""),"",IF($B454="MEANS",INDEX('1-DATA'!$1:$1048576,$A453-1,COLUMN('1-DATA'!N452)),ROUND(INDEX('1-DATA'!$1:$1048576,IF(OR($B454="STD. DEVIATION",$C$1=1),$A454,$A454+1),COLUMN('1-DATA'!N452)),IF($B454="STD. DEVIATION",2,$F$1))))</f>
        <v/>
      </c>
      <c r="P454" s="1" t="str">
        <f>IF(OR($B454="",P$7=""),"",IF($B454="MEANS",INDEX('1-DATA'!$1:$1048576,$A453-1,COLUMN('1-DATA'!O452)),ROUND(INDEX('1-DATA'!$1:$1048576,IF(OR($B454="STD. DEVIATION",$C$1=1),$A454,$A454+1),COLUMN('1-DATA'!O452)),IF($B454="STD. DEVIATION",2,$F$1))))</f>
        <v/>
      </c>
      <c r="Q454" s="1" t="str">
        <f>IF(OR($B454="",Q$7=""),"",IF($B454="MEANS",INDEX('1-DATA'!$1:$1048576,$A453-1,COLUMN('1-DATA'!P452)),ROUND(INDEX('1-DATA'!$1:$1048576,IF(OR($B454="STD. DEVIATION",$C$1=1),$A454,$A454+1),COLUMN('1-DATA'!P452)),IF($B454="STD. DEVIATION",2,$F$1))))</f>
        <v/>
      </c>
      <c r="R454" s="1" t="str">
        <f>IF(OR($B454="",R$7=""),"",IF($B454="MEANS",INDEX('1-DATA'!$1:$1048576,$A453-1,COLUMN('1-DATA'!Q452)),ROUND(INDEX('1-DATA'!$1:$1048576,IF(OR($B454="STD. DEVIATION",$C$1=1),$A454,$A454+1),COLUMN('1-DATA'!Q452)),IF($B454="STD. DEVIATION",2,$F$1))))</f>
        <v/>
      </c>
      <c r="S454" s="1" t="str">
        <f>IF(OR($B454="",S$7=""),"",IF($B454="MEANS",INDEX('1-DATA'!$1:$1048576,$A453-1,COLUMN('1-DATA'!R452)),ROUND(INDEX('1-DATA'!$1:$1048576,IF(OR($B454="STD. DEVIATION",$C$1=1),$A454,$A454+1),COLUMN('1-DATA'!R452)),IF($B454="STD. DEVIATION",2,$F$1))))</f>
        <v/>
      </c>
      <c r="T454" s="1" t="str">
        <f>IF(OR($B454="",T$7=""),"",IF($B454="MEANS",INDEX('1-DATA'!$1:$1048576,$A453-1,COLUMN('1-DATA'!S452)),ROUND(INDEX('1-DATA'!$1:$1048576,IF(OR($B454="STD. DEVIATION",$C$1=1),$A454,$A454+1),COLUMN('1-DATA'!S452)),IF($B454="STD. DEVIATION",2,$F$1))))</f>
        <v/>
      </c>
      <c r="U454" s="1" t="str">
        <f>IF(OR($B454="",U$7=""),"",IF($B454="MEANS",INDEX('1-DATA'!$1:$1048576,$A453-1,COLUMN('1-DATA'!T452)),ROUND(INDEX('1-DATA'!$1:$1048576,IF(OR($B454="STD. DEVIATION",$C$1=1),$A454,$A454+1),COLUMN('1-DATA'!T452)),IF($B454="STD. DEVIATION",2,$F$1))))</f>
        <v/>
      </c>
      <c r="V454" s="1" t="str">
        <f>IF(OR($B454="",V$7=""),"",IF($B454="MEANS",INDEX('1-DATA'!$1:$1048576,$A453-1,COLUMN('1-DATA'!U452)),ROUND(INDEX('1-DATA'!$1:$1048576,IF(OR($B454="STD. DEVIATION",$C$1=1),$A454,$A454+1),COLUMN('1-DATA'!U452)),IF($B454="STD. DEVIATION",2,$F$1))))</f>
        <v/>
      </c>
      <c r="W454" s="1" t="str">
        <f>IF(OR($B454="",W$7=""),"",IF($B454="MEANS",INDEX('1-DATA'!$1:$1048576,$A453-1,COLUMN('1-DATA'!V452)),ROUND(INDEX('1-DATA'!$1:$1048576,IF(OR($B454="STD. DEVIATION",$C$1=1),$A454,$A454+1),COLUMN('1-DATA'!V452)),IF($B454="STD. DEVIATION",2,$F$1))))</f>
        <v/>
      </c>
      <c r="X454" s="1" t="str">
        <f>IF(OR($B454="",X$7=""),"",IF($B454="MEANS",INDEX('1-DATA'!$1:$1048576,$A453-1,COLUMN('1-DATA'!W452)),ROUND(INDEX('1-DATA'!$1:$1048576,IF(OR($B454="STD. DEVIATION",$C$1=1),$A454,$A454+1),COLUMN('1-DATA'!W452)),IF($B454="STD. DEVIATION",2,$F$1))))</f>
        <v/>
      </c>
      <c r="Y454" s="1" t="str">
        <f>IF(OR($B454="",Y$7=""),"",IF($B454="MEANS",INDEX('1-DATA'!$1:$1048576,$A453-1,COLUMN('1-DATA'!X452)),ROUND(INDEX('1-DATA'!$1:$1048576,IF(OR($B454="STD. DEVIATION",$C$1=1),$A454,$A454+1),COLUMN('1-DATA'!X452)),IF($B454="STD. DEVIATION",2,$F$1))))</f>
        <v/>
      </c>
      <c r="Z454" s="1" t="str">
        <f>IF(OR($B454="",Z$7=""),"",IF($B454="MEANS",INDEX('1-DATA'!$1:$1048576,$A453-1,COLUMN('1-DATA'!Y452)),ROUND(INDEX('1-DATA'!$1:$1048576,IF(OR($B454="STD. DEVIATION",$C$1=1),$A454,$A454+1),COLUMN('1-DATA'!Y452)),IF($B454="STD. DEVIATION",2,$F$1))))</f>
        <v/>
      </c>
      <c r="AA454" s="1" t="str">
        <f>IF(OR($B454="",AA$7=""),"",IF($B454="MEANS",INDEX('1-DATA'!$1:$1048576,$A453-1,COLUMN('1-DATA'!Z452)),ROUND(INDEX('1-DATA'!$1:$1048576,IF(OR($B454="STD. DEVIATION",$C$1=1),$A454,$A454+1),COLUMN('1-DATA'!Z452)),IF($B454="STD. DEVIATION",2,$F$1))))</f>
        <v/>
      </c>
      <c r="AB454" s="1" t="str">
        <f>IF(OR($B454="",AB$7=""),"",IF($B454="MEANS",INDEX('1-DATA'!$1:$1048576,$A453-1,COLUMN('1-DATA'!AA452)),ROUND(INDEX('1-DATA'!$1:$1048576,IF(OR($B454="STD. DEVIATION",$C$1=1),$A454,$A454+1),COLUMN('1-DATA'!AA452)),IF($B454="STD. DEVIATION",2,$F$1))))</f>
        <v/>
      </c>
      <c r="AC454" s="1" t="str">
        <f>IF(OR($B454="",AC$7=""),"",IF($B454="MEANS",INDEX('1-DATA'!$1:$1048576,$A453-1,COLUMN('1-DATA'!AB452)),ROUND(INDEX('1-DATA'!$1:$1048576,IF(OR($B454="STD. DEVIATION",$C$1=1),$A454,$A454+1),COLUMN('1-DATA'!AB452)),IF($B454="STD. DEVIATION",2,$F$1))))</f>
        <v/>
      </c>
      <c r="AD454" s="1" t="str">
        <f>IF(OR($B454="",AD$7=""),"",IF($B454="MEANS",INDEX('1-DATA'!$1:$1048576,$A453-1,COLUMN('1-DATA'!AC452)),ROUND(INDEX('1-DATA'!$1:$1048576,IF(OR($B454="STD. DEVIATION",$C$1=1),$A454,$A454+1),COLUMN('1-DATA'!AC452)),IF($B454="STD. DEVIATION",2,$F$1))))</f>
        <v/>
      </c>
      <c r="AE454" s="1" t="str">
        <f>IF(OR($B454="",AE$7=""),"",IF($B454="MEANS",INDEX('1-DATA'!$1:$1048576,$A453-1,COLUMN('1-DATA'!AD452)),ROUND(INDEX('1-DATA'!$1:$1048576,IF(OR($B454="STD. DEVIATION",$C$1=1),$A454,$A454+1),COLUMN('1-DATA'!AD452)),IF($B454="STD. DEVIATION",2,$F$1))))</f>
        <v/>
      </c>
      <c r="AF454" s="1" t="str">
        <f>IF(OR($B454="",AF$7=""),"",IF($B454="MEANS",INDEX('1-DATA'!$1:$1048576,$A453-1,COLUMN('1-DATA'!AE452)),ROUND(INDEX('1-DATA'!$1:$1048576,IF(OR($B454="STD. DEVIATION",$C$1=1),$A454,$A454+1),COLUMN('1-DATA'!AE452)),IF($B454="STD. DEVIATION",2,$F$1))))</f>
        <v/>
      </c>
      <c r="AG454" s="1" t="str">
        <f>IF(OR($B454="",AG$7=""),"",IF($B454="MEANS",INDEX('1-DATA'!$1:$1048576,$A453-1,COLUMN('1-DATA'!AF452)),ROUND(INDEX('1-DATA'!$1:$1048576,IF(OR($B454="STD. DEVIATION",$C$1=1),$A454,$A454+1),COLUMN('1-DATA'!AF452)),IF($B454="STD. DEVIATION",2,$F$1))))</f>
        <v/>
      </c>
      <c r="AH454" s="1" t="str">
        <f>IF(OR($B454="",AH$7=""),"",IF($B454="MEANS",INDEX('1-DATA'!$1:$1048576,$A453-1,COLUMN('1-DATA'!AG452)),ROUND(INDEX('1-DATA'!$1:$1048576,IF(OR($B454="STD. DEVIATION",$C$1=1),$A454,$A454+1),COLUMN('1-DATA'!AG452)),IF($B454="STD. DEVIATION",2,$F$1))))</f>
        <v/>
      </c>
      <c r="AI454" s="1" t="str">
        <f>IF(OR($B454="",AI$7=""),"",IF($B454="MEANS",INDEX('1-DATA'!$1:$1048576,$A453-1,COLUMN('1-DATA'!AH452)),ROUND(INDEX('1-DATA'!$1:$1048576,IF(OR($B454="STD. DEVIATION",$C$1=1),$A454,$A454+1),COLUMN('1-DATA'!AH452)),IF($B454="STD. DEVIATION",2,$F$1))))</f>
        <v/>
      </c>
      <c r="AJ454" s="1" t="str">
        <f>IF(OR($B454="",AJ$7=""),"",IF($B454="MEANS",INDEX('1-DATA'!$1:$1048576,$A453-1,COLUMN('1-DATA'!AI452)),ROUND(INDEX('1-DATA'!$1:$1048576,IF(OR($B454="STD. DEVIATION",$C$1=1),$A454,$A454+1),COLUMN('1-DATA'!AI452)),IF($B454="STD. DEVIATION",2,$F$1))))</f>
        <v/>
      </c>
      <c r="AK454" s="1" t="str">
        <f>IF(OR($B454="",AK$7=""),"",IF($B454="MEANS",INDEX('1-DATA'!$1:$1048576,$A453-1,COLUMN('1-DATA'!AJ452)),ROUND(INDEX('1-DATA'!$1:$1048576,IF(OR($B454="STD. DEVIATION",$C$1=1),$A454,$A454+1),COLUMN('1-DATA'!AJ452)),IF($B454="STD. DEVIATION",2,$F$1))))</f>
        <v/>
      </c>
      <c r="AL454" s="1" t="str">
        <f>IF(OR($B454="",AL$7=""),"",IF($B454="MEANS",INDEX('1-DATA'!$1:$1048576,$A453-1,COLUMN('1-DATA'!AK452)),ROUND(INDEX('1-DATA'!$1:$1048576,IF(OR($B454="STD. DEVIATION",$C$1=1),$A454,$A454+1),COLUMN('1-DATA'!AK452)),IF($B454="STD. DEVIATION",2,$F$1))))</f>
        <v/>
      </c>
      <c r="AM454" s="1" t="str">
        <f>IF(OR($B454="",AM$7=""),"",IF($B454="MEANS",INDEX('1-DATA'!$1:$1048576,$A453-1,COLUMN('1-DATA'!AL452)),ROUND(INDEX('1-DATA'!$1:$1048576,IF(OR($B454="STD. DEVIATION",$C$1=1),$A454,$A454+1),COLUMN('1-DATA'!AL452)),IF($B454="STD. DEVIATION",2,$F$1))))</f>
        <v/>
      </c>
      <c r="AN454" s="1" t="str">
        <f>IF(OR($B454="",AN$7=""),"",IF($B454="MEANS",INDEX('1-DATA'!$1:$1048576,$A453-1,COLUMN('1-DATA'!AM452)),ROUND(INDEX('1-DATA'!$1:$1048576,IF(OR($B454="STD. DEVIATION",$C$1=1),$A454,$A454+1),COLUMN('1-DATA'!AM452)),IF($B454="STD. DEVIATION",2,$F$1))))</f>
        <v/>
      </c>
      <c r="AO454" s="1" t="str">
        <f>IF(OR($B454="",AO$7=""),"",IF($B454="MEANS",INDEX('1-DATA'!$1:$1048576,$A453-1,COLUMN('1-DATA'!AN452)),ROUND(INDEX('1-DATA'!$1:$1048576,IF(OR($B454="STD. DEVIATION",$C$1=1),$A454,$A454+1),COLUMN('1-DATA'!AN452)),IF($B454="STD. DEVIATION",2,$F$1))))</f>
        <v/>
      </c>
      <c r="AP454" s="1" t="str">
        <f>IF(OR($B454="",AP$7=""),"",IF($B454="MEANS",INDEX('1-DATA'!$1:$1048576,$A453-1,COLUMN('1-DATA'!AO452)),ROUND(INDEX('1-DATA'!$1:$1048576,IF(OR($B454="STD. DEVIATION",$C$1=1),$A454,$A454+1),COLUMN('1-DATA'!AO452)),IF($B454="STD. DEVIATION",2,$F$1))))</f>
        <v/>
      </c>
      <c r="AQ454" s="1" t="str">
        <f>IF(OR($B454="",AQ$7=""),"",IF($B454="MEANS",INDEX('1-DATA'!$1:$1048576,$A453-1,COLUMN('1-DATA'!AP452)),ROUND(INDEX('1-DATA'!$1:$1048576,IF(OR($B454="STD. DEVIATION",$C$1=1),$A454,$A454+1),COLUMN('1-DATA'!AP452)),IF($B454="STD. DEVIATION",2,$F$1))))</f>
        <v/>
      </c>
      <c r="AR454" s="1" t="str">
        <f>IF(OR($B454="",AR$7=""),"",IF($B454="MEANS",INDEX('1-DATA'!$1:$1048576,$A453-1,COLUMN('1-DATA'!AQ452)),ROUND(INDEX('1-DATA'!$1:$1048576,IF(OR($B454="STD. DEVIATION",$C$1=1),$A454,$A454+1),COLUMN('1-DATA'!AQ452)),IF($B454="STD. DEVIATION",2,$F$1))))</f>
        <v/>
      </c>
      <c r="AS454" s="1" t="str">
        <f>IF(OR($B454="",AS$7=""),"",IF($B454="MEANS",INDEX('1-DATA'!$1:$1048576,$A453-1,COLUMN('1-DATA'!AR452)),ROUND(INDEX('1-DATA'!$1:$1048576,IF(OR($B454="STD. DEVIATION",$C$1=1),$A454,$A454+1),COLUMN('1-DATA'!AR452)),IF($B454="STD. DEVIATION",2,$F$1))))</f>
        <v/>
      </c>
      <c r="AT454" s="1" t="str">
        <f>IF(OR($B454="",AT$7=""),"",IF($B454="MEANS",INDEX('1-DATA'!$1:$1048576,$A453-1,COLUMN('1-DATA'!AS452)),ROUND(INDEX('1-DATA'!$1:$1048576,IF(OR($B454="STD. DEVIATION",$C$1=1),$A454,$A454+1),COLUMN('1-DATA'!AS452)),IF($B454="STD. DEVIATION",2,$F$1))))</f>
        <v/>
      </c>
      <c r="AU454" s="1" t="str">
        <f>IF(OR($B454="",AU$7=""),"",IF($B454="MEANS",INDEX('1-DATA'!$1:$1048576,$A453-1,COLUMN('1-DATA'!AT452)),ROUND(INDEX('1-DATA'!$1:$1048576,IF(OR($B454="STD. DEVIATION",$C$1=1),$A454,$A454+1),COLUMN('1-DATA'!AT452)),IF($B454="STD. DEVIATION",2,$F$1))))</f>
        <v/>
      </c>
      <c r="AV454" s="1" t="str">
        <f>IF(OR($B454="",AV$7=""),"",IF($B454="MEANS",INDEX('1-DATA'!$1:$1048576,$A453-1,COLUMN('1-DATA'!AU452)),ROUND(INDEX('1-DATA'!$1:$1048576,IF(OR($B454="STD. DEVIATION",$C$1=1),$A454,$A454+1),COLUMN('1-DATA'!AU452)),IF($B454="STD. DEVIATION",2,$F$1))))</f>
        <v/>
      </c>
      <c r="AW454" s="1" t="str">
        <f>IF(OR($B454="",AW$7=""),"",IF($B454="MEANS",INDEX('1-DATA'!$1:$1048576,$A453-1,COLUMN('1-DATA'!AV452)),ROUND(INDEX('1-DATA'!$1:$1048576,IF(OR($B454="STD. DEVIATION",$C$1=1),$A454,$A454+1),COLUMN('1-DATA'!AV452)),IF($B454="STD. DEVIATION",2,$F$1))))</f>
        <v/>
      </c>
      <c r="AX454" s="1" t="str">
        <f>IF(OR($B454="",AX$7=""),"",IF($B454="MEANS",INDEX('1-DATA'!$1:$1048576,$A453-1,COLUMN('1-DATA'!AW452)),ROUND(INDEX('1-DATA'!$1:$1048576,IF(OR($B454="STD. DEVIATION",$C$1=1),$A454,$A454+1),COLUMN('1-DATA'!AW452)),IF($B454="STD. DEVIATION",2,$F$1))))</f>
        <v/>
      </c>
      <c r="AY454" s="1" t="str">
        <f>IF(OR($B454="",AY$7=""),"",IF($B454="MEANS",INDEX('1-DATA'!$1:$1048576,$A453-1,COLUMN('1-DATA'!AX452)),ROUND(INDEX('1-DATA'!$1:$1048576,IF(OR($B454="STD. DEVIATION",$C$1=1),$A454,$A454+1),COLUMN('1-DATA'!AX452)),IF($B454="STD. DEVIATION",2,$F$1))))</f>
        <v/>
      </c>
      <c r="AZ454" s="1" t="str">
        <f>IF(OR($B454="",AZ$7=""),"",IF($B454="MEANS",INDEX('1-DATA'!$1:$1048576,$A453-1,COLUMN('1-DATA'!AY452)),ROUND(INDEX('1-DATA'!$1:$1048576,IF(OR($B454="STD. DEVIATION",$C$1=1),$A454,$A454+1),COLUMN('1-DATA'!AY452)),IF($B454="STD. DEVIATION",2,$F$1))))</f>
        <v/>
      </c>
    </row>
    <row r="455" spans="1:52" x14ac:dyDescent="0.25">
      <c r="A455" s="11">
        <f t="shared" si="7"/>
        <v>1351</v>
      </c>
      <c r="B455" s="1" t="str">
        <f>IF(B454="STD. DEVIATION",INDEX('1-DATA'!$1:$1048576,$A454-1,1),IF(INDEX('1-DATA'!$1:$1048576,$A455,1)&lt;&gt;"",INDEX('1-DATA'!$1:$1048576,$A455,1),""))</f>
        <v/>
      </c>
      <c r="C455" s="1" t="str">
        <f>IF(OR($B455="",C$7=""),"",IF($B455="MEANS",INDEX('1-DATA'!$1:$1048576,$A454-1,COLUMN('1-DATA'!B453)),ROUND(INDEX('1-DATA'!$1:$1048576,IF(OR($B455="STD. DEVIATION",$C$1=1),$A455,$A455+1),COLUMN('1-DATA'!B453)),IF($B455="STD. DEVIATION",2,$F$1))))</f>
        <v/>
      </c>
      <c r="D455" s="1" t="str">
        <f>IF(OR($B455="",D$7=""),"",IF($B455="MEANS",INDEX('1-DATA'!$1:$1048576,$A454-1,COLUMN('1-DATA'!C453)),ROUND(INDEX('1-DATA'!$1:$1048576,IF(OR($B455="STD. DEVIATION",$C$1=1),$A455,$A455+1),COLUMN('1-DATA'!C453)),IF($B455="STD. DEVIATION",2,$F$1))))</f>
        <v/>
      </c>
      <c r="E455" s="1" t="str">
        <f>IF(OR($B455="",E$7=""),"",IF($B455="MEANS",INDEX('1-DATA'!$1:$1048576,$A454-1,COLUMN('1-DATA'!D453)),ROUND(INDEX('1-DATA'!$1:$1048576,IF(OR($B455="STD. DEVIATION",$C$1=1),$A455,$A455+1),COLUMN('1-DATA'!D453)),IF($B455="STD. DEVIATION",2,$F$1))))</f>
        <v/>
      </c>
      <c r="F455" s="1" t="str">
        <f>IF(OR($B455="",F$7=""),"",IF($B455="MEANS",INDEX('1-DATA'!$1:$1048576,$A454-1,COLUMN('1-DATA'!E453)),ROUND(INDEX('1-DATA'!$1:$1048576,IF(OR($B455="STD. DEVIATION",$C$1=1),$A455,$A455+1),COLUMN('1-DATA'!E453)),IF($B455="STD. DEVIATION",2,$F$1))))</f>
        <v/>
      </c>
      <c r="G455" s="1" t="str">
        <f>IF(OR($B455="",G$7=""),"",IF($B455="MEANS",INDEX('1-DATA'!$1:$1048576,$A454-1,COLUMN('1-DATA'!F453)),ROUND(INDEX('1-DATA'!$1:$1048576,IF(OR($B455="STD. DEVIATION",$C$1=1),$A455,$A455+1),COLUMN('1-DATA'!F453)),IF($B455="STD. DEVIATION",2,$F$1))))</f>
        <v/>
      </c>
      <c r="H455" s="1" t="str">
        <f>IF(OR($B455="",H$7=""),"",IF($B455="MEANS",INDEX('1-DATA'!$1:$1048576,$A454-1,COLUMN('1-DATA'!G453)),ROUND(INDEX('1-DATA'!$1:$1048576,IF(OR($B455="STD. DEVIATION",$C$1=1),$A455,$A455+1),COLUMN('1-DATA'!G453)),IF($B455="STD. DEVIATION",2,$F$1))))</f>
        <v/>
      </c>
      <c r="I455" s="1" t="str">
        <f>IF(OR($B455="",I$7=""),"",IF($B455="MEANS",INDEX('1-DATA'!$1:$1048576,$A454-1,COLUMN('1-DATA'!H453)),ROUND(INDEX('1-DATA'!$1:$1048576,IF(OR($B455="STD. DEVIATION",$C$1=1),$A455,$A455+1),COLUMN('1-DATA'!H453)),IF($B455="STD. DEVIATION",2,$F$1))))</f>
        <v/>
      </c>
      <c r="J455" s="1" t="str">
        <f>IF(OR($B455="",J$7=""),"",IF($B455="MEANS",INDEX('1-DATA'!$1:$1048576,$A454-1,COLUMN('1-DATA'!I453)),ROUND(INDEX('1-DATA'!$1:$1048576,IF(OR($B455="STD. DEVIATION",$C$1=1),$A455,$A455+1),COLUMN('1-DATA'!I453)),IF($B455="STD. DEVIATION",2,$F$1))))</f>
        <v/>
      </c>
      <c r="K455" s="1" t="str">
        <f>IF(OR($B455="",K$7=""),"",IF($B455="MEANS",INDEX('1-DATA'!$1:$1048576,$A454-1,COLUMN('1-DATA'!J453)),ROUND(INDEX('1-DATA'!$1:$1048576,IF(OR($B455="STD. DEVIATION",$C$1=1),$A455,$A455+1),COLUMN('1-DATA'!J453)),IF($B455="STD. DEVIATION",2,$F$1))))</f>
        <v/>
      </c>
      <c r="L455" s="1" t="str">
        <f>IF(OR($B455="",L$7=""),"",IF($B455="MEANS",INDEX('1-DATA'!$1:$1048576,$A454-1,COLUMN('1-DATA'!K453)),ROUND(INDEX('1-DATA'!$1:$1048576,IF(OR($B455="STD. DEVIATION",$C$1=1),$A455,$A455+1),COLUMN('1-DATA'!K453)),IF($B455="STD. DEVIATION",2,$F$1))))</f>
        <v/>
      </c>
      <c r="M455" s="1" t="str">
        <f>IF(OR($B455="",M$7=""),"",IF($B455="MEANS",INDEX('1-DATA'!$1:$1048576,$A454-1,COLUMN('1-DATA'!L453)),ROUND(INDEX('1-DATA'!$1:$1048576,IF(OR($B455="STD. DEVIATION",$C$1=1),$A455,$A455+1),COLUMN('1-DATA'!L453)),IF($B455="STD. DEVIATION",2,$F$1))))</f>
        <v/>
      </c>
      <c r="N455" s="1" t="str">
        <f>IF(OR($B455="",N$7=""),"",IF($B455="MEANS",INDEX('1-DATA'!$1:$1048576,$A454-1,COLUMN('1-DATA'!M453)),ROUND(INDEX('1-DATA'!$1:$1048576,IF(OR($B455="STD. DEVIATION",$C$1=1),$A455,$A455+1),COLUMN('1-DATA'!M453)),IF($B455="STD. DEVIATION",2,$F$1))))</f>
        <v/>
      </c>
      <c r="O455" s="1" t="str">
        <f>IF(OR($B455="",O$7=""),"",IF($B455="MEANS",INDEX('1-DATA'!$1:$1048576,$A454-1,COLUMN('1-DATA'!N453)),ROUND(INDEX('1-DATA'!$1:$1048576,IF(OR($B455="STD. DEVIATION",$C$1=1),$A455,$A455+1),COLUMN('1-DATA'!N453)),IF($B455="STD. DEVIATION",2,$F$1))))</f>
        <v/>
      </c>
      <c r="P455" s="1" t="str">
        <f>IF(OR($B455="",P$7=""),"",IF($B455="MEANS",INDEX('1-DATA'!$1:$1048576,$A454-1,COLUMN('1-DATA'!O453)),ROUND(INDEX('1-DATA'!$1:$1048576,IF(OR($B455="STD. DEVIATION",$C$1=1),$A455,$A455+1),COLUMN('1-DATA'!O453)),IF($B455="STD. DEVIATION",2,$F$1))))</f>
        <v/>
      </c>
      <c r="Q455" s="1" t="str">
        <f>IF(OR($B455="",Q$7=""),"",IF($B455="MEANS",INDEX('1-DATA'!$1:$1048576,$A454-1,COLUMN('1-DATA'!P453)),ROUND(INDEX('1-DATA'!$1:$1048576,IF(OR($B455="STD. DEVIATION",$C$1=1),$A455,$A455+1),COLUMN('1-DATA'!P453)),IF($B455="STD. DEVIATION",2,$F$1))))</f>
        <v/>
      </c>
      <c r="R455" s="1" t="str">
        <f>IF(OR($B455="",R$7=""),"",IF($B455="MEANS",INDEX('1-DATA'!$1:$1048576,$A454-1,COLUMN('1-DATA'!Q453)),ROUND(INDEX('1-DATA'!$1:$1048576,IF(OR($B455="STD. DEVIATION",$C$1=1),$A455,$A455+1),COLUMN('1-DATA'!Q453)),IF($B455="STD. DEVIATION",2,$F$1))))</f>
        <v/>
      </c>
      <c r="S455" s="1" t="str">
        <f>IF(OR($B455="",S$7=""),"",IF($B455="MEANS",INDEX('1-DATA'!$1:$1048576,$A454-1,COLUMN('1-DATA'!R453)),ROUND(INDEX('1-DATA'!$1:$1048576,IF(OR($B455="STD. DEVIATION",$C$1=1),$A455,$A455+1),COLUMN('1-DATA'!R453)),IF($B455="STD. DEVIATION",2,$F$1))))</f>
        <v/>
      </c>
      <c r="T455" s="1" t="str">
        <f>IF(OR($B455="",T$7=""),"",IF($B455="MEANS",INDEX('1-DATA'!$1:$1048576,$A454-1,COLUMN('1-DATA'!S453)),ROUND(INDEX('1-DATA'!$1:$1048576,IF(OR($B455="STD. DEVIATION",$C$1=1),$A455,$A455+1),COLUMN('1-DATA'!S453)),IF($B455="STD. DEVIATION",2,$F$1))))</f>
        <v/>
      </c>
      <c r="U455" s="1" t="str">
        <f>IF(OR($B455="",U$7=""),"",IF($B455="MEANS",INDEX('1-DATA'!$1:$1048576,$A454-1,COLUMN('1-DATA'!T453)),ROUND(INDEX('1-DATA'!$1:$1048576,IF(OR($B455="STD. DEVIATION",$C$1=1),$A455,$A455+1),COLUMN('1-DATA'!T453)),IF($B455="STD. DEVIATION",2,$F$1))))</f>
        <v/>
      </c>
      <c r="V455" s="1" t="str">
        <f>IF(OR($B455="",V$7=""),"",IF($B455="MEANS",INDEX('1-DATA'!$1:$1048576,$A454-1,COLUMN('1-DATA'!U453)),ROUND(INDEX('1-DATA'!$1:$1048576,IF(OR($B455="STD. DEVIATION",$C$1=1),$A455,$A455+1),COLUMN('1-DATA'!U453)),IF($B455="STD. DEVIATION",2,$F$1))))</f>
        <v/>
      </c>
      <c r="W455" s="1" t="str">
        <f>IF(OR($B455="",W$7=""),"",IF($B455="MEANS",INDEX('1-DATA'!$1:$1048576,$A454-1,COLUMN('1-DATA'!V453)),ROUND(INDEX('1-DATA'!$1:$1048576,IF(OR($B455="STD. DEVIATION",$C$1=1),$A455,$A455+1),COLUMN('1-DATA'!V453)),IF($B455="STD. DEVIATION",2,$F$1))))</f>
        <v/>
      </c>
      <c r="X455" s="1" t="str">
        <f>IF(OR($B455="",X$7=""),"",IF($B455="MEANS",INDEX('1-DATA'!$1:$1048576,$A454-1,COLUMN('1-DATA'!W453)),ROUND(INDEX('1-DATA'!$1:$1048576,IF(OR($B455="STD. DEVIATION",$C$1=1),$A455,$A455+1),COLUMN('1-DATA'!W453)),IF($B455="STD. DEVIATION",2,$F$1))))</f>
        <v/>
      </c>
      <c r="Y455" s="1" t="str">
        <f>IF(OR($B455="",Y$7=""),"",IF($B455="MEANS",INDEX('1-DATA'!$1:$1048576,$A454-1,COLUMN('1-DATA'!X453)),ROUND(INDEX('1-DATA'!$1:$1048576,IF(OR($B455="STD. DEVIATION",$C$1=1),$A455,$A455+1),COLUMN('1-DATA'!X453)),IF($B455="STD. DEVIATION",2,$F$1))))</f>
        <v/>
      </c>
      <c r="Z455" s="1" t="str">
        <f>IF(OR($B455="",Z$7=""),"",IF($B455="MEANS",INDEX('1-DATA'!$1:$1048576,$A454-1,COLUMN('1-DATA'!Y453)),ROUND(INDEX('1-DATA'!$1:$1048576,IF(OR($B455="STD. DEVIATION",$C$1=1),$A455,$A455+1),COLUMN('1-DATA'!Y453)),IF($B455="STD. DEVIATION",2,$F$1))))</f>
        <v/>
      </c>
      <c r="AA455" s="1" t="str">
        <f>IF(OR($B455="",AA$7=""),"",IF($B455="MEANS",INDEX('1-DATA'!$1:$1048576,$A454-1,COLUMN('1-DATA'!Z453)),ROUND(INDEX('1-DATA'!$1:$1048576,IF(OR($B455="STD. DEVIATION",$C$1=1),$A455,$A455+1),COLUMN('1-DATA'!Z453)),IF($B455="STD. DEVIATION",2,$F$1))))</f>
        <v/>
      </c>
      <c r="AB455" s="1" t="str">
        <f>IF(OR($B455="",AB$7=""),"",IF($B455="MEANS",INDEX('1-DATA'!$1:$1048576,$A454-1,COLUMN('1-DATA'!AA453)),ROUND(INDEX('1-DATA'!$1:$1048576,IF(OR($B455="STD. DEVIATION",$C$1=1),$A455,$A455+1),COLUMN('1-DATA'!AA453)),IF($B455="STD. DEVIATION",2,$F$1))))</f>
        <v/>
      </c>
      <c r="AC455" s="1" t="str">
        <f>IF(OR($B455="",AC$7=""),"",IF($B455="MEANS",INDEX('1-DATA'!$1:$1048576,$A454-1,COLUMN('1-DATA'!AB453)),ROUND(INDEX('1-DATA'!$1:$1048576,IF(OR($B455="STD. DEVIATION",$C$1=1),$A455,$A455+1),COLUMN('1-DATA'!AB453)),IF($B455="STD. DEVIATION",2,$F$1))))</f>
        <v/>
      </c>
      <c r="AD455" s="1" t="str">
        <f>IF(OR($B455="",AD$7=""),"",IF($B455="MEANS",INDEX('1-DATA'!$1:$1048576,$A454-1,COLUMN('1-DATA'!AC453)),ROUND(INDEX('1-DATA'!$1:$1048576,IF(OR($B455="STD. DEVIATION",$C$1=1),$A455,$A455+1),COLUMN('1-DATA'!AC453)),IF($B455="STD. DEVIATION",2,$F$1))))</f>
        <v/>
      </c>
      <c r="AE455" s="1" t="str">
        <f>IF(OR($B455="",AE$7=""),"",IF($B455="MEANS",INDEX('1-DATA'!$1:$1048576,$A454-1,COLUMN('1-DATA'!AD453)),ROUND(INDEX('1-DATA'!$1:$1048576,IF(OR($B455="STD. DEVIATION",$C$1=1),$A455,$A455+1),COLUMN('1-DATA'!AD453)),IF($B455="STD. DEVIATION",2,$F$1))))</f>
        <v/>
      </c>
      <c r="AF455" s="1" t="str">
        <f>IF(OR($B455="",AF$7=""),"",IF($B455="MEANS",INDEX('1-DATA'!$1:$1048576,$A454-1,COLUMN('1-DATA'!AE453)),ROUND(INDEX('1-DATA'!$1:$1048576,IF(OR($B455="STD. DEVIATION",$C$1=1),$A455,$A455+1),COLUMN('1-DATA'!AE453)),IF($B455="STD. DEVIATION",2,$F$1))))</f>
        <v/>
      </c>
      <c r="AG455" s="1" t="str">
        <f>IF(OR($B455="",AG$7=""),"",IF($B455="MEANS",INDEX('1-DATA'!$1:$1048576,$A454-1,COLUMN('1-DATA'!AF453)),ROUND(INDEX('1-DATA'!$1:$1048576,IF(OR($B455="STD. DEVIATION",$C$1=1),$A455,$A455+1),COLUMN('1-DATA'!AF453)),IF($B455="STD. DEVIATION",2,$F$1))))</f>
        <v/>
      </c>
      <c r="AH455" s="1" t="str">
        <f>IF(OR($B455="",AH$7=""),"",IF($B455="MEANS",INDEX('1-DATA'!$1:$1048576,$A454-1,COLUMN('1-DATA'!AG453)),ROUND(INDEX('1-DATA'!$1:$1048576,IF(OR($B455="STD. DEVIATION",$C$1=1),$A455,$A455+1),COLUMN('1-DATA'!AG453)),IF($B455="STD. DEVIATION",2,$F$1))))</f>
        <v/>
      </c>
      <c r="AI455" s="1" t="str">
        <f>IF(OR($B455="",AI$7=""),"",IF($B455="MEANS",INDEX('1-DATA'!$1:$1048576,$A454-1,COLUMN('1-DATA'!AH453)),ROUND(INDEX('1-DATA'!$1:$1048576,IF(OR($B455="STD. DEVIATION",$C$1=1),$A455,$A455+1),COLUMN('1-DATA'!AH453)),IF($B455="STD. DEVIATION",2,$F$1))))</f>
        <v/>
      </c>
      <c r="AJ455" s="1" t="str">
        <f>IF(OR($B455="",AJ$7=""),"",IF($B455="MEANS",INDEX('1-DATA'!$1:$1048576,$A454-1,COLUMN('1-DATA'!AI453)),ROUND(INDEX('1-DATA'!$1:$1048576,IF(OR($B455="STD. DEVIATION",$C$1=1),$A455,$A455+1),COLUMN('1-DATA'!AI453)),IF($B455="STD. DEVIATION",2,$F$1))))</f>
        <v/>
      </c>
      <c r="AK455" s="1" t="str">
        <f>IF(OR($B455="",AK$7=""),"",IF($B455="MEANS",INDEX('1-DATA'!$1:$1048576,$A454-1,COLUMN('1-DATA'!AJ453)),ROUND(INDEX('1-DATA'!$1:$1048576,IF(OR($B455="STD. DEVIATION",$C$1=1),$A455,$A455+1),COLUMN('1-DATA'!AJ453)),IF($B455="STD. DEVIATION",2,$F$1))))</f>
        <v/>
      </c>
      <c r="AL455" s="1" t="str">
        <f>IF(OR($B455="",AL$7=""),"",IF($B455="MEANS",INDEX('1-DATA'!$1:$1048576,$A454-1,COLUMN('1-DATA'!AK453)),ROUND(INDEX('1-DATA'!$1:$1048576,IF(OR($B455="STD. DEVIATION",$C$1=1),$A455,$A455+1),COLUMN('1-DATA'!AK453)),IF($B455="STD. DEVIATION",2,$F$1))))</f>
        <v/>
      </c>
      <c r="AM455" s="1" t="str">
        <f>IF(OR($B455="",AM$7=""),"",IF($B455="MEANS",INDEX('1-DATA'!$1:$1048576,$A454-1,COLUMN('1-DATA'!AL453)),ROUND(INDEX('1-DATA'!$1:$1048576,IF(OR($B455="STD. DEVIATION",$C$1=1),$A455,$A455+1),COLUMN('1-DATA'!AL453)),IF($B455="STD. DEVIATION",2,$F$1))))</f>
        <v/>
      </c>
      <c r="AN455" s="1" t="str">
        <f>IF(OR($B455="",AN$7=""),"",IF($B455="MEANS",INDEX('1-DATA'!$1:$1048576,$A454-1,COLUMN('1-DATA'!AM453)),ROUND(INDEX('1-DATA'!$1:$1048576,IF(OR($B455="STD. DEVIATION",$C$1=1),$A455,$A455+1),COLUMN('1-DATA'!AM453)),IF($B455="STD. DEVIATION",2,$F$1))))</f>
        <v/>
      </c>
      <c r="AO455" s="1" t="str">
        <f>IF(OR($B455="",AO$7=""),"",IF($B455="MEANS",INDEX('1-DATA'!$1:$1048576,$A454-1,COLUMN('1-DATA'!AN453)),ROUND(INDEX('1-DATA'!$1:$1048576,IF(OR($B455="STD. DEVIATION",$C$1=1),$A455,$A455+1),COLUMN('1-DATA'!AN453)),IF($B455="STD. DEVIATION",2,$F$1))))</f>
        <v/>
      </c>
      <c r="AP455" s="1" t="str">
        <f>IF(OR($B455="",AP$7=""),"",IF($B455="MEANS",INDEX('1-DATA'!$1:$1048576,$A454-1,COLUMN('1-DATA'!AO453)),ROUND(INDEX('1-DATA'!$1:$1048576,IF(OR($B455="STD. DEVIATION",$C$1=1),$A455,$A455+1),COLUMN('1-DATA'!AO453)),IF($B455="STD. DEVIATION",2,$F$1))))</f>
        <v/>
      </c>
      <c r="AQ455" s="1" t="str">
        <f>IF(OR($B455="",AQ$7=""),"",IF($B455="MEANS",INDEX('1-DATA'!$1:$1048576,$A454-1,COLUMN('1-DATA'!AP453)),ROUND(INDEX('1-DATA'!$1:$1048576,IF(OR($B455="STD. DEVIATION",$C$1=1),$A455,$A455+1),COLUMN('1-DATA'!AP453)),IF($B455="STD. DEVIATION",2,$F$1))))</f>
        <v/>
      </c>
      <c r="AR455" s="1" t="str">
        <f>IF(OR($B455="",AR$7=""),"",IF($B455="MEANS",INDEX('1-DATA'!$1:$1048576,$A454-1,COLUMN('1-DATA'!AQ453)),ROUND(INDEX('1-DATA'!$1:$1048576,IF(OR($B455="STD. DEVIATION",$C$1=1),$A455,$A455+1),COLUMN('1-DATA'!AQ453)),IF($B455="STD. DEVIATION",2,$F$1))))</f>
        <v/>
      </c>
      <c r="AS455" s="1" t="str">
        <f>IF(OR($B455="",AS$7=""),"",IF($B455="MEANS",INDEX('1-DATA'!$1:$1048576,$A454-1,COLUMN('1-DATA'!AR453)),ROUND(INDEX('1-DATA'!$1:$1048576,IF(OR($B455="STD. DEVIATION",$C$1=1),$A455,$A455+1),COLUMN('1-DATA'!AR453)),IF($B455="STD. DEVIATION",2,$F$1))))</f>
        <v/>
      </c>
      <c r="AT455" s="1" t="str">
        <f>IF(OR($B455="",AT$7=""),"",IF($B455="MEANS",INDEX('1-DATA'!$1:$1048576,$A454-1,COLUMN('1-DATA'!AS453)),ROUND(INDEX('1-DATA'!$1:$1048576,IF(OR($B455="STD. DEVIATION",$C$1=1),$A455,$A455+1),COLUMN('1-DATA'!AS453)),IF($B455="STD. DEVIATION",2,$F$1))))</f>
        <v/>
      </c>
      <c r="AU455" s="1" t="str">
        <f>IF(OR($B455="",AU$7=""),"",IF($B455="MEANS",INDEX('1-DATA'!$1:$1048576,$A454-1,COLUMN('1-DATA'!AT453)),ROUND(INDEX('1-DATA'!$1:$1048576,IF(OR($B455="STD. DEVIATION",$C$1=1),$A455,$A455+1),COLUMN('1-DATA'!AT453)),IF($B455="STD. DEVIATION",2,$F$1))))</f>
        <v/>
      </c>
      <c r="AV455" s="1" t="str">
        <f>IF(OR($B455="",AV$7=""),"",IF($B455="MEANS",INDEX('1-DATA'!$1:$1048576,$A454-1,COLUMN('1-DATA'!AU453)),ROUND(INDEX('1-DATA'!$1:$1048576,IF(OR($B455="STD. DEVIATION",$C$1=1),$A455,$A455+1),COLUMN('1-DATA'!AU453)),IF($B455="STD. DEVIATION",2,$F$1))))</f>
        <v/>
      </c>
      <c r="AW455" s="1" t="str">
        <f>IF(OR($B455="",AW$7=""),"",IF($B455="MEANS",INDEX('1-DATA'!$1:$1048576,$A454-1,COLUMN('1-DATA'!AV453)),ROUND(INDEX('1-DATA'!$1:$1048576,IF(OR($B455="STD. DEVIATION",$C$1=1),$A455,$A455+1),COLUMN('1-DATA'!AV453)),IF($B455="STD. DEVIATION",2,$F$1))))</f>
        <v/>
      </c>
      <c r="AX455" s="1" t="str">
        <f>IF(OR($B455="",AX$7=""),"",IF($B455="MEANS",INDEX('1-DATA'!$1:$1048576,$A454-1,COLUMN('1-DATA'!AW453)),ROUND(INDEX('1-DATA'!$1:$1048576,IF(OR($B455="STD. DEVIATION",$C$1=1),$A455,$A455+1),COLUMN('1-DATA'!AW453)),IF($B455="STD. DEVIATION",2,$F$1))))</f>
        <v/>
      </c>
      <c r="AY455" s="1" t="str">
        <f>IF(OR($B455="",AY$7=""),"",IF($B455="MEANS",INDEX('1-DATA'!$1:$1048576,$A454-1,COLUMN('1-DATA'!AX453)),ROUND(INDEX('1-DATA'!$1:$1048576,IF(OR($B455="STD. DEVIATION",$C$1=1),$A455,$A455+1),COLUMN('1-DATA'!AX453)),IF($B455="STD. DEVIATION",2,$F$1))))</f>
        <v/>
      </c>
      <c r="AZ455" s="1" t="str">
        <f>IF(OR($B455="",AZ$7=""),"",IF($B455="MEANS",INDEX('1-DATA'!$1:$1048576,$A454-1,COLUMN('1-DATA'!AY453)),ROUND(INDEX('1-DATA'!$1:$1048576,IF(OR($B455="STD. DEVIATION",$C$1=1),$A455,$A455+1),COLUMN('1-DATA'!AY453)),IF($B455="STD. DEVIATION",2,$F$1))))</f>
        <v/>
      </c>
    </row>
    <row r="456" spans="1:52" x14ac:dyDescent="0.25">
      <c r="A456" s="11">
        <f t="shared" si="7"/>
        <v>1354</v>
      </c>
      <c r="B456" s="1" t="str">
        <f>IF(B455="STD. DEVIATION",INDEX('1-DATA'!$1:$1048576,$A455-1,1),IF(INDEX('1-DATA'!$1:$1048576,$A456,1)&lt;&gt;"",INDEX('1-DATA'!$1:$1048576,$A456,1),""))</f>
        <v/>
      </c>
      <c r="C456" s="1" t="str">
        <f>IF(OR($B456="",C$7=""),"",IF($B456="MEANS",INDEX('1-DATA'!$1:$1048576,$A455-1,COLUMN('1-DATA'!B454)),ROUND(INDEX('1-DATA'!$1:$1048576,IF(OR($B456="STD. DEVIATION",$C$1=1),$A456,$A456+1),COLUMN('1-DATA'!B454)),IF($B456="STD. DEVIATION",2,$F$1))))</f>
        <v/>
      </c>
      <c r="D456" s="1" t="str">
        <f>IF(OR($B456="",D$7=""),"",IF($B456="MEANS",INDEX('1-DATA'!$1:$1048576,$A455-1,COLUMN('1-DATA'!C454)),ROUND(INDEX('1-DATA'!$1:$1048576,IF(OR($B456="STD. DEVIATION",$C$1=1),$A456,$A456+1),COLUMN('1-DATA'!C454)),IF($B456="STD. DEVIATION",2,$F$1))))</f>
        <v/>
      </c>
      <c r="E456" s="1" t="str">
        <f>IF(OR($B456="",E$7=""),"",IF($B456="MEANS",INDEX('1-DATA'!$1:$1048576,$A455-1,COLUMN('1-DATA'!D454)),ROUND(INDEX('1-DATA'!$1:$1048576,IF(OR($B456="STD. DEVIATION",$C$1=1),$A456,$A456+1),COLUMN('1-DATA'!D454)),IF($B456="STD. DEVIATION",2,$F$1))))</f>
        <v/>
      </c>
      <c r="F456" s="1" t="str">
        <f>IF(OR($B456="",F$7=""),"",IF($B456="MEANS",INDEX('1-DATA'!$1:$1048576,$A455-1,COLUMN('1-DATA'!E454)),ROUND(INDEX('1-DATA'!$1:$1048576,IF(OR($B456="STD. DEVIATION",$C$1=1),$A456,$A456+1),COLUMN('1-DATA'!E454)),IF($B456="STD. DEVIATION",2,$F$1))))</f>
        <v/>
      </c>
      <c r="G456" s="1" t="str">
        <f>IF(OR($B456="",G$7=""),"",IF($B456="MEANS",INDEX('1-DATA'!$1:$1048576,$A455-1,COLUMN('1-DATA'!F454)),ROUND(INDEX('1-DATA'!$1:$1048576,IF(OR($B456="STD. DEVIATION",$C$1=1),$A456,$A456+1),COLUMN('1-DATA'!F454)),IF($B456="STD. DEVIATION",2,$F$1))))</f>
        <v/>
      </c>
      <c r="H456" s="1" t="str">
        <f>IF(OR($B456="",H$7=""),"",IF($B456="MEANS",INDEX('1-DATA'!$1:$1048576,$A455-1,COLUMN('1-DATA'!G454)),ROUND(INDEX('1-DATA'!$1:$1048576,IF(OR($B456="STD. DEVIATION",$C$1=1),$A456,$A456+1),COLUMN('1-DATA'!G454)),IF($B456="STD. DEVIATION",2,$F$1))))</f>
        <v/>
      </c>
      <c r="I456" s="1" t="str">
        <f>IF(OR($B456="",I$7=""),"",IF($B456="MEANS",INDEX('1-DATA'!$1:$1048576,$A455-1,COLUMN('1-DATA'!H454)),ROUND(INDEX('1-DATA'!$1:$1048576,IF(OR($B456="STD. DEVIATION",$C$1=1),$A456,$A456+1),COLUMN('1-DATA'!H454)),IF($B456="STD. DEVIATION",2,$F$1))))</f>
        <v/>
      </c>
      <c r="J456" s="1" t="str">
        <f>IF(OR($B456="",J$7=""),"",IF($B456="MEANS",INDEX('1-DATA'!$1:$1048576,$A455-1,COLUMN('1-DATA'!I454)),ROUND(INDEX('1-DATA'!$1:$1048576,IF(OR($B456="STD. DEVIATION",$C$1=1),$A456,$A456+1),COLUMN('1-DATA'!I454)),IF($B456="STD. DEVIATION",2,$F$1))))</f>
        <v/>
      </c>
      <c r="K456" s="1" t="str">
        <f>IF(OR($B456="",K$7=""),"",IF($B456="MEANS",INDEX('1-DATA'!$1:$1048576,$A455-1,COLUMN('1-DATA'!J454)),ROUND(INDEX('1-DATA'!$1:$1048576,IF(OR($B456="STD. DEVIATION",$C$1=1),$A456,$A456+1),COLUMN('1-DATA'!J454)),IF($B456="STD. DEVIATION",2,$F$1))))</f>
        <v/>
      </c>
      <c r="L456" s="1" t="str">
        <f>IF(OR($B456="",L$7=""),"",IF($B456="MEANS",INDEX('1-DATA'!$1:$1048576,$A455-1,COLUMN('1-DATA'!K454)),ROUND(INDEX('1-DATA'!$1:$1048576,IF(OR($B456="STD. DEVIATION",$C$1=1),$A456,$A456+1),COLUMN('1-DATA'!K454)),IF($B456="STD. DEVIATION",2,$F$1))))</f>
        <v/>
      </c>
      <c r="M456" s="1" t="str">
        <f>IF(OR($B456="",M$7=""),"",IF($B456="MEANS",INDEX('1-DATA'!$1:$1048576,$A455-1,COLUMN('1-DATA'!L454)),ROUND(INDEX('1-DATA'!$1:$1048576,IF(OR($B456="STD. DEVIATION",$C$1=1),$A456,$A456+1),COLUMN('1-DATA'!L454)),IF($B456="STD. DEVIATION",2,$F$1))))</f>
        <v/>
      </c>
      <c r="N456" s="1" t="str">
        <f>IF(OR($B456="",N$7=""),"",IF($B456="MEANS",INDEX('1-DATA'!$1:$1048576,$A455-1,COLUMN('1-DATA'!M454)),ROUND(INDEX('1-DATA'!$1:$1048576,IF(OR($B456="STD. DEVIATION",$C$1=1),$A456,$A456+1),COLUMN('1-DATA'!M454)),IF($B456="STD. DEVIATION",2,$F$1))))</f>
        <v/>
      </c>
      <c r="O456" s="1" t="str">
        <f>IF(OR($B456="",O$7=""),"",IF($B456="MEANS",INDEX('1-DATA'!$1:$1048576,$A455-1,COLUMN('1-DATA'!N454)),ROUND(INDEX('1-DATA'!$1:$1048576,IF(OR($B456="STD. DEVIATION",$C$1=1),$A456,$A456+1),COLUMN('1-DATA'!N454)),IF($B456="STD. DEVIATION",2,$F$1))))</f>
        <v/>
      </c>
      <c r="P456" s="1" t="str">
        <f>IF(OR($B456="",P$7=""),"",IF($B456="MEANS",INDEX('1-DATA'!$1:$1048576,$A455-1,COLUMN('1-DATA'!O454)),ROUND(INDEX('1-DATA'!$1:$1048576,IF(OR($B456="STD. DEVIATION",$C$1=1),$A456,$A456+1),COLUMN('1-DATA'!O454)),IF($B456="STD. DEVIATION",2,$F$1))))</f>
        <v/>
      </c>
      <c r="Q456" s="1" t="str">
        <f>IF(OR($B456="",Q$7=""),"",IF($B456="MEANS",INDEX('1-DATA'!$1:$1048576,$A455-1,COLUMN('1-DATA'!P454)),ROUND(INDEX('1-DATA'!$1:$1048576,IF(OR($B456="STD. DEVIATION",$C$1=1),$A456,$A456+1),COLUMN('1-DATA'!P454)),IF($B456="STD. DEVIATION",2,$F$1))))</f>
        <v/>
      </c>
      <c r="R456" s="1" t="str">
        <f>IF(OR($B456="",R$7=""),"",IF($B456="MEANS",INDEX('1-DATA'!$1:$1048576,$A455-1,COLUMN('1-DATA'!Q454)),ROUND(INDEX('1-DATA'!$1:$1048576,IF(OR($B456="STD. DEVIATION",$C$1=1),$A456,$A456+1),COLUMN('1-DATA'!Q454)),IF($B456="STD. DEVIATION",2,$F$1))))</f>
        <v/>
      </c>
      <c r="S456" s="1" t="str">
        <f>IF(OR($B456="",S$7=""),"",IF($B456="MEANS",INDEX('1-DATA'!$1:$1048576,$A455-1,COLUMN('1-DATA'!R454)),ROUND(INDEX('1-DATA'!$1:$1048576,IF(OR($B456="STD. DEVIATION",$C$1=1),$A456,$A456+1),COLUMN('1-DATA'!R454)),IF($B456="STD. DEVIATION",2,$F$1))))</f>
        <v/>
      </c>
      <c r="T456" s="1" t="str">
        <f>IF(OR($B456="",T$7=""),"",IF($B456="MEANS",INDEX('1-DATA'!$1:$1048576,$A455-1,COLUMN('1-DATA'!S454)),ROUND(INDEX('1-DATA'!$1:$1048576,IF(OR($B456="STD. DEVIATION",$C$1=1),$A456,$A456+1),COLUMN('1-DATA'!S454)),IF($B456="STD. DEVIATION",2,$F$1))))</f>
        <v/>
      </c>
      <c r="U456" s="1" t="str">
        <f>IF(OR($B456="",U$7=""),"",IF($B456="MEANS",INDEX('1-DATA'!$1:$1048576,$A455-1,COLUMN('1-DATA'!T454)),ROUND(INDEX('1-DATA'!$1:$1048576,IF(OR($B456="STD. DEVIATION",$C$1=1),$A456,$A456+1),COLUMN('1-DATA'!T454)),IF($B456="STD. DEVIATION",2,$F$1))))</f>
        <v/>
      </c>
      <c r="V456" s="1" t="str">
        <f>IF(OR($B456="",V$7=""),"",IF($B456="MEANS",INDEX('1-DATA'!$1:$1048576,$A455-1,COLUMN('1-DATA'!U454)),ROUND(INDEX('1-DATA'!$1:$1048576,IF(OR($B456="STD. DEVIATION",$C$1=1),$A456,$A456+1),COLUMN('1-DATA'!U454)),IF($B456="STD. DEVIATION",2,$F$1))))</f>
        <v/>
      </c>
      <c r="W456" s="1" t="str">
        <f>IF(OR($B456="",W$7=""),"",IF($B456="MEANS",INDEX('1-DATA'!$1:$1048576,$A455-1,COLUMN('1-DATA'!V454)),ROUND(INDEX('1-DATA'!$1:$1048576,IF(OR($B456="STD. DEVIATION",$C$1=1),$A456,$A456+1),COLUMN('1-DATA'!V454)),IF($B456="STD. DEVIATION",2,$F$1))))</f>
        <v/>
      </c>
      <c r="X456" s="1" t="str">
        <f>IF(OR($B456="",X$7=""),"",IF($B456="MEANS",INDEX('1-DATA'!$1:$1048576,$A455-1,COLUMN('1-DATA'!W454)),ROUND(INDEX('1-DATA'!$1:$1048576,IF(OR($B456="STD. DEVIATION",$C$1=1),$A456,$A456+1),COLUMN('1-DATA'!W454)),IF($B456="STD. DEVIATION",2,$F$1))))</f>
        <v/>
      </c>
      <c r="Y456" s="1" t="str">
        <f>IF(OR($B456="",Y$7=""),"",IF($B456="MEANS",INDEX('1-DATA'!$1:$1048576,$A455-1,COLUMN('1-DATA'!X454)),ROUND(INDEX('1-DATA'!$1:$1048576,IF(OR($B456="STD. DEVIATION",$C$1=1),$A456,$A456+1),COLUMN('1-DATA'!X454)),IF($B456="STD. DEVIATION",2,$F$1))))</f>
        <v/>
      </c>
      <c r="Z456" s="1" t="str">
        <f>IF(OR($B456="",Z$7=""),"",IF($B456="MEANS",INDEX('1-DATA'!$1:$1048576,$A455-1,COLUMN('1-DATA'!Y454)),ROUND(INDEX('1-DATA'!$1:$1048576,IF(OR($B456="STD. DEVIATION",$C$1=1),$A456,$A456+1),COLUMN('1-DATA'!Y454)),IF($B456="STD. DEVIATION",2,$F$1))))</f>
        <v/>
      </c>
      <c r="AA456" s="1" t="str">
        <f>IF(OR($B456="",AA$7=""),"",IF($B456="MEANS",INDEX('1-DATA'!$1:$1048576,$A455-1,COLUMN('1-DATA'!Z454)),ROUND(INDEX('1-DATA'!$1:$1048576,IF(OR($B456="STD. DEVIATION",$C$1=1),$A456,$A456+1),COLUMN('1-DATA'!Z454)),IF($B456="STD. DEVIATION",2,$F$1))))</f>
        <v/>
      </c>
      <c r="AB456" s="1" t="str">
        <f>IF(OR($B456="",AB$7=""),"",IF($B456="MEANS",INDEX('1-DATA'!$1:$1048576,$A455-1,COLUMN('1-DATA'!AA454)),ROUND(INDEX('1-DATA'!$1:$1048576,IF(OR($B456="STD. DEVIATION",$C$1=1),$A456,$A456+1),COLUMN('1-DATA'!AA454)),IF($B456="STD. DEVIATION",2,$F$1))))</f>
        <v/>
      </c>
      <c r="AC456" s="1" t="str">
        <f>IF(OR($B456="",AC$7=""),"",IF($B456="MEANS",INDEX('1-DATA'!$1:$1048576,$A455-1,COLUMN('1-DATA'!AB454)),ROUND(INDEX('1-DATA'!$1:$1048576,IF(OR($B456="STD. DEVIATION",$C$1=1),$A456,$A456+1),COLUMN('1-DATA'!AB454)),IF($B456="STD. DEVIATION",2,$F$1))))</f>
        <v/>
      </c>
      <c r="AD456" s="1" t="str">
        <f>IF(OR($B456="",AD$7=""),"",IF($B456="MEANS",INDEX('1-DATA'!$1:$1048576,$A455-1,COLUMN('1-DATA'!AC454)),ROUND(INDEX('1-DATA'!$1:$1048576,IF(OR($B456="STD. DEVIATION",$C$1=1),$A456,$A456+1),COLUMN('1-DATA'!AC454)),IF($B456="STD. DEVIATION",2,$F$1))))</f>
        <v/>
      </c>
      <c r="AE456" s="1" t="str">
        <f>IF(OR($B456="",AE$7=""),"",IF($B456="MEANS",INDEX('1-DATA'!$1:$1048576,$A455-1,COLUMN('1-DATA'!AD454)),ROUND(INDEX('1-DATA'!$1:$1048576,IF(OR($B456="STD. DEVIATION",$C$1=1),$A456,$A456+1),COLUMN('1-DATA'!AD454)),IF($B456="STD. DEVIATION",2,$F$1))))</f>
        <v/>
      </c>
      <c r="AF456" s="1" t="str">
        <f>IF(OR($B456="",AF$7=""),"",IF($B456="MEANS",INDEX('1-DATA'!$1:$1048576,$A455-1,COLUMN('1-DATA'!AE454)),ROUND(INDEX('1-DATA'!$1:$1048576,IF(OR($B456="STD. DEVIATION",$C$1=1),$A456,$A456+1),COLUMN('1-DATA'!AE454)),IF($B456="STD. DEVIATION",2,$F$1))))</f>
        <v/>
      </c>
      <c r="AG456" s="1" t="str">
        <f>IF(OR($B456="",AG$7=""),"",IF($B456="MEANS",INDEX('1-DATA'!$1:$1048576,$A455-1,COLUMN('1-DATA'!AF454)),ROUND(INDEX('1-DATA'!$1:$1048576,IF(OR($B456="STD. DEVIATION",$C$1=1),$A456,$A456+1),COLUMN('1-DATA'!AF454)),IF($B456="STD. DEVIATION",2,$F$1))))</f>
        <v/>
      </c>
      <c r="AH456" s="1" t="str">
        <f>IF(OR($B456="",AH$7=""),"",IF($B456="MEANS",INDEX('1-DATA'!$1:$1048576,$A455-1,COLUMN('1-DATA'!AG454)),ROUND(INDEX('1-DATA'!$1:$1048576,IF(OR($B456="STD. DEVIATION",$C$1=1),$A456,$A456+1),COLUMN('1-DATA'!AG454)),IF($B456="STD. DEVIATION",2,$F$1))))</f>
        <v/>
      </c>
      <c r="AI456" s="1" t="str">
        <f>IF(OR($B456="",AI$7=""),"",IF($B456="MEANS",INDEX('1-DATA'!$1:$1048576,$A455-1,COLUMN('1-DATA'!AH454)),ROUND(INDEX('1-DATA'!$1:$1048576,IF(OR($B456="STD. DEVIATION",$C$1=1),$A456,$A456+1),COLUMN('1-DATA'!AH454)),IF($B456="STD. DEVIATION",2,$F$1))))</f>
        <v/>
      </c>
      <c r="AJ456" s="1" t="str">
        <f>IF(OR($B456="",AJ$7=""),"",IF($B456="MEANS",INDEX('1-DATA'!$1:$1048576,$A455-1,COLUMN('1-DATA'!AI454)),ROUND(INDEX('1-DATA'!$1:$1048576,IF(OR($B456="STD. DEVIATION",$C$1=1),$A456,$A456+1),COLUMN('1-DATA'!AI454)),IF($B456="STD. DEVIATION",2,$F$1))))</f>
        <v/>
      </c>
      <c r="AK456" s="1" t="str">
        <f>IF(OR($B456="",AK$7=""),"",IF($B456="MEANS",INDEX('1-DATA'!$1:$1048576,$A455-1,COLUMN('1-DATA'!AJ454)),ROUND(INDEX('1-DATA'!$1:$1048576,IF(OR($B456="STD. DEVIATION",$C$1=1),$A456,$A456+1),COLUMN('1-DATA'!AJ454)),IF($B456="STD. DEVIATION",2,$F$1))))</f>
        <v/>
      </c>
      <c r="AL456" s="1" t="str">
        <f>IF(OR($B456="",AL$7=""),"",IF($B456="MEANS",INDEX('1-DATA'!$1:$1048576,$A455-1,COLUMN('1-DATA'!AK454)),ROUND(INDEX('1-DATA'!$1:$1048576,IF(OR($B456="STD. DEVIATION",$C$1=1),$A456,$A456+1),COLUMN('1-DATA'!AK454)),IF($B456="STD. DEVIATION",2,$F$1))))</f>
        <v/>
      </c>
      <c r="AM456" s="1" t="str">
        <f>IF(OR($B456="",AM$7=""),"",IF($B456="MEANS",INDEX('1-DATA'!$1:$1048576,$A455-1,COLUMN('1-DATA'!AL454)),ROUND(INDEX('1-DATA'!$1:$1048576,IF(OR($B456="STD. DEVIATION",$C$1=1),$A456,$A456+1),COLUMN('1-DATA'!AL454)),IF($B456="STD. DEVIATION",2,$F$1))))</f>
        <v/>
      </c>
      <c r="AN456" s="1" t="str">
        <f>IF(OR($B456="",AN$7=""),"",IF($B456="MEANS",INDEX('1-DATA'!$1:$1048576,$A455-1,COLUMN('1-DATA'!AM454)),ROUND(INDEX('1-DATA'!$1:$1048576,IF(OR($B456="STD. DEVIATION",$C$1=1),$A456,$A456+1),COLUMN('1-DATA'!AM454)),IF($B456="STD. DEVIATION",2,$F$1))))</f>
        <v/>
      </c>
      <c r="AO456" s="1" t="str">
        <f>IF(OR($B456="",AO$7=""),"",IF($B456="MEANS",INDEX('1-DATA'!$1:$1048576,$A455-1,COLUMN('1-DATA'!AN454)),ROUND(INDEX('1-DATA'!$1:$1048576,IF(OR($B456="STD. DEVIATION",$C$1=1),$A456,$A456+1),COLUMN('1-DATA'!AN454)),IF($B456="STD. DEVIATION",2,$F$1))))</f>
        <v/>
      </c>
      <c r="AP456" s="1" t="str">
        <f>IF(OR($B456="",AP$7=""),"",IF($B456="MEANS",INDEX('1-DATA'!$1:$1048576,$A455-1,COLUMN('1-DATA'!AO454)),ROUND(INDEX('1-DATA'!$1:$1048576,IF(OR($B456="STD. DEVIATION",$C$1=1),$A456,$A456+1),COLUMN('1-DATA'!AO454)),IF($B456="STD. DEVIATION",2,$F$1))))</f>
        <v/>
      </c>
      <c r="AQ456" s="1" t="str">
        <f>IF(OR($B456="",AQ$7=""),"",IF($B456="MEANS",INDEX('1-DATA'!$1:$1048576,$A455-1,COLUMN('1-DATA'!AP454)),ROUND(INDEX('1-DATA'!$1:$1048576,IF(OR($B456="STD. DEVIATION",$C$1=1),$A456,$A456+1),COLUMN('1-DATA'!AP454)),IF($B456="STD. DEVIATION",2,$F$1))))</f>
        <v/>
      </c>
      <c r="AR456" s="1" t="str">
        <f>IF(OR($B456="",AR$7=""),"",IF($B456="MEANS",INDEX('1-DATA'!$1:$1048576,$A455-1,COLUMN('1-DATA'!AQ454)),ROUND(INDEX('1-DATA'!$1:$1048576,IF(OR($B456="STD. DEVIATION",$C$1=1),$A456,$A456+1),COLUMN('1-DATA'!AQ454)),IF($B456="STD. DEVIATION",2,$F$1))))</f>
        <v/>
      </c>
      <c r="AS456" s="1" t="str">
        <f>IF(OR($B456="",AS$7=""),"",IF($B456="MEANS",INDEX('1-DATA'!$1:$1048576,$A455-1,COLUMN('1-DATA'!AR454)),ROUND(INDEX('1-DATA'!$1:$1048576,IF(OR($B456="STD. DEVIATION",$C$1=1),$A456,$A456+1),COLUMN('1-DATA'!AR454)),IF($B456="STD. DEVIATION",2,$F$1))))</f>
        <v/>
      </c>
      <c r="AT456" s="1" t="str">
        <f>IF(OR($B456="",AT$7=""),"",IF($B456="MEANS",INDEX('1-DATA'!$1:$1048576,$A455-1,COLUMN('1-DATA'!AS454)),ROUND(INDEX('1-DATA'!$1:$1048576,IF(OR($B456="STD. DEVIATION",$C$1=1),$A456,$A456+1),COLUMN('1-DATA'!AS454)),IF($B456="STD. DEVIATION",2,$F$1))))</f>
        <v/>
      </c>
      <c r="AU456" s="1" t="str">
        <f>IF(OR($B456="",AU$7=""),"",IF($B456="MEANS",INDEX('1-DATA'!$1:$1048576,$A455-1,COLUMN('1-DATA'!AT454)),ROUND(INDEX('1-DATA'!$1:$1048576,IF(OR($B456="STD. DEVIATION",$C$1=1),$A456,$A456+1),COLUMN('1-DATA'!AT454)),IF($B456="STD. DEVIATION",2,$F$1))))</f>
        <v/>
      </c>
      <c r="AV456" s="1" t="str">
        <f>IF(OR($B456="",AV$7=""),"",IF($B456="MEANS",INDEX('1-DATA'!$1:$1048576,$A455-1,COLUMN('1-DATA'!AU454)),ROUND(INDEX('1-DATA'!$1:$1048576,IF(OR($B456="STD. DEVIATION",$C$1=1),$A456,$A456+1),COLUMN('1-DATA'!AU454)),IF($B456="STD. DEVIATION",2,$F$1))))</f>
        <v/>
      </c>
      <c r="AW456" s="1" t="str">
        <f>IF(OR($B456="",AW$7=""),"",IF($B456="MEANS",INDEX('1-DATA'!$1:$1048576,$A455-1,COLUMN('1-DATA'!AV454)),ROUND(INDEX('1-DATA'!$1:$1048576,IF(OR($B456="STD. DEVIATION",$C$1=1),$A456,$A456+1),COLUMN('1-DATA'!AV454)),IF($B456="STD. DEVIATION",2,$F$1))))</f>
        <v/>
      </c>
      <c r="AX456" s="1" t="str">
        <f>IF(OR($B456="",AX$7=""),"",IF($B456="MEANS",INDEX('1-DATA'!$1:$1048576,$A455-1,COLUMN('1-DATA'!AW454)),ROUND(INDEX('1-DATA'!$1:$1048576,IF(OR($B456="STD. DEVIATION",$C$1=1),$A456,$A456+1),COLUMN('1-DATA'!AW454)),IF($B456="STD. DEVIATION",2,$F$1))))</f>
        <v/>
      </c>
      <c r="AY456" s="1" t="str">
        <f>IF(OR($B456="",AY$7=""),"",IF($B456="MEANS",INDEX('1-DATA'!$1:$1048576,$A455-1,COLUMN('1-DATA'!AX454)),ROUND(INDEX('1-DATA'!$1:$1048576,IF(OR($B456="STD. DEVIATION",$C$1=1),$A456,$A456+1),COLUMN('1-DATA'!AX454)),IF($B456="STD. DEVIATION",2,$F$1))))</f>
        <v/>
      </c>
      <c r="AZ456" s="1" t="str">
        <f>IF(OR($B456="",AZ$7=""),"",IF($B456="MEANS",INDEX('1-DATA'!$1:$1048576,$A455-1,COLUMN('1-DATA'!AY454)),ROUND(INDEX('1-DATA'!$1:$1048576,IF(OR($B456="STD. DEVIATION",$C$1=1),$A456,$A456+1),COLUMN('1-DATA'!AY454)),IF($B456="STD. DEVIATION",2,$F$1))))</f>
        <v/>
      </c>
    </row>
    <row r="457" spans="1:52" x14ac:dyDescent="0.25">
      <c r="A457" s="11">
        <f t="shared" si="7"/>
        <v>1357</v>
      </c>
      <c r="B457" s="1" t="str">
        <f>IF(B456="STD. DEVIATION",INDEX('1-DATA'!$1:$1048576,$A456-1,1),IF(INDEX('1-DATA'!$1:$1048576,$A457,1)&lt;&gt;"",INDEX('1-DATA'!$1:$1048576,$A457,1),""))</f>
        <v/>
      </c>
      <c r="C457" s="1" t="str">
        <f>IF(OR($B457="",C$7=""),"",IF($B457="MEANS",INDEX('1-DATA'!$1:$1048576,$A456-1,COLUMN('1-DATA'!B455)),ROUND(INDEX('1-DATA'!$1:$1048576,IF(OR($B457="STD. DEVIATION",$C$1=1),$A457,$A457+1),COLUMN('1-DATA'!B455)),IF($B457="STD. DEVIATION",2,$F$1))))</f>
        <v/>
      </c>
      <c r="D457" s="1" t="str">
        <f>IF(OR($B457="",D$7=""),"",IF($B457="MEANS",INDEX('1-DATA'!$1:$1048576,$A456-1,COLUMN('1-DATA'!C455)),ROUND(INDEX('1-DATA'!$1:$1048576,IF(OR($B457="STD. DEVIATION",$C$1=1),$A457,$A457+1),COLUMN('1-DATA'!C455)),IF($B457="STD. DEVIATION",2,$F$1))))</f>
        <v/>
      </c>
      <c r="E457" s="1" t="str">
        <f>IF(OR($B457="",E$7=""),"",IF($B457="MEANS",INDEX('1-DATA'!$1:$1048576,$A456-1,COLUMN('1-DATA'!D455)),ROUND(INDEX('1-DATA'!$1:$1048576,IF(OR($B457="STD. DEVIATION",$C$1=1),$A457,$A457+1),COLUMN('1-DATA'!D455)),IF($B457="STD. DEVIATION",2,$F$1))))</f>
        <v/>
      </c>
      <c r="F457" s="1" t="str">
        <f>IF(OR($B457="",F$7=""),"",IF($B457="MEANS",INDEX('1-DATA'!$1:$1048576,$A456-1,COLUMN('1-DATA'!E455)),ROUND(INDEX('1-DATA'!$1:$1048576,IF(OR($B457="STD. DEVIATION",$C$1=1),$A457,$A457+1),COLUMN('1-DATA'!E455)),IF($B457="STD. DEVIATION",2,$F$1))))</f>
        <v/>
      </c>
      <c r="G457" s="1" t="str">
        <f>IF(OR($B457="",G$7=""),"",IF($B457="MEANS",INDEX('1-DATA'!$1:$1048576,$A456-1,COLUMN('1-DATA'!F455)),ROUND(INDEX('1-DATA'!$1:$1048576,IF(OR($B457="STD. DEVIATION",$C$1=1),$A457,$A457+1),COLUMN('1-DATA'!F455)),IF($B457="STD. DEVIATION",2,$F$1))))</f>
        <v/>
      </c>
      <c r="H457" s="1" t="str">
        <f>IF(OR($B457="",H$7=""),"",IF($B457="MEANS",INDEX('1-DATA'!$1:$1048576,$A456-1,COLUMN('1-DATA'!G455)),ROUND(INDEX('1-DATA'!$1:$1048576,IF(OR($B457="STD. DEVIATION",$C$1=1),$A457,$A457+1),COLUMN('1-DATA'!G455)),IF($B457="STD. DEVIATION",2,$F$1))))</f>
        <v/>
      </c>
      <c r="I457" s="1" t="str">
        <f>IF(OR($B457="",I$7=""),"",IF($B457="MEANS",INDEX('1-DATA'!$1:$1048576,$A456-1,COLUMN('1-DATA'!H455)),ROUND(INDEX('1-DATA'!$1:$1048576,IF(OR($B457="STD. DEVIATION",$C$1=1),$A457,$A457+1),COLUMN('1-DATA'!H455)),IF($B457="STD. DEVIATION",2,$F$1))))</f>
        <v/>
      </c>
      <c r="J457" s="1" t="str">
        <f>IF(OR($B457="",J$7=""),"",IF($B457="MEANS",INDEX('1-DATA'!$1:$1048576,$A456-1,COLUMN('1-DATA'!I455)),ROUND(INDEX('1-DATA'!$1:$1048576,IF(OR($B457="STD. DEVIATION",$C$1=1),$A457,$A457+1),COLUMN('1-DATA'!I455)),IF($B457="STD. DEVIATION",2,$F$1))))</f>
        <v/>
      </c>
      <c r="K457" s="1" t="str">
        <f>IF(OR($B457="",K$7=""),"",IF($B457="MEANS",INDEX('1-DATA'!$1:$1048576,$A456-1,COLUMN('1-DATA'!J455)),ROUND(INDEX('1-DATA'!$1:$1048576,IF(OR($B457="STD. DEVIATION",$C$1=1),$A457,$A457+1),COLUMN('1-DATA'!J455)),IF($B457="STD. DEVIATION",2,$F$1))))</f>
        <v/>
      </c>
      <c r="L457" s="1" t="str">
        <f>IF(OR($B457="",L$7=""),"",IF($B457="MEANS",INDEX('1-DATA'!$1:$1048576,$A456-1,COLUMN('1-DATA'!K455)),ROUND(INDEX('1-DATA'!$1:$1048576,IF(OR($B457="STD. DEVIATION",$C$1=1),$A457,$A457+1),COLUMN('1-DATA'!K455)),IF($B457="STD. DEVIATION",2,$F$1))))</f>
        <v/>
      </c>
      <c r="M457" s="1" t="str">
        <f>IF(OR($B457="",M$7=""),"",IF($B457="MEANS",INDEX('1-DATA'!$1:$1048576,$A456-1,COLUMN('1-DATA'!L455)),ROUND(INDEX('1-DATA'!$1:$1048576,IF(OR($B457="STD. DEVIATION",$C$1=1),$A457,$A457+1),COLUMN('1-DATA'!L455)),IF($B457="STD. DEVIATION",2,$F$1))))</f>
        <v/>
      </c>
      <c r="N457" s="1" t="str">
        <f>IF(OR($B457="",N$7=""),"",IF($B457="MEANS",INDEX('1-DATA'!$1:$1048576,$A456-1,COLUMN('1-DATA'!M455)),ROUND(INDEX('1-DATA'!$1:$1048576,IF(OR($B457="STD. DEVIATION",$C$1=1),$A457,$A457+1),COLUMN('1-DATA'!M455)),IF($B457="STD. DEVIATION",2,$F$1))))</f>
        <v/>
      </c>
      <c r="O457" s="1" t="str">
        <f>IF(OR($B457="",O$7=""),"",IF($B457="MEANS",INDEX('1-DATA'!$1:$1048576,$A456-1,COLUMN('1-DATA'!N455)),ROUND(INDEX('1-DATA'!$1:$1048576,IF(OR($B457="STD. DEVIATION",$C$1=1),$A457,$A457+1),COLUMN('1-DATA'!N455)),IF($B457="STD. DEVIATION",2,$F$1))))</f>
        <v/>
      </c>
      <c r="P457" s="1" t="str">
        <f>IF(OR($B457="",P$7=""),"",IF($B457="MEANS",INDEX('1-DATA'!$1:$1048576,$A456-1,COLUMN('1-DATA'!O455)),ROUND(INDEX('1-DATA'!$1:$1048576,IF(OR($B457="STD. DEVIATION",$C$1=1),$A457,$A457+1),COLUMN('1-DATA'!O455)),IF($B457="STD. DEVIATION",2,$F$1))))</f>
        <v/>
      </c>
      <c r="Q457" s="1" t="str">
        <f>IF(OR($B457="",Q$7=""),"",IF($B457="MEANS",INDEX('1-DATA'!$1:$1048576,$A456-1,COLUMN('1-DATA'!P455)),ROUND(INDEX('1-DATA'!$1:$1048576,IF(OR($B457="STD. DEVIATION",$C$1=1),$A457,$A457+1),COLUMN('1-DATA'!P455)),IF($B457="STD. DEVIATION",2,$F$1))))</f>
        <v/>
      </c>
      <c r="R457" s="1" t="str">
        <f>IF(OR($B457="",R$7=""),"",IF($B457="MEANS",INDEX('1-DATA'!$1:$1048576,$A456-1,COLUMN('1-DATA'!Q455)),ROUND(INDEX('1-DATA'!$1:$1048576,IF(OR($B457="STD. DEVIATION",$C$1=1),$A457,$A457+1),COLUMN('1-DATA'!Q455)),IF($B457="STD. DEVIATION",2,$F$1))))</f>
        <v/>
      </c>
      <c r="S457" s="1" t="str">
        <f>IF(OR($B457="",S$7=""),"",IF($B457="MEANS",INDEX('1-DATA'!$1:$1048576,$A456-1,COLUMN('1-DATA'!R455)),ROUND(INDEX('1-DATA'!$1:$1048576,IF(OR($B457="STD. DEVIATION",$C$1=1),$A457,$A457+1),COLUMN('1-DATA'!R455)),IF($B457="STD. DEVIATION",2,$F$1))))</f>
        <v/>
      </c>
      <c r="T457" s="1" t="str">
        <f>IF(OR($B457="",T$7=""),"",IF($B457="MEANS",INDEX('1-DATA'!$1:$1048576,$A456-1,COLUMN('1-DATA'!S455)),ROUND(INDEX('1-DATA'!$1:$1048576,IF(OR($B457="STD. DEVIATION",$C$1=1),$A457,$A457+1),COLUMN('1-DATA'!S455)),IF($B457="STD. DEVIATION",2,$F$1))))</f>
        <v/>
      </c>
      <c r="U457" s="1" t="str">
        <f>IF(OR($B457="",U$7=""),"",IF($B457="MEANS",INDEX('1-DATA'!$1:$1048576,$A456-1,COLUMN('1-DATA'!T455)),ROUND(INDEX('1-DATA'!$1:$1048576,IF(OR($B457="STD. DEVIATION",$C$1=1),$A457,$A457+1),COLUMN('1-DATA'!T455)),IF($B457="STD. DEVIATION",2,$F$1))))</f>
        <v/>
      </c>
      <c r="V457" s="1" t="str">
        <f>IF(OR($B457="",V$7=""),"",IF($B457="MEANS",INDEX('1-DATA'!$1:$1048576,$A456-1,COLUMN('1-DATA'!U455)),ROUND(INDEX('1-DATA'!$1:$1048576,IF(OR($B457="STD. DEVIATION",$C$1=1),$A457,$A457+1),COLUMN('1-DATA'!U455)),IF($B457="STD. DEVIATION",2,$F$1))))</f>
        <v/>
      </c>
      <c r="W457" s="1" t="str">
        <f>IF(OR($B457="",W$7=""),"",IF($B457="MEANS",INDEX('1-DATA'!$1:$1048576,$A456-1,COLUMN('1-DATA'!V455)),ROUND(INDEX('1-DATA'!$1:$1048576,IF(OR($B457="STD. DEVIATION",$C$1=1),$A457,$A457+1),COLUMN('1-DATA'!V455)),IF($B457="STD. DEVIATION",2,$F$1))))</f>
        <v/>
      </c>
      <c r="X457" s="1" t="str">
        <f>IF(OR($B457="",X$7=""),"",IF($B457="MEANS",INDEX('1-DATA'!$1:$1048576,$A456-1,COLUMN('1-DATA'!W455)),ROUND(INDEX('1-DATA'!$1:$1048576,IF(OR($B457="STD. DEVIATION",$C$1=1),$A457,$A457+1),COLUMN('1-DATA'!W455)),IF($B457="STD. DEVIATION",2,$F$1))))</f>
        <v/>
      </c>
      <c r="Y457" s="1" t="str">
        <f>IF(OR($B457="",Y$7=""),"",IF($B457="MEANS",INDEX('1-DATA'!$1:$1048576,$A456-1,COLUMN('1-DATA'!X455)),ROUND(INDEX('1-DATA'!$1:$1048576,IF(OR($B457="STD. DEVIATION",$C$1=1),$A457,$A457+1),COLUMN('1-DATA'!X455)),IF($B457="STD. DEVIATION",2,$F$1))))</f>
        <v/>
      </c>
      <c r="Z457" s="1" t="str">
        <f>IF(OR($B457="",Z$7=""),"",IF($B457="MEANS",INDEX('1-DATA'!$1:$1048576,$A456-1,COLUMN('1-DATA'!Y455)),ROUND(INDEX('1-DATA'!$1:$1048576,IF(OR($B457="STD. DEVIATION",$C$1=1),$A457,$A457+1),COLUMN('1-DATA'!Y455)),IF($B457="STD. DEVIATION",2,$F$1))))</f>
        <v/>
      </c>
      <c r="AA457" s="1" t="str">
        <f>IF(OR($B457="",AA$7=""),"",IF($B457="MEANS",INDEX('1-DATA'!$1:$1048576,$A456-1,COLUMN('1-DATA'!Z455)),ROUND(INDEX('1-DATA'!$1:$1048576,IF(OR($B457="STD. DEVIATION",$C$1=1),$A457,$A457+1),COLUMN('1-DATA'!Z455)),IF($B457="STD. DEVIATION",2,$F$1))))</f>
        <v/>
      </c>
      <c r="AB457" s="1" t="str">
        <f>IF(OR($B457="",AB$7=""),"",IF($B457="MEANS",INDEX('1-DATA'!$1:$1048576,$A456-1,COLUMN('1-DATA'!AA455)),ROUND(INDEX('1-DATA'!$1:$1048576,IF(OR($B457="STD. DEVIATION",$C$1=1),$A457,$A457+1),COLUMN('1-DATA'!AA455)),IF($B457="STD. DEVIATION",2,$F$1))))</f>
        <v/>
      </c>
      <c r="AC457" s="1" t="str">
        <f>IF(OR($B457="",AC$7=""),"",IF($B457="MEANS",INDEX('1-DATA'!$1:$1048576,$A456-1,COLUMN('1-DATA'!AB455)),ROUND(INDEX('1-DATA'!$1:$1048576,IF(OR($B457="STD. DEVIATION",$C$1=1),$A457,$A457+1),COLUMN('1-DATA'!AB455)),IF($B457="STD. DEVIATION",2,$F$1))))</f>
        <v/>
      </c>
      <c r="AD457" s="1" t="str">
        <f>IF(OR($B457="",AD$7=""),"",IF($B457="MEANS",INDEX('1-DATA'!$1:$1048576,$A456-1,COLUMN('1-DATA'!AC455)),ROUND(INDEX('1-DATA'!$1:$1048576,IF(OR($B457="STD. DEVIATION",$C$1=1),$A457,$A457+1),COLUMN('1-DATA'!AC455)),IF($B457="STD. DEVIATION",2,$F$1))))</f>
        <v/>
      </c>
      <c r="AE457" s="1" t="str">
        <f>IF(OR($B457="",AE$7=""),"",IF($B457="MEANS",INDEX('1-DATA'!$1:$1048576,$A456-1,COLUMN('1-DATA'!AD455)),ROUND(INDEX('1-DATA'!$1:$1048576,IF(OR($B457="STD. DEVIATION",$C$1=1),$A457,$A457+1),COLUMN('1-DATA'!AD455)),IF($B457="STD. DEVIATION",2,$F$1))))</f>
        <v/>
      </c>
      <c r="AF457" s="1" t="str">
        <f>IF(OR($B457="",AF$7=""),"",IF($B457="MEANS",INDEX('1-DATA'!$1:$1048576,$A456-1,COLUMN('1-DATA'!AE455)),ROUND(INDEX('1-DATA'!$1:$1048576,IF(OR($B457="STD. DEVIATION",$C$1=1),$A457,$A457+1),COLUMN('1-DATA'!AE455)),IF($B457="STD. DEVIATION",2,$F$1))))</f>
        <v/>
      </c>
      <c r="AG457" s="1" t="str">
        <f>IF(OR($B457="",AG$7=""),"",IF($B457="MEANS",INDEX('1-DATA'!$1:$1048576,$A456-1,COLUMN('1-DATA'!AF455)),ROUND(INDEX('1-DATA'!$1:$1048576,IF(OR($B457="STD. DEVIATION",$C$1=1),$A457,$A457+1),COLUMN('1-DATA'!AF455)),IF($B457="STD. DEVIATION",2,$F$1))))</f>
        <v/>
      </c>
      <c r="AH457" s="1" t="str">
        <f>IF(OR($B457="",AH$7=""),"",IF($B457="MEANS",INDEX('1-DATA'!$1:$1048576,$A456-1,COLUMN('1-DATA'!AG455)),ROUND(INDEX('1-DATA'!$1:$1048576,IF(OR($B457="STD. DEVIATION",$C$1=1),$A457,$A457+1),COLUMN('1-DATA'!AG455)),IF($B457="STD. DEVIATION",2,$F$1))))</f>
        <v/>
      </c>
      <c r="AI457" s="1" t="str">
        <f>IF(OR($B457="",AI$7=""),"",IF($B457="MEANS",INDEX('1-DATA'!$1:$1048576,$A456-1,COLUMN('1-DATA'!AH455)),ROUND(INDEX('1-DATA'!$1:$1048576,IF(OR($B457="STD. DEVIATION",$C$1=1),$A457,$A457+1),COLUMN('1-DATA'!AH455)),IF($B457="STD. DEVIATION",2,$F$1))))</f>
        <v/>
      </c>
      <c r="AJ457" s="1" t="str">
        <f>IF(OR($B457="",AJ$7=""),"",IF($B457="MEANS",INDEX('1-DATA'!$1:$1048576,$A456-1,COLUMN('1-DATA'!AI455)),ROUND(INDEX('1-DATA'!$1:$1048576,IF(OR($B457="STD. DEVIATION",$C$1=1),$A457,$A457+1),COLUMN('1-DATA'!AI455)),IF($B457="STD. DEVIATION",2,$F$1))))</f>
        <v/>
      </c>
      <c r="AK457" s="1" t="str">
        <f>IF(OR($B457="",AK$7=""),"",IF($B457="MEANS",INDEX('1-DATA'!$1:$1048576,$A456-1,COLUMN('1-DATA'!AJ455)),ROUND(INDEX('1-DATA'!$1:$1048576,IF(OR($B457="STD. DEVIATION",$C$1=1),$A457,$A457+1),COLUMN('1-DATA'!AJ455)),IF($B457="STD. DEVIATION",2,$F$1))))</f>
        <v/>
      </c>
      <c r="AL457" s="1" t="str">
        <f>IF(OR($B457="",AL$7=""),"",IF($B457="MEANS",INDEX('1-DATA'!$1:$1048576,$A456-1,COLUMN('1-DATA'!AK455)),ROUND(INDEX('1-DATA'!$1:$1048576,IF(OR($B457="STD. DEVIATION",$C$1=1),$A457,$A457+1),COLUMN('1-DATA'!AK455)),IF($B457="STD. DEVIATION",2,$F$1))))</f>
        <v/>
      </c>
      <c r="AM457" s="1" t="str">
        <f>IF(OR($B457="",AM$7=""),"",IF($B457="MEANS",INDEX('1-DATA'!$1:$1048576,$A456-1,COLUMN('1-DATA'!AL455)),ROUND(INDEX('1-DATA'!$1:$1048576,IF(OR($B457="STD. DEVIATION",$C$1=1),$A457,$A457+1),COLUMN('1-DATA'!AL455)),IF($B457="STD. DEVIATION",2,$F$1))))</f>
        <v/>
      </c>
      <c r="AN457" s="1" t="str">
        <f>IF(OR($B457="",AN$7=""),"",IF($B457="MEANS",INDEX('1-DATA'!$1:$1048576,$A456-1,COLUMN('1-DATA'!AM455)),ROUND(INDEX('1-DATA'!$1:$1048576,IF(OR($B457="STD. DEVIATION",$C$1=1),$A457,$A457+1),COLUMN('1-DATA'!AM455)),IF($B457="STD. DEVIATION",2,$F$1))))</f>
        <v/>
      </c>
      <c r="AO457" s="1" t="str">
        <f>IF(OR($B457="",AO$7=""),"",IF($B457="MEANS",INDEX('1-DATA'!$1:$1048576,$A456-1,COLUMN('1-DATA'!AN455)),ROUND(INDEX('1-DATA'!$1:$1048576,IF(OR($B457="STD. DEVIATION",$C$1=1),$A457,$A457+1),COLUMN('1-DATA'!AN455)),IF($B457="STD. DEVIATION",2,$F$1))))</f>
        <v/>
      </c>
      <c r="AP457" s="1" t="str">
        <f>IF(OR($B457="",AP$7=""),"",IF($B457="MEANS",INDEX('1-DATA'!$1:$1048576,$A456-1,COLUMN('1-DATA'!AO455)),ROUND(INDEX('1-DATA'!$1:$1048576,IF(OR($B457="STD. DEVIATION",$C$1=1),$A457,$A457+1),COLUMN('1-DATA'!AO455)),IF($B457="STD. DEVIATION",2,$F$1))))</f>
        <v/>
      </c>
      <c r="AQ457" s="1" t="str">
        <f>IF(OR($B457="",AQ$7=""),"",IF($B457="MEANS",INDEX('1-DATA'!$1:$1048576,$A456-1,COLUMN('1-DATA'!AP455)),ROUND(INDEX('1-DATA'!$1:$1048576,IF(OR($B457="STD. DEVIATION",$C$1=1),$A457,$A457+1),COLUMN('1-DATA'!AP455)),IF($B457="STD. DEVIATION",2,$F$1))))</f>
        <v/>
      </c>
      <c r="AR457" s="1" t="str">
        <f>IF(OR($B457="",AR$7=""),"",IF($B457="MEANS",INDEX('1-DATA'!$1:$1048576,$A456-1,COLUMN('1-DATA'!AQ455)),ROUND(INDEX('1-DATA'!$1:$1048576,IF(OR($B457="STD. DEVIATION",$C$1=1),$A457,$A457+1),COLUMN('1-DATA'!AQ455)),IF($B457="STD. DEVIATION",2,$F$1))))</f>
        <v/>
      </c>
      <c r="AS457" s="1" t="str">
        <f>IF(OR($B457="",AS$7=""),"",IF($B457="MEANS",INDEX('1-DATA'!$1:$1048576,$A456-1,COLUMN('1-DATA'!AR455)),ROUND(INDEX('1-DATA'!$1:$1048576,IF(OR($B457="STD. DEVIATION",$C$1=1),$A457,$A457+1),COLUMN('1-DATA'!AR455)),IF($B457="STD. DEVIATION",2,$F$1))))</f>
        <v/>
      </c>
      <c r="AT457" s="1" t="str">
        <f>IF(OR($B457="",AT$7=""),"",IF($B457="MEANS",INDEX('1-DATA'!$1:$1048576,$A456-1,COLUMN('1-DATA'!AS455)),ROUND(INDEX('1-DATA'!$1:$1048576,IF(OR($B457="STD. DEVIATION",$C$1=1),$A457,$A457+1),COLUMN('1-DATA'!AS455)),IF($B457="STD. DEVIATION",2,$F$1))))</f>
        <v/>
      </c>
      <c r="AU457" s="1" t="str">
        <f>IF(OR($B457="",AU$7=""),"",IF($B457="MEANS",INDEX('1-DATA'!$1:$1048576,$A456-1,COLUMN('1-DATA'!AT455)),ROUND(INDEX('1-DATA'!$1:$1048576,IF(OR($B457="STD. DEVIATION",$C$1=1),$A457,$A457+1),COLUMN('1-DATA'!AT455)),IF($B457="STD. DEVIATION",2,$F$1))))</f>
        <v/>
      </c>
      <c r="AV457" s="1" t="str">
        <f>IF(OR($B457="",AV$7=""),"",IF($B457="MEANS",INDEX('1-DATA'!$1:$1048576,$A456-1,COLUMN('1-DATA'!AU455)),ROUND(INDEX('1-DATA'!$1:$1048576,IF(OR($B457="STD. DEVIATION",$C$1=1),$A457,$A457+1),COLUMN('1-DATA'!AU455)),IF($B457="STD. DEVIATION",2,$F$1))))</f>
        <v/>
      </c>
      <c r="AW457" s="1" t="str">
        <f>IF(OR($B457="",AW$7=""),"",IF($B457="MEANS",INDEX('1-DATA'!$1:$1048576,$A456-1,COLUMN('1-DATA'!AV455)),ROUND(INDEX('1-DATA'!$1:$1048576,IF(OR($B457="STD. DEVIATION",$C$1=1),$A457,$A457+1),COLUMN('1-DATA'!AV455)),IF($B457="STD. DEVIATION",2,$F$1))))</f>
        <v/>
      </c>
      <c r="AX457" s="1" t="str">
        <f>IF(OR($B457="",AX$7=""),"",IF($B457="MEANS",INDEX('1-DATA'!$1:$1048576,$A456-1,COLUMN('1-DATA'!AW455)),ROUND(INDEX('1-DATA'!$1:$1048576,IF(OR($B457="STD. DEVIATION",$C$1=1),$A457,$A457+1),COLUMN('1-DATA'!AW455)),IF($B457="STD. DEVIATION",2,$F$1))))</f>
        <v/>
      </c>
      <c r="AY457" s="1" t="str">
        <f>IF(OR($B457="",AY$7=""),"",IF($B457="MEANS",INDEX('1-DATA'!$1:$1048576,$A456-1,COLUMN('1-DATA'!AX455)),ROUND(INDEX('1-DATA'!$1:$1048576,IF(OR($B457="STD. DEVIATION",$C$1=1),$A457,$A457+1),COLUMN('1-DATA'!AX455)),IF($B457="STD. DEVIATION",2,$F$1))))</f>
        <v/>
      </c>
      <c r="AZ457" s="1" t="str">
        <f>IF(OR($B457="",AZ$7=""),"",IF($B457="MEANS",INDEX('1-DATA'!$1:$1048576,$A456-1,COLUMN('1-DATA'!AY455)),ROUND(INDEX('1-DATA'!$1:$1048576,IF(OR($B457="STD. DEVIATION",$C$1=1),$A457,$A457+1),COLUMN('1-DATA'!AY455)),IF($B457="STD. DEVIATION",2,$F$1))))</f>
        <v/>
      </c>
    </row>
    <row r="458" spans="1:52" x14ac:dyDescent="0.25">
      <c r="A458" s="11">
        <f t="shared" si="7"/>
        <v>1360</v>
      </c>
      <c r="B458" s="1" t="str">
        <f>IF(B457="STD. DEVIATION",INDEX('1-DATA'!$1:$1048576,$A457-1,1),IF(INDEX('1-DATA'!$1:$1048576,$A458,1)&lt;&gt;"",INDEX('1-DATA'!$1:$1048576,$A458,1),""))</f>
        <v/>
      </c>
      <c r="C458" s="1" t="str">
        <f>IF(OR($B458="",C$7=""),"",IF($B458="MEANS",INDEX('1-DATA'!$1:$1048576,$A457-1,COLUMN('1-DATA'!B456)),ROUND(INDEX('1-DATA'!$1:$1048576,IF(OR($B458="STD. DEVIATION",$C$1=1),$A458,$A458+1),COLUMN('1-DATA'!B456)),IF($B458="STD. DEVIATION",2,$F$1))))</f>
        <v/>
      </c>
      <c r="D458" s="1" t="str">
        <f>IF(OR($B458="",D$7=""),"",IF($B458="MEANS",INDEX('1-DATA'!$1:$1048576,$A457-1,COLUMN('1-DATA'!C456)),ROUND(INDEX('1-DATA'!$1:$1048576,IF(OR($B458="STD. DEVIATION",$C$1=1),$A458,$A458+1),COLUMN('1-DATA'!C456)),IF($B458="STD. DEVIATION",2,$F$1))))</f>
        <v/>
      </c>
      <c r="E458" s="1" t="str">
        <f>IF(OR($B458="",E$7=""),"",IF($B458="MEANS",INDEX('1-DATA'!$1:$1048576,$A457-1,COLUMN('1-DATA'!D456)),ROUND(INDEX('1-DATA'!$1:$1048576,IF(OR($B458="STD. DEVIATION",$C$1=1),$A458,$A458+1),COLUMN('1-DATA'!D456)),IF($B458="STD. DEVIATION",2,$F$1))))</f>
        <v/>
      </c>
      <c r="F458" s="1" t="str">
        <f>IF(OR($B458="",F$7=""),"",IF($B458="MEANS",INDEX('1-DATA'!$1:$1048576,$A457-1,COLUMN('1-DATA'!E456)),ROUND(INDEX('1-DATA'!$1:$1048576,IF(OR($B458="STD. DEVIATION",$C$1=1),$A458,$A458+1),COLUMN('1-DATA'!E456)),IF($B458="STD. DEVIATION",2,$F$1))))</f>
        <v/>
      </c>
      <c r="G458" s="1" t="str">
        <f>IF(OR($B458="",G$7=""),"",IF($B458="MEANS",INDEX('1-DATA'!$1:$1048576,$A457-1,COLUMN('1-DATA'!F456)),ROUND(INDEX('1-DATA'!$1:$1048576,IF(OR($B458="STD. DEVIATION",$C$1=1),$A458,$A458+1),COLUMN('1-DATA'!F456)),IF($B458="STD. DEVIATION",2,$F$1))))</f>
        <v/>
      </c>
      <c r="H458" s="1" t="str">
        <f>IF(OR($B458="",H$7=""),"",IF($B458="MEANS",INDEX('1-DATA'!$1:$1048576,$A457-1,COLUMN('1-DATA'!G456)),ROUND(INDEX('1-DATA'!$1:$1048576,IF(OR($B458="STD. DEVIATION",$C$1=1),$A458,$A458+1),COLUMN('1-DATA'!G456)),IF($B458="STD. DEVIATION",2,$F$1))))</f>
        <v/>
      </c>
      <c r="I458" s="1" t="str">
        <f>IF(OR($B458="",I$7=""),"",IF($B458="MEANS",INDEX('1-DATA'!$1:$1048576,$A457-1,COLUMN('1-DATA'!H456)),ROUND(INDEX('1-DATA'!$1:$1048576,IF(OR($B458="STD. DEVIATION",$C$1=1),$A458,$A458+1),COLUMN('1-DATA'!H456)),IF($B458="STD. DEVIATION",2,$F$1))))</f>
        <v/>
      </c>
      <c r="J458" s="1" t="str">
        <f>IF(OR($B458="",J$7=""),"",IF($B458="MEANS",INDEX('1-DATA'!$1:$1048576,$A457-1,COLUMN('1-DATA'!I456)),ROUND(INDEX('1-DATA'!$1:$1048576,IF(OR($B458="STD. DEVIATION",$C$1=1),$A458,$A458+1),COLUMN('1-DATA'!I456)),IF($B458="STD. DEVIATION",2,$F$1))))</f>
        <v/>
      </c>
      <c r="K458" s="1" t="str">
        <f>IF(OR($B458="",K$7=""),"",IF($B458="MEANS",INDEX('1-DATA'!$1:$1048576,$A457-1,COLUMN('1-DATA'!J456)),ROUND(INDEX('1-DATA'!$1:$1048576,IF(OR($B458="STD. DEVIATION",$C$1=1),$A458,$A458+1),COLUMN('1-DATA'!J456)),IF($B458="STD. DEVIATION",2,$F$1))))</f>
        <v/>
      </c>
      <c r="L458" s="1" t="str">
        <f>IF(OR($B458="",L$7=""),"",IF($B458="MEANS",INDEX('1-DATA'!$1:$1048576,$A457-1,COLUMN('1-DATA'!K456)),ROUND(INDEX('1-DATA'!$1:$1048576,IF(OR($B458="STD. DEVIATION",$C$1=1),$A458,$A458+1),COLUMN('1-DATA'!K456)),IF($B458="STD. DEVIATION",2,$F$1))))</f>
        <v/>
      </c>
      <c r="M458" s="1" t="str">
        <f>IF(OR($B458="",M$7=""),"",IF($B458="MEANS",INDEX('1-DATA'!$1:$1048576,$A457-1,COLUMN('1-DATA'!L456)),ROUND(INDEX('1-DATA'!$1:$1048576,IF(OR($B458="STD. DEVIATION",$C$1=1),$A458,$A458+1),COLUMN('1-DATA'!L456)),IF($B458="STD. DEVIATION",2,$F$1))))</f>
        <v/>
      </c>
      <c r="N458" s="1" t="str">
        <f>IF(OR($B458="",N$7=""),"",IF($B458="MEANS",INDEX('1-DATA'!$1:$1048576,$A457-1,COLUMN('1-DATA'!M456)),ROUND(INDEX('1-DATA'!$1:$1048576,IF(OR($B458="STD. DEVIATION",$C$1=1),$A458,$A458+1),COLUMN('1-DATA'!M456)),IF($B458="STD. DEVIATION",2,$F$1))))</f>
        <v/>
      </c>
      <c r="O458" s="1" t="str">
        <f>IF(OR($B458="",O$7=""),"",IF($B458="MEANS",INDEX('1-DATA'!$1:$1048576,$A457-1,COLUMN('1-DATA'!N456)),ROUND(INDEX('1-DATA'!$1:$1048576,IF(OR($B458="STD. DEVIATION",$C$1=1),$A458,$A458+1),COLUMN('1-DATA'!N456)),IF($B458="STD. DEVIATION",2,$F$1))))</f>
        <v/>
      </c>
      <c r="P458" s="1" t="str">
        <f>IF(OR($B458="",P$7=""),"",IF($B458="MEANS",INDEX('1-DATA'!$1:$1048576,$A457-1,COLUMN('1-DATA'!O456)),ROUND(INDEX('1-DATA'!$1:$1048576,IF(OR($B458="STD. DEVIATION",$C$1=1),$A458,$A458+1),COLUMN('1-DATA'!O456)),IF($B458="STD. DEVIATION",2,$F$1))))</f>
        <v/>
      </c>
      <c r="Q458" s="1" t="str">
        <f>IF(OR($B458="",Q$7=""),"",IF($B458="MEANS",INDEX('1-DATA'!$1:$1048576,$A457-1,COLUMN('1-DATA'!P456)),ROUND(INDEX('1-DATA'!$1:$1048576,IF(OR($B458="STD. DEVIATION",$C$1=1),$A458,$A458+1),COLUMN('1-DATA'!P456)),IF($B458="STD. DEVIATION",2,$F$1))))</f>
        <v/>
      </c>
      <c r="R458" s="1" t="str">
        <f>IF(OR($B458="",R$7=""),"",IF($B458="MEANS",INDEX('1-DATA'!$1:$1048576,$A457-1,COLUMN('1-DATA'!Q456)),ROUND(INDEX('1-DATA'!$1:$1048576,IF(OR($B458="STD. DEVIATION",$C$1=1),$A458,$A458+1),COLUMN('1-DATA'!Q456)),IF($B458="STD. DEVIATION",2,$F$1))))</f>
        <v/>
      </c>
      <c r="S458" s="1" t="str">
        <f>IF(OR($B458="",S$7=""),"",IF($B458="MEANS",INDEX('1-DATA'!$1:$1048576,$A457-1,COLUMN('1-DATA'!R456)),ROUND(INDEX('1-DATA'!$1:$1048576,IF(OR($B458="STD. DEVIATION",$C$1=1),$A458,$A458+1),COLUMN('1-DATA'!R456)),IF($B458="STD. DEVIATION",2,$F$1))))</f>
        <v/>
      </c>
      <c r="T458" s="1" t="str">
        <f>IF(OR($B458="",T$7=""),"",IF($B458="MEANS",INDEX('1-DATA'!$1:$1048576,$A457-1,COLUMN('1-DATA'!S456)),ROUND(INDEX('1-DATA'!$1:$1048576,IF(OR($B458="STD. DEVIATION",$C$1=1),$A458,$A458+1),COLUMN('1-DATA'!S456)),IF($B458="STD. DEVIATION",2,$F$1))))</f>
        <v/>
      </c>
      <c r="U458" s="1" t="str">
        <f>IF(OR($B458="",U$7=""),"",IF($B458="MEANS",INDEX('1-DATA'!$1:$1048576,$A457-1,COLUMN('1-DATA'!T456)),ROUND(INDEX('1-DATA'!$1:$1048576,IF(OR($B458="STD. DEVIATION",$C$1=1),$A458,$A458+1),COLUMN('1-DATA'!T456)),IF($B458="STD. DEVIATION",2,$F$1))))</f>
        <v/>
      </c>
      <c r="V458" s="1" t="str">
        <f>IF(OR($B458="",V$7=""),"",IF($B458="MEANS",INDEX('1-DATA'!$1:$1048576,$A457-1,COLUMN('1-DATA'!U456)),ROUND(INDEX('1-DATA'!$1:$1048576,IF(OR($B458="STD. DEVIATION",$C$1=1),$A458,$A458+1),COLUMN('1-DATA'!U456)),IF($B458="STD. DEVIATION",2,$F$1))))</f>
        <v/>
      </c>
      <c r="W458" s="1" t="str">
        <f>IF(OR($B458="",W$7=""),"",IF($B458="MEANS",INDEX('1-DATA'!$1:$1048576,$A457-1,COLUMN('1-DATA'!V456)),ROUND(INDEX('1-DATA'!$1:$1048576,IF(OR($B458="STD. DEVIATION",$C$1=1),$A458,$A458+1),COLUMN('1-DATA'!V456)),IF($B458="STD. DEVIATION",2,$F$1))))</f>
        <v/>
      </c>
      <c r="X458" s="1" t="str">
        <f>IF(OR($B458="",X$7=""),"",IF($B458="MEANS",INDEX('1-DATA'!$1:$1048576,$A457-1,COLUMN('1-DATA'!W456)),ROUND(INDEX('1-DATA'!$1:$1048576,IF(OR($B458="STD. DEVIATION",$C$1=1),$A458,$A458+1),COLUMN('1-DATA'!W456)),IF($B458="STD. DEVIATION",2,$F$1))))</f>
        <v/>
      </c>
      <c r="Y458" s="1" t="str">
        <f>IF(OR($B458="",Y$7=""),"",IF($B458="MEANS",INDEX('1-DATA'!$1:$1048576,$A457-1,COLUMN('1-DATA'!X456)),ROUND(INDEX('1-DATA'!$1:$1048576,IF(OR($B458="STD. DEVIATION",$C$1=1),$A458,$A458+1),COLUMN('1-DATA'!X456)),IF($B458="STD. DEVIATION",2,$F$1))))</f>
        <v/>
      </c>
      <c r="Z458" s="1" t="str">
        <f>IF(OR($B458="",Z$7=""),"",IF($B458="MEANS",INDEX('1-DATA'!$1:$1048576,$A457-1,COLUMN('1-DATA'!Y456)),ROUND(INDEX('1-DATA'!$1:$1048576,IF(OR($B458="STD. DEVIATION",$C$1=1),$A458,$A458+1),COLUMN('1-DATA'!Y456)),IF($B458="STD. DEVIATION",2,$F$1))))</f>
        <v/>
      </c>
      <c r="AA458" s="1" t="str">
        <f>IF(OR($B458="",AA$7=""),"",IF($B458="MEANS",INDEX('1-DATA'!$1:$1048576,$A457-1,COLUMN('1-DATA'!Z456)),ROUND(INDEX('1-DATA'!$1:$1048576,IF(OR($B458="STD. DEVIATION",$C$1=1),$A458,$A458+1),COLUMN('1-DATA'!Z456)),IF($B458="STD. DEVIATION",2,$F$1))))</f>
        <v/>
      </c>
      <c r="AB458" s="1" t="str">
        <f>IF(OR($B458="",AB$7=""),"",IF($B458="MEANS",INDEX('1-DATA'!$1:$1048576,$A457-1,COLUMN('1-DATA'!AA456)),ROUND(INDEX('1-DATA'!$1:$1048576,IF(OR($B458="STD. DEVIATION",$C$1=1),$A458,$A458+1),COLUMN('1-DATA'!AA456)),IF($B458="STD. DEVIATION",2,$F$1))))</f>
        <v/>
      </c>
      <c r="AC458" s="1" t="str">
        <f>IF(OR($B458="",AC$7=""),"",IF($B458="MEANS",INDEX('1-DATA'!$1:$1048576,$A457-1,COLUMN('1-DATA'!AB456)),ROUND(INDEX('1-DATA'!$1:$1048576,IF(OR($B458="STD. DEVIATION",$C$1=1),$A458,$A458+1),COLUMN('1-DATA'!AB456)),IF($B458="STD. DEVIATION",2,$F$1))))</f>
        <v/>
      </c>
      <c r="AD458" s="1" t="str">
        <f>IF(OR($B458="",AD$7=""),"",IF($B458="MEANS",INDEX('1-DATA'!$1:$1048576,$A457-1,COLUMN('1-DATA'!AC456)),ROUND(INDEX('1-DATA'!$1:$1048576,IF(OR($B458="STD. DEVIATION",$C$1=1),$A458,$A458+1),COLUMN('1-DATA'!AC456)),IF($B458="STD. DEVIATION",2,$F$1))))</f>
        <v/>
      </c>
      <c r="AE458" s="1" t="str">
        <f>IF(OR($B458="",AE$7=""),"",IF($B458="MEANS",INDEX('1-DATA'!$1:$1048576,$A457-1,COLUMN('1-DATA'!AD456)),ROUND(INDEX('1-DATA'!$1:$1048576,IF(OR($B458="STD. DEVIATION",$C$1=1),$A458,$A458+1),COLUMN('1-DATA'!AD456)),IF($B458="STD. DEVIATION",2,$F$1))))</f>
        <v/>
      </c>
      <c r="AF458" s="1" t="str">
        <f>IF(OR($B458="",AF$7=""),"",IF($B458="MEANS",INDEX('1-DATA'!$1:$1048576,$A457-1,COLUMN('1-DATA'!AE456)),ROUND(INDEX('1-DATA'!$1:$1048576,IF(OR($B458="STD. DEVIATION",$C$1=1),$A458,$A458+1),COLUMN('1-DATA'!AE456)),IF($B458="STD. DEVIATION",2,$F$1))))</f>
        <v/>
      </c>
      <c r="AG458" s="1" t="str">
        <f>IF(OR($B458="",AG$7=""),"",IF($B458="MEANS",INDEX('1-DATA'!$1:$1048576,$A457-1,COLUMN('1-DATA'!AF456)),ROUND(INDEX('1-DATA'!$1:$1048576,IF(OR($B458="STD. DEVIATION",$C$1=1),$A458,$A458+1),COLUMN('1-DATA'!AF456)),IF($B458="STD. DEVIATION",2,$F$1))))</f>
        <v/>
      </c>
      <c r="AH458" s="1" t="str">
        <f>IF(OR($B458="",AH$7=""),"",IF($B458="MEANS",INDEX('1-DATA'!$1:$1048576,$A457-1,COLUMN('1-DATA'!AG456)),ROUND(INDEX('1-DATA'!$1:$1048576,IF(OR($B458="STD. DEVIATION",$C$1=1),$A458,$A458+1),COLUMN('1-DATA'!AG456)),IF($B458="STD. DEVIATION",2,$F$1))))</f>
        <v/>
      </c>
      <c r="AI458" s="1" t="str">
        <f>IF(OR($B458="",AI$7=""),"",IF($B458="MEANS",INDEX('1-DATA'!$1:$1048576,$A457-1,COLUMN('1-DATA'!AH456)),ROUND(INDEX('1-DATA'!$1:$1048576,IF(OR($B458="STD. DEVIATION",$C$1=1),$A458,$A458+1),COLUMN('1-DATA'!AH456)),IF($B458="STD. DEVIATION",2,$F$1))))</f>
        <v/>
      </c>
      <c r="AJ458" s="1" t="str">
        <f>IF(OR($B458="",AJ$7=""),"",IF($B458="MEANS",INDEX('1-DATA'!$1:$1048576,$A457-1,COLUMN('1-DATA'!AI456)),ROUND(INDEX('1-DATA'!$1:$1048576,IF(OR($B458="STD. DEVIATION",$C$1=1),$A458,$A458+1),COLUMN('1-DATA'!AI456)),IF($B458="STD. DEVIATION",2,$F$1))))</f>
        <v/>
      </c>
      <c r="AK458" s="1" t="str">
        <f>IF(OR($B458="",AK$7=""),"",IF($B458="MEANS",INDEX('1-DATA'!$1:$1048576,$A457-1,COLUMN('1-DATA'!AJ456)),ROUND(INDEX('1-DATA'!$1:$1048576,IF(OR($B458="STD. DEVIATION",$C$1=1),$A458,$A458+1),COLUMN('1-DATA'!AJ456)),IF($B458="STD. DEVIATION",2,$F$1))))</f>
        <v/>
      </c>
      <c r="AL458" s="1" t="str">
        <f>IF(OR($B458="",AL$7=""),"",IF($B458="MEANS",INDEX('1-DATA'!$1:$1048576,$A457-1,COLUMN('1-DATA'!AK456)),ROUND(INDEX('1-DATA'!$1:$1048576,IF(OR($B458="STD. DEVIATION",$C$1=1),$A458,$A458+1),COLUMN('1-DATA'!AK456)),IF($B458="STD. DEVIATION",2,$F$1))))</f>
        <v/>
      </c>
      <c r="AM458" s="1" t="str">
        <f>IF(OR($B458="",AM$7=""),"",IF($B458="MEANS",INDEX('1-DATA'!$1:$1048576,$A457-1,COLUMN('1-DATA'!AL456)),ROUND(INDEX('1-DATA'!$1:$1048576,IF(OR($B458="STD. DEVIATION",$C$1=1),$A458,$A458+1),COLUMN('1-DATA'!AL456)),IF($B458="STD. DEVIATION",2,$F$1))))</f>
        <v/>
      </c>
      <c r="AN458" s="1" t="str">
        <f>IF(OR($B458="",AN$7=""),"",IF($B458="MEANS",INDEX('1-DATA'!$1:$1048576,$A457-1,COLUMN('1-DATA'!AM456)),ROUND(INDEX('1-DATA'!$1:$1048576,IF(OR($B458="STD. DEVIATION",$C$1=1),$A458,$A458+1),COLUMN('1-DATA'!AM456)),IF($B458="STD. DEVIATION",2,$F$1))))</f>
        <v/>
      </c>
      <c r="AO458" s="1" t="str">
        <f>IF(OR($B458="",AO$7=""),"",IF($B458="MEANS",INDEX('1-DATA'!$1:$1048576,$A457-1,COLUMN('1-DATA'!AN456)),ROUND(INDEX('1-DATA'!$1:$1048576,IF(OR($B458="STD. DEVIATION",$C$1=1),$A458,$A458+1),COLUMN('1-DATA'!AN456)),IF($B458="STD. DEVIATION",2,$F$1))))</f>
        <v/>
      </c>
      <c r="AP458" s="1" t="str">
        <f>IF(OR($B458="",AP$7=""),"",IF($B458="MEANS",INDEX('1-DATA'!$1:$1048576,$A457-1,COLUMN('1-DATA'!AO456)),ROUND(INDEX('1-DATA'!$1:$1048576,IF(OR($B458="STD. DEVIATION",$C$1=1),$A458,$A458+1),COLUMN('1-DATA'!AO456)),IF($B458="STD. DEVIATION",2,$F$1))))</f>
        <v/>
      </c>
      <c r="AQ458" s="1" t="str">
        <f>IF(OR($B458="",AQ$7=""),"",IF($B458="MEANS",INDEX('1-DATA'!$1:$1048576,$A457-1,COLUMN('1-DATA'!AP456)),ROUND(INDEX('1-DATA'!$1:$1048576,IF(OR($B458="STD. DEVIATION",$C$1=1),$A458,$A458+1),COLUMN('1-DATA'!AP456)),IF($B458="STD. DEVIATION",2,$F$1))))</f>
        <v/>
      </c>
      <c r="AR458" s="1" t="str">
        <f>IF(OR($B458="",AR$7=""),"",IF($B458="MEANS",INDEX('1-DATA'!$1:$1048576,$A457-1,COLUMN('1-DATA'!AQ456)),ROUND(INDEX('1-DATA'!$1:$1048576,IF(OR($B458="STD. DEVIATION",$C$1=1),$A458,$A458+1),COLUMN('1-DATA'!AQ456)),IF($B458="STD. DEVIATION",2,$F$1))))</f>
        <v/>
      </c>
      <c r="AS458" s="1" t="str">
        <f>IF(OR($B458="",AS$7=""),"",IF($B458="MEANS",INDEX('1-DATA'!$1:$1048576,$A457-1,COLUMN('1-DATA'!AR456)),ROUND(INDEX('1-DATA'!$1:$1048576,IF(OR($B458="STD. DEVIATION",$C$1=1),$A458,$A458+1),COLUMN('1-DATA'!AR456)),IF($B458="STD. DEVIATION",2,$F$1))))</f>
        <v/>
      </c>
      <c r="AT458" s="1" t="str">
        <f>IF(OR($B458="",AT$7=""),"",IF($B458="MEANS",INDEX('1-DATA'!$1:$1048576,$A457-1,COLUMN('1-DATA'!AS456)),ROUND(INDEX('1-DATA'!$1:$1048576,IF(OR($B458="STD. DEVIATION",$C$1=1),$A458,$A458+1),COLUMN('1-DATA'!AS456)),IF($B458="STD. DEVIATION",2,$F$1))))</f>
        <v/>
      </c>
      <c r="AU458" s="1" t="str">
        <f>IF(OR($B458="",AU$7=""),"",IF($B458="MEANS",INDEX('1-DATA'!$1:$1048576,$A457-1,COLUMN('1-DATA'!AT456)),ROUND(INDEX('1-DATA'!$1:$1048576,IF(OR($B458="STD. DEVIATION",$C$1=1),$A458,$A458+1),COLUMN('1-DATA'!AT456)),IF($B458="STD. DEVIATION",2,$F$1))))</f>
        <v/>
      </c>
      <c r="AV458" s="1" t="str">
        <f>IF(OR($B458="",AV$7=""),"",IF($B458="MEANS",INDEX('1-DATA'!$1:$1048576,$A457-1,COLUMN('1-DATA'!AU456)),ROUND(INDEX('1-DATA'!$1:$1048576,IF(OR($B458="STD. DEVIATION",$C$1=1),$A458,$A458+1),COLUMN('1-DATA'!AU456)),IF($B458="STD. DEVIATION",2,$F$1))))</f>
        <v/>
      </c>
      <c r="AW458" s="1" t="str">
        <f>IF(OR($B458="",AW$7=""),"",IF($B458="MEANS",INDEX('1-DATA'!$1:$1048576,$A457-1,COLUMN('1-DATA'!AV456)),ROUND(INDEX('1-DATA'!$1:$1048576,IF(OR($B458="STD. DEVIATION",$C$1=1),$A458,$A458+1),COLUMN('1-DATA'!AV456)),IF($B458="STD. DEVIATION",2,$F$1))))</f>
        <v/>
      </c>
      <c r="AX458" s="1" t="str">
        <f>IF(OR($B458="",AX$7=""),"",IF($B458="MEANS",INDEX('1-DATA'!$1:$1048576,$A457-1,COLUMN('1-DATA'!AW456)),ROUND(INDEX('1-DATA'!$1:$1048576,IF(OR($B458="STD. DEVIATION",$C$1=1),$A458,$A458+1),COLUMN('1-DATA'!AW456)),IF($B458="STD. DEVIATION",2,$F$1))))</f>
        <v/>
      </c>
      <c r="AY458" s="1" t="str">
        <f>IF(OR($B458="",AY$7=""),"",IF($B458="MEANS",INDEX('1-DATA'!$1:$1048576,$A457-1,COLUMN('1-DATA'!AX456)),ROUND(INDEX('1-DATA'!$1:$1048576,IF(OR($B458="STD. DEVIATION",$C$1=1),$A458,$A458+1),COLUMN('1-DATA'!AX456)),IF($B458="STD. DEVIATION",2,$F$1))))</f>
        <v/>
      </c>
      <c r="AZ458" s="1" t="str">
        <f>IF(OR($B458="",AZ$7=""),"",IF($B458="MEANS",INDEX('1-DATA'!$1:$1048576,$A457-1,COLUMN('1-DATA'!AY456)),ROUND(INDEX('1-DATA'!$1:$1048576,IF(OR($B458="STD. DEVIATION",$C$1=1),$A458,$A458+1),COLUMN('1-DATA'!AY456)),IF($B458="STD. DEVIATION",2,$F$1))))</f>
        <v/>
      </c>
    </row>
    <row r="459" spans="1:52" x14ac:dyDescent="0.25">
      <c r="A459" s="11">
        <f t="shared" si="7"/>
        <v>1363</v>
      </c>
      <c r="B459" s="1" t="str">
        <f>IF(B458="STD. DEVIATION",INDEX('1-DATA'!$1:$1048576,$A458-1,1),IF(INDEX('1-DATA'!$1:$1048576,$A459,1)&lt;&gt;"",INDEX('1-DATA'!$1:$1048576,$A459,1),""))</f>
        <v/>
      </c>
      <c r="C459" s="1" t="str">
        <f>IF(OR($B459="",C$7=""),"",IF($B459="MEANS",INDEX('1-DATA'!$1:$1048576,$A458-1,COLUMN('1-DATA'!B457)),ROUND(INDEX('1-DATA'!$1:$1048576,IF(OR($B459="STD. DEVIATION",$C$1=1),$A459,$A459+1),COLUMN('1-DATA'!B457)),IF($B459="STD. DEVIATION",2,$F$1))))</f>
        <v/>
      </c>
      <c r="D459" s="1" t="str">
        <f>IF(OR($B459="",D$7=""),"",IF($B459="MEANS",INDEX('1-DATA'!$1:$1048576,$A458-1,COLUMN('1-DATA'!C457)),ROUND(INDEX('1-DATA'!$1:$1048576,IF(OR($B459="STD. DEVIATION",$C$1=1),$A459,$A459+1),COLUMN('1-DATA'!C457)),IF($B459="STD. DEVIATION",2,$F$1))))</f>
        <v/>
      </c>
      <c r="E459" s="1" t="str">
        <f>IF(OR($B459="",E$7=""),"",IF($B459="MEANS",INDEX('1-DATA'!$1:$1048576,$A458-1,COLUMN('1-DATA'!D457)),ROUND(INDEX('1-DATA'!$1:$1048576,IF(OR($B459="STD. DEVIATION",$C$1=1),$A459,$A459+1),COLUMN('1-DATA'!D457)),IF($B459="STD. DEVIATION",2,$F$1))))</f>
        <v/>
      </c>
      <c r="F459" s="1" t="str">
        <f>IF(OR($B459="",F$7=""),"",IF($B459="MEANS",INDEX('1-DATA'!$1:$1048576,$A458-1,COLUMN('1-DATA'!E457)),ROUND(INDEX('1-DATA'!$1:$1048576,IF(OR($B459="STD. DEVIATION",$C$1=1),$A459,$A459+1),COLUMN('1-DATA'!E457)),IF($B459="STD. DEVIATION",2,$F$1))))</f>
        <v/>
      </c>
      <c r="G459" s="1" t="str">
        <f>IF(OR($B459="",G$7=""),"",IF($B459="MEANS",INDEX('1-DATA'!$1:$1048576,$A458-1,COLUMN('1-DATA'!F457)),ROUND(INDEX('1-DATA'!$1:$1048576,IF(OR($B459="STD. DEVIATION",$C$1=1),$A459,$A459+1),COLUMN('1-DATA'!F457)),IF($B459="STD. DEVIATION",2,$F$1))))</f>
        <v/>
      </c>
      <c r="H459" s="1" t="str">
        <f>IF(OR($B459="",H$7=""),"",IF($B459="MEANS",INDEX('1-DATA'!$1:$1048576,$A458-1,COLUMN('1-DATA'!G457)),ROUND(INDEX('1-DATA'!$1:$1048576,IF(OR($B459="STD. DEVIATION",$C$1=1),$A459,$A459+1),COLUMN('1-DATA'!G457)),IF($B459="STD. DEVIATION",2,$F$1))))</f>
        <v/>
      </c>
      <c r="I459" s="1" t="str">
        <f>IF(OR($B459="",I$7=""),"",IF($B459="MEANS",INDEX('1-DATA'!$1:$1048576,$A458-1,COLUMN('1-DATA'!H457)),ROUND(INDEX('1-DATA'!$1:$1048576,IF(OR($B459="STD. DEVIATION",$C$1=1),$A459,$A459+1),COLUMN('1-DATA'!H457)),IF($B459="STD. DEVIATION",2,$F$1))))</f>
        <v/>
      </c>
      <c r="J459" s="1" t="str">
        <f>IF(OR($B459="",J$7=""),"",IF($B459="MEANS",INDEX('1-DATA'!$1:$1048576,$A458-1,COLUMN('1-DATA'!I457)),ROUND(INDEX('1-DATA'!$1:$1048576,IF(OR($B459="STD. DEVIATION",$C$1=1),$A459,$A459+1),COLUMN('1-DATA'!I457)),IF($B459="STD. DEVIATION",2,$F$1))))</f>
        <v/>
      </c>
      <c r="K459" s="1" t="str">
        <f>IF(OR($B459="",K$7=""),"",IF($B459="MEANS",INDEX('1-DATA'!$1:$1048576,$A458-1,COLUMN('1-DATA'!J457)),ROUND(INDEX('1-DATA'!$1:$1048576,IF(OR($B459="STD. DEVIATION",$C$1=1),$A459,$A459+1),COLUMN('1-DATA'!J457)),IF($B459="STD. DEVIATION",2,$F$1))))</f>
        <v/>
      </c>
      <c r="L459" s="1" t="str">
        <f>IF(OR($B459="",L$7=""),"",IF($B459="MEANS",INDEX('1-DATA'!$1:$1048576,$A458-1,COLUMN('1-DATA'!K457)),ROUND(INDEX('1-DATA'!$1:$1048576,IF(OR($B459="STD. DEVIATION",$C$1=1),$A459,$A459+1),COLUMN('1-DATA'!K457)),IF($B459="STD. DEVIATION",2,$F$1))))</f>
        <v/>
      </c>
      <c r="M459" s="1" t="str">
        <f>IF(OR($B459="",M$7=""),"",IF($B459="MEANS",INDEX('1-DATA'!$1:$1048576,$A458-1,COLUMN('1-DATA'!L457)),ROUND(INDEX('1-DATA'!$1:$1048576,IF(OR($B459="STD. DEVIATION",$C$1=1),$A459,$A459+1),COLUMN('1-DATA'!L457)),IF($B459="STD. DEVIATION",2,$F$1))))</f>
        <v/>
      </c>
      <c r="N459" s="1" t="str">
        <f>IF(OR($B459="",N$7=""),"",IF($B459="MEANS",INDEX('1-DATA'!$1:$1048576,$A458-1,COLUMN('1-DATA'!M457)),ROUND(INDEX('1-DATA'!$1:$1048576,IF(OR($B459="STD. DEVIATION",$C$1=1),$A459,$A459+1),COLUMN('1-DATA'!M457)),IF($B459="STD. DEVIATION",2,$F$1))))</f>
        <v/>
      </c>
      <c r="O459" s="1" t="str">
        <f>IF(OR($B459="",O$7=""),"",IF($B459="MEANS",INDEX('1-DATA'!$1:$1048576,$A458-1,COLUMN('1-DATA'!N457)),ROUND(INDEX('1-DATA'!$1:$1048576,IF(OR($B459="STD. DEVIATION",$C$1=1),$A459,$A459+1),COLUMN('1-DATA'!N457)),IF($B459="STD. DEVIATION",2,$F$1))))</f>
        <v/>
      </c>
      <c r="P459" s="1" t="str">
        <f>IF(OR($B459="",P$7=""),"",IF($B459="MEANS",INDEX('1-DATA'!$1:$1048576,$A458-1,COLUMN('1-DATA'!O457)),ROUND(INDEX('1-DATA'!$1:$1048576,IF(OR($B459="STD. DEVIATION",$C$1=1),$A459,$A459+1),COLUMN('1-DATA'!O457)),IF($B459="STD. DEVIATION",2,$F$1))))</f>
        <v/>
      </c>
      <c r="Q459" s="1" t="str">
        <f>IF(OR($B459="",Q$7=""),"",IF($B459="MEANS",INDEX('1-DATA'!$1:$1048576,$A458-1,COLUMN('1-DATA'!P457)),ROUND(INDEX('1-DATA'!$1:$1048576,IF(OR($B459="STD. DEVIATION",$C$1=1),$A459,$A459+1),COLUMN('1-DATA'!P457)),IF($B459="STD. DEVIATION",2,$F$1))))</f>
        <v/>
      </c>
      <c r="R459" s="1" t="str">
        <f>IF(OR($B459="",R$7=""),"",IF($B459="MEANS",INDEX('1-DATA'!$1:$1048576,$A458-1,COLUMN('1-DATA'!Q457)),ROUND(INDEX('1-DATA'!$1:$1048576,IF(OR($B459="STD. DEVIATION",$C$1=1),$A459,$A459+1),COLUMN('1-DATA'!Q457)),IF($B459="STD. DEVIATION",2,$F$1))))</f>
        <v/>
      </c>
      <c r="S459" s="1" t="str">
        <f>IF(OR($B459="",S$7=""),"",IF($B459="MEANS",INDEX('1-DATA'!$1:$1048576,$A458-1,COLUMN('1-DATA'!R457)),ROUND(INDEX('1-DATA'!$1:$1048576,IF(OR($B459="STD. DEVIATION",$C$1=1),$A459,$A459+1),COLUMN('1-DATA'!R457)),IF($B459="STD. DEVIATION",2,$F$1))))</f>
        <v/>
      </c>
      <c r="T459" s="1" t="str">
        <f>IF(OR($B459="",T$7=""),"",IF($B459="MEANS",INDEX('1-DATA'!$1:$1048576,$A458-1,COLUMN('1-DATA'!S457)),ROUND(INDEX('1-DATA'!$1:$1048576,IF(OR($B459="STD. DEVIATION",$C$1=1),$A459,$A459+1),COLUMN('1-DATA'!S457)),IF($B459="STD. DEVIATION",2,$F$1))))</f>
        <v/>
      </c>
      <c r="U459" s="1" t="str">
        <f>IF(OR($B459="",U$7=""),"",IF($B459="MEANS",INDEX('1-DATA'!$1:$1048576,$A458-1,COLUMN('1-DATA'!T457)),ROUND(INDEX('1-DATA'!$1:$1048576,IF(OR($B459="STD. DEVIATION",$C$1=1),$A459,$A459+1),COLUMN('1-DATA'!T457)),IF($B459="STD. DEVIATION",2,$F$1))))</f>
        <v/>
      </c>
      <c r="V459" s="1" t="str">
        <f>IF(OR($B459="",V$7=""),"",IF($B459="MEANS",INDEX('1-DATA'!$1:$1048576,$A458-1,COLUMN('1-DATA'!U457)),ROUND(INDEX('1-DATA'!$1:$1048576,IF(OR($B459="STD. DEVIATION",$C$1=1),$A459,$A459+1),COLUMN('1-DATA'!U457)),IF($B459="STD. DEVIATION",2,$F$1))))</f>
        <v/>
      </c>
      <c r="W459" s="1" t="str">
        <f>IF(OR($B459="",W$7=""),"",IF($B459="MEANS",INDEX('1-DATA'!$1:$1048576,$A458-1,COLUMN('1-DATA'!V457)),ROUND(INDEX('1-DATA'!$1:$1048576,IF(OR($B459="STD. DEVIATION",$C$1=1),$A459,$A459+1),COLUMN('1-DATA'!V457)),IF($B459="STD. DEVIATION",2,$F$1))))</f>
        <v/>
      </c>
      <c r="X459" s="1" t="str">
        <f>IF(OR($B459="",X$7=""),"",IF($B459="MEANS",INDEX('1-DATA'!$1:$1048576,$A458-1,COLUMN('1-DATA'!W457)),ROUND(INDEX('1-DATA'!$1:$1048576,IF(OR($B459="STD. DEVIATION",$C$1=1),$A459,$A459+1),COLUMN('1-DATA'!W457)),IF($B459="STD. DEVIATION",2,$F$1))))</f>
        <v/>
      </c>
      <c r="Y459" s="1" t="str">
        <f>IF(OR($B459="",Y$7=""),"",IF($B459="MEANS",INDEX('1-DATA'!$1:$1048576,$A458-1,COLUMN('1-DATA'!X457)),ROUND(INDEX('1-DATA'!$1:$1048576,IF(OR($B459="STD. DEVIATION",$C$1=1),$A459,$A459+1),COLUMN('1-DATA'!X457)),IF($B459="STD. DEVIATION",2,$F$1))))</f>
        <v/>
      </c>
      <c r="Z459" s="1" t="str">
        <f>IF(OR($B459="",Z$7=""),"",IF($B459="MEANS",INDEX('1-DATA'!$1:$1048576,$A458-1,COLUMN('1-DATA'!Y457)),ROUND(INDEX('1-DATA'!$1:$1048576,IF(OR($B459="STD. DEVIATION",$C$1=1),$A459,$A459+1),COLUMN('1-DATA'!Y457)),IF($B459="STD. DEVIATION",2,$F$1))))</f>
        <v/>
      </c>
      <c r="AA459" s="1" t="str">
        <f>IF(OR($B459="",AA$7=""),"",IF($B459="MEANS",INDEX('1-DATA'!$1:$1048576,$A458-1,COLUMN('1-DATA'!Z457)),ROUND(INDEX('1-DATA'!$1:$1048576,IF(OR($B459="STD. DEVIATION",$C$1=1),$A459,$A459+1),COLUMN('1-DATA'!Z457)),IF($B459="STD. DEVIATION",2,$F$1))))</f>
        <v/>
      </c>
      <c r="AB459" s="1" t="str">
        <f>IF(OR($B459="",AB$7=""),"",IF($B459="MEANS",INDEX('1-DATA'!$1:$1048576,$A458-1,COLUMN('1-DATA'!AA457)),ROUND(INDEX('1-DATA'!$1:$1048576,IF(OR($B459="STD. DEVIATION",$C$1=1),$A459,$A459+1),COLUMN('1-DATA'!AA457)),IF($B459="STD. DEVIATION",2,$F$1))))</f>
        <v/>
      </c>
      <c r="AC459" s="1" t="str">
        <f>IF(OR($B459="",AC$7=""),"",IF($B459="MEANS",INDEX('1-DATA'!$1:$1048576,$A458-1,COLUMN('1-DATA'!AB457)),ROUND(INDEX('1-DATA'!$1:$1048576,IF(OR($B459="STD. DEVIATION",$C$1=1),$A459,$A459+1),COLUMN('1-DATA'!AB457)),IF($B459="STD. DEVIATION",2,$F$1))))</f>
        <v/>
      </c>
      <c r="AD459" s="1" t="str">
        <f>IF(OR($B459="",AD$7=""),"",IF($B459="MEANS",INDEX('1-DATA'!$1:$1048576,$A458-1,COLUMN('1-DATA'!AC457)),ROUND(INDEX('1-DATA'!$1:$1048576,IF(OR($B459="STD. DEVIATION",$C$1=1),$A459,$A459+1),COLUMN('1-DATA'!AC457)),IF($B459="STD. DEVIATION",2,$F$1))))</f>
        <v/>
      </c>
      <c r="AE459" s="1" t="str">
        <f>IF(OR($B459="",AE$7=""),"",IF($B459="MEANS",INDEX('1-DATA'!$1:$1048576,$A458-1,COLUMN('1-DATA'!AD457)),ROUND(INDEX('1-DATA'!$1:$1048576,IF(OR($B459="STD. DEVIATION",$C$1=1),$A459,$A459+1),COLUMN('1-DATA'!AD457)),IF($B459="STD. DEVIATION",2,$F$1))))</f>
        <v/>
      </c>
      <c r="AF459" s="1" t="str">
        <f>IF(OR($B459="",AF$7=""),"",IF($B459="MEANS",INDEX('1-DATA'!$1:$1048576,$A458-1,COLUMN('1-DATA'!AE457)),ROUND(INDEX('1-DATA'!$1:$1048576,IF(OR($B459="STD. DEVIATION",$C$1=1),$A459,$A459+1),COLUMN('1-DATA'!AE457)),IF($B459="STD. DEVIATION",2,$F$1))))</f>
        <v/>
      </c>
      <c r="AG459" s="1" t="str">
        <f>IF(OR($B459="",AG$7=""),"",IF($B459="MEANS",INDEX('1-DATA'!$1:$1048576,$A458-1,COLUMN('1-DATA'!AF457)),ROUND(INDEX('1-DATA'!$1:$1048576,IF(OR($B459="STD. DEVIATION",$C$1=1),$A459,$A459+1),COLUMN('1-DATA'!AF457)),IF($B459="STD. DEVIATION",2,$F$1))))</f>
        <v/>
      </c>
      <c r="AH459" s="1" t="str">
        <f>IF(OR($B459="",AH$7=""),"",IF($B459="MEANS",INDEX('1-DATA'!$1:$1048576,$A458-1,COLUMN('1-DATA'!AG457)),ROUND(INDEX('1-DATA'!$1:$1048576,IF(OR($B459="STD. DEVIATION",$C$1=1),$A459,$A459+1),COLUMN('1-DATA'!AG457)),IF($B459="STD. DEVIATION",2,$F$1))))</f>
        <v/>
      </c>
      <c r="AI459" s="1" t="str">
        <f>IF(OR($B459="",AI$7=""),"",IF($B459="MEANS",INDEX('1-DATA'!$1:$1048576,$A458-1,COLUMN('1-DATA'!AH457)),ROUND(INDEX('1-DATA'!$1:$1048576,IF(OR($B459="STD. DEVIATION",$C$1=1),$A459,$A459+1),COLUMN('1-DATA'!AH457)),IF($B459="STD. DEVIATION",2,$F$1))))</f>
        <v/>
      </c>
      <c r="AJ459" s="1" t="str">
        <f>IF(OR($B459="",AJ$7=""),"",IF($B459="MEANS",INDEX('1-DATA'!$1:$1048576,$A458-1,COLUMN('1-DATA'!AI457)),ROUND(INDEX('1-DATA'!$1:$1048576,IF(OR($B459="STD. DEVIATION",$C$1=1),$A459,$A459+1),COLUMN('1-DATA'!AI457)),IF($B459="STD. DEVIATION",2,$F$1))))</f>
        <v/>
      </c>
      <c r="AK459" s="1" t="str">
        <f>IF(OR($B459="",AK$7=""),"",IF($B459="MEANS",INDEX('1-DATA'!$1:$1048576,$A458-1,COLUMN('1-DATA'!AJ457)),ROUND(INDEX('1-DATA'!$1:$1048576,IF(OR($B459="STD. DEVIATION",$C$1=1),$A459,$A459+1),COLUMN('1-DATA'!AJ457)),IF($B459="STD. DEVIATION",2,$F$1))))</f>
        <v/>
      </c>
      <c r="AL459" s="1" t="str">
        <f>IF(OR($B459="",AL$7=""),"",IF($B459="MEANS",INDEX('1-DATA'!$1:$1048576,$A458-1,COLUMN('1-DATA'!AK457)),ROUND(INDEX('1-DATA'!$1:$1048576,IF(OR($B459="STD. DEVIATION",$C$1=1),$A459,$A459+1),COLUMN('1-DATA'!AK457)),IF($B459="STD. DEVIATION",2,$F$1))))</f>
        <v/>
      </c>
      <c r="AM459" s="1" t="str">
        <f>IF(OR($B459="",AM$7=""),"",IF($B459="MEANS",INDEX('1-DATA'!$1:$1048576,$A458-1,COLUMN('1-DATA'!AL457)),ROUND(INDEX('1-DATA'!$1:$1048576,IF(OR($B459="STD. DEVIATION",$C$1=1),$A459,$A459+1),COLUMN('1-DATA'!AL457)),IF($B459="STD. DEVIATION",2,$F$1))))</f>
        <v/>
      </c>
      <c r="AN459" s="1" t="str">
        <f>IF(OR($B459="",AN$7=""),"",IF($B459="MEANS",INDEX('1-DATA'!$1:$1048576,$A458-1,COLUMN('1-DATA'!AM457)),ROUND(INDEX('1-DATA'!$1:$1048576,IF(OR($B459="STD. DEVIATION",$C$1=1),$A459,$A459+1),COLUMN('1-DATA'!AM457)),IF($B459="STD. DEVIATION",2,$F$1))))</f>
        <v/>
      </c>
      <c r="AO459" s="1" t="str">
        <f>IF(OR($B459="",AO$7=""),"",IF($B459="MEANS",INDEX('1-DATA'!$1:$1048576,$A458-1,COLUMN('1-DATA'!AN457)),ROUND(INDEX('1-DATA'!$1:$1048576,IF(OR($B459="STD. DEVIATION",$C$1=1),$A459,$A459+1),COLUMN('1-DATA'!AN457)),IF($B459="STD. DEVIATION",2,$F$1))))</f>
        <v/>
      </c>
      <c r="AP459" s="1" t="str">
        <f>IF(OR($B459="",AP$7=""),"",IF($B459="MEANS",INDEX('1-DATA'!$1:$1048576,$A458-1,COLUMN('1-DATA'!AO457)),ROUND(INDEX('1-DATA'!$1:$1048576,IF(OR($B459="STD. DEVIATION",$C$1=1),$A459,$A459+1),COLUMN('1-DATA'!AO457)),IF($B459="STD. DEVIATION",2,$F$1))))</f>
        <v/>
      </c>
      <c r="AQ459" s="1" t="str">
        <f>IF(OR($B459="",AQ$7=""),"",IF($B459="MEANS",INDEX('1-DATA'!$1:$1048576,$A458-1,COLUMN('1-DATA'!AP457)),ROUND(INDEX('1-DATA'!$1:$1048576,IF(OR($B459="STD. DEVIATION",$C$1=1),$A459,$A459+1),COLUMN('1-DATA'!AP457)),IF($B459="STD. DEVIATION",2,$F$1))))</f>
        <v/>
      </c>
      <c r="AR459" s="1" t="str">
        <f>IF(OR($B459="",AR$7=""),"",IF($B459="MEANS",INDEX('1-DATA'!$1:$1048576,$A458-1,COLUMN('1-DATA'!AQ457)),ROUND(INDEX('1-DATA'!$1:$1048576,IF(OR($B459="STD. DEVIATION",$C$1=1),$A459,$A459+1),COLUMN('1-DATA'!AQ457)),IF($B459="STD. DEVIATION",2,$F$1))))</f>
        <v/>
      </c>
      <c r="AS459" s="1" t="str">
        <f>IF(OR($B459="",AS$7=""),"",IF($B459="MEANS",INDEX('1-DATA'!$1:$1048576,$A458-1,COLUMN('1-DATA'!AR457)),ROUND(INDEX('1-DATA'!$1:$1048576,IF(OR($B459="STD. DEVIATION",$C$1=1),$A459,$A459+1),COLUMN('1-DATA'!AR457)),IF($B459="STD. DEVIATION",2,$F$1))))</f>
        <v/>
      </c>
      <c r="AT459" s="1" t="str">
        <f>IF(OR($B459="",AT$7=""),"",IF($B459="MEANS",INDEX('1-DATA'!$1:$1048576,$A458-1,COLUMN('1-DATA'!AS457)),ROUND(INDEX('1-DATA'!$1:$1048576,IF(OR($B459="STD. DEVIATION",$C$1=1),$A459,$A459+1),COLUMN('1-DATA'!AS457)),IF($B459="STD. DEVIATION",2,$F$1))))</f>
        <v/>
      </c>
      <c r="AU459" s="1" t="str">
        <f>IF(OR($B459="",AU$7=""),"",IF($B459="MEANS",INDEX('1-DATA'!$1:$1048576,$A458-1,COLUMN('1-DATA'!AT457)),ROUND(INDEX('1-DATA'!$1:$1048576,IF(OR($B459="STD. DEVIATION",$C$1=1),$A459,$A459+1),COLUMN('1-DATA'!AT457)),IF($B459="STD. DEVIATION",2,$F$1))))</f>
        <v/>
      </c>
      <c r="AV459" s="1" t="str">
        <f>IF(OR($B459="",AV$7=""),"",IF($B459="MEANS",INDEX('1-DATA'!$1:$1048576,$A458-1,COLUMN('1-DATA'!AU457)),ROUND(INDEX('1-DATA'!$1:$1048576,IF(OR($B459="STD. DEVIATION",$C$1=1),$A459,$A459+1),COLUMN('1-DATA'!AU457)),IF($B459="STD. DEVIATION",2,$F$1))))</f>
        <v/>
      </c>
      <c r="AW459" s="1" t="str">
        <f>IF(OR($B459="",AW$7=""),"",IF($B459="MEANS",INDEX('1-DATA'!$1:$1048576,$A458-1,COLUMN('1-DATA'!AV457)),ROUND(INDEX('1-DATA'!$1:$1048576,IF(OR($B459="STD. DEVIATION",$C$1=1),$A459,$A459+1),COLUMN('1-DATA'!AV457)),IF($B459="STD. DEVIATION",2,$F$1))))</f>
        <v/>
      </c>
      <c r="AX459" s="1" t="str">
        <f>IF(OR($B459="",AX$7=""),"",IF($B459="MEANS",INDEX('1-DATA'!$1:$1048576,$A458-1,COLUMN('1-DATA'!AW457)),ROUND(INDEX('1-DATA'!$1:$1048576,IF(OR($B459="STD. DEVIATION",$C$1=1),$A459,$A459+1),COLUMN('1-DATA'!AW457)),IF($B459="STD. DEVIATION",2,$F$1))))</f>
        <v/>
      </c>
      <c r="AY459" s="1" t="str">
        <f>IF(OR($B459="",AY$7=""),"",IF($B459="MEANS",INDEX('1-DATA'!$1:$1048576,$A458-1,COLUMN('1-DATA'!AX457)),ROUND(INDEX('1-DATA'!$1:$1048576,IF(OR($B459="STD. DEVIATION",$C$1=1),$A459,$A459+1),COLUMN('1-DATA'!AX457)),IF($B459="STD. DEVIATION",2,$F$1))))</f>
        <v/>
      </c>
      <c r="AZ459" s="1" t="str">
        <f>IF(OR($B459="",AZ$7=""),"",IF($B459="MEANS",INDEX('1-DATA'!$1:$1048576,$A458-1,COLUMN('1-DATA'!AY457)),ROUND(INDEX('1-DATA'!$1:$1048576,IF(OR($B459="STD. DEVIATION",$C$1=1),$A459,$A459+1),COLUMN('1-DATA'!AY457)),IF($B459="STD. DEVIATION",2,$F$1))))</f>
        <v/>
      </c>
    </row>
    <row r="460" spans="1:52" x14ac:dyDescent="0.25">
      <c r="A460" s="11">
        <f t="shared" si="7"/>
        <v>1366</v>
      </c>
      <c r="B460" s="1" t="str">
        <f>IF(B459="STD. DEVIATION",INDEX('1-DATA'!$1:$1048576,$A459-1,1),IF(INDEX('1-DATA'!$1:$1048576,$A460,1)&lt;&gt;"",INDEX('1-DATA'!$1:$1048576,$A460,1),""))</f>
        <v/>
      </c>
      <c r="C460" s="1" t="str">
        <f>IF(OR($B460="",C$7=""),"",IF($B460="MEANS",INDEX('1-DATA'!$1:$1048576,$A459-1,COLUMN('1-DATA'!B458)),ROUND(INDEX('1-DATA'!$1:$1048576,IF(OR($B460="STD. DEVIATION",$C$1=1),$A460,$A460+1),COLUMN('1-DATA'!B458)),IF($B460="STD. DEVIATION",2,$F$1))))</f>
        <v/>
      </c>
      <c r="D460" s="1" t="str">
        <f>IF(OR($B460="",D$7=""),"",IF($B460="MEANS",INDEX('1-DATA'!$1:$1048576,$A459-1,COLUMN('1-DATA'!C458)),ROUND(INDEX('1-DATA'!$1:$1048576,IF(OR($B460="STD. DEVIATION",$C$1=1),$A460,$A460+1),COLUMN('1-DATA'!C458)),IF($B460="STD. DEVIATION",2,$F$1))))</f>
        <v/>
      </c>
      <c r="E460" s="1" t="str">
        <f>IF(OR($B460="",E$7=""),"",IF($B460="MEANS",INDEX('1-DATA'!$1:$1048576,$A459-1,COLUMN('1-DATA'!D458)),ROUND(INDEX('1-DATA'!$1:$1048576,IF(OR($B460="STD. DEVIATION",$C$1=1),$A460,$A460+1),COLUMN('1-DATA'!D458)),IF($B460="STD. DEVIATION",2,$F$1))))</f>
        <v/>
      </c>
      <c r="F460" s="1" t="str">
        <f>IF(OR($B460="",F$7=""),"",IF($B460="MEANS",INDEX('1-DATA'!$1:$1048576,$A459-1,COLUMN('1-DATA'!E458)),ROUND(INDEX('1-DATA'!$1:$1048576,IF(OR($B460="STD. DEVIATION",$C$1=1),$A460,$A460+1),COLUMN('1-DATA'!E458)),IF($B460="STD. DEVIATION",2,$F$1))))</f>
        <v/>
      </c>
      <c r="G460" s="1" t="str">
        <f>IF(OR($B460="",G$7=""),"",IF($B460="MEANS",INDEX('1-DATA'!$1:$1048576,$A459-1,COLUMN('1-DATA'!F458)),ROUND(INDEX('1-DATA'!$1:$1048576,IF(OR($B460="STD. DEVIATION",$C$1=1),$A460,$A460+1),COLUMN('1-DATA'!F458)),IF($B460="STD. DEVIATION",2,$F$1))))</f>
        <v/>
      </c>
      <c r="H460" s="1" t="str">
        <f>IF(OR($B460="",H$7=""),"",IF($B460="MEANS",INDEX('1-DATA'!$1:$1048576,$A459-1,COLUMN('1-DATA'!G458)),ROUND(INDEX('1-DATA'!$1:$1048576,IF(OR($B460="STD. DEVIATION",$C$1=1),$A460,$A460+1),COLUMN('1-DATA'!G458)),IF($B460="STD. DEVIATION",2,$F$1))))</f>
        <v/>
      </c>
      <c r="I460" s="1" t="str">
        <f>IF(OR($B460="",I$7=""),"",IF($B460="MEANS",INDEX('1-DATA'!$1:$1048576,$A459-1,COLUMN('1-DATA'!H458)),ROUND(INDEX('1-DATA'!$1:$1048576,IF(OR($B460="STD. DEVIATION",$C$1=1),$A460,$A460+1),COLUMN('1-DATA'!H458)),IF($B460="STD. DEVIATION",2,$F$1))))</f>
        <v/>
      </c>
      <c r="J460" s="1" t="str">
        <f>IF(OR($B460="",J$7=""),"",IF($B460="MEANS",INDEX('1-DATA'!$1:$1048576,$A459-1,COLUMN('1-DATA'!I458)),ROUND(INDEX('1-DATA'!$1:$1048576,IF(OR($B460="STD. DEVIATION",$C$1=1),$A460,$A460+1),COLUMN('1-DATA'!I458)),IF($B460="STD. DEVIATION",2,$F$1))))</f>
        <v/>
      </c>
      <c r="K460" s="1" t="str">
        <f>IF(OR($B460="",K$7=""),"",IF($B460="MEANS",INDEX('1-DATA'!$1:$1048576,$A459-1,COLUMN('1-DATA'!J458)),ROUND(INDEX('1-DATA'!$1:$1048576,IF(OR($B460="STD. DEVIATION",$C$1=1),$A460,$A460+1),COLUMN('1-DATA'!J458)),IF($B460="STD. DEVIATION",2,$F$1))))</f>
        <v/>
      </c>
      <c r="L460" s="1" t="str">
        <f>IF(OR($B460="",L$7=""),"",IF($B460="MEANS",INDEX('1-DATA'!$1:$1048576,$A459-1,COLUMN('1-DATA'!K458)),ROUND(INDEX('1-DATA'!$1:$1048576,IF(OR($B460="STD. DEVIATION",$C$1=1),$A460,$A460+1),COLUMN('1-DATA'!K458)),IF($B460="STD. DEVIATION",2,$F$1))))</f>
        <v/>
      </c>
      <c r="M460" s="1" t="str">
        <f>IF(OR($B460="",M$7=""),"",IF($B460="MEANS",INDEX('1-DATA'!$1:$1048576,$A459-1,COLUMN('1-DATA'!L458)),ROUND(INDEX('1-DATA'!$1:$1048576,IF(OR($B460="STD. DEVIATION",$C$1=1),$A460,$A460+1),COLUMN('1-DATA'!L458)),IF($B460="STD. DEVIATION",2,$F$1))))</f>
        <v/>
      </c>
      <c r="N460" s="1" t="str">
        <f>IF(OR($B460="",N$7=""),"",IF($B460="MEANS",INDEX('1-DATA'!$1:$1048576,$A459-1,COLUMN('1-DATA'!M458)),ROUND(INDEX('1-DATA'!$1:$1048576,IF(OR($B460="STD. DEVIATION",$C$1=1),$A460,$A460+1),COLUMN('1-DATA'!M458)),IF($B460="STD. DEVIATION",2,$F$1))))</f>
        <v/>
      </c>
      <c r="O460" s="1" t="str">
        <f>IF(OR($B460="",O$7=""),"",IF($B460="MEANS",INDEX('1-DATA'!$1:$1048576,$A459-1,COLUMN('1-DATA'!N458)),ROUND(INDEX('1-DATA'!$1:$1048576,IF(OR($B460="STD. DEVIATION",$C$1=1),$A460,$A460+1),COLUMN('1-DATA'!N458)),IF($B460="STD. DEVIATION",2,$F$1))))</f>
        <v/>
      </c>
      <c r="P460" s="1" t="str">
        <f>IF(OR($B460="",P$7=""),"",IF($B460="MEANS",INDEX('1-DATA'!$1:$1048576,$A459-1,COLUMN('1-DATA'!O458)),ROUND(INDEX('1-DATA'!$1:$1048576,IF(OR($B460="STD. DEVIATION",$C$1=1),$A460,$A460+1),COLUMN('1-DATA'!O458)),IF($B460="STD. DEVIATION",2,$F$1))))</f>
        <v/>
      </c>
      <c r="Q460" s="1" t="str">
        <f>IF(OR($B460="",Q$7=""),"",IF($B460="MEANS",INDEX('1-DATA'!$1:$1048576,$A459-1,COLUMN('1-DATA'!P458)),ROUND(INDEX('1-DATA'!$1:$1048576,IF(OR($B460="STD. DEVIATION",$C$1=1),$A460,$A460+1),COLUMN('1-DATA'!P458)),IF($B460="STD. DEVIATION",2,$F$1))))</f>
        <v/>
      </c>
      <c r="R460" s="1" t="str">
        <f>IF(OR($B460="",R$7=""),"",IF($B460="MEANS",INDEX('1-DATA'!$1:$1048576,$A459-1,COLUMN('1-DATA'!Q458)),ROUND(INDEX('1-DATA'!$1:$1048576,IF(OR($B460="STD. DEVIATION",$C$1=1),$A460,$A460+1),COLUMN('1-DATA'!Q458)),IF($B460="STD. DEVIATION",2,$F$1))))</f>
        <v/>
      </c>
      <c r="S460" s="1" t="str">
        <f>IF(OR($B460="",S$7=""),"",IF($B460="MEANS",INDEX('1-DATA'!$1:$1048576,$A459-1,COLUMN('1-DATA'!R458)),ROUND(INDEX('1-DATA'!$1:$1048576,IF(OR($B460="STD. DEVIATION",$C$1=1),$A460,$A460+1),COLUMN('1-DATA'!R458)),IF($B460="STD. DEVIATION",2,$F$1))))</f>
        <v/>
      </c>
      <c r="T460" s="1" t="str">
        <f>IF(OR($B460="",T$7=""),"",IF($B460="MEANS",INDEX('1-DATA'!$1:$1048576,$A459-1,COLUMN('1-DATA'!S458)),ROUND(INDEX('1-DATA'!$1:$1048576,IF(OR($B460="STD. DEVIATION",$C$1=1),$A460,$A460+1),COLUMN('1-DATA'!S458)),IF($B460="STD. DEVIATION",2,$F$1))))</f>
        <v/>
      </c>
      <c r="U460" s="1" t="str">
        <f>IF(OR($B460="",U$7=""),"",IF($B460="MEANS",INDEX('1-DATA'!$1:$1048576,$A459-1,COLUMN('1-DATA'!T458)),ROUND(INDEX('1-DATA'!$1:$1048576,IF(OR($B460="STD. DEVIATION",$C$1=1),$A460,$A460+1),COLUMN('1-DATA'!T458)),IF($B460="STD. DEVIATION",2,$F$1))))</f>
        <v/>
      </c>
      <c r="V460" s="1" t="str">
        <f>IF(OR($B460="",V$7=""),"",IF($B460="MEANS",INDEX('1-DATA'!$1:$1048576,$A459-1,COLUMN('1-DATA'!U458)),ROUND(INDEX('1-DATA'!$1:$1048576,IF(OR($B460="STD. DEVIATION",$C$1=1),$A460,$A460+1),COLUMN('1-DATA'!U458)),IF($B460="STD. DEVIATION",2,$F$1))))</f>
        <v/>
      </c>
      <c r="W460" s="1" t="str">
        <f>IF(OR($B460="",W$7=""),"",IF($B460="MEANS",INDEX('1-DATA'!$1:$1048576,$A459-1,COLUMN('1-DATA'!V458)),ROUND(INDEX('1-DATA'!$1:$1048576,IF(OR($B460="STD. DEVIATION",$C$1=1),$A460,$A460+1),COLUMN('1-DATA'!V458)),IF($B460="STD. DEVIATION",2,$F$1))))</f>
        <v/>
      </c>
      <c r="X460" s="1" t="str">
        <f>IF(OR($B460="",X$7=""),"",IF($B460="MEANS",INDEX('1-DATA'!$1:$1048576,$A459-1,COLUMN('1-DATA'!W458)),ROUND(INDEX('1-DATA'!$1:$1048576,IF(OR($B460="STD. DEVIATION",$C$1=1),$A460,$A460+1),COLUMN('1-DATA'!W458)),IF($B460="STD. DEVIATION",2,$F$1))))</f>
        <v/>
      </c>
      <c r="Y460" s="1" t="str">
        <f>IF(OR($B460="",Y$7=""),"",IF($B460="MEANS",INDEX('1-DATA'!$1:$1048576,$A459-1,COLUMN('1-DATA'!X458)),ROUND(INDEX('1-DATA'!$1:$1048576,IF(OR($B460="STD. DEVIATION",$C$1=1),$A460,$A460+1),COLUMN('1-DATA'!X458)),IF($B460="STD. DEVIATION",2,$F$1))))</f>
        <v/>
      </c>
      <c r="Z460" s="1" t="str">
        <f>IF(OR($B460="",Z$7=""),"",IF($B460="MEANS",INDEX('1-DATA'!$1:$1048576,$A459-1,COLUMN('1-DATA'!Y458)),ROUND(INDEX('1-DATA'!$1:$1048576,IF(OR($B460="STD. DEVIATION",$C$1=1),$A460,$A460+1),COLUMN('1-DATA'!Y458)),IF($B460="STD. DEVIATION",2,$F$1))))</f>
        <v/>
      </c>
      <c r="AA460" s="1" t="str">
        <f>IF(OR($B460="",AA$7=""),"",IF($B460="MEANS",INDEX('1-DATA'!$1:$1048576,$A459-1,COLUMN('1-DATA'!Z458)),ROUND(INDEX('1-DATA'!$1:$1048576,IF(OR($B460="STD. DEVIATION",$C$1=1),$A460,$A460+1),COLUMN('1-DATA'!Z458)),IF($B460="STD. DEVIATION",2,$F$1))))</f>
        <v/>
      </c>
      <c r="AB460" s="1" t="str">
        <f>IF(OR($B460="",AB$7=""),"",IF($B460="MEANS",INDEX('1-DATA'!$1:$1048576,$A459-1,COLUMN('1-DATA'!AA458)),ROUND(INDEX('1-DATA'!$1:$1048576,IF(OR($B460="STD. DEVIATION",$C$1=1),$A460,$A460+1),COLUMN('1-DATA'!AA458)),IF($B460="STD. DEVIATION",2,$F$1))))</f>
        <v/>
      </c>
      <c r="AC460" s="1" t="str">
        <f>IF(OR($B460="",AC$7=""),"",IF($B460="MEANS",INDEX('1-DATA'!$1:$1048576,$A459-1,COLUMN('1-DATA'!AB458)),ROUND(INDEX('1-DATA'!$1:$1048576,IF(OR($B460="STD. DEVIATION",$C$1=1),$A460,$A460+1),COLUMN('1-DATA'!AB458)),IF($B460="STD. DEVIATION",2,$F$1))))</f>
        <v/>
      </c>
      <c r="AD460" s="1" t="str">
        <f>IF(OR($B460="",AD$7=""),"",IF($B460="MEANS",INDEX('1-DATA'!$1:$1048576,$A459-1,COLUMN('1-DATA'!AC458)),ROUND(INDEX('1-DATA'!$1:$1048576,IF(OR($B460="STD. DEVIATION",$C$1=1),$A460,$A460+1),COLUMN('1-DATA'!AC458)),IF($B460="STD. DEVIATION",2,$F$1))))</f>
        <v/>
      </c>
      <c r="AE460" s="1" t="str">
        <f>IF(OR($B460="",AE$7=""),"",IF($B460="MEANS",INDEX('1-DATA'!$1:$1048576,$A459-1,COLUMN('1-DATA'!AD458)),ROUND(INDEX('1-DATA'!$1:$1048576,IF(OR($B460="STD. DEVIATION",$C$1=1),$A460,$A460+1),COLUMN('1-DATA'!AD458)),IF($B460="STD. DEVIATION",2,$F$1))))</f>
        <v/>
      </c>
      <c r="AF460" s="1" t="str">
        <f>IF(OR($B460="",AF$7=""),"",IF($B460="MEANS",INDEX('1-DATA'!$1:$1048576,$A459-1,COLUMN('1-DATA'!AE458)),ROUND(INDEX('1-DATA'!$1:$1048576,IF(OR($B460="STD. DEVIATION",$C$1=1),$A460,$A460+1),COLUMN('1-DATA'!AE458)),IF($B460="STD. DEVIATION",2,$F$1))))</f>
        <v/>
      </c>
      <c r="AG460" s="1" t="str">
        <f>IF(OR($B460="",AG$7=""),"",IF($B460="MEANS",INDEX('1-DATA'!$1:$1048576,$A459-1,COLUMN('1-DATA'!AF458)),ROUND(INDEX('1-DATA'!$1:$1048576,IF(OR($B460="STD. DEVIATION",$C$1=1),$A460,$A460+1),COLUMN('1-DATA'!AF458)),IF($B460="STD. DEVIATION",2,$F$1))))</f>
        <v/>
      </c>
      <c r="AH460" s="1" t="str">
        <f>IF(OR($B460="",AH$7=""),"",IF($B460="MEANS",INDEX('1-DATA'!$1:$1048576,$A459-1,COLUMN('1-DATA'!AG458)),ROUND(INDEX('1-DATA'!$1:$1048576,IF(OR($B460="STD. DEVIATION",$C$1=1),$A460,$A460+1),COLUMN('1-DATA'!AG458)),IF($B460="STD. DEVIATION",2,$F$1))))</f>
        <v/>
      </c>
      <c r="AI460" s="1" t="str">
        <f>IF(OR($B460="",AI$7=""),"",IF($B460="MEANS",INDEX('1-DATA'!$1:$1048576,$A459-1,COLUMN('1-DATA'!AH458)),ROUND(INDEX('1-DATA'!$1:$1048576,IF(OR($B460="STD. DEVIATION",$C$1=1),$A460,$A460+1),COLUMN('1-DATA'!AH458)),IF($B460="STD. DEVIATION",2,$F$1))))</f>
        <v/>
      </c>
      <c r="AJ460" s="1" t="str">
        <f>IF(OR($B460="",AJ$7=""),"",IF($B460="MEANS",INDEX('1-DATA'!$1:$1048576,$A459-1,COLUMN('1-DATA'!AI458)),ROUND(INDEX('1-DATA'!$1:$1048576,IF(OR($B460="STD. DEVIATION",$C$1=1),$A460,$A460+1),COLUMN('1-DATA'!AI458)),IF($B460="STD. DEVIATION",2,$F$1))))</f>
        <v/>
      </c>
      <c r="AK460" s="1" t="str">
        <f>IF(OR($B460="",AK$7=""),"",IF($B460="MEANS",INDEX('1-DATA'!$1:$1048576,$A459-1,COLUMN('1-DATA'!AJ458)),ROUND(INDEX('1-DATA'!$1:$1048576,IF(OR($B460="STD. DEVIATION",$C$1=1),$A460,$A460+1),COLUMN('1-DATA'!AJ458)),IF($B460="STD. DEVIATION",2,$F$1))))</f>
        <v/>
      </c>
      <c r="AL460" s="1" t="str">
        <f>IF(OR($B460="",AL$7=""),"",IF($B460="MEANS",INDEX('1-DATA'!$1:$1048576,$A459-1,COLUMN('1-DATA'!AK458)),ROUND(INDEX('1-DATA'!$1:$1048576,IF(OR($B460="STD. DEVIATION",$C$1=1),$A460,$A460+1),COLUMN('1-DATA'!AK458)),IF($B460="STD. DEVIATION",2,$F$1))))</f>
        <v/>
      </c>
      <c r="AM460" s="1" t="str">
        <f>IF(OR($B460="",AM$7=""),"",IF($B460="MEANS",INDEX('1-DATA'!$1:$1048576,$A459-1,COLUMN('1-DATA'!AL458)),ROUND(INDEX('1-DATA'!$1:$1048576,IF(OR($B460="STD. DEVIATION",$C$1=1),$A460,$A460+1),COLUMN('1-DATA'!AL458)),IF($B460="STD. DEVIATION",2,$F$1))))</f>
        <v/>
      </c>
      <c r="AN460" s="1" t="str">
        <f>IF(OR($B460="",AN$7=""),"",IF($B460="MEANS",INDEX('1-DATA'!$1:$1048576,$A459-1,COLUMN('1-DATA'!AM458)),ROUND(INDEX('1-DATA'!$1:$1048576,IF(OR($B460="STD. DEVIATION",$C$1=1),$A460,$A460+1),COLUMN('1-DATA'!AM458)),IF($B460="STD. DEVIATION",2,$F$1))))</f>
        <v/>
      </c>
      <c r="AO460" s="1" t="str">
        <f>IF(OR($B460="",AO$7=""),"",IF($B460="MEANS",INDEX('1-DATA'!$1:$1048576,$A459-1,COLUMN('1-DATA'!AN458)),ROUND(INDEX('1-DATA'!$1:$1048576,IF(OR($B460="STD. DEVIATION",$C$1=1),$A460,$A460+1),COLUMN('1-DATA'!AN458)),IF($B460="STD. DEVIATION",2,$F$1))))</f>
        <v/>
      </c>
      <c r="AP460" s="1" t="str">
        <f>IF(OR($B460="",AP$7=""),"",IF($B460="MEANS",INDEX('1-DATA'!$1:$1048576,$A459-1,COLUMN('1-DATA'!AO458)),ROUND(INDEX('1-DATA'!$1:$1048576,IF(OR($B460="STD. DEVIATION",$C$1=1),$A460,$A460+1),COLUMN('1-DATA'!AO458)),IF($B460="STD. DEVIATION",2,$F$1))))</f>
        <v/>
      </c>
      <c r="AQ460" s="1" t="str">
        <f>IF(OR($B460="",AQ$7=""),"",IF($B460="MEANS",INDEX('1-DATA'!$1:$1048576,$A459-1,COLUMN('1-DATA'!AP458)),ROUND(INDEX('1-DATA'!$1:$1048576,IF(OR($B460="STD. DEVIATION",$C$1=1),$A460,$A460+1),COLUMN('1-DATA'!AP458)),IF($B460="STD. DEVIATION",2,$F$1))))</f>
        <v/>
      </c>
      <c r="AR460" s="1" t="str">
        <f>IF(OR($B460="",AR$7=""),"",IF($B460="MEANS",INDEX('1-DATA'!$1:$1048576,$A459-1,COLUMN('1-DATA'!AQ458)),ROUND(INDEX('1-DATA'!$1:$1048576,IF(OR($B460="STD. DEVIATION",$C$1=1),$A460,$A460+1),COLUMN('1-DATA'!AQ458)),IF($B460="STD. DEVIATION",2,$F$1))))</f>
        <v/>
      </c>
      <c r="AS460" s="1" t="str">
        <f>IF(OR($B460="",AS$7=""),"",IF($B460="MEANS",INDEX('1-DATA'!$1:$1048576,$A459-1,COLUMN('1-DATA'!AR458)),ROUND(INDEX('1-DATA'!$1:$1048576,IF(OR($B460="STD. DEVIATION",$C$1=1),$A460,$A460+1),COLUMN('1-DATA'!AR458)),IF($B460="STD. DEVIATION",2,$F$1))))</f>
        <v/>
      </c>
      <c r="AT460" s="1" t="str">
        <f>IF(OR($B460="",AT$7=""),"",IF($B460="MEANS",INDEX('1-DATA'!$1:$1048576,$A459-1,COLUMN('1-DATA'!AS458)),ROUND(INDEX('1-DATA'!$1:$1048576,IF(OR($B460="STD. DEVIATION",$C$1=1),$A460,$A460+1),COLUMN('1-DATA'!AS458)),IF($B460="STD. DEVIATION",2,$F$1))))</f>
        <v/>
      </c>
      <c r="AU460" s="1" t="str">
        <f>IF(OR($B460="",AU$7=""),"",IF($B460="MEANS",INDEX('1-DATA'!$1:$1048576,$A459-1,COLUMN('1-DATA'!AT458)),ROUND(INDEX('1-DATA'!$1:$1048576,IF(OR($B460="STD. DEVIATION",$C$1=1),$A460,$A460+1),COLUMN('1-DATA'!AT458)),IF($B460="STD. DEVIATION",2,$F$1))))</f>
        <v/>
      </c>
      <c r="AV460" s="1" t="str">
        <f>IF(OR($B460="",AV$7=""),"",IF($B460="MEANS",INDEX('1-DATA'!$1:$1048576,$A459-1,COLUMN('1-DATA'!AU458)),ROUND(INDEX('1-DATA'!$1:$1048576,IF(OR($B460="STD. DEVIATION",$C$1=1),$A460,$A460+1),COLUMN('1-DATA'!AU458)),IF($B460="STD. DEVIATION",2,$F$1))))</f>
        <v/>
      </c>
      <c r="AW460" s="1" t="str">
        <f>IF(OR($B460="",AW$7=""),"",IF($B460="MEANS",INDEX('1-DATA'!$1:$1048576,$A459-1,COLUMN('1-DATA'!AV458)),ROUND(INDEX('1-DATA'!$1:$1048576,IF(OR($B460="STD. DEVIATION",$C$1=1),$A460,$A460+1),COLUMN('1-DATA'!AV458)),IF($B460="STD. DEVIATION",2,$F$1))))</f>
        <v/>
      </c>
      <c r="AX460" s="1" t="str">
        <f>IF(OR($B460="",AX$7=""),"",IF($B460="MEANS",INDEX('1-DATA'!$1:$1048576,$A459-1,COLUMN('1-DATA'!AW458)),ROUND(INDEX('1-DATA'!$1:$1048576,IF(OR($B460="STD. DEVIATION",$C$1=1),$A460,$A460+1),COLUMN('1-DATA'!AW458)),IF($B460="STD. DEVIATION",2,$F$1))))</f>
        <v/>
      </c>
      <c r="AY460" s="1" t="str">
        <f>IF(OR($B460="",AY$7=""),"",IF($B460="MEANS",INDEX('1-DATA'!$1:$1048576,$A459-1,COLUMN('1-DATA'!AX458)),ROUND(INDEX('1-DATA'!$1:$1048576,IF(OR($B460="STD. DEVIATION",$C$1=1),$A460,$A460+1),COLUMN('1-DATA'!AX458)),IF($B460="STD. DEVIATION",2,$F$1))))</f>
        <v/>
      </c>
      <c r="AZ460" s="1" t="str">
        <f>IF(OR($B460="",AZ$7=""),"",IF($B460="MEANS",INDEX('1-DATA'!$1:$1048576,$A459-1,COLUMN('1-DATA'!AY458)),ROUND(INDEX('1-DATA'!$1:$1048576,IF(OR($B460="STD. DEVIATION",$C$1=1),$A460,$A460+1),COLUMN('1-DATA'!AY458)),IF($B460="STD. DEVIATION",2,$F$1))))</f>
        <v/>
      </c>
    </row>
    <row r="461" spans="1:52" x14ac:dyDescent="0.25">
      <c r="A461" s="11">
        <f t="shared" si="7"/>
        <v>1369</v>
      </c>
      <c r="B461" s="1" t="str">
        <f>IF(B460="STD. DEVIATION",INDEX('1-DATA'!$1:$1048576,$A460-1,1),IF(INDEX('1-DATA'!$1:$1048576,$A461,1)&lt;&gt;"",INDEX('1-DATA'!$1:$1048576,$A461,1),""))</f>
        <v/>
      </c>
      <c r="C461" s="1" t="str">
        <f>IF(OR($B461="",C$7=""),"",IF($B461="MEANS",INDEX('1-DATA'!$1:$1048576,$A460-1,COLUMN('1-DATA'!B459)),ROUND(INDEX('1-DATA'!$1:$1048576,IF(OR($B461="STD. DEVIATION",$C$1=1),$A461,$A461+1),COLUMN('1-DATA'!B459)),IF($B461="STD. DEVIATION",2,$F$1))))</f>
        <v/>
      </c>
      <c r="D461" s="1" t="str">
        <f>IF(OR($B461="",D$7=""),"",IF($B461="MEANS",INDEX('1-DATA'!$1:$1048576,$A460-1,COLUMN('1-DATA'!C459)),ROUND(INDEX('1-DATA'!$1:$1048576,IF(OR($B461="STD. DEVIATION",$C$1=1),$A461,$A461+1),COLUMN('1-DATA'!C459)),IF($B461="STD. DEVIATION",2,$F$1))))</f>
        <v/>
      </c>
      <c r="E461" s="1" t="str">
        <f>IF(OR($B461="",E$7=""),"",IF($B461="MEANS",INDEX('1-DATA'!$1:$1048576,$A460-1,COLUMN('1-DATA'!D459)),ROUND(INDEX('1-DATA'!$1:$1048576,IF(OR($B461="STD. DEVIATION",$C$1=1),$A461,$A461+1),COLUMN('1-DATA'!D459)),IF($B461="STD. DEVIATION",2,$F$1))))</f>
        <v/>
      </c>
      <c r="F461" s="1" t="str">
        <f>IF(OR($B461="",F$7=""),"",IF($B461="MEANS",INDEX('1-DATA'!$1:$1048576,$A460-1,COLUMN('1-DATA'!E459)),ROUND(INDEX('1-DATA'!$1:$1048576,IF(OR($B461="STD. DEVIATION",$C$1=1),$A461,$A461+1),COLUMN('1-DATA'!E459)),IF($B461="STD. DEVIATION",2,$F$1))))</f>
        <v/>
      </c>
      <c r="G461" s="1" t="str">
        <f>IF(OR($B461="",G$7=""),"",IF($B461="MEANS",INDEX('1-DATA'!$1:$1048576,$A460-1,COLUMN('1-DATA'!F459)),ROUND(INDEX('1-DATA'!$1:$1048576,IF(OR($B461="STD. DEVIATION",$C$1=1),$A461,$A461+1),COLUMN('1-DATA'!F459)),IF($B461="STD. DEVIATION",2,$F$1))))</f>
        <v/>
      </c>
      <c r="H461" s="1" t="str">
        <f>IF(OR($B461="",H$7=""),"",IF($B461="MEANS",INDEX('1-DATA'!$1:$1048576,$A460-1,COLUMN('1-DATA'!G459)),ROUND(INDEX('1-DATA'!$1:$1048576,IF(OR($B461="STD. DEVIATION",$C$1=1),$A461,$A461+1),COLUMN('1-DATA'!G459)),IF($B461="STD. DEVIATION",2,$F$1))))</f>
        <v/>
      </c>
      <c r="I461" s="1" t="str">
        <f>IF(OR($B461="",I$7=""),"",IF($B461="MEANS",INDEX('1-DATA'!$1:$1048576,$A460-1,COLUMN('1-DATA'!H459)),ROUND(INDEX('1-DATA'!$1:$1048576,IF(OR($B461="STD. DEVIATION",$C$1=1),$A461,$A461+1),COLUMN('1-DATA'!H459)),IF($B461="STD. DEVIATION",2,$F$1))))</f>
        <v/>
      </c>
      <c r="J461" s="1" t="str">
        <f>IF(OR($B461="",J$7=""),"",IF($B461="MEANS",INDEX('1-DATA'!$1:$1048576,$A460-1,COLUMN('1-DATA'!I459)),ROUND(INDEX('1-DATA'!$1:$1048576,IF(OR($B461="STD. DEVIATION",$C$1=1),$A461,$A461+1),COLUMN('1-DATA'!I459)),IF($B461="STD. DEVIATION",2,$F$1))))</f>
        <v/>
      </c>
      <c r="K461" s="1" t="str">
        <f>IF(OR($B461="",K$7=""),"",IF($B461="MEANS",INDEX('1-DATA'!$1:$1048576,$A460-1,COLUMN('1-DATA'!J459)),ROUND(INDEX('1-DATA'!$1:$1048576,IF(OR($B461="STD. DEVIATION",$C$1=1),$A461,$A461+1),COLUMN('1-DATA'!J459)),IF($B461="STD. DEVIATION",2,$F$1))))</f>
        <v/>
      </c>
      <c r="L461" s="1" t="str">
        <f>IF(OR($B461="",L$7=""),"",IF($B461="MEANS",INDEX('1-DATA'!$1:$1048576,$A460-1,COLUMN('1-DATA'!K459)),ROUND(INDEX('1-DATA'!$1:$1048576,IF(OR($B461="STD. DEVIATION",$C$1=1),$A461,$A461+1),COLUMN('1-DATA'!K459)),IF($B461="STD. DEVIATION",2,$F$1))))</f>
        <v/>
      </c>
      <c r="M461" s="1" t="str">
        <f>IF(OR($B461="",M$7=""),"",IF($B461="MEANS",INDEX('1-DATA'!$1:$1048576,$A460-1,COLUMN('1-DATA'!L459)),ROUND(INDEX('1-DATA'!$1:$1048576,IF(OR($B461="STD. DEVIATION",$C$1=1),$A461,$A461+1),COLUMN('1-DATA'!L459)),IF($B461="STD. DEVIATION",2,$F$1))))</f>
        <v/>
      </c>
      <c r="N461" s="1" t="str">
        <f>IF(OR($B461="",N$7=""),"",IF($B461="MEANS",INDEX('1-DATA'!$1:$1048576,$A460-1,COLUMN('1-DATA'!M459)),ROUND(INDEX('1-DATA'!$1:$1048576,IF(OR($B461="STD. DEVIATION",$C$1=1),$A461,$A461+1),COLUMN('1-DATA'!M459)),IF($B461="STD. DEVIATION",2,$F$1))))</f>
        <v/>
      </c>
      <c r="O461" s="1" t="str">
        <f>IF(OR($B461="",O$7=""),"",IF($B461="MEANS",INDEX('1-DATA'!$1:$1048576,$A460-1,COLUMN('1-DATA'!N459)),ROUND(INDEX('1-DATA'!$1:$1048576,IF(OR($B461="STD. DEVIATION",$C$1=1),$A461,$A461+1),COLUMN('1-DATA'!N459)),IF($B461="STD. DEVIATION",2,$F$1))))</f>
        <v/>
      </c>
      <c r="P461" s="1" t="str">
        <f>IF(OR($B461="",P$7=""),"",IF($B461="MEANS",INDEX('1-DATA'!$1:$1048576,$A460-1,COLUMN('1-DATA'!O459)),ROUND(INDEX('1-DATA'!$1:$1048576,IF(OR($B461="STD. DEVIATION",$C$1=1),$A461,$A461+1),COLUMN('1-DATA'!O459)),IF($B461="STD. DEVIATION",2,$F$1))))</f>
        <v/>
      </c>
      <c r="Q461" s="1" t="str">
        <f>IF(OR($B461="",Q$7=""),"",IF($B461="MEANS",INDEX('1-DATA'!$1:$1048576,$A460-1,COLUMN('1-DATA'!P459)),ROUND(INDEX('1-DATA'!$1:$1048576,IF(OR($B461="STD. DEVIATION",$C$1=1),$A461,$A461+1),COLUMN('1-DATA'!P459)),IF($B461="STD. DEVIATION",2,$F$1))))</f>
        <v/>
      </c>
      <c r="R461" s="1" t="str">
        <f>IF(OR($B461="",R$7=""),"",IF($B461="MEANS",INDEX('1-DATA'!$1:$1048576,$A460-1,COLUMN('1-DATA'!Q459)),ROUND(INDEX('1-DATA'!$1:$1048576,IF(OR($B461="STD. DEVIATION",$C$1=1),$A461,$A461+1),COLUMN('1-DATA'!Q459)),IF($B461="STD. DEVIATION",2,$F$1))))</f>
        <v/>
      </c>
      <c r="S461" s="1" t="str">
        <f>IF(OR($B461="",S$7=""),"",IF($B461="MEANS",INDEX('1-DATA'!$1:$1048576,$A460-1,COLUMN('1-DATA'!R459)),ROUND(INDEX('1-DATA'!$1:$1048576,IF(OR($B461="STD. DEVIATION",$C$1=1),$A461,$A461+1),COLUMN('1-DATA'!R459)),IF($B461="STD. DEVIATION",2,$F$1))))</f>
        <v/>
      </c>
      <c r="T461" s="1" t="str">
        <f>IF(OR($B461="",T$7=""),"",IF($B461="MEANS",INDEX('1-DATA'!$1:$1048576,$A460-1,COLUMN('1-DATA'!S459)),ROUND(INDEX('1-DATA'!$1:$1048576,IF(OR($B461="STD. DEVIATION",$C$1=1),$A461,$A461+1),COLUMN('1-DATA'!S459)),IF($B461="STD. DEVIATION",2,$F$1))))</f>
        <v/>
      </c>
      <c r="U461" s="1" t="str">
        <f>IF(OR($B461="",U$7=""),"",IF($B461="MEANS",INDEX('1-DATA'!$1:$1048576,$A460-1,COLUMN('1-DATA'!T459)),ROUND(INDEX('1-DATA'!$1:$1048576,IF(OR($B461="STD. DEVIATION",$C$1=1),$A461,$A461+1),COLUMN('1-DATA'!T459)),IF($B461="STD. DEVIATION",2,$F$1))))</f>
        <v/>
      </c>
      <c r="V461" s="1" t="str">
        <f>IF(OR($B461="",V$7=""),"",IF($B461="MEANS",INDEX('1-DATA'!$1:$1048576,$A460-1,COLUMN('1-DATA'!U459)),ROUND(INDEX('1-DATA'!$1:$1048576,IF(OR($B461="STD. DEVIATION",$C$1=1),$A461,$A461+1),COLUMN('1-DATA'!U459)),IF($B461="STD. DEVIATION",2,$F$1))))</f>
        <v/>
      </c>
      <c r="W461" s="1" t="str">
        <f>IF(OR($B461="",W$7=""),"",IF($B461="MEANS",INDEX('1-DATA'!$1:$1048576,$A460-1,COLUMN('1-DATA'!V459)),ROUND(INDEX('1-DATA'!$1:$1048576,IF(OR($B461="STD. DEVIATION",$C$1=1),$A461,$A461+1),COLUMN('1-DATA'!V459)),IF($B461="STD. DEVIATION",2,$F$1))))</f>
        <v/>
      </c>
      <c r="X461" s="1" t="str">
        <f>IF(OR($B461="",X$7=""),"",IF($B461="MEANS",INDEX('1-DATA'!$1:$1048576,$A460-1,COLUMN('1-DATA'!W459)),ROUND(INDEX('1-DATA'!$1:$1048576,IF(OR($B461="STD. DEVIATION",$C$1=1),$A461,$A461+1),COLUMN('1-DATA'!W459)),IF($B461="STD. DEVIATION",2,$F$1))))</f>
        <v/>
      </c>
      <c r="Y461" s="1" t="str">
        <f>IF(OR($B461="",Y$7=""),"",IF($B461="MEANS",INDEX('1-DATA'!$1:$1048576,$A460-1,COLUMN('1-DATA'!X459)),ROUND(INDEX('1-DATA'!$1:$1048576,IF(OR($B461="STD. DEVIATION",$C$1=1),$A461,$A461+1),COLUMN('1-DATA'!X459)),IF($B461="STD. DEVIATION",2,$F$1))))</f>
        <v/>
      </c>
      <c r="Z461" s="1" t="str">
        <f>IF(OR($B461="",Z$7=""),"",IF($B461="MEANS",INDEX('1-DATA'!$1:$1048576,$A460-1,COLUMN('1-DATA'!Y459)),ROUND(INDEX('1-DATA'!$1:$1048576,IF(OR($B461="STD. DEVIATION",$C$1=1),$A461,$A461+1),COLUMN('1-DATA'!Y459)),IF($B461="STD. DEVIATION",2,$F$1))))</f>
        <v/>
      </c>
      <c r="AA461" s="1" t="str">
        <f>IF(OR($B461="",AA$7=""),"",IF($B461="MEANS",INDEX('1-DATA'!$1:$1048576,$A460-1,COLUMN('1-DATA'!Z459)),ROUND(INDEX('1-DATA'!$1:$1048576,IF(OR($B461="STD. DEVIATION",$C$1=1),$A461,$A461+1),COLUMN('1-DATA'!Z459)),IF($B461="STD. DEVIATION",2,$F$1))))</f>
        <v/>
      </c>
      <c r="AB461" s="1" t="str">
        <f>IF(OR($B461="",AB$7=""),"",IF($B461="MEANS",INDEX('1-DATA'!$1:$1048576,$A460-1,COLUMN('1-DATA'!AA459)),ROUND(INDEX('1-DATA'!$1:$1048576,IF(OR($B461="STD. DEVIATION",$C$1=1),$A461,$A461+1),COLUMN('1-DATA'!AA459)),IF($B461="STD. DEVIATION",2,$F$1))))</f>
        <v/>
      </c>
      <c r="AC461" s="1" t="str">
        <f>IF(OR($B461="",AC$7=""),"",IF($B461="MEANS",INDEX('1-DATA'!$1:$1048576,$A460-1,COLUMN('1-DATA'!AB459)),ROUND(INDEX('1-DATA'!$1:$1048576,IF(OR($B461="STD. DEVIATION",$C$1=1),$A461,$A461+1),COLUMN('1-DATA'!AB459)),IF($B461="STD. DEVIATION",2,$F$1))))</f>
        <v/>
      </c>
      <c r="AD461" s="1" t="str">
        <f>IF(OR($B461="",AD$7=""),"",IF($B461="MEANS",INDEX('1-DATA'!$1:$1048576,$A460-1,COLUMN('1-DATA'!AC459)),ROUND(INDEX('1-DATA'!$1:$1048576,IF(OR($B461="STD. DEVIATION",$C$1=1),$A461,$A461+1),COLUMN('1-DATA'!AC459)),IF($B461="STD. DEVIATION",2,$F$1))))</f>
        <v/>
      </c>
      <c r="AE461" s="1" t="str">
        <f>IF(OR($B461="",AE$7=""),"",IF($B461="MEANS",INDEX('1-DATA'!$1:$1048576,$A460-1,COLUMN('1-DATA'!AD459)),ROUND(INDEX('1-DATA'!$1:$1048576,IF(OR($B461="STD. DEVIATION",$C$1=1),$A461,$A461+1),COLUMN('1-DATA'!AD459)),IF($B461="STD. DEVIATION",2,$F$1))))</f>
        <v/>
      </c>
      <c r="AF461" s="1" t="str">
        <f>IF(OR($B461="",AF$7=""),"",IF($B461="MEANS",INDEX('1-DATA'!$1:$1048576,$A460-1,COLUMN('1-DATA'!AE459)),ROUND(INDEX('1-DATA'!$1:$1048576,IF(OR($B461="STD. DEVIATION",$C$1=1),$A461,$A461+1),COLUMN('1-DATA'!AE459)),IF($B461="STD. DEVIATION",2,$F$1))))</f>
        <v/>
      </c>
      <c r="AG461" s="1" t="str">
        <f>IF(OR($B461="",AG$7=""),"",IF($B461="MEANS",INDEX('1-DATA'!$1:$1048576,$A460-1,COLUMN('1-DATA'!AF459)),ROUND(INDEX('1-DATA'!$1:$1048576,IF(OR($B461="STD. DEVIATION",$C$1=1),$A461,$A461+1),COLUMN('1-DATA'!AF459)),IF($B461="STD. DEVIATION",2,$F$1))))</f>
        <v/>
      </c>
      <c r="AH461" s="1" t="str">
        <f>IF(OR($B461="",AH$7=""),"",IF($B461="MEANS",INDEX('1-DATA'!$1:$1048576,$A460-1,COLUMN('1-DATA'!AG459)),ROUND(INDEX('1-DATA'!$1:$1048576,IF(OR($B461="STD. DEVIATION",$C$1=1),$A461,$A461+1),COLUMN('1-DATA'!AG459)),IF($B461="STD. DEVIATION",2,$F$1))))</f>
        <v/>
      </c>
      <c r="AI461" s="1" t="str">
        <f>IF(OR($B461="",AI$7=""),"",IF($B461="MEANS",INDEX('1-DATA'!$1:$1048576,$A460-1,COLUMN('1-DATA'!AH459)),ROUND(INDEX('1-DATA'!$1:$1048576,IF(OR($B461="STD. DEVIATION",$C$1=1),$A461,$A461+1),COLUMN('1-DATA'!AH459)),IF($B461="STD. DEVIATION",2,$F$1))))</f>
        <v/>
      </c>
      <c r="AJ461" s="1" t="str">
        <f>IF(OR($B461="",AJ$7=""),"",IF($B461="MEANS",INDEX('1-DATA'!$1:$1048576,$A460-1,COLUMN('1-DATA'!AI459)),ROUND(INDEX('1-DATA'!$1:$1048576,IF(OR($B461="STD. DEVIATION",$C$1=1),$A461,$A461+1),COLUMN('1-DATA'!AI459)),IF($B461="STD. DEVIATION",2,$F$1))))</f>
        <v/>
      </c>
      <c r="AK461" s="1" t="str">
        <f>IF(OR($B461="",AK$7=""),"",IF($B461="MEANS",INDEX('1-DATA'!$1:$1048576,$A460-1,COLUMN('1-DATA'!AJ459)),ROUND(INDEX('1-DATA'!$1:$1048576,IF(OR($B461="STD. DEVIATION",$C$1=1),$A461,$A461+1),COLUMN('1-DATA'!AJ459)),IF($B461="STD. DEVIATION",2,$F$1))))</f>
        <v/>
      </c>
      <c r="AL461" s="1" t="str">
        <f>IF(OR($B461="",AL$7=""),"",IF($B461="MEANS",INDEX('1-DATA'!$1:$1048576,$A460-1,COLUMN('1-DATA'!AK459)),ROUND(INDEX('1-DATA'!$1:$1048576,IF(OR($B461="STD. DEVIATION",$C$1=1),$A461,$A461+1),COLUMN('1-DATA'!AK459)),IF($B461="STD. DEVIATION",2,$F$1))))</f>
        <v/>
      </c>
      <c r="AM461" s="1" t="str">
        <f>IF(OR($B461="",AM$7=""),"",IF($B461="MEANS",INDEX('1-DATA'!$1:$1048576,$A460-1,COLUMN('1-DATA'!AL459)),ROUND(INDEX('1-DATA'!$1:$1048576,IF(OR($B461="STD. DEVIATION",$C$1=1),$A461,$A461+1),COLUMN('1-DATA'!AL459)),IF($B461="STD. DEVIATION",2,$F$1))))</f>
        <v/>
      </c>
      <c r="AN461" s="1" t="str">
        <f>IF(OR($B461="",AN$7=""),"",IF($B461="MEANS",INDEX('1-DATA'!$1:$1048576,$A460-1,COLUMN('1-DATA'!AM459)),ROUND(INDEX('1-DATA'!$1:$1048576,IF(OR($B461="STD. DEVIATION",$C$1=1),$A461,$A461+1),COLUMN('1-DATA'!AM459)),IF($B461="STD. DEVIATION",2,$F$1))))</f>
        <v/>
      </c>
      <c r="AO461" s="1" t="str">
        <f>IF(OR($B461="",AO$7=""),"",IF($B461="MEANS",INDEX('1-DATA'!$1:$1048576,$A460-1,COLUMN('1-DATA'!AN459)),ROUND(INDEX('1-DATA'!$1:$1048576,IF(OR($B461="STD. DEVIATION",$C$1=1),$A461,$A461+1),COLUMN('1-DATA'!AN459)),IF($B461="STD. DEVIATION",2,$F$1))))</f>
        <v/>
      </c>
      <c r="AP461" s="1" t="str">
        <f>IF(OR($B461="",AP$7=""),"",IF($B461="MEANS",INDEX('1-DATA'!$1:$1048576,$A460-1,COLUMN('1-DATA'!AO459)),ROUND(INDEX('1-DATA'!$1:$1048576,IF(OR($B461="STD. DEVIATION",$C$1=1),$A461,$A461+1),COLUMN('1-DATA'!AO459)),IF($B461="STD. DEVIATION",2,$F$1))))</f>
        <v/>
      </c>
      <c r="AQ461" s="1" t="str">
        <f>IF(OR($B461="",AQ$7=""),"",IF($B461="MEANS",INDEX('1-DATA'!$1:$1048576,$A460-1,COLUMN('1-DATA'!AP459)),ROUND(INDEX('1-DATA'!$1:$1048576,IF(OR($B461="STD. DEVIATION",$C$1=1),$A461,$A461+1),COLUMN('1-DATA'!AP459)),IF($B461="STD. DEVIATION",2,$F$1))))</f>
        <v/>
      </c>
      <c r="AR461" s="1" t="str">
        <f>IF(OR($B461="",AR$7=""),"",IF($B461="MEANS",INDEX('1-DATA'!$1:$1048576,$A460-1,COLUMN('1-DATA'!AQ459)),ROUND(INDEX('1-DATA'!$1:$1048576,IF(OR($B461="STD. DEVIATION",$C$1=1),$A461,$A461+1),COLUMN('1-DATA'!AQ459)),IF($B461="STD. DEVIATION",2,$F$1))))</f>
        <v/>
      </c>
      <c r="AS461" s="1" t="str">
        <f>IF(OR($B461="",AS$7=""),"",IF($B461="MEANS",INDEX('1-DATA'!$1:$1048576,$A460-1,COLUMN('1-DATA'!AR459)),ROUND(INDEX('1-DATA'!$1:$1048576,IF(OR($B461="STD. DEVIATION",$C$1=1),$A461,$A461+1),COLUMN('1-DATA'!AR459)),IF($B461="STD. DEVIATION",2,$F$1))))</f>
        <v/>
      </c>
      <c r="AT461" s="1" t="str">
        <f>IF(OR($B461="",AT$7=""),"",IF($B461="MEANS",INDEX('1-DATA'!$1:$1048576,$A460-1,COLUMN('1-DATA'!AS459)),ROUND(INDEX('1-DATA'!$1:$1048576,IF(OR($B461="STD. DEVIATION",$C$1=1),$A461,$A461+1),COLUMN('1-DATA'!AS459)),IF($B461="STD. DEVIATION",2,$F$1))))</f>
        <v/>
      </c>
      <c r="AU461" s="1" t="str">
        <f>IF(OR($B461="",AU$7=""),"",IF($B461="MEANS",INDEX('1-DATA'!$1:$1048576,$A460-1,COLUMN('1-DATA'!AT459)),ROUND(INDEX('1-DATA'!$1:$1048576,IF(OR($B461="STD. DEVIATION",$C$1=1),$A461,$A461+1),COLUMN('1-DATA'!AT459)),IF($B461="STD. DEVIATION",2,$F$1))))</f>
        <v/>
      </c>
      <c r="AV461" s="1" t="str">
        <f>IF(OR($B461="",AV$7=""),"",IF($B461="MEANS",INDEX('1-DATA'!$1:$1048576,$A460-1,COLUMN('1-DATA'!AU459)),ROUND(INDEX('1-DATA'!$1:$1048576,IF(OR($B461="STD. DEVIATION",$C$1=1),$A461,$A461+1),COLUMN('1-DATA'!AU459)),IF($B461="STD. DEVIATION",2,$F$1))))</f>
        <v/>
      </c>
      <c r="AW461" s="1" t="str">
        <f>IF(OR($B461="",AW$7=""),"",IF($B461="MEANS",INDEX('1-DATA'!$1:$1048576,$A460-1,COLUMN('1-DATA'!AV459)),ROUND(INDEX('1-DATA'!$1:$1048576,IF(OR($B461="STD. DEVIATION",$C$1=1),$A461,$A461+1),COLUMN('1-DATA'!AV459)),IF($B461="STD. DEVIATION",2,$F$1))))</f>
        <v/>
      </c>
      <c r="AX461" s="1" t="str">
        <f>IF(OR($B461="",AX$7=""),"",IF($B461="MEANS",INDEX('1-DATA'!$1:$1048576,$A460-1,COLUMN('1-DATA'!AW459)),ROUND(INDEX('1-DATA'!$1:$1048576,IF(OR($B461="STD. DEVIATION",$C$1=1),$A461,$A461+1),COLUMN('1-DATA'!AW459)),IF($B461="STD. DEVIATION",2,$F$1))))</f>
        <v/>
      </c>
      <c r="AY461" s="1" t="str">
        <f>IF(OR($B461="",AY$7=""),"",IF($B461="MEANS",INDEX('1-DATA'!$1:$1048576,$A460-1,COLUMN('1-DATA'!AX459)),ROUND(INDEX('1-DATA'!$1:$1048576,IF(OR($B461="STD. DEVIATION",$C$1=1),$A461,$A461+1),COLUMN('1-DATA'!AX459)),IF($B461="STD. DEVIATION",2,$F$1))))</f>
        <v/>
      </c>
      <c r="AZ461" s="1" t="str">
        <f>IF(OR($B461="",AZ$7=""),"",IF($B461="MEANS",INDEX('1-DATA'!$1:$1048576,$A460-1,COLUMN('1-DATA'!AY459)),ROUND(INDEX('1-DATA'!$1:$1048576,IF(OR($B461="STD. DEVIATION",$C$1=1),$A461,$A461+1),COLUMN('1-DATA'!AY459)),IF($B461="STD. DEVIATION",2,$F$1))))</f>
        <v/>
      </c>
    </row>
    <row r="462" spans="1:52" x14ac:dyDescent="0.25">
      <c r="A462" s="11">
        <f t="shared" si="7"/>
        <v>1372</v>
      </c>
      <c r="B462" s="1" t="str">
        <f>IF(B461="STD. DEVIATION",INDEX('1-DATA'!$1:$1048576,$A461-1,1),IF(INDEX('1-DATA'!$1:$1048576,$A462,1)&lt;&gt;"",INDEX('1-DATA'!$1:$1048576,$A462,1),""))</f>
        <v/>
      </c>
      <c r="C462" s="1" t="str">
        <f>IF(OR($B462="",C$7=""),"",IF($B462="MEANS",INDEX('1-DATA'!$1:$1048576,$A461-1,COLUMN('1-DATA'!B460)),ROUND(INDEX('1-DATA'!$1:$1048576,IF(OR($B462="STD. DEVIATION",$C$1=1),$A462,$A462+1),COLUMN('1-DATA'!B460)),IF($B462="STD. DEVIATION",2,$F$1))))</f>
        <v/>
      </c>
      <c r="D462" s="1" t="str">
        <f>IF(OR($B462="",D$7=""),"",IF($B462="MEANS",INDEX('1-DATA'!$1:$1048576,$A461-1,COLUMN('1-DATA'!C460)),ROUND(INDEX('1-DATA'!$1:$1048576,IF(OR($B462="STD. DEVIATION",$C$1=1),$A462,$A462+1),COLUMN('1-DATA'!C460)),IF($B462="STD. DEVIATION",2,$F$1))))</f>
        <v/>
      </c>
      <c r="E462" s="1" t="str">
        <f>IF(OR($B462="",E$7=""),"",IF($B462="MEANS",INDEX('1-DATA'!$1:$1048576,$A461-1,COLUMN('1-DATA'!D460)),ROUND(INDEX('1-DATA'!$1:$1048576,IF(OR($B462="STD. DEVIATION",$C$1=1),$A462,$A462+1),COLUMN('1-DATA'!D460)),IF($B462="STD. DEVIATION",2,$F$1))))</f>
        <v/>
      </c>
      <c r="F462" s="1" t="str">
        <f>IF(OR($B462="",F$7=""),"",IF($B462="MEANS",INDEX('1-DATA'!$1:$1048576,$A461-1,COLUMN('1-DATA'!E460)),ROUND(INDEX('1-DATA'!$1:$1048576,IF(OR($B462="STD. DEVIATION",$C$1=1),$A462,$A462+1),COLUMN('1-DATA'!E460)),IF($B462="STD. DEVIATION",2,$F$1))))</f>
        <v/>
      </c>
      <c r="G462" s="1" t="str">
        <f>IF(OR($B462="",G$7=""),"",IF($B462="MEANS",INDEX('1-DATA'!$1:$1048576,$A461-1,COLUMN('1-DATA'!F460)),ROUND(INDEX('1-DATA'!$1:$1048576,IF(OR($B462="STD. DEVIATION",$C$1=1),$A462,$A462+1),COLUMN('1-DATA'!F460)),IF($B462="STD. DEVIATION",2,$F$1))))</f>
        <v/>
      </c>
      <c r="H462" s="1" t="str">
        <f>IF(OR($B462="",H$7=""),"",IF($B462="MEANS",INDEX('1-DATA'!$1:$1048576,$A461-1,COLUMN('1-DATA'!G460)),ROUND(INDEX('1-DATA'!$1:$1048576,IF(OR($B462="STD. DEVIATION",$C$1=1),$A462,$A462+1),COLUMN('1-DATA'!G460)),IF($B462="STD. DEVIATION",2,$F$1))))</f>
        <v/>
      </c>
      <c r="I462" s="1" t="str">
        <f>IF(OR($B462="",I$7=""),"",IF($B462="MEANS",INDEX('1-DATA'!$1:$1048576,$A461-1,COLUMN('1-DATA'!H460)),ROUND(INDEX('1-DATA'!$1:$1048576,IF(OR($B462="STD. DEVIATION",$C$1=1),$A462,$A462+1),COLUMN('1-DATA'!H460)),IF($B462="STD. DEVIATION",2,$F$1))))</f>
        <v/>
      </c>
      <c r="J462" s="1" t="str">
        <f>IF(OR($B462="",J$7=""),"",IF($B462="MEANS",INDEX('1-DATA'!$1:$1048576,$A461-1,COLUMN('1-DATA'!I460)),ROUND(INDEX('1-DATA'!$1:$1048576,IF(OR($B462="STD. DEVIATION",$C$1=1),$A462,$A462+1),COLUMN('1-DATA'!I460)),IF($B462="STD. DEVIATION",2,$F$1))))</f>
        <v/>
      </c>
      <c r="K462" s="1" t="str">
        <f>IF(OR($B462="",K$7=""),"",IF($B462="MEANS",INDEX('1-DATA'!$1:$1048576,$A461-1,COLUMN('1-DATA'!J460)),ROUND(INDEX('1-DATA'!$1:$1048576,IF(OR($B462="STD. DEVIATION",$C$1=1),$A462,$A462+1),COLUMN('1-DATA'!J460)),IF($B462="STD. DEVIATION",2,$F$1))))</f>
        <v/>
      </c>
      <c r="L462" s="1" t="str">
        <f>IF(OR($B462="",L$7=""),"",IF($B462="MEANS",INDEX('1-DATA'!$1:$1048576,$A461-1,COLUMN('1-DATA'!K460)),ROUND(INDEX('1-DATA'!$1:$1048576,IF(OR($B462="STD. DEVIATION",$C$1=1),$A462,$A462+1),COLUMN('1-DATA'!K460)),IF($B462="STD. DEVIATION",2,$F$1))))</f>
        <v/>
      </c>
      <c r="M462" s="1" t="str">
        <f>IF(OR($B462="",M$7=""),"",IF($B462="MEANS",INDEX('1-DATA'!$1:$1048576,$A461-1,COLUMN('1-DATA'!L460)),ROUND(INDEX('1-DATA'!$1:$1048576,IF(OR($B462="STD. DEVIATION",$C$1=1),$A462,$A462+1),COLUMN('1-DATA'!L460)),IF($B462="STD. DEVIATION",2,$F$1))))</f>
        <v/>
      </c>
      <c r="N462" s="1" t="str">
        <f>IF(OR($B462="",N$7=""),"",IF($B462="MEANS",INDEX('1-DATA'!$1:$1048576,$A461-1,COLUMN('1-DATA'!M460)),ROUND(INDEX('1-DATA'!$1:$1048576,IF(OR($B462="STD. DEVIATION",$C$1=1),$A462,$A462+1),COLUMN('1-DATA'!M460)),IF($B462="STD. DEVIATION",2,$F$1))))</f>
        <v/>
      </c>
      <c r="O462" s="1" t="str">
        <f>IF(OR($B462="",O$7=""),"",IF($B462="MEANS",INDEX('1-DATA'!$1:$1048576,$A461-1,COLUMN('1-DATA'!N460)),ROUND(INDEX('1-DATA'!$1:$1048576,IF(OR($B462="STD. DEVIATION",$C$1=1),$A462,$A462+1),COLUMN('1-DATA'!N460)),IF($B462="STD. DEVIATION",2,$F$1))))</f>
        <v/>
      </c>
      <c r="P462" s="1" t="str">
        <f>IF(OR($B462="",P$7=""),"",IF($B462="MEANS",INDEX('1-DATA'!$1:$1048576,$A461-1,COLUMN('1-DATA'!O460)),ROUND(INDEX('1-DATA'!$1:$1048576,IF(OR($B462="STD. DEVIATION",$C$1=1),$A462,$A462+1),COLUMN('1-DATA'!O460)),IF($B462="STD. DEVIATION",2,$F$1))))</f>
        <v/>
      </c>
      <c r="Q462" s="1" t="str">
        <f>IF(OR($B462="",Q$7=""),"",IF($B462="MEANS",INDEX('1-DATA'!$1:$1048576,$A461-1,COLUMN('1-DATA'!P460)),ROUND(INDEX('1-DATA'!$1:$1048576,IF(OR($B462="STD. DEVIATION",$C$1=1),$A462,$A462+1),COLUMN('1-DATA'!P460)),IF($B462="STD. DEVIATION",2,$F$1))))</f>
        <v/>
      </c>
      <c r="R462" s="1" t="str">
        <f>IF(OR($B462="",R$7=""),"",IF($B462="MEANS",INDEX('1-DATA'!$1:$1048576,$A461-1,COLUMN('1-DATA'!Q460)),ROUND(INDEX('1-DATA'!$1:$1048576,IF(OR($B462="STD. DEVIATION",$C$1=1),$A462,$A462+1),COLUMN('1-DATA'!Q460)),IF($B462="STD. DEVIATION",2,$F$1))))</f>
        <v/>
      </c>
      <c r="S462" s="1" t="str">
        <f>IF(OR($B462="",S$7=""),"",IF($B462="MEANS",INDEX('1-DATA'!$1:$1048576,$A461-1,COLUMN('1-DATA'!R460)),ROUND(INDEX('1-DATA'!$1:$1048576,IF(OR($B462="STD. DEVIATION",$C$1=1),$A462,$A462+1),COLUMN('1-DATA'!R460)),IF($B462="STD. DEVIATION",2,$F$1))))</f>
        <v/>
      </c>
      <c r="T462" s="1" t="str">
        <f>IF(OR($B462="",T$7=""),"",IF($B462="MEANS",INDEX('1-DATA'!$1:$1048576,$A461-1,COLUMN('1-DATA'!S460)),ROUND(INDEX('1-DATA'!$1:$1048576,IF(OR($B462="STD. DEVIATION",$C$1=1),$A462,$A462+1),COLUMN('1-DATA'!S460)),IF($B462="STD. DEVIATION",2,$F$1))))</f>
        <v/>
      </c>
      <c r="U462" s="1" t="str">
        <f>IF(OR($B462="",U$7=""),"",IF($B462="MEANS",INDEX('1-DATA'!$1:$1048576,$A461-1,COLUMN('1-DATA'!T460)),ROUND(INDEX('1-DATA'!$1:$1048576,IF(OR($B462="STD. DEVIATION",$C$1=1),$A462,$A462+1),COLUMN('1-DATA'!T460)),IF($B462="STD. DEVIATION",2,$F$1))))</f>
        <v/>
      </c>
      <c r="V462" s="1" t="str">
        <f>IF(OR($B462="",V$7=""),"",IF($B462="MEANS",INDEX('1-DATA'!$1:$1048576,$A461-1,COLUMN('1-DATA'!U460)),ROUND(INDEX('1-DATA'!$1:$1048576,IF(OR($B462="STD. DEVIATION",$C$1=1),$A462,$A462+1),COLUMN('1-DATA'!U460)),IF($B462="STD. DEVIATION",2,$F$1))))</f>
        <v/>
      </c>
      <c r="W462" s="1" t="str">
        <f>IF(OR($B462="",W$7=""),"",IF($B462="MEANS",INDEX('1-DATA'!$1:$1048576,$A461-1,COLUMN('1-DATA'!V460)),ROUND(INDEX('1-DATA'!$1:$1048576,IF(OR($B462="STD. DEVIATION",$C$1=1),$A462,$A462+1),COLUMN('1-DATA'!V460)),IF($B462="STD. DEVIATION",2,$F$1))))</f>
        <v/>
      </c>
      <c r="X462" s="1" t="str">
        <f>IF(OR($B462="",X$7=""),"",IF($B462="MEANS",INDEX('1-DATA'!$1:$1048576,$A461-1,COLUMN('1-DATA'!W460)),ROUND(INDEX('1-DATA'!$1:$1048576,IF(OR($B462="STD. DEVIATION",$C$1=1),$A462,$A462+1),COLUMN('1-DATA'!W460)),IF($B462="STD. DEVIATION",2,$F$1))))</f>
        <v/>
      </c>
      <c r="Y462" s="1" t="str">
        <f>IF(OR($B462="",Y$7=""),"",IF($B462="MEANS",INDEX('1-DATA'!$1:$1048576,$A461-1,COLUMN('1-DATA'!X460)),ROUND(INDEX('1-DATA'!$1:$1048576,IF(OR($B462="STD. DEVIATION",$C$1=1),$A462,$A462+1),COLUMN('1-DATA'!X460)),IF($B462="STD. DEVIATION",2,$F$1))))</f>
        <v/>
      </c>
      <c r="Z462" s="1" t="str">
        <f>IF(OR($B462="",Z$7=""),"",IF($B462="MEANS",INDEX('1-DATA'!$1:$1048576,$A461-1,COLUMN('1-DATA'!Y460)),ROUND(INDEX('1-DATA'!$1:$1048576,IF(OR($B462="STD. DEVIATION",$C$1=1),$A462,$A462+1),COLUMN('1-DATA'!Y460)),IF($B462="STD. DEVIATION",2,$F$1))))</f>
        <v/>
      </c>
      <c r="AA462" s="1" t="str">
        <f>IF(OR($B462="",AA$7=""),"",IF($B462="MEANS",INDEX('1-DATA'!$1:$1048576,$A461-1,COLUMN('1-DATA'!Z460)),ROUND(INDEX('1-DATA'!$1:$1048576,IF(OR($B462="STD. DEVIATION",$C$1=1),$A462,$A462+1),COLUMN('1-DATA'!Z460)),IF($B462="STD. DEVIATION",2,$F$1))))</f>
        <v/>
      </c>
      <c r="AB462" s="1" t="str">
        <f>IF(OR($B462="",AB$7=""),"",IF($B462="MEANS",INDEX('1-DATA'!$1:$1048576,$A461-1,COLUMN('1-DATA'!AA460)),ROUND(INDEX('1-DATA'!$1:$1048576,IF(OR($B462="STD. DEVIATION",$C$1=1),$A462,$A462+1),COLUMN('1-DATA'!AA460)),IF($B462="STD. DEVIATION",2,$F$1))))</f>
        <v/>
      </c>
      <c r="AC462" s="1" t="str">
        <f>IF(OR($B462="",AC$7=""),"",IF($B462="MEANS",INDEX('1-DATA'!$1:$1048576,$A461-1,COLUMN('1-DATA'!AB460)),ROUND(INDEX('1-DATA'!$1:$1048576,IF(OR($B462="STD. DEVIATION",$C$1=1),$A462,$A462+1),COLUMN('1-DATA'!AB460)),IF($B462="STD. DEVIATION",2,$F$1))))</f>
        <v/>
      </c>
      <c r="AD462" s="1" t="str">
        <f>IF(OR($B462="",AD$7=""),"",IF($B462="MEANS",INDEX('1-DATA'!$1:$1048576,$A461-1,COLUMN('1-DATA'!AC460)),ROUND(INDEX('1-DATA'!$1:$1048576,IF(OR($B462="STD. DEVIATION",$C$1=1),$A462,$A462+1),COLUMN('1-DATA'!AC460)),IF($B462="STD. DEVIATION",2,$F$1))))</f>
        <v/>
      </c>
      <c r="AE462" s="1" t="str">
        <f>IF(OR($B462="",AE$7=""),"",IF($B462="MEANS",INDEX('1-DATA'!$1:$1048576,$A461-1,COLUMN('1-DATA'!AD460)),ROUND(INDEX('1-DATA'!$1:$1048576,IF(OR($B462="STD. DEVIATION",$C$1=1),$A462,$A462+1),COLUMN('1-DATA'!AD460)),IF($B462="STD. DEVIATION",2,$F$1))))</f>
        <v/>
      </c>
      <c r="AF462" s="1" t="str">
        <f>IF(OR($B462="",AF$7=""),"",IF($B462="MEANS",INDEX('1-DATA'!$1:$1048576,$A461-1,COLUMN('1-DATA'!AE460)),ROUND(INDEX('1-DATA'!$1:$1048576,IF(OR($B462="STD. DEVIATION",$C$1=1),$A462,$A462+1),COLUMN('1-DATA'!AE460)),IF($B462="STD. DEVIATION",2,$F$1))))</f>
        <v/>
      </c>
      <c r="AG462" s="1" t="str">
        <f>IF(OR($B462="",AG$7=""),"",IF($B462="MEANS",INDEX('1-DATA'!$1:$1048576,$A461-1,COLUMN('1-DATA'!AF460)),ROUND(INDEX('1-DATA'!$1:$1048576,IF(OR($B462="STD. DEVIATION",$C$1=1),$A462,$A462+1),COLUMN('1-DATA'!AF460)),IF($B462="STD. DEVIATION",2,$F$1))))</f>
        <v/>
      </c>
      <c r="AH462" s="1" t="str">
        <f>IF(OR($B462="",AH$7=""),"",IF($B462="MEANS",INDEX('1-DATA'!$1:$1048576,$A461-1,COLUMN('1-DATA'!AG460)),ROUND(INDEX('1-DATA'!$1:$1048576,IF(OR($B462="STD. DEVIATION",$C$1=1),$A462,$A462+1),COLUMN('1-DATA'!AG460)),IF($B462="STD. DEVIATION",2,$F$1))))</f>
        <v/>
      </c>
      <c r="AI462" s="1" t="str">
        <f>IF(OR($B462="",AI$7=""),"",IF($B462="MEANS",INDEX('1-DATA'!$1:$1048576,$A461-1,COLUMN('1-DATA'!AH460)),ROUND(INDEX('1-DATA'!$1:$1048576,IF(OR($B462="STD. DEVIATION",$C$1=1),$A462,$A462+1),COLUMN('1-DATA'!AH460)),IF($B462="STD. DEVIATION",2,$F$1))))</f>
        <v/>
      </c>
      <c r="AJ462" s="1" t="str">
        <f>IF(OR($B462="",AJ$7=""),"",IF($B462="MEANS",INDEX('1-DATA'!$1:$1048576,$A461-1,COLUMN('1-DATA'!AI460)),ROUND(INDEX('1-DATA'!$1:$1048576,IF(OR($B462="STD. DEVIATION",$C$1=1),$A462,$A462+1),COLUMN('1-DATA'!AI460)),IF($B462="STD. DEVIATION",2,$F$1))))</f>
        <v/>
      </c>
      <c r="AK462" s="1" t="str">
        <f>IF(OR($B462="",AK$7=""),"",IF($B462="MEANS",INDEX('1-DATA'!$1:$1048576,$A461-1,COLUMN('1-DATA'!AJ460)),ROUND(INDEX('1-DATA'!$1:$1048576,IF(OR($B462="STD. DEVIATION",$C$1=1),$A462,$A462+1),COLUMN('1-DATA'!AJ460)),IF($B462="STD. DEVIATION",2,$F$1))))</f>
        <v/>
      </c>
      <c r="AL462" s="1" t="str">
        <f>IF(OR($B462="",AL$7=""),"",IF($B462="MEANS",INDEX('1-DATA'!$1:$1048576,$A461-1,COLUMN('1-DATA'!AK460)),ROUND(INDEX('1-DATA'!$1:$1048576,IF(OR($B462="STD. DEVIATION",$C$1=1),$A462,$A462+1),COLUMN('1-DATA'!AK460)),IF($B462="STD. DEVIATION",2,$F$1))))</f>
        <v/>
      </c>
      <c r="AM462" s="1" t="str">
        <f>IF(OR($B462="",AM$7=""),"",IF($B462="MEANS",INDEX('1-DATA'!$1:$1048576,$A461-1,COLUMN('1-DATA'!AL460)),ROUND(INDEX('1-DATA'!$1:$1048576,IF(OR($B462="STD. DEVIATION",$C$1=1),$A462,$A462+1),COLUMN('1-DATA'!AL460)),IF($B462="STD. DEVIATION",2,$F$1))))</f>
        <v/>
      </c>
      <c r="AN462" s="1" t="str">
        <f>IF(OR($B462="",AN$7=""),"",IF($B462="MEANS",INDEX('1-DATA'!$1:$1048576,$A461-1,COLUMN('1-DATA'!AM460)),ROUND(INDEX('1-DATA'!$1:$1048576,IF(OR($B462="STD. DEVIATION",$C$1=1),$A462,$A462+1),COLUMN('1-DATA'!AM460)),IF($B462="STD. DEVIATION",2,$F$1))))</f>
        <v/>
      </c>
      <c r="AO462" s="1" t="str">
        <f>IF(OR($B462="",AO$7=""),"",IF($B462="MEANS",INDEX('1-DATA'!$1:$1048576,$A461-1,COLUMN('1-DATA'!AN460)),ROUND(INDEX('1-DATA'!$1:$1048576,IF(OR($B462="STD. DEVIATION",$C$1=1),$A462,$A462+1),COLUMN('1-DATA'!AN460)),IF($B462="STD. DEVIATION",2,$F$1))))</f>
        <v/>
      </c>
      <c r="AP462" s="1" t="str">
        <f>IF(OR($B462="",AP$7=""),"",IF($B462="MEANS",INDEX('1-DATA'!$1:$1048576,$A461-1,COLUMN('1-DATA'!AO460)),ROUND(INDEX('1-DATA'!$1:$1048576,IF(OR($B462="STD. DEVIATION",$C$1=1),$A462,$A462+1),COLUMN('1-DATA'!AO460)),IF($B462="STD. DEVIATION",2,$F$1))))</f>
        <v/>
      </c>
      <c r="AQ462" s="1" t="str">
        <f>IF(OR($B462="",AQ$7=""),"",IF($B462="MEANS",INDEX('1-DATA'!$1:$1048576,$A461-1,COLUMN('1-DATA'!AP460)),ROUND(INDEX('1-DATA'!$1:$1048576,IF(OR($B462="STD. DEVIATION",$C$1=1),$A462,$A462+1),COLUMN('1-DATA'!AP460)),IF($B462="STD. DEVIATION",2,$F$1))))</f>
        <v/>
      </c>
      <c r="AR462" s="1" t="str">
        <f>IF(OR($B462="",AR$7=""),"",IF($B462="MEANS",INDEX('1-DATA'!$1:$1048576,$A461-1,COLUMN('1-DATA'!AQ460)),ROUND(INDEX('1-DATA'!$1:$1048576,IF(OR($B462="STD. DEVIATION",$C$1=1),$A462,$A462+1),COLUMN('1-DATA'!AQ460)),IF($B462="STD. DEVIATION",2,$F$1))))</f>
        <v/>
      </c>
      <c r="AS462" s="1" t="str">
        <f>IF(OR($B462="",AS$7=""),"",IF($B462="MEANS",INDEX('1-DATA'!$1:$1048576,$A461-1,COLUMN('1-DATA'!AR460)),ROUND(INDEX('1-DATA'!$1:$1048576,IF(OR($B462="STD. DEVIATION",$C$1=1),$A462,$A462+1),COLUMN('1-DATA'!AR460)),IF($B462="STD. DEVIATION",2,$F$1))))</f>
        <v/>
      </c>
      <c r="AT462" s="1" t="str">
        <f>IF(OR($B462="",AT$7=""),"",IF($B462="MEANS",INDEX('1-DATA'!$1:$1048576,$A461-1,COLUMN('1-DATA'!AS460)),ROUND(INDEX('1-DATA'!$1:$1048576,IF(OR($B462="STD. DEVIATION",$C$1=1),$A462,$A462+1),COLUMN('1-DATA'!AS460)),IF($B462="STD. DEVIATION",2,$F$1))))</f>
        <v/>
      </c>
      <c r="AU462" s="1" t="str">
        <f>IF(OR($B462="",AU$7=""),"",IF($B462="MEANS",INDEX('1-DATA'!$1:$1048576,$A461-1,COLUMN('1-DATA'!AT460)),ROUND(INDEX('1-DATA'!$1:$1048576,IF(OR($B462="STD. DEVIATION",$C$1=1),$A462,$A462+1),COLUMN('1-DATA'!AT460)),IF($B462="STD. DEVIATION",2,$F$1))))</f>
        <v/>
      </c>
      <c r="AV462" s="1" t="str">
        <f>IF(OR($B462="",AV$7=""),"",IF($B462="MEANS",INDEX('1-DATA'!$1:$1048576,$A461-1,COLUMN('1-DATA'!AU460)),ROUND(INDEX('1-DATA'!$1:$1048576,IF(OR($B462="STD. DEVIATION",$C$1=1),$A462,$A462+1),COLUMN('1-DATA'!AU460)),IF($B462="STD. DEVIATION",2,$F$1))))</f>
        <v/>
      </c>
      <c r="AW462" s="1" t="str">
        <f>IF(OR($B462="",AW$7=""),"",IF($B462="MEANS",INDEX('1-DATA'!$1:$1048576,$A461-1,COLUMN('1-DATA'!AV460)),ROUND(INDEX('1-DATA'!$1:$1048576,IF(OR($B462="STD. DEVIATION",$C$1=1),$A462,$A462+1),COLUMN('1-DATA'!AV460)),IF($B462="STD. DEVIATION",2,$F$1))))</f>
        <v/>
      </c>
      <c r="AX462" s="1" t="str">
        <f>IF(OR($B462="",AX$7=""),"",IF($B462="MEANS",INDEX('1-DATA'!$1:$1048576,$A461-1,COLUMN('1-DATA'!AW460)),ROUND(INDEX('1-DATA'!$1:$1048576,IF(OR($B462="STD. DEVIATION",$C$1=1),$A462,$A462+1),COLUMN('1-DATA'!AW460)),IF($B462="STD. DEVIATION",2,$F$1))))</f>
        <v/>
      </c>
      <c r="AY462" s="1" t="str">
        <f>IF(OR($B462="",AY$7=""),"",IF($B462="MEANS",INDEX('1-DATA'!$1:$1048576,$A461-1,COLUMN('1-DATA'!AX460)),ROUND(INDEX('1-DATA'!$1:$1048576,IF(OR($B462="STD. DEVIATION",$C$1=1),$A462,$A462+1),COLUMN('1-DATA'!AX460)),IF($B462="STD. DEVIATION",2,$F$1))))</f>
        <v/>
      </c>
      <c r="AZ462" s="1" t="str">
        <f>IF(OR($B462="",AZ$7=""),"",IF($B462="MEANS",INDEX('1-DATA'!$1:$1048576,$A461-1,COLUMN('1-DATA'!AY460)),ROUND(INDEX('1-DATA'!$1:$1048576,IF(OR($B462="STD. DEVIATION",$C$1=1),$A462,$A462+1),COLUMN('1-DATA'!AY460)),IF($B462="STD. DEVIATION",2,$F$1))))</f>
        <v/>
      </c>
    </row>
    <row r="463" spans="1:52" x14ac:dyDescent="0.25">
      <c r="A463" s="11">
        <f t="shared" si="7"/>
        <v>1375</v>
      </c>
      <c r="B463" s="1" t="str">
        <f>IF(B462="STD. DEVIATION",INDEX('1-DATA'!$1:$1048576,$A462-1,1),IF(INDEX('1-DATA'!$1:$1048576,$A463,1)&lt;&gt;"",INDEX('1-DATA'!$1:$1048576,$A463,1),""))</f>
        <v/>
      </c>
      <c r="C463" s="1" t="str">
        <f>IF(OR($B463="",C$7=""),"",IF($B463="MEANS",INDEX('1-DATA'!$1:$1048576,$A462-1,COLUMN('1-DATA'!B461)),ROUND(INDEX('1-DATA'!$1:$1048576,IF(OR($B463="STD. DEVIATION",$C$1=1),$A463,$A463+1),COLUMN('1-DATA'!B461)),IF($B463="STD. DEVIATION",2,$F$1))))</f>
        <v/>
      </c>
      <c r="D463" s="1" t="str">
        <f>IF(OR($B463="",D$7=""),"",IF($B463="MEANS",INDEX('1-DATA'!$1:$1048576,$A462-1,COLUMN('1-DATA'!C461)),ROUND(INDEX('1-DATA'!$1:$1048576,IF(OR($B463="STD. DEVIATION",$C$1=1),$A463,$A463+1),COLUMN('1-DATA'!C461)),IF($B463="STD. DEVIATION",2,$F$1))))</f>
        <v/>
      </c>
      <c r="E463" s="1" t="str">
        <f>IF(OR($B463="",E$7=""),"",IF($B463="MEANS",INDEX('1-DATA'!$1:$1048576,$A462-1,COLUMN('1-DATA'!D461)),ROUND(INDEX('1-DATA'!$1:$1048576,IF(OR($B463="STD. DEVIATION",$C$1=1),$A463,$A463+1),COLUMN('1-DATA'!D461)),IF($B463="STD. DEVIATION",2,$F$1))))</f>
        <v/>
      </c>
      <c r="F463" s="1" t="str">
        <f>IF(OR($B463="",F$7=""),"",IF($B463="MEANS",INDEX('1-DATA'!$1:$1048576,$A462-1,COLUMN('1-DATA'!E461)),ROUND(INDEX('1-DATA'!$1:$1048576,IF(OR($B463="STD. DEVIATION",$C$1=1),$A463,$A463+1),COLUMN('1-DATA'!E461)),IF($B463="STD. DEVIATION",2,$F$1))))</f>
        <v/>
      </c>
      <c r="G463" s="1" t="str">
        <f>IF(OR($B463="",G$7=""),"",IF($B463="MEANS",INDEX('1-DATA'!$1:$1048576,$A462-1,COLUMN('1-DATA'!F461)),ROUND(INDEX('1-DATA'!$1:$1048576,IF(OR($B463="STD. DEVIATION",$C$1=1),$A463,$A463+1),COLUMN('1-DATA'!F461)),IF($B463="STD. DEVIATION",2,$F$1))))</f>
        <v/>
      </c>
      <c r="H463" s="1" t="str">
        <f>IF(OR($B463="",H$7=""),"",IF($B463="MEANS",INDEX('1-DATA'!$1:$1048576,$A462-1,COLUMN('1-DATA'!G461)),ROUND(INDEX('1-DATA'!$1:$1048576,IF(OR($B463="STD. DEVIATION",$C$1=1),$A463,$A463+1),COLUMN('1-DATA'!G461)),IF($B463="STD. DEVIATION",2,$F$1))))</f>
        <v/>
      </c>
      <c r="I463" s="1" t="str">
        <f>IF(OR($B463="",I$7=""),"",IF($B463="MEANS",INDEX('1-DATA'!$1:$1048576,$A462-1,COLUMN('1-DATA'!H461)),ROUND(INDEX('1-DATA'!$1:$1048576,IF(OR($B463="STD. DEVIATION",$C$1=1),$A463,$A463+1),COLUMN('1-DATA'!H461)),IF($B463="STD. DEVIATION",2,$F$1))))</f>
        <v/>
      </c>
      <c r="J463" s="1" t="str">
        <f>IF(OR($B463="",J$7=""),"",IF($B463="MEANS",INDEX('1-DATA'!$1:$1048576,$A462-1,COLUMN('1-DATA'!I461)),ROUND(INDEX('1-DATA'!$1:$1048576,IF(OR($B463="STD. DEVIATION",$C$1=1),$A463,$A463+1),COLUMN('1-DATA'!I461)),IF($B463="STD. DEVIATION",2,$F$1))))</f>
        <v/>
      </c>
      <c r="K463" s="1" t="str">
        <f>IF(OR($B463="",K$7=""),"",IF($B463="MEANS",INDEX('1-DATA'!$1:$1048576,$A462-1,COLUMN('1-DATA'!J461)),ROUND(INDEX('1-DATA'!$1:$1048576,IF(OR($B463="STD. DEVIATION",$C$1=1),$A463,$A463+1),COLUMN('1-DATA'!J461)),IF($B463="STD. DEVIATION",2,$F$1))))</f>
        <v/>
      </c>
      <c r="L463" s="1" t="str">
        <f>IF(OR($B463="",L$7=""),"",IF($B463="MEANS",INDEX('1-DATA'!$1:$1048576,$A462-1,COLUMN('1-DATA'!K461)),ROUND(INDEX('1-DATA'!$1:$1048576,IF(OR($B463="STD. DEVIATION",$C$1=1),$A463,$A463+1),COLUMN('1-DATA'!K461)),IF($B463="STD. DEVIATION",2,$F$1))))</f>
        <v/>
      </c>
      <c r="M463" s="1" t="str">
        <f>IF(OR($B463="",M$7=""),"",IF($B463="MEANS",INDEX('1-DATA'!$1:$1048576,$A462-1,COLUMN('1-DATA'!L461)),ROUND(INDEX('1-DATA'!$1:$1048576,IF(OR($B463="STD. DEVIATION",$C$1=1),$A463,$A463+1),COLUMN('1-DATA'!L461)),IF($B463="STD. DEVIATION",2,$F$1))))</f>
        <v/>
      </c>
      <c r="N463" s="1" t="str">
        <f>IF(OR($B463="",N$7=""),"",IF($B463="MEANS",INDEX('1-DATA'!$1:$1048576,$A462-1,COLUMN('1-DATA'!M461)),ROUND(INDEX('1-DATA'!$1:$1048576,IF(OR($B463="STD. DEVIATION",$C$1=1),$A463,$A463+1),COLUMN('1-DATA'!M461)),IF($B463="STD. DEVIATION",2,$F$1))))</f>
        <v/>
      </c>
      <c r="O463" s="1" t="str">
        <f>IF(OR($B463="",O$7=""),"",IF($B463="MEANS",INDEX('1-DATA'!$1:$1048576,$A462-1,COLUMN('1-DATA'!N461)),ROUND(INDEX('1-DATA'!$1:$1048576,IF(OR($B463="STD. DEVIATION",$C$1=1),$A463,$A463+1),COLUMN('1-DATA'!N461)),IF($B463="STD. DEVIATION",2,$F$1))))</f>
        <v/>
      </c>
      <c r="P463" s="1" t="str">
        <f>IF(OR($B463="",P$7=""),"",IF($B463="MEANS",INDEX('1-DATA'!$1:$1048576,$A462-1,COLUMN('1-DATA'!O461)),ROUND(INDEX('1-DATA'!$1:$1048576,IF(OR($B463="STD. DEVIATION",$C$1=1),$A463,$A463+1),COLUMN('1-DATA'!O461)),IF($B463="STD. DEVIATION",2,$F$1))))</f>
        <v/>
      </c>
      <c r="Q463" s="1" t="str">
        <f>IF(OR($B463="",Q$7=""),"",IF($B463="MEANS",INDEX('1-DATA'!$1:$1048576,$A462-1,COLUMN('1-DATA'!P461)),ROUND(INDEX('1-DATA'!$1:$1048576,IF(OR($B463="STD. DEVIATION",$C$1=1),$A463,$A463+1),COLUMN('1-DATA'!P461)),IF($B463="STD. DEVIATION",2,$F$1))))</f>
        <v/>
      </c>
      <c r="R463" s="1" t="str">
        <f>IF(OR($B463="",R$7=""),"",IF($B463="MEANS",INDEX('1-DATA'!$1:$1048576,$A462-1,COLUMN('1-DATA'!Q461)),ROUND(INDEX('1-DATA'!$1:$1048576,IF(OR($B463="STD. DEVIATION",$C$1=1),$A463,$A463+1),COLUMN('1-DATA'!Q461)),IF($B463="STD. DEVIATION",2,$F$1))))</f>
        <v/>
      </c>
      <c r="S463" s="1" t="str">
        <f>IF(OR($B463="",S$7=""),"",IF($B463="MEANS",INDEX('1-DATA'!$1:$1048576,$A462-1,COLUMN('1-DATA'!R461)),ROUND(INDEX('1-DATA'!$1:$1048576,IF(OR($B463="STD. DEVIATION",$C$1=1),$A463,$A463+1),COLUMN('1-DATA'!R461)),IF($B463="STD. DEVIATION",2,$F$1))))</f>
        <v/>
      </c>
      <c r="T463" s="1" t="str">
        <f>IF(OR($B463="",T$7=""),"",IF($B463="MEANS",INDEX('1-DATA'!$1:$1048576,$A462-1,COLUMN('1-DATA'!S461)),ROUND(INDEX('1-DATA'!$1:$1048576,IF(OR($B463="STD. DEVIATION",$C$1=1),$A463,$A463+1),COLUMN('1-DATA'!S461)),IF($B463="STD. DEVIATION",2,$F$1))))</f>
        <v/>
      </c>
      <c r="U463" s="1" t="str">
        <f>IF(OR($B463="",U$7=""),"",IF($B463="MEANS",INDEX('1-DATA'!$1:$1048576,$A462-1,COLUMN('1-DATA'!T461)),ROUND(INDEX('1-DATA'!$1:$1048576,IF(OR($B463="STD. DEVIATION",$C$1=1),$A463,$A463+1),COLUMN('1-DATA'!T461)),IF($B463="STD. DEVIATION",2,$F$1))))</f>
        <v/>
      </c>
      <c r="V463" s="1" t="str">
        <f>IF(OR($B463="",V$7=""),"",IF($B463="MEANS",INDEX('1-DATA'!$1:$1048576,$A462-1,COLUMN('1-DATA'!U461)),ROUND(INDEX('1-DATA'!$1:$1048576,IF(OR($B463="STD. DEVIATION",$C$1=1),$A463,$A463+1),COLUMN('1-DATA'!U461)),IF($B463="STD. DEVIATION",2,$F$1))))</f>
        <v/>
      </c>
      <c r="W463" s="1" t="str">
        <f>IF(OR($B463="",W$7=""),"",IF($B463="MEANS",INDEX('1-DATA'!$1:$1048576,$A462-1,COLUMN('1-DATA'!V461)),ROUND(INDEX('1-DATA'!$1:$1048576,IF(OR($B463="STD. DEVIATION",$C$1=1),$A463,$A463+1),COLUMN('1-DATA'!V461)),IF($B463="STD. DEVIATION",2,$F$1))))</f>
        <v/>
      </c>
      <c r="X463" s="1" t="str">
        <f>IF(OR($B463="",X$7=""),"",IF($B463="MEANS",INDEX('1-DATA'!$1:$1048576,$A462-1,COLUMN('1-DATA'!W461)),ROUND(INDEX('1-DATA'!$1:$1048576,IF(OR($B463="STD. DEVIATION",$C$1=1),$A463,$A463+1),COLUMN('1-DATA'!W461)),IF($B463="STD. DEVIATION",2,$F$1))))</f>
        <v/>
      </c>
      <c r="Y463" s="1" t="str">
        <f>IF(OR($B463="",Y$7=""),"",IF($B463="MEANS",INDEX('1-DATA'!$1:$1048576,$A462-1,COLUMN('1-DATA'!X461)),ROUND(INDEX('1-DATA'!$1:$1048576,IF(OR($B463="STD. DEVIATION",$C$1=1),$A463,$A463+1),COLUMN('1-DATA'!X461)),IF($B463="STD. DEVIATION",2,$F$1))))</f>
        <v/>
      </c>
      <c r="Z463" s="1" t="str">
        <f>IF(OR($B463="",Z$7=""),"",IF($B463="MEANS",INDEX('1-DATA'!$1:$1048576,$A462-1,COLUMN('1-DATA'!Y461)),ROUND(INDEX('1-DATA'!$1:$1048576,IF(OR($B463="STD. DEVIATION",$C$1=1),$A463,$A463+1),COLUMN('1-DATA'!Y461)),IF($B463="STD. DEVIATION",2,$F$1))))</f>
        <v/>
      </c>
      <c r="AA463" s="1" t="str">
        <f>IF(OR($B463="",AA$7=""),"",IF($B463="MEANS",INDEX('1-DATA'!$1:$1048576,$A462-1,COLUMN('1-DATA'!Z461)),ROUND(INDEX('1-DATA'!$1:$1048576,IF(OR($B463="STD. DEVIATION",$C$1=1),$A463,$A463+1),COLUMN('1-DATA'!Z461)),IF($B463="STD. DEVIATION",2,$F$1))))</f>
        <v/>
      </c>
      <c r="AB463" s="1" t="str">
        <f>IF(OR($B463="",AB$7=""),"",IF($B463="MEANS",INDEX('1-DATA'!$1:$1048576,$A462-1,COLUMN('1-DATA'!AA461)),ROUND(INDEX('1-DATA'!$1:$1048576,IF(OR($B463="STD. DEVIATION",$C$1=1),$A463,$A463+1),COLUMN('1-DATA'!AA461)),IF($B463="STD. DEVIATION",2,$F$1))))</f>
        <v/>
      </c>
      <c r="AC463" s="1" t="str">
        <f>IF(OR($B463="",AC$7=""),"",IF($B463="MEANS",INDEX('1-DATA'!$1:$1048576,$A462-1,COLUMN('1-DATA'!AB461)),ROUND(INDEX('1-DATA'!$1:$1048576,IF(OR($B463="STD. DEVIATION",$C$1=1),$A463,$A463+1),COLUMN('1-DATA'!AB461)),IF($B463="STD. DEVIATION",2,$F$1))))</f>
        <v/>
      </c>
      <c r="AD463" s="1" t="str">
        <f>IF(OR($B463="",AD$7=""),"",IF($B463="MEANS",INDEX('1-DATA'!$1:$1048576,$A462-1,COLUMN('1-DATA'!AC461)),ROUND(INDEX('1-DATA'!$1:$1048576,IF(OR($B463="STD. DEVIATION",$C$1=1),$A463,$A463+1),COLUMN('1-DATA'!AC461)),IF($B463="STD. DEVIATION",2,$F$1))))</f>
        <v/>
      </c>
      <c r="AE463" s="1" t="str">
        <f>IF(OR($B463="",AE$7=""),"",IF($B463="MEANS",INDEX('1-DATA'!$1:$1048576,$A462-1,COLUMN('1-DATA'!AD461)),ROUND(INDEX('1-DATA'!$1:$1048576,IF(OR($B463="STD. DEVIATION",$C$1=1),$A463,$A463+1),COLUMN('1-DATA'!AD461)),IF($B463="STD. DEVIATION",2,$F$1))))</f>
        <v/>
      </c>
      <c r="AF463" s="1" t="str">
        <f>IF(OR($B463="",AF$7=""),"",IF($B463="MEANS",INDEX('1-DATA'!$1:$1048576,$A462-1,COLUMN('1-DATA'!AE461)),ROUND(INDEX('1-DATA'!$1:$1048576,IF(OR($B463="STD. DEVIATION",$C$1=1),$A463,$A463+1),COLUMN('1-DATA'!AE461)),IF($B463="STD. DEVIATION",2,$F$1))))</f>
        <v/>
      </c>
      <c r="AG463" s="1" t="str">
        <f>IF(OR($B463="",AG$7=""),"",IF($B463="MEANS",INDEX('1-DATA'!$1:$1048576,$A462-1,COLUMN('1-DATA'!AF461)),ROUND(INDEX('1-DATA'!$1:$1048576,IF(OR($B463="STD. DEVIATION",$C$1=1),$A463,$A463+1),COLUMN('1-DATA'!AF461)),IF($B463="STD. DEVIATION",2,$F$1))))</f>
        <v/>
      </c>
      <c r="AH463" s="1" t="str">
        <f>IF(OR($B463="",AH$7=""),"",IF($B463="MEANS",INDEX('1-DATA'!$1:$1048576,$A462-1,COLUMN('1-DATA'!AG461)),ROUND(INDEX('1-DATA'!$1:$1048576,IF(OR($B463="STD. DEVIATION",$C$1=1),$A463,$A463+1),COLUMN('1-DATA'!AG461)),IF($B463="STD. DEVIATION",2,$F$1))))</f>
        <v/>
      </c>
      <c r="AI463" s="1" t="str">
        <f>IF(OR($B463="",AI$7=""),"",IF($B463="MEANS",INDEX('1-DATA'!$1:$1048576,$A462-1,COLUMN('1-DATA'!AH461)),ROUND(INDEX('1-DATA'!$1:$1048576,IF(OR($B463="STD. DEVIATION",$C$1=1),$A463,$A463+1),COLUMN('1-DATA'!AH461)),IF($B463="STD. DEVIATION",2,$F$1))))</f>
        <v/>
      </c>
      <c r="AJ463" s="1" t="str">
        <f>IF(OR($B463="",AJ$7=""),"",IF($B463="MEANS",INDEX('1-DATA'!$1:$1048576,$A462-1,COLUMN('1-DATA'!AI461)),ROUND(INDEX('1-DATA'!$1:$1048576,IF(OR($B463="STD. DEVIATION",$C$1=1),$A463,$A463+1),COLUMN('1-DATA'!AI461)),IF($B463="STD. DEVIATION",2,$F$1))))</f>
        <v/>
      </c>
      <c r="AK463" s="1" t="str">
        <f>IF(OR($B463="",AK$7=""),"",IF($B463="MEANS",INDEX('1-DATA'!$1:$1048576,$A462-1,COLUMN('1-DATA'!AJ461)),ROUND(INDEX('1-DATA'!$1:$1048576,IF(OR($B463="STD. DEVIATION",$C$1=1),$A463,$A463+1),COLUMN('1-DATA'!AJ461)),IF($B463="STD. DEVIATION",2,$F$1))))</f>
        <v/>
      </c>
      <c r="AL463" s="1" t="str">
        <f>IF(OR($B463="",AL$7=""),"",IF($B463="MEANS",INDEX('1-DATA'!$1:$1048576,$A462-1,COLUMN('1-DATA'!AK461)),ROUND(INDEX('1-DATA'!$1:$1048576,IF(OR($B463="STD. DEVIATION",$C$1=1),$A463,$A463+1),COLUMN('1-DATA'!AK461)),IF($B463="STD. DEVIATION",2,$F$1))))</f>
        <v/>
      </c>
      <c r="AM463" s="1" t="str">
        <f>IF(OR($B463="",AM$7=""),"",IF($B463="MEANS",INDEX('1-DATA'!$1:$1048576,$A462-1,COLUMN('1-DATA'!AL461)),ROUND(INDEX('1-DATA'!$1:$1048576,IF(OR($B463="STD. DEVIATION",$C$1=1),$A463,$A463+1),COLUMN('1-DATA'!AL461)),IF($B463="STD. DEVIATION",2,$F$1))))</f>
        <v/>
      </c>
      <c r="AN463" s="1" t="str">
        <f>IF(OR($B463="",AN$7=""),"",IF($B463="MEANS",INDEX('1-DATA'!$1:$1048576,$A462-1,COLUMN('1-DATA'!AM461)),ROUND(INDEX('1-DATA'!$1:$1048576,IF(OR($B463="STD. DEVIATION",$C$1=1),$A463,$A463+1),COLUMN('1-DATA'!AM461)),IF($B463="STD. DEVIATION",2,$F$1))))</f>
        <v/>
      </c>
      <c r="AO463" s="1" t="str">
        <f>IF(OR($B463="",AO$7=""),"",IF($B463="MEANS",INDEX('1-DATA'!$1:$1048576,$A462-1,COLUMN('1-DATA'!AN461)),ROUND(INDEX('1-DATA'!$1:$1048576,IF(OR($B463="STD. DEVIATION",$C$1=1),$A463,$A463+1),COLUMN('1-DATA'!AN461)),IF($B463="STD. DEVIATION",2,$F$1))))</f>
        <v/>
      </c>
      <c r="AP463" s="1" t="str">
        <f>IF(OR($B463="",AP$7=""),"",IF($B463="MEANS",INDEX('1-DATA'!$1:$1048576,$A462-1,COLUMN('1-DATA'!AO461)),ROUND(INDEX('1-DATA'!$1:$1048576,IF(OR($B463="STD. DEVIATION",$C$1=1),$A463,$A463+1),COLUMN('1-DATA'!AO461)),IF($B463="STD. DEVIATION",2,$F$1))))</f>
        <v/>
      </c>
      <c r="AQ463" s="1" t="str">
        <f>IF(OR($B463="",AQ$7=""),"",IF($B463="MEANS",INDEX('1-DATA'!$1:$1048576,$A462-1,COLUMN('1-DATA'!AP461)),ROUND(INDEX('1-DATA'!$1:$1048576,IF(OR($B463="STD. DEVIATION",$C$1=1),$A463,$A463+1),COLUMN('1-DATA'!AP461)),IF($B463="STD. DEVIATION",2,$F$1))))</f>
        <v/>
      </c>
      <c r="AR463" s="1" t="str">
        <f>IF(OR($B463="",AR$7=""),"",IF($B463="MEANS",INDEX('1-DATA'!$1:$1048576,$A462-1,COLUMN('1-DATA'!AQ461)),ROUND(INDEX('1-DATA'!$1:$1048576,IF(OR($B463="STD. DEVIATION",$C$1=1),$A463,$A463+1),COLUMN('1-DATA'!AQ461)),IF($B463="STD. DEVIATION",2,$F$1))))</f>
        <v/>
      </c>
      <c r="AS463" s="1" t="str">
        <f>IF(OR($B463="",AS$7=""),"",IF($B463="MEANS",INDEX('1-DATA'!$1:$1048576,$A462-1,COLUMN('1-DATA'!AR461)),ROUND(INDEX('1-DATA'!$1:$1048576,IF(OR($B463="STD. DEVIATION",$C$1=1),$A463,$A463+1),COLUMN('1-DATA'!AR461)),IF($B463="STD. DEVIATION",2,$F$1))))</f>
        <v/>
      </c>
      <c r="AT463" s="1" t="str">
        <f>IF(OR($B463="",AT$7=""),"",IF($B463="MEANS",INDEX('1-DATA'!$1:$1048576,$A462-1,COLUMN('1-DATA'!AS461)),ROUND(INDEX('1-DATA'!$1:$1048576,IF(OR($B463="STD. DEVIATION",$C$1=1),$A463,$A463+1),COLUMN('1-DATA'!AS461)),IF($B463="STD. DEVIATION",2,$F$1))))</f>
        <v/>
      </c>
      <c r="AU463" s="1" t="str">
        <f>IF(OR($B463="",AU$7=""),"",IF($B463="MEANS",INDEX('1-DATA'!$1:$1048576,$A462-1,COLUMN('1-DATA'!AT461)),ROUND(INDEX('1-DATA'!$1:$1048576,IF(OR($B463="STD. DEVIATION",$C$1=1),$A463,$A463+1),COLUMN('1-DATA'!AT461)),IF($B463="STD. DEVIATION",2,$F$1))))</f>
        <v/>
      </c>
      <c r="AV463" s="1" t="str">
        <f>IF(OR($B463="",AV$7=""),"",IF($B463="MEANS",INDEX('1-DATA'!$1:$1048576,$A462-1,COLUMN('1-DATA'!AU461)),ROUND(INDEX('1-DATA'!$1:$1048576,IF(OR($B463="STD. DEVIATION",$C$1=1),$A463,$A463+1),COLUMN('1-DATA'!AU461)),IF($B463="STD. DEVIATION",2,$F$1))))</f>
        <v/>
      </c>
      <c r="AW463" s="1" t="str">
        <f>IF(OR($B463="",AW$7=""),"",IF($B463="MEANS",INDEX('1-DATA'!$1:$1048576,$A462-1,COLUMN('1-DATA'!AV461)),ROUND(INDEX('1-DATA'!$1:$1048576,IF(OR($B463="STD. DEVIATION",$C$1=1),$A463,$A463+1),COLUMN('1-DATA'!AV461)),IF($B463="STD. DEVIATION",2,$F$1))))</f>
        <v/>
      </c>
      <c r="AX463" s="1" t="str">
        <f>IF(OR($B463="",AX$7=""),"",IF($B463="MEANS",INDEX('1-DATA'!$1:$1048576,$A462-1,COLUMN('1-DATA'!AW461)),ROUND(INDEX('1-DATA'!$1:$1048576,IF(OR($B463="STD. DEVIATION",$C$1=1),$A463,$A463+1),COLUMN('1-DATA'!AW461)),IF($B463="STD. DEVIATION",2,$F$1))))</f>
        <v/>
      </c>
      <c r="AY463" s="1" t="str">
        <f>IF(OR($B463="",AY$7=""),"",IF($B463="MEANS",INDEX('1-DATA'!$1:$1048576,$A462-1,COLUMN('1-DATA'!AX461)),ROUND(INDEX('1-DATA'!$1:$1048576,IF(OR($B463="STD. DEVIATION",$C$1=1),$A463,$A463+1),COLUMN('1-DATA'!AX461)),IF($B463="STD. DEVIATION",2,$F$1))))</f>
        <v/>
      </c>
      <c r="AZ463" s="1" t="str">
        <f>IF(OR($B463="",AZ$7=""),"",IF($B463="MEANS",INDEX('1-DATA'!$1:$1048576,$A462-1,COLUMN('1-DATA'!AY461)),ROUND(INDEX('1-DATA'!$1:$1048576,IF(OR($B463="STD. DEVIATION",$C$1=1),$A463,$A463+1),COLUMN('1-DATA'!AY461)),IF($B463="STD. DEVIATION",2,$F$1))))</f>
        <v/>
      </c>
    </row>
    <row r="464" spans="1:52" x14ac:dyDescent="0.25">
      <c r="A464" s="11">
        <f t="shared" si="7"/>
        <v>1378</v>
      </c>
      <c r="B464" s="1" t="str">
        <f>IF(B463="STD. DEVIATION",INDEX('1-DATA'!$1:$1048576,$A463-1,1),IF(INDEX('1-DATA'!$1:$1048576,$A464,1)&lt;&gt;"",INDEX('1-DATA'!$1:$1048576,$A464,1),""))</f>
        <v/>
      </c>
      <c r="C464" s="1" t="str">
        <f>IF(OR($B464="",C$7=""),"",IF($B464="MEANS",INDEX('1-DATA'!$1:$1048576,$A463-1,COLUMN('1-DATA'!B462)),ROUND(INDEX('1-DATA'!$1:$1048576,IF(OR($B464="STD. DEVIATION",$C$1=1),$A464,$A464+1),COLUMN('1-DATA'!B462)),IF($B464="STD. DEVIATION",2,$F$1))))</f>
        <v/>
      </c>
      <c r="D464" s="1" t="str">
        <f>IF(OR($B464="",D$7=""),"",IF($B464="MEANS",INDEX('1-DATA'!$1:$1048576,$A463-1,COLUMN('1-DATA'!C462)),ROUND(INDEX('1-DATA'!$1:$1048576,IF(OR($B464="STD. DEVIATION",$C$1=1),$A464,$A464+1),COLUMN('1-DATA'!C462)),IF($B464="STD. DEVIATION",2,$F$1))))</f>
        <v/>
      </c>
      <c r="E464" s="1" t="str">
        <f>IF(OR($B464="",E$7=""),"",IF($B464="MEANS",INDEX('1-DATA'!$1:$1048576,$A463-1,COLUMN('1-DATA'!D462)),ROUND(INDEX('1-DATA'!$1:$1048576,IF(OR($B464="STD. DEVIATION",$C$1=1),$A464,$A464+1),COLUMN('1-DATA'!D462)),IF($B464="STD. DEVIATION",2,$F$1))))</f>
        <v/>
      </c>
      <c r="F464" s="1" t="str">
        <f>IF(OR($B464="",F$7=""),"",IF($B464="MEANS",INDEX('1-DATA'!$1:$1048576,$A463-1,COLUMN('1-DATA'!E462)),ROUND(INDEX('1-DATA'!$1:$1048576,IF(OR($B464="STD. DEVIATION",$C$1=1),$A464,$A464+1),COLUMN('1-DATA'!E462)),IF($B464="STD. DEVIATION",2,$F$1))))</f>
        <v/>
      </c>
      <c r="G464" s="1" t="str">
        <f>IF(OR($B464="",G$7=""),"",IF($B464="MEANS",INDEX('1-DATA'!$1:$1048576,$A463-1,COLUMN('1-DATA'!F462)),ROUND(INDEX('1-DATA'!$1:$1048576,IF(OR($B464="STD. DEVIATION",$C$1=1),$A464,$A464+1),COLUMN('1-DATA'!F462)),IF($B464="STD. DEVIATION",2,$F$1))))</f>
        <v/>
      </c>
      <c r="H464" s="1" t="str">
        <f>IF(OR($B464="",H$7=""),"",IF($B464="MEANS",INDEX('1-DATA'!$1:$1048576,$A463-1,COLUMN('1-DATA'!G462)),ROUND(INDEX('1-DATA'!$1:$1048576,IF(OR($B464="STD. DEVIATION",$C$1=1),$A464,$A464+1),COLUMN('1-DATA'!G462)),IF($B464="STD. DEVIATION",2,$F$1))))</f>
        <v/>
      </c>
      <c r="I464" s="1" t="str">
        <f>IF(OR($B464="",I$7=""),"",IF($B464="MEANS",INDEX('1-DATA'!$1:$1048576,$A463-1,COLUMN('1-DATA'!H462)),ROUND(INDEX('1-DATA'!$1:$1048576,IF(OR($B464="STD. DEVIATION",$C$1=1),$A464,$A464+1),COLUMN('1-DATA'!H462)),IF($B464="STD. DEVIATION",2,$F$1))))</f>
        <v/>
      </c>
      <c r="J464" s="1" t="str">
        <f>IF(OR($B464="",J$7=""),"",IF($B464="MEANS",INDEX('1-DATA'!$1:$1048576,$A463-1,COLUMN('1-DATA'!I462)),ROUND(INDEX('1-DATA'!$1:$1048576,IF(OR($B464="STD. DEVIATION",$C$1=1),$A464,$A464+1),COLUMN('1-DATA'!I462)),IF($B464="STD. DEVIATION",2,$F$1))))</f>
        <v/>
      </c>
      <c r="K464" s="1" t="str">
        <f>IF(OR($B464="",K$7=""),"",IF($B464="MEANS",INDEX('1-DATA'!$1:$1048576,$A463-1,COLUMN('1-DATA'!J462)),ROUND(INDEX('1-DATA'!$1:$1048576,IF(OR($B464="STD. DEVIATION",$C$1=1),$A464,$A464+1),COLUMN('1-DATA'!J462)),IF($B464="STD. DEVIATION",2,$F$1))))</f>
        <v/>
      </c>
      <c r="L464" s="1" t="str">
        <f>IF(OR($B464="",L$7=""),"",IF($B464="MEANS",INDEX('1-DATA'!$1:$1048576,$A463-1,COLUMN('1-DATA'!K462)),ROUND(INDEX('1-DATA'!$1:$1048576,IF(OR($B464="STD. DEVIATION",$C$1=1),$A464,$A464+1),COLUMN('1-DATA'!K462)),IF($B464="STD. DEVIATION",2,$F$1))))</f>
        <v/>
      </c>
      <c r="M464" s="1" t="str">
        <f>IF(OR($B464="",M$7=""),"",IF($B464="MEANS",INDEX('1-DATA'!$1:$1048576,$A463-1,COLUMN('1-DATA'!L462)),ROUND(INDEX('1-DATA'!$1:$1048576,IF(OR($B464="STD. DEVIATION",$C$1=1),$A464,$A464+1),COLUMN('1-DATA'!L462)),IF($B464="STD. DEVIATION",2,$F$1))))</f>
        <v/>
      </c>
      <c r="N464" s="1" t="str">
        <f>IF(OR($B464="",N$7=""),"",IF($B464="MEANS",INDEX('1-DATA'!$1:$1048576,$A463-1,COLUMN('1-DATA'!M462)),ROUND(INDEX('1-DATA'!$1:$1048576,IF(OR($B464="STD. DEVIATION",$C$1=1),$A464,$A464+1),COLUMN('1-DATA'!M462)),IF($B464="STD. DEVIATION",2,$F$1))))</f>
        <v/>
      </c>
      <c r="O464" s="1" t="str">
        <f>IF(OR($B464="",O$7=""),"",IF($B464="MEANS",INDEX('1-DATA'!$1:$1048576,$A463-1,COLUMN('1-DATA'!N462)),ROUND(INDEX('1-DATA'!$1:$1048576,IF(OR($B464="STD. DEVIATION",$C$1=1),$A464,$A464+1),COLUMN('1-DATA'!N462)),IF($B464="STD. DEVIATION",2,$F$1))))</f>
        <v/>
      </c>
      <c r="P464" s="1" t="str">
        <f>IF(OR($B464="",P$7=""),"",IF($B464="MEANS",INDEX('1-DATA'!$1:$1048576,$A463-1,COLUMN('1-DATA'!O462)),ROUND(INDEX('1-DATA'!$1:$1048576,IF(OR($B464="STD. DEVIATION",$C$1=1),$A464,$A464+1),COLUMN('1-DATA'!O462)),IF($B464="STD. DEVIATION",2,$F$1))))</f>
        <v/>
      </c>
      <c r="Q464" s="1" t="str">
        <f>IF(OR($B464="",Q$7=""),"",IF($B464="MEANS",INDEX('1-DATA'!$1:$1048576,$A463-1,COLUMN('1-DATA'!P462)),ROUND(INDEX('1-DATA'!$1:$1048576,IF(OR($B464="STD. DEVIATION",$C$1=1),$A464,$A464+1),COLUMN('1-DATA'!P462)),IF($B464="STD. DEVIATION",2,$F$1))))</f>
        <v/>
      </c>
      <c r="R464" s="1" t="str">
        <f>IF(OR($B464="",R$7=""),"",IF($B464="MEANS",INDEX('1-DATA'!$1:$1048576,$A463-1,COLUMN('1-DATA'!Q462)),ROUND(INDEX('1-DATA'!$1:$1048576,IF(OR($B464="STD. DEVIATION",$C$1=1),$A464,$A464+1),COLUMN('1-DATA'!Q462)),IF($B464="STD. DEVIATION",2,$F$1))))</f>
        <v/>
      </c>
      <c r="S464" s="1" t="str">
        <f>IF(OR($B464="",S$7=""),"",IF($B464="MEANS",INDEX('1-DATA'!$1:$1048576,$A463-1,COLUMN('1-DATA'!R462)),ROUND(INDEX('1-DATA'!$1:$1048576,IF(OR($B464="STD. DEVIATION",$C$1=1),$A464,$A464+1),COLUMN('1-DATA'!R462)),IF($B464="STD. DEVIATION",2,$F$1))))</f>
        <v/>
      </c>
      <c r="T464" s="1" t="str">
        <f>IF(OR($B464="",T$7=""),"",IF($B464="MEANS",INDEX('1-DATA'!$1:$1048576,$A463-1,COLUMN('1-DATA'!S462)),ROUND(INDEX('1-DATA'!$1:$1048576,IF(OR($B464="STD. DEVIATION",$C$1=1),$A464,$A464+1),COLUMN('1-DATA'!S462)),IF($B464="STD. DEVIATION",2,$F$1))))</f>
        <v/>
      </c>
      <c r="U464" s="1" t="str">
        <f>IF(OR($B464="",U$7=""),"",IF($B464="MEANS",INDEX('1-DATA'!$1:$1048576,$A463-1,COLUMN('1-DATA'!T462)),ROUND(INDEX('1-DATA'!$1:$1048576,IF(OR($B464="STD. DEVIATION",$C$1=1),$A464,$A464+1),COLUMN('1-DATA'!T462)),IF($B464="STD. DEVIATION",2,$F$1))))</f>
        <v/>
      </c>
      <c r="V464" s="1" t="str">
        <f>IF(OR($B464="",V$7=""),"",IF($B464="MEANS",INDEX('1-DATA'!$1:$1048576,$A463-1,COLUMN('1-DATA'!U462)),ROUND(INDEX('1-DATA'!$1:$1048576,IF(OR($B464="STD. DEVIATION",$C$1=1),$A464,$A464+1),COLUMN('1-DATA'!U462)),IF($B464="STD. DEVIATION",2,$F$1))))</f>
        <v/>
      </c>
      <c r="W464" s="1" t="str">
        <f>IF(OR($B464="",W$7=""),"",IF($B464="MEANS",INDEX('1-DATA'!$1:$1048576,$A463-1,COLUMN('1-DATA'!V462)),ROUND(INDEX('1-DATA'!$1:$1048576,IF(OR($B464="STD. DEVIATION",$C$1=1),$A464,$A464+1),COLUMN('1-DATA'!V462)),IF($B464="STD. DEVIATION",2,$F$1))))</f>
        <v/>
      </c>
      <c r="X464" s="1" t="str">
        <f>IF(OR($B464="",X$7=""),"",IF($B464="MEANS",INDEX('1-DATA'!$1:$1048576,$A463-1,COLUMN('1-DATA'!W462)),ROUND(INDEX('1-DATA'!$1:$1048576,IF(OR($B464="STD. DEVIATION",$C$1=1),$A464,$A464+1),COLUMN('1-DATA'!W462)),IF($B464="STD. DEVIATION",2,$F$1))))</f>
        <v/>
      </c>
      <c r="Y464" s="1" t="str">
        <f>IF(OR($B464="",Y$7=""),"",IF($B464="MEANS",INDEX('1-DATA'!$1:$1048576,$A463-1,COLUMN('1-DATA'!X462)),ROUND(INDEX('1-DATA'!$1:$1048576,IF(OR($B464="STD. DEVIATION",$C$1=1),$A464,$A464+1),COLUMN('1-DATA'!X462)),IF($B464="STD. DEVIATION",2,$F$1))))</f>
        <v/>
      </c>
      <c r="Z464" s="1" t="str">
        <f>IF(OR($B464="",Z$7=""),"",IF($B464="MEANS",INDEX('1-DATA'!$1:$1048576,$A463-1,COLUMN('1-DATA'!Y462)),ROUND(INDEX('1-DATA'!$1:$1048576,IF(OR($B464="STD. DEVIATION",$C$1=1),$A464,$A464+1),COLUMN('1-DATA'!Y462)),IF($B464="STD. DEVIATION",2,$F$1))))</f>
        <v/>
      </c>
      <c r="AA464" s="1" t="str">
        <f>IF(OR($B464="",AA$7=""),"",IF($B464="MEANS",INDEX('1-DATA'!$1:$1048576,$A463-1,COLUMN('1-DATA'!Z462)),ROUND(INDEX('1-DATA'!$1:$1048576,IF(OR($B464="STD. DEVIATION",$C$1=1),$A464,$A464+1),COLUMN('1-DATA'!Z462)),IF($B464="STD. DEVIATION",2,$F$1))))</f>
        <v/>
      </c>
      <c r="AB464" s="1" t="str">
        <f>IF(OR($B464="",AB$7=""),"",IF($B464="MEANS",INDEX('1-DATA'!$1:$1048576,$A463-1,COLUMN('1-DATA'!AA462)),ROUND(INDEX('1-DATA'!$1:$1048576,IF(OR($B464="STD. DEVIATION",$C$1=1),$A464,$A464+1),COLUMN('1-DATA'!AA462)),IF($B464="STD. DEVIATION",2,$F$1))))</f>
        <v/>
      </c>
      <c r="AC464" s="1" t="str">
        <f>IF(OR($B464="",AC$7=""),"",IF($B464="MEANS",INDEX('1-DATA'!$1:$1048576,$A463-1,COLUMN('1-DATA'!AB462)),ROUND(INDEX('1-DATA'!$1:$1048576,IF(OR($B464="STD. DEVIATION",$C$1=1),$A464,$A464+1),COLUMN('1-DATA'!AB462)),IF($B464="STD. DEVIATION",2,$F$1))))</f>
        <v/>
      </c>
      <c r="AD464" s="1" t="str">
        <f>IF(OR($B464="",AD$7=""),"",IF($B464="MEANS",INDEX('1-DATA'!$1:$1048576,$A463-1,COLUMN('1-DATA'!AC462)),ROUND(INDEX('1-DATA'!$1:$1048576,IF(OR($B464="STD. DEVIATION",$C$1=1),$A464,$A464+1),COLUMN('1-DATA'!AC462)),IF($B464="STD. DEVIATION",2,$F$1))))</f>
        <v/>
      </c>
      <c r="AE464" s="1" t="str">
        <f>IF(OR($B464="",AE$7=""),"",IF($B464="MEANS",INDEX('1-DATA'!$1:$1048576,$A463-1,COLUMN('1-DATA'!AD462)),ROUND(INDEX('1-DATA'!$1:$1048576,IF(OR($B464="STD. DEVIATION",$C$1=1),$A464,$A464+1),COLUMN('1-DATA'!AD462)),IF($B464="STD. DEVIATION",2,$F$1))))</f>
        <v/>
      </c>
      <c r="AF464" s="1" t="str">
        <f>IF(OR($B464="",AF$7=""),"",IF($B464="MEANS",INDEX('1-DATA'!$1:$1048576,$A463-1,COLUMN('1-DATA'!AE462)),ROUND(INDEX('1-DATA'!$1:$1048576,IF(OR($B464="STD. DEVIATION",$C$1=1),$A464,$A464+1),COLUMN('1-DATA'!AE462)),IF($B464="STD. DEVIATION",2,$F$1))))</f>
        <v/>
      </c>
      <c r="AG464" s="1" t="str">
        <f>IF(OR($B464="",AG$7=""),"",IF($B464="MEANS",INDEX('1-DATA'!$1:$1048576,$A463-1,COLUMN('1-DATA'!AF462)),ROUND(INDEX('1-DATA'!$1:$1048576,IF(OR($B464="STD. DEVIATION",$C$1=1),$A464,$A464+1),COLUMN('1-DATA'!AF462)),IF($B464="STD. DEVIATION",2,$F$1))))</f>
        <v/>
      </c>
      <c r="AH464" s="1" t="str">
        <f>IF(OR($B464="",AH$7=""),"",IF($B464="MEANS",INDEX('1-DATA'!$1:$1048576,$A463-1,COLUMN('1-DATA'!AG462)),ROUND(INDEX('1-DATA'!$1:$1048576,IF(OR($B464="STD. DEVIATION",$C$1=1),$A464,$A464+1),COLUMN('1-DATA'!AG462)),IF($B464="STD. DEVIATION",2,$F$1))))</f>
        <v/>
      </c>
      <c r="AI464" s="1" t="str">
        <f>IF(OR($B464="",AI$7=""),"",IF($B464="MEANS",INDEX('1-DATA'!$1:$1048576,$A463-1,COLUMN('1-DATA'!AH462)),ROUND(INDEX('1-DATA'!$1:$1048576,IF(OR($B464="STD. DEVIATION",$C$1=1),$A464,$A464+1),COLUMN('1-DATA'!AH462)),IF($B464="STD. DEVIATION",2,$F$1))))</f>
        <v/>
      </c>
      <c r="AJ464" s="1" t="str">
        <f>IF(OR($B464="",AJ$7=""),"",IF($B464="MEANS",INDEX('1-DATA'!$1:$1048576,$A463-1,COLUMN('1-DATA'!AI462)),ROUND(INDEX('1-DATA'!$1:$1048576,IF(OR($B464="STD. DEVIATION",$C$1=1),$A464,$A464+1),COLUMN('1-DATA'!AI462)),IF($B464="STD. DEVIATION",2,$F$1))))</f>
        <v/>
      </c>
      <c r="AK464" s="1" t="str">
        <f>IF(OR($B464="",AK$7=""),"",IF($B464="MEANS",INDEX('1-DATA'!$1:$1048576,$A463-1,COLUMN('1-DATA'!AJ462)),ROUND(INDEX('1-DATA'!$1:$1048576,IF(OR($B464="STD. DEVIATION",$C$1=1),$A464,$A464+1),COLUMN('1-DATA'!AJ462)),IF($B464="STD. DEVIATION",2,$F$1))))</f>
        <v/>
      </c>
      <c r="AL464" s="1" t="str">
        <f>IF(OR($B464="",AL$7=""),"",IF($B464="MEANS",INDEX('1-DATA'!$1:$1048576,$A463-1,COLUMN('1-DATA'!AK462)),ROUND(INDEX('1-DATA'!$1:$1048576,IF(OR($B464="STD. DEVIATION",$C$1=1),$A464,$A464+1),COLUMN('1-DATA'!AK462)),IF($B464="STD. DEVIATION",2,$F$1))))</f>
        <v/>
      </c>
      <c r="AM464" s="1" t="str">
        <f>IF(OR($B464="",AM$7=""),"",IF($B464="MEANS",INDEX('1-DATA'!$1:$1048576,$A463-1,COLUMN('1-DATA'!AL462)),ROUND(INDEX('1-DATA'!$1:$1048576,IF(OR($B464="STD. DEVIATION",$C$1=1),$A464,$A464+1),COLUMN('1-DATA'!AL462)),IF($B464="STD. DEVIATION",2,$F$1))))</f>
        <v/>
      </c>
      <c r="AN464" s="1" t="str">
        <f>IF(OR($B464="",AN$7=""),"",IF($B464="MEANS",INDEX('1-DATA'!$1:$1048576,$A463-1,COLUMN('1-DATA'!AM462)),ROUND(INDEX('1-DATA'!$1:$1048576,IF(OR($B464="STD. DEVIATION",$C$1=1),$A464,$A464+1),COLUMN('1-DATA'!AM462)),IF($B464="STD. DEVIATION",2,$F$1))))</f>
        <v/>
      </c>
      <c r="AO464" s="1" t="str">
        <f>IF(OR($B464="",AO$7=""),"",IF($B464="MEANS",INDEX('1-DATA'!$1:$1048576,$A463-1,COLUMN('1-DATA'!AN462)),ROUND(INDEX('1-DATA'!$1:$1048576,IF(OR($B464="STD. DEVIATION",$C$1=1),$A464,$A464+1),COLUMN('1-DATA'!AN462)),IF($B464="STD. DEVIATION",2,$F$1))))</f>
        <v/>
      </c>
      <c r="AP464" s="1" t="str">
        <f>IF(OR($B464="",AP$7=""),"",IF($B464="MEANS",INDEX('1-DATA'!$1:$1048576,$A463-1,COLUMN('1-DATA'!AO462)),ROUND(INDEX('1-DATA'!$1:$1048576,IF(OR($B464="STD. DEVIATION",$C$1=1),$A464,$A464+1),COLUMN('1-DATA'!AO462)),IF($B464="STD. DEVIATION",2,$F$1))))</f>
        <v/>
      </c>
      <c r="AQ464" s="1" t="str">
        <f>IF(OR($B464="",AQ$7=""),"",IF($B464="MEANS",INDEX('1-DATA'!$1:$1048576,$A463-1,COLUMN('1-DATA'!AP462)),ROUND(INDEX('1-DATA'!$1:$1048576,IF(OR($B464="STD. DEVIATION",$C$1=1),$A464,$A464+1),COLUMN('1-DATA'!AP462)),IF($B464="STD. DEVIATION",2,$F$1))))</f>
        <v/>
      </c>
      <c r="AR464" s="1" t="str">
        <f>IF(OR($B464="",AR$7=""),"",IF($B464="MEANS",INDEX('1-DATA'!$1:$1048576,$A463-1,COLUMN('1-DATA'!AQ462)),ROUND(INDEX('1-DATA'!$1:$1048576,IF(OR($B464="STD. DEVIATION",$C$1=1),$A464,$A464+1),COLUMN('1-DATA'!AQ462)),IF($B464="STD. DEVIATION",2,$F$1))))</f>
        <v/>
      </c>
      <c r="AS464" s="1" t="str">
        <f>IF(OR($B464="",AS$7=""),"",IF($B464="MEANS",INDEX('1-DATA'!$1:$1048576,$A463-1,COLUMN('1-DATA'!AR462)),ROUND(INDEX('1-DATA'!$1:$1048576,IF(OR($B464="STD. DEVIATION",$C$1=1),$A464,$A464+1),COLUMN('1-DATA'!AR462)),IF($B464="STD. DEVIATION",2,$F$1))))</f>
        <v/>
      </c>
      <c r="AT464" s="1" t="str">
        <f>IF(OR($B464="",AT$7=""),"",IF($B464="MEANS",INDEX('1-DATA'!$1:$1048576,$A463-1,COLUMN('1-DATA'!AS462)),ROUND(INDEX('1-DATA'!$1:$1048576,IF(OR($B464="STD. DEVIATION",$C$1=1),$A464,$A464+1),COLUMN('1-DATA'!AS462)),IF($B464="STD. DEVIATION",2,$F$1))))</f>
        <v/>
      </c>
      <c r="AU464" s="1" t="str">
        <f>IF(OR($B464="",AU$7=""),"",IF($B464="MEANS",INDEX('1-DATA'!$1:$1048576,$A463-1,COLUMN('1-DATA'!AT462)),ROUND(INDEX('1-DATA'!$1:$1048576,IF(OR($B464="STD. DEVIATION",$C$1=1),$A464,$A464+1),COLUMN('1-DATA'!AT462)),IF($B464="STD. DEVIATION",2,$F$1))))</f>
        <v/>
      </c>
      <c r="AV464" s="1" t="str">
        <f>IF(OR($B464="",AV$7=""),"",IF($B464="MEANS",INDEX('1-DATA'!$1:$1048576,$A463-1,COLUMN('1-DATA'!AU462)),ROUND(INDEX('1-DATA'!$1:$1048576,IF(OR($B464="STD. DEVIATION",$C$1=1),$A464,$A464+1),COLUMN('1-DATA'!AU462)),IF($B464="STD. DEVIATION",2,$F$1))))</f>
        <v/>
      </c>
      <c r="AW464" s="1" t="str">
        <f>IF(OR($B464="",AW$7=""),"",IF($B464="MEANS",INDEX('1-DATA'!$1:$1048576,$A463-1,COLUMN('1-DATA'!AV462)),ROUND(INDEX('1-DATA'!$1:$1048576,IF(OR($B464="STD. DEVIATION",$C$1=1),$A464,$A464+1),COLUMN('1-DATA'!AV462)),IF($B464="STD. DEVIATION",2,$F$1))))</f>
        <v/>
      </c>
      <c r="AX464" s="1" t="str">
        <f>IF(OR($B464="",AX$7=""),"",IF($B464="MEANS",INDEX('1-DATA'!$1:$1048576,$A463-1,COLUMN('1-DATA'!AW462)),ROUND(INDEX('1-DATA'!$1:$1048576,IF(OR($B464="STD. DEVIATION",$C$1=1),$A464,$A464+1),COLUMN('1-DATA'!AW462)),IF($B464="STD. DEVIATION",2,$F$1))))</f>
        <v/>
      </c>
      <c r="AY464" s="1" t="str">
        <f>IF(OR($B464="",AY$7=""),"",IF($B464="MEANS",INDEX('1-DATA'!$1:$1048576,$A463-1,COLUMN('1-DATA'!AX462)),ROUND(INDEX('1-DATA'!$1:$1048576,IF(OR($B464="STD. DEVIATION",$C$1=1),$A464,$A464+1),COLUMN('1-DATA'!AX462)),IF($B464="STD. DEVIATION",2,$F$1))))</f>
        <v/>
      </c>
      <c r="AZ464" s="1" t="str">
        <f>IF(OR($B464="",AZ$7=""),"",IF($B464="MEANS",INDEX('1-DATA'!$1:$1048576,$A463-1,COLUMN('1-DATA'!AY462)),ROUND(INDEX('1-DATA'!$1:$1048576,IF(OR($B464="STD. DEVIATION",$C$1=1),$A464,$A464+1),COLUMN('1-DATA'!AY462)),IF($B464="STD. DEVIATION",2,$F$1))))</f>
        <v/>
      </c>
    </row>
    <row r="465" spans="1:52" x14ac:dyDescent="0.25">
      <c r="A465" s="11">
        <f t="shared" si="7"/>
        <v>1381</v>
      </c>
      <c r="B465" s="1" t="str">
        <f>IF(B464="STD. DEVIATION",INDEX('1-DATA'!$1:$1048576,$A464-1,1),IF(INDEX('1-DATA'!$1:$1048576,$A465,1)&lt;&gt;"",INDEX('1-DATA'!$1:$1048576,$A465,1),""))</f>
        <v/>
      </c>
      <c r="C465" s="1" t="str">
        <f>IF(OR($B465="",C$7=""),"",IF($B465="MEANS",INDEX('1-DATA'!$1:$1048576,$A464-1,COLUMN('1-DATA'!B463)),ROUND(INDEX('1-DATA'!$1:$1048576,IF(OR($B465="STD. DEVIATION",$C$1=1),$A465,$A465+1),COLUMN('1-DATA'!B463)),IF($B465="STD. DEVIATION",2,$F$1))))</f>
        <v/>
      </c>
      <c r="D465" s="1" t="str">
        <f>IF(OR($B465="",D$7=""),"",IF($B465="MEANS",INDEX('1-DATA'!$1:$1048576,$A464-1,COLUMN('1-DATA'!C463)),ROUND(INDEX('1-DATA'!$1:$1048576,IF(OR($B465="STD. DEVIATION",$C$1=1),$A465,$A465+1),COLUMN('1-DATA'!C463)),IF($B465="STD. DEVIATION",2,$F$1))))</f>
        <v/>
      </c>
      <c r="E465" s="1" t="str">
        <f>IF(OR($B465="",E$7=""),"",IF($B465="MEANS",INDEX('1-DATA'!$1:$1048576,$A464-1,COLUMN('1-DATA'!D463)),ROUND(INDEX('1-DATA'!$1:$1048576,IF(OR($B465="STD. DEVIATION",$C$1=1),$A465,$A465+1),COLUMN('1-DATA'!D463)),IF($B465="STD. DEVIATION",2,$F$1))))</f>
        <v/>
      </c>
      <c r="F465" s="1" t="str">
        <f>IF(OR($B465="",F$7=""),"",IF($B465="MEANS",INDEX('1-DATA'!$1:$1048576,$A464-1,COLUMN('1-DATA'!E463)),ROUND(INDEX('1-DATA'!$1:$1048576,IF(OR($B465="STD. DEVIATION",$C$1=1),$A465,$A465+1),COLUMN('1-DATA'!E463)),IF($B465="STD. DEVIATION",2,$F$1))))</f>
        <v/>
      </c>
      <c r="G465" s="1" t="str">
        <f>IF(OR($B465="",G$7=""),"",IF($B465="MEANS",INDEX('1-DATA'!$1:$1048576,$A464-1,COLUMN('1-DATA'!F463)),ROUND(INDEX('1-DATA'!$1:$1048576,IF(OR($B465="STD. DEVIATION",$C$1=1),$A465,$A465+1),COLUMN('1-DATA'!F463)),IF($B465="STD. DEVIATION",2,$F$1))))</f>
        <v/>
      </c>
      <c r="H465" s="1" t="str">
        <f>IF(OR($B465="",H$7=""),"",IF($B465="MEANS",INDEX('1-DATA'!$1:$1048576,$A464-1,COLUMN('1-DATA'!G463)),ROUND(INDEX('1-DATA'!$1:$1048576,IF(OR($B465="STD. DEVIATION",$C$1=1),$A465,$A465+1),COLUMN('1-DATA'!G463)),IF($B465="STD. DEVIATION",2,$F$1))))</f>
        <v/>
      </c>
      <c r="I465" s="1" t="str">
        <f>IF(OR($B465="",I$7=""),"",IF($B465="MEANS",INDEX('1-DATA'!$1:$1048576,$A464-1,COLUMN('1-DATA'!H463)),ROUND(INDEX('1-DATA'!$1:$1048576,IF(OR($B465="STD. DEVIATION",$C$1=1),$A465,$A465+1),COLUMN('1-DATA'!H463)),IF($B465="STD. DEVIATION",2,$F$1))))</f>
        <v/>
      </c>
      <c r="J465" s="1" t="str">
        <f>IF(OR($B465="",J$7=""),"",IF($B465="MEANS",INDEX('1-DATA'!$1:$1048576,$A464-1,COLUMN('1-DATA'!I463)),ROUND(INDEX('1-DATA'!$1:$1048576,IF(OR($B465="STD. DEVIATION",$C$1=1),$A465,$A465+1),COLUMN('1-DATA'!I463)),IF($B465="STD. DEVIATION",2,$F$1))))</f>
        <v/>
      </c>
      <c r="K465" s="1" t="str">
        <f>IF(OR($B465="",K$7=""),"",IF($B465="MEANS",INDEX('1-DATA'!$1:$1048576,$A464-1,COLUMN('1-DATA'!J463)),ROUND(INDEX('1-DATA'!$1:$1048576,IF(OR($B465="STD. DEVIATION",$C$1=1),$A465,$A465+1),COLUMN('1-DATA'!J463)),IF($B465="STD. DEVIATION",2,$F$1))))</f>
        <v/>
      </c>
      <c r="L465" s="1" t="str">
        <f>IF(OR($B465="",L$7=""),"",IF($B465="MEANS",INDEX('1-DATA'!$1:$1048576,$A464-1,COLUMN('1-DATA'!K463)),ROUND(INDEX('1-DATA'!$1:$1048576,IF(OR($B465="STD. DEVIATION",$C$1=1),$A465,$A465+1),COLUMN('1-DATA'!K463)),IF($B465="STD. DEVIATION",2,$F$1))))</f>
        <v/>
      </c>
      <c r="M465" s="1" t="str">
        <f>IF(OR($B465="",M$7=""),"",IF($B465="MEANS",INDEX('1-DATA'!$1:$1048576,$A464-1,COLUMN('1-DATA'!L463)),ROUND(INDEX('1-DATA'!$1:$1048576,IF(OR($B465="STD. DEVIATION",$C$1=1),$A465,$A465+1),COLUMN('1-DATA'!L463)),IF($B465="STD. DEVIATION",2,$F$1))))</f>
        <v/>
      </c>
      <c r="N465" s="1" t="str">
        <f>IF(OR($B465="",N$7=""),"",IF($B465="MEANS",INDEX('1-DATA'!$1:$1048576,$A464-1,COLUMN('1-DATA'!M463)),ROUND(INDEX('1-DATA'!$1:$1048576,IF(OR($B465="STD. DEVIATION",$C$1=1),$A465,$A465+1),COLUMN('1-DATA'!M463)),IF($B465="STD. DEVIATION",2,$F$1))))</f>
        <v/>
      </c>
      <c r="O465" s="1" t="str">
        <f>IF(OR($B465="",O$7=""),"",IF($B465="MEANS",INDEX('1-DATA'!$1:$1048576,$A464-1,COLUMN('1-DATA'!N463)),ROUND(INDEX('1-DATA'!$1:$1048576,IF(OR($B465="STD. DEVIATION",$C$1=1),$A465,$A465+1),COLUMN('1-DATA'!N463)),IF($B465="STD. DEVIATION",2,$F$1))))</f>
        <v/>
      </c>
      <c r="P465" s="1" t="str">
        <f>IF(OR($B465="",P$7=""),"",IF($B465="MEANS",INDEX('1-DATA'!$1:$1048576,$A464-1,COLUMN('1-DATA'!O463)),ROUND(INDEX('1-DATA'!$1:$1048576,IF(OR($B465="STD. DEVIATION",$C$1=1),$A465,$A465+1),COLUMN('1-DATA'!O463)),IF($B465="STD. DEVIATION",2,$F$1))))</f>
        <v/>
      </c>
      <c r="Q465" s="1" t="str">
        <f>IF(OR($B465="",Q$7=""),"",IF($B465="MEANS",INDEX('1-DATA'!$1:$1048576,$A464-1,COLUMN('1-DATA'!P463)),ROUND(INDEX('1-DATA'!$1:$1048576,IF(OR($B465="STD. DEVIATION",$C$1=1),$A465,$A465+1),COLUMN('1-DATA'!P463)),IF($B465="STD. DEVIATION",2,$F$1))))</f>
        <v/>
      </c>
      <c r="R465" s="1" t="str">
        <f>IF(OR($B465="",R$7=""),"",IF($B465="MEANS",INDEX('1-DATA'!$1:$1048576,$A464-1,COLUMN('1-DATA'!Q463)),ROUND(INDEX('1-DATA'!$1:$1048576,IF(OR($B465="STD. DEVIATION",$C$1=1),$A465,$A465+1),COLUMN('1-DATA'!Q463)),IF($B465="STD. DEVIATION",2,$F$1))))</f>
        <v/>
      </c>
      <c r="S465" s="1" t="str">
        <f>IF(OR($B465="",S$7=""),"",IF($B465="MEANS",INDEX('1-DATA'!$1:$1048576,$A464-1,COLUMN('1-DATA'!R463)),ROUND(INDEX('1-DATA'!$1:$1048576,IF(OR($B465="STD. DEVIATION",$C$1=1),$A465,$A465+1),COLUMN('1-DATA'!R463)),IF($B465="STD. DEVIATION",2,$F$1))))</f>
        <v/>
      </c>
      <c r="T465" s="1" t="str">
        <f>IF(OR($B465="",T$7=""),"",IF($B465="MEANS",INDEX('1-DATA'!$1:$1048576,$A464-1,COLUMN('1-DATA'!S463)),ROUND(INDEX('1-DATA'!$1:$1048576,IF(OR($B465="STD. DEVIATION",$C$1=1),$A465,$A465+1),COLUMN('1-DATA'!S463)),IF($B465="STD. DEVIATION",2,$F$1))))</f>
        <v/>
      </c>
      <c r="U465" s="1" t="str">
        <f>IF(OR($B465="",U$7=""),"",IF($B465="MEANS",INDEX('1-DATA'!$1:$1048576,$A464-1,COLUMN('1-DATA'!T463)),ROUND(INDEX('1-DATA'!$1:$1048576,IF(OR($B465="STD. DEVIATION",$C$1=1),$A465,$A465+1),COLUMN('1-DATA'!T463)),IF($B465="STD. DEVIATION",2,$F$1))))</f>
        <v/>
      </c>
      <c r="V465" s="1" t="str">
        <f>IF(OR($B465="",V$7=""),"",IF($B465="MEANS",INDEX('1-DATA'!$1:$1048576,$A464-1,COLUMN('1-DATA'!U463)),ROUND(INDEX('1-DATA'!$1:$1048576,IF(OR($B465="STD. DEVIATION",$C$1=1),$A465,$A465+1),COLUMN('1-DATA'!U463)),IF($B465="STD. DEVIATION",2,$F$1))))</f>
        <v/>
      </c>
      <c r="W465" s="1" t="str">
        <f>IF(OR($B465="",W$7=""),"",IF($B465="MEANS",INDEX('1-DATA'!$1:$1048576,$A464-1,COLUMN('1-DATA'!V463)),ROUND(INDEX('1-DATA'!$1:$1048576,IF(OR($B465="STD. DEVIATION",$C$1=1),$A465,$A465+1),COLUMN('1-DATA'!V463)),IF($B465="STD. DEVIATION",2,$F$1))))</f>
        <v/>
      </c>
      <c r="X465" s="1" t="str">
        <f>IF(OR($B465="",X$7=""),"",IF($B465="MEANS",INDEX('1-DATA'!$1:$1048576,$A464-1,COLUMN('1-DATA'!W463)),ROUND(INDEX('1-DATA'!$1:$1048576,IF(OR($B465="STD. DEVIATION",$C$1=1),$A465,$A465+1),COLUMN('1-DATA'!W463)),IF($B465="STD. DEVIATION",2,$F$1))))</f>
        <v/>
      </c>
      <c r="Y465" s="1" t="str">
        <f>IF(OR($B465="",Y$7=""),"",IF($B465="MEANS",INDEX('1-DATA'!$1:$1048576,$A464-1,COLUMN('1-DATA'!X463)),ROUND(INDEX('1-DATA'!$1:$1048576,IF(OR($B465="STD. DEVIATION",$C$1=1),$A465,$A465+1),COLUMN('1-DATA'!X463)),IF($B465="STD. DEVIATION",2,$F$1))))</f>
        <v/>
      </c>
      <c r="Z465" s="1" t="str">
        <f>IF(OR($B465="",Z$7=""),"",IF($B465="MEANS",INDEX('1-DATA'!$1:$1048576,$A464-1,COLUMN('1-DATA'!Y463)),ROUND(INDEX('1-DATA'!$1:$1048576,IF(OR($B465="STD. DEVIATION",$C$1=1),$A465,$A465+1),COLUMN('1-DATA'!Y463)),IF($B465="STD. DEVIATION",2,$F$1))))</f>
        <v/>
      </c>
      <c r="AA465" s="1" t="str">
        <f>IF(OR($B465="",AA$7=""),"",IF($B465="MEANS",INDEX('1-DATA'!$1:$1048576,$A464-1,COLUMN('1-DATA'!Z463)),ROUND(INDEX('1-DATA'!$1:$1048576,IF(OR($B465="STD. DEVIATION",$C$1=1),$A465,$A465+1),COLUMN('1-DATA'!Z463)),IF($B465="STD. DEVIATION",2,$F$1))))</f>
        <v/>
      </c>
      <c r="AB465" s="1" t="str">
        <f>IF(OR($B465="",AB$7=""),"",IF($B465="MEANS",INDEX('1-DATA'!$1:$1048576,$A464-1,COLUMN('1-DATA'!AA463)),ROUND(INDEX('1-DATA'!$1:$1048576,IF(OR($B465="STD. DEVIATION",$C$1=1),$A465,$A465+1),COLUMN('1-DATA'!AA463)),IF($B465="STD. DEVIATION",2,$F$1))))</f>
        <v/>
      </c>
      <c r="AC465" s="1" t="str">
        <f>IF(OR($B465="",AC$7=""),"",IF($B465="MEANS",INDEX('1-DATA'!$1:$1048576,$A464-1,COLUMN('1-DATA'!AB463)),ROUND(INDEX('1-DATA'!$1:$1048576,IF(OR($B465="STD. DEVIATION",$C$1=1),$A465,$A465+1),COLUMN('1-DATA'!AB463)),IF($B465="STD. DEVIATION",2,$F$1))))</f>
        <v/>
      </c>
      <c r="AD465" s="1" t="str">
        <f>IF(OR($B465="",AD$7=""),"",IF($B465="MEANS",INDEX('1-DATA'!$1:$1048576,$A464-1,COLUMN('1-DATA'!AC463)),ROUND(INDEX('1-DATA'!$1:$1048576,IF(OR($B465="STD. DEVIATION",$C$1=1),$A465,$A465+1),COLUMN('1-DATA'!AC463)),IF($B465="STD. DEVIATION",2,$F$1))))</f>
        <v/>
      </c>
      <c r="AE465" s="1" t="str">
        <f>IF(OR($B465="",AE$7=""),"",IF($B465="MEANS",INDEX('1-DATA'!$1:$1048576,$A464-1,COLUMN('1-DATA'!AD463)),ROUND(INDEX('1-DATA'!$1:$1048576,IF(OR($B465="STD. DEVIATION",$C$1=1),$A465,$A465+1),COLUMN('1-DATA'!AD463)),IF($B465="STD. DEVIATION",2,$F$1))))</f>
        <v/>
      </c>
      <c r="AF465" s="1" t="str">
        <f>IF(OR($B465="",AF$7=""),"",IF($B465="MEANS",INDEX('1-DATA'!$1:$1048576,$A464-1,COLUMN('1-DATA'!AE463)),ROUND(INDEX('1-DATA'!$1:$1048576,IF(OR($B465="STD. DEVIATION",$C$1=1),$A465,$A465+1),COLUMN('1-DATA'!AE463)),IF($B465="STD. DEVIATION",2,$F$1))))</f>
        <v/>
      </c>
      <c r="AG465" s="1" t="str">
        <f>IF(OR($B465="",AG$7=""),"",IF($B465="MEANS",INDEX('1-DATA'!$1:$1048576,$A464-1,COLUMN('1-DATA'!AF463)),ROUND(INDEX('1-DATA'!$1:$1048576,IF(OR($B465="STD. DEVIATION",$C$1=1),$A465,$A465+1),COLUMN('1-DATA'!AF463)),IF($B465="STD. DEVIATION",2,$F$1))))</f>
        <v/>
      </c>
      <c r="AH465" s="1" t="str">
        <f>IF(OR($B465="",AH$7=""),"",IF($B465="MEANS",INDEX('1-DATA'!$1:$1048576,$A464-1,COLUMN('1-DATA'!AG463)),ROUND(INDEX('1-DATA'!$1:$1048576,IF(OR($B465="STD. DEVIATION",$C$1=1),$A465,$A465+1),COLUMN('1-DATA'!AG463)),IF($B465="STD. DEVIATION",2,$F$1))))</f>
        <v/>
      </c>
      <c r="AI465" s="1" t="str">
        <f>IF(OR($B465="",AI$7=""),"",IF($B465="MEANS",INDEX('1-DATA'!$1:$1048576,$A464-1,COLUMN('1-DATA'!AH463)),ROUND(INDEX('1-DATA'!$1:$1048576,IF(OR($B465="STD. DEVIATION",$C$1=1),$A465,$A465+1),COLUMN('1-DATA'!AH463)),IF($B465="STD. DEVIATION",2,$F$1))))</f>
        <v/>
      </c>
      <c r="AJ465" s="1" t="str">
        <f>IF(OR($B465="",AJ$7=""),"",IF($B465="MEANS",INDEX('1-DATA'!$1:$1048576,$A464-1,COLUMN('1-DATA'!AI463)),ROUND(INDEX('1-DATA'!$1:$1048576,IF(OR($B465="STD. DEVIATION",$C$1=1),$A465,$A465+1),COLUMN('1-DATA'!AI463)),IF($B465="STD. DEVIATION",2,$F$1))))</f>
        <v/>
      </c>
      <c r="AK465" s="1" t="str">
        <f>IF(OR($B465="",AK$7=""),"",IF($B465="MEANS",INDEX('1-DATA'!$1:$1048576,$A464-1,COLUMN('1-DATA'!AJ463)),ROUND(INDEX('1-DATA'!$1:$1048576,IF(OR($B465="STD. DEVIATION",$C$1=1),$A465,$A465+1),COLUMN('1-DATA'!AJ463)),IF($B465="STD. DEVIATION",2,$F$1))))</f>
        <v/>
      </c>
      <c r="AL465" s="1" t="str">
        <f>IF(OR($B465="",AL$7=""),"",IF($B465="MEANS",INDEX('1-DATA'!$1:$1048576,$A464-1,COLUMN('1-DATA'!AK463)),ROUND(INDEX('1-DATA'!$1:$1048576,IF(OR($B465="STD. DEVIATION",$C$1=1),$A465,$A465+1),COLUMN('1-DATA'!AK463)),IF($B465="STD. DEVIATION",2,$F$1))))</f>
        <v/>
      </c>
      <c r="AM465" s="1" t="str">
        <f>IF(OR($B465="",AM$7=""),"",IF($B465="MEANS",INDEX('1-DATA'!$1:$1048576,$A464-1,COLUMN('1-DATA'!AL463)),ROUND(INDEX('1-DATA'!$1:$1048576,IF(OR($B465="STD. DEVIATION",$C$1=1),$A465,$A465+1),COLUMN('1-DATA'!AL463)),IF($B465="STD. DEVIATION",2,$F$1))))</f>
        <v/>
      </c>
      <c r="AN465" s="1" t="str">
        <f>IF(OR($B465="",AN$7=""),"",IF($B465="MEANS",INDEX('1-DATA'!$1:$1048576,$A464-1,COLUMN('1-DATA'!AM463)),ROUND(INDEX('1-DATA'!$1:$1048576,IF(OR($B465="STD. DEVIATION",$C$1=1),$A465,$A465+1),COLUMN('1-DATA'!AM463)),IF($B465="STD. DEVIATION",2,$F$1))))</f>
        <v/>
      </c>
      <c r="AO465" s="1" t="str">
        <f>IF(OR($B465="",AO$7=""),"",IF($B465="MEANS",INDEX('1-DATA'!$1:$1048576,$A464-1,COLUMN('1-DATA'!AN463)),ROUND(INDEX('1-DATA'!$1:$1048576,IF(OR($B465="STD. DEVIATION",$C$1=1),$A465,$A465+1),COLUMN('1-DATA'!AN463)),IF($B465="STD. DEVIATION",2,$F$1))))</f>
        <v/>
      </c>
      <c r="AP465" s="1" t="str">
        <f>IF(OR($B465="",AP$7=""),"",IF($B465="MEANS",INDEX('1-DATA'!$1:$1048576,$A464-1,COLUMN('1-DATA'!AO463)),ROUND(INDEX('1-DATA'!$1:$1048576,IF(OR($B465="STD. DEVIATION",$C$1=1),$A465,$A465+1),COLUMN('1-DATA'!AO463)),IF($B465="STD. DEVIATION",2,$F$1))))</f>
        <v/>
      </c>
      <c r="AQ465" s="1" t="str">
        <f>IF(OR($B465="",AQ$7=""),"",IF($B465="MEANS",INDEX('1-DATA'!$1:$1048576,$A464-1,COLUMN('1-DATA'!AP463)),ROUND(INDEX('1-DATA'!$1:$1048576,IF(OR($B465="STD. DEVIATION",$C$1=1),$A465,$A465+1),COLUMN('1-DATA'!AP463)),IF($B465="STD. DEVIATION",2,$F$1))))</f>
        <v/>
      </c>
      <c r="AR465" s="1" t="str">
        <f>IF(OR($B465="",AR$7=""),"",IF($B465="MEANS",INDEX('1-DATA'!$1:$1048576,$A464-1,COLUMN('1-DATA'!AQ463)),ROUND(INDEX('1-DATA'!$1:$1048576,IF(OR($B465="STD. DEVIATION",$C$1=1),$A465,$A465+1),COLUMN('1-DATA'!AQ463)),IF($B465="STD. DEVIATION",2,$F$1))))</f>
        <v/>
      </c>
      <c r="AS465" s="1" t="str">
        <f>IF(OR($B465="",AS$7=""),"",IF($B465="MEANS",INDEX('1-DATA'!$1:$1048576,$A464-1,COLUMN('1-DATA'!AR463)),ROUND(INDEX('1-DATA'!$1:$1048576,IF(OR($B465="STD. DEVIATION",$C$1=1),$A465,$A465+1),COLUMN('1-DATA'!AR463)),IF($B465="STD. DEVIATION",2,$F$1))))</f>
        <v/>
      </c>
      <c r="AT465" s="1" t="str">
        <f>IF(OR($B465="",AT$7=""),"",IF($B465="MEANS",INDEX('1-DATA'!$1:$1048576,$A464-1,COLUMN('1-DATA'!AS463)),ROUND(INDEX('1-DATA'!$1:$1048576,IF(OR($B465="STD. DEVIATION",$C$1=1),$A465,$A465+1),COLUMN('1-DATA'!AS463)),IF($B465="STD. DEVIATION",2,$F$1))))</f>
        <v/>
      </c>
      <c r="AU465" s="1" t="str">
        <f>IF(OR($B465="",AU$7=""),"",IF($B465="MEANS",INDEX('1-DATA'!$1:$1048576,$A464-1,COLUMN('1-DATA'!AT463)),ROUND(INDEX('1-DATA'!$1:$1048576,IF(OR($B465="STD. DEVIATION",$C$1=1),$A465,$A465+1),COLUMN('1-DATA'!AT463)),IF($B465="STD. DEVIATION",2,$F$1))))</f>
        <v/>
      </c>
      <c r="AV465" s="1" t="str">
        <f>IF(OR($B465="",AV$7=""),"",IF($B465="MEANS",INDEX('1-DATA'!$1:$1048576,$A464-1,COLUMN('1-DATA'!AU463)),ROUND(INDEX('1-DATA'!$1:$1048576,IF(OR($B465="STD. DEVIATION",$C$1=1),$A465,$A465+1),COLUMN('1-DATA'!AU463)),IF($B465="STD. DEVIATION",2,$F$1))))</f>
        <v/>
      </c>
      <c r="AW465" s="1" t="str">
        <f>IF(OR($B465="",AW$7=""),"",IF($B465="MEANS",INDEX('1-DATA'!$1:$1048576,$A464-1,COLUMN('1-DATA'!AV463)),ROUND(INDEX('1-DATA'!$1:$1048576,IF(OR($B465="STD. DEVIATION",$C$1=1),$A465,$A465+1),COLUMN('1-DATA'!AV463)),IF($B465="STD. DEVIATION",2,$F$1))))</f>
        <v/>
      </c>
      <c r="AX465" s="1" t="str">
        <f>IF(OR($B465="",AX$7=""),"",IF($B465="MEANS",INDEX('1-DATA'!$1:$1048576,$A464-1,COLUMN('1-DATA'!AW463)),ROUND(INDEX('1-DATA'!$1:$1048576,IF(OR($B465="STD. DEVIATION",$C$1=1),$A465,$A465+1),COLUMN('1-DATA'!AW463)),IF($B465="STD. DEVIATION",2,$F$1))))</f>
        <v/>
      </c>
      <c r="AY465" s="1" t="str">
        <f>IF(OR($B465="",AY$7=""),"",IF($B465="MEANS",INDEX('1-DATA'!$1:$1048576,$A464-1,COLUMN('1-DATA'!AX463)),ROUND(INDEX('1-DATA'!$1:$1048576,IF(OR($B465="STD. DEVIATION",$C$1=1),$A465,$A465+1),COLUMN('1-DATA'!AX463)),IF($B465="STD. DEVIATION",2,$F$1))))</f>
        <v/>
      </c>
      <c r="AZ465" s="1" t="str">
        <f>IF(OR($B465="",AZ$7=""),"",IF($B465="MEANS",INDEX('1-DATA'!$1:$1048576,$A464-1,COLUMN('1-DATA'!AY463)),ROUND(INDEX('1-DATA'!$1:$1048576,IF(OR($B465="STD. DEVIATION",$C$1=1),$A465,$A465+1),COLUMN('1-DATA'!AY463)),IF($B465="STD. DEVIATION",2,$F$1))))</f>
        <v/>
      </c>
    </row>
    <row r="466" spans="1:52" x14ac:dyDescent="0.25">
      <c r="A466" s="11">
        <f t="shared" si="7"/>
        <v>1384</v>
      </c>
      <c r="B466" s="1" t="str">
        <f>IF(B465="STD. DEVIATION",INDEX('1-DATA'!$1:$1048576,$A465-1,1),IF(INDEX('1-DATA'!$1:$1048576,$A466,1)&lt;&gt;"",INDEX('1-DATA'!$1:$1048576,$A466,1),""))</f>
        <v/>
      </c>
      <c r="C466" s="1" t="str">
        <f>IF(OR($B466="",C$7=""),"",IF($B466="MEANS",INDEX('1-DATA'!$1:$1048576,$A465-1,COLUMN('1-DATA'!B464)),ROUND(INDEX('1-DATA'!$1:$1048576,IF(OR($B466="STD. DEVIATION",$C$1=1),$A466,$A466+1),COLUMN('1-DATA'!B464)),IF($B466="STD. DEVIATION",2,$F$1))))</f>
        <v/>
      </c>
      <c r="D466" s="1" t="str">
        <f>IF(OR($B466="",D$7=""),"",IF($B466="MEANS",INDEX('1-DATA'!$1:$1048576,$A465-1,COLUMN('1-DATA'!C464)),ROUND(INDEX('1-DATA'!$1:$1048576,IF(OR($B466="STD. DEVIATION",$C$1=1),$A466,$A466+1),COLUMN('1-DATA'!C464)),IF($B466="STD. DEVIATION",2,$F$1))))</f>
        <v/>
      </c>
      <c r="E466" s="1" t="str">
        <f>IF(OR($B466="",E$7=""),"",IF($B466="MEANS",INDEX('1-DATA'!$1:$1048576,$A465-1,COLUMN('1-DATA'!D464)),ROUND(INDEX('1-DATA'!$1:$1048576,IF(OR($B466="STD. DEVIATION",$C$1=1),$A466,$A466+1),COLUMN('1-DATA'!D464)),IF($B466="STD. DEVIATION",2,$F$1))))</f>
        <v/>
      </c>
      <c r="F466" s="1" t="str">
        <f>IF(OR($B466="",F$7=""),"",IF($B466="MEANS",INDEX('1-DATA'!$1:$1048576,$A465-1,COLUMN('1-DATA'!E464)),ROUND(INDEX('1-DATA'!$1:$1048576,IF(OR($B466="STD. DEVIATION",$C$1=1),$A466,$A466+1),COLUMN('1-DATA'!E464)),IF($B466="STD. DEVIATION",2,$F$1))))</f>
        <v/>
      </c>
      <c r="G466" s="1" t="str">
        <f>IF(OR($B466="",G$7=""),"",IF($B466="MEANS",INDEX('1-DATA'!$1:$1048576,$A465-1,COLUMN('1-DATA'!F464)),ROUND(INDEX('1-DATA'!$1:$1048576,IF(OR($B466="STD. DEVIATION",$C$1=1),$A466,$A466+1),COLUMN('1-DATA'!F464)),IF($B466="STD. DEVIATION",2,$F$1))))</f>
        <v/>
      </c>
      <c r="H466" s="1" t="str">
        <f>IF(OR($B466="",H$7=""),"",IF($B466="MEANS",INDEX('1-DATA'!$1:$1048576,$A465-1,COLUMN('1-DATA'!G464)),ROUND(INDEX('1-DATA'!$1:$1048576,IF(OR($B466="STD. DEVIATION",$C$1=1),$A466,$A466+1),COLUMN('1-DATA'!G464)),IF($B466="STD. DEVIATION",2,$F$1))))</f>
        <v/>
      </c>
      <c r="I466" s="1" t="str">
        <f>IF(OR($B466="",I$7=""),"",IF($B466="MEANS",INDEX('1-DATA'!$1:$1048576,$A465-1,COLUMN('1-DATA'!H464)),ROUND(INDEX('1-DATA'!$1:$1048576,IF(OR($B466="STD. DEVIATION",$C$1=1),$A466,$A466+1),COLUMN('1-DATA'!H464)),IF($B466="STD. DEVIATION",2,$F$1))))</f>
        <v/>
      </c>
      <c r="J466" s="1" t="str">
        <f>IF(OR($B466="",J$7=""),"",IF($B466="MEANS",INDEX('1-DATA'!$1:$1048576,$A465-1,COLUMN('1-DATA'!I464)),ROUND(INDEX('1-DATA'!$1:$1048576,IF(OR($B466="STD. DEVIATION",$C$1=1),$A466,$A466+1),COLUMN('1-DATA'!I464)),IF($B466="STD. DEVIATION",2,$F$1))))</f>
        <v/>
      </c>
      <c r="K466" s="1" t="str">
        <f>IF(OR($B466="",K$7=""),"",IF($B466="MEANS",INDEX('1-DATA'!$1:$1048576,$A465-1,COLUMN('1-DATA'!J464)),ROUND(INDEX('1-DATA'!$1:$1048576,IF(OR($B466="STD. DEVIATION",$C$1=1),$A466,$A466+1),COLUMN('1-DATA'!J464)),IF($B466="STD. DEVIATION",2,$F$1))))</f>
        <v/>
      </c>
      <c r="L466" s="1" t="str">
        <f>IF(OR($B466="",L$7=""),"",IF($B466="MEANS",INDEX('1-DATA'!$1:$1048576,$A465-1,COLUMN('1-DATA'!K464)),ROUND(INDEX('1-DATA'!$1:$1048576,IF(OR($B466="STD. DEVIATION",$C$1=1),$A466,$A466+1),COLUMN('1-DATA'!K464)),IF($B466="STD. DEVIATION",2,$F$1))))</f>
        <v/>
      </c>
      <c r="M466" s="1" t="str">
        <f>IF(OR($B466="",M$7=""),"",IF($B466="MEANS",INDEX('1-DATA'!$1:$1048576,$A465-1,COLUMN('1-DATA'!L464)),ROUND(INDEX('1-DATA'!$1:$1048576,IF(OR($B466="STD. DEVIATION",$C$1=1),$A466,$A466+1),COLUMN('1-DATA'!L464)),IF($B466="STD. DEVIATION",2,$F$1))))</f>
        <v/>
      </c>
      <c r="N466" s="1" t="str">
        <f>IF(OR($B466="",N$7=""),"",IF($B466="MEANS",INDEX('1-DATA'!$1:$1048576,$A465-1,COLUMN('1-DATA'!M464)),ROUND(INDEX('1-DATA'!$1:$1048576,IF(OR($B466="STD. DEVIATION",$C$1=1),$A466,$A466+1),COLUMN('1-DATA'!M464)),IF($B466="STD. DEVIATION",2,$F$1))))</f>
        <v/>
      </c>
      <c r="O466" s="1" t="str">
        <f>IF(OR($B466="",O$7=""),"",IF($B466="MEANS",INDEX('1-DATA'!$1:$1048576,$A465-1,COLUMN('1-DATA'!N464)),ROUND(INDEX('1-DATA'!$1:$1048576,IF(OR($B466="STD. DEVIATION",$C$1=1),$A466,$A466+1),COLUMN('1-DATA'!N464)),IF($B466="STD. DEVIATION",2,$F$1))))</f>
        <v/>
      </c>
      <c r="P466" s="1" t="str">
        <f>IF(OR($B466="",P$7=""),"",IF($B466="MEANS",INDEX('1-DATA'!$1:$1048576,$A465-1,COLUMN('1-DATA'!O464)),ROUND(INDEX('1-DATA'!$1:$1048576,IF(OR($B466="STD. DEVIATION",$C$1=1),$A466,$A466+1),COLUMN('1-DATA'!O464)),IF($B466="STD. DEVIATION",2,$F$1))))</f>
        <v/>
      </c>
      <c r="Q466" s="1" t="str">
        <f>IF(OR($B466="",Q$7=""),"",IF($B466="MEANS",INDEX('1-DATA'!$1:$1048576,$A465-1,COLUMN('1-DATA'!P464)),ROUND(INDEX('1-DATA'!$1:$1048576,IF(OR($B466="STD. DEVIATION",$C$1=1),$A466,$A466+1),COLUMN('1-DATA'!P464)),IF($B466="STD. DEVIATION",2,$F$1))))</f>
        <v/>
      </c>
      <c r="R466" s="1" t="str">
        <f>IF(OR($B466="",R$7=""),"",IF($B466="MEANS",INDEX('1-DATA'!$1:$1048576,$A465-1,COLUMN('1-DATA'!Q464)),ROUND(INDEX('1-DATA'!$1:$1048576,IF(OR($B466="STD. DEVIATION",$C$1=1),$A466,$A466+1),COLUMN('1-DATA'!Q464)),IF($B466="STD. DEVIATION",2,$F$1))))</f>
        <v/>
      </c>
      <c r="S466" s="1" t="str">
        <f>IF(OR($B466="",S$7=""),"",IF($B466="MEANS",INDEX('1-DATA'!$1:$1048576,$A465-1,COLUMN('1-DATA'!R464)),ROUND(INDEX('1-DATA'!$1:$1048576,IF(OR($B466="STD. DEVIATION",$C$1=1),$A466,$A466+1),COLUMN('1-DATA'!R464)),IF($B466="STD. DEVIATION",2,$F$1))))</f>
        <v/>
      </c>
      <c r="T466" s="1" t="str">
        <f>IF(OR($B466="",T$7=""),"",IF($B466="MEANS",INDEX('1-DATA'!$1:$1048576,$A465-1,COLUMN('1-DATA'!S464)),ROUND(INDEX('1-DATA'!$1:$1048576,IF(OR($B466="STD. DEVIATION",$C$1=1),$A466,$A466+1),COLUMN('1-DATA'!S464)),IF($B466="STD. DEVIATION",2,$F$1))))</f>
        <v/>
      </c>
      <c r="U466" s="1" t="str">
        <f>IF(OR($B466="",U$7=""),"",IF($B466="MEANS",INDEX('1-DATA'!$1:$1048576,$A465-1,COLUMN('1-DATA'!T464)),ROUND(INDEX('1-DATA'!$1:$1048576,IF(OR($B466="STD. DEVIATION",$C$1=1),$A466,$A466+1),COLUMN('1-DATA'!T464)),IF($B466="STD. DEVIATION",2,$F$1))))</f>
        <v/>
      </c>
      <c r="V466" s="1" t="str">
        <f>IF(OR($B466="",V$7=""),"",IF($B466="MEANS",INDEX('1-DATA'!$1:$1048576,$A465-1,COLUMN('1-DATA'!U464)),ROUND(INDEX('1-DATA'!$1:$1048576,IF(OR($B466="STD. DEVIATION",$C$1=1),$A466,$A466+1),COLUMN('1-DATA'!U464)),IF($B466="STD. DEVIATION",2,$F$1))))</f>
        <v/>
      </c>
      <c r="W466" s="1" t="str">
        <f>IF(OR($B466="",W$7=""),"",IF($B466="MEANS",INDEX('1-DATA'!$1:$1048576,$A465-1,COLUMN('1-DATA'!V464)),ROUND(INDEX('1-DATA'!$1:$1048576,IF(OR($B466="STD. DEVIATION",$C$1=1),$A466,$A466+1),COLUMN('1-DATA'!V464)),IF($B466="STD. DEVIATION",2,$F$1))))</f>
        <v/>
      </c>
      <c r="X466" s="1" t="str">
        <f>IF(OR($B466="",X$7=""),"",IF($B466="MEANS",INDEX('1-DATA'!$1:$1048576,$A465-1,COLUMN('1-DATA'!W464)),ROUND(INDEX('1-DATA'!$1:$1048576,IF(OR($B466="STD. DEVIATION",$C$1=1),$A466,$A466+1),COLUMN('1-DATA'!W464)),IF($B466="STD. DEVIATION",2,$F$1))))</f>
        <v/>
      </c>
      <c r="Y466" s="1" t="str">
        <f>IF(OR($B466="",Y$7=""),"",IF($B466="MEANS",INDEX('1-DATA'!$1:$1048576,$A465-1,COLUMN('1-DATA'!X464)),ROUND(INDEX('1-DATA'!$1:$1048576,IF(OR($B466="STD. DEVIATION",$C$1=1),$A466,$A466+1),COLUMN('1-DATA'!X464)),IF($B466="STD. DEVIATION",2,$F$1))))</f>
        <v/>
      </c>
      <c r="Z466" s="1" t="str">
        <f>IF(OR($B466="",Z$7=""),"",IF($B466="MEANS",INDEX('1-DATA'!$1:$1048576,$A465-1,COLUMN('1-DATA'!Y464)),ROUND(INDEX('1-DATA'!$1:$1048576,IF(OR($B466="STD. DEVIATION",$C$1=1),$A466,$A466+1),COLUMN('1-DATA'!Y464)),IF($B466="STD. DEVIATION",2,$F$1))))</f>
        <v/>
      </c>
      <c r="AA466" s="1" t="str">
        <f>IF(OR($B466="",AA$7=""),"",IF($B466="MEANS",INDEX('1-DATA'!$1:$1048576,$A465-1,COLUMN('1-DATA'!Z464)),ROUND(INDEX('1-DATA'!$1:$1048576,IF(OR($B466="STD. DEVIATION",$C$1=1),$A466,$A466+1),COLUMN('1-DATA'!Z464)),IF($B466="STD. DEVIATION",2,$F$1))))</f>
        <v/>
      </c>
      <c r="AB466" s="1" t="str">
        <f>IF(OR($B466="",AB$7=""),"",IF($B466="MEANS",INDEX('1-DATA'!$1:$1048576,$A465-1,COLUMN('1-DATA'!AA464)),ROUND(INDEX('1-DATA'!$1:$1048576,IF(OR($B466="STD. DEVIATION",$C$1=1),$A466,$A466+1),COLUMN('1-DATA'!AA464)),IF($B466="STD. DEVIATION",2,$F$1))))</f>
        <v/>
      </c>
      <c r="AC466" s="1" t="str">
        <f>IF(OR($B466="",AC$7=""),"",IF($B466="MEANS",INDEX('1-DATA'!$1:$1048576,$A465-1,COLUMN('1-DATA'!AB464)),ROUND(INDEX('1-DATA'!$1:$1048576,IF(OR($B466="STD. DEVIATION",$C$1=1),$A466,$A466+1),COLUMN('1-DATA'!AB464)),IF($B466="STD. DEVIATION",2,$F$1))))</f>
        <v/>
      </c>
      <c r="AD466" s="1" t="str">
        <f>IF(OR($B466="",AD$7=""),"",IF($B466="MEANS",INDEX('1-DATA'!$1:$1048576,$A465-1,COLUMN('1-DATA'!AC464)),ROUND(INDEX('1-DATA'!$1:$1048576,IF(OR($B466="STD. DEVIATION",$C$1=1),$A466,$A466+1),COLUMN('1-DATA'!AC464)),IF($B466="STD. DEVIATION",2,$F$1))))</f>
        <v/>
      </c>
      <c r="AE466" s="1" t="str">
        <f>IF(OR($B466="",AE$7=""),"",IF($B466="MEANS",INDEX('1-DATA'!$1:$1048576,$A465-1,COLUMN('1-DATA'!AD464)),ROUND(INDEX('1-DATA'!$1:$1048576,IF(OR($B466="STD. DEVIATION",$C$1=1),$A466,$A466+1),COLUMN('1-DATA'!AD464)),IF($B466="STD. DEVIATION",2,$F$1))))</f>
        <v/>
      </c>
      <c r="AF466" s="1" t="str">
        <f>IF(OR($B466="",AF$7=""),"",IF($B466="MEANS",INDEX('1-DATA'!$1:$1048576,$A465-1,COLUMN('1-DATA'!AE464)),ROUND(INDEX('1-DATA'!$1:$1048576,IF(OR($B466="STD. DEVIATION",$C$1=1),$A466,$A466+1),COLUMN('1-DATA'!AE464)),IF($B466="STD. DEVIATION",2,$F$1))))</f>
        <v/>
      </c>
      <c r="AG466" s="1" t="str">
        <f>IF(OR($B466="",AG$7=""),"",IF($B466="MEANS",INDEX('1-DATA'!$1:$1048576,$A465-1,COLUMN('1-DATA'!AF464)),ROUND(INDEX('1-DATA'!$1:$1048576,IF(OR($B466="STD. DEVIATION",$C$1=1),$A466,$A466+1),COLUMN('1-DATA'!AF464)),IF($B466="STD. DEVIATION",2,$F$1))))</f>
        <v/>
      </c>
      <c r="AH466" s="1" t="str">
        <f>IF(OR($B466="",AH$7=""),"",IF($B466="MEANS",INDEX('1-DATA'!$1:$1048576,$A465-1,COLUMN('1-DATA'!AG464)),ROUND(INDEX('1-DATA'!$1:$1048576,IF(OR($B466="STD. DEVIATION",$C$1=1),$A466,$A466+1),COLUMN('1-DATA'!AG464)),IF($B466="STD. DEVIATION",2,$F$1))))</f>
        <v/>
      </c>
      <c r="AI466" s="1" t="str">
        <f>IF(OR($B466="",AI$7=""),"",IF($B466="MEANS",INDEX('1-DATA'!$1:$1048576,$A465-1,COLUMN('1-DATA'!AH464)),ROUND(INDEX('1-DATA'!$1:$1048576,IF(OR($B466="STD. DEVIATION",$C$1=1),$A466,$A466+1),COLUMN('1-DATA'!AH464)),IF($B466="STD. DEVIATION",2,$F$1))))</f>
        <v/>
      </c>
      <c r="AJ466" s="1" t="str">
        <f>IF(OR($B466="",AJ$7=""),"",IF($B466="MEANS",INDEX('1-DATA'!$1:$1048576,$A465-1,COLUMN('1-DATA'!AI464)),ROUND(INDEX('1-DATA'!$1:$1048576,IF(OR($B466="STD. DEVIATION",$C$1=1),$A466,$A466+1),COLUMN('1-DATA'!AI464)),IF($B466="STD. DEVIATION",2,$F$1))))</f>
        <v/>
      </c>
      <c r="AK466" s="1" t="str">
        <f>IF(OR($B466="",AK$7=""),"",IF($B466="MEANS",INDEX('1-DATA'!$1:$1048576,$A465-1,COLUMN('1-DATA'!AJ464)),ROUND(INDEX('1-DATA'!$1:$1048576,IF(OR($B466="STD. DEVIATION",$C$1=1),$A466,$A466+1),COLUMN('1-DATA'!AJ464)),IF($B466="STD. DEVIATION",2,$F$1))))</f>
        <v/>
      </c>
      <c r="AL466" s="1" t="str">
        <f>IF(OR($B466="",AL$7=""),"",IF($B466="MEANS",INDEX('1-DATA'!$1:$1048576,$A465-1,COLUMN('1-DATA'!AK464)),ROUND(INDEX('1-DATA'!$1:$1048576,IF(OR($B466="STD. DEVIATION",$C$1=1),$A466,$A466+1),COLUMN('1-DATA'!AK464)),IF($B466="STD. DEVIATION",2,$F$1))))</f>
        <v/>
      </c>
      <c r="AM466" s="1" t="str">
        <f>IF(OR($B466="",AM$7=""),"",IF($B466="MEANS",INDEX('1-DATA'!$1:$1048576,$A465-1,COLUMN('1-DATA'!AL464)),ROUND(INDEX('1-DATA'!$1:$1048576,IF(OR($B466="STD. DEVIATION",$C$1=1),$A466,$A466+1),COLUMN('1-DATA'!AL464)),IF($B466="STD. DEVIATION",2,$F$1))))</f>
        <v/>
      </c>
      <c r="AN466" s="1" t="str">
        <f>IF(OR($B466="",AN$7=""),"",IF($B466="MEANS",INDEX('1-DATA'!$1:$1048576,$A465-1,COLUMN('1-DATA'!AM464)),ROUND(INDEX('1-DATA'!$1:$1048576,IF(OR($B466="STD. DEVIATION",$C$1=1),$A466,$A466+1),COLUMN('1-DATA'!AM464)),IF($B466="STD. DEVIATION",2,$F$1))))</f>
        <v/>
      </c>
      <c r="AO466" s="1" t="str">
        <f>IF(OR($B466="",AO$7=""),"",IF($B466="MEANS",INDEX('1-DATA'!$1:$1048576,$A465-1,COLUMN('1-DATA'!AN464)),ROUND(INDEX('1-DATA'!$1:$1048576,IF(OR($B466="STD. DEVIATION",$C$1=1),$A466,$A466+1),COLUMN('1-DATA'!AN464)),IF($B466="STD. DEVIATION",2,$F$1))))</f>
        <v/>
      </c>
      <c r="AP466" s="1" t="str">
        <f>IF(OR($B466="",AP$7=""),"",IF($B466="MEANS",INDEX('1-DATA'!$1:$1048576,$A465-1,COLUMN('1-DATA'!AO464)),ROUND(INDEX('1-DATA'!$1:$1048576,IF(OR($B466="STD. DEVIATION",$C$1=1),$A466,$A466+1),COLUMN('1-DATA'!AO464)),IF($B466="STD. DEVIATION",2,$F$1))))</f>
        <v/>
      </c>
      <c r="AQ466" s="1" t="str">
        <f>IF(OR($B466="",AQ$7=""),"",IF($B466="MEANS",INDEX('1-DATA'!$1:$1048576,$A465-1,COLUMN('1-DATA'!AP464)),ROUND(INDEX('1-DATA'!$1:$1048576,IF(OR($B466="STD. DEVIATION",$C$1=1),$A466,$A466+1),COLUMN('1-DATA'!AP464)),IF($B466="STD. DEVIATION",2,$F$1))))</f>
        <v/>
      </c>
      <c r="AR466" s="1" t="str">
        <f>IF(OR($B466="",AR$7=""),"",IF($B466="MEANS",INDEX('1-DATA'!$1:$1048576,$A465-1,COLUMN('1-DATA'!AQ464)),ROUND(INDEX('1-DATA'!$1:$1048576,IF(OR($B466="STD. DEVIATION",$C$1=1),$A466,$A466+1),COLUMN('1-DATA'!AQ464)),IF($B466="STD. DEVIATION",2,$F$1))))</f>
        <v/>
      </c>
      <c r="AS466" s="1" t="str">
        <f>IF(OR($B466="",AS$7=""),"",IF($B466="MEANS",INDEX('1-DATA'!$1:$1048576,$A465-1,COLUMN('1-DATA'!AR464)),ROUND(INDEX('1-DATA'!$1:$1048576,IF(OR($B466="STD. DEVIATION",$C$1=1),$A466,$A466+1),COLUMN('1-DATA'!AR464)),IF($B466="STD. DEVIATION",2,$F$1))))</f>
        <v/>
      </c>
      <c r="AT466" s="1" t="str">
        <f>IF(OR($B466="",AT$7=""),"",IF($B466="MEANS",INDEX('1-DATA'!$1:$1048576,$A465-1,COLUMN('1-DATA'!AS464)),ROUND(INDEX('1-DATA'!$1:$1048576,IF(OR($B466="STD. DEVIATION",$C$1=1),$A466,$A466+1),COLUMN('1-DATA'!AS464)),IF($B466="STD. DEVIATION",2,$F$1))))</f>
        <v/>
      </c>
      <c r="AU466" s="1" t="str">
        <f>IF(OR($B466="",AU$7=""),"",IF($B466="MEANS",INDEX('1-DATA'!$1:$1048576,$A465-1,COLUMN('1-DATA'!AT464)),ROUND(INDEX('1-DATA'!$1:$1048576,IF(OR($B466="STD. DEVIATION",$C$1=1),$A466,$A466+1),COLUMN('1-DATA'!AT464)),IF($B466="STD. DEVIATION",2,$F$1))))</f>
        <v/>
      </c>
      <c r="AV466" s="1" t="str">
        <f>IF(OR($B466="",AV$7=""),"",IF($B466="MEANS",INDEX('1-DATA'!$1:$1048576,$A465-1,COLUMN('1-DATA'!AU464)),ROUND(INDEX('1-DATA'!$1:$1048576,IF(OR($B466="STD. DEVIATION",$C$1=1),$A466,$A466+1),COLUMN('1-DATA'!AU464)),IF($B466="STD. DEVIATION",2,$F$1))))</f>
        <v/>
      </c>
      <c r="AW466" s="1" t="str">
        <f>IF(OR($B466="",AW$7=""),"",IF($B466="MEANS",INDEX('1-DATA'!$1:$1048576,$A465-1,COLUMN('1-DATA'!AV464)),ROUND(INDEX('1-DATA'!$1:$1048576,IF(OR($B466="STD. DEVIATION",$C$1=1),$A466,$A466+1),COLUMN('1-DATA'!AV464)),IF($B466="STD. DEVIATION",2,$F$1))))</f>
        <v/>
      </c>
      <c r="AX466" s="1" t="str">
        <f>IF(OR($B466="",AX$7=""),"",IF($B466="MEANS",INDEX('1-DATA'!$1:$1048576,$A465-1,COLUMN('1-DATA'!AW464)),ROUND(INDEX('1-DATA'!$1:$1048576,IF(OR($B466="STD. DEVIATION",$C$1=1),$A466,$A466+1),COLUMN('1-DATA'!AW464)),IF($B466="STD. DEVIATION",2,$F$1))))</f>
        <v/>
      </c>
      <c r="AY466" s="1" t="str">
        <f>IF(OR($B466="",AY$7=""),"",IF($B466="MEANS",INDEX('1-DATA'!$1:$1048576,$A465-1,COLUMN('1-DATA'!AX464)),ROUND(INDEX('1-DATA'!$1:$1048576,IF(OR($B466="STD. DEVIATION",$C$1=1),$A466,$A466+1),COLUMN('1-DATA'!AX464)),IF($B466="STD. DEVIATION",2,$F$1))))</f>
        <v/>
      </c>
      <c r="AZ466" s="1" t="str">
        <f>IF(OR($B466="",AZ$7=""),"",IF($B466="MEANS",INDEX('1-DATA'!$1:$1048576,$A465-1,COLUMN('1-DATA'!AY464)),ROUND(INDEX('1-DATA'!$1:$1048576,IF(OR($B466="STD. DEVIATION",$C$1=1),$A466,$A466+1),COLUMN('1-DATA'!AY464)),IF($B466="STD. DEVIATION",2,$F$1))))</f>
        <v/>
      </c>
    </row>
    <row r="467" spans="1:52" x14ac:dyDescent="0.25">
      <c r="A467" s="11">
        <f t="shared" si="7"/>
        <v>1387</v>
      </c>
      <c r="B467" s="1" t="str">
        <f>IF(B466="STD. DEVIATION",INDEX('1-DATA'!$1:$1048576,$A466-1,1),IF(INDEX('1-DATA'!$1:$1048576,$A467,1)&lt;&gt;"",INDEX('1-DATA'!$1:$1048576,$A467,1),""))</f>
        <v/>
      </c>
      <c r="C467" s="1" t="str">
        <f>IF(OR($B467="",C$7=""),"",IF($B467="MEANS",INDEX('1-DATA'!$1:$1048576,$A466-1,COLUMN('1-DATA'!B465)),ROUND(INDEX('1-DATA'!$1:$1048576,IF(OR($B467="STD. DEVIATION",$C$1=1),$A467,$A467+1),COLUMN('1-DATA'!B465)),IF($B467="STD. DEVIATION",2,$F$1))))</f>
        <v/>
      </c>
      <c r="D467" s="1" t="str">
        <f>IF(OR($B467="",D$7=""),"",IF($B467="MEANS",INDEX('1-DATA'!$1:$1048576,$A466-1,COLUMN('1-DATA'!C465)),ROUND(INDEX('1-DATA'!$1:$1048576,IF(OR($B467="STD. DEVIATION",$C$1=1),$A467,$A467+1),COLUMN('1-DATA'!C465)),IF($B467="STD. DEVIATION",2,$F$1))))</f>
        <v/>
      </c>
      <c r="E467" s="1" t="str">
        <f>IF(OR($B467="",E$7=""),"",IF($B467="MEANS",INDEX('1-DATA'!$1:$1048576,$A466-1,COLUMN('1-DATA'!D465)),ROUND(INDEX('1-DATA'!$1:$1048576,IF(OR($B467="STD. DEVIATION",$C$1=1),$A467,$A467+1),COLUMN('1-DATA'!D465)),IF($B467="STD. DEVIATION",2,$F$1))))</f>
        <v/>
      </c>
      <c r="F467" s="1" t="str">
        <f>IF(OR($B467="",F$7=""),"",IF($B467="MEANS",INDEX('1-DATA'!$1:$1048576,$A466-1,COLUMN('1-DATA'!E465)),ROUND(INDEX('1-DATA'!$1:$1048576,IF(OR($B467="STD. DEVIATION",$C$1=1),$A467,$A467+1),COLUMN('1-DATA'!E465)),IF($B467="STD. DEVIATION",2,$F$1))))</f>
        <v/>
      </c>
      <c r="G467" s="1" t="str">
        <f>IF(OR($B467="",G$7=""),"",IF($B467="MEANS",INDEX('1-DATA'!$1:$1048576,$A466-1,COLUMN('1-DATA'!F465)),ROUND(INDEX('1-DATA'!$1:$1048576,IF(OR($B467="STD. DEVIATION",$C$1=1),$A467,$A467+1),COLUMN('1-DATA'!F465)),IF($B467="STD. DEVIATION",2,$F$1))))</f>
        <v/>
      </c>
      <c r="H467" s="1" t="str">
        <f>IF(OR($B467="",H$7=""),"",IF($B467="MEANS",INDEX('1-DATA'!$1:$1048576,$A466-1,COLUMN('1-DATA'!G465)),ROUND(INDEX('1-DATA'!$1:$1048576,IF(OR($B467="STD. DEVIATION",$C$1=1),$A467,$A467+1),COLUMN('1-DATA'!G465)),IF($B467="STD. DEVIATION",2,$F$1))))</f>
        <v/>
      </c>
      <c r="I467" s="1" t="str">
        <f>IF(OR($B467="",I$7=""),"",IF($B467="MEANS",INDEX('1-DATA'!$1:$1048576,$A466-1,COLUMN('1-DATA'!H465)),ROUND(INDEX('1-DATA'!$1:$1048576,IF(OR($B467="STD. DEVIATION",$C$1=1),$A467,$A467+1),COLUMN('1-DATA'!H465)),IF($B467="STD. DEVIATION",2,$F$1))))</f>
        <v/>
      </c>
      <c r="J467" s="1" t="str">
        <f>IF(OR($B467="",J$7=""),"",IF($B467="MEANS",INDEX('1-DATA'!$1:$1048576,$A466-1,COLUMN('1-DATA'!I465)),ROUND(INDEX('1-DATA'!$1:$1048576,IF(OR($B467="STD. DEVIATION",$C$1=1),$A467,$A467+1),COLUMN('1-DATA'!I465)),IF($B467="STD. DEVIATION",2,$F$1))))</f>
        <v/>
      </c>
      <c r="K467" s="1" t="str">
        <f>IF(OR($B467="",K$7=""),"",IF($B467="MEANS",INDEX('1-DATA'!$1:$1048576,$A466-1,COLUMN('1-DATA'!J465)),ROUND(INDEX('1-DATA'!$1:$1048576,IF(OR($B467="STD. DEVIATION",$C$1=1),$A467,$A467+1),COLUMN('1-DATA'!J465)),IF($B467="STD. DEVIATION",2,$F$1))))</f>
        <v/>
      </c>
      <c r="L467" s="1" t="str">
        <f>IF(OR($B467="",L$7=""),"",IF($B467="MEANS",INDEX('1-DATA'!$1:$1048576,$A466-1,COLUMN('1-DATA'!K465)),ROUND(INDEX('1-DATA'!$1:$1048576,IF(OR($B467="STD. DEVIATION",$C$1=1),$A467,$A467+1),COLUMN('1-DATA'!K465)),IF($B467="STD. DEVIATION",2,$F$1))))</f>
        <v/>
      </c>
      <c r="M467" s="1" t="str">
        <f>IF(OR($B467="",M$7=""),"",IF($B467="MEANS",INDEX('1-DATA'!$1:$1048576,$A466-1,COLUMN('1-DATA'!L465)),ROUND(INDEX('1-DATA'!$1:$1048576,IF(OR($B467="STD. DEVIATION",$C$1=1),$A467,$A467+1),COLUMN('1-DATA'!L465)),IF($B467="STD. DEVIATION",2,$F$1))))</f>
        <v/>
      </c>
      <c r="N467" s="1" t="str">
        <f>IF(OR($B467="",N$7=""),"",IF($B467="MEANS",INDEX('1-DATA'!$1:$1048576,$A466-1,COLUMN('1-DATA'!M465)),ROUND(INDEX('1-DATA'!$1:$1048576,IF(OR($B467="STD. DEVIATION",$C$1=1),$A467,$A467+1),COLUMN('1-DATA'!M465)),IF($B467="STD. DEVIATION",2,$F$1))))</f>
        <v/>
      </c>
      <c r="O467" s="1" t="str">
        <f>IF(OR($B467="",O$7=""),"",IF($B467="MEANS",INDEX('1-DATA'!$1:$1048576,$A466-1,COLUMN('1-DATA'!N465)),ROUND(INDEX('1-DATA'!$1:$1048576,IF(OR($B467="STD. DEVIATION",$C$1=1),$A467,$A467+1),COLUMN('1-DATA'!N465)),IF($B467="STD. DEVIATION",2,$F$1))))</f>
        <v/>
      </c>
      <c r="P467" s="1" t="str">
        <f>IF(OR($B467="",P$7=""),"",IF($B467="MEANS",INDEX('1-DATA'!$1:$1048576,$A466-1,COLUMN('1-DATA'!O465)),ROUND(INDEX('1-DATA'!$1:$1048576,IF(OR($B467="STD. DEVIATION",$C$1=1),$A467,$A467+1),COLUMN('1-DATA'!O465)),IF($B467="STD. DEVIATION",2,$F$1))))</f>
        <v/>
      </c>
      <c r="Q467" s="1" t="str">
        <f>IF(OR($B467="",Q$7=""),"",IF($B467="MEANS",INDEX('1-DATA'!$1:$1048576,$A466-1,COLUMN('1-DATA'!P465)),ROUND(INDEX('1-DATA'!$1:$1048576,IF(OR($B467="STD. DEVIATION",$C$1=1),$A467,$A467+1),COLUMN('1-DATA'!P465)),IF($B467="STD. DEVIATION",2,$F$1))))</f>
        <v/>
      </c>
      <c r="R467" s="1" t="str">
        <f>IF(OR($B467="",R$7=""),"",IF($B467="MEANS",INDEX('1-DATA'!$1:$1048576,$A466-1,COLUMN('1-DATA'!Q465)),ROUND(INDEX('1-DATA'!$1:$1048576,IF(OR($B467="STD. DEVIATION",$C$1=1),$A467,$A467+1),COLUMN('1-DATA'!Q465)),IF($B467="STD. DEVIATION",2,$F$1))))</f>
        <v/>
      </c>
      <c r="S467" s="1" t="str">
        <f>IF(OR($B467="",S$7=""),"",IF($B467="MEANS",INDEX('1-DATA'!$1:$1048576,$A466-1,COLUMN('1-DATA'!R465)),ROUND(INDEX('1-DATA'!$1:$1048576,IF(OR($B467="STD. DEVIATION",$C$1=1),$A467,$A467+1),COLUMN('1-DATA'!R465)),IF($B467="STD. DEVIATION",2,$F$1))))</f>
        <v/>
      </c>
      <c r="T467" s="1" t="str">
        <f>IF(OR($B467="",T$7=""),"",IF($B467="MEANS",INDEX('1-DATA'!$1:$1048576,$A466-1,COLUMN('1-DATA'!S465)),ROUND(INDEX('1-DATA'!$1:$1048576,IF(OR($B467="STD. DEVIATION",$C$1=1),$A467,$A467+1),COLUMN('1-DATA'!S465)),IF($B467="STD. DEVIATION",2,$F$1))))</f>
        <v/>
      </c>
      <c r="U467" s="1" t="str">
        <f>IF(OR($B467="",U$7=""),"",IF($B467="MEANS",INDEX('1-DATA'!$1:$1048576,$A466-1,COLUMN('1-DATA'!T465)),ROUND(INDEX('1-DATA'!$1:$1048576,IF(OR($B467="STD. DEVIATION",$C$1=1),$A467,$A467+1),COLUMN('1-DATA'!T465)),IF($B467="STD. DEVIATION",2,$F$1))))</f>
        <v/>
      </c>
      <c r="V467" s="1" t="str">
        <f>IF(OR($B467="",V$7=""),"",IF($B467="MEANS",INDEX('1-DATA'!$1:$1048576,$A466-1,COLUMN('1-DATA'!U465)),ROUND(INDEX('1-DATA'!$1:$1048576,IF(OR($B467="STD. DEVIATION",$C$1=1),$A467,$A467+1),COLUMN('1-DATA'!U465)),IF($B467="STD. DEVIATION",2,$F$1))))</f>
        <v/>
      </c>
      <c r="W467" s="1" t="str">
        <f>IF(OR($B467="",W$7=""),"",IF($B467="MEANS",INDEX('1-DATA'!$1:$1048576,$A466-1,COLUMN('1-DATA'!V465)),ROUND(INDEX('1-DATA'!$1:$1048576,IF(OR($B467="STD. DEVIATION",$C$1=1),$A467,$A467+1),COLUMN('1-DATA'!V465)),IF($B467="STD. DEVIATION",2,$F$1))))</f>
        <v/>
      </c>
      <c r="X467" s="1" t="str">
        <f>IF(OR($B467="",X$7=""),"",IF($B467="MEANS",INDEX('1-DATA'!$1:$1048576,$A466-1,COLUMN('1-DATA'!W465)),ROUND(INDEX('1-DATA'!$1:$1048576,IF(OR($B467="STD. DEVIATION",$C$1=1),$A467,$A467+1),COLUMN('1-DATA'!W465)),IF($B467="STD. DEVIATION",2,$F$1))))</f>
        <v/>
      </c>
      <c r="Y467" s="1" t="str">
        <f>IF(OR($B467="",Y$7=""),"",IF($B467="MEANS",INDEX('1-DATA'!$1:$1048576,$A466-1,COLUMN('1-DATA'!X465)),ROUND(INDEX('1-DATA'!$1:$1048576,IF(OR($B467="STD. DEVIATION",$C$1=1),$A467,$A467+1),COLUMN('1-DATA'!X465)),IF($B467="STD. DEVIATION",2,$F$1))))</f>
        <v/>
      </c>
      <c r="Z467" s="1" t="str">
        <f>IF(OR($B467="",Z$7=""),"",IF($B467="MEANS",INDEX('1-DATA'!$1:$1048576,$A466-1,COLUMN('1-DATA'!Y465)),ROUND(INDEX('1-DATA'!$1:$1048576,IF(OR($B467="STD. DEVIATION",$C$1=1),$A467,$A467+1),COLUMN('1-DATA'!Y465)),IF($B467="STD. DEVIATION",2,$F$1))))</f>
        <v/>
      </c>
      <c r="AA467" s="1" t="str">
        <f>IF(OR($B467="",AA$7=""),"",IF($B467="MEANS",INDEX('1-DATA'!$1:$1048576,$A466-1,COLUMN('1-DATA'!Z465)),ROUND(INDEX('1-DATA'!$1:$1048576,IF(OR($B467="STD. DEVIATION",$C$1=1),$A467,$A467+1),COLUMN('1-DATA'!Z465)),IF($B467="STD. DEVIATION",2,$F$1))))</f>
        <v/>
      </c>
      <c r="AB467" s="1" t="str">
        <f>IF(OR($B467="",AB$7=""),"",IF($B467="MEANS",INDEX('1-DATA'!$1:$1048576,$A466-1,COLUMN('1-DATA'!AA465)),ROUND(INDEX('1-DATA'!$1:$1048576,IF(OR($B467="STD. DEVIATION",$C$1=1),$A467,$A467+1),COLUMN('1-DATA'!AA465)),IF($B467="STD. DEVIATION",2,$F$1))))</f>
        <v/>
      </c>
      <c r="AC467" s="1" t="str">
        <f>IF(OR($B467="",AC$7=""),"",IF($B467="MEANS",INDEX('1-DATA'!$1:$1048576,$A466-1,COLUMN('1-DATA'!AB465)),ROUND(INDEX('1-DATA'!$1:$1048576,IF(OR($B467="STD. DEVIATION",$C$1=1),$A467,$A467+1),COLUMN('1-DATA'!AB465)),IF($B467="STD. DEVIATION",2,$F$1))))</f>
        <v/>
      </c>
      <c r="AD467" s="1" t="str">
        <f>IF(OR($B467="",AD$7=""),"",IF($B467="MEANS",INDEX('1-DATA'!$1:$1048576,$A466-1,COLUMN('1-DATA'!AC465)),ROUND(INDEX('1-DATA'!$1:$1048576,IF(OR($B467="STD. DEVIATION",$C$1=1),$A467,$A467+1),COLUMN('1-DATA'!AC465)),IF($B467="STD. DEVIATION",2,$F$1))))</f>
        <v/>
      </c>
      <c r="AE467" s="1" t="str">
        <f>IF(OR($B467="",AE$7=""),"",IF($B467="MEANS",INDEX('1-DATA'!$1:$1048576,$A466-1,COLUMN('1-DATA'!AD465)),ROUND(INDEX('1-DATA'!$1:$1048576,IF(OR($B467="STD. DEVIATION",$C$1=1),$A467,$A467+1),COLUMN('1-DATA'!AD465)),IF($B467="STD. DEVIATION",2,$F$1))))</f>
        <v/>
      </c>
      <c r="AF467" s="1" t="str">
        <f>IF(OR($B467="",AF$7=""),"",IF($B467="MEANS",INDEX('1-DATA'!$1:$1048576,$A466-1,COLUMN('1-DATA'!AE465)),ROUND(INDEX('1-DATA'!$1:$1048576,IF(OR($B467="STD. DEVIATION",$C$1=1),$A467,$A467+1),COLUMN('1-DATA'!AE465)),IF($B467="STD. DEVIATION",2,$F$1))))</f>
        <v/>
      </c>
      <c r="AG467" s="1" t="str">
        <f>IF(OR($B467="",AG$7=""),"",IF($B467="MEANS",INDEX('1-DATA'!$1:$1048576,$A466-1,COLUMN('1-DATA'!AF465)),ROUND(INDEX('1-DATA'!$1:$1048576,IF(OR($B467="STD. DEVIATION",$C$1=1),$A467,$A467+1),COLUMN('1-DATA'!AF465)),IF($B467="STD. DEVIATION",2,$F$1))))</f>
        <v/>
      </c>
      <c r="AH467" s="1" t="str">
        <f>IF(OR($B467="",AH$7=""),"",IF($B467="MEANS",INDEX('1-DATA'!$1:$1048576,$A466-1,COLUMN('1-DATA'!AG465)),ROUND(INDEX('1-DATA'!$1:$1048576,IF(OR($B467="STD. DEVIATION",$C$1=1),$A467,$A467+1),COLUMN('1-DATA'!AG465)),IF($B467="STD. DEVIATION",2,$F$1))))</f>
        <v/>
      </c>
      <c r="AI467" s="1" t="str">
        <f>IF(OR($B467="",AI$7=""),"",IF($B467="MEANS",INDEX('1-DATA'!$1:$1048576,$A466-1,COLUMN('1-DATA'!AH465)),ROUND(INDEX('1-DATA'!$1:$1048576,IF(OR($B467="STD. DEVIATION",$C$1=1),$A467,$A467+1),COLUMN('1-DATA'!AH465)),IF($B467="STD. DEVIATION",2,$F$1))))</f>
        <v/>
      </c>
      <c r="AJ467" s="1" t="str">
        <f>IF(OR($B467="",AJ$7=""),"",IF($B467="MEANS",INDEX('1-DATA'!$1:$1048576,$A466-1,COLUMN('1-DATA'!AI465)),ROUND(INDEX('1-DATA'!$1:$1048576,IF(OR($B467="STD. DEVIATION",$C$1=1),$A467,$A467+1),COLUMN('1-DATA'!AI465)),IF($B467="STD. DEVIATION",2,$F$1))))</f>
        <v/>
      </c>
      <c r="AK467" s="1" t="str">
        <f>IF(OR($B467="",AK$7=""),"",IF($B467="MEANS",INDEX('1-DATA'!$1:$1048576,$A466-1,COLUMN('1-DATA'!AJ465)),ROUND(INDEX('1-DATA'!$1:$1048576,IF(OR($B467="STD. DEVIATION",$C$1=1),$A467,$A467+1),COLUMN('1-DATA'!AJ465)),IF($B467="STD. DEVIATION",2,$F$1))))</f>
        <v/>
      </c>
      <c r="AL467" s="1" t="str">
        <f>IF(OR($B467="",AL$7=""),"",IF($B467="MEANS",INDEX('1-DATA'!$1:$1048576,$A466-1,COLUMN('1-DATA'!AK465)),ROUND(INDEX('1-DATA'!$1:$1048576,IF(OR($B467="STD. DEVIATION",$C$1=1),$A467,$A467+1),COLUMN('1-DATA'!AK465)),IF($B467="STD. DEVIATION",2,$F$1))))</f>
        <v/>
      </c>
      <c r="AM467" s="1" t="str">
        <f>IF(OR($B467="",AM$7=""),"",IF($B467="MEANS",INDEX('1-DATA'!$1:$1048576,$A466-1,COLUMN('1-DATA'!AL465)),ROUND(INDEX('1-DATA'!$1:$1048576,IF(OR($B467="STD. DEVIATION",$C$1=1),$A467,$A467+1),COLUMN('1-DATA'!AL465)),IF($B467="STD. DEVIATION",2,$F$1))))</f>
        <v/>
      </c>
      <c r="AN467" s="1" t="str">
        <f>IF(OR($B467="",AN$7=""),"",IF($B467="MEANS",INDEX('1-DATA'!$1:$1048576,$A466-1,COLUMN('1-DATA'!AM465)),ROUND(INDEX('1-DATA'!$1:$1048576,IF(OR($B467="STD. DEVIATION",$C$1=1),$A467,$A467+1),COLUMN('1-DATA'!AM465)),IF($B467="STD. DEVIATION",2,$F$1))))</f>
        <v/>
      </c>
      <c r="AO467" s="1" t="str">
        <f>IF(OR($B467="",AO$7=""),"",IF($B467="MEANS",INDEX('1-DATA'!$1:$1048576,$A466-1,COLUMN('1-DATA'!AN465)),ROUND(INDEX('1-DATA'!$1:$1048576,IF(OR($B467="STD. DEVIATION",$C$1=1),$A467,$A467+1),COLUMN('1-DATA'!AN465)),IF($B467="STD. DEVIATION",2,$F$1))))</f>
        <v/>
      </c>
      <c r="AP467" s="1" t="str">
        <f>IF(OR($B467="",AP$7=""),"",IF($B467="MEANS",INDEX('1-DATA'!$1:$1048576,$A466-1,COLUMN('1-DATA'!AO465)),ROUND(INDEX('1-DATA'!$1:$1048576,IF(OR($B467="STD. DEVIATION",$C$1=1),$A467,$A467+1),COLUMN('1-DATA'!AO465)),IF($B467="STD. DEVIATION",2,$F$1))))</f>
        <v/>
      </c>
      <c r="AQ467" s="1" t="str">
        <f>IF(OR($B467="",AQ$7=""),"",IF($B467="MEANS",INDEX('1-DATA'!$1:$1048576,$A466-1,COLUMN('1-DATA'!AP465)),ROUND(INDEX('1-DATA'!$1:$1048576,IF(OR($B467="STD. DEVIATION",$C$1=1),$A467,$A467+1),COLUMN('1-DATA'!AP465)),IF($B467="STD. DEVIATION",2,$F$1))))</f>
        <v/>
      </c>
      <c r="AR467" s="1" t="str">
        <f>IF(OR($B467="",AR$7=""),"",IF($B467="MEANS",INDEX('1-DATA'!$1:$1048576,$A466-1,COLUMN('1-DATA'!AQ465)),ROUND(INDEX('1-DATA'!$1:$1048576,IF(OR($B467="STD. DEVIATION",$C$1=1),$A467,$A467+1),COLUMN('1-DATA'!AQ465)),IF($B467="STD. DEVIATION",2,$F$1))))</f>
        <v/>
      </c>
      <c r="AS467" s="1" t="str">
        <f>IF(OR($B467="",AS$7=""),"",IF($B467="MEANS",INDEX('1-DATA'!$1:$1048576,$A466-1,COLUMN('1-DATA'!AR465)),ROUND(INDEX('1-DATA'!$1:$1048576,IF(OR($B467="STD. DEVIATION",$C$1=1),$A467,$A467+1),COLUMN('1-DATA'!AR465)),IF($B467="STD. DEVIATION",2,$F$1))))</f>
        <v/>
      </c>
      <c r="AT467" s="1" t="str">
        <f>IF(OR($B467="",AT$7=""),"",IF($B467="MEANS",INDEX('1-DATA'!$1:$1048576,$A466-1,COLUMN('1-DATA'!AS465)),ROUND(INDEX('1-DATA'!$1:$1048576,IF(OR($B467="STD. DEVIATION",$C$1=1),$A467,$A467+1),COLUMN('1-DATA'!AS465)),IF($B467="STD. DEVIATION",2,$F$1))))</f>
        <v/>
      </c>
      <c r="AU467" s="1" t="str">
        <f>IF(OR($B467="",AU$7=""),"",IF($B467="MEANS",INDEX('1-DATA'!$1:$1048576,$A466-1,COLUMN('1-DATA'!AT465)),ROUND(INDEX('1-DATA'!$1:$1048576,IF(OR($B467="STD. DEVIATION",$C$1=1),$A467,$A467+1),COLUMN('1-DATA'!AT465)),IF($B467="STD. DEVIATION",2,$F$1))))</f>
        <v/>
      </c>
      <c r="AV467" s="1" t="str">
        <f>IF(OR($B467="",AV$7=""),"",IF($B467="MEANS",INDEX('1-DATA'!$1:$1048576,$A466-1,COLUMN('1-DATA'!AU465)),ROUND(INDEX('1-DATA'!$1:$1048576,IF(OR($B467="STD. DEVIATION",$C$1=1),$A467,$A467+1),COLUMN('1-DATA'!AU465)),IF($B467="STD. DEVIATION",2,$F$1))))</f>
        <v/>
      </c>
      <c r="AW467" s="1" t="str">
        <f>IF(OR($B467="",AW$7=""),"",IF($B467="MEANS",INDEX('1-DATA'!$1:$1048576,$A466-1,COLUMN('1-DATA'!AV465)),ROUND(INDEX('1-DATA'!$1:$1048576,IF(OR($B467="STD. DEVIATION",$C$1=1),$A467,$A467+1),COLUMN('1-DATA'!AV465)),IF($B467="STD. DEVIATION",2,$F$1))))</f>
        <v/>
      </c>
      <c r="AX467" s="1" t="str">
        <f>IF(OR($B467="",AX$7=""),"",IF($B467="MEANS",INDEX('1-DATA'!$1:$1048576,$A466-1,COLUMN('1-DATA'!AW465)),ROUND(INDEX('1-DATA'!$1:$1048576,IF(OR($B467="STD. DEVIATION",$C$1=1),$A467,$A467+1),COLUMN('1-DATA'!AW465)),IF($B467="STD. DEVIATION",2,$F$1))))</f>
        <v/>
      </c>
      <c r="AY467" s="1" t="str">
        <f>IF(OR($B467="",AY$7=""),"",IF($B467="MEANS",INDEX('1-DATA'!$1:$1048576,$A466-1,COLUMN('1-DATA'!AX465)),ROUND(INDEX('1-DATA'!$1:$1048576,IF(OR($B467="STD. DEVIATION",$C$1=1),$A467,$A467+1),COLUMN('1-DATA'!AX465)),IF($B467="STD. DEVIATION",2,$F$1))))</f>
        <v/>
      </c>
      <c r="AZ467" s="1" t="str">
        <f>IF(OR($B467="",AZ$7=""),"",IF($B467="MEANS",INDEX('1-DATA'!$1:$1048576,$A466-1,COLUMN('1-DATA'!AY465)),ROUND(INDEX('1-DATA'!$1:$1048576,IF(OR($B467="STD. DEVIATION",$C$1=1),$A467,$A467+1),COLUMN('1-DATA'!AY465)),IF($B467="STD. DEVIATION",2,$F$1))))</f>
        <v/>
      </c>
    </row>
    <row r="468" spans="1:52" x14ac:dyDescent="0.25">
      <c r="A468" s="11">
        <f t="shared" si="7"/>
        <v>1390</v>
      </c>
      <c r="B468" s="1" t="str">
        <f>IF(B467="STD. DEVIATION",INDEX('1-DATA'!$1:$1048576,$A467-1,1),IF(INDEX('1-DATA'!$1:$1048576,$A468,1)&lt;&gt;"",INDEX('1-DATA'!$1:$1048576,$A468,1),""))</f>
        <v/>
      </c>
      <c r="C468" s="1" t="str">
        <f>IF(OR($B468="",C$7=""),"",IF($B468="MEANS",INDEX('1-DATA'!$1:$1048576,$A467-1,COLUMN('1-DATA'!B466)),ROUND(INDEX('1-DATA'!$1:$1048576,IF(OR($B468="STD. DEVIATION",$C$1=1),$A468,$A468+1),COLUMN('1-DATA'!B466)),IF($B468="STD. DEVIATION",2,$F$1))))</f>
        <v/>
      </c>
      <c r="D468" s="1" t="str">
        <f>IF(OR($B468="",D$7=""),"",IF($B468="MEANS",INDEX('1-DATA'!$1:$1048576,$A467-1,COLUMN('1-DATA'!C466)),ROUND(INDEX('1-DATA'!$1:$1048576,IF(OR($B468="STD. DEVIATION",$C$1=1),$A468,$A468+1),COLUMN('1-DATA'!C466)),IF($B468="STD. DEVIATION",2,$F$1))))</f>
        <v/>
      </c>
      <c r="E468" s="1" t="str">
        <f>IF(OR($B468="",E$7=""),"",IF($B468="MEANS",INDEX('1-DATA'!$1:$1048576,$A467-1,COLUMN('1-DATA'!D466)),ROUND(INDEX('1-DATA'!$1:$1048576,IF(OR($B468="STD. DEVIATION",$C$1=1),$A468,$A468+1),COLUMN('1-DATA'!D466)),IF($B468="STD. DEVIATION",2,$F$1))))</f>
        <v/>
      </c>
      <c r="F468" s="1" t="str">
        <f>IF(OR($B468="",F$7=""),"",IF($B468="MEANS",INDEX('1-DATA'!$1:$1048576,$A467-1,COLUMN('1-DATA'!E466)),ROUND(INDEX('1-DATA'!$1:$1048576,IF(OR($B468="STD. DEVIATION",$C$1=1),$A468,$A468+1),COLUMN('1-DATA'!E466)),IF($B468="STD. DEVIATION",2,$F$1))))</f>
        <v/>
      </c>
      <c r="G468" s="1" t="str">
        <f>IF(OR($B468="",G$7=""),"",IF($B468="MEANS",INDEX('1-DATA'!$1:$1048576,$A467-1,COLUMN('1-DATA'!F466)),ROUND(INDEX('1-DATA'!$1:$1048576,IF(OR($B468="STD. DEVIATION",$C$1=1),$A468,$A468+1),COLUMN('1-DATA'!F466)),IF($B468="STD. DEVIATION",2,$F$1))))</f>
        <v/>
      </c>
      <c r="H468" s="1" t="str">
        <f>IF(OR($B468="",H$7=""),"",IF($B468="MEANS",INDEX('1-DATA'!$1:$1048576,$A467-1,COLUMN('1-DATA'!G466)),ROUND(INDEX('1-DATA'!$1:$1048576,IF(OR($B468="STD. DEVIATION",$C$1=1),$A468,$A468+1),COLUMN('1-DATA'!G466)),IF($B468="STD. DEVIATION",2,$F$1))))</f>
        <v/>
      </c>
      <c r="I468" s="1" t="str">
        <f>IF(OR($B468="",I$7=""),"",IF($B468="MEANS",INDEX('1-DATA'!$1:$1048576,$A467-1,COLUMN('1-DATA'!H466)),ROUND(INDEX('1-DATA'!$1:$1048576,IF(OR($B468="STD. DEVIATION",$C$1=1),$A468,$A468+1),COLUMN('1-DATA'!H466)),IF($B468="STD. DEVIATION",2,$F$1))))</f>
        <v/>
      </c>
      <c r="J468" s="1" t="str">
        <f>IF(OR($B468="",J$7=""),"",IF($B468="MEANS",INDEX('1-DATA'!$1:$1048576,$A467-1,COLUMN('1-DATA'!I466)),ROUND(INDEX('1-DATA'!$1:$1048576,IF(OR($B468="STD. DEVIATION",$C$1=1),$A468,$A468+1),COLUMN('1-DATA'!I466)),IF($B468="STD. DEVIATION",2,$F$1))))</f>
        <v/>
      </c>
      <c r="K468" s="1" t="str">
        <f>IF(OR($B468="",K$7=""),"",IF($B468="MEANS",INDEX('1-DATA'!$1:$1048576,$A467-1,COLUMN('1-DATA'!J466)),ROUND(INDEX('1-DATA'!$1:$1048576,IF(OR($B468="STD. DEVIATION",$C$1=1),$A468,$A468+1),COLUMN('1-DATA'!J466)),IF($B468="STD. DEVIATION",2,$F$1))))</f>
        <v/>
      </c>
      <c r="L468" s="1" t="str">
        <f>IF(OR($B468="",L$7=""),"",IF($B468="MEANS",INDEX('1-DATA'!$1:$1048576,$A467-1,COLUMN('1-DATA'!K466)),ROUND(INDEX('1-DATA'!$1:$1048576,IF(OR($B468="STD. DEVIATION",$C$1=1),$A468,$A468+1),COLUMN('1-DATA'!K466)),IF($B468="STD. DEVIATION",2,$F$1))))</f>
        <v/>
      </c>
      <c r="M468" s="1" t="str">
        <f>IF(OR($B468="",M$7=""),"",IF($B468="MEANS",INDEX('1-DATA'!$1:$1048576,$A467-1,COLUMN('1-DATA'!L466)),ROUND(INDEX('1-DATA'!$1:$1048576,IF(OR($B468="STD. DEVIATION",$C$1=1),$A468,$A468+1),COLUMN('1-DATA'!L466)),IF($B468="STD. DEVIATION",2,$F$1))))</f>
        <v/>
      </c>
      <c r="N468" s="1" t="str">
        <f>IF(OR($B468="",N$7=""),"",IF($B468="MEANS",INDEX('1-DATA'!$1:$1048576,$A467-1,COLUMN('1-DATA'!M466)),ROUND(INDEX('1-DATA'!$1:$1048576,IF(OR($B468="STD. DEVIATION",$C$1=1),$A468,$A468+1),COLUMN('1-DATA'!M466)),IF($B468="STD. DEVIATION",2,$F$1))))</f>
        <v/>
      </c>
      <c r="O468" s="1" t="str">
        <f>IF(OR($B468="",O$7=""),"",IF($B468="MEANS",INDEX('1-DATA'!$1:$1048576,$A467-1,COLUMN('1-DATA'!N466)),ROUND(INDEX('1-DATA'!$1:$1048576,IF(OR($B468="STD. DEVIATION",$C$1=1),$A468,$A468+1),COLUMN('1-DATA'!N466)),IF($B468="STD. DEVIATION",2,$F$1))))</f>
        <v/>
      </c>
      <c r="P468" s="1" t="str">
        <f>IF(OR($B468="",P$7=""),"",IF($B468="MEANS",INDEX('1-DATA'!$1:$1048576,$A467-1,COLUMN('1-DATA'!O466)),ROUND(INDEX('1-DATA'!$1:$1048576,IF(OR($B468="STD. DEVIATION",$C$1=1),$A468,$A468+1),COLUMN('1-DATA'!O466)),IF($B468="STD. DEVIATION",2,$F$1))))</f>
        <v/>
      </c>
      <c r="Q468" s="1" t="str">
        <f>IF(OR($B468="",Q$7=""),"",IF($B468="MEANS",INDEX('1-DATA'!$1:$1048576,$A467-1,COLUMN('1-DATA'!P466)),ROUND(INDEX('1-DATA'!$1:$1048576,IF(OR($B468="STD. DEVIATION",$C$1=1),$A468,$A468+1),COLUMN('1-DATA'!P466)),IF($B468="STD. DEVIATION",2,$F$1))))</f>
        <v/>
      </c>
      <c r="R468" s="1" t="str">
        <f>IF(OR($B468="",R$7=""),"",IF($B468="MEANS",INDEX('1-DATA'!$1:$1048576,$A467-1,COLUMN('1-DATA'!Q466)),ROUND(INDEX('1-DATA'!$1:$1048576,IF(OR($B468="STD. DEVIATION",$C$1=1),$A468,$A468+1),COLUMN('1-DATA'!Q466)),IF($B468="STD. DEVIATION",2,$F$1))))</f>
        <v/>
      </c>
      <c r="S468" s="1" t="str">
        <f>IF(OR($B468="",S$7=""),"",IF($B468="MEANS",INDEX('1-DATA'!$1:$1048576,$A467-1,COLUMN('1-DATA'!R466)),ROUND(INDEX('1-DATA'!$1:$1048576,IF(OR($B468="STD. DEVIATION",$C$1=1),$A468,$A468+1),COLUMN('1-DATA'!R466)),IF($B468="STD. DEVIATION",2,$F$1))))</f>
        <v/>
      </c>
      <c r="T468" s="1" t="str">
        <f>IF(OR($B468="",T$7=""),"",IF($B468="MEANS",INDEX('1-DATA'!$1:$1048576,$A467-1,COLUMN('1-DATA'!S466)),ROUND(INDEX('1-DATA'!$1:$1048576,IF(OR($B468="STD. DEVIATION",$C$1=1),$A468,$A468+1),COLUMN('1-DATA'!S466)),IF($B468="STD. DEVIATION",2,$F$1))))</f>
        <v/>
      </c>
      <c r="U468" s="1" t="str">
        <f>IF(OR($B468="",U$7=""),"",IF($B468="MEANS",INDEX('1-DATA'!$1:$1048576,$A467-1,COLUMN('1-DATA'!T466)),ROUND(INDEX('1-DATA'!$1:$1048576,IF(OR($B468="STD. DEVIATION",$C$1=1),$A468,$A468+1),COLUMN('1-DATA'!T466)),IF($B468="STD. DEVIATION",2,$F$1))))</f>
        <v/>
      </c>
      <c r="V468" s="1" t="str">
        <f>IF(OR($B468="",V$7=""),"",IF($B468="MEANS",INDEX('1-DATA'!$1:$1048576,$A467-1,COLUMN('1-DATA'!U466)),ROUND(INDEX('1-DATA'!$1:$1048576,IF(OR($B468="STD. DEVIATION",$C$1=1),$A468,$A468+1),COLUMN('1-DATA'!U466)),IF($B468="STD. DEVIATION",2,$F$1))))</f>
        <v/>
      </c>
      <c r="W468" s="1" t="str">
        <f>IF(OR($B468="",W$7=""),"",IF($B468="MEANS",INDEX('1-DATA'!$1:$1048576,$A467-1,COLUMN('1-DATA'!V466)),ROUND(INDEX('1-DATA'!$1:$1048576,IF(OR($B468="STD. DEVIATION",$C$1=1),$A468,$A468+1),COLUMN('1-DATA'!V466)),IF($B468="STD. DEVIATION",2,$F$1))))</f>
        <v/>
      </c>
      <c r="X468" s="1" t="str">
        <f>IF(OR($B468="",X$7=""),"",IF($B468="MEANS",INDEX('1-DATA'!$1:$1048576,$A467-1,COLUMN('1-DATA'!W466)),ROUND(INDEX('1-DATA'!$1:$1048576,IF(OR($B468="STD. DEVIATION",$C$1=1),$A468,$A468+1),COLUMN('1-DATA'!W466)),IF($B468="STD. DEVIATION",2,$F$1))))</f>
        <v/>
      </c>
      <c r="Y468" s="1" t="str">
        <f>IF(OR($B468="",Y$7=""),"",IF($B468="MEANS",INDEX('1-DATA'!$1:$1048576,$A467-1,COLUMN('1-DATA'!X466)),ROUND(INDEX('1-DATA'!$1:$1048576,IF(OR($B468="STD. DEVIATION",$C$1=1),$A468,$A468+1),COLUMN('1-DATA'!X466)),IF($B468="STD. DEVIATION",2,$F$1))))</f>
        <v/>
      </c>
      <c r="Z468" s="1" t="str">
        <f>IF(OR($B468="",Z$7=""),"",IF($B468="MEANS",INDEX('1-DATA'!$1:$1048576,$A467-1,COLUMN('1-DATA'!Y466)),ROUND(INDEX('1-DATA'!$1:$1048576,IF(OR($B468="STD. DEVIATION",$C$1=1),$A468,$A468+1),COLUMN('1-DATA'!Y466)),IF($B468="STD. DEVIATION",2,$F$1))))</f>
        <v/>
      </c>
      <c r="AA468" s="1" t="str">
        <f>IF(OR($B468="",AA$7=""),"",IF($B468="MEANS",INDEX('1-DATA'!$1:$1048576,$A467-1,COLUMN('1-DATA'!Z466)),ROUND(INDEX('1-DATA'!$1:$1048576,IF(OR($B468="STD. DEVIATION",$C$1=1),$A468,$A468+1),COLUMN('1-DATA'!Z466)),IF($B468="STD. DEVIATION",2,$F$1))))</f>
        <v/>
      </c>
      <c r="AB468" s="1" t="str">
        <f>IF(OR($B468="",AB$7=""),"",IF($B468="MEANS",INDEX('1-DATA'!$1:$1048576,$A467-1,COLUMN('1-DATA'!AA466)),ROUND(INDEX('1-DATA'!$1:$1048576,IF(OR($B468="STD. DEVIATION",$C$1=1),$A468,$A468+1),COLUMN('1-DATA'!AA466)),IF($B468="STD. DEVIATION",2,$F$1))))</f>
        <v/>
      </c>
      <c r="AC468" s="1" t="str">
        <f>IF(OR($B468="",AC$7=""),"",IF($B468="MEANS",INDEX('1-DATA'!$1:$1048576,$A467-1,COLUMN('1-DATA'!AB466)),ROUND(INDEX('1-DATA'!$1:$1048576,IF(OR($B468="STD. DEVIATION",$C$1=1),$A468,$A468+1),COLUMN('1-DATA'!AB466)),IF($B468="STD. DEVIATION",2,$F$1))))</f>
        <v/>
      </c>
      <c r="AD468" s="1" t="str">
        <f>IF(OR($B468="",AD$7=""),"",IF($B468="MEANS",INDEX('1-DATA'!$1:$1048576,$A467-1,COLUMN('1-DATA'!AC466)),ROUND(INDEX('1-DATA'!$1:$1048576,IF(OR($B468="STD. DEVIATION",$C$1=1),$A468,$A468+1),COLUMN('1-DATA'!AC466)),IF($B468="STD. DEVIATION",2,$F$1))))</f>
        <v/>
      </c>
      <c r="AE468" s="1" t="str">
        <f>IF(OR($B468="",AE$7=""),"",IF($B468="MEANS",INDEX('1-DATA'!$1:$1048576,$A467-1,COLUMN('1-DATA'!AD466)),ROUND(INDEX('1-DATA'!$1:$1048576,IF(OR($B468="STD. DEVIATION",$C$1=1),$A468,$A468+1),COLUMN('1-DATA'!AD466)),IF($B468="STD. DEVIATION",2,$F$1))))</f>
        <v/>
      </c>
      <c r="AF468" s="1" t="str">
        <f>IF(OR($B468="",AF$7=""),"",IF($B468="MEANS",INDEX('1-DATA'!$1:$1048576,$A467-1,COLUMN('1-DATA'!AE466)),ROUND(INDEX('1-DATA'!$1:$1048576,IF(OR($B468="STD. DEVIATION",$C$1=1),$A468,$A468+1),COLUMN('1-DATA'!AE466)),IF($B468="STD. DEVIATION",2,$F$1))))</f>
        <v/>
      </c>
      <c r="AG468" s="1" t="str">
        <f>IF(OR($B468="",AG$7=""),"",IF($B468="MEANS",INDEX('1-DATA'!$1:$1048576,$A467-1,COLUMN('1-DATA'!AF466)),ROUND(INDEX('1-DATA'!$1:$1048576,IF(OR($B468="STD. DEVIATION",$C$1=1),$A468,$A468+1),COLUMN('1-DATA'!AF466)),IF($B468="STD. DEVIATION",2,$F$1))))</f>
        <v/>
      </c>
      <c r="AH468" s="1" t="str">
        <f>IF(OR($B468="",AH$7=""),"",IF($B468="MEANS",INDEX('1-DATA'!$1:$1048576,$A467-1,COLUMN('1-DATA'!AG466)),ROUND(INDEX('1-DATA'!$1:$1048576,IF(OR($B468="STD. DEVIATION",$C$1=1),$A468,$A468+1),COLUMN('1-DATA'!AG466)),IF($B468="STD. DEVIATION",2,$F$1))))</f>
        <v/>
      </c>
      <c r="AI468" s="1" t="str">
        <f>IF(OR($B468="",AI$7=""),"",IF($B468="MEANS",INDEX('1-DATA'!$1:$1048576,$A467-1,COLUMN('1-DATA'!AH466)),ROUND(INDEX('1-DATA'!$1:$1048576,IF(OR($B468="STD. DEVIATION",$C$1=1),$A468,$A468+1),COLUMN('1-DATA'!AH466)),IF($B468="STD. DEVIATION",2,$F$1))))</f>
        <v/>
      </c>
      <c r="AJ468" s="1" t="str">
        <f>IF(OR($B468="",AJ$7=""),"",IF($B468="MEANS",INDEX('1-DATA'!$1:$1048576,$A467-1,COLUMN('1-DATA'!AI466)),ROUND(INDEX('1-DATA'!$1:$1048576,IF(OR($B468="STD. DEVIATION",$C$1=1),$A468,$A468+1),COLUMN('1-DATA'!AI466)),IF($B468="STD. DEVIATION",2,$F$1))))</f>
        <v/>
      </c>
      <c r="AK468" s="1" t="str">
        <f>IF(OR($B468="",AK$7=""),"",IF($B468="MEANS",INDEX('1-DATA'!$1:$1048576,$A467-1,COLUMN('1-DATA'!AJ466)),ROUND(INDEX('1-DATA'!$1:$1048576,IF(OR($B468="STD. DEVIATION",$C$1=1),$A468,$A468+1),COLUMN('1-DATA'!AJ466)),IF($B468="STD. DEVIATION",2,$F$1))))</f>
        <v/>
      </c>
      <c r="AL468" s="1" t="str">
        <f>IF(OR($B468="",AL$7=""),"",IF($B468="MEANS",INDEX('1-DATA'!$1:$1048576,$A467-1,COLUMN('1-DATA'!AK466)),ROUND(INDEX('1-DATA'!$1:$1048576,IF(OR($B468="STD. DEVIATION",$C$1=1),$A468,$A468+1),COLUMN('1-DATA'!AK466)),IF($B468="STD. DEVIATION",2,$F$1))))</f>
        <v/>
      </c>
      <c r="AM468" s="1" t="str">
        <f>IF(OR($B468="",AM$7=""),"",IF($B468="MEANS",INDEX('1-DATA'!$1:$1048576,$A467-1,COLUMN('1-DATA'!AL466)),ROUND(INDEX('1-DATA'!$1:$1048576,IF(OR($B468="STD. DEVIATION",$C$1=1),$A468,$A468+1),COLUMN('1-DATA'!AL466)),IF($B468="STD. DEVIATION",2,$F$1))))</f>
        <v/>
      </c>
      <c r="AN468" s="1" t="str">
        <f>IF(OR($B468="",AN$7=""),"",IF($B468="MEANS",INDEX('1-DATA'!$1:$1048576,$A467-1,COLUMN('1-DATA'!AM466)),ROUND(INDEX('1-DATA'!$1:$1048576,IF(OR($B468="STD. DEVIATION",$C$1=1),$A468,$A468+1),COLUMN('1-DATA'!AM466)),IF($B468="STD. DEVIATION",2,$F$1))))</f>
        <v/>
      </c>
      <c r="AO468" s="1" t="str">
        <f>IF(OR($B468="",AO$7=""),"",IF($B468="MEANS",INDEX('1-DATA'!$1:$1048576,$A467-1,COLUMN('1-DATA'!AN466)),ROUND(INDEX('1-DATA'!$1:$1048576,IF(OR($B468="STD. DEVIATION",$C$1=1),$A468,$A468+1),COLUMN('1-DATA'!AN466)),IF($B468="STD. DEVIATION",2,$F$1))))</f>
        <v/>
      </c>
      <c r="AP468" s="1" t="str">
        <f>IF(OR($B468="",AP$7=""),"",IF($B468="MEANS",INDEX('1-DATA'!$1:$1048576,$A467-1,COLUMN('1-DATA'!AO466)),ROUND(INDEX('1-DATA'!$1:$1048576,IF(OR($B468="STD. DEVIATION",$C$1=1),$A468,$A468+1),COLUMN('1-DATA'!AO466)),IF($B468="STD. DEVIATION",2,$F$1))))</f>
        <v/>
      </c>
      <c r="AQ468" s="1" t="str">
        <f>IF(OR($B468="",AQ$7=""),"",IF($B468="MEANS",INDEX('1-DATA'!$1:$1048576,$A467-1,COLUMN('1-DATA'!AP466)),ROUND(INDEX('1-DATA'!$1:$1048576,IF(OR($B468="STD. DEVIATION",$C$1=1),$A468,$A468+1),COLUMN('1-DATA'!AP466)),IF($B468="STD. DEVIATION",2,$F$1))))</f>
        <v/>
      </c>
      <c r="AR468" s="1" t="str">
        <f>IF(OR($B468="",AR$7=""),"",IF($B468="MEANS",INDEX('1-DATA'!$1:$1048576,$A467-1,COLUMN('1-DATA'!AQ466)),ROUND(INDEX('1-DATA'!$1:$1048576,IF(OR($B468="STD. DEVIATION",$C$1=1),$A468,$A468+1),COLUMN('1-DATA'!AQ466)),IF($B468="STD. DEVIATION",2,$F$1))))</f>
        <v/>
      </c>
      <c r="AS468" s="1" t="str">
        <f>IF(OR($B468="",AS$7=""),"",IF($B468="MEANS",INDEX('1-DATA'!$1:$1048576,$A467-1,COLUMN('1-DATA'!AR466)),ROUND(INDEX('1-DATA'!$1:$1048576,IF(OR($B468="STD. DEVIATION",$C$1=1),$A468,$A468+1),COLUMN('1-DATA'!AR466)),IF($B468="STD. DEVIATION",2,$F$1))))</f>
        <v/>
      </c>
      <c r="AT468" s="1" t="str">
        <f>IF(OR($B468="",AT$7=""),"",IF($B468="MEANS",INDEX('1-DATA'!$1:$1048576,$A467-1,COLUMN('1-DATA'!AS466)),ROUND(INDEX('1-DATA'!$1:$1048576,IF(OR($B468="STD. DEVIATION",$C$1=1),$A468,$A468+1),COLUMN('1-DATA'!AS466)),IF($B468="STD. DEVIATION",2,$F$1))))</f>
        <v/>
      </c>
      <c r="AU468" s="1" t="str">
        <f>IF(OR($B468="",AU$7=""),"",IF($B468="MEANS",INDEX('1-DATA'!$1:$1048576,$A467-1,COLUMN('1-DATA'!AT466)),ROUND(INDEX('1-DATA'!$1:$1048576,IF(OR($B468="STD. DEVIATION",$C$1=1),$A468,$A468+1),COLUMN('1-DATA'!AT466)),IF($B468="STD. DEVIATION",2,$F$1))))</f>
        <v/>
      </c>
      <c r="AV468" s="1" t="str">
        <f>IF(OR($B468="",AV$7=""),"",IF($B468="MEANS",INDEX('1-DATA'!$1:$1048576,$A467-1,COLUMN('1-DATA'!AU466)),ROUND(INDEX('1-DATA'!$1:$1048576,IF(OR($B468="STD. DEVIATION",$C$1=1),$A468,$A468+1),COLUMN('1-DATA'!AU466)),IF($B468="STD. DEVIATION",2,$F$1))))</f>
        <v/>
      </c>
      <c r="AW468" s="1" t="str">
        <f>IF(OR($B468="",AW$7=""),"",IF($B468="MEANS",INDEX('1-DATA'!$1:$1048576,$A467-1,COLUMN('1-DATA'!AV466)),ROUND(INDEX('1-DATA'!$1:$1048576,IF(OR($B468="STD. DEVIATION",$C$1=1),$A468,$A468+1),COLUMN('1-DATA'!AV466)),IF($B468="STD. DEVIATION",2,$F$1))))</f>
        <v/>
      </c>
      <c r="AX468" s="1" t="str">
        <f>IF(OR($B468="",AX$7=""),"",IF($B468="MEANS",INDEX('1-DATA'!$1:$1048576,$A467-1,COLUMN('1-DATA'!AW466)),ROUND(INDEX('1-DATA'!$1:$1048576,IF(OR($B468="STD. DEVIATION",$C$1=1),$A468,$A468+1),COLUMN('1-DATA'!AW466)),IF($B468="STD. DEVIATION",2,$F$1))))</f>
        <v/>
      </c>
      <c r="AY468" s="1" t="str">
        <f>IF(OR($B468="",AY$7=""),"",IF($B468="MEANS",INDEX('1-DATA'!$1:$1048576,$A467-1,COLUMN('1-DATA'!AX466)),ROUND(INDEX('1-DATA'!$1:$1048576,IF(OR($B468="STD. DEVIATION",$C$1=1),$A468,$A468+1),COLUMN('1-DATA'!AX466)),IF($B468="STD. DEVIATION",2,$F$1))))</f>
        <v/>
      </c>
      <c r="AZ468" s="1" t="str">
        <f>IF(OR($B468="",AZ$7=""),"",IF($B468="MEANS",INDEX('1-DATA'!$1:$1048576,$A467-1,COLUMN('1-DATA'!AY466)),ROUND(INDEX('1-DATA'!$1:$1048576,IF(OR($B468="STD. DEVIATION",$C$1=1),$A468,$A468+1),COLUMN('1-DATA'!AY466)),IF($B468="STD. DEVIATION",2,$F$1))))</f>
        <v/>
      </c>
    </row>
    <row r="469" spans="1:52" x14ac:dyDescent="0.25">
      <c r="A469" s="11">
        <f t="shared" si="7"/>
        <v>1393</v>
      </c>
      <c r="B469" s="1" t="str">
        <f>IF(B468="STD. DEVIATION",INDEX('1-DATA'!$1:$1048576,$A468-1,1),IF(INDEX('1-DATA'!$1:$1048576,$A469,1)&lt;&gt;"",INDEX('1-DATA'!$1:$1048576,$A469,1),""))</f>
        <v/>
      </c>
      <c r="C469" s="1" t="str">
        <f>IF(OR($B469="",C$7=""),"",IF($B469="MEANS",INDEX('1-DATA'!$1:$1048576,$A468-1,COLUMN('1-DATA'!B467)),ROUND(INDEX('1-DATA'!$1:$1048576,IF(OR($B469="STD. DEVIATION",$C$1=1),$A469,$A469+1),COLUMN('1-DATA'!B467)),IF($B469="STD. DEVIATION",2,$F$1))))</f>
        <v/>
      </c>
      <c r="D469" s="1" t="str">
        <f>IF(OR($B469="",D$7=""),"",IF($B469="MEANS",INDEX('1-DATA'!$1:$1048576,$A468-1,COLUMN('1-DATA'!C467)),ROUND(INDEX('1-DATA'!$1:$1048576,IF(OR($B469="STD. DEVIATION",$C$1=1),$A469,$A469+1),COLUMN('1-DATA'!C467)),IF($B469="STD. DEVIATION",2,$F$1))))</f>
        <v/>
      </c>
      <c r="E469" s="1" t="str">
        <f>IF(OR($B469="",E$7=""),"",IF($B469="MEANS",INDEX('1-DATA'!$1:$1048576,$A468-1,COLUMN('1-DATA'!D467)),ROUND(INDEX('1-DATA'!$1:$1048576,IF(OR($B469="STD. DEVIATION",$C$1=1),$A469,$A469+1),COLUMN('1-DATA'!D467)),IF($B469="STD. DEVIATION",2,$F$1))))</f>
        <v/>
      </c>
      <c r="F469" s="1" t="str">
        <f>IF(OR($B469="",F$7=""),"",IF($B469="MEANS",INDEX('1-DATA'!$1:$1048576,$A468-1,COLUMN('1-DATA'!E467)),ROUND(INDEX('1-DATA'!$1:$1048576,IF(OR($B469="STD. DEVIATION",$C$1=1),$A469,$A469+1),COLUMN('1-DATA'!E467)),IF($B469="STD. DEVIATION",2,$F$1))))</f>
        <v/>
      </c>
      <c r="G469" s="1" t="str">
        <f>IF(OR($B469="",G$7=""),"",IF($B469="MEANS",INDEX('1-DATA'!$1:$1048576,$A468-1,COLUMN('1-DATA'!F467)),ROUND(INDEX('1-DATA'!$1:$1048576,IF(OR($B469="STD. DEVIATION",$C$1=1),$A469,$A469+1),COLUMN('1-DATA'!F467)),IF($B469="STD. DEVIATION",2,$F$1))))</f>
        <v/>
      </c>
      <c r="H469" s="1" t="str">
        <f>IF(OR($B469="",H$7=""),"",IF($B469="MEANS",INDEX('1-DATA'!$1:$1048576,$A468-1,COLUMN('1-DATA'!G467)),ROUND(INDEX('1-DATA'!$1:$1048576,IF(OR($B469="STD. DEVIATION",$C$1=1),$A469,$A469+1),COLUMN('1-DATA'!G467)),IF($B469="STD. DEVIATION",2,$F$1))))</f>
        <v/>
      </c>
      <c r="I469" s="1" t="str">
        <f>IF(OR($B469="",I$7=""),"",IF($B469="MEANS",INDEX('1-DATA'!$1:$1048576,$A468-1,COLUMN('1-DATA'!H467)),ROUND(INDEX('1-DATA'!$1:$1048576,IF(OR($B469="STD. DEVIATION",$C$1=1),$A469,$A469+1),COLUMN('1-DATA'!H467)),IF($B469="STD. DEVIATION",2,$F$1))))</f>
        <v/>
      </c>
      <c r="J469" s="1" t="str">
        <f>IF(OR($B469="",J$7=""),"",IF($B469="MEANS",INDEX('1-DATA'!$1:$1048576,$A468-1,COLUMN('1-DATA'!I467)),ROUND(INDEX('1-DATA'!$1:$1048576,IF(OR($B469="STD. DEVIATION",$C$1=1),$A469,$A469+1),COLUMN('1-DATA'!I467)),IF($B469="STD. DEVIATION",2,$F$1))))</f>
        <v/>
      </c>
      <c r="K469" s="1" t="str">
        <f>IF(OR($B469="",K$7=""),"",IF($B469="MEANS",INDEX('1-DATA'!$1:$1048576,$A468-1,COLUMN('1-DATA'!J467)),ROUND(INDEX('1-DATA'!$1:$1048576,IF(OR($B469="STD. DEVIATION",$C$1=1),$A469,$A469+1),COLUMN('1-DATA'!J467)),IF($B469="STD. DEVIATION",2,$F$1))))</f>
        <v/>
      </c>
      <c r="L469" s="1" t="str">
        <f>IF(OR($B469="",L$7=""),"",IF($B469="MEANS",INDEX('1-DATA'!$1:$1048576,$A468-1,COLUMN('1-DATA'!K467)),ROUND(INDEX('1-DATA'!$1:$1048576,IF(OR($B469="STD. DEVIATION",$C$1=1),$A469,$A469+1),COLUMN('1-DATA'!K467)),IF($B469="STD. DEVIATION",2,$F$1))))</f>
        <v/>
      </c>
      <c r="M469" s="1" t="str">
        <f>IF(OR($B469="",M$7=""),"",IF($B469="MEANS",INDEX('1-DATA'!$1:$1048576,$A468-1,COLUMN('1-DATA'!L467)),ROUND(INDEX('1-DATA'!$1:$1048576,IF(OR($B469="STD. DEVIATION",$C$1=1),$A469,$A469+1),COLUMN('1-DATA'!L467)),IF($B469="STD. DEVIATION",2,$F$1))))</f>
        <v/>
      </c>
      <c r="N469" s="1" t="str">
        <f>IF(OR($B469="",N$7=""),"",IF($B469="MEANS",INDEX('1-DATA'!$1:$1048576,$A468-1,COLUMN('1-DATA'!M467)),ROUND(INDEX('1-DATA'!$1:$1048576,IF(OR($B469="STD. DEVIATION",$C$1=1),$A469,$A469+1),COLUMN('1-DATA'!M467)),IF($B469="STD. DEVIATION",2,$F$1))))</f>
        <v/>
      </c>
      <c r="O469" s="1" t="str">
        <f>IF(OR($B469="",O$7=""),"",IF($B469="MEANS",INDEX('1-DATA'!$1:$1048576,$A468-1,COLUMN('1-DATA'!N467)),ROUND(INDEX('1-DATA'!$1:$1048576,IF(OR($B469="STD. DEVIATION",$C$1=1),$A469,$A469+1),COLUMN('1-DATA'!N467)),IF($B469="STD. DEVIATION",2,$F$1))))</f>
        <v/>
      </c>
      <c r="P469" s="1" t="str">
        <f>IF(OR($B469="",P$7=""),"",IF($B469="MEANS",INDEX('1-DATA'!$1:$1048576,$A468-1,COLUMN('1-DATA'!O467)),ROUND(INDEX('1-DATA'!$1:$1048576,IF(OR($B469="STD. DEVIATION",$C$1=1),$A469,$A469+1),COLUMN('1-DATA'!O467)),IF($B469="STD. DEVIATION",2,$F$1))))</f>
        <v/>
      </c>
      <c r="Q469" s="1" t="str">
        <f>IF(OR($B469="",Q$7=""),"",IF($B469="MEANS",INDEX('1-DATA'!$1:$1048576,$A468-1,COLUMN('1-DATA'!P467)),ROUND(INDEX('1-DATA'!$1:$1048576,IF(OR($B469="STD. DEVIATION",$C$1=1),$A469,$A469+1),COLUMN('1-DATA'!P467)),IF($B469="STD. DEVIATION",2,$F$1))))</f>
        <v/>
      </c>
      <c r="R469" s="1" t="str">
        <f>IF(OR($B469="",R$7=""),"",IF($B469="MEANS",INDEX('1-DATA'!$1:$1048576,$A468-1,COLUMN('1-DATA'!Q467)),ROUND(INDEX('1-DATA'!$1:$1048576,IF(OR($B469="STD. DEVIATION",$C$1=1),$A469,$A469+1),COLUMN('1-DATA'!Q467)),IF($B469="STD. DEVIATION",2,$F$1))))</f>
        <v/>
      </c>
      <c r="S469" s="1" t="str">
        <f>IF(OR($B469="",S$7=""),"",IF($B469="MEANS",INDEX('1-DATA'!$1:$1048576,$A468-1,COLUMN('1-DATA'!R467)),ROUND(INDEX('1-DATA'!$1:$1048576,IF(OR($B469="STD. DEVIATION",$C$1=1),$A469,$A469+1),COLUMN('1-DATA'!R467)),IF($B469="STD. DEVIATION",2,$F$1))))</f>
        <v/>
      </c>
      <c r="T469" s="1" t="str">
        <f>IF(OR($B469="",T$7=""),"",IF($B469="MEANS",INDEX('1-DATA'!$1:$1048576,$A468-1,COLUMN('1-DATA'!S467)),ROUND(INDEX('1-DATA'!$1:$1048576,IF(OR($B469="STD. DEVIATION",$C$1=1),$A469,$A469+1),COLUMN('1-DATA'!S467)),IF($B469="STD. DEVIATION",2,$F$1))))</f>
        <v/>
      </c>
      <c r="U469" s="1" t="str">
        <f>IF(OR($B469="",U$7=""),"",IF($B469="MEANS",INDEX('1-DATA'!$1:$1048576,$A468-1,COLUMN('1-DATA'!T467)),ROUND(INDEX('1-DATA'!$1:$1048576,IF(OR($B469="STD. DEVIATION",$C$1=1),$A469,$A469+1),COLUMN('1-DATA'!T467)),IF($B469="STD. DEVIATION",2,$F$1))))</f>
        <v/>
      </c>
      <c r="V469" s="1" t="str">
        <f>IF(OR($B469="",V$7=""),"",IF($B469="MEANS",INDEX('1-DATA'!$1:$1048576,$A468-1,COLUMN('1-DATA'!U467)),ROUND(INDEX('1-DATA'!$1:$1048576,IF(OR($B469="STD. DEVIATION",$C$1=1),$A469,$A469+1),COLUMN('1-DATA'!U467)),IF($B469="STD. DEVIATION",2,$F$1))))</f>
        <v/>
      </c>
      <c r="W469" s="1" t="str">
        <f>IF(OR($B469="",W$7=""),"",IF($B469="MEANS",INDEX('1-DATA'!$1:$1048576,$A468-1,COLUMN('1-DATA'!V467)),ROUND(INDEX('1-DATA'!$1:$1048576,IF(OR($B469="STD. DEVIATION",$C$1=1),$A469,$A469+1),COLUMN('1-DATA'!V467)),IF($B469="STD. DEVIATION",2,$F$1))))</f>
        <v/>
      </c>
      <c r="X469" s="1" t="str">
        <f>IF(OR($B469="",X$7=""),"",IF($B469="MEANS",INDEX('1-DATA'!$1:$1048576,$A468-1,COLUMN('1-DATA'!W467)),ROUND(INDEX('1-DATA'!$1:$1048576,IF(OR($B469="STD. DEVIATION",$C$1=1),$A469,$A469+1),COLUMN('1-DATA'!W467)),IF($B469="STD. DEVIATION",2,$F$1))))</f>
        <v/>
      </c>
      <c r="Y469" s="1" t="str">
        <f>IF(OR($B469="",Y$7=""),"",IF($B469="MEANS",INDEX('1-DATA'!$1:$1048576,$A468-1,COLUMN('1-DATA'!X467)),ROUND(INDEX('1-DATA'!$1:$1048576,IF(OR($B469="STD. DEVIATION",$C$1=1),$A469,$A469+1),COLUMN('1-DATA'!X467)),IF($B469="STD. DEVIATION",2,$F$1))))</f>
        <v/>
      </c>
      <c r="Z469" s="1" t="str">
        <f>IF(OR($B469="",Z$7=""),"",IF($B469="MEANS",INDEX('1-DATA'!$1:$1048576,$A468-1,COLUMN('1-DATA'!Y467)),ROUND(INDEX('1-DATA'!$1:$1048576,IF(OR($B469="STD. DEVIATION",$C$1=1),$A469,$A469+1),COLUMN('1-DATA'!Y467)),IF($B469="STD. DEVIATION",2,$F$1))))</f>
        <v/>
      </c>
      <c r="AA469" s="1" t="str">
        <f>IF(OR($B469="",AA$7=""),"",IF($B469="MEANS",INDEX('1-DATA'!$1:$1048576,$A468-1,COLUMN('1-DATA'!Z467)),ROUND(INDEX('1-DATA'!$1:$1048576,IF(OR($B469="STD. DEVIATION",$C$1=1),$A469,$A469+1),COLUMN('1-DATA'!Z467)),IF($B469="STD. DEVIATION",2,$F$1))))</f>
        <v/>
      </c>
      <c r="AB469" s="1" t="str">
        <f>IF(OR($B469="",AB$7=""),"",IF($B469="MEANS",INDEX('1-DATA'!$1:$1048576,$A468-1,COLUMN('1-DATA'!AA467)),ROUND(INDEX('1-DATA'!$1:$1048576,IF(OR($B469="STD. DEVIATION",$C$1=1),$A469,$A469+1),COLUMN('1-DATA'!AA467)),IF($B469="STD. DEVIATION",2,$F$1))))</f>
        <v/>
      </c>
      <c r="AC469" s="1" t="str">
        <f>IF(OR($B469="",AC$7=""),"",IF($B469="MEANS",INDEX('1-DATA'!$1:$1048576,$A468-1,COLUMN('1-DATA'!AB467)),ROUND(INDEX('1-DATA'!$1:$1048576,IF(OR($B469="STD. DEVIATION",$C$1=1),$A469,$A469+1),COLUMN('1-DATA'!AB467)),IF($B469="STD. DEVIATION",2,$F$1))))</f>
        <v/>
      </c>
      <c r="AD469" s="1" t="str">
        <f>IF(OR($B469="",AD$7=""),"",IF($B469="MEANS",INDEX('1-DATA'!$1:$1048576,$A468-1,COLUMN('1-DATA'!AC467)),ROUND(INDEX('1-DATA'!$1:$1048576,IF(OR($B469="STD. DEVIATION",$C$1=1),$A469,$A469+1),COLUMN('1-DATA'!AC467)),IF($B469="STD. DEVIATION",2,$F$1))))</f>
        <v/>
      </c>
      <c r="AE469" s="1" t="str">
        <f>IF(OR($B469="",AE$7=""),"",IF($B469="MEANS",INDEX('1-DATA'!$1:$1048576,$A468-1,COLUMN('1-DATA'!AD467)),ROUND(INDEX('1-DATA'!$1:$1048576,IF(OR($B469="STD. DEVIATION",$C$1=1),$A469,$A469+1),COLUMN('1-DATA'!AD467)),IF($B469="STD. DEVIATION",2,$F$1))))</f>
        <v/>
      </c>
      <c r="AF469" s="1" t="str">
        <f>IF(OR($B469="",AF$7=""),"",IF($B469="MEANS",INDEX('1-DATA'!$1:$1048576,$A468-1,COLUMN('1-DATA'!AE467)),ROUND(INDEX('1-DATA'!$1:$1048576,IF(OR($B469="STD. DEVIATION",$C$1=1),$A469,$A469+1),COLUMN('1-DATA'!AE467)),IF($B469="STD. DEVIATION",2,$F$1))))</f>
        <v/>
      </c>
      <c r="AG469" s="1" t="str">
        <f>IF(OR($B469="",AG$7=""),"",IF($B469="MEANS",INDEX('1-DATA'!$1:$1048576,$A468-1,COLUMN('1-DATA'!AF467)),ROUND(INDEX('1-DATA'!$1:$1048576,IF(OR($B469="STD. DEVIATION",$C$1=1),$A469,$A469+1),COLUMN('1-DATA'!AF467)),IF($B469="STD. DEVIATION",2,$F$1))))</f>
        <v/>
      </c>
      <c r="AH469" s="1" t="str">
        <f>IF(OR($B469="",AH$7=""),"",IF($B469="MEANS",INDEX('1-DATA'!$1:$1048576,$A468-1,COLUMN('1-DATA'!AG467)),ROUND(INDEX('1-DATA'!$1:$1048576,IF(OR($B469="STD. DEVIATION",$C$1=1),$A469,$A469+1),COLUMN('1-DATA'!AG467)),IF($B469="STD. DEVIATION",2,$F$1))))</f>
        <v/>
      </c>
      <c r="AI469" s="1" t="str">
        <f>IF(OR($B469="",AI$7=""),"",IF($B469="MEANS",INDEX('1-DATA'!$1:$1048576,$A468-1,COLUMN('1-DATA'!AH467)),ROUND(INDEX('1-DATA'!$1:$1048576,IF(OR($B469="STD. DEVIATION",$C$1=1),$A469,$A469+1),COLUMN('1-DATA'!AH467)),IF($B469="STD. DEVIATION",2,$F$1))))</f>
        <v/>
      </c>
      <c r="AJ469" s="1" t="str">
        <f>IF(OR($B469="",AJ$7=""),"",IF($B469="MEANS",INDEX('1-DATA'!$1:$1048576,$A468-1,COLUMN('1-DATA'!AI467)),ROUND(INDEX('1-DATA'!$1:$1048576,IF(OR($B469="STD. DEVIATION",$C$1=1),$A469,$A469+1),COLUMN('1-DATA'!AI467)),IF($B469="STD. DEVIATION",2,$F$1))))</f>
        <v/>
      </c>
      <c r="AK469" s="1" t="str">
        <f>IF(OR($B469="",AK$7=""),"",IF($B469="MEANS",INDEX('1-DATA'!$1:$1048576,$A468-1,COLUMN('1-DATA'!AJ467)),ROUND(INDEX('1-DATA'!$1:$1048576,IF(OR($B469="STD. DEVIATION",$C$1=1),$A469,$A469+1),COLUMN('1-DATA'!AJ467)),IF($B469="STD. DEVIATION",2,$F$1))))</f>
        <v/>
      </c>
      <c r="AL469" s="1" t="str">
        <f>IF(OR($B469="",AL$7=""),"",IF($B469="MEANS",INDEX('1-DATA'!$1:$1048576,$A468-1,COLUMN('1-DATA'!AK467)),ROUND(INDEX('1-DATA'!$1:$1048576,IF(OR($B469="STD. DEVIATION",$C$1=1),$A469,$A469+1),COLUMN('1-DATA'!AK467)),IF($B469="STD. DEVIATION",2,$F$1))))</f>
        <v/>
      </c>
      <c r="AM469" s="1" t="str">
        <f>IF(OR($B469="",AM$7=""),"",IF($B469="MEANS",INDEX('1-DATA'!$1:$1048576,$A468-1,COLUMN('1-DATA'!AL467)),ROUND(INDEX('1-DATA'!$1:$1048576,IF(OR($B469="STD. DEVIATION",$C$1=1),$A469,$A469+1),COLUMN('1-DATA'!AL467)),IF($B469="STD. DEVIATION",2,$F$1))))</f>
        <v/>
      </c>
      <c r="AN469" s="1" t="str">
        <f>IF(OR($B469="",AN$7=""),"",IF($B469="MEANS",INDEX('1-DATA'!$1:$1048576,$A468-1,COLUMN('1-DATA'!AM467)),ROUND(INDEX('1-DATA'!$1:$1048576,IF(OR($B469="STD. DEVIATION",$C$1=1),$A469,$A469+1),COLUMN('1-DATA'!AM467)),IF($B469="STD. DEVIATION",2,$F$1))))</f>
        <v/>
      </c>
      <c r="AO469" s="1" t="str">
        <f>IF(OR($B469="",AO$7=""),"",IF($B469="MEANS",INDEX('1-DATA'!$1:$1048576,$A468-1,COLUMN('1-DATA'!AN467)),ROUND(INDEX('1-DATA'!$1:$1048576,IF(OR($B469="STD. DEVIATION",$C$1=1),$A469,$A469+1),COLUMN('1-DATA'!AN467)),IF($B469="STD. DEVIATION",2,$F$1))))</f>
        <v/>
      </c>
      <c r="AP469" s="1" t="str">
        <f>IF(OR($B469="",AP$7=""),"",IF($B469="MEANS",INDEX('1-DATA'!$1:$1048576,$A468-1,COLUMN('1-DATA'!AO467)),ROUND(INDEX('1-DATA'!$1:$1048576,IF(OR($B469="STD. DEVIATION",$C$1=1),$A469,$A469+1),COLUMN('1-DATA'!AO467)),IF($B469="STD. DEVIATION",2,$F$1))))</f>
        <v/>
      </c>
      <c r="AQ469" s="1" t="str">
        <f>IF(OR($B469="",AQ$7=""),"",IF($B469="MEANS",INDEX('1-DATA'!$1:$1048576,$A468-1,COLUMN('1-DATA'!AP467)),ROUND(INDEX('1-DATA'!$1:$1048576,IF(OR($B469="STD. DEVIATION",$C$1=1),$A469,$A469+1),COLUMN('1-DATA'!AP467)),IF($B469="STD. DEVIATION",2,$F$1))))</f>
        <v/>
      </c>
      <c r="AR469" s="1" t="str">
        <f>IF(OR($B469="",AR$7=""),"",IF($B469="MEANS",INDEX('1-DATA'!$1:$1048576,$A468-1,COLUMN('1-DATA'!AQ467)),ROUND(INDEX('1-DATA'!$1:$1048576,IF(OR($B469="STD. DEVIATION",$C$1=1),$A469,$A469+1),COLUMN('1-DATA'!AQ467)),IF($B469="STD. DEVIATION",2,$F$1))))</f>
        <v/>
      </c>
      <c r="AS469" s="1" t="str">
        <f>IF(OR($B469="",AS$7=""),"",IF($B469="MEANS",INDEX('1-DATA'!$1:$1048576,$A468-1,COLUMN('1-DATA'!AR467)),ROUND(INDEX('1-DATA'!$1:$1048576,IF(OR($B469="STD. DEVIATION",$C$1=1),$A469,$A469+1),COLUMN('1-DATA'!AR467)),IF($B469="STD. DEVIATION",2,$F$1))))</f>
        <v/>
      </c>
      <c r="AT469" s="1" t="str">
        <f>IF(OR($B469="",AT$7=""),"",IF($B469="MEANS",INDEX('1-DATA'!$1:$1048576,$A468-1,COLUMN('1-DATA'!AS467)),ROUND(INDEX('1-DATA'!$1:$1048576,IF(OR($B469="STD. DEVIATION",$C$1=1),$A469,$A469+1),COLUMN('1-DATA'!AS467)),IF($B469="STD. DEVIATION",2,$F$1))))</f>
        <v/>
      </c>
      <c r="AU469" s="1" t="str">
        <f>IF(OR($B469="",AU$7=""),"",IF($B469="MEANS",INDEX('1-DATA'!$1:$1048576,$A468-1,COLUMN('1-DATA'!AT467)),ROUND(INDEX('1-DATA'!$1:$1048576,IF(OR($B469="STD. DEVIATION",$C$1=1),$A469,$A469+1),COLUMN('1-DATA'!AT467)),IF($B469="STD. DEVIATION",2,$F$1))))</f>
        <v/>
      </c>
      <c r="AV469" s="1" t="str">
        <f>IF(OR($B469="",AV$7=""),"",IF($B469="MEANS",INDEX('1-DATA'!$1:$1048576,$A468-1,COLUMN('1-DATA'!AU467)),ROUND(INDEX('1-DATA'!$1:$1048576,IF(OR($B469="STD. DEVIATION",$C$1=1),$A469,$A469+1),COLUMN('1-DATA'!AU467)),IF($B469="STD. DEVIATION",2,$F$1))))</f>
        <v/>
      </c>
      <c r="AW469" s="1" t="str">
        <f>IF(OR($B469="",AW$7=""),"",IF($B469="MEANS",INDEX('1-DATA'!$1:$1048576,$A468-1,COLUMN('1-DATA'!AV467)),ROUND(INDEX('1-DATA'!$1:$1048576,IF(OR($B469="STD. DEVIATION",$C$1=1),$A469,$A469+1),COLUMN('1-DATA'!AV467)),IF($B469="STD. DEVIATION",2,$F$1))))</f>
        <v/>
      </c>
      <c r="AX469" s="1" t="str">
        <f>IF(OR($B469="",AX$7=""),"",IF($B469="MEANS",INDEX('1-DATA'!$1:$1048576,$A468-1,COLUMN('1-DATA'!AW467)),ROUND(INDEX('1-DATA'!$1:$1048576,IF(OR($B469="STD. DEVIATION",$C$1=1),$A469,$A469+1),COLUMN('1-DATA'!AW467)),IF($B469="STD. DEVIATION",2,$F$1))))</f>
        <v/>
      </c>
      <c r="AY469" s="1" t="str">
        <f>IF(OR($B469="",AY$7=""),"",IF($B469="MEANS",INDEX('1-DATA'!$1:$1048576,$A468-1,COLUMN('1-DATA'!AX467)),ROUND(INDEX('1-DATA'!$1:$1048576,IF(OR($B469="STD. DEVIATION",$C$1=1),$A469,$A469+1),COLUMN('1-DATA'!AX467)),IF($B469="STD. DEVIATION",2,$F$1))))</f>
        <v/>
      </c>
      <c r="AZ469" s="1" t="str">
        <f>IF(OR($B469="",AZ$7=""),"",IF($B469="MEANS",INDEX('1-DATA'!$1:$1048576,$A468-1,COLUMN('1-DATA'!AY467)),ROUND(INDEX('1-DATA'!$1:$1048576,IF(OR($B469="STD. DEVIATION",$C$1=1),$A469,$A469+1),COLUMN('1-DATA'!AY467)),IF($B469="STD. DEVIATION",2,$F$1))))</f>
        <v/>
      </c>
    </row>
    <row r="470" spans="1:52" x14ac:dyDescent="0.25">
      <c r="A470" s="11">
        <f t="shared" si="7"/>
        <v>1396</v>
      </c>
      <c r="B470" s="1" t="str">
        <f>IF(B469="STD. DEVIATION",INDEX('1-DATA'!$1:$1048576,$A469-1,1),IF(INDEX('1-DATA'!$1:$1048576,$A470,1)&lt;&gt;"",INDEX('1-DATA'!$1:$1048576,$A470,1),""))</f>
        <v/>
      </c>
      <c r="C470" s="1" t="str">
        <f>IF(OR($B470="",C$7=""),"",IF($B470="MEANS",INDEX('1-DATA'!$1:$1048576,$A469-1,COLUMN('1-DATA'!B468)),ROUND(INDEX('1-DATA'!$1:$1048576,IF(OR($B470="STD. DEVIATION",$C$1=1),$A470,$A470+1),COLUMN('1-DATA'!B468)),IF($B470="STD. DEVIATION",2,$F$1))))</f>
        <v/>
      </c>
      <c r="D470" s="1" t="str">
        <f>IF(OR($B470="",D$7=""),"",IF($B470="MEANS",INDEX('1-DATA'!$1:$1048576,$A469-1,COLUMN('1-DATA'!C468)),ROUND(INDEX('1-DATA'!$1:$1048576,IF(OR($B470="STD. DEVIATION",$C$1=1),$A470,$A470+1),COLUMN('1-DATA'!C468)),IF($B470="STD. DEVIATION",2,$F$1))))</f>
        <v/>
      </c>
      <c r="E470" s="1" t="str">
        <f>IF(OR($B470="",E$7=""),"",IF($B470="MEANS",INDEX('1-DATA'!$1:$1048576,$A469-1,COLUMN('1-DATA'!D468)),ROUND(INDEX('1-DATA'!$1:$1048576,IF(OR($B470="STD. DEVIATION",$C$1=1),$A470,$A470+1),COLUMN('1-DATA'!D468)),IF($B470="STD. DEVIATION",2,$F$1))))</f>
        <v/>
      </c>
      <c r="F470" s="1" t="str">
        <f>IF(OR($B470="",F$7=""),"",IF($B470="MEANS",INDEX('1-DATA'!$1:$1048576,$A469-1,COLUMN('1-DATA'!E468)),ROUND(INDEX('1-DATA'!$1:$1048576,IF(OR($B470="STD. DEVIATION",$C$1=1),$A470,$A470+1),COLUMN('1-DATA'!E468)),IF($B470="STD. DEVIATION",2,$F$1))))</f>
        <v/>
      </c>
      <c r="G470" s="1" t="str">
        <f>IF(OR($B470="",G$7=""),"",IF($B470="MEANS",INDEX('1-DATA'!$1:$1048576,$A469-1,COLUMN('1-DATA'!F468)),ROUND(INDEX('1-DATA'!$1:$1048576,IF(OR($B470="STD. DEVIATION",$C$1=1),$A470,$A470+1),COLUMN('1-DATA'!F468)),IF($B470="STD. DEVIATION",2,$F$1))))</f>
        <v/>
      </c>
      <c r="H470" s="1" t="str">
        <f>IF(OR($B470="",H$7=""),"",IF($B470="MEANS",INDEX('1-DATA'!$1:$1048576,$A469-1,COLUMN('1-DATA'!G468)),ROUND(INDEX('1-DATA'!$1:$1048576,IF(OR($B470="STD. DEVIATION",$C$1=1),$A470,$A470+1),COLUMN('1-DATA'!G468)),IF($B470="STD. DEVIATION",2,$F$1))))</f>
        <v/>
      </c>
      <c r="I470" s="1" t="str">
        <f>IF(OR($B470="",I$7=""),"",IF($B470="MEANS",INDEX('1-DATA'!$1:$1048576,$A469-1,COLUMN('1-DATA'!H468)),ROUND(INDEX('1-DATA'!$1:$1048576,IF(OR($B470="STD. DEVIATION",$C$1=1),$A470,$A470+1),COLUMN('1-DATA'!H468)),IF($B470="STD. DEVIATION",2,$F$1))))</f>
        <v/>
      </c>
      <c r="J470" s="1" t="str">
        <f>IF(OR($B470="",J$7=""),"",IF($B470="MEANS",INDEX('1-DATA'!$1:$1048576,$A469-1,COLUMN('1-DATA'!I468)),ROUND(INDEX('1-DATA'!$1:$1048576,IF(OR($B470="STD. DEVIATION",$C$1=1),$A470,$A470+1),COLUMN('1-DATA'!I468)),IF($B470="STD. DEVIATION",2,$F$1))))</f>
        <v/>
      </c>
      <c r="K470" s="1" t="str">
        <f>IF(OR($B470="",K$7=""),"",IF($B470="MEANS",INDEX('1-DATA'!$1:$1048576,$A469-1,COLUMN('1-DATA'!J468)),ROUND(INDEX('1-DATA'!$1:$1048576,IF(OR($B470="STD. DEVIATION",$C$1=1),$A470,$A470+1),COLUMN('1-DATA'!J468)),IF($B470="STD. DEVIATION",2,$F$1))))</f>
        <v/>
      </c>
      <c r="L470" s="1" t="str">
        <f>IF(OR($B470="",L$7=""),"",IF($B470="MEANS",INDEX('1-DATA'!$1:$1048576,$A469-1,COLUMN('1-DATA'!K468)),ROUND(INDEX('1-DATA'!$1:$1048576,IF(OR($B470="STD. DEVIATION",$C$1=1),$A470,$A470+1),COLUMN('1-DATA'!K468)),IF($B470="STD. DEVIATION",2,$F$1))))</f>
        <v/>
      </c>
      <c r="M470" s="1" t="str">
        <f>IF(OR($B470="",M$7=""),"",IF($B470="MEANS",INDEX('1-DATA'!$1:$1048576,$A469-1,COLUMN('1-DATA'!L468)),ROUND(INDEX('1-DATA'!$1:$1048576,IF(OR($B470="STD. DEVIATION",$C$1=1),$A470,$A470+1),COLUMN('1-DATA'!L468)),IF($B470="STD. DEVIATION",2,$F$1))))</f>
        <v/>
      </c>
      <c r="N470" s="1" t="str">
        <f>IF(OR($B470="",N$7=""),"",IF($B470="MEANS",INDEX('1-DATA'!$1:$1048576,$A469-1,COLUMN('1-DATA'!M468)),ROUND(INDEX('1-DATA'!$1:$1048576,IF(OR($B470="STD. DEVIATION",$C$1=1),$A470,$A470+1),COLUMN('1-DATA'!M468)),IF($B470="STD. DEVIATION",2,$F$1))))</f>
        <v/>
      </c>
      <c r="O470" s="1" t="str">
        <f>IF(OR($B470="",O$7=""),"",IF($B470="MEANS",INDEX('1-DATA'!$1:$1048576,$A469-1,COLUMN('1-DATA'!N468)),ROUND(INDEX('1-DATA'!$1:$1048576,IF(OR($B470="STD. DEVIATION",$C$1=1),$A470,$A470+1),COLUMN('1-DATA'!N468)),IF($B470="STD. DEVIATION",2,$F$1))))</f>
        <v/>
      </c>
      <c r="P470" s="1" t="str">
        <f>IF(OR($B470="",P$7=""),"",IF($B470="MEANS",INDEX('1-DATA'!$1:$1048576,$A469-1,COLUMN('1-DATA'!O468)),ROUND(INDEX('1-DATA'!$1:$1048576,IF(OR($B470="STD. DEVIATION",$C$1=1),$A470,$A470+1),COLUMN('1-DATA'!O468)),IF($B470="STD. DEVIATION",2,$F$1))))</f>
        <v/>
      </c>
      <c r="Q470" s="1" t="str">
        <f>IF(OR($B470="",Q$7=""),"",IF($B470="MEANS",INDEX('1-DATA'!$1:$1048576,$A469-1,COLUMN('1-DATA'!P468)),ROUND(INDEX('1-DATA'!$1:$1048576,IF(OR($B470="STD. DEVIATION",$C$1=1),$A470,$A470+1),COLUMN('1-DATA'!P468)),IF($B470="STD. DEVIATION",2,$F$1))))</f>
        <v/>
      </c>
      <c r="R470" s="1" t="str">
        <f>IF(OR($B470="",R$7=""),"",IF($B470="MEANS",INDEX('1-DATA'!$1:$1048576,$A469-1,COLUMN('1-DATA'!Q468)),ROUND(INDEX('1-DATA'!$1:$1048576,IF(OR($B470="STD. DEVIATION",$C$1=1),$A470,$A470+1),COLUMN('1-DATA'!Q468)),IF($B470="STD. DEVIATION",2,$F$1))))</f>
        <v/>
      </c>
      <c r="S470" s="1" t="str">
        <f>IF(OR($B470="",S$7=""),"",IF($B470="MEANS",INDEX('1-DATA'!$1:$1048576,$A469-1,COLUMN('1-DATA'!R468)),ROUND(INDEX('1-DATA'!$1:$1048576,IF(OR($B470="STD. DEVIATION",$C$1=1),$A470,$A470+1),COLUMN('1-DATA'!R468)),IF($B470="STD. DEVIATION",2,$F$1))))</f>
        <v/>
      </c>
      <c r="T470" s="1" t="str">
        <f>IF(OR($B470="",T$7=""),"",IF($B470="MEANS",INDEX('1-DATA'!$1:$1048576,$A469-1,COLUMN('1-DATA'!S468)),ROUND(INDEX('1-DATA'!$1:$1048576,IF(OR($B470="STD. DEVIATION",$C$1=1),$A470,$A470+1),COLUMN('1-DATA'!S468)),IF($B470="STD. DEVIATION",2,$F$1))))</f>
        <v/>
      </c>
      <c r="U470" s="1" t="str">
        <f>IF(OR($B470="",U$7=""),"",IF($B470="MEANS",INDEX('1-DATA'!$1:$1048576,$A469-1,COLUMN('1-DATA'!T468)),ROUND(INDEX('1-DATA'!$1:$1048576,IF(OR($B470="STD. DEVIATION",$C$1=1),$A470,$A470+1),COLUMN('1-DATA'!T468)),IF($B470="STD. DEVIATION",2,$F$1))))</f>
        <v/>
      </c>
      <c r="V470" s="1" t="str">
        <f>IF(OR($B470="",V$7=""),"",IF($B470="MEANS",INDEX('1-DATA'!$1:$1048576,$A469-1,COLUMN('1-DATA'!U468)),ROUND(INDEX('1-DATA'!$1:$1048576,IF(OR($B470="STD. DEVIATION",$C$1=1),$A470,$A470+1),COLUMN('1-DATA'!U468)),IF($B470="STD. DEVIATION",2,$F$1))))</f>
        <v/>
      </c>
      <c r="W470" s="1" t="str">
        <f>IF(OR($B470="",W$7=""),"",IF($B470="MEANS",INDEX('1-DATA'!$1:$1048576,$A469-1,COLUMN('1-DATA'!V468)),ROUND(INDEX('1-DATA'!$1:$1048576,IF(OR($B470="STD. DEVIATION",$C$1=1),$A470,$A470+1),COLUMN('1-DATA'!V468)),IF($B470="STD. DEVIATION",2,$F$1))))</f>
        <v/>
      </c>
      <c r="X470" s="1" t="str">
        <f>IF(OR($B470="",X$7=""),"",IF($B470="MEANS",INDEX('1-DATA'!$1:$1048576,$A469-1,COLUMN('1-DATA'!W468)),ROUND(INDEX('1-DATA'!$1:$1048576,IF(OR($B470="STD. DEVIATION",$C$1=1),$A470,$A470+1),COLUMN('1-DATA'!W468)),IF($B470="STD. DEVIATION",2,$F$1))))</f>
        <v/>
      </c>
      <c r="Y470" s="1" t="str">
        <f>IF(OR($B470="",Y$7=""),"",IF($B470="MEANS",INDEX('1-DATA'!$1:$1048576,$A469-1,COLUMN('1-DATA'!X468)),ROUND(INDEX('1-DATA'!$1:$1048576,IF(OR($B470="STD. DEVIATION",$C$1=1),$A470,$A470+1),COLUMN('1-DATA'!X468)),IF($B470="STD. DEVIATION",2,$F$1))))</f>
        <v/>
      </c>
      <c r="Z470" s="1" t="str">
        <f>IF(OR($B470="",Z$7=""),"",IF($B470="MEANS",INDEX('1-DATA'!$1:$1048576,$A469-1,COLUMN('1-DATA'!Y468)),ROUND(INDEX('1-DATA'!$1:$1048576,IF(OR($B470="STD. DEVIATION",$C$1=1),$A470,$A470+1),COLUMN('1-DATA'!Y468)),IF($B470="STD. DEVIATION",2,$F$1))))</f>
        <v/>
      </c>
      <c r="AA470" s="1" t="str">
        <f>IF(OR($B470="",AA$7=""),"",IF($B470="MEANS",INDEX('1-DATA'!$1:$1048576,$A469-1,COLUMN('1-DATA'!Z468)),ROUND(INDEX('1-DATA'!$1:$1048576,IF(OR($B470="STD. DEVIATION",$C$1=1),$A470,$A470+1),COLUMN('1-DATA'!Z468)),IF($B470="STD. DEVIATION",2,$F$1))))</f>
        <v/>
      </c>
      <c r="AB470" s="1" t="str">
        <f>IF(OR($B470="",AB$7=""),"",IF($B470="MEANS",INDEX('1-DATA'!$1:$1048576,$A469-1,COLUMN('1-DATA'!AA468)),ROUND(INDEX('1-DATA'!$1:$1048576,IF(OR($B470="STD. DEVIATION",$C$1=1),$A470,$A470+1),COLUMN('1-DATA'!AA468)),IF($B470="STD. DEVIATION",2,$F$1))))</f>
        <v/>
      </c>
      <c r="AC470" s="1" t="str">
        <f>IF(OR($B470="",AC$7=""),"",IF($B470="MEANS",INDEX('1-DATA'!$1:$1048576,$A469-1,COLUMN('1-DATA'!AB468)),ROUND(INDEX('1-DATA'!$1:$1048576,IF(OR($B470="STD. DEVIATION",$C$1=1),$A470,$A470+1),COLUMN('1-DATA'!AB468)),IF($B470="STD. DEVIATION",2,$F$1))))</f>
        <v/>
      </c>
      <c r="AD470" s="1" t="str">
        <f>IF(OR($B470="",AD$7=""),"",IF($B470="MEANS",INDEX('1-DATA'!$1:$1048576,$A469-1,COLUMN('1-DATA'!AC468)),ROUND(INDEX('1-DATA'!$1:$1048576,IF(OR($B470="STD. DEVIATION",$C$1=1),$A470,$A470+1),COLUMN('1-DATA'!AC468)),IF($B470="STD. DEVIATION",2,$F$1))))</f>
        <v/>
      </c>
      <c r="AE470" s="1" t="str">
        <f>IF(OR($B470="",AE$7=""),"",IF($B470="MEANS",INDEX('1-DATA'!$1:$1048576,$A469-1,COLUMN('1-DATA'!AD468)),ROUND(INDEX('1-DATA'!$1:$1048576,IF(OR($B470="STD. DEVIATION",$C$1=1),$A470,$A470+1),COLUMN('1-DATA'!AD468)),IF($B470="STD. DEVIATION",2,$F$1))))</f>
        <v/>
      </c>
      <c r="AF470" s="1" t="str">
        <f>IF(OR($B470="",AF$7=""),"",IF($B470="MEANS",INDEX('1-DATA'!$1:$1048576,$A469-1,COLUMN('1-DATA'!AE468)),ROUND(INDEX('1-DATA'!$1:$1048576,IF(OR($B470="STD. DEVIATION",$C$1=1),$A470,$A470+1),COLUMN('1-DATA'!AE468)),IF($B470="STD. DEVIATION",2,$F$1))))</f>
        <v/>
      </c>
      <c r="AG470" s="1" t="str">
        <f>IF(OR($B470="",AG$7=""),"",IF($B470="MEANS",INDEX('1-DATA'!$1:$1048576,$A469-1,COLUMN('1-DATA'!AF468)),ROUND(INDEX('1-DATA'!$1:$1048576,IF(OR($B470="STD. DEVIATION",$C$1=1),$A470,$A470+1),COLUMN('1-DATA'!AF468)),IF($B470="STD. DEVIATION",2,$F$1))))</f>
        <v/>
      </c>
      <c r="AH470" s="1" t="str">
        <f>IF(OR($B470="",AH$7=""),"",IF($B470="MEANS",INDEX('1-DATA'!$1:$1048576,$A469-1,COLUMN('1-DATA'!AG468)),ROUND(INDEX('1-DATA'!$1:$1048576,IF(OR($B470="STD. DEVIATION",$C$1=1),$A470,$A470+1),COLUMN('1-DATA'!AG468)),IF($B470="STD. DEVIATION",2,$F$1))))</f>
        <v/>
      </c>
      <c r="AI470" s="1" t="str">
        <f>IF(OR($B470="",AI$7=""),"",IF($B470="MEANS",INDEX('1-DATA'!$1:$1048576,$A469-1,COLUMN('1-DATA'!AH468)),ROUND(INDEX('1-DATA'!$1:$1048576,IF(OR($B470="STD. DEVIATION",$C$1=1),$A470,$A470+1),COLUMN('1-DATA'!AH468)),IF($B470="STD. DEVIATION",2,$F$1))))</f>
        <v/>
      </c>
      <c r="AJ470" s="1" t="str">
        <f>IF(OR($B470="",AJ$7=""),"",IF($B470="MEANS",INDEX('1-DATA'!$1:$1048576,$A469-1,COLUMN('1-DATA'!AI468)),ROUND(INDEX('1-DATA'!$1:$1048576,IF(OR($B470="STD. DEVIATION",$C$1=1),$A470,$A470+1),COLUMN('1-DATA'!AI468)),IF($B470="STD. DEVIATION",2,$F$1))))</f>
        <v/>
      </c>
      <c r="AK470" s="1" t="str">
        <f>IF(OR($B470="",AK$7=""),"",IF($B470="MEANS",INDEX('1-DATA'!$1:$1048576,$A469-1,COLUMN('1-DATA'!AJ468)),ROUND(INDEX('1-DATA'!$1:$1048576,IF(OR($B470="STD. DEVIATION",$C$1=1),$A470,$A470+1),COLUMN('1-DATA'!AJ468)),IF($B470="STD. DEVIATION",2,$F$1))))</f>
        <v/>
      </c>
      <c r="AL470" s="1" t="str">
        <f>IF(OR($B470="",AL$7=""),"",IF($B470="MEANS",INDEX('1-DATA'!$1:$1048576,$A469-1,COLUMN('1-DATA'!AK468)),ROUND(INDEX('1-DATA'!$1:$1048576,IF(OR($B470="STD. DEVIATION",$C$1=1),$A470,$A470+1),COLUMN('1-DATA'!AK468)),IF($B470="STD. DEVIATION",2,$F$1))))</f>
        <v/>
      </c>
      <c r="AM470" s="1" t="str">
        <f>IF(OR($B470="",AM$7=""),"",IF($B470="MEANS",INDEX('1-DATA'!$1:$1048576,$A469-1,COLUMN('1-DATA'!AL468)),ROUND(INDEX('1-DATA'!$1:$1048576,IF(OR($B470="STD. DEVIATION",$C$1=1),$A470,$A470+1),COLUMN('1-DATA'!AL468)),IF($B470="STD. DEVIATION",2,$F$1))))</f>
        <v/>
      </c>
      <c r="AN470" s="1" t="str">
        <f>IF(OR($B470="",AN$7=""),"",IF($B470="MEANS",INDEX('1-DATA'!$1:$1048576,$A469-1,COLUMN('1-DATA'!AM468)),ROUND(INDEX('1-DATA'!$1:$1048576,IF(OR($B470="STD. DEVIATION",$C$1=1),$A470,$A470+1),COLUMN('1-DATA'!AM468)),IF($B470="STD. DEVIATION",2,$F$1))))</f>
        <v/>
      </c>
      <c r="AO470" s="1" t="str">
        <f>IF(OR($B470="",AO$7=""),"",IF($B470="MEANS",INDEX('1-DATA'!$1:$1048576,$A469-1,COLUMN('1-DATA'!AN468)),ROUND(INDEX('1-DATA'!$1:$1048576,IF(OR($B470="STD. DEVIATION",$C$1=1),$A470,$A470+1),COLUMN('1-DATA'!AN468)),IF($B470="STD. DEVIATION",2,$F$1))))</f>
        <v/>
      </c>
      <c r="AP470" s="1" t="str">
        <f>IF(OR($B470="",AP$7=""),"",IF($B470="MEANS",INDEX('1-DATA'!$1:$1048576,$A469-1,COLUMN('1-DATA'!AO468)),ROUND(INDEX('1-DATA'!$1:$1048576,IF(OR($B470="STD. DEVIATION",$C$1=1),$A470,$A470+1),COLUMN('1-DATA'!AO468)),IF($B470="STD. DEVIATION",2,$F$1))))</f>
        <v/>
      </c>
      <c r="AQ470" s="1" t="str">
        <f>IF(OR($B470="",AQ$7=""),"",IF($B470="MEANS",INDEX('1-DATA'!$1:$1048576,$A469-1,COLUMN('1-DATA'!AP468)),ROUND(INDEX('1-DATA'!$1:$1048576,IF(OR($B470="STD. DEVIATION",$C$1=1),$A470,$A470+1),COLUMN('1-DATA'!AP468)),IF($B470="STD. DEVIATION",2,$F$1))))</f>
        <v/>
      </c>
      <c r="AR470" s="1" t="str">
        <f>IF(OR($B470="",AR$7=""),"",IF($B470="MEANS",INDEX('1-DATA'!$1:$1048576,$A469-1,COLUMN('1-DATA'!AQ468)),ROUND(INDEX('1-DATA'!$1:$1048576,IF(OR($B470="STD. DEVIATION",$C$1=1),$A470,$A470+1),COLUMN('1-DATA'!AQ468)),IF($B470="STD. DEVIATION",2,$F$1))))</f>
        <v/>
      </c>
      <c r="AS470" s="1" t="str">
        <f>IF(OR($B470="",AS$7=""),"",IF($B470="MEANS",INDEX('1-DATA'!$1:$1048576,$A469-1,COLUMN('1-DATA'!AR468)),ROUND(INDEX('1-DATA'!$1:$1048576,IF(OR($B470="STD. DEVIATION",$C$1=1),$A470,$A470+1),COLUMN('1-DATA'!AR468)),IF($B470="STD. DEVIATION",2,$F$1))))</f>
        <v/>
      </c>
      <c r="AT470" s="1" t="str">
        <f>IF(OR($B470="",AT$7=""),"",IF($B470="MEANS",INDEX('1-DATA'!$1:$1048576,$A469-1,COLUMN('1-DATA'!AS468)),ROUND(INDEX('1-DATA'!$1:$1048576,IF(OR($B470="STD. DEVIATION",$C$1=1),$A470,$A470+1),COLUMN('1-DATA'!AS468)),IF($B470="STD. DEVIATION",2,$F$1))))</f>
        <v/>
      </c>
      <c r="AU470" s="1" t="str">
        <f>IF(OR($B470="",AU$7=""),"",IF($B470="MEANS",INDEX('1-DATA'!$1:$1048576,$A469-1,COLUMN('1-DATA'!AT468)),ROUND(INDEX('1-DATA'!$1:$1048576,IF(OR($B470="STD. DEVIATION",$C$1=1),$A470,$A470+1),COLUMN('1-DATA'!AT468)),IF($B470="STD. DEVIATION",2,$F$1))))</f>
        <v/>
      </c>
      <c r="AV470" s="1" t="str">
        <f>IF(OR($B470="",AV$7=""),"",IF($B470="MEANS",INDEX('1-DATA'!$1:$1048576,$A469-1,COLUMN('1-DATA'!AU468)),ROUND(INDEX('1-DATA'!$1:$1048576,IF(OR($B470="STD. DEVIATION",$C$1=1),$A470,$A470+1),COLUMN('1-DATA'!AU468)),IF($B470="STD. DEVIATION",2,$F$1))))</f>
        <v/>
      </c>
      <c r="AW470" s="1" t="str">
        <f>IF(OR($B470="",AW$7=""),"",IF($B470="MEANS",INDEX('1-DATA'!$1:$1048576,$A469-1,COLUMN('1-DATA'!AV468)),ROUND(INDEX('1-DATA'!$1:$1048576,IF(OR($B470="STD. DEVIATION",$C$1=1),$A470,$A470+1),COLUMN('1-DATA'!AV468)),IF($B470="STD. DEVIATION",2,$F$1))))</f>
        <v/>
      </c>
      <c r="AX470" s="1" t="str">
        <f>IF(OR($B470="",AX$7=""),"",IF($B470="MEANS",INDEX('1-DATA'!$1:$1048576,$A469-1,COLUMN('1-DATA'!AW468)),ROUND(INDEX('1-DATA'!$1:$1048576,IF(OR($B470="STD. DEVIATION",$C$1=1),$A470,$A470+1),COLUMN('1-DATA'!AW468)),IF($B470="STD. DEVIATION",2,$F$1))))</f>
        <v/>
      </c>
      <c r="AY470" s="1" t="str">
        <f>IF(OR($B470="",AY$7=""),"",IF($B470="MEANS",INDEX('1-DATA'!$1:$1048576,$A469-1,COLUMN('1-DATA'!AX468)),ROUND(INDEX('1-DATA'!$1:$1048576,IF(OR($B470="STD. DEVIATION",$C$1=1),$A470,$A470+1),COLUMN('1-DATA'!AX468)),IF($B470="STD. DEVIATION",2,$F$1))))</f>
        <v/>
      </c>
      <c r="AZ470" s="1" t="str">
        <f>IF(OR($B470="",AZ$7=""),"",IF($B470="MEANS",INDEX('1-DATA'!$1:$1048576,$A469-1,COLUMN('1-DATA'!AY468)),ROUND(INDEX('1-DATA'!$1:$1048576,IF(OR($B470="STD. DEVIATION",$C$1=1),$A470,$A470+1),COLUMN('1-DATA'!AY468)),IF($B470="STD. DEVIATION",2,$F$1))))</f>
        <v/>
      </c>
    </row>
    <row r="471" spans="1:52" x14ac:dyDescent="0.25">
      <c r="A471" s="11">
        <f t="shared" si="7"/>
        <v>1399</v>
      </c>
      <c r="B471" s="1" t="str">
        <f>IF(B470="STD. DEVIATION",INDEX('1-DATA'!$1:$1048576,$A470-1,1),IF(INDEX('1-DATA'!$1:$1048576,$A471,1)&lt;&gt;"",INDEX('1-DATA'!$1:$1048576,$A471,1),""))</f>
        <v/>
      </c>
      <c r="C471" s="1" t="str">
        <f>IF(OR($B471="",C$7=""),"",IF($B471="MEANS",INDEX('1-DATA'!$1:$1048576,$A470-1,COLUMN('1-DATA'!B469)),ROUND(INDEX('1-DATA'!$1:$1048576,IF(OR($B471="STD. DEVIATION",$C$1=1),$A471,$A471+1),COLUMN('1-DATA'!B469)),IF($B471="STD. DEVIATION",2,$F$1))))</f>
        <v/>
      </c>
      <c r="D471" s="1" t="str">
        <f>IF(OR($B471="",D$7=""),"",IF($B471="MEANS",INDEX('1-DATA'!$1:$1048576,$A470-1,COLUMN('1-DATA'!C469)),ROUND(INDEX('1-DATA'!$1:$1048576,IF(OR($B471="STD. DEVIATION",$C$1=1),$A471,$A471+1),COLUMN('1-DATA'!C469)),IF($B471="STD. DEVIATION",2,$F$1))))</f>
        <v/>
      </c>
      <c r="E471" s="1" t="str">
        <f>IF(OR($B471="",E$7=""),"",IF($B471="MEANS",INDEX('1-DATA'!$1:$1048576,$A470-1,COLUMN('1-DATA'!D469)),ROUND(INDEX('1-DATA'!$1:$1048576,IF(OR($B471="STD. DEVIATION",$C$1=1),$A471,$A471+1),COLUMN('1-DATA'!D469)),IF($B471="STD. DEVIATION",2,$F$1))))</f>
        <v/>
      </c>
      <c r="F471" s="1" t="str">
        <f>IF(OR($B471="",F$7=""),"",IF($B471="MEANS",INDEX('1-DATA'!$1:$1048576,$A470-1,COLUMN('1-DATA'!E469)),ROUND(INDEX('1-DATA'!$1:$1048576,IF(OR($B471="STD. DEVIATION",$C$1=1),$A471,$A471+1),COLUMN('1-DATA'!E469)),IF($B471="STD. DEVIATION",2,$F$1))))</f>
        <v/>
      </c>
      <c r="G471" s="1" t="str">
        <f>IF(OR($B471="",G$7=""),"",IF($B471="MEANS",INDEX('1-DATA'!$1:$1048576,$A470-1,COLUMN('1-DATA'!F469)),ROUND(INDEX('1-DATA'!$1:$1048576,IF(OR($B471="STD. DEVIATION",$C$1=1),$A471,$A471+1),COLUMN('1-DATA'!F469)),IF($B471="STD. DEVIATION",2,$F$1))))</f>
        <v/>
      </c>
      <c r="H471" s="1" t="str">
        <f>IF(OR($B471="",H$7=""),"",IF($B471="MEANS",INDEX('1-DATA'!$1:$1048576,$A470-1,COLUMN('1-DATA'!G469)),ROUND(INDEX('1-DATA'!$1:$1048576,IF(OR($B471="STD. DEVIATION",$C$1=1),$A471,$A471+1),COLUMN('1-DATA'!G469)),IF($B471="STD. DEVIATION",2,$F$1))))</f>
        <v/>
      </c>
      <c r="I471" s="1" t="str">
        <f>IF(OR($B471="",I$7=""),"",IF($B471="MEANS",INDEX('1-DATA'!$1:$1048576,$A470-1,COLUMN('1-DATA'!H469)),ROUND(INDEX('1-DATA'!$1:$1048576,IF(OR($B471="STD. DEVIATION",$C$1=1),$A471,$A471+1),COLUMN('1-DATA'!H469)),IF($B471="STD. DEVIATION",2,$F$1))))</f>
        <v/>
      </c>
      <c r="J471" s="1" t="str">
        <f>IF(OR($B471="",J$7=""),"",IF($B471="MEANS",INDEX('1-DATA'!$1:$1048576,$A470-1,COLUMN('1-DATA'!I469)),ROUND(INDEX('1-DATA'!$1:$1048576,IF(OR($B471="STD. DEVIATION",$C$1=1),$A471,$A471+1),COLUMN('1-DATA'!I469)),IF($B471="STD. DEVIATION",2,$F$1))))</f>
        <v/>
      </c>
      <c r="K471" s="1" t="str">
        <f>IF(OR($B471="",K$7=""),"",IF($B471="MEANS",INDEX('1-DATA'!$1:$1048576,$A470-1,COLUMN('1-DATA'!J469)),ROUND(INDEX('1-DATA'!$1:$1048576,IF(OR($B471="STD. DEVIATION",$C$1=1),$A471,$A471+1),COLUMN('1-DATA'!J469)),IF($B471="STD. DEVIATION",2,$F$1))))</f>
        <v/>
      </c>
      <c r="L471" s="1" t="str">
        <f>IF(OR($B471="",L$7=""),"",IF($B471="MEANS",INDEX('1-DATA'!$1:$1048576,$A470-1,COLUMN('1-DATA'!K469)),ROUND(INDEX('1-DATA'!$1:$1048576,IF(OR($B471="STD. DEVIATION",$C$1=1),$A471,$A471+1),COLUMN('1-DATA'!K469)),IF($B471="STD. DEVIATION",2,$F$1))))</f>
        <v/>
      </c>
      <c r="M471" s="1" t="str">
        <f>IF(OR($B471="",M$7=""),"",IF($B471="MEANS",INDEX('1-DATA'!$1:$1048576,$A470-1,COLUMN('1-DATA'!L469)),ROUND(INDEX('1-DATA'!$1:$1048576,IF(OR($B471="STD. DEVIATION",$C$1=1),$A471,$A471+1),COLUMN('1-DATA'!L469)),IF($B471="STD. DEVIATION",2,$F$1))))</f>
        <v/>
      </c>
      <c r="N471" s="1" t="str">
        <f>IF(OR($B471="",N$7=""),"",IF($B471="MEANS",INDEX('1-DATA'!$1:$1048576,$A470-1,COLUMN('1-DATA'!M469)),ROUND(INDEX('1-DATA'!$1:$1048576,IF(OR($B471="STD. DEVIATION",$C$1=1),$A471,$A471+1),COLUMN('1-DATA'!M469)),IF($B471="STD. DEVIATION",2,$F$1))))</f>
        <v/>
      </c>
      <c r="O471" s="1" t="str">
        <f>IF(OR($B471="",O$7=""),"",IF($B471="MEANS",INDEX('1-DATA'!$1:$1048576,$A470-1,COLUMN('1-DATA'!N469)),ROUND(INDEX('1-DATA'!$1:$1048576,IF(OR($B471="STD. DEVIATION",$C$1=1),$A471,$A471+1),COLUMN('1-DATA'!N469)),IF($B471="STD. DEVIATION",2,$F$1))))</f>
        <v/>
      </c>
      <c r="P471" s="1" t="str">
        <f>IF(OR($B471="",P$7=""),"",IF($B471="MEANS",INDEX('1-DATA'!$1:$1048576,$A470-1,COLUMN('1-DATA'!O469)),ROUND(INDEX('1-DATA'!$1:$1048576,IF(OR($B471="STD. DEVIATION",$C$1=1),$A471,$A471+1),COLUMN('1-DATA'!O469)),IF($B471="STD. DEVIATION",2,$F$1))))</f>
        <v/>
      </c>
      <c r="Q471" s="1" t="str">
        <f>IF(OR($B471="",Q$7=""),"",IF($B471="MEANS",INDEX('1-DATA'!$1:$1048576,$A470-1,COLUMN('1-DATA'!P469)),ROUND(INDEX('1-DATA'!$1:$1048576,IF(OR($B471="STD. DEVIATION",$C$1=1),$A471,$A471+1),COLUMN('1-DATA'!P469)),IF($B471="STD. DEVIATION",2,$F$1))))</f>
        <v/>
      </c>
      <c r="R471" s="1" t="str">
        <f>IF(OR($B471="",R$7=""),"",IF($B471="MEANS",INDEX('1-DATA'!$1:$1048576,$A470-1,COLUMN('1-DATA'!Q469)),ROUND(INDEX('1-DATA'!$1:$1048576,IF(OR($B471="STD. DEVIATION",$C$1=1),$A471,$A471+1),COLUMN('1-DATA'!Q469)),IF($B471="STD. DEVIATION",2,$F$1))))</f>
        <v/>
      </c>
      <c r="S471" s="1" t="str">
        <f>IF(OR($B471="",S$7=""),"",IF($B471="MEANS",INDEX('1-DATA'!$1:$1048576,$A470-1,COLUMN('1-DATA'!R469)),ROUND(INDEX('1-DATA'!$1:$1048576,IF(OR($B471="STD. DEVIATION",$C$1=1),$A471,$A471+1),COLUMN('1-DATA'!R469)),IF($B471="STD. DEVIATION",2,$F$1))))</f>
        <v/>
      </c>
      <c r="T471" s="1" t="str">
        <f>IF(OR($B471="",T$7=""),"",IF($B471="MEANS",INDEX('1-DATA'!$1:$1048576,$A470-1,COLUMN('1-DATA'!S469)),ROUND(INDEX('1-DATA'!$1:$1048576,IF(OR($B471="STD. DEVIATION",$C$1=1),$A471,$A471+1),COLUMN('1-DATA'!S469)),IF($B471="STD. DEVIATION",2,$F$1))))</f>
        <v/>
      </c>
      <c r="U471" s="1" t="str">
        <f>IF(OR($B471="",U$7=""),"",IF($B471="MEANS",INDEX('1-DATA'!$1:$1048576,$A470-1,COLUMN('1-DATA'!T469)),ROUND(INDEX('1-DATA'!$1:$1048576,IF(OR($B471="STD. DEVIATION",$C$1=1),$A471,$A471+1),COLUMN('1-DATA'!T469)),IF($B471="STD. DEVIATION",2,$F$1))))</f>
        <v/>
      </c>
      <c r="V471" s="1" t="str">
        <f>IF(OR($B471="",V$7=""),"",IF($B471="MEANS",INDEX('1-DATA'!$1:$1048576,$A470-1,COLUMN('1-DATA'!U469)),ROUND(INDEX('1-DATA'!$1:$1048576,IF(OR($B471="STD. DEVIATION",$C$1=1),$A471,$A471+1),COLUMN('1-DATA'!U469)),IF($B471="STD. DEVIATION",2,$F$1))))</f>
        <v/>
      </c>
      <c r="W471" s="1" t="str">
        <f>IF(OR($B471="",W$7=""),"",IF($B471="MEANS",INDEX('1-DATA'!$1:$1048576,$A470-1,COLUMN('1-DATA'!V469)),ROUND(INDEX('1-DATA'!$1:$1048576,IF(OR($B471="STD. DEVIATION",$C$1=1),$A471,$A471+1),COLUMN('1-DATA'!V469)),IF($B471="STD. DEVIATION",2,$F$1))))</f>
        <v/>
      </c>
      <c r="X471" s="1" t="str">
        <f>IF(OR($B471="",X$7=""),"",IF($B471="MEANS",INDEX('1-DATA'!$1:$1048576,$A470-1,COLUMN('1-DATA'!W469)),ROUND(INDEX('1-DATA'!$1:$1048576,IF(OR($B471="STD. DEVIATION",$C$1=1),$A471,$A471+1),COLUMN('1-DATA'!W469)),IF($B471="STD. DEVIATION",2,$F$1))))</f>
        <v/>
      </c>
      <c r="Y471" s="1" t="str">
        <f>IF(OR($B471="",Y$7=""),"",IF($B471="MEANS",INDEX('1-DATA'!$1:$1048576,$A470-1,COLUMN('1-DATA'!X469)),ROUND(INDEX('1-DATA'!$1:$1048576,IF(OR($B471="STD. DEVIATION",$C$1=1),$A471,$A471+1),COLUMN('1-DATA'!X469)),IF($B471="STD. DEVIATION",2,$F$1))))</f>
        <v/>
      </c>
      <c r="Z471" s="1" t="str">
        <f>IF(OR($B471="",Z$7=""),"",IF($B471="MEANS",INDEX('1-DATA'!$1:$1048576,$A470-1,COLUMN('1-DATA'!Y469)),ROUND(INDEX('1-DATA'!$1:$1048576,IF(OR($B471="STD. DEVIATION",$C$1=1),$A471,$A471+1),COLUMN('1-DATA'!Y469)),IF($B471="STD. DEVIATION",2,$F$1))))</f>
        <v/>
      </c>
      <c r="AA471" s="1" t="str">
        <f>IF(OR($B471="",AA$7=""),"",IF($B471="MEANS",INDEX('1-DATA'!$1:$1048576,$A470-1,COLUMN('1-DATA'!Z469)),ROUND(INDEX('1-DATA'!$1:$1048576,IF(OR($B471="STD. DEVIATION",$C$1=1),$A471,$A471+1),COLUMN('1-DATA'!Z469)),IF($B471="STD. DEVIATION",2,$F$1))))</f>
        <v/>
      </c>
      <c r="AB471" s="1" t="str">
        <f>IF(OR($B471="",AB$7=""),"",IF($B471="MEANS",INDEX('1-DATA'!$1:$1048576,$A470-1,COLUMN('1-DATA'!AA469)),ROUND(INDEX('1-DATA'!$1:$1048576,IF(OR($B471="STD. DEVIATION",$C$1=1),$A471,$A471+1),COLUMN('1-DATA'!AA469)),IF($B471="STD. DEVIATION",2,$F$1))))</f>
        <v/>
      </c>
      <c r="AC471" s="1" t="str">
        <f>IF(OR($B471="",AC$7=""),"",IF($B471="MEANS",INDEX('1-DATA'!$1:$1048576,$A470-1,COLUMN('1-DATA'!AB469)),ROUND(INDEX('1-DATA'!$1:$1048576,IF(OR($B471="STD. DEVIATION",$C$1=1),$A471,$A471+1),COLUMN('1-DATA'!AB469)),IF($B471="STD. DEVIATION",2,$F$1))))</f>
        <v/>
      </c>
      <c r="AD471" s="1" t="str">
        <f>IF(OR($B471="",AD$7=""),"",IF($B471="MEANS",INDEX('1-DATA'!$1:$1048576,$A470-1,COLUMN('1-DATA'!AC469)),ROUND(INDEX('1-DATA'!$1:$1048576,IF(OR($B471="STD. DEVIATION",$C$1=1),$A471,$A471+1),COLUMN('1-DATA'!AC469)),IF($B471="STD. DEVIATION",2,$F$1))))</f>
        <v/>
      </c>
      <c r="AE471" s="1" t="str">
        <f>IF(OR($B471="",AE$7=""),"",IF($B471="MEANS",INDEX('1-DATA'!$1:$1048576,$A470-1,COLUMN('1-DATA'!AD469)),ROUND(INDEX('1-DATA'!$1:$1048576,IF(OR($B471="STD. DEVIATION",$C$1=1),$A471,$A471+1),COLUMN('1-DATA'!AD469)),IF($B471="STD. DEVIATION",2,$F$1))))</f>
        <v/>
      </c>
      <c r="AF471" s="1" t="str">
        <f>IF(OR($B471="",AF$7=""),"",IF($B471="MEANS",INDEX('1-DATA'!$1:$1048576,$A470-1,COLUMN('1-DATA'!AE469)),ROUND(INDEX('1-DATA'!$1:$1048576,IF(OR($B471="STD. DEVIATION",$C$1=1),$A471,$A471+1),COLUMN('1-DATA'!AE469)),IF($B471="STD. DEVIATION",2,$F$1))))</f>
        <v/>
      </c>
      <c r="AG471" s="1" t="str">
        <f>IF(OR($B471="",AG$7=""),"",IF($B471="MEANS",INDEX('1-DATA'!$1:$1048576,$A470-1,COLUMN('1-DATA'!AF469)),ROUND(INDEX('1-DATA'!$1:$1048576,IF(OR($B471="STD. DEVIATION",$C$1=1),$A471,$A471+1),COLUMN('1-DATA'!AF469)),IF($B471="STD. DEVIATION",2,$F$1))))</f>
        <v/>
      </c>
      <c r="AH471" s="1" t="str">
        <f>IF(OR($B471="",AH$7=""),"",IF($B471="MEANS",INDEX('1-DATA'!$1:$1048576,$A470-1,COLUMN('1-DATA'!AG469)),ROUND(INDEX('1-DATA'!$1:$1048576,IF(OR($B471="STD. DEVIATION",$C$1=1),$A471,$A471+1),COLUMN('1-DATA'!AG469)),IF($B471="STD. DEVIATION",2,$F$1))))</f>
        <v/>
      </c>
      <c r="AI471" s="1" t="str">
        <f>IF(OR($B471="",AI$7=""),"",IF($B471="MEANS",INDEX('1-DATA'!$1:$1048576,$A470-1,COLUMN('1-DATA'!AH469)),ROUND(INDEX('1-DATA'!$1:$1048576,IF(OR($B471="STD. DEVIATION",$C$1=1),$A471,$A471+1),COLUMN('1-DATA'!AH469)),IF($B471="STD. DEVIATION",2,$F$1))))</f>
        <v/>
      </c>
      <c r="AJ471" s="1" t="str">
        <f>IF(OR($B471="",AJ$7=""),"",IF($B471="MEANS",INDEX('1-DATA'!$1:$1048576,$A470-1,COLUMN('1-DATA'!AI469)),ROUND(INDEX('1-DATA'!$1:$1048576,IF(OR($B471="STD. DEVIATION",$C$1=1),$A471,$A471+1),COLUMN('1-DATA'!AI469)),IF($B471="STD. DEVIATION",2,$F$1))))</f>
        <v/>
      </c>
      <c r="AK471" s="1" t="str">
        <f>IF(OR($B471="",AK$7=""),"",IF($B471="MEANS",INDEX('1-DATA'!$1:$1048576,$A470-1,COLUMN('1-DATA'!AJ469)),ROUND(INDEX('1-DATA'!$1:$1048576,IF(OR($B471="STD. DEVIATION",$C$1=1),$A471,$A471+1),COLUMN('1-DATA'!AJ469)),IF($B471="STD. DEVIATION",2,$F$1))))</f>
        <v/>
      </c>
      <c r="AL471" s="1" t="str">
        <f>IF(OR($B471="",AL$7=""),"",IF($B471="MEANS",INDEX('1-DATA'!$1:$1048576,$A470-1,COLUMN('1-DATA'!AK469)),ROUND(INDEX('1-DATA'!$1:$1048576,IF(OR($B471="STD. DEVIATION",$C$1=1),$A471,$A471+1),COLUMN('1-DATA'!AK469)),IF($B471="STD. DEVIATION",2,$F$1))))</f>
        <v/>
      </c>
      <c r="AM471" s="1" t="str">
        <f>IF(OR($B471="",AM$7=""),"",IF($B471="MEANS",INDEX('1-DATA'!$1:$1048576,$A470-1,COLUMN('1-DATA'!AL469)),ROUND(INDEX('1-DATA'!$1:$1048576,IF(OR($B471="STD. DEVIATION",$C$1=1),$A471,$A471+1),COLUMN('1-DATA'!AL469)),IF($B471="STD. DEVIATION",2,$F$1))))</f>
        <v/>
      </c>
      <c r="AN471" s="1" t="str">
        <f>IF(OR($B471="",AN$7=""),"",IF($B471="MEANS",INDEX('1-DATA'!$1:$1048576,$A470-1,COLUMN('1-DATA'!AM469)),ROUND(INDEX('1-DATA'!$1:$1048576,IF(OR($B471="STD. DEVIATION",$C$1=1),$A471,$A471+1),COLUMN('1-DATA'!AM469)),IF($B471="STD. DEVIATION",2,$F$1))))</f>
        <v/>
      </c>
      <c r="AO471" s="1" t="str">
        <f>IF(OR($B471="",AO$7=""),"",IF($B471="MEANS",INDEX('1-DATA'!$1:$1048576,$A470-1,COLUMN('1-DATA'!AN469)),ROUND(INDEX('1-DATA'!$1:$1048576,IF(OR($B471="STD. DEVIATION",$C$1=1),$A471,$A471+1),COLUMN('1-DATA'!AN469)),IF($B471="STD. DEVIATION",2,$F$1))))</f>
        <v/>
      </c>
      <c r="AP471" s="1" t="str">
        <f>IF(OR($B471="",AP$7=""),"",IF($B471="MEANS",INDEX('1-DATA'!$1:$1048576,$A470-1,COLUMN('1-DATA'!AO469)),ROUND(INDEX('1-DATA'!$1:$1048576,IF(OR($B471="STD. DEVIATION",$C$1=1),$A471,$A471+1),COLUMN('1-DATA'!AO469)),IF($B471="STD. DEVIATION",2,$F$1))))</f>
        <v/>
      </c>
      <c r="AQ471" s="1" t="str">
        <f>IF(OR($B471="",AQ$7=""),"",IF($B471="MEANS",INDEX('1-DATA'!$1:$1048576,$A470-1,COLUMN('1-DATA'!AP469)),ROUND(INDEX('1-DATA'!$1:$1048576,IF(OR($B471="STD. DEVIATION",$C$1=1),$A471,$A471+1),COLUMN('1-DATA'!AP469)),IF($B471="STD. DEVIATION",2,$F$1))))</f>
        <v/>
      </c>
      <c r="AR471" s="1" t="str">
        <f>IF(OR($B471="",AR$7=""),"",IF($B471="MEANS",INDEX('1-DATA'!$1:$1048576,$A470-1,COLUMN('1-DATA'!AQ469)),ROUND(INDEX('1-DATA'!$1:$1048576,IF(OR($B471="STD. DEVIATION",$C$1=1),$A471,$A471+1),COLUMN('1-DATA'!AQ469)),IF($B471="STD. DEVIATION",2,$F$1))))</f>
        <v/>
      </c>
      <c r="AS471" s="1" t="str">
        <f>IF(OR($B471="",AS$7=""),"",IF($B471="MEANS",INDEX('1-DATA'!$1:$1048576,$A470-1,COLUMN('1-DATA'!AR469)),ROUND(INDEX('1-DATA'!$1:$1048576,IF(OR($B471="STD. DEVIATION",$C$1=1),$A471,$A471+1),COLUMN('1-DATA'!AR469)),IF($B471="STD. DEVIATION",2,$F$1))))</f>
        <v/>
      </c>
      <c r="AT471" s="1" t="str">
        <f>IF(OR($B471="",AT$7=""),"",IF($B471="MEANS",INDEX('1-DATA'!$1:$1048576,$A470-1,COLUMN('1-DATA'!AS469)),ROUND(INDEX('1-DATA'!$1:$1048576,IF(OR($B471="STD. DEVIATION",$C$1=1),$A471,$A471+1),COLUMN('1-DATA'!AS469)),IF($B471="STD. DEVIATION",2,$F$1))))</f>
        <v/>
      </c>
      <c r="AU471" s="1" t="str">
        <f>IF(OR($B471="",AU$7=""),"",IF($B471="MEANS",INDEX('1-DATA'!$1:$1048576,$A470-1,COLUMN('1-DATA'!AT469)),ROUND(INDEX('1-DATA'!$1:$1048576,IF(OR($B471="STD. DEVIATION",$C$1=1),$A471,$A471+1),COLUMN('1-DATA'!AT469)),IF($B471="STD. DEVIATION",2,$F$1))))</f>
        <v/>
      </c>
      <c r="AV471" s="1" t="str">
        <f>IF(OR($B471="",AV$7=""),"",IF($B471="MEANS",INDEX('1-DATA'!$1:$1048576,$A470-1,COLUMN('1-DATA'!AU469)),ROUND(INDEX('1-DATA'!$1:$1048576,IF(OR($B471="STD. DEVIATION",$C$1=1),$A471,$A471+1),COLUMN('1-DATA'!AU469)),IF($B471="STD. DEVIATION",2,$F$1))))</f>
        <v/>
      </c>
      <c r="AW471" s="1" t="str">
        <f>IF(OR($B471="",AW$7=""),"",IF($B471="MEANS",INDEX('1-DATA'!$1:$1048576,$A470-1,COLUMN('1-DATA'!AV469)),ROUND(INDEX('1-DATA'!$1:$1048576,IF(OR($B471="STD. DEVIATION",$C$1=1),$A471,$A471+1),COLUMN('1-DATA'!AV469)),IF($B471="STD. DEVIATION",2,$F$1))))</f>
        <v/>
      </c>
      <c r="AX471" s="1" t="str">
        <f>IF(OR($B471="",AX$7=""),"",IF($B471="MEANS",INDEX('1-DATA'!$1:$1048576,$A470-1,COLUMN('1-DATA'!AW469)),ROUND(INDEX('1-DATA'!$1:$1048576,IF(OR($B471="STD. DEVIATION",$C$1=1),$A471,$A471+1),COLUMN('1-DATA'!AW469)),IF($B471="STD. DEVIATION",2,$F$1))))</f>
        <v/>
      </c>
      <c r="AY471" s="1" t="str">
        <f>IF(OR($B471="",AY$7=""),"",IF($B471="MEANS",INDEX('1-DATA'!$1:$1048576,$A470-1,COLUMN('1-DATA'!AX469)),ROUND(INDEX('1-DATA'!$1:$1048576,IF(OR($B471="STD. DEVIATION",$C$1=1),$A471,$A471+1),COLUMN('1-DATA'!AX469)),IF($B471="STD. DEVIATION",2,$F$1))))</f>
        <v/>
      </c>
      <c r="AZ471" s="1" t="str">
        <f>IF(OR($B471="",AZ$7=""),"",IF($B471="MEANS",INDEX('1-DATA'!$1:$1048576,$A470-1,COLUMN('1-DATA'!AY469)),ROUND(INDEX('1-DATA'!$1:$1048576,IF(OR($B471="STD. DEVIATION",$C$1=1),$A471,$A471+1),COLUMN('1-DATA'!AY469)),IF($B471="STD. DEVIATION",2,$F$1))))</f>
        <v/>
      </c>
    </row>
    <row r="472" spans="1:52" x14ac:dyDescent="0.25">
      <c r="A472" s="11">
        <f t="shared" si="7"/>
        <v>1402</v>
      </c>
      <c r="B472" s="1" t="str">
        <f>IF(B471="STD. DEVIATION",INDEX('1-DATA'!$1:$1048576,$A471-1,1),IF(INDEX('1-DATA'!$1:$1048576,$A472,1)&lt;&gt;"",INDEX('1-DATA'!$1:$1048576,$A472,1),""))</f>
        <v/>
      </c>
      <c r="C472" s="1" t="str">
        <f>IF(OR($B472="",C$7=""),"",IF($B472="MEANS",INDEX('1-DATA'!$1:$1048576,$A471-1,COLUMN('1-DATA'!B470)),ROUND(INDEX('1-DATA'!$1:$1048576,IF(OR($B472="STD. DEVIATION",$C$1=1),$A472,$A472+1),COLUMN('1-DATA'!B470)),IF($B472="STD. DEVIATION",2,$F$1))))</f>
        <v/>
      </c>
      <c r="D472" s="1" t="str">
        <f>IF(OR($B472="",D$7=""),"",IF($B472="MEANS",INDEX('1-DATA'!$1:$1048576,$A471-1,COLUMN('1-DATA'!C470)),ROUND(INDEX('1-DATA'!$1:$1048576,IF(OR($B472="STD. DEVIATION",$C$1=1),$A472,$A472+1),COLUMN('1-DATA'!C470)),IF($B472="STD. DEVIATION",2,$F$1))))</f>
        <v/>
      </c>
      <c r="E472" s="1" t="str">
        <f>IF(OR($B472="",E$7=""),"",IF($B472="MEANS",INDEX('1-DATA'!$1:$1048576,$A471-1,COLUMN('1-DATA'!D470)),ROUND(INDEX('1-DATA'!$1:$1048576,IF(OR($B472="STD. DEVIATION",$C$1=1),$A472,$A472+1),COLUMN('1-DATA'!D470)),IF($B472="STD. DEVIATION",2,$F$1))))</f>
        <v/>
      </c>
      <c r="F472" s="1" t="str">
        <f>IF(OR($B472="",F$7=""),"",IF($B472="MEANS",INDEX('1-DATA'!$1:$1048576,$A471-1,COLUMN('1-DATA'!E470)),ROUND(INDEX('1-DATA'!$1:$1048576,IF(OR($B472="STD. DEVIATION",$C$1=1),$A472,$A472+1),COLUMN('1-DATA'!E470)),IF($B472="STD. DEVIATION",2,$F$1))))</f>
        <v/>
      </c>
      <c r="G472" s="1" t="str">
        <f>IF(OR($B472="",G$7=""),"",IF($B472="MEANS",INDEX('1-DATA'!$1:$1048576,$A471-1,COLUMN('1-DATA'!F470)),ROUND(INDEX('1-DATA'!$1:$1048576,IF(OR($B472="STD. DEVIATION",$C$1=1),$A472,$A472+1),COLUMN('1-DATA'!F470)),IF($B472="STD. DEVIATION",2,$F$1))))</f>
        <v/>
      </c>
      <c r="H472" s="1" t="str">
        <f>IF(OR($B472="",H$7=""),"",IF($B472="MEANS",INDEX('1-DATA'!$1:$1048576,$A471-1,COLUMN('1-DATA'!G470)),ROUND(INDEX('1-DATA'!$1:$1048576,IF(OR($B472="STD. DEVIATION",$C$1=1),$A472,$A472+1),COLUMN('1-DATA'!G470)),IF($B472="STD. DEVIATION",2,$F$1))))</f>
        <v/>
      </c>
      <c r="I472" s="1" t="str">
        <f>IF(OR($B472="",I$7=""),"",IF($B472="MEANS",INDEX('1-DATA'!$1:$1048576,$A471-1,COLUMN('1-DATA'!H470)),ROUND(INDEX('1-DATA'!$1:$1048576,IF(OR($B472="STD. DEVIATION",$C$1=1),$A472,$A472+1),COLUMN('1-DATA'!H470)),IF($B472="STD. DEVIATION",2,$F$1))))</f>
        <v/>
      </c>
      <c r="J472" s="1" t="str">
        <f>IF(OR($B472="",J$7=""),"",IF($B472="MEANS",INDEX('1-DATA'!$1:$1048576,$A471-1,COLUMN('1-DATA'!I470)),ROUND(INDEX('1-DATA'!$1:$1048576,IF(OR($B472="STD. DEVIATION",$C$1=1),$A472,$A472+1),COLUMN('1-DATA'!I470)),IF($B472="STD. DEVIATION",2,$F$1))))</f>
        <v/>
      </c>
      <c r="K472" s="1" t="str">
        <f>IF(OR($B472="",K$7=""),"",IF($B472="MEANS",INDEX('1-DATA'!$1:$1048576,$A471-1,COLUMN('1-DATA'!J470)),ROUND(INDEX('1-DATA'!$1:$1048576,IF(OR($B472="STD. DEVIATION",$C$1=1),$A472,$A472+1),COLUMN('1-DATA'!J470)),IF($B472="STD. DEVIATION",2,$F$1))))</f>
        <v/>
      </c>
      <c r="L472" s="1" t="str">
        <f>IF(OR($B472="",L$7=""),"",IF($B472="MEANS",INDEX('1-DATA'!$1:$1048576,$A471-1,COLUMN('1-DATA'!K470)),ROUND(INDEX('1-DATA'!$1:$1048576,IF(OR($B472="STD. DEVIATION",$C$1=1),$A472,$A472+1),COLUMN('1-DATA'!K470)),IF($B472="STD. DEVIATION",2,$F$1))))</f>
        <v/>
      </c>
      <c r="M472" s="1" t="str">
        <f>IF(OR($B472="",M$7=""),"",IF($B472="MEANS",INDEX('1-DATA'!$1:$1048576,$A471-1,COLUMN('1-DATA'!L470)),ROUND(INDEX('1-DATA'!$1:$1048576,IF(OR($B472="STD. DEVIATION",$C$1=1),$A472,$A472+1),COLUMN('1-DATA'!L470)),IF($B472="STD. DEVIATION",2,$F$1))))</f>
        <v/>
      </c>
      <c r="N472" s="1" t="str">
        <f>IF(OR($B472="",N$7=""),"",IF($B472="MEANS",INDEX('1-DATA'!$1:$1048576,$A471-1,COLUMN('1-DATA'!M470)),ROUND(INDEX('1-DATA'!$1:$1048576,IF(OR($B472="STD. DEVIATION",$C$1=1),$A472,$A472+1),COLUMN('1-DATA'!M470)),IF($B472="STD. DEVIATION",2,$F$1))))</f>
        <v/>
      </c>
      <c r="O472" s="1" t="str">
        <f>IF(OR($B472="",O$7=""),"",IF($B472="MEANS",INDEX('1-DATA'!$1:$1048576,$A471-1,COLUMN('1-DATA'!N470)),ROUND(INDEX('1-DATA'!$1:$1048576,IF(OR($B472="STD. DEVIATION",$C$1=1),$A472,$A472+1),COLUMN('1-DATA'!N470)),IF($B472="STD. DEVIATION",2,$F$1))))</f>
        <v/>
      </c>
      <c r="P472" s="1" t="str">
        <f>IF(OR($B472="",P$7=""),"",IF($B472="MEANS",INDEX('1-DATA'!$1:$1048576,$A471-1,COLUMN('1-DATA'!O470)),ROUND(INDEX('1-DATA'!$1:$1048576,IF(OR($B472="STD. DEVIATION",$C$1=1),$A472,$A472+1),COLUMN('1-DATA'!O470)),IF($B472="STD. DEVIATION",2,$F$1))))</f>
        <v/>
      </c>
      <c r="Q472" s="1" t="str">
        <f>IF(OR($B472="",Q$7=""),"",IF($B472="MEANS",INDEX('1-DATA'!$1:$1048576,$A471-1,COLUMN('1-DATA'!P470)),ROUND(INDEX('1-DATA'!$1:$1048576,IF(OR($B472="STD. DEVIATION",$C$1=1),$A472,$A472+1),COLUMN('1-DATA'!P470)),IF($B472="STD. DEVIATION",2,$F$1))))</f>
        <v/>
      </c>
      <c r="R472" s="1" t="str">
        <f>IF(OR($B472="",R$7=""),"",IF($B472="MEANS",INDEX('1-DATA'!$1:$1048576,$A471-1,COLUMN('1-DATA'!Q470)),ROUND(INDEX('1-DATA'!$1:$1048576,IF(OR($B472="STD. DEVIATION",$C$1=1),$A472,$A472+1),COLUMN('1-DATA'!Q470)),IF($B472="STD. DEVIATION",2,$F$1))))</f>
        <v/>
      </c>
      <c r="S472" s="1" t="str">
        <f>IF(OR($B472="",S$7=""),"",IF($B472="MEANS",INDEX('1-DATA'!$1:$1048576,$A471-1,COLUMN('1-DATA'!R470)),ROUND(INDEX('1-DATA'!$1:$1048576,IF(OR($B472="STD. DEVIATION",$C$1=1),$A472,$A472+1),COLUMN('1-DATA'!R470)),IF($B472="STD. DEVIATION",2,$F$1))))</f>
        <v/>
      </c>
      <c r="T472" s="1" t="str">
        <f>IF(OR($B472="",T$7=""),"",IF($B472="MEANS",INDEX('1-DATA'!$1:$1048576,$A471-1,COLUMN('1-DATA'!S470)),ROUND(INDEX('1-DATA'!$1:$1048576,IF(OR($B472="STD. DEVIATION",$C$1=1),$A472,$A472+1),COLUMN('1-DATA'!S470)),IF($B472="STD. DEVIATION",2,$F$1))))</f>
        <v/>
      </c>
      <c r="U472" s="1" t="str">
        <f>IF(OR($B472="",U$7=""),"",IF($B472="MEANS",INDEX('1-DATA'!$1:$1048576,$A471-1,COLUMN('1-DATA'!T470)),ROUND(INDEX('1-DATA'!$1:$1048576,IF(OR($B472="STD. DEVIATION",$C$1=1),$A472,$A472+1),COLUMN('1-DATA'!T470)),IF($B472="STD. DEVIATION",2,$F$1))))</f>
        <v/>
      </c>
      <c r="V472" s="1" t="str">
        <f>IF(OR($B472="",V$7=""),"",IF($B472="MEANS",INDEX('1-DATA'!$1:$1048576,$A471-1,COLUMN('1-DATA'!U470)),ROUND(INDEX('1-DATA'!$1:$1048576,IF(OR($B472="STD. DEVIATION",$C$1=1),$A472,$A472+1),COLUMN('1-DATA'!U470)),IF($B472="STD. DEVIATION",2,$F$1))))</f>
        <v/>
      </c>
      <c r="W472" s="1" t="str">
        <f>IF(OR($B472="",W$7=""),"",IF($B472="MEANS",INDEX('1-DATA'!$1:$1048576,$A471-1,COLUMN('1-DATA'!V470)),ROUND(INDEX('1-DATA'!$1:$1048576,IF(OR($B472="STD. DEVIATION",$C$1=1),$A472,$A472+1),COLUMN('1-DATA'!V470)),IF($B472="STD. DEVIATION",2,$F$1))))</f>
        <v/>
      </c>
      <c r="X472" s="1" t="str">
        <f>IF(OR($B472="",X$7=""),"",IF($B472="MEANS",INDEX('1-DATA'!$1:$1048576,$A471-1,COLUMN('1-DATA'!W470)),ROUND(INDEX('1-DATA'!$1:$1048576,IF(OR($B472="STD. DEVIATION",$C$1=1),$A472,$A472+1),COLUMN('1-DATA'!W470)),IF($B472="STD. DEVIATION",2,$F$1))))</f>
        <v/>
      </c>
      <c r="Y472" s="1" t="str">
        <f>IF(OR($B472="",Y$7=""),"",IF($B472="MEANS",INDEX('1-DATA'!$1:$1048576,$A471-1,COLUMN('1-DATA'!X470)),ROUND(INDEX('1-DATA'!$1:$1048576,IF(OR($B472="STD. DEVIATION",$C$1=1),$A472,$A472+1),COLUMN('1-DATA'!X470)),IF($B472="STD. DEVIATION",2,$F$1))))</f>
        <v/>
      </c>
      <c r="Z472" s="1" t="str">
        <f>IF(OR($B472="",Z$7=""),"",IF($B472="MEANS",INDEX('1-DATA'!$1:$1048576,$A471-1,COLUMN('1-DATA'!Y470)),ROUND(INDEX('1-DATA'!$1:$1048576,IF(OR($B472="STD. DEVIATION",$C$1=1),$A472,$A472+1),COLUMN('1-DATA'!Y470)),IF($B472="STD. DEVIATION",2,$F$1))))</f>
        <v/>
      </c>
      <c r="AA472" s="1" t="str">
        <f>IF(OR($B472="",AA$7=""),"",IF($B472="MEANS",INDEX('1-DATA'!$1:$1048576,$A471-1,COLUMN('1-DATA'!Z470)),ROUND(INDEX('1-DATA'!$1:$1048576,IF(OR($B472="STD. DEVIATION",$C$1=1),$A472,$A472+1),COLUMN('1-DATA'!Z470)),IF($B472="STD. DEVIATION",2,$F$1))))</f>
        <v/>
      </c>
      <c r="AB472" s="1" t="str">
        <f>IF(OR($B472="",AB$7=""),"",IF($B472="MEANS",INDEX('1-DATA'!$1:$1048576,$A471-1,COLUMN('1-DATA'!AA470)),ROUND(INDEX('1-DATA'!$1:$1048576,IF(OR($B472="STD. DEVIATION",$C$1=1),$A472,$A472+1),COLUMN('1-DATA'!AA470)),IF($B472="STD. DEVIATION",2,$F$1))))</f>
        <v/>
      </c>
      <c r="AC472" s="1" t="str">
        <f>IF(OR($B472="",AC$7=""),"",IF($B472="MEANS",INDEX('1-DATA'!$1:$1048576,$A471-1,COLUMN('1-DATA'!AB470)),ROUND(INDEX('1-DATA'!$1:$1048576,IF(OR($B472="STD. DEVIATION",$C$1=1),$A472,$A472+1),COLUMN('1-DATA'!AB470)),IF($B472="STD. DEVIATION",2,$F$1))))</f>
        <v/>
      </c>
      <c r="AD472" s="1" t="str">
        <f>IF(OR($B472="",AD$7=""),"",IF($B472="MEANS",INDEX('1-DATA'!$1:$1048576,$A471-1,COLUMN('1-DATA'!AC470)),ROUND(INDEX('1-DATA'!$1:$1048576,IF(OR($B472="STD. DEVIATION",$C$1=1),$A472,$A472+1),COLUMN('1-DATA'!AC470)),IF($B472="STD. DEVIATION",2,$F$1))))</f>
        <v/>
      </c>
      <c r="AE472" s="1" t="str">
        <f>IF(OR($B472="",AE$7=""),"",IF($B472="MEANS",INDEX('1-DATA'!$1:$1048576,$A471-1,COLUMN('1-DATA'!AD470)),ROUND(INDEX('1-DATA'!$1:$1048576,IF(OR($B472="STD. DEVIATION",$C$1=1),$A472,$A472+1),COLUMN('1-DATA'!AD470)),IF($B472="STD. DEVIATION",2,$F$1))))</f>
        <v/>
      </c>
      <c r="AF472" s="1" t="str">
        <f>IF(OR($B472="",AF$7=""),"",IF($B472="MEANS",INDEX('1-DATA'!$1:$1048576,$A471-1,COLUMN('1-DATA'!AE470)),ROUND(INDEX('1-DATA'!$1:$1048576,IF(OR($B472="STD. DEVIATION",$C$1=1),$A472,$A472+1),COLUMN('1-DATA'!AE470)),IF($B472="STD. DEVIATION",2,$F$1))))</f>
        <v/>
      </c>
      <c r="AG472" s="1" t="str">
        <f>IF(OR($B472="",AG$7=""),"",IF($B472="MEANS",INDEX('1-DATA'!$1:$1048576,$A471-1,COLUMN('1-DATA'!AF470)),ROUND(INDEX('1-DATA'!$1:$1048576,IF(OR($B472="STD. DEVIATION",$C$1=1),$A472,$A472+1),COLUMN('1-DATA'!AF470)),IF($B472="STD. DEVIATION",2,$F$1))))</f>
        <v/>
      </c>
      <c r="AH472" s="1" t="str">
        <f>IF(OR($B472="",AH$7=""),"",IF($B472="MEANS",INDEX('1-DATA'!$1:$1048576,$A471-1,COLUMN('1-DATA'!AG470)),ROUND(INDEX('1-DATA'!$1:$1048576,IF(OR($B472="STD. DEVIATION",$C$1=1),$A472,$A472+1),COLUMN('1-DATA'!AG470)),IF($B472="STD. DEVIATION",2,$F$1))))</f>
        <v/>
      </c>
      <c r="AI472" s="1" t="str">
        <f>IF(OR($B472="",AI$7=""),"",IF($B472="MEANS",INDEX('1-DATA'!$1:$1048576,$A471-1,COLUMN('1-DATA'!AH470)),ROUND(INDEX('1-DATA'!$1:$1048576,IF(OR($B472="STD. DEVIATION",$C$1=1),$A472,$A472+1),COLUMN('1-DATA'!AH470)),IF($B472="STD. DEVIATION",2,$F$1))))</f>
        <v/>
      </c>
      <c r="AJ472" s="1" t="str">
        <f>IF(OR($B472="",AJ$7=""),"",IF($B472="MEANS",INDEX('1-DATA'!$1:$1048576,$A471-1,COLUMN('1-DATA'!AI470)),ROUND(INDEX('1-DATA'!$1:$1048576,IF(OR($B472="STD. DEVIATION",$C$1=1),$A472,$A472+1),COLUMN('1-DATA'!AI470)),IF($B472="STD. DEVIATION",2,$F$1))))</f>
        <v/>
      </c>
      <c r="AK472" s="1" t="str">
        <f>IF(OR($B472="",AK$7=""),"",IF($B472="MEANS",INDEX('1-DATA'!$1:$1048576,$A471-1,COLUMN('1-DATA'!AJ470)),ROUND(INDEX('1-DATA'!$1:$1048576,IF(OR($B472="STD. DEVIATION",$C$1=1),$A472,$A472+1),COLUMN('1-DATA'!AJ470)),IF($B472="STD. DEVIATION",2,$F$1))))</f>
        <v/>
      </c>
      <c r="AL472" s="1" t="str">
        <f>IF(OR($B472="",AL$7=""),"",IF($B472="MEANS",INDEX('1-DATA'!$1:$1048576,$A471-1,COLUMN('1-DATA'!AK470)),ROUND(INDEX('1-DATA'!$1:$1048576,IF(OR($B472="STD. DEVIATION",$C$1=1),$A472,$A472+1),COLUMN('1-DATA'!AK470)),IF($B472="STD. DEVIATION",2,$F$1))))</f>
        <v/>
      </c>
      <c r="AM472" s="1" t="str">
        <f>IF(OR($B472="",AM$7=""),"",IF($B472="MEANS",INDEX('1-DATA'!$1:$1048576,$A471-1,COLUMN('1-DATA'!AL470)),ROUND(INDEX('1-DATA'!$1:$1048576,IF(OR($B472="STD. DEVIATION",$C$1=1),$A472,$A472+1),COLUMN('1-DATA'!AL470)),IF($B472="STD. DEVIATION",2,$F$1))))</f>
        <v/>
      </c>
      <c r="AN472" s="1" t="str">
        <f>IF(OR($B472="",AN$7=""),"",IF($B472="MEANS",INDEX('1-DATA'!$1:$1048576,$A471-1,COLUMN('1-DATA'!AM470)),ROUND(INDEX('1-DATA'!$1:$1048576,IF(OR($B472="STD. DEVIATION",$C$1=1),$A472,$A472+1),COLUMN('1-DATA'!AM470)),IF($B472="STD. DEVIATION",2,$F$1))))</f>
        <v/>
      </c>
      <c r="AO472" s="1" t="str">
        <f>IF(OR($B472="",AO$7=""),"",IF($B472="MEANS",INDEX('1-DATA'!$1:$1048576,$A471-1,COLUMN('1-DATA'!AN470)),ROUND(INDEX('1-DATA'!$1:$1048576,IF(OR($B472="STD. DEVIATION",$C$1=1),$A472,$A472+1),COLUMN('1-DATA'!AN470)),IF($B472="STD. DEVIATION",2,$F$1))))</f>
        <v/>
      </c>
      <c r="AP472" s="1" t="str">
        <f>IF(OR($B472="",AP$7=""),"",IF($B472="MEANS",INDEX('1-DATA'!$1:$1048576,$A471-1,COLUMN('1-DATA'!AO470)),ROUND(INDEX('1-DATA'!$1:$1048576,IF(OR($B472="STD. DEVIATION",$C$1=1),$A472,$A472+1),COLUMN('1-DATA'!AO470)),IF($B472="STD. DEVIATION",2,$F$1))))</f>
        <v/>
      </c>
      <c r="AQ472" s="1" t="str">
        <f>IF(OR($B472="",AQ$7=""),"",IF($B472="MEANS",INDEX('1-DATA'!$1:$1048576,$A471-1,COLUMN('1-DATA'!AP470)),ROUND(INDEX('1-DATA'!$1:$1048576,IF(OR($B472="STD. DEVIATION",$C$1=1),$A472,$A472+1),COLUMN('1-DATA'!AP470)),IF($B472="STD. DEVIATION",2,$F$1))))</f>
        <v/>
      </c>
      <c r="AR472" s="1" t="str">
        <f>IF(OR($B472="",AR$7=""),"",IF($B472="MEANS",INDEX('1-DATA'!$1:$1048576,$A471-1,COLUMN('1-DATA'!AQ470)),ROUND(INDEX('1-DATA'!$1:$1048576,IF(OR($B472="STD. DEVIATION",$C$1=1),$A472,$A472+1),COLUMN('1-DATA'!AQ470)),IF($B472="STD. DEVIATION",2,$F$1))))</f>
        <v/>
      </c>
      <c r="AS472" s="1" t="str">
        <f>IF(OR($B472="",AS$7=""),"",IF($B472="MEANS",INDEX('1-DATA'!$1:$1048576,$A471-1,COLUMN('1-DATA'!AR470)),ROUND(INDEX('1-DATA'!$1:$1048576,IF(OR($B472="STD. DEVIATION",$C$1=1),$A472,$A472+1),COLUMN('1-DATA'!AR470)),IF($B472="STD. DEVIATION",2,$F$1))))</f>
        <v/>
      </c>
      <c r="AT472" s="1" t="str">
        <f>IF(OR($B472="",AT$7=""),"",IF($B472="MEANS",INDEX('1-DATA'!$1:$1048576,$A471-1,COLUMN('1-DATA'!AS470)),ROUND(INDEX('1-DATA'!$1:$1048576,IF(OR($B472="STD. DEVIATION",$C$1=1),$A472,$A472+1),COLUMN('1-DATA'!AS470)),IF($B472="STD. DEVIATION",2,$F$1))))</f>
        <v/>
      </c>
      <c r="AU472" s="1" t="str">
        <f>IF(OR($B472="",AU$7=""),"",IF($B472="MEANS",INDEX('1-DATA'!$1:$1048576,$A471-1,COLUMN('1-DATA'!AT470)),ROUND(INDEX('1-DATA'!$1:$1048576,IF(OR($B472="STD. DEVIATION",$C$1=1),$A472,$A472+1),COLUMN('1-DATA'!AT470)),IF($B472="STD. DEVIATION",2,$F$1))))</f>
        <v/>
      </c>
      <c r="AV472" s="1" t="str">
        <f>IF(OR($B472="",AV$7=""),"",IF($B472="MEANS",INDEX('1-DATA'!$1:$1048576,$A471-1,COLUMN('1-DATA'!AU470)),ROUND(INDEX('1-DATA'!$1:$1048576,IF(OR($B472="STD. DEVIATION",$C$1=1),$A472,$A472+1),COLUMN('1-DATA'!AU470)),IF($B472="STD. DEVIATION",2,$F$1))))</f>
        <v/>
      </c>
      <c r="AW472" s="1" t="str">
        <f>IF(OR($B472="",AW$7=""),"",IF($B472="MEANS",INDEX('1-DATA'!$1:$1048576,$A471-1,COLUMN('1-DATA'!AV470)),ROUND(INDEX('1-DATA'!$1:$1048576,IF(OR($B472="STD. DEVIATION",$C$1=1),$A472,$A472+1),COLUMN('1-DATA'!AV470)),IF($B472="STD. DEVIATION",2,$F$1))))</f>
        <v/>
      </c>
      <c r="AX472" s="1" t="str">
        <f>IF(OR($B472="",AX$7=""),"",IF($B472="MEANS",INDEX('1-DATA'!$1:$1048576,$A471-1,COLUMN('1-DATA'!AW470)),ROUND(INDEX('1-DATA'!$1:$1048576,IF(OR($B472="STD. DEVIATION",$C$1=1),$A472,$A472+1),COLUMN('1-DATA'!AW470)),IF($B472="STD. DEVIATION",2,$F$1))))</f>
        <v/>
      </c>
      <c r="AY472" s="1" t="str">
        <f>IF(OR($B472="",AY$7=""),"",IF($B472="MEANS",INDEX('1-DATA'!$1:$1048576,$A471-1,COLUMN('1-DATA'!AX470)),ROUND(INDEX('1-DATA'!$1:$1048576,IF(OR($B472="STD. DEVIATION",$C$1=1),$A472,$A472+1),COLUMN('1-DATA'!AX470)),IF($B472="STD. DEVIATION",2,$F$1))))</f>
        <v/>
      </c>
      <c r="AZ472" s="1" t="str">
        <f>IF(OR($B472="",AZ$7=""),"",IF($B472="MEANS",INDEX('1-DATA'!$1:$1048576,$A471-1,COLUMN('1-DATA'!AY470)),ROUND(INDEX('1-DATA'!$1:$1048576,IF(OR($B472="STD. DEVIATION",$C$1=1),$A472,$A472+1),COLUMN('1-DATA'!AY470)),IF($B472="STD. DEVIATION",2,$F$1))))</f>
        <v/>
      </c>
    </row>
    <row r="473" spans="1:52" x14ac:dyDescent="0.25">
      <c r="A473" s="11">
        <f t="shared" si="7"/>
        <v>1405</v>
      </c>
      <c r="B473" s="1" t="str">
        <f>IF(B472="STD. DEVIATION",INDEX('1-DATA'!$1:$1048576,$A472-1,1),IF(INDEX('1-DATA'!$1:$1048576,$A473,1)&lt;&gt;"",INDEX('1-DATA'!$1:$1048576,$A473,1),""))</f>
        <v/>
      </c>
      <c r="C473" s="1" t="str">
        <f>IF(OR($B473="",C$7=""),"",IF($B473="MEANS",INDEX('1-DATA'!$1:$1048576,$A472-1,COLUMN('1-DATA'!B471)),ROUND(INDEX('1-DATA'!$1:$1048576,IF(OR($B473="STD. DEVIATION",$C$1=1),$A473,$A473+1),COLUMN('1-DATA'!B471)),IF($B473="STD. DEVIATION",2,$F$1))))</f>
        <v/>
      </c>
      <c r="D473" s="1" t="str">
        <f>IF(OR($B473="",D$7=""),"",IF($B473="MEANS",INDEX('1-DATA'!$1:$1048576,$A472-1,COLUMN('1-DATA'!C471)),ROUND(INDEX('1-DATA'!$1:$1048576,IF(OR($B473="STD. DEVIATION",$C$1=1),$A473,$A473+1),COLUMN('1-DATA'!C471)),IF($B473="STD. DEVIATION",2,$F$1))))</f>
        <v/>
      </c>
      <c r="E473" s="1" t="str">
        <f>IF(OR($B473="",E$7=""),"",IF($B473="MEANS",INDEX('1-DATA'!$1:$1048576,$A472-1,COLUMN('1-DATA'!D471)),ROUND(INDEX('1-DATA'!$1:$1048576,IF(OR($B473="STD. DEVIATION",$C$1=1),$A473,$A473+1),COLUMN('1-DATA'!D471)),IF($B473="STD. DEVIATION",2,$F$1))))</f>
        <v/>
      </c>
      <c r="F473" s="1" t="str">
        <f>IF(OR($B473="",F$7=""),"",IF($B473="MEANS",INDEX('1-DATA'!$1:$1048576,$A472-1,COLUMN('1-DATA'!E471)),ROUND(INDEX('1-DATA'!$1:$1048576,IF(OR($B473="STD. DEVIATION",$C$1=1),$A473,$A473+1),COLUMN('1-DATA'!E471)),IF($B473="STD. DEVIATION",2,$F$1))))</f>
        <v/>
      </c>
      <c r="G473" s="1" t="str">
        <f>IF(OR($B473="",G$7=""),"",IF($B473="MEANS",INDEX('1-DATA'!$1:$1048576,$A472-1,COLUMN('1-DATA'!F471)),ROUND(INDEX('1-DATA'!$1:$1048576,IF(OR($B473="STD. DEVIATION",$C$1=1),$A473,$A473+1),COLUMN('1-DATA'!F471)),IF($B473="STD. DEVIATION",2,$F$1))))</f>
        <v/>
      </c>
      <c r="H473" s="1" t="str">
        <f>IF(OR($B473="",H$7=""),"",IF($B473="MEANS",INDEX('1-DATA'!$1:$1048576,$A472-1,COLUMN('1-DATA'!G471)),ROUND(INDEX('1-DATA'!$1:$1048576,IF(OR($B473="STD. DEVIATION",$C$1=1),$A473,$A473+1),COLUMN('1-DATA'!G471)),IF($B473="STD. DEVIATION",2,$F$1))))</f>
        <v/>
      </c>
      <c r="I473" s="1" t="str">
        <f>IF(OR($B473="",I$7=""),"",IF($B473="MEANS",INDEX('1-DATA'!$1:$1048576,$A472-1,COLUMN('1-DATA'!H471)),ROUND(INDEX('1-DATA'!$1:$1048576,IF(OR($B473="STD. DEVIATION",$C$1=1),$A473,$A473+1),COLUMN('1-DATA'!H471)),IF($B473="STD. DEVIATION",2,$F$1))))</f>
        <v/>
      </c>
      <c r="J473" s="1" t="str">
        <f>IF(OR($B473="",J$7=""),"",IF($B473="MEANS",INDEX('1-DATA'!$1:$1048576,$A472-1,COLUMN('1-DATA'!I471)),ROUND(INDEX('1-DATA'!$1:$1048576,IF(OR($B473="STD. DEVIATION",$C$1=1),$A473,$A473+1),COLUMN('1-DATA'!I471)),IF($B473="STD. DEVIATION",2,$F$1))))</f>
        <v/>
      </c>
      <c r="K473" s="1" t="str">
        <f>IF(OR($B473="",K$7=""),"",IF($B473="MEANS",INDEX('1-DATA'!$1:$1048576,$A472-1,COLUMN('1-DATA'!J471)),ROUND(INDEX('1-DATA'!$1:$1048576,IF(OR($B473="STD. DEVIATION",$C$1=1),$A473,$A473+1),COLUMN('1-DATA'!J471)),IF($B473="STD. DEVIATION",2,$F$1))))</f>
        <v/>
      </c>
      <c r="L473" s="1" t="str">
        <f>IF(OR($B473="",L$7=""),"",IF($B473="MEANS",INDEX('1-DATA'!$1:$1048576,$A472-1,COLUMN('1-DATA'!K471)),ROUND(INDEX('1-DATA'!$1:$1048576,IF(OR($B473="STD. DEVIATION",$C$1=1),$A473,$A473+1),COLUMN('1-DATA'!K471)),IF($B473="STD. DEVIATION",2,$F$1))))</f>
        <v/>
      </c>
      <c r="M473" s="1" t="str">
        <f>IF(OR($B473="",M$7=""),"",IF($B473="MEANS",INDEX('1-DATA'!$1:$1048576,$A472-1,COLUMN('1-DATA'!L471)),ROUND(INDEX('1-DATA'!$1:$1048576,IF(OR($B473="STD. DEVIATION",$C$1=1),$A473,$A473+1),COLUMN('1-DATA'!L471)),IF($B473="STD. DEVIATION",2,$F$1))))</f>
        <v/>
      </c>
      <c r="N473" s="1" t="str">
        <f>IF(OR($B473="",N$7=""),"",IF($B473="MEANS",INDEX('1-DATA'!$1:$1048576,$A472-1,COLUMN('1-DATA'!M471)),ROUND(INDEX('1-DATA'!$1:$1048576,IF(OR($B473="STD. DEVIATION",$C$1=1),$A473,$A473+1),COLUMN('1-DATA'!M471)),IF($B473="STD. DEVIATION",2,$F$1))))</f>
        <v/>
      </c>
      <c r="O473" s="1" t="str">
        <f>IF(OR($B473="",O$7=""),"",IF($B473="MEANS",INDEX('1-DATA'!$1:$1048576,$A472-1,COLUMN('1-DATA'!N471)),ROUND(INDEX('1-DATA'!$1:$1048576,IF(OR($B473="STD. DEVIATION",$C$1=1),$A473,$A473+1),COLUMN('1-DATA'!N471)),IF($B473="STD. DEVIATION",2,$F$1))))</f>
        <v/>
      </c>
      <c r="P473" s="1" t="str">
        <f>IF(OR($B473="",P$7=""),"",IF($B473="MEANS",INDEX('1-DATA'!$1:$1048576,$A472-1,COLUMN('1-DATA'!O471)),ROUND(INDEX('1-DATA'!$1:$1048576,IF(OR($B473="STD. DEVIATION",$C$1=1),$A473,$A473+1),COLUMN('1-DATA'!O471)),IF($B473="STD. DEVIATION",2,$F$1))))</f>
        <v/>
      </c>
      <c r="Q473" s="1" t="str">
        <f>IF(OR($B473="",Q$7=""),"",IF($B473="MEANS",INDEX('1-DATA'!$1:$1048576,$A472-1,COLUMN('1-DATA'!P471)),ROUND(INDEX('1-DATA'!$1:$1048576,IF(OR($B473="STD. DEVIATION",$C$1=1),$A473,$A473+1),COLUMN('1-DATA'!P471)),IF($B473="STD. DEVIATION",2,$F$1))))</f>
        <v/>
      </c>
      <c r="R473" s="1" t="str">
        <f>IF(OR($B473="",R$7=""),"",IF($B473="MEANS",INDEX('1-DATA'!$1:$1048576,$A472-1,COLUMN('1-DATA'!Q471)),ROUND(INDEX('1-DATA'!$1:$1048576,IF(OR($B473="STD. DEVIATION",$C$1=1),$A473,$A473+1),COLUMN('1-DATA'!Q471)),IF($B473="STD. DEVIATION",2,$F$1))))</f>
        <v/>
      </c>
      <c r="S473" s="1" t="str">
        <f>IF(OR($B473="",S$7=""),"",IF($B473="MEANS",INDEX('1-DATA'!$1:$1048576,$A472-1,COLUMN('1-DATA'!R471)),ROUND(INDEX('1-DATA'!$1:$1048576,IF(OR($B473="STD. DEVIATION",$C$1=1),$A473,$A473+1),COLUMN('1-DATA'!R471)),IF($B473="STD. DEVIATION",2,$F$1))))</f>
        <v/>
      </c>
      <c r="T473" s="1" t="str">
        <f>IF(OR($B473="",T$7=""),"",IF($B473="MEANS",INDEX('1-DATA'!$1:$1048576,$A472-1,COLUMN('1-DATA'!S471)),ROUND(INDEX('1-DATA'!$1:$1048576,IF(OR($B473="STD. DEVIATION",$C$1=1),$A473,$A473+1),COLUMN('1-DATA'!S471)),IF($B473="STD. DEVIATION",2,$F$1))))</f>
        <v/>
      </c>
      <c r="U473" s="1" t="str">
        <f>IF(OR($B473="",U$7=""),"",IF($B473="MEANS",INDEX('1-DATA'!$1:$1048576,$A472-1,COLUMN('1-DATA'!T471)),ROUND(INDEX('1-DATA'!$1:$1048576,IF(OR($B473="STD. DEVIATION",$C$1=1),$A473,$A473+1),COLUMN('1-DATA'!T471)),IF($B473="STD. DEVIATION",2,$F$1))))</f>
        <v/>
      </c>
      <c r="V473" s="1" t="str">
        <f>IF(OR($B473="",V$7=""),"",IF($B473="MEANS",INDEX('1-DATA'!$1:$1048576,$A472-1,COLUMN('1-DATA'!U471)),ROUND(INDEX('1-DATA'!$1:$1048576,IF(OR($B473="STD. DEVIATION",$C$1=1),$A473,$A473+1),COLUMN('1-DATA'!U471)),IF($B473="STD. DEVIATION",2,$F$1))))</f>
        <v/>
      </c>
      <c r="W473" s="1" t="str">
        <f>IF(OR($B473="",W$7=""),"",IF($B473="MEANS",INDEX('1-DATA'!$1:$1048576,$A472-1,COLUMN('1-DATA'!V471)),ROUND(INDEX('1-DATA'!$1:$1048576,IF(OR($B473="STD. DEVIATION",$C$1=1),$A473,$A473+1),COLUMN('1-DATA'!V471)),IF($B473="STD. DEVIATION",2,$F$1))))</f>
        <v/>
      </c>
      <c r="X473" s="1" t="str">
        <f>IF(OR($B473="",X$7=""),"",IF($B473="MEANS",INDEX('1-DATA'!$1:$1048576,$A472-1,COLUMN('1-DATA'!W471)),ROUND(INDEX('1-DATA'!$1:$1048576,IF(OR($B473="STD. DEVIATION",$C$1=1),$A473,$A473+1),COLUMN('1-DATA'!W471)),IF($B473="STD. DEVIATION",2,$F$1))))</f>
        <v/>
      </c>
      <c r="Y473" s="1" t="str">
        <f>IF(OR($B473="",Y$7=""),"",IF($B473="MEANS",INDEX('1-DATA'!$1:$1048576,$A472-1,COLUMN('1-DATA'!X471)),ROUND(INDEX('1-DATA'!$1:$1048576,IF(OR($B473="STD. DEVIATION",$C$1=1),$A473,$A473+1),COLUMN('1-DATA'!X471)),IF($B473="STD. DEVIATION",2,$F$1))))</f>
        <v/>
      </c>
      <c r="Z473" s="1" t="str">
        <f>IF(OR($B473="",Z$7=""),"",IF($B473="MEANS",INDEX('1-DATA'!$1:$1048576,$A472-1,COLUMN('1-DATA'!Y471)),ROUND(INDEX('1-DATA'!$1:$1048576,IF(OR($B473="STD. DEVIATION",$C$1=1),$A473,$A473+1),COLUMN('1-DATA'!Y471)),IF($B473="STD. DEVIATION",2,$F$1))))</f>
        <v/>
      </c>
      <c r="AA473" s="1" t="str">
        <f>IF(OR($B473="",AA$7=""),"",IF($B473="MEANS",INDEX('1-DATA'!$1:$1048576,$A472-1,COLUMN('1-DATA'!Z471)),ROUND(INDEX('1-DATA'!$1:$1048576,IF(OR($B473="STD. DEVIATION",$C$1=1),$A473,$A473+1),COLUMN('1-DATA'!Z471)),IF($B473="STD. DEVIATION",2,$F$1))))</f>
        <v/>
      </c>
      <c r="AB473" s="1" t="str">
        <f>IF(OR($B473="",AB$7=""),"",IF($B473="MEANS",INDEX('1-DATA'!$1:$1048576,$A472-1,COLUMN('1-DATA'!AA471)),ROUND(INDEX('1-DATA'!$1:$1048576,IF(OR($B473="STD. DEVIATION",$C$1=1),$A473,$A473+1),COLUMN('1-DATA'!AA471)),IF($B473="STD. DEVIATION",2,$F$1))))</f>
        <v/>
      </c>
      <c r="AC473" s="1" t="str">
        <f>IF(OR($B473="",AC$7=""),"",IF($B473="MEANS",INDEX('1-DATA'!$1:$1048576,$A472-1,COLUMN('1-DATA'!AB471)),ROUND(INDEX('1-DATA'!$1:$1048576,IF(OR($B473="STD. DEVIATION",$C$1=1),$A473,$A473+1),COLUMN('1-DATA'!AB471)),IF($B473="STD. DEVIATION",2,$F$1))))</f>
        <v/>
      </c>
      <c r="AD473" s="1" t="str">
        <f>IF(OR($B473="",AD$7=""),"",IF($B473="MEANS",INDEX('1-DATA'!$1:$1048576,$A472-1,COLUMN('1-DATA'!AC471)),ROUND(INDEX('1-DATA'!$1:$1048576,IF(OR($B473="STD. DEVIATION",$C$1=1),$A473,$A473+1),COLUMN('1-DATA'!AC471)),IF($B473="STD. DEVIATION",2,$F$1))))</f>
        <v/>
      </c>
      <c r="AE473" s="1" t="str">
        <f>IF(OR($B473="",AE$7=""),"",IF($B473="MEANS",INDEX('1-DATA'!$1:$1048576,$A472-1,COLUMN('1-DATA'!AD471)),ROUND(INDEX('1-DATA'!$1:$1048576,IF(OR($B473="STD. DEVIATION",$C$1=1),$A473,$A473+1),COLUMN('1-DATA'!AD471)),IF($B473="STD. DEVIATION",2,$F$1))))</f>
        <v/>
      </c>
      <c r="AF473" s="1" t="str">
        <f>IF(OR($B473="",AF$7=""),"",IF($B473="MEANS",INDEX('1-DATA'!$1:$1048576,$A472-1,COLUMN('1-DATA'!AE471)),ROUND(INDEX('1-DATA'!$1:$1048576,IF(OR($B473="STD. DEVIATION",$C$1=1),$A473,$A473+1),COLUMN('1-DATA'!AE471)),IF($B473="STD. DEVIATION",2,$F$1))))</f>
        <v/>
      </c>
      <c r="AG473" s="1" t="str">
        <f>IF(OR($B473="",AG$7=""),"",IF($B473="MEANS",INDEX('1-DATA'!$1:$1048576,$A472-1,COLUMN('1-DATA'!AF471)),ROUND(INDEX('1-DATA'!$1:$1048576,IF(OR($B473="STD. DEVIATION",$C$1=1),$A473,$A473+1),COLUMN('1-DATA'!AF471)),IF($B473="STD. DEVIATION",2,$F$1))))</f>
        <v/>
      </c>
      <c r="AH473" s="1" t="str">
        <f>IF(OR($B473="",AH$7=""),"",IF($B473="MEANS",INDEX('1-DATA'!$1:$1048576,$A472-1,COLUMN('1-DATA'!AG471)),ROUND(INDEX('1-DATA'!$1:$1048576,IF(OR($B473="STD. DEVIATION",$C$1=1),$A473,$A473+1),COLUMN('1-DATA'!AG471)),IF($B473="STD. DEVIATION",2,$F$1))))</f>
        <v/>
      </c>
      <c r="AI473" s="1" t="str">
        <f>IF(OR($B473="",AI$7=""),"",IF($B473="MEANS",INDEX('1-DATA'!$1:$1048576,$A472-1,COLUMN('1-DATA'!AH471)),ROUND(INDEX('1-DATA'!$1:$1048576,IF(OR($B473="STD. DEVIATION",$C$1=1),$A473,$A473+1),COLUMN('1-DATA'!AH471)),IF($B473="STD. DEVIATION",2,$F$1))))</f>
        <v/>
      </c>
      <c r="AJ473" s="1" t="str">
        <f>IF(OR($B473="",AJ$7=""),"",IF($B473="MEANS",INDEX('1-DATA'!$1:$1048576,$A472-1,COLUMN('1-DATA'!AI471)),ROUND(INDEX('1-DATA'!$1:$1048576,IF(OR($B473="STD. DEVIATION",$C$1=1),$A473,$A473+1),COLUMN('1-DATA'!AI471)),IF($B473="STD. DEVIATION",2,$F$1))))</f>
        <v/>
      </c>
      <c r="AK473" s="1" t="str">
        <f>IF(OR($B473="",AK$7=""),"",IF($B473="MEANS",INDEX('1-DATA'!$1:$1048576,$A472-1,COLUMN('1-DATA'!AJ471)),ROUND(INDEX('1-DATA'!$1:$1048576,IF(OR($B473="STD. DEVIATION",$C$1=1),$A473,$A473+1),COLUMN('1-DATA'!AJ471)),IF($B473="STD. DEVIATION",2,$F$1))))</f>
        <v/>
      </c>
      <c r="AL473" s="1" t="str">
        <f>IF(OR($B473="",AL$7=""),"",IF($B473="MEANS",INDEX('1-DATA'!$1:$1048576,$A472-1,COLUMN('1-DATA'!AK471)),ROUND(INDEX('1-DATA'!$1:$1048576,IF(OR($B473="STD. DEVIATION",$C$1=1),$A473,$A473+1),COLUMN('1-DATA'!AK471)),IF($B473="STD. DEVIATION",2,$F$1))))</f>
        <v/>
      </c>
      <c r="AM473" s="1" t="str">
        <f>IF(OR($B473="",AM$7=""),"",IF($B473="MEANS",INDEX('1-DATA'!$1:$1048576,$A472-1,COLUMN('1-DATA'!AL471)),ROUND(INDEX('1-DATA'!$1:$1048576,IF(OR($B473="STD. DEVIATION",$C$1=1),$A473,$A473+1),COLUMN('1-DATA'!AL471)),IF($B473="STD. DEVIATION",2,$F$1))))</f>
        <v/>
      </c>
      <c r="AN473" s="1" t="str">
        <f>IF(OR($B473="",AN$7=""),"",IF($B473="MEANS",INDEX('1-DATA'!$1:$1048576,$A472-1,COLUMN('1-DATA'!AM471)),ROUND(INDEX('1-DATA'!$1:$1048576,IF(OR($B473="STD. DEVIATION",$C$1=1),$A473,$A473+1),COLUMN('1-DATA'!AM471)),IF($B473="STD. DEVIATION",2,$F$1))))</f>
        <v/>
      </c>
      <c r="AO473" s="1" t="str">
        <f>IF(OR($B473="",AO$7=""),"",IF($B473="MEANS",INDEX('1-DATA'!$1:$1048576,$A472-1,COLUMN('1-DATA'!AN471)),ROUND(INDEX('1-DATA'!$1:$1048576,IF(OR($B473="STD. DEVIATION",$C$1=1),$A473,$A473+1),COLUMN('1-DATA'!AN471)),IF($B473="STD. DEVIATION",2,$F$1))))</f>
        <v/>
      </c>
      <c r="AP473" s="1" t="str">
        <f>IF(OR($B473="",AP$7=""),"",IF($B473="MEANS",INDEX('1-DATA'!$1:$1048576,$A472-1,COLUMN('1-DATA'!AO471)),ROUND(INDEX('1-DATA'!$1:$1048576,IF(OR($B473="STD. DEVIATION",$C$1=1),$A473,$A473+1),COLUMN('1-DATA'!AO471)),IF($B473="STD. DEVIATION",2,$F$1))))</f>
        <v/>
      </c>
      <c r="AQ473" s="1" t="str">
        <f>IF(OR($B473="",AQ$7=""),"",IF($B473="MEANS",INDEX('1-DATA'!$1:$1048576,$A472-1,COLUMN('1-DATA'!AP471)),ROUND(INDEX('1-DATA'!$1:$1048576,IF(OR($B473="STD. DEVIATION",$C$1=1),$A473,$A473+1),COLUMN('1-DATA'!AP471)),IF($B473="STD. DEVIATION",2,$F$1))))</f>
        <v/>
      </c>
      <c r="AR473" s="1" t="str">
        <f>IF(OR($B473="",AR$7=""),"",IF($B473="MEANS",INDEX('1-DATA'!$1:$1048576,$A472-1,COLUMN('1-DATA'!AQ471)),ROUND(INDEX('1-DATA'!$1:$1048576,IF(OR($B473="STD. DEVIATION",$C$1=1),$A473,$A473+1),COLUMN('1-DATA'!AQ471)),IF($B473="STD. DEVIATION",2,$F$1))))</f>
        <v/>
      </c>
      <c r="AS473" s="1" t="str">
        <f>IF(OR($B473="",AS$7=""),"",IF($B473="MEANS",INDEX('1-DATA'!$1:$1048576,$A472-1,COLUMN('1-DATA'!AR471)),ROUND(INDEX('1-DATA'!$1:$1048576,IF(OR($B473="STD. DEVIATION",$C$1=1),$A473,$A473+1),COLUMN('1-DATA'!AR471)),IF($B473="STD. DEVIATION",2,$F$1))))</f>
        <v/>
      </c>
      <c r="AT473" s="1" t="str">
        <f>IF(OR($B473="",AT$7=""),"",IF($B473="MEANS",INDEX('1-DATA'!$1:$1048576,$A472-1,COLUMN('1-DATA'!AS471)),ROUND(INDEX('1-DATA'!$1:$1048576,IF(OR($B473="STD. DEVIATION",$C$1=1),$A473,$A473+1),COLUMN('1-DATA'!AS471)),IF($B473="STD. DEVIATION",2,$F$1))))</f>
        <v/>
      </c>
      <c r="AU473" s="1" t="str">
        <f>IF(OR($B473="",AU$7=""),"",IF($B473="MEANS",INDEX('1-DATA'!$1:$1048576,$A472-1,COLUMN('1-DATA'!AT471)),ROUND(INDEX('1-DATA'!$1:$1048576,IF(OR($B473="STD. DEVIATION",$C$1=1),$A473,$A473+1),COLUMN('1-DATA'!AT471)),IF($B473="STD. DEVIATION",2,$F$1))))</f>
        <v/>
      </c>
      <c r="AV473" s="1" t="str">
        <f>IF(OR($B473="",AV$7=""),"",IF($B473="MEANS",INDEX('1-DATA'!$1:$1048576,$A472-1,COLUMN('1-DATA'!AU471)),ROUND(INDEX('1-DATA'!$1:$1048576,IF(OR($B473="STD. DEVIATION",$C$1=1),$A473,$A473+1),COLUMN('1-DATA'!AU471)),IF($B473="STD. DEVIATION",2,$F$1))))</f>
        <v/>
      </c>
      <c r="AW473" s="1" t="str">
        <f>IF(OR($B473="",AW$7=""),"",IF($B473="MEANS",INDEX('1-DATA'!$1:$1048576,$A472-1,COLUMN('1-DATA'!AV471)),ROUND(INDEX('1-DATA'!$1:$1048576,IF(OR($B473="STD. DEVIATION",$C$1=1),$A473,$A473+1),COLUMN('1-DATA'!AV471)),IF($B473="STD. DEVIATION",2,$F$1))))</f>
        <v/>
      </c>
      <c r="AX473" s="1" t="str">
        <f>IF(OR($B473="",AX$7=""),"",IF($B473="MEANS",INDEX('1-DATA'!$1:$1048576,$A472-1,COLUMN('1-DATA'!AW471)),ROUND(INDEX('1-DATA'!$1:$1048576,IF(OR($B473="STD. DEVIATION",$C$1=1),$A473,$A473+1),COLUMN('1-DATA'!AW471)),IF($B473="STD. DEVIATION",2,$F$1))))</f>
        <v/>
      </c>
      <c r="AY473" s="1" t="str">
        <f>IF(OR($B473="",AY$7=""),"",IF($B473="MEANS",INDEX('1-DATA'!$1:$1048576,$A472-1,COLUMN('1-DATA'!AX471)),ROUND(INDEX('1-DATA'!$1:$1048576,IF(OR($B473="STD. DEVIATION",$C$1=1),$A473,$A473+1),COLUMN('1-DATA'!AX471)),IF($B473="STD. DEVIATION",2,$F$1))))</f>
        <v/>
      </c>
      <c r="AZ473" s="1" t="str">
        <f>IF(OR($B473="",AZ$7=""),"",IF($B473="MEANS",INDEX('1-DATA'!$1:$1048576,$A472-1,COLUMN('1-DATA'!AY471)),ROUND(INDEX('1-DATA'!$1:$1048576,IF(OR($B473="STD. DEVIATION",$C$1=1),$A473,$A473+1),COLUMN('1-DATA'!AY471)),IF($B473="STD. DEVIATION",2,$F$1))))</f>
        <v/>
      </c>
    </row>
    <row r="474" spans="1:52" x14ac:dyDescent="0.25">
      <c r="A474" s="11">
        <f t="shared" si="7"/>
        <v>1408</v>
      </c>
      <c r="B474" s="1" t="str">
        <f>IF(B473="STD. DEVIATION",INDEX('1-DATA'!$1:$1048576,$A473-1,1),IF(INDEX('1-DATA'!$1:$1048576,$A474,1)&lt;&gt;"",INDEX('1-DATA'!$1:$1048576,$A474,1),""))</f>
        <v/>
      </c>
      <c r="C474" s="1" t="str">
        <f>IF(OR($B474="",C$7=""),"",IF($B474="MEANS",INDEX('1-DATA'!$1:$1048576,$A473-1,COLUMN('1-DATA'!B472)),ROUND(INDEX('1-DATA'!$1:$1048576,IF(OR($B474="STD. DEVIATION",$C$1=1),$A474,$A474+1),COLUMN('1-DATA'!B472)),IF($B474="STD. DEVIATION",2,$F$1))))</f>
        <v/>
      </c>
      <c r="D474" s="1" t="str">
        <f>IF(OR($B474="",D$7=""),"",IF($B474="MEANS",INDEX('1-DATA'!$1:$1048576,$A473-1,COLUMN('1-DATA'!C472)),ROUND(INDEX('1-DATA'!$1:$1048576,IF(OR($B474="STD. DEVIATION",$C$1=1),$A474,$A474+1),COLUMN('1-DATA'!C472)),IF($B474="STD. DEVIATION",2,$F$1))))</f>
        <v/>
      </c>
      <c r="E474" s="1" t="str">
        <f>IF(OR($B474="",E$7=""),"",IF($B474="MEANS",INDEX('1-DATA'!$1:$1048576,$A473-1,COLUMN('1-DATA'!D472)),ROUND(INDEX('1-DATA'!$1:$1048576,IF(OR($B474="STD. DEVIATION",$C$1=1),$A474,$A474+1),COLUMN('1-DATA'!D472)),IF($B474="STD. DEVIATION",2,$F$1))))</f>
        <v/>
      </c>
      <c r="F474" s="1" t="str">
        <f>IF(OR($B474="",F$7=""),"",IF($B474="MEANS",INDEX('1-DATA'!$1:$1048576,$A473-1,COLUMN('1-DATA'!E472)),ROUND(INDEX('1-DATA'!$1:$1048576,IF(OR($B474="STD. DEVIATION",$C$1=1),$A474,$A474+1),COLUMN('1-DATA'!E472)),IF($B474="STD. DEVIATION",2,$F$1))))</f>
        <v/>
      </c>
      <c r="G474" s="1" t="str">
        <f>IF(OR($B474="",G$7=""),"",IF($B474="MEANS",INDEX('1-DATA'!$1:$1048576,$A473-1,COLUMN('1-DATA'!F472)),ROUND(INDEX('1-DATA'!$1:$1048576,IF(OR($B474="STD. DEVIATION",$C$1=1),$A474,$A474+1),COLUMN('1-DATA'!F472)),IF($B474="STD. DEVIATION",2,$F$1))))</f>
        <v/>
      </c>
      <c r="H474" s="1" t="str">
        <f>IF(OR($B474="",H$7=""),"",IF($B474="MEANS",INDEX('1-DATA'!$1:$1048576,$A473-1,COLUMN('1-DATA'!G472)),ROUND(INDEX('1-DATA'!$1:$1048576,IF(OR($B474="STD. DEVIATION",$C$1=1),$A474,$A474+1),COLUMN('1-DATA'!G472)),IF($B474="STD. DEVIATION",2,$F$1))))</f>
        <v/>
      </c>
      <c r="I474" s="1" t="str">
        <f>IF(OR($B474="",I$7=""),"",IF($B474="MEANS",INDEX('1-DATA'!$1:$1048576,$A473-1,COLUMN('1-DATA'!H472)),ROUND(INDEX('1-DATA'!$1:$1048576,IF(OR($B474="STD. DEVIATION",$C$1=1),$A474,$A474+1),COLUMN('1-DATA'!H472)),IF($B474="STD. DEVIATION",2,$F$1))))</f>
        <v/>
      </c>
      <c r="J474" s="1" t="str">
        <f>IF(OR($B474="",J$7=""),"",IF($B474="MEANS",INDEX('1-DATA'!$1:$1048576,$A473-1,COLUMN('1-DATA'!I472)),ROUND(INDEX('1-DATA'!$1:$1048576,IF(OR($B474="STD. DEVIATION",$C$1=1),$A474,$A474+1),COLUMN('1-DATA'!I472)),IF($B474="STD. DEVIATION",2,$F$1))))</f>
        <v/>
      </c>
      <c r="K474" s="1" t="str">
        <f>IF(OR($B474="",K$7=""),"",IF($B474="MEANS",INDEX('1-DATA'!$1:$1048576,$A473-1,COLUMN('1-DATA'!J472)),ROUND(INDEX('1-DATA'!$1:$1048576,IF(OR($B474="STD. DEVIATION",$C$1=1),$A474,$A474+1),COLUMN('1-DATA'!J472)),IF($B474="STD. DEVIATION",2,$F$1))))</f>
        <v/>
      </c>
      <c r="L474" s="1" t="str">
        <f>IF(OR($B474="",L$7=""),"",IF($B474="MEANS",INDEX('1-DATA'!$1:$1048576,$A473-1,COLUMN('1-DATA'!K472)),ROUND(INDEX('1-DATA'!$1:$1048576,IF(OR($B474="STD. DEVIATION",$C$1=1),$A474,$A474+1),COLUMN('1-DATA'!K472)),IF($B474="STD. DEVIATION",2,$F$1))))</f>
        <v/>
      </c>
      <c r="M474" s="1" t="str">
        <f>IF(OR($B474="",M$7=""),"",IF($B474="MEANS",INDEX('1-DATA'!$1:$1048576,$A473-1,COLUMN('1-DATA'!L472)),ROUND(INDEX('1-DATA'!$1:$1048576,IF(OR($B474="STD. DEVIATION",$C$1=1),$A474,$A474+1),COLUMN('1-DATA'!L472)),IF($B474="STD. DEVIATION",2,$F$1))))</f>
        <v/>
      </c>
      <c r="N474" s="1" t="str">
        <f>IF(OR($B474="",N$7=""),"",IF($B474="MEANS",INDEX('1-DATA'!$1:$1048576,$A473-1,COLUMN('1-DATA'!M472)),ROUND(INDEX('1-DATA'!$1:$1048576,IF(OR($B474="STD. DEVIATION",$C$1=1),$A474,$A474+1),COLUMN('1-DATA'!M472)),IF($B474="STD. DEVIATION",2,$F$1))))</f>
        <v/>
      </c>
      <c r="O474" s="1" t="str">
        <f>IF(OR($B474="",O$7=""),"",IF($B474="MEANS",INDEX('1-DATA'!$1:$1048576,$A473-1,COLUMN('1-DATA'!N472)),ROUND(INDEX('1-DATA'!$1:$1048576,IF(OR($B474="STD. DEVIATION",$C$1=1),$A474,$A474+1),COLUMN('1-DATA'!N472)),IF($B474="STD. DEVIATION",2,$F$1))))</f>
        <v/>
      </c>
      <c r="P474" s="1" t="str">
        <f>IF(OR($B474="",P$7=""),"",IF($B474="MEANS",INDEX('1-DATA'!$1:$1048576,$A473-1,COLUMN('1-DATA'!O472)),ROUND(INDEX('1-DATA'!$1:$1048576,IF(OR($B474="STD. DEVIATION",$C$1=1),$A474,$A474+1),COLUMN('1-DATA'!O472)),IF($B474="STD. DEVIATION",2,$F$1))))</f>
        <v/>
      </c>
      <c r="Q474" s="1" t="str">
        <f>IF(OR($B474="",Q$7=""),"",IF($B474="MEANS",INDEX('1-DATA'!$1:$1048576,$A473-1,COLUMN('1-DATA'!P472)),ROUND(INDEX('1-DATA'!$1:$1048576,IF(OR($B474="STD. DEVIATION",$C$1=1),$A474,$A474+1),COLUMN('1-DATA'!P472)),IF($B474="STD. DEVIATION",2,$F$1))))</f>
        <v/>
      </c>
      <c r="R474" s="1" t="str">
        <f>IF(OR($B474="",R$7=""),"",IF($B474="MEANS",INDEX('1-DATA'!$1:$1048576,$A473-1,COLUMN('1-DATA'!Q472)),ROUND(INDEX('1-DATA'!$1:$1048576,IF(OR($B474="STD. DEVIATION",$C$1=1),$A474,$A474+1),COLUMN('1-DATA'!Q472)),IF($B474="STD. DEVIATION",2,$F$1))))</f>
        <v/>
      </c>
      <c r="S474" s="1" t="str">
        <f>IF(OR($B474="",S$7=""),"",IF($B474="MEANS",INDEX('1-DATA'!$1:$1048576,$A473-1,COLUMN('1-DATA'!R472)),ROUND(INDEX('1-DATA'!$1:$1048576,IF(OR($B474="STD. DEVIATION",$C$1=1),$A474,$A474+1),COLUMN('1-DATA'!R472)),IF($B474="STD. DEVIATION",2,$F$1))))</f>
        <v/>
      </c>
      <c r="T474" s="1" t="str">
        <f>IF(OR($B474="",T$7=""),"",IF($B474="MEANS",INDEX('1-DATA'!$1:$1048576,$A473-1,COLUMN('1-DATA'!S472)),ROUND(INDEX('1-DATA'!$1:$1048576,IF(OR($B474="STD. DEVIATION",$C$1=1),$A474,$A474+1),COLUMN('1-DATA'!S472)),IF($B474="STD. DEVIATION",2,$F$1))))</f>
        <v/>
      </c>
      <c r="U474" s="1" t="str">
        <f>IF(OR($B474="",U$7=""),"",IF($B474="MEANS",INDEX('1-DATA'!$1:$1048576,$A473-1,COLUMN('1-DATA'!T472)),ROUND(INDEX('1-DATA'!$1:$1048576,IF(OR($B474="STD. DEVIATION",$C$1=1),$A474,$A474+1),COLUMN('1-DATA'!T472)),IF($B474="STD. DEVIATION",2,$F$1))))</f>
        <v/>
      </c>
      <c r="V474" s="1" t="str">
        <f>IF(OR($B474="",V$7=""),"",IF($B474="MEANS",INDEX('1-DATA'!$1:$1048576,$A473-1,COLUMN('1-DATA'!U472)),ROUND(INDEX('1-DATA'!$1:$1048576,IF(OR($B474="STD. DEVIATION",$C$1=1),$A474,$A474+1),COLUMN('1-DATA'!U472)),IF($B474="STD. DEVIATION",2,$F$1))))</f>
        <v/>
      </c>
      <c r="W474" s="1" t="str">
        <f>IF(OR($B474="",W$7=""),"",IF($B474="MEANS",INDEX('1-DATA'!$1:$1048576,$A473-1,COLUMN('1-DATA'!V472)),ROUND(INDEX('1-DATA'!$1:$1048576,IF(OR($B474="STD. DEVIATION",$C$1=1),$A474,$A474+1),COLUMN('1-DATA'!V472)),IF($B474="STD. DEVIATION",2,$F$1))))</f>
        <v/>
      </c>
      <c r="X474" s="1" t="str">
        <f>IF(OR($B474="",X$7=""),"",IF($B474="MEANS",INDEX('1-DATA'!$1:$1048576,$A473-1,COLUMN('1-DATA'!W472)),ROUND(INDEX('1-DATA'!$1:$1048576,IF(OR($B474="STD. DEVIATION",$C$1=1),$A474,$A474+1),COLUMN('1-DATA'!W472)),IF($B474="STD. DEVIATION",2,$F$1))))</f>
        <v/>
      </c>
      <c r="Y474" s="1" t="str">
        <f>IF(OR($B474="",Y$7=""),"",IF($B474="MEANS",INDEX('1-DATA'!$1:$1048576,$A473-1,COLUMN('1-DATA'!X472)),ROUND(INDEX('1-DATA'!$1:$1048576,IF(OR($B474="STD. DEVIATION",$C$1=1),$A474,$A474+1),COLUMN('1-DATA'!X472)),IF($B474="STD. DEVIATION",2,$F$1))))</f>
        <v/>
      </c>
      <c r="Z474" s="1" t="str">
        <f>IF(OR($B474="",Z$7=""),"",IF($B474="MEANS",INDEX('1-DATA'!$1:$1048576,$A473-1,COLUMN('1-DATA'!Y472)),ROUND(INDEX('1-DATA'!$1:$1048576,IF(OR($B474="STD. DEVIATION",$C$1=1),$A474,$A474+1),COLUMN('1-DATA'!Y472)),IF($B474="STD. DEVIATION",2,$F$1))))</f>
        <v/>
      </c>
      <c r="AA474" s="1" t="str">
        <f>IF(OR($B474="",AA$7=""),"",IF($B474="MEANS",INDEX('1-DATA'!$1:$1048576,$A473-1,COLUMN('1-DATA'!Z472)),ROUND(INDEX('1-DATA'!$1:$1048576,IF(OR($B474="STD. DEVIATION",$C$1=1),$A474,$A474+1),COLUMN('1-DATA'!Z472)),IF($B474="STD. DEVIATION",2,$F$1))))</f>
        <v/>
      </c>
      <c r="AB474" s="1" t="str">
        <f>IF(OR($B474="",AB$7=""),"",IF($B474="MEANS",INDEX('1-DATA'!$1:$1048576,$A473-1,COLUMN('1-DATA'!AA472)),ROUND(INDEX('1-DATA'!$1:$1048576,IF(OR($B474="STD. DEVIATION",$C$1=1),$A474,$A474+1),COLUMN('1-DATA'!AA472)),IF($B474="STD. DEVIATION",2,$F$1))))</f>
        <v/>
      </c>
      <c r="AC474" s="1" t="str">
        <f>IF(OR($B474="",AC$7=""),"",IF($B474="MEANS",INDEX('1-DATA'!$1:$1048576,$A473-1,COLUMN('1-DATA'!AB472)),ROUND(INDEX('1-DATA'!$1:$1048576,IF(OR($B474="STD. DEVIATION",$C$1=1),$A474,$A474+1),COLUMN('1-DATA'!AB472)),IF($B474="STD. DEVIATION",2,$F$1))))</f>
        <v/>
      </c>
      <c r="AD474" s="1" t="str">
        <f>IF(OR($B474="",AD$7=""),"",IF($B474="MEANS",INDEX('1-DATA'!$1:$1048576,$A473-1,COLUMN('1-DATA'!AC472)),ROUND(INDEX('1-DATA'!$1:$1048576,IF(OR($B474="STD. DEVIATION",$C$1=1),$A474,$A474+1),COLUMN('1-DATA'!AC472)),IF($B474="STD. DEVIATION",2,$F$1))))</f>
        <v/>
      </c>
      <c r="AE474" s="1" t="str">
        <f>IF(OR($B474="",AE$7=""),"",IF($B474="MEANS",INDEX('1-DATA'!$1:$1048576,$A473-1,COLUMN('1-DATA'!AD472)),ROUND(INDEX('1-DATA'!$1:$1048576,IF(OR($B474="STD. DEVIATION",$C$1=1),$A474,$A474+1),COLUMN('1-DATA'!AD472)),IF($B474="STD. DEVIATION",2,$F$1))))</f>
        <v/>
      </c>
      <c r="AF474" s="1" t="str">
        <f>IF(OR($B474="",AF$7=""),"",IF($B474="MEANS",INDEX('1-DATA'!$1:$1048576,$A473-1,COLUMN('1-DATA'!AE472)),ROUND(INDEX('1-DATA'!$1:$1048576,IF(OR($B474="STD. DEVIATION",$C$1=1),$A474,$A474+1),COLUMN('1-DATA'!AE472)),IF($B474="STD. DEVIATION",2,$F$1))))</f>
        <v/>
      </c>
      <c r="AG474" s="1" t="str">
        <f>IF(OR($B474="",AG$7=""),"",IF($B474="MEANS",INDEX('1-DATA'!$1:$1048576,$A473-1,COLUMN('1-DATA'!AF472)),ROUND(INDEX('1-DATA'!$1:$1048576,IF(OR($B474="STD. DEVIATION",$C$1=1),$A474,$A474+1),COLUMN('1-DATA'!AF472)),IF($B474="STD. DEVIATION",2,$F$1))))</f>
        <v/>
      </c>
      <c r="AH474" s="1" t="str">
        <f>IF(OR($B474="",AH$7=""),"",IF($B474="MEANS",INDEX('1-DATA'!$1:$1048576,$A473-1,COLUMN('1-DATA'!AG472)),ROUND(INDEX('1-DATA'!$1:$1048576,IF(OR($B474="STD. DEVIATION",$C$1=1),$A474,$A474+1),COLUMN('1-DATA'!AG472)),IF($B474="STD. DEVIATION",2,$F$1))))</f>
        <v/>
      </c>
      <c r="AI474" s="1" t="str">
        <f>IF(OR($B474="",AI$7=""),"",IF($B474="MEANS",INDEX('1-DATA'!$1:$1048576,$A473-1,COLUMN('1-DATA'!AH472)),ROUND(INDEX('1-DATA'!$1:$1048576,IF(OR($B474="STD. DEVIATION",$C$1=1),$A474,$A474+1),COLUMN('1-DATA'!AH472)),IF($B474="STD. DEVIATION",2,$F$1))))</f>
        <v/>
      </c>
      <c r="AJ474" s="1" t="str">
        <f>IF(OR($B474="",AJ$7=""),"",IF($B474="MEANS",INDEX('1-DATA'!$1:$1048576,$A473-1,COLUMN('1-DATA'!AI472)),ROUND(INDEX('1-DATA'!$1:$1048576,IF(OR($B474="STD. DEVIATION",$C$1=1),$A474,$A474+1),COLUMN('1-DATA'!AI472)),IF($B474="STD. DEVIATION",2,$F$1))))</f>
        <v/>
      </c>
      <c r="AK474" s="1" t="str">
        <f>IF(OR($B474="",AK$7=""),"",IF($B474="MEANS",INDEX('1-DATA'!$1:$1048576,$A473-1,COLUMN('1-DATA'!AJ472)),ROUND(INDEX('1-DATA'!$1:$1048576,IF(OR($B474="STD. DEVIATION",$C$1=1),$A474,$A474+1),COLUMN('1-DATA'!AJ472)),IF($B474="STD. DEVIATION",2,$F$1))))</f>
        <v/>
      </c>
      <c r="AL474" s="1" t="str">
        <f>IF(OR($B474="",AL$7=""),"",IF($B474="MEANS",INDEX('1-DATA'!$1:$1048576,$A473-1,COLUMN('1-DATA'!AK472)),ROUND(INDEX('1-DATA'!$1:$1048576,IF(OR($B474="STD. DEVIATION",$C$1=1),$A474,$A474+1),COLUMN('1-DATA'!AK472)),IF($B474="STD. DEVIATION",2,$F$1))))</f>
        <v/>
      </c>
      <c r="AM474" s="1" t="str">
        <f>IF(OR($B474="",AM$7=""),"",IF($B474="MEANS",INDEX('1-DATA'!$1:$1048576,$A473-1,COLUMN('1-DATA'!AL472)),ROUND(INDEX('1-DATA'!$1:$1048576,IF(OR($B474="STD. DEVIATION",$C$1=1),$A474,$A474+1),COLUMN('1-DATA'!AL472)),IF($B474="STD. DEVIATION",2,$F$1))))</f>
        <v/>
      </c>
      <c r="AN474" s="1" t="str">
        <f>IF(OR($B474="",AN$7=""),"",IF($B474="MEANS",INDEX('1-DATA'!$1:$1048576,$A473-1,COLUMN('1-DATA'!AM472)),ROUND(INDEX('1-DATA'!$1:$1048576,IF(OR($B474="STD. DEVIATION",$C$1=1),$A474,$A474+1),COLUMN('1-DATA'!AM472)),IF($B474="STD. DEVIATION",2,$F$1))))</f>
        <v/>
      </c>
      <c r="AO474" s="1" t="str">
        <f>IF(OR($B474="",AO$7=""),"",IF($B474="MEANS",INDEX('1-DATA'!$1:$1048576,$A473-1,COLUMN('1-DATA'!AN472)),ROUND(INDEX('1-DATA'!$1:$1048576,IF(OR($B474="STD. DEVIATION",$C$1=1),$A474,$A474+1),COLUMN('1-DATA'!AN472)),IF($B474="STD. DEVIATION",2,$F$1))))</f>
        <v/>
      </c>
      <c r="AP474" s="1" t="str">
        <f>IF(OR($B474="",AP$7=""),"",IF($B474="MEANS",INDEX('1-DATA'!$1:$1048576,$A473-1,COLUMN('1-DATA'!AO472)),ROUND(INDEX('1-DATA'!$1:$1048576,IF(OR($B474="STD. DEVIATION",$C$1=1),$A474,$A474+1),COLUMN('1-DATA'!AO472)),IF($B474="STD. DEVIATION",2,$F$1))))</f>
        <v/>
      </c>
      <c r="AQ474" s="1" t="str">
        <f>IF(OR($B474="",AQ$7=""),"",IF($B474="MEANS",INDEX('1-DATA'!$1:$1048576,$A473-1,COLUMN('1-DATA'!AP472)),ROUND(INDEX('1-DATA'!$1:$1048576,IF(OR($B474="STD. DEVIATION",$C$1=1),$A474,$A474+1),COLUMN('1-DATA'!AP472)),IF($B474="STD. DEVIATION",2,$F$1))))</f>
        <v/>
      </c>
      <c r="AR474" s="1" t="str">
        <f>IF(OR($B474="",AR$7=""),"",IF($B474="MEANS",INDEX('1-DATA'!$1:$1048576,$A473-1,COLUMN('1-DATA'!AQ472)),ROUND(INDEX('1-DATA'!$1:$1048576,IF(OR($B474="STD. DEVIATION",$C$1=1),$A474,$A474+1),COLUMN('1-DATA'!AQ472)),IF($B474="STD. DEVIATION",2,$F$1))))</f>
        <v/>
      </c>
      <c r="AS474" s="1" t="str">
        <f>IF(OR($B474="",AS$7=""),"",IF($B474="MEANS",INDEX('1-DATA'!$1:$1048576,$A473-1,COLUMN('1-DATA'!AR472)),ROUND(INDEX('1-DATA'!$1:$1048576,IF(OR($B474="STD. DEVIATION",$C$1=1),$A474,$A474+1),COLUMN('1-DATA'!AR472)),IF($B474="STD. DEVIATION",2,$F$1))))</f>
        <v/>
      </c>
      <c r="AT474" s="1" t="str">
        <f>IF(OR($B474="",AT$7=""),"",IF($B474="MEANS",INDEX('1-DATA'!$1:$1048576,$A473-1,COLUMN('1-DATA'!AS472)),ROUND(INDEX('1-DATA'!$1:$1048576,IF(OR($B474="STD. DEVIATION",$C$1=1),$A474,$A474+1),COLUMN('1-DATA'!AS472)),IF($B474="STD. DEVIATION",2,$F$1))))</f>
        <v/>
      </c>
      <c r="AU474" s="1" t="str">
        <f>IF(OR($B474="",AU$7=""),"",IF($B474="MEANS",INDEX('1-DATA'!$1:$1048576,$A473-1,COLUMN('1-DATA'!AT472)),ROUND(INDEX('1-DATA'!$1:$1048576,IF(OR($B474="STD. DEVIATION",$C$1=1),$A474,$A474+1),COLUMN('1-DATA'!AT472)),IF($B474="STD. DEVIATION",2,$F$1))))</f>
        <v/>
      </c>
      <c r="AV474" s="1" t="str">
        <f>IF(OR($B474="",AV$7=""),"",IF($B474="MEANS",INDEX('1-DATA'!$1:$1048576,$A473-1,COLUMN('1-DATA'!AU472)),ROUND(INDEX('1-DATA'!$1:$1048576,IF(OR($B474="STD. DEVIATION",$C$1=1),$A474,$A474+1),COLUMN('1-DATA'!AU472)),IF($B474="STD. DEVIATION",2,$F$1))))</f>
        <v/>
      </c>
      <c r="AW474" s="1" t="str">
        <f>IF(OR($B474="",AW$7=""),"",IF($B474="MEANS",INDEX('1-DATA'!$1:$1048576,$A473-1,COLUMN('1-DATA'!AV472)),ROUND(INDEX('1-DATA'!$1:$1048576,IF(OR($B474="STD. DEVIATION",$C$1=1),$A474,$A474+1),COLUMN('1-DATA'!AV472)),IF($B474="STD. DEVIATION",2,$F$1))))</f>
        <v/>
      </c>
      <c r="AX474" s="1" t="str">
        <f>IF(OR($B474="",AX$7=""),"",IF($B474="MEANS",INDEX('1-DATA'!$1:$1048576,$A473-1,COLUMN('1-DATA'!AW472)),ROUND(INDEX('1-DATA'!$1:$1048576,IF(OR($B474="STD. DEVIATION",$C$1=1),$A474,$A474+1),COLUMN('1-DATA'!AW472)),IF($B474="STD. DEVIATION",2,$F$1))))</f>
        <v/>
      </c>
      <c r="AY474" s="1" t="str">
        <f>IF(OR($B474="",AY$7=""),"",IF($B474="MEANS",INDEX('1-DATA'!$1:$1048576,$A473-1,COLUMN('1-DATA'!AX472)),ROUND(INDEX('1-DATA'!$1:$1048576,IF(OR($B474="STD. DEVIATION",$C$1=1),$A474,$A474+1),COLUMN('1-DATA'!AX472)),IF($B474="STD. DEVIATION",2,$F$1))))</f>
        <v/>
      </c>
      <c r="AZ474" s="1" t="str">
        <f>IF(OR($B474="",AZ$7=""),"",IF($B474="MEANS",INDEX('1-DATA'!$1:$1048576,$A473-1,COLUMN('1-DATA'!AY472)),ROUND(INDEX('1-DATA'!$1:$1048576,IF(OR($B474="STD. DEVIATION",$C$1=1),$A474,$A474+1),COLUMN('1-DATA'!AY472)),IF($B474="STD. DEVIATION",2,$F$1))))</f>
        <v/>
      </c>
    </row>
    <row r="475" spans="1:52" x14ac:dyDescent="0.25">
      <c r="A475" s="11">
        <f t="shared" si="7"/>
        <v>1411</v>
      </c>
      <c r="B475" s="1" t="str">
        <f>IF(B474="STD. DEVIATION",INDEX('1-DATA'!$1:$1048576,$A474-1,1),IF(INDEX('1-DATA'!$1:$1048576,$A475,1)&lt;&gt;"",INDEX('1-DATA'!$1:$1048576,$A475,1),""))</f>
        <v/>
      </c>
      <c r="C475" s="1" t="str">
        <f>IF(OR($B475="",C$7=""),"",IF($B475="MEANS",INDEX('1-DATA'!$1:$1048576,$A474-1,COLUMN('1-DATA'!B473)),ROUND(INDEX('1-DATA'!$1:$1048576,IF(OR($B475="STD. DEVIATION",$C$1=1),$A475,$A475+1),COLUMN('1-DATA'!B473)),IF($B475="STD. DEVIATION",2,$F$1))))</f>
        <v/>
      </c>
      <c r="D475" s="1" t="str">
        <f>IF(OR($B475="",D$7=""),"",IF($B475="MEANS",INDEX('1-DATA'!$1:$1048576,$A474-1,COLUMN('1-DATA'!C473)),ROUND(INDEX('1-DATA'!$1:$1048576,IF(OR($B475="STD. DEVIATION",$C$1=1),$A475,$A475+1),COLUMN('1-DATA'!C473)),IF($B475="STD. DEVIATION",2,$F$1))))</f>
        <v/>
      </c>
      <c r="E475" s="1" t="str">
        <f>IF(OR($B475="",E$7=""),"",IF($B475="MEANS",INDEX('1-DATA'!$1:$1048576,$A474-1,COLUMN('1-DATA'!D473)),ROUND(INDEX('1-DATA'!$1:$1048576,IF(OR($B475="STD. DEVIATION",$C$1=1),$A475,$A475+1),COLUMN('1-DATA'!D473)),IF($B475="STD. DEVIATION",2,$F$1))))</f>
        <v/>
      </c>
      <c r="F475" s="1" t="str">
        <f>IF(OR($B475="",F$7=""),"",IF($B475="MEANS",INDEX('1-DATA'!$1:$1048576,$A474-1,COLUMN('1-DATA'!E473)),ROUND(INDEX('1-DATA'!$1:$1048576,IF(OR($B475="STD. DEVIATION",$C$1=1),$A475,$A475+1),COLUMN('1-DATA'!E473)),IF($B475="STD. DEVIATION",2,$F$1))))</f>
        <v/>
      </c>
      <c r="G475" s="1" t="str">
        <f>IF(OR($B475="",G$7=""),"",IF($B475="MEANS",INDEX('1-DATA'!$1:$1048576,$A474-1,COLUMN('1-DATA'!F473)),ROUND(INDEX('1-DATA'!$1:$1048576,IF(OR($B475="STD. DEVIATION",$C$1=1),$A475,$A475+1),COLUMN('1-DATA'!F473)),IF($B475="STD. DEVIATION",2,$F$1))))</f>
        <v/>
      </c>
      <c r="H475" s="1" t="str">
        <f>IF(OR($B475="",H$7=""),"",IF($B475="MEANS",INDEX('1-DATA'!$1:$1048576,$A474-1,COLUMN('1-DATA'!G473)),ROUND(INDEX('1-DATA'!$1:$1048576,IF(OR($B475="STD. DEVIATION",$C$1=1),$A475,$A475+1),COLUMN('1-DATA'!G473)),IF($B475="STD. DEVIATION",2,$F$1))))</f>
        <v/>
      </c>
      <c r="I475" s="1" t="str">
        <f>IF(OR($B475="",I$7=""),"",IF($B475="MEANS",INDEX('1-DATA'!$1:$1048576,$A474-1,COLUMN('1-DATA'!H473)),ROUND(INDEX('1-DATA'!$1:$1048576,IF(OR($B475="STD. DEVIATION",$C$1=1),$A475,$A475+1),COLUMN('1-DATA'!H473)),IF($B475="STD. DEVIATION",2,$F$1))))</f>
        <v/>
      </c>
      <c r="J475" s="1" t="str">
        <f>IF(OR($B475="",J$7=""),"",IF($B475="MEANS",INDEX('1-DATA'!$1:$1048576,$A474-1,COLUMN('1-DATA'!I473)),ROUND(INDEX('1-DATA'!$1:$1048576,IF(OR($B475="STD. DEVIATION",$C$1=1),$A475,$A475+1),COLUMN('1-DATA'!I473)),IF($B475="STD. DEVIATION",2,$F$1))))</f>
        <v/>
      </c>
      <c r="K475" s="1" t="str">
        <f>IF(OR($B475="",K$7=""),"",IF($B475="MEANS",INDEX('1-DATA'!$1:$1048576,$A474-1,COLUMN('1-DATA'!J473)),ROUND(INDEX('1-DATA'!$1:$1048576,IF(OR($B475="STD. DEVIATION",$C$1=1),$A475,$A475+1),COLUMN('1-DATA'!J473)),IF($B475="STD. DEVIATION",2,$F$1))))</f>
        <v/>
      </c>
      <c r="L475" s="1" t="str">
        <f>IF(OR($B475="",L$7=""),"",IF($B475="MEANS",INDEX('1-DATA'!$1:$1048576,$A474-1,COLUMN('1-DATA'!K473)),ROUND(INDEX('1-DATA'!$1:$1048576,IF(OR($B475="STD. DEVIATION",$C$1=1),$A475,$A475+1),COLUMN('1-DATA'!K473)),IF($B475="STD. DEVIATION",2,$F$1))))</f>
        <v/>
      </c>
      <c r="M475" s="1" t="str">
        <f>IF(OR($B475="",M$7=""),"",IF($B475="MEANS",INDEX('1-DATA'!$1:$1048576,$A474-1,COLUMN('1-DATA'!L473)),ROUND(INDEX('1-DATA'!$1:$1048576,IF(OR($B475="STD. DEVIATION",$C$1=1),$A475,$A475+1),COLUMN('1-DATA'!L473)),IF($B475="STD. DEVIATION",2,$F$1))))</f>
        <v/>
      </c>
      <c r="N475" s="1" t="str">
        <f>IF(OR($B475="",N$7=""),"",IF($B475="MEANS",INDEX('1-DATA'!$1:$1048576,$A474-1,COLUMN('1-DATA'!M473)),ROUND(INDEX('1-DATA'!$1:$1048576,IF(OR($B475="STD. DEVIATION",$C$1=1),$A475,$A475+1),COLUMN('1-DATA'!M473)),IF($B475="STD. DEVIATION",2,$F$1))))</f>
        <v/>
      </c>
      <c r="O475" s="1" t="str">
        <f>IF(OR($B475="",O$7=""),"",IF($B475="MEANS",INDEX('1-DATA'!$1:$1048576,$A474-1,COLUMN('1-DATA'!N473)),ROUND(INDEX('1-DATA'!$1:$1048576,IF(OR($B475="STD. DEVIATION",$C$1=1),$A475,$A475+1),COLUMN('1-DATA'!N473)),IF($B475="STD. DEVIATION",2,$F$1))))</f>
        <v/>
      </c>
      <c r="P475" s="1" t="str">
        <f>IF(OR($B475="",P$7=""),"",IF($B475="MEANS",INDEX('1-DATA'!$1:$1048576,$A474-1,COLUMN('1-DATA'!O473)),ROUND(INDEX('1-DATA'!$1:$1048576,IF(OR($B475="STD. DEVIATION",$C$1=1),$A475,$A475+1),COLUMN('1-DATA'!O473)),IF($B475="STD. DEVIATION",2,$F$1))))</f>
        <v/>
      </c>
      <c r="Q475" s="1" t="str">
        <f>IF(OR($B475="",Q$7=""),"",IF($B475="MEANS",INDEX('1-DATA'!$1:$1048576,$A474-1,COLUMN('1-DATA'!P473)),ROUND(INDEX('1-DATA'!$1:$1048576,IF(OR($B475="STD. DEVIATION",$C$1=1),$A475,$A475+1),COLUMN('1-DATA'!P473)),IF($B475="STD. DEVIATION",2,$F$1))))</f>
        <v/>
      </c>
      <c r="R475" s="1" t="str">
        <f>IF(OR($B475="",R$7=""),"",IF($B475="MEANS",INDEX('1-DATA'!$1:$1048576,$A474-1,COLUMN('1-DATA'!Q473)),ROUND(INDEX('1-DATA'!$1:$1048576,IF(OR($B475="STD. DEVIATION",$C$1=1),$A475,$A475+1),COLUMN('1-DATA'!Q473)),IF($B475="STD. DEVIATION",2,$F$1))))</f>
        <v/>
      </c>
      <c r="S475" s="1" t="str">
        <f>IF(OR($B475="",S$7=""),"",IF($B475="MEANS",INDEX('1-DATA'!$1:$1048576,$A474-1,COLUMN('1-DATA'!R473)),ROUND(INDEX('1-DATA'!$1:$1048576,IF(OR($B475="STD. DEVIATION",$C$1=1),$A475,$A475+1),COLUMN('1-DATA'!R473)),IF($B475="STD. DEVIATION",2,$F$1))))</f>
        <v/>
      </c>
      <c r="T475" s="1" t="str">
        <f>IF(OR($B475="",T$7=""),"",IF($B475="MEANS",INDEX('1-DATA'!$1:$1048576,$A474-1,COLUMN('1-DATA'!S473)),ROUND(INDEX('1-DATA'!$1:$1048576,IF(OR($B475="STD. DEVIATION",$C$1=1),$A475,$A475+1),COLUMN('1-DATA'!S473)),IF($B475="STD. DEVIATION",2,$F$1))))</f>
        <v/>
      </c>
      <c r="U475" s="1" t="str">
        <f>IF(OR($B475="",U$7=""),"",IF($B475="MEANS",INDEX('1-DATA'!$1:$1048576,$A474-1,COLUMN('1-DATA'!T473)),ROUND(INDEX('1-DATA'!$1:$1048576,IF(OR($B475="STD. DEVIATION",$C$1=1),$A475,$A475+1),COLUMN('1-DATA'!T473)),IF($B475="STD. DEVIATION",2,$F$1))))</f>
        <v/>
      </c>
      <c r="V475" s="1" t="str">
        <f>IF(OR($B475="",V$7=""),"",IF($B475="MEANS",INDEX('1-DATA'!$1:$1048576,$A474-1,COLUMN('1-DATA'!U473)),ROUND(INDEX('1-DATA'!$1:$1048576,IF(OR($B475="STD. DEVIATION",$C$1=1),$A475,$A475+1),COLUMN('1-DATA'!U473)),IF($B475="STD. DEVIATION",2,$F$1))))</f>
        <v/>
      </c>
      <c r="W475" s="1" t="str">
        <f>IF(OR($B475="",W$7=""),"",IF($B475="MEANS",INDEX('1-DATA'!$1:$1048576,$A474-1,COLUMN('1-DATA'!V473)),ROUND(INDEX('1-DATA'!$1:$1048576,IF(OR($B475="STD. DEVIATION",$C$1=1),$A475,$A475+1),COLUMN('1-DATA'!V473)),IF($B475="STD. DEVIATION",2,$F$1))))</f>
        <v/>
      </c>
      <c r="X475" s="1" t="str">
        <f>IF(OR($B475="",X$7=""),"",IF($B475="MEANS",INDEX('1-DATA'!$1:$1048576,$A474-1,COLUMN('1-DATA'!W473)),ROUND(INDEX('1-DATA'!$1:$1048576,IF(OR($B475="STD. DEVIATION",$C$1=1),$A475,$A475+1),COLUMN('1-DATA'!W473)),IF($B475="STD. DEVIATION",2,$F$1))))</f>
        <v/>
      </c>
      <c r="Y475" s="1" t="str">
        <f>IF(OR($B475="",Y$7=""),"",IF($B475="MEANS",INDEX('1-DATA'!$1:$1048576,$A474-1,COLUMN('1-DATA'!X473)),ROUND(INDEX('1-DATA'!$1:$1048576,IF(OR($B475="STD. DEVIATION",$C$1=1),$A475,$A475+1),COLUMN('1-DATA'!X473)),IF($B475="STD. DEVIATION",2,$F$1))))</f>
        <v/>
      </c>
      <c r="Z475" s="1" t="str">
        <f>IF(OR($B475="",Z$7=""),"",IF($B475="MEANS",INDEX('1-DATA'!$1:$1048576,$A474-1,COLUMN('1-DATA'!Y473)),ROUND(INDEX('1-DATA'!$1:$1048576,IF(OR($B475="STD. DEVIATION",$C$1=1),$A475,$A475+1),COLUMN('1-DATA'!Y473)),IF($B475="STD. DEVIATION",2,$F$1))))</f>
        <v/>
      </c>
      <c r="AA475" s="1" t="str">
        <f>IF(OR($B475="",AA$7=""),"",IF($B475="MEANS",INDEX('1-DATA'!$1:$1048576,$A474-1,COLUMN('1-DATA'!Z473)),ROUND(INDEX('1-DATA'!$1:$1048576,IF(OR($B475="STD. DEVIATION",$C$1=1),$A475,$A475+1),COLUMN('1-DATA'!Z473)),IF($B475="STD. DEVIATION",2,$F$1))))</f>
        <v/>
      </c>
      <c r="AB475" s="1" t="str">
        <f>IF(OR($B475="",AB$7=""),"",IF($B475="MEANS",INDEX('1-DATA'!$1:$1048576,$A474-1,COLUMN('1-DATA'!AA473)),ROUND(INDEX('1-DATA'!$1:$1048576,IF(OR($B475="STD. DEVIATION",$C$1=1),$A475,$A475+1),COLUMN('1-DATA'!AA473)),IF($B475="STD. DEVIATION",2,$F$1))))</f>
        <v/>
      </c>
      <c r="AC475" s="1" t="str">
        <f>IF(OR($B475="",AC$7=""),"",IF($B475="MEANS",INDEX('1-DATA'!$1:$1048576,$A474-1,COLUMN('1-DATA'!AB473)),ROUND(INDEX('1-DATA'!$1:$1048576,IF(OR($B475="STD. DEVIATION",$C$1=1),$A475,$A475+1),COLUMN('1-DATA'!AB473)),IF($B475="STD. DEVIATION",2,$F$1))))</f>
        <v/>
      </c>
      <c r="AD475" s="1" t="str">
        <f>IF(OR($B475="",AD$7=""),"",IF($B475="MEANS",INDEX('1-DATA'!$1:$1048576,$A474-1,COLUMN('1-DATA'!AC473)),ROUND(INDEX('1-DATA'!$1:$1048576,IF(OR($B475="STD. DEVIATION",$C$1=1),$A475,$A475+1),COLUMN('1-DATA'!AC473)),IF($B475="STD. DEVIATION",2,$F$1))))</f>
        <v/>
      </c>
      <c r="AE475" s="1" t="str">
        <f>IF(OR($B475="",AE$7=""),"",IF($B475="MEANS",INDEX('1-DATA'!$1:$1048576,$A474-1,COLUMN('1-DATA'!AD473)),ROUND(INDEX('1-DATA'!$1:$1048576,IF(OR($B475="STD. DEVIATION",$C$1=1),$A475,$A475+1),COLUMN('1-DATA'!AD473)),IF($B475="STD. DEVIATION",2,$F$1))))</f>
        <v/>
      </c>
      <c r="AF475" s="1" t="str">
        <f>IF(OR($B475="",AF$7=""),"",IF($B475="MEANS",INDEX('1-DATA'!$1:$1048576,$A474-1,COLUMN('1-DATA'!AE473)),ROUND(INDEX('1-DATA'!$1:$1048576,IF(OR($B475="STD. DEVIATION",$C$1=1),$A475,$A475+1),COLUMN('1-DATA'!AE473)),IF($B475="STD. DEVIATION",2,$F$1))))</f>
        <v/>
      </c>
      <c r="AG475" s="1" t="str">
        <f>IF(OR($B475="",AG$7=""),"",IF($B475="MEANS",INDEX('1-DATA'!$1:$1048576,$A474-1,COLUMN('1-DATA'!AF473)),ROUND(INDEX('1-DATA'!$1:$1048576,IF(OR($B475="STD. DEVIATION",$C$1=1),$A475,$A475+1),COLUMN('1-DATA'!AF473)),IF($B475="STD. DEVIATION",2,$F$1))))</f>
        <v/>
      </c>
      <c r="AH475" s="1" t="str">
        <f>IF(OR($B475="",AH$7=""),"",IF($B475="MEANS",INDEX('1-DATA'!$1:$1048576,$A474-1,COLUMN('1-DATA'!AG473)),ROUND(INDEX('1-DATA'!$1:$1048576,IF(OR($B475="STD. DEVIATION",$C$1=1),$A475,$A475+1),COLUMN('1-DATA'!AG473)),IF($B475="STD. DEVIATION",2,$F$1))))</f>
        <v/>
      </c>
      <c r="AI475" s="1" t="str">
        <f>IF(OR($B475="",AI$7=""),"",IF($B475="MEANS",INDEX('1-DATA'!$1:$1048576,$A474-1,COLUMN('1-DATA'!AH473)),ROUND(INDEX('1-DATA'!$1:$1048576,IF(OR($B475="STD. DEVIATION",$C$1=1),$A475,$A475+1),COLUMN('1-DATA'!AH473)),IF($B475="STD. DEVIATION",2,$F$1))))</f>
        <v/>
      </c>
      <c r="AJ475" s="1" t="str">
        <f>IF(OR($B475="",AJ$7=""),"",IF($B475="MEANS",INDEX('1-DATA'!$1:$1048576,$A474-1,COLUMN('1-DATA'!AI473)),ROUND(INDEX('1-DATA'!$1:$1048576,IF(OR($B475="STD. DEVIATION",$C$1=1),$A475,$A475+1),COLUMN('1-DATA'!AI473)),IF($B475="STD. DEVIATION",2,$F$1))))</f>
        <v/>
      </c>
      <c r="AK475" s="1" t="str">
        <f>IF(OR($B475="",AK$7=""),"",IF($B475="MEANS",INDEX('1-DATA'!$1:$1048576,$A474-1,COLUMN('1-DATA'!AJ473)),ROUND(INDEX('1-DATA'!$1:$1048576,IF(OR($B475="STD. DEVIATION",$C$1=1),$A475,$A475+1),COLUMN('1-DATA'!AJ473)),IF($B475="STD. DEVIATION",2,$F$1))))</f>
        <v/>
      </c>
      <c r="AL475" s="1" t="str">
        <f>IF(OR($B475="",AL$7=""),"",IF($B475="MEANS",INDEX('1-DATA'!$1:$1048576,$A474-1,COLUMN('1-DATA'!AK473)),ROUND(INDEX('1-DATA'!$1:$1048576,IF(OR($B475="STD. DEVIATION",$C$1=1),$A475,$A475+1),COLUMN('1-DATA'!AK473)),IF($B475="STD. DEVIATION",2,$F$1))))</f>
        <v/>
      </c>
      <c r="AM475" s="1" t="str">
        <f>IF(OR($B475="",AM$7=""),"",IF($B475="MEANS",INDEX('1-DATA'!$1:$1048576,$A474-1,COLUMN('1-DATA'!AL473)),ROUND(INDEX('1-DATA'!$1:$1048576,IF(OR($B475="STD. DEVIATION",$C$1=1),$A475,$A475+1),COLUMN('1-DATA'!AL473)),IF($B475="STD. DEVIATION",2,$F$1))))</f>
        <v/>
      </c>
      <c r="AN475" s="1" t="str">
        <f>IF(OR($B475="",AN$7=""),"",IF($B475="MEANS",INDEX('1-DATA'!$1:$1048576,$A474-1,COLUMN('1-DATA'!AM473)),ROUND(INDEX('1-DATA'!$1:$1048576,IF(OR($B475="STD. DEVIATION",$C$1=1),$A475,$A475+1),COLUMN('1-DATA'!AM473)),IF($B475="STD. DEVIATION",2,$F$1))))</f>
        <v/>
      </c>
      <c r="AO475" s="1" t="str">
        <f>IF(OR($B475="",AO$7=""),"",IF($B475="MEANS",INDEX('1-DATA'!$1:$1048576,$A474-1,COLUMN('1-DATA'!AN473)),ROUND(INDEX('1-DATA'!$1:$1048576,IF(OR($B475="STD. DEVIATION",$C$1=1),$A475,$A475+1),COLUMN('1-DATA'!AN473)),IF($B475="STD. DEVIATION",2,$F$1))))</f>
        <v/>
      </c>
      <c r="AP475" s="1" t="str">
        <f>IF(OR($B475="",AP$7=""),"",IF($B475="MEANS",INDEX('1-DATA'!$1:$1048576,$A474-1,COLUMN('1-DATA'!AO473)),ROUND(INDEX('1-DATA'!$1:$1048576,IF(OR($B475="STD. DEVIATION",$C$1=1),$A475,$A475+1),COLUMN('1-DATA'!AO473)),IF($B475="STD. DEVIATION",2,$F$1))))</f>
        <v/>
      </c>
      <c r="AQ475" s="1" t="str">
        <f>IF(OR($B475="",AQ$7=""),"",IF($B475="MEANS",INDEX('1-DATA'!$1:$1048576,$A474-1,COLUMN('1-DATA'!AP473)),ROUND(INDEX('1-DATA'!$1:$1048576,IF(OR($B475="STD. DEVIATION",$C$1=1),$A475,$A475+1),COLUMN('1-DATA'!AP473)),IF($B475="STD. DEVIATION",2,$F$1))))</f>
        <v/>
      </c>
      <c r="AR475" s="1" t="str">
        <f>IF(OR($B475="",AR$7=""),"",IF($B475="MEANS",INDEX('1-DATA'!$1:$1048576,$A474-1,COLUMN('1-DATA'!AQ473)),ROUND(INDEX('1-DATA'!$1:$1048576,IF(OR($B475="STD. DEVIATION",$C$1=1),$A475,$A475+1),COLUMN('1-DATA'!AQ473)),IF($B475="STD. DEVIATION",2,$F$1))))</f>
        <v/>
      </c>
      <c r="AS475" s="1" t="str">
        <f>IF(OR($B475="",AS$7=""),"",IF($B475="MEANS",INDEX('1-DATA'!$1:$1048576,$A474-1,COLUMN('1-DATA'!AR473)),ROUND(INDEX('1-DATA'!$1:$1048576,IF(OR($B475="STD. DEVIATION",$C$1=1),$A475,$A475+1),COLUMN('1-DATA'!AR473)),IF($B475="STD. DEVIATION",2,$F$1))))</f>
        <v/>
      </c>
      <c r="AT475" s="1" t="str">
        <f>IF(OR($B475="",AT$7=""),"",IF($B475="MEANS",INDEX('1-DATA'!$1:$1048576,$A474-1,COLUMN('1-DATA'!AS473)),ROUND(INDEX('1-DATA'!$1:$1048576,IF(OR($B475="STD. DEVIATION",$C$1=1),$A475,$A475+1),COLUMN('1-DATA'!AS473)),IF($B475="STD. DEVIATION",2,$F$1))))</f>
        <v/>
      </c>
      <c r="AU475" s="1" t="str">
        <f>IF(OR($B475="",AU$7=""),"",IF($B475="MEANS",INDEX('1-DATA'!$1:$1048576,$A474-1,COLUMN('1-DATA'!AT473)),ROUND(INDEX('1-DATA'!$1:$1048576,IF(OR($B475="STD. DEVIATION",$C$1=1),$A475,$A475+1),COLUMN('1-DATA'!AT473)),IF($B475="STD. DEVIATION",2,$F$1))))</f>
        <v/>
      </c>
      <c r="AV475" s="1" t="str">
        <f>IF(OR($B475="",AV$7=""),"",IF($B475="MEANS",INDEX('1-DATA'!$1:$1048576,$A474-1,COLUMN('1-DATA'!AU473)),ROUND(INDEX('1-DATA'!$1:$1048576,IF(OR($B475="STD. DEVIATION",$C$1=1),$A475,$A475+1),COLUMN('1-DATA'!AU473)),IF($B475="STD. DEVIATION",2,$F$1))))</f>
        <v/>
      </c>
      <c r="AW475" s="1" t="str">
        <f>IF(OR($B475="",AW$7=""),"",IF($B475="MEANS",INDEX('1-DATA'!$1:$1048576,$A474-1,COLUMN('1-DATA'!AV473)),ROUND(INDEX('1-DATA'!$1:$1048576,IF(OR($B475="STD. DEVIATION",$C$1=1),$A475,$A475+1),COLUMN('1-DATA'!AV473)),IF($B475="STD. DEVIATION",2,$F$1))))</f>
        <v/>
      </c>
      <c r="AX475" s="1" t="str">
        <f>IF(OR($B475="",AX$7=""),"",IF($B475="MEANS",INDEX('1-DATA'!$1:$1048576,$A474-1,COLUMN('1-DATA'!AW473)),ROUND(INDEX('1-DATA'!$1:$1048576,IF(OR($B475="STD. DEVIATION",$C$1=1),$A475,$A475+1),COLUMN('1-DATA'!AW473)),IF($B475="STD. DEVIATION",2,$F$1))))</f>
        <v/>
      </c>
      <c r="AY475" s="1" t="str">
        <f>IF(OR($B475="",AY$7=""),"",IF($B475="MEANS",INDEX('1-DATA'!$1:$1048576,$A474-1,COLUMN('1-DATA'!AX473)),ROUND(INDEX('1-DATA'!$1:$1048576,IF(OR($B475="STD. DEVIATION",$C$1=1),$A475,$A475+1),COLUMN('1-DATA'!AX473)),IF($B475="STD. DEVIATION",2,$F$1))))</f>
        <v/>
      </c>
      <c r="AZ475" s="1" t="str">
        <f>IF(OR($B475="",AZ$7=""),"",IF($B475="MEANS",INDEX('1-DATA'!$1:$1048576,$A474-1,COLUMN('1-DATA'!AY473)),ROUND(INDEX('1-DATA'!$1:$1048576,IF(OR($B475="STD. DEVIATION",$C$1=1),$A475,$A475+1),COLUMN('1-DATA'!AY473)),IF($B475="STD. DEVIATION",2,$F$1))))</f>
        <v/>
      </c>
    </row>
    <row r="476" spans="1:52" x14ac:dyDescent="0.25">
      <c r="A476" s="11">
        <f t="shared" si="7"/>
        <v>1414</v>
      </c>
      <c r="B476" s="1" t="str">
        <f>IF(B475="STD. DEVIATION",INDEX('1-DATA'!$1:$1048576,$A475-1,1),IF(INDEX('1-DATA'!$1:$1048576,$A476,1)&lt;&gt;"",INDEX('1-DATA'!$1:$1048576,$A476,1),""))</f>
        <v/>
      </c>
      <c r="C476" s="1" t="str">
        <f>IF(OR($B476="",C$7=""),"",IF($B476="MEANS",INDEX('1-DATA'!$1:$1048576,$A475-1,COLUMN('1-DATA'!B474)),ROUND(INDEX('1-DATA'!$1:$1048576,IF(OR($B476="STD. DEVIATION",$C$1=1),$A476,$A476+1),COLUMN('1-DATA'!B474)),IF($B476="STD. DEVIATION",2,$F$1))))</f>
        <v/>
      </c>
      <c r="D476" s="1" t="str">
        <f>IF(OR($B476="",D$7=""),"",IF($B476="MEANS",INDEX('1-DATA'!$1:$1048576,$A475-1,COLUMN('1-DATA'!C474)),ROUND(INDEX('1-DATA'!$1:$1048576,IF(OR($B476="STD. DEVIATION",$C$1=1),$A476,$A476+1),COLUMN('1-DATA'!C474)),IF($B476="STD. DEVIATION",2,$F$1))))</f>
        <v/>
      </c>
      <c r="E476" s="1" t="str">
        <f>IF(OR($B476="",E$7=""),"",IF($B476="MEANS",INDEX('1-DATA'!$1:$1048576,$A475-1,COLUMN('1-DATA'!D474)),ROUND(INDEX('1-DATA'!$1:$1048576,IF(OR($B476="STD. DEVIATION",$C$1=1),$A476,$A476+1),COLUMN('1-DATA'!D474)),IF($B476="STD. DEVIATION",2,$F$1))))</f>
        <v/>
      </c>
      <c r="F476" s="1" t="str">
        <f>IF(OR($B476="",F$7=""),"",IF($B476="MEANS",INDEX('1-DATA'!$1:$1048576,$A475-1,COLUMN('1-DATA'!E474)),ROUND(INDEX('1-DATA'!$1:$1048576,IF(OR($B476="STD. DEVIATION",$C$1=1),$A476,$A476+1),COLUMN('1-DATA'!E474)),IF($B476="STD. DEVIATION",2,$F$1))))</f>
        <v/>
      </c>
      <c r="G476" s="1" t="str">
        <f>IF(OR($B476="",G$7=""),"",IF($B476="MEANS",INDEX('1-DATA'!$1:$1048576,$A475-1,COLUMN('1-DATA'!F474)),ROUND(INDEX('1-DATA'!$1:$1048576,IF(OR($B476="STD. DEVIATION",$C$1=1),$A476,$A476+1),COLUMN('1-DATA'!F474)),IF($B476="STD. DEVIATION",2,$F$1))))</f>
        <v/>
      </c>
      <c r="H476" s="1" t="str">
        <f>IF(OR($B476="",H$7=""),"",IF($B476="MEANS",INDEX('1-DATA'!$1:$1048576,$A475-1,COLUMN('1-DATA'!G474)),ROUND(INDEX('1-DATA'!$1:$1048576,IF(OR($B476="STD. DEVIATION",$C$1=1),$A476,$A476+1),COLUMN('1-DATA'!G474)),IF($B476="STD. DEVIATION",2,$F$1))))</f>
        <v/>
      </c>
      <c r="I476" s="1" t="str">
        <f>IF(OR($B476="",I$7=""),"",IF($B476="MEANS",INDEX('1-DATA'!$1:$1048576,$A475-1,COLUMN('1-DATA'!H474)),ROUND(INDEX('1-DATA'!$1:$1048576,IF(OR($B476="STD. DEVIATION",$C$1=1),$A476,$A476+1),COLUMN('1-DATA'!H474)),IF($B476="STD. DEVIATION",2,$F$1))))</f>
        <v/>
      </c>
      <c r="J476" s="1" t="str">
        <f>IF(OR($B476="",J$7=""),"",IF($B476="MEANS",INDEX('1-DATA'!$1:$1048576,$A475-1,COLUMN('1-DATA'!I474)),ROUND(INDEX('1-DATA'!$1:$1048576,IF(OR($B476="STD. DEVIATION",$C$1=1),$A476,$A476+1),COLUMN('1-DATA'!I474)),IF($B476="STD. DEVIATION",2,$F$1))))</f>
        <v/>
      </c>
      <c r="K476" s="1" t="str">
        <f>IF(OR($B476="",K$7=""),"",IF($B476="MEANS",INDEX('1-DATA'!$1:$1048576,$A475-1,COLUMN('1-DATA'!J474)),ROUND(INDEX('1-DATA'!$1:$1048576,IF(OR($B476="STD. DEVIATION",$C$1=1),$A476,$A476+1),COLUMN('1-DATA'!J474)),IF($B476="STD. DEVIATION",2,$F$1))))</f>
        <v/>
      </c>
      <c r="L476" s="1" t="str">
        <f>IF(OR($B476="",L$7=""),"",IF($B476="MEANS",INDEX('1-DATA'!$1:$1048576,$A475-1,COLUMN('1-DATA'!K474)),ROUND(INDEX('1-DATA'!$1:$1048576,IF(OR($B476="STD. DEVIATION",$C$1=1),$A476,$A476+1),COLUMN('1-DATA'!K474)),IF($B476="STD. DEVIATION",2,$F$1))))</f>
        <v/>
      </c>
      <c r="M476" s="1" t="str">
        <f>IF(OR($B476="",M$7=""),"",IF($B476="MEANS",INDEX('1-DATA'!$1:$1048576,$A475-1,COLUMN('1-DATA'!L474)),ROUND(INDEX('1-DATA'!$1:$1048576,IF(OR($B476="STD. DEVIATION",$C$1=1),$A476,$A476+1),COLUMN('1-DATA'!L474)),IF($B476="STD. DEVIATION",2,$F$1))))</f>
        <v/>
      </c>
      <c r="N476" s="1" t="str">
        <f>IF(OR($B476="",N$7=""),"",IF($B476="MEANS",INDEX('1-DATA'!$1:$1048576,$A475-1,COLUMN('1-DATA'!M474)),ROUND(INDEX('1-DATA'!$1:$1048576,IF(OR($B476="STD. DEVIATION",$C$1=1),$A476,$A476+1),COLUMN('1-DATA'!M474)),IF($B476="STD. DEVIATION",2,$F$1))))</f>
        <v/>
      </c>
      <c r="O476" s="1" t="str">
        <f>IF(OR($B476="",O$7=""),"",IF($B476="MEANS",INDEX('1-DATA'!$1:$1048576,$A475-1,COLUMN('1-DATA'!N474)),ROUND(INDEX('1-DATA'!$1:$1048576,IF(OR($B476="STD. DEVIATION",$C$1=1),$A476,$A476+1),COLUMN('1-DATA'!N474)),IF($B476="STD. DEVIATION",2,$F$1))))</f>
        <v/>
      </c>
      <c r="P476" s="1" t="str">
        <f>IF(OR($B476="",P$7=""),"",IF($B476="MEANS",INDEX('1-DATA'!$1:$1048576,$A475-1,COLUMN('1-DATA'!O474)),ROUND(INDEX('1-DATA'!$1:$1048576,IF(OR($B476="STD. DEVIATION",$C$1=1),$A476,$A476+1),COLUMN('1-DATA'!O474)),IF($B476="STD. DEVIATION",2,$F$1))))</f>
        <v/>
      </c>
      <c r="Q476" s="1" t="str">
        <f>IF(OR($B476="",Q$7=""),"",IF($B476="MEANS",INDEX('1-DATA'!$1:$1048576,$A475-1,COLUMN('1-DATA'!P474)),ROUND(INDEX('1-DATA'!$1:$1048576,IF(OR($B476="STD. DEVIATION",$C$1=1),$A476,$A476+1),COLUMN('1-DATA'!P474)),IF($B476="STD. DEVIATION",2,$F$1))))</f>
        <v/>
      </c>
      <c r="R476" s="1" t="str">
        <f>IF(OR($B476="",R$7=""),"",IF($B476="MEANS",INDEX('1-DATA'!$1:$1048576,$A475-1,COLUMN('1-DATA'!Q474)),ROUND(INDEX('1-DATA'!$1:$1048576,IF(OR($B476="STD. DEVIATION",$C$1=1),$A476,$A476+1),COLUMN('1-DATA'!Q474)),IF($B476="STD. DEVIATION",2,$F$1))))</f>
        <v/>
      </c>
      <c r="S476" s="1" t="str">
        <f>IF(OR($B476="",S$7=""),"",IF($B476="MEANS",INDEX('1-DATA'!$1:$1048576,$A475-1,COLUMN('1-DATA'!R474)),ROUND(INDEX('1-DATA'!$1:$1048576,IF(OR($B476="STD. DEVIATION",$C$1=1),$A476,$A476+1),COLUMN('1-DATA'!R474)),IF($B476="STD. DEVIATION",2,$F$1))))</f>
        <v/>
      </c>
      <c r="T476" s="1" t="str">
        <f>IF(OR($B476="",T$7=""),"",IF($B476="MEANS",INDEX('1-DATA'!$1:$1048576,$A475-1,COLUMN('1-DATA'!S474)),ROUND(INDEX('1-DATA'!$1:$1048576,IF(OR($B476="STD. DEVIATION",$C$1=1),$A476,$A476+1),COLUMN('1-DATA'!S474)),IF($B476="STD. DEVIATION",2,$F$1))))</f>
        <v/>
      </c>
      <c r="U476" s="1" t="str">
        <f>IF(OR($B476="",U$7=""),"",IF($B476="MEANS",INDEX('1-DATA'!$1:$1048576,$A475-1,COLUMN('1-DATA'!T474)),ROUND(INDEX('1-DATA'!$1:$1048576,IF(OR($B476="STD. DEVIATION",$C$1=1),$A476,$A476+1),COLUMN('1-DATA'!T474)),IF($B476="STD. DEVIATION",2,$F$1))))</f>
        <v/>
      </c>
      <c r="V476" s="1" t="str">
        <f>IF(OR($B476="",V$7=""),"",IF($B476="MEANS",INDEX('1-DATA'!$1:$1048576,$A475-1,COLUMN('1-DATA'!U474)),ROUND(INDEX('1-DATA'!$1:$1048576,IF(OR($B476="STD. DEVIATION",$C$1=1),$A476,$A476+1),COLUMN('1-DATA'!U474)),IF($B476="STD. DEVIATION",2,$F$1))))</f>
        <v/>
      </c>
      <c r="W476" s="1" t="str">
        <f>IF(OR($B476="",W$7=""),"",IF($B476="MEANS",INDEX('1-DATA'!$1:$1048576,$A475-1,COLUMN('1-DATA'!V474)),ROUND(INDEX('1-DATA'!$1:$1048576,IF(OR($B476="STD. DEVIATION",$C$1=1),$A476,$A476+1),COLUMN('1-DATA'!V474)),IF($B476="STD. DEVIATION",2,$F$1))))</f>
        <v/>
      </c>
      <c r="X476" s="1" t="str">
        <f>IF(OR($B476="",X$7=""),"",IF($B476="MEANS",INDEX('1-DATA'!$1:$1048576,$A475-1,COLUMN('1-DATA'!W474)),ROUND(INDEX('1-DATA'!$1:$1048576,IF(OR($B476="STD. DEVIATION",$C$1=1),$A476,$A476+1),COLUMN('1-DATA'!W474)),IF($B476="STD. DEVIATION",2,$F$1))))</f>
        <v/>
      </c>
      <c r="Y476" s="1" t="str">
        <f>IF(OR($B476="",Y$7=""),"",IF($B476="MEANS",INDEX('1-DATA'!$1:$1048576,$A475-1,COLUMN('1-DATA'!X474)),ROUND(INDEX('1-DATA'!$1:$1048576,IF(OR($B476="STD. DEVIATION",$C$1=1),$A476,$A476+1),COLUMN('1-DATA'!X474)),IF($B476="STD. DEVIATION",2,$F$1))))</f>
        <v/>
      </c>
      <c r="Z476" s="1" t="str">
        <f>IF(OR($B476="",Z$7=""),"",IF($B476="MEANS",INDEX('1-DATA'!$1:$1048576,$A475-1,COLUMN('1-DATA'!Y474)),ROUND(INDEX('1-DATA'!$1:$1048576,IF(OR($B476="STD. DEVIATION",$C$1=1),$A476,$A476+1),COLUMN('1-DATA'!Y474)),IF($B476="STD. DEVIATION",2,$F$1))))</f>
        <v/>
      </c>
      <c r="AA476" s="1" t="str">
        <f>IF(OR($B476="",AA$7=""),"",IF($B476="MEANS",INDEX('1-DATA'!$1:$1048576,$A475-1,COLUMN('1-DATA'!Z474)),ROUND(INDEX('1-DATA'!$1:$1048576,IF(OR($B476="STD. DEVIATION",$C$1=1),$A476,$A476+1),COLUMN('1-DATA'!Z474)),IF($B476="STD. DEVIATION",2,$F$1))))</f>
        <v/>
      </c>
      <c r="AB476" s="1" t="str">
        <f>IF(OR($B476="",AB$7=""),"",IF($B476="MEANS",INDEX('1-DATA'!$1:$1048576,$A475-1,COLUMN('1-DATA'!AA474)),ROUND(INDEX('1-DATA'!$1:$1048576,IF(OR($B476="STD. DEVIATION",$C$1=1),$A476,$A476+1),COLUMN('1-DATA'!AA474)),IF($B476="STD. DEVIATION",2,$F$1))))</f>
        <v/>
      </c>
      <c r="AC476" s="1" t="str">
        <f>IF(OR($B476="",AC$7=""),"",IF($B476="MEANS",INDEX('1-DATA'!$1:$1048576,$A475-1,COLUMN('1-DATA'!AB474)),ROUND(INDEX('1-DATA'!$1:$1048576,IF(OR($B476="STD. DEVIATION",$C$1=1),$A476,$A476+1),COLUMN('1-DATA'!AB474)),IF($B476="STD. DEVIATION",2,$F$1))))</f>
        <v/>
      </c>
      <c r="AD476" s="1" t="str">
        <f>IF(OR($B476="",AD$7=""),"",IF($B476="MEANS",INDEX('1-DATA'!$1:$1048576,$A475-1,COLUMN('1-DATA'!AC474)),ROUND(INDEX('1-DATA'!$1:$1048576,IF(OR($B476="STD. DEVIATION",$C$1=1),$A476,$A476+1),COLUMN('1-DATA'!AC474)),IF($B476="STD. DEVIATION",2,$F$1))))</f>
        <v/>
      </c>
      <c r="AE476" s="1" t="str">
        <f>IF(OR($B476="",AE$7=""),"",IF($B476="MEANS",INDEX('1-DATA'!$1:$1048576,$A475-1,COLUMN('1-DATA'!AD474)),ROUND(INDEX('1-DATA'!$1:$1048576,IF(OR($B476="STD. DEVIATION",$C$1=1),$A476,$A476+1),COLUMN('1-DATA'!AD474)),IF($B476="STD. DEVIATION",2,$F$1))))</f>
        <v/>
      </c>
      <c r="AF476" s="1" t="str">
        <f>IF(OR($B476="",AF$7=""),"",IF($B476="MEANS",INDEX('1-DATA'!$1:$1048576,$A475-1,COLUMN('1-DATA'!AE474)),ROUND(INDEX('1-DATA'!$1:$1048576,IF(OR($B476="STD. DEVIATION",$C$1=1),$A476,$A476+1),COLUMN('1-DATA'!AE474)),IF($B476="STD. DEVIATION",2,$F$1))))</f>
        <v/>
      </c>
      <c r="AG476" s="1" t="str">
        <f>IF(OR($B476="",AG$7=""),"",IF($B476="MEANS",INDEX('1-DATA'!$1:$1048576,$A475-1,COLUMN('1-DATA'!AF474)),ROUND(INDEX('1-DATA'!$1:$1048576,IF(OR($B476="STD. DEVIATION",$C$1=1),$A476,$A476+1),COLUMN('1-DATA'!AF474)),IF($B476="STD. DEVIATION",2,$F$1))))</f>
        <v/>
      </c>
      <c r="AH476" s="1" t="str">
        <f>IF(OR($B476="",AH$7=""),"",IF($B476="MEANS",INDEX('1-DATA'!$1:$1048576,$A475-1,COLUMN('1-DATA'!AG474)),ROUND(INDEX('1-DATA'!$1:$1048576,IF(OR($B476="STD. DEVIATION",$C$1=1),$A476,$A476+1),COLUMN('1-DATA'!AG474)),IF($B476="STD. DEVIATION",2,$F$1))))</f>
        <v/>
      </c>
      <c r="AI476" s="1" t="str">
        <f>IF(OR($B476="",AI$7=""),"",IF($B476="MEANS",INDEX('1-DATA'!$1:$1048576,$A475-1,COLUMN('1-DATA'!AH474)),ROUND(INDEX('1-DATA'!$1:$1048576,IF(OR($B476="STD. DEVIATION",$C$1=1),$A476,$A476+1),COLUMN('1-DATA'!AH474)),IF($B476="STD. DEVIATION",2,$F$1))))</f>
        <v/>
      </c>
      <c r="AJ476" s="1" t="str">
        <f>IF(OR($B476="",AJ$7=""),"",IF($B476="MEANS",INDEX('1-DATA'!$1:$1048576,$A475-1,COLUMN('1-DATA'!AI474)),ROUND(INDEX('1-DATA'!$1:$1048576,IF(OR($B476="STD. DEVIATION",$C$1=1),$A476,$A476+1),COLUMN('1-DATA'!AI474)),IF($B476="STD. DEVIATION",2,$F$1))))</f>
        <v/>
      </c>
      <c r="AK476" s="1" t="str">
        <f>IF(OR($B476="",AK$7=""),"",IF($B476="MEANS",INDEX('1-DATA'!$1:$1048576,$A475-1,COLUMN('1-DATA'!AJ474)),ROUND(INDEX('1-DATA'!$1:$1048576,IF(OR($B476="STD. DEVIATION",$C$1=1),$A476,$A476+1),COLUMN('1-DATA'!AJ474)),IF($B476="STD. DEVIATION",2,$F$1))))</f>
        <v/>
      </c>
      <c r="AL476" s="1" t="str">
        <f>IF(OR($B476="",AL$7=""),"",IF($B476="MEANS",INDEX('1-DATA'!$1:$1048576,$A475-1,COLUMN('1-DATA'!AK474)),ROUND(INDEX('1-DATA'!$1:$1048576,IF(OR($B476="STD. DEVIATION",$C$1=1),$A476,$A476+1),COLUMN('1-DATA'!AK474)),IF($B476="STD. DEVIATION",2,$F$1))))</f>
        <v/>
      </c>
      <c r="AM476" s="1" t="str">
        <f>IF(OR($B476="",AM$7=""),"",IF($B476="MEANS",INDEX('1-DATA'!$1:$1048576,$A475-1,COLUMN('1-DATA'!AL474)),ROUND(INDEX('1-DATA'!$1:$1048576,IF(OR($B476="STD. DEVIATION",$C$1=1),$A476,$A476+1),COLUMN('1-DATA'!AL474)),IF($B476="STD. DEVIATION",2,$F$1))))</f>
        <v/>
      </c>
      <c r="AN476" s="1" t="str">
        <f>IF(OR($B476="",AN$7=""),"",IF($B476="MEANS",INDEX('1-DATA'!$1:$1048576,$A475-1,COLUMN('1-DATA'!AM474)),ROUND(INDEX('1-DATA'!$1:$1048576,IF(OR($B476="STD. DEVIATION",$C$1=1),$A476,$A476+1),COLUMN('1-DATA'!AM474)),IF($B476="STD. DEVIATION",2,$F$1))))</f>
        <v/>
      </c>
      <c r="AO476" s="1" t="str">
        <f>IF(OR($B476="",AO$7=""),"",IF($B476="MEANS",INDEX('1-DATA'!$1:$1048576,$A475-1,COLUMN('1-DATA'!AN474)),ROUND(INDEX('1-DATA'!$1:$1048576,IF(OR($B476="STD. DEVIATION",$C$1=1),$A476,$A476+1),COLUMN('1-DATA'!AN474)),IF($B476="STD. DEVIATION",2,$F$1))))</f>
        <v/>
      </c>
      <c r="AP476" s="1" t="str">
        <f>IF(OR($B476="",AP$7=""),"",IF($B476="MEANS",INDEX('1-DATA'!$1:$1048576,$A475-1,COLUMN('1-DATA'!AO474)),ROUND(INDEX('1-DATA'!$1:$1048576,IF(OR($B476="STD. DEVIATION",$C$1=1),$A476,$A476+1),COLUMN('1-DATA'!AO474)),IF($B476="STD. DEVIATION",2,$F$1))))</f>
        <v/>
      </c>
      <c r="AQ476" s="1" t="str">
        <f>IF(OR($B476="",AQ$7=""),"",IF($B476="MEANS",INDEX('1-DATA'!$1:$1048576,$A475-1,COLUMN('1-DATA'!AP474)),ROUND(INDEX('1-DATA'!$1:$1048576,IF(OR($B476="STD. DEVIATION",$C$1=1),$A476,$A476+1),COLUMN('1-DATA'!AP474)),IF($B476="STD. DEVIATION",2,$F$1))))</f>
        <v/>
      </c>
      <c r="AR476" s="1" t="str">
        <f>IF(OR($B476="",AR$7=""),"",IF($B476="MEANS",INDEX('1-DATA'!$1:$1048576,$A475-1,COLUMN('1-DATA'!AQ474)),ROUND(INDEX('1-DATA'!$1:$1048576,IF(OR($B476="STD. DEVIATION",$C$1=1),$A476,$A476+1),COLUMN('1-DATA'!AQ474)),IF($B476="STD. DEVIATION",2,$F$1))))</f>
        <v/>
      </c>
      <c r="AS476" s="1" t="str">
        <f>IF(OR($B476="",AS$7=""),"",IF($B476="MEANS",INDEX('1-DATA'!$1:$1048576,$A475-1,COLUMN('1-DATA'!AR474)),ROUND(INDEX('1-DATA'!$1:$1048576,IF(OR($B476="STD. DEVIATION",$C$1=1),$A476,$A476+1),COLUMN('1-DATA'!AR474)),IF($B476="STD. DEVIATION",2,$F$1))))</f>
        <v/>
      </c>
      <c r="AT476" s="1" t="str">
        <f>IF(OR($B476="",AT$7=""),"",IF($B476="MEANS",INDEX('1-DATA'!$1:$1048576,$A475-1,COLUMN('1-DATA'!AS474)),ROUND(INDEX('1-DATA'!$1:$1048576,IF(OR($B476="STD. DEVIATION",$C$1=1),$A476,$A476+1),COLUMN('1-DATA'!AS474)),IF($B476="STD. DEVIATION",2,$F$1))))</f>
        <v/>
      </c>
      <c r="AU476" s="1" t="str">
        <f>IF(OR($B476="",AU$7=""),"",IF($B476="MEANS",INDEX('1-DATA'!$1:$1048576,$A475-1,COLUMN('1-DATA'!AT474)),ROUND(INDEX('1-DATA'!$1:$1048576,IF(OR($B476="STD. DEVIATION",$C$1=1),$A476,$A476+1),COLUMN('1-DATA'!AT474)),IF($B476="STD. DEVIATION",2,$F$1))))</f>
        <v/>
      </c>
      <c r="AV476" s="1" t="str">
        <f>IF(OR($B476="",AV$7=""),"",IF($B476="MEANS",INDEX('1-DATA'!$1:$1048576,$A475-1,COLUMN('1-DATA'!AU474)),ROUND(INDEX('1-DATA'!$1:$1048576,IF(OR($B476="STD. DEVIATION",$C$1=1),$A476,$A476+1),COLUMN('1-DATA'!AU474)),IF($B476="STD. DEVIATION",2,$F$1))))</f>
        <v/>
      </c>
      <c r="AW476" s="1" t="str">
        <f>IF(OR($B476="",AW$7=""),"",IF($B476="MEANS",INDEX('1-DATA'!$1:$1048576,$A475-1,COLUMN('1-DATA'!AV474)),ROUND(INDEX('1-DATA'!$1:$1048576,IF(OR($B476="STD. DEVIATION",$C$1=1),$A476,$A476+1),COLUMN('1-DATA'!AV474)),IF($B476="STD. DEVIATION",2,$F$1))))</f>
        <v/>
      </c>
      <c r="AX476" s="1" t="str">
        <f>IF(OR($B476="",AX$7=""),"",IF($B476="MEANS",INDEX('1-DATA'!$1:$1048576,$A475-1,COLUMN('1-DATA'!AW474)),ROUND(INDEX('1-DATA'!$1:$1048576,IF(OR($B476="STD. DEVIATION",$C$1=1),$A476,$A476+1),COLUMN('1-DATA'!AW474)),IF($B476="STD. DEVIATION",2,$F$1))))</f>
        <v/>
      </c>
      <c r="AY476" s="1" t="str">
        <f>IF(OR($B476="",AY$7=""),"",IF($B476="MEANS",INDEX('1-DATA'!$1:$1048576,$A475-1,COLUMN('1-DATA'!AX474)),ROUND(INDEX('1-DATA'!$1:$1048576,IF(OR($B476="STD. DEVIATION",$C$1=1),$A476,$A476+1),COLUMN('1-DATA'!AX474)),IF($B476="STD. DEVIATION",2,$F$1))))</f>
        <v/>
      </c>
      <c r="AZ476" s="1" t="str">
        <f>IF(OR($B476="",AZ$7=""),"",IF($B476="MEANS",INDEX('1-DATA'!$1:$1048576,$A475-1,COLUMN('1-DATA'!AY474)),ROUND(INDEX('1-DATA'!$1:$1048576,IF(OR($B476="STD. DEVIATION",$C$1=1),$A476,$A476+1),COLUMN('1-DATA'!AY474)),IF($B476="STD. DEVIATION",2,$F$1))))</f>
        <v/>
      </c>
    </row>
    <row r="477" spans="1:52" x14ac:dyDescent="0.25">
      <c r="A477" s="11">
        <f t="shared" si="7"/>
        <v>1417</v>
      </c>
      <c r="B477" s="1" t="str">
        <f>IF(B476="STD. DEVIATION",INDEX('1-DATA'!$1:$1048576,$A476-1,1),IF(INDEX('1-DATA'!$1:$1048576,$A477,1)&lt;&gt;"",INDEX('1-DATA'!$1:$1048576,$A477,1),""))</f>
        <v/>
      </c>
      <c r="C477" s="1" t="str">
        <f>IF(OR($B477="",C$7=""),"",IF($B477="MEANS",INDEX('1-DATA'!$1:$1048576,$A476-1,COLUMN('1-DATA'!B475)),ROUND(INDEX('1-DATA'!$1:$1048576,IF(OR($B477="STD. DEVIATION",$C$1=1),$A477,$A477+1),COLUMN('1-DATA'!B475)),IF($B477="STD. DEVIATION",2,$F$1))))</f>
        <v/>
      </c>
      <c r="D477" s="1" t="str">
        <f>IF(OR($B477="",D$7=""),"",IF($B477="MEANS",INDEX('1-DATA'!$1:$1048576,$A476-1,COLUMN('1-DATA'!C475)),ROUND(INDEX('1-DATA'!$1:$1048576,IF(OR($B477="STD. DEVIATION",$C$1=1),$A477,$A477+1),COLUMN('1-DATA'!C475)),IF($B477="STD. DEVIATION",2,$F$1))))</f>
        <v/>
      </c>
      <c r="E477" s="1" t="str">
        <f>IF(OR($B477="",E$7=""),"",IF($B477="MEANS",INDEX('1-DATA'!$1:$1048576,$A476-1,COLUMN('1-DATA'!D475)),ROUND(INDEX('1-DATA'!$1:$1048576,IF(OR($B477="STD. DEVIATION",$C$1=1),$A477,$A477+1),COLUMN('1-DATA'!D475)),IF($B477="STD. DEVIATION",2,$F$1))))</f>
        <v/>
      </c>
      <c r="F477" s="1" t="str">
        <f>IF(OR($B477="",F$7=""),"",IF($B477="MEANS",INDEX('1-DATA'!$1:$1048576,$A476-1,COLUMN('1-DATA'!E475)),ROUND(INDEX('1-DATA'!$1:$1048576,IF(OR($B477="STD. DEVIATION",$C$1=1),$A477,$A477+1),COLUMN('1-DATA'!E475)),IF($B477="STD. DEVIATION",2,$F$1))))</f>
        <v/>
      </c>
      <c r="G477" s="1" t="str">
        <f>IF(OR($B477="",G$7=""),"",IF($B477="MEANS",INDEX('1-DATA'!$1:$1048576,$A476-1,COLUMN('1-DATA'!F475)),ROUND(INDEX('1-DATA'!$1:$1048576,IF(OR($B477="STD. DEVIATION",$C$1=1),$A477,$A477+1),COLUMN('1-DATA'!F475)),IF($B477="STD. DEVIATION",2,$F$1))))</f>
        <v/>
      </c>
      <c r="H477" s="1" t="str">
        <f>IF(OR($B477="",H$7=""),"",IF($B477="MEANS",INDEX('1-DATA'!$1:$1048576,$A476-1,COLUMN('1-DATA'!G475)),ROUND(INDEX('1-DATA'!$1:$1048576,IF(OR($B477="STD. DEVIATION",$C$1=1),$A477,$A477+1),COLUMN('1-DATA'!G475)),IF($B477="STD. DEVIATION",2,$F$1))))</f>
        <v/>
      </c>
      <c r="I477" s="1" t="str">
        <f>IF(OR($B477="",I$7=""),"",IF($B477="MEANS",INDEX('1-DATA'!$1:$1048576,$A476-1,COLUMN('1-DATA'!H475)),ROUND(INDEX('1-DATA'!$1:$1048576,IF(OR($B477="STD. DEVIATION",$C$1=1),$A477,$A477+1),COLUMN('1-DATA'!H475)),IF($B477="STD. DEVIATION",2,$F$1))))</f>
        <v/>
      </c>
      <c r="J477" s="1" t="str">
        <f>IF(OR($B477="",J$7=""),"",IF($B477="MEANS",INDEX('1-DATA'!$1:$1048576,$A476-1,COLUMN('1-DATA'!I475)),ROUND(INDEX('1-DATA'!$1:$1048576,IF(OR($B477="STD. DEVIATION",$C$1=1),$A477,$A477+1),COLUMN('1-DATA'!I475)),IF($B477="STD. DEVIATION",2,$F$1))))</f>
        <v/>
      </c>
      <c r="K477" s="1" t="str">
        <f>IF(OR($B477="",K$7=""),"",IF($B477="MEANS",INDEX('1-DATA'!$1:$1048576,$A476-1,COLUMN('1-DATA'!J475)),ROUND(INDEX('1-DATA'!$1:$1048576,IF(OR($B477="STD. DEVIATION",$C$1=1),$A477,$A477+1),COLUMN('1-DATA'!J475)),IF($B477="STD. DEVIATION",2,$F$1))))</f>
        <v/>
      </c>
      <c r="L477" s="1" t="str">
        <f>IF(OR($B477="",L$7=""),"",IF($B477="MEANS",INDEX('1-DATA'!$1:$1048576,$A476-1,COLUMN('1-DATA'!K475)),ROUND(INDEX('1-DATA'!$1:$1048576,IF(OR($B477="STD. DEVIATION",$C$1=1),$A477,$A477+1),COLUMN('1-DATA'!K475)),IF($B477="STD. DEVIATION",2,$F$1))))</f>
        <v/>
      </c>
      <c r="M477" s="1" t="str">
        <f>IF(OR($B477="",M$7=""),"",IF($B477="MEANS",INDEX('1-DATA'!$1:$1048576,$A476-1,COLUMN('1-DATA'!L475)),ROUND(INDEX('1-DATA'!$1:$1048576,IF(OR($B477="STD. DEVIATION",$C$1=1),$A477,$A477+1),COLUMN('1-DATA'!L475)),IF($B477="STD. DEVIATION",2,$F$1))))</f>
        <v/>
      </c>
      <c r="N477" s="1" t="str">
        <f>IF(OR($B477="",N$7=""),"",IF($B477="MEANS",INDEX('1-DATA'!$1:$1048576,$A476-1,COLUMN('1-DATA'!M475)),ROUND(INDEX('1-DATA'!$1:$1048576,IF(OR($B477="STD. DEVIATION",$C$1=1),$A477,$A477+1),COLUMN('1-DATA'!M475)),IF($B477="STD. DEVIATION",2,$F$1))))</f>
        <v/>
      </c>
      <c r="O477" s="1" t="str">
        <f>IF(OR($B477="",O$7=""),"",IF($B477="MEANS",INDEX('1-DATA'!$1:$1048576,$A476-1,COLUMN('1-DATA'!N475)),ROUND(INDEX('1-DATA'!$1:$1048576,IF(OR($B477="STD. DEVIATION",$C$1=1),$A477,$A477+1),COLUMN('1-DATA'!N475)),IF($B477="STD. DEVIATION",2,$F$1))))</f>
        <v/>
      </c>
      <c r="P477" s="1" t="str">
        <f>IF(OR($B477="",P$7=""),"",IF($B477="MEANS",INDEX('1-DATA'!$1:$1048576,$A476-1,COLUMN('1-DATA'!O475)),ROUND(INDEX('1-DATA'!$1:$1048576,IF(OR($B477="STD. DEVIATION",$C$1=1),$A477,$A477+1),COLUMN('1-DATA'!O475)),IF($B477="STD. DEVIATION",2,$F$1))))</f>
        <v/>
      </c>
      <c r="Q477" s="1" t="str">
        <f>IF(OR($B477="",Q$7=""),"",IF($B477="MEANS",INDEX('1-DATA'!$1:$1048576,$A476-1,COLUMN('1-DATA'!P475)),ROUND(INDEX('1-DATA'!$1:$1048576,IF(OR($B477="STD. DEVIATION",$C$1=1),$A477,$A477+1),COLUMN('1-DATA'!P475)),IF($B477="STD. DEVIATION",2,$F$1))))</f>
        <v/>
      </c>
      <c r="R477" s="1" t="str">
        <f>IF(OR($B477="",R$7=""),"",IF($B477="MEANS",INDEX('1-DATA'!$1:$1048576,$A476-1,COLUMN('1-DATA'!Q475)),ROUND(INDEX('1-DATA'!$1:$1048576,IF(OR($B477="STD. DEVIATION",$C$1=1),$A477,$A477+1),COLUMN('1-DATA'!Q475)),IF($B477="STD. DEVIATION",2,$F$1))))</f>
        <v/>
      </c>
      <c r="S477" s="1" t="str">
        <f>IF(OR($B477="",S$7=""),"",IF($B477="MEANS",INDEX('1-DATA'!$1:$1048576,$A476-1,COLUMN('1-DATA'!R475)),ROUND(INDEX('1-DATA'!$1:$1048576,IF(OR($B477="STD. DEVIATION",$C$1=1),$A477,$A477+1),COLUMN('1-DATA'!R475)),IF($B477="STD. DEVIATION",2,$F$1))))</f>
        <v/>
      </c>
      <c r="T477" s="1" t="str">
        <f>IF(OR($B477="",T$7=""),"",IF($B477="MEANS",INDEX('1-DATA'!$1:$1048576,$A476-1,COLUMN('1-DATA'!S475)),ROUND(INDEX('1-DATA'!$1:$1048576,IF(OR($B477="STD. DEVIATION",$C$1=1),$A477,$A477+1),COLUMN('1-DATA'!S475)),IF($B477="STD. DEVIATION",2,$F$1))))</f>
        <v/>
      </c>
      <c r="U477" s="1" t="str">
        <f>IF(OR($B477="",U$7=""),"",IF($B477="MEANS",INDEX('1-DATA'!$1:$1048576,$A476-1,COLUMN('1-DATA'!T475)),ROUND(INDEX('1-DATA'!$1:$1048576,IF(OR($B477="STD. DEVIATION",$C$1=1),$A477,$A477+1),COLUMN('1-DATA'!T475)),IF($B477="STD. DEVIATION",2,$F$1))))</f>
        <v/>
      </c>
      <c r="V477" s="1" t="str">
        <f>IF(OR($B477="",V$7=""),"",IF($B477="MEANS",INDEX('1-DATA'!$1:$1048576,$A476-1,COLUMN('1-DATA'!U475)),ROUND(INDEX('1-DATA'!$1:$1048576,IF(OR($B477="STD. DEVIATION",$C$1=1),$A477,$A477+1),COLUMN('1-DATA'!U475)),IF($B477="STD. DEVIATION",2,$F$1))))</f>
        <v/>
      </c>
      <c r="W477" s="1" t="str">
        <f>IF(OR($B477="",W$7=""),"",IF($B477="MEANS",INDEX('1-DATA'!$1:$1048576,$A476-1,COLUMN('1-DATA'!V475)),ROUND(INDEX('1-DATA'!$1:$1048576,IF(OR($B477="STD. DEVIATION",$C$1=1),$A477,$A477+1),COLUMN('1-DATA'!V475)),IF($B477="STD. DEVIATION",2,$F$1))))</f>
        <v/>
      </c>
      <c r="X477" s="1" t="str">
        <f>IF(OR($B477="",X$7=""),"",IF($B477="MEANS",INDEX('1-DATA'!$1:$1048576,$A476-1,COLUMN('1-DATA'!W475)),ROUND(INDEX('1-DATA'!$1:$1048576,IF(OR($B477="STD. DEVIATION",$C$1=1),$A477,$A477+1),COLUMN('1-DATA'!W475)),IF($B477="STD. DEVIATION",2,$F$1))))</f>
        <v/>
      </c>
      <c r="Y477" s="1" t="str">
        <f>IF(OR($B477="",Y$7=""),"",IF($B477="MEANS",INDEX('1-DATA'!$1:$1048576,$A476-1,COLUMN('1-DATA'!X475)),ROUND(INDEX('1-DATA'!$1:$1048576,IF(OR($B477="STD. DEVIATION",$C$1=1),$A477,$A477+1),COLUMN('1-DATA'!X475)),IF($B477="STD. DEVIATION",2,$F$1))))</f>
        <v/>
      </c>
      <c r="Z477" s="1" t="str">
        <f>IF(OR($B477="",Z$7=""),"",IF($B477="MEANS",INDEX('1-DATA'!$1:$1048576,$A476-1,COLUMN('1-DATA'!Y475)),ROUND(INDEX('1-DATA'!$1:$1048576,IF(OR($B477="STD. DEVIATION",$C$1=1),$A477,$A477+1),COLUMN('1-DATA'!Y475)),IF($B477="STD. DEVIATION",2,$F$1))))</f>
        <v/>
      </c>
      <c r="AA477" s="1" t="str">
        <f>IF(OR($B477="",AA$7=""),"",IF($B477="MEANS",INDEX('1-DATA'!$1:$1048576,$A476-1,COLUMN('1-DATA'!Z475)),ROUND(INDEX('1-DATA'!$1:$1048576,IF(OR($B477="STD. DEVIATION",$C$1=1),$A477,$A477+1),COLUMN('1-DATA'!Z475)),IF($B477="STD. DEVIATION",2,$F$1))))</f>
        <v/>
      </c>
      <c r="AB477" s="1" t="str">
        <f>IF(OR($B477="",AB$7=""),"",IF($B477="MEANS",INDEX('1-DATA'!$1:$1048576,$A476-1,COLUMN('1-DATA'!AA475)),ROUND(INDEX('1-DATA'!$1:$1048576,IF(OR($B477="STD. DEVIATION",$C$1=1),$A477,$A477+1),COLUMN('1-DATA'!AA475)),IF($B477="STD. DEVIATION",2,$F$1))))</f>
        <v/>
      </c>
      <c r="AC477" s="1" t="str">
        <f>IF(OR($B477="",AC$7=""),"",IF($B477="MEANS",INDEX('1-DATA'!$1:$1048576,$A476-1,COLUMN('1-DATA'!AB475)),ROUND(INDEX('1-DATA'!$1:$1048576,IF(OR($B477="STD. DEVIATION",$C$1=1),$A477,$A477+1),COLUMN('1-DATA'!AB475)),IF($B477="STD. DEVIATION",2,$F$1))))</f>
        <v/>
      </c>
      <c r="AD477" s="1" t="str">
        <f>IF(OR($B477="",AD$7=""),"",IF($B477="MEANS",INDEX('1-DATA'!$1:$1048576,$A476-1,COLUMN('1-DATA'!AC475)),ROUND(INDEX('1-DATA'!$1:$1048576,IF(OR($B477="STD. DEVIATION",$C$1=1),$A477,$A477+1),COLUMN('1-DATA'!AC475)),IF($B477="STD. DEVIATION",2,$F$1))))</f>
        <v/>
      </c>
      <c r="AE477" s="1" t="str">
        <f>IF(OR($B477="",AE$7=""),"",IF($B477="MEANS",INDEX('1-DATA'!$1:$1048576,$A476-1,COLUMN('1-DATA'!AD475)),ROUND(INDEX('1-DATA'!$1:$1048576,IF(OR($B477="STD. DEVIATION",$C$1=1),$A477,$A477+1),COLUMN('1-DATA'!AD475)),IF($B477="STD. DEVIATION",2,$F$1))))</f>
        <v/>
      </c>
      <c r="AF477" s="1" t="str">
        <f>IF(OR($B477="",AF$7=""),"",IF($B477="MEANS",INDEX('1-DATA'!$1:$1048576,$A476-1,COLUMN('1-DATA'!AE475)),ROUND(INDEX('1-DATA'!$1:$1048576,IF(OR($B477="STD. DEVIATION",$C$1=1),$A477,$A477+1),COLUMN('1-DATA'!AE475)),IF($B477="STD. DEVIATION",2,$F$1))))</f>
        <v/>
      </c>
      <c r="AG477" s="1" t="str">
        <f>IF(OR($B477="",AG$7=""),"",IF($B477="MEANS",INDEX('1-DATA'!$1:$1048576,$A476-1,COLUMN('1-DATA'!AF475)),ROUND(INDEX('1-DATA'!$1:$1048576,IF(OR($B477="STD. DEVIATION",$C$1=1),$A477,$A477+1),COLUMN('1-DATA'!AF475)),IF($B477="STD. DEVIATION",2,$F$1))))</f>
        <v/>
      </c>
      <c r="AH477" s="1" t="str">
        <f>IF(OR($B477="",AH$7=""),"",IF($B477="MEANS",INDEX('1-DATA'!$1:$1048576,$A476-1,COLUMN('1-DATA'!AG475)),ROUND(INDEX('1-DATA'!$1:$1048576,IF(OR($B477="STD. DEVIATION",$C$1=1),$A477,$A477+1),COLUMN('1-DATA'!AG475)),IF($B477="STD. DEVIATION",2,$F$1))))</f>
        <v/>
      </c>
      <c r="AI477" s="1" t="str">
        <f>IF(OR($B477="",AI$7=""),"",IF($B477="MEANS",INDEX('1-DATA'!$1:$1048576,$A476-1,COLUMN('1-DATA'!AH475)),ROUND(INDEX('1-DATA'!$1:$1048576,IF(OR($B477="STD. DEVIATION",$C$1=1),$A477,$A477+1),COLUMN('1-DATA'!AH475)),IF($B477="STD. DEVIATION",2,$F$1))))</f>
        <v/>
      </c>
      <c r="AJ477" s="1" t="str">
        <f>IF(OR($B477="",AJ$7=""),"",IF($B477="MEANS",INDEX('1-DATA'!$1:$1048576,$A476-1,COLUMN('1-DATA'!AI475)),ROUND(INDEX('1-DATA'!$1:$1048576,IF(OR($B477="STD. DEVIATION",$C$1=1),$A477,$A477+1),COLUMN('1-DATA'!AI475)),IF($B477="STD. DEVIATION",2,$F$1))))</f>
        <v/>
      </c>
      <c r="AK477" s="1" t="str">
        <f>IF(OR($B477="",AK$7=""),"",IF($B477="MEANS",INDEX('1-DATA'!$1:$1048576,$A476-1,COLUMN('1-DATA'!AJ475)),ROUND(INDEX('1-DATA'!$1:$1048576,IF(OR($B477="STD. DEVIATION",$C$1=1),$A477,$A477+1),COLUMN('1-DATA'!AJ475)),IF($B477="STD. DEVIATION",2,$F$1))))</f>
        <v/>
      </c>
      <c r="AL477" s="1" t="str">
        <f>IF(OR($B477="",AL$7=""),"",IF($B477="MEANS",INDEX('1-DATA'!$1:$1048576,$A476-1,COLUMN('1-DATA'!AK475)),ROUND(INDEX('1-DATA'!$1:$1048576,IF(OR($B477="STD. DEVIATION",$C$1=1),$A477,$A477+1),COLUMN('1-DATA'!AK475)),IF($B477="STD. DEVIATION",2,$F$1))))</f>
        <v/>
      </c>
      <c r="AM477" s="1" t="str">
        <f>IF(OR($B477="",AM$7=""),"",IF($B477="MEANS",INDEX('1-DATA'!$1:$1048576,$A476-1,COLUMN('1-DATA'!AL475)),ROUND(INDEX('1-DATA'!$1:$1048576,IF(OR($B477="STD. DEVIATION",$C$1=1),$A477,$A477+1),COLUMN('1-DATA'!AL475)),IF($B477="STD. DEVIATION",2,$F$1))))</f>
        <v/>
      </c>
      <c r="AN477" s="1" t="str">
        <f>IF(OR($B477="",AN$7=""),"",IF($B477="MEANS",INDEX('1-DATA'!$1:$1048576,$A476-1,COLUMN('1-DATA'!AM475)),ROUND(INDEX('1-DATA'!$1:$1048576,IF(OR($B477="STD. DEVIATION",$C$1=1),$A477,$A477+1),COLUMN('1-DATA'!AM475)),IF($B477="STD. DEVIATION",2,$F$1))))</f>
        <v/>
      </c>
      <c r="AO477" s="1" t="str">
        <f>IF(OR($B477="",AO$7=""),"",IF($B477="MEANS",INDEX('1-DATA'!$1:$1048576,$A476-1,COLUMN('1-DATA'!AN475)),ROUND(INDEX('1-DATA'!$1:$1048576,IF(OR($B477="STD. DEVIATION",$C$1=1),$A477,$A477+1),COLUMN('1-DATA'!AN475)),IF($B477="STD. DEVIATION",2,$F$1))))</f>
        <v/>
      </c>
      <c r="AP477" s="1" t="str">
        <f>IF(OR($B477="",AP$7=""),"",IF($B477="MEANS",INDEX('1-DATA'!$1:$1048576,$A476-1,COLUMN('1-DATA'!AO475)),ROUND(INDEX('1-DATA'!$1:$1048576,IF(OR($B477="STD. DEVIATION",$C$1=1),$A477,$A477+1),COLUMN('1-DATA'!AO475)),IF($B477="STD. DEVIATION",2,$F$1))))</f>
        <v/>
      </c>
      <c r="AQ477" s="1" t="str">
        <f>IF(OR($B477="",AQ$7=""),"",IF($B477="MEANS",INDEX('1-DATA'!$1:$1048576,$A476-1,COLUMN('1-DATA'!AP475)),ROUND(INDEX('1-DATA'!$1:$1048576,IF(OR($B477="STD. DEVIATION",$C$1=1),$A477,$A477+1),COLUMN('1-DATA'!AP475)),IF($B477="STD. DEVIATION",2,$F$1))))</f>
        <v/>
      </c>
      <c r="AR477" s="1" t="str">
        <f>IF(OR($B477="",AR$7=""),"",IF($B477="MEANS",INDEX('1-DATA'!$1:$1048576,$A476-1,COLUMN('1-DATA'!AQ475)),ROUND(INDEX('1-DATA'!$1:$1048576,IF(OR($B477="STD. DEVIATION",$C$1=1),$A477,$A477+1),COLUMN('1-DATA'!AQ475)),IF($B477="STD. DEVIATION",2,$F$1))))</f>
        <v/>
      </c>
      <c r="AS477" s="1" t="str">
        <f>IF(OR($B477="",AS$7=""),"",IF($B477="MEANS",INDEX('1-DATA'!$1:$1048576,$A476-1,COLUMN('1-DATA'!AR475)),ROUND(INDEX('1-DATA'!$1:$1048576,IF(OR($B477="STD. DEVIATION",$C$1=1),$A477,$A477+1),COLUMN('1-DATA'!AR475)),IF($B477="STD. DEVIATION",2,$F$1))))</f>
        <v/>
      </c>
      <c r="AT477" s="1" t="str">
        <f>IF(OR($B477="",AT$7=""),"",IF($B477="MEANS",INDEX('1-DATA'!$1:$1048576,$A476-1,COLUMN('1-DATA'!AS475)),ROUND(INDEX('1-DATA'!$1:$1048576,IF(OR($B477="STD. DEVIATION",$C$1=1),$A477,$A477+1),COLUMN('1-DATA'!AS475)),IF($B477="STD. DEVIATION",2,$F$1))))</f>
        <v/>
      </c>
      <c r="AU477" s="1" t="str">
        <f>IF(OR($B477="",AU$7=""),"",IF($B477="MEANS",INDEX('1-DATA'!$1:$1048576,$A476-1,COLUMN('1-DATA'!AT475)),ROUND(INDEX('1-DATA'!$1:$1048576,IF(OR($B477="STD. DEVIATION",$C$1=1),$A477,$A477+1),COLUMN('1-DATA'!AT475)),IF($B477="STD. DEVIATION",2,$F$1))))</f>
        <v/>
      </c>
      <c r="AV477" s="1" t="str">
        <f>IF(OR($B477="",AV$7=""),"",IF($B477="MEANS",INDEX('1-DATA'!$1:$1048576,$A476-1,COLUMN('1-DATA'!AU475)),ROUND(INDEX('1-DATA'!$1:$1048576,IF(OR($B477="STD. DEVIATION",$C$1=1),$A477,$A477+1),COLUMN('1-DATA'!AU475)),IF($B477="STD. DEVIATION",2,$F$1))))</f>
        <v/>
      </c>
      <c r="AW477" s="1" t="str">
        <f>IF(OR($B477="",AW$7=""),"",IF($B477="MEANS",INDEX('1-DATA'!$1:$1048576,$A476-1,COLUMN('1-DATA'!AV475)),ROUND(INDEX('1-DATA'!$1:$1048576,IF(OR($B477="STD. DEVIATION",$C$1=1),$A477,$A477+1),COLUMN('1-DATA'!AV475)),IF($B477="STD. DEVIATION",2,$F$1))))</f>
        <v/>
      </c>
      <c r="AX477" s="1" t="str">
        <f>IF(OR($B477="",AX$7=""),"",IF($B477="MEANS",INDEX('1-DATA'!$1:$1048576,$A476-1,COLUMN('1-DATA'!AW475)),ROUND(INDEX('1-DATA'!$1:$1048576,IF(OR($B477="STD. DEVIATION",$C$1=1),$A477,$A477+1),COLUMN('1-DATA'!AW475)),IF($B477="STD. DEVIATION",2,$F$1))))</f>
        <v/>
      </c>
      <c r="AY477" s="1" t="str">
        <f>IF(OR($B477="",AY$7=""),"",IF($B477="MEANS",INDEX('1-DATA'!$1:$1048576,$A476-1,COLUMN('1-DATA'!AX475)),ROUND(INDEX('1-DATA'!$1:$1048576,IF(OR($B477="STD. DEVIATION",$C$1=1),$A477,$A477+1),COLUMN('1-DATA'!AX475)),IF($B477="STD. DEVIATION",2,$F$1))))</f>
        <v/>
      </c>
      <c r="AZ477" s="1" t="str">
        <f>IF(OR($B477="",AZ$7=""),"",IF($B477="MEANS",INDEX('1-DATA'!$1:$1048576,$A476-1,COLUMN('1-DATA'!AY475)),ROUND(INDEX('1-DATA'!$1:$1048576,IF(OR($B477="STD. DEVIATION",$C$1=1),$A477,$A477+1),COLUMN('1-DATA'!AY475)),IF($B477="STD. DEVIATION",2,$F$1))))</f>
        <v/>
      </c>
    </row>
    <row r="478" spans="1:52" x14ac:dyDescent="0.25">
      <c r="A478" s="11">
        <f t="shared" ref="A478:A541" si="8">A477+3</f>
        <v>1420</v>
      </c>
      <c r="B478" s="1" t="str">
        <f>IF(B477="STD. DEVIATION",INDEX('1-DATA'!$1:$1048576,$A477-1,1),IF(INDEX('1-DATA'!$1:$1048576,$A478,1)&lt;&gt;"",INDEX('1-DATA'!$1:$1048576,$A478,1),""))</f>
        <v/>
      </c>
      <c r="C478" s="1" t="str">
        <f>IF(OR($B478="",C$7=""),"",IF($B478="MEANS",INDEX('1-DATA'!$1:$1048576,$A477-1,COLUMN('1-DATA'!B476)),ROUND(INDEX('1-DATA'!$1:$1048576,IF(OR($B478="STD. DEVIATION",$C$1=1),$A478,$A478+1),COLUMN('1-DATA'!B476)),IF($B478="STD. DEVIATION",2,$F$1))))</f>
        <v/>
      </c>
      <c r="D478" s="1" t="str">
        <f>IF(OR($B478="",D$7=""),"",IF($B478="MEANS",INDEX('1-DATA'!$1:$1048576,$A477-1,COLUMN('1-DATA'!C476)),ROUND(INDEX('1-DATA'!$1:$1048576,IF(OR($B478="STD. DEVIATION",$C$1=1),$A478,$A478+1),COLUMN('1-DATA'!C476)),IF($B478="STD. DEVIATION",2,$F$1))))</f>
        <v/>
      </c>
      <c r="E478" s="1" t="str">
        <f>IF(OR($B478="",E$7=""),"",IF($B478="MEANS",INDEX('1-DATA'!$1:$1048576,$A477-1,COLUMN('1-DATA'!D476)),ROUND(INDEX('1-DATA'!$1:$1048576,IF(OR($B478="STD. DEVIATION",$C$1=1),$A478,$A478+1),COLUMN('1-DATA'!D476)),IF($B478="STD. DEVIATION",2,$F$1))))</f>
        <v/>
      </c>
      <c r="F478" s="1" t="str">
        <f>IF(OR($B478="",F$7=""),"",IF($B478="MEANS",INDEX('1-DATA'!$1:$1048576,$A477-1,COLUMN('1-DATA'!E476)),ROUND(INDEX('1-DATA'!$1:$1048576,IF(OR($B478="STD. DEVIATION",$C$1=1),$A478,$A478+1),COLUMN('1-DATA'!E476)),IF($B478="STD. DEVIATION",2,$F$1))))</f>
        <v/>
      </c>
      <c r="G478" s="1" t="str">
        <f>IF(OR($B478="",G$7=""),"",IF($B478="MEANS",INDEX('1-DATA'!$1:$1048576,$A477-1,COLUMN('1-DATA'!F476)),ROUND(INDEX('1-DATA'!$1:$1048576,IF(OR($B478="STD. DEVIATION",$C$1=1),$A478,$A478+1),COLUMN('1-DATA'!F476)),IF($B478="STD. DEVIATION",2,$F$1))))</f>
        <v/>
      </c>
      <c r="H478" s="1" t="str">
        <f>IF(OR($B478="",H$7=""),"",IF($B478="MEANS",INDEX('1-DATA'!$1:$1048576,$A477-1,COLUMN('1-DATA'!G476)),ROUND(INDEX('1-DATA'!$1:$1048576,IF(OR($B478="STD. DEVIATION",$C$1=1),$A478,$A478+1),COLUMN('1-DATA'!G476)),IF($B478="STD. DEVIATION",2,$F$1))))</f>
        <v/>
      </c>
      <c r="I478" s="1" t="str">
        <f>IF(OR($B478="",I$7=""),"",IF($B478="MEANS",INDEX('1-DATA'!$1:$1048576,$A477-1,COLUMN('1-DATA'!H476)),ROUND(INDEX('1-DATA'!$1:$1048576,IF(OR($B478="STD. DEVIATION",$C$1=1),$A478,$A478+1),COLUMN('1-DATA'!H476)),IF($B478="STD. DEVIATION",2,$F$1))))</f>
        <v/>
      </c>
      <c r="J478" s="1" t="str">
        <f>IF(OR($B478="",J$7=""),"",IF($B478="MEANS",INDEX('1-DATA'!$1:$1048576,$A477-1,COLUMN('1-DATA'!I476)),ROUND(INDEX('1-DATA'!$1:$1048576,IF(OR($B478="STD. DEVIATION",$C$1=1),$A478,$A478+1),COLUMN('1-DATA'!I476)),IF($B478="STD. DEVIATION",2,$F$1))))</f>
        <v/>
      </c>
      <c r="K478" s="1" t="str">
        <f>IF(OR($B478="",K$7=""),"",IF($B478="MEANS",INDEX('1-DATA'!$1:$1048576,$A477-1,COLUMN('1-DATA'!J476)),ROUND(INDEX('1-DATA'!$1:$1048576,IF(OR($B478="STD. DEVIATION",$C$1=1),$A478,$A478+1),COLUMN('1-DATA'!J476)),IF($B478="STD. DEVIATION",2,$F$1))))</f>
        <v/>
      </c>
      <c r="L478" s="1" t="str">
        <f>IF(OR($B478="",L$7=""),"",IF($B478="MEANS",INDEX('1-DATA'!$1:$1048576,$A477-1,COLUMN('1-DATA'!K476)),ROUND(INDEX('1-DATA'!$1:$1048576,IF(OR($B478="STD. DEVIATION",$C$1=1),$A478,$A478+1),COLUMN('1-DATA'!K476)),IF($B478="STD. DEVIATION",2,$F$1))))</f>
        <v/>
      </c>
      <c r="M478" s="1" t="str">
        <f>IF(OR($B478="",M$7=""),"",IF($B478="MEANS",INDEX('1-DATA'!$1:$1048576,$A477-1,COLUMN('1-DATA'!L476)),ROUND(INDEX('1-DATA'!$1:$1048576,IF(OR($B478="STD. DEVIATION",$C$1=1),$A478,$A478+1),COLUMN('1-DATA'!L476)),IF($B478="STD. DEVIATION",2,$F$1))))</f>
        <v/>
      </c>
      <c r="N478" s="1" t="str">
        <f>IF(OR($B478="",N$7=""),"",IF($B478="MEANS",INDEX('1-DATA'!$1:$1048576,$A477-1,COLUMN('1-DATA'!M476)),ROUND(INDEX('1-DATA'!$1:$1048576,IF(OR($B478="STD. DEVIATION",$C$1=1),$A478,$A478+1),COLUMN('1-DATA'!M476)),IF($B478="STD. DEVIATION",2,$F$1))))</f>
        <v/>
      </c>
      <c r="O478" s="1" t="str">
        <f>IF(OR($B478="",O$7=""),"",IF($B478="MEANS",INDEX('1-DATA'!$1:$1048576,$A477-1,COLUMN('1-DATA'!N476)),ROUND(INDEX('1-DATA'!$1:$1048576,IF(OR($B478="STD. DEVIATION",$C$1=1),$A478,$A478+1),COLUMN('1-DATA'!N476)),IF($B478="STD. DEVIATION",2,$F$1))))</f>
        <v/>
      </c>
      <c r="P478" s="1" t="str">
        <f>IF(OR($B478="",P$7=""),"",IF($B478="MEANS",INDEX('1-DATA'!$1:$1048576,$A477-1,COLUMN('1-DATA'!O476)),ROUND(INDEX('1-DATA'!$1:$1048576,IF(OR($B478="STD. DEVIATION",$C$1=1),$A478,$A478+1),COLUMN('1-DATA'!O476)),IF($B478="STD. DEVIATION",2,$F$1))))</f>
        <v/>
      </c>
      <c r="Q478" s="1" t="str">
        <f>IF(OR($B478="",Q$7=""),"",IF($B478="MEANS",INDEX('1-DATA'!$1:$1048576,$A477-1,COLUMN('1-DATA'!P476)),ROUND(INDEX('1-DATA'!$1:$1048576,IF(OR($B478="STD. DEVIATION",$C$1=1),$A478,$A478+1),COLUMN('1-DATA'!P476)),IF($B478="STD. DEVIATION",2,$F$1))))</f>
        <v/>
      </c>
      <c r="R478" s="1" t="str">
        <f>IF(OR($B478="",R$7=""),"",IF($B478="MEANS",INDEX('1-DATA'!$1:$1048576,$A477-1,COLUMN('1-DATA'!Q476)),ROUND(INDEX('1-DATA'!$1:$1048576,IF(OR($B478="STD. DEVIATION",$C$1=1),$A478,$A478+1),COLUMN('1-DATA'!Q476)),IF($B478="STD. DEVIATION",2,$F$1))))</f>
        <v/>
      </c>
      <c r="S478" s="1" t="str">
        <f>IF(OR($B478="",S$7=""),"",IF($B478="MEANS",INDEX('1-DATA'!$1:$1048576,$A477-1,COLUMN('1-DATA'!R476)),ROUND(INDEX('1-DATA'!$1:$1048576,IF(OR($B478="STD. DEVIATION",$C$1=1),$A478,$A478+1),COLUMN('1-DATA'!R476)),IF($B478="STD. DEVIATION",2,$F$1))))</f>
        <v/>
      </c>
      <c r="T478" s="1" t="str">
        <f>IF(OR($B478="",T$7=""),"",IF($B478="MEANS",INDEX('1-DATA'!$1:$1048576,$A477-1,COLUMN('1-DATA'!S476)),ROUND(INDEX('1-DATA'!$1:$1048576,IF(OR($B478="STD. DEVIATION",$C$1=1),$A478,$A478+1),COLUMN('1-DATA'!S476)),IF($B478="STD. DEVIATION",2,$F$1))))</f>
        <v/>
      </c>
      <c r="U478" s="1" t="str">
        <f>IF(OR($B478="",U$7=""),"",IF($B478="MEANS",INDEX('1-DATA'!$1:$1048576,$A477-1,COLUMN('1-DATA'!T476)),ROUND(INDEX('1-DATA'!$1:$1048576,IF(OR($B478="STD. DEVIATION",$C$1=1),$A478,$A478+1),COLUMN('1-DATA'!T476)),IF($B478="STD. DEVIATION",2,$F$1))))</f>
        <v/>
      </c>
      <c r="V478" s="1" t="str">
        <f>IF(OR($B478="",V$7=""),"",IF($B478="MEANS",INDEX('1-DATA'!$1:$1048576,$A477-1,COLUMN('1-DATA'!U476)),ROUND(INDEX('1-DATA'!$1:$1048576,IF(OR($B478="STD. DEVIATION",$C$1=1),$A478,$A478+1),COLUMN('1-DATA'!U476)),IF($B478="STD. DEVIATION",2,$F$1))))</f>
        <v/>
      </c>
      <c r="W478" s="1" t="str">
        <f>IF(OR($B478="",W$7=""),"",IF($B478="MEANS",INDEX('1-DATA'!$1:$1048576,$A477-1,COLUMN('1-DATA'!V476)),ROUND(INDEX('1-DATA'!$1:$1048576,IF(OR($B478="STD. DEVIATION",$C$1=1),$A478,$A478+1),COLUMN('1-DATA'!V476)),IF($B478="STD. DEVIATION",2,$F$1))))</f>
        <v/>
      </c>
      <c r="X478" s="1" t="str">
        <f>IF(OR($B478="",X$7=""),"",IF($B478="MEANS",INDEX('1-DATA'!$1:$1048576,$A477-1,COLUMN('1-DATA'!W476)),ROUND(INDEX('1-DATA'!$1:$1048576,IF(OR($B478="STD. DEVIATION",$C$1=1),$A478,$A478+1),COLUMN('1-DATA'!W476)),IF($B478="STD. DEVIATION",2,$F$1))))</f>
        <v/>
      </c>
      <c r="Y478" s="1" t="str">
        <f>IF(OR($B478="",Y$7=""),"",IF($B478="MEANS",INDEX('1-DATA'!$1:$1048576,$A477-1,COLUMN('1-DATA'!X476)),ROUND(INDEX('1-DATA'!$1:$1048576,IF(OR($B478="STD. DEVIATION",$C$1=1),$A478,$A478+1),COLUMN('1-DATA'!X476)),IF($B478="STD. DEVIATION",2,$F$1))))</f>
        <v/>
      </c>
      <c r="Z478" s="1" t="str">
        <f>IF(OR($B478="",Z$7=""),"",IF($B478="MEANS",INDEX('1-DATA'!$1:$1048576,$A477-1,COLUMN('1-DATA'!Y476)),ROUND(INDEX('1-DATA'!$1:$1048576,IF(OR($B478="STD. DEVIATION",$C$1=1),$A478,$A478+1),COLUMN('1-DATA'!Y476)),IF($B478="STD. DEVIATION",2,$F$1))))</f>
        <v/>
      </c>
      <c r="AA478" s="1" t="str">
        <f>IF(OR($B478="",AA$7=""),"",IF($B478="MEANS",INDEX('1-DATA'!$1:$1048576,$A477-1,COLUMN('1-DATA'!Z476)),ROUND(INDEX('1-DATA'!$1:$1048576,IF(OR($B478="STD. DEVIATION",$C$1=1),$A478,$A478+1),COLUMN('1-DATA'!Z476)),IF($B478="STD. DEVIATION",2,$F$1))))</f>
        <v/>
      </c>
      <c r="AB478" s="1" t="str">
        <f>IF(OR($B478="",AB$7=""),"",IF($B478="MEANS",INDEX('1-DATA'!$1:$1048576,$A477-1,COLUMN('1-DATA'!AA476)),ROUND(INDEX('1-DATA'!$1:$1048576,IF(OR($B478="STD. DEVIATION",$C$1=1),$A478,$A478+1),COLUMN('1-DATA'!AA476)),IF($B478="STD. DEVIATION",2,$F$1))))</f>
        <v/>
      </c>
      <c r="AC478" s="1" t="str">
        <f>IF(OR($B478="",AC$7=""),"",IF($B478="MEANS",INDEX('1-DATA'!$1:$1048576,$A477-1,COLUMN('1-DATA'!AB476)),ROUND(INDEX('1-DATA'!$1:$1048576,IF(OR($B478="STD. DEVIATION",$C$1=1),$A478,$A478+1),COLUMN('1-DATA'!AB476)),IF($B478="STD. DEVIATION",2,$F$1))))</f>
        <v/>
      </c>
      <c r="AD478" s="1" t="str">
        <f>IF(OR($B478="",AD$7=""),"",IF($B478="MEANS",INDEX('1-DATA'!$1:$1048576,$A477-1,COLUMN('1-DATA'!AC476)),ROUND(INDEX('1-DATA'!$1:$1048576,IF(OR($B478="STD. DEVIATION",$C$1=1),$A478,$A478+1),COLUMN('1-DATA'!AC476)),IF($B478="STD. DEVIATION",2,$F$1))))</f>
        <v/>
      </c>
      <c r="AE478" s="1" t="str">
        <f>IF(OR($B478="",AE$7=""),"",IF($B478="MEANS",INDEX('1-DATA'!$1:$1048576,$A477-1,COLUMN('1-DATA'!AD476)),ROUND(INDEX('1-DATA'!$1:$1048576,IF(OR($B478="STD. DEVIATION",$C$1=1),$A478,$A478+1),COLUMN('1-DATA'!AD476)),IF($B478="STD. DEVIATION",2,$F$1))))</f>
        <v/>
      </c>
      <c r="AF478" s="1" t="str">
        <f>IF(OR($B478="",AF$7=""),"",IF($B478="MEANS",INDEX('1-DATA'!$1:$1048576,$A477-1,COLUMN('1-DATA'!AE476)),ROUND(INDEX('1-DATA'!$1:$1048576,IF(OR($B478="STD. DEVIATION",$C$1=1),$A478,$A478+1),COLUMN('1-DATA'!AE476)),IF($B478="STD. DEVIATION",2,$F$1))))</f>
        <v/>
      </c>
      <c r="AG478" s="1" t="str">
        <f>IF(OR($B478="",AG$7=""),"",IF($B478="MEANS",INDEX('1-DATA'!$1:$1048576,$A477-1,COLUMN('1-DATA'!AF476)),ROUND(INDEX('1-DATA'!$1:$1048576,IF(OR($B478="STD. DEVIATION",$C$1=1),$A478,$A478+1),COLUMN('1-DATA'!AF476)),IF($B478="STD. DEVIATION",2,$F$1))))</f>
        <v/>
      </c>
      <c r="AH478" s="1" t="str">
        <f>IF(OR($B478="",AH$7=""),"",IF($B478="MEANS",INDEX('1-DATA'!$1:$1048576,$A477-1,COLUMN('1-DATA'!AG476)),ROUND(INDEX('1-DATA'!$1:$1048576,IF(OR($B478="STD. DEVIATION",$C$1=1),$A478,$A478+1),COLUMN('1-DATA'!AG476)),IF($B478="STD. DEVIATION",2,$F$1))))</f>
        <v/>
      </c>
      <c r="AI478" s="1" t="str">
        <f>IF(OR($B478="",AI$7=""),"",IF($B478="MEANS",INDEX('1-DATA'!$1:$1048576,$A477-1,COLUMN('1-DATA'!AH476)),ROUND(INDEX('1-DATA'!$1:$1048576,IF(OR($B478="STD. DEVIATION",$C$1=1),$A478,$A478+1),COLUMN('1-DATA'!AH476)),IF($B478="STD. DEVIATION",2,$F$1))))</f>
        <v/>
      </c>
      <c r="AJ478" s="1" t="str">
        <f>IF(OR($B478="",AJ$7=""),"",IF($B478="MEANS",INDEX('1-DATA'!$1:$1048576,$A477-1,COLUMN('1-DATA'!AI476)),ROUND(INDEX('1-DATA'!$1:$1048576,IF(OR($B478="STD. DEVIATION",$C$1=1),$A478,$A478+1),COLUMN('1-DATA'!AI476)),IF($B478="STD. DEVIATION",2,$F$1))))</f>
        <v/>
      </c>
      <c r="AK478" s="1" t="str">
        <f>IF(OR($B478="",AK$7=""),"",IF($B478="MEANS",INDEX('1-DATA'!$1:$1048576,$A477-1,COLUMN('1-DATA'!AJ476)),ROUND(INDEX('1-DATA'!$1:$1048576,IF(OR($B478="STD. DEVIATION",$C$1=1),$A478,$A478+1),COLUMN('1-DATA'!AJ476)),IF($B478="STD. DEVIATION",2,$F$1))))</f>
        <v/>
      </c>
      <c r="AL478" s="1" t="str">
        <f>IF(OR($B478="",AL$7=""),"",IF($B478="MEANS",INDEX('1-DATA'!$1:$1048576,$A477-1,COLUMN('1-DATA'!AK476)),ROUND(INDEX('1-DATA'!$1:$1048576,IF(OR($B478="STD. DEVIATION",$C$1=1),$A478,$A478+1),COLUMN('1-DATA'!AK476)),IF($B478="STD. DEVIATION",2,$F$1))))</f>
        <v/>
      </c>
      <c r="AM478" s="1" t="str">
        <f>IF(OR($B478="",AM$7=""),"",IF($B478="MEANS",INDEX('1-DATA'!$1:$1048576,$A477-1,COLUMN('1-DATA'!AL476)),ROUND(INDEX('1-DATA'!$1:$1048576,IF(OR($B478="STD. DEVIATION",$C$1=1),$A478,$A478+1),COLUMN('1-DATA'!AL476)),IF($B478="STD. DEVIATION",2,$F$1))))</f>
        <v/>
      </c>
      <c r="AN478" s="1" t="str">
        <f>IF(OR($B478="",AN$7=""),"",IF($B478="MEANS",INDEX('1-DATA'!$1:$1048576,$A477-1,COLUMN('1-DATA'!AM476)),ROUND(INDEX('1-DATA'!$1:$1048576,IF(OR($B478="STD. DEVIATION",$C$1=1),$A478,$A478+1),COLUMN('1-DATA'!AM476)),IF($B478="STD. DEVIATION",2,$F$1))))</f>
        <v/>
      </c>
      <c r="AO478" s="1" t="str">
        <f>IF(OR($B478="",AO$7=""),"",IF($B478="MEANS",INDEX('1-DATA'!$1:$1048576,$A477-1,COLUMN('1-DATA'!AN476)),ROUND(INDEX('1-DATA'!$1:$1048576,IF(OR($B478="STD. DEVIATION",$C$1=1),$A478,$A478+1),COLUMN('1-DATA'!AN476)),IF($B478="STD. DEVIATION",2,$F$1))))</f>
        <v/>
      </c>
      <c r="AP478" s="1" t="str">
        <f>IF(OR($B478="",AP$7=""),"",IF($B478="MEANS",INDEX('1-DATA'!$1:$1048576,$A477-1,COLUMN('1-DATA'!AO476)),ROUND(INDEX('1-DATA'!$1:$1048576,IF(OR($B478="STD. DEVIATION",$C$1=1),$A478,$A478+1),COLUMN('1-DATA'!AO476)),IF($B478="STD. DEVIATION",2,$F$1))))</f>
        <v/>
      </c>
      <c r="AQ478" s="1" t="str">
        <f>IF(OR($B478="",AQ$7=""),"",IF($B478="MEANS",INDEX('1-DATA'!$1:$1048576,$A477-1,COLUMN('1-DATA'!AP476)),ROUND(INDEX('1-DATA'!$1:$1048576,IF(OR($B478="STD. DEVIATION",$C$1=1),$A478,$A478+1),COLUMN('1-DATA'!AP476)),IF($B478="STD. DEVIATION",2,$F$1))))</f>
        <v/>
      </c>
      <c r="AR478" s="1" t="str">
        <f>IF(OR($B478="",AR$7=""),"",IF($B478="MEANS",INDEX('1-DATA'!$1:$1048576,$A477-1,COLUMN('1-DATA'!AQ476)),ROUND(INDEX('1-DATA'!$1:$1048576,IF(OR($B478="STD. DEVIATION",$C$1=1),$A478,$A478+1),COLUMN('1-DATA'!AQ476)),IF($B478="STD. DEVIATION",2,$F$1))))</f>
        <v/>
      </c>
      <c r="AS478" s="1" t="str">
        <f>IF(OR($B478="",AS$7=""),"",IF($B478="MEANS",INDEX('1-DATA'!$1:$1048576,$A477-1,COLUMN('1-DATA'!AR476)),ROUND(INDEX('1-DATA'!$1:$1048576,IF(OR($B478="STD. DEVIATION",$C$1=1),$A478,$A478+1),COLUMN('1-DATA'!AR476)),IF($B478="STD. DEVIATION",2,$F$1))))</f>
        <v/>
      </c>
      <c r="AT478" s="1" t="str">
        <f>IF(OR($B478="",AT$7=""),"",IF($B478="MEANS",INDEX('1-DATA'!$1:$1048576,$A477-1,COLUMN('1-DATA'!AS476)),ROUND(INDEX('1-DATA'!$1:$1048576,IF(OR($B478="STD. DEVIATION",$C$1=1),$A478,$A478+1),COLUMN('1-DATA'!AS476)),IF($B478="STD. DEVIATION",2,$F$1))))</f>
        <v/>
      </c>
      <c r="AU478" s="1" t="str">
        <f>IF(OR($B478="",AU$7=""),"",IF($B478="MEANS",INDEX('1-DATA'!$1:$1048576,$A477-1,COLUMN('1-DATA'!AT476)),ROUND(INDEX('1-DATA'!$1:$1048576,IF(OR($B478="STD. DEVIATION",$C$1=1),$A478,$A478+1),COLUMN('1-DATA'!AT476)),IF($B478="STD. DEVIATION",2,$F$1))))</f>
        <v/>
      </c>
      <c r="AV478" s="1" t="str">
        <f>IF(OR($B478="",AV$7=""),"",IF($B478="MEANS",INDEX('1-DATA'!$1:$1048576,$A477-1,COLUMN('1-DATA'!AU476)),ROUND(INDEX('1-DATA'!$1:$1048576,IF(OR($B478="STD. DEVIATION",$C$1=1),$A478,$A478+1),COLUMN('1-DATA'!AU476)),IF($B478="STD. DEVIATION",2,$F$1))))</f>
        <v/>
      </c>
      <c r="AW478" s="1" t="str">
        <f>IF(OR($B478="",AW$7=""),"",IF($B478="MEANS",INDEX('1-DATA'!$1:$1048576,$A477-1,COLUMN('1-DATA'!AV476)),ROUND(INDEX('1-DATA'!$1:$1048576,IF(OR($B478="STD. DEVIATION",$C$1=1),$A478,$A478+1),COLUMN('1-DATA'!AV476)),IF($B478="STD. DEVIATION",2,$F$1))))</f>
        <v/>
      </c>
      <c r="AX478" s="1" t="str">
        <f>IF(OR($B478="",AX$7=""),"",IF($B478="MEANS",INDEX('1-DATA'!$1:$1048576,$A477-1,COLUMN('1-DATA'!AW476)),ROUND(INDEX('1-DATA'!$1:$1048576,IF(OR($B478="STD. DEVIATION",$C$1=1),$A478,$A478+1),COLUMN('1-DATA'!AW476)),IF($B478="STD. DEVIATION",2,$F$1))))</f>
        <v/>
      </c>
      <c r="AY478" s="1" t="str">
        <f>IF(OR($B478="",AY$7=""),"",IF($B478="MEANS",INDEX('1-DATA'!$1:$1048576,$A477-1,COLUMN('1-DATA'!AX476)),ROUND(INDEX('1-DATA'!$1:$1048576,IF(OR($B478="STD. DEVIATION",$C$1=1),$A478,$A478+1),COLUMN('1-DATA'!AX476)),IF($B478="STD. DEVIATION",2,$F$1))))</f>
        <v/>
      </c>
      <c r="AZ478" s="1" t="str">
        <f>IF(OR($B478="",AZ$7=""),"",IF($B478="MEANS",INDEX('1-DATA'!$1:$1048576,$A477-1,COLUMN('1-DATA'!AY476)),ROUND(INDEX('1-DATA'!$1:$1048576,IF(OR($B478="STD. DEVIATION",$C$1=1),$A478,$A478+1),COLUMN('1-DATA'!AY476)),IF($B478="STD. DEVIATION",2,$F$1))))</f>
        <v/>
      </c>
    </row>
    <row r="479" spans="1:52" x14ac:dyDescent="0.25">
      <c r="A479" s="11">
        <f t="shared" si="8"/>
        <v>1423</v>
      </c>
      <c r="B479" s="1" t="str">
        <f>IF(B478="STD. DEVIATION",INDEX('1-DATA'!$1:$1048576,$A478-1,1),IF(INDEX('1-DATA'!$1:$1048576,$A479,1)&lt;&gt;"",INDEX('1-DATA'!$1:$1048576,$A479,1),""))</f>
        <v/>
      </c>
      <c r="C479" s="1" t="str">
        <f>IF(OR($B479="",C$7=""),"",IF($B479="MEANS",INDEX('1-DATA'!$1:$1048576,$A478-1,COLUMN('1-DATA'!B477)),ROUND(INDEX('1-DATA'!$1:$1048576,IF(OR($B479="STD. DEVIATION",$C$1=1),$A479,$A479+1),COLUMN('1-DATA'!B477)),IF($B479="STD. DEVIATION",2,$F$1))))</f>
        <v/>
      </c>
      <c r="D479" s="1" t="str">
        <f>IF(OR($B479="",D$7=""),"",IF($B479="MEANS",INDEX('1-DATA'!$1:$1048576,$A478-1,COLUMN('1-DATA'!C477)),ROUND(INDEX('1-DATA'!$1:$1048576,IF(OR($B479="STD. DEVIATION",$C$1=1),$A479,$A479+1),COLUMN('1-DATA'!C477)),IF($B479="STD. DEVIATION",2,$F$1))))</f>
        <v/>
      </c>
      <c r="E479" s="1" t="str">
        <f>IF(OR($B479="",E$7=""),"",IF($B479="MEANS",INDEX('1-DATA'!$1:$1048576,$A478-1,COLUMN('1-DATA'!D477)),ROUND(INDEX('1-DATA'!$1:$1048576,IF(OR($B479="STD. DEVIATION",$C$1=1),$A479,$A479+1),COLUMN('1-DATA'!D477)),IF($B479="STD. DEVIATION",2,$F$1))))</f>
        <v/>
      </c>
      <c r="F479" s="1" t="str">
        <f>IF(OR($B479="",F$7=""),"",IF($B479="MEANS",INDEX('1-DATA'!$1:$1048576,$A478-1,COLUMN('1-DATA'!E477)),ROUND(INDEX('1-DATA'!$1:$1048576,IF(OR($B479="STD. DEVIATION",$C$1=1),$A479,$A479+1),COLUMN('1-DATA'!E477)),IF($B479="STD. DEVIATION",2,$F$1))))</f>
        <v/>
      </c>
      <c r="G479" s="1" t="str">
        <f>IF(OR($B479="",G$7=""),"",IF($B479="MEANS",INDEX('1-DATA'!$1:$1048576,$A478-1,COLUMN('1-DATA'!F477)),ROUND(INDEX('1-DATA'!$1:$1048576,IF(OR($B479="STD. DEVIATION",$C$1=1),$A479,$A479+1),COLUMN('1-DATA'!F477)),IF($B479="STD. DEVIATION",2,$F$1))))</f>
        <v/>
      </c>
      <c r="H479" s="1" t="str">
        <f>IF(OR($B479="",H$7=""),"",IF($B479="MEANS",INDEX('1-DATA'!$1:$1048576,$A478-1,COLUMN('1-DATA'!G477)),ROUND(INDEX('1-DATA'!$1:$1048576,IF(OR($B479="STD. DEVIATION",$C$1=1),$A479,$A479+1),COLUMN('1-DATA'!G477)),IF($B479="STD. DEVIATION",2,$F$1))))</f>
        <v/>
      </c>
      <c r="I479" s="1" t="str">
        <f>IF(OR($B479="",I$7=""),"",IF($B479="MEANS",INDEX('1-DATA'!$1:$1048576,$A478-1,COLUMN('1-DATA'!H477)),ROUND(INDEX('1-DATA'!$1:$1048576,IF(OR($B479="STD. DEVIATION",$C$1=1),$A479,$A479+1),COLUMN('1-DATA'!H477)),IF($B479="STD. DEVIATION",2,$F$1))))</f>
        <v/>
      </c>
      <c r="J479" s="1" t="str">
        <f>IF(OR($B479="",J$7=""),"",IF($B479="MEANS",INDEX('1-DATA'!$1:$1048576,$A478-1,COLUMN('1-DATA'!I477)),ROUND(INDEX('1-DATA'!$1:$1048576,IF(OR($B479="STD. DEVIATION",$C$1=1),$A479,$A479+1),COLUMN('1-DATA'!I477)),IF($B479="STD. DEVIATION",2,$F$1))))</f>
        <v/>
      </c>
      <c r="K479" s="1" t="str">
        <f>IF(OR($B479="",K$7=""),"",IF($B479="MEANS",INDEX('1-DATA'!$1:$1048576,$A478-1,COLUMN('1-DATA'!J477)),ROUND(INDEX('1-DATA'!$1:$1048576,IF(OR($B479="STD. DEVIATION",$C$1=1),$A479,$A479+1),COLUMN('1-DATA'!J477)),IF($B479="STD. DEVIATION",2,$F$1))))</f>
        <v/>
      </c>
      <c r="L479" s="1" t="str">
        <f>IF(OR($B479="",L$7=""),"",IF($B479="MEANS",INDEX('1-DATA'!$1:$1048576,$A478-1,COLUMN('1-DATA'!K477)),ROUND(INDEX('1-DATA'!$1:$1048576,IF(OR($B479="STD. DEVIATION",$C$1=1),$A479,$A479+1),COLUMN('1-DATA'!K477)),IF($B479="STD. DEVIATION",2,$F$1))))</f>
        <v/>
      </c>
      <c r="M479" s="1" t="str">
        <f>IF(OR($B479="",M$7=""),"",IF($B479="MEANS",INDEX('1-DATA'!$1:$1048576,$A478-1,COLUMN('1-DATA'!L477)),ROUND(INDEX('1-DATA'!$1:$1048576,IF(OR($B479="STD. DEVIATION",$C$1=1),$A479,$A479+1),COLUMN('1-DATA'!L477)),IF($B479="STD. DEVIATION",2,$F$1))))</f>
        <v/>
      </c>
      <c r="N479" s="1" t="str">
        <f>IF(OR($B479="",N$7=""),"",IF($B479="MEANS",INDEX('1-DATA'!$1:$1048576,$A478-1,COLUMN('1-DATA'!M477)),ROUND(INDEX('1-DATA'!$1:$1048576,IF(OR($B479="STD. DEVIATION",$C$1=1),$A479,$A479+1),COLUMN('1-DATA'!M477)),IF($B479="STD. DEVIATION",2,$F$1))))</f>
        <v/>
      </c>
      <c r="O479" s="1" t="str">
        <f>IF(OR($B479="",O$7=""),"",IF($B479="MEANS",INDEX('1-DATA'!$1:$1048576,$A478-1,COLUMN('1-DATA'!N477)),ROUND(INDEX('1-DATA'!$1:$1048576,IF(OR($B479="STD. DEVIATION",$C$1=1),$A479,$A479+1),COLUMN('1-DATA'!N477)),IF($B479="STD. DEVIATION",2,$F$1))))</f>
        <v/>
      </c>
      <c r="P479" s="1" t="str">
        <f>IF(OR($B479="",P$7=""),"",IF($B479="MEANS",INDEX('1-DATA'!$1:$1048576,$A478-1,COLUMN('1-DATA'!O477)),ROUND(INDEX('1-DATA'!$1:$1048576,IF(OR($B479="STD. DEVIATION",$C$1=1),$A479,$A479+1),COLUMN('1-DATA'!O477)),IF($B479="STD. DEVIATION",2,$F$1))))</f>
        <v/>
      </c>
      <c r="Q479" s="1" t="str">
        <f>IF(OR($B479="",Q$7=""),"",IF($B479="MEANS",INDEX('1-DATA'!$1:$1048576,$A478-1,COLUMN('1-DATA'!P477)),ROUND(INDEX('1-DATA'!$1:$1048576,IF(OR($B479="STD. DEVIATION",$C$1=1),$A479,$A479+1),COLUMN('1-DATA'!P477)),IF($B479="STD. DEVIATION",2,$F$1))))</f>
        <v/>
      </c>
      <c r="R479" s="1" t="str">
        <f>IF(OR($B479="",R$7=""),"",IF($B479="MEANS",INDEX('1-DATA'!$1:$1048576,$A478-1,COLUMN('1-DATA'!Q477)),ROUND(INDEX('1-DATA'!$1:$1048576,IF(OR($B479="STD. DEVIATION",$C$1=1),$A479,$A479+1),COLUMN('1-DATA'!Q477)),IF($B479="STD. DEVIATION",2,$F$1))))</f>
        <v/>
      </c>
      <c r="S479" s="1" t="str">
        <f>IF(OR($B479="",S$7=""),"",IF($B479="MEANS",INDEX('1-DATA'!$1:$1048576,$A478-1,COLUMN('1-DATA'!R477)),ROUND(INDEX('1-DATA'!$1:$1048576,IF(OR($B479="STD. DEVIATION",$C$1=1),$A479,$A479+1),COLUMN('1-DATA'!R477)),IF($B479="STD. DEVIATION",2,$F$1))))</f>
        <v/>
      </c>
      <c r="T479" s="1" t="str">
        <f>IF(OR($B479="",T$7=""),"",IF($B479="MEANS",INDEX('1-DATA'!$1:$1048576,$A478-1,COLUMN('1-DATA'!S477)),ROUND(INDEX('1-DATA'!$1:$1048576,IF(OR($B479="STD. DEVIATION",$C$1=1),$A479,$A479+1),COLUMN('1-DATA'!S477)),IF($B479="STD. DEVIATION",2,$F$1))))</f>
        <v/>
      </c>
      <c r="U479" s="1" t="str">
        <f>IF(OR($B479="",U$7=""),"",IF($B479="MEANS",INDEX('1-DATA'!$1:$1048576,$A478-1,COLUMN('1-DATA'!T477)),ROUND(INDEX('1-DATA'!$1:$1048576,IF(OR($B479="STD. DEVIATION",$C$1=1),$A479,$A479+1),COLUMN('1-DATA'!T477)),IF($B479="STD. DEVIATION",2,$F$1))))</f>
        <v/>
      </c>
      <c r="V479" s="1" t="str">
        <f>IF(OR($B479="",V$7=""),"",IF($B479="MEANS",INDEX('1-DATA'!$1:$1048576,$A478-1,COLUMN('1-DATA'!U477)),ROUND(INDEX('1-DATA'!$1:$1048576,IF(OR($B479="STD. DEVIATION",$C$1=1),$A479,$A479+1),COLUMN('1-DATA'!U477)),IF($B479="STD. DEVIATION",2,$F$1))))</f>
        <v/>
      </c>
      <c r="W479" s="1" t="str">
        <f>IF(OR($B479="",W$7=""),"",IF($B479="MEANS",INDEX('1-DATA'!$1:$1048576,$A478-1,COLUMN('1-DATA'!V477)),ROUND(INDEX('1-DATA'!$1:$1048576,IF(OR($B479="STD. DEVIATION",$C$1=1),$A479,$A479+1),COLUMN('1-DATA'!V477)),IF($B479="STD. DEVIATION",2,$F$1))))</f>
        <v/>
      </c>
      <c r="X479" s="1" t="str">
        <f>IF(OR($B479="",X$7=""),"",IF($B479="MEANS",INDEX('1-DATA'!$1:$1048576,$A478-1,COLUMN('1-DATA'!W477)),ROUND(INDEX('1-DATA'!$1:$1048576,IF(OR($B479="STD. DEVIATION",$C$1=1),$A479,$A479+1),COLUMN('1-DATA'!W477)),IF($B479="STD. DEVIATION",2,$F$1))))</f>
        <v/>
      </c>
      <c r="Y479" s="1" t="str">
        <f>IF(OR($B479="",Y$7=""),"",IF($B479="MEANS",INDEX('1-DATA'!$1:$1048576,$A478-1,COLUMN('1-DATA'!X477)),ROUND(INDEX('1-DATA'!$1:$1048576,IF(OR($B479="STD. DEVIATION",$C$1=1),$A479,$A479+1),COLUMN('1-DATA'!X477)),IF($B479="STD. DEVIATION",2,$F$1))))</f>
        <v/>
      </c>
      <c r="Z479" s="1" t="str">
        <f>IF(OR($B479="",Z$7=""),"",IF($B479="MEANS",INDEX('1-DATA'!$1:$1048576,$A478-1,COLUMN('1-DATA'!Y477)),ROUND(INDEX('1-DATA'!$1:$1048576,IF(OR($B479="STD. DEVIATION",$C$1=1),$A479,$A479+1),COLUMN('1-DATA'!Y477)),IF($B479="STD. DEVIATION",2,$F$1))))</f>
        <v/>
      </c>
      <c r="AA479" s="1" t="str">
        <f>IF(OR($B479="",AA$7=""),"",IF($B479="MEANS",INDEX('1-DATA'!$1:$1048576,$A478-1,COLUMN('1-DATA'!Z477)),ROUND(INDEX('1-DATA'!$1:$1048576,IF(OR($B479="STD. DEVIATION",$C$1=1),$A479,$A479+1),COLUMN('1-DATA'!Z477)),IF($B479="STD. DEVIATION",2,$F$1))))</f>
        <v/>
      </c>
      <c r="AB479" s="1" t="str">
        <f>IF(OR($B479="",AB$7=""),"",IF($B479="MEANS",INDEX('1-DATA'!$1:$1048576,$A478-1,COLUMN('1-DATA'!AA477)),ROUND(INDEX('1-DATA'!$1:$1048576,IF(OR($B479="STD. DEVIATION",$C$1=1),$A479,$A479+1),COLUMN('1-DATA'!AA477)),IF($B479="STD. DEVIATION",2,$F$1))))</f>
        <v/>
      </c>
      <c r="AC479" s="1" t="str">
        <f>IF(OR($B479="",AC$7=""),"",IF($B479="MEANS",INDEX('1-DATA'!$1:$1048576,$A478-1,COLUMN('1-DATA'!AB477)),ROUND(INDEX('1-DATA'!$1:$1048576,IF(OR($B479="STD. DEVIATION",$C$1=1),$A479,$A479+1),COLUMN('1-DATA'!AB477)),IF($B479="STD. DEVIATION",2,$F$1))))</f>
        <v/>
      </c>
      <c r="AD479" s="1" t="str">
        <f>IF(OR($B479="",AD$7=""),"",IF($B479="MEANS",INDEX('1-DATA'!$1:$1048576,$A478-1,COLUMN('1-DATA'!AC477)),ROUND(INDEX('1-DATA'!$1:$1048576,IF(OR($B479="STD. DEVIATION",$C$1=1),$A479,$A479+1),COLUMN('1-DATA'!AC477)),IF($B479="STD. DEVIATION",2,$F$1))))</f>
        <v/>
      </c>
      <c r="AE479" s="1" t="str">
        <f>IF(OR($B479="",AE$7=""),"",IF($B479="MEANS",INDEX('1-DATA'!$1:$1048576,$A478-1,COLUMN('1-DATA'!AD477)),ROUND(INDEX('1-DATA'!$1:$1048576,IF(OR($B479="STD. DEVIATION",$C$1=1),$A479,$A479+1),COLUMN('1-DATA'!AD477)),IF($B479="STD. DEVIATION",2,$F$1))))</f>
        <v/>
      </c>
      <c r="AF479" s="1" t="str">
        <f>IF(OR($B479="",AF$7=""),"",IF($B479="MEANS",INDEX('1-DATA'!$1:$1048576,$A478-1,COLUMN('1-DATA'!AE477)),ROUND(INDEX('1-DATA'!$1:$1048576,IF(OR($B479="STD. DEVIATION",$C$1=1),$A479,$A479+1),COLUMN('1-DATA'!AE477)),IF($B479="STD. DEVIATION",2,$F$1))))</f>
        <v/>
      </c>
      <c r="AG479" s="1" t="str">
        <f>IF(OR($B479="",AG$7=""),"",IF($B479="MEANS",INDEX('1-DATA'!$1:$1048576,$A478-1,COLUMN('1-DATA'!AF477)),ROUND(INDEX('1-DATA'!$1:$1048576,IF(OR($B479="STD. DEVIATION",$C$1=1),$A479,$A479+1),COLUMN('1-DATA'!AF477)),IF($B479="STD. DEVIATION",2,$F$1))))</f>
        <v/>
      </c>
      <c r="AH479" s="1" t="str">
        <f>IF(OR($B479="",AH$7=""),"",IF($B479="MEANS",INDEX('1-DATA'!$1:$1048576,$A478-1,COLUMN('1-DATA'!AG477)),ROUND(INDEX('1-DATA'!$1:$1048576,IF(OR($B479="STD. DEVIATION",$C$1=1),$A479,$A479+1),COLUMN('1-DATA'!AG477)),IF($B479="STD. DEVIATION",2,$F$1))))</f>
        <v/>
      </c>
      <c r="AI479" s="1" t="str">
        <f>IF(OR($B479="",AI$7=""),"",IF($B479="MEANS",INDEX('1-DATA'!$1:$1048576,$A478-1,COLUMN('1-DATA'!AH477)),ROUND(INDEX('1-DATA'!$1:$1048576,IF(OR($B479="STD. DEVIATION",$C$1=1),$A479,$A479+1),COLUMN('1-DATA'!AH477)),IF($B479="STD. DEVIATION",2,$F$1))))</f>
        <v/>
      </c>
      <c r="AJ479" s="1" t="str">
        <f>IF(OR($B479="",AJ$7=""),"",IF($B479="MEANS",INDEX('1-DATA'!$1:$1048576,$A478-1,COLUMN('1-DATA'!AI477)),ROUND(INDEX('1-DATA'!$1:$1048576,IF(OR($B479="STD. DEVIATION",$C$1=1),$A479,$A479+1),COLUMN('1-DATA'!AI477)),IF($B479="STD. DEVIATION",2,$F$1))))</f>
        <v/>
      </c>
      <c r="AK479" s="1" t="str">
        <f>IF(OR($B479="",AK$7=""),"",IF($B479="MEANS",INDEX('1-DATA'!$1:$1048576,$A478-1,COLUMN('1-DATA'!AJ477)),ROUND(INDEX('1-DATA'!$1:$1048576,IF(OR($B479="STD. DEVIATION",$C$1=1),$A479,$A479+1),COLUMN('1-DATA'!AJ477)),IF($B479="STD. DEVIATION",2,$F$1))))</f>
        <v/>
      </c>
      <c r="AL479" s="1" t="str">
        <f>IF(OR($B479="",AL$7=""),"",IF($B479="MEANS",INDEX('1-DATA'!$1:$1048576,$A478-1,COLUMN('1-DATA'!AK477)),ROUND(INDEX('1-DATA'!$1:$1048576,IF(OR($B479="STD. DEVIATION",$C$1=1),$A479,$A479+1),COLUMN('1-DATA'!AK477)),IF($B479="STD. DEVIATION",2,$F$1))))</f>
        <v/>
      </c>
      <c r="AM479" s="1" t="str">
        <f>IF(OR($B479="",AM$7=""),"",IF($B479="MEANS",INDEX('1-DATA'!$1:$1048576,$A478-1,COLUMN('1-DATA'!AL477)),ROUND(INDEX('1-DATA'!$1:$1048576,IF(OR($B479="STD. DEVIATION",$C$1=1),$A479,$A479+1),COLUMN('1-DATA'!AL477)),IF($B479="STD. DEVIATION",2,$F$1))))</f>
        <v/>
      </c>
      <c r="AN479" s="1" t="str">
        <f>IF(OR($B479="",AN$7=""),"",IF($B479="MEANS",INDEX('1-DATA'!$1:$1048576,$A478-1,COLUMN('1-DATA'!AM477)),ROUND(INDEX('1-DATA'!$1:$1048576,IF(OR($B479="STD. DEVIATION",$C$1=1),$A479,$A479+1),COLUMN('1-DATA'!AM477)),IF($B479="STD. DEVIATION",2,$F$1))))</f>
        <v/>
      </c>
      <c r="AO479" s="1" t="str">
        <f>IF(OR($B479="",AO$7=""),"",IF($B479="MEANS",INDEX('1-DATA'!$1:$1048576,$A478-1,COLUMN('1-DATA'!AN477)),ROUND(INDEX('1-DATA'!$1:$1048576,IF(OR($B479="STD. DEVIATION",$C$1=1),$A479,$A479+1),COLUMN('1-DATA'!AN477)),IF($B479="STD. DEVIATION",2,$F$1))))</f>
        <v/>
      </c>
      <c r="AP479" s="1" t="str">
        <f>IF(OR($B479="",AP$7=""),"",IF($B479="MEANS",INDEX('1-DATA'!$1:$1048576,$A478-1,COLUMN('1-DATA'!AO477)),ROUND(INDEX('1-DATA'!$1:$1048576,IF(OR($B479="STD. DEVIATION",$C$1=1),$A479,$A479+1),COLUMN('1-DATA'!AO477)),IF($B479="STD. DEVIATION",2,$F$1))))</f>
        <v/>
      </c>
      <c r="AQ479" s="1" t="str">
        <f>IF(OR($B479="",AQ$7=""),"",IF($B479="MEANS",INDEX('1-DATA'!$1:$1048576,$A478-1,COLUMN('1-DATA'!AP477)),ROUND(INDEX('1-DATA'!$1:$1048576,IF(OR($B479="STD. DEVIATION",$C$1=1),$A479,$A479+1),COLUMN('1-DATA'!AP477)),IF($B479="STD. DEVIATION",2,$F$1))))</f>
        <v/>
      </c>
      <c r="AR479" s="1" t="str">
        <f>IF(OR($B479="",AR$7=""),"",IF($B479="MEANS",INDEX('1-DATA'!$1:$1048576,$A478-1,COLUMN('1-DATA'!AQ477)),ROUND(INDEX('1-DATA'!$1:$1048576,IF(OR($B479="STD. DEVIATION",$C$1=1),$A479,$A479+1),COLUMN('1-DATA'!AQ477)),IF($B479="STD. DEVIATION",2,$F$1))))</f>
        <v/>
      </c>
      <c r="AS479" s="1" t="str">
        <f>IF(OR($B479="",AS$7=""),"",IF($B479="MEANS",INDEX('1-DATA'!$1:$1048576,$A478-1,COLUMN('1-DATA'!AR477)),ROUND(INDEX('1-DATA'!$1:$1048576,IF(OR($B479="STD. DEVIATION",$C$1=1),$A479,$A479+1),COLUMN('1-DATA'!AR477)),IF($B479="STD. DEVIATION",2,$F$1))))</f>
        <v/>
      </c>
      <c r="AT479" s="1" t="str">
        <f>IF(OR($B479="",AT$7=""),"",IF($B479="MEANS",INDEX('1-DATA'!$1:$1048576,$A478-1,COLUMN('1-DATA'!AS477)),ROUND(INDEX('1-DATA'!$1:$1048576,IF(OR($B479="STD. DEVIATION",$C$1=1),$A479,$A479+1),COLUMN('1-DATA'!AS477)),IF($B479="STD. DEVIATION",2,$F$1))))</f>
        <v/>
      </c>
      <c r="AU479" s="1" t="str">
        <f>IF(OR($B479="",AU$7=""),"",IF($B479="MEANS",INDEX('1-DATA'!$1:$1048576,$A478-1,COLUMN('1-DATA'!AT477)),ROUND(INDEX('1-DATA'!$1:$1048576,IF(OR($B479="STD. DEVIATION",$C$1=1),$A479,$A479+1),COLUMN('1-DATA'!AT477)),IF($B479="STD. DEVIATION",2,$F$1))))</f>
        <v/>
      </c>
      <c r="AV479" s="1" t="str">
        <f>IF(OR($B479="",AV$7=""),"",IF($B479="MEANS",INDEX('1-DATA'!$1:$1048576,$A478-1,COLUMN('1-DATA'!AU477)),ROUND(INDEX('1-DATA'!$1:$1048576,IF(OR($B479="STD. DEVIATION",$C$1=1),$A479,$A479+1),COLUMN('1-DATA'!AU477)),IF($B479="STD. DEVIATION",2,$F$1))))</f>
        <v/>
      </c>
      <c r="AW479" s="1" t="str">
        <f>IF(OR($B479="",AW$7=""),"",IF($B479="MEANS",INDEX('1-DATA'!$1:$1048576,$A478-1,COLUMN('1-DATA'!AV477)),ROUND(INDEX('1-DATA'!$1:$1048576,IF(OR($B479="STD. DEVIATION",$C$1=1),$A479,$A479+1),COLUMN('1-DATA'!AV477)),IF($B479="STD. DEVIATION",2,$F$1))))</f>
        <v/>
      </c>
      <c r="AX479" s="1" t="str">
        <f>IF(OR($B479="",AX$7=""),"",IF($B479="MEANS",INDEX('1-DATA'!$1:$1048576,$A478-1,COLUMN('1-DATA'!AW477)),ROUND(INDEX('1-DATA'!$1:$1048576,IF(OR($B479="STD. DEVIATION",$C$1=1),$A479,$A479+1),COLUMN('1-DATA'!AW477)),IF($B479="STD. DEVIATION",2,$F$1))))</f>
        <v/>
      </c>
      <c r="AY479" s="1" t="str">
        <f>IF(OR($B479="",AY$7=""),"",IF($B479="MEANS",INDEX('1-DATA'!$1:$1048576,$A478-1,COLUMN('1-DATA'!AX477)),ROUND(INDEX('1-DATA'!$1:$1048576,IF(OR($B479="STD. DEVIATION",$C$1=1),$A479,$A479+1),COLUMN('1-DATA'!AX477)),IF($B479="STD. DEVIATION",2,$F$1))))</f>
        <v/>
      </c>
      <c r="AZ479" s="1" t="str">
        <f>IF(OR($B479="",AZ$7=""),"",IF($B479="MEANS",INDEX('1-DATA'!$1:$1048576,$A478-1,COLUMN('1-DATA'!AY477)),ROUND(INDEX('1-DATA'!$1:$1048576,IF(OR($B479="STD. DEVIATION",$C$1=1),$A479,$A479+1),COLUMN('1-DATA'!AY477)),IF($B479="STD. DEVIATION",2,$F$1))))</f>
        <v/>
      </c>
    </row>
    <row r="480" spans="1:52" x14ac:dyDescent="0.25">
      <c r="A480" s="11">
        <f t="shared" si="8"/>
        <v>1426</v>
      </c>
      <c r="B480" s="1" t="str">
        <f>IF(B479="STD. DEVIATION",INDEX('1-DATA'!$1:$1048576,$A479-1,1),IF(INDEX('1-DATA'!$1:$1048576,$A480,1)&lt;&gt;"",INDEX('1-DATA'!$1:$1048576,$A480,1),""))</f>
        <v/>
      </c>
      <c r="C480" s="1" t="str">
        <f>IF(OR($B480="",C$7=""),"",IF($B480="MEANS",INDEX('1-DATA'!$1:$1048576,$A479-1,COLUMN('1-DATA'!B478)),ROUND(INDEX('1-DATA'!$1:$1048576,IF(OR($B480="STD. DEVIATION",$C$1=1),$A480,$A480+1),COLUMN('1-DATA'!B478)),IF($B480="STD. DEVIATION",2,$F$1))))</f>
        <v/>
      </c>
      <c r="D480" s="1" t="str">
        <f>IF(OR($B480="",D$7=""),"",IF($B480="MEANS",INDEX('1-DATA'!$1:$1048576,$A479-1,COLUMN('1-DATA'!C478)),ROUND(INDEX('1-DATA'!$1:$1048576,IF(OR($B480="STD. DEVIATION",$C$1=1),$A480,$A480+1),COLUMN('1-DATA'!C478)),IF($B480="STD. DEVIATION",2,$F$1))))</f>
        <v/>
      </c>
      <c r="E480" s="1" t="str">
        <f>IF(OR($B480="",E$7=""),"",IF($B480="MEANS",INDEX('1-DATA'!$1:$1048576,$A479-1,COLUMN('1-DATA'!D478)),ROUND(INDEX('1-DATA'!$1:$1048576,IF(OR($B480="STD. DEVIATION",$C$1=1),$A480,$A480+1),COLUMN('1-DATA'!D478)),IF($B480="STD. DEVIATION",2,$F$1))))</f>
        <v/>
      </c>
      <c r="F480" s="1" t="str">
        <f>IF(OR($B480="",F$7=""),"",IF($B480="MEANS",INDEX('1-DATA'!$1:$1048576,$A479-1,COLUMN('1-DATA'!E478)),ROUND(INDEX('1-DATA'!$1:$1048576,IF(OR($B480="STD. DEVIATION",$C$1=1),$A480,$A480+1),COLUMN('1-DATA'!E478)),IF($B480="STD. DEVIATION",2,$F$1))))</f>
        <v/>
      </c>
      <c r="G480" s="1" t="str">
        <f>IF(OR($B480="",G$7=""),"",IF($B480="MEANS",INDEX('1-DATA'!$1:$1048576,$A479-1,COLUMN('1-DATA'!F478)),ROUND(INDEX('1-DATA'!$1:$1048576,IF(OR($B480="STD. DEVIATION",$C$1=1),$A480,$A480+1),COLUMN('1-DATA'!F478)),IF($B480="STD. DEVIATION",2,$F$1))))</f>
        <v/>
      </c>
      <c r="H480" s="1" t="str">
        <f>IF(OR($B480="",H$7=""),"",IF($B480="MEANS",INDEX('1-DATA'!$1:$1048576,$A479-1,COLUMN('1-DATA'!G478)),ROUND(INDEX('1-DATA'!$1:$1048576,IF(OR($B480="STD. DEVIATION",$C$1=1),$A480,$A480+1),COLUMN('1-DATA'!G478)),IF($B480="STD. DEVIATION",2,$F$1))))</f>
        <v/>
      </c>
      <c r="I480" s="1" t="str">
        <f>IF(OR($B480="",I$7=""),"",IF($B480="MEANS",INDEX('1-DATA'!$1:$1048576,$A479-1,COLUMN('1-DATA'!H478)),ROUND(INDEX('1-DATA'!$1:$1048576,IF(OR($B480="STD. DEVIATION",$C$1=1),$A480,$A480+1),COLUMN('1-DATA'!H478)),IF($B480="STD. DEVIATION",2,$F$1))))</f>
        <v/>
      </c>
      <c r="J480" s="1" t="str">
        <f>IF(OR($B480="",J$7=""),"",IF($B480="MEANS",INDEX('1-DATA'!$1:$1048576,$A479-1,COLUMN('1-DATA'!I478)),ROUND(INDEX('1-DATA'!$1:$1048576,IF(OR($B480="STD. DEVIATION",$C$1=1),$A480,$A480+1),COLUMN('1-DATA'!I478)),IF($B480="STD. DEVIATION",2,$F$1))))</f>
        <v/>
      </c>
      <c r="K480" s="1" t="str">
        <f>IF(OR($B480="",K$7=""),"",IF($B480="MEANS",INDEX('1-DATA'!$1:$1048576,$A479-1,COLUMN('1-DATA'!J478)),ROUND(INDEX('1-DATA'!$1:$1048576,IF(OR($B480="STD. DEVIATION",$C$1=1),$A480,$A480+1),COLUMN('1-DATA'!J478)),IF($B480="STD. DEVIATION",2,$F$1))))</f>
        <v/>
      </c>
      <c r="L480" s="1" t="str">
        <f>IF(OR($B480="",L$7=""),"",IF($B480="MEANS",INDEX('1-DATA'!$1:$1048576,$A479-1,COLUMN('1-DATA'!K478)),ROUND(INDEX('1-DATA'!$1:$1048576,IF(OR($B480="STD. DEVIATION",$C$1=1),$A480,$A480+1),COLUMN('1-DATA'!K478)),IF($B480="STD. DEVIATION",2,$F$1))))</f>
        <v/>
      </c>
      <c r="M480" s="1" t="str">
        <f>IF(OR($B480="",M$7=""),"",IF($B480="MEANS",INDEX('1-DATA'!$1:$1048576,$A479-1,COLUMN('1-DATA'!L478)),ROUND(INDEX('1-DATA'!$1:$1048576,IF(OR($B480="STD. DEVIATION",$C$1=1),$A480,$A480+1),COLUMN('1-DATA'!L478)),IF($B480="STD. DEVIATION",2,$F$1))))</f>
        <v/>
      </c>
      <c r="N480" s="1" t="str">
        <f>IF(OR($B480="",N$7=""),"",IF($B480="MEANS",INDEX('1-DATA'!$1:$1048576,$A479-1,COLUMN('1-DATA'!M478)),ROUND(INDEX('1-DATA'!$1:$1048576,IF(OR($B480="STD. DEVIATION",$C$1=1),$A480,$A480+1),COLUMN('1-DATA'!M478)),IF($B480="STD. DEVIATION",2,$F$1))))</f>
        <v/>
      </c>
      <c r="O480" s="1" t="str">
        <f>IF(OR($B480="",O$7=""),"",IF($B480="MEANS",INDEX('1-DATA'!$1:$1048576,$A479-1,COLUMN('1-DATA'!N478)),ROUND(INDEX('1-DATA'!$1:$1048576,IF(OR($B480="STD. DEVIATION",$C$1=1),$A480,$A480+1),COLUMN('1-DATA'!N478)),IF($B480="STD. DEVIATION",2,$F$1))))</f>
        <v/>
      </c>
      <c r="P480" s="1" t="str">
        <f>IF(OR($B480="",P$7=""),"",IF($B480="MEANS",INDEX('1-DATA'!$1:$1048576,$A479-1,COLUMN('1-DATA'!O478)),ROUND(INDEX('1-DATA'!$1:$1048576,IF(OR($B480="STD. DEVIATION",$C$1=1),$A480,$A480+1),COLUMN('1-DATA'!O478)),IF($B480="STD. DEVIATION",2,$F$1))))</f>
        <v/>
      </c>
      <c r="Q480" s="1" t="str">
        <f>IF(OR($B480="",Q$7=""),"",IF($B480="MEANS",INDEX('1-DATA'!$1:$1048576,$A479-1,COLUMN('1-DATA'!P478)),ROUND(INDEX('1-DATA'!$1:$1048576,IF(OR($B480="STD. DEVIATION",$C$1=1),$A480,$A480+1),COLUMN('1-DATA'!P478)),IF($B480="STD. DEVIATION",2,$F$1))))</f>
        <v/>
      </c>
      <c r="R480" s="1" t="str">
        <f>IF(OR($B480="",R$7=""),"",IF($B480="MEANS",INDEX('1-DATA'!$1:$1048576,$A479-1,COLUMN('1-DATA'!Q478)),ROUND(INDEX('1-DATA'!$1:$1048576,IF(OR($B480="STD. DEVIATION",$C$1=1),$A480,$A480+1),COLUMN('1-DATA'!Q478)),IF($B480="STD. DEVIATION",2,$F$1))))</f>
        <v/>
      </c>
      <c r="S480" s="1" t="str">
        <f>IF(OR($B480="",S$7=""),"",IF($B480="MEANS",INDEX('1-DATA'!$1:$1048576,$A479-1,COLUMN('1-DATA'!R478)),ROUND(INDEX('1-DATA'!$1:$1048576,IF(OR($B480="STD. DEVIATION",$C$1=1),$A480,$A480+1),COLUMN('1-DATA'!R478)),IF($B480="STD. DEVIATION",2,$F$1))))</f>
        <v/>
      </c>
      <c r="T480" s="1" t="str">
        <f>IF(OR($B480="",T$7=""),"",IF($B480="MEANS",INDEX('1-DATA'!$1:$1048576,$A479-1,COLUMN('1-DATA'!S478)),ROUND(INDEX('1-DATA'!$1:$1048576,IF(OR($B480="STD. DEVIATION",$C$1=1),$A480,$A480+1),COLUMN('1-DATA'!S478)),IF($B480="STD. DEVIATION",2,$F$1))))</f>
        <v/>
      </c>
      <c r="U480" s="1" t="str">
        <f>IF(OR($B480="",U$7=""),"",IF($B480="MEANS",INDEX('1-DATA'!$1:$1048576,$A479-1,COLUMN('1-DATA'!T478)),ROUND(INDEX('1-DATA'!$1:$1048576,IF(OR($B480="STD. DEVIATION",$C$1=1),$A480,$A480+1),COLUMN('1-DATA'!T478)),IF($B480="STD. DEVIATION",2,$F$1))))</f>
        <v/>
      </c>
      <c r="V480" s="1" t="str">
        <f>IF(OR($B480="",V$7=""),"",IF($B480="MEANS",INDEX('1-DATA'!$1:$1048576,$A479-1,COLUMN('1-DATA'!U478)),ROUND(INDEX('1-DATA'!$1:$1048576,IF(OR($B480="STD. DEVIATION",$C$1=1),$A480,$A480+1),COLUMN('1-DATA'!U478)),IF($B480="STD. DEVIATION",2,$F$1))))</f>
        <v/>
      </c>
      <c r="W480" s="1" t="str">
        <f>IF(OR($B480="",W$7=""),"",IF($B480="MEANS",INDEX('1-DATA'!$1:$1048576,$A479-1,COLUMN('1-DATA'!V478)),ROUND(INDEX('1-DATA'!$1:$1048576,IF(OR($B480="STD. DEVIATION",$C$1=1),$A480,$A480+1),COLUMN('1-DATA'!V478)),IF($B480="STD. DEVIATION",2,$F$1))))</f>
        <v/>
      </c>
      <c r="X480" s="1" t="str">
        <f>IF(OR($B480="",X$7=""),"",IF($B480="MEANS",INDEX('1-DATA'!$1:$1048576,$A479-1,COLUMN('1-DATA'!W478)),ROUND(INDEX('1-DATA'!$1:$1048576,IF(OR($B480="STD. DEVIATION",$C$1=1),$A480,$A480+1),COLUMN('1-DATA'!W478)),IF($B480="STD. DEVIATION",2,$F$1))))</f>
        <v/>
      </c>
      <c r="Y480" s="1" t="str">
        <f>IF(OR($B480="",Y$7=""),"",IF($B480="MEANS",INDEX('1-DATA'!$1:$1048576,$A479-1,COLUMN('1-DATA'!X478)),ROUND(INDEX('1-DATA'!$1:$1048576,IF(OR($B480="STD. DEVIATION",$C$1=1),$A480,$A480+1),COLUMN('1-DATA'!X478)),IF($B480="STD. DEVIATION",2,$F$1))))</f>
        <v/>
      </c>
      <c r="Z480" s="1" t="str">
        <f>IF(OR($B480="",Z$7=""),"",IF($B480="MEANS",INDEX('1-DATA'!$1:$1048576,$A479-1,COLUMN('1-DATA'!Y478)),ROUND(INDEX('1-DATA'!$1:$1048576,IF(OR($B480="STD. DEVIATION",$C$1=1),$A480,$A480+1),COLUMN('1-DATA'!Y478)),IF($B480="STD. DEVIATION",2,$F$1))))</f>
        <v/>
      </c>
      <c r="AA480" s="1" t="str">
        <f>IF(OR($B480="",AA$7=""),"",IF($B480="MEANS",INDEX('1-DATA'!$1:$1048576,$A479-1,COLUMN('1-DATA'!Z478)),ROUND(INDEX('1-DATA'!$1:$1048576,IF(OR($B480="STD. DEVIATION",$C$1=1),$A480,$A480+1),COLUMN('1-DATA'!Z478)),IF($B480="STD. DEVIATION",2,$F$1))))</f>
        <v/>
      </c>
      <c r="AB480" s="1" t="str">
        <f>IF(OR($B480="",AB$7=""),"",IF($B480="MEANS",INDEX('1-DATA'!$1:$1048576,$A479-1,COLUMN('1-DATA'!AA478)),ROUND(INDEX('1-DATA'!$1:$1048576,IF(OR($B480="STD. DEVIATION",$C$1=1),$A480,$A480+1),COLUMN('1-DATA'!AA478)),IF($B480="STD. DEVIATION",2,$F$1))))</f>
        <v/>
      </c>
      <c r="AC480" s="1" t="str">
        <f>IF(OR($B480="",AC$7=""),"",IF($B480="MEANS",INDEX('1-DATA'!$1:$1048576,$A479-1,COLUMN('1-DATA'!AB478)),ROUND(INDEX('1-DATA'!$1:$1048576,IF(OR($B480="STD. DEVIATION",$C$1=1),$A480,$A480+1),COLUMN('1-DATA'!AB478)),IF($B480="STD. DEVIATION",2,$F$1))))</f>
        <v/>
      </c>
      <c r="AD480" s="1" t="str">
        <f>IF(OR($B480="",AD$7=""),"",IF($B480="MEANS",INDEX('1-DATA'!$1:$1048576,$A479-1,COLUMN('1-DATA'!AC478)),ROUND(INDEX('1-DATA'!$1:$1048576,IF(OR($B480="STD. DEVIATION",$C$1=1),$A480,$A480+1),COLUMN('1-DATA'!AC478)),IF($B480="STD. DEVIATION",2,$F$1))))</f>
        <v/>
      </c>
      <c r="AE480" s="1" t="str">
        <f>IF(OR($B480="",AE$7=""),"",IF($B480="MEANS",INDEX('1-DATA'!$1:$1048576,$A479-1,COLUMN('1-DATA'!AD478)),ROUND(INDEX('1-DATA'!$1:$1048576,IF(OR($B480="STD. DEVIATION",$C$1=1),$A480,$A480+1),COLUMN('1-DATA'!AD478)),IF($B480="STD. DEVIATION",2,$F$1))))</f>
        <v/>
      </c>
      <c r="AF480" s="1" t="str">
        <f>IF(OR($B480="",AF$7=""),"",IF($B480="MEANS",INDEX('1-DATA'!$1:$1048576,$A479-1,COLUMN('1-DATA'!AE478)),ROUND(INDEX('1-DATA'!$1:$1048576,IF(OR($B480="STD. DEVIATION",$C$1=1),$A480,$A480+1),COLUMN('1-DATA'!AE478)),IF($B480="STD. DEVIATION",2,$F$1))))</f>
        <v/>
      </c>
      <c r="AG480" s="1" t="str">
        <f>IF(OR($B480="",AG$7=""),"",IF($B480="MEANS",INDEX('1-DATA'!$1:$1048576,$A479-1,COLUMN('1-DATA'!AF478)),ROUND(INDEX('1-DATA'!$1:$1048576,IF(OR($B480="STD. DEVIATION",$C$1=1),$A480,$A480+1),COLUMN('1-DATA'!AF478)),IF($B480="STD. DEVIATION",2,$F$1))))</f>
        <v/>
      </c>
      <c r="AH480" s="1" t="str">
        <f>IF(OR($B480="",AH$7=""),"",IF($B480="MEANS",INDEX('1-DATA'!$1:$1048576,$A479-1,COLUMN('1-DATA'!AG478)),ROUND(INDEX('1-DATA'!$1:$1048576,IF(OR($B480="STD. DEVIATION",$C$1=1),$A480,$A480+1),COLUMN('1-DATA'!AG478)),IF($B480="STD. DEVIATION",2,$F$1))))</f>
        <v/>
      </c>
      <c r="AI480" s="1" t="str">
        <f>IF(OR($B480="",AI$7=""),"",IF($B480="MEANS",INDEX('1-DATA'!$1:$1048576,$A479-1,COLUMN('1-DATA'!AH478)),ROUND(INDEX('1-DATA'!$1:$1048576,IF(OR($B480="STD. DEVIATION",$C$1=1),$A480,$A480+1),COLUMN('1-DATA'!AH478)),IF($B480="STD. DEVIATION",2,$F$1))))</f>
        <v/>
      </c>
      <c r="AJ480" s="1" t="str">
        <f>IF(OR($B480="",AJ$7=""),"",IF($B480="MEANS",INDEX('1-DATA'!$1:$1048576,$A479-1,COLUMN('1-DATA'!AI478)),ROUND(INDEX('1-DATA'!$1:$1048576,IF(OR($B480="STD. DEVIATION",$C$1=1),$A480,$A480+1),COLUMN('1-DATA'!AI478)),IF($B480="STD. DEVIATION",2,$F$1))))</f>
        <v/>
      </c>
      <c r="AK480" s="1" t="str">
        <f>IF(OR($B480="",AK$7=""),"",IF($B480="MEANS",INDEX('1-DATA'!$1:$1048576,$A479-1,COLUMN('1-DATA'!AJ478)),ROUND(INDEX('1-DATA'!$1:$1048576,IF(OR($B480="STD. DEVIATION",$C$1=1),$A480,$A480+1),COLUMN('1-DATA'!AJ478)),IF($B480="STD. DEVIATION",2,$F$1))))</f>
        <v/>
      </c>
      <c r="AL480" s="1" t="str">
        <f>IF(OR($B480="",AL$7=""),"",IF($B480="MEANS",INDEX('1-DATA'!$1:$1048576,$A479-1,COLUMN('1-DATA'!AK478)),ROUND(INDEX('1-DATA'!$1:$1048576,IF(OR($B480="STD. DEVIATION",$C$1=1),$A480,$A480+1),COLUMN('1-DATA'!AK478)),IF($B480="STD. DEVIATION",2,$F$1))))</f>
        <v/>
      </c>
      <c r="AM480" s="1" t="str">
        <f>IF(OR($B480="",AM$7=""),"",IF($B480="MEANS",INDEX('1-DATA'!$1:$1048576,$A479-1,COLUMN('1-DATA'!AL478)),ROUND(INDEX('1-DATA'!$1:$1048576,IF(OR($B480="STD. DEVIATION",$C$1=1),$A480,$A480+1),COLUMN('1-DATA'!AL478)),IF($B480="STD. DEVIATION",2,$F$1))))</f>
        <v/>
      </c>
      <c r="AN480" s="1" t="str">
        <f>IF(OR($B480="",AN$7=""),"",IF($B480="MEANS",INDEX('1-DATA'!$1:$1048576,$A479-1,COLUMN('1-DATA'!AM478)),ROUND(INDEX('1-DATA'!$1:$1048576,IF(OR($B480="STD. DEVIATION",$C$1=1),$A480,$A480+1),COLUMN('1-DATA'!AM478)),IF($B480="STD. DEVIATION",2,$F$1))))</f>
        <v/>
      </c>
      <c r="AO480" s="1" t="str">
        <f>IF(OR($B480="",AO$7=""),"",IF($B480="MEANS",INDEX('1-DATA'!$1:$1048576,$A479-1,COLUMN('1-DATA'!AN478)),ROUND(INDEX('1-DATA'!$1:$1048576,IF(OR($B480="STD. DEVIATION",$C$1=1),$A480,$A480+1),COLUMN('1-DATA'!AN478)),IF($B480="STD. DEVIATION",2,$F$1))))</f>
        <v/>
      </c>
      <c r="AP480" s="1" t="str">
        <f>IF(OR($B480="",AP$7=""),"",IF($B480="MEANS",INDEX('1-DATA'!$1:$1048576,$A479-1,COLUMN('1-DATA'!AO478)),ROUND(INDEX('1-DATA'!$1:$1048576,IF(OR($B480="STD. DEVIATION",$C$1=1),$A480,$A480+1),COLUMN('1-DATA'!AO478)),IF($B480="STD. DEVIATION",2,$F$1))))</f>
        <v/>
      </c>
      <c r="AQ480" s="1" t="str">
        <f>IF(OR($B480="",AQ$7=""),"",IF($B480="MEANS",INDEX('1-DATA'!$1:$1048576,$A479-1,COLUMN('1-DATA'!AP478)),ROUND(INDEX('1-DATA'!$1:$1048576,IF(OR($B480="STD. DEVIATION",$C$1=1),$A480,$A480+1),COLUMN('1-DATA'!AP478)),IF($B480="STD. DEVIATION",2,$F$1))))</f>
        <v/>
      </c>
      <c r="AR480" s="1" t="str">
        <f>IF(OR($B480="",AR$7=""),"",IF($B480="MEANS",INDEX('1-DATA'!$1:$1048576,$A479-1,COLUMN('1-DATA'!AQ478)),ROUND(INDEX('1-DATA'!$1:$1048576,IF(OR($B480="STD. DEVIATION",$C$1=1),$A480,$A480+1),COLUMN('1-DATA'!AQ478)),IF($B480="STD. DEVIATION",2,$F$1))))</f>
        <v/>
      </c>
      <c r="AS480" s="1" t="str">
        <f>IF(OR($B480="",AS$7=""),"",IF($B480="MEANS",INDEX('1-DATA'!$1:$1048576,$A479-1,COLUMN('1-DATA'!AR478)),ROUND(INDEX('1-DATA'!$1:$1048576,IF(OR($B480="STD. DEVIATION",$C$1=1),$A480,$A480+1),COLUMN('1-DATA'!AR478)),IF($B480="STD. DEVIATION",2,$F$1))))</f>
        <v/>
      </c>
      <c r="AT480" s="1" t="str">
        <f>IF(OR($B480="",AT$7=""),"",IF($B480="MEANS",INDEX('1-DATA'!$1:$1048576,$A479-1,COLUMN('1-DATA'!AS478)),ROUND(INDEX('1-DATA'!$1:$1048576,IF(OR($B480="STD. DEVIATION",$C$1=1),$A480,$A480+1),COLUMN('1-DATA'!AS478)),IF($B480="STD. DEVIATION",2,$F$1))))</f>
        <v/>
      </c>
      <c r="AU480" s="1" t="str">
        <f>IF(OR($B480="",AU$7=""),"",IF($B480="MEANS",INDEX('1-DATA'!$1:$1048576,$A479-1,COLUMN('1-DATA'!AT478)),ROUND(INDEX('1-DATA'!$1:$1048576,IF(OR($B480="STD. DEVIATION",$C$1=1),$A480,$A480+1),COLUMN('1-DATA'!AT478)),IF($B480="STD. DEVIATION",2,$F$1))))</f>
        <v/>
      </c>
      <c r="AV480" s="1" t="str">
        <f>IF(OR($B480="",AV$7=""),"",IF($B480="MEANS",INDEX('1-DATA'!$1:$1048576,$A479-1,COLUMN('1-DATA'!AU478)),ROUND(INDEX('1-DATA'!$1:$1048576,IF(OR($B480="STD. DEVIATION",$C$1=1),$A480,$A480+1),COLUMN('1-DATA'!AU478)),IF($B480="STD. DEVIATION",2,$F$1))))</f>
        <v/>
      </c>
      <c r="AW480" s="1" t="str">
        <f>IF(OR($B480="",AW$7=""),"",IF($B480="MEANS",INDEX('1-DATA'!$1:$1048576,$A479-1,COLUMN('1-DATA'!AV478)),ROUND(INDEX('1-DATA'!$1:$1048576,IF(OR($B480="STD. DEVIATION",$C$1=1),$A480,$A480+1),COLUMN('1-DATA'!AV478)),IF($B480="STD. DEVIATION",2,$F$1))))</f>
        <v/>
      </c>
      <c r="AX480" s="1" t="str">
        <f>IF(OR($B480="",AX$7=""),"",IF($B480="MEANS",INDEX('1-DATA'!$1:$1048576,$A479-1,COLUMN('1-DATA'!AW478)),ROUND(INDEX('1-DATA'!$1:$1048576,IF(OR($B480="STD. DEVIATION",$C$1=1),$A480,$A480+1),COLUMN('1-DATA'!AW478)),IF($B480="STD. DEVIATION",2,$F$1))))</f>
        <v/>
      </c>
      <c r="AY480" s="1" t="str">
        <f>IF(OR($B480="",AY$7=""),"",IF($B480="MEANS",INDEX('1-DATA'!$1:$1048576,$A479-1,COLUMN('1-DATA'!AX478)),ROUND(INDEX('1-DATA'!$1:$1048576,IF(OR($B480="STD. DEVIATION",$C$1=1),$A480,$A480+1),COLUMN('1-DATA'!AX478)),IF($B480="STD. DEVIATION",2,$F$1))))</f>
        <v/>
      </c>
      <c r="AZ480" s="1" t="str">
        <f>IF(OR($B480="",AZ$7=""),"",IF($B480="MEANS",INDEX('1-DATA'!$1:$1048576,$A479-1,COLUMN('1-DATA'!AY478)),ROUND(INDEX('1-DATA'!$1:$1048576,IF(OR($B480="STD. DEVIATION",$C$1=1),$A480,$A480+1),COLUMN('1-DATA'!AY478)),IF($B480="STD. DEVIATION",2,$F$1))))</f>
        <v/>
      </c>
    </row>
    <row r="481" spans="1:52" x14ac:dyDescent="0.25">
      <c r="A481" s="11">
        <f t="shared" si="8"/>
        <v>1429</v>
      </c>
      <c r="B481" s="1" t="str">
        <f>IF(B480="STD. DEVIATION",INDEX('1-DATA'!$1:$1048576,$A480-1,1),IF(INDEX('1-DATA'!$1:$1048576,$A481,1)&lt;&gt;"",INDEX('1-DATA'!$1:$1048576,$A481,1),""))</f>
        <v/>
      </c>
      <c r="C481" s="1" t="str">
        <f>IF(OR($B481="",C$7=""),"",IF($B481="MEANS",INDEX('1-DATA'!$1:$1048576,$A480-1,COLUMN('1-DATA'!B479)),ROUND(INDEX('1-DATA'!$1:$1048576,IF(OR($B481="STD. DEVIATION",$C$1=1),$A481,$A481+1),COLUMN('1-DATA'!B479)),IF($B481="STD. DEVIATION",2,$F$1))))</f>
        <v/>
      </c>
      <c r="D481" s="1" t="str">
        <f>IF(OR($B481="",D$7=""),"",IF($B481="MEANS",INDEX('1-DATA'!$1:$1048576,$A480-1,COLUMN('1-DATA'!C479)),ROUND(INDEX('1-DATA'!$1:$1048576,IF(OR($B481="STD. DEVIATION",$C$1=1),$A481,$A481+1),COLUMN('1-DATA'!C479)),IF($B481="STD. DEVIATION",2,$F$1))))</f>
        <v/>
      </c>
      <c r="E481" s="1" t="str">
        <f>IF(OR($B481="",E$7=""),"",IF($B481="MEANS",INDEX('1-DATA'!$1:$1048576,$A480-1,COLUMN('1-DATA'!D479)),ROUND(INDEX('1-DATA'!$1:$1048576,IF(OR($B481="STD. DEVIATION",$C$1=1),$A481,$A481+1),COLUMN('1-DATA'!D479)),IF($B481="STD. DEVIATION",2,$F$1))))</f>
        <v/>
      </c>
      <c r="F481" s="1" t="str">
        <f>IF(OR($B481="",F$7=""),"",IF($B481="MEANS",INDEX('1-DATA'!$1:$1048576,$A480-1,COLUMN('1-DATA'!E479)),ROUND(INDEX('1-DATA'!$1:$1048576,IF(OR($B481="STD. DEVIATION",$C$1=1),$A481,$A481+1),COLUMN('1-DATA'!E479)),IF($B481="STD. DEVIATION",2,$F$1))))</f>
        <v/>
      </c>
      <c r="G481" s="1" t="str">
        <f>IF(OR($B481="",G$7=""),"",IF($B481="MEANS",INDEX('1-DATA'!$1:$1048576,$A480-1,COLUMN('1-DATA'!F479)),ROUND(INDEX('1-DATA'!$1:$1048576,IF(OR($B481="STD. DEVIATION",$C$1=1),$A481,$A481+1),COLUMN('1-DATA'!F479)),IF($B481="STD. DEVIATION",2,$F$1))))</f>
        <v/>
      </c>
      <c r="H481" s="1" t="str">
        <f>IF(OR($B481="",H$7=""),"",IF($B481="MEANS",INDEX('1-DATA'!$1:$1048576,$A480-1,COLUMN('1-DATA'!G479)),ROUND(INDEX('1-DATA'!$1:$1048576,IF(OR($B481="STD. DEVIATION",$C$1=1),$A481,$A481+1),COLUMN('1-DATA'!G479)),IF($B481="STD. DEVIATION",2,$F$1))))</f>
        <v/>
      </c>
      <c r="I481" s="1" t="str">
        <f>IF(OR($B481="",I$7=""),"",IF($B481="MEANS",INDEX('1-DATA'!$1:$1048576,$A480-1,COLUMN('1-DATA'!H479)),ROUND(INDEX('1-DATA'!$1:$1048576,IF(OR($B481="STD. DEVIATION",$C$1=1),$A481,$A481+1),COLUMN('1-DATA'!H479)),IF($B481="STD. DEVIATION",2,$F$1))))</f>
        <v/>
      </c>
      <c r="J481" s="1" t="str">
        <f>IF(OR($B481="",J$7=""),"",IF($B481="MEANS",INDEX('1-DATA'!$1:$1048576,$A480-1,COLUMN('1-DATA'!I479)),ROUND(INDEX('1-DATA'!$1:$1048576,IF(OR($B481="STD. DEVIATION",$C$1=1),$A481,$A481+1),COLUMN('1-DATA'!I479)),IF($B481="STD. DEVIATION",2,$F$1))))</f>
        <v/>
      </c>
      <c r="K481" s="1" t="str">
        <f>IF(OR($B481="",K$7=""),"",IF($B481="MEANS",INDEX('1-DATA'!$1:$1048576,$A480-1,COLUMN('1-DATA'!J479)),ROUND(INDEX('1-DATA'!$1:$1048576,IF(OR($B481="STD. DEVIATION",$C$1=1),$A481,$A481+1),COLUMN('1-DATA'!J479)),IF($B481="STD. DEVIATION",2,$F$1))))</f>
        <v/>
      </c>
      <c r="L481" s="1" t="str">
        <f>IF(OR($B481="",L$7=""),"",IF($B481="MEANS",INDEX('1-DATA'!$1:$1048576,$A480-1,COLUMN('1-DATA'!K479)),ROUND(INDEX('1-DATA'!$1:$1048576,IF(OR($B481="STD. DEVIATION",$C$1=1),$A481,$A481+1),COLUMN('1-DATA'!K479)),IF($B481="STD. DEVIATION",2,$F$1))))</f>
        <v/>
      </c>
      <c r="M481" s="1" t="str">
        <f>IF(OR($B481="",M$7=""),"",IF($B481="MEANS",INDEX('1-DATA'!$1:$1048576,$A480-1,COLUMN('1-DATA'!L479)),ROUND(INDEX('1-DATA'!$1:$1048576,IF(OR($B481="STD. DEVIATION",$C$1=1),$A481,$A481+1),COLUMN('1-DATA'!L479)),IF($B481="STD. DEVIATION",2,$F$1))))</f>
        <v/>
      </c>
      <c r="N481" s="1" t="str">
        <f>IF(OR($B481="",N$7=""),"",IF($B481="MEANS",INDEX('1-DATA'!$1:$1048576,$A480-1,COLUMN('1-DATA'!M479)),ROUND(INDEX('1-DATA'!$1:$1048576,IF(OR($B481="STD. DEVIATION",$C$1=1),$A481,$A481+1),COLUMN('1-DATA'!M479)),IF($B481="STD. DEVIATION",2,$F$1))))</f>
        <v/>
      </c>
      <c r="O481" s="1" t="str">
        <f>IF(OR($B481="",O$7=""),"",IF($B481="MEANS",INDEX('1-DATA'!$1:$1048576,$A480-1,COLUMN('1-DATA'!N479)),ROUND(INDEX('1-DATA'!$1:$1048576,IF(OR($B481="STD. DEVIATION",$C$1=1),$A481,$A481+1),COLUMN('1-DATA'!N479)),IF($B481="STD. DEVIATION",2,$F$1))))</f>
        <v/>
      </c>
      <c r="P481" s="1" t="str">
        <f>IF(OR($B481="",P$7=""),"",IF($B481="MEANS",INDEX('1-DATA'!$1:$1048576,$A480-1,COLUMN('1-DATA'!O479)),ROUND(INDEX('1-DATA'!$1:$1048576,IF(OR($B481="STD. DEVIATION",$C$1=1),$A481,$A481+1),COLUMN('1-DATA'!O479)),IF($B481="STD. DEVIATION",2,$F$1))))</f>
        <v/>
      </c>
      <c r="Q481" s="1" t="str">
        <f>IF(OR($B481="",Q$7=""),"",IF($B481="MEANS",INDEX('1-DATA'!$1:$1048576,$A480-1,COLUMN('1-DATA'!P479)),ROUND(INDEX('1-DATA'!$1:$1048576,IF(OR($B481="STD. DEVIATION",$C$1=1),$A481,$A481+1),COLUMN('1-DATA'!P479)),IF($B481="STD. DEVIATION",2,$F$1))))</f>
        <v/>
      </c>
      <c r="R481" s="1" t="str">
        <f>IF(OR($B481="",R$7=""),"",IF($B481="MEANS",INDEX('1-DATA'!$1:$1048576,$A480-1,COLUMN('1-DATA'!Q479)),ROUND(INDEX('1-DATA'!$1:$1048576,IF(OR($B481="STD. DEVIATION",$C$1=1),$A481,$A481+1),COLUMN('1-DATA'!Q479)),IF($B481="STD. DEVIATION",2,$F$1))))</f>
        <v/>
      </c>
      <c r="S481" s="1" t="str">
        <f>IF(OR($B481="",S$7=""),"",IF($B481="MEANS",INDEX('1-DATA'!$1:$1048576,$A480-1,COLUMN('1-DATA'!R479)),ROUND(INDEX('1-DATA'!$1:$1048576,IF(OR($B481="STD. DEVIATION",$C$1=1),$A481,$A481+1),COLUMN('1-DATA'!R479)),IF($B481="STD. DEVIATION",2,$F$1))))</f>
        <v/>
      </c>
      <c r="T481" s="1" t="str">
        <f>IF(OR($B481="",T$7=""),"",IF($B481="MEANS",INDEX('1-DATA'!$1:$1048576,$A480-1,COLUMN('1-DATA'!S479)),ROUND(INDEX('1-DATA'!$1:$1048576,IF(OR($B481="STD. DEVIATION",$C$1=1),$A481,$A481+1),COLUMN('1-DATA'!S479)),IF($B481="STD. DEVIATION",2,$F$1))))</f>
        <v/>
      </c>
      <c r="U481" s="1" t="str">
        <f>IF(OR($B481="",U$7=""),"",IF($B481="MEANS",INDEX('1-DATA'!$1:$1048576,$A480-1,COLUMN('1-DATA'!T479)),ROUND(INDEX('1-DATA'!$1:$1048576,IF(OR($B481="STD. DEVIATION",$C$1=1),$A481,$A481+1),COLUMN('1-DATA'!T479)),IF($B481="STD. DEVIATION",2,$F$1))))</f>
        <v/>
      </c>
      <c r="V481" s="1" t="str">
        <f>IF(OR($B481="",V$7=""),"",IF($B481="MEANS",INDEX('1-DATA'!$1:$1048576,$A480-1,COLUMN('1-DATA'!U479)),ROUND(INDEX('1-DATA'!$1:$1048576,IF(OR($B481="STD. DEVIATION",$C$1=1),$A481,$A481+1),COLUMN('1-DATA'!U479)),IF($B481="STD. DEVIATION",2,$F$1))))</f>
        <v/>
      </c>
      <c r="W481" s="1" t="str">
        <f>IF(OR($B481="",W$7=""),"",IF($B481="MEANS",INDEX('1-DATA'!$1:$1048576,$A480-1,COLUMN('1-DATA'!V479)),ROUND(INDEX('1-DATA'!$1:$1048576,IF(OR($B481="STD. DEVIATION",$C$1=1),$A481,$A481+1),COLUMN('1-DATA'!V479)),IF($B481="STD. DEVIATION",2,$F$1))))</f>
        <v/>
      </c>
      <c r="X481" s="1" t="str">
        <f>IF(OR($B481="",X$7=""),"",IF($B481="MEANS",INDEX('1-DATA'!$1:$1048576,$A480-1,COLUMN('1-DATA'!W479)),ROUND(INDEX('1-DATA'!$1:$1048576,IF(OR($B481="STD. DEVIATION",$C$1=1),$A481,$A481+1),COLUMN('1-DATA'!W479)),IF($B481="STD. DEVIATION",2,$F$1))))</f>
        <v/>
      </c>
      <c r="Y481" s="1" t="str">
        <f>IF(OR($B481="",Y$7=""),"",IF($B481="MEANS",INDEX('1-DATA'!$1:$1048576,$A480-1,COLUMN('1-DATA'!X479)),ROUND(INDEX('1-DATA'!$1:$1048576,IF(OR($B481="STD. DEVIATION",$C$1=1),$A481,$A481+1),COLUMN('1-DATA'!X479)),IF($B481="STD. DEVIATION",2,$F$1))))</f>
        <v/>
      </c>
      <c r="Z481" s="1" t="str">
        <f>IF(OR($B481="",Z$7=""),"",IF($B481="MEANS",INDEX('1-DATA'!$1:$1048576,$A480-1,COLUMN('1-DATA'!Y479)),ROUND(INDEX('1-DATA'!$1:$1048576,IF(OR($B481="STD. DEVIATION",$C$1=1),$A481,$A481+1),COLUMN('1-DATA'!Y479)),IF($B481="STD. DEVIATION",2,$F$1))))</f>
        <v/>
      </c>
      <c r="AA481" s="1" t="str">
        <f>IF(OR($B481="",AA$7=""),"",IF($B481="MEANS",INDEX('1-DATA'!$1:$1048576,$A480-1,COLUMN('1-DATA'!Z479)),ROUND(INDEX('1-DATA'!$1:$1048576,IF(OR($B481="STD. DEVIATION",$C$1=1),$A481,$A481+1),COLUMN('1-DATA'!Z479)),IF($B481="STD. DEVIATION",2,$F$1))))</f>
        <v/>
      </c>
      <c r="AB481" s="1" t="str">
        <f>IF(OR($B481="",AB$7=""),"",IF($B481="MEANS",INDEX('1-DATA'!$1:$1048576,$A480-1,COLUMN('1-DATA'!AA479)),ROUND(INDEX('1-DATA'!$1:$1048576,IF(OR($B481="STD. DEVIATION",$C$1=1),$A481,$A481+1),COLUMN('1-DATA'!AA479)),IF($B481="STD. DEVIATION",2,$F$1))))</f>
        <v/>
      </c>
      <c r="AC481" s="1" t="str">
        <f>IF(OR($B481="",AC$7=""),"",IF($B481="MEANS",INDEX('1-DATA'!$1:$1048576,$A480-1,COLUMN('1-DATA'!AB479)),ROUND(INDEX('1-DATA'!$1:$1048576,IF(OR($B481="STD. DEVIATION",$C$1=1),$A481,$A481+1),COLUMN('1-DATA'!AB479)),IF($B481="STD. DEVIATION",2,$F$1))))</f>
        <v/>
      </c>
      <c r="AD481" s="1" t="str">
        <f>IF(OR($B481="",AD$7=""),"",IF($B481="MEANS",INDEX('1-DATA'!$1:$1048576,$A480-1,COLUMN('1-DATA'!AC479)),ROUND(INDEX('1-DATA'!$1:$1048576,IF(OR($B481="STD. DEVIATION",$C$1=1),$A481,$A481+1),COLUMN('1-DATA'!AC479)),IF($B481="STD. DEVIATION",2,$F$1))))</f>
        <v/>
      </c>
      <c r="AE481" s="1" t="str">
        <f>IF(OR($B481="",AE$7=""),"",IF($B481="MEANS",INDEX('1-DATA'!$1:$1048576,$A480-1,COLUMN('1-DATA'!AD479)),ROUND(INDEX('1-DATA'!$1:$1048576,IF(OR($B481="STD. DEVIATION",$C$1=1),$A481,$A481+1),COLUMN('1-DATA'!AD479)),IF($B481="STD. DEVIATION",2,$F$1))))</f>
        <v/>
      </c>
      <c r="AF481" s="1" t="str">
        <f>IF(OR($B481="",AF$7=""),"",IF($B481="MEANS",INDEX('1-DATA'!$1:$1048576,$A480-1,COLUMN('1-DATA'!AE479)),ROUND(INDEX('1-DATA'!$1:$1048576,IF(OR($B481="STD. DEVIATION",$C$1=1),$A481,$A481+1),COLUMN('1-DATA'!AE479)),IF($B481="STD. DEVIATION",2,$F$1))))</f>
        <v/>
      </c>
      <c r="AG481" s="1" t="str">
        <f>IF(OR($B481="",AG$7=""),"",IF($B481="MEANS",INDEX('1-DATA'!$1:$1048576,$A480-1,COLUMN('1-DATA'!AF479)),ROUND(INDEX('1-DATA'!$1:$1048576,IF(OR($B481="STD. DEVIATION",$C$1=1),$A481,$A481+1),COLUMN('1-DATA'!AF479)),IF($B481="STD. DEVIATION",2,$F$1))))</f>
        <v/>
      </c>
      <c r="AH481" s="1" t="str">
        <f>IF(OR($B481="",AH$7=""),"",IF($B481="MEANS",INDEX('1-DATA'!$1:$1048576,$A480-1,COLUMN('1-DATA'!AG479)),ROUND(INDEX('1-DATA'!$1:$1048576,IF(OR($B481="STD. DEVIATION",$C$1=1),$A481,$A481+1),COLUMN('1-DATA'!AG479)),IF($B481="STD. DEVIATION",2,$F$1))))</f>
        <v/>
      </c>
      <c r="AI481" s="1" t="str">
        <f>IF(OR($B481="",AI$7=""),"",IF($B481="MEANS",INDEX('1-DATA'!$1:$1048576,$A480-1,COLUMN('1-DATA'!AH479)),ROUND(INDEX('1-DATA'!$1:$1048576,IF(OR($B481="STD. DEVIATION",$C$1=1),$A481,$A481+1),COLUMN('1-DATA'!AH479)),IF($B481="STD. DEVIATION",2,$F$1))))</f>
        <v/>
      </c>
      <c r="AJ481" s="1" t="str">
        <f>IF(OR($B481="",AJ$7=""),"",IF($B481="MEANS",INDEX('1-DATA'!$1:$1048576,$A480-1,COLUMN('1-DATA'!AI479)),ROUND(INDEX('1-DATA'!$1:$1048576,IF(OR($B481="STD. DEVIATION",$C$1=1),$A481,$A481+1),COLUMN('1-DATA'!AI479)),IF($B481="STD. DEVIATION",2,$F$1))))</f>
        <v/>
      </c>
      <c r="AK481" s="1" t="str">
        <f>IF(OR($B481="",AK$7=""),"",IF($B481="MEANS",INDEX('1-DATA'!$1:$1048576,$A480-1,COLUMN('1-DATA'!AJ479)),ROUND(INDEX('1-DATA'!$1:$1048576,IF(OR($B481="STD. DEVIATION",$C$1=1),$A481,$A481+1),COLUMN('1-DATA'!AJ479)),IF($B481="STD. DEVIATION",2,$F$1))))</f>
        <v/>
      </c>
      <c r="AL481" s="1" t="str">
        <f>IF(OR($B481="",AL$7=""),"",IF($B481="MEANS",INDEX('1-DATA'!$1:$1048576,$A480-1,COLUMN('1-DATA'!AK479)),ROUND(INDEX('1-DATA'!$1:$1048576,IF(OR($B481="STD. DEVIATION",$C$1=1),$A481,$A481+1),COLUMN('1-DATA'!AK479)),IF($B481="STD. DEVIATION",2,$F$1))))</f>
        <v/>
      </c>
      <c r="AM481" s="1" t="str">
        <f>IF(OR($B481="",AM$7=""),"",IF($B481="MEANS",INDEX('1-DATA'!$1:$1048576,$A480-1,COLUMN('1-DATA'!AL479)),ROUND(INDEX('1-DATA'!$1:$1048576,IF(OR($B481="STD. DEVIATION",$C$1=1),$A481,$A481+1),COLUMN('1-DATA'!AL479)),IF($B481="STD. DEVIATION",2,$F$1))))</f>
        <v/>
      </c>
      <c r="AN481" s="1" t="str">
        <f>IF(OR($B481="",AN$7=""),"",IF($B481="MEANS",INDEX('1-DATA'!$1:$1048576,$A480-1,COLUMN('1-DATA'!AM479)),ROUND(INDEX('1-DATA'!$1:$1048576,IF(OR($B481="STD. DEVIATION",$C$1=1),$A481,$A481+1),COLUMN('1-DATA'!AM479)),IF($B481="STD. DEVIATION",2,$F$1))))</f>
        <v/>
      </c>
      <c r="AO481" s="1" t="str">
        <f>IF(OR($B481="",AO$7=""),"",IF($B481="MEANS",INDEX('1-DATA'!$1:$1048576,$A480-1,COLUMN('1-DATA'!AN479)),ROUND(INDEX('1-DATA'!$1:$1048576,IF(OR($B481="STD. DEVIATION",$C$1=1),$A481,$A481+1),COLUMN('1-DATA'!AN479)),IF($B481="STD. DEVIATION",2,$F$1))))</f>
        <v/>
      </c>
      <c r="AP481" s="1" t="str">
        <f>IF(OR($B481="",AP$7=""),"",IF($B481="MEANS",INDEX('1-DATA'!$1:$1048576,$A480-1,COLUMN('1-DATA'!AO479)),ROUND(INDEX('1-DATA'!$1:$1048576,IF(OR($B481="STD. DEVIATION",$C$1=1),$A481,$A481+1),COLUMN('1-DATA'!AO479)),IF($B481="STD. DEVIATION",2,$F$1))))</f>
        <v/>
      </c>
      <c r="AQ481" s="1" t="str">
        <f>IF(OR($B481="",AQ$7=""),"",IF($B481="MEANS",INDEX('1-DATA'!$1:$1048576,$A480-1,COLUMN('1-DATA'!AP479)),ROUND(INDEX('1-DATA'!$1:$1048576,IF(OR($B481="STD. DEVIATION",$C$1=1),$A481,$A481+1),COLUMN('1-DATA'!AP479)),IF($B481="STD. DEVIATION",2,$F$1))))</f>
        <v/>
      </c>
      <c r="AR481" s="1" t="str">
        <f>IF(OR($B481="",AR$7=""),"",IF($B481="MEANS",INDEX('1-DATA'!$1:$1048576,$A480-1,COLUMN('1-DATA'!AQ479)),ROUND(INDEX('1-DATA'!$1:$1048576,IF(OR($B481="STD. DEVIATION",$C$1=1),$A481,$A481+1),COLUMN('1-DATA'!AQ479)),IF($B481="STD. DEVIATION",2,$F$1))))</f>
        <v/>
      </c>
      <c r="AS481" s="1" t="str">
        <f>IF(OR($B481="",AS$7=""),"",IF($B481="MEANS",INDEX('1-DATA'!$1:$1048576,$A480-1,COLUMN('1-DATA'!AR479)),ROUND(INDEX('1-DATA'!$1:$1048576,IF(OR($B481="STD. DEVIATION",$C$1=1),$A481,$A481+1),COLUMN('1-DATA'!AR479)),IF($B481="STD. DEVIATION",2,$F$1))))</f>
        <v/>
      </c>
      <c r="AT481" s="1" t="str">
        <f>IF(OR($B481="",AT$7=""),"",IF($B481="MEANS",INDEX('1-DATA'!$1:$1048576,$A480-1,COLUMN('1-DATA'!AS479)),ROUND(INDEX('1-DATA'!$1:$1048576,IF(OR($B481="STD. DEVIATION",$C$1=1),$A481,$A481+1),COLUMN('1-DATA'!AS479)),IF($B481="STD. DEVIATION",2,$F$1))))</f>
        <v/>
      </c>
      <c r="AU481" s="1" t="str">
        <f>IF(OR($B481="",AU$7=""),"",IF($B481="MEANS",INDEX('1-DATA'!$1:$1048576,$A480-1,COLUMN('1-DATA'!AT479)),ROUND(INDEX('1-DATA'!$1:$1048576,IF(OR($B481="STD. DEVIATION",$C$1=1),$A481,$A481+1),COLUMN('1-DATA'!AT479)),IF($B481="STD. DEVIATION",2,$F$1))))</f>
        <v/>
      </c>
      <c r="AV481" s="1" t="str">
        <f>IF(OR($B481="",AV$7=""),"",IF($B481="MEANS",INDEX('1-DATA'!$1:$1048576,$A480-1,COLUMN('1-DATA'!AU479)),ROUND(INDEX('1-DATA'!$1:$1048576,IF(OR($B481="STD. DEVIATION",$C$1=1),$A481,$A481+1),COLUMN('1-DATA'!AU479)),IF($B481="STD. DEVIATION",2,$F$1))))</f>
        <v/>
      </c>
      <c r="AW481" s="1" t="str">
        <f>IF(OR($B481="",AW$7=""),"",IF($B481="MEANS",INDEX('1-DATA'!$1:$1048576,$A480-1,COLUMN('1-DATA'!AV479)),ROUND(INDEX('1-DATA'!$1:$1048576,IF(OR($B481="STD. DEVIATION",$C$1=1),$A481,$A481+1),COLUMN('1-DATA'!AV479)),IF($B481="STD. DEVIATION",2,$F$1))))</f>
        <v/>
      </c>
      <c r="AX481" s="1" t="str">
        <f>IF(OR($B481="",AX$7=""),"",IF($B481="MEANS",INDEX('1-DATA'!$1:$1048576,$A480-1,COLUMN('1-DATA'!AW479)),ROUND(INDEX('1-DATA'!$1:$1048576,IF(OR($B481="STD. DEVIATION",$C$1=1),$A481,$A481+1),COLUMN('1-DATA'!AW479)),IF($B481="STD. DEVIATION",2,$F$1))))</f>
        <v/>
      </c>
      <c r="AY481" s="1" t="str">
        <f>IF(OR($B481="",AY$7=""),"",IF($B481="MEANS",INDEX('1-DATA'!$1:$1048576,$A480-1,COLUMN('1-DATA'!AX479)),ROUND(INDEX('1-DATA'!$1:$1048576,IF(OR($B481="STD. DEVIATION",$C$1=1),$A481,$A481+1),COLUMN('1-DATA'!AX479)),IF($B481="STD. DEVIATION",2,$F$1))))</f>
        <v/>
      </c>
      <c r="AZ481" s="1" t="str">
        <f>IF(OR($B481="",AZ$7=""),"",IF($B481="MEANS",INDEX('1-DATA'!$1:$1048576,$A480-1,COLUMN('1-DATA'!AY479)),ROUND(INDEX('1-DATA'!$1:$1048576,IF(OR($B481="STD. DEVIATION",$C$1=1),$A481,$A481+1),COLUMN('1-DATA'!AY479)),IF($B481="STD. DEVIATION",2,$F$1))))</f>
        <v/>
      </c>
    </row>
    <row r="482" spans="1:52" x14ac:dyDescent="0.25">
      <c r="A482" s="11">
        <f t="shared" si="8"/>
        <v>1432</v>
      </c>
      <c r="B482" s="1" t="str">
        <f>IF(B481="STD. DEVIATION",INDEX('1-DATA'!$1:$1048576,$A481-1,1),IF(INDEX('1-DATA'!$1:$1048576,$A482,1)&lt;&gt;"",INDEX('1-DATA'!$1:$1048576,$A482,1),""))</f>
        <v/>
      </c>
      <c r="C482" s="1" t="str">
        <f>IF(OR($B482="",C$7=""),"",IF($B482="MEANS",INDEX('1-DATA'!$1:$1048576,$A481-1,COLUMN('1-DATA'!B480)),ROUND(INDEX('1-DATA'!$1:$1048576,IF(OR($B482="STD. DEVIATION",$C$1=1),$A482,$A482+1),COLUMN('1-DATA'!B480)),IF($B482="STD. DEVIATION",2,$F$1))))</f>
        <v/>
      </c>
      <c r="D482" s="1" t="str">
        <f>IF(OR($B482="",D$7=""),"",IF($B482="MEANS",INDEX('1-DATA'!$1:$1048576,$A481-1,COLUMN('1-DATA'!C480)),ROUND(INDEX('1-DATA'!$1:$1048576,IF(OR($B482="STD. DEVIATION",$C$1=1),$A482,$A482+1),COLUMN('1-DATA'!C480)),IF($B482="STD. DEVIATION",2,$F$1))))</f>
        <v/>
      </c>
      <c r="E482" s="1" t="str">
        <f>IF(OR($B482="",E$7=""),"",IF($B482="MEANS",INDEX('1-DATA'!$1:$1048576,$A481-1,COLUMN('1-DATA'!D480)),ROUND(INDEX('1-DATA'!$1:$1048576,IF(OR($B482="STD. DEVIATION",$C$1=1),$A482,$A482+1),COLUMN('1-DATA'!D480)),IF($B482="STD. DEVIATION",2,$F$1))))</f>
        <v/>
      </c>
      <c r="F482" s="1" t="str">
        <f>IF(OR($B482="",F$7=""),"",IF($B482="MEANS",INDEX('1-DATA'!$1:$1048576,$A481-1,COLUMN('1-DATA'!E480)),ROUND(INDEX('1-DATA'!$1:$1048576,IF(OR($B482="STD. DEVIATION",$C$1=1),$A482,$A482+1),COLUMN('1-DATA'!E480)),IF($B482="STD. DEVIATION",2,$F$1))))</f>
        <v/>
      </c>
      <c r="G482" s="1" t="str">
        <f>IF(OR($B482="",G$7=""),"",IF($B482="MEANS",INDEX('1-DATA'!$1:$1048576,$A481-1,COLUMN('1-DATA'!F480)),ROUND(INDEX('1-DATA'!$1:$1048576,IF(OR($B482="STD. DEVIATION",$C$1=1),$A482,$A482+1),COLUMN('1-DATA'!F480)),IF($B482="STD. DEVIATION",2,$F$1))))</f>
        <v/>
      </c>
      <c r="H482" s="1" t="str">
        <f>IF(OR($B482="",H$7=""),"",IF($B482="MEANS",INDEX('1-DATA'!$1:$1048576,$A481-1,COLUMN('1-DATA'!G480)),ROUND(INDEX('1-DATA'!$1:$1048576,IF(OR($B482="STD. DEVIATION",$C$1=1),$A482,$A482+1),COLUMN('1-DATA'!G480)),IF($B482="STD. DEVIATION",2,$F$1))))</f>
        <v/>
      </c>
      <c r="I482" s="1" t="str">
        <f>IF(OR($B482="",I$7=""),"",IF($B482="MEANS",INDEX('1-DATA'!$1:$1048576,$A481-1,COLUMN('1-DATA'!H480)),ROUND(INDEX('1-DATA'!$1:$1048576,IF(OR($B482="STD. DEVIATION",$C$1=1),$A482,$A482+1),COLUMN('1-DATA'!H480)),IF($B482="STD. DEVIATION",2,$F$1))))</f>
        <v/>
      </c>
      <c r="J482" s="1" t="str">
        <f>IF(OR($B482="",J$7=""),"",IF($B482="MEANS",INDEX('1-DATA'!$1:$1048576,$A481-1,COLUMN('1-DATA'!I480)),ROUND(INDEX('1-DATA'!$1:$1048576,IF(OR($B482="STD. DEVIATION",$C$1=1),$A482,$A482+1),COLUMN('1-DATA'!I480)),IF($B482="STD. DEVIATION",2,$F$1))))</f>
        <v/>
      </c>
      <c r="K482" s="1" t="str">
        <f>IF(OR($B482="",K$7=""),"",IF($B482="MEANS",INDEX('1-DATA'!$1:$1048576,$A481-1,COLUMN('1-DATA'!J480)),ROUND(INDEX('1-DATA'!$1:$1048576,IF(OR($B482="STD. DEVIATION",$C$1=1),$A482,$A482+1),COLUMN('1-DATA'!J480)),IF($B482="STD. DEVIATION",2,$F$1))))</f>
        <v/>
      </c>
      <c r="L482" s="1" t="str">
        <f>IF(OR($B482="",L$7=""),"",IF($B482="MEANS",INDEX('1-DATA'!$1:$1048576,$A481-1,COLUMN('1-DATA'!K480)),ROUND(INDEX('1-DATA'!$1:$1048576,IF(OR($B482="STD. DEVIATION",$C$1=1),$A482,$A482+1),COLUMN('1-DATA'!K480)),IF($B482="STD. DEVIATION",2,$F$1))))</f>
        <v/>
      </c>
      <c r="M482" s="1" t="str">
        <f>IF(OR($B482="",M$7=""),"",IF($B482="MEANS",INDEX('1-DATA'!$1:$1048576,$A481-1,COLUMN('1-DATA'!L480)),ROUND(INDEX('1-DATA'!$1:$1048576,IF(OR($B482="STD. DEVIATION",$C$1=1),$A482,$A482+1),COLUMN('1-DATA'!L480)),IF($B482="STD. DEVIATION",2,$F$1))))</f>
        <v/>
      </c>
      <c r="N482" s="1" t="str">
        <f>IF(OR($B482="",N$7=""),"",IF($B482="MEANS",INDEX('1-DATA'!$1:$1048576,$A481-1,COLUMN('1-DATA'!M480)),ROUND(INDEX('1-DATA'!$1:$1048576,IF(OR($B482="STD. DEVIATION",$C$1=1),$A482,$A482+1),COLUMN('1-DATA'!M480)),IF($B482="STD. DEVIATION",2,$F$1))))</f>
        <v/>
      </c>
      <c r="O482" s="1" t="str">
        <f>IF(OR($B482="",O$7=""),"",IF($B482="MEANS",INDEX('1-DATA'!$1:$1048576,$A481-1,COLUMN('1-DATA'!N480)),ROUND(INDEX('1-DATA'!$1:$1048576,IF(OR($B482="STD. DEVIATION",$C$1=1),$A482,$A482+1),COLUMN('1-DATA'!N480)),IF($B482="STD. DEVIATION",2,$F$1))))</f>
        <v/>
      </c>
      <c r="P482" s="1" t="str">
        <f>IF(OR($B482="",P$7=""),"",IF($B482="MEANS",INDEX('1-DATA'!$1:$1048576,$A481-1,COLUMN('1-DATA'!O480)),ROUND(INDEX('1-DATA'!$1:$1048576,IF(OR($B482="STD. DEVIATION",$C$1=1),$A482,$A482+1),COLUMN('1-DATA'!O480)),IF($B482="STD. DEVIATION",2,$F$1))))</f>
        <v/>
      </c>
      <c r="Q482" s="1" t="str">
        <f>IF(OR($B482="",Q$7=""),"",IF($B482="MEANS",INDEX('1-DATA'!$1:$1048576,$A481-1,COLUMN('1-DATA'!P480)),ROUND(INDEX('1-DATA'!$1:$1048576,IF(OR($B482="STD. DEVIATION",$C$1=1),$A482,$A482+1),COLUMN('1-DATA'!P480)),IF($B482="STD. DEVIATION",2,$F$1))))</f>
        <v/>
      </c>
      <c r="R482" s="1" t="str">
        <f>IF(OR($B482="",R$7=""),"",IF($B482="MEANS",INDEX('1-DATA'!$1:$1048576,$A481-1,COLUMN('1-DATA'!Q480)),ROUND(INDEX('1-DATA'!$1:$1048576,IF(OR($B482="STD. DEVIATION",$C$1=1),$A482,$A482+1),COLUMN('1-DATA'!Q480)),IF($B482="STD. DEVIATION",2,$F$1))))</f>
        <v/>
      </c>
      <c r="S482" s="1" t="str">
        <f>IF(OR($B482="",S$7=""),"",IF($B482="MEANS",INDEX('1-DATA'!$1:$1048576,$A481-1,COLUMN('1-DATA'!R480)),ROUND(INDEX('1-DATA'!$1:$1048576,IF(OR($B482="STD. DEVIATION",$C$1=1),$A482,$A482+1),COLUMN('1-DATA'!R480)),IF($B482="STD. DEVIATION",2,$F$1))))</f>
        <v/>
      </c>
      <c r="T482" s="1" t="str">
        <f>IF(OR($B482="",T$7=""),"",IF($B482="MEANS",INDEX('1-DATA'!$1:$1048576,$A481-1,COLUMN('1-DATA'!S480)),ROUND(INDEX('1-DATA'!$1:$1048576,IF(OR($B482="STD. DEVIATION",$C$1=1),$A482,$A482+1),COLUMN('1-DATA'!S480)),IF($B482="STD. DEVIATION",2,$F$1))))</f>
        <v/>
      </c>
      <c r="U482" s="1" t="str">
        <f>IF(OR($B482="",U$7=""),"",IF($B482="MEANS",INDEX('1-DATA'!$1:$1048576,$A481-1,COLUMN('1-DATA'!T480)),ROUND(INDEX('1-DATA'!$1:$1048576,IF(OR($B482="STD. DEVIATION",$C$1=1),$A482,$A482+1),COLUMN('1-DATA'!T480)),IF($B482="STD. DEVIATION",2,$F$1))))</f>
        <v/>
      </c>
      <c r="V482" s="1" t="str">
        <f>IF(OR($B482="",V$7=""),"",IF($B482="MEANS",INDEX('1-DATA'!$1:$1048576,$A481-1,COLUMN('1-DATA'!U480)),ROUND(INDEX('1-DATA'!$1:$1048576,IF(OR($B482="STD. DEVIATION",$C$1=1),$A482,$A482+1),COLUMN('1-DATA'!U480)),IF($B482="STD. DEVIATION",2,$F$1))))</f>
        <v/>
      </c>
      <c r="W482" s="1" t="str">
        <f>IF(OR($B482="",W$7=""),"",IF($B482="MEANS",INDEX('1-DATA'!$1:$1048576,$A481-1,COLUMN('1-DATA'!V480)),ROUND(INDEX('1-DATA'!$1:$1048576,IF(OR($B482="STD. DEVIATION",$C$1=1),$A482,$A482+1),COLUMN('1-DATA'!V480)),IF($B482="STD. DEVIATION",2,$F$1))))</f>
        <v/>
      </c>
      <c r="X482" s="1" t="str">
        <f>IF(OR($B482="",X$7=""),"",IF($B482="MEANS",INDEX('1-DATA'!$1:$1048576,$A481-1,COLUMN('1-DATA'!W480)),ROUND(INDEX('1-DATA'!$1:$1048576,IF(OR($B482="STD. DEVIATION",$C$1=1),$A482,$A482+1),COLUMN('1-DATA'!W480)),IF($B482="STD. DEVIATION",2,$F$1))))</f>
        <v/>
      </c>
      <c r="Y482" s="1" t="str">
        <f>IF(OR($B482="",Y$7=""),"",IF($B482="MEANS",INDEX('1-DATA'!$1:$1048576,$A481-1,COLUMN('1-DATA'!X480)),ROUND(INDEX('1-DATA'!$1:$1048576,IF(OR($B482="STD. DEVIATION",$C$1=1),$A482,$A482+1),COLUMN('1-DATA'!X480)),IF($B482="STD. DEVIATION",2,$F$1))))</f>
        <v/>
      </c>
      <c r="Z482" s="1" t="str">
        <f>IF(OR($B482="",Z$7=""),"",IF($B482="MEANS",INDEX('1-DATA'!$1:$1048576,$A481-1,COLUMN('1-DATA'!Y480)),ROUND(INDEX('1-DATA'!$1:$1048576,IF(OR($B482="STD. DEVIATION",$C$1=1),$A482,$A482+1),COLUMN('1-DATA'!Y480)),IF($B482="STD. DEVIATION",2,$F$1))))</f>
        <v/>
      </c>
      <c r="AA482" s="1" t="str">
        <f>IF(OR($B482="",AA$7=""),"",IF($B482="MEANS",INDEX('1-DATA'!$1:$1048576,$A481-1,COLUMN('1-DATA'!Z480)),ROUND(INDEX('1-DATA'!$1:$1048576,IF(OR($B482="STD. DEVIATION",$C$1=1),$A482,$A482+1),COLUMN('1-DATA'!Z480)),IF($B482="STD. DEVIATION",2,$F$1))))</f>
        <v/>
      </c>
      <c r="AB482" s="1" t="str">
        <f>IF(OR($B482="",AB$7=""),"",IF($B482="MEANS",INDEX('1-DATA'!$1:$1048576,$A481-1,COLUMN('1-DATA'!AA480)),ROUND(INDEX('1-DATA'!$1:$1048576,IF(OR($B482="STD. DEVIATION",$C$1=1),$A482,$A482+1),COLUMN('1-DATA'!AA480)),IF($B482="STD. DEVIATION",2,$F$1))))</f>
        <v/>
      </c>
      <c r="AC482" s="1" t="str">
        <f>IF(OR($B482="",AC$7=""),"",IF($B482="MEANS",INDEX('1-DATA'!$1:$1048576,$A481-1,COLUMN('1-DATA'!AB480)),ROUND(INDEX('1-DATA'!$1:$1048576,IF(OR($B482="STD. DEVIATION",$C$1=1),$A482,$A482+1),COLUMN('1-DATA'!AB480)),IF($B482="STD. DEVIATION",2,$F$1))))</f>
        <v/>
      </c>
      <c r="AD482" s="1" t="str">
        <f>IF(OR($B482="",AD$7=""),"",IF($B482="MEANS",INDEX('1-DATA'!$1:$1048576,$A481-1,COLUMN('1-DATA'!AC480)),ROUND(INDEX('1-DATA'!$1:$1048576,IF(OR($B482="STD. DEVIATION",$C$1=1),$A482,$A482+1),COLUMN('1-DATA'!AC480)),IF($B482="STD. DEVIATION",2,$F$1))))</f>
        <v/>
      </c>
      <c r="AE482" s="1" t="str">
        <f>IF(OR($B482="",AE$7=""),"",IF($B482="MEANS",INDEX('1-DATA'!$1:$1048576,$A481-1,COLUMN('1-DATA'!AD480)),ROUND(INDEX('1-DATA'!$1:$1048576,IF(OR($B482="STD. DEVIATION",$C$1=1),$A482,$A482+1),COLUMN('1-DATA'!AD480)),IF($B482="STD. DEVIATION",2,$F$1))))</f>
        <v/>
      </c>
      <c r="AF482" s="1" t="str">
        <f>IF(OR($B482="",AF$7=""),"",IF($B482="MEANS",INDEX('1-DATA'!$1:$1048576,$A481-1,COLUMN('1-DATA'!AE480)),ROUND(INDEX('1-DATA'!$1:$1048576,IF(OR($B482="STD. DEVIATION",$C$1=1),$A482,$A482+1),COLUMN('1-DATA'!AE480)),IF($B482="STD. DEVIATION",2,$F$1))))</f>
        <v/>
      </c>
      <c r="AG482" s="1" t="str">
        <f>IF(OR($B482="",AG$7=""),"",IF($B482="MEANS",INDEX('1-DATA'!$1:$1048576,$A481-1,COLUMN('1-DATA'!AF480)),ROUND(INDEX('1-DATA'!$1:$1048576,IF(OR($B482="STD. DEVIATION",$C$1=1),$A482,$A482+1),COLUMN('1-DATA'!AF480)),IF($B482="STD. DEVIATION",2,$F$1))))</f>
        <v/>
      </c>
      <c r="AH482" s="1" t="str">
        <f>IF(OR($B482="",AH$7=""),"",IF($B482="MEANS",INDEX('1-DATA'!$1:$1048576,$A481-1,COLUMN('1-DATA'!AG480)),ROUND(INDEX('1-DATA'!$1:$1048576,IF(OR($B482="STD. DEVIATION",$C$1=1),$A482,$A482+1),COLUMN('1-DATA'!AG480)),IF($B482="STD. DEVIATION",2,$F$1))))</f>
        <v/>
      </c>
      <c r="AI482" s="1" t="str">
        <f>IF(OR($B482="",AI$7=""),"",IF($B482="MEANS",INDEX('1-DATA'!$1:$1048576,$A481-1,COLUMN('1-DATA'!AH480)),ROUND(INDEX('1-DATA'!$1:$1048576,IF(OR($B482="STD. DEVIATION",$C$1=1),$A482,$A482+1),COLUMN('1-DATA'!AH480)),IF($B482="STD. DEVIATION",2,$F$1))))</f>
        <v/>
      </c>
      <c r="AJ482" s="1" t="str">
        <f>IF(OR($B482="",AJ$7=""),"",IF($B482="MEANS",INDEX('1-DATA'!$1:$1048576,$A481-1,COLUMN('1-DATA'!AI480)),ROUND(INDEX('1-DATA'!$1:$1048576,IF(OR($B482="STD. DEVIATION",$C$1=1),$A482,$A482+1),COLUMN('1-DATA'!AI480)),IF($B482="STD. DEVIATION",2,$F$1))))</f>
        <v/>
      </c>
      <c r="AK482" s="1" t="str">
        <f>IF(OR($B482="",AK$7=""),"",IF($B482="MEANS",INDEX('1-DATA'!$1:$1048576,$A481-1,COLUMN('1-DATA'!AJ480)),ROUND(INDEX('1-DATA'!$1:$1048576,IF(OR($B482="STD. DEVIATION",$C$1=1),$A482,$A482+1),COLUMN('1-DATA'!AJ480)),IF($B482="STD. DEVIATION",2,$F$1))))</f>
        <v/>
      </c>
      <c r="AL482" s="1" t="str">
        <f>IF(OR($B482="",AL$7=""),"",IF($B482="MEANS",INDEX('1-DATA'!$1:$1048576,$A481-1,COLUMN('1-DATA'!AK480)),ROUND(INDEX('1-DATA'!$1:$1048576,IF(OR($B482="STD. DEVIATION",$C$1=1),$A482,$A482+1),COLUMN('1-DATA'!AK480)),IF($B482="STD. DEVIATION",2,$F$1))))</f>
        <v/>
      </c>
      <c r="AM482" s="1" t="str">
        <f>IF(OR($B482="",AM$7=""),"",IF($B482="MEANS",INDEX('1-DATA'!$1:$1048576,$A481-1,COLUMN('1-DATA'!AL480)),ROUND(INDEX('1-DATA'!$1:$1048576,IF(OR($B482="STD. DEVIATION",$C$1=1),$A482,$A482+1),COLUMN('1-DATA'!AL480)),IF($B482="STD. DEVIATION",2,$F$1))))</f>
        <v/>
      </c>
      <c r="AN482" s="1" t="str">
        <f>IF(OR($B482="",AN$7=""),"",IF($B482="MEANS",INDEX('1-DATA'!$1:$1048576,$A481-1,COLUMN('1-DATA'!AM480)),ROUND(INDEX('1-DATA'!$1:$1048576,IF(OR($B482="STD. DEVIATION",$C$1=1),$A482,$A482+1),COLUMN('1-DATA'!AM480)),IF($B482="STD. DEVIATION",2,$F$1))))</f>
        <v/>
      </c>
      <c r="AO482" s="1" t="str">
        <f>IF(OR($B482="",AO$7=""),"",IF($B482="MEANS",INDEX('1-DATA'!$1:$1048576,$A481-1,COLUMN('1-DATA'!AN480)),ROUND(INDEX('1-DATA'!$1:$1048576,IF(OR($B482="STD. DEVIATION",$C$1=1),$A482,$A482+1),COLUMN('1-DATA'!AN480)),IF($B482="STD. DEVIATION",2,$F$1))))</f>
        <v/>
      </c>
      <c r="AP482" s="1" t="str">
        <f>IF(OR($B482="",AP$7=""),"",IF($B482="MEANS",INDEX('1-DATA'!$1:$1048576,$A481-1,COLUMN('1-DATA'!AO480)),ROUND(INDEX('1-DATA'!$1:$1048576,IF(OR($B482="STD. DEVIATION",$C$1=1),$A482,$A482+1),COLUMN('1-DATA'!AO480)),IF($B482="STD. DEVIATION",2,$F$1))))</f>
        <v/>
      </c>
      <c r="AQ482" s="1" t="str">
        <f>IF(OR($B482="",AQ$7=""),"",IF($B482="MEANS",INDEX('1-DATA'!$1:$1048576,$A481-1,COLUMN('1-DATA'!AP480)),ROUND(INDEX('1-DATA'!$1:$1048576,IF(OR($B482="STD. DEVIATION",$C$1=1),$A482,$A482+1),COLUMN('1-DATA'!AP480)),IF($B482="STD. DEVIATION",2,$F$1))))</f>
        <v/>
      </c>
      <c r="AR482" s="1" t="str">
        <f>IF(OR($B482="",AR$7=""),"",IF($B482="MEANS",INDEX('1-DATA'!$1:$1048576,$A481-1,COLUMN('1-DATA'!AQ480)),ROUND(INDEX('1-DATA'!$1:$1048576,IF(OR($B482="STD. DEVIATION",$C$1=1),$A482,$A482+1),COLUMN('1-DATA'!AQ480)),IF($B482="STD. DEVIATION",2,$F$1))))</f>
        <v/>
      </c>
      <c r="AS482" s="1" t="str">
        <f>IF(OR($B482="",AS$7=""),"",IF($B482="MEANS",INDEX('1-DATA'!$1:$1048576,$A481-1,COLUMN('1-DATA'!AR480)),ROUND(INDEX('1-DATA'!$1:$1048576,IF(OR($B482="STD. DEVIATION",$C$1=1),$A482,$A482+1),COLUMN('1-DATA'!AR480)),IF($B482="STD. DEVIATION",2,$F$1))))</f>
        <v/>
      </c>
      <c r="AT482" s="1" t="str">
        <f>IF(OR($B482="",AT$7=""),"",IF($B482="MEANS",INDEX('1-DATA'!$1:$1048576,$A481-1,COLUMN('1-DATA'!AS480)),ROUND(INDEX('1-DATA'!$1:$1048576,IF(OR($B482="STD. DEVIATION",$C$1=1),$A482,$A482+1),COLUMN('1-DATA'!AS480)),IF($B482="STD. DEVIATION",2,$F$1))))</f>
        <v/>
      </c>
      <c r="AU482" s="1" t="str">
        <f>IF(OR($B482="",AU$7=""),"",IF($B482="MEANS",INDEX('1-DATA'!$1:$1048576,$A481-1,COLUMN('1-DATA'!AT480)),ROUND(INDEX('1-DATA'!$1:$1048576,IF(OR($B482="STD. DEVIATION",$C$1=1),$A482,$A482+1),COLUMN('1-DATA'!AT480)),IF($B482="STD. DEVIATION",2,$F$1))))</f>
        <v/>
      </c>
      <c r="AV482" s="1" t="str">
        <f>IF(OR($B482="",AV$7=""),"",IF($B482="MEANS",INDEX('1-DATA'!$1:$1048576,$A481-1,COLUMN('1-DATA'!AU480)),ROUND(INDEX('1-DATA'!$1:$1048576,IF(OR($B482="STD. DEVIATION",$C$1=1),$A482,$A482+1),COLUMN('1-DATA'!AU480)),IF($B482="STD. DEVIATION",2,$F$1))))</f>
        <v/>
      </c>
      <c r="AW482" s="1" t="str">
        <f>IF(OR($B482="",AW$7=""),"",IF($B482="MEANS",INDEX('1-DATA'!$1:$1048576,$A481-1,COLUMN('1-DATA'!AV480)),ROUND(INDEX('1-DATA'!$1:$1048576,IF(OR($B482="STD. DEVIATION",$C$1=1),$A482,$A482+1),COLUMN('1-DATA'!AV480)),IF($B482="STD. DEVIATION",2,$F$1))))</f>
        <v/>
      </c>
      <c r="AX482" s="1" t="str">
        <f>IF(OR($B482="",AX$7=""),"",IF($B482="MEANS",INDEX('1-DATA'!$1:$1048576,$A481-1,COLUMN('1-DATA'!AW480)),ROUND(INDEX('1-DATA'!$1:$1048576,IF(OR($B482="STD. DEVIATION",$C$1=1),$A482,$A482+1),COLUMN('1-DATA'!AW480)),IF($B482="STD. DEVIATION",2,$F$1))))</f>
        <v/>
      </c>
      <c r="AY482" s="1" t="str">
        <f>IF(OR($B482="",AY$7=""),"",IF($B482="MEANS",INDEX('1-DATA'!$1:$1048576,$A481-1,COLUMN('1-DATA'!AX480)),ROUND(INDEX('1-DATA'!$1:$1048576,IF(OR($B482="STD. DEVIATION",$C$1=1),$A482,$A482+1),COLUMN('1-DATA'!AX480)),IF($B482="STD. DEVIATION",2,$F$1))))</f>
        <v/>
      </c>
      <c r="AZ482" s="1" t="str">
        <f>IF(OR($B482="",AZ$7=""),"",IF($B482="MEANS",INDEX('1-DATA'!$1:$1048576,$A481-1,COLUMN('1-DATA'!AY480)),ROUND(INDEX('1-DATA'!$1:$1048576,IF(OR($B482="STD. DEVIATION",$C$1=1),$A482,$A482+1),COLUMN('1-DATA'!AY480)),IF($B482="STD. DEVIATION",2,$F$1))))</f>
        <v/>
      </c>
    </row>
    <row r="483" spans="1:52" x14ac:dyDescent="0.25">
      <c r="A483" s="11">
        <f t="shared" si="8"/>
        <v>1435</v>
      </c>
      <c r="B483" s="1" t="str">
        <f>IF(B482="STD. DEVIATION",INDEX('1-DATA'!$1:$1048576,$A482-1,1),IF(INDEX('1-DATA'!$1:$1048576,$A483,1)&lt;&gt;"",INDEX('1-DATA'!$1:$1048576,$A483,1),""))</f>
        <v/>
      </c>
      <c r="C483" s="1" t="str">
        <f>IF(OR($B483="",C$7=""),"",IF($B483="MEANS",INDEX('1-DATA'!$1:$1048576,$A482-1,COLUMN('1-DATA'!B481)),ROUND(INDEX('1-DATA'!$1:$1048576,IF(OR($B483="STD. DEVIATION",$C$1=1),$A483,$A483+1),COLUMN('1-DATA'!B481)),IF($B483="STD. DEVIATION",2,$F$1))))</f>
        <v/>
      </c>
      <c r="D483" s="1" t="str">
        <f>IF(OR($B483="",D$7=""),"",IF($B483="MEANS",INDEX('1-DATA'!$1:$1048576,$A482-1,COLUMN('1-DATA'!C481)),ROUND(INDEX('1-DATA'!$1:$1048576,IF(OR($B483="STD. DEVIATION",$C$1=1),$A483,$A483+1),COLUMN('1-DATA'!C481)),IF($B483="STD. DEVIATION",2,$F$1))))</f>
        <v/>
      </c>
      <c r="E483" s="1" t="str">
        <f>IF(OR($B483="",E$7=""),"",IF($B483="MEANS",INDEX('1-DATA'!$1:$1048576,$A482-1,COLUMN('1-DATA'!D481)),ROUND(INDEX('1-DATA'!$1:$1048576,IF(OR($B483="STD. DEVIATION",$C$1=1),$A483,$A483+1),COLUMN('1-DATA'!D481)),IF($B483="STD. DEVIATION",2,$F$1))))</f>
        <v/>
      </c>
      <c r="F483" s="1" t="str">
        <f>IF(OR($B483="",F$7=""),"",IF($B483="MEANS",INDEX('1-DATA'!$1:$1048576,$A482-1,COLUMN('1-DATA'!E481)),ROUND(INDEX('1-DATA'!$1:$1048576,IF(OR($B483="STD. DEVIATION",$C$1=1),$A483,$A483+1),COLUMN('1-DATA'!E481)),IF($B483="STD. DEVIATION",2,$F$1))))</f>
        <v/>
      </c>
      <c r="G483" s="1" t="str">
        <f>IF(OR($B483="",G$7=""),"",IF($B483="MEANS",INDEX('1-DATA'!$1:$1048576,$A482-1,COLUMN('1-DATA'!F481)),ROUND(INDEX('1-DATA'!$1:$1048576,IF(OR($B483="STD. DEVIATION",$C$1=1),$A483,$A483+1),COLUMN('1-DATA'!F481)),IF($B483="STD. DEVIATION",2,$F$1))))</f>
        <v/>
      </c>
      <c r="H483" s="1" t="str">
        <f>IF(OR($B483="",H$7=""),"",IF($B483="MEANS",INDEX('1-DATA'!$1:$1048576,$A482-1,COLUMN('1-DATA'!G481)),ROUND(INDEX('1-DATA'!$1:$1048576,IF(OR($B483="STD. DEVIATION",$C$1=1),$A483,$A483+1),COLUMN('1-DATA'!G481)),IF($B483="STD. DEVIATION",2,$F$1))))</f>
        <v/>
      </c>
      <c r="I483" s="1" t="str">
        <f>IF(OR($B483="",I$7=""),"",IF($B483="MEANS",INDEX('1-DATA'!$1:$1048576,$A482-1,COLUMN('1-DATA'!H481)),ROUND(INDEX('1-DATA'!$1:$1048576,IF(OR($B483="STD. DEVIATION",$C$1=1),$A483,$A483+1),COLUMN('1-DATA'!H481)),IF($B483="STD. DEVIATION",2,$F$1))))</f>
        <v/>
      </c>
      <c r="J483" s="1" t="str">
        <f>IF(OR($B483="",J$7=""),"",IF($B483="MEANS",INDEX('1-DATA'!$1:$1048576,$A482-1,COLUMN('1-DATA'!I481)),ROUND(INDEX('1-DATA'!$1:$1048576,IF(OR($B483="STD. DEVIATION",$C$1=1),$A483,$A483+1),COLUMN('1-DATA'!I481)),IF($B483="STD. DEVIATION",2,$F$1))))</f>
        <v/>
      </c>
      <c r="K483" s="1" t="str">
        <f>IF(OR($B483="",K$7=""),"",IF($B483="MEANS",INDEX('1-DATA'!$1:$1048576,$A482-1,COLUMN('1-DATA'!J481)),ROUND(INDEX('1-DATA'!$1:$1048576,IF(OR($B483="STD. DEVIATION",$C$1=1),$A483,$A483+1),COLUMN('1-DATA'!J481)),IF($B483="STD. DEVIATION",2,$F$1))))</f>
        <v/>
      </c>
      <c r="L483" s="1" t="str">
        <f>IF(OR($B483="",L$7=""),"",IF($B483="MEANS",INDEX('1-DATA'!$1:$1048576,$A482-1,COLUMN('1-DATA'!K481)),ROUND(INDEX('1-DATA'!$1:$1048576,IF(OR($B483="STD. DEVIATION",$C$1=1),$A483,$A483+1),COLUMN('1-DATA'!K481)),IF($B483="STD. DEVIATION",2,$F$1))))</f>
        <v/>
      </c>
      <c r="M483" s="1" t="str">
        <f>IF(OR($B483="",M$7=""),"",IF($B483="MEANS",INDEX('1-DATA'!$1:$1048576,$A482-1,COLUMN('1-DATA'!L481)),ROUND(INDEX('1-DATA'!$1:$1048576,IF(OR($B483="STD. DEVIATION",$C$1=1),$A483,$A483+1),COLUMN('1-DATA'!L481)),IF($B483="STD. DEVIATION",2,$F$1))))</f>
        <v/>
      </c>
      <c r="N483" s="1" t="str">
        <f>IF(OR($B483="",N$7=""),"",IF($B483="MEANS",INDEX('1-DATA'!$1:$1048576,$A482-1,COLUMN('1-DATA'!M481)),ROUND(INDEX('1-DATA'!$1:$1048576,IF(OR($B483="STD. DEVIATION",$C$1=1),$A483,$A483+1),COLUMN('1-DATA'!M481)),IF($B483="STD. DEVIATION",2,$F$1))))</f>
        <v/>
      </c>
      <c r="O483" s="1" t="str">
        <f>IF(OR($B483="",O$7=""),"",IF($B483="MEANS",INDEX('1-DATA'!$1:$1048576,$A482-1,COLUMN('1-DATA'!N481)),ROUND(INDEX('1-DATA'!$1:$1048576,IF(OR($B483="STD. DEVIATION",$C$1=1),$A483,$A483+1),COLUMN('1-DATA'!N481)),IF($B483="STD. DEVIATION",2,$F$1))))</f>
        <v/>
      </c>
      <c r="P483" s="1" t="str">
        <f>IF(OR($B483="",P$7=""),"",IF($B483="MEANS",INDEX('1-DATA'!$1:$1048576,$A482-1,COLUMN('1-DATA'!O481)),ROUND(INDEX('1-DATA'!$1:$1048576,IF(OR($B483="STD. DEVIATION",$C$1=1),$A483,$A483+1),COLUMN('1-DATA'!O481)),IF($B483="STD. DEVIATION",2,$F$1))))</f>
        <v/>
      </c>
      <c r="Q483" s="1" t="str">
        <f>IF(OR($B483="",Q$7=""),"",IF($B483="MEANS",INDEX('1-DATA'!$1:$1048576,$A482-1,COLUMN('1-DATA'!P481)),ROUND(INDEX('1-DATA'!$1:$1048576,IF(OR($B483="STD. DEVIATION",$C$1=1),$A483,$A483+1),COLUMN('1-DATA'!P481)),IF($B483="STD. DEVIATION",2,$F$1))))</f>
        <v/>
      </c>
      <c r="R483" s="1" t="str">
        <f>IF(OR($B483="",R$7=""),"",IF($B483="MEANS",INDEX('1-DATA'!$1:$1048576,$A482-1,COLUMN('1-DATA'!Q481)),ROUND(INDEX('1-DATA'!$1:$1048576,IF(OR($B483="STD. DEVIATION",$C$1=1),$A483,$A483+1),COLUMN('1-DATA'!Q481)),IF($B483="STD. DEVIATION",2,$F$1))))</f>
        <v/>
      </c>
      <c r="S483" s="1" t="str">
        <f>IF(OR($B483="",S$7=""),"",IF($B483="MEANS",INDEX('1-DATA'!$1:$1048576,$A482-1,COLUMN('1-DATA'!R481)),ROUND(INDEX('1-DATA'!$1:$1048576,IF(OR($B483="STD. DEVIATION",$C$1=1),$A483,$A483+1),COLUMN('1-DATA'!R481)),IF($B483="STD. DEVIATION",2,$F$1))))</f>
        <v/>
      </c>
      <c r="T483" s="1" t="str">
        <f>IF(OR($B483="",T$7=""),"",IF($B483="MEANS",INDEX('1-DATA'!$1:$1048576,$A482-1,COLUMN('1-DATA'!S481)),ROUND(INDEX('1-DATA'!$1:$1048576,IF(OR($B483="STD. DEVIATION",$C$1=1),$A483,$A483+1),COLUMN('1-DATA'!S481)),IF($B483="STD. DEVIATION",2,$F$1))))</f>
        <v/>
      </c>
      <c r="U483" s="1" t="str">
        <f>IF(OR($B483="",U$7=""),"",IF($B483="MEANS",INDEX('1-DATA'!$1:$1048576,$A482-1,COLUMN('1-DATA'!T481)),ROUND(INDEX('1-DATA'!$1:$1048576,IF(OR($B483="STD. DEVIATION",$C$1=1),$A483,$A483+1),COLUMN('1-DATA'!T481)),IF($B483="STD. DEVIATION",2,$F$1))))</f>
        <v/>
      </c>
      <c r="V483" s="1" t="str">
        <f>IF(OR($B483="",V$7=""),"",IF($B483="MEANS",INDEX('1-DATA'!$1:$1048576,$A482-1,COLUMN('1-DATA'!U481)),ROUND(INDEX('1-DATA'!$1:$1048576,IF(OR($B483="STD. DEVIATION",$C$1=1),$A483,$A483+1),COLUMN('1-DATA'!U481)),IF($B483="STD. DEVIATION",2,$F$1))))</f>
        <v/>
      </c>
      <c r="W483" s="1" t="str">
        <f>IF(OR($B483="",W$7=""),"",IF($B483="MEANS",INDEX('1-DATA'!$1:$1048576,$A482-1,COLUMN('1-DATA'!V481)),ROUND(INDEX('1-DATA'!$1:$1048576,IF(OR($B483="STD. DEVIATION",$C$1=1),$A483,$A483+1),COLUMN('1-DATA'!V481)),IF($B483="STD. DEVIATION",2,$F$1))))</f>
        <v/>
      </c>
      <c r="X483" s="1" t="str">
        <f>IF(OR($B483="",X$7=""),"",IF($B483="MEANS",INDEX('1-DATA'!$1:$1048576,$A482-1,COLUMN('1-DATA'!W481)),ROUND(INDEX('1-DATA'!$1:$1048576,IF(OR($B483="STD. DEVIATION",$C$1=1),$A483,$A483+1),COLUMN('1-DATA'!W481)),IF($B483="STD. DEVIATION",2,$F$1))))</f>
        <v/>
      </c>
      <c r="Y483" s="1" t="str">
        <f>IF(OR($B483="",Y$7=""),"",IF($B483="MEANS",INDEX('1-DATA'!$1:$1048576,$A482-1,COLUMN('1-DATA'!X481)),ROUND(INDEX('1-DATA'!$1:$1048576,IF(OR($B483="STD. DEVIATION",$C$1=1),$A483,$A483+1),COLUMN('1-DATA'!X481)),IF($B483="STD. DEVIATION",2,$F$1))))</f>
        <v/>
      </c>
      <c r="Z483" s="1" t="str">
        <f>IF(OR($B483="",Z$7=""),"",IF($B483="MEANS",INDEX('1-DATA'!$1:$1048576,$A482-1,COLUMN('1-DATA'!Y481)),ROUND(INDEX('1-DATA'!$1:$1048576,IF(OR($B483="STD. DEVIATION",$C$1=1),$A483,$A483+1),COLUMN('1-DATA'!Y481)),IF($B483="STD. DEVIATION",2,$F$1))))</f>
        <v/>
      </c>
      <c r="AA483" s="1" t="str">
        <f>IF(OR($B483="",AA$7=""),"",IF($B483="MEANS",INDEX('1-DATA'!$1:$1048576,$A482-1,COLUMN('1-DATA'!Z481)),ROUND(INDEX('1-DATA'!$1:$1048576,IF(OR($B483="STD. DEVIATION",$C$1=1),$A483,$A483+1),COLUMN('1-DATA'!Z481)),IF($B483="STD. DEVIATION",2,$F$1))))</f>
        <v/>
      </c>
      <c r="AB483" s="1" t="str">
        <f>IF(OR($B483="",AB$7=""),"",IF($B483="MEANS",INDEX('1-DATA'!$1:$1048576,$A482-1,COLUMN('1-DATA'!AA481)),ROUND(INDEX('1-DATA'!$1:$1048576,IF(OR($B483="STD. DEVIATION",$C$1=1),$A483,$A483+1),COLUMN('1-DATA'!AA481)),IF($B483="STD. DEVIATION",2,$F$1))))</f>
        <v/>
      </c>
      <c r="AC483" s="1" t="str">
        <f>IF(OR($B483="",AC$7=""),"",IF($B483="MEANS",INDEX('1-DATA'!$1:$1048576,$A482-1,COLUMN('1-DATA'!AB481)),ROUND(INDEX('1-DATA'!$1:$1048576,IF(OR($B483="STD. DEVIATION",$C$1=1),$A483,$A483+1),COLUMN('1-DATA'!AB481)),IF($B483="STD. DEVIATION",2,$F$1))))</f>
        <v/>
      </c>
      <c r="AD483" s="1" t="str">
        <f>IF(OR($B483="",AD$7=""),"",IF($B483="MEANS",INDEX('1-DATA'!$1:$1048576,$A482-1,COLUMN('1-DATA'!AC481)),ROUND(INDEX('1-DATA'!$1:$1048576,IF(OR($B483="STD. DEVIATION",$C$1=1),$A483,$A483+1),COLUMN('1-DATA'!AC481)),IF($B483="STD. DEVIATION",2,$F$1))))</f>
        <v/>
      </c>
      <c r="AE483" s="1" t="str">
        <f>IF(OR($B483="",AE$7=""),"",IF($B483="MEANS",INDEX('1-DATA'!$1:$1048576,$A482-1,COLUMN('1-DATA'!AD481)),ROUND(INDEX('1-DATA'!$1:$1048576,IF(OR($B483="STD. DEVIATION",$C$1=1),$A483,$A483+1),COLUMN('1-DATA'!AD481)),IF($B483="STD. DEVIATION",2,$F$1))))</f>
        <v/>
      </c>
      <c r="AF483" s="1" t="str">
        <f>IF(OR($B483="",AF$7=""),"",IF($B483="MEANS",INDEX('1-DATA'!$1:$1048576,$A482-1,COLUMN('1-DATA'!AE481)),ROUND(INDEX('1-DATA'!$1:$1048576,IF(OR($B483="STD. DEVIATION",$C$1=1),$A483,$A483+1),COLUMN('1-DATA'!AE481)),IF($B483="STD. DEVIATION",2,$F$1))))</f>
        <v/>
      </c>
      <c r="AG483" s="1" t="str">
        <f>IF(OR($B483="",AG$7=""),"",IF($B483="MEANS",INDEX('1-DATA'!$1:$1048576,$A482-1,COLUMN('1-DATA'!AF481)),ROUND(INDEX('1-DATA'!$1:$1048576,IF(OR($B483="STD. DEVIATION",$C$1=1),$A483,$A483+1),COLUMN('1-DATA'!AF481)),IF($B483="STD. DEVIATION",2,$F$1))))</f>
        <v/>
      </c>
      <c r="AH483" s="1" t="str">
        <f>IF(OR($B483="",AH$7=""),"",IF($B483="MEANS",INDEX('1-DATA'!$1:$1048576,$A482-1,COLUMN('1-DATA'!AG481)),ROUND(INDEX('1-DATA'!$1:$1048576,IF(OR($B483="STD. DEVIATION",$C$1=1),$A483,$A483+1),COLUMN('1-DATA'!AG481)),IF($B483="STD. DEVIATION",2,$F$1))))</f>
        <v/>
      </c>
      <c r="AI483" s="1" t="str">
        <f>IF(OR($B483="",AI$7=""),"",IF($B483="MEANS",INDEX('1-DATA'!$1:$1048576,$A482-1,COLUMN('1-DATA'!AH481)),ROUND(INDEX('1-DATA'!$1:$1048576,IF(OR($B483="STD. DEVIATION",$C$1=1),$A483,$A483+1),COLUMN('1-DATA'!AH481)),IF($B483="STD. DEVIATION",2,$F$1))))</f>
        <v/>
      </c>
      <c r="AJ483" s="1" t="str">
        <f>IF(OR($B483="",AJ$7=""),"",IF($B483="MEANS",INDEX('1-DATA'!$1:$1048576,$A482-1,COLUMN('1-DATA'!AI481)),ROUND(INDEX('1-DATA'!$1:$1048576,IF(OR($B483="STD. DEVIATION",$C$1=1),$A483,$A483+1),COLUMN('1-DATA'!AI481)),IF($B483="STD. DEVIATION",2,$F$1))))</f>
        <v/>
      </c>
      <c r="AK483" s="1" t="str">
        <f>IF(OR($B483="",AK$7=""),"",IF($B483="MEANS",INDEX('1-DATA'!$1:$1048576,$A482-1,COLUMN('1-DATA'!AJ481)),ROUND(INDEX('1-DATA'!$1:$1048576,IF(OR($B483="STD. DEVIATION",$C$1=1),$A483,$A483+1),COLUMN('1-DATA'!AJ481)),IF($B483="STD. DEVIATION",2,$F$1))))</f>
        <v/>
      </c>
      <c r="AL483" s="1" t="str">
        <f>IF(OR($B483="",AL$7=""),"",IF($B483="MEANS",INDEX('1-DATA'!$1:$1048576,$A482-1,COLUMN('1-DATA'!AK481)),ROUND(INDEX('1-DATA'!$1:$1048576,IF(OR($B483="STD. DEVIATION",$C$1=1),$A483,$A483+1),COLUMN('1-DATA'!AK481)),IF($B483="STD. DEVIATION",2,$F$1))))</f>
        <v/>
      </c>
      <c r="AM483" s="1" t="str">
        <f>IF(OR($B483="",AM$7=""),"",IF($B483="MEANS",INDEX('1-DATA'!$1:$1048576,$A482-1,COLUMN('1-DATA'!AL481)),ROUND(INDEX('1-DATA'!$1:$1048576,IF(OR($B483="STD. DEVIATION",$C$1=1),$A483,$A483+1),COLUMN('1-DATA'!AL481)),IF($B483="STD. DEVIATION",2,$F$1))))</f>
        <v/>
      </c>
      <c r="AN483" s="1" t="str">
        <f>IF(OR($B483="",AN$7=""),"",IF($B483="MEANS",INDEX('1-DATA'!$1:$1048576,$A482-1,COLUMN('1-DATA'!AM481)),ROUND(INDEX('1-DATA'!$1:$1048576,IF(OR($B483="STD. DEVIATION",$C$1=1),$A483,$A483+1),COLUMN('1-DATA'!AM481)),IF($B483="STD. DEVIATION",2,$F$1))))</f>
        <v/>
      </c>
      <c r="AO483" s="1" t="str">
        <f>IF(OR($B483="",AO$7=""),"",IF($B483="MEANS",INDEX('1-DATA'!$1:$1048576,$A482-1,COLUMN('1-DATA'!AN481)),ROUND(INDEX('1-DATA'!$1:$1048576,IF(OR($B483="STD. DEVIATION",$C$1=1),$A483,$A483+1),COLUMN('1-DATA'!AN481)),IF($B483="STD. DEVIATION",2,$F$1))))</f>
        <v/>
      </c>
      <c r="AP483" s="1" t="str">
        <f>IF(OR($B483="",AP$7=""),"",IF($B483="MEANS",INDEX('1-DATA'!$1:$1048576,$A482-1,COLUMN('1-DATA'!AO481)),ROUND(INDEX('1-DATA'!$1:$1048576,IF(OR($B483="STD. DEVIATION",$C$1=1),$A483,$A483+1),COLUMN('1-DATA'!AO481)),IF($B483="STD. DEVIATION",2,$F$1))))</f>
        <v/>
      </c>
      <c r="AQ483" s="1" t="str">
        <f>IF(OR($B483="",AQ$7=""),"",IF($B483="MEANS",INDEX('1-DATA'!$1:$1048576,$A482-1,COLUMN('1-DATA'!AP481)),ROUND(INDEX('1-DATA'!$1:$1048576,IF(OR($B483="STD. DEVIATION",$C$1=1),$A483,$A483+1),COLUMN('1-DATA'!AP481)),IF($B483="STD. DEVIATION",2,$F$1))))</f>
        <v/>
      </c>
      <c r="AR483" s="1" t="str">
        <f>IF(OR($B483="",AR$7=""),"",IF($B483="MEANS",INDEX('1-DATA'!$1:$1048576,$A482-1,COLUMN('1-DATA'!AQ481)),ROUND(INDEX('1-DATA'!$1:$1048576,IF(OR($B483="STD. DEVIATION",$C$1=1),$A483,$A483+1),COLUMN('1-DATA'!AQ481)),IF($B483="STD. DEVIATION",2,$F$1))))</f>
        <v/>
      </c>
      <c r="AS483" s="1" t="str">
        <f>IF(OR($B483="",AS$7=""),"",IF($B483="MEANS",INDEX('1-DATA'!$1:$1048576,$A482-1,COLUMN('1-DATA'!AR481)),ROUND(INDEX('1-DATA'!$1:$1048576,IF(OR($B483="STD. DEVIATION",$C$1=1),$A483,$A483+1),COLUMN('1-DATA'!AR481)),IF($B483="STD. DEVIATION",2,$F$1))))</f>
        <v/>
      </c>
      <c r="AT483" s="1" t="str">
        <f>IF(OR($B483="",AT$7=""),"",IF($B483="MEANS",INDEX('1-DATA'!$1:$1048576,$A482-1,COLUMN('1-DATA'!AS481)),ROUND(INDEX('1-DATA'!$1:$1048576,IF(OR($B483="STD. DEVIATION",$C$1=1),$A483,$A483+1),COLUMN('1-DATA'!AS481)),IF($B483="STD. DEVIATION",2,$F$1))))</f>
        <v/>
      </c>
      <c r="AU483" s="1" t="str">
        <f>IF(OR($B483="",AU$7=""),"",IF($B483="MEANS",INDEX('1-DATA'!$1:$1048576,$A482-1,COLUMN('1-DATA'!AT481)),ROUND(INDEX('1-DATA'!$1:$1048576,IF(OR($B483="STD. DEVIATION",$C$1=1),$A483,$A483+1),COLUMN('1-DATA'!AT481)),IF($B483="STD. DEVIATION",2,$F$1))))</f>
        <v/>
      </c>
      <c r="AV483" s="1" t="str">
        <f>IF(OR($B483="",AV$7=""),"",IF($B483="MEANS",INDEX('1-DATA'!$1:$1048576,$A482-1,COLUMN('1-DATA'!AU481)),ROUND(INDEX('1-DATA'!$1:$1048576,IF(OR($B483="STD. DEVIATION",$C$1=1),$A483,$A483+1),COLUMN('1-DATA'!AU481)),IF($B483="STD. DEVIATION",2,$F$1))))</f>
        <v/>
      </c>
      <c r="AW483" s="1" t="str">
        <f>IF(OR($B483="",AW$7=""),"",IF($B483="MEANS",INDEX('1-DATA'!$1:$1048576,$A482-1,COLUMN('1-DATA'!AV481)),ROUND(INDEX('1-DATA'!$1:$1048576,IF(OR($B483="STD. DEVIATION",$C$1=1),$A483,$A483+1),COLUMN('1-DATA'!AV481)),IF($B483="STD. DEVIATION",2,$F$1))))</f>
        <v/>
      </c>
      <c r="AX483" s="1" t="str">
        <f>IF(OR($B483="",AX$7=""),"",IF($B483="MEANS",INDEX('1-DATA'!$1:$1048576,$A482-1,COLUMN('1-DATA'!AW481)),ROUND(INDEX('1-DATA'!$1:$1048576,IF(OR($B483="STD. DEVIATION",$C$1=1),$A483,$A483+1),COLUMN('1-DATA'!AW481)),IF($B483="STD. DEVIATION",2,$F$1))))</f>
        <v/>
      </c>
      <c r="AY483" s="1" t="str">
        <f>IF(OR($B483="",AY$7=""),"",IF($B483="MEANS",INDEX('1-DATA'!$1:$1048576,$A482-1,COLUMN('1-DATA'!AX481)),ROUND(INDEX('1-DATA'!$1:$1048576,IF(OR($B483="STD. DEVIATION",$C$1=1),$A483,$A483+1),COLUMN('1-DATA'!AX481)),IF($B483="STD. DEVIATION",2,$F$1))))</f>
        <v/>
      </c>
      <c r="AZ483" s="1" t="str">
        <f>IF(OR($B483="",AZ$7=""),"",IF($B483="MEANS",INDEX('1-DATA'!$1:$1048576,$A482-1,COLUMN('1-DATA'!AY481)),ROUND(INDEX('1-DATA'!$1:$1048576,IF(OR($B483="STD. DEVIATION",$C$1=1),$A483,$A483+1),COLUMN('1-DATA'!AY481)),IF($B483="STD. DEVIATION",2,$F$1))))</f>
        <v/>
      </c>
    </row>
    <row r="484" spans="1:52" x14ac:dyDescent="0.25">
      <c r="A484" s="11">
        <f t="shared" si="8"/>
        <v>1438</v>
      </c>
      <c r="B484" s="1" t="str">
        <f>IF(B483="STD. DEVIATION",INDEX('1-DATA'!$1:$1048576,$A483-1,1),IF(INDEX('1-DATA'!$1:$1048576,$A484,1)&lt;&gt;"",INDEX('1-DATA'!$1:$1048576,$A484,1),""))</f>
        <v/>
      </c>
      <c r="C484" s="1" t="str">
        <f>IF(OR($B484="",C$7=""),"",IF($B484="MEANS",INDEX('1-DATA'!$1:$1048576,$A483-1,COLUMN('1-DATA'!B482)),ROUND(INDEX('1-DATA'!$1:$1048576,IF(OR($B484="STD. DEVIATION",$C$1=1),$A484,$A484+1),COLUMN('1-DATA'!B482)),IF($B484="STD. DEVIATION",2,$F$1))))</f>
        <v/>
      </c>
      <c r="D484" s="1" t="str">
        <f>IF(OR($B484="",D$7=""),"",IF($B484="MEANS",INDEX('1-DATA'!$1:$1048576,$A483-1,COLUMN('1-DATA'!C482)),ROUND(INDEX('1-DATA'!$1:$1048576,IF(OR($B484="STD. DEVIATION",$C$1=1),$A484,$A484+1),COLUMN('1-DATA'!C482)),IF($B484="STD. DEVIATION",2,$F$1))))</f>
        <v/>
      </c>
      <c r="E484" s="1" t="str">
        <f>IF(OR($B484="",E$7=""),"",IF($B484="MEANS",INDEX('1-DATA'!$1:$1048576,$A483-1,COLUMN('1-DATA'!D482)),ROUND(INDEX('1-DATA'!$1:$1048576,IF(OR($B484="STD. DEVIATION",$C$1=1),$A484,$A484+1),COLUMN('1-DATA'!D482)),IF($B484="STD. DEVIATION",2,$F$1))))</f>
        <v/>
      </c>
      <c r="F484" s="1" t="str">
        <f>IF(OR($B484="",F$7=""),"",IF($B484="MEANS",INDEX('1-DATA'!$1:$1048576,$A483-1,COLUMN('1-DATA'!E482)),ROUND(INDEX('1-DATA'!$1:$1048576,IF(OR($B484="STD. DEVIATION",$C$1=1),$A484,$A484+1),COLUMN('1-DATA'!E482)),IF($B484="STD. DEVIATION",2,$F$1))))</f>
        <v/>
      </c>
      <c r="G484" s="1" t="str">
        <f>IF(OR($B484="",G$7=""),"",IF($B484="MEANS",INDEX('1-DATA'!$1:$1048576,$A483-1,COLUMN('1-DATA'!F482)),ROUND(INDEX('1-DATA'!$1:$1048576,IF(OR($B484="STD. DEVIATION",$C$1=1),$A484,$A484+1),COLUMN('1-DATA'!F482)),IF($B484="STD. DEVIATION",2,$F$1))))</f>
        <v/>
      </c>
      <c r="H484" s="1" t="str">
        <f>IF(OR($B484="",H$7=""),"",IF($B484="MEANS",INDEX('1-DATA'!$1:$1048576,$A483-1,COLUMN('1-DATA'!G482)),ROUND(INDEX('1-DATA'!$1:$1048576,IF(OR($B484="STD. DEVIATION",$C$1=1),$A484,$A484+1),COLUMN('1-DATA'!G482)),IF($B484="STD. DEVIATION",2,$F$1))))</f>
        <v/>
      </c>
      <c r="I484" s="1" t="str">
        <f>IF(OR($B484="",I$7=""),"",IF($B484="MEANS",INDEX('1-DATA'!$1:$1048576,$A483-1,COLUMN('1-DATA'!H482)),ROUND(INDEX('1-DATA'!$1:$1048576,IF(OR($B484="STD. DEVIATION",$C$1=1),$A484,$A484+1),COLUMN('1-DATA'!H482)),IF($B484="STD. DEVIATION",2,$F$1))))</f>
        <v/>
      </c>
      <c r="J484" s="1" t="str">
        <f>IF(OR($B484="",J$7=""),"",IF($B484="MEANS",INDEX('1-DATA'!$1:$1048576,$A483-1,COLUMN('1-DATA'!I482)),ROUND(INDEX('1-DATA'!$1:$1048576,IF(OR($B484="STD. DEVIATION",$C$1=1),$A484,$A484+1),COLUMN('1-DATA'!I482)),IF($B484="STD. DEVIATION",2,$F$1))))</f>
        <v/>
      </c>
      <c r="K484" s="1" t="str">
        <f>IF(OR($B484="",K$7=""),"",IF($B484="MEANS",INDEX('1-DATA'!$1:$1048576,$A483-1,COLUMN('1-DATA'!J482)),ROUND(INDEX('1-DATA'!$1:$1048576,IF(OR($B484="STD. DEVIATION",$C$1=1),$A484,$A484+1),COLUMN('1-DATA'!J482)),IF($B484="STD. DEVIATION",2,$F$1))))</f>
        <v/>
      </c>
      <c r="L484" s="1" t="str">
        <f>IF(OR($B484="",L$7=""),"",IF($B484="MEANS",INDEX('1-DATA'!$1:$1048576,$A483-1,COLUMN('1-DATA'!K482)),ROUND(INDEX('1-DATA'!$1:$1048576,IF(OR($B484="STD. DEVIATION",$C$1=1),$A484,$A484+1),COLUMN('1-DATA'!K482)),IF($B484="STD. DEVIATION",2,$F$1))))</f>
        <v/>
      </c>
      <c r="M484" s="1" t="str">
        <f>IF(OR($B484="",M$7=""),"",IF($B484="MEANS",INDEX('1-DATA'!$1:$1048576,$A483-1,COLUMN('1-DATA'!L482)),ROUND(INDEX('1-DATA'!$1:$1048576,IF(OR($B484="STD. DEVIATION",$C$1=1),$A484,$A484+1),COLUMN('1-DATA'!L482)),IF($B484="STD. DEVIATION",2,$F$1))))</f>
        <v/>
      </c>
      <c r="N484" s="1" t="str">
        <f>IF(OR($B484="",N$7=""),"",IF($B484="MEANS",INDEX('1-DATA'!$1:$1048576,$A483-1,COLUMN('1-DATA'!M482)),ROUND(INDEX('1-DATA'!$1:$1048576,IF(OR($B484="STD. DEVIATION",$C$1=1),$A484,$A484+1),COLUMN('1-DATA'!M482)),IF($B484="STD. DEVIATION",2,$F$1))))</f>
        <v/>
      </c>
      <c r="O484" s="1" t="str">
        <f>IF(OR($B484="",O$7=""),"",IF($B484="MEANS",INDEX('1-DATA'!$1:$1048576,$A483-1,COLUMN('1-DATA'!N482)),ROUND(INDEX('1-DATA'!$1:$1048576,IF(OR($B484="STD. DEVIATION",$C$1=1),$A484,$A484+1),COLUMN('1-DATA'!N482)),IF($B484="STD. DEVIATION",2,$F$1))))</f>
        <v/>
      </c>
      <c r="P484" s="1" t="str">
        <f>IF(OR($B484="",P$7=""),"",IF($B484="MEANS",INDEX('1-DATA'!$1:$1048576,$A483-1,COLUMN('1-DATA'!O482)),ROUND(INDEX('1-DATA'!$1:$1048576,IF(OR($B484="STD. DEVIATION",$C$1=1),$A484,$A484+1),COLUMN('1-DATA'!O482)),IF($B484="STD. DEVIATION",2,$F$1))))</f>
        <v/>
      </c>
      <c r="Q484" s="1" t="str">
        <f>IF(OR($B484="",Q$7=""),"",IF($B484="MEANS",INDEX('1-DATA'!$1:$1048576,$A483-1,COLUMN('1-DATA'!P482)),ROUND(INDEX('1-DATA'!$1:$1048576,IF(OR($B484="STD. DEVIATION",$C$1=1),$A484,$A484+1),COLUMN('1-DATA'!P482)),IF($B484="STD. DEVIATION",2,$F$1))))</f>
        <v/>
      </c>
      <c r="R484" s="1" t="str">
        <f>IF(OR($B484="",R$7=""),"",IF($B484="MEANS",INDEX('1-DATA'!$1:$1048576,$A483-1,COLUMN('1-DATA'!Q482)),ROUND(INDEX('1-DATA'!$1:$1048576,IF(OR($B484="STD. DEVIATION",$C$1=1),$A484,$A484+1),COLUMN('1-DATA'!Q482)),IF($B484="STD. DEVIATION",2,$F$1))))</f>
        <v/>
      </c>
      <c r="S484" s="1" t="str">
        <f>IF(OR($B484="",S$7=""),"",IF($B484="MEANS",INDEX('1-DATA'!$1:$1048576,$A483-1,COLUMN('1-DATA'!R482)),ROUND(INDEX('1-DATA'!$1:$1048576,IF(OR($B484="STD. DEVIATION",$C$1=1),$A484,$A484+1),COLUMN('1-DATA'!R482)),IF($B484="STD. DEVIATION",2,$F$1))))</f>
        <v/>
      </c>
      <c r="T484" s="1" t="str">
        <f>IF(OR($B484="",T$7=""),"",IF($B484="MEANS",INDEX('1-DATA'!$1:$1048576,$A483-1,COLUMN('1-DATA'!S482)),ROUND(INDEX('1-DATA'!$1:$1048576,IF(OR($B484="STD. DEVIATION",$C$1=1),$A484,$A484+1),COLUMN('1-DATA'!S482)),IF($B484="STD. DEVIATION",2,$F$1))))</f>
        <v/>
      </c>
      <c r="U484" s="1" t="str">
        <f>IF(OR($B484="",U$7=""),"",IF($B484="MEANS",INDEX('1-DATA'!$1:$1048576,$A483-1,COLUMN('1-DATA'!T482)),ROUND(INDEX('1-DATA'!$1:$1048576,IF(OR($B484="STD. DEVIATION",$C$1=1),$A484,$A484+1),COLUMN('1-DATA'!T482)),IF($B484="STD. DEVIATION",2,$F$1))))</f>
        <v/>
      </c>
      <c r="V484" s="1" t="str">
        <f>IF(OR($B484="",V$7=""),"",IF($B484="MEANS",INDEX('1-DATA'!$1:$1048576,$A483-1,COLUMN('1-DATA'!U482)),ROUND(INDEX('1-DATA'!$1:$1048576,IF(OR($B484="STD. DEVIATION",$C$1=1),$A484,$A484+1),COLUMN('1-DATA'!U482)),IF($B484="STD. DEVIATION",2,$F$1))))</f>
        <v/>
      </c>
      <c r="W484" s="1" t="str">
        <f>IF(OR($B484="",W$7=""),"",IF($B484="MEANS",INDEX('1-DATA'!$1:$1048576,$A483-1,COLUMN('1-DATA'!V482)),ROUND(INDEX('1-DATA'!$1:$1048576,IF(OR($B484="STD. DEVIATION",$C$1=1),$A484,$A484+1),COLUMN('1-DATA'!V482)),IF($B484="STD. DEVIATION",2,$F$1))))</f>
        <v/>
      </c>
      <c r="X484" s="1" t="str">
        <f>IF(OR($B484="",X$7=""),"",IF($B484="MEANS",INDEX('1-DATA'!$1:$1048576,$A483-1,COLUMN('1-DATA'!W482)),ROUND(INDEX('1-DATA'!$1:$1048576,IF(OR($B484="STD. DEVIATION",$C$1=1),$A484,$A484+1),COLUMN('1-DATA'!W482)),IF($B484="STD. DEVIATION",2,$F$1))))</f>
        <v/>
      </c>
      <c r="Y484" s="1" t="str">
        <f>IF(OR($B484="",Y$7=""),"",IF($B484="MEANS",INDEX('1-DATA'!$1:$1048576,$A483-1,COLUMN('1-DATA'!X482)),ROUND(INDEX('1-DATA'!$1:$1048576,IF(OR($B484="STD. DEVIATION",$C$1=1),$A484,$A484+1),COLUMN('1-DATA'!X482)),IF($B484="STD. DEVIATION",2,$F$1))))</f>
        <v/>
      </c>
      <c r="Z484" s="1" t="str">
        <f>IF(OR($B484="",Z$7=""),"",IF($B484="MEANS",INDEX('1-DATA'!$1:$1048576,$A483-1,COLUMN('1-DATA'!Y482)),ROUND(INDEX('1-DATA'!$1:$1048576,IF(OR($B484="STD. DEVIATION",$C$1=1),$A484,$A484+1),COLUMN('1-DATA'!Y482)),IF($B484="STD. DEVIATION",2,$F$1))))</f>
        <v/>
      </c>
      <c r="AA484" s="1" t="str">
        <f>IF(OR($B484="",AA$7=""),"",IF($B484="MEANS",INDEX('1-DATA'!$1:$1048576,$A483-1,COLUMN('1-DATA'!Z482)),ROUND(INDEX('1-DATA'!$1:$1048576,IF(OR($B484="STD. DEVIATION",$C$1=1),$A484,$A484+1),COLUMN('1-DATA'!Z482)),IF($B484="STD. DEVIATION",2,$F$1))))</f>
        <v/>
      </c>
      <c r="AB484" s="1" t="str">
        <f>IF(OR($B484="",AB$7=""),"",IF($B484="MEANS",INDEX('1-DATA'!$1:$1048576,$A483-1,COLUMN('1-DATA'!AA482)),ROUND(INDEX('1-DATA'!$1:$1048576,IF(OR($B484="STD. DEVIATION",$C$1=1),$A484,$A484+1),COLUMN('1-DATA'!AA482)),IF($B484="STD. DEVIATION",2,$F$1))))</f>
        <v/>
      </c>
      <c r="AC484" s="1" t="str">
        <f>IF(OR($B484="",AC$7=""),"",IF($B484="MEANS",INDEX('1-DATA'!$1:$1048576,$A483-1,COLUMN('1-DATA'!AB482)),ROUND(INDEX('1-DATA'!$1:$1048576,IF(OR($B484="STD. DEVIATION",$C$1=1),$A484,$A484+1),COLUMN('1-DATA'!AB482)),IF($B484="STD. DEVIATION",2,$F$1))))</f>
        <v/>
      </c>
      <c r="AD484" s="1" t="str">
        <f>IF(OR($B484="",AD$7=""),"",IF($B484="MEANS",INDEX('1-DATA'!$1:$1048576,$A483-1,COLUMN('1-DATA'!AC482)),ROUND(INDEX('1-DATA'!$1:$1048576,IF(OR($B484="STD. DEVIATION",$C$1=1),$A484,$A484+1),COLUMN('1-DATA'!AC482)),IF($B484="STD. DEVIATION",2,$F$1))))</f>
        <v/>
      </c>
      <c r="AE484" s="1" t="str">
        <f>IF(OR($B484="",AE$7=""),"",IF($B484="MEANS",INDEX('1-DATA'!$1:$1048576,$A483-1,COLUMN('1-DATA'!AD482)),ROUND(INDEX('1-DATA'!$1:$1048576,IF(OR($B484="STD. DEVIATION",$C$1=1),$A484,$A484+1),COLUMN('1-DATA'!AD482)),IF($B484="STD. DEVIATION",2,$F$1))))</f>
        <v/>
      </c>
      <c r="AF484" s="1" t="str">
        <f>IF(OR($B484="",AF$7=""),"",IF($B484="MEANS",INDEX('1-DATA'!$1:$1048576,$A483-1,COLUMN('1-DATA'!AE482)),ROUND(INDEX('1-DATA'!$1:$1048576,IF(OR($B484="STD. DEVIATION",$C$1=1),$A484,$A484+1),COLUMN('1-DATA'!AE482)),IF($B484="STD. DEVIATION",2,$F$1))))</f>
        <v/>
      </c>
      <c r="AG484" s="1" t="str">
        <f>IF(OR($B484="",AG$7=""),"",IF($B484="MEANS",INDEX('1-DATA'!$1:$1048576,$A483-1,COLUMN('1-DATA'!AF482)),ROUND(INDEX('1-DATA'!$1:$1048576,IF(OR($B484="STD. DEVIATION",$C$1=1),$A484,$A484+1),COLUMN('1-DATA'!AF482)),IF($B484="STD. DEVIATION",2,$F$1))))</f>
        <v/>
      </c>
      <c r="AH484" s="1" t="str">
        <f>IF(OR($B484="",AH$7=""),"",IF($B484="MEANS",INDEX('1-DATA'!$1:$1048576,$A483-1,COLUMN('1-DATA'!AG482)),ROUND(INDEX('1-DATA'!$1:$1048576,IF(OR($B484="STD. DEVIATION",$C$1=1),$A484,$A484+1),COLUMN('1-DATA'!AG482)),IF($B484="STD. DEVIATION",2,$F$1))))</f>
        <v/>
      </c>
      <c r="AI484" s="1" t="str">
        <f>IF(OR($B484="",AI$7=""),"",IF($B484="MEANS",INDEX('1-DATA'!$1:$1048576,$A483-1,COLUMN('1-DATA'!AH482)),ROUND(INDEX('1-DATA'!$1:$1048576,IF(OR($B484="STD. DEVIATION",$C$1=1),$A484,$A484+1),COLUMN('1-DATA'!AH482)),IF($B484="STD. DEVIATION",2,$F$1))))</f>
        <v/>
      </c>
      <c r="AJ484" s="1" t="str">
        <f>IF(OR($B484="",AJ$7=""),"",IF($B484="MEANS",INDEX('1-DATA'!$1:$1048576,$A483-1,COLUMN('1-DATA'!AI482)),ROUND(INDEX('1-DATA'!$1:$1048576,IF(OR($B484="STD. DEVIATION",$C$1=1),$A484,$A484+1),COLUMN('1-DATA'!AI482)),IF($B484="STD. DEVIATION",2,$F$1))))</f>
        <v/>
      </c>
      <c r="AK484" s="1" t="str">
        <f>IF(OR($B484="",AK$7=""),"",IF($B484="MEANS",INDEX('1-DATA'!$1:$1048576,$A483-1,COLUMN('1-DATA'!AJ482)),ROUND(INDEX('1-DATA'!$1:$1048576,IF(OR($B484="STD. DEVIATION",$C$1=1),$A484,$A484+1),COLUMN('1-DATA'!AJ482)),IF($B484="STD. DEVIATION",2,$F$1))))</f>
        <v/>
      </c>
      <c r="AL484" s="1" t="str">
        <f>IF(OR($B484="",AL$7=""),"",IF($B484="MEANS",INDEX('1-DATA'!$1:$1048576,$A483-1,COLUMN('1-DATA'!AK482)),ROUND(INDEX('1-DATA'!$1:$1048576,IF(OR($B484="STD. DEVIATION",$C$1=1),$A484,$A484+1),COLUMN('1-DATA'!AK482)),IF($B484="STD. DEVIATION",2,$F$1))))</f>
        <v/>
      </c>
      <c r="AM484" s="1" t="str">
        <f>IF(OR($B484="",AM$7=""),"",IF($B484="MEANS",INDEX('1-DATA'!$1:$1048576,$A483-1,COLUMN('1-DATA'!AL482)),ROUND(INDEX('1-DATA'!$1:$1048576,IF(OR($B484="STD. DEVIATION",$C$1=1),$A484,$A484+1),COLUMN('1-DATA'!AL482)),IF($B484="STD. DEVIATION",2,$F$1))))</f>
        <v/>
      </c>
      <c r="AN484" s="1" t="str">
        <f>IF(OR($B484="",AN$7=""),"",IF($B484="MEANS",INDEX('1-DATA'!$1:$1048576,$A483-1,COLUMN('1-DATA'!AM482)),ROUND(INDEX('1-DATA'!$1:$1048576,IF(OR($B484="STD. DEVIATION",$C$1=1),$A484,$A484+1),COLUMN('1-DATA'!AM482)),IF($B484="STD. DEVIATION",2,$F$1))))</f>
        <v/>
      </c>
      <c r="AO484" s="1" t="str">
        <f>IF(OR($B484="",AO$7=""),"",IF($B484="MEANS",INDEX('1-DATA'!$1:$1048576,$A483-1,COLUMN('1-DATA'!AN482)),ROUND(INDEX('1-DATA'!$1:$1048576,IF(OR($B484="STD. DEVIATION",$C$1=1),$A484,$A484+1),COLUMN('1-DATA'!AN482)),IF($B484="STD. DEVIATION",2,$F$1))))</f>
        <v/>
      </c>
      <c r="AP484" s="1" t="str">
        <f>IF(OR($B484="",AP$7=""),"",IF($B484="MEANS",INDEX('1-DATA'!$1:$1048576,$A483-1,COLUMN('1-DATA'!AO482)),ROUND(INDEX('1-DATA'!$1:$1048576,IF(OR($B484="STD. DEVIATION",$C$1=1),$A484,$A484+1),COLUMN('1-DATA'!AO482)),IF($B484="STD. DEVIATION",2,$F$1))))</f>
        <v/>
      </c>
      <c r="AQ484" s="1" t="str">
        <f>IF(OR($B484="",AQ$7=""),"",IF($B484="MEANS",INDEX('1-DATA'!$1:$1048576,$A483-1,COLUMN('1-DATA'!AP482)),ROUND(INDEX('1-DATA'!$1:$1048576,IF(OR($B484="STD. DEVIATION",$C$1=1),$A484,$A484+1),COLUMN('1-DATA'!AP482)),IF($B484="STD. DEVIATION",2,$F$1))))</f>
        <v/>
      </c>
      <c r="AR484" s="1" t="str">
        <f>IF(OR($B484="",AR$7=""),"",IF($B484="MEANS",INDEX('1-DATA'!$1:$1048576,$A483-1,COLUMN('1-DATA'!AQ482)),ROUND(INDEX('1-DATA'!$1:$1048576,IF(OR($B484="STD. DEVIATION",$C$1=1),$A484,$A484+1),COLUMN('1-DATA'!AQ482)),IF($B484="STD. DEVIATION",2,$F$1))))</f>
        <v/>
      </c>
      <c r="AS484" s="1" t="str">
        <f>IF(OR($B484="",AS$7=""),"",IF($B484="MEANS",INDEX('1-DATA'!$1:$1048576,$A483-1,COLUMN('1-DATA'!AR482)),ROUND(INDEX('1-DATA'!$1:$1048576,IF(OR($B484="STD. DEVIATION",$C$1=1),$A484,$A484+1),COLUMN('1-DATA'!AR482)),IF($B484="STD. DEVIATION",2,$F$1))))</f>
        <v/>
      </c>
      <c r="AT484" s="1" t="str">
        <f>IF(OR($B484="",AT$7=""),"",IF($B484="MEANS",INDEX('1-DATA'!$1:$1048576,$A483-1,COLUMN('1-DATA'!AS482)),ROUND(INDEX('1-DATA'!$1:$1048576,IF(OR($B484="STD. DEVIATION",$C$1=1),$A484,$A484+1),COLUMN('1-DATA'!AS482)),IF($B484="STD. DEVIATION",2,$F$1))))</f>
        <v/>
      </c>
      <c r="AU484" s="1" t="str">
        <f>IF(OR($B484="",AU$7=""),"",IF($B484="MEANS",INDEX('1-DATA'!$1:$1048576,$A483-1,COLUMN('1-DATA'!AT482)),ROUND(INDEX('1-DATA'!$1:$1048576,IF(OR($B484="STD. DEVIATION",$C$1=1),$A484,$A484+1),COLUMN('1-DATA'!AT482)),IF($B484="STD. DEVIATION",2,$F$1))))</f>
        <v/>
      </c>
      <c r="AV484" s="1" t="str">
        <f>IF(OR($B484="",AV$7=""),"",IF($B484="MEANS",INDEX('1-DATA'!$1:$1048576,$A483-1,COLUMN('1-DATA'!AU482)),ROUND(INDEX('1-DATA'!$1:$1048576,IF(OR($B484="STD. DEVIATION",$C$1=1),$A484,$A484+1),COLUMN('1-DATA'!AU482)),IF($B484="STD. DEVIATION",2,$F$1))))</f>
        <v/>
      </c>
      <c r="AW484" s="1" t="str">
        <f>IF(OR($B484="",AW$7=""),"",IF($B484="MEANS",INDEX('1-DATA'!$1:$1048576,$A483-1,COLUMN('1-DATA'!AV482)),ROUND(INDEX('1-DATA'!$1:$1048576,IF(OR($B484="STD. DEVIATION",$C$1=1),$A484,$A484+1),COLUMN('1-DATA'!AV482)),IF($B484="STD. DEVIATION",2,$F$1))))</f>
        <v/>
      </c>
      <c r="AX484" s="1" t="str">
        <f>IF(OR($B484="",AX$7=""),"",IF($B484="MEANS",INDEX('1-DATA'!$1:$1048576,$A483-1,COLUMN('1-DATA'!AW482)),ROUND(INDEX('1-DATA'!$1:$1048576,IF(OR($B484="STD. DEVIATION",$C$1=1),$A484,$A484+1),COLUMN('1-DATA'!AW482)),IF($B484="STD. DEVIATION",2,$F$1))))</f>
        <v/>
      </c>
      <c r="AY484" s="1" t="str">
        <f>IF(OR($B484="",AY$7=""),"",IF($B484="MEANS",INDEX('1-DATA'!$1:$1048576,$A483-1,COLUMN('1-DATA'!AX482)),ROUND(INDEX('1-DATA'!$1:$1048576,IF(OR($B484="STD. DEVIATION",$C$1=1),$A484,$A484+1),COLUMN('1-DATA'!AX482)),IF($B484="STD. DEVIATION",2,$F$1))))</f>
        <v/>
      </c>
      <c r="AZ484" s="1" t="str">
        <f>IF(OR($B484="",AZ$7=""),"",IF($B484="MEANS",INDEX('1-DATA'!$1:$1048576,$A483-1,COLUMN('1-DATA'!AY482)),ROUND(INDEX('1-DATA'!$1:$1048576,IF(OR($B484="STD. DEVIATION",$C$1=1),$A484,$A484+1),COLUMN('1-DATA'!AY482)),IF($B484="STD. DEVIATION",2,$F$1))))</f>
        <v/>
      </c>
    </row>
    <row r="485" spans="1:52" x14ac:dyDescent="0.25">
      <c r="A485" s="11">
        <f t="shared" si="8"/>
        <v>1441</v>
      </c>
      <c r="B485" s="1" t="str">
        <f>IF(B484="STD. DEVIATION",INDEX('1-DATA'!$1:$1048576,$A484-1,1),IF(INDEX('1-DATA'!$1:$1048576,$A485,1)&lt;&gt;"",INDEX('1-DATA'!$1:$1048576,$A485,1),""))</f>
        <v/>
      </c>
      <c r="C485" s="1" t="str">
        <f>IF(OR($B485="",C$7=""),"",IF($B485="MEANS",INDEX('1-DATA'!$1:$1048576,$A484-1,COLUMN('1-DATA'!B483)),ROUND(INDEX('1-DATA'!$1:$1048576,IF(OR($B485="STD. DEVIATION",$C$1=1),$A485,$A485+1),COLUMN('1-DATA'!B483)),IF($B485="STD. DEVIATION",2,$F$1))))</f>
        <v/>
      </c>
      <c r="D485" s="1" t="str">
        <f>IF(OR($B485="",D$7=""),"",IF($B485="MEANS",INDEX('1-DATA'!$1:$1048576,$A484-1,COLUMN('1-DATA'!C483)),ROUND(INDEX('1-DATA'!$1:$1048576,IF(OR($B485="STD. DEVIATION",$C$1=1),$A485,$A485+1),COLUMN('1-DATA'!C483)),IF($B485="STD. DEVIATION",2,$F$1))))</f>
        <v/>
      </c>
      <c r="E485" s="1" t="str">
        <f>IF(OR($B485="",E$7=""),"",IF($B485="MEANS",INDEX('1-DATA'!$1:$1048576,$A484-1,COLUMN('1-DATA'!D483)),ROUND(INDEX('1-DATA'!$1:$1048576,IF(OR($B485="STD. DEVIATION",$C$1=1),$A485,$A485+1),COLUMN('1-DATA'!D483)),IF($B485="STD. DEVIATION",2,$F$1))))</f>
        <v/>
      </c>
      <c r="F485" s="1" t="str">
        <f>IF(OR($B485="",F$7=""),"",IF($B485="MEANS",INDEX('1-DATA'!$1:$1048576,$A484-1,COLUMN('1-DATA'!E483)),ROUND(INDEX('1-DATA'!$1:$1048576,IF(OR($B485="STD. DEVIATION",$C$1=1),$A485,$A485+1),COLUMN('1-DATA'!E483)),IF($B485="STD. DEVIATION",2,$F$1))))</f>
        <v/>
      </c>
      <c r="G485" s="1" t="str">
        <f>IF(OR($B485="",G$7=""),"",IF($B485="MEANS",INDEX('1-DATA'!$1:$1048576,$A484-1,COLUMN('1-DATA'!F483)),ROUND(INDEX('1-DATA'!$1:$1048576,IF(OR($B485="STD. DEVIATION",$C$1=1),$A485,$A485+1),COLUMN('1-DATA'!F483)),IF($B485="STD. DEVIATION",2,$F$1))))</f>
        <v/>
      </c>
      <c r="H485" s="1" t="str">
        <f>IF(OR($B485="",H$7=""),"",IF($B485="MEANS",INDEX('1-DATA'!$1:$1048576,$A484-1,COLUMN('1-DATA'!G483)),ROUND(INDEX('1-DATA'!$1:$1048576,IF(OR($B485="STD. DEVIATION",$C$1=1),$A485,$A485+1),COLUMN('1-DATA'!G483)),IF($B485="STD. DEVIATION",2,$F$1))))</f>
        <v/>
      </c>
      <c r="I485" s="1" t="str">
        <f>IF(OR($B485="",I$7=""),"",IF($B485="MEANS",INDEX('1-DATA'!$1:$1048576,$A484-1,COLUMN('1-DATA'!H483)),ROUND(INDEX('1-DATA'!$1:$1048576,IF(OR($B485="STD. DEVIATION",$C$1=1),$A485,$A485+1),COLUMN('1-DATA'!H483)),IF($B485="STD. DEVIATION",2,$F$1))))</f>
        <v/>
      </c>
      <c r="J485" s="1" t="str">
        <f>IF(OR($B485="",J$7=""),"",IF($B485="MEANS",INDEX('1-DATA'!$1:$1048576,$A484-1,COLUMN('1-DATA'!I483)),ROUND(INDEX('1-DATA'!$1:$1048576,IF(OR($B485="STD. DEVIATION",$C$1=1),$A485,$A485+1),COLUMN('1-DATA'!I483)),IF($B485="STD. DEVIATION",2,$F$1))))</f>
        <v/>
      </c>
      <c r="K485" s="1" t="str">
        <f>IF(OR($B485="",K$7=""),"",IF($B485="MEANS",INDEX('1-DATA'!$1:$1048576,$A484-1,COLUMN('1-DATA'!J483)),ROUND(INDEX('1-DATA'!$1:$1048576,IF(OR($B485="STD. DEVIATION",$C$1=1),$A485,$A485+1),COLUMN('1-DATA'!J483)),IF($B485="STD. DEVIATION",2,$F$1))))</f>
        <v/>
      </c>
      <c r="L485" s="1" t="str">
        <f>IF(OR($B485="",L$7=""),"",IF($B485="MEANS",INDEX('1-DATA'!$1:$1048576,$A484-1,COLUMN('1-DATA'!K483)),ROUND(INDEX('1-DATA'!$1:$1048576,IF(OR($B485="STD. DEVIATION",$C$1=1),$A485,$A485+1),COLUMN('1-DATA'!K483)),IF($B485="STD. DEVIATION",2,$F$1))))</f>
        <v/>
      </c>
      <c r="M485" s="1" t="str">
        <f>IF(OR($B485="",M$7=""),"",IF($B485="MEANS",INDEX('1-DATA'!$1:$1048576,$A484-1,COLUMN('1-DATA'!L483)),ROUND(INDEX('1-DATA'!$1:$1048576,IF(OR($B485="STD. DEVIATION",$C$1=1),$A485,$A485+1),COLUMN('1-DATA'!L483)),IF($B485="STD. DEVIATION",2,$F$1))))</f>
        <v/>
      </c>
      <c r="N485" s="1" t="str">
        <f>IF(OR($B485="",N$7=""),"",IF($B485="MEANS",INDEX('1-DATA'!$1:$1048576,$A484-1,COLUMN('1-DATA'!M483)),ROUND(INDEX('1-DATA'!$1:$1048576,IF(OR($B485="STD. DEVIATION",$C$1=1),$A485,$A485+1),COLUMN('1-DATA'!M483)),IF($B485="STD. DEVIATION",2,$F$1))))</f>
        <v/>
      </c>
      <c r="O485" s="1" t="str">
        <f>IF(OR($B485="",O$7=""),"",IF($B485="MEANS",INDEX('1-DATA'!$1:$1048576,$A484-1,COLUMN('1-DATA'!N483)),ROUND(INDEX('1-DATA'!$1:$1048576,IF(OR($B485="STD. DEVIATION",$C$1=1),$A485,$A485+1),COLUMN('1-DATA'!N483)),IF($B485="STD. DEVIATION",2,$F$1))))</f>
        <v/>
      </c>
      <c r="P485" s="1" t="str">
        <f>IF(OR($B485="",P$7=""),"",IF($B485="MEANS",INDEX('1-DATA'!$1:$1048576,$A484-1,COLUMN('1-DATA'!O483)),ROUND(INDEX('1-DATA'!$1:$1048576,IF(OR($B485="STD. DEVIATION",$C$1=1),$A485,$A485+1),COLUMN('1-DATA'!O483)),IF($B485="STD. DEVIATION",2,$F$1))))</f>
        <v/>
      </c>
      <c r="Q485" s="1" t="str">
        <f>IF(OR($B485="",Q$7=""),"",IF($B485="MEANS",INDEX('1-DATA'!$1:$1048576,$A484-1,COLUMN('1-DATA'!P483)),ROUND(INDEX('1-DATA'!$1:$1048576,IF(OR($B485="STD. DEVIATION",$C$1=1),$A485,$A485+1),COLUMN('1-DATA'!P483)),IF($B485="STD. DEVIATION",2,$F$1))))</f>
        <v/>
      </c>
      <c r="R485" s="1" t="str">
        <f>IF(OR($B485="",R$7=""),"",IF($B485="MEANS",INDEX('1-DATA'!$1:$1048576,$A484-1,COLUMN('1-DATA'!Q483)),ROUND(INDEX('1-DATA'!$1:$1048576,IF(OR($B485="STD. DEVIATION",$C$1=1),$A485,$A485+1),COLUMN('1-DATA'!Q483)),IF($B485="STD. DEVIATION",2,$F$1))))</f>
        <v/>
      </c>
      <c r="S485" s="1" t="str">
        <f>IF(OR($B485="",S$7=""),"",IF($B485="MEANS",INDEX('1-DATA'!$1:$1048576,$A484-1,COLUMN('1-DATA'!R483)),ROUND(INDEX('1-DATA'!$1:$1048576,IF(OR($B485="STD. DEVIATION",$C$1=1),$A485,$A485+1),COLUMN('1-DATA'!R483)),IF($B485="STD. DEVIATION",2,$F$1))))</f>
        <v/>
      </c>
      <c r="T485" s="1" t="str">
        <f>IF(OR($B485="",T$7=""),"",IF($B485="MEANS",INDEX('1-DATA'!$1:$1048576,$A484-1,COLUMN('1-DATA'!S483)),ROUND(INDEX('1-DATA'!$1:$1048576,IF(OR($B485="STD. DEVIATION",$C$1=1),$A485,$A485+1),COLUMN('1-DATA'!S483)),IF($B485="STD. DEVIATION",2,$F$1))))</f>
        <v/>
      </c>
      <c r="U485" s="1" t="str">
        <f>IF(OR($B485="",U$7=""),"",IF($B485="MEANS",INDEX('1-DATA'!$1:$1048576,$A484-1,COLUMN('1-DATA'!T483)),ROUND(INDEX('1-DATA'!$1:$1048576,IF(OR($B485="STD. DEVIATION",$C$1=1),$A485,$A485+1),COLUMN('1-DATA'!T483)),IF($B485="STD. DEVIATION",2,$F$1))))</f>
        <v/>
      </c>
      <c r="V485" s="1" t="str">
        <f>IF(OR($B485="",V$7=""),"",IF($B485="MEANS",INDEX('1-DATA'!$1:$1048576,$A484-1,COLUMN('1-DATA'!U483)),ROUND(INDEX('1-DATA'!$1:$1048576,IF(OR($B485="STD. DEVIATION",$C$1=1),$A485,$A485+1),COLUMN('1-DATA'!U483)),IF($B485="STD. DEVIATION",2,$F$1))))</f>
        <v/>
      </c>
      <c r="W485" s="1" t="str">
        <f>IF(OR($B485="",W$7=""),"",IF($B485="MEANS",INDEX('1-DATA'!$1:$1048576,$A484-1,COLUMN('1-DATA'!V483)),ROUND(INDEX('1-DATA'!$1:$1048576,IF(OR($B485="STD. DEVIATION",$C$1=1),$A485,$A485+1),COLUMN('1-DATA'!V483)),IF($B485="STD. DEVIATION",2,$F$1))))</f>
        <v/>
      </c>
      <c r="X485" s="1" t="str">
        <f>IF(OR($B485="",X$7=""),"",IF($B485="MEANS",INDEX('1-DATA'!$1:$1048576,$A484-1,COLUMN('1-DATA'!W483)),ROUND(INDEX('1-DATA'!$1:$1048576,IF(OR($B485="STD. DEVIATION",$C$1=1),$A485,$A485+1),COLUMN('1-DATA'!W483)),IF($B485="STD. DEVIATION",2,$F$1))))</f>
        <v/>
      </c>
      <c r="Y485" s="1" t="str">
        <f>IF(OR($B485="",Y$7=""),"",IF($B485="MEANS",INDEX('1-DATA'!$1:$1048576,$A484-1,COLUMN('1-DATA'!X483)),ROUND(INDEX('1-DATA'!$1:$1048576,IF(OR($B485="STD. DEVIATION",$C$1=1),$A485,$A485+1),COLUMN('1-DATA'!X483)),IF($B485="STD. DEVIATION",2,$F$1))))</f>
        <v/>
      </c>
      <c r="Z485" s="1" t="str">
        <f>IF(OR($B485="",Z$7=""),"",IF($B485="MEANS",INDEX('1-DATA'!$1:$1048576,$A484-1,COLUMN('1-DATA'!Y483)),ROUND(INDEX('1-DATA'!$1:$1048576,IF(OR($B485="STD. DEVIATION",$C$1=1),$A485,$A485+1),COLUMN('1-DATA'!Y483)),IF($B485="STD. DEVIATION",2,$F$1))))</f>
        <v/>
      </c>
      <c r="AA485" s="1" t="str">
        <f>IF(OR($B485="",AA$7=""),"",IF($B485="MEANS",INDEX('1-DATA'!$1:$1048576,$A484-1,COLUMN('1-DATA'!Z483)),ROUND(INDEX('1-DATA'!$1:$1048576,IF(OR($B485="STD. DEVIATION",$C$1=1),$A485,$A485+1),COLUMN('1-DATA'!Z483)),IF($B485="STD. DEVIATION",2,$F$1))))</f>
        <v/>
      </c>
      <c r="AB485" s="1" t="str">
        <f>IF(OR($B485="",AB$7=""),"",IF($B485="MEANS",INDEX('1-DATA'!$1:$1048576,$A484-1,COLUMN('1-DATA'!AA483)),ROUND(INDEX('1-DATA'!$1:$1048576,IF(OR($B485="STD. DEVIATION",$C$1=1),$A485,$A485+1),COLUMN('1-DATA'!AA483)),IF($B485="STD. DEVIATION",2,$F$1))))</f>
        <v/>
      </c>
      <c r="AC485" s="1" t="str">
        <f>IF(OR($B485="",AC$7=""),"",IF($B485="MEANS",INDEX('1-DATA'!$1:$1048576,$A484-1,COLUMN('1-DATA'!AB483)),ROUND(INDEX('1-DATA'!$1:$1048576,IF(OR($B485="STD. DEVIATION",$C$1=1),$A485,$A485+1),COLUMN('1-DATA'!AB483)),IF($B485="STD. DEVIATION",2,$F$1))))</f>
        <v/>
      </c>
      <c r="AD485" s="1" t="str">
        <f>IF(OR($B485="",AD$7=""),"",IF($B485="MEANS",INDEX('1-DATA'!$1:$1048576,$A484-1,COLUMN('1-DATA'!AC483)),ROUND(INDEX('1-DATA'!$1:$1048576,IF(OR($B485="STD. DEVIATION",$C$1=1),$A485,$A485+1),COLUMN('1-DATA'!AC483)),IF($B485="STD. DEVIATION",2,$F$1))))</f>
        <v/>
      </c>
      <c r="AE485" s="1" t="str">
        <f>IF(OR($B485="",AE$7=""),"",IF($B485="MEANS",INDEX('1-DATA'!$1:$1048576,$A484-1,COLUMN('1-DATA'!AD483)),ROUND(INDEX('1-DATA'!$1:$1048576,IF(OR($B485="STD. DEVIATION",$C$1=1),$A485,$A485+1),COLUMN('1-DATA'!AD483)),IF($B485="STD. DEVIATION",2,$F$1))))</f>
        <v/>
      </c>
      <c r="AF485" s="1" t="str">
        <f>IF(OR($B485="",AF$7=""),"",IF($B485="MEANS",INDEX('1-DATA'!$1:$1048576,$A484-1,COLUMN('1-DATA'!AE483)),ROUND(INDEX('1-DATA'!$1:$1048576,IF(OR($B485="STD. DEVIATION",$C$1=1),$A485,$A485+1),COLUMN('1-DATA'!AE483)),IF($B485="STD. DEVIATION",2,$F$1))))</f>
        <v/>
      </c>
      <c r="AG485" s="1" t="str">
        <f>IF(OR($B485="",AG$7=""),"",IF($B485="MEANS",INDEX('1-DATA'!$1:$1048576,$A484-1,COLUMN('1-DATA'!AF483)),ROUND(INDEX('1-DATA'!$1:$1048576,IF(OR($B485="STD. DEVIATION",$C$1=1),$A485,$A485+1),COLUMN('1-DATA'!AF483)),IF($B485="STD. DEVIATION",2,$F$1))))</f>
        <v/>
      </c>
      <c r="AH485" s="1" t="str">
        <f>IF(OR($B485="",AH$7=""),"",IF($B485="MEANS",INDEX('1-DATA'!$1:$1048576,$A484-1,COLUMN('1-DATA'!AG483)),ROUND(INDEX('1-DATA'!$1:$1048576,IF(OR($B485="STD. DEVIATION",$C$1=1),$A485,$A485+1),COLUMN('1-DATA'!AG483)),IF($B485="STD. DEVIATION",2,$F$1))))</f>
        <v/>
      </c>
      <c r="AI485" s="1" t="str">
        <f>IF(OR($B485="",AI$7=""),"",IF($B485="MEANS",INDEX('1-DATA'!$1:$1048576,$A484-1,COLUMN('1-DATA'!AH483)),ROUND(INDEX('1-DATA'!$1:$1048576,IF(OR($B485="STD. DEVIATION",$C$1=1),$A485,$A485+1),COLUMN('1-DATA'!AH483)),IF($B485="STD. DEVIATION",2,$F$1))))</f>
        <v/>
      </c>
      <c r="AJ485" s="1" t="str">
        <f>IF(OR($B485="",AJ$7=""),"",IF($B485="MEANS",INDEX('1-DATA'!$1:$1048576,$A484-1,COLUMN('1-DATA'!AI483)),ROUND(INDEX('1-DATA'!$1:$1048576,IF(OR($B485="STD. DEVIATION",$C$1=1),$A485,$A485+1),COLUMN('1-DATA'!AI483)),IF($B485="STD. DEVIATION",2,$F$1))))</f>
        <v/>
      </c>
      <c r="AK485" s="1" t="str">
        <f>IF(OR($B485="",AK$7=""),"",IF($B485="MEANS",INDEX('1-DATA'!$1:$1048576,$A484-1,COLUMN('1-DATA'!AJ483)),ROUND(INDEX('1-DATA'!$1:$1048576,IF(OR($B485="STD. DEVIATION",$C$1=1),$A485,$A485+1),COLUMN('1-DATA'!AJ483)),IF($B485="STD. DEVIATION",2,$F$1))))</f>
        <v/>
      </c>
      <c r="AL485" s="1" t="str">
        <f>IF(OR($B485="",AL$7=""),"",IF($B485="MEANS",INDEX('1-DATA'!$1:$1048576,$A484-1,COLUMN('1-DATA'!AK483)),ROUND(INDEX('1-DATA'!$1:$1048576,IF(OR($B485="STD. DEVIATION",$C$1=1),$A485,$A485+1),COLUMN('1-DATA'!AK483)),IF($B485="STD. DEVIATION",2,$F$1))))</f>
        <v/>
      </c>
      <c r="AM485" s="1" t="str">
        <f>IF(OR($B485="",AM$7=""),"",IF($B485="MEANS",INDEX('1-DATA'!$1:$1048576,$A484-1,COLUMN('1-DATA'!AL483)),ROUND(INDEX('1-DATA'!$1:$1048576,IF(OR($B485="STD. DEVIATION",$C$1=1),$A485,$A485+1),COLUMN('1-DATA'!AL483)),IF($B485="STD. DEVIATION",2,$F$1))))</f>
        <v/>
      </c>
      <c r="AN485" s="1" t="str">
        <f>IF(OR($B485="",AN$7=""),"",IF($B485="MEANS",INDEX('1-DATA'!$1:$1048576,$A484-1,COLUMN('1-DATA'!AM483)),ROUND(INDEX('1-DATA'!$1:$1048576,IF(OR($B485="STD. DEVIATION",$C$1=1),$A485,$A485+1),COLUMN('1-DATA'!AM483)),IF($B485="STD. DEVIATION",2,$F$1))))</f>
        <v/>
      </c>
      <c r="AO485" s="1" t="str">
        <f>IF(OR($B485="",AO$7=""),"",IF($B485="MEANS",INDEX('1-DATA'!$1:$1048576,$A484-1,COLUMN('1-DATA'!AN483)),ROUND(INDEX('1-DATA'!$1:$1048576,IF(OR($B485="STD. DEVIATION",$C$1=1),$A485,$A485+1),COLUMN('1-DATA'!AN483)),IF($B485="STD. DEVIATION",2,$F$1))))</f>
        <v/>
      </c>
      <c r="AP485" s="1" t="str">
        <f>IF(OR($B485="",AP$7=""),"",IF($B485="MEANS",INDEX('1-DATA'!$1:$1048576,$A484-1,COLUMN('1-DATA'!AO483)),ROUND(INDEX('1-DATA'!$1:$1048576,IF(OR($B485="STD. DEVIATION",$C$1=1),$A485,$A485+1),COLUMN('1-DATA'!AO483)),IF($B485="STD. DEVIATION",2,$F$1))))</f>
        <v/>
      </c>
      <c r="AQ485" s="1" t="str">
        <f>IF(OR($B485="",AQ$7=""),"",IF($B485="MEANS",INDEX('1-DATA'!$1:$1048576,$A484-1,COLUMN('1-DATA'!AP483)),ROUND(INDEX('1-DATA'!$1:$1048576,IF(OR($B485="STD. DEVIATION",$C$1=1),$A485,$A485+1),COLUMN('1-DATA'!AP483)),IF($B485="STD. DEVIATION",2,$F$1))))</f>
        <v/>
      </c>
      <c r="AR485" s="1" t="str">
        <f>IF(OR($B485="",AR$7=""),"",IF($B485="MEANS",INDEX('1-DATA'!$1:$1048576,$A484-1,COLUMN('1-DATA'!AQ483)),ROUND(INDEX('1-DATA'!$1:$1048576,IF(OR($B485="STD. DEVIATION",$C$1=1),$A485,$A485+1),COLUMN('1-DATA'!AQ483)),IF($B485="STD. DEVIATION",2,$F$1))))</f>
        <v/>
      </c>
      <c r="AS485" s="1" t="str">
        <f>IF(OR($B485="",AS$7=""),"",IF($B485="MEANS",INDEX('1-DATA'!$1:$1048576,$A484-1,COLUMN('1-DATA'!AR483)),ROUND(INDEX('1-DATA'!$1:$1048576,IF(OR($B485="STD. DEVIATION",$C$1=1),$A485,$A485+1),COLUMN('1-DATA'!AR483)),IF($B485="STD. DEVIATION",2,$F$1))))</f>
        <v/>
      </c>
      <c r="AT485" s="1" t="str">
        <f>IF(OR($B485="",AT$7=""),"",IF($B485="MEANS",INDEX('1-DATA'!$1:$1048576,$A484-1,COLUMN('1-DATA'!AS483)),ROUND(INDEX('1-DATA'!$1:$1048576,IF(OR($B485="STD. DEVIATION",$C$1=1),$A485,$A485+1),COLUMN('1-DATA'!AS483)),IF($B485="STD. DEVIATION",2,$F$1))))</f>
        <v/>
      </c>
      <c r="AU485" s="1" t="str">
        <f>IF(OR($B485="",AU$7=""),"",IF($B485="MEANS",INDEX('1-DATA'!$1:$1048576,$A484-1,COLUMN('1-DATA'!AT483)),ROUND(INDEX('1-DATA'!$1:$1048576,IF(OR($B485="STD. DEVIATION",$C$1=1),$A485,$A485+1),COLUMN('1-DATA'!AT483)),IF($B485="STD. DEVIATION",2,$F$1))))</f>
        <v/>
      </c>
      <c r="AV485" s="1" t="str">
        <f>IF(OR($B485="",AV$7=""),"",IF($B485="MEANS",INDEX('1-DATA'!$1:$1048576,$A484-1,COLUMN('1-DATA'!AU483)),ROUND(INDEX('1-DATA'!$1:$1048576,IF(OR($B485="STD. DEVIATION",$C$1=1),$A485,$A485+1),COLUMN('1-DATA'!AU483)),IF($B485="STD. DEVIATION",2,$F$1))))</f>
        <v/>
      </c>
      <c r="AW485" s="1" t="str">
        <f>IF(OR($B485="",AW$7=""),"",IF($B485="MEANS",INDEX('1-DATA'!$1:$1048576,$A484-1,COLUMN('1-DATA'!AV483)),ROUND(INDEX('1-DATA'!$1:$1048576,IF(OR($B485="STD. DEVIATION",$C$1=1),$A485,$A485+1),COLUMN('1-DATA'!AV483)),IF($B485="STD. DEVIATION",2,$F$1))))</f>
        <v/>
      </c>
      <c r="AX485" s="1" t="str">
        <f>IF(OR($B485="",AX$7=""),"",IF($B485="MEANS",INDEX('1-DATA'!$1:$1048576,$A484-1,COLUMN('1-DATA'!AW483)),ROUND(INDEX('1-DATA'!$1:$1048576,IF(OR($B485="STD. DEVIATION",$C$1=1),$A485,$A485+1),COLUMN('1-DATA'!AW483)),IF($B485="STD. DEVIATION",2,$F$1))))</f>
        <v/>
      </c>
      <c r="AY485" s="1" t="str">
        <f>IF(OR($B485="",AY$7=""),"",IF($B485="MEANS",INDEX('1-DATA'!$1:$1048576,$A484-1,COLUMN('1-DATA'!AX483)),ROUND(INDEX('1-DATA'!$1:$1048576,IF(OR($B485="STD. DEVIATION",$C$1=1),$A485,$A485+1),COLUMN('1-DATA'!AX483)),IF($B485="STD. DEVIATION",2,$F$1))))</f>
        <v/>
      </c>
      <c r="AZ485" s="1" t="str">
        <f>IF(OR($B485="",AZ$7=""),"",IF($B485="MEANS",INDEX('1-DATA'!$1:$1048576,$A484-1,COLUMN('1-DATA'!AY483)),ROUND(INDEX('1-DATA'!$1:$1048576,IF(OR($B485="STD. DEVIATION",$C$1=1),$A485,$A485+1),COLUMN('1-DATA'!AY483)),IF($B485="STD. DEVIATION",2,$F$1))))</f>
        <v/>
      </c>
    </row>
    <row r="486" spans="1:52" x14ac:dyDescent="0.25">
      <c r="A486" s="11">
        <f t="shared" si="8"/>
        <v>1444</v>
      </c>
      <c r="B486" s="1" t="str">
        <f>IF(B485="STD. DEVIATION",INDEX('1-DATA'!$1:$1048576,$A485-1,1),IF(INDEX('1-DATA'!$1:$1048576,$A486,1)&lt;&gt;"",INDEX('1-DATA'!$1:$1048576,$A486,1),""))</f>
        <v/>
      </c>
      <c r="C486" s="1" t="str">
        <f>IF(OR($B486="",C$7=""),"",IF($B486="MEANS",INDEX('1-DATA'!$1:$1048576,$A485-1,COLUMN('1-DATA'!B484)),ROUND(INDEX('1-DATA'!$1:$1048576,IF(OR($B486="STD. DEVIATION",$C$1=1),$A486,$A486+1),COLUMN('1-DATA'!B484)),IF($B486="STD. DEVIATION",2,$F$1))))</f>
        <v/>
      </c>
      <c r="D486" s="1" t="str">
        <f>IF(OR($B486="",D$7=""),"",IF($B486="MEANS",INDEX('1-DATA'!$1:$1048576,$A485-1,COLUMN('1-DATA'!C484)),ROUND(INDEX('1-DATA'!$1:$1048576,IF(OR($B486="STD. DEVIATION",$C$1=1),$A486,$A486+1),COLUMN('1-DATA'!C484)),IF($B486="STD. DEVIATION",2,$F$1))))</f>
        <v/>
      </c>
      <c r="E486" s="1" t="str">
        <f>IF(OR($B486="",E$7=""),"",IF($B486="MEANS",INDEX('1-DATA'!$1:$1048576,$A485-1,COLUMN('1-DATA'!D484)),ROUND(INDEX('1-DATA'!$1:$1048576,IF(OR($B486="STD. DEVIATION",$C$1=1),$A486,$A486+1),COLUMN('1-DATA'!D484)),IF($B486="STD. DEVIATION",2,$F$1))))</f>
        <v/>
      </c>
      <c r="F486" s="1" t="str">
        <f>IF(OR($B486="",F$7=""),"",IF($B486="MEANS",INDEX('1-DATA'!$1:$1048576,$A485-1,COLUMN('1-DATA'!E484)),ROUND(INDEX('1-DATA'!$1:$1048576,IF(OR($B486="STD. DEVIATION",$C$1=1),$A486,$A486+1),COLUMN('1-DATA'!E484)),IF($B486="STD. DEVIATION",2,$F$1))))</f>
        <v/>
      </c>
      <c r="G486" s="1" t="str">
        <f>IF(OR($B486="",G$7=""),"",IF($B486="MEANS",INDEX('1-DATA'!$1:$1048576,$A485-1,COLUMN('1-DATA'!F484)),ROUND(INDEX('1-DATA'!$1:$1048576,IF(OR($B486="STD. DEVIATION",$C$1=1),$A486,$A486+1),COLUMN('1-DATA'!F484)),IF($B486="STD. DEVIATION",2,$F$1))))</f>
        <v/>
      </c>
      <c r="H486" s="1" t="str">
        <f>IF(OR($B486="",H$7=""),"",IF($B486="MEANS",INDEX('1-DATA'!$1:$1048576,$A485-1,COLUMN('1-DATA'!G484)),ROUND(INDEX('1-DATA'!$1:$1048576,IF(OR($B486="STD. DEVIATION",$C$1=1),$A486,$A486+1),COLUMN('1-DATA'!G484)),IF($B486="STD. DEVIATION",2,$F$1))))</f>
        <v/>
      </c>
      <c r="I486" s="1" t="str">
        <f>IF(OR($B486="",I$7=""),"",IF($B486="MEANS",INDEX('1-DATA'!$1:$1048576,$A485-1,COLUMN('1-DATA'!H484)),ROUND(INDEX('1-DATA'!$1:$1048576,IF(OR($B486="STD. DEVIATION",$C$1=1),$A486,$A486+1),COLUMN('1-DATA'!H484)),IF($B486="STD. DEVIATION",2,$F$1))))</f>
        <v/>
      </c>
      <c r="J486" s="1" t="str">
        <f>IF(OR($B486="",J$7=""),"",IF($B486="MEANS",INDEX('1-DATA'!$1:$1048576,$A485-1,COLUMN('1-DATA'!I484)),ROUND(INDEX('1-DATA'!$1:$1048576,IF(OR($B486="STD. DEVIATION",$C$1=1),$A486,$A486+1),COLUMN('1-DATA'!I484)),IF($B486="STD. DEVIATION",2,$F$1))))</f>
        <v/>
      </c>
      <c r="K486" s="1" t="str">
        <f>IF(OR($B486="",K$7=""),"",IF($B486="MEANS",INDEX('1-DATA'!$1:$1048576,$A485-1,COLUMN('1-DATA'!J484)),ROUND(INDEX('1-DATA'!$1:$1048576,IF(OR($B486="STD. DEVIATION",$C$1=1),$A486,$A486+1),COLUMN('1-DATA'!J484)),IF($B486="STD. DEVIATION",2,$F$1))))</f>
        <v/>
      </c>
      <c r="L486" s="1" t="str">
        <f>IF(OR($B486="",L$7=""),"",IF($B486="MEANS",INDEX('1-DATA'!$1:$1048576,$A485-1,COLUMN('1-DATA'!K484)),ROUND(INDEX('1-DATA'!$1:$1048576,IF(OR($B486="STD. DEVIATION",$C$1=1),$A486,$A486+1),COLUMN('1-DATA'!K484)),IF($B486="STD. DEVIATION",2,$F$1))))</f>
        <v/>
      </c>
      <c r="M486" s="1" t="str">
        <f>IF(OR($B486="",M$7=""),"",IF($B486="MEANS",INDEX('1-DATA'!$1:$1048576,$A485-1,COLUMN('1-DATA'!L484)),ROUND(INDEX('1-DATA'!$1:$1048576,IF(OR($B486="STD. DEVIATION",$C$1=1),$A486,$A486+1),COLUMN('1-DATA'!L484)),IF($B486="STD. DEVIATION",2,$F$1))))</f>
        <v/>
      </c>
      <c r="N486" s="1" t="str">
        <f>IF(OR($B486="",N$7=""),"",IF($B486="MEANS",INDEX('1-DATA'!$1:$1048576,$A485-1,COLUMN('1-DATA'!M484)),ROUND(INDEX('1-DATA'!$1:$1048576,IF(OR($B486="STD. DEVIATION",$C$1=1),$A486,$A486+1),COLUMN('1-DATA'!M484)),IF($B486="STD. DEVIATION",2,$F$1))))</f>
        <v/>
      </c>
      <c r="O486" s="1" t="str">
        <f>IF(OR($B486="",O$7=""),"",IF($B486="MEANS",INDEX('1-DATA'!$1:$1048576,$A485-1,COLUMN('1-DATA'!N484)),ROUND(INDEX('1-DATA'!$1:$1048576,IF(OR($B486="STD. DEVIATION",$C$1=1),$A486,$A486+1),COLUMN('1-DATA'!N484)),IF($B486="STD. DEVIATION",2,$F$1))))</f>
        <v/>
      </c>
      <c r="P486" s="1" t="str">
        <f>IF(OR($B486="",P$7=""),"",IF($B486="MEANS",INDEX('1-DATA'!$1:$1048576,$A485-1,COLUMN('1-DATA'!O484)),ROUND(INDEX('1-DATA'!$1:$1048576,IF(OR($B486="STD. DEVIATION",$C$1=1),$A486,$A486+1),COLUMN('1-DATA'!O484)),IF($B486="STD. DEVIATION",2,$F$1))))</f>
        <v/>
      </c>
      <c r="Q486" s="1" t="str">
        <f>IF(OR($B486="",Q$7=""),"",IF($B486="MEANS",INDEX('1-DATA'!$1:$1048576,$A485-1,COLUMN('1-DATA'!P484)),ROUND(INDEX('1-DATA'!$1:$1048576,IF(OR($B486="STD. DEVIATION",$C$1=1),$A486,$A486+1),COLUMN('1-DATA'!P484)),IF($B486="STD. DEVIATION",2,$F$1))))</f>
        <v/>
      </c>
      <c r="R486" s="1" t="str">
        <f>IF(OR($B486="",R$7=""),"",IF($B486="MEANS",INDEX('1-DATA'!$1:$1048576,$A485-1,COLUMN('1-DATA'!Q484)),ROUND(INDEX('1-DATA'!$1:$1048576,IF(OR($B486="STD. DEVIATION",$C$1=1),$A486,$A486+1),COLUMN('1-DATA'!Q484)),IF($B486="STD. DEVIATION",2,$F$1))))</f>
        <v/>
      </c>
      <c r="S486" s="1" t="str">
        <f>IF(OR($B486="",S$7=""),"",IF($B486="MEANS",INDEX('1-DATA'!$1:$1048576,$A485-1,COLUMN('1-DATA'!R484)),ROUND(INDEX('1-DATA'!$1:$1048576,IF(OR($B486="STD. DEVIATION",$C$1=1),$A486,$A486+1),COLUMN('1-DATA'!R484)),IF($B486="STD. DEVIATION",2,$F$1))))</f>
        <v/>
      </c>
      <c r="T486" s="1" t="str">
        <f>IF(OR($B486="",T$7=""),"",IF($B486="MEANS",INDEX('1-DATA'!$1:$1048576,$A485-1,COLUMN('1-DATA'!S484)),ROUND(INDEX('1-DATA'!$1:$1048576,IF(OR($B486="STD. DEVIATION",$C$1=1),$A486,$A486+1),COLUMN('1-DATA'!S484)),IF($B486="STD. DEVIATION",2,$F$1))))</f>
        <v/>
      </c>
      <c r="U486" s="1" t="str">
        <f>IF(OR($B486="",U$7=""),"",IF($B486="MEANS",INDEX('1-DATA'!$1:$1048576,$A485-1,COLUMN('1-DATA'!T484)),ROUND(INDEX('1-DATA'!$1:$1048576,IF(OR($B486="STD. DEVIATION",$C$1=1),$A486,$A486+1),COLUMN('1-DATA'!T484)),IF($B486="STD. DEVIATION",2,$F$1))))</f>
        <v/>
      </c>
      <c r="V486" s="1" t="str">
        <f>IF(OR($B486="",V$7=""),"",IF($B486="MEANS",INDEX('1-DATA'!$1:$1048576,$A485-1,COLUMN('1-DATA'!U484)),ROUND(INDEX('1-DATA'!$1:$1048576,IF(OR($B486="STD. DEVIATION",$C$1=1),$A486,$A486+1),COLUMN('1-DATA'!U484)),IF($B486="STD. DEVIATION",2,$F$1))))</f>
        <v/>
      </c>
      <c r="W486" s="1" t="str">
        <f>IF(OR($B486="",W$7=""),"",IF($B486="MEANS",INDEX('1-DATA'!$1:$1048576,$A485-1,COLUMN('1-DATA'!V484)),ROUND(INDEX('1-DATA'!$1:$1048576,IF(OR($B486="STD. DEVIATION",$C$1=1),$A486,$A486+1),COLUMN('1-DATA'!V484)),IF($B486="STD. DEVIATION",2,$F$1))))</f>
        <v/>
      </c>
      <c r="X486" s="1" t="str">
        <f>IF(OR($B486="",X$7=""),"",IF($B486="MEANS",INDEX('1-DATA'!$1:$1048576,$A485-1,COLUMN('1-DATA'!W484)),ROUND(INDEX('1-DATA'!$1:$1048576,IF(OR($B486="STD. DEVIATION",$C$1=1),$A486,$A486+1),COLUMN('1-DATA'!W484)),IF($B486="STD. DEVIATION",2,$F$1))))</f>
        <v/>
      </c>
      <c r="Y486" s="1" t="str">
        <f>IF(OR($B486="",Y$7=""),"",IF($B486="MEANS",INDEX('1-DATA'!$1:$1048576,$A485-1,COLUMN('1-DATA'!X484)),ROUND(INDEX('1-DATA'!$1:$1048576,IF(OR($B486="STD. DEVIATION",$C$1=1),$A486,$A486+1),COLUMN('1-DATA'!X484)),IF($B486="STD. DEVIATION",2,$F$1))))</f>
        <v/>
      </c>
      <c r="Z486" s="1" t="str">
        <f>IF(OR($B486="",Z$7=""),"",IF($B486="MEANS",INDEX('1-DATA'!$1:$1048576,$A485-1,COLUMN('1-DATA'!Y484)),ROUND(INDEX('1-DATA'!$1:$1048576,IF(OR($B486="STD. DEVIATION",$C$1=1),$A486,$A486+1),COLUMN('1-DATA'!Y484)),IF($B486="STD. DEVIATION",2,$F$1))))</f>
        <v/>
      </c>
      <c r="AA486" s="1" t="str">
        <f>IF(OR($B486="",AA$7=""),"",IF($B486="MEANS",INDEX('1-DATA'!$1:$1048576,$A485-1,COLUMN('1-DATA'!Z484)),ROUND(INDEX('1-DATA'!$1:$1048576,IF(OR($B486="STD. DEVIATION",$C$1=1),$A486,$A486+1),COLUMN('1-DATA'!Z484)),IF($B486="STD. DEVIATION",2,$F$1))))</f>
        <v/>
      </c>
      <c r="AB486" s="1" t="str">
        <f>IF(OR($B486="",AB$7=""),"",IF($B486="MEANS",INDEX('1-DATA'!$1:$1048576,$A485-1,COLUMN('1-DATA'!AA484)),ROUND(INDEX('1-DATA'!$1:$1048576,IF(OR($B486="STD. DEVIATION",$C$1=1),$A486,$A486+1),COLUMN('1-DATA'!AA484)),IF($B486="STD. DEVIATION",2,$F$1))))</f>
        <v/>
      </c>
      <c r="AC486" s="1" t="str">
        <f>IF(OR($B486="",AC$7=""),"",IF($B486="MEANS",INDEX('1-DATA'!$1:$1048576,$A485-1,COLUMN('1-DATA'!AB484)),ROUND(INDEX('1-DATA'!$1:$1048576,IF(OR($B486="STD. DEVIATION",$C$1=1),$A486,$A486+1),COLUMN('1-DATA'!AB484)),IF($B486="STD. DEVIATION",2,$F$1))))</f>
        <v/>
      </c>
      <c r="AD486" s="1" t="str">
        <f>IF(OR($B486="",AD$7=""),"",IF($B486="MEANS",INDEX('1-DATA'!$1:$1048576,$A485-1,COLUMN('1-DATA'!AC484)),ROUND(INDEX('1-DATA'!$1:$1048576,IF(OR($B486="STD. DEVIATION",$C$1=1),$A486,$A486+1),COLUMN('1-DATA'!AC484)),IF($B486="STD. DEVIATION",2,$F$1))))</f>
        <v/>
      </c>
      <c r="AE486" s="1" t="str">
        <f>IF(OR($B486="",AE$7=""),"",IF($B486="MEANS",INDEX('1-DATA'!$1:$1048576,$A485-1,COLUMN('1-DATA'!AD484)),ROUND(INDEX('1-DATA'!$1:$1048576,IF(OR($B486="STD. DEVIATION",$C$1=1),$A486,$A486+1),COLUMN('1-DATA'!AD484)),IF($B486="STD. DEVIATION",2,$F$1))))</f>
        <v/>
      </c>
      <c r="AF486" s="1" t="str">
        <f>IF(OR($B486="",AF$7=""),"",IF($B486="MEANS",INDEX('1-DATA'!$1:$1048576,$A485-1,COLUMN('1-DATA'!AE484)),ROUND(INDEX('1-DATA'!$1:$1048576,IF(OR($B486="STD. DEVIATION",$C$1=1),$A486,$A486+1),COLUMN('1-DATA'!AE484)),IF($B486="STD. DEVIATION",2,$F$1))))</f>
        <v/>
      </c>
      <c r="AG486" s="1" t="str">
        <f>IF(OR($B486="",AG$7=""),"",IF($B486="MEANS",INDEX('1-DATA'!$1:$1048576,$A485-1,COLUMN('1-DATA'!AF484)),ROUND(INDEX('1-DATA'!$1:$1048576,IF(OR($B486="STD. DEVIATION",$C$1=1),$A486,$A486+1),COLUMN('1-DATA'!AF484)),IF($B486="STD. DEVIATION",2,$F$1))))</f>
        <v/>
      </c>
      <c r="AH486" s="1" t="str">
        <f>IF(OR($B486="",AH$7=""),"",IF($B486="MEANS",INDEX('1-DATA'!$1:$1048576,$A485-1,COLUMN('1-DATA'!AG484)),ROUND(INDEX('1-DATA'!$1:$1048576,IF(OR($B486="STD. DEVIATION",$C$1=1),$A486,$A486+1),COLUMN('1-DATA'!AG484)),IF($B486="STD. DEVIATION",2,$F$1))))</f>
        <v/>
      </c>
      <c r="AI486" s="1" t="str">
        <f>IF(OR($B486="",AI$7=""),"",IF($B486="MEANS",INDEX('1-DATA'!$1:$1048576,$A485-1,COLUMN('1-DATA'!AH484)),ROUND(INDEX('1-DATA'!$1:$1048576,IF(OR($B486="STD. DEVIATION",$C$1=1),$A486,$A486+1),COLUMN('1-DATA'!AH484)),IF($B486="STD. DEVIATION",2,$F$1))))</f>
        <v/>
      </c>
      <c r="AJ486" s="1" t="str">
        <f>IF(OR($B486="",AJ$7=""),"",IF($B486="MEANS",INDEX('1-DATA'!$1:$1048576,$A485-1,COLUMN('1-DATA'!AI484)),ROUND(INDEX('1-DATA'!$1:$1048576,IF(OR($B486="STD. DEVIATION",$C$1=1),$A486,$A486+1),COLUMN('1-DATA'!AI484)),IF($B486="STD. DEVIATION",2,$F$1))))</f>
        <v/>
      </c>
      <c r="AK486" s="1" t="str">
        <f>IF(OR($B486="",AK$7=""),"",IF($B486="MEANS",INDEX('1-DATA'!$1:$1048576,$A485-1,COLUMN('1-DATA'!AJ484)),ROUND(INDEX('1-DATA'!$1:$1048576,IF(OR($B486="STD. DEVIATION",$C$1=1),$A486,$A486+1),COLUMN('1-DATA'!AJ484)),IF($B486="STD. DEVIATION",2,$F$1))))</f>
        <v/>
      </c>
      <c r="AL486" s="1" t="str">
        <f>IF(OR($B486="",AL$7=""),"",IF($B486="MEANS",INDEX('1-DATA'!$1:$1048576,$A485-1,COLUMN('1-DATA'!AK484)),ROUND(INDEX('1-DATA'!$1:$1048576,IF(OR($B486="STD. DEVIATION",$C$1=1),$A486,$A486+1),COLUMN('1-DATA'!AK484)),IF($B486="STD. DEVIATION",2,$F$1))))</f>
        <v/>
      </c>
      <c r="AM486" s="1" t="str">
        <f>IF(OR($B486="",AM$7=""),"",IF($B486="MEANS",INDEX('1-DATA'!$1:$1048576,$A485-1,COLUMN('1-DATA'!AL484)),ROUND(INDEX('1-DATA'!$1:$1048576,IF(OR($B486="STD. DEVIATION",$C$1=1),$A486,$A486+1),COLUMN('1-DATA'!AL484)),IF($B486="STD. DEVIATION",2,$F$1))))</f>
        <v/>
      </c>
      <c r="AN486" s="1" t="str">
        <f>IF(OR($B486="",AN$7=""),"",IF($B486="MEANS",INDEX('1-DATA'!$1:$1048576,$A485-1,COLUMN('1-DATA'!AM484)),ROUND(INDEX('1-DATA'!$1:$1048576,IF(OR($B486="STD. DEVIATION",$C$1=1),$A486,$A486+1),COLUMN('1-DATA'!AM484)),IF($B486="STD. DEVIATION",2,$F$1))))</f>
        <v/>
      </c>
      <c r="AO486" s="1" t="str">
        <f>IF(OR($B486="",AO$7=""),"",IF($B486="MEANS",INDEX('1-DATA'!$1:$1048576,$A485-1,COLUMN('1-DATA'!AN484)),ROUND(INDEX('1-DATA'!$1:$1048576,IF(OR($B486="STD. DEVIATION",$C$1=1),$A486,$A486+1),COLUMN('1-DATA'!AN484)),IF($B486="STD. DEVIATION",2,$F$1))))</f>
        <v/>
      </c>
      <c r="AP486" s="1" t="str">
        <f>IF(OR($B486="",AP$7=""),"",IF($B486="MEANS",INDEX('1-DATA'!$1:$1048576,$A485-1,COLUMN('1-DATA'!AO484)),ROUND(INDEX('1-DATA'!$1:$1048576,IF(OR($B486="STD. DEVIATION",$C$1=1),$A486,$A486+1),COLUMN('1-DATA'!AO484)),IF($B486="STD. DEVIATION",2,$F$1))))</f>
        <v/>
      </c>
      <c r="AQ486" s="1" t="str">
        <f>IF(OR($B486="",AQ$7=""),"",IF($B486="MEANS",INDEX('1-DATA'!$1:$1048576,$A485-1,COLUMN('1-DATA'!AP484)),ROUND(INDEX('1-DATA'!$1:$1048576,IF(OR($B486="STD. DEVIATION",$C$1=1),$A486,$A486+1),COLUMN('1-DATA'!AP484)),IF($B486="STD. DEVIATION",2,$F$1))))</f>
        <v/>
      </c>
      <c r="AR486" s="1" t="str">
        <f>IF(OR($B486="",AR$7=""),"",IF($B486="MEANS",INDEX('1-DATA'!$1:$1048576,$A485-1,COLUMN('1-DATA'!AQ484)),ROUND(INDEX('1-DATA'!$1:$1048576,IF(OR($B486="STD. DEVIATION",$C$1=1),$A486,$A486+1),COLUMN('1-DATA'!AQ484)),IF($B486="STD. DEVIATION",2,$F$1))))</f>
        <v/>
      </c>
      <c r="AS486" s="1" t="str">
        <f>IF(OR($B486="",AS$7=""),"",IF($B486="MEANS",INDEX('1-DATA'!$1:$1048576,$A485-1,COLUMN('1-DATA'!AR484)),ROUND(INDEX('1-DATA'!$1:$1048576,IF(OR($B486="STD. DEVIATION",$C$1=1),$A486,$A486+1),COLUMN('1-DATA'!AR484)),IF($B486="STD. DEVIATION",2,$F$1))))</f>
        <v/>
      </c>
      <c r="AT486" s="1" t="str">
        <f>IF(OR($B486="",AT$7=""),"",IF($B486="MEANS",INDEX('1-DATA'!$1:$1048576,$A485-1,COLUMN('1-DATA'!AS484)),ROUND(INDEX('1-DATA'!$1:$1048576,IF(OR($B486="STD. DEVIATION",$C$1=1),$A486,$A486+1),COLUMN('1-DATA'!AS484)),IF($B486="STD. DEVIATION",2,$F$1))))</f>
        <v/>
      </c>
      <c r="AU486" s="1" t="str">
        <f>IF(OR($B486="",AU$7=""),"",IF($B486="MEANS",INDEX('1-DATA'!$1:$1048576,$A485-1,COLUMN('1-DATA'!AT484)),ROUND(INDEX('1-DATA'!$1:$1048576,IF(OR($B486="STD. DEVIATION",$C$1=1),$A486,$A486+1),COLUMN('1-DATA'!AT484)),IF($B486="STD. DEVIATION",2,$F$1))))</f>
        <v/>
      </c>
      <c r="AV486" s="1" t="str">
        <f>IF(OR($B486="",AV$7=""),"",IF($B486="MEANS",INDEX('1-DATA'!$1:$1048576,$A485-1,COLUMN('1-DATA'!AU484)),ROUND(INDEX('1-DATA'!$1:$1048576,IF(OR($B486="STD. DEVIATION",$C$1=1),$A486,$A486+1),COLUMN('1-DATA'!AU484)),IF($B486="STD. DEVIATION",2,$F$1))))</f>
        <v/>
      </c>
      <c r="AW486" s="1" t="str">
        <f>IF(OR($B486="",AW$7=""),"",IF($B486="MEANS",INDEX('1-DATA'!$1:$1048576,$A485-1,COLUMN('1-DATA'!AV484)),ROUND(INDEX('1-DATA'!$1:$1048576,IF(OR($B486="STD. DEVIATION",$C$1=1),$A486,$A486+1),COLUMN('1-DATA'!AV484)),IF($B486="STD. DEVIATION",2,$F$1))))</f>
        <v/>
      </c>
      <c r="AX486" s="1" t="str">
        <f>IF(OR($B486="",AX$7=""),"",IF($B486="MEANS",INDEX('1-DATA'!$1:$1048576,$A485-1,COLUMN('1-DATA'!AW484)),ROUND(INDEX('1-DATA'!$1:$1048576,IF(OR($B486="STD. DEVIATION",$C$1=1),$A486,$A486+1),COLUMN('1-DATA'!AW484)),IF($B486="STD. DEVIATION",2,$F$1))))</f>
        <v/>
      </c>
      <c r="AY486" s="1" t="str">
        <f>IF(OR($B486="",AY$7=""),"",IF($B486="MEANS",INDEX('1-DATA'!$1:$1048576,$A485-1,COLUMN('1-DATA'!AX484)),ROUND(INDEX('1-DATA'!$1:$1048576,IF(OR($B486="STD. DEVIATION",$C$1=1),$A486,$A486+1),COLUMN('1-DATA'!AX484)),IF($B486="STD. DEVIATION",2,$F$1))))</f>
        <v/>
      </c>
      <c r="AZ486" s="1" t="str">
        <f>IF(OR($B486="",AZ$7=""),"",IF($B486="MEANS",INDEX('1-DATA'!$1:$1048576,$A485-1,COLUMN('1-DATA'!AY484)),ROUND(INDEX('1-DATA'!$1:$1048576,IF(OR($B486="STD. DEVIATION",$C$1=1),$A486,$A486+1),COLUMN('1-DATA'!AY484)),IF($B486="STD. DEVIATION",2,$F$1))))</f>
        <v/>
      </c>
    </row>
    <row r="487" spans="1:52" x14ac:dyDescent="0.25">
      <c r="A487" s="11">
        <f t="shared" si="8"/>
        <v>1447</v>
      </c>
      <c r="B487" s="1" t="str">
        <f>IF(B486="STD. DEVIATION",INDEX('1-DATA'!$1:$1048576,$A486-1,1),IF(INDEX('1-DATA'!$1:$1048576,$A487,1)&lt;&gt;"",INDEX('1-DATA'!$1:$1048576,$A487,1),""))</f>
        <v/>
      </c>
      <c r="C487" s="1" t="str">
        <f>IF(OR($B487="",C$7=""),"",IF($B487="MEANS",INDEX('1-DATA'!$1:$1048576,$A486-1,COLUMN('1-DATA'!B485)),ROUND(INDEX('1-DATA'!$1:$1048576,IF(OR($B487="STD. DEVIATION",$C$1=1),$A487,$A487+1),COLUMN('1-DATA'!B485)),IF($B487="STD. DEVIATION",2,$F$1))))</f>
        <v/>
      </c>
      <c r="D487" s="1" t="str">
        <f>IF(OR($B487="",D$7=""),"",IF($B487="MEANS",INDEX('1-DATA'!$1:$1048576,$A486-1,COLUMN('1-DATA'!C485)),ROUND(INDEX('1-DATA'!$1:$1048576,IF(OR($B487="STD. DEVIATION",$C$1=1),$A487,$A487+1),COLUMN('1-DATA'!C485)),IF($B487="STD. DEVIATION",2,$F$1))))</f>
        <v/>
      </c>
      <c r="E487" s="1" t="str">
        <f>IF(OR($B487="",E$7=""),"",IF($B487="MEANS",INDEX('1-DATA'!$1:$1048576,$A486-1,COLUMN('1-DATA'!D485)),ROUND(INDEX('1-DATA'!$1:$1048576,IF(OR($B487="STD. DEVIATION",$C$1=1),$A487,$A487+1),COLUMN('1-DATA'!D485)),IF($B487="STD. DEVIATION",2,$F$1))))</f>
        <v/>
      </c>
      <c r="F487" s="1" t="str">
        <f>IF(OR($B487="",F$7=""),"",IF($B487="MEANS",INDEX('1-DATA'!$1:$1048576,$A486-1,COLUMN('1-DATA'!E485)),ROUND(INDEX('1-DATA'!$1:$1048576,IF(OR($B487="STD. DEVIATION",$C$1=1),$A487,$A487+1),COLUMN('1-DATA'!E485)),IF($B487="STD. DEVIATION",2,$F$1))))</f>
        <v/>
      </c>
      <c r="G487" s="1" t="str">
        <f>IF(OR($B487="",G$7=""),"",IF($B487="MEANS",INDEX('1-DATA'!$1:$1048576,$A486-1,COLUMN('1-DATA'!F485)),ROUND(INDEX('1-DATA'!$1:$1048576,IF(OR($B487="STD. DEVIATION",$C$1=1),$A487,$A487+1),COLUMN('1-DATA'!F485)),IF($B487="STD. DEVIATION",2,$F$1))))</f>
        <v/>
      </c>
      <c r="H487" s="1" t="str">
        <f>IF(OR($B487="",H$7=""),"",IF($B487="MEANS",INDEX('1-DATA'!$1:$1048576,$A486-1,COLUMN('1-DATA'!G485)),ROUND(INDEX('1-DATA'!$1:$1048576,IF(OR($B487="STD. DEVIATION",$C$1=1),$A487,$A487+1),COLUMN('1-DATA'!G485)),IF($B487="STD. DEVIATION",2,$F$1))))</f>
        <v/>
      </c>
      <c r="I487" s="1" t="str">
        <f>IF(OR($B487="",I$7=""),"",IF($B487="MEANS",INDEX('1-DATA'!$1:$1048576,$A486-1,COLUMN('1-DATA'!H485)),ROUND(INDEX('1-DATA'!$1:$1048576,IF(OR($B487="STD. DEVIATION",$C$1=1),$A487,$A487+1),COLUMN('1-DATA'!H485)),IF($B487="STD. DEVIATION",2,$F$1))))</f>
        <v/>
      </c>
      <c r="J487" s="1" t="str">
        <f>IF(OR($B487="",J$7=""),"",IF($B487="MEANS",INDEX('1-DATA'!$1:$1048576,$A486-1,COLUMN('1-DATA'!I485)),ROUND(INDEX('1-DATA'!$1:$1048576,IF(OR($B487="STD. DEVIATION",$C$1=1),$A487,$A487+1),COLUMN('1-DATA'!I485)),IF($B487="STD. DEVIATION",2,$F$1))))</f>
        <v/>
      </c>
      <c r="K487" s="1" t="str">
        <f>IF(OR($B487="",K$7=""),"",IF($B487="MEANS",INDEX('1-DATA'!$1:$1048576,$A486-1,COLUMN('1-DATA'!J485)),ROUND(INDEX('1-DATA'!$1:$1048576,IF(OR($B487="STD. DEVIATION",$C$1=1),$A487,$A487+1),COLUMN('1-DATA'!J485)),IF($B487="STD. DEVIATION",2,$F$1))))</f>
        <v/>
      </c>
      <c r="L487" s="1" t="str">
        <f>IF(OR($B487="",L$7=""),"",IF($B487="MEANS",INDEX('1-DATA'!$1:$1048576,$A486-1,COLUMN('1-DATA'!K485)),ROUND(INDEX('1-DATA'!$1:$1048576,IF(OR($B487="STD. DEVIATION",$C$1=1),$A487,$A487+1),COLUMN('1-DATA'!K485)),IF($B487="STD. DEVIATION",2,$F$1))))</f>
        <v/>
      </c>
      <c r="M487" s="1" t="str">
        <f>IF(OR($B487="",M$7=""),"",IF($B487="MEANS",INDEX('1-DATA'!$1:$1048576,$A486-1,COLUMN('1-DATA'!L485)),ROUND(INDEX('1-DATA'!$1:$1048576,IF(OR($B487="STD. DEVIATION",$C$1=1),$A487,$A487+1),COLUMN('1-DATA'!L485)),IF($B487="STD. DEVIATION",2,$F$1))))</f>
        <v/>
      </c>
      <c r="N487" s="1" t="str">
        <f>IF(OR($B487="",N$7=""),"",IF($B487="MEANS",INDEX('1-DATA'!$1:$1048576,$A486-1,COLUMN('1-DATA'!M485)),ROUND(INDEX('1-DATA'!$1:$1048576,IF(OR($B487="STD. DEVIATION",$C$1=1),$A487,$A487+1),COLUMN('1-DATA'!M485)),IF($B487="STD. DEVIATION",2,$F$1))))</f>
        <v/>
      </c>
      <c r="O487" s="1" t="str">
        <f>IF(OR($B487="",O$7=""),"",IF($B487="MEANS",INDEX('1-DATA'!$1:$1048576,$A486-1,COLUMN('1-DATA'!N485)),ROUND(INDEX('1-DATA'!$1:$1048576,IF(OR($B487="STD. DEVIATION",$C$1=1),$A487,$A487+1),COLUMN('1-DATA'!N485)),IF($B487="STD. DEVIATION",2,$F$1))))</f>
        <v/>
      </c>
      <c r="P487" s="1" t="str">
        <f>IF(OR($B487="",P$7=""),"",IF($B487="MEANS",INDEX('1-DATA'!$1:$1048576,$A486-1,COLUMN('1-DATA'!O485)),ROUND(INDEX('1-DATA'!$1:$1048576,IF(OR($B487="STD. DEVIATION",$C$1=1),$A487,$A487+1),COLUMN('1-DATA'!O485)),IF($B487="STD. DEVIATION",2,$F$1))))</f>
        <v/>
      </c>
      <c r="Q487" s="1" t="str">
        <f>IF(OR($B487="",Q$7=""),"",IF($B487="MEANS",INDEX('1-DATA'!$1:$1048576,$A486-1,COLUMN('1-DATA'!P485)),ROUND(INDEX('1-DATA'!$1:$1048576,IF(OR($B487="STD. DEVIATION",$C$1=1),$A487,$A487+1),COLUMN('1-DATA'!P485)),IF($B487="STD. DEVIATION",2,$F$1))))</f>
        <v/>
      </c>
      <c r="R487" s="1" t="str">
        <f>IF(OR($B487="",R$7=""),"",IF($B487="MEANS",INDEX('1-DATA'!$1:$1048576,$A486-1,COLUMN('1-DATA'!Q485)),ROUND(INDEX('1-DATA'!$1:$1048576,IF(OR($B487="STD. DEVIATION",$C$1=1),$A487,$A487+1),COLUMN('1-DATA'!Q485)),IF($B487="STD. DEVIATION",2,$F$1))))</f>
        <v/>
      </c>
      <c r="S487" s="1" t="str">
        <f>IF(OR($B487="",S$7=""),"",IF($B487="MEANS",INDEX('1-DATA'!$1:$1048576,$A486-1,COLUMN('1-DATA'!R485)),ROUND(INDEX('1-DATA'!$1:$1048576,IF(OR($B487="STD. DEVIATION",$C$1=1),$A487,$A487+1),COLUMN('1-DATA'!R485)),IF($B487="STD. DEVIATION",2,$F$1))))</f>
        <v/>
      </c>
      <c r="T487" s="1" t="str">
        <f>IF(OR($B487="",T$7=""),"",IF($B487="MEANS",INDEX('1-DATA'!$1:$1048576,$A486-1,COLUMN('1-DATA'!S485)),ROUND(INDEX('1-DATA'!$1:$1048576,IF(OR($B487="STD. DEVIATION",$C$1=1),$A487,$A487+1),COLUMN('1-DATA'!S485)),IF($B487="STD. DEVIATION",2,$F$1))))</f>
        <v/>
      </c>
      <c r="U487" s="1" t="str">
        <f>IF(OR($B487="",U$7=""),"",IF($B487="MEANS",INDEX('1-DATA'!$1:$1048576,$A486-1,COLUMN('1-DATA'!T485)),ROUND(INDEX('1-DATA'!$1:$1048576,IF(OR($B487="STD. DEVIATION",$C$1=1),$A487,$A487+1),COLUMN('1-DATA'!T485)),IF($B487="STD. DEVIATION",2,$F$1))))</f>
        <v/>
      </c>
      <c r="V487" s="1" t="str">
        <f>IF(OR($B487="",V$7=""),"",IF($B487="MEANS",INDEX('1-DATA'!$1:$1048576,$A486-1,COLUMN('1-DATA'!U485)),ROUND(INDEX('1-DATA'!$1:$1048576,IF(OR($B487="STD. DEVIATION",$C$1=1),$A487,$A487+1),COLUMN('1-DATA'!U485)),IF($B487="STD. DEVIATION",2,$F$1))))</f>
        <v/>
      </c>
      <c r="W487" s="1" t="str">
        <f>IF(OR($B487="",W$7=""),"",IF($B487="MEANS",INDEX('1-DATA'!$1:$1048576,$A486-1,COLUMN('1-DATA'!V485)),ROUND(INDEX('1-DATA'!$1:$1048576,IF(OR($B487="STD. DEVIATION",$C$1=1),$A487,$A487+1),COLUMN('1-DATA'!V485)),IF($B487="STD. DEVIATION",2,$F$1))))</f>
        <v/>
      </c>
      <c r="X487" s="1" t="str">
        <f>IF(OR($B487="",X$7=""),"",IF($B487="MEANS",INDEX('1-DATA'!$1:$1048576,$A486-1,COLUMN('1-DATA'!W485)),ROUND(INDEX('1-DATA'!$1:$1048576,IF(OR($B487="STD. DEVIATION",$C$1=1),$A487,$A487+1),COLUMN('1-DATA'!W485)),IF($B487="STD. DEVIATION",2,$F$1))))</f>
        <v/>
      </c>
      <c r="Y487" s="1" t="str">
        <f>IF(OR($B487="",Y$7=""),"",IF($B487="MEANS",INDEX('1-DATA'!$1:$1048576,$A486-1,COLUMN('1-DATA'!X485)),ROUND(INDEX('1-DATA'!$1:$1048576,IF(OR($B487="STD. DEVIATION",$C$1=1),$A487,$A487+1),COLUMN('1-DATA'!X485)),IF($B487="STD. DEVIATION",2,$F$1))))</f>
        <v/>
      </c>
      <c r="Z487" s="1" t="str">
        <f>IF(OR($B487="",Z$7=""),"",IF($B487="MEANS",INDEX('1-DATA'!$1:$1048576,$A486-1,COLUMN('1-DATA'!Y485)),ROUND(INDEX('1-DATA'!$1:$1048576,IF(OR($B487="STD. DEVIATION",$C$1=1),$A487,$A487+1),COLUMN('1-DATA'!Y485)),IF($B487="STD. DEVIATION",2,$F$1))))</f>
        <v/>
      </c>
      <c r="AA487" s="1" t="str">
        <f>IF(OR($B487="",AA$7=""),"",IF($B487="MEANS",INDEX('1-DATA'!$1:$1048576,$A486-1,COLUMN('1-DATA'!Z485)),ROUND(INDEX('1-DATA'!$1:$1048576,IF(OR($B487="STD. DEVIATION",$C$1=1),$A487,$A487+1),COLUMN('1-DATA'!Z485)),IF($B487="STD. DEVIATION",2,$F$1))))</f>
        <v/>
      </c>
      <c r="AB487" s="1" t="str">
        <f>IF(OR($B487="",AB$7=""),"",IF($B487="MEANS",INDEX('1-DATA'!$1:$1048576,$A486-1,COLUMN('1-DATA'!AA485)),ROUND(INDEX('1-DATA'!$1:$1048576,IF(OR($B487="STD. DEVIATION",$C$1=1),$A487,$A487+1),COLUMN('1-DATA'!AA485)),IF($B487="STD. DEVIATION",2,$F$1))))</f>
        <v/>
      </c>
      <c r="AC487" s="1" t="str">
        <f>IF(OR($B487="",AC$7=""),"",IF($B487="MEANS",INDEX('1-DATA'!$1:$1048576,$A486-1,COLUMN('1-DATA'!AB485)),ROUND(INDEX('1-DATA'!$1:$1048576,IF(OR($B487="STD. DEVIATION",$C$1=1),$A487,$A487+1),COLUMN('1-DATA'!AB485)),IF($B487="STD. DEVIATION",2,$F$1))))</f>
        <v/>
      </c>
      <c r="AD487" s="1" t="str">
        <f>IF(OR($B487="",AD$7=""),"",IF($B487="MEANS",INDEX('1-DATA'!$1:$1048576,$A486-1,COLUMN('1-DATA'!AC485)),ROUND(INDEX('1-DATA'!$1:$1048576,IF(OR($B487="STD. DEVIATION",$C$1=1),$A487,$A487+1),COLUMN('1-DATA'!AC485)),IF($B487="STD. DEVIATION",2,$F$1))))</f>
        <v/>
      </c>
      <c r="AE487" s="1" t="str">
        <f>IF(OR($B487="",AE$7=""),"",IF($B487="MEANS",INDEX('1-DATA'!$1:$1048576,$A486-1,COLUMN('1-DATA'!AD485)),ROUND(INDEX('1-DATA'!$1:$1048576,IF(OR($B487="STD. DEVIATION",$C$1=1),$A487,$A487+1),COLUMN('1-DATA'!AD485)),IF($B487="STD. DEVIATION",2,$F$1))))</f>
        <v/>
      </c>
      <c r="AF487" s="1" t="str">
        <f>IF(OR($B487="",AF$7=""),"",IF($B487="MEANS",INDEX('1-DATA'!$1:$1048576,$A486-1,COLUMN('1-DATA'!AE485)),ROUND(INDEX('1-DATA'!$1:$1048576,IF(OR($B487="STD. DEVIATION",$C$1=1),$A487,$A487+1),COLUMN('1-DATA'!AE485)),IF($B487="STD. DEVIATION",2,$F$1))))</f>
        <v/>
      </c>
      <c r="AG487" s="1" t="str">
        <f>IF(OR($B487="",AG$7=""),"",IF($B487="MEANS",INDEX('1-DATA'!$1:$1048576,$A486-1,COLUMN('1-DATA'!AF485)),ROUND(INDEX('1-DATA'!$1:$1048576,IF(OR($B487="STD. DEVIATION",$C$1=1),$A487,$A487+1),COLUMN('1-DATA'!AF485)),IF($B487="STD. DEVIATION",2,$F$1))))</f>
        <v/>
      </c>
      <c r="AH487" s="1" t="str">
        <f>IF(OR($B487="",AH$7=""),"",IF($B487="MEANS",INDEX('1-DATA'!$1:$1048576,$A486-1,COLUMN('1-DATA'!AG485)),ROUND(INDEX('1-DATA'!$1:$1048576,IF(OR($B487="STD. DEVIATION",$C$1=1),$A487,$A487+1),COLUMN('1-DATA'!AG485)),IF($B487="STD. DEVIATION",2,$F$1))))</f>
        <v/>
      </c>
      <c r="AI487" s="1" t="str">
        <f>IF(OR($B487="",AI$7=""),"",IF($B487="MEANS",INDEX('1-DATA'!$1:$1048576,$A486-1,COLUMN('1-DATA'!AH485)),ROUND(INDEX('1-DATA'!$1:$1048576,IF(OR($B487="STD. DEVIATION",$C$1=1),$A487,$A487+1),COLUMN('1-DATA'!AH485)),IF($B487="STD. DEVIATION",2,$F$1))))</f>
        <v/>
      </c>
      <c r="AJ487" s="1" t="str">
        <f>IF(OR($B487="",AJ$7=""),"",IF($B487="MEANS",INDEX('1-DATA'!$1:$1048576,$A486-1,COLUMN('1-DATA'!AI485)),ROUND(INDEX('1-DATA'!$1:$1048576,IF(OR($B487="STD. DEVIATION",$C$1=1),$A487,$A487+1),COLUMN('1-DATA'!AI485)),IF($B487="STD. DEVIATION",2,$F$1))))</f>
        <v/>
      </c>
      <c r="AK487" s="1" t="str">
        <f>IF(OR($B487="",AK$7=""),"",IF($B487="MEANS",INDEX('1-DATA'!$1:$1048576,$A486-1,COLUMN('1-DATA'!AJ485)),ROUND(INDEX('1-DATA'!$1:$1048576,IF(OR($B487="STD. DEVIATION",$C$1=1),$A487,$A487+1),COLUMN('1-DATA'!AJ485)),IF($B487="STD. DEVIATION",2,$F$1))))</f>
        <v/>
      </c>
      <c r="AL487" s="1" t="str">
        <f>IF(OR($B487="",AL$7=""),"",IF($B487="MEANS",INDEX('1-DATA'!$1:$1048576,$A486-1,COLUMN('1-DATA'!AK485)),ROUND(INDEX('1-DATA'!$1:$1048576,IF(OR($B487="STD. DEVIATION",$C$1=1),$A487,$A487+1),COLUMN('1-DATA'!AK485)),IF($B487="STD. DEVIATION",2,$F$1))))</f>
        <v/>
      </c>
      <c r="AM487" s="1" t="str">
        <f>IF(OR($B487="",AM$7=""),"",IF($B487="MEANS",INDEX('1-DATA'!$1:$1048576,$A486-1,COLUMN('1-DATA'!AL485)),ROUND(INDEX('1-DATA'!$1:$1048576,IF(OR($B487="STD. DEVIATION",$C$1=1),$A487,$A487+1),COLUMN('1-DATA'!AL485)),IF($B487="STD. DEVIATION",2,$F$1))))</f>
        <v/>
      </c>
      <c r="AN487" s="1" t="str">
        <f>IF(OR($B487="",AN$7=""),"",IF($B487="MEANS",INDEX('1-DATA'!$1:$1048576,$A486-1,COLUMN('1-DATA'!AM485)),ROUND(INDEX('1-DATA'!$1:$1048576,IF(OR($B487="STD. DEVIATION",$C$1=1),$A487,$A487+1),COLUMN('1-DATA'!AM485)),IF($B487="STD. DEVIATION",2,$F$1))))</f>
        <v/>
      </c>
      <c r="AO487" s="1" t="str">
        <f>IF(OR($B487="",AO$7=""),"",IF($B487="MEANS",INDEX('1-DATA'!$1:$1048576,$A486-1,COLUMN('1-DATA'!AN485)),ROUND(INDEX('1-DATA'!$1:$1048576,IF(OR($B487="STD. DEVIATION",$C$1=1),$A487,$A487+1),COLUMN('1-DATA'!AN485)),IF($B487="STD. DEVIATION",2,$F$1))))</f>
        <v/>
      </c>
      <c r="AP487" s="1" t="str">
        <f>IF(OR($B487="",AP$7=""),"",IF($B487="MEANS",INDEX('1-DATA'!$1:$1048576,$A486-1,COLUMN('1-DATA'!AO485)),ROUND(INDEX('1-DATA'!$1:$1048576,IF(OR($B487="STD. DEVIATION",$C$1=1),$A487,$A487+1),COLUMN('1-DATA'!AO485)),IF($B487="STD. DEVIATION",2,$F$1))))</f>
        <v/>
      </c>
      <c r="AQ487" s="1" t="str">
        <f>IF(OR($B487="",AQ$7=""),"",IF($B487="MEANS",INDEX('1-DATA'!$1:$1048576,$A486-1,COLUMN('1-DATA'!AP485)),ROUND(INDEX('1-DATA'!$1:$1048576,IF(OR($B487="STD. DEVIATION",$C$1=1),$A487,$A487+1),COLUMN('1-DATA'!AP485)),IF($B487="STD. DEVIATION",2,$F$1))))</f>
        <v/>
      </c>
      <c r="AR487" s="1" t="str">
        <f>IF(OR($B487="",AR$7=""),"",IF($B487="MEANS",INDEX('1-DATA'!$1:$1048576,$A486-1,COLUMN('1-DATA'!AQ485)),ROUND(INDEX('1-DATA'!$1:$1048576,IF(OR($B487="STD. DEVIATION",$C$1=1),$A487,$A487+1),COLUMN('1-DATA'!AQ485)),IF($B487="STD. DEVIATION",2,$F$1))))</f>
        <v/>
      </c>
      <c r="AS487" s="1" t="str">
        <f>IF(OR($B487="",AS$7=""),"",IF($B487="MEANS",INDEX('1-DATA'!$1:$1048576,$A486-1,COLUMN('1-DATA'!AR485)),ROUND(INDEX('1-DATA'!$1:$1048576,IF(OR($B487="STD. DEVIATION",$C$1=1),$A487,$A487+1),COLUMN('1-DATA'!AR485)),IF($B487="STD. DEVIATION",2,$F$1))))</f>
        <v/>
      </c>
      <c r="AT487" s="1" t="str">
        <f>IF(OR($B487="",AT$7=""),"",IF($B487="MEANS",INDEX('1-DATA'!$1:$1048576,$A486-1,COLUMN('1-DATA'!AS485)),ROUND(INDEX('1-DATA'!$1:$1048576,IF(OR($B487="STD. DEVIATION",$C$1=1),$A487,$A487+1),COLUMN('1-DATA'!AS485)),IF($B487="STD. DEVIATION",2,$F$1))))</f>
        <v/>
      </c>
      <c r="AU487" s="1" t="str">
        <f>IF(OR($B487="",AU$7=""),"",IF($B487="MEANS",INDEX('1-DATA'!$1:$1048576,$A486-1,COLUMN('1-DATA'!AT485)),ROUND(INDEX('1-DATA'!$1:$1048576,IF(OR($B487="STD. DEVIATION",$C$1=1),$A487,$A487+1),COLUMN('1-DATA'!AT485)),IF($B487="STD. DEVIATION",2,$F$1))))</f>
        <v/>
      </c>
      <c r="AV487" s="1" t="str">
        <f>IF(OR($B487="",AV$7=""),"",IF($B487="MEANS",INDEX('1-DATA'!$1:$1048576,$A486-1,COLUMN('1-DATA'!AU485)),ROUND(INDEX('1-DATA'!$1:$1048576,IF(OR($B487="STD. DEVIATION",$C$1=1),$A487,$A487+1),COLUMN('1-DATA'!AU485)),IF($B487="STD. DEVIATION",2,$F$1))))</f>
        <v/>
      </c>
      <c r="AW487" s="1" t="str">
        <f>IF(OR($B487="",AW$7=""),"",IF($B487="MEANS",INDEX('1-DATA'!$1:$1048576,$A486-1,COLUMN('1-DATA'!AV485)),ROUND(INDEX('1-DATA'!$1:$1048576,IF(OR($B487="STD. DEVIATION",$C$1=1),$A487,$A487+1),COLUMN('1-DATA'!AV485)),IF($B487="STD. DEVIATION",2,$F$1))))</f>
        <v/>
      </c>
      <c r="AX487" s="1" t="str">
        <f>IF(OR($B487="",AX$7=""),"",IF($B487="MEANS",INDEX('1-DATA'!$1:$1048576,$A486-1,COLUMN('1-DATA'!AW485)),ROUND(INDEX('1-DATA'!$1:$1048576,IF(OR($B487="STD. DEVIATION",$C$1=1),$A487,$A487+1),COLUMN('1-DATA'!AW485)),IF($B487="STD. DEVIATION",2,$F$1))))</f>
        <v/>
      </c>
      <c r="AY487" s="1" t="str">
        <f>IF(OR($B487="",AY$7=""),"",IF($B487="MEANS",INDEX('1-DATA'!$1:$1048576,$A486-1,COLUMN('1-DATA'!AX485)),ROUND(INDEX('1-DATA'!$1:$1048576,IF(OR($B487="STD. DEVIATION",$C$1=1),$A487,$A487+1),COLUMN('1-DATA'!AX485)),IF($B487="STD. DEVIATION",2,$F$1))))</f>
        <v/>
      </c>
      <c r="AZ487" s="1" t="str">
        <f>IF(OR($B487="",AZ$7=""),"",IF($B487="MEANS",INDEX('1-DATA'!$1:$1048576,$A486-1,COLUMN('1-DATA'!AY485)),ROUND(INDEX('1-DATA'!$1:$1048576,IF(OR($B487="STD. DEVIATION",$C$1=1),$A487,$A487+1),COLUMN('1-DATA'!AY485)),IF($B487="STD. DEVIATION",2,$F$1))))</f>
        <v/>
      </c>
    </row>
    <row r="488" spans="1:52" x14ac:dyDescent="0.25">
      <c r="A488" s="11">
        <f t="shared" si="8"/>
        <v>1450</v>
      </c>
      <c r="B488" s="1" t="str">
        <f>IF(B487="STD. DEVIATION",INDEX('1-DATA'!$1:$1048576,$A487-1,1),IF(INDEX('1-DATA'!$1:$1048576,$A488,1)&lt;&gt;"",INDEX('1-DATA'!$1:$1048576,$A488,1),""))</f>
        <v/>
      </c>
      <c r="C488" s="1" t="str">
        <f>IF(OR($B488="",C$7=""),"",IF($B488="MEANS",INDEX('1-DATA'!$1:$1048576,$A487-1,COLUMN('1-DATA'!B486)),ROUND(INDEX('1-DATA'!$1:$1048576,IF(OR($B488="STD. DEVIATION",$C$1=1),$A488,$A488+1),COLUMN('1-DATA'!B486)),IF($B488="STD. DEVIATION",2,$F$1))))</f>
        <v/>
      </c>
      <c r="D488" s="1" t="str">
        <f>IF(OR($B488="",D$7=""),"",IF($B488="MEANS",INDEX('1-DATA'!$1:$1048576,$A487-1,COLUMN('1-DATA'!C486)),ROUND(INDEX('1-DATA'!$1:$1048576,IF(OR($B488="STD. DEVIATION",$C$1=1),$A488,$A488+1),COLUMN('1-DATA'!C486)),IF($B488="STD. DEVIATION",2,$F$1))))</f>
        <v/>
      </c>
      <c r="E488" s="1" t="str">
        <f>IF(OR($B488="",E$7=""),"",IF($B488="MEANS",INDEX('1-DATA'!$1:$1048576,$A487-1,COLUMN('1-DATA'!D486)),ROUND(INDEX('1-DATA'!$1:$1048576,IF(OR($B488="STD. DEVIATION",$C$1=1),$A488,$A488+1),COLUMN('1-DATA'!D486)),IF($B488="STD. DEVIATION",2,$F$1))))</f>
        <v/>
      </c>
      <c r="F488" s="1" t="str">
        <f>IF(OR($B488="",F$7=""),"",IF($B488="MEANS",INDEX('1-DATA'!$1:$1048576,$A487-1,COLUMN('1-DATA'!E486)),ROUND(INDEX('1-DATA'!$1:$1048576,IF(OR($B488="STD. DEVIATION",$C$1=1),$A488,$A488+1),COLUMN('1-DATA'!E486)),IF($B488="STD. DEVIATION",2,$F$1))))</f>
        <v/>
      </c>
      <c r="G488" s="1" t="str">
        <f>IF(OR($B488="",G$7=""),"",IF($B488="MEANS",INDEX('1-DATA'!$1:$1048576,$A487-1,COLUMN('1-DATA'!F486)),ROUND(INDEX('1-DATA'!$1:$1048576,IF(OR($B488="STD. DEVIATION",$C$1=1),$A488,$A488+1),COLUMN('1-DATA'!F486)),IF($B488="STD. DEVIATION",2,$F$1))))</f>
        <v/>
      </c>
      <c r="H488" s="1" t="str">
        <f>IF(OR($B488="",H$7=""),"",IF($B488="MEANS",INDEX('1-DATA'!$1:$1048576,$A487-1,COLUMN('1-DATA'!G486)),ROUND(INDEX('1-DATA'!$1:$1048576,IF(OR($B488="STD. DEVIATION",$C$1=1),$A488,$A488+1),COLUMN('1-DATA'!G486)),IF($B488="STD. DEVIATION",2,$F$1))))</f>
        <v/>
      </c>
      <c r="I488" s="1" t="str">
        <f>IF(OR($B488="",I$7=""),"",IF($B488="MEANS",INDEX('1-DATA'!$1:$1048576,$A487-1,COLUMN('1-DATA'!H486)),ROUND(INDEX('1-DATA'!$1:$1048576,IF(OR($B488="STD. DEVIATION",$C$1=1),$A488,$A488+1),COLUMN('1-DATA'!H486)),IF($B488="STD. DEVIATION",2,$F$1))))</f>
        <v/>
      </c>
      <c r="J488" s="1" t="str">
        <f>IF(OR($B488="",J$7=""),"",IF($B488="MEANS",INDEX('1-DATA'!$1:$1048576,$A487-1,COLUMN('1-DATA'!I486)),ROUND(INDEX('1-DATA'!$1:$1048576,IF(OR($B488="STD. DEVIATION",$C$1=1),$A488,$A488+1),COLUMN('1-DATA'!I486)),IF($B488="STD. DEVIATION",2,$F$1))))</f>
        <v/>
      </c>
      <c r="K488" s="1" t="str">
        <f>IF(OR($B488="",K$7=""),"",IF($B488="MEANS",INDEX('1-DATA'!$1:$1048576,$A487-1,COLUMN('1-DATA'!J486)),ROUND(INDEX('1-DATA'!$1:$1048576,IF(OR($B488="STD. DEVIATION",$C$1=1),$A488,$A488+1),COLUMN('1-DATA'!J486)),IF($B488="STD. DEVIATION",2,$F$1))))</f>
        <v/>
      </c>
      <c r="L488" s="1" t="str">
        <f>IF(OR($B488="",L$7=""),"",IF($B488="MEANS",INDEX('1-DATA'!$1:$1048576,$A487-1,COLUMN('1-DATA'!K486)),ROUND(INDEX('1-DATA'!$1:$1048576,IF(OR($B488="STD. DEVIATION",$C$1=1),$A488,$A488+1),COLUMN('1-DATA'!K486)),IF($B488="STD. DEVIATION",2,$F$1))))</f>
        <v/>
      </c>
      <c r="M488" s="1" t="str">
        <f>IF(OR($B488="",M$7=""),"",IF($B488="MEANS",INDEX('1-DATA'!$1:$1048576,$A487-1,COLUMN('1-DATA'!L486)),ROUND(INDEX('1-DATA'!$1:$1048576,IF(OR($B488="STD. DEVIATION",$C$1=1),$A488,$A488+1),COLUMN('1-DATA'!L486)),IF($B488="STD. DEVIATION",2,$F$1))))</f>
        <v/>
      </c>
      <c r="N488" s="1" t="str">
        <f>IF(OR($B488="",N$7=""),"",IF($B488="MEANS",INDEX('1-DATA'!$1:$1048576,$A487-1,COLUMN('1-DATA'!M486)),ROUND(INDEX('1-DATA'!$1:$1048576,IF(OR($B488="STD. DEVIATION",$C$1=1),$A488,$A488+1),COLUMN('1-DATA'!M486)),IF($B488="STD. DEVIATION",2,$F$1))))</f>
        <v/>
      </c>
      <c r="O488" s="1" t="str">
        <f>IF(OR($B488="",O$7=""),"",IF($B488="MEANS",INDEX('1-DATA'!$1:$1048576,$A487-1,COLUMN('1-DATA'!N486)),ROUND(INDEX('1-DATA'!$1:$1048576,IF(OR($B488="STD. DEVIATION",$C$1=1),$A488,$A488+1),COLUMN('1-DATA'!N486)),IF($B488="STD. DEVIATION",2,$F$1))))</f>
        <v/>
      </c>
      <c r="P488" s="1" t="str">
        <f>IF(OR($B488="",P$7=""),"",IF($B488="MEANS",INDEX('1-DATA'!$1:$1048576,$A487-1,COLUMN('1-DATA'!O486)),ROUND(INDEX('1-DATA'!$1:$1048576,IF(OR($B488="STD. DEVIATION",$C$1=1),$A488,$A488+1),COLUMN('1-DATA'!O486)),IF($B488="STD. DEVIATION",2,$F$1))))</f>
        <v/>
      </c>
      <c r="Q488" s="1" t="str">
        <f>IF(OR($B488="",Q$7=""),"",IF($B488="MEANS",INDEX('1-DATA'!$1:$1048576,$A487-1,COLUMN('1-DATA'!P486)),ROUND(INDEX('1-DATA'!$1:$1048576,IF(OR($B488="STD. DEVIATION",$C$1=1),$A488,$A488+1),COLUMN('1-DATA'!P486)),IF($B488="STD. DEVIATION",2,$F$1))))</f>
        <v/>
      </c>
      <c r="R488" s="1" t="str">
        <f>IF(OR($B488="",R$7=""),"",IF($B488="MEANS",INDEX('1-DATA'!$1:$1048576,$A487-1,COLUMN('1-DATA'!Q486)),ROUND(INDEX('1-DATA'!$1:$1048576,IF(OR($B488="STD. DEVIATION",$C$1=1),$A488,$A488+1),COLUMN('1-DATA'!Q486)),IF($B488="STD. DEVIATION",2,$F$1))))</f>
        <v/>
      </c>
      <c r="S488" s="1" t="str">
        <f>IF(OR($B488="",S$7=""),"",IF($B488="MEANS",INDEX('1-DATA'!$1:$1048576,$A487-1,COLUMN('1-DATA'!R486)),ROUND(INDEX('1-DATA'!$1:$1048576,IF(OR($B488="STD. DEVIATION",$C$1=1),$A488,$A488+1),COLUMN('1-DATA'!R486)),IF($B488="STD. DEVIATION",2,$F$1))))</f>
        <v/>
      </c>
      <c r="T488" s="1" t="str">
        <f>IF(OR($B488="",T$7=""),"",IF($B488="MEANS",INDEX('1-DATA'!$1:$1048576,$A487-1,COLUMN('1-DATA'!S486)),ROUND(INDEX('1-DATA'!$1:$1048576,IF(OR($B488="STD. DEVIATION",$C$1=1),$A488,$A488+1),COLUMN('1-DATA'!S486)),IF($B488="STD. DEVIATION",2,$F$1))))</f>
        <v/>
      </c>
      <c r="U488" s="1" t="str">
        <f>IF(OR($B488="",U$7=""),"",IF($B488="MEANS",INDEX('1-DATA'!$1:$1048576,$A487-1,COLUMN('1-DATA'!T486)),ROUND(INDEX('1-DATA'!$1:$1048576,IF(OR($B488="STD. DEVIATION",$C$1=1),$A488,$A488+1),COLUMN('1-DATA'!T486)),IF($B488="STD. DEVIATION",2,$F$1))))</f>
        <v/>
      </c>
      <c r="V488" s="1" t="str">
        <f>IF(OR($B488="",V$7=""),"",IF($B488="MEANS",INDEX('1-DATA'!$1:$1048576,$A487-1,COLUMN('1-DATA'!U486)),ROUND(INDEX('1-DATA'!$1:$1048576,IF(OR($B488="STD. DEVIATION",$C$1=1),$A488,$A488+1),COLUMN('1-DATA'!U486)),IF($B488="STD. DEVIATION",2,$F$1))))</f>
        <v/>
      </c>
      <c r="W488" s="1" t="str">
        <f>IF(OR($B488="",W$7=""),"",IF($B488="MEANS",INDEX('1-DATA'!$1:$1048576,$A487-1,COLUMN('1-DATA'!V486)),ROUND(INDEX('1-DATA'!$1:$1048576,IF(OR($B488="STD. DEVIATION",$C$1=1),$A488,$A488+1),COLUMN('1-DATA'!V486)),IF($B488="STD. DEVIATION",2,$F$1))))</f>
        <v/>
      </c>
      <c r="X488" s="1" t="str">
        <f>IF(OR($B488="",X$7=""),"",IF($B488="MEANS",INDEX('1-DATA'!$1:$1048576,$A487-1,COLUMN('1-DATA'!W486)),ROUND(INDEX('1-DATA'!$1:$1048576,IF(OR($B488="STD. DEVIATION",$C$1=1),$A488,$A488+1),COLUMN('1-DATA'!W486)),IF($B488="STD. DEVIATION",2,$F$1))))</f>
        <v/>
      </c>
      <c r="Y488" s="1" t="str">
        <f>IF(OR($B488="",Y$7=""),"",IF($B488="MEANS",INDEX('1-DATA'!$1:$1048576,$A487-1,COLUMN('1-DATA'!X486)),ROUND(INDEX('1-DATA'!$1:$1048576,IF(OR($B488="STD. DEVIATION",$C$1=1),$A488,$A488+1),COLUMN('1-DATA'!X486)),IF($B488="STD. DEVIATION",2,$F$1))))</f>
        <v/>
      </c>
      <c r="Z488" s="1" t="str">
        <f>IF(OR($B488="",Z$7=""),"",IF($B488="MEANS",INDEX('1-DATA'!$1:$1048576,$A487-1,COLUMN('1-DATA'!Y486)),ROUND(INDEX('1-DATA'!$1:$1048576,IF(OR($B488="STD. DEVIATION",$C$1=1),$A488,$A488+1),COLUMN('1-DATA'!Y486)),IF($B488="STD. DEVIATION",2,$F$1))))</f>
        <v/>
      </c>
      <c r="AA488" s="1" t="str">
        <f>IF(OR($B488="",AA$7=""),"",IF($B488="MEANS",INDEX('1-DATA'!$1:$1048576,$A487-1,COLUMN('1-DATA'!Z486)),ROUND(INDEX('1-DATA'!$1:$1048576,IF(OR($B488="STD. DEVIATION",$C$1=1),$A488,$A488+1),COLUMN('1-DATA'!Z486)),IF($B488="STD. DEVIATION",2,$F$1))))</f>
        <v/>
      </c>
      <c r="AB488" s="1" t="str">
        <f>IF(OR($B488="",AB$7=""),"",IF($B488="MEANS",INDEX('1-DATA'!$1:$1048576,$A487-1,COLUMN('1-DATA'!AA486)),ROUND(INDEX('1-DATA'!$1:$1048576,IF(OR($B488="STD. DEVIATION",$C$1=1),$A488,$A488+1),COLUMN('1-DATA'!AA486)),IF($B488="STD. DEVIATION",2,$F$1))))</f>
        <v/>
      </c>
      <c r="AC488" s="1" t="str">
        <f>IF(OR($B488="",AC$7=""),"",IF($B488="MEANS",INDEX('1-DATA'!$1:$1048576,$A487-1,COLUMN('1-DATA'!AB486)),ROUND(INDEX('1-DATA'!$1:$1048576,IF(OR($B488="STD. DEVIATION",$C$1=1),$A488,$A488+1),COLUMN('1-DATA'!AB486)),IF($B488="STD. DEVIATION",2,$F$1))))</f>
        <v/>
      </c>
      <c r="AD488" s="1" t="str">
        <f>IF(OR($B488="",AD$7=""),"",IF($B488="MEANS",INDEX('1-DATA'!$1:$1048576,$A487-1,COLUMN('1-DATA'!AC486)),ROUND(INDEX('1-DATA'!$1:$1048576,IF(OR($B488="STD. DEVIATION",$C$1=1),$A488,$A488+1),COLUMN('1-DATA'!AC486)),IF($B488="STD. DEVIATION",2,$F$1))))</f>
        <v/>
      </c>
      <c r="AE488" s="1" t="str">
        <f>IF(OR($B488="",AE$7=""),"",IF($B488="MEANS",INDEX('1-DATA'!$1:$1048576,$A487-1,COLUMN('1-DATA'!AD486)),ROUND(INDEX('1-DATA'!$1:$1048576,IF(OR($B488="STD. DEVIATION",$C$1=1),$A488,$A488+1),COLUMN('1-DATA'!AD486)),IF($B488="STD. DEVIATION",2,$F$1))))</f>
        <v/>
      </c>
      <c r="AF488" s="1" t="str">
        <f>IF(OR($B488="",AF$7=""),"",IF($B488="MEANS",INDEX('1-DATA'!$1:$1048576,$A487-1,COLUMN('1-DATA'!AE486)),ROUND(INDEX('1-DATA'!$1:$1048576,IF(OR($B488="STD. DEVIATION",$C$1=1),$A488,$A488+1),COLUMN('1-DATA'!AE486)),IF($B488="STD. DEVIATION",2,$F$1))))</f>
        <v/>
      </c>
      <c r="AG488" s="1" t="str">
        <f>IF(OR($B488="",AG$7=""),"",IF($B488="MEANS",INDEX('1-DATA'!$1:$1048576,$A487-1,COLUMN('1-DATA'!AF486)),ROUND(INDEX('1-DATA'!$1:$1048576,IF(OR($B488="STD. DEVIATION",$C$1=1),$A488,$A488+1),COLUMN('1-DATA'!AF486)),IF($B488="STD. DEVIATION",2,$F$1))))</f>
        <v/>
      </c>
      <c r="AH488" s="1" t="str">
        <f>IF(OR($B488="",AH$7=""),"",IF($B488="MEANS",INDEX('1-DATA'!$1:$1048576,$A487-1,COLUMN('1-DATA'!AG486)),ROUND(INDEX('1-DATA'!$1:$1048576,IF(OR($B488="STD. DEVIATION",$C$1=1),$A488,$A488+1),COLUMN('1-DATA'!AG486)),IF($B488="STD. DEVIATION",2,$F$1))))</f>
        <v/>
      </c>
      <c r="AI488" s="1" t="str">
        <f>IF(OR($B488="",AI$7=""),"",IF($B488="MEANS",INDEX('1-DATA'!$1:$1048576,$A487-1,COLUMN('1-DATA'!AH486)),ROUND(INDEX('1-DATA'!$1:$1048576,IF(OR($B488="STD. DEVIATION",$C$1=1),$A488,$A488+1),COLUMN('1-DATA'!AH486)),IF($B488="STD. DEVIATION",2,$F$1))))</f>
        <v/>
      </c>
      <c r="AJ488" s="1" t="str">
        <f>IF(OR($B488="",AJ$7=""),"",IF($B488="MEANS",INDEX('1-DATA'!$1:$1048576,$A487-1,COLUMN('1-DATA'!AI486)),ROUND(INDEX('1-DATA'!$1:$1048576,IF(OR($B488="STD. DEVIATION",$C$1=1),$A488,$A488+1),COLUMN('1-DATA'!AI486)),IF($B488="STD. DEVIATION",2,$F$1))))</f>
        <v/>
      </c>
      <c r="AK488" s="1" t="str">
        <f>IF(OR($B488="",AK$7=""),"",IF($B488="MEANS",INDEX('1-DATA'!$1:$1048576,$A487-1,COLUMN('1-DATA'!AJ486)),ROUND(INDEX('1-DATA'!$1:$1048576,IF(OR($B488="STD. DEVIATION",$C$1=1),$A488,$A488+1),COLUMN('1-DATA'!AJ486)),IF($B488="STD. DEVIATION",2,$F$1))))</f>
        <v/>
      </c>
      <c r="AL488" s="1" t="str">
        <f>IF(OR($B488="",AL$7=""),"",IF($B488="MEANS",INDEX('1-DATA'!$1:$1048576,$A487-1,COLUMN('1-DATA'!AK486)),ROUND(INDEX('1-DATA'!$1:$1048576,IF(OR($B488="STD. DEVIATION",$C$1=1),$A488,$A488+1),COLUMN('1-DATA'!AK486)),IF($B488="STD. DEVIATION",2,$F$1))))</f>
        <v/>
      </c>
      <c r="AM488" s="1" t="str">
        <f>IF(OR($B488="",AM$7=""),"",IF($B488="MEANS",INDEX('1-DATA'!$1:$1048576,$A487-1,COLUMN('1-DATA'!AL486)),ROUND(INDEX('1-DATA'!$1:$1048576,IF(OR($B488="STD. DEVIATION",$C$1=1),$A488,$A488+1),COLUMN('1-DATA'!AL486)),IF($B488="STD. DEVIATION",2,$F$1))))</f>
        <v/>
      </c>
      <c r="AN488" s="1" t="str">
        <f>IF(OR($B488="",AN$7=""),"",IF($B488="MEANS",INDEX('1-DATA'!$1:$1048576,$A487-1,COLUMN('1-DATA'!AM486)),ROUND(INDEX('1-DATA'!$1:$1048576,IF(OR($B488="STD. DEVIATION",$C$1=1),$A488,$A488+1),COLUMN('1-DATA'!AM486)),IF($B488="STD. DEVIATION",2,$F$1))))</f>
        <v/>
      </c>
      <c r="AO488" s="1" t="str">
        <f>IF(OR($B488="",AO$7=""),"",IF($B488="MEANS",INDEX('1-DATA'!$1:$1048576,$A487-1,COLUMN('1-DATA'!AN486)),ROUND(INDEX('1-DATA'!$1:$1048576,IF(OR($B488="STD. DEVIATION",$C$1=1),$A488,$A488+1),COLUMN('1-DATA'!AN486)),IF($B488="STD. DEVIATION",2,$F$1))))</f>
        <v/>
      </c>
      <c r="AP488" s="1" t="str">
        <f>IF(OR($B488="",AP$7=""),"",IF($B488="MEANS",INDEX('1-DATA'!$1:$1048576,$A487-1,COLUMN('1-DATA'!AO486)),ROUND(INDEX('1-DATA'!$1:$1048576,IF(OR($B488="STD. DEVIATION",$C$1=1),$A488,$A488+1),COLUMN('1-DATA'!AO486)),IF($B488="STD. DEVIATION",2,$F$1))))</f>
        <v/>
      </c>
      <c r="AQ488" s="1" t="str">
        <f>IF(OR($B488="",AQ$7=""),"",IF($B488="MEANS",INDEX('1-DATA'!$1:$1048576,$A487-1,COLUMN('1-DATA'!AP486)),ROUND(INDEX('1-DATA'!$1:$1048576,IF(OR($B488="STD. DEVIATION",$C$1=1),$A488,$A488+1),COLUMN('1-DATA'!AP486)),IF($B488="STD. DEVIATION",2,$F$1))))</f>
        <v/>
      </c>
      <c r="AR488" s="1" t="str">
        <f>IF(OR($B488="",AR$7=""),"",IF($B488="MEANS",INDEX('1-DATA'!$1:$1048576,$A487-1,COLUMN('1-DATA'!AQ486)),ROUND(INDEX('1-DATA'!$1:$1048576,IF(OR($B488="STD. DEVIATION",$C$1=1),$A488,$A488+1),COLUMN('1-DATA'!AQ486)),IF($B488="STD. DEVIATION",2,$F$1))))</f>
        <v/>
      </c>
      <c r="AS488" s="1" t="str">
        <f>IF(OR($B488="",AS$7=""),"",IF($B488="MEANS",INDEX('1-DATA'!$1:$1048576,$A487-1,COLUMN('1-DATA'!AR486)),ROUND(INDEX('1-DATA'!$1:$1048576,IF(OR($B488="STD. DEVIATION",$C$1=1),$A488,$A488+1),COLUMN('1-DATA'!AR486)),IF($B488="STD. DEVIATION",2,$F$1))))</f>
        <v/>
      </c>
      <c r="AT488" s="1" t="str">
        <f>IF(OR($B488="",AT$7=""),"",IF($B488="MEANS",INDEX('1-DATA'!$1:$1048576,$A487-1,COLUMN('1-DATA'!AS486)),ROUND(INDEX('1-DATA'!$1:$1048576,IF(OR($B488="STD. DEVIATION",$C$1=1),$A488,$A488+1),COLUMN('1-DATA'!AS486)),IF($B488="STD. DEVIATION",2,$F$1))))</f>
        <v/>
      </c>
      <c r="AU488" s="1" t="str">
        <f>IF(OR($B488="",AU$7=""),"",IF($B488="MEANS",INDEX('1-DATA'!$1:$1048576,$A487-1,COLUMN('1-DATA'!AT486)),ROUND(INDEX('1-DATA'!$1:$1048576,IF(OR($B488="STD. DEVIATION",$C$1=1),$A488,$A488+1),COLUMN('1-DATA'!AT486)),IF($B488="STD. DEVIATION",2,$F$1))))</f>
        <v/>
      </c>
      <c r="AV488" s="1" t="str">
        <f>IF(OR($B488="",AV$7=""),"",IF($B488="MEANS",INDEX('1-DATA'!$1:$1048576,$A487-1,COLUMN('1-DATA'!AU486)),ROUND(INDEX('1-DATA'!$1:$1048576,IF(OR($B488="STD. DEVIATION",$C$1=1),$A488,$A488+1),COLUMN('1-DATA'!AU486)),IF($B488="STD. DEVIATION",2,$F$1))))</f>
        <v/>
      </c>
      <c r="AW488" s="1" t="str">
        <f>IF(OR($B488="",AW$7=""),"",IF($B488="MEANS",INDEX('1-DATA'!$1:$1048576,$A487-1,COLUMN('1-DATA'!AV486)),ROUND(INDEX('1-DATA'!$1:$1048576,IF(OR($B488="STD. DEVIATION",$C$1=1),$A488,$A488+1),COLUMN('1-DATA'!AV486)),IF($B488="STD. DEVIATION",2,$F$1))))</f>
        <v/>
      </c>
      <c r="AX488" s="1" t="str">
        <f>IF(OR($B488="",AX$7=""),"",IF($B488="MEANS",INDEX('1-DATA'!$1:$1048576,$A487-1,COLUMN('1-DATA'!AW486)),ROUND(INDEX('1-DATA'!$1:$1048576,IF(OR($B488="STD. DEVIATION",$C$1=1),$A488,$A488+1),COLUMN('1-DATA'!AW486)),IF($B488="STD. DEVIATION",2,$F$1))))</f>
        <v/>
      </c>
      <c r="AY488" s="1" t="str">
        <f>IF(OR($B488="",AY$7=""),"",IF($B488="MEANS",INDEX('1-DATA'!$1:$1048576,$A487-1,COLUMN('1-DATA'!AX486)),ROUND(INDEX('1-DATA'!$1:$1048576,IF(OR($B488="STD. DEVIATION",$C$1=1),$A488,$A488+1),COLUMN('1-DATA'!AX486)),IF($B488="STD. DEVIATION",2,$F$1))))</f>
        <v/>
      </c>
      <c r="AZ488" s="1" t="str">
        <f>IF(OR($B488="",AZ$7=""),"",IF($B488="MEANS",INDEX('1-DATA'!$1:$1048576,$A487-1,COLUMN('1-DATA'!AY486)),ROUND(INDEX('1-DATA'!$1:$1048576,IF(OR($B488="STD. DEVIATION",$C$1=1),$A488,$A488+1),COLUMN('1-DATA'!AY486)),IF($B488="STD. DEVIATION",2,$F$1))))</f>
        <v/>
      </c>
    </row>
    <row r="489" spans="1:52" x14ac:dyDescent="0.25">
      <c r="A489" s="11">
        <f t="shared" si="8"/>
        <v>1453</v>
      </c>
      <c r="B489" s="1" t="str">
        <f>IF(B488="STD. DEVIATION",INDEX('1-DATA'!$1:$1048576,$A488-1,1),IF(INDEX('1-DATA'!$1:$1048576,$A489,1)&lt;&gt;"",INDEX('1-DATA'!$1:$1048576,$A489,1),""))</f>
        <v/>
      </c>
      <c r="C489" s="1" t="str">
        <f>IF(OR($B489="",C$7=""),"",IF($B489="MEANS",INDEX('1-DATA'!$1:$1048576,$A488-1,COLUMN('1-DATA'!B487)),ROUND(INDEX('1-DATA'!$1:$1048576,IF(OR($B489="STD. DEVIATION",$C$1=1),$A489,$A489+1),COLUMN('1-DATA'!B487)),IF($B489="STD. DEVIATION",2,$F$1))))</f>
        <v/>
      </c>
      <c r="D489" s="1" t="str">
        <f>IF(OR($B489="",D$7=""),"",IF($B489="MEANS",INDEX('1-DATA'!$1:$1048576,$A488-1,COLUMN('1-DATA'!C487)),ROUND(INDEX('1-DATA'!$1:$1048576,IF(OR($B489="STD. DEVIATION",$C$1=1),$A489,$A489+1),COLUMN('1-DATA'!C487)),IF($B489="STD. DEVIATION",2,$F$1))))</f>
        <v/>
      </c>
      <c r="E489" s="1" t="str">
        <f>IF(OR($B489="",E$7=""),"",IF($B489="MEANS",INDEX('1-DATA'!$1:$1048576,$A488-1,COLUMN('1-DATA'!D487)),ROUND(INDEX('1-DATA'!$1:$1048576,IF(OR($B489="STD. DEVIATION",$C$1=1),$A489,$A489+1),COLUMN('1-DATA'!D487)),IF($B489="STD. DEVIATION",2,$F$1))))</f>
        <v/>
      </c>
      <c r="F489" s="1" t="str">
        <f>IF(OR($B489="",F$7=""),"",IF($B489="MEANS",INDEX('1-DATA'!$1:$1048576,$A488-1,COLUMN('1-DATA'!E487)),ROUND(INDEX('1-DATA'!$1:$1048576,IF(OR($B489="STD. DEVIATION",$C$1=1),$A489,$A489+1),COLUMN('1-DATA'!E487)),IF($B489="STD. DEVIATION",2,$F$1))))</f>
        <v/>
      </c>
      <c r="G489" s="1" t="str">
        <f>IF(OR($B489="",G$7=""),"",IF($B489="MEANS",INDEX('1-DATA'!$1:$1048576,$A488-1,COLUMN('1-DATA'!F487)),ROUND(INDEX('1-DATA'!$1:$1048576,IF(OR($B489="STD. DEVIATION",$C$1=1),$A489,$A489+1),COLUMN('1-DATA'!F487)),IF($B489="STD. DEVIATION",2,$F$1))))</f>
        <v/>
      </c>
      <c r="H489" s="1" t="str">
        <f>IF(OR($B489="",H$7=""),"",IF($B489="MEANS",INDEX('1-DATA'!$1:$1048576,$A488-1,COLUMN('1-DATA'!G487)),ROUND(INDEX('1-DATA'!$1:$1048576,IF(OR($B489="STD. DEVIATION",$C$1=1),$A489,$A489+1),COLUMN('1-DATA'!G487)),IF($B489="STD. DEVIATION",2,$F$1))))</f>
        <v/>
      </c>
      <c r="I489" s="1" t="str">
        <f>IF(OR($B489="",I$7=""),"",IF($B489="MEANS",INDEX('1-DATA'!$1:$1048576,$A488-1,COLUMN('1-DATA'!H487)),ROUND(INDEX('1-DATA'!$1:$1048576,IF(OR($B489="STD. DEVIATION",$C$1=1),$A489,$A489+1),COLUMN('1-DATA'!H487)),IF($B489="STD. DEVIATION",2,$F$1))))</f>
        <v/>
      </c>
      <c r="J489" s="1" t="str">
        <f>IF(OR($B489="",J$7=""),"",IF($B489="MEANS",INDEX('1-DATA'!$1:$1048576,$A488-1,COLUMN('1-DATA'!I487)),ROUND(INDEX('1-DATA'!$1:$1048576,IF(OR($B489="STD. DEVIATION",$C$1=1),$A489,$A489+1),COLUMN('1-DATA'!I487)),IF($B489="STD. DEVIATION",2,$F$1))))</f>
        <v/>
      </c>
      <c r="K489" s="1" t="str">
        <f>IF(OR($B489="",K$7=""),"",IF($B489="MEANS",INDEX('1-DATA'!$1:$1048576,$A488-1,COLUMN('1-DATA'!J487)),ROUND(INDEX('1-DATA'!$1:$1048576,IF(OR($B489="STD. DEVIATION",$C$1=1),$A489,$A489+1),COLUMN('1-DATA'!J487)),IF($B489="STD. DEVIATION",2,$F$1))))</f>
        <v/>
      </c>
      <c r="L489" s="1" t="str">
        <f>IF(OR($B489="",L$7=""),"",IF($B489="MEANS",INDEX('1-DATA'!$1:$1048576,$A488-1,COLUMN('1-DATA'!K487)),ROUND(INDEX('1-DATA'!$1:$1048576,IF(OR($B489="STD. DEVIATION",$C$1=1),$A489,$A489+1),COLUMN('1-DATA'!K487)),IF($B489="STD. DEVIATION",2,$F$1))))</f>
        <v/>
      </c>
      <c r="M489" s="1" t="str">
        <f>IF(OR($B489="",M$7=""),"",IF($B489="MEANS",INDEX('1-DATA'!$1:$1048576,$A488-1,COLUMN('1-DATA'!L487)),ROUND(INDEX('1-DATA'!$1:$1048576,IF(OR($B489="STD. DEVIATION",$C$1=1),$A489,$A489+1),COLUMN('1-DATA'!L487)),IF($B489="STD. DEVIATION",2,$F$1))))</f>
        <v/>
      </c>
      <c r="N489" s="1" t="str">
        <f>IF(OR($B489="",N$7=""),"",IF($B489="MEANS",INDEX('1-DATA'!$1:$1048576,$A488-1,COLUMN('1-DATA'!M487)),ROUND(INDEX('1-DATA'!$1:$1048576,IF(OR($B489="STD. DEVIATION",$C$1=1),$A489,$A489+1),COLUMN('1-DATA'!M487)),IF($B489="STD. DEVIATION",2,$F$1))))</f>
        <v/>
      </c>
      <c r="O489" s="1" t="str">
        <f>IF(OR($B489="",O$7=""),"",IF($B489="MEANS",INDEX('1-DATA'!$1:$1048576,$A488-1,COLUMN('1-DATA'!N487)),ROUND(INDEX('1-DATA'!$1:$1048576,IF(OR($B489="STD. DEVIATION",$C$1=1),$A489,$A489+1),COLUMN('1-DATA'!N487)),IF($B489="STD. DEVIATION",2,$F$1))))</f>
        <v/>
      </c>
      <c r="P489" s="1" t="str">
        <f>IF(OR($B489="",P$7=""),"",IF($B489="MEANS",INDEX('1-DATA'!$1:$1048576,$A488-1,COLUMN('1-DATA'!O487)),ROUND(INDEX('1-DATA'!$1:$1048576,IF(OR($B489="STD. DEVIATION",$C$1=1),$A489,$A489+1),COLUMN('1-DATA'!O487)),IF($B489="STD. DEVIATION",2,$F$1))))</f>
        <v/>
      </c>
      <c r="Q489" s="1" t="str">
        <f>IF(OR($B489="",Q$7=""),"",IF($B489="MEANS",INDEX('1-DATA'!$1:$1048576,$A488-1,COLUMN('1-DATA'!P487)),ROUND(INDEX('1-DATA'!$1:$1048576,IF(OR($B489="STD. DEVIATION",$C$1=1),$A489,$A489+1),COLUMN('1-DATA'!P487)),IF($B489="STD. DEVIATION",2,$F$1))))</f>
        <v/>
      </c>
      <c r="R489" s="1" t="str">
        <f>IF(OR($B489="",R$7=""),"",IF($B489="MEANS",INDEX('1-DATA'!$1:$1048576,$A488-1,COLUMN('1-DATA'!Q487)),ROUND(INDEX('1-DATA'!$1:$1048576,IF(OR($B489="STD. DEVIATION",$C$1=1),$A489,$A489+1),COLUMN('1-DATA'!Q487)),IF($B489="STD. DEVIATION",2,$F$1))))</f>
        <v/>
      </c>
      <c r="S489" s="1" t="str">
        <f>IF(OR($B489="",S$7=""),"",IF($B489="MEANS",INDEX('1-DATA'!$1:$1048576,$A488-1,COLUMN('1-DATA'!R487)),ROUND(INDEX('1-DATA'!$1:$1048576,IF(OR($B489="STD. DEVIATION",$C$1=1),$A489,$A489+1),COLUMN('1-DATA'!R487)),IF($B489="STD. DEVIATION",2,$F$1))))</f>
        <v/>
      </c>
      <c r="T489" s="1" t="str">
        <f>IF(OR($B489="",T$7=""),"",IF($B489="MEANS",INDEX('1-DATA'!$1:$1048576,$A488-1,COLUMN('1-DATA'!S487)),ROUND(INDEX('1-DATA'!$1:$1048576,IF(OR($B489="STD. DEVIATION",$C$1=1),$A489,$A489+1),COLUMN('1-DATA'!S487)),IF($B489="STD. DEVIATION",2,$F$1))))</f>
        <v/>
      </c>
      <c r="U489" s="1" t="str">
        <f>IF(OR($B489="",U$7=""),"",IF($B489="MEANS",INDEX('1-DATA'!$1:$1048576,$A488-1,COLUMN('1-DATA'!T487)),ROUND(INDEX('1-DATA'!$1:$1048576,IF(OR($B489="STD. DEVIATION",$C$1=1),$A489,$A489+1),COLUMN('1-DATA'!T487)),IF($B489="STD. DEVIATION",2,$F$1))))</f>
        <v/>
      </c>
      <c r="V489" s="1" t="str">
        <f>IF(OR($B489="",V$7=""),"",IF($B489="MEANS",INDEX('1-DATA'!$1:$1048576,$A488-1,COLUMN('1-DATA'!U487)),ROUND(INDEX('1-DATA'!$1:$1048576,IF(OR($B489="STD. DEVIATION",$C$1=1),$A489,$A489+1),COLUMN('1-DATA'!U487)),IF($B489="STD. DEVIATION",2,$F$1))))</f>
        <v/>
      </c>
      <c r="W489" s="1" t="str">
        <f>IF(OR($B489="",W$7=""),"",IF($B489="MEANS",INDEX('1-DATA'!$1:$1048576,$A488-1,COLUMN('1-DATA'!V487)),ROUND(INDEX('1-DATA'!$1:$1048576,IF(OR($B489="STD. DEVIATION",$C$1=1),$A489,$A489+1),COLUMN('1-DATA'!V487)),IF($B489="STD. DEVIATION",2,$F$1))))</f>
        <v/>
      </c>
      <c r="X489" s="1" t="str">
        <f>IF(OR($B489="",X$7=""),"",IF($B489="MEANS",INDEX('1-DATA'!$1:$1048576,$A488-1,COLUMN('1-DATA'!W487)),ROUND(INDEX('1-DATA'!$1:$1048576,IF(OR($B489="STD. DEVIATION",$C$1=1),$A489,$A489+1),COLUMN('1-DATA'!W487)),IF($B489="STD. DEVIATION",2,$F$1))))</f>
        <v/>
      </c>
      <c r="Y489" s="1" t="str">
        <f>IF(OR($B489="",Y$7=""),"",IF($B489="MEANS",INDEX('1-DATA'!$1:$1048576,$A488-1,COLUMN('1-DATA'!X487)),ROUND(INDEX('1-DATA'!$1:$1048576,IF(OR($B489="STD. DEVIATION",$C$1=1),$A489,$A489+1),COLUMN('1-DATA'!X487)),IF($B489="STD. DEVIATION",2,$F$1))))</f>
        <v/>
      </c>
      <c r="Z489" s="1" t="str">
        <f>IF(OR($B489="",Z$7=""),"",IF($B489="MEANS",INDEX('1-DATA'!$1:$1048576,$A488-1,COLUMN('1-DATA'!Y487)),ROUND(INDEX('1-DATA'!$1:$1048576,IF(OR($B489="STD. DEVIATION",$C$1=1),$A489,$A489+1),COLUMN('1-DATA'!Y487)),IF($B489="STD. DEVIATION",2,$F$1))))</f>
        <v/>
      </c>
      <c r="AA489" s="1" t="str">
        <f>IF(OR($B489="",AA$7=""),"",IF($B489="MEANS",INDEX('1-DATA'!$1:$1048576,$A488-1,COLUMN('1-DATA'!Z487)),ROUND(INDEX('1-DATA'!$1:$1048576,IF(OR($B489="STD. DEVIATION",$C$1=1),$A489,$A489+1),COLUMN('1-DATA'!Z487)),IF($B489="STD. DEVIATION",2,$F$1))))</f>
        <v/>
      </c>
      <c r="AB489" s="1" t="str">
        <f>IF(OR($B489="",AB$7=""),"",IF($B489="MEANS",INDEX('1-DATA'!$1:$1048576,$A488-1,COLUMN('1-DATA'!AA487)),ROUND(INDEX('1-DATA'!$1:$1048576,IF(OR($B489="STD. DEVIATION",$C$1=1),$A489,$A489+1),COLUMN('1-DATA'!AA487)),IF($B489="STD. DEVIATION",2,$F$1))))</f>
        <v/>
      </c>
      <c r="AC489" s="1" t="str">
        <f>IF(OR($B489="",AC$7=""),"",IF($B489="MEANS",INDEX('1-DATA'!$1:$1048576,$A488-1,COLUMN('1-DATA'!AB487)),ROUND(INDEX('1-DATA'!$1:$1048576,IF(OR($B489="STD. DEVIATION",$C$1=1),$A489,$A489+1),COLUMN('1-DATA'!AB487)),IF($B489="STD. DEVIATION",2,$F$1))))</f>
        <v/>
      </c>
      <c r="AD489" s="1" t="str">
        <f>IF(OR($B489="",AD$7=""),"",IF($B489="MEANS",INDEX('1-DATA'!$1:$1048576,$A488-1,COLUMN('1-DATA'!AC487)),ROUND(INDEX('1-DATA'!$1:$1048576,IF(OR($B489="STD. DEVIATION",$C$1=1),$A489,$A489+1),COLUMN('1-DATA'!AC487)),IF($B489="STD. DEVIATION",2,$F$1))))</f>
        <v/>
      </c>
      <c r="AE489" s="1" t="str">
        <f>IF(OR($B489="",AE$7=""),"",IF($B489="MEANS",INDEX('1-DATA'!$1:$1048576,$A488-1,COLUMN('1-DATA'!AD487)),ROUND(INDEX('1-DATA'!$1:$1048576,IF(OR($B489="STD. DEVIATION",$C$1=1),$A489,$A489+1),COLUMN('1-DATA'!AD487)),IF($B489="STD. DEVIATION",2,$F$1))))</f>
        <v/>
      </c>
      <c r="AF489" s="1" t="str">
        <f>IF(OR($B489="",AF$7=""),"",IF($B489="MEANS",INDEX('1-DATA'!$1:$1048576,$A488-1,COLUMN('1-DATA'!AE487)),ROUND(INDEX('1-DATA'!$1:$1048576,IF(OR($B489="STD. DEVIATION",$C$1=1),$A489,$A489+1),COLUMN('1-DATA'!AE487)),IF($B489="STD. DEVIATION",2,$F$1))))</f>
        <v/>
      </c>
      <c r="AG489" s="1" t="str">
        <f>IF(OR($B489="",AG$7=""),"",IF($B489="MEANS",INDEX('1-DATA'!$1:$1048576,$A488-1,COLUMN('1-DATA'!AF487)),ROUND(INDEX('1-DATA'!$1:$1048576,IF(OR($B489="STD. DEVIATION",$C$1=1),$A489,$A489+1),COLUMN('1-DATA'!AF487)),IF($B489="STD. DEVIATION",2,$F$1))))</f>
        <v/>
      </c>
      <c r="AH489" s="1" t="str">
        <f>IF(OR($B489="",AH$7=""),"",IF($B489="MEANS",INDEX('1-DATA'!$1:$1048576,$A488-1,COLUMN('1-DATA'!AG487)),ROUND(INDEX('1-DATA'!$1:$1048576,IF(OR($B489="STD. DEVIATION",$C$1=1),$A489,$A489+1),COLUMN('1-DATA'!AG487)),IF($B489="STD. DEVIATION",2,$F$1))))</f>
        <v/>
      </c>
      <c r="AI489" s="1" t="str">
        <f>IF(OR($B489="",AI$7=""),"",IF($B489="MEANS",INDEX('1-DATA'!$1:$1048576,$A488-1,COLUMN('1-DATA'!AH487)),ROUND(INDEX('1-DATA'!$1:$1048576,IF(OR($B489="STD. DEVIATION",$C$1=1),$A489,$A489+1),COLUMN('1-DATA'!AH487)),IF($B489="STD. DEVIATION",2,$F$1))))</f>
        <v/>
      </c>
      <c r="AJ489" s="1" t="str">
        <f>IF(OR($B489="",AJ$7=""),"",IF($B489="MEANS",INDEX('1-DATA'!$1:$1048576,$A488-1,COLUMN('1-DATA'!AI487)),ROUND(INDEX('1-DATA'!$1:$1048576,IF(OR($B489="STD. DEVIATION",$C$1=1),$A489,$A489+1),COLUMN('1-DATA'!AI487)),IF($B489="STD. DEVIATION",2,$F$1))))</f>
        <v/>
      </c>
      <c r="AK489" s="1" t="str">
        <f>IF(OR($B489="",AK$7=""),"",IF($B489="MEANS",INDEX('1-DATA'!$1:$1048576,$A488-1,COLUMN('1-DATA'!AJ487)),ROUND(INDEX('1-DATA'!$1:$1048576,IF(OR($B489="STD. DEVIATION",$C$1=1),$A489,$A489+1),COLUMN('1-DATA'!AJ487)),IF($B489="STD. DEVIATION",2,$F$1))))</f>
        <v/>
      </c>
      <c r="AL489" s="1" t="str">
        <f>IF(OR($B489="",AL$7=""),"",IF($B489="MEANS",INDEX('1-DATA'!$1:$1048576,$A488-1,COLUMN('1-DATA'!AK487)),ROUND(INDEX('1-DATA'!$1:$1048576,IF(OR($B489="STD. DEVIATION",$C$1=1),$A489,$A489+1),COLUMN('1-DATA'!AK487)),IF($B489="STD. DEVIATION",2,$F$1))))</f>
        <v/>
      </c>
      <c r="AM489" s="1" t="str">
        <f>IF(OR($B489="",AM$7=""),"",IF($B489="MEANS",INDEX('1-DATA'!$1:$1048576,$A488-1,COLUMN('1-DATA'!AL487)),ROUND(INDEX('1-DATA'!$1:$1048576,IF(OR($B489="STD. DEVIATION",$C$1=1),$A489,$A489+1),COLUMN('1-DATA'!AL487)),IF($B489="STD. DEVIATION",2,$F$1))))</f>
        <v/>
      </c>
      <c r="AN489" s="1" t="str">
        <f>IF(OR($B489="",AN$7=""),"",IF($B489="MEANS",INDEX('1-DATA'!$1:$1048576,$A488-1,COLUMN('1-DATA'!AM487)),ROUND(INDEX('1-DATA'!$1:$1048576,IF(OR($B489="STD. DEVIATION",$C$1=1),$A489,$A489+1),COLUMN('1-DATA'!AM487)),IF($B489="STD. DEVIATION",2,$F$1))))</f>
        <v/>
      </c>
      <c r="AO489" s="1" t="str">
        <f>IF(OR($B489="",AO$7=""),"",IF($B489="MEANS",INDEX('1-DATA'!$1:$1048576,$A488-1,COLUMN('1-DATA'!AN487)),ROUND(INDEX('1-DATA'!$1:$1048576,IF(OR($B489="STD. DEVIATION",$C$1=1),$A489,$A489+1),COLUMN('1-DATA'!AN487)),IF($B489="STD. DEVIATION",2,$F$1))))</f>
        <v/>
      </c>
      <c r="AP489" s="1" t="str">
        <f>IF(OR($B489="",AP$7=""),"",IF($B489="MEANS",INDEX('1-DATA'!$1:$1048576,$A488-1,COLUMN('1-DATA'!AO487)),ROUND(INDEX('1-DATA'!$1:$1048576,IF(OR($B489="STD. DEVIATION",$C$1=1),$A489,$A489+1),COLUMN('1-DATA'!AO487)),IF($B489="STD. DEVIATION",2,$F$1))))</f>
        <v/>
      </c>
      <c r="AQ489" s="1" t="str">
        <f>IF(OR($B489="",AQ$7=""),"",IF($B489="MEANS",INDEX('1-DATA'!$1:$1048576,$A488-1,COLUMN('1-DATA'!AP487)),ROUND(INDEX('1-DATA'!$1:$1048576,IF(OR($B489="STD. DEVIATION",$C$1=1),$A489,$A489+1),COLUMN('1-DATA'!AP487)),IF($B489="STD. DEVIATION",2,$F$1))))</f>
        <v/>
      </c>
      <c r="AR489" s="1" t="str">
        <f>IF(OR($B489="",AR$7=""),"",IF($B489="MEANS",INDEX('1-DATA'!$1:$1048576,$A488-1,COLUMN('1-DATA'!AQ487)),ROUND(INDEX('1-DATA'!$1:$1048576,IF(OR($B489="STD. DEVIATION",$C$1=1),$A489,$A489+1),COLUMN('1-DATA'!AQ487)),IF($B489="STD. DEVIATION",2,$F$1))))</f>
        <v/>
      </c>
      <c r="AS489" s="1" t="str">
        <f>IF(OR($B489="",AS$7=""),"",IF($B489="MEANS",INDEX('1-DATA'!$1:$1048576,$A488-1,COLUMN('1-DATA'!AR487)),ROUND(INDEX('1-DATA'!$1:$1048576,IF(OR($B489="STD. DEVIATION",$C$1=1),$A489,$A489+1),COLUMN('1-DATA'!AR487)),IF($B489="STD. DEVIATION",2,$F$1))))</f>
        <v/>
      </c>
      <c r="AT489" s="1" t="str">
        <f>IF(OR($B489="",AT$7=""),"",IF($B489="MEANS",INDEX('1-DATA'!$1:$1048576,$A488-1,COLUMN('1-DATA'!AS487)),ROUND(INDEX('1-DATA'!$1:$1048576,IF(OR($B489="STD. DEVIATION",$C$1=1),$A489,$A489+1),COLUMN('1-DATA'!AS487)),IF($B489="STD. DEVIATION",2,$F$1))))</f>
        <v/>
      </c>
      <c r="AU489" s="1" t="str">
        <f>IF(OR($B489="",AU$7=""),"",IF($B489="MEANS",INDEX('1-DATA'!$1:$1048576,$A488-1,COLUMN('1-DATA'!AT487)),ROUND(INDEX('1-DATA'!$1:$1048576,IF(OR($B489="STD. DEVIATION",$C$1=1),$A489,$A489+1),COLUMN('1-DATA'!AT487)),IF($B489="STD. DEVIATION",2,$F$1))))</f>
        <v/>
      </c>
      <c r="AV489" s="1" t="str">
        <f>IF(OR($B489="",AV$7=""),"",IF($B489="MEANS",INDEX('1-DATA'!$1:$1048576,$A488-1,COLUMN('1-DATA'!AU487)),ROUND(INDEX('1-DATA'!$1:$1048576,IF(OR($B489="STD. DEVIATION",$C$1=1),$A489,$A489+1),COLUMN('1-DATA'!AU487)),IF($B489="STD. DEVIATION",2,$F$1))))</f>
        <v/>
      </c>
      <c r="AW489" s="1" t="str">
        <f>IF(OR($B489="",AW$7=""),"",IF($B489="MEANS",INDEX('1-DATA'!$1:$1048576,$A488-1,COLUMN('1-DATA'!AV487)),ROUND(INDEX('1-DATA'!$1:$1048576,IF(OR($B489="STD. DEVIATION",$C$1=1),$A489,$A489+1),COLUMN('1-DATA'!AV487)),IF($B489="STD. DEVIATION",2,$F$1))))</f>
        <v/>
      </c>
      <c r="AX489" s="1" t="str">
        <f>IF(OR($B489="",AX$7=""),"",IF($B489="MEANS",INDEX('1-DATA'!$1:$1048576,$A488-1,COLUMN('1-DATA'!AW487)),ROUND(INDEX('1-DATA'!$1:$1048576,IF(OR($B489="STD. DEVIATION",$C$1=1),$A489,$A489+1),COLUMN('1-DATA'!AW487)),IF($B489="STD. DEVIATION",2,$F$1))))</f>
        <v/>
      </c>
      <c r="AY489" s="1" t="str">
        <f>IF(OR($B489="",AY$7=""),"",IF($B489="MEANS",INDEX('1-DATA'!$1:$1048576,$A488-1,COLUMN('1-DATA'!AX487)),ROUND(INDEX('1-DATA'!$1:$1048576,IF(OR($B489="STD. DEVIATION",$C$1=1),$A489,$A489+1),COLUMN('1-DATA'!AX487)),IF($B489="STD. DEVIATION",2,$F$1))))</f>
        <v/>
      </c>
      <c r="AZ489" s="1" t="str">
        <f>IF(OR($B489="",AZ$7=""),"",IF($B489="MEANS",INDEX('1-DATA'!$1:$1048576,$A488-1,COLUMN('1-DATA'!AY487)),ROUND(INDEX('1-DATA'!$1:$1048576,IF(OR($B489="STD. DEVIATION",$C$1=1),$A489,$A489+1),COLUMN('1-DATA'!AY487)),IF($B489="STD. DEVIATION",2,$F$1))))</f>
        <v/>
      </c>
    </row>
    <row r="490" spans="1:52" x14ac:dyDescent="0.25">
      <c r="A490" s="11">
        <f t="shared" si="8"/>
        <v>1456</v>
      </c>
      <c r="B490" s="1" t="str">
        <f>IF(B489="STD. DEVIATION",INDEX('1-DATA'!$1:$1048576,$A489-1,1),IF(INDEX('1-DATA'!$1:$1048576,$A490,1)&lt;&gt;"",INDEX('1-DATA'!$1:$1048576,$A490,1),""))</f>
        <v/>
      </c>
      <c r="C490" s="1" t="str">
        <f>IF(OR($B490="",C$7=""),"",IF($B490="MEANS",INDEX('1-DATA'!$1:$1048576,$A489-1,COLUMN('1-DATA'!B488)),ROUND(INDEX('1-DATA'!$1:$1048576,IF(OR($B490="STD. DEVIATION",$C$1=1),$A490,$A490+1),COLUMN('1-DATA'!B488)),IF($B490="STD. DEVIATION",2,$F$1))))</f>
        <v/>
      </c>
      <c r="D490" s="1" t="str">
        <f>IF(OR($B490="",D$7=""),"",IF($B490="MEANS",INDEX('1-DATA'!$1:$1048576,$A489-1,COLUMN('1-DATA'!C488)),ROUND(INDEX('1-DATA'!$1:$1048576,IF(OR($B490="STD. DEVIATION",$C$1=1),$A490,$A490+1),COLUMN('1-DATA'!C488)),IF($B490="STD. DEVIATION",2,$F$1))))</f>
        <v/>
      </c>
      <c r="E490" s="1" t="str">
        <f>IF(OR($B490="",E$7=""),"",IF($B490="MEANS",INDEX('1-DATA'!$1:$1048576,$A489-1,COLUMN('1-DATA'!D488)),ROUND(INDEX('1-DATA'!$1:$1048576,IF(OR($B490="STD. DEVIATION",$C$1=1),$A490,$A490+1),COLUMN('1-DATA'!D488)),IF($B490="STD. DEVIATION",2,$F$1))))</f>
        <v/>
      </c>
      <c r="F490" s="1" t="str">
        <f>IF(OR($B490="",F$7=""),"",IF($B490="MEANS",INDEX('1-DATA'!$1:$1048576,$A489-1,COLUMN('1-DATA'!E488)),ROUND(INDEX('1-DATA'!$1:$1048576,IF(OR($B490="STD. DEVIATION",$C$1=1),$A490,$A490+1),COLUMN('1-DATA'!E488)),IF($B490="STD. DEVIATION",2,$F$1))))</f>
        <v/>
      </c>
      <c r="G490" s="1" t="str">
        <f>IF(OR($B490="",G$7=""),"",IF($B490="MEANS",INDEX('1-DATA'!$1:$1048576,$A489-1,COLUMN('1-DATA'!F488)),ROUND(INDEX('1-DATA'!$1:$1048576,IF(OR($B490="STD. DEVIATION",$C$1=1),$A490,$A490+1),COLUMN('1-DATA'!F488)),IF($B490="STD. DEVIATION",2,$F$1))))</f>
        <v/>
      </c>
      <c r="H490" s="1" t="str">
        <f>IF(OR($B490="",H$7=""),"",IF($B490="MEANS",INDEX('1-DATA'!$1:$1048576,$A489-1,COLUMN('1-DATA'!G488)),ROUND(INDEX('1-DATA'!$1:$1048576,IF(OR($B490="STD. DEVIATION",$C$1=1),$A490,$A490+1),COLUMN('1-DATA'!G488)),IF($B490="STD. DEVIATION",2,$F$1))))</f>
        <v/>
      </c>
      <c r="I490" s="1" t="str">
        <f>IF(OR($B490="",I$7=""),"",IF($B490="MEANS",INDEX('1-DATA'!$1:$1048576,$A489-1,COLUMN('1-DATA'!H488)),ROUND(INDEX('1-DATA'!$1:$1048576,IF(OR($B490="STD. DEVIATION",$C$1=1),$A490,$A490+1),COLUMN('1-DATA'!H488)),IF($B490="STD. DEVIATION",2,$F$1))))</f>
        <v/>
      </c>
      <c r="J490" s="1" t="str">
        <f>IF(OR($B490="",J$7=""),"",IF($B490="MEANS",INDEX('1-DATA'!$1:$1048576,$A489-1,COLUMN('1-DATA'!I488)),ROUND(INDEX('1-DATA'!$1:$1048576,IF(OR($B490="STD. DEVIATION",$C$1=1),$A490,$A490+1),COLUMN('1-DATA'!I488)),IF($B490="STD. DEVIATION",2,$F$1))))</f>
        <v/>
      </c>
      <c r="K490" s="1" t="str">
        <f>IF(OR($B490="",K$7=""),"",IF($B490="MEANS",INDEX('1-DATA'!$1:$1048576,$A489-1,COLUMN('1-DATA'!J488)),ROUND(INDEX('1-DATA'!$1:$1048576,IF(OR($B490="STD. DEVIATION",$C$1=1),$A490,$A490+1),COLUMN('1-DATA'!J488)),IF($B490="STD. DEVIATION",2,$F$1))))</f>
        <v/>
      </c>
      <c r="L490" s="1" t="str">
        <f>IF(OR($B490="",L$7=""),"",IF($B490="MEANS",INDEX('1-DATA'!$1:$1048576,$A489-1,COLUMN('1-DATA'!K488)),ROUND(INDEX('1-DATA'!$1:$1048576,IF(OR($B490="STD. DEVIATION",$C$1=1),$A490,$A490+1),COLUMN('1-DATA'!K488)),IF($B490="STD. DEVIATION",2,$F$1))))</f>
        <v/>
      </c>
      <c r="M490" s="1" t="str">
        <f>IF(OR($B490="",M$7=""),"",IF($B490="MEANS",INDEX('1-DATA'!$1:$1048576,$A489-1,COLUMN('1-DATA'!L488)),ROUND(INDEX('1-DATA'!$1:$1048576,IF(OR($B490="STD. DEVIATION",$C$1=1),$A490,$A490+1),COLUMN('1-DATA'!L488)),IF($B490="STD. DEVIATION",2,$F$1))))</f>
        <v/>
      </c>
      <c r="N490" s="1" t="str">
        <f>IF(OR($B490="",N$7=""),"",IF($B490="MEANS",INDEX('1-DATA'!$1:$1048576,$A489-1,COLUMN('1-DATA'!M488)),ROUND(INDEX('1-DATA'!$1:$1048576,IF(OR($B490="STD. DEVIATION",$C$1=1),$A490,$A490+1),COLUMN('1-DATA'!M488)),IF($B490="STD. DEVIATION",2,$F$1))))</f>
        <v/>
      </c>
      <c r="O490" s="1" t="str">
        <f>IF(OR($B490="",O$7=""),"",IF($B490="MEANS",INDEX('1-DATA'!$1:$1048576,$A489-1,COLUMN('1-DATA'!N488)),ROUND(INDEX('1-DATA'!$1:$1048576,IF(OR($B490="STD. DEVIATION",$C$1=1),$A490,$A490+1),COLUMN('1-DATA'!N488)),IF($B490="STD. DEVIATION",2,$F$1))))</f>
        <v/>
      </c>
      <c r="P490" s="1" t="str">
        <f>IF(OR($B490="",P$7=""),"",IF($B490="MEANS",INDEX('1-DATA'!$1:$1048576,$A489-1,COLUMN('1-DATA'!O488)),ROUND(INDEX('1-DATA'!$1:$1048576,IF(OR($B490="STD. DEVIATION",$C$1=1),$A490,$A490+1),COLUMN('1-DATA'!O488)),IF($B490="STD. DEVIATION",2,$F$1))))</f>
        <v/>
      </c>
      <c r="Q490" s="1" t="str">
        <f>IF(OR($B490="",Q$7=""),"",IF($B490="MEANS",INDEX('1-DATA'!$1:$1048576,$A489-1,COLUMN('1-DATA'!P488)),ROUND(INDEX('1-DATA'!$1:$1048576,IF(OR($B490="STD. DEVIATION",$C$1=1),$A490,$A490+1),COLUMN('1-DATA'!P488)),IF($B490="STD. DEVIATION",2,$F$1))))</f>
        <v/>
      </c>
      <c r="R490" s="1" t="str">
        <f>IF(OR($B490="",R$7=""),"",IF($B490="MEANS",INDEX('1-DATA'!$1:$1048576,$A489-1,COLUMN('1-DATA'!Q488)),ROUND(INDEX('1-DATA'!$1:$1048576,IF(OR($B490="STD. DEVIATION",$C$1=1),$A490,$A490+1),COLUMN('1-DATA'!Q488)),IF($B490="STD. DEVIATION",2,$F$1))))</f>
        <v/>
      </c>
      <c r="S490" s="1" t="str">
        <f>IF(OR($B490="",S$7=""),"",IF($B490="MEANS",INDEX('1-DATA'!$1:$1048576,$A489-1,COLUMN('1-DATA'!R488)),ROUND(INDEX('1-DATA'!$1:$1048576,IF(OR($B490="STD. DEVIATION",$C$1=1),$A490,$A490+1),COLUMN('1-DATA'!R488)),IF($B490="STD. DEVIATION",2,$F$1))))</f>
        <v/>
      </c>
      <c r="T490" s="1" t="str">
        <f>IF(OR($B490="",T$7=""),"",IF($B490="MEANS",INDEX('1-DATA'!$1:$1048576,$A489-1,COLUMN('1-DATA'!S488)),ROUND(INDEX('1-DATA'!$1:$1048576,IF(OR($B490="STD. DEVIATION",$C$1=1),$A490,$A490+1),COLUMN('1-DATA'!S488)),IF($B490="STD. DEVIATION",2,$F$1))))</f>
        <v/>
      </c>
      <c r="U490" s="1" t="str">
        <f>IF(OR($B490="",U$7=""),"",IF($B490="MEANS",INDEX('1-DATA'!$1:$1048576,$A489-1,COLUMN('1-DATA'!T488)),ROUND(INDEX('1-DATA'!$1:$1048576,IF(OR($B490="STD. DEVIATION",$C$1=1),$A490,$A490+1),COLUMN('1-DATA'!T488)),IF($B490="STD. DEVIATION",2,$F$1))))</f>
        <v/>
      </c>
      <c r="V490" s="1" t="str">
        <f>IF(OR($B490="",V$7=""),"",IF($B490="MEANS",INDEX('1-DATA'!$1:$1048576,$A489-1,COLUMN('1-DATA'!U488)),ROUND(INDEX('1-DATA'!$1:$1048576,IF(OR($B490="STD. DEVIATION",$C$1=1),$A490,$A490+1),COLUMN('1-DATA'!U488)),IF($B490="STD. DEVIATION",2,$F$1))))</f>
        <v/>
      </c>
      <c r="W490" s="1" t="str">
        <f>IF(OR($B490="",W$7=""),"",IF($B490="MEANS",INDEX('1-DATA'!$1:$1048576,$A489-1,COLUMN('1-DATA'!V488)),ROUND(INDEX('1-DATA'!$1:$1048576,IF(OR($B490="STD. DEVIATION",$C$1=1),$A490,$A490+1),COLUMN('1-DATA'!V488)),IF($B490="STD. DEVIATION",2,$F$1))))</f>
        <v/>
      </c>
      <c r="X490" s="1" t="str">
        <f>IF(OR($B490="",X$7=""),"",IF($B490="MEANS",INDEX('1-DATA'!$1:$1048576,$A489-1,COLUMN('1-DATA'!W488)),ROUND(INDEX('1-DATA'!$1:$1048576,IF(OR($B490="STD. DEVIATION",$C$1=1),$A490,$A490+1),COLUMN('1-DATA'!W488)),IF($B490="STD. DEVIATION",2,$F$1))))</f>
        <v/>
      </c>
      <c r="Y490" s="1" t="str">
        <f>IF(OR($B490="",Y$7=""),"",IF($B490="MEANS",INDEX('1-DATA'!$1:$1048576,$A489-1,COLUMN('1-DATA'!X488)),ROUND(INDEX('1-DATA'!$1:$1048576,IF(OR($B490="STD. DEVIATION",$C$1=1),$A490,$A490+1),COLUMN('1-DATA'!X488)),IF($B490="STD. DEVIATION",2,$F$1))))</f>
        <v/>
      </c>
      <c r="Z490" s="1" t="str">
        <f>IF(OR($B490="",Z$7=""),"",IF($B490="MEANS",INDEX('1-DATA'!$1:$1048576,$A489-1,COLUMN('1-DATA'!Y488)),ROUND(INDEX('1-DATA'!$1:$1048576,IF(OR($B490="STD. DEVIATION",$C$1=1),$A490,$A490+1),COLUMN('1-DATA'!Y488)),IF($B490="STD. DEVIATION",2,$F$1))))</f>
        <v/>
      </c>
      <c r="AA490" s="1" t="str">
        <f>IF(OR($B490="",AA$7=""),"",IF($B490="MEANS",INDEX('1-DATA'!$1:$1048576,$A489-1,COLUMN('1-DATA'!Z488)),ROUND(INDEX('1-DATA'!$1:$1048576,IF(OR($B490="STD. DEVIATION",$C$1=1),$A490,$A490+1),COLUMN('1-DATA'!Z488)),IF($B490="STD. DEVIATION",2,$F$1))))</f>
        <v/>
      </c>
      <c r="AB490" s="1" t="str">
        <f>IF(OR($B490="",AB$7=""),"",IF($B490="MEANS",INDEX('1-DATA'!$1:$1048576,$A489-1,COLUMN('1-DATA'!AA488)),ROUND(INDEX('1-DATA'!$1:$1048576,IF(OR($B490="STD. DEVIATION",$C$1=1),$A490,$A490+1),COLUMN('1-DATA'!AA488)),IF($B490="STD. DEVIATION",2,$F$1))))</f>
        <v/>
      </c>
      <c r="AC490" s="1" t="str">
        <f>IF(OR($B490="",AC$7=""),"",IF($B490="MEANS",INDEX('1-DATA'!$1:$1048576,$A489-1,COLUMN('1-DATA'!AB488)),ROUND(INDEX('1-DATA'!$1:$1048576,IF(OR($B490="STD. DEVIATION",$C$1=1),$A490,$A490+1),COLUMN('1-DATA'!AB488)),IF($B490="STD. DEVIATION",2,$F$1))))</f>
        <v/>
      </c>
      <c r="AD490" s="1" t="str">
        <f>IF(OR($B490="",AD$7=""),"",IF($B490="MEANS",INDEX('1-DATA'!$1:$1048576,$A489-1,COLUMN('1-DATA'!AC488)),ROUND(INDEX('1-DATA'!$1:$1048576,IF(OR($B490="STD. DEVIATION",$C$1=1),$A490,$A490+1),COLUMN('1-DATA'!AC488)),IF($B490="STD. DEVIATION",2,$F$1))))</f>
        <v/>
      </c>
      <c r="AE490" s="1" t="str">
        <f>IF(OR($B490="",AE$7=""),"",IF($B490="MEANS",INDEX('1-DATA'!$1:$1048576,$A489-1,COLUMN('1-DATA'!AD488)),ROUND(INDEX('1-DATA'!$1:$1048576,IF(OR($B490="STD. DEVIATION",$C$1=1),$A490,$A490+1),COLUMN('1-DATA'!AD488)),IF($B490="STD. DEVIATION",2,$F$1))))</f>
        <v/>
      </c>
      <c r="AF490" s="1" t="str">
        <f>IF(OR($B490="",AF$7=""),"",IF($B490="MEANS",INDEX('1-DATA'!$1:$1048576,$A489-1,COLUMN('1-DATA'!AE488)),ROUND(INDEX('1-DATA'!$1:$1048576,IF(OR($B490="STD. DEVIATION",$C$1=1),$A490,$A490+1),COLUMN('1-DATA'!AE488)),IF($B490="STD. DEVIATION",2,$F$1))))</f>
        <v/>
      </c>
      <c r="AG490" s="1" t="str">
        <f>IF(OR($B490="",AG$7=""),"",IF($B490="MEANS",INDEX('1-DATA'!$1:$1048576,$A489-1,COLUMN('1-DATA'!AF488)),ROUND(INDEX('1-DATA'!$1:$1048576,IF(OR($B490="STD. DEVIATION",$C$1=1),$A490,$A490+1),COLUMN('1-DATA'!AF488)),IF($B490="STD. DEVIATION",2,$F$1))))</f>
        <v/>
      </c>
      <c r="AH490" s="1" t="str">
        <f>IF(OR($B490="",AH$7=""),"",IF($B490="MEANS",INDEX('1-DATA'!$1:$1048576,$A489-1,COLUMN('1-DATA'!AG488)),ROUND(INDEX('1-DATA'!$1:$1048576,IF(OR($B490="STD. DEVIATION",$C$1=1),$A490,$A490+1),COLUMN('1-DATA'!AG488)),IF($B490="STD. DEVIATION",2,$F$1))))</f>
        <v/>
      </c>
      <c r="AI490" s="1" t="str">
        <f>IF(OR($B490="",AI$7=""),"",IF($B490="MEANS",INDEX('1-DATA'!$1:$1048576,$A489-1,COLUMN('1-DATA'!AH488)),ROUND(INDEX('1-DATA'!$1:$1048576,IF(OR($B490="STD. DEVIATION",$C$1=1),$A490,$A490+1),COLUMN('1-DATA'!AH488)),IF($B490="STD. DEVIATION",2,$F$1))))</f>
        <v/>
      </c>
      <c r="AJ490" s="1" t="str">
        <f>IF(OR($B490="",AJ$7=""),"",IF($B490="MEANS",INDEX('1-DATA'!$1:$1048576,$A489-1,COLUMN('1-DATA'!AI488)),ROUND(INDEX('1-DATA'!$1:$1048576,IF(OR($B490="STD. DEVIATION",$C$1=1),$A490,$A490+1),COLUMN('1-DATA'!AI488)),IF($B490="STD. DEVIATION",2,$F$1))))</f>
        <v/>
      </c>
      <c r="AK490" s="1" t="str">
        <f>IF(OR($B490="",AK$7=""),"",IF($B490="MEANS",INDEX('1-DATA'!$1:$1048576,$A489-1,COLUMN('1-DATA'!AJ488)),ROUND(INDEX('1-DATA'!$1:$1048576,IF(OR($B490="STD. DEVIATION",$C$1=1),$A490,$A490+1),COLUMN('1-DATA'!AJ488)),IF($B490="STD. DEVIATION",2,$F$1))))</f>
        <v/>
      </c>
      <c r="AL490" s="1" t="str">
        <f>IF(OR($B490="",AL$7=""),"",IF($B490="MEANS",INDEX('1-DATA'!$1:$1048576,$A489-1,COLUMN('1-DATA'!AK488)),ROUND(INDEX('1-DATA'!$1:$1048576,IF(OR($B490="STD. DEVIATION",$C$1=1),$A490,$A490+1),COLUMN('1-DATA'!AK488)),IF($B490="STD. DEVIATION",2,$F$1))))</f>
        <v/>
      </c>
      <c r="AM490" s="1" t="str">
        <f>IF(OR($B490="",AM$7=""),"",IF($B490="MEANS",INDEX('1-DATA'!$1:$1048576,$A489-1,COLUMN('1-DATA'!AL488)),ROUND(INDEX('1-DATA'!$1:$1048576,IF(OR($B490="STD. DEVIATION",$C$1=1),$A490,$A490+1),COLUMN('1-DATA'!AL488)),IF($B490="STD. DEVIATION",2,$F$1))))</f>
        <v/>
      </c>
      <c r="AN490" s="1" t="str">
        <f>IF(OR($B490="",AN$7=""),"",IF($B490="MEANS",INDEX('1-DATA'!$1:$1048576,$A489-1,COLUMN('1-DATA'!AM488)),ROUND(INDEX('1-DATA'!$1:$1048576,IF(OR($B490="STD. DEVIATION",$C$1=1),$A490,$A490+1),COLUMN('1-DATA'!AM488)),IF($B490="STD. DEVIATION",2,$F$1))))</f>
        <v/>
      </c>
      <c r="AO490" s="1" t="str">
        <f>IF(OR($B490="",AO$7=""),"",IF($B490="MEANS",INDEX('1-DATA'!$1:$1048576,$A489-1,COLUMN('1-DATA'!AN488)),ROUND(INDEX('1-DATA'!$1:$1048576,IF(OR($B490="STD. DEVIATION",$C$1=1),$A490,$A490+1),COLUMN('1-DATA'!AN488)),IF($B490="STD. DEVIATION",2,$F$1))))</f>
        <v/>
      </c>
      <c r="AP490" s="1" t="str">
        <f>IF(OR($B490="",AP$7=""),"",IF($B490="MEANS",INDEX('1-DATA'!$1:$1048576,$A489-1,COLUMN('1-DATA'!AO488)),ROUND(INDEX('1-DATA'!$1:$1048576,IF(OR($B490="STD. DEVIATION",$C$1=1),$A490,$A490+1),COLUMN('1-DATA'!AO488)),IF($B490="STD. DEVIATION",2,$F$1))))</f>
        <v/>
      </c>
      <c r="AQ490" s="1" t="str">
        <f>IF(OR($B490="",AQ$7=""),"",IF($B490="MEANS",INDEX('1-DATA'!$1:$1048576,$A489-1,COLUMN('1-DATA'!AP488)),ROUND(INDEX('1-DATA'!$1:$1048576,IF(OR($B490="STD. DEVIATION",$C$1=1),$A490,$A490+1),COLUMN('1-DATA'!AP488)),IF($B490="STD. DEVIATION",2,$F$1))))</f>
        <v/>
      </c>
      <c r="AR490" s="1" t="str">
        <f>IF(OR($B490="",AR$7=""),"",IF($B490="MEANS",INDEX('1-DATA'!$1:$1048576,$A489-1,COLUMN('1-DATA'!AQ488)),ROUND(INDEX('1-DATA'!$1:$1048576,IF(OR($B490="STD. DEVIATION",$C$1=1),$A490,$A490+1),COLUMN('1-DATA'!AQ488)),IF($B490="STD. DEVIATION",2,$F$1))))</f>
        <v/>
      </c>
      <c r="AS490" s="1" t="str">
        <f>IF(OR($B490="",AS$7=""),"",IF($B490="MEANS",INDEX('1-DATA'!$1:$1048576,$A489-1,COLUMN('1-DATA'!AR488)),ROUND(INDEX('1-DATA'!$1:$1048576,IF(OR($B490="STD. DEVIATION",$C$1=1),$A490,$A490+1),COLUMN('1-DATA'!AR488)),IF($B490="STD. DEVIATION",2,$F$1))))</f>
        <v/>
      </c>
      <c r="AT490" s="1" t="str">
        <f>IF(OR($B490="",AT$7=""),"",IF($B490="MEANS",INDEX('1-DATA'!$1:$1048576,$A489-1,COLUMN('1-DATA'!AS488)),ROUND(INDEX('1-DATA'!$1:$1048576,IF(OR($B490="STD. DEVIATION",$C$1=1),$A490,$A490+1),COLUMN('1-DATA'!AS488)),IF($B490="STD. DEVIATION",2,$F$1))))</f>
        <v/>
      </c>
      <c r="AU490" s="1" t="str">
        <f>IF(OR($B490="",AU$7=""),"",IF($B490="MEANS",INDEX('1-DATA'!$1:$1048576,$A489-1,COLUMN('1-DATA'!AT488)),ROUND(INDEX('1-DATA'!$1:$1048576,IF(OR($B490="STD. DEVIATION",$C$1=1),$A490,$A490+1),COLUMN('1-DATA'!AT488)),IF($B490="STD. DEVIATION",2,$F$1))))</f>
        <v/>
      </c>
      <c r="AV490" s="1" t="str">
        <f>IF(OR($B490="",AV$7=""),"",IF($B490="MEANS",INDEX('1-DATA'!$1:$1048576,$A489-1,COLUMN('1-DATA'!AU488)),ROUND(INDEX('1-DATA'!$1:$1048576,IF(OR($B490="STD. DEVIATION",$C$1=1),$A490,$A490+1),COLUMN('1-DATA'!AU488)),IF($B490="STD. DEVIATION",2,$F$1))))</f>
        <v/>
      </c>
      <c r="AW490" s="1" t="str">
        <f>IF(OR($B490="",AW$7=""),"",IF($B490="MEANS",INDEX('1-DATA'!$1:$1048576,$A489-1,COLUMN('1-DATA'!AV488)),ROUND(INDEX('1-DATA'!$1:$1048576,IF(OR($B490="STD. DEVIATION",$C$1=1),$A490,$A490+1),COLUMN('1-DATA'!AV488)),IF($B490="STD. DEVIATION",2,$F$1))))</f>
        <v/>
      </c>
      <c r="AX490" s="1" t="str">
        <f>IF(OR($B490="",AX$7=""),"",IF($B490="MEANS",INDEX('1-DATA'!$1:$1048576,$A489-1,COLUMN('1-DATA'!AW488)),ROUND(INDEX('1-DATA'!$1:$1048576,IF(OR($B490="STD. DEVIATION",$C$1=1),$A490,$A490+1),COLUMN('1-DATA'!AW488)),IF($B490="STD. DEVIATION",2,$F$1))))</f>
        <v/>
      </c>
      <c r="AY490" s="1" t="str">
        <f>IF(OR($B490="",AY$7=""),"",IF($B490="MEANS",INDEX('1-DATA'!$1:$1048576,$A489-1,COLUMN('1-DATA'!AX488)),ROUND(INDEX('1-DATA'!$1:$1048576,IF(OR($B490="STD. DEVIATION",$C$1=1),$A490,$A490+1),COLUMN('1-DATA'!AX488)),IF($B490="STD. DEVIATION",2,$F$1))))</f>
        <v/>
      </c>
      <c r="AZ490" s="1" t="str">
        <f>IF(OR($B490="",AZ$7=""),"",IF($B490="MEANS",INDEX('1-DATA'!$1:$1048576,$A489-1,COLUMN('1-DATA'!AY488)),ROUND(INDEX('1-DATA'!$1:$1048576,IF(OR($B490="STD. DEVIATION",$C$1=1),$A490,$A490+1),COLUMN('1-DATA'!AY488)),IF($B490="STD. DEVIATION",2,$F$1))))</f>
        <v/>
      </c>
    </row>
    <row r="491" spans="1:52" x14ac:dyDescent="0.25">
      <c r="A491" s="11">
        <f t="shared" si="8"/>
        <v>1459</v>
      </c>
      <c r="B491" s="1" t="str">
        <f>IF(B490="STD. DEVIATION",INDEX('1-DATA'!$1:$1048576,$A490-1,1),IF(INDEX('1-DATA'!$1:$1048576,$A491,1)&lt;&gt;"",INDEX('1-DATA'!$1:$1048576,$A491,1),""))</f>
        <v/>
      </c>
      <c r="C491" s="1" t="str">
        <f>IF(OR($B491="",C$7=""),"",IF($B491="MEANS",INDEX('1-DATA'!$1:$1048576,$A490-1,COLUMN('1-DATA'!B489)),ROUND(INDEX('1-DATA'!$1:$1048576,IF(OR($B491="STD. DEVIATION",$C$1=1),$A491,$A491+1),COLUMN('1-DATA'!B489)),IF($B491="STD. DEVIATION",2,$F$1))))</f>
        <v/>
      </c>
      <c r="D491" s="1" t="str">
        <f>IF(OR($B491="",D$7=""),"",IF($B491="MEANS",INDEX('1-DATA'!$1:$1048576,$A490-1,COLUMN('1-DATA'!C489)),ROUND(INDEX('1-DATA'!$1:$1048576,IF(OR($B491="STD. DEVIATION",$C$1=1),$A491,$A491+1),COLUMN('1-DATA'!C489)),IF($B491="STD. DEVIATION",2,$F$1))))</f>
        <v/>
      </c>
      <c r="E491" s="1" t="str">
        <f>IF(OR($B491="",E$7=""),"",IF($B491="MEANS",INDEX('1-DATA'!$1:$1048576,$A490-1,COLUMN('1-DATA'!D489)),ROUND(INDEX('1-DATA'!$1:$1048576,IF(OR($B491="STD. DEVIATION",$C$1=1),$A491,$A491+1),COLUMN('1-DATA'!D489)),IF($B491="STD. DEVIATION",2,$F$1))))</f>
        <v/>
      </c>
      <c r="F491" s="1" t="str">
        <f>IF(OR($B491="",F$7=""),"",IF($B491="MEANS",INDEX('1-DATA'!$1:$1048576,$A490-1,COLUMN('1-DATA'!E489)),ROUND(INDEX('1-DATA'!$1:$1048576,IF(OR($B491="STD. DEVIATION",$C$1=1),$A491,$A491+1),COLUMN('1-DATA'!E489)),IF($B491="STD. DEVIATION",2,$F$1))))</f>
        <v/>
      </c>
      <c r="G491" s="1" t="str">
        <f>IF(OR($B491="",G$7=""),"",IF($B491="MEANS",INDEX('1-DATA'!$1:$1048576,$A490-1,COLUMN('1-DATA'!F489)),ROUND(INDEX('1-DATA'!$1:$1048576,IF(OR($B491="STD. DEVIATION",$C$1=1),$A491,$A491+1),COLUMN('1-DATA'!F489)),IF($B491="STD. DEVIATION",2,$F$1))))</f>
        <v/>
      </c>
      <c r="H491" s="1" t="str">
        <f>IF(OR($B491="",H$7=""),"",IF($B491="MEANS",INDEX('1-DATA'!$1:$1048576,$A490-1,COLUMN('1-DATA'!G489)),ROUND(INDEX('1-DATA'!$1:$1048576,IF(OR($B491="STD. DEVIATION",$C$1=1),$A491,$A491+1),COLUMN('1-DATA'!G489)),IF($B491="STD. DEVIATION",2,$F$1))))</f>
        <v/>
      </c>
      <c r="I491" s="1" t="str">
        <f>IF(OR($B491="",I$7=""),"",IF($B491="MEANS",INDEX('1-DATA'!$1:$1048576,$A490-1,COLUMN('1-DATA'!H489)),ROUND(INDEX('1-DATA'!$1:$1048576,IF(OR($B491="STD. DEVIATION",$C$1=1),$A491,$A491+1),COLUMN('1-DATA'!H489)),IF($B491="STD. DEVIATION",2,$F$1))))</f>
        <v/>
      </c>
      <c r="J491" s="1" t="str">
        <f>IF(OR($B491="",J$7=""),"",IF($B491="MEANS",INDEX('1-DATA'!$1:$1048576,$A490-1,COLUMN('1-DATA'!I489)),ROUND(INDEX('1-DATA'!$1:$1048576,IF(OR($B491="STD. DEVIATION",$C$1=1),$A491,$A491+1),COLUMN('1-DATA'!I489)),IF($B491="STD. DEVIATION",2,$F$1))))</f>
        <v/>
      </c>
      <c r="K491" s="1" t="str">
        <f>IF(OR($B491="",K$7=""),"",IF($B491="MEANS",INDEX('1-DATA'!$1:$1048576,$A490-1,COLUMN('1-DATA'!J489)),ROUND(INDEX('1-DATA'!$1:$1048576,IF(OR($B491="STD. DEVIATION",$C$1=1),$A491,$A491+1),COLUMN('1-DATA'!J489)),IF($B491="STD. DEVIATION",2,$F$1))))</f>
        <v/>
      </c>
      <c r="L491" s="1" t="str">
        <f>IF(OR($B491="",L$7=""),"",IF($B491="MEANS",INDEX('1-DATA'!$1:$1048576,$A490-1,COLUMN('1-DATA'!K489)),ROUND(INDEX('1-DATA'!$1:$1048576,IF(OR($B491="STD. DEVIATION",$C$1=1),$A491,$A491+1),COLUMN('1-DATA'!K489)),IF($B491="STD. DEVIATION",2,$F$1))))</f>
        <v/>
      </c>
      <c r="M491" s="1" t="str">
        <f>IF(OR($B491="",M$7=""),"",IF($B491="MEANS",INDEX('1-DATA'!$1:$1048576,$A490-1,COLUMN('1-DATA'!L489)),ROUND(INDEX('1-DATA'!$1:$1048576,IF(OR($B491="STD. DEVIATION",$C$1=1),$A491,$A491+1),COLUMN('1-DATA'!L489)),IF($B491="STD. DEVIATION",2,$F$1))))</f>
        <v/>
      </c>
      <c r="N491" s="1" t="str">
        <f>IF(OR($B491="",N$7=""),"",IF($B491="MEANS",INDEX('1-DATA'!$1:$1048576,$A490-1,COLUMN('1-DATA'!M489)),ROUND(INDEX('1-DATA'!$1:$1048576,IF(OR($B491="STD. DEVIATION",$C$1=1),$A491,$A491+1),COLUMN('1-DATA'!M489)),IF($B491="STD. DEVIATION",2,$F$1))))</f>
        <v/>
      </c>
      <c r="O491" s="1" t="str">
        <f>IF(OR($B491="",O$7=""),"",IF($B491="MEANS",INDEX('1-DATA'!$1:$1048576,$A490-1,COLUMN('1-DATA'!N489)),ROUND(INDEX('1-DATA'!$1:$1048576,IF(OR($B491="STD. DEVIATION",$C$1=1),$A491,$A491+1),COLUMN('1-DATA'!N489)),IF($B491="STD. DEVIATION",2,$F$1))))</f>
        <v/>
      </c>
      <c r="P491" s="1" t="str">
        <f>IF(OR($B491="",P$7=""),"",IF($B491="MEANS",INDEX('1-DATA'!$1:$1048576,$A490-1,COLUMN('1-DATA'!O489)),ROUND(INDEX('1-DATA'!$1:$1048576,IF(OR($B491="STD. DEVIATION",$C$1=1),$A491,$A491+1),COLUMN('1-DATA'!O489)),IF($B491="STD. DEVIATION",2,$F$1))))</f>
        <v/>
      </c>
      <c r="Q491" s="1" t="str">
        <f>IF(OR($B491="",Q$7=""),"",IF($B491="MEANS",INDEX('1-DATA'!$1:$1048576,$A490-1,COLUMN('1-DATA'!P489)),ROUND(INDEX('1-DATA'!$1:$1048576,IF(OR($B491="STD. DEVIATION",$C$1=1),$A491,$A491+1),COLUMN('1-DATA'!P489)),IF($B491="STD. DEVIATION",2,$F$1))))</f>
        <v/>
      </c>
      <c r="R491" s="1" t="str">
        <f>IF(OR($B491="",R$7=""),"",IF($B491="MEANS",INDEX('1-DATA'!$1:$1048576,$A490-1,COLUMN('1-DATA'!Q489)),ROUND(INDEX('1-DATA'!$1:$1048576,IF(OR($B491="STD. DEVIATION",$C$1=1),$A491,$A491+1),COLUMN('1-DATA'!Q489)),IF($B491="STD. DEVIATION",2,$F$1))))</f>
        <v/>
      </c>
      <c r="S491" s="1" t="str">
        <f>IF(OR($B491="",S$7=""),"",IF($B491="MEANS",INDEX('1-DATA'!$1:$1048576,$A490-1,COLUMN('1-DATA'!R489)),ROUND(INDEX('1-DATA'!$1:$1048576,IF(OR($B491="STD. DEVIATION",$C$1=1),$A491,$A491+1),COLUMN('1-DATA'!R489)),IF($B491="STD. DEVIATION",2,$F$1))))</f>
        <v/>
      </c>
      <c r="T491" s="1" t="str">
        <f>IF(OR($B491="",T$7=""),"",IF($B491="MEANS",INDEX('1-DATA'!$1:$1048576,$A490-1,COLUMN('1-DATA'!S489)),ROUND(INDEX('1-DATA'!$1:$1048576,IF(OR($B491="STD. DEVIATION",$C$1=1),$A491,$A491+1),COLUMN('1-DATA'!S489)),IF($B491="STD. DEVIATION",2,$F$1))))</f>
        <v/>
      </c>
      <c r="U491" s="1" t="str">
        <f>IF(OR($B491="",U$7=""),"",IF($B491="MEANS",INDEX('1-DATA'!$1:$1048576,$A490-1,COLUMN('1-DATA'!T489)),ROUND(INDEX('1-DATA'!$1:$1048576,IF(OR($B491="STD. DEVIATION",$C$1=1),$A491,$A491+1),COLUMN('1-DATA'!T489)),IF($B491="STD. DEVIATION",2,$F$1))))</f>
        <v/>
      </c>
      <c r="V491" s="1" t="str">
        <f>IF(OR($B491="",V$7=""),"",IF($B491="MEANS",INDEX('1-DATA'!$1:$1048576,$A490-1,COLUMN('1-DATA'!U489)),ROUND(INDEX('1-DATA'!$1:$1048576,IF(OR($B491="STD. DEVIATION",$C$1=1),$A491,$A491+1),COLUMN('1-DATA'!U489)),IF($B491="STD. DEVIATION",2,$F$1))))</f>
        <v/>
      </c>
      <c r="W491" s="1" t="str">
        <f>IF(OR($B491="",W$7=""),"",IF($B491="MEANS",INDEX('1-DATA'!$1:$1048576,$A490-1,COLUMN('1-DATA'!V489)),ROUND(INDEX('1-DATA'!$1:$1048576,IF(OR($B491="STD. DEVIATION",$C$1=1),$A491,$A491+1),COLUMN('1-DATA'!V489)),IF($B491="STD. DEVIATION",2,$F$1))))</f>
        <v/>
      </c>
      <c r="X491" s="1" t="str">
        <f>IF(OR($B491="",X$7=""),"",IF($B491="MEANS",INDEX('1-DATA'!$1:$1048576,$A490-1,COLUMN('1-DATA'!W489)),ROUND(INDEX('1-DATA'!$1:$1048576,IF(OR($B491="STD. DEVIATION",$C$1=1),$A491,$A491+1),COLUMN('1-DATA'!W489)),IF($B491="STD. DEVIATION",2,$F$1))))</f>
        <v/>
      </c>
      <c r="Y491" s="1" t="str">
        <f>IF(OR($B491="",Y$7=""),"",IF($B491="MEANS",INDEX('1-DATA'!$1:$1048576,$A490-1,COLUMN('1-DATA'!X489)),ROUND(INDEX('1-DATA'!$1:$1048576,IF(OR($B491="STD. DEVIATION",$C$1=1),$A491,$A491+1),COLUMN('1-DATA'!X489)),IF($B491="STD. DEVIATION",2,$F$1))))</f>
        <v/>
      </c>
      <c r="Z491" s="1" t="str">
        <f>IF(OR($B491="",Z$7=""),"",IF($B491="MEANS",INDEX('1-DATA'!$1:$1048576,$A490-1,COLUMN('1-DATA'!Y489)),ROUND(INDEX('1-DATA'!$1:$1048576,IF(OR($B491="STD. DEVIATION",$C$1=1),$A491,$A491+1),COLUMN('1-DATA'!Y489)),IF($B491="STD. DEVIATION",2,$F$1))))</f>
        <v/>
      </c>
      <c r="AA491" s="1" t="str">
        <f>IF(OR($B491="",AA$7=""),"",IF($B491="MEANS",INDEX('1-DATA'!$1:$1048576,$A490-1,COLUMN('1-DATA'!Z489)),ROUND(INDEX('1-DATA'!$1:$1048576,IF(OR($B491="STD. DEVIATION",$C$1=1),$A491,$A491+1),COLUMN('1-DATA'!Z489)),IF($B491="STD. DEVIATION",2,$F$1))))</f>
        <v/>
      </c>
      <c r="AB491" s="1" t="str">
        <f>IF(OR($B491="",AB$7=""),"",IF($B491="MEANS",INDEX('1-DATA'!$1:$1048576,$A490-1,COLUMN('1-DATA'!AA489)),ROUND(INDEX('1-DATA'!$1:$1048576,IF(OR($B491="STD. DEVIATION",$C$1=1),$A491,$A491+1),COLUMN('1-DATA'!AA489)),IF($B491="STD. DEVIATION",2,$F$1))))</f>
        <v/>
      </c>
      <c r="AC491" s="1" t="str">
        <f>IF(OR($B491="",AC$7=""),"",IF($B491="MEANS",INDEX('1-DATA'!$1:$1048576,$A490-1,COLUMN('1-DATA'!AB489)),ROUND(INDEX('1-DATA'!$1:$1048576,IF(OR($B491="STD. DEVIATION",$C$1=1),$A491,$A491+1),COLUMN('1-DATA'!AB489)),IF($B491="STD. DEVIATION",2,$F$1))))</f>
        <v/>
      </c>
      <c r="AD491" s="1" t="str">
        <f>IF(OR($B491="",AD$7=""),"",IF($B491="MEANS",INDEX('1-DATA'!$1:$1048576,$A490-1,COLUMN('1-DATA'!AC489)),ROUND(INDEX('1-DATA'!$1:$1048576,IF(OR($B491="STD. DEVIATION",$C$1=1),$A491,$A491+1),COLUMN('1-DATA'!AC489)),IF($B491="STD. DEVIATION",2,$F$1))))</f>
        <v/>
      </c>
      <c r="AE491" s="1" t="str">
        <f>IF(OR($B491="",AE$7=""),"",IF($B491="MEANS",INDEX('1-DATA'!$1:$1048576,$A490-1,COLUMN('1-DATA'!AD489)),ROUND(INDEX('1-DATA'!$1:$1048576,IF(OR($B491="STD. DEVIATION",$C$1=1),$A491,$A491+1),COLUMN('1-DATA'!AD489)),IF($B491="STD. DEVIATION",2,$F$1))))</f>
        <v/>
      </c>
      <c r="AF491" s="1" t="str">
        <f>IF(OR($B491="",AF$7=""),"",IF($B491="MEANS",INDEX('1-DATA'!$1:$1048576,$A490-1,COLUMN('1-DATA'!AE489)),ROUND(INDEX('1-DATA'!$1:$1048576,IF(OR($B491="STD. DEVIATION",$C$1=1),$A491,$A491+1),COLUMN('1-DATA'!AE489)),IF($B491="STD. DEVIATION",2,$F$1))))</f>
        <v/>
      </c>
      <c r="AG491" s="1" t="str">
        <f>IF(OR($B491="",AG$7=""),"",IF($B491="MEANS",INDEX('1-DATA'!$1:$1048576,$A490-1,COLUMN('1-DATA'!AF489)),ROUND(INDEX('1-DATA'!$1:$1048576,IF(OR($B491="STD. DEVIATION",$C$1=1),$A491,$A491+1),COLUMN('1-DATA'!AF489)),IF($B491="STD. DEVIATION",2,$F$1))))</f>
        <v/>
      </c>
      <c r="AH491" s="1" t="str">
        <f>IF(OR($B491="",AH$7=""),"",IF($B491="MEANS",INDEX('1-DATA'!$1:$1048576,$A490-1,COLUMN('1-DATA'!AG489)),ROUND(INDEX('1-DATA'!$1:$1048576,IF(OR($B491="STD. DEVIATION",$C$1=1),$A491,$A491+1),COLUMN('1-DATA'!AG489)),IF($B491="STD. DEVIATION",2,$F$1))))</f>
        <v/>
      </c>
      <c r="AI491" s="1" t="str">
        <f>IF(OR($B491="",AI$7=""),"",IF($B491="MEANS",INDEX('1-DATA'!$1:$1048576,$A490-1,COLUMN('1-DATA'!AH489)),ROUND(INDEX('1-DATA'!$1:$1048576,IF(OR($B491="STD. DEVIATION",$C$1=1),$A491,$A491+1),COLUMN('1-DATA'!AH489)),IF($B491="STD. DEVIATION",2,$F$1))))</f>
        <v/>
      </c>
      <c r="AJ491" s="1" t="str">
        <f>IF(OR($B491="",AJ$7=""),"",IF($B491="MEANS",INDEX('1-DATA'!$1:$1048576,$A490-1,COLUMN('1-DATA'!AI489)),ROUND(INDEX('1-DATA'!$1:$1048576,IF(OR($B491="STD. DEVIATION",$C$1=1),$A491,$A491+1),COLUMN('1-DATA'!AI489)),IF($B491="STD. DEVIATION",2,$F$1))))</f>
        <v/>
      </c>
      <c r="AK491" s="1" t="str">
        <f>IF(OR($B491="",AK$7=""),"",IF($B491="MEANS",INDEX('1-DATA'!$1:$1048576,$A490-1,COLUMN('1-DATA'!AJ489)),ROUND(INDEX('1-DATA'!$1:$1048576,IF(OR($B491="STD. DEVIATION",$C$1=1),$A491,$A491+1),COLUMN('1-DATA'!AJ489)),IF($B491="STD. DEVIATION",2,$F$1))))</f>
        <v/>
      </c>
      <c r="AL491" s="1" t="str">
        <f>IF(OR($B491="",AL$7=""),"",IF($B491="MEANS",INDEX('1-DATA'!$1:$1048576,$A490-1,COLUMN('1-DATA'!AK489)),ROUND(INDEX('1-DATA'!$1:$1048576,IF(OR($B491="STD. DEVIATION",$C$1=1),$A491,$A491+1),COLUMN('1-DATA'!AK489)),IF($B491="STD. DEVIATION",2,$F$1))))</f>
        <v/>
      </c>
      <c r="AM491" s="1" t="str">
        <f>IF(OR($B491="",AM$7=""),"",IF($B491="MEANS",INDEX('1-DATA'!$1:$1048576,$A490-1,COLUMN('1-DATA'!AL489)),ROUND(INDEX('1-DATA'!$1:$1048576,IF(OR($B491="STD. DEVIATION",$C$1=1),$A491,$A491+1),COLUMN('1-DATA'!AL489)),IF($B491="STD. DEVIATION",2,$F$1))))</f>
        <v/>
      </c>
      <c r="AN491" s="1" t="str">
        <f>IF(OR($B491="",AN$7=""),"",IF($B491="MEANS",INDEX('1-DATA'!$1:$1048576,$A490-1,COLUMN('1-DATA'!AM489)),ROUND(INDEX('1-DATA'!$1:$1048576,IF(OR($B491="STD. DEVIATION",$C$1=1),$A491,$A491+1),COLUMN('1-DATA'!AM489)),IF($B491="STD. DEVIATION",2,$F$1))))</f>
        <v/>
      </c>
      <c r="AO491" s="1" t="str">
        <f>IF(OR($B491="",AO$7=""),"",IF($B491="MEANS",INDEX('1-DATA'!$1:$1048576,$A490-1,COLUMN('1-DATA'!AN489)),ROUND(INDEX('1-DATA'!$1:$1048576,IF(OR($B491="STD. DEVIATION",$C$1=1),$A491,$A491+1),COLUMN('1-DATA'!AN489)),IF($B491="STD. DEVIATION",2,$F$1))))</f>
        <v/>
      </c>
      <c r="AP491" s="1" t="str">
        <f>IF(OR($B491="",AP$7=""),"",IF($B491="MEANS",INDEX('1-DATA'!$1:$1048576,$A490-1,COLUMN('1-DATA'!AO489)),ROUND(INDEX('1-DATA'!$1:$1048576,IF(OR($B491="STD. DEVIATION",$C$1=1),$A491,$A491+1),COLUMN('1-DATA'!AO489)),IF($B491="STD. DEVIATION",2,$F$1))))</f>
        <v/>
      </c>
      <c r="AQ491" s="1" t="str">
        <f>IF(OR($B491="",AQ$7=""),"",IF($B491="MEANS",INDEX('1-DATA'!$1:$1048576,$A490-1,COLUMN('1-DATA'!AP489)),ROUND(INDEX('1-DATA'!$1:$1048576,IF(OR($B491="STD. DEVIATION",$C$1=1),$A491,$A491+1),COLUMN('1-DATA'!AP489)),IF($B491="STD. DEVIATION",2,$F$1))))</f>
        <v/>
      </c>
      <c r="AR491" s="1" t="str">
        <f>IF(OR($B491="",AR$7=""),"",IF($B491="MEANS",INDEX('1-DATA'!$1:$1048576,$A490-1,COLUMN('1-DATA'!AQ489)),ROUND(INDEX('1-DATA'!$1:$1048576,IF(OR($B491="STD. DEVIATION",$C$1=1),$A491,$A491+1),COLUMN('1-DATA'!AQ489)),IF($B491="STD. DEVIATION",2,$F$1))))</f>
        <v/>
      </c>
      <c r="AS491" s="1" t="str">
        <f>IF(OR($B491="",AS$7=""),"",IF($B491="MEANS",INDEX('1-DATA'!$1:$1048576,$A490-1,COLUMN('1-DATA'!AR489)),ROUND(INDEX('1-DATA'!$1:$1048576,IF(OR($B491="STD. DEVIATION",$C$1=1),$A491,$A491+1),COLUMN('1-DATA'!AR489)),IF($B491="STD. DEVIATION",2,$F$1))))</f>
        <v/>
      </c>
      <c r="AT491" s="1" t="str">
        <f>IF(OR($B491="",AT$7=""),"",IF($B491="MEANS",INDEX('1-DATA'!$1:$1048576,$A490-1,COLUMN('1-DATA'!AS489)),ROUND(INDEX('1-DATA'!$1:$1048576,IF(OR($B491="STD. DEVIATION",$C$1=1),$A491,$A491+1),COLUMN('1-DATA'!AS489)),IF($B491="STD. DEVIATION",2,$F$1))))</f>
        <v/>
      </c>
      <c r="AU491" s="1" t="str">
        <f>IF(OR($B491="",AU$7=""),"",IF($B491="MEANS",INDEX('1-DATA'!$1:$1048576,$A490-1,COLUMN('1-DATA'!AT489)),ROUND(INDEX('1-DATA'!$1:$1048576,IF(OR($B491="STD. DEVIATION",$C$1=1),$A491,$A491+1),COLUMN('1-DATA'!AT489)),IF($B491="STD. DEVIATION",2,$F$1))))</f>
        <v/>
      </c>
      <c r="AV491" s="1" t="str">
        <f>IF(OR($B491="",AV$7=""),"",IF($B491="MEANS",INDEX('1-DATA'!$1:$1048576,$A490-1,COLUMN('1-DATA'!AU489)),ROUND(INDEX('1-DATA'!$1:$1048576,IF(OR($B491="STD. DEVIATION",$C$1=1),$A491,$A491+1),COLUMN('1-DATA'!AU489)),IF($B491="STD. DEVIATION",2,$F$1))))</f>
        <v/>
      </c>
      <c r="AW491" s="1" t="str">
        <f>IF(OR($B491="",AW$7=""),"",IF($B491="MEANS",INDEX('1-DATA'!$1:$1048576,$A490-1,COLUMN('1-DATA'!AV489)),ROUND(INDEX('1-DATA'!$1:$1048576,IF(OR($B491="STD. DEVIATION",$C$1=1),$A491,$A491+1),COLUMN('1-DATA'!AV489)),IF($B491="STD. DEVIATION",2,$F$1))))</f>
        <v/>
      </c>
      <c r="AX491" s="1" t="str">
        <f>IF(OR($B491="",AX$7=""),"",IF($B491="MEANS",INDEX('1-DATA'!$1:$1048576,$A490-1,COLUMN('1-DATA'!AW489)),ROUND(INDEX('1-DATA'!$1:$1048576,IF(OR($B491="STD. DEVIATION",$C$1=1),$A491,$A491+1),COLUMN('1-DATA'!AW489)),IF($B491="STD. DEVIATION",2,$F$1))))</f>
        <v/>
      </c>
      <c r="AY491" s="1" t="str">
        <f>IF(OR($B491="",AY$7=""),"",IF($B491="MEANS",INDEX('1-DATA'!$1:$1048576,$A490-1,COLUMN('1-DATA'!AX489)),ROUND(INDEX('1-DATA'!$1:$1048576,IF(OR($B491="STD. DEVIATION",$C$1=1),$A491,$A491+1),COLUMN('1-DATA'!AX489)),IF($B491="STD. DEVIATION",2,$F$1))))</f>
        <v/>
      </c>
      <c r="AZ491" s="1" t="str">
        <f>IF(OR($B491="",AZ$7=""),"",IF($B491="MEANS",INDEX('1-DATA'!$1:$1048576,$A490-1,COLUMN('1-DATA'!AY489)),ROUND(INDEX('1-DATA'!$1:$1048576,IF(OR($B491="STD. DEVIATION",$C$1=1),$A491,$A491+1),COLUMN('1-DATA'!AY489)),IF($B491="STD. DEVIATION",2,$F$1))))</f>
        <v/>
      </c>
    </row>
    <row r="492" spans="1:52" x14ac:dyDescent="0.25">
      <c r="A492" s="11">
        <f t="shared" si="8"/>
        <v>1462</v>
      </c>
      <c r="B492" s="1" t="str">
        <f>IF(B491="STD. DEVIATION",INDEX('1-DATA'!$1:$1048576,$A491-1,1),IF(INDEX('1-DATA'!$1:$1048576,$A492,1)&lt;&gt;"",INDEX('1-DATA'!$1:$1048576,$A492,1),""))</f>
        <v/>
      </c>
      <c r="C492" s="1" t="str">
        <f>IF(OR($B492="",C$7=""),"",IF($B492="MEANS",INDEX('1-DATA'!$1:$1048576,$A491-1,COLUMN('1-DATA'!B490)),ROUND(INDEX('1-DATA'!$1:$1048576,IF(OR($B492="STD. DEVIATION",$C$1=1),$A492,$A492+1),COLUMN('1-DATA'!B490)),IF($B492="STD. DEVIATION",2,$F$1))))</f>
        <v/>
      </c>
      <c r="D492" s="1" t="str">
        <f>IF(OR($B492="",D$7=""),"",IF($B492="MEANS",INDEX('1-DATA'!$1:$1048576,$A491-1,COLUMN('1-DATA'!C490)),ROUND(INDEX('1-DATA'!$1:$1048576,IF(OR($B492="STD. DEVIATION",$C$1=1),$A492,$A492+1),COLUMN('1-DATA'!C490)),IF($B492="STD. DEVIATION",2,$F$1))))</f>
        <v/>
      </c>
      <c r="E492" s="1" t="str">
        <f>IF(OR($B492="",E$7=""),"",IF($B492="MEANS",INDEX('1-DATA'!$1:$1048576,$A491-1,COLUMN('1-DATA'!D490)),ROUND(INDEX('1-DATA'!$1:$1048576,IF(OR($B492="STD. DEVIATION",$C$1=1),$A492,$A492+1),COLUMN('1-DATA'!D490)),IF($B492="STD. DEVIATION",2,$F$1))))</f>
        <v/>
      </c>
      <c r="F492" s="1" t="str">
        <f>IF(OR($B492="",F$7=""),"",IF($B492="MEANS",INDEX('1-DATA'!$1:$1048576,$A491-1,COLUMN('1-DATA'!E490)),ROUND(INDEX('1-DATA'!$1:$1048576,IF(OR($B492="STD. DEVIATION",$C$1=1),$A492,$A492+1),COLUMN('1-DATA'!E490)),IF($B492="STD. DEVIATION",2,$F$1))))</f>
        <v/>
      </c>
      <c r="G492" s="1" t="str">
        <f>IF(OR($B492="",G$7=""),"",IF($B492="MEANS",INDEX('1-DATA'!$1:$1048576,$A491-1,COLUMN('1-DATA'!F490)),ROUND(INDEX('1-DATA'!$1:$1048576,IF(OR($B492="STD. DEVIATION",$C$1=1),$A492,$A492+1),COLUMN('1-DATA'!F490)),IF($B492="STD. DEVIATION",2,$F$1))))</f>
        <v/>
      </c>
      <c r="H492" s="1" t="str">
        <f>IF(OR($B492="",H$7=""),"",IF($B492="MEANS",INDEX('1-DATA'!$1:$1048576,$A491-1,COLUMN('1-DATA'!G490)),ROUND(INDEX('1-DATA'!$1:$1048576,IF(OR($B492="STD. DEVIATION",$C$1=1),$A492,$A492+1),COLUMN('1-DATA'!G490)),IF($B492="STD. DEVIATION",2,$F$1))))</f>
        <v/>
      </c>
      <c r="I492" s="1" t="str">
        <f>IF(OR($B492="",I$7=""),"",IF($B492="MEANS",INDEX('1-DATA'!$1:$1048576,$A491-1,COLUMN('1-DATA'!H490)),ROUND(INDEX('1-DATA'!$1:$1048576,IF(OR($B492="STD. DEVIATION",$C$1=1),$A492,$A492+1),COLUMN('1-DATA'!H490)),IF($B492="STD. DEVIATION",2,$F$1))))</f>
        <v/>
      </c>
      <c r="J492" s="1" t="str">
        <f>IF(OR($B492="",J$7=""),"",IF($B492="MEANS",INDEX('1-DATA'!$1:$1048576,$A491-1,COLUMN('1-DATA'!I490)),ROUND(INDEX('1-DATA'!$1:$1048576,IF(OR($B492="STD. DEVIATION",$C$1=1),$A492,$A492+1),COLUMN('1-DATA'!I490)),IF($B492="STD. DEVIATION",2,$F$1))))</f>
        <v/>
      </c>
      <c r="K492" s="1" t="str">
        <f>IF(OR($B492="",K$7=""),"",IF($B492="MEANS",INDEX('1-DATA'!$1:$1048576,$A491-1,COLUMN('1-DATA'!J490)),ROUND(INDEX('1-DATA'!$1:$1048576,IF(OR($B492="STD. DEVIATION",$C$1=1),$A492,$A492+1),COLUMN('1-DATA'!J490)),IF($B492="STD. DEVIATION",2,$F$1))))</f>
        <v/>
      </c>
      <c r="L492" s="1" t="str">
        <f>IF(OR($B492="",L$7=""),"",IF($B492="MEANS",INDEX('1-DATA'!$1:$1048576,$A491-1,COLUMN('1-DATA'!K490)),ROUND(INDEX('1-DATA'!$1:$1048576,IF(OR($B492="STD. DEVIATION",$C$1=1),$A492,$A492+1),COLUMN('1-DATA'!K490)),IF($B492="STD. DEVIATION",2,$F$1))))</f>
        <v/>
      </c>
      <c r="M492" s="1" t="str">
        <f>IF(OR($B492="",M$7=""),"",IF($B492="MEANS",INDEX('1-DATA'!$1:$1048576,$A491-1,COLUMN('1-DATA'!L490)),ROUND(INDEX('1-DATA'!$1:$1048576,IF(OR($B492="STD. DEVIATION",$C$1=1),$A492,$A492+1),COLUMN('1-DATA'!L490)),IF($B492="STD. DEVIATION",2,$F$1))))</f>
        <v/>
      </c>
      <c r="N492" s="1" t="str">
        <f>IF(OR($B492="",N$7=""),"",IF($B492="MEANS",INDEX('1-DATA'!$1:$1048576,$A491-1,COLUMN('1-DATA'!M490)),ROUND(INDEX('1-DATA'!$1:$1048576,IF(OR($B492="STD. DEVIATION",$C$1=1),$A492,$A492+1),COLUMN('1-DATA'!M490)),IF($B492="STD. DEVIATION",2,$F$1))))</f>
        <v/>
      </c>
      <c r="O492" s="1" t="str">
        <f>IF(OR($B492="",O$7=""),"",IF($B492="MEANS",INDEX('1-DATA'!$1:$1048576,$A491-1,COLUMN('1-DATA'!N490)),ROUND(INDEX('1-DATA'!$1:$1048576,IF(OR($B492="STD. DEVIATION",$C$1=1),$A492,$A492+1),COLUMN('1-DATA'!N490)),IF($B492="STD. DEVIATION",2,$F$1))))</f>
        <v/>
      </c>
      <c r="P492" s="1" t="str">
        <f>IF(OR($B492="",P$7=""),"",IF($B492="MEANS",INDEX('1-DATA'!$1:$1048576,$A491-1,COLUMN('1-DATA'!O490)),ROUND(INDEX('1-DATA'!$1:$1048576,IF(OR($B492="STD. DEVIATION",$C$1=1),$A492,$A492+1),COLUMN('1-DATA'!O490)),IF($B492="STD. DEVIATION",2,$F$1))))</f>
        <v/>
      </c>
      <c r="Q492" s="1" t="str">
        <f>IF(OR($B492="",Q$7=""),"",IF($B492="MEANS",INDEX('1-DATA'!$1:$1048576,$A491-1,COLUMN('1-DATA'!P490)),ROUND(INDEX('1-DATA'!$1:$1048576,IF(OR($B492="STD. DEVIATION",$C$1=1),$A492,$A492+1),COLUMN('1-DATA'!P490)),IF($B492="STD. DEVIATION",2,$F$1))))</f>
        <v/>
      </c>
      <c r="R492" s="1" t="str">
        <f>IF(OR($B492="",R$7=""),"",IF($B492="MEANS",INDEX('1-DATA'!$1:$1048576,$A491-1,COLUMN('1-DATA'!Q490)),ROUND(INDEX('1-DATA'!$1:$1048576,IF(OR($B492="STD. DEVIATION",$C$1=1),$A492,$A492+1),COLUMN('1-DATA'!Q490)),IF($B492="STD. DEVIATION",2,$F$1))))</f>
        <v/>
      </c>
      <c r="S492" s="1" t="str">
        <f>IF(OR($B492="",S$7=""),"",IF($B492="MEANS",INDEX('1-DATA'!$1:$1048576,$A491-1,COLUMN('1-DATA'!R490)),ROUND(INDEX('1-DATA'!$1:$1048576,IF(OR($B492="STD. DEVIATION",$C$1=1),$A492,$A492+1),COLUMN('1-DATA'!R490)),IF($B492="STD. DEVIATION",2,$F$1))))</f>
        <v/>
      </c>
      <c r="T492" s="1" t="str">
        <f>IF(OR($B492="",T$7=""),"",IF($B492="MEANS",INDEX('1-DATA'!$1:$1048576,$A491-1,COLUMN('1-DATA'!S490)),ROUND(INDEX('1-DATA'!$1:$1048576,IF(OR($B492="STD. DEVIATION",$C$1=1),$A492,$A492+1),COLUMN('1-DATA'!S490)),IF($B492="STD. DEVIATION",2,$F$1))))</f>
        <v/>
      </c>
      <c r="U492" s="1" t="str">
        <f>IF(OR($B492="",U$7=""),"",IF($B492="MEANS",INDEX('1-DATA'!$1:$1048576,$A491-1,COLUMN('1-DATA'!T490)),ROUND(INDEX('1-DATA'!$1:$1048576,IF(OR($B492="STD. DEVIATION",$C$1=1),$A492,$A492+1),COLUMN('1-DATA'!T490)),IF($B492="STD. DEVIATION",2,$F$1))))</f>
        <v/>
      </c>
      <c r="V492" s="1" t="str">
        <f>IF(OR($B492="",V$7=""),"",IF($B492="MEANS",INDEX('1-DATA'!$1:$1048576,$A491-1,COLUMN('1-DATA'!U490)),ROUND(INDEX('1-DATA'!$1:$1048576,IF(OR($B492="STD. DEVIATION",$C$1=1),$A492,$A492+1),COLUMN('1-DATA'!U490)),IF($B492="STD. DEVIATION",2,$F$1))))</f>
        <v/>
      </c>
      <c r="W492" s="1" t="str">
        <f>IF(OR($B492="",W$7=""),"",IF($B492="MEANS",INDEX('1-DATA'!$1:$1048576,$A491-1,COLUMN('1-DATA'!V490)),ROUND(INDEX('1-DATA'!$1:$1048576,IF(OR($B492="STD. DEVIATION",$C$1=1),$A492,$A492+1),COLUMN('1-DATA'!V490)),IF($B492="STD. DEVIATION",2,$F$1))))</f>
        <v/>
      </c>
      <c r="X492" s="1" t="str">
        <f>IF(OR($B492="",X$7=""),"",IF($B492="MEANS",INDEX('1-DATA'!$1:$1048576,$A491-1,COLUMN('1-DATA'!W490)),ROUND(INDEX('1-DATA'!$1:$1048576,IF(OR($B492="STD. DEVIATION",$C$1=1),$A492,$A492+1),COLUMN('1-DATA'!W490)),IF($B492="STD. DEVIATION",2,$F$1))))</f>
        <v/>
      </c>
      <c r="Y492" s="1" t="str">
        <f>IF(OR($B492="",Y$7=""),"",IF($B492="MEANS",INDEX('1-DATA'!$1:$1048576,$A491-1,COLUMN('1-DATA'!X490)),ROUND(INDEX('1-DATA'!$1:$1048576,IF(OR($B492="STD. DEVIATION",$C$1=1),$A492,$A492+1),COLUMN('1-DATA'!X490)),IF($B492="STD. DEVIATION",2,$F$1))))</f>
        <v/>
      </c>
      <c r="Z492" s="1" t="str">
        <f>IF(OR($B492="",Z$7=""),"",IF($B492="MEANS",INDEX('1-DATA'!$1:$1048576,$A491-1,COLUMN('1-DATA'!Y490)),ROUND(INDEX('1-DATA'!$1:$1048576,IF(OR($B492="STD. DEVIATION",$C$1=1),$A492,$A492+1),COLUMN('1-DATA'!Y490)),IF($B492="STD. DEVIATION",2,$F$1))))</f>
        <v/>
      </c>
      <c r="AA492" s="1" t="str">
        <f>IF(OR($B492="",AA$7=""),"",IF($B492="MEANS",INDEX('1-DATA'!$1:$1048576,$A491-1,COLUMN('1-DATA'!Z490)),ROUND(INDEX('1-DATA'!$1:$1048576,IF(OR($B492="STD. DEVIATION",$C$1=1),$A492,$A492+1),COLUMN('1-DATA'!Z490)),IF($B492="STD. DEVIATION",2,$F$1))))</f>
        <v/>
      </c>
      <c r="AB492" s="1" t="str">
        <f>IF(OR($B492="",AB$7=""),"",IF($B492="MEANS",INDEX('1-DATA'!$1:$1048576,$A491-1,COLUMN('1-DATA'!AA490)),ROUND(INDEX('1-DATA'!$1:$1048576,IF(OR($B492="STD. DEVIATION",$C$1=1),$A492,$A492+1),COLUMN('1-DATA'!AA490)),IF($B492="STD. DEVIATION",2,$F$1))))</f>
        <v/>
      </c>
      <c r="AC492" s="1" t="str">
        <f>IF(OR($B492="",AC$7=""),"",IF($B492="MEANS",INDEX('1-DATA'!$1:$1048576,$A491-1,COLUMN('1-DATA'!AB490)),ROUND(INDEX('1-DATA'!$1:$1048576,IF(OR($B492="STD. DEVIATION",$C$1=1),$A492,$A492+1),COLUMN('1-DATA'!AB490)),IF($B492="STD. DEVIATION",2,$F$1))))</f>
        <v/>
      </c>
      <c r="AD492" s="1" t="str">
        <f>IF(OR($B492="",AD$7=""),"",IF($B492="MEANS",INDEX('1-DATA'!$1:$1048576,$A491-1,COLUMN('1-DATA'!AC490)),ROUND(INDEX('1-DATA'!$1:$1048576,IF(OR($B492="STD. DEVIATION",$C$1=1),$A492,$A492+1),COLUMN('1-DATA'!AC490)),IF($B492="STD. DEVIATION",2,$F$1))))</f>
        <v/>
      </c>
      <c r="AE492" s="1" t="str">
        <f>IF(OR($B492="",AE$7=""),"",IF($B492="MEANS",INDEX('1-DATA'!$1:$1048576,$A491-1,COLUMN('1-DATA'!AD490)),ROUND(INDEX('1-DATA'!$1:$1048576,IF(OR($B492="STD. DEVIATION",$C$1=1),$A492,$A492+1),COLUMN('1-DATA'!AD490)),IF($B492="STD. DEVIATION",2,$F$1))))</f>
        <v/>
      </c>
      <c r="AF492" s="1" t="str">
        <f>IF(OR($B492="",AF$7=""),"",IF($B492="MEANS",INDEX('1-DATA'!$1:$1048576,$A491-1,COLUMN('1-DATA'!AE490)),ROUND(INDEX('1-DATA'!$1:$1048576,IF(OR($B492="STD. DEVIATION",$C$1=1),$A492,$A492+1),COLUMN('1-DATA'!AE490)),IF($B492="STD. DEVIATION",2,$F$1))))</f>
        <v/>
      </c>
      <c r="AG492" s="1" t="str">
        <f>IF(OR($B492="",AG$7=""),"",IF($B492="MEANS",INDEX('1-DATA'!$1:$1048576,$A491-1,COLUMN('1-DATA'!AF490)),ROUND(INDEX('1-DATA'!$1:$1048576,IF(OR($B492="STD. DEVIATION",$C$1=1),$A492,$A492+1),COLUMN('1-DATA'!AF490)),IF($B492="STD. DEVIATION",2,$F$1))))</f>
        <v/>
      </c>
      <c r="AH492" s="1" t="str">
        <f>IF(OR($B492="",AH$7=""),"",IF($B492="MEANS",INDEX('1-DATA'!$1:$1048576,$A491-1,COLUMN('1-DATA'!AG490)),ROUND(INDEX('1-DATA'!$1:$1048576,IF(OR($B492="STD. DEVIATION",$C$1=1),$A492,$A492+1),COLUMN('1-DATA'!AG490)),IF($B492="STD. DEVIATION",2,$F$1))))</f>
        <v/>
      </c>
      <c r="AI492" s="1" t="str">
        <f>IF(OR($B492="",AI$7=""),"",IF($B492="MEANS",INDEX('1-DATA'!$1:$1048576,$A491-1,COLUMN('1-DATA'!AH490)),ROUND(INDEX('1-DATA'!$1:$1048576,IF(OR($B492="STD. DEVIATION",$C$1=1),$A492,$A492+1),COLUMN('1-DATA'!AH490)),IF($B492="STD. DEVIATION",2,$F$1))))</f>
        <v/>
      </c>
      <c r="AJ492" s="1" t="str">
        <f>IF(OR($B492="",AJ$7=""),"",IF($B492="MEANS",INDEX('1-DATA'!$1:$1048576,$A491-1,COLUMN('1-DATA'!AI490)),ROUND(INDEX('1-DATA'!$1:$1048576,IF(OR($B492="STD. DEVIATION",$C$1=1),$A492,$A492+1),COLUMN('1-DATA'!AI490)),IF($B492="STD. DEVIATION",2,$F$1))))</f>
        <v/>
      </c>
      <c r="AK492" s="1" t="str">
        <f>IF(OR($B492="",AK$7=""),"",IF($B492="MEANS",INDEX('1-DATA'!$1:$1048576,$A491-1,COLUMN('1-DATA'!AJ490)),ROUND(INDEX('1-DATA'!$1:$1048576,IF(OR($B492="STD. DEVIATION",$C$1=1),$A492,$A492+1),COLUMN('1-DATA'!AJ490)),IF($B492="STD. DEVIATION",2,$F$1))))</f>
        <v/>
      </c>
      <c r="AL492" s="1" t="str">
        <f>IF(OR($B492="",AL$7=""),"",IF($B492="MEANS",INDEX('1-DATA'!$1:$1048576,$A491-1,COLUMN('1-DATA'!AK490)),ROUND(INDEX('1-DATA'!$1:$1048576,IF(OR($B492="STD. DEVIATION",$C$1=1),$A492,$A492+1),COLUMN('1-DATA'!AK490)),IF($B492="STD. DEVIATION",2,$F$1))))</f>
        <v/>
      </c>
      <c r="AM492" s="1" t="str">
        <f>IF(OR($B492="",AM$7=""),"",IF($B492="MEANS",INDEX('1-DATA'!$1:$1048576,$A491-1,COLUMN('1-DATA'!AL490)),ROUND(INDEX('1-DATA'!$1:$1048576,IF(OR($B492="STD. DEVIATION",$C$1=1),$A492,$A492+1),COLUMN('1-DATA'!AL490)),IF($B492="STD. DEVIATION",2,$F$1))))</f>
        <v/>
      </c>
      <c r="AN492" s="1" t="str">
        <f>IF(OR($B492="",AN$7=""),"",IF($B492="MEANS",INDEX('1-DATA'!$1:$1048576,$A491-1,COLUMN('1-DATA'!AM490)),ROUND(INDEX('1-DATA'!$1:$1048576,IF(OR($B492="STD. DEVIATION",$C$1=1),$A492,$A492+1),COLUMN('1-DATA'!AM490)),IF($B492="STD. DEVIATION",2,$F$1))))</f>
        <v/>
      </c>
      <c r="AO492" s="1" t="str">
        <f>IF(OR($B492="",AO$7=""),"",IF($B492="MEANS",INDEX('1-DATA'!$1:$1048576,$A491-1,COLUMN('1-DATA'!AN490)),ROUND(INDEX('1-DATA'!$1:$1048576,IF(OR($B492="STD. DEVIATION",$C$1=1),$A492,$A492+1),COLUMN('1-DATA'!AN490)),IF($B492="STD. DEVIATION",2,$F$1))))</f>
        <v/>
      </c>
      <c r="AP492" s="1" t="str">
        <f>IF(OR($B492="",AP$7=""),"",IF($B492="MEANS",INDEX('1-DATA'!$1:$1048576,$A491-1,COLUMN('1-DATA'!AO490)),ROUND(INDEX('1-DATA'!$1:$1048576,IF(OR($B492="STD. DEVIATION",$C$1=1),$A492,$A492+1),COLUMN('1-DATA'!AO490)),IF($B492="STD. DEVIATION",2,$F$1))))</f>
        <v/>
      </c>
      <c r="AQ492" s="1" t="str">
        <f>IF(OR($B492="",AQ$7=""),"",IF($B492="MEANS",INDEX('1-DATA'!$1:$1048576,$A491-1,COLUMN('1-DATA'!AP490)),ROUND(INDEX('1-DATA'!$1:$1048576,IF(OR($B492="STD. DEVIATION",$C$1=1),$A492,$A492+1),COLUMN('1-DATA'!AP490)),IF($B492="STD. DEVIATION",2,$F$1))))</f>
        <v/>
      </c>
      <c r="AR492" s="1" t="str">
        <f>IF(OR($B492="",AR$7=""),"",IF($B492="MEANS",INDEX('1-DATA'!$1:$1048576,$A491-1,COLUMN('1-DATA'!AQ490)),ROUND(INDEX('1-DATA'!$1:$1048576,IF(OR($B492="STD. DEVIATION",$C$1=1),$A492,$A492+1),COLUMN('1-DATA'!AQ490)),IF($B492="STD. DEVIATION",2,$F$1))))</f>
        <v/>
      </c>
      <c r="AS492" s="1" t="str">
        <f>IF(OR($B492="",AS$7=""),"",IF($B492="MEANS",INDEX('1-DATA'!$1:$1048576,$A491-1,COLUMN('1-DATA'!AR490)),ROUND(INDEX('1-DATA'!$1:$1048576,IF(OR($B492="STD. DEVIATION",$C$1=1),$A492,$A492+1),COLUMN('1-DATA'!AR490)),IF($B492="STD. DEVIATION",2,$F$1))))</f>
        <v/>
      </c>
      <c r="AT492" s="1" t="str">
        <f>IF(OR($B492="",AT$7=""),"",IF($B492="MEANS",INDEX('1-DATA'!$1:$1048576,$A491-1,COLUMN('1-DATA'!AS490)),ROUND(INDEX('1-DATA'!$1:$1048576,IF(OR($B492="STD. DEVIATION",$C$1=1),$A492,$A492+1),COLUMN('1-DATA'!AS490)),IF($B492="STD. DEVIATION",2,$F$1))))</f>
        <v/>
      </c>
      <c r="AU492" s="1" t="str">
        <f>IF(OR($B492="",AU$7=""),"",IF($B492="MEANS",INDEX('1-DATA'!$1:$1048576,$A491-1,COLUMN('1-DATA'!AT490)),ROUND(INDEX('1-DATA'!$1:$1048576,IF(OR($B492="STD. DEVIATION",$C$1=1),$A492,$A492+1),COLUMN('1-DATA'!AT490)),IF($B492="STD. DEVIATION",2,$F$1))))</f>
        <v/>
      </c>
      <c r="AV492" s="1" t="str">
        <f>IF(OR($B492="",AV$7=""),"",IF($B492="MEANS",INDEX('1-DATA'!$1:$1048576,$A491-1,COLUMN('1-DATA'!AU490)),ROUND(INDEX('1-DATA'!$1:$1048576,IF(OR($B492="STD. DEVIATION",$C$1=1),$A492,$A492+1),COLUMN('1-DATA'!AU490)),IF($B492="STD. DEVIATION",2,$F$1))))</f>
        <v/>
      </c>
      <c r="AW492" s="1" t="str">
        <f>IF(OR($B492="",AW$7=""),"",IF($B492="MEANS",INDEX('1-DATA'!$1:$1048576,$A491-1,COLUMN('1-DATA'!AV490)),ROUND(INDEX('1-DATA'!$1:$1048576,IF(OR($B492="STD. DEVIATION",$C$1=1),$A492,$A492+1),COLUMN('1-DATA'!AV490)),IF($B492="STD. DEVIATION",2,$F$1))))</f>
        <v/>
      </c>
      <c r="AX492" s="1" t="str">
        <f>IF(OR($B492="",AX$7=""),"",IF($B492="MEANS",INDEX('1-DATA'!$1:$1048576,$A491-1,COLUMN('1-DATA'!AW490)),ROUND(INDEX('1-DATA'!$1:$1048576,IF(OR($B492="STD. DEVIATION",$C$1=1),$A492,$A492+1),COLUMN('1-DATA'!AW490)),IF($B492="STD. DEVIATION",2,$F$1))))</f>
        <v/>
      </c>
      <c r="AY492" s="1" t="str">
        <f>IF(OR($B492="",AY$7=""),"",IF($B492="MEANS",INDEX('1-DATA'!$1:$1048576,$A491-1,COLUMN('1-DATA'!AX490)),ROUND(INDEX('1-DATA'!$1:$1048576,IF(OR($B492="STD. DEVIATION",$C$1=1),$A492,$A492+1),COLUMN('1-DATA'!AX490)),IF($B492="STD. DEVIATION",2,$F$1))))</f>
        <v/>
      </c>
      <c r="AZ492" s="1" t="str">
        <f>IF(OR($B492="",AZ$7=""),"",IF($B492="MEANS",INDEX('1-DATA'!$1:$1048576,$A491-1,COLUMN('1-DATA'!AY490)),ROUND(INDEX('1-DATA'!$1:$1048576,IF(OR($B492="STD. DEVIATION",$C$1=1),$A492,$A492+1),COLUMN('1-DATA'!AY490)),IF($B492="STD. DEVIATION",2,$F$1))))</f>
        <v/>
      </c>
    </row>
    <row r="493" spans="1:52" x14ac:dyDescent="0.25">
      <c r="A493" s="11">
        <f t="shared" si="8"/>
        <v>1465</v>
      </c>
      <c r="B493" s="1" t="str">
        <f>IF(B492="STD. DEVIATION",INDEX('1-DATA'!$1:$1048576,$A492-1,1),IF(INDEX('1-DATA'!$1:$1048576,$A493,1)&lt;&gt;"",INDEX('1-DATA'!$1:$1048576,$A493,1),""))</f>
        <v/>
      </c>
      <c r="C493" s="1" t="str">
        <f>IF(OR($B493="",C$7=""),"",IF($B493="MEANS",INDEX('1-DATA'!$1:$1048576,$A492-1,COLUMN('1-DATA'!B491)),ROUND(INDEX('1-DATA'!$1:$1048576,IF(OR($B493="STD. DEVIATION",$C$1=1),$A493,$A493+1),COLUMN('1-DATA'!B491)),IF($B493="STD. DEVIATION",2,$F$1))))</f>
        <v/>
      </c>
      <c r="D493" s="1" t="str">
        <f>IF(OR($B493="",D$7=""),"",IF($B493="MEANS",INDEX('1-DATA'!$1:$1048576,$A492-1,COLUMN('1-DATA'!C491)),ROUND(INDEX('1-DATA'!$1:$1048576,IF(OR($B493="STD. DEVIATION",$C$1=1),$A493,$A493+1),COLUMN('1-DATA'!C491)),IF($B493="STD. DEVIATION",2,$F$1))))</f>
        <v/>
      </c>
      <c r="E493" s="1" t="str">
        <f>IF(OR($B493="",E$7=""),"",IF($B493="MEANS",INDEX('1-DATA'!$1:$1048576,$A492-1,COLUMN('1-DATA'!D491)),ROUND(INDEX('1-DATA'!$1:$1048576,IF(OR($B493="STD. DEVIATION",$C$1=1),$A493,$A493+1),COLUMN('1-DATA'!D491)),IF($B493="STD. DEVIATION",2,$F$1))))</f>
        <v/>
      </c>
      <c r="F493" s="1" t="str">
        <f>IF(OR($B493="",F$7=""),"",IF($B493="MEANS",INDEX('1-DATA'!$1:$1048576,$A492-1,COLUMN('1-DATA'!E491)),ROUND(INDEX('1-DATA'!$1:$1048576,IF(OR($B493="STD. DEVIATION",$C$1=1),$A493,$A493+1),COLUMN('1-DATA'!E491)),IF($B493="STD. DEVIATION",2,$F$1))))</f>
        <v/>
      </c>
      <c r="G493" s="1" t="str">
        <f>IF(OR($B493="",G$7=""),"",IF($B493="MEANS",INDEX('1-DATA'!$1:$1048576,$A492-1,COLUMN('1-DATA'!F491)),ROUND(INDEX('1-DATA'!$1:$1048576,IF(OR($B493="STD. DEVIATION",$C$1=1),$A493,$A493+1),COLUMN('1-DATA'!F491)),IF($B493="STD. DEVIATION",2,$F$1))))</f>
        <v/>
      </c>
      <c r="H493" s="1" t="str">
        <f>IF(OR($B493="",H$7=""),"",IF($B493="MEANS",INDEX('1-DATA'!$1:$1048576,$A492-1,COLUMN('1-DATA'!G491)),ROUND(INDEX('1-DATA'!$1:$1048576,IF(OR($B493="STD. DEVIATION",$C$1=1),$A493,$A493+1),COLUMN('1-DATA'!G491)),IF($B493="STD. DEVIATION",2,$F$1))))</f>
        <v/>
      </c>
      <c r="I493" s="1" t="str">
        <f>IF(OR($B493="",I$7=""),"",IF($B493="MEANS",INDEX('1-DATA'!$1:$1048576,$A492-1,COLUMN('1-DATA'!H491)),ROUND(INDEX('1-DATA'!$1:$1048576,IF(OR($B493="STD. DEVIATION",$C$1=1),$A493,$A493+1),COLUMN('1-DATA'!H491)),IF($B493="STD. DEVIATION",2,$F$1))))</f>
        <v/>
      </c>
      <c r="J493" s="1" t="str">
        <f>IF(OR($B493="",J$7=""),"",IF($B493="MEANS",INDEX('1-DATA'!$1:$1048576,$A492-1,COLUMN('1-DATA'!I491)),ROUND(INDEX('1-DATA'!$1:$1048576,IF(OR($B493="STD. DEVIATION",$C$1=1),$A493,$A493+1),COLUMN('1-DATA'!I491)),IF($B493="STD. DEVIATION",2,$F$1))))</f>
        <v/>
      </c>
      <c r="K493" s="1" t="str">
        <f>IF(OR($B493="",K$7=""),"",IF($B493="MEANS",INDEX('1-DATA'!$1:$1048576,$A492-1,COLUMN('1-DATA'!J491)),ROUND(INDEX('1-DATA'!$1:$1048576,IF(OR($B493="STD. DEVIATION",$C$1=1),$A493,$A493+1),COLUMN('1-DATA'!J491)),IF($B493="STD. DEVIATION",2,$F$1))))</f>
        <v/>
      </c>
      <c r="L493" s="1" t="str">
        <f>IF(OR($B493="",L$7=""),"",IF($B493="MEANS",INDEX('1-DATA'!$1:$1048576,$A492-1,COLUMN('1-DATA'!K491)),ROUND(INDEX('1-DATA'!$1:$1048576,IF(OR($B493="STD. DEVIATION",$C$1=1),$A493,$A493+1),COLUMN('1-DATA'!K491)),IF($B493="STD. DEVIATION",2,$F$1))))</f>
        <v/>
      </c>
      <c r="M493" s="1" t="str">
        <f>IF(OR($B493="",M$7=""),"",IF($B493="MEANS",INDEX('1-DATA'!$1:$1048576,$A492-1,COLUMN('1-DATA'!L491)),ROUND(INDEX('1-DATA'!$1:$1048576,IF(OR($B493="STD. DEVIATION",$C$1=1),$A493,$A493+1),COLUMN('1-DATA'!L491)),IF($B493="STD. DEVIATION",2,$F$1))))</f>
        <v/>
      </c>
      <c r="N493" s="1" t="str">
        <f>IF(OR($B493="",N$7=""),"",IF($B493="MEANS",INDEX('1-DATA'!$1:$1048576,$A492-1,COLUMN('1-DATA'!M491)),ROUND(INDEX('1-DATA'!$1:$1048576,IF(OR($B493="STD. DEVIATION",$C$1=1),$A493,$A493+1),COLUMN('1-DATA'!M491)),IF($B493="STD. DEVIATION",2,$F$1))))</f>
        <v/>
      </c>
      <c r="O493" s="1" t="str">
        <f>IF(OR($B493="",O$7=""),"",IF($B493="MEANS",INDEX('1-DATA'!$1:$1048576,$A492-1,COLUMN('1-DATA'!N491)),ROUND(INDEX('1-DATA'!$1:$1048576,IF(OR($B493="STD. DEVIATION",$C$1=1),$A493,$A493+1),COLUMN('1-DATA'!N491)),IF($B493="STD. DEVIATION",2,$F$1))))</f>
        <v/>
      </c>
      <c r="P493" s="1" t="str">
        <f>IF(OR($B493="",P$7=""),"",IF($B493="MEANS",INDEX('1-DATA'!$1:$1048576,$A492-1,COLUMN('1-DATA'!O491)),ROUND(INDEX('1-DATA'!$1:$1048576,IF(OR($B493="STD. DEVIATION",$C$1=1),$A493,$A493+1),COLUMN('1-DATA'!O491)),IF($B493="STD. DEVIATION",2,$F$1))))</f>
        <v/>
      </c>
      <c r="Q493" s="1" t="str">
        <f>IF(OR($B493="",Q$7=""),"",IF($B493="MEANS",INDEX('1-DATA'!$1:$1048576,$A492-1,COLUMN('1-DATA'!P491)),ROUND(INDEX('1-DATA'!$1:$1048576,IF(OR($B493="STD. DEVIATION",$C$1=1),$A493,$A493+1),COLUMN('1-DATA'!P491)),IF($B493="STD. DEVIATION",2,$F$1))))</f>
        <v/>
      </c>
      <c r="R493" s="1" t="str">
        <f>IF(OR($B493="",R$7=""),"",IF($B493="MEANS",INDEX('1-DATA'!$1:$1048576,$A492-1,COLUMN('1-DATA'!Q491)),ROUND(INDEX('1-DATA'!$1:$1048576,IF(OR($B493="STD. DEVIATION",$C$1=1),$A493,$A493+1),COLUMN('1-DATA'!Q491)),IF($B493="STD. DEVIATION",2,$F$1))))</f>
        <v/>
      </c>
      <c r="S493" s="1" t="str">
        <f>IF(OR($B493="",S$7=""),"",IF($B493="MEANS",INDEX('1-DATA'!$1:$1048576,$A492-1,COLUMN('1-DATA'!R491)),ROUND(INDEX('1-DATA'!$1:$1048576,IF(OR($B493="STD. DEVIATION",$C$1=1),$A493,$A493+1),COLUMN('1-DATA'!R491)),IF($B493="STD. DEVIATION",2,$F$1))))</f>
        <v/>
      </c>
      <c r="T493" s="1" t="str">
        <f>IF(OR($B493="",T$7=""),"",IF($B493="MEANS",INDEX('1-DATA'!$1:$1048576,$A492-1,COLUMN('1-DATA'!S491)),ROUND(INDEX('1-DATA'!$1:$1048576,IF(OR($B493="STD. DEVIATION",$C$1=1),$A493,$A493+1),COLUMN('1-DATA'!S491)),IF($B493="STD. DEVIATION",2,$F$1))))</f>
        <v/>
      </c>
      <c r="U493" s="1" t="str">
        <f>IF(OR($B493="",U$7=""),"",IF($B493="MEANS",INDEX('1-DATA'!$1:$1048576,$A492-1,COLUMN('1-DATA'!T491)),ROUND(INDEX('1-DATA'!$1:$1048576,IF(OR($B493="STD. DEVIATION",$C$1=1),$A493,$A493+1),COLUMN('1-DATA'!T491)),IF($B493="STD. DEVIATION",2,$F$1))))</f>
        <v/>
      </c>
      <c r="V493" s="1" t="str">
        <f>IF(OR($B493="",V$7=""),"",IF($B493="MEANS",INDEX('1-DATA'!$1:$1048576,$A492-1,COLUMN('1-DATA'!U491)),ROUND(INDEX('1-DATA'!$1:$1048576,IF(OR($B493="STD. DEVIATION",$C$1=1),$A493,$A493+1),COLUMN('1-DATA'!U491)),IF($B493="STD. DEVIATION",2,$F$1))))</f>
        <v/>
      </c>
      <c r="W493" s="1" t="str">
        <f>IF(OR($B493="",W$7=""),"",IF($B493="MEANS",INDEX('1-DATA'!$1:$1048576,$A492-1,COLUMN('1-DATA'!V491)),ROUND(INDEX('1-DATA'!$1:$1048576,IF(OR($B493="STD. DEVIATION",$C$1=1),$A493,$A493+1),COLUMN('1-DATA'!V491)),IF($B493="STD. DEVIATION",2,$F$1))))</f>
        <v/>
      </c>
      <c r="X493" s="1" t="str">
        <f>IF(OR($B493="",X$7=""),"",IF($B493="MEANS",INDEX('1-DATA'!$1:$1048576,$A492-1,COLUMN('1-DATA'!W491)),ROUND(INDEX('1-DATA'!$1:$1048576,IF(OR($B493="STD. DEVIATION",$C$1=1),$A493,$A493+1),COLUMN('1-DATA'!W491)),IF($B493="STD. DEVIATION",2,$F$1))))</f>
        <v/>
      </c>
      <c r="Y493" s="1" t="str">
        <f>IF(OR($B493="",Y$7=""),"",IF($B493="MEANS",INDEX('1-DATA'!$1:$1048576,$A492-1,COLUMN('1-DATA'!X491)),ROUND(INDEX('1-DATA'!$1:$1048576,IF(OR($B493="STD. DEVIATION",$C$1=1),$A493,$A493+1),COLUMN('1-DATA'!X491)),IF($B493="STD. DEVIATION",2,$F$1))))</f>
        <v/>
      </c>
      <c r="Z493" s="1" t="str">
        <f>IF(OR($B493="",Z$7=""),"",IF($B493="MEANS",INDEX('1-DATA'!$1:$1048576,$A492-1,COLUMN('1-DATA'!Y491)),ROUND(INDEX('1-DATA'!$1:$1048576,IF(OR($B493="STD. DEVIATION",$C$1=1),$A493,$A493+1),COLUMN('1-DATA'!Y491)),IF($B493="STD. DEVIATION",2,$F$1))))</f>
        <v/>
      </c>
      <c r="AA493" s="1" t="str">
        <f>IF(OR($B493="",AA$7=""),"",IF($B493="MEANS",INDEX('1-DATA'!$1:$1048576,$A492-1,COLUMN('1-DATA'!Z491)),ROUND(INDEX('1-DATA'!$1:$1048576,IF(OR($B493="STD. DEVIATION",$C$1=1),$A493,$A493+1),COLUMN('1-DATA'!Z491)),IF($B493="STD. DEVIATION",2,$F$1))))</f>
        <v/>
      </c>
      <c r="AB493" s="1" t="str">
        <f>IF(OR($B493="",AB$7=""),"",IF($B493="MEANS",INDEX('1-DATA'!$1:$1048576,$A492-1,COLUMN('1-DATA'!AA491)),ROUND(INDEX('1-DATA'!$1:$1048576,IF(OR($B493="STD. DEVIATION",$C$1=1),$A493,$A493+1),COLUMN('1-DATA'!AA491)),IF($B493="STD. DEVIATION",2,$F$1))))</f>
        <v/>
      </c>
      <c r="AC493" s="1" t="str">
        <f>IF(OR($B493="",AC$7=""),"",IF($B493="MEANS",INDEX('1-DATA'!$1:$1048576,$A492-1,COLUMN('1-DATA'!AB491)),ROUND(INDEX('1-DATA'!$1:$1048576,IF(OR($B493="STD. DEVIATION",$C$1=1),$A493,$A493+1),COLUMN('1-DATA'!AB491)),IF($B493="STD. DEVIATION",2,$F$1))))</f>
        <v/>
      </c>
      <c r="AD493" s="1" t="str">
        <f>IF(OR($B493="",AD$7=""),"",IF($B493="MEANS",INDEX('1-DATA'!$1:$1048576,$A492-1,COLUMN('1-DATA'!AC491)),ROUND(INDEX('1-DATA'!$1:$1048576,IF(OR($B493="STD. DEVIATION",$C$1=1),$A493,$A493+1),COLUMN('1-DATA'!AC491)),IF($B493="STD. DEVIATION",2,$F$1))))</f>
        <v/>
      </c>
      <c r="AE493" s="1" t="str">
        <f>IF(OR($B493="",AE$7=""),"",IF($B493="MEANS",INDEX('1-DATA'!$1:$1048576,$A492-1,COLUMN('1-DATA'!AD491)),ROUND(INDEX('1-DATA'!$1:$1048576,IF(OR($B493="STD. DEVIATION",$C$1=1),$A493,$A493+1),COLUMN('1-DATA'!AD491)),IF($B493="STD. DEVIATION",2,$F$1))))</f>
        <v/>
      </c>
      <c r="AF493" s="1" t="str">
        <f>IF(OR($B493="",AF$7=""),"",IF($B493="MEANS",INDEX('1-DATA'!$1:$1048576,$A492-1,COLUMN('1-DATA'!AE491)),ROUND(INDEX('1-DATA'!$1:$1048576,IF(OR($B493="STD. DEVIATION",$C$1=1),$A493,$A493+1),COLUMN('1-DATA'!AE491)),IF($B493="STD. DEVIATION",2,$F$1))))</f>
        <v/>
      </c>
      <c r="AG493" s="1" t="str">
        <f>IF(OR($B493="",AG$7=""),"",IF($B493="MEANS",INDEX('1-DATA'!$1:$1048576,$A492-1,COLUMN('1-DATA'!AF491)),ROUND(INDEX('1-DATA'!$1:$1048576,IF(OR($B493="STD. DEVIATION",$C$1=1),$A493,$A493+1),COLUMN('1-DATA'!AF491)),IF($B493="STD. DEVIATION",2,$F$1))))</f>
        <v/>
      </c>
      <c r="AH493" s="1" t="str">
        <f>IF(OR($B493="",AH$7=""),"",IF($B493="MEANS",INDEX('1-DATA'!$1:$1048576,$A492-1,COLUMN('1-DATA'!AG491)),ROUND(INDEX('1-DATA'!$1:$1048576,IF(OR($B493="STD. DEVIATION",$C$1=1),$A493,$A493+1),COLUMN('1-DATA'!AG491)),IF($B493="STD. DEVIATION",2,$F$1))))</f>
        <v/>
      </c>
      <c r="AI493" s="1" t="str">
        <f>IF(OR($B493="",AI$7=""),"",IF($B493="MEANS",INDEX('1-DATA'!$1:$1048576,$A492-1,COLUMN('1-DATA'!AH491)),ROUND(INDEX('1-DATA'!$1:$1048576,IF(OR($B493="STD. DEVIATION",$C$1=1),$A493,$A493+1),COLUMN('1-DATA'!AH491)),IF($B493="STD. DEVIATION",2,$F$1))))</f>
        <v/>
      </c>
      <c r="AJ493" s="1" t="str">
        <f>IF(OR($B493="",AJ$7=""),"",IF($B493="MEANS",INDEX('1-DATA'!$1:$1048576,$A492-1,COLUMN('1-DATA'!AI491)),ROUND(INDEX('1-DATA'!$1:$1048576,IF(OR($B493="STD. DEVIATION",$C$1=1),$A493,$A493+1),COLUMN('1-DATA'!AI491)),IF($B493="STD. DEVIATION",2,$F$1))))</f>
        <v/>
      </c>
      <c r="AK493" s="1" t="str">
        <f>IF(OR($B493="",AK$7=""),"",IF($B493="MEANS",INDEX('1-DATA'!$1:$1048576,$A492-1,COLUMN('1-DATA'!AJ491)),ROUND(INDEX('1-DATA'!$1:$1048576,IF(OR($B493="STD. DEVIATION",$C$1=1),$A493,$A493+1),COLUMN('1-DATA'!AJ491)),IF($B493="STD. DEVIATION",2,$F$1))))</f>
        <v/>
      </c>
      <c r="AL493" s="1" t="str">
        <f>IF(OR($B493="",AL$7=""),"",IF($B493="MEANS",INDEX('1-DATA'!$1:$1048576,$A492-1,COLUMN('1-DATA'!AK491)),ROUND(INDEX('1-DATA'!$1:$1048576,IF(OR($B493="STD. DEVIATION",$C$1=1),$A493,$A493+1),COLUMN('1-DATA'!AK491)),IF($B493="STD. DEVIATION",2,$F$1))))</f>
        <v/>
      </c>
      <c r="AM493" s="1" t="str">
        <f>IF(OR($B493="",AM$7=""),"",IF($B493="MEANS",INDEX('1-DATA'!$1:$1048576,$A492-1,COLUMN('1-DATA'!AL491)),ROUND(INDEX('1-DATA'!$1:$1048576,IF(OR($B493="STD. DEVIATION",$C$1=1),$A493,$A493+1),COLUMN('1-DATA'!AL491)),IF($B493="STD. DEVIATION",2,$F$1))))</f>
        <v/>
      </c>
      <c r="AN493" s="1" t="str">
        <f>IF(OR($B493="",AN$7=""),"",IF($B493="MEANS",INDEX('1-DATA'!$1:$1048576,$A492-1,COLUMN('1-DATA'!AM491)),ROUND(INDEX('1-DATA'!$1:$1048576,IF(OR($B493="STD. DEVIATION",$C$1=1),$A493,$A493+1),COLUMN('1-DATA'!AM491)),IF($B493="STD. DEVIATION",2,$F$1))))</f>
        <v/>
      </c>
      <c r="AO493" s="1" t="str">
        <f>IF(OR($B493="",AO$7=""),"",IF($B493="MEANS",INDEX('1-DATA'!$1:$1048576,$A492-1,COLUMN('1-DATA'!AN491)),ROUND(INDEX('1-DATA'!$1:$1048576,IF(OR($B493="STD. DEVIATION",$C$1=1),$A493,$A493+1),COLUMN('1-DATA'!AN491)),IF($B493="STD. DEVIATION",2,$F$1))))</f>
        <v/>
      </c>
      <c r="AP493" s="1" t="str">
        <f>IF(OR($B493="",AP$7=""),"",IF($B493="MEANS",INDEX('1-DATA'!$1:$1048576,$A492-1,COLUMN('1-DATA'!AO491)),ROUND(INDEX('1-DATA'!$1:$1048576,IF(OR($B493="STD. DEVIATION",$C$1=1),$A493,$A493+1),COLUMN('1-DATA'!AO491)),IF($B493="STD. DEVIATION",2,$F$1))))</f>
        <v/>
      </c>
      <c r="AQ493" s="1" t="str">
        <f>IF(OR($B493="",AQ$7=""),"",IF($B493="MEANS",INDEX('1-DATA'!$1:$1048576,$A492-1,COLUMN('1-DATA'!AP491)),ROUND(INDEX('1-DATA'!$1:$1048576,IF(OR($B493="STD. DEVIATION",$C$1=1),$A493,$A493+1),COLUMN('1-DATA'!AP491)),IF($B493="STD. DEVIATION",2,$F$1))))</f>
        <v/>
      </c>
      <c r="AR493" s="1" t="str">
        <f>IF(OR($B493="",AR$7=""),"",IF($B493="MEANS",INDEX('1-DATA'!$1:$1048576,$A492-1,COLUMN('1-DATA'!AQ491)),ROUND(INDEX('1-DATA'!$1:$1048576,IF(OR($B493="STD. DEVIATION",$C$1=1),$A493,$A493+1),COLUMN('1-DATA'!AQ491)),IF($B493="STD. DEVIATION",2,$F$1))))</f>
        <v/>
      </c>
      <c r="AS493" s="1" t="str">
        <f>IF(OR($B493="",AS$7=""),"",IF($B493="MEANS",INDEX('1-DATA'!$1:$1048576,$A492-1,COLUMN('1-DATA'!AR491)),ROUND(INDEX('1-DATA'!$1:$1048576,IF(OR($B493="STD. DEVIATION",$C$1=1),$A493,$A493+1),COLUMN('1-DATA'!AR491)),IF($B493="STD. DEVIATION",2,$F$1))))</f>
        <v/>
      </c>
      <c r="AT493" s="1" t="str">
        <f>IF(OR($B493="",AT$7=""),"",IF($B493="MEANS",INDEX('1-DATA'!$1:$1048576,$A492-1,COLUMN('1-DATA'!AS491)),ROUND(INDEX('1-DATA'!$1:$1048576,IF(OR($B493="STD. DEVIATION",$C$1=1),$A493,$A493+1),COLUMN('1-DATA'!AS491)),IF($B493="STD. DEVIATION",2,$F$1))))</f>
        <v/>
      </c>
      <c r="AU493" s="1" t="str">
        <f>IF(OR($B493="",AU$7=""),"",IF($B493="MEANS",INDEX('1-DATA'!$1:$1048576,$A492-1,COLUMN('1-DATA'!AT491)),ROUND(INDEX('1-DATA'!$1:$1048576,IF(OR($B493="STD. DEVIATION",$C$1=1),$A493,$A493+1),COLUMN('1-DATA'!AT491)),IF($B493="STD. DEVIATION",2,$F$1))))</f>
        <v/>
      </c>
      <c r="AV493" s="1" t="str">
        <f>IF(OR($B493="",AV$7=""),"",IF($B493="MEANS",INDEX('1-DATA'!$1:$1048576,$A492-1,COLUMN('1-DATA'!AU491)),ROUND(INDEX('1-DATA'!$1:$1048576,IF(OR($B493="STD. DEVIATION",$C$1=1),$A493,$A493+1),COLUMN('1-DATA'!AU491)),IF($B493="STD. DEVIATION",2,$F$1))))</f>
        <v/>
      </c>
      <c r="AW493" s="1" t="str">
        <f>IF(OR($B493="",AW$7=""),"",IF($B493="MEANS",INDEX('1-DATA'!$1:$1048576,$A492-1,COLUMN('1-DATA'!AV491)),ROUND(INDEX('1-DATA'!$1:$1048576,IF(OR($B493="STD. DEVIATION",$C$1=1),$A493,$A493+1),COLUMN('1-DATA'!AV491)),IF($B493="STD. DEVIATION",2,$F$1))))</f>
        <v/>
      </c>
      <c r="AX493" s="1" t="str">
        <f>IF(OR($B493="",AX$7=""),"",IF($B493="MEANS",INDEX('1-DATA'!$1:$1048576,$A492-1,COLUMN('1-DATA'!AW491)),ROUND(INDEX('1-DATA'!$1:$1048576,IF(OR($B493="STD. DEVIATION",$C$1=1),$A493,$A493+1),COLUMN('1-DATA'!AW491)),IF($B493="STD. DEVIATION",2,$F$1))))</f>
        <v/>
      </c>
      <c r="AY493" s="1" t="str">
        <f>IF(OR($B493="",AY$7=""),"",IF($B493="MEANS",INDEX('1-DATA'!$1:$1048576,$A492-1,COLUMN('1-DATA'!AX491)),ROUND(INDEX('1-DATA'!$1:$1048576,IF(OR($B493="STD. DEVIATION",$C$1=1),$A493,$A493+1),COLUMN('1-DATA'!AX491)),IF($B493="STD. DEVIATION",2,$F$1))))</f>
        <v/>
      </c>
      <c r="AZ493" s="1" t="str">
        <f>IF(OR($B493="",AZ$7=""),"",IF($B493="MEANS",INDEX('1-DATA'!$1:$1048576,$A492-1,COLUMN('1-DATA'!AY491)),ROUND(INDEX('1-DATA'!$1:$1048576,IF(OR($B493="STD. DEVIATION",$C$1=1),$A493,$A493+1),COLUMN('1-DATA'!AY491)),IF($B493="STD. DEVIATION",2,$F$1))))</f>
        <v/>
      </c>
    </row>
    <row r="494" spans="1:52" x14ac:dyDescent="0.25">
      <c r="A494" s="11">
        <f t="shared" si="8"/>
        <v>1468</v>
      </c>
      <c r="B494" s="1" t="str">
        <f>IF(B493="STD. DEVIATION",INDEX('1-DATA'!$1:$1048576,$A493-1,1),IF(INDEX('1-DATA'!$1:$1048576,$A494,1)&lt;&gt;"",INDEX('1-DATA'!$1:$1048576,$A494,1),""))</f>
        <v/>
      </c>
      <c r="C494" s="1" t="str">
        <f>IF(OR($B494="",C$7=""),"",IF($B494="MEANS",INDEX('1-DATA'!$1:$1048576,$A493-1,COLUMN('1-DATA'!B492)),ROUND(INDEX('1-DATA'!$1:$1048576,IF(OR($B494="STD. DEVIATION",$C$1=1),$A494,$A494+1),COLUMN('1-DATA'!B492)),IF($B494="STD. DEVIATION",2,$F$1))))</f>
        <v/>
      </c>
      <c r="D494" s="1" t="str">
        <f>IF(OR($B494="",D$7=""),"",IF($B494="MEANS",INDEX('1-DATA'!$1:$1048576,$A493-1,COLUMN('1-DATA'!C492)),ROUND(INDEX('1-DATA'!$1:$1048576,IF(OR($B494="STD. DEVIATION",$C$1=1),$A494,$A494+1),COLUMN('1-DATA'!C492)),IF($B494="STD. DEVIATION",2,$F$1))))</f>
        <v/>
      </c>
      <c r="E494" s="1" t="str">
        <f>IF(OR($B494="",E$7=""),"",IF($B494="MEANS",INDEX('1-DATA'!$1:$1048576,$A493-1,COLUMN('1-DATA'!D492)),ROUND(INDEX('1-DATA'!$1:$1048576,IF(OR($B494="STD. DEVIATION",$C$1=1),$A494,$A494+1),COLUMN('1-DATA'!D492)),IF($B494="STD. DEVIATION",2,$F$1))))</f>
        <v/>
      </c>
      <c r="F494" s="1" t="str">
        <f>IF(OR($B494="",F$7=""),"",IF($B494="MEANS",INDEX('1-DATA'!$1:$1048576,$A493-1,COLUMN('1-DATA'!E492)),ROUND(INDEX('1-DATA'!$1:$1048576,IF(OR($B494="STD. DEVIATION",$C$1=1),$A494,$A494+1),COLUMN('1-DATA'!E492)),IF($B494="STD. DEVIATION",2,$F$1))))</f>
        <v/>
      </c>
      <c r="G494" s="1" t="str">
        <f>IF(OR($B494="",G$7=""),"",IF($B494="MEANS",INDEX('1-DATA'!$1:$1048576,$A493-1,COLUMN('1-DATA'!F492)),ROUND(INDEX('1-DATA'!$1:$1048576,IF(OR($B494="STD. DEVIATION",$C$1=1),$A494,$A494+1),COLUMN('1-DATA'!F492)),IF($B494="STD. DEVIATION",2,$F$1))))</f>
        <v/>
      </c>
      <c r="H494" s="1" t="str">
        <f>IF(OR($B494="",H$7=""),"",IF($B494="MEANS",INDEX('1-DATA'!$1:$1048576,$A493-1,COLUMN('1-DATA'!G492)),ROUND(INDEX('1-DATA'!$1:$1048576,IF(OR($B494="STD. DEVIATION",$C$1=1),$A494,$A494+1),COLUMN('1-DATA'!G492)),IF($B494="STD. DEVIATION",2,$F$1))))</f>
        <v/>
      </c>
      <c r="I494" s="1" t="str">
        <f>IF(OR($B494="",I$7=""),"",IF($B494="MEANS",INDEX('1-DATA'!$1:$1048576,$A493-1,COLUMN('1-DATA'!H492)),ROUND(INDEX('1-DATA'!$1:$1048576,IF(OR($B494="STD. DEVIATION",$C$1=1),$A494,$A494+1),COLUMN('1-DATA'!H492)),IF($B494="STD. DEVIATION",2,$F$1))))</f>
        <v/>
      </c>
      <c r="J494" s="1" t="str">
        <f>IF(OR($B494="",J$7=""),"",IF($B494="MEANS",INDEX('1-DATA'!$1:$1048576,$A493-1,COLUMN('1-DATA'!I492)),ROUND(INDEX('1-DATA'!$1:$1048576,IF(OR($B494="STD. DEVIATION",$C$1=1),$A494,$A494+1),COLUMN('1-DATA'!I492)),IF($B494="STD. DEVIATION",2,$F$1))))</f>
        <v/>
      </c>
      <c r="K494" s="1" t="str">
        <f>IF(OR($B494="",K$7=""),"",IF($B494="MEANS",INDEX('1-DATA'!$1:$1048576,$A493-1,COLUMN('1-DATA'!J492)),ROUND(INDEX('1-DATA'!$1:$1048576,IF(OR($B494="STD. DEVIATION",$C$1=1),$A494,$A494+1),COLUMN('1-DATA'!J492)),IF($B494="STD. DEVIATION",2,$F$1))))</f>
        <v/>
      </c>
      <c r="L494" s="1" t="str">
        <f>IF(OR($B494="",L$7=""),"",IF($B494="MEANS",INDEX('1-DATA'!$1:$1048576,$A493-1,COLUMN('1-DATA'!K492)),ROUND(INDEX('1-DATA'!$1:$1048576,IF(OR($B494="STD. DEVIATION",$C$1=1),$A494,$A494+1),COLUMN('1-DATA'!K492)),IF($B494="STD. DEVIATION",2,$F$1))))</f>
        <v/>
      </c>
      <c r="M494" s="1" t="str">
        <f>IF(OR($B494="",M$7=""),"",IF($B494="MEANS",INDEX('1-DATA'!$1:$1048576,$A493-1,COLUMN('1-DATA'!L492)),ROUND(INDEX('1-DATA'!$1:$1048576,IF(OR($B494="STD. DEVIATION",$C$1=1),$A494,$A494+1),COLUMN('1-DATA'!L492)),IF($B494="STD. DEVIATION",2,$F$1))))</f>
        <v/>
      </c>
      <c r="N494" s="1" t="str">
        <f>IF(OR($B494="",N$7=""),"",IF($B494="MEANS",INDEX('1-DATA'!$1:$1048576,$A493-1,COLUMN('1-DATA'!M492)),ROUND(INDEX('1-DATA'!$1:$1048576,IF(OR($B494="STD. DEVIATION",$C$1=1),$A494,$A494+1),COLUMN('1-DATA'!M492)),IF($B494="STD. DEVIATION",2,$F$1))))</f>
        <v/>
      </c>
      <c r="O494" s="1" t="str">
        <f>IF(OR($B494="",O$7=""),"",IF($B494="MEANS",INDEX('1-DATA'!$1:$1048576,$A493-1,COLUMN('1-DATA'!N492)),ROUND(INDEX('1-DATA'!$1:$1048576,IF(OR($B494="STD. DEVIATION",$C$1=1),$A494,$A494+1),COLUMN('1-DATA'!N492)),IF($B494="STD. DEVIATION",2,$F$1))))</f>
        <v/>
      </c>
      <c r="P494" s="1" t="str">
        <f>IF(OR($B494="",P$7=""),"",IF($B494="MEANS",INDEX('1-DATA'!$1:$1048576,$A493-1,COLUMN('1-DATA'!O492)),ROUND(INDEX('1-DATA'!$1:$1048576,IF(OR($B494="STD. DEVIATION",$C$1=1),$A494,$A494+1),COLUMN('1-DATA'!O492)),IF($B494="STD. DEVIATION",2,$F$1))))</f>
        <v/>
      </c>
      <c r="Q494" s="1" t="str">
        <f>IF(OR($B494="",Q$7=""),"",IF($B494="MEANS",INDEX('1-DATA'!$1:$1048576,$A493-1,COLUMN('1-DATA'!P492)),ROUND(INDEX('1-DATA'!$1:$1048576,IF(OR($B494="STD. DEVIATION",$C$1=1),$A494,$A494+1),COLUMN('1-DATA'!P492)),IF($B494="STD. DEVIATION",2,$F$1))))</f>
        <v/>
      </c>
      <c r="R494" s="1" t="str">
        <f>IF(OR($B494="",R$7=""),"",IF($B494="MEANS",INDEX('1-DATA'!$1:$1048576,$A493-1,COLUMN('1-DATA'!Q492)),ROUND(INDEX('1-DATA'!$1:$1048576,IF(OR($B494="STD. DEVIATION",$C$1=1),$A494,$A494+1),COLUMN('1-DATA'!Q492)),IF($B494="STD. DEVIATION",2,$F$1))))</f>
        <v/>
      </c>
      <c r="S494" s="1" t="str">
        <f>IF(OR($B494="",S$7=""),"",IF($B494="MEANS",INDEX('1-DATA'!$1:$1048576,$A493-1,COLUMN('1-DATA'!R492)),ROUND(INDEX('1-DATA'!$1:$1048576,IF(OR($B494="STD. DEVIATION",$C$1=1),$A494,$A494+1),COLUMN('1-DATA'!R492)),IF($B494="STD. DEVIATION",2,$F$1))))</f>
        <v/>
      </c>
      <c r="T494" s="1" t="str">
        <f>IF(OR($B494="",T$7=""),"",IF($B494="MEANS",INDEX('1-DATA'!$1:$1048576,$A493-1,COLUMN('1-DATA'!S492)),ROUND(INDEX('1-DATA'!$1:$1048576,IF(OR($B494="STD. DEVIATION",$C$1=1),$A494,$A494+1),COLUMN('1-DATA'!S492)),IF($B494="STD. DEVIATION",2,$F$1))))</f>
        <v/>
      </c>
      <c r="U494" s="1" t="str">
        <f>IF(OR($B494="",U$7=""),"",IF($B494="MEANS",INDEX('1-DATA'!$1:$1048576,$A493-1,COLUMN('1-DATA'!T492)),ROUND(INDEX('1-DATA'!$1:$1048576,IF(OR($B494="STD. DEVIATION",$C$1=1),$A494,$A494+1),COLUMN('1-DATA'!T492)),IF($B494="STD. DEVIATION",2,$F$1))))</f>
        <v/>
      </c>
      <c r="V494" s="1" t="str">
        <f>IF(OR($B494="",V$7=""),"",IF($B494="MEANS",INDEX('1-DATA'!$1:$1048576,$A493-1,COLUMN('1-DATA'!U492)),ROUND(INDEX('1-DATA'!$1:$1048576,IF(OR($B494="STD. DEVIATION",$C$1=1),$A494,$A494+1),COLUMN('1-DATA'!U492)),IF($B494="STD. DEVIATION",2,$F$1))))</f>
        <v/>
      </c>
      <c r="W494" s="1" t="str">
        <f>IF(OR($B494="",W$7=""),"",IF($B494="MEANS",INDEX('1-DATA'!$1:$1048576,$A493-1,COLUMN('1-DATA'!V492)),ROUND(INDEX('1-DATA'!$1:$1048576,IF(OR($B494="STD. DEVIATION",$C$1=1),$A494,$A494+1),COLUMN('1-DATA'!V492)),IF($B494="STD. DEVIATION",2,$F$1))))</f>
        <v/>
      </c>
      <c r="X494" s="1" t="str">
        <f>IF(OR($B494="",X$7=""),"",IF($B494="MEANS",INDEX('1-DATA'!$1:$1048576,$A493-1,COLUMN('1-DATA'!W492)),ROUND(INDEX('1-DATA'!$1:$1048576,IF(OR($B494="STD. DEVIATION",$C$1=1),$A494,$A494+1),COLUMN('1-DATA'!W492)),IF($B494="STD. DEVIATION",2,$F$1))))</f>
        <v/>
      </c>
      <c r="Y494" s="1" t="str">
        <f>IF(OR($B494="",Y$7=""),"",IF($B494="MEANS",INDEX('1-DATA'!$1:$1048576,$A493-1,COLUMN('1-DATA'!X492)),ROUND(INDEX('1-DATA'!$1:$1048576,IF(OR($B494="STD. DEVIATION",$C$1=1),$A494,$A494+1),COLUMN('1-DATA'!X492)),IF($B494="STD. DEVIATION",2,$F$1))))</f>
        <v/>
      </c>
      <c r="Z494" s="1" t="str">
        <f>IF(OR($B494="",Z$7=""),"",IF($B494="MEANS",INDEX('1-DATA'!$1:$1048576,$A493-1,COLUMN('1-DATA'!Y492)),ROUND(INDEX('1-DATA'!$1:$1048576,IF(OR($B494="STD. DEVIATION",$C$1=1),$A494,$A494+1),COLUMN('1-DATA'!Y492)),IF($B494="STD. DEVIATION",2,$F$1))))</f>
        <v/>
      </c>
      <c r="AA494" s="1" t="str">
        <f>IF(OR($B494="",AA$7=""),"",IF($B494="MEANS",INDEX('1-DATA'!$1:$1048576,$A493-1,COLUMN('1-DATA'!Z492)),ROUND(INDEX('1-DATA'!$1:$1048576,IF(OR($B494="STD. DEVIATION",$C$1=1),$A494,$A494+1),COLUMN('1-DATA'!Z492)),IF($B494="STD. DEVIATION",2,$F$1))))</f>
        <v/>
      </c>
      <c r="AB494" s="1" t="str">
        <f>IF(OR($B494="",AB$7=""),"",IF($B494="MEANS",INDEX('1-DATA'!$1:$1048576,$A493-1,COLUMN('1-DATA'!AA492)),ROUND(INDEX('1-DATA'!$1:$1048576,IF(OR($B494="STD. DEVIATION",$C$1=1),$A494,$A494+1),COLUMN('1-DATA'!AA492)),IF($B494="STD. DEVIATION",2,$F$1))))</f>
        <v/>
      </c>
      <c r="AC494" s="1" t="str">
        <f>IF(OR($B494="",AC$7=""),"",IF($B494="MEANS",INDEX('1-DATA'!$1:$1048576,$A493-1,COLUMN('1-DATA'!AB492)),ROUND(INDEX('1-DATA'!$1:$1048576,IF(OR($B494="STD. DEVIATION",$C$1=1),$A494,$A494+1),COLUMN('1-DATA'!AB492)),IF($B494="STD. DEVIATION",2,$F$1))))</f>
        <v/>
      </c>
      <c r="AD494" s="1" t="str">
        <f>IF(OR($B494="",AD$7=""),"",IF($B494="MEANS",INDEX('1-DATA'!$1:$1048576,$A493-1,COLUMN('1-DATA'!AC492)),ROUND(INDEX('1-DATA'!$1:$1048576,IF(OR($B494="STD. DEVIATION",$C$1=1),$A494,$A494+1),COLUMN('1-DATA'!AC492)),IF($B494="STD. DEVIATION",2,$F$1))))</f>
        <v/>
      </c>
      <c r="AE494" s="1" t="str">
        <f>IF(OR($B494="",AE$7=""),"",IF($B494="MEANS",INDEX('1-DATA'!$1:$1048576,$A493-1,COLUMN('1-DATA'!AD492)),ROUND(INDEX('1-DATA'!$1:$1048576,IF(OR($B494="STD. DEVIATION",$C$1=1),$A494,$A494+1),COLUMN('1-DATA'!AD492)),IF($B494="STD. DEVIATION",2,$F$1))))</f>
        <v/>
      </c>
      <c r="AF494" s="1" t="str">
        <f>IF(OR($B494="",AF$7=""),"",IF($B494="MEANS",INDEX('1-DATA'!$1:$1048576,$A493-1,COLUMN('1-DATA'!AE492)),ROUND(INDEX('1-DATA'!$1:$1048576,IF(OR($B494="STD. DEVIATION",$C$1=1),$A494,$A494+1),COLUMN('1-DATA'!AE492)),IF($B494="STD. DEVIATION",2,$F$1))))</f>
        <v/>
      </c>
      <c r="AG494" s="1" t="str">
        <f>IF(OR($B494="",AG$7=""),"",IF($B494="MEANS",INDEX('1-DATA'!$1:$1048576,$A493-1,COLUMN('1-DATA'!AF492)),ROUND(INDEX('1-DATA'!$1:$1048576,IF(OR($B494="STD. DEVIATION",$C$1=1),$A494,$A494+1),COLUMN('1-DATA'!AF492)),IF($B494="STD. DEVIATION",2,$F$1))))</f>
        <v/>
      </c>
      <c r="AH494" s="1" t="str">
        <f>IF(OR($B494="",AH$7=""),"",IF($B494="MEANS",INDEX('1-DATA'!$1:$1048576,$A493-1,COLUMN('1-DATA'!AG492)),ROUND(INDEX('1-DATA'!$1:$1048576,IF(OR($B494="STD. DEVIATION",$C$1=1),$A494,$A494+1),COLUMN('1-DATA'!AG492)),IF($B494="STD. DEVIATION",2,$F$1))))</f>
        <v/>
      </c>
      <c r="AI494" s="1" t="str">
        <f>IF(OR($B494="",AI$7=""),"",IF($B494="MEANS",INDEX('1-DATA'!$1:$1048576,$A493-1,COLUMN('1-DATA'!AH492)),ROUND(INDEX('1-DATA'!$1:$1048576,IF(OR($B494="STD. DEVIATION",$C$1=1),$A494,$A494+1),COLUMN('1-DATA'!AH492)),IF($B494="STD. DEVIATION",2,$F$1))))</f>
        <v/>
      </c>
      <c r="AJ494" s="1" t="str">
        <f>IF(OR($B494="",AJ$7=""),"",IF($B494="MEANS",INDEX('1-DATA'!$1:$1048576,$A493-1,COLUMN('1-DATA'!AI492)),ROUND(INDEX('1-DATA'!$1:$1048576,IF(OR($B494="STD. DEVIATION",$C$1=1),$A494,$A494+1),COLUMN('1-DATA'!AI492)),IF($B494="STD. DEVIATION",2,$F$1))))</f>
        <v/>
      </c>
      <c r="AK494" s="1" t="str">
        <f>IF(OR($B494="",AK$7=""),"",IF($B494="MEANS",INDEX('1-DATA'!$1:$1048576,$A493-1,COLUMN('1-DATA'!AJ492)),ROUND(INDEX('1-DATA'!$1:$1048576,IF(OR($B494="STD. DEVIATION",$C$1=1),$A494,$A494+1),COLUMN('1-DATA'!AJ492)),IF($B494="STD. DEVIATION",2,$F$1))))</f>
        <v/>
      </c>
      <c r="AL494" s="1" t="str">
        <f>IF(OR($B494="",AL$7=""),"",IF($B494="MEANS",INDEX('1-DATA'!$1:$1048576,$A493-1,COLUMN('1-DATA'!AK492)),ROUND(INDEX('1-DATA'!$1:$1048576,IF(OR($B494="STD. DEVIATION",$C$1=1),$A494,$A494+1),COLUMN('1-DATA'!AK492)),IF($B494="STD. DEVIATION",2,$F$1))))</f>
        <v/>
      </c>
      <c r="AM494" s="1" t="str">
        <f>IF(OR($B494="",AM$7=""),"",IF($B494="MEANS",INDEX('1-DATA'!$1:$1048576,$A493-1,COLUMN('1-DATA'!AL492)),ROUND(INDEX('1-DATA'!$1:$1048576,IF(OR($B494="STD. DEVIATION",$C$1=1),$A494,$A494+1),COLUMN('1-DATA'!AL492)),IF($B494="STD. DEVIATION",2,$F$1))))</f>
        <v/>
      </c>
      <c r="AN494" s="1" t="str">
        <f>IF(OR($B494="",AN$7=""),"",IF($B494="MEANS",INDEX('1-DATA'!$1:$1048576,$A493-1,COLUMN('1-DATA'!AM492)),ROUND(INDEX('1-DATA'!$1:$1048576,IF(OR($B494="STD. DEVIATION",$C$1=1),$A494,$A494+1),COLUMN('1-DATA'!AM492)),IF($B494="STD. DEVIATION",2,$F$1))))</f>
        <v/>
      </c>
      <c r="AO494" s="1" t="str">
        <f>IF(OR($B494="",AO$7=""),"",IF($B494="MEANS",INDEX('1-DATA'!$1:$1048576,$A493-1,COLUMN('1-DATA'!AN492)),ROUND(INDEX('1-DATA'!$1:$1048576,IF(OR($B494="STD. DEVIATION",$C$1=1),$A494,$A494+1),COLUMN('1-DATA'!AN492)),IF($B494="STD. DEVIATION",2,$F$1))))</f>
        <v/>
      </c>
      <c r="AP494" s="1" t="str">
        <f>IF(OR($B494="",AP$7=""),"",IF($B494="MEANS",INDEX('1-DATA'!$1:$1048576,$A493-1,COLUMN('1-DATA'!AO492)),ROUND(INDEX('1-DATA'!$1:$1048576,IF(OR($B494="STD. DEVIATION",$C$1=1),$A494,$A494+1),COLUMN('1-DATA'!AO492)),IF($B494="STD. DEVIATION",2,$F$1))))</f>
        <v/>
      </c>
      <c r="AQ494" s="1" t="str">
        <f>IF(OR($B494="",AQ$7=""),"",IF($B494="MEANS",INDEX('1-DATA'!$1:$1048576,$A493-1,COLUMN('1-DATA'!AP492)),ROUND(INDEX('1-DATA'!$1:$1048576,IF(OR($B494="STD. DEVIATION",$C$1=1),$A494,$A494+1),COLUMN('1-DATA'!AP492)),IF($B494="STD. DEVIATION",2,$F$1))))</f>
        <v/>
      </c>
      <c r="AR494" s="1" t="str">
        <f>IF(OR($B494="",AR$7=""),"",IF($B494="MEANS",INDEX('1-DATA'!$1:$1048576,$A493-1,COLUMN('1-DATA'!AQ492)),ROUND(INDEX('1-DATA'!$1:$1048576,IF(OR($B494="STD. DEVIATION",$C$1=1),$A494,$A494+1),COLUMN('1-DATA'!AQ492)),IF($B494="STD. DEVIATION",2,$F$1))))</f>
        <v/>
      </c>
      <c r="AS494" s="1" t="str">
        <f>IF(OR($B494="",AS$7=""),"",IF($B494="MEANS",INDEX('1-DATA'!$1:$1048576,$A493-1,COLUMN('1-DATA'!AR492)),ROUND(INDEX('1-DATA'!$1:$1048576,IF(OR($B494="STD. DEVIATION",$C$1=1),$A494,$A494+1),COLUMN('1-DATA'!AR492)),IF($B494="STD. DEVIATION",2,$F$1))))</f>
        <v/>
      </c>
      <c r="AT494" s="1" t="str">
        <f>IF(OR($B494="",AT$7=""),"",IF($B494="MEANS",INDEX('1-DATA'!$1:$1048576,$A493-1,COLUMN('1-DATA'!AS492)),ROUND(INDEX('1-DATA'!$1:$1048576,IF(OR($B494="STD. DEVIATION",$C$1=1),$A494,$A494+1),COLUMN('1-DATA'!AS492)),IF($B494="STD. DEVIATION",2,$F$1))))</f>
        <v/>
      </c>
      <c r="AU494" s="1" t="str">
        <f>IF(OR($B494="",AU$7=""),"",IF($B494="MEANS",INDEX('1-DATA'!$1:$1048576,$A493-1,COLUMN('1-DATA'!AT492)),ROUND(INDEX('1-DATA'!$1:$1048576,IF(OR($B494="STD. DEVIATION",$C$1=1),$A494,$A494+1),COLUMN('1-DATA'!AT492)),IF($B494="STD. DEVIATION",2,$F$1))))</f>
        <v/>
      </c>
      <c r="AV494" s="1" t="str">
        <f>IF(OR($B494="",AV$7=""),"",IF($B494="MEANS",INDEX('1-DATA'!$1:$1048576,$A493-1,COLUMN('1-DATA'!AU492)),ROUND(INDEX('1-DATA'!$1:$1048576,IF(OR($B494="STD. DEVIATION",$C$1=1),$A494,$A494+1),COLUMN('1-DATA'!AU492)),IF($B494="STD. DEVIATION",2,$F$1))))</f>
        <v/>
      </c>
      <c r="AW494" s="1" t="str">
        <f>IF(OR($B494="",AW$7=""),"",IF($B494="MEANS",INDEX('1-DATA'!$1:$1048576,$A493-1,COLUMN('1-DATA'!AV492)),ROUND(INDEX('1-DATA'!$1:$1048576,IF(OR($B494="STD. DEVIATION",$C$1=1),$A494,$A494+1),COLUMN('1-DATA'!AV492)),IF($B494="STD. DEVIATION",2,$F$1))))</f>
        <v/>
      </c>
      <c r="AX494" s="1" t="str">
        <f>IF(OR($B494="",AX$7=""),"",IF($B494="MEANS",INDEX('1-DATA'!$1:$1048576,$A493-1,COLUMN('1-DATA'!AW492)),ROUND(INDEX('1-DATA'!$1:$1048576,IF(OR($B494="STD. DEVIATION",$C$1=1),$A494,$A494+1),COLUMN('1-DATA'!AW492)),IF($B494="STD. DEVIATION",2,$F$1))))</f>
        <v/>
      </c>
      <c r="AY494" s="1" t="str">
        <f>IF(OR($B494="",AY$7=""),"",IF($B494="MEANS",INDEX('1-DATA'!$1:$1048576,$A493-1,COLUMN('1-DATA'!AX492)),ROUND(INDEX('1-DATA'!$1:$1048576,IF(OR($B494="STD. DEVIATION",$C$1=1),$A494,$A494+1),COLUMN('1-DATA'!AX492)),IF($B494="STD. DEVIATION",2,$F$1))))</f>
        <v/>
      </c>
      <c r="AZ494" s="1" t="str">
        <f>IF(OR($B494="",AZ$7=""),"",IF($B494="MEANS",INDEX('1-DATA'!$1:$1048576,$A493-1,COLUMN('1-DATA'!AY492)),ROUND(INDEX('1-DATA'!$1:$1048576,IF(OR($B494="STD. DEVIATION",$C$1=1),$A494,$A494+1),COLUMN('1-DATA'!AY492)),IF($B494="STD. DEVIATION",2,$F$1))))</f>
        <v/>
      </c>
    </row>
    <row r="495" spans="1:52" x14ac:dyDescent="0.25">
      <c r="A495" s="11">
        <f t="shared" si="8"/>
        <v>1471</v>
      </c>
      <c r="B495" s="1" t="str">
        <f>IF(B494="STD. DEVIATION",INDEX('1-DATA'!$1:$1048576,$A494-1,1),IF(INDEX('1-DATA'!$1:$1048576,$A495,1)&lt;&gt;"",INDEX('1-DATA'!$1:$1048576,$A495,1),""))</f>
        <v/>
      </c>
      <c r="C495" s="1" t="str">
        <f>IF(OR($B495="",C$7=""),"",IF($B495="MEANS",INDEX('1-DATA'!$1:$1048576,$A494-1,COLUMN('1-DATA'!B493)),ROUND(INDEX('1-DATA'!$1:$1048576,IF(OR($B495="STD. DEVIATION",$C$1=1),$A495,$A495+1),COLUMN('1-DATA'!B493)),IF($B495="STD. DEVIATION",2,$F$1))))</f>
        <v/>
      </c>
      <c r="D495" s="1" t="str">
        <f>IF(OR($B495="",D$7=""),"",IF($B495="MEANS",INDEX('1-DATA'!$1:$1048576,$A494-1,COLUMN('1-DATA'!C493)),ROUND(INDEX('1-DATA'!$1:$1048576,IF(OR($B495="STD. DEVIATION",$C$1=1),$A495,$A495+1),COLUMN('1-DATA'!C493)),IF($B495="STD. DEVIATION",2,$F$1))))</f>
        <v/>
      </c>
      <c r="E495" s="1" t="str">
        <f>IF(OR($B495="",E$7=""),"",IF($B495="MEANS",INDEX('1-DATA'!$1:$1048576,$A494-1,COLUMN('1-DATA'!D493)),ROUND(INDEX('1-DATA'!$1:$1048576,IF(OR($B495="STD. DEVIATION",$C$1=1),$A495,$A495+1),COLUMN('1-DATA'!D493)),IF($B495="STD. DEVIATION",2,$F$1))))</f>
        <v/>
      </c>
      <c r="F495" s="1" t="str">
        <f>IF(OR($B495="",F$7=""),"",IF($B495="MEANS",INDEX('1-DATA'!$1:$1048576,$A494-1,COLUMN('1-DATA'!E493)),ROUND(INDEX('1-DATA'!$1:$1048576,IF(OR($B495="STD. DEVIATION",$C$1=1),$A495,$A495+1),COLUMN('1-DATA'!E493)),IF($B495="STD. DEVIATION",2,$F$1))))</f>
        <v/>
      </c>
      <c r="G495" s="1" t="str">
        <f>IF(OR($B495="",G$7=""),"",IF($B495="MEANS",INDEX('1-DATA'!$1:$1048576,$A494-1,COLUMN('1-DATA'!F493)),ROUND(INDEX('1-DATA'!$1:$1048576,IF(OR($B495="STD. DEVIATION",$C$1=1),$A495,$A495+1),COLUMN('1-DATA'!F493)),IF($B495="STD. DEVIATION",2,$F$1))))</f>
        <v/>
      </c>
      <c r="H495" s="1" t="str">
        <f>IF(OR($B495="",H$7=""),"",IF($B495="MEANS",INDEX('1-DATA'!$1:$1048576,$A494-1,COLUMN('1-DATA'!G493)),ROUND(INDEX('1-DATA'!$1:$1048576,IF(OR($B495="STD. DEVIATION",$C$1=1),$A495,$A495+1),COLUMN('1-DATA'!G493)),IF($B495="STD. DEVIATION",2,$F$1))))</f>
        <v/>
      </c>
      <c r="I495" s="1" t="str">
        <f>IF(OR($B495="",I$7=""),"",IF($B495="MEANS",INDEX('1-DATA'!$1:$1048576,$A494-1,COLUMN('1-DATA'!H493)),ROUND(INDEX('1-DATA'!$1:$1048576,IF(OR($B495="STD. DEVIATION",$C$1=1),$A495,$A495+1),COLUMN('1-DATA'!H493)),IF($B495="STD. DEVIATION",2,$F$1))))</f>
        <v/>
      </c>
      <c r="J495" s="1" t="str">
        <f>IF(OR($B495="",J$7=""),"",IF($B495="MEANS",INDEX('1-DATA'!$1:$1048576,$A494-1,COLUMN('1-DATA'!I493)),ROUND(INDEX('1-DATA'!$1:$1048576,IF(OR($B495="STD. DEVIATION",$C$1=1),$A495,$A495+1),COLUMN('1-DATA'!I493)),IF($B495="STD. DEVIATION",2,$F$1))))</f>
        <v/>
      </c>
      <c r="K495" s="1" t="str">
        <f>IF(OR($B495="",K$7=""),"",IF($B495="MEANS",INDEX('1-DATA'!$1:$1048576,$A494-1,COLUMN('1-DATA'!J493)),ROUND(INDEX('1-DATA'!$1:$1048576,IF(OR($B495="STD. DEVIATION",$C$1=1),$A495,$A495+1),COLUMN('1-DATA'!J493)),IF($B495="STD. DEVIATION",2,$F$1))))</f>
        <v/>
      </c>
      <c r="L495" s="1" t="str">
        <f>IF(OR($B495="",L$7=""),"",IF($B495="MEANS",INDEX('1-DATA'!$1:$1048576,$A494-1,COLUMN('1-DATA'!K493)),ROUND(INDEX('1-DATA'!$1:$1048576,IF(OR($B495="STD. DEVIATION",$C$1=1),$A495,$A495+1),COLUMN('1-DATA'!K493)),IF($B495="STD. DEVIATION",2,$F$1))))</f>
        <v/>
      </c>
      <c r="M495" s="1" t="str">
        <f>IF(OR($B495="",M$7=""),"",IF($B495="MEANS",INDEX('1-DATA'!$1:$1048576,$A494-1,COLUMN('1-DATA'!L493)),ROUND(INDEX('1-DATA'!$1:$1048576,IF(OR($B495="STD. DEVIATION",$C$1=1),$A495,$A495+1),COLUMN('1-DATA'!L493)),IF($B495="STD. DEVIATION",2,$F$1))))</f>
        <v/>
      </c>
      <c r="N495" s="1" t="str">
        <f>IF(OR($B495="",N$7=""),"",IF($B495="MEANS",INDEX('1-DATA'!$1:$1048576,$A494-1,COLUMN('1-DATA'!M493)),ROUND(INDEX('1-DATA'!$1:$1048576,IF(OR($B495="STD. DEVIATION",$C$1=1),$A495,$A495+1),COLUMN('1-DATA'!M493)),IF($B495="STD. DEVIATION",2,$F$1))))</f>
        <v/>
      </c>
      <c r="O495" s="1" t="str">
        <f>IF(OR($B495="",O$7=""),"",IF($B495="MEANS",INDEX('1-DATA'!$1:$1048576,$A494-1,COLUMN('1-DATA'!N493)),ROUND(INDEX('1-DATA'!$1:$1048576,IF(OR($B495="STD. DEVIATION",$C$1=1),$A495,$A495+1),COLUMN('1-DATA'!N493)),IF($B495="STD. DEVIATION",2,$F$1))))</f>
        <v/>
      </c>
      <c r="P495" s="1" t="str">
        <f>IF(OR($B495="",P$7=""),"",IF($B495="MEANS",INDEX('1-DATA'!$1:$1048576,$A494-1,COLUMN('1-DATA'!O493)),ROUND(INDEX('1-DATA'!$1:$1048576,IF(OR($B495="STD. DEVIATION",$C$1=1),$A495,$A495+1),COLUMN('1-DATA'!O493)),IF($B495="STD. DEVIATION",2,$F$1))))</f>
        <v/>
      </c>
      <c r="Q495" s="1" t="str">
        <f>IF(OR($B495="",Q$7=""),"",IF($B495="MEANS",INDEX('1-DATA'!$1:$1048576,$A494-1,COLUMN('1-DATA'!P493)),ROUND(INDEX('1-DATA'!$1:$1048576,IF(OR($B495="STD. DEVIATION",$C$1=1),$A495,$A495+1),COLUMN('1-DATA'!P493)),IF($B495="STD. DEVIATION",2,$F$1))))</f>
        <v/>
      </c>
      <c r="R495" s="1" t="str">
        <f>IF(OR($B495="",R$7=""),"",IF($B495="MEANS",INDEX('1-DATA'!$1:$1048576,$A494-1,COLUMN('1-DATA'!Q493)),ROUND(INDEX('1-DATA'!$1:$1048576,IF(OR($B495="STD. DEVIATION",$C$1=1),$A495,$A495+1),COLUMN('1-DATA'!Q493)),IF($B495="STD. DEVIATION",2,$F$1))))</f>
        <v/>
      </c>
      <c r="S495" s="1" t="str">
        <f>IF(OR($B495="",S$7=""),"",IF($B495="MEANS",INDEX('1-DATA'!$1:$1048576,$A494-1,COLUMN('1-DATA'!R493)),ROUND(INDEX('1-DATA'!$1:$1048576,IF(OR($B495="STD. DEVIATION",$C$1=1),$A495,$A495+1),COLUMN('1-DATA'!R493)),IF($B495="STD. DEVIATION",2,$F$1))))</f>
        <v/>
      </c>
      <c r="T495" s="1" t="str">
        <f>IF(OR($B495="",T$7=""),"",IF($B495="MEANS",INDEX('1-DATA'!$1:$1048576,$A494-1,COLUMN('1-DATA'!S493)),ROUND(INDEX('1-DATA'!$1:$1048576,IF(OR($B495="STD. DEVIATION",$C$1=1),$A495,$A495+1),COLUMN('1-DATA'!S493)),IF($B495="STD. DEVIATION",2,$F$1))))</f>
        <v/>
      </c>
      <c r="U495" s="1" t="str">
        <f>IF(OR($B495="",U$7=""),"",IF($B495="MEANS",INDEX('1-DATA'!$1:$1048576,$A494-1,COLUMN('1-DATA'!T493)),ROUND(INDEX('1-DATA'!$1:$1048576,IF(OR($B495="STD. DEVIATION",$C$1=1),$A495,$A495+1),COLUMN('1-DATA'!T493)),IF($B495="STD. DEVIATION",2,$F$1))))</f>
        <v/>
      </c>
      <c r="V495" s="1" t="str">
        <f>IF(OR($B495="",V$7=""),"",IF($B495="MEANS",INDEX('1-DATA'!$1:$1048576,$A494-1,COLUMN('1-DATA'!U493)),ROUND(INDEX('1-DATA'!$1:$1048576,IF(OR($B495="STD. DEVIATION",$C$1=1),$A495,$A495+1),COLUMN('1-DATA'!U493)),IF($B495="STD. DEVIATION",2,$F$1))))</f>
        <v/>
      </c>
      <c r="W495" s="1" t="str">
        <f>IF(OR($B495="",W$7=""),"",IF($B495="MEANS",INDEX('1-DATA'!$1:$1048576,$A494-1,COLUMN('1-DATA'!V493)),ROUND(INDEX('1-DATA'!$1:$1048576,IF(OR($B495="STD. DEVIATION",$C$1=1),$A495,$A495+1),COLUMN('1-DATA'!V493)),IF($B495="STD. DEVIATION",2,$F$1))))</f>
        <v/>
      </c>
      <c r="X495" s="1" t="str">
        <f>IF(OR($B495="",X$7=""),"",IF($B495="MEANS",INDEX('1-DATA'!$1:$1048576,$A494-1,COLUMN('1-DATA'!W493)),ROUND(INDEX('1-DATA'!$1:$1048576,IF(OR($B495="STD. DEVIATION",$C$1=1),$A495,$A495+1),COLUMN('1-DATA'!W493)),IF($B495="STD. DEVIATION",2,$F$1))))</f>
        <v/>
      </c>
      <c r="Y495" s="1" t="str">
        <f>IF(OR($B495="",Y$7=""),"",IF($B495="MEANS",INDEX('1-DATA'!$1:$1048576,$A494-1,COLUMN('1-DATA'!X493)),ROUND(INDEX('1-DATA'!$1:$1048576,IF(OR($B495="STD. DEVIATION",$C$1=1),$A495,$A495+1),COLUMN('1-DATA'!X493)),IF($B495="STD. DEVIATION",2,$F$1))))</f>
        <v/>
      </c>
      <c r="Z495" s="1" t="str">
        <f>IF(OR($B495="",Z$7=""),"",IF($B495="MEANS",INDEX('1-DATA'!$1:$1048576,$A494-1,COLUMN('1-DATA'!Y493)),ROUND(INDEX('1-DATA'!$1:$1048576,IF(OR($B495="STD. DEVIATION",$C$1=1),$A495,$A495+1),COLUMN('1-DATA'!Y493)),IF($B495="STD. DEVIATION",2,$F$1))))</f>
        <v/>
      </c>
      <c r="AA495" s="1" t="str">
        <f>IF(OR($B495="",AA$7=""),"",IF($B495="MEANS",INDEX('1-DATA'!$1:$1048576,$A494-1,COLUMN('1-DATA'!Z493)),ROUND(INDEX('1-DATA'!$1:$1048576,IF(OR($B495="STD. DEVIATION",$C$1=1),$A495,$A495+1),COLUMN('1-DATA'!Z493)),IF($B495="STD. DEVIATION",2,$F$1))))</f>
        <v/>
      </c>
      <c r="AB495" s="1" t="str">
        <f>IF(OR($B495="",AB$7=""),"",IF($B495="MEANS",INDEX('1-DATA'!$1:$1048576,$A494-1,COLUMN('1-DATA'!AA493)),ROUND(INDEX('1-DATA'!$1:$1048576,IF(OR($B495="STD. DEVIATION",$C$1=1),$A495,$A495+1),COLUMN('1-DATA'!AA493)),IF($B495="STD. DEVIATION",2,$F$1))))</f>
        <v/>
      </c>
      <c r="AC495" s="1" t="str">
        <f>IF(OR($B495="",AC$7=""),"",IF($B495="MEANS",INDEX('1-DATA'!$1:$1048576,$A494-1,COLUMN('1-DATA'!AB493)),ROUND(INDEX('1-DATA'!$1:$1048576,IF(OR($B495="STD. DEVIATION",$C$1=1),$A495,$A495+1),COLUMN('1-DATA'!AB493)),IF($B495="STD. DEVIATION",2,$F$1))))</f>
        <v/>
      </c>
      <c r="AD495" s="1" t="str">
        <f>IF(OR($B495="",AD$7=""),"",IF($B495="MEANS",INDEX('1-DATA'!$1:$1048576,$A494-1,COLUMN('1-DATA'!AC493)),ROUND(INDEX('1-DATA'!$1:$1048576,IF(OR($B495="STD. DEVIATION",$C$1=1),$A495,$A495+1),COLUMN('1-DATA'!AC493)),IF($B495="STD. DEVIATION",2,$F$1))))</f>
        <v/>
      </c>
      <c r="AE495" s="1" t="str">
        <f>IF(OR($B495="",AE$7=""),"",IF($B495="MEANS",INDEX('1-DATA'!$1:$1048576,$A494-1,COLUMN('1-DATA'!AD493)),ROUND(INDEX('1-DATA'!$1:$1048576,IF(OR($B495="STD. DEVIATION",$C$1=1),$A495,$A495+1),COLUMN('1-DATA'!AD493)),IF($B495="STD. DEVIATION",2,$F$1))))</f>
        <v/>
      </c>
      <c r="AF495" s="1" t="str">
        <f>IF(OR($B495="",AF$7=""),"",IF($B495="MEANS",INDEX('1-DATA'!$1:$1048576,$A494-1,COLUMN('1-DATA'!AE493)),ROUND(INDEX('1-DATA'!$1:$1048576,IF(OR($B495="STD. DEVIATION",$C$1=1),$A495,$A495+1),COLUMN('1-DATA'!AE493)),IF($B495="STD. DEVIATION",2,$F$1))))</f>
        <v/>
      </c>
      <c r="AG495" s="1" t="str">
        <f>IF(OR($B495="",AG$7=""),"",IF($B495="MEANS",INDEX('1-DATA'!$1:$1048576,$A494-1,COLUMN('1-DATA'!AF493)),ROUND(INDEX('1-DATA'!$1:$1048576,IF(OR($B495="STD. DEVIATION",$C$1=1),$A495,$A495+1),COLUMN('1-DATA'!AF493)),IF($B495="STD. DEVIATION",2,$F$1))))</f>
        <v/>
      </c>
      <c r="AH495" s="1" t="str">
        <f>IF(OR($B495="",AH$7=""),"",IF($B495="MEANS",INDEX('1-DATA'!$1:$1048576,$A494-1,COLUMN('1-DATA'!AG493)),ROUND(INDEX('1-DATA'!$1:$1048576,IF(OR($B495="STD. DEVIATION",$C$1=1),$A495,$A495+1),COLUMN('1-DATA'!AG493)),IF($B495="STD. DEVIATION",2,$F$1))))</f>
        <v/>
      </c>
      <c r="AI495" s="1" t="str">
        <f>IF(OR($B495="",AI$7=""),"",IF($B495="MEANS",INDEX('1-DATA'!$1:$1048576,$A494-1,COLUMN('1-DATA'!AH493)),ROUND(INDEX('1-DATA'!$1:$1048576,IF(OR($B495="STD. DEVIATION",$C$1=1),$A495,$A495+1),COLUMN('1-DATA'!AH493)),IF($B495="STD. DEVIATION",2,$F$1))))</f>
        <v/>
      </c>
      <c r="AJ495" s="1" t="str">
        <f>IF(OR($B495="",AJ$7=""),"",IF($B495="MEANS",INDEX('1-DATA'!$1:$1048576,$A494-1,COLUMN('1-DATA'!AI493)),ROUND(INDEX('1-DATA'!$1:$1048576,IF(OR($B495="STD. DEVIATION",$C$1=1),$A495,$A495+1),COLUMN('1-DATA'!AI493)),IF($B495="STD. DEVIATION",2,$F$1))))</f>
        <v/>
      </c>
      <c r="AK495" s="1" t="str">
        <f>IF(OR($B495="",AK$7=""),"",IF($B495="MEANS",INDEX('1-DATA'!$1:$1048576,$A494-1,COLUMN('1-DATA'!AJ493)),ROUND(INDEX('1-DATA'!$1:$1048576,IF(OR($B495="STD. DEVIATION",$C$1=1),$A495,$A495+1),COLUMN('1-DATA'!AJ493)),IF($B495="STD. DEVIATION",2,$F$1))))</f>
        <v/>
      </c>
      <c r="AL495" s="1" t="str">
        <f>IF(OR($B495="",AL$7=""),"",IF($B495="MEANS",INDEX('1-DATA'!$1:$1048576,$A494-1,COLUMN('1-DATA'!AK493)),ROUND(INDEX('1-DATA'!$1:$1048576,IF(OR($B495="STD. DEVIATION",$C$1=1),$A495,$A495+1),COLUMN('1-DATA'!AK493)),IF($B495="STD. DEVIATION",2,$F$1))))</f>
        <v/>
      </c>
      <c r="AM495" s="1" t="str">
        <f>IF(OR($B495="",AM$7=""),"",IF($B495="MEANS",INDEX('1-DATA'!$1:$1048576,$A494-1,COLUMN('1-DATA'!AL493)),ROUND(INDEX('1-DATA'!$1:$1048576,IF(OR($B495="STD. DEVIATION",$C$1=1),$A495,$A495+1),COLUMN('1-DATA'!AL493)),IF($B495="STD. DEVIATION",2,$F$1))))</f>
        <v/>
      </c>
      <c r="AN495" s="1" t="str">
        <f>IF(OR($B495="",AN$7=""),"",IF($B495="MEANS",INDEX('1-DATA'!$1:$1048576,$A494-1,COLUMN('1-DATA'!AM493)),ROUND(INDEX('1-DATA'!$1:$1048576,IF(OR($B495="STD. DEVIATION",$C$1=1),$A495,$A495+1),COLUMN('1-DATA'!AM493)),IF($B495="STD. DEVIATION",2,$F$1))))</f>
        <v/>
      </c>
      <c r="AO495" s="1" t="str">
        <f>IF(OR($B495="",AO$7=""),"",IF($B495="MEANS",INDEX('1-DATA'!$1:$1048576,$A494-1,COLUMN('1-DATA'!AN493)),ROUND(INDEX('1-DATA'!$1:$1048576,IF(OR($B495="STD. DEVIATION",$C$1=1),$A495,$A495+1),COLUMN('1-DATA'!AN493)),IF($B495="STD. DEVIATION",2,$F$1))))</f>
        <v/>
      </c>
      <c r="AP495" s="1" t="str">
        <f>IF(OR($B495="",AP$7=""),"",IF($B495="MEANS",INDEX('1-DATA'!$1:$1048576,$A494-1,COLUMN('1-DATA'!AO493)),ROUND(INDEX('1-DATA'!$1:$1048576,IF(OR($B495="STD. DEVIATION",$C$1=1),$A495,$A495+1),COLUMN('1-DATA'!AO493)),IF($B495="STD. DEVIATION",2,$F$1))))</f>
        <v/>
      </c>
      <c r="AQ495" s="1" t="str">
        <f>IF(OR($B495="",AQ$7=""),"",IF($B495="MEANS",INDEX('1-DATA'!$1:$1048576,$A494-1,COLUMN('1-DATA'!AP493)),ROUND(INDEX('1-DATA'!$1:$1048576,IF(OR($B495="STD. DEVIATION",$C$1=1),$A495,$A495+1),COLUMN('1-DATA'!AP493)),IF($B495="STD. DEVIATION",2,$F$1))))</f>
        <v/>
      </c>
      <c r="AR495" s="1" t="str">
        <f>IF(OR($B495="",AR$7=""),"",IF($B495="MEANS",INDEX('1-DATA'!$1:$1048576,$A494-1,COLUMN('1-DATA'!AQ493)),ROUND(INDEX('1-DATA'!$1:$1048576,IF(OR($B495="STD. DEVIATION",$C$1=1),$A495,$A495+1),COLUMN('1-DATA'!AQ493)),IF($B495="STD. DEVIATION",2,$F$1))))</f>
        <v/>
      </c>
      <c r="AS495" s="1" t="str">
        <f>IF(OR($B495="",AS$7=""),"",IF($B495="MEANS",INDEX('1-DATA'!$1:$1048576,$A494-1,COLUMN('1-DATA'!AR493)),ROUND(INDEX('1-DATA'!$1:$1048576,IF(OR($B495="STD. DEVIATION",$C$1=1),$A495,$A495+1),COLUMN('1-DATA'!AR493)),IF($B495="STD. DEVIATION",2,$F$1))))</f>
        <v/>
      </c>
      <c r="AT495" s="1" t="str">
        <f>IF(OR($B495="",AT$7=""),"",IF($B495="MEANS",INDEX('1-DATA'!$1:$1048576,$A494-1,COLUMN('1-DATA'!AS493)),ROUND(INDEX('1-DATA'!$1:$1048576,IF(OR($B495="STD. DEVIATION",$C$1=1),$A495,$A495+1),COLUMN('1-DATA'!AS493)),IF($B495="STD. DEVIATION",2,$F$1))))</f>
        <v/>
      </c>
      <c r="AU495" s="1" t="str">
        <f>IF(OR($B495="",AU$7=""),"",IF($B495="MEANS",INDEX('1-DATA'!$1:$1048576,$A494-1,COLUMN('1-DATA'!AT493)),ROUND(INDEX('1-DATA'!$1:$1048576,IF(OR($B495="STD. DEVIATION",$C$1=1),$A495,$A495+1),COLUMN('1-DATA'!AT493)),IF($B495="STD. DEVIATION",2,$F$1))))</f>
        <v/>
      </c>
      <c r="AV495" s="1" t="str">
        <f>IF(OR($B495="",AV$7=""),"",IF($B495="MEANS",INDEX('1-DATA'!$1:$1048576,$A494-1,COLUMN('1-DATA'!AU493)),ROUND(INDEX('1-DATA'!$1:$1048576,IF(OR($B495="STD. DEVIATION",$C$1=1),$A495,$A495+1),COLUMN('1-DATA'!AU493)),IF($B495="STD. DEVIATION",2,$F$1))))</f>
        <v/>
      </c>
      <c r="AW495" s="1" t="str">
        <f>IF(OR($B495="",AW$7=""),"",IF($B495="MEANS",INDEX('1-DATA'!$1:$1048576,$A494-1,COLUMN('1-DATA'!AV493)),ROUND(INDEX('1-DATA'!$1:$1048576,IF(OR($B495="STD. DEVIATION",$C$1=1),$A495,$A495+1),COLUMN('1-DATA'!AV493)),IF($B495="STD. DEVIATION",2,$F$1))))</f>
        <v/>
      </c>
      <c r="AX495" s="1" t="str">
        <f>IF(OR($B495="",AX$7=""),"",IF($B495="MEANS",INDEX('1-DATA'!$1:$1048576,$A494-1,COLUMN('1-DATA'!AW493)),ROUND(INDEX('1-DATA'!$1:$1048576,IF(OR($B495="STD. DEVIATION",$C$1=1),$A495,$A495+1),COLUMN('1-DATA'!AW493)),IF($B495="STD. DEVIATION",2,$F$1))))</f>
        <v/>
      </c>
      <c r="AY495" s="1" t="str">
        <f>IF(OR($B495="",AY$7=""),"",IF($B495="MEANS",INDEX('1-DATA'!$1:$1048576,$A494-1,COLUMN('1-DATA'!AX493)),ROUND(INDEX('1-DATA'!$1:$1048576,IF(OR($B495="STD. DEVIATION",$C$1=1),$A495,$A495+1),COLUMN('1-DATA'!AX493)),IF($B495="STD. DEVIATION",2,$F$1))))</f>
        <v/>
      </c>
      <c r="AZ495" s="1" t="str">
        <f>IF(OR($B495="",AZ$7=""),"",IF($B495="MEANS",INDEX('1-DATA'!$1:$1048576,$A494-1,COLUMN('1-DATA'!AY493)),ROUND(INDEX('1-DATA'!$1:$1048576,IF(OR($B495="STD. DEVIATION",$C$1=1),$A495,$A495+1),COLUMN('1-DATA'!AY493)),IF($B495="STD. DEVIATION",2,$F$1))))</f>
        <v/>
      </c>
    </row>
    <row r="496" spans="1:52" x14ac:dyDescent="0.25">
      <c r="A496" s="11">
        <f t="shared" si="8"/>
        <v>1474</v>
      </c>
      <c r="B496" s="1" t="str">
        <f>IF(B495="STD. DEVIATION",INDEX('1-DATA'!$1:$1048576,$A495-1,1),IF(INDEX('1-DATA'!$1:$1048576,$A496,1)&lt;&gt;"",INDEX('1-DATA'!$1:$1048576,$A496,1),""))</f>
        <v/>
      </c>
      <c r="C496" s="1" t="str">
        <f>IF(OR($B496="",C$7=""),"",IF($B496="MEANS",INDEX('1-DATA'!$1:$1048576,$A495-1,COLUMN('1-DATA'!B494)),ROUND(INDEX('1-DATA'!$1:$1048576,IF(OR($B496="STD. DEVIATION",$C$1=1),$A496,$A496+1),COLUMN('1-DATA'!B494)),IF($B496="STD. DEVIATION",2,$F$1))))</f>
        <v/>
      </c>
      <c r="D496" s="1" t="str">
        <f>IF(OR($B496="",D$7=""),"",IF($B496="MEANS",INDEX('1-DATA'!$1:$1048576,$A495-1,COLUMN('1-DATA'!C494)),ROUND(INDEX('1-DATA'!$1:$1048576,IF(OR($B496="STD. DEVIATION",$C$1=1),$A496,$A496+1),COLUMN('1-DATA'!C494)),IF($B496="STD. DEVIATION",2,$F$1))))</f>
        <v/>
      </c>
      <c r="E496" s="1" t="str">
        <f>IF(OR($B496="",E$7=""),"",IF($B496="MEANS",INDEX('1-DATA'!$1:$1048576,$A495-1,COLUMN('1-DATA'!D494)),ROUND(INDEX('1-DATA'!$1:$1048576,IF(OR($B496="STD. DEVIATION",$C$1=1),$A496,$A496+1),COLUMN('1-DATA'!D494)),IF($B496="STD. DEVIATION",2,$F$1))))</f>
        <v/>
      </c>
      <c r="F496" s="1" t="str">
        <f>IF(OR($B496="",F$7=""),"",IF($B496="MEANS",INDEX('1-DATA'!$1:$1048576,$A495-1,COLUMN('1-DATA'!E494)),ROUND(INDEX('1-DATA'!$1:$1048576,IF(OR($B496="STD. DEVIATION",$C$1=1),$A496,$A496+1),COLUMN('1-DATA'!E494)),IF($B496="STD. DEVIATION",2,$F$1))))</f>
        <v/>
      </c>
      <c r="G496" s="1" t="str">
        <f>IF(OR($B496="",G$7=""),"",IF($B496="MEANS",INDEX('1-DATA'!$1:$1048576,$A495-1,COLUMN('1-DATA'!F494)),ROUND(INDEX('1-DATA'!$1:$1048576,IF(OR($B496="STD. DEVIATION",$C$1=1),$A496,$A496+1),COLUMN('1-DATA'!F494)),IF($B496="STD. DEVIATION",2,$F$1))))</f>
        <v/>
      </c>
      <c r="H496" s="1" t="str">
        <f>IF(OR($B496="",H$7=""),"",IF($B496="MEANS",INDEX('1-DATA'!$1:$1048576,$A495-1,COLUMN('1-DATA'!G494)),ROUND(INDEX('1-DATA'!$1:$1048576,IF(OR($B496="STD. DEVIATION",$C$1=1),$A496,$A496+1),COLUMN('1-DATA'!G494)),IF($B496="STD. DEVIATION",2,$F$1))))</f>
        <v/>
      </c>
      <c r="I496" s="1" t="str">
        <f>IF(OR($B496="",I$7=""),"",IF($B496="MEANS",INDEX('1-DATA'!$1:$1048576,$A495-1,COLUMN('1-DATA'!H494)),ROUND(INDEX('1-DATA'!$1:$1048576,IF(OR($B496="STD. DEVIATION",$C$1=1),$A496,$A496+1),COLUMN('1-DATA'!H494)),IF($B496="STD. DEVIATION",2,$F$1))))</f>
        <v/>
      </c>
      <c r="J496" s="1" t="str">
        <f>IF(OR($B496="",J$7=""),"",IF($B496="MEANS",INDEX('1-DATA'!$1:$1048576,$A495-1,COLUMN('1-DATA'!I494)),ROUND(INDEX('1-DATA'!$1:$1048576,IF(OR($B496="STD. DEVIATION",$C$1=1),$A496,$A496+1),COLUMN('1-DATA'!I494)),IF($B496="STD. DEVIATION",2,$F$1))))</f>
        <v/>
      </c>
      <c r="K496" s="1" t="str">
        <f>IF(OR($B496="",K$7=""),"",IF($B496="MEANS",INDEX('1-DATA'!$1:$1048576,$A495-1,COLUMN('1-DATA'!J494)),ROUND(INDEX('1-DATA'!$1:$1048576,IF(OR($B496="STD. DEVIATION",$C$1=1),$A496,$A496+1),COLUMN('1-DATA'!J494)),IF($B496="STD. DEVIATION",2,$F$1))))</f>
        <v/>
      </c>
      <c r="L496" s="1" t="str">
        <f>IF(OR($B496="",L$7=""),"",IF($B496="MEANS",INDEX('1-DATA'!$1:$1048576,$A495-1,COLUMN('1-DATA'!K494)),ROUND(INDEX('1-DATA'!$1:$1048576,IF(OR($B496="STD. DEVIATION",$C$1=1),$A496,$A496+1),COLUMN('1-DATA'!K494)),IF($B496="STD. DEVIATION",2,$F$1))))</f>
        <v/>
      </c>
      <c r="M496" s="1" t="str">
        <f>IF(OR($B496="",M$7=""),"",IF($B496="MEANS",INDEX('1-DATA'!$1:$1048576,$A495-1,COLUMN('1-DATA'!L494)),ROUND(INDEX('1-DATA'!$1:$1048576,IF(OR($B496="STD. DEVIATION",$C$1=1),$A496,$A496+1),COLUMN('1-DATA'!L494)),IF($B496="STD. DEVIATION",2,$F$1))))</f>
        <v/>
      </c>
      <c r="N496" s="1" t="str">
        <f>IF(OR($B496="",N$7=""),"",IF($B496="MEANS",INDEX('1-DATA'!$1:$1048576,$A495-1,COLUMN('1-DATA'!M494)),ROUND(INDEX('1-DATA'!$1:$1048576,IF(OR($B496="STD. DEVIATION",$C$1=1),$A496,$A496+1),COLUMN('1-DATA'!M494)),IF($B496="STD. DEVIATION",2,$F$1))))</f>
        <v/>
      </c>
      <c r="O496" s="1" t="str">
        <f>IF(OR($B496="",O$7=""),"",IF($B496="MEANS",INDEX('1-DATA'!$1:$1048576,$A495-1,COLUMN('1-DATA'!N494)),ROUND(INDEX('1-DATA'!$1:$1048576,IF(OR($B496="STD. DEVIATION",$C$1=1),$A496,$A496+1),COLUMN('1-DATA'!N494)),IF($B496="STD. DEVIATION",2,$F$1))))</f>
        <v/>
      </c>
      <c r="P496" s="1" t="str">
        <f>IF(OR($B496="",P$7=""),"",IF($B496="MEANS",INDEX('1-DATA'!$1:$1048576,$A495-1,COLUMN('1-DATA'!O494)),ROUND(INDEX('1-DATA'!$1:$1048576,IF(OR($B496="STD. DEVIATION",$C$1=1),$A496,$A496+1),COLUMN('1-DATA'!O494)),IF($B496="STD. DEVIATION",2,$F$1))))</f>
        <v/>
      </c>
      <c r="Q496" s="1" t="str">
        <f>IF(OR($B496="",Q$7=""),"",IF($B496="MEANS",INDEX('1-DATA'!$1:$1048576,$A495-1,COLUMN('1-DATA'!P494)),ROUND(INDEX('1-DATA'!$1:$1048576,IF(OR($B496="STD. DEVIATION",$C$1=1),$A496,$A496+1),COLUMN('1-DATA'!P494)),IF($B496="STD. DEVIATION",2,$F$1))))</f>
        <v/>
      </c>
      <c r="R496" s="1" t="str">
        <f>IF(OR($B496="",R$7=""),"",IF($B496="MEANS",INDEX('1-DATA'!$1:$1048576,$A495-1,COLUMN('1-DATA'!Q494)),ROUND(INDEX('1-DATA'!$1:$1048576,IF(OR($B496="STD. DEVIATION",$C$1=1),$A496,$A496+1),COLUMN('1-DATA'!Q494)),IF($B496="STD. DEVIATION",2,$F$1))))</f>
        <v/>
      </c>
      <c r="S496" s="1" t="str">
        <f>IF(OR($B496="",S$7=""),"",IF($B496="MEANS",INDEX('1-DATA'!$1:$1048576,$A495-1,COLUMN('1-DATA'!R494)),ROUND(INDEX('1-DATA'!$1:$1048576,IF(OR($B496="STD. DEVIATION",$C$1=1),$A496,$A496+1),COLUMN('1-DATA'!R494)),IF($B496="STD. DEVIATION",2,$F$1))))</f>
        <v/>
      </c>
      <c r="T496" s="1" t="str">
        <f>IF(OR($B496="",T$7=""),"",IF($B496="MEANS",INDEX('1-DATA'!$1:$1048576,$A495-1,COLUMN('1-DATA'!S494)),ROUND(INDEX('1-DATA'!$1:$1048576,IF(OR($B496="STD. DEVIATION",$C$1=1),$A496,$A496+1),COLUMN('1-DATA'!S494)),IF($B496="STD. DEVIATION",2,$F$1))))</f>
        <v/>
      </c>
      <c r="U496" s="1" t="str">
        <f>IF(OR($B496="",U$7=""),"",IF($B496="MEANS",INDEX('1-DATA'!$1:$1048576,$A495-1,COLUMN('1-DATA'!T494)),ROUND(INDEX('1-DATA'!$1:$1048576,IF(OR($B496="STD. DEVIATION",$C$1=1),$A496,$A496+1),COLUMN('1-DATA'!T494)),IF($B496="STD. DEVIATION",2,$F$1))))</f>
        <v/>
      </c>
      <c r="V496" s="1" t="str">
        <f>IF(OR($B496="",V$7=""),"",IF($B496="MEANS",INDEX('1-DATA'!$1:$1048576,$A495-1,COLUMN('1-DATA'!U494)),ROUND(INDEX('1-DATA'!$1:$1048576,IF(OR($B496="STD. DEVIATION",$C$1=1),$A496,$A496+1),COLUMN('1-DATA'!U494)),IF($B496="STD. DEVIATION",2,$F$1))))</f>
        <v/>
      </c>
      <c r="W496" s="1" t="str">
        <f>IF(OR($B496="",W$7=""),"",IF($B496="MEANS",INDEX('1-DATA'!$1:$1048576,$A495-1,COLUMN('1-DATA'!V494)),ROUND(INDEX('1-DATA'!$1:$1048576,IF(OR($B496="STD. DEVIATION",$C$1=1),$A496,$A496+1),COLUMN('1-DATA'!V494)),IF($B496="STD. DEVIATION",2,$F$1))))</f>
        <v/>
      </c>
      <c r="X496" s="1" t="str">
        <f>IF(OR($B496="",X$7=""),"",IF($B496="MEANS",INDEX('1-DATA'!$1:$1048576,$A495-1,COLUMN('1-DATA'!W494)),ROUND(INDEX('1-DATA'!$1:$1048576,IF(OR($B496="STD. DEVIATION",$C$1=1),$A496,$A496+1),COLUMN('1-DATA'!W494)),IF($B496="STD. DEVIATION",2,$F$1))))</f>
        <v/>
      </c>
      <c r="Y496" s="1" t="str">
        <f>IF(OR($B496="",Y$7=""),"",IF($B496="MEANS",INDEX('1-DATA'!$1:$1048576,$A495-1,COLUMN('1-DATA'!X494)),ROUND(INDEX('1-DATA'!$1:$1048576,IF(OR($B496="STD. DEVIATION",$C$1=1),$A496,$A496+1),COLUMN('1-DATA'!X494)),IF($B496="STD. DEVIATION",2,$F$1))))</f>
        <v/>
      </c>
      <c r="Z496" s="1" t="str">
        <f>IF(OR($B496="",Z$7=""),"",IF($B496="MEANS",INDEX('1-DATA'!$1:$1048576,$A495-1,COLUMN('1-DATA'!Y494)),ROUND(INDEX('1-DATA'!$1:$1048576,IF(OR($B496="STD. DEVIATION",$C$1=1),$A496,$A496+1),COLUMN('1-DATA'!Y494)),IF($B496="STD. DEVIATION",2,$F$1))))</f>
        <v/>
      </c>
      <c r="AA496" s="1" t="str">
        <f>IF(OR($B496="",AA$7=""),"",IF($B496="MEANS",INDEX('1-DATA'!$1:$1048576,$A495-1,COLUMN('1-DATA'!Z494)),ROUND(INDEX('1-DATA'!$1:$1048576,IF(OR($B496="STD. DEVIATION",$C$1=1),$A496,$A496+1),COLUMN('1-DATA'!Z494)),IF($B496="STD. DEVIATION",2,$F$1))))</f>
        <v/>
      </c>
      <c r="AB496" s="1" t="str">
        <f>IF(OR($B496="",AB$7=""),"",IF($B496="MEANS",INDEX('1-DATA'!$1:$1048576,$A495-1,COLUMN('1-DATA'!AA494)),ROUND(INDEX('1-DATA'!$1:$1048576,IF(OR($B496="STD. DEVIATION",$C$1=1),$A496,$A496+1),COLUMN('1-DATA'!AA494)),IF($B496="STD. DEVIATION",2,$F$1))))</f>
        <v/>
      </c>
      <c r="AC496" s="1" t="str">
        <f>IF(OR($B496="",AC$7=""),"",IF($B496="MEANS",INDEX('1-DATA'!$1:$1048576,$A495-1,COLUMN('1-DATA'!AB494)),ROUND(INDEX('1-DATA'!$1:$1048576,IF(OR($B496="STD. DEVIATION",$C$1=1),$A496,$A496+1),COLUMN('1-DATA'!AB494)),IF($B496="STD. DEVIATION",2,$F$1))))</f>
        <v/>
      </c>
      <c r="AD496" s="1" t="str">
        <f>IF(OR($B496="",AD$7=""),"",IF($B496="MEANS",INDEX('1-DATA'!$1:$1048576,$A495-1,COLUMN('1-DATA'!AC494)),ROUND(INDEX('1-DATA'!$1:$1048576,IF(OR($B496="STD. DEVIATION",$C$1=1),$A496,$A496+1),COLUMN('1-DATA'!AC494)),IF($B496="STD. DEVIATION",2,$F$1))))</f>
        <v/>
      </c>
      <c r="AE496" s="1" t="str">
        <f>IF(OR($B496="",AE$7=""),"",IF($B496="MEANS",INDEX('1-DATA'!$1:$1048576,$A495-1,COLUMN('1-DATA'!AD494)),ROUND(INDEX('1-DATA'!$1:$1048576,IF(OR($B496="STD. DEVIATION",$C$1=1),$A496,$A496+1),COLUMN('1-DATA'!AD494)),IF($B496="STD. DEVIATION",2,$F$1))))</f>
        <v/>
      </c>
      <c r="AF496" s="1" t="str">
        <f>IF(OR($B496="",AF$7=""),"",IF($B496="MEANS",INDEX('1-DATA'!$1:$1048576,$A495-1,COLUMN('1-DATA'!AE494)),ROUND(INDEX('1-DATA'!$1:$1048576,IF(OR($B496="STD. DEVIATION",$C$1=1),$A496,$A496+1),COLUMN('1-DATA'!AE494)),IF($B496="STD. DEVIATION",2,$F$1))))</f>
        <v/>
      </c>
      <c r="AG496" s="1" t="str">
        <f>IF(OR($B496="",AG$7=""),"",IF($B496="MEANS",INDEX('1-DATA'!$1:$1048576,$A495-1,COLUMN('1-DATA'!AF494)),ROUND(INDEX('1-DATA'!$1:$1048576,IF(OR($B496="STD. DEVIATION",$C$1=1),$A496,$A496+1),COLUMN('1-DATA'!AF494)),IF($B496="STD. DEVIATION",2,$F$1))))</f>
        <v/>
      </c>
      <c r="AH496" s="1" t="str">
        <f>IF(OR($B496="",AH$7=""),"",IF($B496="MEANS",INDEX('1-DATA'!$1:$1048576,$A495-1,COLUMN('1-DATA'!AG494)),ROUND(INDEX('1-DATA'!$1:$1048576,IF(OR($B496="STD. DEVIATION",$C$1=1),$A496,$A496+1),COLUMN('1-DATA'!AG494)),IF($B496="STD. DEVIATION",2,$F$1))))</f>
        <v/>
      </c>
      <c r="AI496" s="1" t="str">
        <f>IF(OR($B496="",AI$7=""),"",IF($B496="MEANS",INDEX('1-DATA'!$1:$1048576,$A495-1,COLUMN('1-DATA'!AH494)),ROUND(INDEX('1-DATA'!$1:$1048576,IF(OR($B496="STD. DEVIATION",$C$1=1),$A496,$A496+1),COLUMN('1-DATA'!AH494)),IF($B496="STD. DEVIATION",2,$F$1))))</f>
        <v/>
      </c>
      <c r="AJ496" s="1" t="str">
        <f>IF(OR($B496="",AJ$7=""),"",IF($B496="MEANS",INDEX('1-DATA'!$1:$1048576,$A495-1,COLUMN('1-DATA'!AI494)),ROUND(INDEX('1-DATA'!$1:$1048576,IF(OR($B496="STD. DEVIATION",$C$1=1),$A496,$A496+1),COLUMN('1-DATA'!AI494)),IF($B496="STD. DEVIATION",2,$F$1))))</f>
        <v/>
      </c>
      <c r="AK496" s="1" t="str">
        <f>IF(OR($B496="",AK$7=""),"",IF($B496="MEANS",INDEX('1-DATA'!$1:$1048576,$A495-1,COLUMN('1-DATA'!AJ494)),ROUND(INDEX('1-DATA'!$1:$1048576,IF(OR($B496="STD. DEVIATION",$C$1=1),$A496,$A496+1),COLUMN('1-DATA'!AJ494)),IF($B496="STD. DEVIATION",2,$F$1))))</f>
        <v/>
      </c>
      <c r="AL496" s="1" t="str">
        <f>IF(OR($B496="",AL$7=""),"",IF($B496="MEANS",INDEX('1-DATA'!$1:$1048576,$A495-1,COLUMN('1-DATA'!AK494)),ROUND(INDEX('1-DATA'!$1:$1048576,IF(OR($B496="STD. DEVIATION",$C$1=1),$A496,$A496+1),COLUMN('1-DATA'!AK494)),IF($B496="STD. DEVIATION",2,$F$1))))</f>
        <v/>
      </c>
      <c r="AM496" s="1" t="str">
        <f>IF(OR($B496="",AM$7=""),"",IF($B496="MEANS",INDEX('1-DATA'!$1:$1048576,$A495-1,COLUMN('1-DATA'!AL494)),ROUND(INDEX('1-DATA'!$1:$1048576,IF(OR($B496="STD. DEVIATION",$C$1=1),$A496,$A496+1),COLUMN('1-DATA'!AL494)),IF($B496="STD. DEVIATION",2,$F$1))))</f>
        <v/>
      </c>
      <c r="AN496" s="1" t="str">
        <f>IF(OR($B496="",AN$7=""),"",IF($B496="MEANS",INDEX('1-DATA'!$1:$1048576,$A495-1,COLUMN('1-DATA'!AM494)),ROUND(INDEX('1-DATA'!$1:$1048576,IF(OR($B496="STD. DEVIATION",$C$1=1),$A496,$A496+1),COLUMN('1-DATA'!AM494)),IF($B496="STD. DEVIATION",2,$F$1))))</f>
        <v/>
      </c>
      <c r="AO496" s="1" t="str">
        <f>IF(OR($B496="",AO$7=""),"",IF($B496="MEANS",INDEX('1-DATA'!$1:$1048576,$A495-1,COLUMN('1-DATA'!AN494)),ROUND(INDEX('1-DATA'!$1:$1048576,IF(OR($B496="STD. DEVIATION",$C$1=1),$A496,$A496+1),COLUMN('1-DATA'!AN494)),IF($B496="STD. DEVIATION",2,$F$1))))</f>
        <v/>
      </c>
      <c r="AP496" s="1" t="str">
        <f>IF(OR($B496="",AP$7=""),"",IF($B496="MEANS",INDEX('1-DATA'!$1:$1048576,$A495-1,COLUMN('1-DATA'!AO494)),ROUND(INDEX('1-DATA'!$1:$1048576,IF(OR($B496="STD. DEVIATION",$C$1=1),$A496,$A496+1),COLUMN('1-DATA'!AO494)),IF($B496="STD. DEVIATION",2,$F$1))))</f>
        <v/>
      </c>
      <c r="AQ496" s="1" t="str">
        <f>IF(OR($B496="",AQ$7=""),"",IF($B496="MEANS",INDEX('1-DATA'!$1:$1048576,$A495-1,COLUMN('1-DATA'!AP494)),ROUND(INDEX('1-DATA'!$1:$1048576,IF(OR($B496="STD. DEVIATION",$C$1=1),$A496,$A496+1),COLUMN('1-DATA'!AP494)),IF($B496="STD. DEVIATION",2,$F$1))))</f>
        <v/>
      </c>
      <c r="AR496" s="1" t="str">
        <f>IF(OR($B496="",AR$7=""),"",IF($B496="MEANS",INDEX('1-DATA'!$1:$1048576,$A495-1,COLUMN('1-DATA'!AQ494)),ROUND(INDEX('1-DATA'!$1:$1048576,IF(OR($B496="STD. DEVIATION",$C$1=1),$A496,$A496+1),COLUMN('1-DATA'!AQ494)),IF($B496="STD. DEVIATION",2,$F$1))))</f>
        <v/>
      </c>
      <c r="AS496" s="1" t="str">
        <f>IF(OR($B496="",AS$7=""),"",IF($B496="MEANS",INDEX('1-DATA'!$1:$1048576,$A495-1,COLUMN('1-DATA'!AR494)),ROUND(INDEX('1-DATA'!$1:$1048576,IF(OR($B496="STD. DEVIATION",$C$1=1),$A496,$A496+1),COLUMN('1-DATA'!AR494)),IF($B496="STD. DEVIATION",2,$F$1))))</f>
        <v/>
      </c>
      <c r="AT496" s="1" t="str">
        <f>IF(OR($B496="",AT$7=""),"",IF($B496="MEANS",INDEX('1-DATA'!$1:$1048576,$A495-1,COLUMN('1-DATA'!AS494)),ROUND(INDEX('1-DATA'!$1:$1048576,IF(OR($B496="STD. DEVIATION",$C$1=1),$A496,$A496+1),COLUMN('1-DATA'!AS494)),IF($B496="STD. DEVIATION",2,$F$1))))</f>
        <v/>
      </c>
      <c r="AU496" s="1" t="str">
        <f>IF(OR($B496="",AU$7=""),"",IF($B496="MEANS",INDEX('1-DATA'!$1:$1048576,$A495-1,COLUMN('1-DATA'!AT494)),ROUND(INDEX('1-DATA'!$1:$1048576,IF(OR($B496="STD. DEVIATION",$C$1=1),$A496,$A496+1),COLUMN('1-DATA'!AT494)),IF($B496="STD. DEVIATION",2,$F$1))))</f>
        <v/>
      </c>
      <c r="AV496" s="1" t="str">
        <f>IF(OR($B496="",AV$7=""),"",IF($B496="MEANS",INDEX('1-DATA'!$1:$1048576,$A495-1,COLUMN('1-DATA'!AU494)),ROUND(INDEX('1-DATA'!$1:$1048576,IF(OR($B496="STD. DEVIATION",$C$1=1),$A496,$A496+1),COLUMN('1-DATA'!AU494)),IF($B496="STD. DEVIATION",2,$F$1))))</f>
        <v/>
      </c>
      <c r="AW496" s="1" t="str">
        <f>IF(OR($B496="",AW$7=""),"",IF($B496="MEANS",INDEX('1-DATA'!$1:$1048576,$A495-1,COLUMN('1-DATA'!AV494)),ROUND(INDEX('1-DATA'!$1:$1048576,IF(OR($B496="STD. DEVIATION",$C$1=1),$A496,$A496+1),COLUMN('1-DATA'!AV494)),IF($B496="STD. DEVIATION",2,$F$1))))</f>
        <v/>
      </c>
      <c r="AX496" s="1" t="str">
        <f>IF(OR($B496="",AX$7=""),"",IF($B496="MEANS",INDEX('1-DATA'!$1:$1048576,$A495-1,COLUMN('1-DATA'!AW494)),ROUND(INDEX('1-DATA'!$1:$1048576,IF(OR($B496="STD. DEVIATION",$C$1=1),$A496,$A496+1),COLUMN('1-DATA'!AW494)),IF($B496="STD. DEVIATION",2,$F$1))))</f>
        <v/>
      </c>
      <c r="AY496" s="1" t="str">
        <f>IF(OR($B496="",AY$7=""),"",IF($B496="MEANS",INDEX('1-DATA'!$1:$1048576,$A495-1,COLUMN('1-DATA'!AX494)),ROUND(INDEX('1-DATA'!$1:$1048576,IF(OR($B496="STD. DEVIATION",$C$1=1),$A496,$A496+1),COLUMN('1-DATA'!AX494)),IF($B496="STD. DEVIATION",2,$F$1))))</f>
        <v/>
      </c>
      <c r="AZ496" s="1" t="str">
        <f>IF(OR($B496="",AZ$7=""),"",IF($B496="MEANS",INDEX('1-DATA'!$1:$1048576,$A495-1,COLUMN('1-DATA'!AY494)),ROUND(INDEX('1-DATA'!$1:$1048576,IF(OR($B496="STD. DEVIATION",$C$1=1),$A496,$A496+1),COLUMN('1-DATA'!AY494)),IF($B496="STD. DEVIATION",2,$F$1))))</f>
        <v/>
      </c>
    </row>
    <row r="497" spans="1:52" x14ac:dyDescent="0.25">
      <c r="A497" s="11">
        <f t="shared" si="8"/>
        <v>1477</v>
      </c>
      <c r="B497" s="1" t="str">
        <f>IF(B496="STD. DEVIATION",INDEX('1-DATA'!$1:$1048576,$A496-1,1),IF(INDEX('1-DATA'!$1:$1048576,$A497,1)&lt;&gt;"",INDEX('1-DATA'!$1:$1048576,$A497,1),""))</f>
        <v/>
      </c>
      <c r="C497" s="1" t="str">
        <f>IF(OR($B497="",C$7=""),"",IF($B497="MEANS",INDEX('1-DATA'!$1:$1048576,$A496-1,COLUMN('1-DATA'!B495)),ROUND(INDEX('1-DATA'!$1:$1048576,IF(OR($B497="STD. DEVIATION",$C$1=1),$A497,$A497+1),COLUMN('1-DATA'!B495)),IF($B497="STD. DEVIATION",2,$F$1))))</f>
        <v/>
      </c>
      <c r="D497" s="1" t="str">
        <f>IF(OR($B497="",D$7=""),"",IF($B497="MEANS",INDEX('1-DATA'!$1:$1048576,$A496-1,COLUMN('1-DATA'!C495)),ROUND(INDEX('1-DATA'!$1:$1048576,IF(OR($B497="STD. DEVIATION",$C$1=1),$A497,$A497+1),COLUMN('1-DATA'!C495)),IF($B497="STD. DEVIATION",2,$F$1))))</f>
        <v/>
      </c>
      <c r="E497" s="1" t="str">
        <f>IF(OR($B497="",E$7=""),"",IF($B497="MEANS",INDEX('1-DATA'!$1:$1048576,$A496-1,COLUMN('1-DATA'!D495)),ROUND(INDEX('1-DATA'!$1:$1048576,IF(OR($B497="STD. DEVIATION",$C$1=1),$A497,$A497+1),COLUMN('1-DATA'!D495)),IF($B497="STD. DEVIATION",2,$F$1))))</f>
        <v/>
      </c>
      <c r="F497" s="1" t="str">
        <f>IF(OR($B497="",F$7=""),"",IF($B497="MEANS",INDEX('1-DATA'!$1:$1048576,$A496-1,COLUMN('1-DATA'!E495)),ROUND(INDEX('1-DATA'!$1:$1048576,IF(OR($B497="STD. DEVIATION",$C$1=1),$A497,$A497+1),COLUMN('1-DATA'!E495)),IF($B497="STD. DEVIATION",2,$F$1))))</f>
        <v/>
      </c>
      <c r="G497" s="1" t="str">
        <f>IF(OR($B497="",G$7=""),"",IF($B497="MEANS",INDEX('1-DATA'!$1:$1048576,$A496-1,COLUMN('1-DATA'!F495)),ROUND(INDEX('1-DATA'!$1:$1048576,IF(OR($B497="STD. DEVIATION",$C$1=1),$A497,$A497+1),COLUMN('1-DATA'!F495)),IF($B497="STD. DEVIATION",2,$F$1))))</f>
        <v/>
      </c>
      <c r="H497" s="1" t="str">
        <f>IF(OR($B497="",H$7=""),"",IF($B497="MEANS",INDEX('1-DATA'!$1:$1048576,$A496-1,COLUMN('1-DATA'!G495)),ROUND(INDEX('1-DATA'!$1:$1048576,IF(OR($B497="STD. DEVIATION",$C$1=1),$A497,$A497+1),COLUMN('1-DATA'!G495)),IF($B497="STD. DEVIATION",2,$F$1))))</f>
        <v/>
      </c>
      <c r="I497" s="1" t="str">
        <f>IF(OR($B497="",I$7=""),"",IF($B497="MEANS",INDEX('1-DATA'!$1:$1048576,$A496-1,COLUMN('1-DATA'!H495)),ROUND(INDEX('1-DATA'!$1:$1048576,IF(OR($B497="STD. DEVIATION",$C$1=1),$A497,$A497+1),COLUMN('1-DATA'!H495)),IF($B497="STD. DEVIATION",2,$F$1))))</f>
        <v/>
      </c>
      <c r="J497" s="1" t="str">
        <f>IF(OR($B497="",J$7=""),"",IF($B497="MEANS",INDEX('1-DATA'!$1:$1048576,$A496-1,COLUMN('1-DATA'!I495)),ROUND(INDEX('1-DATA'!$1:$1048576,IF(OR($B497="STD. DEVIATION",$C$1=1),$A497,$A497+1),COLUMN('1-DATA'!I495)),IF($B497="STD. DEVIATION",2,$F$1))))</f>
        <v/>
      </c>
      <c r="K497" s="1" t="str">
        <f>IF(OR($B497="",K$7=""),"",IF($B497="MEANS",INDEX('1-DATA'!$1:$1048576,$A496-1,COLUMN('1-DATA'!J495)),ROUND(INDEX('1-DATA'!$1:$1048576,IF(OR($B497="STD. DEVIATION",$C$1=1),$A497,$A497+1),COLUMN('1-DATA'!J495)),IF($B497="STD. DEVIATION",2,$F$1))))</f>
        <v/>
      </c>
      <c r="L497" s="1" t="str">
        <f>IF(OR($B497="",L$7=""),"",IF($B497="MEANS",INDEX('1-DATA'!$1:$1048576,$A496-1,COLUMN('1-DATA'!K495)),ROUND(INDEX('1-DATA'!$1:$1048576,IF(OR($B497="STD. DEVIATION",$C$1=1),$A497,$A497+1),COLUMN('1-DATA'!K495)),IF($B497="STD. DEVIATION",2,$F$1))))</f>
        <v/>
      </c>
      <c r="M497" s="1" t="str">
        <f>IF(OR($B497="",M$7=""),"",IF($B497="MEANS",INDEX('1-DATA'!$1:$1048576,$A496-1,COLUMN('1-DATA'!L495)),ROUND(INDEX('1-DATA'!$1:$1048576,IF(OR($B497="STD. DEVIATION",$C$1=1),$A497,$A497+1),COLUMN('1-DATA'!L495)),IF($B497="STD. DEVIATION",2,$F$1))))</f>
        <v/>
      </c>
      <c r="N497" s="1" t="str">
        <f>IF(OR($B497="",N$7=""),"",IF($B497="MEANS",INDEX('1-DATA'!$1:$1048576,$A496-1,COLUMN('1-DATA'!M495)),ROUND(INDEX('1-DATA'!$1:$1048576,IF(OR($B497="STD. DEVIATION",$C$1=1),$A497,$A497+1),COLUMN('1-DATA'!M495)),IF($B497="STD. DEVIATION",2,$F$1))))</f>
        <v/>
      </c>
      <c r="O497" s="1" t="str">
        <f>IF(OR($B497="",O$7=""),"",IF($B497="MEANS",INDEX('1-DATA'!$1:$1048576,$A496-1,COLUMN('1-DATA'!N495)),ROUND(INDEX('1-DATA'!$1:$1048576,IF(OR($B497="STD. DEVIATION",$C$1=1),$A497,$A497+1),COLUMN('1-DATA'!N495)),IF($B497="STD. DEVIATION",2,$F$1))))</f>
        <v/>
      </c>
      <c r="P497" s="1" t="str">
        <f>IF(OR($B497="",P$7=""),"",IF($B497="MEANS",INDEX('1-DATA'!$1:$1048576,$A496-1,COLUMN('1-DATA'!O495)),ROUND(INDEX('1-DATA'!$1:$1048576,IF(OR($B497="STD. DEVIATION",$C$1=1),$A497,$A497+1),COLUMN('1-DATA'!O495)),IF($B497="STD. DEVIATION",2,$F$1))))</f>
        <v/>
      </c>
      <c r="Q497" s="1" t="str">
        <f>IF(OR($B497="",Q$7=""),"",IF($B497="MEANS",INDEX('1-DATA'!$1:$1048576,$A496-1,COLUMN('1-DATA'!P495)),ROUND(INDEX('1-DATA'!$1:$1048576,IF(OR($B497="STD. DEVIATION",$C$1=1),$A497,$A497+1),COLUMN('1-DATA'!P495)),IF($B497="STD. DEVIATION",2,$F$1))))</f>
        <v/>
      </c>
      <c r="R497" s="1" t="str">
        <f>IF(OR($B497="",R$7=""),"",IF($B497="MEANS",INDEX('1-DATA'!$1:$1048576,$A496-1,COLUMN('1-DATA'!Q495)),ROUND(INDEX('1-DATA'!$1:$1048576,IF(OR($B497="STD. DEVIATION",$C$1=1),$A497,$A497+1),COLUMN('1-DATA'!Q495)),IF($B497="STD. DEVIATION",2,$F$1))))</f>
        <v/>
      </c>
      <c r="S497" s="1" t="str">
        <f>IF(OR($B497="",S$7=""),"",IF($B497="MEANS",INDEX('1-DATA'!$1:$1048576,$A496-1,COLUMN('1-DATA'!R495)),ROUND(INDEX('1-DATA'!$1:$1048576,IF(OR($B497="STD. DEVIATION",$C$1=1),$A497,$A497+1),COLUMN('1-DATA'!R495)),IF($B497="STD. DEVIATION",2,$F$1))))</f>
        <v/>
      </c>
      <c r="T497" s="1" t="str">
        <f>IF(OR($B497="",T$7=""),"",IF($B497="MEANS",INDEX('1-DATA'!$1:$1048576,$A496-1,COLUMN('1-DATA'!S495)),ROUND(INDEX('1-DATA'!$1:$1048576,IF(OR($B497="STD. DEVIATION",$C$1=1),$A497,$A497+1),COLUMN('1-DATA'!S495)),IF($B497="STD. DEVIATION",2,$F$1))))</f>
        <v/>
      </c>
      <c r="U497" s="1" t="str">
        <f>IF(OR($B497="",U$7=""),"",IF($B497="MEANS",INDEX('1-DATA'!$1:$1048576,$A496-1,COLUMN('1-DATA'!T495)),ROUND(INDEX('1-DATA'!$1:$1048576,IF(OR($B497="STD. DEVIATION",$C$1=1),$A497,$A497+1),COLUMN('1-DATA'!T495)),IF($B497="STD. DEVIATION",2,$F$1))))</f>
        <v/>
      </c>
      <c r="V497" s="1" t="str">
        <f>IF(OR($B497="",V$7=""),"",IF($B497="MEANS",INDEX('1-DATA'!$1:$1048576,$A496-1,COLUMN('1-DATA'!U495)),ROUND(INDEX('1-DATA'!$1:$1048576,IF(OR($B497="STD. DEVIATION",$C$1=1),$A497,$A497+1),COLUMN('1-DATA'!U495)),IF($B497="STD. DEVIATION",2,$F$1))))</f>
        <v/>
      </c>
      <c r="W497" s="1" t="str">
        <f>IF(OR($B497="",W$7=""),"",IF($B497="MEANS",INDEX('1-DATA'!$1:$1048576,$A496-1,COLUMN('1-DATA'!V495)),ROUND(INDEX('1-DATA'!$1:$1048576,IF(OR($B497="STD. DEVIATION",$C$1=1),$A497,$A497+1),COLUMN('1-DATA'!V495)),IF($B497="STD. DEVIATION",2,$F$1))))</f>
        <v/>
      </c>
      <c r="X497" s="1" t="str">
        <f>IF(OR($B497="",X$7=""),"",IF($B497="MEANS",INDEX('1-DATA'!$1:$1048576,$A496-1,COLUMN('1-DATA'!W495)),ROUND(INDEX('1-DATA'!$1:$1048576,IF(OR($B497="STD. DEVIATION",$C$1=1),$A497,$A497+1),COLUMN('1-DATA'!W495)),IF($B497="STD. DEVIATION",2,$F$1))))</f>
        <v/>
      </c>
      <c r="Y497" s="1" t="str">
        <f>IF(OR($B497="",Y$7=""),"",IF($B497="MEANS",INDEX('1-DATA'!$1:$1048576,$A496-1,COLUMN('1-DATA'!X495)),ROUND(INDEX('1-DATA'!$1:$1048576,IF(OR($B497="STD. DEVIATION",$C$1=1),$A497,$A497+1),COLUMN('1-DATA'!X495)),IF($B497="STD. DEVIATION",2,$F$1))))</f>
        <v/>
      </c>
      <c r="Z497" s="1" t="str">
        <f>IF(OR($B497="",Z$7=""),"",IF($B497="MEANS",INDEX('1-DATA'!$1:$1048576,$A496-1,COLUMN('1-DATA'!Y495)),ROUND(INDEX('1-DATA'!$1:$1048576,IF(OR($B497="STD. DEVIATION",$C$1=1),$A497,$A497+1),COLUMN('1-DATA'!Y495)),IF($B497="STD. DEVIATION",2,$F$1))))</f>
        <v/>
      </c>
      <c r="AA497" s="1" t="str">
        <f>IF(OR($B497="",AA$7=""),"",IF($B497="MEANS",INDEX('1-DATA'!$1:$1048576,$A496-1,COLUMN('1-DATA'!Z495)),ROUND(INDEX('1-DATA'!$1:$1048576,IF(OR($B497="STD. DEVIATION",$C$1=1),$A497,$A497+1),COLUMN('1-DATA'!Z495)),IF($B497="STD. DEVIATION",2,$F$1))))</f>
        <v/>
      </c>
      <c r="AB497" s="1" t="str">
        <f>IF(OR($B497="",AB$7=""),"",IF($B497="MEANS",INDEX('1-DATA'!$1:$1048576,$A496-1,COLUMN('1-DATA'!AA495)),ROUND(INDEX('1-DATA'!$1:$1048576,IF(OR($B497="STD. DEVIATION",$C$1=1),$A497,$A497+1),COLUMN('1-DATA'!AA495)),IF($B497="STD. DEVIATION",2,$F$1))))</f>
        <v/>
      </c>
      <c r="AC497" s="1" t="str">
        <f>IF(OR($B497="",AC$7=""),"",IF($B497="MEANS",INDEX('1-DATA'!$1:$1048576,$A496-1,COLUMN('1-DATA'!AB495)),ROUND(INDEX('1-DATA'!$1:$1048576,IF(OR($B497="STD. DEVIATION",$C$1=1),$A497,$A497+1),COLUMN('1-DATA'!AB495)),IF($B497="STD. DEVIATION",2,$F$1))))</f>
        <v/>
      </c>
      <c r="AD497" s="1" t="str">
        <f>IF(OR($B497="",AD$7=""),"",IF($B497="MEANS",INDEX('1-DATA'!$1:$1048576,$A496-1,COLUMN('1-DATA'!AC495)),ROUND(INDEX('1-DATA'!$1:$1048576,IF(OR($B497="STD. DEVIATION",$C$1=1),$A497,$A497+1),COLUMN('1-DATA'!AC495)),IF($B497="STD. DEVIATION",2,$F$1))))</f>
        <v/>
      </c>
      <c r="AE497" s="1" t="str">
        <f>IF(OR($B497="",AE$7=""),"",IF($B497="MEANS",INDEX('1-DATA'!$1:$1048576,$A496-1,COLUMN('1-DATA'!AD495)),ROUND(INDEX('1-DATA'!$1:$1048576,IF(OR($B497="STD. DEVIATION",$C$1=1),$A497,$A497+1),COLUMN('1-DATA'!AD495)),IF($B497="STD. DEVIATION",2,$F$1))))</f>
        <v/>
      </c>
      <c r="AF497" s="1" t="str">
        <f>IF(OR($B497="",AF$7=""),"",IF($B497="MEANS",INDEX('1-DATA'!$1:$1048576,$A496-1,COLUMN('1-DATA'!AE495)),ROUND(INDEX('1-DATA'!$1:$1048576,IF(OR($B497="STD. DEVIATION",$C$1=1),$A497,$A497+1),COLUMN('1-DATA'!AE495)),IF($B497="STD. DEVIATION",2,$F$1))))</f>
        <v/>
      </c>
      <c r="AG497" s="1" t="str">
        <f>IF(OR($B497="",AG$7=""),"",IF($B497="MEANS",INDEX('1-DATA'!$1:$1048576,$A496-1,COLUMN('1-DATA'!AF495)),ROUND(INDEX('1-DATA'!$1:$1048576,IF(OR($B497="STD. DEVIATION",$C$1=1),$A497,$A497+1),COLUMN('1-DATA'!AF495)),IF($B497="STD. DEVIATION",2,$F$1))))</f>
        <v/>
      </c>
      <c r="AH497" s="1" t="str">
        <f>IF(OR($B497="",AH$7=""),"",IF($B497="MEANS",INDEX('1-DATA'!$1:$1048576,$A496-1,COLUMN('1-DATA'!AG495)),ROUND(INDEX('1-DATA'!$1:$1048576,IF(OR($B497="STD. DEVIATION",$C$1=1),$A497,$A497+1),COLUMN('1-DATA'!AG495)),IF($B497="STD. DEVIATION",2,$F$1))))</f>
        <v/>
      </c>
      <c r="AI497" s="1" t="str">
        <f>IF(OR($B497="",AI$7=""),"",IF($B497="MEANS",INDEX('1-DATA'!$1:$1048576,$A496-1,COLUMN('1-DATA'!AH495)),ROUND(INDEX('1-DATA'!$1:$1048576,IF(OR($B497="STD. DEVIATION",$C$1=1),$A497,$A497+1),COLUMN('1-DATA'!AH495)),IF($B497="STD. DEVIATION",2,$F$1))))</f>
        <v/>
      </c>
      <c r="AJ497" s="1" t="str">
        <f>IF(OR($B497="",AJ$7=""),"",IF($B497="MEANS",INDEX('1-DATA'!$1:$1048576,$A496-1,COLUMN('1-DATA'!AI495)),ROUND(INDEX('1-DATA'!$1:$1048576,IF(OR($B497="STD. DEVIATION",$C$1=1),$A497,$A497+1),COLUMN('1-DATA'!AI495)),IF($B497="STD. DEVIATION",2,$F$1))))</f>
        <v/>
      </c>
      <c r="AK497" s="1" t="str">
        <f>IF(OR($B497="",AK$7=""),"",IF($B497="MEANS",INDEX('1-DATA'!$1:$1048576,$A496-1,COLUMN('1-DATA'!AJ495)),ROUND(INDEX('1-DATA'!$1:$1048576,IF(OR($B497="STD. DEVIATION",$C$1=1),$A497,$A497+1),COLUMN('1-DATA'!AJ495)),IF($B497="STD. DEVIATION",2,$F$1))))</f>
        <v/>
      </c>
      <c r="AL497" s="1" t="str">
        <f>IF(OR($B497="",AL$7=""),"",IF($B497="MEANS",INDEX('1-DATA'!$1:$1048576,$A496-1,COLUMN('1-DATA'!AK495)),ROUND(INDEX('1-DATA'!$1:$1048576,IF(OR($B497="STD. DEVIATION",$C$1=1),$A497,$A497+1),COLUMN('1-DATA'!AK495)),IF($B497="STD. DEVIATION",2,$F$1))))</f>
        <v/>
      </c>
      <c r="AM497" s="1" t="str">
        <f>IF(OR($B497="",AM$7=""),"",IF($B497="MEANS",INDEX('1-DATA'!$1:$1048576,$A496-1,COLUMN('1-DATA'!AL495)),ROUND(INDEX('1-DATA'!$1:$1048576,IF(OR($B497="STD. DEVIATION",$C$1=1),$A497,$A497+1),COLUMN('1-DATA'!AL495)),IF($B497="STD. DEVIATION",2,$F$1))))</f>
        <v/>
      </c>
      <c r="AN497" s="1" t="str">
        <f>IF(OR($B497="",AN$7=""),"",IF($B497="MEANS",INDEX('1-DATA'!$1:$1048576,$A496-1,COLUMN('1-DATA'!AM495)),ROUND(INDEX('1-DATA'!$1:$1048576,IF(OR($B497="STD. DEVIATION",$C$1=1),$A497,$A497+1),COLUMN('1-DATA'!AM495)),IF($B497="STD. DEVIATION",2,$F$1))))</f>
        <v/>
      </c>
      <c r="AO497" s="1" t="str">
        <f>IF(OR($B497="",AO$7=""),"",IF($B497="MEANS",INDEX('1-DATA'!$1:$1048576,$A496-1,COLUMN('1-DATA'!AN495)),ROUND(INDEX('1-DATA'!$1:$1048576,IF(OR($B497="STD. DEVIATION",$C$1=1),$A497,$A497+1),COLUMN('1-DATA'!AN495)),IF($B497="STD. DEVIATION",2,$F$1))))</f>
        <v/>
      </c>
      <c r="AP497" s="1" t="str">
        <f>IF(OR($B497="",AP$7=""),"",IF($B497="MEANS",INDEX('1-DATA'!$1:$1048576,$A496-1,COLUMN('1-DATA'!AO495)),ROUND(INDEX('1-DATA'!$1:$1048576,IF(OR($B497="STD. DEVIATION",$C$1=1),$A497,$A497+1),COLUMN('1-DATA'!AO495)),IF($B497="STD. DEVIATION",2,$F$1))))</f>
        <v/>
      </c>
      <c r="AQ497" s="1" t="str">
        <f>IF(OR($B497="",AQ$7=""),"",IF($B497="MEANS",INDEX('1-DATA'!$1:$1048576,$A496-1,COLUMN('1-DATA'!AP495)),ROUND(INDEX('1-DATA'!$1:$1048576,IF(OR($B497="STD. DEVIATION",$C$1=1),$A497,$A497+1),COLUMN('1-DATA'!AP495)),IF($B497="STD. DEVIATION",2,$F$1))))</f>
        <v/>
      </c>
      <c r="AR497" s="1" t="str">
        <f>IF(OR($B497="",AR$7=""),"",IF($B497="MEANS",INDEX('1-DATA'!$1:$1048576,$A496-1,COLUMN('1-DATA'!AQ495)),ROUND(INDEX('1-DATA'!$1:$1048576,IF(OR($B497="STD. DEVIATION",$C$1=1),$A497,$A497+1),COLUMN('1-DATA'!AQ495)),IF($B497="STD. DEVIATION",2,$F$1))))</f>
        <v/>
      </c>
      <c r="AS497" s="1" t="str">
        <f>IF(OR($B497="",AS$7=""),"",IF($B497="MEANS",INDEX('1-DATA'!$1:$1048576,$A496-1,COLUMN('1-DATA'!AR495)),ROUND(INDEX('1-DATA'!$1:$1048576,IF(OR($B497="STD. DEVIATION",$C$1=1),$A497,$A497+1),COLUMN('1-DATA'!AR495)),IF($B497="STD. DEVIATION",2,$F$1))))</f>
        <v/>
      </c>
      <c r="AT497" s="1" t="str">
        <f>IF(OR($B497="",AT$7=""),"",IF($B497="MEANS",INDEX('1-DATA'!$1:$1048576,$A496-1,COLUMN('1-DATA'!AS495)),ROUND(INDEX('1-DATA'!$1:$1048576,IF(OR($B497="STD. DEVIATION",$C$1=1),$A497,$A497+1),COLUMN('1-DATA'!AS495)),IF($B497="STD. DEVIATION",2,$F$1))))</f>
        <v/>
      </c>
      <c r="AU497" s="1" t="str">
        <f>IF(OR($B497="",AU$7=""),"",IF($B497="MEANS",INDEX('1-DATA'!$1:$1048576,$A496-1,COLUMN('1-DATA'!AT495)),ROUND(INDEX('1-DATA'!$1:$1048576,IF(OR($B497="STD. DEVIATION",$C$1=1),$A497,$A497+1),COLUMN('1-DATA'!AT495)),IF($B497="STD. DEVIATION",2,$F$1))))</f>
        <v/>
      </c>
      <c r="AV497" s="1" t="str">
        <f>IF(OR($B497="",AV$7=""),"",IF($B497="MEANS",INDEX('1-DATA'!$1:$1048576,$A496-1,COLUMN('1-DATA'!AU495)),ROUND(INDEX('1-DATA'!$1:$1048576,IF(OR($B497="STD. DEVIATION",$C$1=1),$A497,$A497+1),COLUMN('1-DATA'!AU495)),IF($B497="STD. DEVIATION",2,$F$1))))</f>
        <v/>
      </c>
      <c r="AW497" s="1" t="str">
        <f>IF(OR($B497="",AW$7=""),"",IF($B497="MEANS",INDEX('1-DATA'!$1:$1048576,$A496-1,COLUMN('1-DATA'!AV495)),ROUND(INDEX('1-DATA'!$1:$1048576,IF(OR($B497="STD. DEVIATION",$C$1=1),$A497,$A497+1),COLUMN('1-DATA'!AV495)),IF($B497="STD. DEVIATION",2,$F$1))))</f>
        <v/>
      </c>
      <c r="AX497" s="1" t="str">
        <f>IF(OR($B497="",AX$7=""),"",IF($B497="MEANS",INDEX('1-DATA'!$1:$1048576,$A496-1,COLUMN('1-DATA'!AW495)),ROUND(INDEX('1-DATA'!$1:$1048576,IF(OR($B497="STD. DEVIATION",$C$1=1),$A497,$A497+1),COLUMN('1-DATA'!AW495)),IF($B497="STD. DEVIATION",2,$F$1))))</f>
        <v/>
      </c>
      <c r="AY497" s="1" t="str">
        <f>IF(OR($B497="",AY$7=""),"",IF($B497="MEANS",INDEX('1-DATA'!$1:$1048576,$A496-1,COLUMN('1-DATA'!AX495)),ROUND(INDEX('1-DATA'!$1:$1048576,IF(OR($B497="STD. DEVIATION",$C$1=1),$A497,$A497+1),COLUMN('1-DATA'!AX495)),IF($B497="STD. DEVIATION",2,$F$1))))</f>
        <v/>
      </c>
      <c r="AZ497" s="1" t="str">
        <f>IF(OR($B497="",AZ$7=""),"",IF($B497="MEANS",INDEX('1-DATA'!$1:$1048576,$A496-1,COLUMN('1-DATA'!AY495)),ROUND(INDEX('1-DATA'!$1:$1048576,IF(OR($B497="STD. DEVIATION",$C$1=1),$A497,$A497+1),COLUMN('1-DATA'!AY495)),IF($B497="STD. DEVIATION",2,$F$1))))</f>
        <v/>
      </c>
    </row>
    <row r="498" spans="1:52" x14ac:dyDescent="0.25">
      <c r="A498" s="11">
        <f t="shared" si="8"/>
        <v>1480</v>
      </c>
      <c r="B498" s="1" t="str">
        <f>IF(B497="STD. DEVIATION",INDEX('1-DATA'!$1:$1048576,$A497-1,1),IF(INDEX('1-DATA'!$1:$1048576,$A498,1)&lt;&gt;"",INDEX('1-DATA'!$1:$1048576,$A498,1),""))</f>
        <v/>
      </c>
      <c r="C498" s="1" t="str">
        <f>IF(OR($B498="",C$7=""),"",IF($B498="MEANS",INDEX('1-DATA'!$1:$1048576,$A497-1,COLUMN('1-DATA'!B496)),ROUND(INDEX('1-DATA'!$1:$1048576,IF(OR($B498="STD. DEVIATION",$C$1=1),$A498,$A498+1),COLUMN('1-DATA'!B496)),IF($B498="STD. DEVIATION",2,$F$1))))</f>
        <v/>
      </c>
      <c r="D498" s="1" t="str">
        <f>IF(OR($B498="",D$7=""),"",IF($B498="MEANS",INDEX('1-DATA'!$1:$1048576,$A497-1,COLUMN('1-DATA'!C496)),ROUND(INDEX('1-DATA'!$1:$1048576,IF(OR($B498="STD. DEVIATION",$C$1=1),$A498,$A498+1),COLUMN('1-DATA'!C496)),IF($B498="STD. DEVIATION",2,$F$1))))</f>
        <v/>
      </c>
      <c r="E498" s="1" t="str">
        <f>IF(OR($B498="",E$7=""),"",IF($B498="MEANS",INDEX('1-DATA'!$1:$1048576,$A497-1,COLUMN('1-DATA'!D496)),ROUND(INDEX('1-DATA'!$1:$1048576,IF(OR($B498="STD. DEVIATION",$C$1=1),$A498,$A498+1),COLUMN('1-DATA'!D496)),IF($B498="STD. DEVIATION",2,$F$1))))</f>
        <v/>
      </c>
      <c r="F498" s="1" t="str">
        <f>IF(OR($B498="",F$7=""),"",IF($B498="MEANS",INDEX('1-DATA'!$1:$1048576,$A497-1,COLUMN('1-DATA'!E496)),ROUND(INDEX('1-DATA'!$1:$1048576,IF(OR($B498="STD. DEVIATION",$C$1=1),$A498,$A498+1),COLUMN('1-DATA'!E496)),IF($B498="STD. DEVIATION",2,$F$1))))</f>
        <v/>
      </c>
      <c r="G498" s="1" t="str">
        <f>IF(OR($B498="",G$7=""),"",IF($B498="MEANS",INDEX('1-DATA'!$1:$1048576,$A497-1,COLUMN('1-DATA'!F496)),ROUND(INDEX('1-DATA'!$1:$1048576,IF(OR($B498="STD. DEVIATION",$C$1=1),$A498,$A498+1),COLUMN('1-DATA'!F496)),IF($B498="STD. DEVIATION",2,$F$1))))</f>
        <v/>
      </c>
      <c r="H498" s="1" t="str">
        <f>IF(OR($B498="",H$7=""),"",IF($B498="MEANS",INDEX('1-DATA'!$1:$1048576,$A497-1,COLUMN('1-DATA'!G496)),ROUND(INDEX('1-DATA'!$1:$1048576,IF(OR($B498="STD. DEVIATION",$C$1=1),$A498,$A498+1),COLUMN('1-DATA'!G496)),IF($B498="STD. DEVIATION",2,$F$1))))</f>
        <v/>
      </c>
      <c r="I498" s="1" t="str">
        <f>IF(OR($B498="",I$7=""),"",IF($B498="MEANS",INDEX('1-DATA'!$1:$1048576,$A497-1,COLUMN('1-DATA'!H496)),ROUND(INDEX('1-DATA'!$1:$1048576,IF(OR($B498="STD. DEVIATION",$C$1=1),$A498,$A498+1),COLUMN('1-DATA'!H496)),IF($B498="STD. DEVIATION",2,$F$1))))</f>
        <v/>
      </c>
      <c r="J498" s="1" t="str">
        <f>IF(OR($B498="",J$7=""),"",IF($B498="MEANS",INDEX('1-DATA'!$1:$1048576,$A497-1,COLUMN('1-DATA'!I496)),ROUND(INDEX('1-DATA'!$1:$1048576,IF(OR($B498="STD. DEVIATION",$C$1=1),$A498,$A498+1),COLUMN('1-DATA'!I496)),IF($B498="STD. DEVIATION",2,$F$1))))</f>
        <v/>
      </c>
      <c r="K498" s="1" t="str">
        <f>IF(OR($B498="",K$7=""),"",IF($B498="MEANS",INDEX('1-DATA'!$1:$1048576,$A497-1,COLUMN('1-DATA'!J496)),ROUND(INDEX('1-DATA'!$1:$1048576,IF(OR($B498="STD. DEVIATION",$C$1=1),$A498,$A498+1),COLUMN('1-DATA'!J496)),IF($B498="STD. DEVIATION",2,$F$1))))</f>
        <v/>
      </c>
      <c r="L498" s="1" t="str">
        <f>IF(OR($B498="",L$7=""),"",IF($B498="MEANS",INDEX('1-DATA'!$1:$1048576,$A497-1,COLUMN('1-DATA'!K496)),ROUND(INDEX('1-DATA'!$1:$1048576,IF(OR($B498="STD. DEVIATION",$C$1=1),$A498,$A498+1),COLUMN('1-DATA'!K496)),IF($B498="STD. DEVIATION",2,$F$1))))</f>
        <v/>
      </c>
      <c r="M498" s="1" t="str">
        <f>IF(OR($B498="",M$7=""),"",IF($B498="MEANS",INDEX('1-DATA'!$1:$1048576,$A497-1,COLUMN('1-DATA'!L496)),ROUND(INDEX('1-DATA'!$1:$1048576,IF(OR($B498="STD. DEVIATION",$C$1=1),$A498,$A498+1),COLUMN('1-DATA'!L496)),IF($B498="STD. DEVIATION",2,$F$1))))</f>
        <v/>
      </c>
      <c r="N498" s="1" t="str">
        <f>IF(OR($B498="",N$7=""),"",IF($B498="MEANS",INDEX('1-DATA'!$1:$1048576,$A497-1,COLUMN('1-DATA'!M496)),ROUND(INDEX('1-DATA'!$1:$1048576,IF(OR($B498="STD. DEVIATION",$C$1=1),$A498,$A498+1),COLUMN('1-DATA'!M496)),IF($B498="STD. DEVIATION",2,$F$1))))</f>
        <v/>
      </c>
      <c r="O498" s="1" t="str">
        <f>IF(OR($B498="",O$7=""),"",IF($B498="MEANS",INDEX('1-DATA'!$1:$1048576,$A497-1,COLUMN('1-DATA'!N496)),ROUND(INDEX('1-DATA'!$1:$1048576,IF(OR($B498="STD. DEVIATION",$C$1=1),$A498,$A498+1),COLUMN('1-DATA'!N496)),IF($B498="STD. DEVIATION",2,$F$1))))</f>
        <v/>
      </c>
      <c r="P498" s="1" t="str">
        <f>IF(OR($B498="",P$7=""),"",IF($B498="MEANS",INDEX('1-DATA'!$1:$1048576,$A497-1,COLUMN('1-DATA'!O496)),ROUND(INDEX('1-DATA'!$1:$1048576,IF(OR($B498="STD. DEVIATION",$C$1=1),$A498,$A498+1),COLUMN('1-DATA'!O496)),IF($B498="STD. DEVIATION",2,$F$1))))</f>
        <v/>
      </c>
      <c r="Q498" s="1" t="str">
        <f>IF(OR($B498="",Q$7=""),"",IF($B498="MEANS",INDEX('1-DATA'!$1:$1048576,$A497-1,COLUMN('1-DATA'!P496)),ROUND(INDEX('1-DATA'!$1:$1048576,IF(OR($B498="STD. DEVIATION",$C$1=1),$A498,$A498+1),COLUMN('1-DATA'!P496)),IF($B498="STD. DEVIATION",2,$F$1))))</f>
        <v/>
      </c>
      <c r="R498" s="1" t="str">
        <f>IF(OR($B498="",R$7=""),"",IF($B498="MEANS",INDEX('1-DATA'!$1:$1048576,$A497-1,COLUMN('1-DATA'!Q496)),ROUND(INDEX('1-DATA'!$1:$1048576,IF(OR($B498="STD. DEVIATION",$C$1=1),$A498,$A498+1),COLUMN('1-DATA'!Q496)),IF($B498="STD. DEVIATION",2,$F$1))))</f>
        <v/>
      </c>
      <c r="S498" s="1" t="str">
        <f>IF(OR($B498="",S$7=""),"",IF($B498="MEANS",INDEX('1-DATA'!$1:$1048576,$A497-1,COLUMN('1-DATA'!R496)),ROUND(INDEX('1-DATA'!$1:$1048576,IF(OR($B498="STD. DEVIATION",$C$1=1),$A498,$A498+1),COLUMN('1-DATA'!R496)),IF($B498="STD. DEVIATION",2,$F$1))))</f>
        <v/>
      </c>
      <c r="T498" s="1" t="str">
        <f>IF(OR($B498="",T$7=""),"",IF($B498="MEANS",INDEX('1-DATA'!$1:$1048576,$A497-1,COLUMN('1-DATA'!S496)),ROUND(INDEX('1-DATA'!$1:$1048576,IF(OR($B498="STD. DEVIATION",$C$1=1),$A498,$A498+1),COLUMN('1-DATA'!S496)),IF($B498="STD. DEVIATION",2,$F$1))))</f>
        <v/>
      </c>
      <c r="U498" s="1" t="str">
        <f>IF(OR($B498="",U$7=""),"",IF($B498="MEANS",INDEX('1-DATA'!$1:$1048576,$A497-1,COLUMN('1-DATA'!T496)),ROUND(INDEX('1-DATA'!$1:$1048576,IF(OR($B498="STD. DEVIATION",$C$1=1),$A498,$A498+1),COLUMN('1-DATA'!T496)),IF($B498="STD. DEVIATION",2,$F$1))))</f>
        <v/>
      </c>
      <c r="V498" s="1" t="str">
        <f>IF(OR($B498="",V$7=""),"",IF($B498="MEANS",INDEX('1-DATA'!$1:$1048576,$A497-1,COLUMN('1-DATA'!U496)),ROUND(INDEX('1-DATA'!$1:$1048576,IF(OR($B498="STD. DEVIATION",$C$1=1),$A498,$A498+1),COLUMN('1-DATA'!U496)),IF($B498="STD. DEVIATION",2,$F$1))))</f>
        <v/>
      </c>
      <c r="W498" s="1" t="str">
        <f>IF(OR($B498="",W$7=""),"",IF($B498="MEANS",INDEX('1-DATA'!$1:$1048576,$A497-1,COLUMN('1-DATA'!V496)),ROUND(INDEX('1-DATA'!$1:$1048576,IF(OR($B498="STD. DEVIATION",$C$1=1),$A498,$A498+1),COLUMN('1-DATA'!V496)),IF($B498="STD. DEVIATION",2,$F$1))))</f>
        <v/>
      </c>
      <c r="X498" s="1" t="str">
        <f>IF(OR($B498="",X$7=""),"",IF($B498="MEANS",INDEX('1-DATA'!$1:$1048576,$A497-1,COLUMN('1-DATA'!W496)),ROUND(INDEX('1-DATA'!$1:$1048576,IF(OR($B498="STD. DEVIATION",$C$1=1),$A498,$A498+1),COLUMN('1-DATA'!W496)),IF($B498="STD. DEVIATION",2,$F$1))))</f>
        <v/>
      </c>
      <c r="Y498" s="1" t="str">
        <f>IF(OR($B498="",Y$7=""),"",IF($B498="MEANS",INDEX('1-DATA'!$1:$1048576,$A497-1,COLUMN('1-DATA'!X496)),ROUND(INDEX('1-DATA'!$1:$1048576,IF(OR($B498="STD. DEVIATION",$C$1=1),$A498,$A498+1),COLUMN('1-DATA'!X496)),IF($B498="STD. DEVIATION",2,$F$1))))</f>
        <v/>
      </c>
      <c r="Z498" s="1" t="str">
        <f>IF(OR($B498="",Z$7=""),"",IF($B498="MEANS",INDEX('1-DATA'!$1:$1048576,$A497-1,COLUMN('1-DATA'!Y496)),ROUND(INDEX('1-DATA'!$1:$1048576,IF(OR($B498="STD. DEVIATION",$C$1=1),$A498,$A498+1),COLUMN('1-DATA'!Y496)),IF($B498="STD. DEVIATION",2,$F$1))))</f>
        <v/>
      </c>
      <c r="AA498" s="1" t="str">
        <f>IF(OR($B498="",AA$7=""),"",IF($B498="MEANS",INDEX('1-DATA'!$1:$1048576,$A497-1,COLUMN('1-DATA'!Z496)),ROUND(INDEX('1-DATA'!$1:$1048576,IF(OR($B498="STD. DEVIATION",$C$1=1),$A498,$A498+1),COLUMN('1-DATA'!Z496)),IF($B498="STD. DEVIATION",2,$F$1))))</f>
        <v/>
      </c>
      <c r="AB498" s="1" t="str">
        <f>IF(OR($B498="",AB$7=""),"",IF($B498="MEANS",INDEX('1-DATA'!$1:$1048576,$A497-1,COLUMN('1-DATA'!AA496)),ROUND(INDEX('1-DATA'!$1:$1048576,IF(OR($B498="STD. DEVIATION",$C$1=1),$A498,$A498+1),COLUMN('1-DATA'!AA496)),IF($B498="STD. DEVIATION",2,$F$1))))</f>
        <v/>
      </c>
      <c r="AC498" s="1" t="str">
        <f>IF(OR($B498="",AC$7=""),"",IF($B498="MEANS",INDEX('1-DATA'!$1:$1048576,$A497-1,COLUMN('1-DATA'!AB496)),ROUND(INDEX('1-DATA'!$1:$1048576,IF(OR($B498="STD. DEVIATION",$C$1=1),$A498,$A498+1),COLUMN('1-DATA'!AB496)),IF($B498="STD. DEVIATION",2,$F$1))))</f>
        <v/>
      </c>
      <c r="AD498" s="1" t="str">
        <f>IF(OR($B498="",AD$7=""),"",IF($B498="MEANS",INDEX('1-DATA'!$1:$1048576,$A497-1,COLUMN('1-DATA'!AC496)),ROUND(INDEX('1-DATA'!$1:$1048576,IF(OR($B498="STD. DEVIATION",$C$1=1),$A498,$A498+1),COLUMN('1-DATA'!AC496)),IF($B498="STD. DEVIATION",2,$F$1))))</f>
        <v/>
      </c>
      <c r="AE498" s="1" t="str">
        <f>IF(OR($B498="",AE$7=""),"",IF($B498="MEANS",INDEX('1-DATA'!$1:$1048576,$A497-1,COLUMN('1-DATA'!AD496)),ROUND(INDEX('1-DATA'!$1:$1048576,IF(OR($B498="STD. DEVIATION",$C$1=1),$A498,$A498+1),COLUMN('1-DATA'!AD496)),IF($B498="STD. DEVIATION",2,$F$1))))</f>
        <v/>
      </c>
      <c r="AF498" s="1" t="str">
        <f>IF(OR($B498="",AF$7=""),"",IF($B498="MEANS",INDEX('1-DATA'!$1:$1048576,$A497-1,COLUMN('1-DATA'!AE496)),ROUND(INDEX('1-DATA'!$1:$1048576,IF(OR($B498="STD. DEVIATION",$C$1=1),$A498,$A498+1),COLUMN('1-DATA'!AE496)),IF($B498="STD. DEVIATION",2,$F$1))))</f>
        <v/>
      </c>
      <c r="AG498" s="1" t="str">
        <f>IF(OR($B498="",AG$7=""),"",IF($B498="MEANS",INDEX('1-DATA'!$1:$1048576,$A497-1,COLUMN('1-DATA'!AF496)),ROUND(INDEX('1-DATA'!$1:$1048576,IF(OR($B498="STD. DEVIATION",$C$1=1),$A498,$A498+1),COLUMN('1-DATA'!AF496)),IF($B498="STD. DEVIATION",2,$F$1))))</f>
        <v/>
      </c>
      <c r="AH498" s="1" t="str">
        <f>IF(OR($B498="",AH$7=""),"",IF($B498="MEANS",INDEX('1-DATA'!$1:$1048576,$A497-1,COLUMN('1-DATA'!AG496)),ROUND(INDEX('1-DATA'!$1:$1048576,IF(OR($B498="STD. DEVIATION",$C$1=1),$A498,$A498+1),COLUMN('1-DATA'!AG496)),IF($B498="STD. DEVIATION",2,$F$1))))</f>
        <v/>
      </c>
      <c r="AI498" s="1" t="str">
        <f>IF(OR($B498="",AI$7=""),"",IF($B498="MEANS",INDEX('1-DATA'!$1:$1048576,$A497-1,COLUMN('1-DATA'!AH496)),ROUND(INDEX('1-DATA'!$1:$1048576,IF(OR($B498="STD. DEVIATION",$C$1=1),$A498,$A498+1),COLUMN('1-DATA'!AH496)),IF($B498="STD. DEVIATION",2,$F$1))))</f>
        <v/>
      </c>
      <c r="AJ498" s="1" t="str">
        <f>IF(OR($B498="",AJ$7=""),"",IF($B498="MEANS",INDEX('1-DATA'!$1:$1048576,$A497-1,COLUMN('1-DATA'!AI496)),ROUND(INDEX('1-DATA'!$1:$1048576,IF(OR($B498="STD. DEVIATION",$C$1=1),$A498,$A498+1),COLUMN('1-DATA'!AI496)),IF($B498="STD. DEVIATION",2,$F$1))))</f>
        <v/>
      </c>
      <c r="AK498" s="1" t="str">
        <f>IF(OR($B498="",AK$7=""),"",IF($B498="MEANS",INDEX('1-DATA'!$1:$1048576,$A497-1,COLUMN('1-DATA'!AJ496)),ROUND(INDEX('1-DATA'!$1:$1048576,IF(OR($B498="STD. DEVIATION",$C$1=1),$A498,$A498+1),COLUMN('1-DATA'!AJ496)),IF($B498="STD. DEVIATION",2,$F$1))))</f>
        <v/>
      </c>
      <c r="AL498" s="1" t="str">
        <f>IF(OR($B498="",AL$7=""),"",IF($B498="MEANS",INDEX('1-DATA'!$1:$1048576,$A497-1,COLUMN('1-DATA'!AK496)),ROUND(INDEX('1-DATA'!$1:$1048576,IF(OR($B498="STD. DEVIATION",$C$1=1),$A498,$A498+1),COLUMN('1-DATA'!AK496)),IF($B498="STD. DEVIATION",2,$F$1))))</f>
        <v/>
      </c>
      <c r="AM498" s="1" t="str">
        <f>IF(OR($B498="",AM$7=""),"",IF($B498="MEANS",INDEX('1-DATA'!$1:$1048576,$A497-1,COLUMN('1-DATA'!AL496)),ROUND(INDEX('1-DATA'!$1:$1048576,IF(OR($B498="STD. DEVIATION",$C$1=1),$A498,$A498+1),COLUMN('1-DATA'!AL496)),IF($B498="STD. DEVIATION",2,$F$1))))</f>
        <v/>
      </c>
      <c r="AN498" s="1" t="str">
        <f>IF(OR($B498="",AN$7=""),"",IF($B498="MEANS",INDEX('1-DATA'!$1:$1048576,$A497-1,COLUMN('1-DATA'!AM496)),ROUND(INDEX('1-DATA'!$1:$1048576,IF(OR($B498="STD. DEVIATION",$C$1=1),$A498,$A498+1),COLUMN('1-DATA'!AM496)),IF($B498="STD. DEVIATION",2,$F$1))))</f>
        <v/>
      </c>
      <c r="AO498" s="1" t="str">
        <f>IF(OR($B498="",AO$7=""),"",IF($B498="MEANS",INDEX('1-DATA'!$1:$1048576,$A497-1,COLUMN('1-DATA'!AN496)),ROUND(INDEX('1-DATA'!$1:$1048576,IF(OR($B498="STD. DEVIATION",$C$1=1),$A498,$A498+1),COLUMN('1-DATA'!AN496)),IF($B498="STD. DEVIATION",2,$F$1))))</f>
        <v/>
      </c>
      <c r="AP498" s="1" t="str">
        <f>IF(OR($B498="",AP$7=""),"",IF($B498="MEANS",INDEX('1-DATA'!$1:$1048576,$A497-1,COLUMN('1-DATA'!AO496)),ROUND(INDEX('1-DATA'!$1:$1048576,IF(OR($B498="STD. DEVIATION",$C$1=1),$A498,$A498+1),COLUMN('1-DATA'!AO496)),IF($B498="STD. DEVIATION",2,$F$1))))</f>
        <v/>
      </c>
      <c r="AQ498" s="1" t="str">
        <f>IF(OR($B498="",AQ$7=""),"",IF($B498="MEANS",INDEX('1-DATA'!$1:$1048576,$A497-1,COLUMN('1-DATA'!AP496)),ROUND(INDEX('1-DATA'!$1:$1048576,IF(OR($B498="STD. DEVIATION",$C$1=1),$A498,$A498+1),COLUMN('1-DATA'!AP496)),IF($B498="STD. DEVIATION",2,$F$1))))</f>
        <v/>
      </c>
      <c r="AR498" s="1" t="str">
        <f>IF(OR($B498="",AR$7=""),"",IF($B498="MEANS",INDEX('1-DATA'!$1:$1048576,$A497-1,COLUMN('1-DATA'!AQ496)),ROUND(INDEX('1-DATA'!$1:$1048576,IF(OR($B498="STD. DEVIATION",$C$1=1),$A498,$A498+1),COLUMN('1-DATA'!AQ496)),IF($B498="STD. DEVIATION",2,$F$1))))</f>
        <v/>
      </c>
      <c r="AS498" s="1" t="str">
        <f>IF(OR($B498="",AS$7=""),"",IF($B498="MEANS",INDEX('1-DATA'!$1:$1048576,$A497-1,COLUMN('1-DATA'!AR496)),ROUND(INDEX('1-DATA'!$1:$1048576,IF(OR($B498="STD. DEVIATION",$C$1=1),$A498,$A498+1),COLUMN('1-DATA'!AR496)),IF($B498="STD. DEVIATION",2,$F$1))))</f>
        <v/>
      </c>
      <c r="AT498" s="1" t="str">
        <f>IF(OR($B498="",AT$7=""),"",IF($B498="MEANS",INDEX('1-DATA'!$1:$1048576,$A497-1,COLUMN('1-DATA'!AS496)),ROUND(INDEX('1-DATA'!$1:$1048576,IF(OR($B498="STD. DEVIATION",$C$1=1),$A498,$A498+1),COLUMN('1-DATA'!AS496)),IF($B498="STD. DEVIATION",2,$F$1))))</f>
        <v/>
      </c>
      <c r="AU498" s="1" t="str">
        <f>IF(OR($B498="",AU$7=""),"",IF($B498="MEANS",INDEX('1-DATA'!$1:$1048576,$A497-1,COLUMN('1-DATA'!AT496)),ROUND(INDEX('1-DATA'!$1:$1048576,IF(OR($B498="STD. DEVIATION",$C$1=1),$A498,$A498+1),COLUMN('1-DATA'!AT496)),IF($B498="STD. DEVIATION",2,$F$1))))</f>
        <v/>
      </c>
      <c r="AV498" s="1" t="str">
        <f>IF(OR($B498="",AV$7=""),"",IF($B498="MEANS",INDEX('1-DATA'!$1:$1048576,$A497-1,COLUMN('1-DATA'!AU496)),ROUND(INDEX('1-DATA'!$1:$1048576,IF(OR($B498="STD. DEVIATION",$C$1=1),$A498,$A498+1),COLUMN('1-DATA'!AU496)),IF($B498="STD. DEVIATION",2,$F$1))))</f>
        <v/>
      </c>
      <c r="AW498" s="1" t="str">
        <f>IF(OR($B498="",AW$7=""),"",IF($B498="MEANS",INDEX('1-DATA'!$1:$1048576,$A497-1,COLUMN('1-DATA'!AV496)),ROUND(INDEX('1-DATA'!$1:$1048576,IF(OR($B498="STD. DEVIATION",$C$1=1),$A498,$A498+1),COLUMN('1-DATA'!AV496)),IF($B498="STD. DEVIATION",2,$F$1))))</f>
        <v/>
      </c>
      <c r="AX498" s="1" t="str">
        <f>IF(OR($B498="",AX$7=""),"",IF($B498="MEANS",INDEX('1-DATA'!$1:$1048576,$A497-1,COLUMN('1-DATA'!AW496)),ROUND(INDEX('1-DATA'!$1:$1048576,IF(OR($B498="STD. DEVIATION",$C$1=1),$A498,$A498+1),COLUMN('1-DATA'!AW496)),IF($B498="STD. DEVIATION",2,$F$1))))</f>
        <v/>
      </c>
      <c r="AY498" s="1" t="str">
        <f>IF(OR($B498="",AY$7=""),"",IF($B498="MEANS",INDEX('1-DATA'!$1:$1048576,$A497-1,COLUMN('1-DATA'!AX496)),ROUND(INDEX('1-DATA'!$1:$1048576,IF(OR($B498="STD. DEVIATION",$C$1=1),$A498,$A498+1),COLUMN('1-DATA'!AX496)),IF($B498="STD. DEVIATION",2,$F$1))))</f>
        <v/>
      </c>
      <c r="AZ498" s="1" t="str">
        <f>IF(OR($B498="",AZ$7=""),"",IF($B498="MEANS",INDEX('1-DATA'!$1:$1048576,$A497-1,COLUMN('1-DATA'!AY496)),ROUND(INDEX('1-DATA'!$1:$1048576,IF(OR($B498="STD. DEVIATION",$C$1=1),$A498,$A498+1),COLUMN('1-DATA'!AY496)),IF($B498="STD. DEVIATION",2,$F$1))))</f>
        <v/>
      </c>
    </row>
    <row r="499" spans="1:52" x14ac:dyDescent="0.25">
      <c r="A499" s="11">
        <f t="shared" si="8"/>
        <v>1483</v>
      </c>
      <c r="B499" s="1" t="str">
        <f>IF(B498="STD. DEVIATION",INDEX('1-DATA'!$1:$1048576,$A498-1,1),IF(INDEX('1-DATA'!$1:$1048576,$A499,1)&lt;&gt;"",INDEX('1-DATA'!$1:$1048576,$A499,1),""))</f>
        <v/>
      </c>
      <c r="C499" s="1" t="str">
        <f>IF(OR($B499="",C$7=""),"",IF($B499="MEANS",INDEX('1-DATA'!$1:$1048576,$A498-1,COLUMN('1-DATA'!B497)),ROUND(INDEX('1-DATA'!$1:$1048576,IF(OR($B499="STD. DEVIATION",$C$1=1),$A499,$A499+1),COLUMN('1-DATA'!B497)),IF($B499="STD. DEVIATION",2,$F$1))))</f>
        <v/>
      </c>
      <c r="D499" s="1" t="str">
        <f>IF(OR($B499="",D$7=""),"",IF($B499="MEANS",INDEX('1-DATA'!$1:$1048576,$A498-1,COLUMN('1-DATA'!C497)),ROUND(INDEX('1-DATA'!$1:$1048576,IF(OR($B499="STD. DEVIATION",$C$1=1),$A499,$A499+1),COLUMN('1-DATA'!C497)),IF($B499="STD. DEVIATION",2,$F$1))))</f>
        <v/>
      </c>
      <c r="E499" s="1" t="str">
        <f>IF(OR($B499="",E$7=""),"",IF($B499="MEANS",INDEX('1-DATA'!$1:$1048576,$A498-1,COLUMN('1-DATA'!D497)),ROUND(INDEX('1-DATA'!$1:$1048576,IF(OR($B499="STD. DEVIATION",$C$1=1),$A499,$A499+1),COLUMN('1-DATA'!D497)),IF($B499="STD. DEVIATION",2,$F$1))))</f>
        <v/>
      </c>
      <c r="F499" s="1" t="str">
        <f>IF(OR($B499="",F$7=""),"",IF($B499="MEANS",INDEX('1-DATA'!$1:$1048576,$A498-1,COLUMN('1-DATA'!E497)),ROUND(INDEX('1-DATA'!$1:$1048576,IF(OR($B499="STD. DEVIATION",$C$1=1),$A499,$A499+1),COLUMN('1-DATA'!E497)),IF($B499="STD. DEVIATION",2,$F$1))))</f>
        <v/>
      </c>
      <c r="G499" s="1" t="str">
        <f>IF(OR($B499="",G$7=""),"",IF($B499="MEANS",INDEX('1-DATA'!$1:$1048576,$A498-1,COLUMN('1-DATA'!F497)),ROUND(INDEX('1-DATA'!$1:$1048576,IF(OR($B499="STD. DEVIATION",$C$1=1),$A499,$A499+1),COLUMN('1-DATA'!F497)),IF($B499="STD. DEVIATION",2,$F$1))))</f>
        <v/>
      </c>
      <c r="H499" s="1" t="str">
        <f>IF(OR($B499="",H$7=""),"",IF($B499="MEANS",INDEX('1-DATA'!$1:$1048576,$A498-1,COLUMN('1-DATA'!G497)),ROUND(INDEX('1-DATA'!$1:$1048576,IF(OR($B499="STD. DEVIATION",$C$1=1),$A499,$A499+1),COLUMN('1-DATA'!G497)),IF($B499="STD. DEVIATION",2,$F$1))))</f>
        <v/>
      </c>
      <c r="I499" s="1" t="str">
        <f>IF(OR($B499="",I$7=""),"",IF($B499="MEANS",INDEX('1-DATA'!$1:$1048576,$A498-1,COLUMN('1-DATA'!H497)),ROUND(INDEX('1-DATA'!$1:$1048576,IF(OR($B499="STD. DEVIATION",$C$1=1),$A499,$A499+1),COLUMN('1-DATA'!H497)),IF($B499="STD. DEVIATION",2,$F$1))))</f>
        <v/>
      </c>
      <c r="J499" s="1" t="str">
        <f>IF(OR($B499="",J$7=""),"",IF($B499="MEANS",INDEX('1-DATA'!$1:$1048576,$A498-1,COLUMN('1-DATA'!I497)),ROUND(INDEX('1-DATA'!$1:$1048576,IF(OR($B499="STD. DEVIATION",$C$1=1),$A499,$A499+1),COLUMN('1-DATA'!I497)),IF($B499="STD. DEVIATION",2,$F$1))))</f>
        <v/>
      </c>
      <c r="K499" s="1" t="str">
        <f>IF(OR($B499="",K$7=""),"",IF($B499="MEANS",INDEX('1-DATA'!$1:$1048576,$A498-1,COLUMN('1-DATA'!J497)),ROUND(INDEX('1-DATA'!$1:$1048576,IF(OR($B499="STD. DEVIATION",$C$1=1),$A499,$A499+1),COLUMN('1-DATA'!J497)),IF($B499="STD. DEVIATION",2,$F$1))))</f>
        <v/>
      </c>
      <c r="L499" s="1" t="str">
        <f>IF(OR($B499="",L$7=""),"",IF($B499="MEANS",INDEX('1-DATA'!$1:$1048576,$A498-1,COLUMN('1-DATA'!K497)),ROUND(INDEX('1-DATA'!$1:$1048576,IF(OR($B499="STD. DEVIATION",$C$1=1),$A499,$A499+1),COLUMN('1-DATA'!K497)),IF($B499="STD. DEVIATION",2,$F$1))))</f>
        <v/>
      </c>
      <c r="M499" s="1" t="str">
        <f>IF(OR($B499="",M$7=""),"",IF($B499="MEANS",INDEX('1-DATA'!$1:$1048576,$A498-1,COLUMN('1-DATA'!L497)),ROUND(INDEX('1-DATA'!$1:$1048576,IF(OR($B499="STD. DEVIATION",$C$1=1),$A499,$A499+1),COLUMN('1-DATA'!L497)),IF($B499="STD. DEVIATION",2,$F$1))))</f>
        <v/>
      </c>
      <c r="N499" s="1" t="str">
        <f>IF(OR($B499="",N$7=""),"",IF($B499="MEANS",INDEX('1-DATA'!$1:$1048576,$A498-1,COLUMN('1-DATA'!M497)),ROUND(INDEX('1-DATA'!$1:$1048576,IF(OR($B499="STD. DEVIATION",$C$1=1),$A499,$A499+1),COLUMN('1-DATA'!M497)),IF($B499="STD. DEVIATION",2,$F$1))))</f>
        <v/>
      </c>
      <c r="O499" s="1" t="str">
        <f>IF(OR($B499="",O$7=""),"",IF($B499="MEANS",INDEX('1-DATA'!$1:$1048576,$A498-1,COLUMN('1-DATA'!N497)),ROUND(INDEX('1-DATA'!$1:$1048576,IF(OR($B499="STD. DEVIATION",$C$1=1),$A499,$A499+1),COLUMN('1-DATA'!N497)),IF($B499="STD. DEVIATION",2,$F$1))))</f>
        <v/>
      </c>
      <c r="P499" s="1" t="str">
        <f>IF(OR($B499="",P$7=""),"",IF($B499="MEANS",INDEX('1-DATA'!$1:$1048576,$A498-1,COLUMN('1-DATA'!O497)),ROUND(INDEX('1-DATA'!$1:$1048576,IF(OR($B499="STD. DEVIATION",$C$1=1),$A499,$A499+1),COLUMN('1-DATA'!O497)),IF($B499="STD. DEVIATION",2,$F$1))))</f>
        <v/>
      </c>
      <c r="Q499" s="1" t="str">
        <f>IF(OR($B499="",Q$7=""),"",IF($B499="MEANS",INDEX('1-DATA'!$1:$1048576,$A498-1,COLUMN('1-DATA'!P497)),ROUND(INDEX('1-DATA'!$1:$1048576,IF(OR($B499="STD. DEVIATION",$C$1=1),$A499,$A499+1),COLUMN('1-DATA'!P497)),IF($B499="STD. DEVIATION",2,$F$1))))</f>
        <v/>
      </c>
      <c r="R499" s="1" t="str">
        <f>IF(OR($B499="",R$7=""),"",IF($B499="MEANS",INDEX('1-DATA'!$1:$1048576,$A498-1,COLUMN('1-DATA'!Q497)),ROUND(INDEX('1-DATA'!$1:$1048576,IF(OR($B499="STD. DEVIATION",$C$1=1),$A499,$A499+1),COLUMN('1-DATA'!Q497)),IF($B499="STD. DEVIATION",2,$F$1))))</f>
        <v/>
      </c>
      <c r="S499" s="1" t="str">
        <f>IF(OR($B499="",S$7=""),"",IF($B499="MEANS",INDEX('1-DATA'!$1:$1048576,$A498-1,COLUMN('1-DATA'!R497)),ROUND(INDEX('1-DATA'!$1:$1048576,IF(OR($B499="STD. DEVIATION",$C$1=1),$A499,$A499+1),COLUMN('1-DATA'!R497)),IF($B499="STD. DEVIATION",2,$F$1))))</f>
        <v/>
      </c>
      <c r="T499" s="1" t="str">
        <f>IF(OR($B499="",T$7=""),"",IF($B499="MEANS",INDEX('1-DATA'!$1:$1048576,$A498-1,COLUMN('1-DATA'!S497)),ROUND(INDEX('1-DATA'!$1:$1048576,IF(OR($B499="STD. DEVIATION",$C$1=1),$A499,$A499+1),COLUMN('1-DATA'!S497)),IF($B499="STD. DEVIATION",2,$F$1))))</f>
        <v/>
      </c>
      <c r="U499" s="1" t="str">
        <f>IF(OR($B499="",U$7=""),"",IF($B499="MEANS",INDEX('1-DATA'!$1:$1048576,$A498-1,COLUMN('1-DATA'!T497)),ROUND(INDEX('1-DATA'!$1:$1048576,IF(OR($B499="STD. DEVIATION",$C$1=1),$A499,$A499+1),COLUMN('1-DATA'!T497)),IF($B499="STD. DEVIATION",2,$F$1))))</f>
        <v/>
      </c>
      <c r="V499" s="1" t="str">
        <f>IF(OR($B499="",V$7=""),"",IF($B499="MEANS",INDEX('1-DATA'!$1:$1048576,$A498-1,COLUMN('1-DATA'!U497)),ROUND(INDEX('1-DATA'!$1:$1048576,IF(OR($B499="STD. DEVIATION",$C$1=1),$A499,$A499+1),COLUMN('1-DATA'!U497)),IF($B499="STD. DEVIATION",2,$F$1))))</f>
        <v/>
      </c>
      <c r="W499" s="1" t="str">
        <f>IF(OR($B499="",W$7=""),"",IF($B499="MEANS",INDEX('1-DATA'!$1:$1048576,$A498-1,COLUMN('1-DATA'!V497)),ROUND(INDEX('1-DATA'!$1:$1048576,IF(OR($B499="STD. DEVIATION",$C$1=1),$A499,$A499+1),COLUMN('1-DATA'!V497)),IF($B499="STD. DEVIATION",2,$F$1))))</f>
        <v/>
      </c>
      <c r="X499" s="1" t="str">
        <f>IF(OR($B499="",X$7=""),"",IF($B499="MEANS",INDEX('1-DATA'!$1:$1048576,$A498-1,COLUMN('1-DATA'!W497)),ROUND(INDEX('1-DATA'!$1:$1048576,IF(OR($B499="STD. DEVIATION",$C$1=1),$A499,$A499+1),COLUMN('1-DATA'!W497)),IF($B499="STD. DEVIATION",2,$F$1))))</f>
        <v/>
      </c>
      <c r="Y499" s="1" t="str">
        <f>IF(OR($B499="",Y$7=""),"",IF($B499="MEANS",INDEX('1-DATA'!$1:$1048576,$A498-1,COLUMN('1-DATA'!X497)),ROUND(INDEX('1-DATA'!$1:$1048576,IF(OR($B499="STD. DEVIATION",$C$1=1),$A499,$A499+1),COLUMN('1-DATA'!X497)),IF($B499="STD. DEVIATION",2,$F$1))))</f>
        <v/>
      </c>
      <c r="Z499" s="1" t="str">
        <f>IF(OR($B499="",Z$7=""),"",IF($B499="MEANS",INDEX('1-DATA'!$1:$1048576,$A498-1,COLUMN('1-DATA'!Y497)),ROUND(INDEX('1-DATA'!$1:$1048576,IF(OR($B499="STD. DEVIATION",$C$1=1),$A499,$A499+1),COLUMN('1-DATA'!Y497)),IF($B499="STD. DEVIATION",2,$F$1))))</f>
        <v/>
      </c>
      <c r="AA499" s="1" t="str">
        <f>IF(OR($B499="",AA$7=""),"",IF($B499="MEANS",INDEX('1-DATA'!$1:$1048576,$A498-1,COLUMN('1-DATA'!Z497)),ROUND(INDEX('1-DATA'!$1:$1048576,IF(OR($B499="STD. DEVIATION",$C$1=1),$A499,$A499+1),COLUMN('1-DATA'!Z497)),IF($B499="STD. DEVIATION",2,$F$1))))</f>
        <v/>
      </c>
      <c r="AB499" s="1" t="str">
        <f>IF(OR($B499="",AB$7=""),"",IF($B499="MEANS",INDEX('1-DATA'!$1:$1048576,$A498-1,COLUMN('1-DATA'!AA497)),ROUND(INDEX('1-DATA'!$1:$1048576,IF(OR($B499="STD. DEVIATION",$C$1=1),$A499,$A499+1),COLUMN('1-DATA'!AA497)),IF($B499="STD. DEVIATION",2,$F$1))))</f>
        <v/>
      </c>
      <c r="AC499" s="1" t="str">
        <f>IF(OR($B499="",AC$7=""),"",IF($B499="MEANS",INDEX('1-DATA'!$1:$1048576,$A498-1,COLUMN('1-DATA'!AB497)),ROUND(INDEX('1-DATA'!$1:$1048576,IF(OR($B499="STD. DEVIATION",$C$1=1),$A499,$A499+1),COLUMN('1-DATA'!AB497)),IF($B499="STD. DEVIATION",2,$F$1))))</f>
        <v/>
      </c>
      <c r="AD499" s="1" t="str">
        <f>IF(OR($B499="",AD$7=""),"",IF($B499="MEANS",INDEX('1-DATA'!$1:$1048576,$A498-1,COLUMN('1-DATA'!AC497)),ROUND(INDEX('1-DATA'!$1:$1048576,IF(OR($B499="STD. DEVIATION",$C$1=1),$A499,$A499+1),COLUMN('1-DATA'!AC497)),IF($B499="STD. DEVIATION",2,$F$1))))</f>
        <v/>
      </c>
      <c r="AE499" s="1" t="str">
        <f>IF(OR($B499="",AE$7=""),"",IF($B499="MEANS",INDEX('1-DATA'!$1:$1048576,$A498-1,COLUMN('1-DATA'!AD497)),ROUND(INDEX('1-DATA'!$1:$1048576,IF(OR($B499="STD. DEVIATION",$C$1=1),$A499,$A499+1),COLUMN('1-DATA'!AD497)),IF($B499="STD. DEVIATION",2,$F$1))))</f>
        <v/>
      </c>
      <c r="AF499" s="1" t="str">
        <f>IF(OR($B499="",AF$7=""),"",IF($B499="MEANS",INDEX('1-DATA'!$1:$1048576,$A498-1,COLUMN('1-DATA'!AE497)),ROUND(INDEX('1-DATA'!$1:$1048576,IF(OR($B499="STD. DEVIATION",$C$1=1),$A499,$A499+1),COLUMN('1-DATA'!AE497)),IF($B499="STD. DEVIATION",2,$F$1))))</f>
        <v/>
      </c>
      <c r="AG499" s="1" t="str">
        <f>IF(OR($B499="",AG$7=""),"",IF($B499="MEANS",INDEX('1-DATA'!$1:$1048576,$A498-1,COLUMN('1-DATA'!AF497)),ROUND(INDEX('1-DATA'!$1:$1048576,IF(OR($B499="STD. DEVIATION",$C$1=1),$A499,$A499+1),COLUMN('1-DATA'!AF497)),IF($B499="STD. DEVIATION",2,$F$1))))</f>
        <v/>
      </c>
      <c r="AH499" s="1" t="str">
        <f>IF(OR($B499="",AH$7=""),"",IF($B499="MEANS",INDEX('1-DATA'!$1:$1048576,$A498-1,COLUMN('1-DATA'!AG497)),ROUND(INDEX('1-DATA'!$1:$1048576,IF(OR($B499="STD. DEVIATION",$C$1=1),$A499,$A499+1),COLUMN('1-DATA'!AG497)),IF($B499="STD. DEVIATION",2,$F$1))))</f>
        <v/>
      </c>
      <c r="AI499" s="1" t="str">
        <f>IF(OR($B499="",AI$7=""),"",IF($B499="MEANS",INDEX('1-DATA'!$1:$1048576,$A498-1,COLUMN('1-DATA'!AH497)),ROUND(INDEX('1-DATA'!$1:$1048576,IF(OR($B499="STD. DEVIATION",$C$1=1),$A499,$A499+1),COLUMN('1-DATA'!AH497)),IF($B499="STD. DEVIATION",2,$F$1))))</f>
        <v/>
      </c>
      <c r="AJ499" s="1" t="str">
        <f>IF(OR($B499="",AJ$7=""),"",IF($B499="MEANS",INDEX('1-DATA'!$1:$1048576,$A498-1,COLUMN('1-DATA'!AI497)),ROUND(INDEX('1-DATA'!$1:$1048576,IF(OR($B499="STD. DEVIATION",$C$1=1),$A499,$A499+1),COLUMN('1-DATA'!AI497)),IF($B499="STD. DEVIATION",2,$F$1))))</f>
        <v/>
      </c>
      <c r="AK499" s="1" t="str">
        <f>IF(OR($B499="",AK$7=""),"",IF($B499="MEANS",INDEX('1-DATA'!$1:$1048576,$A498-1,COLUMN('1-DATA'!AJ497)),ROUND(INDEX('1-DATA'!$1:$1048576,IF(OR($B499="STD. DEVIATION",$C$1=1),$A499,$A499+1),COLUMN('1-DATA'!AJ497)),IF($B499="STD. DEVIATION",2,$F$1))))</f>
        <v/>
      </c>
      <c r="AL499" s="1" t="str">
        <f>IF(OR($B499="",AL$7=""),"",IF($B499="MEANS",INDEX('1-DATA'!$1:$1048576,$A498-1,COLUMN('1-DATA'!AK497)),ROUND(INDEX('1-DATA'!$1:$1048576,IF(OR($B499="STD. DEVIATION",$C$1=1),$A499,$A499+1),COLUMN('1-DATA'!AK497)),IF($B499="STD. DEVIATION",2,$F$1))))</f>
        <v/>
      </c>
      <c r="AM499" s="1" t="str">
        <f>IF(OR($B499="",AM$7=""),"",IF($B499="MEANS",INDEX('1-DATA'!$1:$1048576,$A498-1,COLUMN('1-DATA'!AL497)),ROUND(INDEX('1-DATA'!$1:$1048576,IF(OR($B499="STD. DEVIATION",$C$1=1),$A499,$A499+1),COLUMN('1-DATA'!AL497)),IF($B499="STD. DEVIATION",2,$F$1))))</f>
        <v/>
      </c>
      <c r="AN499" s="1" t="str">
        <f>IF(OR($B499="",AN$7=""),"",IF($B499="MEANS",INDEX('1-DATA'!$1:$1048576,$A498-1,COLUMN('1-DATA'!AM497)),ROUND(INDEX('1-DATA'!$1:$1048576,IF(OR($B499="STD. DEVIATION",$C$1=1),$A499,$A499+1),COLUMN('1-DATA'!AM497)),IF($B499="STD. DEVIATION",2,$F$1))))</f>
        <v/>
      </c>
      <c r="AO499" s="1" t="str">
        <f>IF(OR($B499="",AO$7=""),"",IF($B499="MEANS",INDEX('1-DATA'!$1:$1048576,$A498-1,COLUMN('1-DATA'!AN497)),ROUND(INDEX('1-DATA'!$1:$1048576,IF(OR($B499="STD. DEVIATION",$C$1=1),$A499,$A499+1),COLUMN('1-DATA'!AN497)),IF($B499="STD. DEVIATION",2,$F$1))))</f>
        <v/>
      </c>
      <c r="AP499" s="1" t="str">
        <f>IF(OR($B499="",AP$7=""),"",IF($B499="MEANS",INDEX('1-DATA'!$1:$1048576,$A498-1,COLUMN('1-DATA'!AO497)),ROUND(INDEX('1-DATA'!$1:$1048576,IF(OR($B499="STD. DEVIATION",$C$1=1),$A499,$A499+1),COLUMN('1-DATA'!AO497)),IF($B499="STD. DEVIATION",2,$F$1))))</f>
        <v/>
      </c>
      <c r="AQ499" s="1" t="str">
        <f>IF(OR($B499="",AQ$7=""),"",IF($B499="MEANS",INDEX('1-DATA'!$1:$1048576,$A498-1,COLUMN('1-DATA'!AP497)),ROUND(INDEX('1-DATA'!$1:$1048576,IF(OR($B499="STD. DEVIATION",$C$1=1),$A499,$A499+1),COLUMN('1-DATA'!AP497)),IF($B499="STD. DEVIATION",2,$F$1))))</f>
        <v/>
      </c>
      <c r="AR499" s="1" t="str">
        <f>IF(OR($B499="",AR$7=""),"",IF($B499="MEANS",INDEX('1-DATA'!$1:$1048576,$A498-1,COLUMN('1-DATA'!AQ497)),ROUND(INDEX('1-DATA'!$1:$1048576,IF(OR($B499="STD. DEVIATION",$C$1=1),$A499,$A499+1),COLUMN('1-DATA'!AQ497)),IF($B499="STD. DEVIATION",2,$F$1))))</f>
        <v/>
      </c>
      <c r="AS499" s="1" t="str">
        <f>IF(OR($B499="",AS$7=""),"",IF($B499="MEANS",INDEX('1-DATA'!$1:$1048576,$A498-1,COLUMN('1-DATA'!AR497)),ROUND(INDEX('1-DATA'!$1:$1048576,IF(OR($B499="STD. DEVIATION",$C$1=1),$A499,$A499+1),COLUMN('1-DATA'!AR497)),IF($B499="STD. DEVIATION",2,$F$1))))</f>
        <v/>
      </c>
      <c r="AT499" s="1" t="str">
        <f>IF(OR($B499="",AT$7=""),"",IF($B499="MEANS",INDEX('1-DATA'!$1:$1048576,$A498-1,COLUMN('1-DATA'!AS497)),ROUND(INDEX('1-DATA'!$1:$1048576,IF(OR($B499="STD. DEVIATION",$C$1=1),$A499,$A499+1),COLUMN('1-DATA'!AS497)),IF($B499="STD. DEVIATION",2,$F$1))))</f>
        <v/>
      </c>
      <c r="AU499" s="1" t="str">
        <f>IF(OR($B499="",AU$7=""),"",IF($B499="MEANS",INDEX('1-DATA'!$1:$1048576,$A498-1,COLUMN('1-DATA'!AT497)),ROUND(INDEX('1-DATA'!$1:$1048576,IF(OR($B499="STD. DEVIATION",$C$1=1),$A499,$A499+1),COLUMN('1-DATA'!AT497)),IF($B499="STD. DEVIATION",2,$F$1))))</f>
        <v/>
      </c>
      <c r="AV499" s="1" t="str">
        <f>IF(OR($B499="",AV$7=""),"",IF($B499="MEANS",INDEX('1-DATA'!$1:$1048576,$A498-1,COLUMN('1-DATA'!AU497)),ROUND(INDEX('1-DATA'!$1:$1048576,IF(OR($B499="STD. DEVIATION",$C$1=1),$A499,$A499+1),COLUMN('1-DATA'!AU497)),IF($B499="STD. DEVIATION",2,$F$1))))</f>
        <v/>
      </c>
      <c r="AW499" s="1" t="str">
        <f>IF(OR($B499="",AW$7=""),"",IF($B499="MEANS",INDEX('1-DATA'!$1:$1048576,$A498-1,COLUMN('1-DATA'!AV497)),ROUND(INDEX('1-DATA'!$1:$1048576,IF(OR($B499="STD. DEVIATION",$C$1=1),$A499,$A499+1),COLUMN('1-DATA'!AV497)),IF($B499="STD. DEVIATION",2,$F$1))))</f>
        <v/>
      </c>
      <c r="AX499" s="1" t="str">
        <f>IF(OR($B499="",AX$7=""),"",IF($B499="MEANS",INDEX('1-DATA'!$1:$1048576,$A498-1,COLUMN('1-DATA'!AW497)),ROUND(INDEX('1-DATA'!$1:$1048576,IF(OR($B499="STD. DEVIATION",$C$1=1),$A499,$A499+1),COLUMN('1-DATA'!AW497)),IF($B499="STD. DEVIATION",2,$F$1))))</f>
        <v/>
      </c>
      <c r="AY499" s="1" t="str">
        <f>IF(OR($B499="",AY$7=""),"",IF($B499="MEANS",INDEX('1-DATA'!$1:$1048576,$A498-1,COLUMN('1-DATA'!AX497)),ROUND(INDEX('1-DATA'!$1:$1048576,IF(OR($B499="STD. DEVIATION",$C$1=1),$A499,$A499+1),COLUMN('1-DATA'!AX497)),IF($B499="STD. DEVIATION",2,$F$1))))</f>
        <v/>
      </c>
      <c r="AZ499" s="1" t="str">
        <f>IF(OR($B499="",AZ$7=""),"",IF($B499="MEANS",INDEX('1-DATA'!$1:$1048576,$A498-1,COLUMN('1-DATA'!AY497)),ROUND(INDEX('1-DATA'!$1:$1048576,IF(OR($B499="STD. DEVIATION",$C$1=1),$A499,$A499+1),COLUMN('1-DATA'!AY497)),IF($B499="STD. DEVIATION",2,$F$1))))</f>
        <v/>
      </c>
    </row>
    <row r="500" spans="1:52" x14ac:dyDescent="0.25">
      <c r="A500" s="11">
        <f t="shared" si="8"/>
        <v>1486</v>
      </c>
      <c r="B500" s="1" t="str">
        <f>IF(B499="STD. DEVIATION",INDEX('1-DATA'!$1:$1048576,$A499-1,1),IF(INDEX('1-DATA'!$1:$1048576,$A500,1)&lt;&gt;"",INDEX('1-DATA'!$1:$1048576,$A500,1),""))</f>
        <v/>
      </c>
      <c r="C500" s="1" t="str">
        <f>IF(OR($B500="",C$7=""),"",IF($B500="MEANS",INDEX('1-DATA'!$1:$1048576,$A499-1,COLUMN('1-DATA'!B498)),ROUND(INDEX('1-DATA'!$1:$1048576,IF(OR($B500="STD. DEVIATION",$C$1=1),$A500,$A500+1),COLUMN('1-DATA'!B498)),IF($B500="STD. DEVIATION",2,$F$1))))</f>
        <v/>
      </c>
      <c r="D500" s="1" t="str">
        <f>IF(OR($B500="",D$7=""),"",IF($B500="MEANS",INDEX('1-DATA'!$1:$1048576,$A499-1,COLUMN('1-DATA'!C498)),ROUND(INDEX('1-DATA'!$1:$1048576,IF(OR($B500="STD. DEVIATION",$C$1=1),$A500,$A500+1),COLUMN('1-DATA'!C498)),IF($B500="STD. DEVIATION",2,$F$1))))</f>
        <v/>
      </c>
      <c r="E500" s="1" t="str">
        <f>IF(OR($B500="",E$7=""),"",IF($B500="MEANS",INDEX('1-DATA'!$1:$1048576,$A499-1,COLUMN('1-DATA'!D498)),ROUND(INDEX('1-DATA'!$1:$1048576,IF(OR($B500="STD. DEVIATION",$C$1=1),$A500,$A500+1),COLUMN('1-DATA'!D498)),IF($B500="STD. DEVIATION",2,$F$1))))</f>
        <v/>
      </c>
      <c r="F500" s="1" t="str">
        <f>IF(OR($B500="",F$7=""),"",IF($B500="MEANS",INDEX('1-DATA'!$1:$1048576,$A499-1,COLUMN('1-DATA'!E498)),ROUND(INDEX('1-DATA'!$1:$1048576,IF(OR($B500="STD. DEVIATION",$C$1=1),$A500,$A500+1),COLUMN('1-DATA'!E498)),IF($B500="STD. DEVIATION",2,$F$1))))</f>
        <v/>
      </c>
      <c r="G500" s="1" t="str">
        <f>IF(OR($B500="",G$7=""),"",IF($B500="MEANS",INDEX('1-DATA'!$1:$1048576,$A499-1,COLUMN('1-DATA'!F498)),ROUND(INDEX('1-DATA'!$1:$1048576,IF(OR($B500="STD. DEVIATION",$C$1=1),$A500,$A500+1),COLUMN('1-DATA'!F498)),IF($B500="STD. DEVIATION",2,$F$1))))</f>
        <v/>
      </c>
      <c r="H500" s="1" t="str">
        <f>IF(OR($B500="",H$7=""),"",IF($B500="MEANS",INDEX('1-DATA'!$1:$1048576,$A499-1,COLUMN('1-DATA'!G498)),ROUND(INDEX('1-DATA'!$1:$1048576,IF(OR($B500="STD. DEVIATION",$C$1=1),$A500,$A500+1),COLUMN('1-DATA'!G498)),IF($B500="STD. DEVIATION",2,$F$1))))</f>
        <v/>
      </c>
      <c r="I500" s="1" t="str">
        <f>IF(OR($B500="",I$7=""),"",IF($B500="MEANS",INDEX('1-DATA'!$1:$1048576,$A499-1,COLUMN('1-DATA'!H498)),ROUND(INDEX('1-DATA'!$1:$1048576,IF(OR($B500="STD. DEVIATION",$C$1=1),$A500,$A500+1),COLUMN('1-DATA'!H498)),IF($B500="STD. DEVIATION",2,$F$1))))</f>
        <v/>
      </c>
      <c r="J500" s="1" t="str">
        <f>IF(OR($B500="",J$7=""),"",IF($B500="MEANS",INDEX('1-DATA'!$1:$1048576,$A499-1,COLUMN('1-DATA'!I498)),ROUND(INDEX('1-DATA'!$1:$1048576,IF(OR($B500="STD. DEVIATION",$C$1=1),$A500,$A500+1),COLUMN('1-DATA'!I498)),IF($B500="STD. DEVIATION",2,$F$1))))</f>
        <v/>
      </c>
      <c r="K500" s="1" t="str">
        <f>IF(OR($B500="",K$7=""),"",IF($B500="MEANS",INDEX('1-DATA'!$1:$1048576,$A499-1,COLUMN('1-DATA'!J498)),ROUND(INDEX('1-DATA'!$1:$1048576,IF(OR($B500="STD. DEVIATION",$C$1=1),$A500,$A500+1),COLUMN('1-DATA'!J498)),IF($B500="STD. DEVIATION",2,$F$1))))</f>
        <v/>
      </c>
      <c r="L500" s="1" t="str">
        <f>IF(OR($B500="",L$7=""),"",IF($B500="MEANS",INDEX('1-DATA'!$1:$1048576,$A499-1,COLUMN('1-DATA'!K498)),ROUND(INDEX('1-DATA'!$1:$1048576,IF(OR($B500="STD. DEVIATION",$C$1=1),$A500,$A500+1),COLUMN('1-DATA'!K498)),IF($B500="STD. DEVIATION",2,$F$1))))</f>
        <v/>
      </c>
      <c r="M500" s="1" t="str">
        <f>IF(OR($B500="",M$7=""),"",IF($B500="MEANS",INDEX('1-DATA'!$1:$1048576,$A499-1,COLUMN('1-DATA'!L498)),ROUND(INDEX('1-DATA'!$1:$1048576,IF(OR($B500="STD. DEVIATION",$C$1=1),$A500,$A500+1),COLUMN('1-DATA'!L498)),IF($B500="STD. DEVIATION",2,$F$1))))</f>
        <v/>
      </c>
      <c r="N500" s="1" t="str">
        <f>IF(OR($B500="",N$7=""),"",IF($B500="MEANS",INDEX('1-DATA'!$1:$1048576,$A499-1,COLUMN('1-DATA'!M498)),ROUND(INDEX('1-DATA'!$1:$1048576,IF(OR($B500="STD. DEVIATION",$C$1=1),$A500,$A500+1),COLUMN('1-DATA'!M498)),IF($B500="STD. DEVIATION",2,$F$1))))</f>
        <v/>
      </c>
      <c r="O500" s="1" t="str">
        <f>IF(OR($B500="",O$7=""),"",IF($B500="MEANS",INDEX('1-DATA'!$1:$1048576,$A499-1,COLUMN('1-DATA'!N498)),ROUND(INDEX('1-DATA'!$1:$1048576,IF(OR($B500="STD. DEVIATION",$C$1=1),$A500,$A500+1),COLUMN('1-DATA'!N498)),IF($B500="STD. DEVIATION",2,$F$1))))</f>
        <v/>
      </c>
      <c r="P500" s="1" t="str">
        <f>IF(OR($B500="",P$7=""),"",IF($B500="MEANS",INDEX('1-DATA'!$1:$1048576,$A499-1,COLUMN('1-DATA'!O498)),ROUND(INDEX('1-DATA'!$1:$1048576,IF(OR($B500="STD. DEVIATION",$C$1=1),$A500,$A500+1),COLUMN('1-DATA'!O498)),IF($B500="STD. DEVIATION",2,$F$1))))</f>
        <v/>
      </c>
      <c r="Q500" s="1" t="str">
        <f>IF(OR($B500="",Q$7=""),"",IF($B500="MEANS",INDEX('1-DATA'!$1:$1048576,$A499-1,COLUMN('1-DATA'!P498)),ROUND(INDEX('1-DATA'!$1:$1048576,IF(OR($B500="STD. DEVIATION",$C$1=1),$A500,$A500+1),COLUMN('1-DATA'!P498)),IF($B500="STD. DEVIATION",2,$F$1))))</f>
        <v/>
      </c>
      <c r="R500" s="1" t="str">
        <f>IF(OR($B500="",R$7=""),"",IF($B500="MEANS",INDEX('1-DATA'!$1:$1048576,$A499-1,COLUMN('1-DATA'!Q498)),ROUND(INDEX('1-DATA'!$1:$1048576,IF(OR($B500="STD. DEVIATION",$C$1=1),$A500,$A500+1),COLUMN('1-DATA'!Q498)),IF($B500="STD. DEVIATION",2,$F$1))))</f>
        <v/>
      </c>
      <c r="S500" s="1" t="str">
        <f>IF(OR($B500="",S$7=""),"",IF($B500="MEANS",INDEX('1-DATA'!$1:$1048576,$A499-1,COLUMN('1-DATA'!R498)),ROUND(INDEX('1-DATA'!$1:$1048576,IF(OR($B500="STD. DEVIATION",$C$1=1),$A500,$A500+1),COLUMN('1-DATA'!R498)),IF($B500="STD. DEVIATION",2,$F$1))))</f>
        <v/>
      </c>
      <c r="T500" s="1" t="str">
        <f>IF(OR($B500="",T$7=""),"",IF($B500="MEANS",INDEX('1-DATA'!$1:$1048576,$A499-1,COLUMN('1-DATA'!S498)),ROUND(INDEX('1-DATA'!$1:$1048576,IF(OR($B500="STD. DEVIATION",$C$1=1),$A500,$A500+1),COLUMN('1-DATA'!S498)),IF($B500="STD. DEVIATION",2,$F$1))))</f>
        <v/>
      </c>
      <c r="U500" s="1" t="str">
        <f>IF(OR($B500="",U$7=""),"",IF($B500="MEANS",INDEX('1-DATA'!$1:$1048576,$A499-1,COLUMN('1-DATA'!T498)),ROUND(INDEX('1-DATA'!$1:$1048576,IF(OR($B500="STD. DEVIATION",$C$1=1),$A500,$A500+1),COLUMN('1-DATA'!T498)),IF($B500="STD. DEVIATION",2,$F$1))))</f>
        <v/>
      </c>
      <c r="V500" s="1" t="str">
        <f>IF(OR($B500="",V$7=""),"",IF($B500="MEANS",INDEX('1-DATA'!$1:$1048576,$A499-1,COLUMN('1-DATA'!U498)),ROUND(INDEX('1-DATA'!$1:$1048576,IF(OR($B500="STD. DEVIATION",$C$1=1),$A500,$A500+1),COLUMN('1-DATA'!U498)),IF($B500="STD. DEVIATION",2,$F$1))))</f>
        <v/>
      </c>
      <c r="W500" s="1" t="str">
        <f>IF(OR($B500="",W$7=""),"",IF($B500="MEANS",INDEX('1-DATA'!$1:$1048576,$A499-1,COLUMN('1-DATA'!V498)),ROUND(INDEX('1-DATA'!$1:$1048576,IF(OR($B500="STD. DEVIATION",$C$1=1),$A500,$A500+1),COLUMN('1-DATA'!V498)),IF($B500="STD. DEVIATION",2,$F$1))))</f>
        <v/>
      </c>
      <c r="X500" s="1" t="str">
        <f>IF(OR($B500="",X$7=""),"",IF($B500="MEANS",INDEX('1-DATA'!$1:$1048576,$A499-1,COLUMN('1-DATA'!W498)),ROUND(INDEX('1-DATA'!$1:$1048576,IF(OR($B500="STD. DEVIATION",$C$1=1),$A500,$A500+1),COLUMN('1-DATA'!W498)),IF($B500="STD. DEVIATION",2,$F$1))))</f>
        <v/>
      </c>
      <c r="Y500" s="1" t="str">
        <f>IF(OR($B500="",Y$7=""),"",IF($B500="MEANS",INDEX('1-DATA'!$1:$1048576,$A499-1,COLUMN('1-DATA'!X498)),ROUND(INDEX('1-DATA'!$1:$1048576,IF(OR($B500="STD. DEVIATION",$C$1=1),$A500,$A500+1),COLUMN('1-DATA'!X498)),IF($B500="STD. DEVIATION",2,$F$1))))</f>
        <v/>
      </c>
      <c r="Z500" s="1" t="str">
        <f>IF(OR($B500="",Z$7=""),"",IF($B500="MEANS",INDEX('1-DATA'!$1:$1048576,$A499-1,COLUMN('1-DATA'!Y498)),ROUND(INDEX('1-DATA'!$1:$1048576,IF(OR($B500="STD. DEVIATION",$C$1=1),$A500,$A500+1),COLUMN('1-DATA'!Y498)),IF($B500="STD. DEVIATION",2,$F$1))))</f>
        <v/>
      </c>
      <c r="AA500" s="1" t="str">
        <f>IF(OR($B500="",AA$7=""),"",IF($B500="MEANS",INDEX('1-DATA'!$1:$1048576,$A499-1,COLUMN('1-DATA'!Z498)),ROUND(INDEX('1-DATA'!$1:$1048576,IF(OR($B500="STD. DEVIATION",$C$1=1),$A500,$A500+1),COLUMN('1-DATA'!Z498)),IF($B500="STD. DEVIATION",2,$F$1))))</f>
        <v/>
      </c>
      <c r="AB500" s="1" t="str">
        <f>IF(OR($B500="",AB$7=""),"",IF($B500="MEANS",INDEX('1-DATA'!$1:$1048576,$A499-1,COLUMN('1-DATA'!AA498)),ROUND(INDEX('1-DATA'!$1:$1048576,IF(OR($B500="STD. DEVIATION",$C$1=1),$A500,$A500+1),COLUMN('1-DATA'!AA498)),IF($B500="STD. DEVIATION",2,$F$1))))</f>
        <v/>
      </c>
      <c r="AC500" s="1" t="str">
        <f>IF(OR($B500="",AC$7=""),"",IF($B500="MEANS",INDEX('1-DATA'!$1:$1048576,$A499-1,COLUMN('1-DATA'!AB498)),ROUND(INDEX('1-DATA'!$1:$1048576,IF(OR($B500="STD. DEVIATION",$C$1=1),$A500,$A500+1),COLUMN('1-DATA'!AB498)),IF($B500="STD. DEVIATION",2,$F$1))))</f>
        <v/>
      </c>
      <c r="AD500" s="1" t="str">
        <f>IF(OR($B500="",AD$7=""),"",IF($B500="MEANS",INDEX('1-DATA'!$1:$1048576,$A499-1,COLUMN('1-DATA'!AC498)),ROUND(INDEX('1-DATA'!$1:$1048576,IF(OR($B500="STD. DEVIATION",$C$1=1),$A500,$A500+1),COLUMN('1-DATA'!AC498)),IF($B500="STD. DEVIATION",2,$F$1))))</f>
        <v/>
      </c>
      <c r="AE500" s="1" t="str">
        <f>IF(OR($B500="",AE$7=""),"",IF($B500="MEANS",INDEX('1-DATA'!$1:$1048576,$A499-1,COLUMN('1-DATA'!AD498)),ROUND(INDEX('1-DATA'!$1:$1048576,IF(OR($B500="STD. DEVIATION",$C$1=1),$A500,$A500+1),COLUMN('1-DATA'!AD498)),IF($B500="STD. DEVIATION",2,$F$1))))</f>
        <v/>
      </c>
      <c r="AF500" s="1" t="str">
        <f>IF(OR($B500="",AF$7=""),"",IF($B500="MEANS",INDEX('1-DATA'!$1:$1048576,$A499-1,COLUMN('1-DATA'!AE498)),ROUND(INDEX('1-DATA'!$1:$1048576,IF(OR($B500="STD. DEVIATION",$C$1=1),$A500,$A500+1),COLUMN('1-DATA'!AE498)),IF($B500="STD. DEVIATION",2,$F$1))))</f>
        <v/>
      </c>
      <c r="AG500" s="1" t="str">
        <f>IF(OR($B500="",AG$7=""),"",IF($B500="MEANS",INDEX('1-DATA'!$1:$1048576,$A499-1,COLUMN('1-DATA'!AF498)),ROUND(INDEX('1-DATA'!$1:$1048576,IF(OR($B500="STD. DEVIATION",$C$1=1),$A500,$A500+1),COLUMN('1-DATA'!AF498)),IF($B500="STD. DEVIATION",2,$F$1))))</f>
        <v/>
      </c>
      <c r="AH500" s="1" t="str">
        <f>IF(OR($B500="",AH$7=""),"",IF($B500="MEANS",INDEX('1-DATA'!$1:$1048576,$A499-1,COLUMN('1-DATA'!AG498)),ROUND(INDEX('1-DATA'!$1:$1048576,IF(OR($B500="STD. DEVIATION",$C$1=1),$A500,$A500+1),COLUMN('1-DATA'!AG498)),IF($B500="STD. DEVIATION",2,$F$1))))</f>
        <v/>
      </c>
      <c r="AI500" s="1" t="str">
        <f>IF(OR($B500="",AI$7=""),"",IF($B500="MEANS",INDEX('1-DATA'!$1:$1048576,$A499-1,COLUMN('1-DATA'!AH498)),ROUND(INDEX('1-DATA'!$1:$1048576,IF(OR($B500="STD. DEVIATION",$C$1=1),$A500,$A500+1),COLUMN('1-DATA'!AH498)),IF($B500="STD. DEVIATION",2,$F$1))))</f>
        <v/>
      </c>
      <c r="AJ500" s="1" t="str">
        <f>IF(OR($B500="",AJ$7=""),"",IF($B500="MEANS",INDEX('1-DATA'!$1:$1048576,$A499-1,COLUMN('1-DATA'!AI498)),ROUND(INDEX('1-DATA'!$1:$1048576,IF(OR($B500="STD. DEVIATION",$C$1=1),$A500,$A500+1),COLUMN('1-DATA'!AI498)),IF($B500="STD. DEVIATION",2,$F$1))))</f>
        <v/>
      </c>
      <c r="AK500" s="1" t="str">
        <f>IF(OR($B500="",AK$7=""),"",IF($B500="MEANS",INDEX('1-DATA'!$1:$1048576,$A499-1,COLUMN('1-DATA'!AJ498)),ROUND(INDEX('1-DATA'!$1:$1048576,IF(OR($B500="STD. DEVIATION",$C$1=1),$A500,$A500+1),COLUMN('1-DATA'!AJ498)),IF($B500="STD. DEVIATION",2,$F$1))))</f>
        <v/>
      </c>
      <c r="AL500" s="1" t="str">
        <f>IF(OR($B500="",AL$7=""),"",IF($B500="MEANS",INDEX('1-DATA'!$1:$1048576,$A499-1,COLUMN('1-DATA'!AK498)),ROUND(INDEX('1-DATA'!$1:$1048576,IF(OR($B500="STD. DEVIATION",$C$1=1),$A500,$A500+1),COLUMN('1-DATA'!AK498)),IF($B500="STD. DEVIATION",2,$F$1))))</f>
        <v/>
      </c>
      <c r="AM500" s="1" t="str">
        <f>IF(OR($B500="",AM$7=""),"",IF($B500="MEANS",INDEX('1-DATA'!$1:$1048576,$A499-1,COLUMN('1-DATA'!AL498)),ROUND(INDEX('1-DATA'!$1:$1048576,IF(OR($B500="STD. DEVIATION",$C$1=1),$A500,$A500+1),COLUMN('1-DATA'!AL498)),IF($B500="STD. DEVIATION",2,$F$1))))</f>
        <v/>
      </c>
      <c r="AN500" s="1" t="str">
        <f>IF(OR($B500="",AN$7=""),"",IF($B500="MEANS",INDEX('1-DATA'!$1:$1048576,$A499-1,COLUMN('1-DATA'!AM498)),ROUND(INDEX('1-DATA'!$1:$1048576,IF(OR($B500="STD. DEVIATION",$C$1=1),$A500,$A500+1),COLUMN('1-DATA'!AM498)),IF($B500="STD. DEVIATION",2,$F$1))))</f>
        <v/>
      </c>
      <c r="AO500" s="1" t="str">
        <f>IF(OR($B500="",AO$7=""),"",IF($B500="MEANS",INDEX('1-DATA'!$1:$1048576,$A499-1,COLUMN('1-DATA'!AN498)),ROUND(INDEX('1-DATA'!$1:$1048576,IF(OR($B500="STD. DEVIATION",$C$1=1),$A500,$A500+1),COLUMN('1-DATA'!AN498)),IF($B500="STD. DEVIATION",2,$F$1))))</f>
        <v/>
      </c>
      <c r="AP500" s="1" t="str">
        <f>IF(OR($B500="",AP$7=""),"",IF($B500="MEANS",INDEX('1-DATA'!$1:$1048576,$A499-1,COLUMN('1-DATA'!AO498)),ROUND(INDEX('1-DATA'!$1:$1048576,IF(OR($B500="STD. DEVIATION",$C$1=1),$A500,$A500+1),COLUMN('1-DATA'!AO498)),IF($B500="STD. DEVIATION",2,$F$1))))</f>
        <v/>
      </c>
      <c r="AQ500" s="1" t="str">
        <f>IF(OR($B500="",AQ$7=""),"",IF($B500="MEANS",INDEX('1-DATA'!$1:$1048576,$A499-1,COLUMN('1-DATA'!AP498)),ROUND(INDEX('1-DATA'!$1:$1048576,IF(OR($B500="STD. DEVIATION",$C$1=1),$A500,$A500+1),COLUMN('1-DATA'!AP498)),IF($B500="STD. DEVIATION",2,$F$1))))</f>
        <v/>
      </c>
      <c r="AR500" s="1" t="str">
        <f>IF(OR($B500="",AR$7=""),"",IF($B500="MEANS",INDEX('1-DATA'!$1:$1048576,$A499-1,COLUMN('1-DATA'!AQ498)),ROUND(INDEX('1-DATA'!$1:$1048576,IF(OR($B500="STD. DEVIATION",$C$1=1),$A500,$A500+1),COLUMN('1-DATA'!AQ498)),IF($B500="STD. DEVIATION",2,$F$1))))</f>
        <v/>
      </c>
      <c r="AS500" s="1" t="str">
        <f>IF(OR($B500="",AS$7=""),"",IF($B500="MEANS",INDEX('1-DATA'!$1:$1048576,$A499-1,COLUMN('1-DATA'!AR498)),ROUND(INDEX('1-DATA'!$1:$1048576,IF(OR($B500="STD. DEVIATION",$C$1=1),$A500,$A500+1),COLUMN('1-DATA'!AR498)),IF($B500="STD. DEVIATION",2,$F$1))))</f>
        <v/>
      </c>
      <c r="AT500" s="1" t="str">
        <f>IF(OR($B500="",AT$7=""),"",IF($B500="MEANS",INDEX('1-DATA'!$1:$1048576,$A499-1,COLUMN('1-DATA'!AS498)),ROUND(INDEX('1-DATA'!$1:$1048576,IF(OR($B500="STD. DEVIATION",$C$1=1),$A500,$A500+1),COLUMN('1-DATA'!AS498)),IF($B500="STD. DEVIATION",2,$F$1))))</f>
        <v/>
      </c>
      <c r="AU500" s="1" t="str">
        <f>IF(OR($B500="",AU$7=""),"",IF($B500="MEANS",INDEX('1-DATA'!$1:$1048576,$A499-1,COLUMN('1-DATA'!AT498)),ROUND(INDEX('1-DATA'!$1:$1048576,IF(OR($B500="STD. DEVIATION",$C$1=1),$A500,$A500+1),COLUMN('1-DATA'!AT498)),IF($B500="STD. DEVIATION",2,$F$1))))</f>
        <v/>
      </c>
      <c r="AV500" s="1" t="str">
        <f>IF(OR($B500="",AV$7=""),"",IF($B500="MEANS",INDEX('1-DATA'!$1:$1048576,$A499-1,COLUMN('1-DATA'!AU498)),ROUND(INDEX('1-DATA'!$1:$1048576,IF(OR($B500="STD. DEVIATION",$C$1=1),$A500,$A500+1),COLUMN('1-DATA'!AU498)),IF($B500="STD. DEVIATION",2,$F$1))))</f>
        <v/>
      </c>
      <c r="AW500" s="1" t="str">
        <f>IF(OR($B500="",AW$7=""),"",IF($B500="MEANS",INDEX('1-DATA'!$1:$1048576,$A499-1,COLUMN('1-DATA'!AV498)),ROUND(INDEX('1-DATA'!$1:$1048576,IF(OR($B500="STD. DEVIATION",$C$1=1),$A500,$A500+1),COLUMN('1-DATA'!AV498)),IF($B500="STD. DEVIATION",2,$F$1))))</f>
        <v/>
      </c>
      <c r="AX500" s="1" t="str">
        <f>IF(OR($B500="",AX$7=""),"",IF($B500="MEANS",INDEX('1-DATA'!$1:$1048576,$A499-1,COLUMN('1-DATA'!AW498)),ROUND(INDEX('1-DATA'!$1:$1048576,IF(OR($B500="STD. DEVIATION",$C$1=1),$A500,$A500+1),COLUMN('1-DATA'!AW498)),IF($B500="STD. DEVIATION",2,$F$1))))</f>
        <v/>
      </c>
      <c r="AY500" s="1" t="str">
        <f>IF(OR($B500="",AY$7=""),"",IF($B500="MEANS",INDEX('1-DATA'!$1:$1048576,$A499-1,COLUMN('1-DATA'!AX498)),ROUND(INDEX('1-DATA'!$1:$1048576,IF(OR($B500="STD. DEVIATION",$C$1=1),$A500,$A500+1),COLUMN('1-DATA'!AX498)),IF($B500="STD. DEVIATION",2,$F$1))))</f>
        <v/>
      </c>
      <c r="AZ500" s="1" t="str">
        <f>IF(OR($B500="",AZ$7=""),"",IF($B500="MEANS",INDEX('1-DATA'!$1:$1048576,$A499-1,COLUMN('1-DATA'!AY498)),ROUND(INDEX('1-DATA'!$1:$1048576,IF(OR($B500="STD. DEVIATION",$C$1=1),$A500,$A500+1),COLUMN('1-DATA'!AY498)),IF($B500="STD. DEVIATION",2,$F$1))))</f>
        <v/>
      </c>
    </row>
    <row r="501" spans="1:52" x14ac:dyDescent="0.25">
      <c r="A501" s="11">
        <f t="shared" si="8"/>
        <v>1489</v>
      </c>
      <c r="B501" s="1" t="str">
        <f>IF(B500="STD. DEVIATION",INDEX('1-DATA'!$1:$1048576,$A500-1,1),IF(INDEX('1-DATA'!$1:$1048576,$A501,1)&lt;&gt;"",INDEX('1-DATA'!$1:$1048576,$A501,1),""))</f>
        <v/>
      </c>
      <c r="C501" s="1" t="str">
        <f>IF(OR($B501="",C$7=""),"",IF($B501="MEANS",INDEX('1-DATA'!$1:$1048576,$A500-1,COLUMN('1-DATA'!B499)),ROUND(INDEX('1-DATA'!$1:$1048576,IF(OR($B501="STD. DEVIATION",$C$1=1),$A501,$A501+1),COLUMN('1-DATA'!B499)),IF($B501="STD. DEVIATION",2,$F$1))))</f>
        <v/>
      </c>
      <c r="D501" s="1" t="str">
        <f>IF(OR($B501="",D$7=""),"",IF($B501="MEANS",INDEX('1-DATA'!$1:$1048576,$A500-1,COLUMN('1-DATA'!C499)),ROUND(INDEX('1-DATA'!$1:$1048576,IF(OR($B501="STD. DEVIATION",$C$1=1),$A501,$A501+1),COLUMN('1-DATA'!C499)),IF($B501="STD. DEVIATION",2,$F$1))))</f>
        <v/>
      </c>
      <c r="E501" s="1" t="str">
        <f>IF(OR($B501="",E$7=""),"",IF($B501="MEANS",INDEX('1-DATA'!$1:$1048576,$A500-1,COLUMN('1-DATA'!D499)),ROUND(INDEX('1-DATA'!$1:$1048576,IF(OR($B501="STD. DEVIATION",$C$1=1),$A501,$A501+1),COLUMN('1-DATA'!D499)),IF($B501="STD. DEVIATION",2,$F$1))))</f>
        <v/>
      </c>
      <c r="F501" s="1" t="str">
        <f>IF(OR($B501="",F$7=""),"",IF($B501="MEANS",INDEX('1-DATA'!$1:$1048576,$A500-1,COLUMN('1-DATA'!E499)),ROUND(INDEX('1-DATA'!$1:$1048576,IF(OR($B501="STD. DEVIATION",$C$1=1),$A501,$A501+1),COLUMN('1-DATA'!E499)),IF($B501="STD. DEVIATION",2,$F$1))))</f>
        <v/>
      </c>
      <c r="G501" s="1" t="str">
        <f>IF(OR($B501="",G$7=""),"",IF($B501="MEANS",INDEX('1-DATA'!$1:$1048576,$A500-1,COLUMN('1-DATA'!F499)),ROUND(INDEX('1-DATA'!$1:$1048576,IF(OR($B501="STD. DEVIATION",$C$1=1),$A501,$A501+1),COLUMN('1-DATA'!F499)),IF($B501="STD. DEVIATION",2,$F$1))))</f>
        <v/>
      </c>
      <c r="H501" s="1" t="str">
        <f>IF(OR($B501="",H$7=""),"",IF($B501="MEANS",INDEX('1-DATA'!$1:$1048576,$A500-1,COLUMN('1-DATA'!G499)),ROUND(INDEX('1-DATA'!$1:$1048576,IF(OR($B501="STD. DEVIATION",$C$1=1),$A501,$A501+1),COLUMN('1-DATA'!G499)),IF($B501="STD. DEVIATION",2,$F$1))))</f>
        <v/>
      </c>
      <c r="I501" s="1" t="str">
        <f>IF(OR($B501="",I$7=""),"",IF($B501="MEANS",INDEX('1-DATA'!$1:$1048576,$A500-1,COLUMN('1-DATA'!H499)),ROUND(INDEX('1-DATA'!$1:$1048576,IF(OR($B501="STD. DEVIATION",$C$1=1),$A501,$A501+1),COLUMN('1-DATA'!H499)),IF($B501="STD. DEVIATION",2,$F$1))))</f>
        <v/>
      </c>
      <c r="J501" s="1" t="str">
        <f>IF(OR($B501="",J$7=""),"",IF($B501="MEANS",INDEX('1-DATA'!$1:$1048576,$A500-1,COLUMN('1-DATA'!I499)),ROUND(INDEX('1-DATA'!$1:$1048576,IF(OR($B501="STD. DEVIATION",$C$1=1),$A501,$A501+1),COLUMN('1-DATA'!I499)),IF($B501="STD. DEVIATION",2,$F$1))))</f>
        <v/>
      </c>
      <c r="K501" s="1" t="str">
        <f>IF(OR($B501="",K$7=""),"",IF($B501="MEANS",INDEX('1-DATA'!$1:$1048576,$A500-1,COLUMN('1-DATA'!J499)),ROUND(INDEX('1-DATA'!$1:$1048576,IF(OR($B501="STD. DEVIATION",$C$1=1),$A501,$A501+1),COLUMN('1-DATA'!J499)),IF($B501="STD. DEVIATION",2,$F$1))))</f>
        <v/>
      </c>
      <c r="L501" s="1" t="str">
        <f>IF(OR($B501="",L$7=""),"",IF($B501="MEANS",INDEX('1-DATA'!$1:$1048576,$A500-1,COLUMN('1-DATA'!K499)),ROUND(INDEX('1-DATA'!$1:$1048576,IF(OR($B501="STD. DEVIATION",$C$1=1),$A501,$A501+1),COLUMN('1-DATA'!K499)),IF($B501="STD. DEVIATION",2,$F$1))))</f>
        <v/>
      </c>
      <c r="M501" s="1" t="str">
        <f>IF(OR($B501="",M$7=""),"",IF($B501="MEANS",INDEX('1-DATA'!$1:$1048576,$A500-1,COLUMN('1-DATA'!L499)),ROUND(INDEX('1-DATA'!$1:$1048576,IF(OR($B501="STD. DEVIATION",$C$1=1),$A501,$A501+1),COLUMN('1-DATA'!L499)),IF($B501="STD. DEVIATION",2,$F$1))))</f>
        <v/>
      </c>
      <c r="N501" s="1" t="str">
        <f>IF(OR($B501="",N$7=""),"",IF($B501="MEANS",INDEX('1-DATA'!$1:$1048576,$A500-1,COLUMN('1-DATA'!M499)),ROUND(INDEX('1-DATA'!$1:$1048576,IF(OR($B501="STD. DEVIATION",$C$1=1),$A501,$A501+1),COLUMN('1-DATA'!M499)),IF($B501="STD. DEVIATION",2,$F$1))))</f>
        <v/>
      </c>
      <c r="O501" s="1" t="str">
        <f>IF(OR($B501="",O$7=""),"",IF($B501="MEANS",INDEX('1-DATA'!$1:$1048576,$A500-1,COLUMN('1-DATA'!N499)),ROUND(INDEX('1-DATA'!$1:$1048576,IF(OR($B501="STD. DEVIATION",$C$1=1),$A501,$A501+1),COLUMN('1-DATA'!N499)),IF($B501="STD. DEVIATION",2,$F$1))))</f>
        <v/>
      </c>
      <c r="P501" s="1" t="str">
        <f>IF(OR($B501="",P$7=""),"",IF($B501="MEANS",INDEX('1-DATA'!$1:$1048576,$A500-1,COLUMN('1-DATA'!O499)),ROUND(INDEX('1-DATA'!$1:$1048576,IF(OR($B501="STD. DEVIATION",$C$1=1),$A501,$A501+1),COLUMN('1-DATA'!O499)),IF($B501="STD. DEVIATION",2,$F$1))))</f>
        <v/>
      </c>
      <c r="Q501" s="1" t="str">
        <f>IF(OR($B501="",Q$7=""),"",IF($B501="MEANS",INDEX('1-DATA'!$1:$1048576,$A500-1,COLUMN('1-DATA'!P499)),ROUND(INDEX('1-DATA'!$1:$1048576,IF(OR($B501="STD. DEVIATION",$C$1=1),$A501,$A501+1),COLUMN('1-DATA'!P499)),IF($B501="STD. DEVIATION",2,$F$1))))</f>
        <v/>
      </c>
      <c r="R501" s="1" t="str">
        <f>IF(OR($B501="",R$7=""),"",IF($B501="MEANS",INDEX('1-DATA'!$1:$1048576,$A500-1,COLUMN('1-DATA'!Q499)),ROUND(INDEX('1-DATA'!$1:$1048576,IF(OR($B501="STD. DEVIATION",$C$1=1),$A501,$A501+1),COLUMN('1-DATA'!Q499)),IF($B501="STD. DEVIATION",2,$F$1))))</f>
        <v/>
      </c>
      <c r="S501" s="1" t="str">
        <f>IF(OR($B501="",S$7=""),"",IF($B501="MEANS",INDEX('1-DATA'!$1:$1048576,$A500-1,COLUMN('1-DATA'!R499)),ROUND(INDEX('1-DATA'!$1:$1048576,IF(OR($B501="STD. DEVIATION",$C$1=1),$A501,$A501+1),COLUMN('1-DATA'!R499)),IF($B501="STD. DEVIATION",2,$F$1))))</f>
        <v/>
      </c>
      <c r="T501" s="1" t="str">
        <f>IF(OR($B501="",T$7=""),"",IF($B501="MEANS",INDEX('1-DATA'!$1:$1048576,$A500-1,COLUMN('1-DATA'!S499)),ROUND(INDEX('1-DATA'!$1:$1048576,IF(OR($B501="STD. DEVIATION",$C$1=1),$A501,$A501+1),COLUMN('1-DATA'!S499)),IF($B501="STD. DEVIATION",2,$F$1))))</f>
        <v/>
      </c>
      <c r="U501" s="1" t="str">
        <f>IF(OR($B501="",U$7=""),"",IF($B501="MEANS",INDEX('1-DATA'!$1:$1048576,$A500-1,COLUMN('1-DATA'!T499)),ROUND(INDEX('1-DATA'!$1:$1048576,IF(OR($B501="STD. DEVIATION",$C$1=1),$A501,$A501+1),COLUMN('1-DATA'!T499)),IF($B501="STD. DEVIATION",2,$F$1))))</f>
        <v/>
      </c>
      <c r="V501" s="1" t="str">
        <f>IF(OR($B501="",V$7=""),"",IF($B501="MEANS",INDEX('1-DATA'!$1:$1048576,$A500-1,COLUMN('1-DATA'!U499)),ROUND(INDEX('1-DATA'!$1:$1048576,IF(OR($B501="STD. DEVIATION",$C$1=1),$A501,$A501+1),COLUMN('1-DATA'!U499)),IF($B501="STD. DEVIATION",2,$F$1))))</f>
        <v/>
      </c>
      <c r="W501" s="1" t="str">
        <f>IF(OR($B501="",W$7=""),"",IF($B501="MEANS",INDEX('1-DATA'!$1:$1048576,$A500-1,COLUMN('1-DATA'!V499)),ROUND(INDEX('1-DATA'!$1:$1048576,IF(OR($B501="STD. DEVIATION",$C$1=1),$A501,$A501+1),COLUMN('1-DATA'!V499)),IF($B501="STD. DEVIATION",2,$F$1))))</f>
        <v/>
      </c>
      <c r="X501" s="1" t="str">
        <f>IF(OR($B501="",X$7=""),"",IF($B501="MEANS",INDEX('1-DATA'!$1:$1048576,$A500-1,COLUMN('1-DATA'!W499)),ROUND(INDEX('1-DATA'!$1:$1048576,IF(OR($B501="STD. DEVIATION",$C$1=1),$A501,$A501+1),COLUMN('1-DATA'!W499)),IF($B501="STD. DEVIATION",2,$F$1))))</f>
        <v/>
      </c>
      <c r="Y501" s="1" t="str">
        <f>IF(OR($B501="",Y$7=""),"",IF($B501="MEANS",INDEX('1-DATA'!$1:$1048576,$A500-1,COLUMN('1-DATA'!X499)),ROUND(INDEX('1-DATA'!$1:$1048576,IF(OR($B501="STD. DEVIATION",$C$1=1),$A501,$A501+1),COLUMN('1-DATA'!X499)),IF($B501="STD. DEVIATION",2,$F$1))))</f>
        <v/>
      </c>
      <c r="Z501" s="1" t="str">
        <f>IF(OR($B501="",Z$7=""),"",IF($B501="MEANS",INDEX('1-DATA'!$1:$1048576,$A500-1,COLUMN('1-DATA'!Y499)),ROUND(INDEX('1-DATA'!$1:$1048576,IF(OR($B501="STD. DEVIATION",$C$1=1),$A501,$A501+1),COLUMN('1-DATA'!Y499)),IF($B501="STD. DEVIATION",2,$F$1))))</f>
        <v/>
      </c>
      <c r="AA501" s="1" t="str">
        <f>IF(OR($B501="",AA$7=""),"",IF($B501="MEANS",INDEX('1-DATA'!$1:$1048576,$A500-1,COLUMN('1-DATA'!Z499)),ROUND(INDEX('1-DATA'!$1:$1048576,IF(OR($B501="STD. DEVIATION",$C$1=1),$A501,$A501+1),COLUMN('1-DATA'!Z499)),IF($B501="STD. DEVIATION",2,$F$1))))</f>
        <v/>
      </c>
      <c r="AB501" s="1" t="str">
        <f>IF(OR($B501="",AB$7=""),"",IF($B501="MEANS",INDEX('1-DATA'!$1:$1048576,$A500-1,COLUMN('1-DATA'!AA499)),ROUND(INDEX('1-DATA'!$1:$1048576,IF(OR($B501="STD. DEVIATION",$C$1=1),$A501,$A501+1),COLUMN('1-DATA'!AA499)),IF($B501="STD. DEVIATION",2,$F$1))))</f>
        <v/>
      </c>
      <c r="AC501" s="1" t="str">
        <f>IF(OR($B501="",AC$7=""),"",IF($B501="MEANS",INDEX('1-DATA'!$1:$1048576,$A500-1,COLUMN('1-DATA'!AB499)),ROUND(INDEX('1-DATA'!$1:$1048576,IF(OR($B501="STD. DEVIATION",$C$1=1),$A501,$A501+1),COLUMN('1-DATA'!AB499)),IF($B501="STD. DEVIATION",2,$F$1))))</f>
        <v/>
      </c>
      <c r="AD501" s="1" t="str">
        <f>IF(OR($B501="",AD$7=""),"",IF($B501="MEANS",INDEX('1-DATA'!$1:$1048576,$A500-1,COLUMN('1-DATA'!AC499)),ROUND(INDEX('1-DATA'!$1:$1048576,IF(OR($B501="STD. DEVIATION",$C$1=1),$A501,$A501+1),COLUMN('1-DATA'!AC499)),IF($B501="STD. DEVIATION",2,$F$1))))</f>
        <v/>
      </c>
      <c r="AE501" s="1" t="str">
        <f>IF(OR($B501="",AE$7=""),"",IF($B501="MEANS",INDEX('1-DATA'!$1:$1048576,$A500-1,COLUMN('1-DATA'!AD499)),ROUND(INDEX('1-DATA'!$1:$1048576,IF(OR($B501="STD. DEVIATION",$C$1=1),$A501,$A501+1),COLUMN('1-DATA'!AD499)),IF($B501="STD. DEVIATION",2,$F$1))))</f>
        <v/>
      </c>
      <c r="AF501" s="1" t="str">
        <f>IF(OR($B501="",AF$7=""),"",IF($B501="MEANS",INDEX('1-DATA'!$1:$1048576,$A500-1,COLUMN('1-DATA'!AE499)),ROUND(INDEX('1-DATA'!$1:$1048576,IF(OR($B501="STD. DEVIATION",$C$1=1),$A501,$A501+1),COLUMN('1-DATA'!AE499)),IF($B501="STD. DEVIATION",2,$F$1))))</f>
        <v/>
      </c>
      <c r="AG501" s="1" t="str">
        <f>IF(OR($B501="",AG$7=""),"",IF($B501="MEANS",INDEX('1-DATA'!$1:$1048576,$A500-1,COLUMN('1-DATA'!AF499)),ROUND(INDEX('1-DATA'!$1:$1048576,IF(OR($B501="STD. DEVIATION",$C$1=1),$A501,$A501+1),COLUMN('1-DATA'!AF499)),IF($B501="STD. DEVIATION",2,$F$1))))</f>
        <v/>
      </c>
      <c r="AH501" s="1" t="str">
        <f>IF(OR($B501="",AH$7=""),"",IF($B501="MEANS",INDEX('1-DATA'!$1:$1048576,$A500-1,COLUMN('1-DATA'!AG499)),ROUND(INDEX('1-DATA'!$1:$1048576,IF(OR($B501="STD. DEVIATION",$C$1=1),$A501,$A501+1),COLUMN('1-DATA'!AG499)),IF($B501="STD. DEVIATION",2,$F$1))))</f>
        <v/>
      </c>
      <c r="AI501" s="1" t="str">
        <f>IF(OR($B501="",AI$7=""),"",IF($B501="MEANS",INDEX('1-DATA'!$1:$1048576,$A500-1,COLUMN('1-DATA'!AH499)),ROUND(INDEX('1-DATA'!$1:$1048576,IF(OR($B501="STD. DEVIATION",$C$1=1),$A501,$A501+1),COLUMN('1-DATA'!AH499)),IF($B501="STD. DEVIATION",2,$F$1))))</f>
        <v/>
      </c>
      <c r="AJ501" s="1" t="str">
        <f>IF(OR($B501="",AJ$7=""),"",IF($B501="MEANS",INDEX('1-DATA'!$1:$1048576,$A500-1,COLUMN('1-DATA'!AI499)),ROUND(INDEX('1-DATA'!$1:$1048576,IF(OR($B501="STD. DEVIATION",$C$1=1),$A501,$A501+1),COLUMN('1-DATA'!AI499)),IF($B501="STD. DEVIATION",2,$F$1))))</f>
        <v/>
      </c>
      <c r="AK501" s="1" t="str">
        <f>IF(OR($B501="",AK$7=""),"",IF($B501="MEANS",INDEX('1-DATA'!$1:$1048576,$A500-1,COLUMN('1-DATA'!AJ499)),ROUND(INDEX('1-DATA'!$1:$1048576,IF(OR($B501="STD. DEVIATION",$C$1=1),$A501,$A501+1),COLUMN('1-DATA'!AJ499)),IF($B501="STD. DEVIATION",2,$F$1))))</f>
        <v/>
      </c>
      <c r="AL501" s="1" t="str">
        <f>IF(OR($B501="",AL$7=""),"",IF($B501="MEANS",INDEX('1-DATA'!$1:$1048576,$A500-1,COLUMN('1-DATA'!AK499)),ROUND(INDEX('1-DATA'!$1:$1048576,IF(OR($B501="STD. DEVIATION",$C$1=1),$A501,$A501+1),COLUMN('1-DATA'!AK499)),IF($B501="STD. DEVIATION",2,$F$1))))</f>
        <v/>
      </c>
      <c r="AM501" s="1" t="str">
        <f>IF(OR($B501="",AM$7=""),"",IF($B501="MEANS",INDEX('1-DATA'!$1:$1048576,$A500-1,COLUMN('1-DATA'!AL499)),ROUND(INDEX('1-DATA'!$1:$1048576,IF(OR($B501="STD. DEVIATION",$C$1=1),$A501,$A501+1),COLUMN('1-DATA'!AL499)),IF($B501="STD. DEVIATION",2,$F$1))))</f>
        <v/>
      </c>
      <c r="AN501" s="1" t="str">
        <f>IF(OR($B501="",AN$7=""),"",IF($B501="MEANS",INDEX('1-DATA'!$1:$1048576,$A500-1,COLUMN('1-DATA'!AM499)),ROUND(INDEX('1-DATA'!$1:$1048576,IF(OR($B501="STD. DEVIATION",$C$1=1),$A501,$A501+1),COLUMN('1-DATA'!AM499)),IF($B501="STD. DEVIATION",2,$F$1))))</f>
        <v/>
      </c>
      <c r="AO501" s="1" t="str">
        <f>IF(OR($B501="",AO$7=""),"",IF($B501="MEANS",INDEX('1-DATA'!$1:$1048576,$A500-1,COLUMN('1-DATA'!AN499)),ROUND(INDEX('1-DATA'!$1:$1048576,IF(OR($B501="STD. DEVIATION",$C$1=1),$A501,$A501+1),COLUMN('1-DATA'!AN499)),IF($B501="STD. DEVIATION",2,$F$1))))</f>
        <v/>
      </c>
      <c r="AP501" s="1" t="str">
        <f>IF(OR($B501="",AP$7=""),"",IF($B501="MEANS",INDEX('1-DATA'!$1:$1048576,$A500-1,COLUMN('1-DATA'!AO499)),ROUND(INDEX('1-DATA'!$1:$1048576,IF(OR($B501="STD. DEVIATION",$C$1=1),$A501,$A501+1),COLUMN('1-DATA'!AO499)),IF($B501="STD. DEVIATION",2,$F$1))))</f>
        <v/>
      </c>
      <c r="AQ501" s="1" t="str">
        <f>IF(OR($B501="",AQ$7=""),"",IF($B501="MEANS",INDEX('1-DATA'!$1:$1048576,$A500-1,COLUMN('1-DATA'!AP499)),ROUND(INDEX('1-DATA'!$1:$1048576,IF(OR($B501="STD. DEVIATION",$C$1=1),$A501,$A501+1),COLUMN('1-DATA'!AP499)),IF($B501="STD. DEVIATION",2,$F$1))))</f>
        <v/>
      </c>
      <c r="AR501" s="1" t="str">
        <f>IF(OR($B501="",AR$7=""),"",IF($B501="MEANS",INDEX('1-DATA'!$1:$1048576,$A500-1,COLUMN('1-DATA'!AQ499)),ROUND(INDEX('1-DATA'!$1:$1048576,IF(OR($B501="STD. DEVIATION",$C$1=1),$A501,$A501+1),COLUMN('1-DATA'!AQ499)),IF($B501="STD. DEVIATION",2,$F$1))))</f>
        <v/>
      </c>
      <c r="AS501" s="1" t="str">
        <f>IF(OR($B501="",AS$7=""),"",IF($B501="MEANS",INDEX('1-DATA'!$1:$1048576,$A500-1,COLUMN('1-DATA'!AR499)),ROUND(INDEX('1-DATA'!$1:$1048576,IF(OR($B501="STD. DEVIATION",$C$1=1),$A501,$A501+1),COLUMN('1-DATA'!AR499)),IF($B501="STD. DEVIATION",2,$F$1))))</f>
        <v/>
      </c>
      <c r="AT501" s="1" t="str">
        <f>IF(OR($B501="",AT$7=""),"",IF($B501="MEANS",INDEX('1-DATA'!$1:$1048576,$A500-1,COLUMN('1-DATA'!AS499)),ROUND(INDEX('1-DATA'!$1:$1048576,IF(OR($B501="STD. DEVIATION",$C$1=1),$A501,$A501+1),COLUMN('1-DATA'!AS499)),IF($B501="STD. DEVIATION",2,$F$1))))</f>
        <v/>
      </c>
      <c r="AU501" s="1" t="str">
        <f>IF(OR($B501="",AU$7=""),"",IF($B501="MEANS",INDEX('1-DATA'!$1:$1048576,$A500-1,COLUMN('1-DATA'!AT499)),ROUND(INDEX('1-DATA'!$1:$1048576,IF(OR($B501="STD. DEVIATION",$C$1=1),$A501,$A501+1),COLUMN('1-DATA'!AT499)),IF($B501="STD. DEVIATION",2,$F$1))))</f>
        <v/>
      </c>
      <c r="AV501" s="1" t="str">
        <f>IF(OR($B501="",AV$7=""),"",IF($B501="MEANS",INDEX('1-DATA'!$1:$1048576,$A500-1,COLUMN('1-DATA'!AU499)),ROUND(INDEX('1-DATA'!$1:$1048576,IF(OR($B501="STD. DEVIATION",$C$1=1),$A501,$A501+1),COLUMN('1-DATA'!AU499)),IF($B501="STD. DEVIATION",2,$F$1))))</f>
        <v/>
      </c>
      <c r="AW501" s="1" t="str">
        <f>IF(OR($B501="",AW$7=""),"",IF($B501="MEANS",INDEX('1-DATA'!$1:$1048576,$A500-1,COLUMN('1-DATA'!AV499)),ROUND(INDEX('1-DATA'!$1:$1048576,IF(OR($B501="STD. DEVIATION",$C$1=1),$A501,$A501+1),COLUMN('1-DATA'!AV499)),IF($B501="STD. DEVIATION",2,$F$1))))</f>
        <v/>
      </c>
      <c r="AX501" s="1" t="str">
        <f>IF(OR($B501="",AX$7=""),"",IF($B501="MEANS",INDEX('1-DATA'!$1:$1048576,$A500-1,COLUMN('1-DATA'!AW499)),ROUND(INDEX('1-DATA'!$1:$1048576,IF(OR($B501="STD. DEVIATION",$C$1=1),$A501,$A501+1),COLUMN('1-DATA'!AW499)),IF($B501="STD. DEVIATION",2,$F$1))))</f>
        <v/>
      </c>
      <c r="AY501" s="1" t="str">
        <f>IF(OR($B501="",AY$7=""),"",IF($B501="MEANS",INDEX('1-DATA'!$1:$1048576,$A500-1,COLUMN('1-DATA'!AX499)),ROUND(INDEX('1-DATA'!$1:$1048576,IF(OR($B501="STD. DEVIATION",$C$1=1),$A501,$A501+1),COLUMN('1-DATA'!AX499)),IF($B501="STD. DEVIATION",2,$F$1))))</f>
        <v/>
      </c>
      <c r="AZ501" s="1" t="str">
        <f>IF(OR($B501="",AZ$7=""),"",IF($B501="MEANS",INDEX('1-DATA'!$1:$1048576,$A500-1,COLUMN('1-DATA'!AY499)),ROUND(INDEX('1-DATA'!$1:$1048576,IF(OR($B501="STD. DEVIATION",$C$1=1),$A501,$A501+1),COLUMN('1-DATA'!AY499)),IF($B501="STD. DEVIATION",2,$F$1))))</f>
        <v/>
      </c>
    </row>
    <row r="502" spans="1:52" x14ac:dyDescent="0.25">
      <c r="A502" s="11">
        <f t="shared" si="8"/>
        <v>1492</v>
      </c>
      <c r="B502" s="1" t="str">
        <f>IF(B501="STD. DEVIATION",INDEX('1-DATA'!$1:$1048576,$A501-1,1),IF(INDEX('1-DATA'!$1:$1048576,$A502,1)&lt;&gt;"",INDEX('1-DATA'!$1:$1048576,$A502,1),""))</f>
        <v/>
      </c>
      <c r="C502" s="1" t="str">
        <f>IF(OR($B502="",C$7=""),"",IF($B502="MEANS",INDEX('1-DATA'!$1:$1048576,$A501-1,COLUMN('1-DATA'!B500)),ROUND(INDEX('1-DATA'!$1:$1048576,IF(OR($B502="STD. DEVIATION",$C$1=1),$A502,$A502+1),COLUMN('1-DATA'!B500)),IF($B502="STD. DEVIATION",2,$F$1))))</f>
        <v/>
      </c>
      <c r="D502" s="1" t="str">
        <f>IF(OR($B502="",D$7=""),"",IF($B502="MEANS",INDEX('1-DATA'!$1:$1048576,$A501-1,COLUMN('1-DATA'!C500)),ROUND(INDEX('1-DATA'!$1:$1048576,IF(OR($B502="STD. DEVIATION",$C$1=1),$A502,$A502+1),COLUMN('1-DATA'!C500)),IF($B502="STD. DEVIATION",2,$F$1))))</f>
        <v/>
      </c>
      <c r="E502" s="1" t="str">
        <f>IF(OR($B502="",E$7=""),"",IF($B502="MEANS",INDEX('1-DATA'!$1:$1048576,$A501-1,COLUMN('1-DATA'!D500)),ROUND(INDEX('1-DATA'!$1:$1048576,IF(OR($B502="STD. DEVIATION",$C$1=1),$A502,$A502+1),COLUMN('1-DATA'!D500)),IF($B502="STD. DEVIATION",2,$F$1))))</f>
        <v/>
      </c>
      <c r="F502" s="1" t="str">
        <f>IF(OR($B502="",F$7=""),"",IF($B502="MEANS",INDEX('1-DATA'!$1:$1048576,$A501-1,COLUMN('1-DATA'!E500)),ROUND(INDEX('1-DATA'!$1:$1048576,IF(OR($B502="STD. DEVIATION",$C$1=1),$A502,$A502+1),COLUMN('1-DATA'!E500)),IF($B502="STD. DEVIATION",2,$F$1))))</f>
        <v/>
      </c>
      <c r="G502" s="1" t="str">
        <f>IF(OR($B502="",G$7=""),"",IF($B502="MEANS",INDEX('1-DATA'!$1:$1048576,$A501-1,COLUMN('1-DATA'!F500)),ROUND(INDEX('1-DATA'!$1:$1048576,IF(OR($B502="STD. DEVIATION",$C$1=1),$A502,$A502+1),COLUMN('1-DATA'!F500)),IF($B502="STD. DEVIATION",2,$F$1))))</f>
        <v/>
      </c>
      <c r="H502" s="1" t="str">
        <f>IF(OR($B502="",H$7=""),"",IF($B502="MEANS",INDEX('1-DATA'!$1:$1048576,$A501-1,COLUMN('1-DATA'!G500)),ROUND(INDEX('1-DATA'!$1:$1048576,IF(OR($B502="STD. DEVIATION",$C$1=1),$A502,$A502+1),COLUMN('1-DATA'!G500)),IF($B502="STD. DEVIATION",2,$F$1))))</f>
        <v/>
      </c>
      <c r="I502" s="1" t="str">
        <f>IF(OR($B502="",I$7=""),"",IF($B502="MEANS",INDEX('1-DATA'!$1:$1048576,$A501-1,COLUMN('1-DATA'!H500)),ROUND(INDEX('1-DATA'!$1:$1048576,IF(OR($B502="STD. DEVIATION",$C$1=1),$A502,$A502+1),COLUMN('1-DATA'!H500)),IF($B502="STD. DEVIATION",2,$F$1))))</f>
        <v/>
      </c>
      <c r="J502" s="1" t="str">
        <f>IF(OR($B502="",J$7=""),"",IF($B502="MEANS",INDEX('1-DATA'!$1:$1048576,$A501-1,COLUMN('1-DATA'!I500)),ROUND(INDEX('1-DATA'!$1:$1048576,IF(OR($B502="STD. DEVIATION",$C$1=1),$A502,$A502+1),COLUMN('1-DATA'!I500)),IF($B502="STD. DEVIATION",2,$F$1))))</f>
        <v/>
      </c>
      <c r="K502" s="1" t="str">
        <f>IF(OR($B502="",K$7=""),"",IF($B502="MEANS",INDEX('1-DATA'!$1:$1048576,$A501-1,COLUMN('1-DATA'!J500)),ROUND(INDEX('1-DATA'!$1:$1048576,IF(OR($B502="STD. DEVIATION",$C$1=1),$A502,$A502+1),COLUMN('1-DATA'!J500)),IF($B502="STD. DEVIATION",2,$F$1))))</f>
        <v/>
      </c>
      <c r="L502" s="1" t="str">
        <f>IF(OR($B502="",L$7=""),"",IF($B502="MEANS",INDEX('1-DATA'!$1:$1048576,$A501-1,COLUMN('1-DATA'!K500)),ROUND(INDEX('1-DATA'!$1:$1048576,IF(OR($B502="STD. DEVIATION",$C$1=1),$A502,$A502+1),COLUMN('1-DATA'!K500)),IF($B502="STD. DEVIATION",2,$F$1))))</f>
        <v/>
      </c>
      <c r="M502" s="1" t="str">
        <f>IF(OR($B502="",M$7=""),"",IF($B502="MEANS",INDEX('1-DATA'!$1:$1048576,$A501-1,COLUMN('1-DATA'!L500)),ROUND(INDEX('1-DATA'!$1:$1048576,IF(OR($B502="STD. DEVIATION",$C$1=1),$A502,$A502+1),COLUMN('1-DATA'!L500)),IF($B502="STD. DEVIATION",2,$F$1))))</f>
        <v/>
      </c>
      <c r="N502" s="1" t="str">
        <f>IF(OR($B502="",N$7=""),"",IF($B502="MEANS",INDEX('1-DATA'!$1:$1048576,$A501-1,COLUMN('1-DATA'!M500)),ROUND(INDEX('1-DATA'!$1:$1048576,IF(OR($B502="STD. DEVIATION",$C$1=1),$A502,$A502+1),COLUMN('1-DATA'!M500)),IF($B502="STD. DEVIATION",2,$F$1))))</f>
        <v/>
      </c>
      <c r="O502" s="1" t="str">
        <f>IF(OR($B502="",O$7=""),"",IF($B502="MEANS",INDEX('1-DATA'!$1:$1048576,$A501-1,COLUMN('1-DATA'!N500)),ROUND(INDEX('1-DATA'!$1:$1048576,IF(OR($B502="STD. DEVIATION",$C$1=1),$A502,$A502+1),COLUMN('1-DATA'!N500)),IF($B502="STD. DEVIATION",2,$F$1))))</f>
        <v/>
      </c>
      <c r="P502" s="1" t="str">
        <f>IF(OR($B502="",P$7=""),"",IF($B502="MEANS",INDEX('1-DATA'!$1:$1048576,$A501-1,COLUMN('1-DATA'!O500)),ROUND(INDEX('1-DATA'!$1:$1048576,IF(OR($B502="STD. DEVIATION",$C$1=1),$A502,$A502+1),COLUMN('1-DATA'!O500)),IF($B502="STD. DEVIATION",2,$F$1))))</f>
        <v/>
      </c>
      <c r="Q502" s="1" t="str">
        <f>IF(OR($B502="",Q$7=""),"",IF($B502="MEANS",INDEX('1-DATA'!$1:$1048576,$A501-1,COLUMN('1-DATA'!P500)),ROUND(INDEX('1-DATA'!$1:$1048576,IF(OR($B502="STD. DEVIATION",$C$1=1),$A502,$A502+1),COLUMN('1-DATA'!P500)),IF($B502="STD. DEVIATION",2,$F$1))))</f>
        <v/>
      </c>
      <c r="R502" s="1" t="str">
        <f>IF(OR($B502="",R$7=""),"",IF($B502="MEANS",INDEX('1-DATA'!$1:$1048576,$A501-1,COLUMN('1-DATA'!Q500)),ROUND(INDEX('1-DATA'!$1:$1048576,IF(OR($B502="STD. DEVIATION",$C$1=1),$A502,$A502+1),COLUMN('1-DATA'!Q500)),IF($B502="STD. DEVIATION",2,$F$1))))</f>
        <v/>
      </c>
      <c r="S502" s="1" t="str">
        <f>IF(OR($B502="",S$7=""),"",IF($B502="MEANS",INDEX('1-DATA'!$1:$1048576,$A501-1,COLUMN('1-DATA'!R500)),ROUND(INDEX('1-DATA'!$1:$1048576,IF(OR($B502="STD. DEVIATION",$C$1=1),$A502,$A502+1),COLUMN('1-DATA'!R500)),IF($B502="STD. DEVIATION",2,$F$1))))</f>
        <v/>
      </c>
      <c r="T502" s="1" t="str">
        <f>IF(OR($B502="",T$7=""),"",IF($B502="MEANS",INDEX('1-DATA'!$1:$1048576,$A501-1,COLUMN('1-DATA'!S500)),ROUND(INDEX('1-DATA'!$1:$1048576,IF(OR($B502="STD. DEVIATION",$C$1=1),$A502,$A502+1),COLUMN('1-DATA'!S500)),IF($B502="STD. DEVIATION",2,$F$1))))</f>
        <v/>
      </c>
      <c r="U502" s="1" t="str">
        <f>IF(OR($B502="",U$7=""),"",IF($B502="MEANS",INDEX('1-DATA'!$1:$1048576,$A501-1,COLUMN('1-DATA'!T500)),ROUND(INDEX('1-DATA'!$1:$1048576,IF(OR($B502="STD. DEVIATION",$C$1=1),$A502,$A502+1),COLUMN('1-DATA'!T500)),IF($B502="STD. DEVIATION",2,$F$1))))</f>
        <v/>
      </c>
      <c r="V502" s="1" t="str">
        <f>IF(OR($B502="",V$7=""),"",IF($B502="MEANS",INDEX('1-DATA'!$1:$1048576,$A501-1,COLUMN('1-DATA'!U500)),ROUND(INDEX('1-DATA'!$1:$1048576,IF(OR($B502="STD. DEVIATION",$C$1=1),$A502,$A502+1),COLUMN('1-DATA'!U500)),IF($B502="STD. DEVIATION",2,$F$1))))</f>
        <v/>
      </c>
      <c r="W502" s="1" t="str">
        <f>IF(OR($B502="",W$7=""),"",IF($B502="MEANS",INDEX('1-DATA'!$1:$1048576,$A501-1,COLUMN('1-DATA'!V500)),ROUND(INDEX('1-DATA'!$1:$1048576,IF(OR($B502="STD. DEVIATION",$C$1=1),$A502,$A502+1),COLUMN('1-DATA'!V500)),IF($B502="STD. DEVIATION",2,$F$1))))</f>
        <v/>
      </c>
      <c r="X502" s="1" t="str">
        <f>IF(OR($B502="",X$7=""),"",IF($B502="MEANS",INDEX('1-DATA'!$1:$1048576,$A501-1,COLUMN('1-DATA'!W500)),ROUND(INDEX('1-DATA'!$1:$1048576,IF(OR($B502="STD. DEVIATION",$C$1=1),$A502,$A502+1),COLUMN('1-DATA'!W500)),IF($B502="STD. DEVIATION",2,$F$1))))</f>
        <v/>
      </c>
      <c r="Y502" s="1" t="str">
        <f>IF(OR($B502="",Y$7=""),"",IF($B502="MEANS",INDEX('1-DATA'!$1:$1048576,$A501-1,COLUMN('1-DATA'!X500)),ROUND(INDEX('1-DATA'!$1:$1048576,IF(OR($B502="STD. DEVIATION",$C$1=1),$A502,$A502+1),COLUMN('1-DATA'!X500)),IF($B502="STD. DEVIATION",2,$F$1))))</f>
        <v/>
      </c>
      <c r="Z502" s="1" t="str">
        <f>IF(OR($B502="",Z$7=""),"",IF($B502="MEANS",INDEX('1-DATA'!$1:$1048576,$A501-1,COLUMN('1-DATA'!Y500)),ROUND(INDEX('1-DATA'!$1:$1048576,IF(OR($B502="STD. DEVIATION",$C$1=1),$A502,$A502+1),COLUMN('1-DATA'!Y500)),IF($B502="STD. DEVIATION",2,$F$1))))</f>
        <v/>
      </c>
      <c r="AA502" s="1" t="str">
        <f>IF(OR($B502="",AA$7=""),"",IF($B502="MEANS",INDEX('1-DATA'!$1:$1048576,$A501-1,COLUMN('1-DATA'!Z500)),ROUND(INDEX('1-DATA'!$1:$1048576,IF(OR($B502="STD. DEVIATION",$C$1=1),$A502,$A502+1),COLUMN('1-DATA'!Z500)),IF($B502="STD. DEVIATION",2,$F$1))))</f>
        <v/>
      </c>
      <c r="AB502" s="1" t="str">
        <f>IF(OR($B502="",AB$7=""),"",IF($B502="MEANS",INDEX('1-DATA'!$1:$1048576,$A501-1,COLUMN('1-DATA'!AA500)),ROUND(INDEX('1-DATA'!$1:$1048576,IF(OR($B502="STD. DEVIATION",$C$1=1),$A502,$A502+1),COLUMN('1-DATA'!AA500)),IF($B502="STD. DEVIATION",2,$F$1))))</f>
        <v/>
      </c>
      <c r="AC502" s="1" t="str">
        <f>IF(OR($B502="",AC$7=""),"",IF($B502="MEANS",INDEX('1-DATA'!$1:$1048576,$A501-1,COLUMN('1-DATA'!AB500)),ROUND(INDEX('1-DATA'!$1:$1048576,IF(OR($B502="STD. DEVIATION",$C$1=1),$A502,$A502+1),COLUMN('1-DATA'!AB500)),IF($B502="STD. DEVIATION",2,$F$1))))</f>
        <v/>
      </c>
      <c r="AD502" s="1" t="str">
        <f>IF(OR($B502="",AD$7=""),"",IF($B502="MEANS",INDEX('1-DATA'!$1:$1048576,$A501-1,COLUMN('1-DATA'!AC500)),ROUND(INDEX('1-DATA'!$1:$1048576,IF(OR($B502="STD. DEVIATION",$C$1=1),$A502,$A502+1),COLUMN('1-DATA'!AC500)),IF($B502="STD. DEVIATION",2,$F$1))))</f>
        <v/>
      </c>
      <c r="AE502" s="1" t="str">
        <f>IF(OR($B502="",AE$7=""),"",IF($B502="MEANS",INDEX('1-DATA'!$1:$1048576,$A501-1,COLUMN('1-DATA'!AD500)),ROUND(INDEX('1-DATA'!$1:$1048576,IF(OR($B502="STD. DEVIATION",$C$1=1),$A502,$A502+1),COLUMN('1-DATA'!AD500)),IF($B502="STD. DEVIATION",2,$F$1))))</f>
        <v/>
      </c>
      <c r="AF502" s="1" t="str">
        <f>IF(OR($B502="",AF$7=""),"",IF($B502="MEANS",INDEX('1-DATA'!$1:$1048576,$A501-1,COLUMN('1-DATA'!AE500)),ROUND(INDEX('1-DATA'!$1:$1048576,IF(OR($B502="STD. DEVIATION",$C$1=1),$A502,$A502+1),COLUMN('1-DATA'!AE500)),IF($B502="STD. DEVIATION",2,$F$1))))</f>
        <v/>
      </c>
      <c r="AG502" s="1" t="str">
        <f>IF(OR($B502="",AG$7=""),"",IF($B502="MEANS",INDEX('1-DATA'!$1:$1048576,$A501-1,COLUMN('1-DATA'!AF500)),ROUND(INDEX('1-DATA'!$1:$1048576,IF(OR($B502="STD. DEVIATION",$C$1=1),$A502,$A502+1),COLUMN('1-DATA'!AF500)),IF($B502="STD. DEVIATION",2,$F$1))))</f>
        <v/>
      </c>
      <c r="AH502" s="1" t="str">
        <f>IF(OR($B502="",AH$7=""),"",IF($B502="MEANS",INDEX('1-DATA'!$1:$1048576,$A501-1,COLUMN('1-DATA'!AG500)),ROUND(INDEX('1-DATA'!$1:$1048576,IF(OR($B502="STD. DEVIATION",$C$1=1),$A502,$A502+1),COLUMN('1-DATA'!AG500)),IF($B502="STD. DEVIATION",2,$F$1))))</f>
        <v/>
      </c>
      <c r="AI502" s="1" t="str">
        <f>IF(OR($B502="",AI$7=""),"",IF($B502="MEANS",INDEX('1-DATA'!$1:$1048576,$A501-1,COLUMN('1-DATA'!AH500)),ROUND(INDEX('1-DATA'!$1:$1048576,IF(OR($B502="STD. DEVIATION",$C$1=1),$A502,$A502+1),COLUMN('1-DATA'!AH500)),IF($B502="STD. DEVIATION",2,$F$1))))</f>
        <v/>
      </c>
      <c r="AJ502" s="1" t="str">
        <f>IF(OR($B502="",AJ$7=""),"",IF($B502="MEANS",INDEX('1-DATA'!$1:$1048576,$A501-1,COLUMN('1-DATA'!AI500)),ROUND(INDEX('1-DATA'!$1:$1048576,IF(OR($B502="STD. DEVIATION",$C$1=1),$A502,$A502+1),COLUMN('1-DATA'!AI500)),IF($B502="STD. DEVIATION",2,$F$1))))</f>
        <v/>
      </c>
      <c r="AK502" s="1" t="str">
        <f>IF(OR($B502="",AK$7=""),"",IF($B502="MEANS",INDEX('1-DATA'!$1:$1048576,$A501-1,COLUMN('1-DATA'!AJ500)),ROUND(INDEX('1-DATA'!$1:$1048576,IF(OR($B502="STD. DEVIATION",$C$1=1),$A502,$A502+1),COLUMN('1-DATA'!AJ500)),IF($B502="STD. DEVIATION",2,$F$1))))</f>
        <v/>
      </c>
      <c r="AL502" s="1" t="str">
        <f>IF(OR($B502="",AL$7=""),"",IF($B502="MEANS",INDEX('1-DATA'!$1:$1048576,$A501-1,COLUMN('1-DATA'!AK500)),ROUND(INDEX('1-DATA'!$1:$1048576,IF(OR($B502="STD. DEVIATION",$C$1=1),$A502,$A502+1),COLUMN('1-DATA'!AK500)),IF($B502="STD. DEVIATION",2,$F$1))))</f>
        <v/>
      </c>
      <c r="AM502" s="1" t="str">
        <f>IF(OR($B502="",AM$7=""),"",IF($B502="MEANS",INDEX('1-DATA'!$1:$1048576,$A501-1,COLUMN('1-DATA'!AL500)),ROUND(INDEX('1-DATA'!$1:$1048576,IF(OR($B502="STD. DEVIATION",$C$1=1),$A502,$A502+1),COLUMN('1-DATA'!AL500)),IF($B502="STD. DEVIATION",2,$F$1))))</f>
        <v/>
      </c>
      <c r="AN502" s="1" t="str">
        <f>IF(OR($B502="",AN$7=""),"",IF($B502="MEANS",INDEX('1-DATA'!$1:$1048576,$A501-1,COLUMN('1-DATA'!AM500)),ROUND(INDEX('1-DATA'!$1:$1048576,IF(OR($B502="STD. DEVIATION",$C$1=1),$A502,$A502+1),COLUMN('1-DATA'!AM500)),IF($B502="STD. DEVIATION",2,$F$1))))</f>
        <v/>
      </c>
      <c r="AO502" s="1" t="str">
        <f>IF(OR($B502="",AO$7=""),"",IF($B502="MEANS",INDEX('1-DATA'!$1:$1048576,$A501-1,COLUMN('1-DATA'!AN500)),ROUND(INDEX('1-DATA'!$1:$1048576,IF(OR($B502="STD. DEVIATION",$C$1=1),$A502,$A502+1),COLUMN('1-DATA'!AN500)),IF($B502="STD. DEVIATION",2,$F$1))))</f>
        <v/>
      </c>
      <c r="AP502" s="1" t="str">
        <f>IF(OR($B502="",AP$7=""),"",IF($B502="MEANS",INDEX('1-DATA'!$1:$1048576,$A501-1,COLUMN('1-DATA'!AO500)),ROUND(INDEX('1-DATA'!$1:$1048576,IF(OR($B502="STD. DEVIATION",$C$1=1),$A502,$A502+1),COLUMN('1-DATA'!AO500)),IF($B502="STD. DEVIATION",2,$F$1))))</f>
        <v/>
      </c>
      <c r="AQ502" s="1" t="str">
        <f>IF(OR($B502="",AQ$7=""),"",IF($B502="MEANS",INDEX('1-DATA'!$1:$1048576,$A501-1,COLUMN('1-DATA'!AP500)),ROUND(INDEX('1-DATA'!$1:$1048576,IF(OR($B502="STD. DEVIATION",$C$1=1),$A502,$A502+1),COLUMN('1-DATA'!AP500)),IF($B502="STD. DEVIATION",2,$F$1))))</f>
        <v/>
      </c>
      <c r="AR502" s="1" t="str">
        <f>IF(OR($B502="",AR$7=""),"",IF($B502="MEANS",INDEX('1-DATA'!$1:$1048576,$A501-1,COLUMN('1-DATA'!AQ500)),ROUND(INDEX('1-DATA'!$1:$1048576,IF(OR($B502="STD. DEVIATION",$C$1=1),$A502,$A502+1),COLUMN('1-DATA'!AQ500)),IF($B502="STD. DEVIATION",2,$F$1))))</f>
        <v/>
      </c>
      <c r="AS502" s="1" t="str">
        <f>IF(OR($B502="",AS$7=""),"",IF($B502="MEANS",INDEX('1-DATA'!$1:$1048576,$A501-1,COLUMN('1-DATA'!AR500)),ROUND(INDEX('1-DATA'!$1:$1048576,IF(OR($B502="STD. DEVIATION",$C$1=1),$A502,$A502+1),COLUMN('1-DATA'!AR500)),IF($B502="STD. DEVIATION",2,$F$1))))</f>
        <v/>
      </c>
      <c r="AT502" s="1" t="str">
        <f>IF(OR($B502="",AT$7=""),"",IF($B502="MEANS",INDEX('1-DATA'!$1:$1048576,$A501-1,COLUMN('1-DATA'!AS500)),ROUND(INDEX('1-DATA'!$1:$1048576,IF(OR($B502="STD. DEVIATION",$C$1=1),$A502,$A502+1),COLUMN('1-DATA'!AS500)),IF($B502="STD. DEVIATION",2,$F$1))))</f>
        <v/>
      </c>
      <c r="AU502" s="1" t="str">
        <f>IF(OR($B502="",AU$7=""),"",IF($B502="MEANS",INDEX('1-DATA'!$1:$1048576,$A501-1,COLUMN('1-DATA'!AT500)),ROUND(INDEX('1-DATA'!$1:$1048576,IF(OR($B502="STD. DEVIATION",$C$1=1),$A502,$A502+1),COLUMN('1-DATA'!AT500)),IF($B502="STD. DEVIATION",2,$F$1))))</f>
        <v/>
      </c>
      <c r="AV502" s="1" t="str">
        <f>IF(OR($B502="",AV$7=""),"",IF($B502="MEANS",INDEX('1-DATA'!$1:$1048576,$A501-1,COLUMN('1-DATA'!AU500)),ROUND(INDEX('1-DATA'!$1:$1048576,IF(OR($B502="STD. DEVIATION",$C$1=1),$A502,$A502+1),COLUMN('1-DATA'!AU500)),IF($B502="STD. DEVIATION",2,$F$1))))</f>
        <v/>
      </c>
      <c r="AW502" s="1" t="str">
        <f>IF(OR($B502="",AW$7=""),"",IF($B502="MEANS",INDEX('1-DATA'!$1:$1048576,$A501-1,COLUMN('1-DATA'!AV500)),ROUND(INDEX('1-DATA'!$1:$1048576,IF(OR($B502="STD. DEVIATION",$C$1=1),$A502,$A502+1),COLUMN('1-DATA'!AV500)),IF($B502="STD. DEVIATION",2,$F$1))))</f>
        <v/>
      </c>
      <c r="AX502" s="1" t="str">
        <f>IF(OR($B502="",AX$7=""),"",IF($B502="MEANS",INDEX('1-DATA'!$1:$1048576,$A501-1,COLUMN('1-DATA'!AW500)),ROUND(INDEX('1-DATA'!$1:$1048576,IF(OR($B502="STD. DEVIATION",$C$1=1),$A502,$A502+1),COLUMN('1-DATA'!AW500)),IF($B502="STD. DEVIATION",2,$F$1))))</f>
        <v/>
      </c>
      <c r="AY502" s="1" t="str">
        <f>IF(OR($B502="",AY$7=""),"",IF($B502="MEANS",INDEX('1-DATA'!$1:$1048576,$A501-1,COLUMN('1-DATA'!AX500)),ROUND(INDEX('1-DATA'!$1:$1048576,IF(OR($B502="STD. DEVIATION",$C$1=1),$A502,$A502+1),COLUMN('1-DATA'!AX500)),IF($B502="STD. DEVIATION",2,$F$1))))</f>
        <v/>
      </c>
      <c r="AZ502" s="1" t="str">
        <f>IF(OR($B502="",AZ$7=""),"",IF($B502="MEANS",INDEX('1-DATA'!$1:$1048576,$A501-1,COLUMN('1-DATA'!AY500)),ROUND(INDEX('1-DATA'!$1:$1048576,IF(OR($B502="STD. DEVIATION",$C$1=1),$A502,$A502+1),COLUMN('1-DATA'!AY500)),IF($B502="STD. DEVIATION",2,$F$1))))</f>
        <v/>
      </c>
    </row>
    <row r="503" spans="1:52" x14ac:dyDescent="0.25">
      <c r="A503" s="11">
        <f t="shared" si="8"/>
        <v>1495</v>
      </c>
      <c r="B503" s="1" t="str">
        <f>IF(B502="STD. DEVIATION",INDEX('1-DATA'!$1:$1048576,$A502-1,1),IF(INDEX('1-DATA'!$1:$1048576,$A503,1)&lt;&gt;"",INDEX('1-DATA'!$1:$1048576,$A503,1),""))</f>
        <v/>
      </c>
      <c r="C503" s="1" t="str">
        <f>IF(OR($B503="",C$7=""),"",IF($B503="MEANS",INDEX('1-DATA'!$1:$1048576,$A502-1,COLUMN('1-DATA'!B501)),ROUND(INDEX('1-DATA'!$1:$1048576,IF(OR($B503="STD. DEVIATION",$C$1=1),$A503,$A503+1),COLUMN('1-DATA'!B501)),IF($B503="STD. DEVIATION",2,$F$1))))</f>
        <v/>
      </c>
      <c r="D503" s="1" t="str">
        <f>IF(OR($B503="",D$7=""),"",IF($B503="MEANS",INDEX('1-DATA'!$1:$1048576,$A502-1,COLUMN('1-DATA'!C501)),ROUND(INDEX('1-DATA'!$1:$1048576,IF(OR($B503="STD. DEVIATION",$C$1=1),$A503,$A503+1),COLUMN('1-DATA'!C501)),IF($B503="STD. DEVIATION",2,$F$1))))</f>
        <v/>
      </c>
      <c r="E503" s="1" t="str">
        <f>IF(OR($B503="",E$7=""),"",IF($B503="MEANS",INDEX('1-DATA'!$1:$1048576,$A502-1,COLUMN('1-DATA'!D501)),ROUND(INDEX('1-DATA'!$1:$1048576,IF(OR($B503="STD. DEVIATION",$C$1=1),$A503,$A503+1),COLUMN('1-DATA'!D501)),IF($B503="STD. DEVIATION",2,$F$1))))</f>
        <v/>
      </c>
      <c r="F503" s="1" t="str">
        <f>IF(OR($B503="",F$7=""),"",IF($B503="MEANS",INDEX('1-DATA'!$1:$1048576,$A502-1,COLUMN('1-DATA'!E501)),ROUND(INDEX('1-DATA'!$1:$1048576,IF(OR($B503="STD. DEVIATION",$C$1=1),$A503,$A503+1),COLUMN('1-DATA'!E501)),IF($B503="STD. DEVIATION",2,$F$1))))</f>
        <v/>
      </c>
      <c r="G503" s="1" t="str">
        <f>IF(OR($B503="",G$7=""),"",IF($B503="MEANS",INDEX('1-DATA'!$1:$1048576,$A502-1,COLUMN('1-DATA'!F501)),ROUND(INDEX('1-DATA'!$1:$1048576,IF(OR($B503="STD. DEVIATION",$C$1=1),$A503,$A503+1),COLUMN('1-DATA'!F501)),IF($B503="STD. DEVIATION",2,$F$1))))</f>
        <v/>
      </c>
      <c r="H503" s="1" t="str">
        <f>IF(OR($B503="",H$7=""),"",IF($B503="MEANS",INDEX('1-DATA'!$1:$1048576,$A502-1,COLUMN('1-DATA'!G501)),ROUND(INDEX('1-DATA'!$1:$1048576,IF(OR($B503="STD. DEVIATION",$C$1=1),$A503,$A503+1),COLUMN('1-DATA'!G501)),IF($B503="STD. DEVIATION",2,$F$1))))</f>
        <v/>
      </c>
      <c r="I503" s="1" t="str">
        <f>IF(OR($B503="",I$7=""),"",IF($B503="MEANS",INDEX('1-DATA'!$1:$1048576,$A502-1,COLUMN('1-DATA'!H501)),ROUND(INDEX('1-DATA'!$1:$1048576,IF(OR($B503="STD. DEVIATION",$C$1=1),$A503,$A503+1),COLUMN('1-DATA'!H501)),IF($B503="STD. DEVIATION",2,$F$1))))</f>
        <v/>
      </c>
      <c r="J503" s="1" t="str">
        <f>IF(OR($B503="",J$7=""),"",IF($B503="MEANS",INDEX('1-DATA'!$1:$1048576,$A502-1,COLUMN('1-DATA'!I501)),ROUND(INDEX('1-DATA'!$1:$1048576,IF(OR($B503="STD. DEVIATION",$C$1=1),$A503,$A503+1),COLUMN('1-DATA'!I501)),IF($B503="STD. DEVIATION",2,$F$1))))</f>
        <v/>
      </c>
      <c r="K503" s="1" t="str">
        <f>IF(OR($B503="",K$7=""),"",IF($B503="MEANS",INDEX('1-DATA'!$1:$1048576,$A502-1,COLUMN('1-DATA'!J501)),ROUND(INDEX('1-DATA'!$1:$1048576,IF(OR($B503="STD. DEVIATION",$C$1=1),$A503,$A503+1),COLUMN('1-DATA'!J501)),IF($B503="STD. DEVIATION",2,$F$1))))</f>
        <v/>
      </c>
      <c r="L503" s="1" t="str">
        <f>IF(OR($B503="",L$7=""),"",IF($B503="MEANS",INDEX('1-DATA'!$1:$1048576,$A502-1,COLUMN('1-DATA'!K501)),ROUND(INDEX('1-DATA'!$1:$1048576,IF(OR($B503="STD. DEVIATION",$C$1=1),$A503,$A503+1),COLUMN('1-DATA'!K501)),IF($B503="STD. DEVIATION",2,$F$1))))</f>
        <v/>
      </c>
      <c r="M503" s="1" t="str">
        <f>IF(OR($B503="",M$7=""),"",IF($B503="MEANS",INDEX('1-DATA'!$1:$1048576,$A502-1,COLUMN('1-DATA'!L501)),ROUND(INDEX('1-DATA'!$1:$1048576,IF(OR($B503="STD. DEVIATION",$C$1=1),$A503,$A503+1),COLUMN('1-DATA'!L501)),IF($B503="STD. DEVIATION",2,$F$1))))</f>
        <v/>
      </c>
      <c r="N503" s="1" t="str">
        <f>IF(OR($B503="",N$7=""),"",IF($B503="MEANS",INDEX('1-DATA'!$1:$1048576,$A502-1,COLUMN('1-DATA'!M501)),ROUND(INDEX('1-DATA'!$1:$1048576,IF(OR($B503="STD. DEVIATION",$C$1=1),$A503,$A503+1),COLUMN('1-DATA'!M501)),IF($B503="STD. DEVIATION",2,$F$1))))</f>
        <v/>
      </c>
      <c r="O503" s="1" t="str">
        <f>IF(OR($B503="",O$7=""),"",IF($B503="MEANS",INDEX('1-DATA'!$1:$1048576,$A502-1,COLUMN('1-DATA'!N501)),ROUND(INDEX('1-DATA'!$1:$1048576,IF(OR($B503="STD. DEVIATION",$C$1=1),$A503,$A503+1),COLUMN('1-DATA'!N501)),IF($B503="STD. DEVIATION",2,$F$1))))</f>
        <v/>
      </c>
      <c r="P503" s="1" t="str">
        <f>IF(OR($B503="",P$7=""),"",IF($B503="MEANS",INDEX('1-DATA'!$1:$1048576,$A502-1,COLUMN('1-DATA'!O501)),ROUND(INDEX('1-DATA'!$1:$1048576,IF(OR($B503="STD. DEVIATION",$C$1=1),$A503,$A503+1),COLUMN('1-DATA'!O501)),IF($B503="STD. DEVIATION",2,$F$1))))</f>
        <v/>
      </c>
      <c r="Q503" s="1" t="str">
        <f>IF(OR($B503="",Q$7=""),"",IF($B503="MEANS",INDEX('1-DATA'!$1:$1048576,$A502-1,COLUMN('1-DATA'!P501)),ROUND(INDEX('1-DATA'!$1:$1048576,IF(OR($B503="STD. DEVIATION",$C$1=1),$A503,$A503+1),COLUMN('1-DATA'!P501)),IF($B503="STD. DEVIATION",2,$F$1))))</f>
        <v/>
      </c>
      <c r="R503" s="1" t="str">
        <f>IF(OR($B503="",R$7=""),"",IF($B503="MEANS",INDEX('1-DATA'!$1:$1048576,$A502-1,COLUMN('1-DATA'!Q501)),ROUND(INDEX('1-DATA'!$1:$1048576,IF(OR($B503="STD. DEVIATION",$C$1=1),$A503,$A503+1),COLUMN('1-DATA'!Q501)),IF($B503="STD. DEVIATION",2,$F$1))))</f>
        <v/>
      </c>
      <c r="S503" s="1" t="str">
        <f>IF(OR($B503="",S$7=""),"",IF($B503="MEANS",INDEX('1-DATA'!$1:$1048576,$A502-1,COLUMN('1-DATA'!R501)),ROUND(INDEX('1-DATA'!$1:$1048576,IF(OR($B503="STD. DEVIATION",$C$1=1),$A503,$A503+1),COLUMN('1-DATA'!R501)),IF($B503="STD. DEVIATION",2,$F$1))))</f>
        <v/>
      </c>
      <c r="T503" s="1" t="str">
        <f>IF(OR($B503="",T$7=""),"",IF($B503="MEANS",INDEX('1-DATA'!$1:$1048576,$A502-1,COLUMN('1-DATA'!S501)),ROUND(INDEX('1-DATA'!$1:$1048576,IF(OR($B503="STD. DEVIATION",$C$1=1),$A503,$A503+1),COLUMN('1-DATA'!S501)),IF($B503="STD. DEVIATION",2,$F$1))))</f>
        <v/>
      </c>
      <c r="U503" s="1" t="str">
        <f>IF(OR($B503="",U$7=""),"",IF($B503="MEANS",INDEX('1-DATA'!$1:$1048576,$A502-1,COLUMN('1-DATA'!T501)),ROUND(INDEX('1-DATA'!$1:$1048576,IF(OR($B503="STD. DEVIATION",$C$1=1),$A503,$A503+1),COLUMN('1-DATA'!T501)),IF($B503="STD. DEVIATION",2,$F$1))))</f>
        <v/>
      </c>
      <c r="V503" s="1" t="str">
        <f>IF(OR($B503="",V$7=""),"",IF($B503="MEANS",INDEX('1-DATA'!$1:$1048576,$A502-1,COLUMN('1-DATA'!U501)),ROUND(INDEX('1-DATA'!$1:$1048576,IF(OR($B503="STD. DEVIATION",$C$1=1),$A503,$A503+1),COLUMN('1-DATA'!U501)),IF($B503="STD. DEVIATION",2,$F$1))))</f>
        <v/>
      </c>
      <c r="W503" s="1" t="str">
        <f>IF(OR($B503="",W$7=""),"",IF($B503="MEANS",INDEX('1-DATA'!$1:$1048576,$A502-1,COLUMN('1-DATA'!V501)),ROUND(INDEX('1-DATA'!$1:$1048576,IF(OR($B503="STD. DEVIATION",$C$1=1),$A503,$A503+1),COLUMN('1-DATA'!V501)),IF($B503="STD. DEVIATION",2,$F$1))))</f>
        <v/>
      </c>
      <c r="X503" s="1" t="str">
        <f>IF(OR($B503="",X$7=""),"",IF($B503="MEANS",INDEX('1-DATA'!$1:$1048576,$A502-1,COLUMN('1-DATA'!W501)),ROUND(INDEX('1-DATA'!$1:$1048576,IF(OR($B503="STD. DEVIATION",$C$1=1),$A503,$A503+1),COLUMN('1-DATA'!W501)),IF($B503="STD. DEVIATION",2,$F$1))))</f>
        <v/>
      </c>
      <c r="Y503" s="1" t="str">
        <f>IF(OR($B503="",Y$7=""),"",IF($B503="MEANS",INDEX('1-DATA'!$1:$1048576,$A502-1,COLUMN('1-DATA'!X501)),ROUND(INDEX('1-DATA'!$1:$1048576,IF(OR($B503="STD. DEVIATION",$C$1=1),$A503,$A503+1),COLUMN('1-DATA'!X501)),IF($B503="STD. DEVIATION",2,$F$1))))</f>
        <v/>
      </c>
      <c r="Z503" s="1" t="str">
        <f>IF(OR($B503="",Z$7=""),"",IF($B503="MEANS",INDEX('1-DATA'!$1:$1048576,$A502-1,COLUMN('1-DATA'!Y501)),ROUND(INDEX('1-DATA'!$1:$1048576,IF(OR($B503="STD. DEVIATION",$C$1=1),$A503,$A503+1),COLUMN('1-DATA'!Y501)),IF($B503="STD. DEVIATION",2,$F$1))))</f>
        <v/>
      </c>
      <c r="AA503" s="1" t="str">
        <f>IF(OR($B503="",AA$7=""),"",IF($B503="MEANS",INDEX('1-DATA'!$1:$1048576,$A502-1,COLUMN('1-DATA'!Z501)),ROUND(INDEX('1-DATA'!$1:$1048576,IF(OR($B503="STD. DEVIATION",$C$1=1),$A503,$A503+1),COLUMN('1-DATA'!Z501)),IF($B503="STD. DEVIATION",2,$F$1))))</f>
        <v/>
      </c>
      <c r="AB503" s="1" t="str">
        <f>IF(OR($B503="",AB$7=""),"",IF($B503="MEANS",INDEX('1-DATA'!$1:$1048576,$A502-1,COLUMN('1-DATA'!AA501)),ROUND(INDEX('1-DATA'!$1:$1048576,IF(OR($B503="STD. DEVIATION",$C$1=1),$A503,$A503+1),COLUMN('1-DATA'!AA501)),IF($B503="STD. DEVIATION",2,$F$1))))</f>
        <v/>
      </c>
      <c r="AC503" s="1" t="str">
        <f>IF(OR($B503="",AC$7=""),"",IF($B503="MEANS",INDEX('1-DATA'!$1:$1048576,$A502-1,COLUMN('1-DATA'!AB501)),ROUND(INDEX('1-DATA'!$1:$1048576,IF(OR($B503="STD. DEVIATION",$C$1=1),$A503,$A503+1),COLUMN('1-DATA'!AB501)),IF($B503="STD. DEVIATION",2,$F$1))))</f>
        <v/>
      </c>
      <c r="AD503" s="1" t="str">
        <f>IF(OR($B503="",AD$7=""),"",IF($B503="MEANS",INDEX('1-DATA'!$1:$1048576,$A502-1,COLUMN('1-DATA'!AC501)),ROUND(INDEX('1-DATA'!$1:$1048576,IF(OR($B503="STD. DEVIATION",$C$1=1),$A503,$A503+1),COLUMN('1-DATA'!AC501)),IF($B503="STD. DEVIATION",2,$F$1))))</f>
        <v/>
      </c>
      <c r="AE503" s="1" t="str">
        <f>IF(OR($B503="",AE$7=""),"",IF($B503="MEANS",INDEX('1-DATA'!$1:$1048576,$A502-1,COLUMN('1-DATA'!AD501)),ROUND(INDEX('1-DATA'!$1:$1048576,IF(OR($B503="STD. DEVIATION",$C$1=1),$A503,$A503+1),COLUMN('1-DATA'!AD501)),IF($B503="STD. DEVIATION",2,$F$1))))</f>
        <v/>
      </c>
      <c r="AF503" s="1" t="str">
        <f>IF(OR($B503="",AF$7=""),"",IF($B503="MEANS",INDEX('1-DATA'!$1:$1048576,$A502-1,COLUMN('1-DATA'!AE501)),ROUND(INDEX('1-DATA'!$1:$1048576,IF(OR($B503="STD. DEVIATION",$C$1=1),$A503,$A503+1),COLUMN('1-DATA'!AE501)),IF($B503="STD. DEVIATION",2,$F$1))))</f>
        <v/>
      </c>
      <c r="AG503" s="1" t="str">
        <f>IF(OR($B503="",AG$7=""),"",IF($B503="MEANS",INDEX('1-DATA'!$1:$1048576,$A502-1,COLUMN('1-DATA'!AF501)),ROUND(INDEX('1-DATA'!$1:$1048576,IF(OR($B503="STD. DEVIATION",$C$1=1),$A503,$A503+1),COLUMN('1-DATA'!AF501)),IF($B503="STD. DEVIATION",2,$F$1))))</f>
        <v/>
      </c>
      <c r="AH503" s="1" t="str">
        <f>IF(OR($B503="",AH$7=""),"",IF($B503="MEANS",INDEX('1-DATA'!$1:$1048576,$A502-1,COLUMN('1-DATA'!AG501)),ROUND(INDEX('1-DATA'!$1:$1048576,IF(OR($B503="STD. DEVIATION",$C$1=1),$A503,$A503+1),COLUMN('1-DATA'!AG501)),IF($B503="STD. DEVIATION",2,$F$1))))</f>
        <v/>
      </c>
      <c r="AI503" s="1" t="str">
        <f>IF(OR($B503="",AI$7=""),"",IF($B503="MEANS",INDEX('1-DATA'!$1:$1048576,$A502-1,COLUMN('1-DATA'!AH501)),ROUND(INDEX('1-DATA'!$1:$1048576,IF(OR($B503="STD. DEVIATION",$C$1=1),$A503,$A503+1),COLUMN('1-DATA'!AH501)),IF($B503="STD. DEVIATION",2,$F$1))))</f>
        <v/>
      </c>
      <c r="AJ503" s="1" t="str">
        <f>IF(OR($B503="",AJ$7=""),"",IF($B503="MEANS",INDEX('1-DATA'!$1:$1048576,$A502-1,COLUMN('1-DATA'!AI501)),ROUND(INDEX('1-DATA'!$1:$1048576,IF(OR($B503="STD. DEVIATION",$C$1=1),$A503,$A503+1),COLUMN('1-DATA'!AI501)),IF($B503="STD. DEVIATION",2,$F$1))))</f>
        <v/>
      </c>
      <c r="AK503" s="1" t="str">
        <f>IF(OR($B503="",AK$7=""),"",IF($B503="MEANS",INDEX('1-DATA'!$1:$1048576,$A502-1,COLUMN('1-DATA'!AJ501)),ROUND(INDEX('1-DATA'!$1:$1048576,IF(OR($B503="STD. DEVIATION",$C$1=1),$A503,$A503+1),COLUMN('1-DATA'!AJ501)),IF($B503="STD. DEVIATION",2,$F$1))))</f>
        <v/>
      </c>
      <c r="AL503" s="1" t="str">
        <f>IF(OR($B503="",AL$7=""),"",IF($B503="MEANS",INDEX('1-DATA'!$1:$1048576,$A502-1,COLUMN('1-DATA'!AK501)),ROUND(INDEX('1-DATA'!$1:$1048576,IF(OR($B503="STD. DEVIATION",$C$1=1),$A503,$A503+1),COLUMN('1-DATA'!AK501)),IF($B503="STD. DEVIATION",2,$F$1))))</f>
        <v/>
      </c>
      <c r="AM503" s="1" t="str">
        <f>IF(OR($B503="",AM$7=""),"",IF($B503="MEANS",INDEX('1-DATA'!$1:$1048576,$A502-1,COLUMN('1-DATA'!AL501)),ROUND(INDEX('1-DATA'!$1:$1048576,IF(OR($B503="STD. DEVIATION",$C$1=1),$A503,$A503+1),COLUMN('1-DATA'!AL501)),IF($B503="STD. DEVIATION",2,$F$1))))</f>
        <v/>
      </c>
      <c r="AN503" s="1" t="str">
        <f>IF(OR($B503="",AN$7=""),"",IF($B503="MEANS",INDEX('1-DATA'!$1:$1048576,$A502-1,COLUMN('1-DATA'!AM501)),ROUND(INDEX('1-DATA'!$1:$1048576,IF(OR($B503="STD. DEVIATION",$C$1=1),$A503,$A503+1),COLUMN('1-DATA'!AM501)),IF($B503="STD. DEVIATION",2,$F$1))))</f>
        <v/>
      </c>
      <c r="AO503" s="1" t="str">
        <f>IF(OR($B503="",AO$7=""),"",IF($B503="MEANS",INDEX('1-DATA'!$1:$1048576,$A502-1,COLUMN('1-DATA'!AN501)),ROUND(INDEX('1-DATA'!$1:$1048576,IF(OR($B503="STD. DEVIATION",$C$1=1),$A503,$A503+1),COLUMN('1-DATA'!AN501)),IF($B503="STD. DEVIATION",2,$F$1))))</f>
        <v/>
      </c>
      <c r="AP503" s="1" t="str">
        <f>IF(OR($B503="",AP$7=""),"",IF($B503="MEANS",INDEX('1-DATA'!$1:$1048576,$A502-1,COLUMN('1-DATA'!AO501)),ROUND(INDEX('1-DATA'!$1:$1048576,IF(OR($B503="STD. DEVIATION",$C$1=1),$A503,$A503+1),COLUMN('1-DATA'!AO501)),IF($B503="STD. DEVIATION",2,$F$1))))</f>
        <v/>
      </c>
      <c r="AQ503" s="1" t="str">
        <f>IF(OR($B503="",AQ$7=""),"",IF($B503="MEANS",INDEX('1-DATA'!$1:$1048576,$A502-1,COLUMN('1-DATA'!AP501)),ROUND(INDEX('1-DATA'!$1:$1048576,IF(OR($B503="STD. DEVIATION",$C$1=1),$A503,$A503+1),COLUMN('1-DATA'!AP501)),IF($B503="STD. DEVIATION",2,$F$1))))</f>
        <v/>
      </c>
      <c r="AR503" s="1" t="str">
        <f>IF(OR($B503="",AR$7=""),"",IF($B503="MEANS",INDEX('1-DATA'!$1:$1048576,$A502-1,COLUMN('1-DATA'!AQ501)),ROUND(INDEX('1-DATA'!$1:$1048576,IF(OR($B503="STD. DEVIATION",$C$1=1),$A503,$A503+1),COLUMN('1-DATA'!AQ501)),IF($B503="STD. DEVIATION",2,$F$1))))</f>
        <v/>
      </c>
      <c r="AS503" s="1" t="str">
        <f>IF(OR($B503="",AS$7=""),"",IF($B503="MEANS",INDEX('1-DATA'!$1:$1048576,$A502-1,COLUMN('1-DATA'!AR501)),ROUND(INDEX('1-DATA'!$1:$1048576,IF(OR($B503="STD. DEVIATION",$C$1=1),$A503,$A503+1),COLUMN('1-DATA'!AR501)),IF($B503="STD. DEVIATION",2,$F$1))))</f>
        <v/>
      </c>
      <c r="AT503" s="1" t="str">
        <f>IF(OR($B503="",AT$7=""),"",IF($B503="MEANS",INDEX('1-DATA'!$1:$1048576,$A502-1,COLUMN('1-DATA'!AS501)),ROUND(INDEX('1-DATA'!$1:$1048576,IF(OR($B503="STD. DEVIATION",$C$1=1),$A503,$A503+1),COLUMN('1-DATA'!AS501)),IF($B503="STD. DEVIATION",2,$F$1))))</f>
        <v/>
      </c>
      <c r="AU503" s="1" t="str">
        <f>IF(OR($B503="",AU$7=""),"",IF($B503="MEANS",INDEX('1-DATA'!$1:$1048576,$A502-1,COLUMN('1-DATA'!AT501)),ROUND(INDEX('1-DATA'!$1:$1048576,IF(OR($B503="STD. DEVIATION",$C$1=1),$A503,$A503+1),COLUMN('1-DATA'!AT501)),IF($B503="STD. DEVIATION",2,$F$1))))</f>
        <v/>
      </c>
      <c r="AV503" s="1" t="str">
        <f>IF(OR($B503="",AV$7=""),"",IF($B503="MEANS",INDEX('1-DATA'!$1:$1048576,$A502-1,COLUMN('1-DATA'!AU501)),ROUND(INDEX('1-DATA'!$1:$1048576,IF(OR($B503="STD. DEVIATION",$C$1=1),$A503,$A503+1),COLUMN('1-DATA'!AU501)),IF($B503="STD. DEVIATION",2,$F$1))))</f>
        <v/>
      </c>
      <c r="AW503" s="1" t="str">
        <f>IF(OR($B503="",AW$7=""),"",IF($B503="MEANS",INDEX('1-DATA'!$1:$1048576,$A502-1,COLUMN('1-DATA'!AV501)),ROUND(INDEX('1-DATA'!$1:$1048576,IF(OR($B503="STD. DEVIATION",$C$1=1),$A503,$A503+1),COLUMN('1-DATA'!AV501)),IF($B503="STD. DEVIATION",2,$F$1))))</f>
        <v/>
      </c>
      <c r="AX503" s="1" t="str">
        <f>IF(OR($B503="",AX$7=""),"",IF($B503="MEANS",INDEX('1-DATA'!$1:$1048576,$A502-1,COLUMN('1-DATA'!AW501)),ROUND(INDEX('1-DATA'!$1:$1048576,IF(OR($B503="STD. DEVIATION",$C$1=1),$A503,$A503+1),COLUMN('1-DATA'!AW501)),IF($B503="STD. DEVIATION",2,$F$1))))</f>
        <v/>
      </c>
      <c r="AY503" s="1" t="str">
        <f>IF(OR($B503="",AY$7=""),"",IF($B503="MEANS",INDEX('1-DATA'!$1:$1048576,$A502-1,COLUMN('1-DATA'!AX501)),ROUND(INDEX('1-DATA'!$1:$1048576,IF(OR($B503="STD. DEVIATION",$C$1=1),$A503,$A503+1),COLUMN('1-DATA'!AX501)),IF($B503="STD. DEVIATION",2,$F$1))))</f>
        <v/>
      </c>
      <c r="AZ503" s="1" t="str">
        <f>IF(OR($B503="",AZ$7=""),"",IF($B503="MEANS",INDEX('1-DATA'!$1:$1048576,$A502-1,COLUMN('1-DATA'!AY501)),ROUND(INDEX('1-DATA'!$1:$1048576,IF(OR($B503="STD. DEVIATION",$C$1=1),$A503,$A503+1),COLUMN('1-DATA'!AY501)),IF($B503="STD. DEVIATION",2,$F$1))))</f>
        <v/>
      </c>
    </row>
    <row r="504" spans="1:52" x14ac:dyDescent="0.25">
      <c r="A504" s="11">
        <f t="shared" si="8"/>
        <v>1498</v>
      </c>
      <c r="B504" s="1" t="str">
        <f>IF(B503="STD. DEVIATION",INDEX('1-DATA'!$1:$1048576,$A503-1,1),IF(INDEX('1-DATA'!$1:$1048576,$A504,1)&lt;&gt;"",INDEX('1-DATA'!$1:$1048576,$A504,1),""))</f>
        <v/>
      </c>
      <c r="C504" s="1" t="str">
        <f>IF(OR($B504="",C$7=""),"",IF($B504="MEANS",INDEX('1-DATA'!$1:$1048576,$A503-1,COLUMN('1-DATA'!B502)),ROUND(INDEX('1-DATA'!$1:$1048576,IF(OR($B504="STD. DEVIATION",$C$1=1),$A504,$A504+1),COLUMN('1-DATA'!B502)),IF($B504="STD. DEVIATION",2,$F$1))))</f>
        <v/>
      </c>
      <c r="D504" s="1" t="str">
        <f>IF(OR($B504="",D$7=""),"",IF($B504="MEANS",INDEX('1-DATA'!$1:$1048576,$A503-1,COLUMN('1-DATA'!C502)),ROUND(INDEX('1-DATA'!$1:$1048576,IF(OR($B504="STD. DEVIATION",$C$1=1),$A504,$A504+1),COLUMN('1-DATA'!C502)),IF($B504="STD. DEVIATION",2,$F$1))))</f>
        <v/>
      </c>
      <c r="E504" s="1" t="str">
        <f>IF(OR($B504="",E$7=""),"",IF($B504="MEANS",INDEX('1-DATA'!$1:$1048576,$A503-1,COLUMN('1-DATA'!D502)),ROUND(INDEX('1-DATA'!$1:$1048576,IF(OR($B504="STD. DEVIATION",$C$1=1),$A504,$A504+1),COLUMN('1-DATA'!D502)),IF($B504="STD. DEVIATION",2,$F$1))))</f>
        <v/>
      </c>
      <c r="F504" s="1" t="str">
        <f>IF(OR($B504="",F$7=""),"",IF($B504="MEANS",INDEX('1-DATA'!$1:$1048576,$A503-1,COLUMN('1-DATA'!E502)),ROUND(INDEX('1-DATA'!$1:$1048576,IF(OR($B504="STD. DEVIATION",$C$1=1),$A504,$A504+1),COLUMN('1-DATA'!E502)),IF($B504="STD. DEVIATION",2,$F$1))))</f>
        <v/>
      </c>
      <c r="G504" s="1" t="str">
        <f>IF(OR($B504="",G$7=""),"",IF($B504="MEANS",INDEX('1-DATA'!$1:$1048576,$A503-1,COLUMN('1-DATA'!F502)),ROUND(INDEX('1-DATA'!$1:$1048576,IF(OR($B504="STD. DEVIATION",$C$1=1),$A504,$A504+1),COLUMN('1-DATA'!F502)),IF($B504="STD. DEVIATION",2,$F$1))))</f>
        <v/>
      </c>
      <c r="H504" s="1" t="str">
        <f>IF(OR($B504="",H$7=""),"",IF($B504="MEANS",INDEX('1-DATA'!$1:$1048576,$A503-1,COLUMN('1-DATA'!G502)),ROUND(INDEX('1-DATA'!$1:$1048576,IF(OR($B504="STD. DEVIATION",$C$1=1),$A504,$A504+1),COLUMN('1-DATA'!G502)),IF($B504="STD. DEVIATION",2,$F$1))))</f>
        <v/>
      </c>
      <c r="I504" s="1" t="str">
        <f>IF(OR($B504="",I$7=""),"",IF($B504="MEANS",INDEX('1-DATA'!$1:$1048576,$A503-1,COLUMN('1-DATA'!H502)),ROUND(INDEX('1-DATA'!$1:$1048576,IF(OR($B504="STD. DEVIATION",$C$1=1),$A504,$A504+1),COLUMN('1-DATA'!H502)),IF($B504="STD. DEVIATION",2,$F$1))))</f>
        <v/>
      </c>
      <c r="J504" s="1" t="str">
        <f>IF(OR($B504="",J$7=""),"",IF($B504="MEANS",INDEX('1-DATA'!$1:$1048576,$A503-1,COLUMN('1-DATA'!I502)),ROUND(INDEX('1-DATA'!$1:$1048576,IF(OR($B504="STD. DEVIATION",$C$1=1),$A504,$A504+1),COLUMN('1-DATA'!I502)),IF($B504="STD. DEVIATION",2,$F$1))))</f>
        <v/>
      </c>
      <c r="K504" s="1" t="str">
        <f>IF(OR($B504="",K$7=""),"",IF($B504="MEANS",INDEX('1-DATA'!$1:$1048576,$A503-1,COLUMN('1-DATA'!J502)),ROUND(INDEX('1-DATA'!$1:$1048576,IF(OR($B504="STD. DEVIATION",$C$1=1),$A504,$A504+1),COLUMN('1-DATA'!J502)),IF($B504="STD. DEVIATION",2,$F$1))))</f>
        <v/>
      </c>
      <c r="L504" s="1" t="str">
        <f>IF(OR($B504="",L$7=""),"",IF($B504="MEANS",INDEX('1-DATA'!$1:$1048576,$A503-1,COLUMN('1-DATA'!K502)),ROUND(INDEX('1-DATA'!$1:$1048576,IF(OR($B504="STD. DEVIATION",$C$1=1),$A504,$A504+1),COLUMN('1-DATA'!K502)),IF($B504="STD. DEVIATION",2,$F$1))))</f>
        <v/>
      </c>
      <c r="M504" s="1" t="str">
        <f>IF(OR($B504="",M$7=""),"",IF($B504="MEANS",INDEX('1-DATA'!$1:$1048576,$A503-1,COLUMN('1-DATA'!L502)),ROUND(INDEX('1-DATA'!$1:$1048576,IF(OR($B504="STD. DEVIATION",$C$1=1),$A504,$A504+1),COLUMN('1-DATA'!L502)),IF($B504="STD. DEVIATION",2,$F$1))))</f>
        <v/>
      </c>
      <c r="N504" s="1" t="str">
        <f>IF(OR($B504="",N$7=""),"",IF($B504="MEANS",INDEX('1-DATA'!$1:$1048576,$A503-1,COLUMN('1-DATA'!M502)),ROUND(INDEX('1-DATA'!$1:$1048576,IF(OR($B504="STD. DEVIATION",$C$1=1),$A504,$A504+1),COLUMN('1-DATA'!M502)),IF($B504="STD. DEVIATION",2,$F$1))))</f>
        <v/>
      </c>
      <c r="O504" s="1" t="str">
        <f>IF(OR($B504="",O$7=""),"",IF($B504="MEANS",INDEX('1-DATA'!$1:$1048576,$A503-1,COLUMN('1-DATA'!N502)),ROUND(INDEX('1-DATA'!$1:$1048576,IF(OR($B504="STD. DEVIATION",$C$1=1),$A504,$A504+1),COLUMN('1-DATA'!N502)),IF($B504="STD. DEVIATION",2,$F$1))))</f>
        <v/>
      </c>
      <c r="P504" s="1" t="str">
        <f>IF(OR($B504="",P$7=""),"",IF($B504="MEANS",INDEX('1-DATA'!$1:$1048576,$A503-1,COLUMN('1-DATA'!O502)),ROUND(INDEX('1-DATA'!$1:$1048576,IF(OR($B504="STD. DEVIATION",$C$1=1),$A504,$A504+1),COLUMN('1-DATA'!O502)),IF($B504="STD. DEVIATION",2,$F$1))))</f>
        <v/>
      </c>
      <c r="Q504" s="1" t="str">
        <f>IF(OR($B504="",Q$7=""),"",IF($B504="MEANS",INDEX('1-DATA'!$1:$1048576,$A503-1,COLUMN('1-DATA'!P502)),ROUND(INDEX('1-DATA'!$1:$1048576,IF(OR($B504="STD. DEVIATION",$C$1=1),$A504,$A504+1),COLUMN('1-DATA'!P502)),IF($B504="STD. DEVIATION",2,$F$1))))</f>
        <v/>
      </c>
      <c r="R504" s="1" t="str">
        <f>IF(OR($B504="",R$7=""),"",IF($B504="MEANS",INDEX('1-DATA'!$1:$1048576,$A503-1,COLUMN('1-DATA'!Q502)),ROUND(INDEX('1-DATA'!$1:$1048576,IF(OR($B504="STD. DEVIATION",$C$1=1),$A504,$A504+1),COLUMN('1-DATA'!Q502)),IF($B504="STD. DEVIATION",2,$F$1))))</f>
        <v/>
      </c>
      <c r="S504" s="1" t="str">
        <f>IF(OR($B504="",S$7=""),"",IF($B504="MEANS",INDEX('1-DATA'!$1:$1048576,$A503-1,COLUMN('1-DATA'!R502)),ROUND(INDEX('1-DATA'!$1:$1048576,IF(OR($B504="STD. DEVIATION",$C$1=1),$A504,$A504+1),COLUMN('1-DATA'!R502)),IF($B504="STD. DEVIATION",2,$F$1))))</f>
        <v/>
      </c>
      <c r="T504" s="1" t="str">
        <f>IF(OR($B504="",T$7=""),"",IF($B504="MEANS",INDEX('1-DATA'!$1:$1048576,$A503-1,COLUMN('1-DATA'!S502)),ROUND(INDEX('1-DATA'!$1:$1048576,IF(OR($B504="STD. DEVIATION",$C$1=1),$A504,$A504+1),COLUMN('1-DATA'!S502)),IF($B504="STD. DEVIATION",2,$F$1))))</f>
        <v/>
      </c>
      <c r="U504" s="1" t="str">
        <f>IF(OR($B504="",U$7=""),"",IF($B504="MEANS",INDEX('1-DATA'!$1:$1048576,$A503-1,COLUMN('1-DATA'!T502)),ROUND(INDEX('1-DATA'!$1:$1048576,IF(OR($B504="STD. DEVIATION",$C$1=1),$A504,$A504+1),COLUMN('1-DATA'!T502)),IF($B504="STD. DEVIATION",2,$F$1))))</f>
        <v/>
      </c>
      <c r="V504" s="1" t="str">
        <f>IF(OR($B504="",V$7=""),"",IF($B504="MEANS",INDEX('1-DATA'!$1:$1048576,$A503-1,COLUMN('1-DATA'!U502)),ROUND(INDEX('1-DATA'!$1:$1048576,IF(OR($B504="STD. DEVIATION",$C$1=1),$A504,$A504+1),COLUMN('1-DATA'!U502)),IF($B504="STD. DEVIATION",2,$F$1))))</f>
        <v/>
      </c>
      <c r="W504" s="1" t="str">
        <f>IF(OR($B504="",W$7=""),"",IF($B504="MEANS",INDEX('1-DATA'!$1:$1048576,$A503-1,COLUMN('1-DATA'!V502)),ROUND(INDEX('1-DATA'!$1:$1048576,IF(OR($B504="STD. DEVIATION",$C$1=1),$A504,$A504+1),COLUMN('1-DATA'!V502)),IF($B504="STD. DEVIATION",2,$F$1))))</f>
        <v/>
      </c>
      <c r="X504" s="1" t="str">
        <f>IF(OR($B504="",X$7=""),"",IF($B504="MEANS",INDEX('1-DATA'!$1:$1048576,$A503-1,COLUMN('1-DATA'!W502)),ROUND(INDEX('1-DATA'!$1:$1048576,IF(OR($B504="STD. DEVIATION",$C$1=1),$A504,$A504+1),COLUMN('1-DATA'!W502)),IF($B504="STD. DEVIATION",2,$F$1))))</f>
        <v/>
      </c>
      <c r="Y504" s="1" t="str">
        <f>IF(OR($B504="",Y$7=""),"",IF($B504="MEANS",INDEX('1-DATA'!$1:$1048576,$A503-1,COLUMN('1-DATA'!X502)),ROUND(INDEX('1-DATA'!$1:$1048576,IF(OR($B504="STD. DEVIATION",$C$1=1),$A504,$A504+1),COLUMN('1-DATA'!X502)),IF($B504="STD. DEVIATION",2,$F$1))))</f>
        <v/>
      </c>
      <c r="Z504" s="1" t="str">
        <f>IF(OR($B504="",Z$7=""),"",IF($B504="MEANS",INDEX('1-DATA'!$1:$1048576,$A503-1,COLUMN('1-DATA'!Y502)),ROUND(INDEX('1-DATA'!$1:$1048576,IF(OR($B504="STD. DEVIATION",$C$1=1),$A504,$A504+1),COLUMN('1-DATA'!Y502)),IF($B504="STD. DEVIATION",2,$F$1))))</f>
        <v/>
      </c>
      <c r="AA504" s="1" t="str">
        <f>IF(OR($B504="",AA$7=""),"",IF($B504="MEANS",INDEX('1-DATA'!$1:$1048576,$A503-1,COLUMN('1-DATA'!Z502)),ROUND(INDEX('1-DATA'!$1:$1048576,IF(OR($B504="STD. DEVIATION",$C$1=1),$A504,$A504+1),COLUMN('1-DATA'!Z502)),IF($B504="STD. DEVIATION",2,$F$1))))</f>
        <v/>
      </c>
      <c r="AB504" s="1" t="str">
        <f>IF(OR($B504="",AB$7=""),"",IF($B504="MEANS",INDEX('1-DATA'!$1:$1048576,$A503-1,COLUMN('1-DATA'!AA502)),ROUND(INDEX('1-DATA'!$1:$1048576,IF(OR($B504="STD. DEVIATION",$C$1=1),$A504,$A504+1),COLUMN('1-DATA'!AA502)),IF($B504="STD. DEVIATION",2,$F$1))))</f>
        <v/>
      </c>
      <c r="AC504" s="1" t="str">
        <f>IF(OR($B504="",AC$7=""),"",IF($B504="MEANS",INDEX('1-DATA'!$1:$1048576,$A503-1,COLUMN('1-DATA'!AB502)),ROUND(INDEX('1-DATA'!$1:$1048576,IF(OR($B504="STD. DEVIATION",$C$1=1),$A504,$A504+1),COLUMN('1-DATA'!AB502)),IF($B504="STD. DEVIATION",2,$F$1))))</f>
        <v/>
      </c>
      <c r="AD504" s="1" t="str">
        <f>IF(OR($B504="",AD$7=""),"",IF($B504="MEANS",INDEX('1-DATA'!$1:$1048576,$A503-1,COLUMN('1-DATA'!AC502)),ROUND(INDEX('1-DATA'!$1:$1048576,IF(OR($B504="STD. DEVIATION",$C$1=1),$A504,$A504+1),COLUMN('1-DATA'!AC502)),IF($B504="STD. DEVIATION",2,$F$1))))</f>
        <v/>
      </c>
      <c r="AE504" s="1" t="str">
        <f>IF(OR($B504="",AE$7=""),"",IF($B504="MEANS",INDEX('1-DATA'!$1:$1048576,$A503-1,COLUMN('1-DATA'!AD502)),ROUND(INDEX('1-DATA'!$1:$1048576,IF(OR($B504="STD. DEVIATION",$C$1=1),$A504,$A504+1),COLUMN('1-DATA'!AD502)),IF($B504="STD. DEVIATION",2,$F$1))))</f>
        <v/>
      </c>
      <c r="AF504" s="1" t="str">
        <f>IF(OR($B504="",AF$7=""),"",IF($B504="MEANS",INDEX('1-DATA'!$1:$1048576,$A503-1,COLUMN('1-DATA'!AE502)),ROUND(INDEX('1-DATA'!$1:$1048576,IF(OR($B504="STD. DEVIATION",$C$1=1),$A504,$A504+1),COLUMN('1-DATA'!AE502)),IF($B504="STD. DEVIATION",2,$F$1))))</f>
        <v/>
      </c>
      <c r="AG504" s="1" t="str">
        <f>IF(OR($B504="",AG$7=""),"",IF($B504="MEANS",INDEX('1-DATA'!$1:$1048576,$A503-1,COLUMN('1-DATA'!AF502)),ROUND(INDEX('1-DATA'!$1:$1048576,IF(OR($B504="STD. DEVIATION",$C$1=1),$A504,$A504+1),COLUMN('1-DATA'!AF502)),IF($B504="STD. DEVIATION",2,$F$1))))</f>
        <v/>
      </c>
      <c r="AH504" s="1" t="str">
        <f>IF(OR($B504="",AH$7=""),"",IF($B504="MEANS",INDEX('1-DATA'!$1:$1048576,$A503-1,COLUMN('1-DATA'!AG502)),ROUND(INDEX('1-DATA'!$1:$1048576,IF(OR($B504="STD. DEVIATION",$C$1=1),$A504,$A504+1),COLUMN('1-DATA'!AG502)),IF($B504="STD. DEVIATION",2,$F$1))))</f>
        <v/>
      </c>
      <c r="AI504" s="1" t="str">
        <f>IF(OR($B504="",AI$7=""),"",IF($B504="MEANS",INDEX('1-DATA'!$1:$1048576,$A503-1,COLUMN('1-DATA'!AH502)),ROUND(INDEX('1-DATA'!$1:$1048576,IF(OR($B504="STD. DEVIATION",$C$1=1),$A504,$A504+1),COLUMN('1-DATA'!AH502)),IF($B504="STD. DEVIATION",2,$F$1))))</f>
        <v/>
      </c>
      <c r="AJ504" s="1" t="str">
        <f>IF(OR($B504="",AJ$7=""),"",IF($B504="MEANS",INDEX('1-DATA'!$1:$1048576,$A503-1,COLUMN('1-DATA'!AI502)),ROUND(INDEX('1-DATA'!$1:$1048576,IF(OR($B504="STD. DEVIATION",$C$1=1),$A504,$A504+1),COLUMN('1-DATA'!AI502)),IF($B504="STD. DEVIATION",2,$F$1))))</f>
        <v/>
      </c>
      <c r="AK504" s="1" t="str">
        <f>IF(OR($B504="",AK$7=""),"",IF($B504="MEANS",INDEX('1-DATA'!$1:$1048576,$A503-1,COLUMN('1-DATA'!AJ502)),ROUND(INDEX('1-DATA'!$1:$1048576,IF(OR($B504="STD. DEVIATION",$C$1=1),$A504,$A504+1),COLUMN('1-DATA'!AJ502)),IF($B504="STD. DEVIATION",2,$F$1))))</f>
        <v/>
      </c>
      <c r="AL504" s="1" t="str">
        <f>IF(OR($B504="",AL$7=""),"",IF($B504="MEANS",INDEX('1-DATA'!$1:$1048576,$A503-1,COLUMN('1-DATA'!AK502)),ROUND(INDEX('1-DATA'!$1:$1048576,IF(OR($B504="STD. DEVIATION",$C$1=1),$A504,$A504+1),COLUMN('1-DATA'!AK502)),IF($B504="STD. DEVIATION",2,$F$1))))</f>
        <v/>
      </c>
      <c r="AM504" s="1" t="str">
        <f>IF(OR($B504="",AM$7=""),"",IF($B504="MEANS",INDEX('1-DATA'!$1:$1048576,$A503-1,COLUMN('1-DATA'!AL502)),ROUND(INDEX('1-DATA'!$1:$1048576,IF(OR($B504="STD. DEVIATION",$C$1=1),$A504,$A504+1),COLUMN('1-DATA'!AL502)),IF($B504="STD. DEVIATION",2,$F$1))))</f>
        <v/>
      </c>
      <c r="AN504" s="1" t="str">
        <f>IF(OR($B504="",AN$7=""),"",IF($B504="MEANS",INDEX('1-DATA'!$1:$1048576,$A503-1,COLUMN('1-DATA'!AM502)),ROUND(INDEX('1-DATA'!$1:$1048576,IF(OR($B504="STD. DEVIATION",$C$1=1),$A504,$A504+1),COLUMN('1-DATA'!AM502)),IF($B504="STD. DEVIATION",2,$F$1))))</f>
        <v/>
      </c>
      <c r="AO504" s="1" t="str">
        <f>IF(OR($B504="",AO$7=""),"",IF($B504="MEANS",INDEX('1-DATA'!$1:$1048576,$A503-1,COLUMN('1-DATA'!AN502)),ROUND(INDEX('1-DATA'!$1:$1048576,IF(OR($B504="STD. DEVIATION",$C$1=1),$A504,$A504+1),COLUMN('1-DATA'!AN502)),IF($B504="STD. DEVIATION",2,$F$1))))</f>
        <v/>
      </c>
      <c r="AP504" s="1" t="str">
        <f>IF(OR($B504="",AP$7=""),"",IF($B504="MEANS",INDEX('1-DATA'!$1:$1048576,$A503-1,COLUMN('1-DATA'!AO502)),ROUND(INDEX('1-DATA'!$1:$1048576,IF(OR($B504="STD. DEVIATION",$C$1=1),$A504,$A504+1),COLUMN('1-DATA'!AO502)),IF($B504="STD. DEVIATION",2,$F$1))))</f>
        <v/>
      </c>
      <c r="AQ504" s="1" t="str">
        <f>IF(OR($B504="",AQ$7=""),"",IF($B504="MEANS",INDEX('1-DATA'!$1:$1048576,$A503-1,COLUMN('1-DATA'!AP502)),ROUND(INDEX('1-DATA'!$1:$1048576,IF(OR($B504="STD. DEVIATION",$C$1=1),$A504,$A504+1),COLUMN('1-DATA'!AP502)),IF($B504="STD. DEVIATION",2,$F$1))))</f>
        <v/>
      </c>
      <c r="AR504" s="1" t="str">
        <f>IF(OR($B504="",AR$7=""),"",IF($B504="MEANS",INDEX('1-DATA'!$1:$1048576,$A503-1,COLUMN('1-DATA'!AQ502)),ROUND(INDEX('1-DATA'!$1:$1048576,IF(OR($B504="STD. DEVIATION",$C$1=1),$A504,$A504+1),COLUMN('1-DATA'!AQ502)),IF($B504="STD. DEVIATION",2,$F$1))))</f>
        <v/>
      </c>
      <c r="AS504" s="1" t="str">
        <f>IF(OR($B504="",AS$7=""),"",IF($B504="MEANS",INDEX('1-DATA'!$1:$1048576,$A503-1,COLUMN('1-DATA'!AR502)),ROUND(INDEX('1-DATA'!$1:$1048576,IF(OR($B504="STD. DEVIATION",$C$1=1),$A504,$A504+1),COLUMN('1-DATA'!AR502)),IF($B504="STD. DEVIATION",2,$F$1))))</f>
        <v/>
      </c>
      <c r="AT504" s="1" t="str">
        <f>IF(OR($B504="",AT$7=""),"",IF($B504="MEANS",INDEX('1-DATA'!$1:$1048576,$A503-1,COLUMN('1-DATA'!AS502)),ROUND(INDEX('1-DATA'!$1:$1048576,IF(OR($B504="STD. DEVIATION",$C$1=1),$A504,$A504+1),COLUMN('1-DATA'!AS502)),IF($B504="STD. DEVIATION",2,$F$1))))</f>
        <v/>
      </c>
      <c r="AU504" s="1" t="str">
        <f>IF(OR($B504="",AU$7=""),"",IF($B504="MEANS",INDEX('1-DATA'!$1:$1048576,$A503-1,COLUMN('1-DATA'!AT502)),ROUND(INDEX('1-DATA'!$1:$1048576,IF(OR($B504="STD. DEVIATION",$C$1=1),$A504,$A504+1),COLUMN('1-DATA'!AT502)),IF($B504="STD. DEVIATION",2,$F$1))))</f>
        <v/>
      </c>
      <c r="AV504" s="1" t="str">
        <f>IF(OR($B504="",AV$7=""),"",IF($B504="MEANS",INDEX('1-DATA'!$1:$1048576,$A503-1,COLUMN('1-DATA'!AU502)),ROUND(INDEX('1-DATA'!$1:$1048576,IF(OR($B504="STD. DEVIATION",$C$1=1),$A504,$A504+1),COLUMN('1-DATA'!AU502)),IF($B504="STD. DEVIATION",2,$F$1))))</f>
        <v/>
      </c>
      <c r="AW504" s="1" t="str">
        <f>IF(OR($B504="",AW$7=""),"",IF($B504="MEANS",INDEX('1-DATA'!$1:$1048576,$A503-1,COLUMN('1-DATA'!AV502)),ROUND(INDEX('1-DATA'!$1:$1048576,IF(OR($B504="STD. DEVIATION",$C$1=1),$A504,$A504+1),COLUMN('1-DATA'!AV502)),IF($B504="STD. DEVIATION",2,$F$1))))</f>
        <v/>
      </c>
      <c r="AX504" s="1" t="str">
        <f>IF(OR($B504="",AX$7=""),"",IF($B504="MEANS",INDEX('1-DATA'!$1:$1048576,$A503-1,COLUMN('1-DATA'!AW502)),ROUND(INDEX('1-DATA'!$1:$1048576,IF(OR($B504="STD. DEVIATION",$C$1=1),$A504,$A504+1),COLUMN('1-DATA'!AW502)),IF($B504="STD. DEVIATION",2,$F$1))))</f>
        <v/>
      </c>
      <c r="AY504" s="1" t="str">
        <f>IF(OR($B504="",AY$7=""),"",IF($B504="MEANS",INDEX('1-DATA'!$1:$1048576,$A503-1,COLUMN('1-DATA'!AX502)),ROUND(INDEX('1-DATA'!$1:$1048576,IF(OR($B504="STD. DEVIATION",$C$1=1),$A504,$A504+1),COLUMN('1-DATA'!AX502)),IF($B504="STD. DEVIATION",2,$F$1))))</f>
        <v/>
      </c>
      <c r="AZ504" s="1" t="str">
        <f>IF(OR($B504="",AZ$7=""),"",IF($B504="MEANS",INDEX('1-DATA'!$1:$1048576,$A503-1,COLUMN('1-DATA'!AY502)),ROUND(INDEX('1-DATA'!$1:$1048576,IF(OR($B504="STD. DEVIATION",$C$1=1),$A504,$A504+1),COLUMN('1-DATA'!AY502)),IF($B504="STD. DEVIATION",2,$F$1))))</f>
        <v/>
      </c>
    </row>
    <row r="505" spans="1:52" x14ac:dyDescent="0.25">
      <c r="A505" s="11">
        <f t="shared" si="8"/>
        <v>1501</v>
      </c>
      <c r="B505" s="1" t="str">
        <f>IF(B504="STD. DEVIATION",INDEX('1-DATA'!$1:$1048576,$A504-1,1),IF(INDEX('1-DATA'!$1:$1048576,$A505,1)&lt;&gt;"",INDEX('1-DATA'!$1:$1048576,$A505,1),""))</f>
        <v/>
      </c>
      <c r="C505" s="1" t="str">
        <f>IF(OR($B505="",C$7=""),"",IF($B505="MEANS",INDEX('1-DATA'!$1:$1048576,$A504-1,COLUMN('1-DATA'!B503)),ROUND(INDEX('1-DATA'!$1:$1048576,IF(OR($B505="STD. DEVIATION",$C$1=1),$A505,$A505+1),COLUMN('1-DATA'!B503)),IF($B505="STD. DEVIATION",2,$F$1))))</f>
        <v/>
      </c>
      <c r="D505" s="1" t="str">
        <f>IF(OR($B505="",D$7=""),"",IF($B505="MEANS",INDEX('1-DATA'!$1:$1048576,$A504-1,COLUMN('1-DATA'!C503)),ROUND(INDEX('1-DATA'!$1:$1048576,IF(OR($B505="STD. DEVIATION",$C$1=1),$A505,$A505+1),COLUMN('1-DATA'!C503)),IF($B505="STD. DEVIATION",2,$F$1))))</f>
        <v/>
      </c>
      <c r="E505" s="1" t="str">
        <f>IF(OR($B505="",E$7=""),"",IF($B505="MEANS",INDEX('1-DATA'!$1:$1048576,$A504-1,COLUMN('1-DATA'!D503)),ROUND(INDEX('1-DATA'!$1:$1048576,IF(OR($B505="STD. DEVIATION",$C$1=1),$A505,$A505+1),COLUMN('1-DATA'!D503)),IF($B505="STD. DEVIATION",2,$F$1))))</f>
        <v/>
      </c>
      <c r="F505" s="1" t="str">
        <f>IF(OR($B505="",F$7=""),"",IF($B505="MEANS",INDEX('1-DATA'!$1:$1048576,$A504-1,COLUMN('1-DATA'!E503)),ROUND(INDEX('1-DATA'!$1:$1048576,IF(OR($B505="STD. DEVIATION",$C$1=1),$A505,$A505+1),COLUMN('1-DATA'!E503)),IF($B505="STD. DEVIATION",2,$F$1))))</f>
        <v/>
      </c>
      <c r="G505" s="1" t="str">
        <f>IF(OR($B505="",G$7=""),"",IF($B505="MEANS",INDEX('1-DATA'!$1:$1048576,$A504-1,COLUMN('1-DATA'!F503)),ROUND(INDEX('1-DATA'!$1:$1048576,IF(OR($B505="STD. DEVIATION",$C$1=1),$A505,$A505+1),COLUMN('1-DATA'!F503)),IF($B505="STD. DEVIATION",2,$F$1))))</f>
        <v/>
      </c>
      <c r="H505" s="1" t="str">
        <f>IF(OR($B505="",H$7=""),"",IF($B505="MEANS",INDEX('1-DATA'!$1:$1048576,$A504-1,COLUMN('1-DATA'!G503)),ROUND(INDEX('1-DATA'!$1:$1048576,IF(OR($B505="STD. DEVIATION",$C$1=1),$A505,$A505+1),COLUMN('1-DATA'!G503)),IF($B505="STD. DEVIATION",2,$F$1))))</f>
        <v/>
      </c>
      <c r="I505" s="1" t="str">
        <f>IF(OR($B505="",I$7=""),"",IF($B505="MEANS",INDEX('1-DATA'!$1:$1048576,$A504-1,COLUMN('1-DATA'!H503)),ROUND(INDEX('1-DATA'!$1:$1048576,IF(OR($B505="STD. DEVIATION",$C$1=1),$A505,$A505+1),COLUMN('1-DATA'!H503)),IF($B505="STD. DEVIATION",2,$F$1))))</f>
        <v/>
      </c>
      <c r="J505" s="1" t="str">
        <f>IF(OR($B505="",J$7=""),"",IF($B505="MEANS",INDEX('1-DATA'!$1:$1048576,$A504-1,COLUMN('1-DATA'!I503)),ROUND(INDEX('1-DATA'!$1:$1048576,IF(OR($B505="STD. DEVIATION",$C$1=1),$A505,$A505+1),COLUMN('1-DATA'!I503)),IF($B505="STD. DEVIATION",2,$F$1))))</f>
        <v/>
      </c>
      <c r="K505" s="1" t="str">
        <f>IF(OR($B505="",K$7=""),"",IF($B505="MEANS",INDEX('1-DATA'!$1:$1048576,$A504-1,COLUMN('1-DATA'!J503)),ROUND(INDEX('1-DATA'!$1:$1048576,IF(OR($B505="STD. DEVIATION",$C$1=1),$A505,$A505+1),COLUMN('1-DATA'!J503)),IF($B505="STD. DEVIATION",2,$F$1))))</f>
        <v/>
      </c>
      <c r="L505" s="1" t="str">
        <f>IF(OR($B505="",L$7=""),"",IF($B505="MEANS",INDEX('1-DATA'!$1:$1048576,$A504-1,COLUMN('1-DATA'!K503)),ROUND(INDEX('1-DATA'!$1:$1048576,IF(OR($B505="STD. DEVIATION",$C$1=1),$A505,$A505+1),COLUMN('1-DATA'!K503)),IF($B505="STD. DEVIATION",2,$F$1))))</f>
        <v/>
      </c>
      <c r="M505" s="1" t="str">
        <f>IF(OR($B505="",M$7=""),"",IF($B505="MEANS",INDEX('1-DATA'!$1:$1048576,$A504-1,COLUMN('1-DATA'!L503)),ROUND(INDEX('1-DATA'!$1:$1048576,IF(OR($B505="STD. DEVIATION",$C$1=1),$A505,$A505+1),COLUMN('1-DATA'!L503)),IF($B505="STD. DEVIATION",2,$F$1))))</f>
        <v/>
      </c>
      <c r="N505" s="1" t="str">
        <f>IF(OR($B505="",N$7=""),"",IF($B505="MEANS",INDEX('1-DATA'!$1:$1048576,$A504-1,COLUMN('1-DATA'!M503)),ROUND(INDEX('1-DATA'!$1:$1048576,IF(OR($B505="STD. DEVIATION",$C$1=1),$A505,$A505+1),COLUMN('1-DATA'!M503)),IF($B505="STD. DEVIATION",2,$F$1))))</f>
        <v/>
      </c>
      <c r="O505" s="1" t="str">
        <f>IF(OR($B505="",O$7=""),"",IF($B505="MEANS",INDEX('1-DATA'!$1:$1048576,$A504-1,COLUMN('1-DATA'!N503)),ROUND(INDEX('1-DATA'!$1:$1048576,IF(OR($B505="STD. DEVIATION",$C$1=1),$A505,$A505+1),COLUMN('1-DATA'!N503)),IF($B505="STD. DEVIATION",2,$F$1))))</f>
        <v/>
      </c>
      <c r="P505" s="1" t="str">
        <f>IF(OR($B505="",P$7=""),"",IF($B505="MEANS",INDEX('1-DATA'!$1:$1048576,$A504-1,COLUMN('1-DATA'!O503)),ROUND(INDEX('1-DATA'!$1:$1048576,IF(OR($B505="STD. DEVIATION",$C$1=1),$A505,$A505+1),COLUMN('1-DATA'!O503)),IF($B505="STD. DEVIATION",2,$F$1))))</f>
        <v/>
      </c>
      <c r="Q505" s="1" t="str">
        <f>IF(OR($B505="",Q$7=""),"",IF($B505="MEANS",INDEX('1-DATA'!$1:$1048576,$A504-1,COLUMN('1-DATA'!P503)),ROUND(INDEX('1-DATA'!$1:$1048576,IF(OR($B505="STD. DEVIATION",$C$1=1),$A505,$A505+1),COLUMN('1-DATA'!P503)),IF($B505="STD. DEVIATION",2,$F$1))))</f>
        <v/>
      </c>
      <c r="R505" s="1" t="str">
        <f>IF(OR($B505="",R$7=""),"",IF($B505="MEANS",INDEX('1-DATA'!$1:$1048576,$A504-1,COLUMN('1-DATA'!Q503)),ROUND(INDEX('1-DATA'!$1:$1048576,IF(OR($B505="STD. DEVIATION",$C$1=1),$A505,$A505+1),COLUMN('1-DATA'!Q503)),IF($B505="STD. DEVIATION",2,$F$1))))</f>
        <v/>
      </c>
      <c r="S505" s="1" t="str">
        <f>IF(OR($B505="",S$7=""),"",IF($B505="MEANS",INDEX('1-DATA'!$1:$1048576,$A504-1,COLUMN('1-DATA'!R503)),ROUND(INDEX('1-DATA'!$1:$1048576,IF(OR($B505="STD. DEVIATION",$C$1=1),$A505,$A505+1),COLUMN('1-DATA'!R503)),IF($B505="STD. DEVIATION",2,$F$1))))</f>
        <v/>
      </c>
      <c r="T505" s="1" t="str">
        <f>IF(OR($B505="",T$7=""),"",IF($B505="MEANS",INDEX('1-DATA'!$1:$1048576,$A504-1,COLUMN('1-DATA'!S503)),ROUND(INDEX('1-DATA'!$1:$1048576,IF(OR($B505="STD. DEVIATION",$C$1=1),$A505,$A505+1),COLUMN('1-DATA'!S503)),IF($B505="STD. DEVIATION",2,$F$1))))</f>
        <v/>
      </c>
      <c r="U505" s="1" t="str">
        <f>IF(OR($B505="",U$7=""),"",IF($B505="MEANS",INDEX('1-DATA'!$1:$1048576,$A504-1,COLUMN('1-DATA'!T503)),ROUND(INDEX('1-DATA'!$1:$1048576,IF(OR($B505="STD. DEVIATION",$C$1=1),$A505,$A505+1),COLUMN('1-DATA'!T503)),IF($B505="STD. DEVIATION",2,$F$1))))</f>
        <v/>
      </c>
      <c r="V505" s="1" t="str">
        <f>IF(OR($B505="",V$7=""),"",IF($B505="MEANS",INDEX('1-DATA'!$1:$1048576,$A504-1,COLUMN('1-DATA'!U503)),ROUND(INDEX('1-DATA'!$1:$1048576,IF(OR($B505="STD. DEVIATION",$C$1=1),$A505,$A505+1),COLUMN('1-DATA'!U503)),IF($B505="STD. DEVIATION",2,$F$1))))</f>
        <v/>
      </c>
      <c r="W505" s="1" t="str">
        <f>IF(OR($B505="",W$7=""),"",IF($B505="MEANS",INDEX('1-DATA'!$1:$1048576,$A504-1,COLUMN('1-DATA'!V503)),ROUND(INDEX('1-DATA'!$1:$1048576,IF(OR($B505="STD. DEVIATION",$C$1=1),$A505,$A505+1),COLUMN('1-DATA'!V503)),IF($B505="STD. DEVIATION",2,$F$1))))</f>
        <v/>
      </c>
      <c r="X505" s="1" t="str">
        <f>IF(OR($B505="",X$7=""),"",IF($B505="MEANS",INDEX('1-DATA'!$1:$1048576,$A504-1,COLUMN('1-DATA'!W503)),ROUND(INDEX('1-DATA'!$1:$1048576,IF(OR($B505="STD. DEVIATION",$C$1=1),$A505,$A505+1),COLUMN('1-DATA'!W503)),IF($B505="STD. DEVIATION",2,$F$1))))</f>
        <v/>
      </c>
      <c r="Y505" s="1" t="str">
        <f>IF(OR($B505="",Y$7=""),"",IF($B505="MEANS",INDEX('1-DATA'!$1:$1048576,$A504-1,COLUMN('1-DATA'!X503)),ROUND(INDEX('1-DATA'!$1:$1048576,IF(OR($B505="STD. DEVIATION",$C$1=1),$A505,$A505+1),COLUMN('1-DATA'!X503)),IF($B505="STD. DEVIATION",2,$F$1))))</f>
        <v/>
      </c>
      <c r="Z505" s="1" t="str">
        <f>IF(OR($B505="",Z$7=""),"",IF($B505="MEANS",INDEX('1-DATA'!$1:$1048576,$A504-1,COLUMN('1-DATA'!Y503)),ROUND(INDEX('1-DATA'!$1:$1048576,IF(OR($B505="STD. DEVIATION",$C$1=1),$A505,$A505+1),COLUMN('1-DATA'!Y503)),IF($B505="STD. DEVIATION",2,$F$1))))</f>
        <v/>
      </c>
      <c r="AA505" s="1" t="str">
        <f>IF(OR($B505="",AA$7=""),"",IF($B505="MEANS",INDEX('1-DATA'!$1:$1048576,$A504-1,COLUMN('1-DATA'!Z503)),ROUND(INDEX('1-DATA'!$1:$1048576,IF(OR($B505="STD. DEVIATION",$C$1=1),$A505,$A505+1),COLUMN('1-DATA'!Z503)),IF($B505="STD. DEVIATION",2,$F$1))))</f>
        <v/>
      </c>
      <c r="AB505" s="1" t="str">
        <f>IF(OR($B505="",AB$7=""),"",IF($B505="MEANS",INDEX('1-DATA'!$1:$1048576,$A504-1,COLUMN('1-DATA'!AA503)),ROUND(INDEX('1-DATA'!$1:$1048576,IF(OR($B505="STD. DEVIATION",$C$1=1),$A505,$A505+1),COLUMN('1-DATA'!AA503)),IF($B505="STD. DEVIATION",2,$F$1))))</f>
        <v/>
      </c>
      <c r="AC505" s="1" t="str">
        <f>IF(OR($B505="",AC$7=""),"",IF($B505="MEANS",INDEX('1-DATA'!$1:$1048576,$A504-1,COLUMN('1-DATA'!AB503)),ROUND(INDEX('1-DATA'!$1:$1048576,IF(OR($B505="STD. DEVIATION",$C$1=1),$A505,$A505+1),COLUMN('1-DATA'!AB503)),IF($B505="STD. DEVIATION",2,$F$1))))</f>
        <v/>
      </c>
      <c r="AD505" s="1" t="str">
        <f>IF(OR($B505="",AD$7=""),"",IF($B505="MEANS",INDEX('1-DATA'!$1:$1048576,$A504-1,COLUMN('1-DATA'!AC503)),ROUND(INDEX('1-DATA'!$1:$1048576,IF(OR($B505="STD. DEVIATION",$C$1=1),$A505,$A505+1),COLUMN('1-DATA'!AC503)),IF($B505="STD. DEVIATION",2,$F$1))))</f>
        <v/>
      </c>
      <c r="AE505" s="1" t="str">
        <f>IF(OR($B505="",AE$7=""),"",IF($B505="MEANS",INDEX('1-DATA'!$1:$1048576,$A504-1,COLUMN('1-DATA'!AD503)),ROUND(INDEX('1-DATA'!$1:$1048576,IF(OR($B505="STD. DEVIATION",$C$1=1),$A505,$A505+1),COLUMN('1-DATA'!AD503)),IF($B505="STD. DEVIATION",2,$F$1))))</f>
        <v/>
      </c>
      <c r="AF505" s="1" t="str">
        <f>IF(OR($B505="",AF$7=""),"",IF($B505="MEANS",INDEX('1-DATA'!$1:$1048576,$A504-1,COLUMN('1-DATA'!AE503)),ROUND(INDEX('1-DATA'!$1:$1048576,IF(OR($B505="STD. DEVIATION",$C$1=1),$A505,$A505+1),COLUMN('1-DATA'!AE503)),IF($B505="STD. DEVIATION",2,$F$1))))</f>
        <v/>
      </c>
      <c r="AG505" s="1" t="str">
        <f>IF(OR($B505="",AG$7=""),"",IF($B505="MEANS",INDEX('1-DATA'!$1:$1048576,$A504-1,COLUMN('1-DATA'!AF503)),ROUND(INDEX('1-DATA'!$1:$1048576,IF(OR($B505="STD. DEVIATION",$C$1=1),$A505,$A505+1),COLUMN('1-DATA'!AF503)),IF($B505="STD. DEVIATION",2,$F$1))))</f>
        <v/>
      </c>
      <c r="AH505" s="1" t="str">
        <f>IF(OR($B505="",AH$7=""),"",IF($B505="MEANS",INDEX('1-DATA'!$1:$1048576,$A504-1,COLUMN('1-DATA'!AG503)),ROUND(INDEX('1-DATA'!$1:$1048576,IF(OR($B505="STD. DEVIATION",$C$1=1),$A505,$A505+1),COLUMN('1-DATA'!AG503)),IF($B505="STD. DEVIATION",2,$F$1))))</f>
        <v/>
      </c>
      <c r="AI505" s="1" t="str">
        <f>IF(OR($B505="",AI$7=""),"",IF($B505="MEANS",INDEX('1-DATA'!$1:$1048576,$A504-1,COLUMN('1-DATA'!AH503)),ROUND(INDEX('1-DATA'!$1:$1048576,IF(OR($B505="STD. DEVIATION",$C$1=1),$A505,$A505+1),COLUMN('1-DATA'!AH503)),IF($B505="STD. DEVIATION",2,$F$1))))</f>
        <v/>
      </c>
      <c r="AJ505" s="1" t="str">
        <f>IF(OR($B505="",AJ$7=""),"",IF($B505="MEANS",INDEX('1-DATA'!$1:$1048576,$A504-1,COLUMN('1-DATA'!AI503)),ROUND(INDEX('1-DATA'!$1:$1048576,IF(OR($B505="STD. DEVIATION",$C$1=1),$A505,$A505+1),COLUMN('1-DATA'!AI503)),IF($B505="STD. DEVIATION",2,$F$1))))</f>
        <v/>
      </c>
      <c r="AK505" s="1" t="str">
        <f>IF(OR($B505="",AK$7=""),"",IF($B505="MEANS",INDEX('1-DATA'!$1:$1048576,$A504-1,COLUMN('1-DATA'!AJ503)),ROUND(INDEX('1-DATA'!$1:$1048576,IF(OR($B505="STD. DEVIATION",$C$1=1),$A505,$A505+1),COLUMN('1-DATA'!AJ503)),IF($B505="STD. DEVIATION",2,$F$1))))</f>
        <v/>
      </c>
      <c r="AL505" s="1" t="str">
        <f>IF(OR($B505="",AL$7=""),"",IF($B505="MEANS",INDEX('1-DATA'!$1:$1048576,$A504-1,COLUMN('1-DATA'!AK503)),ROUND(INDEX('1-DATA'!$1:$1048576,IF(OR($B505="STD. DEVIATION",$C$1=1),$A505,$A505+1),COLUMN('1-DATA'!AK503)),IF($B505="STD. DEVIATION",2,$F$1))))</f>
        <v/>
      </c>
      <c r="AM505" s="1" t="str">
        <f>IF(OR($B505="",AM$7=""),"",IF($B505="MEANS",INDEX('1-DATA'!$1:$1048576,$A504-1,COLUMN('1-DATA'!AL503)),ROUND(INDEX('1-DATA'!$1:$1048576,IF(OR($B505="STD. DEVIATION",$C$1=1),$A505,$A505+1),COLUMN('1-DATA'!AL503)),IF($B505="STD. DEVIATION",2,$F$1))))</f>
        <v/>
      </c>
      <c r="AN505" s="1" t="str">
        <f>IF(OR($B505="",AN$7=""),"",IF($B505="MEANS",INDEX('1-DATA'!$1:$1048576,$A504-1,COLUMN('1-DATA'!AM503)),ROUND(INDEX('1-DATA'!$1:$1048576,IF(OR($B505="STD. DEVIATION",$C$1=1),$A505,$A505+1),COLUMN('1-DATA'!AM503)),IF($B505="STD. DEVIATION",2,$F$1))))</f>
        <v/>
      </c>
      <c r="AO505" s="1" t="str">
        <f>IF(OR($B505="",AO$7=""),"",IF($B505="MEANS",INDEX('1-DATA'!$1:$1048576,$A504-1,COLUMN('1-DATA'!AN503)),ROUND(INDEX('1-DATA'!$1:$1048576,IF(OR($B505="STD. DEVIATION",$C$1=1),$A505,$A505+1),COLUMN('1-DATA'!AN503)),IF($B505="STD. DEVIATION",2,$F$1))))</f>
        <v/>
      </c>
      <c r="AP505" s="1" t="str">
        <f>IF(OR($B505="",AP$7=""),"",IF($B505="MEANS",INDEX('1-DATA'!$1:$1048576,$A504-1,COLUMN('1-DATA'!AO503)),ROUND(INDEX('1-DATA'!$1:$1048576,IF(OR($B505="STD. DEVIATION",$C$1=1),$A505,$A505+1),COLUMN('1-DATA'!AO503)),IF($B505="STD. DEVIATION",2,$F$1))))</f>
        <v/>
      </c>
      <c r="AQ505" s="1" t="str">
        <f>IF(OR($B505="",AQ$7=""),"",IF($B505="MEANS",INDEX('1-DATA'!$1:$1048576,$A504-1,COLUMN('1-DATA'!AP503)),ROUND(INDEX('1-DATA'!$1:$1048576,IF(OR($B505="STD. DEVIATION",$C$1=1),$A505,$A505+1),COLUMN('1-DATA'!AP503)),IF($B505="STD. DEVIATION",2,$F$1))))</f>
        <v/>
      </c>
      <c r="AR505" s="1" t="str">
        <f>IF(OR($B505="",AR$7=""),"",IF($B505="MEANS",INDEX('1-DATA'!$1:$1048576,$A504-1,COLUMN('1-DATA'!AQ503)),ROUND(INDEX('1-DATA'!$1:$1048576,IF(OR($B505="STD. DEVIATION",$C$1=1),$A505,$A505+1),COLUMN('1-DATA'!AQ503)),IF($B505="STD. DEVIATION",2,$F$1))))</f>
        <v/>
      </c>
      <c r="AS505" s="1" t="str">
        <f>IF(OR($B505="",AS$7=""),"",IF($B505="MEANS",INDEX('1-DATA'!$1:$1048576,$A504-1,COLUMN('1-DATA'!AR503)),ROUND(INDEX('1-DATA'!$1:$1048576,IF(OR($B505="STD. DEVIATION",$C$1=1),$A505,$A505+1),COLUMN('1-DATA'!AR503)),IF($B505="STD. DEVIATION",2,$F$1))))</f>
        <v/>
      </c>
      <c r="AT505" s="1" t="str">
        <f>IF(OR($B505="",AT$7=""),"",IF($B505="MEANS",INDEX('1-DATA'!$1:$1048576,$A504-1,COLUMN('1-DATA'!AS503)),ROUND(INDEX('1-DATA'!$1:$1048576,IF(OR($B505="STD. DEVIATION",$C$1=1),$A505,$A505+1),COLUMN('1-DATA'!AS503)),IF($B505="STD. DEVIATION",2,$F$1))))</f>
        <v/>
      </c>
      <c r="AU505" s="1" t="str">
        <f>IF(OR($B505="",AU$7=""),"",IF($B505="MEANS",INDEX('1-DATA'!$1:$1048576,$A504-1,COLUMN('1-DATA'!AT503)),ROUND(INDEX('1-DATA'!$1:$1048576,IF(OR($B505="STD. DEVIATION",$C$1=1),$A505,$A505+1),COLUMN('1-DATA'!AT503)),IF($B505="STD. DEVIATION",2,$F$1))))</f>
        <v/>
      </c>
      <c r="AV505" s="1" t="str">
        <f>IF(OR($B505="",AV$7=""),"",IF($B505="MEANS",INDEX('1-DATA'!$1:$1048576,$A504-1,COLUMN('1-DATA'!AU503)),ROUND(INDEX('1-DATA'!$1:$1048576,IF(OR($B505="STD. DEVIATION",$C$1=1),$A505,$A505+1),COLUMN('1-DATA'!AU503)),IF($B505="STD. DEVIATION",2,$F$1))))</f>
        <v/>
      </c>
      <c r="AW505" s="1" t="str">
        <f>IF(OR($B505="",AW$7=""),"",IF($B505="MEANS",INDEX('1-DATA'!$1:$1048576,$A504-1,COLUMN('1-DATA'!AV503)),ROUND(INDEX('1-DATA'!$1:$1048576,IF(OR($B505="STD. DEVIATION",$C$1=1),$A505,$A505+1),COLUMN('1-DATA'!AV503)),IF($B505="STD. DEVIATION",2,$F$1))))</f>
        <v/>
      </c>
      <c r="AX505" s="1" t="str">
        <f>IF(OR($B505="",AX$7=""),"",IF($B505="MEANS",INDEX('1-DATA'!$1:$1048576,$A504-1,COLUMN('1-DATA'!AW503)),ROUND(INDEX('1-DATA'!$1:$1048576,IF(OR($B505="STD. DEVIATION",$C$1=1),$A505,$A505+1),COLUMN('1-DATA'!AW503)),IF($B505="STD. DEVIATION",2,$F$1))))</f>
        <v/>
      </c>
      <c r="AY505" s="1" t="str">
        <f>IF(OR($B505="",AY$7=""),"",IF($B505="MEANS",INDEX('1-DATA'!$1:$1048576,$A504-1,COLUMN('1-DATA'!AX503)),ROUND(INDEX('1-DATA'!$1:$1048576,IF(OR($B505="STD. DEVIATION",$C$1=1),$A505,$A505+1),COLUMN('1-DATA'!AX503)),IF($B505="STD. DEVIATION",2,$F$1))))</f>
        <v/>
      </c>
      <c r="AZ505" s="1" t="str">
        <f>IF(OR($B505="",AZ$7=""),"",IF($B505="MEANS",INDEX('1-DATA'!$1:$1048576,$A504-1,COLUMN('1-DATA'!AY503)),ROUND(INDEX('1-DATA'!$1:$1048576,IF(OR($B505="STD. DEVIATION",$C$1=1),$A505,$A505+1),COLUMN('1-DATA'!AY503)),IF($B505="STD. DEVIATION",2,$F$1))))</f>
        <v/>
      </c>
    </row>
    <row r="506" spans="1:52" x14ac:dyDescent="0.25">
      <c r="A506" s="11">
        <f t="shared" si="8"/>
        <v>1504</v>
      </c>
      <c r="B506" s="1" t="str">
        <f>IF(B505="STD. DEVIATION",INDEX('1-DATA'!$1:$1048576,$A505-1,1),IF(INDEX('1-DATA'!$1:$1048576,$A506,1)&lt;&gt;"",INDEX('1-DATA'!$1:$1048576,$A506,1),""))</f>
        <v/>
      </c>
      <c r="C506" s="1" t="str">
        <f>IF(OR($B506="",C$7=""),"",IF($B506="MEANS",INDEX('1-DATA'!$1:$1048576,$A505-1,COLUMN('1-DATA'!B504)),ROUND(INDEX('1-DATA'!$1:$1048576,IF(OR($B506="STD. DEVIATION",$C$1=1),$A506,$A506+1),COLUMN('1-DATA'!B504)),IF($B506="STD. DEVIATION",2,$F$1))))</f>
        <v/>
      </c>
      <c r="D506" s="1" t="str">
        <f>IF(OR($B506="",D$7=""),"",IF($B506="MEANS",INDEX('1-DATA'!$1:$1048576,$A505-1,COLUMN('1-DATA'!C504)),ROUND(INDEX('1-DATA'!$1:$1048576,IF(OR($B506="STD. DEVIATION",$C$1=1),$A506,$A506+1),COLUMN('1-DATA'!C504)),IF($B506="STD. DEVIATION",2,$F$1))))</f>
        <v/>
      </c>
      <c r="E506" s="1" t="str">
        <f>IF(OR($B506="",E$7=""),"",IF($B506="MEANS",INDEX('1-DATA'!$1:$1048576,$A505-1,COLUMN('1-DATA'!D504)),ROUND(INDEX('1-DATA'!$1:$1048576,IF(OR($B506="STD. DEVIATION",$C$1=1),$A506,$A506+1),COLUMN('1-DATA'!D504)),IF($B506="STD. DEVIATION",2,$F$1))))</f>
        <v/>
      </c>
      <c r="F506" s="1" t="str">
        <f>IF(OR($B506="",F$7=""),"",IF($B506="MEANS",INDEX('1-DATA'!$1:$1048576,$A505-1,COLUMN('1-DATA'!E504)),ROUND(INDEX('1-DATA'!$1:$1048576,IF(OR($B506="STD. DEVIATION",$C$1=1),$A506,$A506+1),COLUMN('1-DATA'!E504)),IF($B506="STD. DEVIATION",2,$F$1))))</f>
        <v/>
      </c>
      <c r="G506" s="1" t="str">
        <f>IF(OR($B506="",G$7=""),"",IF($B506="MEANS",INDEX('1-DATA'!$1:$1048576,$A505-1,COLUMN('1-DATA'!F504)),ROUND(INDEX('1-DATA'!$1:$1048576,IF(OR($B506="STD. DEVIATION",$C$1=1),$A506,$A506+1),COLUMN('1-DATA'!F504)),IF($B506="STD. DEVIATION",2,$F$1))))</f>
        <v/>
      </c>
      <c r="H506" s="1" t="str">
        <f>IF(OR($B506="",H$7=""),"",IF($B506="MEANS",INDEX('1-DATA'!$1:$1048576,$A505-1,COLUMN('1-DATA'!G504)),ROUND(INDEX('1-DATA'!$1:$1048576,IF(OR($B506="STD. DEVIATION",$C$1=1),$A506,$A506+1),COLUMN('1-DATA'!G504)),IF($B506="STD. DEVIATION",2,$F$1))))</f>
        <v/>
      </c>
      <c r="I506" s="1" t="str">
        <f>IF(OR($B506="",I$7=""),"",IF($B506="MEANS",INDEX('1-DATA'!$1:$1048576,$A505-1,COLUMN('1-DATA'!H504)),ROUND(INDEX('1-DATA'!$1:$1048576,IF(OR($B506="STD. DEVIATION",$C$1=1),$A506,$A506+1),COLUMN('1-DATA'!H504)),IF($B506="STD. DEVIATION",2,$F$1))))</f>
        <v/>
      </c>
      <c r="J506" s="1" t="str">
        <f>IF(OR($B506="",J$7=""),"",IF($B506="MEANS",INDEX('1-DATA'!$1:$1048576,$A505-1,COLUMN('1-DATA'!I504)),ROUND(INDEX('1-DATA'!$1:$1048576,IF(OR($B506="STD. DEVIATION",$C$1=1),$A506,$A506+1),COLUMN('1-DATA'!I504)),IF($B506="STD. DEVIATION",2,$F$1))))</f>
        <v/>
      </c>
      <c r="K506" s="1" t="str">
        <f>IF(OR($B506="",K$7=""),"",IF($B506="MEANS",INDEX('1-DATA'!$1:$1048576,$A505-1,COLUMN('1-DATA'!J504)),ROUND(INDEX('1-DATA'!$1:$1048576,IF(OR($B506="STD. DEVIATION",$C$1=1),$A506,$A506+1),COLUMN('1-DATA'!J504)),IF($B506="STD. DEVIATION",2,$F$1))))</f>
        <v/>
      </c>
      <c r="L506" s="1" t="str">
        <f>IF(OR($B506="",L$7=""),"",IF($B506="MEANS",INDEX('1-DATA'!$1:$1048576,$A505-1,COLUMN('1-DATA'!K504)),ROUND(INDEX('1-DATA'!$1:$1048576,IF(OR($B506="STD. DEVIATION",$C$1=1),$A506,$A506+1),COLUMN('1-DATA'!K504)),IF($B506="STD. DEVIATION",2,$F$1))))</f>
        <v/>
      </c>
      <c r="M506" s="1" t="str">
        <f>IF(OR($B506="",M$7=""),"",IF($B506="MEANS",INDEX('1-DATA'!$1:$1048576,$A505-1,COLUMN('1-DATA'!L504)),ROUND(INDEX('1-DATA'!$1:$1048576,IF(OR($B506="STD. DEVIATION",$C$1=1),$A506,$A506+1),COLUMN('1-DATA'!L504)),IF($B506="STD. DEVIATION",2,$F$1))))</f>
        <v/>
      </c>
      <c r="N506" s="1" t="str">
        <f>IF(OR($B506="",N$7=""),"",IF($B506="MEANS",INDEX('1-DATA'!$1:$1048576,$A505-1,COLUMN('1-DATA'!M504)),ROUND(INDEX('1-DATA'!$1:$1048576,IF(OR($B506="STD. DEVIATION",$C$1=1),$A506,$A506+1),COLUMN('1-DATA'!M504)),IF($B506="STD. DEVIATION",2,$F$1))))</f>
        <v/>
      </c>
      <c r="O506" s="1" t="str">
        <f>IF(OR($B506="",O$7=""),"",IF($B506="MEANS",INDEX('1-DATA'!$1:$1048576,$A505-1,COLUMN('1-DATA'!N504)),ROUND(INDEX('1-DATA'!$1:$1048576,IF(OR($B506="STD. DEVIATION",$C$1=1),$A506,$A506+1),COLUMN('1-DATA'!N504)),IF($B506="STD. DEVIATION",2,$F$1))))</f>
        <v/>
      </c>
      <c r="P506" s="1" t="str">
        <f>IF(OR($B506="",P$7=""),"",IF($B506="MEANS",INDEX('1-DATA'!$1:$1048576,$A505-1,COLUMN('1-DATA'!O504)),ROUND(INDEX('1-DATA'!$1:$1048576,IF(OR($B506="STD. DEVIATION",$C$1=1),$A506,$A506+1),COLUMN('1-DATA'!O504)),IF($B506="STD. DEVIATION",2,$F$1))))</f>
        <v/>
      </c>
      <c r="Q506" s="1" t="str">
        <f>IF(OR($B506="",Q$7=""),"",IF($B506="MEANS",INDEX('1-DATA'!$1:$1048576,$A505-1,COLUMN('1-DATA'!P504)),ROUND(INDEX('1-DATA'!$1:$1048576,IF(OR($B506="STD. DEVIATION",$C$1=1),$A506,$A506+1),COLUMN('1-DATA'!P504)),IF($B506="STD. DEVIATION",2,$F$1))))</f>
        <v/>
      </c>
      <c r="R506" s="1" t="str">
        <f>IF(OR($B506="",R$7=""),"",IF($B506="MEANS",INDEX('1-DATA'!$1:$1048576,$A505-1,COLUMN('1-DATA'!Q504)),ROUND(INDEX('1-DATA'!$1:$1048576,IF(OR($B506="STD. DEVIATION",$C$1=1),$A506,$A506+1),COLUMN('1-DATA'!Q504)),IF($B506="STD. DEVIATION",2,$F$1))))</f>
        <v/>
      </c>
      <c r="S506" s="1" t="str">
        <f>IF(OR($B506="",S$7=""),"",IF($B506="MEANS",INDEX('1-DATA'!$1:$1048576,$A505-1,COLUMN('1-DATA'!R504)),ROUND(INDEX('1-DATA'!$1:$1048576,IF(OR($B506="STD. DEVIATION",$C$1=1),$A506,$A506+1),COLUMN('1-DATA'!R504)),IF($B506="STD. DEVIATION",2,$F$1))))</f>
        <v/>
      </c>
      <c r="T506" s="1" t="str">
        <f>IF(OR($B506="",T$7=""),"",IF($B506="MEANS",INDEX('1-DATA'!$1:$1048576,$A505-1,COLUMN('1-DATA'!S504)),ROUND(INDEX('1-DATA'!$1:$1048576,IF(OR($B506="STD. DEVIATION",$C$1=1),$A506,$A506+1),COLUMN('1-DATA'!S504)),IF($B506="STD. DEVIATION",2,$F$1))))</f>
        <v/>
      </c>
      <c r="U506" s="1" t="str">
        <f>IF(OR($B506="",U$7=""),"",IF($B506="MEANS",INDEX('1-DATA'!$1:$1048576,$A505-1,COLUMN('1-DATA'!T504)),ROUND(INDEX('1-DATA'!$1:$1048576,IF(OR($B506="STD. DEVIATION",$C$1=1),$A506,$A506+1),COLUMN('1-DATA'!T504)),IF($B506="STD. DEVIATION",2,$F$1))))</f>
        <v/>
      </c>
      <c r="V506" s="1" t="str">
        <f>IF(OR($B506="",V$7=""),"",IF($B506="MEANS",INDEX('1-DATA'!$1:$1048576,$A505-1,COLUMN('1-DATA'!U504)),ROUND(INDEX('1-DATA'!$1:$1048576,IF(OR($B506="STD. DEVIATION",$C$1=1),$A506,$A506+1),COLUMN('1-DATA'!U504)),IF($B506="STD. DEVIATION",2,$F$1))))</f>
        <v/>
      </c>
      <c r="W506" s="1" t="str">
        <f>IF(OR($B506="",W$7=""),"",IF($B506="MEANS",INDEX('1-DATA'!$1:$1048576,$A505-1,COLUMN('1-DATA'!V504)),ROUND(INDEX('1-DATA'!$1:$1048576,IF(OR($B506="STD. DEVIATION",$C$1=1),$A506,$A506+1),COLUMN('1-DATA'!V504)),IF($B506="STD. DEVIATION",2,$F$1))))</f>
        <v/>
      </c>
      <c r="X506" s="1" t="str">
        <f>IF(OR($B506="",X$7=""),"",IF($B506="MEANS",INDEX('1-DATA'!$1:$1048576,$A505-1,COLUMN('1-DATA'!W504)),ROUND(INDEX('1-DATA'!$1:$1048576,IF(OR($B506="STD. DEVIATION",$C$1=1),$A506,$A506+1),COLUMN('1-DATA'!W504)),IF($B506="STD. DEVIATION",2,$F$1))))</f>
        <v/>
      </c>
      <c r="Y506" s="1" t="str">
        <f>IF(OR($B506="",Y$7=""),"",IF($B506="MEANS",INDEX('1-DATA'!$1:$1048576,$A505-1,COLUMN('1-DATA'!X504)),ROUND(INDEX('1-DATA'!$1:$1048576,IF(OR($B506="STD. DEVIATION",$C$1=1),$A506,$A506+1),COLUMN('1-DATA'!X504)),IF($B506="STD. DEVIATION",2,$F$1))))</f>
        <v/>
      </c>
      <c r="Z506" s="1" t="str">
        <f>IF(OR($B506="",Z$7=""),"",IF($B506="MEANS",INDEX('1-DATA'!$1:$1048576,$A505-1,COLUMN('1-DATA'!Y504)),ROUND(INDEX('1-DATA'!$1:$1048576,IF(OR($B506="STD. DEVIATION",$C$1=1),$A506,$A506+1),COLUMN('1-DATA'!Y504)),IF($B506="STD. DEVIATION",2,$F$1))))</f>
        <v/>
      </c>
      <c r="AA506" s="1" t="str">
        <f>IF(OR($B506="",AA$7=""),"",IF($B506="MEANS",INDEX('1-DATA'!$1:$1048576,$A505-1,COLUMN('1-DATA'!Z504)),ROUND(INDEX('1-DATA'!$1:$1048576,IF(OR($B506="STD. DEVIATION",$C$1=1),$A506,$A506+1),COLUMN('1-DATA'!Z504)),IF($B506="STD. DEVIATION",2,$F$1))))</f>
        <v/>
      </c>
      <c r="AB506" s="1" t="str">
        <f>IF(OR($B506="",AB$7=""),"",IF($B506="MEANS",INDEX('1-DATA'!$1:$1048576,$A505-1,COLUMN('1-DATA'!AA504)),ROUND(INDEX('1-DATA'!$1:$1048576,IF(OR($B506="STD. DEVIATION",$C$1=1),$A506,$A506+1),COLUMN('1-DATA'!AA504)),IF($B506="STD. DEVIATION",2,$F$1))))</f>
        <v/>
      </c>
      <c r="AC506" s="1" t="str">
        <f>IF(OR($B506="",AC$7=""),"",IF($B506="MEANS",INDEX('1-DATA'!$1:$1048576,$A505-1,COLUMN('1-DATA'!AB504)),ROUND(INDEX('1-DATA'!$1:$1048576,IF(OR($B506="STD. DEVIATION",$C$1=1),$A506,$A506+1),COLUMN('1-DATA'!AB504)),IF($B506="STD. DEVIATION",2,$F$1))))</f>
        <v/>
      </c>
      <c r="AD506" s="1" t="str">
        <f>IF(OR($B506="",AD$7=""),"",IF($B506="MEANS",INDEX('1-DATA'!$1:$1048576,$A505-1,COLUMN('1-DATA'!AC504)),ROUND(INDEX('1-DATA'!$1:$1048576,IF(OR($B506="STD. DEVIATION",$C$1=1),$A506,$A506+1),COLUMN('1-DATA'!AC504)),IF($B506="STD. DEVIATION",2,$F$1))))</f>
        <v/>
      </c>
      <c r="AE506" s="1" t="str">
        <f>IF(OR($B506="",AE$7=""),"",IF($B506="MEANS",INDEX('1-DATA'!$1:$1048576,$A505-1,COLUMN('1-DATA'!AD504)),ROUND(INDEX('1-DATA'!$1:$1048576,IF(OR($B506="STD. DEVIATION",$C$1=1),$A506,$A506+1),COLUMN('1-DATA'!AD504)),IF($B506="STD. DEVIATION",2,$F$1))))</f>
        <v/>
      </c>
      <c r="AF506" s="1" t="str">
        <f>IF(OR($B506="",AF$7=""),"",IF($B506="MEANS",INDEX('1-DATA'!$1:$1048576,$A505-1,COLUMN('1-DATA'!AE504)),ROUND(INDEX('1-DATA'!$1:$1048576,IF(OR($B506="STD. DEVIATION",$C$1=1),$A506,$A506+1),COLUMN('1-DATA'!AE504)),IF($B506="STD. DEVIATION",2,$F$1))))</f>
        <v/>
      </c>
      <c r="AG506" s="1" t="str">
        <f>IF(OR($B506="",AG$7=""),"",IF($B506="MEANS",INDEX('1-DATA'!$1:$1048576,$A505-1,COLUMN('1-DATA'!AF504)),ROUND(INDEX('1-DATA'!$1:$1048576,IF(OR($B506="STD. DEVIATION",$C$1=1),$A506,$A506+1),COLUMN('1-DATA'!AF504)),IF($B506="STD. DEVIATION",2,$F$1))))</f>
        <v/>
      </c>
      <c r="AH506" s="1" t="str">
        <f>IF(OR($B506="",AH$7=""),"",IF($B506="MEANS",INDEX('1-DATA'!$1:$1048576,$A505-1,COLUMN('1-DATA'!AG504)),ROUND(INDEX('1-DATA'!$1:$1048576,IF(OR($B506="STD. DEVIATION",$C$1=1),$A506,$A506+1),COLUMN('1-DATA'!AG504)),IF($B506="STD. DEVIATION",2,$F$1))))</f>
        <v/>
      </c>
      <c r="AI506" s="1" t="str">
        <f>IF(OR($B506="",AI$7=""),"",IF($B506="MEANS",INDEX('1-DATA'!$1:$1048576,$A505-1,COLUMN('1-DATA'!AH504)),ROUND(INDEX('1-DATA'!$1:$1048576,IF(OR($B506="STD. DEVIATION",$C$1=1),$A506,$A506+1),COLUMN('1-DATA'!AH504)),IF($B506="STD. DEVIATION",2,$F$1))))</f>
        <v/>
      </c>
      <c r="AJ506" s="1" t="str">
        <f>IF(OR($B506="",AJ$7=""),"",IF($B506="MEANS",INDEX('1-DATA'!$1:$1048576,$A505-1,COLUMN('1-DATA'!AI504)),ROUND(INDEX('1-DATA'!$1:$1048576,IF(OR($B506="STD. DEVIATION",$C$1=1),$A506,$A506+1),COLUMN('1-DATA'!AI504)),IF($B506="STD. DEVIATION",2,$F$1))))</f>
        <v/>
      </c>
      <c r="AK506" s="1" t="str">
        <f>IF(OR($B506="",AK$7=""),"",IF($B506="MEANS",INDEX('1-DATA'!$1:$1048576,$A505-1,COLUMN('1-DATA'!AJ504)),ROUND(INDEX('1-DATA'!$1:$1048576,IF(OR($B506="STD. DEVIATION",$C$1=1),$A506,$A506+1),COLUMN('1-DATA'!AJ504)),IF($B506="STD. DEVIATION",2,$F$1))))</f>
        <v/>
      </c>
      <c r="AL506" s="1" t="str">
        <f>IF(OR($B506="",AL$7=""),"",IF($B506="MEANS",INDEX('1-DATA'!$1:$1048576,$A505-1,COLUMN('1-DATA'!AK504)),ROUND(INDEX('1-DATA'!$1:$1048576,IF(OR($B506="STD. DEVIATION",$C$1=1),$A506,$A506+1),COLUMN('1-DATA'!AK504)),IF($B506="STD. DEVIATION",2,$F$1))))</f>
        <v/>
      </c>
      <c r="AM506" s="1" t="str">
        <f>IF(OR($B506="",AM$7=""),"",IF($B506="MEANS",INDEX('1-DATA'!$1:$1048576,$A505-1,COLUMN('1-DATA'!AL504)),ROUND(INDEX('1-DATA'!$1:$1048576,IF(OR($B506="STD. DEVIATION",$C$1=1),$A506,$A506+1),COLUMN('1-DATA'!AL504)),IF($B506="STD. DEVIATION",2,$F$1))))</f>
        <v/>
      </c>
      <c r="AN506" s="1" t="str">
        <f>IF(OR($B506="",AN$7=""),"",IF($B506="MEANS",INDEX('1-DATA'!$1:$1048576,$A505-1,COLUMN('1-DATA'!AM504)),ROUND(INDEX('1-DATA'!$1:$1048576,IF(OR($B506="STD. DEVIATION",$C$1=1),$A506,$A506+1),COLUMN('1-DATA'!AM504)),IF($B506="STD. DEVIATION",2,$F$1))))</f>
        <v/>
      </c>
      <c r="AO506" s="1" t="str">
        <f>IF(OR($B506="",AO$7=""),"",IF($B506="MEANS",INDEX('1-DATA'!$1:$1048576,$A505-1,COLUMN('1-DATA'!AN504)),ROUND(INDEX('1-DATA'!$1:$1048576,IF(OR($B506="STD. DEVIATION",$C$1=1),$A506,$A506+1),COLUMN('1-DATA'!AN504)),IF($B506="STD. DEVIATION",2,$F$1))))</f>
        <v/>
      </c>
      <c r="AP506" s="1" t="str">
        <f>IF(OR($B506="",AP$7=""),"",IF($B506="MEANS",INDEX('1-DATA'!$1:$1048576,$A505-1,COLUMN('1-DATA'!AO504)),ROUND(INDEX('1-DATA'!$1:$1048576,IF(OR($B506="STD. DEVIATION",$C$1=1),$A506,$A506+1),COLUMN('1-DATA'!AO504)),IF($B506="STD. DEVIATION",2,$F$1))))</f>
        <v/>
      </c>
      <c r="AQ506" s="1" t="str">
        <f>IF(OR($B506="",AQ$7=""),"",IF($B506="MEANS",INDEX('1-DATA'!$1:$1048576,$A505-1,COLUMN('1-DATA'!AP504)),ROUND(INDEX('1-DATA'!$1:$1048576,IF(OR($B506="STD. DEVIATION",$C$1=1),$A506,$A506+1),COLUMN('1-DATA'!AP504)),IF($B506="STD. DEVIATION",2,$F$1))))</f>
        <v/>
      </c>
      <c r="AR506" s="1" t="str">
        <f>IF(OR($B506="",AR$7=""),"",IF($B506="MEANS",INDEX('1-DATA'!$1:$1048576,$A505-1,COLUMN('1-DATA'!AQ504)),ROUND(INDEX('1-DATA'!$1:$1048576,IF(OR($B506="STD. DEVIATION",$C$1=1),$A506,$A506+1),COLUMN('1-DATA'!AQ504)),IF($B506="STD. DEVIATION",2,$F$1))))</f>
        <v/>
      </c>
      <c r="AS506" s="1" t="str">
        <f>IF(OR($B506="",AS$7=""),"",IF($B506="MEANS",INDEX('1-DATA'!$1:$1048576,$A505-1,COLUMN('1-DATA'!AR504)),ROUND(INDEX('1-DATA'!$1:$1048576,IF(OR($B506="STD. DEVIATION",$C$1=1),$A506,$A506+1),COLUMN('1-DATA'!AR504)),IF($B506="STD. DEVIATION",2,$F$1))))</f>
        <v/>
      </c>
      <c r="AT506" s="1" t="str">
        <f>IF(OR($B506="",AT$7=""),"",IF($B506="MEANS",INDEX('1-DATA'!$1:$1048576,$A505-1,COLUMN('1-DATA'!AS504)),ROUND(INDEX('1-DATA'!$1:$1048576,IF(OR($B506="STD. DEVIATION",$C$1=1),$A506,$A506+1),COLUMN('1-DATA'!AS504)),IF($B506="STD. DEVIATION",2,$F$1))))</f>
        <v/>
      </c>
      <c r="AU506" s="1" t="str">
        <f>IF(OR($B506="",AU$7=""),"",IF($B506="MEANS",INDEX('1-DATA'!$1:$1048576,$A505-1,COLUMN('1-DATA'!AT504)),ROUND(INDEX('1-DATA'!$1:$1048576,IF(OR($B506="STD. DEVIATION",$C$1=1),$A506,$A506+1),COLUMN('1-DATA'!AT504)),IF($B506="STD. DEVIATION",2,$F$1))))</f>
        <v/>
      </c>
      <c r="AV506" s="1" t="str">
        <f>IF(OR($B506="",AV$7=""),"",IF($B506="MEANS",INDEX('1-DATA'!$1:$1048576,$A505-1,COLUMN('1-DATA'!AU504)),ROUND(INDEX('1-DATA'!$1:$1048576,IF(OR($B506="STD. DEVIATION",$C$1=1),$A506,$A506+1),COLUMN('1-DATA'!AU504)),IF($B506="STD. DEVIATION",2,$F$1))))</f>
        <v/>
      </c>
      <c r="AW506" s="1" t="str">
        <f>IF(OR($B506="",AW$7=""),"",IF($B506="MEANS",INDEX('1-DATA'!$1:$1048576,$A505-1,COLUMN('1-DATA'!AV504)),ROUND(INDEX('1-DATA'!$1:$1048576,IF(OR($B506="STD. DEVIATION",$C$1=1),$A506,$A506+1),COLUMN('1-DATA'!AV504)),IF($B506="STD. DEVIATION",2,$F$1))))</f>
        <v/>
      </c>
      <c r="AX506" s="1" t="str">
        <f>IF(OR($B506="",AX$7=""),"",IF($B506="MEANS",INDEX('1-DATA'!$1:$1048576,$A505-1,COLUMN('1-DATA'!AW504)),ROUND(INDEX('1-DATA'!$1:$1048576,IF(OR($B506="STD. DEVIATION",$C$1=1),$A506,$A506+1),COLUMN('1-DATA'!AW504)),IF($B506="STD. DEVIATION",2,$F$1))))</f>
        <v/>
      </c>
      <c r="AY506" s="1" t="str">
        <f>IF(OR($B506="",AY$7=""),"",IF($B506="MEANS",INDEX('1-DATA'!$1:$1048576,$A505-1,COLUMN('1-DATA'!AX504)),ROUND(INDEX('1-DATA'!$1:$1048576,IF(OR($B506="STD. DEVIATION",$C$1=1),$A506,$A506+1),COLUMN('1-DATA'!AX504)),IF($B506="STD. DEVIATION",2,$F$1))))</f>
        <v/>
      </c>
      <c r="AZ506" s="1" t="str">
        <f>IF(OR($B506="",AZ$7=""),"",IF($B506="MEANS",INDEX('1-DATA'!$1:$1048576,$A505-1,COLUMN('1-DATA'!AY504)),ROUND(INDEX('1-DATA'!$1:$1048576,IF(OR($B506="STD. DEVIATION",$C$1=1),$A506,$A506+1),COLUMN('1-DATA'!AY504)),IF($B506="STD. DEVIATION",2,$F$1))))</f>
        <v/>
      </c>
    </row>
    <row r="507" spans="1:52" x14ac:dyDescent="0.25">
      <c r="A507" s="11">
        <f t="shared" si="8"/>
        <v>1507</v>
      </c>
      <c r="B507" s="1" t="str">
        <f>IF(B506="STD. DEVIATION",INDEX('1-DATA'!$1:$1048576,$A506-1,1),IF(INDEX('1-DATA'!$1:$1048576,$A507,1)&lt;&gt;"",INDEX('1-DATA'!$1:$1048576,$A507,1),""))</f>
        <v/>
      </c>
      <c r="C507" s="1" t="str">
        <f>IF(OR($B507="",C$7=""),"",IF($B507="MEANS",INDEX('1-DATA'!$1:$1048576,$A506-1,COLUMN('1-DATA'!B505)),ROUND(INDEX('1-DATA'!$1:$1048576,IF(OR($B507="STD. DEVIATION",$C$1=1),$A507,$A507+1),COLUMN('1-DATA'!B505)),IF($B507="STD. DEVIATION",2,$F$1))))</f>
        <v/>
      </c>
      <c r="D507" s="1" t="str">
        <f>IF(OR($B507="",D$7=""),"",IF($B507="MEANS",INDEX('1-DATA'!$1:$1048576,$A506-1,COLUMN('1-DATA'!C505)),ROUND(INDEX('1-DATA'!$1:$1048576,IF(OR($B507="STD. DEVIATION",$C$1=1),$A507,$A507+1),COLUMN('1-DATA'!C505)),IF($B507="STD. DEVIATION",2,$F$1))))</f>
        <v/>
      </c>
      <c r="E507" s="1" t="str">
        <f>IF(OR($B507="",E$7=""),"",IF($B507="MEANS",INDEX('1-DATA'!$1:$1048576,$A506-1,COLUMN('1-DATA'!D505)),ROUND(INDEX('1-DATA'!$1:$1048576,IF(OR($B507="STD. DEVIATION",$C$1=1),$A507,$A507+1),COLUMN('1-DATA'!D505)),IF($B507="STD. DEVIATION",2,$F$1))))</f>
        <v/>
      </c>
      <c r="F507" s="1" t="str">
        <f>IF(OR($B507="",F$7=""),"",IF($B507="MEANS",INDEX('1-DATA'!$1:$1048576,$A506-1,COLUMN('1-DATA'!E505)),ROUND(INDEX('1-DATA'!$1:$1048576,IF(OR($B507="STD. DEVIATION",$C$1=1),$A507,$A507+1),COLUMN('1-DATA'!E505)),IF($B507="STD. DEVIATION",2,$F$1))))</f>
        <v/>
      </c>
      <c r="G507" s="1" t="str">
        <f>IF(OR($B507="",G$7=""),"",IF($B507="MEANS",INDEX('1-DATA'!$1:$1048576,$A506-1,COLUMN('1-DATA'!F505)),ROUND(INDEX('1-DATA'!$1:$1048576,IF(OR($B507="STD. DEVIATION",$C$1=1),$A507,$A507+1),COLUMN('1-DATA'!F505)),IF($B507="STD. DEVIATION",2,$F$1))))</f>
        <v/>
      </c>
      <c r="H507" s="1" t="str">
        <f>IF(OR($B507="",H$7=""),"",IF($B507="MEANS",INDEX('1-DATA'!$1:$1048576,$A506-1,COLUMN('1-DATA'!G505)),ROUND(INDEX('1-DATA'!$1:$1048576,IF(OR($B507="STD. DEVIATION",$C$1=1),$A507,$A507+1),COLUMN('1-DATA'!G505)),IF($B507="STD. DEVIATION",2,$F$1))))</f>
        <v/>
      </c>
      <c r="I507" s="1" t="str">
        <f>IF(OR($B507="",I$7=""),"",IF($B507="MEANS",INDEX('1-DATA'!$1:$1048576,$A506-1,COLUMN('1-DATA'!H505)),ROUND(INDEX('1-DATA'!$1:$1048576,IF(OR($B507="STD. DEVIATION",$C$1=1),$A507,$A507+1),COLUMN('1-DATA'!H505)),IF($B507="STD. DEVIATION",2,$F$1))))</f>
        <v/>
      </c>
      <c r="J507" s="1" t="str">
        <f>IF(OR($B507="",J$7=""),"",IF($B507="MEANS",INDEX('1-DATA'!$1:$1048576,$A506-1,COLUMN('1-DATA'!I505)),ROUND(INDEX('1-DATA'!$1:$1048576,IF(OR($B507="STD. DEVIATION",$C$1=1),$A507,$A507+1),COLUMN('1-DATA'!I505)),IF($B507="STD. DEVIATION",2,$F$1))))</f>
        <v/>
      </c>
      <c r="K507" s="1" t="str">
        <f>IF(OR($B507="",K$7=""),"",IF($B507="MEANS",INDEX('1-DATA'!$1:$1048576,$A506-1,COLUMN('1-DATA'!J505)),ROUND(INDEX('1-DATA'!$1:$1048576,IF(OR($B507="STD. DEVIATION",$C$1=1),$A507,$A507+1),COLUMN('1-DATA'!J505)),IF($B507="STD. DEVIATION",2,$F$1))))</f>
        <v/>
      </c>
      <c r="L507" s="1" t="str">
        <f>IF(OR($B507="",L$7=""),"",IF($B507="MEANS",INDEX('1-DATA'!$1:$1048576,$A506-1,COLUMN('1-DATA'!K505)),ROUND(INDEX('1-DATA'!$1:$1048576,IF(OR($B507="STD. DEVIATION",$C$1=1),$A507,$A507+1),COLUMN('1-DATA'!K505)),IF($B507="STD. DEVIATION",2,$F$1))))</f>
        <v/>
      </c>
      <c r="M507" s="1" t="str">
        <f>IF(OR($B507="",M$7=""),"",IF($B507="MEANS",INDEX('1-DATA'!$1:$1048576,$A506-1,COLUMN('1-DATA'!L505)),ROUND(INDEX('1-DATA'!$1:$1048576,IF(OR($B507="STD. DEVIATION",$C$1=1),$A507,$A507+1),COLUMN('1-DATA'!L505)),IF($B507="STD. DEVIATION",2,$F$1))))</f>
        <v/>
      </c>
      <c r="N507" s="1" t="str">
        <f>IF(OR($B507="",N$7=""),"",IF($B507="MEANS",INDEX('1-DATA'!$1:$1048576,$A506-1,COLUMN('1-DATA'!M505)),ROUND(INDEX('1-DATA'!$1:$1048576,IF(OR($B507="STD. DEVIATION",$C$1=1),$A507,$A507+1),COLUMN('1-DATA'!M505)),IF($B507="STD. DEVIATION",2,$F$1))))</f>
        <v/>
      </c>
      <c r="O507" s="1" t="str">
        <f>IF(OR($B507="",O$7=""),"",IF($B507="MEANS",INDEX('1-DATA'!$1:$1048576,$A506-1,COLUMN('1-DATA'!N505)),ROUND(INDEX('1-DATA'!$1:$1048576,IF(OR($B507="STD. DEVIATION",$C$1=1),$A507,$A507+1),COLUMN('1-DATA'!N505)),IF($B507="STD. DEVIATION",2,$F$1))))</f>
        <v/>
      </c>
      <c r="P507" s="1" t="str">
        <f>IF(OR($B507="",P$7=""),"",IF($B507="MEANS",INDEX('1-DATA'!$1:$1048576,$A506-1,COLUMN('1-DATA'!O505)),ROUND(INDEX('1-DATA'!$1:$1048576,IF(OR($B507="STD. DEVIATION",$C$1=1),$A507,$A507+1),COLUMN('1-DATA'!O505)),IF($B507="STD. DEVIATION",2,$F$1))))</f>
        <v/>
      </c>
      <c r="Q507" s="1" t="str">
        <f>IF(OR($B507="",Q$7=""),"",IF($B507="MEANS",INDEX('1-DATA'!$1:$1048576,$A506-1,COLUMN('1-DATA'!P505)),ROUND(INDEX('1-DATA'!$1:$1048576,IF(OR($B507="STD. DEVIATION",$C$1=1),$A507,$A507+1),COLUMN('1-DATA'!P505)),IF($B507="STD. DEVIATION",2,$F$1))))</f>
        <v/>
      </c>
      <c r="R507" s="1" t="str">
        <f>IF(OR($B507="",R$7=""),"",IF($B507="MEANS",INDEX('1-DATA'!$1:$1048576,$A506-1,COLUMN('1-DATA'!Q505)),ROUND(INDEX('1-DATA'!$1:$1048576,IF(OR($B507="STD. DEVIATION",$C$1=1),$A507,$A507+1),COLUMN('1-DATA'!Q505)),IF($B507="STD. DEVIATION",2,$F$1))))</f>
        <v/>
      </c>
      <c r="S507" s="1" t="str">
        <f>IF(OR($B507="",S$7=""),"",IF($B507="MEANS",INDEX('1-DATA'!$1:$1048576,$A506-1,COLUMN('1-DATA'!R505)),ROUND(INDEX('1-DATA'!$1:$1048576,IF(OR($B507="STD. DEVIATION",$C$1=1),$A507,$A507+1),COLUMN('1-DATA'!R505)),IF($B507="STD. DEVIATION",2,$F$1))))</f>
        <v/>
      </c>
      <c r="T507" s="1" t="str">
        <f>IF(OR($B507="",T$7=""),"",IF($B507="MEANS",INDEX('1-DATA'!$1:$1048576,$A506-1,COLUMN('1-DATA'!S505)),ROUND(INDEX('1-DATA'!$1:$1048576,IF(OR($B507="STD. DEVIATION",$C$1=1),$A507,$A507+1),COLUMN('1-DATA'!S505)),IF($B507="STD. DEVIATION",2,$F$1))))</f>
        <v/>
      </c>
      <c r="U507" s="1" t="str">
        <f>IF(OR($B507="",U$7=""),"",IF($B507="MEANS",INDEX('1-DATA'!$1:$1048576,$A506-1,COLUMN('1-DATA'!T505)),ROUND(INDEX('1-DATA'!$1:$1048576,IF(OR($B507="STD. DEVIATION",$C$1=1),$A507,$A507+1),COLUMN('1-DATA'!T505)),IF($B507="STD. DEVIATION",2,$F$1))))</f>
        <v/>
      </c>
      <c r="V507" s="1" t="str">
        <f>IF(OR($B507="",V$7=""),"",IF($B507="MEANS",INDEX('1-DATA'!$1:$1048576,$A506-1,COLUMN('1-DATA'!U505)),ROUND(INDEX('1-DATA'!$1:$1048576,IF(OR($B507="STD. DEVIATION",$C$1=1),$A507,$A507+1),COLUMN('1-DATA'!U505)),IF($B507="STD. DEVIATION",2,$F$1))))</f>
        <v/>
      </c>
      <c r="W507" s="1" t="str">
        <f>IF(OR($B507="",W$7=""),"",IF($B507="MEANS",INDEX('1-DATA'!$1:$1048576,$A506-1,COLUMN('1-DATA'!V505)),ROUND(INDEX('1-DATA'!$1:$1048576,IF(OR($B507="STD. DEVIATION",$C$1=1),$A507,$A507+1),COLUMN('1-DATA'!V505)),IF($B507="STD. DEVIATION",2,$F$1))))</f>
        <v/>
      </c>
      <c r="X507" s="1" t="str">
        <f>IF(OR($B507="",X$7=""),"",IF($B507="MEANS",INDEX('1-DATA'!$1:$1048576,$A506-1,COLUMN('1-DATA'!W505)),ROUND(INDEX('1-DATA'!$1:$1048576,IF(OR($B507="STD. DEVIATION",$C$1=1),$A507,$A507+1),COLUMN('1-DATA'!W505)),IF($B507="STD. DEVIATION",2,$F$1))))</f>
        <v/>
      </c>
      <c r="Y507" s="1" t="str">
        <f>IF(OR($B507="",Y$7=""),"",IF($B507="MEANS",INDEX('1-DATA'!$1:$1048576,$A506-1,COLUMN('1-DATA'!X505)),ROUND(INDEX('1-DATA'!$1:$1048576,IF(OR($B507="STD. DEVIATION",$C$1=1),$A507,$A507+1),COLUMN('1-DATA'!X505)),IF($B507="STD. DEVIATION",2,$F$1))))</f>
        <v/>
      </c>
      <c r="Z507" s="1" t="str">
        <f>IF(OR($B507="",Z$7=""),"",IF($B507="MEANS",INDEX('1-DATA'!$1:$1048576,$A506-1,COLUMN('1-DATA'!Y505)),ROUND(INDEX('1-DATA'!$1:$1048576,IF(OR($B507="STD. DEVIATION",$C$1=1),$A507,$A507+1),COLUMN('1-DATA'!Y505)),IF($B507="STD. DEVIATION",2,$F$1))))</f>
        <v/>
      </c>
      <c r="AA507" s="1" t="str">
        <f>IF(OR($B507="",AA$7=""),"",IF($B507="MEANS",INDEX('1-DATA'!$1:$1048576,$A506-1,COLUMN('1-DATA'!Z505)),ROUND(INDEX('1-DATA'!$1:$1048576,IF(OR($B507="STD. DEVIATION",$C$1=1),$A507,$A507+1),COLUMN('1-DATA'!Z505)),IF($B507="STD. DEVIATION",2,$F$1))))</f>
        <v/>
      </c>
      <c r="AB507" s="1" t="str">
        <f>IF(OR($B507="",AB$7=""),"",IF($B507="MEANS",INDEX('1-DATA'!$1:$1048576,$A506-1,COLUMN('1-DATA'!AA505)),ROUND(INDEX('1-DATA'!$1:$1048576,IF(OR($B507="STD. DEVIATION",$C$1=1),$A507,$A507+1),COLUMN('1-DATA'!AA505)),IF($B507="STD. DEVIATION",2,$F$1))))</f>
        <v/>
      </c>
      <c r="AC507" s="1" t="str">
        <f>IF(OR($B507="",AC$7=""),"",IF($B507="MEANS",INDEX('1-DATA'!$1:$1048576,$A506-1,COLUMN('1-DATA'!AB505)),ROUND(INDEX('1-DATA'!$1:$1048576,IF(OR($B507="STD. DEVIATION",$C$1=1),$A507,$A507+1),COLUMN('1-DATA'!AB505)),IF($B507="STD. DEVIATION",2,$F$1))))</f>
        <v/>
      </c>
      <c r="AD507" s="1" t="str">
        <f>IF(OR($B507="",AD$7=""),"",IF($B507="MEANS",INDEX('1-DATA'!$1:$1048576,$A506-1,COLUMN('1-DATA'!AC505)),ROUND(INDEX('1-DATA'!$1:$1048576,IF(OR($B507="STD. DEVIATION",$C$1=1),$A507,$A507+1),COLUMN('1-DATA'!AC505)),IF($B507="STD. DEVIATION",2,$F$1))))</f>
        <v/>
      </c>
      <c r="AE507" s="1" t="str">
        <f>IF(OR($B507="",AE$7=""),"",IF($B507="MEANS",INDEX('1-DATA'!$1:$1048576,$A506-1,COLUMN('1-DATA'!AD505)),ROUND(INDEX('1-DATA'!$1:$1048576,IF(OR($B507="STD. DEVIATION",$C$1=1),$A507,$A507+1),COLUMN('1-DATA'!AD505)),IF($B507="STD. DEVIATION",2,$F$1))))</f>
        <v/>
      </c>
      <c r="AF507" s="1" t="str">
        <f>IF(OR($B507="",AF$7=""),"",IF($B507="MEANS",INDEX('1-DATA'!$1:$1048576,$A506-1,COLUMN('1-DATA'!AE505)),ROUND(INDEX('1-DATA'!$1:$1048576,IF(OR($B507="STD. DEVIATION",$C$1=1),$A507,$A507+1),COLUMN('1-DATA'!AE505)),IF($B507="STD. DEVIATION",2,$F$1))))</f>
        <v/>
      </c>
      <c r="AG507" s="1" t="str">
        <f>IF(OR($B507="",AG$7=""),"",IF($B507="MEANS",INDEX('1-DATA'!$1:$1048576,$A506-1,COLUMN('1-DATA'!AF505)),ROUND(INDEX('1-DATA'!$1:$1048576,IF(OR($B507="STD. DEVIATION",$C$1=1),$A507,$A507+1),COLUMN('1-DATA'!AF505)),IF($B507="STD. DEVIATION",2,$F$1))))</f>
        <v/>
      </c>
      <c r="AH507" s="1" t="str">
        <f>IF(OR($B507="",AH$7=""),"",IF($B507="MEANS",INDEX('1-DATA'!$1:$1048576,$A506-1,COLUMN('1-DATA'!AG505)),ROUND(INDEX('1-DATA'!$1:$1048576,IF(OR($B507="STD. DEVIATION",$C$1=1),$A507,$A507+1),COLUMN('1-DATA'!AG505)),IF($B507="STD. DEVIATION",2,$F$1))))</f>
        <v/>
      </c>
      <c r="AI507" s="1" t="str">
        <f>IF(OR($B507="",AI$7=""),"",IF($B507="MEANS",INDEX('1-DATA'!$1:$1048576,$A506-1,COLUMN('1-DATA'!AH505)),ROUND(INDEX('1-DATA'!$1:$1048576,IF(OR($B507="STD. DEVIATION",$C$1=1),$A507,$A507+1),COLUMN('1-DATA'!AH505)),IF($B507="STD. DEVIATION",2,$F$1))))</f>
        <v/>
      </c>
      <c r="AJ507" s="1" t="str">
        <f>IF(OR($B507="",AJ$7=""),"",IF($B507="MEANS",INDEX('1-DATA'!$1:$1048576,$A506-1,COLUMN('1-DATA'!AI505)),ROUND(INDEX('1-DATA'!$1:$1048576,IF(OR($B507="STD. DEVIATION",$C$1=1),$A507,$A507+1),COLUMN('1-DATA'!AI505)),IF($B507="STD. DEVIATION",2,$F$1))))</f>
        <v/>
      </c>
      <c r="AK507" s="1" t="str">
        <f>IF(OR($B507="",AK$7=""),"",IF($B507="MEANS",INDEX('1-DATA'!$1:$1048576,$A506-1,COLUMN('1-DATA'!AJ505)),ROUND(INDEX('1-DATA'!$1:$1048576,IF(OR($B507="STD. DEVIATION",$C$1=1),$A507,$A507+1),COLUMN('1-DATA'!AJ505)),IF($B507="STD. DEVIATION",2,$F$1))))</f>
        <v/>
      </c>
      <c r="AL507" s="1" t="str">
        <f>IF(OR($B507="",AL$7=""),"",IF($B507="MEANS",INDEX('1-DATA'!$1:$1048576,$A506-1,COLUMN('1-DATA'!AK505)),ROUND(INDEX('1-DATA'!$1:$1048576,IF(OR($B507="STD. DEVIATION",$C$1=1),$A507,$A507+1),COLUMN('1-DATA'!AK505)),IF($B507="STD. DEVIATION",2,$F$1))))</f>
        <v/>
      </c>
      <c r="AM507" s="1" t="str">
        <f>IF(OR($B507="",AM$7=""),"",IF($B507="MEANS",INDEX('1-DATA'!$1:$1048576,$A506-1,COLUMN('1-DATA'!AL505)),ROUND(INDEX('1-DATA'!$1:$1048576,IF(OR($B507="STD. DEVIATION",$C$1=1),$A507,$A507+1),COLUMN('1-DATA'!AL505)),IF($B507="STD. DEVIATION",2,$F$1))))</f>
        <v/>
      </c>
      <c r="AN507" s="1" t="str">
        <f>IF(OR($B507="",AN$7=""),"",IF($B507="MEANS",INDEX('1-DATA'!$1:$1048576,$A506-1,COLUMN('1-DATA'!AM505)),ROUND(INDEX('1-DATA'!$1:$1048576,IF(OR($B507="STD. DEVIATION",$C$1=1),$A507,$A507+1),COLUMN('1-DATA'!AM505)),IF($B507="STD. DEVIATION",2,$F$1))))</f>
        <v/>
      </c>
      <c r="AO507" s="1" t="str">
        <f>IF(OR($B507="",AO$7=""),"",IF($B507="MEANS",INDEX('1-DATA'!$1:$1048576,$A506-1,COLUMN('1-DATA'!AN505)),ROUND(INDEX('1-DATA'!$1:$1048576,IF(OR($B507="STD. DEVIATION",$C$1=1),$A507,$A507+1),COLUMN('1-DATA'!AN505)),IF($B507="STD. DEVIATION",2,$F$1))))</f>
        <v/>
      </c>
      <c r="AP507" s="1" t="str">
        <f>IF(OR($B507="",AP$7=""),"",IF($B507="MEANS",INDEX('1-DATA'!$1:$1048576,$A506-1,COLUMN('1-DATA'!AO505)),ROUND(INDEX('1-DATA'!$1:$1048576,IF(OR($B507="STD. DEVIATION",$C$1=1),$A507,$A507+1),COLUMN('1-DATA'!AO505)),IF($B507="STD. DEVIATION",2,$F$1))))</f>
        <v/>
      </c>
      <c r="AQ507" s="1" t="str">
        <f>IF(OR($B507="",AQ$7=""),"",IF($B507="MEANS",INDEX('1-DATA'!$1:$1048576,$A506-1,COLUMN('1-DATA'!AP505)),ROUND(INDEX('1-DATA'!$1:$1048576,IF(OR($B507="STD. DEVIATION",$C$1=1),$A507,$A507+1),COLUMN('1-DATA'!AP505)),IF($B507="STD. DEVIATION",2,$F$1))))</f>
        <v/>
      </c>
      <c r="AR507" s="1" t="str">
        <f>IF(OR($B507="",AR$7=""),"",IF($B507="MEANS",INDEX('1-DATA'!$1:$1048576,$A506-1,COLUMN('1-DATA'!AQ505)),ROUND(INDEX('1-DATA'!$1:$1048576,IF(OR($B507="STD. DEVIATION",$C$1=1),$A507,$A507+1),COLUMN('1-DATA'!AQ505)),IF($B507="STD. DEVIATION",2,$F$1))))</f>
        <v/>
      </c>
      <c r="AS507" s="1" t="str">
        <f>IF(OR($B507="",AS$7=""),"",IF($B507="MEANS",INDEX('1-DATA'!$1:$1048576,$A506-1,COLUMN('1-DATA'!AR505)),ROUND(INDEX('1-DATA'!$1:$1048576,IF(OR($B507="STD. DEVIATION",$C$1=1),$A507,$A507+1),COLUMN('1-DATA'!AR505)),IF($B507="STD. DEVIATION",2,$F$1))))</f>
        <v/>
      </c>
      <c r="AT507" s="1" t="str">
        <f>IF(OR($B507="",AT$7=""),"",IF($B507="MEANS",INDEX('1-DATA'!$1:$1048576,$A506-1,COLUMN('1-DATA'!AS505)),ROUND(INDEX('1-DATA'!$1:$1048576,IF(OR($B507="STD. DEVIATION",$C$1=1),$A507,$A507+1),COLUMN('1-DATA'!AS505)),IF($B507="STD. DEVIATION",2,$F$1))))</f>
        <v/>
      </c>
      <c r="AU507" s="1" t="str">
        <f>IF(OR($B507="",AU$7=""),"",IF($B507="MEANS",INDEX('1-DATA'!$1:$1048576,$A506-1,COLUMN('1-DATA'!AT505)),ROUND(INDEX('1-DATA'!$1:$1048576,IF(OR($B507="STD. DEVIATION",$C$1=1),$A507,$A507+1),COLUMN('1-DATA'!AT505)),IF($B507="STD. DEVIATION",2,$F$1))))</f>
        <v/>
      </c>
      <c r="AV507" s="1" t="str">
        <f>IF(OR($B507="",AV$7=""),"",IF($B507="MEANS",INDEX('1-DATA'!$1:$1048576,$A506-1,COLUMN('1-DATA'!AU505)),ROUND(INDEX('1-DATA'!$1:$1048576,IF(OR($B507="STD. DEVIATION",$C$1=1),$A507,$A507+1),COLUMN('1-DATA'!AU505)),IF($B507="STD. DEVIATION",2,$F$1))))</f>
        <v/>
      </c>
      <c r="AW507" s="1" t="str">
        <f>IF(OR($B507="",AW$7=""),"",IF($B507="MEANS",INDEX('1-DATA'!$1:$1048576,$A506-1,COLUMN('1-DATA'!AV505)),ROUND(INDEX('1-DATA'!$1:$1048576,IF(OR($B507="STD. DEVIATION",$C$1=1),$A507,$A507+1),COLUMN('1-DATA'!AV505)),IF($B507="STD. DEVIATION",2,$F$1))))</f>
        <v/>
      </c>
      <c r="AX507" s="1" t="str">
        <f>IF(OR($B507="",AX$7=""),"",IF($B507="MEANS",INDEX('1-DATA'!$1:$1048576,$A506-1,COLUMN('1-DATA'!AW505)),ROUND(INDEX('1-DATA'!$1:$1048576,IF(OR($B507="STD. DEVIATION",$C$1=1),$A507,$A507+1),COLUMN('1-DATA'!AW505)),IF($B507="STD. DEVIATION",2,$F$1))))</f>
        <v/>
      </c>
      <c r="AY507" s="1" t="str">
        <f>IF(OR($B507="",AY$7=""),"",IF($B507="MEANS",INDEX('1-DATA'!$1:$1048576,$A506-1,COLUMN('1-DATA'!AX505)),ROUND(INDEX('1-DATA'!$1:$1048576,IF(OR($B507="STD. DEVIATION",$C$1=1),$A507,$A507+1),COLUMN('1-DATA'!AX505)),IF($B507="STD. DEVIATION",2,$F$1))))</f>
        <v/>
      </c>
      <c r="AZ507" s="1" t="str">
        <f>IF(OR($B507="",AZ$7=""),"",IF($B507="MEANS",INDEX('1-DATA'!$1:$1048576,$A506-1,COLUMN('1-DATA'!AY505)),ROUND(INDEX('1-DATA'!$1:$1048576,IF(OR($B507="STD. DEVIATION",$C$1=1),$A507,$A507+1),COLUMN('1-DATA'!AY505)),IF($B507="STD. DEVIATION",2,$F$1))))</f>
        <v/>
      </c>
    </row>
    <row r="508" spans="1:52" x14ac:dyDescent="0.25">
      <c r="A508" s="11">
        <f t="shared" si="8"/>
        <v>1510</v>
      </c>
      <c r="B508" s="1" t="str">
        <f>IF(B507="STD. DEVIATION",INDEX('1-DATA'!$1:$1048576,$A507-1,1),IF(INDEX('1-DATA'!$1:$1048576,$A508,1)&lt;&gt;"",INDEX('1-DATA'!$1:$1048576,$A508,1),""))</f>
        <v/>
      </c>
      <c r="C508" s="1" t="str">
        <f>IF(OR($B508="",C$7=""),"",IF($B508="MEANS",INDEX('1-DATA'!$1:$1048576,$A507-1,COLUMN('1-DATA'!B506)),ROUND(INDEX('1-DATA'!$1:$1048576,IF(OR($B508="STD. DEVIATION",$C$1=1),$A508,$A508+1),COLUMN('1-DATA'!B506)),IF($B508="STD. DEVIATION",2,$F$1))))</f>
        <v/>
      </c>
      <c r="D508" s="1" t="str">
        <f>IF(OR($B508="",D$7=""),"",IF($B508="MEANS",INDEX('1-DATA'!$1:$1048576,$A507-1,COLUMN('1-DATA'!C506)),ROUND(INDEX('1-DATA'!$1:$1048576,IF(OR($B508="STD. DEVIATION",$C$1=1),$A508,$A508+1),COLUMN('1-DATA'!C506)),IF($B508="STD. DEVIATION",2,$F$1))))</f>
        <v/>
      </c>
      <c r="E508" s="1" t="str">
        <f>IF(OR($B508="",E$7=""),"",IF($B508="MEANS",INDEX('1-DATA'!$1:$1048576,$A507-1,COLUMN('1-DATA'!D506)),ROUND(INDEX('1-DATA'!$1:$1048576,IF(OR($B508="STD. DEVIATION",$C$1=1),$A508,$A508+1),COLUMN('1-DATA'!D506)),IF($B508="STD. DEVIATION",2,$F$1))))</f>
        <v/>
      </c>
      <c r="F508" s="1" t="str">
        <f>IF(OR($B508="",F$7=""),"",IF($B508="MEANS",INDEX('1-DATA'!$1:$1048576,$A507-1,COLUMN('1-DATA'!E506)),ROUND(INDEX('1-DATA'!$1:$1048576,IF(OR($B508="STD. DEVIATION",$C$1=1),$A508,$A508+1),COLUMN('1-DATA'!E506)),IF($B508="STD. DEVIATION",2,$F$1))))</f>
        <v/>
      </c>
      <c r="G508" s="1" t="str">
        <f>IF(OR($B508="",G$7=""),"",IF($B508="MEANS",INDEX('1-DATA'!$1:$1048576,$A507-1,COLUMN('1-DATA'!F506)),ROUND(INDEX('1-DATA'!$1:$1048576,IF(OR($B508="STD. DEVIATION",$C$1=1),$A508,$A508+1),COLUMN('1-DATA'!F506)),IF($B508="STD. DEVIATION",2,$F$1))))</f>
        <v/>
      </c>
      <c r="H508" s="1" t="str">
        <f>IF(OR($B508="",H$7=""),"",IF($B508="MEANS",INDEX('1-DATA'!$1:$1048576,$A507-1,COLUMN('1-DATA'!G506)),ROUND(INDEX('1-DATA'!$1:$1048576,IF(OR($B508="STD. DEVIATION",$C$1=1),$A508,$A508+1),COLUMN('1-DATA'!G506)),IF($B508="STD. DEVIATION",2,$F$1))))</f>
        <v/>
      </c>
      <c r="I508" s="1" t="str">
        <f>IF(OR($B508="",I$7=""),"",IF($B508="MEANS",INDEX('1-DATA'!$1:$1048576,$A507-1,COLUMN('1-DATA'!H506)),ROUND(INDEX('1-DATA'!$1:$1048576,IF(OR($B508="STD. DEVIATION",$C$1=1),$A508,$A508+1),COLUMN('1-DATA'!H506)),IF($B508="STD. DEVIATION",2,$F$1))))</f>
        <v/>
      </c>
      <c r="J508" s="1" t="str">
        <f>IF(OR($B508="",J$7=""),"",IF($B508="MEANS",INDEX('1-DATA'!$1:$1048576,$A507-1,COLUMN('1-DATA'!I506)),ROUND(INDEX('1-DATA'!$1:$1048576,IF(OR($B508="STD. DEVIATION",$C$1=1),$A508,$A508+1),COLUMN('1-DATA'!I506)),IF($B508="STD. DEVIATION",2,$F$1))))</f>
        <v/>
      </c>
      <c r="K508" s="1" t="str">
        <f>IF(OR($B508="",K$7=""),"",IF($B508="MEANS",INDEX('1-DATA'!$1:$1048576,$A507-1,COLUMN('1-DATA'!J506)),ROUND(INDEX('1-DATA'!$1:$1048576,IF(OR($B508="STD. DEVIATION",$C$1=1),$A508,$A508+1),COLUMN('1-DATA'!J506)),IF($B508="STD. DEVIATION",2,$F$1))))</f>
        <v/>
      </c>
      <c r="L508" s="1" t="str">
        <f>IF(OR($B508="",L$7=""),"",IF($B508="MEANS",INDEX('1-DATA'!$1:$1048576,$A507-1,COLUMN('1-DATA'!K506)),ROUND(INDEX('1-DATA'!$1:$1048576,IF(OR($B508="STD. DEVIATION",$C$1=1),$A508,$A508+1),COLUMN('1-DATA'!K506)),IF($B508="STD. DEVIATION",2,$F$1))))</f>
        <v/>
      </c>
      <c r="M508" s="1" t="str">
        <f>IF(OR($B508="",M$7=""),"",IF($B508="MEANS",INDEX('1-DATA'!$1:$1048576,$A507-1,COLUMN('1-DATA'!L506)),ROUND(INDEX('1-DATA'!$1:$1048576,IF(OR($B508="STD. DEVIATION",$C$1=1),$A508,$A508+1),COLUMN('1-DATA'!L506)),IF($B508="STD. DEVIATION",2,$F$1))))</f>
        <v/>
      </c>
      <c r="N508" s="1" t="str">
        <f>IF(OR($B508="",N$7=""),"",IF($B508="MEANS",INDEX('1-DATA'!$1:$1048576,$A507-1,COLUMN('1-DATA'!M506)),ROUND(INDEX('1-DATA'!$1:$1048576,IF(OR($B508="STD. DEVIATION",$C$1=1),$A508,$A508+1),COLUMN('1-DATA'!M506)),IF($B508="STD. DEVIATION",2,$F$1))))</f>
        <v/>
      </c>
      <c r="O508" s="1" t="str">
        <f>IF(OR($B508="",O$7=""),"",IF($B508="MEANS",INDEX('1-DATA'!$1:$1048576,$A507-1,COLUMN('1-DATA'!N506)),ROUND(INDEX('1-DATA'!$1:$1048576,IF(OR($B508="STD. DEVIATION",$C$1=1),$A508,$A508+1),COLUMN('1-DATA'!N506)),IF($B508="STD. DEVIATION",2,$F$1))))</f>
        <v/>
      </c>
      <c r="P508" s="1" t="str">
        <f>IF(OR($B508="",P$7=""),"",IF($B508="MEANS",INDEX('1-DATA'!$1:$1048576,$A507-1,COLUMN('1-DATA'!O506)),ROUND(INDEX('1-DATA'!$1:$1048576,IF(OR($B508="STD. DEVIATION",$C$1=1),$A508,$A508+1),COLUMN('1-DATA'!O506)),IF($B508="STD. DEVIATION",2,$F$1))))</f>
        <v/>
      </c>
      <c r="Q508" s="1" t="str">
        <f>IF(OR($B508="",Q$7=""),"",IF($B508="MEANS",INDEX('1-DATA'!$1:$1048576,$A507-1,COLUMN('1-DATA'!P506)),ROUND(INDEX('1-DATA'!$1:$1048576,IF(OR($B508="STD. DEVIATION",$C$1=1),$A508,$A508+1),COLUMN('1-DATA'!P506)),IF($B508="STD. DEVIATION",2,$F$1))))</f>
        <v/>
      </c>
      <c r="R508" s="1" t="str">
        <f>IF(OR($B508="",R$7=""),"",IF($B508="MEANS",INDEX('1-DATA'!$1:$1048576,$A507-1,COLUMN('1-DATA'!Q506)),ROUND(INDEX('1-DATA'!$1:$1048576,IF(OR($B508="STD. DEVIATION",$C$1=1),$A508,$A508+1),COLUMN('1-DATA'!Q506)),IF($B508="STD. DEVIATION",2,$F$1))))</f>
        <v/>
      </c>
      <c r="S508" s="1" t="str">
        <f>IF(OR($B508="",S$7=""),"",IF($B508="MEANS",INDEX('1-DATA'!$1:$1048576,$A507-1,COLUMN('1-DATA'!R506)),ROUND(INDEX('1-DATA'!$1:$1048576,IF(OR($B508="STD. DEVIATION",$C$1=1),$A508,$A508+1),COLUMN('1-DATA'!R506)),IF($B508="STD. DEVIATION",2,$F$1))))</f>
        <v/>
      </c>
      <c r="T508" s="1" t="str">
        <f>IF(OR($B508="",T$7=""),"",IF($B508="MEANS",INDEX('1-DATA'!$1:$1048576,$A507-1,COLUMN('1-DATA'!S506)),ROUND(INDEX('1-DATA'!$1:$1048576,IF(OR($B508="STD. DEVIATION",$C$1=1),$A508,$A508+1),COLUMN('1-DATA'!S506)),IF($B508="STD. DEVIATION",2,$F$1))))</f>
        <v/>
      </c>
      <c r="U508" s="1" t="str">
        <f>IF(OR($B508="",U$7=""),"",IF($B508="MEANS",INDEX('1-DATA'!$1:$1048576,$A507-1,COLUMN('1-DATA'!T506)),ROUND(INDEX('1-DATA'!$1:$1048576,IF(OR($B508="STD. DEVIATION",$C$1=1),$A508,$A508+1),COLUMN('1-DATA'!T506)),IF($B508="STD. DEVIATION",2,$F$1))))</f>
        <v/>
      </c>
      <c r="V508" s="1" t="str">
        <f>IF(OR($B508="",V$7=""),"",IF($B508="MEANS",INDEX('1-DATA'!$1:$1048576,$A507-1,COLUMN('1-DATA'!U506)),ROUND(INDEX('1-DATA'!$1:$1048576,IF(OR($B508="STD. DEVIATION",$C$1=1),$A508,$A508+1),COLUMN('1-DATA'!U506)),IF($B508="STD. DEVIATION",2,$F$1))))</f>
        <v/>
      </c>
      <c r="W508" s="1" t="str">
        <f>IF(OR($B508="",W$7=""),"",IF($B508="MEANS",INDEX('1-DATA'!$1:$1048576,$A507-1,COLUMN('1-DATA'!V506)),ROUND(INDEX('1-DATA'!$1:$1048576,IF(OR($B508="STD. DEVIATION",$C$1=1),$A508,$A508+1),COLUMN('1-DATA'!V506)),IF($B508="STD. DEVIATION",2,$F$1))))</f>
        <v/>
      </c>
      <c r="X508" s="1" t="str">
        <f>IF(OR($B508="",X$7=""),"",IF($B508="MEANS",INDEX('1-DATA'!$1:$1048576,$A507-1,COLUMN('1-DATA'!W506)),ROUND(INDEX('1-DATA'!$1:$1048576,IF(OR($B508="STD. DEVIATION",$C$1=1),$A508,$A508+1),COLUMN('1-DATA'!W506)),IF($B508="STD. DEVIATION",2,$F$1))))</f>
        <v/>
      </c>
      <c r="Y508" s="1" t="str">
        <f>IF(OR($B508="",Y$7=""),"",IF($B508="MEANS",INDEX('1-DATA'!$1:$1048576,$A507-1,COLUMN('1-DATA'!X506)),ROUND(INDEX('1-DATA'!$1:$1048576,IF(OR($B508="STD. DEVIATION",$C$1=1),$A508,$A508+1),COLUMN('1-DATA'!X506)),IF($B508="STD. DEVIATION",2,$F$1))))</f>
        <v/>
      </c>
      <c r="Z508" s="1" t="str">
        <f>IF(OR($B508="",Z$7=""),"",IF($B508="MEANS",INDEX('1-DATA'!$1:$1048576,$A507-1,COLUMN('1-DATA'!Y506)),ROUND(INDEX('1-DATA'!$1:$1048576,IF(OR($B508="STD. DEVIATION",$C$1=1),$A508,$A508+1),COLUMN('1-DATA'!Y506)),IF($B508="STD. DEVIATION",2,$F$1))))</f>
        <v/>
      </c>
      <c r="AA508" s="1" t="str">
        <f>IF(OR($B508="",AA$7=""),"",IF($B508="MEANS",INDEX('1-DATA'!$1:$1048576,$A507-1,COLUMN('1-DATA'!Z506)),ROUND(INDEX('1-DATA'!$1:$1048576,IF(OR($B508="STD. DEVIATION",$C$1=1),$A508,$A508+1),COLUMN('1-DATA'!Z506)),IF($B508="STD. DEVIATION",2,$F$1))))</f>
        <v/>
      </c>
      <c r="AB508" s="1" t="str">
        <f>IF(OR($B508="",AB$7=""),"",IF($B508="MEANS",INDEX('1-DATA'!$1:$1048576,$A507-1,COLUMN('1-DATA'!AA506)),ROUND(INDEX('1-DATA'!$1:$1048576,IF(OR($B508="STD. DEVIATION",$C$1=1),$A508,$A508+1),COLUMN('1-DATA'!AA506)),IF($B508="STD. DEVIATION",2,$F$1))))</f>
        <v/>
      </c>
      <c r="AC508" s="1" t="str">
        <f>IF(OR($B508="",AC$7=""),"",IF($B508="MEANS",INDEX('1-DATA'!$1:$1048576,$A507-1,COLUMN('1-DATA'!AB506)),ROUND(INDEX('1-DATA'!$1:$1048576,IF(OR($B508="STD. DEVIATION",$C$1=1),$A508,$A508+1),COLUMN('1-DATA'!AB506)),IF($B508="STD. DEVIATION",2,$F$1))))</f>
        <v/>
      </c>
      <c r="AD508" s="1" t="str">
        <f>IF(OR($B508="",AD$7=""),"",IF($B508="MEANS",INDEX('1-DATA'!$1:$1048576,$A507-1,COLUMN('1-DATA'!AC506)),ROUND(INDEX('1-DATA'!$1:$1048576,IF(OR($B508="STD. DEVIATION",$C$1=1),$A508,$A508+1),COLUMN('1-DATA'!AC506)),IF($B508="STD. DEVIATION",2,$F$1))))</f>
        <v/>
      </c>
      <c r="AE508" s="1" t="str">
        <f>IF(OR($B508="",AE$7=""),"",IF($B508="MEANS",INDEX('1-DATA'!$1:$1048576,$A507-1,COLUMN('1-DATA'!AD506)),ROUND(INDEX('1-DATA'!$1:$1048576,IF(OR($B508="STD. DEVIATION",$C$1=1),$A508,$A508+1),COLUMN('1-DATA'!AD506)),IF($B508="STD. DEVIATION",2,$F$1))))</f>
        <v/>
      </c>
      <c r="AF508" s="1" t="str">
        <f>IF(OR($B508="",AF$7=""),"",IF($B508="MEANS",INDEX('1-DATA'!$1:$1048576,$A507-1,COLUMN('1-DATA'!AE506)),ROUND(INDEX('1-DATA'!$1:$1048576,IF(OR($B508="STD. DEVIATION",$C$1=1),$A508,$A508+1),COLUMN('1-DATA'!AE506)),IF($B508="STD. DEVIATION",2,$F$1))))</f>
        <v/>
      </c>
      <c r="AG508" s="1" t="str">
        <f>IF(OR($B508="",AG$7=""),"",IF($B508="MEANS",INDEX('1-DATA'!$1:$1048576,$A507-1,COLUMN('1-DATA'!AF506)),ROUND(INDEX('1-DATA'!$1:$1048576,IF(OR($B508="STD. DEVIATION",$C$1=1),$A508,$A508+1),COLUMN('1-DATA'!AF506)),IF($B508="STD. DEVIATION",2,$F$1))))</f>
        <v/>
      </c>
      <c r="AH508" s="1" t="str">
        <f>IF(OR($B508="",AH$7=""),"",IF($B508="MEANS",INDEX('1-DATA'!$1:$1048576,$A507-1,COLUMN('1-DATA'!AG506)),ROUND(INDEX('1-DATA'!$1:$1048576,IF(OR($B508="STD. DEVIATION",$C$1=1),$A508,$A508+1),COLUMN('1-DATA'!AG506)),IF($B508="STD. DEVIATION",2,$F$1))))</f>
        <v/>
      </c>
      <c r="AI508" s="1" t="str">
        <f>IF(OR($B508="",AI$7=""),"",IF($B508="MEANS",INDEX('1-DATA'!$1:$1048576,$A507-1,COLUMN('1-DATA'!AH506)),ROUND(INDEX('1-DATA'!$1:$1048576,IF(OR($B508="STD. DEVIATION",$C$1=1),$A508,$A508+1),COLUMN('1-DATA'!AH506)),IF($B508="STD. DEVIATION",2,$F$1))))</f>
        <v/>
      </c>
      <c r="AJ508" s="1" t="str">
        <f>IF(OR($B508="",AJ$7=""),"",IF($B508="MEANS",INDEX('1-DATA'!$1:$1048576,$A507-1,COLUMN('1-DATA'!AI506)),ROUND(INDEX('1-DATA'!$1:$1048576,IF(OR($B508="STD. DEVIATION",$C$1=1),$A508,$A508+1),COLUMN('1-DATA'!AI506)),IF($B508="STD. DEVIATION",2,$F$1))))</f>
        <v/>
      </c>
      <c r="AK508" s="1" t="str">
        <f>IF(OR($B508="",AK$7=""),"",IF($B508="MEANS",INDEX('1-DATA'!$1:$1048576,$A507-1,COLUMN('1-DATA'!AJ506)),ROUND(INDEX('1-DATA'!$1:$1048576,IF(OR($B508="STD. DEVIATION",$C$1=1),$A508,$A508+1),COLUMN('1-DATA'!AJ506)),IF($B508="STD. DEVIATION",2,$F$1))))</f>
        <v/>
      </c>
      <c r="AL508" s="1" t="str">
        <f>IF(OR($B508="",AL$7=""),"",IF($B508="MEANS",INDEX('1-DATA'!$1:$1048576,$A507-1,COLUMN('1-DATA'!AK506)),ROUND(INDEX('1-DATA'!$1:$1048576,IF(OR($B508="STD. DEVIATION",$C$1=1),$A508,$A508+1),COLUMN('1-DATA'!AK506)),IF($B508="STD. DEVIATION",2,$F$1))))</f>
        <v/>
      </c>
      <c r="AM508" s="1" t="str">
        <f>IF(OR($B508="",AM$7=""),"",IF($B508="MEANS",INDEX('1-DATA'!$1:$1048576,$A507-1,COLUMN('1-DATA'!AL506)),ROUND(INDEX('1-DATA'!$1:$1048576,IF(OR($B508="STD. DEVIATION",$C$1=1),$A508,$A508+1),COLUMN('1-DATA'!AL506)),IF($B508="STD. DEVIATION",2,$F$1))))</f>
        <v/>
      </c>
      <c r="AN508" s="1" t="str">
        <f>IF(OR($B508="",AN$7=""),"",IF($B508="MEANS",INDEX('1-DATA'!$1:$1048576,$A507-1,COLUMN('1-DATA'!AM506)),ROUND(INDEX('1-DATA'!$1:$1048576,IF(OR($B508="STD. DEVIATION",$C$1=1),$A508,$A508+1),COLUMN('1-DATA'!AM506)),IF($B508="STD. DEVIATION",2,$F$1))))</f>
        <v/>
      </c>
      <c r="AO508" s="1" t="str">
        <f>IF(OR($B508="",AO$7=""),"",IF($B508="MEANS",INDEX('1-DATA'!$1:$1048576,$A507-1,COLUMN('1-DATA'!AN506)),ROUND(INDEX('1-DATA'!$1:$1048576,IF(OR($B508="STD. DEVIATION",$C$1=1),$A508,$A508+1),COLUMN('1-DATA'!AN506)),IF($B508="STD. DEVIATION",2,$F$1))))</f>
        <v/>
      </c>
      <c r="AP508" s="1" t="str">
        <f>IF(OR($B508="",AP$7=""),"",IF($B508="MEANS",INDEX('1-DATA'!$1:$1048576,$A507-1,COLUMN('1-DATA'!AO506)),ROUND(INDEX('1-DATA'!$1:$1048576,IF(OR($B508="STD. DEVIATION",$C$1=1),$A508,$A508+1),COLUMN('1-DATA'!AO506)),IF($B508="STD. DEVIATION",2,$F$1))))</f>
        <v/>
      </c>
      <c r="AQ508" s="1" t="str">
        <f>IF(OR($B508="",AQ$7=""),"",IF($B508="MEANS",INDEX('1-DATA'!$1:$1048576,$A507-1,COLUMN('1-DATA'!AP506)),ROUND(INDEX('1-DATA'!$1:$1048576,IF(OR($B508="STD. DEVIATION",$C$1=1),$A508,$A508+1),COLUMN('1-DATA'!AP506)),IF($B508="STD. DEVIATION",2,$F$1))))</f>
        <v/>
      </c>
      <c r="AR508" s="1" t="str">
        <f>IF(OR($B508="",AR$7=""),"",IF($B508="MEANS",INDEX('1-DATA'!$1:$1048576,$A507-1,COLUMN('1-DATA'!AQ506)),ROUND(INDEX('1-DATA'!$1:$1048576,IF(OR($B508="STD. DEVIATION",$C$1=1),$A508,$A508+1),COLUMN('1-DATA'!AQ506)),IF($B508="STD. DEVIATION",2,$F$1))))</f>
        <v/>
      </c>
      <c r="AS508" s="1" t="str">
        <f>IF(OR($B508="",AS$7=""),"",IF($B508="MEANS",INDEX('1-DATA'!$1:$1048576,$A507-1,COLUMN('1-DATA'!AR506)),ROUND(INDEX('1-DATA'!$1:$1048576,IF(OR($B508="STD. DEVIATION",$C$1=1),$A508,$A508+1),COLUMN('1-DATA'!AR506)),IF($B508="STD. DEVIATION",2,$F$1))))</f>
        <v/>
      </c>
      <c r="AT508" s="1" t="str">
        <f>IF(OR($B508="",AT$7=""),"",IF($B508="MEANS",INDEX('1-DATA'!$1:$1048576,$A507-1,COLUMN('1-DATA'!AS506)),ROUND(INDEX('1-DATA'!$1:$1048576,IF(OR($B508="STD. DEVIATION",$C$1=1),$A508,$A508+1),COLUMN('1-DATA'!AS506)),IF($B508="STD. DEVIATION",2,$F$1))))</f>
        <v/>
      </c>
      <c r="AU508" s="1" t="str">
        <f>IF(OR($B508="",AU$7=""),"",IF($B508="MEANS",INDEX('1-DATA'!$1:$1048576,$A507-1,COLUMN('1-DATA'!AT506)),ROUND(INDEX('1-DATA'!$1:$1048576,IF(OR($B508="STD. DEVIATION",$C$1=1),$A508,$A508+1),COLUMN('1-DATA'!AT506)),IF($B508="STD. DEVIATION",2,$F$1))))</f>
        <v/>
      </c>
      <c r="AV508" s="1" t="str">
        <f>IF(OR($B508="",AV$7=""),"",IF($B508="MEANS",INDEX('1-DATA'!$1:$1048576,$A507-1,COLUMN('1-DATA'!AU506)),ROUND(INDEX('1-DATA'!$1:$1048576,IF(OR($B508="STD. DEVIATION",$C$1=1),$A508,$A508+1),COLUMN('1-DATA'!AU506)),IF($B508="STD. DEVIATION",2,$F$1))))</f>
        <v/>
      </c>
      <c r="AW508" s="1" t="str">
        <f>IF(OR($B508="",AW$7=""),"",IF($B508="MEANS",INDEX('1-DATA'!$1:$1048576,$A507-1,COLUMN('1-DATA'!AV506)),ROUND(INDEX('1-DATA'!$1:$1048576,IF(OR($B508="STD. DEVIATION",$C$1=1),$A508,$A508+1),COLUMN('1-DATA'!AV506)),IF($B508="STD. DEVIATION",2,$F$1))))</f>
        <v/>
      </c>
      <c r="AX508" s="1" t="str">
        <f>IF(OR($B508="",AX$7=""),"",IF($B508="MEANS",INDEX('1-DATA'!$1:$1048576,$A507-1,COLUMN('1-DATA'!AW506)),ROUND(INDEX('1-DATA'!$1:$1048576,IF(OR($B508="STD. DEVIATION",$C$1=1),$A508,$A508+1),COLUMN('1-DATA'!AW506)),IF($B508="STD. DEVIATION",2,$F$1))))</f>
        <v/>
      </c>
      <c r="AY508" s="1" t="str">
        <f>IF(OR($B508="",AY$7=""),"",IF($B508="MEANS",INDEX('1-DATA'!$1:$1048576,$A507-1,COLUMN('1-DATA'!AX506)),ROUND(INDEX('1-DATA'!$1:$1048576,IF(OR($B508="STD. DEVIATION",$C$1=1),$A508,$A508+1),COLUMN('1-DATA'!AX506)),IF($B508="STD. DEVIATION",2,$F$1))))</f>
        <v/>
      </c>
      <c r="AZ508" s="1" t="str">
        <f>IF(OR($B508="",AZ$7=""),"",IF($B508="MEANS",INDEX('1-DATA'!$1:$1048576,$A507-1,COLUMN('1-DATA'!AY506)),ROUND(INDEX('1-DATA'!$1:$1048576,IF(OR($B508="STD. DEVIATION",$C$1=1),$A508,$A508+1),COLUMN('1-DATA'!AY506)),IF($B508="STD. DEVIATION",2,$F$1))))</f>
        <v/>
      </c>
    </row>
    <row r="509" spans="1:52" x14ac:dyDescent="0.25">
      <c r="A509" s="11">
        <f t="shared" si="8"/>
        <v>1513</v>
      </c>
      <c r="B509" s="1" t="str">
        <f>IF(B508="STD. DEVIATION",INDEX('1-DATA'!$1:$1048576,$A508-1,1),IF(INDEX('1-DATA'!$1:$1048576,$A509,1)&lt;&gt;"",INDEX('1-DATA'!$1:$1048576,$A509,1),""))</f>
        <v/>
      </c>
      <c r="C509" s="1" t="str">
        <f>IF(OR($B509="",C$7=""),"",IF($B509="MEANS",INDEX('1-DATA'!$1:$1048576,$A508-1,COLUMN('1-DATA'!B507)),ROUND(INDEX('1-DATA'!$1:$1048576,IF(OR($B509="STD. DEVIATION",$C$1=1),$A509,$A509+1),COLUMN('1-DATA'!B507)),IF($B509="STD. DEVIATION",2,$F$1))))</f>
        <v/>
      </c>
      <c r="D509" s="1" t="str">
        <f>IF(OR($B509="",D$7=""),"",IF($B509="MEANS",INDEX('1-DATA'!$1:$1048576,$A508-1,COLUMN('1-DATA'!C507)),ROUND(INDEX('1-DATA'!$1:$1048576,IF(OR($B509="STD. DEVIATION",$C$1=1),$A509,$A509+1),COLUMN('1-DATA'!C507)),IF($B509="STD. DEVIATION",2,$F$1))))</f>
        <v/>
      </c>
      <c r="E509" s="1" t="str">
        <f>IF(OR($B509="",E$7=""),"",IF($B509="MEANS",INDEX('1-DATA'!$1:$1048576,$A508-1,COLUMN('1-DATA'!D507)),ROUND(INDEX('1-DATA'!$1:$1048576,IF(OR($B509="STD. DEVIATION",$C$1=1),$A509,$A509+1),COLUMN('1-DATA'!D507)),IF($B509="STD. DEVIATION",2,$F$1))))</f>
        <v/>
      </c>
      <c r="F509" s="1" t="str">
        <f>IF(OR($B509="",F$7=""),"",IF($B509="MEANS",INDEX('1-DATA'!$1:$1048576,$A508-1,COLUMN('1-DATA'!E507)),ROUND(INDEX('1-DATA'!$1:$1048576,IF(OR($B509="STD. DEVIATION",$C$1=1),$A509,$A509+1),COLUMN('1-DATA'!E507)),IF($B509="STD. DEVIATION",2,$F$1))))</f>
        <v/>
      </c>
      <c r="G509" s="1" t="str">
        <f>IF(OR($B509="",G$7=""),"",IF($B509="MEANS",INDEX('1-DATA'!$1:$1048576,$A508-1,COLUMN('1-DATA'!F507)),ROUND(INDEX('1-DATA'!$1:$1048576,IF(OR($B509="STD. DEVIATION",$C$1=1),$A509,$A509+1),COLUMN('1-DATA'!F507)),IF($B509="STD. DEVIATION",2,$F$1))))</f>
        <v/>
      </c>
      <c r="H509" s="1" t="str">
        <f>IF(OR($B509="",H$7=""),"",IF($B509="MEANS",INDEX('1-DATA'!$1:$1048576,$A508-1,COLUMN('1-DATA'!G507)),ROUND(INDEX('1-DATA'!$1:$1048576,IF(OR($B509="STD. DEVIATION",$C$1=1),$A509,$A509+1),COLUMN('1-DATA'!G507)),IF($B509="STD. DEVIATION",2,$F$1))))</f>
        <v/>
      </c>
      <c r="I509" s="1" t="str">
        <f>IF(OR($B509="",I$7=""),"",IF($B509="MEANS",INDEX('1-DATA'!$1:$1048576,$A508-1,COLUMN('1-DATA'!H507)),ROUND(INDEX('1-DATA'!$1:$1048576,IF(OR($B509="STD. DEVIATION",$C$1=1),$A509,$A509+1),COLUMN('1-DATA'!H507)),IF($B509="STD. DEVIATION",2,$F$1))))</f>
        <v/>
      </c>
      <c r="J509" s="1" t="str">
        <f>IF(OR($B509="",J$7=""),"",IF($B509="MEANS",INDEX('1-DATA'!$1:$1048576,$A508-1,COLUMN('1-DATA'!I507)),ROUND(INDEX('1-DATA'!$1:$1048576,IF(OR($B509="STD. DEVIATION",$C$1=1),$A509,$A509+1),COLUMN('1-DATA'!I507)),IF($B509="STD. DEVIATION",2,$F$1))))</f>
        <v/>
      </c>
      <c r="K509" s="1" t="str">
        <f>IF(OR($B509="",K$7=""),"",IF($B509="MEANS",INDEX('1-DATA'!$1:$1048576,$A508-1,COLUMN('1-DATA'!J507)),ROUND(INDEX('1-DATA'!$1:$1048576,IF(OR($B509="STD. DEVIATION",$C$1=1),$A509,$A509+1),COLUMN('1-DATA'!J507)),IF($B509="STD. DEVIATION",2,$F$1))))</f>
        <v/>
      </c>
      <c r="L509" s="1" t="str">
        <f>IF(OR($B509="",L$7=""),"",IF($B509="MEANS",INDEX('1-DATA'!$1:$1048576,$A508-1,COLUMN('1-DATA'!K507)),ROUND(INDEX('1-DATA'!$1:$1048576,IF(OR($B509="STD. DEVIATION",$C$1=1),$A509,$A509+1),COLUMN('1-DATA'!K507)),IF($B509="STD. DEVIATION",2,$F$1))))</f>
        <v/>
      </c>
      <c r="M509" s="1" t="str">
        <f>IF(OR($B509="",M$7=""),"",IF($B509="MEANS",INDEX('1-DATA'!$1:$1048576,$A508-1,COLUMN('1-DATA'!L507)),ROUND(INDEX('1-DATA'!$1:$1048576,IF(OR($B509="STD. DEVIATION",$C$1=1),$A509,$A509+1),COLUMN('1-DATA'!L507)),IF($B509="STD. DEVIATION",2,$F$1))))</f>
        <v/>
      </c>
      <c r="N509" s="1" t="str">
        <f>IF(OR($B509="",N$7=""),"",IF($B509="MEANS",INDEX('1-DATA'!$1:$1048576,$A508-1,COLUMN('1-DATA'!M507)),ROUND(INDEX('1-DATA'!$1:$1048576,IF(OR($B509="STD. DEVIATION",$C$1=1),$A509,$A509+1),COLUMN('1-DATA'!M507)),IF($B509="STD. DEVIATION",2,$F$1))))</f>
        <v/>
      </c>
      <c r="O509" s="1" t="str">
        <f>IF(OR($B509="",O$7=""),"",IF($B509="MEANS",INDEX('1-DATA'!$1:$1048576,$A508-1,COLUMN('1-DATA'!N507)),ROUND(INDEX('1-DATA'!$1:$1048576,IF(OR($B509="STD. DEVIATION",$C$1=1),$A509,$A509+1),COLUMN('1-DATA'!N507)),IF($B509="STD. DEVIATION",2,$F$1))))</f>
        <v/>
      </c>
      <c r="P509" s="1" t="str">
        <f>IF(OR($B509="",P$7=""),"",IF($B509="MEANS",INDEX('1-DATA'!$1:$1048576,$A508-1,COLUMN('1-DATA'!O507)),ROUND(INDEX('1-DATA'!$1:$1048576,IF(OR($B509="STD. DEVIATION",$C$1=1),$A509,$A509+1),COLUMN('1-DATA'!O507)),IF($B509="STD. DEVIATION",2,$F$1))))</f>
        <v/>
      </c>
      <c r="Q509" s="1" t="str">
        <f>IF(OR($B509="",Q$7=""),"",IF($B509="MEANS",INDEX('1-DATA'!$1:$1048576,$A508-1,COLUMN('1-DATA'!P507)),ROUND(INDEX('1-DATA'!$1:$1048576,IF(OR($B509="STD. DEVIATION",$C$1=1),$A509,$A509+1),COLUMN('1-DATA'!P507)),IF($B509="STD. DEVIATION",2,$F$1))))</f>
        <v/>
      </c>
      <c r="R509" s="1" t="str">
        <f>IF(OR($B509="",R$7=""),"",IF($B509="MEANS",INDEX('1-DATA'!$1:$1048576,$A508-1,COLUMN('1-DATA'!Q507)),ROUND(INDEX('1-DATA'!$1:$1048576,IF(OR($B509="STD. DEVIATION",$C$1=1),$A509,$A509+1),COLUMN('1-DATA'!Q507)),IF($B509="STD. DEVIATION",2,$F$1))))</f>
        <v/>
      </c>
      <c r="S509" s="1" t="str">
        <f>IF(OR($B509="",S$7=""),"",IF($B509="MEANS",INDEX('1-DATA'!$1:$1048576,$A508-1,COLUMN('1-DATA'!R507)),ROUND(INDEX('1-DATA'!$1:$1048576,IF(OR($B509="STD. DEVIATION",$C$1=1),$A509,$A509+1),COLUMN('1-DATA'!R507)),IF($B509="STD. DEVIATION",2,$F$1))))</f>
        <v/>
      </c>
      <c r="T509" s="1" t="str">
        <f>IF(OR($B509="",T$7=""),"",IF($B509="MEANS",INDEX('1-DATA'!$1:$1048576,$A508-1,COLUMN('1-DATA'!S507)),ROUND(INDEX('1-DATA'!$1:$1048576,IF(OR($B509="STD. DEVIATION",$C$1=1),$A509,$A509+1),COLUMN('1-DATA'!S507)),IF($B509="STD. DEVIATION",2,$F$1))))</f>
        <v/>
      </c>
      <c r="U509" s="1" t="str">
        <f>IF(OR($B509="",U$7=""),"",IF($B509="MEANS",INDEX('1-DATA'!$1:$1048576,$A508-1,COLUMN('1-DATA'!T507)),ROUND(INDEX('1-DATA'!$1:$1048576,IF(OR($B509="STD. DEVIATION",$C$1=1),$A509,$A509+1),COLUMN('1-DATA'!T507)),IF($B509="STD. DEVIATION",2,$F$1))))</f>
        <v/>
      </c>
      <c r="V509" s="1" t="str">
        <f>IF(OR($B509="",V$7=""),"",IF($B509="MEANS",INDEX('1-DATA'!$1:$1048576,$A508-1,COLUMN('1-DATA'!U507)),ROUND(INDEX('1-DATA'!$1:$1048576,IF(OR($B509="STD. DEVIATION",$C$1=1),$A509,$A509+1),COLUMN('1-DATA'!U507)),IF($B509="STD. DEVIATION",2,$F$1))))</f>
        <v/>
      </c>
      <c r="W509" s="1" t="str">
        <f>IF(OR($B509="",W$7=""),"",IF($B509="MEANS",INDEX('1-DATA'!$1:$1048576,$A508-1,COLUMN('1-DATA'!V507)),ROUND(INDEX('1-DATA'!$1:$1048576,IF(OR($B509="STD. DEVIATION",$C$1=1),$A509,$A509+1),COLUMN('1-DATA'!V507)),IF($B509="STD. DEVIATION",2,$F$1))))</f>
        <v/>
      </c>
      <c r="X509" s="1" t="str">
        <f>IF(OR($B509="",X$7=""),"",IF($B509="MEANS",INDEX('1-DATA'!$1:$1048576,$A508-1,COLUMN('1-DATA'!W507)),ROUND(INDEX('1-DATA'!$1:$1048576,IF(OR($B509="STD. DEVIATION",$C$1=1),$A509,$A509+1),COLUMN('1-DATA'!W507)),IF($B509="STD. DEVIATION",2,$F$1))))</f>
        <v/>
      </c>
      <c r="Y509" s="1" t="str">
        <f>IF(OR($B509="",Y$7=""),"",IF($B509="MEANS",INDEX('1-DATA'!$1:$1048576,$A508-1,COLUMN('1-DATA'!X507)),ROUND(INDEX('1-DATA'!$1:$1048576,IF(OR($B509="STD. DEVIATION",$C$1=1),$A509,$A509+1),COLUMN('1-DATA'!X507)),IF($B509="STD. DEVIATION",2,$F$1))))</f>
        <v/>
      </c>
      <c r="Z509" s="1" t="str">
        <f>IF(OR($B509="",Z$7=""),"",IF($B509="MEANS",INDEX('1-DATA'!$1:$1048576,$A508-1,COLUMN('1-DATA'!Y507)),ROUND(INDEX('1-DATA'!$1:$1048576,IF(OR($B509="STD. DEVIATION",$C$1=1),$A509,$A509+1),COLUMN('1-DATA'!Y507)),IF($B509="STD. DEVIATION",2,$F$1))))</f>
        <v/>
      </c>
      <c r="AA509" s="1" t="str">
        <f>IF(OR($B509="",AA$7=""),"",IF($B509="MEANS",INDEX('1-DATA'!$1:$1048576,$A508-1,COLUMN('1-DATA'!Z507)),ROUND(INDEX('1-DATA'!$1:$1048576,IF(OR($B509="STD. DEVIATION",$C$1=1),$A509,$A509+1),COLUMN('1-DATA'!Z507)),IF($B509="STD. DEVIATION",2,$F$1))))</f>
        <v/>
      </c>
      <c r="AB509" s="1" t="str">
        <f>IF(OR($B509="",AB$7=""),"",IF($B509="MEANS",INDEX('1-DATA'!$1:$1048576,$A508-1,COLUMN('1-DATA'!AA507)),ROUND(INDEX('1-DATA'!$1:$1048576,IF(OR($B509="STD. DEVIATION",$C$1=1),$A509,$A509+1),COLUMN('1-DATA'!AA507)),IF($B509="STD. DEVIATION",2,$F$1))))</f>
        <v/>
      </c>
      <c r="AC509" s="1" t="str">
        <f>IF(OR($B509="",AC$7=""),"",IF($B509="MEANS",INDEX('1-DATA'!$1:$1048576,$A508-1,COLUMN('1-DATA'!AB507)),ROUND(INDEX('1-DATA'!$1:$1048576,IF(OR($B509="STD. DEVIATION",$C$1=1),$A509,$A509+1),COLUMN('1-DATA'!AB507)),IF($B509="STD. DEVIATION",2,$F$1))))</f>
        <v/>
      </c>
      <c r="AD509" s="1" t="str">
        <f>IF(OR($B509="",AD$7=""),"",IF($B509="MEANS",INDEX('1-DATA'!$1:$1048576,$A508-1,COLUMN('1-DATA'!AC507)),ROUND(INDEX('1-DATA'!$1:$1048576,IF(OR($B509="STD. DEVIATION",$C$1=1),$A509,$A509+1),COLUMN('1-DATA'!AC507)),IF($B509="STD. DEVIATION",2,$F$1))))</f>
        <v/>
      </c>
      <c r="AE509" s="1" t="str">
        <f>IF(OR($B509="",AE$7=""),"",IF($B509="MEANS",INDEX('1-DATA'!$1:$1048576,$A508-1,COLUMN('1-DATA'!AD507)),ROUND(INDEX('1-DATA'!$1:$1048576,IF(OR($B509="STD. DEVIATION",$C$1=1),$A509,$A509+1),COLUMN('1-DATA'!AD507)),IF($B509="STD. DEVIATION",2,$F$1))))</f>
        <v/>
      </c>
      <c r="AF509" s="1" t="str">
        <f>IF(OR($B509="",AF$7=""),"",IF($B509="MEANS",INDEX('1-DATA'!$1:$1048576,$A508-1,COLUMN('1-DATA'!AE507)),ROUND(INDEX('1-DATA'!$1:$1048576,IF(OR($B509="STD. DEVIATION",$C$1=1),$A509,$A509+1),COLUMN('1-DATA'!AE507)),IF($B509="STD. DEVIATION",2,$F$1))))</f>
        <v/>
      </c>
      <c r="AG509" s="1" t="str">
        <f>IF(OR($B509="",AG$7=""),"",IF($B509="MEANS",INDEX('1-DATA'!$1:$1048576,$A508-1,COLUMN('1-DATA'!AF507)),ROUND(INDEX('1-DATA'!$1:$1048576,IF(OR($B509="STD. DEVIATION",$C$1=1),$A509,$A509+1),COLUMN('1-DATA'!AF507)),IF($B509="STD. DEVIATION",2,$F$1))))</f>
        <v/>
      </c>
      <c r="AH509" s="1" t="str">
        <f>IF(OR($B509="",AH$7=""),"",IF($B509="MEANS",INDEX('1-DATA'!$1:$1048576,$A508-1,COLUMN('1-DATA'!AG507)),ROUND(INDEX('1-DATA'!$1:$1048576,IF(OR($B509="STD. DEVIATION",$C$1=1),$A509,$A509+1),COLUMN('1-DATA'!AG507)),IF($B509="STD. DEVIATION",2,$F$1))))</f>
        <v/>
      </c>
      <c r="AI509" s="1" t="str">
        <f>IF(OR($B509="",AI$7=""),"",IF($B509="MEANS",INDEX('1-DATA'!$1:$1048576,$A508-1,COLUMN('1-DATA'!AH507)),ROUND(INDEX('1-DATA'!$1:$1048576,IF(OR($B509="STD. DEVIATION",$C$1=1),$A509,$A509+1),COLUMN('1-DATA'!AH507)),IF($B509="STD. DEVIATION",2,$F$1))))</f>
        <v/>
      </c>
      <c r="AJ509" s="1" t="str">
        <f>IF(OR($B509="",AJ$7=""),"",IF($B509="MEANS",INDEX('1-DATA'!$1:$1048576,$A508-1,COLUMN('1-DATA'!AI507)),ROUND(INDEX('1-DATA'!$1:$1048576,IF(OR($B509="STD. DEVIATION",$C$1=1),$A509,$A509+1),COLUMN('1-DATA'!AI507)),IF($B509="STD. DEVIATION",2,$F$1))))</f>
        <v/>
      </c>
      <c r="AK509" s="1" t="str">
        <f>IF(OR($B509="",AK$7=""),"",IF($B509="MEANS",INDEX('1-DATA'!$1:$1048576,$A508-1,COLUMN('1-DATA'!AJ507)),ROUND(INDEX('1-DATA'!$1:$1048576,IF(OR($B509="STD. DEVIATION",$C$1=1),$A509,$A509+1),COLUMN('1-DATA'!AJ507)),IF($B509="STD. DEVIATION",2,$F$1))))</f>
        <v/>
      </c>
      <c r="AL509" s="1" t="str">
        <f>IF(OR($B509="",AL$7=""),"",IF($B509="MEANS",INDEX('1-DATA'!$1:$1048576,$A508-1,COLUMN('1-DATA'!AK507)),ROUND(INDEX('1-DATA'!$1:$1048576,IF(OR($B509="STD. DEVIATION",$C$1=1),$A509,$A509+1),COLUMN('1-DATA'!AK507)),IF($B509="STD. DEVIATION",2,$F$1))))</f>
        <v/>
      </c>
      <c r="AM509" s="1" t="str">
        <f>IF(OR($B509="",AM$7=""),"",IF($B509="MEANS",INDEX('1-DATA'!$1:$1048576,$A508-1,COLUMN('1-DATA'!AL507)),ROUND(INDEX('1-DATA'!$1:$1048576,IF(OR($B509="STD. DEVIATION",$C$1=1),$A509,$A509+1),COLUMN('1-DATA'!AL507)),IF($B509="STD. DEVIATION",2,$F$1))))</f>
        <v/>
      </c>
      <c r="AN509" s="1" t="str">
        <f>IF(OR($B509="",AN$7=""),"",IF($B509="MEANS",INDEX('1-DATA'!$1:$1048576,$A508-1,COLUMN('1-DATA'!AM507)),ROUND(INDEX('1-DATA'!$1:$1048576,IF(OR($B509="STD. DEVIATION",$C$1=1),$A509,$A509+1),COLUMN('1-DATA'!AM507)),IF($B509="STD. DEVIATION",2,$F$1))))</f>
        <v/>
      </c>
      <c r="AO509" s="1" t="str">
        <f>IF(OR($B509="",AO$7=""),"",IF($B509="MEANS",INDEX('1-DATA'!$1:$1048576,$A508-1,COLUMN('1-DATA'!AN507)),ROUND(INDEX('1-DATA'!$1:$1048576,IF(OR($B509="STD. DEVIATION",$C$1=1),$A509,$A509+1),COLUMN('1-DATA'!AN507)),IF($B509="STD. DEVIATION",2,$F$1))))</f>
        <v/>
      </c>
      <c r="AP509" s="1" t="str">
        <f>IF(OR($B509="",AP$7=""),"",IF($B509="MEANS",INDEX('1-DATA'!$1:$1048576,$A508-1,COLUMN('1-DATA'!AO507)),ROUND(INDEX('1-DATA'!$1:$1048576,IF(OR($B509="STD. DEVIATION",$C$1=1),$A509,$A509+1),COLUMN('1-DATA'!AO507)),IF($B509="STD. DEVIATION",2,$F$1))))</f>
        <v/>
      </c>
      <c r="AQ509" s="1" t="str">
        <f>IF(OR($B509="",AQ$7=""),"",IF($B509="MEANS",INDEX('1-DATA'!$1:$1048576,$A508-1,COLUMN('1-DATA'!AP507)),ROUND(INDEX('1-DATA'!$1:$1048576,IF(OR($B509="STD. DEVIATION",$C$1=1),$A509,$A509+1),COLUMN('1-DATA'!AP507)),IF($B509="STD. DEVIATION",2,$F$1))))</f>
        <v/>
      </c>
      <c r="AR509" s="1" t="str">
        <f>IF(OR($B509="",AR$7=""),"",IF($B509="MEANS",INDEX('1-DATA'!$1:$1048576,$A508-1,COLUMN('1-DATA'!AQ507)),ROUND(INDEX('1-DATA'!$1:$1048576,IF(OR($B509="STD. DEVIATION",$C$1=1),$A509,$A509+1),COLUMN('1-DATA'!AQ507)),IF($B509="STD. DEVIATION",2,$F$1))))</f>
        <v/>
      </c>
      <c r="AS509" s="1" t="str">
        <f>IF(OR($B509="",AS$7=""),"",IF($B509="MEANS",INDEX('1-DATA'!$1:$1048576,$A508-1,COLUMN('1-DATA'!AR507)),ROUND(INDEX('1-DATA'!$1:$1048576,IF(OR($B509="STD. DEVIATION",$C$1=1),$A509,$A509+1),COLUMN('1-DATA'!AR507)),IF($B509="STD. DEVIATION",2,$F$1))))</f>
        <v/>
      </c>
      <c r="AT509" s="1" t="str">
        <f>IF(OR($B509="",AT$7=""),"",IF($B509="MEANS",INDEX('1-DATA'!$1:$1048576,$A508-1,COLUMN('1-DATA'!AS507)),ROUND(INDEX('1-DATA'!$1:$1048576,IF(OR($B509="STD. DEVIATION",$C$1=1),$A509,$A509+1),COLUMN('1-DATA'!AS507)),IF($B509="STD. DEVIATION",2,$F$1))))</f>
        <v/>
      </c>
      <c r="AU509" s="1" t="str">
        <f>IF(OR($B509="",AU$7=""),"",IF($B509="MEANS",INDEX('1-DATA'!$1:$1048576,$A508-1,COLUMN('1-DATA'!AT507)),ROUND(INDEX('1-DATA'!$1:$1048576,IF(OR($B509="STD. DEVIATION",$C$1=1),$A509,$A509+1),COLUMN('1-DATA'!AT507)),IF($B509="STD. DEVIATION",2,$F$1))))</f>
        <v/>
      </c>
      <c r="AV509" s="1" t="str">
        <f>IF(OR($B509="",AV$7=""),"",IF($B509="MEANS",INDEX('1-DATA'!$1:$1048576,$A508-1,COLUMN('1-DATA'!AU507)),ROUND(INDEX('1-DATA'!$1:$1048576,IF(OR($B509="STD. DEVIATION",$C$1=1),$A509,$A509+1),COLUMN('1-DATA'!AU507)),IF($B509="STD. DEVIATION",2,$F$1))))</f>
        <v/>
      </c>
      <c r="AW509" s="1" t="str">
        <f>IF(OR($B509="",AW$7=""),"",IF($B509="MEANS",INDEX('1-DATA'!$1:$1048576,$A508-1,COLUMN('1-DATA'!AV507)),ROUND(INDEX('1-DATA'!$1:$1048576,IF(OR($B509="STD. DEVIATION",$C$1=1),$A509,$A509+1),COLUMN('1-DATA'!AV507)),IF($B509="STD. DEVIATION",2,$F$1))))</f>
        <v/>
      </c>
      <c r="AX509" s="1" t="str">
        <f>IF(OR($B509="",AX$7=""),"",IF($B509="MEANS",INDEX('1-DATA'!$1:$1048576,$A508-1,COLUMN('1-DATA'!AW507)),ROUND(INDEX('1-DATA'!$1:$1048576,IF(OR($B509="STD. DEVIATION",$C$1=1),$A509,$A509+1),COLUMN('1-DATA'!AW507)),IF($B509="STD. DEVIATION",2,$F$1))))</f>
        <v/>
      </c>
      <c r="AY509" s="1" t="str">
        <f>IF(OR($B509="",AY$7=""),"",IF($B509="MEANS",INDEX('1-DATA'!$1:$1048576,$A508-1,COLUMN('1-DATA'!AX507)),ROUND(INDEX('1-DATA'!$1:$1048576,IF(OR($B509="STD. DEVIATION",$C$1=1),$A509,$A509+1),COLUMN('1-DATA'!AX507)),IF($B509="STD. DEVIATION",2,$F$1))))</f>
        <v/>
      </c>
      <c r="AZ509" s="1" t="str">
        <f>IF(OR($B509="",AZ$7=""),"",IF($B509="MEANS",INDEX('1-DATA'!$1:$1048576,$A508-1,COLUMN('1-DATA'!AY507)),ROUND(INDEX('1-DATA'!$1:$1048576,IF(OR($B509="STD. DEVIATION",$C$1=1),$A509,$A509+1),COLUMN('1-DATA'!AY507)),IF($B509="STD. DEVIATION",2,$F$1))))</f>
        <v/>
      </c>
    </row>
    <row r="510" spans="1:52" x14ac:dyDescent="0.25">
      <c r="A510" s="11">
        <f t="shared" si="8"/>
        <v>1516</v>
      </c>
      <c r="B510" s="1" t="str">
        <f>IF(B509="STD. DEVIATION",INDEX('1-DATA'!$1:$1048576,$A509-1,1),IF(INDEX('1-DATA'!$1:$1048576,$A510,1)&lt;&gt;"",INDEX('1-DATA'!$1:$1048576,$A510,1),""))</f>
        <v/>
      </c>
      <c r="C510" s="1" t="str">
        <f>IF(OR($B510="",C$7=""),"",IF($B510="MEANS",INDEX('1-DATA'!$1:$1048576,$A509-1,COLUMN('1-DATA'!B508)),ROUND(INDEX('1-DATA'!$1:$1048576,IF(OR($B510="STD. DEVIATION",$C$1=1),$A510,$A510+1),COLUMN('1-DATA'!B508)),IF($B510="STD. DEVIATION",2,$F$1))))</f>
        <v/>
      </c>
      <c r="D510" s="1" t="str">
        <f>IF(OR($B510="",D$7=""),"",IF($B510="MEANS",INDEX('1-DATA'!$1:$1048576,$A509-1,COLUMN('1-DATA'!C508)),ROUND(INDEX('1-DATA'!$1:$1048576,IF(OR($B510="STD. DEVIATION",$C$1=1),$A510,$A510+1),COLUMN('1-DATA'!C508)),IF($B510="STD. DEVIATION",2,$F$1))))</f>
        <v/>
      </c>
      <c r="E510" s="1" t="str">
        <f>IF(OR($B510="",E$7=""),"",IF($B510="MEANS",INDEX('1-DATA'!$1:$1048576,$A509-1,COLUMN('1-DATA'!D508)),ROUND(INDEX('1-DATA'!$1:$1048576,IF(OR($B510="STD. DEVIATION",$C$1=1),$A510,$A510+1),COLUMN('1-DATA'!D508)),IF($B510="STD. DEVIATION",2,$F$1))))</f>
        <v/>
      </c>
      <c r="F510" s="1" t="str">
        <f>IF(OR($B510="",F$7=""),"",IF($B510="MEANS",INDEX('1-DATA'!$1:$1048576,$A509-1,COLUMN('1-DATA'!E508)),ROUND(INDEX('1-DATA'!$1:$1048576,IF(OR($B510="STD. DEVIATION",$C$1=1),$A510,$A510+1),COLUMN('1-DATA'!E508)),IF($B510="STD. DEVIATION",2,$F$1))))</f>
        <v/>
      </c>
      <c r="G510" s="1" t="str">
        <f>IF(OR($B510="",G$7=""),"",IF($B510="MEANS",INDEX('1-DATA'!$1:$1048576,$A509-1,COLUMN('1-DATA'!F508)),ROUND(INDEX('1-DATA'!$1:$1048576,IF(OR($B510="STD. DEVIATION",$C$1=1),$A510,$A510+1),COLUMN('1-DATA'!F508)),IF($B510="STD. DEVIATION",2,$F$1))))</f>
        <v/>
      </c>
      <c r="H510" s="1" t="str">
        <f>IF(OR($B510="",H$7=""),"",IF($B510="MEANS",INDEX('1-DATA'!$1:$1048576,$A509-1,COLUMN('1-DATA'!G508)),ROUND(INDEX('1-DATA'!$1:$1048576,IF(OR($B510="STD. DEVIATION",$C$1=1),$A510,$A510+1),COLUMN('1-DATA'!G508)),IF($B510="STD. DEVIATION",2,$F$1))))</f>
        <v/>
      </c>
      <c r="I510" s="1" t="str">
        <f>IF(OR($B510="",I$7=""),"",IF($B510="MEANS",INDEX('1-DATA'!$1:$1048576,$A509-1,COLUMN('1-DATA'!H508)),ROUND(INDEX('1-DATA'!$1:$1048576,IF(OR($B510="STD. DEVIATION",$C$1=1),$A510,$A510+1),COLUMN('1-DATA'!H508)),IF($B510="STD. DEVIATION",2,$F$1))))</f>
        <v/>
      </c>
      <c r="J510" s="1" t="str">
        <f>IF(OR($B510="",J$7=""),"",IF($B510="MEANS",INDEX('1-DATA'!$1:$1048576,$A509-1,COLUMN('1-DATA'!I508)),ROUND(INDEX('1-DATA'!$1:$1048576,IF(OR($B510="STD. DEVIATION",$C$1=1),$A510,$A510+1),COLUMN('1-DATA'!I508)),IF($B510="STD. DEVIATION",2,$F$1))))</f>
        <v/>
      </c>
      <c r="K510" s="1" t="str">
        <f>IF(OR($B510="",K$7=""),"",IF($B510="MEANS",INDEX('1-DATA'!$1:$1048576,$A509-1,COLUMN('1-DATA'!J508)),ROUND(INDEX('1-DATA'!$1:$1048576,IF(OR($B510="STD. DEVIATION",$C$1=1),$A510,$A510+1),COLUMN('1-DATA'!J508)),IF($B510="STD. DEVIATION",2,$F$1))))</f>
        <v/>
      </c>
      <c r="L510" s="1" t="str">
        <f>IF(OR($B510="",L$7=""),"",IF($B510="MEANS",INDEX('1-DATA'!$1:$1048576,$A509-1,COLUMN('1-DATA'!K508)),ROUND(INDEX('1-DATA'!$1:$1048576,IF(OR($B510="STD. DEVIATION",$C$1=1),$A510,$A510+1),COLUMN('1-DATA'!K508)),IF($B510="STD. DEVIATION",2,$F$1))))</f>
        <v/>
      </c>
      <c r="M510" s="1" t="str">
        <f>IF(OR($B510="",M$7=""),"",IF($B510="MEANS",INDEX('1-DATA'!$1:$1048576,$A509-1,COLUMN('1-DATA'!L508)),ROUND(INDEX('1-DATA'!$1:$1048576,IF(OR($B510="STD. DEVIATION",$C$1=1),$A510,$A510+1),COLUMN('1-DATA'!L508)),IF($B510="STD. DEVIATION",2,$F$1))))</f>
        <v/>
      </c>
      <c r="N510" s="1" t="str">
        <f>IF(OR($B510="",N$7=""),"",IF($B510="MEANS",INDEX('1-DATA'!$1:$1048576,$A509-1,COLUMN('1-DATA'!M508)),ROUND(INDEX('1-DATA'!$1:$1048576,IF(OR($B510="STD. DEVIATION",$C$1=1),$A510,$A510+1),COLUMN('1-DATA'!M508)),IF($B510="STD. DEVIATION",2,$F$1))))</f>
        <v/>
      </c>
      <c r="O510" s="1" t="str">
        <f>IF(OR($B510="",O$7=""),"",IF($B510="MEANS",INDEX('1-DATA'!$1:$1048576,$A509-1,COLUMN('1-DATA'!N508)),ROUND(INDEX('1-DATA'!$1:$1048576,IF(OR($B510="STD. DEVIATION",$C$1=1),$A510,$A510+1),COLUMN('1-DATA'!N508)),IF($B510="STD. DEVIATION",2,$F$1))))</f>
        <v/>
      </c>
      <c r="P510" s="1" t="str">
        <f>IF(OR($B510="",P$7=""),"",IF($B510="MEANS",INDEX('1-DATA'!$1:$1048576,$A509-1,COLUMN('1-DATA'!O508)),ROUND(INDEX('1-DATA'!$1:$1048576,IF(OR($B510="STD. DEVIATION",$C$1=1),$A510,$A510+1),COLUMN('1-DATA'!O508)),IF($B510="STD. DEVIATION",2,$F$1))))</f>
        <v/>
      </c>
      <c r="Q510" s="1" t="str">
        <f>IF(OR($B510="",Q$7=""),"",IF($B510="MEANS",INDEX('1-DATA'!$1:$1048576,$A509-1,COLUMN('1-DATA'!P508)),ROUND(INDEX('1-DATA'!$1:$1048576,IF(OR($B510="STD. DEVIATION",$C$1=1),$A510,$A510+1),COLUMN('1-DATA'!P508)),IF($B510="STD. DEVIATION",2,$F$1))))</f>
        <v/>
      </c>
      <c r="R510" s="1" t="str">
        <f>IF(OR($B510="",R$7=""),"",IF($B510="MEANS",INDEX('1-DATA'!$1:$1048576,$A509-1,COLUMN('1-DATA'!Q508)),ROUND(INDEX('1-DATA'!$1:$1048576,IF(OR($B510="STD. DEVIATION",$C$1=1),$A510,$A510+1),COLUMN('1-DATA'!Q508)),IF($B510="STD. DEVIATION",2,$F$1))))</f>
        <v/>
      </c>
      <c r="S510" s="1" t="str">
        <f>IF(OR($B510="",S$7=""),"",IF($B510="MEANS",INDEX('1-DATA'!$1:$1048576,$A509-1,COLUMN('1-DATA'!R508)),ROUND(INDEX('1-DATA'!$1:$1048576,IF(OR($B510="STD. DEVIATION",$C$1=1),$A510,$A510+1),COLUMN('1-DATA'!R508)),IF($B510="STD. DEVIATION",2,$F$1))))</f>
        <v/>
      </c>
      <c r="T510" s="1" t="str">
        <f>IF(OR($B510="",T$7=""),"",IF($B510="MEANS",INDEX('1-DATA'!$1:$1048576,$A509-1,COLUMN('1-DATA'!S508)),ROUND(INDEX('1-DATA'!$1:$1048576,IF(OR($B510="STD. DEVIATION",$C$1=1),$A510,$A510+1),COLUMN('1-DATA'!S508)),IF($B510="STD. DEVIATION",2,$F$1))))</f>
        <v/>
      </c>
      <c r="U510" s="1" t="str">
        <f>IF(OR($B510="",U$7=""),"",IF($B510="MEANS",INDEX('1-DATA'!$1:$1048576,$A509-1,COLUMN('1-DATA'!T508)),ROUND(INDEX('1-DATA'!$1:$1048576,IF(OR($B510="STD. DEVIATION",$C$1=1),$A510,$A510+1),COLUMN('1-DATA'!T508)),IF($B510="STD. DEVIATION",2,$F$1))))</f>
        <v/>
      </c>
      <c r="V510" s="1" t="str">
        <f>IF(OR($B510="",V$7=""),"",IF($B510="MEANS",INDEX('1-DATA'!$1:$1048576,$A509-1,COLUMN('1-DATA'!U508)),ROUND(INDEX('1-DATA'!$1:$1048576,IF(OR($B510="STD. DEVIATION",$C$1=1),$A510,$A510+1),COLUMN('1-DATA'!U508)),IF($B510="STD. DEVIATION",2,$F$1))))</f>
        <v/>
      </c>
      <c r="W510" s="1" t="str">
        <f>IF(OR($B510="",W$7=""),"",IF($B510="MEANS",INDEX('1-DATA'!$1:$1048576,$A509-1,COLUMN('1-DATA'!V508)),ROUND(INDEX('1-DATA'!$1:$1048576,IF(OR($B510="STD. DEVIATION",$C$1=1),$A510,$A510+1),COLUMN('1-DATA'!V508)),IF($B510="STD. DEVIATION",2,$F$1))))</f>
        <v/>
      </c>
      <c r="X510" s="1" t="str">
        <f>IF(OR($B510="",X$7=""),"",IF($B510="MEANS",INDEX('1-DATA'!$1:$1048576,$A509-1,COLUMN('1-DATA'!W508)),ROUND(INDEX('1-DATA'!$1:$1048576,IF(OR($B510="STD. DEVIATION",$C$1=1),$A510,$A510+1),COLUMN('1-DATA'!W508)),IF($B510="STD. DEVIATION",2,$F$1))))</f>
        <v/>
      </c>
      <c r="Y510" s="1" t="str">
        <f>IF(OR($B510="",Y$7=""),"",IF($B510="MEANS",INDEX('1-DATA'!$1:$1048576,$A509-1,COLUMN('1-DATA'!X508)),ROUND(INDEX('1-DATA'!$1:$1048576,IF(OR($B510="STD. DEVIATION",$C$1=1),$A510,$A510+1),COLUMN('1-DATA'!X508)),IF($B510="STD. DEVIATION",2,$F$1))))</f>
        <v/>
      </c>
      <c r="Z510" s="1" t="str">
        <f>IF(OR($B510="",Z$7=""),"",IF($B510="MEANS",INDEX('1-DATA'!$1:$1048576,$A509-1,COLUMN('1-DATA'!Y508)),ROUND(INDEX('1-DATA'!$1:$1048576,IF(OR($B510="STD. DEVIATION",$C$1=1),$A510,$A510+1),COLUMN('1-DATA'!Y508)),IF($B510="STD. DEVIATION",2,$F$1))))</f>
        <v/>
      </c>
      <c r="AA510" s="1" t="str">
        <f>IF(OR($B510="",AA$7=""),"",IF($B510="MEANS",INDEX('1-DATA'!$1:$1048576,$A509-1,COLUMN('1-DATA'!Z508)),ROUND(INDEX('1-DATA'!$1:$1048576,IF(OR($B510="STD. DEVIATION",$C$1=1),$A510,$A510+1),COLUMN('1-DATA'!Z508)),IF($B510="STD. DEVIATION",2,$F$1))))</f>
        <v/>
      </c>
      <c r="AB510" s="1" t="str">
        <f>IF(OR($B510="",AB$7=""),"",IF($B510="MEANS",INDEX('1-DATA'!$1:$1048576,$A509-1,COLUMN('1-DATA'!AA508)),ROUND(INDEX('1-DATA'!$1:$1048576,IF(OR($B510="STD. DEVIATION",$C$1=1),$A510,$A510+1),COLUMN('1-DATA'!AA508)),IF($B510="STD. DEVIATION",2,$F$1))))</f>
        <v/>
      </c>
      <c r="AC510" s="1" t="str">
        <f>IF(OR($B510="",AC$7=""),"",IF($B510="MEANS",INDEX('1-DATA'!$1:$1048576,$A509-1,COLUMN('1-DATA'!AB508)),ROUND(INDEX('1-DATA'!$1:$1048576,IF(OR($B510="STD. DEVIATION",$C$1=1),$A510,$A510+1),COLUMN('1-DATA'!AB508)),IF($B510="STD. DEVIATION",2,$F$1))))</f>
        <v/>
      </c>
      <c r="AD510" s="1" t="str">
        <f>IF(OR($B510="",AD$7=""),"",IF($B510="MEANS",INDEX('1-DATA'!$1:$1048576,$A509-1,COLUMN('1-DATA'!AC508)),ROUND(INDEX('1-DATA'!$1:$1048576,IF(OR($B510="STD. DEVIATION",$C$1=1),$A510,$A510+1),COLUMN('1-DATA'!AC508)),IF($B510="STD. DEVIATION",2,$F$1))))</f>
        <v/>
      </c>
      <c r="AE510" s="1" t="str">
        <f>IF(OR($B510="",AE$7=""),"",IF($B510="MEANS",INDEX('1-DATA'!$1:$1048576,$A509-1,COLUMN('1-DATA'!AD508)),ROUND(INDEX('1-DATA'!$1:$1048576,IF(OR($B510="STD. DEVIATION",$C$1=1),$A510,$A510+1),COLUMN('1-DATA'!AD508)),IF($B510="STD. DEVIATION",2,$F$1))))</f>
        <v/>
      </c>
      <c r="AF510" s="1" t="str">
        <f>IF(OR($B510="",AF$7=""),"",IF($B510="MEANS",INDEX('1-DATA'!$1:$1048576,$A509-1,COLUMN('1-DATA'!AE508)),ROUND(INDEX('1-DATA'!$1:$1048576,IF(OR($B510="STD. DEVIATION",$C$1=1),$A510,$A510+1),COLUMN('1-DATA'!AE508)),IF($B510="STD. DEVIATION",2,$F$1))))</f>
        <v/>
      </c>
      <c r="AG510" s="1" t="str">
        <f>IF(OR($B510="",AG$7=""),"",IF($B510="MEANS",INDEX('1-DATA'!$1:$1048576,$A509-1,COLUMN('1-DATA'!AF508)),ROUND(INDEX('1-DATA'!$1:$1048576,IF(OR($B510="STD. DEVIATION",$C$1=1),$A510,$A510+1),COLUMN('1-DATA'!AF508)),IF($B510="STD. DEVIATION",2,$F$1))))</f>
        <v/>
      </c>
      <c r="AH510" s="1" t="str">
        <f>IF(OR($B510="",AH$7=""),"",IF($B510="MEANS",INDEX('1-DATA'!$1:$1048576,$A509-1,COLUMN('1-DATA'!AG508)),ROUND(INDEX('1-DATA'!$1:$1048576,IF(OR($B510="STD. DEVIATION",$C$1=1),$A510,$A510+1),COLUMN('1-DATA'!AG508)),IF($B510="STD. DEVIATION",2,$F$1))))</f>
        <v/>
      </c>
      <c r="AI510" s="1" t="str">
        <f>IF(OR($B510="",AI$7=""),"",IF($B510="MEANS",INDEX('1-DATA'!$1:$1048576,$A509-1,COLUMN('1-DATA'!AH508)),ROUND(INDEX('1-DATA'!$1:$1048576,IF(OR($B510="STD. DEVIATION",$C$1=1),$A510,$A510+1),COLUMN('1-DATA'!AH508)),IF($B510="STD. DEVIATION",2,$F$1))))</f>
        <v/>
      </c>
      <c r="AJ510" s="1" t="str">
        <f>IF(OR($B510="",AJ$7=""),"",IF($B510="MEANS",INDEX('1-DATA'!$1:$1048576,$A509-1,COLUMN('1-DATA'!AI508)),ROUND(INDEX('1-DATA'!$1:$1048576,IF(OR($B510="STD. DEVIATION",$C$1=1),$A510,$A510+1),COLUMN('1-DATA'!AI508)),IF($B510="STD. DEVIATION",2,$F$1))))</f>
        <v/>
      </c>
      <c r="AK510" s="1" t="str">
        <f>IF(OR($B510="",AK$7=""),"",IF($B510="MEANS",INDEX('1-DATA'!$1:$1048576,$A509-1,COLUMN('1-DATA'!AJ508)),ROUND(INDEX('1-DATA'!$1:$1048576,IF(OR($B510="STD. DEVIATION",$C$1=1),$A510,$A510+1),COLUMN('1-DATA'!AJ508)),IF($B510="STD. DEVIATION",2,$F$1))))</f>
        <v/>
      </c>
      <c r="AL510" s="1" t="str">
        <f>IF(OR($B510="",AL$7=""),"",IF($B510="MEANS",INDEX('1-DATA'!$1:$1048576,$A509-1,COLUMN('1-DATA'!AK508)),ROUND(INDEX('1-DATA'!$1:$1048576,IF(OR($B510="STD. DEVIATION",$C$1=1),$A510,$A510+1),COLUMN('1-DATA'!AK508)),IF($B510="STD. DEVIATION",2,$F$1))))</f>
        <v/>
      </c>
      <c r="AM510" s="1" t="str">
        <f>IF(OR($B510="",AM$7=""),"",IF($B510="MEANS",INDEX('1-DATA'!$1:$1048576,$A509-1,COLUMN('1-DATA'!AL508)),ROUND(INDEX('1-DATA'!$1:$1048576,IF(OR($B510="STD. DEVIATION",$C$1=1),$A510,$A510+1),COLUMN('1-DATA'!AL508)),IF($B510="STD. DEVIATION",2,$F$1))))</f>
        <v/>
      </c>
      <c r="AN510" s="1" t="str">
        <f>IF(OR($B510="",AN$7=""),"",IF($B510="MEANS",INDEX('1-DATA'!$1:$1048576,$A509-1,COLUMN('1-DATA'!AM508)),ROUND(INDEX('1-DATA'!$1:$1048576,IF(OR($B510="STD. DEVIATION",$C$1=1),$A510,$A510+1),COLUMN('1-DATA'!AM508)),IF($B510="STD. DEVIATION",2,$F$1))))</f>
        <v/>
      </c>
      <c r="AO510" s="1" t="str">
        <f>IF(OR($B510="",AO$7=""),"",IF($B510="MEANS",INDEX('1-DATA'!$1:$1048576,$A509-1,COLUMN('1-DATA'!AN508)),ROUND(INDEX('1-DATA'!$1:$1048576,IF(OR($B510="STD. DEVIATION",$C$1=1),$A510,$A510+1),COLUMN('1-DATA'!AN508)),IF($B510="STD. DEVIATION",2,$F$1))))</f>
        <v/>
      </c>
      <c r="AP510" s="1" t="str">
        <f>IF(OR($B510="",AP$7=""),"",IF($B510="MEANS",INDEX('1-DATA'!$1:$1048576,$A509-1,COLUMN('1-DATA'!AO508)),ROUND(INDEX('1-DATA'!$1:$1048576,IF(OR($B510="STD. DEVIATION",$C$1=1),$A510,$A510+1),COLUMN('1-DATA'!AO508)),IF($B510="STD. DEVIATION",2,$F$1))))</f>
        <v/>
      </c>
      <c r="AQ510" s="1" t="str">
        <f>IF(OR($B510="",AQ$7=""),"",IF($B510="MEANS",INDEX('1-DATA'!$1:$1048576,$A509-1,COLUMN('1-DATA'!AP508)),ROUND(INDEX('1-DATA'!$1:$1048576,IF(OR($B510="STD. DEVIATION",$C$1=1),$A510,$A510+1),COLUMN('1-DATA'!AP508)),IF($B510="STD. DEVIATION",2,$F$1))))</f>
        <v/>
      </c>
      <c r="AR510" s="1" t="str">
        <f>IF(OR($B510="",AR$7=""),"",IF($B510="MEANS",INDEX('1-DATA'!$1:$1048576,$A509-1,COLUMN('1-DATA'!AQ508)),ROUND(INDEX('1-DATA'!$1:$1048576,IF(OR($B510="STD. DEVIATION",$C$1=1),$A510,$A510+1),COLUMN('1-DATA'!AQ508)),IF($B510="STD. DEVIATION",2,$F$1))))</f>
        <v/>
      </c>
      <c r="AS510" s="1" t="str">
        <f>IF(OR($B510="",AS$7=""),"",IF($B510="MEANS",INDEX('1-DATA'!$1:$1048576,$A509-1,COLUMN('1-DATA'!AR508)),ROUND(INDEX('1-DATA'!$1:$1048576,IF(OR($B510="STD. DEVIATION",$C$1=1),$A510,$A510+1),COLUMN('1-DATA'!AR508)),IF($B510="STD. DEVIATION",2,$F$1))))</f>
        <v/>
      </c>
      <c r="AT510" s="1" t="str">
        <f>IF(OR($B510="",AT$7=""),"",IF($B510="MEANS",INDEX('1-DATA'!$1:$1048576,$A509-1,COLUMN('1-DATA'!AS508)),ROUND(INDEX('1-DATA'!$1:$1048576,IF(OR($B510="STD. DEVIATION",$C$1=1),$A510,$A510+1),COLUMN('1-DATA'!AS508)),IF($B510="STD. DEVIATION",2,$F$1))))</f>
        <v/>
      </c>
      <c r="AU510" s="1" t="str">
        <f>IF(OR($B510="",AU$7=""),"",IF($B510="MEANS",INDEX('1-DATA'!$1:$1048576,$A509-1,COLUMN('1-DATA'!AT508)),ROUND(INDEX('1-DATA'!$1:$1048576,IF(OR($B510="STD. DEVIATION",$C$1=1),$A510,$A510+1),COLUMN('1-DATA'!AT508)),IF($B510="STD. DEVIATION",2,$F$1))))</f>
        <v/>
      </c>
      <c r="AV510" s="1" t="str">
        <f>IF(OR($B510="",AV$7=""),"",IF($B510="MEANS",INDEX('1-DATA'!$1:$1048576,$A509-1,COLUMN('1-DATA'!AU508)),ROUND(INDEX('1-DATA'!$1:$1048576,IF(OR($B510="STD. DEVIATION",$C$1=1),$A510,$A510+1),COLUMN('1-DATA'!AU508)),IF($B510="STD. DEVIATION",2,$F$1))))</f>
        <v/>
      </c>
      <c r="AW510" s="1" t="str">
        <f>IF(OR($B510="",AW$7=""),"",IF($B510="MEANS",INDEX('1-DATA'!$1:$1048576,$A509-1,COLUMN('1-DATA'!AV508)),ROUND(INDEX('1-DATA'!$1:$1048576,IF(OR($B510="STD. DEVIATION",$C$1=1),$A510,$A510+1),COLUMN('1-DATA'!AV508)),IF($B510="STD. DEVIATION",2,$F$1))))</f>
        <v/>
      </c>
      <c r="AX510" s="1" t="str">
        <f>IF(OR($B510="",AX$7=""),"",IF($B510="MEANS",INDEX('1-DATA'!$1:$1048576,$A509-1,COLUMN('1-DATA'!AW508)),ROUND(INDEX('1-DATA'!$1:$1048576,IF(OR($B510="STD. DEVIATION",$C$1=1),$A510,$A510+1),COLUMN('1-DATA'!AW508)),IF($B510="STD. DEVIATION",2,$F$1))))</f>
        <v/>
      </c>
      <c r="AY510" s="1" t="str">
        <f>IF(OR($B510="",AY$7=""),"",IF($B510="MEANS",INDEX('1-DATA'!$1:$1048576,$A509-1,COLUMN('1-DATA'!AX508)),ROUND(INDEX('1-DATA'!$1:$1048576,IF(OR($B510="STD. DEVIATION",$C$1=1),$A510,$A510+1),COLUMN('1-DATA'!AX508)),IF($B510="STD. DEVIATION",2,$F$1))))</f>
        <v/>
      </c>
      <c r="AZ510" s="1" t="str">
        <f>IF(OR($B510="",AZ$7=""),"",IF($B510="MEANS",INDEX('1-DATA'!$1:$1048576,$A509-1,COLUMN('1-DATA'!AY508)),ROUND(INDEX('1-DATA'!$1:$1048576,IF(OR($B510="STD. DEVIATION",$C$1=1),$A510,$A510+1),COLUMN('1-DATA'!AY508)),IF($B510="STD. DEVIATION",2,$F$1))))</f>
        <v/>
      </c>
    </row>
    <row r="511" spans="1:52" x14ac:dyDescent="0.25">
      <c r="A511" s="11">
        <f t="shared" si="8"/>
        <v>1519</v>
      </c>
      <c r="B511" s="1" t="str">
        <f>IF(B510="STD. DEVIATION",INDEX('1-DATA'!$1:$1048576,$A510-1,1),IF(INDEX('1-DATA'!$1:$1048576,$A511,1)&lt;&gt;"",INDEX('1-DATA'!$1:$1048576,$A511,1),""))</f>
        <v/>
      </c>
      <c r="C511" s="1" t="str">
        <f>IF(OR($B511="",C$7=""),"",IF($B511="MEANS",INDEX('1-DATA'!$1:$1048576,$A510-1,COLUMN('1-DATA'!B509)),ROUND(INDEX('1-DATA'!$1:$1048576,IF(OR($B511="STD. DEVIATION",$C$1=1),$A511,$A511+1),COLUMN('1-DATA'!B509)),IF($B511="STD. DEVIATION",2,$F$1))))</f>
        <v/>
      </c>
      <c r="D511" s="1" t="str">
        <f>IF(OR($B511="",D$7=""),"",IF($B511="MEANS",INDEX('1-DATA'!$1:$1048576,$A510-1,COLUMN('1-DATA'!C509)),ROUND(INDEX('1-DATA'!$1:$1048576,IF(OR($B511="STD. DEVIATION",$C$1=1),$A511,$A511+1),COLUMN('1-DATA'!C509)),IF($B511="STD. DEVIATION",2,$F$1))))</f>
        <v/>
      </c>
      <c r="E511" s="1" t="str">
        <f>IF(OR($B511="",E$7=""),"",IF($B511="MEANS",INDEX('1-DATA'!$1:$1048576,$A510-1,COLUMN('1-DATA'!D509)),ROUND(INDEX('1-DATA'!$1:$1048576,IF(OR($B511="STD. DEVIATION",$C$1=1),$A511,$A511+1),COLUMN('1-DATA'!D509)),IF($B511="STD. DEVIATION",2,$F$1))))</f>
        <v/>
      </c>
      <c r="F511" s="1" t="str">
        <f>IF(OR($B511="",F$7=""),"",IF($B511="MEANS",INDEX('1-DATA'!$1:$1048576,$A510-1,COLUMN('1-DATA'!E509)),ROUND(INDEX('1-DATA'!$1:$1048576,IF(OR($B511="STD. DEVIATION",$C$1=1),$A511,$A511+1),COLUMN('1-DATA'!E509)),IF($B511="STD. DEVIATION",2,$F$1))))</f>
        <v/>
      </c>
      <c r="G511" s="1" t="str">
        <f>IF(OR($B511="",G$7=""),"",IF($B511="MEANS",INDEX('1-DATA'!$1:$1048576,$A510-1,COLUMN('1-DATA'!F509)),ROUND(INDEX('1-DATA'!$1:$1048576,IF(OR($B511="STD. DEVIATION",$C$1=1),$A511,$A511+1),COLUMN('1-DATA'!F509)),IF($B511="STD. DEVIATION",2,$F$1))))</f>
        <v/>
      </c>
      <c r="H511" s="1" t="str">
        <f>IF(OR($B511="",H$7=""),"",IF($B511="MEANS",INDEX('1-DATA'!$1:$1048576,$A510-1,COLUMN('1-DATA'!G509)),ROUND(INDEX('1-DATA'!$1:$1048576,IF(OR($B511="STD. DEVIATION",$C$1=1),$A511,$A511+1),COLUMN('1-DATA'!G509)),IF($B511="STD. DEVIATION",2,$F$1))))</f>
        <v/>
      </c>
      <c r="I511" s="1" t="str">
        <f>IF(OR($B511="",I$7=""),"",IF($B511="MEANS",INDEX('1-DATA'!$1:$1048576,$A510-1,COLUMN('1-DATA'!H509)),ROUND(INDEX('1-DATA'!$1:$1048576,IF(OR($B511="STD. DEVIATION",$C$1=1),$A511,$A511+1),COLUMN('1-DATA'!H509)),IF($B511="STD. DEVIATION",2,$F$1))))</f>
        <v/>
      </c>
      <c r="J511" s="1" t="str">
        <f>IF(OR($B511="",J$7=""),"",IF($B511="MEANS",INDEX('1-DATA'!$1:$1048576,$A510-1,COLUMN('1-DATA'!I509)),ROUND(INDEX('1-DATA'!$1:$1048576,IF(OR($B511="STD. DEVIATION",$C$1=1),$A511,$A511+1),COLUMN('1-DATA'!I509)),IF($B511="STD. DEVIATION",2,$F$1))))</f>
        <v/>
      </c>
      <c r="K511" s="1" t="str">
        <f>IF(OR($B511="",K$7=""),"",IF($B511="MEANS",INDEX('1-DATA'!$1:$1048576,$A510-1,COLUMN('1-DATA'!J509)),ROUND(INDEX('1-DATA'!$1:$1048576,IF(OR($B511="STD. DEVIATION",$C$1=1),$A511,$A511+1),COLUMN('1-DATA'!J509)),IF($B511="STD. DEVIATION",2,$F$1))))</f>
        <v/>
      </c>
      <c r="L511" s="1" t="str">
        <f>IF(OR($B511="",L$7=""),"",IF($B511="MEANS",INDEX('1-DATA'!$1:$1048576,$A510-1,COLUMN('1-DATA'!K509)),ROUND(INDEX('1-DATA'!$1:$1048576,IF(OR($B511="STD. DEVIATION",$C$1=1),$A511,$A511+1),COLUMN('1-DATA'!K509)),IF($B511="STD. DEVIATION",2,$F$1))))</f>
        <v/>
      </c>
      <c r="M511" s="1" t="str">
        <f>IF(OR($B511="",M$7=""),"",IF($B511="MEANS",INDEX('1-DATA'!$1:$1048576,$A510-1,COLUMN('1-DATA'!L509)),ROUND(INDEX('1-DATA'!$1:$1048576,IF(OR($B511="STD. DEVIATION",$C$1=1),$A511,$A511+1),COLUMN('1-DATA'!L509)),IF($B511="STD. DEVIATION",2,$F$1))))</f>
        <v/>
      </c>
      <c r="N511" s="1" t="str">
        <f>IF(OR($B511="",N$7=""),"",IF($B511="MEANS",INDEX('1-DATA'!$1:$1048576,$A510-1,COLUMN('1-DATA'!M509)),ROUND(INDEX('1-DATA'!$1:$1048576,IF(OR($B511="STD. DEVIATION",$C$1=1),$A511,$A511+1),COLUMN('1-DATA'!M509)),IF($B511="STD. DEVIATION",2,$F$1))))</f>
        <v/>
      </c>
      <c r="O511" s="1" t="str">
        <f>IF(OR($B511="",O$7=""),"",IF($B511="MEANS",INDEX('1-DATA'!$1:$1048576,$A510-1,COLUMN('1-DATA'!N509)),ROUND(INDEX('1-DATA'!$1:$1048576,IF(OR($B511="STD. DEVIATION",$C$1=1),$A511,$A511+1),COLUMN('1-DATA'!N509)),IF($B511="STD. DEVIATION",2,$F$1))))</f>
        <v/>
      </c>
      <c r="P511" s="1" t="str">
        <f>IF(OR($B511="",P$7=""),"",IF($B511="MEANS",INDEX('1-DATA'!$1:$1048576,$A510-1,COLUMN('1-DATA'!O509)),ROUND(INDEX('1-DATA'!$1:$1048576,IF(OR($B511="STD. DEVIATION",$C$1=1),$A511,$A511+1),COLUMN('1-DATA'!O509)),IF($B511="STD. DEVIATION",2,$F$1))))</f>
        <v/>
      </c>
      <c r="Q511" s="1" t="str">
        <f>IF(OR($B511="",Q$7=""),"",IF($B511="MEANS",INDEX('1-DATA'!$1:$1048576,$A510-1,COLUMN('1-DATA'!P509)),ROUND(INDEX('1-DATA'!$1:$1048576,IF(OR($B511="STD. DEVIATION",$C$1=1),$A511,$A511+1),COLUMN('1-DATA'!P509)),IF($B511="STD. DEVIATION",2,$F$1))))</f>
        <v/>
      </c>
      <c r="R511" s="1" t="str">
        <f>IF(OR($B511="",R$7=""),"",IF($B511="MEANS",INDEX('1-DATA'!$1:$1048576,$A510-1,COLUMN('1-DATA'!Q509)),ROUND(INDEX('1-DATA'!$1:$1048576,IF(OR($B511="STD. DEVIATION",$C$1=1),$A511,$A511+1),COLUMN('1-DATA'!Q509)),IF($B511="STD. DEVIATION",2,$F$1))))</f>
        <v/>
      </c>
      <c r="S511" s="1" t="str">
        <f>IF(OR($B511="",S$7=""),"",IF($B511="MEANS",INDEX('1-DATA'!$1:$1048576,$A510-1,COLUMN('1-DATA'!R509)),ROUND(INDEX('1-DATA'!$1:$1048576,IF(OR($B511="STD. DEVIATION",$C$1=1),$A511,$A511+1),COLUMN('1-DATA'!R509)),IF($B511="STD. DEVIATION",2,$F$1))))</f>
        <v/>
      </c>
      <c r="T511" s="1" t="str">
        <f>IF(OR($B511="",T$7=""),"",IF($B511="MEANS",INDEX('1-DATA'!$1:$1048576,$A510-1,COLUMN('1-DATA'!S509)),ROUND(INDEX('1-DATA'!$1:$1048576,IF(OR($B511="STD. DEVIATION",$C$1=1),$A511,$A511+1),COLUMN('1-DATA'!S509)),IF($B511="STD. DEVIATION",2,$F$1))))</f>
        <v/>
      </c>
      <c r="U511" s="1" t="str">
        <f>IF(OR($B511="",U$7=""),"",IF($B511="MEANS",INDEX('1-DATA'!$1:$1048576,$A510-1,COLUMN('1-DATA'!T509)),ROUND(INDEX('1-DATA'!$1:$1048576,IF(OR($B511="STD. DEVIATION",$C$1=1),$A511,$A511+1),COLUMN('1-DATA'!T509)),IF($B511="STD. DEVIATION",2,$F$1))))</f>
        <v/>
      </c>
      <c r="V511" s="1" t="str">
        <f>IF(OR($B511="",V$7=""),"",IF($B511="MEANS",INDEX('1-DATA'!$1:$1048576,$A510-1,COLUMN('1-DATA'!U509)),ROUND(INDEX('1-DATA'!$1:$1048576,IF(OR($B511="STD. DEVIATION",$C$1=1),$A511,$A511+1),COLUMN('1-DATA'!U509)),IF($B511="STD. DEVIATION",2,$F$1))))</f>
        <v/>
      </c>
      <c r="W511" s="1" t="str">
        <f>IF(OR($B511="",W$7=""),"",IF($B511="MEANS",INDEX('1-DATA'!$1:$1048576,$A510-1,COLUMN('1-DATA'!V509)),ROUND(INDEX('1-DATA'!$1:$1048576,IF(OR($B511="STD. DEVIATION",$C$1=1),$A511,$A511+1),COLUMN('1-DATA'!V509)),IF($B511="STD. DEVIATION",2,$F$1))))</f>
        <v/>
      </c>
      <c r="X511" s="1" t="str">
        <f>IF(OR($B511="",X$7=""),"",IF($B511="MEANS",INDEX('1-DATA'!$1:$1048576,$A510-1,COLUMN('1-DATA'!W509)),ROUND(INDEX('1-DATA'!$1:$1048576,IF(OR($B511="STD. DEVIATION",$C$1=1),$A511,$A511+1),COLUMN('1-DATA'!W509)),IF($B511="STD. DEVIATION",2,$F$1))))</f>
        <v/>
      </c>
      <c r="Y511" s="1" t="str">
        <f>IF(OR($B511="",Y$7=""),"",IF($B511="MEANS",INDEX('1-DATA'!$1:$1048576,$A510-1,COLUMN('1-DATA'!X509)),ROUND(INDEX('1-DATA'!$1:$1048576,IF(OR($B511="STD. DEVIATION",$C$1=1),$A511,$A511+1),COLUMN('1-DATA'!X509)),IF($B511="STD. DEVIATION",2,$F$1))))</f>
        <v/>
      </c>
      <c r="Z511" s="1" t="str">
        <f>IF(OR($B511="",Z$7=""),"",IF($B511="MEANS",INDEX('1-DATA'!$1:$1048576,$A510-1,COLUMN('1-DATA'!Y509)),ROUND(INDEX('1-DATA'!$1:$1048576,IF(OR($B511="STD. DEVIATION",$C$1=1),$A511,$A511+1),COLUMN('1-DATA'!Y509)),IF($B511="STD. DEVIATION",2,$F$1))))</f>
        <v/>
      </c>
      <c r="AA511" s="1" t="str">
        <f>IF(OR($B511="",AA$7=""),"",IF($B511="MEANS",INDEX('1-DATA'!$1:$1048576,$A510-1,COLUMN('1-DATA'!Z509)),ROUND(INDEX('1-DATA'!$1:$1048576,IF(OR($B511="STD. DEVIATION",$C$1=1),$A511,$A511+1),COLUMN('1-DATA'!Z509)),IF($B511="STD. DEVIATION",2,$F$1))))</f>
        <v/>
      </c>
      <c r="AB511" s="1" t="str">
        <f>IF(OR($B511="",AB$7=""),"",IF($B511="MEANS",INDEX('1-DATA'!$1:$1048576,$A510-1,COLUMN('1-DATA'!AA509)),ROUND(INDEX('1-DATA'!$1:$1048576,IF(OR($B511="STD. DEVIATION",$C$1=1),$A511,$A511+1),COLUMN('1-DATA'!AA509)),IF($B511="STD. DEVIATION",2,$F$1))))</f>
        <v/>
      </c>
      <c r="AC511" s="1" t="str">
        <f>IF(OR($B511="",AC$7=""),"",IF($B511="MEANS",INDEX('1-DATA'!$1:$1048576,$A510-1,COLUMN('1-DATA'!AB509)),ROUND(INDEX('1-DATA'!$1:$1048576,IF(OR($B511="STD. DEVIATION",$C$1=1),$A511,$A511+1),COLUMN('1-DATA'!AB509)),IF($B511="STD. DEVIATION",2,$F$1))))</f>
        <v/>
      </c>
      <c r="AD511" s="1" t="str">
        <f>IF(OR($B511="",AD$7=""),"",IF($B511="MEANS",INDEX('1-DATA'!$1:$1048576,$A510-1,COLUMN('1-DATA'!AC509)),ROUND(INDEX('1-DATA'!$1:$1048576,IF(OR($B511="STD. DEVIATION",$C$1=1),$A511,$A511+1),COLUMN('1-DATA'!AC509)),IF($B511="STD. DEVIATION",2,$F$1))))</f>
        <v/>
      </c>
      <c r="AE511" s="1" t="str">
        <f>IF(OR($B511="",AE$7=""),"",IF($B511="MEANS",INDEX('1-DATA'!$1:$1048576,$A510-1,COLUMN('1-DATA'!AD509)),ROUND(INDEX('1-DATA'!$1:$1048576,IF(OR($B511="STD. DEVIATION",$C$1=1),$A511,$A511+1),COLUMN('1-DATA'!AD509)),IF($B511="STD. DEVIATION",2,$F$1))))</f>
        <v/>
      </c>
      <c r="AF511" s="1" t="str">
        <f>IF(OR($B511="",AF$7=""),"",IF($B511="MEANS",INDEX('1-DATA'!$1:$1048576,$A510-1,COLUMN('1-DATA'!AE509)),ROUND(INDEX('1-DATA'!$1:$1048576,IF(OR($B511="STD. DEVIATION",$C$1=1),$A511,$A511+1),COLUMN('1-DATA'!AE509)),IF($B511="STD. DEVIATION",2,$F$1))))</f>
        <v/>
      </c>
      <c r="AG511" s="1" t="str">
        <f>IF(OR($B511="",AG$7=""),"",IF($B511="MEANS",INDEX('1-DATA'!$1:$1048576,$A510-1,COLUMN('1-DATA'!AF509)),ROUND(INDEX('1-DATA'!$1:$1048576,IF(OR($B511="STD. DEVIATION",$C$1=1),$A511,$A511+1),COLUMN('1-DATA'!AF509)),IF($B511="STD. DEVIATION",2,$F$1))))</f>
        <v/>
      </c>
      <c r="AH511" s="1" t="str">
        <f>IF(OR($B511="",AH$7=""),"",IF($B511="MEANS",INDEX('1-DATA'!$1:$1048576,$A510-1,COLUMN('1-DATA'!AG509)),ROUND(INDEX('1-DATA'!$1:$1048576,IF(OR($B511="STD. DEVIATION",$C$1=1),$A511,$A511+1),COLUMN('1-DATA'!AG509)),IF($B511="STD. DEVIATION",2,$F$1))))</f>
        <v/>
      </c>
      <c r="AI511" s="1" t="str">
        <f>IF(OR($B511="",AI$7=""),"",IF($B511="MEANS",INDEX('1-DATA'!$1:$1048576,$A510-1,COLUMN('1-DATA'!AH509)),ROUND(INDEX('1-DATA'!$1:$1048576,IF(OR($B511="STD. DEVIATION",$C$1=1),$A511,$A511+1),COLUMN('1-DATA'!AH509)),IF($B511="STD. DEVIATION",2,$F$1))))</f>
        <v/>
      </c>
      <c r="AJ511" s="1" t="str">
        <f>IF(OR($B511="",AJ$7=""),"",IF($B511="MEANS",INDEX('1-DATA'!$1:$1048576,$A510-1,COLUMN('1-DATA'!AI509)),ROUND(INDEX('1-DATA'!$1:$1048576,IF(OR($B511="STD. DEVIATION",$C$1=1),$A511,$A511+1),COLUMN('1-DATA'!AI509)),IF($B511="STD. DEVIATION",2,$F$1))))</f>
        <v/>
      </c>
      <c r="AK511" s="1" t="str">
        <f>IF(OR($B511="",AK$7=""),"",IF($B511="MEANS",INDEX('1-DATA'!$1:$1048576,$A510-1,COLUMN('1-DATA'!AJ509)),ROUND(INDEX('1-DATA'!$1:$1048576,IF(OR($B511="STD. DEVIATION",$C$1=1),$A511,$A511+1),COLUMN('1-DATA'!AJ509)),IF($B511="STD. DEVIATION",2,$F$1))))</f>
        <v/>
      </c>
      <c r="AL511" s="1" t="str">
        <f>IF(OR($B511="",AL$7=""),"",IF($B511="MEANS",INDEX('1-DATA'!$1:$1048576,$A510-1,COLUMN('1-DATA'!AK509)),ROUND(INDEX('1-DATA'!$1:$1048576,IF(OR($B511="STD. DEVIATION",$C$1=1),$A511,$A511+1),COLUMN('1-DATA'!AK509)),IF($B511="STD. DEVIATION",2,$F$1))))</f>
        <v/>
      </c>
      <c r="AM511" s="1" t="str">
        <f>IF(OR($B511="",AM$7=""),"",IF($B511="MEANS",INDEX('1-DATA'!$1:$1048576,$A510-1,COLUMN('1-DATA'!AL509)),ROUND(INDEX('1-DATA'!$1:$1048576,IF(OR($B511="STD. DEVIATION",$C$1=1),$A511,$A511+1),COLUMN('1-DATA'!AL509)),IF($B511="STD. DEVIATION",2,$F$1))))</f>
        <v/>
      </c>
      <c r="AN511" s="1" t="str">
        <f>IF(OR($B511="",AN$7=""),"",IF($B511="MEANS",INDEX('1-DATA'!$1:$1048576,$A510-1,COLUMN('1-DATA'!AM509)),ROUND(INDEX('1-DATA'!$1:$1048576,IF(OR($B511="STD. DEVIATION",$C$1=1),$A511,$A511+1),COLUMN('1-DATA'!AM509)),IF($B511="STD. DEVIATION",2,$F$1))))</f>
        <v/>
      </c>
      <c r="AO511" s="1" t="str">
        <f>IF(OR($B511="",AO$7=""),"",IF($B511="MEANS",INDEX('1-DATA'!$1:$1048576,$A510-1,COLUMN('1-DATA'!AN509)),ROUND(INDEX('1-DATA'!$1:$1048576,IF(OR($B511="STD. DEVIATION",$C$1=1),$A511,$A511+1),COLUMN('1-DATA'!AN509)),IF($B511="STD. DEVIATION",2,$F$1))))</f>
        <v/>
      </c>
      <c r="AP511" s="1" t="str">
        <f>IF(OR($B511="",AP$7=""),"",IF($B511="MEANS",INDEX('1-DATA'!$1:$1048576,$A510-1,COLUMN('1-DATA'!AO509)),ROUND(INDEX('1-DATA'!$1:$1048576,IF(OR($B511="STD. DEVIATION",$C$1=1),$A511,$A511+1),COLUMN('1-DATA'!AO509)),IF($B511="STD. DEVIATION",2,$F$1))))</f>
        <v/>
      </c>
      <c r="AQ511" s="1" t="str">
        <f>IF(OR($B511="",AQ$7=""),"",IF($B511="MEANS",INDEX('1-DATA'!$1:$1048576,$A510-1,COLUMN('1-DATA'!AP509)),ROUND(INDEX('1-DATA'!$1:$1048576,IF(OR($B511="STD. DEVIATION",$C$1=1),$A511,$A511+1),COLUMN('1-DATA'!AP509)),IF($B511="STD. DEVIATION",2,$F$1))))</f>
        <v/>
      </c>
      <c r="AR511" s="1" t="str">
        <f>IF(OR($B511="",AR$7=""),"",IF($B511="MEANS",INDEX('1-DATA'!$1:$1048576,$A510-1,COLUMN('1-DATA'!AQ509)),ROUND(INDEX('1-DATA'!$1:$1048576,IF(OR($B511="STD. DEVIATION",$C$1=1),$A511,$A511+1),COLUMN('1-DATA'!AQ509)),IF($B511="STD. DEVIATION",2,$F$1))))</f>
        <v/>
      </c>
      <c r="AS511" s="1" t="str">
        <f>IF(OR($B511="",AS$7=""),"",IF($B511="MEANS",INDEX('1-DATA'!$1:$1048576,$A510-1,COLUMN('1-DATA'!AR509)),ROUND(INDEX('1-DATA'!$1:$1048576,IF(OR($B511="STD. DEVIATION",$C$1=1),$A511,$A511+1),COLUMN('1-DATA'!AR509)),IF($B511="STD. DEVIATION",2,$F$1))))</f>
        <v/>
      </c>
      <c r="AT511" s="1" t="str">
        <f>IF(OR($B511="",AT$7=""),"",IF($B511="MEANS",INDEX('1-DATA'!$1:$1048576,$A510-1,COLUMN('1-DATA'!AS509)),ROUND(INDEX('1-DATA'!$1:$1048576,IF(OR($B511="STD. DEVIATION",$C$1=1),$A511,$A511+1),COLUMN('1-DATA'!AS509)),IF($B511="STD. DEVIATION",2,$F$1))))</f>
        <v/>
      </c>
      <c r="AU511" s="1" t="str">
        <f>IF(OR($B511="",AU$7=""),"",IF($B511="MEANS",INDEX('1-DATA'!$1:$1048576,$A510-1,COLUMN('1-DATA'!AT509)),ROUND(INDEX('1-DATA'!$1:$1048576,IF(OR($B511="STD. DEVIATION",$C$1=1),$A511,$A511+1),COLUMN('1-DATA'!AT509)),IF($B511="STD. DEVIATION",2,$F$1))))</f>
        <v/>
      </c>
      <c r="AV511" s="1" t="str">
        <f>IF(OR($B511="",AV$7=""),"",IF($B511="MEANS",INDEX('1-DATA'!$1:$1048576,$A510-1,COLUMN('1-DATA'!AU509)),ROUND(INDEX('1-DATA'!$1:$1048576,IF(OR($B511="STD. DEVIATION",$C$1=1),$A511,$A511+1),COLUMN('1-DATA'!AU509)),IF($B511="STD. DEVIATION",2,$F$1))))</f>
        <v/>
      </c>
      <c r="AW511" s="1" t="str">
        <f>IF(OR($B511="",AW$7=""),"",IF($B511="MEANS",INDEX('1-DATA'!$1:$1048576,$A510-1,COLUMN('1-DATA'!AV509)),ROUND(INDEX('1-DATA'!$1:$1048576,IF(OR($B511="STD. DEVIATION",$C$1=1),$A511,$A511+1),COLUMN('1-DATA'!AV509)),IF($B511="STD. DEVIATION",2,$F$1))))</f>
        <v/>
      </c>
      <c r="AX511" s="1" t="str">
        <f>IF(OR($B511="",AX$7=""),"",IF($B511="MEANS",INDEX('1-DATA'!$1:$1048576,$A510-1,COLUMN('1-DATA'!AW509)),ROUND(INDEX('1-DATA'!$1:$1048576,IF(OR($B511="STD. DEVIATION",$C$1=1),$A511,$A511+1),COLUMN('1-DATA'!AW509)),IF($B511="STD. DEVIATION",2,$F$1))))</f>
        <v/>
      </c>
      <c r="AY511" s="1" t="str">
        <f>IF(OR($B511="",AY$7=""),"",IF($B511="MEANS",INDEX('1-DATA'!$1:$1048576,$A510-1,COLUMN('1-DATA'!AX509)),ROUND(INDEX('1-DATA'!$1:$1048576,IF(OR($B511="STD. DEVIATION",$C$1=1),$A511,$A511+1),COLUMN('1-DATA'!AX509)),IF($B511="STD. DEVIATION",2,$F$1))))</f>
        <v/>
      </c>
      <c r="AZ511" s="1" t="str">
        <f>IF(OR($B511="",AZ$7=""),"",IF($B511="MEANS",INDEX('1-DATA'!$1:$1048576,$A510-1,COLUMN('1-DATA'!AY509)),ROUND(INDEX('1-DATA'!$1:$1048576,IF(OR($B511="STD. DEVIATION",$C$1=1),$A511,$A511+1),COLUMN('1-DATA'!AY509)),IF($B511="STD. DEVIATION",2,$F$1))))</f>
        <v/>
      </c>
    </row>
    <row r="512" spans="1:52" x14ac:dyDescent="0.25">
      <c r="A512" s="11">
        <f t="shared" si="8"/>
        <v>1522</v>
      </c>
      <c r="B512" s="1" t="str">
        <f>IF(B511="STD. DEVIATION",INDEX('1-DATA'!$1:$1048576,$A511-1,1),IF(INDEX('1-DATA'!$1:$1048576,$A512,1)&lt;&gt;"",INDEX('1-DATA'!$1:$1048576,$A512,1),""))</f>
        <v/>
      </c>
      <c r="C512" s="1" t="str">
        <f>IF(OR($B512="",C$7=""),"",IF($B512="MEANS",INDEX('1-DATA'!$1:$1048576,$A511-1,COLUMN('1-DATA'!B510)),ROUND(INDEX('1-DATA'!$1:$1048576,IF(OR($B512="STD. DEVIATION",$C$1=1),$A512,$A512+1),COLUMN('1-DATA'!B510)),IF($B512="STD. DEVIATION",2,$F$1))))</f>
        <v/>
      </c>
      <c r="D512" s="1" t="str">
        <f>IF(OR($B512="",D$7=""),"",IF($B512="MEANS",INDEX('1-DATA'!$1:$1048576,$A511-1,COLUMN('1-DATA'!C510)),ROUND(INDEX('1-DATA'!$1:$1048576,IF(OR($B512="STD. DEVIATION",$C$1=1),$A512,$A512+1),COLUMN('1-DATA'!C510)),IF($B512="STD. DEVIATION",2,$F$1))))</f>
        <v/>
      </c>
      <c r="E512" s="1" t="str">
        <f>IF(OR($B512="",E$7=""),"",IF($B512="MEANS",INDEX('1-DATA'!$1:$1048576,$A511-1,COLUMN('1-DATA'!D510)),ROUND(INDEX('1-DATA'!$1:$1048576,IF(OR($B512="STD. DEVIATION",$C$1=1),$A512,$A512+1),COLUMN('1-DATA'!D510)),IF($B512="STD. DEVIATION",2,$F$1))))</f>
        <v/>
      </c>
      <c r="F512" s="1" t="str">
        <f>IF(OR($B512="",F$7=""),"",IF($B512="MEANS",INDEX('1-DATA'!$1:$1048576,$A511-1,COLUMN('1-DATA'!E510)),ROUND(INDEX('1-DATA'!$1:$1048576,IF(OR($B512="STD. DEVIATION",$C$1=1),$A512,$A512+1),COLUMN('1-DATA'!E510)),IF($B512="STD. DEVIATION",2,$F$1))))</f>
        <v/>
      </c>
      <c r="G512" s="1" t="str">
        <f>IF(OR($B512="",G$7=""),"",IF($B512="MEANS",INDEX('1-DATA'!$1:$1048576,$A511-1,COLUMN('1-DATA'!F510)),ROUND(INDEX('1-DATA'!$1:$1048576,IF(OR($B512="STD. DEVIATION",$C$1=1),$A512,$A512+1),COLUMN('1-DATA'!F510)),IF($B512="STD. DEVIATION",2,$F$1))))</f>
        <v/>
      </c>
      <c r="H512" s="1" t="str">
        <f>IF(OR($B512="",H$7=""),"",IF($B512="MEANS",INDEX('1-DATA'!$1:$1048576,$A511-1,COLUMN('1-DATA'!G510)),ROUND(INDEX('1-DATA'!$1:$1048576,IF(OR($B512="STD. DEVIATION",$C$1=1),$A512,$A512+1),COLUMN('1-DATA'!G510)),IF($B512="STD. DEVIATION",2,$F$1))))</f>
        <v/>
      </c>
      <c r="I512" s="1" t="str">
        <f>IF(OR($B512="",I$7=""),"",IF($B512="MEANS",INDEX('1-DATA'!$1:$1048576,$A511-1,COLUMN('1-DATA'!H510)),ROUND(INDEX('1-DATA'!$1:$1048576,IF(OR($B512="STD. DEVIATION",$C$1=1),$A512,$A512+1),COLUMN('1-DATA'!H510)),IF($B512="STD. DEVIATION",2,$F$1))))</f>
        <v/>
      </c>
      <c r="J512" s="1" t="str">
        <f>IF(OR($B512="",J$7=""),"",IF($B512="MEANS",INDEX('1-DATA'!$1:$1048576,$A511-1,COLUMN('1-DATA'!I510)),ROUND(INDEX('1-DATA'!$1:$1048576,IF(OR($B512="STD. DEVIATION",$C$1=1),$A512,$A512+1),COLUMN('1-DATA'!I510)),IF($B512="STD. DEVIATION",2,$F$1))))</f>
        <v/>
      </c>
      <c r="K512" s="1" t="str">
        <f>IF(OR($B512="",K$7=""),"",IF($B512="MEANS",INDEX('1-DATA'!$1:$1048576,$A511-1,COLUMN('1-DATA'!J510)),ROUND(INDEX('1-DATA'!$1:$1048576,IF(OR($B512="STD. DEVIATION",$C$1=1),$A512,$A512+1),COLUMN('1-DATA'!J510)),IF($B512="STD. DEVIATION",2,$F$1))))</f>
        <v/>
      </c>
      <c r="L512" s="1" t="str">
        <f>IF(OR($B512="",L$7=""),"",IF($B512="MEANS",INDEX('1-DATA'!$1:$1048576,$A511-1,COLUMN('1-DATA'!K510)),ROUND(INDEX('1-DATA'!$1:$1048576,IF(OR($B512="STD. DEVIATION",$C$1=1),$A512,$A512+1),COLUMN('1-DATA'!K510)),IF($B512="STD. DEVIATION",2,$F$1))))</f>
        <v/>
      </c>
      <c r="M512" s="1" t="str">
        <f>IF(OR($B512="",M$7=""),"",IF($B512="MEANS",INDEX('1-DATA'!$1:$1048576,$A511-1,COLUMN('1-DATA'!L510)),ROUND(INDEX('1-DATA'!$1:$1048576,IF(OR($B512="STD. DEVIATION",$C$1=1),$A512,$A512+1),COLUMN('1-DATA'!L510)),IF($B512="STD. DEVIATION",2,$F$1))))</f>
        <v/>
      </c>
      <c r="N512" s="1" t="str">
        <f>IF(OR($B512="",N$7=""),"",IF($B512="MEANS",INDEX('1-DATA'!$1:$1048576,$A511-1,COLUMN('1-DATA'!M510)),ROUND(INDEX('1-DATA'!$1:$1048576,IF(OR($B512="STD. DEVIATION",$C$1=1),$A512,$A512+1),COLUMN('1-DATA'!M510)),IF($B512="STD. DEVIATION",2,$F$1))))</f>
        <v/>
      </c>
      <c r="O512" s="1" t="str">
        <f>IF(OR($B512="",O$7=""),"",IF($B512="MEANS",INDEX('1-DATA'!$1:$1048576,$A511-1,COLUMN('1-DATA'!N510)),ROUND(INDEX('1-DATA'!$1:$1048576,IF(OR($B512="STD. DEVIATION",$C$1=1),$A512,$A512+1),COLUMN('1-DATA'!N510)),IF($B512="STD. DEVIATION",2,$F$1))))</f>
        <v/>
      </c>
      <c r="P512" s="1" t="str">
        <f>IF(OR($B512="",P$7=""),"",IF($B512="MEANS",INDEX('1-DATA'!$1:$1048576,$A511-1,COLUMN('1-DATA'!O510)),ROUND(INDEX('1-DATA'!$1:$1048576,IF(OR($B512="STD. DEVIATION",$C$1=1),$A512,$A512+1),COLUMN('1-DATA'!O510)),IF($B512="STD. DEVIATION",2,$F$1))))</f>
        <v/>
      </c>
      <c r="Q512" s="1" t="str">
        <f>IF(OR($B512="",Q$7=""),"",IF($B512="MEANS",INDEX('1-DATA'!$1:$1048576,$A511-1,COLUMN('1-DATA'!P510)),ROUND(INDEX('1-DATA'!$1:$1048576,IF(OR($B512="STD. DEVIATION",$C$1=1),$A512,$A512+1),COLUMN('1-DATA'!P510)),IF($B512="STD. DEVIATION",2,$F$1))))</f>
        <v/>
      </c>
      <c r="R512" s="1" t="str">
        <f>IF(OR($B512="",R$7=""),"",IF($B512="MEANS",INDEX('1-DATA'!$1:$1048576,$A511-1,COLUMN('1-DATA'!Q510)),ROUND(INDEX('1-DATA'!$1:$1048576,IF(OR($B512="STD. DEVIATION",$C$1=1),$A512,$A512+1),COLUMN('1-DATA'!Q510)),IF($B512="STD. DEVIATION",2,$F$1))))</f>
        <v/>
      </c>
      <c r="S512" s="1" t="str">
        <f>IF(OR($B512="",S$7=""),"",IF($B512="MEANS",INDEX('1-DATA'!$1:$1048576,$A511-1,COLUMN('1-DATA'!R510)),ROUND(INDEX('1-DATA'!$1:$1048576,IF(OR($B512="STD. DEVIATION",$C$1=1),$A512,$A512+1),COLUMN('1-DATA'!R510)),IF($B512="STD. DEVIATION",2,$F$1))))</f>
        <v/>
      </c>
      <c r="T512" s="1" t="str">
        <f>IF(OR($B512="",T$7=""),"",IF($B512="MEANS",INDEX('1-DATA'!$1:$1048576,$A511-1,COLUMN('1-DATA'!S510)),ROUND(INDEX('1-DATA'!$1:$1048576,IF(OR($B512="STD. DEVIATION",$C$1=1),$A512,$A512+1),COLUMN('1-DATA'!S510)),IF($B512="STD. DEVIATION",2,$F$1))))</f>
        <v/>
      </c>
      <c r="U512" s="1" t="str">
        <f>IF(OR($B512="",U$7=""),"",IF($B512="MEANS",INDEX('1-DATA'!$1:$1048576,$A511-1,COLUMN('1-DATA'!T510)),ROUND(INDEX('1-DATA'!$1:$1048576,IF(OR($B512="STD. DEVIATION",$C$1=1),$A512,$A512+1),COLUMN('1-DATA'!T510)),IF($B512="STD. DEVIATION",2,$F$1))))</f>
        <v/>
      </c>
      <c r="V512" s="1" t="str">
        <f>IF(OR($B512="",V$7=""),"",IF($B512="MEANS",INDEX('1-DATA'!$1:$1048576,$A511-1,COLUMN('1-DATA'!U510)),ROUND(INDEX('1-DATA'!$1:$1048576,IF(OR($B512="STD. DEVIATION",$C$1=1),$A512,$A512+1),COLUMN('1-DATA'!U510)),IF($B512="STD. DEVIATION",2,$F$1))))</f>
        <v/>
      </c>
      <c r="W512" s="1" t="str">
        <f>IF(OR($B512="",W$7=""),"",IF($B512="MEANS",INDEX('1-DATA'!$1:$1048576,$A511-1,COLUMN('1-DATA'!V510)),ROUND(INDEX('1-DATA'!$1:$1048576,IF(OR($B512="STD. DEVIATION",$C$1=1),$A512,$A512+1),COLUMN('1-DATA'!V510)),IF($B512="STD. DEVIATION",2,$F$1))))</f>
        <v/>
      </c>
      <c r="X512" s="1" t="str">
        <f>IF(OR($B512="",X$7=""),"",IF($B512="MEANS",INDEX('1-DATA'!$1:$1048576,$A511-1,COLUMN('1-DATA'!W510)),ROUND(INDEX('1-DATA'!$1:$1048576,IF(OR($B512="STD. DEVIATION",$C$1=1),$A512,$A512+1),COLUMN('1-DATA'!W510)),IF($B512="STD. DEVIATION",2,$F$1))))</f>
        <v/>
      </c>
      <c r="Y512" s="1" t="str">
        <f>IF(OR($B512="",Y$7=""),"",IF($B512="MEANS",INDEX('1-DATA'!$1:$1048576,$A511-1,COLUMN('1-DATA'!X510)),ROUND(INDEX('1-DATA'!$1:$1048576,IF(OR($B512="STD. DEVIATION",$C$1=1),$A512,$A512+1),COLUMN('1-DATA'!X510)),IF($B512="STD. DEVIATION",2,$F$1))))</f>
        <v/>
      </c>
      <c r="Z512" s="1" t="str">
        <f>IF(OR($B512="",Z$7=""),"",IF($B512="MEANS",INDEX('1-DATA'!$1:$1048576,$A511-1,COLUMN('1-DATA'!Y510)),ROUND(INDEX('1-DATA'!$1:$1048576,IF(OR($B512="STD. DEVIATION",$C$1=1),$A512,$A512+1),COLUMN('1-DATA'!Y510)),IF($B512="STD. DEVIATION",2,$F$1))))</f>
        <v/>
      </c>
      <c r="AA512" s="1" t="str">
        <f>IF(OR($B512="",AA$7=""),"",IF($B512="MEANS",INDEX('1-DATA'!$1:$1048576,$A511-1,COLUMN('1-DATA'!Z510)),ROUND(INDEX('1-DATA'!$1:$1048576,IF(OR($B512="STD. DEVIATION",$C$1=1),$A512,$A512+1),COLUMN('1-DATA'!Z510)),IF($B512="STD. DEVIATION",2,$F$1))))</f>
        <v/>
      </c>
      <c r="AB512" s="1" t="str">
        <f>IF(OR($B512="",AB$7=""),"",IF($B512="MEANS",INDEX('1-DATA'!$1:$1048576,$A511-1,COLUMN('1-DATA'!AA510)),ROUND(INDEX('1-DATA'!$1:$1048576,IF(OR($B512="STD. DEVIATION",$C$1=1),$A512,$A512+1),COLUMN('1-DATA'!AA510)),IF($B512="STD. DEVIATION",2,$F$1))))</f>
        <v/>
      </c>
      <c r="AC512" s="1" t="str">
        <f>IF(OR($B512="",AC$7=""),"",IF($B512="MEANS",INDEX('1-DATA'!$1:$1048576,$A511-1,COLUMN('1-DATA'!AB510)),ROUND(INDEX('1-DATA'!$1:$1048576,IF(OR($B512="STD. DEVIATION",$C$1=1),$A512,$A512+1),COLUMN('1-DATA'!AB510)),IF($B512="STD. DEVIATION",2,$F$1))))</f>
        <v/>
      </c>
      <c r="AD512" s="1" t="str">
        <f>IF(OR($B512="",AD$7=""),"",IF($B512="MEANS",INDEX('1-DATA'!$1:$1048576,$A511-1,COLUMN('1-DATA'!AC510)),ROUND(INDEX('1-DATA'!$1:$1048576,IF(OR($B512="STD. DEVIATION",$C$1=1),$A512,$A512+1),COLUMN('1-DATA'!AC510)),IF($B512="STD. DEVIATION",2,$F$1))))</f>
        <v/>
      </c>
      <c r="AE512" s="1" t="str">
        <f>IF(OR($B512="",AE$7=""),"",IF($B512="MEANS",INDEX('1-DATA'!$1:$1048576,$A511-1,COLUMN('1-DATA'!AD510)),ROUND(INDEX('1-DATA'!$1:$1048576,IF(OR($B512="STD. DEVIATION",$C$1=1),$A512,$A512+1),COLUMN('1-DATA'!AD510)),IF($B512="STD. DEVIATION",2,$F$1))))</f>
        <v/>
      </c>
      <c r="AF512" s="1" t="str">
        <f>IF(OR($B512="",AF$7=""),"",IF($B512="MEANS",INDEX('1-DATA'!$1:$1048576,$A511-1,COLUMN('1-DATA'!AE510)),ROUND(INDEX('1-DATA'!$1:$1048576,IF(OR($B512="STD. DEVIATION",$C$1=1),$A512,$A512+1),COLUMN('1-DATA'!AE510)),IF($B512="STD. DEVIATION",2,$F$1))))</f>
        <v/>
      </c>
      <c r="AG512" s="1" t="str">
        <f>IF(OR($B512="",AG$7=""),"",IF($B512="MEANS",INDEX('1-DATA'!$1:$1048576,$A511-1,COLUMN('1-DATA'!AF510)),ROUND(INDEX('1-DATA'!$1:$1048576,IF(OR($B512="STD. DEVIATION",$C$1=1),$A512,$A512+1),COLUMN('1-DATA'!AF510)),IF($B512="STD. DEVIATION",2,$F$1))))</f>
        <v/>
      </c>
      <c r="AH512" s="1" t="str">
        <f>IF(OR($B512="",AH$7=""),"",IF($B512="MEANS",INDEX('1-DATA'!$1:$1048576,$A511-1,COLUMN('1-DATA'!AG510)),ROUND(INDEX('1-DATA'!$1:$1048576,IF(OR($B512="STD. DEVIATION",$C$1=1),$A512,$A512+1),COLUMN('1-DATA'!AG510)),IF($B512="STD. DEVIATION",2,$F$1))))</f>
        <v/>
      </c>
      <c r="AI512" s="1" t="str">
        <f>IF(OR($B512="",AI$7=""),"",IF($B512="MEANS",INDEX('1-DATA'!$1:$1048576,$A511-1,COLUMN('1-DATA'!AH510)),ROUND(INDEX('1-DATA'!$1:$1048576,IF(OR($B512="STD. DEVIATION",$C$1=1),$A512,$A512+1),COLUMN('1-DATA'!AH510)),IF($B512="STD. DEVIATION",2,$F$1))))</f>
        <v/>
      </c>
      <c r="AJ512" s="1" t="str">
        <f>IF(OR($B512="",AJ$7=""),"",IF($B512="MEANS",INDEX('1-DATA'!$1:$1048576,$A511-1,COLUMN('1-DATA'!AI510)),ROUND(INDEX('1-DATA'!$1:$1048576,IF(OR($B512="STD. DEVIATION",$C$1=1),$A512,$A512+1),COLUMN('1-DATA'!AI510)),IF($B512="STD. DEVIATION",2,$F$1))))</f>
        <v/>
      </c>
      <c r="AK512" s="1" t="str">
        <f>IF(OR($B512="",AK$7=""),"",IF($B512="MEANS",INDEX('1-DATA'!$1:$1048576,$A511-1,COLUMN('1-DATA'!AJ510)),ROUND(INDEX('1-DATA'!$1:$1048576,IF(OR($B512="STD. DEVIATION",$C$1=1),$A512,$A512+1),COLUMN('1-DATA'!AJ510)),IF($B512="STD. DEVIATION",2,$F$1))))</f>
        <v/>
      </c>
      <c r="AL512" s="1" t="str">
        <f>IF(OR($B512="",AL$7=""),"",IF($B512="MEANS",INDEX('1-DATA'!$1:$1048576,$A511-1,COLUMN('1-DATA'!AK510)),ROUND(INDEX('1-DATA'!$1:$1048576,IF(OR($B512="STD. DEVIATION",$C$1=1),$A512,$A512+1),COLUMN('1-DATA'!AK510)),IF($B512="STD. DEVIATION",2,$F$1))))</f>
        <v/>
      </c>
      <c r="AM512" s="1" t="str">
        <f>IF(OR($B512="",AM$7=""),"",IF($B512="MEANS",INDEX('1-DATA'!$1:$1048576,$A511-1,COLUMN('1-DATA'!AL510)),ROUND(INDEX('1-DATA'!$1:$1048576,IF(OR($B512="STD. DEVIATION",$C$1=1),$A512,$A512+1),COLUMN('1-DATA'!AL510)),IF($B512="STD. DEVIATION",2,$F$1))))</f>
        <v/>
      </c>
      <c r="AN512" s="1" t="str">
        <f>IF(OR($B512="",AN$7=""),"",IF($B512="MEANS",INDEX('1-DATA'!$1:$1048576,$A511-1,COLUMN('1-DATA'!AM510)),ROUND(INDEX('1-DATA'!$1:$1048576,IF(OR($B512="STD. DEVIATION",$C$1=1),$A512,$A512+1),COLUMN('1-DATA'!AM510)),IF($B512="STD. DEVIATION",2,$F$1))))</f>
        <v/>
      </c>
      <c r="AO512" s="1" t="str">
        <f>IF(OR($B512="",AO$7=""),"",IF($B512="MEANS",INDEX('1-DATA'!$1:$1048576,$A511-1,COLUMN('1-DATA'!AN510)),ROUND(INDEX('1-DATA'!$1:$1048576,IF(OR($B512="STD. DEVIATION",$C$1=1),$A512,$A512+1),COLUMN('1-DATA'!AN510)),IF($B512="STD. DEVIATION",2,$F$1))))</f>
        <v/>
      </c>
      <c r="AP512" s="1" t="str">
        <f>IF(OR($B512="",AP$7=""),"",IF($B512="MEANS",INDEX('1-DATA'!$1:$1048576,$A511-1,COLUMN('1-DATA'!AO510)),ROUND(INDEX('1-DATA'!$1:$1048576,IF(OR($B512="STD. DEVIATION",$C$1=1),$A512,$A512+1),COLUMN('1-DATA'!AO510)),IF($B512="STD. DEVIATION",2,$F$1))))</f>
        <v/>
      </c>
      <c r="AQ512" s="1" t="str">
        <f>IF(OR($B512="",AQ$7=""),"",IF($B512="MEANS",INDEX('1-DATA'!$1:$1048576,$A511-1,COLUMN('1-DATA'!AP510)),ROUND(INDEX('1-DATA'!$1:$1048576,IF(OR($B512="STD. DEVIATION",$C$1=1),$A512,$A512+1),COLUMN('1-DATA'!AP510)),IF($B512="STD. DEVIATION",2,$F$1))))</f>
        <v/>
      </c>
      <c r="AR512" s="1" t="str">
        <f>IF(OR($B512="",AR$7=""),"",IF($B512="MEANS",INDEX('1-DATA'!$1:$1048576,$A511-1,COLUMN('1-DATA'!AQ510)),ROUND(INDEX('1-DATA'!$1:$1048576,IF(OR($B512="STD. DEVIATION",$C$1=1),$A512,$A512+1),COLUMN('1-DATA'!AQ510)),IF($B512="STD. DEVIATION",2,$F$1))))</f>
        <v/>
      </c>
      <c r="AS512" s="1" t="str">
        <f>IF(OR($B512="",AS$7=""),"",IF($B512="MEANS",INDEX('1-DATA'!$1:$1048576,$A511-1,COLUMN('1-DATA'!AR510)),ROUND(INDEX('1-DATA'!$1:$1048576,IF(OR($B512="STD. DEVIATION",$C$1=1),$A512,$A512+1),COLUMN('1-DATA'!AR510)),IF($B512="STD. DEVIATION",2,$F$1))))</f>
        <v/>
      </c>
      <c r="AT512" s="1" t="str">
        <f>IF(OR($B512="",AT$7=""),"",IF($B512="MEANS",INDEX('1-DATA'!$1:$1048576,$A511-1,COLUMN('1-DATA'!AS510)),ROUND(INDEX('1-DATA'!$1:$1048576,IF(OR($B512="STD. DEVIATION",$C$1=1),$A512,$A512+1),COLUMN('1-DATA'!AS510)),IF($B512="STD. DEVIATION",2,$F$1))))</f>
        <v/>
      </c>
      <c r="AU512" s="1" t="str">
        <f>IF(OR($B512="",AU$7=""),"",IF($B512="MEANS",INDEX('1-DATA'!$1:$1048576,$A511-1,COLUMN('1-DATA'!AT510)),ROUND(INDEX('1-DATA'!$1:$1048576,IF(OR($B512="STD. DEVIATION",$C$1=1),$A512,$A512+1),COLUMN('1-DATA'!AT510)),IF($B512="STD. DEVIATION",2,$F$1))))</f>
        <v/>
      </c>
      <c r="AV512" s="1" t="str">
        <f>IF(OR($B512="",AV$7=""),"",IF($B512="MEANS",INDEX('1-DATA'!$1:$1048576,$A511-1,COLUMN('1-DATA'!AU510)),ROUND(INDEX('1-DATA'!$1:$1048576,IF(OR($B512="STD. DEVIATION",$C$1=1),$A512,$A512+1),COLUMN('1-DATA'!AU510)),IF($B512="STD. DEVIATION",2,$F$1))))</f>
        <v/>
      </c>
      <c r="AW512" s="1" t="str">
        <f>IF(OR($B512="",AW$7=""),"",IF($B512="MEANS",INDEX('1-DATA'!$1:$1048576,$A511-1,COLUMN('1-DATA'!AV510)),ROUND(INDEX('1-DATA'!$1:$1048576,IF(OR($B512="STD. DEVIATION",$C$1=1),$A512,$A512+1),COLUMN('1-DATA'!AV510)),IF($B512="STD. DEVIATION",2,$F$1))))</f>
        <v/>
      </c>
      <c r="AX512" s="1" t="str">
        <f>IF(OR($B512="",AX$7=""),"",IF($B512="MEANS",INDEX('1-DATA'!$1:$1048576,$A511-1,COLUMN('1-DATA'!AW510)),ROUND(INDEX('1-DATA'!$1:$1048576,IF(OR($B512="STD. DEVIATION",$C$1=1),$A512,$A512+1),COLUMN('1-DATA'!AW510)),IF($B512="STD. DEVIATION",2,$F$1))))</f>
        <v/>
      </c>
      <c r="AY512" s="1" t="str">
        <f>IF(OR($B512="",AY$7=""),"",IF($B512="MEANS",INDEX('1-DATA'!$1:$1048576,$A511-1,COLUMN('1-DATA'!AX510)),ROUND(INDEX('1-DATA'!$1:$1048576,IF(OR($B512="STD. DEVIATION",$C$1=1),$A512,$A512+1),COLUMN('1-DATA'!AX510)),IF($B512="STD. DEVIATION",2,$F$1))))</f>
        <v/>
      </c>
      <c r="AZ512" s="1" t="str">
        <f>IF(OR($B512="",AZ$7=""),"",IF($B512="MEANS",INDEX('1-DATA'!$1:$1048576,$A511-1,COLUMN('1-DATA'!AY510)),ROUND(INDEX('1-DATA'!$1:$1048576,IF(OR($B512="STD. DEVIATION",$C$1=1),$A512,$A512+1),COLUMN('1-DATA'!AY510)),IF($B512="STD. DEVIATION",2,$F$1))))</f>
        <v/>
      </c>
    </row>
    <row r="513" spans="1:52" x14ac:dyDescent="0.25">
      <c r="A513" s="11">
        <f t="shared" si="8"/>
        <v>1525</v>
      </c>
      <c r="B513" s="1" t="str">
        <f>IF(B512="STD. DEVIATION",INDEX('1-DATA'!$1:$1048576,$A512-1,1),IF(INDEX('1-DATA'!$1:$1048576,$A513,1)&lt;&gt;"",INDEX('1-DATA'!$1:$1048576,$A513,1),""))</f>
        <v/>
      </c>
      <c r="C513" s="1" t="str">
        <f>IF(OR($B513="",C$7=""),"",IF($B513="MEANS",INDEX('1-DATA'!$1:$1048576,$A512-1,COLUMN('1-DATA'!B511)),ROUND(INDEX('1-DATA'!$1:$1048576,IF(OR($B513="STD. DEVIATION",$C$1=1),$A513,$A513+1),COLUMN('1-DATA'!B511)),IF($B513="STD. DEVIATION",2,$F$1))))</f>
        <v/>
      </c>
      <c r="D513" s="1" t="str">
        <f>IF(OR($B513="",D$7=""),"",IF($B513="MEANS",INDEX('1-DATA'!$1:$1048576,$A512-1,COLUMN('1-DATA'!C511)),ROUND(INDEX('1-DATA'!$1:$1048576,IF(OR($B513="STD. DEVIATION",$C$1=1),$A513,$A513+1),COLUMN('1-DATA'!C511)),IF($B513="STD. DEVIATION",2,$F$1))))</f>
        <v/>
      </c>
      <c r="E513" s="1" t="str">
        <f>IF(OR($B513="",E$7=""),"",IF($B513="MEANS",INDEX('1-DATA'!$1:$1048576,$A512-1,COLUMN('1-DATA'!D511)),ROUND(INDEX('1-DATA'!$1:$1048576,IF(OR($B513="STD. DEVIATION",$C$1=1),$A513,$A513+1),COLUMN('1-DATA'!D511)),IF($B513="STD. DEVIATION",2,$F$1))))</f>
        <v/>
      </c>
      <c r="F513" s="1" t="str">
        <f>IF(OR($B513="",F$7=""),"",IF($B513="MEANS",INDEX('1-DATA'!$1:$1048576,$A512-1,COLUMN('1-DATA'!E511)),ROUND(INDEX('1-DATA'!$1:$1048576,IF(OR($B513="STD. DEVIATION",$C$1=1),$A513,$A513+1),COLUMN('1-DATA'!E511)),IF($B513="STD. DEVIATION",2,$F$1))))</f>
        <v/>
      </c>
      <c r="G513" s="1" t="str">
        <f>IF(OR($B513="",G$7=""),"",IF($B513="MEANS",INDEX('1-DATA'!$1:$1048576,$A512-1,COLUMN('1-DATA'!F511)),ROUND(INDEX('1-DATA'!$1:$1048576,IF(OR($B513="STD. DEVIATION",$C$1=1),$A513,$A513+1),COLUMN('1-DATA'!F511)),IF($B513="STD. DEVIATION",2,$F$1))))</f>
        <v/>
      </c>
      <c r="H513" s="1" t="str">
        <f>IF(OR($B513="",H$7=""),"",IF($B513="MEANS",INDEX('1-DATA'!$1:$1048576,$A512-1,COLUMN('1-DATA'!G511)),ROUND(INDEX('1-DATA'!$1:$1048576,IF(OR($B513="STD. DEVIATION",$C$1=1),$A513,$A513+1),COLUMN('1-DATA'!G511)),IF($B513="STD. DEVIATION",2,$F$1))))</f>
        <v/>
      </c>
      <c r="I513" s="1" t="str">
        <f>IF(OR($B513="",I$7=""),"",IF($B513="MEANS",INDEX('1-DATA'!$1:$1048576,$A512-1,COLUMN('1-DATA'!H511)),ROUND(INDEX('1-DATA'!$1:$1048576,IF(OR($B513="STD. DEVIATION",$C$1=1),$A513,$A513+1),COLUMN('1-DATA'!H511)),IF($B513="STD. DEVIATION",2,$F$1))))</f>
        <v/>
      </c>
      <c r="J513" s="1" t="str">
        <f>IF(OR($B513="",J$7=""),"",IF($B513="MEANS",INDEX('1-DATA'!$1:$1048576,$A512-1,COLUMN('1-DATA'!I511)),ROUND(INDEX('1-DATA'!$1:$1048576,IF(OR($B513="STD. DEVIATION",$C$1=1),$A513,$A513+1),COLUMN('1-DATA'!I511)),IF($B513="STD. DEVIATION",2,$F$1))))</f>
        <v/>
      </c>
      <c r="K513" s="1" t="str">
        <f>IF(OR($B513="",K$7=""),"",IF($B513="MEANS",INDEX('1-DATA'!$1:$1048576,$A512-1,COLUMN('1-DATA'!J511)),ROUND(INDEX('1-DATA'!$1:$1048576,IF(OR($B513="STD. DEVIATION",$C$1=1),$A513,$A513+1),COLUMN('1-DATA'!J511)),IF($B513="STD. DEVIATION",2,$F$1))))</f>
        <v/>
      </c>
      <c r="L513" s="1" t="str">
        <f>IF(OR($B513="",L$7=""),"",IF($B513="MEANS",INDEX('1-DATA'!$1:$1048576,$A512-1,COLUMN('1-DATA'!K511)),ROUND(INDEX('1-DATA'!$1:$1048576,IF(OR($B513="STD. DEVIATION",$C$1=1),$A513,$A513+1),COLUMN('1-DATA'!K511)),IF($B513="STD. DEVIATION",2,$F$1))))</f>
        <v/>
      </c>
      <c r="M513" s="1" t="str">
        <f>IF(OR($B513="",M$7=""),"",IF($B513="MEANS",INDEX('1-DATA'!$1:$1048576,$A512-1,COLUMN('1-DATA'!L511)),ROUND(INDEX('1-DATA'!$1:$1048576,IF(OR($B513="STD. DEVIATION",$C$1=1),$A513,$A513+1),COLUMN('1-DATA'!L511)),IF($B513="STD. DEVIATION",2,$F$1))))</f>
        <v/>
      </c>
      <c r="N513" s="1" t="str">
        <f>IF(OR($B513="",N$7=""),"",IF($B513="MEANS",INDEX('1-DATA'!$1:$1048576,$A512-1,COLUMN('1-DATA'!M511)),ROUND(INDEX('1-DATA'!$1:$1048576,IF(OR($B513="STD. DEVIATION",$C$1=1),$A513,$A513+1),COLUMN('1-DATA'!M511)),IF($B513="STD. DEVIATION",2,$F$1))))</f>
        <v/>
      </c>
      <c r="O513" s="1" t="str">
        <f>IF(OR($B513="",O$7=""),"",IF($B513="MEANS",INDEX('1-DATA'!$1:$1048576,$A512-1,COLUMN('1-DATA'!N511)),ROUND(INDEX('1-DATA'!$1:$1048576,IF(OR($B513="STD. DEVIATION",$C$1=1),$A513,$A513+1),COLUMN('1-DATA'!N511)),IF($B513="STD. DEVIATION",2,$F$1))))</f>
        <v/>
      </c>
      <c r="P513" s="1" t="str">
        <f>IF(OR($B513="",P$7=""),"",IF($B513="MEANS",INDEX('1-DATA'!$1:$1048576,$A512-1,COLUMN('1-DATA'!O511)),ROUND(INDEX('1-DATA'!$1:$1048576,IF(OR($B513="STD. DEVIATION",$C$1=1),$A513,$A513+1),COLUMN('1-DATA'!O511)),IF($B513="STD. DEVIATION",2,$F$1))))</f>
        <v/>
      </c>
      <c r="Q513" s="1" t="str">
        <f>IF(OR($B513="",Q$7=""),"",IF($B513="MEANS",INDEX('1-DATA'!$1:$1048576,$A512-1,COLUMN('1-DATA'!P511)),ROUND(INDEX('1-DATA'!$1:$1048576,IF(OR($B513="STD. DEVIATION",$C$1=1),$A513,$A513+1),COLUMN('1-DATA'!P511)),IF($B513="STD. DEVIATION",2,$F$1))))</f>
        <v/>
      </c>
      <c r="R513" s="1" t="str">
        <f>IF(OR($B513="",R$7=""),"",IF($B513="MEANS",INDEX('1-DATA'!$1:$1048576,$A512-1,COLUMN('1-DATA'!Q511)),ROUND(INDEX('1-DATA'!$1:$1048576,IF(OR($B513="STD. DEVIATION",$C$1=1),$A513,$A513+1),COLUMN('1-DATA'!Q511)),IF($B513="STD. DEVIATION",2,$F$1))))</f>
        <v/>
      </c>
      <c r="S513" s="1" t="str">
        <f>IF(OR($B513="",S$7=""),"",IF($B513="MEANS",INDEX('1-DATA'!$1:$1048576,$A512-1,COLUMN('1-DATA'!R511)),ROUND(INDEX('1-DATA'!$1:$1048576,IF(OR($B513="STD. DEVIATION",$C$1=1),$A513,$A513+1),COLUMN('1-DATA'!R511)),IF($B513="STD. DEVIATION",2,$F$1))))</f>
        <v/>
      </c>
      <c r="T513" s="1" t="str">
        <f>IF(OR($B513="",T$7=""),"",IF($B513="MEANS",INDEX('1-DATA'!$1:$1048576,$A512-1,COLUMN('1-DATA'!S511)),ROUND(INDEX('1-DATA'!$1:$1048576,IF(OR($B513="STD. DEVIATION",$C$1=1),$A513,$A513+1),COLUMN('1-DATA'!S511)),IF($B513="STD. DEVIATION",2,$F$1))))</f>
        <v/>
      </c>
      <c r="U513" s="1" t="str">
        <f>IF(OR($B513="",U$7=""),"",IF($B513="MEANS",INDEX('1-DATA'!$1:$1048576,$A512-1,COLUMN('1-DATA'!T511)),ROUND(INDEX('1-DATA'!$1:$1048576,IF(OR($B513="STD. DEVIATION",$C$1=1),$A513,$A513+1),COLUMN('1-DATA'!T511)),IF($B513="STD. DEVIATION",2,$F$1))))</f>
        <v/>
      </c>
      <c r="V513" s="1" t="str">
        <f>IF(OR($B513="",V$7=""),"",IF($B513="MEANS",INDEX('1-DATA'!$1:$1048576,$A512-1,COLUMN('1-DATA'!U511)),ROUND(INDEX('1-DATA'!$1:$1048576,IF(OR($B513="STD. DEVIATION",$C$1=1),$A513,$A513+1),COLUMN('1-DATA'!U511)),IF($B513="STD. DEVIATION",2,$F$1))))</f>
        <v/>
      </c>
      <c r="W513" s="1" t="str">
        <f>IF(OR($B513="",W$7=""),"",IF($B513="MEANS",INDEX('1-DATA'!$1:$1048576,$A512-1,COLUMN('1-DATA'!V511)),ROUND(INDEX('1-DATA'!$1:$1048576,IF(OR($B513="STD. DEVIATION",$C$1=1),$A513,$A513+1),COLUMN('1-DATA'!V511)),IF($B513="STD. DEVIATION",2,$F$1))))</f>
        <v/>
      </c>
      <c r="X513" s="1" t="str">
        <f>IF(OR($B513="",X$7=""),"",IF($B513="MEANS",INDEX('1-DATA'!$1:$1048576,$A512-1,COLUMN('1-DATA'!W511)),ROUND(INDEX('1-DATA'!$1:$1048576,IF(OR($B513="STD. DEVIATION",$C$1=1),$A513,$A513+1),COLUMN('1-DATA'!W511)),IF($B513="STD. DEVIATION",2,$F$1))))</f>
        <v/>
      </c>
      <c r="Y513" s="1" t="str">
        <f>IF(OR($B513="",Y$7=""),"",IF($B513="MEANS",INDEX('1-DATA'!$1:$1048576,$A512-1,COLUMN('1-DATA'!X511)),ROUND(INDEX('1-DATA'!$1:$1048576,IF(OR($B513="STD. DEVIATION",$C$1=1),$A513,$A513+1),COLUMN('1-DATA'!X511)),IF($B513="STD. DEVIATION",2,$F$1))))</f>
        <v/>
      </c>
      <c r="Z513" s="1" t="str">
        <f>IF(OR($B513="",Z$7=""),"",IF($B513="MEANS",INDEX('1-DATA'!$1:$1048576,$A512-1,COLUMN('1-DATA'!Y511)),ROUND(INDEX('1-DATA'!$1:$1048576,IF(OR($B513="STD. DEVIATION",$C$1=1),$A513,$A513+1),COLUMN('1-DATA'!Y511)),IF($B513="STD. DEVIATION",2,$F$1))))</f>
        <v/>
      </c>
      <c r="AA513" s="1" t="str">
        <f>IF(OR($B513="",AA$7=""),"",IF($B513="MEANS",INDEX('1-DATA'!$1:$1048576,$A512-1,COLUMN('1-DATA'!Z511)),ROUND(INDEX('1-DATA'!$1:$1048576,IF(OR($B513="STD. DEVIATION",$C$1=1),$A513,$A513+1),COLUMN('1-DATA'!Z511)),IF($B513="STD. DEVIATION",2,$F$1))))</f>
        <v/>
      </c>
      <c r="AB513" s="1" t="str">
        <f>IF(OR($B513="",AB$7=""),"",IF($B513="MEANS",INDEX('1-DATA'!$1:$1048576,$A512-1,COLUMN('1-DATA'!AA511)),ROUND(INDEX('1-DATA'!$1:$1048576,IF(OR($B513="STD. DEVIATION",$C$1=1),$A513,$A513+1),COLUMN('1-DATA'!AA511)),IF($B513="STD. DEVIATION",2,$F$1))))</f>
        <v/>
      </c>
      <c r="AC513" s="1" t="str">
        <f>IF(OR($B513="",AC$7=""),"",IF($B513="MEANS",INDEX('1-DATA'!$1:$1048576,$A512-1,COLUMN('1-DATA'!AB511)),ROUND(INDEX('1-DATA'!$1:$1048576,IF(OR($B513="STD. DEVIATION",$C$1=1),$A513,$A513+1),COLUMN('1-DATA'!AB511)),IF($B513="STD. DEVIATION",2,$F$1))))</f>
        <v/>
      </c>
      <c r="AD513" s="1" t="str">
        <f>IF(OR($B513="",AD$7=""),"",IF($B513="MEANS",INDEX('1-DATA'!$1:$1048576,$A512-1,COLUMN('1-DATA'!AC511)),ROUND(INDEX('1-DATA'!$1:$1048576,IF(OR($B513="STD. DEVIATION",$C$1=1),$A513,$A513+1),COLUMN('1-DATA'!AC511)),IF($B513="STD. DEVIATION",2,$F$1))))</f>
        <v/>
      </c>
      <c r="AE513" s="1" t="str">
        <f>IF(OR($B513="",AE$7=""),"",IF($B513="MEANS",INDEX('1-DATA'!$1:$1048576,$A512-1,COLUMN('1-DATA'!AD511)),ROUND(INDEX('1-DATA'!$1:$1048576,IF(OR($B513="STD. DEVIATION",$C$1=1),$A513,$A513+1),COLUMN('1-DATA'!AD511)),IF($B513="STD. DEVIATION",2,$F$1))))</f>
        <v/>
      </c>
      <c r="AF513" s="1" t="str">
        <f>IF(OR($B513="",AF$7=""),"",IF($B513="MEANS",INDEX('1-DATA'!$1:$1048576,$A512-1,COLUMN('1-DATA'!AE511)),ROUND(INDEX('1-DATA'!$1:$1048576,IF(OR($B513="STD. DEVIATION",$C$1=1),$A513,$A513+1),COLUMN('1-DATA'!AE511)),IF($B513="STD. DEVIATION",2,$F$1))))</f>
        <v/>
      </c>
      <c r="AG513" s="1" t="str">
        <f>IF(OR($B513="",AG$7=""),"",IF($B513="MEANS",INDEX('1-DATA'!$1:$1048576,$A512-1,COLUMN('1-DATA'!AF511)),ROUND(INDEX('1-DATA'!$1:$1048576,IF(OR($B513="STD. DEVIATION",$C$1=1),$A513,$A513+1),COLUMN('1-DATA'!AF511)),IF($B513="STD. DEVIATION",2,$F$1))))</f>
        <v/>
      </c>
      <c r="AH513" s="1" t="str">
        <f>IF(OR($B513="",AH$7=""),"",IF($B513="MEANS",INDEX('1-DATA'!$1:$1048576,$A512-1,COLUMN('1-DATA'!AG511)),ROUND(INDEX('1-DATA'!$1:$1048576,IF(OR($B513="STD. DEVIATION",$C$1=1),$A513,$A513+1),COLUMN('1-DATA'!AG511)),IF($B513="STD. DEVIATION",2,$F$1))))</f>
        <v/>
      </c>
      <c r="AI513" s="1" t="str">
        <f>IF(OR($B513="",AI$7=""),"",IF($B513="MEANS",INDEX('1-DATA'!$1:$1048576,$A512-1,COLUMN('1-DATA'!AH511)),ROUND(INDEX('1-DATA'!$1:$1048576,IF(OR($B513="STD. DEVIATION",$C$1=1),$A513,$A513+1),COLUMN('1-DATA'!AH511)),IF($B513="STD. DEVIATION",2,$F$1))))</f>
        <v/>
      </c>
      <c r="AJ513" s="1" t="str">
        <f>IF(OR($B513="",AJ$7=""),"",IF($B513="MEANS",INDEX('1-DATA'!$1:$1048576,$A512-1,COLUMN('1-DATA'!AI511)),ROUND(INDEX('1-DATA'!$1:$1048576,IF(OR($B513="STD. DEVIATION",$C$1=1),$A513,$A513+1),COLUMN('1-DATA'!AI511)),IF($B513="STD. DEVIATION",2,$F$1))))</f>
        <v/>
      </c>
      <c r="AK513" s="1" t="str">
        <f>IF(OR($B513="",AK$7=""),"",IF($B513="MEANS",INDEX('1-DATA'!$1:$1048576,$A512-1,COLUMN('1-DATA'!AJ511)),ROUND(INDEX('1-DATA'!$1:$1048576,IF(OR($B513="STD. DEVIATION",$C$1=1),$A513,$A513+1),COLUMN('1-DATA'!AJ511)),IF($B513="STD. DEVIATION",2,$F$1))))</f>
        <v/>
      </c>
      <c r="AL513" s="1" t="str">
        <f>IF(OR($B513="",AL$7=""),"",IF($B513="MEANS",INDEX('1-DATA'!$1:$1048576,$A512-1,COLUMN('1-DATA'!AK511)),ROUND(INDEX('1-DATA'!$1:$1048576,IF(OR($B513="STD. DEVIATION",$C$1=1),$A513,$A513+1),COLUMN('1-DATA'!AK511)),IF($B513="STD. DEVIATION",2,$F$1))))</f>
        <v/>
      </c>
      <c r="AM513" s="1" t="str">
        <f>IF(OR($B513="",AM$7=""),"",IF($B513="MEANS",INDEX('1-DATA'!$1:$1048576,$A512-1,COLUMN('1-DATA'!AL511)),ROUND(INDEX('1-DATA'!$1:$1048576,IF(OR($B513="STD. DEVIATION",$C$1=1),$A513,$A513+1),COLUMN('1-DATA'!AL511)),IF($B513="STD. DEVIATION",2,$F$1))))</f>
        <v/>
      </c>
      <c r="AN513" s="1" t="str">
        <f>IF(OR($B513="",AN$7=""),"",IF($B513="MEANS",INDEX('1-DATA'!$1:$1048576,$A512-1,COLUMN('1-DATA'!AM511)),ROUND(INDEX('1-DATA'!$1:$1048576,IF(OR($B513="STD. DEVIATION",$C$1=1),$A513,$A513+1),COLUMN('1-DATA'!AM511)),IF($B513="STD. DEVIATION",2,$F$1))))</f>
        <v/>
      </c>
      <c r="AO513" s="1" t="str">
        <f>IF(OR($B513="",AO$7=""),"",IF($B513="MEANS",INDEX('1-DATA'!$1:$1048576,$A512-1,COLUMN('1-DATA'!AN511)),ROUND(INDEX('1-DATA'!$1:$1048576,IF(OR($B513="STD. DEVIATION",$C$1=1),$A513,$A513+1),COLUMN('1-DATA'!AN511)),IF($B513="STD. DEVIATION",2,$F$1))))</f>
        <v/>
      </c>
      <c r="AP513" s="1" t="str">
        <f>IF(OR($B513="",AP$7=""),"",IF($B513="MEANS",INDEX('1-DATA'!$1:$1048576,$A512-1,COLUMN('1-DATA'!AO511)),ROUND(INDEX('1-DATA'!$1:$1048576,IF(OR($B513="STD. DEVIATION",$C$1=1),$A513,$A513+1),COLUMN('1-DATA'!AO511)),IF($B513="STD. DEVIATION",2,$F$1))))</f>
        <v/>
      </c>
      <c r="AQ513" s="1" t="str">
        <f>IF(OR($B513="",AQ$7=""),"",IF($B513="MEANS",INDEX('1-DATA'!$1:$1048576,$A512-1,COLUMN('1-DATA'!AP511)),ROUND(INDEX('1-DATA'!$1:$1048576,IF(OR($B513="STD. DEVIATION",$C$1=1),$A513,$A513+1),COLUMN('1-DATA'!AP511)),IF($B513="STD. DEVIATION",2,$F$1))))</f>
        <v/>
      </c>
      <c r="AR513" s="1" t="str">
        <f>IF(OR($B513="",AR$7=""),"",IF($B513="MEANS",INDEX('1-DATA'!$1:$1048576,$A512-1,COLUMN('1-DATA'!AQ511)),ROUND(INDEX('1-DATA'!$1:$1048576,IF(OR($B513="STD. DEVIATION",$C$1=1),$A513,$A513+1),COLUMN('1-DATA'!AQ511)),IF($B513="STD. DEVIATION",2,$F$1))))</f>
        <v/>
      </c>
      <c r="AS513" s="1" t="str">
        <f>IF(OR($B513="",AS$7=""),"",IF($B513="MEANS",INDEX('1-DATA'!$1:$1048576,$A512-1,COLUMN('1-DATA'!AR511)),ROUND(INDEX('1-DATA'!$1:$1048576,IF(OR($B513="STD. DEVIATION",$C$1=1),$A513,$A513+1),COLUMN('1-DATA'!AR511)),IF($B513="STD. DEVIATION",2,$F$1))))</f>
        <v/>
      </c>
      <c r="AT513" s="1" t="str">
        <f>IF(OR($B513="",AT$7=""),"",IF($B513="MEANS",INDEX('1-DATA'!$1:$1048576,$A512-1,COLUMN('1-DATA'!AS511)),ROUND(INDEX('1-DATA'!$1:$1048576,IF(OR($B513="STD. DEVIATION",$C$1=1),$A513,$A513+1),COLUMN('1-DATA'!AS511)),IF($B513="STD. DEVIATION",2,$F$1))))</f>
        <v/>
      </c>
      <c r="AU513" s="1" t="str">
        <f>IF(OR($B513="",AU$7=""),"",IF($B513="MEANS",INDEX('1-DATA'!$1:$1048576,$A512-1,COLUMN('1-DATA'!AT511)),ROUND(INDEX('1-DATA'!$1:$1048576,IF(OR($B513="STD. DEVIATION",$C$1=1),$A513,$A513+1),COLUMN('1-DATA'!AT511)),IF($B513="STD. DEVIATION",2,$F$1))))</f>
        <v/>
      </c>
      <c r="AV513" s="1" t="str">
        <f>IF(OR($B513="",AV$7=""),"",IF($B513="MEANS",INDEX('1-DATA'!$1:$1048576,$A512-1,COLUMN('1-DATA'!AU511)),ROUND(INDEX('1-DATA'!$1:$1048576,IF(OR($B513="STD. DEVIATION",$C$1=1),$A513,$A513+1),COLUMN('1-DATA'!AU511)),IF($B513="STD. DEVIATION",2,$F$1))))</f>
        <v/>
      </c>
      <c r="AW513" s="1" t="str">
        <f>IF(OR($B513="",AW$7=""),"",IF($B513="MEANS",INDEX('1-DATA'!$1:$1048576,$A512-1,COLUMN('1-DATA'!AV511)),ROUND(INDEX('1-DATA'!$1:$1048576,IF(OR($B513="STD. DEVIATION",$C$1=1),$A513,$A513+1),COLUMN('1-DATA'!AV511)),IF($B513="STD. DEVIATION",2,$F$1))))</f>
        <v/>
      </c>
      <c r="AX513" s="1" t="str">
        <f>IF(OR($B513="",AX$7=""),"",IF($B513="MEANS",INDEX('1-DATA'!$1:$1048576,$A512-1,COLUMN('1-DATA'!AW511)),ROUND(INDEX('1-DATA'!$1:$1048576,IF(OR($B513="STD. DEVIATION",$C$1=1),$A513,$A513+1),COLUMN('1-DATA'!AW511)),IF($B513="STD. DEVIATION",2,$F$1))))</f>
        <v/>
      </c>
      <c r="AY513" s="1" t="str">
        <f>IF(OR($B513="",AY$7=""),"",IF($B513="MEANS",INDEX('1-DATA'!$1:$1048576,$A512-1,COLUMN('1-DATA'!AX511)),ROUND(INDEX('1-DATA'!$1:$1048576,IF(OR($B513="STD. DEVIATION",$C$1=1),$A513,$A513+1),COLUMN('1-DATA'!AX511)),IF($B513="STD. DEVIATION",2,$F$1))))</f>
        <v/>
      </c>
      <c r="AZ513" s="1" t="str">
        <f>IF(OR($B513="",AZ$7=""),"",IF($B513="MEANS",INDEX('1-DATA'!$1:$1048576,$A512-1,COLUMN('1-DATA'!AY511)),ROUND(INDEX('1-DATA'!$1:$1048576,IF(OR($B513="STD. DEVIATION",$C$1=1),$A513,$A513+1),COLUMN('1-DATA'!AY511)),IF($B513="STD. DEVIATION",2,$F$1))))</f>
        <v/>
      </c>
    </row>
    <row r="514" spans="1:52" x14ac:dyDescent="0.25">
      <c r="A514" s="11">
        <f t="shared" si="8"/>
        <v>1528</v>
      </c>
      <c r="B514" s="1" t="str">
        <f>IF(B513="STD. DEVIATION",INDEX('1-DATA'!$1:$1048576,$A513-1,1),IF(INDEX('1-DATA'!$1:$1048576,$A514,1)&lt;&gt;"",INDEX('1-DATA'!$1:$1048576,$A514,1),""))</f>
        <v/>
      </c>
      <c r="C514" s="1" t="str">
        <f>IF(OR($B514="",C$7=""),"",IF($B514="MEANS",INDEX('1-DATA'!$1:$1048576,$A513-1,COLUMN('1-DATA'!B512)),ROUND(INDEX('1-DATA'!$1:$1048576,IF(OR($B514="STD. DEVIATION",$C$1=1),$A514,$A514+1),COLUMN('1-DATA'!B512)),IF($B514="STD. DEVIATION",2,$F$1))))</f>
        <v/>
      </c>
      <c r="D514" s="1" t="str">
        <f>IF(OR($B514="",D$7=""),"",IF($B514="MEANS",INDEX('1-DATA'!$1:$1048576,$A513-1,COLUMN('1-DATA'!C512)),ROUND(INDEX('1-DATA'!$1:$1048576,IF(OR($B514="STD. DEVIATION",$C$1=1),$A514,$A514+1),COLUMN('1-DATA'!C512)),IF($B514="STD. DEVIATION",2,$F$1))))</f>
        <v/>
      </c>
      <c r="E514" s="1" t="str">
        <f>IF(OR($B514="",E$7=""),"",IF($B514="MEANS",INDEX('1-DATA'!$1:$1048576,$A513-1,COLUMN('1-DATA'!D512)),ROUND(INDEX('1-DATA'!$1:$1048576,IF(OR($B514="STD. DEVIATION",$C$1=1),$A514,$A514+1),COLUMN('1-DATA'!D512)),IF($B514="STD. DEVIATION",2,$F$1))))</f>
        <v/>
      </c>
      <c r="F514" s="1" t="str">
        <f>IF(OR($B514="",F$7=""),"",IF($B514="MEANS",INDEX('1-DATA'!$1:$1048576,$A513-1,COLUMN('1-DATA'!E512)),ROUND(INDEX('1-DATA'!$1:$1048576,IF(OR($B514="STD. DEVIATION",$C$1=1),$A514,$A514+1),COLUMN('1-DATA'!E512)),IF($B514="STD. DEVIATION",2,$F$1))))</f>
        <v/>
      </c>
      <c r="G514" s="1" t="str">
        <f>IF(OR($B514="",G$7=""),"",IF($B514="MEANS",INDEX('1-DATA'!$1:$1048576,$A513-1,COLUMN('1-DATA'!F512)),ROUND(INDEX('1-DATA'!$1:$1048576,IF(OR($B514="STD. DEVIATION",$C$1=1),$A514,$A514+1),COLUMN('1-DATA'!F512)),IF($B514="STD. DEVIATION",2,$F$1))))</f>
        <v/>
      </c>
      <c r="H514" s="1" t="str">
        <f>IF(OR($B514="",H$7=""),"",IF($B514="MEANS",INDEX('1-DATA'!$1:$1048576,$A513-1,COLUMN('1-DATA'!G512)),ROUND(INDEX('1-DATA'!$1:$1048576,IF(OR($B514="STD. DEVIATION",$C$1=1),$A514,$A514+1),COLUMN('1-DATA'!G512)),IF($B514="STD. DEVIATION",2,$F$1))))</f>
        <v/>
      </c>
      <c r="I514" s="1" t="str">
        <f>IF(OR($B514="",I$7=""),"",IF($B514="MEANS",INDEX('1-DATA'!$1:$1048576,$A513-1,COLUMN('1-DATA'!H512)),ROUND(INDEX('1-DATA'!$1:$1048576,IF(OR($B514="STD. DEVIATION",$C$1=1),$A514,$A514+1),COLUMN('1-DATA'!H512)),IF($B514="STD. DEVIATION",2,$F$1))))</f>
        <v/>
      </c>
      <c r="J514" s="1" t="str">
        <f>IF(OR($B514="",J$7=""),"",IF($B514="MEANS",INDEX('1-DATA'!$1:$1048576,$A513-1,COLUMN('1-DATA'!I512)),ROUND(INDEX('1-DATA'!$1:$1048576,IF(OR($B514="STD. DEVIATION",$C$1=1),$A514,$A514+1),COLUMN('1-DATA'!I512)),IF($B514="STD. DEVIATION",2,$F$1))))</f>
        <v/>
      </c>
      <c r="K514" s="1" t="str">
        <f>IF(OR($B514="",K$7=""),"",IF($B514="MEANS",INDEX('1-DATA'!$1:$1048576,$A513-1,COLUMN('1-DATA'!J512)),ROUND(INDEX('1-DATA'!$1:$1048576,IF(OR($B514="STD. DEVIATION",$C$1=1),$A514,$A514+1),COLUMN('1-DATA'!J512)),IF($B514="STD. DEVIATION",2,$F$1))))</f>
        <v/>
      </c>
      <c r="L514" s="1" t="str">
        <f>IF(OR($B514="",L$7=""),"",IF($B514="MEANS",INDEX('1-DATA'!$1:$1048576,$A513-1,COLUMN('1-DATA'!K512)),ROUND(INDEX('1-DATA'!$1:$1048576,IF(OR($B514="STD. DEVIATION",$C$1=1),$A514,$A514+1),COLUMN('1-DATA'!K512)),IF($B514="STD. DEVIATION",2,$F$1))))</f>
        <v/>
      </c>
      <c r="M514" s="1" t="str">
        <f>IF(OR($B514="",M$7=""),"",IF($B514="MEANS",INDEX('1-DATA'!$1:$1048576,$A513-1,COLUMN('1-DATA'!L512)),ROUND(INDEX('1-DATA'!$1:$1048576,IF(OR($B514="STD. DEVIATION",$C$1=1),$A514,$A514+1),COLUMN('1-DATA'!L512)),IF($B514="STD. DEVIATION",2,$F$1))))</f>
        <v/>
      </c>
      <c r="N514" s="1" t="str">
        <f>IF(OR($B514="",N$7=""),"",IF($B514="MEANS",INDEX('1-DATA'!$1:$1048576,$A513-1,COLUMN('1-DATA'!M512)),ROUND(INDEX('1-DATA'!$1:$1048576,IF(OR($B514="STD. DEVIATION",$C$1=1),$A514,$A514+1),COLUMN('1-DATA'!M512)),IF($B514="STD. DEVIATION",2,$F$1))))</f>
        <v/>
      </c>
      <c r="O514" s="1" t="str">
        <f>IF(OR($B514="",O$7=""),"",IF($B514="MEANS",INDEX('1-DATA'!$1:$1048576,$A513-1,COLUMN('1-DATA'!N512)),ROUND(INDEX('1-DATA'!$1:$1048576,IF(OR($B514="STD. DEVIATION",$C$1=1),$A514,$A514+1),COLUMN('1-DATA'!N512)),IF($B514="STD. DEVIATION",2,$F$1))))</f>
        <v/>
      </c>
      <c r="P514" s="1" t="str">
        <f>IF(OR($B514="",P$7=""),"",IF($B514="MEANS",INDEX('1-DATA'!$1:$1048576,$A513-1,COLUMN('1-DATA'!O512)),ROUND(INDEX('1-DATA'!$1:$1048576,IF(OR($B514="STD. DEVIATION",$C$1=1),$A514,$A514+1),COLUMN('1-DATA'!O512)),IF($B514="STD. DEVIATION",2,$F$1))))</f>
        <v/>
      </c>
      <c r="Q514" s="1" t="str">
        <f>IF(OR($B514="",Q$7=""),"",IF($B514="MEANS",INDEX('1-DATA'!$1:$1048576,$A513-1,COLUMN('1-DATA'!P512)),ROUND(INDEX('1-DATA'!$1:$1048576,IF(OR($B514="STD. DEVIATION",$C$1=1),$A514,$A514+1),COLUMN('1-DATA'!P512)),IF($B514="STD. DEVIATION",2,$F$1))))</f>
        <v/>
      </c>
      <c r="R514" s="1" t="str">
        <f>IF(OR($B514="",R$7=""),"",IF($B514="MEANS",INDEX('1-DATA'!$1:$1048576,$A513-1,COLUMN('1-DATA'!Q512)),ROUND(INDEX('1-DATA'!$1:$1048576,IF(OR($B514="STD. DEVIATION",$C$1=1),$A514,$A514+1),COLUMN('1-DATA'!Q512)),IF($B514="STD. DEVIATION",2,$F$1))))</f>
        <v/>
      </c>
      <c r="S514" s="1" t="str">
        <f>IF(OR($B514="",S$7=""),"",IF($B514="MEANS",INDEX('1-DATA'!$1:$1048576,$A513-1,COLUMN('1-DATA'!R512)),ROUND(INDEX('1-DATA'!$1:$1048576,IF(OR($B514="STD. DEVIATION",$C$1=1),$A514,$A514+1),COLUMN('1-DATA'!R512)),IF($B514="STD. DEVIATION",2,$F$1))))</f>
        <v/>
      </c>
      <c r="T514" s="1" t="str">
        <f>IF(OR($B514="",T$7=""),"",IF($B514="MEANS",INDEX('1-DATA'!$1:$1048576,$A513-1,COLUMN('1-DATA'!S512)),ROUND(INDEX('1-DATA'!$1:$1048576,IF(OR($B514="STD. DEVIATION",$C$1=1),$A514,$A514+1),COLUMN('1-DATA'!S512)),IF($B514="STD. DEVIATION",2,$F$1))))</f>
        <v/>
      </c>
      <c r="U514" s="1" t="str">
        <f>IF(OR($B514="",U$7=""),"",IF($B514="MEANS",INDEX('1-DATA'!$1:$1048576,$A513-1,COLUMN('1-DATA'!T512)),ROUND(INDEX('1-DATA'!$1:$1048576,IF(OR($B514="STD. DEVIATION",$C$1=1),$A514,$A514+1),COLUMN('1-DATA'!T512)),IF($B514="STD. DEVIATION",2,$F$1))))</f>
        <v/>
      </c>
      <c r="V514" s="1" t="str">
        <f>IF(OR($B514="",V$7=""),"",IF($B514="MEANS",INDEX('1-DATA'!$1:$1048576,$A513-1,COLUMN('1-DATA'!U512)),ROUND(INDEX('1-DATA'!$1:$1048576,IF(OR($B514="STD. DEVIATION",$C$1=1),$A514,$A514+1),COLUMN('1-DATA'!U512)),IF($B514="STD. DEVIATION",2,$F$1))))</f>
        <v/>
      </c>
      <c r="W514" s="1" t="str">
        <f>IF(OR($B514="",W$7=""),"",IF($B514="MEANS",INDEX('1-DATA'!$1:$1048576,$A513-1,COLUMN('1-DATA'!V512)),ROUND(INDEX('1-DATA'!$1:$1048576,IF(OR($B514="STD. DEVIATION",$C$1=1),$A514,$A514+1),COLUMN('1-DATA'!V512)),IF($B514="STD. DEVIATION",2,$F$1))))</f>
        <v/>
      </c>
      <c r="X514" s="1" t="str">
        <f>IF(OR($B514="",X$7=""),"",IF($B514="MEANS",INDEX('1-DATA'!$1:$1048576,$A513-1,COLUMN('1-DATA'!W512)),ROUND(INDEX('1-DATA'!$1:$1048576,IF(OR($B514="STD. DEVIATION",$C$1=1),$A514,$A514+1),COLUMN('1-DATA'!W512)),IF($B514="STD. DEVIATION",2,$F$1))))</f>
        <v/>
      </c>
      <c r="Y514" s="1" t="str">
        <f>IF(OR($B514="",Y$7=""),"",IF($B514="MEANS",INDEX('1-DATA'!$1:$1048576,$A513-1,COLUMN('1-DATA'!X512)),ROUND(INDEX('1-DATA'!$1:$1048576,IF(OR($B514="STD. DEVIATION",$C$1=1),$A514,$A514+1),COLUMN('1-DATA'!X512)),IF($B514="STD. DEVIATION",2,$F$1))))</f>
        <v/>
      </c>
      <c r="Z514" s="1" t="str">
        <f>IF(OR($B514="",Z$7=""),"",IF($B514="MEANS",INDEX('1-DATA'!$1:$1048576,$A513-1,COLUMN('1-DATA'!Y512)),ROUND(INDEX('1-DATA'!$1:$1048576,IF(OR($B514="STD. DEVIATION",$C$1=1),$A514,$A514+1),COLUMN('1-DATA'!Y512)),IF($B514="STD. DEVIATION",2,$F$1))))</f>
        <v/>
      </c>
      <c r="AA514" s="1" t="str">
        <f>IF(OR($B514="",AA$7=""),"",IF($B514="MEANS",INDEX('1-DATA'!$1:$1048576,$A513-1,COLUMN('1-DATA'!Z512)),ROUND(INDEX('1-DATA'!$1:$1048576,IF(OR($B514="STD. DEVIATION",$C$1=1),$A514,$A514+1),COLUMN('1-DATA'!Z512)),IF($B514="STD. DEVIATION",2,$F$1))))</f>
        <v/>
      </c>
      <c r="AB514" s="1" t="str">
        <f>IF(OR($B514="",AB$7=""),"",IF($B514="MEANS",INDEX('1-DATA'!$1:$1048576,$A513-1,COLUMN('1-DATA'!AA512)),ROUND(INDEX('1-DATA'!$1:$1048576,IF(OR($B514="STD. DEVIATION",$C$1=1),$A514,$A514+1),COLUMN('1-DATA'!AA512)),IF($B514="STD. DEVIATION",2,$F$1))))</f>
        <v/>
      </c>
      <c r="AC514" s="1" t="str">
        <f>IF(OR($B514="",AC$7=""),"",IF($B514="MEANS",INDEX('1-DATA'!$1:$1048576,$A513-1,COLUMN('1-DATA'!AB512)),ROUND(INDEX('1-DATA'!$1:$1048576,IF(OR($B514="STD. DEVIATION",$C$1=1),$A514,$A514+1),COLUMN('1-DATA'!AB512)),IF($B514="STD. DEVIATION",2,$F$1))))</f>
        <v/>
      </c>
      <c r="AD514" s="1" t="str">
        <f>IF(OR($B514="",AD$7=""),"",IF($B514="MEANS",INDEX('1-DATA'!$1:$1048576,$A513-1,COLUMN('1-DATA'!AC512)),ROUND(INDEX('1-DATA'!$1:$1048576,IF(OR($B514="STD. DEVIATION",$C$1=1),$A514,$A514+1),COLUMN('1-DATA'!AC512)),IF($B514="STD. DEVIATION",2,$F$1))))</f>
        <v/>
      </c>
      <c r="AE514" s="1" t="str">
        <f>IF(OR($B514="",AE$7=""),"",IF($B514="MEANS",INDEX('1-DATA'!$1:$1048576,$A513-1,COLUMN('1-DATA'!AD512)),ROUND(INDEX('1-DATA'!$1:$1048576,IF(OR($B514="STD. DEVIATION",$C$1=1),$A514,$A514+1),COLUMN('1-DATA'!AD512)),IF($B514="STD. DEVIATION",2,$F$1))))</f>
        <v/>
      </c>
      <c r="AF514" s="1" t="str">
        <f>IF(OR($B514="",AF$7=""),"",IF($B514="MEANS",INDEX('1-DATA'!$1:$1048576,$A513-1,COLUMN('1-DATA'!AE512)),ROUND(INDEX('1-DATA'!$1:$1048576,IF(OR($B514="STD. DEVIATION",$C$1=1),$A514,$A514+1),COLUMN('1-DATA'!AE512)),IF($B514="STD. DEVIATION",2,$F$1))))</f>
        <v/>
      </c>
      <c r="AG514" s="1" t="str">
        <f>IF(OR($B514="",AG$7=""),"",IF($B514="MEANS",INDEX('1-DATA'!$1:$1048576,$A513-1,COLUMN('1-DATA'!AF512)),ROUND(INDEX('1-DATA'!$1:$1048576,IF(OR($B514="STD. DEVIATION",$C$1=1),$A514,$A514+1),COLUMN('1-DATA'!AF512)),IF($B514="STD. DEVIATION",2,$F$1))))</f>
        <v/>
      </c>
      <c r="AH514" s="1" t="str">
        <f>IF(OR($B514="",AH$7=""),"",IF($B514="MEANS",INDEX('1-DATA'!$1:$1048576,$A513-1,COLUMN('1-DATA'!AG512)),ROUND(INDEX('1-DATA'!$1:$1048576,IF(OR($B514="STD. DEVIATION",$C$1=1),$A514,$A514+1),COLUMN('1-DATA'!AG512)),IF($B514="STD. DEVIATION",2,$F$1))))</f>
        <v/>
      </c>
      <c r="AI514" s="1" t="str">
        <f>IF(OR($B514="",AI$7=""),"",IF($B514="MEANS",INDEX('1-DATA'!$1:$1048576,$A513-1,COLUMN('1-DATA'!AH512)),ROUND(INDEX('1-DATA'!$1:$1048576,IF(OR($B514="STD. DEVIATION",$C$1=1),$A514,$A514+1),COLUMN('1-DATA'!AH512)),IF($B514="STD. DEVIATION",2,$F$1))))</f>
        <v/>
      </c>
      <c r="AJ514" s="1" t="str">
        <f>IF(OR($B514="",AJ$7=""),"",IF($B514="MEANS",INDEX('1-DATA'!$1:$1048576,$A513-1,COLUMN('1-DATA'!AI512)),ROUND(INDEX('1-DATA'!$1:$1048576,IF(OR($B514="STD. DEVIATION",$C$1=1),$A514,$A514+1),COLUMN('1-DATA'!AI512)),IF($B514="STD. DEVIATION",2,$F$1))))</f>
        <v/>
      </c>
      <c r="AK514" s="1" t="str">
        <f>IF(OR($B514="",AK$7=""),"",IF($B514="MEANS",INDEX('1-DATA'!$1:$1048576,$A513-1,COLUMN('1-DATA'!AJ512)),ROUND(INDEX('1-DATA'!$1:$1048576,IF(OR($B514="STD. DEVIATION",$C$1=1),$A514,$A514+1),COLUMN('1-DATA'!AJ512)),IF($B514="STD. DEVIATION",2,$F$1))))</f>
        <v/>
      </c>
      <c r="AL514" s="1" t="str">
        <f>IF(OR($B514="",AL$7=""),"",IF($B514="MEANS",INDEX('1-DATA'!$1:$1048576,$A513-1,COLUMN('1-DATA'!AK512)),ROUND(INDEX('1-DATA'!$1:$1048576,IF(OR($B514="STD. DEVIATION",$C$1=1),$A514,$A514+1),COLUMN('1-DATA'!AK512)),IF($B514="STD. DEVIATION",2,$F$1))))</f>
        <v/>
      </c>
      <c r="AM514" s="1" t="str">
        <f>IF(OR($B514="",AM$7=""),"",IF($B514="MEANS",INDEX('1-DATA'!$1:$1048576,$A513-1,COLUMN('1-DATA'!AL512)),ROUND(INDEX('1-DATA'!$1:$1048576,IF(OR($B514="STD. DEVIATION",$C$1=1),$A514,$A514+1),COLUMN('1-DATA'!AL512)),IF($B514="STD. DEVIATION",2,$F$1))))</f>
        <v/>
      </c>
      <c r="AN514" s="1" t="str">
        <f>IF(OR($B514="",AN$7=""),"",IF($B514="MEANS",INDEX('1-DATA'!$1:$1048576,$A513-1,COLUMN('1-DATA'!AM512)),ROUND(INDEX('1-DATA'!$1:$1048576,IF(OR($B514="STD. DEVIATION",$C$1=1),$A514,$A514+1),COLUMN('1-DATA'!AM512)),IF($B514="STD. DEVIATION",2,$F$1))))</f>
        <v/>
      </c>
      <c r="AO514" s="1" t="str">
        <f>IF(OR($B514="",AO$7=""),"",IF($B514="MEANS",INDEX('1-DATA'!$1:$1048576,$A513-1,COLUMN('1-DATA'!AN512)),ROUND(INDEX('1-DATA'!$1:$1048576,IF(OR($B514="STD. DEVIATION",$C$1=1),$A514,$A514+1),COLUMN('1-DATA'!AN512)),IF($B514="STD. DEVIATION",2,$F$1))))</f>
        <v/>
      </c>
      <c r="AP514" s="1" t="str">
        <f>IF(OR($B514="",AP$7=""),"",IF($B514="MEANS",INDEX('1-DATA'!$1:$1048576,$A513-1,COLUMN('1-DATA'!AO512)),ROUND(INDEX('1-DATA'!$1:$1048576,IF(OR($B514="STD. DEVIATION",$C$1=1),$A514,$A514+1),COLUMN('1-DATA'!AO512)),IF($B514="STD. DEVIATION",2,$F$1))))</f>
        <v/>
      </c>
      <c r="AQ514" s="1" t="str">
        <f>IF(OR($B514="",AQ$7=""),"",IF($B514="MEANS",INDEX('1-DATA'!$1:$1048576,$A513-1,COLUMN('1-DATA'!AP512)),ROUND(INDEX('1-DATA'!$1:$1048576,IF(OR($B514="STD. DEVIATION",$C$1=1),$A514,$A514+1),COLUMN('1-DATA'!AP512)),IF($B514="STD. DEVIATION",2,$F$1))))</f>
        <v/>
      </c>
      <c r="AR514" s="1" t="str">
        <f>IF(OR($B514="",AR$7=""),"",IF($B514="MEANS",INDEX('1-DATA'!$1:$1048576,$A513-1,COLUMN('1-DATA'!AQ512)),ROUND(INDEX('1-DATA'!$1:$1048576,IF(OR($B514="STD. DEVIATION",$C$1=1),$A514,$A514+1),COLUMN('1-DATA'!AQ512)),IF($B514="STD. DEVIATION",2,$F$1))))</f>
        <v/>
      </c>
      <c r="AS514" s="1" t="str">
        <f>IF(OR($B514="",AS$7=""),"",IF($B514="MEANS",INDEX('1-DATA'!$1:$1048576,$A513-1,COLUMN('1-DATA'!AR512)),ROUND(INDEX('1-DATA'!$1:$1048576,IF(OR($B514="STD. DEVIATION",$C$1=1),$A514,$A514+1),COLUMN('1-DATA'!AR512)),IF($B514="STD. DEVIATION",2,$F$1))))</f>
        <v/>
      </c>
      <c r="AT514" s="1" t="str">
        <f>IF(OR($B514="",AT$7=""),"",IF($B514="MEANS",INDEX('1-DATA'!$1:$1048576,$A513-1,COLUMN('1-DATA'!AS512)),ROUND(INDEX('1-DATA'!$1:$1048576,IF(OR($B514="STD. DEVIATION",$C$1=1),$A514,$A514+1),COLUMN('1-DATA'!AS512)),IF($B514="STD. DEVIATION",2,$F$1))))</f>
        <v/>
      </c>
      <c r="AU514" s="1" t="str">
        <f>IF(OR($B514="",AU$7=""),"",IF($B514="MEANS",INDEX('1-DATA'!$1:$1048576,$A513-1,COLUMN('1-DATA'!AT512)),ROUND(INDEX('1-DATA'!$1:$1048576,IF(OR($B514="STD. DEVIATION",$C$1=1),$A514,$A514+1),COLUMN('1-DATA'!AT512)),IF($B514="STD. DEVIATION",2,$F$1))))</f>
        <v/>
      </c>
      <c r="AV514" s="1" t="str">
        <f>IF(OR($B514="",AV$7=""),"",IF($B514="MEANS",INDEX('1-DATA'!$1:$1048576,$A513-1,COLUMN('1-DATA'!AU512)),ROUND(INDEX('1-DATA'!$1:$1048576,IF(OR($B514="STD. DEVIATION",$C$1=1),$A514,$A514+1),COLUMN('1-DATA'!AU512)),IF($B514="STD. DEVIATION",2,$F$1))))</f>
        <v/>
      </c>
      <c r="AW514" s="1" t="str">
        <f>IF(OR($B514="",AW$7=""),"",IF($B514="MEANS",INDEX('1-DATA'!$1:$1048576,$A513-1,COLUMN('1-DATA'!AV512)),ROUND(INDEX('1-DATA'!$1:$1048576,IF(OR($B514="STD. DEVIATION",$C$1=1),$A514,$A514+1),COLUMN('1-DATA'!AV512)),IF($B514="STD. DEVIATION",2,$F$1))))</f>
        <v/>
      </c>
      <c r="AX514" s="1" t="str">
        <f>IF(OR($B514="",AX$7=""),"",IF($B514="MEANS",INDEX('1-DATA'!$1:$1048576,$A513-1,COLUMN('1-DATA'!AW512)),ROUND(INDEX('1-DATA'!$1:$1048576,IF(OR($B514="STD. DEVIATION",$C$1=1),$A514,$A514+1),COLUMN('1-DATA'!AW512)),IF($B514="STD. DEVIATION",2,$F$1))))</f>
        <v/>
      </c>
      <c r="AY514" s="1" t="str">
        <f>IF(OR($B514="",AY$7=""),"",IF($B514="MEANS",INDEX('1-DATA'!$1:$1048576,$A513-1,COLUMN('1-DATA'!AX512)),ROUND(INDEX('1-DATA'!$1:$1048576,IF(OR($B514="STD. DEVIATION",$C$1=1),$A514,$A514+1),COLUMN('1-DATA'!AX512)),IF($B514="STD. DEVIATION",2,$F$1))))</f>
        <v/>
      </c>
      <c r="AZ514" s="1" t="str">
        <f>IF(OR($B514="",AZ$7=""),"",IF($B514="MEANS",INDEX('1-DATA'!$1:$1048576,$A513-1,COLUMN('1-DATA'!AY512)),ROUND(INDEX('1-DATA'!$1:$1048576,IF(OR($B514="STD. DEVIATION",$C$1=1),$A514,$A514+1),COLUMN('1-DATA'!AY512)),IF($B514="STD. DEVIATION",2,$F$1))))</f>
        <v/>
      </c>
    </row>
    <row r="515" spans="1:52" x14ac:dyDescent="0.25">
      <c r="A515" s="11">
        <f t="shared" si="8"/>
        <v>1531</v>
      </c>
      <c r="B515" s="1" t="str">
        <f>IF(B514="STD. DEVIATION",INDEX('1-DATA'!$1:$1048576,$A514-1,1),IF(INDEX('1-DATA'!$1:$1048576,$A515,1)&lt;&gt;"",INDEX('1-DATA'!$1:$1048576,$A515,1),""))</f>
        <v/>
      </c>
      <c r="C515" s="1" t="str">
        <f>IF(OR($B515="",C$7=""),"",IF($B515="MEANS",INDEX('1-DATA'!$1:$1048576,$A514-1,COLUMN('1-DATA'!B513)),ROUND(INDEX('1-DATA'!$1:$1048576,IF(OR($B515="STD. DEVIATION",$C$1=1),$A515,$A515+1),COLUMN('1-DATA'!B513)),IF($B515="STD. DEVIATION",2,$F$1))))</f>
        <v/>
      </c>
      <c r="D515" s="1" t="str">
        <f>IF(OR($B515="",D$7=""),"",IF($B515="MEANS",INDEX('1-DATA'!$1:$1048576,$A514-1,COLUMN('1-DATA'!C513)),ROUND(INDEX('1-DATA'!$1:$1048576,IF(OR($B515="STD. DEVIATION",$C$1=1),$A515,$A515+1),COLUMN('1-DATA'!C513)),IF($B515="STD. DEVIATION",2,$F$1))))</f>
        <v/>
      </c>
      <c r="E515" s="1" t="str">
        <f>IF(OR($B515="",E$7=""),"",IF($B515="MEANS",INDEX('1-DATA'!$1:$1048576,$A514-1,COLUMN('1-DATA'!D513)),ROUND(INDEX('1-DATA'!$1:$1048576,IF(OR($B515="STD. DEVIATION",$C$1=1),$A515,$A515+1),COLUMN('1-DATA'!D513)),IF($B515="STD. DEVIATION",2,$F$1))))</f>
        <v/>
      </c>
      <c r="F515" s="1" t="str">
        <f>IF(OR($B515="",F$7=""),"",IF($B515="MEANS",INDEX('1-DATA'!$1:$1048576,$A514-1,COLUMN('1-DATA'!E513)),ROUND(INDEX('1-DATA'!$1:$1048576,IF(OR($B515="STD. DEVIATION",$C$1=1),$A515,$A515+1),COLUMN('1-DATA'!E513)),IF($B515="STD. DEVIATION",2,$F$1))))</f>
        <v/>
      </c>
      <c r="G515" s="1" t="str">
        <f>IF(OR($B515="",G$7=""),"",IF($B515="MEANS",INDEX('1-DATA'!$1:$1048576,$A514-1,COLUMN('1-DATA'!F513)),ROUND(INDEX('1-DATA'!$1:$1048576,IF(OR($B515="STD. DEVIATION",$C$1=1),$A515,$A515+1),COLUMN('1-DATA'!F513)),IF($B515="STD. DEVIATION",2,$F$1))))</f>
        <v/>
      </c>
      <c r="H515" s="1" t="str">
        <f>IF(OR($B515="",H$7=""),"",IF($B515="MEANS",INDEX('1-DATA'!$1:$1048576,$A514-1,COLUMN('1-DATA'!G513)),ROUND(INDEX('1-DATA'!$1:$1048576,IF(OR($B515="STD. DEVIATION",$C$1=1),$A515,$A515+1),COLUMN('1-DATA'!G513)),IF($B515="STD. DEVIATION",2,$F$1))))</f>
        <v/>
      </c>
      <c r="I515" s="1" t="str">
        <f>IF(OR($B515="",I$7=""),"",IF($B515="MEANS",INDEX('1-DATA'!$1:$1048576,$A514-1,COLUMN('1-DATA'!H513)),ROUND(INDEX('1-DATA'!$1:$1048576,IF(OR($B515="STD. DEVIATION",$C$1=1),$A515,$A515+1),COLUMN('1-DATA'!H513)),IF($B515="STD. DEVIATION",2,$F$1))))</f>
        <v/>
      </c>
      <c r="J515" s="1" t="str">
        <f>IF(OR($B515="",J$7=""),"",IF($B515="MEANS",INDEX('1-DATA'!$1:$1048576,$A514-1,COLUMN('1-DATA'!I513)),ROUND(INDEX('1-DATA'!$1:$1048576,IF(OR($B515="STD. DEVIATION",$C$1=1),$A515,$A515+1),COLUMN('1-DATA'!I513)),IF($B515="STD. DEVIATION",2,$F$1))))</f>
        <v/>
      </c>
      <c r="K515" s="1" t="str">
        <f>IF(OR($B515="",K$7=""),"",IF($B515="MEANS",INDEX('1-DATA'!$1:$1048576,$A514-1,COLUMN('1-DATA'!J513)),ROUND(INDEX('1-DATA'!$1:$1048576,IF(OR($B515="STD. DEVIATION",$C$1=1),$A515,$A515+1),COLUMN('1-DATA'!J513)),IF($B515="STD. DEVIATION",2,$F$1))))</f>
        <v/>
      </c>
      <c r="L515" s="1" t="str">
        <f>IF(OR($B515="",L$7=""),"",IF($B515="MEANS",INDEX('1-DATA'!$1:$1048576,$A514-1,COLUMN('1-DATA'!K513)),ROUND(INDEX('1-DATA'!$1:$1048576,IF(OR($B515="STD. DEVIATION",$C$1=1),$A515,$A515+1),COLUMN('1-DATA'!K513)),IF($B515="STD. DEVIATION",2,$F$1))))</f>
        <v/>
      </c>
      <c r="M515" s="1" t="str">
        <f>IF(OR($B515="",M$7=""),"",IF($B515="MEANS",INDEX('1-DATA'!$1:$1048576,$A514-1,COLUMN('1-DATA'!L513)),ROUND(INDEX('1-DATA'!$1:$1048576,IF(OR($B515="STD. DEVIATION",$C$1=1),$A515,$A515+1),COLUMN('1-DATA'!L513)),IF($B515="STD. DEVIATION",2,$F$1))))</f>
        <v/>
      </c>
      <c r="N515" s="1" t="str">
        <f>IF(OR($B515="",N$7=""),"",IF($B515="MEANS",INDEX('1-DATA'!$1:$1048576,$A514-1,COLUMN('1-DATA'!M513)),ROUND(INDEX('1-DATA'!$1:$1048576,IF(OR($B515="STD. DEVIATION",$C$1=1),$A515,$A515+1),COLUMN('1-DATA'!M513)),IF($B515="STD. DEVIATION",2,$F$1))))</f>
        <v/>
      </c>
      <c r="O515" s="1" t="str">
        <f>IF(OR($B515="",O$7=""),"",IF($B515="MEANS",INDEX('1-DATA'!$1:$1048576,$A514-1,COLUMN('1-DATA'!N513)),ROUND(INDEX('1-DATA'!$1:$1048576,IF(OR($B515="STD. DEVIATION",$C$1=1),$A515,$A515+1),COLUMN('1-DATA'!N513)),IF($B515="STD. DEVIATION",2,$F$1))))</f>
        <v/>
      </c>
      <c r="P515" s="1" t="str">
        <f>IF(OR($B515="",P$7=""),"",IF($B515="MEANS",INDEX('1-DATA'!$1:$1048576,$A514-1,COLUMN('1-DATA'!O513)),ROUND(INDEX('1-DATA'!$1:$1048576,IF(OR($B515="STD. DEVIATION",$C$1=1),$A515,$A515+1),COLUMN('1-DATA'!O513)),IF($B515="STD. DEVIATION",2,$F$1))))</f>
        <v/>
      </c>
      <c r="Q515" s="1" t="str">
        <f>IF(OR($B515="",Q$7=""),"",IF($B515="MEANS",INDEX('1-DATA'!$1:$1048576,$A514-1,COLUMN('1-DATA'!P513)),ROUND(INDEX('1-DATA'!$1:$1048576,IF(OR($B515="STD. DEVIATION",$C$1=1),$A515,$A515+1),COLUMN('1-DATA'!P513)),IF($B515="STD. DEVIATION",2,$F$1))))</f>
        <v/>
      </c>
      <c r="R515" s="1" t="str">
        <f>IF(OR($B515="",R$7=""),"",IF($B515="MEANS",INDEX('1-DATA'!$1:$1048576,$A514-1,COLUMN('1-DATA'!Q513)),ROUND(INDEX('1-DATA'!$1:$1048576,IF(OR($B515="STD. DEVIATION",$C$1=1),$A515,$A515+1),COLUMN('1-DATA'!Q513)),IF($B515="STD. DEVIATION",2,$F$1))))</f>
        <v/>
      </c>
      <c r="S515" s="1" t="str">
        <f>IF(OR($B515="",S$7=""),"",IF($B515="MEANS",INDEX('1-DATA'!$1:$1048576,$A514-1,COLUMN('1-DATA'!R513)),ROUND(INDEX('1-DATA'!$1:$1048576,IF(OR($B515="STD. DEVIATION",$C$1=1),$A515,$A515+1),COLUMN('1-DATA'!R513)),IF($B515="STD. DEVIATION",2,$F$1))))</f>
        <v/>
      </c>
      <c r="T515" s="1" t="str">
        <f>IF(OR($B515="",T$7=""),"",IF($B515="MEANS",INDEX('1-DATA'!$1:$1048576,$A514-1,COLUMN('1-DATA'!S513)),ROUND(INDEX('1-DATA'!$1:$1048576,IF(OR($B515="STD. DEVIATION",$C$1=1),$A515,$A515+1),COLUMN('1-DATA'!S513)),IF($B515="STD. DEVIATION",2,$F$1))))</f>
        <v/>
      </c>
      <c r="U515" s="1" t="str">
        <f>IF(OR($B515="",U$7=""),"",IF($B515="MEANS",INDEX('1-DATA'!$1:$1048576,$A514-1,COLUMN('1-DATA'!T513)),ROUND(INDEX('1-DATA'!$1:$1048576,IF(OR($B515="STD. DEVIATION",$C$1=1),$A515,$A515+1),COLUMN('1-DATA'!T513)),IF($B515="STD. DEVIATION",2,$F$1))))</f>
        <v/>
      </c>
      <c r="V515" s="1" t="str">
        <f>IF(OR($B515="",V$7=""),"",IF($B515="MEANS",INDEX('1-DATA'!$1:$1048576,$A514-1,COLUMN('1-DATA'!U513)),ROUND(INDEX('1-DATA'!$1:$1048576,IF(OR($B515="STD. DEVIATION",$C$1=1),$A515,$A515+1),COLUMN('1-DATA'!U513)),IF($B515="STD. DEVIATION",2,$F$1))))</f>
        <v/>
      </c>
      <c r="W515" s="1" t="str">
        <f>IF(OR($B515="",W$7=""),"",IF($B515="MEANS",INDEX('1-DATA'!$1:$1048576,$A514-1,COLUMN('1-DATA'!V513)),ROUND(INDEX('1-DATA'!$1:$1048576,IF(OR($B515="STD. DEVIATION",$C$1=1),$A515,$A515+1),COLUMN('1-DATA'!V513)),IF($B515="STD. DEVIATION",2,$F$1))))</f>
        <v/>
      </c>
      <c r="X515" s="1" t="str">
        <f>IF(OR($B515="",X$7=""),"",IF($B515="MEANS",INDEX('1-DATA'!$1:$1048576,$A514-1,COLUMN('1-DATA'!W513)),ROUND(INDEX('1-DATA'!$1:$1048576,IF(OR($B515="STD. DEVIATION",$C$1=1),$A515,$A515+1),COLUMN('1-DATA'!W513)),IF($B515="STD. DEVIATION",2,$F$1))))</f>
        <v/>
      </c>
      <c r="Y515" s="1" t="str">
        <f>IF(OR($B515="",Y$7=""),"",IF($B515="MEANS",INDEX('1-DATA'!$1:$1048576,$A514-1,COLUMN('1-DATA'!X513)),ROUND(INDEX('1-DATA'!$1:$1048576,IF(OR($B515="STD. DEVIATION",$C$1=1),$A515,$A515+1),COLUMN('1-DATA'!X513)),IF($B515="STD. DEVIATION",2,$F$1))))</f>
        <v/>
      </c>
      <c r="Z515" s="1" t="str">
        <f>IF(OR($B515="",Z$7=""),"",IF($B515="MEANS",INDEX('1-DATA'!$1:$1048576,$A514-1,COLUMN('1-DATA'!Y513)),ROUND(INDEX('1-DATA'!$1:$1048576,IF(OR($B515="STD. DEVIATION",$C$1=1),$A515,$A515+1),COLUMN('1-DATA'!Y513)),IF($B515="STD. DEVIATION",2,$F$1))))</f>
        <v/>
      </c>
      <c r="AA515" s="1" t="str">
        <f>IF(OR($B515="",AA$7=""),"",IF($B515="MEANS",INDEX('1-DATA'!$1:$1048576,$A514-1,COLUMN('1-DATA'!Z513)),ROUND(INDEX('1-DATA'!$1:$1048576,IF(OR($B515="STD. DEVIATION",$C$1=1),$A515,$A515+1),COLUMN('1-DATA'!Z513)),IF($B515="STD. DEVIATION",2,$F$1))))</f>
        <v/>
      </c>
      <c r="AB515" s="1" t="str">
        <f>IF(OR($B515="",AB$7=""),"",IF($B515="MEANS",INDEX('1-DATA'!$1:$1048576,$A514-1,COLUMN('1-DATA'!AA513)),ROUND(INDEX('1-DATA'!$1:$1048576,IF(OR($B515="STD. DEVIATION",$C$1=1),$A515,$A515+1),COLUMN('1-DATA'!AA513)),IF($B515="STD. DEVIATION",2,$F$1))))</f>
        <v/>
      </c>
      <c r="AC515" s="1" t="str">
        <f>IF(OR($B515="",AC$7=""),"",IF($B515="MEANS",INDEX('1-DATA'!$1:$1048576,$A514-1,COLUMN('1-DATA'!AB513)),ROUND(INDEX('1-DATA'!$1:$1048576,IF(OR($B515="STD. DEVIATION",$C$1=1),$A515,$A515+1),COLUMN('1-DATA'!AB513)),IF($B515="STD. DEVIATION",2,$F$1))))</f>
        <v/>
      </c>
      <c r="AD515" s="1" t="str">
        <f>IF(OR($B515="",AD$7=""),"",IF($B515="MEANS",INDEX('1-DATA'!$1:$1048576,$A514-1,COLUMN('1-DATA'!AC513)),ROUND(INDEX('1-DATA'!$1:$1048576,IF(OR($B515="STD. DEVIATION",$C$1=1),$A515,$A515+1),COLUMN('1-DATA'!AC513)),IF($B515="STD. DEVIATION",2,$F$1))))</f>
        <v/>
      </c>
      <c r="AE515" s="1" t="str">
        <f>IF(OR($B515="",AE$7=""),"",IF($B515="MEANS",INDEX('1-DATA'!$1:$1048576,$A514-1,COLUMN('1-DATA'!AD513)),ROUND(INDEX('1-DATA'!$1:$1048576,IF(OR($B515="STD. DEVIATION",$C$1=1),$A515,$A515+1),COLUMN('1-DATA'!AD513)),IF($B515="STD. DEVIATION",2,$F$1))))</f>
        <v/>
      </c>
      <c r="AF515" s="1" t="str">
        <f>IF(OR($B515="",AF$7=""),"",IF($B515="MEANS",INDEX('1-DATA'!$1:$1048576,$A514-1,COLUMN('1-DATA'!AE513)),ROUND(INDEX('1-DATA'!$1:$1048576,IF(OR($B515="STD. DEVIATION",$C$1=1),$A515,$A515+1),COLUMN('1-DATA'!AE513)),IF($B515="STD. DEVIATION",2,$F$1))))</f>
        <v/>
      </c>
      <c r="AG515" s="1" t="str">
        <f>IF(OR($B515="",AG$7=""),"",IF($B515="MEANS",INDEX('1-DATA'!$1:$1048576,$A514-1,COLUMN('1-DATA'!AF513)),ROUND(INDEX('1-DATA'!$1:$1048576,IF(OR($B515="STD. DEVIATION",$C$1=1),$A515,$A515+1),COLUMN('1-DATA'!AF513)),IF($B515="STD. DEVIATION",2,$F$1))))</f>
        <v/>
      </c>
      <c r="AH515" s="1" t="str">
        <f>IF(OR($B515="",AH$7=""),"",IF($B515="MEANS",INDEX('1-DATA'!$1:$1048576,$A514-1,COLUMN('1-DATA'!AG513)),ROUND(INDEX('1-DATA'!$1:$1048576,IF(OR($B515="STD. DEVIATION",$C$1=1),$A515,$A515+1),COLUMN('1-DATA'!AG513)),IF($B515="STD. DEVIATION",2,$F$1))))</f>
        <v/>
      </c>
      <c r="AI515" s="1" t="str">
        <f>IF(OR($B515="",AI$7=""),"",IF($B515="MEANS",INDEX('1-DATA'!$1:$1048576,$A514-1,COLUMN('1-DATA'!AH513)),ROUND(INDEX('1-DATA'!$1:$1048576,IF(OR($B515="STD. DEVIATION",$C$1=1),$A515,$A515+1),COLUMN('1-DATA'!AH513)),IF($B515="STD. DEVIATION",2,$F$1))))</f>
        <v/>
      </c>
      <c r="AJ515" s="1" t="str">
        <f>IF(OR($B515="",AJ$7=""),"",IF($B515="MEANS",INDEX('1-DATA'!$1:$1048576,$A514-1,COLUMN('1-DATA'!AI513)),ROUND(INDEX('1-DATA'!$1:$1048576,IF(OR($B515="STD. DEVIATION",$C$1=1),$A515,$A515+1),COLUMN('1-DATA'!AI513)),IF($B515="STD. DEVIATION",2,$F$1))))</f>
        <v/>
      </c>
      <c r="AK515" s="1" t="str">
        <f>IF(OR($B515="",AK$7=""),"",IF($B515="MEANS",INDEX('1-DATA'!$1:$1048576,$A514-1,COLUMN('1-DATA'!AJ513)),ROUND(INDEX('1-DATA'!$1:$1048576,IF(OR($B515="STD. DEVIATION",$C$1=1),$A515,$A515+1),COLUMN('1-DATA'!AJ513)),IF($B515="STD. DEVIATION",2,$F$1))))</f>
        <v/>
      </c>
      <c r="AL515" s="1" t="str">
        <f>IF(OR($B515="",AL$7=""),"",IF($B515="MEANS",INDEX('1-DATA'!$1:$1048576,$A514-1,COLUMN('1-DATA'!AK513)),ROUND(INDEX('1-DATA'!$1:$1048576,IF(OR($B515="STD. DEVIATION",$C$1=1),$A515,$A515+1),COLUMN('1-DATA'!AK513)),IF($B515="STD. DEVIATION",2,$F$1))))</f>
        <v/>
      </c>
      <c r="AM515" s="1" t="str">
        <f>IF(OR($B515="",AM$7=""),"",IF($B515="MEANS",INDEX('1-DATA'!$1:$1048576,$A514-1,COLUMN('1-DATA'!AL513)),ROUND(INDEX('1-DATA'!$1:$1048576,IF(OR($B515="STD. DEVIATION",$C$1=1),$A515,$A515+1),COLUMN('1-DATA'!AL513)),IF($B515="STD. DEVIATION",2,$F$1))))</f>
        <v/>
      </c>
      <c r="AN515" s="1" t="str">
        <f>IF(OR($B515="",AN$7=""),"",IF($B515="MEANS",INDEX('1-DATA'!$1:$1048576,$A514-1,COLUMN('1-DATA'!AM513)),ROUND(INDEX('1-DATA'!$1:$1048576,IF(OR($B515="STD. DEVIATION",$C$1=1),$A515,$A515+1),COLUMN('1-DATA'!AM513)),IF($B515="STD. DEVIATION",2,$F$1))))</f>
        <v/>
      </c>
      <c r="AO515" s="1" t="str">
        <f>IF(OR($B515="",AO$7=""),"",IF($B515="MEANS",INDEX('1-DATA'!$1:$1048576,$A514-1,COLUMN('1-DATA'!AN513)),ROUND(INDEX('1-DATA'!$1:$1048576,IF(OR($B515="STD. DEVIATION",$C$1=1),$A515,$A515+1),COLUMN('1-DATA'!AN513)),IF($B515="STD. DEVIATION",2,$F$1))))</f>
        <v/>
      </c>
      <c r="AP515" s="1" t="str">
        <f>IF(OR($B515="",AP$7=""),"",IF($B515="MEANS",INDEX('1-DATA'!$1:$1048576,$A514-1,COLUMN('1-DATA'!AO513)),ROUND(INDEX('1-DATA'!$1:$1048576,IF(OR($B515="STD. DEVIATION",$C$1=1),$A515,$A515+1),COLUMN('1-DATA'!AO513)),IF($B515="STD. DEVIATION",2,$F$1))))</f>
        <v/>
      </c>
      <c r="AQ515" s="1" t="str">
        <f>IF(OR($B515="",AQ$7=""),"",IF($B515="MEANS",INDEX('1-DATA'!$1:$1048576,$A514-1,COLUMN('1-DATA'!AP513)),ROUND(INDEX('1-DATA'!$1:$1048576,IF(OR($B515="STD. DEVIATION",$C$1=1),$A515,$A515+1),COLUMN('1-DATA'!AP513)),IF($B515="STD. DEVIATION",2,$F$1))))</f>
        <v/>
      </c>
      <c r="AR515" s="1" t="str">
        <f>IF(OR($B515="",AR$7=""),"",IF($B515="MEANS",INDEX('1-DATA'!$1:$1048576,$A514-1,COLUMN('1-DATA'!AQ513)),ROUND(INDEX('1-DATA'!$1:$1048576,IF(OR($B515="STD. DEVIATION",$C$1=1),$A515,$A515+1),COLUMN('1-DATA'!AQ513)),IF($B515="STD. DEVIATION",2,$F$1))))</f>
        <v/>
      </c>
      <c r="AS515" s="1" t="str">
        <f>IF(OR($B515="",AS$7=""),"",IF($B515="MEANS",INDEX('1-DATA'!$1:$1048576,$A514-1,COLUMN('1-DATA'!AR513)),ROUND(INDEX('1-DATA'!$1:$1048576,IF(OR($B515="STD. DEVIATION",$C$1=1),$A515,$A515+1),COLUMN('1-DATA'!AR513)),IF($B515="STD. DEVIATION",2,$F$1))))</f>
        <v/>
      </c>
      <c r="AT515" s="1" t="str">
        <f>IF(OR($B515="",AT$7=""),"",IF($B515="MEANS",INDEX('1-DATA'!$1:$1048576,$A514-1,COLUMN('1-DATA'!AS513)),ROUND(INDEX('1-DATA'!$1:$1048576,IF(OR($B515="STD. DEVIATION",$C$1=1),$A515,$A515+1),COLUMN('1-DATA'!AS513)),IF($B515="STD. DEVIATION",2,$F$1))))</f>
        <v/>
      </c>
      <c r="AU515" s="1" t="str">
        <f>IF(OR($B515="",AU$7=""),"",IF($B515="MEANS",INDEX('1-DATA'!$1:$1048576,$A514-1,COLUMN('1-DATA'!AT513)),ROUND(INDEX('1-DATA'!$1:$1048576,IF(OR($B515="STD. DEVIATION",$C$1=1),$A515,$A515+1),COLUMN('1-DATA'!AT513)),IF($B515="STD. DEVIATION",2,$F$1))))</f>
        <v/>
      </c>
      <c r="AV515" s="1" t="str">
        <f>IF(OR($B515="",AV$7=""),"",IF($B515="MEANS",INDEX('1-DATA'!$1:$1048576,$A514-1,COLUMN('1-DATA'!AU513)),ROUND(INDEX('1-DATA'!$1:$1048576,IF(OR($B515="STD. DEVIATION",$C$1=1),$A515,$A515+1),COLUMN('1-DATA'!AU513)),IF($B515="STD. DEVIATION",2,$F$1))))</f>
        <v/>
      </c>
      <c r="AW515" s="1" t="str">
        <f>IF(OR($B515="",AW$7=""),"",IF($B515="MEANS",INDEX('1-DATA'!$1:$1048576,$A514-1,COLUMN('1-DATA'!AV513)),ROUND(INDEX('1-DATA'!$1:$1048576,IF(OR($B515="STD. DEVIATION",$C$1=1),$A515,$A515+1),COLUMN('1-DATA'!AV513)),IF($B515="STD. DEVIATION",2,$F$1))))</f>
        <v/>
      </c>
      <c r="AX515" s="1" t="str">
        <f>IF(OR($B515="",AX$7=""),"",IF($B515="MEANS",INDEX('1-DATA'!$1:$1048576,$A514-1,COLUMN('1-DATA'!AW513)),ROUND(INDEX('1-DATA'!$1:$1048576,IF(OR($B515="STD. DEVIATION",$C$1=1),$A515,$A515+1),COLUMN('1-DATA'!AW513)),IF($B515="STD. DEVIATION",2,$F$1))))</f>
        <v/>
      </c>
      <c r="AY515" s="1" t="str">
        <f>IF(OR($B515="",AY$7=""),"",IF($B515="MEANS",INDEX('1-DATA'!$1:$1048576,$A514-1,COLUMN('1-DATA'!AX513)),ROUND(INDEX('1-DATA'!$1:$1048576,IF(OR($B515="STD. DEVIATION",$C$1=1),$A515,$A515+1),COLUMN('1-DATA'!AX513)),IF($B515="STD. DEVIATION",2,$F$1))))</f>
        <v/>
      </c>
      <c r="AZ515" s="1" t="str">
        <f>IF(OR($B515="",AZ$7=""),"",IF($B515="MEANS",INDEX('1-DATA'!$1:$1048576,$A514-1,COLUMN('1-DATA'!AY513)),ROUND(INDEX('1-DATA'!$1:$1048576,IF(OR($B515="STD. DEVIATION",$C$1=1),$A515,$A515+1),COLUMN('1-DATA'!AY513)),IF($B515="STD. DEVIATION",2,$F$1))))</f>
        <v/>
      </c>
    </row>
    <row r="516" spans="1:52" x14ac:dyDescent="0.25">
      <c r="A516" s="11">
        <f t="shared" si="8"/>
        <v>1534</v>
      </c>
      <c r="B516" s="1" t="str">
        <f>IF(B515="STD. DEVIATION",INDEX('1-DATA'!$1:$1048576,$A515-1,1),IF(INDEX('1-DATA'!$1:$1048576,$A516,1)&lt;&gt;"",INDEX('1-DATA'!$1:$1048576,$A516,1),""))</f>
        <v/>
      </c>
      <c r="C516" s="1" t="str">
        <f>IF(OR($B516="",C$7=""),"",IF($B516="MEANS",INDEX('1-DATA'!$1:$1048576,$A515-1,COLUMN('1-DATA'!B514)),ROUND(INDEX('1-DATA'!$1:$1048576,IF(OR($B516="STD. DEVIATION",$C$1=1),$A516,$A516+1),COLUMN('1-DATA'!B514)),IF($B516="STD. DEVIATION",2,$F$1))))</f>
        <v/>
      </c>
      <c r="D516" s="1" t="str">
        <f>IF(OR($B516="",D$7=""),"",IF($B516="MEANS",INDEX('1-DATA'!$1:$1048576,$A515-1,COLUMN('1-DATA'!C514)),ROUND(INDEX('1-DATA'!$1:$1048576,IF(OR($B516="STD. DEVIATION",$C$1=1),$A516,$A516+1),COLUMN('1-DATA'!C514)),IF($B516="STD. DEVIATION",2,$F$1))))</f>
        <v/>
      </c>
      <c r="E516" s="1" t="str">
        <f>IF(OR($B516="",E$7=""),"",IF($B516="MEANS",INDEX('1-DATA'!$1:$1048576,$A515-1,COLUMN('1-DATA'!D514)),ROUND(INDEX('1-DATA'!$1:$1048576,IF(OR($B516="STD. DEVIATION",$C$1=1),$A516,$A516+1),COLUMN('1-DATA'!D514)),IF($B516="STD. DEVIATION",2,$F$1))))</f>
        <v/>
      </c>
      <c r="F516" s="1" t="str">
        <f>IF(OR($B516="",F$7=""),"",IF($B516="MEANS",INDEX('1-DATA'!$1:$1048576,$A515-1,COLUMN('1-DATA'!E514)),ROUND(INDEX('1-DATA'!$1:$1048576,IF(OR($B516="STD. DEVIATION",$C$1=1),$A516,$A516+1),COLUMN('1-DATA'!E514)),IF($B516="STD. DEVIATION",2,$F$1))))</f>
        <v/>
      </c>
      <c r="G516" s="1" t="str">
        <f>IF(OR($B516="",G$7=""),"",IF($B516="MEANS",INDEX('1-DATA'!$1:$1048576,$A515-1,COLUMN('1-DATA'!F514)),ROUND(INDEX('1-DATA'!$1:$1048576,IF(OR($B516="STD. DEVIATION",$C$1=1),$A516,$A516+1),COLUMN('1-DATA'!F514)),IF($B516="STD. DEVIATION",2,$F$1))))</f>
        <v/>
      </c>
      <c r="H516" s="1" t="str">
        <f>IF(OR($B516="",H$7=""),"",IF($B516="MEANS",INDEX('1-DATA'!$1:$1048576,$A515-1,COLUMN('1-DATA'!G514)),ROUND(INDEX('1-DATA'!$1:$1048576,IF(OR($B516="STD. DEVIATION",$C$1=1),$A516,$A516+1),COLUMN('1-DATA'!G514)),IF($B516="STD. DEVIATION",2,$F$1))))</f>
        <v/>
      </c>
      <c r="I516" s="1" t="str">
        <f>IF(OR($B516="",I$7=""),"",IF($B516="MEANS",INDEX('1-DATA'!$1:$1048576,$A515-1,COLUMN('1-DATA'!H514)),ROUND(INDEX('1-DATA'!$1:$1048576,IF(OR($B516="STD. DEVIATION",$C$1=1),$A516,$A516+1),COLUMN('1-DATA'!H514)),IF($B516="STD. DEVIATION",2,$F$1))))</f>
        <v/>
      </c>
      <c r="J516" s="1" t="str">
        <f>IF(OR($B516="",J$7=""),"",IF($B516="MEANS",INDEX('1-DATA'!$1:$1048576,$A515-1,COLUMN('1-DATA'!I514)),ROUND(INDEX('1-DATA'!$1:$1048576,IF(OR($B516="STD. DEVIATION",$C$1=1),$A516,$A516+1),COLUMN('1-DATA'!I514)),IF($B516="STD. DEVIATION",2,$F$1))))</f>
        <v/>
      </c>
      <c r="K516" s="1" t="str">
        <f>IF(OR($B516="",K$7=""),"",IF($B516="MEANS",INDEX('1-DATA'!$1:$1048576,$A515-1,COLUMN('1-DATA'!J514)),ROUND(INDEX('1-DATA'!$1:$1048576,IF(OR($B516="STD. DEVIATION",$C$1=1),$A516,$A516+1),COLUMN('1-DATA'!J514)),IF($B516="STD. DEVIATION",2,$F$1))))</f>
        <v/>
      </c>
      <c r="L516" s="1" t="str">
        <f>IF(OR($B516="",L$7=""),"",IF($B516="MEANS",INDEX('1-DATA'!$1:$1048576,$A515-1,COLUMN('1-DATA'!K514)),ROUND(INDEX('1-DATA'!$1:$1048576,IF(OR($B516="STD. DEVIATION",$C$1=1),$A516,$A516+1),COLUMN('1-DATA'!K514)),IF($B516="STD. DEVIATION",2,$F$1))))</f>
        <v/>
      </c>
      <c r="M516" s="1" t="str">
        <f>IF(OR($B516="",M$7=""),"",IF($B516="MEANS",INDEX('1-DATA'!$1:$1048576,$A515-1,COLUMN('1-DATA'!L514)),ROUND(INDEX('1-DATA'!$1:$1048576,IF(OR($B516="STD. DEVIATION",$C$1=1),$A516,$A516+1),COLUMN('1-DATA'!L514)),IF($B516="STD. DEVIATION",2,$F$1))))</f>
        <v/>
      </c>
      <c r="N516" s="1" t="str">
        <f>IF(OR($B516="",N$7=""),"",IF($B516="MEANS",INDEX('1-DATA'!$1:$1048576,$A515-1,COLUMN('1-DATA'!M514)),ROUND(INDEX('1-DATA'!$1:$1048576,IF(OR($B516="STD. DEVIATION",$C$1=1),$A516,$A516+1),COLUMN('1-DATA'!M514)),IF($B516="STD. DEVIATION",2,$F$1))))</f>
        <v/>
      </c>
      <c r="O516" s="1" t="str">
        <f>IF(OR($B516="",O$7=""),"",IF($B516="MEANS",INDEX('1-DATA'!$1:$1048576,$A515-1,COLUMN('1-DATA'!N514)),ROUND(INDEX('1-DATA'!$1:$1048576,IF(OR($B516="STD. DEVIATION",$C$1=1),$A516,$A516+1),COLUMN('1-DATA'!N514)),IF($B516="STD. DEVIATION",2,$F$1))))</f>
        <v/>
      </c>
      <c r="P516" s="1" t="str">
        <f>IF(OR($B516="",P$7=""),"",IF($B516="MEANS",INDEX('1-DATA'!$1:$1048576,$A515-1,COLUMN('1-DATA'!O514)),ROUND(INDEX('1-DATA'!$1:$1048576,IF(OR($B516="STD. DEVIATION",$C$1=1),$A516,$A516+1),COLUMN('1-DATA'!O514)),IF($B516="STD. DEVIATION",2,$F$1))))</f>
        <v/>
      </c>
      <c r="Q516" s="1" t="str">
        <f>IF(OR($B516="",Q$7=""),"",IF($B516="MEANS",INDEX('1-DATA'!$1:$1048576,$A515-1,COLUMN('1-DATA'!P514)),ROUND(INDEX('1-DATA'!$1:$1048576,IF(OR($B516="STD. DEVIATION",$C$1=1),$A516,$A516+1),COLUMN('1-DATA'!P514)),IF($B516="STD. DEVIATION",2,$F$1))))</f>
        <v/>
      </c>
      <c r="R516" s="1" t="str">
        <f>IF(OR($B516="",R$7=""),"",IF($B516="MEANS",INDEX('1-DATA'!$1:$1048576,$A515-1,COLUMN('1-DATA'!Q514)),ROUND(INDEX('1-DATA'!$1:$1048576,IF(OR($B516="STD. DEVIATION",$C$1=1),$A516,$A516+1),COLUMN('1-DATA'!Q514)),IF($B516="STD. DEVIATION",2,$F$1))))</f>
        <v/>
      </c>
      <c r="S516" s="1" t="str">
        <f>IF(OR($B516="",S$7=""),"",IF($B516="MEANS",INDEX('1-DATA'!$1:$1048576,$A515-1,COLUMN('1-DATA'!R514)),ROUND(INDEX('1-DATA'!$1:$1048576,IF(OR($B516="STD. DEVIATION",$C$1=1),$A516,$A516+1),COLUMN('1-DATA'!R514)),IF($B516="STD. DEVIATION",2,$F$1))))</f>
        <v/>
      </c>
      <c r="T516" s="1" t="str">
        <f>IF(OR($B516="",T$7=""),"",IF($B516="MEANS",INDEX('1-DATA'!$1:$1048576,$A515-1,COLUMN('1-DATA'!S514)),ROUND(INDEX('1-DATA'!$1:$1048576,IF(OR($B516="STD. DEVIATION",$C$1=1),$A516,$A516+1),COLUMN('1-DATA'!S514)),IF($B516="STD. DEVIATION",2,$F$1))))</f>
        <v/>
      </c>
      <c r="U516" s="1" t="str">
        <f>IF(OR($B516="",U$7=""),"",IF($B516="MEANS",INDEX('1-DATA'!$1:$1048576,$A515-1,COLUMN('1-DATA'!T514)),ROUND(INDEX('1-DATA'!$1:$1048576,IF(OR($B516="STD. DEVIATION",$C$1=1),$A516,$A516+1),COLUMN('1-DATA'!T514)),IF($B516="STD. DEVIATION",2,$F$1))))</f>
        <v/>
      </c>
      <c r="V516" s="1" t="str">
        <f>IF(OR($B516="",V$7=""),"",IF($B516="MEANS",INDEX('1-DATA'!$1:$1048576,$A515-1,COLUMN('1-DATA'!U514)),ROUND(INDEX('1-DATA'!$1:$1048576,IF(OR($B516="STD. DEVIATION",$C$1=1),$A516,$A516+1),COLUMN('1-DATA'!U514)),IF($B516="STD. DEVIATION",2,$F$1))))</f>
        <v/>
      </c>
      <c r="W516" s="1" t="str">
        <f>IF(OR($B516="",W$7=""),"",IF($B516="MEANS",INDEX('1-DATA'!$1:$1048576,$A515-1,COLUMN('1-DATA'!V514)),ROUND(INDEX('1-DATA'!$1:$1048576,IF(OR($B516="STD. DEVIATION",$C$1=1),$A516,$A516+1),COLUMN('1-DATA'!V514)),IF($B516="STD. DEVIATION",2,$F$1))))</f>
        <v/>
      </c>
      <c r="X516" s="1" t="str">
        <f>IF(OR($B516="",X$7=""),"",IF($B516="MEANS",INDEX('1-DATA'!$1:$1048576,$A515-1,COLUMN('1-DATA'!W514)),ROUND(INDEX('1-DATA'!$1:$1048576,IF(OR($B516="STD. DEVIATION",$C$1=1),$A516,$A516+1),COLUMN('1-DATA'!W514)),IF($B516="STD. DEVIATION",2,$F$1))))</f>
        <v/>
      </c>
      <c r="Y516" s="1" t="str">
        <f>IF(OR($B516="",Y$7=""),"",IF($B516="MEANS",INDEX('1-DATA'!$1:$1048576,$A515-1,COLUMN('1-DATA'!X514)),ROUND(INDEX('1-DATA'!$1:$1048576,IF(OR($B516="STD. DEVIATION",$C$1=1),$A516,$A516+1),COLUMN('1-DATA'!X514)),IF($B516="STD. DEVIATION",2,$F$1))))</f>
        <v/>
      </c>
      <c r="Z516" s="1" t="str">
        <f>IF(OR($B516="",Z$7=""),"",IF($B516="MEANS",INDEX('1-DATA'!$1:$1048576,$A515-1,COLUMN('1-DATA'!Y514)),ROUND(INDEX('1-DATA'!$1:$1048576,IF(OR($B516="STD. DEVIATION",$C$1=1),$A516,$A516+1),COLUMN('1-DATA'!Y514)),IF($B516="STD. DEVIATION",2,$F$1))))</f>
        <v/>
      </c>
      <c r="AA516" s="1" t="str">
        <f>IF(OR($B516="",AA$7=""),"",IF($B516="MEANS",INDEX('1-DATA'!$1:$1048576,$A515-1,COLUMN('1-DATA'!Z514)),ROUND(INDEX('1-DATA'!$1:$1048576,IF(OR($B516="STD. DEVIATION",$C$1=1),$A516,$A516+1),COLUMN('1-DATA'!Z514)),IF($B516="STD. DEVIATION",2,$F$1))))</f>
        <v/>
      </c>
      <c r="AB516" s="1" t="str">
        <f>IF(OR($B516="",AB$7=""),"",IF($B516="MEANS",INDEX('1-DATA'!$1:$1048576,$A515-1,COLUMN('1-DATA'!AA514)),ROUND(INDEX('1-DATA'!$1:$1048576,IF(OR($B516="STD. DEVIATION",$C$1=1),$A516,$A516+1),COLUMN('1-DATA'!AA514)),IF($B516="STD. DEVIATION",2,$F$1))))</f>
        <v/>
      </c>
      <c r="AC516" s="1" t="str">
        <f>IF(OR($B516="",AC$7=""),"",IF($B516="MEANS",INDEX('1-DATA'!$1:$1048576,$A515-1,COLUMN('1-DATA'!AB514)),ROUND(INDEX('1-DATA'!$1:$1048576,IF(OR($B516="STD. DEVIATION",$C$1=1),$A516,$A516+1),COLUMN('1-DATA'!AB514)),IF($B516="STD. DEVIATION",2,$F$1))))</f>
        <v/>
      </c>
      <c r="AD516" s="1" t="str">
        <f>IF(OR($B516="",AD$7=""),"",IF($B516="MEANS",INDEX('1-DATA'!$1:$1048576,$A515-1,COLUMN('1-DATA'!AC514)),ROUND(INDEX('1-DATA'!$1:$1048576,IF(OR($B516="STD. DEVIATION",$C$1=1),$A516,$A516+1),COLUMN('1-DATA'!AC514)),IF($B516="STD. DEVIATION",2,$F$1))))</f>
        <v/>
      </c>
      <c r="AE516" s="1" t="str">
        <f>IF(OR($B516="",AE$7=""),"",IF($B516="MEANS",INDEX('1-DATA'!$1:$1048576,$A515-1,COLUMN('1-DATA'!AD514)),ROUND(INDEX('1-DATA'!$1:$1048576,IF(OR($B516="STD. DEVIATION",$C$1=1),$A516,$A516+1),COLUMN('1-DATA'!AD514)),IF($B516="STD. DEVIATION",2,$F$1))))</f>
        <v/>
      </c>
      <c r="AF516" s="1" t="str">
        <f>IF(OR($B516="",AF$7=""),"",IF($B516="MEANS",INDEX('1-DATA'!$1:$1048576,$A515-1,COLUMN('1-DATA'!AE514)),ROUND(INDEX('1-DATA'!$1:$1048576,IF(OR($B516="STD. DEVIATION",$C$1=1),$A516,$A516+1),COLUMN('1-DATA'!AE514)),IF($B516="STD. DEVIATION",2,$F$1))))</f>
        <v/>
      </c>
      <c r="AG516" s="1" t="str">
        <f>IF(OR($B516="",AG$7=""),"",IF($B516="MEANS",INDEX('1-DATA'!$1:$1048576,$A515-1,COLUMN('1-DATA'!AF514)),ROUND(INDEX('1-DATA'!$1:$1048576,IF(OR($B516="STD. DEVIATION",$C$1=1),$A516,$A516+1),COLUMN('1-DATA'!AF514)),IF($B516="STD. DEVIATION",2,$F$1))))</f>
        <v/>
      </c>
      <c r="AH516" s="1" t="str">
        <f>IF(OR($B516="",AH$7=""),"",IF($B516="MEANS",INDEX('1-DATA'!$1:$1048576,$A515-1,COLUMN('1-DATA'!AG514)),ROUND(INDEX('1-DATA'!$1:$1048576,IF(OR($B516="STD. DEVIATION",$C$1=1),$A516,$A516+1),COLUMN('1-DATA'!AG514)),IF($B516="STD. DEVIATION",2,$F$1))))</f>
        <v/>
      </c>
      <c r="AI516" s="1" t="str">
        <f>IF(OR($B516="",AI$7=""),"",IF($B516="MEANS",INDEX('1-DATA'!$1:$1048576,$A515-1,COLUMN('1-DATA'!AH514)),ROUND(INDEX('1-DATA'!$1:$1048576,IF(OR($B516="STD. DEVIATION",$C$1=1),$A516,$A516+1),COLUMN('1-DATA'!AH514)),IF($B516="STD. DEVIATION",2,$F$1))))</f>
        <v/>
      </c>
      <c r="AJ516" s="1" t="str">
        <f>IF(OR($B516="",AJ$7=""),"",IF($B516="MEANS",INDEX('1-DATA'!$1:$1048576,$A515-1,COLUMN('1-DATA'!AI514)),ROUND(INDEX('1-DATA'!$1:$1048576,IF(OR($B516="STD. DEVIATION",$C$1=1),$A516,$A516+1),COLUMN('1-DATA'!AI514)),IF($B516="STD. DEVIATION",2,$F$1))))</f>
        <v/>
      </c>
      <c r="AK516" s="1" t="str">
        <f>IF(OR($B516="",AK$7=""),"",IF($B516="MEANS",INDEX('1-DATA'!$1:$1048576,$A515-1,COLUMN('1-DATA'!AJ514)),ROUND(INDEX('1-DATA'!$1:$1048576,IF(OR($B516="STD. DEVIATION",$C$1=1),$A516,$A516+1),COLUMN('1-DATA'!AJ514)),IF($B516="STD. DEVIATION",2,$F$1))))</f>
        <v/>
      </c>
      <c r="AL516" s="1" t="str">
        <f>IF(OR($B516="",AL$7=""),"",IF($B516="MEANS",INDEX('1-DATA'!$1:$1048576,$A515-1,COLUMN('1-DATA'!AK514)),ROUND(INDEX('1-DATA'!$1:$1048576,IF(OR($B516="STD. DEVIATION",$C$1=1),$A516,$A516+1),COLUMN('1-DATA'!AK514)),IF($B516="STD. DEVIATION",2,$F$1))))</f>
        <v/>
      </c>
      <c r="AM516" s="1" t="str">
        <f>IF(OR($B516="",AM$7=""),"",IF($B516="MEANS",INDEX('1-DATA'!$1:$1048576,$A515-1,COLUMN('1-DATA'!AL514)),ROUND(INDEX('1-DATA'!$1:$1048576,IF(OR($B516="STD. DEVIATION",$C$1=1),$A516,$A516+1),COLUMN('1-DATA'!AL514)),IF($B516="STD. DEVIATION",2,$F$1))))</f>
        <v/>
      </c>
      <c r="AN516" s="1" t="str">
        <f>IF(OR($B516="",AN$7=""),"",IF($B516="MEANS",INDEX('1-DATA'!$1:$1048576,$A515-1,COLUMN('1-DATA'!AM514)),ROUND(INDEX('1-DATA'!$1:$1048576,IF(OR($B516="STD. DEVIATION",$C$1=1),$A516,$A516+1),COLUMN('1-DATA'!AM514)),IF($B516="STD. DEVIATION",2,$F$1))))</f>
        <v/>
      </c>
      <c r="AO516" s="1" t="str">
        <f>IF(OR($B516="",AO$7=""),"",IF($B516="MEANS",INDEX('1-DATA'!$1:$1048576,$A515-1,COLUMN('1-DATA'!AN514)),ROUND(INDEX('1-DATA'!$1:$1048576,IF(OR($B516="STD. DEVIATION",$C$1=1),$A516,$A516+1),COLUMN('1-DATA'!AN514)),IF($B516="STD. DEVIATION",2,$F$1))))</f>
        <v/>
      </c>
      <c r="AP516" s="1" t="str">
        <f>IF(OR($B516="",AP$7=""),"",IF($B516="MEANS",INDEX('1-DATA'!$1:$1048576,$A515-1,COLUMN('1-DATA'!AO514)),ROUND(INDEX('1-DATA'!$1:$1048576,IF(OR($B516="STD. DEVIATION",$C$1=1),$A516,$A516+1),COLUMN('1-DATA'!AO514)),IF($B516="STD. DEVIATION",2,$F$1))))</f>
        <v/>
      </c>
      <c r="AQ516" s="1" t="str">
        <f>IF(OR($B516="",AQ$7=""),"",IF($B516="MEANS",INDEX('1-DATA'!$1:$1048576,$A515-1,COLUMN('1-DATA'!AP514)),ROUND(INDEX('1-DATA'!$1:$1048576,IF(OR($B516="STD. DEVIATION",$C$1=1),$A516,$A516+1),COLUMN('1-DATA'!AP514)),IF($B516="STD. DEVIATION",2,$F$1))))</f>
        <v/>
      </c>
      <c r="AR516" s="1" t="str">
        <f>IF(OR($B516="",AR$7=""),"",IF($B516="MEANS",INDEX('1-DATA'!$1:$1048576,$A515-1,COLUMN('1-DATA'!AQ514)),ROUND(INDEX('1-DATA'!$1:$1048576,IF(OR($B516="STD. DEVIATION",$C$1=1),$A516,$A516+1),COLUMN('1-DATA'!AQ514)),IF($B516="STD. DEVIATION",2,$F$1))))</f>
        <v/>
      </c>
      <c r="AS516" s="1" t="str">
        <f>IF(OR($B516="",AS$7=""),"",IF($B516="MEANS",INDEX('1-DATA'!$1:$1048576,$A515-1,COLUMN('1-DATA'!AR514)),ROUND(INDEX('1-DATA'!$1:$1048576,IF(OR($B516="STD. DEVIATION",$C$1=1),$A516,$A516+1),COLUMN('1-DATA'!AR514)),IF($B516="STD. DEVIATION",2,$F$1))))</f>
        <v/>
      </c>
      <c r="AT516" s="1" t="str">
        <f>IF(OR($B516="",AT$7=""),"",IF($B516="MEANS",INDEX('1-DATA'!$1:$1048576,$A515-1,COLUMN('1-DATA'!AS514)),ROUND(INDEX('1-DATA'!$1:$1048576,IF(OR($B516="STD. DEVIATION",$C$1=1),$A516,$A516+1),COLUMN('1-DATA'!AS514)),IF($B516="STD. DEVIATION",2,$F$1))))</f>
        <v/>
      </c>
      <c r="AU516" s="1" t="str">
        <f>IF(OR($B516="",AU$7=""),"",IF($B516="MEANS",INDEX('1-DATA'!$1:$1048576,$A515-1,COLUMN('1-DATA'!AT514)),ROUND(INDEX('1-DATA'!$1:$1048576,IF(OR($B516="STD. DEVIATION",$C$1=1),$A516,$A516+1),COLUMN('1-DATA'!AT514)),IF($B516="STD. DEVIATION",2,$F$1))))</f>
        <v/>
      </c>
      <c r="AV516" s="1" t="str">
        <f>IF(OR($B516="",AV$7=""),"",IF($B516="MEANS",INDEX('1-DATA'!$1:$1048576,$A515-1,COLUMN('1-DATA'!AU514)),ROUND(INDEX('1-DATA'!$1:$1048576,IF(OR($B516="STD. DEVIATION",$C$1=1),$A516,$A516+1),COLUMN('1-DATA'!AU514)),IF($B516="STD. DEVIATION",2,$F$1))))</f>
        <v/>
      </c>
      <c r="AW516" s="1" t="str">
        <f>IF(OR($B516="",AW$7=""),"",IF($B516="MEANS",INDEX('1-DATA'!$1:$1048576,$A515-1,COLUMN('1-DATA'!AV514)),ROUND(INDEX('1-DATA'!$1:$1048576,IF(OR($B516="STD. DEVIATION",$C$1=1),$A516,$A516+1),COLUMN('1-DATA'!AV514)),IF($B516="STD. DEVIATION",2,$F$1))))</f>
        <v/>
      </c>
      <c r="AX516" s="1" t="str">
        <f>IF(OR($B516="",AX$7=""),"",IF($B516="MEANS",INDEX('1-DATA'!$1:$1048576,$A515-1,COLUMN('1-DATA'!AW514)),ROUND(INDEX('1-DATA'!$1:$1048576,IF(OR($B516="STD. DEVIATION",$C$1=1),$A516,$A516+1),COLUMN('1-DATA'!AW514)),IF($B516="STD. DEVIATION",2,$F$1))))</f>
        <v/>
      </c>
      <c r="AY516" s="1" t="str">
        <f>IF(OR($B516="",AY$7=""),"",IF($B516="MEANS",INDEX('1-DATA'!$1:$1048576,$A515-1,COLUMN('1-DATA'!AX514)),ROUND(INDEX('1-DATA'!$1:$1048576,IF(OR($B516="STD. DEVIATION",$C$1=1),$A516,$A516+1),COLUMN('1-DATA'!AX514)),IF($B516="STD. DEVIATION",2,$F$1))))</f>
        <v/>
      </c>
      <c r="AZ516" s="1" t="str">
        <f>IF(OR($B516="",AZ$7=""),"",IF($B516="MEANS",INDEX('1-DATA'!$1:$1048576,$A515-1,COLUMN('1-DATA'!AY514)),ROUND(INDEX('1-DATA'!$1:$1048576,IF(OR($B516="STD. DEVIATION",$C$1=1),$A516,$A516+1),COLUMN('1-DATA'!AY514)),IF($B516="STD. DEVIATION",2,$F$1))))</f>
        <v/>
      </c>
    </row>
    <row r="517" spans="1:52" x14ac:dyDescent="0.25">
      <c r="A517" s="11">
        <f t="shared" si="8"/>
        <v>1537</v>
      </c>
      <c r="B517" s="1" t="str">
        <f>IF(B516="STD. DEVIATION",INDEX('1-DATA'!$1:$1048576,$A516-1,1),IF(INDEX('1-DATA'!$1:$1048576,$A517,1)&lt;&gt;"",INDEX('1-DATA'!$1:$1048576,$A517,1),""))</f>
        <v/>
      </c>
      <c r="C517" s="1" t="str">
        <f>IF(OR($B517="",C$7=""),"",IF($B517="MEANS",INDEX('1-DATA'!$1:$1048576,$A516-1,COLUMN('1-DATA'!B515)),ROUND(INDEX('1-DATA'!$1:$1048576,IF(OR($B517="STD. DEVIATION",$C$1=1),$A517,$A517+1),COLUMN('1-DATA'!B515)),IF($B517="STD. DEVIATION",2,$F$1))))</f>
        <v/>
      </c>
      <c r="D517" s="1" t="str">
        <f>IF(OR($B517="",D$7=""),"",IF($B517="MEANS",INDEX('1-DATA'!$1:$1048576,$A516-1,COLUMN('1-DATA'!C515)),ROUND(INDEX('1-DATA'!$1:$1048576,IF(OR($B517="STD. DEVIATION",$C$1=1),$A517,$A517+1),COLUMN('1-DATA'!C515)),IF($B517="STD. DEVIATION",2,$F$1))))</f>
        <v/>
      </c>
      <c r="E517" s="1" t="str">
        <f>IF(OR($B517="",E$7=""),"",IF($B517="MEANS",INDEX('1-DATA'!$1:$1048576,$A516-1,COLUMN('1-DATA'!D515)),ROUND(INDEX('1-DATA'!$1:$1048576,IF(OR($B517="STD. DEVIATION",$C$1=1),$A517,$A517+1),COLUMN('1-DATA'!D515)),IF($B517="STD. DEVIATION",2,$F$1))))</f>
        <v/>
      </c>
      <c r="F517" s="1" t="str">
        <f>IF(OR($B517="",F$7=""),"",IF($B517="MEANS",INDEX('1-DATA'!$1:$1048576,$A516-1,COLUMN('1-DATA'!E515)),ROUND(INDEX('1-DATA'!$1:$1048576,IF(OR($B517="STD. DEVIATION",$C$1=1),$A517,$A517+1),COLUMN('1-DATA'!E515)),IF($B517="STD. DEVIATION",2,$F$1))))</f>
        <v/>
      </c>
      <c r="G517" s="1" t="str">
        <f>IF(OR($B517="",G$7=""),"",IF($B517="MEANS",INDEX('1-DATA'!$1:$1048576,$A516-1,COLUMN('1-DATA'!F515)),ROUND(INDEX('1-DATA'!$1:$1048576,IF(OR($B517="STD. DEVIATION",$C$1=1),$A517,$A517+1),COLUMN('1-DATA'!F515)),IF($B517="STD. DEVIATION",2,$F$1))))</f>
        <v/>
      </c>
      <c r="H517" s="1" t="str">
        <f>IF(OR($B517="",H$7=""),"",IF($B517="MEANS",INDEX('1-DATA'!$1:$1048576,$A516-1,COLUMN('1-DATA'!G515)),ROUND(INDEX('1-DATA'!$1:$1048576,IF(OR($B517="STD. DEVIATION",$C$1=1),$A517,$A517+1),COLUMN('1-DATA'!G515)),IF($B517="STD. DEVIATION",2,$F$1))))</f>
        <v/>
      </c>
      <c r="I517" s="1" t="str">
        <f>IF(OR($B517="",I$7=""),"",IF($B517="MEANS",INDEX('1-DATA'!$1:$1048576,$A516-1,COLUMN('1-DATA'!H515)),ROUND(INDEX('1-DATA'!$1:$1048576,IF(OR($B517="STD. DEVIATION",$C$1=1),$A517,$A517+1),COLUMN('1-DATA'!H515)),IF($B517="STD. DEVIATION",2,$F$1))))</f>
        <v/>
      </c>
      <c r="J517" s="1" t="str">
        <f>IF(OR($B517="",J$7=""),"",IF($B517="MEANS",INDEX('1-DATA'!$1:$1048576,$A516-1,COLUMN('1-DATA'!I515)),ROUND(INDEX('1-DATA'!$1:$1048576,IF(OR($B517="STD. DEVIATION",$C$1=1),$A517,$A517+1),COLUMN('1-DATA'!I515)),IF($B517="STD. DEVIATION",2,$F$1))))</f>
        <v/>
      </c>
      <c r="K517" s="1" t="str">
        <f>IF(OR($B517="",K$7=""),"",IF($B517="MEANS",INDEX('1-DATA'!$1:$1048576,$A516-1,COLUMN('1-DATA'!J515)),ROUND(INDEX('1-DATA'!$1:$1048576,IF(OR($B517="STD. DEVIATION",$C$1=1),$A517,$A517+1),COLUMN('1-DATA'!J515)),IF($B517="STD. DEVIATION",2,$F$1))))</f>
        <v/>
      </c>
      <c r="L517" s="1" t="str">
        <f>IF(OR($B517="",L$7=""),"",IF($B517="MEANS",INDEX('1-DATA'!$1:$1048576,$A516-1,COLUMN('1-DATA'!K515)),ROUND(INDEX('1-DATA'!$1:$1048576,IF(OR($B517="STD. DEVIATION",$C$1=1),$A517,$A517+1),COLUMN('1-DATA'!K515)),IF($B517="STD. DEVIATION",2,$F$1))))</f>
        <v/>
      </c>
      <c r="M517" s="1" t="str">
        <f>IF(OR($B517="",M$7=""),"",IF($B517="MEANS",INDEX('1-DATA'!$1:$1048576,$A516-1,COLUMN('1-DATA'!L515)),ROUND(INDEX('1-DATA'!$1:$1048576,IF(OR($B517="STD. DEVIATION",$C$1=1),$A517,$A517+1),COLUMN('1-DATA'!L515)),IF($B517="STD. DEVIATION",2,$F$1))))</f>
        <v/>
      </c>
      <c r="N517" s="1" t="str">
        <f>IF(OR($B517="",N$7=""),"",IF($B517="MEANS",INDEX('1-DATA'!$1:$1048576,$A516-1,COLUMN('1-DATA'!M515)),ROUND(INDEX('1-DATA'!$1:$1048576,IF(OR($B517="STD. DEVIATION",$C$1=1),$A517,$A517+1),COLUMN('1-DATA'!M515)),IF($B517="STD. DEVIATION",2,$F$1))))</f>
        <v/>
      </c>
      <c r="O517" s="1" t="str">
        <f>IF(OR($B517="",O$7=""),"",IF($B517="MEANS",INDEX('1-DATA'!$1:$1048576,$A516-1,COLUMN('1-DATA'!N515)),ROUND(INDEX('1-DATA'!$1:$1048576,IF(OR($B517="STD. DEVIATION",$C$1=1),$A517,$A517+1),COLUMN('1-DATA'!N515)),IF($B517="STD. DEVIATION",2,$F$1))))</f>
        <v/>
      </c>
      <c r="P517" s="1" t="str">
        <f>IF(OR($B517="",P$7=""),"",IF($B517="MEANS",INDEX('1-DATA'!$1:$1048576,$A516-1,COLUMN('1-DATA'!O515)),ROUND(INDEX('1-DATA'!$1:$1048576,IF(OR($B517="STD. DEVIATION",$C$1=1),$A517,$A517+1),COLUMN('1-DATA'!O515)),IF($B517="STD. DEVIATION",2,$F$1))))</f>
        <v/>
      </c>
      <c r="Q517" s="1" t="str">
        <f>IF(OR($B517="",Q$7=""),"",IF($B517="MEANS",INDEX('1-DATA'!$1:$1048576,$A516-1,COLUMN('1-DATA'!P515)),ROUND(INDEX('1-DATA'!$1:$1048576,IF(OR($B517="STD. DEVIATION",$C$1=1),$A517,$A517+1),COLUMN('1-DATA'!P515)),IF($B517="STD. DEVIATION",2,$F$1))))</f>
        <v/>
      </c>
      <c r="R517" s="1" t="str">
        <f>IF(OR($B517="",R$7=""),"",IF($B517="MEANS",INDEX('1-DATA'!$1:$1048576,$A516-1,COLUMN('1-DATA'!Q515)),ROUND(INDEX('1-DATA'!$1:$1048576,IF(OR($B517="STD. DEVIATION",$C$1=1),$A517,$A517+1),COLUMN('1-DATA'!Q515)),IF($B517="STD. DEVIATION",2,$F$1))))</f>
        <v/>
      </c>
      <c r="S517" s="1" t="str">
        <f>IF(OR($B517="",S$7=""),"",IF($B517="MEANS",INDEX('1-DATA'!$1:$1048576,$A516-1,COLUMN('1-DATA'!R515)),ROUND(INDEX('1-DATA'!$1:$1048576,IF(OR($B517="STD. DEVIATION",$C$1=1),$A517,$A517+1),COLUMN('1-DATA'!R515)),IF($B517="STD. DEVIATION",2,$F$1))))</f>
        <v/>
      </c>
      <c r="T517" s="1" t="str">
        <f>IF(OR($B517="",T$7=""),"",IF($B517="MEANS",INDEX('1-DATA'!$1:$1048576,$A516-1,COLUMN('1-DATA'!S515)),ROUND(INDEX('1-DATA'!$1:$1048576,IF(OR($B517="STD. DEVIATION",$C$1=1),$A517,$A517+1),COLUMN('1-DATA'!S515)),IF($B517="STD. DEVIATION",2,$F$1))))</f>
        <v/>
      </c>
      <c r="U517" s="1" t="str">
        <f>IF(OR($B517="",U$7=""),"",IF($B517="MEANS",INDEX('1-DATA'!$1:$1048576,$A516-1,COLUMN('1-DATA'!T515)),ROUND(INDEX('1-DATA'!$1:$1048576,IF(OR($B517="STD. DEVIATION",$C$1=1),$A517,$A517+1),COLUMN('1-DATA'!T515)),IF($B517="STD. DEVIATION",2,$F$1))))</f>
        <v/>
      </c>
      <c r="V517" s="1" t="str">
        <f>IF(OR($B517="",V$7=""),"",IF($B517="MEANS",INDEX('1-DATA'!$1:$1048576,$A516-1,COLUMN('1-DATA'!U515)),ROUND(INDEX('1-DATA'!$1:$1048576,IF(OR($B517="STD. DEVIATION",$C$1=1),$A517,$A517+1),COLUMN('1-DATA'!U515)),IF($B517="STD. DEVIATION",2,$F$1))))</f>
        <v/>
      </c>
      <c r="W517" s="1" t="str">
        <f>IF(OR($B517="",W$7=""),"",IF($B517="MEANS",INDEX('1-DATA'!$1:$1048576,$A516-1,COLUMN('1-DATA'!V515)),ROUND(INDEX('1-DATA'!$1:$1048576,IF(OR($B517="STD. DEVIATION",$C$1=1),$A517,$A517+1),COLUMN('1-DATA'!V515)),IF($B517="STD. DEVIATION",2,$F$1))))</f>
        <v/>
      </c>
      <c r="X517" s="1" t="str">
        <f>IF(OR($B517="",X$7=""),"",IF($B517="MEANS",INDEX('1-DATA'!$1:$1048576,$A516-1,COLUMN('1-DATA'!W515)),ROUND(INDEX('1-DATA'!$1:$1048576,IF(OR($B517="STD. DEVIATION",$C$1=1),$A517,$A517+1),COLUMN('1-DATA'!W515)),IF($B517="STD. DEVIATION",2,$F$1))))</f>
        <v/>
      </c>
      <c r="Y517" s="1" t="str">
        <f>IF(OR($B517="",Y$7=""),"",IF($B517="MEANS",INDEX('1-DATA'!$1:$1048576,$A516-1,COLUMN('1-DATA'!X515)),ROUND(INDEX('1-DATA'!$1:$1048576,IF(OR($B517="STD. DEVIATION",$C$1=1),$A517,$A517+1),COLUMN('1-DATA'!X515)),IF($B517="STD. DEVIATION",2,$F$1))))</f>
        <v/>
      </c>
      <c r="Z517" s="1" t="str">
        <f>IF(OR($B517="",Z$7=""),"",IF($B517="MEANS",INDEX('1-DATA'!$1:$1048576,$A516-1,COLUMN('1-DATA'!Y515)),ROUND(INDEX('1-DATA'!$1:$1048576,IF(OR($B517="STD. DEVIATION",$C$1=1),$A517,$A517+1),COLUMN('1-DATA'!Y515)),IF($B517="STD. DEVIATION",2,$F$1))))</f>
        <v/>
      </c>
      <c r="AA517" s="1" t="str">
        <f>IF(OR($B517="",AA$7=""),"",IF($B517="MEANS",INDEX('1-DATA'!$1:$1048576,$A516-1,COLUMN('1-DATA'!Z515)),ROUND(INDEX('1-DATA'!$1:$1048576,IF(OR($B517="STD. DEVIATION",$C$1=1),$A517,$A517+1),COLUMN('1-DATA'!Z515)),IF($B517="STD. DEVIATION",2,$F$1))))</f>
        <v/>
      </c>
      <c r="AB517" s="1" t="str">
        <f>IF(OR($B517="",AB$7=""),"",IF($B517="MEANS",INDEX('1-DATA'!$1:$1048576,$A516-1,COLUMN('1-DATA'!AA515)),ROUND(INDEX('1-DATA'!$1:$1048576,IF(OR($B517="STD. DEVIATION",$C$1=1),$A517,$A517+1),COLUMN('1-DATA'!AA515)),IF($B517="STD. DEVIATION",2,$F$1))))</f>
        <v/>
      </c>
      <c r="AC517" s="1" t="str">
        <f>IF(OR($B517="",AC$7=""),"",IF($B517="MEANS",INDEX('1-DATA'!$1:$1048576,$A516-1,COLUMN('1-DATA'!AB515)),ROUND(INDEX('1-DATA'!$1:$1048576,IF(OR($B517="STD. DEVIATION",$C$1=1),$A517,$A517+1),COLUMN('1-DATA'!AB515)),IF($B517="STD. DEVIATION",2,$F$1))))</f>
        <v/>
      </c>
      <c r="AD517" s="1" t="str">
        <f>IF(OR($B517="",AD$7=""),"",IF($B517="MEANS",INDEX('1-DATA'!$1:$1048576,$A516-1,COLUMN('1-DATA'!AC515)),ROUND(INDEX('1-DATA'!$1:$1048576,IF(OR($B517="STD. DEVIATION",$C$1=1),$A517,$A517+1),COLUMN('1-DATA'!AC515)),IF($B517="STD. DEVIATION",2,$F$1))))</f>
        <v/>
      </c>
      <c r="AE517" s="1" t="str">
        <f>IF(OR($B517="",AE$7=""),"",IF($B517="MEANS",INDEX('1-DATA'!$1:$1048576,$A516-1,COLUMN('1-DATA'!AD515)),ROUND(INDEX('1-DATA'!$1:$1048576,IF(OR($B517="STD. DEVIATION",$C$1=1),$A517,$A517+1),COLUMN('1-DATA'!AD515)),IF($B517="STD. DEVIATION",2,$F$1))))</f>
        <v/>
      </c>
      <c r="AF517" s="1" t="str">
        <f>IF(OR($B517="",AF$7=""),"",IF($B517="MEANS",INDEX('1-DATA'!$1:$1048576,$A516-1,COLUMN('1-DATA'!AE515)),ROUND(INDEX('1-DATA'!$1:$1048576,IF(OR($B517="STD. DEVIATION",$C$1=1),$A517,$A517+1),COLUMN('1-DATA'!AE515)),IF($B517="STD. DEVIATION",2,$F$1))))</f>
        <v/>
      </c>
      <c r="AG517" s="1" t="str">
        <f>IF(OR($B517="",AG$7=""),"",IF($B517="MEANS",INDEX('1-DATA'!$1:$1048576,$A516-1,COLUMN('1-DATA'!AF515)),ROUND(INDEX('1-DATA'!$1:$1048576,IF(OR($B517="STD. DEVIATION",$C$1=1),$A517,$A517+1),COLUMN('1-DATA'!AF515)),IF($B517="STD. DEVIATION",2,$F$1))))</f>
        <v/>
      </c>
      <c r="AH517" s="1" t="str">
        <f>IF(OR($B517="",AH$7=""),"",IF($B517="MEANS",INDEX('1-DATA'!$1:$1048576,$A516-1,COLUMN('1-DATA'!AG515)),ROUND(INDEX('1-DATA'!$1:$1048576,IF(OR($B517="STD. DEVIATION",$C$1=1),$A517,$A517+1),COLUMN('1-DATA'!AG515)),IF($B517="STD. DEVIATION",2,$F$1))))</f>
        <v/>
      </c>
      <c r="AI517" s="1" t="str">
        <f>IF(OR($B517="",AI$7=""),"",IF($B517="MEANS",INDEX('1-DATA'!$1:$1048576,$A516-1,COLUMN('1-DATA'!AH515)),ROUND(INDEX('1-DATA'!$1:$1048576,IF(OR($B517="STD. DEVIATION",$C$1=1),$A517,$A517+1),COLUMN('1-DATA'!AH515)),IF($B517="STD. DEVIATION",2,$F$1))))</f>
        <v/>
      </c>
      <c r="AJ517" s="1" t="str">
        <f>IF(OR($B517="",AJ$7=""),"",IF($B517="MEANS",INDEX('1-DATA'!$1:$1048576,$A516-1,COLUMN('1-DATA'!AI515)),ROUND(INDEX('1-DATA'!$1:$1048576,IF(OR($B517="STD. DEVIATION",$C$1=1),$A517,$A517+1),COLUMN('1-DATA'!AI515)),IF($B517="STD. DEVIATION",2,$F$1))))</f>
        <v/>
      </c>
      <c r="AK517" s="1" t="str">
        <f>IF(OR($B517="",AK$7=""),"",IF($B517="MEANS",INDEX('1-DATA'!$1:$1048576,$A516-1,COLUMN('1-DATA'!AJ515)),ROUND(INDEX('1-DATA'!$1:$1048576,IF(OR($B517="STD. DEVIATION",$C$1=1),$A517,$A517+1),COLUMN('1-DATA'!AJ515)),IF($B517="STD. DEVIATION",2,$F$1))))</f>
        <v/>
      </c>
      <c r="AL517" s="1" t="str">
        <f>IF(OR($B517="",AL$7=""),"",IF($B517="MEANS",INDEX('1-DATA'!$1:$1048576,$A516-1,COLUMN('1-DATA'!AK515)),ROUND(INDEX('1-DATA'!$1:$1048576,IF(OR($B517="STD. DEVIATION",$C$1=1),$A517,$A517+1),COLUMN('1-DATA'!AK515)),IF($B517="STD. DEVIATION",2,$F$1))))</f>
        <v/>
      </c>
      <c r="AM517" s="1" t="str">
        <f>IF(OR($B517="",AM$7=""),"",IF($B517="MEANS",INDEX('1-DATA'!$1:$1048576,$A516-1,COLUMN('1-DATA'!AL515)),ROUND(INDEX('1-DATA'!$1:$1048576,IF(OR($B517="STD. DEVIATION",$C$1=1),$A517,$A517+1),COLUMN('1-DATA'!AL515)),IF($B517="STD. DEVIATION",2,$F$1))))</f>
        <v/>
      </c>
      <c r="AN517" s="1" t="str">
        <f>IF(OR($B517="",AN$7=""),"",IF($B517="MEANS",INDEX('1-DATA'!$1:$1048576,$A516-1,COLUMN('1-DATA'!AM515)),ROUND(INDEX('1-DATA'!$1:$1048576,IF(OR($B517="STD. DEVIATION",$C$1=1),$A517,$A517+1),COLUMN('1-DATA'!AM515)),IF($B517="STD. DEVIATION",2,$F$1))))</f>
        <v/>
      </c>
      <c r="AO517" s="1" t="str">
        <f>IF(OR($B517="",AO$7=""),"",IF($B517="MEANS",INDEX('1-DATA'!$1:$1048576,$A516-1,COLUMN('1-DATA'!AN515)),ROUND(INDEX('1-DATA'!$1:$1048576,IF(OR($B517="STD. DEVIATION",$C$1=1),$A517,$A517+1),COLUMN('1-DATA'!AN515)),IF($B517="STD. DEVIATION",2,$F$1))))</f>
        <v/>
      </c>
      <c r="AP517" s="1" t="str">
        <f>IF(OR($B517="",AP$7=""),"",IF($B517="MEANS",INDEX('1-DATA'!$1:$1048576,$A516-1,COLUMN('1-DATA'!AO515)),ROUND(INDEX('1-DATA'!$1:$1048576,IF(OR($B517="STD. DEVIATION",$C$1=1),$A517,$A517+1),COLUMN('1-DATA'!AO515)),IF($B517="STD. DEVIATION",2,$F$1))))</f>
        <v/>
      </c>
      <c r="AQ517" s="1" t="str">
        <f>IF(OR($B517="",AQ$7=""),"",IF($B517="MEANS",INDEX('1-DATA'!$1:$1048576,$A516-1,COLUMN('1-DATA'!AP515)),ROUND(INDEX('1-DATA'!$1:$1048576,IF(OR($B517="STD. DEVIATION",$C$1=1),$A517,$A517+1),COLUMN('1-DATA'!AP515)),IF($B517="STD. DEVIATION",2,$F$1))))</f>
        <v/>
      </c>
      <c r="AR517" s="1" t="str">
        <f>IF(OR($B517="",AR$7=""),"",IF($B517="MEANS",INDEX('1-DATA'!$1:$1048576,$A516-1,COLUMN('1-DATA'!AQ515)),ROUND(INDEX('1-DATA'!$1:$1048576,IF(OR($B517="STD. DEVIATION",$C$1=1),$A517,$A517+1),COLUMN('1-DATA'!AQ515)),IF($B517="STD. DEVIATION",2,$F$1))))</f>
        <v/>
      </c>
      <c r="AS517" s="1" t="str">
        <f>IF(OR($B517="",AS$7=""),"",IF($B517="MEANS",INDEX('1-DATA'!$1:$1048576,$A516-1,COLUMN('1-DATA'!AR515)),ROUND(INDEX('1-DATA'!$1:$1048576,IF(OR($B517="STD. DEVIATION",$C$1=1),$A517,$A517+1),COLUMN('1-DATA'!AR515)),IF($B517="STD. DEVIATION",2,$F$1))))</f>
        <v/>
      </c>
      <c r="AT517" s="1" t="str">
        <f>IF(OR($B517="",AT$7=""),"",IF($B517="MEANS",INDEX('1-DATA'!$1:$1048576,$A516-1,COLUMN('1-DATA'!AS515)),ROUND(INDEX('1-DATA'!$1:$1048576,IF(OR($B517="STD. DEVIATION",$C$1=1),$A517,$A517+1),COLUMN('1-DATA'!AS515)),IF($B517="STD. DEVIATION",2,$F$1))))</f>
        <v/>
      </c>
      <c r="AU517" s="1" t="str">
        <f>IF(OR($B517="",AU$7=""),"",IF($B517="MEANS",INDEX('1-DATA'!$1:$1048576,$A516-1,COLUMN('1-DATA'!AT515)),ROUND(INDEX('1-DATA'!$1:$1048576,IF(OR($B517="STD. DEVIATION",$C$1=1),$A517,$A517+1),COLUMN('1-DATA'!AT515)),IF($B517="STD. DEVIATION",2,$F$1))))</f>
        <v/>
      </c>
      <c r="AV517" s="1" t="str">
        <f>IF(OR($B517="",AV$7=""),"",IF($B517="MEANS",INDEX('1-DATA'!$1:$1048576,$A516-1,COLUMN('1-DATA'!AU515)),ROUND(INDEX('1-DATA'!$1:$1048576,IF(OR($B517="STD. DEVIATION",$C$1=1),$A517,$A517+1),COLUMN('1-DATA'!AU515)),IF($B517="STD. DEVIATION",2,$F$1))))</f>
        <v/>
      </c>
      <c r="AW517" s="1" t="str">
        <f>IF(OR($B517="",AW$7=""),"",IF($B517="MEANS",INDEX('1-DATA'!$1:$1048576,$A516-1,COLUMN('1-DATA'!AV515)),ROUND(INDEX('1-DATA'!$1:$1048576,IF(OR($B517="STD. DEVIATION",$C$1=1),$A517,$A517+1),COLUMN('1-DATA'!AV515)),IF($B517="STD. DEVIATION",2,$F$1))))</f>
        <v/>
      </c>
      <c r="AX517" s="1" t="str">
        <f>IF(OR($B517="",AX$7=""),"",IF($B517="MEANS",INDEX('1-DATA'!$1:$1048576,$A516-1,COLUMN('1-DATA'!AW515)),ROUND(INDEX('1-DATA'!$1:$1048576,IF(OR($B517="STD. DEVIATION",$C$1=1),$A517,$A517+1),COLUMN('1-DATA'!AW515)),IF($B517="STD. DEVIATION",2,$F$1))))</f>
        <v/>
      </c>
      <c r="AY517" s="1" t="str">
        <f>IF(OR($B517="",AY$7=""),"",IF($B517="MEANS",INDEX('1-DATA'!$1:$1048576,$A516-1,COLUMN('1-DATA'!AX515)),ROUND(INDEX('1-DATA'!$1:$1048576,IF(OR($B517="STD. DEVIATION",$C$1=1),$A517,$A517+1),COLUMN('1-DATA'!AX515)),IF($B517="STD. DEVIATION",2,$F$1))))</f>
        <v/>
      </c>
      <c r="AZ517" s="1" t="str">
        <f>IF(OR($B517="",AZ$7=""),"",IF($B517="MEANS",INDEX('1-DATA'!$1:$1048576,$A516-1,COLUMN('1-DATA'!AY515)),ROUND(INDEX('1-DATA'!$1:$1048576,IF(OR($B517="STD. DEVIATION",$C$1=1),$A517,$A517+1),COLUMN('1-DATA'!AY515)),IF($B517="STD. DEVIATION",2,$F$1))))</f>
        <v/>
      </c>
    </row>
    <row r="518" spans="1:52" x14ac:dyDescent="0.25">
      <c r="A518" s="11">
        <f t="shared" si="8"/>
        <v>1540</v>
      </c>
      <c r="B518" s="1" t="str">
        <f>IF(B517="STD. DEVIATION",INDEX('1-DATA'!$1:$1048576,$A517-1,1),IF(INDEX('1-DATA'!$1:$1048576,$A518,1)&lt;&gt;"",INDEX('1-DATA'!$1:$1048576,$A518,1),""))</f>
        <v/>
      </c>
      <c r="C518" s="1" t="str">
        <f>IF(OR($B518="",C$7=""),"",IF($B518="MEANS",INDEX('1-DATA'!$1:$1048576,$A517-1,COLUMN('1-DATA'!B516)),ROUND(INDEX('1-DATA'!$1:$1048576,IF(OR($B518="STD. DEVIATION",$C$1=1),$A518,$A518+1),COLUMN('1-DATA'!B516)),IF($B518="STD. DEVIATION",2,$F$1))))</f>
        <v/>
      </c>
      <c r="D518" s="1" t="str">
        <f>IF(OR($B518="",D$7=""),"",IF($B518="MEANS",INDEX('1-DATA'!$1:$1048576,$A517-1,COLUMN('1-DATA'!C516)),ROUND(INDEX('1-DATA'!$1:$1048576,IF(OR($B518="STD. DEVIATION",$C$1=1),$A518,$A518+1),COLUMN('1-DATA'!C516)),IF($B518="STD. DEVIATION",2,$F$1))))</f>
        <v/>
      </c>
      <c r="E518" s="1" t="str">
        <f>IF(OR($B518="",E$7=""),"",IF($B518="MEANS",INDEX('1-DATA'!$1:$1048576,$A517-1,COLUMN('1-DATA'!D516)),ROUND(INDEX('1-DATA'!$1:$1048576,IF(OR($B518="STD. DEVIATION",$C$1=1),$A518,$A518+1),COLUMN('1-DATA'!D516)),IF($B518="STD. DEVIATION",2,$F$1))))</f>
        <v/>
      </c>
      <c r="F518" s="1" t="str">
        <f>IF(OR($B518="",F$7=""),"",IF($B518="MEANS",INDEX('1-DATA'!$1:$1048576,$A517-1,COLUMN('1-DATA'!E516)),ROUND(INDEX('1-DATA'!$1:$1048576,IF(OR($B518="STD. DEVIATION",$C$1=1),$A518,$A518+1),COLUMN('1-DATA'!E516)),IF($B518="STD. DEVIATION",2,$F$1))))</f>
        <v/>
      </c>
      <c r="G518" s="1" t="str">
        <f>IF(OR($B518="",G$7=""),"",IF($B518="MEANS",INDEX('1-DATA'!$1:$1048576,$A517-1,COLUMN('1-DATA'!F516)),ROUND(INDEX('1-DATA'!$1:$1048576,IF(OR($B518="STD. DEVIATION",$C$1=1),$A518,$A518+1),COLUMN('1-DATA'!F516)),IF($B518="STD. DEVIATION",2,$F$1))))</f>
        <v/>
      </c>
      <c r="H518" s="1" t="str">
        <f>IF(OR($B518="",H$7=""),"",IF($B518="MEANS",INDEX('1-DATA'!$1:$1048576,$A517-1,COLUMN('1-DATA'!G516)),ROUND(INDEX('1-DATA'!$1:$1048576,IF(OR($B518="STD. DEVIATION",$C$1=1),$A518,$A518+1),COLUMN('1-DATA'!G516)),IF($B518="STD. DEVIATION",2,$F$1))))</f>
        <v/>
      </c>
      <c r="I518" s="1" t="str">
        <f>IF(OR($B518="",I$7=""),"",IF($B518="MEANS",INDEX('1-DATA'!$1:$1048576,$A517-1,COLUMN('1-DATA'!H516)),ROUND(INDEX('1-DATA'!$1:$1048576,IF(OR($B518="STD. DEVIATION",$C$1=1),$A518,$A518+1),COLUMN('1-DATA'!H516)),IF($B518="STD. DEVIATION",2,$F$1))))</f>
        <v/>
      </c>
      <c r="J518" s="1" t="str">
        <f>IF(OR($B518="",J$7=""),"",IF($B518="MEANS",INDEX('1-DATA'!$1:$1048576,$A517-1,COLUMN('1-DATA'!I516)),ROUND(INDEX('1-DATA'!$1:$1048576,IF(OR($B518="STD. DEVIATION",$C$1=1),$A518,$A518+1),COLUMN('1-DATA'!I516)),IF($B518="STD. DEVIATION",2,$F$1))))</f>
        <v/>
      </c>
      <c r="K518" s="1" t="str">
        <f>IF(OR($B518="",K$7=""),"",IF($B518="MEANS",INDEX('1-DATA'!$1:$1048576,$A517-1,COLUMN('1-DATA'!J516)),ROUND(INDEX('1-DATA'!$1:$1048576,IF(OR($B518="STD. DEVIATION",$C$1=1),$A518,$A518+1),COLUMN('1-DATA'!J516)),IF($B518="STD. DEVIATION",2,$F$1))))</f>
        <v/>
      </c>
      <c r="L518" s="1" t="str">
        <f>IF(OR($B518="",L$7=""),"",IF($B518="MEANS",INDEX('1-DATA'!$1:$1048576,$A517-1,COLUMN('1-DATA'!K516)),ROUND(INDEX('1-DATA'!$1:$1048576,IF(OR($B518="STD. DEVIATION",$C$1=1),$A518,$A518+1),COLUMN('1-DATA'!K516)),IF($B518="STD. DEVIATION",2,$F$1))))</f>
        <v/>
      </c>
      <c r="M518" s="1" t="str">
        <f>IF(OR($B518="",M$7=""),"",IF($B518="MEANS",INDEX('1-DATA'!$1:$1048576,$A517-1,COLUMN('1-DATA'!L516)),ROUND(INDEX('1-DATA'!$1:$1048576,IF(OR($B518="STD. DEVIATION",$C$1=1),$A518,$A518+1),COLUMN('1-DATA'!L516)),IF($B518="STD. DEVIATION",2,$F$1))))</f>
        <v/>
      </c>
      <c r="N518" s="1" t="str">
        <f>IF(OR($B518="",N$7=""),"",IF($B518="MEANS",INDEX('1-DATA'!$1:$1048576,$A517-1,COLUMN('1-DATA'!M516)),ROUND(INDEX('1-DATA'!$1:$1048576,IF(OR($B518="STD. DEVIATION",$C$1=1),$A518,$A518+1),COLUMN('1-DATA'!M516)),IF($B518="STD. DEVIATION",2,$F$1))))</f>
        <v/>
      </c>
      <c r="O518" s="1" t="str">
        <f>IF(OR($B518="",O$7=""),"",IF($B518="MEANS",INDEX('1-DATA'!$1:$1048576,$A517-1,COLUMN('1-DATA'!N516)),ROUND(INDEX('1-DATA'!$1:$1048576,IF(OR($B518="STD. DEVIATION",$C$1=1),$A518,$A518+1),COLUMN('1-DATA'!N516)),IF($B518="STD. DEVIATION",2,$F$1))))</f>
        <v/>
      </c>
      <c r="P518" s="1" t="str">
        <f>IF(OR($B518="",P$7=""),"",IF($B518="MEANS",INDEX('1-DATA'!$1:$1048576,$A517-1,COLUMN('1-DATA'!O516)),ROUND(INDEX('1-DATA'!$1:$1048576,IF(OR($B518="STD. DEVIATION",$C$1=1),$A518,$A518+1),COLUMN('1-DATA'!O516)),IF($B518="STD. DEVIATION",2,$F$1))))</f>
        <v/>
      </c>
      <c r="Q518" s="1" t="str">
        <f>IF(OR($B518="",Q$7=""),"",IF($B518="MEANS",INDEX('1-DATA'!$1:$1048576,$A517-1,COLUMN('1-DATA'!P516)),ROUND(INDEX('1-DATA'!$1:$1048576,IF(OR($B518="STD. DEVIATION",$C$1=1),$A518,$A518+1),COLUMN('1-DATA'!P516)),IF($B518="STD. DEVIATION",2,$F$1))))</f>
        <v/>
      </c>
      <c r="R518" s="1" t="str">
        <f>IF(OR($B518="",R$7=""),"",IF($B518="MEANS",INDEX('1-DATA'!$1:$1048576,$A517-1,COLUMN('1-DATA'!Q516)),ROUND(INDEX('1-DATA'!$1:$1048576,IF(OR($B518="STD. DEVIATION",$C$1=1),$A518,$A518+1),COLUMN('1-DATA'!Q516)),IF($B518="STD. DEVIATION",2,$F$1))))</f>
        <v/>
      </c>
      <c r="S518" s="1" t="str">
        <f>IF(OR($B518="",S$7=""),"",IF($B518="MEANS",INDEX('1-DATA'!$1:$1048576,$A517-1,COLUMN('1-DATA'!R516)),ROUND(INDEX('1-DATA'!$1:$1048576,IF(OR($B518="STD. DEVIATION",$C$1=1),$A518,$A518+1),COLUMN('1-DATA'!R516)),IF($B518="STD. DEVIATION",2,$F$1))))</f>
        <v/>
      </c>
      <c r="T518" s="1" t="str">
        <f>IF(OR($B518="",T$7=""),"",IF($B518="MEANS",INDEX('1-DATA'!$1:$1048576,$A517-1,COLUMN('1-DATA'!S516)),ROUND(INDEX('1-DATA'!$1:$1048576,IF(OR($B518="STD. DEVIATION",$C$1=1),$A518,$A518+1),COLUMN('1-DATA'!S516)),IF($B518="STD. DEVIATION",2,$F$1))))</f>
        <v/>
      </c>
      <c r="U518" s="1" t="str">
        <f>IF(OR($B518="",U$7=""),"",IF($B518="MEANS",INDEX('1-DATA'!$1:$1048576,$A517-1,COLUMN('1-DATA'!T516)),ROUND(INDEX('1-DATA'!$1:$1048576,IF(OR($B518="STD. DEVIATION",$C$1=1),$A518,$A518+1),COLUMN('1-DATA'!T516)),IF($B518="STD. DEVIATION",2,$F$1))))</f>
        <v/>
      </c>
      <c r="V518" s="1" t="str">
        <f>IF(OR($B518="",V$7=""),"",IF($B518="MEANS",INDEX('1-DATA'!$1:$1048576,$A517-1,COLUMN('1-DATA'!U516)),ROUND(INDEX('1-DATA'!$1:$1048576,IF(OR($B518="STD. DEVIATION",$C$1=1),$A518,$A518+1),COLUMN('1-DATA'!U516)),IF($B518="STD. DEVIATION",2,$F$1))))</f>
        <v/>
      </c>
      <c r="W518" s="1" t="str">
        <f>IF(OR($B518="",W$7=""),"",IF($B518="MEANS",INDEX('1-DATA'!$1:$1048576,$A517-1,COLUMN('1-DATA'!V516)),ROUND(INDEX('1-DATA'!$1:$1048576,IF(OR($B518="STD. DEVIATION",$C$1=1),$A518,$A518+1),COLUMN('1-DATA'!V516)),IF($B518="STD. DEVIATION",2,$F$1))))</f>
        <v/>
      </c>
      <c r="X518" s="1" t="str">
        <f>IF(OR($B518="",X$7=""),"",IF($B518="MEANS",INDEX('1-DATA'!$1:$1048576,$A517-1,COLUMN('1-DATA'!W516)),ROUND(INDEX('1-DATA'!$1:$1048576,IF(OR($B518="STD. DEVIATION",$C$1=1),$A518,$A518+1),COLUMN('1-DATA'!W516)),IF($B518="STD. DEVIATION",2,$F$1))))</f>
        <v/>
      </c>
      <c r="Y518" s="1" t="str">
        <f>IF(OR($B518="",Y$7=""),"",IF($B518="MEANS",INDEX('1-DATA'!$1:$1048576,$A517-1,COLUMN('1-DATA'!X516)),ROUND(INDEX('1-DATA'!$1:$1048576,IF(OR($B518="STD. DEVIATION",$C$1=1),$A518,$A518+1),COLUMN('1-DATA'!X516)),IF($B518="STD. DEVIATION",2,$F$1))))</f>
        <v/>
      </c>
      <c r="Z518" s="1" t="str">
        <f>IF(OR($B518="",Z$7=""),"",IF($B518="MEANS",INDEX('1-DATA'!$1:$1048576,$A517-1,COLUMN('1-DATA'!Y516)),ROUND(INDEX('1-DATA'!$1:$1048576,IF(OR($B518="STD. DEVIATION",$C$1=1),$A518,$A518+1),COLUMN('1-DATA'!Y516)),IF($B518="STD. DEVIATION",2,$F$1))))</f>
        <v/>
      </c>
      <c r="AA518" s="1" t="str">
        <f>IF(OR($B518="",AA$7=""),"",IF($B518="MEANS",INDEX('1-DATA'!$1:$1048576,$A517-1,COLUMN('1-DATA'!Z516)),ROUND(INDEX('1-DATA'!$1:$1048576,IF(OR($B518="STD. DEVIATION",$C$1=1),$A518,$A518+1),COLUMN('1-DATA'!Z516)),IF($B518="STD. DEVIATION",2,$F$1))))</f>
        <v/>
      </c>
      <c r="AB518" s="1" t="str">
        <f>IF(OR($B518="",AB$7=""),"",IF($B518="MEANS",INDEX('1-DATA'!$1:$1048576,$A517-1,COLUMN('1-DATA'!AA516)),ROUND(INDEX('1-DATA'!$1:$1048576,IF(OR($B518="STD. DEVIATION",$C$1=1),$A518,$A518+1),COLUMN('1-DATA'!AA516)),IF($B518="STD. DEVIATION",2,$F$1))))</f>
        <v/>
      </c>
      <c r="AC518" s="1" t="str">
        <f>IF(OR($B518="",AC$7=""),"",IF($B518="MEANS",INDEX('1-DATA'!$1:$1048576,$A517-1,COLUMN('1-DATA'!AB516)),ROUND(INDEX('1-DATA'!$1:$1048576,IF(OR($B518="STD. DEVIATION",$C$1=1),$A518,$A518+1),COLUMN('1-DATA'!AB516)),IF($B518="STD. DEVIATION",2,$F$1))))</f>
        <v/>
      </c>
      <c r="AD518" s="1" t="str">
        <f>IF(OR($B518="",AD$7=""),"",IF($B518="MEANS",INDEX('1-DATA'!$1:$1048576,$A517-1,COLUMN('1-DATA'!AC516)),ROUND(INDEX('1-DATA'!$1:$1048576,IF(OR($B518="STD. DEVIATION",$C$1=1),$A518,$A518+1),COLUMN('1-DATA'!AC516)),IF($B518="STD. DEVIATION",2,$F$1))))</f>
        <v/>
      </c>
      <c r="AE518" s="1" t="str">
        <f>IF(OR($B518="",AE$7=""),"",IF($B518="MEANS",INDEX('1-DATA'!$1:$1048576,$A517-1,COLUMN('1-DATA'!AD516)),ROUND(INDEX('1-DATA'!$1:$1048576,IF(OR($B518="STD. DEVIATION",$C$1=1),$A518,$A518+1),COLUMN('1-DATA'!AD516)),IF($B518="STD. DEVIATION",2,$F$1))))</f>
        <v/>
      </c>
      <c r="AF518" s="1" t="str">
        <f>IF(OR($B518="",AF$7=""),"",IF($B518="MEANS",INDEX('1-DATA'!$1:$1048576,$A517-1,COLUMN('1-DATA'!AE516)),ROUND(INDEX('1-DATA'!$1:$1048576,IF(OR($B518="STD. DEVIATION",$C$1=1),$A518,$A518+1),COLUMN('1-DATA'!AE516)),IF($B518="STD. DEVIATION",2,$F$1))))</f>
        <v/>
      </c>
      <c r="AG518" s="1" t="str">
        <f>IF(OR($B518="",AG$7=""),"",IF($B518="MEANS",INDEX('1-DATA'!$1:$1048576,$A517-1,COLUMN('1-DATA'!AF516)),ROUND(INDEX('1-DATA'!$1:$1048576,IF(OR($B518="STD. DEVIATION",$C$1=1),$A518,$A518+1),COLUMN('1-DATA'!AF516)),IF($B518="STD. DEVIATION",2,$F$1))))</f>
        <v/>
      </c>
      <c r="AH518" s="1" t="str">
        <f>IF(OR($B518="",AH$7=""),"",IF($B518="MEANS",INDEX('1-DATA'!$1:$1048576,$A517-1,COLUMN('1-DATA'!AG516)),ROUND(INDEX('1-DATA'!$1:$1048576,IF(OR($B518="STD. DEVIATION",$C$1=1),$A518,$A518+1),COLUMN('1-DATA'!AG516)),IF($B518="STD. DEVIATION",2,$F$1))))</f>
        <v/>
      </c>
      <c r="AI518" s="1" t="str">
        <f>IF(OR($B518="",AI$7=""),"",IF($B518="MEANS",INDEX('1-DATA'!$1:$1048576,$A517-1,COLUMN('1-DATA'!AH516)),ROUND(INDEX('1-DATA'!$1:$1048576,IF(OR($B518="STD. DEVIATION",$C$1=1),$A518,$A518+1),COLUMN('1-DATA'!AH516)),IF($B518="STD. DEVIATION",2,$F$1))))</f>
        <v/>
      </c>
      <c r="AJ518" s="1" t="str">
        <f>IF(OR($B518="",AJ$7=""),"",IF($B518="MEANS",INDEX('1-DATA'!$1:$1048576,$A517-1,COLUMN('1-DATA'!AI516)),ROUND(INDEX('1-DATA'!$1:$1048576,IF(OR($B518="STD. DEVIATION",$C$1=1),$A518,$A518+1),COLUMN('1-DATA'!AI516)),IF($B518="STD. DEVIATION",2,$F$1))))</f>
        <v/>
      </c>
      <c r="AK518" s="1" t="str">
        <f>IF(OR($B518="",AK$7=""),"",IF($B518="MEANS",INDEX('1-DATA'!$1:$1048576,$A517-1,COLUMN('1-DATA'!AJ516)),ROUND(INDEX('1-DATA'!$1:$1048576,IF(OR($B518="STD. DEVIATION",$C$1=1),$A518,$A518+1),COLUMN('1-DATA'!AJ516)),IF($B518="STD. DEVIATION",2,$F$1))))</f>
        <v/>
      </c>
      <c r="AL518" s="1" t="str">
        <f>IF(OR($B518="",AL$7=""),"",IF($B518="MEANS",INDEX('1-DATA'!$1:$1048576,$A517-1,COLUMN('1-DATA'!AK516)),ROUND(INDEX('1-DATA'!$1:$1048576,IF(OR($B518="STD. DEVIATION",$C$1=1),$A518,$A518+1),COLUMN('1-DATA'!AK516)),IF($B518="STD. DEVIATION",2,$F$1))))</f>
        <v/>
      </c>
      <c r="AM518" s="1" t="str">
        <f>IF(OR($B518="",AM$7=""),"",IF($B518="MEANS",INDEX('1-DATA'!$1:$1048576,$A517-1,COLUMN('1-DATA'!AL516)),ROUND(INDEX('1-DATA'!$1:$1048576,IF(OR($B518="STD. DEVIATION",$C$1=1),$A518,$A518+1),COLUMN('1-DATA'!AL516)),IF($B518="STD. DEVIATION",2,$F$1))))</f>
        <v/>
      </c>
      <c r="AN518" s="1" t="str">
        <f>IF(OR($B518="",AN$7=""),"",IF($B518="MEANS",INDEX('1-DATA'!$1:$1048576,$A517-1,COLUMN('1-DATA'!AM516)),ROUND(INDEX('1-DATA'!$1:$1048576,IF(OR($B518="STD. DEVIATION",$C$1=1),$A518,$A518+1),COLUMN('1-DATA'!AM516)),IF($B518="STD. DEVIATION",2,$F$1))))</f>
        <v/>
      </c>
      <c r="AO518" s="1" t="str">
        <f>IF(OR($B518="",AO$7=""),"",IF($B518="MEANS",INDEX('1-DATA'!$1:$1048576,$A517-1,COLUMN('1-DATA'!AN516)),ROUND(INDEX('1-DATA'!$1:$1048576,IF(OR($B518="STD. DEVIATION",$C$1=1),$A518,$A518+1),COLUMN('1-DATA'!AN516)),IF($B518="STD. DEVIATION",2,$F$1))))</f>
        <v/>
      </c>
      <c r="AP518" s="1" t="str">
        <f>IF(OR($B518="",AP$7=""),"",IF($B518="MEANS",INDEX('1-DATA'!$1:$1048576,$A517-1,COLUMN('1-DATA'!AO516)),ROUND(INDEX('1-DATA'!$1:$1048576,IF(OR($B518="STD. DEVIATION",$C$1=1),$A518,$A518+1),COLUMN('1-DATA'!AO516)),IF($B518="STD. DEVIATION",2,$F$1))))</f>
        <v/>
      </c>
      <c r="AQ518" s="1" t="str">
        <f>IF(OR($B518="",AQ$7=""),"",IF($B518="MEANS",INDEX('1-DATA'!$1:$1048576,$A517-1,COLUMN('1-DATA'!AP516)),ROUND(INDEX('1-DATA'!$1:$1048576,IF(OR($B518="STD. DEVIATION",$C$1=1),$A518,$A518+1),COLUMN('1-DATA'!AP516)),IF($B518="STD. DEVIATION",2,$F$1))))</f>
        <v/>
      </c>
      <c r="AR518" s="1" t="str">
        <f>IF(OR($B518="",AR$7=""),"",IF($B518="MEANS",INDEX('1-DATA'!$1:$1048576,$A517-1,COLUMN('1-DATA'!AQ516)),ROUND(INDEX('1-DATA'!$1:$1048576,IF(OR($B518="STD. DEVIATION",$C$1=1),$A518,$A518+1),COLUMN('1-DATA'!AQ516)),IF($B518="STD. DEVIATION",2,$F$1))))</f>
        <v/>
      </c>
      <c r="AS518" s="1" t="str">
        <f>IF(OR($B518="",AS$7=""),"",IF($B518="MEANS",INDEX('1-DATA'!$1:$1048576,$A517-1,COLUMN('1-DATA'!AR516)),ROUND(INDEX('1-DATA'!$1:$1048576,IF(OR($B518="STD. DEVIATION",$C$1=1),$A518,$A518+1),COLUMN('1-DATA'!AR516)),IF($B518="STD. DEVIATION",2,$F$1))))</f>
        <v/>
      </c>
      <c r="AT518" s="1" t="str">
        <f>IF(OR($B518="",AT$7=""),"",IF($B518="MEANS",INDEX('1-DATA'!$1:$1048576,$A517-1,COLUMN('1-DATA'!AS516)),ROUND(INDEX('1-DATA'!$1:$1048576,IF(OR($B518="STD. DEVIATION",$C$1=1),$A518,$A518+1),COLUMN('1-DATA'!AS516)),IF($B518="STD. DEVIATION",2,$F$1))))</f>
        <v/>
      </c>
      <c r="AU518" s="1" t="str">
        <f>IF(OR($B518="",AU$7=""),"",IF($B518="MEANS",INDEX('1-DATA'!$1:$1048576,$A517-1,COLUMN('1-DATA'!AT516)),ROUND(INDEX('1-DATA'!$1:$1048576,IF(OR($B518="STD. DEVIATION",$C$1=1),$A518,$A518+1),COLUMN('1-DATA'!AT516)),IF($B518="STD. DEVIATION",2,$F$1))))</f>
        <v/>
      </c>
      <c r="AV518" s="1" t="str">
        <f>IF(OR($B518="",AV$7=""),"",IF($B518="MEANS",INDEX('1-DATA'!$1:$1048576,$A517-1,COLUMN('1-DATA'!AU516)),ROUND(INDEX('1-DATA'!$1:$1048576,IF(OR($B518="STD. DEVIATION",$C$1=1),$A518,$A518+1),COLUMN('1-DATA'!AU516)),IF($B518="STD. DEVIATION",2,$F$1))))</f>
        <v/>
      </c>
      <c r="AW518" s="1" t="str">
        <f>IF(OR($B518="",AW$7=""),"",IF($B518="MEANS",INDEX('1-DATA'!$1:$1048576,$A517-1,COLUMN('1-DATA'!AV516)),ROUND(INDEX('1-DATA'!$1:$1048576,IF(OR($B518="STD. DEVIATION",$C$1=1),$A518,$A518+1),COLUMN('1-DATA'!AV516)),IF($B518="STD. DEVIATION",2,$F$1))))</f>
        <v/>
      </c>
      <c r="AX518" s="1" t="str">
        <f>IF(OR($B518="",AX$7=""),"",IF($B518="MEANS",INDEX('1-DATA'!$1:$1048576,$A517-1,COLUMN('1-DATA'!AW516)),ROUND(INDEX('1-DATA'!$1:$1048576,IF(OR($B518="STD. DEVIATION",$C$1=1),$A518,$A518+1),COLUMN('1-DATA'!AW516)),IF($B518="STD. DEVIATION",2,$F$1))))</f>
        <v/>
      </c>
      <c r="AY518" s="1" t="str">
        <f>IF(OR($B518="",AY$7=""),"",IF($B518="MEANS",INDEX('1-DATA'!$1:$1048576,$A517-1,COLUMN('1-DATA'!AX516)),ROUND(INDEX('1-DATA'!$1:$1048576,IF(OR($B518="STD. DEVIATION",$C$1=1),$A518,$A518+1),COLUMN('1-DATA'!AX516)),IF($B518="STD. DEVIATION",2,$F$1))))</f>
        <v/>
      </c>
      <c r="AZ518" s="1" t="str">
        <f>IF(OR($B518="",AZ$7=""),"",IF($B518="MEANS",INDEX('1-DATA'!$1:$1048576,$A517-1,COLUMN('1-DATA'!AY516)),ROUND(INDEX('1-DATA'!$1:$1048576,IF(OR($B518="STD. DEVIATION",$C$1=1),$A518,$A518+1),COLUMN('1-DATA'!AY516)),IF($B518="STD. DEVIATION",2,$F$1))))</f>
        <v/>
      </c>
    </row>
    <row r="519" spans="1:52" x14ac:dyDescent="0.25">
      <c r="A519" s="11">
        <f t="shared" si="8"/>
        <v>1543</v>
      </c>
      <c r="B519" s="1" t="str">
        <f>IF(B518="STD. DEVIATION",INDEX('1-DATA'!$1:$1048576,$A518-1,1),IF(INDEX('1-DATA'!$1:$1048576,$A519,1)&lt;&gt;"",INDEX('1-DATA'!$1:$1048576,$A519,1),""))</f>
        <v/>
      </c>
      <c r="C519" s="1" t="str">
        <f>IF(OR($B519="",C$7=""),"",IF($B519="MEANS",INDEX('1-DATA'!$1:$1048576,$A518-1,COLUMN('1-DATA'!B517)),ROUND(INDEX('1-DATA'!$1:$1048576,IF(OR($B519="STD. DEVIATION",$C$1=1),$A519,$A519+1),COLUMN('1-DATA'!B517)),IF($B519="STD. DEVIATION",2,$F$1))))</f>
        <v/>
      </c>
      <c r="D519" s="1" t="str">
        <f>IF(OR($B519="",D$7=""),"",IF($B519="MEANS",INDEX('1-DATA'!$1:$1048576,$A518-1,COLUMN('1-DATA'!C517)),ROUND(INDEX('1-DATA'!$1:$1048576,IF(OR($B519="STD. DEVIATION",$C$1=1),$A519,$A519+1),COLUMN('1-DATA'!C517)),IF($B519="STD. DEVIATION",2,$F$1))))</f>
        <v/>
      </c>
      <c r="E519" s="1" t="str">
        <f>IF(OR($B519="",E$7=""),"",IF($B519="MEANS",INDEX('1-DATA'!$1:$1048576,$A518-1,COLUMN('1-DATA'!D517)),ROUND(INDEX('1-DATA'!$1:$1048576,IF(OR($B519="STD. DEVIATION",$C$1=1),$A519,$A519+1),COLUMN('1-DATA'!D517)),IF($B519="STD. DEVIATION",2,$F$1))))</f>
        <v/>
      </c>
      <c r="F519" s="1" t="str">
        <f>IF(OR($B519="",F$7=""),"",IF($B519="MEANS",INDEX('1-DATA'!$1:$1048576,$A518-1,COLUMN('1-DATA'!E517)),ROUND(INDEX('1-DATA'!$1:$1048576,IF(OR($B519="STD. DEVIATION",$C$1=1),$A519,$A519+1),COLUMN('1-DATA'!E517)),IF($B519="STD. DEVIATION",2,$F$1))))</f>
        <v/>
      </c>
      <c r="G519" s="1" t="str">
        <f>IF(OR($B519="",G$7=""),"",IF($B519="MEANS",INDEX('1-DATA'!$1:$1048576,$A518-1,COLUMN('1-DATA'!F517)),ROUND(INDEX('1-DATA'!$1:$1048576,IF(OR($B519="STD. DEVIATION",$C$1=1),$A519,$A519+1),COLUMN('1-DATA'!F517)),IF($B519="STD. DEVIATION",2,$F$1))))</f>
        <v/>
      </c>
      <c r="H519" s="1" t="str">
        <f>IF(OR($B519="",H$7=""),"",IF($B519="MEANS",INDEX('1-DATA'!$1:$1048576,$A518-1,COLUMN('1-DATA'!G517)),ROUND(INDEX('1-DATA'!$1:$1048576,IF(OR($B519="STD. DEVIATION",$C$1=1),$A519,$A519+1),COLUMN('1-DATA'!G517)),IF($B519="STD. DEVIATION",2,$F$1))))</f>
        <v/>
      </c>
      <c r="I519" s="1" t="str">
        <f>IF(OR($B519="",I$7=""),"",IF($B519="MEANS",INDEX('1-DATA'!$1:$1048576,$A518-1,COLUMN('1-DATA'!H517)),ROUND(INDEX('1-DATA'!$1:$1048576,IF(OR($B519="STD. DEVIATION",$C$1=1),$A519,$A519+1),COLUMN('1-DATA'!H517)),IF($B519="STD. DEVIATION",2,$F$1))))</f>
        <v/>
      </c>
      <c r="J519" s="1" t="str">
        <f>IF(OR($B519="",J$7=""),"",IF($B519="MEANS",INDEX('1-DATA'!$1:$1048576,$A518-1,COLUMN('1-DATA'!I517)),ROUND(INDEX('1-DATA'!$1:$1048576,IF(OR($B519="STD. DEVIATION",$C$1=1),$A519,$A519+1),COLUMN('1-DATA'!I517)),IF($B519="STD. DEVIATION",2,$F$1))))</f>
        <v/>
      </c>
      <c r="K519" s="1" t="str">
        <f>IF(OR($B519="",K$7=""),"",IF($B519="MEANS",INDEX('1-DATA'!$1:$1048576,$A518-1,COLUMN('1-DATA'!J517)),ROUND(INDEX('1-DATA'!$1:$1048576,IF(OR($B519="STD. DEVIATION",$C$1=1),$A519,$A519+1),COLUMN('1-DATA'!J517)),IF($B519="STD. DEVIATION",2,$F$1))))</f>
        <v/>
      </c>
      <c r="L519" s="1" t="str">
        <f>IF(OR($B519="",L$7=""),"",IF($B519="MEANS",INDEX('1-DATA'!$1:$1048576,$A518-1,COLUMN('1-DATA'!K517)),ROUND(INDEX('1-DATA'!$1:$1048576,IF(OR($B519="STD. DEVIATION",$C$1=1),$A519,$A519+1),COLUMN('1-DATA'!K517)),IF($B519="STD. DEVIATION",2,$F$1))))</f>
        <v/>
      </c>
      <c r="M519" s="1" t="str">
        <f>IF(OR($B519="",M$7=""),"",IF($B519="MEANS",INDEX('1-DATA'!$1:$1048576,$A518-1,COLUMN('1-DATA'!L517)),ROUND(INDEX('1-DATA'!$1:$1048576,IF(OR($B519="STD. DEVIATION",$C$1=1),$A519,$A519+1),COLUMN('1-DATA'!L517)),IF($B519="STD. DEVIATION",2,$F$1))))</f>
        <v/>
      </c>
      <c r="N519" s="1" t="str">
        <f>IF(OR($B519="",N$7=""),"",IF($B519="MEANS",INDEX('1-DATA'!$1:$1048576,$A518-1,COLUMN('1-DATA'!M517)),ROUND(INDEX('1-DATA'!$1:$1048576,IF(OR($B519="STD. DEVIATION",$C$1=1),$A519,$A519+1),COLUMN('1-DATA'!M517)),IF($B519="STD. DEVIATION",2,$F$1))))</f>
        <v/>
      </c>
      <c r="O519" s="1" t="str">
        <f>IF(OR($B519="",O$7=""),"",IF($B519="MEANS",INDEX('1-DATA'!$1:$1048576,$A518-1,COLUMN('1-DATA'!N517)),ROUND(INDEX('1-DATA'!$1:$1048576,IF(OR($B519="STD. DEVIATION",$C$1=1),$A519,$A519+1),COLUMN('1-DATA'!N517)),IF($B519="STD. DEVIATION",2,$F$1))))</f>
        <v/>
      </c>
      <c r="P519" s="1" t="str">
        <f>IF(OR($B519="",P$7=""),"",IF($B519="MEANS",INDEX('1-DATA'!$1:$1048576,$A518-1,COLUMN('1-DATA'!O517)),ROUND(INDEX('1-DATA'!$1:$1048576,IF(OR($B519="STD. DEVIATION",$C$1=1),$A519,$A519+1),COLUMN('1-DATA'!O517)),IF($B519="STD. DEVIATION",2,$F$1))))</f>
        <v/>
      </c>
      <c r="Q519" s="1" t="str">
        <f>IF(OR($B519="",Q$7=""),"",IF($B519="MEANS",INDEX('1-DATA'!$1:$1048576,$A518-1,COLUMN('1-DATA'!P517)),ROUND(INDEX('1-DATA'!$1:$1048576,IF(OR($B519="STD. DEVIATION",$C$1=1),$A519,$A519+1),COLUMN('1-DATA'!P517)),IF($B519="STD. DEVIATION",2,$F$1))))</f>
        <v/>
      </c>
      <c r="R519" s="1" t="str">
        <f>IF(OR($B519="",R$7=""),"",IF($B519="MEANS",INDEX('1-DATA'!$1:$1048576,$A518-1,COLUMN('1-DATA'!Q517)),ROUND(INDEX('1-DATA'!$1:$1048576,IF(OR($B519="STD. DEVIATION",$C$1=1),$A519,$A519+1),COLUMN('1-DATA'!Q517)),IF($B519="STD. DEVIATION",2,$F$1))))</f>
        <v/>
      </c>
      <c r="S519" s="1" t="str">
        <f>IF(OR($B519="",S$7=""),"",IF($B519="MEANS",INDEX('1-DATA'!$1:$1048576,$A518-1,COLUMN('1-DATA'!R517)),ROUND(INDEX('1-DATA'!$1:$1048576,IF(OR($B519="STD. DEVIATION",$C$1=1),$A519,$A519+1),COLUMN('1-DATA'!R517)),IF($B519="STD. DEVIATION",2,$F$1))))</f>
        <v/>
      </c>
      <c r="T519" s="1" t="str">
        <f>IF(OR($B519="",T$7=""),"",IF($B519="MEANS",INDEX('1-DATA'!$1:$1048576,$A518-1,COLUMN('1-DATA'!S517)),ROUND(INDEX('1-DATA'!$1:$1048576,IF(OR($B519="STD. DEVIATION",$C$1=1),$A519,$A519+1),COLUMN('1-DATA'!S517)),IF($B519="STD. DEVIATION",2,$F$1))))</f>
        <v/>
      </c>
      <c r="U519" s="1" t="str">
        <f>IF(OR($B519="",U$7=""),"",IF($B519="MEANS",INDEX('1-DATA'!$1:$1048576,$A518-1,COLUMN('1-DATA'!T517)),ROUND(INDEX('1-DATA'!$1:$1048576,IF(OR($B519="STD. DEVIATION",$C$1=1),$A519,$A519+1),COLUMN('1-DATA'!T517)),IF($B519="STD. DEVIATION",2,$F$1))))</f>
        <v/>
      </c>
      <c r="V519" s="1" t="str">
        <f>IF(OR($B519="",V$7=""),"",IF($B519="MEANS",INDEX('1-DATA'!$1:$1048576,$A518-1,COLUMN('1-DATA'!U517)),ROUND(INDEX('1-DATA'!$1:$1048576,IF(OR($B519="STD. DEVIATION",$C$1=1),$A519,$A519+1),COLUMN('1-DATA'!U517)),IF($B519="STD. DEVIATION",2,$F$1))))</f>
        <v/>
      </c>
      <c r="W519" s="1" t="str">
        <f>IF(OR($B519="",W$7=""),"",IF($B519="MEANS",INDEX('1-DATA'!$1:$1048576,$A518-1,COLUMN('1-DATA'!V517)),ROUND(INDEX('1-DATA'!$1:$1048576,IF(OR($B519="STD. DEVIATION",$C$1=1),$A519,$A519+1),COLUMN('1-DATA'!V517)),IF($B519="STD. DEVIATION",2,$F$1))))</f>
        <v/>
      </c>
      <c r="X519" s="1" t="str">
        <f>IF(OR($B519="",X$7=""),"",IF($B519="MEANS",INDEX('1-DATA'!$1:$1048576,$A518-1,COLUMN('1-DATA'!W517)),ROUND(INDEX('1-DATA'!$1:$1048576,IF(OR($B519="STD. DEVIATION",$C$1=1),$A519,$A519+1),COLUMN('1-DATA'!W517)),IF($B519="STD. DEVIATION",2,$F$1))))</f>
        <v/>
      </c>
      <c r="Y519" s="1" t="str">
        <f>IF(OR($B519="",Y$7=""),"",IF($B519="MEANS",INDEX('1-DATA'!$1:$1048576,$A518-1,COLUMN('1-DATA'!X517)),ROUND(INDEX('1-DATA'!$1:$1048576,IF(OR($B519="STD. DEVIATION",$C$1=1),$A519,$A519+1),COLUMN('1-DATA'!X517)),IF($B519="STD. DEVIATION",2,$F$1))))</f>
        <v/>
      </c>
      <c r="Z519" s="1" t="str">
        <f>IF(OR($B519="",Z$7=""),"",IF($B519="MEANS",INDEX('1-DATA'!$1:$1048576,$A518-1,COLUMN('1-DATA'!Y517)),ROUND(INDEX('1-DATA'!$1:$1048576,IF(OR($B519="STD. DEVIATION",$C$1=1),$A519,$A519+1),COLUMN('1-DATA'!Y517)),IF($B519="STD. DEVIATION",2,$F$1))))</f>
        <v/>
      </c>
      <c r="AA519" s="1" t="str">
        <f>IF(OR($B519="",AA$7=""),"",IF($B519="MEANS",INDEX('1-DATA'!$1:$1048576,$A518-1,COLUMN('1-DATA'!Z517)),ROUND(INDEX('1-DATA'!$1:$1048576,IF(OR($B519="STD. DEVIATION",$C$1=1),$A519,$A519+1),COLUMN('1-DATA'!Z517)),IF($B519="STD. DEVIATION",2,$F$1))))</f>
        <v/>
      </c>
      <c r="AB519" s="1" t="str">
        <f>IF(OR($B519="",AB$7=""),"",IF($B519="MEANS",INDEX('1-DATA'!$1:$1048576,$A518-1,COLUMN('1-DATA'!AA517)),ROUND(INDEX('1-DATA'!$1:$1048576,IF(OR($B519="STD. DEVIATION",$C$1=1),$A519,$A519+1),COLUMN('1-DATA'!AA517)),IF($B519="STD. DEVIATION",2,$F$1))))</f>
        <v/>
      </c>
      <c r="AC519" s="1" t="str">
        <f>IF(OR($B519="",AC$7=""),"",IF($B519="MEANS",INDEX('1-DATA'!$1:$1048576,$A518-1,COLUMN('1-DATA'!AB517)),ROUND(INDEX('1-DATA'!$1:$1048576,IF(OR($B519="STD. DEVIATION",$C$1=1),$A519,$A519+1),COLUMN('1-DATA'!AB517)),IF($B519="STD. DEVIATION",2,$F$1))))</f>
        <v/>
      </c>
      <c r="AD519" s="1" t="str">
        <f>IF(OR($B519="",AD$7=""),"",IF($B519="MEANS",INDEX('1-DATA'!$1:$1048576,$A518-1,COLUMN('1-DATA'!AC517)),ROUND(INDEX('1-DATA'!$1:$1048576,IF(OR($B519="STD. DEVIATION",$C$1=1),$A519,$A519+1),COLUMN('1-DATA'!AC517)),IF($B519="STD. DEVIATION",2,$F$1))))</f>
        <v/>
      </c>
      <c r="AE519" s="1" t="str">
        <f>IF(OR($B519="",AE$7=""),"",IF($B519="MEANS",INDEX('1-DATA'!$1:$1048576,$A518-1,COLUMN('1-DATA'!AD517)),ROUND(INDEX('1-DATA'!$1:$1048576,IF(OR($B519="STD. DEVIATION",$C$1=1),$A519,$A519+1),COLUMN('1-DATA'!AD517)),IF($B519="STD. DEVIATION",2,$F$1))))</f>
        <v/>
      </c>
      <c r="AF519" s="1" t="str">
        <f>IF(OR($B519="",AF$7=""),"",IF($B519="MEANS",INDEX('1-DATA'!$1:$1048576,$A518-1,COLUMN('1-DATA'!AE517)),ROUND(INDEX('1-DATA'!$1:$1048576,IF(OR($B519="STD. DEVIATION",$C$1=1),$A519,$A519+1),COLUMN('1-DATA'!AE517)),IF($B519="STD. DEVIATION",2,$F$1))))</f>
        <v/>
      </c>
      <c r="AG519" s="1" t="str">
        <f>IF(OR($B519="",AG$7=""),"",IF($B519="MEANS",INDEX('1-DATA'!$1:$1048576,$A518-1,COLUMN('1-DATA'!AF517)),ROUND(INDEX('1-DATA'!$1:$1048576,IF(OR($B519="STD. DEVIATION",$C$1=1),$A519,$A519+1),COLUMN('1-DATA'!AF517)),IF($B519="STD. DEVIATION",2,$F$1))))</f>
        <v/>
      </c>
      <c r="AH519" s="1" t="str">
        <f>IF(OR($B519="",AH$7=""),"",IF($B519="MEANS",INDEX('1-DATA'!$1:$1048576,$A518-1,COLUMN('1-DATA'!AG517)),ROUND(INDEX('1-DATA'!$1:$1048576,IF(OR($B519="STD. DEVIATION",$C$1=1),$A519,$A519+1),COLUMN('1-DATA'!AG517)),IF($B519="STD. DEVIATION",2,$F$1))))</f>
        <v/>
      </c>
      <c r="AI519" s="1" t="str">
        <f>IF(OR($B519="",AI$7=""),"",IF($B519="MEANS",INDEX('1-DATA'!$1:$1048576,$A518-1,COLUMN('1-DATA'!AH517)),ROUND(INDEX('1-DATA'!$1:$1048576,IF(OR($B519="STD. DEVIATION",$C$1=1),$A519,$A519+1),COLUMN('1-DATA'!AH517)),IF($B519="STD. DEVIATION",2,$F$1))))</f>
        <v/>
      </c>
      <c r="AJ519" s="1" t="str">
        <f>IF(OR($B519="",AJ$7=""),"",IF($B519="MEANS",INDEX('1-DATA'!$1:$1048576,$A518-1,COLUMN('1-DATA'!AI517)),ROUND(INDEX('1-DATA'!$1:$1048576,IF(OR($B519="STD. DEVIATION",$C$1=1),$A519,$A519+1),COLUMN('1-DATA'!AI517)),IF($B519="STD. DEVIATION",2,$F$1))))</f>
        <v/>
      </c>
      <c r="AK519" s="1" t="str">
        <f>IF(OR($B519="",AK$7=""),"",IF($B519="MEANS",INDEX('1-DATA'!$1:$1048576,$A518-1,COLUMN('1-DATA'!AJ517)),ROUND(INDEX('1-DATA'!$1:$1048576,IF(OR($B519="STD. DEVIATION",$C$1=1),$A519,$A519+1),COLUMN('1-DATA'!AJ517)),IF($B519="STD. DEVIATION",2,$F$1))))</f>
        <v/>
      </c>
      <c r="AL519" s="1" t="str">
        <f>IF(OR($B519="",AL$7=""),"",IF($B519="MEANS",INDEX('1-DATA'!$1:$1048576,$A518-1,COLUMN('1-DATA'!AK517)),ROUND(INDEX('1-DATA'!$1:$1048576,IF(OR($B519="STD. DEVIATION",$C$1=1),$A519,$A519+1),COLUMN('1-DATA'!AK517)),IF($B519="STD. DEVIATION",2,$F$1))))</f>
        <v/>
      </c>
      <c r="AM519" s="1" t="str">
        <f>IF(OR($B519="",AM$7=""),"",IF($B519="MEANS",INDEX('1-DATA'!$1:$1048576,$A518-1,COLUMN('1-DATA'!AL517)),ROUND(INDEX('1-DATA'!$1:$1048576,IF(OR($B519="STD. DEVIATION",$C$1=1),$A519,$A519+1),COLUMN('1-DATA'!AL517)),IF($B519="STD. DEVIATION",2,$F$1))))</f>
        <v/>
      </c>
      <c r="AN519" s="1" t="str">
        <f>IF(OR($B519="",AN$7=""),"",IF($B519="MEANS",INDEX('1-DATA'!$1:$1048576,$A518-1,COLUMN('1-DATA'!AM517)),ROUND(INDEX('1-DATA'!$1:$1048576,IF(OR($B519="STD. DEVIATION",$C$1=1),$A519,$A519+1),COLUMN('1-DATA'!AM517)),IF($B519="STD. DEVIATION",2,$F$1))))</f>
        <v/>
      </c>
      <c r="AO519" s="1" t="str">
        <f>IF(OR($B519="",AO$7=""),"",IF($B519="MEANS",INDEX('1-DATA'!$1:$1048576,$A518-1,COLUMN('1-DATA'!AN517)),ROUND(INDEX('1-DATA'!$1:$1048576,IF(OR($B519="STD. DEVIATION",$C$1=1),$A519,$A519+1),COLUMN('1-DATA'!AN517)),IF($B519="STD. DEVIATION",2,$F$1))))</f>
        <v/>
      </c>
      <c r="AP519" s="1" t="str">
        <f>IF(OR($B519="",AP$7=""),"",IF($B519="MEANS",INDEX('1-DATA'!$1:$1048576,$A518-1,COLUMN('1-DATA'!AO517)),ROUND(INDEX('1-DATA'!$1:$1048576,IF(OR($B519="STD. DEVIATION",$C$1=1),$A519,$A519+1),COLUMN('1-DATA'!AO517)),IF($B519="STD. DEVIATION",2,$F$1))))</f>
        <v/>
      </c>
      <c r="AQ519" s="1" t="str">
        <f>IF(OR($B519="",AQ$7=""),"",IF($B519="MEANS",INDEX('1-DATA'!$1:$1048576,$A518-1,COLUMN('1-DATA'!AP517)),ROUND(INDEX('1-DATA'!$1:$1048576,IF(OR($B519="STD. DEVIATION",$C$1=1),$A519,$A519+1),COLUMN('1-DATA'!AP517)),IF($B519="STD. DEVIATION",2,$F$1))))</f>
        <v/>
      </c>
      <c r="AR519" s="1" t="str">
        <f>IF(OR($B519="",AR$7=""),"",IF($B519="MEANS",INDEX('1-DATA'!$1:$1048576,$A518-1,COLUMN('1-DATA'!AQ517)),ROUND(INDEX('1-DATA'!$1:$1048576,IF(OR($B519="STD. DEVIATION",$C$1=1),$A519,$A519+1),COLUMN('1-DATA'!AQ517)),IF($B519="STD. DEVIATION",2,$F$1))))</f>
        <v/>
      </c>
      <c r="AS519" s="1" t="str">
        <f>IF(OR($B519="",AS$7=""),"",IF($B519="MEANS",INDEX('1-DATA'!$1:$1048576,$A518-1,COLUMN('1-DATA'!AR517)),ROUND(INDEX('1-DATA'!$1:$1048576,IF(OR($B519="STD. DEVIATION",$C$1=1),$A519,$A519+1),COLUMN('1-DATA'!AR517)),IF($B519="STD. DEVIATION",2,$F$1))))</f>
        <v/>
      </c>
      <c r="AT519" s="1" t="str">
        <f>IF(OR($B519="",AT$7=""),"",IF($B519="MEANS",INDEX('1-DATA'!$1:$1048576,$A518-1,COLUMN('1-DATA'!AS517)),ROUND(INDEX('1-DATA'!$1:$1048576,IF(OR($B519="STD. DEVIATION",$C$1=1),$A519,$A519+1),COLUMN('1-DATA'!AS517)),IF($B519="STD. DEVIATION",2,$F$1))))</f>
        <v/>
      </c>
      <c r="AU519" s="1" t="str">
        <f>IF(OR($B519="",AU$7=""),"",IF($B519="MEANS",INDEX('1-DATA'!$1:$1048576,$A518-1,COLUMN('1-DATA'!AT517)),ROUND(INDEX('1-DATA'!$1:$1048576,IF(OR($B519="STD. DEVIATION",$C$1=1),$A519,$A519+1),COLUMN('1-DATA'!AT517)),IF($B519="STD. DEVIATION",2,$F$1))))</f>
        <v/>
      </c>
      <c r="AV519" s="1" t="str">
        <f>IF(OR($B519="",AV$7=""),"",IF($B519="MEANS",INDEX('1-DATA'!$1:$1048576,$A518-1,COLUMN('1-DATA'!AU517)),ROUND(INDEX('1-DATA'!$1:$1048576,IF(OR($B519="STD. DEVIATION",$C$1=1),$A519,$A519+1),COLUMN('1-DATA'!AU517)),IF($B519="STD. DEVIATION",2,$F$1))))</f>
        <v/>
      </c>
      <c r="AW519" s="1" t="str">
        <f>IF(OR($B519="",AW$7=""),"",IF($B519="MEANS",INDEX('1-DATA'!$1:$1048576,$A518-1,COLUMN('1-DATA'!AV517)),ROUND(INDEX('1-DATA'!$1:$1048576,IF(OR($B519="STD. DEVIATION",$C$1=1),$A519,$A519+1),COLUMN('1-DATA'!AV517)),IF($B519="STD. DEVIATION",2,$F$1))))</f>
        <v/>
      </c>
      <c r="AX519" s="1" t="str">
        <f>IF(OR($B519="",AX$7=""),"",IF($B519="MEANS",INDEX('1-DATA'!$1:$1048576,$A518-1,COLUMN('1-DATA'!AW517)),ROUND(INDEX('1-DATA'!$1:$1048576,IF(OR($B519="STD. DEVIATION",$C$1=1),$A519,$A519+1),COLUMN('1-DATA'!AW517)),IF($B519="STD. DEVIATION",2,$F$1))))</f>
        <v/>
      </c>
      <c r="AY519" s="1" t="str">
        <f>IF(OR($B519="",AY$7=""),"",IF($B519="MEANS",INDEX('1-DATA'!$1:$1048576,$A518-1,COLUMN('1-DATA'!AX517)),ROUND(INDEX('1-DATA'!$1:$1048576,IF(OR($B519="STD. DEVIATION",$C$1=1),$A519,$A519+1),COLUMN('1-DATA'!AX517)),IF($B519="STD. DEVIATION",2,$F$1))))</f>
        <v/>
      </c>
      <c r="AZ519" s="1" t="str">
        <f>IF(OR($B519="",AZ$7=""),"",IF($B519="MEANS",INDEX('1-DATA'!$1:$1048576,$A518-1,COLUMN('1-DATA'!AY517)),ROUND(INDEX('1-DATA'!$1:$1048576,IF(OR($B519="STD. DEVIATION",$C$1=1),$A519,$A519+1),COLUMN('1-DATA'!AY517)),IF($B519="STD. DEVIATION",2,$F$1))))</f>
        <v/>
      </c>
    </row>
    <row r="520" spans="1:52" x14ac:dyDescent="0.25">
      <c r="A520" s="11">
        <f t="shared" si="8"/>
        <v>1546</v>
      </c>
      <c r="B520" s="1" t="str">
        <f>IF(B519="STD. DEVIATION",INDEX('1-DATA'!$1:$1048576,$A519-1,1),IF(INDEX('1-DATA'!$1:$1048576,$A520,1)&lt;&gt;"",INDEX('1-DATA'!$1:$1048576,$A520,1),""))</f>
        <v/>
      </c>
      <c r="C520" s="1" t="str">
        <f>IF(OR($B520="",C$7=""),"",IF($B520="MEANS",INDEX('1-DATA'!$1:$1048576,$A519-1,COLUMN('1-DATA'!B518)),ROUND(INDEX('1-DATA'!$1:$1048576,IF(OR($B520="STD. DEVIATION",$C$1=1),$A520,$A520+1),COLUMN('1-DATA'!B518)),IF($B520="STD. DEVIATION",2,$F$1))))</f>
        <v/>
      </c>
      <c r="D520" s="1" t="str">
        <f>IF(OR($B520="",D$7=""),"",IF($B520="MEANS",INDEX('1-DATA'!$1:$1048576,$A519-1,COLUMN('1-DATA'!C518)),ROUND(INDEX('1-DATA'!$1:$1048576,IF(OR($B520="STD. DEVIATION",$C$1=1),$A520,$A520+1),COLUMN('1-DATA'!C518)),IF($B520="STD. DEVIATION",2,$F$1))))</f>
        <v/>
      </c>
      <c r="E520" s="1" t="str">
        <f>IF(OR($B520="",E$7=""),"",IF($B520="MEANS",INDEX('1-DATA'!$1:$1048576,$A519-1,COLUMN('1-DATA'!D518)),ROUND(INDEX('1-DATA'!$1:$1048576,IF(OR($B520="STD. DEVIATION",$C$1=1),$A520,$A520+1),COLUMN('1-DATA'!D518)),IF($B520="STD. DEVIATION",2,$F$1))))</f>
        <v/>
      </c>
      <c r="F520" s="1" t="str">
        <f>IF(OR($B520="",F$7=""),"",IF($B520="MEANS",INDEX('1-DATA'!$1:$1048576,$A519-1,COLUMN('1-DATA'!E518)),ROUND(INDEX('1-DATA'!$1:$1048576,IF(OR($B520="STD. DEVIATION",$C$1=1),$A520,$A520+1),COLUMN('1-DATA'!E518)),IF($B520="STD. DEVIATION",2,$F$1))))</f>
        <v/>
      </c>
      <c r="G520" s="1" t="str">
        <f>IF(OR($B520="",G$7=""),"",IF($B520="MEANS",INDEX('1-DATA'!$1:$1048576,$A519-1,COLUMN('1-DATA'!F518)),ROUND(INDEX('1-DATA'!$1:$1048576,IF(OR($B520="STD. DEVIATION",$C$1=1),$A520,$A520+1),COLUMN('1-DATA'!F518)),IF($B520="STD. DEVIATION",2,$F$1))))</f>
        <v/>
      </c>
      <c r="H520" s="1" t="str">
        <f>IF(OR($B520="",H$7=""),"",IF($B520="MEANS",INDEX('1-DATA'!$1:$1048576,$A519-1,COLUMN('1-DATA'!G518)),ROUND(INDEX('1-DATA'!$1:$1048576,IF(OR($B520="STD. DEVIATION",$C$1=1),$A520,$A520+1),COLUMN('1-DATA'!G518)),IF($B520="STD. DEVIATION",2,$F$1))))</f>
        <v/>
      </c>
      <c r="I520" s="1" t="str">
        <f>IF(OR($B520="",I$7=""),"",IF($B520="MEANS",INDEX('1-DATA'!$1:$1048576,$A519-1,COLUMN('1-DATA'!H518)),ROUND(INDEX('1-DATA'!$1:$1048576,IF(OR($B520="STD. DEVIATION",$C$1=1),$A520,$A520+1),COLUMN('1-DATA'!H518)),IF($B520="STD. DEVIATION",2,$F$1))))</f>
        <v/>
      </c>
      <c r="J520" s="1" t="str">
        <f>IF(OR($B520="",J$7=""),"",IF($B520="MEANS",INDEX('1-DATA'!$1:$1048576,$A519-1,COLUMN('1-DATA'!I518)),ROUND(INDEX('1-DATA'!$1:$1048576,IF(OR($B520="STD. DEVIATION",$C$1=1),$A520,$A520+1),COLUMN('1-DATA'!I518)),IF($B520="STD. DEVIATION",2,$F$1))))</f>
        <v/>
      </c>
      <c r="K520" s="1" t="str">
        <f>IF(OR($B520="",K$7=""),"",IF($B520="MEANS",INDEX('1-DATA'!$1:$1048576,$A519-1,COLUMN('1-DATA'!J518)),ROUND(INDEX('1-DATA'!$1:$1048576,IF(OR($B520="STD. DEVIATION",$C$1=1),$A520,$A520+1),COLUMN('1-DATA'!J518)),IF($B520="STD. DEVIATION",2,$F$1))))</f>
        <v/>
      </c>
      <c r="L520" s="1" t="str">
        <f>IF(OR($B520="",L$7=""),"",IF($B520="MEANS",INDEX('1-DATA'!$1:$1048576,$A519-1,COLUMN('1-DATA'!K518)),ROUND(INDEX('1-DATA'!$1:$1048576,IF(OR($B520="STD. DEVIATION",$C$1=1),$A520,$A520+1),COLUMN('1-DATA'!K518)),IF($B520="STD. DEVIATION",2,$F$1))))</f>
        <v/>
      </c>
      <c r="M520" s="1" t="str">
        <f>IF(OR($B520="",M$7=""),"",IF($B520="MEANS",INDEX('1-DATA'!$1:$1048576,$A519-1,COLUMN('1-DATA'!L518)),ROUND(INDEX('1-DATA'!$1:$1048576,IF(OR($B520="STD. DEVIATION",$C$1=1),$A520,$A520+1),COLUMN('1-DATA'!L518)),IF($B520="STD. DEVIATION",2,$F$1))))</f>
        <v/>
      </c>
      <c r="N520" s="1" t="str">
        <f>IF(OR($B520="",N$7=""),"",IF($B520="MEANS",INDEX('1-DATA'!$1:$1048576,$A519-1,COLUMN('1-DATA'!M518)),ROUND(INDEX('1-DATA'!$1:$1048576,IF(OR($B520="STD. DEVIATION",$C$1=1),$A520,$A520+1),COLUMN('1-DATA'!M518)),IF($B520="STD. DEVIATION",2,$F$1))))</f>
        <v/>
      </c>
      <c r="O520" s="1" t="str">
        <f>IF(OR($B520="",O$7=""),"",IF($B520="MEANS",INDEX('1-DATA'!$1:$1048576,$A519-1,COLUMN('1-DATA'!N518)),ROUND(INDEX('1-DATA'!$1:$1048576,IF(OR($B520="STD. DEVIATION",$C$1=1),$A520,$A520+1),COLUMN('1-DATA'!N518)),IF($B520="STD. DEVIATION",2,$F$1))))</f>
        <v/>
      </c>
      <c r="P520" s="1" t="str">
        <f>IF(OR($B520="",P$7=""),"",IF($B520="MEANS",INDEX('1-DATA'!$1:$1048576,$A519-1,COLUMN('1-DATA'!O518)),ROUND(INDEX('1-DATA'!$1:$1048576,IF(OR($B520="STD. DEVIATION",$C$1=1),$A520,$A520+1),COLUMN('1-DATA'!O518)),IF($B520="STD. DEVIATION",2,$F$1))))</f>
        <v/>
      </c>
      <c r="Q520" s="1" t="str">
        <f>IF(OR($B520="",Q$7=""),"",IF($B520="MEANS",INDEX('1-DATA'!$1:$1048576,$A519-1,COLUMN('1-DATA'!P518)),ROUND(INDEX('1-DATA'!$1:$1048576,IF(OR($B520="STD. DEVIATION",$C$1=1),$A520,$A520+1),COLUMN('1-DATA'!P518)),IF($B520="STD. DEVIATION",2,$F$1))))</f>
        <v/>
      </c>
      <c r="R520" s="1" t="str">
        <f>IF(OR($B520="",R$7=""),"",IF($B520="MEANS",INDEX('1-DATA'!$1:$1048576,$A519-1,COLUMN('1-DATA'!Q518)),ROUND(INDEX('1-DATA'!$1:$1048576,IF(OR($B520="STD. DEVIATION",$C$1=1),$A520,$A520+1),COLUMN('1-DATA'!Q518)),IF($B520="STD. DEVIATION",2,$F$1))))</f>
        <v/>
      </c>
      <c r="S520" s="1" t="str">
        <f>IF(OR($B520="",S$7=""),"",IF($B520="MEANS",INDEX('1-DATA'!$1:$1048576,$A519-1,COLUMN('1-DATA'!R518)),ROUND(INDEX('1-DATA'!$1:$1048576,IF(OR($B520="STD. DEVIATION",$C$1=1),$A520,$A520+1),COLUMN('1-DATA'!R518)),IF($B520="STD. DEVIATION",2,$F$1))))</f>
        <v/>
      </c>
      <c r="T520" s="1" t="str">
        <f>IF(OR($B520="",T$7=""),"",IF($B520="MEANS",INDEX('1-DATA'!$1:$1048576,$A519-1,COLUMN('1-DATA'!S518)),ROUND(INDEX('1-DATA'!$1:$1048576,IF(OR($B520="STD. DEVIATION",$C$1=1),$A520,$A520+1),COLUMN('1-DATA'!S518)),IF($B520="STD. DEVIATION",2,$F$1))))</f>
        <v/>
      </c>
      <c r="U520" s="1" t="str">
        <f>IF(OR($B520="",U$7=""),"",IF($B520="MEANS",INDEX('1-DATA'!$1:$1048576,$A519-1,COLUMN('1-DATA'!T518)),ROUND(INDEX('1-DATA'!$1:$1048576,IF(OR($B520="STD. DEVIATION",$C$1=1),$A520,$A520+1),COLUMN('1-DATA'!T518)),IF($B520="STD. DEVIATION",2,$F$1))))</f>
        <v/>
      </c>
      <c r="V520" s="1" t="str">
        <f>IF(OR($B520="",V$7=""),"",IF($B520="MEANS",INDEX('1-DATA'!$1:$1048576,$A519-1,COLUMN('1-DATA'!U518)),ROUND(INDEX('1-DATA'!$1:$1048576,IF(OR($B520="STD. DEVIATION",$C$1=1),$A520,$A520+1),COLUMN('1-DATA'!U518)),IF($B520="STD. DEVIATION",2,$F$1))))</f>
        <v/>
      </c>
      <c r="W520" s="1" t="str">
        <f>IF(OR($B520="",W$7=""),"",IF($B520="MEANS",INDEX('1-DATA'!$1:$1048576,$A519-1,COLUMN('1-DATA'!V518)),ROUND(INDEX('1-DATA'!$1:$1048576,IF(OR($B520="STD. DEVIATION",$C$1=1),$A520,$A520+1),COLUMN('1-DATA'!V518)),IF($B520="STD. DEVIATION",2,$F$1))))</f>
        <v/>
      </c>
      <c r="X520" s="1" t="str">
        <f>IF(OR($B520="",X$7=""),"",IF($B520="MEANS",INDEX('1-DATA'!$1:$1048576,$A519-1,COLUMN('1-DATA'!W518)),ROUND(INDEX('1-DATA'!$1:$1048576,IF(OR($B520="STD. DEVIATION",$C$1=1),$A520,$A520+1),COLUMN('1-DATA'!W518)),IF($B520="STD. DEVIATION",2,$F$1))))</f>
        <v/>
      </c>
      <c r="Y520" s="1" t="str">
        <f>IF(OR($B520="",Y$7=""),"",IF($B520="MEANS",INDEX('1-DATA'!$1:$1048576,$A519-1,COLUMN('1-DATA'!X518)),ROUND(INDEX('1-DATA'!$1:$1048576,IF(OR($B520="STD. DEVIATION",$C$1=1),$A520,$A520+1),COLUMN('1-DATA'!X518)),IF($B520="STD. DEVIATION",2,$F$1))))</f>
        <v/>
      </c>
      <c r="Z520" s="1" t="str">
        <f>IF(OR($B520="",Z$7=""),"",IF($B520="MEANS",INDEX('1-DATA'!$1:$1048576,$A519-1,COLUMN('1-DATA'!Y518)),ROUND(INDEX('1-DATA'!$1:$1048576,IF(OR($B520="STD. DEVIATION",$C$1=1),$A520,$A520+1),COLUMN('1-DATA'!Y518)),IF($B520="STD. DEVIATION",2,$F$1))))</f>
        <v/>
      </c>
      <c r="AA520" s="1" t="str">
        <f>IF(OR($B520="",AA$7=""),"",IF($B520="MEANS",INDEX('1-DATA'!$1:$1048576,$A519-1,COLUMN('1-DATA'!Z518)),ROUND(INDEX('1-DATA'!$1:$1048576,IF(OR($B520="STD. DEVIATION",$C$1=1),$A520,$A520+1),COLUMN('1-DATA'!Z518)),IF($B520="STD. DEVIATION",2,$F$1))))</f>
        <v/>
      </c>
      <c r="AB520" s="1" t="str">
        <f>IF(OR($B520="",AB$7=""),"",IF($B520="MEANS",INDEX('1-DATA'!$1:$1048576,$A519-1,COLUMN('1-DATA'!AA518)),ROUND(INDEX('1-DATA'!$1:$1048576,IF(OR($B520="STD. DEVIATION",$C$1=1),$A520,$A520+1),COLUMN('1-DATA'!AA518)),IF($B520="STD. DEVIATION",2,$F$1))))</f>
        <v/>
      </c>
      <c r="AC520" s="1" t="str">
        <f>IF(OR($B520="",AC$7=""),"",IF($B520="MEANS",INDEX('1-DATA'!$1:$1048576,$A519-1,COLUMN('1-DATA'!AB518)),ROUND(INDEX('1-DATA'!$1:$1048576,IF(OR($B520="STD. DEVIATION",$C$1=1),$A520,$A520+1),COLUMN('1-DATA'!AB518)),IF($B520="STD. DEVIATION",2,$F$1))))</f>
        <v/>
      </c>
      <c r="AD520" s="1" t="str">
        <f>IF(OR($B520="",AD$7=""),"",IF($B520="MEANS",INDEX('1-DATA'!$1:$1048576,$A519-1,COLUMN('1-DATA'!AC518)),ROUND(INDEX('1-DATA'!$1:$1048576,IF(OR($B520="STD. DEVIATION",$C$1=1),$A520,$A520+1),COLUMN('1-DATA'!AC518)),IF($B520="STD. DEVIATION",2,$F$1))))</f>
        <v/>
      </c>
      <c r="AE520" s="1" t="str">
        <f>IF(OR($B520="",AE$7=""),"",IF($B520="MEANS",INDEX('1-DATA'!$1:$1048576,$A519-1,COLUMN('1-DATA'!AD518)),ROUND(INDEX('1-DATA'!$1:$1048576,IF(OR($B520="STD. DEVIATION",$C$1=1),$A520,$A520+1),COLUMN('1-DATA'!AD518)),IF($B520="STD. DEVIATION",2,$F$1))))</f>
        <v/>
      </c>
      <c r="AF520" s="1" t="str">
        <f>IF(OR($B520="",AF$7=""),"",IF($B520="MEANS",INDEX('1-DATA'!$1:$1048576,$A519-1,COLUMN('1-DATA'!AE518)),ROUND(INDEX('1-DATA'!$1:$1048576,IF(OR($B520="STD. DEVIATION",$C$1=1),$A520,$A520+1),COLUMN('1-DATA'!AE518)),IF($B520="STD. DEVIATION",2,$F$1))))</f>
        <v/>
      </c>
      <c r="AG520" s="1" t="str">
        <f>IF(OR($B520="",AG$7=""),"",IF($B520="MEANS",INDEX('1-DATA'!$1:$1048576,$A519-1,COLUMN('1-DATA'!AF518)),ROUND(INDEX('1-DATA'!$1:$1048576,IF(OR($B520="STD. DEVIATION",$C$1=1),$A520,$A520+1),COLUMN('1-DATA'!AF518)),IF($B520="STD. DEVIATION",2,$F$1))))</f>
        <v/>
      </c>
      <c r="AH520" s="1" t="str">
        <f>IF(OR($B520="",AH$7=""),"",IF($B520="MEANS",INDEX('1-DATA'!$1:$1048576,$A519-1,COLUMN('1-DATA'!AG518)),ROUND(INDEX('1-DATA'!$1:$1048576,IF(OR($B520="STD. DEVIATION",$C$1=1),$A520,$A520+1),COLUMN('1-DATA'!AG518)),IF($B520="STD. DEVIATION",2,$F$1))))</f>
        <v/>
      </c>
      <c r="AI520" s="1" t="str">
        <f>IF(OR($B520="",AI$7=""),"",IF($B520="MEANS",INDEX('1-DATA'!$1:$1048576,$A519-1,COLUMN('1-DATA'!AH518)),ROUND(INDEX('1-DATA'!$1:$1048576,IF(OR($B520="STD. DEVIATION",$C$1=1),$A520,$A520+1),COLUMN('1-DATA'!AH518)),IF($B520="STD. DEVIATION",2,$F$1))))</f>
        <v/>
      </c>
      <c r="AJ520" s="1" t="str">
        <f>IF(OR($B520="",AJ$7=""),"",IF($B520="MEANS",INDEX('1-DATA'!$1:$1048576,$A519-1,COLUMN('1-DATA'!AI518)),ROUND(INDEX('1-DATA'!$1:$1048576,IF(OR($B520="STD. DEVIATION",$C$1=1),$A520,$A520+1),COLUMN('1-DATA'!AI518)),IF($B520="STD. DEVIATION",2,$F$1))))</f>
        <v/>
      </c>
      <c r="AK520" s="1" t="str">
        <f>IF(OR($B520="",AK$7=""),"",IF($B520="MEANS",INDEX('1-DATA'!$1:$1048576,$A519-1,COLUMN('1-DATA'!AJ518)),ROUND(INDEX('1-DATA'!$1:$1048576,IF(OR($B520="STD. DEVIATION",$C$1=1),$A520,$A520+1),COLUMN('1-DATA'!AJ518)),IF($B520="STD. DEVIATION",2,$F$1))))</f>
        <v/>
      </c>
      <c r="AL520" s="1" t="str">
        <f>IF(OR($B520="",AL$7=""),"",IF($B520="MEANS",INDEX('1-DATA'!$1:$1048576,$A519-1,COLUMN('1-DATA'!AK518)),ROUND(INDEX('1-DATA'!$1:$1048576,IF(OR($B520="STD. DEVIATION",$C$1=1),$A520,$A520+1),COLUMN('1-DATA'!AK518)),IF($B520="STD. DEVIATION",2,$F$1))))</f>
        <v/>
      </c>
      <c r="AM520" s="1" t="str">
        <f>IF(OR($B520="",AM$7=""),"",IF($B520="MEANS",INDEX('1-DATA'!$1:$1048576,$A519-1,COLUMN('1-DATA'!AL518)),ROUND(INDEX('1-DATA'!$1:$1048576,IF(OR($B520="STD. DEVIATION",$C$1=1),$A520,$A520+1),COLUMN('1-DATA'!AL518)),IF($B520="STD. DEVIATION",2,$F$1))))</f>
        <v/>
      </c>
      <c r="AN520" s="1" t="str">
        <f>IF(OR($B520="",AN$7=""),"",IF($B520="MEANS",INDEX('1-DATA'!$1:$1048576,$A519-1,COLUMN('1-DATA'!AM518)),ROUND(INDEX('1-DATA'!$1:$1048576,IF(OR($B520="STD. DEVIATION",$C$1=1),$A520,$A520+1),COLUMN('1-DATA'!AM518)),IF($B520="STD. DEVIATION",2,$F$1))))</f>
        <v/>
      </c>
      <c r="AO520" s="1" t="str">
        <f>IF(OR($B520="",AO$7=""),"",IF($B520="MEANS",INDEX('1-DATA'!$1:$1048576,$A519-1,COLUMN('1-DATA'!AN518)),ROUND(INDEX('1-DATA'!$1:$1048576,IF(OR($B520="STD. DEVIATION",$C$1=1),$A520,$A520+1),COLUMN('1-DATA'!AN518)),IF($B520="STD. DEVIATION",2,$F$1))))</f>
        <v/>
      </c>
      <c r="AP520" s="1" t="str">
        <f>IF(OR($B520="",AP$7=""),"",IF($B520="MEANS",INDEX('1-DATA'!$1:$1048576,$A519-1,COLUMN('1-DATA'!AO518)),ROUND(INDEX('1-DATA'!$1:$1048576,IF(OR($B520="STD. DEVIATION",$C$1=1),$A520,$A520+1),COLUMN('1-DATA'!AO518)),IF($B520="STD. DEVIATION",2,$F$1))))</f>
        <v/>
      </c>
      <c r="AQ520" s="1" t="str">
        <f>IF(OR($B520="",AQ$7=""),"",IF($B520="MEANS",INDEX('1-DATA'!$1:$1048576,$A519-1,COLUMN('1-DATA'!AP518)),ROUND(INDEX('1-DATA'!$1:$1048576,IF(OR($B520="STD. DEVIATION",$C$1=1),$A520,$A520+1),COLUMN('1-DATA'!AP518)),IF($B520="STD. DEVIATION",2,$F$1))))</f>
        <v/>
      </c>
      <c r="AR520" s="1" t="str">
        <f>IF(OR($B520="",AR$7=""),"",IF($B520="MEANS",INDEX('1-DATA'!$1:$1048576,$A519-1,COLUMN('1-DATA'!AQ518)),ROUND(INDEX('1-DATA'!$1:$1048576,IF(OR($B520="STD. DEVIATION",$C$1=1),$A520,$A520+1),COLUMN('1-DATA'!AQ518)),IF($B520="STD. DEVIATION",2,$F$1))))</f>
        <v/>
      </c>
      <c r="AS520" s="1" t="str">
        <f>IF(OR($B520="",AS$7=""),"",IF($B520="MEANS",INDEX('1-DATA'!$1:$1048576,$A519-1,COLUMN('1-DATA'!AR518)),ROUND(INDEX('1-DATA'!$1:$1048576,IF(OR($B520="STD. DEVIATION",$C$1=1),$A520,$A520+1),COLUMN('1-DATA'!AR518)),IF($B520="STD. DEVIATION",2,$F$1))))</f>
        <v/>
      </c>
      <c r="AT520" s="1" t="str">
        <f>IF(OR($B520="",AT$7=""),"",IF($B520="MEANS",INDEX('1-DATA'!$1:$1048576,$A519-1,COLUMN('1-DATA'!AS518)),ROUND(INDEX('1-DATA'!$1:$1048576,IF(OR($B520="STD. DEVIATION",$C$1=1),$A520,$A520+1),COLUMN('1-DATA'!AS518)),IF($B520="STD. DEVIATION",2,$F$1))))</f>
        <v/>
      </c>
      <c r="AU520" s="1" t="str">
        <f>IF(OR($B520="",AU$7=""),"",IF($B520="MEANS",INDEX('1-DATA'!$1:$1048576,$A519-1,COLUMN('1-DATA'!AT518)),ROUND(INDEX('1-DATA'!$1:$1048576,IF(OR($B520="STD. DEVIATION",$C$1=1),$A520,$A520+1),COLUMN('1-DATA'!AT518)),IF($B520="STD. DEVIATION",2,$F$1))))</f>
        <v/>
      </c>
      <c r="AV520" s="1" t="str">
        <f>IF(OR($B520="",AV$7=""),"",IF($B520="MEANS",INDEX('1-DATA'!$1:$1048576,$A519-1,COLUMN('1-DATA'!AU518)),ROUND(INDEX('1-DATA'!$1:$1048576,IF(OR($B520="STD. DEVIATION",$C$1=1),$A520,$A520+1),COLUMN('1-DATA'!AU518)),IF($B520="STD. DEVIATION",2,$F$1))))</f>
        <v/>
      </c>
      <c r="AW520" s="1" t="str">
        <f>IF(OR($B520="",AW$7=""),"",IF($B520="MEANS",INDEX('1-DATA'!$1:$1048576,$A519-1,COLUMN('1-DATA'!AV518)),ROUND(INDEX('1-DATA'!$1:$1048576,IF(OR($B520="STD. DEVIATION",$C$1=1),$A520,$A520+1),COLUMN('1-DATA'!AV518)),IF($B520="STD. DEVIATION",2,$F$1))))</f>
        <v/>
      </c>
      <c r="AX520" s="1" t="str">
        <f>IF(OR($B520="",AX$7=""),"",IF($B520="MEANS",INDEX('1-DATA'!$1:$1048576,$A519-1,COLUMN('1-DATA'!AW518)),ROUND(INDEX('1-DATA'!$1:$1048576,IF(OR($B520="STD. DEVIATION",$C$1=1),$A520,$A520+1),COLUMN('1-DATA'!AW518)),IF($B520="STD. DEVIATION",2,$F$1))))</f>
        <v/>
      </c>
      <c r="AY520" s="1" t="str">
        <f>IF(OR($B520="",AY$7=""),"",IF($B520="MEANS",INDEX('1-DATA'!$1:$1048576,$A519-1,COLUMN('1-DATA'!AX518)),ROUND(INDEX('1-DATA'!$1:$1048576,IF(OR($B520="STD. DEVIATION",$C$1=1),$A520,$A520+1),COLUMN('1-DATA'!AX518)),IF($B520="STD. DEVIATION",2,$F$1))))</f>
        <v/>
      </c>
      <c r="AZ520" s="1" t="str">
        <f>IF(OR($B520="",AZ$7=""),"",IF($B520="MEANS",INDEX('1-DATA'!$1:$1048576,$A519-1,COLUMN('1-DATA'!AY518)),ROUND(INDEX('1-DATA'!$1:$1048576,IF(OR($B520="STD. DEVIATION",$C$1=1),$A520,$A520+1),COLUMN('1-DATA'!AY518)),IF($B520="STD. DEVIATION",2,$F$1))))</f>
        <v/>
      </c>
    </row>
    <row r="521" spans="1:52" x14ac:dyDescent="0.25">
      <c r="A521" s="11">
        <f t="shared" si="8"/>
        <v>1549</v>
      </c>
      <c r="B521" s="1" t="str">
        <f>IF(B520="STD. DEVIATION",INDEX('1-DATA'!$1:$1048576,$A520-1,1),IF(INDEX('1-DATA'!$1:$1048576,$A521,1)&lt;&gt;"",INDEX('1-DATA'!$1:$1048576,$A521,1),""))</f>
        <v/>
      </c>
      <c r="C521" s="1" t="str">
        <f>IF(OR($B521="",C$7=""),"",IF($B521="MEANS",INDEX('1-DATA'!$1:$1048576,$A520-1,COLUMN('1-DATA'!B519)),ROUND(INDEX('1-DATA'!$1:$1048576,IF(OR($B521="STD. DEVIATION",$C$1=1),$A521,$A521+1),COLUMN('1-DATA'!B519)),IF($B521="STD. DEVIATION",2,$F$1))))</f>
        <v/>
      </c>
      <c r="D521" s="1" t="str">
        <f>IF(OR($B521="",D$7=""),"",IF($B521="MEANS",INDEX('1-DATA'!$1:$1048576,$A520-1,COLUMN('1-DATA'!C519)),ROUND(INDEX('1-DATA'!$1:$1048576,IF(OR($B521="STD. DEVIATION",$C$1=1),$A521,$A521+1),COLUMN('1-DATA'!C519)),IF($B521="STD. DEVIATION",2,$F$1))))</f>
        <v/>
      </c>
      <c r="E521" s="1" t="str">
        <f>IF(OR($B521="",E$7=""),"",IF($B521="MEANS",INDEX('1-DATA'!$1:$1048576,$A520-1,COLUMN('1-DATA'!D519)),ROUND(INDEX('1-DATA'!$1:$1048576,IF(OR($B521="STD. DEVIATION",$C$1=1),$A521,$A521+1),COLUMN('1-DATA'!D519)),IF($B521="STD. DEVIATION",2,$F$1))))</f>
        <v/>
      </c>
      <c r="F521" s="1" t="str">
        <f>IF(OR($B521="",F$7=""),"",IF($B521="MEANS",INDEX('1-DATA'!$1:$1048576,$A520-1,COLUMN('1-DATA'!E519)),ROUND(INDEX('1-DATA'!$1:$1048576,IF(OR($B521="STD. DEVIATION",$C$1=1),$A521,$A521+1),COLUMN('1-DATA'!E519)),IF($B521="STD. DEVIATION",2,$F$1))))</f>
        <v/>
      </c>
      <c r="G521" s="1" t="str">
        <f>IF(OR($B521="",G$7=""),"",IF($B521="MEANS",INDEX('1-DATA'!$1:$1048576,$A520-1,COLUMN('1-DATA'!F519)),ROUND(INDEX('1-DATA'!$1:$1048576,IF(OR($B521="STD. DEVIATION",$C$1=1),$A521,$A521+1),COLUMN('1-DATA'!F519)),IF($B521="STD. DEVIATION",2,$F$1))))</f>
        <v/>
      </c>
      <c r="H521" s="1" t="str">
        <f>IF(OR($B521="",H$7=""),"",IF($B521="MEANS",INDEX('1-DATA'!$1:$1048576,$A520-1,COLUMN('1-DATA'!G519)),ROUND(INDEX('1-DATA'!$1:$1048576,IF(OR($B521="STD. DEVIATION",$C$1=1),$A521,$A521+1),COLUMN('1-DATA'!G519)),IF($B521="STD. DEVIATION",2,$F$1))))</f>
        <v/>
      </c>
      <c r="I521" s="1" t="str">
        <f>IF(OR($B521="",I$7=""),"",IF($B521="MEANS",INDEX('1-DATA'!$1:$1048576,$A520-1,COLUMN('1-DATA'!H519)),ROUND(INDEX('1-DATA'!$1:$1048576,IF(OR($B521="STD. DEVIATION",$C$1=1),$A521,$A521+1),COLUMN('1-DATA'!H519)),IF($B521="STD. DEVIATION",2,$F$1))))</f>
        <v/>
      </c>
      <c r="J521" s="1" t="str">
        <f>IF(OR($B521="",J$7=""),"",IF($B521="MEANS",INDEX('1-DATA'!$1:$1048576,$A520-1,COLUMN('1-DATA'!I519)),ROUND(INDEX('1-DATA'!$1:$1048576,IF(OR($B521="STD. DEVIATION",$C$1=1),$A521,$A521+1),COLUMN('1-DATA'!I519)),IF($B521="STD. DEVIATION",2,$F$1))))</f>
        <v/>
      </c>
      <c r="K521" s="1" t="str">
        <f>IF(OR($B521="",K$7=""),"",IF($B521="MEANS",INDEX('1-DATA'!$1:$1048576,$A520-1,COLUMN('1-DATA'!J519)),ROUND(INDEX('1-DATA'!$1:$1048576,IF(OR($B521="STD. DEVIATION",$C$1=1),$A521,$A521+1),COLUMN('1-DATA'!J519)),IF($B521="STD. DEVIATION",2,$F$1))))</f>
        <v/>
      </c>
      <c r="L521" s="1" t="str">
        <f>IF(OR($B521="",L$7=""),"",IF($B521="MEANS",INDEX('1-DATA'!$1:$1048576,$A520-1,COLUMN('1-DATA'!K519)),ROUND(INDEX('1-DATA'!$1:$1048576,IF(OR($B521="STD. DEVIATION",$C$1=1),$A521,$A521+1),COLUMN('1-DATA'!K519)),IF($B521="STD. DEVIATION",2,$F$1))))</f>
        <v/>
      </c>
      <c r="M521" s="1" t="str">
        <f>IF(OR($B521="",M$7=""),"",IF($B521="MEANS",INDEX('1-DATA'!$1:$1048576,$A520-1,COLUMN('1-DATA'!L519)),ROUND(INDEX('1-DATA'!$1:$1048576,IF(OR($B521="STD. DEVIATION",$C$1=1),$A521,$A521+1),COLUMN('1-DATA'!L519)),IF($B521="STD. DEVIATION",2,$F$1))))</f>
        <v/>
      </c>
      <c r="N521" s="1" t="str">
        <f>IF(OR($B521="",N$7=""),"",IF($B521="MEANS",INDEX('1-DATA'!$1:$1048576,$A520-1,COLUMN('1-DATA'!M519)),ROUND(INDEX('1-DATA'!$1:$1048576,IF(OR($B521="STD. DEVIATION",$C$1=1),$A521,$A521+1),COLUMN('1-DATA'!M519)),IF($B521="STD. DEVIATION",2,$F$1))))</f>
        <v/>
      </c>
      <c r="O521" s="1" t="str">
        <f>IF(OR($B521="",O$7=""),"",IF($B521="MEANS",INDEX('1-DATA'!$1:$1048576,$A520-1,COLUMN('1-DATA'!N519)),ROUND(INDEX('1-DATA'!$1:$1048576,IF(OR($B521="STD. DEVIATION",$C$1=1),$A521,$A521+1),COLUMN('1-DATA'!N519)),IF($B521="STD. DEVIATION",2,$F$1))))</f>
        <v/>
      </c>
      <c r="P521" s="1" t="str">
        <f>IF(OR($B521="",P$7=""),"",IF($B521="MEANS",INDEX('1-DATA'!$1:$1048576,$A520-1,COLUMN('1-DATA'!O519)),ROUND(INDEX('1-DATA'!$1:$1048576,IF(OR($B521="STD. DEVIATION",$C$1=1),$A521,$A521+1),COLUMN('1-DATA'!O519)),IF($B521="STD. DEVIATION",2,$F$1))))</f>
        <v/>
      </c>
      <c r="Q521" s="1" t="str">
        <f>IF(OR($B521="",Q$7=""),"",IF($B521="MEANS",INDEX('1-DATA'!$1:$1048576,$A520-1,COLUMN('1-DATA'!P519)),ROUND(INDEX('1-DATA'!$1:$1048576,IF(OR($B521="STD. DEVIATION",$C$1=1),$A521,$A521+1),COLUMN('1-DATA'!P519)),IF($B521="STD. DEVIATION",2,$F$1))))</f>
        <v/>
      </c>
      <c r="R521" s="1" t="str">
        <f>IF(OR($B521="",R$7=""),"",IF($B521="MEANS",INDEX('1-DATA'!$1:$1048576,$A520-1,COLUMN('1-DATA'!Q519)),ROUND(INDEX('1-DATA'!$1:$1048576,IF(OR($B521="STD. DEVIATION",$C$1=1),$A521,$A521+1),COLUMN('1-DATA'!Q519)),IF($B521="STD. DEVIATION",2,$F$1))))</f>
        <v/>
      </c>
      <c r="S521" s="1" t="str">
        <f>IF(OR($B521="",S$7=""),"",IF($B521="MEANS",INDEX('1-DATA'!$1:$1048576,$A520-1,COLUMN('1-DATA'!R519)),ROUND(INDEX('1-DATA'!$1:$1048576,IF(OR($B521="STD. DEVIATION",$C$1=1),$A521,$A521+1),COLUMN('1-DATA'!R519)),IF($B521="STD. DEVIATION",2,$F$1))))</f>
        <v/>
      </c>
      <c r="T521" s="1" t="str">
        <f>IF(OR($B521="",T$7=""),"",IF($B521="MEANS",INDEX('1-DATA'!$1:$1048576,$A520-1,COLUMN('1-DATA'!S519)),ROUND(INDEX('1-DATA'!$1:$1048576,IF(OR($B521="STD. DEVIATION",$C$1=1),$A521,$A521+1),COLUMN('1-DATA'!S519)),IF($B521="STD. DEVIATION",2,$F$1))))</f>
        <v/>
      </c>
      <c r="U521" s="1" t="str">
        <f>IF(OR($B521="",U$7=""),"",IF($B521="MEANS",INDEX('1-DATA'!$1:$1048576,$A520-1,COLUMN('1-DATA'!T519)),ROUND(INDEX('1-DATA'!$1:$1048576,IF(OR($B521="STD. DEVIATION",$C$1=1),$A521,$A521+1),COLUMN('1-DATA'!T519)),IF($B521="STD. DEVIATION",2,$F$1))))</f>
        <v/>
      </c>
      <c r="V521" s="1" t="str">
        <f>IF(OR($B521="",V$7=""),"",IF($B521="MEANS",INDEX('1-DATA'!$1:$1048576,$A520-1,COLUMN('1-DATA'!U519)),ROUND(INDEX('1-DATA'!$1:$1048576,IF(OR($B521="STD. DEVIATION",$C$1=1),$A521,$A521+1),COLUMN('1-DATA'!U519)),IF($B521="STD. DEVIATION",2,$F$1))))</f>
        <v/>
      </c>
      <c r="W521" s="1" t="str">
        <f>IF(OR($B521="",W$7=""),"",IF($B521="MEANS",INDEX('1-DATA'!$1:$1048576,$A520-1,COLUMN('1-DATA'!V519)),ROUND(INDEX('1-DATA'!$1:$1048576,IF(OR($B521="STD. DEVIATION",$C$1=1),$A521,$A521+1),COLUMN('1-DATA'!V519)),IF($B521="STD. DEVIATION",2,$F$1))))</f>
        <v/>
      </c>
      <c r="X521" s="1" t="str">
        <f>IF(OR($B521="",X$7=""),"",IF($B521="MEANS",INDEX('1-DATA'!$1:$1048576,$A520-1,COLUMN('1-DATA'!W519)),ROUND(INDEX('1-DATA'!$1:$1048576,IF(OR($B521="STD. DEVIATION",$C$1=1),$A521,$A521+1),COLUMN('1-DATA'!W519)),IF($B521="STD. DEVIATION",2,$F$1))))</f>
        <v/>
      </c>
      <c r="Y521" s="1" t="str">
        <f>IF(OR($B521="",Y$7=""),"",IF($B521="MEANS",INDEX('1-DATA'!$1:$1048576,$A520-1,COLUMN('1-DATA'!X519)),ROUND(INDEX('1-DATA'!$1:$1048576,IF(OR($B521="STD. DEVIATION",$C$1=1),$A521,$A521+1),COLUMN('1-DATA'!X519)),IF($B521="STD. DEVIATION",2,$F$1))))</f>
        <v/>
      </c>
      <c r="Z521" s="1" t="str">
        <f>IF(OR($B521="",Z$7=""),"",IF($B521="MEANS",INDEX('1-DATA'!$1:$1048576,$A520-1,COLUMN('1-DATA'!Y519)),ROUND(INDEX('1-DATA'!$1:$1048576,IF(OR($B521="STD. DEVIATION",$C$1=1),$A521,$A521+1),COLUMN('1-DATA'!Y519)),IF($B521="STD. DEVIATION",2,$F$1))))</f>
        <v/>
      </c>
      <c r="AA521" s="1" t="str">
        <f>IF(OR($B521="",AA$7=""),"",IF($B521="MEANS",INDEX('1-DATA'!$1:$1048576,$A520-1,COLUMN('1-DATA'!Z519)),ROUND(INDEX('1-DATA'!$1:$1048576,IF(OR($B521="STD. DEVIATION",$C$1=1),$A521,$A521+1),COLUMN('1-DATA'!Z519)),IF($B521="STD. DEVIATION",2,$F$1))))</f>
        <v/>
      </c>
      <c r="AB521" s="1" t="str">
        <f>IF(OR($B521="",AB$7=""),"",IF($B521="MEANS",INDEX('1-DATA'!$1:$1048576,$A520-1,COLUMN('1-DATA'!AA519)),ROUND(INDEX('1-DATA'!$1:$1048576,IF(OR($B521="STD. DEVIATION",$C$1=1),$A521,$A521+1),COLUMN('1-DATA'!AA519)),IF($B521="STD. DEVIATION",2,$F$1))))</f>
        <v/>
      </c>
      <c r="AC521" s="1" t="str">
        <f>IF(OR($B521="",AC$7=""),"",IF($B521="MEANS",INDEX('1-DATA'!$1:$1048576,$A520-1,COLUMN('1-DATA'!AB519)),ROUND(INDEX('1-DATA'!$1:$1048576,IF(OR($B521="STD. DEVIATION",$C$1=1),$A521,$A521+1),COLUMN('1-DATA'!AB519)),IF($B521="STD. DEVIATION",2,$F$1))))</f>
        <v/>
      </c>
      <c r="AD521" s="1" t="str">
        <f>IF(OR($B521="",AD$7=""),"",IF($B521="MEANS",INDEX('1-DATA'!$1:$1048576,$A520-1,COLUMN('1-DATA'!AC519)),ROUND(INDEX('1-DATA'!$1:$1048576,IF(OR($B521="STD. DEVIATION",$C$1=1),$A521,$A521+1),COLUMN('1-DATA'!AC519)),IF($B521="STD. DEVIATION",2,$F$1))))</f>
        <v/>
      </c>
      <c r="AE521" s="1" t="str">
        <f>IF(OR($B521="",AE$7=""),"",IF($B521="MEANS",INDEX('1-DATA'!$1:$1048576,$A520-1,COLUMN('1-DATA'!AD519)),ROUND(INDEX('1-DATA'!$1:$1048576,IF(OR($B521="STD. DEVIATION",$C$1=1),$A521,$A521+1),COLUMN('1-DATA'!AD519)),IF($B521="STD. DEVIATION",2,$F$1))))</f>
        <v/>
      </c>
      <c r="AF521" s="1" t="str">
        <f>IF(OR($B521="",AF$7=""),"",IF($B521="MEANS",INDEX('1-DATA'!$1:$1048576,$A520-1,COLUMN('1-DATA'!AE519)),ROUND(INDEX('1-DATA'!$1:$1048576,IF(OR($B521="STD. DEVIATION",$C$1=1),$A521,$A521+1),COLUMN('1-DATA'!AE519)),IF($B521="STD. DEVIATION",2,$F$1))))</f>
        <v/>
      </c>
      <c r="AG521" s="1" t="str">
        <f>IF(OR($B521="",AG$7=""),"",IF($B521="MEANS",INDEX('1-DATA'!$1:$1048576,$A520-1,COLUMN('1-DATA'!AF519)),ROUND(INDEX('1-DATA'!$1:$1048576,IF(OR($B521="STD. DEVIATION",$C$1=1),$A521,$A521+1),COLUMN('1-DATA'!AF519)),IF($B521="STD. DEVIATION",2,$F$1))))</f>
        <v/>
      </c>
      <c r="AH521" s="1" t="str">
        <f>IF(OR($B521="",AH$7=""),"",IF($B521="MEANS",INDEX('1-DATA'!$1:$1048576,$A520-1,COLUMN('1-DATA'!AG519)),ROUND(INDEX('1-DATA'!$1:$1048576,IF(OR($B521="STD. DEVIATION",$C$1=1),$A521,$A521+1),COLUMN('1-DATA'!AG519)),IF($B521="STD. DEVIATION",2,$F$1))))</f>
        <v/>
      </c>
      <c r="AI521" s="1" t="str">
        <f>IF(OR($B521="",AI$7=""),"",IF($B521="MEANS",INDEX('1-DATA'!$1:$1048576,$A520-1,COLUMN('1-DATA'!AH519)),ROUND(INDEX('1-DATA'!$1:$1048576,IF(OR($B521="STD. DEVIATION",$C$1=1),$A521,$A521+1),COLUMN('1-DATA'!AH519)),IF($B521="STD. DEVIATION",2,$F$1))))</f>
        <v/>
      </c>
      <c r="AJ521" s="1" t="str">
        <f>IF(OR($B521="",AJ$7=""),"",IF($B521="MEANS",INDEX('1-DATA'!$1:$1048576,$A520-1,COLUMN('1-DATA'!AI519)),ROUND(INDEX('1-DATA'!$1:$1048576,IF(OR($B521="STD. DEVIATION",$C$1=1),$A521,$A521+1),COLUMN('1-DATA'!AI519)),IF($B521="STD. DEVIATION",2,$F$1))))</f>
        <v/>
      </c>
      <c r="AK521" s="1" t="str">
        <f>IF(OR($B521="",AK$7=""),"",IF($B521="MEANS",INDEX('1-DATA'!$1:$1048576,$A520-1,COLUMN('1-DATA'!AJ519)),ROUND(INDEX('1-DATA'!$1:$1048576,IF(OR($B521="STD. DEVIATION",$C$1=1),$A521,$A521+1),COLUMN('1-DATA'!AJ519)),IF($B521="STD. DEVIATION",2,$F$1))))</f>
        <v/>
      </c>
      <c r="AL521" s="1" t="str">
        <f>IF(OR($B521="",AL$7=""),"",IF($B521="MEANS",INDEX('1-DATA'!$1:$1048576,$A520-1,COLUMN('1-DATA'!AK519)),ROUND(INDEX('1-DATA'!$1:$1048576,IF(OR($B521="STD. DEVIATION",$C$1=1),$A521,$A521+1),COLUMN('1-DATA'!AK519)),IF($B521="STD. DEVIATION",2,$F$1))))</f>
        <v/>
      </c>
      <c r="AM521" s="1" t="str">
        <f>IF(OR($B521="",AM$7=""),"",IF($B521="MEANS",INDEX('1-DATA'!$1:$1048576,$A520-1,COLUMN('1-DATA'!AL519)),ROUND(INDEX('1-DATA'!$1:$1048576,IF(OR($B521="STD. DEVIATION",$C$1=1),$A521,$A521+1),COLUMN('1-DATA'!AL519)),IF($B521="STD. DEVIATION",2,$F$1))))</f>
        <v/>
      </c>
      <c r="AN521" s="1" t="str">
        <f>IF(OR($B521="",AN$7=""),"",IF($B521="MEANS",INDEX('1-DATA'!$1:$1048576,$A520-1,COLUMN('1-DATA'!AM519)),ROUND(INDEX('1-DATA'!$1:$1048576,IF(OR($B521="STD. DEVIATION",$C$1=1),$A521,$A521+1),COLUMN('1-DATA'!AM519)),IF($B521="STD. DEVIATION",2,$F$1))))</f>
        <v/>
      </c>
      <c r="AO521" s="1" t="str">
        <f>IF(OR($B521="",AO$7=""),"",IF($B521="MEANS",INDEX('1-DATA'!$1:$1048576,$A520-1,COLUMN('1-DATA'!AN519)),ROUND(INDEX('1-DATA'!$1:$1048576,IF(OR($B521="STD. DEVIATION",$C$1=1),$A521,$A521+1),COLUMN('1-DATA'!AN519)),IF($B521="STD. DEVIATION",2,$F$1))))</f>
        <v/>
      </c>
      <c r="AP521" s="1" t="str">
        <f>IF(OR($B521="",AP$7=""),"",IF($B521="MEANS",INDEX('1-DATA'!$1:$1048576,$A520-1,COLUMN('1-DATA'!AO519)),ROUND(INDEX('1-DATA'!$1:$1048576,IF(OR($B521="STD. DEVIATION",$C$1=1),$A521,$A521+1),COLUMN('1-DATA'!AO519)),IF($B521="STD. DEVIATION",2,$F$1))))</f>
        <v/>
      </c>
      <c r="AQ521" s="1" t="str">
        <f>IF(OR($B521="",AQ$7=""),"",IF($B521="MEANS",INDEX('1-DATA'!$1:$1048576,$A520-1,COLUMN('1-DATA'!AP519)),ROUND(INDEX('1-DATA'!$1:$1048576,IF(OR($B521="STD. DEVIATION",$C$1=1),$A521,$A521+1),COLUMN('1-DATA'!AP519)),IF($B521="STD. DEVIATION",2,$F$1))))</f>
        <v/>
      </c>
      <c r="AR521" s="1" t="str">
        <f>IF(OR($B521="",AR$7=""),"",IF($B521="MEANS",INDEX('1-DATA'!$1:$1048576,$A520-1,COLUMN('1-DATA'!AQ519)),ROUND(INDEX('1-DATA'!$1:$1048576,IF(OR($B521="STD. DEVIATION",$C$1=1),$A521,$A521+1),COLUMN('1-DATA'!AQ519)),IF($B521="STD. DEVIATION",2,$F$1))))</f>
        <v/>
      </c>
      <c r="AS521" s="1" t="str">
        <f>IF(OR($B521="",AS$7=""),"",IF($B521="MEANS",INDEX('1-DATA'!$1:$1048576,$A520-1,COLUMN('1-DATA'!AR519)),ROUND(INDEX('1-DATA'!$1:$1048576,IF(OR($B521="STD. DEVIATION",$C$1=1),$A521,$A521+1),COLUMN('1-DATA'!AR519)),IF($B521="STD. DEVIATION",2,$F$1))))</f>
        <v/>
      </c>
      <c r="AT521" s="1" t="str">
        <f>IF(OR($B521="",AT$7=""),"",IF($B521="MEANS",INDEX('1-DATA'!$1:$1048576,$A520-1,COLUMN('1-DATA'!AS519)),ROUND(INDEX('1-DATA'!$1:$1048576,IF(OR($B521="STD. DEVIATION",$C$1=1),$A521,$A521+1),COLUMN('1-DATA'!AS519)),IF($B521="STD. DEVIATION",2,$F$1))))</f>
        <v/>
      </c>
      <c r="AU521" s="1" t="str">
        <f>IF(OR($B521="",AU$7=""),"",IF($B521="MEANS",INDEX('1-DATA'!$1:$1048576,$A520-1,COLUMN('1-DATA'!AT519)),ROUND(INDEX('1-DATA'!$1:$1048576,IF(OR($B521="STD. DEVIATION",$C$1=1),$A521,$A521+1),COLUMN('1-DATA'!AT519)),IF($B521="STD. DEVIATION",2,$F$1))))</f>
        <v/>
      </c>
      <c r="AV521" s="1" t="str">
        <f>IF(OR($B521="",AV$7=""),"",IF($B521="MEANS",INDEX('1-DATA'!$1:$1048576,$A520-1,COLUMN('1-DATA'!AU519)),ROUND(INDEX('1-DATA'!$1:$1048576,IF(OR($B521="STD. DEVIATION",$C$1=1),$A521,$A521+1),COLUMN('1-DATA'!AU519)),IF($B521="STD. DEVIATION",2,$F$1))))</f>
        <v/>
      </c>
      <c r="AW521" s="1" t="str">
        <f>IF(OR($B521="",AW$7=""),"",IF($B521="MEANS",INDEX('1-DATA'!$1:$1048576,$A520-1,COLUMN('1-DATA'!AV519)),ROUND(INDEX('1-DATA'!$1:$1048576,IF(OR($B521="STD. DEVIATION",$C$1=1),$A521,$A521+1),COLUMN('1-DATA'!AV519)),IF($B521="STD. DEVIATION",2,$F$1))))</f>
        <v/>
      </c>
      <c r="AX521" s="1" t="str">
        <f>IF(OR($B521="",AX$7=""),"",IF($B521="MEANS",INDEX('1-DATA'!$1:$1048576,$A520-1,COLUMN('1-DATA'!AW519)),ROUND(INDEX('1-DATA'!$1:$1048576,IF(OR($B521="STD. DEVIATION",$C$1=1),$A521,$A521+1),COLUMN('1-DATA'!AW519)),IF($B521="STD. DEVIATION",2,$F$1))))</f>
        <v/>
      </c>
      <c r="AY521" s="1" t="str">
        <f>IF(OR($B521="",AY$7=""),"",IF($B521="MEANS",INDEX('1-DATA'!$1:$1048576,$A520-1,COLUMN('1-DATA'!AX519)),ROUND(INDEX('1-DATA'!$1:$1048576,IF(OR($B521="STD. DEVIATION",$C$1=1),$A521,$A521+1),COLUMN('1-DATA'!AX519)),IF($B521="STD. DEVIATION",2,$F$1))))</f>
        <v/>
      </c>
      <c r="AZ521" s="1" t="str">
        <f>IF(OR($B521="",AZ$7=""),"",IF($B521="MEANS",INDEX('1-DATA'!$1:$1048576,$A520-1,COLUMN('1-DATA'!AY519)),ROUND(INDEX('1-DATA'!$1:$1048576,IF(OR($B521="STD. DEVIATION",$C$1=1),$A521,$A521+1),COLUMN('1-DATA'!AY519)),IF($B521="STD. DEVIATION",2,$F$1))))</f>
        <v/>
      </c>
    </row>
    <row r="522" spans="1:52" x14ac:dyDescent="0.25">
      <c r="A522" s="11">
        <f t="shared" si="8"/>
        <v>1552</v>
      </c>
      <c r="B522" s="1" t="str">
        <f>IF(B521="STD. DEVIATION",INDEX('1-DATA'!$1:$1048576,$A521-1,1),IF(INDEX('1-DATA'!$1:$1048576,$A522,1)&lt;&gt;"",INDEX('1-DATA'!$1:$1048576,$A522,1),""))</f>
        <v/>
      </c>
      <c r="C522" s="1" t="str">
        <f>IF(OR($B522="",C$7=""),"",IF($B522="MEANS",INDEX('1-DATA'!$1:$1048576,$A521-1,COLUMN('1-DATA'!B520)),ROUND(INDEX('1-DATA'!$1:$1048576,IF(OR($B522="STD. DEVIATION",$C$1=1),$A522,$A522+1),COLUMN('1-DATA'!B520)),IF($B522="STD. DEVIATION",2,$F$1))))</f>
        <v/>
      </c>
      <c r="D522" s="1" t="str">
        <f>IF(OR($B522="",D$7=""),"",IF($B522="MEANS",INDEX('1-DATA'!$1:$1048576,$A521-1,COLUMN('1-DATA'!C520)),ROUND(INDEX('1-DATA'!$1:$1048576,IF(OR($B522="STD. DEVIATION",$C$1=1),$A522,$A522+1),COLUMN('1-DATA'!C520)),IF($B522="STD. DEVIATION",2,$F$1))))</f>
        <v/>
      </c>
      <c r="E522" s="1" t="str">
        <f>IF(OR($B522="",E$7=""),"",IF($B522="MEANS",INDEX('1-DATA'!$1:$1048576,$A521-1,COLUMN('1-DATA'!D520)),ROUND(INDEX('1-DATA'!$1:$1048576,IF(OR($B522="STD. DEVIATION",$C$1=1),$A522,$A522+1),COLUMN('1-DATA'!D520)),IF($B522="STD. DEVIATION",2,$F$1))))</f>
        <v/>
      </c>
      <c r="F522" s="1" t="str">
        <f>IF(OR($B522="",F$7=""),"",IF($B522="MEANS",INDEX('1-DATA'!$1:$1048576,$A521-1,COLUMN('1-DATA'!E520)),ROUND(INDEX('1-DATA'!$1:$1048576,IF(OR($B522="STD. DEVIATION",$C$1=1),$A522,$A522+1),COLUMN('1-DATA'!E520)),IF($B522="STD. DEVIATION",2,$F$1))))</f>
        <v/>
      </c>
      <c r="G522" s="1" t="str">
        <f>IF(OR($B522="",G$7=""),"",IF($B522="MEANS",INDEX('1-DATA'!$1:$1048576,$A521-1,COLUMN('1-DATA'!F520)),ROUND(INDEX('1-DATA'!$1:$1048576,IF(OR($B522="STD. DEVIATION",$C$1=1),$A522,$A522+1),COLUMN('1-DATA'!F520)),IF($B522="STD. DEVIATION",2,$F$1))))</f>
        <v/>
      </c>
      <c r="H522" s="1" t="str">
        <f>IF(OR($B522="",H$7=""),"",IF($B522="MEANS",INDEX('1-DATA'!$1:$1048576,$A521-1,COLUMN('1-DATA'!G520)),ROUND(INDEX('1-DATA'!$1:$1048576,IF(OR($B522="STD. DEVIATION",$C$1=1),$A522,$A522+1),COLUMN('1-DATA'!G520)),IF($B522="STD. DEVIATION",2,$F$1))))</f>
        <v/>
      </c>
      <c r="I522" s="1" t="str">
        <f>IF(OR($B522="",I$7=""),"",IF($B522="MEANS",INDEX('1-DATA'!$1:$1048576,$A521-1,COLUMN('1-DATA'!H520)),ROUND(INDEX('1-DATA'!$1:$1048576,IF(OR($B522="STD. DEVIATION",$C$1=1),$A522,$A522+1),COLUMN('1-DATA'!H520)),IF($B522="STD. DEVIATION",2,$F$1))))</f>
        <v/>
      </c>
      <c r="J522" s="1" t="str">
        <f>IF(OR($B522="",J$7=""),"",IF($B522="MEANS",INDEX('1-DATA'!$1:$1048576,$A521-1,COLUMN('1-DATA'!I520)),ROUND(INDEX('1-DATA'!$1:$1048576,IF(OR($B522="STD. DEVIATION",$C$1=1),$A522,$A522+1),COLUMN('1-DATA'!I520)),IF($B522="STD. DEVIATION",2,$F$1))))</f>
        <v/>
      </c>
      <c r="K522" s="1" t="str">
        <f>IF(OR($B522="",K$7=""),"",IF($B522="MEANS",INDEX('1-DATA'!$1:$1048576,$A521-1,COLUMN('1-DATA'!J520)),ROUND(INDEX('1-DATA'!$1:$1048576,IF(OR($B522="STD. DEVIATION",$C$1=1),$A522,$A522+1),COLUMN('1-DATA'!J520)),IF($B522="STD. DEVIATION",2,$F$1))))</f>
        <v/>
      </c>
      <c r="L522" s="1" t="str">
        <f>IF(OR($B522="",L$7=""),"",IF($B522="MEANS",INDEX('1-DATA'!$1:$1048576,$A521-1,COLUMN('1-DATA'!K520)),ROUND(INDEX('1-DATA'!$1:$1048576,IF(OR($B522="STD. DEVIATION",$C$1=1),$A522,$A522+1),COLUMN('1-DATA'!K520)),IF($B522="STD. DEVIATION",2,$F$1))))</f>
        <v/>
      </c>
      <c r="M522" s="1" t="str">
        <f>IF(OR($B522="",M$7=""),"",IF($B522="MEANS",INDEX('1-DATA'!$1:$1048576,$A521-1,COLUMN('1-DATA'!L520)),ROUND(INDEX('1-DATA'!$1:$1048576,IF(OR($B522="STD. DEVIATION",$C$1=1),$A522,$A522+1),COLUMN('1-DATA'!L520)),IF($B522="STD. DEVIATION",2,$F$1))))</f>
        <v/>
      </c>
      <c r="N522" s="1" t="str">
        <f>IF(OR($B522="",N$7=""),"",IF($B522="MEANS",INDEX('1-DATA'!$1:$1048576,$A521-1,COLUMN('1-DATA'!M520)),ROUND(INDEX('1-DATA'!$1:$1048576,IF(OR($B522="STD. DEVIATION",$C$1=1),$A522,$A522+1),COLUMN('1-DATA'!M520)),IF($B522="STD. DEVIATION",2,$F$1))))</f>
        <v/>
      </c>
      <c r="O522" s="1" t="str">
        <f>IF(OR($B522="",O$7=""),"",IF($B522="MEANS",INDEX('1-DATA'!$1:$1048576,$A521-1,COLUMN('1-DATA'!N520)),ROUND(INDEX('1-DATA'!$1:$1048576,IF(OR($B522="STD. DEVIATION",$C$1=1),$A522,$A522+1),COLUMN('1-DATA'!N520)),IF($B522="STD. DEVIATION",2,$F$1))))</f>
        <v/>
      </c>
      <c r="P522" s="1" t="str">
        <f>IF(OR($B522="",P$7=""),"",IF($B522="MEANS",INDEX('1-DATA'!$1:$1048576,$A521-1,COLUMN('1-DATA'!O520)),ROUND(INDEX('1-DATA'!$1:$1048576,IF(OR($B522="STD. DEVIATION",$C$1=1),$A522,$A522+1),COLUMN('1-DATA'!O520)),IF($B522="STD. DEVIATION",2,$F$1))))</f>
        <v/>
      </c>
      <c r="Q522" s="1" t="str">
        <f>IF(OR($B522="",Q$7=""),"",IF($B522="MEANS",INDEX('1-DATA'!$1:$1048576,$A521-1,COLUMN('1-DATA'!P520)),ROUND(INDEX('1-DATA'!$1:$1048576,IF(OR($B522="STD. DEVIATION",$C$1=1),$A522,$A522+1),COLUMN('1-DATA'!P520)),IF($B522="STD. DEVIATION",2,$F$1))))</f>
        <v/>
      </c>
      <c r="R522" s="1" t="str">
        <f>IF(OR($B522="",R$7=""),"",IF($B522="MEANS",INDEX('1-DATA'!$1:$1048576,$A521-1,COLUMN('1-DATA'!Q520)),ROUND(INDEX('1-DATA'!$1:$1048576,IF(OR($B522="STD. DEVIATION",$C$1=1),$A522,$A522+1),COLUMN('1-DATA'!Q520)),IF($B522="STD. DEVIATION",2,$F$1))))</f>
        <v/>
      </c>
      <c r="S522" s="1" t="str">
        <f>IF(OR($B522="",S$7=""),"",IF($B522="MEANS",INDEX('1-DATA'!$1:$1048576,$A521-1,COLUMN('1-DATA'!R520)),ROUND(INDEX('1-DATA'!$1:$1048576,IF(OR($B522="STD. DEVIATION",$C$1=1),$A522,$A522+1),COLUMN('1-DATA'!R520)),IF($B522="STD. DEVIATION",2,$F$1))))</f>
        <v/>
      </c>
      <c r="T522" s="1" t="str">
        <f>IF(OR($B522="",T$7=""),"",IF($B522="MEANS",INDEX('1-DATA'!$1:$1048576,$A521-1,COLUMN('1-DATA'!S520)),ROUND(INDEX('1-DATA'!$1:$1048576,IF(OR($B522="STD. DEVIATION",$C$1=1),$A522,$A522+1),COLUMN('1-DATA'!S520)),IF($B522="STD. DEVIATION",2,$F$1))))</f>
        <v/>
      </c>
      <c r="U522" s="1" t="str">
        <f>IF(OR($B522="",U$7=""),"",IF($B522="MEANS",INDEX('1-DATA'!$1:$1048576,$A521-1,COLUMN('1-DATA'!T520)),ROUND(INDEX('1-DATA'!$1:$1048576,IF(OR($B522="STD. DEVIATION",$C$1=1),$A522,$A522+1),COLUMN('1-DATA'!T520)),IF($B522="STD. DEVIATION",2,$F$1))))</f>
        <v/>
      </c>
      <c r="V522" s="1" t="str">
        <f>IF(OR($B522="",V$7=""),"",IF($B522="MEANS",INDEX('1-DATA'!$1:$1048576,$A521-1,COLUMN('1-DATA'!U520)),ROUND(INDEX('1-DATA'!$1:$1048576,IF(OR($B522="STD. DEVIATION",$C$1=1),$A522,$A522+1),COLUMN('1-DATA'!U520)),IF($B522="STD. DEVIATION",2,$F$1))))</f>
        <v/>
      </c>
      <c r="W522" s="1" t="str">
        <f>IF(OR($B522="",W$7=""),"",IF($B522="MEANS",INDEX('1-DATA'!$1:$1048576,$A521-1,COLUMN('1-DATA'!V520)),ROUND(INDEX('1-DATA'!$1:$1048576,IF(OR($B522="STD. DEVIATION",$C$1=1),$A522,$A522+1),COLUMN('1-DATA'!V520)),IF($B522="STD. DEVIATION",2,$F$1))))</f>
        <v/>
      </c>
      <c r="X522" s="1" t="str">
        <f>IF(OR($B522="",X$7=""),"",IF($B522="MEANS",INDEX('1-DATA'!$1:$1048576,$A521-1,COLUMN('1-DATA'!W520)),ROUND(INDEX('1-DATA'!$1:$1048576,IF(OR($B522="STD. DEVIATION",$C$1=1),$A522,$A522+1),COLUMN('1-DATA'!W520)),IF($B522="STD. DEVIATION",2,$F$1))))</f>
        <v/>
      </c>
      <c r="Y522" s="1" t="str">
        <f>IF(OR($B522="",Y$7=""),"",IF($B522="MEANS",INDEX('1-DATA'!$1:$1048576,$A521-1,COLUMN('1-DATA'!X520)),ROUND(INDEX('1-DATA'!$1:$1048576,IF(OR($B522="STD. DEVIATION",$C$1=1),$A522,$A522+1),COLUMN('1-DATA'!X520)),IF($B522="STD. DEVIATION",2,$F$1))))</f>
        <v/>
      </c>
      <c r="Z522" s="1" t="str">
        <f>IF(OR($B522="",Z$7=""),"",IF($B522="MEANS",INDEX('1-DATA'!$1:$1048576,$A521-1,COLUMN('1-DATA'!Y520)),ROUND(INDEX('1-DATA'!$1:$1048576,IF(OR($B522="STD. DEVIATION",$C$1=1),$A522,$A522+1),COLUMN('1-DATA'!Y520)),IF($B522="STD. DEVIATION",2,$F$1))))</f>
        <v/>
      </c>
      <c r="AA522" s="1" t="str">
        <f>IF(OR($B522="",AA$7=""),"",IF($B522="MEANS",INDEX('1-DATA'!$1:$1048576,$A521-1,COLUMN('1-DATA'!Z520)),ROUND(INDEX('1-DATA'!$1:$1048576,IF(OR($B522="STD. DEVIATION",$C$1=1),$A522,$A522+1),COLUMN('1-DATA'!Z520)),IF($B522="STD. DEVIATION",2,$F$1))))</f>
        <v/>
      </c>
      <c r="AB522" s="1" t="str">
        <f>IF(OR($B522="",AB$7=""),"",IF($B522="MEANS",INDEX('1-DATA'!$1:$1048576,$A521-1,COLUMN('1-DATA'!AA520)),ROUND(INDEX('1-DATA'!$1:$1048576,IF(OR($B522="STD. DEVIATION",$C$1=1),$A522,$A522+1),COLUMN('1-DATA'!AA520)),IF($B522="STD. DEVIATION",2,$F$1))))</f>
        <v/>
      </c>
      <c r="AC522" s="1" t="str">
        <f>IF(OR($B522="",AC$7=""),"",IF($B522="MEANS",INDEX('1-DATA'!$1:$1048576,$A521-1,COLUMN('1-DATA'!AB520)),ROUND(INDEX('1-DATA'!$1:$1048576,IF(OR($B522="STD. DEVIATION",$C$1=1),$A522,$A522+1),COLUMN('1-DATA'!AB520)),IF($B522="STD. DEVIATION",2,$F$1))))</f>
        <v/>
      </c>
      <c r="AD522" s="1" t="str">
        <f>IF(OR($B522="",AD$7=""),"",IF($B522="MEANS",INDEX('1-DATA'!$1:$1048576,$A521-1,COLUMN('1-DATA'!AC520)),ROUND(INDEX('1-DATA'!$1:$1048576,IF(OR($B522="STD. DEVIATION",$C$1=1),$A522,$A522+1),COLUMN('1-DATA'!AC520)),IF($B522="STD. DEVIATION",2,$F$1))))</f>
        <v/>
      </c>
      <c r="AE522" s="1" t="str">
        <f>IF(OR($B522="",AE$7=""),"",IF($B522="MEANS",INDEX('1-DATA'!$1:$1048576,$A521-1,COLUMN('1-DATA'!AD520)),ROUND(INDEX('1-DATA'!$1:$1048576,IF(OR($B522="STD. DEVIATION",$C$1=1),$A522,$A522+1),COLUMN('1-DATA'!AD520)),IF($B522="STD. DEVIATION",2,$F$1))))</f>
        <v/>
      </c>
      <c r="AF522" s="1" t="str">
        <f>IF(OR($B522="",AF$7=""),"",IF($B522="MEANS",INDEX('1-DATA'!$1:$1048576,$A521-1,COLUMN('1-DATA'!AE520)),ROUND(INDEX('1-DATA'!$1:$1048576,IF(OR($B522="STD. DEVIATION",$C$1=1),$A522,$A522+1),COLUMN('1-DATA'!AE520)),IF($B522="STD. DEVIATION",2,$F$1))))</f>
        <v/>
      </c>
      <c r="AG522" s="1" t="str">
        <f>IF(OR($B522="",AG$7=""),"",IF($B522="MEANS",INDEX('1-DATA'!$1:$1048576,$A521-1,COLUMN('1-DATA'!AF520)),ROUND(INDEX('1-DATA'!$1:$1048576,IF(OR($B522="STD. DEVIATION",$C$1=1),$A522,$A522+1),COLUMN('1-DATA'!AF520)),IF($B522="STD. DEVIATION",2,$F$1))))</f>
        <v/>
      </c>
      <c r="AH522" s="1" t="str">
        <f>IF(OR($B522="",AH$7=""),"",IF($B522="MEANS",INDEX('1-DATA'!$1:$1048576,$A521-1,COLUMN('1-DATA'!AG520)),ROUND(INDEX('1-DATA'!$1:$1048576,IF(OR($B522="STD. DEVIATION",$C$1=1),$A522,$A522+1),COLUMN('1-DATA'!AG520)),IF($B522="STD. DEVIATION",2,$F$1))))</f>
        <v/>
      </c>
      <c r="AI522" s="1" t="str">
        <f>IF(OR($B522="",AI$7=""),"",IF($B522="MEANS",INDEX('1-DATA'!$1:$1048576,$A521-1,COLUMN('1-DATA'!AH520)),ROUND(INDEX('1-DATA'!$1:$1048576,IF(OR($B522="STD. DEVIATION",$C$1=1),$A522,$A522+1),COLUMN('1-DATA'!AH520)),IF($B522="STD. DEVIATION",2,$F$1))))</f>
        <v/>
      </c>
      <c r="AJ522" s="1" t="str">
        <f>IF(OR($B522="",AJ$7=""),"",IF($B522="MEANS",INDEX('1-DATA'!$1:$1048576,$A521-1,COLUMN('1-DATA'!AI520)),ROUND(INDEX('1-DATA'!$1:$1048576,IF(OR($B522="STD. DEVIATION",$C$1=1),$A522,$A522+1),COLUMN('1-DATA'!AI520)),IF($B522="STD. DEVIATION",2,$F$1))))</f>
        <v/>
      </c>
      <c r="AK522" s="1" t="str">
        <f>IF(OR($B522="",AK$7=""),"",IF($B522="MEANS",INDEX('1-DATA'!$1:$1048576,$A521-1,COLUMN('1-DATA'!AJ520)),ROUND(INDEX('1-DATA'!$1:$1048576,IF(OR($B522="STD. DEVIATION",$C$1=1),$A522,$A522+1),COLUMN('1-DATA'!AJ520)),IF($B522="STD. DEVIATION",2,$F$1))))</f>
        <v/>
      </c>
      <c r="AL522" s="1" t="str">
        <f>IF(OR($B522="",AL$7=""),"",IF($B522="MEANS",INDEX('1-DATA'!$1:$1048576,$A521-1,COLUMN('1-DATA'!AK520)),ROUND(INDEX('1-DATA'!$1:$1048576,IF(OR($B522="STD. DEVIATION",$C$1=1),$A522,$A522+1),COLUMN('1-DATA'!AK520)),IF($B522="STD. DEVIATION",2,$F$1))))</f>
        <v/>
      </c>
      <c r="AM522" s="1" t="str">
        <f>IF(OR($B522="",AM$7=""),"",IF($B522="MEANS",INDEX('1-DATA'!$1:$1048576,$A521-1,COLUMN('1-DATA'!AL520)),ROUND(INDEX('1-DATA'!$1:$1048576,IF(OR($B522="STD. DEVIATION",$C$1=1),$A522,$A522+1),COLUMN('1-DATA'!AL520)),IF($B522="STD. DEVIATION",2,$F$1))))</f>
        <v/>
      </c>
      <c r="AN522" s="1" t="str">
        <f>IF(OR($B522="",AN$7=""),"",IF($B522="MEANS",INDEX('1-DATA'!$1:$1048576,$A521-1,COLUMN('1-DATA'!AM520)),ROUND(INDEX('1-DATA'!$1:$1048576,IF(OR($B522="STD. DEVIATION",$C$1=1),$A522,$A522+1),COLUMN('1-DATA'!AM520)),IF($B522="STD. DEVIATION",2,$F$1))))</f>
        <v/>
      </c>
      <c r="AO522" s="1" t="str">
        <f>IF(OR($B522="",AO$7=""),"",IF($B522="MEANS",INDEX('1-DATA'!$1:$1048576,$A521-1,COLUMN('1-DATA'!AN520)),ROUND(INDEX('1-DATA'!$1:$1048576,IF(OR($B522="STD. DEVIATION",$C$1=1),$A522,$A522+1),COLUMN('1-DATA'!AN520)),IF($B522="STD. DEVIATION",2,$F$1))))</f>
        <v/>
      </c>
      <c r="AP522" s="1" t="str">
        <f>IF(OR($B522="",AP$7=""),"",IF($B522="MEANS",INDEX('1-DATA'!$1:$1048576,$A521-1,COLUMN('1-DATA'!AO520)),ROUND(INDEX('1-DATA'!$1:$1048576,IF(OR($B522="STD. DEVIATION",$C$1=1),$A522,$A522+1),COLUMN('1-DATA'!AO520)),IF($B522="STD. DEVIATION",2,$F$1))))</f>
        <v/>
      </c>
      <c r="AQ522" s="1" t="str">
        <f>IF(OR($B522="",AQ$7=""),"",IF($B522="MEANS",INDEX('1-DATA'!$1:$1048576,$A521-1,COLUMN('1-DATA'!AP520)),ROUND(INDEX('1-DATA'!$1:$1048576,IF(OR($B522="STD. DEVIATION",$C$1=1),$A522,$A522+1),COLUMN('1-DATA'!AP520)),IF($B522="STD. DEVIATION",2,$F$1))))</f>
        <v/>
      </c>
      <c r="AR522" s="1" t="str">
        <f>IF(OR($B522="",AR$7=""),"",IF($B522="MEANS",INDEX('1-DATA'!$1:$1048576,$A521-1,COLUMN('1-DATA'!AQ520)),ROUND(INDEX('1-DATA'!$1:$1048576,IF(OR($B522="STD. DEVIATION",$C$1=1),$A522,$A522+1),COLUMN('1-DATA'!AQ520)),IF($B522="STD. DEVIATION",2,$F$1))))</f>
        <v/>
      </c>
      <c r="AS522" s="1" t="str">
        <f>IF(OR($B522="",AS$7=""),"",IF($B522="MEANS",INDEX('1-DATA'!$1:$1048576,$A521-1,COLUMN('1-DATA'!AR520)),ROUND(INDEX('1-DATA'!$1:$1048576,IF(OR($B522="STD. DEVIATION",$C$1=1),$A522,$A522+1),COLUMN('1-DATA'!AR520)),IF($B522="STD. DEVIATION",2,$F$1))))</f>
        <v/>
      </c>
      <c r="AT522" s="1" t="str">
        <f>IF(OR($B522="",AT$7=""),"",IF($B522="MEANS",INDEX('1-DATA'!$1:$1048576,$A521-1,COLUMN('1-DATA'!AS520)),ROUND(INDEX('1-DATA'!$1:$1048576,IF(OR($B522="STD. DEVIATION",$C$1=1),$A522,$A522+1),COLUMN('1-DATA'!AS520)),IF($B522="STD. DEVIATION",2,$F$1))))</f>
        <v/>
      </c>
      <c r="AU522" s="1" t="str">
        <f>IF(OR($B522="",AU$7=""),"",IF($B522="MEANS",INDEX('1-DATA'!$1:$1048576,$A521-1,COLUMN('1-DATA'!AT520)),ROUND(INDEX('1-DATA'!$1:$1048576,IF(OR($B522="STD. DEVIATION",$C$1=1),$A522,$A522+1),COLUMN('1-DATA'!AT520)),IF($B522="STD. DEVIATION",2,$F$1))))</f>
        <v/>
      </c>
      <c r="AV522" s="1" t="str">
        <f>IF(OR($B522="",AV$7=""),"",IF($B522="MEANS",INDEX('1-DATA'!$1:$1048576,$A521-1,COLUMN('1-DATA'!AU520)),ROUND(INDEX('1-DATA'!$1:$1048576,IF(OR($B522="STD. DEVIATION",$C$1=1),$A522,$A522+1),COLUMN('1-DATA'!AU520)),IF($B522="STD. DEVIATION",2,$F$1))))</f>
        <v/>
      </c>
      <c r="AW522" s="1" t="str">
        <f>IF(OR($B522="",AW$7=""),"",IF($B522="MEANS",INDEX('1-DATA'!$1:$1048576,$A521-1,COLUMN('1-DATA'!AV520)),ROUND(INDEX('1-DATA'!$1:$1048576,IF(OR($B522="STD. DEVIATION",$C$1=1),$A522,$A522+1),COLUMN('1-DATA'!AV520)),IF($B522="STD. DEVIATION",2,$F$1))))</f>
        <v/>
      </c>
      <c r="AX522" s="1" t="str">
        <f>IF(OR($B522="",AX$7=""),"",IF($B522="MEANS",INDEX('1-DATA'!$1:$1048576,$A521-1,COLUMN('1-DATA'!AW520)),ROUND(INDEX('1-DATA'!$1:$1048576,IF(OR($B522="STD. DEVIATION",$C$1=1),$A522,$A522+1),COLUMN('1-DATA'!AW520)),IF($B522="STD. DEVIATION",2,$F$1))))</f>
        <v/>
      </c>
      <c r="AY522" s="1" t="str">
        <f>IF(OR($B522="",AY$7=""),"",IF($B522="MEANS",INDEX('1-DATA'!$1:$1048576,$A521-1,COLUMN('1-DATA'!AX520)),ROUND(INDEX('1-DATA'!$1:$1048576,IF(OR($B522="STD. DEVIATION",$C$1=1),$A522,$A522+1),COLUMN('1-DATA'!AX520)),IF($B522="STD. DEVIATION",2,$F$1))))</f>
        <v/>
      </c>
      <c r="AZ522" s="1" t="str">
        <f>IF(OR($B522="",AZ$7=""),"",IF($B522="MEANS",INDEX('1-DATA'!$1:$1048576,$A521-1,COLUMN('1-DATA'!AY520)),ROUND(INDEX('1-DATA'!$1:$1048576,IF(OR($B522="STD. DEVIATION",$C$1=1),$A522,$A522+1),COLUMN('1-DATA'!AY520)),IF($B522="STD. DEVIATION",2,$F$1))))</f>
        <v/>
      </c>
    </row>
    <row r="523" spans="1:52" x14ac:dyDescent="0.25">
      <c r="A523" s="11">
        <f t="shared" si="8"/>
        <v>1555</v>
      </c>
      <c r="B523" s="1" t="str">
        <f>IF(B522="STD. DEVIATION",INDEX('1-DATA'!$1:$1048576,$A522-1,1),IF(INDEX('1-DATA'!$1:$1048576,$A523,1)&lt;&gt;"",INDEX('1-DATA'!$1:$1048576,$A523,1),""))</f>
        <v/>
      </c>
      <c r="C523" s="1" t="str">
        <f>IF(OR($B523="",C$7=""),"",IF($B523="MEANS",INDEX('1-DATA'!$1:$1048576,$A522-1,COLUMN('1-DATA'!B521)),ROUND(INDEX('1-DATA'!$1:$1048576,IF(OR($B523="STD. DEVIATION",$C$1=1),$A523,$A523+1),COLUMN('1-DATA'!B521)),IF($B523="STD. DEVIATION",2,$F$1))))</f>
        <v/>
      </c>
      <c r="D523" s="1" t="str">
        <f>IF(OR($B523="",D$7=""),"",IF($B523="MEANS",INDEX('1-DATA'!$1:$1048576,$A522-1,COLUMN('1-DATA'!C521)),ROUND(INDEX('1-DATA'!$1:$1048576,IF(OR($B523="STD. DEVIATION",$C$1=1),$A523,$A523+1),COLUMN('1-DATA'!C521)),IF($B523="STD. DEVIATION",2,$F$1))))</f>
        <v/>
      </c>
      <c r="E523" s="1" t="str">
        <f>IF(OR($B523="",E$7=""),"",IF($B523="MEANS",INDEX('1-DATA'!$1:$1048576,$A522-1,COLUMN('1-DATA'!D521)),ROUND(INDEX('1-DATA'!$1:$1048576,IF(OR($B523="STD. DEVIATION",$C$1=1),$A523,$A523+1),COLUMN('1-DATA'!D521)),IF($B523="STD. DEVIATION",2,$F$1))))</f>
        <v/>
      </c>
      <c r="F523" s="1" t="str">
        <f>IF(OR($B523="",F$7=""),"",IF($B523="MEANS",INDEX('1-DATA'!$1:$1048576,$A522-1,COLUMN('1-DATA'!E521)),ROUND(INDEX('1-DATA'!$1:$1048576,IF(OR($B523="STD. DEVIATION",$C$1=1),$A523,$A523+1),COLUMN('1-DATA'!E521)),IF($B523="STD. DEVIATION",2,$F$1))))</f>
        <v/>
      </c>
      <c r="G523" s="1" t="str">
        <f>IF(OR($B523="",G$7=""),"",IF($B523="MEANS",INDEX('1-DATA'!$1:$1048576,$A522-1,COLUMN('1-DATA'!F521)),ROUND(INDEX('1-DATA'!$1:$1048576,IF(OR($B523="STD. DEVIATION",$C$1=1),$A523,$A523+1),COLUMN('1-DATA'!F521)),IF($B523="STD. DEVIATION",2,$F$1))))</f>
        <v/>
      </c>
      <c r="H523" s="1" t="str">
        <f>IF(OR($B523="",H$7=""),"",IF($B523="MEANS",INDEX('1-DATA'!$1:$1048576,$A522-1,COLUMN('1-DATA'!G521)),ROUND(INDEX('1-DATA'!$1:$1048576,IF(OR($B523="STD. DEVIATION",$C$1=1),$A523,$A523+1),COLUMN('1-DATA'!G521)),IF($B523="STD. DEVIATION",2,$F$1))))</f>
        <v/>
      </c>
      <c r="I523" s="1" t="str">
        <f>IF(OR($B523="",I$7=""),"",IF($B523="MEANS",INDEX('1-DATA'!$1:$1048576,$A522-1,COLUMN('1-DATA'!H521)),ROUND(INDEX('1-DATA'!$1:$1048576,IF(OR($B523="STD. DEVIATION",$C$1=1),$A523,$A523+1),COLUMN('1-DATA'!H521)),IF($B523="STD. DEVIATION",2,$F$1))))</f>
        <v/>
      </c>
      <c r="J523" s="1" t="str">
        <f>IF(OR($B523="",J$7=""),"",IF($B523="MEANS",INDEX('1-DATA'!$1:$1048576,$A522-1,COLUMN('1-DATA'!I521)),ROUND(INDEX('1-DATA'!$1:$1048576,IF(OR($B523="STD. DEVIATION",$C$1=1),$A523,$A523+1),COLUMN('1-DATA'!I521)),IF($B523="STD. DEVIATION",2,$F$1))))</f>
        <v/>
      </c>
      <c r="K523" s="1" t="str">
        <f>IF(OR($B523="",K$7=""),"",IF($B523="MEANS",INDEX('1-DATA'!$1:$1048576,$A522-1,COLUMN('1-DATA'!J521)),ROUND(INDEX('1-DATA'!$1:$1048576,IF(OR($B523="STD. DEVIATION",$C$1=1),$A523,$A523+1),COLUMN('1-DATA'!J521)),IF($B523="STD. DEVIATION",2,$F$1))))</f>
        <v/>
      </c>
      <c r="L523" s="1" t="str">
        <f>IF(OR($B523="",L$7=""),"",IF($B523="MEANS",INDEX('1-DATA'!$1:$1048576,$A522-1,COLUMN('1-DATA'!K521)),ROUND(INDEX('1-DATA'!$1:$1048576,IF(OR($B523="STD. DEVIATION",$C$1=1),$A523,$A523+1),COLUMN('1-DATA'!K521)),IF($B523="STD. DEVIATION",2,$F$1))))</f>
        <v/>
      </c>
      <c r="M523" s="1" t="str">
        <f>IF(OR($B523="",M$7=""),"",IF($B523="MEANS",INDEX('1-DATA'!$1:$1048576,$A522-1,COLUMN('1-DATA'!L521)),ROUND(INDEX('1-DATA'!$1:$1048576,IF(OR($B523="STD. DEVIATION",$C$1=1),$A523,$A523+1),COLUMN('1-DATA'!L521)),IF($B523="STD. DEVIATION",2,$F$1))))</f>
        <v/>
      </c>
      <c r="N523" s="1" t="str">
        <f>IF(OR($B523="",N$7=""),"",IF($B523="MEANS",INDEX('1-DATA'!$1:$1048576,$A522-1,COLUMN('1-DATA'!M521)),ROUND(INDEX('1-DATA'!$1:$1048576,IF(OR($B523="STD. DEVIATION",$C$1=1),$A523,$A523+1),COLUMN('1-DATA'!M521)),IF($B523="STD. DEVIATION",2,$F$1))))</f>
        <v/>
      </c>
      <c r="O523" s="1" t="str">
        <f>IF(OR($B523="",O$7=""),"",IF($B523="MEANS",INDEX('1-DATA'!$1:$1048576,$A522-1,COLUMN('1-DATA'!N521)),ROUND(INDEX('1-DATA'!$1:$1048576,IF(OR($B523="STD. DEVIATION",$C$1=1),$A523,$A523+1),COLUMN('1-DATA'!N521)),IF($B523="STD. DEVIATION",2,$F$1))))</f>
        <v/>
      </c>
      <c r="P523" s="1" t="str">
        <f>IF(OR($B523="",P$7=""),"",IF($B523="MEANS",INDEX('1-DATA'!$1:$1048576,$A522-1,COLUMN('1-DATA'!O521)),ROUND(INDEX('1-DATA'!$1:$1048576,IF(OR($B523="STD. DEVIATION",$C$1=1),$A523,$A523+1),COLUMN('1-DATA'!O521)),IF($B523="STD. DEVIATION",2,$F$1))))</f>
        <v/>
      </c>
      <c r="Q523" s="1" t="str">
        <f>IF(OR($B523="",Q$7=""),"",IF($B523="MEANS",INDEX('1-DATA'!$1:$1048576,$A522-1,COLUMN('1-DATA'!P521)),ROUND(INDEX('1-DATA'!$1:$1048576,IF(OR($B523="STD. DEVIATION",$C$1=1),$A523,$A523+1),COLUMN('1-DATA'!P521)),IF($B523="STD. DEVIATION",2,$F$1))))</f>
        <v/>
      </c>
      <c r="R523" s="1" t="str">
        <f>IF(OR($B523="",R$7=""),"",IF($B523="MEANS",INDEX('1-DATA'!$1:$1048576,$A522-1,COLUMN('1-DATA'!Q521)),ROUND(INDEX('1-DATA'!$1:$1048576,IF(OR($B523="STD. DEVIATION",$C$1=1),$A523,$A523+1),COLUMN('1-DATA'!Q521)),IF($B523="STD. DEVIATION",2,$F$1))))</f>
        <v/>
      </c>
      <c r="S523" s="1" t="str">
        <f>IF(OR($B523="",S$7=""),"",IF($B523="MEANS",INDEX('1-DATA'!$1:$1048576,$A522-1,COLUMN('1-DATA'!R521)),ROUND(INDEX('1-DATA'!$1:$1048576,IF(OR($B523="STD. DEVIATION",$C$1=1),$A523,$A523+1),COLUMN('1-DATA'!R521)),IF($B523="STD. DEVIATION",2,$F$1))))</f>
        <v/>
      </c>
      <c r="T523" s="1" t="str">
        <f>IF(OR($B523="",T$7=""),"",IF($B523="MEANS",INDEX('1-DATA'!$1:$1048576,$A522-1,COLUMN('1-DATA'!S521)),ROUND(INDEX('1-DATA'!$1:$1048576,IF(OR($B523="STD. DEVIATION",$C$1=1),$A523,$A523+1),COLUMN('1-DATA'!S521)),IF($B523="STD. DEVIATION",2,$F$1))))</f>
        <v/>
      </c>
      <c r="U523" s="1" t="str">
        <f>IF(OR($B523="",U$7=""),"",IF($B523="MEANS",INDEX('1-DATA'!$1:$1048576,$A522-1,COLUMN('1-DATA'!T521)),ROUND(INDEX('1-DATA'!$1:$1048576,IF(OR($B523="STD. DEVIATION",$C$1=1),$A523,$A523+1),COLUMN('1-DATA'!T521)),IF($B523="STD. DEVIATION",2,$F$1))))</f>
        <v/>
      </c>
      <c r="V523" s="1" t="str">
        <f>IF(OR($B523="",V$7=""),"",IF($B523="MEANS",INDEX('1-DATA'!$1:$1048576,$A522-1,COLUMN('1-DATA'!U521)),ROUND(INDEX('1-DATA'!$1:$1048576,IF(OR($B523="STD. DEVIATION",$C$1=1),$A523,$A523+1),COLUMN('1-DATA'!U521)),IF($B523="STD. DEVIATION",2,$F$1))))</f>
        <v/>
      </c>
      <c r="W523" s="1" t="str">
        <f>IF(OR($B523="",W$7=""),"",IF($B523="MEANS",INDEX('1-DATA'!$1:$1048576,$A522-1,COLUMN('1-DATA'!V521)),ROUND(INDEX('1-DATA'!$1:$1048576,IF(OR($B523="STD. DEVIATION",$C$1=1),$A523,$A523+1),COLUMN('1-DATA'!V521)),IF($B523="STD. DEVIATION",2,$F$1))))</f>
        <v/>
      </c>
      <c r="X523" s="1" t="str">
        <f>IF(OR($B523="",X$7=""),"",IF($B523="MEANS",INDEX('1-DATA'!$1:$1048576,$A522-1,COLUMN('1-DATA'!W521)),ROUND(INDEX('1-DATA'!$1:$1048576,IF(OR($B523="STD. DEVIATION",$C$1=1),$A523,$A523+1),COLUMN('1-DATA'!W521)),IF($B523="STD. DEVIATION",2,$F$1))))</f>
        <v/>
      </c>
      <c r="Y523" s="1" t="str">
        <f>IF(OR($B523="",Y$7=""),"",IF($B523="MEANS",INDEX('1-DATA'!$1:$1048576,$A522-1,COLUMN('1-DATA'!X521)),ROUND(INDEX('1-DATA'!$1:$1048576,IF(OR($B523="STD. DEVIATION",$C$1=1),$A523,$A523+1),COLUMN('1-DATA'!X521)),IF($B523="STD. DEVIATION",2,$F$1))))</f>
        <v/>
      </c>
      <c r="Z523" s="1" t="str">
        <f>IF(OR($B523="",Z$7=""),"",IF($B523="MEANS",INDEX('1-DATA'!$1:$1048576,$A522-1,COLUMN('1-DATA'!Y521)),ROUND(INDEX('1-DATA'!$1:$1048576,IF(OR($B523="STD. DEVIATION",$C$1=1),$A523,$A523+1),COLUMN('1-DATA'!Y521)),IF($B523="STD. DEVIATION",2,$F$1))))</f>
        <v/>
      </c>
      <c r="AA523" s="1" t="str">
        <f>IF(OR($B523="",AA$7=""),"",IF($B523="MEANS",INDEX('1-DATA'!$1:$1048576,$A522-1,COLUMN('1-DATA'!Z521)),ROUND(INDEX('1-DATA'!$1:$1048576,IF(OR($B523="STD. DEVIATION",$C$1=1),$A523,$A523+1),COLUMN('1-DATA'!Z521)),IF($B523="STD. DEVIATION",2,$F$1))))</f>
        <v/>
      </c>
      <c r="AB523" s="1" t="str">
        <f>IF(OR($B523="",AB$7=""),"",IF($B523="MEANS",INDEX('1-DATA'!$1:$1048576,$A522-1,COLUMN('1-DATA'!AA521)),ROUND(INDEX('1-DATA'!$1:$1048576,IF(OR($B523="STD. DEVIATION",$C$1=1),$A523,$A523+1),COLUMN('1-DATA'!AA521)),IF($B523="STD. DEVIATION",2,$F$1))))</f>
        <v/>
      </c>
      <c r="AC523" s="1" t="str">
        <f>IF(OR($B523="",AC$7=""),"",IF($B523="MEANS",INDEX('1-DATA'!$1:$1048576,$A522-1,COLUMN('1-DATA'!AB521)),ROUND(INDEX('1-DATA'!$1:$1048576,IF(OR($B523="STD. DEVIATION",$C$1=1),$A523,$A523+1),COLUMN('1-DATA'!AB521)),IF($B523="STD. DEVIATION",2,$F$1))))</f>
        <v/>
      </c>
      <c r="AD523" s="1" t="str">
        <f>IF(OR($B523="",AD$7=""),"",IF($B523="MEANS",INDEX('1-DATA'!$1:$1048576,$A522-1,COLUMN('1-DATA'!AC521)),ROUND(INDEX('1-DATA'!$1:$1048576,IF(OR($B523="STD. DEVIATION",$C$1=1),$A523,$A523+1),COLUMN('1-DATA'!AC521)),IF($B523="STD. DEVIATION",2,$F$1))))</f>
        <v/>
      </c>
      <c r="AE523" s="1" t="str">
        <f>IF(OR($B523="",AE$7=""),"",IF($B523="MEANS",INDEX('1-DATA'!$1:$1048576,$A522-1,COLUMN('1-DATA'!AD521)),ROUND(INDEX('1-DATA'!$1:$1048576,IF(OR($B523="STD. DEVIATION",$C$1=1),$A523,$A523+1),COLUMN('1-DATA'!AD521)),IF($B523="STD. DEVIATION",2,$F$1))))</f>
        <v/>
      </c>
      <c r="AF523" s="1" t="str">
        <f>IF(OR($B523="",AF$7=""),"",IF($B523="MEANS",INDEX('1-DATA'!$1:$1048576,$A522-1,COLUMN('1-DATA'!AE521)),ROUND(INDEX('1-DATA'!$1:$1048576,IF(OR($B523="STD. DEVIATION",$C$1=1),$A523,$A523+1),COLUMN('1-DATA'!AE521)),IF($B523="STD. DEVIATION",2,$F$1))))</f>
        <v/>
      </c>
      <c r="AG523" s="1" t="str">
        <f>IF(OR($B523="",AG$7=""),"",IF($B523="MEANS",INDEX('1-DATA'!$1:$1048576,$A522-1,COLUMN('1-DATA'!AF521)),ROUND(INDEX('1-DATA'!$1:$1048576,IF(OR($B523="STD. DEVIATION",$C$1=1),$A523,$A523+1),COLUMN('1-DATA'!AF521)),IF($B523="STD. DEVIATION",2,$F$1))))</f>
        <v/>
      </c>
      <c r="AH523" s="1" t="str">
        <f>IF(OR($B523="",AH$7=""),"",IF($B523="MEANS",INDEX('1-DATA'!$1:$1048576,$A522-1,COLUMN('1-DATA'!AG521)),ROUND(INDEX('1-DATA'!$1:$1048576,IF(OR($B523="STD. DEVIATION",$C$1=1),$A523,$A523+1),COLUMN('1-DATA'!AG521)),IF($B523="STD. DEVIATION",2,$F$1))))</f>
        <v/>
      </c>
      <c r="AI523" s="1" t="str">
        <f>IF(OR($B523="",AI$7=""),"",IF($B523="MEANS",INDEX('1-DATA'!$1:$1048576,$A522-1,COLUMN('1-DATA'!AH521)),ROUND(INDEX('1-DATA'!$1:$1048576,IF(OR($B523="STD. DEVIATION",$C$1=1),$A523,$A523+1),COLUMN('1-DATA'!AH521)),IF($B523="STD. DEVIATION",2,$F$1))))</f>
        <v/>
      </c>
      <c r="AJ523" s="1" t="str">
        <f>IF(OR($B523="",AJ$7=""),"",IF($B523="MEANS",INDEX('1-DATA'!$1:$1048576,$A522-1,COLUMN('1-DATA'!AI521)),ROUND(INDEX('1-DATA'!$1:$1048576,IF(OR($B523="STD. DEVIATION",$C$1=1),$A523,$A523+1),COLUMN('1-DATA'!AI521)),IF($B523="STD. DEVIATION",2,$F$1))))</f>
        <v/>
      </c>
      <c r="AK523" s="1" t="str">
        <f>IF(OR($B523="",AK$7=""),"",IF($B523="MEANS",INDEX('1-DATA'!$1:$1048576,$A522-1,COLUMN('1-DATA'!AJ521)),ROUND(INDEX('1-DATA'!$1:$1048576,IF(OR($B523="STD. DEVIATION",$C$1=1),$A523,$A523+1),COLUMN('1-DATA'!AJ521)),IF($B523="STD. DEVIATION",2,$F$1))))</f>
        <v/>
      </c>
      <c r="AL523" s="1" t="str">
        <f>IF(OR($B523="",AL$7=""),"",IF($B523="MEANS",INDEX('1-DATA'!$1:$1048576,$A522-1,COLUMN('1-DATA'!AK521)),ROUND(INDEX('1-DATA'!$1:$1048576,IF(OR($B523="STD. DEVIATION",$C$1=1),$A523,$A523+1),COLUMN('1-DATA'!AK521)),IF($B523="STD. DEVIATION",2,$F$1))))</f>
        <v/>
      </c>
      <c r="AM523" s="1" t="str">
        <f>IF(OR($B523="",AM$7=""),"",IF($B523="MEANS",INDEX('1-DATA'!$1:$1048576,$A522-1,COLUMN('1-DATA'!AL521)),ROUND(INDEX('1-DATA'!$1:$1048576,IF(OR($B523="STD. DEVIATION",$C$1=1),$A523,$A523+1),COLUMN('1-DATA'!AL521)),IF($B523="STD. DEVIATION",2,$F$1))))</f>
        <v/>
      </c>
      <c r="AN523" s="1" t="str">
        <f>IF(OR($B523="",AN$7=""),"",IF($B523="MEANS",INDEX('1-DATA'!$1:$1048576,$A522-1,COLUMN('1-DATA'!AM521)),ROUND(INDEX('1-DATA'!$1:$1048576,IF(OR($B523="STD. DEVIATION",$C$1=1),$A523,$A523+1),COLUMN('1-DATA'!AM521)),IF($B523="STD. DEVIATION",2,$F$1))))</f>
        <v/>
      </c>
      <c r="AO523" s="1" t="str">
        <f>IF(OR($B523="",AO$7=""),"",IF($B523="MEANS",INDEX('1-DATA'!$1:$1048576,$A522-1,COLUMN('1-DATA'!AN521)),ROUND(INDEX('1-DATA'!$1:$1048576,IF(OR($B523="STD. DEVIATION",$C$1=1),$A523,$A523+1),COLUMN('1-DATA'!AN521)),IF($B523="STD. DEVIATION",2,$F$1))))</f>
        <v/>
      </c>
      <c r="AP523" s="1" t="str">
        <f>IF(OR($B523="",AP$7=""),"",IF($B523="MEANS",INDEX('1-DATA'!$1:$1048576,$A522-1,COLUMN('1-DATA'!AO521)),ROUND(INDEX('1-DATA'!$1:$1048576,IF(OR($B523="STD. DEVIATION",$C$1=1),$A523,$A523+1),COLUMN('1-DATA'!AO521)),IF($B523="STD. DEVIATION",2,$F$1))))</f>
        <v/>
      </c>
      <c r="AQ523" s="1" t="str">
        <f>IF(OR($B523="",AQ$7=""),"",IF($B523="MEANS",INDEX('1-DATA'!$1:$1048576,$A522-1,COLUMN('1-DATA'!AP521)),ROUND(INDEX('1-DATA'!$1:$1048576,IF(OR($B523="STD. DEVIATION",$C$1=1),$A523,$A523+1),COLUMN('1-DATA'!AP521)),IF($B523="STD. DEVIATION",2,$F$1))))</f>
        <v/>
      </c>
      <c r="AR523" s="1" t="str">
        <f>IF(OR($B523="",AR$7=""),"",IF($B523="MEANS",INDEX('1-DATA'!$1:$1048576,$A522-1,COLUMN('1-DATA'!AQ521)),ROUND(INDEX('1-DATA'!$1:$1048576,IF(OR($B523="STD. DEVIATION",$C$1=1),$A523,$A523+1),COLUMN('1-DATA'!AQ521)),IF($B523="STD. DEVIATION",2,$F$1))))</f>
        <v/>
      </c>
      <c r="AS523" s="1" t="str">
        <f>IF(OR($B523="",AS$7=""),"",IF($B523="MEANS",INDEX('1-DATA'!$1:$1048576,$A522-1,COLUMN('1-DATA'!AR521)),ROUND(INDEX('1-DATA'!$1:$1048576,IF(OR($B523="STD. DEVIATION",$C$1=1),$A523,$A523+1),COLUMN('1-DATA'!AR521)),IF($B523="STD. DEVIATION",2,$F$1))))</f>
        <v/>
      </c>
      <c r="AT523" s="1" t="str">
        <f>IF(OR($B523="",AT$7=""),"",IF($B523="MEANS",INDEX('1-DATA'!$1:$1048576,$A522-1,COLUMN('1-DATA'!AS521)),ROUND(INDEX('1-DATA'!$1:$1048576,IF(OR($B523="STD. DEVIATION",$C$1=1),$A523,$A523+1),COLUMN('1-DATA'!AS521)),IF($B523="STD. DEVIATION",2,$F$1))))</f>
        <v/>
      </c>
      <c r="AU523" s="1" t="str">
        <f>IF(OR($B523="",AU$7=""),"",IF($B523="MEANS",INDEX('1-DATA'!$1:$1048576,$A522-1,COLUMN('1-DATA'!AT521)),ROUND(INDEX('1-DATA'!$1:$1048576,IF(OR($B523="STD. DEVIATION",$C$1=1),$A523,$A523+1),COLUMN('1-DATA'!AT521)),IF($B523="STD. DEVIATION",2,$F$1))))</f>
        <v/>
      </c>
      <c r="AV523" s="1" t="str">
        <f>IF(OR($B523="",AV$7=""),"",IF($B523="MEANS",INDEX('1-DATA'!$1:$1048576,$A522-1,COLUMN('1-DATA'!AU521)),ROUND(INDEX('1-DATA'!$1:$1048576,IF(OR($B523="STD. DEVIATION",$C$1=1),$A523,$A523+1),COLUMN('1-DATA'!AU521)),IF($B523="STD. DEVIATION",2,$F$1))))</f>
        <v/>
      </c>
      <c r="AW523" s="1" t="str">
        <f>IF(OR($B523="",AW$7=""),"",IF($B523="MEANS",INDEX('1-DATA'!$1:$1048576,$A522-1,COLUMN('1-DATA'!AV521)),ROUND(INDEX('1-DATA'!$1:$1048576,IF(OR($B523="STD. DEVIATION",$C$1=1),$A523,$A523+1),COLUMN('1-DATA'!AV521)),IF($B523="STD. DEVIATION",2,$F$1))))</f>
        <v/>
      </c>
      <c r="AX523" s="1" t="str">
        <f>IF(OR($B523="",AX$7=""),"",IF($B523="MEANS",INDEX('1-DATA'!$1:$1048576,$A522-1,COLUMN('1-DATA'!AW521)),ROUND(INDEX('1-DATA'!$1:$1048576,IF(OR($B523="STD. DEVIATION",$C$1=1),$A523,$A523+1),COLUMN('1-DATA'!AW521)),IF($B523="STD. DEVIATION",2,$F$1))))</f>
        <v/>
      </c>
      <c r="AY523" s="1" t="str">
        <f>IF(OR($B523="",AY$7=""),"",IF($B523="MEANS",INDEX('1-DATA'!$1:$1048576,$A522-1,COLUMN('1-DATA'!AX521)),ROUND(INDEX('1-DATA'!$1:$1048576,IF(OR($B523="STD. DEVIATION",$C$1=1),$A523,$A523+1),COLUMN('1-DATA'!AX521)),IF($B523="STD. DEVIATION",2,$F$1))))</f>
        <v/>
      </c>
      <c r="AZ523" s="1" t="str">
        <f>IF(OR($B523="",AZ$7=""),"",IF($B523="MEANS",INDEX('1-DATA'!$1:$1048576,$A522-1,COLUMN('1-DATA'!AY521)),ROUND(INDEX('1-DATA'!$1:$1048576,IF(OR($B523="STD. DEVIATION",$C$1=1),$A523,$A523+1),COLUMN('1-DATA'!AY521)),IF($B523="STD. DEVIATION",2,$F$1))))</f>
        <v/>
      </c>
    </row>
    <row r="524" spans="1:52" x14ac:dyDescent="0.25">
      <c r="A524" s="11">
        <f t="shared" si="8"/>
        <v>1558</v>
      </c>
      <c r="B524" s="1" t="str">
        <f>IF(B523="STD. DEVIATION",INDEX('1-DATA'!$1:$1048576,$A523-1,1),IF(INDEX('1-DATA'!$1:$1048576,$A524,1)&lt;&gt;"",INDEX('1-DATA'!$1:$1048576,$A524,1),""))</f>
        <v/>
      </c>
      <c r="C524" s="1" t="str">
        <f>IF(OR($B524="",C$7=""),"",IF($B524="MEANS",INDEX('1-DATA'!$1:$1048576,$A523-1,COLUMN('1-DATA'!B522)),ROUND(INDEX('1-DATA'!$1:$1048576,IF(OR($B524="STD. DEVIATION",$C$1=1),$A524,$A524+1),COLUMN('1-DATA'!B522)),IF($B524="STD. DEVIATION",2,$F$1))))</f>
        <v/>
      </c>
      <c r="D524" s="1" t="str">
        <f>IF(OR($B524="",D$7=""),"",IF($B524="MEANS",INDEX('1-DATA'!$1:$1048576,$A523-1,COLUMN('1-DATA'!C522)),ROUND(INDEX('1-DATA'!$1:$1048576,IF(OR($B524="STD. DEVIATION",$C$1=1),$A524,$A524+1),COLUMN('1-DATA'!C522)),IF($B524="STD. DEVIATION",2,$F$1))))</f>
        <v/>
      </c>
      <c r="E524" s="1" t="str">
        <f>IF(OR($B524="",E$7=""),"",IF($B524="MEANS",INDEX('1-DATA'!$1:$1048576,$A523-1,COLUMN('1-DATA'!D522)),ROUND(INDEX('1-DATA'!$1:$1048576,IF(OR($B524="STD. DEVIATION",$C$1=1),$A524,$A524+1),COLUMN('1-DATA'!D522)),IF($B524="STD. DEVIATION",2,$F$1))))</f>
        <v/>
      </c>
      <c r="F524" s="1" t="str">
        <f>IF(OR($B524="",F$7=""),"",IF($B524="MEANS",INDEX('1-DATA'!$1:$1048576,$A523-1,COLUMN('1-DATA'!E522)),ROUND(INDEX('1-DATA'!$1:$1048576,IF(OR($B524="STD. DEVIATION",$C$1=1),$A524,$A524+1),COLUMN('1-DATA'!E522)),IF($B524="STD. DEVIATION",2,$F$1))))</f>
        <v/>
      </c>
      <c r="G524" s="1" t="str">
        <f>IF(OR($B524="",G$7=""),"",IF($B524="MEANS",INDEX('1-DATA'!$1:$1048576,$A523-1,COLUMN('1-DATA'!F522)),ROUND(INDEX('1-DATA'!$1:$1048576,IF(OR($B524="STD. DEVIATION",$C$1=1),$A524,$A524+1),COLUMN('1-DATA'!F522)),IF($B524="STD. DEVIATION",2,$F$1))))</f>
        <v/>
      </c>
      <c r="H524" s="1" t="str">
        <f>IF(OR($B524="",H$7=""),"",IF($B524="MEANS",INDEX('1-DATA'!$1:$1048576,$A523-1,COLUMN('1-DATA'!G522)),ROUND(INDEX('1-DATA'!$1:$1048576,IF(OR($B524="STD. DEVIATION",$C$1=1),$A524,$A524+1),COLUMN('1-DATA'!G522)),IF($B524="STD. DEVIATION",2,$F$1))))</f>
        <v/>
      </c>
      <c r="I524" s="1" t="str">
        <f>IF(OR($B524="",I$7=""),"",IF($B524="MEANS",INDEX('1-DATA'!$1:$1048576,$A523-1,COLUMN('1-DATA'!H522)),ROUND(INDEX('1-DATA'!$1:$1048576,IF(OR($B524="STD. DEVIATION",$C$1=1),$A524,$A524+1),COLUMN('1-DATA'!H522)),IF($B524="STD. DEVIATION",2,$F$1))))</f>
        <v/>
      </c>
      <c r="J524" s="1" t="str">
        <f>IF(OR($B524="",J$7=""),"",IF($B524="MEANS",INDEX('1-DATA'!$1:$1048576,$A523-1,COLUMN('1-DATA'!I522)),ROUND(INDEX('1-DATA'!$1:$1048576,IF(OR($B524="STD. DEVIATION",$C$1=1),$A524,$A524+1),COLUMN('1-DATA'!I522)),IF($B524="STD. DEVIATION",2,$F$1))))</f>
        <v/>
      </c>
      <c r="K524" s="1" t="str">
        <f>IF(OR($B524="",K$7=""),"",IF($B524="MEANS",INDEX('1-DATA'!$1:$1048576,$A523-1,COLUMN('1-DATA'!J522)),ROUND(INDEX('1-DATA'!$1:$1048576,IF(OR($B524="STD. DEVIATION",$C$1=1),$A524,$A524+1),COLUMN('1-DATA'!J522)),IF($B524="STD. DEVIATION",2,$F$1))))</f>
        <v/>
      </c>
      <c r="L524" s="1" t="str">
        <f>IF(OR($B524="",L$7=""),"",IF($B524="MEANS",INDEX('1-DATA'!$1:$1048576,$A523-1,COLUMN('1-DATA'!K522)),ROUND(INDEX('1-DATA'!$1:$1048576,IF(OR($B524="STD. DEVIATION",$C$1=1),$A524,$A524+1),COLUMN('1-DATA'!K522)),IF($B524="STD. DEVIATION",2,$F$1))))</f>
        <v/>
      </c>
      <c r="M524" s="1" t="str">
        <f>IF(OR($B524="",M$7=""),"",IF($B524="MEANS",INDEX('1-DATA'!$1:$1048576,$A523-1,COLUMN('1-DATA'!L522)),ROUND(INDEX('1-DATA'!$1:$1048576,IF(OR($B524="STD. DEVIATION",$C$1=1),$A524,$A524+1),COLUMN('1-DATA'!L522)),IF($B524="STD. DEVIATION",2,$F$1))))</f>
        <v/>
      </c>
      <c r="N524" s="1" t="str">
        <f>IF(OR($B524="",N$7=""),"",IF($B524="MEANS",INDEX('1-DATA'!$1:$1048576,$A523-1,COLUMN('1-DATA'!M522)),ROUND(INDEX('1-DATA'!$1:$1048576,IF(OR($B524="STD. DEVIATION",$C$1=1),$A524,$A524+1),COLUMN('1-DATA'!M522)),IF($B524="STD. DEVIATION",2,$F$1))))</f>
        <v/>
      </c>
      <c r="O524" s="1" t="str">
        <f>IF(OR($B524="",O$7=""),"",IF($B524="MEANS",INDEX('1-DATA'!$1:$1048576,$A523-1,COLUMN('1-DATA'!N522)),ROUND(INDEX('1-DATA'!$1:$1048576,IF(OR($B524="STD. DEVIATION",$C$1=1),$A524,$A524+1),COLUMN('1-DATA'!N522)),IF($B524="STD. DEVIATION",2,$F$1))))</f>
        <v/>
      </c>
      <c r="P524" s="1" t="str">
        <f>IF(OR($B524="",P$7=""),"",IF($B524="MEANS",INDEX('1-DATA'!$1:$1048576,$A523-1,COLUMN('1-DATA'!O522)),ROUND(INDEX('1-DATA'!$1:$1048576,IF(OR($B524="STD. DEVIATION",$C$1=1),$A524,$A524+1),COLUMN('1-DATA'!O522)),IF($B524="STD. DEVIATION",2,$F$1))))</f>
        <v/>
      </c>
      <c r="Q524" s="1" t="str">
        <f>IF(OR($B524="",Q$7=""),"",IF($B524="MEANS",INDEX('1-DATA'!$1:$1048576,$A523-1,COLUMN('1-DATA'!P522)),ROUND(INDEX('1-DATA'!$1:$1048576,IF(OR($B524="STD. DEVIATION",$C$1=1),$A524,$A524+1),COLUMN('1-DATA'!P522)),IF($B524="STD. DEVIATION",2,$F$1))))</f>
        <v/>
      </c>
      <c r="R524" s="1" t="str">
        <f>IF(OR($B524="",R$7=""),"",IF($B524="MEANS",INDEX('1-DATA'!$1:$1048576,$A523-1,COLUMN('1-DATA'!Q522)),ROUND(INDEX('1-DATA'!$1:$1048576,IF(OR($B524="STD. DEVIATION",$C$1=1),$A524,$A524+1),COLUMN('1-DATA'!Q522)),IF($B524="STD. DEVIATION",2,$F$1))))</f>
        <v/>
      </c>
      <c r="S524" s="1" t="str">
        <f>IF(OR($B524="",S$7=""),"",IF($B524="MEANS",INDEX('1-DATA'!$1:$1048576,$A523-1,COLUMN('1-DATA'!R522)),ROUND(INDEX('1-DATA'!$1:$1048576,IF(OR($B524="STD. DEVIATION",$C$1=1),$A524,$A524+1),COLUMN('1-DATA'!R522)),IF($B524="STD. DEVIATION",2,$F$1))))</f>
        <v/>
      </c>
      <c r="T524" s="1" t="str">
        <f>IF(OR($B524="",T$7=""),"",IF($B524="MEANS",INDEX('1-DATA'!$1:$1048576,$A523-1,COLUMN('1-DATA'!S522)),ROUND(INDEX('1-DATA'!$1:$1048576,IF(OR($B524="STD. DEVIATION",$C$1=1),$A524,$A524+1),COLUMN('1-DATA'!S522)),IF($B524="STD. DEVIATION",2,$F$1))))</f>
        <v/>
      </c>
      <c r="U524" s="1" t="str">
        <f>IF(OR($B524="",U$7=""),"",IF($B524="MEANS",INDEX('1-DATA'!$1:$1048576,$A523-1,COLUMN('1-DATA'!T522)),ROUND(INDEX('1-DATA'!$1:$1048576,IF(OR($B524="STD. DEVIATION",$C$1=1),$A524,$A524+1),COLUMN('1-DATA'!T522)),IF($B524="STD. DEVIATION",2,$F$1))))</f>
        <v/>
      </c>
      <c r="V524" s="1" t="str">
        <f>IF(OR($B524="",V$7=""),"",IF($B524="MEANS",INDEX('1-DATA'!$1:$1048576,$A523-1,COLUMN('1-DATA'!U522)),ROUND(INDEX('1-DATA'!$1:$1048576,IF(OR($B524="STD. DEVIATION",$C$1=1),$A524,$A524+1),COLUMN('1-DATA'!U522)),IF($B524="STD. DEVIATION",2,$F$1))))</f>
        <v/>
      </c>
      <c r="W524" s="1" t="str">
        <f>IF(OR($B524="",W$7=""),"",IF($B524="MEANS",INDEX('1-DATA'!$1:$1048576,$A523-1,COLUMN('1-DATA'!V522)),ROUND(INDEX('1-DATA'!$1:$1048576,IF(OR($B524="STD. DEVIATION",$C$1=1),$A524,$A524+1),COLUMN('1-DATA'!V522)),IF($B524="STD. DEVIATION",2,$F$1))))</f>
        <v/>
      </c>
      <c r="X524" s="1" t="str">
        <f>IF(OR($B524="",X$7=""),"",IF($B524="MEANS",INDEX('1-DATA'!$1:$1048576,$A523-1,COLUMN('1-DATA'!W522)),ROUND(INDEX('1-DATA'!$1:$1048576,IF(OR($B524="STD. DEVIATION",$C$1=1),$A524,$A524+1),COLUMN('1-DATA'!W522)),IF($B524="STD. DEVIATION",2,$F$1))))</f>
        <v/>
      </c>
      <c r="Y524" s="1" t="str">
        <f>IF(OR($B524="",Y$7=""),"",IF($B524="MEANS",INDEX('1-DATA'!$1:$1048576,$A523-1,COLUMN('1-DATA'!X522)),ROUND(INDEX('1-DATA'!$1:$1048576,IF(OR($B524="STD. DEVIATION",$C$1=1),$A524,$A524+1),COLUMN('1-DATA'!X522)),IF($B524="STD. DEVIATION",2,$F$1))))</f>
        <v/>
      </c>
      <c r="Z524" s="1" t="str">
        <f>IF(OR($B524="",Z$7=""),"",IF($B524="MEANS",INDEX('1-DATA'!$1:$1048576,$A523-1,COLUMN('1-DATA'!Y522)),ROUND(INDEX('1-DATA'!$1:$1048576,IF(OR($B524="STD. DEVIATION",$C$1=1),$A524,$A524+1),COLUMN('1-DATA'!Y522)),IF($B524="STD. DEVIATION",2,$F$1))))</f>
        <v/>
      </c>
      <c r="AA524" s="1" t="str">
        <f>IF(OR($B524="",AA$7=""),"",IF($B524="MEANS",INDEX('1-DATA'!$1:$1048576,$A523-1,COLUMN('1-DATA'!Z522)),ROUND(INDEX('1-DATA'!$1:$1048576,IF(OR($B524="STD. DEVIATION",$C$1=1),$A524,$A524+1),COLUMN('1-DATA'!Z522)),IF($B524="STD. DEVIATION",2,$F$1))))</f>
        <v/>
      </c>
      <c r="AB524" s="1" t="str">
        <f>IF(OR($B524="",AB$7=""),"",IF($B524="MEANS",INDEX('1-DATA'!$1:$1048576,$A523-1,COLUMN('1-DATA'!AA522)),ROUND(INDEX('1-DATA'!$1:$1048576,IF(OR($B524="STD. DEVIATION",$C$1=1),$A524,$A524+1),COLUMN('1-DATA'!AA522)),IF($B524="STD. DEVIATION",2,$F$1))))</f>
        <v/>
      </c>
      <c r="AC524" s="1" t="str">
        <f>IF(OR($B524="",AC$7=""),"",IF($B524="MEANS",INDEX('1-DATA'!$1:$1048576,$A523-1,COLUMN('1-DATA'!AB522)),ROUND(INDEX('1-DATA'!$1:$1048576,IF(OR($B524="STD. DEVIATION",$C$1=1),$A524,$A524+1),COLUMN('1-DATA'!AB522)),IF($B524="STD. DEVIATION",2,$F$1))))</f>
        <v/>
      </c>
      <c r="AD524" s="1" t="str">
        <f>IF(OR($B524="",AD$7=""),"",IF($B524="MEANS",INDEX('1-DATA'!$1:$1048576,$A523-1,COLUMN('1-DATA'!AC522)),ROUND(INDEX('1-DATA'!$1:$1048576,IF(OR($B524="STD. DEVIATION",$C$1=1),$A524,$A524+1),COLUMN('1-DATA'!AC522)),IF($B524="STD. DEVIATION",2,$F$1))))</f>
        <v/>
      </c>
      <c r="AE524" s="1" t="str">
        <f>IF(OR($B524="",AE$7=""),"",IF($B524="MEANS",INDEX('1-DATA'!$1:$1048576,$A523-1,COLUMN('1-DATA'!AD522)),ROUND(INDEX('1-DATA'!$1:$1048576,IF(OR($B524="STD. DEVIATION",$C$1=1),$A524,$A524+1),COLUMN('1-DATA'!AD522)),IF($B524="STD. DEVIATION",2,$F$1))))</f>
        <v/>
      </c>
      <c r="AF524" s="1" t="str">
        <f>IF(OR($B524="",AF$7=""),"",IF($B524="MEANS",INDEX('1-DATA'!$1:$1048576,$A523-1,COLUMN('1-DATA'!AE522)),ROUND(INDEX('1-DATA'!$1:$1048576,IF(OR($B524="STD. DEVIATION",$C$1=1),$A524,$A524+1),COLUMN('1-DATA'!AE522)),IF($B524="STD. DEVIATION",2,$F$1))))</f>
        <v/>
      </c>
      <c r="AG524" s="1" t="str">
        <f>IF(OR($B524="",AG$7=""),"",IF($B524="MEANS",INDEX('1-DATA'!$1:$1048576,$A523-1,COLUMN('1-DATA'!AF522)),ROUND(INDEX('1-DATA'!$1:$1048576,IF(OR($B524="STD. DEVIATION",$C$1=1),$A524,$A524+1),COLUMN('1-DATA'!AF522)),IF($B524="STD. DEVIATION",2,$F$1))))</f>
        <v/>
      </c>
      <c r="AH524" s="1" t="str">
        <f>IF(OR($B524="",AH$7=""),"",IF($B524="MEANS",INDEX('1-DATA'!$1:$1048576,$A523-1,COLUMN('1-DATA'!AG522)),ROUND(INDEX('1-DATA'!$1:$1048576,IF(OR($B524="STD. DEVIATION",$C$1=1),$A524,$A524+1),COLUMN('1-DATA'!AG522)),IF($B524="STD. DEVIATION",2,$F$1))))</f>
        <v/>
      </c>
      <c r="AI524" s="1" t="str">
        <f>IF(OR($B524="",AI$7=""),"",IF($B524="MEANS",INDEX('1-DATA'!$1:$1048576,$A523-1,COLUMN('1-DATA'!AH522)),ROUND(INDEX('1-DATA'!$1:$1048576,IF(OR($B524="STD. DEVIATION",$C$1=1),$A524,$A524+1),COLUMN('1-DATA'!AH522)),IF($B524="STD. DEVIATION",2,$F$1))))</f>
        <v/>
      </c>
      <c r="AJ524" s="1" t="str">
        <f>IF(OR($B524="",AJ$7=""),"",IF($B524="MEANS",INDEX('1-DATA'!$1:$1048576,$A523-1,COLUMN('1-DATA'!AI522)),ROUND(INDEX('1-DATA'!$1:$1048576,IF(OR($B524="STD. DEVIATION",$C$1=1),$A524,$A524+1),COLUMN('1-DATA'!AI522)),IF($B524="STD. DEVIATION",2,$F$1))))</f>
        <v/>
      </c>
      <c r="AK524" s="1" t="str">
        <f>IF(OR($B524="",AK$7=""),"",IF($B524="MEANS",INDEX('1-DATA'!$1:$1048576,$A523-1,COLUMN('1-DATA'!AJ522)),ROUND(INDEX('1-DATA'!$1:$1048576,IF(OR($B524="STD. DEVIATION",$C$1=1),$A524,$A524+1),COLUMN('1-DATA'!AJ522)),IF($B524="STD. DEVIATION",2,$F$1))))</f>
        <v/>
      </c>
      <c r="AL524" s="1" t="str">
        <f>IF(OR($B524="",AL$7=""),"",IF($B524="MEANS",INDEX('1-DATA'!$1:$1048576,$A523-1,COLUMN('1-DATA'!AK522)),ROUND(INDEX('1-DATA'!$1:$1048576,IF(OR($B524="STD. DEVIATION",$C$1=1),$A524,$A524+1),COLUMN('1-DATA'!AK522)),IF($B524="STD. DEVIATION",2,$F$1))))</f>
        <v/>
      </c>
      <c r="AM524" s="1" t="str">
        <f>IF(OR($B524="",AM$7=""),"",IF($B524="MEANS",INDEX('1-DATA'!$1:$1048576,$A523-1,COLUMN('1-DATA'!AL522)),ROUND(INDEX('1-DATA'!$1:$1048576,IF(OR($B524="STD. DEVIATION",$C$1=1),$A524,$A524+1),COLUMN('1-DATA'!AL522)),IF($B524="STD. DEVIATION",2,$F$1))))</f>
        <v/>
      </c>
      <c r="AN524" s="1" t="str">
        <f>IF(OR($B524="",AN$7=""),"",IF($B524="MEANS",INDEX('1-DATA'!$1:$1048576,$A523-1,COLUMN('1-DATA'!AM522)),ROUND(INDEX('1-DATA'!$1:$1048576,IF(OR($B524="STD. DEVIATION",$C$1=1),$A524,$A524+1),COLUMN('1-DATA'!AM522)),IF($B524="STD. DEVIATION",2,$F$1))))</f>
        <v/>
      </c>
      <c r="AO524" s="1" t="str">
        <f>IF(OR($B524="",AO$7=""),"",IF($B524="MEANS",INDEX('1-DATA'!$1:$1048576,$A523-1,COLUMN('1-DATA'!AN522)),ROUND(INDEX('1-DATA'!$1:$1048576,IF(OR($B524="STD. DEVIATION",$C$1=1),$A524,$A524+1),COLUMN('1-DATA'!AN522)),IF($B524="STD. DEVIATION",2,$F$1))))</f>
        <v/>
      </c>
      <c r="AP524" s="1" t="str">
        <f>IF(OR($B524="",AP$7=""),"",IF($B524="MEANS",INDEX('1-DATA'!$1:$1048576,$A523-1,COLUMN('1-DATA'!AO522)),ROUND(INDEX('1-DATA'!$1:$1048576,IF(OR($B524="STD. DEVIATION",$C$1=1),$A524,$A524+1),COLUMN('1-DATA'!AO522)),IF($B524="STD. DEVIATION",2,$F$1))))</f>
        <v/>
      </c>
      <c r="AQ524" s="1" t="str">
        <f>IF(OR($B524="",AQ$7=""),"",IF($B524="MEANS",INDEX('1-DATA'!$1:$1048576,$A523-1,COLUMN('1-DATA'!AP522)),ROUND(INDEX('1-DATA'!$1:$1048576,IF(OR($B524="STD. DEVIATION",$C$1=1),$A524,$A524+1),COLUMN('1-DATA'!AP522)),IF($B524="STD. DEVIATION",2,$F$1))))</f>
        <v/>
      </c>
      <c r="AR524" s="1" t="str">
        <f>IF(OR($B524="",AR$7=""),"",IF($B524="MEANS",INDEX('1-DATA'!$1:$1048576,$A523-1,COLUMN('1-DATA'!AQ522)),ROUND(INDEX('1-DATA'!$1:$1048576,IF(OR($B524="STD. DEVIATION",$C$1=1),$A524,$A524+1),COLUMN('1-DATA'!AQ522)),IF($B524="STD. DEVIATION",2,$F$1))))</f>
        <v/>
      </c>
      <c r="AS524" s="1" t="str">
        <f>IF(OR($B524="",AS$7=""),"",IF($B524="MEANS",INDEX('1-DATA'!$1:$1048576,$A523-1,COLUMN('1-DATA'!AR522)),ROUND(INDEX('1-DATA'!$1:$1048576,IF(OR($B524="STD. DEVIATION",$C$1=1),$A524,$A524+1),COLUMN('1-DATA'!AR522)),IF($B524="STD. DEVIATION",2,$F$1))))</f>
        <v/>
      </c>
      <c r="AT524" s="1" t="str">
        <f>IF(OR($B524="",AT$7=""),"",IF($B524="MEANS",INDEX('1-DATA'!$1:$1048576,$A523-1,COLUMN('1-DATA'!AS522)),ROUND(INDEX('1-DATA'!$1:$1048576,IF(OR($B524="STD. DEVIATION",$C$1=1),$A524,$A524+1),COLUMN('1-DATA'!AS522)),IF($B524="STD. DEVIATION",2,$F$1))))</f>
        <v/>
      </c>
      <c r="AU524" s="1" t="str">
        <f>IF(OR($B524="",AU$7=""),"",IF($B524="MEANS",INDEX('1-DATA'!$1:$1048576,$A523-1,COLUMN('1-DATA'!AT522)),ROUND(INDEX('1-DATA'!$1:$1048576,IF(OR($B524="STD. DEVIATION",$C$1=1),$A524,$A524+1),COLUMN('1-DATA'!AT522)),IF($B524="STD. DEVIATION",2,$F$1))))</f>
        <v/>
      </c>
      <c r="AV524" s="1" t="str">
        <f>IF(OR($B524="",AV$7=""),"",IF($B524="MEANS",INDEX('1-DATA'!$1:$1048576,$A523-1,COLUMN('1-DATA'!AU522)),ROUND(INDEX('1-DATA'!$1:$1048576,IF(OR($B524="STD. DEVIATION",$C$1=1),$A524,$A524+1),COLUMN('1-DATA'!AU522)),IF($B524="STD. DEVIATION",2,$F$1))))</f>
        <v/>
      </c>
      <c r="AW524" s="1" t="str">
        <f>IF(OR($B524="",AW$7=""),"",IF($B524="MEANS",INDEX('1-DATA'!$1:$1048576,$A523-1,COLUMN('1-DATA'!AV522)),ROUND(INDEX('1-DATA'!$1:$1048576,IF(OR($B524="STD. DEVIATION",$C$1=1),$A524,$A524+1),COLUMN('1-DATA'!AV522)),IF($B524="STD. DEVIATION",2,$F$1))))</f>
        <v/>
      </c>
      <c r="AX524" s="1" t="str">
        <f>IF(OR($B524="",AX$7=""),"",IF($B524="MEANS",INDEX('1-DATA'!$1:$1048576,$A523-1,COLUMN('1-DATA'!AW522)),ROUND(INDEX('1-DATA'!$1:$1048576,IF(OR($B524="STD. DEVIATION",$C$1=1),$A524,$A524+1),COLUMN('1-DATA'!AW522)),IF($B524="STD. DEVIATION",2,$F$1))))</f>
        <v/>
      </c>
      <c r="AY524" s="1" t="str">
        <f>IF(OR($B524="",AY$7=""),"",IF($B524="MEANS",INDEX('1-DATA'!$1:$1048576,$A523-1,COLUMN('1-DATA'!AX522)),ROUND(INDEX('1-DATA'!$1:$1048576,IF(OR($B524="STD. DEVIATION",$C$1=1),$A524,$A524+1),COLUMN('1-DATA'!AX522)),IF($B524="STD. DEVIATION",2,$F$1))))</f>
        <v/>
      </c>
      <c r="AZ524" s="1" t="str">
        <f>IF(OR($B524="",AZ$7=""),"",IF($B524="MEANS",INDEX('1-DATA'!$1:$1048576,$A523-1,COLUMN('1-DATA'!AY522)),ROUND(INDEX('1-DATA'!$1:$1048576,IF(OR($B524="STD. DEVIATION",$C$1=1),$A524,$A524+1),COLUMN('1-DATA'!AY522)),IF($B524="STD. DEVIATION",2,$F$1))))</f>
        <v/>
      </c>
    </row>
    <row r="525" spans="1:52" x14ac:dyDescent="0.25">
      <c r="A525" s="11">
        <f t="shared" si="8"/>
        <v>1561</v>
      </c>
      <c r="B525" s="1" t="str">
        <f>IF(B524="STD. DEVIATION",INDEX('1-DATA'!$1:$1048576,$A524-1,1),IF(INDEX('1-DATA'!$1:$1048576,$A525,1)&lt;&gt;"",INDEX('1-DATA'!$1:$1048576,$A525,1),""))</f>
        <v/>
      </c>
      <c r="C525" s="1" t="str">
        <f>IF(OR($B525="",C$7=""),"",IF($B525="MEANS",INDEX('1-DATA'!$1:$1048576,$A524-1,COLUMN('1-DATA'!B523)),ROUND(INDEX('1-DATA'!$1:$1048576,IF(OR($B525="STD. DEVIATION",$C$1=1),$A525,$A525+1),COLUMN('1-DATA'!B523)),IF($B525="STD. DEVIATION",2,$F$1))))</f>
        <v/>
      </c>
      <c r="D525" s="1" t="str">
        <f>IF(OR($B525="",D$7=""),"",IF($B525="MEANS",INDEX('1-DATA'!$1:$1048576,$A524-1,COLUMN('1-DATA'!C523)),ROUND(INDEX('1-DATA'!$1:$1048576,IF(OR($B525="STD. DEVIATION",$C$1=1),$A525,$A525+1),COLUMN('1-DATA'!C523)),IF($B525="STD. DEVIATION",2,$F$1))))</f>
        <v/>
      </c>
      <c r="E525" s="1" t="str">
        <f>IF(OR($B525="",E$7=""),"",IF($B525="MEANS",INDEX('1-DATA'!$1:$1048576,$A524-1,COLUMN('1-DATA'!D523)),ROUND(INDEX('1-DATA'!$1:$1048576,IF(OR($B525="STD. DEVIATION",$C$1=1),$A525,$A525+1),COLUMN('1-DATA'!D523)),IF($B525="STD. DEVIATION",2,$F$1))))</f>
        <v/>
      </c>
      <c r="F525" s="1" t="str">
        <f>IF(OR($B525="",F$7=""),"",IF($B525="MEANS",INDEX('1-DATA'!$1:$1048576,$A524-1,COLUMN('1-DATA'!E523)),ROUND(INDEX('1-DATA'!$1:$1048576,IF(OR($B525="STD. DEVIATION",$C$1=1),$A525,$A525+1),COLUMN('1-DATA'!E523)),IF($B525="STD. DEVIATION",2,$F$1))))</f>
        <v/>
      </c>
      <c r="G525" s="1" t="str">
        <f>IF(OR($B525="",G$7=""),"",IF($B525="MEANS",INDEX('1-DATA'!$1:$1048576,$A524-1,COLUMN('1-DATA'!F523)),ROUND(INDEX('1-DATA'!$1:$1048576,IF(OR($B525="STD. DEVIATION",$C$1=1),$A525,$A525+1),COLUMN('1-DATA'!F523)),IF($B525="STD. DEVIATION",2,$F$1))))</f>
        <v/>
      </c>
      <c r="H525" s="1" t="str">
        <f>IF(OR($B525="",H$7=""),"",IF($B525="MEANS",INDEX('1-DATA'!$1:$1048576,$A524-1,COLUMN('1-DATA'!G523)),ROUND(INDEX('1-DATA'!$1:$1048576,IF(OR($B525="STD. DEVIATION",$C$1=1),$A525,$A525+1),COLUMN('1-DATA'!G523)),IF($B525="STD. DEVIATION",2,$F$1))))</f>
        <v/>
      </c>
      <c r="I525" s="1" t="str">
        <f>IF(OR($B525="",I$7=""),"",IF($B525="MEANS",INDEX('1-DATA'!$1:$1048576,$A524-1,COLUMN('1-DATA'!H523)),ROUND(INDEX('1-DATA'!$1:$1048576,IF(OR($B525="STD. DEVIATION",$C$1=1),$A525,$A525+1),COLUMN('1-DATA'!H523)),IF($B525="STD. DEVIATION",2,$F$1))))</f>
        <v/>
      </c>
      <c r="J525" s="1" t="str">
        <f>IF(OR($B525="",J$7=""),"",IF($B525="MEANS",INDEX('1-DATA'!$1:$1048576,$A524-1,COLUMN('1-DATA'!I523)),ROUND(INDEX('1-DATA'!$1:$1048576,IF(OR($B525="STD. DEVIATION",$C$1=1),$A525,$A525+1),COLUMN('1-DATA'!I523)),IF($B525="STD. DEVIATION",2,$F$1))))</f>
        <v/>
      </c>
      <c r="K525" s="1" t="str">
        <f>IF(OR($B525="",K$7=""),"",IF($B525="MEANS",INDEX('1-DATA'!$1:$1048576,$A524-1,COLUMN('1-DATA'!J523)),ROUND(INDEX('1-DATA'!$1:$1048576,IF(OR($B525="STD. DEVIATION",$C$1=1),$A525,$A525+1),COLUMN('1-DATA'!J523)),IF($B525="STD. DEVIATION",2,$F$1))))</f>
        <v/>
      </c>
      <c r="L525" s="1" t="str">
        <f>IF(OR($B525="",L$7=""),"",IF($B525="MEANS",INDEX('1-DATA'!$1:$1048576,$A524-1,COLUMN('1-DATA'!K523)),ROUND(INDEX('1-DATA'!$1:$1048576,IF(OR($B525="STD. DEVIATION",$C$1=1),$A525,$A525+1),COLUMN('1-DATA'!K523)),IF($B525="STD. DEVIATION",2,$F$1))))</f>
        <v/>
      </c>
      <c r="M525" s="1" t="str">
        <f>IF(OR($B525="",M$7=""),"",IF($B525="MEANS",INDEX('1-DATA'!$1:$1048576,$A524-1,COLUMN('1-DATA'!L523)),ROUND(INDEX('1-DATA'!$1:$1048576,IF(OR($B525="STD. DEVIATION",$C$1=1),$A525,$A525+1),COLUMN('1-DATA'!L523)),IF($B525="STD. DEVIATION",2,$F$1))))</f>
        <v/>
      </c>
      <c r="N525" s="1" t="str">
        <f>IF(OR($B525="",N$7=""),"",IF($B525="MEANS",INDEX('1-DATA'!$1:$1048576,$A524-1,COLUMN('1-DATA'!M523)),ROUND(INDEX('1-DATA'!$1:$1048576,IF(OR($B525="STD. DEVIATION",$C$1=1),$A525,$A525+1),COLUMN('1-DATA'!M523)),IF($B525="STD. DEVIATION",2,$F$1))))</f>
        <v/>
      </c>
      <c r="O525" s="1" t="str">
        <f>IF(OR($B525="",O$7=""),"",IF($B525="MEANS",INDEX('1-DATA'!$1:$1048576,$A524-1,COLUMN('1-DATA'!N523)),ROUND(INDEX('1-DATA'!$1:$1048576,IF(OR($B525="STD. DEVIATION",$C$1=1),$A525,$A525+1),COLUMN('1-DATA'!N523)),IF($B525="STD. DEVIATION",2,$F$1))))</f>
        <v/>
      </c>
      <c r="P525" s="1" t="str">
        <f>IF(OR($B525="",P$7=""),"",IF($B525="MEANS",INDEX('1-DATA'!$1:$1048576,$A524-1,COLUMN('1-DATA'!O523)),ROUND(INDEX('1-DATA'!$1:$1048576,IF(OR($B525="STD. DEVIATION",$C$1=1),$A525,$A525+1),COLUMN('1-DATA'!O523)),IF($B525="STD. DEVIATION",2,$F$1))))</f>
        <v/>
      </c>
      <c r="Q525" s="1" t="str">
        <f>IF(OR($B525="",Q$7=""),"",IF($B525="MEANS",INDEX('1-DATA'!$1:$1048576,$A524-1,COLUMN('1-DATA'!P523)),ROUND(INDEX('1-DATA'!$1:$1048576,IF(OR($B525="STD. DEVIATION",$C$1=1),$A525,$A525+1),COLUMN('1-DATA'!P523)),IF($B525="STD. DEVIATION",2,$F$1))))</f>
        <v/>
      </c>
      <c r="R525" s="1" t="str">
        <f>IF(OR($B525="",R$7=""),"",IF($B525="MEANS",INDEX('1-DATA'!$1:$1048576,$A524-1,COLUMN('1-DATA'!Q523)),ROUND(INDEX('1-DATA'!$1:$1048576,IF(OR($B525="STD. DEVIATION",$C$1=1),$A525,$A525+1),COLUMN('1-DATA'!Q523)),IF($B525="STD. DEVIATION",2,$F$1))))</f>
        <v/>
      </c>
      <c r="S525" s="1" t="str">
        <f>IF(OR($B525="",S$7=""),"",IF($B525="MEANS",INDEX('1-DATA'!$1:$1048576,$A524-1,COLUMN('1-DATA'!R523)),ROUND(INDEX('1-DATA'!$1:$1048576,IF(OR($B525="STD. DEVIATION",$C$1=1),$A525,$A525+1),COLUMN('1-DATA'!R523)),IF($B525="STD. DEVIATION",2,$F$1))))</f>
        <v/>
      </c>
      <c r="T525" s="1" t="str">
        <f>IF(OR($B525="",T$7=""),"",IF($B525="MEANS",INDEX('1-DATA'!$1:$1048576,$A524-1,COLUMN('1-DATA'!S523)),ROUND(INDEX('1-DATA'!$1:$1048576,IF(OR($B525="STD. DEVIATION",$C$1=1),$A525,$A525+1),COLUMN('1-DATA'!S523)),IF($B525="STD. DEVIATION",2,$F$1))))</f>
        <v/>
      </c>
      <c r="U525" s="1" t="str">
        <f>IF(OR($B525="",U$7=""),"",IF($B525="MEANS",INDEX('1-DATA'!$1:$1048576,$A524-1,COLUMN('1-DATA'!T523)),ROUND(INDEX('1-DATA'!$1:$1048576,IF(OR($B525="STD. DEVIATION",$C$1=1),$A525,$A525+1),COLUMN('1-DATA'!T523)),IF($B525="STD. DEVIATION",2,$F$1))))</f>
        <v/>
      </c>
      <c r="V525" s="1" t="str">
        <f>IF(OR($B525="",V$7=""),"",IF($B525="MEANS",INDEX('1-DATA'!$1:$1048576,$A524-1,COLUMN('1-DATA'!U523)),ROUND(INDEX('1-DATA'!$1:$1048576,IF(OR($B525="STD. DEVIATION",$C$1=1),$A525,$A525+1),COLUMN('1-DATA'!U523)),IF($B525="STD. DEVIATION",2,$F$1))))</f>
        <v/>
      </c>
      <c r="W525" s="1" t="str">
        <f>IF(OR($B525="",W$7=""),"",IF($B525="MEANS",INDEX('1-DATA'!$1:$1048576,$A524-1,COLUMN('1-DATA'!V523)),ROUND(INDEX('1-DATA'!$1:$1048576,IF(OR($B525="STD. DEVIATION",$C$1=1),$A525,$A525+1),COLUMN('1-DATA'!V523)),IF($B525="STD. DEVIATION",2,$F$1))))</f>
        <v/>
      </c>
      <c r="X525" s="1" t="str">
        <f>IF(OR($B525="",X$7=""),"",IF($B525="MEANS",INDEX('1-DATA'!$1:$1048576,$A524-1,COLUMN('1-DATA'!W523)),ROUND(INDEX('1-DATA'!$1:$1048576,IF(OR($B525="STD. DEVIATION",$C$1=1),$A525,$A525+1),COLUMN('1-DATA'!W523)),IF($B525="STD. DEVIATION",2,$F$1))))</f>
        <v/>
      </c>
      <c r="Y525" s="1" t="str">
        <f>IF(OR($B525="",Y$7=""),"",IF($B525="MEANS",INDEX('1-DATA'!$1:$1048576,$A524-1,COLUMN('1-DATA'!X523)),ROUND(INDEX('1-DATA'!$1:$1048576,IF(OR($B525="STD. DEVIATION",$C$1=1),$A525,$A525+1),COLUMN('1-DATA'!X523)),IF($B525="STD. DEVIATION",2,$F$1))))</f>
        <v/>
      </c>
      <c r="Z525" s="1" t="str">
        <f>IF(OR($B525="",Z$7=""),"",IF($B525="MEANS",INDEX('1-DATA'!$1:$1048576,$A524-1,COLUMN('1-DATA'!Y523)),ROUND(INDEX('1-DATA'!$1:$1048576,IF(OR($B525="STD. DEVIATION",$C$1=1),$A525,$A525+1),COLUMN('1-DATA'!Y523)),IF($B525="STD. DEVIATION",2,$F$1))))</f>
        <v/>
      </c>
      <c r="AA525" s="1" t="str">
        <f>IF(OR($B525="",AA$7=""),"",IF($B525="MEANS",INDEX('1-DATA'!$1:$1048576,$A524-1,COLUMN('1-DATA'!Z523)),ROUND(INDEX('1-DATA'!$1:$1048576,IF(OR($B525="STD. DEVIATION",$C$1=1),$A525,$A525+1),COLUMN('1-DATA'!Z523)),IF($B525="STD. DEVIATION",2,$F$1))))</f>
        <v/>
      </c>
      <c r="AB525" s="1" t="str">
        <f>IF(OR($B525="",AB$7=""),"",IF($B525="MEANS",INDEX('1-DATA'!$1:$1048576,$A524-1,COLUMN('1-DATA'!AA523)),ROUND(INDEX('1-DATA'!$1:$1048576,IF(OR($B525="STD. DEVIATION",$C$1=1),$A525,$A525+1),COLUMN('1-DATA'!AA523)),IF($B525="STD. DEVIATION",2,$F$1))))</f>
        <v/>
      </c>
      <c r="AC525" s="1" t="str">
        <f>IF(OR($B525="",AC$7=""),"",IF($B525="MEANS",INDEX('1-DATA'!$1:$1048576,$A524-1,COLUMN('1-DATA'!AB523)),ROUND(INDEX('1-DATA'!$1:$1048576,IF(OR($B525="STD. DEVIATION",$C$1=1),$A525,$A525+1),COLUMN('1-DATA'!AB523)),IF($B525="STD. DEVIATION",2,$F$1))))</f>
        <v/>
      </c>
      <c r="AD525" s="1" t="str">
        <f>IF(OR($B525="",AD$7=""),"",IF($B525="MEANS",INDEX('1-DATA'!$1:$1048576,$A524-1,COLUMN('1-DATA'!AC523)),ROUND(INDEX('1-DATA'!$1:$1048576,IF(OR($B525="STD. DEVIATION",$C$1=1),$A525,$A525+1),COLUMN('1-DATA'!AC523)),IF($B525="STD. DEVIATION",2,$F$1))))</f>
        <v/>
      </c>
      <c r="AE525" s="1" t="str">
        <f>IF(OR($B525="",AE$7=""),"",IF($B525="MEANS",INDEX('1-DATA'!$1:$1048576,$A524-1,COLUMN('1-DATA'!AD523)),ROUND(INDEX('1-DATA'!$1:$1048576,IF(OR($B525="STD. DEVIATION",$C$1=1),$A525,$A525+1),COLUMN('1-DATA'!AD523)),IF($B525="STD. DEVIATION",2,$F$1))))</f>
        <v/>
      </c>
      <c r="AF525" s="1" t="str">
        <f>IF(OR($B525="",AF$7=""),"",IF($B525="MEANS",INDEX('1-DATA'!$1:$1048576,$A524-1,COLUMN('1-DATA'!AE523)),ROUND(INDEX('1-DATA'!$1:$1048576,IF(OR($B525="STD. DEVIATION",$C$1=1),$A525,$A525+1),COLUMN('1-DATA'!AE523)),IF($B525="STD. DEVIATION",2,$F$1))))</f>
        <v/>
      </c>
      <c r="AG525" s="1" t="str">
        <f>IF(OR($B525="",AG$7=""),"",IF($B525="MEANS",INDEX('1-DATA'!$1:$1048576,$A524-1,COLUMN('1-DATA'!AF523)),ROUND(INDEX('1-DATA'!$1:$1048576,IF(OR($B525="STD. DEVIATION",$C$1=1),$A525,$A525+1),COLUMN('1-DATA'!AF523)),IF($B525="STD. DEVIATION",2,$F$1))))</f>
        <v/>
      </c>
      <c r="AH525" s="1" t="str">
        <f>IF(OR($B525="",AH$7=""),"",IF($B525="MEANS",INDEX('1-DATA'!$1:$1048576,$A524-1,COLUMN('1-DATA'!AG523)),ROUND(INDEX('1-DATA'!$1:$1048576,IF(OR($B525="STD. DEVIATION",$C$1=1),$A525,$A525+1),COLUMN('1-DATA'!AG523)),IF($B525="STD. DEVIATION",2,$F$1))))</f>
        <v/>
      </c>
      <c r="AI525" s="1" t="str">
        <f>IF(OR($B525="",AI$7=""),"",IF($B525="MEANS",INDEX('1-DATA'!$1:$1048576,$A524-1,COLUMN('1-DATA'!AH523)),ROUND(INDEX('1-DATA'!$1:$1048576,IF(OR($B525="STD. DEVIATION",$C$1=1),$A525,$A525+1),COLUMN('1-DATA'!AH523)),IF($B525="STD. DEVIATION",2,$F$1))))</f>
        <v/>
      </c>
      <c r="AJ525" s="1" t="str">
        <f>IF(OR($B525="",AJ$7=""),"",IF($B525="MEANS",INDEX('1-DATA'!$1:$1048576,$A524-1,COLUMN('1-DATA'!AI523)),ROUND(INDEX('1-DATA'!$1:$1048576,IF(OR($B525="STD. DEVIATION",$C$1=1),$A525,$A525+1),COLUMN('1-DATA'!AI523)),IF($B525="STD. DEVIATION",2,$F$1))))</f>
        <v/>
      </c>
      <c r="AK525" s="1" t="str">
        <f>IF(OR($B525="",AK$7=""),"",IF($B525="MEANS",INDEX('1-DATA'!$1:$1048576,$A524-1,COLUMN('1-DATA'!AJ523)),ROUND(INDEX('1-DATA'!$1:$1048576,IF(OR($B525="STD. DEVIATION",$C$1=1),$A525,$A525+1),COLUMN('1-DATA'!AJ523)),IF($B525="STD. DEVIATION",2,$F$1))))</f>
        <v/>
      </c>
      <c r="AL525" s="1" t="str">
        <f>IF(OR($B525="",AL$7=""),"",IF($B525="MEANS",INDEX('1-DATA'!$1:$1048576,$A524-1,COLUMN('1-DATA'!AK523)),ROUND(INDEX('1-DATA'!$1:$1048576,IF(OR($B525="STD. DEVIATION",$C$1=1),$A525,$A525+1),COLUMN('1-DATA'!AK523)),IF($B525="STD. DEVIATION",2,$F$1))))</f>
        <v/>
      </c>
      <c r="AM525" s="1" t="str">
        <f>IF(OR($B525="",AM$7=""),"",IF($B525="MEANS",INDEX('1-DATA'!$1:$1048576,$A524-1,COLUMN('1-DATA'!AL523)),ROUND(INDEX('1-DATA'!$1:$1048576,IF(OR($B525="STD. DEVIATION",$C$1=1),$A525,$A525+1),COLUMN('1-DATA'!AL523)),IF($B525="STD. DEVIATION",2,$F$1))))</f>
        <v/>
      </c>
      <c r="AN525" s="1" t="str">
        <f>IF(OR($B525="",AN$7=""),"",IF($B525="MEANS",INDEX('1-DATA'!$1:$1048576,$A524-1,COLUMN('1-DATA'!AM523)),ROUND(INDEX('1-DATA'!$1:$1048576,IF(OR($B525="STD. DEVIATION",$C$1=1),$A525,$A525+1),COLUMN('1-DATA'!AM523)),IF($B525="STD. DEVIATION",2,$F$1))))</f>
        <v/>
      </c>
      <c r="AO525" s="1" t="str">
        <f>IF(OR($B525="",AO$7=""),"",IF($B525="MEANS",INDEX('1-DATA'!$1:$1048576,$A524-1,COLUMN('1-DATA'!AN523)),ROUND(INDEX('1-DATA'!$1:$1048576,IF(OR($B525="STD. DEVIATION",$C$1=1),$A525,$A525+1),COLUMN('1-DATA'!AN523)),IF($B525="STD. DEVIATION",2,$F$1))))</f>
        <v/>
      </c>
      <c r="AP525" s="1" t="str">
        <f>IF(OR($B525="",AP$7=""),"",IF($B525="MEANS",INDEX('1-DATA'!$1:$1048576,$A524-1,COLUMN('1-DATA'!AO523)),ROUND(INDEX('1-DATA'!$1:$1048576,IF(OR($B525="STD. DEVIATION",$C$1=1),$A525,$A525+1),COLUMN('1-DATA'!AO523)),IF($B525="STD. DEVIATION",2,$F$1))))</f>
        <v/>
      </c>
      <c r="AQ525" s="1" t="str">
        <f>IF(OR($B525="",AQ$7=""),"",IF($B525="MEANS",INDEX('1-DATA'!$1:$1048576,$A524-1,COLUMN('1-DATA'!AP523)),ROUND(INDEX('1-DATA'!$1:$1048576,IF(OR($B525="STD. DEVIATION",$C$1=1),$A525,$A525+1),COLUMN('1-DATA'!AP523)),IF($B525="STD. DEVIATION",2,$F$1))))</f>
        <v/>
      </c>
      <c r="AR525" s="1" t="str">
        <f>IF(OR($B525="",AR$7=""),"",IF($B525="MEANS",INDEX('1-DATA'!$1:$1048576,$A524-1,COLUMN('1-DATA'!AQ523)),ROUND(INDEX('1-DATA'!$1:$1048576,IF(OR($B525="STD. DEVIATION",$C$1=1),$A525,$A525+1),COLUMN('1-DATA'!AQ523)),IF($B525="STD. DEVIATION",2,$F$1))))</f>
        <v/>
      </c>
      <c r="AS525" s="1" t="str">
        <f>IF(OR($B525="",AS$7=""),"",IF($B525="MEANS",INDEX('1-DATA'!$1:$1048576,$A524-1,COLUMN('1-DATA'!AR523)),ROUND(INDEX('1-DATA'!$1:$1048576,IF(OR($B525="STD. DEVIATION",$C$1=1),$A525,$A525+1),COLUMN('1-DATA'!AR523)),IF($B525="STD. DEVIATION",2,$F$1))))</f>
        <v/>
      </c>
      <c r="AT525" s="1" t="str">
        <f>IF(OR($B525="",AT$7=""),"",IF($B525="MEANS",INDEX('1-DATA'!$1:$1048576,$A524-1,COLUMN('1-DATA'!AS523)),ROUND(INDEX('1-DATA'!$1:$1048576,IF(OR($B525="STD. DEVIATION",$C$1=1),$A525,$A525+1),COLUMN('1-DATA'!AS523)),IF($B525="STD. DEVIATION",2,$F$1))))</f>
        <v/>
      </c>
      <c r="AU525" s="1" t="str">
        <f>IF(OR($B525="",AU$7=""),"",IF($B525="MEANS",INDEX('1-DATA'!$1:$1048576,$A524-1,COLUMN('1-DATA'!AT523)),ROUND(INDEX('1-DATA'!$1:$1048576,IF(OR($B525="STD. DEVIATION",$C$1=1),$A525,$A525+1),COLUMN('1-DATA'!AT523)),IF($B525="STD. DEVIATION",2,$F$1))))</f>
        <v/>
      </c>
      <c r="AV525" s="1" t="str">
        <f>IF(OR($B525="",AV$7=""),"",IF($B525="MEANS",INDEX('1-DATA'!$1:$1048576,$A524-1,COLUMN('1-DATA'!AU523)),ROUND(INDEX('1-DATA'!$1:$1048576,IF(OR($B525="STD. DEVIATION",$C$1=1),$A525,$A525+1),COLUMN('1-DATA'!AU523)),IF($B525="STD. DEVIATION",2,$F$1))))</f>
        <v/>
      </c>
      <c r="AW525" s="1" t="str">
        <f>IF(OR($B525="",AW$7=""),"",IF($B525="MEANS",INDEX('1-DATA'!$1:$1048576,$A524-1,COLUMN('1-DATA'!AV523)),ROUND(INDEX('1-DATA'!$1:$1048576,IF(OR($B525="STD. DEVIATION",$C$1=1),$A525,$A525+1),COLUMN('1-DATA'!AV523)),IF($B525="STD. DEVIATION",2,$F$1))))</f>
        <v/>
      </c>
      <c r="AX525" s="1" t="str">
        <f>IF(OR($B525="",AX$7=""),"",IF($B525="MEANS",INDEX('1-DATA'!$1:$1048576,$A524-1,COLUMN('1-DATA'!AW523)),ROUND(INDEX('1-DATA'!$1:$1048576,IF(OR($B525="STD. DEVIATION",$C$1=1),$A525,$A525+1),COLUMN('1-DATA'!AW523)),IF($B525="STD. DEVIATION",2,$F$1))))</f>
        <v/>
      </c>
      <c r="AY525" s="1" t="str">
        <f>IF(OR($B525="",AY$7=""),"",IF($B525="MEANS",INDEX('1-DATA'!$1:$1048576,$A524-1,COLUMN('1-DATA'!AX523)),ROUND(INDEX('1-DATA'!$1:$1048576,IF(OR($B525="STD. DEVIATION",$C$1=1),$A525,$A525+1),COLUMN('1-DATA'!AX523)),IF($B525="STD. DEVIATION",2,$F$1))))</f>
        <v/>
      </c>
      <c r="AZ525" s="1" t="str">
        <f>IF(OR($B525="",AZ$7=""),"",IF($B525="MEANS",INDEX('1-DATA'!$1:$1048576,$A524-1,COLUMN('1-DATA'!AY523)),ROUND(INDEX('1-DATA'!$1:$1048576,IF(OR($B525="STD. DEVIATION",$C$1=1),$A525,$A525+1),COLUMN('1-DATA'!AY523)),IF($B525="STD. DEVIATION",2,$F$1))))</f>
        <v/>
      </c>
    </row>
    <row r="526" spans="1:52" x14ac:dyDescent="0.25">
      <c r="A526" s="11">
        <f t="shared" si="8"/>
        <v>1564</v>
      </c>
      <c r="B526" s="1" t="str">
        <f>IF(B525="STD. DEVIATION",INDEX('1-DATA'!$1:$1048576,$A525-1,1),IF(INDEX('1-DATA'!$1:$1048576,$A526,1)&lt;&gt;"",INDEX('1-DATA'!$1:$1048576,$A526,1),""))</f>
        <v/>
      </c>
      <c r="C526" s="1" t="str">
        <f>IF(OR($B526="",C$7=""),"",IF($B526="MEANS",INDEX('1-DATA'!$1:$1048576,$A525-1,COLUMN('1-DATA'!B524)),ROUND(INDEX('1-DATA'!$1:$1048576,IF(OR($B526="STD. DEVIATION",$C$1=1),$A526,$A526+1),COLUMN('1-DATA'!B524)),IF($B526="STD. DEVIATION",2,$F$1))))</f>
        <v/>
      </c>
      <c r="D526" s="1" t="str">
        <f>IF(OR($B526="",D$7=""),"",IF($B526="MEANS",INDEX('1-DATA'!$1:$1048576,$A525-1,COLUMN('1-DATA'!C524)),ROUND(INDEX('1-DATA'!$1:$1048576,IF(OR($B526="STD. DEVIATION",$C$1=1),$A526,$A526+1),COLUMN('1-DATA'!C524)),IF($B526="STD. DEVIATION",2,$F$1))))</f>
        <v/>
      </c>
      <c r="E526" s="1" t="str">
        <f>IF(OR($B526="",E$7=""),"",IF($B526="MEANS",INDEX('1-DATA'!$1:$1048576,$A525-1,COLUMN('1-DATA'!D524)),ROUND(INDEX('1-DATA'!$1:$1048576,IF(OR($B526="STD. DEVIATION",$C$1=1),$A526,$A526+1),COLUMN('1-DATA'!D524)),IF($B526="STD. DEVIATION",2,$F$1))))</f>
        <v/>
      </c>
      <c r="F526" s="1" t="str">
        <f>IF(OR($B526="",F$7=""),"",IF($B526="MEANS",INDEX('1-DATA'!$1:$1048576,$A525-1,COLUMN('1-DATA'!E524)),ROUND(INDEX('1-DATA'!$1:$1048576,IF(OR($B526="STD. DEVIATION",$C$1=1),$A526,$A526+1),COLUMN('1-DATA'!E524)),IF($B526="STD. DEVIATION",2,$F$1))))</f>
        <v/>
      </c>
      <c r="G526" s="1" t="str">
        <f>IF(OR($B526="",G$7=""),"",IF($B526="MEANS",INDEX('1-DATA'!$1:$1048576,$A525-1,COLUMN('1-DATA'!F524)),ROUND(INDEX('1-DATA'!$1:$1048576,IF(OR($B526="STD. DEVIATION",$C$1=1),$A526,$A526+1),COLUMN('1-DATA'!F524)),IF($B526="STD. DEVIATION",2,$F$1))))</f>
        <v/>
      </c>
      <c r="H526" s="1" t="str">
        <f>IF(OR($B526="",H$7=""),"",IF($B526="MEANS",INDEX('1-DATA'!$1:$1048576,$A525-1,COLUMN('1-DATA'!G524)),ROUND(INDEX('1-DATA'!$1:$1048576,IF(OR($B526="STD. DEVIATION",$C$1=1),$A526,$A526+1),COLUMN('1-DATA'!G524)),IF($B526="STD. DEVIATION",2,$F$1))))</f>
        <v/>
      </c>
      <c r="I526" s="1" t="str">
        <f>IF(OR($B526="",I$7=""),"",IF($B526="MEANS",INDEX('1-DATA'!$1:$1048576,$A525-1,COLUMN('1-DATA'!H524)),ROUND(INDEX('1-DATA'!$1:$1048576,IF(OR($B526="STD. DEVIATION",$C$1=1),$A526,$A526+1),COLUMN('1-DATA'!H524)),IF($B526="STD. DEVIATION",2,$F$1))))</f>
        <v/>
      </c>
      <c r="J526" s="1" t="str">
        <f>IF(OR($B526="",J$7=""),"",IF($B526="MEANS",INDEX('1-DATA'!$1:$1048576,$A525-1,COLUMN('1-DATA'!I524)),ROUND(INDEX('1-DATA'!$1:$1048576,IF(OR($B526="STD. DEVIATION",$C$1=1),$A526,$A526+1),COLUMN('1-DATA'!I524)),IF($B526="STD. DEVIATION",2,$F$1))))</f>
        <v/>
      </c>
      <c r="K526" s="1" t="str">
        <f>IF(OR($B526="",K$7=""),"",IF($B526="MEANS",INDEX('1-DATA'!$1:$1048576,$A525-1,COLUMN('1-DATA'!J524)),ROUND(INDEX('1-DATA'!$1:$1048576,IF(OR($B526="STD. DEVIATION",$C$1=1),$A526,$A526+1),COLUMN('1-DATA'!J524)),IF($B526="STD. DEVIATION",2,$F$1))))</f>
        <v/>
      </c>
      <c r="L526" s="1" t="str">
        <f>IF(OR($B526="",L$7=""),"",IF($B526="MEANS",INDEX('1-DATA'!$1:$1048576,$A525-1,COLUMN('1-DATA'!K524)),ROUND(INDEX('1-DATA'!$1:$1048576,IF(OR($B526="STD. DEVIATION",$C$1=1),$A526,$A526+1),COLUMN('1-DATA'!K524)),IF($B526="STD. DEVIATION",2,$F$1))))</f>
        <v/>
      </c>
      <c r="M526" s="1" t="str">
        <f>IF(OR($B526="",M$7=""),"",IF($B526="MEANS",INDEX('1-DATA'!$1:$1048576,$A525-1,COLUMN('1-DATA'!L524)),ROUND(INDEX('1-DATA'!$1:$1048576,IF(OR($B526="STD. DEVIATION",$C$1=1),$A526,$A526+1),COLUMN('1-DATA'!L524)),IF($B526="STD. DEVIATION",2,$F$1))))</f>
        <v/>
      </c>
      <c r="N526" s="1" t="str">
        <f>IF(OR($B526="",N$7=""),"",IF($B526="MEANS",INDEX('1-DATA'!$1:$1048576,$A525-1,COLUMN('1-DATA'!M524)),ROUND(INDEX('1-DATA'!$1:$1048576,IF(OR($B526="STD. DEVIATION",$C$1=1),$A526,$A526+1),COLUMN('1-DATA'!M524)),IF($B526="STD. DEVIATION",2,$F$1))))</f>
        <v/>
      </c>
      <c r="O526" s="1" t="str">
        <f>IF(OR($B526="",O$7=""),"",IF($B526="MEANS",INDEX('1-DATA'!$1:$1048576,$A525-1,COLUMN('1-DATA'!N524)),ROUND(INDEX('1-DATA'!$1:$1048576,IF(OR($B526="STD. DEVIATION",$C$1=1),$A526,$A526+1),COLUMN('1-DATA'!N524)),IF($B526="STD. DEVIATION",2,$F$1))))</f>
        <v/>
      </c>
      <c r="P526" s="1" t="str">
        <f>IF(OR($B526="",P$7=""),"",IF($B526="MEANS",INDEX('1-DATA'!$1:$1048576,$A525-1,COLUMN('1-DATA'!O524)),ROUND(INDEX('1-DATA'!$1:$1048576,IF(OR($B526="STD. DEVIATION",$C$1=1),$A526,$A526+1),COLUMN('1-DATA'!O524)),IF($B526="STD. DEVIATION",2,$F$1))))</f>
        <v/>
      </c>
      <c r="Q526" s="1" t="str">
        <f>IF(OR($B526="",Q$7=""),"",IF($B526="MEANS",INDEX('1-DATA'!$1:$1048576,$A525-1,COLUMN('1-DATA'!P524)),ROUND(INDEX('1-DATA'!$1:$1048576,IF(OR($B526="STD. DEVIATION",$C$1=1),$A526,$A526+1),COLUMN('1-DATA'!P524)),IF($B526="STD. DEVIATION",2,$F$1))))</f>
        <v/>
      </c>
      <c r="R526" s="1" t="str">
        <f>IF(OR($B526="",R$7=""),"",IF($B526="MEANS",INDEX('1-DATA'!$1:$1048576,$A525-1,COLUMN('1-DATA'!Q524)),ROUND(INDEX('1-DATA'!$1:$1048576,IF(OR($B526="STD. DEVIATION",$C$1=1),$A526,$A526+1),COLUMN('1-DATA'!Q524)),IF($B526="STD. DEVIATION",2,$F$1))))</f>
        <v/>
      </c>
      <c r="S526" s="1" t="str">
        <f>IF(OR($B526="",S$7=""),"",IF($B526="MEANS",INDEX('1-DATA'!$1:$1048576,$A525-1,COLUMN('1-DATA'!R524)),ROUND(INDEX('1-DATA'!$1:$1048576,IF(OR($B526="STD. DEVIATION",$C$1=1),$A526,$A526+1),COLUMN('1-DATA'!R524)),IF($B526="STD. DEVIATION",2,$F$1))))</f>
        <v/>
      </c>
      <c r="T526" s="1" t="str">
        <f>IF(OR($B526="",T$7=""),"",IF($B526="MEANS",INDEX('1-DATA'!$1:$1048576,$A525-1,COLUMN('1-DATA'!S524)),ROUND(INDEX('1-DATA'!$1:$1048576,IF(OR($B526="STD. DEVIATION",$C$1=1),$A526,$A526+1),COLUMN('1-DATA'!S524)),IF($B526="STD. DEVIATION",2,$F$1))))</f>
        <v/>
      </c>
      <c r="U526" s="1" t="str">
        <f>IF(OR($B526="",U$7=""),"",IF($B526="MEANS",INDEX('1-DATA'!$1:$1048576,$A525-1,COLUMN('1-DATA'!T524)),ROUND(INDEX('1-DATA'!$1:$1048576,IF(OR($B526="STD. DEVIATION",$C$1=1),$A526,$A526+1),COLUMN('1-DATA'!T524)),IF($B526="STD. DEVIATION",2,$F$1))))</f>
        <v/>
      </c>
      <c r="V526" s="1" t="str">
        <f>IF(OR($B526="",V$7=""),"",IF($B526="MEANS",INDEX('1-DATA'!$1:$1048576,$A525-1,COLUMN('1-DATA'!U524)),ROUND(INDEX('1-DATA'!$1:$1048576,IF(OR($B526="STD. DEVIATION",$C$1=1),$A526,$A526+1),COLUMN('1-DATA'!U524)),IF($B526="STD. DEVIATION",2,$F$1))))</f>
        <v/>
      </c>
      <c r="W526" s="1" t="str">
        <f>IF(OR($B526="",W$7=""),"",IF($B526="MEANS",INDEX('1-DATA'!$1:$1048576,$A525-1,COLUMN('1-DATA'!V524)),ROUND(INDEX('1-DATA'!$1:$1048576,IF(OR($B526="STD. DEVIATION",$C$1=1),$A526,$A526+1),COLUMN('1-DATA'!V524)),IF($B526="STD. DEVIATION",2,$F$1))))</f>
        <v/>
      </c>
      <c r="X526" s="1" t="str">
        <f>IF(OR($B526="",X$7=""),"",IF($B526="MEANS",INDEX('1-DATA'!$1:$1048576,$A525-1,COLUMN('1-DATA'!W524)),ROUND(INDEX('1-DATA'!$1:$1048576,IF(OR($B526="STD. DEVIATION",$C$1=1),$A526,$A526+1),COLUMN('1-DATA'!W524)),IF($B526="STD. DEVIATION",2,$F$1))))</f>
        <v/>
      </c>
      <c r="Y526" s="1" t="str">
        <f>IF(OR($B526="",Y$7=""),"",IF($B526="MEANS",INDEX('1-DATA'!$1:$1048576,$A525-1,COLUMN('1-DATA'!X524)),ROUND(INDEX('1-DATA'!$1:$1048576,IF(OR($B526="STD. DEVIATION",$C$1=1),$A526,$A526+1),COLUMN('1-DATA'!X524)),IF($B526="STD. DEVIATION",2,$F$1))))</f>
        <v/>
      </c>
      <c r="Z526" s="1" t="str">
        <f>IF(OR($B526="",Z$7=""),"",IF($B526="MEANS",INDEX('1-DATA'!$1:$1048576,$A525-1,COLUMN('1-DATA'!Y524)),ROUND(INDEX('1-DATA'!$1:$1048576,IF(OR($B526="STD. DEVIATION",$C$1=1),$A526,$A526+1),COLUMN('1-DATA'!Y524)),IF($B526="STD. DEVIATION",2,$F$1))))</f>
        <v/>
      </c>
      <c r="AA526" s="1" t="str">
        <f>IF(OR($B526="",AA$7=""),"",IF($B526="MEANS",INDEX('1-DATA'!$1:$1048576,$A525-1,COLUMN('1-DATA'!Z524)),ROUND(INDEX('1-DATA'!$1:$1048576,IF(OR($B526="STD. DEVIATION",$C$1=1),$A526,$A526+1),COLUMN('1-DATA'!Z524)),IF($B526="STD. DEVIATION",2,$F$1))))</f>
        <v/>
      </c>
      <c r="AB526" s="1" t="str">
        <f>IF(OR($B526="",AB$7=""),"",IF($B526="MEANS",INDEX('1-DATA'!$1:$1048576,$A525-1,COLUMN('1-DATA'!AA524)),ROUND(INDEX('1-DATA'!$1:$1048576,IF(OR($B526="STD. DEVIATION",$C$1=1),$A526,$A526+1),COLUMN('1-DATA'!AA524)),IF($B526="STD. DEVIATION",2,$F$1))))</f>
        <v/>
      </c>
      <c r="AC526" s="1" t="str">
        <f>IF(OR($B526="",AC$7=""),"",IF($B526="MEANS",INDEX('1-DATA'!$1:$1048576,$A525-1,COLUMN('1-DATA'!AB524)),ROUND(INDEX('1-DATA'!$1:$1048576,IF(OR($B526="STD. DEVIATION",$C$1=1),$A526,$A526+1),COLUMN('1-DATA'!AB524)),IF($B526="STD. DEVIATION",2,$F$1))))</f>
        <v/>
      </c>
      <c r="AD526" s="1" t="str">
        <f>IF(OR($B526="",AD$7=""),"",IF($B526="MEANS",INDEX('1-DATA'!$1:$1048576,$A525-1,COLUMN('1-DATA'!AC524)),ROUND(INDEX('1-DATA'!$1:$1048576,IF(OR($B526="STD. DEVIATION",$C$1=1),$A526,$A526+1),COLUMN('1-DATA'!AC524)),IF($B526="STD. DEVIATION",2,$F$1))))</f>
        <v/>
      </c>
      <c r="AE526" s="1" t="str">
        <f>IF(OR($B526="",AE$7=""),"",IF($B526="MEANS",INDEX('1-DATA'!$1:$1048576,$A525-1,COLUMN('1-DATA'!AD524)),ROUND(INDEX('1-DATA'!$1:$1048576,IF(OR($B526="STD. DEVIATION",$C$1=1),$A526,$A526+1),COLUMN('1-DATA'!AD524)),IF($B526="STD. DEVIATION",2,$F$1))))</f>
        <v/>
      </c>
      <c r="AF526" s="1" t="str">
        <f>IF(OR($B526="",AF$7=""),"",IF($B526="MEANS",INDEX('1-DATA'!$1:$1048576,$A525-1,COLUMN('1-DATA'!AE524)),ROUND(INDEX('1-DATA'!$1:$1048576,IF(OR($B526="STD. DEVIATION",$C$1=1),$A526,$A526+1),COLUMN('1-DATA'!AE524)),IF($B526="STD. DEVIATION",2,$F$1))))</f>
        <v/>
      </c>
      <c r="AG526" s="1" t="str">
        <f>IF(OR($B526="",AG$7=""),"",IF($B526="MEANS",INDEX('1-DATA'!$1:$1048576,$A525-1,COLUMN('1-DATA'!AF524)),ROUND(INDEX('1-DATA'!$1:$1048576,IF(OR($B526="STD. DEVIATION",$C$1=1),$A526,$A526+1),COLUMN('1-DATA'!AF524)),IF($B526="STD. DEVIATION",2,$F$1))))</f>
        <v/>
      </c>
      <c r="AH526" s="1" t="str">
        <f>IF(OR($B526="",AH$7=""),"",IF($B526="MEANS",INDEX('1-DATA'!$1:$1048576,$A525-1,COLUMN('1-DATA'!AG524)),ROUND(INDEX('1-DATA'!$1:$1048576,IF(OR($B526="STD. DEVIATION",$C$1=1),$A526,$A526+1),COLUMN('1-DATA'!AG524)),IF($B526="STD. DEVIATION",2,$F$1))))</f>
        <v/>
      </c>
      <c r="AI526" s="1" t="str">
        <f>IF(OR($B526="",AI$7=""),"",IF($B526="MEANS",INDEX('1-DATA'!$1:$1048576,$A525-1,COLUMN('1-DATA'!AH524)),ROUND(INDEX('1-DATA'!$1:$1048576,IF(OR($B526="STD. DEVIATION",$C$1=1),$A526,$A526+1),COLUMN('1-DATA'!AH524)),IF($B526="STD. DEVIATION",2,$F$1))))</f>
        <v/>
      </c>
      <c r="AJ526" s="1" t="str">
        <f>IF(OR($B526="",AJ$7=""),"",IF($B526="MEANS",INDEX('1-DATA'!$1:$1048576,$A525-1,COLUMN('1-DATA'!AI524)),ROUND(INDEX('1-DATA'!$1:$1048576,IF(OR($B526="STD. DEVIATION",$C$1=1),$A526,$A526+1),COLUMN('1-DATA'!AI524)),IF($B526="STD. DEVIATION",2,$F$1))))</f>
        <v/>
      </c>
      <c r="AK526" s="1" t="str">
        <f>IF(OR($B526="",AK$7=""),"",IF($B526="MEANS",INDEX('1-DATA'!$1:$1048576,$A525-1,COLUMN('1-DATA'!AJ524)),ROUND(INDEX('1-DATA'!$1:$1048576,IF(OR($B526="STD. DEVIATION",$C$1=1),$A526,$A526+1),COLUMN('1-DATA'!AJ524)),IF($B526="STD. DEVIATION",2,$F$1))))</f>
        <v/>
      </c>
      <c r="AL526" s="1" t="str">
        <f>IF(OR($B526="",AL$7=""),"",IF($B526="MEANS",INDEX('1-DATA'!$1:$1048576,$A525-1,COLUMN('1-DATA'!AK524)),ROUND(INDEX('1-DATA'!$1:$1048576,IF(OR($B526="STD. DEVIATION",$C$1=1),$A526,$A526+1),COLUMN('1-DATA'!AK524)),IF($B526="STD. DEVIATION",2,$F$1))))</f>
        <v/>
      </c>
      <c r="AM526" s="1" t="str">
        <f>IF(OR($B526="",AM$7=""),"",IF($B526="MEANS",INDEX('1-DATA'!$1:$1048576,$A525-1,COLUMN('1-DATA'!AL524)),ROUND(INDEX('1-DATA'!$1:$1048576,IF(OR($B526="STD. DEVIATION",$C$1=1),$A526,$A526+1),COLUMN('1-DATA'!AL524)),IF($B526="STD. DEVIATION",2,$F$1))))</f>
        <v/>
      </c>
      <c r="AN526" s="1" t="str">
        <f>IF(OR($B526="",AN$7=""),"",IF($B526="MEANS",INDEX('1-DATA'!$1:$1048576,$A525-1,COLUMN('1-DATA'!AM524)),ROUND(INDEX('1-DATA'!$1:$1048576,IF(OR($B526="STD. DEVIATION",$C$1=1),$A526,$A526+1),COLUMN('1-DATA'!AM524)),IF($B526="STD. DEVIATION",2,$F$1))))</f>
        <v/>
      </c>
      <c r="AO526" s="1" t="str">
        <f>IF(OR($B526="",AO$7=""),"",IF($B526="MEANS",INDEX('1-DATA'!$1:$1048576,$A525-1,COLUMN('1-DATA'!AN524)),ROUND(INDEX('1-DATA'!$1:$1048576,IF(OR($B526="STD. DEVIATION",$C$1=1),$A526,$A526+1),COLUMN('1-DATA'!AN524)),IF($B526="STD. DEVIATION",2,$F$1))))</f>
        <v/>
      </c>
      <c r="AP526" s="1" t="str">
        <f>IF(OR($B526="",AP$7=""),"",IF($B526="MEANS",INDEX('1-DATA'!$1:$1048576,$A525-1,COLUMN('1-DATA'!AO524)),ROUND(INDEX('1-DATA'!$1:$1048576,IF(OR($B526="STD. DEVIATION",$C$1=1),$A526,$A526+1),COLUMN('1-DATA'!AO524)),IF($B526="STD. DEVIATION",2,$F$1))))</f>
        <v/>
      </c>
      <c r="AQ526" s="1" t="str">
        <f>IF(OR($B526="",AQ$7=""),"",IF($B526="MEANS",INDEX('1-DATA'!$1:$1048576,$A525-1,COLUMN('1-DATA'!AP524)),ROUND(INDEX('1-DATA'!$1:$1048576,IF(OR($B526="STD. DEVIATION",$C$1=1),$A526,$A526+1),COLUMN('1-DATA'!AP524)),IF($B526="STD. DEVIATION",2,$F$1))))</f>
        <v/>
      </c>
      <c r="AR526" s="1" t="str">
        <f>IF(OR($B526="",AR$7=""),"",IF($B526="MEANS",INDEX('1-DATA'!$1:$1048576,$A525-1,COLUMN('1-DATA'!AQ524)),ROUND(INDEX('1-DATA'!$1:$1048576,IF(OR($B526="STD. DEVIATION",$C$1=1),$A526,$A526+1),COLUMN('1-DATA'!AQ524)),IF($B526="STD. DEVIATION",2,$F$1))))</f>
        <v/>
      </c>
      <c r="AS526" s="1" t="str">
        <f>IF(OR($B526="",AS$7=""),"",IF($B526="MEANS",INDEX('1-DATA'!$1:$1048576,$A525-1,COLUMN('1-DATA'!AR524)),ROUND(INDEX('1-DATA'!$1:$1048576,IF(OR($B526="STD. DEVIATION",$C$1=1),$A526,$A526+1),COLUMN('1-DATA'!AR524)),IF($B526="STD. DEVIATION",2,$F$1))))</f>
        <v/>
      </c>
      <c r="AT526" s="1" t="str">
        <f>IF(OR($B526="",AT$7=""),"",IF($B526="MEANS",INDEX('1-DATA'!$1:$1048576,$A525-1,COLUMN('1-DATA'!AS524)),ROUND(INDEX('1-DATA'!$1:$1048576,IF(OR($B526="STD. DEVIATION",$C$1=1),$A526,$A526+1),COLUMN('1-DATA'!AS524)),IF($B526="STD. DEVIATION",2,$F$1))))</f>
        <v/>
      </c>
      <c r="AU526" s="1" t="str">
        <f>IF(OR($B526="",AU$7=""),"",IF($B526="MEANS",INDEX('1-DATA'!$1:$1048576,$A525-1,COLUMN('1-DATA'!AT524)),ROUND(INDEX('1-DATA'!$1:$1048576,IF(OR($B526="STD. DEVIATION",$C$1=1),$A526,$A526+1),COLUMN('1-DATA'!AT524)),IF($B526="STD. DEVIATION",2,$F$1))))</f>
        <v/>
      </c>
      <c r="AV526" s="1" t="str">
        <f>IF(OR($B526="",AV$7=""),"",IF($B526="MEANS",INDEX('1-DATA'!$1:$1048576,$A525-1,COLUMN('1-DATA'!AU524)),ROUND(INDEX('1-DATA'!$1:$1048576,IF(OR($B526="STD. DEVIATION",$C$1=1),$A526,$A526+1),COLUMN('1-DATA'!AU524)),IF($B526="STD. DEVIATION",2,$F$1))))</f>
        <v/>
      </c>
      <c r="AW526" s="1" t="str">
        <f>IF(OR($B526="",AW$7=""),"",IF($B526="MEANS",INDEX('1-DATA'!$1:$1048576,$A525-1,COLUMN('1-DATA'!AV524)),ROUND(INDEX('1-DATA'!$1:$1048576,IF(OR($B526="STD. DEVIATION",$C$1=1),$A526,$A526+1),COLUMN('1-DATA'!AV524)),IF($B526="STD. DEVIATION",2,$F$1))))</f>
        <v/>
      </c>
      <c r="AX526" s="1" t="str">
        <f>IF(OR($B526="",AX$7=""),"",IF($B526="MEANS",INDEX('1-DATA'!$1:$1048576,$A525-1,COLUMN('1-DATA'!AW524)),ROUND(INDEX('1-DATA'!$1:$1048576,IF(OR($B526="STD. DEVIATION",$C$1=1),$A526,$A526+1),COLUMN('1-DATA'!AW524)),IF($B526="STD. DEVIATION",2,$F$1))))</f>
        <v/>
      </c>
      <c r="AY526" s="1" t="str">
        <f>IF(OR($B526="",AY$7=""),"",IF($B526="MEANS",INDEX('1-DATA'!$1:$1048576,$A525-1,COLUMN('1-DATA'!AX524)),ROUND(INDEX('1-DATA'!$1:$1048576,IF(OR($B526="STD. DEVIATION",$C$1=1),$A526,$A526+1),COLUMN('1-DATA'!AX524)),IF($B526="STD. DEVIATION",2,$F$1))))</f>
        <v/>
      </c>
      <c r="AZ526" s="1" t="str">
        <f>IF(OR($B526="",AZ$7=""),"",IF($B526="MEANS",INDEX('1-DATA'!$1:$1048576,$A525-1,COLUMN('1-DATA'!AY524)),ROUND(INDEX('1-DATA'!$1:$1048576,IF(OR($B526="STD. DEVIATION",$C$1=1),$A526,$A526+1),COLUMN('1-DATA'!AY524)),IF($B526="STD. DEVIATION",2,$F$1))))</f>
        <v/>
      </c>
    </row>
    <row r="527" spans="1:52" x14ac:dyDescent="0.25">
      <c r="A527" s="11">
        <f t="shared" si="8"/>
        <v>1567</v>
      </c>
      <c r="B527" s="1" t="str">
        <f>IF(B526="STD. DEVIATION",INDEX('1-DATA'!$1:$1048576,$A526-1,1),IF(INDEX('1-DATA'!$1:$1048576,$A527,1)&lt;&gt;"",INDEX('1-DATA'!$1:$1048576,$A527,1),""))</f>
        <v/>
      </c>
      <c r="C527" s="1" t="str">
        <f>IF(OR($B527="",C$7=""),"",IF($B527="MEANS",INDEX('1-DATA'!$1:$1048576,$A526-1,COLUMN('1-DATA'!B525)),ROUND(INDEX('1-DATA'!$1:$1048576,IF(OR($B527="STD. DEVIATION",$C$1=1),$A527,$A527+1),COLUMN('1-DATA'!B525)),IF($B527="STD. DEVIATION",2,$F$1))))</f>
        <v/>
      </c>
      <c r="D527" s="1" t="str">
        <f>IF(OR($B527="",D$7=""),"",IF($B527="MEANS",INDEX('1-DATA'!$1:$1048576,$A526-1,COLUMN('1-DATA'!C525)),ROUND(INDEX('1-DATA'!$1:$1048576,IF(OR($B527="STD. DEVIATION",$C$1=1),$A527,$A527+1),COLUMN('1-DATA'!C525)),IF($B527="STD. DEVIATION",2,$F$1))))</f>
        <v/>
      </c>
      <c r="E527" s="1" t="str">
        <f>IF(OR($B527="",E$7=""),"",IF($B527="MEANS",INDEX('1-DATA'!$1:$1048576,$A526-1,COLUMN('1-DATA'!D525)),ROUND(INDEX('1-DATA'!$1:$1048576,IF(OR($B527="STD. DEVIATION",$C$1=1),$A527,$A527+1),COLUMN('1-DATA'!D525)),IF($B527="STD. DEVIATION",2,$F$1))))</f>
        <v/>
      </c>
      <c r="F527" s="1" t="str">
        <f>IF(OR($B527="",F$7=""),"",IF($B527="MEANS",INDEX('1-DATA'!$1:$1048576,$A526-1,COLUMN('1-DATA'!E525)),ROUND(INDEX('1-DATA'!$1:$1048576,IF(OR($B527="STD. DEVIATION",$C$1=1),$A527,$A527+1),COLUMN('1-DATA'!E525)),IF($B527="STD. DEVIATION",2,$F$1))))</f>
        <v/>
      </c>
      <c r="G527" s="1" t="str">
        <f>IF(OR($B527="",G$7=""),"",IF($B527="MEANS",INDEX('1-DATA'!$1:$1048576,$A526-1,COLUMN('1-DATA'!F525)),ROUND(INDEX('1-DATA'!$1:$1048576,IF(OR($B527="STD. DEVIATION",$C$1=1),$A527,$A527+1),COLUMN('1-DATA'!F525)),IF($B527="STD. DEVIATION",2,$F$1))))</f>
        <v/>
      </c>
      <c r="H527" s="1" t="str">
        <f>IF(OR($B527="",H$7=""),"",IF($B527="MEANS",INDEX('1-DATA'!$1:$1048576,$A526-1,COLUMN('1-DATA'!G525)),ROUND(INDEX('1-DATA'!$1:$1048576,IF(OR($B527="STD. DEVIATION",$C$1=1),$A527,$A527+1),COLUMN('1-DATA'!G525)),IF($B527="STD. DEVIATION",2,$F$1))))</f>
        <v/>
      </c>
      <c r="I527" s="1" t="str">
        <f>IF(OR($B527="",I$7=""),"",IF($B527="MEANS",INDEX('1-DATA'!$1:$1048576,$A526-1,COLUMN('1-DATA'!H525)),ROUND(INDEX('1-DATA'!$1:$1048576,IF(OR($B527="STD. DEVIATION",$C$1=1),$A527,$A527+1),COLUMN('1-DATA'!H525)),IF($B527="STD. DEVIATION",2,$F$1))))</f>
        <v/>
      </c>
      <c r="J527" s="1" t="str">
        <f>IF(OR($B527="",J$7=""),"",IF($B527="MEANS",INDEX('1-DATA'!$1:$1048576,$A526-1,COLUMN('1-DATA'!I525)),ROUND(INDEX('1-DATA'!$1:$1048576,IF(OR($B527="STD. DEVIATION",$C$1=1),$A527,$A527+1),COLUMN('1-DATA'!I525)),IF($B527="STD. DEVIATION",2,$F$1))))</f>
        <v/>
      </c>
      <c r="K527" s="1" t="str">
        <f>IF(OR($B527="",K$7=""),"",IF($B527="MEANS",INDEX('1-DATA'!$1:$1048576,$A526-1,COLUMN('1-DATA'!J525)),ROUND(INDEX('1-DATA'!$1:$1048576,IF(OR($B527="STD. DEVIATION",$C$1=1),$A527,$A527+1),COLUMN('1-DATA'!J525)),IF($B527="STD. DEVIATION",2,$F$1))))</f>
        <v/>
      </c>
      <c r="L527" s="1" t="str">
        <f>IF(OR($B527="",L$7=""),"",IF($B527="MEANS",INDEX('1-DATA'!$1:$1048576,$A526-1,COLUMN('1-DATA'!K525)),ROUND(INDEX('1-DATA'!$1:$1048576,IF(OR($B527="STD. DEVIATION",$C$1=1),$A527,$A527+1),COLUMN('1-DATA'!K525)),IF($B527="STD. DEVIATION",2,$F$1))))</f>
        <v/>
      </c>
      <c r="M527" s="1" t="str">
        <f>IF(OR($B527="",M$7=""),"",IF($B527="MEANS",INDEX('1-DATA'!$1:$1048576,$A526-1,COLUMN('1-DATA'!L525)),ROUND(INDEX('1-DATA'!$1:$1048576,IF(OR($B527="STD. DEVIATION",$C$1=1),$A527,$A527+1),COLUMN('1-DATA'!L525)),IF($B527="STD. DEVIATION",2,$F$1))))</f>
        <v/>
      </c>
      <c r="N527" s="1" t="str">
        <f>IF(OR($B527="",N$7=""),"",IF($B527="MEANS",INDEX('1-DATA'!$1:$1048576,$A526-1,COLUMN('1-DATA'!M525)),ROUND(INDEX('1-DATA'!$1:$1048576,IF(OR($B527="STD. DEVIATION",$C$1=1),$A527,$A527+1),COLUMN('1-DATA'!M525)),IF($B527="STD. DEVIATION",2,$F$1))))</f>
        <v/>
      </c>
      <c r="O527" s="1" t="str">
        <f>IF(OR($B527="",O$7=""),"",IF($B527="MEANS",INDEX('1-DATA'!$1:$1048576,$A526-1,COLUMN('1-DATA'!N525)),ROUND(INDEX('1-DATA'!$1:$1048576,IF(OR($B527="STD. DEVIATION",$C$1=1),$A527,$A527+1),COLUMN('1-DATA'!N525)),IF($B527="STD. DEVIATION",2,$F$1))))</f>
        <v/>
      </c>
      <c r="P527" s="1" t="str">
        <f>IF(OR($B527="",P$7=""),"",IF($B527="MEANS",INDEX('1-DATA'!$1:$1048576,$A526-1,COLUMN('1-DATA'!O525)),ROUND(INDEX('1-DATA'!$1:$1048576,IF(OR($B527="STD. DEVIATION",$C$1=1),$A527,$A527+1),COLUMN('1-DATA'!O525)),IF($B527="STD. DEVIATION",2,$F$1))))</f>
        <v/>
      </c>
      <c r="Q527" s="1" t="str">
        <f>IF(OR($B527="",Q$7=""),"",IF($B527="MEANS",INDEX('1-DATA'!$1:$1048576,$A526-1,COLUMN('1-DATA'!P525)),ROUND(INDEX('1-DATA'!$1:$1048576,IF(OR($B527="STD. DEVIATION",$C$1=1),$A527,$A527+1),COLUMN('1-DATA'!P525)),IF($B527="STD. DEVIATION",2,$F$1))))</f>
        <v/>
      </c>
      <c r="R527" s="1" t="str">
        <f>IF(OR($B527="",R$7=""),"",IF($B527="MEANS",INDEX('1-DATA'!$1:$1048576,$A526-1,COLUMN('1-DATA'!Q525)),ROUND(INDEX('1-DATA'!$1:$1048576,IF(OR($B527="STD. DEVIATION",$C$1=1),$A527,$A527+1),COLUMN('1-DATA'!Q525)),IF($B527="STD. DEVIATION",2,$F$1))))</f>
        <v/>
      </c>
      <c r="S527" s="1" t="str">
        <f>IF(OR($B527="",S$7=""),"",IF($B527="MEANS",INDEX('1-DATA'!$1:$1048576,$A526-1,COLUMN('1-DATA'!R525)),ROUND(INDEX('1-DATA'!$1:$1048576,IF(OR($B527="STD. DEVIATION",$C$1=1),$A527,$A527+1),COLUMN('1-DATA'!R525)),IF($B527="STD. DEVIATION",2,$F$1))))</f>
        <v/>
      </c>
      <c r="T527" s="1" t="str">
        <f>IF(OR($B527="",T$7=""),"",IF($B527="MEANS",INDEX('1-DATA'!$1:$1048576,$A526-1,COLUMN('1-DATA'!S525)),ROUND(INDEX('1-DATA'!$1:$1048576,IF(OR($B527="STD. DEVIATION",$C$1=1),$A527,$A527+1),COLUMN('1-DATA'!S525)),IF($B527="STD. DEVIATION",2,$F$1))))</f>
        <v/>
      </c>
      <c r="U527" s="1" t="str">
        <f>IF(OR($B527="",U$7=""),"",IF($B527="MEANS",INDEX('1-DATA'!$1:$1048576,$A526-1,COLUMN('1-DATA'!T525)),ROUND(INDEX('1-DATA'!$1:$1048576,IF(OR($B527="STD. DEVIATION",$C$1=1),$A527,$A527+1),COLUMN('1-DATA'!T525)),IF($B527="STD. DEVIATION",2,$F$1))))</f>
        <v/>
      </c>
      <c r="V527" s="1" t="str">
        <f>IF(OR($B527="",V$7=""),"",IF($B527="MEANS",INDEX('1-DATA'!$1:$1048576,$A526-1,COLUMN('1-DATA'!U525)),ROUND(INDEX('1-DATA'!$1:$1048576,IF(OR($B527="STD. DEVIATION",$C$1=1),$A527,$A527+1),COLUMN('1-DATA'!U525)),IF($B527="STD. DEVIATION",2,$F$1))))</f>
        <v/>
      </c>
      <c r="W527" s="1" t="str">
        <f>IF(OR($B527="",W$7=""),"",IF($B527="MEANS",INDEX('1-DATA'!$1:$1048576,$A526-1,COLUMN('1-DATA'!V525)),ROUND(INDEX('1-DATA'!$1:$1048576,IF(OR($B527="STD. DEVIATION",$C$1=1),$A527,$A527+1),COLUMN('1-DATA'!V525)),IF($B527="STD. DEVIATION",2,$F$1))))</f>
        <v/>
      </c>
      <c r="X527" s="1" t="str">
        <f>IF(OR($B527="",X$7=""),"",IF($B527="MEANS",INDEX('1-DATA'!$1:$1048576,$A526-1,COLUMN('1-DATA'!W525)),ROUND(INDEX('1-DATA'!$1:$1048576,IF(OR($B527="STD. DEVIATION",$C$1=1),$A527,$A527+1),COLUMN('1-DATA'!W525)),IF($B527="STD. DEVIATION",2,$F$1))))</f>
        <v/>
      </c>
      <c r="Y527" s="1" t="str">
        <f>IF(OR($B527="",Y$7=""),"",IF($B527="MEANS",INDEX('1-DATA'!$1:$1048576,$A526-1,COLUMN('1-DATA'!X525)),ROUND(INDEX('1-DATA'!$1:$1048576,IF(OR($B527="STD. DEVIATION",$C$1=1),$A527,$A527+1),COLUMN('1-DATA'!X525)),IF($B527="STD. DEVIATION",2,$F$1))))</f>
        <v/>
      </c>
      <c r="Z527" s="1" t="str">
        <f>IF(OR($B527="",Z$7=""),"",IF($B527="MEANS",INDEX('1-DATA'!$1:$1048576,$A526-1,COLUMN('1-DATA'!Y525)),ROUND(INDEX('1-DATA'!$1:$1048576,IF(OR($B527="STD. DEVIATION",$C$1=1),$A527,$A527+1),COLUMN('1-DATA'!Y525)),IF($B527="STD. DEVIATION",2,$F$1))))</f>
        <v/>
      </c>
      <c r="AA527" s="1" t="str">
        <f>IF(OR($B527="",AA$7=""),"",IF($B527="MEANS",INDEX('1-DATA'!$1:$1048576,$A526-1,COLUMN('1-DATA'!Z525)),ROUND(INDEX('1-DATA'!$1:$1048576,IF(OR($B527="STD. DEVIATION",$C$1=1),$A527,$A527+1),COLUMN('1-DATA'!Z525)),IF($B527="STD. DEVIATION",2,$F$1))))</f>
        <v/>
      </c>
      <c r="AB527" s="1" t="str">
        <f>IF(OR($B527="",AB$7=""),"",IF($B527="MEANS",INDEX('1-DATA'!$1:$1048576,$A526-1,COLUMN('1-DATA'!AA525)),ROUND(INDEX('1-DATA'!$1:$1048576,IF(OR($B527="STD. DEVIATION",$C$1=1),$A527,$A527+1),COLUMN('1-DATA'!AA525)),IF($B527="STD. DEVIATION",2,$F$1))))</f>
        <v/>
      </c>
      <c r="AC527" s="1" t="str">
        <f>IF(OR($B527="",AC$7=""),"",IF($B527="MEANS",INDEX('1-DATA'!$1:$1048576,$A526-1,COLUMN('1-DATA'!AB525)),ROUND(INDEX('1-DATA'!$1:$1048576,IF(OR($B527="STD. DEVIATION",$C$1=1),$A527,$A527+1),COLUMN('1-DATA'!AB525)),IF($B527="STD. DEVIATION",2,$F$1))))</f>
        <v/>
      </c>
      <c r="AD527" s="1" t="str">
        <f>IF(OR($B527="",AD$7=""),"",IF($B527="MEANS",INDEX('1-DATA'!$1:$1048576,$A526-1,COLUMN('1-DATA'!AC525)),ROUND(INDEX('1-DATA'!$1:$1048576,IF(OR($B527="STD. DEVIATION",$C$1=1),$A527,$A527+1),COLUMN('1-DATA'!AC525)),IF($B527="STD. DEVIATION",2,$F$1))))</f>
        <v/>
      </c>
      <c r="AE527" s="1" t="str">
        <f>IF(OR($B527="",AE$7=""),"",IF($B527="MEANS",INDEX('1-DATA'!$1:$1048576,$A526-1,COLUMN('1-DATA'!AD525)),ROUND(INDEX('1-DATA'!$1:$1048576,IF(OR($B527="STD. DEVIATION",$C$1=1),$A527,$A527+1),COLUMN('1-DATA'!AD525)),IF($B527="STD. DEVIATION",2,$F$1))))</f>
        <v/>
      </c>
      <c r="AF527" s="1" t="str">
        <f>IF(OR($B527="",AF$7=""),"",IF($B527="MEANS",INDEX('1-DATA'!$1:$1048576,$A526-1,COLUMN('1-DATA'!AE525)),ROUND(INDEX('1-DATA'!$1:$1048576,IF(OR($B527="STD. DEVIATION",$C$1=1),$A527,$A527+1),COLUMN('1-DATA'!AE525)),IF($B527="STD. DEVIATION",2,$F$1))))</f>
        <v/>
      </c>
      <c r="AG527" s="1" t="str">
        <f>IF(OR($B527="",AG$7=""),"",IF($B527="MEANS",INDEX('1-DATA'!$1:$1048576,$A526-1,COLUMN('1-DATA'!AF525)),ROUND(INDEX('1-DATA'!$1:$1048576,IF(OR($B527="STD. DEVIATION",$C$1=1),$A527,$A527+1),COLUMN('1-DATA'!AF525)),IF($B527="STD. DEVIATION",2,$F$1))))</f>
        <v/>
      </c>
      <c r="AH527" s="1" t="str">
        <f>IF(OR($B527="",AH$7=""),"",IF($B527="MEANS",INDEX('1-DATA'!$1:$1048576,$A526-1,COLUMN('1-DATA'!AG525)),ROUND(INDEX('1-DATA'!$1:$1048576,IF(OR($B527="STD. DEVIATION",$C$1=1),$A527,$A527+1),COLUMN('1-DATA'!AG525)),IF($B527="STD. DEVIATION",2,$F$1))))</f>
        <v/>
      </c>
      <c r="AI527" s="1" t="str">
        <f>IF(OR($B527="",AI$7=""),"",IF($B527="MEANS",INDEX('1-DATA'!$1:$1048576,$A526-1,COLUMN('1-DATA'!AH525)),ROUND(INDEX('1-DATA'!$1:$1048576,IF(OR($B527="STD. DEVIATION",$C$1=1),$A527,$A527+1),COLUMN('1-DATA'!AH525)),IF($B527="STD. DEVIATION",2,$F$1))))</f>
        <v/>
      </c>
      <c r="AJ527" s="1" t="str">
        <f>IF(OR($B527="",AJ$7=""),"",IF($B527="MEANS",INDEX('1-DATA'!$1:$1048576,$A526-1,COLUMN('1-DATA'!AI525)),ROUND(INDEX('1-DATA'!$1:$1048576,IF(OR($B527="STD. DEVIATION",$C$1=1),$A527,$A527+1),COLUMN('1-DATA'!AI525)),IF($B527="STD. DEVIATION",2,$F$1))))</f>
        <v/>
      </c>
      <c r="AK527" s="1" t="str">
        <f>IF(OR($B527="",AK$7=""),"",IF($B527="MEANS",INDEX('1-DATA'!$1:$1048576,$A526-1,COLUMN('1-DATA'!AJ525)),ROUND(INDEX('1-DATA'!$1:$1048576,IF(OR($B527="STD. DEVIATION",$C$1=1),$A527,$A527+1),COLUMN('1-DATA'!AJ525)),IF($B527="STD. DEVIATION",2,$F$1))))</f>
        <v/>
      </c>
      <c r="AL527" s="1" t="str">
        <f>IF(OR($B527="",AL$7=""),"",IF($B527="MEANS",INDEX('1-DATA'!$1:$1048576,$A526-1,COLUMN('1-DATA'!AK525)),ROUND(INDEX('1-DATA'!$1:$1048576,IF(OR($B527="STD. DEVIATION",$C$1=1),$A527,$A527+1),COLUMN('1-DATA'!AK525)),IF($B527="STD. DEVIATION",2,$F$1))))</f>
        <v/>
      </c>
      <c r="AM527" s="1" t="str">
        <f>IF(OR($B527="",AM$7=""),"",IF($B527="MEANS",INDEX('1-DATA'!$1:$1048576,$A526-1,COLUMN('1-DATA'!AL525)),ROUND(INDEX('1-DATA'!$1:$1048576,IF(OR($B527="STD. DEVIATION",$C$1=1),$A527,$A527+1),COLUMN('1-DATA'!AL525)),IF($B527="STD. DEVIATION",2,$F$1))))</f>
        <v/>
      </c>
      <c r="AN527" s="1" t="str">
        <f>IF(OR($B527="",AN$7=""),"",IF($B527="MEANS",INDEX('1-DATA'!$1:$1048576,$A526-1,COLUMN('1-DATA'!AM525)),ROUND(INDEX('1-DATA'!$1:$1048576,IF(OR($B527="STD. DEVIATION",$C$1=1),$A527,$A527+1),COLUMN('1-DATA'!AM525)),IF($B527="STD. DEVIATION",2,$F$1))))</f>
        <v/>
      </c>
      <c r="AO527" s="1" t="str">
        <f>IF(OR($B527="",AO$7=""),"",IF($B527="MEANS",INDEX('1-DATA'!$1:$1048576,$A526-1,COLUMN('1-DATA'!AN525)),ROUND(INDEX('1-DATA'!$1:$1048576,IF(OR($B527="STD. DEVIATION",$C$1=1),$A527,$A527+1),COLUMN('1-DATA'!AN525)),IF($B527="STD. DEVIATION",2,$F$1))))</f>
        <v/>
      </c>
      <c r="AP527" s="1" t="str">
        <f>IF(OR($B527="",AP$7=""),"",IF($B527="MEANS",INDEX('1-DATA'!$1:$1048576,$A526-1,COLUMN('1-DATA'!AO525)),ROUND(INDEX('1-DATA'!$1:$1048576,IF(OR($B527="STD. DEVIATION",$C$1=1),$A527,$A527+1),COLUMN('1-DATA'!AO525)),IF($B527="STD. DEVIATION",2,$F$1))))</f>
        <v/>
      </c>
      <c r="AQ527" s="1" t="str">
        <f>IF(OR($B527="",AQ$7=""),"",IF($B527="MEANS",INDEX('1-DATA'!$1:$1048576,$A526-1,COLUMN('1-DATA'!AP525)),ROUND(INDEX('1-DATA'!$1:$1048576,IF(OR($B527="STD. DEVIATION",$C$1=1),$A527,$A527+1),COLUMN('1-DATA'!AP525)),IF($B527="STD. DEVIATION",2,$F$1))))</f>
        <v/>
      </c>
      <c r="AR527" s="1" t="str">
        <f>IF(OR($B527="",AR$7=""),"",IF($B527="MEANS",INDEX('1-DATA'!$1:$1048576,$A526-1,COLUMN('1-DATA'!AQ525)),ROUND(INDEX('1-DATA'!$1:$1048576,IF(OR($B527="STD. DEVIATION",$C$1=1),$A527,$A527+1),COLUMN('1-DATA'!AQ525)),IF($B527="STD. DEVIATION",2,$F$1))))</f>
        <v/>
      </c>
      <c r="AS527" s="1" t="str">
        <f>IF(OR($B527="",AS$7=""),"",IF($B527="MEANS",INDEX('1-DATA'!$1:$1048576,$A526-1,COLUMN('1-DATA'!AR525)),ROUND(INDEX('1-DATA'!$1:$1048576,IF(OR($B527="STD. DEVIATION",$C$1=1),$A527,$A527+1),COLUMN('1-DATA'!AR525)),IF($B527="STD. DEVIATION",2,$F$1))))</f>
        <v/>
      </c>
      <c r="AT527" s="1" t="str">
        <f>IF(OR($B527="",AT$7=""),"",IF($B527="MEANS",INDEX('1-DATA'!$1:$1048576,$A526-1,COLUMN('1-DATA'!AS525)),ROUND(INDEX('1-DATA'!$1:$1048576,IF(OR($B527="STD. DEVIATION",$C$1=1),$A527,$A527+1),COLUMN('1-DATA'!AS525)),IF($B527="STD. DEVIATION",2,$F$1))))</f>
        <v/>
      </c>
      <c r="AU527" s="1" t="str">
        <f>IF(OR($B527="",AU$7=""),"",IF($B527="MEANS",INDEX('1-DATA'!$1:$1048576,$A526-1,COLUMN('1-DATA'!AT525)),ROUND(INDEX('1-DATA'!$1:$1048576,IF(OR($B527="STD. DEVIATION",$C$1=1),$A527,$A527+1),COLUMN('1-DATA'!AT525)),IF($B527="STD. DEVIATION",2,$F$1))))</f>
        <v/>
      </c>
      <c r="AV527" s="1" t="str">
        <f>IF(OR($B527="",AV$7=""),"",IF($B527="MEANS",INDEX('1-DATA'!$1:$1048576,$A526-1,COLUMN('1-DATA'!AU525)),ROUND(INDEX('1-DATA'!$1:$1048576,IF(OR($B527="STD. DEVIATION",$C$1=1),$A527,$A527+1),COLUMN('1-DATA'!AU525)),IF($B527="STD. DEVIATION",2,$F$1))))</f>
        <v/>
      </c>
      <c r="AW527" s="1" t="str">
        <f>IF(OR($B527="",AW$7=""),"",IF($B527="MEANS",INDEX('1-DATA'!$1:$1048576,$A526-1,COLUMN('1-DATA'!AV525)),ROUND(INDEX('1-DATA'!$1:$1048576,IF(OR($B527="STD. DEVIATION",$C$1=1),$A527,$A527+1),COLUMN('1-DATA'!AV525)),IF($B527="STD. DEVIATION",2,$F$1))))</f>
        <v/>
      </c>
      <c r="AX527" s="1" t="str">
        <f>IF(OR($B527="",AX$7=""),"",IF($B527="MEANS",INDEX('1-DATA'!$1:$1048576,$A526-1,COLUMN('1-DATA'!AW525)),ROUND(INDEX('1-DATA'!$1:$1048576,IF(OR($B527="STD. DEVIATION",$C$1=1),$A527,$A527+1),COLUMN('1-DATA'!AW525)),IF($B527="STD. DEVIATION",2,$F$1))))</f>
        <v/>
      </c>
      <c r="AY527" s="1" t="str">
        <f>IF(OR($B527="",AY$7=""),"",IF($B527="MEANS",INDEX('1-DATA'!$1:$1048576,$A526-1,COLUMN('1-DATA'!AX525)),ROUND(INDEX('1-DATA'!$1:$1048576,IF(OR($B527="STD. DEVIATION",$C$1=1),$A527,$A527+1),COLUMN('1-DATA'!AX525)),IF($B527="STD. DEVIATION",2,$F$1))))</f>
        <v/>
      </c>
      <c r="AZ527" s="1" t="str">
        <f>IF(OR($B527="",AZ$7=""),"",IF($B527="MEANS",INDEX('1-DATA'!$1:$1048576,$A526-1,COLUMN('1-DATA'!AY525)),ROUND(INDEX('1-DATA'!$1:$1048576,IF(OR($B527="STD. DEVIATION",$C$1=1),$A527,$A527+1),COLUMN('1-DATA'!AY525)),IF($B527="STD. DEVIATION",2,$F$1))))</f>
        <v/>
      </c>
    </row>
    <row r="528" spans="1:52" x14ac:dyDescent="0.25">
      <c r="A528" s="11">
        <f t="shared" si="8"/>
        <v>1570</v>
      </c>
      <c r="B528" s="1" t="str">
        <f>IF(B527="STD. DEVIATION",INDEX('1-DATA'!$1:$1048576,$A527-1,1),IF(INDEX('1-DATA'!$1:$1048576,$A528,1)&lt;&gt;"",INDEX('1-DATA'!$1:$1048576,$A528,1),""))</f>
        <v/>
      </c>
      <c r="C528" s="1" t="str">
        <f>IF(OR($B528="",C$7=""),"",IF($B528="MEANS",INDEX('1-DATA'!$1:$1048576,$A527-1,COLUMN('1-DATA'!B526)),ROUND(INDEX('1-DATA'!$1:$1048576,IF(OR($B528="STD. DEVIATION",$C$1=1),$A528,$A528+1),COLUMN('1-DATA'!B526)),IF($B528="STD. DEVIATION",2,$F$1))))</f>
        <v/>
      </c>
      <c r="D528" s="1" t="str">
        <f>IF(OR($B528="",D$7=""),"",IF($B528="MEANS",INDEX('1-DATA'!$1:$1048576,$A527-1,COLUMN('1-DATA'!C526)),ROUND(INDEX('1-DATA'!$1:$1048576,IF(OR($B528="STD. DEVIATION",$C$1=1),$A528,$A528+1),COLUMN('1-DATA'!C526)),IF($B528="STD. DEVIATION",2,$F$1))))</f>
        <v/>
      </c>
      <c r="E528" s="1" t="str">
        <f>IF(OR($B528="",E$7=""),"",IF($B528="MEANS",INDEX('1-DATA'!$1:$1048576,$A527-1,COLUMN('1-DATA'!D526)),ROUND(INDEX('1-DATA'!$1:$1048576,IF(OR($B528="STD. DEVIATION",$C$1=1),$A528,$A528+1),COLUMN('1-DATA'!D526)),IF($B528="STD. DEVIATION",2,$F$1))))</f>
        <v/>
      </c>
      <c r="F528" s="1" t="str">
        <f>IF(OR($B528="",F$7=""),"",IF($B528="MEANS",INDEX('1-DATA'!$1:$1048576,$A527-1,COLUMN('1-DATA'!E526)),ROUND(INDEX('1-DATA'!$1:$1048576,IF(OR($B528="STD. DEVIATION",$C$1=1),$A528,$A528+1),COLUMN('1-DATA'!E526)),IF($B528="STD. DEVIATION",2,$F$1))))</f>
        <v/>
      </c>
      <c r="G528" s="1" t="str">
        <f>IF(OR($B528="",G$7=""),"",IF($B528="MEANS",INDEX('1-DATA'!$1:$1048576,$A527-1,COLUMN('1-DATA'!F526)),ROUND(INDEX('1-DATA'!$1:$1048576,IF(OR($B528="STD. DEVIATION",$C$1=1),$A528,$A528+1),COLUMN('1-DATA'!F526)),IF($B528="STD. DEVIATION",2,$F$1))))</f>
        <v/>
      </c>
      <c r="H528" s="1" t="str">
        <f>IF(OR($B528="",H$7=""),"",IF($B528="MEANS",INDEX('1-DATA'!$1:$1048576,$A527-1,COLUMN('1-DATA'!G526)),ROUND(INDEX('1-DATA'!$1:$1048576,IF(OR($B528="STD. DEVIATION",$C$1=1),$A528,$A528+1),COLUMN('1-DATA'!G526)),IF($B528="STD. DEVIATION",2,$F$1))))</f>
        <v/>
      </c>
      <c r="I528" s="1" t="str">
        <f>IF(OR($B528="",I$7=""),"",IF($B528="MEANS",INDEX('1-DATA'!$1:$1048576,$A527-1,COLUMN('1-DATA'!H526)),ROUND(INDEX('1-DATA'!$1:$1048576,IF(OR($B528="STD. DEVIATION",$C$1=1),$A528,$A528+1),COLUMN('1-DATA'!H526)),IF($B528="STD. DEVIATION",2,$F$1))))</f>
        <v/>
      </c>
      <c r="J528" s="1" t="str">
        <f>IF(OR($B528="",J$7=""),"",IF($B528="MEANS",INDEX('1-DATA'!$1:$1048576,$A527-1,COLUMN('1-DATA'!I526)),ROUND(INDEX('1-DATA'!$1:$1048576,IF(OR($B528="STD. DEVIATION",$C$1=1),$A528,$A528+1),COLUMN('1-DATA'!I526)),IF($B528="STD. DEVIATION",2,$F$1))))</f>
        <v/>
      </c>
      <c r="K528" s="1" t="str">
        <f>IF(OR($B528="",K$7=""),"",IF($B528="MEANS",INDEX('1-DATA'!$1:$1048576,$A527-1,COLUMN('1-DATA'!J526)),ROUND(INDEX('1-DATA'!$1:$1048576,IF(OR($B528="STD. DEVIATION",$C$1=1),$A528,$A528+1),COLUMN('1-DATA'!J526)),IF($B528="STD. DEVIATION",2,$F$1))))</f>
        <v/>
      </c>
      <c r="L528" s="1" t="str">
        <f>IF(OR($B528="",L$7=""),"",IF($B528="MEANS",INDEX('1-DATA'!$1:$1048576,$A527-1,COLUMN('1-DATA'!K526)),ROUND(INDEX('1-DATA'!$1:$1048576,IF(OR($B528="STD. DEVIATION",$C$1=1),$A528,$A528+1),COLUMN('1-DATA'!K526)),IF($B528="STD. DEVIATION",2,$F$1))))</f>
        <v/>
      </c>
      <c r="M528" s="1" t="str">
        <f>IF(OR($B528="",M$7=""),"",IF($B528="MEANS",INDEX('1-DATA'!$1:$1048576,$A527-1,COLUMN('1-DATA'!L526)),ROUND(INDEX('1-DATA'!$1:$1048576,IF(OR($B528="STD. DEVIATION",$C$1=1),$A528,$A528+1),COLUMN('1-DATA'!L526)),IF($B528="STD. DEVIATION",2,$F$1))))</f>
        <v/>
      </c>
      <c r="N528" s="1" t="str">
        <f>IF(OR($B528="",N$7=""),"",IF($B528="MEANS",INDEX('1-DATA'!$1:$1048576,$A527-1,COLUMN('1-DATA'!M526)),ROUND(INDEX('1-DATA'!$1:$1048576,IF(OR($B528="STD. DEVIATION",$C$1=1),$A528,$A528+1),COLUMN('1-DATA'!M526)),IF($B528="STD. DEVIATION",2,$F$1))))</f>
        <v/>
      </c>
      <c r="O528" s="1" t="str">
        <f>IF(OR($B528="",O$7=""),"",IF($B528="MEANS",INDEX('1-DATA'!$1:$1048576,$A527-1,COLUMN('1-DATA'!N526)),ROUND(INDEX('1-DATA'!$1:$1048576,IF(OR($B528="STD. DEVIATION",$C$1=1),$A528,$A528+1),COLUMN('1-DATA'!N526)),IF($B528="STD. DEVIATION",2,$F$1))))</f>
        <v/>
      </c>
      <c r="P528" s="1" t="str">
        <f>IF(OR($B528="",P$7=""),"",IF($B528="MEANS",INDEX('1-DATA'!$1:$1048576,$A527-1,COLUMN('1-DATA'!O526)),ROUND(INDEX('1-DATA'!$1:$1048576,IF(OR($B528="STD. DEVIATION",$C$1=1),$A528,$A528+1),COLUMN('1-DATA'!O526)),IF($B528="STD. DEVIATION",2,$F$1))))</f>
        <v/>
      </c>
      <c r="Q528" s="1" t="str">
        <f>IF(OR($B528="",Q$7=""),"",IF($B528="MEANS",INDEX('1-DATA'!$1:$1048576,$A527-1,COLUMN('1-DATA'!P526)),ROUND(INDEX('1-DATA'!$1:$1048576,IF(OR($B528="STD. DEVIATION",$C$1=1),$A528,$A528+1),COLUMN('1-DATA'!P526)),IF($B528="STD. DEVIATION",2,$F$1))))</f>
        <v/>
      </c>
      <c r="R528" s="1" t="str">
        <f>IF(OR($B528="",R$7=""),"",IF($B528="MEANS",INDEX('1-DATA'!$1:$1048576,$A527-1,COLUMN('1-DATA'!Q526)),ROUND(INDEX('1-DATA'!$1:$1048576,IF(OR($B528="STD. DEVIATION",$C$1=1),$A528,$A528+1),COLUMN('1-DATA'!Q526)),IF($B528="STD. DEVIATION",2,$F$1))))</f>
        <v/>
      </c>
      <c r="S528" s="1" t="str">
        <f>IF(OR($B528="",S$7=""),"",IF($B528="MEANS",INDEX('1-DATA'!$1:$1048576,$A527-1,COLUMN('1-DATA'!R526)),ROUND(INDEX('1-DATA'!$1:$1048576,IF(OR($B528="STD. DEVIATION",$C$1=1),$A528,$A528+1),COLUMN('1-DATA'!R526)),IF($B528="STD. DEVIATION",2,$F$1))))</f>
        <v/>
      </c>
      <c r="T528" s="1" t="str">
        <f>IF(OR($B528="",T$7=""),"",IF($B528="MEANS",INDEX('1-DATA'!$1:$1048576,$A527-1,COLUMN('1-DATA'!S526)),ROUND(INDEX('1-DATA'!$1:$1048576,IF(OR($B528="STD. DEVIATION",$C$1=1),$A528,$A528+1),COLUMN('1-DATA'!S526)),IF($B528="STD. DEVIATION",2,$F$1))))</f>
        <v/>
      </c>
      <c r="U528" s="1" t="str">
        <f>IF(OR($B528="",U$7=""),"",IF($B528="MEANS",INDEX('1-DATA'!$1:$1048576,$A527-1,COLUMN('1-DATA'!T526)),ROUND(INDEX('1-DATA'!$1:$1048576,IF(OR($B528="STD. DEVIATION",$C$1=1),$A528,$A528+1),COLUMN('1-DATA'!T526)),IF($B528="STD. DEVIATION",2,$F$1))))</f>
        <v/>
      </c>
      <c r="V528" s="1" t="str">
        <f>IF(OR($B528="",V$7=""),"",IF($B528="MEANS",INDEX('1-DATA'!$1:$1048576,$A527-1,COLUMN('1-DATA'!U526)),ROUND(INDEX('1-DATA'!$1:$1048576,IF(OR($B528="STD. DEVIATION",$C$1=1),$A528,$A528+1),COLUMN('1-DATA'!U526)),IF($B528="STD. DEVIATION",2,$F$1))))</f>
        <v/>
      </c>
      <c r="W528" s="1" t="str">
        <f>IF(OR($B528="",W$7=""),"",IF($B528="MEANS",INDEX('1-DATA'!$1:$1048576,$A527-1,COLUMN('1-DATA'!V526)),ROUND(INDEX('1-DATA'!$1:$1048576,IF(OR($B528="STD. DEVIATION",$C$1=1),$A528,$A528+1),COLUMN('1-DATA'!V526)),IF($B528="STD. DEVIATION",2,$F$1))))</f>
        <v/>
      </c>
      <c r="X528" s="1" t="str">
        <f>IF(OR($B528="",X$7=""),"",IF($B528="MEANS",INDEX('1-DATA'!$1:$1048576,$A527-1,COLUMN('1-DATA'!W526)),ROUND(INDEX('1-DATA'!$1:$1048576,IF(OR($B528="STD. DEVIATION",$C$1=1),$A528,$A528+1),COLUMN('1-DATA'!W526)),IF($B528="STD. DEVIATION",2,$F$1))))</f>
        <v/>
      </c>
      <c r="Y528" s="1" t="str">
        <f>IF(OR($B528="",Y$7=""),"",IF($B528="MEANS",INDEX('1-DATA'!$1:$1048576,$A527-1,COLUMN('1-DATA'!X526)),ROUND(INDEX('1-DATA'!$1:$1048576,IF(OR($B528="STD. DEVIATION",$C$1=1),$A528,$A528+1),COLUMN('1-DATA'!X526)),IF($B528="STD. DEVIATION",2,$F$1))))</f>
        <v/>
      </c>
      <c r="Z528" s="1" t="str">
        <f>IF(OR($B528="",Z$7=""),"",IF($B528="MEANS",INDEX('1-DATA'!$1:$1048576,$A527-1,COLUMN('1-DATA'!Y526)),ROUND(INDEX('1-DATA'!$1:$1048576,IF(OR($B528="STD. DEVIATION",$C$1=1),$A528,$A528+1),COLUMN('1-DATA'!Y526)),IF($B528="STD. DEVIATION",2,$F$1))))</f>
        <v/>
      </c>
      <c r="AA528" s="1" t="str">
        <f>IF(OR($B528="",AA$7=""),"",IF($B528="MEANS",INDEX('1-DATA'!$1:$1048576,$A527-1,COLUMN('1-DATA'!Z526)),ROUND(INDEX('1-DATA'!$1:$1048576,IF(OR($B528="STD. DEVIATION",$C$1=1),$A528,$A528+1),COLUMN('1-DATA'!Z526)),IF($B528="STD. DEVIATION",2,$F$1))))</f>
        <v/>
      </c>
      <c r="AB528" s="1" t="str">
        <f>IF(OR($B528="",AB$7=""),"",IF($B528="MEANS",INDEX('1-DATA'!$1:$1048576,$A527-1,COLUMN('1-DATA'!AA526)),ROUND(INDEX('1-DATA'!$1:$1048576,IF(OR($B528="STD. DEVIATION",$C$1=1),$A528,$A528+1),COLUMN('1-DATA'!AA526)),IF($B528="STD. DEVIATION",2,$F$1))))</f>
        <v/>
      </c>
      <c r="AC528" s="1" t="str">
        <f>IF(OR($B528="",AC$7=""),"",IF($B528="MEANS",INDEX('1-DATA'!$1:$1048576,$A527-1,COLUMN('1-DATA'!AB526)),ROUND(INDEX('1-DATA'!$1:$1048576,IF(OR($B528="STD. DEVIATION",$C$1=1),$A528,$A528+1),COLUMN('1-DATA'!AB526)),IF($B528="STD. DEVIATION",2,$F$1))))</f>
        <v/>
      </c>
      <c r="AD528" s="1" t="str">
        <f>IF(OR($B528="",AD$7=""),"",IF($B528="MEANS",INDEX('1-DATA'!$1:$1048576,$A527-1,COLUMN('1-DATA'!AC526)),ROUND(INDEX('1-DATA'!$1:$1048576,IF(OR($B528="STD. DEVIATION",$C$1=1),$A528,$A528+1),COLUMN('1-DATA'!AC526)),IF($B528="STD. DEVIATION",2,$F$1))))</f>
        <v/>
      </c>
      <c r="AE528" s="1" t="str">
        <f>IF(OR($B528="",AE$7=""),"",IF($B528="MEANS",INDEX('1-DATA'!$1:$1048576,$A527-1,COLUMN('1-DATA'!AD526)),ROUND(INDEX('1-DATA'!$1:$1048576,IF(OR($B528="STD. DEVIATION",$C$1=1),$A528,$A528+1),COLUMN('1-DATA'!AD526)),IF($B528="STD. DEVIATION",2,$F$1))))</f>
        <v/>
      </c>
      <c r="AF528" s="1" t="str">
        <f>IF(OR($B528="",AF$7=""),"",IF($B528="MEANS",INDEX('1-DATA'!$1:$1048576,$A527-1,COLUMN('1-DATA'!AE526)),ROUND(INDEX('1-DATA'!$1:$1048576,IF(OR($B528="STD. DEVIATION",$C$1=1),$A528,$A528+1),COLUMN('1-DATA'!AE526)),IF($B528="STD. DEVIATION",2,$F$1))))</f>
        <v/>
      </c>
      <c r="AG528" s="1" t="str">
        <f>IF(OR($B528="",AG$7=""),"",IF($B528="MEANS",INDEX('1-DATA'!$1:$1048576,$A527-1,COLUMN('1-DATA'!AF526)),ROUND(INDEX('1-DATA'!$1:$1048576,IF(OR($B528="STD. DEVIATION",$C$1=1),$A528,$A528+1),COLUMN('1-DATA'!AF526)),IF($B528="STD. DEVIATION",2,$F$1))))</f>
        <v/>
      </c>
      <c r="AH528" s="1" t="str">
        <f>IF(OR($B528="",AH$7=""),"",IF($B528="MEANS",INDEX('1-DATA'!$1:$1048576,$A527-1,COLUMN('1-DATA'!AG526)),ROUND(INDEX('1-DATA'!$1:$1048576,IF(OR($B528="STD. DEVIATION",$C$1=1),$A528,$A528+1),COLUMN('1-DATA'!AG526)),IF($B528="STD. DEVIATION",2,$F$1))))</f>
        <v/>
      </c>
      <c r="AI528" s="1" t="str">
        <f>IF(OR($B528="",AI$7=""),"",IF($B528="MEANS",INDEX('1-DATA'!$1:$1048576,$A527-1,COLUMN('1-DATA'!AH526)),ROUND(INDEX('1-DATA'!$1:$1048576,IF(OR($B528="STD. DEVIATION",$C$1=1),$A528,$A528+1),COLUMN('1-DATA'!AH526)),IF($B528="STD. DEVIATION",2,$F$1))))</f>
        <v/>
      </c>
      <c r="AJ528" s="1" t="str">
        <f>IF(OR($B528="",AJ$7=""),"",IF($B528="MEANS",INDEX('1-DATA'!$1:$1048576,$A527-1,COLUMN('1-DATA'!AI526)),ROUND(INDEX('1-DATA'!$1:$1048576,IF(OR($B528="STD. DEVIATION",$C$1=1),$A528,$A528+1),COLUMN('1-DATA'!AI526)),IF($B528="STD. DEVIATION",2,$F$1))))</f>
        <v/>
      </c>
      <c r="AK528" s="1" t="str">
        <f>IF(OR($B528="",AK$7=""),"",IF($B528="MEANS",INDEX('1-DATA'!$1:$1048576,$A527-1,COLUMN('1-DATA'!AJ526)),ROUND(INDEX('1-DATA'!$1:$1048576,IF(OR($B528="STD. DEVIATION",$C$1=1),$A528,$A528+1),COLUMN('1-DATA'!AJ526)),IF($B528="STD. DEVIATION",2,$F$1))))</f>
        <v/>
      </c>
      <c r="AL528" s="1" t="str">
        <f>IF(OR($B528="",AL$7=""),"",IF($B528="MEANS",INDEX('1-DATA'!$1:$1048576,$A527-1,COLUMN('1-DATA'!AK526)),ROUND(INDEX('1-DATA'!$1:$1048576,IF(OR($B528="STD. DEVIATION",$C$1=1),$A528,$A528+1),COLUMN('1-DATA'!AK526)),IF($B528="STD. DEVIATION",2,$F$1))))</f>
        <v/>
      </c>
      <c r="AM528" s="1" t="str">
        <f>IF(OR($B528="",AM$7=""),"",IF($B528="MEANS",INDEX('1-DATA'!$1:$1048576,$A527-1,COLUMN('1-DATA'!AL526)),ROUND(INDEX('1-DATA'!$1:$1048576,IF(OR($B528="STD. DEVIATION",$C$1=1),$A528,$A528+1),COLUMN('1-DATA'!AL526)),IF($B528="STD. DEVIATION",2,$F$1))))</f>
        <v/>
      </c>
      <c r="AN528" s="1" t="str">
        <f>IF(OR($B528="",AN$7=""),"",IF($B528="MEANS",INDEX('1-DATA'!$1:$1048576,$A527-1,COLUMN('1-DATA'!AM526)),ROUND(INDEX('1-DATA'!$1:$1048576,IF(OR($B528="STD. DEVIATION",$C$1=1),$A528,$A528+1),COLUMN('1-DATA'!AM526)),IF($B528="STD. DEVIATION",2,$F$1))))</f>
        <v/>
      </c>
      <c r="AO528" s="1" t="str">
        <f>IF(OR($B528="",AO$7=""),"",IF($B528="MEANS",INDEX('1-DATA'!$1:$1048576,$A527-1,COLUMN('1-DATA'!AN526)),ROUND(INDEX('1-DATA'!$1:$1048576,IF(OR($B528="STD. DEVIATION",$C$1=1),$A528,$A528+1),COLUMN('1-DATA'!AN526)),IF($B528="STD. DEVIATION",2,$F$1))))</f>
        <v/>
      </c>
      <c r="AP528" s="1" t="str">
        <f>IF(OR($B528="",AP$7=""),"",IF($B528="MEANS",INDEX('1-DATA'!$1:$1048576,$A527-1,COLUMN('1-DATA'!AO526)),ROUND(INDEX('1-DATA'!$1:$1048576,IF(OR($B528="STD. DEVIATION",$C$1=1),$A528,$A528+1),COLUMN('1-DATA'!AO526)),IF($B528="STD. DEVIATION",2,$F$1))))</f>
        <v/>
      </c>
      <c r="AQ528" s="1" t="str">
        <f>IF(OR($B528="",AQ$7=""),"",IF($B528="MEANS",INDEX('1-DATA'!$1:$1048576,$A527-1,COLUMN('1-DATA'!AP526)),ROUND(INDEX('1-DATA'!$1:$1048576,IF(OR($B528="STD. DEVIATION",$C$1=1),$A528,$A528+1),COLUMN('1-DATA'!AP526)),IF($B528="STD. DEVIATION",2,$F$1))))</f>
        <v/>
      </c>
      <c r="AR528" s="1" t="str">
        <f>IF(OR($B528="",AR$7=""),"",IF($B528="MEANS",INDEX('1-DATA'!$1:$1048576,$A527-1,COLUMN('1-DATA'!AQ526)),ROUND(INDEX('1-DATA'!$1:$1048576,IF(OR($B528="STD. DEVIATION",$C$1=1),$A528,$A528+1),COLUMN('1-DATA'!AQ526)),IF($B528="STD. DEVIATION",2,$F$1))))</f>
        <v/>
      </c>
      <c r="AS528" s="1" t="str">
        <f>IF(OR($B528="",AS$7=""),"",IF($B528="MEANS",INDEX('1-DATA'!$1:$1048576,$A527-1,COLUMN('1-DATA'!AR526)),ROUND(INDEX('1-DATA'!$1:$1048576,IF(OR($B528="STD. DEVIATION",$C$1=1),$A528,$A528+1),COLUMN('1-DATA'!AR526)),IF($B528="STD. DEVIATION",2,$F$1))))</f>
        <v/>
      </c>
      <c r="AT528" s="1" t="str">
        <f>IF(OR($B528="",AT$7=""),"",IF($B528="MEANS",INDEX('1-DATA'!$1:$1048576,$A527-1,COLUMN('1-DATA'!AS526)),ROUND(INDEX('1-DATA'!$1:$1048576,IF(OR($B528="STD. DEVIATION",$C$1=1),$A528,$A528+1),COLUMN('1-DATA'!AS526)),IF($B528="STD. DEVIATION",2,$F$1))))</f>
        <v/>
      </c>
      <c r="AU528" s="1" t="str">
        <f>IF(OR($B528="",AU$7=""),"",IF($B528="MEANS",INDEX('1-DATA'!$1:$1048576,$A527-1,COLUMN('1-DATA'!AT526)),ROUND(INDEX('1-DATA'!$1:$1048576,IF(OR($B528="STD. DEVIATION",$C$1=1),$A528,$A528+1),COLUMN('1-DATA'!AT526)),IF($B528="STD. DEVIATION",2,$F$1))))</f>
        <v/>
      </c>
      <c r="AV528" s="1" t="str">
        <f>IF(OR($B528="",AV$7=""),"",IF($B528="MEANS",INDEX('1-DATA'!$1:$1048576,$A527-1,COLUMN('1-DATA'!AU526)),ROUND(INDEX('1-DATA'!$1:$1048576,IF(OR($B528="STD. DEVIATION",$C$1=1),$A528,$A528+1),COLUMN('1-DATA'!AU526)),IF($B528="STD. DEVIATION",2,$F$1))))</f>
        <v/>
      </c>
      <c r="AW528" s="1" t="str">
        <f>IF(OR($B528="",AW$7=""),"",IF($B528="MEANS",INDEX('1-DATA'!$1:$1048576,$A527-1,COLUMN('1-DATA'!AV526)),ROUND(INDEX('1-DATA'!$1:$1048576,IF(OR($B528="STD. DEVIATION",$C$1=1),$A528,$A528+1),COLUMN('1-DATA'!AV526)),IF($B528="STD. DEVIATION",2,$F$1))))</f>
        <v/>
      </c>
      <c r="AX528" s="1" t="str">
        <f>IF(OR($B528="",AX$7=""),"",IF($B528="MEANS",INDEX('1-DATA'!$1:$1048576,$A527-1,COLUMN('1-DATA'!AW526)),ROUND(INDEX('1-DATA'!$1:$1048576,IF(OR($B528="STD. DEVIATION",$C$1=1),$A528,$A528+1),COLUMN('1-DATA'!AW526)),IF($B528="STD. DEVIATION",2,$F$1))))</f>
        <v/>
      </c>
      <c r="AY528" s="1" t="str">
        <f>IF(OR($B528="",AY$7=""),"",IF($B528="MEANS",INDEX('1-DATA'!$1:$1048576,$A527-1,COLUMN('1-DATA'!AX526)),ROUND(INDEX('1-DATA'!$1:$1048576,IF(OR($B528="STD. DEVIATION",$C$1=1),$A528,$A528+1),COLUMN('1-DATA'!AX526)),IF($B528="STD. DEVIATION",2,$F$1))))</f>
        <v/>
      </c>
      <c r="AZ528" s="1" t="str">
        <f>IF(OR($B528="",AZ$7=""),"",IF($B528="MEANS",INDEX('1-DATA'!$1:$1048576,$A527-1,COLUMN('1-DATA'!AY526)),ROUND(INDEX('1-DATA'!$1:$1048576,IF(OR($B528="STD. DEVIATION",$C$1=1),$A528,$A528+1),COLUMN('1-DATA'!AY526)),IF($B528="STD. DEVIATION",2,$F$1))))</f>
        <v/>
      </c>
    </row>
    <row r="529" spans="1:52" x14ac:dyDescent="0.25">
      <c r="A529" s="11">
        <f t="shared" si="8"/>
        <v>1573</v>
      </c>
      <c r="B529" s="1" t="str">
        <f>IF(B528="STD. DEVIATION",INDEX('1-DATA'!$1:$1048576,$A528-1,1),IF(INDEX('1-DATA'!$1:$1048576,$A529,1)&lt;&gt;"",INDEX('1-DATA'!$1:$1048576,$A529,1),""))</f>
        <v/>
      </c>
      <c r="C529" s="1" t="str">
        <f>IF(OR($B529="",C$7=""),"",IF($B529="MEANS",INDEX('1-DATA'!$1:$1048576,$A528-1,COLUMN('1-DATA'!B527)),ROUND(INDEX('1-DATA'!$1:$1048576,IF(OR($B529="STD. DEVIATION",$C$1=1),$A529,$A529+1),COLUMN('1-DATA'!B527)),IF($B529="STD. DEVIATION",2,$F$1))))</f>
        <v/>
      </c>
      <c r="D529" s="1" t="str">
        <f>IF(OR($B529="",D$7=""),"",IF($B529="MEANS",INDEX('1-DATA'!$1:$1048576,$A528-1,COLUMN('1-DATA'!C527)),ROUND(INDEX('1-DATA'!$1:$1048576,IF(OR($B529="STD. DEVIATION",$C$1=1),$A529,$A529+1),COLUMN('1-DATA'!C527)),IF($B529="STD. DEVIATION",2,$F$1))))</f>
        <v/>
      </c>
      <c r="E529" s="1" t="str">
        <f>IF(OR($B529="",E$7=""),"",IF($B529="MEANS",INDEX('1-DATA'!$1:$1048576,$A528-1,COLUMN('1-DATA'!D527)),ROUND(INDEX('1-DATA'!$1:$1048576,IF(OR($B529="STD. DEVIATION",$C$1=1),$A529,$A529+1),COLUMN('1-DATA'!D527)),IF($B529="STD. DEVIATION",2,$F$1))))</f>
        <v/>
      </c>
      <c r="F529" s="1" t="str">
        <f>IF(OR($B529="",F$7=""),"",IF($B529="MEANS",INDEX('1-DATA'!$1:$1048576,$A528-1,COLUMN('1-DATA'!E527)),ROUND(INDEX('1-DATA'!$1:$1048576,IF(OR($B529="STD. DEVIATION",$C$1=1),$A529,$A529+1),COLUMN('1-DATA'!E527)),IF($B529="STD. DEVIATION",2,$F$1))))</f>
        <v/>
      </c>
      <c r="G529" s="1" t="str">
        <f>IF(OR($B529="",G$7=""),"",IF($B529="MEANS",INDEX('1-DATA'!$1:$1048576,$A528-1,COLUMN('1-DATA'!F527)),ROUND(INDEX('1-DATA'!$1:$1048576,IF(OR($B529="STD. DEVIATION",$C$1=1),$A529,$A529+1),COLUMN('1-DATA'!F527)),IF($B529="STD. DEVIATION",2,$F$1))))</f>
        <v/>
      </c>
      <c r="H529" s="1" t="str">
        <f>IF(OR($B529="",H$7=""),"",IF($B529="MEANS",INDEX('1-DATA'!$1:$1048576,$A528-1,COLUMN('1-DATA'!G527)),ROUND(INDEX('1-DATA'!$1:$1048576,IF(OR($B529="STD. DEVIATION",$C$1=1),$A529,$A529+1),COLUMN('1-DATA'!G527)),IF($B529="STD. DEVIATION",2,$F$1))))</f>
        <v/>
      </c>
      <c r="I529" s="1" t="str">
        <f>IF(OR($B529="",I$7=""),"",IF($B529="MEANS",INDEX('1-DATA'!$1:$1048576,$A528-1,COLUMN('1-DATA'!H527)),ROUND(INDEX('1-DATA'!$1:$1048576,IF(OR($B529="STD. DEVIATION",$C$1=1),$A529,$A529+1),COLUMN('1-DATA'!H527)),IF($B529="STD. DEVIATION",2,$F$1))))</f>
        <v/>
      </c>
      <c r="J529" s="1" t="str">
        <f>IF(OR($B529="",J$7=""),"",IF($B529="MEANS",INDEX('1-DATA'!$1:$1048576,$A528-1,COLUMN('1-DATA'!I527)),ROUND(INDEX('1-DATA'!$1:$1048576,IF(OR($B529="STD. DEVIATION",$C$1=1),$A529,$A529+1),COLUMN('1-DATA'!I527)),IF($B529="STD. DEVIATION",2,$F$1))))</f>
        <v/>
      </c>
      <c r="K529" s="1" t="str">
        <f>IF(OR($B529="",K$7=""),"",IF($B529="MEANS",INDEX('1-DATA'!$1:$1048576,$A528-1,COLUMN('1-DATA'!J527)),ROUND(INDEX('1-DATA'!$1:$1048576,IF(OR($B529="STD. DEVIATION",$C$1=1),$A529,$A529+1),COLUMN('1-DATA'!J527)),IF($B529="STD. DEVIATION",2,$F$1))))</f>
        <v/>
      </c>
      <c r="L529" s="1" t="str">
        <f>IF(OR($B529="",L$7=""),"",IF($B529="MEANS",INDEX('1-DATA'!$1:$1048576,$A528-1,COLUMN('1-DATA'!K527)),ROUND(INDEX('1-DATA'!$1:$1048576,IF(OR($B529="STD. DEVIATION",$C$1=1),$A529,$A529+1),COLUMN('1-DATA'!K527)),IF($B529="STD. DEVIATION",2,$F$1))))</f>
        <v/>
      </c>
      <c r="M529" s="1" t="str">
        <f>IF(OR($B529="",M$7=""),"",IF($B529="MEANS",INDEX('1-DATA'!$1:$1048576,$A528-1,COLUMN('1-DATA'!L527)),ROUND(INDEX('1-DATA'!$1:$1048576,IF(OR($B529="STD. DEVIATION",$C$1=1),$A529,$A529+1),COLUMN('1-DATA'!L527)),IF($B529="STD. DEVIATION",2,$F$1))))</f>
        <v/>
      </c>
      <c r="N529" s="1" t="str">
        <f>IF(OR($B529="",N$7=""),"",IF($B529="MEANS",INDEX('1-DATA'!$1:$1048576,$A528-1,COLUMN('1-DATA'!M527)),ROUND(INDEX('1-DATA'!$1:$1048576,IF(OR($B529="STD. DEVIATION",$C$1=1),$A529,$A529+1),COLUMN('1-DATA'!M527)),IF($B529="STD. DEVIATION",2,$F$1))))</f>
        <v/>
      </c>
      <c r="O529" s="1" t="str">
        <f>IF(OR($B529="",O$7=""),"",IF($B529="MEANS",INDEX('1-DATA'!$1:$1048576,$A528-1,COLUMN('1-DATA'!N527)),ROUND(INDEX('1-DATA'!$1:$1048576,IF(OR($B529="STD. DEVIATION",$C$1=1),$A529,$A529+1),COLUMN('1-DATA'!N527)),IF($B529="STD. DEVIATION",2,$F$1))))</f>
        <v/>
      </c>
      <c r="P529" s="1" t="str">
        <f>IF(OR($B529="",P$7=""),"",IF($B529="MEANS",INDEX('1-DATA'!$1:$1048576,$A528-1,COLUMN('1-DATA'!O527)),ROUND(INDEX('1-DATA'!$1:$1048576,IF(OR($B529="STD. DEVIATION",$C$1=1),$A529,$A529+1),COLUMN('1-DATA'!O527)),IF($B529="STD. DEVIATION",2,$F$1))))</f>
        <v/>
      </c>
      <c r="Q529" s="1" t="str">
        <f>IF(OR($B529="",Q$7=""),"",IF($B529="MEANS",INDEX('1-DATA'!$1:$1048576,$A528-1,COLUMN('1-DATA'!P527)),ROUND(INDEX('1-DATA'!$1:$1048576,IF(OR($B529="STD. DEVIATION",$C$1=1),$A529,$A529+1),COLUMN('1-DATA'!P527)),IF($B529="STD. DEVIATION",2,$F$1))))</f>
        <v/>
      </c>
      <c r="R529" s="1" t="str">
        <f>IF(OR($B529="",R$7=""),"",IF($B529="MEANS",INDEX('1-DATA'!$1:$1048576,$A528-1,COLUMN('1-DATA'!Q527)),ROUND(INDEX('1-DATA'!$1:$1048576,IF(OR($B529="STD. DEVIATION",$C$1=1),$A529,$A529+1),COLUMN('1-DATA'!Q527)),IF($B529="STD. DEVIATION",2,$F$1))))</f>
        <v/>
      </c>
      <c r="S529" s="1" t="str">
        <f>IF(OR($B529="",S$7=""),"",IF($B529="MEANS",INDEX('1-DATA'!$1:$1048576,$A528-1,COLUMN('1-DATA'!R527)),ROUND(INDEX('1-DATA'!$1:$1048576,IF(OR($B529="STD. DEVIATION",$C$1=1),$A529,$A529+1),COLUMN('1-DATA'!R527)),IF($B529="STD. DEVIATION",2,$F$1))))</f>
        <v/>
      </c>
      <c r="T529" s="1" t="str">
        <f>IF(OR($B529="",T$7=""),"",IF($B529="MEANS",INDEX('1-DATA'!$1:$1048576,$A528-1,COLUMN('1-DATA'!S527)),ROUND(INDEX('1-DATA'!$1:$1048576,IF(OR($B529="STD. DEVIATION",$C$1=1),$A529,$A529+1),COLUMN('1-DATA'!S527)),IF($B529="STD. DEVIATION",2,$F$1))))</f>
        <v/>
      </c>
      <c r="U529" s="1" t="str">
        <f>IF(OR($B529="",U$7=""),"",IF($B529="MEANS",INDEX('1-DATA'!$1:$1048576,$A528-1,COLUMN('1-DATA'!T527)),ROUND(INDEX('1-DATA'!$1:$1048576,IF(OR($B529="STD. DEVIATION",$C$1=1),$A529,$A529+1),COLUMN('1-DATA'!T527)),IF($B529="STD. DEVIATION",2,$F$1))))</f>
        <v/>
      </c>
      <c r="V529" s="1" t="str">
        <f>IF(OR($B529="",V$7=""),"",IF($B529="MEANS",INDEX('1-DATA'!$1:$1048576,$A528-1,COLUMN('1-DATA'!U527)),ROUND(INDEX('1-DATA'!$1:$1048576,IF(OR($B529="STD. DEVIATION",$C$1=1),$A529,$A529+1),COLUMN('1-DATA'!U527)),IF($B529="STD. DEVIATION",2,$F$1))))</f>
        <v/>
      </c>
      <c r="W529" s="1" t="str">
        <f>IF(OR($B529="",W$7=""),"",IF($B529="MEANS",INDEX('1-DATA'!$1:$1048576,$A528-1,COLUMN('1-DATA'!V527)),ROUND(INDEX('1-DATA'!$1:$1048576,IF(OR($B529="STD. DEVIATION",$C$1=1),$A529,$A529+1),COLUMN('1-DATA'!V527)),IF($B529="STD. DEVIATION",2,$F$1))))</f>
        <v/>
      </c>
      <c r="X529" s="1" t="str">
        <f>IF(OR($B529="",X$7=""),"",IF($B529="MEANS",INDEX('1-DATA'!$1:$1048576,$A528-1,COLUMN('1-DATA'!W527)),ROUND(INDEX('1-DATA'!$1:$1048576,IF(OR($B529="STD. DEVIATION",$C$1=1),$A529,$A529+1),COLUMN('1-DATA'!W527)),IF($B529="STD. DEVIATION",2,$F$1))))</f>
        <v/>
      </c>
      <c r="Y529" s="1" t="str">
        <f>IF(OR($B529="",Y$7=""),"",IF($B529="MEANS",INDEX('1-DATA'!$1:$1048576,$A528-1,COLUMN('1-DATA'!X527)),ROUND(INDEX('1-DATA'!$1:$1048576,IF(OR($B529="STD. DEVIATION",$C$1=1),$A529,$A529+1),COLUMN('1-DATA'!X527)),IF($B529="STD. DEVIATION",2,$F$1))))</f>
        <v/>
      </c>
      <c r="Z529" s="1" t="str">
        <f>IF(OR($B529="",Z$7=""),"",IF($B529="MEANS",INDEX('1-DATA'!$1:$1048576,$A528-1,COLUMN('1-DATA'!Y527)),ROUND(INDEX('1-DATA'!$1:$1048576,IF(OR($B529="STD. DEVIATION",$C$1=1),$A529,$A529+1),COLUMN('1-DATA'!Y527)),IF($B529="STD. DEVIATION",2,$F$1))))</f>
        <v/>
      </c>
      <c r="AA529" s="1" t="str">
        <f>IF(OR($B529="",AA$7=""),"",IF($B529="MEANS",INDEX('1-DATA'!$1:$1048576,$A528-1,COLUMN('1-DATA'!Z527)),ROUND(INDEX('1-DATA'!$1:$1048576,IF(OR($B529="STD. DEVIATION",$C$1=1),$A529,$A529+1),COLUMN('1-DATA'!Z527)),IF($B529="STD. DEVIATION",2,$F$1))))</f>
        <v/>
      </c>
      <c r="AB529" s="1" t="str">
        <f>IF(OR($B529="",AB$7=""),"",IF($B529="MEANS",INDEX('1-DATA'!$1:$1048576,$A528-1,COLUMN('1-DATA'!AA527)),ROUND(INDEX('1-DATA'!$1:$1048576,IF(OR($B529="STD. DEVIATION",$C$1=1),$A529,$A529+1),COLUMN('1-DATA'!AA527)),IF($B529="STD. DEVIATION",2,$F$1))))</f>
        <v/>
      </c>
      <c r="AC529" s="1" t="str">
        <f>IF(OR($B529="",AC$7=""),"",IF($B529="MEANS",INDEX('1-DATA'!$1:$1048576,$A528-1,COLUMN('1-DATA'!AB527)),ROUND(INDEX('1-DATA'!$1:$1048576,IF(OR($B529="STD. DEVIATION",$C$1=1),$A529,$A529+1),COLUMN('1-DATA'!AB527)),IF($B529="STD. DEVIATION",2,$F$1))))</f>
        <v/>
      </c>
      <c r="AD529" s="1" t="str">
        <f>IF(OR($B529="",AD$7=""),"",IF($B529="MEANS",INDEX('1-DATA'!$1:$1048576,$A528-1,COLUMN('1-DATA'!AC527)),ROUND(INDEX('1-DATA'!$1:$1048576,IF(OR($B529="STD. DEVIATION",$C$1=1),$A529,$A529+1),COLUMN('1-DATA'!AC527)),IF($B529="STD. DEVIATION",2,$F$1))))</f>
        <v/>
      </c>
      <c r="AE529" s="1" t="str">
        <f>IF(OR($B529="",AE$7=""),"",IF($B529="MEANS",INDEX('1-DATA'!$1:$1048576,$A528-1,COLUMN('1-DATA'!AD527)),ROUND(INDEX('1-DATA'!$1:$1048576,IF(OR($B529="STD. DEVIATION",$C$1=1),$A529,$A529+1),COLUMN('1-DATA'!AD527)),IF($B529="STD. DEVIATION",2,$F$1))))</f>
        <v/>
      </c>
      <c r="AF529" s="1" t="str">
        <f>IF(OR($B529="",AF$7=""),"",IF($B529="MEANS",INDEX('1-DATA'!$1:$1048576,$A528-1,COLUMN('1-DATA'!AE527)),ROUND(INDEX('1-DATA'!$1:$1048576,IF(OR($B529="STD. DEVIATION",$C$1=1),$A529,$A529+1),COLUMN('1-DATA'!AE527)),IF($B529="STD. DEVIATION",2,$F$1))))</f>
        <v/>
      </c>
      <c r="AG529" s="1" t="str">
        <f>IF(OR($B529="",AG$7=""),"",IF($B529="MEANS",INDEX('1-DATA'!$1:$1048576,$A528-1,COLUMN('1-DATA'!AF527)),ROUND(INDEX('1-DATA'!$1:$1048576,IF(OR($B529="STD. DEVIATION",$C$1=1),$A529,$A529+1),COLUMN('1-DATA'!AF527)),IF($B529="STD. DEVIATION",2,$F$1))))</f>
        <v/>
      </c>
      <c r="AH529" s="1" t="str">
        <f>IF(OR($B529="",AH$7=""),"",IF($B529="MEANS",INDEX('1-DATA'!$1:$1048576,$A528-1,COLUMN('1-DATA'!AG527)),ROUND(INDEX('1-DATA'!$1:$1048576,IF(OR($B529="STD. DEVIATION",$C$1=1),$A529,$A529+1),COLUMN('1-DATA'!AG527)),IF($B529="STD. DEVIATION",2,$F$1))))</f>
        <v/>
      </c>
      <c r="AI529" s="1" t="str">
        <f>IF(OR($B529="",AI$7=""),"",IF($B529="MEANS",INDEX('1-DATA'!$1:$1048576,$A528-1,COLUMN('1-DATA'!AH527)),ROUND(INDEX('1-DATA'!$1:$1048576,IF(OR($B529="STD. DEVIATION",$C$1=1),$A529,$A529+1),COLUMN('1-DATA'!AH527)),IF($B529="STD. DEVIATION",2,$F$1))))</f>
        <v/>
      </c>
      <c r="AJ529" s="1" t="str">
        <f>IF(OR($B529="",AJ$7=""),"",IF($B529="MEANS",INDEX('1-DATA'!$1:$1048576,$A528-1,COLUMN('1-DATA'!AI527)),ROUND(INDEX('1-DATA'!$1:$1048576,IF(OR($B529="STD. DEVIATION",$C$1=1),$A529,$A529+1),COLUMN('1-DATA'!AI527)),IF($B529="STD. DEVIATION",2,$F$1))))</f>
        <v/>
      </c>
      <c r="AK529" s="1" t="str">
        <f>IF(OR($B529="",AK$7=""),"",IF($B529="MEANS",INDEX('1-DATA'!$1:$1048576,$A528-1,COLUMN('1-DATA'!AJ527)),ROUND(INDEX('1-DATA'!$1:$1048576,IF(OR($B529="STD. DEVIATION",$C$1=1),$A529,$A529+1),COLUMN('1-DATA'!AJ527)),IF($B529="STD. DEVIATION",2,$F$1))))</f>
        <v/>
      </c>
      <c r="AL529" s="1" t="str">
        <f>IF(OR($B529="",AL$7=""),"",IF($B529="MEANS",INDEX('1-DATA'!$1:$1048576,$A528-1,COLUMN('1-DATA'!AK527)),ROUND(INDEX('1-DATA'!$1:$1048576,IF(OR($B529="STD. DEVIATION",$C$1=1),$A529,$A529+1),COLUMN('1-DATA'!AK527)),IF($B529="STD. DEVIATION",2,$F$1))))</f>
        <v/>
      </c>
      <c r="AM529" s="1" t="str">
        <f>IF(OR($B529="",AM$7=""),"",IF($B529="MEANS",INDEX('1-DATA'!$1:$1048576,$A528-1,COLUMN('1-DATA'!AL527)),ROUND(INDEX('1-DATA'!$1:$1048576,IF(OR($B529="STD. DEVIATION",$C$1=1),$A529,$A529+1),COLUMN('1-DATA'!AL527)),IF($B529="STD. DEVIATION",2,$F$1))))</f>
        <v/>
      </c>
      <c r="AN529" s="1" t="str">
        <f>IF(OR($B529="",AN$7=""),"",IF($B529="MEANS",INDEX('1-DATA'!$1:$1048576,$A528-1,COLUMN('1-DATA'!AM527)),ROUND(INDEX('1-DATA'!$1:$1048576,IF(OR($B529="STD. DEVIATION",$C$1=1),$A529,$A529+1),COLUMN('1-DATA'!AM527)),IF($B529="STD. DEVIATION",2,$F$1))))</f>
        <v/>
      </c>
      <c r="AO529" s="1" t="str">
        <f>IF(OR($B529="",AO$7=""),"",IF($B529="MEANS",INDEX('1-DATA'!$1:$1048576,$A528-1,COLUMN('1-DATA'!AN527)),ROUND(INDEX('1-DATA'!$1:$1048576,IF(OR($B529="STD. DEVIATION",$C$1=1),$A529,$A529+1),COLUMN('1-DATA'!AN527)),IF($B529="STD. DEVIATION",2,$F$1))))</f>
        <v/>
      </c>
      <c r="AP529" s="1" t="str">
        <f>IF(OR($B529="",AP$7=""),"",IF($B529="MEANS",INDEX('1-DATA'!$1:$1048576,$A528-1,COLUMN('1-DATA'!AO527)),ROUND(INDEX('1-DATA'!$1:$1048576,IF(OR($B529="STD. DEVIATION",$C$1=1),$A529,$A529+1),COLUMN('1-DATA'!AO527)),IF($B529="STD. DEVIATION",2,$F$1))))</f>
        <v/>
      </c>
      <c r="AQ529" s="1" t="str">
        <f>IF(OR($B529="",AQ$7=""),"",IF($B529="MEANS",INDEX('1-DATA'!$1:$1048576,$A528-1,COLUMN('1-DATA'!AP527)),ROUND(INDEX('1-DATA'!$1:$1048576,IF(OR($B529="STD. DEVIATION",$C$1=1),$A529,$A529+1),COLUMN('1-DATA'!AP527)),IF($B529="STD. DEVIATION",2,$F$1))))</f>
        <v/>
      </c>
      <c r="AR529" s="1" t="str">
        <f>IF(OR($B529="",AR$7=""),"",IF($B529="MEANS",INDEX('1-DATA'!$1:$1048576,$A528-1,COLUMN('1-DATA'!AQ527)),ROUND(INDEX('1-DATA'!$1:$1048576,IF(OR($B529="STD. DEVIATION",$C$1=1),$A529,$A529+1),COLUMN('1-DATA'!AQ527)),IF($B529="STD. DEVIATION",2,$F$1))))</f>
        <v/>
      </c>
      <c r="AS529" s="1" t="str">
        <f>IF(OR($B529="",AS$7=""),"",IF($B529="MEANS",INDEX('1-DATA'!$1:$1048576,$A528-1,COLUMN('1-DATA'!AR527)),ROUND(INDEX('1-DATA'!$1:$1048576,IF(OR($B529="STD. DEVIATION",$C$1=1),$A529,$A529+1),COLUMN('1-DATA'!AR527)),IF($B529="STD. DEVIATION",2,$F$1))))</f>
        <v/>
      </c>
      <c r="AT529" s="1" t="str">
        <f>IF(OR($B529="",AT$7=""),"",IF($B529="MEANS",INDEX('1-DATA'!$1:$1048576,$A528-1,COLUMN('1-DATA'!AS527)),ROUND(INDEX('1-DATA'!$1:$1048576,IF(OR($B529="STD. DEVIATION",$C$1=1),$A529,$A529+1),COLUMN('1-DATA'!AS527)),IF($B529="STD. DEVIATION",2,$F$1))))</f>
        <v/>
      </c>
      <c r="AU529" s="1" t="str">
        <f>IF(OR($B529="",AU$7=""),"",IF($B529="MEANS",INDEX('1-DATA'!$1:$1048576,$A528-1,COLUMN('1-DATA'!AT527)),ROUND(INDEX('1-DATA'!$1:$1048576,IF(OR($B529="STD. DEVIATION",$C$1=1),$A529,$A529+1),COLUMN('1-DATA'!AT527)),IF($B529="STD. DEVIATION",2,$F$1))))</f>
        <v/>
      </c>
      <c r="AV529" s="1" t="str">
        <f>IF(OR($B529="",AV$7=""),"",IF($B529="MEANS",INDEX('1-DATA'!$1:$1048576,$A528-1,COLUMN('1-DATA'!AU527)),ROUND(INDEX('1-DATA'!$1:$1048576,IF(OR($B529="STD. DEVIATION",$C$1=1),$A529,$A529+1),COLUMN('1-DATA'!AU527)),IF($B529="STD. DEVIATION",2,$F$1))))</f>
        <v/>
      </c>
      <c r="AW529" s="1" t="str">
        <f>IF(OR($B529="",AW$7=""),"",IF($B529="MEANS",INDEX('1-DATA'!$1:$1048576,$A528-1,COLUMN('1-DATA'!AV527)),ROUND(INDEX('1-DATA'!$1:$1048576,IF(OR($B529="STD. DEVIATION",$C$1=1),$A529,$A529+1),COLUMN('1-DATA'!AV527)),IF($B529="STD. DEVIATION",2,$F$1))))</f>
        <v/>
      </c>
      <c r="AX529" s="1" t="str">
        <f>IF(OR($B529="",AX$7=""),"",IF($B529="MEANS",INDEX('1-DATA'!$1:$1048576,$A528-1,COLUMN('1-DATA'!AW527)),ROUND(INDEX('1-DATA'!$1:$1048576,IF(OR($B529="STD. DEVIATION",$C$1=1),$A529,$A529+1),COLUMN('1-DATA'!AW527)),IF($B529="STD. DEVIATION",2,$F$1))))</f>
        <v/>
      </c>
      <c r="AY529" s="1" t="str">
        <f>IF(OR($B529="",AY$7=""),"",IF($B529="MEANS",INDEX('1-DATA'!$1:$1048576,$A528-1,COLUMN('1-DATA'!AX527)),ROUND(INDEX('1-DATA'!$1:$1048576,IF(OR($B529="STD. DEVIATION",$C$1=1),$A529,$A529+1),COLUMN('1-DATA'!AX527)),IF($B529="STD. DEVIATION",2,$F$1))))</f>
        <v/>
      </c>
      <c r="AZ529" s="1" t="str">
        <f>IF(OR($B529="",AZ$7=""),"",IF($B529="MEANS",INDEX('1-DATA'!$1:$1048576,$A528-1,COLUMN('1-DATA'!AY527)),ROUND(INDEX('1-DATA'!$1:$1048576,IF(OR($B529="STD. DEVIATION",$C$1=1),$A529,$A529+1),COLUMN('1-DATA'!AY527)),IF($B529="STD. DEVIATION",2,$F$1))))</f>
        <v/>
      </c>
    </row>
    <row r="530" spans="1:52" x14ac:dyDescent="0.25">
      <c r="A530" s="11">
        <f t="shared" si="8"/>
        <v>1576</v>
      </c>
      <c r="B530" s="1" t="str">
        <f>IF(B529="STD. DEVIATION",INDEX('1-DATA'!$1:$1048576,$A529-1,1),IF(INDEX('1-DATA'!$1:$1048576,$A530,1)&lt;&gt;"",INDEX('1-DATA'!$1:$1048576,$A530,1),""))</f>
        <v/>
      </c>
      <c r="C530" s="1" t="str">
        <f>IF(OR($B530="",C$7=""),"",IF($B530="MEANS",INDEX('1-DATA'!$1:$1048576,$A529-1,COLUMN('1-DATA'!B528)),ROUND(INDEX('1-DATA'!$1:$1048576,IF(OR($B530="STD. DEVIATION",$C$1=1),$A530,$A530+1),COLUMN('1-DATA'!B528)),IF($B530="STD. DEVIATION",2,$F$1))))</f>
        <v/>
      </c>
      <c r="D530" s="1" t="str">
        <f>IF(OR($B530="",D$7=""),"",IF($B530="MEANS",INDEX('1-DATA'!$1:$1048576,$A529-1,COLUMN('1-DATA'!C528)),ROUND(INDEX('1-DATA'!$1:$1048576,IF(OR($B530="STD. DEVIATION",$C$1=1),$A530,$A530+1),COLUMN('1-DATA'!C528)),IF($B530="STD. DEVIATION",2,$F$1))))</f>
        <v/>
      </c>
      <c r="E530" s="1" t="str">
        <f>IF(OR($B530="",E$7=""),"",IF($B530="MEANS",INDEX('1-DATA'!$1:$1048576,$A529-1,COLUMN('1-DATA'!D528)),ROUND(INDEX('1-DATA'!$1:$1048576,IF(OR($B530="STD. DEVIATION",$C$1=1),$A530,$A530+1),COLUMN('1-DATA'!D528)),IF($B530="STD. DEVIATION",2,$F$1))))</f>
        <v/>
      </c>
      <c r="F530" s="1" t="str">
        <f>IF(OR($B530="",F$7=""),"",IF($B530="MEANS",INDEX('1-DATA'!$1:$1048576,$A529-1,COLUMN('1-DATA'!E528)),ROUND(INDEX('1-DATA'!$1:$1048576,IF(OR($B530="STD. DEVIATION",$C$1=1),$A530,$A530+1),COLUMN('1-DATA'!E528)),IF($B530="STD. DEVIATION",2,$F$1))))</f>
        <v/>
      </c>
      <c r="G530" s="1" t="str">
        <f>IF(OR($B530="",G$7=""),"",IF($B530="MEANS",INDEX('1-DATA'!$1:$1048576,$A529-1,COLUMN('1-DATA'!F528)),ROUND(INDEX('1-DATA'!$1:$1048576,IF(OR($B530="STD. DEVIATION",$C$1=1),$A530,$A530+1),COLUMN('1-DATA'!F528)),IF($B530="STD. DEVIATION",2,$F$1))))</f>
        <v/>
      </c>
      <c r="H530" s="1" t="str">
        <f>IF(OR($B530="",H$7=""),"",IF($B530="MEANS",INDEX('1-DATA'!$1:$1048576,$A529-1,COLUMN('1-DATA'!G528)),ROUND(INDEX('1-DATA'!$1:$1048576,IF(OR($B530="STD. DEVIATION",$C$1=1),$A530,$A530+1),COLUMN('1-DATA'!G528)),IF($B530="STD. DEVIATION",2,$F$1))))</f>
        <v/>
      </c>
      <c r="I530" s="1" t="str">
        <f>IF(OR($B530="",I$7=""),"",IF($B530="MEANS",INDEX('1-DATA'!$1:$1048576,$A529-1,COLUMN('1-DATA'!H528)),ROUND(INDEX('1-DATA'!$1:$1048576,IF(OR($B530="STD. DEVIATION",$C$1=1),$A530,$A530+1),COLUMN('1-DATA'!H528)),IF($B530="STD. DEVIATION",2,$F$1))))</f>
        <v/>
      </c>
      <c r="J530" s="1" t="str">
        <f>IF(OR($B530="",J$7=""),"",IF($B530="MEANS",INDEX('1-DATA'!$1:$1048576,$A529-1,COLUMN('1-DATA'!I528)),ROUND(INDEX('1-DATA'!$1:$1048576,IF(OR($B530="STD. DEVIATION",$C$1=1),$A530,$A530+1),COLUMN('1-DATA'!I528)),IF($B530="STD. DEVIATION",2,$F$1))))</f>
        <v/>
      </c>
      <c r="K530" s="1" t="str">
        <f>IF(OR($B530="",K$7=""),"",IF($B530="MEANS",INDEX('1-DATA'!$1:$1048576,$A529-1,COLUMN('1-DATA'!J528)),ROUND(INDEX('1-DATA'!$1:$1048576,IF(OR($B530="STD. DEVIATION",$C$1=1),$A530,$A530+1),COLUMN('1-DATA'!J528)),IF($B530="STD. DEVIATION",2,$F$1))))</f>
        <v/>
      </c>
      <c r="L530" s="1" t="str">
        <f>IF(OR($B530="",L$7=""),"",IF($B530="MEANS",INDEX('1-DATA'!$1:$1048576,$A529-1,COLUMN('1-DATA'!K528)),ROUND(INDEX('1-DATA'!$1:$1048576,IF(OR($B530="STD. DEVIATION",$C$1=1),$A530,$A530+1),COLUMN('1-DATA'!K528)),IF($B530="STD. DEVIATION",2,$F$1))))</f>
        <v/>
      </c>
      <c r="M530" s="1" t="str">
        <f>IF(OR($B530="",M$7=""),"",IF($B530="MEANS",INDEX('1-DATA'!$1:$1048576,$A529-1,COLUMN('1-DATA'!L528)),ROUND(INDEX('1-DATA'!$1:$1048576,IF(OR($B530="STD. DEVIATION",$C$1=1),$A530,$A530+1),COLUMN('1-DATA'!L528)),IF($B530="STD. DEVIATION",2,$F$1))))</f>
        <v/>
      </c>
      <c r="N530" s="1" t="str">
        <f>IF(OR($B530="",N$7=""),"",IF($B530="MEANS",INDEX('1-DATA'!$1:$1048576,$A529-1,COLUMN('1-DATA'!M528)),ROUND(INDEX('1-DATA'!$1:$1048576,IF(OR($B530="STD. DEVIATION",$C$1=1),$A530,$A530+1),COLUMN('1-DATA'!M528)),IF($B530="STD. DEVIATION",2,$F$1))))</f>
        <v/>
      </c>
      <c r="O530" s="1" t="str">
        <f>IF(OR($B530="",O$7=""),"",IF($B530="MEANS",INDEX('1-DATA'!$1:$1048576,$A529-1,COLUMN('1-DATA'!N528)),ROUND(INDEX('1-DATA'!$1:$1048576,IF(OR($B530="STD. DEVIATION",$C$1=1),$A530,$A530+1),COLUMN('1-DATA'!N528)),IF($B530="STD. DEVIATION",2,$F$1))))</f>
        <v/>
      </c>
      <c r="P530" s="1" t="str">
        <f>IF(OR($B530="",P$7=""),"",IF($B530="MEANS",INDEX('1-DATA'!$1:$1048576,$A529-1,COLUMN('1-DATA'!O528)),ROUND(INDEX('1-DATA'!$1:$1048576,IF(OR($B530="STD. DEVIATION",$C$1=1),$A530,$A530+1),COLUMN('1-DATA'!O528)),IF($B530="STD. DEVIATION",2,$F$1))))</f>
        <v/>
      </c>
      <c r="Q530" s="1" t="str">
        <f>IF(OR($B530="",Q$7=""),"",IF($B530="MEANS",INDEX('1-DATA'!$1:$1048576,$A529-1,COLUMN('1-DATA'!P528)),ROUND(INDEX('1-DATA'!$1:$1048576,IF(OR($B530="STD. DEVIATION",$C$1=1),$A530,$A530+1),COLUMN('1-DATA'!P528)),IF($B530="STD. DEVIATION",2,$F$1))))</f>
        <v/>
      </c>
      <c r="R530" s="1" t="str">
        <f>IF(OR($B530="",R$7=""),"",IF($B530="MEANS",INDEX('1-DATA'!$1:$1048576,$A529-1,COLUMN('1-DATA'!Q528)),ROUND(INDEX('1-DATA'!$1:$1048576,IF(OR($B530="STD. DEVIATION",$C$1=1),$A530,$A530+1),COLUMN('1-DATA'!Q528)),IF($B530="STD. DEVIATION",2,$F$1))))</f>
        <v/>
      </c>
      <c r="S530" s="1" t="str">
        <f>IF(OR($B530="",S$7=""),"",IF($B530="MEANS",INDEX('1-DATA'!$1:$1048576,$A529-1,COLUMN('1-DATA'!R528)),ROUND(INDEX('1-DATA'!$1:$1048576,IF(OR($B530="STD. DEVIATION",$C$1=1),$A530,$A530+1),COLUMN('1-DATA'!R528)),IF($B530="STD. DEVIATION",2,$F$1))))</f>
        <v/>
      </c>
      <c r="T530" s="1" t="str">
        <f>IF(OR($B530="",T$7=""),"",IF($B530="MEANS",INDEX('1-DATA'!$1:$1048576,$A529-1,COLUMN('1-DATA'!S528)),ROUND(INDEX('1-DATA'!$1:$1048576,IF(OR($B530="STD. DEVIATION",$C$1=1),$A530,$A530+1),COLUMN('1-DATA'!S528)),IF($B530="STD. DEVIATION",2,$F$1))))</f>
        <v/>
      </c>
      <c r="U530" s="1" t="str">
        <f>IF(OR($B530="",U$7=""),"",IF($B530="MEANS",INDEX('1-DATA'!$1:$1048576,$A529-1,COLUMN('1-DATA'!T528)),ROUND(INDEX('1-DATA'!$1:$1048576,IF(OR($B530="STD. DEVIATION",$C$1=1),$A530,$A530+1),COLUMN('1-DATA'!T528)),IF($B530="STD. DEVIATION",2,$F$1))))</f>
        <v/>
      </c>
      <c r="V530" s="1" t="str">
        <f>IF(OR($B530="",V$7=""),"",IF($B530="MEANS",INDEX('1-DATA'!$1:$1048576,$A529-1,COLUMN('1-DATA'!U528)),ROUND(INDEX('1-DATA'!$1:$1048576,IF(OR($B530="STD. DEVIATION",$C$1=1),$A530,$A530+1),COLUMN('1-DATA'!U528)),IF($B530="STD. DEVIATION",2,$F$1))))</f>
        <v/>
      </c>
      <c r="W530" s="1" t="str">
        <f>IF(OR($B530="",W$7=""),"",IF($B530="MEANS",INDEX('1-DATA'!$1:$1048576,$A529-1,COLUMN('1-DATA'!V528)),ROUND(INDEX('1-DATA'!$1:$1048576,IF(OR($B530="STD. DEVIATION",$C$1=1),$A530,$A530+1),COLUMN('1-DATA'!V528)),IF($B530="STD. DEVIATION",2,$F$1))))</f>
        <v/>
      </c>
      <c r="X530" s="1" t="str">
        <f>IF(OR($B530="",X$7=""),"",IF($B530="MEANS",INDEX('1-DATA'!$1:$1048576,$A529-1,COLUMN('1-DATA'!W528)),ROUND(INDEX('1-DATA'!$1:$1048576,IF(OR($B530="STD. DEVIATION",$C$1=1),$A530,$A530+1),COLUMN('1-DATA'!W528)),IF($B530="STD. DEVIATION",2,$F$1))))</f>
        <v/>
      </c>
      <c r="Y530" s="1" t="str">
        <f>IF(OR($B530="",Y$7=""),"",IF($B530="MEANS",INDEX('1-DATA'!$1:$1048576,$A529-1,COLUMN('1-DATA'!X528)),ROUND(INDEX('1-DATA'!$1:$1048576,IF(OR($B530="STD. DEVIATION",$C$1=1),$A530,$A530+1),COLUMN('1-DATA'!X528)),IF($B530="STD. DEVIATION",2,$F$1))))</f>
        <v/>
      </c>
      <c r="Z530" s="1" t="str">
        <f>IF(OR($B530="",Z$7=""),"",IF($B530="MEANS",INDEX('1-DATA'!$1:$1048576,$A529-1,COLUMN('1-DATA'!Y528)),ROUND(INDEX('1-DATA'!$1:$1048576,IF(OR($B530="STD. DEVIATION",$C$1=1),$A530,$A530+1),COLUMN('1-DATA'!Y528)),IF($B530="STD. DEVIATION",2,$F$1))))</f>
        <v/>
      </c>
      <c r="AA530" s="1" t="str">
        <f>IF(OR($B530="",AA$7=""),"",IF($B530="MEANS",INDEX('1-DATA'!$1:$1048576,$A529-1,COLUMN('1-DATA'!Z528)),ROUND(INDEX('1-DATA'!$1:$1048576,IF(OR($B530="STD. DEVIATION",$C$1=1),$A530,$A530+1),COLUMN('1-DATA'!Z528)),IF($B530="STD. DEVIATION",2,$F$1))))</f>
        <v/>
      </c>
      <c r="AB530" s="1" t="str">
        <f>IF(OR($B530="",AB$7=""),"",IF($B530="MEANS",INDEX('1-DATA'!$1:$1048576,$A529-1,COLUMN('1-DATA'!AA528)),ROUND(INDEX('1-DATA'!$1:$1048576,IF(OR($B530="STD. DEVIATION",$C$1=1),$A530,$A530+1),COLUMN('1-DATA'!AA528)),IF($B530="STD. DEVIATION",2,$F$1))))</f>
        <v/>
      </c>
      <c r="AC530" s="1" t="str">
        <f>IF(OR($B530="",AC$7=""),"",IF($B530="MEANS",INDEX('1-DATA'!$1:$1048576,$A529-1,COLUMN('1-DATA'!AB528)),ROUND(INDEX('1-DATA'!$1:$1048576,IF(OR($B530="STD. DEVIATION",$C$1=1),$A530,$A530+1),COLUMN('1-DATA'!AB528)),IF($B530="STD. DEVIATION",2,$F$1))))</f>
        <v/>
      </c>
      <c r="AD530" s="1" t="str">
        <f>IF(OR($B530="",AD$7=""),"",IF($B530="MEANS",INDEX('1-DATA'!$1:$1048576,$A529-1,COLUMN('1-DATA'!AC528)),ROUND(INDEX('1-DATA'!$1:$1048576,IF(OR($B530="STD. DEVIATION",$C$1=1),$A530,$A530+1),COLUMN('1-DATA'!AC528)),IF($B530="STD. DEVIATION",2,$F$1))))</f>
        <v/>
      </c>
      <c r="AE530" s="1" t="str">
        <f>IF(OR($B530="",AE$7=""),"",IF($B530="MEANS",INDEX('1-DATA'!$1:$1048576,$A529-1,COLUMN('1-DATA'!AD528)),ROUND(INDEX('1-DATA'!$1:$1048576,IF(OR($B530="STD. DEVIATION",$C$1=1),$A530,$A530+1),COLUMN('1-DATA'!AD528)),IF($B530="STD. DEVIATION",2,$F$1))))</f>
        <v/>
      </c>
      <c r="AF530" s="1" t="str">
        <f>IF(OR($B530="",AF$7=""),"",IF($B530="MEANS",INDEX('1-DATA'!$1:$1048576,$A529-1,COLUMN('1-DATA'!AE528)),ROUND(INDEX('1-DATA'!$1:$1048576,IF(OR($B530="STD. DEVIATION",$C$1=1),$A530,$A530+1),COLUMN('1-DATA'!AE528)),IF($B530="STD. DEVIATION",2,$F$1))))</f>
        <v/>
      </c>
      <c r="AG530" s="1" t="str">
        <f>IF(OR($B530="",AG$7=""),"",IF($B530="MEANS",INDEX('1-DATA'!$1:$1048576,$A529-1,COLUMN('1-DATA'!AF528)),ROUND(INDEX('1-DATA'!$1:$1048576,IF(OR($B530="STD. DEVIATION",$C$1=1),$A530,$A530+1),COLUMN('1-DATA'!AF528)),IF($B530="STD. DEVIATION",2,$F$1))))</f>
        <v/>
      </c>
      <c r="AH530" s="1" t="str">
        <f>IF(OR($B530="",AH$7=""),"",IF($B530="MEANS",INDEX('1-DATA'!$1:$1048576,$A529-1,COLUMN('1-DATA'!AG528)),ROUND(INDEX('1-DATA'!$1:$1048576,IF(OR($B530="STD. DEVIATION",$C$1=1),$A530,$A530+1),COLUMN('1-DATA'!AG528)),IF($B530="STD. DEVIATION",2,$F$1))))</f>
        <v/>
      </c>
      <c r="AI530" s="1" t="str">
        <f>IF(OR($B530="",AI$7=""),"",IF($B530="MEANS",INDEX('1-DATA'!$1:$1048576,$A529-1,COLUMN('1-DATA'!AH528)),ROUND(INDEX('1-DATA'!$1:$1048576,IF(OR($B530="STD. DEVIATION",$C$1=1),$A530,$A530+1),COLUMN('1-DATA'!AH528)),IF($B530="STD. DEVIATION",2,$F$1))))</f>
        <v/>
      </c>
      <c r="AJ530" s="1" t="str">
        <f>IF(OR($B530="",AJ$7=""),"",IF($B530="MEANS",INDEX('1-DATA'!$1:$1048576,$A529-1,COLUMN('1-DATA'!AI528)),ROUND(INDEX('1-DATA'!$1:$1048576,IF(OR($B530="STD. DEVIATION",$C$1=1),$A530,$A530+1),COLUMN('1-DATA'!AI528)),IF($B530="STD. DEVIATION",2,$F$1))))</f>
        <v/>
      </c>
      <c r="AK530" s="1" t="str">
        <f>IF(OR($B530="",AK$7=""),"",IF($B530="MEANS",INDEX('1-DATA'!$1:$1048576,$A529-1,COLUMN('1-DATA'!AJ528)),ROUND(INDEX('1-DATA'!$1:$1048576,IF(OR($B530="STD. DEVIATION",$C$1=1),$A530,$A530+1),COLUMN('1-DATA'!AJ528)),IF($B530="STD. DEVIATION",2,$F$1))))</f>
        <v/>
      </c>
      <c r="AL530" s="1" t="str">
        <f>IF(OR($B530="",AL$7=""),"",IF($B530="MEANS",INDEX('1-DATA'!$1:$1048576,$A529-1,COLUMN('1-DATA'!AK528)),ROUND(INDEX('1-DATA'!$1:$1048576,IF(OR($B530="STD. DEVIATION",$C$1=1),$A530,$A530+1),COLUMN('1-DATA'!AK528)),IF($B530="STD. DEVIATION",2,$F$1))))</f>
        <v/>
      </c>
      <c r="AM530" s="1" t="str">
        <f>IF(OR($B530="",AM$7=""),"",IF($B530="MEANS",INDEX('1-DATA'!$1:$1048576,$A529-1,COLUMN('1-DATA'!AL528)),ROUND(INDEX('1-DATA'!$1:$1048576,IF(OR($B530="STD. DEVIATION",$C$1=1),$A530,$A530+1),COLUMN('1-DATA'!AL528)),IF($B530="STD. DEVIATION",2,$F$1))))</f>
        <v/>
      </c>
      <c r="AN530" s="1" t="str">
        <f>IF(OR($B530="",AN$7=""),"",IF($B530="MEANS",INDEX('1-DATA'!$1:$1048576,$A529-1,COLUMN('1-DATA'!AM528)),ROUND(INDEX('1-DATA'!$1:$1048576,IF(OR($B530="STD. DEVIATION",$C$1=1),$A530,$A530+1),COLUMN('1-DATA'!AM528)),IF($B530="STD. DEVIATION",2,$F$1))))</f>
        <v/>
      </c>
      <c r="AO530" s="1" t="str">
        <f>IF(OR($B530="",AO$7=""),"",IF($B530="MEANS",INDEX('1-DATA'!$1:$1048576,$A529-1,COLUMN('1-DATA'!AN528)),ROUND(INDEX('1-DATA'!$1:$1048576,IF(OR($B530="STD. DEVIATION",$C$1=1),$A530,$A530+1),COLUMN('1-DATA'!AN528)),IF($B530="STD. DEVIATION",2,$F$1))))</f>
        <v/>
      </c>
      <c r="AP530" s="1" t="str">
        <f>IF(OR($B530="",AP$7=""),"",IF($B530="MEANS",INDEX('1-DATA'!$1:$1048576,$A529-1,COLUMN('1-DATA'!AO528)),ROUND(INDEX('1-DATA'!$1:$1048576,IF(OR($B530="STD. DEVIATION",$C$1=1),$A530,$A530+1),COLUMN('1-DATA'!AO528)),IF($B530="STD. DEVIATION",2,$F$1))))</f>
        <v/>
      </c>
      <c r="AQ530" s="1" t="str">
        <f>IF(OR($B530="",AQ$7=""),"",IF($B530="MEANS",INDEX('1-DATA'!$1:$1048576,$A529-1,COLUMN('1-DATA'!AP528)),ROUND(INDEX('1-DATA'!$1:$1048576,IF(OR($B530="STD. DEVIATION",$C$1=1),$A530,$A530+1),COLUMN('1-DATA'!AP528)),IF($B530="STD. DEVIATION",2,$F$1))))</f>
        <v/>
      </c>
      <c r="AR530" s="1" t="str">
        <f>IF(OR($B530="",AR$7=""),"",IF($B530="MEANS",INDEX('1-DATA'!$1:$1048576,$A529-1,COLUMN('1-DATA'!AQ528)),ROUND(INDEX('1-DATA'!$1:$1048576,IF(OR($B530="STD. DEVIATION",$C$1=1),$A530,$A530+1),COLUMN('1-DATA'!AQ528)),IF($B530="STD. DEVIATION",2,$F$1))))</f>
        <v/>
      </c>
      <c r="AS530" s="1" t="str">
        <f>IF(OR($B530="",AS$7=""),"",IF($B530="MEANS",INDEX('1-DATA'!$1:$1048576,$A529-1,COLUMN('1-DATA'!AR528)),ROUND(INDEX('1-DATA'!$1:$1048576,IF(OR($B530="STD. DEVIATION",$C$1=1),$A530,$A530+1),COLUMN('1-DATA'!AR528)),IF($B530="STD. DEVIATION",2,$F$1))))</f>
        <v/>
      </c>
      <c r="AT530" s="1" t="str">
        <f>IF(OR($B530="",AT$7=""),"",IF($B530="MEANS",INDEX('1-DATA'!$1:$1048576,$A529-1,COLUMN('1-DATA'!AS528)),ROUND(INDEX('1-DATA'!$1:$1048576,IF(OR($B530="STD. DEVIATION",$C$1=1),$A530,$A530+1),COLUMN('1-DATA'!AS528)),IF($B530="STD. DEVIATION",2,$F$1))))</f>
        <v/>
      </c>
      <c r="AU530" s="1" t="str">
        <f>IF(OR($B530="",AU$7=""),"",IF($B530="MEANS",INDEX('1-DATA'!$1:$1048576,$A529-1,COLUMN('1-DATA'!AT528)),ROUND(INDEX('1-DATA'!$1:$1048576,IF(OR($B530="STD. DEVIATION",$C$1=1),$A530,$A530+1),COLUMN('1-DATA'!AT528)),IF($B530="STD. DEVIATION",2,$F$1))))</f>
        <v/>
      </c>
      <c r="AV530" s="1" t="str">
        <f>IF(OR($B530="",AV$7=""),"",IF($B530="MEANS",INDEX('1-DATA'!$1:$1048576,$A529-1,COLUMN('1-DATA'!AU528)),ROUND(INDEX('1-DATA'!$1:$1048576,IF(OR($B530="STD. DEVIATION",$C$1=1),$A530,$A530+1),COLUMN('1-DATA'!AU528)),IF($B530="STD. DEVIATION",2,$F$1))))</f>
        <v/>
      </c>
      <c r="AW530" s="1" t="str">
        <f>IF(OR($B530="",AW$7=""),"",IF($B530="MEANS",INDEX('1-DATA'!$1:$1048576,$A529-1,COLUMN('1-DATA'!AV528)),ROUND(INDEX('1-DATA'!$1:$1048576,IF(OR($B530="STD. DEVIATION",$C$1=1),$A530,$A530+1),COLUMN('1-DATA'!AV528)),IF($B530="STD. DEVIATION",2,$F$1))))</f>
        <v/>
      </c>
      <c r="AX530" s="1" t="str">
        <f>IF(OR($B530="",AX$7=""),"",IF($B530="MEANS",INDEX('1-DATA'!$1:$1048576,$A529-1,COLUMN('1-DATA'!AW528)),ROUND(INDEX('1-DATA'!$1:$1048576,IF(OR($B530="STD. DEVIATION",$C$1=1),$A530,$A530+1),COLUMN('1-DATA'!AW528)),IF($B530="STD. DEVIATION",2,$F$1))))</f>
        <v/>
      </c>
      <c r="AY530" s="1" t="str">
        <f>IF(OR($B530="",AY$7=""),"",IF($B530="MEANS",INDEX('1-DATA'!$1:$1048576,$A529-1,COLUMN('1-DATA'!AX528)),ROUND(INDEX('1-DATA'!$1:$1048576,IF(OR($B530="STD. DEVIATION",$C$1=1),$A530,$A530+1),COLUMN('1-DATA'!AX528)),IF($B530="STD. DEVIATION",2,$F$1))))</f>
        <v/>
      </c>
      <c r="AZ530" s="1" t="str">
        <f>IF(OR($B530="",AZ$7=""),"",IF($B530="MEANS",INDEX('1-DATA'!$1:$1048576,$A529-1,COLUMN('1-DATA'!AY528)),ROUND(INDEX('1-DATA'!$1:$1048576,IF(OR($B530="STD. DEVIATION",$C$1=1),$A530,$A530+1),COLUMN('1-DATA'!AY528)),IF($B530="STD. DEVIATION",2,$F$1))))</f>
        <v/>
      </c>
    </row>
    <row r="531" spans="1:52" x14ac:dyDescent="0.25">
      <c r="A531" s="11">
        <f t="shared" si="8"/>
        <v>1579</v>
      </c>
      <c r="B531" s="1" t="str">
        <f>IF(B530="STD. DEVIATION",INDEX('1-DATA'!$1:$1048576,$A530-1,1),IF(INDEX('1-DATA'!$1:$1048576,$A531,1)&lt;&gt;"",INDEX('1-DATA'!$1:$1048576,$A531,1),""))</f>
        <v/>
      </c>
      <c r="C531" s="1" t="str">
        <f>IF(OR($B531="",C$7=""),"",IF($B531="MEANS",INDEX('1-DATA'!$1:$1048576,$A530-1,COLUMN('1-DATA'!B529)),ROUND(INDEX('1-DATA'!$1:$1048576,IF(OR($B531="STD. DEVIATION",$C$1=1),$A531,$A531+1),COLUMN('1-DATA'!B529)),IF($B531="STD. DEVIATION",2,$F$1))))</f>
        <v/>
      </c>
      <c r="D531" s="1" t="str">
        <f>IF(OR($B531="",D$7=""),"",IF($B531="MEANS",INDEX('1-DATA'!$1:$1048576,$A530-1,COLUMN('1-DATA'!C529)),ROUND(INDEX('1-DATA'!$1:$1048576,IF(OR($B531="STD. DEVIATION",$C$1=1),$A531,$A531+1),COLUMN('1-DATA'!C529)),IF($B531="STD. DEVIATION",2,$F$1))))</f>
        <v/>
      </c>
      <c r="E531" s="1" t="str">
        <f>IF(OR($B531="",E$7=""),"",IF($B531="MEANS",INDEX('1-DATA'!$1:$1048576,$A530-1,COLUMN('1-DATA'!D529)),ROUND(INDEX('1-DATA'!$1:$1048576,IF(OR($B531="STD. DEVIATION",$C$1=1),$A531,$A531+1),COLUMN('1-DATA'!D529)),IF($B531="STD. DEVIATION",2,$F$1))))</f>
        <v/>
      </c>
      <c r="F531" s="1" t="str">
        <f>IF(OR($B531="",F$7=""),"",IF($B531="MEANS",INDEX('1-DATA'!$1:$1048576,$A530-1,COLUMN('1-DATA'!E529)),ROUND(INDEX('1-DATA'!$1:$1048576,IF(OR($B531="STD. DEVIATION",$C$1=1),$A531,$A531+1),COLUMN('1-DATA'!E529)),IF($B531="STD. DEVIATION",2,$F$1))))</f>
        <v/>
      </c>
      <c r="G531" s="1" t="str">
        <f>IF(OR($B531="",G$7=""),"",IF($B531="MEANS",INDEX('1-DATA'!$1:$1048576,$A530-1,COLUMN('1-DATA'!F529)),ROUND(INDEX('1-DATA'!$1:$1048576,IF(OR($B531="STD. DEVIATION",$C$1=1),$A531,$A531+1),COLUMN('1-DATA'!F529)),IF($B531="STD. DEVIATION",2,$F$1))))</f>
        <v/>
      </c>
      <c r="H531" s="1" t="str">
        <f>IF(OR($B531="",H$7=""),"",IF($B531="MEANS",INDEX('1-DATA'!$1:$1048576,$A530-1,COLUMN('1-DATA'!G529)),ROUND(INDEX('1-DATA'!$1:$1048576,IF(OR($B531="STD. DEVIATION",$C$1=1),$A531,$A531+1),COLUMN('1-DATA'!G529)),IF($B531="STD. DEVIATION",2,$F$1))))</f>
        <v/>
      </c>
      <c r="I531" s="1" t="str">
        <f>IF(OR($B531="",I$7=""),"",IF($B531="MEANS",INDEX('1-DATA'!$1:$1048576,$A530-1,COLUMN('1-DATA'!H529)),ROUND(INDEX('1-DATA'!$1:$1048576,IF(OR($B531="STD. DEVIATION",$C$1=1),$A531,$A531+1),COLUMN('1-DATA'!H529)),IF($B531="STD. DEVIATION",2,$F$1))))</f>
        <v/>
      </c>
      <c r="J531" s="1" t="str">
        <f>IF(OR($B531="",J$7=""),"",IF($B531="MEANS",INDEX('1-DATA'!$1:$1048576,$A530-1,COLUMN('1-DATA'!I529)),ROUND(INDEX('1-DATA'!$1:$1048576,IF(OR($B531="STD. DEVIATION",$C$1=1),$A531,$A531+1),COLUMN('1-DATA'!I529)),IF($B531="STD. DEVIATION",2,$F$1))))</f>
        <v/>
      </c>
      <c r="K531" s="1" t="str">
        <f>IF(OR($B531="",K$7=""),"",IF($B531="MEANS",INDEX('1-DATA'!$1:$1048576,$A530-1,COLUMN('1-DATA'!J529)),ROUND(INDEX('1-DATA'!$1:$1048576,IF(OR($B531="STD. DEVIATION",$C$1=1),$A531,$A531+1),COLUMN('1-DATA'!J529)),IF($B531="STD. DEVIATION",2,$F$1))))</f>
        <v/>
      </c>
      <c r="L531" s="1" t="str">
        <f>IF(OR($B531="",L$7=""),"",IF($B531="MEANS",INDEX('1-DATA'!$1:$1048576,$A530-1,COLUMN('1-DATA'!K529)),ROUND(INDEX('1-DATA'!$1:$1048576,IF(OR($B531="STD. DEVIATION",$C$1=1),$A531,$A531+1),COLUMN('1-DATA'!K529)),IF($B531="STD. DEVIATION",2,$F$1))))</f>
        <v/>
      </c>
      <c r="M531" s="1" t="str">
        <f>IF(OR($B531="",M$7=""),"",IF($B531="MEANS",INDEX('1-DATA'!$1:$1048576,$A530-1,COLUMN('1-DATA'!L529)),ROUND(INDEX('1-DATA'!$1:$1048576,IF(OR($B531="STD. DEVIATION",$C$1=1),$A531,$A531+1),COLUMN('1-DATA'!L529)),IF($B531="STD. DEVIATION",2,$F$1))))</f>
        <v/>
      </c>
      <c r="N531" s="1" t="str">
        <f>IF(OR($B531="",N$7=""),"",IF($B531="MEANS",INDEX('1-DATA'!$1:$1048576,$A530-1,COLUMN('1-DATA'!M529)),ROUND(INDEX('1-DATA'!$1:$1048576,IF(OR($B531="STD. DEVIATION",$C$1=1),$A531,$A531+1),COLUMN('1-DATA'!M529)),IF($B531="STD. DEVIATION",2,$F$1))))</f>
        <v/>
      </c>
      <c r="O531" s="1" t="str">
        <f>IF(OR($B531="",O$7=""),"",IF($B531="MEANS",INDEX('1-DATA'!$1:$1048576,$A530-1,COLUMN('1-DATA'!N529)),ROUND(INDEX('1-DATA'!$1:$1048576,IF(OR($B531="STD. DEVIATION",$C$1=1),$A531,$A531+1),COLUMN('1-DATA'!N529)),IF($B531="STD. DEVIATION",2,$F$1))))</f>
        <v/>
      </c>
      <c r="P531" s="1" t="str">
        <f>IF(OR($B531="",P$7=""),"",IF($B531="MEANS",INDEX('1-DATA'!$1:$1048576,$A530-1,COLUMN('1-DATA'!O529)),ROUND(INDEX('1-DATA'!$1:$1048576,IF(OR($B531="STD. DEVIATION",$C$1=1),$A531,$A531+1),COLUMN('1-DATA'!O529)),IF($B531="STD. DEVIATION",2,$F$1))))</f>
        <v/>
      </c>
      <c r="Q531" s="1" t="str">
        <f>IF(OR($B531="",Q$7=""),"",IF($B531="MEANS",INDEX('1-DATA'!$1:$1048576,$A530-1,COLUMN('1-DATA'!P529)),ROUND(INDEX('1-DATA'!$1:$1048576,IF(OR($B531="STD. DEVIATION",$C$1=1),$A531,$A531+1),COLUMN('1-DATA'!P529)),IF($B531="STD. DEVIATION",2,$F$1))))</f>
        <v/>
      </c>
      <c r="R531" s="1" t="str">
        <f>IF(OR($B531="",R$7=""),"",IF($B531="MEANS",INDEX('1-DATA'!$1:$1048576,$A530-1,COLUMN('1-DATA'!Q529)),ROUND(INDEX('1-DATA'!$1:$1048576,IF(OR($B531="STD. DEVIATION",$C$1=1),$A531,$A531+1),COLUMN('1-DATA'!Q529)),IF($B531="STD. DEVIATION",2,$F$1))))</f>
        <v/>
      </c>
      <c r="S531" s="1" t="str">
        <f>IF(OR($B531="",S$7=""),"",IF($B531="MEANS",INDEX('1-DATA'!$1:$1048576,$A530-1,COLUMN('1-DATA'!R529)),ROUND(INDEX('1-DATA'!$1:$1048576,IF(OR($B531="STD. DEVIATION",$C$1=1),$A531,$A531+1),COLUMN('1-DATA'!R529)),IF($B531="STD. DEVIATION",2,$F$1))))</f>
        <v/>
      </c>
      <c r="T531" s="1" t="str">
        <f>IF(OR($B531="",T$7=""),"",IF($B531="MEANS",INDEX('1-DATA'!$1:$1048576,$A530-1,COLUMN('1-DATA'!S529)),ROUND(INDEX('1-DATA'!$1:$1048576,IF(OR($B531="STD. DEVIATION",$C$1=1),$A531,$A531+1),COLUMN('1-DATA'!S529)),IF($B531="STD. DEVIATION",2,$F$1))))</f>
        <v/>
      </c>
      <c r="U531" s="1" t="str">
        <f>IF(OR($B531="",U$7=""),"",IF($B531="MEANS",INDEX('1-DATA'!$1:$1048576,$A530-1,COLUMN('1-DATA'!T529)),ROUND(INDEX('1-DATA'!$1:$1048576,IF(OR($B531="STD. DEVIATION",$C$1=1),$A531,$A531+1),COLUMN('1-DATA'!T529)),IF($B531="STD. DEVIATION",2,$F$1))))</f>
        <v/>
      </c>
      <c r="V531" s="1" t="str">
        <f>IF(OR($B531="",V$7=""),"",IF($B531="MEANS",INDEX('1-DATA'!$1:$1048576,$A530-1,COLUMN('1-DATA'!U529)),ROUND(INDEX('1-DATA'!$1:$1048576,IF(OR($B531="STD. DEVIATION",$C$1=1),$A531,$A531+1),COLUMN('1-DATA'!U529)),IF($B531="STD. DEVIATION",2,$F$1))))</f>
        <v/>
      </c>
      <c r="W531" s="1" t="str">
        <f>IF(OR($B531="",W$7=""),"",IF($B531="MEANS",INDEX('1-DATA'!$1:$1048576,$A530-1,COLUMN('1-DATA'!V529)),ROUND(INDEX('1-DATA'!$1:$1048576,IF(OR($B531="STD. DEVIATION",$C$1=1),$A531,$A531+1),COLUMN('1-DATA'!V529)),IF($B531="STD. DEVIATION",2,$F$1))))</f>
        <v/>
      </c>
      <c r="X531" s="1" t="str">
        <f>IF(OR($B531="",X$7=""),"",IF($B531="MEANS",INDEX('1-DATA'!$1:$1048576,$A530-1,COLUMN('1-DATA'!W529)),ROUND(INDEX('1-DATA'!$1:$1048576,IF(OR($B531="STD. DEVIATION",$C$1=1),$A531,$A531+1),COLUMN('1-DATA'!W529)),IF($B531="STD. DEVIATION",2,$F$1))))</f>
        <v/>
      </c>
      <c r="Y531" s="1" t="str">
        <f>IF(OR($B531="",Y$7=""),"",IF($B531="MEANS",INDEX('1-DATA'!$1:$1048576,$A530-1,COLUMN('1-DATA'!X529)),ROUND(INDEX('1-DATA'!$1:$1048576,IF(OR($B531="STD. DEVIATION",$C$1=1),$A531,$A531+1),COLUMN('1-DATA'!X529)),IF($B531="STD. DEVIATION",2,$F$1))))</f>
        <v/>
      </c>
      <c r="Z531" s="1" t="str">
        <f>IF(OR($B531="",Z$7=""),"",IF($B531="MEANS",INDEX('1-DATA'!$1:$1048576,$A530-1,COLUMN('1-DATA'!Y529)),ROUND(INDEX('1-DATA'!$1:$1048576,IF(OR($B531="STD. DEVIATION",$C$1=1),$A531,$A531+1),COLUMN('1-DATA'!Y529)),IF($B531="STD. DEVIATION",2,$F$1))))</f>
        <v/>
      </c>
      <c r="AA531" s="1" t="str">
        <f>IF(OR($B531="",AA$7=""),"",IF($B531="MEANS",INDEX('1-DATA'!$1:$1048576,$A530-1,COLUMN('1-DATA'!Z529)),ROUND(INDEX('1-DATA'!$1:$1048576,IF(OR($B531="STD. DEVIATION",$C$1=1),$A531,$A531+1),COLUMN('1-DATA'!Z529)),IF($B531="STD. DEVIATION",2,$F$1))))</f>
        <v/>
      </c>
      <c r="AB531" s="1" t="str">
        <f>IF(OR($B531="",AB$7=""),"",IF($B531="MEANS",INDEX('1-DATA'!$1:$1048576,$A530-1,COLUMN('1-DATA'!AA529)),ROUND(INDEX('1-DATA'!$1:$1048576,IF(OR($B531="STD. DEVIATION",$C$1=1),$A531,$A531+1),COLUMN('1-DATA'!AA529)),IF($B531="STD. DEVIATION",2,$F$1))))</f>
        <v/>
      </c>
      <c r="AC531" s="1" t="str">
        <f>IF(OR($B531="",AC$7=""),"",IF($B531="MEANS",INDEX('1-DATA'!$1:$1048576,$A530-1,COLUMN('1-DATA'!AB529)),ROUND(INDEX('1-DATA'!$1:$1048576,IF(OR($B531="STD. DEVIATION",$C$1=1),$A531,$A531+1),COLUMN('1-DATA'!AB529)),IF($B531="STD. DEVIATION",2,$F$1))))</f>
        <v/>
      </c>
      <c r="AD531" s="1" t="str">
        <f>IF(OR($B531="",AD$7=""),"",IF($B531="MEANS",INDEX('1-DATA'!$1:$1048576,$A530-1,COLUMN('1-DATA'!AC529)),ROUND(INDEX('1-DATA'!$1:$1048576,IF(OR($B531="STD. DEVIATION",$C$1=1),$A531,$A531+1),COLUMN('1-DATA'!AC529)),IF($B531="STD. DEVIATION",2,$F$1))))</f>
        <v/>
      </c>
      <c r="AE531" s="1" t="str">
        <f>IF(OR($B531="",AE$7=""),"",IF($B531="MEANS",INDEX('1-DATA'!$1:$1048576,$A530-1,COLUMN('1-DATA'!AD529)),ROUND(INDEX('1-DATA'!$1:$1048576,IF(OR($B531="STD. DEVIATION",$C$1=1),$A531,$A531+1),COLUMN('1-DATA'!AD529)),IF($B531="STD. DEVIATION",2,$F$1))))</f>
        <v/>
      </c>
      <c r="AF531" s="1" t="str">
        <f>IF(OR($B531="",AF$7=""),"",IF($B531="MEANS",INDEX('1-DATA'!$1:$1048576,$A530-1,COLUMN('1-DATA'!AE529)),ROUND(INDEX('1-DATA'!$1:$1048576,IF(OR($B531="STD. DEVIATION",$C$1=1),$A531,$A531+1),COLUMN('1-DATA'!AE529)),IF($B531="STD. DEVIATION",2,$F$1))))</f>
        <v/>
      </c>
      <c r="AG531" s="1" t="str">
        <f>IF(OR($B531="",AG$7=""),"",IF($B531="MEANS",INDEX('1-DATA'!$1:$1048576,$A530-1,COLUMN('1-DATA'!AF529)),ROUND(INDEX('1-DATA'!$1:$1048576,IF(OR($B531="STD. DEVIATION",$C$1=1),$A531,$A531+1),COLUMN('1-DATA'!AF529)),IF($B531="STD. DEVIATION",2,$F$1))))</f>
        <v/>
      </c>
      <c r="AH531" s="1" t="str">
        <f>IF(OR($B531="",AH$7=""),"",IF($B531="MEANS",INDEX('1-DATA'!$1:$1048576,$A530-1,COLUMN('1-DATA'!AG529)),ROUND(INDEX('1-DATA'!$1:$1048576,IF(OR($B531="STD. DEVIATION",$C$1=1),$A531,$A531+1),COLUMN('1-DATA'!AG529)),IF($B531="STD. DEVIATION",2,$F$1))))</f>
        <v/>
      </c>
      <c r="AI531" s="1" t="str">
        <f>IF(OR($B531="",AI$7=""),"",IF($B531="MEANS",INDEX('1-DATA'!$1:$1048576,$A530-1,COLUMN('1-DATA'!AH529)),ROUND(INDEX('1-DATA'!$1:$1048576,IF(OR($B531="STD. DEVIATION",$C$1=1),$A531,$A531+1),COLUMN('1-DATA'!AH529)),IF($B531="STD. DEVIATION",2,$F$1))))</f>
        <v/>
      </c>
      <c r="AJ531" s="1" t="str">
        <f>IF(OR($B531="",AJ$7=""),"",IF($B531="MEANS",INDEX('1-DATA'!$1:$1048576,$A530-1,COLUMN('1-DATA'!AI529)),ROUND(INDEX('1-DATA'!$1:$1048576,IF(OR($B531="STD. DEVIATION",$C$1=1),$A531,$A531+1),COLUMN('1-DATA'!AI529)),IF($B531="STD. DEVIATION",2,$F$1))))</f>
        <v/>
      </c>
      <c r="AK531" s="1" t="str">
        <f>IF(OR($B531="",AK$7=""),"",IF($B531="MEANS",INDEX('1-DATA'!$1:$1048576,$A530-1,COLUMN('1-DATA'!AJ529)),ROUND(INDEX('1-DATA'!$1:$1048576,IF(OR($B531="STD. DEVIATION",$C$1=1),$A531,$A531+1),COLUMN('1-DATA'!AJ529)),IF($B531="STD. DEVIATION",2,$F$1))))</f>
        <v/>
      </c>
      <c r="AL531" s="1" t="str">
        <f>IF(OR($B531="",AL$7=""),"",IF($B531="MEANS",INDEX('1-DATA'!$1:$1048576,$A530-1,COLUMN('1-DATA'!AK529)),ROUND(INDEX('1-DATA'!$1:$1048576,IF(OR($B531="STD. DEVIATION",$C$1=1),$A531,$A531+1),COLUMN('1-DATA'!AK529)),IF($B531="STD. DEVIATION",2,$F$1))))</f>
        <v/>
      </c>
      <c r="AM531" s="1" t="str">
        <f>IF(OR($B531="",AM$7=""),"",IF($B531="MEANS",INDEX('1-DATA'!$1:$1048576,$A530-1,COLUMN('1-DATA'!AL529)),ROUND(INDEX('1-DATA'!$1:$1048576,IF(OR($B531="STD. DEVIATION",$C$1=1),$A531,$A531+1),COLUMN('1-DATA'!AL529)),IF($B531="STD. DEVIATION",2,$F$1))))</f>
        <v/>
      </c>
      <c r="AN531" s="1" t="str">
        <f>IF(OR($B531="",AN$7=""),"",IF($B531="MEANS",INDEX('1-DATA'!$1:$1048576,$A530-1,COLUMN('1-DATA'!AM529)),ROUND(INDEX('1-DATA'!$1:$1048576,IF(OR($B531="STD. DEVIATION",$C$1=1),$A531,$A531+1),COLUMN('1-DATA'!AM529)),IF($B531="STD. DEVIATION",2,$F$1))))</f>
        <v/>
      </c>
      <c r="AO531" s="1" t="str">
        <f>IF(OR($B531="",AO$7=""),"",IF($B531="MEANS",INDEX('1-DATA'!$1:$1048576,$A530-1,COLUMN('1-DATA'!AN529)),ROUND(INDEX('1-DATA'!$1:$1048576,IF(OR($B531="STD. DEVIATION",$C$1=1),$A531,$A531+1),COLUMN('1-DATA'!AN529)),IF($B531="STD. DEVIATION",2,$F$1))))</f>
        <v/>
      </c>
      <c r="AP531" s="1" t="str">
        <f>IF(OR($B531="",AP$7=""),"",IF($B531="MEANS",INDEX('1-DATA'!$1:$1048576,$A530-1,COLUMN('1-DATA'!AO529)),ROUND(INDEX('1-DATA'!$1:$1048576,IF(OR($B531="STD. DEVIATION",$C$1=1),$A531,$A531+1),COLUMN('1-DATA'!AO529)),IF($B531="STD. DEVIATION",2,$F$1))))</f>
        <v/>
      </c>
      <c r="AQ531" s="1" t="str">
        <f>IF(OR($B531="",AQ$7=""),"",IF($B531="MEANS",INDEX('1-DATA'!$1:$1048576,$A530-1,COLUMN('1-DATA'!AP529)),ROUND(INDEX('1-DATA'!$1:$1048576,IF(OR($B531="STD. DEVIATION",$C$1=1),$A531,$A531+1),COLUMN('1-DATA'!AP529)),IF($B531="STD. DEVIATION",2,$F$1))))</f>
        <v/>
      </c>
      <c r="AR531" s="1" t="str">
        <f>IF(OR($B531="",AR$7=""),"",IF($B531="MEANS",INDEX('1-DATA'!$1:$1048576,$A530-1,COLUMN('1-DATA'!AQ529)),ROUND(INDEX('1-DATA'!$1:$1048576,IF(OR($B531="STD. DEVIATION",$C$1=1),$A531,$A531+1),COLUMN('1-DATA'!AQ529)),IF($B531="STD. DEVIATION",2,$F$1))))</f>
        <v/>
      </c>
      <c r="AS531" s="1" t="str">
        <f>IF(OR($B531="",AS$7=""),"",IF($B531="MEANS",INDEX('1-DATA'!$1:$1048576,$A530-1,COLUMN('1-DATA'!AR529)),ROUND(INDEX('1-DATA'!$1:$1048576,IF(OR($B531="STD. DEVIATION",$C$1=1),$A531,$A531+1),COLUMN('1-DATA'!AR529)),IF($B531="STD. DEVIATION",2,$F$1))))</f>
        <v/>
      </c>
      <c r="AT531" s="1" t="str">
        <f>IF(OR($B531="",AT$7=""),"",IF($B531="MEANS",INDEX('1-DATA'!$1:$1048576,$A530-1,COLUMN('1-DATA'!AS529)),ROUND(INDEX('1-DATA'!$1:$1048576,IF(OR($B531="STD. DEVIATION",$C$1=1),$A531,$A531+1),COLUMN('1-DATA'!AS529)),IF($B531="STD. DEVIATION",2,$F$1))))</f>
        <v/>
      </c>
      <c r="AU531" s="1" t="str">
        <f>IF(OR($B531="",AU$7=""),"",IF($B531="MEANS",INDEX('1-DATA'!$1:$1048576,$A530-1,COLUMN('1-DATA'!AT529)),ROUND(INDEX('1-DATA'!$1:$1048576,IF(OR($B531="STD. DEVIATION",$C$1=1),$A531,$A531+1),COLUMN('1-DATA'!AT529)),IF($B531="STD. DEVIATION",2,$F$1))))</f>
        <v/>
      </c>
      <c r="AV531" s="1" t="str">
        <f>IF(OR($B531="",AV$7=""),"",IF($B531="MEANS",INDEX('1-DATA'!$1:$1048576,$A530-1,COLUMN('1-DATA'!AU529)),ROUND(INDEX('1-DATA'!$1:$1048576,IF(OR($B531="STD. DEVIATION",$C$1=1),$A531,$A531+1),COLUMN('1-DATA'!AU529)),IF($B531="STD. DEVIATION",2,$F$1))))</f>
        <v/>
      </c>
      <c r="AW531" s="1" t="str">
        <f>IF(OR($B531="",AW$7=""),"",IF($B531="MEANS",INDEX('1-DATA'!$1:$1048576,$A530-1,COLUMN('1-DATA'!AV529)),ROUND(INDEX('1-DATA'!$1:$1048576,IF(OR($B531="STD. DEVIATION",$C$1=1),$A531,$A531+1),COLUMN('1-DATA'!AV529)),IF($B531="STD. DEVIATION",2,$F$1))))</f>
        <v/>
      </c>
      <c r="AX531" s="1" t="str">
        <f>IF(OR($B531="",AX$7=""),"",IF($B531="MEANS",INDEX('1-DATA'!$1:$1048576,$A530-1,COLUMN('1-DATA'!AW529)),ROUND(INDEX('1-DATA'!$1:$1048576,IF(OR($B531="STD. DEVIATION",$C$1=1),$A531,$A531+1),COLUMN('1-DATA'!AW529)),IF($B531="STD. DEVIATION",2,$F$1))))</f>
        <v/>
      </c>
      <c r="AY531" s="1" t="str">
        <f>IF(OR($B531="",AY$7=""),"",IF($B531="MEANS",INDEX('1-DATA'!$1:$1048576,$A530-1,COLUMN('1-DATA'!AX529)),ROUND(INDEX('1-DATA'!$1:$1048576,IF(OR($B531="STD. DEVIATION",$C$1=1),$A531,$A531+1),COLUMN('1-DATA'!AX529)),IF($B531="STD. DEVIATION",2,$F$1))))</f>
        <v/>
      </c>
      <c r="AZ531" s="1" t="str">
        <f>IF(OR($B531="",AZ$7=""),"",IF($B531="MEANS",INDEX('1-DATA'!$1:$1048576,$A530-1,COLUMN('1-DATA'!AY529)),ROUND(INDEX('1-DATA'!$1:$1048576,IF(OR($B531="STD. DEVIATION",$C$1=1),$A531,$A531+1),COLUMN('1-DATA'!AY529)),IF($B531="STD. DEVIATION",2,$F$1))))</f>
        <v/>
      </c>
    </row>
    <row r="532" spans="1:52" x14ac:dyDescent="0.25">
      <c r="A532" s="11">
        <f t="shared" si="8"/>
        <v>1582</v>
      </c>
      <c r="B532" s="1" t="str">
        <f>IF(B531="STD. DEVIATION",INDEX('1-DATA'!$1:$1048576,$A531-1,1),IF(INDEX('1-DATA'!$1:$1048576,$A532,1)&lt;&gt;"",INDEX('1-DATA'!$1:$1048576,$A532,1),""))</f>
        <v/>
      </c>
      <c r="C532" s="1" t="str">
        <f>IF(OR($B532="",C$7=""),"",IF($B532="MEANS",INDEX('1-DATA'!$1:$1048576,$A531-1,COLUMN('1-DATA'!B530)),ROUND(INDEX('1-DATA'!$1:$1048576,IF(OR($B532="STD. DEVIATION",$C$1=1),$A532,$A532+1),COLUMN('1-DATA'!B530)),IF($B532="STD. DEVIATION",2,$F$1))))</f>
        <v/>
      </c>
      <c r="D532" s="1" t="str">
        <f>IF(OR($B532="",D$7=""),"",IF($B532="MEANS",INDEX('1-DATA'!$1:$1048576,$A531-1,COLUMN('1-DATA'!C530)),ROUND(INDEX('1-DATA'!$1:$1048576,IF(OR($B532="STD. DEVIATION",$C$1=1),$A532,$A532+1),COLUMN('1-DATA'!C530)),IF($B532="STD. DEVIATION",2,$F$1))))</f>
        <v/>
      </c>
      <c r="E532" s="1" t="str">
        <f>IF(OR($B532="",E$7=""),"",IF($B532="MEANS",INDEX('1-DATA'!$1:$1048576,$A531-1,COLUMN('1-DATA'!D530)),ROUND(INDEX('1-DATA'!$1:$1048576,IF(OR($B532="STD. DEVIATION",$C$1=1),$A532,$A532+1),COLUMN('1-DATA'!D530)),IF($B532="STD. DEVIATION",2,$F$1))))</f>
        <v/>
      </c>
      <c r="F532" s="1" t="str">
        <f>IF(OR($B532="",F$7=""),"",IF($B532="MEANS",INDEX('1-DATA'!$1:$1048576,$A531-1,COLUMN('1-DATA'!E530)),ROUND(INDEX('1-DATA'!$1:$1048576,IF(OR($B532="STD. DEVIATION",$C$1=1),$A532,$A532+1),COLUMN('1-DATA'!E530)),IF($B532="STD. DEVIATION",2,$F$1))))</f>
        <v/>
      </c>
      <c r="G532" s="1" t="str">
        <f>IF(OR($B532="",G$7=""),"",IF($B532="MEANS",INDEX('1-DATA'!$1:$1048576,$A531-1,COLUMN('1-DATA'!F530)),ROUND(INDEX('1-DATA'!$1:$1048576,IF(OR($B532="STD. DEVIATION",$C$1=1),$A532,$A532+1),COLUMN('1-DATA'!F530)),IF($B532="STD. DEVIATION",2,$F$1))))</f>
        <v/>
      </c>
      <c r="H532" s="1" t="str">
        <f>IF(OR($B532="",H$7=""),"",IF($B532="MEANS",INDEX('1-DATA'!$1:$1048576,$A531-1,COLUMN('1-DATA'!G530)),ROUND(INDEX('1-DATA'!$1:$1048576,IF(OR($B532="STD. DEVIATION",$C$1=1),$A532,$A532+1),COLUMN('1-DATA'!G530)),IF($B532="STD. DEVIATION",2,$F$1))))</f>
        <v/>
      </c>
      <c r="I532" s="1" t="str">
        <f>IF(OR($B532="",I$7=""),"",IF($B532="MEANS",INDEX('1-DATA'!$1:$1048576,$A531-1,COLUMN('1-DATA'!H530)),ROUND(INDEX('1-DATA'!$1:$1048576,IF(OR($B532="STD. DEVIATION",$C$1=1),$A532,$A532+1),COLUMN('1-DATA'!H530)),IF($B532="STD. DEVIATION",2,$F$1))))</f>
        <v/>
      </c>
      <c r="J532" s="1" t="str">
        <f>IF(OR($B532="",J$7=""),"",IF($B532="MEANS",INDEX('1-DATA'!$1:$1048576,$A531-1,COLUMN('1-DATA'!I530)),ROUND(INDEX('1-DATA'!$1:$1048576,IF(OR($B532="STD. DEVIATION",$C$1=1),$A532,$A532+1),COLUMN('1-DATA'!I530)),IF($B532="STD. DEVIATION",2,$F$1))))</f>
        <v/>
      </c>
      <c r="K532" s="1" t="str">
        <f>IF(OR($B532="",K$7=""),"",IF($B532="MEANS",INDEX('1-DATA'!$1:$1048576,$A531-1,COLUMN('1-DATA'!J530)),ROUND(INDEX('1-DATA'!$1:$1048576,IF(OR($B532="STD. DEVIATION",$C$1=1),$A532,$A532+1),COLUMN('1-DATA'!J530)),IF($B532="STD. DEVIATION",2,$F$1))))</f>
        <v/>
      </c>
      <c r="L532" s="1" t="str">
        <f>IF(OR($B532="",L$7=""),"",IF($B532="MEANS",INDEX('1-DATA'!$1:$1048576,$A531-1,COLUMN('1-DATA'!K530)),ROUND(INDEX('1-DATA'!$1:$1048576,IF(OR($B532="STD. DEVIATION",$C$1=1),$A532,$A532+1),COLUMN('1-DATA'!K530)),IF($B532="STD. DEVIATION",2,$F$1))))</f>
        <v/>
      </c>
      <c r="M532" s="1" t="str">
        <f>IF(OR($B532="",M$7=""),"",IF($B532="MEANS",INDEX('1-DATA'!$1:$1048576,$A531-1,COLUMN('1-DATA'!L530)),ROUND(INDEX('1-DATA'!$1:$1048576,IF(OR($B532="STD. DEVIATION",$C$1=1),$A532,$A532+1),COLUMN('1-DATA'!L530)),IF($B532="STD. DEVIATION",2,$F$1))))</f>
        <v/>
      </c>
      <c r="N532" s="1" t="str">
        <f>IF(OR($B532="",N$7=""),"",IF($B532="MEANS",INDEX('1-DATA'!$1:$1048576,$A531-1,COLUMN('1-DATA'!M530)),ROUND(INDEX('1-DATA'!$1:$1048576,IF(OR($B532="STD. DEVIATION",$C$1=1),$A532,$A532+1),COLUMN('1-DATA'!M530)),IF($B532="STD. DEVIATION",2,$F$1))))</f>
        <v/>
      </c>
      <c r="O532" s="1" t="str">
        <f>IF(OR($B532="",O$7=""),"",IF($B532="MEANS",INDEX('1-DATA'!$1:$1048576,$A531-1,COLUMN('1-DATA'!N530)),ROUND(INDEX('1-DATA'!$1:$1048576,IF(OR($B532="STD. DEVIATION",$C$1=1),$A532,$A532+1),COLUMN('1-DATA'!N530)),IF($B532="STD. DEVIATION",2,$F$1))))</f>
        <v/>
      </c>
      <c r="P532" s="1" t="str">
        <f>IF(OR($B532="",P$7=""),"",IF($B532="MEANS",INDEX('1-DATA'!$1:$1048576,$A531-1,COLUMN('1-DATA'!O530)),ROUND(INDEX('1-DATA'!$1:$1048576,IF(OR($B532="STD. DEVIATION",$C$1=1),$A532,$A532+1),COLUMN('1-DATA'!O530)),IF($B532="STD. DEVIATION",2,$F$1))))</f>
        <v/>
      </c>
      <c r="Q532" s="1" t="str">
        <f>IF(OR($B532="",Q$7=""),"",IF($B532="MEANS",INDEX('1-DATA'!$1:$1048576,$A531-1,COLUMN('1-DATA'!P530)),ROUND(INDEX('1-DATA'!$1:$1048576,IF(OR($B532="STD. DEVIATION",$C$1=1),$A532,$A532+1),COLUMN('1-DATA'!P530)),IF($B532="STD. DEVIATION",2,$F$1))))</f>
        <v/>
      </c>
      <c r="R532" s="1" t="str">
        <f>IF(OR($B532="",R$7=""),"",IF($B532="MEANS",INDEX('1-DATA'!$1:$1048576,$A531-1,COLUMN('1-DATA'!Q530)),ROUND(INDEX('1-DATA'!$1:$1048576,IF(OR($B532="STD. DEVIATION",$C$1=1),$A532,$A532+1),COLUMN('1-DATA'!Q530)),IF($B532="STD. DEVIATION",2,$F$1))))</f>
        <v/>
      </c>
      <c r="S532" s="1" t="str">
        <f>IF(OR($B532="",S$7=""),"",IF($B532="MEANS",INDEX('1-DATA'!$1:$1048576,$A531-1,COLUMN('1-DATA'!R530)),ROUND(INDEX('1-DATA'!$1:$1048576,IF(OR($B532="STD. DEVIATION",$C$1=1),$A532,$A532+1),COLUMN('1-DATA'!R530)),IF($B532="STD. DEVIATION",2,$F$1))))</f>
        <v/>
      </c>
      <c r="T532" s="1" t="str">
        <f>IF(OR($B532="",T$7=""),"",IF($B532="MEANS",INDEX('1-DATA'!$1:$1048576,$A531-1,COLUMN('1-DATA'!S530)),ROUND(INDEX('1-DATA'!$1:$1048576,IF(OR($B532="STD. DEVIATION",$C$1=1),$A532,$A532+1),COLUMN('1-DATA'!S530)),IF($B532="STD. DEVIATION",2,$F$1))))</f>
        <v/>
      </c>
      <c r="U532" s="1" t="str">
        <f>IF(OR($B532="",U$7=""),"",IF($B532="MEANS",INDEX('1-DATA'!$1:$1048576,$A531-1,COLUMN('1-DATA'!T530)),ROUND(INDEX('1-DATA'!$1:$1048576,IF(OR($B532="STD. DEVIATION",$C$1=1),$A532,$A532+1),COLUMN('1-DATA'!T530)),IF($B532="STD. DEVIATION",2,$F$1))))</f>
        <v/>
      </c>
      <c r="V532" s="1" t="str">
        <f>IF(OR($B532="",V$7=""),"",IF($B532="MEANS",INDEX('1-DATA'!$1:$1048576,$A531-1,COLUMN('1-DATA'!U530)),ROUND(INDEX('1-DATA'!$1:$1048576,IF(OR($B532="STD. DEVIATION",$C$1=1),$A532,$A532+1),COLUMN('1-DATA'!U530)),IF($B532="STD. DEVIATION",2,$F$1))))</f>
        <v/>
      </c>
      <c r="W532" s="1" t="str">
        <f>IF(OR($B532="",W$7=""),"",IF($B532="MEANS",INDEX('1-DATA'!$1:$1048576,$A531-1,COLUMN('1-DATA'!V530)),ROUND(INDEX('1-DATA'!$1:$1048576,IF(OR($B532="STD. DEVIATION",$C$1=1),$A532,$A532+1),COLUMN('1-DATA'!V530)),IF($B532="STD. DEVIATION",2,$F$1))))</f>
        <v/>
      </c>
      <c r="X532" s="1" t="str">
        <f>IF(OR($B532="",X$7=""),"",IF($B532="MEANS",INDEX('1-DATA'!$1:$1048576,$A531-1,COLUMN('1-DATA'!W530)),ROUND(INDEX('1-DATA'!$1:$1048576,IF(OR($B532="STD. DEVIATION",$C$1=1),$A532,$A532+1),COLUMN('1-DATA'!W530)),IF($B532="STD. DEVIATION",2,$F$1))))</f>
        <v/>
      </c>
      <c r="Y532" s="1" t="str">
        <f>IF(OR($B532="",Y$7=""),"",IF($B532="MEANS",INDEX('1-DATA'!$1:$1048576,$A531-1,COLUMN('1-DATA'!X530)),ROUND(INDEX('1-DATA'!$1:$1048576,IF(OR($B532="STD. DEVIATION",$C$1=1),$A532,$A532+1),COLUMN('1-DATA'!X530)),IF($B532="STD. DEVIATION",2,$F$1))))</f>
        <v/>
      </c>
      <c r="Z532" s="1" t="str">
        <f>IF(OR($B532="",Z$7=""),"",IF($B532="MEANS",INDEX('1-DATA'!$1:$1048576,$A531-1,COLUMN('1-DATA'!Y530)),ROUND(INDEX('1-DATA'!$1:$1048576,IF(OR($B532="STD. DEVIATION",$C$1=1),$A532,$A532+1),COLUMN('1-DATA'!Y530)),IF($B532="STD. DEVIATION",2,$F$1))))</f>
        <v/>
      </c>
      <c r="AA532" s="1" t="str">
        <f>IF(OR($B532="",AA$7=""),"",IF($B532="MEANS",INDEX('1-DATA'!$1:$1048576,$A531-1,COLUMN('1-DATA'!Z530)),ROUND(INDEX('1-DATA'!$1:$1048576,IF(OR($B532="STD. DEVIATION",$C$1=1),$A532,$A532+1),COLUMN('1-DATA'!Z530)),IF($B532="STD. DEVIATION",2,$F$1))))</f>
        <v/>
      </c>
      <c r="AB532" s="1" t="str">
        <f>IF(OR($B532="",AB$7=""),"",IF($B532="MEANS",INDEX('1-DATA'!$1:$1048576,$A531-1,COLUMN('1-DATA'!AA530)),ROUND(INDEX('1-DATA'!$1:$1048576,IF(OR($B532="STD. DEVIATION",$C$1=1),$A532,$A532+1),COLUMN('1-DATA'!AA530)),IF($B532="STD. DEVIATION",2,$F$1))))</f>
        <v/>
      </c>
      <c r="AC532" s="1" t="str">
        <f>IF(OR($B532="",AC$7=""),"",IF($B532="MEANS",INDEX('1-DATA'!$1:$1048576,$A531-1,COLUMN('1-DATA'!AB530)),ROUND(INDEX('1-DATA'!$1:$1048576,IF(OR($B532="STD. DEVIATION",$C$1=1),$A532,$A532+1),COLUMN('1-DATA'!AB530)),IF($B532="STD. DEVIATION",2,$F$1))))</f>
        <v/>
      </c>
      <c r="AD532" s="1" t="str">
        <f>IF(OR($B532="",AD$7=""),"",IF($B532="MEANS",INDEX('1-DATA'!$1:$1048576,$A531-1,COLUMN('1-DATA'!AC530)),ROUND(INDEX('1-DATA'!$1:$1048576,IF(OR($B532="STD. DEVIATION",$C$1=1),$A532,$A532+1),COLUMN('1-DATA'!AC530)),IF($B532="STD. DEVIATION",2,$F$1))))</f>
        <v/>
      </c>
      <c r="AE532" s="1" t="str">
        <f>IF(OR($B532="",AE$7=""),"",IF($B532="MEANS",INDEX('1-DATA'!$1:$1048576,$A531-1,COLUMN('1-DATA'!AD530)),ROUND(INDEX('1-DATA'!$1:$1048576,IF(OR($B532="STD. DEVIATION",$C$1=1),$A532,$A532+1),COLUMN('1-DATA'!AD530)),IF($B532="STD. DEVIATION",2,$F$1))))</f>
        <v/>
      </c>
      <c r="AF532" s="1" t="str">
        <f>IF(OR($B532="",AF$7=""),"",IF($B532="MEANS",INDEX('1-DATA'!$1:$1048576,$A531-1,COLUMN('1-DATA'!AE530)),ROUND(INDEX('1-DATA'!$1:$1048576,IF(OR($B532="STD. DEVIATION",$C$1=1),$A532,$A532+1),COLUMN('1-DATA'!AE530)),IF($B532="STD. DEVIATION",2,$F$1))))</f>
        <v/>
      </c>
      <c r="AG532" s="1" t="str">
        <f>IF(OR($B532="",AG$7=""),"",IF($B532="MEANS",INDEX('1-DATA'!$1:$1048576,$A531-1,COLUMN('1-DATA'!AF530)),ROUND(INDEX('1-DATA'!$1:$1048576,IF(OR($B532="STD. DEVIATION",$C$1=1),$A532,$A532+1),COLUMN('1-DATA'!AF530)),IF($B532="STD. DEVIATION",2,$F$1))))</f>
        <v/>
      </c>
      <c r="AH532" s="1" t="str">
        <f>IF(OR($B532="",AH$7=""),"",IF($B532="MEANS",INDEX('1-DATA'!$1:$1048576,$A531-1,COLUMN('1-DATA'!AG530)),ROUND(INDEX('1-DATA'!$1:$1048576,IF(OR($B532="STD. DEVIATION",$C$1=1),$A532,$A532+1),COLUMN('1-DATA'!AG530)),IF($B532="STD. DEVIATION",2,$F$1))))</f>
        <v/>
      </c>
      <c r="AI532" s="1" t="str">
        <f>IF(OR($B532="",AI$7=""),"",IF($B532="MEANS",INDEX('1-DATA'!$1:$1048576,$A531-1,COLUMN('1-DATA'!AH530)),ROUND(INDEX('1-DATA'!$1:$1048576,IF(OR($B532="STD. DEVIATION",$C$1=1),$A532,$A532+1),COLUMN('1-DATA'!AH530)),IF($B532="STD. DEVIATION",2,$F$1))))</f>
        <v/>
      </c>
      <c r="AJ532" s="1" t="str">
        <f>IF(OR($B532="",AJ$7=""),"",IF($B532="MEANS",INDEX('1-DATA'!$1:$1048576,$A531-1,COLUMN('1-DATA'!AI530)),ROUND(INDEX('1-DATA'!$1:$1048576,IF(OR($B532="STD. DEVIATION",$C$1=1),$A532,$A532+1),COLUMN('1-DATA'!AI530)),IF($B532="STD. DEVIATION",2,$F$1))))</f>
        <v/>
      </c>
      <c r="AK532" s="1" t="str">
        <f>IF(OR($B532="",AK$7=""),"",IF($B532="MEANS",INDEX('1-DATA'!$1:$1048576,$A531-1,COLUMN('1-DATA'!AJ530)),ROUND(INDEX('1-DATA'!$1:$1048576,IF(OR($B532="STD. DEVIATION",$C$1=1),$A532,$A532+1),COLUMN('1-DATA'!AJ530)),IF($B532="STD. DEVIATION",2,$F$1))))</f>
        <v/>
      </c>
      <c r="AL532" s="1" t="str">
        <f>IF(OR($B532="",AL$7=""),"",IF($B532="MEANS",INDEX('1-DATA'!$1:$1048576,$A531-1,COLUMN('1-DATA'!AK530)),ROUND(INDEX('1-DATA'!$1:$1048576,IF(OR($B532="STD. DEVIATION",$C$1=1),$A532,$A532+1),COLUMN('1-DATA'!AK530)),IF($B532="STD. DEVIATION",2,$F$1))))</f>
        <v/>
      </c>
      <c r="AM532" s="1" t="str">
        <f>IF(OR($B532="",AM$7=""),"",IF($B532="MEANS",INDEX('1-DATA'!$1:$1048576,$A531-1,COLUMN('1-DATA'!AL530)),ROUND(INDEX('1-DATA'!$1:$1048576,IF(OR($B532="STD. DEVIATION",$C$1=1),$A532,$A532+1),COLUMN('1-DATA'!AL530)),IF($B532="STD. DEVIATION",2,$F$1))))</f>
        <v/>
      </c>
      <c r="AN532" s="1" t="str">
        <f>IF(OR($B532="",AN$7=""),"",IF($B532="MEANS",INDEX('1-DATA'!$1:$1048576,$A531-1,COLUMN('1-DATA'!AM530)),ROUND(INDEX('1-DATA'!$1:$1048576,IF(OR($B532="STD. DEVIATION",$C$1=1),$A532,$A532+1),COLUMN('1-DATA'!AM530)),IF($B532="STD. DEVIATION",2,$F$1))))</f>
        <v/>
      </c>
      <c r="AO532" s="1" t="str">
        <f>IF(OR($B532="",AO$7=""),"",IF($B532="MEANS",INDEX('1-DATA'!$1:$1048576,$A531-1,COLUMN('1-DATA'!AN530)),ROUND(INDEX('1-DATA'!$1:$1048576,IF(OR($B532="STD. DEVIATION",$C$1=1),$A532,$A532+1),COLUMN('1-DATA'!AN530)),IF($B532="STD. DEVIATION",2,$F$1))))</f>
        <v/>
      </c>
      <c r="AP532" s="1" t="str">
        <f>IF(OR($B532="",AP$7=""),"",IF($B532="MEANS",INDEX('1-DATA'!$1:$1048576,$A531-1,COLUMN('1-DATA'!AO530)),ROUND(INDEX('1-DATA'!$1:$1048576,IF(OR($B532="STD. DEVIATION",$C$1=1),$A532,$A532+1),COLUMN('1-DATA'!AO530)),IF($B532="STD. DEVIATION",2,$F$1))))</f>
        <v/>
      </c>
      <c r="AQ532" s="1" t="str">
        <f>IF(OR($B532="",AQ$7=""),"",IF($B532="MEANS",INDEX('1-DATA'!$1:$1048576,$A531-1,COLUMN('1-DATA'!AP530)),ROUND(INDEX('1-DATA'!$1:$1048576,IF(OR($B532="STD. DEVIATION",$C$1=1),$A532,$A532+1),COLUMN('1-DATA'!AP530)),IF($B532="STD. DEVIATION",2,$F$1))))</f>
        <v/>
      </c>
      <c r="AR532" s="1" t="str">
        <f>IF(OR($B532="",AR$7=""),"",IF($B532="MEANS",INDEX('1-DATA'!$1:$1048576,$A531-1,COLUMN('1-DATA'!AQ530)),ROUND(INDEX('1-DATA'!$1:$1048576,IF(OR($B532="STD. DEVIATION",$C$1=1),$A532,$A532+1),COLUMN('1-DATA'!AQ530)),IF($B532="STD. DEVIATION",2,$F$1))))</f>
        <v/>
      </c>
      <c r="AS532" s="1" t="str">
        <f>IF(OR($B532="",AS$7=""),"",IF($B532="MEANS",INDEX('1-DATA'!$1:$1048576,$A531-1,COLUMN('1-DATA'!AR530)),ROUND(INDEX('1-DATA'!$1:$1048576,IF(OR($B532="STD. DEVIATION",$C$1=1),$A532,$A532+1),COLUMN('1-DATA'!AR530)),IF($B532="STD. DEVIATION",2,$F$1))))</f>
        <v/>
      </c>
      <c r="AT532" s="1" t="str">
        <f>IF(OR($B532="",AT$7=""),"",IF($B532="MEANS",INDEX('1-DATA'!$1:$1048576,$A531-1,COLUMN('1-DATA'!AS530)),ROUND(INDEX('1-DATA'!$1:$1048576,IF(OR($B532="STD. DEVIATION",$C$1=1),$A532,$A532+1),COLUMN('1-DATA'!AS530)),IF($B532="STD. DEVIATION",2,$F$1))))</f>
        <v/>
      </c>
      <c r="AU532" s="1" t="str">
        <f>IF(OR($B532="",AU$7=""),"",IF($B532="MEANS",INDEX('1-DATA'!$1:$1048576,$A531-1,COLUMN('1-DATA'!AT530)),ROUND(INDEX('1-DATA'!$1:$1048576,IF(OR($B532="STD. DEVIATION",$C$1=1),$A532,$A532+1),COLUMN('1-DATA'!AT530)),IF($B532="STD. DEVIATION",2,$F$1))))</f>
        <v/>
      </c>
      <c r="AV532" s="1" t="str">
        <f>IF(OR($B532="",AV$7=""),"",IF($B532="MEANS",INDEX('1-DATA'!$1:$1048576,$A531-1,COLUMN('1-DATA'!AU530)),ROUND(INDEX('1-DATA'!$1:$1048576,IF(OR($B532="STD. DEVIATION",$C$1=1),$A532,$A532+1),COLUMN('1-DATA'!AU530)),IF($B532="STD. DEVIATION",2,$F$1))))</f>
        <v/>
      </c>
      <c r="AW532" s="1" t="str">
        <f>IF(OR($B532="",AW$7=""),"",IF($B532="MEANS",INDEX('1-DATA'!$1:$1048576,$A531-1,COLUMN('1-DATA'!AV530)),ROUND(INDEX('1-DATA'!$1:$1048576,IF(OR($B532="STD. DEVIATION",$C$1=1),$A532,$A532+1),COLUMN('1-DATA'!AV530)),IF($B532="STD. DEVIATION",2,$F$1))))</f>
        <v/>
      </c>
      <c r="AX532" s="1" t="str">
        <f>IF(OR($B532="",AX$7=""),"",IF($B532="MEANS",INDEX('1-DATA'!$1:$1048576,$A531-1,COLUMN('1-DATA'!AW530)),ROUND(INDEX('1-DATA'!$1:$1048576,IF(OR($B532="STD. DEVIATION",$C$1=1),$A532,$A532+1),COLUMN('1-DATA'!AW530)),IF($B532="STD. DEVIATION",2,$F$1))))</f>
        <v/>
      </c>
      <c r="AY532" s="1" t="str">
        <f>IF(OR($B532="",AY$7=""),"",IF($B532="MEANS",INDEX('1-DATA'!$1:$1048576,$A531-1,COLUMN('1-DATA'!AX530)),ROUND(INDEX('1-DATA'!$1:$1048576,IF(OR($B532="STD. DEVIATION",$C$1=1),$A532,$A532+1),COLUMN('1-DATA'!AX530)),IF($B532="STD. DEVIATION",2,$F$1))))</f>
        <v/>
      </c>
      <c r="AZ532" s="1" t="str">
        <f>IF(OR($B532="",AZ$7=""),"",IF($B532="MEANS",INDEX('1-DATA'!$1:$1048576,$A531-1,COLUMN('1-DATA'!AY530)),ROUND(INDEX('1-DATA'!$1:$1048576,IF(OR($B532="STD. DEVIATION",$C$1=1),$A532,$A532+1),COLUMN('1-DATA'!AY530)),IF($B532="STD. DEVIATION",2,$F$1))))</f>
        <v/>
      </c>
    </row>
    <row r="533" spans="1:52" x14ac:dyDescent="0.25">
      <c r="A533" s="11">
        <f t="shared" si="8"/>
        <v>1585</v>
      </c>
      <c r="B533" s="1" t="str">
        <f>IF(B532="STD. DEVIATION",INDEX('1-DATA'!$1:$1048576,$A532-1,1),IF(INDEX('1-DATA'!$1:$1048576,$A533,1)&lt;&gt;"",INDEX('1-DATA'!$1:$1048576,$A533,1),""))</f>
        <v/>
      </c>
      <c r="C533" s="1" t="str">
        <f>IF(OR($B533="",C$7=""),"",IF($B533="MEANS",INDEX('1-DATA'!$1:$1048576,$A532-1,COLUMN('1-DATA'!B531)),ROUND(INDEX('1-DATA'!$1:$1048576,IF(OR($B533="STD. DEVIATION",$C$1=1),$A533,$A533+1),COLUMN('1-DATA'!B531)),IF($B533="STD. DEVIATION",2,$F$1))))</f>
        <v/>
      </c>
      <c r="D533" s="1" t="str">
        <f>IF(OR($B533="",D$7=""),"",IF($B533="MEANS",INDEX('1-DATA'!$1:$1048576,$A532-1,COLUMN('1-DATA'!C531)),ROUND(INDEX('1-DATA'!$1:$1048576,IF(OR($B533="STD. DEVIATION",$C$1=1),$A533,$A533+1),COLUMN('1-DATA'!C531)),IF($B533="STD. DEVIATION",2,$F$1))))</f>
        <v/>
      </c>
      <c r="E533" s="1" t="str">
        <f>IF(OR($B533="",E$7=""),"",IF($B533="MEANS",INDEX('1-DATA'!$1:$1048576,$A532-1,COLUMN('1-DATA'!D531)),ROUND(INDEX('1-DATA'!$1:$1048576,IF(OR($B533="STD. DEVIATION",$C$1=1),$A533,$A533+1),COLUMN('1-DATA'!D531)),IF($B533="STD. DEVIATION",2,$F$1))))</f>
        <v/>
      </c>
      <c r="F533" s="1" t="str">
        <f>IF(OR($B533="",F$7=""),"",IF($B533="MEANS",INDEX('1-DATA'!$1:$1048576,$A532-1,COLUMN('1-DATA'!E531)),ROUND(INDEX('1-DATA'!$1:$1048576,IF(OR($B533="STD. DEVIATION",$C$1=1),$A533,$A533+1),COLUMN('1-DATA'!E531)),IF($B533="STD. DEVIATION",2,$F$1))))</f>
        <v/>
      </c>
      <c r="G533" s="1" t="str">
        <f>IF(OR($B533="",G$7=""),"",IF($B533="MEANS",INDEX('1-DATA'!$1:$1048576,$A532-1,COLUMN('1-DATA'!F531)),ROUND(INDEX('1-DATA'!$1:$1048576,IF(OR($B533="STD. DEVIATION",$C$1=1),$A533,$A533+1),COLUMN('1-DATA'!F531)),IF($B533="STD. DEVIATION",2,$F$1))))</f>
        <v/>
      </c>
      <c r="H533" s="1" t="str">
        <f>IF(OR($B533="",H$7=""),"",IF($B533="MEANS",INDEX('1-DATA'!$1:$1048576,$A532-1,COLUMN('1-DATA'!G531)),ROUND(INDEX('1-DATA'!$1:$1048576,IF(OR($B533="STD. DEVIATION",$C$1=1),$A533,$A533+1),COLUMN('1-DATA'!G531)),IF($B533="STD. DEVIATION",2,$F$1))))</f>
        <v/>
      </c>
      <c r="I533" s="1" t="str">
        <f>IF(OR($B533="",I$7=""),"",IF($B533="MEANS",INDEX('1-DATA'!$1:$1048576,$A532-1,COLUMN('1-DATA'!H531)),ROUND(INDEX('1-DATA'!$1:$1048576,IF(OR($B533="STD. DEVIATION",$C$1=1),$A533,$A533+1),COLUMN('1-DATA'!H531)),IF($B533="STD. DEVIATION",2,$F$1))))</f>
        <v/>
      </c>
      <c r="J533" s="1" t="str">
        <f>IF(OR($B533="",J$7=""),"",IF($B533="MEANS",INDEX('1-DATA'!$1:$1048576,$A532-1,COLUMN('1-DATA'!I531)),ROUND(INDEX('1-DATA'!$1:$1048576,IF(OR($B533="STD. DEVIATION",$C$1=1),$A533,$A533+1),COLUMN('1-DATA'!I531)),IF($B533="STD. DEVIATION",2,$F$1))))</f>
        <v/>
      </c>
      <c r="K533" s="1" t="str">
        <f>IF(OR($B533="",K$7=""),"",IF($B533="MEANS",INDEX('1-DATA'!$1:$1048576,$A532-1,COLUMN('1-DATA'!J531)),ROUND(INDEX('1-DATA'!$1:$1048576,IF(OR($B533="STD. DEVIATION",$C$1=1),$A533,$A533+1),COLUMN('1-DATA'!J531)),IF($B533="STD. DEVIATION",2,$F$1))))</f>
        <v/>
      </c>
      <c r="L533" s="1" t="str">
        <f>IF(OR($B533="",L$7=""),"",IF($B533="MEANS",INDEX('1-DATA'!$1:$1048576,$A532-1,COLUMN('1-DATA'!K531)),ROUND(INDEX('1-DATA'!$1:$1048576,IF(OR($B533="STD. DEVIATION",$C$1=1),$A533,$A533+1),COLUMN('1-DATA'!K531)),IF($B533="STD. DEVIATION",2,$F$1))))</f>
        <v/>
      </c>
      <c r="M533" s="1" t="str">
        <f>IF(OR($B533="",M$7=""),"",IF($B533="MEANS",INDEX('1-DATA'!$1:$1048576,$A532-1,COLUMN('1-DATA'!L531)),ROUND(INDEX('1-DATA'!$1:$1048576,IF(OR($B533="STD. DEVIATION",$C$1=1),$A533,$A533+1),COLUMN('1-DATA'!L531)),IF($B533="STD. DEVIATION",2,$F$1))))</f>
        <v/>
      </c>
      <c r="N533" s="1" t="str">
        <f>IF(OR($B533="",N$7=""),"",IF($B533="MEANS",INDEX('1-DATA'!$1:$1048576,$A532-1,COLUMN('1-DATA'!M531)),ROUND(INDEX('1-DATA'!$1:$1048576,IF(OR($B533="STD. DEVIATION",$C$1=1),$A533,$A533+1),COLUMN('1-DATA'!M531)),IF($B533="STD. DEVIATION",2,$F$1))))</f>
        <v/>
      </c>
      <c r="O533" s="1" t="str">
        <f>IF(OR($B533="",O$7=""),"",IF($B533="MEANS",INDEX('1-DATA'!$1:$1048576,$A532-1,COLUMN('1-DATA'!N531)),ROUND(INDEX('1-DATA'!$1:$1048576,IF(OR($B533="STD. DEVIATION",$C$1=1),$A533,$A533+1),COLUMN('1-DATA'!N531)),IF($B533="STD. DEVIATION",2,$F$1))))</f>
        <v/>
      </c>
      <c r="P533" s="1" t="str">
        <f>IF(OR($B533="",P$7=""),"",IF($B533="MEANS",INDEX('1-DATA'!$1:$1048576,$A532-1,COLUMN('1-DATA'!O531)),ROUND(INDEX('1-DATA'!$1:$1048576,IF(OR($B533="STD. DEVIATION",$C$1=1),$A533,$A533+1),COLUMN('1-DATA'!O531)),IF($B533="STD. DEVIATION",2,$F$1))))</f>
        <v/>
      </c>
      <c r="Q533" s="1" t="str">
        <f>IF(OR($B533="",Q$7=""),"",IF($B533="MEANS",INDEX('1-DATA'!$1:$1048576,$A532-1,COLUMN('1-DATA'!P531)),ROUND(INDEX('1-DATA'!$1:$1048576,IF(OR($B533="STD. DEVIATION",$C$1=1),$A533,$A533+1),COLUMN('1-DATA'!P531)),IF($B533="STD. DEVIATION",2,$F$1))))</f>
        <v/>
      </c>
      <c r="R533" s="1" t="str">
        <f>IF(OR($B533="",R$7=""),"",IF($B533="MEANS",INDEX('1-DATA'!$1:$1048576,$A532-1,COLUMN('1-DATA'!Q531)),ROUND(INDEX('1-DATA'!$1:$1048576,IF(OR($B533="STD. DEVIATION",$C$1=1),$A533,$A533+1),COLUMN('1-DATA'!Q531)),IF($B533="STD. DEVIATION",2,$F$1))))</f>
        <v/>
      </c>
      <c r="S533" s="1" t="str">
        <f>IF(OR($B533="",S$7=""),"",IF($B533="MEANS",INDEX('1-DATA'!$1:$1048576,$A532-1,COLUMN('1-DATA'!R531)),ROUND(INDEX('1-DATA'!$1:$1048576,IF(OR($B533="STD. DEVIATION",$C$1=1),$A533,$A533+1),COLUMN('1-DATA'!R531)),IF($B533="STD. DEVIATION",2,$F$1))))</f>
        <v/>
      </c>
      <c r="T533" s="1" t="str">
        <f>IF(OR($B533="",T$7=""),"",IF($B533="MEANS",INDEX('1-DATA'!$1:$1048576,$A532-1,COLUMN('1-DATA'!S531)),ROUND(INDEX('1-DATA'!$1:$1048576,IF(OR($B533="STD. DEVIATION",$C$1=1),$A533,$A533+1),COLUMN('1-DATA'!S531)),IF($B533="STD. DEVIATION",2,$F$1))))</f>
        <v/>
      </c>
      <c r="U533" s="1" t="str">
        <f>IF(OR($B533="",U$7=""),"",IF($B533="MEANS",INDEX('1-DATA'!$1:$1048576,$A532-1,COLUMN('1-DATA'!T531)),ROUND(INDEX('1-DATA'!$1:$1048576,IF(OR($B533="STD. DEVIATION",$C$1=1),$A533,$A533+1),COLUMN('1-DATA'!T531)),IF($B533="STD. DEVIATION",2,$F$1))))</f>
        <v/>
      </c>
      <c r="V533" s="1" t="str">
        <f>IF(OR($B533="",V$7=""),"",IF($B533="MEANS",INDEX('1-DATA'!$1:$1048576,$A532-1,COLUMN('1-DATA'!U531)),ROUND(INDEX('1-DATA'!$1:$1048576,IF(OR($B533="STD. DEVIATION",$C$1=1),$A533,$A533+1),COLUMN('1-DATA'!U531)),IF($B533="STD. DEVIATION",2,$F$1))))</f>
        <v/>
      </c>
      <c r="W533" s="1" t="str">
        <f>IF(OR($B533="",W$7=""),"",IF($B533="MEANS",INDEX('1-DATA'!$1:$1048576,$A532-1,COLUMN('1-DATA'!V531)),ROUND(INDEX('1-DATA'!$1:$1048576,IF(OR($B533="STD. DEVIATION",$C$1=1),$A533,$A533+1),COLUMN('1-DATA'!V531)),IF($B533="STD. DEVIATION",2,$F$1))))</f>
        <v/>
      </c>
      <c r="X533" s="1" t="str">
        <f>IF(OR($B533="",X$7=""),"",IF($B533="MEANS",INDEX('1-DATA'!$1:$1048576,$A532-1,COLUMN('1-DATA'!W531)),ROUND(INDEX('1-DATA'!$1:$1048576,IF(OR($B533="STD. DEVIATION",$C$1=1),$A533,$A533+1),COLUMN('1-DATA'!W531)),IF($B533="STD. DEVIATION",2,$F$1))))</f>
        <v/>
      </c>
      <c r="Y533" s="1" t="str">
        <f>IF(OR($B533="",Y$7=""),"",IF($B533="MEANS",INDEX('1-DATA'!$1:$1048576,$A532-1,COLUMN('1-DATA'!X531)),ROUND(INDEX('1-DATA'!$1:$1048576,IF(OR($B533="STD. DEVIATION",$C$1=1),$A533,$A533+1),COLUMN('1-DATA'!X531)),IF($B533="STD. DEVIATION",2,$F$1))))</f>
        <v/>
      </c>
      <c r="Z533" s="1" t="str">
        <f>IF(OR($B533="",Z$7=""),"",IF($B533="MEANS",INDEX('1-DATA'!$1:$1048576,$A532-1,COLUMN('1-DATA'!Y531)),ROUND(INDEX('1-DATA'!$1:$1048576,IF(OR($B533="STD. DEVIATION",$C$1=1),$A533,$A533+1),COLUMN('1-DATA'!Y531)),IF($B533="STD. DEVIATION",2,$F$1))))</f>
        <v/>
      </c>
      <c r="AA533" s="1" t="str">
        <f>IF(OR($B533="",AA$7=""),"",IF($B533="MEANS",INDEX('1-DATA'!$1:$1048576,$A532-1,COLUMN('1-DATA'!Z531)),ROUND(INDEX('1-DATA'!$1:$1048576,IF(OR($B533="STD. DEVIATION",$C$1=1),$A533,$A533+1),COLUMN('1-DATA'!Z531)),IF($B533="STD. DEVIATION",2,$F$1))))</f>
        <v/>
      </c>
      <c r="AB533" s="1" t="str">
        <f>IF(OR($B533="",AB$7=""),"",IF($B533="MEANS",INDEX('1-DATA'!$1:$1048576,$A532-1,COLUMN('1-DATA'!AA531)),ROUND(INDEX('1-DATA'!$1:$1048576,IF(OR($B533="STD. DEVIATION",$C$1=1),$A533,$A533+1),COLUMN('1-DATA'!AA531)),IF($B533="STD. DEVIATION",2,$F$1))))</f>
        <v/>
      </c>
      <c r="AC533" s="1" t="str">
        <f>IF(OR($B533="",AC$7=""),"",IF($B533="MEANS",INDEX('1-DATA'!$1:$1048576,$A532-1,COLUMN('1-DATA'!AB531)),ROUND(INDEX('1-DATA'!$1:$1048576,IF(OR($B533="STD. DEVIATION",$C$1=1),$A533,$A533+1),COLUMN('1-DATA'!AB531)),IF($B533="STD. DEVIATION",2,$F$1))))</f>
        <v/>
      </c>
      <c r="AD533" s="1" t="str">
        <f>IF(OR($B533="",AD$7=""),"",IF($B533="MEANS",INDEX('1-DATA'!$1:$1048576,$A532-1,COLUMN('1-DATA'!AC531)),ROUND(INDEX('1-DATA'!$1:$1048576,IF(OR($B533="STD. DEVIATION",$C$1=1),$A533,$A533+1),COLUMN('1-DATA'!AC531)),IF($B533="STD. DEVIATION",2,$F$1))))</f>
        <v/>
      </c>
      <c r="AE533" s="1" t="str">
        <f>IF(OR($B533="",AE$7=""),"",IF($B533="MEANS",INDEX('1-DATA'!$1:$1048576,$A532-1,COLUMN('1-DATA'!AD531)),ROUND(INDEX('1-DATA'!$1:$1048576,IF(OR($B533="STD. DEVIATION",$C$1=1),$A533,$A533+1),COLUMN('1-DATA'!AD531)),IF($B533="STD. DEVIATION",2,$F$1))))</f>
        <v/>
      </c>
      <c r="AF533" s="1" t="str">
        <f>IF(OR($B533="",AF$7=""),"",IF($B533="MEANS",INDEX('1-DATA'!$1:$1048576,$A532-1,COLUMN('1-DATA'!AE531)),ROUND(INDEX('1-DATA'!$1:$1048576,IF(OR($B533="STD. DEVIATION",$C$1=1),$A533,$A533+1),COLUMN('1-DATA'!AE531)),IF($B533="STD. DEVIATION",2,$F$1))))</f>
        <v/>
      </c>
      <c r="AG533" s="1" t="str">
        <f>IF(OR($B533="",AG$7=""),"",IF($B533="MEANS",INDEX('1-DATA'!$1:$1048576,$A532-1,COLUMN('1-DATA'!AF531)),ROUND(INDEX('1-DATA'!$1:$1048576,IF(OR($B533="STD. DEVIATION",$C$1=1),$A533,$A533+1),COLUMN('1-DATA'!AF531)),IF($B533="STD. DEVIATION",2,$F$1))))</f>
        <v/>
      </c>
      <c r="AH533" s="1" t="str">
        <f>IF(OR($B533="",AH$7=""),"",IF($B533="MEANS",INDEX('1-DATA'!$1:$1048576,$A532-1,COLUMN('1-DATA'!AG531)),ROUND(INDEX('1-DATA'!$1:$1048576,IF(OR($B533="STD. DEVIATION",$C$1=1),$A533,$A533+1),COLUMN('1-DATA'!AG531)),IF($B533="STD. DEVIATION",2,$F$1))))</f>
        <v/>
      </c>
      <c r="AI533" s="1" t="str">
        <f>IF(OR($B533="",AI$7=""),"",IF($B533="MEANS",INDEX('1-DATA'!$1:$1048576,$A532-1,COLUMN('1-DATA'!AH531)),ROUND(INDEX('1-DATA'!$1:$1048576,IF(OR($B533="STD. DEVIATION",$C$1=1),$A533,$A533+1),COLUMN('1-DATA'!AH531)),IF($B533="STD. DEVIATION",2,$F$1))))</f>
        <v/>
      </c>
      <c r="AJ533" s="1" t="str">
        <f>IF(OR($B533="",AJ$7=""),"",IF($B533="MEANS",INDEX('1-DATA'!$1:$1048576,$A532-1,COLUMN('1-DATA'!AI531)),ROUND(INDEX('1-DATA'!$1:$1048576,IF(OR($B533="STD. DEVIATION",$C$1=1),$A533,$A533+1),COLUMN('1-DATA'!AI531)),IF($B533="STD. DEVIATION",2,$F$1))))</f>
        <v/>
      </c>
      <c r="AK533" s="1" t="str">
        <f>IF(OR($B533="",AK$7=""),"",IF($B533="MEANS",INDEX('1-DATA'!$1:$1048576,$A532-1,COLUMN('1-DATA'!AJ531)),ROUND(INDEX('1-DATA'!$1:$1048576,IF(OR($B533="STD. DEVIATION",$C$1=1),$A533,$A533+1),COLUMN('1-DATA'!AJ531)),IF($B533="STD. DEVIATION",2,$F$1))))</f>
        <v/>
      </c>
      <c r="AL533" s="1" t="str">
        <f>IF(OR($B533="",AL$7=""),"",IF($B533="MEANS",INDEX('1-DATA'!$1:$1048576,$A532-1,COLUMN('1-DATA'!AK531)),ROUND(INDEX('1-DATA'!$1:$1048576,IF(OR($B533="STD. DEVIATION",$C$1=1),$A533,$A533+1),COLUMN('1-DATA'!AK531)),IF($B533="STD. DEVIATION",2,$F$1))))</f>
        <v/>
      </c>
      <c r="AM533" s="1" t="str">
        <f>IF(OR($B533="",AM$7=""),"",IF($B533="MEANS",INDEX('1-DATA'!$1:$1048576,$A532-1,COLUMN('1-DATA'!AL531)),ROUND(INDEX('1-DATA'!$1:$1048576,IF(OR($B533="STD. DEVIATION",$C$1=1),$A533,$A533+1),COLUMN('1-DATA'!AL531)),IF($B533="STD. DEVIATION",2,$F$1))))</f>
        <v/>
      </c>
      <c r="AN533" s="1" t="str">
        <f>IF(OR($B533="",AN$7=""),"",IF($B533="MEANS",INDEX('1-DATA'!$1:$1048576,$A532-1,COLUMN('1-DATA'!AM531)),ROUND(INDEX('1-DATA'!$1:$1048576,IF(OR($B533="STD. DEVIATION",$C$1=1),$A533,$A533+1),COLUMN('1-DATA'!AM531)),IF($B533="STD. DEVIATION",2,$F$1))))</f>
        <v/>
      </c>
      <c r="AO533" s="1" t="str">
        <f>IF(OR($B533="",AO$7=""),"",IF($B533="MEANS",INDEX('1-DATA'!$1:$1048576,$A532-1,COLUMN('1-DATA'!AN531)),ROUND(INDEX('1-DATA'!$1:$1048576,IF(OR($B533="STD. DEVIATION",$C$1=1),$A533,$A533+1),COLUMN('1-DATA'!AN531)),IF($B533="STD. DEVIATION",2,$F$1))))</f>
        <v/>
      </c>
      <c r="AP533" s="1" t="str">
        <f>IF(OR($B533="",AP$7=""),"",IF($B533="MEANS",INDEX('1-DATA'!$1:$1048576,$A532-1,COLUMN('1-DATA'!AO531)),ROUND(INDEX('1-DATA'!$1:$1048576,IF(OR($B533="STD. DEVIATION",$C$1=1),$A533,$A533+1),COLUMN('1-DATA'!AO531)),IF($B533="STD. DEVIATION",2,$F$1))))</f>
        <v/>
      </c>
      <c r="AQ533" s="1" t="str">
        <f>IF(OR($B533="",AQ$7=""),"",IF($B533="MEANS",INDEX('1-DATA'!$1:$1048576,$A532-1,COLUMN('1-DATA'!AP531)),ROUND(INDEX('1-DATA'!$1:$1048576,IF(OR($B533="STD. DEVIATION",$C$1=1),$A533,$A533+1),COLUMN('1-DATA'!AP531)),IF($B533="STD. DEVIATION",2,$F$1))))</f>
        <v/>
      </c>
      <c r="AR533" s="1" t="str">
        <f>IF(OR($B533="",AR$7=""),"",IF($B533="MEANS",INDEX('1-DATA'!$1:$1048576,$A532-1,COLUMN('1-DATA'!AQ531)),ROUND(INDEX('1-DATA'!$1:$1048576,IF(OR($B533="STD. DEVIATION",$C$1=1),$A533,$A533+1),COLUMN('1-DATA'!AQ531)),IF($B533="STD. DEVIATION",2,$F$1))))</f>
        <v/>
      </c>
      <c r="AS533" s="1" t="str">
        <f>IF(OR($B533="",AS$7=""),"",IF($B533="MEANS",INDEX('1-DATA'!$1:$1048576,$A532-1,COLUMN('1-DATA'!AR531)),ROUND(INDEX('1-DATA'!$1:$1048576,IF(OR($B533="STD. DEVIATION",$C$1=1),$A533,$A533+1),COLUMN('1-DATA'!AR531)),IF($B533="STD. DEVIATION",2,$F$1))))</f>
        <v/>
      </c>
      <c r="AT533" s="1" t="str">
        <f>IF(OR($B533="",AT$7=""),"",IF($B533="MEANS",INDEX('1-DATA'!$1:$1048576,$A532-1,COLUMN('1-DATA'!AS531)),ROUND(INDEX('1-DATA'!$1:$1048576,IF(OR($B533="STD. DEVIATION",$C$1=1),$A533,$A533+1),COLUMN('1-DATA'!AS531)),IF($B533="STD. DEVIATION",2,$F$1))))</f>
        <v/>
      </c>
      <c r="AU533" s="1" t="str">
        <f>IF(OR($B533="",AU$7=""),"",IF($B533="MEANS",INDEX('1-DATA'!$1:$1048576,$A532-1,COLUMN('1-DATA'!AT531)),ROUND(INDEX('1-DATA'!$1:$1048576,IF(OR($B533="STD. DEVIATION",$C$1=1),$A533,$A533+1),COLUMN('1-DATA'!AT531)),IF($B533="STD. DEVIATION",2,$F$1))))</f>
        <v/>
      </c>
      <c r="AV533" s="1" t="str">
        <f>IF(OR($B533="",AV$7=""),"",IF($B533="MEANS",INDEX('1-DATA'!$1:$1048576,$A532-1,COLUMN('1-DATA'!AU531)),ROUND(INDEX('1-DATA'!$1:$1048576,IF(OR($B533="STD. DEVIATION",$C$1=1),$A533,$A533+1),COLUMN('1-DATA'!AU531)),IF($B533="STD. DEVIATION",2,$F$1))))</f>
        <v/>
      </c>
      <c r="AW533" s="1" t="str">
        <f>IF(OR($B533="",AW$7=""),"",IF($B533="MEANS",INDEX('1-DATA'!$1:$1048576,$A532-1,COLUMN('1-DATA'!AV531)),ROUND(INDEX('1-DATA'!$1:$1048576,IF(OR($B533="STD. DEVIATION",$C$1=1),$A533,$A533+1),COLUMN('1-DATA'!AV531)),IF($B533="STD. DEVIATION",2,$F$1))))</f>
        <v/>
      </c>
      <c r="AX533" s="1" t="str">
        <f>IF(OR($B533="",AX$7=""),"",IF($B533="MEANS",INDEX('1-DATA'!$1:$1048576,$A532-1,COLUMN('1-DATA'!AW531)),ROUND(INDEX('1-DATA'!$1:$1048576,IF(OR($B533="STD. DEVIATION",$C$1=1),$A533,$A533+1),COLUMN('1-DATA'!AW531)),IF($B533="STD. DEVIATION",2,$F$1))))</f>
        <v/>
      </c>
      <c r="AY533" s="1" t="str">
        <f>IF(OR($B533="",AY$7=""),"",IF($B533="MEANS",INDEX('1-DATA'!$1:$1048576,$A532-1,COLUMN('1-DATA'!AX531)),ROUND(INDEX('1-DATA'!$1:$1048576,IF(OR($B533="STD. DEVIATION",$C$1=1),$A533,$A533+1),COLUMN('1-DATA'!AX531)),IF($B533="STD. DEVIATION",2,$F$1))))</f>
        <v/>
      </c>
      <c r="AZ533" s="1" t="str">
        <f>IF(OR($B533="",AZ$7=""),"",IF($B533="MEANS",INDEX('1-DATA'!$1:$1048576,$A532-1,COLUMN('1-DATA'!AY531)),ROUND(INDEX('1-DATA'!$1:$1048576,IF(OR($B533="STD. DEVIATION",$C$1=1),$A533,$A533+1),COLUMN('1-DATA'!AY531)),IF($B533="STD. DEVIATION",2,$F$1))))</f>
        <v/>
      </c>
    </row>
    <row r="534" spans="1:52" x14ac:dyDescent="0.25">
      <c r="A534" s="11">
        <f t="shared" si="8"/>
        <v>1588</v>
      </c>
      <c r="B534" s="1" t="str">
        <f>IF(B533="STD. DEVIATION",INDEX('1-DATA'!$1:$1048576,$A533-1,1),IF(INDEX('1-DATA'!$1:$1048576,$A534,1)&lt;&gt;"",INDEX('1-DATA'!$1:$1048576,$A534,1),""))</f>
        <v/>
      </c>
      <c r="C534" s="1" t="str">
        <f>IF(OR($B534="",C$7=""),"",IF($B534="MEANS",INDEX('1-DATA'!$1:$1048576,$A533-1,COLUMN('1-DATA'!B532)),ROUND(INDEX('1-DATA'!$1:$1048576,IF(OR($B534="STD. DEVIATION",$C$1=1),$A534,$A534+1),COLUMN('1-DATA'!B532)),IF($B534="STD. DEVIATION",2,$F$1))))</f>
        <v/>
      </c>
      <c r="D534" s="1" t="str">
        <f>IF(OR($B534="",D$7=""),"",IF($B534="MEANS",INDEX('1-DATA'!$1:$1048576,$A533-1,COLUMN('1-DATA'!C532)),ROUND(INDEX('1-DATA'!$1:$1048576,IF(OR($B534="STD. DEVIATION",$C$1=1),$A534,$A534+1),COLUMN('1-DATA'!C532)),IF($B534="STD. DEVIATION",2,$F$1))))</f>
        <v/>
      </c>
      <c r="E534" s="1" t="str">
        <f>IF(OR($B534="",E$7=""),"",IF($B534="MEANS",INDEX('1-DATA'!$1:$1048576,$A533-1,COLUMN('1-DATA'!D532)),ROUND(INDEX('1-DATA'!$1:$1048576,IF(OR($B534="STD. DEVIATION",$C$1=1),$A534,$A534+1),COLUMN('1-DATA'!D532)),IF($B534="STD. DEVIATION",2,$F$1))))</f>
        <v/>
      </c>
      <c r="F534" s="1" t="str">
        <f>IF(OR($B534="",F$7=""),"",IF($B534="MEANS",INDEX('1-DATA'!$1:$1048576,$A533-1,COLUMN('1-DATA'!E532)),ROUND(INDEX('1-DATA'!$1:$1048576,IF(OR($B534="STD. DEVIATION",$C$1=1),$A534,$A534+1),COLUMN('1-DATA'!E532)),IF($B534="STD. DEVIATION",2,$F$1))))</f>
        <v/>
      </c>
      <c r="G534" s="1" t="str">
        <f>IF(OR($B534="",G$7=""),"",IF($B534="MEANS",INDEX('1-DATA'!$1:$1048576,$A533-1,COLUMN('1-DATA'!F532)),ROUND(INDEX('1-DATA'!$1:$1048576,IF(OR($B534="STD. DEVIATION",$C$1=1),$A534,$A534+1),COLUMN('1-DATA'!F532)),IF($B534="STD. DEVIATION",2,$F$1))))</f>
        <v/>
      </c>
      <c r="H534" s="1" t="str">
        <f>IF(OR($B534="",H$7=""),"",IF($B534="MEANS",INDEX('1-DATA'!$1:$1048576,$A533-1,COLUMN('1-DATA'!G532)),ROUND(INDEX('1-DATA'!$1:$1048576,IF(OR($B534="STD. DEVIATION",$C$1=1),$A534,$A534+1),COLUMN('1-DATA'!G532)),IF($B534="STD. DEVIATION",2,$F$1))))</f>
        <v/>
      </c>
      <c r="I534" s="1" t="str">
        <f>IF(OR($B534="",I$7=""),"",IF($B534="MEANS",INDEX('1-DATA'!$1:$1048576,$A533-1,COLUMN('1-DATA'!H532)),ROUND(INDEX('1-DATA'!$1:$1048576,IF(OR($B534="STD. DEVIATION",$C$1=1),$A534,$A534+1),COLUMN('1-DATA'!H532)),IF($B534="STD. DEVIATION",2,$F$1))))</f>
        <v/>
      </c>
      <c r="J534" s="1" t="str">
        <f>IF(OR($B534="",J$7=""),"",IF($B534="MEANS",INDEX('1-DATA'!$1:$1048576,$A533-1,COLUMN('1-DATA'!I532)),ROUND(INDEX('1-DATA'!$1:$1048576,IF(OR($B534="STD. DEVIATION",$C$1=1),$A534,$A534+1),COLUMN('1-DATA'!I532)),IF($B534="STD. DEVIATION",2,$F$1))))</f>
        <v/>
      </c>
      <c r="K534" s="1" t="str">
        <f>IF(OR($B534="",K$7=""),"",IF($B534="MEANS",INDEX('1-DATA'!$1:$1048576,$A533-1,COLUMN('1-DATA'!J532)),ROUND(INDEX('1-DATA'!$1:$1048576,IF(OR($B534="STD. DEVIATION",$C$1=1),$A534,$A534+1),COLUMN('1-DATA'!J532)),IF($B534="STD. DEVIATION",2,$F$1))))</f>
        <v/>
      </c>
      <c r="L534" s="1" t="str">
        <f>IF(OR($B534="",L$7=""),"",IF($B534="MEANS",INDEX('1-DATA'!$1:$1048576,$A533-1,COLUMN('1-DATA'!K532)),ROUND(INDEX('1-DATA'!$1:$1048576,IF(OR($B534="STD. DEVIATION",$C$1=1),$A534,$A534+1),COLUMN('1-DATA'!K532)),IF($B534="STD. DEVIATION",2,$F$1))))</f>
        <v/>
      </c>
      <c r="M534" s="1" t="str">
        <f>IF(OR($B534="",M$7=""),"",IF($B534="MEANS",INDEX('1-DATA'!$1:$1048576,$A533-1,COLUMN('1-DATA'!L532)),ROUND(INDEX('1-DATA'!$1:$1048576,IF(OR($B534="STD. DEVIATION",$C$1=1),$A534,$A534+1),COLUMN('1-DATA'!L532)),IF($B534="STD. DEVIATION",2,$F$1))))</f>
        <v/>
      </c>
      <c r="N534" s="1" t="str">
        <f>IF(OR($B534="",N$7=""),"",IF($B534="MEANS",INDEX('1-DATA'!$1:$1048576,$A533-1,COLUMN('1-DATA'!M532)),ROUND(INDEX('1-DATA'!$1:$1048576,IF(OR($B534="STD. DEVIATION",$C$1=1),$A534,$A534+1),COLUMN('1-DATA'!M532)),IF($B534="STD. DEVIATION",2,$F$1))))</f>
        <v/>
      </c>
      <c r="O534" s="1" t="str">
        <f>IF(OR($B534="",O$7=""),"",IF($B534="MEANS",INDEX('1-DATA'!$1:$1048576,$A533-1,COLUMN('1-DATA'!N532)),ROUND(INDEX('1-DATA'!$1:$1048576,IF(OR($B534="STD. DEVIATION",$C$1=1),$A534,$A534+1),COLUMN('1-DATA'!N532)),IF($B534="STD. DEVIATION",2,$F$1))))</f>
        <v/>
      </c>
      <c r="P534" s="1" t="str">
        <f>IF(OR($B534="",P$7=""),"",IF($B534="MEANS",INDEX('1-DATA'!$1:$1048576,$A533-1,COLUMN('1-DATA'!O532)),ROUND(INDEX('1-DATA'!$1:$1048576,IF(OR($B534="STD. DEVIATION",$C$1=1),$A534,$A534+1),COLUMN('1-DATA'!O532)),IF($B534="STD. DEVIATION",2,$F$1))))</f>
        <v/>
      </c>
      <c r="Q534" s="1" t="str">
        <f>IF(OR($B534="",Q$7=""),"",IF($B534="MEANS",INDEX('1-DATA'!$1:$1048576,$A533-1,COLUMN('1-DATA'!P532)),ROUND(INDEX('1-DATA'!$1:$1048576,IF(OR($B534="STD. DEVIATION",$C$1=1),$A534,$A534+1),COLUMN('1-DATA'!P532)),IF($B534="STD. DEVIATION",2,$F$1))))</f>
        <v/>
      </c>
      <c r="R534" s="1" t="str">
        <f>IF(OR($B534="",R$7=""),"",IF($B534="MEANS",INDEX('1-DATA'!$1:$1048576,$A533-1,COLUMN('1-DATA'!Q532)),ROUND(INDEX('1-DATA'!$1:$1048576,IF(OR($B534="STD. DEVIATION",$C$1=1),$A534,$A534+1),COLUMN('1-DATA'!Q532)),IF($B534="STD. DEVIATION",2,$F$1))))</f>
        <v/>
      </c>
      <c r="S534" s="1" t="str">
        <f>IF(OR($B534="",S$7=""),"",IF($B534="MEANS",INDEX('1-DATA'!$1:$1048576,$A533-1,COLUMN('1-DATA'!R532)),ROUND(INDEX('1-DATA'!$1:$1048576,IF(OR($B534="STD. DEVIATION",$C$1=1),$A534,$A534+1),COLUMN('1-DATA'!R532)),IF($B534="STD. DEVIATION",2,$F$1))))</f>
        <v/>
      </c>
      <c r="T534" s="1" t="str">
        <f>IF(OR($B534="",T$7=""),"",IF($B534="MEANS",INDEX('1-DATA'!$1:$1048576,$A533-1,COLUMN('1-DATA'!S532)),ROUND(INDEX('1-DATA'!$1:$1048576,IF(OR($B534="STD. DEVIATION",$C$1=1),$A534,$A534+1),COLUMN('1-DATA'!S532)),IF($B534="STD. DEVIATION",2,$F$1))))</f>
        <v/>
      </c>
      <c r="U534" s="1" t="str">
        <f>IF(OR($B534="",U$7=""),"",IF($B534="MEANS",INDEX('1-DATA'!$1:$1048576,$A533-1,COLUMN('1-DATA'!T532)),ROUND(INDEX('1-DATA'!$1:$1048576,IF(OR($B534="STD. DEVIATION",$C$1=1),$A534,$A534+1),COLUMN('1-DATA'!T532)),IF($B534="STD. DEVIATION",2,$F$1))))</f>
        <v/>
      </c>
      <c r="V534" s="1" t="str">
        <f>IF(OR($B534="",V$7=""),"",IF($B534="MEANS",INDEX('1-DATA'!$1:$1048576,$A533-1,COLUMN('1-DATA'!U532)),ROUND(INDEX('1-DATA'!$1:$1048576,IF(OR($B534="STD. DEVIATION",$C$1=1),$A534,$A534+1),COLUMN('1-DATA'!U532)),IF($B534="STD. DEVIATION",2,$F$1))))</f>
        <v/>
      </c>
      <c r="W534" s="1" t="str">
        <f>IF(OR($B534="",W$7=""),"",IF($B534="MEANS",INDEX('1-DATA'!$1:$1048576,$A533-1,COLUMN('1-DATA'!V532)),ROUND(INDEX('1-DATA'!$1:$1048576,IF(OR($B534="STD. DEVIATION",$C$1=1),$A534,$A534+1),COLUMN('1-DATA'!V532)),IF($B534="STD. DEVIATION",2,$F$1))))</f>
        <v/>
      </c>
      <c r="X534" s="1" t="str">
        <f>IF(OR($B534="",X$7=""),"",IF($B534="MEANS",INDEX('1-DATA'!$1:$1048576,$A533-1,COLUMN('1-DATA'!W532)),ROUND(INDEX('1-DATA'!$1:$1048576,IF(OR($B534="STD. DEVIATION",$C$1=1),$A534,$A534+1),COLUMN('1-DATA'!W532)),IF($B534="STD. DEVIATION",2,$F$1))))</f>
        <v/>
      </c>
      <c r="Y534" s="1" t="str">
        <f>IF(OR($B534="",Y$7=""),"",IF($B534="MEANS",INDEX('1-DATA'!$1:$1048576,$A533-1,COLUMN('1-DATA'!X532)),ROUND(INDEX('1-DATA'!$1:$1048576,IF(OR($B534="STD. DEVIATION",$C$1=1),$A534,$A534+1),COLUMN('1-DATA'!X532)),IF($B534="STD. DEVIATION",2,$F$1))))</f>
        <v/>
      </c>
      <c r="Z534" s="1" t="str">
        <f>IF(OR($B534="",Z$7=""),"",IF($B534="MEANS",INDEX('1-DATA'!$1:$1048576,$A533-1,COLUMN('1-DATA'!Y532)),ROUND(INDEX('1-DATA'!$1:$1048576,IF(OR($B534="STD. DEVIATION",$C$1=1),$A534,$A534+1),COLUMN('1-DATA'!Y532)),IF($B534="STD. DEVIATION",2,$F$1))))</f>
        <v/>
      </c>
      <c r="AA534" s="1" t="str">
        <f>IF(OR($B534="",AA$7=""),"",IF($B534="MEANS",INDEX('1-DATA'!$1:$1048576,$A533-1,COLUMN('1-DATA'!Z532)),ROUND(INDEX('1-DATA'!$1:$1048576,IF(OR($B534="STD. DEVIATION",$C$1=1),$A534,$A534+1),COLUMN('1-DATA'!Z532)),IF($B534="STD. DEVIATION",2,$F$1))))</f>
        <v/>
      </c>
      <c r="AB534" s="1" t="str">
        <f>IF(OR($B534="",AB$7=""),"",IF($B534="MEANS",INDEX('1-DATA'!$1:$1048576,$A533-1,COLUMN('1-DATA'!AA532)),ROUND(INDEX('1-DATA'!$1:$1048576,IF(OR($B534="STD. DEVIATION",$C$1=1),$A534,$A534+1),COLUMN('1-DATA'!AA532)),IF($B534="STD. DEVIATION",2,$F$1))))</f>
        <v/>
      </c>
      <c r="AC534" s="1" t="str">
        <f>IF(OR($B534="",AC$7=""),"",IF($B534="MEANS",INDEX('1-DATA'!$1:$1048576,$A533-1,COLUMN('1-DATA'!AB532)),ROUND(INDEX('1-DATA'!$1:$1048576,IF(OR($B534="STD. DEVIATION",$C$1=1),$A534,$A534+1),COLUMN('1-DATA'!AB532)),IF($B534="STD. DEVIATION",2,$F$1))))</f>
        <v/>
      </c>
      <c r="AD534" s="1" t="str">
        <f>IF(OR($B534="",AD$7=""),"",IF($B534="MEANS",INDEX('1-DATA'!$1:$1048576,$A533-1,COLUMN('1-DATA'!AC532)),ROUND(INDEX('1-DATA'!$1:$1048576,IF(OR($B534="STD. DEVIATION",$C$1=1),$A534,$A534+1),COLUMN('1-DATA'!AC532)),IF($B534="STD. DEVIATION",2,$F$1))))</f>
        <v/>
      </c>
      <c r="AE534" s="1" t="str">
        <f>IF(OR($B534="",AE$7=""),"",IF($B534="MEANS",INDEX('1-DATA'!$1:$1048576,$A533-1,COLUMN('1-DATA'!AD532)),ROUND(INDEX('1-DATA'!$1:$1048576,IF(OR($B534="STD. DEVIATION",$C$1=1),$A534,$A534+1),COLUMN('1-DATA'!AD532)),IF($B534="STD. DEVIATION",2,$F$1))))</f>
        <v/>
      </c>
      <c r="AF534" s="1" t="str">
        <f>IF(OR($B534="",AF$7=""),"",IF($B534="MEANS",INDEX('1-DATA'!$1:$1048576,$A533-1,COLUMN('1-DATA'!AE532)),ROUND(INDEX('1-DATA'!$1:$1048576,IF(OR($B534="STD. DEVIATION",$C$1=1),$A534,$A534+1),COLUMN('1-DATA'!AE532)),IF($B534="STD. DEVIATION",2,$F$1))))</f>
        <v/>
      </c>
      <c r="AG534" s="1" t="str">
        <f>IF(OR($B534="",AG$7=""),"",IF($B534="MEANS",INDEX('1-DATA'!$1:$1048576,$A533-1,COLUMN('1-DATA'!AF532)),ROUND(INDEX('1-DATA'!$1:$1048576,IF(OR($B534="STD. DEVIATION",$C$1=1),$A534,$A534+1),COLUMN('1-DATA'!AF532)),IF($B534="STD. DEVIATION",2,$F$1))))</f>
        <v/>
      </c>
      <c r="AH534" s="1" t="str">
        <f>IF(OR($B534="",AH$7=""),"",IF($B534="MEANS",INDEX('1-DATA'!$1:$1048576,$A533-1,COLUMN('1-DATA'!AG532)),ROUND(INDEX('1-DATA'!$1:$1048576,IF(OR($B534="STD. DEVIATION",$C$1=1),$A534,$A534+1),COLUMN('1-DATA'!AG532)),IF($B534="STD. DEVIATION",2,$F$1))))</f>
        <v/>
      </c>
      <c r="AI534" s="1" t="str">
        <f>IF(OR($B534="",AI$7=""),"",IF($B534="MEANS",INDEX('1-DATA'!$1:$1048576,$A533-1,COLUMN('1-DATA'!AH532)),ROUND(INDEX('1-DATA'!$1:$1048576,IF(OR($B534="STD. DEVIATION",$C$1=1),$A534,$A534+1),COLUMN('1-DATA'!AH532)),IF($B534="STD. DEVIATION",2,$F$1))))</f>
        <v/>
      </c>
      <c r="AJ534" s="1" t="str">
        <f>IF(OR($B534="",AJ$7=""),"",IF($B534="MEANS",INDEX('1-DATA'!$1:$1048576,$A533-1,COLUMN('1-DATA'!AI532)),ROUND(INDEX('1-DATA'!$1:$1048576,IF(OR($B534="STD. DEVIATION",$C$1=1),$A534,$A534+1),COLUMN('1-DATA'!AI532)),IF($B534="STD. DEVIATION",2,$F$1))))</f>
        <v/>
      </c>
      <c r="AK534" s="1" t="str">
        <f>IF(OR($B534="",AK$7=""),"",IF($B534="MEANS",INDEX('1-DATA'!$1:$1048576,$A533-1,COLUMN('1-DATA'!AJ532)),ROUND(INDEX('1-DATA'!$1:$1048576,IF(OR($B534="STD. DEVIATION",$C$1=1),$A534,$A534+1),COLUMN('1-DATA'!AJ532)),IF($B534="STD. DEVIATION",2,$F$1))))</f>
        <v/>
      </c>
      <c r="AL534" s="1" t="str">
        <f>IF(OR($B534="",AL$7=""),"",IF($B534="MEANS",INDEX('1-DATA'!$1:$1048576,$A533-1,COLUMN('1-DATA'!AK532)),ROUND(INDEX('1-DATA'!$1:$1048576,IF(OR($B534="STD. DEVIATION",$C$1=1),$A534,$A534+1),COLUMN('1-DATA'!AK532)),IF($B534="STD. DEVIATION",2,$F$1))))</f>
        <v/>
      </c>
      <c r="AM534" s="1" t="str">
        <f>IF(OR($B534="",AM$7=""),"",IF($B534="MEANS",INDEX('1-DATA'!$1:$1048576,$A533-1,COLUMN('1-DATA'!AL532)),ROUND(INDEX('1-DATA'!$1:$1048576,IF(OR($B534="STD. DEVIATION",$C$1=1),$A534,$A534+1),COLUMN('1-DATA'!AL532)),IF($B534="STD. DEVIATION",2,$F$1))))</f>
        <v/>
      </c>
      <c r="AN534" s="1" t="str">
        <f>IF(OR($B534="",AN$7=""),"",IF($B534="MEANS",INDEX('1-DATA'!$1:$1048576,$A533-1,COLUMN('1-DATA'!AM532)),ROUND(INDEX('1-DATA'!$1:$1048576,IF(OR($B534="STD. DEVIATION",$C$1=1),$A534,$A534+1),COLUMN('1-DATA'!AM532)),IF($B534="STD. DEVIATION",2,$F$1))))</f>
        <v/>
      </c>
      <c r="AO534" s="1" t="str">
        <f>IF(OR($B534="",AO$7=""),"",IF($B534="MEANS",INDEX('1-DATA'!$1:$1048576,$A533-1,COLUMN('1-DATA'!AN532)),ROUND(INDEX('1-DATA'!$1:$1048576,IF(OR($B534="STD. DEVIATION",$C$1=1),$A534,$A534+1),COLUMN('1-DATA'!AN532)),IF($B534="STD. DEVIATION",2,$F$1))))</f>
        <v/>
      </c>
      <c r="AP534" s="1" t="str">
        <f>IF(OR($B534="",AP$7=""),"",IF($B534="MEANS",INDEX('1-DATA'!$1:$1048576,$A533-1,COLUMN('1-DATA'!AO532)),ROUND(INDEX('1-DATA'!$1:$1048576,IF(OR($B534="STD. DEVIATION",$C$1=1),$A534,$A534+1),COLUMN('1-DATA'!AO532)),IF($B534="STD. DEVIATION",2,$F$1))))</f>
        <v/>
      </c>
      <c r="AQ534" s="1" t="str">
        <f>IF(OR($B534="",AQ$7=""),"",IF($B534="MEANS",INDEX('1-DATA'!$1:$1048576,$A533-1,COLUMN('1-DATA'!AP532)),ROUND(INDEX('1-DATA'!$1:$1048576,IF(OR($B534="STD. DEVIATION",$C$1=1),$A534,$A534+1),COLUMN('1-DATA'!AP532)),IF($B534="STD. DEVIATION",2,$F$1))))</f>
        <v/>
      </c>
      <c r="AR534" s="1" t="str">
        <f>IF(OR($B534="",AR$7=""),"",IF($B534="MEANS",INDEX('1-DATA'!$1:$1048576,$A533-1,COLUMN('1-DATA'!AQ532)),ROUND(INDEX('1-DATA'!$1:$1048576,IF(OR($B534="STD. DEVIATION",$C$1=1),$A534,$A534+1),COLUMN('1-DATA'!AQ532)),IF($B534="STD. DEVIATION",2,$F$1))))</f>
        <v/>
      </c>
      <c r="AS534" s="1" t="str">
        <f>IF(OR($B534="",AS$7=""),"",IF($B534="MEANS",INDEX('1-DATA'!$1:$1048576,$A533-1,COLUMN('1-DATA'!AR532)),ROUND(INDEX('1-DATA'!$1:$1048576,IF(OR($B534="STD. DEVIATION",$C$1=1),$A534,$A534+1),COLUMN('1-DATA'!AR532)),IF($B534="STD. DEVIATION",2,$F$1))))</f>
        <v/>
      </c>
      <c r="AT534" s="1" t="str">
        <f>IF(OR($B534="",AT$7=""),"",IF($B534="MEANS",INDEX('1-DATA'!$1:$1048576,$A533-1,COLUMN('1-DATA'!AS532)),ROUND(INDEX('1-DATA'!$1:$1048576,IF(OR($B534="STD. DEVIATION",$C$1=1),$A534,$A534+1),COLUMN('1-DATA'!AS532)),IF($B534="STD. DEVIATION",2,$F$1))))</f>
        <v/>
      </c>
      <c r="AU534" s="1" t="str">
        <f>IF(OR($B534="",AU$7=""),"",IF($B534="MEANS",INDEX('1-DATA'!$1:$1048576,$A533-1,COLUMN('1-DATA'!AT532)),ROUND(INDEX('1-DATA'!$1:$1048576,IF(OR($B534="STD. DEVIATION",$C$1=1),$A534,$A534+1),COLUMN('1-DATA'!AT532)),IF($B534="STD. DEVIATION",2,$F$1))))</f>
        <v/>
      </c>
      <c r="AV534" s="1" t="str">
        <f>IF(OR($B534="",AV$7=""),"",IF($B534="MEANS",INDEX('1-DATA'!$1:$1048576,$A533-1,COLUMN('1-DATA'!AU532)),ROUND(INDEX('1-DATA'!$1:$1048576,IF(OR($B534="STD. DEVIATION",$C$1=1),$A534,$A534+1),COLUMN('1-DATA'!AU532)),IF($B534="STD. DEVIATION",2,$F$1))))</f>
        <v/>
      </c>
      <c r="AW534" s="1" t="str">
        <f>IF(OR($B534="",AW$7=""),"",IF($B534="MEANS",INDEX('1-DATA'!$1:$1048576,$A533-1,COLUMN('1-DATA'!AV532)),ROUND(INDEX('1-DATA'!$1:$1048576,IF(OR($B534="STD. DEVIATION",$C$1=1),$A534,$A534+1),COLUMN('1-DATA'!AV532)),IF($B534="STD. DEVIATION",2,$F$1))))</f>
        <v/>
      </c>
      <c r="AX534" s="1" t="str">
        <f>IF(OR($B534="",AX$7=""),"",IF($B534="MEANS",INDEX('1-DATA'!$1:$1048576,$A533-1,COLUMN('1-DATA'!AW532)),ROUND(INDEX('1-DATA'!$1:$1048576,IF(OR($B534="STD. DEVIATION",$C$1=1),$A534,$A534+1),COLUMN('1-DATA'!AW532)),IF($B534="STD. DEVIATION",2,$F$1))))</f>
        <v/>
      </c>
      <c r="AY534" s="1" t="str">
        <f>IF(OR($B534="",AY$7=""),"",IF($B534="MEANS",INDEX('1-DATA'!$1:$1048576,$A533-1,COLUMN('1-DATA'!AX532)),ROUND(INDEX('1-DATA'!$1:$1048576,IF(OR($B534="STD. DEVIATION",$C$1=1),$A534,$A534+1),COLUMN('1-DATA'!AX532)),IF($B534="STD. DEVIATION",2,$F$1))))</f>
        <v/>
      </c>
      <c r="AZ534" s="1" t="str">
        <f>IF(OR($B534="",AZ$7=""),"",IF($B534="MEANS",INDEX('1-DATA'!$1:$1048576,$A533-1,COLUMN('1-DATA'!AY532)),ROUND(INDEX('1-DATA'!$1:$1048576,IF(OR($B534="STD. DEVIATION",$C$1=1),$A534,$A534+1),COLUMN('1-DATA'!AY532)),IF($B534="STD. DEVIATION",2,$F$1))))</f>
        <v/>
      </c>
    </row>
    <row r="535" spans="1:52" x14ac:dyDescent="0.25">
      <c r="A535" s="11">
        <f t="shared" si="8"/>
        <v>1591</v>
      </c>
      <c r="B535" s="1" t="str">
        <f>IF(B534="STD. DEVIATION",INDEX('1-DATA'!$1:$1048576,$A534-1,1),IF(INDEX('1-DATA'!$1:$1048576,$A535,1)&lt;&gt;"",INDEX('1-DATA'!$1:$1048576,$A535,1),""))</f>
        <v/>
      </c>
      <c r="C535" s="1" t="str">
        <f>IF(OR($B535="",C$7=""),"",IF($B535="MEANS",INDEX('1-DATA'!$1:$1048576,$A534-1,COLUMN('1-DATA'!B533)),ROUND(INDEX('1-DATA'!$1:$1048576,IF(OR($B535="STD. DEVIATION",$C$1=1),$A535,$A535+1),COLUMN('1-DATA'!B533)),IF($B535="STD. DEVIATION",2,$F$1))))</f>
        <v/>
      </c>
      <c r="D535" s="1" t="str">
        <f>IF(OR($B535="",D$7=""),"",IF($B535="MEANS",INDEX('1-DATA'!$1:$1048576,$A534-1,COLUMN('1-DATA'!C533)),ROUND(INDEX('1-DATA'!$1:$1048576,IF(OR($B535="STD. DEVIATION",$C$1=1),$A535,$A535+1),COLUMN('1-DATA'!C533)),IF($B535="STD. DEVIATION",2,$F$1))))</f>
        <v/>
      </c>
      <c r="E535" s="1" t="str">
        <f>IF(OR($B535="",E$7=""),"",IF($B535="MEANS",INDEX('1-DATA'!$1:$1048576,$A534-1,COLUMN('1-DATA'!D533)),ROUND(INDEX('1-DATA'!$1:$1048576,IF(OR($B535="STD. DEVIATION",$C$1=1),$A535,$A535+1),COLUMN('1-DATA'!D533)),IF($B535="STD. DEVIATION",2,$F$1))))</f>
        <v/>
      </c>
      <c r="F535" s="1" t="str">
        <f>IF(OR($B535="",F$7=""),"",IF($B535="MEANS",INDEX('1-DATA'!$1:$1048576,$A534-1,COLUMN('1-DATA'!E533)),ROUND(INDEX('1-DATA'!$1:$1048576,IF(OR($B535="STD. DEVIATION",$C$1=1),$A535,$A535+1),COLUMN('1-DATA'!E533)),IF($B535="STD. DEVIATION",2,$F$1))))</f>
        <v/>
      </c>
      <c r="G535" s="1" t="str">
        <f>IF(OR($B535="",G$7=""),"",IF($B535="MEANS",INDEX('1-DATA'!$1:$1048576,$A534-1,COLUMN('1-DATA'!F533)),ROUND(INDEX('1-DATA'!$1:$1048576,IF(OR($B535="STD. DEVIATION",$C$1=1),$A535,$A535+1),COLUMN('1-DATA'!F533)),IF($B535="STD. DEVIATION",2,$F$1))))</f>
        <v/>
      </c>
      <c r="H535" s="1" t="str">
        <f>IF(OR($B535="",H$7=""),"",IF($B535="MEANS",INDEX('1-DATA'!$1:$1048576,$A534-1,COLUMN('1-DATA'!G533)),ROUND(INDEX('1-DATA'!$1:$1048576,IF(OR($B535="STD. DEVIATION",$C$1=1),$A535,$A535+1),COLUMN('1-DATA'!G533)),IF($B535="STD. DEVIATION",2,$F$1))))</f>
        <v/>
      </c>
      <c r="I535" s="1" t="str">
        <f>IF(OR($B535="",I$7=""),"",IF($B535="MEANS",INDEX('1-DATA'!$1:$1048576,$A534-1,COLUMN('1-DATA'!H533)),ROUND(INDEX('1-DATA'!$1:$1048576,IF(OR($B535="STD. DEVIATION",$C$1=1),$A535,$A535+1),COLUMN('1-DATA'!H533)),IF($B535="STD. DEVIATION",2,$F$1))))</f>
        <v/>
      </c>
      <c r="J535" s="1" t="str">
        <f>IF(OR($B535="",J$7=""),"",IF($B535="MEANS",INDEX('1-DATA'!$1:$1048576,$A534-1,COLUMN('1-DATA'!I533)),ROUND(INDEX('1-DATA'!$1:$1048576,IF(OR($B535="STD. DEVIATION",$C$1=1),$A535,$A535+1),COLUMN('1-DATA'!I533)),IF($B535="STD. DEVIATION",2,$F$1))))</f>
        <v/>
      </c>
      <c r="K535" s="1" t="str">
        <f>IF(OR($B535="",K$7=""),"",IF($B535="MEANS",INDEX('1-DATA'!$1:$1048576,$A534-1,COLUMN('1-DATA'!J533)),ROUND(INDEX('1-DATA'!$1:$1048576,IF(OR($B535="STD. DEVIATION",$C$1=1),$A535,$A535+1),COLUMN('1-DATA'!J533)),IF($B535="STD. DEVIATION",2,$F$1))))</f>
        <v/>
      </c>
      <c r="L535" s="1" t="str">
        <f>IF(OR($B535="",L$7=""),"",IF($B535="MEANS",INDEX('1-DATA'!$1:$1048576,$A534-1,COLUMN('1-DATA'!K533)),ROUND(INDEX('1-DATA'!$1:$1048576,IF(OR($B535="STD. DEVIATION",$C$1=1),$A535,$A535+1),COLUMN('1-DATA'!K533)),IF($B535="STD. DEVIATION",2,$F$1))))</f>
        <v/>
      </c>
      <c r="M535" s="1" t="str">
        <f>IF(OR($B535="",M$7=""),"",IF($B535="MEANS",INDEX('1-DATA'!$1:$1048576,$A534-1,COLUMN('1-DATA'!L533)),ROUND(INDEX('1-DATA'!$1:$1048576,IF(OR($B535="STD. DEVIATION",$C$1=1),$A535,$A535+1),COLUMN('1-DATA'!L533)),IF($B535="STD. DEVIATION",2,$F$1))))</f>
        <v/>
      </c>
      <c r="N535" s="1" t="str">
        <f>IF(OR($B535="",N$7=""),"",IF($B535="MEANS",INDEX('1-DATA'!$1:$1048576,$A534-1,COLUMN('1-DATA'!M533)),ROUND(INDEX('1-DATA'!$1:$1048576,IF(OR($B535="STD. DEVIATION",$C$1=1),$A535,$A535+1),COLUMN('1-DATA'!M533)),IF($B535="STD. DEVIATION",2,$F$1))))</f>
        <v/>
      </c>
      <c r="O535" s="1" t="str">
        <f>IF(OR($B535="",O$7=""),"",IF($B535="MEANS",INDEX('1-DATA'!$1:$1048576,$A534-1,COLUMN('1-DATA'!N533)),ROUND(INDEX('1-DATA'!$1:$1048576,IF(OR($B535="STD. DEVIATION",$C$1=1),$A535,$A535+1),COLUMN('1-DATA'!N533)),IF($B535="STD. DEVIATION",2,$F$1))))</f>
        <v/>
      </c>
      <c r="P535" s="1" t="str">
        <f>IF(OR($B535="",P$7=""),"",IF($B535="MEANS",INDEX('1-DATA'!$1:$1048576,$A534-1,COLUMN('1-DATA'!O533)),ROUND(INDEX('1-DATA'!$1:$1048576,IF(OR($B535="STD. DEVIATION",$C$1=1),$A535,$A535+1),COLUMN('1-DATA'!O533)),IF($B535="STD. DEVIATION",2,$F$1))))</f>
        <v/>
      </c>
      <c r="Q535" s="1" t="str">
        <f>IF(OR($B535="",Q$7=""),"",IF($B535="MEANS",INDEX('1-DATA'!$1:$1048576,$A534-1,COLUMN('1-DATA'!P533)),ROUND(INDEX('1-DATA'!$1:$1048576,IF(OR($B535="STD. DEVIATION",$C$1=1),$A535,$A535+1),COLUMN('1-DATA'!P533)),IF($B535="STD. DEVIATION",2,$F$1))))</f>
        <v/>
      </c>
      <c r="R535" s="1" t="str">
        <f>IF(OR($B535="",R$7=""),"",IF($B535="MEANS",INDEX('1-DATA'!$1:$1048576,$A534-1,COLUMN('1-DATA'!Q533)),ROUND(INDEX('1-DATA'!$1:$1048576,IF(OR($B535="STD. DEVIATION",$C$1=1),$A535,$A535+1),COLUMN('1-DATA'!Q533)),IF($B535="STD. DEVIATION",2,$F$1))))</f>
        <v/>
      </c>
      <c r="S535" s="1" t="str">
        <f>IF(OR($B535="",S$7=""),"",IF($B535="MEANS",INDEX('1-DATA'!$1:$1048576,$A534-1,COLUMN('1-DATA'!R533)),ROUND(INDEX('1-DATA'!$1:$1048576,IF(OR($B535="STD. DEVIATION",$C$1=1),$A535,$A535+1),COLUMN('1-DATA'!R533)),IF($B535="STD. DEVIATION",2,$F$1))))</f>
        <v/>
      </c>
      <c r="T535" s="1" t="str">
        <f>IF(OR($B535="",T$7=""),"",IF($B535="MEANS",INDEX('1-DATA'!$1:$1048576,$A534-1,COLUMN('1-DATA'!S533)),ROUND(INDEX('1-DATA'!$1:$1048576,IF(OR($B535="STD. DEVIATION",$C$1=1),$A535,$A535+1),COLUMN('1-DATA'!S533)),IF($B535="STD. DEVIATION",2,$F$1))))</f>
        <v/>
      </c>
      <c r="U535" s="1" t="str">
        <f>IF(OR($B535="",U$7=""),"",IF($B535="MEANS",INDEX('1-DATA'!$1:$1048576,$A534-1,COLUMN('1-DATA'!T533)),ROUND(INDEX('1-DATA'!$1:$1048576,IF(OR($B535="STD. DEVIATION",$C$1=1),$A535,$A535+1),COLUMN('1-DATA'!T533)),IF($B535="STD. DEVIATION",2,$F$1))))</f>
        <v/>
      </c>
      <c r="V535" s="1" t="str">
        <f>IF(OR($B535="",V$7=""),"",IF($B535="MEANS",INDEX('1-DATA'!$1:$1048576,$A534-1,COLUMN('1-DATA'!U533)),ROUND(INDEX('1-DATA'!$1:$1048576,IF(OR($B535="STD. DEVIATION",$C$1=1),$A535,$A535+1),COLUMN('1-DATA'!U533)),IF($B535="STD. DEVIATION",2,$F$1))))</f>
        <v/>
      </c>
      <c r="W535" s="1" t="str">
        <f>IF(OR($B535="",W$7=""),"",IF($B535="MEANS",INDEX('1-DATA'!$1:$1048576,$A534-1,COLUMN('1-DATA'!V533)),ROUND(INDEX('1-DATA'!$1:$1048576,IF(OR($B535="STD. DEVIATION",$C$1=1),$A535,$A535+1),COLUMN('1-DATA'!V533)),IF($B535="STD. DEVIATION",2,$F$1))))</f>
        <v/>
      </c>
      <c r="X535" s="1" t="str">
        <f>IF(OR($B535="",X$7=""),"",IF($B535="MEANS",INDEX('1-DATA'!$1:$1048576,$A534-1,COLUMN('1-DATA'!W533)),ROUND(INDEX('1-DATA'!$1:$1048576,IF(OR($B535="STD. DEVIATION",$C$1=1),$A535,$A535+1),COLUMN('1-DATA'!W533)),IF($B535="STD. DEVIATION",2,$F$1))))</f>
        <v/>
      </c>
      <c r="Y535" s="1" t="str">
        <f>IF(OR($B535="",Y$7=""),"",IF($B535="MEANS",INDEX('1-DATA'!$1:$1048576,$A534-1,COLUMN('1-DATA'!X533)),ROUND(INDEX('1-DATA'!$1:$1048576,IF(OR($B535="STD. DEVIATION",$C$1=1),$A535,$A535+1),COLUMN('1-DATA'!X533)),IF($B535="STD. DEVIATION",2,$F$1))))</f>
        <v/>
      </c>
      <c r="Z535" s="1" t="str">
        <f>IF(OR($B535="",Z$7=""),"",IF($B535="MEANS",INDEX('1-DATA'!$1:$1048576,$A534-1,COLUMN('1-DATA'!Y533)),ROUND(INDEX('1-DATA'!$1:$1048576,IF(OR($B535="STD. DEVIATION",$C$1=1),$A535,$A535+1),COLUMN('1-DATA'!Y533)),IF($B535="STD. DEVIATION",2,$F$1))))</f>
        <v/>
      </c>
      <c r="AA535" s="1" t="str">
        <f>IF(OR($B535="",AA$7=""),"",IF($B535="MEANS",INDEX('1-DATA'!$1:$1048576,$A534-1,COLUMN('1-DATA'!Z533)),ROUND(INDEX('1-DATA'!$1:$1048576,IF(OR($B535="STD. DEVIATION",$C$1=1),$A535,$A535+1),COLUMN('1-DATA'!Z533)),IF($B535="STD. DEVIATION",2,$F$1))))</f>
        <v/>
      </c>
      <c r="AB535" s="1" t="str">
        <f>IF(OR($B535="",AB$7=""),"",IF($B535="MEANS",INDEX('1-DATA'!$1:$1048576,$A534-1,COLUMN('1-DATA'!AA533)),ROUND(INDEX('1-DATA'!$1:$1048576,IF(OR($B535="STD. DEVIATION",$C$1=1),$A535,$A535+1),COLUMN('1-DATA'!AA533)),IF($B535="STD. DEVIATION",2,$F$1))))</f>
        <v/>
      </c>
      <c r="AC535" s="1" t="str">
        <f>IF(OR($B535="",AC$7=""),"",IF($B535="MEANS",INDEX('1-DATA'!$1:$1048576,$A534-1,COLUMN('1-DATA'!AB533)),ROUND(INDEX('1-DATA'!$1:$1048576,IF(OR($B535="STD. DEVIATION",$C$1=1),$A535,$A535+1),COLUMN('1-DATA'!AB533)),IF($B535="STD. DEVIATION",2,$F$1))))</f>
        <v/>
      </c>
      <c r="AD535" s="1" t="str">
        <f>IF(OR($B535="",AD$7=""),"",IF($B535="MEANS",INDEX('1-DATA'!$1:$1048576,$A534-1,COLUMN('1-DATA'!AC533)),ROUND(INDEX('1-DATA'!$1:$1048576,IF(OR($B535="STD. DEVIATION",$C$1=1),$A535,$A535+1),COLUMN('1-DATA'!AC533)),IF($B535="STD. DEVIATION",2,$F$1))))</f>
        <v/>
      </c>
      <c r="AE535" s="1" t="str">
        <f>IF(OR($B535="",AE$7=""),"",IF($B535="MEANS",INDEX('1-DATA'!$1:$1048576,$A534-1,COLUMN('1-DATA'!AD533)),ROUND(INDEX('1-DATA'!$1:$1048576,IF(OR($B535="STD. DEVIATION",$C$1=1),$A535,$A535+1),COLUMN('1-DATA'!AD533)),IF($B535="STD. DEVIATION",2,$F$1))))</f>
        <v/>
      </c>
      <c r="AF535" s="1" t="str">
        <f>IF(OR($B535="",AF$7=""),"",IF($B535="MEANS",INDEX('1-DATA'!$1:$1048576,$A534-1,COLUMN('1-DATA'!AE533)),ROUND(INDEX('1-DATA'!$1:$1048576,IF(OR($B535="STD. DEVIATION",$C$1=1),$A535,$A535+1),COLUMN('1-DATA'!AE533)),IF($B535="STD. DEVIATION",2,$F$1))))</f>
        <v/>
      </c>
      <c r="AG535" s="1" t="str">
        <f>IF(OR($B535="",AG$7=""),"",IF($B535="MEANS",INDEX('1-DATA'!$1:$1048576,$A534-1,COLUMN('1-DATA'!AF533)),ROUND(INDEX('1-DATA'!$1:$1048576,IF(OR($B535="STD. DEVIATION",$C$1=1),$A535,$A535+1),COLUMN('1-DATA'!AF533)),IF($B535="STD. DEVIATION",2,$F$1))))</f>
        <v/>
      </c>
      <c r="AH535" s="1" t="str">
        <f>IF(OR($B535="",AH$7=""),"",IF($B535="MEANS",INDEX('1-DATA'!$1:$1048576,$A534-1,COLUMN('1-DATA'!AG533)),ROUND(INDEX('1-DATA'!$1:$1048576,IF(OR($B535="STD. DEVIATION",$C$1=1),$A535,$A535+1),COLUMN('1-DATA'!AG533)),IF($B535="STD. DEVIATION",2,$F$1))))</f>
        <v/>
      </c>
      <c r="AI535" s="1" t="str">
        <f>IF(OR($B535="",AI$7=""),"",IF($B535="MEANS",INDEX('1-DATA'!$1:$1048576,$A534-1,COLUMN('1-DATA'!AH533)),ROUND(INDEX('1-DATA'!$1:$1048576,IF(OR($B535="STD. DEVIATION",$C$1=1),$A535,$A535+1),COLUMN('1-DATA'!AH533)),IF($B535="STD. DEVIATION",2,$F$1))))</f>
        <v/>
      </c>
      <c r="AJ535" s="1" t="str">
        <f>IF(OR($B535="",AJ$7=""),"",IF($B535="MEANS",INDEX('1-DATA'!$1:$1048576,$A534-1,COLUMN('1-DATA'!AI533)),ROUND(INDEX('1-DATA'!$1:$1048576,IF(OR($B535="STD. DEVIATION",$C$1=1),$A535,$A535+1),COLUMN('1-DATA'!AI533)),IF($B535="STD. DEVIATION",2,$F$1))))</f>
        <v/>
      </c>
      <c r="AK535" s="1" t="str">
        <f>IF(OR($B535="",AK$7=""),"",IF($B535="MEANS",INDEX('1-DATA'!$1:$1048576,$A534-1,COLUMN('1-DATA'!AJ533)),ROUND(INDEX('1-DATA'!$1:$1048576,IF(OR($B535="STD. DEVIATION",$C$1=1),$A535,$A535+1),COLUMN('1-DATA'!AJ533)),IF($B535="STD. DEVIATION",2,$F$1))))</f>
        <v/>
      </c>
      <c r="AL535" s="1" t="str">
        <f>IF(OR($B535="",AL$7=""),"",IF($B535="MEANS",INDEX('1-DATA'!$1:$1048576,$A534-1,COLUMN('1-DATA'!AK533)),ROUND(INDEX('1-DATA'!$1:$1048576,IF(OR($B535="STD. DEVIATION",$C$1=1),$A535,$A535+1),COLUMN('1-DATA'!AK533)),IF($B535="STD. DEVIATION",2,$F$1))))</f>
        <v/>
      </c>
      <c r="AM535" s="1" t="str">
        <f>IF(OR($B535="",AM$7=""),"",IF($B535="MEANS",INDEX('1-DATA'!$1:$1048576,$A534-1,COLUMN('1-DATA'!AL533)),ROUND(INDEX('1-DATA'!$1:$1048576,IF(OR($B535="STD. DEVIATION",$C$1=1),$A535,$A535+1),COLUMN('1-DATA'!AL533)),IF($B535="STD. DEVIATION",2,$F$1))))</f>
        <v/>
      </c>
      <c r="AN535" s="1" t="str">
        <f>IF(OR($B535="",AN$7=""),"",IF($B535="MEANS",INDEX('1-DATA'!$1:$1048576,$A534-1,COLUMN('1-DATA'!AM533)),ROUND(INDEX('1-DATA'!$1:$1048576,IF(OR($B535="STD. DEVIATION",$C$1=1),$A535,$A535+1),COLUMN('1-DATA'!AM533)),IF($B535="STD. DEVIATION",2,$F$1))))</f>
        <v/>
      </c>
      <c r="AO535" s="1" t="str">
        <f>IF(OR($B535="",AO$7=""),"",IF($B535="MEANS",INDEX('1-DATA'!$1:$1048576,$A534-1,COLUMN('1-DATA'!AN533)),ROUND(INDEX('1-DATA'!$1:$1048576,IF(OR($B535="STD. DEVIATION",$C$1=1),$A535,$A535+1),COLUMN('1-DATA'!AN533)),IF($B535="STD. DEVIATION",2,$F$1))))</f>
        <v/>
      </c>
      <c r="AP535" s="1" t="str">
        <f>IF(OR($B535="",AP$7=""),"",IF($B535="MEANS",INDEX('1-DATA'!$1:$1048576,$A534-1,COLUMN('1-DATA'!AO533)),ROUND(INDEX('1-DATA'!$1:$1048576,IF(OR($B535="STD. DEVIATION",$C$1=1),$A535,$A535+1),COLUMN('1-DATA'!AO533)),IF($B535="STD. DEVIATION",2,$F$1))))</f>
        <v/>
      </c>
      <c r="AQ535" s="1" t="str">
        <f>IF(OR($B535="",AQ$7=""),"",IF($B535="MEANS",INDEX('1-DATA'!$1:$1048576,$A534-1,COLUMN('1-DATA'!AP533)),ROUND(INDEX('1-DATA'!$1:$1048576,IF(OR($B535="STD. DEVIATION",$C$1=1),$A535,$A535+1),COLUMN('1-DATA'!AP533)),IF($B535="STD. DEVIATION",2,$F$1))))</f>
        <v/>
      </c>
      <c r="AR535" s="1" t="str">
        <f>IF(OR($B535="",AR$7=""),"",IF($B535="MEANS",INDEX('1-DATA'!$1:$1048576,$A534-1,COLUMN('1-DATA'!AQ533)),ROUND(INDEX('1-DATA'!$1:$1048576,IF(OR($B535="STD. DEVIATION",$C$1=1),$A535,$A535+1),COLUMN('1-DATA'!AQ533)),IF($B535="STD. DEVIATION",2,$F$1))))</f>
        <v/>
      </c>
      <c r="AS535" s="1" t="str">
        <f>IF(OR($B535="",AS$7=""),"",IF($B535="MEANS",INDEX('1-DATA'!$1:$1048576,$A534-1,COLUMN('1-DATA'!AR533)),ROUND(INDEX('1-DATA'!$1:$1048576,IF(OR($B535="STD. DEVIATION",$C$1=1),$A535,$A535+1),COLUMN('1-DATA'!AR533)),IF($B535="STD. DEVIATION",2,$F$1))))</f>
        <v/>
      </c>
      <c r="AT535" s="1" t="str">
        <f>IF(OR($B535="",AT$7=""),"",IF($B535="MEANS",INDEX('1-DATA'!$1:$1048576,$A534-1,COLUMN('1-DATA'!AS533)),ROUND(INDEX('1-DATA'!$1:$1048576,IF(OR($B535="STD. DEVIATION",$C$1=1),$A535,$A535+1),COLUMN('1-DATA'!AS533)),IF($B535="STD. DEVIATION",2,$F$1))))</f>
        <v/>
      </c>
      <c r="AU535" s="1" t="str">
        <f>IF(OR($B535="",AU$7=""),"",IF($B535="MEANS",INDEX('1-DATA'!$1:$1048576,$A534-1,COLUMN('1-DATA'!AT533)),ROUND(INDEX('1-DATA'!$1:$1048576,IF(OR($B535="STD. DEVIATION",$C$1=1),$A535,$A535+1),COLUMN('1-DATA'!AT533)),IF($B535="STD. DEVIATION",2,$F$1))))</f>
        <v/>
      </c>
      <c r="AV535" s="1" t="str">
        <f>IF(OR($B535="",AV$7=""),"",IF($B535="MEANS",INDEX('1-DATA'!$1:$1048576,$A534-1,COLUMN('1-DATA'!AU533)),ROUND(INDEX('1-DATA'!$1:$1048576,IF(OR($B535="STD. DEVIATION",$C$1=1),$A535,$A535+1),COLUMN('1-DATA'!AU533)),IF($B535="STD. DEVIATION",2,$F$1))))</f>
        <v/>
      </c>
      <c r="AW535" s="1" t="str">
        <f>IF(OR($B535="",AW$7=""),"",IF($B535="MEANS",INDEX('1-DATA'!$1:$1048576,$A534-1,COLUMN('1-DATA'!AV533)),ROUND(INDEX('1-DATA'!$1:$1048576,IF(OR($B535="STD. DEVIATION",$C$1=1),$A535,$A535+1),COLUMN('1-DATA'!AV533)),IF($B535="STD. DEVIATION",2,$F$1))))</f>
        <v/>
      </c>
      <c r="AX535" s="1" t="str">
        <f>IF(OR($B535="",AX$7=""),"",IF($B535="MEANS",INDEX('1-DATA'!$1:$1048576,$A534-1,COLUMN('1-DATA'!AW533)),ROUND(INDEX('1-DATA'!$1:$1048576,IF(OR($B535="STD. DEVIATION",$C$1=1),$A535,$A535+1),COLUMN('1-DATA'!AW533)),IF($B535="STD. DEVIATION",2,$F$1))))</f>
        <v/>
      </c>
      <c r="AY535" s="1" t="str">
        <f>IF(OR($B535="",AY$7=""),"",IF($B535="MEANS",INDEX('1-DATA'!$1:$1048576,$A534-1,COLUMN('1-DATA'!AX533)),ROUND(INDEX('1-DATA'!$1:$1048576,IF(OR($B535="STD. DEVIATION",$C$1=1),$A535,$A535+1),COLUMN('1-DATA'!AX533)),IF($B535="STD. DEVIATION",2,$F$1))))</f>
        <v/>
      </c>
      <c r="AZ535" s="1" t="str">
        <f>IF(OR($B535="",AZ$7=""),"",IF($B535="MEANS",INDEX('1-DATA'!$1:$1048576,$A534-1,COLUMN('1-DATA'!AY533)),ROUND(INDEX('1-DATA'!$1:$1048576,IF(OR($B535="STD. DEVIATION",$C$1=1),$A535,$A535+1),COLUMN('1-DATA'!AY533)),IF($B535="STD. DEVIATION",2,$F$1))))</f>
        <v/>
      </c>
    </row>
    <row r="536" spans="1:52" x14ac:dyDescent="0.25">
      <c r="A536" s="11">
        <f t="shared" si="8"/>
        <v>1594</v>
      </c>
      <c r="B536" s="1" t="str">
        <f>IF(B535="STD. DEVIATION",INDEX('1-DATA'!$1:$1048576,$A535-1,1),IF(INDEX('1-DATA'!$1:$1048576,$A536,1)&lt;&gt;"",INDEX('1-DATA'!$1:$1048576,$A536,1),""))</f>
        <v/>
      </c>
      <c r="C536" s="1" t="str">
        <f>IF(OR($B536="",C$7=""),"",IF($B536="MEANS",INDEX('1-DATA'!$1:$1048576,$A535-1,COLUMN('1-DATA'!B534)),ROUND(INDEX('1-DATA'!$1:$1048576,IF(OR($B536="STD. DEVIATION",$C$1=1),$A536,$A536+1),COLUMN('1-DATA'!B534)),IF($B536="STD. DEVIATION",2,$F$1))))</f>
        <v/>
      </c>
      <c r="D536" s="1" t="str">
        <f>IF(OR($B536="",D$7=""),"",IF($B536="MEANS",INDEX('1-DATA'!$1:$1048576,$A535-1,COLUMN('1-DATA'!C534)),ROUND(INDEX('1-DATA'!$1:$1048576,IF(OR($B536="STD. DEVIATION",$C$1=1),$A536,$A536+1),COLUMN('1-DATA'!C534)),IF($B536="STD. DEVIATION",2,$F$1))))</f>
        <v/>
      </c>
      <c r="E536" s="1" t="str">
        <f>IF(OR($B536="",E$7=""),"",IF($B536="MEANS",INDEX('1-DATA'!$1:$1048576,$A535-1,COLUMN('1-DATA'!D534)),ROUND(INDEX('1-DATA'!$1:$1048576,IF(OR($B536="STD. DEVIATION",$C$1=1),$A536,$A536+1),COLUMN('1-DATA'!D534)),IF($B536="STD. DEVIATION",2,$F$1))))</f>
        <v/>
      </c>
      <c r="F536" s="1" t="str">
        <f>IF(OR($B536="",F$7=""),"",IF($B536="MEANS",INDEX('1-DATA'!$1:$1048576,$A535-1,COLUMN('1-DATA'!E534)),ROUND(INDEX('1-DATA'!$1:$1048576,IF(OR($B536="STD. DEVIATION",$C$1=1),$A536,$A536+1),COLUMN('1-DATA'!E534)),IF($B536="STD. DEVIATION",2,$F$1))))</f>
        <v/>
      </c>
      <c r="G536" s="1" t="str">
        <f>IF(OR($B536="",G$7=""),"",IF($B536="MEANS",INDEX('1-DATA'!$1:$1048576,$A535-1,COLUMN('1-DATA'!F534)),ROUND(INDEX('1-DATA'!$1:$1048576,IF(OR($B536="STD. DEVIATION",$C$1=1),$A536,$A536+1),COLUMN('1-DATA'!F534)),IF($B536="STD. DEVIATION",2,$F$1))))</f>
        <v/>
      </c>
      <c r="H536" s="1" t="str">
        <f>IF(OR($B536="",H$7=""),"",IF($B536="MEANS",INDEX('1-DATA'!$1:$1048576,$A535-1,COLUMN('1-DATA'!G534)),ROUND(INDEX('1-DATA'!$1:$1048576,IF(OR($B536="STD. DEVIATION",$C$1=1),$A536,$A536+1),COLUMN('1-DATA'!G534)),IF($B536="STD. DEVIATION",2,$F$1))))</f>
        <v/>
      </c>
      <c r="I536" s="1" t="str">
        <f>IF(OR($B536="",I$7=""),"",IF($B536="MEANS",INDEX('1-DATA'!$1:$1048576,$A535-1,COLUMN('1-DATA'!H534)),ROUND(INDEX('1-DATA'!$1:$1048576,IF(OR($B536="STD. DEVIATION",$C$1=1),$A536,$A536+1),COLUMN('1-DATA'!H534)),IF($B536="STD. DEVIATION",2,$F$1))))</f>
        <v/>
      </c>
      <c r="J536" s="1" t="str">
        <f>IF(OR($B536="",J$7=""),"",IF($B536="MEANS",INDEX('1-DATA'!$1:$1048576,$A535-1,COLUMN('1-DATA'!I534)),ROUND(INDEX('1-DATA'!$1:$1048576,IF(OR($B536="STD. DEVIATION",$C$1=1),$A536,$A536+1),COLUMN('1-DATA'!I534)),IF($B536="STD. DEVIATION",2,$F$1))))</f>
        <v/>
      </c>
      <c r="K536" s="1" t="str">
        <f>IF(OR($B536="",K$7=""),"",IF($B536="MEANS",INDEX('1-DATA'!$1:$1048576,$A535-1,COLUMN('1-DATA'!J534)),ROUND(INDEX('1-DATA'!$1:$1048576,IF(OR($B536="STD. DEVIATION",$C$1=1),$A536,$A536+1),COLUMN('1-DATA'!J534)),IF($B536="STD. DEVIATION",2,$F$1))))</f>
        <v/>
      </c>
      <c r="L536" s="1" t="str">
        <f>IF(OR($B536="",L$7=""),"",IF($B536="MEANS",INDEX('1-DATA'!$1:$1048576,$A535-1,COLUMN('1-DATA'!K534)),ROUND(INDEX('1-DATA'!$1:$1048576,IF(OR($B536="STD. DEVIATION",$C$1=1),$A536,$A536+1),COLUMN('1-DATA'!K534)),IF($B536="STD. DEVIATION",2,$F$1))))</f>
        <v/>
      </c>
      <c r="M536" s="1" t="str">
        <f>IF(OR($B536="",M$7=""),"",IF($B536="MEANS",INDEX('1-DATA'!$1:$1048576,$A535-1,COLUMN('1-DATA'!L534)),ROUND(INDEX('1-DATA'!$1:$1048576,IF(OR($B536="STD. DEVIATION",$C$1=1),$A536,$A536+1),COLUMN('1-DATA'!L534)),IF($B536="STD. DEVIATION",2,$F$1))))</f>
        <v/>
      </c>
      <c r="N536" s="1" t="str">
        <f>IF(OR($B536="",N$7=""),"",IF($B536="MEANS",INDEX('1-DATA'!$1:$1048576,$A535-1,COLUMN('1-DATA'!M534)),ROUND(INDEX('1-DATA'!$1:$1048576,IF(OR($B536="STD. DEVIATION",$C$1=1),$A536,$A536+1),COLUMN('1-DATA'!M534)),IF($B536="STD. DEVIATION",2,$F$1))))</f>
        <v/>
      </c>
      <c r="O536" s="1" t="str">
        <f>IF(OR($B536="",O$7=""),"",IF($B536="MEANS",INDEX('1-DATA'!$1:$1048576,$A535-1,COLUMN('1-DATA'!N534)),ROUND(INDEX('1-DATA'!$1:$1048576,IF(OR($B536="STD. DEVIATION",$C$1=1),$A536,$A536+1),COLUMN('1-DATA'!N534)),IF($B536="STD. DEVIATION",2,$F$1))))</f>
        <v/>
      </c>
      <c r="P536" s="1" t="str">
        <f>IF(OR($B536="",P$7=""),"",IF($B536="MEANS",INDEX('1-DATA'!$1:$1048576,$A535-1,COLUMN('1-DATA'!O534)),ROUND(INDEX('1-DATA'!$1:$1048576,IF(OR($B536="STD. DEVIATION",$C$1=1),$A536,$A536+1),COLUMN('1-DATA'!O534)),IF($B536="STD. DEVIATION",2,$F$1))))</f>
        <v/>
      </c>
      <c r="Q536" s="1" t="str">
        <f>IF(OR($B536="",Q$7=""),"",IF($B536="MEANS",INDEX('1-DATA'!$1:$1048576,$A535-1,COLUMN('1-DATA'!P534)),ROUND(INDEX('1-DATA'!$1:$1048576,IF(OR($B536="STD. DEVIATION",$C$1=1),$A536,$A536+1),COLUMN('1-DATA'!P534)),IF($B536="STD. DEVIATION",2,$F$1))))</f>
        <v/>
      </c>
      <c r="R536" s="1" t="str">
        <f>IF(OR($B536="",R$7=""),"",IF($B536="MEANS",INDEX('1-DATA'!$1:$1048576,$A535-1,COLUMN('1-DATA'!Q534)),ROUND(INDEX('1-DATA'!$1:$1048576,IF(OR($B536="STD. DEVIATION",$C$1=1),$A536,$A536+1),COLUMN('1-DATA'!Q534)),IF($B536="STD. DEVIATION",2,$F$1))))</f>
        <v/>
      </c>
      <c r="S536" s="1" t="str">
        <f>IF(OR($B536="",S$7=""),"",IF($B536="MEANS",INDEX('1-DATA'!$1:$1048576,$A535-1,COLUMN('1-DATA'!R534)),ROUND(INDEX('1-DATA'!$1:$1048576,IF(OR($B536="STD. DEVIATION",$C$1=1),$A536,$A536+1),COLUMN('1-DATA'!R534)),IF($B536="STD. DEVIATION",2,$F$1))))</f>
        <v/>
      </c>
      <c r="T536" s="1" t="str">
        <f>IF(OR($B536="",T$7=""),"",IF($B536="MEANS",INDEX('1-DATA'!$1:$1048576,$A535-1,COLUMN('1-DATA'!S534)),ROUND(INDEX('1-DATA'!$1:$1048576,IF(OR($B536="STD. DEVIATION",$C$1=1),$A536,$A536+1),COLUMN('1-DATA'!S534)),IF($B536="STD. DEVIATION",2,$F$1))))</f>
        <v/>
      </c>
      <c r="U536" s="1" t="str">
        <f>IF(OR($B536="",U$7=""),"",IF($B536="MEANS",INDEX('1-DATA'!$1:$1048576,$A535-1,COLUMN('1-DATA'!T534)),ROUND(INDEX('1-DATA'!$1:$1048576,IF(OR($B536="STD. DEVIATION",$C$1=1),$A536,$A536+1),COLUMN('1-DATA'!T534)),IF($B536="STD. DEVIATION",2,$F$1))))</f>
        <v/>
      </c>
      <c r="V536" s="1" t="str">
        <f>IF(OR($B536="",V$7=""),"",IF($B536="MEANS",INDEX('1-DATA'!$1:$1048576,$A535-1,COLUMN('1-DATA'!U534)),ROUND(INDEX('1-DATA'!$1:$1048576,IF(OR($B536="STD. DEVIATION",$C$1=1),$A536,$A536+1),COLUMN('1-DATA'!U534)),IF($B536="STD. DEVIATION",2,$F$1))))</f>
        <v/>
      </c>
      <c r="W536" s="1" t="str">
        <f>IF(OR($B536="",W$7=""),"",IF($B536="MEANS",INDEX('1-DATA'!$1:$1048576,$A535-1,COLUMN('1-DATA'!V534)),ROUND(INDEX('1-DATA'!$1:$1048576,IF(OR($B536="STD. DEVIATION",$C$1=1),$A536,$A536+1),COLUMN('1-DATA'!V534)),IF($B536="STD. DEVIATION",2,$F$1))))</f>
        <v/>
      </c>
      <c r="X536" s="1" t="str">
        <f>IF(OR($B536="",X$7=""),"",IF($B536="MEANS",INDEX('1-DATA'!$1:$1048576,$A535-1,COLUMN('1-DATA'!W534)),ROUND(INDEX('1-DATA'!$1:$1048576,IF(OR($B536="STD. DEVIATION",$C$1=1),$A536,$A536+1),COLUMN('1-DATA'!W534)),IF($B536="STD. DEVIATION",2,$F$1))))</f>
        <v/>
      </c>
      <c r="Y536" s="1" t="str">
        <f>IF(OR($B536="",Y$7=""),"",IF($B536="MEANS",INDEX('1-DATA'!$1:$1048576,$A535-1,COLUMN('1-DATA'!X534)),ROUND(INDEX('1-DATA'!$1:$1048576,IF(OR($B536="STD. DEVIATION",$C$1=1),$A536,$A536+1),COLUMN('1-DATA'!X534)),IF($B536="STD. DEVIATION",2,$F$1))))</f>
        <v/>
      </c>
      <c r="Z536" s="1" t="str">
        <f>IF(OR($B536="",Z$7=""),"",IF($B536="MEANS",INDEX('1-DATA'!$1:$1048576,$A535-1,COLUMN('1-DATA'!Y534)),ROUND(INDEX('1-DATA'!$1:$1048576,IF(OR($B536="STD. DEVIATION",$C$1=1),$A536,$A536+1),COLUMN('1-DATA'!Y534)),IF($B536="STD. DEVIATION",2,$F$1))))</f>
        <v/>
      </c>
      <c r="AA536" s="1" t="str">
        <f>IF(OR($B536="",AA$7=""),"",IF($B536="MEANS",INDEX('1-DATA'!$1:$1048576,$A535-1,COLUMN('1-DATA'!Z534)),ROUND(INDEX('1-DATA'!$1:$1048576,IF(OR($B536="STD. DEVIATION",$C$1=1),$A536,$A536+1),COLUMN('1-DATA'!Z534)),IF($B536="STD. DEVIATION",2,$F$1))))</f>
        <v/>
      </c>
      <c r="AB536" s="1" t="str">
        <f>IF(OR($B536="",AB$7=""),"",IF($B536="MEANS",INDEX('1-DATA'!$1:$1048576,$A535-1,COLUMN('1-DATA'!AA534)),ROUND(INDEX('1-DATA'!$1:$1048576,IF(OR($B536="STD. DEVIATION",$C$1=1),$A536,$A536+1),COLUMN('1-DATA'!AA534)),IF($B536="STD. DEVIATION",2,$F$1))))</f>
        <v/>
      </c>
      <c r="AC536" s="1" t="str">
        <f>IF(OR($B536="",AC$7=""),"",IF($B536="MEANS",INDEX('1-DATA'!$1:$1048576,$A535-1,COLUMN('1-DATA'!AB534)),ROUND(INDEX('1-DATA'!$1:$1048576,IF(OR($B536="STD. DEVIATION",$C$1=1),$A536,$A536+1),COLUMN('1-DATA'!AB534)),IF($B536="STD. DEVIATION",2,$F$1))))</f>
        <v/>
      </c>
      <c r="AD536" s="1" t="str">
        <f>IF(OR($B536="",AD$7=""),"",IF($B536="MEANS",INDEX('1-DATA'!$1:$1048576,$A535-1,COLUMN('1-DATA'!AC534)),ROUND(INDEX('1-DATA'!$1:$1048576,IF(OR($B536="STD. DEVIATION",$C$1=1),$A536,$A536+1),COLUMN('1-DATA'!AC534)),IF($B536="STD. DEVIATION",2,$F$1))))</f>
        <v/>
      </c>
      <c r="AE536" s="1" t="str">
        <f>IF(OR($B536="",AE$7=""),"",IF($B536="MEANS",INDEX('1-DATA'!$1:$1048576,$A535-1,COLUMN('1-DATA'!AD534)),ROUND(INDEX('1-DATA'!$1:$1048576,IF(OR($B536="STD. DEVIATION",$C$1=1),$A536,$A536+1),COLUMN('1-DATA'!AD534)),IF($B536="STD. DEVIATION",2,$F$1))))</f>
        <v/>
      </c>
      <c r="AF536" s="1" t="str">
        <f>IF(OR($B536="",AF$7=""),"",IF($B536="MEANS",INDEX('1-DATA'!$1:$1048576,$A535-1,COLUMN('1-DATA'!AE534)),ROUND(INDEX('1-DATA'!$1:$1048576,IF(OR($B536="STD. DEVIATION",$C$1=1),$A536,$A536+1),COLUMN('1-DATA'!AE534)),IF($B536="STD. DEVIATION",2,$F$1))))</f>
        <v/>
      </c>
      <c r="AG536" s="1" t="str">
        <f>IF(OR($B536="",AG$7=""),"",IF($B536="MEANS",INDEX('1-DATA'!$1:$1048576,$A535-1,COLUMN('1-DATA'!AF534)),ROUND(INDEX('1-DATA'!$1:$1048576,IF(OR($B536="STD. DEVIATION",$C$1=1),$A536,$A536+1),COLUMN('1-DATA'!AF534)),IF($B536="STD. DEVIATION",2,$F$1))))</f>
        <v/>
      </c>
      <c r="AH536" s="1" t="str">
        <f>IF(OR($B536="",AH$7=""),"",IF($B536="MEANS",INDEX('1-DATA'!$1:$1048576,$A535-1,COLUMN('1-DATA'!AG534)),ROUND(INDEX('1-DATA'!$1:$1048576,IF(OR($B536="STD. DEVIATION",$C$1=1),$A536,$A536+1),COLUMN('1-DATA'!AG534)),IF($B536="STD. DEVIATION",2,$F$1))))</f>
        <v/>
      </c>
      <c r="AI536" s="1" t="str">
        <f>IF(OR($B536="",AI$7=""),"",IF($B536="MEANS",INDEX('1-DATA'!$1:$1048576,$A535-1,COLUMN('1-DATA'!AH534)),ROUND(INDEX('1-DATA'!$1:$1048576,IF(OR($B536="STD. DEVIATION",$C$1=1),$A536,$A536+1),COLUMN('1-DATA'!AH534)),IF($B536="STD. DEVIATION",2,$F$1))))</f>
        <v/>
      </c>
      <c r="AJ536" s="1" t="str">
        <f>IF(OR($B536="",AJ$7=""),"",IF($B536="MEANS",INDEX('1-DATA'!$1:$1048576,$A535-1,COLUMN('1-DATA'!AI534)),ROUND(INDEX('1-DATA'!$1:$1048576,IF(OR($B536="STD. DEVIATION",$C$1=1),$A536,$A536+1),COLUMN('1-DATA'!AI534)),IF($B536="STD. DEVIATION",2,$F$1))))</f>
        <v/>
      </c>
      <c r="AK536" s="1" t="str">
        <f>IF(OR($B536="",AK$7=""),"",IF($B536="MEANS",INDEX('1-DATA'!$1:$1048576,$A535-1,COLUMN('1-DATA'!AJ534)),ROUND(INDEX('1-DATA'!$1:$1048576,IF(OR($B536="STD. DEVIATION",$C$1=1),$A536,$A536+1),COLUMN('1-DATA'!AJ534)),IF($B536="STD. DEVIATION",2,$F$1))))</f>
        <v/>
      </c>
      <c r="AL536" s="1" t="str">
        <f>IF(OR($B536="",AL$7=""),"",IF($B536="MEANS",INDEX('1-DATA'!$1:$1048576,$A535-1,COLUMN('1-DATA'!AK534)),ROUND(INDEX('1-DATA'!$1:$1048576,IF(OR($B536="STD. DEVIATION",$C$1=1),$A536,$A536+1),COLUMN('1-DATA'!AK534)),IF($B536="STD. DEVIATION",2,$F$1))))</f>
        <v/>
      </c>
      <c r="AM536" s="1" t="str">
        <f>IF(OR($B536="",AM$7=""),"",IF($B536="MEANS",INDEX('1-DATA'!$1:$1048576,$A535-1,COLUMN('1-DATA'!AL534)),ROUND(INDEX('1-DATA'!$1:$1048576,IF(OR($B536="STD. DEVIATION",$C$1=1),$A536,$A536+1),COLUMN('1-DATA'!AL534)),IF($B536="STD. DEVIATION",2,$F$1))))</f>
        <v/>
      </c>
      <c r="AN536" s="1" t="str">
        <f>IF(OR($B536="",AN$7=""),"",IF($B536="MEANS",INDEX('1-DATA'!$1:$1048576,$A535-1,COLUMN('1-DATA'!AM534)),ROUND(INDEX('1-DATA'!$1:$1048576,IF(OR($B536="STD. DEVIATION",$C$1=1),$A536,$A536+1),COLUMN('1-DATA'!AM534)),IF($B536="STD. DEVIATION",2,$F$1))))</f>
        <v/>
      </c>
      <c r="AO536" s="1" t="str">
        <f>IF(OR($B536="",AO$7=""),"",IF($B536="MEANS",INDEX('1-DATA'!$1:$1048576,$A535-1,COLUMN('1-DATA'!AN534)),ROUND(INDEX('1-DATA'!$1:$1048576,IF(OR($B536="STD. DEVIATION",$C$1=1),$A536,$A536+1),COLUMN('1-DATA'!AN534)),IF($B536="STD. DEVIATION",2,$F$1))))</f>
        <v/>
      </c>
      <c r="AP536" s="1" t="str">
        <f>IF(OR($B536="",AP$7=""),"",IF($B536="MEANS",INDEX('1-DATA'!$1:$1048576,$A535-1,COLUMN('1-DATA'!AO534)),ROUND(INDEX('1-DATA'!$1:$1048576,IF(OR($B536="STD. DEVIATION",$C$1=1),$A536,$A536+1),COLUMN('1-DATA'!AO534)),IF($B536="STD. DEVIATION",2,$F$1))))</f>
        <v/>
      </c>
      <c r="AQ536" s="1" t="str">
        <f>IF(OR($B536="",AQ$7=""),"",IF($B536="MEANS",INDEX('1-DATA'!$1:$1048576,$A535-1,COLUMN('1-DATA'!AP534)),ROUND(INDEX('1-DATA'!$1:$1048576,IF(OR($B536="STD. DEVIATION",$C$1=1),$A536,$A536+1),COLUMN('1-DATA'!AP534)),IF($B536="STD. DEVIATION",2,$F$1))))</f>
        <v/>
      </c>
      <c r="AR536" s="1" t="str">
        <f>IF(OR($B536="",AR$7=""),"",IF($B536="MEANS",INDEX('1-DATA'!$1:$1048576,$A535-1,COLUMN('1-DATA'!AQ534)),ROUND(INDEX('1-DATA'!$1:$1048576,IF(OR($B536="STD. DEVIATION",$C$1=1),$A536,$A536+1),COLUMN('1-DATA'!AQ534)),IF($B536="STD. DEVIATION",2,$F$1))))</f>
        <v/>
      </c>
      <c r="AS536" s="1" t="str">
        <f>IF(OR($B536="",AS$7=""),"",IF($B536="MEANS",INDEX('1-DATA'!$1:$1048576,$A535-1,COLUMN('1-DATA'!AR534)),ROUND(INDEX('1-DATA'!$1:$1048576,IF(OR($B536="STD. DEVIATION",$C$1=1),$A536,$A536+1),COLUMN('1-DATA'!AR534)),IF($B536="STD. DEVIATION",2,$F$1))))</f>
        <v/>
      </c>
      <c r="AT536" s="1" t="str">
        <f>IF(OR($B536="",AT$7=""),"",IF($B536="MEANS",INDEX('1-DATA'!$1:$1048576,$A535-1,COLUMN('1-DATA'!AS534)),ROUND(INDEX('1-DATA'!$1:$1048576,IF(OR($B536="STD. DEVIATION",$C$1=1),$A536,$A536+1),COLUMN('1-DATA'!AS534)),IF($B536="STD. DEVIATION",2,$F$1))))</f>
        <v/>
      </c>
      <c r="AU536" s="1" t="str">
        <f>IF(OR($B536="",AU$7=""),"",IF($B536="MEANS",INDEX('1-DATA'!$1:$1048576,$A535-1,COLUMN('1-DATA'!AT534)),ROUND(INDEX('1-DATA'!$1:$1048576,IF(OR($B536="STD. DEVIATION",$C$1=1),$A536,$A536+1),COLUMN('1-DATA'!AT534)),IF($B536="STD. DEVIATION",2,$F$1))))</f>
        <v/>
      </c>
      <c r="AV536" s="1" t="str">
        <f>IF(OR($B536="",AV$7=""),"",IF($B536="MEANS",INDEX('1-DATA'!$1:$1048576,$A535-1,COLUMN('1-DATA'!AU534)),ROUND(INDEX('1-DATA'!$1:$1048576,IF(OR($B536="STD. DEVIATION",$C$1=1),$A536,$A536+1),COLUMN('1-DATA'!AU534)),IF($B536="STD. DEVIATION",2,$F$1))))</f>
        <v/>
      </c>
      <c r="AW536" s="1" t="str">
        <f>IF(OR($B536="",AW$7=""),"",IF($B536="MEANS",INDEX('1-DATA'!$1:$1048576,$A535-1,COLUMN('1-DATA'!AV534)),ROUND(INDEX('1-DATA'!$1:$1048576,IF(OR($B536="STD. DEVIATION",$C$1=1),$A536,$A536+1),COLUMN('1-DATA'!AV534)),IF($B536="STD. DEVIATION",2,$F$1))))</f>
        <v/>
      </c>
      <c r="AX536" s="1" t="str">
        <f>IF(OR($B536="",AX$7=""),"",IF($B536="MEANS",INDEX('1-DATA'!$1:$1048576,$A535-1,COLUMN('1-DATA'!AW534)),ROUND(INDEX('1-DATA'!$1:$1048576,IF(OR($B536="STD. DEVIATION",$C$1=1),$A536,$A536+1),COLUMN('1-DATA'!AW534)),IF($B536="STD. DEVIATION",2,$F$1))))</f>
        <v/>
      </c>
      <c r="AY536" s="1" t="str">
        <f>IF(OR($B536="",AY$7=""),"",IF($B536="MEANS",INDEX('1-DATA'!$1:$1048576,$A535-1,COLUMN('1-DATA'!AX534)),ROUND(INDEX('1-DATA'!$1:$1048576,IF(OR($B536="STD. DEVIATION",$C$1=1),$A536,$A536+1),COLUMN('1-DATA'!AX534)),IF($B536="STD. DEVIATION",2,$F$1))))</f>
        <v/>
      </c>
      <c r="AZ536" s="1" t="str">
        <f>IF(OR($B536="",AZ$7=""),"",IF($B536="MEANS",INDEX('1-DATA'!$1:$1048576,$A535-1,COLUMN('1-DATA'!AY534)),ROUND(INDEX('1-DATA'!$1:$1048576,IF(OR($B536="STD. DEVIATION",$C$1=1),$A536,$A536+1),COLUMN('1-DATA'!AY534)),IF($B536="STD. DEVIATION",2,$F$1))))</f>
        <v/>
      </c>
    </row>
    <row r="537" spans="1:52" x14ac:dyDescent="0.25">
      <c r="A537" s="11">
        <f t="shared" si="8"/>
        <v>1597</v>
      </c>
      <c r="B537" s="1" t="str">
        <f>IF(B536="STD. DEVIATION",INDEX('1-DATA'!$1:$1048576,$A536-1,1),IF(INDEX('1-DATA'!$1:$1048576,$A537,1)&lt;&gt;"",INDEX('1-DATA'!$1:$1048576,$A537,1),""))</f>
        <v/>
      </c>
      <c r="C537" s="1" t="str">
        <f>IF(OR($B537="",C$7=""),"",IF($B537="MEANS",INDEX('1-DATA'!$1:$1048576,$A536-1,COLUMN('1-DATA'!B535)),ROUND(INDEX('1-DATA'!$1:$1048576,IF(OR($B537="STD. DEVIATION",$C$1=1),$A537,$A537+1),COLUMN('1-DATA'!B535)),IF($B537="STD. DEVIATION",2,$F$1))))</f>
        <v/>
      </c>
      <c r="D537" s="1" t="str">
        <f>IF(OR($B537="",D$7=""),"",IF($B537="MEANS",INDEX('1-DATA'!$1:$1048576,$A536-1,COLUMN('1-DATA'!C535)),ROUND(INDEX('1-DATA'!$1:$1048576,IF(OR($B537="STD. DEVIATION",$C$1=1),$A537,$A537+1),COLUMN('1-DATA'!C535)),IF($B537="STD. DEVIATION",2,$F$1))))</f>
        <v/>
      </c>
      <c r="E537" s="1" t="str">
        <f>IF(OR($B537="",E$7=""),"",IF($B537="MEANS",INDEX('1-DATA'!$1:$1048576,$A536-1,COLUMN('1-DATA'!D535)),ROUND(INDEX('1-DATA'!$1:$1048576,IF(OR($B537="STD. DEVIATION",$C$1=1),$A537,$A537+1),COLUMN('1-DATA'!D535)),IF($B537="STD. DEVIATION",2,$F$1))))</f>
        <v/>
      </c>
      <c r="F537" s="1" t="str">
        <f>IF(OR($B537="",F$7=""),"",IF($B537="MEANS",INDEX('1-DATA'!$1:$1048576,$A536-1,COLUMN('1-DATA'!E535)),ROUND(INDEX('1-DATA'!$1:$1048576,IF(OR($B537="STD. DEVIATION",$C$1=1),$A537,$A537+1),COLUMN('1-DATA'!E535)),IF($B537="STD. DEVIATION",2,$F$1))))</f>
        <v/>
      </c>
      <c r="G537" s="1" t="str">
        <f>IF(OR($B537="",G$7=""),"",IF($B537="MEANS",INDEX('1-DATA'!$1:$1048576,$A536-1,COLUMN('1-DATA'!F535)),ROUND(INDEX('1-DATA'!$1:$1048576,IF(OR($B537="STD. DEVIATION",$C$1=1),$A537,$A537+1),COLUMN('1-DATA'!F535)),IF($B537="STD. DEVIATION",2,$F$1))))</f>
        <v/>
      </c>
      <c r="H537" s="1" t="str">
        <f>IF(OR($B537="",H$7=""),"",IF($B537="MEANS",INDEX('1-DATA'!$1:$1048576,$A536-1,COLUMN('1-DATA'!G535)),ROUND(INDEX('1-DATA'!$1:$1048576,IF(OR($B537="STD. DEVIATION",$C$1=1),$A537,$A537+1),COLUMN('1-DATA'!G535)),IF($B537="STD. DEVIATION",2,$F$1))))</f>
        <v/>
      </c>
      <c r="I537" s="1" t="str">
        <f>IF(OR($B537="",I$7=""),"",IF($B537="MEANS",INDEX('1-DATA'!$1:$1048576,$A536-1,COLUMN('1-DATA'!H535)),ROUND(INDEX('1-DATA'!$1:$1048576,IF(OR($B537="STD. DEVIATION",$C$1=1),$A537,$A537+1),COLUMN('1-DATA'!H535)),IF($B537="STD. DEVIATION",2,$F$1))))</f>
        <v/>
      </c>
      <c r="J537" s="1" t="str">
        <f>IF(OR($B537="",J$7=""),"",IF($B537="MEANS",INDEX('1-DATA'!$1:$1048576,$A536-1,COLUMN('1-DATA'!I535)),ROUND(INDEX('1-DATA'!$1:$1048576,IF(OR($B537="STD. DEVIATION",$C$1=1),$A537,$A537+1),COLUMN('1-DATA'!I535)),IF($B537="STD. DEVIATION",2,$F$1))))</f>
        <v/>
      </c>
      <c r="K537" s="1" t="str">
        <f>IF(OR($B537="",K$7=""),"",IF($B537="MEANS",INDEX('1-DATA'!$1:$1048576,$A536-1,COLUMN('1-DATA'!J535)),ROUND(INDEX('1-DATA'!$1:$1048576,IF(OR($B537="STD. DEVIATION",$C$1=1),$A537,$A537+1),COLUMN('1-DATA'!J535)),IF($B537="STD. DEVIATION",2,$F$1))))</f>
        <v/>
      </c>
      <c r="L537" s="1" t="str">
        <f>IF(OR($B537="",L$7=""),"",IF($B537="MEANS",INDEX('1-DATA'!$1:$1048576,$A536-1,COLUMN('1-DATA'!K535)),ROUND(INDEX('1-DATA'!$1:$1048576,IF(OR($B537="STD. DEVIATION",$C$1=1),$A537,$A537+1),COLUMN('1-DATA'!K535)),IF($B537="STD. DEVIATION",2,$F$1))))</f>
        <v/>
      </c>
      <c r="M537" s="1" t="str">
        <f>IF(OR($B537="",M$7=""),"",IF($B537="MEANS",INDEX('1-DATA'!$1:$1048576,$A536-1,COLUMN('1-DATA'!L535)),ROUND(INDEX('1-DATA'!$1:$1048576,IF(OR($B537="STD. DEVIATION",$C$1=1),$A537,$A537+1),COLUMN('1-DATA'!L535)),IF($B537="STD. DEVIATION",2,$F$1))))</f>
        <v/>
      </c>
      <c r="N537" s="1" t="str">
        <f>IF(OR($B537="",N$7=""),"",IF($B537="MEANS",INDEX('1-DATA'!$1:$1048576,$A536-1,COLUMN('1-DATA'!M535)),ROUND(INDEX('1-DATA'!$1:$1048576,IF(OR($B537="STD. DEVIATION",$C$1=1),$A537,$A537+1),COLUMN('1-DATA'!M535)),IF($B537="STD. DEVIATION",2,$F$1))))</f>
        <v/>
      </c>
      <c r="O537" s="1" t="str">
        <f>IF(OR($B537="",O$7=""),"",IF($B537="MEANS",INDEX('1-DATA'!$1:$1048576,$A536-1,COLUMN('1-DATA'!N535)),ROUND(INDEX('1-DATA'!$1:$1048576,IF(OR($B537="STD. DEVIATION",$C$1=1),$A537,$A537+1),COLUMN('1-DATA'!N535)),IF($B537="STD. DEVIATION",2,$F$1))))</f>
        <v/>
      </c>
      <c r="P537" s="1" t="str">
        <f>IF(OR($B537="",P$7=""),"",IF($B537="MEANS",INDEX('1-DATA'!$1:$1048576,$A536-1,COLUMN('1-DATA'!O535)),ROUND(INDEX('1-DATA'!$1:$1048576,IF(OR($B537="STD. DEVIATION",$C$1=1),$A537,$A537+1),COLUMN('1-DATA'!O535)),IF($B537="STD. DEVIATION",2,$F$1))))</f>
        <v/>
      </c>
      <c r="Q537" s="1" t="str">
        <f>IF(OR($B537="",Q$7=""),"",IF($B537="MEANS",INDEX('1-DATA'!$1:$1048576,$A536-1,COLUMN('1-DATA'!P535)),ROUND(INDEX('1-DATA'!$1:$1048576,IF(OR($B537="STD. DEVIATION",$C$1=1),$A537,$A537+1),COLUMN('1-DATA'!P535)),IF($B537="STD. DEVIATION",2,$F$1))))</f>
        <v/>
      </c>
      <c r="R537" s="1" t="str">
        <f>IF(OR($B537="",R$7=""),"",IF($B537="MEANS",INDEX('1-DATA'!$1:$1048576,$A536-1,COLUMN('1-DATA'!Q535)),ROUND(INDEX('1-DATA'!$1:$1048576,IF(OR($B537="STD. DEVIATION",$C$1=1),$A537,$A537+1),COLUMN('1-DATA'!Q535)),IF($B537="STD. DEVIATION",2,$F$1))))</f>
        <v/>
      </c>
      <c r="S537" s="1" t="str">
        <f>IF(OR($B537="",S$7=""),"",IF($B537="MEANS",INDEX('1-DATA'!$1:$1048576,$A536-1,COLUMN('1-DATA'!R535)),ROUND(INDEX('1-DATA'!$1:$1048576,IF(OR($B537="STD. DEVIATION",$C$1=1),$A537,$A537+1),COLUMN('1-DATA'!R535)),IF($B537="STD. DEVIATION",2,$F$1))))</f>
        <v/>
      </c>
      <c r="T537" s="1" t="str">
        <f>IF(OR($B537="",T$7=""),"",IF($B537="MEANS",INDEX('1-DATA'!$1:$1048576,$A536-1,COLUMN('1-DATA'!S535)),ROUND(INDEX('1-DATA'!$1:$1048576,IF(OR($B537="STD. DEVIATION",$C$1=1),$A537,$A537+1),COLUMN('1-DATA'!S535)),IF($B537="STD. DEVIATION",2,$F$1))))</f>
        <v/>
      </c>
      <c r="U537" s="1" t="str">
        <f>IF(OR($B537="",U$7=""),"",IF($B537="MEANS",INDEX('1-DATA'!$1:$1048576,$A536-1,COLUMN('1-DATA'!T535)),ROUND(INDEX('1-DATA'!$1:$1048576,IF(OR($B537="STD. DEVIATION",$C$1=1),$A537,$A537+1),COLUMN('1-DATA'!T535)),IF($B537="STD. DEVIATION",2,$F$1))))</f>
        <v/>
      </c>
      <c r="V537" s="1" t="str">
        <f>IF(OR($B537="",V$7=""),"",IF($B537="MEANS",INDEX('1-DATA'!$1:$1048576,$A536-1,COLUMN('1-DATA'!U535)),ROUND(INDEX('1-DATA'!$1:$1048576,IF(OR($B537="STD. DEVIATION",$C$1=1),$A537,$A537+1),COLUMN('1-DATA'!U535)),IF($B537="STD. DEVIATION",2,$F$1))))</f>
        <v/>
      </c>
      <c r="W537" s="1" t="str">
        <f>IF(OR($B537="",W$7=""),"",IF($B537="MEANS",INDEX('1-DATA'!$1:$1048576,$A536-1,COLUMN('1-DATA'!V535)),ROUND(INDEX('1-DATA'!$1:$1048576,IF(OR($B537="STD. DEVIATION",$C$1=1),$A537,$A537+1),COLUMN('1-DATA'!V535)),IF($B537="STD. DEVIATION",2,$F$1))))</f>
        <v/>
      </c>
      <c r="X537" s="1" t="str">
        <f>IF(OR($B537="",X$7=""),"",IF($B537="MEANS",INDEX('1-DATA'!$1:$1048576,$A536-1,COLUMN('1-DATA'!W535)),ROUND(INDEX('1-DATA'!$1:$1048576,IF(OR($B537="STD. DEVIATION",$C$1=1),$A537,$A537+1),COLUMN('1-DATA'!W535)),IF($B537="STD. DEVIATION",2,$F$1))))</f>
        <v/>
      </c>
      <c r="Y537" s="1" t="str">
        <f>IF(OR($B537="",Y$7=""),"",IF($B537="MEANS",INDEX('1-DATA'!$1:$1048576,$A536-1,COLUMN('1-DATA'!X535)),ROUND(INDEX('1-DATA'!$1:$1048576,IF(OR($B537="STD. DEVIATION",$C$1=1),$A537,$A537+1),COLUMN('1-DATA'!X535)),IF($B537="STD. DEVIATION",2,$F$1))))</f>
        <v/>
      </c>
      <c r="Z537" s="1" t="str">
        <f>IF(OR($B537="",Z$7=""),"",IF($B537="MEANS",INDEX('1-DATA'!$1:$1048576,$A536-1,COLUMN('1-DATA'!Y535)),ROUND(INDEX('1-DATA'!$1:$1048576,IF(OR($B537="STD. DEVIATION",$C$1=1),$A537,$A537+1),COLUMN('1-DATA'!Y535)),IF($B537="STD. DEVIATION",2,$F$1))))</f>
        <v/>
      </c>
      <c r="AA537" s="1" t="str">
        <f>IF(OR($B537="",AA$7=""),"",IF($B537="MEANS",INDEX('1-DATA'!$1:$1048576,$A536-1,COLUMN('1-DATA'!Z535)),ROUND(INDEX('1-DATA'!$1:$1048576,IF(OR($B537="STD. DEVIATION",$C$1=1),$A537,$A537+1),COLUMN('1-DATA'!Z535)),IF($B537="STD. DEVIATION",2,$F$1))))</f>
        <v/>
      </c>
      <c r="AB537" s="1" t="str">
        <f>IF(OR($B537="",AB$7=""),"",IF($B537="MEANS",INDEX('1-DATA'!$1:$1048576,$A536-1,COLUMN('1-DATA'!AA535)),ROUND(INDEX('1-DATA'!$1:$1048576,IF(OR($B537="STD. DEVIATION",$C$1=1),$A537,$A537+1),COLUMN('1-DATA'!AA535)),IF($B537="STD. DEVIATION",2,$F$1))))</f>
        <v/>
      </c>
      <c r="AC537" s="1" t="str">
        <f>IF(OR($B537="",AC$7=""),"",IF($B537="MEANS",INDEX('1-DATA'!$1:$1048576,$A536-1,COLUMN('1-DATA'!AB535)),ROUND(INDEX('1-DATA'!$1:$1048576,IF(OR($B537="STD. DEVIATION",$C$1=1),$A537,$A537+1),COLUMN('1-DATA'!AB535)),IF($B537="STD. DEVIATION",2,$F$1))))</f>
        <v/>
      </c>
      <c r="AD537" s="1" t="str">
        <f>IF(OR($B537="",AD$7=""),"",IF($B537="MEANS",INDEX('1-DATA'!$1:$1048576,$A536-1,COLUMN('1-DATA'!AC535)),ROUND(INDEX('1-DATA'!$1:$1048576,IF(OR($B537="STD. DEVIATION",$C$1=1),$A537,$A537+1),COLUMN('1-DATA'!AC535)),IF($B537="STD. DEVIATION",2,$F$1))))</f>
        <v/>
      </c>
      <c r="AE537" s="1" t="str">
        <f>IF(OR($B537="",AE$7=""),"",IF($B537="MEANS",INDEX('1-DATA'!$1:$1048576,$A536-1,COLUMN('1-DATA'!AD535)),ROUND(INDEX('1-DATA'!$1:$1048576,IF(OR($B537="STD. DEVIATION",$C$1=1),$A537,$A537+1),COLUMN('1-DATA'!AD535)),IF($B537="STD. DEVIATION",2,$F$1))))</f>
        <v/>
      </c>
      <c r="AF537" s="1" t="str">
        <f>IF(OR($B537="",AF$7=""),"",IF($B537="MEANS",INDEX('1-DATA'!$1:$1048576,$A536-1,COLUMN('1-DATA'!AE535)),ROUND(INDEX('1-DATA'!$1:$1048576,IF(OR($B537="STD. DEVIATION",$C$1=1),$A537,$A537+1),COLUMN('1-DATA'!AE535)),IF($B537="STD. DEVIATION",2,$F$1))))</f>
        <v/>
      </c>
      <c r="AG537" s="1" t="str">
        <f>IF(OR($B537="",AG$7=""),"",IF($B537="MEANS",INDEX('1-DATA'!$1:$1048576,$A536-1,COLUMN('1-DATA'!AF535)),ROUND(INDEX('1-DATA'!$1:$1048576,IF(OR($B537="STD. DEVIATION",$C$1=1),$A537,$A537+1),COLUMN('1-DATA'!AF535)),IF($B537="STD. DEVIATION",2,$F$1))))</f>
        <v/>
      </c>
      <c r="AH537" s="1" t="str">
        <f>IF(OR($B537="",AH$7=""),"",IF($B537="MEANS",INDEX('1-DATA'!$1:$1048576,$A536-1,COLUMN('1-DATA'!AG535)),ROUND(INDEX('1-DATA'!$1:$1048576,IF(OR($B537="STD. DEVIATION",$C$1=1),$A537,$A537+1),COLUMN('1-DATA'!AG535)),IF($B537="STD. DEVIATION",2,$F$1))))</f>
        <v/>
      </c>
      <c r="AI537" s="1" t="str">
        <f>IF(OR($B537="",AI$7=""),"",IF($B537="MEANS",INDEX('1-DATA'!$1:$1048576,$A536-1,COLUMN('1-DATA'!AH535)),ROUND(INDEX('1-DATA'!$1:$1048576,IF(OR($B537="STD. DEVIATION",$C$1=1),$A537,$A537+1),COLUMN('1-DATA'!AH535)),IF($B537="STD. DEVIATION",2,$F$1))))</f>
        <v/>
      </c>
      <c r="AJ537" s="1" t="str">
        <f>IF(OR($B537="",AJ$7=""),"",IF($B537="MEANS",INDEX('1-DATA'!$1:$1048576,$A536-1,COLUMN('1-DATA'!AI535)),ROUND(INDEX('1-DATA'!$1:$1048576,IF(OR($B537="STD. DEVIATION",$C$1=1),$A537,$A537+1),COLUMN('1-DATA'!AI535)),IF($B537="STD. DEVIATION",2,$F$1))))</f>
        <v/>
      </c>
      <c r="AK537" s="1" t="str">
        <f>IF(OR($B537="",AK$7=""),"",IF($B537="MEANS",INDEX('1-DATA'!$1:$1048576,$A536-1,COLUMN('1-DATA'!AJ535)),ROUND(INDEX('1-DATA'!$1:$1048576,IF(OR($B537="STD. DEVIATION",$C$1=1),$A537,$A537+1),COLUMN('1-DATA'!AJ535)),IF($B537="STD. DEVIATION",2,$F$1))))</f>
        <v/>
      </c>
      <c r="AL537" s="1" t="str">
        <f>IF(OR($B537="",AL$7=""),"",IF($B537="MEANS",INDEX('1-DATA'!$1:$1048576,$A536-1,COLUMN('1-DATA'!AK535)),ROUND(INDEX('1-DATA'!$1:$1048576,IF(OR($B537="STD. DEVIATION",$C$1=1),$A537,$A537+1),COLUMN('1-DATA'!AK535)),IF($B537="STD. DEVIATION",2,$F$1))))</f>
        <v/>
      </c>
      <c r="AM537" s="1" t="str">
        <f>IF(OR($B537="",AM$7=""),"",IF($B537="MEANS",INDEX('1-DATA'!$1:$1048576,$A536-1,COLUMN('1-DATA'!AL535)),ROUND(INDEX('1-DATA'!$1:$1048576,IF(OR($B537="STD. DEVIATION",$C$1=1),$A537,$A537+1),COLUMN('1-DATA'!AL535)),IF($B537="STD. DEVIATION",2,$F$1))))</f>
        <v/>
      </c>
      <c r="AN537" s="1" t="str">
        <f>IF(OR($B537="",AN$7=""),"",IF($B537="MEANS",INDEX('1-DATA'!$1:$1048576,$A536-1,COLUMN('1-DATA'!AM535)),ROUND(INDEX('1-DATA'!$1:$1048576,IF(OR($B537="STD. DEVIATION",$C$1=1),$A537,$A537+1),COLUMN('1-DATA'!AM535)),IF($B537="STD. DEVIATION",2,$F$1))))</f>
        <v/>
      </c>
      <c r="AO537" s="1" t="str">
        <f>IF(OR($B537="",AO$7=""),"",IF($B537="MEANS",INDEX('1-DATA'!$1:$1048576,$A536-1,COLUMN('1-DATA'!AN535)),ROUND(INDEX('1-DATA'!$1:$1048576,IF(OR($B537="STD. DEVIATION",$C$1=1),$A537,$A537+1),COLUMN('1-DATA'!AN535)),IF($B537="STD. DEVIATION",2,$F$1))))</f>
        <v/>
      </c>
      <c r="AP537" s="1" t="str">
        <f>IF(OR($B537="",AP$7=""),"",IF($B537="MEANS",INDEX('1-DATA'!$1:$1048576,$A536-1,COLUMN('1-DATA'!AO535)),ROUND(INDEX('1-DATA'!$1:$1048576,IF(OR($B537="STD. DEVIATION",$C$1=1),$A537,$A537+1),COLUMN('1-DATA'!AO535)),IF($B537="STD. DEVIATION",2,$F$1))))</f>
        <v/>
      </c>
      <c r="AQ537" s="1" t="str">
        <f>IF(OR($B537="",AQ$7=""),"",IF($B537="MEANS",INDEX('1-DATA'!$1:$1048576,$A536-1,COLUMN('1-DATA'!AP535)),ROUND(INDEX('1-DATA'!$1:$1048576,IF(OR($B537="STD. DEVIATION",$C$1=1),$A537,$A537+1),COLUMN('1-DATA'!AP535)),IF($B537="STD. DEVIATION",2,$F$1))))</f>
        <v/>
      </c>
      <c r="AR537" s="1" t="str">
        <f>IF(OR($B537="",AR$7=""),"",IF($B537="MEANS",INDEX('1-DATA'!$1:$1048576,$A536-1,COLUMN('1-DATA'!AQ535)),ROUND(INDEX('1-DATA'!$1:$1048576,IF(OR($B537="STD. DEVIATION",$C$1=1),$A537,$A537+1),COLUMN('1-DATA'!AQ535)),IF($B537="STD. DEVIATION",2,$F$1))))</f>
        <v/>
      </c>
      <c r="AS537" s="1" t="str">
        <f>IF(OR($B537="",AS$7=""),"",IF($B537="MEANS",INDEX('1-DATA'!$1:$1048576,$A536-1,COLUMN('1-DATA'!AR535)),ROUND(INDEX('1-DATA'!$1:$1048576,IF(OR($B537="STD. DEVIATION",$C$1=1),$A537,$A537+1),COLUMN('1-DATA'!AR535)),IF($B537="STD. DEVIATION",2,$F$1))))</f>
        <v/>
      </c>
      <c r="AT537" s="1" t="str">
        <f>IF(OR($B537="",AT$7=""),"",IF($B537="MEANS",INDEX('1-DATA'!$1:$1048576,$A536-1,COLUMN('1-DATA'!AS535)),ROUND(INDEX('1-DATA'!$1:$1048576,IF(OR($B537="STD. DEVIATION",$C$1=1),$A537,$A537+1),COLUMN('1-DATA'!AS535)),IF($B537="STD. DEVIATION",2,$F$1))))</f>
        <v/>
      </c>
      <c r="AU537" s="1" t="str">
        <f>IF(OR($B537="",AU$7=""),"",IF($B537="MEANS",INDEX('1-DATA'!$1:$1048576,$A536-1,COLUMN('1-DATA'!AT535)),ROUND(INDEX('1-DATA'!$1:$1048576,IF(OR($B537="STD. DEVIATION",$C$1=1),$A537,$A537+1),COLUMN('1-DATA'!AT535)),IF($B537="STD. DEVIATION",2,$F$1))))</f>
        <v/>
      </c>
      <c r="AV537" s="1" t="str">
        <f>IF(OR($B537="",AV$7=""),"",IF($B537="MEANS",INDEX('1-DATA'!$1:$1048576,$A536-1,COLUMN('1-DATA'!AU535)),ROUND(INDEX('1-DATA'!$1:$1048576,IF(OR($B537="STD. DEVIATION",$C$1=1),$A537,$A537+1),COLUMN('1-DATA'!AU535)),IF($B537="STD. DEVIATION",2,$F$1))))</f>
        <v/>
      </c>
      <c r="AW537" s="1" t="str">
        <f>IF(OR($B537="",AW$7=""),"",IF($B537="MEANS",INDEX('1-DATA'!$1:$1048576,$A536-1,COLUMN('1-DATA'!AV535)),ROUND(INDEX('1-DATA'!$1:$1048576,IF(OR($B537="STD. DEVIATION",$C$1=1),$A537,$A537+1),COLUMN('1-DATA'!AV535)),IF($B537="STD. DEVIATION",2,$F$1))))</f>
        <v/>
      </c>
      <c r="AX537" s="1" t="str">
        <f>IF(OR($B537="",AX$7=""),"",IF($B537="MEANS",INDEX('1-DATA'!$1:$1048576,$A536-1,COLUMN('1-DATA'!AW535)),ROUND(INDEX('1-DATA'!$1:$1048576,IF(OR($B537="STD. DEVIATION",$C$1=1),$A537,$A537+1),COLUMN('1-DATA'!AW535)),IF($B537="STD. DEVIATION",2,$F$1))))</f>
        <v/>
      </c>
      <c r="AY537" s="1" t="str">
        <f>IF(OR($B537="",AY$7=""),"",IF($B537="MEANS",INDEX('1-DATA'!$1:$1048576,$A536-1,COLUMN('1-DATA'!AX535)),ROUND(INDEX('1-DATA'!$1:$1048576,IF(OR($B537="STD. DEVIATION",$C$1=1),$A537,$A537+1),COLUMN('1-DATA'!AX535)),IF($B537="STD. DEVIATION",2,$F$1))))</f>
        <v/>
      </c>
      <c r="AZ537" s="1" t="str">
        <f>IF(OR($B537="",AZ$7=""),"",IF($B537="MEANS",INDEX('1-DATA'!$1:$1048576,$A536-1,COLUMN('1-DATA'!AY535)),ROUND(INDEX('1-DATA'!$1:$1048576,IF(OR($B537="STD. DEVIATION",$C$1=1),$A537,$A537+1),COLUMN('1-DATA'!AY535)),IF($B537="STD. DEVIATION",2,$F$1))))</f>
        <v/>
      </c>
    </row>
    <row r="538" spans="1:52" x14ac:dyDescent="0.25">
      <c r="A538" s="11">
        <f t="shared" si="8"/>
        <v>1600</v>
      </c>
      <c r="B538" s="1" t="str">
        <f>IF(B537="STD. DEVIATION",INDEX('1-DATA'!$1:$1048576,$A537-1,1),IF(INDEX('1-DATA'!$1:$1048576,$A538,1)&lt;&gt;"",INDEX('1-DATA'!$1:$1048576,$A538,1),""))</f>
        <v/>
      </c>
      <c r="C538" s="1" t="str">
        <f>IF(OR($B538="",C$7=""),"",IF($B538="MEANS",INDEX('1-DATA'!$1:$1048576,$A537-1,COLUMN('1-DATA'!B536)),ROUND(INDEX('1-DATA'!$1:$1048576,IF(OR($B538="STD. DEVIATION",$C$1=1),$A538,$A538+1),COLUMN('1-DATA'!B536)),IF($B538="STD. DEVIATION",2,$F$1))))</f>
        <v/>
      </c>
      <c r="D538" s="1" t="str">
        <f>IF(OR($B538="",D$7=""),"",IF($B538="MEANS",INDEX('1-DATA'!$1:$1048576,$A537-1,COLUMN('1-DATA'!C536)),ROUND(INDEX('1-DATA'!$1:$1048576,IF(OR($B538="STD. DEVIATION",$C$1=1),$A538,$A538+1),COLUMN('1-DATA'!C536)),IF($B538="STD. DEVIATION",2,$F$1))))</f>
        <v/>
      </c>
      <c r="E538" s="1" t="str">
        <f>IF(OR($B538="",E$7=""),"",IF($B538="MEANS",INDEX('1-DATA'!$1:$1048576,$A537-1,COLUMN('1-DATA'!D536)),ROUND(INDEX('1-DATA'!$1:$1048576,IF(OR($B538="STD. DEVIATION",$C$1=1),$A538,$A538+1),COLUMN('1-DATA'!D536)),IF($B538="STD. DEVIATION",2,$F$1))))</f>
        <v/>
      </c>
      <c r="F538" s="1" t="str">
        <f>IF(OR($B538="",F$7=""),"",IF($B538="MEANS",INDEX('1-DATA'!$1:$1048576,$A537-1,COLUMN('1-DATA'!E536)),ROUND(INDEX('1-DATA'!$1:$1048576,IF(OR($B538="STD. DEVIATION",$C$1=1),$A538,$A538+1),COLUMN('1-DATA'!E536)),IF($B538="STD. DEVIATION",2,$F$1))))</f>
        <v/>
      </c>
      <c r="G538" s="1" t="str">
        <f>IF(OR($B538="",G$7=""),"",IF($B538="MEANS",INDEX('1-DATA'!$1:$1048576,$A537-1,COLUMN('1-DATA'!F536)),ROUND(INDEX('1-DATA'!$1:$1048576,IF(OR($B538="STD. DEVIATION",$C$1=1),$A538,$A538+1),COLUMN('1-DATA'!F536)),IF($B538="STD. DEVIATION",2,$F$1))))</f>
        <v/>
      </c>
      <c r="H538" s="1" t="str">
        <f>IF(OR($B538="",H$7=""),"",IF($B538="MEANS",INDEX('1-DATA'!$1:$1048576,$A537-1,COLUMN('1-DATA'!G536)),ROUND(INDEX('1-DATA'!$1:$1048576,IF(OR($B538="STD. DEVIATION",$C$1=1),$A538,$A538+1),COLUMN('1-DATA'!G536)),IF($B538="STD. DEVIATION",2,$F$1))))</f>
        <v/>
      </c>
      <c r="I538" s="1" t="str">
        <f>IF(OR($B538="",I$7=""),"",IF($B538="MEANS",INDEX('1-DATA'!$1:$1048576,$A537-1,COLUMN('1-DATA'!H536)),ROUND(INDEX('1-DATA'!$1:$1048576,IF(OR($B538="STD. DEVIATION",$C$1=1),$A538,$A538+1),COLUMN('1-DATA'!H536)),IF($B538="STD. DEVIATION",2,$F$1))))</f>
        <v/>
      </c>
      <c r="J538" s="1" t="str">
        <f>IF(OR($B538="",J$7=""),"",IF($B538="MEANS",INDEX('1-DATA'!$1:$1048576,$A537-1,COLUMN('1-DATA'!I536)),ROUND(INDEX('1-DATA'!$1:$1048576,IF(OR($B538="STD. DEVIATION",$C$1=1),$A538,$A538+1),COLUMN('1-DATA'!I536)),IF($B538="STD. DEVIATION",2,$F$1))))</f>
        <v/>
      </c>
      <c r="K538" s="1" t="str">
        <f>IF(OR($B538="",K$7=""),"",IF($B538="MEANS",INDEX('1-DATA'!$1:$1048576,$A537-1,COLUMN('1-DATA'!J536)),ROUND(INDEX('1-DATA'!$1:$1048576,IF(OR($B538="STD. DEVIATION",$C$1=1),$A538,$A538+1),COLUMN('1-DATA'!J536)),IF($B538="STD. DEVIATION",2,$F$1))))</f>
        <v/>
      </c>
      <c r="L538" s="1" t="str">
        <f>IF(OR($B538="",L$7=""),"",IF($B538="MEANS",INDEX('1-DATA'!$1:$1048576,$A537-1,COLUMN('1-DATA'!K536)),ROUND(INDEX('1-DATA'!$1:$1048576,IF(OR($B538="STD. DEVIATION",$C$1=1),$A538,$A538+1),COLUMN('1-DATA'!K536)),IF($B538="STD. DEVIATION",2,$F$1))))</f>
        <v/>
      </c>
      <c r="M538" s="1" t="str">
        <f>IF(OR($B538="",M$7=""),"",IF($B538="MEANS",INDEX('1-DATA'!$1:$1048576,$A537-1,COLUMN('1-DATA'!L536)),ROUND(INDEX('1-DATA'!$1:$1048576,IF(OR($B538="STD. DEVIATION",$C$1=1),$A538,$A538+1),COLUMN('1-DATA'!L536)),IF($B538="STD. DEVIATION",2,$F$1))))</f>
        <v/>
      </c>
      <c r="N538" s="1" t="str">
        <f>IF(OR($B538="",N$7=""),"",IF($B538="MEANS",INDEX('1-DATA'!$1:$1048576,$A537-1,COLUMN('1-DATA'!M536)),ROUND(INDEX('1-DATA'!$1:$1048576,IF(OR($B538="STD. DEVIATION",$C$1=1),$A538,$A538+1),COLUMN('1-DATA'!M536)),IF($B538="STD. DEVIATION",2,$F$1))))</f>
        <v/>
      </c>
      <c r="O538" s="1" t="str">
        <f>IF(OR($B538="",O$7=""),"",IF($B538="MEANS",INDEX('1-DATA'!$1:$1048576,$A537-1,COLUMN('1-DATA'!N536)),ROUND(INDEX('1-DATA'!$1:$1048576,IF(OR($B538="STD. DEVIATION",$C$1=1),$A538,$A538+1),COLUMN('1-DATA'!N536)),IF($B538="STD. DEVIATION",2,$F$1))))</f>
        <v/>
      </c>
      <c r="P538" s="1" t="str">
        <f>IF(OR($B538="",P$7=""),"",IF($B538="MEANS",INDEX('1-DATA'!$1:$1048576,$A537-1,COLUMN('1-DATA'!O536)),ROUND(INDEX('1-DATA'!$1:$1048576,IF(OR($B538="STD. DEVIATION",$C$1=1),$A538,$A538+1),COLUMN('1-DATA'!O536)),IF($B538="STD. DEVIATION",2,$F$1))))</f>
        <v/>
      </c>
      <c r="Q538" s="1" t="str">
        <f>IF(OR($B538="",Q$7=""),"",IF($B538="MEANS",INDEX('1-DATA'!$1:$1048576,$A537-1,COLUMN('1-DATA'!P536)),ROUND(INDEX('1-DATA'!$1:$1048576,IF(OR($B538="STD. DEVIATION",$C$1=1),$A538,$A538+1),COLUMN('1-DATA'!P536)),IF($B538="STD. DEVIATION",2,$F$1))))</f>
        <v/>
      </c>
      <c r="R538" s="1" t="str">
        <f>IF(OR($B538="",R$7=""),"",IF($B538="MEANS",INDEX('1-DATA'!$1:$1048576,$A537-1,COLUMN('1-DATA'!Q536)),ROUND(INDEX('1-DATA'!$1:$1048576,IF(OR($B538="STD. DEVIATION",$C$1=1),$A538,$A538+1),COLUMN('1-DATA'!Q536)),IF($B538="STD. DEVIATION",2,$F$1))))</f>
        <v/>
      </c>
      <c r="S538" s="1" t="str">
        <f>IF(OR($B538="",S$7=""),"",IF($B538="MEANS",INDEX('1-DATA'!$1:$1048576,$A537-1,COLUMN('1-DATA'!R536)),ROUND(INDEX('1-DATA'!$1:$1048576,IF(OR($B538="STD. DEVIATION",$C$1=1),$A538,$A538+1),COLUMN('1-DATA'!R536)),IF($B538="STD. DEVIATION",2,$F$1))))</f>
        <v/>
      </c>
      <c r="T538" s="1" t="str">
        <f>IF(OR($B538="",T$7=""),"",IF($B538="MEANS",INDEX('1-DATA'!$1:$1048576,$A537-1,COLUMN('1-DATA'!S536)),ROUND(INDEX('1-DATA'!$1:$1048576,IF(OR($B538="STD. DEVIATION",$C$1=1),$A538,$A538+1),COLUMN('1-DATA'!S536)),IF($B538="STD. DEVIATION",2,$F$1))))</f>
        <v/>
      </c>
      <c r="U538" s="1" t="str">
        <f>IF(OR($B538="",U$7=""),"",IF($B538="MEANS",INDEX('1-DATA'!$1:$1048576,$A537-1,COLUMN('1-DATA'!T536)),ROUND(INDEX('1-DATA'!$1:$1048576,IF(OR($B538="STD. DEVIATION",$C$1=1),$A538,$A538+1),COLUMN('1-DATA'!T536)),IF($B538="STD. DEVIATION",2,$F$1))))</f>
        <v/>
      </c>
      <c r="V538" s="1" t="str">
        <f>IF(OR($B538="",V$7=""),"",IF($B538="MEANS",INDEX('1-DATA'!$1:$1048576,$A537-1,COLUMN('1-DATA'!U536)),ROUND(INDEX('1-DATA'!$1:$1048576,IF(OR($B538="STD. DEVIATION",$C$1=1),$A538,$A538+1),COLUMN('1-DATA'!U536)),IF($B538="STD. DEVIATION",2,$F$1))))</f>
        <v/>
      </c>
      <c r="W538" s="1" t="str">
        <f>IF(OR($B538="",W$7=""),"",IF($B538="MEANS",INDEX('1-DATA'!$1:$1048576,$A537-1,COLUMN('1-DATA'!V536)),ROUND(INDEX('1-DATA'!$1:$1048576,IF(OR($B538="STD. DEVIATION",$C$1=1),$A538,$A538+1),COLUMN('1-DATA'!V536)),IF($B538="STD. DEVIATION",2,$F$1))))</f>
        <v/>
      </c>
      <c r="X538" s="1" t="str">
        <f>IF(OR($B538="",X$7=""),"",IF($B538="MEANS",INDEX('1-DATA'!$1:$1048576,$A537-1,COLUMN('1-DATA'!W536)),ROUND(INDEX('1-DATA'!$1:$1048576,IF(OR($B538="STD. DEVIATION",$C$1=1),$A538,$A538+1),COLUMN('1-DATA'!W536)),IF($B538="STD. DEVIATION",2,$F$1))))</f>
        <v/>
      </c>
      <c r="Y538" s="1" t="str">
        <f>IF(OR($B538="",Y$7=""),"",IF($B538="MEANS",INDEX('1-DATA'!$1:$1048576,$A537-1,COLUMN('1-DATA'!X536)),ROUND(INDEX('1-DATA'!$1:$1048576,IF(OR($B538="STD. DEVIATION",$C$1=1),$A538,$A538+1),COLUMN('1-DATA'!X536)),IF($B538="STD. DEVIATION",2,$F$1))))</f>
        <v/>
      </c>
      <c r="Z538" s="1" t="str">
        <f>IF(OR($B538="",Z$7=""),"",IF($B538="MEANS",INDEX('1-DATA'!$1:$1048576,$A537-1,COLUMN('1-DATA'!Y536)),ROUND(INDEX('1-DATA'!$1:$1048576,IF(OR($B538="STD. DEVIATION",$C$1=1),$A538,$A538+1),COLUMN('1-DATA'!Y536)),IF($B538="STD. DEVIATION",2,$F$1))))</f>
        <v/>
      </c>
      <c r="AA538" s="1" t="str">
        <f>IF(OR($B538="",AA$7=""),"",IF($B538="MEANS",INDEX('1-DATA'!$1:$1048576,$A537-1,COLUMN('1-DATA'!Z536)),ROUND(INDEX('1-DATA'!$1:$1048576,IF(OR($B538="STD. DEVIATION",$C$1=1),$A538,$A538+1),COLUMN('1-DATA'!Z536)),IF($B538="STD. DEVIATION",2,$F$1))))</f>
        <v/>
      </c>
      <c r="AB538" s="1" t="str">
        <f>IF(OR($B538="",AB$7=""),"",IF($B538="MEANS",INDEX('1-DATA'!$1:$1048576,$A537-1,COLUMN('1-DATA'!AA536)),ROUND(INDEX('1-DATA'!$1:$1048576,IF(OR($B538="STD. DEVIATION",$C$1=1),$A538,$A538+1),COLUMN('1-DATA'!AA536)),IF($B538="STD. DEVIATION",2,$F$1))))</f>
        <v/>
      </c>
      <c r="AC538" s="1" t="str">
        <f>IF(OR($B538="",AC$7=""),"",IF($B538="MEANS",INDEX('1-DATA'!$1:$1048576,$A537-1,COLUMN('1-DATA'!AB536)),ROUND(INDEX('1-DATA'!$1:$1048576,IF(OR($B538="STD. DEVIATION",$C$1=1),$A538,$A538+1),COLUMN('1-DATA'!AB536)),IF($B538="STD. DEVIATION",2,$F$1))))</f>
        <v/>
      </c>
      <c r="AD538" s="1" t="str">
        <f>IF(OR($B538="",AD$7=""),"",IF($B538="MEANS",INDEX('1-DATA'!$1:$1048576,$A537-1,COLUMN('1-DATA'!AC536)),ROUND(INDEX('1-DATA'!$1:$1048576,IF(OR($B538="STD. DEVIATION",$C$1=1),$A538,$A538+1),COLUMN('1-DATA'!AC536)),IF($B538="STD. DEVIATION",2,$F$1))))</f>
        <v/>
      </c>
      <c r="AE538" s="1" t="str">
        <f>IF(OR($B538="",AE$7=""),"",IF($B538="MEANS",INDEX('1-DATA'!$1:$1048576,$A537-1,COLUMN('1-DATA'!AD536)),ROUND(INDEX('1-DATA'!$1:$1048576,IF(OR($B538="STD. DEVIATION",$C$1=1),$A538,$A538+1),COLUMN('1-DATA'!AD536)),IF($B538="STD. DEVIATION",2,$F$1))))</f>
        <v/>
      </c>
      <c r="AF538" s="1" t="str">
        <f>IF(OR($B538="",AF$7=""),"",IF($B538="MEANS",INDEX('1-DATA'!$1:$1048576,$A537-1,COLUMN('1-DATA'!AE536)),ROUND(INDEX('1-DATA'!$1:$1048576,IF(OR($B538="STD. DEVIATION",$C$1=1),$A538,$A538+1),COLUMN('1-DATA'!AE536)),IF($B538="STD. DEVIATION",2,$F$1))))</f>
        <v/>
      </c>
      <c r="AG538" s="1" t="str">
        <f>IF(OR($B538="",AG$7=""),"",IF($B538="MEANS",INDEX('1-DATA'!$1:$1048576,$A537-1,COLUMN('1-DATA'!AF536)),ROUND(INDEX('1-DATA'!$1:$1048576,IF(OR($B538="STD. DEVIATION",$C$1=1),$A538,$A538+1),COLUMN('1-DATA'!AF536)),IF($B538="STD. DEVIATION",2,$F$1))))</f>
        <v/>
      </c>
      <c r="AH538" s="1" t="str">
        <f>IF(OR($B538="",AH$7=""),"",IF($B538="MEANS",INDEX('1-DATA'!$1:$1048576,$A537-1,COLUMN('1-DATA'!AG536)),ROUND(INDEX('1-DATA'!$1:$1048576,IF(OR($B538="STD. DEVIATION",$C$1=1),$A538,$A538+1),COLUMN('1-DATA'!AG536)),IF($B538="STD. DEVIATION",2,$F$1))))</f>
        <v/>
      </c>
      <c r="AI538" s="1" t="str">
        <f>IF(OR($B538="",AI$7=""),"",IF($B538="MEANS",INDEX('1-DATA'!$1:$1048576,$A537-1,COLUMN('1-DATA'!AH536)),ROUND(INDEX('1-DATA'!$1:$1048576,IF(OR($B538="STD. DEVIATION",$C$1=1),$A538,$A538+1),COLUMN('1-DATA'!AH536)),IF($B538="STD. DEVIATION",2,$F$1))))</f>
        <v/>
      </c>
      <c r="AJ538" s="1" t="str">
        <f>IF(OR($B538="",AJ$7=""),"",IF($B538="MEANS",INDEX('1-DATA'!$1:$1048576,$A537-1,COLUMN('1-DATA'!AI536)),ROUND(INDEX('1-DATA'!$1:$1048576,IF(OR($B538="STD. DEVIATION",$C$1=1),$A538,$A538+1),COLUMN('1-DATA'!AI536)),IF($B538="STD. DEVIATION",2,$F$1))))</f>
        <v/>
      </c>
      <c r="AK538" s="1" t="str">
        <f>IF(OR($B538="",AK$7=""),"",IF($B538="MEANS",INDEX('1-DATA'!$1:$1048576,$A537-1,COLUMN('1-DATA'!AJ536)),ROUND(INDEX('1-DATA'!$1:$1048576,IF(OR($B538="STD. DEVIATION",$C$1=1),$A538,$A538+1),COLUMN('1-DATA'!AJ536)),IF($B538="STD. DEVIATION",2,$F$1))))</f>
        <v/>
      </c>
      <c r="AL538" s="1" t="str">
        <f>IF(OR($B538="",AL$7=""),"",IF($B538="MEANS",INDEX('1-DATA'!$1:$1048576,$A537-1,COLUMN('1-DATA'!AK536)),ROUND(INDEX('1-DATA'!$1:$1048576,IF(OR($B538="STD. DEVIATION",$C$1=1),$A538,$A538+1),COLUMN('1-DATA'!AK536)),IF($B538="STD. DEVIATION",2,$F$1))))</f>
        <v/>
      </c>
      <c r="AM538" s="1" t="str">
        <f>IF(OR($B538="",AM$7=""),"",IF($B538="MEANS",INDEX('1-DATA'!$1:$1048576,$A537-1,COLUMN('1-DATA'!AL536)),ROUND(INDEX('1-DATA'!$1:$1048576,IF(OR($B538="STD. DEVIATION",$C$1=1),$A538,$A538+1),COLUMN('1-DATA'!AL536)),IF($B538="STD. DEVIATION",2,$F$1))))</f>
        <v/>
      </c>
      <c r="AN538" s="1" t="str">
        <f>IF(OR($B538="",AN$7=""),"",IF($B538="MEANS",INDEX('1-DATA'!$1:$1048576,$A537-1,COLUMN('1-DATA'!AM536)),ROUND(INDEX('1-DATA'!$1:$1048576,IF(OR($B538="STD. DEVIATION",$C$1=1),$A538,$A538+1),COLUMN('1-DATA'!AM536)),IF($B538="STD. DEVIATION",2,$F$1))))</f>
        <v/>
      </c>
      <c r="AO538" s="1" t="str">
        <f>IF(OR($B538="",AO$7=""),"",IF($B538="MEANS",INDEX('1-DATA'!$1:$1048576,$A537-1,COLUMN('1-DATA'!AN536)),ROUND(INDEX('1-DATA'!$1:$1048576,IF(OR($B538="STD. DEVIATION",$C$1=1),$A538,$A538+1),COLUMN('1-DATA'!AN536)),IF($B538="STD. DEVIATION",2,$F$1))))</f>
        <v/>
      </c>
      <c r="AP538" s="1" t="str">
        <f>IF(OR($B538="",AP$7=""),"",IF($B538="MEANS",INDEX('1-DATA'!$1:$1048576,$A537-1,COLUMN('1-DATA'!AO536)),ROUND(INDEX('1-DATA'!$1:$1048576,IF(OR($B538="STD. DEVIATION",$C$1=1),$A538,$A538+1),COLUMN('1-DATA'!AO536)),IF($B538="STD. DEVIATION",2,$F$1))))</f>
        <v/>
      </c>
      <c r="AQ538" s="1" t="str">
        <f>IF(OR($B538="",AQ$7=""),"",IF($B538="MEANS",INDEX('1-DATA'!$1:$1048576,$A537-1,COLUMN('1-DATA'!AP536)),ROUND(INDEX('1-DATA'!$1:$1048576,IF(OR($B538="STD. DEVIATION",$C$1=1),$A538,$A538+1),COLUMN('1-DATA'!AP536)),IF($B538="STD. DEVIATION",2,$F$1))))</f>
        <v/>
      </c>
      <c r="AR538" s="1" t="str">
        <f>IF(OR($B538="",AR$7=""),"",IF($B538="MEANS",INDEX('1-DATA'!$1:$1048576,$A537-1,COLUMN('1-DATA'!AQ536)),ROUND(INDEX('1-DATA'!$1:$1048576,IF(OR($B538="STD. DEVIATION",$C$1=1),$A538,$A538+1),COLUMN('1-DATA'!AQ536)),IF($B538="STD. DEVIATION",2,$F$1))))</f>
        <v/>
      </c>
      <c r="AS538" s="1" t="str">
        <f>IF(OR($B538="",AS$7=""),"",IF($B538="MEANS",INDEX('1-DATA'!$1:$1048576,$A537-1,COLUMN('1-DATA'!AR536)),ROUND(INDEX('1-DATA'!$1:$1048576,IF(OR($B538="STD. DEVIATION",$C$1=1),$A538,$A538+1),COLUMN('1-DATA'!AR536)),IF($B538="STD. DEVIATION",2,$F$1))))</f>
        <v/>
      </c>
      <c r="AT538" s="1" t="str">
        <f>IF(OR($B538="",AT$7=""),"",IF($B538="MEANS",INDEX('1-DATA'!$1:$1048576,$A537-1,COLUMN('1-DATA'!AS536)),ROUND(INDEX('1-DATA'!$1:$1048576,IF(OR($B538="STD. DEVIATION",$C$1=1),$A538,$A538+1),COLUMN('1-DATA'!AS536)),IF($B538="STD. DEVIATION",2,$F$1))))</f>
        <v/>
      </c>
      <c r="AU538" s="1" t="str">
        <f>IF(OR($B538="",AU$7=""),"",IF($B538="MEANS",INDEX('1-DATA'!$1:$1048576,$A537-1,COLUMN('1-DATA'!AT536)),ROUND(INDEX('1-DATA'!$1:$1048576,IF(OR($B538="STD. DEVIATION",$C$1=1),$A538,$A538+1),COLUMN('1-DATA'!AT536)),IF($B538="STD. DEVIATION",2,$F$1))))</f>
        <v/>
      </c>
      <c r="AV538" s="1" t="str">
        <f>IF(OR($B538="",AV$7=""),"",IF($B538="MEANS",INDEX('1-DATA'!$1:$1048576,$A537-1,COLUMN('1-DATA'!AU536)),ROUND(INDEX('1-DATA'!$1:$1048576,IF(OR($B538="STD. DEVIATION",$C$1=1),$A538,$A538+1),COLUMN('1-DATA'!AU536)),IF($B538="STD. DEVIATION",2,$F$1))))</f>
        <v/>
      </c>
      <c r="AW538" s="1" t="str">
        <f>IF(OR($B538="",AW$7=""),"",IF($B538="MEANS",INDEX('1-DATA'!$1:$1048576,$A537-1,COLUMN('1-DATA'!AV536)),ROUND(INDEX('1-DATA'!$1:$1048576,IF(OR($B538="STD. DEVIATION",$C$1=1),$A538,$A538+1),COLUMN('1-DATA'!AV536)),IF($B538="STD. DEVIATION",2,$F$1))))</f>
        <v/>
      </c>
      <c r="AX538" s="1" t="str">
        <f>IF(OR($B538="",AX$7=""),"",IF($B538="MEANS",INDEX('1-DATA'!$1:$1048576,$A537-1,COLUMN('1-DATA'!AW536)),ROUND(INDEX('1-DATA'!$1:$1048576,IF(OR($B538="STD. DEVIATION",$C$1=1),$A538,$A538+1),COLUMN('1-DATA'!AW536)),IF($B538="STD. DEVIATION",2,$F$1))))</f>
        <v/>
      </c>
      <c r="AY538" s="1" t="str">
        <f>IF(OR($B538="",AY$7=""),"",IF($B538="MEANS",INDEX('1-DATA'!$1:$1048576,$A537-1,COLUMN('1-DATA'!AX536)),ROUND(INDEX('1-DATA'!$1:$1048576,IF(OR($B538="STD. DEVIATION",$C$1=1),$A538,$A538+1),COLUMN('1-DATA'!AX536)),IF($B538="STD. DEVIATION",2,$F$1))))</f>
        <v/>
      </c>
      <c r="AZ538" s="1" t="str">
        <f>IF(OR($B538="",AZ$7=""),"",IF($B538="MEANS",INDEX('1-DATA'!$1:$1048576,$A537-1,COLUMN('1-DATA'!AY536)),ROUND(INDEX('1-DATA'!$1:$1048576,IF(OR($B538="STD. DEVIATION",$C$1=1),$A538,$A538+1),COLUMN('1-DATA'!AY536)),IF($B538="STD. DEVIATION",2,$F$1))))</f>
        <v/>
      </c>
    </row>
    <row r="539" spans="1:52" x14ac:dyDescent="0.25">
      <c r="A539" s="11">
        <f t="shared" si="8"/>
        <v>1603</v>
      </c>
      <c r="B539" s="1" t="str">
        <f>IF(B538="STD. DEVIATION",INDEX('1-DATA'!$1:$1048576,$A538-1,1),IF(INDEX('1-DATA'!$1:$1048576,$A539,1)&lt;&gt;"",INDEX('1-DATA'!$1:$1048576,$A539,1),""))</f>
        <v/>
      </c>
      <c r="C539" s="1" t="str">
        <f>IF(OR($B539="",C$7=""),"",IF($B539="MEANS",INDEX('1-DATA'!$1:$1048576,$A538-1,COLUMN('1-DATA'!B537)),ROUND(INDEX('1-DATA'!$1:$1048576,IF(OR($B539="STD. DEVIATION",$C$1=1),$A539,$A539+1),COLUMN('1-DATA'!B537)),IF($B539="STD. DEVIATION",2,$F$1))))</f>
        <v/>
      </c>
      <c r="D539" s="1" t="str">
        <f>IF(OR($B539="",D$7=""),"",IF($B539="MEANS",INDEX('1-DATA'!$1:$1048576,$A538-1,COLUMN('1-DATA'!C537)),ROUND(INDEX('1-DATA'!$1:$1048576,IF(OR($B539="STD. DEVIATION",$C$1=1),$A539,$A539+1),COLUMN('1-DATA'!C537)),IF($B539="STD. DEVIATION",2,$F$1))))</f>
        <v/>
      </c>
      <c r="E539" s="1" t="str">
        <f>IF(OR($B539="",E$7=""),"",IF($B539="MEANS",INDEX('1-DATA'!$1:$1048576,$A538-1,COLUMN('1-DATA'!D537)),ROUND(INDEX('1-DATA'!$1:$1048576,IF(OR($B539="STD. DEVIATION",$C$1=1),$A539,$A539+1),COLUMN('1-DATA'!D537)),IF($B539="STD. DEVIATION",2,$F$1))))</f>
        <v/>
      </c>
      <c r="F539" s="1" t="str">
        <f>IF(OR($B539="",F$7=""),"",IF($B539="MEANS",INDEX('1-DATA'!$1:$1048576,$A538-1,COLUMN('1-DATA'!E537)),ROUND(INDEX('1-DATA'!$1:$1048576,IF(OR($B539="STD. DEVIATION",$C$1=1),$A539,$A539+1),COLUMN('1-DATA'!E537)),IF($B539="STD. DEVIATION",2,$F$1))))</f>
        <v/>
      </c>
      <c r="G539" s="1" t="str">
        <f>IF(OR($B539="",G$7=""),"",IF($B539="MEANS",INDEX('1-DATA'!$1:$1048576,$A538-1,COLUMN('1-DATA'!F537)),ROUND(INDEX('1-DATA'!$1:$1048576,IF(OR($B539="STD. DEVIATION",$C$1=1),$A539,$A539+1),COLUMN('1-DATA'!F537)),IF($B539="STD. DEVIATION",2,$F$1))))</f>
        <v/>
      </c>
      <c r="H539" s="1" t="str">
        <f>IF(OR($B539="",H$7=""),"",IF($B539="MEANS",INDEX('1-DATA'!$1:$1048576,$A538-1,COLUMN('1-DATA'!G537)),ROUND(INDEX('1-DATA'!$1:$1048576,IF(OR($B539="STD. DEVIATION",$C$1=1),$A539,$A539+1),COLUMN('1-DATA'!G537)),IF($B539="STD. DEVIATION",2,$F$1))))</f>
        <v/>
      </c>
      <c r="I539" s="1" t="str">
        <f>IF(OR($B539="",I$7=""),"",IF($B539="MEANS",INDEX('1-DATA'!$1:$1048576,$A538-1,COLUMN('1-DATA'!H537)),ROUND(INDEX('1-DATA'!$1:$1048576,IF(OR($B539="STD. DEVIATION",$C$1=1),$A539,$A539+1),COLUMN('1-DATA'!H537)),IF($B539="STD. DEVIATION",2,$F$1))))</f>
        <v/>
      </c>
      <c r="J539" s="1" t="str">
        <f>IF(OR($B539="",J$7=""),"",IF($B539="MEANS",INDEX('1-DATA'!$1:$1048576,$A538-1,COLUMN('1-DATA'!I537)),ROUND(INDEX('1-DATA'!$1:$1048576,IF(OR($B539="STD. DEVIATION",$C$1=1),$A539,$A539+1),COLUMN('1-DATA'!I537)),IF($B539="STD. DEVIATION",2,$F$1))))</f>
        <v/>
      </c>
      <c r="K539" s="1" t="str">
        <f>IF(OR($B539="",K$7=""),"",IF($B539="MEANS",INDEX('1-DATA'!$1:$1048576,$A538-1,COLUMN('1-DATA'!J537)),ROUND(INDEX('1-DATA'!$1:$1048576,IF(OR($B539="STD. DEVIATION",$C$1=1),$A539,$A539+1),COLUMN('1-DATA'!J537)),IF($B539="STD. DEVIATION",2,$F$1))))</f>
        <v/>
      </c>
      <c r="L539" s="1" t="str">
        <f>IF(OR($B539="",L$7=""),"",IF($B539="MEANS",INDEX('1-DATA'!$1:$1048576,$A538-1,COLUMN('1-DATA'!K537)),ROUND(INDEX('1-DATA'!$1:$1048576,IF(OR($B539="STD. DEVIATION",$C$1=1),$A539,$A539+1),COLUMN('1-DATA'!K537)),IF($B539="STD. DEVIATION",2,$F$1))))</f>
        <v/>
      </c>
      <c r="M539" s="1" t="str">
        <f>IF(OR($B539="",M$7=""),"",IF($B539="MEANS",INDEX('1-DATA'!$1:$1048576,$A538-1,COLUMN('1-DATA'!L537)),ROUND(INDEX('1-DATA'!$1:$1048576,IF(OR($B539="STD. DEVIATION",$C$1=1),$A539,$A539+1),COLUMN('1-DATA'!L537)),IF($B539="STD. DEVIATION",2,$F$1))))</f>
        <v/>
      </c>
      <c r="N539" s="1" t="str">
        <f>IF(OR($B539="",N$7=""),"",IF($B539="MEANS",INDEX('1-DATA'!$1:$1048576,$A538-1,COLUMN('1-DATA'!M537)),ROUND(INDEX('1-DATA'!$1:$1048576,IF(OR($B539="STD. DEVIATION",$C$1=1),$A539,$A539+1),COLUMN('1-DATA'!M537)),IF($B539="STD. DEVIATION",2,$F$1))))</f>
        <v/>
      </c>
      <c r="O539" s="1" t="str">
        <f>IF(OR($B539="",O$7=""),"",IF($B539="MEANS",INDEX('1-DATA'!$1:$1048576,$A538-1,COLUMN('1-DATA'!N537)),ROUND(INDEX('1-DATA'!$1:$1048576,IF(OR($B539="STD. DEVIATION",$C$1=1),$A539,$A539+1),COLUMN('1-DATA'!N537)),IF($B539="STD. DEVIATION",2,$F$1))))</f>
        <v/>
      </c>
      <c r="P539" s="1" t="str">
        <f>IF(OR($B539="",P$7=""),"",IF($B539="MEANS",INDEX('1-DATA'!$1:$1048576,$A538-1,COLUMN('1-DATA'!O537)),ROUND(INDEX('1-DATA'!$1:$1048576,IF(OR($B539="STD. DEVIATION",$C$1=1),$A539,$A539+1),COLUMN('1-DATA'!O537)),IF($B539="STD. DEVIATION",2,$F$1))))</f>
        <v/>
      </c>
      <c r="Q539" s="1" t="str">
        <f>IF(OR($B539="",Q$7=""),"",IF($B539="MEANS",INDEX('1-DATA'!$1:$1048576,$A538-1,COLUMN('1-DATA'!P537)),ROUND(INDEX('1-DATA'!$1:$1048576,IF(OR($B539="STD. DEVIATION",$C$1=1),$A539,$A539+1),COLUMN('1-DATA'!P537)),IF($B539="STD. DEVIATION",2,$F$1))))</f>
        <v/>
      </c>
      <c r="R539" s="1" t="str">
        <f>IF(OR($B539="",R$7=""),"",IF($B539="MEANS",INDEX('1-DATA'!$1:$1048576,$A538-1,COLUMN('1-DATA'!Q537)),ROUND(INDEX('1-DATA'!$1:$1048576,IF(OR($B539="STD. DEVIATION",$C$1=1),$A539,$A539+1),COLUMN('1-DATA'!Q537)),IF($B539="STD. DEVIATION",2,$F$1))))</f>
        <v/>
      </c>
      <c r="S539" s="1" t="str">
        <f>IF(OR($B539="",S$7=""),"",IF($B539="MEANS",INDEX('1-DATA'!$1:$1048576,$A538-1,COLUMN('1-DATA'!R537)),ROUND(INDEX('1-DATA'!$1:$1048576,IF(OR($B539="STD. DEVIATION",$C$1=1),$A539,$A539+1),COLUMN('1-DATA'!R537)),IF($B539="STD. DEVIATION",2,$F$1))))</f>
        <v/>
      </c>
      <c r="T539" s="1" t="str">
        <f>IF(OR($B539="",T$7=""),"",IF($B539="MEANS",INDEX('1-DATA'!$1:$1048576,$A538-1,COLUMN('1-DATA'!S537)),ROUND(INDEX('1-DATA'!$1:$1048576,IF(OR($B539="STD. DEVIATION",$C$1=1),$A539,$A539+1),COLUMN('1-DATA'!S537)),IF($B539="STD. DEVIATION",2,$F$1))))</f>
        <v/>
      </c>
      <c r="U539" s="1" t="str">
        <f>IF(OR($B539="",U$7=""),"",IF($B539="MEANS",INDEX('1-DATA'!$1:$1048576,$A538-1,COLUMN('1-DATA'!T537)),ROUND(INDEX('1-DATA'!$1:$1048576,IF(OR($B539="STD. DEVIATION",$C$1=1),$A539,$A539+1),COLUMN('1-DATA'!T537)),IF($B539="STD. DEVIATION",2,$F$1))))</f>
        <v/>
      </c>
      <c r="V539" s="1" t="str">
        <f>IF(OR($B539="",V$7=""),"",IF($B539="MEANS",INDEX('1-DATA'!$1:$1048576,$A538-1,COLUMN('1-DATA'!U537)),ROUND(INDEX('1-DATA'!$1:$1048576,IF(OR($B539="STD. DEVIATION",$C$1=1),$A539,$A539+1),COLUMN('1-DATA'!U537)),IF($B539="STD. DEVIATION",2,$F$1))))</f>
        <v/>
      </c>
      <c r="W539" s="1" t="str">
        <f>IF(OR($B539="",W$7=""),"",IF($B539="MEANS",INDEX('1-DATA'!$1:$1048576,$A538-1,COLUMN('1-DATA'!V537)),ROUND(INDEX('1-DATA'!$1:$1048576,IF(OR($B539="STD. DEVIATION",$C$1=1),$A539,$A539+1),COLUMN('1-DATA'!V537)),IF($B539="STD. DEVIATION",2,$F$1))))</f>
        <v/>
      </c>
      <c r="X539" s="1" t="str">
        <f>IF(OR($B539="",X$7=""),"",IF($B539="MEANS",INDEX('1-DATA'!$1:$1048576,$A538-1,COLUMN('1-DATA'!W537)),ROUND(INDEX('1-DATA'!$1:$1048576,IF(OR($B539="STD. DEVIATION",$C$1=1),$A539,$A539+1),COLUMN('1-DATA'!W537)),IF($B539="STD. DEVIATION",2,$F$1))))</f>
        <v/>
      </c>
      <c r="Y539" s="1" t="str">
        <f>IF(OR($B539="",Y$7=""),"",IF($B539="MEANS",INDEX('1-DATA'!$1:$1048576,$A538-1,COLUMN('1-DATA'!X537)),ROUND(INDEX('1-DATA'!$1:$1048576,IF(OR($B539="STD. DEVIATION",$C$1=1),$A539,$A539+1),COLUMN('1-DATA'!X537)),IF($B539="STD. DEVIATION",2,$F$1))))</f>
        <v/>
      </c>
      <c r="Z539" s="1" t="str">
        <f>IF(OR($B539="",Z$7=""),"",IF($B539="MEANS",INDEX('1-DATA'!$1:$1048576,$A538-1,COLUMN('1-DATA'!Y537)),ROUND(INDEX('1-DATA'!$1:$1048576,IF(OR($B539="STD. DEVIATION",$C$1=1),$A539,$A539+1),COLUMN('1-DATA'!Y537)),IF($B539="STD. DEVIATION",2,$F$1))))</f>
        <v/>
      </c>
      <c r="AA539" s="1" t="str">
        <f>IF(OR($B539="",AA$7=""),"",IF($B539="MEANS",INDEX('1-DATA'!$1:$1048576,$A538-1,COLUMN('1-DATA'!Z537)),ROUND(INDEX('1-DATA'!$1:$1048576,IF(OR($B539="STD. DEVIATION",$C$1=1),$A539,$A539+1),COLUMN('1-DATA'!Z537)),IF($B539="STD. DEVIATION",2,$F$1))))</f>
        <v/>
      </c>
      <c r="AB539" s="1" t="str">
        <f>IF(OR($B539="",AB$7=""),"",IF($B539="MEANS",INDEX('1-DATA'!$1:$1048576,$A538-1,COLUMN('1-DATA'!AA537)),ROUND(INDEX('1-DATA'!$1:$1048576,IF(OR($B539="STD. DEVIATION",$C$1=1),$A539,$A539+1),COLUMN('1-DATA'!AA537)),IF($B539="STD. DEVIATION",2,$F$1))))</f>
        <v/>
      </c>
      <c r="AC539" s="1" t="str">
        <f>IF(OR($B539="",AC$7=""),"",IF($B539="MEANS",INDEX('1-DATA'!$1:$1048576,$A538-1,COLUMN('1-DATA'!AB537)),ROUND(INDEX('1-DATA'!$1:$1048576,IF(OR($B539="STD. DEVIATION",$C$1=1),$A539,$A539+1),COLUMN('1-DATA'!AB537)),IF($B539="STD. DEVIATION",2,$F$1))))</f>
        <v/>
      </c>
      <c r="AD539" s="1" t="str">
        <f>IF(OR($B539="",AD$7=""),"",IF($B539="MEANS",INDEX('1-DATA'!$1:$1048576,$A538-1,COLUMN('1-DATA'!AC537)),ROUND(INDEX('1-DATA'!$1:$1048576,IF(OR($B539="STD. DEVIATION",$C$1=1),$A539,$A539+1),COLUMN('1-DATA'!AC537)),IF($B539="STD. DEVIATION",2,$F$1))))</f>
        <v/>
      </c>
      <c r="AE539" s="1" t="str">
        <f>IF(OR($B539="",AE$7=""),"",IF($B539="MEANS",INDEX('1-DATA'!$1:$1048576,$A538-1,COLUMN('1-DATA'!AD537)),ROUND(INDEX('1-DATA'!$1:$1048576,IF(OR($B539="STD. DEVIATION",$C$1=1),$A539,$A539+1),COLUMN('1-DATA'!AD537)),IF($B539="STD. DEVIATION",2,$F$1))))</f>
        <v/>
      </c>
      <c r="AF539" s="1" t="str">
        <f>IF(OR($B539="",AF$7=""),"",IF($B539="MEANS",INDEX('1-DATA'!$1:$1048576,$A538-1,COLUMN('1-DATA'!AE537)),ROUND(INDEX('1-DATA'!$1:$1048576,IF(OR($B539="STD. DEVIATION",$C$1=1),$A539,$A539+1),COLUMN('1-DATA'!AE537)),IF($B539="STD. DEVIATION",2,$F$1))))</f>
        <v/>
      </c>
      <c r="AG539" s="1" t="str">
        <f>IF(OR($B539="",AG$7=""),"",IF($B539="MEANS",INDEX('1-DATA'!$1:$1048576,$A538-1,COLUMN('1-DATA'!AF537)),ROUND(INDEX('1-DATA'!$1:$1048576,IF(OR($B539="STD. DEVIATION",$C$1=1),$A539,$A539+1),COLUMN('1-DATA'!AF537)),IF($B539="STD. DEVIATION",2,$F$1))))</f>
        <v/>
      </c>
      <c r="AH539" s="1" t="str">
        <f>IF(OR($B539="",AH$7=""),"",IF($B539="MEANS",INDEX('1-DATA'!$1:$1048576,$A538-1,COLUMN('1-DATA'!AG537)),ROUND(INDEX('1-DATA'!$1:$1048576,IF(OR($B539="STD. DEVIATION",$C$1=1),$A539,$A539+1),COLUMN('1-DATA'!AG537)),IF($B539="STD. DEVIATION",2,$F$1))))</f>
        <v/>
      </c>
      <c r="AI539" s="1" t="str">
        <f>IF(OR($B539="",AI$7=""),"",IF($B539="MEANS",INDEX('1-DATA'!$1:$1048576,$A538-1,COLUMN('1-DATA'!AH537)),ROUND(INDEX('1-DATA'!$1:$1048576,IF(OR($B539="STD. DEVIATION",$C$1=1),$A539,$A539+1),COLUMN('1-DATA'!AH537)),IF($B539="STD. DEVIATION",2,$F$1))))</f>
        <v/>
      </c>
      <c r="AJ539" s="1" t="str">
        <f>IF(OR($B539="",AJ$7=""),"",IF($B539="MEANS",INDEX('1-DATA'!$1:$1048576,$A538-1,COLUMN('1-DATA'!AI537)),ROUND(INDEX('1-DATA'!$1:$1048576,IF(OR($B539="STD. DEVIATION",$C$1=1),$A539,$A539+1),COLUMN('1-DATA'!AI537)),IF($B539="STD. DEVIATION",2,$F$1))))</f>
        <v/>
      </c>
      <c r="AK539" s="1" t="str">
        <f>IF(OR($B539="",AK$7=""),"",IF($B539="MEANS",INDEX('1-DATA'!$1:$1048576,$A538-1,COLUMN('1-DATA'!AJ537)),ROUND(INDEX('1-DATA'!$1:$1048576,IF(OR($B539="STD. DEVIATION",$C$1=1),$A539,$A539+1),COLUMN('1-DATA'!AJ537)),IF($B539="STD. DEVIATION",2,$F$1))))</f>
        <v/>
      </c>
      <c r="AL539" s="1" t="str">
        <f>IF(OR($B539="",AL$7=""),"",IF($B539="MEANS",INDEX('1-DATA'!$1:$1048576,$A538-1,COLUMN('1-DATA'!AK537)),ROUND(INDEX('1-DATA'!$1:$1048576,IF(OR($B539="STD. DEVIATION",$C$1=1),$A539,$A539+1),COLUMN('1-DATA'!AK537)),IF($B539="STD. DEVIATION",2,$F$1))))</f>
        <v/>
      </c>
      <c r="AM539" s="1" t="str">
        <f>IF(OR($B539="",AM$7=""),"",IF($B539="MEANS",INDEX('1-DATA'!$1:$1048576,$A538-1,COLUMN('1-DATA'!AL537)),ROUND(INDEX('1-DATA'!$1:$1048576,IF(OR($B539="STD. DEVIATION",$C$1=1),$A539,$A539+1),COLUMN('1-DATA'!AL537)),IF($B539="STD. DEVIATION",2,$F$1))))</f>
        <v/>
      </c>
      <c r="AN539" s="1" t="str">
        <f>IF(OR($B539="",AN$7=""),"",IF($B539="MEANS",INDEX('1-DATA'!$1:$1048576,$A538-1,COLUMN('1-DATA'!AM537)),ROUND(INDEX('1-DATA'!$1:$1048576,IF(OR($B539="STD. DEVIATION",$C$1=1),$A539,$A539+1),COLUMN('1-DATA'!AM537)),IF($B539="STD. DEVIATION",2,$F$1))))</f>
        <v/>
      </c>
      <c r="AO539" s="1" t="str">
        <f>IF(OR($B539="",AO$7=""),"",IF($B539="MEANS",INDEX('1-DATA'!$1:$1048576,$A538-1,COLUMN('1-DATA'!AN537)),ROUND(INDEX('1-DATA'!$1:$1048576,IF(OR($B539="STD. DEVIATION",$C$1=1),$A539,$A539+1),COLUMN('1-DATA'!AN537)),IF($B539="STD. DEVIATION",2,$F$1))))</f>
        <v/>
      </c>
      <c r="AP539" s="1" t="str">
        <f>IF(OR($B539="",AP$7=""),"",IF($B539="MEANS",INDEX('1-DATA'!$1:$1048576,$A538-1,COLUMN('1-DATA'!AO537)),ROUND(INDEX('1-DATA'!$1:$1048576,IF(OR($B539="STD. DEVIATION",$C$1=1),$A539,$A539+1),COLUMN('1-DATA'!AO537)),IF($B539="STD. DEVIATION",2,$F$1))))</f>
        <v/>
      </c>
      <c r="AQ539" s="1" t="str">
        <f>IF(OR($B539="",AQ$7=""),"",IF($B539="MEANS",INDEX('1-DATA'!$1:$1048576,$A538-1,COLUMN('1-DATA'!AP537)),ROUND(INDEX('1-DATA'!$1:$1048576,IF(OR($B539="STD. DEVIATION",$C$1=1),$A539,$A539+1),COLUMN('1-DATA'!AP537)),IF($B539="STD. DEVIATION",2,$F$1))))</f>
        <v/>
      </c>
      <c r="AR539" s="1" t="str">
        <f>IF(OR($B539="",AR$7=""),"",IF($B539="MEANS",INDEX('1-DATA'!$1:$1048576,$A538-1,COLUMN('1-DATA'!AQ537)),ROUND(INDEX('1-DATA'!$1:$1048576,IF(OR($B539="STD. DEVIATION",$C$1=1),$A539,$A539+1),COLUMN('1-DATA'!AQ537)),IF($B539="STD. DEVIATION",2,$F$1))))</f>
        <v/>
      </c>
      <c r="AS539" s="1" t="str">
        <f>IF(OR($B539="",AS$7=""),"",IF($B539="MEANS",INDEX('1-DATA'!$1:$1048576,$A538-1,COLUMN('1-DATA'!AR537)),ROUND(INDEX('1-DATA'!$1:$1048576,IF(OR($B539="STD. DEVIATION",$C$1=1),$A539,$A539+1),COLUMN('1-DATA'!AR537)),IF($B539="STD. DEVIATION",2,$F$1))))</f>
        <v/>
      </c>
      <c r="AT539" s="1" t="str">
        <f>IF(OR($B539="",AT$7=""),"",IF($B539="MEANS",INDEX('1-DATA'!$1:$1048576,$A538-1,COLUMN('1-DATA'!AS537)),ROUND(INDEX('1-DATA'!$1:$1048576,IF(OR($B539="STD. DEVIATION",$C$1=1),$A539,$A539+1),COLUMN('1-DATA'!AS537)),IF($B539="STD. DEVIATION",2,$F$1))))</f>
        <v/>
      </c>
      <c r="AU539" s="1" t="str">
        <f>IF(OR($B539="",AU$7=""),"",IF($B539="MEANS",INDEX('1-DATA'!$1:$1048576,$A538-1,COLUMN('1-DATA'!AT537)),ROUND(INDEX('1-DATA'!$1:$1048576,IF(OR($B539="STD. DEVIATION",$C$1=1),$A539,$A539+1),COLUMN('1-DATA'!AT537)),IF($B539="STD. DEVIATION",2,$F$1))))</f>
        <v/>
      </c>
      <c r="AV539" s="1" t="str">
        <f>IF(OR($B539="",AV$7=""),"",IF($B539="MEANS",INDEX('1-DATA'!$1:$1048576,$A538-1,COLUMN('1-DATA'!AU537)),ROUND(INDEX('1-DATA'!$1:$1048576,IF(OR($B539="STD. DEVIATION",$C$1=1),$A539,$A539+1),COLUMN('1-DATA'!AU537)),IF($B539="STD. DEVIATION",2,$F$1))))</f>
        <v/>
      </c>
      <c r="AW539" s="1" t="str">
        <f>IF(OR($B539="",AW$7=""),"",IF($B539="MEANS",INDEX('1-DATA'!$1:$1048576,$A538-1,COLUMN('1-DATA'!AV537)),ROUND(INDEX('1-DATA'!$1:$1048576,IF(OR($B539="STD. DEVIATION",$C$1=1),$A539,$A539+1),COLUMN('1-DATA'!AV537)),IF($B539="STD. DEVIATION",2,$F$1))))</f>
        <v/>
      </c>
      <c r="AX539" s="1" t="str">
        <f>IF(OR($B539="",AX$7=""),"",IF($B539="MEANS",INDEX('1-DATA'!$1:$1048576,$A538-1,COLUMN('1-DATA'!AW537)),ROUND(INDEX('1-DATA'!$1:$1048576,IF(OR($B539="STD. DEVIATION",$C$1=1),$A539,$A539+1),COLUMN('1-DATA'!AW537)),IF($B539="STD. DEVIATION",2,$F$1))))</f>
        <v/>
      </c>
      <c r="AY539" s="1" t="str">
        <f>IF(OR($B539="",AY$7=""),"",IF($B539="MEANS",INDEX('1-DATA'!$1:$1048576,$A538-1,COLUMN('1-DATA'!AX537)),ROUND(INDEX('1-DATA'!$1:$1048576,IF(OR($B539="STD. DEVIATION",$C$1=1),$A539,$A539+1),COLUMN('1-DATA'!AX537)),IF($B539="STD. DEVIATION",2,$F$1))))</f>
        <v/>
      </c>
      <c r="AZ539" s="1" t="str">
        <f>IF(OR($B539="",AZ$7=""),"",IF($B539="MEANS",INDEX('1-DATA'!$1:$1048576,$A538-1,COLUMN('1-DATA'!AY537)),ROUND(INDEX('1-DATA'!$1:$1048576,IF(OR($B539="STD. DEVIATION",$C$1=1),$A539,$A539+1),COLUMN('1-DATA'!AY537)),IF($B539="STD. DEVIATION",2,$F$1))))</f>
        <v/>
      </c>
    </row>
    <row r="540" spans="1:52" x14ac:dyDescent="0.25">
      <c r="A540" s="11">
        <f t="shared" si="8"/>
        <v>1606</v>
      </c>
      <c r="B540" s="1" t="str">
        <f>IF(B539="STD. DEVIATION",INDEX('1-DATA'!$1:$1048576,$A539-1,1),IF(INDEX('1-DATA'!$1:$1048576,$A540,1)&lt;&gt;"",INDEX('1-DATA'!$1:$1048576,$A540,1),""))</f>
        <v/>
      </c>
      <c r="C540" s="1" t="str">
        <f>IF(OR($B540="",C$7=""),"",IF($B540="MEANS",INDEX('1-DATA'!$1:$1048576,$A539-1,COLUMN('1-DATA'!B538)),ROUND(INDEX('1-DATA'!$1:$1048576,IF(OR($B540="STD. DEVIATION",$C$1=1),$A540,$A540+1),COLUMN('1-DATA'!B538)),IF($B540="STD. DEVIATION",2,$F$1))))</f>
        <v/>
      </c>
      <c r="D540" s="1" t="str">
        <f>IF(OR($B540="",D$7=""),"",IF($B540="MEANS",INDEX('1-DATA'!$1:$1048576,$A539-1,COLUMN('1-DATA'!C538)),ROUND(INDEX('1-DATA'!$1:$1048576,IF(OR($B540="STD. DEVIATION",$C$1=1),$A540,$A540+1),COLUMN('1-DATA'!C538)),IF($B540="STD. DEVIATION",2,$F$1))))</f>
        <v/>
      </c>
      <c r="E540" s="1" t="str">
        <f>IF(OR($B540="",E$7=""),"",IF($B540="MEANS",INDEX('1-DATA'!$1:$1048576,$A539-1,COLUMN('1-DATA'!D538)),ROUND(INDEX('1-DATA'!$1:$1048576,IF(OR($B540="STD. DEVIATION",$C$1=1),$A540,$A540+1),COLUMN('1-DATA'!D538)),IF($B540="STD. DEVIATION",2,$F$1))))</f>
        <v/>
      </c>
      <c r="F540" s="1" t="str">
        <f>IF(OR($B540="",F$7=""),"",IF($B540="MEANS",INDEX('1-DATA'!$1:$1048576,$A539-1,COLUMN('1-DATA'!E538)),ROUND(INDEX('1-DATA'!$1:$1048576,IF(OR($B540="STD. DEVIATION",$C$1=1),$A540,$A540+1),COLUMN('1-DATA'!E538)),IF($B540="STD. DEVIATION",2,$F$1))))</f>
        <v/>
      </c>
      <c r="G540" s="1" t="str">
        <f>IF(OR($B540="",G$7=""),"",IF($B540="MEANS",INDEX('1-DATA'!$1:$1048576,$A539-1,COLUMN('1-DATA'!F538)),ROUND(INDEX('1-DATA'!$1:$1048576,IF(OR($B540="STD. DEVIATION",$C$1=1),$A540,$A540+1),COLUMN('1-DATA'!F538)),IF($B540="STD. DEVIATION",2,$F$1))))</f>
        <v/>
      </c>
      <c r="H540" s="1" t="str">
        <f>IF(OR($B540="",H$7=""),"",IF($B540="MEANS",INDEX('1-DATA'!$1:$1048576,$A539-1,COLUMN('1-DATA'!G538)),ROUND(INDEX('1-DATA'!$1:$1048576,IF(OR($B540="STD. DEVIATION",$C$1=1),$A540,$A540+1),COLUMN('1-DATA'!G538)),IF($B540="STD. DEVIATION",2,$F$1))))</f>
        <v/>
      </c>
      <c r="I540" s="1" t="str">
        <f>IF(OR($B540="",I$7=""),"",IF($B540="MEANS",INDEX('1-DATA'!$1:$1048576,$A539-1,COLUMN('1-DATA'!H538)),ROUND(INDEX('1-DATA'!$1:$1048576,IF(OR($B540="STD. DEVIATION",$C$1=1),$A540,$A540+1),COLUMN('1-DATA'!H538)),IF($B540="STD. DEVIATION",2,$F$1))))</f>
        <v/>
      </c>
      <c r="J540" s="1" t="str">
        <f>IF(OR($B540="",J$7=""),"",IF($B540="MEANS",INDEX('1-DATA'!$1:$1048576,$A539-1,COLUMN('1-DATA'!I538)),ROUND(INDEX('1-DATA'!$1:$1048576,IF(OR($B540="STD. DEVIATION",$C$1=1),$A540,$A540+1),COLUMN('1-DATA'!I538)),IF($B540="STD. DEVIATION",2,$F$1))))</f>
        <v/>
      </c>
      <c r="K540" s="1" t="str">
        <f>IF(OR($B540="",K$7=""),"",IF($B540="MEANS",INDEX('1-DATA'!$1:$1048576,$A539-1,COLUMN('1-DATA'!J538)),ROUND(INDEX('1-DATA'!$1:$1048576,IF(OR($B540="STD. DEVIATION",$C$1=1),$A540,$A540+1),COLUMN('1-DATA'!J538)),IF($B540="STD. DEVIATION",2,$F$1))))</f>
        <v/>
      </c>
      <c r="L540" s="1" t="str">
        <f>IF(OR($B540="",L$7=""),"",IF($B540="MEANS",INDEX('1-DATA'!$1:$1048576,$A539-1,COLUMN('1-DATA'!K538)),ROUND(INDEX('1-DATA'!$1:$1048576,IF(OR($B540="STD. DEVIATION",$C$1=1),$A540,$A540+1),COLUMN('1-DATA'!K538)),IF($B540="STD. DEVIATION",2,$F$1))))</f>
        <v/>
      </c>
      <c r="M540" s="1" t="str">
        <f>IF(OR($B540="",M$7=""),"",IF($B540="MEANS",INDEX('1-DATA'!$1:$1048576,$A539-1,COLUMN('1-DATA'!L538)),ROUND(INDEX('1-DATA'!$1:$1048576,IF(OR($B540="STD. DEVIATION",$C$1=1),$A540,$A540+1),COLUMN('1-DATA'!L538)),IF($B540="STD. DEVIATION",2,$F$1))))</f>
        <v/>
      </c>
      <c r="N540" s="1" t="str">
        <f>IF(OR($B540="",N$7=""),"",IF($B540="MEANS",INDEX('1-DATA'!$1:$1048576,$A539-1,COLUMN('1-DATA'!M538)),ROUND(INDEX('1-DATA'!$1:$1048576,IF(OR($B540="STD. DEVIATION",$C$1=1),$A540,$A540+1),COLUMN('1-DATA'!M538)),IF($B540="STD. DEVIATION",2,$F$1))))</f>
        <v/>
      </c>
      <c r="O540" s="1" t="str">
        <f>IF(OR($B540="",O$7=""),"",IF($B540="MEANS",INDEX('1-DATA'!$1:$1048576,$A539-1,COLUMN('1-DATA'!N538)),ROUND(INDEX('1-DATA'!$1:$1048576,IF(OR($B540="STD. DEVIATION",$C$1=1),$A540,$A540+1),COLUMN('1-DATA'!N538)),IF($B540="STD. DEVIATION",2,$F$1))))</f>
        <v/>
      </c>
      <c r="P540" s="1" t="str">
        <f>IF(OR($B540="",P$7=""),"",IF($B540="MEANS",INDEX('1-DATA'!$1:$1048576,$A539-1,COLUMN('1-DATA'!O538)),ROUND(INDEX('1-DATA'!$1:$1048576,IF(OR($B540="STD. DEVIATION",$C$1=1),$A540,$A540+1),COLUMN('1-DATA'!O538)),IF($B540="STD. DEVIATION",2,$F$1))))</f>
        <v/>
      </c>
      <c r="Q540" s="1" t="str">
        <f>IF(OR($B540="",Q$7=""),"",IF($B540="MEANS",INDEX('1-DATA'!$1:$1048576,$A539-1,COLUMN('1-DATA'!P538)),ROUND(INDEX('1-DATA'!$1:$1048576,IF(OR($B540="STD. DEVIATION",$C$1=1),$A540,$A540+1),COLUMN('1-DATA'!P538)),IF($B540="STD. DEVIATION",2,$F$1))))</f>
        <v/>
      </c>
      <c r="R540" s="1" t="str">
        <f>IF(OR($B540="",R$7=""),"",IF($B540="MEANS",INDEX('1-DATA'!$1:$1048576,$A539-1,COLUMN('1-DATA'!Q538)),ROUND(INDEX('1-DATA'!$1:$1048576,IF(OR($B540="STD. DEVIATION",$C$1=1),$A540,$A540+1),COLUMN('1-DATA'!Q538)),IF($B540="STD. DEVIATION",2,$F$1))))</f>
        <v/>
      </c>
      <c r="S540" s="1" t="str">
        <f>IF(OR($B540="",S$7=""),"",IF($B540="MEANS",INDEX('1-DATA'!$1:$1048576,$A539-1,COLUMN('1-DATA'!R538)),ROUND(INDEX('1-DATA'!$1:$1048576,IF(OR($B540="STD. DEVIATION",$C$1=1),$A540,$A540+1),COLUMN('1-DATA'!R538)),IF($B540="STD. DEVIATION",2,$F$1))))</f>
        <v/>
      </c>
      <c r="T540" s="1" t="str">
        <f>IF(OR($B540="",T$7=""),"",IF($B540="MEANS",INDEX('1-DATA'!$1:$1048576,$A539-1,COLUMN('1-DATA'!S538)),ROUND(INDEX('1-DATA'!$1:$1048576,IF(OR($B540="STD. DEVIATION",$C$1=1),$A540,$A540+1),COLUMN('1-DATA'!S538)),IF($B540="STD. DEVIATION",2,$F$1))))</f>
        <v/>
      </c>
      <c r="U540" s="1" t="str">
        <f>IF(OR($B540="",U$7=""),"",IF($B540="MEANS",INDEX('1-DATA'!$1:$1048576,$A539-1,COLUMN('1-DATA'!T538)),ROUND(INDEX('1-DATA'!$1:$1048576,IF(OR($B540="STD. DEVIATION",$C$1=1),$A540,$A540+1),COLUMN('1-DATA'!T538)),IF($B540="STD. DEVIATION",2,$F$1))))</f>
        <v/>
      </c>
      <c r="V540" s="1" t="str">
        <f>IF(OR($B540="",V$7=""),"",IF($B540="MEANS",INDEX('1-DATA'!$1:$1048576,$A539-1,COLUMN('1-DATA'!U538)),ROUND(INDEX('1-DATA'!$1:$1048576,IF(OR($B540="STD. DEVIATION",$C$1=1),$A540,$A540+1),COLUMN('1-DATA'!U538)),IF($B540="STD. DEVIATION",2,$F$1))))</f>
        <v/>
      </c>
      <c r="W540" s="1" t="str">
        <f>IF(OR($B540="",W$7=""),"",IF($B540="MEANS",INDEX('1-DATA'!$1:$1048576,$A539-1,COLUMN('1-DATA'!V538)),ROUND(INDEX('1-DATA'!$1:$1048576,IF(OR($B540="STD. DEVIATION",$C$1=1),$A540,$A540+1),COLUMN('1-DATA'!V538)),IF($B540="STD. DEVIATION",2,$F$1))))</f>
        <v/>
      </c>
      <c r="X540" s="1" t="str">
        <f>IF(OR($B540="",X$7=""),"",IF($B540="MEANS",INDEX('1-DATA'!$1:$1048576,$A539-1,COLUMN('1-DATA'!W538)),ROUND(INDEX('1-DATA'!$1:$1048576,IF(OR($B540="STD. DEVIATION",$C$1=1),$A540,$A540+1),COLUMN('1-DATA'!W538)),IF($B540="STD. DEVIATION",2,$F$1))))</f>
        <v/>
      </c>
      <c r="Y540" s="1" t="str">
        <f>IF(OR($B540="",Y$7=""),"",IF($B540="MEANS",INDEX('1-DATA'!$1:$1048576,$A539-1,COLUMN('1-DATA'!X538)),ROUND(INDEX('1-DATA'!$1:$1048576,IF(OR($B540="STD. DEVIATION",$C$1=1),$A540,$A540+1),COLUMN('1-DATA'!X538)),IF($B540="STD. DEVIATION",2,$F$1))))</f>
        <v/>
      </c>
      <c r="Z540" s="1" t="str">
        <f>IF(OR($B540="",Z$7=""),"",IF($B540="MEANS",INDEX('1-DATA'!$1:$1048576,$A539-1,COLUMN('1-DATA'!Y538)),ROUND(INDEX('1-DATA'!$1:$1048576,IF(OR($B540="STD. DEVIATION",$C$1=1),$A540,$A540+1),COLUMN('1-DATA'!Y538)),IF($B540="STD. DEVIATION",2,$F$1))))</f>
        <v/>
      </c>
      <c r="AA540" s="1" t="str">
        <f>IF(OR($B540="",AA$7=""),"",IF($B540="MEANS",INDEX('1-DATA'!$1:$1048576,$A539-1,COLUMN('1-DATA'!Z538)),ROUND(INDEX('1-DATA'!$1:$1048576,IF(OR($B540="STD. DEVIATION",$C$1=1),$A540,$A540+1),COLUMN('1-DATA'!Z538)),IF($B540="STD. DEVIATION",2,$F$1))))</f>
        <v/>
      </c>
      <c r="AB540" s="1" t="str">
        <f>IF(OR($B540="",AB$7=""),"",IF($B540="MEANS",INDEX('1-DATA'!$1:$1048576,$A539-1,COLUMN('1-DATA'!AA538)),ROUND(INDEX('1-DATA'!$1:$1048576,IF(OR($B540="STD. DEVIATION",$C$1=1),$A540,$A540+1),COLUMN('1-DATA'!AA538)),IF($B540="STD. DEVIATION",2,$F$1))))</f>
        <v/>
      </c>
      <c r="AC540" s="1" t="str">
        <f>IF(OR($B540="",AC$7=""),"",IF($B540="MEANS",INDEX('1-DATA'!$1:$1048576,$A539-1,COLUMN('1-DATA'!AB538)),ROUND(INDEX('1-DATA'!$1:$1048576,IF(OR($B540="STD. DEVIATION",$C$1=1),$A540,$A540+1),COLUMN('1-DATA'!AB538)),IF($B540="STD. DEVIATION",2,$F$1))))</f>
        <v/>
      </c>
      <c r="AD540" s="1" t="str">
        <f>IF(OR($B540="",AD$7=""),"",IF($B540="MEANS",INDEX('1-DATA'!$1:$1048576,$A539-1,COLUMN('1-DATA'!AC538)),ROUND(INDEX('1-DATA'!$1:$1048576,IF(OR($B540="STD. DEVIATION",$C$1=1),$A540,$A540+1),COLUMN('1-DATA'!AC538)),IF($B540="STD. DEVIATION",2,$F$1))))</f>
        <v/>
      </c>
      <c r="AE540" s="1" t="str">
        <f>IF(OR($B540="",AE$7=""),"",IF($B540="MEANS",INDEX('1-DATA'!$1:$1048576,$A539-1,COLUMN('1-DATA'!AD538)),ROUND(INDEX('1-DATA'!$1:$1048576,IF(OR($B540="STD. DEVIATION",$C$1=1),$A540,$A540+1),COLUMN('1-DATA'!AD538)),IF($B540="STD. DEVIATION",2,$F$1))))</f>
        <v/>
      </c>
      <c r="AF540" s="1" t="str">
        <f>IF(OR($B540="",AF$7=""),"",IF($B540="MEANS",INDEX('1-DATA'!$1:$1048576,$A539-1,COLUMN('1-DATA'!AE538)),ROUND(INDEX('1-DATA'!$1:$1048576,IF(OR($B540="STD. DEVIATION",$C$1=1),$A540,$A540+1),COLUMN('1-DATA'!AE538)),IF($B540="STD. DEVIATION",2,$F$1))))</f>
        <v/>
      </c>
      <c r="AG540" s="1" t="str">
        <f>IF(OR($B540="",AG$7=""),"",IF($B540="MEANS",INDEX('1-DATA'!$1:$1048576,$A539-1,COLUMN('1-DATA'!AF538)),ROUND(INDEX('1-DATA'!$1:$1048576,IF(OR($B540="STD. DEVIATION",$C$1=1),$A540,$A540+1),COLUMN('1-DATA'!AF538)),IF($B540="STD. DEVIATION",2,$F$1))))</f>
        <v/>
      </c>
      <c r="AH540" s="1" t="str">
        <f>IF(OR($B540="",AH$7=""),"",IF($B540="MEANS",INDEX('1-DATA'!$1:$1048576,$A539-1,COLUMN('1-DATA'!AG538)),ROUND(INDEX('1-DATA'!$1:$1048576,IF(OR($B540="STD. DEVIATION",$C$1=1),$A540,$A540+1),COLUMN('1-DATA'!AG538)),IF($B540="STD. DEVIATION",2,$F$1))))</f>
        <v/>
      </c>
      <c r="AI540" s="1" t="str">
        <f>IF(OR($B540="",AI$7=""),"",IF($B540="MEANS",INDEX('1-DATA'!$1:$1048576,$A539-1,COLUMN('1-DATA'!AH538)),ROUND(INDEX('1-DATA'!$1:$1048576,IF(OR($B540="STD. DEVIATION",$C$1=1),$A540,$A540+1),COLUMN('1-DATA'!AH538)),IF($B540="STD. DEVIATION",2,$F$1))))</f>
        <v/>
      </c>
      <c r="AJ540" s="1" t="str">
        <f>IF(OR($B540="",AJ$7=""),"",IF($B540="MEANS",INDEX('1-DATA'!$1:$1048576,$A539-1,COLUMN('1-DATA'!AI538)),ROUND(INDEX('1-DATA'!$1:$1048576,IF(OR($B540="STD. DEVIATION",$C$1=1),$A540,$A540+1),COLUMN('1-DATA'!AI538)),IF($B540="STD. DEVIATION",2,$F$1))))</f>
        <v/>
      </c>
      <c r="AK540" s="1" t="str">
        <f>IF(OR($B540="",AK$7=""),"",IF($B540="MEANS",INDEX('1-DATA'!$1:$1048576,$A539-1,COLUMN('1-DATA'!AJ538)),ROUND(INDEX('1-DATA'!$1:$1048576,IF(OR($B540="STD. DEVIATION",$C$1=1),$A540,$A540+1),COLUMN('1-DATA'!AJ538)),IF($B540="STD. DEVIATION",2,$F$1))))</f>
        <v/>
      </c>
      <c r="AL540" s="1" t="str">
        <f>IF(OR($B540="",AL$7=""),"",IF($B540="MEANS",INDEX('1-DATA'!$1:$1048576,$A539-1,COLUMN('1-DATA'!AK538)),ROUND(INDEX('1-DATA'!$1:$1048576,IF(OR($B540="STD. DEVIATION",$C$1=1),$A540,$A540+1),COLUMN('1-DATA'!AK538)),IF($B540="STD. DEVIATION",2,$F$1))))</f>
        <v/>
      </c>
      <c r="AM540" s="1" t="str">
        <f>IF(OR($B540="",AM$7=""),"",IF($B540="MEANS",INDEX('1-DATA'!$1:$1048576,$A539-1,COLUMN('1-DATA'!AL538)),ROUND(INDEX('1-DATA'!$1:$1048576,IF(OR($B540="STD. DEVIATION",$C$1=1),$A540,$A540+1),COLUMN('1-DATA'!AL538)),IF($B540="STD. DEVIATION",2,$F$1))))</f>
        <v/>
      </c>
      <c r="AN540" s="1" t="str">
        <f>IF(OR($B540="",AN$7=""),"",IF($B540="MEANS",INDEX('1-DATA'!$1:$1048576,$A539-1,COLUMN('1-DATA'!AM538)),ROUND(INDEX('1-DATA'!$1:$1048576,IF(OR($B540="STD. DEVIATION",$C$1=1),$A540,$A540+1),COLUMN('1-DATA'!AM538)),IF($B540="STD. DEVIATION",2,$F$1))))</f>
        <v/>
      </c>
      <c r="AO540" s="1" t="str">
        <f>IF(OR($B540="",AO$7=""),"",IF($B540="MEANS",INDEX('1-DATA'!$1:$1048576,$A539-1,COLUMN('1-DATA'!AN538)),ROUND(INDEX('1-DATA'!$1:$1048576,IF(OR($B540="STD. DEVIATION",$C$1=1),$A540,$A540+1),COLUMN('1-DATA'!AN538)),IF($B540="STD. DEVIATION",2,$F$1))))</f>
        <v/>
      </c>
      <c r="AP540" s="1" t="str">
        <f>IF(OR($B540="",AP$7=""),"",IF($B540="MEANS",INDEX('1-DATA'!$1:$1048576,$A539-1,COLUMN('1-DATA'!AO538)),ROUND(INDEX('1-DATA'!$1:$1048576,IF(OR($B540="STD. DEVIATION",$C$1=1),$A540,$A540+1),COLUMN('1-DATA'!AO538)),IF($B540="STD. DEVIATION",2,$F$1))))</f>
        <v/>
      </c>
      <c r="AQ540" s="1" t="str">
        <f>IF(OR($B540="",AQ$7=""),"",IF($B540="MEANS",INDEX('1-DATA'!$1:$1048576,$A539-1,COLUMN('1-DATA'!AP538)),ROUND(INDEX('1-DATA'!$1:$1048576,IF(OR($B540="STD. DEVIATION",$C$1=1),$A540,$A540+1),COLUMN('1-DATA'!AP538)),IF($B540="STD. DEVIATION",2,$F$1))))</f>
        <v/>
      </c>
      <c r="AR540" s="1" t="str">
        <f>IF(OR($B540="",AR$7=""),"",IF($B540="MEANS",INDEX('1-DATA'!$1:$1048576,$A539-1,COLUMN('1-DATA'!AQ538)),ROUND(INDEX('1-DATA'!$1:$1048576,IF(OR($B540="STD. DEVIATION",$C$1=1),$A540,$A540+1),COLUMN('1-DATA'!AQ538)),IF($B540="STD. DEVIATION",2,$F$1))))</f>
        <v/>
      </c>
      <c r="AS540" s="1" t="str">
        <f>IF(OR($B540="",AS$7=""),"",IF($B540="MEANS",INDEX('1-DATA'!$1:$1048576,$A539-1,COLUMN('1-DATA'!AR538)),ROUND(INDEX('1-DATA'!$1:$1048576,IF(OR($B540="STD. DEVIATION",$C$1=1),$A540,$A540+1),COLUMN('1-DATA'!AR538)),IF($B540="STD. DEVIATION",2,$F$1))))</f>
        <v/>
      </c>
      <c r="AT540" s="1" t="str">
        <f>IF(OR($B540="",AT$7=""),"",IF($B540="MEANS",INDEX('1-DATA'!$1:$1048576,$A539-1,COLUMN('1-DATA'!AS538)),ROUND(INDEX('1-DATA'!$1:$1048576,IF(OR($B540="STD. DEVIATION",$C$1=1),$A540,$A540+1),COLUMN('1-DATA'!AS538)),IF($B540="STD. DEVIATION",2,$F$1))))</f>
        <v/>
      </c>
      <c r="AU540" s="1" t="str">
        <f>IF(OR($B540="",AU$7=""),"",IF($B540="MEANS",INDEX('1-DATA'!$1:$1048576,$A539-1,COLUMN('1-DATA'!AT538)),ROUND(INDEX('1-DATA'!$1:$1048576,IF(OR($B540="STD. DEVIATION",$C$1=1),$A540,$A540+1),COLUMN('1-DATA'!AT538)),IF($B540="STD. DEVIATION",2,$F$1))))</f>
        <v/>
      </c>
      <c r="AV540" s="1" t="str">
        <f>IF(OR($B540="",AV$7=""),"",IF($B540="MEANS",INDEX('1-DATA'!$1:$1048576,$A539-1,COLUMN('1-DATA'!AU538)),ROUND(INDEX('1-DATA'!$1:$1048576,IF(OR($B540="STD. DEVIATION",$C$1=1),$A540,$A540+1),COLUMN('1-DATA'!AU538)),IF($B540="STD. DEVIATION",2,$F$1))))</f>
        <v/>
      </c>
      <c r="AW540" s="1" t="str">
        <f>IF(OR($B540="",AW$7=""),"",IF($B540="MEANS",INDEX('1-DATA'!$1:$1048576,$A539-1,COLUMN('1-DATA'!AV538)),ROUND(INDEX('1-DATA'!$1:$1048576,IF(OR($B540="STD. DEVIATION",$C$1=1),$A540,$A540+1),COLUMN('1-DATA'!AV538)),IF($B540="STD. DEVIATION",2,$F$1))))</f>
        <v/>
      </c>
      <c r="AX540" s="1" t="str">
        <f>IF(OR($B540="",AX$7=""),"",IF($B540="MEANS",INDEX('1-DATA'!$1:$1048576,$A539-1,COLUMN('1-DATA'!AW538)),ROUND(INDEX('1-DATA'!$1:$1048576,IF(OR($B540="STD. DEVIATION",$C$1=1),$A540,$A540+1),COLUMN('1-DATA'!AW538)),IF($B540="STD. DEVIATION",2,$F$1))))</f>
        <v/>
      </c>
      <c r="AY540" s="1" t="str">
        <f>IF(OR($B540="",AY$7=""),"",IF($B540="MEANS",INDEX('1-DATA'!$1:$1048576,$A539-1,COLUMN('1-DATA'!AX538)),ROUND(INDEX('1-DATA'!$1:$1048576,IF(OR($B540="STD. DEVIATION",$C$1=1),$A540,$A540+1),COLUMN('1-DATA'!AX538)),IF($B540="STD. DEVIATION",2,$F$1))))</f>
        <v/>
      </c>
      <c r="AZ540" s="1" t="str">
        <f>IF(OR($B540="",AZ$7=""),"",IF($B540="MEANS",INDEX('1-DATA'!$1:$1048576,$A539-1,COLUMN('1-DATA'!AY538)),ROUND(INDEX('1-DATA'!$1:$1048576,IF(OR($B540="STD. DEVIATION",$C$1=1),$A540,$A540+1),COLUMN('1-DATA'!AY538)),IF($B540="STD. DEVIATION",2,$F$1))))</f>
        <v/>
      </c>
    </row>
    <row r="541" spans="1:52" x14ac:dyDescent="0.25">
      <c r="A541" s="11">
        <f t="shared" si="8"/>
        <v>1609</v>
      </c>
      <c r="B541" s="1" t="str">
        <f>IF(B540="STD. DEVIATION",INDEX('1-DATA'!$1:$1048576,$A540-1,1),IF(INDEX('1-DATA'!$1:$1048576,$A541,1)&lt;&gt;"",INDEX('1-DATA'!$1:$1048576,$A541,1),""))</f>
        <v/>
      </c>
      <c r="C541" s="1" t="str">
        <f>IF(OR($B541="",C$7=""),"",IF($B541="MEANS",INDEX('1-DATA'!$1:$1048576,$A540-1,COLUMN('1-DATA'!B539)),ROUND(INDEX('1-DATA'!$1:$1048576,IF(OR($B541="STD. DEVIATION",$C$1=1),$A541,$A541+1),COLUMN('1-DATA'!B539)),IF($B541="STD. DEVIATION",2,$F$1))))</f>
        <v/>
      </c>
      <c r="D541" s="1" t="str">
        <f>IF(OR($B541="",D$7=""),"",IF($B541="MEANS",INDEX('1-DATA'!$1:$1048576,$A540-1,COLUMN('1-DATA'!C539)),ROUND(INDEX('1-DATA'!$1:$1048576,IF(OR($B541="STD. DEVIATION",$C$1=1),$A541,$A541+1),COLUMN('1-DATA'!C539)),IF($B541="STD. DEVIATION",2,$F$1))))</f>
        <v/>
      </c>
      <c r="E541" s="1" t="str">
        <f>IF(OR($B541="",E$7=""),"",IF($B541="MEANS",INDEX('1-DATA'!$1:$1048576,$A540-1,COLUMN('1-DATA'!D539)),ROUND(INDEX('1-DATA'!$1:$1048576,IF(OR($B541="STD. DEVIATION",$C$1=1),$A541,$A541+1),COLUMN('1-DATA'!D539)),IF($B541="STD. DEVIATION",2,$F$1))))</f>
        <v/>
      </c>
      <c r="F541" s="1" t="str">
        <f>IF(OR($B541="",F$7=""),"",IF($B541="MEANS",INDEX('1-DATA'!$1:$1048576,$A540-1,COLUMN('1-DATA'!E539)),ROUND(INDEX('1-DATA'!$1:$1048576,IF(OR($B541="STD. DEVIATION",$C$1=1),$A541,$A541+1),COLUMN('1-DATA'!E539)),IF($B541="STD. DEVIATION",2,$F$1))))</f>
        <v/>
      </c>
      <c r="G541" s="1" t="str">
        <f>IF(OR($B541="",G$7=""),"",IF($B541="MEANS",INDEX('1-DATA'!$1:$1048576,$A540-1,COLUMN('1-DATA'!F539)),ROUND(INDEX('1-DATA'!$1:$1048576,IF(OR($B541="STD. DEVIATION",$C$1=1),$A541,$A541+1),COLUMN('1-DATA'!F539)),IF($B541="STD. DEVIATION",2,$F$1))))</f>
        <v/>
      </c>
      <c r="H541" s="1" t="str">
        <f>IF(OR($B541="",H$7=""),"",IF($B541="MEANS",INDEX('1-DATA'!$1:$1048576,$A540-1,COLUMN('1-DATA'!G539)),ROUND(INDEX('1-DATA'!$1:$1048576,IF(OR($B541="STD. DEVIATION",$C$1=1),$A541,$A541+1),COLUMN('1-DATA'!G539)),IF($B541="STD. DEVIATION",2,$F$1))))</f>
        <v/>
      </c>
      <c r="I541" s="1" t="str">
        <f>IF(OR($B541="",I$7=""),"",IF($B541="MEANS",INDEX('1-DATA'!$1:$1048576,$A540-1,COLUMN('1-DATA'!H539)),ROUND(INDEX('1-DATA'!$1:$1048576,IF(OR($B541="STD. DEVIATION",$C$1=1),$A541,$A541+1),COLUMN('1-DATA'!H539)),IF($B541="STD. DEVIATION",2,$F$1))))</f>
        <v/>
      </c>
      <c r="J541" s="1" t="str">
        <f>IF(OR($B541="",J$7=""),"",IF($B541="MEANS",INDEX('1-DATA'!$1:$1048576,$A540-1,COLUMN('1-DATA'!I539)),ROUND(INDEX('1-DATA'!$1:$1048576,IF(OR($B541="STD. DEVIATION",$C$1=1),$A541,$A541+1),COLUMN('1-DATA'!I539)),IF($B541="STD. DEVIATION",2,$F$1))))</f>
        <v/>
      </c>
      <c r="K541" s="1" t="str">
        <f>IF(OR($B541="",K$7=""),"",IF($B541="MEANS",INDEX('1-DATA'!$1:$1048576,$A540-1,COLUMN('1-DATA'!J539)),ROUND(INDEX('1-DATA'!$1:$1048576,IF(OR($B541="STD. DEVIATION",$C$1=1),$A541,$A541+1),COLUMN('1-DATA'!J539)),IF($B541="STD. DEVIATION",2,$F$1))))</f>
        <v/>
      </c>
      <c r="L541" s="1" t="str">
        <f>IF(OR($B541="",L$7=""),"",IF($B541="MEANS",INDEX('1-DATA'!$1:$1048576,$A540-1,COLUMN('1-DATA'!K539)),ROUND(INDEX('1-DATA'!$1:$1048576,IF(OR($B541="STD. DEVIATION",$C$1=1),$A541,$A541+1),COLUMN('1-DATA'!K539)),IF($B541="STD. DEVIATION",2,$F$1))))</f>
        <v/>
      </c>
      <c r="M541" s="1" t="str">
        <f>IF(OR($B541="",M$7=""),"",IF($B541="MEANS",INDEX('1-DATA'!$1:$1048576,$A540-1,COLUMN('1-DATA'!L539)),ROUND(INDEX('1-DATA'!$1:$1048576,IF(OR($B541="STD. DEVIATION",$C$1=1),$A541,$A541+1),COLUMN('1-DATA'!L539)),IF($B541="STD. DEVIATION",2,$F$1))))</f>
        <v/>
      </c>
      <c r="N541" s="1" t="str">
        <f>IF(OR($B541="",N$7=""),"",IF($B541="MEANS",INDEX('1-DATA'!$1:$1048576,$A540-1,COLUMN('1-DATA'!M539)),ROUND(INDEX('1-DATA'!$1:$1048576,IF(OR($B541="STD. DEVIATION",$C$1=1),$A541,$A541+1),COLUMN('1-DATA'!M539)),IF($B541="STD. DEVIATION",2,$F$1))))</f>
        <v/>
      </c>
      <c r="O541" s="1" t="str">
        <f>IF(OR($B541="",O$7=""),"",IF($B541="MEANS",INDEX('1-DATA'!$1:$1048576,$A540-1,COLUMN('1-DATA'!N539)),ROUND(INDEX('1-DATA'!$1:$1048576,IF(OR($B541="STD. DEVIATION",$C$1=1),$A541,$A541+1),COLUMN('1-DATA'!N539)),IF($B541="STD. DEVIATION",2,$F$1))))</f>
        <v/>
      </c>
      <c r="P541" s="1" t="str">
        <f>IF(OR($B541="",P$7=""),"",IF($B541="MEANS",INDEX('1-DATA'!$1:$1048576,$A540-1,COLUMN('1-DATA'!O539)),ROUND(INDEX('1-DATA'!$1:$1048576,IF(OR($B541="STD. DEVIATION",$C$1=1),$A541,$A541+1),COLUMN('1-DATA'!O539)),IF($B541="STD. DEVIATION",2,$F$1))))</f>
        <v/>
      </c>
      <c r="Q541" s="1" t="str">
        <f>IF(OR($B541="",Q$7=""),"",IF($B541="MEANS",INDEX('1-DATA'!$1:$1048576,$A540-1,COLUMN('1-DATA'!P539)),ROUND(INDEX('1-DATA'!$1:$1048576,IF(OR($B541="STD. DEVIATION",$C$1=1),$A541,$A541+1),COLUMN('1-DATA'!P539)),IF($B541="STD. DEVIATION",2,$F$1))))</f>
        <v/>
      </c>
      <c r="R541" s="1" t="str">
        <f>IF(OR($B541="",R$7=""),"",IF($B541="MEANS",INDEX('1-DATA'!$1:$1048576,$A540-1,COLUMN('1-DATA'!Q539)),ROUND(INDEX('1-DATA'!$1:$1048576,IF(OR($B541="STD. DEVIATION",$C$1=1),$A541,$A541+1),COLUMN('1-DATA'!Q539)),IF($B541="STD. DEVIATION",2,$F$1))))</f>
        <v/>
      </c>
      <c r="S541" s="1" t="str">
        <f>IF(OR($B541="",S$7=""),"",IF($B541="MEANS",INDEX('1-DATA'!$1:$1048576,$A540-1,COLUMN('1-DATA'!R539)),ROUND(INDEX('1-DATA'!$1:$1048576,IF(OR($B541="STD. DEVIATION",$C$1=1),$A541,$A541+1),COLUMN('1-DATA'!R539)),IF($B541="STD. DEVIATION",2,$F$1))))</f>
        <v/>
      </c>
      <c r="T541" s="1" t="str">
        <f>IF(OR($B541="",T$7=""),"",IF($B541="MEANS",INDEX('1-DATA'!$1:$1048576,$A540-1,COLUMN('1-DATA'!S539)),ROUND(INDEX('1-DATA'!$1:$1048576,IF(OR($B541="STD. DEVIATION",$C$1=1),$A541,$A541+1),COLUMN('1-DATA'!S539)),IF($B541="STD. DEVIATION",2,$F$1))))</f>
        <v/>
      </c>
      <c r="U541" s="1" t="str">
        <f>IF(OR($B541="",U$7=""),"",IF($B541="MEANS",INDEX('1-DATA'!$1:$1048576,$A540-1,COLUMN('1-DATA'!T539)),ROUND(INDEX('1-DATA'!$1:$1048576,IF(OR($B541="STD. DEVIATION",$C$1=1),$A541,$A541+1),COLUMN('1-DATA'!T539)),IF($B541="STD. DEVIATION",2,$F$1))))</f>
        <v/>
      </c>
      <c r="V541" s="1" t="str">
        <f>IF(OR($B541="",V$7=""),"",IF($B541="MEANS",INDEX('1-DATA'!$1:$1048576,$A540-1,COLUMN('1-DATA'!U539)),ROUND(INDEX('1-DATA'!$1:$1048576,IF(OR($B541="STD. DEVIATION",$C$1=1),$A541,$A541+1),COLUMN('1-DATA'!U539)),IF($B541="STD. DEVIATION",2,$F$1))))</f>
        <v/>
      </c>
      <c r="W541" s="1" t="str">
        <f>IF(OR($B541="",W$7=""),"",IF($B541="MEANS",INDEX('1-DATA'!$1:$1048576,$A540-1,COLUMN('1-DATA'!V539)),ROUND(INDEX('1-DATA'!$1:$1048576,IF(OR($B541="STD. DEVIATION",$C$1=1),$A541,$A541+1),COLUMN('1-DATA'!V539)),IF($B541="STD. DEVIATION",2,$F$1))))</f>
        <v/>
      </c>
      <c r="X541" s="1" t="str">
        <f>IF(OR($B541="",X$7=""),"",IF($B541="MEANS",INDEX('1-DATA'!$1:$1048576,$A540-1,COLUMN('1-DATA'!W539)),ROUND(INDEX('1-DATA'!$1:$1048576,IF(OR($B541="STD. DEVIATION",$C$1=1),$A541,$A541+1),COLUMN('1-DATA'!W539)),IF($B541="STD. DEVIATION",2,$F$1))))</f>
        <v/>
      </c>
      <c r="Y541" s="1" t="str">
        <f>IF(OR($B541="",Y$7=""),"",IF($B541="MEANS",INDEX('1-DATA'!$1:$1048576,$A540-1,COLUMN('1-DATA'!X539)),ROUND(INDEX('1-DATA'!$1:$1048576,IF(OR($B541="STD. DEVIATION",$C$1=1),$A541,$A541+1),COLUMN('1-DATA'!X539)),IF($B541="STD. DEVIATION",2,$F$1))))</f>
        <v/>
      </c>
      <c r="Z541" s="1" t="str">
        <f>IF(OR($B541="",Z$7=""),"",IF($B541="MEANS",INDEX('1-DATA'!$1:$1048576,$A540-1,COLUMN('1-DATA'!Y539)),ROUND(INDEX('1-DATA'!$1:$1048576,IF(OR($B541="STD. DEVIATION",$C$1=1),$A541,$A541+1),COLUMN('1-DATA'!Y539)),IF($B541="STD. DEVIATION",2,$F$1))))</f>
        <v/>
      </c>
      <c r="AA541" s="1" t="str">
        <f>IF(OR($B541="",AA$7=""),"",IF($B541="MEANS",INDEX('1-DATA'!$1:$1048576,$A540-1,COLUMN('1-DATA'!Z539)),ROUND(INDEX('1-DATA'!$1:$1048576,IF(OR($B541="STD. DEVIATION",$C$1=1),$A541,$A541+1),COLUMN('1-DATA'!Z539)),IF($B541="STD. DEVIATION",2,$F$1))))</f>
        <v/>
      </c>
      <c r="AB541" s="1" t="str">
        <f>IF(OR($B541="",AB$7=""),"",IF($B541="MEANS",INDEX('1-DATA'!$1:$1048576,$A540-1,COLUMN('1-DATA'!AA539)),ROUND(INDEX('1-DATA'!$1:$1048576,IF(OR($B541="STD. DEVIATION",$C$1=1),$A541,$A541+1),COLUMN('1-DATA'!AA539)),IF($B541="STD. DEVIATION",2,$F$1))))</f>
        <v/>
      </c>
      <c r="AC541" s="1" t="str">
        <f>IF(OR($B541="",AC$7=""),"",IF($B541="MEANS",INDEX('1-DATA'!$1:$1048576,$A540-1,COLUMN('1-DATA'!AB539)),ROUND(INDEX('1-DATA'!$1:$1048576,IF(OR($B541="STD. DEVIATION",$C$1=1),$A541,$A541+1),COLUMN('1-DATA'!AB539)),IF($B541="STD. DEVIATION",2,$F$1))))</f>
        <v/>
      </c>
      <c r="AD541" s="1" t="str">
        <f>IF(OR($B541="",AD$7=""),"",IF($B541="MEANS",INDEX('1-DATA'!$1:$1048576,$A540-1,COLUMN('1-DATA'!AC539)),ROUND(INDEX('1-DATA'!$1:$1048576,IF(OR($B541="STD. DEVIATION",$C$1=1),$A541,$A541+1),COLUMN('1-DATA'!AC539)),IF($B541="STD. DEVIATION",2,$F$1))))</f>
        <v/>
      </c>
      <c r="AE541" s="1" t="str">
        <f>IF(OR($B541="",AE$7=""),"",IF($B541="MEANS",INDEX('1-DATA'!$1:$1048576,$A540-1,COLUMN('1-DATA'!AD539)),ROUND(INDEX('1-DATA'!$1:$1048576,IF(OR($B541="STD. DEVIATION",$C$1=1),$A541,$A541+1),COLUMN('1-DATA'!AD539)),IF($B541="STD. DEVIATION",2,$F$1))))</f>
        <v/>
      </c>
      <c r="AF541" s="1" t="str">
        <f>IF(OR($B541="",AF$7=""),"",IF($B541="MEANS",INDEX('1-DATA'!$1:$1048576,$A540-1,COLUMN('1-DATA'!AE539)),ROUND(INDEX('1-DATA'!$1:$1048576,IF(OR($B541="STD. DEVIATION",$C$1=1),$A541,$A541+1),COLUMN('1-DATA'!AE539)),IF($B541="STD. DEVIATION",2,$F$1))))</f>
        <v/>
      </c>
      <c r="AG541" s="1" t="str">
        <f>IF(OR($B541="",AG$7=""),"",IF($B541="MEANS",INDEX('1-DATA'!$1:$1048576,$A540-1,COLUMN('1-DATA'!AF539)),ROUND(INDEX('1-DATA'!$1:$1048576,IF(OR($B541="STD. DEVIATION",$C$1=1),$A541,$A541+1),COLUMN('1-DATA'!AF539)),IF($B541="STD. DEVIATION",2,$F$1))))</f>
        <v/>
      </c>
      <c r="AH541" s="1" t="str">
        <f>IF(OR($B541="",AH$7=""),"",IF($B541="MEANS",INDEX('1-DATA'!$1:$1048576,$A540-1,COLUMN('1-DATA'!AG539)),ROUND(INDEX('1-DATA'!$1:$1048576,IF(OR($B541="STD. DEVIATION",$C$1=1),$A541,$A541+1),COLUMN('1-DATA'!AG539)),IF($B541="STD. DEVIATION",2,$F$1))))</f>
        <v/>
      </c>
      <c r="AI541" s="1" t="str">
        <f>IF(OR($B541="",AI$7=""),"",IF($B541="MEANS",INDEX('1-DATA'!$1:$1048576,$A540-1,COLUMN('1-DATA'!AH539)),ROUND(INDEX('1-DATA'!$1:$1048576,IF(OR($B541="STD. DEVIATION",$C$1=1),$A541,$A541+1),COLUMN('1-DATA'!AH539)),IF($B541="STD. DEVIATION",2,$F$1))))</f>
        <v/>
      </c>
      <c r="AJ541" s="1" t="str">
        <f>IF(OR($B541="",AJ$7=""),"",IF($B541="MEANS",INDEX('1-DATA'!$1:$1048576,$A540-1,COLUMN('1-DATA'!AI539)),ROUND(INDEX('1-DATA'!$1:$1048576,IF(OR($B541="STD. DEVIATION",$C$1=1),$A541,$A541+1),COLUMN('1-DATA'!AI539)),IF($B541="STD. DEVIATION",2,$F$1))))</f>
        <v/>
      </c>
      <c r="AK541" s="1" t="str">
        <f>IF(OR($B541="",AK$7=""),"",IF($B541="MEANS",INDEX('1-DATA'!$1:$1048576,$A540-1,COLUMN('1-DATA'!AJ539)),ROUND(INDEX('1-DATA'!$1:$1048576,IF(OR($B541="STD. DEVIATION",$C$1=1),$A541,$A541+1),COLUMN('1-DATA'!AJ539)),IF($B541="STD. DEVIATION",2,$F$1))))</f>
        <v/>
      </c>
      <c r="AL541" s="1" t="str">
        <f>IF(OR($B541="",AL$7=""),"",IF($B541="MEANS",INDEX('1-DATA'!$1:$1048576,$A540-1,COLUMN('1-DATA'!AK539)),ROUND(INDEX('1-DATA'!$1:$1048576,IF(OR($B541="STD. DEVIATION",$C$1=1),$A541,$A541+1),COLUMN('1-DATA'!AK539)),IF($B541="STD. DEVIATION",2,$F$1))))</f>
        <v/>
      </c>
      <c r="AM541" s="1" t="str">
        <f>IF(OR($B541="",AM$7=""),"",IF($B541="MEANS",INDEX('1-DATA'!$1:$1048576,$A540-1,COLUMN('1-DATA'!AL539)),ROUND(INDEX('1-DATA'!$1:$1048576,IF(OR($B541="STD. DEVIATION",$C$1=1),$A541,$A541+1),COLUMN('1-DATA'!AL539)),IF($B541="STD. DEVIATION",2,$F$1))))</f>
        <v/>
      </c>
      <c r="AN541" s="1" t="str">
        <f>IF(OR($B541="",AN$7=""),"",IF($B541="MEANS",INDEX('1-DATA'!$1:$1048576,$A540-1,COLUMN('1-DATA'!AM539)),ROUND(INDEX('1-DATA'!$1:$1048576,IF(OR($B541="STD. DEVIATION",$C$1=1),$A541,$A541+1),COLUMN('1-DATA'!AM539)),IF($B541="STD. DEVIATION",2,$F$1))))</f>
        <v/>
      </c>
      <c r="AO541" s="1" t="str">
        <f>IF(OR($B541="",AO$7=""),"",IF($B541="MEANS",INDEX('1-DATA'!$1:$1048576,$A540-1,COLUMN('1-DATA'!AN539)),ROUND(INDEX('1-DATA'!$1:$1048576,IF(OR($B541="STD. DEVIATION",$C$1=1),$A541,$A541+1),COLUMN('1-DATA'!AN539)),IF($B541="STD. DEVIATION",2,$F$1))))</f>
        <v/>
      </c>
      <c r="AP541" s="1" t="str">
        <f>IF(OR($B541="",AP$7=""),"",IF($B541="MEANS",INDEX('1-DATA'!$1:$1048576,$A540-1,COLUMN('1-DATA'!AO539)),ROUND(INDEX('1-DATA'!$1:$1048576,IF(OR($B541="STD. DEVIATION",$C$1=1),$A541,$A541+1),COLUMN('1-DATA'!AO539)),IF($B541="STD. DEVIATION",2,$F$1))))</f>
        <v/>
      </c>
      <c r="AQ541" s="1" t="str">
        <f>IF(OR($B541="",AQ$7=""),"",IF($B541="MEANS",INDEX('1-DATA'!$1:$1048576,$A540-1,COLUMN('1-DATA'!AP539)),ROUND(INDEX('1-DATA'!$1:$1048576,IF(OR($B541="STD. DEVIATION",$C$1=1),$A541,$A541+1),COLUMN('1-DATA'!AP539)),IF($B541="STD. DEVIATION",2,$F$1))))</f>
        <v/>
      </c>
      <c r="AR541" s="1" t="str">
        <f>IF(OR($B541="",AR$7=""),"",IF($B541="MEANS",INDEX('1-DATA'!$1:$1048576,$A540-1,COLUMN('1-DATA'!AQ539)),ROUND(INDEX('1-DATA'!$1:$1048576,IF(OR($B541="STD. DEVIATION",$C$1=1),$A541,$A541+1),COLUMN('1-DATA'!AQ539)),IF($B541="STD. DEVIATION",2,$F$1))))</f>
        <v/>
      </c>
      <c r="AS541" s="1" t="str">
        <f>IF(OR($B541="",AS$7=""),"",IF($B541="MEANS",INDEX('1-DATA'!$1:$1048576,$A540-1,COLUMN('1-DATA'!AR539)),ROUND(INDEX('1-DATA'!$1:$1048576,IF(OR($B541="STD. DEVIATION",$C$1=1),$A541,$A541+1),COLUMN('1-DATA'!AR539)),IF($B541="STD. DEVIATION",2,$F$1))))</f>
        <v/>
      </c>
      <c r="AT541" s="1" t="str">
        <f>IF(OR($B541="",AT$7=""),"",IF($B541="MEANS",INDEX('1-DATA'!$1:$1048576,$A540-1,COLUMN('1-DATA'!AS539)),ROUND(INDEX('1-DATA'!$1:$1048576,IF(OR($B541="STD. DEVIATION",$C$1=1),$A541,$A541+1),COLUMN('1-DATA'!AS539)),IF($B541="STD. DEVIATION",2,$F$1))))</f>
        <v/>
      </c>
      <c r="AU541" s="1" t="str">
        <f>IF(OR($B541="",AU$7=""),"",IF($B541="MEANS",INDEX('1-DATA'!$1:$1048576,$A540-1,COLUMN('1-DATA'!AT539)),ROUND(INDEX('1-DATA'!$1:$1048576,IF(OR($B541="STD. DEVIATION",$C$1=1),$A541,$A541+1),COLUMN('1-DATA'!AT539)),IF($B541="STD. DEVIATION",2,$F$1))))</f>
        <v/>
      </c>
      <c r="AV541" s="1" t="str">
        <f>IF(OR($B541="",AV$7=""),"",IF($B541="MEANS",INDEX('1-DATA'!$1:$1048576,$A540-1,COLUMN('1-DATA'!AU539)),ROUND(INDEX('1-DATA'!$1:$1048576,IF(OR($B541="STD. DEVIATION",$C$1=1),$A541,$A541+1),COLUMN('1-DATA'!AU539)),IF($B541="STD. DEVIATION",2,$F$1))))</f>
        <v/>
      </c>
      <c r="AW541" s="1" t="str">
        <f>IF(OR($B541="",AW$7=""),"",IF($B541="MEANS",INDEX('1-DATA'!$1:$1048576,$A540-1,COLUMN('1-DATA'!AV539)),ROUND(INDEX('1-DATA'!$1:$1048576,IF(OR($B541="STD. DEVIATION",$C$1=1),$A541,$A541+1),COLUMN('1-DATA'!AV539)),IF($B541="STD. DEVIATION",2,$F$1))))</f>
        <v/>
      </c>
      <c r="AX541" s="1" t="str">
        <f>IF(OR($B541="",AX$7=""),"",IF($B541="MEANS",INDEX('1-DATA'!$1:$1048576,$A540-1,COLUMN('1-DATA'!AW539)),ROUND(INDEX('1-DATA'!$1:$1048576,IF(OR($B541="STD. DEVIATION",$C$1=1),$A541,$A541+1),COLUMN('1-DATA'!AW539)),IF($B541="STD. DEVIATION",2,$F$1))))</f>
        <v/>
      </c>
      <c r="AY541" s="1" t="str">
        <f>IF(OR($B541="",AY$7=""),"",IF($B541="MEANS",INDEX('1-DATA'!$1:$1048576,$A540-1,COLUMN('1-DATA'!AX539)),ROUND(INDEX('1-DATA'!$1:$1048576,IF(OR($B541="STD. DEVIATION",$C$1=1),$A541,$A541+1),COLUMN('1-DATA'!AX539)),IF($B541="STD. DEVIATION",2,$F$1))))</f>
        <v/>
      </c>
      <c r="AZ541" s="1" t="str">
        <f>IF(OR($B541="",AZ$7=""),"",IF($B541="MEANS",INDEX('1-DATA'!$1:$1048576,$A540-1,COLUMN('1-DATA'!AY539)),ROUND(INDEX('1-DATA'!$1:$1048576,IF(OR($B541="STD. DEVIATION",$C$1=1),$A541,$A541+1),COLUMN('1-DATA'!AY539)),IF($B541="STD. DEVIATION",2,$F$1))))</f>
        <v/>
      </c>
    </row>
    <row r="542" spans="1:52" x14ac:dyDescent="0.25">
      <c r="A542" s="11">
        <f t="shared" ref="A542:A605" si="9">A541+3</f>
        <v>1612</v>
      </c>
      <c r="B542" s="1" t="str">
        <f>IF(B541="STD. DEVIATION",INDEX('1-DATA'!$1:$1048576,$A541-1,1),IF(INDEX('1-DATA'!$1:$1048576,$A542,1)&lt;&gt;"",INDEX('1-DATA'!$1:$1048576,$A542,1),""))</f>
        <v/>
      </c>
      <c r="C542" s="1" t="str">
        <f>IF(OR($B542="",C$7=""),"",IF($B542="MEANS",INDEX('1-DATA'!$1:$1048576,$A541-1,COLUMN('1-DATA'!B540)),ROUND(INDEX('1-DATA'!$1:$1048576,IF(OR($B542="STD. DEVIATION",$C$1=1),$A542,$A542+1),COLUMN('1-DATA'!B540)),IF($B542="STD. DEVIATION",2,$F$1))))</f>
        <v/>
      </c>
      <c r="D542" s="1" t="str">
        <f>IF(OR($B542="",D$7=""),"",IF($B542="MEANS",INDEX('1-DATA'!$1:$1048576,$A541-1,COLUMN('1-DATA'!C540)),ROUND(INDEX('1-DATA'!$1:$1048576,IF(OR($B542="STD. DEVIATION",$C$1=1),$A542,$A542+1),COLUMN('1-DATA'!C540)),IF($B542="STD. DEVIATION",2,$F$1))))</f>
        <v/>
      </c>
      <c r="E542" s="1" t="str">
        <f>IF(OR($B542="",E$7=""),"",IF($B542="MEANS",INDEX('1-DATA'!$1:$1048576,$A541-1,COLUMN('1-DATA'!D540)),ROUND(INDEX('1-DATA'!$1:$1048576,IF(OR($B542="STD. DEVIATION",$C$1=1),$A542,$A542+1),COLUMN('1-DATA'!D540)),IF($B542="STD. DEVIATION",2,$F$1))))</f>
        <v/>
      </c>
      <c r="F542" s="1" t="str">
        <f>IF(OR($B542="",F$7=""),"",IF($B542="MEANS",INDEX('1-DATA'!$1:$1048576,$A541-1,COLUMN('1-DATA'!E540)),ROUND(INDEX('1-DATA'!$1:$1048576,IF(OR($B542="STD. DEVIATION",$C$1=1),$A542,$A542+1),COLUMN('1-DATA'!E540)),IF($B542="STD. DEVIATION",2,$F$1))))</f>
        <v/>
      </c>
      <c r="G542" s="1" t="str">
        <f>IF(OR($B542="",G$7=""),"",IF($B542="MEANS",INDEX('1-DATA'!$1:$1048576,$A541-1,COLUMN('1-DATA'!F540)),ROUND(INDEX('1-DATA'!$1:$1048576,IF(OR($B542="STD. DEVIATION",$C$1=1),$A542,$A542+1),COLUMN('1-DATA'!F540)),IF($B542="STD. DEVIATION",2,$F$1))))</f>
        <v/>
      </c>
      <c r="H542" s="1" t="str">
        <f>IF(OR($B542="",H$7=""),"",IF($B542="MEANS",INDEX('1-DATA'!$1:$1048576,$A541-1,COLUMN('1-DATA'!G540)),ROUND(INDEX('1-DATA'!$1:$1048576,IF(OR($B542="STD. DEVIATION",$C$1=1),$A542,$A542+1),COLUMN('1-DATA'!G540)),IF($B542="STD. DEVIATION",2,$F$1))))</f>
        <v/>
      </c>
      <c r="I542" s="1" t="str">
        <f>IF(OR($B542="",I$7=""),"",IF($B542="MEANS",INDEX('1-DATA'!$1:$1048576,$A541-1,COLUMN('1-DATA'!H540)),ROUND(INDEX('1-DATA'!$1:$1048576,IF(OR($B542="STD. DEVIATION",$C$1=1),$A542,$A542+1),COLUMN('1-DATA'!H540)),IF($B542="STD. DEVIATION",2,$F$1))))</f>
        <v/>
      </c>
      <c r="J542" s="1" t="str">
        <f>IF(OR($B542="",J$7=""),"",IF($B542="MEANS",INDEX('1-DATA'!$1:$1048576,$A541-1,COLUMN('1-DATA'!I540)),ROUND(INDEX('1-DATA'!$1:$1048576,IF(OR($B542="STD. DEVIATION",$C$1=1),$A542,$A542+1),COLUMN('1-DATA'!I540)),IF($B542="STD. DEVIATION",2,$F$1))))</f>
        <v/>
      </c>
      <c r="K542" s="1" t="str">
        <f>IF(OR($B542="",K$7=""),"",IF($B542="MEANS",INDEX('1-DATA'!$1:$1048576,$A541-1,COLUMN('1-DATA'!J540)),ROUND(INDEX('1-DATA'!$1:$1048576,IF(OR($B542="STD. DEVIATION",$C$1=1),$A542,$A542+1),COLUMN('1-DATA'!J540)),IF($B542="STD. DEVIATION",2,$F$1))))</f>
        <v/>
      </c>
      <c r="L542" s="1" t="str">
        <f>IF(OR($B542="",L$7=""),"",IF($B542="MEANS",INDEX('1-DATA'!$1:$1048576,$A541-1,COLUMN('1-DATA'!K540)),ROUND(INDEX('1-DATA'!$1:$1048576,IF(OR($B542="STD. DEVIATION",$C$1=1),$A542,$A542+1),COLUMN('1-DATA'!K540)),IF($B542="STD. DEVIATION",2,$F$1))))</f>
        <v/>
      </c>
      <c r="M542" s="1" t="str">
        <f>IF(OR($B542="",M$7=""),"",IF($B542="MEANS",INDEX('1-DATA'!$1:$1048576,$A541-1,COLUMN('1-DATA'!L540)),ROUND(INDEX('1-DATA'!$1:$1048576,IF(OR($B542="STD. DEVIATION",$C$1=1),$A542,$A542+1),COLUMN('1-DATA'!L540)),IF($B542="STD. DEVIATION",2,$F$1))))</f>
        <v/>
      </c>
      <c r="N542" s="1" t="str">
        <f>IF(OR($B542="",N$7=""),"",IF($B542="MEANS",INDEX('1-DATA'!$1:$1048576,$A541-1,COLUMN('1-DATA'!M540)),ROUND(INDEX('1-DATA'!$1:$1048576,IF(OR($B542="STD. DEVIATION",$C$1=1),$A542,$A542+1),COLUMN('1-DATA'!M540)),IF($B542="STD. DEVIATION",2,$F$1))))</f>
        <v/>
      </c>
      <c r="O542" s="1" t="str">
        <f>IF(OR($B542="",O$7=""),"",IF($B542="MEANS",INDEX('1-DATA'!$1:$1048576,$A541-1,COLUMN('1-DATA'!N540)),ROUND(INDEX('1-DATA'!$1:$1048576,IF(OR($B542="STD. DEVIATION",$C$1=1),$A542,$A542+1),COLUMN('1-DATA'!N540)),IF($B542="STD. DEVIATION",2,$F$1))))</f>
        <v/>
      </c>
      <c r="P542" s="1" t="str">
        <f>IF(OR($B542="",P$7=""),"",IF($B542="MEANS",INDEX('1-DATA'!$1:$1048576,$A541-1,COLUMN('1-DATA'!O540)),ROUND(INDEX('1-DATA'!$1:$1048576,IF(OR($B542="STD. DEVIATION",$C$1=1),$A542,$A542+1),COLUMN('1-DATA'!O540)),IF($B542="STD. DEVIATION",2,$F$1))))</f>
        <v/>
      </c>
      <c r="Q542" s="1" t="str">
        <f>IF(OR($B542="",Q$7=""),"",IF($B542="MEANS",INDEX('1-DATA'!$1:$1048576,$A541-1,COLUMN('1-DATA'!P540)),ROUND(INDEX('1-DATA'!$1:$1048576,IF(OR($B542="STD. DEVIATION",$C$1=1),$A542,$A542+1),COLUMN('1-DATA'!P540)),IF($B542="STD. DEVIATION",2,$F$1))))</f>
        <v/>
      </c>
      <c r="R542" s="1" t="str">
        <f>IF(OR($B542="",R$7=""),"",IF($B542="MEANS",INDEX('1-DATA'!$1:$1048576,$A541-1,COLUMN('1-DATA'!Q540)),ROUND(INDEX('1-DATA'!$1:$1048576,IF(OR($B542="STD. DEVIATION",$C$1=1),$A542,$A542+1),COLUMN('1-DATA'!Q540)),IF($B542="STD. DEVIATION",2,$F$1))))</f>
        <v/>
      </c>
      <c r="S542" s="1" t="str">
        <f>IF(OR($B542="",S$7=""),"",IF($B542="MEANS",INDEX('1-DATA'!$1:$1048576,$A541-1,COLUMN('1-DATA'!R540)),ROUND(INDEX('1-DATA'!$1:$1048576,IF(OR($B542="STD. DEVIATION",$C$1=1),$A542,$A542+1),COLUMN('1-DATA'!R540)),IF($B542="STD. DEVIATION",2,$F$1))))</f>
        <v/>
      </c>
      <c r="T542" s="1" t="str">
        <f>IF(OR($B542="",T$7=""),"",IF($B542="MEANS",INDEX('1-DATA'!$1:$1048576,$A541-1,COLUMN('1-DATA'!S540)),ROUND(INDEX('1-DATA'!$1:$1048576,IF(OR($B542="STD. DEVIATION",$C$1=1),$A542,$A542+1),COLUMN('1-DATA'!S540)),IF($B542="STD. DEVIATION",2,$F$1))))</f>
        <v/>
      </c>
      <c r="U542" s="1" t="str">
        <f>IF(OR($B542="",U$7=""),"",IF($B542="MEANS",INDEX('1-DATA'!$1:$1048576,$A541-1,COLUMN('1-DATA'!T540)),ROUND(INDEX('1-DATA'!$1:$1048576,IF(OR($B542="STD. DEVIATION",$C$1=1),$A542,$A542+1),COLUMN('1-DATA'!T540)),IF($B542="STD. DEVIATION",2,$F$1))))</f>
        <v/>
      </c>
      <c r="V542" s="1" t="str">
        <f>IF(OR($B542="",V$7=""),"",IF($B542="MEANS",INDEX('1-DATA'!$1:$1048576,$A541-1,COLUMN('1-DATA'!U540)),ROUND(INDEX('1-DATA'!$1:$1048576,IF(OR($B542="STD. DEVIATION",$C$1=1),$A542,$A542+1),COLUMN('1-DATA'!U540)),IF($B542="STD. DEVIATION",2,$F$1))))</f>
        <v/>
      </c>
      <c r="W542" s="1" t="str">
        <f>IF(OR($B542="",W$7=""),"",IF($B542="MEANS",INDEX('1-DATA'!$1:$1048576,$A541-1,COLUMN('1-DATA'!V540)),ROUND(INDEX('1-DATA'!$1:$1048576,IF(OR($B542="STD. DEVIATION",$C$1=1),$A542,$A542+1),COLUMN('1-DATA'!V540)),IF($B542="STD. DEVIATION",2,$F$1))))</f>
        <v/>
      </c>
      <c r="X542" s="1" t="str">
        <f>IF(OR($B542="",X$7=""),"",IF($B542="MEANS",INDEX('1-DATA'!$1:$1048576,$A541-1,COLUMN('1-DATA'!W540)),ROUND(INDEX('1-DATA'!$1:$1048576,IF(OR($B542="STD. DEVIATION",$C$1=1),$A542,$A542+1),COLUMN('1-DATA'!W540)),IF($B542="STD. DEVIATION",2,$F$1))))</f>
        <v/>
      </c>
      <c r="Y542" s="1" t="str">
        <f>IF(OR($B542="",Y$7=""),"",IF($B542="MEANS",INDEX('1-DATA'!$1:$1048576,$A541-1,COLUMN('1-DATA'!X540)),ROUND(INDEX('1-DATA'!$1:$1048576,IF(OR($B542="STD. DEVIATION",$C$1=1),$A542,$A542+1),COLUMN('1-DATA'!X540)),IF($B542="STD. DEVIATION",2,$F$1))))</f>
        <v/>
      </c>
      <c r="Z542" s="1" t="str">
        <f>IF(OR($B542="",Z$7=""),"",IF($B542="MEANS",INDEX('1-DATA'!$1:$1048576,$A541-1,COLUMN('1-DATA'!Y540)),ROUND(INDEX('1-DATA'!$1:$1048576,IF(OR($B542="STD. DEVIATION",$C$1=1),$A542,$A542+1),COLUMN('1-DATA'!Y540)),IF($B542="STD. DEVIATION",2,$F$1))))</f>
        <v/>
      </c>
      <c r="AA542" s="1" t="str">
        <f>IF(OR($B542="",AA$7=""),"",IF($B542="MEANS",INDEX('1-DATA'!$1:$1048576,$A541-1,COLUMN('1-DATA'!Z540)),ROUND(INDEX('1-DATA'!$1:$1048576,IF(OR($B542="STD. DEVIATION",$C$1=1),$A542,$A542+1),COLUMN('1-DATA'!Z540)),IF($B542="STD. DEVIATION",2,$F$1))))</f>
        <v/>
      </c>
      <c r="AB542" s="1" t="str">
        <f>IF(OR($B542="",AB$7=""),"",IF($B542="MEANS",INDEX('1-DATA'!$1:$1048576,$A541-1,COLUMN('1-DATA'!AA540)),ROUND(INDEX('1-DATA'!$1:$1048576,IF(OR($B542="STD. DEVIATION",$C$1=1),$A542,$A542+1),COLUMN('1-DATA'!AA540)),IF($B542="STD. DEVIATION",2,$F$1))))</f>
        <v/>
      </c>
      <c r="AC542" s="1" t="str">
        <f>IF(OR($B542="",AC$7=""),"",IF($B542="MEANS",INDEX('1-DATA'!$1:$1048576,$A541-1,COLUMN('1-DATA'!AB540)),ROUND(INDEX('1-DATA'!$1:$1048576,IF(OR($B542="STD. DEVIATION",$C$1=1),$A542,$A542+1),COLUMN('1-DATA'!AB540)),IF($B542="STD. DEVIATION",2,$F$1))))</f>
        <v/>
      </c>
      <c r="AD542" s="1" t="str">
        <f>IF(OR($B542="",AD$7=""),"",IF($B542="MEANS",INDEX('1-DATA'!$1:$1048576,$A541-1,COLUMN('1-DATA'!AC540)),ROUND(INDEX('1-DATA'!$1:$1048576,IF(OR($B542="STD. DEVIATION",$C$1=1),$A542,$A542+1),COLUMN('1-DATA'!AC540)),IF($B542="STD. DEVIATION",2,$F$1))))</f>
        <v/>
      </c>
      <c r="AE542" s="1" t="str">
        <f>IF(OR($B542="",AE$7=""),"",IF($B542="MEANS",INDEX('1-DATA'!$1:$1048576,$A541-1,COLUMN('1-DATA'!AD540)),ROUND(INDEX('1-DATA'!$1:$1048576,IF(OR($B542="STD. DEVIATION",$C$1=1),$A542,$A542+1),COLUMN('1-DATA'!AD540)),IF($B542="STD. DEVIATION",2,$F$1))))</f>
        <v/>
      </c>
      <c r="AF542" s="1" t="str">
        <f>IF(OR($B542="",AF$7=""),"",IF($B542="MEANS",INDEX('1-DATA'!$1:$1048576,$A541-1,COLUMN('1-DATA'!AE540)),ROUND(INDEX('1-DATA'!$1:$1048576,IF(OR($B542="STD. DEVIATION",$C$1=1),$A542,$A542+1),COLUMN('1-DATA'!AE540)),IF($B542="STD. DEVIATION",2,$F$1))))</f>
        <v/>
      </c>
      <c r="AG542" s="1" t="str">
        <f>IF(OR($B542="",AG$7=""),"",IF($B542="MEANS",INDEX('1-DATA'!$1:$1048576,$A541-1,COLUMN('1-DATA'!AF540)),ROUND(INDEX('1-DATA'!$1:$1048576,IF(OR($B542="STD. DEVIATION",$C$1=1),$A542,$A542+1),COLUMN('1-DATA'!AF540)),IF($B542="STD. DEVIATION",2,$F$1))))</f>
        <v/>
      </c>
      <c r="AH542" s="1" t="str">
        <f>IF(OR($B542="",AH$7=""),"",IF($B542="MEANS",INDEX('1-DATA'!$1:$1048576,$A541-1,COLUMN('1-DATA'!AG540)),ROUND(INDEX('1-DATA'!$1:$1048576,IF(OR($B542="STD. DEVIATION",$C$1=1),$A542,$A542+1),COLUMN('1-DATA'!AG540)),IF($B542="STD. DEVIATION",2,$F$1))))</f>
        <v/>
      </c>
      <c r="AI542" s="1" t="str">
        <f>IF(OR($B542="",AI$7=""),"",IF($B542="MEANS",INDEX('1-DATA'!$1:$1048576,$A541-1,COLUMN('1-DATA'!AH540)),ROUND(INDEX('1-DATA'!$1:$1048576,IF(OR($B542="STD. DEVIATION",$C$1=1),$A542,$A542+1),COLUMN('1-DATA'!AH540)),IF($B542="STD. DEVIATION",2,$F$1))))</f>
        <v/>
      </c>
      <c r="AJ542" s="1" t="str">
        <f>IF(OR($B542="",AJ$7=""),"",IF($B542="MEANS",INDEX('1-DATA'!$1:$1048576,$A541-1,COLUMN('1-DATA'!AI540)),ROUND(INDEX('1-DATA'!$1:$1048576,IF(OR($B542="STD. DEVIATION",$C$1=1),$A542,$A542+1),COLUMN('1-DATA'!AI540)),IF($B542="STD. DEVIATION",2,$F$1))))</f>
        <v/>
      </c>
      <c r="AK542" s="1" t="str">
        <f>IF(OR($B542="",AK$7=""),"",IF($B542="MEANS",INDEX('1-DATA'!$1:$1048576,$A541-1,COLUMN('1-DATA'!AJ540)),ROUND(INDEX('1-DATA'!$1:$1048576,IF(OR($B542="STD. DEVIATION",$C$1=1),$A542,$A542+1),COLUMN('1-DATA'!AJ540)),IF($B542="STD. DEVIATION",2,$F$1))))</f>
        <v/>
      </c>
      <c r="AL542" s="1" t="str">
        <f>IF(OR($B542="",AL$7=""),"",IF($B542="MEANS",INDEX('1-DATA'!$1:$1048576,$A541-1,COLUMN('1-DATA'!AK540)),ROUND(INDEX('1-DATA'!$1:$1048576,IF(OR($B542="STD. DEVIATION",$C$1=1),$A542,$A542+1),COLUMN('1-DATA'!AK540)),IF($B542="STD. DEVIATION",2,$F$1))))</f>
        <v/>
      </c>
      <c r="AM542" s="1" t="str">
        <f>IF(OR($B542="",AM$7=""),"",IF($B542="MEANS",INDEX('1-DATA'!$1:$1048576,$A541-1,COLUMN('1-DATA'!AL540)),ROUND(INDEX('1-DATA'!$1:$1048576,IF(OR($B542="STD. DEVIATION",$C$1=1),$A542,$A542+1),COLUMN('1-DATA'!AL540)),IF($B542="STD. DEVIATION",2,$F$1))))</f>
        <v/>
      </c>
      <c r="AN542" s="1" t="str">
        <f>IF(OR($B542="",AN$7=""),"",IF($B542="MEANS",INDEX('1-DATA'!$1:$1048576,$A541-1,COLUMN('1-DATA'!AM540)),ROUND(INDEX('1-DATA'!$1:$1048576,IF(OR($B542="STD. DEVIATION",$C$1=1),$A542,$A542+1),COLUMN('1-DATA'!AM540)),IF($B542="STD. DEVIATION",2,$F$1))))</f>
        <v/>
      </c>
      <c r="AO542" s="1" t="str">
        <f>IF(OR($B542="",AO$7=""),"",IF($B542="MEANS",INDEX('1-DATA'!$1:$1048576,$A541-1,COLUMN('1-DATA'!AN540)),ROUND(INDEX('1-DATA'!$1:$1048576,IF(OR($B542="STD. DEVIATION",$C$1=1),$A542,$A542+1),COLUMN('1-DATA'!AN540)),IF($B542="STD. DEVIATION",2,$F$1))))</f>
        <v/>
      </c>
      <c r="AP542" s="1" t="str">
        <f>IF(OR($B542="",AP$7=""),"",IF($B542="MEANS",INDEX('1-DATA'!$1:$1048576,$A541-1,COLUMN('1-DATA'!AO540)),ROUND(INDEX('1-DATA'!$1:$1048576,IF(OR($B542="STD. DEVIATION",$C$1=1),$A542,$A542+1),COLUMN('1-DATA'!AO540)),IF($B542="STD. DEVIATION",2,$F$1))))</f>
        <v/>
      </c>
      <c r="AQ542" s="1" t="str">
        <f>IF(OR($B542="",AQ$7=""),"",IF($B542="MEANS",INDEX('1-DATA'!$1:$1048576,$A541-1,COLUMN('1-DATA'!AP540)),ROUND(INDEX('1-DATA'!$1:$1048576,IF(OR($B542="STD. DEVIATION",$C$1=1),$A542,$A542+1),COLUMN('1-DATA'!AP540)),IF($B542="STD. DEVIATION",2,$F$1))))</f>
        <v/>
      </c>
      <c r="AR542" s="1" t="str">
        <f>IF(OR($B542="",AR$7=""),"",IF($B542="MEANS",INDEX('1-DATA'!$1:$1048576,$A541-1,COLUMN('1-DATA'!AQ540)),ROUND(INDEX('1-DATA'!$1:$1048576,IF(OR($B542="STD. DEVIATION",$C$1=1),$A542,$A542+1),COLUMN('1-DATA'!AQ540)),IF($B542="STD. DEVIATION",2,$F$1))))</f>
        <v/>
      </c>
      <c r="AS542" s="1" t="str">
        <f>IF(OR($B542="",AS$7=""),"",IF($B542="MEANS",INDEX('1-DATA'!$1:$1048576,$A541-1,COLUMN('1-DATA'!AR540)),ROUND(INDEX('1-DATA'!$1:$1048576,IF(OR($B542="STD. DEVIATION",$C$1=1),$A542,$A542+1),COLUMN('1-DATA'!AR540)),IF($B542="STD. DEVIATION",2,$F$1))))</f>
        <v/>
      </c>
      <c r="AT542" s="1" t="str">
        <f>IF(OR($B542="",AT$7=""),"",IF($B542="MEANS",INDEX('1-DATA'!$1:$1048576,$A541-1,COLUMN('1-DATA'!AS540)),ROUND(INDEX('1-DATA'!$1:$1048576,IF(OR($B542="STD. DEVIATION",$C$1=1),$A542,$A542+1),COLUMN('1-DATA'!AS540)),IF($B542="STD. DEVIATION",2,$F$1))))</f>
        <v/>
      </c>
      <c r="AU542" s="1" t="str">
        <f>IF(OR($B542="",AU$7=""),"",IF($B542="MEANS",INDEX('1-DATA'!$1:$1048576,$A541-1,COLUMN('1-DATA'!AT540)),ROUND(INDEX('1-DATA'!$1:$1048576,IF(OR($B542="STD. DEVIATION",$C$1=1),$A542,$A542+1),COLUMN('1-DATA'!AT540)),IF($B542="STD. DEVIATION",2,$F$1))))</f>
        <v/>
      </c>
      <c r="AV542" s="1" t="str">
        <f>IF(OR($B542="",AV$7=""),"",IF($B542="MEANS",INDEX('1-DATA'!$1:$1048576,$A541-1,COLUMN('1-DATA'!AU540)),ROUND(INDEX('1-DATA'!$1:$1048576,IF(OR($B542="STD. DEVIATION",$C$1=1),$A542,$A542+1),COLUMN('1-DATA'!AU540)),IF($B542="STD. DEVIATION",2,$F$1))))</f>
        <v/>
      </c>
      <c r="AW542" s="1" t="str">
        <f>IF(OR($B542="",AW$7=""),"",IF($B542="MEANS",INDEX('1-DATA'!$1:$1048576,$A541-1,COLUMN('1-DATA'!AV540)),ROUND(INDEX('1-DATA'!$1:$1048576,IF(OR($B542="STD. DEVIATION",$C$1=1),$A542,$A542+1),COLUMN('1-DATA'!AV540)),IF($B542="STD. DEVIATION",2,$F$1))))</f>
        <v/>
      </c>
      <c r="AX542" s="1" t="str">
        <f>IF(OR($B542="",AX$7=""),"",IF($B542="MEANS",INDEX('1-DATA'!$1:$1048576,$A541-1,COLUMN('1-DATA'!AW540)),ROUND(INDEX('1-DATA'!$1:$1048576,IF(OR($B542="STD. DEVIATION",$C$1=1),$A542,$A542+1),COLUMN('1-DATA'!AW540)),IF($B542="STD. DEVIATION",2,$F$1))))</f>
        <v/>
      </c>
      <c r="AY542" s="1" t="str">
        <f>IF(OR($B542="",AY$7=""),"",IF($B542="MEANS",INDEX('1-DATA'!$1:$1048576,$A541-1,COLUMN('1-DATA'!AX540)),ROUND(INDEX('1-DATA'!$1:$1048576,IF(OR($B542="STD. DEVIATION",$C$1=1),$A542,$A542+1),COLUMN('1-DATA'!AX540)),IF($B542="STD. DEVIATION",2,$F$1))))</f>
        <v/>
      </c>
      <c r="AZ542" s="1" t="str">
        <f>IF(OR($B542="",AZ$7=""),"",IF($B542="MEANS",INDEX('1-DATA'!$1:$1048576,$A541-1,COLUMN('1-DATA'!AY540)),ROUND(INDEX('1-DATA'!$1:$1048576,IF(OR($B542="STD. DEVIATION",$C$1=1),$A542,$A542+1),COLUMN('1-DATA'!AY540)),IF($B542="STD. DEVIATION",2,$F$1))))</f>
        <v/>
      </c>
    </row>
    <row r="543" spans="1:52" x14ac:dyDescent="0.25">
      <c r="A543" s="11">
        <f t="shared" si="9"/>
        <v>1615</v>
      </c>
      <c r="B543" s="1" t="str">
        <f>IF(B542="STD. DEVIATION",INDEX('1-DATA'!$1:$1048576,$A542-1,1),IF(INDEX('1-DATA'!$1:$1048576,$A543,1)&lt;&gt;"",INDEX('1-DATA'!$1:$1048576,$A543,1),""))</f>
        <v/>
      </c>
      <c r="C543" s="1" t="str">
        <f>IF(OR($B543="",C$7=""),"",IF($B543="MEANS",INDEX('1-DATA'!$1:$1048576,$A542-1,COLUMN('1-DATA'!B541)),ROUND(INDEX('1-DATA'!$1:$1048576,IF(OR($B543="STD. DEVIATION",$C$1=1),$A543,$A543+1),COLUMN('1-DATA'!B541)),IF($B543="STD. DEVIATION",2,$F$1))))</f>
        <v/>
      </c>
      <c r="D543" s="1" t="str">
        <f>IF(OR($B543="",D$7=""),"",IF($B543="MEANS",INDEX('1-DATA'!$1:$1048576,$A542-1,COLUMN('1-DATA'!C541)),ROUND(INDEX('1-DATA'!$1:$1048576,IF(OR($B543="STD. DEVIATION",$C$1=1),$A543,$A543+1),COLUMN('1-DATA'!C541)),IF($B543="STD. DEVIATION",2,$F$1))))</f>
        <v/>
      </c>
      <c r="E543" s="1" t="str">
        <f>IF(OR($B543="",E$7=""),"",IF($B543="MEANS",INDEX('1-DATA'!$1:$1048576,$A542-1,COLUMN('1-DATA'!D541)),ROUND(INDEX('1-DATA'!$1:$1048576,IF(OR($B543="STD. DEVIATION",$C$1=1),$A543,$A543+1),COLUMN('1-DATA'!D541)),IF($B543="STD. DEVIATION",2,$F$1))))</f>
        <v/>
      </c>
      <c r="F543" s="1" t="str">
        <f>IF(OR($B543="",F$7=""),"",IF($B543="MEANS",INDEX('1-DATA'!$1:$1048576,$A542-1,COLUMN('1-DATA'!E541)),ROUND(INDEX('1-DATA'!$1:$1048576,IF(OR($B543="STD. DEVIATION",$C$1=1),$A543,$A543+1),COLUMN('1-DATA'!E541)),IF($B543="STD. DEVIATION",2,$F$1))))</f>
        <v/>
      </c>
      <c r="G543" s="1" t="str">
        <f>IF(OR($B543="",G$7=""),"",IF($B543="MEANS",INDEX('1-DATA'!$1:$1048576,$A542-1,COLUMN('1-DATA'!F541)),ROUND(INDEX('1-DATA'!$1:$1048576,IF(OR($B543="STD. DEVIATION",$C$1=1),$A543,$A543+1),COLUMN('1-DATA'!F541)),IF($B543="STD. DEVIATION",2,$F$1))))</f>
        <v/>
      </c>
      <c r="H543" s="1" t="str">
        <f>IF(OR($B543="",H$7=""),"",IF($B543="MEANS",INDEX('1-DATA'!$1:$1048576,$A542-1,COLUMN('1-DATA'!G541)),ROUND(INDEX('1-DATA'!$1:$1048576,IF(OR($B543="STD. DEVIATION",$C$1=1),$A543,$A543+1),COLUMN('1-DATA'!G541)),IF($B543="STD. DEVIATION",2,$F$1))))</f>
        <v/>
      </c>
      <c r="I543" s="1" t="str">
        <f>IF(OR($B543="",I$7=""),"",IF($B543="MEANS",INDEX('1-DATA'!$1:$1048576,$A542-1,COLUMN('1-DATA'!H541)),ROUND(INDEX('1-DATA'!$1:$1048576,IF(OR($B543="STD. DEVIATION",$C$1=1),$A543,$A543+1),COLUMN('1-DATA'!H541)),IF($B543="STD. DEVIATION",2,$F$1))))</f>
        <v/>
      </c>
      <c r="J543" s="1" t="str">
        <f>IF(OR($B543="",J$7=""),"",IF($B543="MEANS",INDEX('1-DATA'!$1:$1048576,$A542-1,COLUMN('1-DATA'!I541)),ROUND(INDEX('1-DATA'!$1:$1048576,IF(OR($B543="STD. DEVIATION",$C$1=1),$A543,$A543+1),COLUMN('1-DATA'!I541)),IF($B543="STD. DEVIATION",2,$F$1))))</f>
        <v/>
      </c>
      <c r="K543" s="1" t="str">
        <f>IF(OR($B543="",K$7=""),"",IF($B543="MEANS",INDEX('1-DATA'!$1:$1048576,$A542-1,COLUMN('1-DATA'!J541)),ROUND(INDEX('1-DATA'!$1:$1048576,IF(OR($B543="STD. DEVIATION",$C$1=1),$A543,$A543+1),COLUMN('1-DATA'!J541)),IF($B543="STD. DEVIATION",2,$F$1))))</f>
        <v/>
      </c>
      <c r="L543" s="1" t="str">
        <f>IF(OR($B543="",L$7=""),"",IF($B543="MEANS",INDEX('1-DATA'!$1:$1048576,$A542-1,COLUMN('1-DATA'!K541)),ROUND(INDEX('1-DATA'!$1:$1048576,IF(OR($B543="STD. DEVIATION",$C$1=1),$A543,$A543+1),COLUMN('1-DATA'!K541)),IF($B543="STD. DEVIATION",2,$F$1))))</f>
        <v/>
      </c>
      <c r="M543" s="1" t="str">
        <f>IF(OR($B543="",M$7=""),"",IF($B543="MEANS",INDEX('1-DATA'!$1:$1048576,$A542-1,COLUMN('1-DATA'!L541)),ROUND(INDEX('1-DATA'!$1:$1048576,IF(OR($B543="STD. DEVIATION",$C$1=1),$A543,$A543+1),COLUMN('1-DATA'!L541)),IF($B543="STD. DEVIATION",2,$F$1))))</f>
        <v/>
      </c>
      <c r="N543" s="1" t="str">
        <f>IF(OR($B543="",N$7=""),"",IF($B543="MEANS",INDEX('1-DATA'!$1:$1048576,$A542-1,COLUMN('1-DATA'!M541)),ROUND(INDEX('1-DATA'!$1:$1048576,IF(OR($B543="STD. DEVIATION",$C$1=1),$A543,$A543+1),COLUMN('1-DATA'!M541)),IF($B543="STD. DEVIATION",2,$F$1))))</f>
        <v/>
      </c>
      <c r="O543" s="1" t="str">
        <f>IF(OR($B543="",O$7=""),"",IF($B543="MEANS",INDEX('1-DATA'!$1:$1048576,$A542-1,COLUMN('1-DATA'!N541)),ROUND(INDEX('1-DATA'!$1:$1048576,IF(OR($B543="STD. DEVIATION",$C$1=1),$A543,$A543+1),COLUMN('1-DATA'!N541)),IF($B543="STD. DEVIATION",2,$F$1))))</f>
        <v/>
      </c>
      <c r="P543" s="1" t="str">
        <f>IF(OR($B543="",P$7=""),"",IF($B543="MEANS",INDEX('1-DATA'!$1:$1048576,$A542-1,COLUMN('1-DATA'!O541)),ROUND(INDEX('1-DATA'!$1:$1048576,IF(OR($B543="STD. DEVIATION",$C$1=1),$A543,$A543+1),COLUMN('1-DATA'!O541)),IF($B543="STD. DEVIATION",2,$F$1))))</f>
        <v/>
      </c>
      <c r="Q543" s="1" t="str">
        <f>IF(OR($B543="",Q$7=""),"",IF($B543="MEANS",INDEX('1-DATA'!$1:$1048576,$A542-1,COLUMN('1-DATA'!P541)),ROUND(INDEX('1-DATA'!$1:$1048576,IF(OR($B543="STD. DEVIATION",$C$1=1),$A543,$A543+1),COLUMN('1-DATA'!P541)),IF($B543="STD. DEVIATION",2,$F$1))))</f>
        <v/>
      </c>
      <c r="R543" s="1" t="str">
        <f>IF(OR($B543="",R$7=""),"",IF($B543="MEANS",INDEX('1-DATA'!$1:$1048576,$A542-1,COLUMN('1-DATA'!Q541)),ROUND(INDEX('1-DATA'!$1:$1048576,IF(OR($B543="STD. DEVIATION",$C$1=1),$A543,$A543+1),COLUMN('1-DATA'!Q541)),IF($B543="STD. DEVIATION",2,$F$1))))</f>
        <v/>
      </c>
      <c r="S543" s="1" t="str">
        <f>IF(OR($B543="",S$7=""),"",IF($B543="MEANS",INDEX('1-DATA'!$1:$1048576,$A542-1,COLUMN('1-DATA'!R541)),ROUND(INDEX('1-DATA'!$1:$1048576,IF(OR($B543="STD. DEVIATION",$C$1=1),$A543,$A543+1),COLUMN('1-DATA'!R541)),IF($B543="STD. DEVIATION",2,$F$1))))</f>
        <v/>
      </c>
      <c r="T543" s="1" t="str">
        <f>IF(OR($B543="",T$7=""),"",IF($B543="MEANS",INDEX('1-DATA'!$1:$1048576,$A542-1,COLUMN('1-DATA'!S541)),ROUND(INDEX('1-DATA'!$1:$1048576,IF(OR($B543="STD. DEVIATION",$C$1=1),$A543,$A543+1),COLUMN('1-DATA'!S541)),IF($B543="STD. DEVIATION",2,$F$1))))</f>
        <v/>
      </c>
      <c r="U543" s="1" t="str">
        <f>IF(OR($B543="",U$7=""),"",IF($B543="MEANS",INDEX('1-DATA'!$1:$1048576,$A542-1,COLUMN('1-DATA'!T541)),ROUND(INDEX('1-DATA'!$1:$1048576,IF(OR($B543="STD. DEVIATION",$C$1=1),$A543,$A543+1),COLUMN('1-DATA'!T541)),IF($B543="STD. DEVIATION",2,$F$1))))</f>
        <v/>
      </c>
      <c r="V543" s="1" t="str">
        <f>IF(OR($B543="",V$7=""),"",IF($B543="MEANS",INDEX('1-DATA'!$1:$1048576,$A542-1,COLUMN('1-DATA'!U541)),ROUND(INDEX('1-DATA'!$1:$1048576,IF(OR($B543="STD. DEVIATION",$C$1=1),$A543,$A543+1),COLUMN('1-DATA'!U541)),IF($B543="STD. DEVIATION",2,$F$1))))</f>
        <v/>
      </c>
      <c r="W543" s="1" t="str">
        <f>IF(OR($B543="",W$7=""),"",IF($B543="MEANS",INDEX('1-DATA'!$1:$1048576,$A542-1,COLUMN('1-DATA'!V541)),ROUND(INDEX('1-DATA'!$1:$1048576,IF(OR($B543="STD. DEVIATION",$C$1=1),$A543,$A543+1),COLUMN('1-DATA'!V541)),IF($B543="STD. DEVIATION",2,$F$1))))</f>
        <v/>
      </c>
      <c r="X543" s="1" t="str">
        <f>IF(OR($B543="",X$7=""),"",IF($B543="MEANS",INDEX('1-DATA'!$1:$1048576,$A542-1,COLUMN('1-DATA'!W541)),ROUND(INDEX('1-DATA'!$1:$1048576,IF(OR($B543="STD. DEVIATION",$C$1=1),$A543,$A543+1),COLUMN('1-DATA'!W541)),IF($B543="STD. DEVIATION",2,$F$1))))</f>
        <v/>
      </c>
      <c r="Y543" s="1" t="str">
        <f>IF(OR($B543="",Y$7=""),"",IF($B543="MEANS",INDEX('1-DATA'!$1:$1048576,$A542-1,COLUMN('1-DATA'!X541)),ROUND(INDEX('1-DATA'!$1:$1048576,IF(OR($B543="STD. DEVIATION",$C$1=1),$A543,$A543+1),COLUMN('1-DATA'!X541)),IF($B543="STD. DEVIATION",2,$F$1))))</f>
        <v/>
      </c>
      <c r="Z543" s="1" t="str">
        <f>IF(OR($B543="",Z$7=""),"",IF($B543="MEANS",INDEX('1-DATA'!$1:$1048576,$A542-1,COLUMN('1-DATA'!Y541)),ROUND(INDEX('1-DATA'!$1:$1048576,IF(OR($B543="STD. DEVIATION",$C$1=1),$A543,$A543+1),COLUMN('1-DATA'!Y541)),IF($B543="STD. DEVIATION",2,$F$1))))</f>
        <v/>
      </c>
      <c r="AA543" s="1" t="str">
        <f>IF(OR($B543="",AA$7=""),"",IF($B543="MEANS",INDEX('1-DATA'!$1:$1048576,$A542-1,COLUMN('1-DATA'!Z541)),ROUND(INDEX('1-DATA'!$1:$1048576,IF(OR($B543="STD. DEVIATION",$C$1=1),$A543,$A543+1),COLUMN('1-DATA'!Z541)),IF($B543="STD. DEVIATION",2,$F$1))))</f>
        <v/>
      </c>
      <c r="AB543" s="1" t="str">
        <f>IF(OR($B543="",AB$7=""),"",IF($B543="MEANS",INDEX('1-DATA'!$1:$1048576,$A542-1,COLUMN('1-DATA'!AA541)),ROUND(INDEX('1-DATA'!$1:$1048576,IF(OR($B543="STD. DEVIATION",$C$1=1),$A543,$A543+1),COLUMN('1-DATA'!AA541)),IF($B543="STD. DEVIATION",2,$F$1))))</f>
        <v/>
      </c>
      <c r="AC543" s="1" t="str">
        <f>IF(OR($B543="",AC$7=""),"",IF($B543="MEANS",INDEX('1-DATA'!$1:$1048576,$A542-1,COLUMN('1-DATA'!AB541)),ROUND(INDEX('1-DATA'!$1:$1048576,IF(OR($B543="STD. DEVIATION",$C$1=1),$A543,$A543+1),COLUMN('1-DATA'!AB541)),IF($B543="STD. DEVIATION",2,$F$1))))</f>
        <v/>
      </c>
      <c r="AD543" s="1" t="str">
        <f>IF(OR($B543="",AD$7=""),"",IF($B543="MEANS",INDEX('1-DATA'!$1:$1048576,$A542-1,COLUMN('1-DATA'!AC541)),ROUND(INDEX('1-DATA'!$1:$1048576,IF(OR($B543="STD. DEVIATION",$C$1=1),$A543,$A543+1),COLUMN('1-DATA'!AC541)),IF($B543="STD. DEVIATION",2,$F$1))))</f>
        <v/>
      </c>
      <c r="AE543" s="1" t="str">
        <f>IF(OR($B543="",AE$7=""),"",IF($B543="MEANS",INDEX('1-DATA'!$1:$1048576,$A542-1,COLUMN('1-DATA'!AD541)),ROUND(INDEX('1-DATA'!$1:$1048576,IF(OR($B543="STD. DEVIATION",$C$1=1),$A543,$A543+1),COLUMN('1-DATA'!AD541)),IF($B543="STD. DEVIATION",2,$F$1))))</f>
        <v/>
      </c>
      <c r="AF543" s="1" t="str">
        <f>IF(OR($B543="",AF$7=""),"",IF($B543="MEANS",INDEX('1-DATA'!$1:$1048576,$A542-1,COLUMN('1-DATA'!AE541)),ROUND(INDEX('1-DATA'!$1:$1048576,IF(OR($B543="STD. DEVIATION",$C$1=1),$A543,$A543+1),COLUMN('1-DATA'!AE541)),IF($B543="STD. DEVIATION",2,$F$1))))</f>
        <v/>
      </c>
      <c r="AG543" s="1" t="str">
        <f>IF(OR($B543="",AG$7=""),"",IF($B543="MEANS",INDEX('1-DATA'!$1:$1048576,$A542-1,COLUMN('1-DATA'!AF541)),ROUND(INDEX('1-DATA'!$1:$1048576,IF(OR($B543="STD. DEVIATION",$C$1=1),$A543,$A543+1),COLUMN('1-DATA'!AF541)),IF($B543="STD. DEVIATION",2,$F$1))))</f>
        <v/>
      </c>
      <c r="AH543" s="1" t="str">
        <f>IF(OR($B543="",AH$7=""),"",IF($B543="MEANS",INDEX('1-DATA'!$1:$1048576,$A542-1,COLUMN('1-DATA'!AG541)),ROUND(INDEX('1-DATA'!$1:$1048576,IF(OR($B543="STD. DEVIATION",$C$1=1),$A543,$A543+1),COLUMN('1-DATA'!AG541)),IF($B543="STD. DEVIATION",2,$F$1))))</f>
        <v/>
      </c>
      <c r="AI543" s="1" t="str">
        <f>IF(OR($B543="",AI$7=""),"",IF($B543="MEANS",INDEX('1-DATA'!$1:$1048576,$A542-1,COLUMN('1-DATA'!AH541)),ROUND(INDEX('1-DATA'!$1:$1048576,IF(OR($B543="STD. DEVIATION",$C$1=1),$A543,$A543+1),COLUMN('1-DATA'!AH541)),IF($B543="STD. DEVIATION",2,$F$1))))</f>
        <v/>
      </c>
      <c r="AJ543" s="1" t="str">
        <f>IF(OR($B543="",AJ$7=""),"",IF($B543="MEANS",INDEX('1-DATA'!$1:$1048576,$A542-1,COLUMN('1-DATA'!AI541)),ROUND(INDEX('1-DATA'!$1:$1048576,IF(OR($B543="STD. DEVIATION",$C$1=1),$A543,$A543+1),COLUMN('1-DATA'!AI541)),IF($B543="STD. DEVIATION",2,$F$1))))</f>
        <v/>
      </c>
      <c r="AK543" s="1" t="str">
        <f>IF(OR($B543="",AK$7=""),"",IF($B543="MEANS",INDEX('1-DATA'!$1:$1048576,$A542-1,COLUMN('1-DATA'!AJ541)),ROUND(INDEX('1-DATA'!$1:$1048576,IF(OR($B543="STD. DEVIATION",$C$1=1),$A543,$A543+1),COLUMN('1-DATA'!AJ541)),IF($B543="STD. DEVIATION",2,$F$1))))</f>
        <v/>
      </c>
      <c r="AL543" s="1" t="str">
        <f>IF(OR($B543="",AL$7=""),"",IF($B543="MEANS",INDEX('1-DATA'!$1:$1048576,$A542-1,COLUMN('1-DATA'!AK541)),ROUND(INDEX('1-DATA'!$1:$1048576,IF(OR($B543="STD. DEVIATION",$C$1=1),$A543,$A543+1),COLUMN('1-DATA'!AK541)),IF($B543="STD. DEVIATION",2,$F$1))))</f>
        <v/>
      </c>
      <c r="AM543" s="1" t="str">
        <f>IF(OR($B543="",AM$7=""),"",IF($B543="MEANS",INDEX('1-DATA'!$1:$1048576,$A542-1,COLUMN('1-DATA'!AL541)),ROUND(INDEX('1-DATA'!$1:$1048576,IF(OR($B543="STD. DEVIATION",$C$1=1),$A543,$A543+1),COLUMN('1-DATA'!AL541)),IF($B543="STD. DEVIATION",2,$F$1))))</f>
        <v/>
      </c>
      <c r="AN543" s="1" t="str">
        <f>IF(OR($B543="",AN$7=""),"",IF($B543="MEANS",INDEX('1-DATA'!$1:$1048576,$A542-1,COLUMN('1-DATA'!AM541)),ROUND(INDEX('1-DATA'!$1:$1048576,IF(OR($B543="STD. DEVIATION",$C$1=1),$A543,$A543+1),COLUMN('1-DATA'!AM541)),IF($B543="STD. DEVIATION",2,$F$1))))</f>
        <v/>
      </c>
      <c r="AO543" s="1" t="str">
        <f>IF(OR($B543="",AO$7=""),"",IF($B543="MEANS",INDEX('1-DATA'!$1:$1048576,$A542-1,COLUMN('1-DATA'!AN541)),ROUND(INDEX('1-DATA'!$1:$1048576,IF(OR($B543="STD. DEVIATION",$C$1=1),$A543,$A543+1),COLUMN('1-DATA'!AN541)),IF($B543="STD. DEVIATION",2,$F$1))))</f>
        <v/>
      </c>
      <c r="AP543" s="1" t="str">
        <f>IF(OR($B543="",AP$7=""),"",IF($B543="MEANS",INDEX('1-DATA'!$1:$1048576,$A542-1,COLUMN('1-DATA'!AO541)),ROUND(INDEX('1-DATA'!$1:$1048576,IF(OR($B543="STD. DEVIATION",$C$1=1),$A543,$A543+1),COLUMN('1-DATA'!AO541)),IF($B543="STD. DEVIATION",2,$F$1))))</f>
        <v/>
      </c>
      <c r="AQ543" s="1" t="str">
        <f>IF(OR($B543="",AQ$7=""),"",IF($B543="MEANS",INDEX('1-DATA'!$1:$1048576,$A542-1,COLUMN('1-DATA'!AP541)),ROUND(INDEX('1-DATA'!$1:$1048576,IF(OR($B543="STD. DEVIATION",$C$1=1),$A543,$A543+1),COLUMN('1-DATA'!AP541)),IF($B543="STD. DEVIATION",2,$F$1))))</f>
        <v/>
      </c>
      <c r="AR543" s="1" t="str">
        <f>IF(OR($B543="",AR$7=""),"",IF($B543="MEANS",INDEX('1-DATA'!$1:$1048576,$A542-1,COLUMN('1-DATA'!AQ541)),ROUND(INDEX('1-DATA'!$1:$1048576,IF(OR($B543="STD. DEVIATION",$C$1=1),$A543,$A543+1),COLUMN('1-DATA'!AQ541)),IF($B543="STD. DEVIATION",2,$F$1))))</f>
        <v/>
      </c>
      <c r="AS543" s="1" t="str">
        <f>IF(OR($B543="",AS$7=""),"",IF($B543="MEANS",INDEX('1-DATA'!$1:$1048576,$A542-1,COLUMN('1-DATA'!AR541)),ROUND(INDEX('1-DATA'!$1:$1048576,IF(OR($B543="STD. DEVIATION",$C$1=1),$A543,$A543+1),COLUMN('1-DATA'!AR541)),IF($B543="STD. DEVIATION",2,$F$1))))</f>
        <v/>
      </c>
      <c r="AT543" s="1" t="str">
        <f>IF(OR($B543="",AT$7=""),"",IF($B543="MEANS",INDEX('1-DATA'!$1:$1048576,$A542-1,COLUMN('1-DATA'!AS541)),ROUND(INDEX('1-DATA'!$1:$1048576,IF(OR($B543="STD. DEVIATION",$C$1=1),$A543,$A543+1),COLUMN('1-DATA'!AS541)),IF($B543="STD. DEVIATION",2,$F$1))))</f>
        <v/>
      </c>
      <c r="AU543" s="1" t="str">
        <f>IF(OR($B543="",AU$7=""),"",IF($B543="MEANS",INDEX('1-DATA'!$1:$1048576,$A542-1,COLUMN('1-DATA'!AT541)),ROUND(INDEX('1-DATA'!$1:$1048576,IF(OR($B543="STD. DEVIATION",$C$1=1),$A543,$A543+1),COLUMN('1-DATA'!AT541)),IF($B543="STD. DEVIATION",2,$F$1))))</f>
        <v/>
      </c>
      <c r="AV543" s="1" t="str">
        <f>IF(OR($B543="",AV$7=""),"",IF($B543="MEANS",INDEX('1-DATA'!$1:$1048576,$A542-1,COLUMN('1-DATA'!AU541)),ROUND(INDEX('1-DATA'!$1:$1048576,IF(OR($B543="STD. DEVIATION",$C$1=1),$A543,$A543+1),COLUMN('1-DATA'!AU541)),IF($B543="STD. DEVIATION",2,$F$1))))</f>
        <v/>
      </c>
      <c r="AW543" s="1" t="str">
        <f>IF(OR($B543="",AW$7=""),"",IF($B543="MEANS",INDEX('1-DATA'!$1:$1048576,$A542-1,COLUMN('1-DATA'!AV541)),ROUND(INDEX('1-DATA'!$1:$1048576,IF(OR($B543="STD. DEVIATION",$C$1=1),$A543,$A543+1),COLUMN('1-DATA'!AV541)),IF($B543="STD. DEVIATION",2,$F$1))))</f>
        <v/>
      </c>
      <c r="AX543" s="1" t="str">
        <f>IF(OR($B543="",AX$7=""),"",IF($B543="MEANS",INDEX('1-DATA'!$1:$1048576,$A542-1,COLUMN('1-DATA'!AW541)),ROUND(INDEX('1-DATA'!$1:$1048576,IF(OR($B543="STD. DEVIATION",$C$1=1),$A543,$A543+1),COLUMN('1-DATA'!AW541)),IF($B543="STD. DEVIATION",2,$F$1))))</f>
        <v/>
      </c>
      <c r="AY543" s="1" t="str">
        <f>IF(OR($B543="",AY$7=""),"",IF($B543="MEANS",INDEX('1-DATA'!$1:$1048576,$A542-1,COLUMN('1-DATA'!AX541)),ROUND(INDEX('1-DATA'!$1:$1048576,IF(OR($B543="STD. DEVIATION",$C$1=1),$A543,$A543+1),COLUMN('1-DATA'!AX541)),IF($B543="STD. DEVIATION",2,$F$1))))</f>
        <v/>
      </c>
      <c r="AZ543" s="1" t="str">
        <f>IF(OR($B543="",AZ$7=""),"",IF($B543="MEANS",INDEX('1-DATA'!$1:$1048576,$A542-1,COLUMN('1-DATA'!AY541)),ROUND(INDEX('1-DATA'!$1:$1048576,IF(OR($B543="STD. DEVIATION",$C$1=1),$A543,$A543+1),COLUMN('1-DATA'!AY541)),IF($B543="STD. DEVIATION",2,$F$1))))</f>
        <v/>
      </c>
    </row>
    <row r="544" spans="1:52" x14ac:dyDescent="0.25">
      <c r="A544" s="11">
        <f t="shared" si="9"/>
        <v>1618</v>
      </c>
      <c r="B544" s="1" t="str">
        <f>IF(B543="STD. DEVIATION",INDEX('1-DATA'!$1:$1048576,$A543-1,1),IF(INDEX('1-DATA'!$1:$1048576,$A544,1)&lt;&gt;"",INDEX('1-DATA'!$1:$1048576,$A544,1),""))</f>
        <v/>
      </c>
      <c r="C544" s="1" t="str">
        <f>IF(OR($B544="",C$7=""),"",IF($B544="MEANS",INDEX('1-DATA'!$1:$1048576,$A543-1,COLUMN('1-DATA'!B542)),ROUND(INDEX('1-DATA'!$1:$1048576,IF(OR($B544="STD. DEVIATION",$C$1=1),$A544,$A544+1),COLUMN('1-DATA'!B542)),IF($B544="STD. DEVIATION",2,$F$1))))</f>
        <v/>
      </c>
      <c r="D544" s="1" t="str">
        <f>IF(OR($B544="",D$7=""),"",IF($B544="MEANS",INDEX('1-DATA'!$1:$1048576,$A543-1,COLUMN('1-DATA'!C542)),ROUND(INDEX('1-DATA'!$1:$1048576,IF(OR($B544="STD. DEVIATION",$C$1=1),$A544,$A544+1),COLUMN('1-DATA'!C542)),IF($B544="STD. DEVIATION",2,$F$1))))</f>
        <v/>
      </c>
      <c r="E544" s="1" t="str">
        <f>IF(OR($B544="",E$7=""),"",IF($B544="MEANS",INDEX('1-DATA'!$1:$1048576,$A543-1,COLUMN('1-DATA'!D542)),ROUND(INDEX('1-DATA'!$1:$1048576,IF(OR($B544="STD. DEVIATION",$C$1=1),$A544,$A544+1),COLUMN('1-DATA'!D542)),IF($B544="STD. DEVIATION",2,$F$1))))</f>
        <v/>
      </c>
      <c r="F544" s="1" t="str">
        <f>IF(OR($B544="",F$7=""),"",IF($B544="MEANS",INDEX('1-DATA'!$1:$1048576,$A543-1,COLUMN('1-DATA'!E542)),ROUND(INDEX('1-DATA'!$1:$1048576,IF(OR($B544="STD. DEVIATION",$C$1=1),$A544,$A544+1),COLUMN('1-DATA'!E542)),IF($B544="STD. DEVIATION",2,$F$1))))</f>
        <v/>
      </c>
      <c r="G544" s="1" t="str">
        <f>IF(OR($B544="",G$7=""),"",IF($B544="MEANS",INDEX('1-DATA'!$1:$1048576,$A543-1,COLUMN('1-DATA'!F542)),ROUND(INDEX('1-DATA'!$1:$1048576,IF(OR($B544="STD. DEVIATION",$C$1=1),$A544,$A544+1),COLUMN('1-DATA'!F542)),IF($B544="STD. DEVIATION",2,$F$1))))</f>
        <v/>
      </c>
      <c r="H544" s="1" t="str">
        <f>IF(OR($B544="",H$7=""),"",IF($B544="MEANS",INDEX('1-DATA'!$1:$1048576,$A543-1,COLUMN('1-DATA'!G542)),ROUND(INDEX('1-DATA'!$1:$1048576,IF(OR($B544="STD. DEVIATION",$C$1=1),$A544,$A544+1),COLUMN('1-DATA'!G542)),IF($B544="STD. DEVIATION",2,$F$1))))</f>
        <v/>
      </c>
      <c r="I544" s="1" t="str">
        <f>IF(OR($B544="",I$7=""),"",IF($B544="MEANS",INDEX('1-DATA'!$1:$1048576,$A543-1,COLUMN('1-DATA'!H542)),ROUND(INDEX('1-DATA'!$1:$1048576,IF(OR($B544="STD. DEVIATION",$C$1=1),$A544,$A544+1),COLUMN('1-DATA'!H542)),IF($B544="STD. DEVIATION",2,$F$1))))</f>
        <v/>
      </c>
      <c r="J544" s="1" t="str">
        <f>IF(OR($B544="",J$7=""),"",IF($B544="MEANS",INDEX('1-DATA'!$1:$1048576,$A543-1,COLUMN('1-DATA'!I542)),ROUND(INDEX('1-DATA'!$1:$1048576,IF(OR($B544="STD. DEVIATION",$C$1=1),$A544,$A544+1),COLUMN('1-DATA'!I542)),IF($B544="STD. DEVIATION",2,$F$1))))</f>
        <v/>
      </c>
      <c r="K544" s="1" t="str">
        <f>IF(OR($B544="",K$7=""),"",IF($B544="MEANS",INDEX('1-DATA'!$1:$1048576,$A543-1,COLUMN('1-DATA'!J542)),ROUND(INDEX('1-DATA'!$1:$1048576,IF(OR($B544="STD. DEVIATION",$C$1=1),$A544,$A544+1),COLUMN('1-DATA'!J542)),IF($B544="STD. DEVIATION",2,$F$1))))</f>
        <v/>
      </c>
      <c r="L544" s="1" t="str">
        <f>IF(OR($B544="",L$7=""),"",IF($B544="MEANS",INDEX('1-DATA'!$1:$1048576,$A543-1,COLUMN('1-DATA'!K542)),ROUND(INDEX('1-DATA'!$1:$1048576,IF(OR($B544="STD. DEVIATION",$C$1=1),$A544,$A544+1),COLUMN('1-DATA'!K542)),IF($B544="STD. DEVIATION",2,$F$1))))</f>
        <v/>
      </c>
      <c r="M544" s="1" t="str">
        <f>IF(OR($B544="",M$7=""),"",IF($B544="MEANS",INDEX('1-DATA'!$1:$1048576,$A543-1,COLUMN('1-DATA'!L542)),ROUND(INDEX('1-DATA'!$1:$1048576,IF(OR($B544="STD. DEVIATION",$C$1=1),$A544,$A544+1),COLUMN('1-DATA'!L542)),IF($B544="STD. DEVIATION",2,$F$1))))</f>
        <v/>
      </c>
      <c r="N544" s="1" t="str">
        <f>IF(OR($B544="",N$7=""),"",IF($B544="MEANS",INDEX('1-DATA'!$1:$1048576,$A543-1,COLUMN('1-DATA'!M542)),ROUND(INDEX('1-DATA'!$1:$1048576,IF(OR($B544="STD. DEVIATION",$C$1=1),$A544,$A544+1),COLUMN('1-DATA'!M542)),IF($B544="STD. DEVIATION",2,$F$1))))</f>
        <v/>
      </c>
      <c r="O544" s="1" t="str">
        <f>IF(OR($B544="",O$7=""),"",IF($B544="MEANS",INDEX('1-DATA'!$1:$1048576,$A543-1,COLUMN('1-DATA'!N542)),ROUND(INDEX('1-DATA'!$1:$1048576,IF(OR($B544="STD. DEVIATION",$C$1=1),$A544,$A544+1),COLUMN('1-DATA'!N542)),IF($B544="STD. DEVIATION",2,$F$1))))</f>
        <v/>
      </c>
      <c r="P544" s="1" t="str">
        <f>IF(OR($B544="",P$7=""),"",IF($B544="MEANS",INDEX('1-DATA'!$1:$1048576,$A543-1,COLUMN('1-DATA'!O542)),ROUND(INDEX('1-DATA'!$1:$1048576,IF(OR($B544="STD. DEVIATION",$C$1=1),$A544,$A544+1),COLUMN('1-DATA'!O542)),IF($B544="STD. DEVIATION",2,$F$1))))</f>
        <v/>
      </c>
      <c r="Q544" s="1" t="str">
        <f>IF(OR($B544="",Q$7=""),"",IF($B544="MEANS",INDEX('1-DATA'!$1:$1048576,$A543-1,COLUMN('1-DATA'!P542)),ROUND(INDEX('1-DATA'!$1:$1048576,IF(OR($B544="STD. DEVIATION",$C$1=1),$A544,$A544+1),COLUMN('1-DATA'!P542)),IF($B544="STD. DEVIATION",2,$F$1))))</f>
        <v/>
      </c>
      <c r="R544" s="1" t="str">
        <f>IF(OR($B544="",R$7=""),"",IF($B544="MEANS",INDEX('1-DATA'!$1:$1048576,$A543-1,COLUMN('1-DATA'!Q542)),ROUND(INDEX('1-DATA'!$1:$1048576,IF(OR($B544="STD. DEVIATION",$C$1=1),$A544,$A544+1),COLUMN('1-DATA'!Q542)),IF($B544="STD. DEVIATION",2,$F$1))))</f>
        <v/>
      </c>
      <c r="S544" s="1" t="str">
        <f>IF(OR($B544="",S$7=""),"",IF($B544="MEANS",INDEX('1-DATA'!$1:$1048576,$A543-1,COLUMN('1-DATA'!R542)),ROUND(INDEX('1-DATA'!$1:$1048576,IF(OR($B544="STD. DEVIATION",$C$1=1),$A544,$A544+1),COLUMN('1-DATA'!R542)),IF($B544="STD. DEVIATION",2,$F$1))))</f>
        <v/>
      </c>
      <c r="T544" s="1" t="str">
        <f>IF(OR($B544="",T$7=""),"",IF($B544="MEANS",INDEX('1-DATA'!$1:$1048576,$A543-1,COLUMN('1-DATA'!S542)),ROUND(INDEX('1-DATA'!$1:$1048576,IF(OR($B544="STD. DEVIATION",$C$1=1),$A544,$A544+1),COLUMN('1-DATA'!S542)),IF($B544="STD. DEVIATION",2,$F$1))))</f>
        <v/>
      </c>
      <c r="U544" s="1" t="str">
        <f>IF(OR($B544="",U$7=""),"",IF($B544="MEANS",INDEX('1-DATA'!$1:$1048576,$A543-1,COLUMN('1-DATA'!T542)),ROUND(INDEX('1-DATA'!$1:$1048576,IF(OR($B544="STD. DEVIATION",$C$1=1),$A544,$A544+1),COLUMN('1-DATA'!T542)),IF($B544="STD. DEVIATION",2,$F$1))))</f>
        <v/>
      </c>
      <c r="V544" s="1" t="str">
        <f>IF(OR($B544="",V$7=""),"",IF($B544="MEANS",INDEX('1-DATA'!$1:$1048576,$A543-1,COLUMN('1-DATA'!U542)),ROUND(INDEX('1-DATA'!$1:$1048576,IF(OR($B544="STD. DEVIATION",$C$1=1),$A544,$A544+1),COLUMN('1-DATA'!U542)),IF($B544="STD. DEVIATION",2,$F$1))))</f>
        <v/>
      </c>
      <c r="W544" s="1" t="str">
        <f>IF(OR($B544="",W$7=""),"",IF($B544="MEANS",INDEX('1-DATA'!$1:$1048576,$A543-1,COLUMN('1-DATA'!V542)),ROUND(INDEX('1-DATA'!$1:$1048576,IF(OR($B544="STD. DEVIATION",$C$1=1),$A544,$A544+1),COLUMN('1-DATA'!V542)),IF($B544="STD. DEVIATION",2,$F$1))))</f>
        <v/>
      </c>
      <c r="X544" s="1" t="str">
        <f>IF(OR($B544="",X$7=""),"",IF($B544="MEANS",INDEX('1-DATA'!$1:$1048576,$A543-1,COLUMN('1-DATA'!W542)),ROUND(INDEX('1-DATA'!$1:$1048576,IF(OR($B544="STD. DEVIATION",$C$1=1),$A544,$A544+1),COLUMN('1-DATA'!W542)),IF($B544="STD. DEVIATION",2,$F$1))))</f>
        <v/>
      </c>
      <c r="Y544" s="1" t="str">
        <f>IF(OR($B544="",Y$7=""),"",IF($B544="MEANS",INDEX('1-DATA'!$1:$1048576,$A543-1,COLUMN('1-DATA'!X542)),ROUND(INDEX('1-DATA'!$1:$1048576,IF(OR($B544="STD. DEVIATION",$C$1=1),$A544,$A544+1),COLUMN('1-DATA'!X542)),IF($B544="STD. DEVIATION",2,$F$1))))</f>
        <v/>
      </c>
      <c r="Z544" s="1" t="str">
        <f>IF(OR($B544="",Z$7=""),"",IF($B544="MEANS",INDEX('1-DATA'!$1:$1048576,$A543-1,COLUMN('1-DATA'!Y542)),ROUND(INDEX('1-DATA'!$1:$1048576,IF(OR($B544="STD. DEVIATION",$C$1=1),$A544,$A544+1),COLUMN('1-DATA'!Y542)),IF($B544="STD. DEVIATION",2,$F$1))))</f>
        <v/>
      </c>
      <c r="AA544" s="1" t="str">
        <f>IF(OR($B544="",AA$7=""),"",IF($B544="MEANS",INDEX('1-DATA'!$1:$1048576,$A543-1,COLUMN('1-DATA'!Z542)),ROUND(INDEX('1-DATA'!$1:$1048576,IF(OR($B544="STD. DEVIATION",$C$1=1),$A544,$A544+1),COLUMN('1-DATA'!Z542)),IF($B544="STD. DEVIATION",2,$F$1))))</f>
        <v/>
      </c>
      <c r="AB544" s="1" t="str">
        <f>IF(OR($B544="",AB$7=""),"",IF($B544="MEANS",INDEX('1-DATA'!$1:$1048576,$A543-1,COLUMN('1-DATA'!AA542)),ROUND(INDEX('1-DATA'!$1:$1048576,IF(OR($B544="STD. DEVIATION",$C$1=1),$A544,$A544+1),COLUMN('1-DATA'!AA542)),IF($B544="STD. DEVIATION",2,$F$1))))</f>
        <v/>
      </c>
      <c r="AC544" s="1" t="str">
        <f>IF(OR($B544="",AC$7=""),"",IF($B544="MEANS",INDEX('1-DATA'!$1:$1048576,$A543-1,COLUMN('1-DATA'!AB542)),ROUND(INDEX('1-DATA'!$1:$1048576,IF(OR($B544="STD. DEVIATION",$C$1=1),$A544,$A544+1),COLUMN('1-DATA'!AB542)),IF($B544="STD. DEVIATION",2,$F$1))))</f>
        <v/>
      </c>
      <c r="AD544" s="1" t="str">
        <f>IF(OR($B544="",AD$7=""),"",IF($B544="MEANS",INDEX('1-DATA'!$1:$1048576,$A543-1,COLUMN('1-DATA'!AC542)),ROUND(INDEX('1-DATA'!$1:$1048576,IF(OR($B544="STD. DEVIATION",$C$1=1),$A544,$A544+1),COLUMN('1-DATA'!AC542)),IF($B544="STD. DEVIATION",2,$F$1))))</f>
        <v/>
      </c>
      <c r="AE544" s="1" t="str">
        <f>IF(OR($B544="",AE$7=""),"",IF($B544="MEANS",INDEX('1-DATA'!$1:$1048576,$A543-1,COLUMN('1-DATA'!AD542)),ROUND(INDEX('1-DATA'!$1:$1048576,IF(OR($B544="STD. DEVIATION",$C$1=1),$A544,$A544+1),COLUMN('1-DATA'!AD542)),IF($B544="STD. DEVIATION",2,$F$1))))</f>
        <v/>
      </c>
      <c r="AF544" s="1" t="str">
        <f>IF(OR($B544="",AF$7=""),"",IF($B544="MEANS",INDEX('1-DATA'!$1:$1048576,$A543-1,COLUMN('1-DATA'!AE542)),ROUND(INDEX('1-DATA'!$1:$1048576,IF(OR($B544="STD. DEVIATION",$C$1=1),$A544,$A544+1),COLUMN('1-DATA'!AE542)),IF($B544="STD. DEVIATION",2,$F$1))))</f>
        <v/>
      </c>
      <c r="AG544" s="1" t="str">
        <f>IF(OR($B544="",AG$7=""),"",IF($B544="MEANS",INDEX('1-DATA'!$1:$1048576,$A543-1,COLUMN('1-DATA'!AF542)),ROUND(INDEX('1-DATA'!$1:$1048576,IF(OR($B544="STD. DEVIATION",$C$1=1),$A544,$A544+1),COLUMN('1-DATA'!AF542)),IF($B544="STD. DEVIATION",2,$F$1))))</f>
        <v/>
      </c>
      <c r="AH544" s="1" t="str">
        <f>IF(OR($B544="",AH$7=""),"",IF($B544="MEANS",INDEX('1-DATA'!$1:$1048576,$A543-1,COLUMN('1-DATA'!AG542)),ROUND(INDEX('1-DATA'!$1:$1048576,IF(OR($B544="STD. DEVIATION",$C$1=1),$A544,$A544+1),COLUMN('1-DATA'!AG542)),IF($B544="STD. DEVIATION",2,$F$1))))</f>
        <v/>
      </c>
      <c r="AI544" s="1" t="str">
        <f>IF(OR($B544="",AI$7=""),"",IF($B544="MEANS",INDEX('1-DATA'!$1:$1048576,$A543-1,COLUMN('1-DATA'!AH542)),ROUND(INDEX('1-DATA'!$1:$1048576,IF(OR($B544="STD. DEVIATION",$C$1=1),$A544,$A544+1),COLUMN('1-DATA'!AH542)),IF($B544="STD. DEVIATION",2,$F$1))))</f>
        <v/>
      </c>
      <c r="AJ544" s="1" t="str">
        <f>IF(OR($B544="",AJ$7=""),"",IF($B544="MEANS",INDEX('1-DATA'!$1:$1048576,$A543-1,COLUMN('1-DATA'!AI542)),ROUND(INDEX('1-DATA'!$1:$1048576,IF(OR($B544="STD. DEVIATION",$C$1=1),$A544,$A544+1),COLUMN('1-DATA'!AI542)),IF($B544="STD. DEVIATION",2,$F$1))))</f>
        <v/>
      </c>
      <c r="AK544" s="1" t="str">
        <f>IF(OR($B544="",AK$7=""),"",IF($B544="MEANS",INDEX('1-DATA'!$1:$1048576,$A543-1,COLUMN('1-DATA'!AJ542)),ROUND(INDEX('1-DATA'!$1:$1048576,IF(OR($B544="STD. DEVIATION",$C$1=1),$A544,$A544+1),COLUMN('1-DATA'!AJ542)),IF($B544="STD. DEVIATION",2,$F$1))))</f>
        <v/>
      </c>
      <c r="AL544" s="1" t="str">
        <f>IF(OR($B544="",AL$7=""),"",IF($B544="MEANS",INDEX('1-DATA'!$1:$1048576,$A543-1,COLUMN('1-DATA'!AK542)),ROUND(INDEX('1-DATA'!$1:$1048576,IF(OR($B544="STD. DEVIATION",$C$1=1),$A544,$A544+1),COLUMN('1-DATA'!AK542)),IF($B544="STD. DEVIATION",2,$F$1))))</f>
        <v/>
      </c>
      <c r="AM544" s="1" t="str">
        <f>IF(OR($B544="",AM$7=""),"",IF($B544="MEANS",INDEX('1-DATA'!$1:$1048576,$A543-1,COLUMN('1-DATA'!AL542)),ROUND(INDEX('1-DATA'!$1:$1048576,IF(OR($B544="STD. DEVIATION",$C$1=1),$A544,$A544+1),COLUMN('1-DATA'!AL542)),IF($B544="STD. DEVIATION",2,$F$1))))</f>
        <v/>
      </c>
      <c r="AN544" s="1" t="str">
        <f>IF(OR($B544="",AN$7=""),"",IF($B544="MEANS",INDEX('1-DATA'!$1:$1048576,$A543-1,COLUMN('1-DATA'!AM542)),ROUND(INDEX('1-DATA'!$1:$1048576,IF(OR($B544="STD. DEVIATION",$C$1=1),$A544,$A544+1),COLUMN('1-DATA'!AM542)),IF($B544="STD. DEVIATION",2,$F$1))))</f>
        <v/>
      </c>
      <c r="AO544" s="1" t="str">
        <f>IF(OR($B544="",AO$7=""),"",IF($B544="MEANS",INDEX('1-DATA'!$1:$1048576,$A543-1,COLUMN('1-DATA'!AN542)),ROUND(INDEX('1-DATA'!$1:$1048576,IF(OR($B544="STD. DEVIATION",$C$1=1),$A544,$A544+1),COLUMN('1-DATA'!AN542)),IF($B544="STD. DEVIATION",2,$F$1))))</f>
        <v/>
      </c>
      <c r="AP544" s="1" t="str">
        <f>IF(OR($B544="",AP$7=""),"",IF($B544="MEANS",INDEX('1-DATA'!$1:$1048576,$A543-1,COLUMN('1-DATA'!AO542)),ROUND(INDEX('1-DATA'!$1:$1048576,IF(OR($B544="STD. DEVIATION",$C$1=1),$A544,$A544+1),COLUMN('1-DATA'!AO542)),IF($B544="STD. DEVIATION",2,$F$1))))</f>
        <v/>
      </c>
      <c r="AQ544" s="1" t="str">
        <f>IF(OR($B544="",AQ$7=""),"",IF($B544="MEANS",INDEX('1-DATA'!$1:$1048576,$A543-1,COLUMN('1-DATA'!AP542)),ROUND(INDEX('1-DATA'!$1:$1048576,IF(OR($B544="STD. DEVIATION",$C$1=1),$A544,$A544+1),COLUMN('1-DATA'!AP542)),IF($B544="STD. DEVIATION",2,$F$1))))</f>
        <v/>
      </c>
      <c r="AR544" s="1" t="str">
        <f>IF(OR($B544="",AR$7=""),"",IF($B544="MEANS",INDEX('1-DATA'!$1:$1048576,$A543-1,COLUMN('1-DATA'!AQ542)),ROUND(INDEX('1-DATA'!$1:$1048576,IF(OR($B544="STD. DEVIATION",$C$1=1),$A544,$A544+1),COLUMN('1-DATA'!AQ542)),IF($B544="STD. DEVIATION",2,$F$1))))</f>
        <v/>
      </c>
      <c r="AS544" s="1" t="str">
        <f>IF(OR($B544="",AS$7=""),"",IF($B544="MEANS",INDEX('1-DATA'!$1:$1048576,$A543-1,COLUMN('1-DATA'!AR542)),ROUND(INDEX('1-DATA'!$1:$1048576,IF(OR($B544="STD. DEVIATION",$C$1=1),$A544,$A544+1),COLUMN('1-DATA'!AR542)),IF($B544="STD. DEVIATION",2,$F$1))))</f>
        <v/>
      </c>
      <c r="AT544" s="1" t="str">
        <f>IF(OR($B544="",AT$7=""),"",IF($B544="MEANS",INDEX('1-DATA'!$1:$1048576,$A543-1,COLUMN('1-DATA'!AS542)),ROUND(INDEX('1-DATA'!$1:$1048576,IF(OR($B544="STD. DEVIATION",$C$1=1),$A544,$A544+1),COLUMN('1-DATA'!AS542)),IF($B544="STD. DEVIATION",2,$F$1))))</f>
        <v/>
      </c>
      <c r="AU544" s="1" t="str">
        <f>IF(OR($B544="",AU$7=""),"",IF($B544="MEANS",INDEX('1-DATA'!$1:$1048576,$A543-1,COLUMN('1-DATA'!AT542)),ROUND(INDEX('1-DATA'!$1:$1048576,IF(OR($B544="STD. DEVIATION",$C$1=1),$A544,$A544+1),COLUMN('1-DATA'!AT542)),IF($B544="STD. DEVIATION",2,$F$1))))</f>
        <v/>
      </c>
      <c r="AV544" s="1" t="str">
        <f>IF(OR($B544="",AV$7=""),"",IF($B544="MEANS",INDEX('1-DATA'!$1:$1048576,$A543-1,COLUMN('1-DATA'!AU542)),ROUND(INDEX('1-DATA'!$1:$1048576,IF(OR($B544="STD. DEVIATION",$C$1=1),$A544,$A544+1),COLUMN('1-DATA'!AU542)),IF($B544="STD. DEVIATION",2,$F$1))))</f>
        <v/>
      </c>
      <c r="AW544" s="1" t="str">
        <f>IF(OR($B544="",AW$7=""),"",IF($B544="MEANS",INDEX('1-DATA'!$1:$1048576,$A543-1,COLUMN('1-DATA'!AV542)),ROUND(INDEX('1-DATA'!$1:$1048576,IF(OR($B544="STD. DEVIATION",$C$1=1),$A544,$A544+1),COLUMN('1-DATA'!AV542)),IF($B544="STD. DEVIATION",2,$F$1))))</f>
        <v/>
      </c>
      <c r="AX544" s="1" t="str">
        <f>IF(OR($B544="",AX$7=""),"",IF($B544="MEANS",INDEX('1-DATA'!$1:$1048576,$A543-1,COLUMN('1-DATA'!AW542)),ROUND(INDEX('1-DATA'!$1:$1048576,IF(OR($B544="STD. DEVIATION",$C$1=1),$A544,$A544+1),COLUMN('1-DATA'!AW542)),IF($B544="STD. DEVIATION",2,$F$1))))</f>
        <v/>
      </c>
      <c r="AY544" s="1" t="str">
        <f>IF(OR($B544="",AY$7=""),"",IF($B544="MEANS",INDEX('1-DATA'!$1:$1048576,$A543-1,COLUMN('1-DATA'!AX542)),ROUND(INDEX('1-DATA'!$1:$1048576,IF(OR($B544="STD. DEVIATION",$C$1=1),$A544,$A544+1),COLUMN('1-DATA'!AX542)),IF($B544="STD. DEVIATION",2,$F$1))))</f>
        <v/>
      </c>
      <c r="AZ544" s="1" t="str">
        <f>IF(OR($B544="",AZ$7=""),"",IF($B544="MEANS",INDEX('1-DATA'!$1:$1048576,$A543-1,COLUMN('1-DATA'!AY542)),ROUND(INDEX('1-DATA'!$1:$1048576,IF(OR($B544="STD. DEVIATION",$C$1=1),$A544,$A544+1),COLUMN('1-DATA'!AY542)),IF($B544="STD. DEVIATION",2,$F$1))))</f>
        <v/>
      </c>
    </row>
    <row r="545" spans="1:52" x14ac:dyDescent="0.25">
      <c r="A545" s="11">
        <f t="shared" si="9"/>
        <v>1621</v>
      </c>
      <c r="B545" s="1" t="str">
        <f>IF(B544="STD. DEVIATION",INDEX('1-DATA'!$1:$1048576,$A544-1,1),IF(INDEX('1-DATA'!$1:$1048576,$A545,1)&lt;&gt;"",INDEX('1-DATA'!$1:$1048576,$A545,1),""))</f>
        <v/>
      </c>
      <c r="C545" s="1" t="str">
        <f>IF(OR($B545="",C$7=""),"",IF($B545="MEANS",INDEX('1-DATA'!$1:$1048576,$A544-1,COLUMN('1-DATA'!B543)),ROUND(INDEX('1-DATA'!$1:$1048576,IF(OR($B545="STD. DEVIATION",$C$1=1),$A545,$A545+1),COLUMN('1-DATA'!B543)),IF($B545="STD. DEVIATION",2,$F$1))))</f>
        <v/>
      </c>
      <c r="D545" s="1" t="str">
        <f>IF(OR($B545="",D$7=""),"",IF($B545="MEANS",INDEX('1-DATA'!$1:$1048576,$A544-1,COLUMN('1-DATA'!C543)),ROUND(INDEX('1-DATA'!$1:$1048576,IF(OR($B545="STD. DEVIATION",$C$1=1),$A545,$A545+1),COLUMN('1-DATA'!C543)),IF($B545="STD. DEVIATION",2,$F$1))))</f>
        <v/>
      </c>
      <c r="E545" s="1" t="str">
        <f>IF(OR($B545="",E$7=""),"",IF($B545="MEANS",INDEX('1-DATA'!$1:$1048576,$A544-1,COLUMN('1-DATA'!D543)),ROUND(INDEX('1-DATA'!$1:$1048576,IF(OR($B545="STD. DEVIATION",$C$1=1),$A545,$A545+1),COLUMN('1-DATA'!D543)),IF($B545="STD. DEVIATION",2,$F$1))))</f>
        <v/>
      </c>
      <c r="F545" s="1" t="str">
        <f>IF(OR($B545="",F$7=""),"",IF($B545="MEANS",INDEX('1-DATA'!$1:$1048576,$A544-1,COLUMN('1-DATA'!E543)),ROUND(INDEX('1-DATA'!$1:$1048576,IF(OR($B545="STD. DEVIATION",$C$1=1),$A545,$A545+1),COLUMN('1-DATA'!E543)),IF($B545="STD. DEVIATION",2,$F$1))))</f>
        <v/>
      </c>
      <c r="G545" s="1" t="str">
        <f>IF(OR($B545="",G$7=""),"",IF($B545="MEANS",INDEX('1-DATA'!$1:$1048576,$A544-1,COLUMN('1-DATA'!F543)),ROUND(INDEX('1-DATA'!$1:$1048576,IF(OR($B545="STD. DEVIATION",$C$1=1),$A545,$A545+1),COLUMN('1-DATA'!F543)),IF($B545="STD. DEVIATION",2,$F$1))))</f>
        <v/>
      </c>
      <c r="H545" s="1" t="str">
        <f>IF(OR($B545="",H$7=""),"",IF($B545="MEANS",INDEX('1-DATA'!$1:$1048576,$A544-1,COLUMN('1-DATA'!G543)),ROUND(INDEX('1-DATA'!$1:$1048576,IF(OR($B545="STD. DEVIATION",$C$1=1),$A545,$A545+1),COLUMN('1-DATA'!G543)),IF($B545="STD. DEVIATION",2,$F$1))))</f>
        <v/>
      </c>
      <c r="I545" s="1" t="str">
        <f>IF(OR($B545="",I$7=""),"",IF($B545="MEANS",INDEX('1-DATA'!$1:$1048576,$A544-1,COLUMN('1-DATA'!H543)),ROUND(INDEX('1-DATA'!$1:$1048576,IF(OR($B545="STD. DEVIATION",$C$1=1),$A545,$A545+1),COLUMN('1-DATA'!H543)),IF($B545="STD. DEVIATION",2,$F$1))))</f>
        <v/>
      </c>
      <c r="J545" s="1" t="str">
        <f>IF(OR($B545="",J$7=""),"",IF($B545="MEANS",INDEX('1-DATA'!$1:$1048576,$A544-1,COLUMN('1-DATA'!I543)),ROUND(INDEX('1-DATA'!$1:$1048576,IF(OR($B545="STD. DEVIATION",$C$1=1),$A545,$A545+1),COLUMN('1-DATA'!I543)),IF($B545="STD. DEVIATION",2,$F$1))))</f>
        <v/>
      </c>
      <c r="K545" s="1" t="str">
        <f>IF(OR($B545="",K$7=""),"",IF($B545="MEANS",INDEX('1-DATA'!$1:$1048576,$A544-1,COLUMN('1-DATA'!J543)),ROUND(INDEX('1-DATA'!$1:$1048576,IF(OR($B545="STD. DEVIATION",$C$1=1),$A545,$A545+1),COLUMN('1-DATA'!J543)),IF($B545="STD. DEVIATION",2,$F$1))))</f>
        <v/>
      </c>
      <c r="L545" s="1" t="str">
        <f>IF(OR($B545="",L$7=""),"",IF($B545="MEANS",INDEX('1-DATA'!$1:$1048576,$A544-1,COLUMN('1-DATA'!K543)),ROUND(INDEX('1-DATA'!$1:$1048576,IF(OR($B545="STD. DEVIATION",$C$1=1),$A545,$A545+1),COLUMN('1-DATA'!K543)),IF($B545="STD. DEVIATION",2,$F$1))))</f>
        <v/>
      </c>
      <c r="M545" s="1" t="str">
        <f>IF(OR($B545="",M$7=""),"",IF($B545="MEANS",INDEX('1-DATA'!$1:$1048576,$A544-1,COLUMN('1-DATA'!L543)),ROUND(INDEX('1-DATA'!$1:$1048576,IF(OR($B545="STD. DEVIATION",$C$1=1),$A545,$A545+1),COLUMN('1-DATA'!L543)),IF($B545="STD. DEVIATION",2,$F$1))))</f>
        <v/>
      </c>
      <c r="N545" s="1" t="str">
        <f>IF(OR($B545="",N$7=""),"",IF($B545="MEANS",INDEX('1-DATA'!$1:$1048576,$A544-1,COLUMN('1-DATA'!M543)),ROUND(INDEX('1-DATA'!$1:$1048576,IF(OR($B545="STD. DEVIATION",$C$1=1),$A545,$A545+1),COLUMN('1-DATA'!M543)),IF($B545="STD. DEVIATION",2,$F$1))))</f>
        <v/>
      </c>
      <c r="O545" s="1" t="str">
        <f>IF(OR($B545="",O$7=""),"",IF($B545="MEANS",INDEX('1-DATA'!$1:$1048576,$A544-1,COLUMN('1-DATA'!N543)),ROUND(INDEX('1-DATA'!$1:$1048576,IF(OR($B545="STD. DEVIATION",$C$1=1),$A545,$A545+1),COLUMN('1-DATA'!N543)),IF($B545="STD. DEVIATION",2,$F$1))))</f>
        <v/>
      </c>
      <c r="P545" s="1" t="str">
        <f>IF(OR($B545="",P$7=""),"",IF($B545="MEANS",INDEX('1-DATA'!$1:$1048576,$A544-1,COLUMN('1-DATA'!O543)),ROUND(INDEX('1-DATA'!$1:$1048576,IF(OR($B545="STD. DEVIATION",$C$1=1),$A545,$A545+1),COLUMN('1-DATA'!O543)),IF($B545="STD. DEVIATION",2,$F$1))))</f>
        <v/>
      </c>
      <c r="Q545" s="1" t="str">
        <f>IF(OR($B545="",Q$7=""),"",IF($B545="MEANS",INDEX('1-DATA'!$1:$1048576,$A544-1,COLUMN('1-DATA'!P543)),ROUND(INDEX('1-DATA'!$1:$1048576,IF(OR($B545="STD. DEVIATION",$C$1=1),$A545,$A545+1),COLUMN('1-DATA'!P543)),IF($B545="STD. DEVIATION",2,$F$1))))</f>
        <v/>
      </c>
      <c r="R545" s="1" t="str">
        <f>IF(OR($B545="",R$7=""),"",IF($B545="MEANS",INDEX('1-DATA'!$1:$1048576,$A544-1,COLUMN('1-DATA'!Q543)),ROUND(INDEX('1-DATA'!$1:$1048576,IF(OR($B545="STD. DEVIATION",$C$1=1),$A545,$A545+1),COLUMN('1-DATA'!Q543)),IF($B545="STD. DEVIATION",2,$F$1))))</f>
        <v/>
      </c>
      <c r="S545" s="1" t="str">
        <f>IF(OR($B545="",S$7=""),"",IF($B545="MEANS",INDEX('1-DATA'!$1:$1048576,$A544-1,COLUMN('1-DATA'!R543)),ROUND(INDEX('1-DATA'!$1:$1048576,IF(OR($B545="STD. DEVIATION",$C$1=1),$A545,$A545+1),COLUMN('1-DATA'!R543)),IF($B545="STD. DEVIATION",2,$F$1))))</f>
        <v/>
      </c>
      <c r="T545" s="1" t="str">
        <f>IF(OR($B545="",T$7=""),"",IF($B545="MEANS",INDEX('1-DATA'!$1:$1048576,$A544-1,COLUMN('1-DATA'!S543)),ROUND(INDEX('1-DATA'!$1:$1048576,IF(OR($B545="STD. DEVIATION",$C$1=1),$A545,$A545+1),COLUMN('1-DATA'!S543)),IF($B545="STD. DEVIATION",2,$F$1))))</f>
        <v/>
      </c>
      <c r="U545" s="1" t="str">
        <f>IF(OR($B545="",U$7=""),"",IF($B545="MEANS",INDEX('1-DATA'!$1:$1048576,$A544-1,COLUMN('1-DATA'!T543)),ROUND(INDEX('1-DATA'!$1:$1048576,IF(OR($B545="STD. DEVIATION",$C$1=1),$A545,$A545+1),COLUMN('1-DATA'!T543)),IF($B545="STD. DEVIATION",2,$F$1))))</f>
        <v/>
      </c>
      <c r="V545" s="1" t="str">
        <f>IF(OR($B545="",V$7=""),"",IF($B545="MEANS",INDEX('1-DATA'!$1:$1048576,$A544-1,COLUMN('1-DATA'!U543)),ROUND(INDEX('1-DATA'!$1:$1048576,IF(OR($B545="STD. DEVIATION",$C$1=1),$A545,$A545+1),COLUMN('1-DATA'!U543)),IF($B545="STD. DEVIATION",2,$F$1))))</f>
        <v/>
      </c>
      <c r="W545" s="1" t="str">
        <f>IF(OR($B545="",W$7=""),"",IF($B545="MEANS",INDEX('1-DATA'!$1:$1048576,$A544-1,COLUMN('1-DATA'!V543)),ROUND(INDEX('1-DATA'!$1:$1048576,IF(OR($B545="STD. DEVIATION",$C$1=1),$A545,$A545+1),COLUMN('1-DATA'!V543)),IF($B545="STD. DEVIATION",2,$F$1))))</f>
        <v/>
      </c>
      <c r="X545" s="1" t="str">
        <f>IF(OR($B545="",X$7=""),"",IF($B545="MEANS",INDEX('1-DATA'!$1:$1048576,$A544-1,COLUMN('1-DATA'!W543)),ROUND(INDEX('1-DATA'!$1:$1048576,IF(OR($B545="STD. DEVIATION",$C$1=1),$A545,$A545+1),COLUMN('1-DATA'!W543)),IF($B545="STD. DEVIATION",2,$F$1))))</f>
        <v/>
      </c>
      <c r="Y545" s="1" t="str">
        <f>IF(OR($B545="",Y$7=""),"",IF($B545="MEANS",INDEX('1-DATA'!$1:$1048576,$A544-1,COLUMN('1-DATA'!X543)),ROUND(INDEX('1-DATA'!$1:$1048576,IF(OR($B545="STD. DEVIATION",$C$1=1),$A545,$A545+1),COLUMN('1-DATA'!X543)),IF($B545="STD. DEVIATION",2,$F$1))))</f>
        <v/>
      </c>
      <c r="Z545" s="1" t="str">
        <f>IF(OR($B545="",Z$7=""),"",IF($B545="MEANS",INDEX('1-DATA'!$1:$1048576,$A544-1,COLUMN('1-DATA'!Y543)),ROUND(INDEX('1-DATA'!$1:$1048576,IF(OR($B545="STD. DEVIATION",$C$1=1),$A545,$A545+1),COLUMN('1-DATA'!Y543)),IF($B545="STD. DEVIATION",2,$F$1))))</f>
        <v/>
      </c>
      <c r="AA545" s="1" t="str">
        <f>IF(OR($B545="",AA$7=""),"",IF($B545="MEANS",INDEX('1-DATA'!$1:$1048576,$A544-1,COLUMN('1-DATA'!Z543)),ROUND(INDEX('1-DATA'!$1:$1048576,IF(OR($B545="STD. DEVIATION",$C$1=1),$A545,$A545+1),COLUMN('1-DATA'!Z543)),IF($B545="STD. DEVIATION",2,$F$1))))</f>
        <v/>
      </c>
      <c r="AB545" s="1" t="str">
        <f>IF(OR($B545="",AB$7=""),"",IF($B545="MEANS",INDEX('1-DATA'!$1:$1048576,$A544-1,COLUMN('1-DATA'!AA543)),ROUND(INDEX('1-DATA'!$1:$1048576,IF(OR($B545="STD. DEVIATION",$C$1=1),$A545,$A545+1),COLUMN('1-DATA'!AA543)),IF($B545="STD. DEVIATION",2,$F$1))))</f>
        <v/>
      </c>
      <c r="AC545" s="1" t="str">
        <f>IF(OR($B545="",AC$7=""),"",IF($B545="MEANS",INDEX('1-DATA'!$1:$1048576,$A544-1,COLUMN('1-DATA'!AB543)),ROUND(INDEX('1-DATA'!$1:$1048576,IF(OR($B545="STD. DEVIATION",$C$1=1),$A545,$A545+1),COLUMN('1-DATA'!AB543)),IF($B545="STD. DEVIATION",2,$F$1))))</f>
        <v/>
      </c>
      <c r="AD545" s="1" t="str">
        <f>IF(OR($B545="",AD$7=""),"",IF($B545="MEANS",INDEX('1-DATA'!$1:$1048576,$A544-1,COLUMN('1-DATA'!AC543)),ROUND(INDEX('1-DATA'!$1:$1048576,IF(OR($B545="STD. DEVIATION",$C$1=1),$A545,$A545+1),COLUMN('1-DATA'!AC543)),IF($B545="STD. DEVIATION",2,$F$1))))</f>
        <v/>
      </c>
      <c r="AE545" s="1" t="str">
        <f>IF(OR($B545="",AE$7=""),"",IF($B545="MEANS",INDEX('1-DATA'!$1:$1048576,$A544-1,COLUMN('1-DATA'!AD543)),ROUND(INDEX('1-DATA'!$1:$1048576,IF(OR($B545="STD. DEVIATION",$C$1=1),$A545,$A545+1),COLUMN('1-DATA'!AD543)),IF($B545="STD. DEVIATION",2,$F$1))))</f>
        <v/>
      </c>
      <c r="AF545" s="1" t="str">
        <f>IF(OR($B545="",AF$7=""),"",IF($B545="MEANS",INDEX('1-DATA'!$1:$1048576,$A544-1,COLUMN('1-DATA'!AE543)),ROUND(INDEX('1-DATA'!$1:$1048576,IF(OR($B545="STD. DEVIATION",$C$1=1),$A545,$A545+1),COLUMN('1-DATA'!AE543)),IF($B545="STD. DEVIATION",2,$F$1))))</f>
        <v/>
      </c>
      <c r="AG545" s="1" t="str">
        <f>IF(OR($B545="",AG$7=""),"",IF($B545="MEANS",INDEX('1-DATA'!$1:$1048576,$A544-1,COLUMN('1-DATA'!AF543)),ROUND(INDEX('1-DATA'!$1:$1048576,IF(OR($B545="STD. DEVIATION",$C$1=1),$A545,$A545+1),COLUMN('1-DATA'!AF543)),IF($B545="STD. DEVIATION",2,$F$1))))</f>
        <v/>
      </c>
      <c r="AH545" s="1" t="str">
        <f>IF(OR($B545="",AH$7=""),"",IF($B545="MEANS",INDEX('1-DATA'!$1:$1048576,$A544-1,COLUMN('1-DATA'!AG543)),ROUND(INDEX('1-DATA'!$1:$1048576,IF(OR($B545="STD. DEVIATION",$C$1=1),$A545,$A545+1),COLUMN('1-DATA'!AG543)),IF($B545="STD. DEVIATION",2,$F$1))))</f>
        <v/>
      </c>
      <c r="AI545" s="1" t="str">
        <f>IF(OR($B545="",AI$7=""),"",IF($B545="MEANS",INDEX('1-DATA'!$1:$1048576,$A544-1,COLUMN('1-DATA'!AH543)),ROUND(INDEX('1-DATA'!$1:$1048576,IF(OR($B545="STD. DEVIATION",$C$1=1),$A545,$A545+1),COLUMN('1-DATA'!AH543)),IF($B545="STD. DEVIATION",2,$F$1))))</f>
        <v/>
      </c>
      <c r="AJ545" s="1" t="str">
        <f>IF(OR($B545="",AJ$7=""),"",IF($B545="MEANS",INDEX('1-DATA'!$1:$1048576,$A544-1,COLUMN('1-DATA'!AI543)),ROUND(INDEX('1-DATA'!$1:$1048576,IF(OR($B545="STD. DEVIATION",$C$1=1),$A545,$A545+1),COLUMN('1-DATA'!AI543)),IF($B545="STD. DEVIATION",2,$F$1))))</f>
        <v/>
      </c>
      <c r="AK545" s="1" t="str">
        <f>IF(OR($B545="",AK$7=""),"",IF($B545="MEANS",INDEX('1-DATA'!$1:$1048576,$A544-1,COLUMN('1-DATA'!AJ543)),ROUND(INDEX('1-DATA'!$1:$1048576,IF(OR($B545="STD. DEVIATION",$C$1=1),$A545,$A545+1),COLUMN('1-DATA'!AJ543)),IF($B545="STD. DEVIATION",2,$F$1))))</f>
        <v/>
      </c>
      <c r="AL545" s="1" t="str">
        <f>IF(OR($B545="",AL$7=""),"",IF($B545="MEANS",INDEX('1-DATA'!$1:$1048576,$A544-1,COLUMN('1-DATA'!AK543)),ROUND(INDEX('1-DATA'!$1:$1048576,IF(OR($B545="STD. DEVIATION",$C$1=1),$A545,$A545+1),COLUMN('1-DATA'!AK543)),IF($B545="STD. DEVIATION",2,$F$1))))</f>
        <v/>
      </c>
      <c r="AM545" s="1" t="str">
        <f>IF(OR($B545="",AM$7=""),"",IF($B545="MEANS",INDEX('1-DATA'!$1:$1048576,$A544-1,COLUMN('1-DATA'!AL543)),ROUND(INDEX('1-DATA'!$1:$1048576,IF(OR($B545="STD. DEVIATION",$C$1=1),$A545,$A545+1),COLUMN('1-DATA'!AL543)),IF($B545="STD. DEVIATION",2,$F$1))))</f>
        <v/>
      </c>
      <c r="AN545" s="1" t="str">
        <f>IF(OR($B545="",AN$7=""),"",IF($B545="MEANS",INDEX('1-DATA'!$1:$1048576,$A544-1,COLUMN('1-DATA'!AM543)),ROUND(INDEX('1-DATA'!$1:$1048576,IF(OR($B545="STD. DEVIATION",$C$1=1),$A545,$A545+1),COLUMN('1-DATA'!AM543)),IF($B545="STD. DEVIATION",2,$F$1))))</f>
        <v/>
      </c>
      <c r="AO545" s="1" t="str">
        <f>IF(OR($B545="",AO$7=""),"",IF($B545="MEANS",INDEX('1-DATA'!$1:$1048576,$A544-1,COLUMN('1-DATA'!AN543)),ROUND(INDEX('1-DATA'!$1:$1048576,IF(OR($B545="STD. DEVIATION",$C$1=1),$A545,$A545+1),COLUMN('1-DATA'!AN543)),IF($B545="STD. DEVIATION",2,$F$1))))</f>
        <v/>
      </c>
      <c r="AP545" s="1" t="str">
        <f>IF(OR($B545="",AP$7=""),"",IF($B545="MEANS",INDEX('1-DATA'!$1:$1048576,$A544-1,COLUMN('1-DATA'!AO543)),ROUND(INDEX('1-DATA'!$1:$1048576,IF(OR($B545="STD. DEVIATION",$C$1=1),$A545,$A545+1),COLUMN('1-DATA'!AO543)),IF($B545="STD. DEVIATION",2,$F$1))))</f>
        <v/>
      </c>
      <c r="AQ545" s="1" t="str">
        <f>IF(OR($B545="",AQ$7=""),"",IF($B545="MEANS",INDEX('1-DATA'!$1:$1048576,$A544-1,COLUMN('1-DATA'!AP543)),ROUND(INDEX('1-DATA'!$1:$1048576,IF(OR($B545="STD. DEVIATION",$C$1=1),$A545,$A545+1),COLUMN('1-DATA'!AP543)),IF($B545="STD. DEVIATION",2,$F$1))))</f>
        <v/>
      </c>
      <c r="AR545" s="1" t="str">
        <f>IF(OR($B545="",AR$7=""),"",IF($B545="MEANS",INDEX('1-DATA'!$1:$1048576,$A544-1,COLUMN('1-DATA'!AQ543)),ROUND(INDEX('1-DATA'!$1:$1048576,IF(OR($B545="STD. DEVIATION",$C$1=1),$A545,$A545+1),COLUMN('1-DATA'!AQ543)),IF($B545="STD. DEVIATION",2,$F$1))))</f>
        <v/>
      </c>
      <c r="AS545" s="1" t="str">
        <f>IF(OR($B545="",AS$7=""),"",IF($B545="MEANS",INDEX('1-DATA'!$1:$1048576,$A544-1,COLUMN('1-DATA'!AR543)),ROUND(INDEX('1-DATA'!$1:$1048576,IF(OR($B545="STD. DEVIATION",$C$1=1),$A545,$A545+1),COLUMN('1-DATA'!AR543)),IF($B545="STD. DEVIATION",2,$F$1))))</f>
        <v/>
      </c>
      <c r="AT545" s="1" t="str">
        <f>IF(OR($B545="",AT$7=""),"",IF($B545="MEANS",INDEX('1-DATA'!$1:$1048576,$A544-1,COLUMN('1-DATA'!AS543)),ROUND(INDEX('1-DATA'!$1:$1048576,IF(OR($B545="STD. DEVIATION",$C$1=1),$A545,$A545+1),COLUMN('1-DATA'!AS543)),IF($B545="STD. DEVIATION",2,$F$1))))</f>
        <v/>
      </c>
      <c r="AU545" s="1" t="str">
        <f>IF(OR($B545="",AU$7=""),"",IF($B545="MEANS",INDEX('1-DATA'!$1:$1048576,$A544-1,COLUMN('1-DATA'!AT543)),ROUND(INDEX('1-DATA'!$1:$1048576,IF(OR($B545="STD. DEVIATION",$C$1=1),$A545,$A545+1),COLUMN('1-DATA'!AT543)),IF($B545="STD. DEVIATION",2,$F$1))))</f>
        <v/>
      </c>
      <c r="AV545" s="1" t="str">
        <f>IF(OR($B545="",AV$7=""),"",IF($B545="MEANS",INDEX('1-DATA'!$1:$1048576,$A544-1,COLUMN('1-DATA'!AU543)),ROUND(INDEX('1-DATA'!$1:$1048576,IF(OR($B545="STD. DEVIATION",$C$1=1),$A545,$A545+1),COLUMN('1-DATA'!AU543)),IF($B545="STD. DEVIATION",2,$F$1))))</f>
        <v/>
      </c>
      <c r="AW545" s="1" t="str">
        <f>IF(OR($B545="",AW$7=""),"",IF($B545="MEANS",INDEX('1-DATA'!$1:$1048576,$A544-1,COLUMN('1-DATA'!AV543)),ROUND(INDEX('1-DATA'!$1:$1048576,IF(OR($B545="STD. DEVIATION",$C$1=1),$A545,$A545+1),COLUMN('1-DATA'!AV543)),IF($B545="STD. DEVIATION",2,$F$1))))</f>
        <v/>
      </c>
      <c r="AX545" s="1" t="str">
        <f>IF(OR($B545="",AX$7=""),"",IF($B545="MEANS",INDEX('1-DATA'!$1:$1048576,$A544-1,COLUMN('1-DATA'!AW543)),ROUND(INDEX('1-DATA'!$1:$1048576,IF(OR($B545="STD. DEVIATION",$C$1=1),$A545,$A545+1),COLUMN('1-DATA'!AW543)),IF($B545="STD. DEVIATION",2,$F$1))))</f>
        <v/>
      </c>
      <c r="AY545" s="1" t="str">
        <f>IF(OR($B545="",AY$7=""),"",IF($B545="MEANS",INDEX('1-DATA'!$1:$1048576,$A544-1,COLUMN('1-DATA'!AX543)),ROUND(INDEX('1-DATA'!$1:$1048576,IF(OR($B545="STD. DEVIATION",$C$1=1),$A545,$A545+1),COLUMN('1-DATA'!AX543)),IF($B545="STD. DEVIATION",2,$F$1))))</f>
        <v/>
      </c>
      <c r="AZ545" s="1" t="str">
        <f>IF(OR($B545="",AZ$7=""),"",IF($B545="MEANS",INDEX('1-DATA'!$1:$1048576,$A544-1,COLUMN('1-DATA'!AY543)),ROUND(INDEX('1-DATA'!$1:$1048576,IF(OR($B545="STD. DEVIATION",$C$1=1),$A545,$A545+1),COLUMN('1-DATA'!AY543)),IF($B545="STD. DEVIATION",2,$F$1))))</f>
        <v/>
      </c>
    </row>
    <row r="546" spans="1:52" x14ac:dyDescent="0.25">
      <c r="A546" s="11">
        <f t="shared" si="9"/>
        <v>1624</v>
      </c>
      <c r="B546" s="1" t="str">
        <f>IF(B545="STD. DEVIATION",INDEX('1-DATA'!$1:$1048576,$A545-1,1),IF(INDEX('1-DATA'!$1:$1048576,$A546,1)&lt;&gt;"",INDEX('1-DATA'!$1:$1048576,$A546,1),""))</f>
        <v/>
      </c>
      <c r="C546" s="1" t="str">
        <f>IF(OR($B546="",C$7=""),"",IF($B546="MEANS",INDEX('1-DATA'!$1:$1048576,$A545-1,COLUMN('1-DATA'!B544)),ROUND(INDEX('1-DATA'!$1:$1048576,IF(OR($B546="STD. DEVIATION",$C$1=1),$A546,$A546+1),COLUMN('1-DATA'!B544)),IF($B546="STD. DEVIATION",2,$F$1))))</f>
        <v/>
      </c>
      <c r="D546" s="1" t="str">
        <f>IF(OR($B546="",D$7=""),"",IF($B546="MEANS",INDEX('1-DATA'!$1:$1048576,$A545-1,COLUMN('1-DATA'!C544)),ROUND(INDEX('1-DATA'!$1:$1048576,IF(OR($B546="STD. DEVIATION",$C$1=1),$A546,$A546+1),COLUMN('1-DATA'!C544)),IF($B546="STD. DEVIATION",2,$F$1))))</f>
        <v/>
      </c>
      <c r="E546" s="1" t="str">
        <f>IF(OR($B546="",E$7=""),"",IF($B546="MEANS",INDEX('1-DATA'!$1:$1048576,$A545-1,COLUMN('1-DATA'!D544)),ROUND(INDEX('1-DATA'!$1:$1048576,IF(OR($B546="STD. DEVIATION",$C$1=1),$A546,$A546+1),COLUMN('1-DATA'!D544)),IF($B546="STD. DEVIATION",2,$F$1))))</f>
        <v/>
      </c>
      <c r="F546" s="1" t="str">
        <f>IF(OR($B546="",F$7=""),"",IF($B546="MEANS",INDEX('1-DATA'!$1:$1048576,$A545-1,COLUMN('1-DATA'!E544)),ROUND(INDEX('1-DATA'!$1:$1048576,IF(OR($B546="STD. DEVIATION",$C$1=1),$A546,$A546+1),COLUMN('1-DATA'!E544)),IF($B546="STD. DEVIATION",2,$F$1))))</f>
        <v/>
      </c>
      <c r="G546" s="1" t="str">
        <f>IF(OR($B546="",G$7=""),"",IF($B546="MEANS",INDEX('1-DATA'!$1:$1048576,$A545-1,COLUMN('1-DATA'!F544)),ROUND(INDEX('1-DATA'!$1:$1048576,IF(OR($B546="STD. DEVIATION",$C$1=1),$A546,$A546+1),COLUMN('1-DATA'!F544)),IF($B546="STD. DEVIATION",2,$F$1))))</f>
        <v/>
      </c>
      <c r="H546" s="1" t="str">
        <f>IF(OR($B546="",H$7=""),"",IF($B546="MEANS",INDEX('1-DATA'!$1:$1048576,$A545-1,COLUMN('1-DATA'!G544)),ROUND(INDEX('1-DATA'!$1:$1048576,IF(OR($B546="STD. DEVIATION",$C$1=1),$A546,$A546+1),COLUMN('1-DATA'!G544)),IF($B546="STD. DEVIATION",2,$F$1))))</f>
        <v/>
      </c>
      <c r="I546" s="1" t="str">
        <f>IF(OR($B546="",I$7=""),"",IF($B546="MEANS",INDEX('1-DATA'!$1:$1048576,$A545-1,COLUMN('1-DATA'!H544)),ROUND(INDEX('1-DATA'!$1:$1048576,IF(OR($B546="STD. DEVIATION",$C$1=1),$A546,$A546+1),COLUMN('1-DATA'!H544)),IF($B546="STD. DEVIATION",2,$F$1))))</f>
        <v/>
      </c>
      <c r="J546" s="1" t="str">
        <f>IF(OR($B546="",J$7=""),"",IF($B546="MEANS",INDEX('1-DATA'!$1:$1048576,$A545-1,COLUMN('1-DATA'!I544)),ROUND(INDEX('1-DATA'!$1:$1048576,IF(OR($B546="STD. DEVIATION",$C$1=1),$A546,$A546+1),COLUMN('1-DATA'!I544)),IF($B546="STD. DEVIATION",2,$F$1))))</f>
        <v/>
      </c>
      <c r="K546" s="1" t="str">
        <f>IF(OR($B546="",K$7=""),"",IF($B546="MEANS",INDEX('1-DATA'!$1:$1048576,$A545-1,COLUMN('1-DATA'!J544)),ROUND(INDEX('1-DATA'!$1:$1048576,IF(OR($B546="STD. DEVIATION",$C$1=1),$A546,$A546+1),COLUMN('1-DATA'!J544)),IF($B546="STD. DEVIATION",2,$F$1))))</f>
        <v/>
      </c>
      <c r="L546" s="1" t="str">
        <f>IF(OR($B546="",L$7=""),"",IF($B546="MEANS",INDEX('1-DATA'!$1:$1048576,$A545-1,COLUMN('1-DATA'!K544)),ROUND(INDEX('1-DATA'!$1:$1048576,IF(OR($B546="STD. DEVIATION",$C$1=1),$A546,$A546+1),COLUMN('1-DATA'!K544)),IF($B546="STD. DEVIATION",2,$F$1))))</f>
        <v/>
      </c>
      <c r="M546" s="1" t="str">
        <f>IF(OR($B546="",M$7=""),"",IF($B546="MEANS",INDEX('1-DATA'!$1:$1048576,$A545-1,COLUMN('1-DATA'!L544)),ROUND(INDEX('1-DATA'!$1:$1048576,IF(OR($B546="STD. DEVIATION",$C$1=1),$A546,$A546+1),COLUMN('1-DATA'!L544)),IF($B546="STD. DEVIATION",2,$F$1))))</f>
        <v/>
      </c>
      <c r="N546" s="1" t="str">
        <f>IF(OR($B546="",N$7=""),"",IF($B546="MEANS",INDEX('1-DATA'!$1:$1048576,$A545-1,COLUMN('1-DATA'!M544)),ROUND(INDEX('1-DATA'!$1:$1048576,IF(OR($B546="STD. DEVIATION",$C$1=1),$A546,$A546+1),COLUMN('1-DATA'!M544)),IF($B546="STD. DEVIATION",2,$F$1))))</f>
        <v/>
      </c>
      <c r="O546" s="1" t="str">
        <f>IF(OR($B546="",O$7=""),"",IF($B546="MEANS",INDEX('1-DATA'!$1:$1048576,$A545-1,COLUMN('1-DATA'!N544)),ROUND(INDEX('1-DATA'!$1:$1048576,IF(OR($B546="STD. DEVIATION",$C$1=1),$A546,$A546+1),COLUMN('1-DATA'!N544)),IF($B546="STD. DEVIATION",2,$F$1))))</f>
        <v/>
      </c>
      <c r="P546" s="1" t="str">
        <f>IF(OR($B546="",P$7=""),"",IF($B546="MEANS",INDEX('1-DATA'!$1:$1048576,$A545-1,COLUMN('1-DATA'!O544)),ROUND(INDEX('1-DATA'!$1:$1048576,IF(OR($B546="STD. DEVIATION",$C$1=1),$A546,$A546+1),COLUMN('1-DATA'!O544)),IF($B546="STD. DEVIATION",2,$F$1))))</f>
        <v/>
      </c>
      <c r="Q546" s="1" t="str">
        <f>IF(OR($B546="",Q$7=""),"",IF($B546="MEANS",INDEX('1-DATA'!$1:$1048576,$A545-1,COLUMN('1-DATA'!P544)),ROUND(INDEX('1-DATA'!$1:$1048576,IF(OR($B546="STD. DEVIATION",$C$1=1),$A546,$A546+1),COLUMN('1-DATA'!P544)),IF($B546="STD. DEVIATION",2,$F$1))))</f>
        <v/>
      </c>
      <c r="R546" s="1" t="str">
        <f>IF(OR($B546="",R$7=""),"",IF($B546="MEANS",INDEX('1-DATA'!$1:$1048576,$A545-1,COLUMN('1-DATA'!Q544)),ROUND(INDEX('1-DATA'!$1:$1048576,IF(OR($B546="STD. DEVIATION",$C$1=1),$A546,$A546+1),COLUMN('1-DATA'!Q544)),IF($B546="STD. DEVIATION",2,$F$1))))</f>
        <v/>
      </c>
      <c r="S546" s="1" t="str">
        <f>IF(OR($B546="",S$7=""),"",IF($B546="MEANS",INDEX('1-DATA'!$1:$1048576,$A545-1,COLUMN('1-DATA'!R544)),ROUND(INDEX('1-DATA'!$1:$1048576,IF(OR($B546="STD. DEVIATION",$C$1=1),$A546,$A546+1),COLUMN('1-DATA'!R544)),IF($B546="STD. DEVIATION",2,$F$1))))</f>
        <v/>
      </c>
      <c r="T546" s="1" t="str">
        <f>IF(OR($B546="",T$7=""),"",IF($B546="MEANS",INDEX('1-DATA'!$1:$1048576,$A545-1,COLUMN('1-DATA'!S544)),ROUND(INDEX('1-DATA'!$1:$1048576,IF(OR($B546="STD. DEVIATION",$C$1=1),$A546,$A546+1),COLUMN('1-DATA'!S544)),IF($B546="STD. DEVIATION",2,$F$1))))</f>
        <v/>
      </c>
      <c r="U546" s="1" t="str">
        <f>IF(OR($B546="",U$7=""),"",IF($B546="MEANS",INDEX('1-DATA'!$1:$1048576,$A545-1,COLUMN('1-DATA'!T544)),ROUND(INDEX('1-DATA'!$1:$1048576,IF(OR($B546="STD. DEVIATION",$C$1=1),$A546,$A546+1),COLUMN('1-DATA'!T544)),IF($B546="STD. DEVIATION",2,$F$1))))</f>
        <v/>
      </c>
      <c r="V546" s="1" t="str">
        <f>IF(OR($B546="",V$7=""),"",IF($B546="MEANS",INDEX('1-DATA'!$1:$1048576,$A545-1,COLUMN('1-DATA'!U544)),ROUND(INDEX('1-DATA'!$1:$1048576,IF(OR($B546="STD. DEVIATION",$C$1=1),$A546,$A546+1),COLUMN('1-DATA'!U544)),IF($B546="STD. DEVIATION",2,$F$1))))</f>
        <v/>
      </c>
      <c r="W546" s="1" t="str">
        <f>IF(OR($B546="",W$7=""),"",IF($B546="MEANS",INDEX('1-DATA'!$1:$1048576,$A545-1,COLUMN('1-DATA'!V544)),ROUND(INDEX('1-DATA'!$1:$1048576,IF(OR($B546="STD. DEVIATION",$C$1=1),$A546,$A546+1),COLUMN('1-DATA'!V544)),IF($B546="STD. DEVIATION",2,$F$1))))</f>
        <v/>
      </c>
      <c r="X546" s="1" t="str">
        <f>IF(OR($B546="",X$7=""),"",IF($B546="MEANS",INDEX('1-DATA'!$1:$1048576,$A545-1,COLUMN('1-DATA'!W544)),ROUND(INDEX('1-DATA'!$1:$1048576,IF(OR($B546="STD. DEVIATION",$C$1=1),$A546,$A546+1),COLUMN('1-DATA'!W544)),IF($B546="STD. DEVIATION",2,$F$1))))</f>
        <v/>
      </c>
      <c r="Y546" s="1" t="str">
        <f>IF(OR($B546="",Y$7=""),"",IF($B546="MEANS",INDEX('1-DATA'!$1:$1048576,$A545-1,COLUMN('1-DATA'!X544)),ROUND(INDEX('1-DATA'!$1:$1048576,IF(OR($B546="STD. DEVIATION",$C$1=1),$A546,$A546+1),COLUMN('1-DATA'!X544)),IF($B546="STD. DEVIATION",2,$F$1))))</f>
        <v/>
      </c>
      <c r="Z546" s="1" t="str">
        <f>IF(OR($B546="",Z$7=""),"",IF($B546="MEANS",INDEX('1-DATA'!$1:$1048576,$A545-1,COLUMN('1-DATA'!Y544)),ROUND(INDEX('1-DATA'!$1:$1048576,IF(OR($B546="STD. DEVIATION",$C$1=1),$A546,$A546+1),COLUMN('1-DATA'!Y544)),IF($B546="STD. DEVIATION",2,$F$1))))</f>
        <v/>
      </c>
      <c r="AA546" s="1" t="str">
        <f>IF(OR($B546="",AA$7=""),"",IF($B546="MEANS",INDEX('1-DATA'!$1:$1048576,$A545-1,COLUMN('1-DATA'!Z544)),ROUND(INDEX('1-DATA'!$1:$1048576,IF(OR($B546="STD. DEVIATION",$C$1=1),$A546,$A546+1),COLUMN('1-DATA'!Z544)),IF($B546="STD. DEVIATION",2,$F$1))))</f>
        <v/>
      </c>
      <c r="AB546" s="1" t="str">
        <f>IF(OR($B546="",AB$7=""),"",IF($B546="MEANS",INDEX('1-DATA'!$1:$1048576,$A545-1,COLUMN('1-DATA'!AA544)),ROUND(INDEX('1-DATA'!$1:$1048576,IF(OR($B546="STD. DEVIATION",$C$1=1),$A546,$A546+1),COLUMN('1-DATA'!AA544)),IF($B546="STD. DEVIATION",2,$F$1))))</f>
        <v/>
      </c>
      <c r="AC546" s="1" t="str">
        <f>IF(OR($B546="",AC$7=""),"",IF($B546="MEANS",INDEX('1-DATA'!$1:$1048576,$A545-1,COLUMN('1-DATA'!AB544)),ROUND(INDEX('1-DATA'!$1:$1048576,IF(OR($B546="STD. DEVIATION",$C$1=1),$A546,$A546+1),COLUMN('1-DATA'!AB544)),IF($B546="STD. DEVIATION",2,$F$1))))</f>
        <v/>
      </c>
      <c r="AD546" s="1" t="str">
        <f>IF(OR($B546="",AD$7=""),"",IF($B546="MEANS",INDEX('1-DATA'!$1:$1048576,$A545-1,COLUMN('1-DATA'!AC544)),ROUND(INDEX('1-DATA'!$1:$1048576,IF(OR($B546="STD. DEVIATION",$C$1=1),$A546,$A546+1),COLUMN('1-DATA'!AC544)),IF($B546="STD. DEVIATION",2,$F$1))))</f>
        <v/>
      </c>
      <c r="AE546" s="1" t="str">
        <f>IF(OR($B546="",AE$7=""),"",IF($B546="MEANS",INDEX('1-DATA'!$1:$1048576,$A545-1,COLUMN('1-DATA'!AD544)),ROUND(INDEX('1-DATA'!$1:$1048576,IF(OR($B546="STD. DEVIATION",$C$1=1),$A546,$A546+1),COLUMN('1-DATA'!AD544)),IF($B546="STD. DEVIATION",2,$F$1))))</f>
        <v/>
      </c>
      <c r="AF546" s="1" t="str">
        <f>IF(OR($B546="",AF$7=""),"",IF($B546="MEANS",INDEX('1-DATA'!$1:$1048576,$A545-1,COLUMN('1-DATA'!AE544)),ROUND(INDEX('1-DATA'!$1:$1048576,IF(OR($B546="STD. DEVIATION",$C$1=1),$A546,$A546+1),COLUMN('1-DATA'!AE544)),IF($B546="STD. DEVIATION",2,$F$1))))</f>
        <v/>
      </c>
      <c r="AG546" s="1" t="str">
        <f>IF(OR($B546="",AG$7=""),"",IF($B546="MEANS",INDEX('1-DATA'!$1:$1048576,$A545-1,COLUMN('1-DATA'!AF544)),ROUND(INDEX('1-DATA'!$1:$1048576,IF(OR($B546="STD. DEVIATION",$C$1=1),$A546,$A546+1),COLUMN('1-DATA'!AF544)),IF($B546="STD. DEVIATION",2,$F$1))))</f>
        <v/>
      </c>
      <c r="AH546" s="1" t="str">
        <f>IF(OR($B546="",AH$7=""),"",IF($B546="MEANS",INDEX('1-DATA'!$1:$1048576,$A545-1,COLUMN('1-DATA'!AG544)),ROUND(INDEX('1-DATA'!$1:$1048576,IF(OR($B546="STD. DEVIATION",$C$1=1),$A546,$A546+1),COLUMN('1-DATA'!AG544)),IF($B546="STD. DEVIATION",2,$F$1))))</f>
        <v/>
      </c>
      <c r="AI546" s="1" t="str">
        <f>IF(OR($B546="",AI$7=""),"",IF($B546="MEANS",INDEX('1-DATA'!$1:$1048576,$A545-1,COLUMN('1-DATA'!AH544)),ROUND(INDEX('1-DATA'!$1:$1048576,IF(OR($B546="STD. DEVIATION",$C$1=1),$A546,$A546+1),COLUMN('1-DATA'!AH544)),IF($B546="STD. DEVIATION",2,$F$1))))</f>
        <v/>
      </c>
      <c r="AJ546" s="1" t="str">
        <f>IF(OR($B546="",AJ$7=""),"",IF($B546="MEANS",INDEX('1-DATA'!$1:$1048576,$A545-1,COLUMN('1-DATA'!AI544)),ROUND(INDEX('1-DATA'!$1:$1048576,IF(OR($B546="STD. DEVIATION",$C$1=1),$A546,$A546+1),COLUMN('1-DATA'!AI544)),IF($B546="STD. DEVIATION",2,$F$1))))</f>
        <v/>
      </c>
      <c r="AK546" s="1" t="str">
        <f>IF(OR($B546="",AK$7=""),"",IF($B546="MEANS",INDEX('1-DATA'!$1:$1048576,$A545-1,COLUMN('1-DATA'!AJ544)),ROUND(INDEX('1-DATA'!$1:$1048576,IF(OR($B546="STD. DEVIATION",$C$1=1),$A546,$A546+1),COLUMN('1-DATA'!AJ544)),IF($B546="STD. DEVIATION",2,$F$1))))</f>
        <v/>
      </c>
      <c r="AL546" s="1" t="str">
        <f>IF(OR($B546="",AL$7=""),"",IF($B546="MEANS",INDEX('1-DATA'!$1:$1048576,$A545-1,COLUMN('1-DATA'!AK544)),ROUND(INDEX('1-DATA'!$1:$1048576,IF(OR($B546="STD. DEVIATION",$C$1=1),$A546,$A546+1),COLUMN('1-DATA'!AK544)),IF($B546="STD. DEVIATION",2,$F$1))))</f>
        <v/>
      </c>
      <c r="AM546" s="1" t="str">
        <f>IF(OR($B546="",AM$7=""),"",IF($B546="MEANS",INDEX('1-DATA'!$1:$1048576,$A545-1,COLUMN('1-DATA'!AL544)),ROUND(INDEX('1-DATA'!$1:$1048576,IF(OR($B546="STD. DEVIATION",$C$1=1),$A546,$A546+1),COLUMN('1-DATA'!AL544)),IF($B546="STD. DEVIATION",2,$F$1))))</f>
        <v/>
      </c>
      <c r="AN546" s="1" t="str">
        <f>IF(OR($B546="",AN$7=""),"",IF($B546="MEANS",INDEX('1-DATA'!$1:$1048576,$A545-1,COLUMN('1-DATA'!AM544)),ROUND(INDEX('1-DATA'!$1:$1048576,IF(OR($B546="STD. DEVIATION",$C$1=1),$A546,$A546+1),COLUMN('1-DATA'!AM544)),IF($B546="STD. DEVIATION",2,$F$1))))</f>
        <v/>
      </c>
      <c r="AO546" s="1" t="str">
        <f>IF(OR($B546="",AO$7=""),"",IF($B546="MEANS",INDEX('1-DATA'!$1:$1048576,$A545-1,COLUMN('1-DATA'!AN544)),ROUND(INDEX('1-DATA'!$1:$1048576,IF(OR($B546="STD. DEVIATION",$C$1=1),$A546,$A546+1),COLUMN('1-DATA'!AN544)),IF($B546="STD. DEVIATION",2,$F$1))))</f>
        <v/>
      </c>
      <c r="AP546" s="1" t="str">
        <f>IF(OR($B546="",AP$7=""),"",IF($B546="MEANS",INDEX('1-DATA'!$1:$1048576,$A545-1,COLUMN('1-DATA'!AO544)),ROUND(INDEX('1-DATA'!$1:$1048576,IF(OR($B546="STD. DEVIATION",$C$1=1),$A546,$A546+1),COLUMN('1-DATA'!AO544)),IF($B546="STD. DEVIATION",2,$F$1))))</f>
        <v/>
      </c>
      <c r="AQ546" s="1" t="str">
        <f>IF(OR($B546="",AQ$7=""),"",IF($B546="MEANS",INDEX('1-DATA'!$1:$1048576,$A545-1,COLUMN('1-DATA'!AP544)),ROUND(INDEX('1-DATA'!$1:$1048576,IF(OR($B546="STD. DEVIATION",$C$1=1),$A546,$A546+1),COLUMN('1-DATA'!AP544)),IF($B546="STD. DEVIATION",2,$F$1))))</f>
        <v/>
      </c>
      <c r="AR546" s="1" t="str">
        <f>IF(OR($B546="",AR$7=""),"",IF($B546="MEANS",INDEX('1-DATA'!$1:$1048576,$A545-1,COLUMN('1-DATA'!AQ544)),ROUND(INDEX('1-DATA'!$1:$1048576,IF(OR($B546="STD. DEVIATION",$C$1=1),$A546,$A546+1),COLUMN('1-DATA'!AQ544)),IF($B546="STD. DEVIATION",2,$F$1))))</f>
        <v/>
      </c>
      <c r="AS546" s="1" t="str">
        <f>IF(OR($B546="",AS$7=""),"",IF($B546="MEANS",INDEX('1-DATA'!$1:$1048576,$A545-1,COLUMN('1-DATA'!AR544)),ROUND(INDEX('1-DATA'!$1:$1048576,IF(OR($B546="STD. DEVIATION",$C$1=1),$A546,$A546+1),COLUMN('1-DATA'!AR544)),IF($B546="STD. DEVIATION",2,$F$1))))</f>
        <v/>
      </c>
      <c r="AT546" s="1" t="str">
        <f>IF(OR($B546="",AT$7=""),"",IF($B546="MEANS",INDEX('1-DATA'!$1:$1048576,$A545-1,COLUMN('1-DATA'!AS544)),ROUND(INDEX('1-DATA'!$1:$1048576,IF(OR($B546="STD. DEVIATION",$C$1=1),$A546,$A546+1),COLUMN('1-DATA'!AS544)),IF($B546="STD. DEVIATION",2,$F$1))))</f>
        <v/>
      </c>
      <c r="AU546" s="1" t="str">
        <f>IF(OR($B546="",AU$7=""),"",IF($B546="MEANS",INDEX('1-DATA'!$1:$1048576,$A545-1,COLUMN('1-DATA'!AT544)),ROUND(INDEX('1-DATA'!$1:$1048576,IF(OR($B546="STD. DEVIATION",$C$1=1),$A546,$A546+1),COLUMN('1-DATA'!AT544)),IF($B546="STD. DEVIATION",2,$F$1))))</f>
        <v/>
      </c>
      <c r="AV546" s="1" t="str">
        <f>IF(OR($B546="",AV$7=""),"",IF($B546="MEANS",INDEX('1-DATA'!$1:$1048576,$A545-1,COLUMN('1-DATA'!AU544)),ROUND(INDEX('1-DATA'!$1:$1048576,IF(OR($B546="STD. DEVIATION",$C$1=1),$A546,$A546+1),COLUMN('1-DATA'!AU544)),IF($B546="STD. DEVIATION",2,$F$1))))</f>
        <v/>
      </c>
      <c r="AW546" s="1" t="str">
        <f>IF(OR($B546="",AW$7=""),"",IF($B546="MEANS",INDEX('1-DATA'!$1:$1048576,$A545-1,COLUMN('1-DATA'!AV544)),ROUND(INDEX('1-DATA'!$1:$1048576,IF(OR($B546="STD. DEVIATION",$C$1=1),$A546,$A546+1),COLUMN('1-DATA'!AV544)),IF($B546="STD. DEVIATION",2,$F$1))))</f>
        <v/>
      </c>
      <c r="AX546" s="1" t="str">
        <f>IF(OR($B546="",AX$7=""),"",IF($B546="MEANS",INDEX('1-DATA'!$1:$1048576,$A545-1,COLUMN('1-DATA'!AW544)),ROUND(INDEX('1-DATA'!$1:$1048576,IF(OR($B546="STD. DEVIATION",$C$1=1),$A546,$A546+1),COLUMN('1-DATA'!AW544)),IF($B546="STD. DEVIATION",2,$F$1))))</f>
        <v/>
      </c>
      <c r="AY546" s="1" t="str">
        <f>IF(OR($B546="",AY$7=""),"",IF($B546="MEANS",INDEX('1-DATA'!$1:$1048576,$A545-1,COLUMN('1-DATA'!AX544)),ROUND(INDEX('1-DATA'!$1:$1048576,IF(OR($B546="STD. DEVIATION",$C$1=1),$A546,$A546+1),COLUMN('1-DATA'!AX544)),IF($B546="STD. DEVIATION",2,$F$1))))</f>
        <v/>
      </c>
      <c r="AZ546" s="1" t="str">
        <f>IF(OR($B546="",AZ$7=""),"",IF($B546="MEANS",INDEX('1-DATA'!$1:$1048576,$A545-1,COLUMN('1-DATA'!AY544)),ROUND(INDEX('1-DATA'!$1:$1048576,IF(OR($B546="STD. DEVIATION",$C$1=1),$A546,$A546+1),COLUMN('1-DATA'!AY544)),IF($B546="STD. DEVIATION",2,$F$1))))</f>
        <v/>
      </c>
    </row>
    <row r="547" spans="1:52" x14ac:dyDescent="0.25">
      <c r="A547" s="11">
        <f t="shared" si="9"/>
        <v>1627</v>
      </c>
      <c r="B547" s="1" t="str">
        <f>IF(B546="STD. DEVIATION",INDEX('1-DATA'!$1:$1048576,$A546-1,1),IF(INDEX('1-DATA'!$1:$1048576,$A547,1)&lt;&gt;"",INDEX('1-DATA'!$1:$1048576,$A547,1),""))</f>
        <v/>
      </c>
      <c r="C547" s="1" t="str">
        <f>IF(OR($B547="",C$7=""),"",IF($B547="MEANS",INDEX('1-DATA'!$1:$1048576,$A546-1,COLUMN('1-DATA'!B545)),ROUND(INDEX('1-DATA'!$1:$1048576,IF(OR($B547="STD. DEVIATION",$C$1=1),$A547,$A547+1),COLUMN('1-DATA'!B545)),IF($B547="STD. DEVIATION",2,$F$1))))</f>
        <v/>
      </c>
      <c r="D547" s="1" t="str">
        <f>IF(OR($B547="",D$7=""),"",IF($B547="MEANS",INDEX('1-DATA'!$1:$1048576,$A546-1,COLUMN('1-DATA'!C545)),ROUND(INDEX('1-DATA'!$1:$1048576,IF(OR($B547="STD. DEVIATION",$C$1=1),$A547,$A547+1),COLUMN('1-DATA'!C545)),IF($B547="STD. DEVIATION",2,$F$1))))</f>
        <v/>
      </c>
      <c r="E547" s="1" t="str">
        <f>IF(OR($B547="",E$7=""),"",IF($B547="MEANS",INDEX('1-DATA'!$1:$1048576,$A546-1,COLUMN('1-DATA'!D545)),ROUND(INDEX('1-DATA'!$1:$1048576,IF(OR($B547="STD. DEVIATION",$C$1=1),$A547,$A547+1),COLUMN('1-DATA'!D545)),IF($B547="STD. DEVIATION",2,$F$1))))</f>
        <v/>
      </c>
      <c r="F547" s="1" t="str">
        <f>IF(OR($B547="",F$7=""),"",IF($B547="MEANS",INDEX('1-DATA'!$1:$1048576,$A546-1,COLUMN('1-DATA'!E545)),ROUND(INDEX('1-DATA'!$1:$1048576,IF(OR($B547="STD. DEVIATION",$C$1=1),$A547,$A547+1),COLUMN('1-DATA'!E545)),IF($B547="STD. DEVIATION",2,$F$1))))</f>
        <v/>
      </c>
      <c r="G547" s="1" t="str">
        <f>IF(OR($B547="",G$7=""),"",IF($B547="MEANS",INDEX('1-DATA'!$1:$1048576,$A546-1,COLUMN('1-DATA'!F545)),ROUND(INDEX('1-DATA'!$1:$1048576,IF(OR($B547="STD. DEVIATION",$C$1=1),$A547,$A547+1),COLUMN('1-DATA'!F545)),IF($B547="STD. DEVIATION",2,$F$1))))</f>
        <v/>
      </c>
      <c r="H547" s="1" t="str">
        <f>IF(OR($B547="",H$7=""),"",IF($B547="MEANS",INDEX('1-DATA'!$1:$1048576,$A546-1,COLUMN('1-DATA'!G545)),ROUND(INDEX('1-DATA'!$1:$1048576,IF(OR($B547="STD. DEVIATION",$C$1=1),$A547,$A547+1),COLUMN('1-DATA'!G545)),IF($B547="STD. DEVIATION",2,$F$1))))</f>
        <v/>
      </c>
      <c r="I547" s="1" t="str">
        <f>IF(OR($B547="",I$7=""),"",IF($B547="MEANS",INDEX('1-DATA'!$1:$1048576,$A546-1,COLUMN('1-DATA'!H545)),ROUND(INDEX('1-DATA'!$1:$1048576,IF(OR($B547="STD. DEVIATION",$C$1=1),$A547,$A547+1),COLUMN('1-DATA'!H545)),IF($B547="STD. DEVIATION",2,$F$1))))</f>
        <v/>
      </c>
      <c r="J547" s="1" t="str">
        <f>IF(OR($B547="",J$7=""),"",IF($B547="MEANS",INDEX('1-DATA'!$1:$1048576,$A546-1,COLUMN('1-DATA'!I545)),ROUND(INDEX('1-DATA'!$1:$1048576,IF(OR($B547="STD. DEVIATION",$C$1=1),$A547,$A547+1),COLUMN('1-DATA'!I545)),IF($B547="STD. DEVIATION",2,$F$1))))</f>
        <v/>
      </c>
      <c r="K547" s="1" t="str">
        <f>IF(OR($B547="",K$7=""),"",IF($B547="MEANS",INDEX('1-DATA'!$1:$1048576,$A546-1,COLUMN('1-DATA'!J545)),ROUND(INDEX('1-DATA'!$1:$1048576,IF(OR($B547="STD. DEVIATION",$C$1=1),$A547,$A547+1),COLUMN('1-DATA'!J545)),IF($B547="STD. DEVIATION",2,$F$1))))</f>
        <v/>
      </c>
      <c r="L547" s="1" t="str">
        <f>IF(OR($B547="",L$7=""),"",IF($B547="MEANS",INDEX('1-DATA'!$1:$1048576,$A546-1,COLUMN('1-DATA'!K545)),ROUND(INDEX('1-DATA'!$1:$1048576,IF(OR($B547="STD. DEVIATION",$C$1=1),$A547,$A547+1),COLUMN('1-DATA'!K545)),IF($B547="STD. DEVIATION",2,$F$1))))</f>
        <v/>
      </c>
      <c r="M547" s="1" t="str">
        <f>IF(OR($B547="",M$7=""),"",IF($B547="MEANS",INDEX('1-DATA'!$1:$1048576,$A546-1,COLUMN('1-DATA'!L545)),ROUND(INDEX('1-DATA'!$1:$1048576,IF(OR($B547="STD. DEVIATION",$C$1=1),$A547,$A547+1),COLUMN('1-DATA'!L545)),IF($B547="STD. DEVIATION",2,$F$1))))</f>
        <v/>
      </c>
      <c r="N547" s="1" t="str">
        <f>IF(OR($B547="",N$7=""),"",IF($B547="MEANS",INDEX('1-DATA'!$1:$1048576,$A546-1,COLUMN('1-DATA'!M545)),ROUND(INDEX('1-DATA'!$1:$1048576,IF(OR($B547="STD. DEVIATION",$C$1=1),$A547,$A547+1),COLUMN('1-DATA'!M545)),IF($B547="STD. DEVIATION",2,$F$1))))</f>
        <v/>
      </c>
      <c r="O547" s="1" t="str">
        <f>IF(OR($B547="",O$7=""),"",IF($B547="MEANS",INDEX('1-DATA'!$1:$1048576,$A546-1,COLUMN('1-DATA'!N545)),ROUND(INDEX('1-DATA'!$1:$1048576,IF(OR($B547="STD. DEVIATION",$C$1=1),$A547,$A547+1),COLUMN('1-DATA'!N545)),IF($B547="STD. DEVIATION",2,$F$1))))</f>
        <v/>
      </c>
      <c r="P547" s="1" t="str">
        <f>IF(OR($B547="",P$7=""),"",IF($B547="MEANS",INDEX('1-DATA'!$1:$1048576,$A546-1,COLUMN('1-DATA'!O545)),ROUND(INDEX('1-DATA'!$1:$1048576,IF(OR($B547="STD. DEVIATION",$C$1=1),$A547,$A547+1),COLUMN('1-DATA'!O545)),IF($B547="STD. DEVIATION",2,$F$1))))</f>
        <v/>
      </c>
      <c r="Q547" s="1" t="str">
        <f>IF(OR($B547="",Q$7=""),"",IF($B547="MEANS",INDEX('1-DATA'!$1:$1048576,$A546-1,COLUMN('1-DATA'!P545)),ROUND(INDEX('1-DATA'!$1:$1048576,IF(OR($B547="STD. DEVIATION",$C$1=1),$A547,$A547+1),COLUMN('1-DATA'!P545)),IF($B547="STD. DEVIATION",2,$F$1))))</f>
        <v/>
      </c>
      <c r="R547" s="1" t="str">
        <f>IF(OR($B547="",R$7=""),"",IF($B547="MEANS",INDEX('1-DATA'!$1:$1048576,$A546-1,COLUMN('1-DATA'!Q545)),ROUND(INDEX('1-DATA'!$1:$1048576,IF(OR($B547="STD. DEVIATION",$C$1=1),$A547,$A547+1),COLUMN('1-DATA'!Q545)),IF($B547="STD. DEVIATION",2,$F$1))))</f>
        <v/>
      </c>
      <c r="S547" s="1" t="str">
        <f>IF(OR($B547="",S$7=""),"",IF($B547="MEANS",INDEX('1-DATA'!$1:$1048576,$A546-1,COLUMN('1-DATA'!R545)),ROUND(INDEX('1-DATA'!$1:$1048576,IF(OR($B547="STD. DEVIATION",$C$1=1),$A547,$A547+1),COLUMN('1-DATA'!R545)),IF($B547="STD. DEVIATION",2,$F$1))))</f>
        <v/>
      </c>
      <c r="T547" s="1" t="str">
        <f>IF(OR($B547="",T$7=""),"",IF($B547="MEANS",INDEX('1-DATA'!$1:$1048576,$A546-1,COLUMN('1-DATA'!S545)),ROUND(INDEX('1-DATA'!$1:$1048576,IF(OR($B547="STD. DEVIATION",$C$1=1),$A547,$A547+1),COLUMN('1-DATA'!S545)),IF($B547="STD. DEVIATION",2,$F$1))))</f>
        <v/>
      </c>
      <c r="U547" s="1" t="str">
        <f>IF(OR($B547="",U$7=""),"",IF($B547="MEANS",INDEX('1-DATA'!$1:$1048576,$A546-1,COLUMN('1-DATA'!T545)),ROUND(INDEX('1-DATA'!$1:$1048576,IF(OR($B547="STD. DEVIATION",$C$1=1),$A547,$A547+1),COLUMN('1-DATA'!T545)),IF($B547="STD. DEVIATION",2,$F$1))))</f>
        <v/>
      </c>
      <c r="V547" s="1" t="str">
        <f>IF(OR($B547="",V$7=""),"",IF($B547="MEANS",INDEX('1-DATA'!$1:$1048576,$A546-1,COLUMN('1-DATA'!U545)),ROUND(INDEX('1-DATA'!$1:$1048576,IF(OR($B547="STD. DEVIATION",$C$1=1),$A547,$A547+1),COLUMN('1-DATA'!U545)),IF($B547="STD. DEVIATION",2,$F$1))))</f>
        <v/>
      </c>
      <c r="W547" s="1" t="str">
        <f>IF(OR($B547="",W$7=""),"",IF($B547="MEANS",INDEX('1-DATA'!$1:$1048576,$A546-1,COLUMN('1-DATA'!V545)),ROUND(INDEX('1-DATA'!$1:$1048576,IF(OR($B547="STD. DEVIATION",$C$1=1),$A547,$A547+1),COLUMN('1-DATA'!V545)),IF($B547="STD. DEVIATION",2,$F$1))))</f>
        <v/>
      </c>
      <c r="X547" s="1" t="str">
        <f>IF(OR($B547="",X$7=""),"",IF($B547="MEANS",INDEX('1-DATA'!$1:$1048576,$A546-1,COLUMN('1-DATA'!W545)),ROUND(INDEX('1-DATA'!$1:$1048576,IF(OR($B547="STD. DEVIATION",$C$1=1),$A547,$A547+1),COLUMN('1-DATA'!W545)),IF($B547="STD. DEVIATION",2,$F$1))))</f>
        <v/>
      </c>
      <c r="Y547" s="1" t="str">
        <f>IF(OR($B547="",Y$7=""),"",IF($B547="MEANS",INDEX('1-DATA'!$1:$1048576,$A546-1,COLUMN('1-DATA'!X545)),ROUND(INDEX('1-DATA'!$1:$1048576,IF(OR($B547="STD. DEVIATION",$C$1=1),$A547,$A547+1),COLUMN('1-DATA'!X545)),IF($B547="STD. DEVIATION",2,$F$1))))</f>
        <v/>
      </c>
      <c r="Z547" s="1" t="str">
        <f>IF(OR($B547="",Z$7=""),"",IF($B547="MEANS",INDEX('1-DATA'!$1:$1048576,$A546-1,COLUMN('1-DATA'!Y545)),ROUND(INDEX('1-DATA'!$1:$1048576,IF(OR($B547="STD. DEVIATION",$C$1=1),$A547,$A547+1),COLUMN('1-DATA'!Y545)),IF($B547="STD. DEVIATION",2,$F$1))))</f>
        <v/>
      </c>
      <c r="AA547" s="1" t="str">
        <f>IF(OR($B547="",AA$7=""),"",IF($B547="MEANS",INDEX('1-DATA'!$1:$1048576,$A546-1,COLUMN('1-DATA'!Z545)),ROUND(INDEX('1-DATA'!$1:$1048576,IF(OR($B547="STD. DEVIATION",$C$1=1),$A547,$A547+1),COLUMN('1-DATA'!Z545)),IF($B547="STD. DEVIATION",2,$F$1))))</f>
        <v/>
      </c>
      <c r="AB547" s="1" t="str">
        <f>IF(OR($B547="",AB$7=""),"",IF($B547="MEANS",INDEX('1-DATA'!$1:$1048576,$A546-1,COLUMN('1-DATA'!AA545)),ROUND(INDEX('1-DATA'!$1:$1048576,IF(OR($B547="STD. DEVIATION",$C$1=1),$A547,$A547+1),COLUMN('1-DATA'!AA545)),IF($B547="STD. DEVIATION",2,$F$1))))</f>
        <v/>
      </c>
      <c r="AC547" s="1" t="str">
        <f>IF(OR($B547="",AC$7=""),"",IF($B547="MEANS",INDEX('1-DATA'!$1:$1048576,$A546-1,COLUMN('1-DATA'!AB545)),ROUND(INDEX('1-DATA'!$1:$1048576,IF(OR($B547="STD. DEVIATION",$C$1=1),$A547,$A547+1),COLUMN('1-DATA'!AB545)),IF($B547="STD. DEVIATION",2,$F$1))))</f>
        <v/>
      </c>
      <c r="AD547" s="1" t="str">
        <f>IF(OR($B547="",AD$7=""),"",IF($B547="MEANS",INDEX('1-DATA'!$1:$1048576,$A546-1,COLUMN('1-DATA'!AC545)),ROUND(INDEX('1-DATA'!$1:$1048576,IF(OR($B547="STD. DEVIATION",$C$1=1),$A547,$A547+1),COLUMN('1-DATA'!AC545)),IF($B547="STD. DEVIATION",2,$F$1))))</f>
        <v/>
      </c>
      <c r="AE547" s="1" t="str">
        <f>IF(OR($B547="",AE$7=""),"",IF($B547="MEANS",INDEX('1-DATA'!$1:$1048576,$A546-1,COLUMN('1-DATA'!AD545)),ROUND(INDEX('1-DATA'!$1:$1048576,IF(OR($B547="STD. DEVIATION",$C$1=1),$A547,$A547+1),COLUMN('1-DATA'!AD545)),IF($B547="STD. DEVIATION",2,$F$1))))</f>
        <v/>
      </c>
      <c r="AF547" s="1" t="str">
        <f>IF(OR($B547="",AF$7=""),"",IF($B547="MEANS",INDEX('1-DATA'!$1:$1048576,$A546-1,COLUMN('1-DATA'!AE545)),ROUND(INDEX('1-DATA'!$1:$1048576,IF(OR($B547="STD. DEVIATION",$C$1=1),$A547,$A547+1),COLUMN('1-DATA'!AE545)),IF($B547="STD. DEVIATION",2,$F$1))))</f>
        <v/>
      </c>
      <c r="AG547" s="1" t="str">
        <f>IF(OR($B547="",AG$7=""),"",IF($B547="MEANS",INDEX('1-DATA'!$1:$1048576,$A546-1,COLUMN('1-DATA'!AF545)),ROUND(INDEX('1-DATA'!$1:$1048576,IF(OR($B547="STD. DEVIATION",$C$1=1),$A547,$A547+1),COLUMN('1-DATA'!AF545)),IF($B547="STD. DEVIATION",2,$F$1))))</f>
        <v/>
      </c>
      <c r="AH547" s="1" t="str">
        <f>IF(OR($B547="",AH$7=""),"",IF($B547="MEANS",INDEX('1-DATA'!$1:$1048576,$A546-1,COLUMN('1-DATA'!AG545)),ROUND(INDEX('1-DATA'!$1:$1048576,IF(OR($B547="STD. DEVIATION",$C$1=1),$A547,$A547+1),COLUMN('1-DATA'!AG545)),IF($B547="STD. DEVIATION",2,$F$1))))</f>
        <v/>
      </c>
      <c r="AI547" s="1" t="str">
        <f>IF(OR($B547="",AI$7=""),"",IF($B547="MEANS",INDEX('1-DATA'!$1:$1048576,$A546-1,COLUMN('1-DATA'!AH545)),ROUND(INDEX('1-DATA'!$1:$1048576,IF(OR($B547="STD. DEVIATION",$C$1=1),$A547,$A547+1),COLUMN('1-DATA'!AH545)),IF($B547="STD. DEVIATION",2,$F$1))))</f>
        <v/>
      </c>
      <c r="AJ547" s="1" t="str">
        <f>IF(OR($B547="",AJ$7=""),"",IF($B547="MEANS",INDEX('1-DATA'!$1:$1048576,$A546-1,COLUMN('1-DATA'!AI545)),ROUND(INDEX('1-DATA'!$1:$1048576,IF(OR($B547="STD. DEVIATION",$C$1=1),$A547,$A547+1),COLUMN('1-DATA'!AI545)),IF($B547="STD. DEVIATION",2,$F$1))))</f>
        <v/>
      </c>
      <c r="AK547" s="1" t="str">
        <f>IF(OR($B547="",AK$7=""),"",IF($B547="MEANS",INDEX('1-DATA'!$1:$1048576,$A546-1,COLUMN('1-DATA'!AJ545)),ROUND(INDEX('1-DATA'!$1:$1048576,IF(OR($B547="STD. DEVIATION",$C$1=1),$A547,$A547+1),COLUMN('1-DATA'!AJ545)),IF($B547="STD. DEVIATION",2,$F$1))))</f>
        <v/>
      </c>
      <c r="AL547" s="1" t="str">
        <f>IF(OR($B547="",AL$7=""),"",IF($B547="MEANS",INDEX('1-DATA'!$1:$1048576,$A546-1,COLUMN('1-DATA'!AK545)),ROUND(INDEX('1-DATA'!$1:$1048576,IF(OR($B547="STD. DEVIATION",$C$1=1),$A547,$A547+1),COLUMN('1-DATA'!AK545)),IF($B547="STD. DEVIATION",2,$F$1))))</f>
        <v/>
      </c>
      <c r="AM547" s="1" t="str">
        <f>IF(OR($B547="",AM$7=""),"",IF($B547="MEANS",INDEX('1-DATA'!$1:$1048576,$A546-1,COLUMN('1-DATA'!AL545)),ROUND(INDEX('1-DATA'!$1:$1048576,IF(OR($B547="STD. DEVIATION",$C$1=1),$A547,$A547+1),COLUMN('1-DATA'!AL545)),IF($B547="STD. DEVIATION",2,$F$1))))</f>
        <v/>
      </c>
      <c r="AN547" s="1" t="str">
        <f>IF(OR($B547="",AN$7=""),"",IF($B547="MEANS",INDEX('1-DATA'!$1:$1048576,$A546-1,COLUMN('1-DATA'!AM545)),ROUND(INDEX('1-DATA'!$1:$1048576,IF(OR($B547="STD. DEVIATION",$C$1=1),$A547,$A547+1),COLUMN('1-DATA'!AM545)),IF($B547="STD. DEVIATION",2,$F$1))))</f>
        <v/>
      </c>
      <c r="AO547" s="1" t="str">
        <f>IF(OR($B547="",AO$7=""),"",IF($B547="MEANS",INDEX('1-DATA'!$1:$1048576,$A546-1,COLUMN('1-DATA'!AN545)),ROUND(INDEX('1-DATA'!$1:$1048576,IF(OR($B547="STD. DEVIATION",$C$1=1),$A547,$A547+1),COLUMN('1-DATA'!AN545)),IF($B547="STD. DEVIATION",2,$F$1))))</f>
        <v/>
      </c>
      <c r="AP547" s="1" t="str">
        <f>IF(OR($B547="",AP$7=""),"",IF($B547="MEANS",INDEX('1-DATA'!$1:$1048576,$A546-1,COLUMN('1-DATA'!AO545)),ROUND(INDEX('1-DATA'!$1:$1048576,IF(OR($B547="STD. DEVIATION",$C$1=1),$A547,$A547+1),COLUMN('1-DATA'!AO545)),IF($B547="STD. DEVIATION",2,$F$1))))</f>
        <v/>
      </c>
      <c r="AQ547" s="1" t="str">
        <f>IF(OR($B547="",AQ$7=""),"",IF($B547="MEANS",INDEX('1-DATA'!$1:$1048576,$A546-1,COLUMN('1-DATA'!AP545)),ROUND(INDEX('1-DATA'!$1:$1048576,IF(OR($B547="STD. DEVIATION",$C$1=1),$A547,$A547+1),COLUMN('1-DATA'!AP545)),IF($B547="STD. DEVIATION",2,$F$1))))</f>
        <v/>
      </c>
      <c r="AR547" s="1" t="str">
        <f>IF(OR($B547="",AR$7=""),"",IF($B547="MEANS",INDEX('1-DATA'!$1:$1048576,$A546-1,COLUMN('1-DATA'!AQ545)),ROUND(INDEX('1-DATA'!$1:$1048576,IF(OR($B547="STD. DEVIATION",$C$1=1),$A547,$A547+1),COLUMN('1-DATA'!AQ545)),IF($B547="STD. DEVIATION",2,$F$1))))</f>
        <v/>
      </c>
      <c r="AS547" s="1" t="str">
        <f>IF(OR($B547="",AS$7=""),"",IF($B547="MEANS",INDEX('1-DATA'!$1:$1048576,$A546-1,COLUMN('1-DATA'!AR545)),ROUND(INDEX('1-DATA'!$1:$1048576,IF(OR($B547="STD. DEVIATION",$C$1=1),$A547,$A547+1),COLUMN('1-DATA'!AR545)),IF($B547="STD. DEVIATION",2,$F$1))))</f>
        <v/>
      </c>
      <c r="AT547" s="1" t="str">
        <f>IF(OR($B547="",AT$7=""),"",IF($B547="MEANS",INDEX('1-DATA'!$1:$1048576,$A546-1,COLUMN('1-DATA'!AS545)),ROUND(INDEX('1-DATA'!$1:$1048576,IF(OR($B547="STD. DEVIATION",$C$1=1),$A547,$A547+1),COLUMN('1-DATA'!AS545)),IF($B547="STD. DEVIATION",2,$F$1))))</f>
        <v/>
      </c>
      <c r="AU547" s="1" t="str">
        <f>IF(OR($B547="",AU$7=""),"",IF($B547="MEANS",INDEX('1-DATA'!$1:$1048576,$A546-1,COLUMN('1-DATA'!AT545)),ROUND(INDEX('1-DATA'!$1:$1048576,IF(OR($B547="STD. DEVIATION",$C$1=1),$A547,$A547+1),COLUMN('1-DATA'!AT545)),IF($B547="STD. DEVIATION",2,$F$1))))</f>
        <v/>
      </c>
      <c r="AV547" s="1" t="str">
        <f>IF(OR($B547="",AV$7=""),"",IF($B547="MEANS",INDEX('1-DATA'!$1:$1048576,$A546-1,COLUMN('1-DATA'!AU545)),ROUND(INDEX('1-DATA'!$1:$1048576,IF(OR($B547="STD. DEVIATION",$C$1=1),$A547,$A547+1),COLUMN('1-DATA'!AU545)),IF($B547="STD. DEVIATION",2,$F$1))))</f>
        <v/>
      </c>
      <c r="AW547" s="1" t="str">
        <f>IF(OR($B547="",AW$7=""),"",IF($B547="MEANS",INDEX('1-DATA'!$1:$1048576,$A546-1,COLUMN('1-DATA'!AV545)),ROUND(INDEX('1-DATA'!$1:$1048576,IF(OR($B547="STD. DEVIATION",$C$1=1),$A547,$A547+1),COLUMN('1-DATA'!AV545)),IF($B547="STD. DEVIATION",2,$F$1))))</f>
        <v/>
      </c>
      <c r="AX547" s="1" t="str">
        <f>IF(OR($B547="",AX$7=""),"",IF($B547="MEANS",INDEX('1-DATA'!$1:$1048576,$A546-1,COLUMN('1-DATA'!AW545)),ROUND(INDEX('1-DATA'!$1:$1048576,IF(OR($B547="STD. DEVIATION",$C$1=1),$A547,$A547+1),COLUMN('1-DATA'!AW545)),IF($B547="STD. DEVIATION",2,$F$1))))</f>
        <v/>
      </c>
      <c r="AY547" s="1" t="str">
        <f>IF(OR($B547="",AY$7=""),"",IF($B547="MEANS",INDEX('1-DATA'!$1:$1048576,$A546-1,COLUMN('1-DATA'!AX545)),ROUND(INDEX('1-DATA'!$1:$1048576,IF(OR($B547="STD. DEVIATION",$C$1=1),$A547,$A547+1),COLUMN('1-DATA'!AX545)),IF($B547="STD. DEVIATION",2,$F$1))))</f>
        <v/>
      </c>
      <c r="AZ547" s="1" t="str">
        <f>IF(OR($B547="",AZ$7=""),"",IF($B547="MEANS",INDEX('1-DATA'!$1:$1048576,$A546-1,COLUMN('1-DATA'!AY545)),ROUND(INDEX('1-DATA'!$1:$1048576,IF(OR($B547="STD. DEVIATION",$C$1=1),$A547,$A547+1),COLUMN('1-DATA'!AY545)),IF($B547="STD. DEVIATION",2,$F$1))))</f>
        <v/>
      </c>
    </row>
    <row r="548" spans="1:52" x14ac:dyDescent="0.25">
      <c r="A548" s="11">
        <f t="shared" si="9"/>
        <v>1630</v>
      </c>
      <c r="B548" s="1" t="str">
        <f>IF(B547="STD. DEVIATION",INDEX('1-DATA'!$1:$1048576,$A547-1,1),IF(INDEX('1-DATA'!$1:$1048576,$A548,1)&lt;&gt;"",INDEX('1-DATA'!$1:$1048576,$A548,1),""))</f>
        <v/>
      </c>
      <c r="C548" s="1" t="str">
        <f>IF(OR($B548="",C$7=""),"",IF($B548="MEANS",INDEX('1-DATA'!$1:$1048576,$A547-1,COLUMN('1-DATA'!B546)),ROUND(INDEX('1-DATA'!$1:$1048576,IF(OR($B548="STD. DEVIATION",$C$1=1),$A548,$A548+1),COLUMN('1-DATA'!B546)),IF($B548="STD. DEVIATION",2,$F$1))))</f>
        <v/>
      </c>
      <c r="D548" s="1" t="str">
        <f>IF(OR($B548="",D$7=""),"",IF($B548="MEANS",INDEX('1-DATA'!$1:$1048576,$A547-1,COLUMN('1-DATA'!C546)),ROUND(INDEX('1-DATA'!$1:$1048576,IF(OR($B548="STD. DEVIATION",$C$1=1),$A548,$A548+1),COLUMN('1-DATA'!C546)),IF($B548="STD. DEVIATION",2,$F$1))))</f>
        <v/>
      </c>
      <c r="E548" s="1" t="str">
        <f>IF(OR($B548="",E$7=""),"",IF($B548="MEANS",INDEX('1-DATA'!$1:$1048576,$A547-1,COLUMN('1-DATA'!D546)),ROUND(INDEX('1-DATA'!$1:$1048576,IF(OR($B548="STD. DEVIATION",$C$1=1),$A548,$A548+1),COLUMN('1-DATA'!D546)),IF($B548="STD. DEVIATION",2,$F$1))))</f>
        <v/>
      </c>
      <c r="F548" s="1" t="str">
        <f>IF(OR($B548="",F$7=""),"",IF($B548="MEANS",INDEX('1-DATA'!$1:$1048576,$A547-1,COLUMN('1-DATA'!E546)),ROUND(INDEX('1-DATA'!$1:$1048576,IF(OR($B548="STD. DEVIATION",$C$1=1),$A548,$A548+1),COLUMN('1-DATA'!E546)),IF($B548="STD. DEVIATION",2,$F$1))))</f>
        <v/>
      </c>
      <c r="G548" s="1" t="str">
        <f>IF(OR($B548="",G$7=""),"",IF($B548="MEANS",INDEX('1-DATA'!$1:$1048576,$A547-1,COLUMN('1-DATA'!F546)),ROUND(INDEX('1-DATA'!$1:$1048576,IF(OR($B548="STD. DEVIATION",$C$1=1),$A548,$A548+1),COLUMN('1-DATA'!F546)),IF($B548="STD. DEVIATION",2,$F$1))))</f>
        <v/>
      </c>
      <c r="H548" s="1" t="str">
        <f>IF(OR($B548="",H$7=""),"",IF($B548="MEANS",INDEX('1-DATA'!$1:$1048576,$A547-1,COLUMN('1-DATA'!G546)),ROUND(INDEX('1-DATA'!$1:$1048576,IF(OR($B548="STD. DEVIATION",$C$1=1),$A548,$A548+1),COLUMN('1-DATA'!G546)),IF($B548="STD. DEVIATION",2,$F$1))))</f>
        <v/>
      </c>
      <c r="I548" s="1" t="str">
        <f>IF(OR($B548="",I$7=""),"",IF($B548="MEANS",INDEX('1-DATA'!$1:$1048576,$A547-1,COLUMN('1-DATA'!H546)),ROUND(INDEX('1-DATA'!$1:$1048576,IF(OR($B548="STD. DEVIATION",$C$1=1),$A548,$A548+1),COLUMN('1-DATA'!H546)),IF($B548="STD. DEVIATION",2,$F$1))))</f>
        <v/>
      </c>
      <c r="J548" s="1" t="str">
        <f>IF(OR($B548="",J$7=""),"",IF($B548="MEANS",INDEX('1-DATA'!$1:$1048576,$A547-1,COLUMN('1-DATA'!I546)),ROUND(INDEX('1-DATA'!$1:$1048576,IF(OR($B548="STD. DEVIATION",$C$1=1),$A548,$A548+1),COLUMN('1-DATA'!I546)),IF($B548="STD. DEVIATION",2,$F$1))))</f>
        <v/>
      </c>
      <c r="K548" s="1" t="str">
        <f>IF(OR($B548="",K$7=""),"",IF($B548="MEANS",INDEX('1-DATA'!$1:$1048576,$A547-1,COLUMN('1-DATA'!J546)),ROUND(INDEX('1-DATA'!$1:$1048576,IF(OR($B548="STD. DEVIATION",$C$1=1),$A548,$A548+1),COLUMN('1-DATA'!J546)),IF($B548="STD. DEVIATION",2,$F$1))))</f>
        <v/>
      </c>
      <c r="L548" s="1" t="str">
        <f>IF(OR($B548="",L$7=""),"",IF($B548="MEANS",INDEX('1-DATA'!$1:$1048576,$A547-1,COLUMN('1-DATA'!K546)),ROUND(INDEX('1-DATA'!$1:$1048576,IF(OR($B548="STD. DEVIATION",$C$1=1),$A548,$A548+1),COLUMN('1-DATA'!K546)),IF($B548="STD. DEVIATION",2,$F$1))))</f>
        <v/>
      </c>
      <c r="M548" s="1" t="str">
        <f>IF(OR($B548="",M$7=""),"",IF($B548="MEANS",INDEX('1-DATA'!$1:$1048576,$A547-1,COLUMN('1-DATA'!L546)),ROUND(INDEX('1-DATA'!$1:$1048576,IF(OR($B548="STD. DEVIATION",$C$1=1),$A548,$A548+1),COLUMN('1-DATA'!L546)),IF($B548="STD. DEVIATION",2,$F$1))))</f>
        <v/>
      </c>
      <c r="N548" s="1" t="str">
        <f>IF(OR($B548="",N$7=""),"",IF($B548="MEANS",INDEX('1-DATA'!$1:$1048576,$A547-1,COLUMN('1-DATA'!M546)),ROUND(INDEX('1-DATA'!$1:$1048576,IF(OR($B548="STD. DEVIATION",$C$1=1),$A548,$A548+1),COLUMN('1-DATA'!M546)),IF($B548="STD. DEVIATION",2,$F$1))))</f>
        <v/>
      </c>
      <c r="O548" s="1" t="str">
        <f>IF(OR($B548="",O$7=""),"",IF($B548="MEANS",INDEX('1-DATA'!$1:$1048576,$A547-1,COLUMN('1-DATA'!N546)),ROUND(INDEX('1-DATA'!$1:$1048576,IF(OR($B548="STD. DEVIATION",$C$1=1),$A548,$A548+1),COLUMN('1-DATA'!N546)),IF($B548="STD. DEVIATION",2,$F$1))))</f>
        <v/>
      </c>
      <c r="P548" s="1" t="str">
        <f>IF(OR($B548="",P$7=""),"",IF($B548="MEANS",INDEX('1-DATA'!$1:$1048576,$A547-1,COLUMN('1-DATA'!O546)),ROUND(INDEX('1-DATA'!$1:$1048576,IF(OR($B548="STD. DEVIATION",$C$1=1),$A548,$A548+1),COLUMN('1-DATA'!O546)),IF($B548="STD. DEVIATION",2,$F$1))))</f>
        <v/>
      </c>
      <c r="Q548" s="1" t="str">
        <f>IF(OR($B548="",Q$7=""),"",IF($B548="MEANS",INDEX('1-DATA'!$1:$1048576,$A547-1,COLUMN('1-DATA'!P546)),ROUND(INDEX('1-DATA'!$1:$1048576,IF(OR($B548="STD. DEVIATION",$C$1=1),$A548,$A548+1),COLUMN('1-DATA'!P546)),IF($B548="STD. DEVIATION",2,$F$1))))</f>
        <v/>
      </c>
      <c r="R548" s="1" t="str">
        <f>IF(OR($B548="",R$7=""),"",IF($B548="MEANS",INDEX('1-DATA'!$1:$1048576,$A547-1,COLUMN('1-DATA'!Q546)),ROUND(INDEX('1-DATA'!$1:$1048576,IF(OR($B548="STD. DEVIATION",$C$1=1),$A548,$A548+1),COLUMN('1-DATA'!Q546)),IF($B548="STD. DEVIATION",2,$F$1))))</f>
        <v/>
      </c>
      <c r="S548" s="1" t="str">
        <f>IF(OR($B548="",S$7=""),"",IF($B548="MEANS",INDEX('1-DATA'!$1:$1048576,$A547-1,COLUMN('1-DATA'!R546)),ROUND(INDEX('1-DATA'!$1:$1048576,IF(OR($B548="STD. DEVIATION",$C$1=1),$A548,$A548+1),COLUMN('1-DATA'!R546)),IF($B548="STD. DEVIATION",2,$F$1))))</f>
        <v/>
      </c>
      <c r="T548" s="1" t="str">
        <f>IF(OR($B548="",T$7=""),"",IF($B548="MEANS",INDEX('1-DATA'!$1:$1048576,$A547-1,COLUMN('1-DATA'!S546)),ROUND(INDEX('1-DATA'!$1:$1048576,IF(OR($B548="STD. DEVIATION",$C$1=1),$A548,$A548+1),COLUMN('1-DATA'!S546)),IF($B548="STD. DEVIATION",2,$F$1))))</f>
        <v/>
      </c>
      <c r="U548" s="1" t="str">
        <f>IF(OR($B548="",U$7=""),"",IF($B548="MEANS",INDEX('1-DATA'!$1:$1048576,$A547-1,COLUMN('1-DATA'!T546)),ROUND(INDEX('1-DATA'!$1:$1048576,IF(OR($B548="STD. DEVIATION",$C$1=1),$A548,$A548+1),COLUMN('1-DATA'!T546)),IF($B548="STD. DEVIATION",2,$F$1))))</f>
        <v/>
      </c>
      <c r="V548" s="1" t="str">
        <f>IF(OR($B548="",V$7=""),"",IF($B548="MEANS",INDEX('1-DATA'!$1:$1048576,$A547-1,COLUMN('1-DATA'!U546)),ROUND(INDEX('1-DATA'!$1:$1048576,IF(OR($B548="STD. DEVIATION",$C$1=1),$A548,$A548+1),COLUMN('1-DATA'!U546)),IF($B548="STD. DEVIATION",2,$F$1))))</f>
        <v/>
      </c>
      <c r="W548" s="1" t="str">
        <f>IF(OR($B548="",W$7=""),"",IF($B548="MEANS",INDEX('1-DATA'!$1:$1048576,$A547-1,COLUMN('1-DATA'!V546)),ROUND(INDEX('1-DATA'!$1:$1048576,IF(OR($B548="STD. DEVIATION",$C$1=1),$A548,$A548+1),COLUMN('1-DATA'!V546)),IF($B548="STD. DEVIATION",2,$F$1))))</f>
        <v/>
      </c>
      <c r="X548" s="1" t="str">
        <f>IF(OR($B548="",X$7=""),"",IF($B548="MEANS",INDEX('1-DATA'!$1:$1048576,$A547-1,COLUMN('1-DATA'!W546)),ROUND(INDEX('1-DATA'!$1:$1048576,IF(OR($B548="STD. DEVIATION",$C$1=1),$A548,$A548+1),COLUMN('1-DATA'!W546)),IF($B548="STD. DEVIATION",2,$F$1))))</f>
        <v/>
      </c>
      <c r="Y548" s="1" t="str">
        <f>IF(OR($B548="",Y$7=""),"",IF($B548="MEANS",INDEX('1-DATA'!$1:$1048576,$A547-1,COLUMN('1-DATA'!X546)),ROUND(INDEX('1-DATA'!$1:$1048576,IF(OR($B548="STD. DEVIATION",$C$1=1),$A548,$A548+1),COLUMN('1-DATA'!X546)),IF($B548="STD. DEVIATION",2,$F$1))))</f>
        <v/>
      </c>
      <c r="Z548" s="1" t="str">
        <f>IF(OR($B548="",Z$7=""),"",IF($B548="MEANS",INDEX('1-DATA'!$1:$1048576,$A547-1,COLUMN('1-DATA'!Y546)),ROUND(INDEX('1-DATA'!$1:$1048576,IF(OR($B548="STD. DEVIATION",$C$1=1),$A548,$A548+1),COLUMN('1-DATA'!Y546)),IF($B548="STD. DEVIATION",2,$F$1))))</f>
        <v/>
      </c>
      <c r="AA548" s="1" t="str">
        <f>IF(OR($B548="",AA$7=""),"",IF($B548="MEANS",INDEX('1-DATA'!$1:$1048576,$A547-1,COLUMN('1-DATA'!Z546)),ROUND(INDEX('1-DATA'!$1:$1048576,IF(OR($B548="STD. DEVIATION",$C$1=1),$A548,$A548+1),COLUMN('1-DATA'!Z546)),IF($B548="STD. DEVIATION",2,$F$1))))</f>
        <v/>
      </c>
      <c r="AB548" s="1" t="str">
        <f>IF(OR($B548="",AB$7=""),"",IF($B548="MEANS",INDEX('1-DATA'!$1:$1048576,$A547-1,COLUMN('1-DATA'!AA546)),ROUND(INDEX('1-DATA'!$1:$1048576,IF(OR($B548="STD. DEVIATION",$C$1=1),$A548,$A548+1),COLUMN('1-DATA'!AA546)),IF($B548="STD. DEVIATION",2,$F$1))))</f>
        <v/>
      </c>
      <c r="AC548" s="1" t="str">
        <f>IF(OR($B548="",AC$7=""),"",IF($B548="MEANS",INDEX('1-DATA'!$1:$1048576,$A547-1,COLUMN('1-DATA'!AB546)),ROUND(INDEX('1-DATA'!$1:$1048576,IF(OR($B548="STD. DEVIATION",$C$1=1),$A548,$A548+1),COLUMN('1-DATA'!AB546)),IF($B548="STD. DEVIATION",2,$F$1))))</f>
        <v/>
      </c>
      <c r="AD548" s="1" t="str">
        <f>IF(OR($B548="",AD$7=""),"",IF($B548="MEANS",INDEX('1-DATA'!$1:$1048576,$A547-1,COLUMN('1-DATA'!AC546)),ROUND(INDEX('1-DATA'!$1:$1048576,IF(OR($B548="STD. DEVIATION",$C$1=1),$A548,$A548+1),COLUMN('1-DATA'!AC546)),IF($B548="STD. DEVIATION",2,$F$1))))</f>
        <v/>
      </c>
      <c r="AE548" s="1" t="str">
        <f>IF(OR($B548="",AE$7=""),"",IF($B548="MEANS",INDEX('1-DATA'!$1:$1048576,$A547-1,COLUMN('1-DATA'!AD546)),ROUND(INDEX('1-DATA'!$1:$1048576,IF(OR($B548="STD. DEVIATION",$C$1=1),$A548,$A548+1),COLUMN('1-DATA'!AD546)),IF($B548="STD. DEVIATION",2,$F$1))))</f>
        <v/>
      </c>
      <c r="AF548" s="1" t="str">
        <f>IF(OR($B548="",AF$7=""),"",IF($B548="MEANS",INDEX('1-DATA'!$1:$1048576,$A547-1,COLUMN('1-DATA'!AE546)),ROUND(INDEX('1-DATA'!$1:$1048576,IF(OR($B548="STD. DEVIATION",$C$1=1),$A548,$A548+1),COLUMN('1-DATA'!AE546)),IF($B548="STD. DEVIATION",2,$F$1))))</f>
        <v/>
      </c>
      <c r="AG548" s="1" t="str">
        <f>IF(OR($B548="",AG$7=""),"",IF($B548="MEANS",INDEX('1-DATA'!$1:$1048576,$A547-1,COLUMN('1-DATA'!AF546)),ROUND(INDEX('1-DATA'!$1:$1048576,IF(OR($B548="STD. DEVIATION",$C$1=1),$A548,$A548+1),COLUMN('1-DATA'!AF546)),IF($B548="STD. DEVIATION",2,$F$1))))</f>
        <v/>
      </c>
      <c r="AH548" s="1" t="str">
        <f>IF(OR($B548="",AH$7=""),"",IF($B548="MEANS",INDEX('1-DATA'!$1:$1048576,$A547-1,COLUMN('1-DATA'!AG546)),ROUND(INDEX('1-DATA'!$1:$1048576,IF(OR($B548="STD. DEVIATION",$C$1=1),$A548,$A548+1),COLUMN('1-DATA'!AG546)),IF($B548="STD. DEVIATION",2,$F$1))))</f>
        <v/>
      </c>
      <c r="AI548" s="1" t="str">
        <f>IF(OR($B548="",AI$7=""),"",IF($B548="MEANS",INDEX('1-DATA'!$1:$1048576,$A547-1,COLUMN('1-DATA'!AH546)),ROUND(INDEX('1-DATA'!$1:$1048576,IF(OR($B548="STD. DEVIATION",$C$1=1),$A548,$A548+1),COLUMN('1-DATA'!AH546)),IF($B548="STD. DEVIATION",2,$F$1))))</f>
        <v/>
      </c>
      <c r="AJ548" s="1" t="str">
        <f>IF(OR($B548="",AJ$7=""),"",IF($B548="MEANS",INDEX('1-DATA'!$1:$1048576,$A547-1,COLUMN('1-DATA'!AI546)),ROUND(INDEX('1-DATA'!$1:$1048576,IF(OR($B548="STD. DEVIATION",$C$1=1),$A548,$A548+1),COLUMN('1-DATA'!AI546)),IF($B548="STD. DEVIATION",2,$F$1))))</f>
        <v/>
      </c>
      <c r="AK548" s="1" t="str">
        <f>IF(OR($B548="",AK$7=""),"",IF($B548="MEANS",INDEX('1-DATA'!$1:$1048576,$A547-1,COLUMN('1-DATA'!AJ546)),ROUND(INDEX('1-DATA'!$1:$1048576,IF(OR($B548="STD. DEVIATION",$C$1=1),$A548,$A548+1),COLUMN('1-DATA'!AJ546)),IF($B548="STD. DEVIATION",2,$F$1))))</f>
        <v/>
      </c>
      <c r="AL548" s="1" t="str">
        <f>IF(OR($B548="",AL$7=""),"",IF($B548="MEANS",INDEX('1-DATA'!$1:$1048576,$A547-1,COLUMN('1-DATA'!AK546)),ROUND(INDEX('1-DATA'!$1:$1048576,IF(OR($B548="STD. DEVIATION",$C$1=1),$A548,$A548+1),COLUMN('1-DATA'!AK546)),IF($B548="STD. DEVIATION",2,$F$1))))</f>
        <v/>
      </c>
      <c r="AM548" s="1" t="str">
        <f>IF(OR($B548="",AM$7=""),"",IF($B548="MEANS",INDEX('1-DATA'!$1:$1048576,$A547-1,COLUMN('1-DATA'!AL546)),ROUND(INDEX('1-DATA'!$1:$1048576,IF(OR($B548="STD. DEVIATION",$C$1=1),$A548,$A548+1),COLUMN('1-DATA'!AL546)),IF($B548="STD. DEVIATION",2,$F$1))))</f>
        <v/>
      </c>
      <c r="AN548" s="1" t="str">
        <f>IF(OR($B548="",AN$7=""),"",IF($B548="MEANS",INDEX('1-DATA'!$1:$1048576,$A547-1,COLUMN('1-DATA'!AM546)),ROUND(INDEX('1-DATA'!$1:$1048576,IF(OR($B548="STD. DEVIATION",$C$1=1),$A548,$A548+1),COLUMN('1-DATA'!AM546)),IF($B548="STD. DEVIATION",2,$F$1))))</f>
        <v/>
      </c>
      <c r="AO548" s="1" t="str">
        <f>IF(OR($B548="",AO$7=""),"",IF($B548="MEANS",INDEX('1-DATA'!$1:$1048576,$A547-1,COLUMN('1-DATA'!AN546)),ROUND(INDEX('1-DATA'!$1:$1048576,IF(OR($B548="STD. DEVIATION",$C$1=1),$A548,$A548+1),COLUMN('1-DATA'!AN546)),IF($B548="STD. DEVIATION",2,$F$1))))</f>
        <v/>
      </c>
      <c r="AP548" s="1" t="str">
        <f>IF(OR($B548="",AP$7=""),"",IF($B548="MEANS",INDEX('1-DATA'!$1:$1048576,$A547-1,COLUMN('1-DATA'!AO546)),ROUND(INDEX('1-DATA'!$1:$1048576,IF(OR($B548="STD. DEVIATION",$C$1=1),$A548,$A548+1),COLUMN('1-DATA'!AO546)),IF($B548="STD. DEVIATION",2,$F$1))))</f>
        <v/>
      </c>
      <c r="AQ548" s="1" t="str">
        <f>IF(OR($B548="",AQ$7=""),"",IF($B548="MEANS",INDEX('1-DATA'!$1:$1048576,$A547-1,COLUMN('1-DATA'!AP546)),ROUND(INDEX('1-DATA'!$1:$1048576,IF(OR($B548="STD. DEVIATION",$C$1=1),$A548,$A548+1),COLUMN('1-DATA'!AP546)),IF($B548="STD. DEVIATION",2,$F$1))))</f>
        <v/>
      </c>
      <c r="AR548" s="1" t="str">
        <f>IF(OR($B548="",AR$7=""),"",IF($B548="MEANS",INDEX('1-DATA'!$1:$1048576,$A547-1,COLUMN('1-DATA'!AQ546)),ROUND(INDEX('1-DATA'!$1:$1048576,IF(OR($B548="STD. DEVIATION",$C$1=1),$A548,$A548+1),COLUMN('1-DATA'!AQ546)),IF($B548="STD. DEVIATION",2,$F$1))))</f>
        <v/>
      </c>
      <c r="AS548" s="1" t="str">
        <f>IF(OR($B548="",AS$7=""),"",IF($B548="MEANS",INDEX('1-DATA'!$1:$1048576,$A547-1,COLUMN('1-DATA'!AR546)),ROUND(INDEX('1-DATA'!$1:$1048576,IF(OR($B548="STD. DEVIATION",$C$1=1),$A548,$A548+1),COLUMN('1-DATA'!AR546)),IF($B548="STD. DEVIATION",2,$F$1))))</f>
        <v/>
      </c>
      <c r="AT548" s="1" t="str">
        <f>IF(OR($B548="",AT$7=""),"",IF($B548="MEANS",INDEX('1-DATA'!$1:$1048576,$A547-1,COLUMN('1-DATA'!AS546)),ROUND(INDEX('1-DATA'!$1:$1048576,IF(OR($B548="STD. DEVIATION",$C$1=1),$A548,$A548+1),COLUMN('1-DATA'!AS546)),IF($B548="STD. DEVIATION",2,$F$1))))</f>
        <v/>
      </c>
      <c r="AU548" s="1" t="str">
        <f>IF(OR($B548="",AU$7=""),"",IF($B548="MEANS",INDEX('1-DATA'!$1:$1048576,$A547-1,COLUMN('1-DATA'!AT546)),ROUND(INDEX('1-DATA'!$1:$1048576,IF(OR($B548="STD. DEVIATION",$C$1=1),$A548,$A548+1),COLUMN('1-DATA'!AT546)),IF($B548="STD. DEVIATION",2,$F$1))))</f>
        <v/>
      </c>
      <c r="AV548" s="1" t="str">
        <f>IF(OR($B548="",AV$7=""),"",IF($B548="MEANS",INDEX('1-DATA'!$1:$1048576,$A547-1,COLUMN('1-DATA'!AU546)),ROUND(INDEX('1-DATA'!$1:$1048576,IF(OR($B548="STD. DEVIATION",$C$1=1),$A548,$A548+1),COLUMN('1-DATA'!AU546)),IF($B548="STD. DEVIATION",2,$F$1))))</f>
        <v/>
      </c>
      <c r="AW548" s="1" t="str">
        <f>IF(OR($B548="",AW$7=""),"",IF($B548="MEANS",INDEX('1-DATA'!$1:$1048576,$A547-1,COLUMN('1-DATA'!AV546)),ROUND(INDEX('1-DATA'!$1:$1048576,IF(OR($B548="STD. DEVIATION",$C$1=1),$A548,$A548+1),COLUMN('1-DATA'!AV546)),IF($B548="STD. DEVIATION",2,$F$1))))</f>
        <v/>
      </c>
      <c r="AX548" s="1" t="str">
        <f>IF(OR($B548="",AX$7=""),"",IF($B548="MEANS",INDEX('1-DATA'!$1:$1048576,$A547-1,COLUMN('1-DATA'!AW546)),ROUND(INDEX('1-DATA'!$1:$1048576,IF(OR($B548="STD. DEVIATION",$C$1=1),$A548,$A548+1),COLUMN('1-DATA'!AW546)),IF($B548="STD. DEVIATION",2,$F$1))))</f>
        <v/>
      </c>
      <c r="AY548" s="1" t="str">
        <f>IF(OR($B548="",AY$7=""),"",IF($B548="MEANS",INDEX('1-DATA'!$1:$1048576,$A547-1,COLUMN('1-DATA'!AX546)),ROUND(INDEX('1-DATA'!$1:$1048576,IF(OR($B548="STD. DEVIATION",$C$1=1),$A548,$A548+1),COLUMN('1-DATA'!AX546)),IF($B548="STD. DEVIATION",2,$F$1))))</f>
        <v/>
      </c>
      <c r="AZ548" s="1" t="str">
        <f>IF(OR($B548="",AZ$7=""),"",IF($B548="MEANS",INDEX('1-DATA'!$1:$1048576,$A547-1,COLUMN('1-DATA'!AY546)),ROUND(INDEX('1-DATA'!$1:$1048576,IF(OR($B548="STD. DEVIATION",$C$1=1),$A548,$A548+1),COLUMN('1-DATA'!AY546)),IF($B548="STD. DEVIATION",2,$F$1))))</f>
        <v/>
      </c>
    </row>
    <row r="549" spans="1:52" x14ac:dyDescent="0.25">
      <c r="A549" s="11">
        <f t="shared" si="9"/>
        <v>1633</v>
      </c>
      <c r="B549" s="1" t="str">
        <f>IF(B548="STD. DEVIATION",INDEX('1-DATA'!$1:$1048576,$A548-1,1),IF(INDEX('1-DATA'!$1:$1048576,$A549,1)&lt;&gt;"",INDEX('1-DATA'!$1:$1048576,$A549,1),""))</f>
        <v/>
      </c>
      <c r="C549" s="1" t="str">
        <f>IF(OR($B549="",C$7=""),"",IF($B549="MEANS",INDEX('1-DATA'!$1:$1048576,$A548-1,COLUMN('1-DATA'!B547)),ROUND(INDEX('1-DATA'!$1:$1048576,IF(OR($B549="STD. DEVIATION",$C$1=1),$A549,$A549+1),COLUMN('1-DATA'!B547)),IF($B549="STD. DEVIATION",2,$F$1))))</f>
        <v/>
      </c>
      <c r="D549" s="1" t="str">
        <f>IF(OR($B549="",D$7=""),"",IF($B549="MEANS",INDEX('1-DATA'!$1:$1048576,$A548-1,COLUMN('1-DATA'!C547)),ROUND(INDEX('1-DATA'!$1:$1048576,IF(OR($B549="STD. DEVIATION",$C$1=1),$A549,$A549+1),COLUMN('1-DATA'!C547)),IF($B549="STD. DEVIATION",2,$F$1))))</f>
        <v/>
      </c>
      <c r="E549" s="1" t="str">
        <f>IF(OR($B549="",E$7=""),"",IF($B549="MEANS",INDEX('1-DATA'!$1:$1048576,$A548-1,COLUMN('1-DATA'!D547)),ROUND(INDEX('1-DATA'!$1:$1048576,IF(OR($B549="STD. DEVIATION",$C$1=1),$A549,$A549+1),COLUMN('1-DATA'!D547)),IF($B549="STD. DEVIATION",2,$F$1))))</f>
        <v/>
      </c>
      <c r="F549" s="1" t="str">
        <f>IF(OR($B549="",F$7=""),"",IF($B549="MEANS",INDEX('1-DATA'!$1:$1048576,$A548-1,COLUMN('1-DATA'!E547)),ROUND(INDEX('1-DATA'!$1:$1048576,IF(OR($B549="STD. DEVIATION",$C$1=1),$A549,$A549+1),COLUMN('1-DATA'!E547)),IF($B549="STD. DEVIATION",2,$F$1))))</f>
        <v/>
      </c>
      <c r="G549" s="1" t="str">
        <f>IF(OR($B549="",G$7=""),"",IF($B549="MEANS",INDEX('1-DATA'!$1:$1048576,$A548-1,COLUMN('1-DATA'!F547)),ROUND(INDEX('1-DATA'!$1:$1048576,IF(OR($B549="STD. DEVIATION",$C$1=1),$A549,$A549+1),COLUMN('1-DATA'!F547)),IF($B549="STD. DEVIATION",2,$F$1))))</f>
        <v/>
      </c>
      <c r="H549" s="1" t="str">
        <f>IF(OR($B549="",H$7=""),"",IF($B549="MEANS",INDEX('1-DATA'!$1:$1048576,$A548-1,COLUMN('1-DATA'!G547)),ROUND(INDEX('1-DATA'!$1:$1048576,IF(OR($B549="STD. DEVIATION",$C$1=1),$A549,$A549+1),COLUMN('1-DATA'!G547)),IF($B549="STD. DEVIATION",2,$F$1))))</f>
        <v/>
      </c>
      <c r="I549" s="1" t="str">
        <f>IF(OR($B549="",I$7=""),"",IF($B549="MEANS",INDEX('1-DATA'!$1:$1048576,$A548-1,COLUMN('1-DATA'!H547)),ROUND(INDEX('1-DATA'!$1:$1048576,IF(OR($B549="STD. DEVIATION",$C$1=1),$A549,$A549+1),COLUMN('1-DATA'!H547)),IF($B549="STD. DEVIATION",2,$F$1))))</f>
        <v/>
      </c>
      <c r="J549" s="1" t="str">
        <f>IF(OR($B549="",J$7=""),"",IF($B549="MEANS",INDEX('1-DATA'!$1:$1048576,$A548-1,COLUMN('1-DATA'!I547)),ROUND(INDEX('1-DATA'!$1:$1048576,IF(OR($B549="STD. DEVIATION",$C$1=1),$A549,$A549+1),COLUMN('1-DATA'!I547)),IF($B549="STD. DEVIATION",2,$F$1))))</f>
        <v/>
      </c>
      <c r="K549" s="1" t="str">
        <f>IF(OR($B549="",K$7=""),"",IF($B549="MEANS",INDEX('1-DATA'!$1:$1048576,$A548-1,COLUMN('1-DATA'!J547)),ROUND(INDEX('1-DATA'!$1:$1048576,IF(OR($B549="STD. DEVIATION",$C$1=1),$A549,$A549+1),COLUMN('1-DATA'!J547)),IF($B549="STD. DEVIATION",2,$F$1))))</f>
        <v/>
      </c>
      <c r="L549" s="1" t="str">
        <f>IF(OR($B549="",L$7=""),"",IF($B549="MEANS",INDEX('1-DATA'!$1:$1048576,$A548-1,COLUMN('1-DATA'!K547)),ROUND(INDEX('1-DATA'!$1:$1048576,IF(OR($B549="STD. DEVIATION",$C$1=1),$A549,$A549+1),COLUMN('1-DATA'!K547)),IF($B549="STD. DEVIATION",2,$F$1))))</f>
        <v/>
      </c>
      <c r="M549" s="1" t="str">
        <f>IF(OR($B549="",M$7=""),"",IF($B549="MEANS",INDEX('1-DATA'!$1:$1048576,$A548-1,COLUMN('1-DATA'!L547)),ROUND(INDEX('1-DATA'!$1:$1048576,IF(OR($B549="STD. DEVIATION",$C$1=1),$A549,$A549+1),COLUMN('1-DATA'!L547)),IF($B549="STD. DEVIATION",2,$F$1))))</f>
        <v/>
      </c>
      <c r="N549" s="1" t="str">
        <f>IF(OR($B549="",N$7=""),"",IF($B549="MEANS",INDEX('1-DATA'!$1:$1048576,$A548-1,COLUMN('1-DATA'!M547)),ROUND(INDEX('1-DATA'!$1:$1048576,IF(OR($B549="STD. DEVIATION",$C$1=1),$A549,$A549+1),COLUMN('1-DATA'!M547)),IF($B549="STD. DEVIATION",2,$F$1))))</f>
        <v/>
      </c>
      <c r="O549" s="1" t="str">
        <f>IF(OR($B549="",O$7=""),"",IF($B549="MEANS",INDEX('1-DATA'!$1:$1048576,$A548-1,COLUMN('1-DATA'!N547)),ROUND(INDEX('1-DATA'!$1:$1048576,IF(OR($B549="STD. DEVIATION",$C$1=1),$A549,$A549+1),COLUMN('1-DATA'!N547)),IF($B549="STD. DEVIATION",2,$F$1))))</f>
        <v/>
      </c>
      <c r="P549" s="1" t="str">
        <f>IF(OR($B549="",P$7=""),"",IF($B549="MEANS",INDEX('1-DATA'!$1:$1048576,$A548-1,COLUMN('1-DATA'!O547)),ROUND(INDEX('1-DATA'!$1:$1048576,IF(OR($B549="STD. DEVIATION",$C$1=1),$A549,$A549+1),COLUMN('1-DATA'!O547)),IF($B549="STD. DEVIATION",2,$F$1))))</f>
        <v/>
      </c>
      <c r="Q549" s="1" t="str">
        <f>IF(OR($B549="",Q$7=""),"",IF($B549="MEANS",INDEX('1-DATA'!$1:$1048576,$A548-1,COLUMN('1-DATA'!P547)),ROUND(INDEX('1-DATA'!$1:$1048576,IF(OR($B549="STD. DEVIATION",$C$1=1),$A549,$A549+1),COLUMN('1-DATA'!P547)),IF($B549="STD. DEVIATION",2,$F$1))))</f>
        <v/>
      </c>
      <c r="R549" s="1" t="str">
        <f>IF(OR($B549="",R$7=""),"",IF($B549="MEANS",INDEX('1-DATA'!$1:$1048576,$A548-1,COLUMN('1-DATA'!Q547)),ROUND(INDEX('1-DATA'!$1:$1048576,IF(OR($B549="STD. DEVIATION",$C$1=1),$A549,$A549+1),COLUMN('1-DATA'!Q547)),IF($B549="STD. DEVIATION",2,$F$1))))</f>
        <v/>
      </c>
      <c r="S549" s="1" t="str">
        <f>IF(OR($B549="",S$7=""),"",IF($B549="MEANS",INDEX('1-DATA'!$1:$1048576,$A548-1,COLUMN('1-DATA'!R547)),ROUND(INDEX('1-DATA'!$1:$1048576,IF(OR($B549="STD. DEVIATION",$C$1=1),$A549,$A549+1),COLUMN('1-DATA'!R547)),IF($B549="STD. DEVIATION",2,$F$1))))</f>
        <v/>
      </c>
      <c r="T549" s="1" t="str">
        <f>IF(OR($B549="",T$7=""),"",IF($B549="MEANS",INDEX('1-DATA'!$1:$1048576,$A548-1,COLUMN('1-DATA'!S547)),ROUND(INDEX('1-DATA'!$1:$1048576,IF(OR($B549="STD. DEVIATION",$C$1=1),$A549,$A549+1),COLUMN('1-DATA'!S547)),IF($B549="STD. DEVIATION",2,$F$1))))</f>
        <v/>
      </c>
      <c r="U549" s="1" t="str">
        <f>IF(OR($B549="",U$7=""),"",IF($B549="MEANS",INDEX('1-DATA'!$1:$1048576,$A548-1,COLUMN('1-DATA'!T547)),ROUND(INDEX('1-DATA'!$1:$1048576,IF(OR($B549="STD. DEVIATION",$C$1=1),$A549,$A549+1),COLUMN('1-DATA'!T547)),IF($B549="STD. DEVIATION",2,$F$1))))</f>
        <v/>
      </c>
      <c r="V549" s="1" t="str">
        <f>IF(OR($B549="",V$7=""),"",IF($B549="MEANS",INDEX('1-DATA'!$1:$1048576,$A548-1,COLUMN('1-DATA'!U547)),ROUND(INDEX('1-DATA'!$1:$1048576,IF(OR($B549="STD. DEVIATION",$C$1=1),$A549,$A549+1),COLUMN('1-DATA'!U547)),IF($B549="STD. DEVIATION",2,$F$1))))</f>
        <v/>
      </c>
      <c r="W549" s="1" t="str">
        <f>IF(OR($B549="",W$7=""),"",IF($B549="MEANS",INDEX('1-DATA'!$1:$1048576,$A548-1,COLUMN('1-DATA'!V547)),ROUND(INDEX('1-DATA'!$1:$1048576,IF(OR($B549="STD. DEVIATION",$C$1=1),$A549,$A549+1),COLUMN('1-DATA'!V547)),IF($B549="STD. DEVIATION",2,$F$1))))</f>
        <v/>
      </c>
      <c r="X549" s="1" t="str">
        <f>IF(OR($B549="",X$7=""),"",IF($B549="MEANS",INDEX('1-DATA'!$1:$1048576,$A548-1,COLUMN('1-DATA'!W547)),ROUND(INDEX('1-DATA'!$1:$1048576,IF(OR($B549="STD. DEVIATION",$C$1=1),$A549,$A549+1),COLUMN('1-DATA'!W547)),IF($B549="STD. DEVIATION",2,$F$1))))</f>
        <v/>
      </c>
      <c r="Y549" s="1" t="str">
        <f>IF(OR($B549="",Y$7=""),"",IF($B549="MEANS",INDEX('1-DATA'!$1:$1048576,$A548-1,COLUMN('1-DATA'!X547)),ROUND(INDEX('1-DATA'!$1:$1048576,IF(OR($B549="STD. DEVIATION",$C$1=1),$A549,$A549+1),COLUMN('1-DATA'!X547)),IF($B549="STD. DEVIATION",2,$F$1))))</f>
        <v/>
      </c>
      <c r="Z549" s="1" t="str">
        <f>IF(OR($B549="",Z$7=""),"",IF($B549="MEANS",INDEX('1-DATA'!$1:$1048576,$A548-1,COLUMN('1-DATA'!Y547)),ROUND(INDEX('1-DATA'!$1:$1048576,IF(OR($B549="STD. DEVIATION",$C$1=1),$A549,$A549+1),COLUMN('1-DATA'!Y547)),IF($B549="STD. DEVIATION",2,$F$1))))</f>
        <v/>
      </c>
      <c r="AA549" s="1" t="str">
        <f>IF(OR($B549="",AA$7=""),"",IF($B549="MEANS",INDEX('1-DATA'!$1:$1048576,$A548-1,COLUMN('1-DATA'!Z547)),ROUND(INDEX('1-DATA'!$1:$1048576,IF(OR($B549="STD. DEVIATION",$C$1=1),$A549,$A549+1),COLUMN('1-DATA'!Z547)),IF($B549="STD. DEVIATION",2,$F$1))))</f>
        <v/>
      </c>
      <c r="AB549" s="1" t="str">
        <f>IF(OR($B549="",AB$7=""),"",IF($B549="MEANS",INDEX('1-DATA'!$1:$1048576,$A548-1,COLUMN('1-DATA'!AA547)),ROUND(INDEX('1-DATA'!$1:$1048576,IF(OR($B549="STD. DEVIATION",$C$1=1),$A549,$A549+1),COLUMN('1-DATA'!AA547)),IF($B549="STD. DEVIATION",2,$F$1))))</f>
        <v/>
      </c>
      <c r="AC549" s="1" t="str">
        <f>IF(OR($B549="",AC$7=""),"",IF($B549="MEANS",INDEX('1-DATA'!$1:$1048576,$A548-1,COLUMN('1-DATA'!AB547)),ROUND(INDEX('1-DATA'!$1:$1048576,IF(OR($B549="STD. DEVIATION",$C$1=1),$A549,$A549+1),COLUMN('1-DATA'!AB547)),IF($B549="STD. DEVIATION",2,$F$1))))</f>
        <v/>
      </c>
      <c r="AD549" s="1" t="str">
        <f>IF(OR($B549="",AD$7=""),"",IF($B549="MEANS",INDEX('1-DATA'!$1:$1048576,$A548-1,COLUMN('1-DATA'!AC547)),ROUND(INDEX('1-DATA'!$1:$1048576,IF(OR($B549="STD. DEVIATION",$C$1=1),$A549,$A549+1),COLUMN('1-DATA'!AC547)),IF($B549="STD. DEVIATION",2,$F$1))))</f>
        <v/>
      </c>
      <c r="AE549" s="1" t="str">
        <f>IF(OR($B549="",AE$7=""),"",IF($B549="MEANS",INDEX('1-DATA'!$1:$1048576,$A548-1,COLUMN('1-DATA'!AD547)),ROUND(INDEX('1-DATA'!$1:$1048576,IF(OR($B549="STD. DEVIATION",$C$1=1),$A549,$A549+1),COLUMN('1-DATA'!AD547)),IF($B549="STD. DEVIATION",2,$F$1))))</f>
        <v/>
      </c>
      <c r="AF549" s="1" t="str">
        <f>IF(OR($B549="",AF$7=""),"",IF($B549="MEANS",INDEX('1-DATA'!$1:$1048576,$A548-1,COLUMN('1-DATA'!AE547)),ROUND(INDEX('1-DATA'!$1:$1048576,IF(OR($B549="STD. DEVIATION",$C$1=1),$A549,$A549+1),COLUMN('1-DATA'!AE547)),IF($B549="STD. DEVIATION",2,$F$1))))</f>
        <v/>
      </c>
      <c r="AG549" s="1" t="str">
        <f>IF(OR($B549="",AG$7=""),"",IF($B549="MEANS",INDEX('1-DATA'!$1:$1048576,$A548-1,COLUMN('1-DATA'!AF547)),ROUND(INDEX('1-DATA'!$1:$1048576,IF(OR($B549="STD. DEVIATION",$C$1=1),$A549,$A549+1),COLUMN('1-DATA'!AF547)),IF($B549="STD. DEVIATION",2,$F$1))))</f>
        <v/>
      </c>
      <c r="AH549" s="1" t="str">
        <f>IF(OR($B549="",AH$7=""),"",IF($B549="MEANS",INDEX('1-DATA'!$1:$1048576,$A548-1,COLUMN('1-DATA'!AG547)),ROUND(INDEX('1-DATA'!$1:$1048576,IF(OR($B549="STD. DEVIATION",$C$1=1),$A549,$A549+1),COLUMN('1-DATA'!AG547)),IF($B549="STD. DEVIATION",2,$F$1))))</f>
        <v/>
      </c>
      <c r="AI549" s="1" t="str">
        <f>IF(OR($B549="",AI$7=""),"",IF($B549="MEANS",INDEX('1-DATA'!$1:$1048576,$A548-1,COLUMN('1-DATA'!AH547)),ROUND(INDEX('1-DATA'!$1:$1048576,IF(OR($B549="STD. DEVIATION",$C$1=1),$A549,$A549+1),COLUMN('1-DATA'!AH547)),IF($B549="STD. DEVIATION",2,$F$1))))</f>
        <v/>
      </c>
      <c r="AJ549" s="1" t="str">
        <f>IF(OR($B549="",AJ$7=""),"",IF($B549="MEANS",INDEX('1-DATA'!$1:$1048576,$A548-1,COLUMN('1-DATA'!AI547)),ROUND(INDEX('1-DATA'!$1:$1048576,IF(OR($B549="STD. DEVIATION",$C$1=1),$A549,$A549+1),COLUMN('1-DATA'!AI547)),IF($B549="STD. DEVIATION",2,$F$1))))</f>
        <v/>
      </c>
      <c r="AK549" s="1" t="str">
        <f>IF(OR($B549="",AK$7=""),"",IF($B549="MEANS",INDEX('1-DATA'!$1:$1048576,$A548-1,COLUMN('1-DATA'!AJ547)),ROUND(INDEX('1-DATA'!$1:$1048576,IF(OR($B549="STD. DEVIATION",$C$1=1),$A549,$A549+1),COLUMN('1-DATA'!AJ547)),IF($B549="STD. DEVIATION",2,$F$1))))</f>
        <v/>
      </c>
      <c r="AL549" s="1" t="str">
        <f>IF(OR($B549="",AL$7=""),"",IF($B549="MEANS",INDEX('1-DATA'!$1:$1048576,$A548-1,COLUMN('1-DATA'!AK547)),ROUND(INDEX('1-DATA'!$1:$1048576,IF(OR($B549="STD. DEVIATION",$C$1=1),$A549,$A549+1),COLUMN('1-DATA'!AK547)),IF($B549="STD. DEVIATION",2,$F$1))))</f>
        <v/>
      </c>
      <c r="AM549" s="1" t="str">
        <f>IF(OR($B549="",AM$7=""),"",IF($B549="MEANS",INDEX('1-DATA'!$1:$1048576,$A548-1,COLUMN('1-DATA'!AL547)),ROUND(INDEX('1-DATA'!$1:$1048576,IF(OR($B549="STD. DEVIATION",$C$1=1),$A549,$A549+1),COLUMN('1-DATA'!AL547)),IF($B549="STD. DEVIATION",2,$F$1))))</f>
        <v/>
      </c>
      <c r="AN549" s="1" t="str">
        <f>IF(OR($B549="",AN$7=""),"",IF($B549="MEANS",INDEX('1-DATA'!$1:$1048576,$A548-1,COLUMN('1-DATA'!AM547)),ROUND(INDEX('1-DATA'!$1:$1048576,IF(OR($B549="STD. DEVIATION",$C$1=1),$A549,$A549+1),COLUMN('1-DATA'!AM547)),IF($B549="STD. DEVIATION",2,$F$1))))</f>
        <v/>
      </c>
      <c r="AO549" s="1" t="str">
        <f>IF(OR($B549="",AO$7=""),"",IF($B549="MEANS",INDEX('1-DATA'!$1:$1048576,$A548-1,COLUMN('1-DATA'!AN547)),ROUND(INDEX('1-DATA'!$1:$1048576,IF(OR($B549="STD. DEVIATION",$C$1=1),$A549,$A549+1),COLUMN('1-DATA'!AN547)),IF($B549="STD. DEVIATION",2,$F$1))))</f>
        <v/>
      </c>
      <c r="AP549" s="1" t="str">
        <f>IF(OR($B549="",AP$7=""),"",IF($B549="MEANS",INDEX('1-DATA'!$1:$1048576,$A548-1,COLUMN('1-DATA'!AO547)),ROUND(INDEX('1-DATA'!$1:$1048576,IF(OR($B549="STD. DEVIATION",$C$1=1),$A549,$A549+1),COLUMN('1-DATA'!AO547)),IF($B549="STD. DEVIATION",2,$F$1))))</f>
        <v/>
      </c>
      <c r="AQ549" s="1" t="str">
        <f>IF(OR($B549="",AQ$7=""),"",IF($B549="MEANS",INDEX('1-DATA'!$1:$1048576,$A548-1,COLUMN('1-DATA'!AP547)),ROUND(INDEX('1-DATA'!$1:$1048576,IF(OR($B549="STD. DEVIATION",$C$1=1),$A549,$A549+1),COLUMN('1-DATA'!AP547)),IF($B549="STD. DEVIATION",2,$F$1))))</f>
        <v/>
      </c>
      <c r="AR549" s="1" t="str">
        <f>IF(OR($B549="",AR$7=""),"",IF($B549="MEANS",INDEX('1-DATA'!$1:$1048576,$A548-1,COLUMN('1-DATA'!AQ547)),ROUND(INDEX('1-DATA'!$1:$1048576,IF(OR($B549="STD. DEVIATION",$C$1=1),$A549,$A549+1),COLUMN('1-DATA'!AQ547)),IF($B549="STD. DEVIATION",2,$F$1))))</f>
        <v/>
      </c>
      <c r="AS549" s="1" t="str">
        <f>IF(OR($B549="",AS$7=""),"",IF($B549="MEANS",INDEX('1-DATA'!$1:$1048576,$A548-1,COLUMN('1-DATA'!AR547)),ROUND(INDEX('1-DATA'!$1:$1048576,IF(OR($B549="STD. DEVIATION",$C$1=1),$A549,$A549+1),COLUMN('1-DATA'!AR547)),IF($B549="STD. DEVIATION",2,$F$1))))</f>
        <v/>
      </c>
      <c r="AT549" s="1" t="str">
        <f>IF(OR($B549="",AT$7=""),"",IF($B549="MEANS",INDEX('1-DATA'!$1:$1048576,$A548-1,COLUMN('1-DATA'!AS547)),ROUND(INDEX('1-DATA'!$1:$1048576,IF(OR($B549="STD. DEVIATION",$C$1=1),$A549,$A549+1),COLUMN('1-DATA'!AS547)),IF($B549="STD. DEVIATION",2,$F$1))))</f>
        <v/>
      </c>
      <c r="AU549" s="1" t="str">
        <f>IF(OR($B549="",AU$7=""),"",IF($B549="MEANS",INDEX('1-DATA'!$1:$1048576,$A548-1,COLUMN('1-DATA'!AT547)),ROUND(INDEX('1-DATA'!$1:$1048576,IF(OR($B549="STD. DEVIATION",$C$1=1),$A549,$A549+1),COLUMN('1-DATA'!AT547)),IF($B549="STD. DEVIATION",2,$F$1))))</f>
        <v/>
      </c>
      <c r="AV549" s="1" t="str">
        <f>IF(OR($B549="",AV$7=""),"",IF($B549="MEANS",INDEX('1-DATA'!$1:$1048576,$A548-1,COLUMN('1-DATA'!AU547)),ROUND(INDEX('1-DATA'!$1:$1048576,IF(OR($B549="STD. DEVIATION",$C$1=1),$A549,$A549+1),COLUMN('1-DATA'!AU547)),IF($B549="STD. DEVIATION",2,$F$1))))</f>
        <v/>
      </c>
      <c r="AW549" s="1" t="str">
        <f>IF(OR($B549="",AW$7=""),"",IF($B549="MEANS",INDEX('1-DATA'!$1:$1048576,$A548-1,COLUMN('1-DATA'!AV547)),ROUND(INDEX('1-DATA'!$1:$1048576,IF(OR($B549="STD. DEVIATION",$C$1=1),$A549,$A549+1),COLUMN('1-DATA'!AV547)),IF($B549="STD. DEVIATION",2,$F$1))))</f>
        <v/>
      </c>
      <c r="AX549" s="1" t="str">
        <f>IF(OR($B549="",AX$7=""),"",IF($B549="MEANS",INDEX('1-DATA'!$1:$1048576,$A548-1,COLUMN('1-DATA'!AW547)),ROUND(INDEX('1-DATA'!$1:$1048576,IF(OR($B549="STD. DEVIATION",$C$1=1),$A549,$A549+1),COLUMN('1-DATA'!AW547)),IF($B549="STD. DEVIATION",2,$F$1))))</f>
        <v/>
      </c>
      <c r="AY549" s="1" t="str">
        <f>IF(OR($B549="",AY$7=""),"",IF($B549="MEANS",INDEX('1-DATA'!$1:$1048576,$A548-1,COLUMN('1-DATA'!AX547)),ROUND(INDEX('1-DATA'!$1:$1048576,IF(OR($B549="STD. DEVIATION",$C$1=1),$A549,$A549+1),COLUMN('1-DATA'!AX547)),IF($B549="STD. DEVIATION",2,$F$1))))</f>
        <v/>
      </c>
      <c r="AZ549" s="1" t="str">
        <f>IF(OR($B549="",AZ$7=""),"",IF($B549="MEANS",INDEX('1-DATA'!$1:$1048576,$A548-1,COLUMN('1-DATA'!AY547)),ROUND(INDEX('1-DATA'!$1:$1048576,IF(OR($B549="STD. DEVIATION",$C$1=1),$A549,$A549+1),COLUMN('1-DATA'!AY547)),IF($B549="STD. DEVIATION",2,$F$1))))</f>
        <v/>
      </c>
    </row>
    <row r="550" spans="1:52" x14ac:dyDescent="0.25">
      <c r="A550" s="11">
        <f t="shared" si="9"/>
        <v>1636</v>
      </c>
      <c r="B550" s="1" t="str">
        <f>IF(B549="STD. DEVIATION",INDEX('1-DATA'!$1:$1048576,$A549-1,1),IF(INDEX('1-DATA'!$1:$1048576,$A550,1)&lt;&gt;"",INDEX('1-DATA'!$1:$1048576,$A550,1),""))</f>
        <v/>
      </c>
      <c r="C550" s="1" t="str">
        <f>IF(OR($B550="",C$7=""),"",IF($B550="MEANS",INDEX('1-DATA'!$1:$1048576,$A549-1,COLUMN('1-DATA'!B548)),ROUND(INDEX('1-DATA'!$1:$1048576,IF(OR($B550="STD. DEVIATION",$C$1=1),$A550,$A550+1),COLUMN('1-DATA'!B548)),IF($B550="STD. DEVIATION",2,$F$1))))</f>
        <v/>
      </c>
      <c r="D550" s="1" t="str">
        <f>IF(OR($B550="",D$7=""),"",IF($B550="MEANS",INDEX('1-DATA'!$1:$1048576,$A549-1,COLUMN('1-DATA'!C548)),ROUND(INDEX('1-DATA'!$1:$1048576,IF(OR($B550="STD. DEVIATION",$C$1=1),$A550,$A550+1),COLUMN('1-DATA'!C548)),IF($B550="STD. DEVIATION",2,$F$1))))</f>
        <v/>
      </c>
      <c r="E550" s="1" t="str">
        <f>IF(OR($B550="",E$7=""),"",IF($B550="MEANS",INDEX('1-DATA'!$1:$1048576,$A549-1,COLUMN('1-DATA'!D548)),ROUND(INDEX('1-DATA'!$1:$1048576,IF(OR($B550="STD. DEVIATION",$C$1=1),$A550,$A550+1),COLUMN('1-DATA'!D548)),IF($B550="STD. DEVIATION",2,$F$1))))</f>
        <v/>
      </c>
      <c r="F550" s="1" t="str">
        <f>IF(OR($B550="",F$7=""),"",IF($B550="MEANS",INDEX('1-DATA'!$1:$1048576,$A549-1,COLUMN('1-DATA'!E548)),ROUND(INDEX('1-DATA'!$1:$1048576,IF(OR($B550="STD. DEVIATION",$C$1=1),$A550,$A550+1),COLUMN('1-DATA'!E548)),IF($B550="STD. DEVIATION",2,$F$1))))</f>
        <v/>
      </c>
      <c r="G550" s="1" t="str">
        <f>IF(OR($B550="",G$7=""),"",IF($B550="MEANS",INDEX('1-DATA'!$1:$1048576,$A549-1,COLUMN('1-DATA'!F548)),ROUND(INDEX('1-DATA'!$1:$1048576,IF(OR($B550="STD. DEVIATION",$C$1=1),$A550,$A550+1),COLUMN('1-DATA'!F548)),IF($B550="STD. DEVIATION",2,$F$1))))</f>
        <v/>
      </c>
      <c r="H550" s="1" t="str">
        <f>IF(OR($B550="",H$7=""),"",IF($B550="MEANS",INDEX('1-DATA'!$1:$1048576,$A549-1,COLUMN('1-DATA'!G548)),ROUND(INDEX('1-DATA'!$1:$1048576,IF(OR($B550="STD. DEVIATION",$C$1=1),$A550,$A550+1),COLUMN('1-DATA'!G548)),IF($B550="STD. DEVIATION",2,$F$1))))</f>
        <v/>
      </c>
      <c r="I550" s="1" t="str">
        <f>IF(OR($B550="",I$7=""),"",IF($B550="MEANS",INDEX('1-DATA'!$1:$1048576,$A549-1,COLUMN('1-DATA'!H548)),ROUND(INDEX('1-DATA'!$1:$1048576,IF(OR($B550="STD. DEVIATION",$C$1=1),$A550,$A550+1),COLUMN('1-DATA'!H548)),IF($B550="STD. DEVIATION",2,$F$1))))</f>
        <v/>
      </c>
      <c r="J550" s="1" t="str">
        <f>IF(OR($B550="",J$7=""),"",IF($B550="MEANS",INDEX('1-DATA'!$1:$1048576,$A549-1,COLUMN('1-DATA'!I548)),ROUND(INDEX('1-DATA'!$1:$1048576,IF(OR($B550="STD. DEVIATION",$C$1=1),$A550,$A550+1),COLUMN('1-DATA'!I548)),IF($B550="STD. DEVIATION",2,$F$1))))</f>
        <v/>
      </c>
      <c r="K550" s="1" t="str">
        <f>IF(OR($B550="",K$7=""),"",IF($B550="MEANS",INDEX('1-DATA'!$1:$1048576,$A549-1,COLUMN('1-DATA'!J548)),ROUND(INDEX('1-DATA'!$1:$1048576,IF(OR($B550="STD. DEVIATION",$C$1=1),$A550,$A550+1),COLUMN('1-DATA'!J548)),IF($B550="STD. DEVIATION",2,$F$1))))</f>
        <v/>
      </c>
      <c r="L550" s="1" t="str">
        <f>IF(OR($B550="",L$7=""),"",IF($B550="MEANS",INDEX('1-DATA'!$1:$1048576,$A549-1,COLUMN('1-DATA'!K548)),ROUND(INDEX('1-DATA'!$1:$1048576,IF(OR($B550="STD. DEVIATION",$C$1=1),$A550,$A550+1),COLUMN('1-DATA'!K548)),IF($B550="STD. DEVIATION",2,$F$1))))</f>
        <v/>
      </c>
      <c r="M550" s="1" t="str">
        <f>IF(OR($B550="",M$7=""),"",IF($B550="MEANS",INDEX('1-DATA'!$1:$1048576,$A549-1,COLUMN('1-DATA'!L548)),ROUND(INDEX('1-DATA'!$1:$1048576,IF(OR($B550="STD. DEVIATION",$C$1=1),$A550,$A550+1),COLUMN('1-DATA'!L548)),IF($B550="STD. DEVIATION",2,$F$1))))</f>
        <v/>
      </c>
      <c r="N550" s="1" t="str">
        <f>IF(OR($B550="",N$7=""),"",IF($B550="MEANS",INDEX('1-DATA'!$1:$1048576,$A549-1,COLUMN('1-DATA'!M548)),ROUND(INDEX('1-DATA'!$1:$1048576,IF(OR($B550="STD. DEVIATION",$C$1=1),$A550,$A550+1),COLUMN('1-DATA'!M548)),IF($B550="STD. DEVIATION",2,$F$1))))</f>
        <v/>
      </c>
      <c r="O550" s="1" t="str">
        <f>IF(OR($B550="",O$7=""),"",IF($B550="MEANS",INDEX('1-DATA'!$1:$1048576,$A549-1,COLUMN('1-DATA'!N548)),ROUND(INDEX('1-DATA'!$1:$1048576,IF(OR($B550="STD. DEVIATION",$C$1=1),$A550,$A550+1),COLUMN('1-DATA'!N548)),IF($B550="STD. DEVIATION",2,$F$1))))</f>
        <v/>
      </c>
      <c r="P550" s="1" t="str">
        <f>IF(OR($B550="",P$7=""),"",IF($B550="MEANS",INDEX('1-DATA'!$1:$1048576,$A549-1,COLUMN('1-DATA'!O548)),ROUND(INDEX('1-DATA'!$1:$1048576,IF(OR($B550="STD. DEVIATION",$C$1=1),$A550,$A550+1),COLUMN('1-DATA'!O548)),IF($B550="STD. DEVIATION",2,$F$1))))</f>
        <v/>
      </c>
      <c r="Q550" s="1" t="str">
        <f>IF(OR($B550="",Q$7=""),"",IF($B550="MEANS",INDEX('1-DATA'!$1:$1048576,$A549-1,COLUMN('1-DATA'!P548)),ROUND(INDEX('1-DATA'!$1:$1048576,IF(OR($B550="STD. DEVIATION",$C$1=1),$A550,$A550+1),COLUMN('1-DATA'!P548)),IF($B550="STD. DEVIATION",2,$F$1))))</f>
        <v/>
      </c>
      <c r="R550" s="1" t="str">
        <f>IF(OR($B550="",R$7=""),"",IF($B550="MEANS",INDEX('1-DATA'!$1:$1048576,$A549-1,COLUMN('1-DATA'!Q548)),ROUND(INDEX('1-DATA'!$1:$1048576,IF(OR($B550="STD. DEVIATION",$C$1=1),$A550,$A550+1),COLUMN('1-DATA'!Q548)),IF($B550="STD. DEVIATION",2,$F$1))))</f>
        <v/>
      </c>
      <c r="S550" s="1" t="str">
        <f>IF(OR($B550="",S$7=""),"",IF($B550="MEANS",INDEX('1-DATA'!$1:$1048576,$A549-1,COLUMN('1-DATA'!R548)),ROUND(INDEX('1-DATA'!$1:$1048576,IF(OR($B550="STD. DEVIATION",$C$1=1),$A550,$A550+1),COLUMN('1-DATA'!R548)),IF($B550="STD. DEVIATION",2,$F$1))))</f>
        <v/>
      </c>
      <c r="T550" s="1" t="str">
        <f>IF(OR($B550="",T$7=""),"",IF($B550="MEANS",INDEX('1-DATA'!$1:$1048576,$A549-1,COLUMN('1-DATA'!S548)),ROUND(INDEX('1-DATA'!$1:$1048576,IF(OR($B550="STD. DEVIATION",$C$1=1),$A550,$A550+1),COLUMN('1-DATA'!S548)),IF($B550="STD. DEVIATION",2,$F$1))))</f>
        <v/>
      </c>
      <c r="U550" s="1" t="str">
        <f>IF(OR($B550="",U$7=""),"",IF($B550="MEANS",INDEX('1-DATA'!$1:$1048576,$A549-1,COLUMN('1-DATA'!T548)),ROUND(INDEX('1-DATA'!$1:$1048576,IF(OR($B550="STD. DEVIATION",$C$1=1),$A550,$A550+1),COLUMN('1-DATA'!T548)),IF($B550="STD. DEVIATION",2,$F$1))))</f>
        <v/>
      </c>
      <c r="V550" s="1" t="str">
        <f>IF(OR($B550="",V$7=""),"",IF($B550="MEANS",INDEX('1-DATA'!$1:$1048576,$A549-1,COLUMN('1-DATA'!U548)),ROUND(INDEX('1-DATA'!$1:$1048576,IF(OR($B550="STD. DEVIATION",$C$1=1),$A550,$A550+1),COLUMN('1-DATA'!U548)),IF($B550="STD. DEVIATION",2,$F$1))))</f>
        <v/>
      </c>
      <c r="W550" s="1" t="str">
        <f>IF(OR($B550="",W$7=""),"",IF($B550="MEANS",INDEX('1-DATA'!$1:$1048576,$A549-1,COLUMN('1-DATA'!V548)),ROUND(INDEX('1-DATA'!$1:$1048576,IF(OR($B550="STD. DEVIATION",$C$1=1),$A550,$A550+1),COLUMN('1-DATA'!V548)),IF($B550="STD. DEVIATION",2,$F$1))))</f>
        <v/>
      </c>
      <c r="X550" s="1" t="str">
        <f>IF(OR($B550="",X$7=""),"",IF($B550="MEANS",INDEX('1-DATA'!$1:$1048576,$A549-1,COLUMN('1-DATA'!W548)),ROUND(INDEX('1-DATA'!$1:$1048576,IF(OR($B550="STD. DEVIATION",$C$1=1),$A550,$A550+1),COLUMN('1-DATA'!W548)),IF($B550="STD. DEVIATION",2,$F$1))))</f>
        <v/>
      </c>
      <c r="Y550" s="1" t="str">
        <f>IF(OR($B550="",Y$7=""),"",IF($B550="MEANS",INDEX('1-DATA'!$1:$1048576,$A549-1,COLUMN('1-DATA'!X548)),ROUND(INDEX('1-DATA'!$1:$1048576,IF(OR($B550="STD. DEVIATION",$C$1=1),$A550,$A550+1),COLUMN('1-DATA'!X548)),IF($B550="STD. DEVIATION",2,$F$1))))</f>
        <v/>
      </c>
      <c r="Z550" s="1" t="str">
        <f>IF(OR($B550="",Z$7=""),"",IF($B550="MEANS",INDEX('1-DATA'!$1:$1048576,$A549-1,COLUMN('1-DATA'!Y548)),ROUND(INDEX('1-DATA'!$1:$1048576,IF(OR($B550="STD. DEVIATION",$C$1=1),$A550,$A550+1),COLUMN('1-DATA'!Y548)),IF($B550="STD. DEVIATION",2,$F$1))))</f>
        <v/>
      </c>
      <c r="AA550" s="1" t="str">
        <f>IF(OR($B550="",AA$7=""),"",IF($B550="MEANS",INDEX('1-DATA'!$1:$1048576,$A549-1,COLUMN('1-DATA'!Z548)),ROUND(INDEX('1-DATA'!$1:$1048576,IF(OR($B550="STD. DEVIATION",$C$1=1),$A550,$A550+1),COLUMN('1-DATA'!Z548)),IF($B550="STD. DEVIATION",2,$F$1))))</f>
        <v/>
      </c>
      <c r="AB550" s="1" t="str">
        <f>IF(OR($B550="",AB$7=""),"",IF($B550="MEANS",INDEX('1-DATA'!$1:$1048576,$A549-1,COLUMN('1-DATA'!AA548)),ROUND(INDEX('1-DATA'!$1:$1048576,IF(OR($B550="STD. DEVIATION",$C$1=1),$A550,$A550+1),COLUMN('1-DATA'!AA548)),IF($B550="STD. DEVIATION",2,$F$1))))</f>
        <v/>
      </c>
      <c r="AC550" s="1" t="str">
        <f>IF(OR($B550="",AC$7=""),"",IF($B550="MEANS",INDEX('1-DATA'!$1:$1048576,$A549-1,COLUMN('1-DATA'!AB548)),ROUND(INDEX('1-DATA'!$1:$1048576,IF(OR($B550="STD. DEVIATION",$C$1=1),$A550,$A550+1),COLUMN('1-DATA'!AB548)),IF($B550="STD. DEVIATION",2,$F$1))))</f>
        <v/>
      </c>
      <c r="AD550" s="1" t="str">
        <f>IF(OR($B550="",AD$7=""),"",IF($B550="MEANS",INDEX('1-DATA'!$1:$1048576,$A549-1,COLUMN('1-DATA'!AC548)),ROUND(INDEX('1-DATA'!$1:$1048576,IF(OR($B550="STD. DEVIATION",$C$1=1),$A550,$A550+1),COLUMN('1-DATA'!AC548)),IF($B550="STD. DEVIATION",2,$F$1))))</f>
        <v/>
      </c>
      <c r="AE550" s="1" t="str">
        <f>IF(OR($B550="",AE$7=""),"",IF($B550="MEANS",INDEX('1-DATA'!$1:$1048576,$A549-1,COLUMN('1-DATA'!AD548)),ROUND(INDEX('1-DATA'!$1:$1048576,IF(OR($B550="STD. DEVIATION",$C$1=1),$A550,$A550+1),COLUMN('1-DATA'!AD548)),IF($B550="STD. DEVIATION",2,$F$1))))</f>
        <v/>
      </c>
      <c r="AF550" s="1" t="str">
        <f>IF(OR($B550="",AF$7=""),"",IF($B550="MEANS",INDEX('1-DATA'!$1:$1048576,$A549-1,COLUMN('1-DATA'!AE548)),ROUND(INDEX('1-DATA'!$1:$1048576,IF(OR($B550="STD. DEVIATION",$C$1=1),$A550,$A550+1),COLUMN('1-DATA'!AE548)),IF($B550="STD. DEVIATION",2,$F$1))))</f>
        <v/>
      </c>
      <c r="AG550" s="1" t="str">
        <f>IF(OR($B550="",AG$7=""),"",IF($B550="MEANS",INDEX('1-DATA'!$1:$1048576,$A549-1,COLUMN('1-DATA'!AF548)),ROUND(INDEX('1-DATA'!$1:$1048576,IF(OR($B550="STD. DEVIATION",$C$1=1),$A550,$A550+1),COLUMN('1-DATA'!AF548)),IF($B550="STD. DEVIATION",2,$F$1))))</f>
        <v/>
      </c>
      <c r="AH550" s="1" t="str">
        <f>IF(OR($B550="",AH$7=""),"",IF($B550="MEANS",INDEX('1-DATA'!$1:$1048576,$A549-1,COLUMN('1-DATA'!AG548)),ROUND(INDEX('1-DATA'!$1:$1048576,IF(OR($B550="STD. DEVIATION",$C$1=1),$A550,$A550+1),COLUMN('1-DATA'!AG548)),IF($B550="STD. DEVIATION",2,$F$1))))</f>
        <v/>
      </c>
      <c r="AI550" s="1" t="str">
        <f>IF(OR($B550="",AI$7=""),"",IF($B550="MEANS",INDEX('1-DATA'!$1:$1048576,$A549-1,COLUMN('1-DATA'!AH548)),ROUND(INDEX('1-DATA'!$1:$1048576,IF(OR($B550="STD. DEVIATION",$C$1=1),$A550,$A550+1),COLUMN('1-DATA'!AH548)),IF($B550="STD. DEVIATION",2,$F$1))))</f>
        <v/>
      </c>
      <c r="AJ550" s="1" t="str">
        <f>IF(OR($B550="",AJ$7=""),"",IF($B550="MEANS",INDEX('1-DATA'!$1:$1048576,$A549-1,COLUMN('1-DATA'!AI548)),ROUND(INDEX('1-DATA'!$1:$1048576,IF(OR($B550="STD. DEVIATION",$C$1=1),$A550,$A550+1),COLUMN('1-DATA'!AI548)),IF($B550="STD. DEVIATION",2,$F$1))))</f>
        <v/>
      </c>
      <c r="AK550" s="1" t="str">
        <f>IF(OR($B550="",AK$7=""),"",IF($B550="MEANS",INDEX('1-DATA'!$1:$1048576,$A549-1,COLUMN('1-DATA'!AJ548)),ROUND(INDEX('1-DATA'!$1:$1048576,IF(OR($B550="STD. DEVIATION",$C$1=1),$A550,$A550+1),COLUMN('1-DATA'!AJ548)),IF($B550="STD. DEVIATION",2,$F$1))))</f>
        <v/>
      </c>
      <c r="AL550" s="1" t="str">
        <f>IF(OR($B550="",AL$7=""),"",IF($B550="MEANS",INDEX('1-DATA'!$1:$1048576,$A549-1,COLUMN('1-DATA'!AK548)),ROUND(INDEX('1-DATA'!$1:$1048576,IF(OR($B550="STD. DEVIATION",$C$1=1),$A550,$A550+1),COLUMN('1-DATA'!AK548)),IF($B550="STD. DEVIATION",2,$F$1))))</f>
        <v/>
      </c>
      <c r="AM550" s="1" t="str">
        <f>IF(OR($B550="",AM$7=""),"",IF($B550="MEANS",INDEX('1-DATA'!$1:$1048576,$A549-1,COLUMN('1-DATA'!AL548)),ROUND(INDEX('1-DATA'!$1:$1048576,IF(OR($B550="STD. DEVIATION",$C$1=1),$A550,$A550+1),COLUMN('1-DATA'!AL548)),IF($B550="STD. DEVIATION",2,$F$1))))</f>
        <v/>
      </c>
      <c r="AN550" s="1" t="str">
        <f>IF(OR($B550="",AN$7=""),"",IF($B550="MEANS",INDEX('1-DATA'!$1:$1048576,$A549-1,COLUMN('1-DATA'!AM548)),ROUND(INDEX('1-DATA'!$1:$1048576,IF(OR($B550="STD. DEVIATION",$C$1=1),$A550,$A550+1),COLUMN('1-DATA'!AM548)),IF($B550="STD. DEVIATION",2,$F$1))))</f>
        <v/>
      </c>
      <c r="AO550" s="1" t="str">
        <f>IF(OR($B550="",AO$7=""),"",IF($B550="MEANS",INDEX('1-DATA'!$1:$1048576,$A549-1,COLUMN('1-DATA'!AN548)),ROUND(INDEX('1-DATA'!$1:$1048576,IF(OR($B550="STD. DEVIATION",$C$1=1),$A550,$A550+1),COLUMN('1-DATA'!AN548)),IF($B550="STD. DEVIATION",2,$F$1))))</f>
        <v/>
      </c>
      <c r="AP550" s="1" t="str">
        <f>IF(OR($B550="",AP$7=""),"",IF($B550="MEANS",INDEX('1-DATA'!$1:$1048576,$A549-1,COLUMN('1-DATA'!AO548)),ROUND(INDEX('1-DATA'!$1:$1048576,IF(OR($B550="STD. DEVIATION",$C$1=1),$A550,$A550+1),COLUMN('1-DATA'!AO548)),IF($B550="STD. DEVIATION",2,$F$1))))</f>
        <v/>
      </c>
      <c r="AQ550" s="1" t="str">
        <f>IF(OR($B550="",AQ$7=""),"",IF($B550="MEANS",INDEX('1-DATA'!$1:$1048576,$A549-1,COLUMN('1-DATA'!AP548)),ROUND(INDEX('1-DATA'!$1:$1048576,IF(OR($B550="STD. DEVIATION",$C$1=1),$A550,$A550+1),COLUMN('1-DATA'!AP548)),IF($B550="STD. DEVIATION",2,$F$1))))</f>
        <v/>
      </c>
      <c r="AR550" s="1" t="str">
        <f>IF(OR($B550="",AR$7=""),"",IF($B550="MEANS",INDEX('1-DATA'!$1:$1048576,$A549-1,COLUMN('1-DATA'!AQ548)),ROUND(INDEX('1-DATA'!$1:$1048576,IF(OR($B550="STD. DEVIATION",$C$1=1),$A550,$A550+1),COLUMN('1-DATA'!AQ548)),IF($B550="STD. DEVIATION",2,$F$1))))</f>
        <v/>
      </c>
      <c r="AS550" s="1" t="str">
        <f>IF(OR($B550="",AS$7=""),"",IF($B550="MEANS",INDEX('1-DATA'!$1:$1048576,$A549-1,COLUMN('1-DATA'!AR548)),ROUND(INDEX('1-DATA'!$1:$1048576,IF(OR($B550="STD. DEVIATION",$C$1=1),$A550,$A550+1),COLUMN('1-DATA'!AR548)),IF($B550="STD. DEVIATION",2,$F$1))))</f>
        <v/>
      </c>
      <c r="AT550" s="1" t="str">
        <f>IF(OR($B550="",AT$7=""),"",IF($B550="MEANS",INDEX('1-DATA'!$1:$1048576,$A549-1,COLUMN('1-DATA'!AS548)),ROUND(INDEX('1-DATA'!$1:$1048576,IF(OR($B550="STD. DEVIATION",$C$1=1),$A550,$A550+1),COLUMN('1-DATA'!AS548)),IF($B550="STD. DEVIATION",2,$F$1))))</f>
        <v/>
      </c>
      <c r="AU550" s="1" t="str">
        <f>IF(OR($B550="",AU$7=""),"",IF($B550="MEANS",INDEX('1-DATA'!$1:$1048576,$A549-1,COLUMN('1-DATA'!AT548)),ROUND(INDEX('1-DATA'!$1:$1048576,IF(OR($B550="STD. DEVIATION",$C$1=1),$A550,$A550+1),COLUMN('1-DATA'!AT548)),IF($B550="STD. DEVIATION",2,$F$1))))</f>
        <v/>
      </c>
      <c r="AV550" s="1" t="str">
        <f>IF(OR($B550="",AV$7=""),"",IF($B550="MEANS",INDEX('1-DATA'!$1:$1048576,$A549-1,COLUMN('1-DATA'!AU548)),ROUND(INDEX('1-DATA'!$1:$1048576,IF(OR($B550="STD. DEVIATION",$C$1=1),$A550,$A550+1),COLUMN('1-DATA'!AU548)),IF($B550="STD. DEVIATION",2,$F$1))))</f>
        <v/>
      </c>
      <c r="AW550" s="1" t="str">
        <f>IF(OR($B550="",AW$7=""),"",IF($B550="MEANS",INDEX('1-DATA'!$1:$1048576,$A549-1,COLUMN('1-DATA'!AV548)),ROUND(INDEX('1-DATA'!$1:$1048576,IF(OR($B550="STD. DEVIATION",$C$1=1),$A550,$A550+1),COLUMN('1-DATA'!AV548)),IF($B550="STD. DEVIATION",2,$F$1))))</f>
        <v/>
      </c>
      <c r="AX550" s="1" t="str">
        <f>IF(OR($B550="",AX$7=""),"",IF($B550="MEANS",INDEX('1-DATA'!$1:$1048576,$A549-1,COLUMN('1-DATA'!AW548)),ROUND(INDEX('1-DATA'!$1:$1048576,IF(OR($B550="STD. DEVIATION",$C$1=1),$A550,$A550+1),COLUMN('1-DATA'!AW548)),IF($B550="STD. DEVIATION",2,$F$1))))</f>
        <v/>
      </c>
      <c r="AY550" s="1" t="str">
        <f>IF(OR($B550="",AY$7=""),"",IF($B550="MEANS",INDEX('1-DATA'!$1:$1048576,$A549-1,COLUMN('1-DATA'!AX548)),ROUND(INDEX('1-DATA'!$1:$1048576,IF(OR($B550="STD. DEVIATION",$C$1=1),$A550,$A550+1),COLUMN('1-DATA'!AX548)),IF($B550="STD. DEVIATION",2,$F$1))))</f>
        <v/>
      </c>
      <c r="AZ550" s="1" t="str">
        <f>IF(OR($B550="",AZ$7=""),"",IF($B550="MEANS",INDEX('1-DATA'!$1:$1048576,$A549-1,COLUMN('1-DATA'!AY548)),ROUND(INDEX('1-DATA'!$1:$1048576,IF(OR($B550="STD. DEVIATION",$C$1=1),$A550,$A550+1),COLUMN('1-DATA'!AY548)),IF($B550="STD. DEVIATION",2,$F$1))))</f>
        <v/>
      </c>
    </row>
    <row r="551" spans="1:52" x14ac:dyDescent="0.25">
      <c r="A551" s="11">
        <f t="shared" si="9"/>
        <v>1639</v>
      </c>
      <c r="B551" s="1" t="str">
        <f>IF(B550="STD. DEVIATION",INDEX('1-DATA'!$1:$1048576,$A550-1,1),IF(INDEX('1-DATA'!$1:$1048576,$A551,1)&lt;&gt;"",INDEX('1-DATA'!$1:$1048576,$A551,1),""))</f>
        <v/>
      </c>
      <c r="C551" s="1" t="str">
        <f>IF(OR($B551="",C$7=""),"",IF($B551="MEANS",INDEX('1-DATA'!$1:$1048576,$A550-1,COLUMN('1-DATA'!B549)),ROUND(INDEX('1-DATA'!$1:$1048576,IF(OR($B551="STD. DEVIATION",$C$1=1),$A551,$A551+1),COLUMN('1-DATA'!B549)),IF($B551="STD. DEVIATION",2,$F$1))))</f>
        <v/>
      </c>
      <c r="D551" s="1" t="str">
        <f>IF(OR($B551="",D$7=""),"",IF($B551="MEANS",INDEX('1-DATA'!$1:$1048576,$A550-1,COLUMN('1-DATA'!C549)),ROUND(INDEX('1-DATA'!$1:$1048576,IF(OR($B551="STD. DEVIATION",$C$1=1),$A551,$A551+1),COLUMN('1-DATA'!C549)),IF($B551="STD. DEVIATION",2,$F$1))))</f>
        <v/>
      </c>
      <c r="E551" s="1" t="str">
        <f>IF(OR($B551="",E$7=""),"",IF($B551="MEANS",INDEX('1-DATA'!$1:$1048576,$A550-1,COLUMN('1-DATA'!D549)),ROUND(INDEX('1-DATA'!$1:$1048576,IF(OR($B551="STD. DEVIATION",$C$1=1),$A551,$A551+1),COLUMN('1-DATA'!D549)),IF($B551="STD. DEVIATION",2,$F$1))))</f>
        <v/>
      </c>
      <c r="F551" s="1" t="str">
        <f>IF(OR($B551="",F$7=""),"",IF($B551="MEANS",INDEX('1-DATA'!$1:$1048576,$A550-1,COLUMN('1-DATA'!E549)),ROUND(INDEX('1-DATA'!$1:$1048576,IF(OR($B551="STD. DEVIATION",$C$1=1),$A551,$A551+1),COLUMN('1-DATA'!E549)),IF($B551="STD. DEVIATION",2,$F$1))))</f>
        <v/>
      </c>
      <c r="G551" s="1" t="str">
        <f>IF(OR($B551="",G$7=""),"",IF($B551="MEANS",INDEX('1-DATA'!$1:$1048576,$A550-1,COLUMN('1-DATA'!F549)),ROUND(INDEX('1-DATA'!$1:$1048576,IF(OR($B551="STD. DEVIATION",$C$1=1),$A551,$A551+1),COLUMN('1-DATA'!F549)),IF($B551="STD. DEVIATION",2,$F$1))))</f>
        <v/>
      </c>
      <c r="H551" s="1" t="str">
        <f>IF(OR($B551="",H$7=""),"",IF($B551="MEANS",INDEX('1-DATA'!$1:$1048576,$A550-1,COLUMN('1-DATA'!G549)),ROUND(INDEX('1-DATA'!$1:$1048576,IF(OR($B551="STD. DEVIATION",$C$1=1),$A551,$A551+1),COLUMN('1-DATA'!G549)),IF($B551="STD. DEVIATION",2,$F$1))))</f>
        <v/>
      </c>
      <c r="I551" s="1" t="str">
        <f>IF(OR($B551="",I$7=""),"",IF($B551="MEANS",INDEX('1-DATA'!$1:$1048576,$A550-1,COLUMN('1-DATA'!H549)),ROUND(INDEX('1-DATA'!$1:$1048576,IF(OR($B551="STD. DEVIATION",$C$1=1),$A551,$A551+1),COLUMN('1-DATA'!H549)),IF($B551="STD. DEVIATION",2,$F$1))))</f>
        <v/>
      </c>
      <c r="J551" s="1" t="str">
        <f>IF(OR($B551="",J$7=""),"",IF($B551="MEANS",INDEX('1-DATA'!$1:$1048576,$A550-1,COLUMN('1-DATA'!I549)),ROUND(INDEX('1-DATA'!$1:$1048576,IF(OR($B551="STD. DEVIATION",$C$1=1),$A551,$A551+1),COLUMN('1-DATA'!I549)),IF($B551="STD. DEVIATION",2,$F$1))))</f>
        <v/>
      </c>
      <c r="K551" s="1" t="str">
        <f>IF(OR($B551="",K$7=""),"",IF($B551="MEANS",INDEX('1-DATA'!$1:$1048576,$A550-1,COLUMN('1-DATA'!J549)),ROUND(INDEX('1-DATA'!$1:$1048576,IF(OR($B551="STD. DEVIATION",$C$1=1),$A551,$A551+1),COLUMN('1-DATA'!J549)),IF($B551="STD. DEVIATION",2,$F$1))))</f>
        <v/>
      </c>
      <c r="L551" s="1" t="str">
        <f>IF(OR($B551="",L$7=""),"",IF($B551="MEANS",INDEX('1-DATA'!$1:$1048576,$A550-1,COLUMN('1-DATA'!K549)),ROUND(INDEX('1-DATA'!$1:$1048576,IF(OR($B551="STD. DEVIATION",$C$1=1),$A551,$A551+1),COLUMN('1-DATA'!K549)),IF($B551="STD. DEVIATION",2,$F$1))))</f>
        <v/>
      </c>
      <c r="M551" s="1" t="str">
        <f>IF(OR($B551="",M$7=""),"",IF($B551="MEANS",INDEX('1-DATA'!$1:$1048576,$A550-1,COLUMN('1-DATA'!L549)),ROUND(INDEX('1-DATA'!$1:$1048576,IF(OR($B551="STD. DEVIATION",$C$1=1),$A551,$A551+1),COLUMN('1-DATA'!L549)),IF($B551="STD. DEVIATION",2,$F$1))))</f>
        <v/>
      </c>
      <c r="N551" s="1" t="str">
        <f>IF(OR($B551="",N$7=""),"",IF($B551="MEANS",INDEX('1-DATA'!$1:$1048576,$A550-1,COLUMN('1-DATA'!M549)),ROUND(INDEX('1-DATA'!$1:$1048576,IF(OR($B551="STD. DEVIATION",$C$1=1),$A551,$A551+1),COLUMN('1-DATA'!M549)),IF($B551="STD. DEVIATION",2,$F$1))))</f>
        <v/>
      </c>
      <c r="O551" s="1" t="str">
        <f>IF(OR($B551="",O$7=""),"",IF($B551="MEANS",INDEX('1-DATA'!$1:$1048576,$A550-1,COLUMN('1-DATA'!N549)),ROUND(INDEX('1-DATA'!$1:$1048576,IF(OR($B551="STD. DEVIATION",$C$1=1),$A551,$A551+1),COLUMN('1-DATA'!N549)),IF($B551="STD. DEVIATION",2,$F$1))))</f>
        <v/>
      </c>
      <c r="P551" s="1" t="str">
        <f>IF(OR($B551="",P$7=""),"",IF($B551="MEANS",INDEX('1-DATA'!$1:$1048576,$A550-1,COLUMN('1-DATA'!O549)),ROUND(INDEX('1-DATA'!$1:$1048576,IF(OR($B551="STD. DEVIATION",$C$1=1),$A551,$A551+1),COLUMN('1-DATA'!O549)),IF($B551="STD. DEVIATION",2,$F$1))))</f>
        <v/>
      </c>
      <c r="Q551" s="1" t="str">
        <f>IF(OR($B551="",Q$7=""),"",IF($B551="MEANS",INDEX('1-DATA'!$1:$1048576,$A550-1,COLUMN('1-DATA'!P549)),ROUND(INDEX('1-DATA'!$1:$1048576,IF(OR($B551="STD. DEVIATION",$C$1=1),$A551,$A551+1),COLUMN('1-DATA'!P549)),IF($B551="STD. DEVIATION",2,$F$1))))</f>
        <v/>
      </c>
      <c r="R551" s="1" t="str">
        <f>IF(OR($B551="",R$7=""),"",IF($B551="MEANS",INDEX('1-DATA'!$1:$1048576,$A550-1,COLUMN('1-DATA'!Q549)),ROUND(INDEX('1-DATA'!$1:$1048576,IF(OR($B551="STD. DEVIATION",$C$1=1),$A551,$A551+1),COLUMN('1-DATA'!Q549)),IF($B551="STD. DEVIATION",2,$F$1))))</f>
        <v/>
      </c>
      <c r="S551" s="1" t="str">
        <f>IF(OR($B551="",S$7=""),"",IF($B551="MEANS",INDEX('1-DATA'!$1:$1048576,$A550-1,COLUMN('1-DATA'!R549)),ROUND(INDEX('1-DATA'!$1:$1048576,IF(OR($B551="STD. DEVIATION",$C$1=1),$A551,$A551+1),COLUMN('1-DATA'!R549)),IF($B551="STD. DEVIATION",2,$F$1))))</f>
        <v/>
      </c>
      <c r="T551" s="1" t="str">
        <f>IF(OR($B551="",T$7=""),"",IF($B551="MEANS",INDEX('1-DATA'!$1:$1048576,$A550-1,COLUMN('1-DATA'!S549)),ROUND(INDEX('1-DATA'!$1:$1048576,IF(OR($B551="STD. DEVIATION",$C$1=1),$A551,$A551+1),COLUMN('1-DATA'!S549)),IF($B551="STD. DEVIATION",2,$F$1))))</f>
        <v/>
      </c>
      <c r="U551" s="1" t="str">
        <f>IF(OR($B551="",U$7=""),"",IF($B551="MEANS",INDEX('1-DATA'!$1:$1048576,$A550-1,COLUMN('1-DATA'!T549)),ROUND(INDEX('1-DATA'!$1:$1048576,IF(OR($B551="STD. DEVIATION",$C$1=1),$A551,$A551+1),COLUMN('1-DATA'!T549)),IF($B551="STD. DEVIATION",2,$F$1))))</f>
        <v/>
      </c>
      <c r="V551" s="1" t="str">
        <f>IF(OR($B551="",V$7=""),"",IF($B551="MEANS",INDEX('1-DATA'!$1:$1048576,$A550-1,COLUMN('1-DATA'!U549)),ROUND(INDEX('1-DATA'!$1:$1048576,IF(OR($B551="STD. DEVIATION",$C$1=1),$A551,$A551+1),COLUMN('1-DATA'!U549)),IF($B551="STD. DEVIATION",2,$F$1))))</f>
        <v/>
      </c>
      <c r="W551" s="1" t="str">
        <f>IF(OR($B551="",W$7=""),"",IF($B551="MEANS",INDEX('1-DATA'!$1:$1048576,$A550-1,COLUMN('1-DATA'!V549)),ROUND(INDEX('1-DATA'!$1:$1048576,IF(OR($B551="STD. DEVIATION",$C$1=1),$A551,$A551+1),COLUMN('1-DATA'!V549)),IF($B551="STD. DEVIATION",2,$F$1))))</f>
        <v/>
      </c>
      <c r="X551" s="1" t="str">
        <f>IF(OR($B551="",X$7=""),"",IF($B551="MEANS",INDEX('1-DATA'!$1:$1048576,$A550-1,COLUMN('1-DATA'!W549)),ROUND(INDEX('1-DATA'!$1:$1048576,IF(OR($B551="STD. DEVIATION",$C$1=1),$A551,$A551+1),COLUMN('1-DATA'!W549)),IF($B551="STD. DEVIATION",2,$F$1))))</f>
        <v/>
      </c>
      <c r="Y551" s="1" t="str">
        <f>IF(OR($B551="",Y$7=""),"",IF($B551="MEANS",INDEX('1-DATA'!$1:$1048576,$A550-1,COLUMN('1-DATA'!X549)),ROUND(INDEX('1-DATA'!$1:$1048576,IF(OR($B551="STD. DEVIATION",$C$1=1),$A551,$A551+1),COLUMN('1-DATA'!X549)),IF($B551="STD. DEVIATION",2,$F$1))))</f>
        <v/>
      </c>
      <c r="Z551" s="1" t="str">
        <f>IF(OR($B551="",Z$7=""),"",IF($B551="MEANS",INDEX('1-DATA'!$1:$1048576,$A550-1,COLUMN('1-DATA'!Y549)),ROUND(INDEX('1-DATA'!$1:$1048576,IF(OR($B551="STD. DEVIATION",$C$1=1),$A551,$A551+1),COLUMN('1-DATA'!Y549)),IF($B551="STD. DEVIATION",2,$F$1))))</f>
        <v/>
      </c>
      <c r="AA551" s="1" t="str">
        <f>IF(OR($B551="",AA$7=""),"",IF($B551="MEANS",INDEX('1-DATA'!$1:$1048576,$A550-1,COLUMN('1-DATA'!Z549)),ROUND(INDEX('1-DATA'!$1:$1048576,IF(OR($B551="STD. DEVIATION",$C$1=1),$A551,$A551+1),COLUMN('1-DATA'!Z549)),IF($B551="STD. DEVIATION",2,$F$1))))</f>
        <v/>
      </c>
      <c r="AB551" s="1" t="str">
        <f>IF(OR($B551="",AB$7=""),"",IF($B551="MEANS",INDEX('1-DATA'!$1:$1048576,$A550-1,COLUMN('1-DATA'!AA549)),ROUND(INDEX('1-DATA'!$1:$1048576,IF(OR($B551="STD. DEVIATION",$C$1=1),$A551,$A551+1),COLUMN('1-DATA'!AA549)),IF($B551="STD. DEVIATION",2,$F$1))))</f>
        <v/>
      </c>
      <c r="AC551" s="1" t="str">
        <f>IF(OR($B551="",AC$7=""),"",IF($B551="MEANS",INDEX('1-DATA'!$1:$1048576,$A550-1,COLUMN('1-DATA'!AB549)),ROUND(INDEX('1-DATA'!$1:$1048576,IF(OR($B551="STD. DEVIATION",$C$1=1),$A551,$A551+1),COLUMN('1-DATA'!AB549)),IF($B551="STD. DEVIATION",2,$F$1))))</f>
        <v/>
      </c>
      <c r="AD551" s="1" t="str">
        <f>IF(OR($B551="",AD$7=""),"",IF($B551="MEANS",INDEX('1-DATA'!$1:$1048576,$A550-1,COLUMN('1-DATA'!AC549)),ROUND(INDEX('1-DATA'!$1:$1048576,IF(OR($B551="STD. DEVIATION",$C$1=1),$A551,$A551+1),COLUMN('1-DATA'!AC549)),IF($B551="STD. DEVIATION",2,$F$1))))</f>
        <v/>
      </c>
      <c r="AE551" s="1" t="str">
        <f>IF(OR($B551="",AE$7=""),"",IF($B551="MEANS",INDEX('1-DATA'!$1:$1048576,$A550-1,COLUMN('1-DATA'!AD549)),ROUND(INDEX('1-DATA'!$1:$1048576,IF(OR($B551="STD. DEVIATION",$C$1=1),$A551,$A551+1),COLUMN('1-DATA'!AD549)),IF($B551="STD. DEVIATION",2,$F$1))))</f>
        <v/>
      </c>
      <c r="AF551" s="1" t="str">
        <f>IF(OR($B551="",AF$7=""),"",IF($B551="MEANS",INDEX('1-DATA'!$1:$1048576,$A550-1,COLUMN('1-DATA'!AE549)),ROUND(INDEX('1-DATA'!$1:$1048576,IF(OR($B551="STD. DEVIATION",$C$1=1),$A551,$A551+1),COLUMN('1-DATA'!AE549)),IF($B551="STD. DEVIATION",2,$F$1))))</f>
        <v/>
      </c>
      <c r="AG551" s="1" t="str">
        <f>IF(OR($B551="",AG$7=""),"",IF($B551="MEANS",INDEX('1-DATA'!$1:$1048576,$A550-1,COLUMN('1-DATA'!AF549)),ROUND(INDEX('1-DATA'!$1:$1048576,IF(OR($B551="STD. DEVIATION",$C$1=1),$A551,$A551+1),COLUMN('1-DATA'!AF549)),IF($B551="STD. DEVIATION",2,$F$1))))</f>
        <v/>
      </c>
      <c r="AH551" s="1" t="str">
        <f>IF(OR($B551="",AH$7=""),"",IF($B551="MEANS",INDEX('1-DATA'!$1:$1048576,$A550-1,COLUMN('1-DATA'!AG549)),ROUND(INDEX('1-DATA'!$1:$1048576,IF(OR($B551="STD. DEVIATION",$C$1=1),$A551,$A551+1),COLUMN('1-DATA'!AG549)),IF($B551="STD. DEVIATION",2,$F$1))))</f>
        <v/>
      </c>
      <c r="AI551" s="1" t="str">
        <f>IF(OR($B551="",AI$7=""),"",IF($B551="MEANS",INDEX('1-DATA'!$1:$1048576,$A550-1,COLUMN('1-DATA'!AH549)),ROUND(INDEX('1-DATA'!$1:$1048576,IF(OR($B551="STD. DEVIATION",$C$1=1),$A551,$A551+1),COLUMN('1-DATA'!AH549)),IF($B551="STD. DEVIATION",2,$F$1))))</f>
        <v/>
      </c>
      <c r="AJ551" s="1" t="str">
        <f>IF(OR($B551="",AJ$7=""),"",IF($B551="MEANS",INDEX('1-DATA'!$1:$1048576,$A550-1,COLUMN('1-DATA'!AI549)),ROUND(INDEX('1-DATA'!$1:$1048576,IF(OR($B551="STD. DEVIATION",$C$1=1),$A551,$A551+1),COLUMN('1-DATA'!AI549)),IF($B551="STD. DEVIATION",2,$F$1))))</f>
        <v/>
      </c>
      <c r="AK551" s="1" t="str">
        <f>IF(OR($B551="",AK$7=""),"",IF($B551="MEANS",INDEX('1-DATA'!$1:$1048576,$A550-1,COLUMN('1-DATA'!AJ549)),ROUND(INDEX('1-DATA'!$1:$1048576,IF(OR($B551="STD. DEVIATION",$C$1=1),$A551,$A551+1),COLUMN('1-DATA'!AJ549)),IF($B551="STD. DEVIATION",2,$F$1))))</f>
        <v/>
      </c>
      <c r="AL551" s="1" t="str">
        <f>IF(OR($B551="",AL$7=""),"",IF($B551="MEANS",INDEX('1-DATA'!$1:$1048576,$A550-1,COLUMN('1-DATA'!AK549)),ROUND(INDEX('1-DATA'!$1:$1048576,IF(OR($B551="STD. DEVIATION",$C$1=1),$A551,$A551+1),COLUMN('1-DATA'!AK549)),IF($B551="STD. DEVIATION",2,$F$1))))</f>
        <v/>
      </c>
      <c r="AM551" s="1" t="str">
        <f>IF(OR($B551="",AM$7=""),"",IF($B551="MEANS",INDEX('1-DATA'!$1:$1048576,$A550-1,COLUMN('1-DATA'!AL549)),ROUND(INDEX('1-DATA'!$1:$1048576,IF(OR($B551="STD. DEVIATION",$C$1=1),$A551,$A551+1),COLUMN('1-DATA'!AL549)),IF($B551="STD. DEVIATION",2,$F$1))))</f>
        <v/>
      </c>
      <c r="AN551" s="1" t="str">
        <f>IF(OR($B551="",AN$7=""),"",IF($B551="MEANS",INDEX('1-DATA'!$1:$1048576,$A550-1,COLUMN('1-DATA'!AM549)),ROUND(INDEX('1-DATA'!$1:$1048576,IF(OR($B551="STD. DEVIATION",$C$1=1),$A551,$A551+1),COLUMN('1-DATA'!AM549)),IF($B551="STD. DEVIATION",2,$F$1))))</f>
        <v/>
      </c>
      <c r="AO551" s="1" t="str">
        <f>IF(OR($B551="",AO$7=""),"",IF($B551="MEANS",INDEX('1-DATA'!$1:$1048576,$A550-1,COLUMN('1-DATA'!AN549)),ROUND(INDEX('1-DATA'!$1:$1048576,IF(OR($B551="STD. DEVIATION",$C$1=1),$A551,$A551+1),COLUMN('1-DATA'!AN549)),IF($B551="STD. DEVIATION",2,$F$1))))</f>
        <v/>
      </c>
      <c r="AP551" s="1" t="str">
        <f>IF(OR($B551="",AP$7=""),"",IF($B551="MEANS",INDEX('1-DATA'!$1:$1048576,$A550-1,COLUMN('1-DATA'!AO549)),ROUND(INDEX('1-DATA'!$1:$1048576,IF(OR($B551="STD. DEVIATION",$C$1=1),$A551,$A551+1),COLUMN('1-DATA'!AO549)),IF($B551="STD. DEVIATION",2,$F$1))))</f>
        <v/>
      </c>
      <c r="AQ551" s="1" t="str">
        <f>IF(OR($B551="",AQ$7=""),"",IF($B551="MEANS",INDEX('1-DATA'!$1:$1048576,$A550-1,COLUMN('1-DATA'!AP549)),ROUND(INDEX('1-DATA'!$1:$1048576,IF(OR($B551="STD. DEVIATION",$C$1=1),$A551,$A551+1),COLUMN('1-DATA'!AP549)),IF($B551="STD. DEVIATION",2,$F$1))))</f>
        <v/>
      </c>
      <c r="AR551" s="1" t="str">
        <f>IF(OR($B551="",AR$7=""),"",IF($B551="MEANS",INDEX('1-DATA'!$1:$1048576,$A550-1,COLUMN('1-DATA'!AQ549)),ROUND(INDEX('1-DATA'!$1:$1048576,IF(OR($B551="STD. DEVIATION",$C$1=1),$A551,$A551+1),COLUMN('1-DATA'!AQ549)),IF($B551="STD. DEVIATION",2,$F$1))))</f>
        <v/>
      </c>
      <c r="AS551" s="1" t="str">
        <f>IF(OR($B551="",AS$7=""),"",IF($B551="MEANS",INDEX('1-DATA'!$1:$1048576,$A550-1,COLUMN('1-DATA'!AR549)),ROUND(INDEX('1-DATA'!$1:$1048576,IF(OR($B551="STD. DEVIATION",$C$1=1),$A551,$A551+1),COLUMN('1-DATA'!AR549)),IF($B551="STD. DEVIATION",2,$F$1))))</f>
        <v/>
      </c>
      <c r="AT551" s="1" t="str">
        <f>IF(OR($B551="",AT$7=""),"",IF($B551="MEANS",INDEX('1-DATA'!$1:$1048576,$A550-1,COLUMN('1-DATA'!AS549)),ROUND(INDEX('1-DATA'!$1:$1048576,IF(OR($B551="STD. DEVIATION",$C$1=1),$A551,$A551+1),COLUMN('1-DATA'!AS549)),IF($B551="STD. DEVIATION",2,$F$1))))</f>
        <v/>
      </c>
      <c r="AU551" s="1" t="str">
        <f>IF(OR($B551="",AU$7=""),"",IF($B551="MEANS",INDEX('1-DATA'!$1:$1048576,$A550-1,COLUMN('1-DATA'!AT549)),ROUND(INDEX('1-DATA'!$1:$1048576,IF(OR($B551="STD. DEVIATION",$C$1=1),$A551,$A551+1),COLUMN('1-DATA'!AT549)),IF($B551="STD. DEVIATION",2,$F$1))))</f>
        <v/>
      </c>
      <c r="AV551" s="1" t="str">
        <f>IF(OR($B551="",AV$7=""),"",IF($B551="MEANS",INDEX('1-DATA'!$1:$1048576,$A550-1,COLUMN('1-DATA'!AU549)),ROUND(INDEX('1-DATA'!$1:$1048576,IF(OR($B551="STD. DEVIATION",$C$1=1),$A551,$A551+1),COLUMN('1-DATA'!AU549)),IF($B551="STD. DEVIATION",2,$F$1))))</f>
        <v/>
      </c>
      <c r="AW551" s="1" t="str">
        <f>IF(OR($B551="",AW$7=""),"",IF($B551="MEANS",INDEX('1-DATA'!$1:$1048576,$A550-1,COLUMN('1-DATA'!AV549)),ROUND(INDEX('1-DATA'!$1:$1048576,IF(OR($B551="STD. DEVIATION",$C$1=1),$A551,$A551+1),COLUMN('1-DATA'!AV549)),IF($B551="STD. DEVIATION",2,$F$1))))</f>
        <v/>
      </c>
      <c r="AX551" s="1" t="str">
        <f>IF(OR($B551="",AX$7=""),"",IF($B551="MEANS",INDEX('1-DATA'!$1:$1048576,$A550-1,COLUMN('1-DATA'!AW549)),ROUND(INDEX('1-DATA'!$1:$1048576,IF(OR($B551="STD. DEVIATION",$C$1=1),$A551,$A551+1),COLUMN('1-DATA'!AW549)),IF($B551="STD. DEVIATION",2,$F$1))))</f>
        <v/>
      </c>
      <c r="AY551" s="1" t="str">
        <f>IF(OR($B551="",AY$7=""),"",IF($B551="MEANS",INDEX('1-DATA'!$1:$1048576,$A550-1,COLUMN('1-DATA'!AX549)),ROUND(INDEX('1-DATA'!$1:$1048576,IF(OR($B551="STD. DEVIATION",$C$1=1),$A551,$A551+1),COLUMN('1-DATA'!AX549)),IF($B551="STD. DEVIATION",2,$F$1))))</f>
        <v/>
      </c>
      <c r="AZ551" s="1" t="str">
        <f>IF(OR($B551="",AZ$7=""),"",IF($B551="MEANS",INDEX('1-DATA'!$1:$1048576,$A550-1,COLUMN('1-DATA'!AY549)),ROUND(INDEX('1-DATA'!$1:$1048576,IF(OR($B551="STD. DEVIATION",$C$1=1),$A551,$A551+1),COLUMN('1-DATA'!AY549)),IF($B551="STD. DEVIATION",2,$F$1))))</f>
        <v/>
      </c>
    </row>
    <row r="552" spans="1:52" x14ac:dyDescent="0.25">
      <c r="A552" s="11">
        <f t="shared" si="9"/>
        <v>1642</v>
      </c>
      <c r="B552" s="1" t="str">
        <f>IF(B551="STD. DEVIATION",INDEX('1-DATA'!$1:$1048576,$A551-1,1),IF(INDEX('1-DATA'!$1:$1048576,$A552,1)&lt;&gt;"",INDEX('1-DATA'!$1:$1048576,$A552,1),""))</f>
        <v/>
      </c>
      <c r="C552" s="1" t="str">
        <f>IF(OR($B552="",C$7=""),"",IF($B552="MEANS",INDEX('1-DATA'!$1:$1048576,$A551-1,COLUMN('1-DATA'!B550)),ROUND(INDEX('1-DATA'!$1:$1048576,IF(OR($B552="STD. DEVIATION",$C$1=1),$A552,$A552+1),COLUMN('1-DATA'!B550)),IF($B552="STD. DEVIATION",2,$F$1))))</f>
        <v/>
      </c>
      <c r="D552" s="1" t="str">
        <f>IF(OR($B552="",D$7=""),"",IF($B552="MEANS",INDEX('1-DATA'!$1:$1048576,$A551-1,COLUMN('1-DATA'!C550)),ROUND(INDEX('1-DATA'!$1:$1048576,IF(OR($B552="STD. DEVIATION",$C$1=1),$A552,$A552+1),COLUMN('1-DATA'!C550)),IF($B552="STD. DEVIATION",2,$F$1))))</f>
        <v/>
      </c>
      <c r="E552" s="1" t="str">
        <f>IF(OR($B552="",E$7=""),"",IF($B552="MEANS",INDEX('1-DATA'!$1:$1048576,$A551-1,COLUMN('1-DATA'!D550)),ROUND(INDEX('1-DATA'!$1:$1048576,IF(OR($B552="STD. DEVIATION",$C$1=1),$A552,$A552+1),COLUMN('1-DATA'!D550)),IF($B552="STD. DEVIATION",2,$F$1))))</f>
        <v/>
      </c>
      <c r="F552" s="1" t="str">
        <f>IF(OR($B552="",F$7=""),"",IF($B552="MEANS",INDEX('1-DATA'!$1:$1048576,$A551-1,COLUMN('1-DATA'!E550)),ROUND(INDEX('1-DATA'!$1:$1048576,IF(OR($B552="STD. DEVIATION",$C$1=1),$A552,$A552+1),COLUMN('1-DATA'!E550)),IF($B552="STD. DEVIATION",2,$F$1))))</f>
        <v/>
      </c>
      <c r="G552" s="1" t="str">
        <f>IF(OR($B552="",G$7=""),"",IF($B552="MEANS",INDEX('1-DATA'!$1:$1048576,$A551-1,COLUMN('1-DATA'!F550)),ROUND(INDEX('1-DATA'!$1:$1048576,IF(OR($B552="STD. DEVIATION",$C$1=1),$A552,$A552+1),COLUMN('1-DATA'!F550)),IF($B552="STD. DEVIATION",2,$F$1))))</f>
        <v/>
      </c>
      <c r="H552" s="1" t="str">
        <f>IF(OR($B552="",H$7=""),"",IF($B552="MEANS",INDEX('1-DATA'!$1:$1048576,$A551-1,COLUMN('1-DATA'!G550)),ROUND(INDEX('1-DATA'!$1:$1048576,IF(OR($B552="STD. DEVIATION",$C$1=1),$A552,$A552+1),COLUMN('1-DATA'!G550)),IF($B552="STD. DEVIATION",2,$F$1))))</f>
        <v/>
      </c>
      <c r="I552" s="1" t="str">
        <f>IF(OR($B552="",I$7=""),"",IF($B552="MEANS",INDEX('1-DATA'!$1:$1048576,$A551-1,COLUMN('1-DATA'!H550)),ROUND(INDEX('1-DATA'!$1:$1048576,IF(OR($B552="STD. DEVIATION",$C$1=1),$A552,$A552+1),COLUMN('1-DATA'!H550)),IF($B552="STD. DEVIATION",2,$F$1))))</f>
        <v/>
      </c>
      <c r="J552" s="1" t="str">
        <f>IF(OR($B552="",J$7=""),"",IF($B552="MEANS",INDEX('1-DATA'!$1:$1048576,$A551-1,COLUMN('1-DATA'!I550)),ROUND(INDEX('1-DATA'!$1:$1048576,IF(OR($B552="STD. DEVIATION",$C$1=1),$A552,$A552+1),COLUMN('1-DATA'!I550)),IF($B552="STD. DEVIATION",2,$F$1))))</f>
        <v/>
      </c>
      <c r="K552" s="1" t="str">
        <f>IF(OR($B552="",K$7=""),"",IF($B552="MEANS",INDEX('1-DATA'!$1:$1048576,$A551-1,COLUMN('1-DATA'!J550)),ROUND(INDEX('1-DATA'!$1:$1048576,IF(OR($B552="STD. DEVIATION",$C$1=1),$A552,$A552+1),COLUMN('1-DATA'!J550)),IF($B552="STD. DEVIATION",2,$F$1))))</f>
        <v/>
      </c>
      <c r="L552" s="1" t="str">
        <f>IF(OR($B552="",L$7=""),"",IF($B552="MEANS",INDEX('1-DATA'!$1:$1048576,$A551-1,COLUMN('1-DATA'!K550)),ROUND(INDEX('1-DATA'!$1:$1048576,IF(OR($B552="STD. DEVIATION",$C$1=1),$A552,$A552+1),COLUMN('1-DATA'!K550)),IF($B552="STD. DEVIATION",2,$F$1))))</f>
        <v/>
      </c>
      <c r="M552" s="1" t="str">
        <f>IF(OR($B552="",M$7=""),"",IF($B552="MEANS",INDEX('1-DATA'!$1:$1048576,$A551-1,COLUMN('1-DATA'!L550)),ROUND(INDEX('1-DATA'!$1:$1048576,IF(OR($B552="STD. DEVIATION",$C$1=1),$A552,$A552+1),COLUMN('1-DATA'!L550)),IF($B552="STD. DEVIATION",2,$F$1))))</f>
        <v/>
      </c>
      <c r="N552" s="1" t="str">
        <f>IF(OR($B552="",N$7=""),"",IF($B552="MEANS",INDEX('1-DATA'!$1:$1048576,$A551-1,COLUMN('1-DATA'!M550)),ROUND(INDEX('1-DATA'!$1:$1048576,IF(OR($B552="STD. DEVIATION",$C$1=1),$A552,$A552+1),COLUMN('1-DATA'!M550)),IF($B552="STD. DEVIATION",2,$F$1))))</f>
        <v/>
      </c>
      <c r="O552" s="1" t="str">
        <f>IF(OR($B552="",O$7=""),"",IF($B552="MEANS",INDEX('1-DATA'!$1:$1048576,$A551-1,COLUMN('1-DATA'!N550)),ROUND(INDEX('1-DATA'!$1:$1048576,IF(OR($B552="STD. DEVIATION",$C$1=1),$A552,$A552+1),COLUMN('1-DATA'!N550)),IF($B552="STD. DEVIATION",2,$F$1))))</f>
        <v/>
      </c>
      <c r="P552" s="1" t="str">
        <f>IF(OR($B552="",P$7=""),"",IF($B552="MEANS",INDEX('1-DATA'!$1:$1048576,$A551-1,COLUMN('1-DATA'!O550)),ROUND(INDEX('1-DATA'!$1:$1048576,IF(OR($B552="STD. DEVIATION",$C$1=1),$A552,$A552+1),COLUMN('1-DATA'!O550)),IF($B552="STD. DEVIATION",2,$F$1))))</f>
        <v/>
      </c>
      <c r="Q552" s="1" t="str">
        <f>IF(OR($B552="",Q$7=""),"",IF($B552="MEANS",INDEX('1-DATA'!$1:$1048576,$A551-1,COLUMN('1-DATA'!P550)),ROUND(INDEX('1-DATA'!$1:$1048576,IF(OR($B552="STD. DEVIATION",$C$1=1),$A552,$A552+1),COLUMN('1-DATA'!P550)),IF($B552="STD. DEVIATION",2,$F$1))))</f>
        <v/>
      </c>
      <c r="R552" s="1" t="str">
        <f>IF(OR($B552="",R$7=""),"",IF($B552="MEANS",INDEX('1-DATA'!$1:$1048576,$A551-1,COLUMN('1-DATA'!Q550)),ROUND(INDEX('1-DATA'!$1:$1048576,IF(OR($B552="STD. DEVIATION",$C$1=1),$A552,$A552+1),COLUMN('1-DATA'!Q550)),IF($B552="STD. DEVIATION",2,$F$1))))</f>
        <v/>
      </c>
      <c r="S552" s="1" t="str">
        <f>IF(OR($B552="",S$7=""),"",IF($B552="MEANS",INDEX('1-DATA'!$1:$1048576,$A551-1,COLUMN('1-DATA'!R550)),ROUND(INDEX('1-DATA'!$1:$1048576,IF(OR($B552="STD. DEVIATION",$C$1=1),$A552,$A552+1),COLUMN('1-DATA'!R550)),IF($B552="STD. DEVIATION",2,$F$1))))</f>
        <v/>
      </c>
      <c r="T552" s="1" t="str">
        <f>IF(OR($B552="",T$7=""),"",IF($B552="MEANS",INDEX('1-DATA'!$1:$1048576,$A551-1,COLUMN('1-DATA'!S550)),ROUND(INDEX('1-DATA'!$1:$1048576,IF(OR($B552="STD. DEVIATION",$C$1=1),$A552,$A552+1),COLUMN('1-DATA'!S550)),IF($B552="STD. DEVIATION",2,$F$1))))</f>
        <v/>
      </c>
      <c r="U552" s="1" t="str">
        <f>IF(OR($B552="",U$7=""),"",IF($B552="MEANS",INDEX('1-DATA'!$1:$1048576,$A551-1,COLUMN('1-DATA'!T550)),ROUND(INDEX('1-DATA'!$1:$1048576,IF(OR($B552="STD. DEVIATION",$C$1=1),$A552,$A552+1),COLUMN('1-DATA'!T550)),IF($B552="STD. DEVIATION",2,$F$1))))</f>
        <v/>
      </c>
      <c r="V552" s="1" t="str">
        <f>IF(OR($B552="",V$7=""),"",IF($B552="MEANS",INDEX('1-DATA'!$1:$1048576,$A551-1,COLUMN('1-DATA'!U550)),ROUND(INDEX('1-DATA'!$1:$1048576,IF(OR($B552="STD. DEVIATION",$C$1=1),$A552,$A552+1),COLUMN('1-DATA'!U550)),IF($B552="STD. DEVIATION",2,$F$1))))</f>
        <v/>
      </c>
      <c r="W552" s="1" t="str">
        <f>IF(OR($B552="",W$7=""),"",IF($B552="MEANS",INDEX('1-DATA'!$1:$1048576,$A551-1,COLUMN('1-DATA'!V550)),ROUND(INDEX('1-DATA'!$1:$1048576,IF(OR($B552="STD. DEVIATION",$C$1=1),$A552,$A552+1),COLUMN('1-DATA'!V550)),IF($B552="STD. DEVIATION",2,$F$1))))</f>
        <v/>
      </c>
      <c r="X552" s="1" t="str">
        <f>IF(OR($B552="",X$7=""),"",IF($B552="MEANS",INDEX('1-DATA'!$1:$1048576,$A551-1,COLUMN('1-DATA'!W550)),ROUND(INDEX('1-DATA'!$1:$1048576,IF(OR($B552="STD. DEVIATION",$C$1=1),$A552,$A552+1),COLUMN('1-DATA'!W550)),IF($B552="STD. DEVIATION",2,$F$1))))</f>
        <v/>
      </c>
      <c r="Y552" s="1" t="str">
        <f>IF(OR($B552="",Y$7=""),"",IF($B552="MEANS",INDEX('1-DATA'!$1:$1048576,$A551-1,COLUMN('1-DATA'!X550)),ROUND(INDEX('1-DATA'!$1:$1048576,IF(OR($B552="STD. DEVIATION",$C$1=1),$A552,$A552+1),COLUMN('1-DATA'!X550)),IF($B552="STD. DEVIATION",2,$F$1))))</f>
        <v/>
      </c>
      <c r="Z552" s="1" t="str">
        <f>IF(OR($B552="",Z$7=""),"",IF($B552="MEANS",INDEX('1-DATA'!$1:$1048576,$A551-1,COLUMN('1-DATA'!Y550)),ROUND(INDEX('1-DATA'!$1:$1048576,IF(OR($B552="STD. DEVIATION",$C$1=1),$A552,$A552+1),COLUMN('1-DATA'!Y550)),IF($B552="STD. DEVIATION",2,$F$1))))</f>
        <v/>
      </c>
      <c r="AA552" s="1" t="str">
        <f>IF(OR($B552="",AA$7=""),"",IF($B552="MEANS",INDEX('1-DATA'!$1:$1048576,$A551-1,COLUMN('1-DATA'!Z550)),ROUND(INDEX('1-DATA'!$1:$1048576,IF(OR($B552="STD. DEVIATION",$C$1=1),$A552,$A552+1),COLUMN('1-DATA'!Z550)),IF($B552="STD. DEVIATION",2,$F$1))))</f>
        <v/>
      </c>
      <c r="AB552" s="1" t="str">
        <f>IF(OR($B552="",AB$7=""),"",IF($B552="MEANS",INDEX('1-DATA'!$1:$1048576,$A551-1,COLUMN('1-DATA'!AA550)),ROUND(INDEX('1-DATA'!$1:$1048576,IF(OR($B552="STD. DEVIATION",$C$1=1),$A552,$A552+1),COLUMN('1-DATA'!AA550)),IF($B552="STD. DEVIATION",2,$F$1))))</f>
        <v/>
      </c>
      <c r="AC552" s="1" t="str">
        <f>IF(OR($B552="",AC$7=""),"",IF($B552="MEANS",INDEX('1-DATA'!$1:$1048576,$A551-1,COLUMN('1-DATA'!AB550)),ROUND(INDEX('1-DATA'!$1:$1048576,IF(OR($B552="STD. DEVIATION",$C$1=1),$A552,$A552+1),COLUMN('1-DATA'!AB550)),IF($B552="STD. DEVIATION",2,$F$1))))</f>
        <v/>
      </c>
      <c r="AD552" s="1" t="str">
        <f>IF(OR($B552="",AD$7=""),"",IF($B552="MEANS",INDEX('1-DATA'!$1:$1048576,$A551-1,COLUMN('1-DATA'!AC550)),ROUND(INDEX('1-DATA'!$1:$1048576,IF(OR($B552="STD. DEVIATION",$C$1=1),$A552,$A552+1),COLUMN('1-DATA'!AC550)),IF($B552="STD. DEVIATION",2,$F$1))))</f>
        <v/>
      </c>
      <c r="AE552" s="1" t="str">
        <f>IF(OR($B552="",AE$7=""),"",IF($B552="MEANS",INDEX('1-DATA'!$1:$1048576,$A551-1,COLUMN('1-DATA'!AD550)),ROUND(INDEX('1-DATA'!$1:$1048576,IF(OR($B552="STD. DEVIATION",$C$1=1),$A552,$A552+1),COLUMN('1-DATA'!AD550)),IF($B552="STD. DEVIATION",2,$F$1))))</f>
        <v/>
      </c>
      <c r="AF552" s="1" t="str">
        <f>IF(OR($B552="",AF$7=""),"",IF($B552="MEANS",INDEX('1-DATA'!$1:$1048576,$A551-1,COLUMN('1-DATA'!AE550)),ROUND(INDEX('1-DATA'!$1:$1048576,IF(OR($B552="STD. DEVIATION",$C$1=1),$A552,$A552+1),COLUMN('1-DATA'!AE550)),IF($B552="STD. DEVIATION",2,$F$1))))</f>
        <v/>
      </c>
      <c r="AG552" s="1" t="str">
        <f>IF(OR($B552="",AG$7=""),"",IF($B552="MEANS",INDEX('1-DATA'!$1:$1048576,$A551-1,COLUMN('1-DATA'!AF550)),ROUND(INDEX('1-DATA'!$1:$1048576,IF(OR($B552="STD. DEVIATION",$C$1=1),$A552,$A552+1),COLUMN('1-DATA'!AF550)),IF($B552="STD. DEVIATION",2,$F$1))))</f>
        <v/>
      </c>
      <c r="AH552" s="1" t="str">
        <f>IF(OR($B552="",AH$7=""),"",IF($B552="MEANS",INDEX('1-DATA'!$1:$1048576,$A551-1,COLUMN('1-DATA'!AG550)),ROUND(INDEX('1-DATA'!$1:$1048576,IF(OR($B552="STD. DEVIATION",$C$1=1),$A552,$A552+1),COLUMN('1-DATA'!AG550)),IF($B552="STD. DEVIATION",2,$F$1))))</f>
        <v/>
      </c>
      <c r="AI552" s="1" t="str">
        <f>IF(OR($B552="",AI$7=""),"",IF($B552="MEANS",INDEX('1-DATA'!$1:$1048576,$A551-1,COLUMN('1-DATA'!AH550)),ROUND(INDEX('1-DATA'!$1:$1048576,IF(OR($B552="STD. DEVIATION",$C$1=1),$A552,$A552+1),COLUMN('1-DATA'!AH550)),IF($B552="STD. DEVIATION",2,$F$1))))</f>
        <v/>
      </c>
      <c r="AJ552" s="1" t="str">
        <f>IF(OR($B552="",AJ$7=""),"",IF($B552="MEANS",INDEX('1-DATA'!$1:$1048576,$A551-1,COLUMN('1-DATA'!AI550)),ROUND(INDEX('1-DATA'!$1:$1048576,IF(OR($B552="STD. DEVIATION",$C$1=1),$A552,$A552+1),COLUMN('1-DATA'!AI550)),IF($B552="STD. DEVIATION",2,$F$1))))</f>
        <v/>
      </c>
      <c r="AK552" s="1" t="str">
        <f>IF(OR($B552="",AK$7=""),"",IF($B552="MEANS",INDEX('1-DATA'!$1:$1048576,$A551-1,COLUMN('1-DATA'!AJ550)),ROUND(INDEX('1-DATA'!$1:$1048576,IF(OR($B552="STD. DEVIATION",$C$1=1),$A552,$A552+1),COLUMN('1-DATA'!AJ550)),IF($B552="STD. DEVIATION",2,$F$1))))</f>
        <v/>
      </c>
      <c r="AL552" s="1" t="str">
        <f>IF(OR($B552="",AL$7=""),"",IF($B552="MEANS",INDEX('1-DATA'!$1:$1048576,$A551-1,COLUMN('1-DATA'!AK550)),ROUND(INDEX('1-DATA'!$1:$1048576,IF(OR($B552="STD. DEVIATION",$C$1=1),$A552,$A552+1),COLUMN('1-DATA'!AK550)),IF($B552="STD. DEVIATION",2,$F$1))))</f>
        <v/>
      </c>
      <c r="AM552" s="1" t="str">
        <f>IF(OR($B552="",AM$7=""),"",IF($B552="MEANS",INDEX('1-DATA'!$1:$1048576,$A551-1,COLUMN('1-DATA'!AL550)),ROUND(INDEX('1-DATA'!$1:$1048576,IF(OR($B552="STD. DEVIATION",$C$1=1),$A552,$A552+1),COLUMN('1-DATA'!AL550)),IF($B552="STD. DEVIATION",2,$F$1))))</f>
        <v/>
      </c>
      <c r="AN552" s="1" t="str">
        <f>IF(OR($B552="",AN$7=""),"",IF($B552="MEANS",INDEX('1-DATA'!$1:$1048576,$A551-1,COLUMN('1-DATA'!AM550)),ROUND(INDEX('1-DATA'!$1:$1048576,IF(OR($B552="STD. DEVIATION",$C$1=1),$A552,$A552+1),COLUMN('1-DATA'!AM550)),IF($B552="STD. DEVIATION",2,$F$1))))</f>
        <v/>
      </c>
      <c r="AO552" s="1" t="str">
        <f>IF(OR($B552="",AO$7=""),"",IF($B552="MEANS",INDEX('1-DATA'!$1:$1048576,$A551-1,COLUMN('1-DATA'!AN550)),ROUND(INDEX('1-DATA'!$1:$1048576,IF(OR($B552="STD. DEVIATION",$C$1=1),$A552,$A552+1),COLUMN('1-DATA'!AN550)),IF($B552="STD. DEVIATION",2,$F$1))))</f>
        <v/>
      </c>
      <c r="AP552" s="1" t="str">
        <f>IF(OR($B552="",AP$7=""),"",IF($B552="MEANS",INDEX('1-DATA'!$1:$1048576,$A551-1,COLUMN('1-DATA'!AO550)),ROUND(INDEX('1-DATA'!$1:$1048576,IF(OR($B552="STD. DEVIATION",$C$1=1),$A552,$A552+1),COLUMN('1-DATA'!AO550)),IF($B552="STD. DEVIATION",2,$F$1))))</f>
        <v/>
      </c>
      <c r="AQ552" s="1" t="str">
        <f>IF(OR($B552="",AQ$7=""),"",IF($B552="MEANS",INDEX('1-DATA'!$1:$1048576,$A551-1,COLUMN('1-DATA'!AP550)),ROUND(INDEX('1-DATA'!$1:$1048576,IF(OR($B552="STD. DEVIATION",$C$1=1),$A552,$A552+1),COLUMN('1-DATA'!AP550)),IF($B552="STD. DEVIATION",2,$F$1))))</f>
        <v/>
      </c>
      <c r="AR552" s="1" t="str">
        <f>IF(OR($B552="",AR$7=""),"",IF($B552="MEANS",INDEX('1-DATA'!$1:$1048576,$A551-1,COLUMN('1-DATA'!AQ550)),ROUND(INDEX('1-DATA'!$1:$1048576,IF(OR($B552="STD. DEVIATION",$C$1=1),$A552,$A552+1),COLUMN('1-DATA'!AQ550)),IF($B552="STD. DEVIATION",2,$F$1))))</f>
        <v/>
      </c>
      <c r="AS552" s="1" t="str">
        <f>IF(OR($B552="",AS$7=""),"",IF($B552="MEANS",INDEX('1-DATA'!$1:$1048576,$A551-1,COLUMN('1-DATA'!AR550)),ROUND(INDEX('1-DATA'!$1:$1048576,IF(OR($B552="STD. DEVIATION",$C$1=1),$A552,$A552+1),COLUMN('1-DATA'!AR550)),IF($B552="STD. DEVIATION",2,$F$1))))</f>
        <v/>
      </c>
      <c r="AT552" s="1" t="str">
        <f>IF(OR($B552="",AT$7=""),"",IF($B552="MEANS",INDEX('1-DATA'!$1:$1048576,$A551-1,COLUMN('1-DATA'!AS550)),ROUND(INDEX('1-DATA'!$1:$1048576,IF(OR($B552="STD. DEVIATION",$C$1=1),$A552,$A552+1),COLUMN('1-DATA'!AS550)),IF($B552="STD. DEVIATION",2,$F$1))))</f>
        <v/>
      </c>
      <c r="AU552" s="1" t="str">
        <f>IF(OR($B552="",AU$7=""),"",IF($B552="MEANS",INDEX('1-DATA'!$1:$1048576,$A551-1,COLUMN('1-DATA'!AT550)),ROUND(INDEX('1-DATA'!$1:$1048576,IF(OR($B552="STD. DEVIATION",$C$1=1),$A552,$A552+1),COLUMN('1-DATA'!AT550)),IF($B552="STD. DEVIATION",2,$F$1))))</f>
        <v/>
      </c>
      <c r="AV552" s="1" t="str">
        <f>IF(OR($B552="",AV$7=""),"",IF($B552="MEANS",INDEX('1-DATA'!$1:$1048576,$A551-1,COLUMN('1-DATA'!AU550)),ROUND(INDEX('1-DATA'!$1:$1048576,IF(OR($B552="STD. DEVIATION",$C$1=1),$A552,$A552+1),COLUMN('1-DATA'!AU550)),IF($B552="STD. DEVIATION",2,$F$1))))</f>
        <v/>
      </c>
      <c r="AW552" s="1" t="str">
        <f>IF(OR($B552="",AW$7=""),"",IF($B552="MEANS",INDEX('1-DATA'!$1:$1048576,$A551-1,COLUMN('1-DATA'!AV550)),ROUND(INDEX('1-DATA'!$1:$1048576,IF(OR($B552="STD. DEVIATION",$C$1=1),$A552,$A552+1),COLUMN('1-DATA'!AV550)),IF($B552="STD. DEVIATION",2,$F$1))))</f>
        <v/>
      </c>
      <c r="AX552" s="1" t="str">
        <f>IF(OR($B552="",AX$7=""),"",IF($B552="MEANS",INDEX('1-DATA'!$1:$1048576,$A551-1,COLUMN('1-DATA'!AW550)),ROUND(INDEX('1-DATA'!$1:$1048576,IF(OR($B552="STD. DEVIATION",$C$1=1),$A552,$A552+1),COLUMN('1-DATA'!AW550)),IF($B552="STD. DEVIATION",2,$F$1))))</f>
        <v/>
      </c>
      <c r="AY552" s="1" t="str">
        <f>IF(OR($B552="",AY$7=""),"",IF($B552="MEANS",INDEX('1-DATA'!$1:$1048576,$A551-1,COLUMN('1-DATA'!AX550)),ROUND(INDEX('1-DATA'!$1:$1048576,IF(OR($B552="STD. DEVIATION",$C$1=1),$A552,$A552+1),COLUMN('1-DATA'!AX550)),IF($B552="STD. DEVIATION",2,$F$1))))</f>
        <v/>
      </c>
      <c r="AZ552" s="1" t="str">
        <f>IF(OR($B552="",AZ$7=""),"",IF($B552="MEANS",INDEX('1-DATA'!$1:$1048576,$A551-1,COLUMN('1-DATA'!AY550)),ROUND(INDEX('1-DATA'!$1:$1048576,IF(OR($B552="STD. DEVIATION",$C$1=1),$A552,$A552+1),COLUMN('1-DATA'!AY550)),IF($B552="STD. DEVIATION",2,$F$1))))</f>
        <v/>
      </c>
    </row>
    <row r="553" spans="1:52" x14ac:dyDescent="0.25">
      <c r="A553" s="11">
        <f t="shared" si="9"/>
        <v>1645</v>
      </c>
      <c r="B553" s="1" t="str">
        <f>IF(B552="STD. DEVIATION",INDEX('1-DATA'!$1:$1048576,$A552-1,1),IF(INDEX('1-DATA'!$1:$1048576,$A553,1)&lt;&gt;"",INDEX('1-DATA'!$1:$1048576,$A553,1),""))</f>
        <v/>
      </c>
      <c r="C553" s="1" t="str">
        <f>IF(OR($B553="",C$7=""),"",IF($B553="MEANS",INDEX('1-DATA'!$1:$1048576,$A552-1,COLUMN('1-DATA'!B551)),ROUND(INDEX('1-DATA'!$1:$1048576,IF(OR($B553="STD. DEVIATION",$C$1=1),$A553,$A553+1),COLUMN('1-DATA'!B551)),IF($B553="STD. DEVIATION",2,$F$1))))</f>
        <v/>
      </c>
      <c r="D553" s="1" t="str">
        <f>IF(OR($B553="",D$7=""),"",IF($B553="MEANS",INDEX('1-DATA'!$1:$1048576,$A552-1,COLUMN('1-DATA'!C551)),ROUND(INDEX('1-DATA'!$1:$1048576,IF(OR($B553="STD. DEVIATION",$C$1=1),$A553,$A553+1),COLUMN('1-DATA'!C551)),IF($B553="STD. DEVIATION",2,$F$1))))</f>
        <v/>
      </c>
      <c r="E553" s="1" t="str">
        <f>IF(OR($B553="",E$7=""),"",IF($B553="MEANS",INDEX('1-DATA'!$1:$1048576,$A552-1,COLUMN('1-DATA'!D551)),ROUND(INDEX('1-DATA'!$1:$1048576,IF(OR($B553="STD. DEVIATION",$C$1=1),$A553,$A553+1),COLUMN('1-DATA'!D551)),IF($B553="STD. DEVIATION",2,$F$1))))</f>
        <v/>
      </c>
      <c r="F553" s="1" t="str">
        <f>IF(OR($B553="",F$7=""),"",IF($B553="MEANS",INDEX('1-DATA'!$1:$1048576,$A552-1,COLUMN('1-DATA'!E551)),ROUND(INDEX('1-DATA'!$1:$1048576,IF(OR($B553="STD. DEVIATION",$C$1=1),$A553,$A553+1),COLUMN('1-DATA'!E551)),IF($B553="STD. DEVIATION",2,$F$1))))</f>
        <v/>
      </c>
      <c r="G553" s="1" t="str">
        <f>IF(OR($B553="",G$7=""),"",IF($B553="MEANS",INDEX('1-DATA'!$1:$1048576,$A552-1,COLUMN('1-DATA'!F551)),ROUND(INDEX('1-DATA'!$1:$1048576,IF(OR($B553="STD. DEVIATION",$C$1=1),$A553,$A553+1),COLUMN('1-DATA'!F551)),IF($B553="STD. DEVIATION",2,$F$1))))</f>
        <v/>
      </c>
      <c r="H553" s="1" t="str">
        <f>IF(OR($B553="",H$7=""),"",IF($B553="MEANS",INDEX('1-DATA'!$1:$1048576,$A552-1,COLUMN('1-DATA'!G551)),ROUND(INDEX('1-DATA'!$1:$1048576,IF(OR($B553="STD. DEVIATION",$C$1=1),$A553,$A553+1),COLUMN('1-DATA'!G551)),IF($B553="STD. DEVIATION",2,$F$1))))</f>
        <v/>
      </c>
      <c r="I553" s="1" t="str">
        <f>IF(OR($B553="",I$7=""),"",IF($B553="MEANS",INDEX('1-DATA'!$1:$1048576,$A552-1,COLUMN('1-DATA'!H551)),ROUND(INDEX('1-DATA'!$1:$1048576,IF(OR($B553="STD. DEVIATION",$C$1=1),$A553,$A553+1),COLUMN('1-DATA'!H551)),IF($B553="STD. DEVIATION",2,$F$1))))</f>
        <v/>
      </c>
      <c r="J553" s="1" t="str">
        <f>IF(OR($B553="",J$7=""),"",IF($B553="MEANS",INDEX('1-DATA'!$1:$1048576,$A552-1,COLUMN('1-DATA'!I551)),ROUND(INDEX('1-DATA'!$1:$1048576,IF(OR($B553="STD. DEVIATION",$C$1=1),$A553,$A553+1),COLUMN('1-DATA'!I551)),IF($B553="STD. DEVIATION",2,$F$1))))</f>
        <v/>
      </c>
      <c r="K553" s="1" t="str">
        <f>IF(OR($B553="",K$7=""),"",IF($B553="MEANS",INDEX('1-DATA'!$1:$1048576,$A552-1,COLUMN('1-DATA'!J551)),ROUND(INDEX('1-DATA'!$1:$1048576,IF(OR($B553="STD. DEVIATION",$C$1=1),$A553,$A553+1),COLUMN('1-DATA'!J551)),IF($B553="STD. DEVIATION",2,$F$1))))</f>
        <v/>
      </c>
      <c r="L553" s="1" t="str">
        <f>IF(OR($B553="",L$7=""),"",IF($B553="MEANS",INDEX('1-DATA'!$1:$1048576,$A552-1,COLUMN('1-DATA'!K551)),ROUND(INDEX('1-DATA'!$1:$1048576,IF(OR($B553="STD. DEVIATION",$C$1=1),$A553,$A553+1),COLUMN('1-DATA'!K551)),IF($B553="STD. DEVIATION",2,$F$1))))</f>
        <v/>
      </c>
      <c r="M553" s="1" t="str">
        <f>IF(OR($B553="",M$7=""),"",IF($B553="MEANS",INDEX('1-DATA'!$1:$1048576,$A552-1,COLUMN('1-DATA'!L551)),ROUND(INDEX('1-DATA'!$1:$1048576,IF(OR($B553="STD. DEVIATION",$C$1=1),$A553,$A553+1),COLUMN('1-DATA'!L551)),IF($B553="STD. DEVIATION",2,$F$1))))</f>
        <v/>
      </c>
      <c r="N553" s="1" t="str">
        <f>IF(OR($B553="",N$7=""),"",IF($B553="MEANS",INDEX('1-DATA'!$1:$1048576,$A552-1,COLUMN('1-DATA'!M551)),ROUND(INDEX('1-DATA'!$1:$1048576,IF(OR($B553="STD. DEVIATION",$C$1=1),$A553,$A553+1),COLUMN('1-DATA'!M551)),IF($B553="STD. DEVIATION",2,$F$1))))</f>
        <v/>
      </c>
      <c r="O553" s="1" t="str">
        <f>IF(OR($B553="",O$7=""),"",IF($B553="MEANS",INDEX('1-DATA'!$1:$1048576,$A552-1,COLUMN('1-DATA'!N551)),ROUND(INDEX('1-DATA'!$1:$1048576,IF(OR($B553="STD. DEVIATION",$C$1=1),$A553,$A553+1),COLUMN('1-DATA'!N551)),IF($B553="STD. DEVIATION",2,$F$1))))</f>
        <v/>
      </c>
      <c r="P553" s="1" t="str">
        <f>IF(OR($B553="",P$7=""),"",IF($B553="MEANS",INDEX('1-DATA'!$1:$1048576,$A552-1,COLUMN('1-DATA'!O551)),ROUND(INDEX('1-DATA'!$1:$1048576,IF(OR($B553="STD. DEVIATION",$C$1=1),$A553,$A553+1),COLUMN('1-DATA'!O551)),IF($B553="STD. DEVIATION",2,$F$1))))</f>
        <v/>
      </c>
      <c r="Q553" s="1" t="str">
        <f>IF(OR($B553="",Q$7=""),"",IF($B553="MEANS",INDEX('1-DATA'!$1:$1048576,$A552-1,COLUMN('1-DATA'!P551)),ROUND(INDEX('1-DATA'!$1:$1048576,IF(OR($B553="STD. DEVIATION",$C$1=1),$A553,$A553+1),COLUMN('1-DATA'!P551)),IF($B553="STD. DEVIATION",2,$F$1))))</f>
        <v/>
      </c>
      <c r="R553" s="1" t="str">
        <f>IF(OR($B553="",R$7=""),"",IF($B553="MEANS",INDEX('1-DATA'!$1:$1048576,$A552-1,COLUMN('1-DATA'!Q551)),ROUND(INDEX('1-DATA'!$1:$1048576,IF(OR($B553="STD. DEVIATION",$C$1=1),$A553,$A553+1),COLUMN('1-DATA'!Q551)),IF($B553="STD. DEVIATION",2,$F$1))))</f>
        <v/>
      </c>
      <c r="S553" s="1" t="str">
        <f>IF(OR($B553="",S$7=""),"",IF($B553="MEANS",INDEX('1-DATA'!$1:$1048576,$A552-1,COLUMN('1-DATA'!R551)),ROUND(INDEX('1-DATA'!$1:$1048576,IF(OR($B553="STD. DEVIATION",$C$1=1),$A553,$A553+1),COLUMN('1-DATA'!R551)),IF($B553="STD. DEVIATION",2,$F$1))))</f>
        <v/>
      </c>
      <c r="T553" s="1" t="str">
        <f>IF(OR($B553="",T$7=""),"",IF($B553="MEANS",INDEX('1-DATA'!$1:$1048576,$A552-1,COLUMN('1-DATA'!S551)),ROUND(INDEX('1-DATA'!$1:$1048576,IF(OR($B553="STD. DEVIATION",$C$1=1),$A553,$A553+1),COLUMN('1-DATA'!S551)),IF($B553="STD. DEVIATION",2,$F$1))))</f>
        <v/>
      </c>
      <c r="U553" s="1" t="str">
        <f>IF(OR($B553="",U$7=""),"",IF($B553="MEANS",INDEX('1-DATA'!$1:$1048576,$A552-1,COLUMN('1-DATA'!T551)),ROUND(INDEX('1-DATA'!$1:$1048576,IF(OR($B553="STD. DEVIATION",$C$1=1),$A553,$A553+1),COLUMN('1-DATA'!T551)),IF($B553="STD. DEVIATION",2,$F$1))))</f>
        <v/>
      </c>
      <c r="V553" s="1" t="str">
        <f>IF(OR($B553="",V$7=""),"",IF($B553="MEANS",INDEX('1-DATA'!$1:$1048576,$A552-1,COLUMN('1-DATA'!U551)),ROUND(INDEX('1-DATA'!$1:$1048576,IF(OR($B553="STD. DEVIATION",$C$1=1),$A553,$A553+1),COLUMN('1-DATA'!U551)),IF($B553="STD. DEVIATION",2,$F$1))))</f>
        <v/>
      </c>
      <c r="W553" s="1" t="str">
        <f>IF(OR($B553="",W$7=""),"",IF($B553="MEANS",INDEX('1-DATA'!$1:$1048576,$A552-1,COLUMN('1-DATA'!V551)),ROUND(INDEX('1-DATA'!$1:$1048576,IF(OR($B553="STD. DEVIATION",$C$1=1),$A553,$A553+1),COLUMN('1-DATA'!V551)),IF($B553="STD. DEVIATION",2,$F$1))))</f>
        <v/>
      </c>
      <c r="X553" s="1" t="str">
        <f>IF(OR($B553="",X$7=""),"",IF($B553="MEANS",INDEX('1-DATA'!$1:$1048576,$A552-1,COLUMN('1-DATA'!W551)),ROUND(INDEX('1-DATA'!$1:$1048576,IF(OR($B553="STD. DEVIATION",$C$1=1),$A553,$A553+1),COLUMN('1-DATA'!W551)),IF($B553="STD. DEVIATION",2,$F$1))))</f>
        <v/>
      </c>
      <c r="Y553" s="1" t="str">
        <f>IF(OR($B553="",Y$7=""),"",IF($B553="MEANS",INDEX('1-DATA'!$1:$1048576,$A552-1,COLUMN('1-DATA'!X551)),ROUND(INDEX('1-DATA'!$1:$1048576,IF(OR($B553="STD. DEVIATION",$C$1=1),$A553,$A553+1),COLUMN('1-DATA'!X551)),IF($B553="STD. DEVIATION",2,$F$1))))</f>
        <v/>
      </c>
      <c r="Z553" s="1" t="str">
        <f>IF(OR($B553="",Z$7=""),"",IF($B553="MEANS",INDEX('1-DATA'!$1:$1048576,$A552-1,COLUMN('1-DATA'!Y551)),ROUND(INDEX('1-DATA'!$1:$1048576,IF(OR($B553="STD. DEVIATION",$C$1=1),$A553,$A553+1),COLUMN('1-DATA'!Y551)),IF($B553="STD. DEVIATION",2,$F$1))))</f>
        <v/>
      </c>
      <c r="AA553" s="1" t="str">
        <f>IF(OR($B553="",AA$7=""),"",IF($B553="MEANS",INDEX('1-DATA'!$1:$1048576,$A552-1,COLUMN('1-DATA'!Z551)),ROUND(INDEX('1-DATA'!$1:$1048576,IF(OR($B553="STD. DEVIATION",$C$1=1),$A553,$A553+1),COLUMN('1-DATA'!Z551)),IF($B553="STD. DEVIATION",2,$F$1))))</f>
        <v/>
      </c>
      <c r="AB553" s="1" t="str">
        <f>IF(OR($B553="",AB$7=""),"",IF($B553="MEANS",INDEX('1-DATA'!$1:$1048576,$A552-1,COLUMN('1-DATA'!AA551)),ROUND(INDEX('1-DATA'!$1:$1048576,IF(OR($B553="STD. DEVIATION",$C$1=1),$A553,$A553+1),COLUMN('1-DATA'!AA551)),IF($B553="STD. DEVIATION",2,$F$1))))</f>
        <v/>
      </c>
      <c r="AC553" s="1" t="str">
        <f>IF(OR($B553="",AC$7=""),"",IF($B553="MEANS",INDEX('1-DATA'!$1:$1048576,$A552-1,COLUMN('1-DATA'!AB551)),ROUND(INDEX('1-DATA'!$1:$1048576,IF(OR($B553="STD. DEVIATION",$C$1=1),$A553,$A553+1),COLUMN('1-DATA'!AB551)),IF($B553="STD. DEVIATION",2,$F$1))))</f>
        <v/>
      </c>
      <c r="AD553" s="1" t="str">
        <f>IF(OR($B553="",AD$7=""),"",IF($B553="MEANS",INDEX('1-DATA'!$1:$1048576,$A552-1,COLUMN('1-DATA'!AC551)),ROUND(INDEX('1-DATA'!$1:$1048576,IF(OR($B553="STD. DEVIATION",$C$1=1),$A553,$A553+1),COLUMN('1-DATA'!AC551)),IF($B553="STD. DEVIATION",2,$F$1))))</f>
        <v/>
      </c>
      <c r="AE553" s="1" t="str">
        <f>IF(OR($B553="",AE$7=""),"",IF($B553="MEANS",INDEX('1-DATA'!$1:$1048576,$A552-1,COLUMN('1-DATA'!AD551)),ROUND(INDEX('1-DATA'!$1:$1048576,IF(OR($B553="STD. DEVIATION",$C$1=1),$A553,$A553+1),COLUMN('1-DATA'!AD551)),IF($B553="STD. DEVIATION",2,$F$1))))</f>
        <v/>
      </c>
      <c r="AF553" s="1" t="str">
        <f>IF(OR($B553="",AF$7=""),"",IF($B553="MEANS",INDEX('1-DATA'!$1:$1048576,$A552-1,COLUMN('1-DATA'!AE551)),ROUND(INDEX('1-DATA'!$1:$1048576,IF(OR($B553="STD. DEVIATION",$C$1=1),$A553,$A553+1),COLUMN('1-DATA'!AE551)),IF($B553="STD. DEVIATION",2,$F$1))))</f>
        <v/>
      </c>
      <c r="AG553" s="1" t="str">
        <f>IF(OR($B553="",AG$7=""),"",IF($B553="MEANS",INDEX('1-DATA'!$1:$1048576,$A552-1,COLUMN('1-DATA'!AF551)),ROUND(INDEX('1-DATA'!$1:$1048576,IF(OR($B553="STD. DEVIATION",$C$1=1),$A553,$A553+1),COLUMN('1-DATA'!AF551)),IF($B553="STD. DEVIATION",2,$F$1))))</f>
        <v/>
      </c>
      <c r="AH553" s="1" t="str">
        <f>IF(OR($B553="",AH$7=""),"",IF($B553="MEANS",INDEX('1-DATA'!$1:$1048576,$A552-1,COLUMN('1-DATA'!AG551)),ROUND(INDEX('1-DATA'!$1:$1048576,IF(OR($B553="STD. DEVIATION",$C$1=1),$A553,$A553+1),COLUMN('1-DATA'!AG551)),IF($B553="STD. DEVIATION",2,$F$1))))</f>
        <v/>
      </c>
      <c r="AI553" s="1" t="str">
        <f>IF(OR($B553="",AI$7=""),"",IF($B553="MEANS",INDEX('1-DATA'!$1:$1048576,$A552-1,COLUMN('1-DATA'!AH551)),ROUND(INDEX('1-DATA'!$1:$1048576,IF(OR($B553="STD. DEVIATION",$C$1=1),$A553,$A553+1),COLUMN('1-DATA'!AH551)),IF($B553="STD. DEVIATION",2,$F$1))))</f>
        <v/>
      </c>
      <c r="AJ553" s="1" t="str">
        <f>IF(OR($B553="",AJ$7=""),"",IF($B553="MEANS",INDEX('1-DATA'!$1:$1048576,$A552-1,COLUMN('1-DATA'!AI551)),ROUND(INDEX('1-DATA'!$1:$1048576,IF(OR($B553="STD. DEVIATION",$C$1=1),$A553,$A553+1),COLUMN('1-DATA'!AI551)),IF($B553="STD. DEVIATION",2,$F$1))))</f>
        <v/>
      </c>
      <c r="AK553" s="1" t="str">
        <f>IF(OR($B553="",AK$7=""),"",IF($B553="MEANS",INDEX('1-DATA'!$1:$1048576,$A552-1,COLUMN('1-DATA'!AJ551)),ROUND(INDEX('1-DATA'!$1:$1048576,IF(OR($B553="STD. DEVIATION",$C$1=1),$A553,$A553+1),COLUMN('1-DATA'!AJ551)),IF($B553="STD. DEVIATION",2,$F$1))))</f>
        <v/>
      </c>
      <c r="AL553" s="1" t="str">
        <f>IF(OR($B553="",AL$7=""),"",IF($B553="MEANS",INDEX('1-DATA'!$1:$1048576,$A552-1,COLUMN('1-DATA'!AK551)),ROUND(INDEX('1-DATA'!$1:$1048576,IF(OR($B553="STD. DEVIATION",$C$1=1),$A553,$A553+1),COLUMN('1-DATA'!AK551)),IF($B553="STD. DEVIATION",2,$F$1))))</f>
        <v/>
      </c>
      <c r="AM553" s="1" t="str">
        <f>IF(OR($B553="",AM$7=""),"",IF($B553="MEANS",INDEX('1-DATA'!$1:$1048576,$A552-1,COLUMN('1-DATA'!AL551)),ROUND(INDEX('1-DATA'!$1:$1048576,IF(OR($B553="STD. DEVIATION",$C$1=1),$A553,$A553+1),COLUMN('1-DATA'!AL551)),IF($B553="STD. DEVIATION",2,$F$1))))</f>
        <v/>
      </c>
      <c r="AN553" s="1" t="str">
        <f>IF(OR($B553="",AN$7=""),"",IF($B553="MEANS",INDEX('1-DATA'!$1:$1048576,$A552-1,COLUMN('1-DATA'!AM551)),ROUND(INDEX('1-DATA'!$1:$1048576,IF(OR($B553="STD. DEVIATION",$C$1=1),$A553,$A553+1),COLUMN('1-DATA'!AM551)),IF($B553="STD. DEVIATION",2,$F$1))))</f>
        <v/>
      </c>
      <c r="AO553" s="1" t="str">
        <f>IF(OR($B553="",AO$7=""),"",IF($B553="MEANS",INDEX('1-DATA'!$1:$1048576,$A552-1,COLUMN('1-DATA'!AN551)),ROUND(INDEX('1-DATA'!$1:$1048576,IF(OR($B553="STD. DEVIATION",$C$1=1),$A553,$A553+1),COLUMN('1-DATA'!AN551)),IF($B553="STD. DEVIATION",2,$F$1))))</f>
        <v/>
      </c>
      <c r="AP553" s="1" t="str">
        <f>IF(OR($B553="",AP$7=""),"",IF($B553="MEANS",INDEX('1-DATA'!$1:$1048576,$A552-1,COLUMN('1-DATA'!AO551)),ROUND(INDEX('1-DATA'!$1:$1048576,IF(OR($B553="STD. DEVIATION",$C$1=1),$A553,$A553+1),COLUMN('1-DATA'!AO551)),IF($B553="STD. DEVIATION",2,$F$1))))</f>
        <v/>
      </c>
      <c r="AQ553" s="1" t="str">
        <f>IF(OR($B553="",AQ$7=""),"",IF($B553="MEANS",INDEX('1-DATA'!$1:$1048576,$A552-1,COLUMN('1-DATA'!AP551)),ROUND(INDEX('1-DATA'!$1:$1048576,IF(OR($B553="STD. DEVIATION",$C$1=1),$A553,$A553+1),COLUMN('1-DATA'!AP551)),IF($B553="STD. DEVIATION",2,$F$1))))</f>
        <v/>
      </c>
      <c r="AR553" s="1" t="str">
        <f>IF(OR($B553="",AR$7=""),"",IF($B553="MEANS",INDEX('1-DATA'!$1:$1048576,$A552-1,COLUMN('1-DATA'!AQ551)),ROUND(INDEX('1-DATA'!$1:$1048576,IF(OR($B553="STD. DEVIATION",$C$1=1),$A553,$A553+1),COLUMN('1-DATA'!AQ551)),IF($B553="STD. DEVIATION",2,$F$1))))</f>
        <v/>
      </c>
      <c r="AS553" s="1" t="str">
        <f>IF(OR($B553="",AS$7=""),"",IF($B553="MEANS",INDEX('1-DATA'!$1:$1048576,$A552-1,COLUMN('1-DATA'!AR551)),ROUND(INDEX('1-DATA'!$1:$1048576,IF(OR($B553="STD. DEVIATION",$C$1=1),$A553,$A553+1),COLUMN('1-DATA'!AR551)),IF($B553="STD. DEVIATION",2,$F$1))))</f>
        <v/>
      </c>
      <c r="AT553" s="1" t="str">
        <f>IF(OR($B553="",AT$7=""),"",IF($B553="MEANS",INDEX('1-DATA'!$1:$1048576,$A552-1,COLUMN('1-DATA'!AS551)),ROUND(INDEX('1-DATA'!$1:$1048576,IF(OR($B553="STD. DEVIATION",$C$1=1),$A553,$A553+1),COLUMN('1-DATA'!AS551)),IF($B553="STD. DEVIATION",2,$F$1))))</f>
        <v/>
      </c>
      <c r="AU553" s="1" t="str">
        <f>IF(OR($B553="",AU$7=""),"",IF($B553="MEANS",INDEX('1-DATA'!$1:$1048576,$A552-1,COLUMN('1-DATA'!AT551)),ROUND(INDEX('1-DATA'!$1:$1048576,IF(OR($B553="STD. DEVIATION",$C$1=1),$A553,$A553+1),COLUMN('1-DATA'!AT551)),IF($B553="STD. DEVIATION",2,$F$1))))</f>
        <v/>
      </c>
      <c r="AV553" s="1" t="str">
        <f>IF(OR($B553="",AV$7=""),"",IF($B553="MEANS",INDEX('1-DATA'!$1:$1048576,$A552-1,COLUMN('1-DATA'!AU551)),ROUND(INDEX('1-DATA'!$1:$1048576,IF(OR($B553="STD. DEVIATION",$C$1=1),$A553,$A553+1),COLUMN('1-DATA'!AU551)),IF($B553="STD. DEVIATION",2,$F$1))))</f>
        <v/>
      </c>
      <c r="AW553" s="1" t="str">
        <f>IF(OR($B553="",AW$7=""),"",IF($B553="MEANS",INDEX('1-DATA'!$1:$1048576,$A552-1,COLUMN('1-DATA'!AV551)),ROUND(INDEX('1-DATA'!$1:$1048576,IF(OR($B553="STD. DEVIATION",$C$1=1),$A553,$A553+1),COLUMN('1-DATA'!AV551)),IF($B553="STD. DEVIATION",2,$F$1))))</f>
        <v/>
      </c>
      <c r="AX553" s="1" t="str">
        <f>IF(OR($B553="",AX$7=""),"",IF($B553="MEANS",INDEX('1-DATA'!$1:$1048576,$A552-1,COLUMN('1-DATA'!AW551)),ROUND(INDEX('1-DATA'!$1:$1048576,IF(OR($B553="STD. DEVIATION",$C$1=1),$A553,$A553+1),COLUMN('1-DATA'!AW551)),IF($B553="STD. DEVIATION",2,$F$1))))</f>
        <v/>
      </c>
      <c r="AY553" s="1" t="str">
        <f>IF(OR($B553="",AY$7=""),"",IF($B553="MEANS",INDEX('1-DATA'!$1:$1048576,$A552-1,COLUMN('1-DATA'!AX551)),ROUND(INDEX('1-DATA'!$1:$1048576,IF(OR($B553="STD. DEVIATION",$C$1=1),$A553,$A553+1),COLUMN('1-DATA'!AX551)),IF($B553="STD. DEVIATION",2,$F$1))))</f>
        <v/>
      </c>
      <c r="AZ553" s="1" t="str">
        <f>IF(OR($B553="",AZ$7=""),"",IF($B553="MEANS",INDEX('1-DATA'!$1:$1048576,$A552-1,COLUMN('1-DATA'!AY551)),ROUND(INDEX('1-DATA'!$1:$1048576,IF(OR($B553="STD. DEVIATION",$C$1=1),$A553,$A553+1),COLUMN('1-DATA'!AY551)),IF($B553="STD. DEVIATION",2,$F$1))))</f>
        <v/>
      </c>
    </row>
    <row r="554" spans="1:52" x14ac:dyDescent="0.25">
      <c r="A554" s="11">
        <f t="shared" si="9"/>
        <v>1648</v>
      </c>
      <c r="B554" s="1" t="str">
        <f>IF(B553="STD. DEVIATION",INDEX('1-DATA'!$1:$1048576,$A553-1,1),IF(INDEX('1-DATA'!$1:$1048576,$A554,1)&lt;&gt;"",INDEX('1-DATA'!$1:$1048576,$A554,1),""))</f>
        <v/>
      </c>
      <c r="C554" s="1" t="str">
        <f>IF(OR($B554="",C$7=""),"",IF($B554="MEANS",INDEX('1-DATA'!$1:$1048576,$A553-1,COLUMN('1-DATA'!B552)),ROUND(INDEX('1-DATA'!$1:$1048576,IF(OR($B554="STD. DEVIATION",$C$1=1),$A554,$A554+1),COLUMN('1-DATA'!B552)),IF($B554="STD. DEVIATION",2,$F$1))))</f>
        <v/>
      </c>
      <c r="D554" s="1" t="str">
        <f>IF(OR($B554="",D$7=""),"",IF($B554="MEANS",INDEX('1-DATA'!$1:$1048576,$A553-1,COLUMN('1-DATA'!C552)),ROUND(INDEX('1-DATA'!$1:$1048576,IF(OR($B554="STD. DEVIATION",$C$1=1),$A554,$A554+1),COLUMN('1-DATA'!C552)),IF($B554="STD. DEVIATION",2,$F$1))))</f>
        <v/>
      </c>
      <c r="E554" s="1" t="str">
        <f>IF(OR($B554="",E$7=""),"",IF($B554="MEANS",INDEX('1-DATA'!$1:$1048576,$A553-1,COLUMN('1-DATA'!D552)),ROUND(INDEX('1-DATA'!$1:$1048576,IF(OR($B554="STD. DEVIATION",$C$1=1),$A554,$A554+1),COLUMN('1-DATA'!D552)),IF($B554="STD. DEVIATION",2,$F$1))))</f>
        <v/>
      </c>
      <c r="F554" s="1" t="str">
        <f>IF(OR($B554="",F$7=""),"",IF($B554="MEANS",INDEX('1-DATA'!$1:$1048576,$A553-1,COLUMN('1-DATA'!E552)),ROUND(INDEX('1-DATA'!$1:$1048576,IF(OR($B554="STD. DEVIATION",$C$1=1),$A554,$A554+1),COLUMN('1-DATA'!E552)),IF($B554="STD. DEVIATION",2,$F$1))))</f>
        <v/>
      </c>
      <c r="G554" s="1" t="str">
        <f>IF(OR($B554="",G$7=""),"",IF($B554="MEANS",INDEX('1-DATA'!$1:$1048576,$A553-1,COLUMN('1-DATA'!F552)),ROUND(INDEX('1-DATA'!$1:$1048576,IF(OR($B554="STD. DEVIATION",$C$1=1),$A554,$A554+1),COLUMN('1-DATA'!F552)),IF($B554="STD. DEVIATION",2,$F$1))))</f>
        <v/>
      </c>
      <c r="H554" s="1" t="str">
        <f>IF(OR($B554="",H$7=""),"",IF($B554="MEANS",INDEX('1-DATA'!$1:$1048576,$A553-1,COLUMN('1-DATA'!G552)),ROUND(INDEX('1-DATA'!$1:$1048576,IF(OR($B554="STD. DEVIATION",$C$1=1),$A554,$A554+1),COLUMN('1-DATA'!G552)),IF($B554="STD. DEVIATION",2,$F$1))))</f>
        <v/>
      </c>
      <c r="I554" s="1" t="str">
        <f>IF(OR($B554="",I$7=""),"",IF($B554="MEANS",INDEX('1-DATA'!$1:$1048576,$A553-1,COLUMN('1-DATA'!H552)),ROUND(INDEX('1-DATA'!$1:$1048576,IF(OR($B554="STD. DEVIATION",$C$1=1),$A554,$A554+1),COLUMN('1-DATA'!H552)),IF($B554="STD. DEVIATION",2,$F$1))))</f>
        <v/>
      </c>
      <c r="J554" s="1" t="str">
        <f>IF(OR($B554="",J$7=""),"",IF($B554="MEANS",INDEX('1-DATA'!$1:$1048576,$A553-1,COLUMN('1-DATA'!I552)),ROUND(INDEX('1-DATA'!$1:$1048576,IF(OR($B554="STD. DEVIATION",$C$1=1),$A554,$A554+1),COLUMN('1-DATA'!I552)),IF($B554="STD. DEVIATION",2,$F$1))))</f>
        <v/>
      </c>
      <c r="K554" s="1" t="str">
        <f>IF(OR($B554="",K$7=""),"",IF($B554="MEANS",INDEX('1-DATA'!$1:$1048576,$A553-1,COLUMN('1-DATA'!J552)),ROUND(INDEX('1-DATA'!$1:$1048576,IF(OR($B554="STD. DEVIATION",$C$1=1),$A554,$A554+1),COLUMN('1-DATA'!J552)),IF($B554="STD. DEVIATION",2,$F$1))))</f>
        <v/>
      </c>
      <c r="L554" s="1" t="str">
        <f>IF(OR($B554="",L$7=""),"",IF($B554="MEANS",INDEX('1-DATA'!$1:$1048576,$A553-1,COLUMN('1-DATA'!K552)),ROUND(INDEX('1-DATA'!$1:$1048576,IF(OR($B554="STD. DEVIATION",$C$1=1),$A554,$A554+1),COLUMN('1-DATA'!K552)),IF($B554="STD. DEVIATION",2,$F$1))))</f>
        <v/>
      </c>
      <c r="M554" s="1" t="str">
        <f>IF(OR($B554="",M$7=""),"",IF($B554="MEANS",INDEX('1-DATA'!$1:$1048576,$A553-1,COLUMN('1-DATA'!L552)),ROUND(INDEX('1-DATA'!$1:$1048576,IF(OR($B554="STD. DEVIATION",$C$1=1),$A554,$A554+1),COLUMN('1-DATA'!L552)),IF($B554="STD. DEVIATION",2,$F$1))))</f>
        <v/>
      </c>
      <c r="N554" s="1" t="str">
        <f>IF(OR($B554="",N$7=""),"",IF($B554="MEANS",INDEX('1-DATA'!$1:$1048576,$A553-1,COLUMN('1-DATA'!M552)),ROUND(INDEX('1-DATA'!$1:$1048576,IF(OR($B554="STD. DEVIATION",$C$1=1),$A554,$A554+1),COLUMN('1-DATA'!M552)),IF($B554="STD. DEVIATION",2,$F$1))))</f>
        <v/>
      </c>
      <c r="O554" s="1" t="str">
        <f>IF(OR($B554="",O$7=""),"",IF($B554="MEANS",INDEX('1-DATA'!$1:$1048576,$A553-1,COLUMN('1-DATA'!N552)),ROUND(INDEX('1-DATA'!$1:$1048576,IF(OR($B554="STD. DEVIATION",$C$1=1),$A554,$A554+1),COLUMN('1-DATA'!N552)),IF($B554="STD. DEVIATION",2,$F$1))))</f>
        <v/>
      </c>
      <c r="P554" s="1" t="str">
        <f>IF(OR($B554="",P$7=""),"",IF($B554="MEANS",INDEX('1-DATA'!$1:$1048576,$A553-1,COLUMN('1-DATA'!O552)),ROUND(INDEX('1-DATA'!$1:$1048576,IF(OR($B554="STD. DEVIATION",$C$1=1),$A554,$A554+1),COLUMN('1-DATA'!O552)),IF($B554="STD. DEVIATION",2,$F$1))))</f>
        <v/>
      </c>
      <c r="Q554" s="1" t="str">
        <f>IF(OR($B554="",Q$7=""),"",IF($B554="MEANS",INDEX('1-DATA'!$1:$1048576,$A553-1,COLUMN('1-DATA'!P552)),ROUND(INDEX('1-DATA'!$1:$1048576,IF(OR($B554="STD. DEVIATION",$C$1=1),$A554,$A554+1),COLUMN('1-DATA'!P552)),IF($B554="STD. DEVIATION",2,$F$1))))</f>
        <v/>
      </c>
      <c r="R554" s="1" t="str">
        <f>IF(OR($B554="",R$7=""),"",IF($B554="MEANS",INDEX('1-DATA'!$1:$1048576,$A553-1,COLUMN('1-DATA'!Q552)),ROUND(INDEX('1-DATA'!$1:$1048576,IF(OR($B554="STD. DEVIATION",$C$1=1),$A554,$A554+1),COLUMN('1-DATA'!Q552)),IF($B554="STD. DEVIATION",2,$F$1))))</f>
        <v/>
      </c>
      <c r="S554" s="1" t="str">
        <f>IF(OR($B554="",S$7=""),"",IF($B554="MEANS",INDEX('1-DATA'!$1:$1048576,$A553-1,COLUMN('1-DATA'!R552)),ROUND(INDEX('1-DATA'!$1:$1048576,IF(OR($B554="STD. DEVIATION",$C$1=1),$A554,$A554+1),COLUMN('1-DATA'!R552)),IF($B554="STD. DEVIATION",2,$F$1))))</f>
        <v/>
      </c>
      <c r="T554" s="1" t="str">
        <f>IF(OR($B554="",T$7=""),"",IF($B554="MEANS",INDEX('1-DATA'!$1:$1048576,$A553-1,COLUMN('1-DATA'!S552)),ROUND(INDEX('1-DATA'!$1:$1048576,IF(OR($B554="STD. DEVIATION",$C$1=1),$A554,$A554+1),COLUMN('1-DATA'!S552)),IF($B554="STD. DEVIATION",2,$F$1))))</f>
        <v/>
      </c>
      <c r="U554" s="1" t="str">
        <f>IF(OR($B554="",U$7=""),"",IF($B554="MEANS",INDEX('1-DATA'!$1:$1048576,$A553-1,COLUMN('1-DATA'!T552)),ROUND(INDEX('1-DATA'!$1:$1048576,IF(OR($B554="STD. DEVIATION",$C$1=1),$A554,$A554+1),COLUMN('1-DATA'!T552)),IF($B554="STD. DEVIATION",2,$F$1))))</f>
        <v/>
      </c>
      <c r="V554" s="1" t="str">
        <f>IF(OR($B554="",V$7=""),"",IF($B554="MEANS",INDEX('1-DATA'!$1:$1048576,$A553-1,COLUMN('1-DATA'!U552)),ROUND(INDEX('1-DATA'!$1:$1048576,IF(OR($B554="STD. DEVIATION",$C$1=1),$A554,$A554+1),COLUMN('1-DATA'!U552)),IF($B554="STD. DEVIATION",2,$F$1))))</f>
        <v/>
      </c>
      <c r="W554" s="1" t="str">
        <f>IF(OR($B554="",W$7=""),"",IF($B554="MEANS",INDEX('1-DATA'!$1:$1048576,$A553-1,COLUMN('1-DATA'!V552)),ROUND(INDEX('1-DATA'!$1:$1048576,IF(OR($B554="STD. DEVIATION",$C$1=1),$A554,$A554+1),COLUMN('1-DATA'!V552)),IF($B554="STD. DEVIATION",2,$F$1))))</f>
        <v/>
      </c>
      <c r="X554" s="1" t="str">
        <f>IF(OR($B554="",X$7=""),"",IF($B554="MEANS",INDEX('1-DATA'!$1:$1048576,$A553-1,COLUMN('1-DATA'!W552)),ROUND(INDEX('1-DATA'!$1:$1048576,IF(OR($B554="STD. DEVIATION",$C$1=1),$A554,$A554+1),COLUMN('1-DATA'!W552)),IF($B554="STD. DEVIATION",2,$F$1))))</f>
        <v/>
      </c>
      <c r="Y554" s="1" t="str">
        <f>IF(OR($B554="",Y$7=""),"",IF($B554="MEANS",INDEX('1-DATA'!$1:$1048576,$A553-1,COLUMN('1-DATA'!X552)),ROUND(INDEX('1-DATA'!$1:$1048576,IF(OR($B554="STD. DEVIATION",$C$1=1),$A554,$A554+1),COLUMN('1-DATA'!X552)),IF($B554="STD. DEVIATION",2,$F$1))))</f>
        <v/>
      </c>
      <c r="Z554" s="1" t="str">
        <f>IF(OR($B554="",Z$7=""),"",IF($B554="MEANS",INDEX('1-DATA'!$1:$1048576,$A553-1,COLUMN('1-DATA'!Y552)),ROUND(INDEX('1-DATA'!$1:$1048576,IF(OR($B554="STD. DEVIATION",$C$1=1),$A554,$A554+1),COLUMN('1-DATA'!Y552)),IF($B554="STD. DEVIATION",2,$F$1))))</f>
        <v/>
      </c>
      <c r="AA554" s="1" t="str">
        <f>IF(OR($B554="",AA$7=""),"",IF($B554="MEANS",INDEX('1-DATA'!$1:$1048576,$A553-1,COLUMN('1-DATA'!Z552)),ROUND(INDEX('1-DATA'!$1:$1048576,IF(OR($B554="STD. DEVIATION",$C$1=1),$A554,$A554+1),COLUMN('1-DATA'!Z552)),IF($B554="STD. DEVIATION",2,$F$1))))</f>
        <v/>
      </c>
      <c r="AB554" s="1" t="str">
        <f>IF(OR($B554="",AB$7=""),"",IF($B554="MEANS",INDEX('1-DATA'!$1:$1048576,$A553-1,COLUMN('1-DATA'!AA552)),ROUND(INDEX('1-DATA'!$1:$1048576,IF(OR($B554="STD. DEVIATION",$C$1=1),$A554,$A554+1),COLUMN('1-DATA'!AA552)),IF($B554="STD. DEVIATION",2,$F$1))))</f>
        <v/>
      </c>
      <c r="AC554" s="1" t="str">
        <f>IF(OR($B554="",AC$7=""),"",IF($B554="MEANS",INDEX('1-DATA'!$1:$1048576,$A553-1,COLUMN('1-DATA'!AB552)),ROUND(INDEX('1-DATA'!$1:$1048576,IF(OR($B554="STD. DEVIATION",$C$1=1),$A554,$A554+1),COLUMN('1-DATA'!AB552)),IF($B554="STD. DEVIATION",2,$F$1))))</f>
        <v/>
      </c>
      <c r="AD554" s="1" t="str">
        <f>IF(OR($B554="",AD$7=""),"",IF($B554="MEANS",INDEX('1-DATA'!$1:$1048576,$A553-1,COLUMN('1-DATA'!AC552)),ROUND(INDEX('1-DATA'!$1:$1048576,IF(OR($B554="STD. DEVIATION",$C$1=1),$A554,$A554+1),COLUMN('1-DATA'!AC552)),IF($B554="STD. DEVIATION",2,$F$1))))</f>
        <v/>
      </c>
      <c r="AE554" s="1" t="str">
        <f>IF(OR($B554="",AE$7=""),"",IF($B554="MEANS",INDEX('1-DATA'!$1:$1048576,$A553-1,COLUMN('1-DATA'!AD552)),ROUND(INDEX('1-DATA'!$1:$1048576,IF(OR($B554="STD. DEVIATION",$C$1=1),$A554,$A554+1),COLUMN('1-DATA'!AD552)),IF($B554="STD. DEVIATION",2,$F$1))))</f>
        <v/>
      </c>
      <c r="AF554" s="1" t="str">
        <f>IF(OR($B554="",AF$7=""),"",IF($B554="MEANS",INDEX('1-DATA'!$1:$1048576,$A553-1,COLUMN('1-DATA'!AE552)),ROUND(INDEX('1-DATA'!$1:$1048576,IF(OR($B554="STD. DEVIATION",$C$1=1),$A554,$A554+1),COLUMN('1-DATA'!AE552)),IF($B554="STD. DEVIATION",2,$F$1))))</f>
        <v/>
      </c>
      <c r="AG554" s="1" t="str">
        <f>IF(OR($B554="",AG$7=""),"",IF($B554="MEANS",INDEX('1-DATA'!$1:$1048576,$A553-1,COLUMN('1-DATA'!AF552)),ROUND(INDEX('1-DATA'!$1:$1048576,IF(OR($B554="STD. DEVIATION",$C$1=1),$A554,$A554+1),COLUMN('1-DATA'!AF552)),IF($B554="STD. DEVIATION",2,$F$1))))</f>
        <v/>
      </c>
      <c r="AH554" s="1" t="str">
        <f>IF(OR($B554="",AH$7=""),"",IF($B554="MEANS",INDEX('1-DATA'!$1:$1048576,$A553-1,COLUMN('1-DATA'!AG552)),ROUND(INDEX('1-DATA'!$1:$1048576,IF(OR($B554="STD. DEVIATION",$C$1=1),$A554,$A554+1),COLUMN('1-DATA'!AG552)),IF($B554="STD. DEVIATION",2,$F$1))))</f>
        <v/>
      </c>
      <c r="AI554" s="1" t="str">
        <f>IF(OR($B554="",AI$7=""),"",IF($B554="MEANS",INDEX('1-DATA'!$1:$1048576,$A553-1,COLUMN('1-DATA'!AH552)),ROUND(INDEX('1-DATA'!$1:$1048576,IF(OR($B554="STD. DEVIATION",$C$1=1),$A554,$A554+1),COLUMN('1-DATA'!AH552)),IF($B554="STD. DEVIATION",2,$F$1))))</f>
        <v/>
      </c>
      <c r="AJ554" s="1" t="str">
        <f>IF(OR($B554="",AJ$7=""),"",IF($B554="MEANS",INDEX('1-DATA'!$1:$1048576,$A553-1,COLUMN('1-DATA'!AI552)),ROUND(INDEX('1-DATA'!$1:$1048576,IF(OR($B554="STD. DEVIATION",$C$1=1),$A554,$A554+1),COLUMN('1-DATA'!AI552)),IF($B554="STD. DEVIATION",2,$F$1))))</f>
        <v/>
      </c>
      <c r="AK554" s="1" t="str">
        <f>IF(OR($B554="",AK$7=""),"",IF($B554="MEANS",INDEX('1-DATA'!$1:$1048576,$A553-1,COLUMN('1-DATA'!AJ552)),ROUND(INDEX('1-DATA'!$1:$1048576,IF(OR($B554="STD. DEVIATION",$C$1=1),$A554,$A554+1),COLUMN('1-DATA'!AJ552)),IF($B554="STD. DEVIATION",2,$F$1))))</f>
        <v/>
      </c>
      <c r="AL554" s="1" t="str">
        <f>IF(OR($B554="",AL$7=""),"",IF($B554="MEANS",INDEX('1-DATA'!$1:$1048576,$A553-1,COLUMN('1-DATA'!AK552)),ROUND(INDEX('1-DATA'!$1:$1048576,IF(OR($B554="STD. DEVIATION",$C$1=1),$A554,$A554+1),COLUMN('1-DATA'!AK552)),IF($B554="STD. DEVIATION",2,$F$1))))</f>
        <v/>
      </c>
      <c r="AM554" s="1" t="str">
        <f>IF(OR($B554="",AM$7=""),"",IF($B554="MEANS",INDEX('1-DATA'!$1:$1048576,$A553-1,COLUMN('1-DATA'!AL552)),ROUND(INDEX('1-DATA'!$1:$1048576,IF(OR($B554="STD. DEVIATION",$C$1=1),$A554,$A554+1),COLUMN('1-DATA'!AL552)),IF($B554="STD. DEVIATION",2,$F$1))))</f>
        <v/>
      </c>
      <c r="AN554" s="1" t="str">
        <f>IF(OR($B554="",AN$7=""),"",IF($B554="MEANS",INDEX('1-DATA'!$1:$1048576,$A553-1,COLUMN('1-DATA'!AM552)),ROUND(INDEX('1-DATA'!$1:$1048576,IF(OR($B554="STD. DEVIATION",$C$1=1),$A554,$A554+1),COLUMN('1-DATA'!AM552)),IF($B554="STD. DEVIATION",2,$F$1))))</f>
        <v/>
      </c>
      <c r="AO554" s="1" t="str">
        <f>IF(OR($B554="",AO$7=""),"",IF($B554="MEANS",INDEX('1-DATA'!$1:$1048576,$A553-1,COLUMN('1-DATA'!AN552)),ROUND(INDEX('1-DATA'!$1:$1048576,IF(OR($B554="STD. DEVIATION",$C$1=1),$A554,$A554+1),COLUMN('1-DATA'!AN552)),IF($B554="STD. DEVIATION",2,$F$1))))</f>
        <v/>
      </c>
      <c r="AP554" s="1" t="str">
        <f>IF(OR($B554="",AP$7=""),"",IF($B554="MEANS",INDEX('1-DATA'!$1:$1048576,$A553-1,COLUMN('1-DATA'!AO552)),ROUND(INDEX('1-DATA'!$1:$1048576,IF(OR($B554="STD. DEVIATION",$C$1=1),$A554,$A554+1),COLUMN('1-DATA'!AO552)),IF($B554="STD. DEVIATION",2,$F$1))))</f>
        <v/>
      </c>
      <c r="AQ554" s="1" t="str">
        <f>IF(OR($B554="",AQ$7=""),"",IF($B554="MEANS",INDEX('1-DATA'!$1:$1048576,$A553-1,COLUMN('1-DATA'!AP552)),ROUND(INDEX('1-DATA'!$1:$1048576,IF(OR($B554="STD. DEVIATION",$C$1=1),$A554,$A554+1),COLUMN('1-DATA'!AP552)),IF($B554="STD. DEVIATION",2,$F$1))))</f>
        <v/>
      </c>
      <c r="AR554" s="1" t="str">
        <f>IF(OR($B554="",AR$7=""),"",IF($B554="MEANS",INDEX('1-DATA'!$1:$1048576,$A553-1,COLUMN('1-DATA'!AQ552)),ROUND(INDEX('1-DATA'!$1:$1048576,IF(OR($B554="STD. DEVIATION",$C$1=1),$A554,$A554+1),COLUMN('1-DATA'!AQ552)),IF($B554="STD. DEVIATION",2,$F$1))))</f>
        <v/>
      </c>
      <c r="AS554" s="1" t="str">
        <f>IF(OR($B554="",AS$7=""),"",IF($B554="MEANS",INDEX('1-DATA'!$1:$1048576,$A553-1,COLUMN('1-DATA'!AR552)),ROUND(INDEX('1-DATA'!$1:$1048576,IF(OR($B554="STD. DEVIATION",$C$1=1),$A554,$A554+1),COLUMN('1-DATA'!AR552)),IF($B554="STD. DEVIATION",2,$F$1))))</f>
        <v/>
      </c>
      <c r="AT554" s="1" t="str">
        <f>IF(OR($B554="",AT$7=""),"",IF($B554="MEANS",INDEX('1-DATA'!$1:$1048576,$A553-1,COLUMN('1-DATA'!AS552)),ROUND(INDEX('1-DATA'!$1:$1048576,IF(OR($B554="STD. DEVIATION",$C$1=1),$A554,$A554+1),COLUMN('1-DATA'!AS552)),IF($B554="STD. DEVIATION",2,$F$1))))</f>
        <v/>
      </c>
      <c r="AU554" s="1" t="str">
        <f>IF(OR($B554="",AU$7=""),"",IF($B554="MEANS",INDEX('1-DATA'!$1:$1048576,$A553-1,COLUMN('1-DATA'!AT552)),ROUND(INDEX('1-DATA'!$1:$1048576,IF(OR($B554="STD. DEVIATION",$C$1=1),$A554,$A554+1),COLUMN('1-DATA'!AT552)),IF($B554="STD. DEVIATION",2,$F$1))))</f>
        <v/>
      </c>
      <c r="AV554" s="1" t="str">
        <f>IF(OR($B554="",AV$7=""),"",IF($B554="MEANS",INDEX('1-DATA'!$1:$1048576,$A553-1,COLUMN('1-DATA'!AU552)),ROUND(INDEX('1-DATA'!$1:$1048576,IF(OR($B554="STD. DEVIATION",$C$1=1),$A554,$A554+1),COLUMN('1-DATA'!AU552)),IF($B554="STD. DEVIATION",2,$F$1))))</f>
        <v/>
      </c>
      <c r="AW554" s="1" t="str">
        <f>IF(OR($B554="",AW$7=""),"",IF($B554="MEANS",INDEX('1-DATA'!$1:$1048576,$A553-1,COLUMN('1-DATA'!AV552)),ROUND(INDEX('1-DATA'!$1:$1048576,IF(OR($B554="STD. DEVIATION",$C$1=1),$A554,$A554+1),COLUMN('1-DATA'!AV552)),IF($B554="STD. DEVIATION",2,$F$1))))</f>
        <v/>
      </c>
      <c r="AX554" s="1" t="str">
        <f>IF(OR($B554="",AX$7=""),"",IF($B554="MEANS",INDEX('1-DATA'!$1:$1048576,$A553-1,COLUMN('1-DATA'!AW552)),ROUND(INDEX('1-DATA'!$1:$1048576,IF(OR($B554="STD. DEVIATION",$C$1=1),$A554,$A554+1),COLUMN('1-DATA'!AW552)),IF($B554="STD. DEVIATION",2,$F$1))))</f>
        <v/>
      </c>
      <c r="AY554" s="1" t="str">
        <f>IF(OR($B554="",AY$7=""),"",IF($B554="MEANS",INDEX('1-DATA'!$1:$1048576,$A553-1,COLUMN('1-DATA'!AX552)),ROUND(INDEX('1-DATA'!$1:$1048576,IF(OR($B554="STD. DEVIATION",$C$1=1),$A554,$A554+1),COLUMN('1-DATA'!AX552)),IF($B554="STD. DEVIATION",2,$F$1))))</f>
        <v/>
      </c>
      <c r="AZ554" s="1" t="str">
        <f>IF(OR($B554="",AZ$7=""),"",IF($B554="MEANS",INDEX('1-DATA'!$1:$1048576,$A553-1,COLUMN('1-DATA'!AY552)),ROUND(INDEX('1-DATA'!$1:$1048576,IF(OR($B554="STD. DEVIATION",$C$1=1),$A554,$A554+1),COLUMN('1-DATA'!AY552)),IF($B554="STD. DEVIATION",2,$F$1))))</f>
        <v/>
      </c>
    </row>
    <row r="555" spans="1:52" x14ac:dyDescent="0.25">
      <c r="A555" s="11">
        <f t="shared" si="9"/>
        <v>1651</v>
      </c>
      <c r="B555" s="1" t="str">
        <f>IF(B554="STD. DEVIATION",INDEX('1-DATA'!$1:$1048576,$A554-1,1),IF(INDEX('1-DATA'!$1:$1048576,$A555,1)&lt;&gt;"",INDEX('1-DATA'!$1:$1048576,$A555,1),""))</f>
        <v/>
      </c>
      <c r="C555" s="1" t="str">
        <f>IF(OR($B555="",C$7=""),"",IF($B555="MEANS",INDEX('1-DATA'!$1:$1048576,$A554-1,COLUMN('1-DATA'!B553)),ROUND(INDEX('1-DATA'!$1:$1048576,IF(OR($B555="STD. DEVIATION",$C$1=1),$A555,$A555+1),COLUMN('1-DATA'!B553)),IF($B555="STD. DEVIATION",2,$F$1))))</f>
        <v/>
      </c>
      <c r="D555" s="1" t="str">
        <f>IF(OR($B555="",D$7=""),"",IF($B555="MEANS",INDEX('1-DATA'!$1:$1048576,$A554-1,COLUMN('1-DATA'!C553)),ROUND(INDEX('1-DATA'!$1:$1048576,IF(OR($B555="STD. DEVIATION",$C$1=1),$A555,$A555+1),COLUMN('1-DATA'!C553)),IF($B555="STD. DEVIATION",2,$F$1))))</f>
        <v/>
      </c>
      <c r="E555" s="1" t="str">
        <f>IF(OR($B555="",E$7=""),"",IF($B555="MEANS",INDEX('1-DATA'!$1:$1048576,$A554-1,COLUMN('1-DATA'!D553)),ROUND(INDEX('1-DATA'!$1:$1048576,IF(OR($B555="STD. DEVIATION",$C$1=1),$A555,$A555+1),COLUMN('1-DATA'!D553)),IF($B555="STD. DEVIATION",2,$F$1))))</f>
        <v/>
      </c>
      <c r="F555" s="1" t="str">
        <f>IF(OR($B555="",F$7=""),"",IF($B555="MEANS",INDEX('1-DATA'!$1:$1048576,$A554-1,COLUMN('1-DATA'!E553)),ROUND(INDEX('1-DATA'!$1:$1048576,IF(OR($B555="STD. DEVIATION",$C$1=1),$A555,$A555+1),COLUMN('1-DATA'!E553)),IF($B555="STD. DEVIATION",2,$F$1))))</f>
        <v/>
      </c>
      <c r="G555" s="1" t="str">
        <f>IF(OR($B555="",G$7=""),"",IF($B555="MEANS",INDEX('1-DATA'!$1:$1048576,$A554-1,COLUMN('1-DATA'!F553)),ROUND(INDEX('1-DATA'!$1:$1048576,IF(OR($B555="STD. DEVIATION",$C$1=1),$A555,$A555+1),COLUMN('1-DATA'!F553)),IF($B555="STD. DEVIATION",2,$F$1))))</f>
        <v/>
      </c>
      <c r="H555" s="1" t="str">
        <f>IF(OR($B555="",H$7=""),"",IF($B555="MEANS",INDEX('1-DATA'!$1:$1048576,$A554-1,COLUMN('1-DATA'!G553)),ROUND(INDEX('1-DATA'!$1:$1048576,IF(OR($B555="STD. DEVIATION",$C$1=1),$A555,$A555+1),COLUMN('1-DATA'!G553)),IF($B555="STD. DEVIATION",2,$F$1))))</f>
        <v/>
      </c>
      <c r="I555" s="1" t="str">
        <f>IF(OR($B555="",I$7=""),"",IF($B555="MEANS",INDEX('1-DATA'!$1:$1048576,$A554-1,COLUMN('1-DATA'!H553)),ROUND(INDEX('1-DATA'!$1:$1048576,IF(OR($B555="STD. DEVIATION",$C$1=1),$A555,$A555+1),COLUMN('1-DATA'!H553)),IF($B555="STD. DEVIATION",2,$F$1))))</f>
        <v/>
      </c>
      <c r="J555" s="1" t="str">
        <f>IF(OR($B555="",J$7=""),"",IF($B555="MEANS",INDEX('1-DATA'!$1:$1048576,$A554-1,COLUMN('1-DATA'!I553)),ROUND(INDEX('1-DATA'!$1:$1048576,IF(OR($B555="STD. DEVIATION",$C$1=1),$A555,$A555+1),COLUMN('1-DATA'!I553)),IF($B555="STD. DEVIATION",2,$F$1))))</f>
        <v/>
      </c>
      <c r="K555" s="1" t="str">
        <f>IF(OR($B555="",K$7=""),"",IF($B555="MEANS",INDEX('1-DATA'!$1:$1048576,$A554-1,COLUMN('1-DATA'!J553)),ROUND(INDEX('1-DATA'!$1:$1048576,IF(OR($B555="STD. DEVIATION",$C$1=1),$A555,$A555+1),COLUMN('1-DATA'!J553)),IF($B555="STD. DEVIATION",2,$F$1))))</f>
        <v/>
      </c>
      <c r="L555" s="1" t="str">
        <f>IF(OR($B555="",L$7=""),"",IF($B555="MEANS",INDEX('1-DATA'!$1:$1048576,$A554-1,COLUMN('1-DATA'!K553)),ROUND(INDEX('1-DATA'!$1:$1048576,IF(OR($B555="STD. DEVIATION",$C$1=1),$A555,$A555+1),COLUMN('1-DATA'!K553)),IF($B555="STD. DEVIATION",2,$F$1))))</f>
        <v/>
      </c>
      <c r="M555" s="1" t="str">
        <f>IF(OR($B555="",M$7=""),"",IF($B555="MEANS",INDEX('1-DATA'!$1:$1048576,$A554-1,COLUMN('1-DATA'!L553)),ROUND(INDEX('1-DATA'!$1:$1048576,IF(OR($B555="STD. DEVIATION",$C$1=1),$A555,$A555+1),COLUMN('1-DATA'!L553)),IF($B555="STD. DEVIATION",2,$F$1))))</f>
        <v/>
      </c>
      <c r="N555" s="1" t="str">
        <f>IF(OR($B555="",N$7=""),"",IF($B555="MEANS",INDEX('1-DATA'!$1:$1048576,$A554-1,COLUMN('1-DATA'!M553)),ROUND(INDEX('1-DATA'!$1:$1048576,IF(OR($B555="STD. DEVIATION",$C$1=1),$A555,$A555+1),COLUMN('1-DATA'!M553)),IF($B555="STD. DEVIATION",2,$F$1))))</f>
        <v/>
      </c>
      <c r="O555" s="1" t="str">
        <f>IF(OR($B555="",O$7=""),"",IF($B555="MEANS",INDEX('1-DATA'!$1:$1048576,$A554-1,COLUMN('1-DATA'!N553)),ROUND(INDEX('1-DATA'!$1:$1048576,IF(OR($B555="STD. DEVIATION",$C$1=1),$A555,$A555+1),COLUMN('1-DATA'!N553)),IF($B555="STD. DEVIATION",2,$F$1))))</f>
        <v/>
      </c>
      <c r="P555" s="1" t="str">
        <f>IF(OR($B555="",P$7=""),"",IF($B555="MEANS",INDEX('1-DATA'!$1:$1048576,$A554-1,COLUMN('1-DATA'!O553)),ROUND(INDEX('1-DATA'!$1:$1048576,IF(OR($B555="STD. DEVIATION",$C$1=1),$A555,$A555+1),COLUMN('1-DATA'!O553)),IF($B555="STD. DEVIATION",2,$F$1))))</f>
        <v/>
      </c>
      <c r="Q555" s="1" t="str">
        <f>IF(OR($B555="",Q$7=""),"",IF($B555="MEANS",INDEX('1-DATA'!$1:$1048576,$A554-1,COLUMN('1-DATA'!P553)),ROUND(INDEX('1-DATA'!$1:$1048576,IF(OR($B555="STD. DEVIATION",$C$1=1),$A555,$A555+1),COLUMN('1-DATA'!P553)),IF($B555="STD. DEVIATION",2,$F$1))))</f>
        <v/>
      </c>
      <c r="R555" s="1" t="str">
        <f>IF(OR($B555="",R$7=""),"",IF($B555="MEANS",INDEX('1-DATA'!$1:$1048576,$A554-1,COLUMN('1-DATA'!Q553)),ROUND(INDEX('1-DATA'!$1:$1048576,IF(OR($B555="STD. DEVIATION",$C$1=1),$A555,$A555+1),COLUMN('1-DATA'!Q553)),IF($B555="STD. DEVIATION",2,$F$1))))</f>
        <v/>
      </c>
      <c r="S555" s="1" t="str">
        <f>IF(OR($B555="",S$7=""),"",IF($B555="MEANS",INDEX('1-DATA'!$1:$1048576,$A554-1,COLUMN('1-DATA'!R553)),ROUND(INDEX('1-DATA'!$1:$1048576,IF(OR($B555="STD. DEVIATION",$C$1=1),$A555,$A555+1),COLUMN('1-DATA'!R553)),IF($B555="STD. DEVIATION",2,$F$1))))</f>
        <v/>
      </c>
      <c r="T555" s="1" t="str">
        <f>IF(OR($B555="",T$7=""),"",IF($B555="MEANS",INDEX('1-DATA'!$1:$1048576,$A554-1,COLUMN('1-DATA'!S553)),ROUND(INDEX('1-DATA'!$1:$1048576,IF(OR($B555="STD. DEVIATION",$C$1=1),$A555,$A555+1),COLUMN('1-DATA'!S553)),IF($B555="STD. DEVIATION",2,$F$1))))</f>
        <v/>
      </c>
      <c r="U555" s="1" t="str">
        <f>IF(OR($B555="",U$7=""),"",IF($B555="MEANS",INDEX('1-DATA'!$1:$1048576,$A554-1,COLUMN('1-DATA'!T553)),ROUND(INDEX('1-DATA'!$1:$1048576,IF(OR($B555="STD. DEVIATION",$C$1=1),$A555,$A555+1),COLUMN('1-DATA'!T553)),IF($B555="STD. DEVIATION",2,$F$1))))</f>
        <v/>
      </c>
      <c r="V555" s="1" t="str">
        <f>IF(OR($B555="",V$7=""),"",IF($B555="MEANS",INDEX('1-DATA'!$1:$1048576,$A554-1,COLUMN('1-DATA'!U553)),ROUND(INDEX('1-DATA'!$1:$1048576,IF(OR($B555="STD. DEVIATION",$C$1=1),$A555,$A555+1),COLUMN('1-DATA'!U553)),IF($B555="STD. DEVIATION",2,$F$1))))</f>
        <v/>
      </c>
      <c r="W555" s="1" t="str">
        <f>IF(OR($B555="",W$7=""),"",IF($B555="MEANS",INDEX('1-DATA'!$1:$1048576,$A554-1,COLUMN('1-DATA'!V553)),ROUND(INDEX('1-DATA'!$1:$1048576,IF(OR($B555="STD. DEVIATION",$C$1=1),$A555,$A555+1),COLUMN('1-DATA'!V553)),IF($B555="STD. DEVIATION",2,$F$1))))</f>
        <v/>
      </c>
      <c r="X555" s="1" t="str">
        <f>IF(OR($B555="",X$7=""),"",IF($B555="MEANS",INDEX('1-DATA'!$1:$1048576,$A554-1,COLUMN('1-DATA'!W553)),ROUND(INDEX('1-DATA'!$1:$1048576,IF(OR($B555="STD. DEVIATION",$C$1=1),$A555,$A555+1),COLUMN('1-DATA'!W553)),IF($B555="STD. DEVIATION",2,$F$1))))</f>
        <v/>
      </c>
      <c r="Y555" s="1" t="str">
        <f>IF(OR($B555="",Y$7=""),"",IF($B555="MEANS",INDEX('1-DATA'!$1:$1048576,$A554-1,COLUMN('1-DATA'!X553)),ROUND(INDEX('1-DATA'!$1:$1048576,IF(OR($B555="STD. DEVIATION",$C$1=1),$A555,$A555+1),COLUMN('1-DATA'!X553)),IF($B555="STD. DEVIATION",2,$F$1))))</f>
        <v/>
      </c>
      <c r="Z555" s="1" t="str">
        <f>IF(OR($B555="",Z$7=""),"",IF($B555="MEANS",INDEX('1-DATA'!$1:$1048576,$A554-1,COLUMN('1-DATA'!Y553)),ROUND(INDEX('1-DATA'!$1:$1048576,IF(OR($B555="STD. DEVIATION",$C$1=1),$A555,$A555+1),COLUMN('1-DATA'!Y553)),IF($B555="STD. DEVIATION",2,$F$1))))</f>
        <v/>
      </c>
      <c r="AA555" s="1" t="str">
        <f>IF(OR($B555="",AA$7=""),"",IF($B555="MEANS",INDEX('1-DATA'!$1:$1048576,$A554-1,COLUMN('1-DATA'!Z553)),ROUND(INDEX('1-DATA'!$1:$1048576,IF(OR($B555="STD. DEVIATION",$C$1=1),$A555,$A555+1),COLUMN('1-DATA'!Z553)),IF($B555="STD. DEVIATION",2,$F$1))))</f>
        <v/>
      </c>
      <c r="AB555" s="1" t="str">
        <f>IF(OR($B555="",AB$7=""),"",IF($B555="MEANS",INDEX('1-DATA'!$1:$1048576,$A554-1,COLUMN('1-DATA'!AA553)),ROUND(INDEX('1-DATA'!$1:$1048576,IF(OR($B555="STD. DEVIATION",$C$1=1),$A555,$A555+1),COLUMN('1-DATA'!AA553)),IF($B555="STD. DEVIATION",2,$F$1))))</f>
        <v/>
      </c>
      <c r="AC555" s="1" t="str">
        <f>IF(OR($B555="",AC$7=""),"",IF($B555="MEANS",INDEX('1-DATA'!$1:$1048576,$A554-1,COLUMN('1-DATA'!AB553)),ROUND(INDEX('1-DATA'!$1:$1048576,IF(OR($B555="STD. DEVIATION",$C$1=1),$A555,$A555+1),COLUMN('1-DATA'!AB553)),IF($B555="STD. DEVIATION",2,$F$1))))</f>
        <v/>
      </c>
      <c r="AD555" s="1" t="str">
        <f>IF(OR($B555="",AD$7=""),"",IF($B555="MEANS",INDEX('1-DATA'!$1:$1048576,$A554-1,COLUMN('1-DATA'!AC553)),ROUND(INDEX('1-DATA'!$1:$1048576,IF(OR($B555="STD. DEVIATION",$C$1=1),$A555,$A555+1),COLUMN('1-DATA'!AC553)),IF($B555="STD. DEVIATION",2,$F$1))))</f>
        <v/>
      </c>
      <c r="AE555" s="1" t="str">
        <f>IF(OR($B555="",AE$7=""),"",IF($B555="MEANS",INDEX('1-DATA'!$1:$1048576,$A554-1,COLUMN('1-DATA'!AD553)),ROUND(INDEX('1-DATA'!$1:$1048576,IF(OR($B555="STD. DEVIATION",$C$1=1),$A555,$A555+1),COLUMN('1-DATA'!AD553)),IF($B555="STD. DEVIATION",2,$F$1))))</f>
        <v/>
      </c>
      <c r="AF555" s="1" t="str">
        <f>IF(OR($B555="",AF$7=""),"",IF($B555="MEANS",INDEX('1-DATA'!$1:$1048576,$A554-1,COLUMN('1-DATA'!AE553)),ROUND(INDEX('1-DATA'!$1:$1048576,IF(OR($B555="STD. DEVIATION",$C$1=1),$A555,$A555+1),COLUMN('1-DATA'!AE553)),IF($B555="STD. DEVIATION",2,$F$1))))</f>
        <v/>
      </c>
      <c r="AG555" s="1" t="str">
        <f>IF(OR($B555="",AG$7=""),"",IF($B555="MEANS",INDEX('1-DATA'!$1:$1048576,$A554-1,COLUMN('1-DATA'!AF553)),ROUND(INDEX('1-DATA'!$1:$1048576,IF(OR($B555="STD. DEVIATION",$C$1=1),$A555,$A555+1),COLUMN('1-DATA'!AF553)),IF($B555="STD. DEVIATION",2,$F$1))))</f>
        <v/>
      </c>
      <c r="AH555" s="1" t="str">
        <f>IF(OR($B555="",AH$7=""),"",IF($B555="MEANS",INDEX('1-DATA'!$1:$1048576,$A554-1,COLUMN('1-DATA'!AG553)),ROUND(INDEX('1-DATA'!$1:$1048576,IF(OR($B555="STD. DEVIATION",$C$1=1),$A555,$A555+1),COLUMN('1-DATA'!AG553)),IF($B555="STD. DEVIATION",2,$F$1))))</f>
        <v/>
      </c>
      <c r="AI555" s="1" t="str">
        <f>IF(OR($B555="",AI$7=""),"",IF($B555="MEANS",INDEX('1-DATA'!$1:$1048576,$A554-1,COLUMN('1-DATA'!AH553)),ROUND(INDEX('1-DATA'!$1:$1048576,IF(OR($B555="STD. DEVIATION",$C$1=1),$A555,$A555+1),COLUMN('1-DATA'!AH553)),IF($B555="STD. DEVIATION",2,$F$1))))</f>
        <v/>
      </c>
      <c r="AJ555" s="1" t="str">
        <f>IF(OR($B555="",AJ$7=""),"",IF($B555="MEANS",INDEX('1-DATA'!$1:$1048576,$A554-1,COLUMN('1-DATA'!AI553)),ROUND(INDEX('1-DATA'!$1:$1048576,IF(OR($B555="STD. DEVIATION",$C$1=1),$A555,$A555+1),COLUMN('1-DATA'!AI553)),IF($B555="STD. DEVIATION",2,$F$1))))</f>
        <v/>
      </c>
      <c r="AK555" s="1" t="str">
        <f>IF(OR($B555="",AK$7=""),"",IF($B555="MEANS",INDEX('1-DATA'!$1:$1048576,$A554-1,COLUMN('1-DATA'!AJ553)),ROUND(INDEX('1-DATA'!$1:$1048576,IF(OR($B555="STD. DEVIATION",$C$1=1),$A555,$A555+1),COLUMN('1-DATA'!AJ553)),IF($B555="STD. DEVIATION",2,$F$1))))</f>
        <v/>
      </c>
      <c r="AL555" s="1" t="str">
        <f>IF(OR($B555="",AL$7=""),"",IF($B555="MEANS",INDEX('1-DATA'!$1:$1048576,$A554-1,COLUMN('1-DATA'!AK553)),ROUND(INDEX('1-DATA'!$1:$1048576,IF(OR($B555="STD. DEVIATION",$C$1=1),$A555,$A555+1),COLUMN('1-DATA'!AK553)),IF($B555="STD. DEVIATION",2,$F$1))))</f>
        <v/>
      </c>
      <c r="AM555" s="1" t="str">
        <f>IF(OR($B555="",AM$7=""),"",IF($B555="MEANS",INDEX('1-DATA'!$1:$1048576,$A554-1,COLUMN('1-DATA'!AL553)),ROUND(INDEX('1-DATA'!$1:$1048576,IF(OR($B555="STD. DEVIATION",$C$1=1),$A555,$A555+1),COLUMN('1-DATA'!AL553)),IF($B555="STD. DEVIATION",2,$F$1))))</f>
        <v/>
      </c>
      <c r="AN555" s="1" t="str">
        <f>IF(OR($B555="",AN$7=""),"",IF($B555="MEANS",INDEX('1-DATA'!$1:$1048576,$A554-1,COLUMN('1-DATA'!AM553)),ROUND(INDEX('1-DATA'!$1:$1048576,IF(OR($B555="STD. DEVIATION",$C$1=1),$A555,$A555+1),COLUMN('1-DATA'!AM553)),IF($B555="STD. DEVIATION",2,$F$1))))</f>
        <v/>
      </c>
      <c r="AO555" s="1" t="str">
        <f>IF(OR($B555="",AO$7=""),"",IF($B555="MEANS",INDEX('1-DATA'!$1:$1048576,$A554-1,COLUMN('1-DATA'!AN553)),ROUND(INDEX('1-DATA'!$1:$1048576,IF(OR($B555="STD. DEVIATION",$C$1=1),$A555,$A555+1),COLUMN('1-DATA'!AN553)),IF($B555="STD. DEVIATION",2,$F$1))))</f>
        <v/>
      </c>
      <c r="AP555" s="1" t="str">
        <f>IF(OR($B555="",AP$7=""),"",IF($B555="MEANS",INDEX('1-DATA'!$1:$1048576,$A554-1,COLUMN('1-DATA'!AO553)),ROUND(INDEX('1-DATA'!$1:$1048576,IF(OR($B555="STD. DEVIATION",$C$1=1),$A555,$A555+1),COLUMN('1-DATA'!AO553)),IF($B555="STD. DEVIATION",2,$F$1))))</f>
        <v/>
      </c>
      <c r="AQ555" s="1" t="str">
        <f>IF(OR($B555="",AQ$7=""),"",IF($B555="MEANS",INDEX('1-DATA'!$1:$1048576,$A554-1,COLUMN('1-DATA'!AP553)),ROUND(INDEX('1-DATA'!$1:$1048576,IF(OR($B555="STD. DEVIATION",$C$1=1),$A555,$A555+1),COLUMN('1-DATA'!AP553)),IF($B555="STD. DEVIATION",2,$F$1))))</f>
        <v/>
      </c>
      <c r="AR555" s="1" t="str">
        <f>IF(OR($B555="",AR$7=""),"",IF($B555="MEANS",INDEX('1-DATA'!$1:$1048576,$A554-1,COLUMN('1-DATA'!AQ553)),ROUND(INDEX('1-DATA'!$1:$1048576,IF(OR($B555="STD. DEVIATION",$C$1=1),$A555,$A555+1),COLUMN('1-DATA'!AQ553)),IF($B555="STD. DEVIATION",2,$F$1))))</f>
        <v/>
      </c>
      <c r="AS555" s="1" t="str">
        <f>IF(OR($B555="",AS$7=""),"",IF($B555="MEANS",INDEX('1-DATA'!$1:$1048576,$A554-1,COLUMN('1-DATA'!AR553)),ROUND(INDEX('1-DATA'!$1:$1048576,IF(OR($B555="STD. DEVIATION",$C$1=1),$A555,$A555+1),COLUMN('1-DATA'!AR553)),IF($B555="STD. DEVIATION",2,$F$1))))</f>
        <v/>
      </c>
      <c r="AT555" s="1" t="str">
        <f>IF(OR($B555="",AT$7=""),"",IF($B555="MEANS",INDEX('1-DATA'!$1:$1048576,$A554-1,COLUMN('1-DATA'!AS553)),ROUND(INDEX('1-DATA'!$1:$1048576,IF(OR($B555="STD. DEVIATION",$C$1=1),$A555,$A555+1),COLUMN('1-DATA'!AS553)),IF($B555="STD. DEVIATION",2,$F$1))))</f>
        <v/>
      </c>
      <c r="AU555" s="1" t="str">
        <f>IF(OR($B555="",AU$7=""),"",IF($B555="MEANS",INDEX('1-DATA'!$1:$1048576,$A554-1,COLUMN('1-DATA'!AT553)),ROUND(INDEX('1-DATA'!$1:$1048576,IF(OR($B555="STD. DEVIATION",$C$1=1),$A555,$A555+1),COLUMN('1-DATA'!AT553)),IF($B555="STD. DEVIATION",2,$F$1))))</f>
        <v/>
      </c>
      <c r="AV555" s="1" t="str">
        <f>IF(OR($B555="",AV$7=""),"",IF($B555="MEANS",INDEX('1-DATA'!$1:$1048576,$A554-1,COLUMN('1-DATA'!AU553)),ROUND(INDEX('1-DATA'!$1:$1048576,IF(OR($B555="STD. DEVIATION",$C$1=1),$A555,$A555+1),COLUMN('1-DATA'!AU553)),IF($B555="STD. DEVIATION",2,$F$1))))</f>
        <v/>
      </c>
      <c r="AW555" s="1" t="str">
        <f>IF(OR($B555="",AW$7=""),"",IF($B555="MEANS",INDEX('1-DATA'!$1:$1048576,$A554-1,COLUMN('1-DATA'!AV553)),ROUND(INDEX('1-DATA'!$1:$1048576,IF(OR($B555="STD. DEVIATION",$C$1=1),$A555,$A555+1),COLUMN('1-DATA'!AV553)),IF($B555="STD. DEVIATION",2,$F$1))))</f>
        <v/>
      </c>
      <c r="AX555" s="1" t="str">
        <f>IF(OR($B555="",AX$7=""),"",IF($B555="MEANS",INDEX('1-DATA'!$1:$1048576,$A554-1,COLUMN('1-DATA'!AW553)),ROUND(INDEX('1-DATA'!$1:$1048576,IF(OR($B555="STD. DEVIATION",$C$1=1),$A555,$A555+1),COLUMN('1-DATA'!AW553)),IF($B555="STD. DEVIATION",2,$F$1))))</f>
        <v/>
      </c>
      <c r="AY555" s="1" t="str">
        <f>IF(OR($B555="",AY$7=""),"",IF($B555="MEANS",INDEX('1-DATA'!$1:$1048576,$A554-1,COLUMN('1-DATA'!AX553)),ROUND(INDEX('1-DATA'!$1:$1048576,IF(OR($B555="STD. DEVIATION",$C$1=1),$A555,$A555+1),COLUMN('1-DATA'!AX553)),IF($B555="STD. DEVIATION",2,$F$1))))</f>
        <v/>
      </c>
      <c r="AZ555" s="1" t="str">
        <f>IF(OR($B555="",AZ$7=""),"",IF($B555="MEANS",INDEX('1-DATA'!$1:$1048576,$A554-1,COLUMN('1-DATA'!AY553)),ROUND(INDEX('1-DATA'!$1:$1048576,IF(OR($B555="STD. DEVIATION",$C$1=1),$A555,$A555+1),COLUMN('1-DATA'!AY553)),IF($B555="STD. DEVIATION",2,$F$1))))</f>
        <v/>
      </c>
    </row>
    <row r="556" spans="1:52" x14ac:dyDescent="0.25">
      <c r="A556" s="11">
        <f t="shared" si="9"/>
        <v>1654</v>
      </c>
      <c r="B556" s="1" t="str">
        <f>IF(B555="STD. DEVIATION",INDEX('1-DATA'!$1:$1048576,$A555-1,1),IF(INDEX('1-DATA'!$1:$1048576,$A556,1)&lt;&gt;"",INDEX('1-DATA'!$1:$1048576,$A556,1),""))</f>
        <v/>
      </c>
      <c r="C556" s="1" t="str">
        <f>IF(OR($B556="",C$7=""),"",IF($B556="MEANS",INDEX('1-DATA'!$1:$1048576,$A555-1,COLUMN('1-DATA'!B554)),ROUND(INDEX('1-DATA'!$1:$1048576,IF(OR($B556="STD. DEVIATION",$C$1=1),$A556,$A556+1),COLUMN('1-DATA'!B554)),IF($B556="STD. DEVIATION",2,$F$1))))</f>
        <v/>
      </c>
      <c r="D556" s="1" t="str">
        <f>IF(OR($B556="",D$7=""),"",IF($B556="MEANS",INDEX('1-DATA'!$1:$1048576,$A555-1,COLUMN('1-DATA'!C554)),ROUND(INDEX('1-DATA'!$1:$1048576,IF(OR($B556="STD. DEVIATION",$C$1=1),$A556,$A556+1),COLUMN('1-DATA'!C554)),IF($B556="STD. DEVIATION",2,$F$1))))</f>
        <v/>
      </c>
      <c r="E556" s="1" t="str">
        <f>IF(OR($B556="",E$7=""),"",IF($B556="MEANS",INDEX('1-DATA'!$1:$1048576,$A555-1,COLUMN('1-DATA'!D554)),ROUND(INDEX('1-DATA'!$1:$1048576,IF(OR($B556="STD. DEVIATION",$C$1=1),$A556,$A556+1),COLUMN('1-DATA'!D554)),IF($B556="STD. DEVIATION",2,$F$1))))</f>
        <v/>
      </c>
      <c r="F556" s="1" t="str">
        <f>IF(OR($B556="",F$7=""),"",IF($B556="MEANS",INDEX('1-DATA'!$1:$1048576,$A555-1,COLUMN('1-DATA'!E554)),ROUND(INDEX('1-DATA'!$1:$1048576,IF(OR($B556="STD. DEVIATION",$C$1=1),$A556,$A556+1),COLUMN('1-DATA'!E554)),IF($B556="STD. DEVIATION",2,$F$1))))</f>
        <v/>
      </c>
      <c r="G556" s="1" t="str">
        <f>IF(OR($B556="",G$7=""),"",IF($B556="MEANS",INDEX('1-DATA'!$1:$1048576,$A555-1,COLUMN('1-DATA'!F554)),ROUND(INDEX('1-DATA'!$1:$1048576,IF(OR($B556="STD. DEVIATION",$C$1=1),$A556,$A556+1),COLUMN('1-DATA'!F554)),IF($B556="STD. DEVIATION",2,$F$1))))</f>
        <v/>
      </c>
      <c r="H556" s="1" t="str">
        <f>IF(OR($B556="",H$7=""),"",IF($B556="MEANS",INDEX('1-DATA'!$1:$1048576,$A555-1,COLUMN('1-DATA'!G554)),ROUND(INDEX('1-DATA'!$1:$1048576,IF(OR($B556="STD. DEVIATION",$C$1=1),$A556,$A556+1),COLUMN('1-DATA'!G554)),IF($B556="STD. DEVIATION",2,$F$1))))</f>
        <v/>
      </c>
      <c r="I556" s="1" t="str">
        <f>IF(OR($B556="",I$7=""),"",IF($B556="MEANS",INDEX('1-DATA'!$1:$1048576,$A555-1,COLUMN('1-DATA'!H554)),ROUND(INDEX('1-DATA'!$1:$1048576,IF(OR($B556="STD. DEVIATION",$C$1=1),$A556,$A556+1),COLUMN('1-DATA'!H554)),IF($B556="STD. DEVIATION",2,$F$1))))</f>
        <v/>
      </c>
      <c r="J556" s="1" t="str">
        <f>IF(OR($B556="",J$7=""),"",IF($B556="MEANS",INDEX('1-DATA'!$1:$1048576,$A555-1,COLUMN('1-DATA'!I554)),ROUND(INDEX('1-DATA'!$1:$1048576,IF(OR($B556="STD. DEVIATION",$C$1=1),$A556,$A556+1),COLUMN('1-DATA'!I554)),IF($B556="STD. DEVIATION",2,$F$1))))</f>
        <v/>
      </c>
      <c r="K556" s="1" t="str">
        <f>IF(OR($B556="",K$7=""),"",IF($B556="MEANS",INDEX('1-DATA'!$1:$1048576,$A555-1,COLUMN('1-DATA'!J554)),ROUND(INDEX('1-DATA'!$1:$1048576,IF(OR($B556="STD. DEVIATION",$C$1=1),$A556,$A556+1),COLUMN('1-DATA'!J554)),IF($B556="STD. DEVIATION",2,$F$1))))</f>
        <v/>
      </c>
      <c r="L556" s="1" t="str">
        <f>IF(OR($B556="",L$7=""),"",IF($B556="MEANS",INDEX('1-DATA'!$1:$1048576,$A555-1,COLUMN('1-DATA'!K554)),ROUND(INDEX('1-DATA'!$1:$1048576,IF(OR($B556="STD. DEVIATION",$C$1=1),$A556,$A556+1),COLUMN('1-DATA'!K554)),IF($B556="STD. DEVIATION",2,$F$1))))</f>
        <v/>
      </c>
      <c r="M556" s="1" t="str">
        <f>IF(OR($B556="",M$7=""),"",IF($B556="MEANS",INDEX('1-DATA'!$1:$1048576,$A555-1,COLUMN('1-DATA'!L554)),ROUND(INDEX('1-DATA'!$1:$1048576,IF(OR($B556="STD. DEVIATION",$C$1=1),$A556,$A556+1),COLUMN('1-DATA'!L554)),IF($B556="STD. DEVIATION",2,$F$1))))</f>
        <v/>
      </c>
      <c r="N556" s="1" t="str">
        <f>IF(OR($B556="",N$7=""),"",IF($B556="MEANS",INDEX('1-DATA'!$1:$1048576,$A555-1,COLUMN('1-DATA'!M554)),ROUND(INDEX('1-DATA'!$1:$1048576,IF(OR($B556="STD. DEVIATION",$C$1=1),$A556,$A556+1),COLUMN('1-DATA'!M554)),IF($B556="STD. DEVIATION",2,$F$1))))</f>
        <v/>
      </c>
      <c r="O556" s="1" t="str">
        <f>IF(OR($B556="",O$7=""),"",IF($B556="MEANS",INDEX('1-DATA'!$1:$1048576,$A555-1,COLUMN('1-DATA'!N554)),ROUND(INDEX('1-DATA'!$1:$1048576,IF(OR($B556="STD. DEVIATION",$C$1=1),$A556,$A556+1),COLUMN('1-DATA'!N554)),IF($B556="STD. DEVIATION",2,$F$1))))</f>
        <v/>
      </c>
      <c r="P556" s="1" t="str">
        <f>IF(OR($B556="",P$7=""),"",IF($B556="MEANS",INDEX('1-DATA'!$1:$1048576,$A555-1,COLUMN('1-DATA'!O554)),ROUND(INDEX('1-DATA'!$1:$1048576,IF(OR($B556="STD. DEVIATION",$C$1=1),$A556,$A556+1),COLUMN('1-DATA'!O554)),IF($B556="STD. DEVIATION",2,$F$1))))</f>
        <v/>
      </c>
      <c r="Q556" s="1" t="str">
        <f>IF(OR($B556="",Q$7=""),"",IF($B556="MEANS",INDEX('1-DATA'!$1:$1048576,$A555-1,COLUMN('1-DATA'!P554)),ROUND(INDEX('1-DATA'!$1:$1048576,IF(OR($B556="STD. DEVIATION",$C$1=1),$A556,$A556+1),COLUMN('1-DATA'!P554)),IF($B556="STD. DEVIATION",2,$F$1))))</f>
        <v/>
      </c>
      <c r="R556" s="1" t="str">
        <f>IF(OR($B556="",R$7=""),"",IF($B556="MEANS",INDEX('1-DATA'!$1:$1048576,$A555-1,COLUMN('1-DATA'!Q554)),ROUND(INDEX('1-DATA'!$1:$1048576,IF(OR($B556="STD. DEVIATION",$C$1=1),$A556,$A556+1),COLUMN('1-DATA'!Q554)),IF($B556="STD. DEVIATION",2,$F$1))))</f>
        <v/>
      </c>
      <c r="S556" s="1" t="str">
        <f>IF(OR($B556="",S$7=""),"",IF($B556="MEANS",INDEX('1-DATA'!$1:$1048576,$A555-1,COLUMN('1-DATA'!R554)),ROUND(INDEX('1-DATA'!$1:$1048576,IF(OR($B556="STD. DEVIATION",$C$1=1),$A556,$A556+1),COLUMN('1-DATA'!R554)),IF($B556="STD. DEVIATION",2,$F$1))))</f>
        <v/>
      </c>
      <c r="T556" s="1" t="str">
        <f>IF(OR($B556="",T$7=""),"",IF($B556="MEANS",INDEX('1-DATA'!$1:$1048576,$A555-1,COLUMN('1-DATA'!S554)),ROUND(INDEX('1-DATA'!$1:$1048576,IF(OR($B556="STD. DEVIATION",$C$1=1),$A556,$A556+1),COLUMN('1-DATA'!S554)),IF($B556="STD. DEVIATION",2,$F$1))))</f>
        <v/>
      </c>
      <c r="U556" s="1" t="str">
        <f>IF(OR($B556="",U$7=""),"",IF($B556="MEANS",INDEX('1-DATA'!$1:$1048576,$A555-1,COLUMN('1-DATA'!T554)),ROUND(INDEX('1-DATA'!$1:$1048576,IF(OR($B556="STD. DEVIATION",$C$1=1),$A556,$A556+1),COLUMN('1-DATA'!T554)),IF($B556="STD. DEVIATION",2,$F$1))))</f>
        <v/>
      </c>
      <c r="V556" s="1" t="str">
        <f>IF(OR($B556="",V$7=""),"",IF($B556="MEANS",INDEX('1-DATA'!$1:$1048576,$A555-1,COLUMN('1-DATA'!U554)),ROUND(INDEX('1-DATA'!$1:$1048576,IF(OR($B556="STD. DEVIATION",$C$1=1),$A556,$A556+1),COLUMN('1-DATA'!U554)),IF($B556="STD. DEVIATION",2,$F$1))))</f>
        <v/>
      </c>
      <c r="W556" s="1" t="str">
        <f>IF(OR($B556="",W$7=""),"",IF($B556="MEANS",INDEX('1-DATA'!$1:$1048576,$A555-1,COLUMN('1-DATA'!V554)),ROUND(INDEX('1-DATA'!$1:$1048576,IF(OR($B556="STD. DEVIATION",$C$1=1),$A556,$A556+1),COLUMN('1-DATA'!V554)),IF($B556="STD. DEVIATION",2,$F$1))))</f>
        <v/>
      </c>
      <c r="X556" s="1" t="str">
        <f>IF(OR($B556="",X$7=""),"",IF($B556="MEANS",INDEX('1-DATA'!$1:$1048576,$A555-1,COLUMN('1-DATA'!W554)),ROUND(INDEX('1-DATA'!$1:$1048576,IF(OR($B556="STD. DEVIATION",$C$1=1),$A556,$A556+1),COLUMN('1-DATA'!W554)),IF($B556="STD. DEVIATION",2,$F$1))))</f>
        <v/>
      </c>
      <c r="Y556" s="1" t="str">
        <f>IF(OR($B556="",Y$7=""),"",IF($B556="MEANS",INDEX('1-DATA'!$1:$1048576,$A555-1,COLUMN('1-DATA'!X554)),ROUND(INDEX('1-DATA'!$1:$1048576,IF(OR($B556="STD. DEVIATION",$C$1=1),$A556,$A556+1),COLUMN('1-DATA'!X554)),IF($B556="STD. DEVIATION",2,$F$1))))</f>
        <v/>
      </c>
      <c r="Z556" s="1" t="str">
        <f>IF(OR($B556="",Z$7=""),"",IF($B556="MEANS",INDEX('1-DATA'!$1:$1048576,$A555-1,COLUMN('1-DATA'!Y554)),ROUND(INDEX('1-DATA'!$1:$1048576,IF(OR($B556="STD. DEVIATION",$C$1=1),$A556,$A556+1),COLUMN('1-DATA'!Y554)),IF($B556="STD. DEVIATION",2,$F$1))))</f>
        <v/>
      </c>
      <c r="AA556" s="1" t="str">
        <f>IF(OR($B556="",AA$7=""),"",IF($B556="MEANS",INDEX('1-DATA'!$1:$1048576,$A555-1,COLUMN('1-DATA'!Z554)),ROUND(INDEX('1-DATA'!$1:$1048576,IF(OR($B556="STD. DEVIATION",$C$1=1),$A556,$A556+1),COLUMN('1-DATA'!Z554)),IF($B556="STD. DEVIATION",2,$F$1))))</f>
        <v/>
      </c>
      <c r="AB556" s="1" t="str">
        <f>IF(OR($B556="",AB$7=""),"",IF($B556="MEANS",INDEX('1-DATA'!$1:$1048576,$A555-1,COLUMN('1-DATA'!AA554)),ROUND(INDEX('1-DATA'!$1:$1048576,IF(OR($B556="STD. DEVIATION",$C$1=1),$A556,$A556+1),COLUMN('1-DATA'!AA554)),IF($B556="STD. DEVIATION",2,$F$1))))</f>
        <v/>
      </c>
      <c r="AC556" s="1" t="str">
        <f>IF(OR($B556="",AC$7=""),"",IF($B556="MEANS",INDEX('1-DATA'!$1:$1048576,$A555-1,COLUMN('1-DATA'!AB554)),ROUND(INDEX('1-DATA'!$1:$1048576,IF(OR($B556="STD. DEVIATION",$C$1=1),$A556,$A556+1),COLUMN('1-DATA'!AB554)),IF($B556="STD. DEVIATION",2,$F$1))))</f>
        <v/>
      </c>
      <c r="AD556" s="1" t="str">
        <f>IF(OR($B556="",AD$7=""),"",IF($B556="MEANS",INDEX('1-DATA'!$1:$1048576,$A555-1,COLUMN('1-DATA'!AC554)),ROUND(INDEX('1-DATA'!$1:$1048576,IF(OR($B556="STD. DEVIATION",$C$1=1),$A556,$A556+1),COLUMN('1-DATA'!AC554)),IF($B556="STD. DEVIATION",2,$F$1))))</f>
        <v/>
      </c>
      <c r="AE556" s="1" t="str">
        <f>IF(OR($B556="",AE$7=""),"",IF($B556="MEANS",INDEX('1-DATA'!$1:$1048576,$A555-1,COLUMN('1-DATA'!AD554)),ROUND(INDEX('1-DATA'!$1:$1048576,IF(OR($B556="STD. DEVIATION",$C$1=1),$A556,$A556+1),COLUMN('1-DATA'!AD554)),IF($B556="STD. DEVIATION",2,$F$1))))</f>
        <v/>
      </c>
      <c r="AF556" s="1" t="str">
        <f>IF(OR($B556="",AF$7=""),"",IF($B556="MEANS",INDEX('1-DATA'!$1:$1048576,$A555-1,COLUMN('1-DATA'!AE554)),ROUND(INDEX('1-DATA'!$1:$1048576,IF(OR($B556="STD. DEVIATION",$C$1=1),$A556,$A556+1),COLUMN('1-DATA'!AE554)),IF($B556="STD. DEVIATION",2,$F$1))))</f>
        <v/>
      </c>
      <c r="AG556" s="1" t="str">
        <f>IF(OR($B556="",AG$7=""),"",IF($B556="MEANS",INDEX('1-DATA'!$1:$1048576,$A555-1,COLUMN('1-DATA'!AF554)),ROUND(INDEX('1-DATA'!$1:$1048576,IF(OR($B556="STD. DEVIATION",$C$1=1),$A556,$A556+1),COLUMN('1-DATA'!AF554)),IF($B556="STD. DEVIATION",2,$F$1))))</f>
        <v/>
      </c>
      <c r="AH556" s="1" t="str">
        <f>IF(OR($B556="",AH$7=""),"",IF($B556="MEANS",INDEX('1-DATA'!$1:$1048576,$A555-1,COLUMN('1-DATA'!AG554)),ROUND(INDEX('1-DATA'!$1:$1048576,IF(OR($B556="STD. DEVIATION",$C$1=1),$A556,$A556+1),COLUMN('1-DATA'!AG554)),IF($B556="STD. DEVIATION",2,$F$1))))</f>
        <v/>
      </c>
      <c r="AI556" s="1" t="str">
        <f>IF(OR($B556="",AI$7=""),"",IF($B556="MEANS",INDEX('1-DATA'!$1:$1048576,$A555-1,COLUMN('1-DATA'!AH554)),ROUND(INDEX('1-DATA'!$1:$1048576,IF(OR($B556="STD. DEVIATION",$C$1=1),$A556,$A556+1),COLUMN('1-DATA'!AH554)),IF($B556="STD. DEVIATION",2,$F$1))))</f>
        <v/>
      </c>
      <c r="AJ556" s="1" t="str">
        <f>IF(OR($B556="",AJ$7=""),"",IF($B556="MEANS",INDEX('1-DATA'!$1:$1048576,$A555-1,COLUMN('1-DATA'!AI554)),ROUND(INDEX('1-DATA'!$1:$1048576,IF(OR($B556="STD. DEVIATION",$C$1=1),$A556,$A556+1),COLUMN('1-DATA'!AI554)),IF($B556="STD. DEVIATION",2,$F$1))))</f>
        <v/>
      </c>
      <c r="AK556" s="1" t="str">
        <f>IF(OR($B556="",AK$7=""),"",IF($B556="MEANS",INDEX('1-DATA'!$1:$1048576,$A555-1,COLUMN('1-DATA'!AJ554)),ROUND(INDEX('1-DATA'!$1:$1048576,IF(OR($B556="STD. DEVIATION",$C$1=1),$A556,$A556+1),COLUMN('1-DATA'!AJ554)),IF($B556="STD. DEVIATION",2,$F$1))))</f>
        <v/>
      </c>
      <c r="AL556" s="1" t="str">
        <f>IF(OR($B556="",AL$7=""),"",IF($B556="MEANS",INDEX('1-DATA'!$1:$1048576,$A555-1,COLUMN('1-DATA'!AK554)),ROUND(INDEX('1-DATA'!$1:$1048576,IF(OR($B556="STD. DEVIATION",$C$1=1),$A556,$A556+1),COLUMN('1-DATA'!AK554)),IF($B556="STD. DEVIATION",2,$F$1))))</f>
        <v/>
      </c>
      <c r="AM556" s="1" t="str">
        <f>IF(OR($B556="",AM$7=""),"",IF($B556="MEANS",INDEX('1-DATA'!$1:$1048576,$A555-1,COLUMN('1-DATA'!AL554)),ROUND(INDEX('1-DATA'!$1:$1048576,IF(OR($B556="STD. DEVIATION",$C$1=1),$A556,$A556+1),COLUMN('1-DATA'!AL554)),IF($B556="STD. DEVIATION",2,$F$1))))</f>
        <v/>
      </c>
      <c r="AN556" s="1" t="str">
        <f>IF(OR($B556="",AN$7=""),"",IF($B556="MEANS",INDEX('1-DATA'!$1:$1048576,$A555-1,COLUMN('1-DATA'!AM554)),ROUND(INDEX('1-DATA'!$1:$1048576,IF(OR($B556="STD. DEVIATION",$C$1=1),$A556,$A556+1),COLUMN('1-DATA'!AM554)),IF($B556="STD. DEVIATION",2,$F$1))))</f>
        <v/>
      </c>
      <c r="AO556" s="1" t="str">
        <f>IF(OR($B556="",AO$7=""),"",IF($B556="MEANS",INDEX('1-DATA'!$1:$1048576,$A555-1,COLUMN('1-DATA'!AN554)),ROUND(INDEX('1-DATA'!$1:$1048576,IF(OR($B556="STD. DEVIATION",$C$1=1),$A556,$A556+1),COLUMN('1-DATA'!AN554)),IF($B556="STD. DEVIATION",2,$F$1))))</f>
        <v/>
      </c>
      <c r="AP556" s="1" t="str">
        <f>IF(OR($B556="",AP$7=""),"",IF($B556="MEANS",INDEX('1-DATA'!$1:$1048576,$A555-1,COLUMN('1-DATA'!AO554)),ROUND(INDEX('1-DATA'!$1:$1048576,IF(OR($B556="STD. DEVIATION",$C$1=1),$A556,$A556+1),COLUMN('1-DATA'!AO554)),IF($B556="STD. DEVIATION",2,$F$1))))</f>
        <v/>
      </c>
      <c r="AQ556" s="1" t="str">
        <f>IF(OR($B556="",AQ$7=""),"",IF($B556="MEANS",INDEX('1-DATA'!$1:$1048576,$A555-1,COLUMN('1-DATA'!AP554)),ROUND(INDEX('1-DATA'!$1:$1048576,IF(OR($B556="STD. DEVIATION",$C$1=1),$A556,$A556+1),COLUMN('1-DATA'!AP554)),IF($B556="STD. DEVIATION",2,$F$1))))</f>
        <v/>
      </c>
      <c r="AR556" s="1" t="str">
        <f>IF(OR($B556="",AR$7=""),"",IF($B556="MEANS",INDEX('1-DATA'!$1:$1048576,$A555-1,COLUMN('1-DATA'!AQ554)),ROUND(INDEX('1-DATA'!$1:$1048576,IF(OR($B556="STD. DEVIATION",$C$1=1),$A556,$A556+1),COLUMN('1-DATA'!AQ554)),IF($B556="STD. DEVIATION",2,$F$1))))</f>
        <v/>
      </c>
      <c r="AS556" s="1" t="str">
        <f>IF(OR($B556="",AS$7=""),"",IF($B556="MEANS",INDEX('1-DATA'!$1:$1048576,$A555-1,COLUMN('1-DATA'!AR554)),ROUND(INDEX('1-DATA'!$1:$1048576,IF(OR($B556="STD. DEVIATION",$C$1=1),$A556,$A556+1),COLUMN('1-DATA'!AR554)),IF($B556="STD. DEVIATION",2,$F$1))))</f>
        <v/>
      </c>
      <c r="AT556" s="1" t="str">
        <f>IF(OR($B556="",AT$7=""),"",IF($B556="MEANS",INDEX('1-DATA'!$1:$1048576,$A555-1,COLUMN('1-DATA'!AS554)),ROUND(INDEX('1-DATA'!$1:$1048576,IF(OR($B556="STD. DEVIATION",$C$1=1),$A556,$A556+1),COLUMN('1-DATA'!AS554)),IF($B556="STD. DEVIATION",2,$F$1))))</f>
        <v/>
      </c>
      <c r="AU556" s="1" t="str">
        <f>IF(OR($B556="",AU$7=""),"",IF($B556="MEANS",INDEX('1-DATA'!$1:$1048576,$A555-1,COLUMN('1-DATA'!AT554)),ROUND(INDEX('1-DATA'!$1:$1048576,IF(OR($B556="STD. DEVIATION",$C$1=1),$A556,$A556+1),COLUMN('1-DATA'!AT554)),IF($B556="STD. DEVIATION",2,$F$1))))</f>
        <v/>
      </c>
      <c r="AV556" s="1" t="str">
        <f>IF(OR($B556="",AV$7=""),"",IF($B556="MEANS",INDEX('1-DATA'!$1:$1048576,$A555-1,COLUMN('1-DATA'!AU554)),ROUND(INDEX('1-DATA'!$1:$1048576,IF(OR($B556="STD. DEVIATION",$C$1=1),$A556,$A556+1),COLUMN('1-DATA'!AU554)),IF($B556="STD. DEVIATION",2,$F$1))))</f>
        <v/>
      </c>
      <c r="AW556" s="1" t="str">
        <f>IF(OR($B556="",AW$7=""),"",IF($B556="MEANS",INDEX('1-DATA'!$1:$1048576,$A555-1,COLUMN('1-DATA'!AV554)),ROUND(INDEX('1-DATA'!$1:$1048576,IF(OR($B556="STD. DEVIATION",$C$1=1),$A556,$A556+1),COLUMN('1-DATA'!AV554)),IF($B556="STD. DEVIATION",2,$F$1))))</f>
        <v/>
      </c>
      <c r="AX556" s="1" t="str">
        <f>IF(OR($B556="",AX$7=""),"",IF($B556="MEANS",INDEX('1-DATA'!$1:$1048576,$A555-1,COLUMN('1-DATA'!AW554)),ROUND(INDEX('1-DATA'!$1:$1048576,IF(OR($B556="STD. DEVIATION",$C$1=1),$A556,$A556+1),COLUMN('1-DATA'!AW554)),IF($B556="STD. DEVIATION",2,$F$1))))</f>
        <v/>
      </c>
      <c r="AY556" s="1" t="str">
        <f>IF(OR($B556="",AY$7=""),"",IF($B556="MEANS",INDEX('1-DATA'!$1:$1048576,$A555-1,COLUMN('1-DATA'!AX554)),ROUND(INDEX('1-DATA'!$1:$1048576,IF(OR($B556="STD. DEVIATION",$C$1=1),$A556,$A556+1),COLUMN('1-DATA'!AX554)),IF($B556="STD. DEVIATION",2,$F$1))))</f>
        <v/>
      </c>
      <c r="AZ556" s="1" t="str">
        <f>IF(OR($B556="",AZ$7=""),"",IF($B556="MEANS",INDEX('1-DATA'!$1:$1048576,$A555-1,COLUMN('1-DATA'!AY554)),ROUND(INDEX('1-DATA'!$1:$1048576,IF(OR($B556="STD. DEVIATION",$C$1=1),$A556,$A556+1),COLUMN('1-DATA'!AY554)),IF($B556="STD. DEVIATION",2,$F$1))))</f>
        <v/>
      </c>
    </row>
    <row r="557" spans="1:52" x14ac:dyDescent="0.25">
      <c r="A557" s="11">
        <f t="shared" si="9"/>
        <v>1657</v>
      </c>
      <c r="B557" s="1" t="str">
        <f>IF(B556="STD. DEVIATION",INDEX('1-DATA'!$1:$1048576,$A556-1,1),IF(INDEX('1-DATA'!$1:$1048576,$A557,1)&lt;&gt;"",INDEX('1-DATA'!$1:$1048576,$A557,1),""))</f>
        <v/>
      </c>
      <c r="C557" s="1" t="str">
        <f>IF(OR($B557="",C$7=""),"",IF($B557="MEANS",INDEX('1-DATA'!$1:$1048576,$A556-1,COLUMN('1-DATA'!B555)),ROUND(INDEX('1-DATA'!$1:$1048576,IF(OR($B557="STD. DEVIATION",$C$1=1),$A557,$A557+1),COLUMN('1-DATA'!B555)),IF($B557="STD. DEVIATION",2,$F$1))))</f>
        <v/>
      </c>
      <c r="D557" s="1" t="str">
        <f>IF(OR($B557="",D$7=""),"",IF($B557="MEANS",INDEX('1-DATA'!$1:$1048576,$A556-1,COLUMN('1-DATA'!C555)),ROUND(INDEX('1-DATA'!$1:$1048576,IF(OR($B557="STD. DEVIATION",$C$1=1),$A557,$A557+1),COLUMN('1-DATA'!C555)),IF($B557="STD. DEVIATION",2,$F$1))))</f>
        <v/>
      </c>
      <c r="E557" s="1" t="str">
        <f>IF(OR($B557="",E$7=""),"",IF($B557="MEANS",INDEX('1-DATA'!$1:$1048576,$A556-1,COLUMN('1-DATA'!D555)),ROUND(INDEX('1-DATA'!$1:$1048576,IF(OR($B557="STD. DEVIATION",$C$1=1),$A557,$A557+1),COLUMN('1-DATA'!D555)),IF($B557="STD. DEVIATION",2,$F$1))))</f>
        <v/>
      </c>
      <c r="F557" s="1" t="str">
        <f>IF(OR($B557="",F$7=""),"",IF($B557="MEANS",INDEX('1-DATA'!$1:$1048576,$A556-1,COLUMN('1-DATA'!E555)),ROUND(INDEX('1-DATA'!$1:$1048576,IF(OR($B557="STD. DEVIATION",$C$1=1),$A557,$A557+1),COLUMN('1-DATA'!E555)),IF($B557="STD. DEVIATION",2,$F$1))))</f>
        <v/>
      </c>
      <c r="G557" s="1" t="str">
        <f>IF(OR($B557="",G$7=""),"",IF($B557="MEANS",INDEX('1-DATA'!$1:$1048576,$A556-1,COLUMN('1-DATA'!F555)),ROUND(INDEX('1-DATA'!$1:$1048576,IF(OR($B557="STD. DEVIATION",$C$1=1),$A557,$A557+1),COLUMN('1-DATA'!F555)),IF($B557="STD. DEVIATION",2,$F$1))))</f>
        <v/>
      </c>
      <c r="H557" s="1" t="str">
        <f>IF(OR($B557="",H$7=""),"",IF($B557="MEANS",INDEX('1-DATA'!$1:$1048576,$A556-1,COLUMN('1-DATA'!G555)),ROUND(INDEX('1-DATA'!$1:$1048576,IF(OR($B557="STD. DEVIATION",$C$1=1),$A557,$A557+1),COLUMN('1-DATA'!G555)),IF($B557="STD. DEVIATION",2,$F$1))))</f>
        <v/>
      </c>
      <c r="I557" s="1" t="str">
        <f>IF(OR($B557="",I$7=""),"",IF($B557="MEANS",INDEX('1-DATA'!$1:$1048576,$A556-1,COLUMN('1-DATA'!H555)),ROUND(INDEX('1-DATA'!$1:$1048576,IF(OR($B557="STD. DEVIATION",$C$1=1),$A557,$A557+1),COLUMN('1-DATA'!H555)),IF($B557="STD. DEVIATION",2,$F$1))))</f>
        <v/>
      </c>
      <c r="J557" s="1" t="str">
        <f>IF(OR($B557="",J$7=""),"",IF($B557="MEANS",INDEX('1-DATA'!$1:$1048576,$A556-1,COLUMN('1-DATA'!I555)),ROUND(INDEX('1-DATA'!$1:$1048576,IF(OR($B557="STD. DEVIATION",$C$1=1),$A557,$A557+1),COLUMN('1-DATA'!I555)),IF($B557="STD. DEVIATION",2,$F$1))))</f>
        <v/>
      </c>
      <c r="K557" s="1" t="str">
        <f>IF(OR($B557="",K$7=""),"",IF($B557="MEANS",INDEX('1-DATA'!$1:$1048576,$A556-1,COLUMN('1-DATA'!J555)),ROUND(INDEX('1-DATA'!$1:$1048576,IF(OR($B557="STD. DEVIATION",$C$1=1),$A557,$A557+1),COLUMN('1-DATA'!J555)),IF($B557="STD. DEVIATION",2,$F$1))))</f>
        <v/>
      </c>
      <c r="L557" s="1" t="str">
        <f>IF(OR($B557="",L$7=""),"",IF($B557="MEANS",INDEX('1-DATA'!$1:$1048576,$A556-1,COLUMN('1-DATA'!K555)),ROUND(INDEX('1-DATA'!$1:$1048576,IF(OR($B557="STD. DEVIATION",$C$1=1),$A557,$A557+1),COLUMN('1-DATA'!K555)),IF($B557="STD. DEVIATION",2,$F$1))))</f>
        <v/>
      </c>
      <c r="M557" s="1" t="str">
        <f>IF(OR($B557="",M$7=""),"",IF($B557="MEANS",INDEX('1-DATA'!$1:$1048576,$A556-1,COLUMN('1-DATA'!L555)),ROUND(INDEX('1-DATA'!$1:$1048576,IF(OR($B557="STD. DEVIATION",$C$1=1),$A557,$A557+1),COLUMN('1-DATA'!L555)),IF($B557="STD. DEVIATION",2,$F$1))))</f>
        <v/>
      </c>
      <c r="N557" s="1" t="str">
        <f>IF(OR($B557="",N$7=""),"",IF($B557="MEANS",INDEX('1-DATA'!$1:$1048576,$A556-1,COLUMN('1-DATA'!M555)),ROUND(INDEX('1-DATA'!$1:$1048576,IF(OR($B557="STD. DEVIATION",$C$1=1),$A557,$A557+1),COLUMN('1-DATA'!M555)),IF($B557="STD. DEVIATION",2,$F$1))))</f>
        <v/>
      </c>
      <c r="O557" s="1" t="str">
        <f>IF(OR($B557="",O$7=""),"",IF($B557="MEANS",INDEX('1-DATA'!$1:$1048576,$A556-1,COLUMN('1-DATA'!N555)),ROUND(INDEX('1-DATA'!$1:$1048576,IF(OR($B557="STD. DEVIATION",$C$1=1),$A557,$A557+1),COLUMN('1-DATA'!N555)),IF($B557="STD. DEVIATION",2,$F$1))))</f>
        <v/>
      </c>
      <c r="P557" s="1" t="str">
        <f>IF(OR($B557="",P$7=""),"",IF($B557="MEANS",INDEX('1-DATA'!$1:$1048576,$A556-1,COLUMN('1-DATA'!O555)),ROUND(INDEX('1-DATA'!$1:$1048576,IF(OR($B557="STD. DEVIATION",$C$1=1),$A557,$A557+1),COLUMN('1-DATA'!O555)),IF($B557="STD. DEVIATION",2,$F$1))))</f>
        <v/>
      </c>
      <c r="Q557" s="1" t="str">
        <f>IF(OR($B557="",Q$7=""),"",IF($B557="MEANS",INDEX('1-DATA'!$1:$1048576,$A556-1,COLUMN('1-DATA'!P555)),ROUND(INDEX('1-DATA'!$1:$1048576,IF(OR($B557="STD. DEVIATION",$C$1=1),$A557,$A557+1),COLUMN('1-DATA'!P555)),IF($B557="STD. DEVIATION",2,$F$1))))</f>
        <v/>
      </c>
      <c r="R557" s="1" t="str">
        <f>IF(OR($B557="",R$7=""),"",IF($B557="MEANS",INDEX('1-DATA'!$1:$1048576,$A556-1,COLUMN('1-DATA'!Q555)),ROUND(INDEX('1-DATA'!$1:$1048576,IF(OR($B557="STD. DEVIATION",$C$1=1),$A557,$A557+1),COLUMN('1-DATA'!Q555)),IF($B557="STD. DEVIATION",2,$F$1))))</f>
        <v/>
      </c>
      <c r="S557" s="1" t="str">
        <f>IF(OR($B557="",S$7=""),"",IF($B557="MEANS",INDEX('1-DATA'!$1:$1048576,$A556-1,COLUMN('1-DATA'!R555)),ROUND(INDEX('1-DATA'!$1:$1048576,IF(OR($B557="STD. DEVIATION",$C$1=1),$A557,$A557+1),COLUMN('1-DATA'!R555)),IF($B557="STD. DEVIATION",2,$F$1))))</f>
        <v/>
      </c>
      <c r="T557" s="1" t="str">
        <f>IF(OR($B557="",T$7=""),"",IF($B557="MEANS",INDEX('1-DATA'!$1:$1048576,$A556-1,COLUMN('1-DATA'!S555)),ROUND(INDEX('1-DATA'!$1:$1048576,IF(OR($B557="STD. DEVIATION",$C$1=1),$A557,$A557+1),COLUMN('1-DATA'!S555)),IF($B557="STD. DEVIATION",2,$F$1))))</f>
        <v/>
      </c>
      <c r="U557" s="1" t="str">
        <f>IF(OR($B557="",U$7=""),"",IF($B557="MEANS",INDEX('1-DATA'!$1:$1048576,$A556-1,COLUMN('1-DATA'!T555)),ROUND(INDEX('1-DATA'!$1:$1048576,IF(OR($B557="STD. DEVIATION",$C$1=1),$A557,$A557+1),COLUMN('1-DATA'!T555)),IF($B557="STD. DEVIATION",2,$F$1))))</f>
        <v/>
      </c>
      <c r="V557" s="1" t="str">
        <f>IF(OR($B557="",V$7=""),"",IF($B557="MEANS",INDEX('1-DATA'!$1:$1048576,$A556-1,COLUMN('1-DATA'!U555)),ROUND(INDEX('1-DATA'!$1:$1048576,IF(OR($B557="STD. DEVIATION",$C$1=1),$A557,$A557+1),COLUMN('1-DATA'!U555)),IF($B557="STD. DEVIATION",2,$F$1))))</f>
        <v/>
      </c>
      <c r="W557" s="1" t="str">
        <f>IF(OR($B557="",W$7=""),"",IF($B557="MEANS",INDEX('1-DATA'!$1:$1048576,$A556-1,COLUMN('1-DATA'!V555)),ROUND(INDEX('1-DATA'!$1:$1048576,IF(OR($B557="STD. DEVIATION",$C$1=1),$A557,$A557+1),COLUMN('1-DATA'!V555)),IF($B557="STD. DEVIATION",2,$F$1))))</f>
        <v/>
      </c>
      <c r="X557" s="1" t="str">
        <f>IF(OR($B557="",X$7=""),"",IF($B557="MEANS",INDEX('1-DATA'!$1:$1048576,$A556-1,COLUMN('1-DATA'!W555)),ROUND(INDEX('1-DATA'!$1:$1048576,IF(OR($B557="STD. DEVIATION",$C$1=1),$A557,$A557+1),COLUMN('1-DATA'!W555)),IF($B557="STD. DEVIATION",2,$F$1))))</f>
        <v/>
      </c>
      <c r="Y557" s="1" t="str">
        <f>IF(OR($B557="",Y$7=""),"",IF($B557="MEANS",INDEX('1-DATA'!$1:$1048576,$A556-1,COLUMN('1-DATA'!X555)),ROUND(INDEX('1-DATA'!$1:$1048576,IF(OR($B557="STD. DEVIATION",$C$1=1),$A557,$A557+1),COLUMN('1-DATA'!X555)),IF($B557="STD. DEVIATION",2,$F$1))))</f>
        <v/>
      </c>
      <c r="Z557" s="1" t="str">
        <f>IF(OR($B557="",Z$7=""),"",IF($B557="MEANS",INDEX('1-DATA'!$1:$1048576,$A556-1,COLUMN('1-DATA'!Y555)),ROUND(INDEX('1-DATA'!$1:$1048576,IF(OR($B557="STD. DEVIATION",$C$1=1),$A557,$A557+1),COLUMN('1-DATA'!Y555)),IF($B557="STD. DEVIATION",2,$F$1))))</f>
        <v/>
      </c>
      <c r="AA557" s="1" t="str">
        <f>IF(OR($B557="",AA$7=""),"",IF($B557="MEANS",INDEX('1-DATA'!$1:$1048576,$A556-1,COLUMN('1-DATA'!Z555)),ROUND(INDEX('1-DATA'!$1:$1048576,IF(OR($B557="STD. DEVIATION",$C$1=1),$A557,$A557+1),COLUMN('1-DATA'!Z555)),IF($B557="STD. DEVIATION",2,$F$1))))</f>
        <v/>
      </c>
      <c r="AB557" s="1" t="str">
        <f>IF(OR($B557="",AB$7=""),"",IF($B557="MEANS",INDEX('1-DATA'!$1:$1048576,$A556-1,COLUMN('1-DATA'!AA555)),ROUND(INDEX('1-DATA'!$1:$1048576,IF(OR($B557="STD. DEVIATION",$C$1=1),$A557,$A557+1),COLUMN('1-DATA'!AA555)),IF($B557="STD. DEVIATION",2,$F$1))))</f>
        <v/>
      </c>
      <c r="AC557" s="1" t="str">
        <f>IF(OR($B557="",AC$7=""),"",IF($B557="MEANS",INDEX('1-DATA'!$1:$1048576,$A556-1,COLUMN('1-DATA'!AB555)),ROUND(INDEX('1-DATA'!$1:$1048576,IF(OR($B557="STD. DEVIATION",$C$1=1),$A557,$A557+1),COLUMN('1-DATA'!AB555)),IF($B557="STD. DEVIATION",2,$F$1))))</f>
        <v/>
      </c>
      <c r="AD557" s="1" t="str">
        <f>IF(OR($B557="",AD$7=""),"",IF($B557="MEANS",INDEX('1-DATA'!$1:$1048576,$A556-1,COLUMN('1-DATA'!AC555)),ROUND(INDEX('1-DATA'!$1:$1048576,IF(OR($B557="STD. DEVIATION",$C$1=1),$A557,$A557+1),COLUMN('1-DATA'!AC555)),IF($B557="STD. DEVIATION",2,$F$1))))</f>
        <v/>
      </c>
      <c r="AE557" s="1" t="str">
        <f>IF(OR($B557="",AE$7=""),"",IF($B557="MEANS",INDEX('1-DATA'!$1:$1048576,$A556-1,COLUMN('1-DATA'!AD555)),ROUND(INDEX('1-DATA'!$1:$1048576,IF(OR($B557="STD. DEVIATION",$C$1=1),$A557,$A557+1),COLUMN('1-DATA'!AD555)),IF($B557="STD. DEVIATION",2,$F$1))))</f>
        <v/>
      </c>
      <c r="AF557" s="1" t="str">
        <f>IF(OR($B557="",AF$7=""),"",IF($B557="MEANS",INDEX('1-DATA'!$1:$1048576,$A556-1,COLUMN('1-DATA'!AE555)),ROUND(INDEX('1-DATA'!$1:$1048576,IF(OR($B557="STD. DEVIATION",$C$1=1),$A557,$A557+1),COLUMN('1-DATA'!AE555)),IF($B557="STD. DEVIATION",2,$F$1))))</f>
        <v/>
      </c>
      <c r="AG557" s="1" t="str">
        <f>IF(OR($B557="",AG$7=""),"",IF($B557="MEANS",INDEX('1-DATA'!$1:$1048576,$A556-1,COLUMN('1-DATA'!AF555)),ROUND(INDEX('1-DATA'!$1:$1048576,IF(OR($B557="STD. DEVIATION",$C$1=1),$A557,$A557+1),COLUMN('1-DATA'!AF555)),IF($B557="STD. DEVIATION",2,$F$1))))</f>
        <v/>
      </c>
      <c r="AH557" s="1" t="str">
        <f>IF(OR($B557="",AH$7=""),"",IF($B557="MEANS",INDEX('1-DATA'!$1:$1048576,$A556-1,COLUMN('1-DATA'!AG555)),ROUND(INDEX('1-DATA'!$1:$1048576,IF(OR($B557="STD. DEVIATION",$C$1=1),$A557,$A557+1),COLUMN('1-DATA'!AG555)),IF($B557="STD. DEVIATION",2,$F$1))))</f>
        <v/>
      </c>
      <c r="AI557" s="1" t="str">
        <f>IF(OR($B557="",AI$7=""),"",IF($B557="MEANS",INDEX('1-DATA'!$1:$1048576,$A556-1,COLUMN('1-DATA'!AH555)),ROUND(INDEX('1-DATA'!$1:$1048576,IF(OR($B557="STD. DEVIATION",$C$1=1),$A557,$A557+1),COLUMN('1-DATA'!AH555)),IF($B557="STD. DEVIATION",2,$F$1))))</f>
        <v/>
      </c>
      <c r="AJ557" s="1" t="str">
        <f>IF(OR($B557="",AJ$7=""),"",IF($B557="MEANS",INDEX('1-DATA'!$1:$1048576,$A556-1,COLUMN('1-DATA'!AI555)),ROUND(INDEX('1-DATA'!$1:$1048576,IF(OR($B557="STD. DEVIATION",$C$1=1),$A557,$A557+1),COLUMN('1-DATA'!AI555)),IF($B557="STD. DEVIATION",2,$F$1))))</f>
        <v/>
      </c>
      <c r="AK557" s="1" t="str">
        <f>IF(OR($B557="",AK$7=""),"",IF($B557="MEANS",INDEX('1-DATA'!$1:$1048576,$A556-1,COLUMN('1-DATA'!AJ555)),ROUND(INDEX('1-DATA'!$1:$1048576,IF(OR($B557="STD. DEVIATION",$C$1=1),$A557,$A557+1),COLUMN('1-DATA'!AJ555)),IF($B557="STD. DEVIATION",2,$F$1))))</f>
        <v/>
      </c>
      <c r="AL557" s="1" t="str">
        <f>IF(OR($B557="",AL$7=""),"",IF($B557="MEANS",INDEX('1-DATA'!$1:$1048576,$A556-1,COLUMN('1-DATA'!AK555)),ROUND(INDEX('1-DATA'!$1:$1048576,IF(OR($B557="STD. DEVIATION",$C$1=1),$A557,$A557+1),COLUMN('1-DATA'!AK555)),IF($B557="STD. DEVIATION",2,$F$1))))</f>
        <v/>
      </c>
      <c r="AM557" s="1" t="str">
        <f>IF(OR($B557="",AM$7=""),"",IF($B557="MEANS",INDEX('1-DATA'!$1:$1048576,$A556-1,COLUMN('1-DATA'!AL555)),ROUND(INDEX('1-DATA'!$1:$1048576,IF(OR($B557="STD. DEVIATION",$C$1=1),$A557,$A557+1),COLUMN('1-DATA'!AL555)),IF($B557="STD. DEVIATION",2,$F$1))))</f>
        <v/>
      </c>
      <c r="AN557" s="1" t="str">
        <f>IF(OR($B557="",AN$7=""),"",IF($B557="MEANS",INDEX('1-DATA'!$1:$1048576,$A556-1,COLUMN('1-DATA'!AM555)),ROUND(INDEX('1-DATA'!$1:$1048576,IF(OR($B557="STD. DEVIATION",$C$1=1),$A557,$A557+1),COLUMN('1-DATA'!AM555)),IF($B557="STD. DEVIATION",2,$F$1))))</f>
        <v/>
      </c>
      <c r="AO557" s="1" t="str">
        <f>IF(OR($B557="",AO$7=""),"",IF($B557="MEANS",INDEX('1-DATA'!$1:$1048576,$A556-1,COLUMN('1-DATA'!AN555)),ROUND(INDEX('1-DATA'!$1:$1048576,IF(OR($B557="STD. DEVIATION",$C$1=1),$A557,$A557+1),COLUMN('1-DATA'!AN555)),IF($B557="STD. DEVIATION",2,$F$1))))</f>
        <v/>
      </c>
      <c r="AP557" s="1" t="str">
        <f>IF(OR($B557="",AP$7=""),"",IF($B557="MEANS",INDEX('1-DATA'!$1:$1048576,$A556-1,COLUMN('1-DATA'!AO555)),ROUND(INDEX('1-DATA'!$1:$1048576,IF(OR($B557="STD. DEVIATION",$C$1=1),$A557,$A557+1),COLUMN('1-DATA'!AO555)),IF($B557="STD. DEVIATION",2,$F$1))))</f>
        <v/>
      </c>
      <c r="AQ557" s="1" t="str">
        <f>IF(OR($B557="",AQ$7=""),"",IF($B557="MEANS",INDEX('1-DATA'!$1:$1048576,$A556-1,COLUMN('1-DATA'!AP555)),ROUND(INDEX('1-DATA'!$1:$1048576,IF(OR($B557="STD. DEVIATION",$C$1=1),$A557,$A557+1),COLUMN('1-DATA'!AP555)),IF($B557="STD. DEVIATION",2,$F$1))))</f>
        <v/>
      </c>
      <c r="AR557" s="1" t="str">
        <f>IF(OR($B557="",AR$7=""),"",IF($B557="MEANS",INDEX('1-DATA'!$1:$1048576,$A556-1,COLUMN('1-DATA'!AQ555)),ROUND(INDEX('1-DATA'!$1:$1048576,IF(OR($B557="STD. DEVIATION",$C$1=1),$A557,$A557+1),COLUMN('1-DATA'!AQ555)),IF($B557="STD. DEVIATION",2,$F$1))))</f>
        <v/>
      </c>
      <c r="AS557" s="1" t="str">
        <f>IF(OR($B557="",AS$7=""),"",IF($B557="MEANS",INDEX('1-DATA'!$1:$1048576,$A556-1,COLUMN('1-DATA'!AR555)),ROUND(INDEX('1-DATA'!$1:$1048576,IF(OR($B557="STD. DEVIATION",$C$1=1),$A557,$A557+1),COLUMN('1-DATA'!AR555)),IF($B557="STD. DEVIATION",2,$F$1))))</f>
        <v/>
      </c>
      <c r="AT557" s="1" t="str">
        <f>IF(OR($B557="",AT$7=""),"",IF($B557="MEANS",INDEX('1-DATA'!$1:$1048576,$A556-1,COLUMN('1-DATA'!AS555)),ROUND(INDEX('1-DATA'!$1:$1048576,IF(OR($B557="STD. DEVIATION",$C$1=1),$A557,$A557+1),COLUMN('1-DATA'!AS555)),IF($B557="STD. DEVIATION",2,$F$1))))</f>
        <v/>
      </c>
      <c r="AU557" s="1" t="str">
        <f>IF(OR($B557="",AU$7=""),"",IF($B557="MEANS",INDEX('1-DATA'!$1:$1048576,$A556-1,COLUMN('1-DATA'!AT555)),ROUND(INDEX('1-DATA'!$1:$1048576,IF(OR($B557="STD. DEVIATION",$C$1=1),$A557,$A557+1),COLUMN('1-DATA'!AT555)),IF($B557="STD. DEVIATION",2,$F$1))))</f>
        <v/>
      </c>
      <c r="AV557" s="1" t="str">
        <f>IF(OR($B557="",AV$7=""),"",IF($B557="MEANS",INDEX('1-DATA'!$1:$1048576,$A556-1,COLUMN('1-DATA'!AU555)),ROUND(INDEX('1-DATA'!$1:$1048576,IF(OR($B557="STD. DEVIATION",$C$1=1),$A557,$A557+1),COLUMN('1-DATA'!AU555)),IF($B557="STD. DEVIATION",2,$F$1))))</f>
        <v/>
      </c>
      <c r="AW557" s="1" t="str">
        <f>IF(OR($B557="",AW$7=""),"",IF($B557="MEANS",INDEX('1-DATA'!$1:$1048576,$A556-1,COLUMN('1-DATA'!AV555)),ROUND(INDEX('1-DATA'!$1:$1048576,IF(OR($B557="STD. DEVIATION",$C$1=1),$A557,$A557+1),COLUMN('1-DATA'!AV555)),IF($B557="STD. DEVIATION",2,$F$1))))</f>
        <v/>
      </c>
      <c r="AX557" s="1" t="str">
        <f>IF(OR($B557="",AX$7=""),"",IF($B557="MEANS",INDEX('1-DATA'!$1:$1048576,$A556-1,COLUMN('1-DATA'!AW555)),ROUND(INDEX('1-DATA'!$1:$1048576,IF(OR($B557="STD. DEVIATION",$C$1=1),$A557,$A557+1),COLUMN('1-DATA'!AW555)),IF($B557="STD. DEVIATION",2,$F$1))))</f>
        <v/>
      </c>
      <c r="AY557" s="1" t="str">
        <f>IF(OR($B557="",AY$7=""),"",IF($B557="MEANS",INDEX('1-DATA'!$1:$1048576,$A556-1,COLUMN('1-DATA'!AX555)),ROUND(INDEX('1-DATA'!$1:$1048576,IF(OR($B557="STD. DEVIATION",$C$1=1),$A557,$A557+1),COLUMN('1-DATA'!AX555)),IF($B557="STD. DEVIATION",2,$F$1))))</f>
        <v/>
      </c>
      <c r="AZ557" s="1" t="str">
        <f>IF(OR($B557="",AZ$7=""),"",IF($B557="MEANS",INDEX('1-DATA'!$1:$1048576,$A556-1,COLUMN('1-DATA'!AY555)),ROUND(INDEX('1-DATA'!$1:$1048576,IF(OR($B557="STD. DEVIATION",$C$1=1),$A557,$A557+1),COLUMN('1-DATA'!AY555)),IF($B557="STD. DEVIATION",2,$F$1))))</f>
        <v/>
      </c>
    </row>
    <row r="558" spans="1:52" x14ac:dyDescent="0.25">
      <c r="A558" s="11">
        <f t="shared" si="9"/>
        <v>1660</v>
      </c>
      <c r="B558" s="1" t="str">
        <f>IF(B557="STD. DEVIATION",INDEX('1-DATA'!$1:$1048576,$A557-1,1),IF(INDEX('1-DATA'!$1:$1048576,$A558,1)&lt;&gt;"",INDEX('1-DATA'!$1:$1048576,$A558,1),""))</f>
        <v/>
      </c>
      <c r="C558" s="1" t="str">
        <f>IF(OR($B558="",C$7=""),"",IF($B558="MEANS",INDEX('1-DATA'!$1:$1048576,$A557-1,COLUMN('1-DATA'!B556)),ROUND(INDEX('1-DATA'!$1:$1048576,IF(OR($B558="STD. DEVIATION",$C$1=1),$A558,$A558+1),COLUMN('1-DATA'!B556)),IF($B558="STD. DEVIATION",2,$F$1))))</f>
        <v/>
      </c>
      <c r="D558" s="1" t="str">
        <f>IF(OR($B558="",D$7=""),"",IF($B558="MEANS",INDEX('1-DATA'!$1:$1048576,$A557-1,COLUMN('1-DATA'!C556)),ROUND(INDEX('1-DATA'!$1:$1048576,IF(OR($B558="STD. DEVIATION",$C$1=1),$A558,$A558+1),COLUMN('1-DATA'!C556)),IF($B558="STD. DEVIATION",2,$F$1))))</f>
        <v/>
      </c>
      <c r="E558" s="1" t="str">
        <f>IF(OR($B558="",E$7=""),"",IF($B558="MEANS",INDEX('1-DATA'!$1:$1048576,$A557-1,COLUMN('1-DATA'!D556)),ROUND(INDEX('1-DATA'!$1:$1048576,IF(OR($B558="STD. DEVIATION",$C$1=1),$A558,$A558+1),COLUMN('1-DATA'!D556)),IF($B558="STD. DEVIATION",2,$F$1))))</f>
        <v/>
      </c>
      <c r="F558" s="1" t="str">
        <f>IF(OR($B558="",F$7=""),"",IF($B558="MEANS",INDEX('1-DATA'!$1:$1048576,$A557-1,COLUMN('1-DATA'!E556)),ROUND(INDEX('1-DATA'!$1:$1048576,IF(OR($B558="STD. DEVIATION",$C$1=1),$A558,$A558+1),COLUMN('1-DATA'!E556)),IF($B558="STD. DEVIATION",2,$F$1))))</f>
        <v/>
      </c>
      <c r="G558" s="1" t="str">
        <f>IF(OR($B558="",G$7=""),"",IF($B558="MEANS",INDEX('1-DATA'!$1:$1048576,$A557-1,COLUMN('1-DATA'!F556)),ROUND(INDEX('1-DATA'!$1:$1048576,IF(OR($B558="STD. DEVIATION",$C$1=1),$A558,$A558+1),COLUMN('1-DATA'!F556)),IF($B558="STD. DEVIATION",2,$F$1))))</f>
        <v/>
      </c>
      <c r="H558" s="1" t="str">
        <f>IF(OR($B558="",H$7=""),"",IF($B558="MEANS",INDEX('1-DATA'!$1:$1048576,$A557-1,COLUMN('1-DATA'!G556)),ROUND(INDEX('1-DATA'!$1:$1048576,IF(OR($B558="STD. DEVIATION",$C$1=1),$A558,$A558+1),COLUMN('1-DATA'!G556)),IF($B558="STD. DEVIATION",2,$F$1))))</f>
        <v/>
      </c>
      <c r="I558" s="1" t="str">
        <f>IF(OR($B558="",I$7=""),"",IF($B558="MEANS",INDEX('1-DATA'!$1:$1048576,$A557-1,COLUMN('1-DATA'!H556)),ROUND(INDEX('1-DATA'!$1:$1048576,IF(OR($B558="STD. DEVIATION",$C$1=1),$A558,$A558+1),COLUMN('1-DATA'!H556)),IF($B558="STD. DEVIATION",2,$F$1))))</f>
        <v/>
      </c>
      <c r="J558" s="1" t="str">
        <f>IF(OR($B558="",J$7=""),"",IF($B558="MEANS",INDEX('1-DATA'!$1:$1048576,$A557-1,COLUMN('1-DATA'!I556)),ROUND(INDEX('1-DATA'!$1:$1048576,IF(OR($B558="STD. DEVIATION",$C$1=1),$A558,$A558+1),COLUMN('1-DATA'!I556)),IF($B558="STD. DEVIATION",2,$F$1))))</f>
        <v/>
      </c>
      <c r="K558" s="1" t="str">
        <f>IF(OR($B558="",K$7=""),"",IF($B558="MEANS",INDEX('1-DATA'!$1:$1048576,$A557-1,COLUMN('1-DATA'!J556)),ROUND(INDEX('1-DATA'!$1:$1048576,IF(OR($B558="STD. DEVIATION",$C$1=1),$A558,$A558+1),COLUMN('1-DATA'!J556)),IF($B558="STD. DEVIATION",2,$F$1))))</f>
        <v/>
      </c>
      <c r="L558" s="1" t="str">
        <f>IF(OR($B558="",L$7=""),"",IF($B558="MEANS",INDEX('1-DATA'!$1:$1048576,$A557-1,COLUMN('1-DATA'!K556)),ROUND(INDEX('1-DATA'!$1:$1048576,IF(OR($B558="STD. DEVIATION",$C$1=1),$A558,$A558+1),COLUMN('1-DATA'!K556)),IF($B558="STD. DEVIATION",2,$F$1))))</f>
        <v/>
      </c>
      <c r="M558" s="1" t="str">
        <f>IF(OR($B558="",M$7=""),"",IF($B558="MEANS",INDEX('1-DATA'!$1:$1048576,$A557-1,COLUMN('1-DATA'!L556)),ROUND(INDEX('1-DATA'!$1:$1048576,IF(OR($B558="STD. DEVIATION",$C$1=1),$A558,$A558+1),COLUMN('1-DATA'!L556)),IF($B558="STD. DEVIATION",2,$F$1))))</f>
        <v/>
      </c>
      <c r="N558" s="1" t="str">
        <f>IF(OR($B558="",N$7=""),"",IF($B558="MEANS",INDEX('1-DATA'!$1:$1048576,$A557-1,COLUMN('1-DATA'!M556)),ROUND(INDEX('1-DATA'!$1:$1048576,IF(OR($B558="STD. DEVIATION",$C$1=1),$A558,$A558+1),COLUMN('1-DATA'!M556)),IF($B558="STD. DEVIATION",2,$F$1))))</f>
        <v/>
      </c>
      <c r="O558" s="1" t="str">
        <f>IF(OR($B558="",O$7=""),"",IF($B558="MEANS",INDEX('1-DATA'!$1:$1048576,$A557-1,COLUMN('1-DATA'!N556)),ROUND(INDEX('1-DATA'!$1:$1048576,IF(OR($B558="STD. DEVIATION",$C$1=1),$A558,$A558+1),COLUMN('1-DATA'!N556)),IF($B558="STD. DEVIATION",2,$F$1))))</f>
        <v/>
      </c>
      <c r="P558" s="1" t="str">
        <f>IF(OR($B558="",P$7=""),"",IF($B558="MEANS",INDEX('1-DATA'!$1:$1048576,$A557-1,COLUMN('1-DATA'!O556)),ROUND(INDEX('1-DATA'!$1:$1048576,IF(OR($B558="STD. DEVIATION",$C$1=1),$A558,$A558+1),COLUMN('1-DATA'!O556)),IF($B558="STD. DEVIATION",2,$F$1))))</f>
        <v/>
      </c>
      <c r="Q558" s="1" t="str">
        <f>IF(OR($B558="",Q$7=""),"",IF($B558="MEANS",INDEX('1-DATA'!$1:$1048576,$A557-1,COLUMN('1-DATA'!P556)),ROUND(INDEX('1-DATA'!$1:$1048576,IF(OR($B558="STD. DEVIATION",$C$1=1),$A558,$A558+1),COLUMN('1-DATA'!P556)),IF($B558="STD. DEVIATION",2,$F$1))))</f>
        <v/>
      </c>
      <c r="R558" s="1" t="str">
        <f>IF(OR($B558="",R$7=""),"",IF($B558="MEANS",INDEX('1-DATA'!$1:$1048576,$A557-1,COLUMN('1-DATA'!Q556)),ROUND(INDEX('1-DATA'!$1:$1048576,IF(OR($B558="STD. DEVIATION",$C$1=1),$A558,$A558+1),COLUMN('1-DATA'!Q556)),IF($B558="STD. DEVIATION",2,$F$1))))</f>
        <v/>
      </c>
      <c r="S558" s="1" t="str">
        <f>IF(OR($B558="",S$7=""),"",IF($B558="MEANS",INDEX('1-DATA'!$1:$1048576,$A557-1,COLUMN('1-DATA'!R556)),ROUND(INDEX('1-DATA'!$1:$1048576,IF(OR($B558="STD. DEVIATION",$C$1=1),$A558,$A558+1),COLUMN('1-DATA'!R556)),IF($B558="STD. DEVIATION",2,$F$1))))</f>
        <v/>
      </c>
      <c r="T558" s="1" t="str">
        <f>IF(OR($B558="",T$7=""),"",IF($B558="MEANS",INDEX('1-DATA'!$1:$1048576,$A557-1,COLUMN('1-DATA'!S556)),ROUND(INDEX('1-DATA'!$1:$1048576,IF(OR($B558="STD. DEVIATION",$C$1=1),$A558,$A558+1),COLUMN('1-DATA'!S556)),IF($B558="STD. DEVIATION",2,$F$1))))</f>
        <v/>
      </c>
      <c r="U558" s="1" t="str">
        <f>IF(OR($B558="",U$7=""),"",IF($B558="MEANS",INDEX('1-DATA'!$1:$1048576,$A557-1,COLUMN('1-DATA'!T556)),ROUND(INDEX('1-DATA'!$1:$1048576,IF(OR($B558="STD. DEVIATION",$C$1=1),$A558,$A558+1),COLUMN('1-DATA'!T556)),IF($B558="STD. DEVIATION",2,$F$1))))</f>
        <v/>
      </c>
      <c r="V558" s="1" t="str">
        <f>IF(OR($B558="",V$7=""),"",IF($B558="MEANS",INDEX('1-DATA'!$1:$1048576,$A557-1,COLUMN('1-DATA'!U556)),ROUND(INDEX('1-DATA'!$1:$1048576,IF(OR($B558="STD. DEVIATION",$C$1=1),$A558,$A558+1),COLUMN('1-DATA'!U556)),IF($B558="STD. DEVIATION",2,$F$1))))</f>
        <v/>
      </c>
      <c r="W558" s="1" t="str">
        <f>IF(OR($B558="",W$7=""),"",IF($B558="MEANS",INDEX('1-DATA'!$1:$1048576,$A557-1,COLUMN('1-DATA'!V556)),ROUND(INDEX('1-DATA'!$1:$1048576,IF(OR($B558="STD. DEVIATION",$C$1=1),$A558,$A558+1),COLUMN('1-DATA'!V556)),IF($B558="STD. DEVIATION",2,$F$1))))</f>
        <v/>
      </c>
      <c r="X558" s="1" t="str">
        <f>IF(OR($B558="",X$7=""),"",IF($B558="MEANS",INDEX('1-DATA'!$1:$1048576,$A557-1,COLUMN('1-DATA'!W556)),ROUND(INDEX('1-DATA'!$1:$1048576,IF(OR($B558="STD. DEVIATION",$C$1=1),$A558,$A558+1),COLUMN('1-DATA'!W556)),IF($B558="STD. DEVIATION",2,$F$1))))</f>
        <v/>
      </c>
      <c r="Y558" s="1" t="str">
        <f>IF(OR($B558="",Y$7=""),"",IF($B558="MEANS",INDEX('1-DATA'!$1:$1048576,$A557-1,COLUMN('1-DATA'!X556)),ROUND(INDEX('1-DATA'!$1:$1048576,IF(OR($B558="STD. DEVIATION",$C$1=1),$A558,$A558+1),COLUMN('1-DATA'!X556)),IF($B558="STD. DEVIATION",2,$F$1))))</f>
        <v/>
      </c>
      <c r="Z558" s="1" t="str">
        <f>IF(OR($B558="",Z$7=""),"",IF($B558="MEANS",INDEX('1-DATA'!$1:$1048576,$A557-1,COLUMN('1-DATA'!Y556)),ROUND(INDEX('1-DATA'!$1:$1048576,IF(OR($B558="STD. DEVIATION",$C$1=1),$A558,$A558+1),COLUMN('1-DATA'!Y556)),IF($B558="STD. DEVIATION",2,$F$1))))</f>
        <v/>
      </c>
      <c r="AA558" s="1" t="str">
        <f>IF(OR($B558="",AA$7=""),"",IF($B558="MEANS",INDEX('1-DATA'!$1:$1048576,$A557-1,COLUMN('1-DATA'!Z556)),ROUND(INDEX('1-DATA'!$1:$1048576,IF(OR($B558="STD. DEVIATION",$C$1=1),$A558,$A558+1),COLUMN('1-DATA'!Z556)),IF($B558="STD. DEVIATION",2,$F$1))))</f>
        <v/>
      </c>
      <c r="AB558" s="1" t="str">
        <f>IF(OR($B558="",AB$7=""),"",IF($B558="MEANS",INDEX('1-DATA'!$1:$1048576,$A557-1,COLUMN('1-DATA'!AA556)),ROUND(INDEX('1-DATA'!$1:$1048576,IF(OR($B558="STD. DEVIATION",$C$1=1),$A558,$A558+1),COLUMN('1-DATA'!AA556)),IF($B558="STD. DEVIATION",2,$F$1))))</f>
        <v/>
      </c>
      <c r="AC558" s="1" t="str">
        <f>IF(OR($B558="",AC$7=""),"",IF($B558="MEANS",INDEX('1-DATA'!$1:$1048576,$A557-1,COLUMN('1-DATA'!AB556)),ROUND(INDEX('1-DATA'!$1:$1048576,IF(OR($B558="STD. DEVIATION",$C$1=1),$A558,$A558+1),COLUMN('1-DATA'!AB556)),IF($B558="STD. DEVIATION",2,$F$1))))</f>
        <v/>
      </c>
      <c r="AD558" s="1" t="str">
        <f>IF(OR($B558="",AD$7=""),"",IF($B558="MEANS",INDEX('1-DATA'!$1:$1048576,$A557-1,COLUMN('1-DATA'!AC556)),ROUND(INDEX('1-DATA'!$1:$1048576,IF(OR($B558="STD. DEVIATION",$C$1=1),$A558,$A558+1),COLUMN('1-DATA'!AC556)),IF($B558="STD. DEVIATION",2,$F$1))))</f>
        <v/>
      </c>
      <c r="AE558" s="1" t="str">
        <f>IF(OR($B558="",AE$7=""),"",IF($B558="MEANS",INDEX('1-DATA'!$1:$1048576,$A557-1,COLUMN('1-DATA'!AD556)),ROUND(INDEX('1-DATA'!$1:$1048576,IF(OR($B558="STD. DEVIATION",$C$1=1),$A558,$A558+1),COLUMN('1-DATA'!AD556)),IF($B558="STD. DEVIATION",2,$F$1))))</f>
        <v/>
      </c>
      <c r="AF558" s="1" t="str">
        <f>IF(OR($B558="",AF$7=""),"",IF($B558="MEANS",INDEX('1-DATA'!$1:$1048576,$A557-1,COLUMN('1-DATA'!AE556)),ROUND(INDEX('1-DATA'!$1:$1048576,IF(OR($B558="STD. DEVIATION",$C$1=1),$A558,$A558+1),COLUMN('1-DATA'!AE556)),IF($B558="STD. DEVIATION",2,$F$1))))</f>
        <v/>
      </c>
      <c r="AG558" s="1" t="str">
        <f>IF(OR($B558="",AG$7=""),"",IF($B558="MEANS",INDEX('1-DATA'!$1:$1048576,$A557-1,COLUMN('1-DATA'!AF556)),ROUND(INDEX('1-DATA'!$1:$1048576,IF(OR($B558="STD. DEVIATION",$C$1=1),$A558,$A558+1),COLUMN('1-DATA'!AF556)),IF($B558="STD. DEVIATION",2,$F$1))))</f>
        <v/>
      </c>
      <c r="AH558" s="1" t="str">
        <f>IF(OR($B558="",AH$7=""),"",IF($B558="MEANS",INDEX('1-DATA'!$1:$1048576,$A557-1,COLUMN('1-DATA'!AG556)),ROUND(INDEX('1-DATA'!$1:$1048576,IF(OR($B558="STD. DEVIATION",$C$1=1),$A558,$A558+1),COLUMN('1-DATA'!AG556)),IF($B558="STD. DEVIATION",2,$F$1))))</f>
        <v/>
      </c>
      <c r="AI558" s="1" t="str">
        <f>IF(OR($B558="",AI$7=""),"",IF($B558="MEANS",INDEX('1-DATA'!$1:$1048576,$A557-1,COLUMN('1-DATA'!AH556)),ROUND(INDEX('1-DATA'!$1:$1048576,IF(OR($B558="STD. DEVIATION",$C$1=1),$A558,$A558+1),COLUMN('1-DATA'!AH556)),IF($B558="STD. DEVIATION",2,$F$1))))</f>
        <v/>
      </c>
      <c r="AJ558" s="1" t="str">
        <f>IF(OR($B558="",AJ$7=""),"",IF($B558="MEANS",INDEX('1-DATA'!$1:$1048576,$A557-1,COLUMN('1-DATA'!AI556)),ROUND(INDEX('1-DATA'!$1:$1048576,IF(OR($B558="STD. DEVIATION",$C$1=1),$A558,$A558+1),COLUMN('1-DATA'!AI556)),IF($B558="STD. DEVIATION",2,$F$1))))</f>
        <v/>
      </c>
      <c r="AK558" s="1" t="str">
        <f>IF(OR($B558="",AK$7=""),"",IF($B558="MEANS",INDEX('1-DATA'!$1:$1048576,$A557-1,COLUMN('1-DATA'!AJ556)),ROUND(INDEX('1-DATA'!$1:$1048576,IF(OR($B558="STD. DEVIATION",$C$1=1),$A558,$A558+1),COLUMN('1-DATA'!AJ556)),IF($B558="STD. DEVIATION",2,$F$1))))</f>
        <v/>
      </c>
      <c r="AL558" s="1" t="str">
        <f>IF(OR($B558="",AL$7=""),"",IF($B558="MEANS",INDEX('1-DATA'!$1:$1048576,$A557-1,COLUMN('1-DATA'!AK556)),ROUND(INDEX('1-DATA'!$1:$1048576,IF(OR($B558="STD. DEVIATION",$C$1=1),$A558,$A558+1),COLUMN('1-DATA'!AK556)),IF($B558="STD. DEVIATION",2,$F$1))))</f>
        <v/>
      </c>
      <c r="AM558" s="1" t="str">
        <f>IF(OR($B558="",AM$7=""),"",IF($B558="MEANS",INDEX('1-DATA'!$1:$1048576,$A557-1,COLUMN('1-DATA'!AL556)),ROUND(INDEX('1-DATA'!$1:$1048576,IF(OR($B558="STD. DEVIATION",$C$1=1),$A558,$A558+1),COLUMN('1-DATA'!AL556)),IF($B558="STD. DEVIATION",2,$F$1))))</f>
        <v/>
      </c>
      <c r="AN558" s="1" t="str">
        <f>IF(OR($B558="",AN$7=""),"",IF($B558="MEANS",INDEX('1-DATA'!$1:$1048576,$A557-1,COLUMN('1-DATA'!AM556)),ROUND(INDEX('1-DATA'!$1:$1048576,IF(OR($B558="STD. DEVIATION",$C$1=1),$A558,$A558+1),COLUMN('1-DATA'!AM556)),IF($B558="STD. DEVIATION",2,$F$1))))</f>
        <v/>
      </c>
      <c r="AO558" s="1" t="str">
        <f>IF(OR($B558="",AO$7=""),"",IF($B558="MEANS",INDEX('1-DATA'!$1:$1048576,$A557-1,COLUMN('1-DATA'!AN556)),ROUND(INDEX('1-DATA'!$1:$1048576,IF(OR($B558="STD. DEVIATION",$C$1=1),$A558,$A558+1),COLUMN('1-DATA'!AN556)),IF($B558="STD. DEVIATION",2,$F$1))))</f>
        <v/>
      </c>
      <c r="AP558" s="1" t="str">
        <f>IF(OR($B558="",AP$7=""),"",IF($B558="MEANS",INDEX('1-DATA'!$1:$1048576,$A557-1,COLUMN('1-DATA'!AO556)),ROUND(INDEX('1-DATA'!$1:$1048576,IF(OR($B558="STD. DEVIATION",$C$1=1),$A558,$A558+1),COLUMN('1-DATA'!AO556)),IF($B558="STD. DEVIATION",2,$F$1))))</f>
        <v/>
      </c>
      <c r="AQ558" s="1" t="str">
        <f>IF(OR($B558="",AQ$7=""),"",IF($B558="MEANS",INDEX('1-DATA'!$1:$1048576,$A557-1,COLUMN('1-DATA'!AP556)),ROUND(INDEX('1-DATA'!$1:$1048576,IF(OR($B558="STD. DEVIATION",$C$1=1),$A558,$A558+1),COLUMN('1-DATA'!AP556)),IF($B558="STD. DEVIATION",2,$F$1))))</f>
        <v/>
      </c>
      <c r="AR558" s="1" t="str">
        <f>IF(OR($B558="",AR$7=""),"",IF($B558="MEANS",INDEX('1-DATA'!$1:$1048576,$A557-1,COLUMN('1-DATA'!AQ556)),ROUND(INDEX('1-DATA'!$1:$1048576,IF(OR($B558="STD. DEVIATION",$C$1=1),$A558,$A558+1),COLUMN('1-DATA'!AQ556)),IF($B558="STD. DEVIATION",2,$F$1))))</f>
        <v/>
      </c>
      <c r="AS558" s="1" t="str">
        <f>IF(OR($B558="",AS$7=""),"",IF($B558="MEANS",INDEX('1-DATA'!$1:$1048576,$A557-1,COLUMN('1-DATA'!AR556)),ROUND(INDEX('1-DATA'!$1:$1048576,IF(OR($B558="STD. DEVIATION",$C$1=1),$A558,$A558+1),COLUMN('1-DATA'!AR556)),IF($B558="STD. DEVIATION",2,$F$1))))</f>
        <v/>
      </c>
      <c r="AT558" s="1" t="str">
        <f>IF(OR($B558="",AT$7=""),"",IF($B558="MEANS",INDEX('1-DATA'!$1:$1048576,$A557-1,COLUMN('1-DATA'!AS556)),ROUND(INDEX('1-DATA'!$1:$1048576,IF(OR($B558="STD. DEVIATION",$C$1=1),$A558,$A558+1),COLUMN('1-DATA'!AS556)),IF($B558="STD. DEVIATION",2,$F$1))))</f>
        <v/>
      </c>
      <c r="AU558" s="1" t="str">
        <f>IF(OR($B558="",AU$7=""),"",IF($B558="MEANS",INDEX('1-DATA'!$1:$1048576,$A557-1,COLUMN('1-DATA'!AT556)),ROUND(INDEX('1-DATA'!$1:$1048576,IF(OR($B558="STD. DEVIATION",$C$1=1),$A558,$A558+1),COLUMN('1-DATA'!AT556)),IF($B558="STD. DEVIATION",2,$F$1))))</f>
        <v/>
      </c>
      <c r="AV558" s="1" t="str">
        <f>IF(OR($B558="",AV$7=""),"",IF($B558="MEANS",INDEX('1-DATA'!$1:$1048576,$A557-1,COLUMN('1-DATA'!AU556)),ROUND(INDEX('1-DATA'!$1:$1048576,IF(OR($B558="STD. DEVIATION",$C$1=1),$A558,$A558+1),COLUMN('1-DATA'!AU556)),IF($B558="STD. DEVIATION",2,$F$1))))</f>
        <v/>
      </c>
      <c r="AW558" s="1" t="str">
        <f>IF(OR($B558="",AW$7=""),"",IF($B558="MEANS",INDEX('1-DATA'!$1:$1048576,$A557-1,COLUMN('1-DATA'!AV556)),ROUND(INDEX('1-DATA'!$1:$1048576,IF(OR($B558="STD. DEVIATION",$C$1=1),$A558,$A558+1),COLUMN('1-DATA'!AV556)),IF($B558="STD. DEVIATION",2,$F$1))))</f>
        <v/>
      </c>
      <c r="AX558" s="1" t="str">
        <f>IF(OR($B558="",AX$7=""),"",IF($B558="MEANS",INDEX('1-DATA'!$1:$1048576,$A557-1,COLUMN('1-DATA'!AW556)),ROUND(INDEX('1-DATA'!$1:$1048576,IF(OR($B558="STD. DEVIATION",$C$1=1),$A558,$A558+1),COLUMN('1-DATA'!AW556)),IF($B558="STD. DEVIATION",2,$F$1))))</f>
        <v/>
      </c>
      <c r="AY558" s="1" t="str">
        <f>IF(OR($B558="",AY$7=""),"",IF($B558="MEANS",INDEX('1-DATA'!$1:$1048576,$A557-1,COLUMN('1-DATA'!AX556)),ROUND(INDEX('1-DATA'!$1:$1048576,IF(OR($B558="STD. DEVIATION",$C$1=1),$A558,$A558+1),COLUMN('1-DATA'!AX556)),IF($B558="STD. DEVIATION",2,$F$1))))</f>
        <v/>
      </c>
      <c r="AZ558" s="1" t="str">
        <f>IF(OR($B558="",AZ$7=""),"",IF($B558="MEANS",INDEX('1-DATA'!$1:$1048576,$A557-1,COLUMN('1-DATA'!AY556)),ROUND(INDEX('1-DATA'!$1:$1048576,IF(OR($B558="STD. DEVIATION",$C$1=1),$A558,$A558+1),COLUMN('1-DATA'!AY556)),IF($B558="STD. DEVIATION",2,$F$1))))</f>
        <v/>
      </c>
    </row>
    <row r="559" spans="1:52" x14ac:dyDescent="0.25">
      <c r="A559" s="11">
        <f t="shared" si="9"/>
        <v>1663</v>
      </c>
      <c r="B559" s="1" t="str">
        <f>IF(B558="STD. DEVIATION",INDEX('1-DATA'!$1:$1048576,$A558-1,1),IF(INDEX('1-DATA'!$1:$1048576,$A559,1)&lt;&gt;"",INDEX('1-DATA'!$1:$1048576,$A559,1),""))</f>
        <v/>
      </c>
      <c r="C559" s="1" t="str">
        <f>IF(OR($B559="",C$7=""),"",IF($B559="MEANS",INDEX('1-DATA'!$1:$1048576,$A558-1,COLUMN('1-DATA'!B557)),ROUND(INDEX('1-DATA'!$1:$1048576,IF(OR($B559="STD. DEVIATION",$C$1=1),$A559,$A559+1),COLUMN('1-DATA'!B557)),IF($B559="STD. DEVIATION",2,$F$1))))</f>
        <v/>
      </c>
      <c r="D559" s="1" t="str">
        <f>IF(OR($B559="",D$7=""),"",IF($B559="MEANS",INDEX('1-DATA'!$1:$1048576,$A558-1,COLUMN('1-DATA'!C557)),ROUND(INDEX('1-DATA'!$1:$1048576,IF(OR($B559="STD. DEVIATION",$C$1=1),$A559,$A559+1),COLUMN('1-DATA'!C557)),IF($B559="STD. DEVIATION",2,$F$1))))</f>
        <v/>
      </c>
      <c r="E559" s="1" t="str">
        <f>IF(OR($B559="",E$7=""),"",IF($B559="MEANS",INDEX('1-DATA'!$1:$1048576,$A558-1,COLUMN('1-DATA'!D557)),ROUND(INDEX('1-DATA'!$1:$1048576,IF(OR($B559="STD. DEVIATION",$C$1=1),$A559,$A559+1),COLUMN('1-DATA'!D557)),IF($B559="STD. DEVIATION",2,$F$1))))</f>
        <v/>
      </c>
      <c r="F559" s="1" t="str">
        <f>IF(OR($B559="",F$7=""),"",IF($B559="MEANS",INDEX('1-DATA'!$1:$1048576,$A558-1,COLUMN('1-DATA'!E557)),ROUND(INDEX('1-DATA'!$1:$1048576,IF(OR($B559="STD. DEVIATION",$C$1=1),$A559,$A559+1),COLUMN('1-DATA'!E557)),IF($B559="STD. DEVIATION",2,$F$1))))</f>
        <v/>
      </c>
      <c r="G559" s="1" t="str">
        <f>IF(OR($B559="",G$7=""),"",IF($B559="MEANS",INDEX('1-DATA'!$1:$1048576,$A558-1,COLUMN('1-DATA'!F557)),ROUND(INDEX('1-DATA'!$1:$1048576,IF(OR($B559="STD. DEVIATION",$C$1=1),$A559,$A559+1),COLUMN('1-DATA'!F557)),IF($B559="STD. DEVIATION",2,$F$1))))</f>
        <v/>
      </c>
      <c r="H559" s="1" t="str">
        <f>IF(OR($B559="",H$7=""),"",IF($B559="MEANS",INDEX('1-DATA'!$1:$1048576,$A558-1,COLUMN('1-DATA'!G557)),ROUND(INDEX('1-DATA'!$1:$1048576,IF(OR($B559="STD. DEVIATION",$C$1=1),$A559,$A559+1),COLUMN('1-DATA'!G557)),IF($B559="STD. DEVIATION",2,$F$1))))</f>
        <v/>
      </c>
      <c r="I559" s="1" t="str">
        <f>IF(OR($B559="",I$7=""),"",IF($B559="MEANS",INDEX('1-DATA'!$1:$1048576,$A558-1,COLUMN('1-DATA'!H557)),ROUND(INDEX('1-DATA'!$1:$1048576,IF(OR($B559="STD. DEVIATION",$C$1=1),$A559,$A559+1),COLUMN('1-DATA'!H557)),IF($B559="STD. DEVIATION",2,$F$1))))</f>
        <v/>
      </c>
      <c r="J559" s="1" t="str">
        <f>IF(OR($B559="",J$7=""),"",IF($B559="MEANS",INDEX('1-DATA'!$1:$1048576,$A558-1,COLUMN('1-DATA'!I557)),ROUND(INDEX('1-DATA'!$1:$1048576,IF(OR($B559="STD. DEVIATION",$C$1=1),$A559,$A559+1),COLUMN('1-DATA'!I557)),IF($B559="STD. DEVIATION",2,$F$1))))</f>
        <v/>
      </c>
      <c r="K559" s="1" t="str">
        <f>IF(OR($B559="",K$7=""),"",IF($B559="MEANS",INDEX('1-DATA'!$1:$1048576,$A558-1,COLUMN('1-DATA'!J557)),ROUND(INDEX('1-DATA'!$1:$1048576,IF(OR($B559="STD. DEVIATION",$C$1=1),$A559,$A559+1),COLUMN('1-DATA'!J557)),IF($B559="STD. DEVIATION",2,$F$1))))</f>
        <v/>
      </c>
      <c r="L559" s="1" t="str">
        <f>IF(OR($B559="",L$7=""),"",IF($B559="MEANS",INDEX('1-DATA'!$1:$1048576,$A558-1,COLUMN('1-DATA'!K557)),ROUND(INDEX('1-DATA'!$1:$1048576,IF(OR($B559="STD. DEVIATION",$C$1=1),$A559,$A559+1),COLUMN('1-DATA'!K557)),IF($B559="STD. DEVIATION",2,$F$1))))</f>
        <v/>
      </c>
      <c r="M559" s="1" t="str">
        <f>IF(OR($B559="",M$7=""),"",IF($B559="MEANS",INDEX('1-DATA'!$1:$1048576,$A558-1,COLUMN('1-DATA'!L557)),ROUND(INDEX('1-DATA'!$1:$1048576,IF(OR($B559="STD. DEVIATION",$C$1=1),$A559,$A559+1),COLUMN('1-DATA'!L557)),IF($B559="STD. DEVIATION",2,$F$1))))</f>
        <v/>
      </c>
      <c r="N559" s="1" t="str">
        <f>IF(OR($B559="",N$7=""),"",IF($B559="MEANS",INDEX('1-DATA'!$1:$1048576,$A558-1,COLUMN('1-DATA'!M557)),ROUND(INDEX('1-DATA'!$1:$1048576,IF(OR($B559="STD. DEVIATION",$C$1=1),$A559,$A559+1),COLUMN('1-DATA'!M557)),IF($B559="STD. DEVIATION",2,$F$1))))</f>
        <v/>
      </c>
      <c r="O559" s="1" t="str">
        <f>IF(OR($B559="",O$7=""),"",IF($B559="MEANS",INDEX('1-DATA'!$1:$1048576,$A558-1,COLUMN('1-DATA'!N557)),ROUND(INDEX('1-DATA'!$1:$1048576,IF(OR($B559="STD. DEVIATION",$C$1=1),$A559,$A559+1),COLUMN('1-DATA'!N557)),IF($B559="STD. DEVIATION",2,$F$1))))</f>
        <v/>
      </c>
      <c r="P559" s="1" t="str">
        <f>IF(OR($B559="",P$7=""),"",IF($B559="MEANS",INDEX('1-DATA'!$1:$1048576,$A558-1,COLUMN('1-DATA'!O557)),ROUND(INDEX('1-DATA'!$1:$1048576,IF(OR($B559="STD. DEVIATION",$C$1=1),$A559,$A559+1),COLUMN('1-DATA'!O557)),IF($B559="STD. DEVIATION",2,$F$1))))</f>
        <v/>
      </c>
      <c r="Q559" s="1" t="str">
        <f>IF(OR($B559="",Q$7=""),"",IF($B559="MEANS",INDEX('1-DATA'!$1:$1048576,$A558-1,COLUMN('1-DATA'!P557)),ROUND(INDEX('1-DATA'!$1:$1048576,IF(OR($B559="STD. DEVIATION",$C$1=1),$A559,$A559+1),COLUMN('1-DATA'!P557)),IF($B559="STD. DEVIATION",2,$F$1))))</f>
        <v/>
      </c>
      <c r="R559" s="1" t="str">
        <f>IF(OR($B559="",R$7=""),"",IF($B559="MEANS",INDEX('1-DATA'!$1:$1048576,$A558-1,COLUMN('1-DATA'!Q557)),ROUND(INDEX('1-DATA'!$1:$1048576,IF(OR($B559="STD. DEVIATION",$C$1=1),$A559,$A559+1),COLUMN('1-DATA'!Q557)),IF($B559="STD. DEVIATION",2,$F$1))))</f>
        <v/>
      </c>
      <c r="S559" s="1" t="str">
        <f>IF(OR($B559="",S$7=""),"",IF($B559="MEANS",INDEX('1-DATA'!$1:$1048576,$A558-1,COLUMN('1-DATA'!R557)),ROUND(INDEX('1-DATA'!$1:$1048576,IF(OR($B559="STD. DEVIATION",$C$1=1),$A559,$A559+1),COLUMN('1-DATA'!R557)),IF($B559="STD. DEVIATION",2,$F$1))))</f>
        <v/>
      </c>
      <c r="T559" s="1" t="str">
        <f>IF(OR($B559="",T$7=""),"",IF($B559="MEANS",INDEX('1-DATA'!$1:$1048576,$A558-1,COLUMN('1-DATA'!S557)),ROUND(INDEX('1-DATA'!$1:$1048576,IF(OR($B559="STD. DEVIATION",$C$1=1),$A559,$A559+1),COLUMN('1-DATA'!S557)),IF($B559="STD. DEVIATION",2,$F$1))))</f>
        <v/>
      </c>
      <c r="U559" s="1" t="str">
        <f>IF(OR($B559="",U$7=""),"",IF($B559="MEANS",INDEX('1-DATA'!$1:$1048576,$A558-1,COLUMN('1-DATA'!T557)),ROUND(INDEX('1-DATA'!$1:$1048576,IF(OR($B559="STD. DEVIATION",$C$1=1),$A559,$A559+1),COLUMN('1-DATA'!T557)),IF($B559="STD. DEVIATION",2,$F$1))))</f>
        <v/>
      </c>
      <c r="V559" s="1" t="str">
        <f>IF(OR($B559="",V$7=""),"",IF($B559="MEANS",INDEX('1-DATA'!$1:$1048576,$A558-1,COLUMN('1-DATA'!U557)),ROUND(INDEX('1-DATA'!$1:$1048576,IF(OR($B559="STD. DEVIATION",$C$1=1),$A559,$A559+1),COLUMN('1-DATA'!U557)),IF($B559="STD. DEVIATION",2,$F$1))))</f>
        <v/>
      </c>
      <c r="W559" s="1" t="str">
        <f>IF(OR($B559="",W$7=""),"",IF($B559="MEANS",INDEX('1-DATA'!$1:$1048576,$A558-1,COLUMN('1-DATA'!V557)),ROUND(INDEX('1-DATA'!$1:$1048576,IF(OR($B559="STD. DEVIATION",$C$1=1),$A559,$A559+1),COLUMN('1-DATA'!V557)),IF($B559="STD. DEVIATION",2,$F$1))))</f>
        <v/>
      </c>
      <c r="X559" s="1" t="str">
        <f>IF(OR($B559="",X$7=""),"",IF($B559="MEANS",INDEX('1-DATA'!$1:$1048576,$A558-1,COLUMN('1-DATA'!W557)),ROUND(INDEX('1-DATA'!$1:$1048576,IF(OR($B559="STD. DEVIATION",$C$1=1),$A559,$A559+1),COLUMN('1-DATA'!W557)),IF($B559="STD. DEVIATION",2,$F$1))))</f>
        <v/>
      </c>
      <c r="Y559" s="1" t="str">
        <f>IF(OR($B559="",Y$7=""),"",IF($B559="MEANS",INDEX('1-DATA'!$1:$1048576,$A558-1,COLUMN('1-DATA'!X557)),ROUND(INDEX('1-DATA'!$1:$1048576,IF(OR($B559="STD. DEVIATION",$C$1=1),$A559,$A559+1),COLUMN('1-DATA'!X557)),IF($B559="STD. DEVIATION",2,$F$1))))</f>
        <v/>
      </c>
      <c r="Z559" s="1" t="str">
        <f>IF(OR($B559="",Z$7=""),"",IF($B559="MEANS",INDEX('1-DATA'!$1:$1048576,$A558-1,COLUMN('1-DATA'!Y557)),ROUND(INDEX('1-DATA'!$1:$1048576,IF(OR($B559="STD. DEVIATION",$C$1=1),$A559,$A559+1),COLUMN('1-DATA'!Y557)),IF($B559="STD. DEVIATION",2,$F$1))))</f>
        <v/>
      </c>
      <c r="AA559" s="1" t="str">
        <f>IF(OR($B559="",AA$7=""),"",IF($B559="MEANS",INDEX('1-DATA'!$1:$1048576,$A558-1,COLUMN('1-DATA'!Z557)),ROUND(INDEX('1-DATA'!$1:$1048576,IF(OR($B559="STD. DEVIATION",$C$1=1),$A559,$A559+1),COLUMN('1-DATA'!Z557)),IF($B559="STD. DEVIATION",2,$F$1))))</f>
        <v/>
      </c>
      <c r="AB559" s="1" t="str">
        <f>IF(OR($B559="",AB$7=""),"",IF($B559="MEANS",INDEX('1-DATA'!$1:$1048576,$A558-1,COLUMN('1-DATA'!AA557)),ROUND(INDEX('1-DATA'!$1:$1048576,IF(OR($B559="STD. DEVIATION",$C$1=1),$A559,$A559+1),COLUMN('1-DATA'!AA557)),IF($B559="STD. DEVIATION",2,$F$1))))</f>
        <v/>
      </c>
      <c r="AC559" s="1" t="str">
        <f>IF(OR($B559="",AC$7=""),"",IF($B559="MEANS",INDEX('1-DATA'!$1:$1048576,$A558-1,COLUMN('1-DATA'!AB557)),ROUND(INDEX('1-DATA'!$1:$1048576,IF(OR($B559="STD. DEVIATION",$C$1=1),$A559,$A559+1),COLUMN('1-DATA'!AB557)),IF($B559="STD. DEVIATION",2,$F$1))))</f>
        <v/>
      </c>
      <c r="AD559" s="1" t="str">
        <f>IF(OR($B559="",AD$7=""),"",IF($B559="MEANS",INDEX('1-DATA'!$1:$1048576,$A558-1,COLUMN('1-DATA'!AC557)),ROUND(INDEX('1-DATA'!$1:$1048576,IF(OR($B559="STD. DEVIATION",$C$1=1),$A559,$A559+1),COLUMN('1-DATA'!AC557)),IF($B559="STD. DEVIATION",2,$F$1))))</f>
        <v/>
      </c>
      <c r="AE559" s="1" t="str">
        <f>IF(OR($B559="",AE$7=""),"",IF($B559="MEANS",INDEX('1-DATA'!$1:$1048576,$A558-1,COLUMN('1-DATA'!AD557)),ROUND(INDEX('1-DATA'!$1:$1048576,IF(OR($B559="STD. DEVIATION",$C$1=1),$A559,$A559+1),COLUMN('1-DATA'!AD557)),IF($B559="STD. DEVIATION",2,$F$1))))</f>
        <v/>
      </c>
      <c r="AF559" s="1" t="str">
        <f>IF(OR($B559="",AF$7=""),"",IF($B559="MEANS",INDEX('1-DATA'!$1:$1048576,$A558-1,COLUMN('1-DATA'!AE557)),ROUND(INDEX('1-DATA'!$1:$1048576,IF(OR($B559="STD. DEVIATION",$C$1=1),$A559,$A559+1),COLUMN('1-DATA'!AE557)),IF($B559="STD. DEVIATION",2,$F$1))))</f>
        <v/>
      </c>
      <c r="AG559" s="1" t="str">
        <f>IF(OR($B559="",AG$7=""),"",IF($B559="MEANS",INDEX('1-DATA'!$1:$1048576,$A558-1,COLUMN('1-DATA'!AF557)),ROUND(INDEX('1-DATA'!$1:$1048576,IF(OR($B559="STD. DEVIATION",$C$1=1),$A559,$A559+1),COLUMN('1-DATA'!AF557)),IF($B559="STD. DEVIATION",2,$F$1))))</f>
        <v/>
      </c>
      <c r="AH559" s="1" t="str">
        <f>IF(OR($B559="",AH$7=""),"",IF($B559="MEANS",INDEX('1-DATA'!$1:$1048576,$A558-1,COLUMN('1-DATA'!AG557)),ROUND(INDEX('1-DATA'!$1:$1048576,IF(OR($B559="STD. DEVIATION",$C$1=1),$A559,$A559+1),COLUMN('1-DATA'!AG557)),IF($B559="STD. DEVIATION",2,$F$1))))</f>
        <v/>
      </c>
      <c r="AI559" s="1" t="str">
        <f>IF(OR($B559="",AI$7=""),"",IF($B559="MEANS",INDEX('1-DATA'!$1:$1048576,$A558-1,COLUMN('1-DATA'!AH557)),ROUND(INDEX('1-DATA'!$1:$1048576,IF(OR($B559="STD. DEVIATION",$C$1=1),$A559,$A559+1),COLUMN('1-DATA'!AH557)),IF($B559="STD. DEVIATION",2,$F$1))))</f>
        <v/>
      </c>
      <c r="AJ559" s="1" t="str">
        <f>IF(OR($B559="",AJ$7=""),"",IF($B559="MEANS",INDEX('1-DATA'!$1:$1048576,$A558-1,COLUMN('1-DATA'!AI557)),ROUND(INDEX('1-DATA'!$1:$1048576,IF(OR($B559="STD. DEVIATION",$C$1=1),$A559,$A559+1),COLUMN('1-DATA'!AI557)),IF($B559="STD. DEVIATION",2,$F$1))))</f>
        <v/>
      </c>
      <c r="AK559" s="1" t="str">
        <f>IF(OR($B559="",AK$7=""),"",IF($B559="MEANS",INDEX('1-DATA'!$1:$1048576,$A558-1,COLUMN('1-DATA'!AJ557)),ROUND(INDEX('1-DATA'!$1:$1048576,IF(OR($B559="STD. DEVIATION",$C$1=1),$A559,$A559+1),COLUMN('1-DATA'!AJ557)),IF($B559="STD. DEVIATION",2,$F$1))))</f>
        <v/>
      </c>
      <c r="AL559" s="1" t="str">
        <f>IF(OR($B559="",AL$7=""),"",IF($B559="MEANS",INDEX('1-DATA'!$1:$1048576,$A558-1,COLUMN('1-DATA'!AK557)),ROUND(INDEX('1-DATA'!$1:$1048576,IF(OR($B559="STD. DEVIATION",$C$1=1),$A559,$A559+1),COLUMN('1-DATA'!AK557)),IF($B559="STD. DEVIATION",2,$F$1))))</f>
        <v/>
      </c>
      <c r="AM559" s="1" t="str">
        <f>IF(OR($B559="",AM$7=""),"",IF($B559="MEANS",INDEX('1-DATA'!$1:$1048576,$A558-1,COLUMN('1-DATA'!AL557)),ROUND(INDEX('1-DATA'!$1:$1048576,IF(OR($B559="STD. DEVIATION",$C$1=1),$A559,$A559+1),COLUMN('1-DATA'!AL557)),IF($B559="STD. DEVIATION",2,$F$1))))</f>
        <v/>
      </c>
      <c r="AN559" s="1" t="str">
        <f>IF(OR($B559="",AN$7=""),"",IF($B559="MEANS",INDEX('1-DATA'!$1:$1048576,$A558-1,COLUMN('1-DATA'!AM557)),ROUND(INDEX('1-DATA'!$1:$1048576,IF(OR($B559="STD. DEVIATION",$C$1=1),$A559,$A559+1),COLUMN('1-DATA'!AM557)),IF($B559="STD. DEVIATION",2,$F$1))))</f>
        <v/>
      </c>
      <c r="AO559" s="1" t="str">
        <f>IF(OR($B559="",AO$7=""),"",IF($B559="MEANS",INDEX('1-DATA'!$1:$1048576,$A558-1,COLUMN('1-DATA'!AN557)),ROUND(INDEX('1-DATA'!$1:$1048576,IF(OR($B559="STD. DEVIATION",$C$1=1),$A559,$A559+1),COLUMN('1-DATA'!AN557)),IF($B559="STD. DEVIATION",2,$F$1))))</f>
        <v/>
      </c>
      <c r="AP559" s="1" t="str">
        <f>IF(OR($B559="",AP$7=""),"",IF($B559="MEANS",INDEX('1-DATA'!$1:$1048576,$A558-1,COLUMN('1-DATA'!AO557)),ROUND(INDEX('1-DATA'!$1:$1048576,IF(OR($B559="STD. DEVIATION",$C$1=1),$A559,$A559+1),COLUMN('1-DATA'!AO557)),IF($B559="STD. DEVIATION",2,$F$1))))</f>
        <v/>
      </c>
      <c r="AQ559" s="1" t="str">
        <f>IF(OR($B559="",AQ$7=""),"",IF($B559="MEANS",INDEX('1-DATA'!$1:$1048576,$A558-1,COLUMN('1-DATA'!AP557)),ROUND(INDEX('1-DATA'!$1:$1048576,IF(OR($B559="STD. DEVIATION",$C$1=1),$A559,$A559+1),COLUMN('1-DATA'!AP557)),IF($B559="STD. DEVIATION",2,$F$1))))</f>
        <v/>
      </c>
      <c r="AR559" s="1" t="str">
        <f>IF(OR($B559="",AR$7=""),"",IF($B559="MEANS",INDEX('1-DATA'!$1:$1048576,$A558-1,COLUMN('1-DATA'!AQ557)),ROUND(INDEX('1-DATA'!$1:$1048576,IF(OR($B559="STD. DEVIATION",$C$1=1),$A559,$A559+1),COLUMN('1-DATA'!AQ557)),IF($B559="STD. DEVIATION",2,$F$1))))</f>
        <v/>
      </c>
      <c r="AS559" s="1" t="str">
        <f>IF(OR($B559="",AS$7=""),"",IF($B559="MEANS",INDEX('1-DATA'!$1:$1048576,$A558-1,COLUMN('1-DATA'!AR557)),ROUND(INDEX('1-DATA'!$1:$1048576,IF(OR($B559="STD. DEVIATION",$C$1=1),$A559,$A559+1),COLUMN('1-DATA'!AR557)),IF($B559="STD. DEVIATION",2,$F$1))))</f>
        <v/>
      </c>
      <c r="AT559" s="1" t="str">
        <f>IF(OR($B559="",AT$7=""),"",IF($B559="MEANS",INDEX('1-DATA'!$1:$1048576,$A558-1,COLUMN('1-DATA'!AS557)),ROUND(INDEX('1-DATA'!$1:$1048576,IF(OR($B559="STD. DEVIATION",$C$1=1),$A559,$A559+1),COLUMN('1-DATA'!AS557)),IF($B559="STD. DEVIATION",2,$F$1))))</f>
        <v/>
      </c>
      <c r="AU559" s="1" t="str">
        <f>IF(OR($B559="",AU$7=""),"",IF($B559="MEANS",INDEX('1-DATA'!$1:$1048576,$A558-1,COLUMN('1-DATA'!AT557)),ROUND(INDEX('1-DATA'!$1:$1048576,IF(OR($B559="STD. DEVIATION",$C$1=1),$A559,$A559+1),COLUMN('1-DATA'!AT557)),IF($B559="STD. DEVIATION",2,$F$1))))</f>
        <v/>
      </c>
      <c r="AV559" s="1" t="str">
        <f>IF(OR($B559="",AV$7=""),"",IF($B559="MEANS",INDEX('1-DATA'!$1:$1048576,$A558-1,COLUMN('1-DATA'!AU557)),ROUND(INDEX('1-DATA'!$1:$1048576,IF(OR($B559="STD. DEVIATION",$C$1=1),$A559,$A559+1),COLUMN('1-DATA'!AU557)),IF($B559="STD. DEVIATION",2,$F$1))))</f>
        <v/>
      </c>
      <c r="AW559" s="1" t="str">
        <f>IF(OR($B559="",AW$7=""),"",IF($B559="MEANS",INDEX('1-DATA'!$1:$1048576,$A558-1,COLUMN('1-DATA'!AV557)),ROUND(INDEX('1-DATA'!$1:$1048576,IF(OR($B559="STD. DEVIATION",$C$1=1),$A559,$A559+1),COLUMN('1-DATA'!AV557)),IF($B559="STD. DEVIATION",2,$F$1))))</f>
        <v/>
      </c>
      <c r="AX559" s="1" t="str">
        <f>IF(OR($B559="",AX$7=""),"",IF($B559="MEANS",INDEX('1-DATA'!$1:$1048576,$A558-1,COLUMN('1-DATA'!AW557)),ROUND(INDEX('1-DATA'!$1:$1048576,IF(OR($B559="STD. DEVIATION",$C$1=1),$A559,$A559+1),COLUMN('1-DATA'!AW557)),IF($B559="STD. DEVIATION",2,$F$1))))</f>
        <v/>
      </c>
      <c r="AY559" s="1" t="str">
        <f>IF(OR($B559="",AY$7=""),"",IF($B559="MEANS",INDEX('1-DATA'!$1:$1048576,$A558-1,COLUMN('1-DATA'!AX557)),ROUND(INDEX('1-DATA'!$1:$1048576,IF(OR($B559="STD. DEVIATION",$C$1=1),$A559,$A559+1),COLUMN('1-DATA'!AX557)),IF($B559="STD. DEVIATION",2,$F$1))))</f>
        <v/>
      </c>
      <c r="AZ559" s="1" t="str">
        <f>IF(OR($B559="",AZ$7=""),"",IF($B559="MEANS",INDEX('1-DATA'!$1:$1048576,$A558-1,COLUMN('1-DATA'!AY557)),ROUND(INDEX('1-DATA'!$1:$1048576,IF(OR($B559="STD. DEVIATION",$C$1=1),$A559,$A559+1),COLUMN('1-DATA'!AY557)),IF($B559="STD. DEVIATION",2,$F$1))))</f>
        <v/>
      </c>
    </row>
    <row r="560" spans="1:52" x14ac:dyDescent="0.25">
      <c r="A560" s="11">
        <f t="shared" si="9"/>
        <v>1666</v>
      </c>
      <c r="B560" s="1" t="str">
        <f>IF(B559="STD. DEVIATION",INDEX('1-DATA'!$1:$1048576,$A559-1,1),IF(INDEX('1-DATA'!$1:$1048576,$A560,1)&lt;&gt;"",INDEX('1-DATA'!$1:$1048576,$A560,1),""))</f>
        <v/>
      </c>
      <c r="C560" s="1" t="str">
        <f>IF(OR($B560="",C$7=""),"",IF($B560="MEANS",INDEX('1-DATA'!$1:$1048576,$A559-1,COLUMN('1-DATA'!B558)),ROUND(INDEX('1-DATA'!$1:$1048576,IF(OR($B560="STD. DEVIATION",$C$1=1),$A560,$A560+1),COLUMN('1-DATA'!B558)),IF($B560="STD. DEVIATION",2,$F$1))))</f>
        <v/>
      </c>
      <c r="D560" s="1" t="str">
        <f>IF(OR($B560="",D$7=""),"",IF($B560="MEANS",INDEX('1-DATA'!$1:$1048576,$A559-1,COLUMN('1-DATA'!C558)),ROUND(INDEX('1-DATA'!$1:$1048576,IF(OR($B560="STD. DEVIATION",$C$1=1),$A560,$A560+1),COLUMN('1-DATA'!C558)),IF($B560="STD. DEVIATION",2,$F$1))))</f>
        <v/>
      </c>
      <c r="E560" s="1" t="str">
        <f>IF(OR($B560="",E$7=""),"",IF($B560="MEANS",INDEX('1-DATA'!$1:$1048576,$A559-1,COLUMN('1-DATA'!D558)),ROUND(INDEX('1-DATA'!$1:$1048576,IF(OR($B560="STD. DEVIATION",$C$1=1),$A560,$A560+1),COLUMN('1-DATA'!D558)),IF($B560="STD. DEVIATION",2,$F$1))))</f>
        <v/>
      </c>
      <c r="F560" s="1" t="str">
        <f>IF(OR($B560="",F$7=""),"",IF($B560="MEANS",INDEX('1-DATA'!$1:$1048576,$A559-1,COLUMN('1-DATA'!E558)),ROUND(INDEX('1-DATA'!$1:$1048576,IF(OR($B560="STD. DEVIATION",$C$1=1),$A560,$A560+1),COLUMN('1-DATA'!E558)),IF($B560="STD. DEVIATION",2,$F$1))))</f>
        <v/>
      </c>
      <c r="G560" s="1" t="str">
        <f>IF(OR($B560="",G$7=""),"",IF($B560="MEANS",INDEX('1-DATA'!$1:$1048576,$A559-1,COLUMN('1-DATA'!F558)),ROUND(INDEX('1-DATA'!$1:$1048576,IF(OR($B560="STD. DEVIATION",$C$1=1),$A560,$A560+1),COLUMN('1-DATA'!F558)),IF($B560="STD. DEVIATION",2,$F$1))))</f>
        <v/>
      </c>
      <c r="H560" s="1" t="str">
        <f>IF(OR($B560="",H$7=""),"",IF($B560="MEANS",INDEX('1-DATA'!$1:$1048576,$A559-1,COLUMN('1-DATA'!G558)),ROUND(INDEX('1-DATA'!$1:$1048576,IF(OR($B560="STD. DEVIATION",$C$1=1),$A560,$A560+1),COLUMN('1-DATA'!G558)),IF($B560="STD. DEVIATION",2,$F$1))))</f>
        <v/>
      </c>
      <c r="I560" s="1" t="str">
        <f>IF(OR($B560="",I$7=""),"",IF($B560="MEANS",INDEX('1-DATA'!$1:$1048576,$A559-1,COLUMN('1-DATA'!H558)),ROUND(INDEX('1-DATA'!$1:$1048576,IF(OR($B560="STD. DEVIATION",$C$1=1),$A560,$A560+1),COLUMN('1-DATA'!H558)),IF($B560="STD. DEVIATION",2,$F$1))))</f>
        <v/>
      </c>
      <c r="J560" s="1" t="str">
        <f>IF(OR($B560="",J$7=""),"",IF($B560="MEANS",INDEX('1-DATA'!$1:$1048576,$A559-1,COLUMN('1-DATA'!I558)),ROUND(INDEX('1-DATA'!$1:$1048576,IF(OR($B560="STD. DEVIATION",$C$1=1),$A560,$A560+1),COLUMN('1-DATA'!I558)),IF($B560="STD. DEVIATION",2,$F$1))))</f>
        <v/>
      </c>
      <c r="K560" s="1" t="str">
        <f>IF(OR($B560="",K$7=""),"",IF($B560="MEANS",INDEX('1-DATA'!$1:$1048576,$A559-1,COLUMN('1-DATA'!J558)),ROUND(INDEX('1-DATA'!$1:$1048576,IF(OR($B560="STD. DEVIATION",$C$1=1),$A560,$A560+1),COLUMN('1-DATA'!J558)),IF($B560="STD. DEVIATION",2,$F$1))))</f>
        <v/>
      </c>
      <c r="L560" s="1" t="str">
        <f>IF(OR($B560="",L$7=""),"",IF($B560="MEANS",INDEX('1-DATA'!$1:$1048576,$A559-1,COLUMN('1-DATA'!K558)),ROUND(INDEX('1-DATA'!$1:$1048576,IF(OR($B560="STD. DEVIATION",$C$1=1),$A560,$A560+1),COLUMN('1-DATA'!K558)),IF($B560="STD. DEVIATION",2,$F$1))))</f>
        <v/>
      </c>
      <c r="M560" s="1" t="str">
        <f>IF(OR($B560="",M$7=""),"",IF($B560="MEANS",INDEX('1-DATA'!$1:$1048576,$A559-1,COLUMN('1-DATA'!L558)),ROUND(INDEX('1-DATA'!$1:$1048576,IF(OR($B560="STD. DEVIATION",$C$1=1),$A560,$A560+1),COLUMN('1-DATA'!L558)),IF($B560="STD. DEVIATION",2,$F$1))))</f>
        <v/>
      </c>
      <c r="N560" s="1" t="str">
        <f>IF(OR($B560="",N$7=""),"",IF($B560="MEANS",INDEX('1-DATA'!$1:$1048576,$A559-1,COLUMN('1-DATA'!M558)),ROUND(INDEX('1-DATA'!$1:$1048576,IF(OR($B560="STD. DEVIATION",$C$1=1),$A560,$A560+1),COLUMN('1-DATA'!M558)),IF($B560="STD. DEVIATION",2,$F$1))))</f>
        <v/>
      </c>
      <c r="O560" s="1" t="str">
        <f>IF(OR($B560="",O$7=""),"",IF($B560="MEANS",INDEX('1-DATA'!$1:$1048576,$A559-1,COLUMN('1-DATA'!N558)),ROUND(INDEX('1-DATA'!$1:$1048576,IF(OR($B560="STD. DEVIATION",$C$1=1),$A560,$A560+1),COLUMN('1-DATA'!N558)),IF($B560="STD. DEVIATION",2,$F$1))))</f>
        <v/>
      </c>
      <c r="P560" s="1" t="str">
        <f>IF(OR($B560="",P$7=""),"",IF($B560="MEANS",INDEX('1-DATA'!$1:$1048576,$A559-1,COLUMN('1-DATA'!O558)),ROUND(INDEX('1-DATA'!$1:$1048576,IF(OR($B560="STD. DEVIATION",$C$1=1),$A560,$A560+1),COLUMN('1-DATA'!O558)),IF($B560="STD. DEVIATION",2,$F$1))))</f>
        <v/>
      </c>
      <c r="Q560" s="1" t="str">
        <f>IF(OR($B560="",Q$7=""),"",IF($B560="MEANS",INDEX('1-DATA'!$1:$1048576,$A559-1,COLUMN('1-DATA'!P558)),ROUND(INDEX('1-DATA'!$1:$1048576,IF(OR($B560="STD. DEVIATION",$C$1=1),$A560,$A560+1),COLUMN('1-DATA'!P558)),IF($B560="STD. DEVIATION",2,$F$1))))</f>
        <v/>
      </c>
      <c r="R560" s="1" t="str">
        <f>IF(OR($B560="",R$7=""),"",IF($B560="MEANS",INDEX('1-DATA'!$1:$1048576,$A559-1,COLUMN('1-DATA'!Q558)),ROUND(INDEX('1-DATA'!$1:$1048576,IF(OR($B560="STD. DEVIATION",$C$1=1),$A560,$A560+1),COLUMN('1-DATA'!Q558)),IF($B560="STD. DEVIATION",2,$F$1))))</f>
        <v/>
      </c>
      <c r="S560" s="1" t="str">
        <f>IF(OR($B560="",S$7=""),"",IF($B560="MEANS",INDEX('1-DATA'!$1:$1048576,$A559-1,COLUMN('1-DATA'!R558)),ROUND(INDEX('1-DATA'!$1:$1048576,IF(OR($B560="STD. DEVIATION",$C$1=1),$A560,$A560+1),COLUMN('1-DATA'!R558)),IF($B560="STD. DEVIATION",2,$F$1))))</f>
        <v/>
      </c>
      <c r="T560" s="1" t="str">
        <f>IF(OR($B560="",T$7=""),"",IF($B560="MEANS",INDEX('1-DATA'!$1:$1048576,$A559-1,COLUMN('1-DATA'!S558)),ROUND(INDEX('1-DATA'!$1:$1048576,IF(OR($B560="STD. DEVIATION",$C$1=1),$A560,$A560+1),COLUMN('1-DATA'!S558)),IF($B560="STD. DEVIATION",2,$F$1))))</f>
        <v/>
      </c>
      <c r="U560" s="1" t="str">
        <f>IF(OR($B560="",U$7=""),"",IF($B560="MEANS",INDEX('1-DATA'!$1:$1048576,$A559-1,COLUMN('1-DATA'!T558)),ROUND(INDEX('1-DATA'!$1:$1048576,IF(OR($B560="STD. DEVIATION",$C$1=1),$A560,$A560+1),COLUMN('1-DATA'!T558)),IF($B560="STD. DEVIATION",2,$F$1))))</f>
        <v/>
      </c>
      <c r="V560" s="1" t="str">
        <f>IF(OR($B560="",V$7=""),"",IF($B560="MEANS",INDEX('1-DATA'!$1:$1048576,$A559-1,COLUMN('1-DATA'!U558)),ROUND(INDEX('1-DATA'!$1:$1048576,IF(OR($B560="STD. DEVIATION",$C$1=1),$A560,$A560+1),COLUMN('1-DATA'!U558)),IF($B560="STD. DEVIATION",2,$F$1))))</f>
        <v/>
      </c>
      <c r="W560" s="1" t="str">
        <f>IF(OR($B560="",W$7=""),"",IF($B560="MEANS",INDEX('1-DATA'!$1:$1048576,$A559-1,COLUMN('1-DATA'!V558)),ROUND(INDEX('1-DATA'!$1:$1048576,IF(OR($B560="STD. DEVIATION",$C$1=1),$A560,$A560+1),COLUMN('1-DATA'!V558)),IF($B560="STD. DEVIATION",2,$F$1))))</f>
        <v/>
      </c>
      <c r="X560" s="1" t="str">
        <f>IF(OR($B560="",X$7=""),"",IF($B560="MEANS",INDEX('1-DATA'!$1:$1048576,$A559-1,COLUMN('1-DATA'!W558)),ROUND(INDEX('1-DATA'!$1:$1048576,IF(OR($B560="STD. DEVIATION",$C$1=1),$A560,$A560+1),COLUMN('1-DATA'!W558)),IF($B560="STD. DEVIATION",2,$F$1))))</f>
        <v/>
      </c>
      <c r="Y560" s="1" t="str">
        <f>IF(OR($B560="",Y$7=""),"",IF($B560="MEANS",INDEX('1-DATA'!$1:$1048576,$A559-1,COLUMN('1-DATA'!X558)),ROUND(INDEX('1-DATA'!$1:$1048576,IF(OR($B560="STD. DEVIATION",$C$1=1),$A560,$A560+1),COLUMN('1-DATA'!X558)),IF($B560="STD. DEVIATION",2,$F$1))))</f>
        <v/>
      </c>
      <c r="Z560" s="1" t="str">
        <f>IF(OR($B560="",Z$7=""),"",IF($B560="MEANS",INDEX('1-DATA'!$1:$1048576,$A559-1,COLUMN('1-DATA'!Y558)),ROUND(INDEX('1-DATA'!$1:$1048576,IF(OR($B560="STD. DEVIATION",$C$1=1),$A560,$A560+1),COLUMN('1-DATA'!Y558)),IF($B560="STD. DEVIATION",2,$F$1))))</f>
        <v/>
      </c>
      <c r="AA560" s="1" t="str">
        <f>IF(OR($B560="",AA$7=""),"",IF($B560="MEANS",INDEX('1-DATA'!$1:$1048576,$A559-1,COLUMN('1-DATA'!Z558)),ROUND(INDEX('1-DATA'!$1:$1048576,IF(OR($B560="STD. DEVIATION",$C$1=1),$A560,$A560+1),COLUMN('1-DATA'!Z558)),IF($B560="STD. DEVIATION",2,$F$1))))</f>
        <v/>
      </c>
      <c r="AB560" s="1" t="str">
        <f>IF(OR($B560="",AB$7=""),"",IF($B560="MEANS",INDEX('1-DATA'!$1:$1048576,$A559-1,COLUMN('1-DATA'!AA558)),ROUND(INDEX('1-DATA'!$1:$1048576,IF(OR($B560="STD. DEVIATION",$C$1=1),$A560,$A560+1),COLUMN('1-DATA'!AA558)),IF($B560="STD. DEVIATION",2,$F$1))))</f>
        <v/>
      </c>
      <c r="AC560" s="1" t="str">
        <f>IF(OR($B560="",AC$7=""),"",IF($B560="MEANS",INDEX('1-DATA'!$1:$1048576,$A559-1,COLUMN('1-DATA'!AB558)),ROUND(INDEX('1-DATA'!$1:$1048576,IF(OR($B560="STD. DEVIATION",$C$1=1),$A560,$A560+1),COLUMN('1-DATA'!AB558)),IF($B560="STD. DEVIATION",2,$F$1))))</f>
        <v/>
      </c>
      <c r="AD560" s="1" t="str">
        <f>IF(OR($B560="",AD$7=""),"",IF($B560="MEANS",INDEX('1-DATA'!$1:$1048576,$A559-1,COLUMN('1-DATA'!AC558)),ROUND(INDEX('1-DATA'!$1:$1048576,IF(OR($B560="STD. DEVIATION",$C$1=1),$A560,$A560+1),COLUMN('1-DATA'!AC558)),IF($B560="STD. DEVIATION",2,$F$1))))</f>
        <v/>
      </c>
      <c r="AE560" s="1" t="str">
        <f>IF(OR($B560="",AE$7=""),"",IF($B560="MEANS",INDEX('1-DATA'!$1:$1048576,$A559-1,COLUMN('1-DATA'!AD558)),ROUND(INDEX('1-DATA'!$1:$1048576,IF(OR($B560="STD. DEVIATION",$C$1=1),$A560,$A560+1),COLUMN('1-DATA'!AD558)),IF($B560="STD. DEVIATION",2,$F$1))))</f>
        <v/>
      </c>
      <c r="AF560" s="1" t="str">
        <f>IF(OR($B560="",AF$7=""),"",IF($B560="MEANS",INDEX('1-DATA'!$1:$1048576,$A559-1,COLUMN('1-DATA'!AE558)),ROUND(INDEX('1-DATA'!$1:$1048576,IF(OR($B560="STD. DEVIATION",$C$1=1),$A560,$A560+1),COLUMN('1-DATA'!AE558)),IF($B560="STD. DEVIATION",2,$F$1))))</f>
        <v/>
      </c>
      <c r="AG560" s="1" t="str">
        <f>IF(OR($B560="",AG$7=""),"",IF($B560="MEANS",INDEX('1-DATA'!$1:$1048576,$A559-1,COLUMN('1-DATA'!AF558)),ROUND(INDEX('1-DATA'!$1:$1048576,IF(OR($B560="STD. DEVIATION",$C$1=1),$A560,$A560+1),COLUMN('1-DATA'!AF558)),IF($B560="STD. DEVIATION",2,$F$1))))</f>
        <v/>
      </c>
      <c r="AH560" s="1" t="str">
        <f>IF(OR($B560="",AH$7=""),"",IF($B560="MEANS",INDEX('1-DATA'!$1:$1048576,$A559-1,COLUMN('1-DATA'!AG558)),ROUND(INDEX('1-DATA'!$1:$1048576,IF(OR($B560="STD. DEVIATION",$C$1=1),$A560,$A560+1),COLUMN('1-DATA'!AG558)),IF($B560="STD. DEVIATION",2,$F$1))))</f>
        <v/>
      </c>
      <c r="AI560" s="1" t="str">
        <f>IF(OR($B560="",AI$7=""),"",IF($B560="MEANS",INDEX('1-DATA'!$1:$1048576,$A559-1,COLUMN('1-DATA'!AH558)),ROUND(INDEX('1-DATA'!$1:$1048576,IF(OR($B560="STD. DEVIATION",$C$1=1),$A560,$A560+1),COLUMN('1-DATA'!AH558)),IF($B560="STD. DEVIATION",2,$F$1))))</f>
        <v/>
      </c>
      <c r="AJ560" s="1" t="str">
        <f>IF(OR($B560="",AJ$7=""),"",IF($B560="MEANS",INDEX('1-DATA'!$1:$1048576,$A559-1,COLUMN('1-DATA'!AI558)),ROUND(INDEX('1-DATA'!$1:$1048576,IF(OR($B560="STD. DEVIATION",$C$1=1),$A560,$A560+1),COLUMN('1-DATA'!AI558)),IF($B560="STD. DEVIATION",2,$F$1))))</f>
        <v/>
      </c>
      <c r="AK560" s="1" t="str">
        <f>IF(OR($B560="",AK$7=""),"",IF($B560="MEANS",INDEX('1-DATA'!$1:$1048576,$A559-1,COLUMN('1-DATA'!AJ558)),ROUND(INDEX('1-DATA'!$1:$1048576,IF(OR($B560="STD. DEVIATION",$C$1=1),$A560,$A560+1),COLUMN('1-DATA'!AJ558)),IF($B560="STD. DEVIATION",2,$F$1))))</f>
        <v/>
      </c>
      <c r="AL560" s="1" t="str">
        <f>IF(OR($B560="",AL$7=""),"",IF($B560="MEANS",INDEX('1-DATA'!$1:$1048576,$A559-1,COLUMN('1-DATA'!AK558)),ROUND(INDEX('1-DATA'!$1:$1048576,IF(OR($B560="STD. DEVIATION",$C$1=1),$A560,$A560+1),COLUMN('1-DATA'!AK558)),IF($B560="STD. DEVIATION",2,$F$1))))</f>
        <v/>
      </c>
      <c r="AM560" s="1" t="str">
        <f>IF(OR($B560="",AM$7=""),"",IF($B560="MEANS",INDEX('1-DATA'!$1:$1048576,$A559-1,COLUMN('1-DATA'!AL558)),ROUND(INDEX('1-DATA'!$1:$1048576,IF(OR($B560="STD. DEVIATION",$C$1=1),$A560,$A560+1),COLUMN('1-DATA'!AL558)),IF($B560="STD. DEVIATION",2,$F$1))))</f>
        <v/>
      </c>
      <c r="AN560" s="1" t="str">
        <f>IF(OR($B560="",AN$7=""),"",IF($B560="MEANS",INDEX('1-DATA'!$1:$1048576,$A559-1,COLUMN('1-DATA'!AM558)),ROUND(INDEX('1-DATA'!$1:$1048576,IF(OR($B560="STD. DEVIATION",$C$1=1),$A560,$A560+1),COLUMN('1-DATA'!AM558)),IF($B560="STD. DEVIATION",2,$F$1))))</f>
        <v/>
      </c>
      <c r="AO560" s="1" t="str">
        <f>IF(OR($B560="",AO$7=""),"",IF($B560="MEANS",INDEX('1-DATA'!$1:$1048576,$A559-1,COLUMN('1-DATA'!AN558)),ROUND(INDEX('1-DATA'!$1:$1048576,IF(OR($B560="STD. DEVIATION",$C$1=1),$A560,$A560+1),COLUMN('1-DATA'!AN558)),IF($B560="STD. DEVIATION",2,$F$1))))</f>
        <v/>
      </c>
      <c r="AP560" s="1" t="str">
        <f>IF(OR($B560="",AP$7=""),"",IF($B560="MEANS",INDEX('1-DATA'!$1:$1048576,$A559-1,COLUMN('1-DATA'!AO558)),ROUND(INDEX('1-DATA'!$1:$1048576,IF(OR($B560="STD. DEVIATION",$C$1=1),$A560,$A560+1),COLUMN('1-DATA'!AO558)),IF($B560="STD. DEVIATION",2,$F$1))))</f>
        <v/>
      </c>
      <c r="AQ560" s="1" t="str">
        <f>IF(OR($B560="",AQ$7=""),"",IF($B560="MEANS",INDEX('1-DATA'!$1:$1048576,$A559-1,COLUMN('1-DATA'!AP558)),ROUND(INDEX('1-DATA'!$1:$1048576,IF(OR($B560="STD. DEVIATION",$C$1=1),$A560,$A560+1),COLUMN('1-DATA'!AP558)),IF($B560="STD. DEVIATION",2,$F$1))))</f>
        <v/>
      </c>
      <c r="AR560" s="1" t="str">
        <f>IF(OR($B560="",AR$7=""),"",IF($B560="MEANS",INDEX('1-DATA'!$1:$1048576,$A559-1,COLUMN('1-DATA'!AQ558)),ROUND(INDEX('1-DATA'!$1:$1048576,IF(OR($B560="STD. DEVIATION",$C$1=1),$A560,$A560+1),COLUMN('1-DATA'!AQ558)),IF($B560="STD. DEVIATION",2,$F$1))))</f>
        <v/>
      </c>
      <c r="AS560" s="1" t="str">
        <f>IF(OR($B560="",AS$7=""),"",IF($B560="MEANS",INDEX('1-DATA'!$1:$1048576,$A559-1,COLUMN('1-DATA'!AR558)),ROUND(INDEX('1-DATA'!$1:$1048576,IF(OR($B560="STD. DEVIATION",$C$1=1),$A560,$A560+1),COLUMN('1-DATA'!AR558)),IF($B560="STD. DEVIATION",2,$F$1))))</f>
        <v/>
      </c>
      <c r="AT560" s="1" t="str">
        <f>IF(OR($B560="",AT$7=""),"",IF($B560="MEANS",INDEX('1-DATA'!$1:$1048576,$A559-1,COLUMN('1-DATA'!AS558)),ROUND(INDEX('1-DATA'!$1:$1048576,IF(OR($B560="STD. DEVIATION",$C$1=1),$A560,$A560+1),COLUMN('1-DATA'!AS558)),IF($B560="STD. DEVIATION",2,$F$1))))</f>
        <v/>
      </c>
      <c r="AU560" s="1" t="str">
        <f>IF(OR($B560="",AU$7=""),"",IF($B560="MEANS",INDEX('1-DATA'!$1:$1048576,$A559-1,COLUMN('1-DATA'!AT558)),ROUND(INDEX('1-DATA'!$1:$1048576,IF(OR($B560="STD. DEVIATION",$C$1=1),$A560,$A560+1),COLUMN('1-DATA'!AT558)),IF($B560="STD. DEVIATION",2,$F$1))))</f>
        <v/>
      </c>
      <c r="AV560" s="1" t="str">
        <f>IF(OR($B560="",AV$7=""),"",IF($B560="MEANS",INDEX('1-DATA'!$1:$1048576,$A559-1,COLUMN('1-DATA'!AU558)),ROUND(INDEX('1-DATA'!$1:$1048576,IF(OR($B560="STD. DEVIATION",$C$1=1),$A560,$A560+1),COLUMN('1-DATA'!AU558)),IF($B560="STD. DEVIATION",2,$F$1))))</f>
        <v/>
      </c>
      <c r="AW560" s="1" t="str">
        <f>IF(OR($B560="",AW$7=""),"",IF($B560="MEANS",INDEX('1-DATA'!$1:$1048576,$A559-1,COLUMN('1-DATA'!AV558)),ROUND(INDEX('1-DATA'!$1:$1048576,IF(OR($B560="STD. DEVIATION",$C$1=1),$A560,$A560+1),COLUMN('1-DATA'!AV558)),IF($B560="STD. DEVIATION",2,$F$1))))</f>
        <v/>
      </c>
      <c r="AX560" s="1" t="str">
        <f>IF(OR($B560="",AX$7=""),"",IF($B560="MEANS",INDEX('1-DATA'!$1:$1048576,$A559-1,COLUMN('1-DATA'!AW558)),ROUND(INDEX('1-DATA'!$1:$1048576,IF(OR($B560="STD. DEVIATION",$C$1=1),$A560,$A560+1),COLUMN('1-DATA'!AW558)),IF($B560="STD. DEVIATION",2,$F$1))))</f>
        <v/>
      </c>
      <c r="AY560" s="1" t="str">
        <f>IF(OR($B560="",AY$7=""),"",IF($B560="MEANS",INDEX('1-DATA'!$1:$1048576,$A559-1,COLUMN('1-DATA'!AX558)),ROUND(INDEX('1-DATA'!$1:$1048576,IF(OR($B560="STD. DEVIATION",$C$1=1),$A560,$A560+1),COLUMN('1-DATA'!AX558)),IF($B560="STD. DEVIATION",2,$F$1))))</f>
        <v/>
      </c>
      <c r="AZ560" s="1" t="str">
        <f>IF(OR($B560="",AZ$7=""),"",IF($B560="MEANS",INDEX('1-DATA'!$1:$1048576,$A559-1,COLUMN('1-DATA'!AY558)),ROUND(INDEX('1-DATA'!$1:$1048576,IF(OR($B560="STD. DEVIATION",$C$1=1),$A560,$A560+1),COLUMN('1-DATA'!AY558)),IF($B560="STD. DEVIATION",2,$F$1))))</f>
        <v/>
      </c>
    </row>
    <row r="561" spans="1:52" x14ac:dyDescent="0.25">
      <c r="A561" s="11">
        <f t="shared" si="9"/>
        <v>1669</v>
      </c>
      <c r="B561" s="1" t="str">
        <f>IF(B560="STD. DEVIATION",INDEX('1-DATA'!$1:$1048576,$A560-1,1),IF(INDEX('1-DATA'!$1:$1048576,$A561,1)&lt;&gt;"",INDEX('1-DATA'!$1:$1048576,$A561,1),""))</f>
        <v/>
      </c>
      <c r="C561" s="1" t="str">
        <f>IF(OR($B561="",C$7=""),"",IF($B561="MEANS",INDEX('1-DATA'!$1:$1048576,$A560-1,COLUMN('1-DATA'!B559)),ROUND(INDEX('1-DATA'!$1:$1048576,IF(OR($B561="STD. DEVIATION",$C$1=1),$A561,$A561+1),COLUMN('1-DATA'!B559)),IF($B561="STD. DEVIATION",2,$F$1))))</f>
        <v/>
      </c>
      <c r="D561" s="1" t="str">
        <f>IF(OR($B561="",D$7=""),"",IF($B561="MEANS",INDEX('1-DATA'!$1:$1048576,$A560-1,COLUMN('1-DATA'!C559)),ROUND(INDEX('1-DATA'!$1:$1048576,IF(OR($B561="STD. DEVIATION",$C$1=1),$A561,$A561+1),COLUMN('1-DATA'!C559)),IF($B561="STD. DEVIATION",2,$F$1))))</f>
        <v/>
      </c>
      <c r="E561" s="1" t="str">
        <f>IF(OR($B561="",E$7=""),"",IF($B561="MEANS",INDEX('1-DATA'!$1:$1048576,$A560-1,COLUMN('1-DATA'!D559)),ROUND(INDEX('1-DATA'!$1:$1048576,IF(OR($B561="STD. DEVIATION",$C$1=1),$A561,$A561+1),COLUMN('1-DATA'!D559)),IF($B561="STD. DEVIATION",2,$F$1))))</f>
        <v/>
      </c>
      <c r="F561" s="1" t="str">
        <f>IF(OR($B561="",F$7=""),"",IF($B561="MEANS",INDEX('1-DATA'!$1:$1048576,$A560-1,COLUMN('1-DATA'!E559)),ROUND(INDEX('1-DATA'!$1:$1048576,IF(OR($B561="STD. DEVIATION",$C$1=1),$A561,$A561+1),COLUMN('1-DATA'!E559)),IF($B561="STD. DEVIATION",2,$F$1))))</f>
        <v/>
      </c>
      <c r="G561" s="1" t="str">
        <f>IF(OR($B561="",G$7=""),"",IF($B561="MEANS",INDEX('1-DATA'!$1:$1048576,$A560-1,COLUMN('1-DATA'!F559)),ROUND(INDEX('1-DATA'!$1:$1048576,IF(OR($B561="STD. DEVIATION",$C$1=1),$A561,$A561+1),COLUMN('1-DATA'!F559)),IF($B561="STD. DEVIATION",2,$F$1))))</f>
        <v/>
      </c>
      <c r="H561" s="1" t="str">
        <f>IF(OR($B561="",H$7=""),"",IF($B561="MEANS",INDEX('1-DATA'!$1:$1048576,$A560-1,COLUMN('1-DATA'!G559)),ROUND(INDEX('1-DATA'!$1:$1048576,IF(OR($B561="STD. DEVIATION",$C$1=1),$A561,$A561+1),COLUMN('1-DATA'!G559)),IF($B561="STD. DEVIATION",2,$F$1))))</f>
        <v/>
      </c>
      <c r="I561" s="1" t="str">
        <f>IF(OR($B561="",I$7=""),"",IF($B561="MEANS",INDEX('1-DATA'!$1:$1048576,$A560-1,COLUMN('1-DATA'!H559)),ROUND(INDEX('1-DATA'!$1:$1048576,IF(OR($B561="STD. DEVIATION",$C$1=1),$A561,$A561+1),COLUMN('1-DATA'!H559)),IF($B561="STD. DEVIATION",2,$F$1))))</f>
        <v/>
      </c>
      <c r="J561" s="1" t="str">
        <f>IF(OR($B561="",J$7=""),"",IF($B561="MEANS",INDEX('1-DATA'!$1:$1048576,$A560-1,COLUMN('1-DATA'!I559)),ROUND(INDEX('1-DATA'!$1:$1048576,IF(OR($B561="STD. DEVIATION",$C$1=1),$A561,$A561+1),COLUMN('1-DATA'!I559)),IF($B561="STD. DEVIATION",2,$F$1))))</f>
        <v/>
      </c>
      <c r="K561" s="1" t="str">
        <f>IF(OR($B561="",K$7=""),"",IF($B561="MEANS",INDEX('1-DATA'!$1:$1048576,$A560-1,COLUMN('1-DATA'!J559)),ROUND(INDEX('1-DATA'!$1:$1048576,IF(OR($B561="STD. DEVIATION",$C$1=1),$A561,$A561+1),COLUMN('1-DATA'!J559)),IF($B561="STD. DEVIATION",2,$F$1))))</f>
        <v/>
      </c>
      <c r="L561" s="1" t="str">
        <f>IF(OR($B561="",L$7=""),"",IF($B561="MEANS",INDEX('1-DATA'!$1:$1048576,$A560-1,COLUMN('1-DATA'!K559)),ROUND(INDEX('1-DATA'!$1:$1048576,IF(OR($B561="STD. DEVIATION",$C$1=1),$A561,$A561+1),COLUMN('1-DATA'!K559)),IF($B561="STD. DEVIATION",2,$F$1))))</f>
        <v/>
      </c>
      <c r="M561" s="1" t="str">
        <f>IF(OR($B561="",M$7=""),"",IF($B561="MEANS",INDEX('1-DATA'!$1:$1048576,$A560-1,COLUMN('1-DATA'!L559)),ROUND(INDEX('1-DATA'!$1:$1048576,IF(OR($B561="STD. DEVIATION",$C$1=1),$A561,$A561+1),COLUMN('1-DATA'!L559)),IF($B561="STD. DEVIATION",2,$F$1))))</f>
        <v/>
      </c>
      <c r="N561" s="1" t="str">
        <f>IF(OR($B561="",N$7=""),"",IF($B561="MEANS",INDEX('1-DATA'!$1:$1048576,$A560-1,COLUMN('1-DATA'!M559)),ROUND(INDEX('1-DATA'!$1:$1048576,IF(OR($B561="STD. DEVIATION",$C$1=1),$A561,$A561+1),COLUMN('1-DATA'!M559)),IF($B561="STD. DEVIATION",2,$F$1))))</f>
        <v/>
      </c>
      <c r="O561" s="1" t="str">
        <f>IF(OR($B561="",O$7=""),"",IF($B561="MEANS",INDEX('1-DATA'!$1:$1048576,$A560-1,COLUMN('1-DATA'!N559)),ROUND(INDEX('1-DATA'!$1:$1048576,IF(OR($B561="STD. DEVIATION",$C$1=1),$A561,$A561+1),COLUMN('1-DATA'!N559)),IF($B561="STD. DEVIATION",2,$F$1))))</f>
        <v/>
      </c>
      <c r="P561" s="1" t="str">
        <f>IF(OR($B561="",P$7=""),"",IF($B561="MEANS",INDEX('1-DATA'!$1:$1048576,$A560-1,COLUMN('1-DATA'!O559)),ROUND(INDEX('1-DATA'!$1:$1048576,IF(OR($B561="STD. DEVIATION",$C$1=1),$A561,$A561+1),COLUMN('1-DATA'!O559)),IF($B561="STD. DEVIATION",2,$F$1))))</f>
        <v/>
      </c>
      <c r="Q561" s="1" t="str">
        <f>IF(OR($B561="",Q$7=""),"",IF($B561="MEANS",INDEX('1-DATA'!$1:$1048576,$A560-1,COLUMN('1-DATA'!P559)),ROUND(INDEX('1-DATA'!$1:$1048576,IF(OR($B561="STD. DEVIATION",$C$1=1),$A561,$A561+1),COLUMN('1-DATA'!P559)),IF($B561="STD. DEVIATION",2,$F$1))))</f>
        <v/>
      </c>
      <c r="R561" s="1" t="str">
        <f>IF(OR($B561="",R$7=""),"",IF($B561="MEANS",INDEX('1-DATA'!$1:$1048576,$A560-1,COLUMN('1-DATA'!Q559)),ROUND(INDEX('1-DATA'!$1:$1048576,IF(OR($B561="STD. DEVIATION",$C$1=1),$A561,$A561+1),COLUMN('1-DATA'!Q559)),IF($B561="STD. DEVIATION",2,$F$1))))</f>
        <v/>
      </c>
      <c r="S561" s="1" t="str">
        <f>IF(OR($B561="",S$7=""),"",IF($B561="MEANS",INDEX('1-DATA'!$1:$1048576,$A560-1,COLUMN('1-DATA'!R559)),ROUND(INDEX('1-DATA'!$1:$1048576,IF(OR($B561="STD. DEVIATION",$C$1=1),$A561,$A561+1),COLUMN('1-DATA'!R559)),IF($B561="STD. DEVIATION",2,$F$1))))</f>
        <v/>
      </c>
      <c r="T561" s="1" t="str">
        <f>IF(OR($B561="",T$7=""),"",IF($B561="MEANS",INDEX('1-DATA'!$1:$1048576,$A560-1,COLUMN('1-DATA'!S559)),ROUND(INDEX('1-DATA'!$1:$1048576,IF(OR($B561="STD. DEVIATION",$C$1=1),$A561,$A561+1),COLUMN('1-DATA'!S559)),IF($B561="STD. DEVIATION",2,$F$1))))</f>
        <v/>
      </c>
      <c r="U561" s="1" t="str">
        <f>IF(OR($B561="",U$7=""),"",IF($B561="MEANS",INDEX('1-DATA'!$1:$1048576,$A560-1,COLUMN('1-DATA'!T559)),ROUND(INDEX('1-DATA'!$1:$1048576,IF(OR($B561="STD. DEVIATION",$C$1=1),$A561,$A561+1),COLUMN('1-DATA'!T559)),IF($B561="STD. DEVIATION",2,$F$1))))</f>
        <v/>
      </c>
      <c r="V561" s="1" t="str">
        <f>IF(OR($B561="",V$7=""),"",IF($B561="MEANS",INDEX('1-DATA'!$1:$1048576,$A560-1,COLUMN('1-DATA'!U559)),ROUND(INDEX('1-DATA'!$1:$1048576,IF(OR($B561="STD. DEVIATION",$C$1=1),$A561,$A561+1),COLUMN('1-DATA'!U559)),IF($B561="STD. DEVIATION",2,$F$1))))</f>
        <v/>
      </c>
      <c r="W561" s="1" t="str">
        <f>IF(OR($B561="",W$7=""),"",IF($B561="MEANS",INDEX('1-DATA'!$1:$1048576,$A560-1,COLUMN('1-DATA'!V559)),ROUND(INDEX('1-DATA'!$1:$1048576,IF(OR($B561="STD. DEVIATION",$C$1=1),$A561,$A561+1),COLUMN('1-DATA'!V559)),IF($B561="STD. DEVIATION",2,$F$1))))</f>
        <v/>
      </c>
      <c r="X561" s="1" t="str">
        <f>IF(OR($B561="",X$7=""),"",IF($B561="MEANS",INDEX('1-DATA'!$1:$1048576,$A560-1,COLUMN('1-DATA'!W559)),ROUND(INDEX('1-DATA'!$1:$1048576,IF(OR($B561="STD. DEVIATION",$C$1=1),$A561,$A561+1),COLUMN('1-DATA'!W559)),IF($B561="STD. DEVIATION",2,$F$1))))</f>
        <v/>
      </c>
      <c r="Y561" s="1" t="str">
        <f>IF(OR($B561="",Y$7=""),"",IF($B561="MEANS",INDEX('1-DATA'!$1:$1048576,$A560-1,COLUMN('1-DATA'!X559)),ROUND(INDEX('1-DATA'!$1:$1048576,IF(OR($B561="STD. DEVIATION",$C$1=1),$A561,$A561+1),COLUMN('1-DATA'!X559)),IF($B561="STD. DEVIATION",2,$F$1))))</f>
        <v/>
      </c>
      <c r="Z561" s="1" t="str">
        <f>IF(OR($B561="",Z$7=""),"",IF($B561="MEANS",INDEX('1-DATA'!$1:$1048576,$A560-1,COLUMN('1-DATA'!Y559)),ROUND(INDEX('1-DATA'!$1:$1048576,IF(OR($B561="STD. DEVIATION",$C$1=1),$A561,$A561+1),COLUMN('1-DATA'!Y559)),IF($B561="STD. DEVIATION",2,$F$1))))</f>
        <v/>
      </c>
      <c r="AA561" s="1" t="str">
        <f>IF(OR($B561="",AA$7=""),"",IF($B561="MEANS",INDEX('1-DATA'!$1:$1048576,$A560-1,COLUMN('1-DATA'!Z559)),ROUND(INDEX('1-DATA'!$1:$1048576,IF(OR($B561="STD. DEVIATION",$C$1=1),$A561,$A561+1),COLUMN('1-DATA'!Z559)),IF($B561="STD. DEVIATION",2,$F$1))))</f>
        <v/>
      </c>
      <c r="AB561" s="1" t="str">
        <f>IF(OR($B561="",AB$7=""),"",IF($B561="MEANS",INDEX('1-DATA'!$1:$1048576,$A560-1,COLUMN('1-DATA'!AA559)),ROUND(INDEX('1-DATA'!$1:$1048576,IF(OR($B561="STD. DEVIATION",$C$1=1),$A561,$A561+1),COLUMN('1-DATA'!AA559)),IF($B561="STD. DEVIATION",2,$F$1))))</f>
        <v/>
      </c>
      <c r="AC561" s="1" t="str">
        <f>IF(OR($B561="",AC$7=""),"",IF($B561="MEANS",INDEX('1-DATA'!$1:$1048576,$A560-1,COLUMN('1-DATA'!AB559)),ROUND(INDEX('1-DATA'!$1:$1048576,IF(OR($B561="STD. DEVIATION",$C$1=1),$A561,$A561+1),COLUMN('1-DATA'!AB559)),IF($B561="STD. DEVIATION",2,$F$1))))</f>
        <v/>
      </c>
      <c r="AD561" s="1" t="str">
        <f>IF(OR($B561="",AD$7=""),"",IF($B561="MEANS",INDEX('1-DATA'!$1:$1048576,$A560-1,COLUMN('1-DATA'!AC559)),ROUND(INDEX('1-DATA'!$1:$1048576,IF(OR($B561="STD. DEVIATION",$C$1=1),$A561,$A561+1),COLUMN('1-DATA'!AC559)),IF($B561="STD. DEVIATION",2,$F$1))))</f>
        <v/>
      </c>
      <c r="AE561" s="1" t="str">
        <f>IF(OR($B561="",AE$7=""),"",IF($B561="MEANS",INDEX('1-DATA'!$1:$1048576,$A560-1,COLUMN('1-DATA'!AD559)),ROUND(INDEX('1-DATA'!$1:$1048576,IF(OR($B561="STD. DEVIATION",$C$1=1),$A561,$A561+1),COLUMN('1-DATA'!AD559)),IF($B561="STD. DEVIATION",2,$F$1))))</f>
        <v/>
      </c>
      <c r="AF561" s="1" t="str">
        <f>IF(OR($B561="",AF$7=""),"",IF($B561="MEANS",INDEX('1-DATA'!$1:$1048576,$A560-1,COLUMN('1-DATA'!AE559)),ROUND(INDEX('1-DATA'!$1:$1048576,IF(OR($B561="STD. DEVIATION",$C$1=1),$A561,$A561+1),COLUMN('1-DATA'!AE559)),IF($B561="STD. DEVIATION",2,$F$1))))</f>
        <v/>
      </c>
      <c r="AG561" s="1" t="str">
        <f>IF(OR($B561="",AG$7=""),"",IF($B561="MEANS",INDEX('1-DATA'!$1:$1048576,$A560-1,COLUMN('1-DATA'!AF559)),ROUND(INDEX('1-DATA'!$1:$1048576,IF(OR($B561="STD. DEVIATION",$C$1=1),$A561,$A561+1),COLUMN('1-DATA'!AF559)),IF($B561="STD. DEVIATION",2,$F$1))))</f>
        <v/>
      </c>
      <c r="AH561" s="1" t="str">
        <f>IF(OR($B561="",AH$7=""),"",IF($B561="MEANS",INDEX('1-DATA'!$1:$1048576,$A560-1,COLUMN('1-DATA'!AG559)),ROUND(INDEX('1-DATA'!$1:$1048576,IF(OR($B561="STD. DEVIATION",$C$1=1),$A561,$A561+1),COLUMN('1-DATA'!AG559)),IF($B561="STD. DEVIATION",2,$F$1))))</f>
        <v/>
      </c>
      <c r="AI561" s="1" t="str">
        <f>IF(OR($B561="",AI$7=""),"",IF($B561="MEANS",INDEX('1-DATA'!$1:$1048576,$A560-1,COLUMN('1-DATA'!AH559)),ROUND(INDEX('1-DATA'!$1:$1048576,IF(OR($B561="STD. DEVIATION",$C$1=1),$A561,$A561+1),COLUMN('1-DATA'!AH559)),IF($B561="STD. DEVIATION",2,$F$1))))</f>
        <v/>
      </c>
      <c r="AJ561" s="1" t="str">
        <f>IF(OR($B561="",AJ$7=""),"",IF($B561="MEANS",INDEX('1-DATA'!$1:$1048576,$A560-1,COLUMN('1-DATA'!AI559)),ROUND(INDEX('1-DATA'!$1:$1048576,IF(OR($B561="STD. DEVIATION",$C$1=1),$A561,$A561+1),COLUMN('1-DATA'!AI559)),IF($B561="STD. DEVIATION",2,$F$1))))</f>
        <v/>
      </c>
      <c r="AK561" s="1" t="str">
        <f>IF(OR($B561="",AK$7=""),"",IF($B561="MEANS",INDEX('1-DATA'!$1:$1048576,$A560-1,COLUMN('1-DATA'!AJ559)),ROUND(INDEX('1-DATA'!$1:$1048576,IF(OR($B561="STD. DEVIATION",$C$1=1),$A561,$A561+1),COLUMN('1-DATA'!AJ559)),IF($B561="STD. DEVIATION",2,$F$1))))</f>
        <v/>
      </c>
      <c r="AL561" s="1" t="str">
        <f>IF(OR($B561="",AL$7=""),"",IF($B561="MEANS",INDEX('1-DATA'!$1:$1048576,$A560-1,COLUMN('1-DATA'!AK559)),ROUND(INDEX('1-DATA'!$1:$1048576,IF(OR($B561="STD. DEVIATION",$C$1=1),$A561,$A561+1),COLUMN('1-DATA'!AK559)),IF($B561="STD. DEVIATION",2,$F$1))))</f>
        <v/>
      </c>
      <c r="AM561" s="1" t="str">
        <f>IF(OR($B561="",AM$7=""),"",IF($B561="MEANS",INDEX('1-DATA'!$1:$1048576,$A560-1,COLUMN('1-DATA'!AL559)),ROUND(INDEX('1-DATA'!$1:$1048576,IF(OR($B561="STD. DEVIATION",$C$1=1),$A561,$A561+1),COLUMN('1-DATA'!AL559)),IF($B561="STD. DEVIATION",2,$F$1))))</f>
        <v/>
      </c>
      <c r="AN561" s="1" t="str">
        <f>IF(OR($B561="",AN$7=""),"",IF($B561="MEANS",INDEX('1-DATA'!$1:$1048576,$A560-1,COLUMN('1-DATA'!AM559)),ROUND(INDEX('1-DATA'!$1:$1048576,IF(OR($B561="STD. DEVIATION",$C$1=1),$A561,$A561+1),COLUMN('1-DATA'!AM559)),IF($B561="STD. DEVIATION",2,$F$1))))</f>
        <v/>
      </c>
      <c r="AO561" s="1" t="str">
        <f>IF(OR($B561="",AO$7=""),"",IF($B561="MEANS",INDEX('1-DATA'!$1:$1048576,$A560-1,COLUMN('1-DATA'!AN559)),ROUND(INDEX('1-DATA'!$1:$1048576,IF(OR($B561="STD. DEVIATION",$C$1=1),$A561,$A561+1),COLUMN('1-DATA'!AN559)),IF($B561="STD. DEVIATION",2,$F$1))))</f>
        <v/>
      </c>
      <c r="AP561" s="1" t="str">
        <f>IF(OR($B561="",AP$7=""),"",IF($B561="MEANS",INDEX('1-DATA'!$1:$1048576,$A560-1,COLUMN('1-DATA'!AO559)),ROUND(INDEX('1-DATA'!$1:$1048576,IF(OR($B561="STD. DEVIATION",$C$1=1),$A561,$A561+1),COLUMN('1-DATA'!AO559)),IF($B561="STD. DEVIATION",2,$F$1))))</f>
        <v/>
      </c>
      <c r="AQ561" s="1" t="str">
        <f>IF(OR($B561="",AQ$7=""),"",IF($B561="MEANS",INDEX('1-DATA'!$1:$1048576,$A560-1,COLUMN('1-DATA'!AP559)),ROUND(INDEX('1-DATA'!$1:$1048576,IF(OR($B561="STD. DEVIATION",$C$1=1),$A561,$A561+1),COLUMN('1-DATA'!AP559)),IF($B561="STD. DEVIATION",2,$F$1))))</f>
        <v/>
      </c>
      <c r="AR561" s="1" t="str">
        <f>IF(OR($B561="",AR$7=""),"",IF($B561="MEANS",INDEX('1-DATA'!$1:$1048576,$A560-1,COLUMN('1-DATA'!AQ559)),ROUND(INDEX('1-DATA'!$1:$1048576,IF(OR($B561="STD. DEVIATION",$C$1=1),$A561,$A561+1),COLUMN('1-DATA'!AQ559)),IF($B561="STD. DEVIATION",2,$F$1))))</f>
        <v/>
      </c>
      <c r="AS561" s="1" t="str">
        <f>IF(OR($B561="",AS$7=""),"",IF($B561="MEANS",INDEX('1-DATA'!$1:$1048576,$A560-1,COLUMN('1-DATA'!AR559)),ROUND(INDEX('1-DATA'!$1:$1048576,IF(OR($B561="STD. DEVIATION",$C$1=1),$A561,$A561+1),COLUMN('1-DATA'!AR559)),IF($B561="STD. DEVIATION",2,$F$1))))</f>
        <v/>
      </c>
      <c r="AT561" s="1" t="str">
        <f>IF(OR($B561="",AT$7=""),"",IF($B561="MEANS",INDEX('1-DATA'!$1:$1048576,$A560-1,COLUMN('1-DATA'!AS559)),ROUND(INDEX('1-DATA'!$1:$1048576,IF(OR($B561="STD. DEVIATION",$C$1=1),$A561,$A561+1),COLUMN('1-DATA'!AS559)),IF($B561="STD. DEVIATION",2,$F$1))))</f>
        <v/>
      </c>
      <c r="AU561" s="1" t="str">
        <f>IF(OR($B561="",AU$7=""),"",IF($B561="MEANS",INDEX('1-DATA'!$1:$1048576,$A560-1,COLUMN('1-DATA'!AT559)),ROUND(INDEX('1-DATA'!$1:$1048576,IF(OR($B561="STD. DEVIATION",$C$1=1),$A561,$A561+1),COLUMN('1-DATA'!AT559)),IF($B561="STD. DEVIATION",2,$F$1))))</f>
        <v/>
      </c>
      <c r="AV561" s="1" t="str">
        <f>IF(OR($B561="",AV$7=""),"",IF($B561="MEANS",INDEX('1-DATA'!$1:$1048576,$A560-1,COLUMN('1-DATA'!AU559)),ROUND(INDEX('1-DATA'!$1:$1048576,IF(OR($B561="STD. DEVIATION",$C$1=1),$A561,$A561+1),COLUMN('1-DATA'!AU559)),IF($B561="STD. DEVIATION",2,$F$1))))</f>
        <v/>
      </c>
      <c r="AW561" s="1" t="str">
        <f>IF(OR($B561="",AW$7=""),"",IF($B561="MEANS",INDEX('1-DATA'!$1:$1048576,$A560-1,COLUMN('1-DATA'!AV559)),ROUND(INDEX('1-DATA'!$1:$1048576,IF(OR($B561="STD. DEVIATION",$C$1=1),$A561,$A561+1),COLUMN('1-DATA'!AV559)),IF($B561="STD. DEVIATION",2,$F$1))))</f>
        <v/>
      </c>
      <c r="AX561" s="1" t="str">
        <f>IF(OR($B561="",AX$7=""),"",IF($B561="MEANS",INDEX('1-DATA'!$1:$1048576,$A560-1,COLUMN('1-DATA'!AW559)),ROUND(INDEX('1-DATA'!$1:$1048576,IF(OR($B561="STD. DEVIATION",$C$1=1),$A561,$A561+1),COLUMN('1-DATA'!AW559)),IF($B561="STD. DEVIATION",2,$F$1))))</f>
        <v/>
      </c>
      <c r="AY561" s="1" t="str">
        <f>IF(OR($B561="",AY$7=""),"",IF($B561="MEANS",INDEX('1-DATA'!$1:$1048576,$A560-1,COLUMN('1-DATA'!AX559)),ROUND(INDEX('1-DATA'!$1:$1048576,IF(OR($B561="STD. DEVIATION",$C$1=1),$A561,$A561+1),COLUMN('1-DATA'!AX559)),IF($B561="STD. DEVIATION",2,$F$1))))</f>
        <v/>
      </c>
      <c r="AZ561" s="1" t="str">
        <f>IF(OR($B561="",AZ$7=""),"",IF($B561="MEANS",INDEX('1-DATA'!$1:$1048576,$A560-1,COLUMN('1-DATA'!AY559)),ROUND(INDEX('1-DATA'!$1:$1048576,IF(OR($B561="STD. DEVIATION",$C$1=1),$A561,$A561+1),COLUMN('1-DATA'!AY559)),IF($B561="STD. DEVIATION",2,$F$1))))</f>
        <v/>
      </c>
    </row>
    <row r="562" spans="1:52" x14ac:dyDescent="0.25">
      <c r="A562" s="11">
        <f t="shared" si="9"/>
        <v>1672</v>
      </c>
      <c r="B562" s="1" t="str">
        <f>IF(B561="STD. DEVIATION",INDEX('1-DATA'!$1:$1048576,$A561-1,1),IF(INDEX('1-DATA'!$1:$1048576,$A562,1)&lt;&gt;"",INDEX('1-DATA'!$1:$1048576,$A562,1),""))</f>
        <v/>
      </c>
      <c r="C562" s="1" t="str">
        <f>IF(OR($B562="",C$7=""),"",IF($B562="MEANS",INDEX('1-DATA'!$1:$1048576,$A561-1,COLUMN('1-DATA'!B560)),ROUND(INDEX('1-DATA'!$1:$1048576,IF(OR($B562="STD. DEVIATION",$C$1=1),$A562,$A562+1),COLUMN('1-DATA'!B560)),IF($B562="STD. DEVIATION",2,$F$1))))</f>
        <v/>
      </c>
      <c r="D562" s="1" t="str">
        <f>IF(OR($B562="",D$7=""),"",IF($B562="MEANS",INDEX('1-DATA'!$1:$1048576,$A561-1,COLUMN('1-DATA'!C560)),ROUND(INDEX('1-DATA'!$1:$1048576,IF(OR($B562="STD. DEVIATION",$C$1=1),$A562,$A562+1),COLUMN('1-DATA'!C560)),IF($B562="STD. DEVIATION",2,$F$1))))</f>
        <v/>
      </c>
      <c r="E562" s="1" t="str">
        <f>IF(OR($B562="",E$7=""),"",IF($B562="MEANS",INDEX('1-DATA'!$1:$1048576,$A561-1,COLUMN('1-DATA'!D560)),ROUND(INDEX('1-DATA'!$1:$1048576,IF(OR($B562="STD. DEVIATION",$C$1=1),$A562,$A562+1),COLUMN('1-DATA'!D560)),IF($B562="STD. DEVIATION",2,$F$1))))</f>
        <v/>
      </c>
      <c r="F562" s="1" t="str">
        <f>IF(OR($B562="",F$7=""),"",IF($B562="MEANS",INDEX('1-DATA'!$1:$1048576,$A561-1,COLUMN('1-DATA'!E560)),ROUND(INDEX('1-DATA'!$1:$1048576,IF(OR($B562="STD. DEVIATION",$C$1=1),$A562,$A562+1),COLUMN('1-DATA'!E560)),IF($B562="STD. DEVIATION",2,$F$1))))</f>
        <v/>
      </c>
      <c r="G562" s="1" t="str">
        <f>IF(OR($B562="",G$7=""),"",IF($B562="MEANS",INDEX('1-DATA'!$1:$1048576,$A561-1,COLUMN('1-DATA'!F560)),ROUND(INDEX('1-DATA'!$1:$1048576,IF(OR($B562="STD. DEVIATION",$C$1=1),$A562,$A562+1),COLUMN('1-DATA'!F560)),IF($B562="STD. DEVIATION",2,$F$1))))</f>
        <v/>
      </c>
      <c r="H562" s="1" t="str">
        <f>IF(OR($B562="",H$7=""),"",IF($B562="MEANS",INDEX('1-DATA'!$1:$1048576,$A561-1,COLUMN('1-DATA'!G560)),ROUND(INDEX('1-DATA'!$1:$1048576,IF(OR($B562="STD. DEVIATION",$C$1=1),$A562,$A562+1),COLUMN('1-DATA'!G560)),IF($B562="STD. DEVIATION",2,$F$1))))</f>
        <v/>
      </c>
      <c r="I562" s="1" t="str">
        <f>IF(OR($B562="",I$7=""),"",IF($B562="MEANS",INDEX('1-DATA'!$1:$1048576,$A561-1,COLUMN('1-DATA'!H560)),ROUND(INDEX('1-DATA'!$1:$1048576,IF(OR($B562="STD. DEVIATION",$C$1=1),$A562,$A562+1),COLUMN('1-DATA'!H560)),IF($B562="STD. DEVIATION",2,$F$1))))</f>
        <v/>
      </c>
      <c r="J562" s="1" t="str">
        <f>IF(OR($B562="",J$7=""),"",IF($B562="MEANS",INDEX('1-DATA'!$1:$1048576,$A561-1,COLUMN('1-DATA'!I560)),ROUND(INDEX('1-DATA'!$1:$1048576,IF(OR($B562="STD. DEVIATION",$C$1=1),$A562,$A562+1),COLUMN('1-DATA'!I560)),IF($B562="STD. DEVIATION",2,$F$1))))</f>
        <v/>
      </c>
      <c r="K562" s="1" t="str">
        <f>IF(OR($B562="",K$7=""),"",IF($B562="MEANS",INDEX('1-DATA'!$1:$1048576,$A561-1,COLUMN('1-DATA'!J560)),ROUND(INDEX('1-DATA'!$1:$1048576,IF(OR($B562="STD. DEVIATION",$C$1=1),$A562,$A562+1),COLUMN('1-DATA'!J560)),IF($B562="STD. DEVIATION",2,$F$1))))</f>
        <v/>
      </c>
      <c r="L562" s="1" t="str">
        <f>IF(OR($B562="",L$7=""),"",IF($B562="MEANS",INDEX('1-DATA'!$1:$1048576,$A561-1,COLUMN('1-DATA'!K560)),ROUND(INDEX('1-DATA'!$1:$1048576,IF(OR($B562="STD. DEVIATION",$C$1=1),$A562,$A562+1),COLUMN('1-DATA'!K560)),IF($B562="STD. DEVIATION",2,$F$1))))</f>
        <v/>
      </c>
      <c r="M562" s="1" t="str">
        <f>IF(OR($B562="",M$7=""),"",IF($B562="MEANS",INDEX('1-DATA'!$1:$1048576,$A561-1,COLUMN('1-DATA'!L560)),ROUND(INDEX('1-DATA'!$1:$1048576,IF(OR($B562="STD. DEVIATION",$C$1=1),$A562,$A562+1),COLUMN('1-DATA'!L560)),IF($B562="STD. DEVIATION",2,$F$1))))</f>
        <v/>
      </c>
      <c r="N562" s="1" t="str">
        <f>IF(OR($B562="",N$7=""),"",IF($B562="MEANS",INDEX('1-DATA'!$1:$1048576,$A561-1,COLUMN('1-DATA'!M560)),ROUND(INDEX('1-DATA'!$1:$1048576,IF(OR($B562="STD. DEVIATION",$C$1=1),$A562,$A562+1),COLUMN('1-DATA'!M560)),IF($B562="STD. DEVIATION",2,$F$1))))</f>
        <v/>
      </c>
      <c r="O562" s="1" t="str">
        <f>IF(OR($B562="",O$7=""),"",IF($B562="MEANS",INDEX('1-DATA'!$1:$1048576,$A561-1,COLUMN('1-DATA'!N560)),ROUND(INDEX('1-DATA'!$1:$1048576,IF(OR($B562="STD. DEVIATION",$C$1=1),$A562,$A562+1),COLUMN('1-DATA'!N560)),IF($B562="STD. DEVIATION",2,$F$1))))</f>
        <v/>
      </c>
      <c r="P562" s="1" t="str">
        <f>IF(OR($B562="",P$7=""),"",IF($B562="MEANS",INDEX('1-DATA'!$1:$1048576,$A561-1,COLUMN('1-DATA'!O560)),ROUND(INDEX('1-DATA'!$1:$1048576,IF(OR($B562="STD. DEVIATION",$C$1=1),$A562,$A562+1),COLUMN('1-DATA'!O560)),IF($B562="STD. DEVIATION",2,$F$1))))</f>
        <v/>
      </c>
      <c r="Q562" s="1" t="str">
        <f>IF(OR($B562="",Q$7=""),"",IF($B562="MEANS",INDEX('1-DATA'!$1:$1048576,$A561-1,COLUMN('1-DATA'!P560)),ROUND(INDEX('1-DATA'!$1:$1048576,IF(OR($B562="STD. DEVIATION",$C$1=1),$A562,$A562+1),COLUMN('1-DATA'!P560)),IF($B562="STD. DEVIATION",2,$F$1))))</f>
        <v/>
      </c>
      <c r="R562" s="1" t="str">
        <f>IF(OR($B562="",R$7=""),"",IF($B562="MEANS",INDEX('1-DATA'!$1:$1048576,$A561-1,COLUMN('1-DATA'!Q560)),ROUND(INDEX('1-DATA'!$1:$1048576,IF(OR($B562="STD. DEVIATION",$C$1=1),$A562,$A562+1),COLUMN('1-DATA'!Q560)),IF($B562="STD. DEVIATION",2,$F$1))))</f>
        <v/>
      </c>
      <c r="S562" s="1" t="str">
        <f>IF(OR($B562="",S$7=""),"",IF($B562="MEANS",INDEX('1-DATA'!$1:$1048576,$A561-1,COLUMN('1-DATA'!R560)),ROUND(INDEX('1-DATA'!$1:$1048576,IF(OR($B562="STD. DEVIATION",$C$1=1),$A562,$A562+1),COLUMN('1-DATA'!R560)),IF($B562="STD. DEVIATION",2,$F$1))))</f>
        <v/>
      </c>
      <c r="T562" s="1" t="str">
        <f>IF(OR($B562="",T$7=""),"",IF($B562="MEANS",INDEX('1-DATA'!$1:$1048576,$A561-1,COLUMN('1-DATA'!S560)),ROUND(INDEX('1-DATA'!$1:$1048576,IF(OR($B562="STD. DEVIATION",$C$1=1),$A562,$A562+1),COLUMN('1-DATA'!S560)),IF($B562="STD. DEVIATION",2,$F$1))))</f>
        <v/>
      </c>
      <c r="U562" s="1" t="str">
        <f>IF(OR($B562="",U$7=""),"",IF($B562="MEANS",INDEX('1-DATA'!$1:$1048576,$A561-1,COLUMN('1-DATA'!T560)),ROUND(INDEX('1-DATA'!$1:$1048576,IF(OR($B562="STD. DEVIATION",$C$1=1),$A562,$A562+1),COLUMN('1-DATA'!T560)),IF($B562="STD. DEVIATION",2,$F$1))))</f>
        <v/>
      </c>
      <c r="V562" s="1" t="str">
        <f>IF(OR($B562="",V$7=""),"",IF($B562="MEANS",INDEX('1-DATA'!$1:$1048576,$A561-1,COLUMN('1-DATA'!U560)),ROUND(INDEX('1-DATA'!$1:$1048576,IF(OR($B562="STD. DEVIATION",$C$1=1),$A562,$A562+1),COLUMN('1-DATA'!U560)),IF($B562="STD. DEVIATION",2,$F$1))))</f>
        <v/>
      </c>
      <c r="W562" s="1" t="str">
        <f>IF(OR($B562="",W$7=""),"",IF($B562="MEANS",INDEX('1-DATA'!$1:$1048576,$A561-1,COLUMN('1-DATA'!V560)),ROUND(INDEX('1-DATA'!$1:$1048576,IF(OR($B562="STD. DEVIATION",$C$1=1),$A562,$A562+1),COLUMN('1-DATA'!V560)),IF($B562="STD. DEVIATION",2,$F$1))))</f>
        <v/>
      </c>
      <c r="X562" s="1" t="str">
        <f>IF(OR($B562="",X$7=""),"",IF($B562="MEANS",INDEX('1-DATA'!$1:$1048576,$A561-1,COLUMN('1-DATA'!W560)),ROUND(INDEX('1-DATA'!$1:$1048576,IF(OR($B562="STD. DEVIATION",$C$1=1),$A562,$A562+1),COLUMN('1-DATA'!W560)),IF($B562="STD. DEVIATION",2,$F$1))))</f>
        <v/>
      </c>
      <c r="Y562" s="1" t="str">
        <f>IF(OR($B562="",Y$7=""),"",IF($B562="MEANS",INDEX('1-DATA'!$1:$1048576,$A561-1,COLUMN('1-DATA'!X560)),ROUND(INDEX('1-DATA'!$1:$1048576,IF(OR($B562="STD. DEVIATION",$C$1=1),$A562,$A562+1),COLUMN('1-DATA'!X560)),IF($B562="STD. DEVIATION",2,$F$1))))</f>
        <v/>
      </c>
      <c r="Z562" s="1" t="str">
        <f>IF(OR($B562="",Z$7=""),"",IF($B562="MEANS",INDEX('1-DATA'!$1:$1048576,$A561-1,COLUMN('1-DATA'!Y560)),ROUND(INDEX('1-DATA'!$1:$1048576,IF(OR($B562="STD. DEVIATION",$C$1=1),$A562,$A562+1),COLUMN('1-DATA'!Y560)),IF($B562="STD. DEVIATION",2,$F$1))))</f>
        <v/>
      </c>
      <c r="AA562" s="1" t="str">
        <f>IF(OR($B562="",AA$7=""),"",IF($B562="MEANS",INDEX('1-DATA'!$1:$1048576,$A561-1,COLUMN('1-DATA'!Z560)),ROUND(INDEX('1-DATA'!$1:$1048576,IF(OR($B562="STD. DEVIATION",$C$1=1),$A562,$A562+1),COLUMN('1-DATA'!Z560)),IF($B562="STD. DEVIATION",2,$F$1))))</f>
        <v/>
      </c>
      <c r="AB562" s="1" t="str">
        <f>IF(OR($B562="",AB$7=""),"",IF($B562="MEANS",INDEX('1-DATA'!$1:$1048576,$A561-1,COLUMN('1-DATA'!AA560)),ROUND(INDEX('1-DATA'!$1:$1048576,IF(OR($B562="STD. DEVIATION",$C$1=1),$A562,$A562+1),COLUMN('1-DATA'!AA560)),IF($B562="STD. DEVIATION",2,$F$1))))</f>
        <v/>
      </c>
      <c r="AC562" s="1" t="str">
        <f>IF(OR($B562="",AC$7=""),"",IF($B562="MEANS",INDEX('1-DATA'!$1:$1048576,$A561-1,COLUMN('1-DATA'!AB560)),ROUND(INDEX('1-DATA'!$1:$1048576,IF(OR($B562="STD. DEVIATION",$C$1=1),$A562,$A562+1),COLUMN('1-DATA'!AB560)),IF($B562="STD. DEVIATION",2,$F$1))))</f>
        <v/>
      </c>
      <c r="AD562" s="1" t="str">
        <f>IF(OR($B562="",AD$7=""),"",IF($B562="MEANS",INDEX('1-DATA'!$1:$1048576,$A561-1,COLUMN('1-DATA'!AC560)),ROUND(INDEX('1-DATA'!$1:$1048576,IF(OR($B562="STD. DEVIATION",$C$1=1),$A562,$A562+1),COLUMN('1-DATA'!AC560)),IF($B562="STD. DEVIATION",2,$F$1))))</f>
        <v/>
      </c>
      <c r="AE562" s="1" t="str">
        <f>IF(OR($B562="",AE$7=""),"",IF($B562="MEANS",INDEX('1-DATA'!$1:$1048576,$A561-1,COLUMN('1-DATA'!AD560)),ROUND(INDEX('1-DATA'!$1:$1048576,IF(OR($B562="STD. DEVIATION",$C$1=1),$A562,$A562+1),COLUMN('1-DATA'!AD560)),IF($B562="STD. DEVIATION",2,$F$1))))</f>
        <v/>
      </c>
      <c r="AF562" s="1" t="str">
        <f>IF(OR($B562="",AF$7=""),"",IF($B562="MEANS",INDEX('1-DATA'!$1:$1048576,$A561-1,COLUMN('1-DATA'!AE560)),ROUND(INDEX('1-DATA'!$1:$1048576,IF(OR($B562="STD. DEVIATION",$C$1=1),$A562,$A562+1),COLUMN('1-DATA'!AE560)),IF($B562="STD. DEVIATION",2,$F$1))))</f>
        <v/>
      </c>
      <c r="AG562" s="1" t="str">
        <f>IF(OR($B562="",AG$7=""),"",IF($B562="MEANS",INDEX('1-DATA'!$1:$1048576,$A561-1,COLUMN('1-DATA'!AF560)),ROUND(INDEX('1-DATA'!$1:$1048576,IF(OR($B562="STD. DEVIATION",$C$1=1),$A562,$A562+1),COLUMN('1-DATA'!AF560)),IF($B562="STD. DEVIATION",2,$F$1))))</f>
        <v/>
      </c>
      <c r="AH562" s="1" t="str">
        <f>IF(OR($B562="",AH$7=""),"",IF($B562="MEANS",INDEX('1-DATA'!$1:$1048576,$A561-1,COLUMN('1-DATA'!AG560)),ROUND(INDEX('1-DATA'!$1:$1048576,IF(OR($B562="STD. DEVIATION",$C$1=1),$A562,$A562+1),COLUMN('1-DATA'!AG560)),IF($B562="STD. DEVIATION",2,$F$1))))</f>
        <v/>
      </c>
      <c r="AI562" s="1" t="str">
        <f>IF(OR($B562="",AI$7=""),"",IF($B562="MEANS",INDEX('1-DATA'!$1:$1048576,$A561-1,COLUMN('1-DATA'!AH560)),ROUND(INDEX('1-DATA'!$1:$1048576,IF(OR($B562="STD. DEVIATION",$C$1=1),$A562,$A562+1),COLUMN('1-DATA'!AH560)),IF($B562="STD. DEVIATION",2,$F$1))))</f>
        <v/>
      </c>
      <c r="AJ562" s="1" t="str">
        <f>IF(OR($B562="",AJ$7=""),"",IF($B562="MEANS",INDEX('1-DATA'!$1:$1048576,$A561-1,COLUMN('1-DATA'!AI560)),ROUND(INDEX('1-DATA'!$1:$1048576,IF(OR($B562="STD. DEVIATION",$C$1=1),$A562,$A562+1),COLUMN('1-DATA'!AI560)),IF($B562="STD. DEVIATION",2,$F$1))))</f>
        <v/>
      </c>
      <c r="AK562" s="1" t="str">
        <f>IF(OR($B562="",AK$7=""),"",IF($B562="MEANS",INDEX('1-DATA'!$1:$1048576,$A561-1,COLUMN('1-DATA'!AJ560)),ROUND(INDEX('1-DATA'!$1:$1048576,IF(OR($B562="STD. DEVIATION",$C$1=1),$A562,$A562+1),COLUMN('1-DATA'!AJ560)),IF($B562="STD. DEVIATION",2,$F$1))))</f>
        <v/>
      </c>
      <c r="AL562" s="1" t="str">
        <f>IF(OR($B562="",AL$7=""),"",IF($B562="MEANS",INDEX('1-DATA'!$1:$1048576,$A561-1,COLUMN('1-DATA'!AK560)),ROUND(INDEX('1-DATA'!$1:$1048576,IF(OR($B562="STD. DEVIATION",$C$1=1),$A562,$A562+1),COLUMN('1-DATA'!AK560)),IF($B562="STD. DEVIATION",2,$F$1))))</f>
        <v/>
      </c>
      <c r="AM562" s="1" t="str">
        <f>IF(OR($B562="",AM$7=""),"",IF($B562="MEANS",INDEX('1-DATA'!$1:$1048576,$A561-1,COLUMN('1-DATA'!AL560)),ROUND(INDEX('1-DATA'!$1:$1048576,IF(OR($B562="STD. DEVIATION",$C$1=1),$A562,$A562+1),COLUMN('1-DATA'!AL560)),IF($B562="STD. DEVIATION",2,$F$1))))</f>
        <v/>
      </c>
      <c r="AN562" s="1" t="str">
        <f>IF(OR($B562="",AN$7=""),"",IF($B562="MEANS",INDEX('1-DATA'!$1:$1048576,$A561-1,COLUMN('1-DATA'!AM560)),ROUND(INDEX('1-DATA'!$1:$1048576,IF(OR($B562="STD. DEVIATION",$C$1=1),$A562,$A562+1),COLUMN('1-DATA'!AM560)),IF($B562="STD. DEVIATION",2,$F$1))))</f>
        <v/>
      </c>
      <c r="AO562" s="1" t="str">
        <f>IF(OR($B562="",AO$7=""),"",IF($B562="MEANS",INDEX('1-DATA'!$1:$1048576,$A561-1,COLUMN('1-DATA'!AN560)),ROUND(INDEX('1-DATA'!$1:$1048576,IF(OR($B562="STD. DEVIATION",$C$1=1),$A562,$A562+1),COLUMN('1-DATA'!AN560)),IF($B562="STD. DEVIATION",2,$F$1))))</f>
        <v/>
      </c>
      <c r="AP562" s="1" t="str">
        <f>IF(OR($B562="",AP$7=""),"",IF($B562="MEANS",INDEX('1-DATA'!$1:$1048576,$A561-1,COLUMN('1-DATA'!AO560)),ROUND(INDEX('1-DATA'!$1:$1048576,IF(OR($B562="STD. DEVIATION",$C$1=1),$A562,$A562+1),COLUMN('1-DATA'!AO560)),IF($B562="STD. DEVIATION",2,$F$1))))</f>
        <v/>
      </c>
      <c r="AQ562" s="1" t="str">
        <f>IF(OR($B562="",AQ$7=""),"",IF($B562="MEANS",INDEX('1-DATA'!$1:$1048576,$A561-1,COLUMN('1-DATA'!AP560)),ROUND(INDEX('1-DATA'!$1:$1048576,IF(OR($B562="STD. DEVIATION",$C$1=1),$A562,$A562+1),COLUMN('1-DATA'!AP560)),IF($B562="STD. DEVIATION",2,$F$1))))</f>
        <v/>
      </c>
      <c r="AR562" s="1" t="str">
        <f>IF(OR($B562="",AR$7=""),"",IF($B562="MEANS",INDEX('1-DATA'!$1:$1048576,$A561-1,COLUMN('1-DATA'!AQ560)),ROUND(INDEX('1-DATA'!$1:$1048576,IF(OR($B562="STD. DEVIATION",$C$1=1),$A562,$A562+1),COLUMN('1-DATA'!AQ560)),IF($B562="STD. DEVIATION",2,$F$1))))</f>
        <v/>
      </c>
      <c r="AS562" s="1" t="str">
        <f>IF(OR($B562="",AS$7=""),"",IF($B562="MEANS",INDEX('1-DATA'!$1:$1048576,$A561-1,COLUMN('1-DATA'!AR560)),ROUND(INDEX('1-DATA'!$1:$1048576,IF(OR($B562="STD. DEVIATION",$C$1=1),$A562,$A562+1),COLUMN('1-DATA'!AR560)),IF($B562="STD. DEVIATION",2,$F$1))))</f>
        <v/>
      </c>
      <c r="AT562" s="1" t="str">
        <f>IF(OR($B562="",AT$7=""),"",IF($B562="MEANS",INDEX('1-DATA'!$1:$1048576,$A561-1,COLUMN('1-DATA'!AS560)),ROUND(INDEX('1-DATA'!$1:$1048576,IF(OR($B562="STD. DEVIATION",$C$1=1),$A562,$A562+1),COLUMN('1-DATA'!AS560)),IF($B562="STD. DEVIATION",2,$F$1))))</f>
        <v/>
      </c>
      <c r="AU562" s="1" t="str">
        <f>IF(OR($B562="",AU$7=""),"",IF($B562="MEANS",INDEX('1-DATA'!$1:$1048576,$A561-1,COLUMN('1-DATA'!AT560)),ROUND(INDEX('1-DATA'!$1:$1048576,IF(OR($B562="STD. DEVIATION",$C$1=1),$A562,$A562+1),COLUMN('1-DATA'!AT560)),IF($B562="STD. DEVIATION",2,$F$1))))</f>
        <v/>
      </c>
      <c r="AV562" s="1" t="str">
        <f>IF(OR($B562="",AV$7=""),"",IF($B562="MEANS",INDEX('1-DATA'!$1:$1048576,$A561-1,COLUMN('1-DATA'!AU560)),ROUND(INDEX('1-DATA'!$1:$1048576,IF(OR($B562="STD. DEVIATION",$C$1=1),$A562,$A562+1),COLUMN('1-DATA'!AU560)),IF($B562="STD. DEVIATION",2,$F$1))))</f>
        <v/>
      </c>
      <c r="AW562" s="1" t="str">
        <f>IF(OR($B562="",AW$7=""),"",IF($B562="MEANS",INDEX('1-DATA'!$1:$1048576,$A561-1,COLUMN('1-DATA'!AV560)),ROUND(INDEX('1-DATA'!$1:$1048576,IF(OR($B562="STD. DEVIATION",$C$1=1),$A562,$A562+1),COLUMN('1-DATA'!AV560)),IF($B562="STD. DEVIATION",2,$F$1))))</f>
        <v/>
      </c>
      <c r="AX562" s="1" t="str">
        <f>IF(OR($B562="",AX$7=""),"",IF($B562="MEANS",INDEX('1-DATA'!$1:$1048576,$A561-1,COLUMN('1-DATA'!AW560)),ROUND(INDEX('1-DATA'!$1:$1048576,IF(OR($B562="STD. DEVIATION",$C$1=1),$A562,$A562+1),COLUMN('1-DATA'!AW560)),IF($B562="STD. DEVIATION",2,$F$1))))</f>
        <v/>
      </c>
      <c r="AY562" s="1" t="str">
        <f>IF(OR($B562="",AY$7=""),"",IF($B562="MEANS",INDEX('1-DATA'!$1:$1048576,$A561-1,COLUMN('1-DATA'!AX560)),ROUND(INDEX('1-DATA'!$1:$1048576,IF(OR($B562="STD. DEVIATION",$C$1=1),$A562,$A562+1),COLUMN('1-DATA'!AX560)),IF($B562="STD. DEVIATION",2,$F$1))))</f>
        <v/>
      </c>
      <c r="AZ562" s="1" t="str">
        <f>IF(OR($B562="",AZ$7=""),"",IF($B562="MEANS",INDEX('1-DATA'!$1:$1048576,$A561-1,COLUMN('1-DATA'!AY560)),ROUND(INDEX('1-DATA'!$1:$1048576,IF(OR($B562="STD. DEVIATION",$C$1=1),$A562,$A562+1),COLUMN('1-DATA'!AY560)),IF($B562="STD. DEVIATION",2,$F$1))))</f>
        <v/>
      </c>
    </row>
    <row r="563" spans="1:52" x14ac:dyDescent="0.25">
      <c r="A563" s="11">
        <f t="shared" si="9"/>
        <v>1675</v>
      </c>
      <c r="B563" s="1" t="str">
        <f>IF(B562="STD. DEVIATION",INDEX('1-DATA'!$1:$1048576,$A562-1,1),IF(INDEX('1-DATA'!$1:$1048576,$A563,1)&lt;&gt;"",INDEX('1-DATA'!$1:$1048576,$A563,1),""))</f>
        <v/>
      </c>
      <c r="C563" s="1" t="str">
        <f>IF(OR($B563="",C$7=""),"",IF($B563="MEANS",INDEX('1-DATA'!$1:$1048576,$A562-1,COLUMN('1-DATA'!B561)),ROUND(INDEX('1-DATA'!$1:$1048576,IF(OR($B563="STD. DEVIATION",$C$1=1),$A563,$A563+1),COLUMN('1-DATA'!B561)),IF($B563="STD. DEVIATION",2,$F$1))))</f>
        <v/>
      </c>
      <c r="D563" s="1" t="str">
        <f>IF(OR($B563="",D$7=""),"",IF($B563="MEANS",INDEX('1-DATA'!$1:$1048576,$A562-1,COLUMN('1-DATA'!C561)),ROUND(INDEX('1-DATA'!$1:$1048576,IF(OR($B563="STD. DEVIATION",$C$1=1),$A563,$A563+1),COLUMN('1-DATA'!C561)),IF($B563="STD. DEVIATION",2,$F$1))))</f>
        <v/>
      </c>
      <c r="E563" s="1" t="str">
        <f>IF(OR($B563="",E$7=""),"",IF($B563="MEANS",INDEX('1-DATA'!$1:$1048576,$A562-1,COLUMN('1-DATA'!D561)),ROUND(INDEX('1-DATA'!$1:$1048576,IF(OR($B563="STD. DEVIATION",$C$1=1),$A563,$A563+1),COLUMN('1-DATA'!D561)),IF($B563="STD. DEVIATION",2,$F$1))))</f>
        <v/>
      </c>
      <c r="F563" s="1" t="str">
        <f>IF(OR($B563="",F$7=""),"",IF($B563="MEANS",INDEX('1-DATA'!$1:$1048576,$A562-1,COLUMN('1-DATA'!E561)),ROUND(INDEX('1-DATA'!$1:$1048576,IF(OR($B563="STD. DEVIATION",$C$1=1),$A563,$A563+1),COLUMN('1-DATA'!E561)),IF($B563="STD. DEVIATION",2,$F$1))))</f>
        <v/>
      </c>
      <c r="G563" s="1" t="str">
        <f>IF(OR($B563="",G$7=""),"",IF($B563="MEANS",INDEX('1-DATA'!$1:$1048576,$A562-1,COLUMN('1-DATA'!F561)),ROUND(INDEX('1-DATA'!$1:$1048576,IF(OR($B563="STD. DEVIATION",$C$1=1),$A563,$A563+1),COLUMN('1-DATA'!F561)),IF($B563="STD. DEVIATION",2,$F$1))))</f>
        <v/>
      </c>
      <c r="H563" s="1" t="str">
        <f>IF(OR($B563="",H$7=""),"",IF($B563="MEANS",INDEX('1-DATA'!$1:$1048576,$A562-1,COLUMN('1-DATA'!G561)),ROUND(INDEX('1-DATA'!$1:$1048576,IF(OR($B563="STD. DEVIATION",$C$1=1),$A563,$A563+1),COLUMN('1-DATA'!G561)),IF($B563="STD. DEVIATION",2,$F$1))))</f>
        <v/>
      </c>
      <c r="I563" s="1" t="str">
        <f>IF(OR($B563="",I$7=""),"",IF($B563="MEANS",INDEX('1-DATA'!$1:$1048576,$A562-1,COLUMN('1-DATA'!H561)),ROUND(INDEX('1-DATA'!$1:$1048576,IF(OR($B563="STD. DEVIATION",$C$1=1),$A563,$A563+1),COLUMN('1-DATA'!H561)),IF($B563="STD. DEVIATION",2,$F$1))))</f>
        <v/>
      </c>
      <c r="J563" s="1" t="str">
        <f>IF(OR($B563="",J$7=""),"",IF($B563="MEANS",INDEX('1-DATA'!$1:$1048576,$A562-1,COLUMN('1-DATA'!I561)),ROUND(INDEX('1-DATA'!$1:$1048576,IF(OR($B563="STD. DEVIATION",$C$1=1),$A563,$A563+1),COLUMN('1-DATA'!I561)),IF($B563="STD. DEVIATION",2,$F$1))))</f>
        <v/>
      </c>
      <c r="K563" s="1" t="str">
        <f>IF(OR($B563="",K$7=""),"",IF($B563="MEANS",INDEX('1-DATA'!$1:$1048576,$A562-1,COLUMN('1-DATA'!J561)),ROUND(INDEX('1-DATA'!$1:$1048576,IF(OR($B563="STD. DEVIATION",$C$1=1),$A563,$A563+1),COLUMN('1-DATA'!J561)),IF($B563="STD. DEVIATION",2,$F$1))))</f>
        <v/>
      </c>
      <c r="L563" s="1" t="str">
        <f>IF(OR($B563="",L$7=""),"",IF($B563="MEANS",INDEX('1-DATA'!$1:$1048576,$A562-1,COLUMN('1-DATA'!K561)),ROUND(INDEX('1-DATA'!$1:$1048576,IF(OR($B563="STD. DEVIATION",$C$1=1),$A563,$A563+1),COLUMN('1-DATA'!K561)),IF($B563="STD. DEVIATION",2,$F$1))))</f>
        <v/>
      </c>
      <c r="M563" s="1" t="str">
        <f>IF(OR($B563="",M$7=""),"",IF($B563="MEANS",INDEX('1-DATA'!$1:$1048576,$A562-1,COLUMN('1-DATA'!L561)),ROUND(INDEX('1-DATA'!$1:$1048576,IF(OR($B563="STD. DEVIATION",$C$1=1),$A563,$A563+1),COLUMN('1-DATA'!L561)),IF($B563="STD. DEVIATION",2,$F$1))))</f>
        <v/>
      </c>
      <c r="N563" s="1" t="str">
        <f>IF(OR($B563="",N$7=""),"",IF($B563="MEANS",INDEX('1-DATA'!$1:$1048576,$A562-1,COLUMN('1-DATA'!M561)),ROUND(INDEX('1-DATA'!$1:$1048576,IF(OR($B563="STD. DEVIATION",$C$1=1),$A563,$A563+1),COLUMN('1-DATA'!M561)),IF($B563="STD. DEVIATION",2,$F$1))))</f>
        <v/>
      </c>
      <c r="O563" s="1" t="str">
        <f>IF(OR($B563="",O$7=""),"",IF($B563="MEANS",INDEX('1-DATA'!$1:$1048576,$A562-1,COLUMN('1-DATA'!N561)),ROUND(INDEX('1-DATA'!$1:$1048576,IF(OR($B563="STD. DEVIATION",$C$1=1),$A563,$A563+1),COLUMN('1-DATA'!N561)),IF($B563="STD. DEVIATION",2,$F$1))))</f>
        <v/>
      </c>
      <c r="P563" s="1" t="str">
        <f>IF(OR($B563="",P$7=""),"",IF($B563="MEANS",INDEX('1-DATA'!$1:$1048576,$A562-1,COLUMN('1-DATA'!O561)),ROUND(INDEX('1-DATA'!$1:$1048576,IF(OR($B563="STD. DEVIATION",$C$1=1),$A563,$A563+1),COLUMN('1-DATA'!O561)),IF($B563="STD. DEVIATION",2,$F$1))))</f>
        <v/>
      </c>
      <c r="Q563" s="1" t="str">
        <f>IF(OR($B563="",Q$7=""),"",IF($B563="MEANS",INDEX('1-DATA'!$1:$1048576,$A562-1,COLUMN('1-DATA'!P561)),ROUND(INDEX('1-DATA'!$1:$1048576,IF(OR($B563="STD. DEVIATION",$C$1=1),$A563,$A563+1),COLUMN('1-DATA'!P561)),IF($B563="STD. DEVIATION",2,$F$1))))</f>
        <v/>
      </c>
      <c r="R563" s="1" t="str">
        <f>IF(OR($B563="",R$7=""),"",IF($B563="MEANS",INDEX('1-DATA'!$1:$1048576,$A562-1,COLUMN('1-DATA'!Q561)),ROUND(INDEX('1-DATA'!$1:$1048576,IF(OR($B563="STD. DEVIATION",$C$1=1),$A563,$A563+1),COLUMN('1-DATA'!Q561)),IF($B563="STD. DEVIATION",2,$F$1))))</f>
        <v/>
      </c>
      <c r="S563" s="1" t="str">
        <f>IF(OR($B563="",S$7=""),"",IF($B563="MEANS",INDEX('1-DATA'!$1:$1048576,$A562-1,COLUMN('1-DATA'!R561)),ROUND(INDEX('1-DATA'!$1:$1048576,IF(OR($B563="STD. DEVIATION",$C$1=1),$A563,$A563+1),COLUMN('1-DATA'!R561)),IF($B563="STD. DEVIATION",2,$F$1))))</f>
        <v/>
      </c>
      <c r="T563" s="1" t="str">
        <f>IF(OR($B563="",T$7=""),"",IF($B563="MEANS",INDEX('1-DATA'!$1:$1048576,$A562-1,COLUMN('1-DATA'!S561)),ROUND(INDEX('1-DATA'!$1:$1048576,IF(OR($B563="STD. DEVIATION",$C$1=1),$A563,$A563+1),COLUMN('1-DATA'!S561)),IF($B563="STD. DEVIATION",2,$F$1))))</f>
        <v/>
      </c>
      <c r="U563" s="1" t="str">
        <f>IF(OR($B563="",U$7=""),"",IF($B563="MEANS",INDEX('1-DATA'!$1:$1048576,$A562-1,COLUMN('1-DATA'!T561)),ROUND(INDEX('1-DATA'!$1:$1048576,IF(OR($B563="STD. DEVIATION",$C$1=1),$A563,$A563+1),COLUMN('1-DATA'!T561)),IF($B563="STD. DEVIATION",2,$F$1))))</f>
        <v/>
      </c>
      <c r="V563" s="1" t="str">
        <f>IF(OR($B563="",V$7=""),"",IF($B563="MEANS",INDEX('1-DATA'!$1:$1048576,$A562-1,COLUMN('1-DATA'!U561)),ROUND(INDEX('1-DATA'!$1:$1048576,IF(OR($B563="STD. DEVIATION",$C$1=1),$A563,$A563+1),COLUMN('1-DATA'!U561)),IF($B563="STD. DEVIATION",2,$F$1))))</f>
        <v/>
      </c>
      <c r="W563" s="1" t="str">
        <f>IF(OR($B563="",W$7=""),"",IF($B563="MEANS",INDEX('1-DATA'!$1:$1048576,$A562-1,COLUMN('1-DATA'!V561)),ROUND(INDEX('1-DATA'!$1:$1048576,IF(OR($B563="STD. DEVIATION",$C$1=1),$A563,$A563+1),COLUMN('1-DATA'!V561)),IF($B563="STD. DEVIATION",2,$F$1))))</f>
        <v/>
      </c>
      <c r="X563" s="1" t="str">
        <f>IF(OR($B563="",X$7=""),"",IF($B563="MEANS",INDEX('1-DATA'!$1:$1048576,$A562-1,COLUMN('1-DATA'!W561)),ROUND(INDEX('1-DATA'!$1:$1048576,IF(OR($B563="STD. DEVIATION",$C$1=1),$A563,$A563+1),COLUMN('1-DATA'!W561)),IF($B563="STD. DEVIATION",2,$F$1))))</f>
        <v/>
      </c>
      <c r="Y563" s="1" t="str">
        <f>IF(OR($B563="",Y$7=""),"",IF($B563="MEANS",INDEX('1-DATA'!$1:$1048576,$A562-1,COLUMN('1-DATA'!X561)),ROUND(INDEX('1-DATA'!$1:$1048576,IF(OR($B563="STD. DEVIATION",$C$1=1),$A563,$A563+1),COLUMN('1-DATA'!X561)),IF($B563="STD. DEVIATION",2,$F$1))))</f>
        <v/>
      </c>
      <c r="Z563" s="1" t="str">
        <f>IF(OR($B563="",Z$7=""),"",IF($B563="MEANS",INDEX('1-DATA'!$1:$1048576,$A562-1,COLUMN('1-DATA'!Y561)),ROUND(INDEX('1-DATA'!$1:$1048576,IF(OR($B563="STD. DEVIATION",$C$1=1),$A563,$A563+1),COLUMN('1-DATA'!Y561)),IF($B563="STD. DEVIATION",2,$F$1))))</f>
        <v/>
      </c>
      <c r="AA563" s="1" t="str">
        <f>IF(OR($B563="",AA$7=""),"",IF($B563="MEANS",INDEX('1-DATA'!$1:$1048576,$A562-1,COLUMN('1-DATA'!Z561)),ROUND(INDEX('1-DATA'!$1:$1048576,IF(OR($B563="STD. DEVIATION",$C$1=1),$A563,$A563+1),COLUMN('1-DATA'!Z561)),IF($B563="STD. DEVIATION",2,$F$1))))</f>
        <v/>
      </c>
      <c r="AB563" s="1" t="str">
        <f>IF(OR($B563="",AB$7=""),"",IF($B563="MEANS",INDEX('1-DATA'!$1:$1048576,$A562-1,COLUMN('1-DATA'!AA561)),ROUND(INDEX('1-DATA'!$1:$1048576,IF(OR($B563="STD. DEVIATION",$C$1=1),$A563,$A563+1),COLUMN('1-DATA'!AA561)),IF($B563="STD. DEVIATION",2,$F$1))))</f>
        <v/>
      </c>
      <c r="AC563" s="1" t="str">
        <f>IF(OR($B563="",AC$7=""),"",IF($B563="MEANS",INDEX('1-DATA'!$1:$1048576,$A562-1,COLUMN('1-DATA'!AB561)),ROUND(INDEX('1-DATA'!$1:$1048576,IF(OR($B563="STD. DEVIATION",$C$1=1),$A563,$A563+1),COLUMN('1-DATA'!AB561)),IF($B563="STD. DEVIATION",2,$F$1))))</f>
        <v/>
      </c>
      <c r="AD563" s="1" t="str">
        <f>IF(OR($B563="",AD$7=""),"",IF($B563="MEANS",INDEX('1-DATA'!$1:$1048576,$A562-1,COLUMN('1-DATA'!AC561)),ROUND(INDEX('1-DATA'!$1:$1048576,IF(OR($B563="STD. DEVIATION",$C$1=1),$A563,$A563+1),COLUMN('1-DATA'!AC561)),IF($B563="STD. DEVIATION",2,$F$1))))</f>
        <v/>
      </c>
      <c r="AE563" s="1" t="str">
        <f>IF(OR($B563="",AE$7=""),"",IF($B563="MEANS",INDEX('1-DATA'!$1:$1048576,$A562-1,COLUMN('1-DATA'!AD561)),ROUND(INDEX('1-DATA'!$1:$1048576,IF(OR($B563="STD. DEVIATION",$C$1=1),$A563,$A563+1),COLUMN('1-DATA'!AD561)),IF($B563="STD. DEVIATION",2,$F$1))))</f>
        <v/>
      </c>
      <c r="AF563" s="1" t="str">
        <f>IF(OR($B563="",AF$7=""),"",IF($B563="MEANS",INDEX('1-DATA'!$1:$1048576,$A562-1,COLUMN('1-DATA'!AE561)),ROUND(INDEX('1-DATA'!$1:$1048576,IF(OR($B563="STD. DEVIATION",$C$1=1),$A563,$A563+1),COLUMN('1-DATA'!AE561)),IF($B563="STD. DEVIATION",2,$F$1))))</f>
        <v/>
      </c>
      <c r="AG563" s="1" t="str">
        <f>IF(OR($B563="",AG$7=""),"",IF($B563="MEANS",INDEX('1-DATA'!$1:$1048576,$A562-1,COLUMN('1-DATA'!AF561)),ROUND(INDEX('1-DATA'!$1:$1048576,IF(OR($B563="STD. DEVIATION",$C$1=1),$A563,$A563+1),COLUMN('1-DATA'!AF561)),IF($B563="STD. DEVIATION",2,$F$1))))</f>
        <v/>
      </c>
      <c r="AH563" s="1" t="str">
        <f>IF(OR($B563="",AH$7=""),"",IF($B563="MEANS",INDEX('1-DATA'!$1:$1048576,$A562-1,COLUMN('1-DATA'!AG561)),ROUND(INDEX('1-DATA'!$1:$1048576,IF(OR($B563="STD. DEVIATION",$C$1=1),$A563,$A563+1),COLUMN('1-DATA'!AG561)),IF($B563="STD. DEVIATION",2,$F$1))))</f>
        <v/>
      </c>
      <c r="AI563" s="1" t="str">
        <f>IF(OR($B563="",AI$7=""),"",IF($B563="MEANS",INDEX('1-DATA'!$1:$1048576,$A562-1,COLUMN('1-DATA'!AH561)),ROUND(INDEX('1-DATA'!$1:$1048576,IF(OR($B563="STD. DEVIATION",$C$1=1),$A563,$A563+1),COLUMN('1-DATA'!AH561)),IF($B563="STD. DEVIATION",2,$F$1))))</f>
        <v/>
      </c>
      <c r="AJ563" s="1" t="str">
        <f>IF(OR($B563="",AJ$7=""),"",IF($B563="MEANS",INDEX('1-DATA'!$1:$1048576,$A562-1,COLUMN('1-DATA'!AI561)),ROUND(INDEX('1-DATA'!$1:$1048576,IF(OR($B563="STD. DEVIATION",$C$1=1),$A563,$A563+1),COLUMN('1-DATA'!AI561)),IF($B563="STD. DEVIATION",2,$F$1))))</f>
        <v/>
      </c>
      <c r="AK563" s="1" t="str">
        <f>IF(OR($B563="",AK$7=""),"",IF($B563="MEANS",INDEX('1-DATA'!$1:$1048576,$A562-1,COLUMN('1-DATA'!AJ561)),ROUND(INDEX('1-DATA'!$1:$1048576,IF(OR($B563="STD. DEVIATION",$C$1=1),$A563,$A563+1),COLUMN('1-DATA'!AJ561)),IF($B563="STD. DEVIATION",2,$F$1))))</f>
        <v/>
      </c>
      <c r="AL563" s="1" t="str">
        <f>IF(OR($B563="",AL$7=""),"",IF($B563="MEANS",INDEX('1-DATA'!$1:$1048576,$A562-1,COLUMN('1-DATA'!AK561)),ROUND(INDEX('1-DATA'!$1:$1048576,IF(OR($B563="STD. DEVIATION",$C$1=1),$A563,$A563+1),COLUMN('1-DATA'!AK561)),IF($B563="STD. DEVIATION",2,$F$1))))</f>
        <v/>
      </c>
      <c r="AM563" s="1" t="str">
        <f>IF(OR($B563="",AM$7=""),"",IF($B563="MEANS",INDEX('1-DATA'!$1:$1048576,$A562-1,COLUMN('1-DATA'!AL561)),ROUND(INDEX('1-DATA'!$1:$1048576,IF(OR($B563="STD. DEVIATION",$C$1=1),$A563,$A563+1),COLUMN('1-DATA'!AL561)),IF($B563="STD. DEVIATION",2,$F$1))))</f>
        <v/>
      </c>
      <c r="AN563" s="1" t="str">
        <f>IF(OR($B563="",AN$7=""),"",IF($B563="MEANS",INDEX('1-DATA'!$1:$1048576,$A562-1,COLUMN('1-DATA'!AM561)),ROUND(INDEX('1-DATA'!$1:$1048576,IF(OR($B563="STD. DEVIATION",$C$1=1),$A563,$A563+1),COLUMN('1-DATA'!AM561)),IF($B563="STD. DEVIATION",2,$F$1))))</f>
        <v/>
      </c>
      <c r="AO563" s="1" t="str">
        <f>IF(OR($B563="",AO$7=""),"",IF($B563="MEANS",INDEX('1-DATA'!$1:$1048576,$A562-1,COLUMN('1-DATA'!AN561)),ROUND(INDEX('1-DATA'!$1:$1048576,IF(OR($B563="STD. DEVIATION",$C$1=1),$A563,$A563+1),COLUMN('1-DATA'!AN561)),IF($B563="STD. DEVIATION",2,$F$1))))</f>
        <v/>
      </c>
      <c r="AP563" s="1" t="str">
        <f>IF(OR($B563="",AP$7=""),"",IF($B563="MEANS",INDEX('1-DATA'!$1:$1048576,$A562-1,COLUMN('1-DATA'!AO561)),ROUND(INDEX('1-DATA'!$1:$1048576,IF(OR($B563="STD. DEVIATION",$C$1=1),$A563,$A563+1),COLUMN('1-DATA'!AO561)),IF($B563="STD. DEVIATION",2,$F$1))))</f>
        <v/>
      </c>
      <c r="AQ563" s="1" t="str">
        <f>IF(OR($B563="",AQ$7=""),"",IF($B563="MEANS",INDEX('1-DATA'!$1:$1048576,$A562-1,COLUMN('1-DATA'!AP561)),ROUND(INDEX('1-DATA'!$1:$1048576,IF(OR($B563="STD. DEVIATION",$C$1=1),$A563,$A563+1),COLUMN('1-DATA'!AP561)),IF($B563="STD. DEVIATION",2,$F$1))))</f>
        <v/>
      </c>
      <c r="AR563" s="1" t="str">
        <f>IF(OR($B563="",AR$7=""),"",IF($B563="MEANS",INDEX('1-DATA'!$1:$1048576,$A562-1,COLUMN('1-DATA'!AQ561)),ROUND(INDEX('1-DATA'!$1:$1048576,IF(OR($B563="STD. DEVIATION",$C$1=1),$A563,$A563+1),COLUMN('1-DATA'!AQ561)),IF($B563="STD. DEVIATION",2,$F$1))))</f>
        <v/>
      </c>
      <c r="AS563" s="1" t="str">
        <f>IF(OR($B563="",AS$7=""),"",IF($B563="MEANS",INDEX('1-DATA'!$1:$1048576,$A562-1,COLUMN('1-DATA'!AR561)),ROUND(INDEX('1-DATA'!$1:$1048576,IF(OR($B563="STD. DEVIATION",$C$1=1),$A563,$A563+1),COLUMN('1-DATA'!AR561)),IF($B563="STD. DEVIATION",2,$F$1))))</f>
        <v/>
      </c>
      <c r="AT563" s="1" t="str">
        <f>IF(OR($B563="",AT$7=""),"",IF($B563="MEANS",INDEX('1-DATA'!$1:$1048576,$A562-1,COLUMN('1-DATA'!AS561)),ROUND(INDEX('1-DATA'!$1:$1048576,IF(OR($B563="STD. DEVIATION",$C$1=1),$A563,$A563+1),COLUMN('1-DATA'!AS561)),IF($B563="STD. DEVIATION",2,$F$1))))</f>
        <v/>
      </c>
      <c r="AU563" s="1" t="str">
        <f>IF(OR($B563="",AU$7=""),"",IF($B563="MEANS",INDEX('1-DATA'!$1:$1048576,$A562-1,COLUMN('1-DATA'!AT561)),ROUND(INDEX('1-DATA'!$1:$1048576,IF(OR($B563="STD. DEVIATION",$C$1=1),$A563,$A563+1),COLUMN('1-DATA'!AT561)),IF($B563="STD. DEVIATION",2,$F$1))))</f>
        <v/>
      </c>
      <c r="AV563" s="1" t="str">
        <f>IF(OR($B563="",AV$7=""),"",IF($B563="MEANS",INDEX('1-DATA'!$1:$1048576,$A562-1,COLUMN('1-DATA'!AU561)),ROUND(INDEX('1-DATA'!$1:$1048576,IF(OR($B563="STD. DEVIATION",$C$1=1),$A563,$A563+1),COLUMN('1-DATA'!AU561)),IF($B563="STD. DEVIATION",2,$F$1))))</f>
        <v/>
      </c>
      <c r="AW563" s="1" t="str">
        <f>IF(OR($B563="",AW$7=""),"",IF($B563="MEANS",INDEX('1-DATA'!$1:$1048576,$A562-1,COLUMN('1-DATA'!AV561)),ROUND(INDEX('1-DATA'!$1:$1048576,IF(OR($B563="STD. DEVIATION",$C$1=1),$A563,$A563+1),COLUMN('1-DATA'!AV561)),IF($B563="STD. DEVIATION",2,$F$1))))</f>
        <v/>
      </c>
      <c r="AX563" s="1" t="str">
        <f>IF(OR($B563="",AX$7=""),"",IF($B563="MEANS",INDEX('1-DATA'!$1:$1048576,$A562-1,COLUMN('1-DATA'!AW561)),ROUND(INDEX('1-DATA'!$1:$1048576,IF(OR($B563="STD. DEVIATION",$C$1=1),$A563,$A563+1),COLUMN('1-DATA'!AW561)),IF($B563="STD. DEVIATION",2,$F$1))))</f>
        <v/>
      </c>
      <c r="AY563" s="1" t="str">
        <f>IF(OR($B563="",AY$7=""),"",IF($B563="MEANS",INDEX('1-DATA'!$1:$1048576,$A562-1,COLUMN('1-DATA'!AX561)),ROUND(INDEX('1-DATA'!$1:$1048576,IF(OR($B563="STD. DEVIATION",$C$1=1),$A563,$A563+1),COLUMN('1-DATA'!AX561)),IF($B563="STD. DEVIATION",2,$F$1))))</f>
        <v/>
      </c>
      <c r="AZ563" s="1" t="str">
        <f>IF(OR($B563="",AZ$7=""),"",IF($B563="MEANS",INDEX('1-DATA'!$1:$1048576,$A562-1,COLUMN('1-DATA'!AY561)),ROUND(INDEX('1-DATA'!$1:$1048576,IF(OR($B563="STD. DEVIATION",$C$1=1),$A563,$A563+1),COLUMN('1-DATA'!AY561)),IF($B563="STD. DEVIATION",2,$F$1))))</f>
        <v/>
      </c>
    </row>
    <row r="564" spans="1:52" x14ac:dyDescent="0.25">
      <c r="A564" s="11">
        <f t="shared" si="9"/>
        <v>1678</v>
      </c>
      <c r="B564" s="1" t="str">
        <f>IF(B563="STD. DEVIATION",INDEX('1-DATA'!$1:$1048576,$A563-1,1),IF(INDEX('1-DATA'!$1:$1048576,$A564,1)&lt;&gt;"",INDEX('1-DATA'!$1:$1048576,$A564,1),""))</f>
        <v/>
      </c>
      <c r="C564" s="1" t="str">
        <f>IF(OR($B564="",C$7=""),"",IF($B564="MEANS",INDEX('1-DATA'!$1:$1048576,$A563-1,COLUMN('1-DATA'!B562)),ROUND(INDEX('1-DATA'!$1:$1048576,IF(OR($B564="STD. DEVIATION",$C$1=1),$A564,$A564+1),COLUMN('1-DATA'!B562)),IF($B564="STD. DEVIATION",2,$F$1))))</f>
        <v/>
      </c>
      <c r="D564" s="1" t="str">
        <f>IF(OR($B564="",D$7=""),"",IF($B564="MEANS",INDEX('1-DATA'!$1:$1048576,$A563-1,COLUMN('1-DATA'!C562)),ROUND(INDEX('1-DATA'!$1:$1048576,IF(OR($B564="STD. DEVIATION",$C$1=1),$A564,$A564+1),COLUMN('1-DATA'!C562)),IF($B564="STD. DEVIATION",2,$F$1))))</f>
        <v/>
      </c>
      <c r="E564" s="1" t="str">
        <f>IF(OR($B564="",E$7=""),"",IF($B564="MEANS",INDEX('1-DATA'!$1:$1048576,$A563-1,COLUMN('1-DATA'!D562)),ROUND(INDEX('1-DATA'!$1:$1048576,IF(OR($B564="STD. DEVIATION",$C$1=1),$A564,$A564+1),COLUMN('1-DATA'!D562)),IF($B564="STD. DEVIATION",2,$F$1))))</f>
        <v/>
      </c>
      <c r="F564" s="1" t="str">
        <f>IF(OR($B564="",F$7=""),"",IF($B564="MEANS",INDEX('1-DATA'!$1:$1048576,$A563-1,COLUMN('1-DATA'!E562)),ROUND(INDEX('1-DATA'!$1:$1048576,IF(OR($B564="STD. DEVIATION",$C$1=1),$A564,$A564+1),COLUMN('1-DATA'!E562)),IF($B564="STD. DEVIATION",2,$F$1))))</f>
        <v/>
      </c>
      <c r="G564" s="1" t="str">
        <f>IF(OR($B564="",G$7=""),"",IF($B564="MEANS",INDEX('1-DATA'!$1:$1048576,$A563-1,COLUMN('1-DATA'!F562)),ROUND(INDEX('1-DATA'!$1:$1048576,IF(OR($B564="STD. DEVIATION",$C$1=1),$A564,$A564+1),COLUMN('1-DATA'!F562)),IF($B564="STD. DEVIATION",2,$F$1))))</f>
        <v/>
      </c>
      <c r="H564" s="1" t="str">
        <f>IF(OR($B564="",H$7=""),"",IF($B564="MEANS",INDEX('1-DATA'!$1:$1048576,$A563-1,COLUMN('1-DATA'!G562)),ROUND(INDEX('1-DATA'!$1:$1048576,IF(OR($B564="STD. DEVIATION",$C$1=1),$A564,$A564+1),COLUMN('1-DATA'!G562)),IF($B564="STD. DEVIATION",2,$F$1))))</f>
        <v/>
      </c>
      <c r="I564" s="1" t="str">
        <f>IF(OR($B564="",I$7=""),"",IF($B564="MEANS",INDEX('1-DATA'!$1:$1048576,$A563-1,COLUMN('1-DATA'!H562)),ROUND(INDEX('1-DATA'!$1:$1048576,IF(OR($B564="STD. DEVIATION",$C$1=1),$A564,$A564+1),COLUMN('1-DATA'!H562)),IF($B564="STD. DEVIATION",2,$F$1))))</f>
        <v/>
      </c>
      <c r="J564" s="1" t="str">
        <f>IF(OR($B564="",J$7=""),"",IF($B564="MEANS",INDEX('1-DATA'!$1:$1048576,$A563-1,COLUMN('1-DATA'!I562)),ROUND(INDEX('1-DATA'!$1:$1048576,IF(OR($B564="STD. DEVIATION",$C$1=1),$A564,$A564+1),COLUMN('1-DATA'!I562)),IF($B564="STD. DEVIATION",2,$F$1))))</f>
        <v/>
      </c>
      <c r="K564" s="1" t="str">
        <f>IF(OR($B564="",K$7=""),"",IF($B564="MEANS",INDEX('1-DATA'!$1:$1048576,$A563-1,COLUMN('1-DATA'!J562)),ROUND(INDEX('1-DATA'!$1:$1048576,IF(OR($B564="STD. DEVIATION",$C$1=1),$A564,$A564+1),COLUMN('1-DATA'!J562)),IF($B564="STD. DEVIATION",2,$F$1))))</f>
        <v/>
      </c>
      <c r="L564" s="1" t="str">
        <f>IF(OR($B564="",L$7=""),"",IF($B564="MEANS",INDEX('1-DATA'!$1:$1048576,$A563-1,COLUMN('1-DATA'!K562)),ROUND(INDEX('1-DATA'!$1:$1048576,IF(OR($B564="STD. DEVIATION",$C$1=1),$A564,$A564+1),COLUMN('1-DATA'!K562)),IF($B564="STD. DEVIATION",2,$F$1))))</f>
        <v/>
      </c>
      <c r="M564" s="1" t="str">
        <f>IF(OR($B564="",M$7=""),"",IF($B564="MEANS",INDEX('1-DATA'!$1:$1048576,$A563-1,COLUMN('1-DATA'!L562)),ROUND(INDEX('1-DATA'!$1:$1048576,IF(OR($B564="STD. DEVIATION",$C$1=1),$A564,$A564+1),COLUMN('1-DATA'!L562)),IF($B564="STD. DEVIATION",2,$F$1))))</f>
        <v/>
      </c>
      <c r="N564" s="1" t="str">
        <f>IF(OR($B564="",N$7=""),"",IF($B564="MEANS",INDEX('1-DATA'!$1:$1048576,$A563-1,COLUMN('1-DATA'!M562)),ROUND(INDEX('1-DATA'!$1:$1048576,IF(OR($B564="STD. DEVIATION",$C$1=1),$A564,$A564+1),COLUMN('1-DATA'!M562)),IF($B564="STD. DEVIATION",2,$F$1))))</f>
        <v/>
      </c>
      <c r="O564" s="1" t="str">
        <f>IF(OR($B564="",O$7=""),"",IF($B564="MEANS",INDEX('1-DATA'!$1:$1048576,$A563-1,COLUMN('1-DATA'!N562)),ROUND(INDEX('1-DATA'!$1:$1048576,IF(OR($B564="STD. DEVIATION",$C$1=1),$A564,$A564+1),COLUMN('1-DATA'!N562)),IF($B564="STD. DEVIATION",2,$F$1))))</f>
        <v/>
      </c>
      <c r="P564" s="1" t="str">
        <f>IF(OR($B564="",P$7=""),"",IF($B564="MEANS",INDEX('1-DATA'!$1:$1048576,$A563-1,COLUMN('1-DATA'!O562)),ROUND(INDEX('1-DATA'!$1:$1048576,IF(OR($B564="STD. DEVIATION",$C$1=1),$A564,$A564+1),COLUMN('1-DATA'!O562)),IF($B564="STD. DEVIATION",2,$F$1))))</f>
        <v/>
      </c>
      <c r="Q564" s="1" t="str">
        <f>IF(OR($B564="",Q$7=""),"",IF($B564="MEANS",INDEX('1-DATA'!$1:$1048576,$A563-1,COLUMN('1-DATA'!P562)),ROUND(INDEX('1-DATA'!$1:$1048576,IF(OR($B564="STD. DEVIATION",$C$1=1),$A564,$A564+1),COLUMN('1-DATA'!P562)),IF($B564="STD. DEVIATION",2,$F$1))))</f>
        <v/>
      </c>
      <c r="R564" s="1" t="str">
        <f>IF(OR($B564="",R$7=""),"",IF($B564="MEANS",INDEX('1-DATA'!$1:$1048576,$A563-1,COLUMN('1-DATA'!Q562)),ROUND(INDEX('1-DATA'!$1:$1048576,IF(OR($B564="STD. DEVIATION",$C$1=1),$A564,$A564+1),COLUMN('1-DATA'!Q562)),IF($B564="STD. DEVIATION",2,$F$1))))</f>
        <v/>
      </c>
      <c r="S564" s="1" t="str">
        <f>IF(OR($B564="",S$7=""),"",IF($B564="MEANS",INDEX('1-DATA'!$1:$1048576,$A563-1,COLUMN('1-DATA'!R562)),ROUND(INDEX('1-DATA'!$1:$1048576,IF(OR($B564="STD. DEVIATION",$C$1=1),$A564,$A564+1),COLUMN('1-DATA'!R562)),IF($B564="STD. DEVIATION",2,$F$1))))</f>
        <v/>
      </c>
      <c r="T564" s="1" t="str">
        <f>IF(OR($B564="",T$7=""),"",IF($B564="MEANS",INDEX('1-DATA'!$1:$1048576,$A563-1,COLUMN('1-DATA'!S562)),ROUND(INDEX('1-DATA'!$1:$1048576,IF(OR($B564="STD. DEVIATION",$C$1=1),$A564,$A564+1),COLUMN('1-DATA'!S562)),IF($B564="STD. DEVIATION",2,$F$1))))</f>
        <v/>
      </c>
      <c r="U564" s="1" t="str">
        <f>IF(OR($B564="",U$7=""),"",IF($B564="MEANS",INDEX('1-DATA'!$1:$1048576,$A563-1,COLUMN('1-DATA'!T562)),ROUND(INDEX('1-DATA'!$1:$1048576,IF(OR($B564="STD. DEVIATION",$C$1=1),$A564,$A564+1),COLUMN('1-DATA'!T562)),IF($B564="STD. DEVIATION",2,$F$1))))</f>
        <v/>
      </c>
      <c r="V564" s="1" t="str">
        <f>IF(OR($B564="",V$7=""),"",IF($B564="MEANS",INDEX('1-DATA'!$1:$1048576,$A563-1,COLUMN('1-DATA'!U562)),ROUND(INDEX('1-DATA'!$1:$1048576,IF(OR($B564="STD. DEVIATION",$C$1=1),$A564,$A564+1),COLUMN('1-DATA'!U562)),IF($B564="STD. DEVIATION",2,$F$1))))</f>
        <v/>
      </c>
      <c r="W564" s="1" t="str">
        <f>IF(OR($B564="",W$7=""),"",IF($B564="MEANS",INDEX('1-DATA'!$1:$1048576,$A563-1,COLUMN('1-DATA'!V562)),ROUND(INDEX('1-DATA'!$1:$1048576,IF(OR($B564="STD. DEVIATION",$C$1=1),$A564,$A564+1),COLUMN('1-DATA'!V562)),IF($B564="STD. DEVIATION",2,$F$1))))</f>
        <v/>
      </c>
      <c r="X564" s="1" t="str">
        <f>IF(OR($B564="",X$7=""),"",IF($B564="MEANS",INDEX('1-DATA'!$1:$1048576,$A563-1,COLUMN('1-DATA'!W562)),ROUND(INDEX('1-DATA'!$1:$1048576,IF(OR($B564="STD. DEVIATION",$C$1=1),$A564,$A564+1),COLUMN('1-DATA'!W562)),IF($B564="STD. DEVIATION",2,$F$1))))</f>
        <v/>
      </c>
      <c r="Y564" s="1" t="str">
        <f>IF(OR($B564="",Y$7=""),"",IF($B564="MEANS",INDEX('1-DATA'!$1:$1048576,$A563-1,COLUMN('1-DATA'!X562)),ROUND(INDEX('1-DATA'!$1:$1048576,IF(OR($B564="STD. DEVIATION",$C$1=1),$A564,$A564+1),COLUMN('1-DATA'!X562)),IF($B564="STD. DEVIATION",2,$F$1))))</f>
        <v/>
      </c>
      <c r="Z564" s="1" t="str">
        <f>IF(OR($B564="",Z$7=""),"",IF($B564="MEANS",INDEX('1-DATA'!$1:$1048576,$A563-1,COLUMN('1-DATA'!Y562)),ROUND(INDEX('1-DATA'!$1:$1048576,IF(OR($B564="STD. DEVIATION",$C$1=1),$A564,$A564+1),COLUMN('1-DATA'!Y562)),IF($B564="STD. DEVIATION",2,$F$1))))</f>
        <v/>
      </c>
      <c r="AA564" s="1" t="str">
        <f>IF(OR($B564="",AA$7=""),"",IF($B564="MEANS",INDEX('1-DATA'!$1:$1048576,$A563-1,COLUMN('1-DATA'!Z562)),ROUND(INDEX('1-DATA'!$1:$1048576,IF(OR($B564="STD. DEVIATION",$C$1=1),$A564,$A564+1),COLUMN('1-DATA'!Z562)),IF($B564="STD. DEVIATION",2,$F$1))))</f>
        <v/>
      </c>
      <c r="AB564" s="1" t="str">
        <f>IF(OR($B564="",AB$7=""),"",IF($B564="MEANS",INDEX('1-DATA'!$1:$1048576,$A563-1,COLUMN('1-DATA'!AA562)),ROUND(INDEX('1-DATA'!$1:$1048576,IF(OR($B564="STD. DEVIATION",$C$1=1),$A564,$A564+1),COLUMN('1-DATA'!AA562)),IF($B564="STD. DEVIATION",2,$F$1))))</f>
        <v/>
      </c>
      <c r="AC564" s="1" t="str">
        <f>IF(OR($B564="",AC$7=""),"",IF($B564="MEANS",INDEX('1-DATA'!$1:$1048576,$A563-1,COLUMN('1-DATA'!AB562)),ROUND(INDEX('1-DATA'!$1:$1048576,IF(OR($B564="STD. DEVIATION",$C$1=1),$A564,$A564+1),COLUMN('1-DATA'!AB562)),IF($B564="STD. DEVIATION",2,$F$1))))</f>
        <v/>
      </c>
      <c r="AD564" s="1" t="str">
        <f>IF(OR($B564="",AD$7=""),"",IF($B564="MEANS",INDEX('1-DATA'!$1:$1048576,$A563-1,COLUMN('1-DATA'!AC562)),ROUND(INDEX('1-DATA'!$1:$1048576,IF(OR($B564="STD. DEVIATION",$C$1=1),$A564,$A564+1),COLUMN('1-DATA'!AC562)),IF($B564="STD. DEVIATION",2,$F$1))))</f>
        <v/>
      </c>
      <c r="AE564" s="1" t="str">
        <f>IF(OR($B564="",AE$7=""),"",IF($B564="MEANS",INDEX('1-DATA'!$1:$1048576,$A563-1,COLUMN('1-DATA'!AD562)),ROUND(INDEX('1-DATA'!$1:$1048576,IF(OR($B564="STD. DEVIATION",$C$1=1),$A564,$A564+1),COLUMN('1-DATA'!AD562)),IF($B564="STD. DEVIATION",2,$F$1))))</f>
        <v/>
      </c>
      <c r="AF564" s="1" t="str">
        <f>IF(OR($B564="",AF$7=""),"",IF($B564="MEANS",INDEX('1-DATA'!$1:$1048576,$A563-1,COLUMN('1-DATA'!AE562)),ROUND(INDEX('1-DATA'!$1:$1048576,IF(OR($B564="STD. DEVIATION",$C$1=1),$A564,$A564+1),COLUMN('1-DATA'!AE562)),IF($B564="STD. DEVIATION",2,$F$1))))</f>
        <v/>
      </c>
      <c r="AG564" s="1" t="str">
        <f>IF(OR($B564="",AG$7=""),"",IF($B564="MEANS",INDEX('1-DATA'!$1:$1048576,$A563-1,COLUMN('1-DATA'!AF562)),ROUND(INDEX('1-DATA'!$1:$1048576,IF(OR($B564="STD. DEVIATION",$C$1=1),$A564,$A564+1),COLUMN('1-DATA'!AF562)),IF($B564="STD. DEVIATION",2,$F$1))))</f>
        <v/>
      </c>
      <c r="AH564" s="1" t="str">
        <f>IF(OR($B564="",AH$7=""),"",IF($B564="MEANS",INDEX('1-DATA'!$1:$1048576,$A563-1,COLUMN('1-DATA'!AG562)),ROUND(INDEX('1-DATA'!$1:$1048576,IF(OR($B564="STD. DEVIATION",$C$1=1),$A564,$A564+1),COLUMN('1-DATA'!AG562)),IF($B564="STD. DEVIATION",2,$F$1))))</f>
        <v/>
      </c>
      <c r="AI564" s="1" t="str">
        <f>IF(OR($B564="",AI$7=""),"",IF($B564="MEANS",INDEX('1-DATA'!$1:$1048576,$A563-1,COLUMN('1-DATA'!AH562)),ROUND(INDEX('1-DATA'!$1:$1048576,IF(OR($B564="STD. DEVIATION",$C$1=1),$A564,$A564+1),COLUMN('1-DATA'!AH562)),IF($B564="STD. DEVIATION",2,$F$1))))</f>
        <v/>
      </c>
      <c r="AJ564" s="1" t="str">
        <f>IF(OR($B564="",AJ$7=""),"",IF($B564="MEANS",INDEX('1-DATA'!$1:$1048576,$A563-1,COLUMN('1-DATA'!AI562)),ROUND(INDEX('1-DATA'!$1:$1048576,IF(OR($B564="STD. DEVIATION",$C$1=1),$A564,$A564+1),COLUMN('1-DATA'!AI562)),IF($B564="STD. DEVIATION",2,$F$1))))</f>
        <v/>
      </c>
      <c r="AK564" s="1" t="str">
        <f>IF(OR($B564="",AK$7=""),"",IF($B564="MEANS",INDEX('1-DATA'!$1:$1048576,$A563-1,COLUMN('1-DATA'!AJ562)),ROUND(INDEX('1-DATA'!$1:$1048576,IF(OR($B564="STD. DEVIATION",$C$1=1),$A564,$A564+1),COLUMN('1-DATA'!AJ562)),IF($B564="STD. DEVIATION",2,$F$1))))</f>
        <v/>
      </c>
      <c r="AL564" s="1" t="str">
        <f>IF(OR($B564="",AL$7=""),"",IF($B564="MEANS",INDEX('1-DATA'!$1:$1048576,$A563-1,COLUMN('1-DATA'!AK562)),ROUND(INDEX('1-DATA'!$1:$1048576,IF(OR($B564="STD. DEVIATION",$C$1=1),$A564,$A564+1),COLUMN('1-DATA'!AK562)),IF($B564="STD. DEVIATION",2,$F$1))))</f>
        <v/>
      </c>
      <c r="AM564" s="1" t="str">
        <f>IF(OR($B564="",AM$7=""),"",IF($B564="MEANS",INDEX('1-DATA'!$1:$1048576,$A563-1,COLUMN('1-DATA'!AL562)),ROUND(INDEX('1-DATA'!$1:$1048576,IF(OR($B564="STD. DEVIATION",$C$1=1),$A564,$A564+1),COLUMN('1-DATA'!AL562)),IF($B564="STD. DEVIATION",2,$F$1))))</f>
        <v/>
      </c>
      <c r="AN564" s="1" t="str">
        <f>IF(OR($B564="",AN$7=""),"",IF($B564="MEANS",INDEX('1-DATA'!$1:$1048576,$A563-1,COLUMN('1-DATA'!AM562)),ROUND(INDEX('1-DATA'!$1:$1048576,IF(OR($B564="STD. DEVIATION",$C$1=1),$A564,$A564+1),COLUMN('1-DATA'!AM562)),IF($B564="STD. DEVIATION",2,$F$1))))</f>
        <v/>
      </c>
      <c r="AO564" s="1" t="str">
        <f>IF(OR($B564="",AO$7=""),"",IF($B564="MEANS",INDEX('1-DATA'!$1:$1048576,$A563-1,COLUMN('1-DATA'!AN562)),ROUND(INDEX('1-DATA'!$1:$1048576,IF(OR($B564="STD. DEVIATION",$C$1=1),$A564,$A564+1),COLUMN('1-DATA'!AN562)),IF($B564="STD. DEVIATION",2,$F$1))))</f>
        <v/>
      </c>
      <c r="AP564" s="1" t="str">
        <f>IF(OR($B564="",AP$7=""),"",IF($B564="MEANS",INDEX('1-DATA'!$1:$1048576,$A563-1,COLUMN('1-DATA'!AO562)),ROUND(INDEX('1-DATA'!$1:$1048576,IF(OR($B564="STD. DEVIATION",$C$1=1),$A564,$A564+1),COLUMN('1-DATA'!AO562)),IF($B564="STD. DEVIATION",2,$F$1))))</f>
        <v/>
      </c>
      <c r="AQ564" s="1" t="str">
        <f>IF(OR($B564="",AQ$7=""),"",IF($B564="MEANS",INDEX('1-DATA'!$1:$1048576,$A563-1,COLUMN('1-DATA'!AP562)),ROUND(INDEX('1-DATA'!$1:$1048576,IF(OR($B564="STD. DEVIATION",$C$1=1),$A564,$A564+1),COLUMN('1-DATA'!AP562)),IF($B564="STD. DEVIATION",2,$F$1))))</f>
        <v/>
      </c>
      <c r="AR564" s="1" t="str">
        <f>IF(OR($B564="",AR$7=""),"",IF($B564="MEANS",INDEX('1-DATA'!$1:$1048576,$A563-1,COLUMN('1-DATA'!AQ562)),ROUND(INDEX('1-DATA'!$1:$1048576,IF(OR($B564="STD. DEVIATION",$C$1=1),$A564,$A564+1),COLUMN('1-DATA'!AQ562)),IF($B564="STD. DEVIATION",2,$F$1))))</f>
        <v/>
      </c>
      <c r="AS564" s="1" t="str">
        <f>IF(OR($B564="",AS$7=""),"",IF($B564="MEANS",INDEX('1-DATA'!$1:$1048576,$A563-1,COLUMN('1-DATA'!AR562)),ROUND(INDEX('1-DATA'!$1:$1048576,IF(OR($B564="STD. DEVIATION",$C$1=1),$A564,$A564+1),COLUMN('1-DATA'!AR562)),IF($B564="STD. DEVIATION",2,$F$1))))</f>
        <v/>
      </c>
      <c r="AT564" s="1" t="str">
        <f>IF(OR($B564="",AT$7=""),"",IF($B564="MEANS",INDEX('1-DATA'!$1:$1048576,$A563-1,COLUMN('1-DATA'!AS562)),ROUND(INDEX('1-DATA'!$1:$1048576,IF(OR($B564="STD. DEVIATION",$C$1=1),$A564,$A564+1),COLUMN('1-DATA'!AS562)),IF($B564="STD. DEVIATION",2,$F$1))))</f>
        <v/>
      </c>
      <c r="AU564" s="1" t="str">
        <f>IF(OR($B564="",AU$7=""),"",IF($B564="MEANS",INDEX('1-DATA'!$1:$1048576,$A563-1,COLUMN('1-DATA'!AT562)),ROUND(INDEX('1-DATA'!$1:$1048576,IF(OR($B564="STD. DEVIATION",$C$1=1),$A564,$A564+1),COLUMN('1-DATA'!AT562)),IF($B564="STD. DEVIATION",2,$F$1))))</f>
        <v/>
      </c>
      <c r="AV564" s="1" t="str">
        <f>IF(OR($B564="",AV$7=""),"",IF($B564="MEANS",INDEX('1-DATA'!$1:$1048576,$A563-1,COLUMN('1-DATA'!AU562)),ROUND(INDEX('1-DATA'!$1:$1048576,IF(OR($B564="STD. DEVIATION",$C$1=1),$A564,$A564+1),COLUMN('1-DATA'!AU562)),IF($B564="STD. DEVIATION",2,$F$1))))</f>
        <v/>
      </c>
      <c r="AW564" s="1" t="str">
        <f>IF(OR($B564="",AW$7=""),"",IF($B564="MEANS",INDEX('1-DATA'!$1:$1048576,$A563-1,COLUMN('1-DATA'!AV562)),ROUND(INDEX('1-DATA'!$1:$1048576,IF(OR($B564="STD. DEVIATION",$C$1=1),$A564,$A564+1),COLUMN('1-DATA'!AV562)),IF($B564="STD. DEVIATION",2,$F$1))))</f>
        <v/>
      </c>
      <c r="AX564" s="1" t="str">
        <f>IF(OR($B564="",AX$7=""),"",IF($B564="MEANS",INDEX('1-DATA'!$1:$1048576,$A563-1,COLUMN('1-DATA'!AW562)),ROUND(INDEX('1-DATA'!$1:$1048576,IF(OR($B564="STD. DEVIATION",$C$1=1),$A564,$A564+1),COLUMN('1-DATA'!AW562)),IF($B564="STD. DEVIATION",2,$F$1))))</f>
        <v/>
      </c>
      <c r="AY564" s="1" t="str">
        <f>IF(OR($B564="",AY$7=""),"",IF($B564="MEANS",INDEX('1-DATA'!$1:$1048576,$A563-1,COLUMN('1-DATA'!AX562)),ROUND(INDEX('1-DATA'!$1:$1048576,IF(OR($B564="STD. DEVIATION",$C$1=1),$A564,$A564+1),COLUMN('1-DATA'!AX562)),IF($B564="STD. DEVIATION",2,$F$1))))</f>
        <v/>
      </c>
      <c r="AZ564" s="1" t="str">
        <f>IF(OR($B564="",AZ$7=""),"",IF($B564="MEANS",INDEX('1-DATA'!$1:$1048576,$A563-1,COLUMN('1-DATA'!AY562)),ROUND(INDEX('1-DATA'!$1:$1048576,IF(OR($B564="STD. DEVIATION",$C$1=1),$A564,$A564+1),COLUMN('1-DATA'!AY562)),IF($B564="STD. DEVIATION",2,$F$1))))</f>
        <v/>
      </c>
    </row>
    <row r="565" spans="1:52" x14ac:dyDescent="0.25">
      <c r="A565" s="11">
        <f t="shared" si="9"/>
        <v>1681</v>
      </c>
      <c r="B565" s="1" t="str">
        <f>IF(B564="STD. DEVIATION",INDEX('1-DATA'!$1:$1048576,$A564-1,1),IF(INDEX('1-DATA'!$1:$1048576,$A565,1)&lt;&gt;"",INDEX('1-DATA'!$1:$1048576,$A565,1),""))</f>
        <v/>
      </c>
      <c r="C565" s="1" t="str">
        <f>IF(OR($B565="",C$7=""),"",IF($B565="MEANS",INDEX('1-DATA'!$1:$1048576,$A564-1,COLUMN('1-DATA'!B563)),ROUND(INDEX('1-DATA'!$1:$1048576,IF(OR($B565="STD. DEVIATION",$C$1=1),$A565,$A565+1),COLUMN('1-DATA'!B563)),IF($B565="STD. DEVIATION",2,$F$1))))</f>
        <v/>
      </c>
      <c r="D565" s="1" t="str">
        <f>IF(OR($B565="",D$7=""),"",IF($B565="MEANS",INDEX('1-DATA'!$1:$1048576,$A564-1,COLUMN('1-DATA'!C563)),ROUND(INDEX('1-DATA'!$1:$1048576,IF(OR($B565="STD. DEVIATION",$C$1=1),$A565,$A565+1),COLUMN('1-DATA'!C563)),IF($B565="STD. DEVIATION",2,$F$1))))</f>
        <v/>
      </c>
      <c r="E565" s="1" t="str">
        <f>IF(OR($B565="",E$7=""),"",IF($B565="MEANS",INDEX('1-DATA'!$1:$1048576,$A564-1,COLUMN('1-DATA'!D563)),ROUND(INDEX('1-DATA'!$1:$1048576,IF(OR($B565="STD. DEVIATION",$C$1=1),$A565,$A565+1),COLUMN('1-DATA'!D563)),IF($B565="STD. DEVIATION",2,$F$1))))</f>
        <v/>
      </c>
      <c r="F565" s="1" t="str">
        <f>IF(OR($B565="",F$7=""),"",IF($B565="MEANS",INDEX('1-DATA'!$1:$1048576,$A564-1,COLUMN('1-DATA'!E563)),ROUND(INDEX('1-DATA'!$1:$1048576,IF(OR($B565="STD. DEVIATION",$C$1=1),$A565,$A565+1),COLUMN('1-DATA'!E563)),IF($B565="STD. DEVIATION",2,$F$1))))</f>
        <v/>
      </c>
      <c r="G565" s="1" t="str">
        <f>IF(OR($B565="",G$7=""),"",IF($B565="MEANS",INDEX('1-DATA'!$1:$1048576,$A564-1,COLUMN('1-DATA'!F563)),ROUND(INDEX('1-DATA'!$1:$1048576,IF(OR($B565="STD. DEVIATION",$C$1=1),$A565,$A565+1),COLUMN('1-DATA'!F563)),IF($B565="STD. DEVIATION",2,$F$1))))</f>
        <v/>
      </c>
      <c r="H565" s="1" t="str">
        <f>IF(OR($B565="",H$7=""),"",IF($B565="MEANS",INDEX('1-DATA'!$1:$1048576,$A564-1,COLUMN('1-DATA'!G563)),ROUND(INDEX('1-DATA'!$1:$1048576,IF(OR($B565="STD. DEVIATION",$C$1=1),$A565,$A565+1),COLUMN('1-DATA'!G563)),IF($B565="STD. DEVIATION",2,$F$1))))</f>
        <v/>
      </c>
      <c r="I565" s="1" t="str">
        <f>IF(OR($B565="",I$7=""),"",IF($B565="MEANS",INDEX('1-DATA'!$1:$1048576,$A564-1,COLUMN('1-DATA'!H563)),ROUND(INDEX('1-DATA'!$1:$1048576,IF(OR($B565="STD. DEVIATION",$C$1=1),$A565,$A565+1),COLUMN('1-DATA'!H563)),IF($B565="STD. DEVIATION",2,$F$1))))</f>
        <v/>
      </c>
      <c r="J565" s="1" t="str">
        <f>IF(OR($B565="",J$7=""),"",IF($B565="MEANS",INDEX('1-DATA'!$1:$1048576,$A564-1,COLUMN('1-DATA'!I563)),ROUND(INDEX('1-DATA'!$1:$1048576,IF(OR($B565="STD. DEVIATION",$C$1=1),$A565,$A565+1),COLUMN('1-DATA'!I563)),IF($B565="STD. DEVIATION",2,$F$1))))</f>
        <v/>
      </c>
      <c r="K565" s="1" t="str">
        <f>IF(OR($B565="",K$7=""),"",IF($B565="MEANS",INDEX('1-DATA'!$1:$1048576,$A564-1,COLUMN('1-DATA'!J563)),ROUND(INDEX('1-DATA'!$1:$1048576,IF(OR($B565="STD. DEVIATION",$C$1=1),$A565,$A565+1),COLUMN('1-DATA'!J563)),IF($B565="STD. DEVIATION",2,$F$1))))</f>
        <v/>
      </c>
      <c r="L565" s="1" t="str">
        <f>IF(OR($B565="",L$7=""),"",IF($B565="MEANS",INDEX('1-DATA'!$1:$1048576,$A564-1,COLUMN('1-DATA'!K563)),ROUND(INDEX('1-DATA'!$1:$1048576,IF(OR($B565="STD. DEVIATION",$C$1=1),$A565,$A565+1),COLUMN('1-DATA'!K563)),IF($B565="STD. DEVIATION",2,$F$1))))</f>
        <v/>
      </c>
      <c r="M565" s="1" t="str">
        <f>IF(OR($B565="",M$7=""),"",IF($B565="MEANS",INDEX('1-DATA'!$1:$1048576,$A564-1,COLUMN('1-DATA'!L563)),ROUND(INDEX('1-DATA'!$1:$1048576,IF(OR($B565="STD. DEVIATION",$C$1=1),$A565,$A565+1),COLUMN('1-DATA'!L563)),IF($B565="STD. DEVIATION",2,$F$1))))</f>
        <v/>
      </c>
      <c r="N565" s="1" t="str">
        <f>IF(OR($B565="",N$7=""),"",IF($B565="MEANS",INDEX('1-DATA'!$1:$1048576,$A564-1,COLUMN('1-DATA'!M563)),ROUND(INDEX('1-DATA'!$1:$1048576,IF(OR($B565="STD. DEVIATION",$C$1=1),$A565,$A565+1),COLUMN('1-DATA'!M563)),IF($B565="STD. DEVIATION",2,$F$1))))</f>
        <v/>
      </c>
      <c r="O565" s="1" t="str">
        <f>IF(OR($B565="",O$7=""),"",IF($B565="MEANS",INDEX('1-DATA'!$1:$1048576,$A564-1,COLUMN('1-DATA'!N563)),ROUND(INDEX('1-DATA'!$1:$1048576,IF(OR($B565="STD. DEVIATION",$C$1=1),$A565,$A565+1),COLUMN('1-DATA'!N563)),IF($B565="STD. DEVIATION",2,$F$1))))</f>
        <v/>
      </c>
      <c r="P565" s="1" t="str">
        <f>IF(OR($B565="",P$7=""),"",IF($B565="MEANS",INDEX('1-DATA'!$1:$1048576,$A564-1,COLUMN('1-DATA'!O563)),ROUND(INDEX('1-DATA'!$1:$1048576,IF(OR($B565="STD. DEVIATION",$C$1=1),$A565,$A565+1),COLUMN('1-DATA'!O563)),IF($B565="STD. DEVIATION",2,$F$1))))</f>
        <v/>
      </c>
      <c r="Q565" s="1" t="str">
        <f>IF(OR($B565="",Q$7=""),"",IF($B565="MEANS",INDEX('1-DATA'!$1:$1048576,$A564-1,COLUMN('1-DATA'!P563)),ROUND(INDEX('1-DATA'!$1:$1048576,IF(OR($B565="STD. DEVIATION",$C$1=1),$A565,$A565+1),COLUMN('1-DATA'!P563)),IF($B565="STD. DEVIATION",2,$F$1))))</f>
        <v/>
      </c>
      <c r="R565" s="1" t="str">
        <f>IF(OR($B565="",R$7=""),"",IF($B565="MEANS",INDEX('1-DATA'!$1:$1048576,$A564-1,COLUMN('1-DATA'!Q563)),ROUND(INDEX('1-DATA'!$1:$1048576,IF(OR($B565="STD. DEVIATION",$C$1=1),$A565,$A565+1),COLUMN('1-DATA'!Q563)),IF($B565="STD. DEVIATION",2,$F$1))))</f>
        <v/>
      </c>
      <c r="S565" s="1" t="str">
        <f>IF(OR($B565="",S$7=""),"",IF($B565="MEANS",INDEX('1-DATA'!$1:$1048576,$A564-1,COLUMN('1-DATA'!R563)),ROUND(INDEX('1-DATA'!$1:$1048576,IF(OR($B565="STD. DEVIATION",$C$1=1),$A565,$A565+1),COLUMN('1-DATA'!R563)),IF($B565="STD. DEVIATION",2,$F$1))))</f>
        <v/>
      </c>
      <c r="T565" s="1" t="str">
        <f>IF(OR($B565="",T$7=""),"",IF($B565="MEANS",INDEX('1-DATA'!$1:$1048576,$A564-1,COLUMN('1-DATA'!S563)),ROUND(INDEX('1-DATA'!$1:$1048576,IF(OR($B565="STD. DEVIATION",$C$1=1),$A565,$A565+1),COLUMN('1-DATA'!S563)),IF($B565="STD. DEVIATION",2,$F$1))))</f>
        <v/>
      </c>
      <c r="U565" s="1" t="str">
        <f>IF(OR($B565="",U$7=""),"",IF($B565="MEANS",INDEX('1-DATA'!$1:$1048576,$A564-1,COLUMN('1-DATA'!T563)),ROUND(INDEX('1-DATA'!$1:$1048576,IF(OR($B565="STD. DEVIATION",$C$1=1),$A565,$A565+1),COLUMN('1-DATA'!T563)),IF($B565="STD. DEVIATION",2,$F$1))))</f>
        <v/>
      </c>
      <c r="V565" s="1" t="str">
        <f>IF(OR($B565="",V$7=""),"",IF($B565="MEANS",INDEX('1-DATA'!$1:$1048576,$A564-1,COLUMN('1-DATA'!U563)),ROUND(INDEX('1-DATA'!$1:$1048576,IF(OR($B565="STD. DEVIATION",$C$1=1),$A565,$A565+1),COLUMN('1-DATA'!U563)),IF($B565="STD. DEVIATION",2,$F$1))))</f>
        <v/>
      </c>
      <c r="W565" s="1" t="str">
        <f>IF(OR($B565="",W$7=""),"",IF($B565="MEANS",INDEX('1-DATA'!$1:$1048576,$A564-1,COLUMN('1-DATA'!V563)),ROUND(INDEX('1-DATA'!$1:$1048576,IF(OR($B565="STD. DEVIATION",$C$1=1),$A565,$A565+1),COLUMN('1-DATA'!V563)),IF($B565="STD. DEVIATION",2,$F$1))))</f>
        <v/>
      </c>
      <c r="X565" s="1" t="str">
        <f>IF(OR($B565="",X$7=""),"",IF($B565="MEANS",INDEX('1-DATA'!$1:$1048576,$A564-1,COLUMN('1-DATA'!W563)),ROUND(INDEX('1-DATA'!$1:$1048576,IF(OR($B565="STD. DEVIATION",$C$1=1),$A565,$A565+1),COLUMN('1-DATA'!W563)),IF($B565="STD. DEVIATION",2,$F$1))))</f>
        <v/>
      </c>
      <c r="Y565" s="1" t="str">
        <f>IF(OR($B565="",Y$7=""),"",IF($B565="MEANS",INDEX('1-DATA'!$1:$1048576,$A564-1,COLUMN('1-DATA'!X563)),ROUND(INDEX('1-DATA'!$1:$1048576,IF(OR($B565="STD. DEVIATION",$C$1=1),$A565,$A565+1),COLUMN('1-DATA'!X563)),IF($B565="STD. DEVIATION",2,$F$1))))</f>
        <v/>
      </c>
      <c r="Z565" s="1" t="str">
        <f>IF(OR($B565="",Z$7=""),"",IF($B565="MEANS",INDEX('1-DATA'!$1:$1048576,$A564-1,COLUMN('1-DATA'!Y563)),ROUND(INDEX('1-DATA'!$1:$1048576,IF(OR($B565="STD. DEVIATION",$C$1=1),$A565,$A565+1),COLUMN('1-DATA'!Y563)),IF($B565="STD. DEVIATION",2,$F$1))))</f>
        <v/>
      </c>
      <c r="AA565" s="1" t="str">
        <f>IF(OR($B565="",AA$7=""),"",IF($B565="MEANS",INDEX('1-DATA'!$1:$1048576,$A564-1,COLUMN('1-DATA'!Z563)),ROUND(INDEX('1-DATA'!$1:$1048576,IF(OR($B565="STD. DEVIATION",$C$1=1),$A565,$A565+1),COLUMN('1-DATA'!Z563)),IF($B565="STD. DEVIATION",2,$F$1))))</f>
        <v/>
      </c>
      <c r="AB565" s="1" t="str">
        <f>IF(OR($B565="",AB$7=""),"",IF($B565="MEANS",INDEX('1-DATA'!$1:$1048576,$A564-1,COLUMN('1-DATA'!AA563)),ROUND(INDEX('1-DATA'!$1:$1048576,IF(OR($B565="STD. DEVIATION",$C$1=1),$A565,$A565+1),COLUMN('1-DATA'!AA563)),IF($B565="STD. DEVIATION",2,$F$1))))</f>
        <v/>
      </c>
      <c r="AC565" s="1" t="str">
        <f>IF(OR($B565="",AC$7=""),"",IF($B565="MEANS",INDEX('1-DATA'!$1:$1048576,$A564-1,COLUMN('1-DATA'!AB563)),ROUND(INDEX('1-DATA'!$1:$1048576,IF(OR($B565="STD. DEVIATION",$C$1=1),$A565,$A565+1),COLUMN('1-DATA'!AB563)),IF($B565="STD. DEVIATION",2,$F$1))))</f>
        <v/>
      </c>
      <c r="AD565" s="1" t="str">
        <f>IF(OR($B565="",AD$7=""),"",IF($B565="MEANS",INDEX('1-DATA'!$1:$1048576,$A564-1,COLUMN('1-DATA'!AC563)),ROUND(INDEX('1-DATA'!$1:$1048576,IF(OR($B565="STD. DEVIATION",$C$1=1),$A565,$A565+1),COLUMN('1-DATA'!AC563)),IF($B565="STD. DEVIATION",2,$F$1))))</f>
        <v/>
      </c>
      <c r="AE565" s="1" t="str">
        <f>IF(OR($B565="",AE$7=""),"",IF($B565="MEANS",INDEX('1-DATA'!$1:$1048576,$A564-1,COLUMN('1-DATA'!AD563)),ROUND(INDEX('1-DATA'!$1:$1048576,IF(OR($B565="STD. DEVIATION",$C$1=1),$A565,$A565+1),COLUMN('1-DATA'!AD563)),IF($B565="STD. DEVIATION",2,$F$1))))</f>
        <v/>
      </c>
      <c r="AF565" s="1" t="str">
        <f>IF(OR($B565="",AF$7=""),"",IF($B565="MEANS",INDEX('1-DATA'!$1:$1048576,$A564-1,COLUMN('1-DATA'!AE563)),ROUND(INDEX('1-DATA'!$1:$1048576,IF(OR($B565="STD. DEVIATION",$C$1=1),$A565,$A565+1),COLUMN('1-DATA'!AE563)),IF($B565="STD. DEVIATION",2,$F$1))))</f>
        <v/>
      </c>
      <c r="AG565" s="1" t="str">
        <f>IF(OR($B565="",AG$7=""),"",IF($B565="MEANS",INDEX('1-DATA'!$1:$1048576,$A564-1,COLUMN('1-DATA'!AF563)),ROUND(INDEX('1-DATA'!$1:$1048576,IF(OR($B565="STD. DEVIATION",$C$1=1),$A565,$A565+1),COLUMN('1-DATA'!AF563)),IF($B565="STD. DEVIATION",2,$F$1))))</f>
        <v/>
      </c>
      <c r="AH565" s="1" t="str">
        <f>IF(OR($B565="",AH$7=""),"",IF($B565="MEANS",INDEX('1-DATA'!$1:$1048576,$A564-1,COLUMN('1-DATA'!AG563)),ROUND(INDEX('1-DATA'!$1:$1048576,IF(OR($B565="STD. DEVIATION",$C$1=1),$A565,$A565+1),COLUMN('1-DATA'!AG563)),IF($B565="STD. DEVIATION",2,$F$1))))</f>
        <v/>
      </c>
      <c r="AI565" s="1" t="str">
        <f>IF(OR($B565="",AI$7=""),"",IF($B565="MEANS",INDEX('1-DATA'!$1:$1048576,$A564-1,COLUMN('1-DATA'!AH563)),ROUND(INDEX('1-DATA'!$1:$1048576,IF(OR($B565="STD. DEVIATION",$C$1=1),$A565,$A565+1),COLUMN('1-DATA'!AH563)),IF($B565="STD. DEVIATION",2,$F$1))))</f>
        <v/>
      </c>
      <c r="AJ565" s="1" t="str">
        <f>IF(OR($B565="",AJ$7=""),"",IF($B565="MEANS",INDEX('1-DATA'!$1:$1048576,$A564-1,COLUMN('1-DATA'!AI563)),ROUND(INDEX('1-DATA'!$1:$1048576,IF(OR($B565="STD. DEVIATION",$C$1=1),$A565,$A565+1),COLUMN('1-DATA'!AI563)),IF($B565="STD. DEVIATION",2,$F$1))))</f>
        <v/>
      </c>
      <c r="AK565" s="1" t="str">
        <f>IF(OR($B565="",AK$7=""),"",IF($B565="MEANS",INDEX('1-DATA'!$1:$1048576,$A564-1,COLUMN('1-DATA'!AJ563)),ROUND(INDEX('1-DATA'!$1:$1048576,IF(OR($B565="STD. DEVIATION",$C$1=1),$A565,$A565+1),COLUMN('1-DATA'!AJ563)),IF($B565="STD. DEVIATION",2,$F$1))))</f>
        <v/>
      </c>
      <c r="AL565" s="1" t="str">
        <f>IF(OR($B565="",AL$7=""),"",IF($B565="MEANS",INDEX('1-DATA'!$1:$1048576,$A564-1,COLUMN('1-DATA'!AK563)),ROUND(INDEX('1-DATA'!$1:$1048576,IF(OR($B565="STD. DEVIATION",$C$1=1),$A565,$A565+1),COLUMN('1-DATA'!AK563)),IF($B565="STD. DEVIATION",2,$F$1))))</f>
        <v/>
      </c>
      <c r="AM565" s="1" t="str">
        <f>IF(OR($B565="",AM$7=""),"",IF($B565="MEANS",INDEX('1-DATA'!$1:$1048576,$A564-1,COLUMN('1-DATA'!AL563)),ROUND(INDEX('1-DATA'!$1:$1048576,IF(OR($B565="STD. DEVIATION",$C$1=1),$A565,$A565+1),COLUMN('1-DATA'!AL563)),IF($B565="STD. DEVIATION",2,$F$1))))</f>
        <v/>
      </c>
      <c r="AN565" s="1" t="str">
        <f>IF(OR($B565="",AN$7=""),"",IF($B565="MEANS",INDEX('1-DATA'!$1:$1048576,$A564-1,COLUMN('1-DATA'!AM563)),ROUND(INDEX('1-DATA'!$1:$1048576,IF(OR($B565="STD. DEVIATION",$C$1=1),$A565,$A565+1),COLUMN('1-DATA'!AM563)),IF($B565="STD. DEVIATION",2,$F$1))))</f>
        <v/>
      </c>
      <c r="AO565" s="1" t="str">
        <f>IF(OR($B565="",AO$7=""),"",IF($B565="MEANS",INDEX('1-DATA'!$1:$1048576,$A564-1,COLUMN('1-DATA'!AN563)),ROUND(INDEX('1-DATA'!$1:$1048576,IF(OR($B565="STD. DEVIATION",$C$1=1),$A565,$A565+1),COLUMN('1-DATA'!AN563)),IF($B565="STD. DEVIATION",2,$F$1))))</f>
        <v/>
      </c>
      <c r="AP565" s="1" t="str">
        <f>IF(OR($B565="",AP$7=""),"",IF($B565="MEANS",INDEX('1-DATA'!$1:$1048576,$A564-1,COLUMN('1-DATA'!AO563)),ROUND(INDEX('1-DATA'!$1:$1048576,IF(OR($B565="STD. DEVIATION",$C$1=1),$A565,$A565+1),COLUMN('1-DATA'!AO563)),IF($B565="STD. DEVIATION",2,$F$1))))</f>
        <v/>
      </c>
      <c r="AQ565" s="1" t="str">
        <f>IF(OR($B565="",AQ$7=""),"",IF($B565="MEANS",INDEX('1-DATA'!$1:$1048576,$A564-1,COLUMN('1-DATA'!AP563)),ROUND(INDEX('1-DATA'!$1:$1048576,IF(OR($B565="STD. DEVIATION",$C$1=1),$A565,$A565+1),COLUMN('1-DATA'!AP563)),IF($B565="STD. DEVIATION",2,$F$1))))</f>
        <v/>
      </c>
      <c r="AR565" s="1" t="str">
        <f>IF(OR($B565="",AR$7=""),"",IF($B565="MEANS",INDEX('1-DATA'!$1:$1048576,$A564-1,COLUMN('1-DATA'!AQ563)),ROUND(INDEX('1-DATA'!$1:$1048576,IF(OR($B565="STD. DEVIATION",$C$1=1),$A565,$A565+1),COLUMN('1-DATA'!AQ563)),IF($B565="STD. DEVIATION",2,$F$1))))</f>
        <v/>
      </c>
      <c r="AS565" s="1" t="str">
        <f>IF(OR($B565="",AS$7=""),"",IF($B565="MEANS",INDEX('1-DATA'!$1:$1048576,$A564-1,COLUMN('1-DATA'!AR563)),ROUND(INDEX('1-DATA'!$1:$1048576,IF(OR($B565="STD. DEVIATION",$C$1=1),$A565,$A565+1),COLUMN('1-DATA'!AR563)),IF($B565="STD. DEVIATION",2,$F$1))))</f>
        <v/>
      </c>
      <c r="AT565" s="1" t="str">
        <f>IF(OR($B565="",AT$7=""),"",IF($B565="MEANS",INDEX('1-DATA'!$1:$1048576,$A564-1,COLUMN('1-DATA'!AS563)),ROUND(INDEX('1-DATA'!$1:$1048576,IF(OR($B565="STD. DEVIATION",$C$1=1),$A565,$A565+1),COLUMN('1-DATA'!AS563)),IF($B565="STD. DEVIATION",2,$F$1))))</f>
        <v/>
      </c>
      <c r="AU565" s="1" t="str">
        <f>IF(OR($B565="",AU$7=""),"",IF($B565="MEANS",INDEX('1-DATA'!$1:$1048576,$A564-1,COLUMN('1-DATA'!AT563)),ROUND(INDEX('1-DATA'!$1:$1048576,IF(OR($B565="STD. DEVIATION",$C$1=1),$A565,$A565+1),COLUMN('1-DATA'!AT563)),IF($B565="STD. DEVIATION",2,$F$1))))</f>
        <v/>
      </c>
      <c r="AV565" s="1" t="str">
        <f>IF(OR($B565="",AV$7=""),"",IF($B565="MEANS",INDEX('1-DATA'!$1:$1048576,$A564-1,COLUMN('1-DATA'!AU563)),ROUND(INDEX('1-DATA'!$1:$1048576,IF(OR($B565="STD. DEVIATION",$C$1=1),$A565,$A565+1),COLUMN('1-DATA'!AU563)),IF($B565="STD. DEVIATION",2,$F$1))))</f>
        <v/>
      </c>
      <c r="AW565" s="1" t="str">
        <f>IF(OR($B565="",AW$7=""),"",IF($B565="MEANS",INDEX('1-DATA'!$1:$1048576,$A564-1,COLUMN('1-DATA'!AV563)),ROUND(INDEX('1-DATA'!$1:$1048576,IF(OR($B565="STD. DEVIATION",$C$1=1),$A565,$A565+1),COLUMN('1-DATA'!AV563)),IF($B565="STD. DEVIATION",2,$F$1))))</f>
        <v/>
      </c>
      <c r="AX565" s="1" t="str">
        <f>IF(OR($B565="",AX$7=""),"",IF($B565="MEANS",INDEX('1-DATA'!$1:$1048576,$A564-1,COLUMN('1-DATA'!AW563)),ROUND(INDEX('1-DATA'!$1:$1048576,IF(OR($B565="STD. DEVIATION",$C$1=1),$A565,$A565+1),COLUMN('1-DATA'!AW563)),IF($B565="STD. DEVIATION",2,$F$1))))</f>
        <v/>
      </c>
      <c r="AY565" s="1" t="str">
        <f>IF(OR($B565="",AY$7=""),"",IF($B565="MEANS",INDEX('1-DATA'!$1:$1048576,$A564-1,COLUMN('1-DATA'!AX563)),ROUND(INDEX('1-DATA'!$1:$1048576,IF(OR($B565="STD. DEVIATION",$C$1=1),$A565,$A565+1),COLUMN('1-DATA'!AX563)),IF($B565="STD. DEVIATION",2,$F$1))))</f>
        <v/>
      </c>
      <c r="AZ565" s="1" t="str">
        <f>IF(OR($B565="",AZ$7=""),"",IF($B565="MEANS",INDEX('1-DATA'!$1:$1048576,$A564-1,COLUMN('1-DATA'!AY563)),ROUND(INDEX('1-DATA'!$1:$1048576,IF(OR($B565="STD. DEVIATION",$C$1=1),$A565,$A565+1),COLUMN('1-DATA'!AY563)),IF($B565="STD. DEVIATION",2,$F$1))))</f>
        <v/>
      </c>
    </row>
    <row r="566" spans="1:52" x14ac:dyDescent="0.25">
      <c r="A566" s="11">
        <f t="shared" si="9"/>
        <v>1684</v>
      </c>
      <c r="B566" s="1" t="str">
        <f>IF(B565="STD. DEVIATION",INDEX('1-DATA'!$1:$1048576,$A565-1,1),IF(INDEX('1-DATA'!$1:$1048576,$A566,1)&lt;&gt;"",INDEX('1-DATA'!$1:$1048576,$A566,1),""))</f>
        <v/>
      </c>
      <c r="C566" s="1" t="str">
        <f>IF(OR($B566="",C$7=""),"",IF($B566="MEANS",INDEX('1-DATA'!$1:$1048576,$A565-1,COLUMN('1-DATA'!B564)),ROUND(INDEX('1-DATA'!$1:$1048576,IF(OR($B566="STD. DEVIATION",$C$1=1),$A566,$A566+1),COLUMN('1-DATA'!B564)),IF($B566="STD. DEVIATION",2,$F$1))))</f>
        <v/>
      </c>
      <c r="D566" s="1" t="str">
        <f>IF(OR($B566="",D$7=""),"",IF($B566="MEANS",INDEX('1-DATA'!$1:$1048576,$A565-1,COLUMN('1-DATA'!C564)),ROUND(INDEX('1-DATA'!$1:$1048576,IF(OR($B566="STD. DEVIATION",$C$1=1),$A566,$A566+1),COLUMN('1-DATA'!C564)),IF($B566="STD. DEVIATION",2,$F$1))))</f>
        <v/>
      </c>
      <c r="E566" s="1" t="str">
        <f>IF(OR($B566="",E$7=""),"",IF($B566="MEANS",INDEX('1-DATA'!$1:$1048576,$A565-1,COLUMN('1-DATA'!D564)),ROUND(INDEX('1-DATA'!$1:$1048576,IF(OR($B566="STD. DEVIATION",$C$1=1),$A566,$A566+1),COLUMN('1-DATA'!D564)),IF($B566="STD. DEVIATION",2,$F$1))))</f>
        <v/>
      </c>
      <c r="F566" s="1" t="str">
        <f>IF(OR($B566="",F$7=""),"",IF($B566="MEANS",INDEX('1-DATA'!$1:$1048576,$A565-1,COLUMN('1-DATA'!E564)),ROUND(INDEX('1-DATA'!$1:$1048576,IF(OR($B566="STD. DEVIATION",$C$1=1),$A566,$A566+1),COLUMN('1-DATA'!E564)),IF($B566="STD. DEVIATION",2,$F$1))))</f>
        <v/>
      </c>
      <c r="G566" s="1" t="str">
        <f>IF(OR($B566="",G$7=""),"",IF($B566="MEANS",INDEX('1-DATA'!$1:$1048576,$A565-1,COLUMN('1-DATA'!F564)),ROUND(INDEX('1-DATA'!$1:$1048576,IF(OR($B566="STD. DEVIATION",$C$1=1),$A566,$A566+1),COLUMN('1-DATA'!F564)),IF($B566="STD. DEVIATION",2,$F$1))))</f>
        <v/>
      </c>
      <c r="H566" s="1" t="str">
        <f>IF(OR($B566="",H$7=""),"",IF($B566="MEANS",INDEX('1-DATA'!$1:$1048576,$A565-1,COLUMN('1-DATA'!G564)),ROUND(INDEX('1-DATA'!$1:$1048576,IF(OR($B566="STD. DEVIATION",$C$1=1),$A566,$A566+1),COLUMN('1-DATA'!G564)),IF($B566="STD. DEVIATION",2,$F$1))))</f>
        <v/>
      </c>
      <c r="I566" s="1" t="str">
        <f>IF(OR($B566="",I$7=""),"",IF($B566="MEANS",INDEX('1-DATA'!$1:$1048576,$A565-1,COLUMN('1-DATA'!H564)),ROUND(INDEX('1-DATA'!$1:$1048576,IF(OR($B566="STD. DEVIATION",$C$1=1),$A566,$A566+1),COLUMN('1-DATA'!H564)),IF($B566="STD. DEVIATION",2,$F$1))))</f>
        <v/>
      </c>
      <c r="J566" s="1" t="str">
        <f>IF(OR($B566="",J$7=""),"",IF($B566="MEANS",INDEX('1-DATA'!$1:$1048576,$A565-1,COLUMN('1-DATA'!I564)),ROUND(INDEX('1-DATA'!$1:$1048576,IF(OR($B566="STD. DEVIATION",$C$1=1),$A566,$A566+1),COLUMN('1-DATA'!I564)),IF($B566="STD. DEVIATION",2,$F$1))))</f>
        <v/>
      </c>
      <c r="K566" s="1" t="str">
        <f>IF(OR($B566="",K$7=""),"",IF($B566="MEANS",INDEX('1-DATA'!$1:$1048576,$A565-1,COLUMN('1-DATA'!J564)),ROUND(INDEX('1-DATA'!$1:$1048576,IF(OR($B566="STD. DEVIATION",$C$1=1),$A566,$A566+1),COLUMN('1-DATA'!J564)),IF($B566="STD. DEVIATION",2,$F$1))))</f>
        <v/>
      </c>
      <c r="L566" s="1" t="str">
        <f>IF(OR($B566="",L$7=""),"",IF($B566="MEANS",INDEX('1-DATA'!$1:$1048576,$A565-1,COLUMN('1-DATA'!K564)),ROUND(INDEX('1-DATA'!$1:$1048576,IF(OR($B566="STD. DEVIATION",$C$1=1),$A566,$A566+1),COLUMN('1-DATA'!K564)),IF($B566="STD. DEVIATION",2,$F$1))))</f>
        <v/>
      </c>
      <c r="M566" s="1" t="str">
        <f>IF(OR($B566="",M$7=""),"",IF($B566="MEANS",INDEX('1-DATA'!$1:$1048576,$A565-1,COLUMN('1-DATA'!L564)),ROUND(INDEX('1-DATA'!$1:$1048576,IF(OR($B566="STD. DEVIATION",$C$1=1),$A566,$A566+1),COLUMN('1-DATA'!L564)),IF($B566="STD. DEVIATION",2,$F$1))))</f>
        <v/>
      </c>
      <c r="N566" s="1" t="str">
        <f>IF(OR($B566="",N$7=""),"",IF($B566="MEANS",INDEX('1-DATA'!$1:$1048576,$A565-1,COLUMN('1-DATA'!M564)),ROUND(INDEX('1-DATA'!$1:$1048576,IF(OR($B566="STD. DEVIATION",$C$1=1),$A566,$A566+1),COLUMN('1-DATA'!M564)),IF($B566="STD. DEVIATION",2,$F$1))))</f>
        <v/>
      </c>
      <c r="O566" s="1" t="str">
        <f>IF(OR($B566="",O$7=""),"",IF($B566="MEANS",INDEX('1-DATA'!$1:$1048576,$A565-1,COLUMN('1-DATA'!N564)),ROUND(INDEX('1-DATA'!$1:$1048576,IF(OR($B566="STD. DEVIATION",$C$1=1),$A566,$A566+1),COLUMN('1-DATA'!N564)),IF($B566="STD. DEVIATION",2,$F$1))))</f>
        <v/>
      </c>
      <c r="P566" s="1" t="str">
        <f>IF(OR($B566="",P$7=""),"",IF($B566="MEANS",INDEX('1-DATA'!$1:$1048576,$A565-1,COLUMN('1-DATA'!O564)),ROUND(INDEX('1-DATA'!$1:$1048576,IF(OR($B566="STD. DEVIATION",$C$1=1),$A566,$A566+1),COLUMN('1-DATA'!O564)),IF($B566="STD. DEVIATION",2,$F$1))))</f>
        <v/>
      </c>
      <c r="Q566" s="1" t="str">
        <f>IF(OR($B566="",Q$7=""),"",IF($B566="MEANS",INDEX('1-DATA'!$1:$1048576,$A565-1,COLUMN('1-DATA'!P564)),ROUND(INDEX('1-DATA'!$1:$1048576,IF(OR($B566="STD. DEVIATION",$C$1=1),$A566,$A566+1),COLUMN('1-DATA'!P564)),IF($B566="STD. DEVIATION",2,$F$1))))</f>
        <v/>
      </c>
      <c r="R566" s="1" t="str">
        <f>IF(OR($B566="",R$7=""),"",IF($B566="MEANS",INDEX('1-DATA'!$1:$1048576,$A565-1,COLUMN('1-DATA'!Q564)),ROUND(INDEX('1-DATA'!$1:$1048576,IF(OR($B566="STD. DEVIATION",$C$1=1),$A566,$A566+1),COLUMN('1-DATA'!Q564)),IF($B566="STD. DEVIATION",2,$F$1))))</f>
        <v/>
      </c>
      <c r="S566" s="1" t="str">
        <f>IF(OR($B566="",S$7=""),"",IF($B566="MEANS",INDEX('1-DATA'!$1:$1048576,$A565-1,COLUMN('1-DATA'!R564)),ROUND(INDEX('1-DATA'!$1:$1048576,IF(OR($B566="STD. DEVIATION",$C$1=1),$A566,$A566+1),COLUMN('1-DATA'!R564)),IF($B566="STD. DEVIATION",2,$F$1))))</f>
        <v/>
      </c>
      <c r="T566" s="1" t="str">
        <f>IF(OR($B566="",T$7=""),"",IF($B566="MEANS",INDEX('1-DATA'!$1:$1048576,$A565-1,COLUMN('1-DATA'!S564)),ROUND(INDEX('1-DATA'!$1:$1048576,IF(OR($B566="STD. DEVIATION",$C$1=1),$A566,$A566+1),COLUMN('1-DATA'!S564)),IF($B566="STD. DEVIATION",2,$F$1))))</f>
        <v/>
      </c>
      <c r="U566" s="1" t="str">
        <f>IF(OR($B566="",U$7=""),"",IF($B566="MEANS",INDEX('1-DATA'!$1:$1048576,$A565-1,COLUMN('1-DATA'!T564)),ROUND(INDEX('1-DATA'!$1:$1048576,IF(OR($B566="STD. DEVIATION",$C$1=1),$A566,$A566+1),COLUMN('1-DATA'!T564)),IF($B566="STD. DEVIATION",2,$F$1))))</f>
        <v/>
      </c>
      <c r="V566" s="1" t="str">
        <f>IF(OR($B566="",V$7=""),"",IF($B566="MEANS",INDEX('1-DATA'!$1:$1048576,$A565-1,COLUMN('1-DATA'!U564)),ROUND(INDEX('1-DATA'!$1:$1048576,IF(OR($B566="STD. DEVIATION",$C$1=1),$A566,$A566+1),COLUMN('1-DATA'!U564)),IF($B566="STD. DEVIATION",2,$F$1))))</f>
        <v/>
      </c>
      <c r="W566" s="1" t="str">
        <f>IF(OR($B566="",W$7=""),"",IF($B566="MEANS",INDEX('1-DATA'!$1:$1048576,$A565-1,COLUMN('1-DATA'!V564)),ROUND(INDEX('1-DATA'!$1:$1048576,IF(OR($B566="STD. DEVIATION",$C$1=1),$A566,$A566+1),COLUMN('1-DATA'!V564)),IF($B566="STD. DEVIATION",2,$F$1))))</f>
        <v/>
      </c>
      <c r="X566" s="1" t="str">
        <f>IF(OR($B566="",X$7=""),"",IF($B566="MEANS",INDEX('1-DATA'!$1:$1048576,$A565-1,COLUMN('1-DATA'!W564)),ROUND(INDEX('1-DATA'!$1:$1048576,IF(OR($B566="STD. DEVIATION",$C$1=1),$A566,$A566+1),COLUMN('1-DATA'!W564)),IF($B566="STD. DEVIATION",2,$F$1))))</f>
        <v/>
      </c>
      <c r="Y566" s="1" t="str">
        <f>IF(OR($B566="",Y$7=""),"",IF($B566="MEANS",INDEX('1-DATA'!$1:$1048576,$A565-1,COLUMN('1-DATA'!X564)),ROUND(INDEX('1-DATA'!$1:$1048576,IF(OR($B566="STD. DEVIATION",$C$1=1),$A566,$A566+1),COLUMN('1-DATA'!X564)),IF($B566="STD. DEVIATION",2,$F$1))))</f>
        <v/>
      </c>
      <c r="Z566" s="1" t="str">
        <f>IF(OR($B566="",Z$7=""),"",IF($B566="MEANS",INDEX('1-DATA'!$1:$1048576,$A565-1,COLUMN('1-DATA'!Y564)),ROUND(INDEX('1-DATA'!$1:$1048576,IF(OR($B566="STD. DEVIATION",$C$1=1),$A566,$A566+1),COLUMN('1-DATA'!Y564)),IF($B566="STD. DEVIATION",2,$F$1))))</f>
        <v/>
      </c>
      <c r="AA566" s="1" t="str">
        <f>IF(OR($B566="",AA$7=""),"",IF($B566="MEANS",INDEX('1-DATA'!$1:$1048576,$A565-1,COLUMN('1-DATA'!Z564)),ROUND(INDEX('1-DATA'!$1:$1048576,IF(OR($B566="STD. DEVIATION",$C$1=1),$A566,$A566+1),COLUMN('1-DATA'!Z564)),IF($B566="STD. DEVIATION",2,$F$1))))</f>
        <v/>
      </c>
      <c r="AB566" s="1" t="str">
        <f>IF(OR($B566="",AB$7=""),"",IF($B566="MEANS",INDEX('1-DATA'!$1:$1048576,$A565-1,COLUMN('1-DATA'!AA564)),ROUND(INDEX('1-DATA'!$1:$1048576,IF(OR($B566="STD. DEVIATION",$C$1=1),$A566,$A566+1),COLUMN('1-DATA'!AA564)),IF($B566="STD. DEVIATION",2,$F$1))))</f>
        <v/>
      </c>
      <c r="AC566" s="1" t="str">
        <f>IF(OR($B566="",AC$7=""),"",IF($B566="MEANS",INDEX('1-DATA'!$1:$1048576,$A565-1,COLUMN('1-DATA'!AB564)),ROUND(INDEX('1-DATA'!$1:$1048576,IF(OR($B566="STD. DEVIATION",$C$1=1),$A566,$A566+1),COLUMN('1-DATA'!AB564)),IF($B566="STD. DEVIATION",2,$F$1))))</f>
        <v/>
      </c>
      <c r="AD566" s="1" t="str">
        <f>IF(OR($B566="",AD$7=""),"",IF($B566="MEANS",INDEX('1-DATA'!$1:$1048576,$A565-1,COLUMN('1-DATA'!AC564)),ROUND(INDEX('1-DATA'!$1:$1048576,IF(OR($B566="STD. DEVIATION",$C$1=1),$A566,$A566+1),COLUMN('1-DATA'!AC564)),IF($B566="STD. DEVIATION",2,$F$1))))</f>
        <v/>
      </c>
      <c r="AE566" s="1" t="str">
        <f>IF(OR($B566="",AE$7=""),"",IF($B566="MEANS",INDEX('1-DATA'!$1:$1048576,$A565-1,COLUMN('1-DATA'!AD564)),ROUND(INDEX('1-DATA'!$1:$1048576,IF(OR($B566="STD. DEVIATION",$C$1=1),$A566,$A566+1),COLUMN('1-DATA'!AD564)),IF($B566="STD. DEVIATION",2,$F$1))))</f>
        <v/>
      </c>
      <c r="AF566" s="1" t="str">
        <f>IF(OR($B566="",AF$7=""),"",IF($B566="MEANS",INDEX('1-DATA'!$1:$1048576,$A565-1,COLUMN('1-DATA'!AE564)),ROUND(INDEX('1-DATA'!$1:$1048576,IF(OR($B566="STD. DEVIATION",$C$1=1),$A566,$A566+1),COLUMN('1-DATA'!AE564)),IF($B566="STD. DEVIATION",2,$F$1))))</f>
        <v/>
      </c>
      <c r="AG566" s="1" t="str">
        <f>IF(OR($B566="",AG$7=""),"",IF($B566="MEANS",INDEX('1-DATA'!$1:$1048576,$A565-1,COLUMN('1-DATA'!AF564)),ROUND(INDEX('1-DATA'!$1:$1048576,IF(OR($B566="STD. DEVIATION",$C$1=1),$A566,$A566+1),COLUMN('1-DATA'!AF564)),IF($B566="STD. DEVIATION",2,$F$1))))</f>
        <v/>
      </c>
      <c r="AH566" s="1" t="str">
        <f>IF(OR($B566="",AH$7=""),"",IF($B566="MEANS",INDEX('1-DATA'!$1:$1048576,$A565-1,COLUMN('1-DATA'!AG564)),ROUND(INDEX('1-DATA'!$1:$1048576,IF(OR($B566="STD. DEVIATION",$C$1=1),$A566,$A566+1),COLUMN('1-DATA'!AG564)),IF($B566="STD. DEVIATION",2,$F$1))))</f>
        <v/>
      </c>
      <c r="AI566" s="1" t="str">
        <f>IF(OR($B566="",AI$7=""),"",IF($B566="MEANS",INDEX('1-DATA'!$1:$1048576,$A565-1,COLUMN('1-DATA'!AH564)),ROUND(INDEX('1-DATA'!$1:$1048576,IF(OR($B566="STD. DEVIATION",$C$1=1),$A566,$A566+1),COLUMN('1-DATA'!AH564)),IF($B566="STD. DEVIATION",2,$F$1))))</f>
        <v/>
      </c>
      <c r="AJ566" s="1" t="str">
        <f>IF(OR($B566="",AJ$7=""),"",IF($B566="MEANS",INDEX('1-DATA'!$1:$1048576,$A565-1,COLUMN('1-DATA'!AI564)),ROUND(INDEX('1-DATA'!$1:$1048576,IF(OR($B566="STD. DEVIATION",$C$1=1),$A566,$A566+1),COLUMN('1-DATA'!AI564)),IF($B566="STD. DEVIATION",2,$F$1))))</f>
        <v/>
      </c>
      <c r="AK566" s="1" t="str">
        <f>IF(OR($B566="",AK$7=""),"",IF($B566="MEANS",INDEX('1-DATA'!$1:$1048576,$A565-1,COLUMN('1-DATA'!AJ564)),ROUND(INDEX('1-DATA'!$1:$1048576,IF(OR($B566="STD. DEVIATION",$C$1=1),$A566,$A566+1),COLUMN('1-DATA'!AJ564)),IF($B566="STD. DEVIATION",2,$F$1))))</f>
        <v/>
      </c>
      <c r="AL566" s="1" t="str">
        <f>IF(OR($B566="",AL$7=""),"",IF($B566="MEANS",INDEX('1-DATA'!$1:$1048576,$A565-1,COLUMN('1-DATA'!AK564)),ROUND(INDEX('1-DATA'!$1:$1048576,IF(OR($B566="STD. DEVIATION",$C$1=1),$A566,$A566+1),COLUMN('1-DATA'!AK564)),IF($B566="STD. DEVIATION",2,$F$1))))</f>
        <v/>
      </c>
      <c r="AM566" s="1" t="str">
        <f>IF(OR($B566="",AM$7=""),"",IF($B566="MEANS",INDEX('1-DATA'!$1:$1048576,$A565-1,COLUMN('1-DATA'!AL564)),ROUND(INDEX('1-DATA'!$1:$1048576,IF(OR($B566="STD. DEVIATION",$C$1=1),$A566,$A566+1),COLUMN('1-DATA'!AL564)),IF($B566="STD. DEVIATION",2,$F$1))))</f>
        <v/>
      </c>
      <c r="AN566" s="1" t="str">
        <f>IF(OR($B566="",AN$7=""),"",IF($B566="MEANS",INDEX('1-DATA'!$1:$1048576,$A565-1,COLUMN('1-DATA'!AM564)),ROUND(INDEX('1-DATA'!$1:$1048576,IF(OR($B566="STD. DEVIATION",$C$1=1),$A566,$A566+1),COLUMN('1-DATA'!AM564)),IF($B566="STD. DEVIATION",2,$F$1))))</f>
        <v/>
      </c>
      <c r="AO566" s="1" t="str">
        <f>IF(OR($B566="",AO$7=""),"",IF($B566="MEANS",INDEX('1-DATA'!$1:$1048576,$A565-1,COLUMN('1-DATA'!AN564)),ROUND(INDEX('1-DATA'!$1:$1048576,IF(OR($B566="STD. DEVIATION",$C$1=1),$A566,$A566+1),COLUMN('1-DATA'!AN564)),IF($B566="STD. DEVIATION",2,$F$1))))</f>
        <v/>
      </c>
      <c r="AP566" s="1" t="str">
        <f>IF(OR($B566="",AP$7=""),"",IF($B566="MEANS",INDEX('1-DATA'!$1:$1048576,$A565-1,COLUMN('1-DATA'!AO564)),ROUND(INDEX('1-DATA'!$1:$1048576,IF(OR($B566="STD. DEVIATION",$C$1=1),$A566,$A566+1),COLUMN('1-DATA'!AO564)),IF($B566="STD. DEVIATION",2,$F$1))))</f>
        <v/>
      </c>
      <c r="AQ566" s="1" t="str">
        <f>IF(OR($B566="",AQ$7=""),"",IF($B566="MEANS",INDEX('1-DATA'!$1:$1048576,$A565-1,COLUMN('1-DATA'!AP564)),ROUND(INDEX('1-DATA'!$1:$1048576,IF(OR($B566="STD. DEVIATION",$C$1=1),$A566,$A566+1),COLUMN('1-DATA'!AP564)),IF($B566="STD. DEVIATION",2,$F$1))))</f>
        <v/>
      </c>
      <c r="AR566" s="1" t="str">
        <f>IF(OR($B566="",AR$7=""),"",IF($B566="MEANS",INDEX('1-DATA'!$1:$1048576,$A565-1,COLUMN('1-DATA'!AQ564)),ROUND(INDEX('1-DATA'!$1:$1048576,IF(OR($B566="STD. DEVIATION",$C$1=1),$A566,$A566+1),COLUMN('1-DATA'!AQ564)),IF($B566="STD. DEVIATION",2,$F$1))))</f>
        <v/>
      </c>
      <c r="AS566" s="1" t="str">
        <f>IF(OR($B566="",AS$7=""),"",IF($B566="MEANS",INDEX('1-DATA'!$1:$1048576,$A565-1,COLUMN('1-DATA'!AR564)),ROUND(INDEX('1-DATA'!$1:$1048576,IF(OR($B566="STD. DEVIATION",$C$1=1),$A566,$A566+1),COLUMN('1-DATA'!AR564)),IF($B566="STD. DEVIATION",2,$F$1))))</f>
        <v/>
      </c>
      <c r="AT566" s="1" t="str">
        <f>IF(OR($B566="",AT$7=""),"",IF($B566="MEANS",INDEX('1-DATA'!$1:$1048576,$A565-1,COLUMN('1-DATA'!AS564)),ROUND(INDEX('1-DATA'!$1:$1048576,IF(OR($B566="STD. DEVIATION",$C$1=1),$A566,$A566+1),COLUMN('1-DATA'!AS564)),IF($B566="STD. DEVIATION",2,$F$1))))</f>
        <v/>
      </c>
      <c r="AU566" s="1" t="str">
        <f>IF(OR($B566="",AU$7=""),"",IF($B566="MEANS",INDEX('1-DATA'!$1:$1048576,$A565-1,COLUMN('1-DATA'!AT564)),ROUND(INDEX('1-DATA'!$1:$1048576,IF(OR($B566="STD. DEVIATION",$C$1=1),$A566,$A566+1),COLUMN('1-DATA'!AT564)),IF($B566="STD. DEVIATION",2,$F$1))))</f>
        <v/>
      </c>
      <c r="AV566" s="1" t="str">
        <f>IF(OR($B566="",AV$7=""),"",IF($B566="MEANS",INDEX('1-DATA'!$1:$1048576,$A565-1,COLUMN('1-DATA'!AU564)),ROUND(INDEX('1-DATA'!$1:$1048576,IF(OR($B566="STD. DEVIATION",$C$1=1),$A566,$A566+1),COLUMN('1-DATA'!AU564)),IF($B566="STD. DEVIATION",2,$F$1))))</f>
        <v/>
      </c>
      <c r="AW566" s="1" t="str">
        <f>IF(OR($B566="",AW$7=""),"",IF($B566="MEANS",INDEX('1-DATA'!$1:$1048576,$A565-1,COLUMN('1-DATA'!AV564)),ROUND(INDEX('1-DATA'!$1:$1048576,IF(OR($B566="STD. DEVIATION",$C$1=1),$A566,$A566+1),COLUMN('1-DATA'!AV564)),IF($B566="STD. DEVIATION",2,$F$1))))</f>
        <v/>
      </c>
      <c r="AX566" s="1" t="str">
        <f>IF(OR($B566="",AX$7=""),"",IF($B566="MEANS",INDEX('1-DATA'!$1:$1048576,$A565-1,COLUMN('1-DATA'!AW564)),ROUND(INDEX('1-DATA'!$1:$1048576,IF(OR($B566="STD. DEVIATION",$C$1=1),$A566,$A566+1),COLUMN('1-DATA'!AW564)),IF($B566="STD. DEVIATION",2,$F$1))))</f>
        <v/>
      </c>
      <c r="AY566" s="1" t="str">
        <f>IF(OR($B566="",AY$7=""),"",IF($B566="MEANS",INDEX('1-DATA'!$1:$1048576,$A565-1,COLUMN('1-DATA'!AX564)),ROUND(INDEX('1-DATA'!$1:$1048576,IF(OR($B566="STD. DEVIATION",$C$1=1),$A566,$A566+1),COLUMN('1-DATA'!AX564)),IF($B566="STD. DEVIATION",2,$F$1))))</f>
        <v/>
      </c>
      <c r="AZ566" s="1" t="str">
        <f>IF(OR($B566="",AZ$7=""),"",IF($B566="MEANS",INDEX('1-DATA'!$1:$1048576,$A565-1,COLUMN('1-DATA'!AY564)),ROUND(INDEX('1-DATA'!$1:$1048576,IF(OR($B566="STD. DEVIATION",$C$1=1),$A566,$A566+1),COLUMN('1-DATA'!AY564)),IF($B566="STD. DEVIATION",2,$F$1))))</f>
        <v/>
      </c>
    </row>
    <row r="567" spans="1:52" x14ac:dyDescent="0.25">
      <c r="A567" s="11">
        <f t="shared" si="9"/>
        <v>1687</v>
      </c>
      <c r="B567" s="1" t="str">
        <f>IF(B566="STD. DEVIATION",INDEX('1-DATA'!$1:$1048576,$A566-1,1),IF(INDEX('1-DATA'!$1:$1048576,$A567,1)&lt;&gt;"",INDEX('1-DATA'!$1:$1048576,$A567,1),""))</f>
        <v/>
      </c>
      <c r="C567" s="1" t="str">
        <f>IF(OR($B567="",C$7=""),"",IF($B567="MEANS",INDEX('1-DATA'!$1:$1048576,$A566-1,COLUMN('1-DATA'!B565)),ROUND(INDEX('1-DATA'!$1:$1048576,IF(OR($B567="STD. DEVIATION",$C$1=1),$A567,$A567+1),COLUMN('1-DATA'!B565)),IF($B567="STD. DEVIATION",2,$F$1))))</f>
        <v/>
      </c>
      <c r="D567" s="1" t="str">
        <f>IF(OR($B567="",D$7=""),"",IF($B567="MEANS",INDEX('1-DATA'!$1:$1048576,$A566-1,COLUMN('1-DATA'!C565)),ROUND(INDEX('1-DATA'!$1:$1048576,IF(OR($B567="STD. DEVIATION",$C$1=1),$A567,$A567+1),COLUMN('1-DATA'!C565)),IF($B567="STD. DEVIATION",2,$F$1))))</f>
        <v/>
      </c>
      <c r="E567" s="1" t="str">
        <f>IF(OR($B567="",E$7=""),"",IF($B567="MEANS",INDEX('1-DATA'!$1:$1048576,$A566-1,COLUMN('1-DATA'!D565)),ROUND(INDEX('1-DATA'!$1:$1048576,IF(OR($B567="STD. DEVIATION",$C$1=1),$A567,$A567+1),COLUMN('1-DATA'!D565)),IF($B567="STD. DEVIATION",2,$F$1))))</f>
        <v/>
      </c>
      <c r="F567" s="1" t="str">
        <f>IF(OR($B567="",F$7=""),"",IF($B567="MEANS",INDEX('1-DATA'!$1:$1048576,$A566-1,COLUMN('1-DATA'!E565)),ROUND(INDEX('1-DATA'!$1:$1048576,IF(OR($B567="STD. DEVIATION",$C$1=1),$A567,$A567+1),COLUMN('1-DATA'!E565)),IF($B567="STD. DEVIATION",2,$F$1))))</f>
        <v/>
      </c>
      <c r="G567" s="1" t="str">
        <f>IF(OR($B567="",G$7=""),"",IF($B567="MEANS",INDEX('1-DATA'!$1:$1048576,$A566-1,COLUMN('1-DATA'!F565)),ROUND(INDEX('1-DATA'!$1:$1048576,IF(OR($B567="STD. DEVIATION",$C$1=1),$A567,$A567+1),COLUMN('1-DATA'!F565)),IF($B567="STD. DEVIATION",2,$F$1))))</f>
        <v/>
      </c>
      <c r="H567" s="1" t="str">
        <f>IF(OR($B567="",H$7=""),"",IF($B567="MEANS",INDEX('1-DATA'!$1:$1048576,$A566-1,COLUMN('1-DATA'!G565)),ROUND(INDEX('1-DATA'!$1:$1048576,IF(OR($B567="STD. DEVIATION",$C$1=1),$A567,$A567+1),COLUMN('1-DATA'!G565)),IF($B567="STD. DEVIATION",2,$F$1))))</f>
        <v/>
      </c>
      <c r="I567" s="1" t="str">
        <f>IF(OR($B567="",I$7=""),"",IF($B567="MEANS",INDEX('1-DATA'!$1:$1048576,$A566-1,COLUMN('1-DATA'!H565)),ROUND(INDEX('1-DATA'!$1:$1048576,IF(OR($B567="STD. DEVIATION",$C$1=1),$A567,$A567+1),COLUMN('1-DATA'!H565)),IF($B567="STD. DEVIATION",2,$F$1))))</f>
        <v/>
      </c>
      <c r="J567" s="1" t="str">
        <f>IF(OR($B567="",J$7=""),"",IF($B567="MEANS",INDEX('1-DATA'!$1:$1048576,$A566-1,COLUMN('1-DATA'!I565)),ROUND(INDEX('1-DATA'!$1:$1048576,IF(OR($B567="STD. DEVIATION",$C$1=1),$A567,$A567+1),COLUMN('1-DATA'!I565)),IF($B567="STD. DEVIATION",2,$F$1))))</f>
        <v/>
      </c>
      <c r="K567" s="1" t="str">
        <f>IF(OR($B567="",K$7=""),"",IF($B567="MEANS",INDEX('1-DATA'!$1:$1048576,$A566-1,COLUMN('1-DATA'!J565)),ROUND(INDEX('1-DATA'!$1:$1048576,IF(OR($B567="STD. DEVIATION",$C$1=1),$A567,$A567+1),COLUMN('1-DATA'!J565)),IF($B567="STD. DEVIATION",2,$F$1))))</f>
        <v/>
      </c>
      <c r="L567" s="1" t="str">
        <f>IF(OR($B567="",L$7=""),"",IF($B567="MEANS",INDEX('1-DATA'!$1:$1048576,$A566-1,COLUMN('1-DATA'!K565)),ROUND(INDEX('1-DATA'!$1:$1048576,IF(OR($B567="STD. DEVIATION",$C$1=1),$A567,$A567+1),COLUMN('1-DATA'!K565)),IF($B567="STD. DEVIATION",2,$F$1))))</f>
        <v/>
      </c>
      <c r="M567" s="1" t="str">
        <f>IF(OR($B567="",M$7=""),"",IF($B567="MEANS",INDEX('1-DATA'!$1:$1048576,$A566-1,COLUMN('1-DATA'!L565)),ROUND(INDEX('1-DATA'!$1:$1048576,IF(OR($B567="STD. DEVIATION",$C$1=1),$A567,$A567+1),COLUMN('1-DATA'!L565)),IF($B567="STD. DEVIATION",2,$F$1))))</f>
        <v/>
      </c>
      <c r="N567" s="1" t="str">
        <f>IF(OR($B567="",N$7=""),"",IF($B567="MEANS",INDEX('1-DATA'!$1:$1048576,$A566-1,COLUMN('1-DATA'!M565)),ROUND(INDEX('1-DATA'!$1:$1048576,IF(OR($B567="STD. DEVIATION",$C$1=1),$A567,$A567+1),COLUMN('1-DATA'!M565)),IF($B567="STD. DEVIATION",2,$F$1))))</f>
        <v/>
      </c>
      <c r="O567" s="1" t="str">
        <f>IF(OR($B567="",O$7=""),"",IF($B567="MEANS",INDEX('1-DATA'!$1:$1048576,$A566-1,COLUMN('1-DATA'!N565)),ROUND(INDEX('1-DATA'!$1:$1048576,IF(OR($B567="STD. DEVIATION",$C$1=1),$A567,$A567+1),COLUMN('1-DATA'!N565)),IF($B567="STD. DEVIATION",2,$F$1))))</f>
        <v/>
      </c>
      <c r="P567" s="1" t="str">
        <f>IF(OR($B567="",P$7=""),"",IF($B567="MEANS",INDEX('1-DATA'!$1:$1048576,$A566-1,COLUMN('1-DATA'!O565)),ROUND(INDEX('1-DATA'!$1:$1048576,IF(OR($B567="STD. DEVIATION",$C$1=1),$A567,$A567+1),COLUMN('1-DATA'!O565)),IF($B567="STD. DEVIATION",2,$F$1))))</f>
        <v/>
      </c>
      <c r="Q567" s="1" t="str">
        <f>IF(OR($B567="",Q$7=""),"",IF($B567="MEANS",INDEX('1-DATA'!$1:$1048576,$A566-1,COLUMN('1-DATA'!P565)),ROUND(INDEX('1-DATA'!$1:$1048576,IF(OR($B567="STD. DEVIATION",$C$1=1),$A567,$A567+1),COLUMN('1-DATA'!P565)),IF($B567="STD. DEVIATION",2,$F$1))))</f>
        <v/>
      </c>
      <c r="R567" s="1" t="str">
        <f>IF(OR($B567="",R$7=""),"",IF($B567="MEANS",INDEX('1-DATA'!$1:$1048576,$A566-1,COLUMN('1-DATA'!Q565)),ROUND(INDEX('1-DATA'!$1:$1048576,IF(OR($B567="STD. DEVIATION",$C$1=1),$A567,$A567+1),COLUMN('1-DATA'!Q565)),IF($B567="STD. DEVIATION",2,$F$1))))</f>
        <v/>
      </c>
      <c r="S567" s="1" t="str">
        <f>IF(OR($B567="",S$7=""),"",IF($B567="MEANS",INDEX('1-DATA'!$1:$1048576,$A566-1,COLUMN('1-DATA'!R565)),ROUND(INDEX('1-DATA'!$1:$1048576,IF(OR($B567="STD. DEVIATION",$C$1=1),$A567,$A567+1),COLUMN('1-DATA'!R565)),IF($B567="STD. DEVIATION",2,$F$1))))</f>
        <v/>
      </c>
      <c r="T567" s="1" t="str">
        <f>IF(OR($B567="",T$7=""),"",IF($B567="MEANS",INDEX('1-DATA'!$1:$1048576,$A566-1,COLUMN('1-DATA'!S565)),ROUND(INDEX('1-DATA'!$1:$1048576,IF(OR($B567="STD. DEVIATION",$C$1=1),$A567,$A567+1),COLUMN('1-DATA'!S565)),IF($B567="STD. DEVIATION",2,$F$1))))</f>
        <v/>
      </c>
      <c r="U567" s="1" t="str">
        <f>IF(OR($B567="",U$7=""),"",IF($B567="MEANS",INDEX('1-DATA'!$1:$1048576,$A566-1,COLUMN('1-DATA'!T565)),ROUND(INDEX('1-DATA'!$1:$1048576,IF(OR($B567="STD. DEVIATION",$C$1=1),$A567,$A567+1),COLUMN('1-DATA'!T565)),IF($B567="STD. DEVIATION",2,$F$1))))</f>
        <v/>
      </c>
      <c r="V567" s="1" t="str">
        <f>IF(OR($B567="",V$7=""),"",IF($B567="MEANS",INDEX('1-DATA'!$1:$1048576,$A566-1,COLUMN('1-DATA'!U565)),ROUND(INDEX('1-DATA'!$1:$1048576,IF(OR($B567="STD. DEVIATION",$C$1=1),$A567,$A567+1),COLUMN('1-DATA'!U565)),IF($B567="STD. DEVIATION",2,$F$1))))</f>
        <v/>
      </c>
      <c r="W567" s="1" t="str">
        <f>IF(OR($B567="",W$7=""),"",IF($B567="MEANS",INDEX('1-DATA'!$1:$1048576,$A566-1,COLUMN('1-DATA'!V565)),ROUND(INDEX('1-DATA'!$1:$1048576,IF(OR($B567="STD. DEVIATION",$C$1=1),$A567,$A567+1),COLUMN('1-DATA'!V565)),IF($B567="STD. DEVIATION",2,$F$1))))</f>
        <v/>
      </c>
      <c r="X567" s="1" t="str">
        <f>IF(OR($B567="",X$7=""),"",IF($B567="MEANS",INDEX('1-DATA'!$1:$1048576,$A566-1,COLUMN('1-DATA'!W565)),ROUND(INDEX('1-DATA'!$1:$1048576,IF(OR($B567="STD. DEVIATION",$C$1=1),$A567,$A567+1),COLUMN('1-DATA'!W565)),IF($B567="STD. DEVIATION",2,$F$1))))</f>
        <v/>
      </c>
      <c r="Y567" s="1" t="str">
        <f>IF(OR($B567="",Y$7=""),"",IF($B567="MEANS",INDEX('1-DATA'!$1:$1048576,$A566-1,COLUMN('1-DATA'!X565)),ROUND(INDEX('1-DATA'!$1:$1048576,IF(OR($B567="STD. DEVIATION",$C$1=1),$A567,$A567+1),COLUMN('1-DATA'!X565)),IF($B567="STD. DEVIATION",2,$F$1))))</f>
        <v/>
      </c>
      <c r="Z567" s="1" t="str">
        <f>IF(OR($B567="",Z$7=""),"",IF($B567="MEANS",INDEX('1-DATA'!$1:$1048576,$A566-1,COLUMN('1-DATA'!Y565)),ROUND(INDEX('1-DATA'!$1:$1048576,IF(OR($B567="STD. DEVIATION",$C$1=1),$A567,$A567+1),COLUMN('1-DATA'!Y565)),IF($B567="STD. DEVIATION",2,$F$1))))</f>
        <v/>
      </c>
      <c r="AA567" s="1" t="str">
        <f>IF(OR($B567="",AA$7=""),"",IF($B567="MEANS",INDEX('1-DATA'!$1:$1048576,$A566-1,COLUMN('1-DATA'!Z565)),ROUND(INDEX('1-DATA'!$1:$1048576,IF(OR($B567="STD. DEVIATION",$C$1=1),$A567,$A567+1),COLUMN('1-DATA'!Z565)),IF($B567="STD. DEVIATION",2,$F$1))))</f>
        <v/>
      </c>
      <c r="AB567" s="1" t="str">
        <f>IF(OR($B567="",AB$7=""),"",IF($B567="MEANS",INDEX('1-DATA'!$1:$1048576,$A566-1,COLUMN('1-DATA'!AA565)),ROUND(INDEX('1-DATA'!$1:$1048576,IF(OR($B567="STD. DEVIATION",$C$1=1),$A567,$A567+1),COLUMN('1-DATA'!AA565)),IF($B567="STD. DEVIATION",2,$F$1))))</f>
        <v/>
      </c>
      <c r="AC567" s="1" t="str">
        <f>IF(OR($B567="",AC$7=""),"",IF($B567="MEANS",INDEX('1-DATA'!$1:$1048576,$A566-1,COLUMN('1-DATA'!AB565)),ROUND(INDEX('1-DATA'!$1:$1048576,IF(OR($B567="STD. DEVIATION",$C$1=1),$A567,$A567+1),COLUMN('1-DATA'!AB565)),IF($B567="STD. DEVIATION",2,$F$1))))</f>
        <v/>
      </c>
      <c r="AD567" s="1" t="str">
        <f>IF(OR($B567="",AD$7=""),"",IF($B567="MEANS",INDEX('1-DATA'!$1:$1048576,$A566-1,COLUMN('1-DATA'!AC565)),ROUND(INDEX('1-DATA'!$1:$1048576,IF(OR($B567="STD. DEVIATION",$C$1=1),$A567,$A567+1),COLUMN('1-DATA'!AC565)),IF($B567="STD. DEVIATION",2,$F$1))))</f>
        <v/>
      </c>
      <c r="AE567" s="1" t="str">
        <f>IF(OR($B567="",AE$7=""),"",IF($B567="MEANS",INDEX('1-DATA'!$1:$1048576,$A566-1,COLUMN('1-DATA'!AD565)),ROUND(INDEX('1-DATA'!$1:$1048576,IF(OR($B567="STD. DEVIATION",$C$1=1),$A567,$A567+1),COLUMN('1-DATA'!AD565)),IF($B567="STD. DEVIATION",2,$F$1))))</f>
        <v/>
      </c>
      <c r="AF567" s="1" t="str">
        <f>IF(OR($B567="",AF$7=""),"",IF($B567="MEANS",INDEX('1-DATA'!$1:$1048576,$A566-1,COLUMN('1-DATA'!AE565)),ROUND(INDEX('1-DATA'!$1:$1048576,IF(OR($B567="STD. DEVIATION",$C$1=1),$A567,$A567+1),COLUMN('1-DATA'!AE565)),IF($B567="STD. DEVIATION",2,$F$1))))</f>
        <v/>
      </c>
      <c r="AG567" s="1" t="str">
        <f>IF(OR($B567="",AG$7=""),"",IF($B567="MEANS",INDEX('1-DATA'!$1:$1048576,$A566-1,COLUMN('1-DATA'!AF565)),ROUND(INDEX('1-DATA'!$1:$1048576,IF(OR($B567="STD. DEVIATION",$C$1=1),$A567,$A567+1),COLUMN('1-DATA'!AF565)),IF($B567="STD. DEVIATION",2,$F$1))))</f>
        <v/>
      </c>
      <c r="AH567" s="1" t="str">
        <f>IF(OR($B567="",AH$7=""),"",IF($B567="MEANS",INDEX('1-DATA'!$1:$1048576,$A566-1,COLUMN('1-DATA'!AG565)),ROUND(INDEX('1-DATA'!$1:$1048576,IF(OR($B567="STD. DEVIATION",$C$1=1),$A567,$A567+1),COLUMN('1-DATA'!AG565)),IF($B567="STD. DEVIATION",2,$F$1))))</f>
        <v/>
      </c>
      <c r="AI567" s="1" t="str">
        <f>IF(OR($B567="",AI$7=""),"",IF($B567="MEANS",INDEX('1-DATA'!$1:$1048576,$A566-1,COLUMN('1-DATA'!AH565)),ROUND(INDEX('1-DATA'!$1:$1048576,IF(OR($B567="STD. DEVIATION",$C$1=1),$A567,$A567+1),COLUMN('1-DATA'!AH565)),IF($B567="STD. DEVIATION",2,$F$1))))</f>
        <v/>
      </c>
      <c r="AJ567" s="1" t="str">
        <f>IF(OR($B567="",AJ$7=""),"",IF($B567="MEANS",INDEX('1-DATA'!$1:$1048576,$A566-1,COLUMN('1-DATA'!AI565)),ROUND(INDEX('1-DATA'!$1:$1048576,IF(OR($B567="STD. DEVIATION",$C$1=1),$A567,$A567+1),COLUMN('1-DATA'!AI565)),IF($B567="STD. DEVIATION",2,$F$1))))</f>
        <v/>
      </c>
      <c r="AK567" s="1" t="str">
        <f>IF(OR($B567="",AK$7=""),"",IF($B567="MEANS",INDEX('1-DATA'!$1:$1048576,$A566-1,COLUMN('1-DATA'!AJ565)),ROUND(INDEX('1-DATA'!$1:$1048576,IF(OR($B567="STD. DEVIATION",$C$1=1),$A567,$A567+1),COLUMN('1-DATA'!AJ565)),IF($B567="STD. DEVIATION",2,$F$1))))</f>
        <v/>
      </c>
      <c r="AL567" s="1" t="str">
        <f>IF(OR($B567="",AL$7=""),"",IF($B567="MEANS",INDEX('1-DATA'!$1:$1048576,$A566-1,COLUMN('1-DATA'!AK565)),ROUND(INDEX('1-DATA'!$1:$1048576,IF(OR($B567="STD. DEVIATION",$C$1=1),$A567,$A567+1),COLUMN('1-DATA'!AK565)),IF($B567="STD. DEVIATION",2,$F$1))))</f>
        <v/>
      </c>
      <c r="AM567" s="1" t="str">
        <f>IF(OR($B567="",AM$7=""),"",IF($B567="MEANS",INDEX('1-DATA'!$1:$1048576,$A566-1,COLUMN('1-DATA'!AL565)),ROUND(INDEX('1-DATA'!$1:$1048576,IF(OR($B567="STD. DEVIATION",$C$1=1),$A567,$A567+1),COLUMN('1-DATA'!AL565)),IF($B567="STD. DEVIATION",2,$F$1))))</f>
        <v/>
      </c>
      <c r="AN567" s="1" t="str">
        <f>IF(OR($B567="",AN$7=""),"",IF($B567="MEANS",INDEX('1-DATA'!$1:$1048576,$A566-1,COLUMN('1-DATA'!AM565)),ROUND(INDEX('1-DATA'!$1:$1048576,IF(OR($B567="STD. DEVIATION",$C$1=1),$A567,$A567+1),COLUMN('1-DATA'!AM565)),IF($B567="STD. DEVIATION",2,$F$1))))</f>
        <v/>
      </c>
      <c r="AO567" s="1" t="str">
        <f>IF(OR($B567="",AO$7=""),"",IF($B567="MEANS",INDEX('1-DATA'!$1:$1048576,$A566-1,COLUMN('1-DATA'!AN565)),ROUND(INDEX('1-DATA'!$1:$1048576,IF(OR($B567="STD. DEVIATION",$C$1=1),$A567,$A567+1),COLUMN('1-DATA'!AN565)),IF($B567="STD. DEVIATION",2,$F$1))))</f>
        <v/>
      </c>
      <c r="AP567" s="1" t="str">
        <f>IF(OR($B567="",AP$7=""),"",IF($B567="MEANS",INDEX('1-DATA'!$1:$1048576,$A566-1,COLUMN('1-DATA'!AO565)),ROUND(INDEX('1-DATA'!$1:$1048576,IF(OR($B567="STD. DEVIATION",$C$1=1),$A567,$A567+1),COLUMN('1-DATA'!AO565)),IF($B567="STD. DEVIATION",2,$F$1))))</f>
        <v/>
      </c>
      <c r="AQ567" s="1" t="str">
        <f>IF(OR($B567="",AQ$7=""),"",IF($B567="MEANS",INDEX('1-DATA'!$1:$1048576,$A566-1,COLUMN('1-DATA'!AP565)),ROUND(INDEX('1-DATA'!$1:$1048576,IF(OR($B567="STD. DEVIATION",$C$1=1),$A567,$A567+1),COLUMN('1-DATA'!AP565)),IF($B567="STD. DEVIATION",2,$F$1))))</f>
        <v/>
      </c>
      <c r="AR567" s="1" t="str">
        <f>IF(OR($B567="",AR$7=""),"",IF($B567="MEANS",INDEX('1-DATA'!$1:$1048576,$A566-1,COLUMN('1-DATA'!AQ565)),ROUND(INDEX('1-DATA'!$1:$1048576,IF(OR($B567="STD. DEVIATION",$C$1=1),$A567,$A567+1),COLUMN('1-DATA'!AQ565)),IF($B567="STD. DEVIATION",2,$F$1))))</f>
        <v/>
      </c>
      <c r="AS567" s="1" t="str">
        <f>IF(OR($B567="",AS$7=""),"",IF($B567="MEANS",INDEX('1-DATA'!$1:$1048576,$A566-1,COLUMN('1-DATA'!AR565)),ROUND(INDEX('1-DATA'!$1:$1048576,IF(OR($B567="STD. DEVIATION",$C$1=1),$A567,$A567+1),COLUMN('1-DATA'!AR565)),IF($B567="STD. DEVIATION",2,$F$1))))</f>
        <v/>
      </c>
      <c r="AT567" s="1" t="str">
        <f>IF(OR($B567="",AT$7=""),"",IF($B567="MEANS",INDEX('1-DATA'!$1:$1048576,$A566-1,COLUMN('1-DATA'!AS565)),ROUND(INDEX('1-DATA'!$1:$1048576,IF(OR($B567="STD. DEVIATION",$C$1=1),$A567,$A567+1),COLUMN('1-DATA'!AS565)),IF($B567="STD. DEVIATION",2,$F$1))))</f>
        <v/>
      </c>
      <c r="AU567" s="1" t="str">
        <f>IF(OR($B567="",AU$7=""),"",IF($B567="MEANS",INDEX('1-DATA'!$1:$1048576,$A566-1,COLUMN('1-DATA'!AT565)),ROUND(INDEX('1-DATA'!$1:$1048576,IF(OR($B567="STD. DEVIATION",$C$1=1),$A567,$A567+1),COLUMN('1-DATA'!AT565)),IF($B567="STD. DEVIATION",2,$F$1))))</f>
        <v/>
      </c>
      <c r="AV567" s="1" t="str">
        <f>IF(OR($B567="",AV$7=""),"",IF($B567="MEANS",INDEX('1-DATA'!$1:$1048576,$A566-1,COLUMN('1-DATA'!AU565)),ROUND(INDEX('1-DATA'!$1:$1048576,IF(OR($B567="STD. DEVIATION",$C$1=1),$A567,$A567+1),COLUMN('1-DATA'!AU565)),IF($B567="STD. DEVIATION",2,$F$1))))</f>
        <v/>
      </c>
      <c r="AW567" s="1" t="str">
        <f>IF(OR($B567="",AW$7=""),"",IF($B567="MEANS",INDEX('1-DATA'!$1:$1048576,$A566-1,COLUMN('1-DATA'!AV565)),ROUND(INDEX('1-DATA'!$1:$1048576,IF(OR($B567="STD. DEVIATION",$C$1=1),$A567,$A567+1),COLUMN('1-DATA'!AV565)),IF($B567="STD. DEVIATION",2,$F$1))))</f>
        <v/>
      </c>
      <c r="AX567" s="1" t="str">
        <f>IF(OR($B567="",AX$7=""),"",IF($B567="MEANS",INDEX('1-DATA'!$1:$1048576,$A566-1,COLUMN('1-DATA'!AW565)),ROUND(INDEX('1-DATA'!$1:$1048576,IF(OR($B567="STD. DEVIATION",$C$1=1),$A567,$A567+1),COLUMN('1-DATA'!AW565)),IF($B567="STD. DEVIATION",2,$F$1))))</f>
        <v/>
      </c>
      <c r="AY567" s="1" t="str">
        <f>IF(OR($B567="",AY$7=""),"",IF($B567="MEANS",INDEX('1-DATA'!$1:$1048576,$A566-1,COLUMN('1-DATA'!AX565)),ROUND(INDEX('1-DATA'!$1:$1048576,IF(OR($B567="STD. DEVIATION",$C$1=1),$A567,$A567+1),COLUMN('1-DATA'!AX565)),IF($B567="STD. DEVIATION",2,$F$1))))</f>
        <v/>
      </c>
      <c r="AZ567" s="1" t="str">
        <f>IF(OR($B567="",AZ$7=""),"",IF($B567="MEANS",INDEX('1-DATA'!$1:$1048576,$A566-1,COLUMN('1-DATA'!AY565)),ROUND(INDEX('1-DATA'!$1:$1048576,IF(OR($B567="STD. DEVIATION",$C$1=1),$A567,$A567+1),COLUMN('1-DATA'!AY565)),IF($B567="STD. DEVIATION",2,$F$1))))</f>
        <v/>
      </c>
    </row>
    <row r="568" spans="1:52" x14ac:dyDescent="0.25">
      <c r="A568" s="11">
        <f t="shared" si="9"/>
        <v>1690</v>
      </c>
      <c r="B568" s="1" t="str">
        <f>IF(B567="STD. DEVIATION",INDEX('1-DATA'!$1:$1048576,$A567-1,1),IF(INDEX('1-DATA'!$1:$1048576,$A568,1)&lt;&gt;"",INDEX('1-DATA'!$1:$1048576,$A568,1),""))</f>
        <v/>
      </c>
      <c r="C568" s="1" t="str">
        <f>IF(OR($B568="",C$7=""),"",IF($B568="MEANS",INDEX('1-DATA'!$1:$1048576,$A567-1,COLUMN('1-DATA'!B566)),ROUND(INDEX('1-DATA'!$1:$1048576,IF(OR($B568="STD. DEVIATION",$C$1=1),$A568,$A568+1),COLUMN('1-DATA'!B566)),IF($B568="STD. DEVIATION",2,$F$1))))</f>
        <v/>
      </c>
      <c r="D568" s="1" t="str">
        <f>IF(OR($B568="",D$7=""),"",IF($B568="MEANS",INDEX('1-DATA'!$1:$1048576,$A567-1,COLUMN('1-DATA'!C566)),ROUND(INDEX('1-DATA'!$1:$1048576,IF(OR($B568="STD. DEVIATION",$C$1=1),$A568,$A568+1),COLUMN('1-DATA'!C566)),IF($B568="STD. DEVIATION",2,$F$1))))</f>
        <v/>
      </c>
      <c r="E568" s="1" t="str">
        <f>IF(OR($B568="",E$7=""),"",IF($B568="MEANS",INDEX('1-DATA'!$1:$1048576,$A567-1,COLUMN('1-DATA'!D566)),ROUND(INDEX('1-DATA'!$1:$1048576,IF(OR($B568="STD. DEVIATION",$C$1=1),$A568,$A568+1),COLUMN('1-DATA'!D566)),IF($B568="STD. DEVIATION",2,$F$1))))</f>
        <v/>
      </c>
      <c r="F568" s="1" t="str">
        <f>IF(OR($B568="",F$7=""),"",IF($B568="MEANS",INDEX('1-DATA'!$1:$1048576,$A567-1,COLUMN('1-DATA'!E566)),ROUND(INDEX('1-DATA'!$1:$1048576,IF(OR($B568="STD. DEVIATION",$C$1=1),$A568,$A568+1),COLUMN('1-DATA'!E566)),IF($B568="STD. DEVIATION",2,$F$1))))</f>
        <v/>
      </c>
      <c r="G568" s="1" t="str">
        <f>IF(OR($B568="",G$7=""),"",IF($B568="MEANS",INDEX('1-DATA'!$1:$1048576,$A567-1,COLUMN('1-DATA'!F566)),ROUND(INDEX('1-DATA'!$1:$1048576,IF(OR($B568="STD. DEVIATION",$C$1=1),$A568,$A568+1),COLUMN('1-DATA'!F566)),IF($B568="STD. DEVIATION",2,$F$1))))</f>
        <v/>
      </c>
      <c r="H568" s="1" t="str">
        <f>IF(OR($B568="",H$7=""),"",IF($B568="MEANS",INDEX('1-DATA'!$1:$1048576,$A567-1,COLUMN('1-DATA'!G566)),ROUND(INDEX('1-DATA'!$1:$1048576,IF(OR($B568="STD. DEVIATION",$C$1=1),$A568,$A568+1),COLUMN('1-DATA'!G566)),IF($B568="STD. DEVIATION",2,$F$1))))</f>
        <v/>
      </c>
      <c r="I568" s="1" t="str">
        <f>IF(OR($B568="",I$7=""),"",IF($B568="MEANS",INDEX('1-DATA'!$1:$1048576,$A567-1,COLUMN('1-DATA'!H566)),ROUND(INDEX('1-DATA'!$1:$1048576,IF(OR($B568="STD. DEVIATION",$C$1=1),$A568,$A568+1),COLUMN('1-DATA'!H566)),IF($B568="STD. DEVIATION",2,$F$1))))</f>
        <v/>
      </c>
      <c r="J568" s="1" t="str">
        <f>IF(OR($B568="",J$7=""),"",IF($B568="MEANS",INDEX('1-DATA'!$1:$1048576,$A567-1,COLUMN('1-DATA'!I566)),ROUND(INDEX('1-DATA'!$1:$1048576,IF(OR($B568="STD. DEVIATION",$C$1=1),$A568,$A568+1),COLUMN('1-DATA'!I566)),IF($B568="STD. DEVIATION",2,$F$1))))</f>
        <v/>
      </c>
      <c r="K568" s="1" t="str">
        <f>IF(OR($B568="",K$7=""),"",IF($B568="MEANS",INDEX('1-DATA'!$1:$1048576,$A567-1,COLUMN('1-DATA'!J566)),ROUND(INDEX('1-DATA'!$1:$1048576,IF(OR($B568="STD. DEVIATION",$C$1=1),$A568,$A568+1),COLUMN('1-DATA'!J566)),IF($B568="STD. DEVIATION",2,$F$1))))</f>
        <v/>
      </c>
      <c r="L568" s="1" t="str">
        <f>IF(OR($B568="",L$7=""),"",IF($B568="MEANS",INDEX('1-DATA'!$1:$1048576,$A567-1,COLUMN('1-DATA'!K566)),ROUND(INDEX('1-DATA'!$1:$1048576,IF(OR($B568="STD. DEVIATION",$C$1=1),$A568,$A568+1),COLUMN('1-DATA'!K566)),IF($B568="STD. DEVIATION",2,$F$1))))</f>
        <v/>
      </c>
      <c r="M568" s="1" t="str">
        <f>IF(OR($B568="",M$7=""),"",IF($B568="MEANS",INDEX('1-DATA'!$1:$1048576,$A567-1,COLUMN('1-DATA'!L566)),ROUND(INDEX('1-DATA'!$1:$1048576,IF(OR($B568="STD. DEVIATION",$C$1=1),$A568,$A568+1),COLUMN('1-DATA'!L566)),IF($B568="STD. DEVIATION",2,$F$1))))</f>
        <v/>
      </c>
      <c r="N568" s="1" t="str">
        <f>IF(OR($B568="",N$7=""),"",IF($B568="MEANS",INDEX('1-DATA'!$1:$1048576,$A567-1,COLUMN('1-DATA'!M566)),ROUND(INDEX('1-DATA'!$1:$1048576,IF(OR($B568="STD. DEVIATION",$C$1=1),$A568,$A568+1),COLUMN('1-DATA'!M566)),IF($B568="STD. DEVIATION",2,$F$1))))</f>
        <v/>
      </c>
      <c r="O568" s="1" t="str">
        <f>IF(OR($B568="",O$7=""),"",IF($B568="MEANS",INDEX('1-DATA'!$1:$1048576,$A567-1,COLUMN('1-DATA'!N566)),ROUND(INDEX('1-DATA'!$1:$1048576,IF(OR($B568="STD. DEVIATION",$C$1=1),$A568,$A568+1),COLUMN('1-DATA'!N566)),IF($B568="STD. DEVIATION",2,$F$1))))</f>
        <v/>
      </c>
      <c r="P568" s="1" t="str">
        <f>IF(OR($B568="",P$7=""),"",IF($B568="MEANS",INDEX('1-DATA'!$1:$1048576,$A567-1,COLUMN('1-DATA'!O566)),ROUND(INDEX('1-DATA'!$1:$1048576,IF(OR($B568="STD. DEVIATION",$C$1=1),$A568,$A568+1),COLUMN('1-DATA'!O566)),IF($B568="STD. DEVIATION",2,$F$1))))</f>
        <v/>
      </c>
      <c r="Q568" s="1" t="str">
        <f>IF(OR($B568="",Q$7=""),"",IF($B568="MEANS",INDEX('1-DATA'!$1:$1048576,$A567-1,COLUMN('1-DATA'!P566)),ROUND(INDEX('1-DATA'!$1:$1048576,IF(OR($B568="STD. DEVIATION",$C$1=1),$A568,$A568+1),COLUMN('1-DATA'!P566)),IF($B568="STD. DEVIATION",2,$F$1))))</f>
        <v/>
      </c>
      <c r="R568" s="1" t="str">
        <f>IF(OR($B568="",R$7=""),"",IF($B568="MEANS",INDEX('1-DATA'!$1:$1048576,$A567-1,COLUMN('1-DATA'!Q566)),ROUND(INDEX('1-DATA'!$1:$1048576,IF(OR($B568="STD. DEVIATION",$C$1=1),$A568,$A568+1),COLUMN('1-DATA'!Q566)),IF($B568="STD. DEVIATION",2,$F$1))))</f>
        <v/>
      </c>
      <c r="S568" s="1" t="str">
        <f>IF(OR($B568="",S$7=""),"",IF($B568="MEANS",INDEX('1-DATA'!$1:$1048576,$A567-1,COLUMN('1-DATA'!R566)),ROUND(INDEX('1-DATA'!$1:$1048576,IF(OR($B568="STD. DEVIATION",$C$1=1),$A568,$A568+1),COLUMN('1-DATA'!R566)),IF($B568="STD. DEVIATION",2,$F$1))))</f>
        <v/>
      </c>
      <c r="T568" s="1" t="str">
        <f>IF(OR($B568="",T$7=""),"",IF($B568="MEANS",INDEX('1-DATA'!$1:$1048576,$A567-1,COLUMN('1-DATA'!S566)),ROUND(INDEX('1-DATA'!$1:$1048576,IF(OR($B568="STD. DEVIATION",$C$1=1),$A568,$A568+1),COLUMN('1-DATA'!S566)),IF($B568="STD. DEVIATION",2,$F$1))))</f>
        <v/>
      </c>
      <c r="U568" s="1" t="str">
        <f>IF(OR($B568="",U$7=""),"",IF($B568="MEANS",INDEX('1-DATA'!$1:$1048576,$A567-1,COLUMN('1-DATA'!T566)),ROUND(INDEX('1-DATA'!$1:$1048576,IF(OR($B568="STD. DEVIATION",$C$1=1),$A568,$A568+1),COLUMN('1-DATA'!T566)),IF($B568="STD. DEVIATION",2,$F$1))))</f>
        <v/>
      </c>
      <c r="V568" s="1" t="str">
        <f>IF(OR($B568="",V$7=""),"",IF($B568="MEANS",INDEX('1-DATA'!$1:$1048576,$A567-1,COLUMN('1-DATA'!U566)),ROUND(INDEX('1-DATA'!$1:$1048576,IF(OR($B568="STD. DEVIATION",$C$1=1),$A568,$A568+1),COLUMN('1-DATA'!U566)),IF($B568="STD. DEVIATION",2,$F$1))))</f>
        <v/>
      </c>
      <c r="W568" s="1" t="str">
        <f>IF(OR($B568="",W$7=""),"",IF($B568="MEANS",INDEX('1-DATA'!$1:$1048576,$A567-1,COLUMN('1-DATA'!V566)),ROUND(INDEX('1-DATA'!$1:$1048576,IF(OR($B568="STD. DEVIATION",$C$1=1),$A568,$A568+1),COLUMN('1-DATA'!V566)),IF($B568="STD. DEVIATION",2,$F$1))))</f>
        <v/>
      </c>
      <c r="X568" s="1" t="str">
        <f>IF(OR($B568="",X$7=""),"",IF($B568="MEANS",INDEX('1-DATA'!$1:$1048576,$A567-1,COLUMN('1-DATA'!W566)),ROUND(INDEX('1-DATA'!$1:$1048576,IF(OR($B568="STD. DEVIATION",$C$1=1),$A568,$A568+1),COLUMN('1-DATA'!W566)),IF($B568="STD. DEVIATION",2,$F$1))))</f>
        <v/>
      </c>
      <c r="Y568" s="1" t="str">
        <f>IF(OR($B568="",Y$7=""),"",IF($B568="MEANS",INDEX('1-DATA'!$1:$1048576,$A567-1,COLUMN('1-DATA'!X566)),ROUND(INDEX('1-DATA'!$1:$1048576,IF(OR($B568="STD. DEVIATION",$C$1=1),$A568,$A568+1),COLUMN('1-DATA'!X566)),IF($B568="STD. DEVIATION",2,$F$1))))</f>
        <v/>
      </c>
      <c r="Z568" s="1" t="str">
        <f>IF(OR($B568="",Z$7=""),"",IF($B568="MEANS",INDEX('1-DATA'!$1:$1048576,$A567-1,COLUMN('1-DATA'!Y566)),ROUND(INDEX('1-DATA'!$1:$1048576,IF(OR($B568="STD. DEVIATION",$C$1=1),$A568,$A568+1),COLUMN('1-DATA'!Y566)),IF($B568="STD. DEVIATION",2,$F$1))))</f>
        <v/>
      </c>
      <c r="AA568" s="1" t="str">
        <f>IF(OR($B568="",AA$7=""),"",IF($B568="MEANS",INDEX('1-DATA'!$1:$1048576,$A567-1,COLUMN('1-DATA'!Z566)),ROUND(INDEX('1-DATA'!$1:$1048576,IF(OR($B568="STD. DEVIATION",$C$1=1),$A568,$A568+1),COLUMN('1-DATA'!Z566)),IF($B568="STD. DEVIATION",2,$F$1))))</f>
        <v/>
      </c>
      <c r="AB568" s="1" t="str">
        <f>IF(OR($B568="",AB$7=""),"",IF($B568="MEANS",INDEX('1-DATA'!$1:$1048576,$A567-1,COLUMN('1-DATA'!AA566)),ROUND(INDEX('1-DATA'!$1:$1048576,IF(OR($B568="STD. DEVIATION",$C$1=1),$A568,$A568+1),COLUMN('1-DATA'!AA566)),IF($B568="STD. DEVIATION",2,$F$1))))</f>
        <v/>
      </c>
      <c r="AC568" s="1" t="str">
        <f>IF(OR($B568="",AC$7=""),"",IF($B568="MEANS",INDEX('1-DATA'!$1:$1048576,$A567-1,COLUMN('1-DATA'!AB566)),ROUND(INDEX('1-DATA'!$1:$1048576,IF(OR($B568="STD. DEVIATION",$C$1=1),$A568,$A568+1),COLUMN('1-DATA'!AB566)),IF($B568="STD. DEVIATION",2,$F$1))))</f>
        <v/>
      </c>
      <c r="AD568" s="1" t="str">
        <f>IF(OR($B568="",AD$7=""),"",IF($B568="MEANS",INDEX('1-DATA'!$1:$1048576,$A567-1,COLUMN('1-DATA'!AC566)),ROUND(INDEX('1-DATA'!$1:$1048576,IF(OR($B568="STD. DEVIATION",$C$1=1),$A568,$A568+1),COLUMN('1-DATA'!AC566)),IF($B568="STD. DEVIATION",2,$F$1))))</f>
        <v/>
      </c>
      <c r="AE568" s="1" t="str">
        <f>IF(OR($B568="",AE$7=""),"",IF($B568="MEANS",INDEX('1-DATA'!$1:$1048576,$A567-1,COLUMN('1-DATA'!AD566)),ROUND(INDEX('1-DATA'!$1:$1048576,IF(OR($B568="STD. DEVIATION",$C$1=1),$A568,$A568+1),COLUMN('1-DATA'!AD566)),IF($B568="STD. DEVIATION",2,$F$1))))</f>
        <v/>
      </c>
      <c r="AF568" s="1" t="str">
        <f>IF(OR($B568="",AF$7=""),"",IF($B568="MEANS",INDEX('1-DATA'!$1:$1048576,$A567-1,COLUMN('1-DATA'!AE566)),ROUND(INDEX('1-DATA'!$1:$1048576,IF(OR($B568="STD. DEVIATION",$C$1=1),$A568,$A568+1),COLUMN('1-DATA'!AE566)),IF($B568="STD. DEVIATION",2,$F$1))))</f>
        <v/>
      </c>
      <c r="AG568" s="1" t="str">
        <f>IF(OR($B568="",AG$7=""),"",IF($B568="MEANS",INDEX('1-DATA'!$1:$1048576,$A567-1,COLUMN('1-DATA'!AF566)),ROUND(INDEX('1-DATA'!$1:$1048576,IF(OR($B568="STD. DEVIATION",$C$1=1),$A568,$A568+1),COLUMN('1-DATA'!AF566)),IF($B568="STD. DEVIATION",2,$F$1))))</f>
        <v/>
      </c>
      <c r="AH568" s="1" t="str">
        <f>IF(OR($B568="",AH$7=""),"",IF($B568="MEANS",INDEX('1-DATA'!$1:$1048576,$A567-1,COLUMN('1-DATA'!AG566)),ROUND(INDEX('1-DATA'!$1:$1048576,IF(OR($B568="STD. DEVIATION",$C$1=1),$A568,$A568+1),COLUMN('1-DATA'!AG566)),IF($B568="STD. DEVIATION",2,$F$1))))</f>
        <v/>
      </c>
      <c r="AI568" s="1" t="str">
        <f>IF(OR($B568="",AI$7=""),"",IF($B568="MEANS",INDEX('1-DATA'!$1:$1048576,$A567-1,COLUMN('1-DATA'!AH566)),ROUND(INDEX('1-DATA'!$1:$1048576,IF(OR($B568="STD. DEVIATION",$C$1=1),$A568,$A568+1),COLUMN('1-DATA'!AH566)),IF($B568="STD. DEVIATION",2,$F$1))))</f>
        <v/>
      </c>
      <c r="AJ568" s="1" t="str">
        <f>IF(OR($B568="",AJ$7=""),"",IF($B568="MEANS",INDEX('1-DATA'!$1:$1048576,$A567-1,COLUMN('1-DATA'!AI566)),ROUND(INDEX('1-DATA'!$1:$1048576,IF(OR($B568="STD. DEVIATION",$C$1=1),$A568,$A568+1),COLUMN('1-DATA'!AI566)),IF($B568="STD. DEVIATION",2,$F$1))))</f>
        <v/>
      </c>
      <c r="AK568" s="1" t="str">
        <f>IF(OR($B568="",AK$7=""),"",IF($B568="MEANS",INDEX('1-DATA'!$1:$1048576,$A567-1,COLUMN('1-DATA'!AJ566)),ROUND(INDEX('1-DATA'!$1:$1048576,IF(OR($B568="STD. DEVIATION",$C$1=1),$A568,$A568+1),COLUMN('1-DATA'!AJ566)),IF($B568="STD. DEVIATION",2,$F$1))))</f>
        <v/>
      </c>
      <c r="AL568" s="1" t="str">
        <f>IF(OR($B568="",AL$7=""),"",IF($B568="MEANS",INDEX('1-DATA'!$1:$1048576,$A567-1,COLUMN('1-DATA'!AK566)),ROUND(INDEX('1-DATA'!$1:$1048576,IF(OR($B568="STD. DEVIATION",$C$1=1),$A568,$A568+1),COLUMN('1-DATA'!AK566)),IF($B568="STD. DEVIATION",2,$F$1))))</f>
        <v/>
      </c>
      <c r="AM568" s="1" t="str">
        <f>IF(OR($B568="",AM$7=""),"",IF($B568="MEANS",INDEX('1-DATA'!$1:$1048576,$A567-1,COLUMN('1-DATA'!AL566)),ROUND(INDEX('1-DATA'!$1:$1048576,IF(OR($B568="STD. DEVIATION",$C$1=1),$A568,$A568+1),COLUMN('1-DATA'!AL566)),IF($B568="STD. DEVIATION",2,$F$1))))</f>
        <v/>
      </c>
      <c r="AN568" s="1" t="str">
        <f>IF(OR($B568="",AN$7=""),"",IF($B568="MEANS",INDEX('1-DATA'!$1:$1048576,$A567-1,COLUMN('1-DATA'!AM566)),ROUND(INDEX('1-DATA'!$1:$1048576,IF(OR($B568="STD. DEVIATION",$C$1=1),$A568,$A568+1),COLUMN('1-DATA'!AM566)),IF($B568="STD. DEVIATION",2,$F$1))))</f>
        <v/>
      </c>
      <c r="AO568" s="1" t="str">
        <f>IF(OR($B568="",AO$7=""),"",IF($B568="MEANS",INDEX('1-DATA'!$1:$1048576,$A567-1,COLUMN('1-DATA'!AN566)),ROUND(INDEX('1-DATA'!$1:$1048576,IF(OR($B568="STD. DEVIATION",$C$1=1),$A568,$A568+1),COLUMN('1-DATA'!AN566)),IF($B568="STD. DEVIATION",2,$F$1))))</f>
        <v/>
      </c>
      <c r="AP568" s="1" t="str">
        <f>IF(OR($B568="",AP$7=""),"",IF($B568="MEANS",INDEX('1-DATA'!$1:$1048576,$A567-1,COLUMN('1-DATA'!AO566)),ROUND(INDEX('1-DATA'!$1:$1048576,IF(OR($B568="STD. DEVIATION",$C$1=1),$A568,$A568+1),COLUMN('1-DATA'!AO566)),IF($B568="STD. DEVIATION",2,$F$1))))</f>
        <v/>
      </c>
      <c r="AQ568" s="1" t="str">
        <f>IF(OR($B568="",AQ$7=""),"",IF($B568="MEANS",INDEX('1-DATA'!$1:$1048576,$A567-1,COLUMN('1-DATA'!AP566)),ROUND(INDEX('1-DATA'!$1:$1048576,IF(OR($B568="STD. DEVIATION",$C$1=1),$A568,$A568+1),COLUMN('1-DATA'!AP566)),IF($B568="STD. DEVIATION",2,$F$1))))</f>
        <v/>
      </c>
      <c r="AR568" s="1" t="str">
        <f>IF(OR($B568="",AR$7=""),"",IF($B568="MEANS",INDEX('1-DATA'!$1:$1048576,$A567-1,COLUMN('1-DATA'!AQ566)),ROUND(INDEX('1-DATA'!$1:$1048576,IF(OR($B568="STD. DEVIATION",$C$1=1),$A568,$A568+1),COLUMN('1-DATA'!AQ566)),IF($B568="STD. DEVIATION",2,$F$1))))</f>
        <v/>
      </c>
      <c r="AS568" s="1" t="str">
        <f>IF(OR($B568="",AS$7=""),"",IF($B568="MEANS",INDEX('1-DATA'!$1:$1048576,$A567-1,COLUMN('1-DATA'!AR566)),ROUND(INDEX('1-DATA'!$1:$1048576,IF(OR($B568="STD. DEVIATION",$C$1=1),$A568,$A568+1),COLUMN('1-DATA'!AR566)),IF($B568="STD. DEVIATION",2,$F$1))))</f>
        <v/>
      </c>
      <c r="AT568" s="1" t="str">
        <f>IF(OR($B568="",AT$7=""),"",IF($B568="MEANS",INDEX('1-DATA'!$1:$1048576,$A567-1,COLUMN('1-DATA'!AS566)),ROUND(INDEX('1-DATA'!$1:$1048576,IF(OR($B568="STD. DEVIATION",$C$1=1),$A568,$A568+1),COLUMN('1-DATA'!AS566)),IF($B568="STD. DEVIATION",2,$F$1))))</f>
        <v/>
      </c>
      <c r="AU568" s="1" t="str">
        <f>IF(OR($B568="",AU$7=""),"",IF($B568="MEANS",INDEX('1-DATA'!$1:$1048576,$A567-1,COLUMN('1-DATA'!AT566)),ROUND(INDEX('1-DATA'!$1:$1048576,IF(OR($B568="STD. DEVIATION",$C$1=1),$A568,$A568+1),COLUMN('1-DATA'!AT566)),IF($B568="STD. DEVIATION",2,$F$1))))</f>
        <v/>
      </c>
      <c r="AV568" s="1" t="str">
        <f>IF(OR($B568="",AV$7=""),"",IF($B568="MEANS",INDEX('1-DATA'!$1:$1048576,$A567-1,COLUMN('1-DATA'!AU566)),ROUND(INDEX('1-DATA'!$1:$1048576,IF(OR($B568="STD. DEVIATION",$C$1=1),$A568,$A568+1),COLUMN('1-DATA'!AU566)),IF($B568="STD. DEVIATION",2,$F$1))))</f>
        <v/>
      </c>
      <c r="AW568" s="1" t="str">
        <f>IF(OR($B568="",AW$7=""),"",IF($B568="MEANS",INDEX('1-DATA'!$1:$1048576,$A567-1,COLUMN('1-DATA'!AV566)),ROUND(INDEX('1-DATA'!$1:$1048576,IF(OR($B568="STD. DEVIATION",$C$1=1),$A568,$A568+1),COLUMN('1-DATA'!AV566)),IF($B568="STD. DEVIATION",2,$F$1))))</f>
        <v/>
      </c>
      <c r="AX568" s="1" t="str">
        <f>IF(OR($B568="",AX$7=""),"",IF($B568="MEANS",INDEX('1-DATA'!$1:$1048576,$A567-1,COLUMN('1-DATA'!AW566)),ROUND(INDEX('1-DATA'!$1:$1048576,IF(OR($B568="STD. DEVIATION",$C$1=1),$A568,$A568+1),COLUMN('1-DATA'!AW566)),IF($B568="STD. DEVIATION",2,$F$1))))</f>
        <v/>
      </c>
      <c r="AY568" s="1" t="str">
        <f>IF(OR($B568="",AY$7=""),"",IF($B568="MEANS",INDEX('1-DATA'!$1:$1048576,$A567-1,COLUMN('1-DATA'!AX566)),ROUND(INDEX('1-DATA'!$1:$1048576,IF(OR($B568="STD. DEVIATION",$C$1=1),$A568,$A568+1),COLUMN('1-DATA'!AX566)),IF($B568="STD. DEVIATION",2,$F$1))))</f>
        <v/>
      </c>
      <c r="AZ568" s="1" t="str">
        <f>IF(OR($B568="",AZ$7=""),"",IF($B568="MEANS",INDEX('1-DATA'!$1:$1048576,$A567-1,COLUMN('1-DATA'!AY566)),ROUND(INDEX('1-DATA'!$1:$1048576,IF(OR($B568="STD. DEVIATION",$C$1=1),$A568,$A568+1),COLUMN('1-DATA'!AY566)),IF($B568="STD. DEVIATION",2,$F$1))))</f>
        <v/>
      </c>
    </row>
    <row r="569" spans="1:52" x14ac:dyDescent="0.25">
      <c r="A569" s="11">
        <f t="shared" si="9"/>
        <v>1693</v>
      </c>
      <c r="B569" s="1" t="str">
        <f>IF(B568="STD. DEVIATION",INDEX('1-DATA'!$1:$1048576,$A568-1,1),IF(INDEX('1-DATA'!$1:$1048576,$A569,1)&lt;&gt;"",INDEX('1-DATA'!$1:$1048576,$A569,1),""))</f>
        <v/>
      </c>
      <c r="C569" s="1" t="str">
        <f>IF(OR($B569="",C$7=""),"",IF($B569="MEANS",INDEX('1-DATA'!$1:$1048576,$A568-1,COLUMN('1-DATA'!B567)),ROUND(INDEX('1-DATA'!$1:$1048576,IF(OR($B569="STD. DEVIATION",$C$1=1),$A569,$A569+1),COLUMN('1-DATA'!B567)),IF($B569="STD. DEVIATION",2,$F$1))))</f>
        <v/>
      </c>
      <c r="D569" s="1" t="str">
        <f>IF(OR($B569="",D$7=""),"",IF($B569="MEANS",INDEX('1-DATA'!$1:$1048576,$A568-1,COLUMN('1-DATA'!C567)),ROUND(INDEX('1-DATA'!$1:$1048576,IF(OR($B569="STD. DEVIATION",$C$1=1),$A569,$A569+1),COLUMN('1-DATA'!C567)),IF($B569="STD. DEVIATION",2,$F$1))))</f>
        <v/>
      </c>
      <c r="E569" s="1" t="str">
        <f>IF(OR($B569="",E$7=""),"",IF($B569="MEANS",INDEX('1-DATA'!$1:$1048576,$A568-1,COLUMN('1-DATA'!D567)),ROUND(INDEX('1-DATA'!$1:$1048576,IF(OR($B569="STD. DEVIATION",$C$1=1),$A569,$A569+1),COLUMN('1-DATA'!D567)),IF($B569="STD. DEVIATION",2,$F$1))))</f>
        <v/>
      </c>
      <c r="F569" s="1" t="str">
        <f>IF(OR($B569="",F$7=""),"",IF($B569="MEANS",INDEX('1-DATA'!$1:$1048576,$A568-1,COLUMN('1-DATA'!E567)),ROUND(INDEX('1-DATA'!$1:$1048576,IF(OR($B569="STD. DEVIATION",$C$1=1),$A569,$A569+1),COLUMN('1-DATA'!E567)),IF($B569="STD. DEVIATION",2,$F$1))))</f>
        <v/>
      </c>
      <c r="G569" s="1" t="str">
        <f>IF(OR($B569="",G$7=""),"",IF($B569="MEANS",INDEX('1-DATA'!$1:$1048576,$A568-1,COLUMN('1-DATA'!F567)),ROUND(INDEX('1-DATA'!$1:$1048576,IF(OR($B569="STD. DEVIATION",$C$1=1),$A569,$A569+1),COLUMN('1-DATA'!F567)),IF($B569="STD. DEVIATION",2,$F$1))))</f>
        <v/>
      </c>
      <c r="H569" s="1" t="str">
        <f>IF(OR($B569="",H$7=""),"",IF($B569="MEANS",INDEX('1-DATA'!$1:$1048576,$A568-1,COLUMN('1-DATA'!G567)),ROUND(INDEX('1-DATA'!$1:$1048576,IF(OR($B569="STD. DEVIATION",$C$1=1),$A569,$A569+1),COLUMN('1-DATA'!G567)),IF($B569="STD. DEVIATION",2,$F$1))))</f>
        <v/>
      </c>
      <c r="I569" s="1" t="str">
        <f>IF(OR($B569="",I$7=""),"",IF($B569="MEANS",INDEX('1-DATA'!$1:$1048576,$A568-1,COLUMN('1-DATA'!H567)),ROUND(INDEX('1-DATA'!$1:$1048576,IF(OR($B569="STD. DEVIATION",$C$1=1),$A569,$A569+1),COLUMN('1-DATA'!H567)),IF($B569="STD. DEVIATION",2,$F$1))))</f>
        <v/>
      </c>
      <c r="J569" s="1" t="str">
        <f>IF(OR($B569="",J$7=""),"",IF($B569="MEANS",INDEX('1-DATA'!$1:$1048576,$A568-1,COLUMN('1-DATA'!I567)),ROUND(INDEX('1-DATA'!$1:$1048576,IF(OR($B569="STD. DEVIATION",$C$1=1),$A569,$A569+1),COLUMN('1-DATA'!I567)),IF($B569="STD. DEVIATION",2,$F$1))))</f>
        <v/>
      </c>
      <c r="K569" s="1" t="str">
        <f>IF(OR($B569="",K$7=""),"",IF($B569="MEANS",INDEX('1-DATA'!$1:$1048576,$A568-1,COLUMN('1-DATA'!J567)),ROUND(INDEX('1-DATA'!$1:$1048576,IF(OR($B569="STD. DEVIATION",$C$1=1),$A569,$A569+1),COLUMN('1-DATA'!J567)),IF($B569="STD. DEVIATION",2,$F$1))))</f>
        <v/>
      </c>
      <c r="L569" s="1" t="str">
        <f>IF(OR($B569="",L$7=""),"",IF($B569="MEANS",INDEX('1-DATA'!$1:$1048576,$A568-1,COLUMN('1-DATA'!K567)),ROUND(INDEX('1-DATA'!$1:$1048576,IF(OR($B569="STD. DEVIATION",$C$1=1),$A569,$A569+1),COLUMN('1-DATA'!K567)),IF($B569="STD. DEVIATION",2,$F$1))))</f>
        <v/>
      </c>
      <c r="M569" s="1" t="str">
        <f>IF(OR($B569="",M$7=""),"",IF($B569="MEANS",INDEX('1-DATA'!$1:$1048576,$A568-1,COLUMN('1-DATA'!L567)),ROUND(INDEX('1-DATA'!$1:$1048576,IF(OR($B569="STD. DEVIATION",$C$1=1),$A569,$A569+1),COLUMN('1-DATA'!L567)),IF($B569="STD. DEVIATION",2,$F$1))))</f>
        <v/>
      </c>
      <c r="N569" s="1" t="str">
        <f>IF(OR($B569="",N$7=""),"",IF($B569="MEANS",INDEX('1-DATA'!$1:$1048576,$A568-1,COLUMN('1-DATA'!M567)),ROUND(INDEX('1-DATA'!$1:$1048576,IF(OR($B569="STD. DEVIATION",$C$1=1),$A569,$A569+1),COLUMN('1-DATA'!M567)),IF($B569="STD. DEVIATION",2,$F$1))))</f>
        <v/>
      </c>
      <c r="O569" s="1" t="str">
        <f>IF(OR($B569="",O$7=""),"",IF($B569="MEANS",INDEX('1-DATA'!$1:$1048576,$A568-1,COLUMN('1-DATA'!N567)),ROUND(INDEX('1-DATA'!$1:$1048576,IF(OR($B569="STD. DEVIATION",$C$1=1),$A569,$A569+1),COLUMN('1-DATA'!N567)),IF($B569="STD. DEVIATION",2,$F$1))))</f>
        <v/>
      </c>
      <c r="P569" s="1" t="str">
        <f>IF(OR($B569="",P$7=""),"",IF($B569="MEANS",INDEX('1-DATA'!$1:$1048576,$A568-1,COLUMN('1-DATA'!O567)),ROUND(INDEX('1-DATA'!$1:$1048576,IF(OR($B569="STD. DEVIATION",$C$1=1),$A569,$A569+1),COLUMN('1-DATA'!O567)),IF($B569="STD. DEVIATION",2,$F$1))))</f>
        <v/>
      </c>
      <c r="Q569" s="1" t="str">
        <f>IF(OR($B569="",Q$7=""),"",IF($B569="MEANS",INDEX('1-DATA'!$1:$1048576,$A568-1,COLUMN('1-DATA'!P567)),ROUND(INDEX('1-DATA'!$1:$1048576,IF(OR($B569="STD. DEVIATION",$C$1=1),$A569,$A569+1),COLUMN('1-DATA'!P567)),IF($B569="STD. DEVIATION",2,$F$1))))</f>
        <v/>
      </c>
      <c r="R569" s="1" t="str">
        <f>IF(OR($B569="",R$7=""),"",IF($B569="MEANS",INDEX('1-DATA'!$1:$1048576,$A568-1,COLUMN('1-DATA'!Q567)),ROUND(INDEX('1-DATA'!$1:$1048576,IF(OR($B569="STD. DEVIATION",$C$1=1),$A569,$A569+1),COLUMN('1-DATA'!Q567)),IF($B569="STD. DEVIATION",2,$F$1))))</f>
        <v/>
      </c>
      <c r="S569" s="1" t="str">
        <f>IF(OR($B569="",S$7=""),"",IF($B569="MEANS",INDEX('1-DATA'!$1:$1048576,$A568-1,COLUMN('1-DATA'!R567)),ROUND(INDEX('1-DATA'!$1:$1048576,IF(OR($B569="STD. DEVIATION",$C$1=1),$A569,$A569+1),COLUMN('1-DATA'!R567)),IF($B569="STD. DEVIATION",2,$F$1))))</f>
        <v/>
      </c>
      <c r="T569" s="1" t="str">
        <f>IF(OR($B569="",T$7=""),"",IF($B569="MEANS",INDEX('1-DATA'!$1:$1048576,$A568-1,COLUMN('1-DATA'!S567)),ROUND(INDEX('1-DATA'!$1:$1048576,IF(OR($B569="STD. DEVIATION",$C$1=1),$A569,$A569+1),COLUMN('1-DATA'!S567)),IF($B569="STD. DEVIATION",2,$F$1))))</f>
        <v/>
      </c>
      <c r="U569" s="1" t="str">
        <f>IF(OR($B569="",U$7=""),"",IF($B569="MEANS",INDEX('1-DATA'!$1:$1048576,$A568-1,COLUMN('1-DATA'!T567)),ROUND(INDEX('1-DATA'!$1:$1048576,IF(OR($B569="STD. DEVIATION",$C$1=1),$A569,$A569+1),COLUMN('1-DATA'!T567)),IF($B569="STD. DEVIATION",2,$F$1))))</f>
        <v/>
      </c>
      <c r="V569" s="1" t="str">
        <f>IF(OR($B569="",V$7=""),"",IF($B569="MEANS",INDEX('1-DATA'!$1:$1048576,$A568-1,COLUMN('1-DATA'!U567)),ROUND(INDEX('1-DATA'!$1:$1048576,IF(OR($B569="STD. DEVIATION",$C$1=1),$A569,$A569+1),COLUMN('1-DATA'!U567)),IF($B569="STD. DEVIATION",2,$F$1))))</f>
        <v/>
      </c>
      <c r="W569" s="1" t="str">
        <f>IF(OR($B569="",W$7=""),"",IF($B569="MEANS",INDEX('1-DATA'!$1:$1048576,$A568-1,COLUMN('1-DATA'!V567)),ROUND(INDEX('1-DATA'!$1:$1048576,IF(OR($B569="STD. DEVIATION",$C$1=1),$A569,$A569+1),COLUMN('1-DATA'!V567)),IF($B569="STD. DEVIATION",2,$F$1))))</f>
        <v/>
      </c>
      <c r="X569" s="1" t="str">
        <f>IF(OR($B569="",X$7=""),"",IF($B569="MEANS",INDEX('1-DATA'!$1:$1048576,$A568-1,COLUMN('1-DATA'!W567)),ROUND(INDEX('1-DATA'!$1:$1048576,IF(OR($B569="STD. DEVIATION",$C$1=1),$A569,$A569+1),COLUMN('1-DATA'!W567)),IF($B569="STD. DEVIATION",2,$F$1))))</f>
        <v/>
      </c>
      <c r="Y569" s="1" t="str">
        <f>IF(OR($B569="",Y$7=""),"",IF($B569="MEANS",INDEX('1-DATA'!$1:$1048576,$A568-1,COLUMN('1-DATA'!X567)),ROUND(INDEX('1-DATA'!$1:$1048576,IF(OR($B569="STD. DEVIATION",$C$1=1),$A569,$A569+1),COLUMN('1-DATA'!X567)),IF($B569="STD. DEVIATION",2,$F$1))))</f>
        <v/>
      </c>
      <c r="Z569" s="1" t="str">
        <f>IF(OR($B569="",Z$7=""),"",IF($B569="MEANS",INDEX('1-DATA'!$1:$1048576,$A568-1,COLUMN('1-DATA'!Y567)),ROUND(INDEX('1-DATA'!$1:$1048576,IF(OR($B569="STD. DEVIATION",$C$1=1),$A569,$A569+1),COLUMN('1-DATA'!Y567)),IF($B569="STD. DEVIATION",2,$F$1))))</f>
        <v/>
      </c>
      <c r="AA569" s="1" t="str">
        <f>IF(OR($B569="",AA$7=""),"",IF($B569="MEANS",INDEX('1-DATA'!$1:$1048576,$A568-1,COLUMN('1-DATA'!Z567)),ROUND(INDEX('1-DATA'!$1:$1048576,IF(OR($B569="STD. DEVIATION",$C$1=1),$A569,$A569+1),COLUMN('1-DATA'!Z567)),IF($B569="STD. DEVIATION",2,$F$1))))</f>
        <v/>
      </c>
      <c r="AB569" s="1" t="str">
        <f>IF(OR($B569="",AB$7=""),"",IF($B569="MEANS",INDEX('1-DATA'!$1:$1048576,$A568-1,COLUMN('1-DATA'!AA567)),ROUND(INDEX('1-DATA'!$1:$1048576,IF(OR($B569="STD. DEVIATION",$C$1=1),$A569,$A569+1),COLUMN('1-DATA'!AA567)),IF($B569="STD. DEVIATION",2,$F$1))))</f>
        <v/>
      </c>
      <c r="AC569" s="1" t="str">
        <f>IF(OR($B569="",AC$7=""),"",IF($B569="MEANS",INDEX('1-DATA'!$1:$1048576,$A568-1,COLUMN('1-DATA'!AB567)),ROUND(INDEX('1-DATA'!$1:$1048576,IF(OR($B569="STD. DEVIATION",$C$1=1),$A569,$A569+1),COLUMN('1-DATA'!AB567)),IF($B569="STD. DEVIATION",2,$F$1))))</f>
        <v/>
      </c>
      <c r="AD569" s="1" t="str">
        <f>IF(OR($B569="",AD$7=""),"",IF($B569="MEANS",INDEX('1-DATA'!$1:$1048576,$A568-1,COLUMN('1-DATA'!AC567)),ROUND(INDEX('1-DATA'!$1:$1048576,IF(OR($B569="STD. DEVIATION",$C$1=1),$A569,$A569+1),COLUMN('1-DATA'!AC567)),IF($B569="STD. DEVIATION",2,$F$1))))</f>
        <v/>
      </c>
      <c r="AE569" s="1" t="str">
        <f>IF(OR($B569="",AE$7=""),"",IF($B569="MEANS",INDEX('1-DATA'!$1:$1048576,$A568-1,COLUMN('1-DATA'!AD567)),ROUND(INDEX('1-DATA'!$1:$1048576,IF(OR($B569="STD. DEVIATION",$C$1=1),$A569,$A569+1),COLUMN('1-DATA'!AD567)),IF($B569="STD. DEVIATION",2,$F$1))))</f>
        <v/>
      </c>
      <c r="AF569" s="1" t="str">
        <f>IF(OR($B569="",AF$7=""),"",IF($B569="MEANS",INDEX('1-DATA'!$1:$1048576,$A568-1,COLUMN('1-DATA'!AE567)),ROUND(INDEX('1-DATA'!$1:$1048576,IF(OR($B569="STD. DEVIATION",$C$1=1),$A569,$A569+1),COLUMN('1-DATA'!AE567)),IF($B569="STD. DEVIATION",2,$F$1))))</f>
        <v/>
      </c>
      <c r="AG569" s="1" t="str">
        <f>IF(OR($B569="",AG$7=""),"",IF($B569="MEANS",INDEX('1-DATA'!$1:$1048576,$A568-1,COLUMN('1-DATA'!AF567)),ROUND(INDEX('1-DATA'!$1:$1048576,IF(OR($B569="STD. DEVIATION",$C$1=1),$A569,$A569+1),COLUMN('1-DATA'!AF567)),IF($B569="STD. DEVIATION",2,$F$1))))</f>
        <v/>
      </c>
      <c r="AH569" s="1" t="str">
        <f>IF(OR($B569="",AH$7=""),"",IF($B569="MEANS",INDEX('1-DATA'!$1:$1048576,$A568-1,COLUMN('1-DATA'!AG567)),ROUND(INDEX('1-DATA'!$1:$1048576,IF(OR($B569="STD. DEVIATION",$C$1=1),$A569,$A569+1),COLUMN('1-DATA'!AG567)),IF($B569="STD. DEVIATION",2,$F$1))))</f>
        <v/>
      </c>
      <c r="AI569" s="1" t="str">
        <f>IF(OR($B569="",AI$7=""),"",IF($B569="MEANS",INDEX('1-DATA'!$1:$1048576,$A568-1,COLUMN('1-DATA'!AH567)),ROUND(INDEX('1-DATA'!$1:$1048576,IF(OR($B569="STD. DEVIATION",$C$1=1),$A569,$A569+1),COLUMN('1-DATA'!AH567)),IF($B569="STD. DEVIATION",2,$F$1))))</f>
        <v/>
      </c>
      <c r="AJ569" s="1" t="str">
        <f>IF(OR($B569="",AJ$7=""),"",IF($B569="MEANS",INDEX('1-DATA'!$1:$1048576,$A568-1,COLUMN('1-DATA'!AI567)),ROUND(INDEX('1-DATA'!$1:$1048576,IF(OR($B569="STD. DEVIATION",$C$1=1),$A569,$A569+1),COLUMN('1-DATA'!AI567)),IF($B569="STD. DEVIATION",2,$F$1))))</f>
        <v/>
      </c>
      <c r="AK569" s="1" t="str">
        <f>IF(OR($B569="",AK$7=""),"",IF($B569="MEANS",INDEX('1-DATA'!$1:$1048576,$A568-1,COLUMN('1-DATA'!AJ567)),ROUND(INDEX('1-DATA'!$1:$1048576,IF(OR($B569="STD. DEVIATION",$C$1=1),$A569,$A569+1),COLUMN('1-DATA'!AJ567)),IF($B569="STD. DEVIATION",2,$F$1))))</f>
        <v/>
      </c>
      <c r="AL569" s="1" t="str">
        <f>IF(OR($B569="",AL$7=""),"",IF($B569="MEANS",INDEX('1-DATA'!$1:$1048576,$A568-1,COLUMN('1-DATA'!AK567)),ROUND(INDEX('1-DATA'!$1:$1048576,IF(OR($B569="STD. DEVIATION",$C$1=1),$A569,$A569+1),COLUMN('1-DATA'!AK567)),IF($B569="STD. DEVIATION",2,$F$1))))</f>
        <v/>
      </c>
      <c r="AM569" s="1" t="str">
        <f>IF(OR($B569="",AM$7=""),"",IF($B569="MEANS",INDEX('1-DATA'!$1:$1048576,$A568-1,COLUMN('1-DATA'!AL567)),ROUND(INDEX('1-DATA'!$1:$1048576,IF(OR($B569="STD. DEVIATION",$C$1=1),$A569,$A569+1),COLUMN('1-DATA'!AL567)),IF($B569="STD. DEVIATION",2,$F$1))))</f>
        <v/>
      </c>
      <c r="AN569" s="1" t="str">
        <f>IF(OR($B569="",AN$7=""),"",IF($B569="MEANS",INDEX('1-DATA'!$1:$1048576,$A568-1,COLUMN('1-DATA'!AM567)),ROUND(INDEX('1-DATA'!$1:$1048576,IF(OR($B569="STD. DEVIATION",$C$1=1),$A569,$A569+1),COLUMN('1-DATA'!AM567)),IF($B569="STD. DEVIATION",2,$F$1))))</f>
        <v/>
      </c>
      <c r="AO569" s="1" t="str">
        <f>IF(OR($B569="",AO$7=""),"",IF($B569="MEANS",INDEX('1-DATA'!$1:$1048576,$A568-1,COLUMN('1-DATA'!AN567)),ROUND(INDEX('1-DATA'!$1:$1048576,IF(OR($B569="STD. DEVIATION",$C$1=1),$A569,$A569+1),COLUMN('1-DATA'!AN567)),IF($B569="STD. DEVIATION",2,$F$1))))</f>
        <v/>
      </c>
      <c r="AP569" s="1" t="str">
        <f>IF(OR($B569="",AP$7=""),"",IF($B569="MEANS",INDEX('1-DATA'!$1:$1048576,$A568-1,COLUMN('1-DATA'!AO567)),ROUND(INDEX('1-DATA'!$1:$1048576,IF(OR($B569="STD. DEVIATION",$C$1=1),$A569,$A569+1),COLUMN('1-DATA'!AO567)),IF($B569="STD. DEVIATION",2,$F$1))))</f>
        <v/>
      </c>
      <c r="AQ569" s="1" t="str">
        <f>IF(OR($B569="",AQ$7=""),"",IF($B569="MEANS",INDEX('1-DATA'!$1:$1048576,$A568-1,COLUMN('1-DATA'!AP567)),ROUND(INDEX('1-DATA'!$1:$1048576,IF(OR($B569="STD. DEVIATION",$C$1=1),$A569,$A569+1),COLUMN('1-DATA'!AP567)),IF($B569="STD. DEVIATION",2,$F$1))))</f>
        <v/>
      </c>
      <c r="AR569" s="1" t="str">
        <f>IF(OR($B569="",AR$7=""),"",IF($B569="MEANS",INDEX('1-DATA'!$1:$1048576,$A568-1,COLUMN('1-DATA'!AQ567)),ROUND(INDEX('1-DATA'!$1:$1048576,IF(OR($B569="STD. DEVIATION",$C$1=1),$A569,$A569+1),COLUMN('1-DATA'!AQ567)),IF($B569="STD. DEVIATION",2,$F$1))))</f>
        <v/>
      </c>
      <c r="AS569" s="1" t="str">
        <f>IF(OR($B569="",AS$7=""),"",IF($B569="MEANS",INDEX('1-DATA'!$1:$1048576,$A568-1,COLUMN('1-DATA'!AR567)),ROUND(INDEX('1-DATA'!$1:$1048576,IF(OR($B569="STD. DEVIATION",$C$1=1),$A569,$A569+1),COLUMN('1-DATA'!AR567)),IF($B569="STD. DEVIATION",2,$F$1))))</f>
        <v/>
      </c>
      <c r="AT569" s="1" t="str">
        <f>IF(OR($B569="",AT$7=""),"",IF($B569="MEANS",INDEX('1-DATA'!$1:$1048576,$A568-1,COLUMN('1-DATA'!AS567)),ROUND(INDEX('1-DATA'!$1:$1048576,IF(OR($B569="STD. DEVIATION",$C$1=1),$A569,$A569+1),COLUMN('1-DATA'!AS567)),IF($B569="STD. DEVIATION",2,$F$1))))</f>
        <v/>
      </c>
      <c r="AU569" s="1" t="str">
        <f>IF(OR($B569="",AU$7=""),"",IF($B569="MEANS",INDEX('1-DATA'!$1:$1048576,$A568-1,COLUMN('1-DATA'!AT567)),ROUND(INDEX('1-DATA'!$1:$1048576,IF(OR($B569="STD. DEVIATION",$C$1=1),$A569,$A569+1),COLUMN('1-DATA'!AT567)),IF($B569="STD. DEVIATION",2,$F$1))))</f>
        <v/>
      </c>
      <c r="AV569" s="1" t="str">
        <f>IF(OR($B569="",AV$7=""),"",IF($B569="MEANS",INDEX('1-DATA'!$1:$1048576,$A568-1,COLUMN('1-DATA'!AU567)),ROUND(INDEX('1-DATA'!$1:$1048576,IF(OR($B569="STD. DEVIATION",$C$1=1),$A569,$A569+1),COLUMN('1-DATA'!AU567)),IF($B569="STD. DEVIATION",2,$F$1))))</f>
        <v/>
      </c>
      <c r="AW569" s="1" t="str">
        <f>IF(OR($B569="",AW$7=""),"",IF($B569="MEANS",INDEX('1-DATA'!$1:$1048576,$A568-1,COLUMN('1-DATA'!AV567)),ROUND(INDEX('1-DATA'!$1:$1048576,IF(OR($B569="STD. DEVIATION",$C$1=1),$A569,$A569+1),COLUMN('1-DATA'!AV567)),IF($B569="STD. DEVIATION",2,$F$1))))</f>
        <v/>
      </c>
      <c r="AX569" s="1" t="str">
        <f>IF(OR($B569="",AX$7=""),"",IF($B569="MEANS",INDEX('1-DATA'!$1:$1048576,$A568-1,COLUMN('1-DATA'!AW567)),ROUND(INDEX('1-DATA'!$1:$1048576,IF(OR($B569="STD. DEVIATION",$C$1=1),$A569,$A569+1),COLUMN('1-DATA'!AW567)),IF($B569="STD. DEVIATION",2,$F$1))))</f>
        <v/>
      </c>
      <c r="AY569" s="1" t="str">
        <f>IF(OR($B569="",AY$7=""),"",IF($B569="MEANS",INDEX('1-DATA'!$1:$1048576,$A568-1,COLUMN('1-DATA'!AX567)),ROUND(INDEX('1-DATA'!$1:$1048576,IF(OR($B569="STD. DEVIATION",$C$1=1),$A569,$A569+1),COLUMN('1-DATA'!AX567)),IF($B569="STD. DEVIATION",2,$F$1))))</f>
        <v/>
      </c>
      <c r="AZ569" s="1" t="str">
        <f>IF(OR($B569="",AZ$7=""),"",IF($B569="MEANS",INDEX('1-DATA'!$1:$1048576,$A568-1,COLUMN('1-DATA'!AY567)),ROUND(INDEX('1-DATA'!$1:$1048576,IF(OR($B569="STD. DEVIATION",$C$1=1),$A569,$A569+1),COLUMN('1-DATA'!AY567)),IF($B569="STD. DEVIATION",2,$F$1))))</f>
        <v/>
      </c>
    </row>
    <row r="570" spans="1:52" x14ac:dyDescent="0.25">
      <c r="A570" s="11">
        <f t="shared" si="9"/>
        <v>1696</v>
      </c>
      <c r="B570" s="1" t="str">
        <f>IF(B569="STD. DEVIATION",INDEX('1-DATA'!$1:$1048576,$A569-1,1),IF(INDEX('1-DATA'!$1:$1048576,$A570,1)&lt;&gt;"",INDEX('1-DATA'!$1:$1048576,$A570,1),""))</f>
        <v/>
      </c>
      <c r="C570" s="1" t="str">
        <f>IF(OR($B570="",C$7=""),"",IF($B570="MEANS",INDEX('1-DATA'!$1:$1048576,$A569-1,COLUMN('1-DATA'!B568)),ROUND(INDEX('1-DATA'!$1:$1048576,IF(OR($B570="STD. DEVIATION",$C$1=1),$A570,$A570+1),COLUMN('1-DATA'!B568)),IF($B570="STD. DEVIATION",2,$F$1))))</f>
        <v/>
      </c>
      <c r="D570" s="1" t="str">
        <f>IF(OR($B570="",D$7=""),"",IF($B570="MEANS",INDEX('1-DATA'!$1:$1048576,$A569-1,COLUMN('1-DATA'!C568)),ROUND(INDEX('1-DATA'!$1:$1048576,IF(OR($B570="STD. DEVIATION",$C$1=1),$A570,$A570+1),COLUMN('1-DATA'!C568)),IF($B570="STD. DEVIATION",2,$F$1))))</f>
        <v/>
      </c>
      <c r="E570" s="1" t="str">
        <f>IF(OR($B570="",E$7=""),"",IF($B570="MEANS",INDEX('1-DATA'!$1:$1048576,$A569-1,COLUMN('1-DATA'!D568)),ROUND(INDEX('1-DATA'!$1:$1048576,IF(OR($B570="STD. DEVIATION",$C$1=1),$A570,$A570+1),COLUMN('1-DATA'!D568)),IF($B570="STD. DEVIATION",2,$F$1))))</f>
        <v/>
      </c>
      <c r="F570" s="1" t="str">
        <f>IF(OR($B570="",F$7=""),"",IF($B570="MEANS",INDEX('1-DATA'!$1:$1048576,$A569-1,COLUMN('1-DATA'!E568)),ROUND(INDEX('1-DATA'!$1:$1048576,IF(OR($B570="STD. DEVIATION",$C$1=1),$A570,$A570+1),COLUMN('1-DATA'!E568)),IF($B570="STD. DEVIATION",2,$F$1))))</f>
        <v/>
      </c>
      <c r="G570" s="1" t="str">
        <f>IF(OR($B570="",G$7=""),"",IF($B570="MEANS",INDEX('1-DATA'!$1:$1048576,$A569-1,COLUMN('1-DATA'!F568)),ROUND(INDEX('1-DATA'!$1:$1048576,IF(OR($B570="STD. DEVIATION",$C$1=1),$A570,$A570+1),COLUMN('1-DATA'!F568)),IF($B570="STD. DEVIATION",2,$F$1))))</f>
        <v/>
      </c>
      <c r="H570" s="1" t="str">
        <f>IF(OR($B570="",H$7=""),"",IF($B570="MEANS",INDEX('1-DATA'!$1:$1048576,$A569-1,COLUMN('1-DATA'!G568)),ROUND(INDEX('1-DATA'!$1:$1048576,IF(OR($B570="STD. DEVIATION",$C$1=1),$A570,$A570+1),COLUMN('1-DATA'!G568)),IF($B570="STD. DEVIATION",2,$F$1))))</f>
        <v/>
      </c>
      <c r="I570" s="1" t="str">
        <f>IF(OR($B570="",I$7=""),"",IF($B570="MEANS",INDEX('1-DATA'!$1:$1048576,$A569-1,COLUMN('1-DATA'!H568)),ROUND(INDEX('1-DATA'!$1:$1048576,IF(OR($B570="STD. DEVIATION",$C$1=1),$A570,$A570+1),COLUMN('1-DATA'!H568)),IF($B570="STD. DEVIATION",2,$F$1))))</f>
        <v/>
      </c>
      <c r="J570" s="1" t="str">
        <f>IF(OR($B570="",J$7=""),"",IF($B570="MEANS",INDEX('1-DATA'!$1:$1048576,$A569-1,COLUMN('1-DATA'!I568)),ROUND(INDEX('1-DATA'!$1:$1048576,IF(OR($B570="STD. DEVIATION",$C$1=1),$A570,$A570+1),COLUMN('1-DATA'!I568)),IF($B570="STD. DEVIATION",2,$F$1))))</f>
        <v/>
      </c>
      <c r="K570" s="1" t="str">
        <f>IF(OR($B570="",K$7=""),"",IF($B570="MEANS",INDEX('1-DATA'!$1:$1048576,$A569-1,COLUMN('1-DATA'!J568)),ROUND(INDEX('1-DATA'!$1:$1048576,IF(OR($B570="STD. DEVIATION",$C$1=1),$A570,$A570+1),COLUMN('1-DATA'!J568)),IF($B570="STD. DEVIATION",2,$F$1))))</f>
        <v/>
      </c>
      <c r="L570" s="1" t="str">
        <f>IF(OR($B570="",L$7=""),"",IF($B570="MEANS",INDEX('1-DATA'!$1:$1048576,$A569-1,COLUMN('1-DATA'!K568)),ROUND(INDEX('1-DATA'!$1:$1048576,IF(OR($B570="STD. DEVIATION",$C$1=1),$A570,$A570+1),COLUMN('1-DATA'!K568)),IF($B570="STD. DEVIATION",2,$F$1))))</f>
        <v/>
      </c>
      <c r="M570" s="1" t="str">
        <f>IF(OR($B570="",M$7=""),"",IF($B570="MEANS",INDEX('1-DATA'!$1:$1048576,$A569-1,COLUMN('1-DATA'!L568)),ROUND(INDEX('1-DATA'!$1:$1048576,IF(OR($B570="STD. DEVIATION",$C$1=1),$A570,$A570+1),COLUMN('1-DATA'!L568)),IF($B570="STD. DEVIATION",2,$F$1))))</f>
        <v/>
      </c>
      <c r="N570" s="1" t="str">
        <f>IF(OR($B570="",N$7=""),"",IF($B570="MEANS",INDEX('1-DATA'!$1:$1048576,$A569-1,COLUMN('1-DATA'!M568)),ROUND(INDEX('1-DATA'!$1:$1048576,IF(OR($B570="STD. DEVIATION",$C$1=1),$A570,$A570+1),COLUMN('1-DATA'!M568)),IF($B570="STD. DEVIATION",2,$F$1))))</f>
        <v/>
      </c>
      <c r="O570" s="1" t="str">
        <f>IF(OR($B570="",O$7=""),"",IF($B570="MEANS",INDEX('1-DATA'!$1:$1048576,$A569-1,COLUMN('1-DATA'!N568)),ROUND(INDEX('1-DATA'!$1:$1048576,IF(OR($B570="STD. DEVIATION",$C$1=1),$A570,$A570+1),COLUMN('1-DATA'!N568)),IF($B570="STD. DEVIATION",2,$F$1))))</f>
        <v/>
      </c>
      <c r="P570" s="1" t="str">
        <f>IF(OR($B570="",P$7=""),"",IF($B570="MEANS",INDEX('1-DATA'!$1:$1048576,$A569-1,COLUMN('1-DATA'!O568)),ROUND(INDEX('1-DATA'!$1:$1048576,IF(OR($B570="STD. DEVIATION",$C$1=1),$A570,$A570+1),COLUMN('1-DATA'!O568)),IF($B570="STD. DEVIATION",2,$F$1))))</f>
        <v/>
      </c>
      <c r="Q570" s="1" t="str">
        <f>IF(OR($B570="",Q$7=""),"",IF($B570="MEANS",INDEX('1-DATA'!$1:$1048576,$A569-1,COLUMN('1-DATA'!P568)),ROUND(INDEX('1-DATA'!$1:$1048576,IF(OR($B570="STD. DEVIATION",$C$1=1),$A570,$A570+1),COLUMN('1-DATA'!P568)),IF($B570="STD. DEVIATION",2,$F$1))))</f>
        <v/>
      </c>
      <c r="R570" s="1" t="str">
        <f>IF(OR($B570="",R$7=""),"",IF($B570="MEANS",INDEX('1-DATA'!$1:$1048576,$A569-1,COLUMN('1-DATA'!Q568)),ROUND(INDEX('1-DATA'!$1:$1048576,IF(OR($B570="STD. DEVIATION",$C$1=1),$A570,$A570+1),COLUMN('1-DATA'!Q568)),IF($B570="STD. DEVIATION",2,$F$1))))</f>
        <v/>
      </c>
      <c r="S570" s="1" t="str">
        <f>IF(OR($B570="",S$7=""),"",IF($B570="MEANS",INDEX('1-DATA'!$1:$1048576,$A569-1,COLUMN('1-DATA'!R568)),ROUND(INDEX('1-DATA'!$1:$1048576,IF(OR($B570="STD. DEVIATION",$C$1=1),$A570,$A570+1),COLUMN('1-DATA'!R568)),IF($B570="STD. DEVIATION",2,$F$1))))</f>
        <v/>
      </c>
      <c r="T570" s="1" t="str">
        <f>IF(OR($B570="",T$7=""),"",IF($B570="MEANS",INDEX('1-DATA'!$1:$1048576,$A569-1,COLUMN('1-DATA'!S568)),ROUND(INDEX('1-DATA'!$1:$1048576,IF(OR($B570="STD. DEVIATION",$C$1=1),$A570,$A570+1),COLUMN('1-DATA'!S568)),IF($B570="STD. DEVIATION",2,$F$1))))</f>
        <v/>
      </c>
      <c r="U570" s="1" t="str">
        <f>IF(OR($B570="",U$7=""),"",IF($B570="MEANS",INDEX('1-DATA'!$1:$1048576,$A569-1,COLUMN('1-DATA'!T568)),ROUND(INDEX('1-DATA'!$1:$1048576,IF(OR($B570="STD. DEVIATION",$C$1=1),$A570,$A570+1),COLUMN('1-DATA'!T568)),IF($B570="STD. DEVIATION",2,$F$1))))</f>
        <v/>
      </c>
      <c r="V570" s="1" t="str">
        <f>IF(OR($B570="",V$7=""),"",IF($B570="MEANS",INDEX('1-DATA'!$1:$1048576,$A569-1,COLUMN('1-DATA'!U568)),ROUND(INDEX('1-DATA'!$1:$1048576,IF(OR($B570="STD. DEVIATION",$C$1=1),$A570,$A570+1),COLUMN('1-DATA'!U568)),IF($B570="STD. DEVIATION",2,$F$1))))</f>
        <v/>
      </c>
      <c r="W570" s="1" t="str">
        <f>IF(OR($B570="",W$7=""),"",IF($B570="MEANS",INDEX('1-DATA'!$1:$1048576,$A569-1,COLUMN('1-DATA'!V568)),ROUND(INDEX('1-DATA'!$1:$1048576,IF(OR($B570="STD. DEVIATION",$C$1=1),$A570,$A570+1),COLUMN('1-DATA'!V568)),IF($B570="STD. DEVIATION",2,$F$1))))</f>
        <v/>
      </c>
      <c r="X570" s="1" t="str">
        <f>IF(OR($B570="",X$7=""),"",IF($B570="MEANS",INDEX('1-DATA'!$1:$1048576,$A569-1,COLUMN('1-DATA'!W568)),ROUND(INDEX('1-DATA'!$1:$1048576,IF(OR($B570="STD. DEVIATION",$C$1=1),$A570,$A570+1),COLUMN('1-DATA'!W568)),IF($B570="STD. DEVIATION",2,$F$1))))</f>
        <v/>
      </c>
      <c r="Y570" s="1" t="str">
        <f>IF(OR($B570="",Y$7=""),"",IF($B570="MEANS",INDEX('1-DATA'!$1:$1048576,$A569-1,COLUMN('1-DATA'!X568)),ROUND(INDEX('1-DATA'!$1:$1048576,IF(OR($B570="STD. DEVIATION",$C$1=1),$A570,$A570+1),COLUMN('1-DATA'!X568)),IF($B570="STD. DEVIATION",2,$F$1))))</f>
        <v/>
      </c>
      <c r="Z570" s="1" t="str">
        <f>IF(OR($B570="",Z$7=""),"",IF($B570="MEANS",INDEX('1-DATA'!$1:$1048576,$A569-1,COLUMN('1-DATA'!Y568)),ROUND(INDEX('1-DATA'!$1:$1048576,IF(OR($B570="STD. DEVIATION",$C$1=1),$A570,$A570+1),COLUMN('1-DATA'!Y568)),IF($B570="STD. DEVIATION",2,$F$1))))</f>
        <v/>
      </c>
      <c r="AA570" s="1" t="str">
        <f>IF(OR($B570="",AA$7=""),"",IF($B570="MEANS",INDEX('1-DATA'!$1:$1048576,$A569-1,COLUMN('1-DATA'!Z568)),ROUND(INDEX('1-DATA'!$1:$1048576,IF(OR($B570="STD. DEVIATION",$C$1=1),$A570,$A570+1),COLUMN('1-DATA'!Z568)),IF($B570="STD. DEVIATION",2,$F$1))))</f>
        <v/>
      </c>
      <c r="AB570" s="1" t="str">
        <f>IF(OR($B570="",AB$7=""),"",IF($B570="MEANS",INDEX('1-DATA'!$1:$1048576,$A569-1,COLUMN('1-DATA'!AA568)),ROUND(INDEX('1-DATA'!$1:$1048576,IF(OR($B570="STD. DEVIATION",$C$1=1),$A570,$A570+1),COLUMN('1-DATA'!AA568)),IF($B570="STD. DEVIATION",2,$F$1))))</f>
        <v/>
      </c>
      <c r="AC570" s="1" t="str">
        <f>IF(OR($B570="",AC$7=""),"",IF($B570="MEANS",INDEX('1-DATA'!$1:$1048576,$A569-1,COLUMN('1-DATA'!AB568)),ROUND(INDEX('1-DATA'!$1:$1048576,IF(OR($B570="STD. DEVIATION",$C$1=1),$A570,$A570+1),COLUMN('1-DATA'!AB568)),IF($B570="STD. DEVIATION",2,$F$1))))</f>
        <v/>
      </c>
      <c r="AD570" s="1" t="str">
        <f>IF(OR($B570="",AD$7=""),"",IF($B570="MEANS",INDEX('1-DATA'!$1:$1048576,$A569-1,COLUMN('1-DATA'!AC568)),ROUND(INDEX('1-DATA'!$1:$1048576,IF(OR($B570="STD. DEVIATION",$C$1=1),$A570,$A570+1),COLUMN('1-DATA'!AC568)),IF($B570="STD. DEVIATION",2,$F$1))))</f>
        <v/>
      </c>
      <c r="AE570" s="1" t="str">
        <f>IF(OR($B570="",AE$7=""),"",IF($B570="MEANS",INDEX('1-DATA'!$1:$1048576,$A569-1,COLUMN('1-DATA'!AD568)),ROUND(INDEX('1-DATA'!$1:$1048576,IF(OR($B570="STD. DEVIATION",$C$1=1),$A570,$A570+1),COLUMN('1-DATA'!AD568)),IF($B570="STD. DEVIATION",2,$F$1))))</f>
        <v/>
      </c>
      <c r="AF570" s="1" t="str">
        <f>IF(OR($B570="",AF$7=""),"",IF($B570="MEANS",INDEX('1-DATA'!$1:$1048576,$A569-1,COLUMN('1-DATA'!AE568)),ROUND(INDEX('1-DATA'!$1:$1048576,IF(OR($B570="STD. DEVIATION",$C$1=1),$A570,$A570+1),COLUMN('1-DATA'!AE568)),IF($B570="STD. DEVIATION",2,$F$1))))</f>
        <v/>
      </c>
      <c r="AG570" s="1" t="str">
        <f>IF(OR($B570="",AG$7=""),"",IF($B570="MEANS",INDEX('1-DATA'!$1:$1048576,$A569-1,COLUMN('1-DATA'!AF568)),ROUND(INDEX('1-DATA'!$1:$1048576,IF(OR($B570="STD. DEVIATION",$C$1=1),$A570,$A570+1),COLUMN('1-DATA'!AF568)),IF($B570="STD. DEVIATION",2,$F$1))))</f>
        <v/>
      </c>
      <c r="AH570" s="1" t="str">
        <f>IF(OR($B570="",AH$7=""),"",IF($B570="MEANS",INDEX('1-DATA'!$1:$1048576,$A569-1,COLUMN('1-DATA'!AG568)),ROUND(INDEX('1-DATA'!$1:$1048576,IF(OR($B570="STD. DEVIATION",$C$1=1),$A570,$A570+1),COLUMN('1-DATA'!AG568)),IF($B570="STD. DEVIATION",2,$F$1))))</f>
        <v/>
      </c>
      <c r="AI570" s="1" t="str">
        <f>IF(OR($B570="",AI$7=""),"",IF($B570="MEANS",INDEX('1-DATA'!$1:$1048576,$A569-1,COLUMN('1-DATA'!AH568)),ROUND(INDEX('1-DATA'!$1:$1048576,IF(OR($B570="STD. DEVIATION",$C$1=1),$A570,$A570+1),COLUMN('1-DATA'!AH568)),IF($B570="STD. DEVIATION",2,$F$1))))</f>
        <v/>
      </c>
      <c r="AJ570" s="1" t="str">
        <f>IF(OR($B570="",AJ$7=""),"",IF($B570="MEANS",INDEX('1-DATA'!$1:$1048576,$A569-1,COLUMN('1-DATA'!AI568)),ROUND(INDEX('1-DATA'!$1:$1048576,IF(OR($B570="STD. DEVIATION",$C$1=1),$A570,$A570+1),COLUMN('1-DATA'!AI568)),IF($B570="STD. DEVIATION",2,$F$1))))</f>
        <v/>
      </c>
      <c r="AK570" s="1" t="str">
        <f>IF(OR($B570="",AK$7=""),"",IF($B570="MEANS",INDEX('1-DATA'!$1:$1048576,$A569-1,COLUMN('1-DATA'!AJ568)),ROUND(INDEX('1-DATA'!$1:$1048576,IF(OR($B570="STD. DEVIATION",$C$1=1),$A570,$A570+1),COLUMN('1-DATA'!AJ568)),IF($B570="STD. DEVIATION",2,$F$1))))</f>
        <v/>
      </c>
      <c r="AL570" s="1" t="str">
        <f>IF(OR($B570="",AL$7=""),"",IF($B570="MEANS",INDEX('1-DATA'!$1:$1048576,$A569-1,COLUMN('1-DATA'!AK568)),ROUND(INDEX('1-DATA'!$1:$1048576,IF(OR($B570="STD. DEVIATION",$C$1=1),$A570,$A570+1),COLUMN('1-DATA'!AK568)),IF($B570="STD. DEVIATION",2,$F$1))))</f>
        <v/>
      </c>
      <c r="AM570" s="1" t="str">
        <f>IF(OR($B570="",AM$7=""),"",IF($B570="MEANS",INDEX('1-DATA'!$1:$1048576,$A569-1,COLUMN('1-DATA'!AL568)),ROUND(INDEX('1-DATA'!$1:$1048576,IF(OR($B570="STD. DEVIATION",$C$1=1),$A570,$A570+1),COLUMN('1-DATA'!AL568)),IF($B570="STD. DEVIATION",2,$F$1))))</f>
        <v/>
      </c>
      <c r="AN570" s="1" t="str">
        <f>IF(OR($B570="",AN$7=""),"",IF($B570="MEANS",INDEX('1-DATA'!$1:$1048576,$A569-1,COLUMN('1-DATA'!AM568)),ROUND(INDEX('1-DATA'!$1:$1048576,IF(OR($B570="STD. DEVIATION",$C$1=1),$A570,$A570+1),COLUMN('1-DATA'!AM568)),IF($B570="STD. DEVIATION",2,$F$1))))</f>
        <v/>
      </c>
      <c r="AO570" s="1" t="str">
        <f>IF(OR($B570="",AO$7=""),"",IF($B570="MEANS",INDEX('1-DATA'!$1:$1048576,$A569-1,COLUMN('1-DATA'!AN568)),ROUND(INDEX('1-DATA'!$1:$1048576,IF(OR($B570="STD. DEVIATION",$C$1=1),$A570,$A570+1),COLUMN('1-DATA'!AN568)),IF($B570="STD. DEVIATION",2,$F$1))))</f>
        <v/>
      </c>
      <c r="AP570" s="1" t="str">
        <f>IF(OR($B570="",AP$7=""),"",IF($B570="MEANS",INDEX('1-DATA'!$1:$1048576,$A569-1,COLUMN('1-DATA'!AO568)),ROUND(INDEX('1-DATA'!$1:$1048576,IF(OR($B570="STD. DEVIATION",$C$1=1),$A570,$A570+1),COLUMN('1-DATA'!AO568)),IF($B570="STD. DEVIATION",2,$F$1))))</f>
        <v/>
      </c>
      <c r="AQ570" s="1" t="str">
        <f>IF(OR($B570="",AQ$7=""),"",IF($B570="MEANS",INDEX('1-DATA'!$1:$1048576,$A569-1,COLUMN('1-DATA'!AP568)),ROUND(INDEX('1-DATA'!$1:$1048576,IF(OR($B570="STD. DEVIATION",$C$1=1),$A570,$A570+1),COLUMN('1-DATA'!AP568)),IF($B570="STD. DEVIATION",2,$F$1))))</f>
        <v/>
      </c>
      <c r="AR570" s="1" t="str">
        <f>IF(OR($B570="",AR$7=""),"",IF($B570="MEANS",INDEX('1-DATA'!$1:$1048576,$A569-1,COLUMN('1-DATA'!AQ568)),ROUND(INDEX('1-DATA'!$1:$1048576,IF(OR($B570="STD. DEVIATION",$C$1=1),$A570,$A570+1),COLUMN('1-DATA'!AQ568)),IF($B570="STD. DEVIATION",2,$F$1))))</f>
        <v/>
      </c>
      <c r="AS570" s="1" t="str">
        <f>IF(OR($B570="",AS$7=""),"",IF($B570="MEANS",INDEX('1-DATA'!$1:$1048576,$A569-1,COLUMN('1-DATA'!AR568)),ROUND(INDEX('1-DATA'!$1:$1048576,IF(OR($B570="STD. DEVIATION",$C$1=1),$A570,$A570+1),COLUMN('1-DATA'!AR568)),IF($B570="STD. DEVIATION",2,$F$1))))</f>
        <v/>
      </c>
      <c r="AT570" s="1" t="str">
        <f>IF(OR($B570="",AT$7=""),"",IF($B570="MEANS",INDEX('1-DATA'!$1:$1048576,$A569-1,COLUMN('1-DATA'!AS568)),ROUND(INDEX('1-DATA'!$1:$1048576,IF(OR($B570="STD. DEVIATION",$C$1=1),$A570,$A570+1),COLUMN('1-DATA'!AS568)),IF($B570="STD. DEVIATION",2,$F$1))))</f>
        <v/>
      </c>
      <c r="AU570" s="1" t="str">
        <f>IF(OR($B570="",AU$7=""),"",IF($B570="MEANS",INDEX('1-DATA'!$1:$1048576,$A569-1,COLUMN('1-DATA'!AT568)),ROUND(INDEX('1-DATA'!$1:$1048576,IF(OR($B570="STD. DEVIATION",$C$1=1),$A570,$A570+1),COLUMN('1-DATA'!AT568)),IF($B570="STD. DEVIATION",2,$F$1))))</f>
        <v/>
      </c>
      <c r="AV570" s="1" t="str">
        <f>IF(OR($B570="",AV$7=""),"",IF($B570="MEANS",INDEX('1-DATA'!$1:$1048576,$A569-1,COLUMN('1-DATA'!AU568)),ROUND(INDEX('1-DATA'!$1:$1048576,IF(OR($B570="STD. DEVIATION",$C$1=1),$A570,$A570+1),COLUMN('1-DATA'!AU568)),IF($B570="STD. DEVIATION",2,$F$1))))</f>
        <v/>
      </c>
      <c r="AW570" s="1" t="str">
        <f>IF(OR($B570="",AW$7=""),"",IF($B570="MEANS",INDEX('1-DATA'!$1:$1048576,$A569-1,COLUMN('1-DATA'!AV568)),ROUND(INDEX('1-DATA'!$1:$1048576,IF(OR($B570="STD. DEVIATION",$C$1=1),$A570,$A570+1),COLUMN('1-DATA'!AV568)),IF($B570="STD. DEVIATION",2,$F$1))))</f>
        <v/>
      </c>
      <c r="AX570" s="1" t="str">
        <f>IF(OR($B570="",AX$7=""),"",IF($B570="MEANS",INDEX('1-DATA'!$1:$1048576,$A569-1,COLUMN('1-DATA'!AW568)),ROUND(INDEX('1-DATA'!$1:$1048576,IF(OR($B570="STD. DEVIATION",$C$1=1),$A570,$A570+1),COLUMN('1-DATA'!AW568)),IF($B570="STD. DEVIATION",2,$F$1))))</f>
        <v/>
      </c>
      <c r="AY570" s="1" t="str">
        <f>IF(OR($B570="",AY$7=""),"",IF($B570="MEANS",INDEX('1-DATA'!$1:$1048576,$A569-1,COLUMN('1-DATA'!AX568)),ROUND(INDEX('1-DATA'!$1:$1048576,IF(OR($B570="STD. DEVIATION",$C$1=1),$A570,$A570+1),COLUMN('1-DATA'!AX568)),IF($B570="STD. DEVIATION",2,$F$1))))</f>
        <v/>
      </c>
      <c r="AZ570" s="1" t="str">
        <f>IF(OR($B570="",AZ$7=""),"",IF($B570="MEANS",INDEX('1-DATA'!$1:$1048576,$A569-1,COLUMN('1-DATA'!AY568)),ROUND(INDEX('1-DATA'!$1:$1048576,IF(OR($B570="STD. DEVIATION",$C$1=1),$A570,$A570+1),COLUMN('1-DATA'!AY568)),IF($B570="STD. DEVIATION",2,$F$1))))</f>
        <v/>
      </c>
    </row>
    <row r="571" spans="1:52" x14ac:dyDescent="0.25">
      <c r="A571" s="11">
        <f t="shared" si="9"/>
        <v>1699</v>
      </c>
      <c r="B571" s="1" t="str">
        <f>IF(B570="STD. DEVIATION",INDEX('1-DATA'!$1:$1048576,$A570-1,1),IF(INDEX('1-DATA'!$1:$1048576,$A571,1)&lt;&gt;"",INDEX('1-DATA'!$1:$1048576,$A571,1),""))</f>
        <v/>
      </c>
      <c r="C571" s="1" t="str">
        <f>IF(OR($B571="",C$7=""),"",IF($B571="MEANS",INDEX('1-DATA'!$1:$1048576,$A570-1,COLUMN('1-DATA'!B569)),ROUND(INDEX('1-DATA'!$1:$1048576,IF(OR($B571="STD. DEVIATION",$C$1=1),$A571,$A571+1),COLUMN('1-DATA'!B569)),IF($B571="STD. DEVIATION",2,$F$1))))</f>
        <v/>
      </c>
      <c r="D571" s="1" t="str">
        <f>IF(OR($B571="",D$7=""),"",IF($B571="MEANS",INDEX('1-DATA'!$1:$1048576,$A570-1,COLUMN('1-DATA'!C569)),ROUND(INDEX('1-DATA'!$1:$1048576,IF(OR($B571="STD. DEVIATION",$C$1=1),$A571,$A571+1),COLUMN('1-DATA'!C569)),IF($B571="STD. DEVIATION",2,$F$1))))</f>
        <v/>
      </c>
      <c r="E571" s="1" t="str">
        <f>IF(OR($B571="",E$7=""),"",IF($B571="MEANS",INDEX('1-DATA'!$1:$1048576,$A570-1,COLUMN('1-DATA'!D569)),ROUND(INDEX('1-DATA'!$1:$1048576,IF(OR($B571="STD. DEVIATION",$C$1=1),$A571,$A571+1),COLUMN('1-DATA'!D569)),IF($B571="STD. DEVIATION",2,$F$1))))</f>
        <v/>
      </c>
      <c r="F571" s="1" t="str">
        <f>IF(OR($B571="",F$7=""),"",IF($B571="MEANS",INDEX('1-DATA'!$1:$1048576,$A570-1,COLUMN('1-DATA'!E569)),ROUND(INDEX('1-DATA'!$1:$1048576,IF(OR($B571="STD. DEVIATION",$C$1=1),$A571,$A571+1),COLUMN('1-DATA'!E569)),IF($B571="STD. DEVIATION",2,$F$1))))</f>
        <v/>
      </c>
      <c r="G571" s="1" t="str">
        <f>IF(OR($B571="",G$7=""),"",IF($B571="MEANS",INDEX('1-DATA'!$1:$1048576,$A570-1,COLUMN('1-DATA'!F569)),ROUND(INDEX('1-DATA'!$1:$1048576,IF(OR($B571="STD. DEVIATION",$C$1=1),$A571,$A571+1),COLUMN('1-DATA'!F569)),IF($B571="STD. DEVIATION",2,$F$1))))</f>
        <v/>
      </c>
      <c r="H571" s="1" t="str">
        <f>IF(OR($B571="",H$7=""),"",IF($B571="MEANS",INDEX('1-DATA'!$1:$1048576,$A570-1,COLUMN('1-DATA'!G569)),ROUND(INDEX('1-DATA'!$1:$1048576,IF(OR($B571="STD. DEVIATION",$C$1=1),$A571,$A571+1),COLUMN('1-DATA'!G569)),IF($B571="STD. DEVIATION",2,$F$1))))</f>
        <v/>
      </c>
      <c r="I571" s="1" t="str">
        <f>IF(OR($B571="",I$7=""),"",IF($B571="MEANS",INDEX('1-DATA'!$1:$1048576,$A570-1,COLUMN('1-DATA'!H569)),ROUND(INDEX('1-DATA'!$1:$1048576,IF(OR($B571="STD. DEVIATION",$C$1=1),$A571,$A571+1),COLUMN('1-DATA'!H569)),IF($B571="STD. DEVIATION",2,$F$1))))</f>
        <v/>
      </c>
      <c r="J571" s="1" t="str">
        <f>IF(OR($B571="",J$7=""),"",IF($B571="MEANS",INDEX('1-DATA'!$1:$1048576,$A570-1,COLUMN('1-DATA'!I569)),ROUND(INDEX('1-DATA'!$1:$1048576,IF(OR($B571="STD. DEVIATION",$C$1=1),$A571,$A571+1),COLUMN('1-DATA'!I569)),IF($B571="STD. DEVIATION",2,$F$1))))</f>
        <v/>
      </c>
      <c r="K571" s="1" t="str">
        <f>IF(OR($B571="",K$7=""),"",IF($B571="MEANS",INDEX('1-DATA'!$1:$1048576,$A570-1,COLUMN('1-DATA'!J569)),ROUND(INDEX('1-DATA'!$1:$1048576,IF(OR($B571="STD. DEVIATION",$C$1=1),$A571,$A571+1),COLUMN('1-DATA'!J569)),IF($B571="STD. DEVIATION",2,$F$1))))</f>
        <v/>
      </c>
      <c r="L571" s="1" t="str">
        <f>IF(OR($B571="",L$7=""),"",IF($B571="MEANS",INDEX('1-DATA'!$1:$1048576,$A570-1,COLUMN('1-DATA'!K569)),ROUND(INDEX('1-DATA'!$1:$1048576,IF(OR($B571="STD. DEVIATION",$C$1=1),$A571,$A571+1),COLUMN('1-DATA'!K569)),IF($B571="STD. DEVIATION",2,$F$1))))</f>
        <v/>
      </c>
      <c r="M571" s="1" t="str">
        <f>IF(OR($B571="",M$7=""),"",IF($B571="MEANS",INDEX('1-DATA'!$1:$1048576,$A570-1,COLUMN('1-DATA'!L569)),ROUND(INDEX('1-DATA'!$1:$1048576,IF(OR($B571="STD. DEVIATION",$C$1=1),$A571,$A571+1),COLUMN('1-DATA'!L569)),IF($B571="STD. DEVIATION",2,$F$1))))</f>
        <v/>
      </c>
      <c r="N571" s="1" t="str">
        <f>IF(OR($B571="",N$7=""),"",IF($B571="MEANS",INDEX('1-DATA'!$1:$1048576,$A570-1,COLUMN('1-DATA'!M569)),ROUND(INDEX('1-DATA'!$1:$1048576,IF(OR($B571="STD. DEVIATION",$C$1=1),$A571,$A571+1),COLUMN('1-DATA'!M569)),IF($B571="STD. DEVIATION",2,$F$1))))</f>
        <v/>
      </c>
      <c r="O571" s="1" t="str">
        <f>IF(OR($B571="",O$7=""),"",IF($B571="MEANS",INDEX('1-DATA'!$1:$1048576,$A570-1,COLUMN('1-DATA'!N569)),ROUND(INDEX('1-DATA'!$1:$1048576,IF(OR($B571="STD. DEVIATION",$C$1=1),$A571,$A571+1),COLUMN('1-DATA'!N569)),IF($B571="STD. DEVIATION",2,$F$1))))</f>
        <v/>
      </c>
      <c r="P571" s="1" t="str">
        <f>IF(OR($B571="",P$7=""),"",IF($B571="MEANS",INDEX('1-DATA'!$1:$1048576,$A570-1,COLUMN('1-DATA'!O569)),ROUND(INDEX('1-DATA'!$1:$1048576,IF(OR($B571="STD. DEVIATION",$C$1=1),$A571,$A571+1),COLUMN('1-DATA'!O569)),IF($B571="STD. DEVIATION",2,$F$1))))</f>
        <v/>
      </c>
      <c r="Q571" s="1" t="str">
        <f>IF(OR($B571="",Q$7=""),"",IF($B571="MEANS",INDEX('1-DATA'!$1:$1048576,$A570-1,COLUMN('1-DATA'!P569)),ROUND(INDEX('1-DATA'!$1:$1048576,IF(OR($B571="STD. DEVIATION",$C$1=1),$A571,$A571+1),COLUMN('1-DATA'!P569)),IF($B571="STD. DEVIATION",2,$F$1))))</f>
        <v/>
      </c>
      <c r="R571" s="1" t="str">
        <f>IF(OR($B571="",R$7=""),"",IF($B571="MEANS",INDEX('1-DATA'!$1:$1048576,$A570-1,COLUMN('1-DATA'!Q569)),ROUND(INDEX('1-DATA'!$1:$1048576,IF(OR($B571="STD. DEVIATION",$C$1=1),$A571,$A571+1),COLUMN('1-DATA'!Q569)),IF($B571="STD. DEVIATION",2,$F$1))))</f>
        <v/>
      </c>
      <c r="S571" s="1" t="str">
        <f>IF(OR($B571="",S$7=""),"",IF($B571="MEANS",INDEX('1-DATA'!$1:$1048576,$A570-1,COLUMN('1-DATA'!R569)),ROUND(INDEX('1-DATA'!$1:$1048576,IF(OR($B571="STD. DEVIATION",$C$1=1),$A571,$A571+1),COLUMN('1-DATA'!R569)),IF($B571="STD. DEVIATION",2,$F$1))))</f>
        <v/>
      </c>
      <c r="T571" s="1" t="str">
        <f>IF(OR($B571="",T$7=""),"",IF($B571="MEANS",INDEX('1-DATA'!$1:$1048576,$A570-1,COLUMN('1-DATA'!S569)),ROUND(INDEX('1-DATA'!$1:$1048576,IF(OR($B571="STD. DEVIATION",$C$1=1),$A571,$A571+1),COLUMN('1-DATA'!S569)),IF($B571="STD. DEVIATION",2,$F$1))))</f>
        <v/>
      </c>
      <c r="U571" s="1" t="str">
        <f>IF(OR($B571="",U$7=""),"",IF($B571="MEANS",INDEX('1-DATA'!$1:$1048576,$A570-1,COLUMN('1-DATA'!T569)),ROUND(INDEX('1-DATA'!$1:$1048576,IF(OR($B571="STD. DEVIATION",$C$1=1),$A571,$A571+1),COLUMN('1-DATA'!T569)),IF($B571="STD. DEVIATION",2,$F$1))))</f>
        <v/>
      </c>
      <c r="V571" s="1" t="str">
        <f>IF(OR($B571="",V$7=""),"",IF($B571="MEANS",INDEX('1-DATA'!$1:$1048576,$A570-1,COLUMN('1-DATA'!U569)),ROUND(INDEX('1-DATA'!$1:$1048576,IF(OR($B571="STD. DEVIATION",$C$1=1),$A571,$A571+1),COLUMN('1-DATA'!U569)),IF($B571="STD. DEVIATION",2,$F$1))))</f>
        <v/>
      </c>
      <c r="W571" s="1" t="str">
        <f>IF(OR($B571="",W$7=""),"",IF($B571="MEANS",INDEX('1-DATA'!$1:$1048576,$A570-1,COLUMN('1-DATA'!V569)),ROUND(INDEX('1-DATA'!$1:$1048576,IF(OR($B571="STD. DEVIATION",$C$1=1),$A571,$A571+1),COLUMN('1-DATA'!V569)),IF($B571="STD. DEVIATION",2,$F$1))))</f>
        <v/>
      </c>
      <c r="X571" s="1" t="str">
        <f>IF(OR($B571="",X$7=""),"",IF($B571="MEANS",INDEX('1-DATA'!$1:$1048576,$A570-1,COLUMN('1-DATA'!W569)),ROUND(INDEX('1-DATA'!$1:$1048576,IF(OR($B571="STD. DEVIATION",$C$1=1),$A571,$A571+1),COLUMN('1-DATA'!W569)),IF($B571="STD. DEVIATION",2,$F$1))))</f>
        <v/>
      </c>
      <c r="Y571" s="1" t="str">
        <f>IF(OR($B571="",Y$7=""),"",IF($B571="MEANS",INDEX('1-DATA'!$1:$1048576,$A570-1,COLUMN('1-DATA'!X569)),ROUND(INDEX('1-DATA'!$1:$1048576,IF(OR($B571="STD. DEVIATION",$C$1=1),$A571,$A571+1),COLUMN('1-DATA'!X569)),IF($B571="STD. DEVIATION",2,$F$1))))</f>
        <v/>
      </c>
      <c r="Z571" s="1" t="str">
        <f>IF(OR($B571="",Z$7=""),"",IF($B571="MEANS",INDEX('1-DATA'!$1:$1048576,$A570-1,COLUMN('1-DATA'!Y569)),ROUND(INDEX('1-DATA'!$1:$1048576,IF(OR($B571="STD. DEVIATION",$C$1=1),$A571,$A571+1),COLUMN('1-DATA'!Y569)),IF($B571="STD. DEVIATION",2,$F$1))))</f>
        <v/>
      </c>
      <c r="AA571" s="1" t="str">
        <f>IF(OR($B571="",AA$7=""),"",IF($B571="MEANS",INDEX('1-DATA'!$1:$1048576,$A570-1,COLUMN('1-DATA'!Z569)),ROUND(INDEX('1-DATA'!$1:$1048576,IF(OR($B571="STD. DEVIATION",$C$1=1),$A571,$A571+1),COLUMN('1-DATA'!Z569)),IF($B571="STD. DEVIATION",2,$F$1))))</f>
        <v/>
      </c>
      <c r="AB571" s="1" t="str">
        <f>IF(OR($B571="",AB$7=""),"",IF($B571="MEANS",INDEX('1-DATA'!$1:$1048576,$A570-1,COLUMN('1-DATA'!AA569)),ROUND(INDEX('1-DATA'!$1:$1048576,IF(OR($B571="STD. DEVIATION",$C$1=1),$A571,$A571+1),COLUMN('1-DATA'!AA569)),IF($B571="STD. DEVIATION",2,$F$1))))</f>
        <v/>
      </c>
      <c r="AC571" s="1" t="str">
        <f>IF(OR($B571="",AC$7=""),"",IF($B571="MEANS",INDEX('1-DATA'!$1:$1048576,$A570-1,COLUMN('1-DATA'!AB569)),ROUND(INDEX('1-DATA'!$1:$1048576,IF(OR($B571="STD. DEVIATION",$C$1=1),$A571,$A571+1),COLUMN('1-DATA'!AB569)),IF($B571="STD. DEVIATION",2,$F$1))))</f>
        <v/>
      </c>
      <c r="AD571" s="1" t="str">
        <f>IF(OR($B571="",AD$7=""),"",IF($B571="MEANS",INDEX('1-DATA'!$1:$1048576,$A570-1,COLUMN('1-DATA'!AC569)),ROUND(INDEX('1-DATA'!$1:$1048576,IF(OR($B571="STD. DEVIATION",$C$1=1),$A571,$A571+1),COLUMN('1-DATA'!AC569)),IF($B571="STD. DEVIATION",2,$F$1))))</f>
        <v/>
      </c>
      <c r="AE571" s="1" t="str">
        <f>IF(OR($B571="",AE$7=""),"",IF($B571="MEANS",INDEX('1-DATA'!$1:$1048576,$A570-1,COLUMN('1-DATA'!AD569)),ROUND(INDEX('1-DATA'!$1:$1048576,IF(OR($B571="STD. DEVIATION",$C$1=1),$A571,$A571+1),COLUMN('1-DATA'!AD569)),IF($B571="STD. DEVIATION",2,$F$1))))</f>
        <v/>
      </c>
      <c r="AF571" s="1" t="str">
        <f>IF(OR($B571="",AF$7=""),"",IF($B571="MEANS",INDEX('1-DATA'!$1:$1048576,$A570-1,COLUMN('1-DATA'!AE569)),ROUND(INDEX('1-DATA'!$1:$1048576,IF(OR($B571="STD. DEVIATION",$C$1=1),$A571,$A571+1),COLUMN('1-DATA'!AE569)),IF($B571="STD. DEVIATION",2,$F$1))))</f>
        <v/>
      </c>
      <c r="AG571" s="1" t="str">
        <f>IF(OR($B571="",AG$7=""),"",IF($B571="MEANS",INDEX('1-DATA'!$1:$1048576,$A570-1,COLUMN('1-DATA'!AF569)),ROUND(INDEX('1-DATA'!$1:$1048576,IF(OR($B571="STD. DEVIATION",$C$1=1),$A571,$A571+1),COLUMN('1-DATA'!AF569)),IF($B571="STD. DEVIATION",2,$F$1))))</f>
        <v/>
      </c>
      <c r="AH571" s="1" t="str">
        <f>IF(OR($B571="",AH$7=""),"",IF($B571="MEANS",INDEX('1-DATA'!$1:$1048576,$A570-1,COLUMN('1-DATA'!AG569)),ROUND(INDEX('1-DATA'!$1:$1048576,IF(OR($B571="STD. DEVIATION",$C$1=1),$A571,$A571+1),COLUMN('1-DATA'!AG569)),IF($B571="STD. DEVIATION",2,$F$1))))</f>
        <v/>
      </c>
      <c r="AI571" s="1" t="str">
        <f>IF(OR($B571="",AI$7=""),"",IF($B571="MEANS",INDEX('1-DATA'!$1:$1048576,$A570-1,COLUMN('1-DATA'!AH569)),ROUND(INDEX('1-DATA'!$1:$1048576,IF(OR($B571="STD. DEVIATION",$C$1=1),$A571,$A571+1),COLUMN('1-DATA'!AH569)),IF($B571="STD. DEVIATION",2,$F$1))))</f>
        <v/>
      </c>
      <c r="AJ571" s="1" t="str">
        <f>IF(OR($B571="",AJ$7=""),"",IF($B571="MEANS",INDEX('1-DATA'!$1:$1048576,$A570-1,COLUMN('1-DATA'!AI569)),ROUND(INDEX('1-DATA'!$1:$1048576,IF(OR($B571="STD. DEVIATION",$C$1=1),$A571,$A571+1),COLUMN('1-DATA'!AI569)),IF($B571="STD. DEVIATION",2,$F$1))))</f>
        <v/>
      </c>
      <c r="AK571" s="1" t="str">
        <f>IF(OR($B571="",AK$7=""),"",IF($B571="MEANS",INDEX('1-DATA'!$1:$1048576,$A570-1,COLUMN('1-DATA'!AJ569)),ROUND(INDEX('1-DATA'!$1:$1048576,IF(OR($B571="STD. DEVIATION",$C$1=1),$A571,$A571+1),COLUMN('1-DATA'!AJ569)),IF($B571="STD. DEVIATION",2,$F$1))))</f>
        <v/>
      </c>
      <c r="AL571" s="1" t="str">
        <f>IF(OR($B571="",AL$7=""),"",IF($B571="MEANS",INDEX('1-DATA'!$1:$1048576,$A570-1,COLUMN('1-DATA'!AK569)),ROUND(INDEX('1-DATA'!$1:$1048576,IF(OR($B571="STD. DEVIATION",$C$1=1),$A571,$A571+1),COLUMN('1-DATA'!AK569)),IF($B571="STD. DEVIATION",2,$F$1))))</f>
        <v/>
      </c>
      <c r="AM571" s="1" t="str">
        <f>IF(OR($B571="",AM$7=""),"",IF($B571="MEANS",INDEX('1-DATA'!$1:$1048576,$A570-1,COLUMN('1-DATA'!AL569)),ROUND(INDEX('1-DATA'!$1:$1048576,IF(OR($B571="STD. DEVIATION",$C$1=1),$A571,$A571+1),COLUMN('1-DATA'!AL569)),IF($B571="STD. DEVIATION",2,$F$1))))</f>
        <v/>
      </c>
      <c r="AN571" s="1" t="str">
        <f>IF(OR($B571="",AN$7=""),"",IF($B571="MEANS",INDEX('1-DATA'!$1:$1048576,$A570-1,COLUMN('1-DATA'!AM569)),ROUND(INDEX('1-DATA'!$1:$1048576,IF(OR($B571="STD. DEVIATION",$C$1=1),$A571,$A571+1),COLUMN('1-DATA'!AM569)),IF($B571="STD. DEVIATION",2,$F$1))))</f>
        <v/>
      </c>
      <c r="AO571" s="1" t="str">
        <f>IF(OR($B571="",AO$7=""),"",IF($B571="MEANS",INDEX('1-DATA'!$1:$1048576,$A570-1,COLUMN('1-DATA'!AN569)),ROUND(INDEX('1-DATA'!$1:$1048576,IF(OR($B571="STD. DEVIATION",$C$1=1),$A571,$A571+1),COLUMN('1-DATA'!AN569)),IF($B571="STD. DEVIATION",2,$F$1))))</f>
        <v/>
      </c>
      <c r="AP571" s="1" t="str">
        <f>IF(OR($B571="",AP$7=""),"",IF($B571="MEANS",INDEX('1-DATA'!$1:$1048576,$A570-1,COLUMN('1-DATA'!AO569)),ROUND(INDEX('1-DATA'!$1:$1048576,IF(OR($B571="STD. DEVIATION",$C$1=1),$A571,$A571+1),COLUMN('1-DATA'!AO569)),IF($B571="STD. DEVIATION",2,$F$1))))</f>
        <v/>
      </c>
      <c r="AQ571" s="1" t="str">
        <f>IF(OR($B571="",AQ$7=""),"",IF($B571="MEANS",INDEX('1-DATA'!$1:$1048576,$A570-1,COLUMN('1-DATA'!AP569)),ROUND(INDEX('1-DATA'!$1:$1048576,IF(OR($B571="STD. DEVIATION",$C$1=1),$A571,$A571+1),COLUMN('1-DATA'!AP569)),IF($B571="STD. DEVIATION",2,$F$1))))</f>
        <v/>
      </c>
      <c r="AR571" s="1" t="str">
        <f>IF(OR($B571="",AR$7=""),"",IF($B571="MEANS",INDEX('1-DATA'!$1:$1048576,$A570-1,COLUMN('1-DATA'!AQ569)),ROUND(INDEX('1-DATA'!$1:$1048576,IF(OR($B571="STD. DEVIATION",$C$1=1),$A571,$A571+1),COLUMN('1-DATA'!AQ569)),IF($B571="STD. DEVIATION",2,$F$1))))</f>
        <v/>
      </c>
      <c r="AS571" s="1" t="str">
        <f>IF(OR($B571="",AS$7=""),"",IF($B571="MEANS",INDEX('1-DATA'!$1:$1048576,$A570-1,COLUMN('1-DATA'!AR569)),ROUND(INDEX('1-DATA'!$1:$1048576,IF(OR($B571="STD. DEVIATION",$C$1=1),$A571,$A571+1),COLUMN('1-DATA'!AR569)),IF($B571="STD. DEVIATION",2,$F$1))))</f>
        <v/>
      </c>
      <c r="AT571" s="1" t="str">
        <f>IF(OR($B571="",AT$7=""),"",IF($B571="MEANS",INDEX('1-DATA'!$1:$1048576,$A570-1,COLUMN('1-DATA'!AS569)),ROUND(INDEX('1-DATA'!$1:$1048576,IF(OR($B571="STD. DEVIATION",$C$1=1),$A571,$A571+1),COLUMN('1-DATA'!AS569)),IF($B571="STD. DEVIATION",2,$F$1))))</f>
        <v/>
      </c>
      <c r="AU571" s="1" t="str">
        <f>IF(OR($B571="",AU$7=""),"",IF($B571="MEANS",INDEX('1-DATA'!$1:$1048576,$A570-1,COLUMN('1-DATA'!AT569)),ROUND(INDEX('1-DATA'!$1:$1048576,IF(OR($B571="STD. DEVIATION",$C$1=1),$A571,$A571+1),COLUMN('1-DATA'!AT569)),IF($B571="STD. DEVIATION",2,$F$1))))</f>
        <v/>
      </c>
      <c r="AV571" s="1" t="str">
        <f>IF(OR($B571="",AV$7=""),"",IF($B571="MEANS",INDEX('1-DATA'!$1:$1048576,$A570-1,COLUMN('1-DATA'!AU569)),ROUND(INDEX('1-DATA'!$1:$1048576,IF(OR($B571="STD. DEVIATION",$C$1=1),$A571,$A571+1),COLUMN('1-DATA'!AU569)),IF($B571="STD. DEVIATION",2,$F$1))))</f>
        <v/>
      </c>
      <c r="AW571" s="1" t="str">
        <f>IF(OR($B571="",AW$7=""),"",IF($B571="MEANS",INDEX('1-DATA'!$1:$1048576,$A570-1,COLUMN('1-DATA'!AV569)),ROUND(INDEX('1-DATA'!$1:$1048576,IF(OR($B571="STD. DEVIATION",$C$1=1),$A571,$A571+1),COLUMN('1-DATA'!AV569)),IF($B571="STD. DEVIATION",2,$F$1))))</f>
        <v/>
      </c>
      <c r="AX571" s="1" t="str">
        <f>IF(OR($B571="",AX$7=""),"",IF($B571="MEANS",INDEX('1-DATA'!$1:$1048576,$A570-1,COLUMN('1-DATA'!AW569)),ROUND(INDEX('1-DATA'!$1:$1048576,IF(OR($B571="STD. DEVIATION",$C$1=1),$A571,$A571+1),COLUMN('1-DATA'!AW569)),IF($B571="STD. DEVIATION",2,$F$1))))</f>
        <v/>
      </c>
      <c r="AY571" s="1" t="str">
        <f>IF(OR($B571="",AY$7=""),"",IF($B571="MEANS",INDEX('1-DATA'!$1:$1048576,$A570-1,COLUMN('1-DATA'!AX569)),ROUND(INDEX('1-DATA'!$1:$1048576,IF(OR($B571="STD. DEVIATION",$C$1=1),$A571,$A571+1),COLUMN('1-DATA'!AX569)),IF($B571="STD. DEVIATION",2,$F$1))))</f>
        <v/>
      </c>
      <c r="AZ571" s="1" t="str">
        <f>IF(OR($B571="",AZ$7=""),"",IF($B571="MEANS",INDEX('1-DATA'!$1:$1048576,$A570-1,COLUMN('1-DATA'!AY569)),ROUND(INDEX('1-DATA'!$1:$1048576,IF(OR($B571="STD. DEVIATION",$C$1=1),$A571,$A571+1),COLUMN('1-DATA'!AY569)),IF($B571="STD. DEVIATION",2,$F$1))))</f>
        <v/>
      </c>
    </row>
    <row r="572" spans="1:52" x14ac:dyDescent="0.25">
      <c r="A572" s="11">
        <f t="shared" si="9"/>
        <v>1702</v>
      </c>
      <c r="B572" s="1" t="str">
        <f>IF(B571="STD. DEVIATION",INDEX('1-DATA'!$1:$1048576,$A571-1,1),IF(INDEX('1-DATA'!$1:$1048576,$A572,1)&lt;&gt;"",INDEX('1-DATA'!$1:$1048576,$A572,1),""))</f>
        <v/>
      </c>
      <c r="C572" s="1" t="str">
        <f>IF(OR($B572="",C$7=""),"",IF($B572="MEANS",INDEX('1-DATA'!$1:$1048576,$A571-1,COLUMN('1-DATA'!B570)),ROUND(INDEX('1-DATA'!$1:$1048576,IF(OR($B572="STD. DEVIATION",$C$1=1),$A572,$A572+1),COLUMN('1-DATA'!B570)),IF($B572="STD. DEVIATION",2,$F$1))))</f>
        <v/>
      </c>
      <c r="D572" s="1" t="str">
        <f>IF(OR($B572="",D$7=""),"",IF($B572="MEANS",INDEX('1-DATA'!$1:$1048576,$A571-1,COLUMN('1-DATA'!C570)),ROUND(INDEX('1-DATA'!$1:$1048576,IF(OR($B572="STD. DEVIATION",$C$1=1),$A572,$A572+1),COLUMN('1-DATA'!C570)),IF($B572="STD. DEVIATION",2,$F$1))))</f>
        <v/>
      </c>
      <c r="E572" s="1" t="str">
        <f>IF(OR($B572="",E$7=""),"",IF($B572="MEANS",INDEX('1-DATA'!$1:$1048576,$A571-1,COLUMN('1-DATA'!D570)),ROUND(INDEX('1-DATA'!$1:$1048576,IF(OR($B572="STD. DEVIATION",$C$1=1),$A572,$A572+1),COLUMN('1-DATA'!D570)),IF($B572="STD. DEVIATION",2,$F$1))))</f>
        <v/>
      </c>
      <c r="F572" s="1" t="str">
        <f>IF(OR($B572="",F$7=""),"",IF($B572="MEANS",INDEX('1-DATA'!$1:$1048576,$A571-1,COLUMN('1-DATA'!E570)),ROUND(INDEX('1-DATA'!$1:$1048576,IF(OR($B572="STD. DEVIATION",$C$1=1),$A572,$A572+1),COLUMN('1-DATA'!E570)),IF($B572="STD. DEVIATION",2,$F$1))))</f>
        <v/>
      </c>
      <c r="G572" s="1" t="str">
        <f>IF(OR($B572="",G$7=""),"",IF($B572="MEANS",INDEX('1-DATA'!$1:$1048576,$A571-1,COLUMN('1-DATA'!F570)),ROUND(INDEX('1-DATA'!$1:$1048576,IF(OR($B572="STD. DEVIATION",$C$1=1),$A572,$A572+1),COLUMN('1-DATA'!F570)),IF($B572="STD. DEVIATION",2,$F$1))))</f>
        <v/>
      </c>
      <c r="H572" s="1" t="str">
        <f>IF(OR($B572="",H$7=""),"",IF($B572="MEANS",INDEX('1-DATA'!$1:$1048576,$A571-1,COLUMN('1-DATA'!G570)),ROUND(INDEX('1-DATA'!$1:$1048576,IF(OR($B572="STD. DEVIATION",$C$1=1),$A572,$A572+1),COLUMN('1-DATA'!G570)),IF($B572="STD. DEVIATION",2,$F$1))))</f>
        <v/>
      </c>
      <c r="I572" s="1" t="str">
        <f>IF(OR($B572="",I$7=""),"",IF($B572="MEANS",INDEX('1-DATA'!$1:$1048576,$A571-1,COLUMN('1-DATA'!H570)),ROUND(INDEX('1-DATA'!$1:$1048576,IF(OR($B572="STD. DEVIATION",$C$1=1),$A572,$A572+1),COLUMN('1-DATA'!H570)),IF($B572="STD. DEVIATION",2,$F$1))))</f>
        <v/>
      </c>
      <c r="J572" s="1" t="str">
        <f>IF(OR($B572="",J$7=""),"",IF($B572="MEANS",INDEX('1-DATA'!$1:$1048576,$A571-1,COLUMN('1-DATA'!I570)),ROUND(INDEX('1-DATA'!$1:$1048576,IF(OR($B572="STD. DEVIATION",$C$1=1),$A572,$A572+1),COLUMN('1-DATA'!I570)),IF($B572="STD. DEVIATION",2,$F$1))))</f>
        <v/>
      </c>
      <c r="K572" s="1" t="str">
        <f>IF(OR($B572="",K$7=""),"",IF($B572="MEANS",INDEX('1-DATA'!$1:$1048576,$A571-1,COLUMN('1-DATA'!J570)),ROUND(INDEX('1-DATA'!$1:$1048576,IF(OR($B572="STD. DEVIATION",$C$1=1),$A572,$A572+1),COLUMN('1-DATA'!J570)),IF($B572="STD. DEVIATION",2,$F$1))))</f>
        <v/>
      </c>
      <c r="L572" s="1" t="str">
        <f>IF(OR($B572="",L$7=""),"",IF($B572="MEANS",INDEX('1-DATA'!$1:$1048576,$A571-1,COLUMN('1-DATA'!K570)),ROUND(INDEX('1-DATA'!$1:$1048576,IF(OR($B572="STD. DEVIATION",$C$1=1),$A572,$A572+1),COLUMN('1-DATA'!K570)),IF($B572="STD. DEVIATION",2,$F$1))))</f>
        <v/>
      </c>
      <c r="M572" s="1" t="str">
        <f>IF(OR($B572="",M$7=""),"",IF($B572="MEANS",INDEX('1-DATA'!$1:$1048576,$A571-1,COLUMN('1-DATA'!L570)),ROUND(INDEX('1-DATA'!$1:$1048576,IF(OR($B572="STD. DEVIATION",$C$1=1),$A572,$A572+1),COLUMN('1-DATA'!L570)),IF($B572="STD. DEVIATION",2,$F$1))))</f>
        <v/>
      </c>
      <c r="N572" s="1" t="str">
        <f>IF(OR($B572="",N$7=""),"",IF($B572="MEANS",INDEX('1-DATA'!$1:$1048576,$A571-1,COLUMN('1-DATA'!M570)),ROUND(INDEX('1-DATA'!$1:$1048576,IF(OR($B572="STD. DEVIATION",$C$1=1),$A572,$A572+1),COLUMN('1-DATA'!M570)),IF($B572="STD. DEVIATION",2,$F$1))))</f>
        <v/>
      </c>
      <c r="O572" s="1" t="str">
        <f>IF(OR($B572="",O$7=""),"",IF($B572="MEANS",INDEX('1-DATA'!$1:$1048576,$A571-1,COLUMN('1-DATA'!N570)),ROUND(INDEX('1-DATA'!$1:$1048576,IF(OR($B572="STD. DEVIATION",$C$1=1),$A572,$A572+1),COLUMN('1-DATA'!N570)),IF($B572="STD. DEVIATION",2,$F$1))))</f>
        <v/>
      </c>
      <c r="P572" s="1" t="str">
        <f>IF(OR($B572="",P$7=""),"",IF($B572="MEANS",INDEX('1-DATA'!$1:$1048576,$A571-1,COLUMN('1-DATA'!O570)),ROUND(INDEX('1-DATA'!$1:$1048576,IF(OR($B572="STD. DEVIATION",$C$1=1),$A572,$A572+1),COLUMN('1-DATA'!O570)),IF($B572="STD. DEVIATION",2,$F$1))))</f>
        <v/>
      </c>
      <c r="Q572" s="1" t="str">
        <f>IF(OR($B572="",Q$7=""),"",IF($B572="MEANS",INDEX('1-DATA'!$1:$1048576,$A571-1,COLUMN('1-DATA'!P570)),ROUND(INDEX('1-DATA'!$1:$1048576,IF(OR($B572="STD. DEVIATION",$C$1=1),$A572,$A572+1),COLUMN('1-DATA'!P570)),IF($B572="STD. DEVIATION",2,$F$1))))</f>
        <v/>
      </c>
      <c r="R572" s="1" t="str">
        <f>IF(OR($B572="",R$7=""),"",IF($B572="MEANS",INDEX('1-DATA'!$1:$1048576,$A571-1,COLUMN('1-DATA'!Q570)),ROUND(INDEX('1-DATA'!$1:$1048576,IF(OR($B572="STD. DEVIATION",$C$1=1),$A572,$A572+1),COLUMN('1-DATA'!Q570)),IF($B572="STD. DEVIATION",2,$F$1))))</f>
        <v/>
      </c>
      <c r="S572" s="1" t="str">
        <f>IF(OR($B572="",S$7=""),"",IF($B572="MEANS",INDEX('1-DATA'!$1:$1048576,$A571-1,COLUMN('1-DATA'!R570)),ROUND(INDEX('1-DATA'!$1:$1048576,IF(OR($B572="STD. DEVIATION",$C$1=1),$A572,$A572+1),COLUMN('1-DATA'!R570)),IF($B572="STD. DEVIATION",2,$F$1))))</f>
        <v/>
      </c>
      <c r="T572" s="1" t="str">
        <f>IF(OR($B572="",T$7=""),"",IF($B572="MEANS",INDEX('1-DATA'!$1:$1048576,$A571-1,COLUMN('1-DATA'!S570)),ROUND(INDEX('1-DATA'!$1:$1048576,IF(OR($B572="STD. DEVIATION",$C$1=1),$A572,$A572+1),COLUMN('1-DATA'!S570)),IF($B572="STD. DEVIATION",2,$F$1))))</f>
        <v/>
      </c>
      <c r="U572" s="1" t="str">
        <f>IF(OR($B572="",U$7=""),"",IF($B572="MEANS",INDEX('1-DATA'!$1:$1048576,$A571-1,COLUMN('1-DATA'!T570)),ROUND(INDEX('1-DATA'!$1:$1048576,IF(OR($B572="STD. DEVIATION",$C$1=1),$A572,$A572+1),COLUMN('1-DATA'!T570)),IF($B572="STD. DEVIATION",2,$F$1))))</f>
        <v/>
      </c>
      <c r="V572" s="1" t="str">
        <f>IF(OR($B572="",V$7=""),"",IF($B572="MEANS",INDEX('1-DATA'!$1:$1048576,$A571-1,COLUMN('1-DATA'!U570)),ROUND(INDEX('1-DATA'!$1:$1048576,IF(OR($B572="STD. DEVIATION",$C$1=1),$A572,$A572+1),COLUMN('1-DATA'!U570)),IF($B572="STD. DEVIATION",2,$F$1))))</f>
        <v/>
      </c>
      <c r="W572" s="1" t="str">
        <f>IF(OR($B572="",W$7=""),"",IF($B572="MEANS",INDEX('1-DATA'!$1:$1048576,$A571-1,COLUMN('1-DATA'!V570)),ROUND(INDEX('1-DATA'!$1:$1048576,IF(OR($B572="STD. DEVIATION",$C$1=1),$A572,$A572+1),COLUMN('1-DATA'!V570)),IF($B572="STD. DEVIATION",2,$F$1))))</f>
        <v/>
      </c>
      <c r="X572" s="1" t="str">
        <f>IF(OR($B572="",X$7=""),"",IF($B572="MEANS",INDEX('1-DATA'!$1:$1048576,$A571-1,COLUMN('1-DATA'!W570)),ROUND(INDEX('1-DATA'!$1:$1048576,IF(OR($B572="STD. DEVIATION",$C$1=1),$A572,$A572+1),COLUMN('1-DATA'!W570)),IF($B572="STD. DEVIATION",2,$F$1))))</f>
        <v/>
      </c>
      <c r="Y572" s="1" t="str">
        <f>IF(OR($B572="",Y$7=""),"",IF($B572="MEANS",INDEX('1-DATA'!$1:$1048576,$A571-1,COLUMN('1-DATA'!X570)),ROUND(INDEX('1-DATA'!$1:$1048576,IF(OR($B572="STD. DEVIATION",$C$1=1),$A572,$A572+1),COLUMN('1-DATA'!X570)),IF($B572="STD. DEVIATION",2,$F$1))))</f>
        <v/>
      </c>
      <c r="Z572" s="1" t="str">
        <f>IF(OR($B572="",Z$7=""),"",IF($B572="MEANS",INDEX('1-DATA'!$1:$1048576,$A571-1,COLUMN('1-DATA'!Y570)),ROUND(INDEX('1-DATA'!$1:$1048576,IF(OR($B572="STD. DEVIATION",$C$1=1),$A572,$A572+1),COLUMN('1-DATA'!Y570)),IF($B572="STD. DEVIATION",2,$F$1))))</f>
        <v/>
      </c>
      <c r="AA572" s="1" t="str">
        <f>IF(OR($B572="",AA$7=""),"",IF($B572="MEANS",INDEX('1-DATA'!$1:$1048576,$A571-1,COLUMN('1-DATA'!Z570)),ROUND(INDEX('1-DATA'!$1:$1048576,IF(OR($B572="STD. DEVIATION",$C$1=1),$A572,$A572+1),COLUMN('1-DATA'!Z570)),IF($B572="STD. DEVIATION",2,$F$1))))</f>
        <v/>
      </c>
      <c r="AB572" s="1" t="str">
        <f>IF(OR($B572="",AB$7=""),"",IF($B572="MEANS",INDEX('1-DATA'!$1:$1048576,$A571-1,COLUMN('1-DATA'!AA570)),ROUND(INDEX('1-DATA'!$1:$1048576,IF(OR($B572="STD. DEVIATION",$C$1=1),$A572,$A572+1),COLUMN('1-DATA'!AA570)),IF($B572="STD. DEVIATION",2,$F$1))))</f>
        <v/>
      </c>
      <c r="AC572" s="1" t="str">
        <f>IF(OR($B572="",AC$7=""),"",IF($B572="MEANS",INDEX('1-DATA'!$1:$1048576,$A571-1,COLUMN('1-DATA'!AB570)),ROUND(INDEX('1-DATA'!$1:$1048576,IF(OR($B572="STD. DEVIATION",$C$1=1),$A572,$A572+1),COLUMN('1-DATA'!AB570)),IF($B572="STD. DEVIATION",2,$F$1))))</f>
        <v/>
      </c>
      <c r="AD572" s="1" t="str">
        <f>IF(OR($B572="",AD$7=""),"",IF($B572="MEANS",INDEX('1-DATA'!$1:$1048576,$A571-1,COLUMN('1-DATA'!AC570)),ROUND(INDEX('1-DATA'!$1:$1048576,IF(OR($B572="STD. DEVIATION",$C$1=1),$A572,$A572+1),COLUMN('1-DATA'!AC570)),IF($B572="STD. DEVIATION",2,$F$1))))</f>
        <v/>
      </c>
      <c r="AE572" s="1" t="str">
        <f>IF(OR($B572="",AE$7=""),"",IF($B572="MEANS",INDEX('1-DATA'!$1:$1048576,$A571-1,COLUMN('1-DATA'!AD570)),ROUND(INDEX('1-DATA'!$1:$1048576,IF(OR($B572="STD. DEVIATION",$C$1=1),$A572,$A572+1),COLUMN('1-DATA'!AD570)),IF($B572="STD. DEVIATION",2,$F$1))))</f>
        <v/>
      </c>
      <c r="AF572" s="1" t="str">
        <f>IF(OR($B572="",AF$7=""),"",IF($B572="MEANS",INDEX('1-DATA'!$1:$1048576,$A571-1,COLUMN('1-DATA'!AE570)),ROUND(INDEX('1-DATA'!$1:$1048576,IF(OR($B572="STD. DEVIATION",$C$1=1),$A572,$A572+1),COLUMN('1-DATA'!AE570)),IF($B572="STD. DEVIATION",2,$F$1))))</f>
        <v/>
      </c>
      <c r="AG572" s="1" t="str">
        <f>IF(OR($B572="",AG$7=""),"",IF($B572="MEANS",INDEX('1-DATA'!$1:$1048576,$A571-1,COLUMN('1-DATA'!AF570)),ROUND(INDEX('1-DATA'!$1:$1048576,IF(OR($B572="STD. DEVIATION",$C$1=1),$A572,$A572+1),COLUMN('1-DATA'!AF570)),IF($B572="STD. DEVIATION",2,$F$1))))</f>
        <v/>
      </c>
      <c r="AH572" s="1" t="str">
        <f>IF(OR($B572="",AH$7=""),"",IF($B572="MEANS",INDEX('1-DATA'!$1:$1048576,$A571-1,COLUMN('1-DATA'!AG570)),ROUND(INDEX('1-DATA'!$1:$1048576,IF(OR($B572="STD. DEVIATION",$C$1=1),$A572,$A572+1),COLUMN('1-DATA'!AG570)),IF($B572="STD. DEVIATION",2,$F$1))))</f>
        <v/>
      </c>
      <c r="AI572" s="1" t="str">
        <f>IF(OR($B572="",AI$7=""),"",IF($B572="MEANS",INDEX('1-DATA'!$1:$1048576,$A571-1,COLUMN('1-DATA'!AH570)),ROUND(INDEX('1-DATA'!$1:$1048576,IF(OR($B572="STD. DEVIATION",$C$1=1),$A572,$A572+1),COLUMN('1-DATA'!AH570)),IF($B572="STD. DEVIATION",2,$F$1))))</f>
        <v/>
      </c>
      <c r="AJ572" s="1" t="str">
        <f>IF(OR($B572="",AJ$7=""),"",IF($B572="MEANS",INDEX('1-DATA'!$1:$1048576,$A571-1,COLUMN('1-DATA'!AI570)),ROUND(INDEX('1-DATA'!$1:$1048576,IF(OR($B572="STD. DEVIATION",$C$1=1),$A572,$A572+1),COLUMN('1-DATA'!AI570)),IF($B572="STD. DEVIATION",2,$F$1))))</f>
        <v/>
      </c>
      <c r="AK572" s="1" t="str">
        <f>IF(OR($B572="",AK$7=""),"",IF($B572="MEANS",INDEX('1-DATA'!$1:$1048576,$A571-1,COLUMN('1-DATA'!AJ570)),ROUND(INDEX('1-DATA'!$1:$1048576,IF(OR($B572="STD. DEVIATION",$C$1=1),$A572,$A572+1),COLUMN('1-DATA'!AJ570)),IF($B572="STD. DEVIATION",2,$F$1))))</f>
        <v/>
      </c>
      <c r="AL572" s="1" t="str">
        <f>IF(OR($B572="",AL$7=""),"",IF($B572="MEANS",INDEX('1-DATA'!$1:$1048576,$A571-1,COLUMN('1-DATA'!AK570)),ROUND(INDEX('1-DATA'!$1:$1048576,IF(OR($B572="STD. DEVIATION",$C$1=1),$A572,$A572+1),COLUMN('1-DATA'!AK570)),IF($B572="STD. DEVIATION",2,$F$1))))</f>
        <v/>
      </c>
      <c r="AM572" s="1" t="str">
        <f>IF(OR($B572="",AM$7=""),"",IF($B572="MEANS",INDEX('1-DATA'!$1:$1048576,$A571-1,COLUMN('1-DATA'!AL570)),ROUND(INDEX('1-DATA'!$1:$1048576,IF(OR($B572="STD. DEVIATION",$C$1=1),$A572,$A572+1),COLUMN('1-DATA'!AL570)),IF($B572="STD. DEVIATION",2,$F$1))))</f>
        <v/>
      </c>
      <c r="AN572" s="1" t="str">
        <f>IF(OR($B572="",AN$7=""),"",IF($B572="MEANS",INDEX('1-DATA'!$1:$1048576,$A571-1,COLUMN('1-DATA'!AM570)),ROUND(INDEX('1-DATA'!$1:$1048576,IF(OR($B572="STD. DEVIATION",$C$1=1),$A572,$A572+1),COLUMN('1-DATA'!AM570)),IF($B572="STD. DEVIATION",2,$F$1))))</f>
        <v/>
      </c>
      <c r="AO572" s="1" t="str">
        <f>IF(OR($B572="",AO$7=""),"",IF($B572="MEANS",INDEX('1-DATA'!$1:$1048576,$A571-1,COLUMN('1-DATA'!AN570)),ROUND(INDEX('1-DATA'!$1:$1048576,IF(OR($B572="STD. DEVIATION",$C$1=1),$A572,$A572+1),COLUMN('1-DATA'!AN570)),IF($B572="STD. DEVIATION",2,$F$1))))</f>
        <v/>
      </c>
      <c r="AP572" s="1" t="str">
        <f>IF(OR($B572="",AP$7=""),"",IF($B572="MEANS",INDEX('1-DATA'!$1:$1048576,$A571-1,COLUMN('1-DATA'!AO570)),ROUND(INDEX('1-DATA'!$1:$1048576,IF(OR($B572="STD. DEVIATION",$C$1=1),$A572,$A572+1),COLUMN('1-DATA'!AO570)),IF($B572="STD. DEVIATION",2,$F$1))))</f>
        <v/>
      </c>
      <c r="AQ572" s="1" t="str">
        <f>IF(OR($B572="",AQ$7=""),"",IF($B572="MEANS",INDEX('1-DATA'!$1:$1048576,$A571-1,COLUMN('1-DATA'!AP570)),ROUND(INDEX('1-DATA'!$1:$1048576,IF(OR($B572="STD. DEVIATION",$C$1=1),$A572,$A572+1),COLUMN('1-DATA'!AP570)),IF($B572="STD. DEVIATION",2,$F$1))))</f>
        <v/>
      </c>
      <c r="AR572" s="1" t="str">
        <f>IF(OR($B572="",AR$7=""),"",IF($B572="MEANS",INDEX('1-DATA'!$1:$1048576,$A571-1,COLUMN('1-DATA'!AQ570)),ROUND(INDEX('1-DATA'!$1:$1048576,IF(OR($B572="STD. DEVIATION",$C$1=1),$A572,$A572+1),COLUMN('1-DATA'!AQ570)),IF($B572="STD. DEVIATION",2,$F$1))))</f>
        <v/>
      </c>
      <c r="AS572" s="1" t="str">
        <f>IF(OR($B572="",AS$7=""),"",IF($B572="MEANS",INDEX('1-DATA'!$1:$1048576,$A571-1,COLUMN('1-DATA'!AR570)),ROUND(INDEX('1-DATA'!$1:$1048576,IF(OR($B572="STD. DEVIATION",$C$1=1),$A572,$A572+1),COLUMN('1-DATA'!AR570)),IF($B572="STD. DEVIATION",2,$F$1))))</f>
        <v/>
      </c>
      <c r="AT572" s="1" t="str">
        <f>IF(OR($B572="",AT$7=""),"",IF($B572="MEANS",INDEX('1-DATA'!$1:$1048576,$A571-1,COLUMN('1-DATA'!AS570)),ROUND(INDEX('1-DATA'!$1:$1048576,IF(OR($B572="STD. DEVIATION",$C$1=1),$A572,$A572+1),COLUMN('1-DATA'!AS570)),IF($B572="STD. DEVIATION",2,$F$1))))</f>
        <v/>
      </c>
      <c r="AU572" s="1" t="str">
        <f>IF(OR($B572="",AU$7=""),"",IF($B572="MEANS",INDEX('1-DATA'!$1:$1048576,$A571-1,COLUMN('1-DATA'!AT570)),ROUND(INDEX('1-DATA'!$1:$1048576,IF(OR($B572="STD. DEVIATION",$C$1=1),$A572,$A572+1),COLUMN('1-DATA'!AT570)),IF($B572="STD. DEVIATION",2,$F$1))))</f>
        <v/>
      </c>
      <c r="AV572" s="1" t="str">
        <f>IF(OR($B572="",AV$7=""),"",IF($B572="MEANS",INDEX('1-DATA'!$1:$1048576,$A571-1,COLUMN('1-DATA'!AU570)),ROUND(INDEX('1-DATA'!$1:$1048576,IF(OR($B572="STD. DEVIATION",$C$1=1),$A572,$A572+1),COLUMN('1-DATA'!AU570)),IF($B572="STD. DEVIATION",2,$F$1))))</f>
        <v/>
      </c>
      <c r="AW572" s="1" t="str">
        <f>IF(OR($B572="",AW$7=""),"",IF($B572="MEANS",INDEX('1-DATA'!$1:$1048576,$A571-1,COLUMN('1-DATA'!AV570)),ROUND(INDEX('1-DATA'!$1:$1048576,IF(OR($B572="STD. DEVIATION",$C$1=1),$A572,$A572+1),COLUMN('1-DATA'!AV570)),IF($B572="STD. DEVIATION",2,$F$1))))</f>
        <v/>
      </c>
      <c r="AX572" s="1" t="str">
        <f>IF(OR($B572="",AX$7=""),"",IF($B572="MEANS",INDEX('1-DATA'!$1:$1048576,$A571-1,COLUMN('1-DATA'!AW570)),ROUND(INDEX('1-DATA'!$1:$1048576,IF(OR($B572="STD. DEVIATION",$C$1=1),$A572,$A572+1),COLUMN('1-DATA'!AW570)),IF($B572="STD. DEVIATION",2,$F$1))))</f>
        <v/>
      </c>
      <c r="AY572" s="1" t="str">
        <f>IF(OR($B572="",AY$7=""),"",IF($B572="MEANS",INDEX('1-DATA'!$1:$1048576,$A571-1,COLUMN('1-DATA'!AX570)),ROUND(INDEX('1-DATA'!$1:$1048576,IF(OR($B572="STD. DEVIATION",$C$1=1),$A572,$A572+1),COLUMN('1-DATA'!AX570)),IF($B572="STD. DEVIATION",2,$F$1))))</f>
        <v/>
      </c>
      <c r="AZ572" s="1" t="str">
        <f>IF(OR($B572="",AZ$7=""),"",IF($B572="MEANS",INDEX('1-DATA'!$1:$1048576,$A571-1,COLUMN('1-DATA'!AY570)),ROUND(INDEX('1-DATA'!$1:$1048576,IF(OR($B572="STD. DEVIATION",$C$1=1),$A572,$A572+1),COLUMN('1-DATA'!AY570)),IF($B572="STD. DEVIATION",2,$F$1))))</f>
        <v/>
      </c>
    </row>
    <row r="573" spans="1:52" x14ac:dyDescent="0.25">
      <c r="A573" s="11">
        <f t="shared" si="9"/>
        <v>1705</v>
      </c>
      <c r="B573" s="1" t="str">
        <f>IF(B572="STD. DEVIATION",INDEX('1-DATA'!$1:$1048576,$A572-1,1),IF(INDEX('1-DATA'!$1:$1048576,$A573,1)&lt;&gt;"",INDEX('1-DATA'!$1:$1048576,$A573,1),""))</f>
        <v/>
      </c>
      <c r="C573" s="1" t="str">
        <f>IF(OR($B573="",C$7=""),"",IF($B573="MEANS",INDEX('1-DATA'!$1:$1048576,$A572-1,COLUMN('1-DATA'!B571)),ROUND(INDEX('1-DATA'!$1:$1048576,IF(OR($B573="STD. DEVIATION",$C$1=1),$A573,$A573+1),COLUMN('1-DATA'!B571)),IF($B573="STD. DEVIATION",2,$F$1))))</f>
        <v/>
      </c>
      <c r="D573" s="1" t="str">
        <f>IF(OR($B573="",D$7=""),"",IF($B573="MEANS",INDEX('1-DATA'!$1:$1048576,$A572-1,COLUMN('1-DATA'!C571)),ROUND(INDEX('1-DATA'!$1:$1048576,IF(OR($B573="STD. DEVIATION",$C$1=1),$A573,$A573+1),COLUMN('1-DATA'!C571)),IF($B573="STD. DEVIATION",2,$F$1))))</f>
        <v/>
      </c>
      <c r="E573" s="1" t="str">
        <f>IF(OR($B573="",E$7=""),"",IF($B573="MEANS",INDEX('1-DATA'!$1:$1048576,$A572-1,COLUMN('1-DATA'!D571)),ROUND(INDEX('1-DATA'!$1:$1048576,IF(OR($B573="STD. DEVIATION",$C$1=1),$A573,$A573+1),COLUMN('1-DATA'!D571)),IF($B573="STD. DEVIATION",2,$F$1))))</f>
        <v/>
      </c>
      <c r="F573" s="1" t="str">
        <f>IF(OR($B573="",F$7=""),"",IF($B573="MEANS",INDEX('1-DATA'!$1:$1048576,$A572-1,COLUMN('1-DATA'!E571)),ROUND(INDEX('1-DATA'!$1:$1048576,IF(OR($B573="STD. DEVIATION",$C$1=1),$A573,$A573+1),COLUMN('1-DATA'!E571)),IF($B573="STD. DEVIATION",2,$F$1))))</f>
        <v/>
      </c>
      <c r="G573" s="1" t="str">
        <f>IF(OR($B573="",G$7=""),"",IF($B573="MEANS",INDEX('1-DATA'!$1:$1048576,$A572-1,COLUMN('1-DATA'!F571)),ROUND(INDEX('1-DATA'!$1:$1048576,IF(OR($B573="STD. DEVIATION",$C$1=1),$A573,$A573+1),COLUMN('1-DATA'!F571)),IF($B573="STD. DEVIATION",2,$F$1))))</f>
        <v/>
      </c>
      <c r="H573" s="1" t="str">
        <f>IF(OR($B573="",H$7=""),"",IF($B573="MEANS",INDEX('1-DATA'!$1:$1048576,$A572-1,COLUMN('1-DATA'!G571)),ROUND(INDEX('1-DATA'!$1:$1048576,IF(OR($B573="STD. DEVIATION",$C$1=1),$A573,$A573+1),COLUMN('1-DATA'!G571)),IF($B573="STD. DEVIATION",2,$F$1))))</f>
        <v/>
      </c>
      <c r="I573" s="1" t="str">
        <f>IF(OR($B573="",I$7=""),"",IF($B573="MEANS",INDEX('1-DATA'!$1:$1048576,$A572-1,COLUMN('1-DATA'!H571)),ROUND(INDEX('1-DATA'!$1:$1048576,IF(OR($B573="STD. DEVIATION",$C$1=1),$A573,$A573+1),COLUMN('1-DATA'!H571)),IF($B573="STD. DEVIATION",2,$F$1))))</f>
        <v/>
      </c>
      <c r="J573" s="1" t="str">
        <f>IF(OR($B573="",J$7=""),"",IF($B573="MEANS",INDEX('1-DATA'!$1:$1048576,$A572-1,COLUMN('1-DATA'!I571)),ROUND(INDEX('1-DATA'!$1:$1048576,IF(OR($B573="STD. DEVIATION",$C$1=1),$A573,$A573+1),COLUMN('1-DATA'!I571)),IF($B573="STD. DEVIATION",2,$F$1))))</f>
        <v/>
      </c>
      <c r="K573" s="1" t="str">
        <f>IF(OR($B573="",K$7=""),"",IF($B573="MEANS",INDEX('1-DATA'!$1:$1048576,$A572-1,COLUMN('1-DATA'!J571)),ROUND(INDEX('1-DATA'!$1:$1048576,IF(OR($B573="STD. DEVIATION",$C$1=1),$A573,$A573+1),COLUMN('1-DATA'!J571)),IF($B573="STD. DEVIATION",2,$F$1))))</f>
        <v/>
      </c>
      <c r="L573" s="1" t="str">
        <f>IF(OR($B573="",L$7=""),"",IF($B573="MEANS",INDEX('1-DATA'!$1:$1048576,$A572-1,COLUMN('1-DATA'!K571)),ROUND(INDEX('1-DATA'!$1:$1048576,IF(OR($B573="STD. DEVIATION",$C$1=1),$A573,$A573+1),COLUMN('1-DATA'!K571)),IF($B573="STD. DEVIATION",2,$F$1))))</f>
        <v/>
      </c>
      <c r="M573" s="1" t="str">
        <f>IF(OR($B573="",M$7=""),"",IF($B573="MEANS",INDEX('1-DATA'!$1:$1048576,$A572-1,COLUMN('1-DATA'!L571)),ROUND(INDEX('1-DATA'!$1:$1048576,IF(OR($B573="STD. DEVIATION",$C$1=1),$A573,$A573+1),COLUMN('1-DATA'!L571)),IF($B573="STD. DEVIATION",2,$F$1))))</f>
        <v/>
      </c>
      <c r="N573" s="1" t="str">
        <f>IF(OR($B573="",N$7=""),"",IF($B573="MEANS",INDEX('1-DATA'!$1:$1048576,$A572-1,COLUMN('1-DATA'!M571)),ROUND(INDEX('1-DATA'!$1:$1048576,IF(OR($B573="STD. DEVIATION",$C$1=1),$A573,$A573+1),COLUMN('1-DATA'!M571)),IF($B573="STD. DEVIATION",2,$F$1))))</f>
        <v/>
      </c>
      <c r="O573" s="1" t="str">
        <f>IF(OR($B573="",O$7=""),"",IF($B573="MEANS",INDEX('1-DATA'!$1:$1048576,$A572-1,COLUMN('1-DATA'!N571)),ROUND(INDEX('1-DATA'!$1:$1048576,IF(OR($B573="STD. DEVIATION",$C$1=1),$A573,$A573+1),COLUMN('1-DATA'!N571)),IF($B573="STD. DEVIATION",2,$F$1))))</f>
        <v/>
      </c>
      <c r="P573" s="1" t="str">
        <f>IF(OR($B573="",P$7=""),"",IF($B573="MEANS",INDEX('1-DATA'!$1:$1048576,$A572-1,COLUMN('1-DATA'!O571)),ROUND(INDEX('1-DATA'!$1:$1048576,IF(OR($B573="STD. DEVIATION",$C$1=1),$A573,$A573+1),COLUMN('1-DATA'!O571)),IF($B573="STD. DEVIATION",2,$F$1))))</f>
        <v/>
      </c>
      <c r="Q573" s="1" t="str">
        <f>IF(OR($B573="",Q$7=""),"",IF($B573="MEANS",INDEX('1-DATA'!$1:$1048576,$A572-1,COLUMN('1-DATA'!P571)),ROUND(INDEX('1-DATA'!$1:$1048576,IF(OR($B573="STD. DEVIATION",$C$1=1),$A573,$A573+1),COLUMN('1-DATA'!P571)),IF($B573="STD. DEVIATION",2,$F$1))))</f>
        <v/>
      </c>
      <c r="R573" s="1" t="str">
        <f>IF(OR($B573="",R$7=""),"",IF($B573="MEANS",INDEX('1-DATA'!$1:$1048576,$A572-1,COLUMN('1-DATA'!Q571)),ROUND(INDEX('1-DATA'!$1:$1048576,IF(OR($B573="STD. DEVIATION",$C$1=1),$A573,$A573+1),COLUMN('1-DATA'!Q571)),IF($B573="STD. DEVIATION",2,$F$1))))</f>
        <v/>
      </c>
      <c r="S573" s="1" t="str">
        <f>IF(OR($B573="",S$7=""),"",IF($B573="MEANS",INDEX('1-DATA'!$1:$1048576,$A572-1,COLUMN('1-DATA'!R571)),ROUND(INDEX('1-DATA'!$1:$1048576,IF(OR($B573="STD. DEVIATION",$C$1=1),$A573,$A573+1),COLUMN('1-DATA'!R571)),IF($B573="STD. DEVIATION",2,$F$1))))</f>
        <v/>
      </c>
      <c r="T573" s="1" t="str">
        <f>IF(OR($B573="",T$7=""),"",IF($B573="MEANS",INDEX('1-DATA'!$1:$1048576,$A572-1,COLUMN('1-DATA'!S571)),ROUND(INDEX('1-DATA'!$1:$1048576,IF(OR($B573="STD. DEVIATION",$C$1=1),$A573,$A573+1),COLUMN('1-DATA'!S571)),IF($B573="STD. DEVIATION",2,$F$1))))</f>
        <v/>
      </c>
      <c r="U573" s="1" t="str">
        <f>IF(OR($B573="",U$7=""),"",IF($B573="MEANS",INDEX('1-DATA'!$1:$1048576,$A572-1,COLUMN('1-DATA'!T571)),ROUND(INDEX('1-DATA'!$1:$1048576,IF(OR($B573="STD. DEVIATION",$C$1=1),$A573,$A573+1),COLUMN('1-DATA'!T571)),IF($B573="STD. DEVIATION",2,$F$1))))</f>
        <v/>
      </c>
      <c r="V573" s="1" t="str">
        <f>IF(OR($B573="",V$7=""),"",IF($B573="MEANS",INDEX('1-DATA'!$1:$1048576,$A572-1,COLUMN('1-DATA'!U571)),ROUND(INDEX('1-DATA'!$1:$1048576,IF(OR($B573="STD. DEVIATION",$C$1=1),$A573,$A573+1),COLUMN('1-DATA'!U571)),IF($B573="STD. DEVIATION",2,$F$1))))</f>
        <v/>
      </c>
      <c r="W573" s="1" t="str">
        <f>IF(OR($B573="",W$7=""),"",IF($B573="MEANS",INDEX('1-DATA'!$1:$1048576,$A572-1,COLUMN('1-DATA'!V571)),ROUND(INDEX('1-DATA'!$1:$1048576,IF(OR($B573="STD. DEVIATION",$C$1=1),$A573,$A573+1),COLUMN('1-DATA'!V571)),IF($B573="STD. DEVIATION",2,$F$1))))</f>
        <v/>
      </c>
      <c r="X573" s="1" t="str">
        <f>IF(OR($B573="",X$7=""),"",IF($B573="MEANS",INDEX('1-DATA'!$1:$1048576,$A572-1,COLUMN('1-DATA'!W571)),ROUND(INDEX('1-DATA'!$1:$1048576,IF(OR($B573="STD. DEVIATION",$C$1=1),$A573,$A573+1),COLUMN('1-DATA'!W571)),IF($B573="STD. DEVIATION",2,$F$1))))</f>
        <v/>
      </c>
      <c r="Y573" s="1" t="str">
        <f>IF(OR($B573="",Y$7=""),"",IF($B573="MEANS",INDEX('1-DATA'!$1:$1048576,$A572-1,COLUMN('1-DATA'!X571)),ROUND(INDEX('1-DATA'!$1:$1048576,IF(OR($B573="STD. DEVIATION",$C$1=1),$A573,$A573+1),COLUMN('1-DATA'!X571)),IF($B573="STD. DEVIATION",2,$F$1))))</f>
        <v/>
      </c>
      <c r="Z573" s="1" t="str">
        <f>IF(OR($B573="",Z$7=""),"",IF($B573="MEANS",INDEX('1-DATA'!$1:$1048576,$A572-1,COLUMN('1-DATA'!Y571)),ROUND(INDEX('1-DATA'!$1:$1048576,IF(OR($B573="STD. DEVIATION",$C$1=1),$A573,$A573+1),COLUMN('1-DATA'!Y571)),IF($B573="STD. DEVIATION",2,$F$1))))</f>
        <v/>
      </c>
      <c r="AA573" s="1" t="str">
        <f>IF(OR($B573="",AA$7=""),"",IF($B573="MEANS",INDEX('1-DATA'!$1:$1048576,$A572-1,COLUMN('1-DATA'!Z571)),ROUND(INDEX('1-DATA'!$1:$1048576,IF(OR($B573="STD. DEVIATION",$C$1=1),$A573,$A573+1),COLUMN('1-DATA'!Z571)),IF($B573="STD. DEVIATION",2,$F$1))))</f>
        <v/>
      </c>
      <c r="AB573" s="1" t="str">
        <f>IF(OR($B573="",AB$7=""),"",IF($B573="MEANS",INDEX('1-DATA'!$1:$1048576,$A572-1,COLUMN('1-DATA'!AA571)),ROUND(INDEX('1-DATA'!$1:$1048576,IF(OR($B573="STD. DEVIATION",$C$1=1),$A573,$A573+1),COLUMN('1-DATA'!AA571)),IF($B573="STD. DEVIATION",2,$F$1))))</f>
        <v/>
      </c>
      <c r="AC573" s="1" t="str">
        <f>IF(OR($B573="",AC$7=""),"",IF($B573="MEANS",INDEX('1-DATA'!$1:$1048576,$A572-1,COLUMN('1-DATA'!AB571)),ROUND(INDEX('1-DATA'!$1:$1048576,IF(OR($B573="STD. DEVIATION",$C$1=1),$A573,$A573+1),COLUMN('1-DATA'!AB571)),IF($B573="STD. DEVIATION",2,$F$1))))</f>
        <v/>
      </c>
      <c r="AD573" s="1" t="str">
        <f>IF(OR($B573="",AD$7=""),"",IF($B573="MEANS",INDEX('1-DATA'!$1:$1048576,$A572-1,COLUMN('1-DATA'!AC571)),ROUND(INDEX('1-DATA'!$1:$1048576,IF(OR($B573="STD. DEVIATION",$C$1=1),$A573,$A573+1),COLUMN('1-DATA'!AC571)),IF($B573="STD. DEVIATION",2,$F$1))))</f>
        <v/>
      </c>
      <c r="AE573" s="1" t="str">
        <f>IF(OR($B573="",AE$7=""),"",IF($B573="MEANS",INDEX('1-DATA'!$1:$1048576,$A572-1,COLUMN('1-DATA'!AD571)),ROUND(INDEX('1-DATA'!$1:$1048576,IF(OR($B573="STD. DEVIATION",$C$1=1),$A573,$A573+1),COLUMN('1-DATA'!AD571)),IF($B573="STD. DEVIATION",2,$F$1))))</f>
        <v/>
      </c>
      <c r="AF573" s="1" t="str">
        <f>IF(OR($B573="",AF$7=""),"",IF($B573="MEANS",INDEX('1-DATA'!$1:$1048576,$A572-1,COLUMN('1-DATA'!AE571)),ROUND(INDEX('1-DATA'!$1:$1048576,IF(OR($B573="STD. DEVIATION",$C$1=1),$A573,$A573+1),COLUMN('1-DATA'!AE571)),IF($B573="STD. DEVIATION",2,$F$1))))</f>
        <v/>
      </c>
      <c r="AG573" s="1" t="str">
        <f>IF(OR($B573="",AG$7=""),"",IF($B573="MEANS",INDEX('1-DATA'!$1:$1048576,$A572-1,COLUMN('1-DATA'!AF571)),ROUND(INDEX('1-DATA'!$1:$1048576,IF(OR($B573="STD. DEVIATION",$C$1=1),$A573,$A573+1),COLUMN('1-DATA'!AF571)),IF($B573="STD. DEVIATION",2,$F$1))))</f>
        <v/>
      </c>
      <c r="AH573" s="1" t="str">
        <f>IF(OR($B573="",AH$7=""),"",IF($B573="MEANS",INDEX('1-DATA'!$1:$1048576,$A572-1,COLUMN('1-DATA'!AG571)),ROUND(INDEX('1-DATA'!$1:$1048576,IF(OR($B573="STD. DEVIATION",$C$1=1),$A573,$A573+1),COLUMN('1-DATA'!AG571)),IF($B573="STD. DEVIATION",2,$F$1))))</f>
        <v/>
      </c>
      <c r="AI573" s="1" t="str">
        <f>IF(OR($B573="",AI$7=""),"",IF($B573="MEANS",INDEX('1-DATA'!$1:$1048576,$A572-1,COLUMN('1-DATA'!AH571)),ROUND(INDEX('1-DATA'!$1:$1048576,IF(OR($B573="STD. DEVIATION",$C$1=1),$A573,$A573+1),COLUMN('1-DATA'!AH571)),IF($B573="STD. DEVIATION",2,$F$1))))</f>
        <v/>
      </c>
      <c r="AJ573" s="1" t="str">
        <f>IF(OR($B573="",AJ$7=""),"",IF($B573="MEANS",INDEX('1-DATA'!$1:$1048576,$A572-1,COLUMN('1-DATA'!AI571)),ROUND(INDEX('1-DATA'!$1:$1048576,IF(OR($B573="STD. DEVIATION",$C$1=1),$A573,$A573+1),COLUMN('1-DATA'!AI571)),IF($B573="STD. DEVIATION",2,$F$1))))</f>
        <v/>
      </c>
      <c r="AK573" s="1" t="str">
        <f>IF(OR($B573="",AK$7=""),"",IF($B573="MEANS",INDEX('1-DATA'!$1:$1048576,$A572-1,COLUMN('1-DATA'!AJ571)),ROUND(INDEX('1-DATA'!$1:$1048576,IF(OR($B573="STD. DEVIATION",$C$1=1),$A573,$A573+1),COLUMN('1-DATA'!AJ571)),IF($B573="STD. DEVIATION",2,$F$1))))</f>
        <v/>
      </c>
      <c r="AL573" s="1" t="str">
        <f>IF(OR($B573="",AL$7=""),"",IF($B573="MEANS",INDEX('1-DATA'!$1:$1048576,$A572-1,COLUMN('1-DATA'!AK571)),ROUND(INDEX('1-DATA'!$1:$1048576,IF(OR($B573="STD. DEVIATION",$C$1=1),$A573,$A573+1),COLUMN('1-DATA'!AK571)),IF($B573="STD. DEVIATION",2,$F$1))))</f>
        <v/>
      </c>
      <c r="AM573" s="1" t="str">
        <f>IF(OR($B573="",AM$7=""),"",IF($B573="MEANS",INDEX('1-DATA'!$1:$1048576,$A572-1,COLUMN('1-DATA'!AL571)),ROUND(INDEX('1-DATA'!$1:$1048576,IF(OR($B573="STD. DEVIATION",$C$1=1),$A573,$A573+1),COLUMN('1-DATA'!AL571)),IF($B573="STD. DEVIATION",2,$F$1))))</f>
        <v/>
      </c>
      <c r="AN573" s="1" t="str">
        <f>IF(OR($B573="",AN$7=""),"",IF($B573="MEANS",INDEX('1-DATA'!$1:$1048576,$A572-1,COLUMN('1-DATA'!AM571)),ROUND(INDEX('1-DATA'!$1:$1048576,IF(OR($B573="STD. DEVIATION",$C$1=1),$A573,$A573+1),COLUMN('1-DATA'!AM571)),IF($B573="STD. DEVIATION",2,$F$1))))</f>
        <v/>
      </c>
      <c r="AO573" s="1" t="str">
        <f>IF(OR($B573="",AO$7=""),"",IF($B573="MEANS",INDEX('1-DATA'!$1:$1048576,$A572-1,COLUMN('1-DATA'!AN571)),ROUND(INDEX('1-DATA'!$1:$1048576,IF(OR($B573="STD. DEVIATION",$C$1=1),$A573,$A573+1),COLUMN('1-DATA'!AN571)),IF($B573="STD. DEVIATION",2,$F$1))))</f>
        <v/>
      </c>
      <c r="AP573" s="1" t="str">
        <f>IF(OR($B573="",AP$7=""),"",IF($B573="MEANS",INDEX('1-DATA'!$1:$1048576,$A572-1,COLUMN('1-DATA'!AO571)),ROUND(INDEX('1-DATA'!$1:$1048576,IF(OR($B573="STD. DEVIATION",$C$1=1),$A573,$A573+1),COLUMN('1-DATA'!AO571)),IF($B573="STD. DEVIATION",2,$F$1))))</f>
        <v/>
      </c>
      <c r="AQ573" s="1" t="str">
        <f>IF(OR($B573="",AQ$7=""),"",IF($B573="MEANS",INDEX('1-DATA'!$1:$1048576,$A572-1,COLUMN('1-DATA'!AP571)),ROUND(INDEX('1-DATA'!$1:$1048576,IF(OR($B573="STD. DEVIATION",$C$1=1),$A573,$A573+1),COLUMN('1-DATA'!AP571)),IF($B573="STD. DEVIATION",2,$F$1))))</f>
        <v/>
      </c>
      <c r="AR573" s="1" t="str">
        <f>IF(OR($B573="",AR$7=""),"",IF($B573="MEANS",INDEX('1-DATA'!$1:$1048576,$A572-1,COLUMN('1-DATA'!AQ571)),ROUND(INDEX('1-DATA'!$1:$1048576,IF(OR($B573="STD. DEVIATION",$C$1=1),$A573,$A573+1),COLUMN('1-DATA'!AQ571)),IF($B573="STD. DEVIATION",2,$F$1))))</f>
        <v/>
      </c>
      <c r="AS573" s="1" t="str">
        <f>IF(OR($B573="",AS$7=""),"",IF($B573="MEANS",INDEX('1-DATA'!$1:$1048576,$A572-1,COLUMN('1-DATA'!AR571)),ROUND(INDEX('1-DATA'!$1:$1048576,IF(OR($B573="STD. DEVIATION",$C$1=1),$A573,$A573+1),COLUMN('1-DATA'!AR571)),IF($B573="STD. DEVIATION",2,$F$1))))</f>
        <v/>
      </c>
      <c r="AT573" s="1" t="str">
        <f>IF(OR($B573="",AT$7=""),"",IF($B573="MEANS",INDEX('1-DATA'!$1:$1048576,$A572-1,COLUMN('1-DATA'!AS571)),ROUND(INDEX('1-DATA'!$1:$1048576,IF(OR($B573="STD. DEVIATION",$C$1=1),$A573,$A573+1),COLUMN('1-DATA'!AS571)),IF($B573="STD. DEVIATION",2,$F$1))))</f>
        <v/>
      </c>
      <c r="AU573" s="1" t="str">
        <f>IF(OR($B573="",AU$7=""),"",IF($B573="MEANS",INDEX('1-DATA'!$1:$1048576,$A572-1,COLUMN('1-DATA'!AT571)),ROUND(INDEX('1-DATA'!$1:$1048576,IF(OR($B573="STD. DEVIATION",$C$1=1),$A573,$A573+1),COLUMN('1-DATA'!AT571)),IF($B573="STD. DEVIATION",2,$F$1))))</f>
        <v/>
      </c>
      <c r="AV573" s="1" t="str">
        <f>IF(OR($B573="",AV$7=""),"",IF($B573="MEANS",INDEX('1-DATA'!$1:$1048576,$A572-1,COLUMN('1-DATA'!AU571)),ROUND(INDEX('1-DATA'!$1:$1048576,IF(OR($B573="STD. DEVIATION",$C$1=1),$A573,$A573+1),COLUMN('1-DATA'!AU571)),IF($B573="STD. DEVIATION",2,$F$1))))</f>
        <v/>
      </c>
      <c r="AW573" s="1" t="str">
        <f>IF(OR($B573="",AW$7=""),"",IF($B573="MEANS",INDEX('1-DATA'!$1:$1048576,$A572-1,COLUMN('1-DATA'!AV571)),ROUND(INDEX('1-DATA'!$1:$1048576,IF(OR($B573="STD. DEVIATION",$C$1=1),$A573,$A573+1),COLUMN('1-DATA'!AV571)),IF($B573="STD. DEVIATION",2,$F$1))))</f>
        <v/>
      </c>
      <c r="AX573" s="1" t="str">
        <f>IF(OR($B573="",AX$7=""),"",IF($B573="MEANS",INDEX('1-DATA'!$1:$1048576,$A572-1,COLUMN('1-DATA'!AW571)),ROUND(INDEX('1-DATA'!$1:$1048576,IF(OR($B573="STD. DEVIATION",$C$1=1),$A573,$A573+1),COLUMN('1-DATA'!AW571)),IF($B573="STD. DEVIATION",2,$F$1))))</f>
        <v/>
      </c>
      <c r="AY573" s="1" t="str">
        <f>IF(OR($B573="",AY$7=""),"",IF($B573="MEANS",INDEX('1-DATA'!$1:$1048576,$A572-1,COLUMN('1-DATA'!AX571)),ROUND(INDEX('1-DATA'!$1:$1048576,IF(OR($B573="STD. DEVIATION",$C$1=1),$A573,$A573+1),COLUMN('1-DATA'!AX571)),IF($B573="STD. DEVIATION",2,$F$1))))</f>
        <v/>
      </c>
      <c r="AZ573" s="1" t="str">
        <f>IF(OR($B573="",AZ$7=""),"",IF($B573="MEANS",INDEX('1-DATA'!$1:$1048576,$A572-1,COLUMN('1-DATA'!AY571)),ROUND(INDEX('1-DATA'!$1:$1048576,IF(OR($B573="STD. DEVIATION",$C$1=1),$A573,$A573+1),COLUMN('1-DATA'!AY571)),IF($B573="STD. DEVIATION",2,$F$1))))</f>
        <v/>
      </c>
    </row>
    <row r="574" spans="1:52" x14ac:dyDescent="0.25">
      <c r="A574" s="11">
        <f t="shared" si="9"/>
        <v>1708</v>
      </c>
      <c r="B574" s="1" t="str">
        <f>IF(B573="STD. DEVIATION",INDEX('1-DATA'!$1:$1048576,$A573-1,1),IF(INDEX('1-DATA'!$1:$1048576,$A574,1)&lt;&gt;"",INDEX('1-DATA'!$1:$1048576,$A574,1),""))</f>
        <v/>
      </c>
      <c r="C574" s="1" t="str">
        <f>IF(OR($B574="",C$7=""),"",IF($B574="MEANS",INDEX('1-DATA'!$1:$1048576,$A573-1,COLUMN('1-DATA'!B572)),ROUND(INDEX('1-DATA'!$1:$1048576,IF(OR($B574="STD. DEVIATION",$C$1=1),$A574,$A574+1),COLUMN('1-DATA'!B572)),IF($B574="STD. DEVIATION",2,$F$1))))</f>
        <v/>
      </c>
      <c r="D574" s="1" t="str">
        <f>IF(OR($B574="",D$7=""),"",IF($B574="MEANS",INDEX('1-DATA'!$1:$1048576,$A573-1,COLUMN('1-DATA'!C572)),ROUND(INDEX('1-DATA'!$1:$1048576,IF(OR($B574="STD. DEVIATION",$C$1=1),$A574,$A574+1),COLUMN('1-DATA'!C572)),IF($B574="STD. DEVIATION",2,$F$1))))</f>
        <v/>
      </c>
      <c r="E574" s="1" t="str">
        <f>IF(OR($B574="",E$7=""),"",IF($B574="MEANS",INDEX('1-DATA'!$1:$1048576,$A573-1,COLUMN('1-DATA'!D572)),ROUND(INDEX('1-DATA'!$1:$1048576,IF(OR($B574="STD. DEVIATION",$C$1=1),$A574,$A574+1),COLUMN('1-DATA'!D572)),IF($B574="STD. DEVIATION",2,$F$1))))</f>
        <v/>
      </c>
      <c r="F574" s="1" t="str">
        <f>IF(OR($B574="",F$7=""),"",IF($B574="MEANS",INDEX('1-DATA'!$1:$1048576,$A573-1,COLUMN('1-DATA'!E572)),ROUND(INDEX('1-DATA'!$1:$1048576,IF(OR($B574="STD. DEVIATION",$C$1=1),$A574,$A574+1),COLUMN('1-DATA'!E572)),IF($B574="STD. DEVIATION",2,$F$1))))</f>
        <v/>
      </c>
      <c r="G574" s="1" t="str">
        <f>IF(OR($B574="",G$7=""),"",IF($B574="MEANS",INDEX('1-DATA'!$1:$1048576,$A573-1,COLUMN('1-DATA'!F572)),ROUND(INDEX('1-DATA'!$1:$1048576,IF(OR($B574="STD. DEVIATION",$C$1=1),$A574,$A574+1),COLUMN('1-DATA'!F572)),IF($B574="STD. DEVIATION",2,$F$1))))</f>
        <v/>
      </c>
      <c r="H574" s="1" t="str">
        <f>IF(OR($B574="",H$7=""),"",IF($B574="MEANS",INDEX('1-DATA'!$1:$1048576,$A573-1,COLUMN('1-DATA'!G572)),ROUND(INDEX('1-DATA'!$1:$1048576,IF(OR($B574="STD. DEVIATION",$C$1=1),$A574,$A574+1),COLUMN('1-DATA'!G572)),IF($B574="STD. DEVIATION",2,$F$1))))</f>
        <v/>
      </c>
      <c r="I574" s="1" t="str">
        <f>IF(OR($B574="",I$7=""),"",IF($B574="MEANS",INDEX('1-DATA'!$1:$1048576,$A573-1,COLUMN('1-DATA'!H572)),ROUND(INDEX('1-DATA'!$1:$1048576,IF(OR($B574="STD. DEVIATION",$C$1=1),$A574,$A574+1),COLUMN('1-DATA'!H572)),IF($B574="STD. DEVIATION",2,$F$1))))</f>
        <v/>
      </c>
      <c r="J574" s="1" t="str">
        <f>IF(OR($B574="",J$7=""),"",IF($B574="MEANS",INDEX('1-DATA'!$1:$1048576,$A573-1,COLUMN('1-DATA'!I572)),ROUND(INDEX('1-DATA'!$1:$1048576,IF(OR($B574="STD. DEVIATION",$C$1=1),$A574,$A574+1),COLUMN('1-DATA'!I572)),IF($B574="STD. DEVIATION",2,$F$1))))</f>
        <v/>
      </c>
      <c r="K574" s="1" t="str">
        <f>IF(OR($B574="",K$7=""),"",IF($B574="MEANS",INDEX('1-DATA'!$1:$1048576,$A573-1,COLUMN('1-DATA'!J572)),ROUND(INDEX('1-DATA'!$1:$1048576,IF(OR($B574="STD. DEVIATION",$C$1=1),$A574,$A574+1),COLUMN('1-DATA'!J572)),IF($B574="STD. DEVIATION",2,$F$1))))</f>
        <v/>
      </c>
      <c r="L574" s="1" t="str">
        <f>IF(OR($B574="",L$7=""),"",IF($B574="MEANS",INDEX('1-DATA'!$1:$1048576,$A573-1,COLUMN('1-DATA'!K572)),ROUND(INDEX('1-DATA'!$1:$1048576,IF(OR($B574="STD. DEVIATION",$C$1=1),$A574,$A574+1),COLUMN('1-DATA'!K572)),IF($B574="STD. DEVIATION",2,$F$1))))</f>
        <v/>
      </c>
      <c r="M574" s="1" t="str">
        <f>IF(OR($B574="",M$7=""),"",IF($B574="MEANS",INDEX('1-DATA'!$1:$1048576,$A573-1,COLUMN('1-DATA'!L572)),ROUND(INDEX('1-DATA'!$1:$1048576,IF(OR($B574="STD. DEVIATION",$C$1=1),$A574,$A574+1),COLUMN('1-DATA'!L572)),IF($B574="STD. DEVIATION",2,$F$1))))</f>
        <v/>
      </c>
      <c r="N574" s="1" t="str">
        <f>IF(OR($B574="",N$7=""),"",IF($B574="MEANS",INDEX('1-DATA'!$1:$1048576,$A573-1,COLUMN('1-DATA'!M572)),ROUND(INDEX('1-DATA'!$1:$1048576,IF(OR($B574="STD. DEVIATION",$C$1=1),$A574,$A574+1),COLUMN('1-DATA'!M572)),IF($B574="STD. DEVIATION",2,$F$1))))</f>
        <v/>
      </c>
      <c r="O574" s="1" t="str">
        <f>IF(OR($B574="",O$7=""),"",IF($B574="MEANS",INDEX('1-DATA'!$1:$1048576,$A573-1,COLUMN('1-DATA'!N572)),ROUND(INDEX('1-DATA'!$1:$1048576,IF(OR($B574="STD. DEVIATION",$C$1=1),$A574,$A574+1),COLUMN('1-DATA'!N572)),IF($B574="STD. DEVIATION",2,$F$1))))</f>
        <v/>
      </c>
      <c r="P574" s="1" t="str">
        <f>IF(OR($B574="",P$7=""),"",IF($B574="MEANS",INDEX('1-DATA'!$1:$1048576,$A573-1,COLUMN('1-DATA'!O572)),ROUND(INDEX('1-DATA'!$1:$1048576,IF(OR($B574="STD. DEVIATION",$C$1=1),$A574,$A574+1),COLUMN('1-DATA'!O572)),IF($B574="STD. DEVIATION",2,$F$1))))</f>
        <v/>
      </c>
      <c r="Q574" s="1" t="str">
        <f>IF(OR($B574="",Q$7=""),"",IF($B574="MEANS",INDEX('1-DATA'!$1:$1048576,$A573-1,COLUMN('1-DATA'!P572)),ROUND(INDEX('1-DATA'!$1:$1048576,IF(OR($B574="STD. DEVIATION",$C$1=1),$A574,$A574+1),COLUMN('1-DATA'!P572)),IF($B574="STD. DEVIATION",2,$F$1))))</f>
        <v/>
      </c>
      <c r="R574" s="1" t="str">
        <f>IF(OR($B574="",R$7=""),"",IF($B574="MEANS",INDEX('1-DATA'!$1:$1048576,$A573-1,COLUMN('1-DATA'!Q572)),ROUND(INDEX('1-DATA'!$1:$1048576,IF(OR($B574="STD. DEVIATION",$C$1=1),$A574,$A574+1),COLUMN('1-DATA'!Q572)),IF($B574="STD. DEVIATION",2,$F$1))))</f>
        <v/>
      </c>
      <c r="S574" s="1" t="str">
        <f>IF(OR($B574="",S$7=""),"",IF($B574="MEANS",INDEX('1-DATA'!$1:$1048576,$A573-1,COLUMN('1-DATA'!R572)),ROUND(INDEX('1-DATA'!$1:$1048576,IF(OR($B574="STD. DEVIATION",$C$1=1),$A574,$A574+1),COLUMN('1-DATA'!R572)),IF($B574="STD. DEVIATION",2,$F$1))))</f>
        <v/>
      </c>
      <c r="T574" s="1" t="str">
        <f>IF(OR($B574="",T$7=""),"",IF($B574="MEANS",INDEX('1-DATA'!$1:$1048576,$A573-1,COLUMN('1-DATA'!S572)),ROUND(INDEX('1-DATA'!$1:$1048576,IF(OR($B574="STD. DEVIATION",$C$1=1),$A574,$A574+1),COLUMN('1-DATA'!S572)),IF($B574="STD. DEVIATION",2,$F$1))))</f>
        <v/>
      </c>
      <c r="U574" s="1" t="str">
        <f>IF(OR($B574="",U$7=""),"",IF($B574="MEANS",INDEX('1-DATA'!$1:$1048576,$A573-1,COLUMN('1-DATA'!T572)),ROUND(INDEX('1-DATA'!$1:$1048576,IF(OR($B574="STD. DEVIATION",$C$1=1),$A574,$A574+1),COLUMN('1-DATA'!T572)),IF($B574="STD. DEVIATION",2,$F$1))))</f>
        <v/>
      </c>
      <c r="V574" s="1" t="str">
        <f>IF(OR($B574="",V$7=""),"",IF($B574="MEANS",INDEX('1-DATA'!$1:$1048576,$A573-1,COLUMN('1-DATA'!U572)),ROUND(INDEX('1-DATA'!$1:$1048576,IF(OR($B574="STD. DEVIATION",$C$1=1),$A574,$A574+1),COLUMN('1-DATA'!U572)),IF($B574="STD. DEVIATION",2,$F$1))))</f>
        <v/>
      </c>
      <c r="W574" s="1" t="str">
        <f>IF(OR($B574="",W$7=""),"",IF($B574="MEANS",INDEX('1-DATA'!$1:$1048576,$A573-1,COLUMN('1-DATA'!V572)),ROUND(INDEX('1-DATA'!$1:$1048576,IF(OR($B574="STD. DEVIATION",$C$1=1),$A574,$A574+1),COLUMN('1-DATA'!V572)),IF($B574="STD. DEVIATION",2,$F$1))))</f>
        <v/>
      </c>
      <c r="X574" s="1" t="str">
        <f>IF(OR($B574="",X$7=""),"",IF($B574="MEANS",INDEX('1-DATA'!$1:$1048576,$A573-1,COLUMN('1-DATA'!W572)),ROUND(INDEX('1-DATA'!$1:$1048576,IF(OR($B574="STD. DEVIATION",$C$1=1),$A574,$A574+1),COLUMN('1-DATA'!W572)),IF($B574="STD. DEVIATION",2,$F$1))))</f>
        <v/>
      </c>
      <c r="Y574" s="1" t="str">
        <f>IF(OR($B574="",Y$7=""),"",IF($B574="MEANS",INDEX('1-DATA'!$1:$1048576,$A573-1,COLUMN('1-DATA'!X572)),ROUND(INDEX('1-DATA'!$1:$1048576,IF(OR($B574="STD. DEVIATION",$C$1=1),$A574,$A574+1),COLUMN('1-DATA'!X572)),IF($B574="STD. DEVIATION",2,$F$1))))</f>
        <v/>
      </c>
      <c r="Z574" s="1" t="str">
        <f>IF(OR($B574="",Z$7=""),"",IF($B574="MEANS",INDEX('1-DATA'!$1:$1048576,$A573-1,COLUMN('1-DATA'!Y572)),ROUND(INDEX('1-DATA'!$1:$1048576,IF(OR($B574="STD. DEVIATION",$C$1=1),$A574,$A574+1),COLUMN('1-DATA'!Y572)),IF($B574="STD. DEVIATION",2,$F$1))))</f>
        <v/>
      </c>
      <c r="AA574" s="1" t="str">
        <f>IF(OR($B574="",AA$7=""),"",IF($B574="MEANS",INDEX('1-DATA'!$1:$1048576,$A573-1,COLUMN('1-DATA'!Z572)),ROUND(INDEX('1-DATA'!$1:$1048576,IF(OR($B574="STD. DEVIATION",$C$1=1),$A574,$A574+1),COLUMN('1-DATA'!Z572)),IF($B574="STD. DEVIATION",2,$F$1))))</f>
        <v/>
      </c>
      <c r="AB574" s="1" t="str">
        <f>IF(OR($B574="",AB$7=""),"",IF($B574="MEANS",INDEX('1-DATA'!$1:$1048576,$A573-1,COLUMN('1-DATA'!AA572)),ROUND(INDEX('1-DATA'!$1:$1048576,IF(OR($B574="STD. DEVIATION",$C$1=1),$A574,$A574+1),COLUMN('1-DATA'!AA572)),IF($B574="STD. DEVIATION",2,$F$1))))</f>
        <v/>
      </c>
      <c r="AC574" s="1" t="str">
        <f>IF(OR($B574="",AC$7=""),"",IF($B574="MEANS",INDEX('1-DATA'!$1:$1048576,$A573-1,COLUMN('1-DATA'!AB572)),ROUND(INDEX('1-DATA'!$1:$1048576,IF(OR($B574="STD. DEVIATION",$C$1=1),$A574,$A574+1),COLUMN('1-DATA'!AB572)),IF($B574="STD. DEVIATION",2,$F$1))))</f>
        <v/>
      </c>
      <c r="AD574" s="1" t="str">
        <f>IF(OR($B574="",AD$7=""),"",IF($B574="MEANS",INDEX('1-DATA'!$1:$1048576,$A573-1,COLUMN('1-DATA'!AC572)),ROUND(INDEX('1-DATA'!$1:$1048576,IF(OR($B574="STD. DEVIATION",$C$1=1),$A574,$A574+1),COLUMN('1-DATA'!AC572)),IF($B574="STD. DEVIATION",2,$F$1))))</f>
        <v/>
      </c>
      <c r="AE574" s="1" t="str">
        <f>IF(OR($B574="",AE$7=""),"",IF($B574="MEANS",INDEX('1-DATA'!$1:$1048576,$A573-1,COLUMN('1-DATA'!AD572)),ROUND(INDEX('1-DATA'!$1:$1048576,IF(OR($B574="STD. DEVIATION",$C$1=1),$A574,$A574+1),COLUMN('1-DATA'!AD572)),IF($B574="STD. DEVIATION",2,$F$1))))</f>
        <v/>
      </c>
      <c r="AF574" s="1" t="str">
        <f>IF(OR($B574="",AF$7=""),"",IF($B574="MEANS",INDEX('1-DATA'!$1:$1048576,$A573-1,COLUMN('1-DATA'!AE572)),ROUND(INDEX('1-DATA'!$1:$1048576,IF(OR($B574="STD. DEVIATION",$C$1=1),$A574,$A574+1),COLUMN('1-DATA'!AE572)),IF($B574="STD. DEVIATION",2,$F$1))))</f>
        <v/>
      </c>
      <c r="AG574" s="1" t="str">
        <f>IF(OR($B574="",AG$7=""),"",IF($B574="MEANS",INDEX('1-DATA'!$1:$1048576,$A573-1,COLUMN('1-DATA'!AF572)),ROUND(INDEX('1-DATA'!$1:$1048576,IF(OR($B574="STD. DEVIATION",$C$1=1),$A574,$A574+1),COLUMN('1-DATA'!AF572)),IF($B574="STD. DEVIATION",2,$F$1))))</f>
        <v/>
      </c>
      <c r="AH574" s="1" t="str">
        <f>IF(OR($B574="",AH$7=""),"",IF($B574="MEANS",INDEX('1-DATA'!$1:$1048576,$A573-1,COLUMN('1-DATA'!AG572)),ROUND(INDEX('1-DATA'!$1:$1048576,IF(OR($B574="STD. DEVIATION",$C$1=1),$A574,$A574+1),COLUMN('1-DATA'!AG572)),IF($B574="STD. DEVIATION",2,$F$1))))</f>
        <v/>
      </c>
      <c r="AI574" s="1" t="str">
        <f>IF(OR($B574="",AI$7=""),"",IF($B574="MEANS",INDEX('1-DATA'!$1:$1048576,$A573-1,COLUMN('1-DATA'!AH572)),ROUND(INDEX('1-DATA'!$1:$1048576,IF(OR($B574="STD. DEVIATION",$C$1=1),$A574,$A574+1),COLUMN('1-DATA'!AH572)),IF($B574="STD. DEVIATION",2,$F$1))))</f>
        <v/>
      </c>
      <c r="AJ574" s="1" t="str">
        <f>IF(OR($B574="",AJ$7=""),"",IF($B574="MEANS",INDEX('1-DATA'!$1:$1048576,$A573-1,COLUMN('1-DATA'!AI572)),ROUND(INDEX('1-DATA'!$1:$1048576,IF(OR($B574="STD. DEVIATION",$C$1=1),$A574,$A574+1),COLUMN('1-DATA'!AI572)),IF($B574="STD. DEVIATION",2,$F$1))))</f>
        <v/>
      </c>
      <c r="AK574" s="1" t="str">
        <f>IF(OR($B574="",AK$7=""),"",IF($B574="MEANS",INDEX('1-DATA'!$1:$1048576,$A573-1,COLUMN('1-DATA'!AJ572)),ROUND(INDEX('1-DATA'!$1:$1048576,IF(OR($B574="STD. DEVIATION",$C$1=1),$A574,$A574+1),COLUMN('1-DATA'!AJ572)),IF($B574="STD. DEVIATION",2,$F$1))))</f>
        <v/>
      </c>
      <c r="AL574" s="1" t="str">
        <f>IF(OR($B574="",AL$7=""),"",IF($B574="MEANS",INDEX('1-DATA'!$1:$1048576,$A573-1,COLUMN('1-DATA'!AK572)),ROUND(INDEX('1-DATA'!$1:$1048576,IF(OR($B574="STD. DEVIATION",$C$1=1),$A574,$A574+1),COLUMN('1-DATA'!AK572)),IF($B574="STD. DEVIATION",2,$F$1))))</f>
        <v/>
      </c>
      <c r="AM574" s="1" t="str">
        <f>IF(OR($B574="",AM$7=""),"",IF($B574="MEANS",INDEX('1-DATA'!$1:$1048576,$A573-1,COLUMN('1-DATA'!AL572)),ROUND(INDEX('1-DATA'!$1:$1048576,IF(OR($B574="STD. DEVIATION",$C$1=1),$A574,$A574+1),COLUMN('1-DATA'!AL572)),IF($B574="STD. DEVIATION",2,$F$1))))</f>
        <v/>
      </c>
      <c r="AN574" s="1" t="str">
        <f>IF(OR($B574="",AN$7=""),"",IF($B574="MEANS",INDEX('1-DATA'!$1:$1048576,$A573-1,COLUMN('1-DATA'!AM572)),ROUND(INDEX('1-DATA'!$1:$1048576,IF(OR($B574="STD. DEVIATION",$C$1=1),$A574,$A574+1),COLUMN('1-DATA'!AM572)),IF($B574="STD. DEVIATION",2,$F$1))))</f>
        <v/>
      </c>
      <c r="AO574" s="1" t="str">
        <f>IF(OR($B574="",AO$7=""),"",IF($B574="MEANS",INDEX('1-DATA'!$1:$1048576,$A573-1,COLUMN('1-DATA'!AN572)),ROUND(INDEX('1-DATA'!$1:$1048576,IF(OR($B574="STD. DEVIATION",$C$1=1),$A574,$A574+1),COLUMN('1-DATA'!AN572)),IF($B574="STD. DEVIATION",2,$F$1))))</f>
        <v/>
      </c>
      <c r="AP574" s="1" t="str">
        <f>IF(OR($B574="",AP$7=""),"",IF($B574="MEANS",INDEX('1-DATA'!$1:$1048576,$A573-1,COLUMN('1-DATA'!AO572)),ROUND(INDEX('1-DATA'!$1:$1048576,IF(OR($B574="STD. DEVIATION",$C$1=1),$A574,$A574+1),COLUMN('1-DATA'!AO572)),IF($B574="STD. DEVIATION",2,$F$1))))</f>
        <v/>
      </c>
      <c r="AQ574" s="1" t="str">
        <f>IF(OR($B574="",AQ$7=""),"",IF($B574="MEANS",INDEX('1-DATA'!$1:$1048576,$A573-1,COLUMN('1-DATA'!AP572)),ROUND(INDEX('1-DATA'!$1:$1048576,IF(OR($B574="STD. DEVIATION",$C$1=1),$A574,$A574+1),COLUMN('1-DATA'!AP572)),IF($B574="STD. DEVIATION",2,$F$1))))</f>
        <v/>
      </c>
      <c r="AR574" s="1" t="str">
        <f>IF(OR($B574="",AR$7=""),"",IF($B574="MEANS",INDEX('1-DATA'!$1:$1048576,$A573-1,COLUMN('1-DATA'!AQ572)),ROUND(INDEX('1-DATA'!$1:$1048576,IF(OR($B574="STD. DEVIATION",$C$1=1),$A574,$A574+1),COLUMN('1-DATA'!AQ572)),IF($B574="STD. DEVIATION",2,$F$1))))</f>
        <v/>
      </c>
      <c r="AS574" s="1" t="str">
        <f>IF(OR($B574="",AS$7=""),"",IF($B574="MEANS",INDEX('1-DATA'!$1:$1048576,$A573-1,COLUMN('1-DATA'!AR572)),ROUND(INDEX('1-DATA'!$1:$1048576,IF(OR($B574="STD. DEVIATION",$C$1=1),$A574,$A574+1),COLUMN('1-DATA'!AR572)),IF($B574="STD. DEVIATION",2,$F$1))))</f>
        <v/>
      </c>
      <c r="AT574" s="1" t="str">
        <f>IF(OR($B574="",AT$7=""),"",IF($B574="MEANS",INDEX('1-DATA'!$1:$1048576,$A573-1,COLUMN('1-DATA'!AS572)),ROUND(INDEX('1-DATA'!$1:$1048576,IF(OR($B574="STD. DEVIATION",$C$1=1),$A574,$A574+1),COLUMN('1-DATA'!AS572)),IF($B574="STD. DEVIATION",2,$F$1))))</f>
        <v/>
      </c>
      <c r="AU574" s="1" t="str">
        <f>IF(OR($B574="",AU$7=""),"",IF($B574="MEANS",INDEX('1-DATA'!$1:$1048576,$A573-1,COLUMN('1-DATA'!AT572)),ROUND(INDEX('1-DATA'!$1:$1048576,IF(OR($B574="STD. DEVIATION",$C$1=1),$A574,$A574+1),COLUMN('1-DATA'!AT572)),IF($B574="STD. DEVIATION",2,$F$1))))</f>
        <v/>
      </c>
      <c r="AV574" s="1" t="str">
        <f>IF(OR($B574="",AV$7=""),"",IF($B574="MEANS",INDEX('1-DATA'!$1:$1048576,$A573-1,COLUMN('1-DATA'!AU572)),ROUND(INDEX('1-DATA'!$1:$1048576,IF(OR($B574="STD. DEVIATION",$C$1=1),$A574,$A574+1),COLUMN('1-DATA'!AU572)),IF($B574="STD. DEVIATION",2,$F$1))))</f>
        <v/>
      </c>
      <c r="AW574" s="1" t="str">
        <f>IF(OR($B574="",AW$7=""),"",IF($B574="MEANS",INDEX('1-DATA'!$1:$1048576,$A573-1,COLUMN('1-DATA'!AV572)),ROUND(INDEX('1-DATA'!$1:$1048576,IF(OR($B574="STD. DEVIATION",$C$1=1),$A574,$A574+1),COLUMN('1-DATA'!AV572)),IF($B574="STD. DEVIATION",2,$F$1))))</f>
        <v/>
      </c>
      <c r="AX574" s="1" t="str">
        <f>IF(OR($B574="",AX$7=""),"",IF($B574="MEANS",INDEX('1-DATA'!$1:$1048576,$A573-1,COLUMN('1-DATA'!AW572)),ROUND(INDEX('1-DATA'!$1:$1048576,IF(OR($B574="STD. DEVIATION",$C$1=1),$A574,$A574+1),COLUMN('1-DATA'!AW572)),IF($B574="STD. DEVIATION",2,$F$1))))</f>
        <v/>
      </c>
      <c r="AY574" s="1" t="str">
        <f>IF(OR($B574="",AY$7=""),"",IF($B574="MEANS",INDEX('1-DATA'!$1:$1048576,$A573-1,COLUMN('1-DATA'!AX572)),ROUND(INDEX('1-DATA'!$1:$1048576,IF(OR($B574="STD. DEVIATION",$C$1=1),$A574,$A574+1),COLUMN('1-DATA'!AX572)),IF($B574="STD. DEVIATION",2,$F$1))))</f>
        <v/>
      </c>
      <c r="AZ574" s="1" t="str">
        <f>IF(OR($B574="",AZ$7=""),"",IF($B574="MEANS",INDEX('1-DATA'!$1:$1048576,$A573-1,COLUMN('1-DATA'!AY572)),ROUND(INDEX('1-DATA'!$1:$1048576,IF(OR($B574="STD. DEVIATION",$C$1=1),$A574,$A574+1),COLUMN('1-DATA'!AY572)),IF($B574="STD. DEVIATION",2,$F$1))))</f>
        <v/>
      </c>
    </row>
    <row r="575" spans="1:52" x14ac:dyDescent="0.25">
      <c r="A575" s="11">
        <f t="shared" si="9"/>
        <v>1711</v>
      </c>
      <c r="B575" s="1" t="str">
        <f>IF(B574="STD. DEVIATION",INDEX('1-DATA'!$1:$1048576,$A574-1,1),IF(INDEX('1-DATA'!$1:$1048576,$A575,1)&lt;&gt;"",INDEX('1-DATA'!$1:$1048576,$A575,1),""))</f>
        <v/>
      </c>
      <c r="C575" s="1" t="str">
        <f>IF(OR($B575="",C$7=""),"",IF($B575="MEANS",INDEX('1-DATA'!$1:$1048576,$A574-1,COLUMN('1-DATA'!B573)),ROUND(INDEX('1-DATA'!$1:$1048576,IF(OR($B575="STD. DEVIATION",$C$1=1),$A575,$A575+1),COLUMN('1-DATA'!B573)),IF($B575="STD. DEVIATION",2,$F$1))))</f>
        <v/>
      </c>
      <c r="D575" s="1" t="str">
        <f>IF(OR($B575="",D$7=""),"",IF($B575="MEANS",INDEX('1-DATA'!$1:$1048576,$A574-1,COLUMN('1-DATA'!C573)),ROUND(INDEX('1-DATA'!$1:$1048576,IF(OR($B575="STD. DEVIATION",$C$1=1),$A575,$A575+1),COLUMN('1-DATA'!C573)),IF($B575="STD. DEVIATION",2,$F$1))))</f>
        <v/>
      </c>
      <c r="E575" s="1" t="str">
        <f>IF(OR($B575="",E$7=""),"",IF($B575="MEANS",INDEX('1-DATA'!$1:$1048576,$A574-1,COLUMN('1-DATA'!D573)),ROUND(INDEX('1-DATA'!$1:$1048576,IF(OR($B575="STD. DEVIATION",$C$1=1),$A575,$A575+1),COLUMN('1-DATA'!D573)),IF($B575="STD. DEVIATION",2,$F$1))))</f>
        <v/>
      </c>
      <c r="F575" s="1" t="str">
        <f>IF(OR($B575="",F$7=""),"",IF($B575="MEANS",INDEX('1-DATA'!$1:$1048576,$A574-1,COLUMN('1-DATA'!E573)),ROUND(INDEX('1-DATA'!$1:$1048576,IF(OR($B575="STD. DEVIATION",$C$1=1),$A575,$A575+1),COLUMN('1-DATA'!E573)),IF($B575="STD. DEVIATION",2,$F$1))))</f>
        <v/>
      </c>
      <c r="G575" s="1" t="str">
        <f>IF(OR($B575="",G$7=""),"",IF($B575="MEANS",INDEX('1-DATA'!$1:$1048576,$A574-1,COLUMN('1-DATA'!F573)),ROUND(INDEX('1-DATA'!$1:$1048576,IF(OR($B575="STD. DEVIATION",$C$1=1),$A575,$A575+1),COLUMN('1-DATA'!F573)),IF($B575="STD. DEVIATION",2,$F$1))))</f>
        <v/>
      </c>
      <c r="H575" s="1" t="str">
        <f>IF(OR($B575="",H$7=""),"",IF($B575="MEANS",INDEX('1-DATA'!$1:$1048576,$A574-1,COLUMN('1-DATA'!G573)),ROUND(INDEX('1-DATA'!$1:$1048576,IF(OR($B575="STD. DEVIATION",$C$1=1),$A575,$A575+1),COLUMN('1-DATA'!G573)),IF($B575="STD. DEVIATION",2,$F$1))))</f>
        <v/>
      </c>
      <c r="I575" s="1" t="str">
        <f>IF(OR($B575="",I$7=""),"",IF($B575="MEANS",INDEX('1-DATA'!$1:$1048576,$A574-1,COLUMN('1-DATA'!H573)),ROUND(INDEX('1-DATA'!$1:$1048576,IF(OR($B575="STD. DEVIATION",$C$1=1),$A575,$A575+1),COLUMN('1-DATA'!H573)),IF($B575="STD. DEVIATION",2,$F$1))))</f>
        <v/>
      </c>
      <c r="J575" s="1" t="str">
        <f>IF(OR($B575="",J$7=""),"",IF($B575="MEANS",INDEX('1-DATA'!$1:$1048576,$A574-1,COLUMN('1-DATA'!I573)),ROUND(INDEX('1-DATA'!$1:$1048576,IF(OR($B575="STD. DEVIATION",$C$1=1),$A575,$A575+1),COLUMN('1-DATA'!I573)),IF($B575="STD. DEVIATION",2,$F$1))))</f>
        <v/>
      </c>
      <c r="K575" s="1" t="str">
        <f>IF(OR($B575="",K$7=""),"",IF($B575="MEANS",INDEX('1-DATA'!$1:$1048576,$A574-1,COLUMN('1-DATA'!J573)),ROUND(INDEX('1-DATA'!$1:$1048576,IF(OR($B575="STD. DEVIATION",$C$1=1),$A575,$A575+1),COLUMN('1-DATA'!J573)),IF($B575="STD. DEVIATION",2,$F$1))))</f>
        <v/>
      </c>
      <c r="L575" s="1" t="str">
        <f>IF(OR($B575="",L$7=""),"",IF($B575="MEANS",INDEX('1-DATA'!$1:$1048576,$A574-1,COLUMN('1-DATA'!K573)),ROUND(INDEX('1-DATA'!$1:$1048576,IF(OR($B575="STD. DEVIATION",$C$1=1),$A575,$A575+1),COLUMN('1-DATA'!K573)),IF($B575="STD. DEVIATION",2,$F$1))))</f>
        <v/>
      </c>
      <c r="M575" s="1" t="str">
        <f>IF(OR($B575="",M$7=""),"",IF($B575="MEANS",INDEX('1-DATA'!$1:$1048576,$A574-1,COLUMN('1-DATA'!L573)),ROUND(INDEX('1-DATA'!$1:$1048576,IF(OR($B575="STD. DEVIATION",$C$1=1),$A575,$A575+1),COLUMN('1-DATA'!L573)),IF($B575="STD. DEVIATION",2,$F$1))))</f>
        <v/>
      </c>
      <c r="N575" s="1" t="str">
        <f>IF(OR($B575="",N$7=""),"",IF($B575="MEANS",INDEX('1-DATA'!$1:$1048576,$A574-1,COLUMN('1-DATA'!M573)),ROUND(INDEX('1-DATA'!$1:$1048576,IF(OR($B575="STD. DEVIATION",$C$1=1),$A575,$A575+1),COLUMN('1-DATA'!M573)),IF($B575="STD. DEVIATION",2,$F$1))))</f>
        <v/>
      </c>
      <c r="O575" s="1" t="str">
        <f>IF(OR($B575="",O$7=""),"",IF($B575="MEANS",INDEX('1-DATA'!$1:$1048576,$A574-1,COLUMN('1-DATA'!N573)),ROUND(INDEX('1-DATA'!$1:$1048576,IF(OR($B575="STD. DEVIATION",$C$1=1),$A575,$A575+1),COLUMN('1-DATA'!N573)),IF($B575="STD. DEVIATION",2,$F$1))))</f>
        <v/>
      </c>
      <c r="P575" s="1" t="str">
        <f>IF(OR($B575="",P$7=""),"",IF($B575="MEANS",INDEX('1-DATA'!$1:$1048576,$A574-1,COLUMN('1-DATA'!O573)),ROUND(INDEX('1-DATA'!$1:$1048576,IF(OR($B575="STD. DEVIATION",$C$1=1),$A575,$A575+1),COLUMN('1-DATA'!O573)),IF($B575="STD. DEVIATION",2,$F$1))))</f>
        <v/>
      </c>
      <c r="Q575" s="1" t="str">
        <f>IF(OR($B575="",Q$7=""),"",IF($B575="MEANS",INDEX('1-DATA'!$1:$1048576,$A574-1,COLUMN('1-DATA'!P573)),ROUND(INDEX('1-DATA'!$1:$1048576,IF(OR($B575="STD. DEVIATION",$C$1=1),$A575,$A575+1),COLUMN('1-DATA'!P573)),IF($B575="STD. DEVIATION",2,$F$1))))</f>
        <v/>
      </c>
      <c r="R575" s="1" t="str">
        <f>IF(OR($B575="",R$7=""),"",IF($B575="MEANS",INDEX('1-DATA'!$1:$1048576,$A574-1,COLUMN('1-DATA'!Q573)),ROUND(INDEX('1-DATA'!$1:$1048576,IF(OR($B575="STD. DEVIATION",$C$1=1),$A575,$A575+1),COLUMN('1-DATA'!Q573)),IF($B575="STD. DEVIATION",2,$F$1))))</f>
        <v/>
      </c>
      <c r="S575" s="1" t="str">
        <f>IF(OR($B575="",S$7=""),"",IF($B575="MEANS",INDEX('1-DATA'!$1:$1048576,$A574-1,COLUMN('1-DATA'!R573)),ROUND(INDEX('1-DATA'!$1:$1048576,IF(OR($B575="STD. DEVIATION",$C$1=1),$A575,$A575+1),COLUMN('1-DATA'!R573)),IF($B575="STD. DEVIATION",2,$F$1))))</f>
        <v/>
      </c>
      <c r="T575" s="1" t="str">
        <f>IF(OR($B575="",T$7=""),"",IF($B575="MEANS",INDEX('1-DATA'!$1:$1048576,$A574-1,COLUMN('1-DATA'!S573)),ROUND(INDEX('1-DATA'!$1:$1048576,IF(OR($B575="STD. DEVIATION",$C$1=1),$A575,$A575+1),COLUMN('1-DATA'!S573)),IF($B575="STD. DEVIATION",2,$F$1))))</f>
        <v/>
      </c>
      <c r="U575" s="1" t="str">
        <f>IF(OR($B575="",U$7=""),"",IF($B575="MEANS",INDEX('1-DATA'!$1:$1048576,$A574-1,COLUMN('1-DATA'!T573)),ROUND(INDEX('1-DATA'!$1:$1048576,IF(OR($B575="STD. DEVIATION",$C$1=1),$A575,$A575+1),COLUMN('1-DATA'!T573)),IF($B575="STD. DEVIATION",2,$F$1))))</f>
        <v/>
      </c>
      <c r="V575" s="1" t="str">
        <f>IF(OR($B575="",V$7=""),"",IF($B575="MEANS",INDEX('1-DATA'!$1:$1048576,$A574-1,COLUMN('1-DATA'!U573)),ROUND(INDEX('1-DATA'!$1:$1048576,IF(OR($B575="STD. DEVIATION",$C$1=1),$A575,$A575+1),COLUMN('1-DATA'!U573)),IF($B575="STD. DEVIATION",2,$F$1))))</f>
        <v/>
      </c>
      <c r="W575" s="1" t="str">
        <f>IF(OR($B575="",W$7=""),"",IF($B575="MEANS",INDEX('1-DATA'!$1:$1048576,$A574-1,COLUMN('1-DATA'!V573)),ROUND(INDEX('1-DATA'!$1:$1048576,IF(OR($B575="STD. DEVIATION",$C$1=1),$A575,$A575+1),COLUMN('1-DATA'!V573)),IF($B575="STD. DEVIATION",2,$F$1))))</f>
        <v/>
      </c>
      <c r="X575" s="1" t="str">
        <f>IF(OR($B575="",X$7=""),"",IF($B575="MEANS",INDEX('1-DATA'!$1:$1048576,$A574-1,COLUMN('1-DATA'!W573)),ROUND(INDEX('1-DATA'!$1:$1048576,IF(OR($B575="STD. DEVIATION",$C$1=1),$A575,$A575+1),COLUMN('1-DATA'!W573)),IF($B575="STD. DEVIATION",2,$F$1))))</f>
        <v/>
      </c>
      <c r="Y575" s="1" t="str">
        <f>IF(OR($B575="",Y$7=""),"",IF($B575="MEANS",INDEX('1-DATA'!$1:$1048576,$A574-1,COLUMN('1-DATA'!X573)),ROUND(INDEX('1-DATA'!$1:$1048576,IF(OR($B575="STD. DEVIATION",$C$1=1),$A575,$A575+1),COLUMN('1-DATA'!X573)),IF($B575="STD. DEVIATION",2,$F$1))))</f>
        <v/>
      </c>
      <c r="Z575" s="1" t="str">
        <f>IF(OR($B575="",Z$7=""),"",IF($B575="MEANS",INDEX('1-DATA'!$1:$1048576,$A574-1,COLUMN('1-DATA'!Y573)),ROUND(INDEX('1-DATA'!$1:$1048576,IF(OR($B575="STD. DEVIATION",$C$1=1),$A575,$A575+1),COLUMN('1-DATA'!Y573)),IF($B575="STD. DEVIATION",2,$F$1))))</f>
        <v/>
      </c>
      <c r="AA575" s="1" t="str">
        <f>IF(OR($B575="",AA$7=""),"",IF($B575="MEANS",INDEX('1-DATA'!$1:$1048576,$A574-1,COLUMN('1-DATA'!Z573)),ROUND(INDEX('1-DATA'!$1:$1048576,IF(OR($B575="STD. DEVIATION",$C$1=1),$A575,$A575+1),COLUMN('1-DATA'!Z573)),IF($B575="STD. DEVIATION",2,$F$1))))</f>
        <v/>
      </c>
      <c r="AB575" s="1" t="str">
        <f>IF(OR($B575="",AB$7=""),"",IF($B575="MEANS",INDEX('1-DATA'!$1:$1048576,$A574-1,COLUMN('1-DATA'!AA573)),ROUND(INDEX('1-DATA'!$1:$1048576,IF(OR($B575="STD. DEVIATION",$C$1=1),$A575,$A575+1),COLUMN('1-DATA'!AA573)),IF($B575="STD. DEVIATION",2,$F$1))))</f>
        <v/>
      </c>
      <c r="AC575" s="1" t="str">
        <f>IF(OR($B575="",AC$7=""),"",IF($B575="MEANS",INDEX('1-DATA'!$1:$1048576,$A574-1,COLUMN('1-DATA'!AB573)),ROUND(INDEX('1-DATA'!$1:$1048576,IF(OR($B575="STD. DEVIATION",$C$1=1),$A575,$A575+1),COLUMN('1-DATA'!AB573)),IF($B575="STD. DEVIATION",2,$F$1))))</f>
        <v/>
      </c>
      <c r="AD575" s="1" t="str">
        <f>IF(OR($B575="",AD$7=""),"",IF($B575="MEANS",INDEX('1-DATA'!$1:$1048576,$A574-1,COLUMN('1-DATA'!AC573)),ROUND(INDEX('1-DATA'!$1:$1048576,IF(OR($B575="STD. DEVIATION",$C$1=1),$A575,$A575+1),COLUMN('1-DATA'!AC573)),IF($B575="STD. DEVIATION",2,$F$1))))</f>
        <v/>
      </c>
      <c r="AE575" s="1" t="str">
        <f>IF(OR($B575="",AE$7=""),"",IF($B575="MEANS",INDEX('1-DATA'!$1:$1048576,$A574-1,COLUMN('1-DATA'!AD573)),ROUND(INDEX('1-DATA'!$1:$1048576,IF(OR($B575="STD. DEVIATION",$C$1=1),$A575,$A575+1),COLUMN('1-DATA'!AD573)),IF($B575="STD. DEVIATION",2,$F$1))))</f>
        <v/>
      </c>
      <c r="AF575" s="1" t="str">
        <f>IF(OR($B575="",AF$7=""),"",IF($B575="MEANS",INDEX('1-DATA'!$1:$1048576,$A574-1,COLUMN('1-DATA'!AE573)),ROUND(INDEX('1-DATA'!$1:$1048576,IF(OR($B575="STD. DEVIATION",$C$1=1),$A575,$A575+1),COLUMN('1-DATA'!AE573)),IF($B575="STD. DEVIATION",2,$F$1))))</f>
        <v/>
      </c>
      <c r="AG575" s="1" t="str">
        <f>IF(OR($B575="",AG$7=""),"",IF($B575="MEANS",INDEX('1-DATA'!$1:$1048576,$A574-1,COLUMN('1-DATA'!AF573)),ROUND(INDEX('1-DATA'!$1:$1048576,IF(OR($B575="STD. DEVIATION",$C$1=1),$A575,$A575+1),COLUMN('1-DATA'!AF573)),IF($B575="STD. DEVIATION",2,$F$1))))</f>
        <v/>
      </c>
      <c r="AH575" s="1" t="str">
        <f>IF(OR($B575="",AH$7=""),"",IF($B575="MEANS",INDEX('1-DATA'!$1:$1048576,$A574-1,COLUMN('1-DATA'!AG573)),ROUND(INDEX('1-DATA'!$1:$1048576,IF(OR($B575="STD. DEVIATION",$C$1=1),$A575,$A575+1),COLUMN('1-DATA'!AG573)),IF($B575="STD. DEVIATION",2,$F$1))))</f>
        <v/>
      </c>
      <c r="AI575" s="1" t="str">
        <f>IF(OR($B575="",AI$7=""),"",IF($B575="MEANS",INDEX('1-DATA'!$1:$1048576,$A574-1,COLUMN('1-DATA'!AH573)),ROUND(INDEX('1-DATA'!$1:$1048576,IF(OR($B575="STD. DEVIATION",$C$1=1),$A575,$A575+1),COLUMN('1-DATA'!AH573)),IF($B575="STD. DEVIATION",2,$F$1))))</f>
        <v/>
      </c>
      <c r="AJ575" s="1" t="str">
        <f>IF(OR($B575="",AJ$7=""),"",IF($B575="MEANS",INDEX('1-DATA'!$1:$1048576,$A574-1,COLUMN('1-DATA'!AI573)),ROUND(INDEX('1-DATA'!$1:$1048576,IF(OR($B575="STD. DEVIATION",$C$1=1),$A575,$A575+1),COLUMN('1-DATA'!AI573)),IF($B575="STD. DEVIATION",2,$F$1))))</f>
        <v/>
      </c>
      <c r="AK575" s="1" t="str">
        <f>IF(OR($B575="",AK$7=""),"",IF($B575="MEANS",INDEX('1-DATA'!$1:$1048576,$A574-1,COLUMN('1-DATA'!AJ573)),ROUND(INDEX('1-DATA'!$1:$1048576,IF(OR($B575="STD. DEVIATION",$C$1=1),$A575,$A575+1),COLUMN('1-DATA'!AJ573)),IF($B575="STD. DEVIATION",2,$F$1))))</f>
        <v/>
      </c>
      <c r="AL575" s="1" t="str">
        <f>IF(OR($B575="",AL$7=""),"",IF($B575="MEANS",INDEX('1-DATA'!$1:$1048576,$A574-1,COLUMN('1-DATA'!AK573)),ROUND(INDEX('1-DATA'!$1:$1048576,IF(OR($B575="STD. DEVIATION",$C$1=1),$A575,$A575+1),COLUMN('1-DATA'!AK573)),IF($B575="STD. DEVIATION",2,$F$1))))</f>
        <v/>
      </c>
      <c r="AM575" s="1" t="str">
        <f>IF(OR($B575="",AM$7=""),"",IF($B575="MEANS",INDEX('1-DATA'!$1:$1048576,$A574-1,COLUMN('1-DATA'!AL573)),ROUND(INDEX('1-DATA'!$1:$1048576,IF(OR($B575="STD. DEVIATION",$C$1=1),$A575,$A575+1),COLUMN('1-DATA'!AL573)),IF($B575="STD. DEVIATION",2,$F$1))))</f>
        <v/>
      </c>
      <c r="AN575" s="1" t="str">
        <f>IF(OR($B575="",AN$7=""),"",IF($B575="MEANS",INDEX('1-DATA'!$1:$1048576,$A574-1,COLUMN('1-DATA'!AM573)),ROUND(INDEX('1-DATA'!$1:$1048576,IF(OR($B575="STD. DEVIATION",$C$1=1),$A575,$A575+1),COLUMN('1-DATA'!AM573)),IF($B575="STD. DEVIATION",2,$F$1))))</f>
        <v/>
      </c>
      <c r="AO575" s="1" t="str">
        <f>IF(OR($B575="",AO$7=""),"",IF($B575="MEANS",INDEX('1-DATA'!$1:$1048576,$A574-1,COLUMN('1-DATA'!AN573)),ROUND(INDEX('1-DATA'!$1:$1048576,IF(OR($B575="STD. DEVIATION",$C$1=1),$A575,$A575+1),COLUMN('1-DATA'!AN573)),IF($B575="STD. DEVIATION",2,$F$1))))</f>
        <v/>
      </c>
      <c r="AP575" s="1" t="str">
        <f>IF(OR($B575="",AP$7=""),"",IF($B575="MEANS",INDEX('1-DATA'!$1:$1048576,$A574-1,COLUMN('1-DATA'!AO573)),ROUND(INDEX('1-DATA'!$1:$1048576,IF(OR($B575="STD. DEVIATION",$C$1=1),$A575,$A575+1),COLUMN('1-DATA'!AO573)),IF($B575="STD. DEVIATION",2,$F$1))))</f>
        <v/>
      </c>
      <c r="AQ575" s="1" t="str">
        <f>IF(OR($B575="",AQ$7=""),"",IF($B575="MEANS",INDEX('1-DATA'!$1:$1048576,$A574-1,COLUMN('1-DATA'!AP573)),ROUND(INDEX('1-DATA'!$1:$1048576,IF(OR($B575="STD. DEVIATION",$C$1=1),$A575,$A575+1),COLUMN('1-DATA'!AP573)),IF($B575="STD. DEVIATION",2,$F$1))))</f>
        <v/>
      </c>
      <c r="AR575" s="1" t="str">
        <f>IF(OR($B575="",AR$7=""),"",IF($B575="MEANS",INDEX('1-DATA'!$1:$1048576,$A574-1,COLUMN('1-DATA'!AQ573)),ROUND(INDEX('1-DATA'!$1:$1048576,IF(OR($B575="STD. DEVIATION",$C$1=1),$A575,$A575+1),COLUMN('1-DATA'!AQ573)),IF($B575="STD. DEVIATION",2,$F$1))))</f>
        <v/>
      </c>
      <c r="AS575" s="1" t="str">
        <f>IF(OR($B575="",AS$7=""),"",IF($B575="MEANS",INDEX('1-DATA'!$1:$1048576,$A574-1,COLUMN('1-DATA'!AR573)),ROUND(INDEX('1-DATA'!$1:$1048576,IF(OR($B575="STD. DEVIATION",$C$1=1),$A575,$A575+1),COLUMN('1-DATA'!AR573)),IF($B575="STD. DEVIATION",2,$F$1))))</f>
        <v/>
      </c>
      <c r="AT575" s="1" t="str">
        <f>IF(OR($B575="",AT$7=""),"",IF($B575="MEANS",INDEX('1-DATA'!$1:$1048576,$A574-1,COLUMN('1-DATA'!AS573)),ROUND(INDEX('1-DATA'!$1:$1048576,IF(OR($B575="STD. DEVIATION",$C$1=1),$A575,$A575+1),COLUMN('1-DATA'!AS573)),IF($B575="STD. DEVIATION",2,$F$1))))</f>
        <v/>
      </c>
      <c r="AU575" s="1" t="str">
        <f>IF(OR($B575="",AU$7=""),"",IF($B575="MEANS",INDEX('1-DATA'!$1:$1048576,$A574-1,COLUMN('1-DATA'!AT573)),ROUND(INDEX('1-DATA'!$1:$1048576,IF(OR($B575="STD. DEVIATION",$C$1=1),$A575,$A575+1),COLUMN('1-DATA'!AT573)),IF($B575="STD. DEVIATION",2,$F$1))))</f>
        <v/>
      </c>
      <c r="AV575" s="1" t="str">
        <f>IF(OR($B575="",AV$7=""),"",IF($B575="MEANS",INDEX('1-DATA'!$1:$1048576,$A574-1,COLUMN('1-DATA'!AU573)),ROUND(INDEX('1-DATA'!$1:$1048576,IF(OR($B575="STD. DEVIATION",$C$1=1),$A575,$A575+1),COLUMN('1-DATA'!AU573)),IF($B575="STD. DEVIATION",2,$F$1))))</f>
        <v/>
      </c>
      <c r="AW575" s="1" t="str">
        <f>IF(OR($B575="",AW$7=""),"",IF($B575="MEANS",INDEX('1-DATA'!$1:$1048576,$A574-1,COLUMN('1-DATA'!AV573)),ROUND(INDEX('1-DATA'!$1:$1048576,IF(OR($B575="STD. DEVIATION",$C$1=1),$A575,$A575+1),COLUMN('1-DATA'!AV573)),IF($B575="STD. DEVIATION",2,$F$1))))</f>
        <v/>
      </c>
      <c r="AX575" s="1" t="str">
        <f>IF(OR($B575="",AX$7=""),"",IF($B575="MEANS",INDEX('1-DATA'!$1:$1048576,$A574-1,COLUMN('1-DATA'!AW573)),ROUND(INDEX('1-DATA'!$1:$1048576,IF(OR($B575="STD. DEVIATION",$C$1=1),$A575,$A575+1),COLUMN('1-DATA'!AW573)),IF($B575="STD. DEVIATION",2,$F$1))))</f>
        <v/>
      </c>
      <c r="AY575" s="1" t="str">
        <f>IF(OR($B575="",AY$7=""),"",IF($B575="MEANS",INDEX('1-DATA'!$1:$1048576,$A574-1,COLUMN('1-DATA'!AX573)),ROUND(INDEX('1-DATA'!$1:$1048576,IF(OR($B575="STD. DEVIATION",$C$1=1),$A575,$A575+1),COLUMN('1-DATA'!AX573)),IF($B575="STD. DEVIATION",2,$F$1))))</f>
        <v/>
      </c>
      <c r="AZ575" s="1" t="str">
        <f>IF(OR($B575="",AZ$7=""),"",IF($B575="MEANS",INDEX('1-DATA'!$1:$1048576,$A574-1,COLUMN('1-DATA'!AY573)),ROUND(INDEX('1-DATA'!$1:$1048576,IF(OR($B575="STD. DEVIATION",$C$1=1),$A575,$A575+1),COLUMN('1-DATA'!AY573)),IF($B575="STD. DEVIATION",2,$F$1))))</f>
        <v/>
      </c>
    </row>
    <row r="576" spans="1:52" x14ac:dyDescent="0.25">
      <c r="A576" s="11">
        <f t="shared" si="9"/>
        <v>1714</v>
      </c>
      <c r="B576" s="1" t="str">
        <f>IF(B575="STD. DEVIATION",INDEX('1-DATA'!$1:$1048576,$A575-1,1),IF(INDEX('1-DATA'!$1:$1048576,$A576,1)&lt;&gt;"",INDEX('1-DATA'!$1:$1048576,$A576,1),""))</f>
        <v/>
      </c>
      <c r="C576" s="1" t="str">
        <f>IF(OR($B576="",C$7=""),"",IF($B576="MEANS",INDEX('1-DATA'!$1:$1048576,$A575-1,COLUMN('1-DATA'!B574)),ROUND(INDEX('1-DATA'!$1:$1048576,IF(OR($B576="STD. DEVIATION",$C$1=1),$A576,$A576+1),COLUMN('1-DATA'!B574)),IF($B576="STD. DEVIATION",2,$F$1))))</f>
        <v/>
      </c>
      <c r="D576" s="1" t="str">
        <f>IF(OR($B576="",D$7=""),"",IF($B576="MEANS",INDEX('1-DATA'!$1:$1048576,$A575-1,COLUMN('1-DATA'!C574)),ROUND(INDEX('1-DATA'!$1:$1048576,IF(OR($B576="STD. DEVIATION",$C$1=1),$A576,$A576+1),COLUMN('1-DATA'!C574)),IF($B576="STD. DEVIATION",2,$F$1))))</f>
        <v/>
      </c>
      <c r="E576" s="1" t="str">
        <f>IF(OR($B576="",E$7=""),"",IF($B576="MEANS",INDEX('1-DATA'!$1:$1048576,$A575-1,COLUMN('1-DATA'!D574)),ROUND(INDEX('1-DATA'!$1:$1048576,IF(OR($B576="STD. DEVIATION",$C$1=1),$A576,$A576+1),COLUMN('1-DATA'!D574)),IF($B576="STD. DEVIATION",2,$F$1))))</f>
        <v/>
      </c>
      <c r="F576" s="1" t="str">
        <f>IF(OR($B576="",F$7=""),"",IF($B576="MEANS",INDEX('1-DATA'!$1:$1048576,$A575-1,COLUMN('1-DATA'!E574)),ROUND(INDEX('1-DATA'!$1:$1048576,IF(OR($B576="STD. DEVIATION",$C$1=1),$A576,$A576+1),COLUMN('1-DATA'!E574)),IF($B576="STD. DEVIATION",2,$F$1))))</f>
        <v/>
      </c>
      <c r="G576" s="1" t="str">
        <f>IF(OR($B576="",G$7=""),"",IF($B576="MEANS",INDEX('1-DATA'!$1:$1048576,$A575-1,COLUMN('1-DATA'!F574)),ROUND(INDEX('1-DATA'!$1:$1048576,IF(OR($B576="STD. DEVIATION",$C$1=1),$A576,$A576+1),COLUMN('1-DATA'!F574)),IF($B576="STD. DEVIATION",2,$F$1))))</f>
        <v/>
      </c>
      <c r="H576" s="1" t="str">
        <f>IF(OR($B576="",H$7=""),"",IF($B576="MEANS",INDEX('1-DATA'!$1:$1048576,$A575-1,COLUMN('1-DATA'!G574)),ROUND(INDEX('1-DATA'!$1:$1048576,IF(OR($B576="STD. DEVIATION",$C$1=1),$A576,$A576+1),COLUMN('1-DATA'!G574)),IF($B576="STD. DEVIATION",2,$F$1))))</f>
        <v/>
      </c>
      <c r="I576" s="1" t="str">
        <f>IF(OR($B576="",I$7=""),"",IF($B576="MEANS",INDEX('1-DATA'!$1:$1048576,$A575-1,COLUMN('1-DATA'!H574)),ROUND(INDEX('1-DATA'!$1:$1048576,IF(OR($B576="STD. DEVIATION",$C$1=1),$A576,$A576+1),COLUMN('1-DATA'!H574)),IF($B576="STD. DEVIATION",2,$F$1))))</f>
        <v/>
      </c>
      <c r="J576" s="1" t="str">
        <f>IF(OR($B576="",J$7=""),"",IF($B576="MEANS",INDEX('1-DATA'!$1:$1048576,$A575-1,COLUMN('1-DATA'!I574)),ROUND(INDEX('1-DATA'!$1:$1048576,IF(OR($B576="STD. DEVIATION",$C$1=1),$A576,$A576+1),COLUMN('1-DATA'!I574)),IF($B576="STD. DEVIATION",2,$F$1))))</f>
        <v/>
      </c>
      <c r="K576" s="1" t="str">
        <f>IF(OR($B576="",K$7=""),"",IF($B576="MEANS",INDEX('1-DATA'!$1:$1048576,$A575-1,COLUMN('1-DATA'!J574)),ROUND(INDEX('1-DATA'!$1:$1048576,IF(OR($B576="STD. DEVIATION",$C$1=1),$A576,$A576+1),COLUMN('1-DATA'!J574)),IF($B576="STD. DEVIATION",2,$F$1))))</f>
        <v/>
      </c>
      <c r="L576" s="1" t="str">
        <f>IF(OR($B576="",L$7=""),"",IF($B576="MEANS",INDEX('1-DATA'!$1:$1048576,$A575-1,COLUMN('1-DATA'!K574)),ROUND(INDEX('1-DATA'!$1:$1048576,IF(OR($B576="STD. DEVIATION",$C$1=1),$A576,$A576+1),COLUMN('1-DATA'!K574)),IF($B576="STD. DEVIATION",2,$F$1))))</f>
        <v/>
      </c>
      <c r="M576" s="1" t="str">
        <f>IF(OR($B576="",M$7=""),"",IF($B576="MEANS",INDEX('1-DATA'!$1:$1048576,$A575-1,COLUMN('1-DATA'!L574)),ROUND(INDEX('1-DATA'!$1:$1048576,IF(OR($B576="STD. DEVIATION",$C$1=1),$A576,$A576+1),COLUMN('1-DATA'!L574)),IF($B576="STD. DEVIATION",2,$F$1))))</f>
        <v/>
      </c>
      <c r="N576" s="1" t="str">
        <f>IF(OR($B576="",N$7=""),"",IF($B576="MEANS",INDEX('1-DATA'!$1:$1048576,$A575-1,COLUMN('1-DATA'!M574)),ROUND(INDEX('1-DATA'!$1:$1048576,IF(OR($B576="STD. DEVIATION",$C$1=1),$A576,$A576+1),COLUMN('1-DATA'!M574)),IF($B576="STD. DEVIATION",2,$F$1))))</f>
        <v/>
      </c>
      <c r="O576" s="1" t="str">
        <f>IF(OR($B576="",O$7=""),"",IF($B576="MEANS",INDEX('1-DATA'!$1:$1048576,$A575-1,COLUMN('1-DATA'!N574)),ROUND(INDEX('1-DATA'!$1:$1048576,IF(OR($B576="STD. DEVIATION",$C$1=1),$A576,$A576+1),COLUMN('1-DATA'!N574)),IF($B576="STD. DEVIATION",2,$F$1))))</f>
        <v/>
      </c>
      <c r="P576" s="1" t="str">
        <f>IF(OR($B576="",P$7=""),"",IF($B576="MEANS",INDEX('1-DATA'!$1:$1048576,$A575-1,COLUMN('1-DATA'!O574)),ROUND(INDEX('1-DATA'!$1:$1048576,IF(OR($B576="STD. DEVIATION",$C$1=1),$A576,$A576+1),COLUMN('1-DATA'!O574)),IF($B576="STD. DEVIATION",2,$F$1))))</f>
        <v/>
      </c>
      <c r="Q576" s="1" t="str">
        <f>IF(OR($B576="",Q$7=""),"",IF($B576="MEANS",INDEX('1-DATA'!$1:$1048576,$A575-1,COLUMN('1-DATA'!P574)),ROUND(INDEX('1-DATA'!$1:$1048576,IF(OR($B576="STD. DEVIATION",$C$1=1),$A576,$A576+1),COLUMN('1-DATA'!P574)),IF($B576="STD. DEVIATION",2,$F$1))))</f>
        <v/>
      </c>
      <c r="R576" s="1" t="str">
        <f>IF(OR($B576="",R$7=""),"",IF($B576="MEANS",INDEX('1-DATA'!$1:$1048576,$A575-1,COLUMN('1-DATA'!Q574)),ROUND(INDEX('1-DATA'!$1:$1048576,IF(OR($B576="STD. DEVIATION",$C$1=1),$A576,$A576+1),COLUMN('1-DATA'!Q574)),IF($B576="STD. DEVIATION",2,$F$1))))</f>
        <v/>
      </c>
      <c r="S576" s="1" t="str">
        <f>IF(OR($B576="",S$7=""),"",IF($B576="MEANS",INDEX('1-DATA'!$1:$1048576,$A575-1,COLUMN('1-DATA'!R574)),ROUND(INDEX('1-DATA'!$1:$1048576,IF(OR($B576="STD. DEVIATION",$C$1=1),$A576,$A576+1),COLUMN('1-DATA'!R574)),IF($B576="STD. DEVIATION",2,$F$1))))</f>
        <v/>
      </c>
      <c r="T576" s="1" t="str">
        <f>IF(OR($B576="",T$7=""),"",IF($B576="MEANS",INDEX('1-DATA'!$1:$1048576,$A575-1,COLUMN('1-DATA'!S574)),ROUND(INDEX('1-DATA'!$1:$1048576,IF(OR($B576="STD. DEVIATION",$C$1=1),$A576,$A576+1),COLUMN('1-DATA'!S574)),IF($B576="STD. DEVIATION",2,$F$1))))</f>
        <v/>
      </c>
      <c r="U576" s="1" t="str">
        <f>IF(OR($B576="",U$7=""),"",IF($B576="MEANS",INDEX('1-DATA'!$1:$1048576,$A575-1,COLUMN('1-DATA'!T574)),ROUND(INDEX('1-DATA'!$1:$1048576,IF(OR($B576="STD. DEVIATION",$C$1=1),$A576,$A576+1),COLUMN('1-DATA'!T574)),IF($B576="STD. DEVIATION",2,$F$1))))</f>
        <v/>
      </c>
      <c r="V576" s="1" t="str">
        <f>IF(OR($B576="",V$7=""),"",IF($B576="MEANS",INDEX('1-DATA'!$1:$1048576,$A575-1,COLUMN('1-DATA'!U574)),ROUND(INDEX('1-DATA'!$1:$1048576,IF(OR($B576="STD. DEVIATION",$C$1=1),$A576,$A576+1),COLUMN('1-DATA'!U574)),IF($B576="STD. DEVIATION",2,$F$1))))</f>
        <v/>
      </c>
      <c r="W576" s="1" t="str">
        <f>IF(OR($B576="",W$7=""),"",IF($B576="MEANS",INDEX('1-DATA'!$1:$1048576,$A575-1,COLUMN('1-DATA'!V574)),ROUND(INDEX('1-DATA'!$1:$1048576,IF(OR($B576="STD. DEVIATION",$C$1=1),$A576,$A576+1),COLUMN('1-DATA'!V574)),IF($B576="STD. DEVIATION",2,$F$1))))</f>
        <v/>
      </c>
      <c r="X576" s="1" t="str">
        <f>IF(OR($B576="",X$7=""),"",IF($B576="MEANS",INDEX('1-DATA'!$1:$1048576,$A575-1,COLUMN('1-DATA'!W574)),ROUND(INDEX('1-DATA'!$1:$1048576,IF(OR($B576="STD. DEVIATION",$C$1=1),$A576,$A576+1),COLUMN('1-DATA'!W574)),IF($B576="STD. DEVIATION",2,$F$1))))</f>
        <v/>
      </c>
      <c r="Y576" s="1" t="str">
        <f>IF(OR($B576="",Y$7=""),"",IF($B576="MEANS",INDEX('1-DATA'!$1:$1048576,$A575-1,COLUMN('1-DATA'!X574)),ROUND(INDEX('1-DATA'!$1:$1048576,IF(OR($B576="STD. DEVIATION",$C$1=1),$A576,$A576+1),COLUMN('1-DATA'!X574)),IF($B576="STD. DEVIATION",2,$F$1))))</f>
        <v/>
      </c>
      <c r="Z576" s="1" t="str">
        <f>IF(OR($B576="",Z$7=""),"",IF($B576="MEANS",INDEX('1-DATA'!$1:$1048576,$A575-1,COLUMN('1-DATA'!Y574)),ROUND(INDEX('1-DATA'!$1:$1048576,IF(OR($B576="STD. DEVIATION",$C$1=1),$A576,$A576+1),COLUMN('1-DATA'!Y574)),IF($B576="STD. DEVIATION",2,$F$1))))</f>
        <v/>
      </c>
      <c r="AA576" s="1" t="str">
        <f>IF(OR($B576="",AA$7=""),"",IF($B576="MEANS",INDEX('1-DATA'!$1:$1048576,$A575-1,COLUMN('1-DATA'!Z574)),ROUND(INDEX('1-DATA'!$1:$1048576,IF(OR($B576="STD. DEVIATION",$C$1=1),$A576,$A576+1),COLUMN('1-DATA'!Z574)),IF($B576="STD. DEVIATION",2,$F$1))))</f>
        <v/>
      </c>
      <c r="AB576" s="1" t="str">
        <f>IF(OR($B576="",AB$7=""),"",IF($B576="MEANS",INDEX('1-DATA'!$1:$1048576,$A575-1,COLUMN('1-DATA'!AA574)),ROUND(INDEX('1-DATA'!$1:$1048576,IF(OR($B576="STD. DEVIATION",$C$1=1),$A576,$A576+1),COLUMN('1-DATA'!AA574)),IF($B576="STD. DEVIATION",2,$F$1))))</f>
        <v/>
      </c>
      <c r="AC576" s="1" t="str">
        <f>IF(OR($B576="",AC$7=""),"",IF($B576="MEANS",INDEX('1-DATA'!$1:$1048576,$A575-1,COLUMN('1-DATA'!AB574)),ROUND(INDEX('1-DATA'!$1:$1048576,IF(OR($B576="STD. DEVIATION",$C$1=1),$A576,$A576+1),COLUMN('1-DATA'!AB574)),IF($B576="STD. DEVIATION",2,$F$1))))</f>
        <v/>
      </c>
      <c r="AD576" s="1" t="str">
        <f>IF(OR($B576="",AD$7=""),"",IF($B576="MEANS",INDEX('1-DATA'!$1:$1048576,$A575-1,COLUMN('1-DATA'!AC574)),ROUND(INDEX('1-DATA'!$1:$1048576,IF(OR($B576="STD. DEVIATION",$C$1=1),$A576,$A576+1),COLUMN('1-DATA'!AC574)),IF($B576="STD. DEVIATION",2,$F$1))))</f>
        <v/>
      </c>
      <c r="AE576" s="1" t="str">
        <f>IF(OR($B576="",AE$7=""),"",IF($B576="MEANS",INDEX('1-DATA'!$1:$1048576,$A575-1,COLUMN('1-DATA'!AD574)),ROUND(INDEX('1-DATA'!$1:$1048576,IF(OR($B576="STD. DEVIATION",$C$1=1),$A576,$A576+1),COLUMN('1-DATA'!AD574)),IF($B576="STD. DEVIATION",2,$F$1))))</f>
        <v/>
      </c>
      <c r="AF576" s="1" t="str">
        <f>IF(OR($B576="",AF$7=""),"",IF($B576="MEANS",INDEX('1-DATA'!$1:$1048576,$A575-1,COLUMN('1-DATA'!AE574)),ROUND(INDEX('1-DATA'!$1:$1048576,IF(OR($B576="STD. DEVIATION",$C$1=1),$A576,$A576+1),COLUMN('1-DATA'!AE574)),IF($B576="STD. DEVIATION",2,$F$1))))</f>
        <v/>
      </c>
      <c r="AG576" s="1" t="str">
        <f>IF(OR($B576="",AG$7=""),"",IF($B576="MEANS",INDEX('1-DATA'!$1:$1048576,$A575-1,COLUMN('1-DATA'!AF574)),ROUND(INDEX('1-DATA'!$1:$1048576,IF(OR($B576="STD. DEVIATION",$C$1=1),$A576,$A576+1),COLUMN('1-DATA'!AF574)),IF($B576="STD. DEVIATION",2,$F$1))))</f>
        <v/>
      </c>
      <c r="AH576" s="1" t="str">
        <f>IF(OR($B576="",AH$7=""),"",IF($B576="MEANS",INDEX('1-DATA'!$1:$1048576,$A575-1,COLUMN('1-DATA'!AG574)),ROUND(INDEX('1-DATA'!$1:$1048576,IF(OR($B576="STD. DEVIATION",$C$1=1),$A576,$A576+1),COLUMN('1-DATA'!AG574)),IF($B576="STD. DEVIATION",2,$F$1))))</f>
        <v/>
      </c>
      <c r="AI576" s="1" t="str">
        <f>IF(OR($B576="",AI$7=""),"",IF($B576="MEANS",INDEX('1-DATA'!$1:$1048576,$A575-1,COLUMN('1-DATA'!AH574)),ROUND(INDEX('1-DATA'!$1:$1048576,IF(OR($B576="STD. DEVIATION",$C$1=1),$A576,$A576+1),COLUMN('1-DATA'!AH574)),IF($B576="STD. DEVIATION",2,$F$1))))</f>
        <v/>
      </c>
      <c r="AJ576" s="1" t="str">
        <f>IF(OR($B576="",AJ$7=""),"",IF($B576="MEANS",INDEX('1-DATA'!$1:$1048576,$A575-1,COLUMN('1-DATA'!AI574)),ROUND(INDEX('1-DATA'!$1:$1048576,IF(OR($B576="STD. DEVIATION",$C$1=1),$A576,$A576+1),COLUMN('1-DATA'!AI574)),IF($B576="STD. DEVIATION",2,$F$1))))</f>
        <v/>
      </c>
      <c r="AK576" s="1" t="str">
        <f>IF(OR($B576="",AK$7=""),"",IF($B576="MEANS",INDEX('1-DATA'!$1:$1048576,$A575-1,COLUMN('1-DATA'!AJ574)),ROUND(INDEX('1-DATA'!$1:$1048576,IF(OR($B576="STD. DEVIATION",$C$1=1),$A576,$A576+1),COLUMN('1-DATA'!AJ574)),IF($B576="STD. DEVIATION",2,$F$1))))</f>
        <v/>
      </c>
      <c r="AL576" s="1" t="str">
        <f>IF(OR($B576="",AL$7=""),"",IF($B576="MEANS",INDEX('1-DATA'!$1:$1048576,$A575-1,COLUMN('1-DATA'!AK574)),ROUND(INDEX('1-DATA'!$1:$1048576,IF(OR($B576="STD. DEVIATION",$C$1=1),$A576,$A576+1),COLUMN('1-DATA'!AK574)),IF($B576="STD. DEVIATION",2,$F$1))))</f>
        <v/>
      </c>
      <c r="AM576" s="1" t="str">
        <f>IF(OR($B576="",AM$7=""),"",IF($B576="MEANS",INDEX('1-DATA'!$1:$1048576,$A575-1,COLUMN('1-DATA'!AL574)),ROUND(INDEX('1-DATA'!$1:$1048576,IF(OR($B576="STD. DEVIATION",$C$1=1),$A576,$A576+1),COLUMN('1-DATA'!AL574)),IF($B576="STD. DEVIATION",2,$F$1))))</f>
        <v/>
      </c>
      <c r="AN576" s="1" t="str">
        <f>IF(OR($B576="",AN$7=""),"",IF($B576="MEANS",INDEX('1-DATA'!$1:$1048576,$A575-1,COLUMN('1-DATA'!AM574)),ROUND(INDEX('1-DATA'!$1:$1048576,IF(OR($B576="STD. DEVIATION",$C$1=1),$A576,$A576+1),COLUMN('1-DATA'!AM574)),IF($B576="STD. DEVIATION",2,$F$1))))</f>
        <v/>
      </c>
      <c r="AO576" s="1" t="str">
        <f>IF(OR($B576="",AO$7=""),"",IF($B576="MEANS",INDEX('1-DATA'!$1:$1048576,$A575-1,COLUMN('1-DATA'!AN574)),ROUND(INDEX('1-DATA'!$1:$1048576,IF(OR($B576="STD. DEVIATION",$C$1=1),$A576,$A576+1),COLUMN('1-DATA'!AN574)),IF($B576="STD. DEVIATION",2,$F$1))))</f>
        <v/>
      </c>
      <c r="AP576" s="1" t="str">
        <f>IF(OR($B576="",AP$7=""),"",IF($B576="MEANS",INDEX('1-DATA'!$1:$1048576,$A575-1,COLUMN('1-DATA'!AO574)),ROUND(INDEX('1-DATA'!$1:$1048576,IF(OR($B576="STD. DEVIATION",$C$1=1),$A576,$A576+1),COLUMN('1-DATA'!AO574)),IF($B576="STD. DEVIATION",2,$F$1))))</f>
        <v/>
      </c>
      <c r="AQ576" s="1" t="str">
        <f>IF(OR($B576="",AQ$7=""),"",IF($B576="MEANS",INDEX('1-DATA'!$1:$1048576,$A575-1,COLUMN('1-DATA'!AP574)),ROUND(INDEX('1-DATA'!$1:$1048576,IF(OR($B576="STD. DEVIATION",$C$1=1),$A576,$A576+1),COLUMN('1-DATA'!AP574)),IF($B576="STD. DEVIATION",2,$F$1))))</f>
        <v/>
      </c>
      <c r="AR576" s="1" t="str">
        <f>IF(OR($B576="",AR$7=""),"",IF($B576="MEANS",INDEX('1-DATA'!$1:$1048576,$A575-1,COLUMN('1-DATA'!AQ574)),ROUND(INDEX('1-DATA'!$1:$1048576,IF(OR($B576="STD. DEVIATION",$C$1=1),$A576,$A576+1),COLUMN('1-DATA'!AQ574)),IF($B576="STD. DEVIATION",2,$F$1))))</f>
        <v/>
      </c>
      <c r="AS576" s="1" t="str">
        <f>IF(OR($B576="",AS$7=""),"",IF($B576="MEANS",INDEX('1-DATA'!$1:$1048576,$A575-1,COLUMN('1-DATA'!AR574)),ROUND(INDEX('1-DATA'!$1:$1048576,IF(OR($B576="STD. DEVIATION",$C$1=1),$A576,$A576+1),COLUMN('1-DATA'!AR574)),IF($B576="STD. DEVIATION",2,$F$1))))</f>
        <v/>
      </c>
      <c r="AT576" s="1" t="str">
        <f>IF(OR($B576="",AT$7=""),"",IF($B576="MEANS",INDEX('1-DATA'!$1:$1048576,$A575-1,COLUMN('1-DATA'!AS574)),ROUND(INDEX('1-DATA'!$1:$1048576,IF(OR($B576="STD. DEVIATION",$C$1=1),$A576,$A576+1),COLUMN('1-DATA'!AS574)),IF($B576="STD. DEVIATION",2,$F$1))))</f>
        <v/>
      </c>
      <c r="AU576" s="1" t="str">
        <f>IF(OR($B576="",AU$7=""),"",IF($B576="MEANS",INDEX('1-DATA'!$1:$1048576,$A575-1,COLUMN('1-DATA'!AT574)),ROUND(INDEX('1-DATA'!$1:$1048576,IF(OR($B576="STD. DEVIATION",$C$1=1),$A576,$A576+1),COLUMN('1-DATA'!AT574)),IF($B576="STD. DEVIATION",2,$F$1))))</f>
        <v/>
      </c>
      <c r="AV576" s="1" t="str">
        <f>IF(OR($B576="",AV$7=""),"",IF($B576="MEANS",INDEX('1-DATA'!$1:$1048576,$A575-1,COLUMN('1-DATA'!AU574)),ROUND(INDEX('1-DATA'!$1:$1048576,IF(OR($B576="STD. DEVIATION",$C$1=1),$A576,$A576+1),COLUMN('1-DATA'!AU574)),IF($B576="STD. DEVIATION",2,$F$1))))</f>
        <v/>
      </c>
      <c r="AW576" s="1" t="str">
        <f>IF(OR($B576="",AW$7=""),"",IF($B576="MEANS",INDEX('1-DATA'!$1:$1048576,$A575-1,COLUMN('1-DATA'!AV574)),ROUND(INDEX('1-DATA'!$1:$1048576,IF(OR($B576="STD. DEVIATION",$C$1=1),$A576,$A576+1),COLUMN('1-DATA'!AV574)),IF($B576="STD. DEVIATION",2,$F$1))))</f>
        <v/>
      </c>
      <c r="AX576" s="1" t="str">
        <f>IF(OR($B576="",AX$7=""),"",IF($B576="MEANS",INDEX('1-DATA'!$1:$1048576,$A575-1,COLUMN('1-DATA'!AW574)),ROUND(INDEX('1-DATA'!$1:$1048576,IF(OR($B576="STD. DEVIATION",$C$1=1),$A576,$A576+1),COLUMN('1-DATA'!AW574)),IF($B576="STD. DEVIATION",2,$F$1))))</f>
        <v/>
      </c>
      <c r="AY576" s="1" t="str">
        <f>IF(OR($B576="",AY$7=""),"",IF($B576="MEANS",INDEX('1-DATA'!$1:$1048576,$A575-1,COLUMN('1-DATA'!AX574)),ROUND(INDEX('1-DATA'!$1:$1048576,IF(OR($B576="STD. DEVIATION",$C$1=1),$A576,$A576+1),COLUMN('1-DATA'!AX574)),IF($B576="STD. DEVIATION",2,$F$1))))</f>
        <v/>
      </c>
      <c r="AZ576" s="1" t="str">
        <f>IF(OR($B576="",AZ$7=""),"",IF($B576="MEANS",INDEX('1-DATA'!$1:$1048576,$A575-1,COLUMN('1-DATA'!AY574)),ROUND(INDEX('1-DATA'!$1:$1048576,IF(OR($B576="STD. DEVIATION",$C$1=1),$A576,$A576+1),COLUMN('1-DATA'!AY574)),IF($B576="STD. DEVIATION",2,$F$1))))</f>
        <v/>
      </c>
    </row>
    <row r="577" spans="1:52" x14ac:dyDescent="0.25">
      <c r="A577" s="11">
        <f t="shared" si="9"/>
        <v>1717</v>
      </c>
      <c r="B577" s="1" t="str">
        <f>IF(B576="STD. DEVIATION",INDEX('1-DATA'!$1:$1048576,$A576-1,1),IF(INDEX('1-DATA'!$1:$1048576,$A577,1)&lt;&gt;"",INDEX('1-DATA'!$1:$1048576,$A577,1),""))</f>
        <v/>
      </c>
      <c r="C577" s="1" t="str">
        <f>IF(OR($B577="",C$7=""),"",IF($B577="MEANS",INDEX('1-DATA'!$1:$1048576,$A576-1,COLUMN('1-DATA'!B575)),ROUND(INDEX('1-DATA'!$1:$1048576,IF(OR($B577="STD. DEVIATION",$C$1=1),$A577,$A577+1),COLUMN('1-DATA'!B575)),IF($B577="STD. DEVIATION",2,$F$1))))</f>
        <v/>
      </c>
      <c r="D577" s="1" t="str">
        <f>IF(OR($B577="",D$7=""),"",IF($B577="MEANS",INDEX('1-DATA'!$1:$1048576,$A576-1,COLUMN('1-DATA'!C575)),ROUND(INDEX('1-DATA'!$1:$1048576,IF(OR($B577="STD. DEVIATION",$C$1=1),$A577,$A577+1),COLUMN('1-DATA'!C575)),IF($B577="STD. DEVIATION",2,$F$1))))</f>
        <v/>
      </c>
      <c r="E577" s="1" t="str">
        <f>IF(OR($B577="",E$7=""),"",IF($B577="MEANS",INDEX('1-DATA'!$1:$1048576,$A576-1,COLUMN('1-DATA'!D575)),ROUND(INDEX('1-DATA'!$1:$1048576,IF(OR($B577="STD. DEVIATION",$C$1=1),$A577,$A577+1),COLUMN('1-DATA'!D575)),IF($B577="STD. DEVIATION",2,$F$1))))</f>
        <v/>
      </c>
      <c r="F577" s="1" t="str">
        <f>IF(OR($B577="",F$7=""),"",IF($B577="MEANS",INDEX('1-DATA'!$1:$1048576,$A576-1,COLUMN('1-DATA'!E575)),ROUND(INDEX('1-DATA'!$1:$1048576,IF(OR($B577="STD. DEVIATION",$C$1=1),$A577,$A577+1),COLUMN('1-DATA'!E575)),IF($B577="STD. DEVIATION",2,$F$1))))</f>
        <v/>
      </c>
      <c r="G577" s="1" t="str">
        <f>IF(OR($B577="",G$7=""),"",IF($B577="MEANS",INDEX('1-DATA'!$1:$1048576,$A576-1,COLUMN('1-DATA'!F575)),ROUND(INDEX('1-DATA'!$1:$1048576,IF(OR($B577="STD. DEVIATION",$C$1=1),$A577,$A577+1),COLUMN('1-DATA'!F575)),IF($B577="STD. DEVIATION",2,$F$1))))</f>
        <v/>
      </c>
      <c r="H577" s="1" t="str">
        <f>IF(OR($B577="",H$7=""),"",IF($B577="MEANS",INDEX('1-DATA'!$1:$1048576,$A576-1,COLUMN('1-DATA'!G575)),ROUND(INDEX('1-DATA'!$1:$1048576,IF(OR($B577="STD. DEVIATION",$C$1=1),$A577,$A577+1),COLUMN('1-DATA'!G575)),IF($B577="STD. DEVIATION",2,$F$1))))</f>
        <v/>
      </c>
      <c r="I577" s="1" t="str">
        <f>IF(OR($B577="",I$7=""),"",IF($B577="MEANS",INDEX('1-DATA'!$1:$1048576,$A576-1,COLUMN('1-DATA'!H575)),ROUND(INDEX('1-DATA'!$1:$1048576,IF(OR($B577="STD. DEVIATION",$C$1=1),$A577,$A577+1),COLUMN('1-DATA'!H575)),IF($B577="STD. DEVIATION",2,$F$1))))</f>
        <v/>
      </c>
      <c r="J577" s="1" t="str">
        <f>IF(OR($B577="",J$7=""),"",IF($B577="MEANS",INDEX('1-DATA'!$1:$1048576,$A576-1,COLUMN('1-DATA'!I575)),ROUND(INDEX('1-DATA'!$1:$1048576,IF(OR($B577="STD. DEVIATION",$C$1=1),$A577,$A577+1),COLUMN('1-DATA'!I575)),IF($B577="STD. DEVIATION",2,$F$1))))</f>
        <v/>
      </c>
      <c r="K577" s="1" t="str">
        <f>IF(OR($B577="",K$7=""),"",IF($B577="MEANS",INDEX('1-DATA'!$1:$1048576,$A576-1,COLUMN('1-DATA'!J575)),ROUND(INDEX('1-DATA'!$1:$1048576,IF(OR($B577="STD. DEVIATION",$C$1=1),$A577,$A577+1),COLUMN('1-DATA'!J575)),IF($B577="STD. DEVIATION",2,$F$1))))</f>
        <v/>
      </c>
      <c r="L577" s="1" t="str">
        <f>IF(OR($B577="",L$7=""),"",IF($B577="MEANS",INDEX('1-DATA'!$1:$1048576,$A576-1,COLUMN('1-DATA'!K575)),ROUND(INDEX('1-DATA'!$1:$1048576,IF(OR($B577="STD. DEVIATION",$C$1=1),$A577,$A577+1),COLUMN('1-DATA'!K575)),IF($B577="STD. DEVIATION",2,$F$1))))</f>
        <v/>
      </c>
      <c r="M577" s="1" t="str">
        <f>IF(OR($B577="",M$7=""),"",IF($B577="MEANS",INDEX('1-DATA'!$1:$1048576,$A576-1,COLUMN('1-DATA'!L575)),ROUND(INDEX('1-DATA'!$1:$1048576,IF(OR($B577="STD. DEVIATION",$C$1=1),$A577,$A577+1),COLUMN('1-DATA'!L575)),IF($B577="STD. DEVIATION",2,$F$1))))</f>
        <v/>
      </c>
      <c r="N577" s="1" t="str">
        <f>IF(OR($B577="",N$7=""),"",IF($B577="MEANS",INDEX('1-DATA'!$1:$1048576,$A576-1,COLUMN('1-DATA'!M575)),ROUND(INDEX('1-DATA'!$1:$1048576,IF(OR($B577="STD. DEVIATION",$C$1=1),$A577,$A577+1),COLUMN('1-DATA'!M575)),IF($B577="STD. DEVIATION",2,$F$1))))</f>
        <v/>
      </c>
      <c r="O577" s="1" t="str">
        <f>IF(OR($B577="",O$7=""),"",IF($B577="MEANS",INDEX('1-DATA'!$1:$1048576,$A576-1,COLUMN('1-DATA'!N575)),ROUND(INDEX('1-DATA'!$1:$1048576,IF(OR($B577="STD. DEVIATION",$C$1=1),$A577,$A577+1),COLUMN('1-DATA'!N575)),IF($B577="STD. DEVIATION",2,$F$1))))</f>
        <v/>
      </c>
      <c r="P577" s="1" t="str">
        <f>IF(OR($B577="",P$7=""),"",IF($B577="MEANS",INDEX('1-DATA'!$1:$1048576,$A576-1,COLUMN('1-DATA'!O575)),ROUND(INDEX('1-DATA'!$1:$1048576,IF(OR($B577="STD. DEVIATION",$C$1=1),$A577,$A577+1),COLUMN('1-DATA'!O575)),IF($B577="STD. DEVIATION",2,$F$1))))</f>
        <v/>
      </c>
      <c r="Q577" s="1" t="str">
        <f>IF(OR($B577="",Q$7=""),"",IF($B577="MEANS",INDEX('1-DATA'!$1:$1048576,$A576-1,COLUMN('1-DATA'!P575)),ROUND(INDEX('1-DATA'!$1:$1048576,IF(OR($B577="STD. DEVIATION",$C$1=1),$A577,$A577+1),COLUMN('1-DATA'!P575)),IF($B577="STD. DEVIATION",2,$F$1))))</f>
        <v/>
      </c>
      <c r="R577" s="1" t="str">
        <f>IF(OR($B577="",R$7=""),"",IF($B577="MEANS",INDEX('1-DATA'!$1:$1048576,$A576-1,COLUMN('1-DATA'!Q575)),ROUND(INDEX('1-DATA'!$1:$1048576,IF(OR($B577="STD. DEVIATION",$C$1=1),$A577,$A577+1),COLUMN('1-DATA'!Q575)),IF($B577="STD. DEVIATION",2,$F$1))))</f>
        <v/>
      </c>
      <c r="S577" s="1" t="str">
        <f>IF(OR($B577="",S$7=""),"",IF($B577="MEANS",INDEX('1-DATA'!$1:$1048576,$A576-1,COLUMN('1-DATA'!R575)),ROUND(INDEX('1-DATA'!$1:$1048576,IF(OR($B577="STD. DEVIATION",$C$1=1),$A577,$A577+1),COLUMN('1-DATA'!R575)),IF($B577="STD. DEVIATION",2,$F$1))))</f>
        <v/>
      </c>
      <c r="T577" s="1" t="str">
        <f>IF(OR($B577="",T$7=""),"",IF($B577="MEANS",INDEX('1-DATA'!$1:$1048576,$A576-1,COLUMN('1-DATA'!S575)),ROUND(INDEX('1-DATA'!$1:$1048576,IF(OR($B577="STD. DEVIATION",$C$1=1),$A577,$A577+1),COLUMN('1-DATA'!S575)),IF($B577="STD. DEVIATION",2,$F$1))))</f>
        <v/>
      </c>
      <c r="U577" s="1" t="str">
        <f>IF(OR($B577="",U$7=""),"",IF($B577="MEANS",INDEX('1-DATA'!$1:$1048576,$A576-1,COLUMN('1-DATA'!T575)),ROUND(INDEX('1-DATA'!$1:$1048576,IF(OR($B577="STD. DEVIATION",$C$1=1),$A577,$A577+1),COLUMN('1-DATA'!T575)),IF($B577="STD. DEVIATION",2,$F$1))))</f>
        <v/>
      </c>
      <c r="V577" s="1" t="str">
        <f>IF(OR($B577="",V$7=""),"",IF($B577="MEANS",INDEX('1-DATA'!$1:$1048576,$A576-1,COLUMN('1-DATA'!U575)),ROUND(INDEX('1-DATA'!$1:$1048576,IF(OR($B577="STD. DEVIATION",$C$1=1),$A577,$A577+1),COLUMN('1-DATA'!U575)),IF($B577="STD. DEVIATION",2,$F$1))))</f>
        <v/>
      </c>
      <c r="W577" s="1" t="str">
        <f>IF(OR($B577="",W$7=""),"",IF($B577="MEANS",INDEX('1-DATA'!$1:$1048576,$A576-1,COLUMN('1-DATA'!V575)),ROUND(INDEX('1-DATA'!$1:$1048576,IF(OR($B577="STD. DEVIATION",$C$1=1),$A577,$A577+1),COLUMN('1-DATA'!V575)),IF($B577="STD. DEVIATION",2,$F$1))))</f>
        <v/>
      </c>
      <c r="X577" s="1" t="str">
        <f>IF(OR($B577="",X$7=""),"",IF($B577="MEANS",INDEX('1-DATA'!$1:$1048576,$A576-1,COLUMN('1-DATA'!W575)),ROUND(INDEX('1-DATA'!$1:$1048576,IF(OR($B577="STD. DEVIATION",$C$1=1),$A577,$A577+1),COLUMN('1-DATA'!W575)),IF($B577="STD. DEVIATION",2,$F$1))))</f>
        <v/>
      </c>
      <c r="Y577" s="1" t="str">
        <f>IF(OR($B577="",Y$7=""),"",IF($B577="MEANS",INDEX('1-DATA'!$1:$1048576,$A576-1,COLUMN('1-DATA'!X575)),ROUND(INDEX('1-DATA'!$1:$1048576,IF(OR($B577="STD. DEVIATION",$C$1=1),$A577,$A577+1),COLUMN('1-DATA'!X575)),IF($B577="STD. DEVIATION",2,$F$1))))</f>
        <v/>
      </c>
      <c r="Z577" s="1" t="str">
        <f>IF(OR($B577="",Z$7=""),"",IF($B577="MEANS",INDEX('1-DATA'!$1:$1048576,$A576-1,COLUMN('1-DATA'!Y575)),ROUND(INDEX('1-DATA'!$1:$1048576,IF(OR($B577="STD. DEVIATION",$C$1=1),$A577,$A577+1),COLUMN('1-DATA'!Y575)),IF($B577="STD. DEVIATION",2,$F$1))))</f>
        <v/>
      </c>
      <c r="AA577" s="1" t="str">
        <f>IF(OR($B577="",AA$7=""),"",IF($B577="MEANS",INDEX('1-DATA'!$1:$1048576,$A576-1,COLUMN('1-DATA'!Z575)),ROUND(INDEX('1-DATA'!$1:$1048576,IF(OR($B577="STD. DEVIATION",$C$1=1),$A577,$A577+1),COLUMN('1-DATA'!Z575)),IF($B577="STD. DEVIATION",2,$F$1))))</f>
        <v/>
      </c>
      <c r="AB577" s="1" t="str">
        <f>IF(OR($B577="",AB$7=""),"",IF($B577="MEANS",INDEX('1-DATA'!$1:$1048576,$A576-1,COLUMN('1-DATA'!AA575)),ROUND(INDEX('1-DATA'!$1:$1048576,IF(OR($B577="STD. DEVIATION",$C$1=1),$A577,$A577+1),COLUMN('1-DATA'!AA575)),IF($B577="STD. DEVIATION",2,$F$1))))</f>
        <v/>
      </c>
      <c r="AC577" s="1" t="str">
        <f>IF(OR($B577="",AC$7=""),"",IF($B577="MEANS",INDEX('1-DATA'!$1:$1048576,$A576-1,COLUMN('1-DATA'!AB575)),ROUND(INDEX('1-DATA'!$1:$1048576,IF(OR($B577="STD. DEVIATION",$C$1=1),$A577,$A577+1),COLUMN('1-DATA'!AB575)),IF($B577="STD. DEVIATION",2,$F$1))))</f>
        <v/>
      </c>
      <c r="AD577" s="1" t="str">
        <f>IF(OR($B577="",AD$7=""),"",IF($B577="MEANS",INDEX('1-DATA'!$1:$1048576,$A576-1,COLUMN('1-DATA'!AC575)),ROUND(INDEX('1-DATA'!$1:$1048576,IF(OR($B577="STD. DEVIATION",$C$1=1),$A577,$A577+1),COLUMN('1-DATA'!AC575)),IF($B577="STD. DEVIATION",2,$F$1))))</f>
        <v/>
      </c>
      <c r="AE577" s="1" t="str">
        <f>IF(OR($B577="",AE$7=""),"",IF($B577="MEANS",INDEX('1-DATA'!$1:$1048576,$A576-1,COLUMN('1-DATA'!AD575)),ROUND(INDEX('1-DATA'!$1:$1048576,IF(OR($B577="STD. DEVIATION",$C$1=1),$A577,$A577+1),COLUMN('1-DATA'!AD575)),IF($B577="STD. DEVIATION",2,$F$1))))</f>
        <v/>
      </c>
      <c r="AF577" s="1" t="str">
        <f>IF(OR($B577="",AF$7=""),"",IF($B577="MEANS",INDEX('1-DATA'!$1:$1048576,$A576-1,COLUMN('1-DATA'!AE575)),ROUND(INDEX('1-DATA'!$1:$1048576,IF(OR($B577="STD. DEVIATION",$C$1=1),$A577,$A577+1),COLUMN('1-DATA'!AE575)),IF($B577="STD. DEVIATION",2,$F$1))))</f>
        <v/>
      </c>
      <c r="AG577" s="1" t="str">
        <f>IF(OR($B577="",AG$7=""),"",IF($B577="MEANS",INDEX('1-DATA'!$1:$1048576,$A576-1,COLUMN('1-DATA'!AF575)),ROUND(INDEX('1-DATA'!$1:$1048576,IF(OR($B577="STD. DEVIATION",$C$1=1),$A577,$A577+1),COLUMN('1-DATA'!AF575)),IF($B577="STD. DEVIATION",2,$F$1))))</f>
        <v/>
      </c>
      <c r="AH577" s="1" t="str">
        <f>IF(OR($B577="",AH$7=""),"",IF($B577="MEANS",INDEX('1-DATA'!$1:$1048576,$A576-1,COLUMN('1-DATA'!AG575)),ROUND(INDEX('1-DATA'!$1:$1048576,IF(OR($B577="STD. DEVIATION",$C$1=1),$A577,$A577+1),COLUMN('1-DATA'!AG575)),IF($B577="STD. DEVIATION",2,$F$1))))</f>
        <v/>
      </c>
      <c r="AI577" s="1" t="str">
        <f>IF(OR($B577="",AI$7=""),"",IF($B577="MEANS",INDEX('1-DATA'!$1:$1048576,$A576-1,COLUMN('1-DATA'!AH575)),ROUND(INDEX('1-DATA'!$1:$1048576,IF(OR($B577="STD. DEVIATION",$C$1=1),$A577,$A577+1),COLUMN('1-DATA'!AH575)),IF($B577="STD. DEVIATION",2,$F$1))))</f>
        <v/>
      </c>
      <c r="AJ577" s="1" t="str">
        <f>IF(OR($B577="",AJ$7=""),"",IF($B577="MEANS",INDEX('1-DATA'!$1:$1048576,$A576-1,COLUMN('1-DATA'!AI575)),ROUND(INDEX('1-DATA'!$1:$1048576,IF(OR($B577="STD. DEVIATION",$C$1=1),$A577,$A577+1),COLUMN('1-DATA'!AI575)),IF($B577="STD. DEVIATION",2,$F$1))))</f>
        <v/>
      </c>
      <c r="AK577" s="1" t="str">
        <f>IF(OR($B577="",AK$7=""),"",IF($B577="MEANS",INDEX('1-DATA'!$1:$1048576,$A576-1,COLUMN('1-DATA'!AJ575)),ROUND(INDEX('1-DATA'!$1:$1048576,IF(OR($B577="STD. DEVIATION",$C$1=1),$A577,$A577+1),COLUMN('1-DATA'!AJ575)),IF($B577="STD. DEVIATION",2,$F$1))))</f>
        <v/>
      </c>
      <c r="AL577" s="1" t="str">
        <f>IF(OR($B577="",AL$7=""),"",IF($B577="MEANS",INDEX('1-DATA'!$1:$1048576,$A576-1,COLUMN('1-DATA'!AK575)),ROUND(INDEX('1-DATA'!$1:$1048576,IF(OR($B577="STD. DEVIATION",$C$1=1),$A577,$A577+1),COLUMN('1-DATA'!AK575)),IF($B577="STD. DEVIATION",2,$F$1))))</f>
        <v/>
      </c>
      <c r="AM577" s="1" t="str">
        <f>IF(OR($B577="",AM$7=""),"",IF($B577="MEANS",INDEX('1-DATA'!$1:$1048576,$A576-1,COLUMN('1-DATA'!AL575)),ROUND(INDEX('1-DATA'!$1:$1048576,IF(OR($B577="STD. DEVIATION",$C$1=1),$A577,$A577+1),COLUMN('1-DATA'!AL575)),IF($B577="STD. DEVIATION",2,$F$1))))</f>
        <v/>
      </c>
      <c r="AN577" s="1" t="str">
        <f>IF(OR($B577="",AN$7=""),"",IF($B577="MEANS",INDEX('1-DATA'!$1:$1048576,$A576-1,COLUMN('1-DATA'!AM575)),ROUND(INDEX('1-DATA'!$1:$1048576,IF(OR($B577="STD. DEVIATION",$C$1=1),$A577,$A577+1),COLUMN('1-DATA'!AM575)),IF($B577="STD. DEVIATION",2,$F$1))))</f>
        <v/>
      </c>
      <c r="AO577" s="1" t="str">
        <f>IF(OR($B577="",AO$7=""),"",IF($B577="MEANS",INDEX('1-DATA'!$1:$1048576,$A576-1,COLUMN('1-DATA'!AN575)),ROUND(INDEX('1-DATA'!$1:$1048576,IF(OR($B577="STD. DEVIATION",$C$1=1),$A577,$A577+1),COLUMN('1-DATA'!AN575)),IF($B577="STD. DEVIATION",2,$F$1))))</f>
        <v/>
      </c>
      <c r="AP577" s="1" t="str">
        <f>IF(OR($B577="",AP$7=""),"",IF($B577="MEANS",INDEX('1-DATA'!$1:$1048576,$A576-1,COLUMN('1-DATA'!AO575)),ROUND(INDEX('1-DATA'!$1:$1048576,IF(OR($B577="STD. DEVIATION",$C$1=1),$A577,$A577+1),COLUMN('1-DATA'!AO575)),IF($B577="STD. DEVIATION",2,$F$1))))</f>
        <v/>
      </c>
      <c r="AQ577" s="1" t="str">
        <f>IF(OR($B577="",AQ$7=""),"",IF($B577="MEANS",INDEX('1-DATA'!$1:$1048576,$A576-1,COLUMN('1-DATA'!AP575)),ROUND(INDEX('1-DATA'!$1:$1048576,IF(OR($B577="STD. DEVIATION",$C$1=1),$A577,$A577+1),COLUMN('1-DATA'!AP575)),IF($B577="STD. DEVIATION",2,$F$1))))</f>
        <v/>
      </c>
      <c r="AR577" s="1" t="str">
        <f>IF(OR($B577="",AR$7=""),"",IF($B577="MEANS",INDEX('1-DATA'!$1:$1048576,$A576-1,COLUMN('1-DATA'!AQ575)),ROUND(INDEX('1-DATA'!$1:$1048576,IF(OR($B577="STD. DEVIATION",$C$1=1),$A577,$A577+1),COLUMN('1-DATA'!AQ575)),IF($B577="STD. DEVIATION",2,$F$1))))</f>
        <v/>
      </c>
      <c r="AS577" s="1" t="str">
        <f>IF(OR($B577="",AS$7=""),"",IF($B577="MEANS",INDEX('1-DATA'!$1:$1048576,$A576-1,COLUMN('1-DATA'!AR575)),ROUND(INDEX('1-DATA'!$1:$1048576,IF(OR($B577="STD. DEVIATION",$C$1=1),$A577,$A577+1),COLUMN('1-DATA'!AR575)),IF($B577="STD. DEVIATION",2,$F$1))))</f>
        <v/>
      </c>
      <c r="AT577" s="1" t="str">
        <f>IF(OR($B577="",AT$7=""),"",IF($B577="MEANS",INDEX('1-DATA'!$1:$1048576,$A576-1,COLUMN('1-DATA'!AS575)),ROUND(INDEX('1-DATA'!$1:$1048576,IF(OR($B577="STD. DEVIATION",$C$1=1),$A577,$A577+1),COLUMN('1-DATA'!AS575)),IF($B577="STD. DEVIATION",2,$F$1))))</f>
        <v/>
      </c>
      <c r="AU577" s="1" t="str">
        <f>IF(OR($B577="",AU$7=""),"",IF($B577="MEANS",INDEX('1-DATA'!$1:$1048576,$A576-1,COLUMN('1-DATA'!AT575)),ROUND(INDEX('1-DATA'!$1:$1048576,IF(OR($B577="STD. DEVIATION",$C$1=1),$A577,$A577+1),COLUMN('1-DATA'!AT575)),IF($B577="STD. DEVIATION",2,$F$1))))</f>
        <v/>
      </c>
      <c r="AV577" s="1" t="str">
        <f>IF(OR($B577="",AV$7=""),"",IF($B577="MEANS",INDEX('1-DATA'!$1:$1048576,$A576-1,COLUMN('1-DATA'!AU575)),ROUND(INDEX('1-DATA'!$1:$1048576,IF(OR($B577="STD. DEVIATION",$C$1=1),$A577,$A577+1),COLUMN('1-DATA'!AU575)),IF($B577="STD. DEVIATION",2,$F$1))))</f>
        <v/>
      </c>
      <c r="AW577" s="1" t="str">
        <f>IF(OR($B577="",AW$7=""),"",IF($B577="MEANS",INDEX('1-DATA'!$1:$1048576,$A576-1,COLUMN('1-DATA'!AV575)),ROUND(INDEX('1-DATA'!$1:$1048576,IF(OR($B577="STD. DEVIATION",$C$1=1),$A577,$A577+1),COLUMN('1-DATA'!AV575)),IF($B577="STD. DEVIATION",2,$F$1))))</f>
        <v/>
      </c>
      <c r="AX577" s="1" t="str">
        <f>IF(OR($B577="",AX$7=""),"",IF($B577="MEANS",INDEX('1-DATA'!$1:$1048576,$A576-1,COLUMN('1-DATA'!AW575)),ROUND(INDEX('1-DATA'!$1:$1048576,IF(OR($B577="STD. DEVIATION",$C$1=1),$A577,$A577+1),COLUMN('1-DATA'!AW575)),IF($B577="STD. DEVIATION",2,$F$1))))</f>
        <v/>
      </c>
      <c r="AY577" s="1" t="str">
        <f>IF(OR($B577="",AY$7=""),"",IF($B577="MEANS",INDEX('1-DATA'!$1:$1048576,$A576-1,COLUMN('1-DATA'!AX575)),ROUND(INDEX('1-DATA'!$1:$1048576,IF(OR($B577="STD. DEVIATION",$C$1=1),$A577,$A577+1),COLUMN('1-DATA'!AX575)),IF($B577="STD. DEVIATION",2,$F$1))))</f>
        <v/>
      </c>
      <c r="AZ577" s="1" t="str">
        <f>IF(OR($B577="",AZ$7=""),"",IF($B577="MEANS",INDEX('1-DATA'!$1:$1048576,$A576-1,COLUMN('1-DATA'!AY575)),ROUND(INDEX('1-DATA'!$1:$1048576,IF(OR($B577="STD. DEVIATION",$C$1=1),$A577,$A577+1),COLUMN('1-DATA'!AY575)),IF($B577="STD. DEVIATION",2,$F$1))))</f>
        <v/>
      </c>
    </row>
    <row r="578" spans="1:52" x14ac:dyDescent="0.25">
      <c r="A578" s="11">
        <f t="shared" si="9"/>
        <v>1720</v>
      </c>
      <c r="B578" s="1" t="str">
        <f>IF(B577="STD. DEVIATION",INDEX('1-DATA'!$1:$1048576,$A577-1,1),IF(INDEX('1-DATA'!$1:$1048576,$A578,1)&lt;&gt;"",INDEX('1-DATA'!$1:$1048576,$A578,1),""))</f>
        <v/>
      </c>
      <c r="C578" s="1" t="str">
        <f>IF(OR($B578="",C$7=""),"",IF($B578="MEANS",INDEX('1-DATA'!$1:$1048576,$A577-1,COLUMN('1-DATA'!B576)),ROUND(INDEX('1-DATA'!$1:$1048576,IF(OR($B578="STD. DEVIATION",$C$1=1),$A578,$A578+1),COLUMN('1-DATA'!B576)),IF($B578="STD. DEVIATION",2,$F$1))))</f>
        <v/>
      </c>
      <c r="D578" s="1" t="str">
        <f>IF(OR($B578="",D$7=""),"",IF($B578="MEANS",INDEX('1-DATA'!$1:$1048576,$A577-1,COLUMN('1-DATA'!C576)),ROUND(INDEX('1-DATA'!$1:$1048576,IF(OR($B578="STD. DEVIATION",$C$1=1),$A578,$A578+1),COLUMN('1-DATA'!C576)),IF($B578="STD. DEVIATION",2,$F$1))))</f>
        <v/>
      </c>
      <c r="E578" s="1" t="str">
        <f>IF(OR($B578="",E$7=""),"",IF($B578="MEANS",INDEX('1-DATA'!$1:$1048576,$A577-1,COLUMN('1-DATA'!D576)),ROUND(INDEX('1-DATA'!$1:$1048576,IF(OR($B578="STD. DEVIATION",$C$1=1),$A578,$A578+1),COLUMN('1-DATA'!D576)),IF($B578="STD. DEVIATION",2,$F$1))))</f>
        <v/>
      </c>
      <c r="F578" s="1" t="str">
        <f>IF(OR($B578="",F$7=""),"",IF($B578="MEANS",INDEX('1-DATA'!$1:$1048576,$A577-1,COLUMN('1-DATA'!E576)),ROUND(INDEX('1-DATA'!$1:$1048576,IF(OR($B578="STD. DEVIATION",$C$1=1),$A578,$A578+1),COLUMN('1-DATA'!E576)),IF($B578="STD. DEVIATION",2,$F$1))))</f>
        <v/>
      </c>
      <c r="G578" s="1" t="str">
        <f>IF(OR($B578="",G$7=""),"",IF($B578="MEANS",INDEX('1-DATA'!$1:$1048576,$A577-1,COLUMN('1-DATA'!F576)),ROUND(INDEX('1-DATA'!$1:$1048576,IF(OR($B578="STD. DEVIATION",$C$1=1),$A578,$A578+1),COLUMN('1-DATA'!F576)),IF($B578="STD. DEVIATION",2,$F$1))))</f>
        <v/>
      </c>
      <c r="H578" s="1" t="str">
        <f>IF(OR($B578="",H$7=""),"",IF($B578="MEANS",INDEX('1-DATA'!$1:$1048576,$A577-1,COLUMN('1-DATA'!G576)),ROUND(INDEX('1-DATA'!$1:$1048576,IF(OR($B578="STD. DEVIATION",$C$1=1),$A578,$A578+1),COLUMN('1-DATA'!G576)),IF($B578="STD. DEVIATION",2,$F$1))))</f>
        <v/>
      </c>
      <c r="I578" s="1" t="str">
        <f>IF(OR($B578="",I$7=""),"",IF($B578="MEANS",INDEX('1-DATA'!$1:$1048576,$A577-1,COLUMN('1-DATA'!H576)),ROUND(INDEX('1-DATA'!$1:$1048576,IF(OR($B578="STD. DEVIATION",$C$1=1),$A578,$A578+1),COLUMN('1-DATA'!H576)),IF($B578="STD. DEVIATION",2,$F$1))))</f>
        <v/>
      </c>
      <c r="J578" s="1" t="str">
        <f>IF(OR($B578="",J$7=""),"",IF($B578="MEANS",INDEX('1-DATA'!$1:$1048576,$A577-1,COLUMN('1-DATA'!I576)),ROUND(INDEX('1-DATA'!$1:$1048576,IF(OR($B578="STD. DEVIATION",$C$1=1),$A578,$A578+1),COLUMN('1-DATA'!I576)),IF($B578="STD. DEVIATION",2,$F$1))))</f>
        <v/>
      </c>
      <c r="K578" s="1" t="str">
        <f>IF(OR($B578="",K$7=""),"",IF($B578="MEANS",INDEX('1-DATA'!$1:$1048576,$A577-1,COLUMN('1-DATA'!J576)),ROUND(INDEX('1-DATA'!$1:$1048576,IF(OR($B578="STD. DEVIATION",$C$1=1),$A578,$A578+1),COLUMN('1-DATA'!J576)),IF($B578="STD. DEVIATION",2,$F$1))))</f>
        <v/>
      </c>
      <c r="L578" s="1" t="str">
        <f>IF(OR($B578="",L$7=""),"",IF($B578="MEANS",INDEX('1-DATA'!$1:$1048576,$A577-1,COLUMN('1-DATA'!K576)),ROUND(INDEX('1-DATA'!$1:$1048576,IF(OR($B578="STD. DEVIATION",$C$1=1),$A578,$A578+1),COLUMN('1-DATA'!K576)),IF($B578="STD. DEVIATION",2,$F$1))))</f>
        <v/>
      </c>
      <c r="M578" s="1" t="str">
        <f>IF(OR($B578="",M$7=""),"",IF($B578="MEANS",INDEX('1-DATA'!$1:$1048576,$A577-1,COLUMN('1-DATA'!L576)),ROUND(INDEX('1-DATA'!$1:$1048576,IF(OR($B578="STD. DEVIATION",$C$1=1),$A578,$A578+1),COLUMN('1-DATA'!L576)),IF($B578="STD. DEVIATION",2,$F$1))))</f>
        <v/>
      </c>
      <c r="N578" s="1" t="str">
        <f>IF(OR($B578="",N$7=""),"",IF($B578="MEANS",INDEX('1-DATA'!$1:$1048576,$A577-1,COLUMN('1-DATA'!M576)),ROUND(INDEX('1-DATA'!$1:$1048576,IF(OR($B578="STD. DEVIATION",$C$1=1),$A578,$A578+1),COLUMN('1-DATA'!M576)),IF($B578="STD. DEVIATION",2,$F$1))))</f>
        <v/>
      </c>
      <c r="O578" s="1" t="str">
        <f>IF(OR($B578="",O$7=""),"",IF($B578="MEANS",INDEX('1-DATA'!$1:$1048576,$A577-1,COLUMN('1-DATA'!N576)),ROUND(INDEX('1-DATA'!$1:$1048576,IF(OR($B578="STD. DEVIATION",$C$1=1),$A578,$A578+1),COLUMN('1-DATA'!N576)),IF($B578="STD. DEVIATION",2,$F$1))))</f>
        <v/>
      </c>
      <c r="P578" s="1" t="str">
        <f>IF(OR($B578="",P$7=""),"",IF($B578="MEANS",INDEX('1-DATA'!$1:$1048576,$A577-1,COLUMN('1-DATA'!O576)),ROUND(INDEX('1-DATA'!$1:$1048576,IF(OR($B578="STD. DEVIATION",$C$1=1),$A578,$A578+1),COLUMN('1-DATA'!O576)),IF($B578="STD. DEVIATION",2,$F$1))))</f>
        <v/>
      </c>
      <c r="Q578" s="1" t="str">
        <f>IF(OR($B578="",Q$7=""),"",IF($B578="MEANS",INDEX('1-DATA'!$1:$1048576,$A577-1,COLUMN('1-DATA'!P576)),ROUND(INDEX('1-DATA'!$1:$1048576,IF(OR($B578="STD. DEVIATION",$C$1=1),$A578,$A578+1),COLUMN('1-DATA'!P576)),IF($B578="STD. DEVIATION",2,$F$1))))</f>
        <v/>
      </c>
      <c r="R578" s="1" t="str">
        <f>IF(OR($B578="",R$7=""),"",IF($B578="MEANS",INDEX('1-DATA'!$1:$1048576,$A577-1,COLUMN('1-DATA'!Q576)),ROUND(INDEX('1-DATA'!$1:$1048576,IF(OR($B578="STD. DEVIATION",$C$1=1),$A578,$A578+1),COLUMN('1-DATA'!Q576)),IF($B578="STD. DEVIATION",2,$F$1))))</f>
        <v/>
      </c>
      <c r="S578" s="1" t="str">
        <f>IF(OR($B578="",S$7=""),"",IF($B578="MEANS",INDEX('1-DATA'!$1:$1048576,$A577-1,COLUMN('1-DATA'!R576)),ROUND(INDEX('1-DATA'!$1:$1048576,IF(OR($B578="STD. DEVIATION",$C$1=1),$A578,$A578+1),COLUMN('1-DATA'!R576)),IF($B578="STD. DEVIATION",2,$F$1))))</f>
        <v/>
      </c>
      <c r="T578" s="1" t="str">
        <f>IF(OR($B578="",T$7=""),"",IF($B578="MEANS",INDEX('1-DATA'!$1:$1048576,$A577-1,COLUMN('1-DATA'!S576)),ROUND(INDEX('1-DATA'!$1:$1048576,IF(OR($B578="STD. DEVIATION",$C$1=1),$A578,$A578+1),COLUMN('1-DATA'!S576)),IF($B578="STD. DEVIATION",2,$F$1))))</f>
        <v/>
      </c>
      <c r="U578" s="1" t="str">
        <f>IF(OR($B578="",U$7=""),"",IF($B578="MEANS",INDEX('1-DATA'!$1:$1048576,$A577-1,COLUMN('1-DATA'!T576)),ROUND(INDEX('1-DATA'!$1:$1048576,IF(OR($B578="STD. DEVIATION",$C$1=1),$A578,$A578+1),COLUMN('1-DATA'!T576)),IF($B578="STD. DEVIATION",2,$F$1))))</f>
        <v/>
      </c>
      <c r="V578" s="1" t="str">
        <f>IF(OR($B578="",V$7=""),"",IF($B578="MEANS",INDEX('1-DATA'!$1:$1048576,$A577-1,COLUMN('1-DATA'!U576)),ROUND(INDEX('1-DATA'!$1:$1048576,IF(OR($B578="STD. DEVIATION",$C$1=1),$A578,$A578+1),COLUMN('1-DATA'!U576)),IF($B578="STD. DEVIATION",2,$F$1))))</f>
        <v/>
      </c>
      <c r="W578" s="1" t="str">
        <f>IF(OR($B578="",W$7=""),"",IF($B578="MEANS",INDEX('1-DATA'!$1:$1048576,$A577-1,COLUMN('1-DATA'!V576)),ROUND(INDEX('1-DATA'!$1:$1048576,IF(OR($B578="STD. DEVIATION",$C$1=1),$A578,$A578+1),COLUMN('1-DATA'!V576)),IF($B578="STD. DEVIATION",2,$F$1))))</f>
        <v/>
      </c>
      <c r="X578" s="1" t="str">
        <f>IF(OR($B578="",X$7=""),"",IF($B578="MEANS",INDEX('1-DATA'!$1:$1048576,$A577-1,COLUMN('1-DATA'!W576)),ROUND(INDEX('1-DATA'!$1:$1048576,IF(OR($B578="STD. DEVIATION",$C$1=1),$A578,$A578+1),COLUMN('1-DATA'!W576)),IF($B578="STD. DEVIATION",2,$F$1))))</f>
        <v/>
      </c>
      <c r="Y578" s="1" t="str">
        <f>IF(OR($B578="",Y$7=""),"",IF($B578="MEANS",INDEX('1-DATA'!$1:$1048576,$A577-1,COLUMN('1-DATA'!X576)),ROUND(INDEX('1-DATA'!$1:$1048576,IF(OR($B578="STD. DEVIATION",$C$1=1),$A578,$A578+1),COLUMN('1-DATA'!X576)),IF($B578="STD. DEVIATION",2,$F$1))))</f>
        <v/>
      </c>
      <c r="Z578" s="1" t="str">
        <f>IF(OR($B578="",Z$7=""),"",IF($B578="MEANS",INDEX('1-DATA'!$1:$1048576,$A577-1,COLUMN('1-DATA'!Y576)),ROUND(INDEX('1-DATA'!$1:$1048576,IF(OR($B578="STD. DEVIATION",$C$1=1),$A578,$A578+1),COLUMN('1-DATA'!Y576)),IF($B578="STD. DEVIATION",2,$F$1))))</f>
        <v/>
      </c>
      <c r="AA578" s="1" t="str">
        <f>IF(OR($B578="",AA$7=""),"",IF($B578="MEANS",INDEX('1-DATA'!$1:$1048576,$A577-1,COLUMN('1-DATA'!Z576)),ROUND(INDEX('1-DATA'!$1:$1048576,IF(OR($B578="STD. DEVIATION",$C$1=1),$A578,$A578+1),COLUMN('1-DATA'!Z576)),IF($B578="STD. DEVIATION",2,$F$1))))</f>
        <v/>
      </c>
      <c r="AB578" s="1" t="str">
        <f>IF(OR($B578="",AB$7=""),"",IF($B578="MEANS",INDEX('1-DATA'!$1:$1048576,$A577-1,COLUMN('1-DATA'!AA576)),ROUND(INDEX('1-DATA'!$1:$1048576,IF(OR($B578="STD. DEVIATION",$C$1=1),$A578,$A578+1),COLUMN('1-DATA'!AA576)),IF($B578="STD. DEVIATION",2,$F$1))))</f>
        <v/>
      </c>
      <c r="AC578" s="1" t="str">
        <f>IF(OR($B578="",AC$7=""),"",IF($B578="MEANS",INDEX('1-DATA'!$1:$1048576,$A577-1,COLUMN('1-DATA'!AB576)),ROUND(INDEX('1-DATA'!$1:$1048576,IF(OR($B578="STD. DEVIATION",$C$1=1),$A578,$A578+1),COLUMN('1-DATA'!AB576)),IF($B578="STD. DEVIATION",2,$F$1))))</f>
        <v/>
      </c>
      <c r="AD578" s="1" t="str">
        <f>IF(OR($B578="",AD$7=""),"",IF($B578="MEANS",INDEX('1-DATA'!$1:$1048576,$A577-1,COLUMN('1-DATA'!AC576)),ROUND(INDEX('1-DATA'!$1:$1048576,IF(OR($B578="STD. DEVIATION",$C$1=1),$A578,$A578+1),COLUMN('1-DATA'!AC576)),IF($B578="STD. DEVIATION",2,$F$1))))</f>
        <v/>
      </c>
      <c r="AE578" s="1" t="str">
        <f>IF(OR($B578="",AE$7=""),"",IF($B578="MEANS",INDEX('1-DATA'!$1:$1048576,$A577-1,COLUMN('1-DATA'!AD576)),ROUND(INDEX('1-DATA'!$1:$1048576,IF(OR($B578="STD. DEVIATION",$C$1=1),$A578,$A578+1),COLUMN('1-DATA'!AD576)),IF($B578="STD. DEVIATION",2,$F$1))))</f>
        <v/>
      </c>
      <c r="AF578" s="1" t="str">
        <f>IF(OR($B578="",AF$7=""),"",IF($B578="MEANS",INDEX('1-DATA'!$1:$1048576,$A577-1,COLUMN('1-DATA'!AE576)),ROUND(INDEX('1-DATA'!$1:$1048576,IF(OR($B578="STD. DEVIATION",$C$1=1),$A578,$A578+1),COLUMN('1-DATA'!AE576)),IF($B578="STD. DEVIATION",2,$F$1))))</f>
        <v/>
      </c>
      <c r="AG578" s="1" t="str">
        <f>IF(OR($B578="",AG$7=""),"",IF($B578="MEANS",INDEX('1-DATA'!$1:$1048576,$A577-1,COLUMN('1-DATA'!AF576)),ROUND(INDEX('1-DATA'!$1:$1048576,IF(OR($B578="STD. DEVIATION",$C$1=1),$A578,$A578+1),COLUMN('1-DATA'!AF576)),IF($B578="STD. DEVIATION",2,$F$1))))</f>
        <v/>
      </c>
      <c r="AH578" s="1" t="str">
        <f>IF(OR($B578="",AH$7=""),"",IF($B578="MEANS",INDEX('1-DATA'!$1:$1048576,$A577-1,COLUMN('1-DATA'!AG576)),ROUND(INDEX('1-DATA'!$1:$1048576,IF(OR($B578="STD. DEVIATION",$C$1=1),$A578,$A578+1),COLUMN('1-DATA'!AG576)),IF($B578="STD. DEVIATION",2,$F$1))))</f>
        <v/>
      </c>
      <c r="AI578" s="1" t="str">
        <f>IF(OR($B578="",AI$7=""),"",IF($B578="MEANS",INDEX('1-DATA'!$1:$1048576,$A577-1,COLUMN('1-DATA'!AH576)),ROUND(INDEX('1-DATA'!$1:$1048576,IF(OR($B578="STD. DEVIATION",$C$1=1),$A578,$A578+1),COLUMN('1-DATA'!AH576)),IF($B578="STD. DEVIATION",2,$F$1))))</f>
        <v/>
      </c>
      <c r="AJ578" s="1" t="str">
        <f>IF(OR($B578="",AJ$7=""),"",IF($B578="MEANS",INDEX('1-DATA'!$1:$1048576,$A577-1,COLUMN('1-DATA'!AI576)),ROUND(INDEX('1-DATA'!$1:$1048576,IF(OR($B578="STD. DEVIATION",$C$1=1),$A578,$A578+1),COLUMN('1-DATA'!AI576)),IF($B578="STD. DEVIATION",2,$F$1))))</f>
        <v/>
      </c>
      <c r="AK578" s="1" t="str">
        <f>IF(OR($B578="",AK$7=""),"",IF($B578="MEANS",INDEX('1-DATA'!$1:$1048576,$A577-1,COLUMN('1-DATA'!AJ576)),ROUND(INDEX('1-DATA'!$1:$1048576,IF(OR($B578="STD. DEVIATION",$C$1=1),$A578,$A578+1),COLUMN('1-DATA'!AJ576)),IF($B578="STD. DEVIATION",2,$F$1))))</f>
        <v/>
      </c>
      <c r="AL578" s="1" t="str">
        <f>IF(OR($B578="",AL$7=""),"",IF($B578="MEANS",INDEX('1-DATA'!$1:$1048576,$A577-1,COLUMN('1-DATA'!AK576)),ROUND(INDEX('1-DATA'!$1:$1048576,IF(OR($B578="STD. DEVIATION",$C$1=1),$A578,$A578+1),COLUMN('1-DATA'!AK576)),IF($B578="STD. DEVIATION",2,$F$1))))</f>
        <v/>
      </c>
      <c r="AM578" s="1" t="str">
        <f>IF(OR($B578="",AM$7=""),"",IF($B578="MEANS",INDEX('1-DATA'!$1:$1048576,$A577-1,COLUMN('1-DATA'!AL576)),ROUND(INDEX('1-DATA'!$1:$1048576,IF(OR($B578="STD. DEVIATION",$C$1=1),$A578,$A578+1),COLUMN('1-DATA'!AL576)),IF($B578="STD. DEVIATION",2,$F$1))))</f>
        <v/>
      </c>
      <c r="AN578" s="1" t="str">
        <f>IF(OR($B578="",AN$7=""),"",IF($B578="MEANS",INDEX('1-DATA'!$1:$1048576,$A577-1,COLUMN('1-DATA'!AM576)),ROUND(INDEX('1-DATA'!$1:$1048576,IF(OR($B578="STD. DEVIATION",$C$1=1),$A578,$A578+1),COLUMN('1-DATA'!AM576)),IF($B578="STD. DEVIATION",2,$F$1))))</f>
        <v/>
      </c>
      <c r="AO578" s="1" t="str">
        <f>IF(OR($B578="",AO$7=""),"",IF($B578="MEANS",INDEX('1-DATA'!$1:$1048576,$A577-1,COLUMN('1-DATA'!AN576)),ROUND(INDEX('1-DATA'!$1:$1048576,IF(OR($B578="STD. DEVIATION",$C$1=1),$A578,$A578+1),COLUMN('1-DATA'!AN576)),IF($B578="STD. DEVIATION",2,$F$1))))</f>
        <v/>
      </c>
      <c r="AP578" s="1" t="str">
        <f>IF(OR($B578="",AP$7=""),"",IF($B578="MEANS",INDEX('1-DATA'!$1:$1048576,$A577-1,COLUMN('1-DATA'!AO576)),ROUND(INDEX('1-DATA'!$1:$1048576,IF(OR($B578="STD. DEVIATION",$C$1=1),$A578,$A578+1),COLUMN('1-DATA'!AO576)),IF($B578="STD. DEVIATION",2,$F$1))))</f>
        <v/>
      </c>
      <c r="AQ578" s="1" t="str">
        <f>IF(OR($B578="",AQ$7=""),"",IF($B578="MEANS",INDEX('1-DATA'!$1:$1048576,$A577-1,COLUMN('1-DATA'!AP576)),ROUND(INDEX('1-DATA'!$1:$1048576,IF(OR($B578="STD. DEVIATION",$C$1=1),$A578,$A578+1),COLUMN('1-DATA'!AP576)),IF($B578="STD. DEVIATION",2,$F$1))))</f>
        <v/>
      </c>
      <c r="AR578" s="1" t="str">
        <f>IF(OR($B578="",AR$7=""),"",IF($B578="MEANS",INDEX('1-DATA'!$1:$1048576,$A577-1,COLUMN('1-DATA'!AQ576)),ROUND(INDEX('1-DATA'!$1:$1048576,IF(OR($B578="STD. DEVIATION",$C$1=1),$A578,$A578+1),COLUMN('1-DATA'!AQ576)),IF($B578="STD. DEVIATION",2,$F$1))))</f>
        <v/>
      </c>
      <c r="AS578" s="1" t="str">
        <f>IF(OR($B578="",AS$7=""),"",IF($B578="MEANS",INDEX('1-DATA'!$1:$1048576,$A577-1,COLUMN('1-DATA'!AR576)),ROUND(INDEX('1-DATA'!$1:$1048576,IF(OR($B578="STD. DEVIATION",$C$1=1),$A578,$A578+1),COLUMN('1-DATA'!AR576)),IF($B578="STD. DEVIATION",2,$F$1))))</f>
        <v/>
      </c>
      <c r="AT578" s="1" t="str">
        <f>IF(OR($B578="",AT$7=""),"",IF($B578="MEANS",INDEX('1-DATA'!$1:$1048576,$A577-1,COLUMN('1-DATA'!AS576)),ROUND(INDEX('1-DATA'!$1:$1048576,IF(OR($B578="STD. DEVIATION",$C$1=1),$A578,$A578+1),COLUMN('1-DATA'!AS576)),IF($B578="STD. DEVIATION",2,$F$1))))</f>
        <v/>
      </c>
      <c r="AU578" s="1" t="str">
        <f>IF(OR($B578="",AU$7=""),"",IF($B578="MEANS",INDEX('1-DATA'!$1:$1048576,$A577-1,COLUMN('1-DATA'!AT576)),ROUND(INDEX('1-DATA'!$1:$1048576,IF(OR($B578="STD. DEVIATION",$C$1=1),$A578,$A578+1),COLUMN('1-DATA'!AT576)),IF($B578="STD. DEVIATION",2,$F$1))))</f>
        <v/>
      </c>
      <c r="AV578" s="1" t="str">
        <f>IF(OR($B578="",AV$7=""),"",IF($B578="MEANS",INDEX('1-DATA'!$1:$1048576,$A577-1,COLUMN('1-DATA'!AU576)),ROUND(INDEX('1-DATA'!$1:$1048576,IF(OR($B578="STD. DEVIATION",$C$1=1),$A578,$A578+1),COLUMN('1-DATA'!AU576)),IF($B578="STD. DEVIATION",2,$F$1))))</f>
        <v/>
      </c>
      <c r="AW578" s="1" t="str">
        <f>IF(OR($B578="",AW$7=""),"",IF($B578="MEANS",INDEX('1-DATA'!$1:$1048576,$A577-1,COLUMN('1-DATA'!AV576)),ROUND(INDEX('1-DATA'!$1:$1048576,IF(OR($B578="STD. DEVIATION",$C$1=1),$A578,$A578+1),COLUMN('1-DATA'!AV576)),IF($B578="STD. DEVIATION",2,$F$1))))</f>
        <v/>
      </c>
      <c r="AX578" s="1" t="str">
        <f>IF(OR($B578="",AX$7=""),"",IF($B578="MEANS",INDEX('1-DATA'!$1:$1048576,$A577-1,COLUMN('1-DATA'!AW576)),ROUND(INDEX('1-DATA'!$1:$1048576,IF(OR($B578="STD. DEVIATION",$C$1=1),$A578,$A578+1),COLUMN('1-DATA'!AW576)),IF($B578="STD. DEVIATION",2,$F$1))))</f>
        <v/>
      </c>
      <c r="AY578" s="1" t="str">
        <f>IF(OR($B578="",AY$7=""),"",IF($B578="MEANS",INDEX('1-DATA'!$1:$1048576,$A577-1,COLUMN('1-DATA'!AX576)),ROUND(INDEX('1-DATA'!$1:$1048576,IF(OR($B578="STD. DEVIATION",$C$1=1),$A578,$A578+1),COLUMN('1-DATA'!AX576)),IF($B578="STD. DEVIATION",2,$F$1))))</f>
        <v/>
      </c>
      <c r="AZ578" s="1" t="str">
        <f>IF(OR($B578="",AZ$7=""),"",IF($B578="MEANS",INDEX('1-DATA'!$1:$1048576,$A577-1,COLUMN('1-DATA'!AY576)),ROUND(INDEX('1-DATA'!$1:$1048576,IF(OR($B578="STD. DEVIATION",$C$1=1),$A578,$A578+1),COLUMN('1-DATA'!AY576)),IF($B578="STD. DEVIATION",2,$F$1))))</f>
        <v/>
      </c>
    </row>
    <row r="579" spans="1:52" x14ac:dyDescent="0.25">
      <c r="A579" s="11">
        <f t="shared" si="9"/>
        <v>1723</v>
      </c>
      <c r="B579" s="1" t="str">
        <f>IF(B578="STD. DEVIATION",INDEX('1-DATA'!$1:$1048576,$A578-1,1),IF(INDEX('1-DATA'!$1:$1048576,$A579,1)&lt;&gt;"",INDEX('1-DATA'!$1:$1048576,$A579,1),""))</f>
        <v/>
      </c>
      <c r="C579" s="1" t="str">
        <f>IF(OR($B579="",C$7=""),"",IF($B579="MEANS",INDEX('1-DATA'!$1:$1048576,$A578-1,COLUMN('1-DATA'!B577)),ROUND(INDEX('1-DATA'!$1:$1048576,IF(OR($B579="STD. DEVIATION",$C$1=1),$A579,$A579+1),COLUMN('1-DATA'!B577)),IF($B579="STD. DEVIATION",2,$F$1))))</f>
        <v/>
      </c>
      <c r="D579" s="1" t="str">
        <f>IF(OR($B579="",D$7=""),"",IF($B579="MEANS",INDEX('1-DATA'!$1:$1048576,$A578-1,COLUMN('1-DATA'!C577)),ROUND(INDEX('1-DATA'!$1:$1048576,IF(OR($B579="STD. DEVIATION",$C$1=1),$A579,$A579+1),COLUMN('1-DATA'!C577)),IF($B579="STD. DEVIATION",2,$F$1))))</f>
        <v/>
      </c>
      <c r="E579" s="1" t="str">
        <f>IF(OR($B579="",E$7=""),"",IF($B579="MEANS",INDEX('1-DATA'!$1:$1048576,$A578-1,COLUMN('1-DATA'!D577)),ROUND(INDEX('1-DATA'!$1:$1048576,IF(OR($B579="STD. DEVIATION",$C$1=1),$A579,$A579+1),COLUMN('1-DATA'!D577)),IF($B579="STD. DEVIATION",2,$F$1))))</f>
        <v/>
      </c>
      <c r="F579" s="1" t="str">
        <f>IF(OR($B579="",F$7=""),"",IF($B579="MEANS",INDEX('1-DATA'!$1:$1048576,$A578-1,COLUMN('1-DATA'!E577)),ROUND(INDEX('1-DATA'!$1:$1048576,IF(OR($B579="STD. DEVIATION",$C$1=1),$A579,$A579+1),COLUMN('1-DATA'!E577)),IF($B579="STD. DEVIATION",2,$F$1))))</f>
        <v/>
      </c>
      <c r="G579" s="1" t="str">
        <f>IF(OR($B579="",G$7=""),"",IF($B579="MEANS",INDEX('1-DATA'!$1:$1048576,$A578-1,COLUMN('1-DATA'!F577)),ROUND(INDEX('1-DATA'!$1:$1048576,IF(OR($B579="STD. DEVIATION",$C$1=1),$A579,$A579+1),COLUMN('1-DATA'!F577)),IF($B579="STD. DEVIATION",2,$F$1))))</f>
        <v/>
      </c>
      <c r="H579" s="1" t="str">
        <f>IF(OR($B579="",H$7=""),"",IF($B579="MEANS",INDEX('1-DATA'!$1:$1048576,$A578-1,COLUMN('1-DATA'!G577)),ROUND(INDEX('1-DATA'!$1:$1048576,IF(OR($B579="STD. DEVIATION",$C$1=1),$A579,$A579+1),COLUMN('1-DATA'!G577)),IF($B579="STD. DEVIATION",2,$F$1))))</f>
        <v/>
      </c>
      <c r="I579" s="1" t="str">
        <f>IF(OR($B579="",I$7=""),"",IF($B579="MEANS",INDEX('1-DATA'!$1:$1048576,$A578-1,COLUMN('1-DATA'!H577)),ROUND(INDEX('1-DATA'!$1:$1048576,IF(OR($B579="STD. DEVIATION",$C$1=1),$A579,$A579+1),COLUMN('1-DATA'!H577)),IF($B579="STD. DEVIATION",2,$F$1))))</f>
        <v/>
      </c>
      <c r="J579" s="1" t="str">
        <f>IF(OR($B579="",J$7=""),"",IF($B579="MEANS",INDEX('1-DATA'!$1:$1048576,$A578-1,COLUMN('1-DATA'!I577)),ROUND(INDEX('1-DATA'!$1:$1048576,IF(OR($B579="STD. DEVIATION",$C$1=1),$A579,$A579+1),COLUMN('1-DATA'!I577)),IF($B579="STD. DEVIATION",2,$F$1))))</f>
        <v/>
      </c>
      <c r="K579" s="1" t="str">
        <f>IF(OR($B579="",K$7=""),"",IF($B579="MEANS",INDEX('1-DATA'!$1:$1048576,$A578-1,COLUMN('1-DATA'!J577)),ROUND(INDEX('1-DATA'!$1:$1048576,IF(OR($B579="STD. DEVIATION",$C$1=1),$A579,$A579+1),COLUMN('1-DATA'!J577)),IF($B579="STD. DEVIATION",2,$F$1))))</f>
        <v/>
      </c>
      <c r="L579" s="1" t="str">
        <f>IF(OR($B579="",L$7=""),"",IF($B579="MEANS",INDEX('1-DATA'!$1:$1048576,$A578-1,COLUMN('1-DATA'!K577)),ROUND(INDEX('1-DATA'!$1:$1048576,IF(OR($B579="STD. DEVIATION",$C$1=1),$A579,$A579+1),COLUMN('1-DATA'!K577)),IF($B579="STD. DEVIATION",2,$F$1))))</f>
        <v/>
      </c>
      <c r="M579" s="1" t="str">
        <f>IF(OR($B579="",M$7=""),"",IF($B579="MEANS",INDEX('1-DATA'!$1:$1048576,$A578-1,COLUMN('1-DATA'!L577)),ROUND(INDEX('1-DATA'!$1:$1048576,IF(OR($B579="STD. DEVIATION",$C$1=1),$A579,$A579+1),COLUMN('1-DATA'!L577)),IF($B579="STD. DEVIATION",2,$F$1))))</f>
        <v/>
      </c>
      <c r="N579" s="1" t="str">
        <f>IF(OR($B579="",N$7=""),"",IF($B579="MEANS",INDEX('1-DATA'!$1:$1048576,$A578-1,COLUMN('1-DATA'!M577)),ROUND(INDEX('1-DATA'!$1:$1048576,IF(OR($B579="STD. DEVIATION",$C$1=1),$A579,$A579+1),COLUMN('1-DATA'!M577)),IF($B579="STD. DEVIATION",2,$F$1))))</f>
        <v/>
      </c>
      <c r="O579" s="1" t="str">
        <f>IF(OR($B579="",O$7=""),"",IF($B579="MEANS",INDEX('1-DATA'!$1:$1048576,$A578-1,COLUMN('1-DATA'!N577)),ROUND(INDEX('1-DATA'!$1:$1048576,IF(OR($B579="STD. DEVIATION",$C$1=1),$A579,$A579+1),COLUMN('1-DATA'!N577)),IF($B579="STD. DEVIATION",2,$F$1))))</f>
        <v/>
      </c>
      <c r="P579" s="1" t="str">
        <f>IF(OR($B579="",P$7=""),"",IF($B579="MEANS",INDEX('1-DATA'!$1:$1048576,$A578-1,COLUMN('1-DATA'!O577)),ROUND(INDEX('1-DATA'!$1:$1048576,IF(OR($B579="STD. DEVIATION",$C$1=1),$A579,$A579+1),COLUMN('1-DATA'!O577)),IF($B579="STD. DEVIATION",2,$F$1))))</f>
        <v/>
      </c>
      <c r="Q579" s="1" t="str">
        <f>IF(OR($B579="",Q$7=""),"",IF($B579="MEANS",INDEX('1-DATA'!$1:$1048576,$A578-1,COLUMN('1-DATA'!P577)),ROUND(INDEX('1-DATA'!$1:$1048576,IF(OR($B579="STD. DEVIATION",$C$1=1),$A579,$A579+1),COLUMN('1-DATA'!P577)),IF($B579="STD. DEVIATION",2,$F$1))))</f>
        <v/>
      </c>
      <c r="R579" s="1" t="str">
        <f>IF(OR($B579="",R$7=""),"",IF($B579="MEANS",INDEX('1-DATA'!$1:$1048576,$A578-1,COLUMN('1-DATA'!Q577)),ROUND(INDEX('1-DATA'!$1:$1048576,IF(OR($B579="STD. DEVIATION",$C$1=1),$A579,$A579+1),COLUMN('1-DATA'!Q577)),IF($B579="STD. DEVIATION",2,$F$1))))</f>
        <v/>
      </c>
      <c r="S579" s="1" t="str">
        <f>IF(OR($B579="",S$7=""),"",IF($B579="MEANS",INDEX('1-DATA'!$1:$1048576,$A578-1,COLUMN('1-DATA'!R577)),ROUND(INDEX('1-DATA'!$1:$1048576,IF(OR($B579="STD. DEVIATION",$C$1=1),$A579,$A579+1),COLUMN('1-DATA'!R577)),IF($B579="STD. DEVIATION",2,$F$1))))</f>
        <v/>
      </c>
      <c r="T579" s="1" t="str">
        <f>IF(OR($B579="",T$7=""),"",IF($B579="MEANS",INDEX('1-DATA'!$1:$1048576,$A578-1,COLUMN('1-DATA'!S577)),ROUND(INDEX('1-DATA'!$1:$1048576,IF(OR($B579="STD. DEVIATION",$C$1=1),$A579,$A579+1),COLUMN('1-DATA'!S577)),IF($B579="STD. DEVIATION",2,$F$1))))</f>
        <v/>
      </c>
      <c r="U579" s="1" t="str">
        <f>IF(OR($B579="",U$7=""),"",IF($B579="MEANS",INDEX('1-DATA'!$1:$1048576,$A578-1,COLUMN('1-DATA'!T577)),ROUND(INDEX('1-DATA'!$1:$1048576,IF(OR($B579="STD. DEVIATION",$C$1=1),$A579,$A579+1),COLUMN('1-DATA'!T577)),IF($B579="STD. DEVIATION",2,$F$1))))</f>
        <v/>
      </c>
      <c r="V579" s="1" t="str">
        <f>IF(OR($B579="",V$7=""),"",IF($B579="MEANS",INDEX('1-DATA'!$1:$1048576,$A578-1,COLUMN('1-DATA'!U577)),ROUND(INDEX('1-DATA'!$1:$1048576,IF(OR($B579="STD. DEVIATION",$C$1=1),$A579,$A579+1),COLUMN('1-DATA'!U577)),IF($B579="STD. DEVIATION",2,$F$1))))</f>
        <v/>
      </c>
      <c r="W579" s="1" t="str">
        <f>IF(OR($B579="",W$7=""),"",IF($B579="MEANS",INDEX('1-DATA'!$1:$1048576,$A578-1,COLUMN('1-DATA'!V577)),ROUND(INDEX('1-DATA'!$1:$1048576,IF(OR($B579="STD. DEVIATION",$C$1=1),$A579,$A579+1),COLUMN('1-DATA'!V577)),IF($B579="STD. DEVIATION",2,$F$1))))</f>
        <v/>
      </c>
      <c r="X579" s="1" t="str">
        <f>IF(OR($B579="",X$7=""),"",IF($B579="MEANS",INDEX('1-DATA'!$1:$1048576,$A578-1,COLUMN('1-DATA'!W577)),ROUND(INDEX('1-DATA'!$1:$1048576,IF(OR($B579="STD. DEVIATION",$C$1=1),$A579,$A579+1),COLUMN('1-DATA'!W577)),IF($B579="STD. DEVIATION",2,$F$1))))</f>
        <v/>
      </c>
      <c r="Y579" s="1" t="str">
        <f>IF(OR($B579="",Y$7=""),"",IF($B579="MEANS",INDEX('1-DATA'!$1:$1048576,$A578-1,COLUMN('1-DATA'!X577)),ROUND(INDEX('1-DATA'!$1:$1048576,IF(OR($B579="STD. DEVIATION",$C$1=1),$A579,$A579+1),COLUMN('1-DATA'!X577)),IF($B579="STD. DEVIATION",2,$F$1))))</f>
        <v/>
      </c>
      <c r="Z579" s="1" t="str">
        <f>IF(OR($B579="",Z$7=""),"",IF($B579="MEANS",INDEX('1-DATA'!$1:$1048576,$A578-1,COLUMN('1-DATA'!Y577)),ROUND(INDEX('1-DATA'!$1:$1048576,IF(OR($B579="STD. DEVIATION",$C$1=1),$A579,$A579+1),COLUMN('1-DATA'!Y577)),IF($B579="STD. DEVIATION",2,$F$1))))</f>
        <v/>
      </c>
      <c r="AA579" s="1" t="str">
        <f>IF(OR($B579="",AA$7=""),"",IF($B579="MEANS",INDEX('1-DATA'!$1:$1048576,$A578-1,COLUMN('1-DATA'!Z577)),ROUND(INDEX('1-DATA'!$1:$1048576,IF(OR($B579="STD. DEVIATION",$C$1=1),$A579,$A579+1),COLUMN('1-DATA'!Z577)),IF($B579="STD. DEVIATION",2,$F$1))))</f>
        <v/>
      </c>
      <c r="AB579" s="1" t="str">
        <f>IF(OR($B579="",AB$7=""),"",IF($B579="MEANS",INDEX('1-DATA'!$1:$1048576,$A578-1,COLUMN('1-DATA'!AA577)),ROUND(INDEX('1-DATA'!$1:$1048576,IF(OR($B579="STD. DEVIATION",$C$1=1),$A579,$A579+1),COLUMN('1-DATA'!AA577)),IF($B579="STD. DEVIATION",2,$F$1))))</f>
        <v/>
      </c>
      <c r="AC579" s="1" t="str">
        <f>IF(OR($B579="",AC$7=""),"",IF($B579="MEANS",INDEX('1-DATA'!$1:$1048576,$A578-1,COLUMN('1-DATA'!AB577)),ROUND(INDEX('1-DATA'!$1:$1048576,IF(OR($B579="STD. DEVIATION",$C$1=1),$A579,$A579+1),COLUMN('1-DATA'!AB577)),IF($B579="STD. DEVIATION",2,$F$1))))</f>
        <v/>
      </c>
      <c r="AD579" s="1" t="str">
        <f>IF(OR($B579="",AD$7=""),"",IF($B579="MEANS",INDEX('1-DATA'!$1:$1048576,$A578-1,COLUMN('1-DATA'!AC577)),ROUND(INDEX('1-DATA'!$1:$1048576,IF(OR($B579="STD. DEVIATION",$C$1=1),$A579,$A579+1),COLUMN('1-DATA'!AC577)),IF($B579="STD. DEVIATION",2,$F$1))))</f>
        <v/>
      </c>
      <c r="AE579" s="1" t="str">
        <f>IF(OR($B579="",AE$7=""),"",IF($B579="MEANS",INDEX('1-DATA'!$1:$1048576,$A578-1,COLUMN('1-DATA'!AD577)),ROUND(INDEX('1-DATA'!$1:$1048576,IF(OR($B579="STD. DEVIATION",$C$1=1),$A579,$A579+1),COLUMN('1-DATA'!AD577)),IF($B579="STD. DEVIATION",2,$F$1))))</f>
        <v/>
      </c>
      <c r="AF579" s="1" t="str">
        <f>IF(OR($B579="",AF$7=""),"",IF($B579="MEANS",INDEX('1-DATA'!$1:$1048576,$A578-1,COLUMN('1-DATA'!AE577)),ROUND(INDEX('1-DATA'!$1:$1048576,IF(OR($B579="STD. DEVIATION",$C$1=1),$A579,$A579+1),COLUMN('1-DATA'!AE577)),IF($B579="STD. DEVIATION",2,$F$1))))</f>
        <v/>
      </c>
      <c r="AG579" s="1" t="str">
        <f>IF(OR($B579="",AG$7=""),"",IF($B579="MEANS",INDEX('1-DATA'!$1:$1048576,$A578-1,COLUMN('1-DATA'!AF577)),ROUND(INDEX('1-DATA'!$1:$1048576,IF(OR($B579="STD. DEVIATION",$C$1=1),$A579,$A579+1),COLUMN('1-DATA'!AF577)),IF($B579="STD. DEVIATION",2,$F$1))))</f>
        <v/>
      </c>
      <c r="AH579" s="1" t="str">
        <f>IF(OR($B579="",AH$7=""),"",IF($B579="MEANS",INDEX('1-DATA'!$1:$1048576,$A578-1,COLUMN('1-DATA'!AG577)),ROUND(INDEX('1-DATA'!$1:$1048576,IF(OR($B579="STD. DEVIATION",$C$1=1),$A579,$A579+1),COLUMN('1-DATA'!AG577)),IF($B579="STD. DEVIATION",2,$F$1))))</f>
        <v/>
      </c>
      <c r="AI579" s="1" t="str">
        <f>IF(OR($B579="",AI$7=""),"",IF($B579="MEANS",INDEX('1-DATA'!$1:$1048576,$A578-1,COLUMN('1-DATA'!AH577)),ROUND(INDEX('1-DATA'!$1:$1048576,IF(OR($B579="STD. DEVIATION",$C$1=1),$A579,$A579+1),COLUMN('1-DATA'!AH577)),IF($B579="STD. DEVIATION",2,$F$1))))</f>
        <v/>
      </c>
      <c r="AJ579" s="1" t="str">
        <f>IF(OR($B579="",AJ$7=""),"",IF($B579="MEANS",INDEX('1-DATA'!$1:$1048576,$A578-1,COLUMN('1-DATA'!AI577)),ROUND(INDEX('1-DATA'!$1:$1048576,IF(OR($B579="STD. DEVIATION",$C$1=1),$A579,$A579+1),COLUMN('1-DATA'!AI577)),IF($B579="STD. DEVIATION",2,$F$1))))</f>
        <v/>
      </c>
      <c r="AK579" s="1" t="str">
        <f>IF(OR($B579="",AK$7=""),"",IF($B579="MEANS",INDEX('1-DATA'!$1:$1048576,$A578-1,COLUMN('1-DATA'!AJ577)),ROUND(INDEX('1-DATA'!$1:$1048576,IF(OR($B579="STD. DEVIATION",$C$1=1),$A579,$A579+1),COLUMN('1-DATA'!AJ577)),IF($B579="STD. DEVIATION",2,$F$1))))</f>
        <v/>
      </c>
      <c r="AL579" s="1" t="str">
        <f>IF(OR($B579="",AL$7=""),"",IF($B579="MEANS",INDEX('1-DATA'!$1:$1048576,$A578-1,COLUMN('1-DATA'!AK577)),ROUND(INDEX('1-DATA'!$1:$1048576,IF(OR($B579="STD. DEVIATION",$C$1=1),$A579,$A579+1),COLUMN('1-DATA'!AK577)),IF($B579="STD. DEVIATION",2,$F$1))))</f>
        <v/>
      </c>
      <c r="AM579" s="1" t="str">
        <f>IF(OR($B579="",AM$7=""),"",IF($B579="MEANS",INDEX('1-DATA'!$1:$1048576,$A578-1,COLUMN('1-DATA'!AL577)),ROUND(INDEX('1-DATA'!$1:$1048576,IF(OR($B579="STD. DEVIATION",$C$1=1),$A579,$A579+1),COLUMN('1-DATA'!AL577)),IF($B579="STD. DEVIATION",2,$F$1))))</f>
        <v/>
      </c>
      <c r="AN579" s="1" t="str">
        <f>IF(OR($B579="",AN$7=""),"",IF($B579="MEANS",INDEX('1-DATA'!$1:$1048576,$A578-1,COLUMN('1-DATA'!AM577)),ROUND(INDEX('1-DATA'!$1:$1048576,IF(OR($B579="STD. DEVIATION",$C$1=1),$A579,$A579+1),COLUMN('1-DATA'!AM577)),IF($B579="STD. DEVIATION",2,$F$1))))</f>
        <v/>
      </c>
      <c r="AO579" s="1" t="str">
        <f>IF(OR($B579="",AO$7=""),"",IF($B579="MEANS",INDEX('1-DATA'!$1:$1048576,$A578-1,COLUMN('1-DATA'!AN577)),ROUND(INDEX('1-DATA'!$1:$1048576,IF(OR($B579="STD. DEVIATION",$C$1=1),$A579,$A579+1),COLUMN('1-DATA'!AN577)),IF($B579="STD. DEVIATION",2,$F$1))))</f>
        <v/>
      </c>
      <c r="AP579" s="1" t="str">
        <f>IF(OR($B579="",AP$7=""),"",IF($B579="MEANS",INDEX('1-DATA'!$1:$1048576,$A578-1,COLUMN('1-DATA'!AO577)),ROUND(INDEX('1-DATA'!$1:$1048576,IF(OR($B579="STD. DEVIATION",$C$1=1),$A579,$A579+1),COLUMN('1-DATA'!AO577)),IF($B579="STD. DEVIATION",2,$F$1))))</f>
        <v/>
      </c>
      <c r="AQ579" s="1" t="str">
        <f>IF(OR($B579="",AQ$7=""),"",IF($B579="MEANS",INDEX('1-DATA'!$1:$1048576,$A578-1,COLUMN('1-DATA'!AP577)),ROUND(INDEX('1-DATA'!$1:$1048576,IF(OR($B579="STD. DEVIATION",$C$1=1),$A579,$A579+1),COLUMN('1-DATA'!AP577)),IF($B579="STD. DEVIATION",2,$F$1))))</f>
        <v/>
      </c>
      <c r="AR579" s="1" t="str">
        <f>IF(OR($B579="",AR$7=""),"",IF($B579="MEANS",INDEX('1-DATA'!$1:$1048576,$A578-1,COLUMN('1-DATA'!AQ577)),ROUND(INDEX('1-DATA'!$1:$1048576,IF(OR($B579="STD. DEVIATION",$C$1=1),$A579,$A579+1),COLUMN('1-DATA'!AQ577)),IF($B579="STD. DEVIATION",2,$F$1))))</f>
        <v/>
      </c>
      <c r="AS579" s="1" t="str">
        <f>IF(OR($B579="",AS$7=""),"",IF($B579="MEANS",INDEX('1-DATA'!$1:$1048576,$A578-1,COLUMN('1-DATA'!AR577)),ROUND(INDEX('1-DATA'!$1:$1048576,IF(OR($B579="STD. DEVIATION",$C$1=1),$A579,$A579+1),COLUMN('1-DATA'!AR577)),IF($B579="STD. DEVIATION",2,$F$1))))</f>
        <v/>
      </c>
      <c r="AT579" s="1" t="str">
        <f>IF(OR($B579="",AT$7=""),"",IF($B579="MEANS",INDEX('1-DATA'!$1:$1048576,$A578-1,COLUMN('1-DATA'!AS577)),ROUND(INDEX('1-DATA'!$1:$1048576,IF(OR($B579="STD. DEVIATION",$C$1=1),$A579,$A579+1),COLUMN('1-DATA'!AS577)),IF($B579="STD. DEVIATION",2,$F$1))))</f>
        <v/>
      </c>
      <c r="AU579" s="1" t="str">
        <f>IF(OR($B579="",AU$7=""),"",IF($B579="MEANS",INDEX('1-DATA'!$1:$1048576,$A578-1,COLUMN('1-DATA'!AT577)),ROUND(INDEX('1-DATA'!$1:$1048576,IF(OR($B579="STD. DEVIATION",$C$1=1),$A579,$A579+1),COLUMN('1-DATA'!AT577)),IF($B579="STD. DEVIATION",2,$F$1))))</f>
        <v/>
      </c>
      <c r="AV579" s="1" t="str">
        <f>IF(OR($B579="",AV$7=""),"",IF($B579="MEANS",INDEX('1-DATA'!$1:$1048576,$A578-1,COLUMN('1-DATA'!AU577)),ROUND(INDEX('1-DATA'!$1:$1048576,IF(OR($B579="STD. DEVIATION",$C$1=1),$A579,$A579+1),COLUMN('1-DATA'!AU577)),IF($B579="STD. DEVIATION",2,$F$1))))</f>
        <v/>
      </c>
      <c r="AW579" s="1" t="str">
        <f>IF(OR($B579="",AW$7=""),"",IF($B579="MEANS",INDEX('1-DATA'!$1:$1048576,$A578-1,COLUMN('1-DATA'!AV577)),ROUND(INDEX('1-DATA'!$1:$1048576,IF(OR($B579="STD. DEVIATION",$C$1=1),$A579,$A579+1),COLUMN('1-DATA'!AV577)),IF($B579="STD. DEVIATION",2,$F$1))))</f>
        <v/>
      </c>
      <c r="AX579" s="1" t="str">
        <f>IF(OR($B579="",AX$7=""),"",IF($B579="MEANS",INDEX('1-DATA'!$1:$1048576,$A578-1,COLUMN('1-DATA'!AW577)),ROUND(INDEX('1-DATA'!$1:$1048576,IF(OR($B579="STD. DEVIATION",$C$1=1),$A579,$A579+1),COLUMN('1-DATA'!AW577)),IF($B579="STD. DEVIATION",2,$F$1))))</f>
        <v/>
      </c>
      <c r="AY579" s="1" t="str">
        <f>IF(OR($B579="",AY$7=""),"",IF($B579="MEANS",INDEX('1-DATA'!$1:$1048576,$A578-1,COLUMN('1-DATA'!AX577)),ROUND(INDEX('1-DATA'!$1:$1048576,IF(OR($B579="STD. DEVIATION",$C$1=1),$A579,$A579+1),COLUMN('1-DATA'!AX577)),IF($B579="STD. DEVIATION",2,$F$1))))</f>
        <v/>
      </c>
      <c r="AZ579" s="1" t="str">
        <f>IF(OR($B579="",AZ$7=""),"",IF($B579="MEANS",INDEX('1-DATA'!$1:$1048576,$A578-1,COLUMN('1-DATA'!AY577)),ROUND(INDEX('1-DATA'!$1:$1048576,IF(OR($B579="STD. DEVIATION",$C$1=1),$A579,$A579+1),COLUMN('1-DATA'!AY577)),IF($B579="STD. DEVIATION",2,$F$1))))</f>
        <v/>
      </c>
    </row>
    <row r="580" spans="1:52" x14ac:dyDescent="0.25">
      <c r="A580" s="11">
        <f t="shared" si="9"/>
        <v>1726</v>
      </c>
      <c r="B580" s="1" t="str">
        <f>IF(B579="STD. DEVIATION",INDEX('1-DATA'!$1:$1048576,$A579-1,1),IF(INDEX('1-DATA'!$1:$1048576,$A580,1)&lt;&gt;"",INDEX('1-DATA'!$1:$1048576,$A580,1),""))</f>
        <v/>
      </c>
      <c r="C580" s="1" t="str">
        <f>IF(OR($B580="",C$7=""),"",IF($B580="MEANS",INDEX('1-DATA'!$1:$1048576,$A579-1,COLUMN('1-DATA'!B578)),ROUND(INDEX('1-DATA'!$1:$1048576,IF(OR($B580="STD. DEVIATION",$C$1=1),$A580,$A580+1),COLUMN('1-DATA'!B578)),IF($B580="STD. DEVIATION",2,$F$1))))</f>
        <v/>
      </c>
      <c r="D580" s="1" t="str">
        <f>IF(OR($B580="",D$7=""),"",IF($B580="MEANS",INDEX('1-DATA'!$1:$1048576,$A579-1,COLUMN('1-DATA'!C578)),ROUND(INDEX('1-DATA'!$1:$1048576,IF(OR($B580="STD. DEVIATION",$C$1=1),$A580,$A580+1),COLUMN('1-DATA'!C578)),IF($B580="STD. DEVIATION",2,$F$1))))</f>
        <v/>
      </c>
      <c r="E580" s="1" t="str">
        <f>IF(OR($B580="",E$7=""),"",IF($B580="MEANS",INDEX('1-DATA'!$1:$1048576,$A579-1,COLUMN('1-DATA'!D578)),ROUND(INDEX('1-DATA'!$1:$1048576,IF(OR($B580="STD. DEVIATION",$C$1=1),$A580,$A580+1),COLUMN('1-DATA'!D578)),IF($B580="STD. DEVIATION",2,$F$1))))</f>
        <v/>
      </c>
      <c r="F580" s="1" t="str">
        <f>IF(OR($B580="",F$7=""),"",IF($B580="MEANS",INDEX('1-DATA'!$1:$1048576,$A579-1,COLUMN('1-DATA'!E578)),ROUND(INDEX('1-DATA'!$1:$1048576,IF(OR($B580="STD. DEVIATION",$C$1=1),$A580,$A580+1),COLUMN('1-DATA'!E578)),IF($B580="STD. DEVIATION",2,$F$1))))</f>
        <v/>
      </c>
      <c r="G580" s="1" t="str">
        <f>IF(OR($B580="",G$7=""),"",IF($B580="MEANS",INDEX('1-DATA'!$1:$1048576,$A579-1,COLUMN('1-DATA'!F578)),ROUND(INDEX('1-DATA'!$1:$1048576,IF(OR($B580="STD. DEVIATION",$C$1=1),$A580,$A580+1),COLUMN('1-DATA'!F578)),IF($B580="STD. DEVIATION",2,$F$1))))</f>
        <v/>
      </c>
      <c r="H580" s="1" t="str">
        <f>IF(OR($B580="",H$7=""),"",IF($B580="MEANS",INDEX('1-DATA'!$1:$1048576,$A579-1,COLUMN('1-DATA'!G578)),ROUND(INDEX('1-DATA'!$1:$1048576,IF(OR($B580="STD. DEVIATION",$C$1=1),$A580,$A580+1),COLUMN('1-DATA'!G578)),IF($B580="STD. DEVIATION",2,$F$1))))</f>
        <v/>
      </c>
      <c r="I580" s="1" t="str">
        <f>IF(OR($B580="",I$7=""),"",IF($B580="MEANS",INDEX('1-DATA'!$1:$1048576,$A579-1,COLUMN('1-DATA'!H578)),ROUND(INDEX('1-DATA'!$1:$1048576,IF(OR($B580="STD. DEVIATION",$C$1=1),$A580,$A580+1),COLUMN('1-DATA'!H578)),IF($B580="STD. DEVIATION",2,$F$1))))</f>
        <v/>
      </c>
      <c r="J580" s="1" t="str">
        <f>IF(OR($B580="",J$7=""),"",IF($B580="MEANS",INDEX('1-DATA'!$1:$1048576,$A579-1,COLUMN('1-DATA'!I578)),ROUND(INDEX('1-DATA'!$1:$1048576,IF(OR($B580="STD. DEVIATION",$C$1=1),$A580,$A580+1),COLUMN('1-DATA'!I578)),IF($B580="STD. DEVIATION",2,$F$1))))</f>
        <v/>
      </c>
      <c r="K580" s="1" t="str">
        <f>IF(OR($B580="",K$7=""),"",IF($B580="MEANS",INDEX('1-DATA'!$1:$1048576,$A579-1,COLUMN('1-DATA'!J578)),ROUND(INDEX('1-DATA'!$1:$1048576,IF(OR($B580="STD. DEVIATION",$C$1=1),$A580,$A580+1),COLUMN('1-DATA'!J578)),IF($B580="STD. DEVIATION",2,$F$1))))</f>
        <v/>
      </c>
      <c r="L580" s="1" t="str">
        <f>IF(OR($B580="",L$7=""),"",IF($B580="MEANS",INDEX('1-DATA'!$1:$1048576,$A579-1,COLUMN('1-DATA'!K578)),ROUND(INDEX('1-DATA'!$1:$1048576,IF(OR($B580="STD. DEVIATION",$C$1=1),$A580,$A580+1),COLUMN('1-DATA'!K578)),IF($B580="STD. DEVIATION",2,$F$1))))</f>
        <v/>
      </c>
      <c r="M580" s="1" t="str">
        <f>IF(OR($B580="",M$7=""),"",IF($B580="MEANS",INDEX('1-DATA'!$1:$1048576,$A579-1,COLUMN('1-DATA'!L578)),ROUND(INDEX('1-DATA'!$1:$1048576,IF(OR($B580="STD. DEVIATION",$C$1=1),$A580,$A580+1),COLUMN('1-DATA'!L578)),IF($B580="STD. DEVIATION",2,$F$1))))</f>
        <v/>
      </c>
      <c r="N580" s="1" t="str">
        <f>IF(OR($B580="",N$7=""),"",IF($B580="MEANS",INDEX('1-DATA'!$1:$1048576,$A579-1,COLUMN('1-DATA'!M578)),ROUND(INDEX('1-DATA'!$1:$1048576,IF(OR($B580="STD. DEVIATION",$C$1=1),$A580,$A580+1),COLUMN('1-DATA'!M578)),IF($B580="STD. DEVIATION",2,$F$1))))</f>
        <v/>
      </c>
      <c r="O580" s="1" t="str">
        <f>IF(OR($B580="",O$7=""),"",IF($B580="MEANS",INDEX('1-DATA'!$1:$1048576,$A579-1,COLUMN('1-DATA'!N578)),ROUND(INDEX('1-DATA'!$1:$1048576,IF(OR($B580="STD. DEVIATION",$C$1=1),$A580,$A580+1),COLUMN('1-DATA'!N578)),IF($B580="STD. DEVIATION",2,$F$1))))</f>
        <v/>
      </c>
      <c r="P580" s="1" t="str">
        <f>IF(OR($B580="",P$7=""),"",IF($B580="MEANS",INDEX('1-DATA'!$1:$1048576,$A579-1,COLUMN('1-DATA'!O578)),ROUND(INDEX('1-DATA'!$1:$1048576,IF(OR($B580="STD. DEVIATION",$C$1=1),$A580,$A580+1),COLUMN('1-DATA'!O578)),IF($B580="STD. DEVIATION",2,$F$1))))</f>
        <v/>
      </c>
      <c r="Q580" s="1" t="str">
        <f>IF(OR($B580="",Q$7=""),"",IF($B580="MEANS",INDEX('1-DATA'!$1:$1048576,$A579-1,COLUMN('1-DATA'!P578)),ROUND(INDEX('1-DATA'!$1:$1048576,IF(OR($B580="STD. DEVIATION",$C$1=1),$A580,$A580+1),COLUMN('1-DATA'!P578)),IF($B580="STD. DEVIATION",2,$F$1))))</f>
        <v/>
      </c>
      <c r="R580" s="1" t="str">
        <f>IF(OR($B580="",R$7=""),"",IF($B580="MEANS",INDEX('1-DATA'!$1:$1048576,$A579-1,COLUMN('1-DATA'!Q578)),ROUND(INDEX('1-DATA'!$1:$1048576,IF(OR($B580="STD. DEVIATION",$C$1=1),$A580,$A580+1),COLUMN('1-DATA'!Q578)),IF($B580="STD. DEVIATION",2,$F$1))))</f>
        <v/>
      </c>
      <c r="S580" s="1" t="str">
        <f>IF(OR($B580="",S$7=""),"",IF($B580="MEANS",INDEX('1-DATA'!$1:$1048576,$A579-1,COLUMN('1-DATA'!R578)),ROUND(INDEX('1-DATA'!$1:$1048576,IF(OR($B580="STD. DEVIATION",$C$1=1),$A580,$A580+1),COLUMN('1-DATA'!R578)),IF($B580="STD. DEVIATION",2,$F$1))))</f>
        <v/>
      </c>
      <c r="T580" s="1" t="str">
        <f>IF(OR($B580="",T$7=""),"",IF($B580="MEANS",INDEX('1-DATA'!$1:$1048576,$A579-1,COLUMN('1-DATA'!S578)),ROUND(INDEX('1-DATA'!$1:$1048576,IF(OR($B580="STD. DEVIATION",$C$1=1),$A580,$A580+1),COLUMN('1-DATA'!S578)),IF($B580="STD. DEVIATION",2,$F$1))))</f>
        <v/>
      </c>
      <c r="U580" s="1" t="str">
        <f>IF(OR($B580="",U$7=""),"",IF($B580="MEANS",INDEX('1-DATA'!$1:$1048576,$A579-1,COLUMN('1-DATA'!T578)),ROUND(INDEX('1-DATA'!$1:$1048576,IF(OR($B580="STD. DEVIATION",$C$1=1),$A580,$A580+1),COLUMN('1-DATA'!T578)),IF($B580="STD. DEVIATION",2,$F$1))))</f>
        <v/>
      </c>
      <c r="V580" s="1" t="str">
        <f>IF(OR($B580="",V$7=""),"",IF($B580="MEANS",INDEX('1-DATA'!$1:$1048576,$A579-1,COLUMN('1-DATA'!U578)),ROUND(INDEX('1-DATA'!$1:$1048576,IF(OR($B580="STD. DEVIATION",$C$1=1),$A580,$A580+1),COLUMN('1-DATA'!U578)),IF($B580="STD. DEVIATION",2,$F$1))))</f>
        <v/>
      </c>
      <c r="W580" s="1" t="str">
        <f>IF(OR($B580="",W$7=""),"",IF($B580="MEANS",INDEX('1-DATA'!$1:$1048576,$A579-1,COLUMN('1-DATA'!V578)),ROUND(INDEX('1-DATA'!$1:$1048576,IF(OR($B580="STD. DEVIATION",$C$1=1),$A580,$A580+1),COLUMN('1-DATA'!V578)),IF($B580="STD. DEVIATION",2,$F$1))))</f>
        <v/>
      </c>
      <c r="X580" s="1" t="str">
        <f>IF(OR($B580="",X$7=""),"",IF($B580="MEANS",INDEX('1-DATA'!$1:$1048576,$A579-1,COLUMN('1-DATA'!W578)),ROUND(INDEX('1-DATA'!$1:$1048576,IF(OR($B580="STD. DEVIATION",$C$1=1),$A580,$A580+1),COLUMN('1-DATA'!W578)),IF($B580="STD. DEVIATION",2,$F$1))))</f>
        <v/>
      </c>
      <c r="Y580" s="1" t="str">
        <f>IF(OR($B580="",Y$7=""),"",IF($B580="MEANS",INDEX('1-DATA'!$1:$1048576,$A579-1,COLUMN('1-DATA'!X578)),ROUND(INDEX('1-DATA'!$1:$1048576,IF(OR($B580="STD. DEVIATION",$C$1=1),$A580,$A580+1),COLUMN('1-DATA'!X578)),IF($B580="STD. DEVIATION",2,$F$1))))</f>
        <v/>
      </c>
      <c r="Z580" s="1" t="str">
        <f>IF(OR($B580="",Z$7=""),"",IF($B580="MEANS",INDEX('1-DATA'!$1:$1048576,$A579-1,COLUMN('1-DATA'!Y578)),ROUND(INDEX('1-DATA'!$1:$1048576,IF(OR($B580="STD. DEVIATION",$C$1=1),$A580,$A580+1),COLUMN('1-DATA'!Y578)),IF($B580="STD. DEVIATION",2,$F$1))))</f>
        <v/>
      </c>
      <c r="AA580" s="1" t="str">
        <f>IF(OR($B580="",AA$7=""),"",IF($B580="MEANS",INDEX('1-DATA'!$1:$1048576,$A579-1,COLUMN('1-DATA'!Z578)),ROUND(INDEX('1-DATA'!$1:$1048576,IF(OR($B580="STD. DEVIATION",$C$1=1),$A580,$A580+1),COLUMN('1-DATA'!Z578)),IF($B580="STD. DEVIATION",2,$F$1))))</f>
        <v/>
      </c>
      <c r="AB580" s="1" t="str">
        <f>IF(OR($B580="",AB$7=""),"",IF($B580="MEANS",INDEX('1-DATA'!$1:$1048576,$A579-1,COLUMN('1-DATA'!AA578)),ROUND(INDEX('1-DATA'!$1:$1048576,IF(OR($B580="STD. DEVIATION",$C$1=1),$A580,$A580+1),COLUMN('1-DATA'!AA578)),IF($B580="STD. DEVIATION",2,$F$1))))</f>
        <v/>
      </c>
      <c r="AC580" s="1" t="str">
        <f>IF(OR($B580="",AC$7=""),"",IF($B580="MEANS",INDEX('1-DATA'!$1:$1048576,$A579-1,COLUMN('1-DATA'!AB578)),ROUND(INDEX('1-DATA'!$1:$1048576,IF(OR($B580="STD. DEVIATION",$C$1=1),$A580,$A580+1),COLUMN('1-DATA'!AB578)),IF($B580="STD. DEVIATION",2,$F$1))))</f>
        <v/>
      </c>
      <c r="AD580" s="1" t="str">
        <f>IF(OR($B580="",AD$7=""),"",IF($B580="MEANS",INDEX('1-DATA'!$1:$1048576,$A579-1,COLUMN('1-DATA'!AC578)),ROUND(INDEX('1-DATA'!$1:$1048576,IF(OR($B580="STD. DEVIATION",$C$1=1),$A580,$A580+1),COLUMN('1-DATA'!AC578)),IF($B580="STD. DEVIATION",2,$F$1))))</f>
        <v/>
      </c>
      <c r="AE580" s="1" t="str">
        <f>IF(OR($B580="",AE$7=""),"",IF($B580="MEANS",INDEX('1-DATA'!$1:$1048576,$A579-1,COLUMN('1-DATA'!AD578)),ROUND(INDEX('1-DATA'!$1:$1048576,IF(OR($B580="STD. DEVIATION",$C$1=1),$A580,$A580+1),COLUMN('1-DATA'!AD578)),IF($B580="STD. DEVIATION",2,$F$1))))</f>
        <v/>
      </c>
      <c r="AF580" s="1" t="str">
        <f>IF(OR($B580="",AF$7=""),"",IF($B580="MEANS",INDEX('1-DATA'!$1:$1048576,$A579-1,COLUMN('1-DATA'!AE578)),ROUND(INDEX('1-DATA'!$1:$1048576,IF(OR($B580="STD. DEVIATION",$C$1=1),$A580,$A580+1),COLUMN('1-DATA'!AE578)),IF($B580="STD. DEVIATION",2,$F$1))))</f>
        <v/>
      </c>
      <c r="AG580" s="1" t="str">
        <f>IF(OR($B580="",AG$7=""),"",IF($B580="MEANS",INDEX('1-DATA'!$1:$1048576,$A579-1,COLUMN('1-DATA'!AF578)),ROUND(INDEX('1-DATA'!$1:$1048576,IF(OR($B580="STD. DEVIATION",$C$1=1),$A580,$A580+1),COLUMN('1-DATA'!AF578)),IF($B580="STD. DEVIATION",2,$F$1))))</f>
        <v/>
      </c>
      <c r="AH580" s="1" t="str">
        <f>IF(OR($B580="",AH$7=""),"",IF($B580="MEANS",INDEX('1-DATA'!$1:$1048576,$A579-1,COLUMN('1-DATA'!AG578)),ROUND(INDEX('1-DATA'!$1:$1048576,IF(OR($B580="STD. DEVIATION",$C$1=1),$A580,$A580+1),COLUMN('1-DATA'!AG578)),IF($B580="STD. DEVIATION",2,$F$1))))</f>
        <v/>
      </c>
      <c r="AI580" s="1" t="str">
        <f>IF(OR($B580="",AI$7=""),"",IF($B580="MEANS",INDEX('1-DATA'!$1:$1048576,$A579-1,COLUMN('1-DATA'!AH578)),ROUND(INDEX('1-DATA'!$1:$1048576,IF(OR($B580="STD. DEVIATION",$C$1=1),$A580,$A580+1),COLUMN('1-DATA'!AH578)),IF($B580="STD. DEVIATION",2,$F$1))))</f>
        <v/>
      </c>
      <c r="AJ580" s="1" t="str">
        <f>IF(OR($B580="",AJ$7=""),"",IF($B580="MEANS",INDEX('1-DATA'!$1:$1048576,$A579-1,COLUMN('1-DATA'!AI578)),ROUND(INDEX('1-DATA'!$1:$1048576,IF(OR($B580="STD. DEVIATION",$C$1=1),$A580,$A580+1),COLUMN('1-DATA'!AI578)),IF($B580="STD. DEVIATION",2,$F$1))))</f>
        <v/>
      </c>
      <c r="AK580" s="1" t="str">
        <f>IF(OR($B580="",AK$7=""),"",IF($B580="MEANS",INDEX('1-DATA'!$1:$1048576,$A579-1,COLUMN('1-DATA'!AJ578)),ROUND(INDEX('1-DATA'!$1:$1048576,IF(OR($B580="STD. DEVIATION",$C$1=1),$A580,$A580+1),COLUMN('1-DATA'!AJ578)),IF($B580="STD. DEVIATION",2,$F$1))))</f>
        <v/>
      </c>
      <c r="AL580" s="1" t="str">
        <f>IF(OR($B580="",AL$7=""),"",IF($B580="MEANS",INDEX('1-DATA'!$1:$1048576,$A579-1,COLUMN('1-DATA'!AK578)),ROUND(INDEX('1-DATA'!$1:$1048576,IF(OR($B580="STD. DEVIATION",$C$1=1),$A580,$A580+1),COLUMN('1-DATA'!AK578)),IF($B580="STD. DEVIATION",2,$F$1))))</f>
        <v/>
      </c>
      <c r="AM580" s="1" t="str">
        <f>IF(OR($B580="",AM$7=""),"",IF($B580="MEANS",INDEX('1-DATA'!$1:$1048576,$A579-1,COLUMN('1-DATA'!AL578)),ROUND(INDEX('1-DATA'!$1:$1048576,IF(OR($B580="STD. DEVIATION",$C$1=1),$A580,$A580+1),COLUMN('1-DATA'!AL578)),IF($B580="STD. DEVIATION",2,$F$1))))</f>
        <v/>
      </c>
      <c r="AN580" s="1" t="str">
        <f>IF(OR($B580="",AN$7=""),"",IF($B580="MEANS",INDEX('1-DATA'!$1:$1048576,$A579-1,COLUMN('1-DATA'!AM578)),ROUND(INDEX('1-DATA'!$1:$1048576,IF(OR($B580="STD. DEVIATION",$C$1=1),$A580,$A580+1),COLUMN('1-DATA'!AM578)),IF($B580="STD. DEVIATION",2,$F$1))))</f>
        <v/>
      </c>
      <c r="AO580" s="1" t="str">
        <f>IF(OR($B580="",AO$7=""),"",IF($B580="MEANS",INDEX('1-DATA'!$1:$1048576,$A579-1,COLUMN('1-DATA'!AN578)),ROUND(INDEX('1-DATA'!$1:$1048576,IF(OR($B580="STD. DEVIATION",$C$1=1),$A580,$A580+1),COLUMN('1-DATA'!AN578)),IF($B580="STD. DEVIATION",2,$F$1))))</f>
        <v/>
      </c>
      <c r="AP580" s="1" t="str">
        <f>IF(OR($B580="",AP$7=""),"",IF($B580="MEANS",INDEX('1-DATA'!$1:$1048576,$A579-1,COLUMN('1-DATA'!AO578)),ROUND(INDEX('1-DATA'!$1:$1048576,IF(OR($B580="STD. DEVIATION",$C$1=1),$A580,$A580+1),COLUMN('1-DATA'!AO578)),IF($B580="STD. DEVIATION",2,$F$1))))</f>
        <v/>
      </c>
      <c r="AQ580" s="1" t="str">
        <f>IF(OR($B580="",AQ$7=""),"",IF($B580="MEANS",INDEX('1-DATA'!$1:$1048576,$A579-1,COLUMN('1-DATA'!AP578)),ROUND(INDEX('1-DATA'!$1:$1048576,IF(OR($B580="STD. DEVIATION",$C$1=1),$A580,$A580+1),COLUMN('1-DATA'!AP578)),IF($B580="STD. DEVIATION",2,$F$1))))</f>
        <v/>
      </c>
      <c r="AR580" s="1" t="str">
        <f>IF(OR($B580="",AR$7=""),"",IF($B580="MEANS",INDEX('1-DATA'!$1:$1048576,$A579-1,COLUMN('1-DATA'!AQ578)),ROUND(INDEX('1-DATA'!$1:$1048576,IF(OR($B580="STD. DEVIATION",$C$1=1),$A580,$A580+1),COLUMN('1-DATA'!AQ578)),IF($B580="STD. DEVIATION",2,$F$1))))</f>
        <v/>
      </c>
      <c r="AS580" s="1" t="str">
        <f>IF(OR($B580="",AS$7=""),"",IF($B580="MEANS",INDEX('1-DATA'!$1:$1048576,$A579-1,COLUMN('1-DATA'!AR578)),ROUND(INDEX('1-DATA'!$1:$1048576,IF(OR($B580="STD. DEVIATION",$C$1=1),$A580,$A580+1),COLUMN('1-DATA'!AR578)),IF($B580="STD. DEVIATION",2,$F$1))))</f>
        <v/>
      </c>
      <c r="AT580" s="1" t="str">
        <f>IF(OR($B580="",AT$7=""),"",IF($B580="MEANS",INDEX('1-DATA'!$1:$1048576,$A579-1,COLUMN('1-DATA'!AS578)),ROUND(INDEX('1-DATA'!$1:$1048576,IF(OR($B580="STD. DEVIATION",$C$1=1),$A580,$A580+1),COLUMN('1-DATA'!AS578)),IF($B580="STD. DEVIATION",2,$F$1))))</f>
        <v/>
      </c>
      <c r="AU580" s="1" t="str">
        <f>IF(OR($B580="",AU$7=""),"",IF($B580="MEANS",INDEX('1-DATA'!$1:$1048576,$A579-1,COLUMN('1-DATA'!AT578)),ROUND(INDEX('1-DATA'!$1:$1048576,IF(OR($B580="STD. DEVIATION",$C$1=1),$A580,$A580+1),COLUMN('1-DATA'!AT578)),IF($B580="STD. DEVIATION",2,$F$1))))</f>
        <v/>
      </c>
      <c r="AV580" s="1" t="str">
        <f>IF(OR($B580="",AV$7=""),"",IF($B580="MEANS",INDEX('1-DATA'!$1:$1048576,$A579-1,COLUMN('1-DATA'!AU578)),ROUND(INDEX('1-DATA'!$1:$1048576,IF(OR($B580="STD. DEVIATION",$C$1=1),$A580,$A580+1),COLUMN('1-DATA'!AU578)),IF($B580="STD. DEVIATION",2,$F$1))))</f>
        <v/>
      </c>
      <c r="AW580" s="1" t="str">
        <f>IF(OR($B580="",AW$7=""),"",IF($B580="MEANS",INDEX('1-DATA'!$1:$1048576,$A579-1,COLUMN('1-DATA'!AV578)),ROUND(INDEX('1-DATA'!$1:$1048576,IF(OR($B580="STD. DEVIATION",$C$1=1),$A580,$A580+1),COLUMN('1-DATA'!AV578)),IF($B580="STD. DEVIATION",2,$F$1))))</f>
        <v/>
      </c>
      <c r="AX580" s="1" t="str">
        <f>IF(OR($B580="",AX$7=""),"",IF($B580="MEANS",INDEX('1-DATA'!$1:$1048576,$A579-1,COLUMN('1-DATA'!AW578)),ROUND(INDEX('1-DATA'!$1:$1048576,IF(OR($B580="STD. DEVIATION",$C$1=1),$A580,$A580+1),COLUMN('1-DATA'!AW578)),IF($B580="STD. DEVIATION",2,$F$1))))</f>
        <v/>
      </c>
      <c r="AY580" s="1" t="str">
        <f>IF(OR($B580="",AY$7=""),"",IF($B580="MEANS",INDEX('1-DATA'!$1:$1048576,$A579-1,COLUMN('1-DATA'!AX578)),ROUND(INDEX('1-DATA'!$1:$1048576,IF(OR($B580="STD. DEVIATION",$C$1=1),$A580,$A580+1),COLUMN('1-DATA'!AX578)),IF($B580="STD. DEVIATION",2,$F$1))))</f>
        <v/>
      </c>
      <c r="AZ580" s="1" t="str">
        <f>IF(OR($B580="",AZ$7=""),"",IF($B580="MEANS",INDEX('1-DATA'!$1:$1048576,$A579-1,COLUMN('1-DATA'!AY578)),ROUND(INDEX('1-DATA'!$1:$1048576,IF(OR($B580="STD. DEVIATION",$C$1=1),$A580,$A580+1),COLUMN('1-DATA'!AY578)),IF($B580="STD. DEVIATION",2,$F$1))))</f>
        <v/>
      </c>
    </row>
    <row r="581" spans="1:52" x14ac:dyDescent="0.25">
      <c r="A581" s="11">
        <f t="shared" si="9"/>
        <v>1729</v>
      </c>
      <c r="B581" s="1" t="str">
        <f>IF(B580="STD. DEVIATION",INDEX('1-DATA'!$1:$1048576,$A580-1,1),IF(INDEX('1-DATA'!$1:$1048576,$A581,1)&lt;&gt;"",INDEX('1-DATA'!$1:$1048576,$A581,1),""))</f>
        <v/>
      </c>
      <c r="C581" s="1" t="str">
        <f>IF(OR($B581="",C$7=""),"",IF($B581="MEANS",INDEX('1-DATA'!$1:$1048576,$A580-1,COLUMN('1-DATA'!B579)),ROUND(INDEX('1-DATA'!$1:$1048576,IF(OR($B581="STD. DEVIATION",$C$1=1),$A581,$A581+1),COLUMN('1-DATA'!B579)),IF($B581="STD. DEVIATION",2,$F$1))))</f>
        <v/>
      </c>
      <c r="D581" s="1" t="str">
        <f>IF(OR($B581="",D$7=""),"",IF($B581="MEANS",INDEX('1-DATA'!$1:$1048576,$A580-1,COLUMN('1-DATA'!C579)),ROUND(INDEX('1-DATA'!$1:$1048576,IF(OR($B581="STD. DEVIATION",$C$1=1),$A581,$A581+1),COLUMN('1-DATA'!C579)),IF($B581="STD. DEVIATION",2,$F$1))))</f>
        <v/>
      </c>
      <c r="E581" s="1" t="str">
        <f>IF(OR($B581="",E$7=""),"",IF($B581="MEANS",INDEX('1-DATA'!$1:$1048576,$A580-1,COLUMN('1-DATA'!D579)),ROUND(INDEX('1-DATA'!$1:$1048576,IF(OR($B581="STD. DEVIATION",$C$1=1),$A581,$A581+1),COLUMN('1-DATA'!D579)),IF($B581="STD. DEVIATION",2,$F$1))))</f>
        <v/>
      </c>
      <c r="F581" s="1" t="str">
        <f>IF(OR($B581="",F$7=""),"",IF($B581="MEANS",INDEX('1-DATA'!$1:$1048576,$A580-1,COLUMN('1-DATA'!E579)),ROUND(INDEX('1-DATA'!$1:$1048576,IF(OR($B581="STD. DEVIATION",$C$1=1),$A581,$A581+1),COLUMN('1-DATA'!E579)),IF($B581="STD. DEVIATION",2,$F$1))))</f>
        <v/>
      </c>
      <c r="G581" s="1" t="str">
        <f>IF(OR($B581="",G$7=""),"",IF($B581="MEANS",INDEX('1-DATA'!$1:$1048576,$A580-1,COLUMN('1-DATA'!F579)),ROUND(INDEX('1-DATA'!$1:$1048576,IF(OR($B581="STD. DEVIATION",$C$1=1),$A581,$A581+1),COLUMN('1-DATA'!F579)),IF($B581="STD. DEVIATION",2,$F$1))))</f>
        <v/>
      </c>
      <c r="H581" s="1" t="str">
        <f>IF(OR($B581="",H$7=""),"",IF($B581="MEANS",INDEX('1-DATA'!$1:$1048576,$A580-1,COLUMN('1-DATA'!G579)),ROUND(INDEX('1-DATA'!$1:$1048576,IF(OR($B581="STD. DEVIATION",$C$1=1),$A581,$A581+1),COLUMN('1-DATA'!G579)),IF($B581="STD. DEVIATION",2,$F$1))))</f>
        <v/>
      </c>
      <c r="I581" s="1" t="str">
        <f>IF(OR($B581="",I$7=""),"",IF($B581="MEANS",INDEX('1-DATA'!$1:$1048576,$A580-1,COLUMN('1-DATA'!H579)),ROUND(INDEX('1-DATA'!$1:$1048576,IF(OR($B581="STD. DEVIATION",$C$1=1),$A581,$A581+1),COLUMN('1-DATA'!H579)),IF($B581="STD. DEVIATION",2,$F$1))))</f>
        <v/>
      </c>
      <c r="J581" s="1" t="str">
        <f>IF(OR($B581="",J$7=""),"",IF($B581="MEANS",INDEX('1-DATA'!$1:$1048576,$A580-1,COLUMN('1-DATA'!I579)),ROUND(INDEX('1-DATA'!$1:$1048576,IF(OR($B581="STD. DEVIATION",$C$1=1),$A581,$A581+1),COLUMN('1-DATA'!I579)),IF($B581="STD. DEVIATION",2,$F$1))))</f>
        <v/>
      </c>
      <c r="K581" s="1" t="str">
        <f>IF(OR($B581="",K$7=""),"",IF($B581="MEANS",INDEX('1-DATA'!$1:$1048576,$A580-1,COLUMN('1-DATA'!J579)),ROUND(INDEX('1-DATA'!$1:$1048576,IF(OR($B581="STD. DEVIATION",$C$1=1),$A581,$A581+1),COLUMN('1-DATA'!J579)),IF($B581="STD. DEVIATION",2,$F$1))))</f>
        <v/>
      </c>
      <c r="L581" s="1" t="str">
        <f>IF(OR($B581="",L$7=""),"",IF($B581="MEANS",INDEX('1-DATA'!$1:$1048576,$A580-1,COLUMN('1-DATA'!K579)),ROUND(INDEX('1-DATA'!$1:$1048576,IF(OR($B581="STD. DEVIATION",$C$1=1),$A581,$A581+1),COLUMN('1-DATA'!K579)),IF($B581="STD. DEVIATION",2,$F$1))))</f>
        <v/>
      </c>
      <c r="M581" s="1" t="str">
        <f>IF(OR($B581="",M$7=""),"",IF($B581="MEANS",INDEX('1-DATA'!$1:$1048576,$A580-1,COLUMN('1-DATA'!L579)),ROUND(INDEX('1-DATA'!$1:$1048576,IF(OR($B581="STD. DEVIATION",$C$1=1),$A581,$A581+1),COLUMN('1-DATA'!L579)),IF($B581="STD. DEVIATION",2,$F$1))))</f>
        <v/>
      </c>
      <c r="N581" s="1" t="str">
        <f>IF(OR($B581="",N$7=""),"",IF($B581="MEANS",INDEX('1-DATA'!$1:$1048576,$A580-1,COLUMN('1-DATA'!M579)),ROUND(INDEX('1-DATA'!$1:$1048576,IF(OR($B581="STD. DEVIATION",$C$1=1),$A581,$A581+1),COLUMN('1-DATA'!M579)),IF($B581="STD. DEVIATION",2,$F$1))))</f>
        <v/>
      </c>
      <c r="O581" s="1" t="str">
        <f>IF(OR($B581="",O$7=""),"",IF($B581="MEANS",INDEX('1-DATA'!$1:$1048576,$A580-1,COLUMN('1-DATA'!N579)),ROUND(INDEX('1-DATA'!$1:$1048576,IF(OR($B581="STD. DEVIATION",$C$1=1),$A581,$A581+1),COLUMN('1-DATA'!N579)),IF($B581="STD. DEVIATION",2,$F$1))))</f>
        <v/>
      </c>
      <c r="P581" s="1" t="str">
        <f>IF(OR($B581="",P$7=""),"",IF($B581="MEANS",INDEX('1-DATA'!$1:$1048576,$A580-1,COLUMN('1-DATA'!O579)),ROUND(INDEX('1-DATA'!$1:$1048576,IF(OR($B581="STD. DEVIATION",$C$1=1),$A581,$A581+1),COLUMN('1-DATA'!O579)),IF($B581="STD. DEVIATION",2,$F$1))))</f>
        <v/>
      </c>
      <c r="Q581" s="1" t="str">
        <f>IF(OR($B581="",Q$7=""),"",IF($B581="MEANS",INDEX('1-DATA'!$1:$1048576,$A580-1,COLUMN('1-DATA'!P579)),ROUND(INDEX('1-DATA'!$1:$1048576,IF(OR($B581="STD. DEVIATION",$C$1=1),$A581,$A581+1),COLUMN('1-DATA'!P579)),IF($B581="STD. DEVIATION",2,$F$1))))</f>
        <v/>
      </c>
      <c r="R581" s="1" t="str">
        <f>IF(OR($B581="",R$7=""),"",IF($B581="MEANS",INDEX('1-DATA'!$1:$1048576,$A580-1,COLUMN('1-DATA'!Q579)),ROUND(INDEX('1-DATA'!$1:$1048576,IF(OR($B581="STD. DEVIATION",$C$1=1),$A581,$A581+1),COLUMN('1-DATA'!Q579)),IF($B581="STD. DEVIATION",2,$F$1))))</f>
        <v/>
      </c>
      <c r="S581" s="1" t="str">
        <f>IF(OR($B581="",S$7=""),"",IF($B581="MEANS",INDEX('1-DATA'!$1:$1048576,$A580-1,COLUMN('1-DATA'!R579)),ROUND(INDEX('1-DATA'!$1:$1048576,IF(OR($B581="STD. DEVIATION",$C$1=1),$A581,$A581+1),COLUMN('1-DATA'!R579)),IF($B581="STD. DEVIATION",2,$F$1))))</f>
        <v/>
      </c>
      <c r="T581" s="1" t="str">
        <f>IF(OR($B581="",T$7=""),"",IF($B581="MEANS",INDEX('1-DATA'!$1:$1048576,$A580-1,COLUMN('1-DATA'!S579)),ROUND(INDEX('1-DATA'!$1:$1048576,IF(OR($B581="STD. DEVIATION",$C$1=1),$A581,$A581+1),COLUMN('1-DATA'!S579)),IF($B581="STD. DEVIATION",2,$F$1))))</f>
        <v/>
      </c>
      <c r="U581" s="1" t="str">
        <f>IF(OR($B581="",U$7=""),"",IF($B581="MEANS",INDEX('1-DATA'!$1:$1048576,$A580-1,COLUMN('1-DATA'!T579)),ROUND(INDEX('1-DATA'!$1:$1048576,IF(OR($B581="STD. DEVIATION",$C$1=1),$A581,$A581+1),COLUMN('1-DATA'!T579)),IF($B581="STD. DEVIATION",2,$F$1))))</f>
        <v/>
      </c>
      <c r="V581" s="1" t="str">
        <f>IF(OR($B581="",V$7=""),"",IF($B581="MEANS",INDEX('1-DATA'!$1:$1048576,$A580-1,COLUMN('1-DATA'!U579)),ROUND(INDEX('1-DATA'!$1:$1048576,IF(OR($B581="STD. DEVIATION",$C$1=1),$A581,$A581+1),COLUMN('1-DATA'!U579)),IF($B581="STD. DEVIATION",2,$F$1))))</f>
        <v/>
      </c>
      <c r="W581" s="1" t="str">
        <f>IF(OR($B581="",W$7=""),"",IF($B581="MEANS",INDEX('1-DATA'!$1:$1048576,$A580-1,COLUMN('1-DATA'!V579)),ROUND(INDEX('1-DATA'!$1:$1048576,IF(OR($B581="STD. DEVIATION",$C$1=1),$A581,$A581+1),COLUMN('1-DATA'!V579)),IF($B581="STD. DEVIATION",2,$F$1))))</f>
        <v/>
      </c>
      <c r="X581" s="1" t="str">
        <f>IF(OR($B581="",X$7=""),"",IF($B581="MEANS",INDEX('1-DATA'!$1:$1048576,$A580-1,COLUMN('1-DATA'!W579)),ROUND(INDEX('1-DATA'!$1:$1048576,IF(OR($B581="STD. DEVIATION",$C$1=1),$A581,$A581+1),COLUMN('1-DATA'!W579)),IF($B581="STD. DEVIATION",2,$F$1))))</f>
        <v/>
      </c>
      <c r="Y581" s="1" t="str">
        <f>IF(OR($B581="",Y$7=""),"",IF($B581="MEANS",INDEX('1-DATA'!$1:$1048576,$A580-1,COLUMN('1-DATA'!X579)),ROUND(INDEX('1-DATA'!$1:$1048576,IF(OR($B581="STD. DEVIATION",$C$1=1),$A581,$A581+1),COLUMN('1-DATA'!X579)),IF($B581="STD. DEVIATION",2,$F$1))))</f>
        <v/>
      </c>
      <c r="Z581" s="1" t="str">
        <f>IF(OR($B581="",Z$7=""),"",IF($B581="MEANS",INDEX('1-DATA'!$1:$1048576,$A580-1,COLUMN('1-DATA'!Y579)),ROUND(INDEX('1-DATA'!$1:$1048576,IF(OR($B581="STD. DEVIATION",$C$1=1),$A581,$A581+1),COLUMN('1-DATA'!Y579)),IF($B581="STD. DEVIATION",2,$F$1))))</f>
        <v/>
      </c>
      <c r="AA581" s="1" t="str">
        <f>IF(OR($B581="",AA$7=""),"",IF($B581="MEANS",INDEX('1-DATA'!$1:$1048576,$A580-1,COLUMN('1-DATA'!Z579)),ROUND(INDEX('1-DATA'!$1:$1048576,IF(OR($B581="STD. DEVIATION",$C$1=1),$A581,$A581+1),COLUMN('1-DATA'!Z579)),IF($B581="STD. DEVIATION",2,$F$1))))</f>
        <v/>
      </c>
      <c r="AB581" s="1" t="str">
        <f>IF(OR($B581="",AB$7=""),"",IF($B581="MEANS",INDEX('1-DATA'!$1:$1048576,$A580-1,COLUMN('1-DATA'!AA579)),ROUND(INDEX('1-DATA'!$1:$1048576,IF(OR($B581="STD. DEVIATION",$C$1=1),$A581,$A581+1),COLUMN('1-DATA'!AA579)),IF($B581="STD. DEVIATION",2,$F$1))))</f>
        <v/>
      </c>
      <c r="AC581" s="1" t="str">
        <f>IF(OR($B581="",AC$7=""),"",IF($B581="MEANS",INDEX('1-DATA'!$1:$1048576,$A580-1,COLUMN('1-DATA'!AB579)),ROUND(INDEX('1-DATA'!$1:$1048576,IF(OR($B581="STD. DEVIATION",$C$1=1),$A581,$A581+1),COLUMN('1-DATA'!AB579)),IF($B581="STD. DEVIATION",2,$F$1))))</f>
        <v/>
      </c>
      <c r="AD581" s="1" t="str">
        <f>IF(OR($B581="",AD$7=""),"",IF($B581="MEANS",INDEX('1-DATA'!$1:$1048576,$A580-1,COLUMN('1-DATA'!AC579)),ROUND(INDEX('1-DATA'!$1:$1048576,IF(OR($B581="STD. DEVIATION",$C$1=1),$A581,$A581+1),COLUMN('1-DATA'!AC579)),IF($B581="STD. DEVIATION",2,$F$1))))</f>
        <v/>
      </c>
      <c r="AE581" s="1" t="str">
        <f>IF(OR($B581="",AE$7=""),"",IF($B581="MEANS",INDEX('1-DATA'!$1:$1048576,$A580-1,COLUMN('1-DATA'!AD579)),ROUND(INDEX('1-DATA'!$1:$1048576,IF(OR($B581="STD. DEVIATION",$C$1=1),$A581,$A581+1),COLUMN('1-DATA'!AD579)),IF($B581="STD. DEVIATION",2,$F$1))))</f>
        <v/>
      </c>
      <c r="AF581" s="1" t="str">
        <f>IF(OR($B581="",AF$7=""),"",IF($B581="MEANS",INDEX('1-DATA'!$1:$1048576,$A580-1,COLUMN('1-DATA'!AE579)),ROUND(INDEX('1-DATA'!$1:$1048576,IF(OR($B581="STD. DEVIATION",$C$1=1),$A581,$A581+1),COLUMN('1-DATA'!AE579)),IF($B581="STD. DEVIATION",2,$F$1))))</f>
        <v/>
      </c>
      <c r="AG581" s="1" t="str">
        <f>IF(OR($B581="",AG$7=""),"",IF($B581="MEANS",INDEX('1-DATA'!$1:$1048576,$A580-1,COLUMN('1-DATA'!AF579)),ROUND(INDEX('1-DATA'!$1:$1048576,IF(OR($B581="STD. DEVIATION",$C$1=1),$A581,$A581+1),COLUMN('1-DATA'!AF579)),IF($B581="STD. DEVIATION",2,$F$1))))</f>
        <v/>
      </c>
      <c r="AH581" s="1" t="str">
        <f>IF(OR($B581="",AH$7=""),"",IF($B581="MEANS",INDEX('1-DATA'!$1:$1048576,$A580-1,COLUMN('1-DATA'!AG579)),ROUND(INDEX('1-DATA'!$1:$1048576,IF(OR($B581="STD. DEVIATION",$C$1=1),$A581,$A581+1),COLUMN('1-DATA'!AG579)),IF($B581="STD. DEVIATION",2,$F$1))))</f>
        <v/>
      </c>
      <c r="AI581" s="1" t="str">
        <f>IF(OR($B581="",AI$7=""),"",IF($B581="MEANS",INDEX('1-DATA'!$1:$1048576,$A580-1,COLUMN('1-DATA'!AH579)),ROUND(INDEX('1-DATA'!$1:$1048576,IF(OR($B581="STD. DEVIATION",$C$1=1),$A581,$A581+1),COLUMN('1-DATA'!AH579)),IF($B581="STD. DEVIATION",2,$F$1))))</f>
        <v/>
      </c>
      <c r="AJ581" s="1" t="str">
        <f>IF(OR($B581="",AJ$7=""),"",IF($B581="MEANS",INDEX('1-DATA'!$1:$1048576,$A580-1,COLUMN('1-DATA'!AI579)),ROUND(INDEX('1-DATA'!$1:$1048576,IF(OR($B581="STD. DEVIATION",$C$1=1),$A581,$A581+1),COLUMN('1-DATA'!AI579)),IF($B581="STD. DEVIATION",2,$F$1))))</f>
        <v/>
      </c>
      <c r="AK581" s="1" t="str">
        <f>IF(OR($B581="",AK$7=""),"",IF($B581="MEANS",INDEX('1-DATA'!$1:$1048576,$A580-1,COLUMN('1-DATA'!AJ579)),ROUND(INDEX('1-DATA'!$1:$1048576,IF(OR($B581="STD. DEVIATION",$C$1=1),$A581,$A581+1),COLUMN('1-DATA'!AJ579)),IF($B581="STD. DEVIATION",2,$F$1))))</f>
        <v/>
      </c>
      <c r="AL581" s="1" t="str">
        <f>IF(OR($B581="",AL$7=""),"",IF($B581="MEANS",INDEX('1-DATA'!$1:$1048576,$A580-1,COLUMN('1-DATA'!AK579)),ROUND(INDEX('1-DATA'!$1:$1048576,IF(OR($B581="STD. DEVIATION",$C$1=1),$A581,$A581+1),COLUMN('1-DATA'!AK579)),IF($B581="STD. DEVIATION",2,$F$1))))</f>
        <v/>
      </c>
      <c r="AM581" s="1" t="str">
        <f>IF(OR($B581="",AM$7=""),"",IF($B581="MEANS",INDEX('1-DATA'!$1:$1048576,$A580-1,COLUMN('1-DATA'!AL579)),ROUND(INDEX('1-DATA'!$1:$1048576,IF(OR($B581="STD. DEVIATION",$C$1=1),$A581,$A581+1),COLUMN('1-DATA'!AL579)),IF($B581="STD. DEVIATION",2,$F$1))))</f>
        <v/>
      </c>
      <c r="AN581" s="1" t="str">
        <f>IF(OR($B581="",AN$7=""),"",IF($B581="MEANS",INDEX('1-DATA'!$1:$1048576,$A580-1,COLUMN('1-DATA'!AM579)),ROUND(INDEX('1-DATA'!$1:$1048576,IF(OR($B581="STD. DEVIATION",$C$1=1),$A581,$A581+1),COLUMN('1-DATA'!AM579)),IF($B581="STD. DEVIATION",2,$F$1))))</f>
        <v/>
      </c>
      <c r="AO581" s="1" t="str">
        <f>IF(OR($B581="",AO$7=""),"",IF($B581="MEANS",INDEX('1-DATA'!$1:$1048576,$A580-1,COLUMN('1-DATA'!AN579)),ROUND(INDEX('1-DATA'!$1:$1048576,IF(OR($B581="STD. DEVIATION",$C$1=1),$A581,$A581+1),COLUMN('1-DATA'!AN579)),IF($B581="STD. DEVIATION",2,$F$1))))</f>
        <v/>
      </c>
      <c r="AP581" s="1" t="str">
        <f>IF(OR($B581="",AP$7=""),"",IF($B581="MEANS",INDEX('1-DATA'!$1:$1048576,$A580-1,COLUMN('1-DATA'!AO579)),ROUND(INDEX('1-DATA'!$1:$1048576,IF(OR($B581="STD. DEVIATION",$C$1=1),$A581,$A581+1),COLUMN('1-DATA'!AO579)),IF($B581="STD. DEVIATION",2,$F$1))))</f>
        <v/>
      </c>
      <c r="AQ581" s="1" t="str">
        <f>IF(OR($B581="",AQ$7=""),"",IF($B581="MEANS",INDEX('1-DATA'!$1:$1048576,$A580-1,COLUMN('1-DATA'!AP579)),ROUND(INDEX('1-DATA'!$1:$1048576,IF(OR($B581="STD. DEVIATION",$C$1=1),$A581,$A581+1),COLUMN('1-DATA'!AP579)),IF($B581="STD. DEVIATION",2,$F$1))))</f>
        <v/>
      </c>
      <c r="AR581" s="1" t="str">
        <f>IF(OR($B581="",AR$7=""),"",IF($B581="MEANS",INDEX('1-DATA'!$1:$1048576,$A580-1,COLUMN('1-DATA'!AQ579)),ROUND(INDEX('1-DATA'!$1:$1048576,IF(OR($B581="STD. DEVIATION",$C$1=1),$A581,$A581+1),COLUMN('1-DATA'!AQ579)),IF($B581="STD. DEVIATION",2,$F$1))))</f>
        <v/>
      </c>
      <c r="AS581" s="1" t="str">
        <f>IF(OR($B581="",AS$7=""),"",IF($B581="MEANS",INDEX('1-DATA'!$1:$1048576,$A580-1,COLUMN('1-DATA'!AR579)),ROUND(INDEX('1-DATA'!$1:$1048576,IF(OR($B581="STD. DEVIATION",$C$1=1),$A581,$A581+1),COLUMN('1-DATA'!AR579)),IF($B581="STD. DEVIATION",2,$F$1))))</f>
        <v/>
      </c>
      <c r="AT581" s="1" t="str">
        <f>IF(OR($B581="",AT$7=""),"",IF($B581="MEANS",INDEX('1-DATA'!$1:$1048576,$A580-1,COLUMN('1-DATA'!AS579)),ROUND(INDEX('1-DATA'!$1:$1048576,IF(OR($B581="STD. DEVIATION",$C$1=1),$A581,$A581+1),COLUMN('1-DATA'!AS579)),IF($B581="STD. DEVIATION",2,$F$1))))</f>
        <v/>
      </c>
      <c r="AU581" s="1" t="str">
        <f>IF(OR($B581="",AU$7=""),"",IF($B581="MEANS",INDEX('1-DATA'!$1:$1048576,$A580-1,COLUMN('1-DATA'!AT579)),ROUND(INDEX('1-DATA'!$1:$1048576,IF(OR($B581="STD. DEVIATION",$C$1=1),$A581,$A581+1),COLUMN('1-DATA'!AT579)),IF($B581="STD. DEVIATION",2,$F$1))))</f>
        <v/>
      </c>
      <c r="AV581" s="1" t="str">
        <f>IF(OR($B581="",AV$7=""),"",IF($B581="MEANS",INDEX('1-DATA'!$1:$1048576,$A580-1,COLUMN('1-DATA'!AU579)),ROUND(INDEX('1-DATA'!$1:$1048576,IF(OR($B581="STD. DEVIATION",$C$1=1),$A581,$A581+1),COLUMN('1-DATA'!AU579)),IF($B581="STD. DEVIATION",2,$F$1))))</f>
        <v/>
      </c>
      <c r="AW581" s="1" t="str">
        <f>IF(OR($B581="",AW$7=""),"",IF($B581="MEANS",INDEX('1-DATA'!$1:$1048576,$A580-1,COLUMN('1-DATA'!AV579)),ROUND(INDEX('1-DATA'!$1:$1048576,IF(OR($B581="STD. DEVIATION",$C$1=1),$A581,$A581+1),COLUMN('1-DATA'!AV579)),IF($B581="STD. DEVIATION",2,$F$1))))</f>
        <v/>
      </c>
      <c r="AX581" s="1" t="str">
        <f>IF(OR($B581="",AX$7=""),"",IF($B581="MEANS",INDEX('1-DATA'!$1:$1048576,$A580-1,COLUMN('1-DATA'!AW579)),ROUND(INDEX('1-DATA'!$1:$1048576,IF(OR($B581="STD. DEVIATION",$C$1=1),$A581,$A581+1),COLUMN('1-DATA'!AW579)),IF($B581="STD. DEVIATION",2,$F$1))))</f>
        <v/>
      </c>
      <c r="AY581" s="1" t="str">
        <f>IF(OR($B581="",AY$7=""),"",IF($B581="MEANS",INDEX('1-DATA'!$1:$1048576,$A580-1,COLUMN('1-DATA'!AX579)),ROUND(INDEX('1-DATA'!$1:$1048576,IF(OR($B581="STD. DEVIATION",$C$1=1),$A581,$A581+1),COLUMN('1-DATA'!AX579)),IF($B581="STD. DEVIATION",2,$F$1))))</f>
        <v/>
      </c>
      <c r="AZ581" s="1" t="str">
        <f>IF(OR($B581="",AZ$7=""),"",IF($B581="MEANS",INDEX('1-DATA'!$1:$1048576,$A580-1,COLUMN('1-DATA'!AY579)),ROUND(INDEX('1-DATA'!$1:$1048576,IF(OR($B581="STD. DEVIATION",$C$1=1),$A581,$A581+1),COLUMN('1-DATA'!AY579)),IF($B581="STD. DEVIATION",2,$F$1))))</f>
        <v/>
      </c>
    </row>
    <row r="582" spans="1:52" x14ac:dyDescent="0.25">
      <c r="A582" s="11">
        <f t="shared" si="9"/>
        <v>1732</v>
      </c>
      <c r="B582" s="1" t="str">
        <f>IF(B581="STD. DEVIATION",INDEX('1-DATA'!$1:$1048576,$A581-1,1),IF(INDEX('1-DATA'!$1:$1048576,$A582,1)&lt;&gt;"",INDEX('1-DATA'!$1:$1048576,$A582,1),""))</f>
        <v/>
      </c>
      <c r="C582" s="1" t="str">
        <f>IF(OR($B582="",C$7=""),"",IF($B582="MEANS",INDEX('1-DATA'!$1:$1048576,$A581-1,COLUMN('1-DATA'!B580)),ROUND(INDEX('1-DATA'!$1:$1048576,IF(OR($B582="STD. DEVIATION",$C$1=1),$A582,$A582+1),COLUMN('1-DATA'!B580)),IF($B582="STD. DEVIATION",2,$F$1))))</f>
        <v/>
      </c>
      <c r="D582" s="1" t="str">
        <f>IF(OR($B582="",D$7=""),"",IF($B582="MEANS",INDEX('1-DATA'!$1:$1048576,$A581-1,COLUMN('1-DATA'!C580)),ROUND(INDEX('1-DATA'!$1:$1048576,IF(OR($B582="STD. DEVIATION",$C$1=1),$A582,$A582+1),COLUMN('1-DATA'!C580)),IF($B582="STD. DEVIATION",2,$F$1))))</f>
        <v/>
      </c>
      <c r="E582" s="1" t="str">
        <f>IF(OR($B582="",E$7=""),"",IF($B582="MEANS",INDEX('1-DATA'!$1:$1048576,$A581-1,COLUMN('1-DATA'!D580)),ROUND(INDEX('1-DATA'!$1:$1048576,IF(OR($B582="STD. DEVIATION",$C$1=1),$A582,$A582+1),COLUMN('1-DATA'!D580)),IF($B582="STD. DEVIATION",2,$F$1))))</f>
        <v/>
      </c>
      <c r="F582" s="1" t="str">
        <f>IF(OR($B582="",F$7=""),"",IF($B582="MEANS",INDEX('1-DATA'!$1:$1048576,$A581-1,COLUMN('1-DATA'!E580)),ROUND(INDEX('1-DATA'!$1:$1048576,IF(OR($B582="STD. DEVIATION",$C$1=1),$A582,$A582+1),COLUMN('1-DATA'!E580)),IF($B582="STD. DEVIATION",2,$F$1))))</f>
        <v/>
      </c>
      <c r="G582" s="1" t="str">
        <f>IF(OR($B582="",G$7=""),"",IF($B582="MEANS",INDEX('1-DATA'!$1:$1048576,$A581-1,COLUMN('1-DATA'!F580)),ROUND(INDEX('1-DATA'!$1:$1048576,IF(OR($B582="STD. DEVIATION",$C$1=1),$A582,$A582+1),COLUMN('1-DATA'!F580)),IF($B582="STD. DEVIATION",2,$F$1))))</f>
        <v/>
      </c>
      <c r="H582" s="1" t="str">
        <f>IF(OR($B582="",H$7=""),"",IF($B582="MEANS",INDEX('1-DATA'!$1:$1048576,$A581-1,COLUMN('1-DATA'!G580)),ROUND(INDEX('1-DATA'!$1:$1048576,IF(OR($B582="STD. DEVIATION",$C$1=1),$A582,$A582+1),COLUMN('1-DATA'!G580)),IF($B582="STD. DEVIATION",2,$F$1))))</f>
        <v/>
      </c>
      <c r="I582" s="1" t="str">
        <f>IF(OR($B582="",I$7=""),"",IF($B582="MEANS",INDEX('1-DATA'!$1:$1048576,$A581-1,COLUMN('1-DATA'!H580)),ROUND(INDEX('1-DATA'!$1:$1048576,IF(OR($B582="STD. DEVIATION",$C$1=1),$A582,$A582+1),COLUMN('1-DATA'!H580)),IF($B582="STD. DEVIATION",2,$F$1))))</f>
        <v/>
      </c>
      <c r="J582" s="1" t="str">
        <f>IF(OR($B582="",J$7=""),"",IF($B582="MEANS",INDEX('1-DATA'!$1:$1048576,$A581-1,COLUMN('1-DATA'!I580)),ROUND(INDEX('1-DATA'!$1:$1048576,IF(OR($B582="STD. DEVIATION",$C$1=1),$A582,$A582+1),COLUMN('1-DATA'!I580)),IF($B582="STD. DEVIATION",2,$F$1))))</f>
        <v/>
      </c>
      <c r="K582" s="1" t="str">
        <f>IF(OR($B582="",K$7=""),"",IF($B582="MEANS",INDEX('1-DATA'!$1:$1048576,$A581-1,COLUMN('1-DATA'!J580)),ROUND(INDEX('1-DATA'!$1:$1048576,IF(OR($B582="STD. DEVIATION",$C$1=1),$A582,$A582+1),COLUMN('1-DATA'!J580)),IF($B582="STD. DEVIATION",2,$F$1))))</f>
        <v/>
      </c>
      <c r="L582" s="1" t="str">
        <f>IF(OR($B582="",L$7=""),"",IF($B582="MEANS",INDEX('1-DATA'!$1:$1048576,$A581-1,COLUMN('1-DATA'!K580)),ROUND(INDEX('1-DATA'!$1:$1048576,IF(OR($B582="STD. DEVIATION",$C$1=1),$A582,$A582+1),COLUMN('1-DATA'!K580)),IF($B582="STD. DEVIATION",2,$F$1))))</f>
        <v/>
      </c>
      <c r="M582" s="1" t="str">
        <f>IF(OR($B582="",M$7=""),"",IF($B582="MEANS",INDEX('1-DATA'!$1:$1048576,$A581-1,COLUMN('1-DATA'!L580)),ROUND(INDEX('1-DATA'!$1:$1048576,IF(OR($B582="STD. DEVIATION",$C$1=1),$A582,$A582+1),COLUMN('1-DATA'!L580)),IF($B582="STD. DEVIATION",2,$F$1))))</f>
        <v/>
      </c>
      <c r="N582" s="1" t="str">
        <f>IF(OR($B582="",N$7=""),"",IF($B582="MEANS",INDEX('1-DATA'!$1:$1048576,$A581-1,COLUMN('1-DATA'!M580)),ROUND(INDEX('1-DATA'!$1:$1048576,IF(OR($B582="STD. DEVIATION",$C$1=1),$A582,$A582+1),COLUMN('1-DATA'!M580)),IF($B582="STD. DEVIATION",2,$F$1))))</f>
        <v/>
      </c>
      <c r="O582" s="1" t="str">
        <f>IF(OR($B582="",O$7=""),"",IF($B582="MEANS",INDEX('1-DATA'!$1:$1048576,$A581-1,COLUMN('1-DATA'!N580)),ROUND(INDEX('1-DATA'!$1:$1048576,IF(OR($B582="STD. DEVIATION",$C$1=1),$A582,$A582+1),COLUMN('1-DATA'!N580)),IF($B582="STD. DEVIATION",2,$F$1))))</f>
        <v/>
      </c>
      <c r="P582" s="1" t="str">
        <f>IF(OR($B582="",P$7=""),"",IF($B582="MEANS",INDEX('1-DATA'!$1:$1048576,$A581-1,COLUMN('1-DATA'!O580)),ROUND(INDEX('1-DATA'!$1:$1048576,IF(OR($B582="STD. DEVIATION",$C$1=1),$A582,$A582+1),COLUMN('1-DATA'!O580)),IF($B582="STD. DEVIATION",2,$F$1))))</f>
        <v/>
      </c>
      <c r="Q582" s="1" t="str">
        <f>IF(OR($B582="",Q$7=""),"",IF($B582="MEANS",INDEX('1-DATA'!$1:$1048576,$A581-1,COLUMN('1-DATA'!P580)),ROUND(INDEX('1-DATA'!$1:$1048576,IF(OR($B582="STD. DEVIATION",$C$1=1),$A582,$A582+1),COLUMN('1-DATA'!P580)),IF($B582="STD. DEVIATION",2,$F$1))))</f>
        <v/>
      </c>
      <c r="R582" s="1" t="str">
        <f>IF(OR($B582="",R$7=""),"",IF($B582="MEANS",INDEX('1-DATA'!$1:$1048576,$A581-1,COLUMN('1-DATA'!Q580)),ROUND(INDEX('1-DATA'!$1:$1048576,IF(OR($B582="STD. DEVIATION",$C$1=1),$A582,$A582+1),COLUMN('1-DATA'!Q580)),IF($B582="STD. DEVIATION",2,$F$1))))</f>
        <v/>
      </c>
      <c r="S582" s="1" t="str">
        <f>IF(OR($B582="",S$7=""),"",IF($B582="MEANS",INDEX('1-DATA'!$1:$1048576,$A581-1,COLUMN('1-DATA'!R580)),ROUND(INDEX('1-DATA'!$1:$1048576,IF(OR($B582="STD. DEVIATION",$C$1=1),$A582,$A582+1),COLUMN('1-DATA'!R580)),IF($B582="STD. DEVIATION",2,$F$1))))</f>
        <v/>
      </c>
      <c r="T582" s="1" t="str">
        <f>IF(OR($B582="",T$7=""),"",IF($B582="MEANS",INDEX('1-DATA'!$1:$1048576,$A581-1,COLUMN('1-DATA'!S580)),ROUND(INDEX('1-DATA'!$1:$1048576,IF(OR($B582="STD. DEVIATION",$C$1=1),$A582,$A582+1),COLUMN('1-DATA'!S580)),IF($B582="STD. DEVIATION",2,$F$1))))</f>
        <v/>
      </c>
      <c r="U582" s="1" t="str">
        <f>IF(OR($B582="",U$7=""),"",IF($B582="MEANS",INDEX('1-DATA'!$1:$1048576,$A581-1,COLUMN('1-DATA'!T580)),ROUND(INDEX('1-DATA'!$1:$1048576,IF(OR($B582="STD. DEVIATION",$C$1=1),$A582,$A582+1),COLUMN('1-DATA'!T580)),IF($B582="STD. DEVIATION",2,$F$1))))</f>
        <v/>
      </c>
      <c r="V582" s="1" t="str">
        <f>IF(OR($B582="",V$7=""),"",IF($B582="MEANS",INDEX('1-DATA'!$1:$1048576,$A581-1,COLUMN('1-DATA'!U580)),ROUND(INDEX('1-DATA'!$1:$1048576,IF(OR($B582="STD. DEVIATION",$C$1=1),$A582,$A582+1),COLUMN('1-DATA'!U580)),IF($B582="STD. DEVIATION",2,$F$1))))</f>
        <v/>
      </c>
      <c r="W582" s="1" t="str">
        <f>IF(OR($B582="",W$7=""),"",IF($B582="MEANS",INDEX('1-DATA'!$1:$1048576,$A581-1,COLUMN('1-DATA'!V580)),ROUND(INDEX('1-DATA'!$1:$1048576,IF(OR($B582="STD. DEVIATION",$C$1=1),$A582,$A582+1),COLUMN('1-DATA'!V580)),IF($B582="STD. DEVIATION",2,$F$1))))</f>
        <v/>
      </c>
      <c r="X582" s="1" t="str">
        <f>IF(OR($B582="",X$7=""),"",IF($B582="MEANS",INDEX('1-DATA'!$1:$1048576,$A581-1,COLUMN('1-DATA'!W580)),ROUND(INDEX('1-DATA'!$1:$1048576,IF(OR($B582="STD. DEVIATION",$C$1=1),$A582,$A582+1),COLUMN('1-DATA'!W580)),IF($B582="STD. DEVIATION",2,$F$1))))</f>
        <v/>
      </c>
      <c r="Y582" s="1" t="str">
        <f>IF(OR($B582="",Y$7=""),"",IF($B582="MEANS",INDEX('1-DATA'!$1:$1048576,$A581-1,COLUMN('1-DATA'!X580)),ROUND(INDEX('1-DATA'!$1:$1048576,IF(OR($B582="STD. DEVIATION",$C$1=1),$A582,$A582+1),COLUMN('1-DATA'!X580)),IF($B582="STD. DEVIATION",2,$F$1))))</f>
        <v/>
      </c>
      <c r="Z582" s="1" t="str">
        <f>IF(OR($B582="",Z$7=""),"",IF($B582="MEANS",INDEX('1-DATA'!$1:$1048576,$A581-1,COLUMN('1-DATA'!Y580)),ROUND(INDEX('1-DATA'!$1:$1048576,IF(OR($B582="STD. DEVIATION",$C$1=1),$A582,$A582+1),COLUMN('1-DATA'!Y580)),IF($B582="STD. DEVIATION",2,$F$1))))</f>
        <v/>
      </c>
      <c r="AA582" s="1" t="str">
        <f>IF(OR($B582="",AA$7=""),"",IF($B582="MEANS",INDEX('1-DATA'!$1:$1048576,$A581-1,COLUMN('1-DATA'!Z580)),ROUND(INDEX('1-DATA'!$1:$1048576,IF(OR($B582="STD. DEVIATION",$C$1=1),$A582,$A582+1),COLUMN('1-DATA'!Z580)),IF($B582="STD. DEVIATION",2,$F$1))))</f>
        <v/>
      </c>
      <c r="AB582" s="1" t="str">
        <f>IF(OR($B582="",AB$7=""),"",IF($B582="MEANS",INDEX('1-DATA'!$1:$1048576,$A581-1,COLUMN('1-DATA'!AA580)),ROUND(INDEX('1-DATA'!$1:$1048576,IF(OR($B582="STD. DEVIATION",$C$1=1),$A582,$A582+1),COLUMN('1-DATA'!AA580)),IF($B582="STD. DEVIATION",2,$F$1))))</f>
        <v/>
      </c>
      <c r="AC582" s="1" t="str">
        <f>IF(OR($B582="",AC$7=""),"",IF($B582="MEANS",INDEX('1-DATA'!$1:$1048576,$A581-1,COLUMN('1-DATA'!AB580)),ROUND(INDEX('1-DATA'!$1:$1048576,IF(OR($B582="STD. DEVIATION",$C$1=1),$A582,$A582+1),COLUMN('1-DATA'!AB580)),IF($B582="STD. DEVIATION",2,$F$1))))</f>
        <v/>
      </c>
      <c r="AD582" s="1" t="str">
        <f>IF(OR($B582="",AD$7=""),"",IF($B582="MEANS",INDEX('1-DATA'!$1:$1048576,$A581-1,COLUMN('1-DATA'!AC580)),ROUND(INDEX('1-DATA'!$1:$1048576,IF(OR($B582="STD. DEVIATION",$C$1=1),$A582,$A582+1),COLUMN('1-DATA'!AC580)),IF($B582="STD. DEVIATION",2,$F$1))))</f>
        <v/>
      </c>
      <c r="AE582" s="1" t="str">
        <f>IF(OR($B582="",AE$7=""),"",IF($B582="MEANS",INDEX('1-DATA'!$1:$1048576,$A581-1,COLUMN('1-DATA'!AD580)),ROUND(INDEX('1-DATA'!$1:$1048576,IF(OR($B582="STD. DEVIATION",$C$1=1),$A582,$A582+1),COLUMN('1-DATA'!AD580)),IF($B582="STD. DEVIATION",2,$F$1))))</f>
        <v/>
      </c>
      <c r="AF582" s="1" t="str">
        <f>IF(OR($B582="",AF$7=""),"",IF($B582="MEANS",INDEX('1-DATA'!$1:$1048576,$A581-1,COLUMN('1-DATA'!AE580)),ROUND(INDEX('1-DATA'!$1:$1048576,IF(OR($B582="STD. DEVIATION",$C$1=1),$A582,$A582+1),COLUMN('1-DATA'!AE580)),IF($B582="STD. DEVIATION",2,$F$1))))</f>
        <v/>
      </c>
      <c r="AG582" s="1" t="str">
        <f>IF(OR($B582="",AG$7=""),"",IF($B582="MEANS",INDEX('1-DATA'!$1:$1048576,$A581-1,COLUMN('1-DATA'!AF580)),ROUND(INDEX('1-DATA'!$1:$1048576,IF(OR($B582="STD. DEVIATION",$C$1=1),$A582,$A582+1),COLUMN('1-DATA'!AF580)),IF($B582="STD. DEVIATION",2,$F$1))))</f>
        <v/>
      </c>
      <c r="AH582" s="1" t="str">
        <f>IF(OR($B582="",AH$7=""),"",IF($B582="MEANS",INDEX('1-DATA'!$1:$1048576,$A581-1,COLUMN('1-DATA'!AG580)),ROUND(INDEX('1-DATA'!$1:$1048576,IF(OR($B582="STD. DEVIATION",$C$1=1),$A582,$A582+1),COLUMN('1-DATA'!AG580)),IF($B582="STD. DEVIATION",2,$F$1))))</f>
        <v/>
      </c>
      <c r="AI582" s="1" t="str">
        <f>IF(OR($B582="",AI$7=""),"",IF($B582="MEANS",INDEX('1-DATA'!$1:$1048576,$A581-1,COLUMN('1-DATA'!AH580)),ROUND(INDEX('1-DATA'!$1:$1048576,IF(OR($B582="STD. DEVIATION",$C$1=1),$A582,$A582+1),COLUMN('1-DATA'!AH580)),IF($B582="STD. DEVIATION",2,$F$1))))</f>
        <v/>
      </c>
      <c r="AJ582" s="1" t="str">
        <f>IF(OR($B582="",AJ$7=""),"",IF($B582="MEANS",INDEX('1-DATA'!$1:$1048576,$A581-1,COLUMN('1-DATA'!AI580)),ROUND(INDEX('1-DATA'!$1:$1048576,IF(OR($B582="STD. DEVIATION",$C$1=1),$A582,$A582+1),COLUMN('1-DATA'!AI580)),IF($B582="STD. DEVIATION",2,$F$1))))</f>
        <v/>
      </c>
      <c r="AK582" s="1" t="str">
        <f>IF(OR($B582="",AK$7=""),"",IF($B582="MEANS",INDEX('1-DATA'!$1:$1048576,$A581-1,COLUMN('1-DATA'!AJ580)),ROUND(INDEX('1-DATA'!$1:$1048576,IF(OR($B582="STD. DEVIATION",$C$1=1),$A582,$A582+1),COLUMN('1-DATA'!AJ580)),IF($B582="STD. DEVIATION",2,$F$1))))</f>
        <v/>
      </c>
      <c r="AL582" s="1" t="str">
        <f>IF(OR($B582="",AL$7=""),"",IF($B582="MEANS",INDEX('1-DATA'!$1:$1048576,$A581-1,COLUMN('1-DATA'!AK580)),ROUND(INDEX('1-DATA'!$1:$1048576,IF(OR($B582="STD. DEVIATION",$C$1=1),$A582,$A582+1),COLUMN('1-DATA'!AK580)),IF($B582="STD. DEVIATION",2,$F$1))))</f>
        <v/>
      </c>
      <c r="AM582" s="1" t="str">
        <f>IF(OR($B582="",AM$7=""),"",IF($B582="MEANS",INDEX('1-DATA'!$1:$1048576,$A581-1,COLUMN('1-DATA'!AL580)),ROUND(INDEX('1-DATA'!$1:$1048576,IF(OR($B582="STD. DEVIATION",$C$1=1),$A582,$A582+1),COLUMN('1-DATA'!AL580)),IF($B582="STD. DEVIATION",2,$F$1))))</f>
        <v/>
      </c>
      <c r="AN582" s="1" t="str">
        <f>IF(OR($B582="",AN$7=""),"",IF($B582="MEANS",INDEX('1-DATA'!$1:$1048576,$A581-1,COLUMN('1-DATA'!AM580)),ROUND(INDEX('1-DATA'!$1:$1048576,IF(OR($B582="STD. DEVIATION",$C$1=1),$A582,$A582+1),COLUMN('1-DATA'!AM580)),IF($B582="STD. DEVIATION",2,$F$1))))</f>
        <v/>
      </c>
      <c r="AO582" s="1" t="str">
        <f>IF(OR($B582="",AO$7=""),"",IF($B582="MEANS",INDEX('1-DATA'!$1:$1048576,$A581-1,COLUMN('1-DATA'!AN580)),ROUND(INDEX('1-DATA'!$1:$1048576,IF(OR($B582="STD. DEVIATION",$C$1=1),$A582,$A582+1),COLUMN('1-DATA'!AN580)),IF($B582="STD. DEVIATION",2,$F$1))))</f>
        <v/>
      </c>
      <c r="AP582" s="1" t="str">
        <f>IF(OR($B582="",AP$7=""),"",IF($B582="MEANS",INDEX('1-DATA'!$1:$1048576,$A581-1,COLUMN('1-DATA'!AO580)),ROUND(INDEX('1-DATA'!$1:$1048576,IF(OR($B582="STD. DEVIATION",$C$1=1),$A582,$A582+1),COLUMN('1-DATA'!AO580)),IF($B582="STD. DEVIATION",2,$F$1))))</f>
        <v/>
      </c>
      <c r="AQ582" s="1" t="str">
        <f>IF(OR($B582="",AQ$7=""),"",IF($B582="MEANS",INDEX('1-DATA'!$1:$1048576,$A581-1,COLUMN('1-DATA'!AP580)),ROUND(INDEX('1-DATA'!$1:$1048576,IF(OR($B582="STD. DEVIATION",$C$1=1),$A582,$A582+1),COLUMN('1-DATA'!AP580)),IF($B582="STD. DEVIATION",2,$F$1))))</f>
        <v/>
      </c>
      <c r="AR582" s="1" t="str">
        <f>IF(OR($B582="",AR$7=""),"",IF($B582="MEANS",INDEX('1-DATA'!$1:$1048576,$A581-1,COLUMN('1-DATA'!AQ580)),ROUND(INDEX('1-DATA'!$1:$1048576,IF(OR($B582="STD. DEVIATION",$C$1=1),$A582,$A582+1),COLUMN('1-DATA'!AQ580)),IF($B582="STD. DEVIATION",2,$F$1))))</f>
        <v/>
      </c>
      <c r="AS582" s="1" t="str">
        <f>IF(OR($B582="",AS$7=""),"",IF($B582="MEANS",INDEX('1-DATA'!$1:$1048576,$A581-1,COLUMN('1-DATA'!AR580)),ROUND(INDEX('1-DATA'!$1:$1048576,IF(OR($B582="STD. DEVIATION",$C$1=1),$A582,$A582+1),COLUMN('1-DATA'!AR580)),IF($B582="STD. DEVIATION",2,$F$1))))</f>
        <v/>
      </c>
      <c r="AT582" s="1" t="str">
        <f>IF(OR($B582="",AT$7=""),"",IF($B582="MEANS",INDEX('1-DATA'!$1:$1048576,$A581-1,COLUMN('1-DATA'!AS580)),ROUND(INDEX('1-DATA'!$1:$1048576,IF(OR($B582="STD. DEVIATION",$C$1=1),$A582,$A582+1),COLUMN('1-DATA'!AS580)),IF($B582="STD. DEVIATION",2,$F$1))))</f>
        <v/>
      </c>
      <c r="AU582" s="1" t="str">
        <f>IF(OR($B582="",AU$7=""),"",IF($B582="MEANS",INDEX('1-DATA'!$1:$1048576,$A581-1,COLUMN('1-DATA'!AT580)),ROUND(INDEX('1-DATA'!$1:$1048576,IF(OR($B582="STD. DEVIATION",$C$1=1),$A582,$A582+1),COLUMN('1-DATA'!AT580)),IF($B582="STD. DEVIATION",2,$F$1))))</f>
        <v/>
      </c>
      <c r="AV582" s="1" t="str">
        <f>IF(OR($B582="",AV$7=""),"",IF($B582="MEANS",INDEX('1-DATA'!$1:$1048576,$A581-1,COLUMN('1-DATA'!AU580)),ROUND(INDEX('1-DATA'!$1:$1048576,IF(OR($B582="STD. DEVIATION",$C$1=1),$A582,$A582+1),COLUMN('1-DATA'!AU580)),IF($B582="STD. DEVIATION",2,$F$1))))</f>
        <v/>
      </c>
      <c r="AW582" s="1" t="str">
        <f>IF(OR($B582="",AW$7=""),"",IF($B582="MEANS",INDEX('1-DATA'!$1:$1048576,$A581-1,COLUMN('1-DATA'!AV580)),ROUND(INDEX('1-DATA'!$1:$1048576,IF(OR($B582="STD. DEVIATION",$C$1=1),$A582,$A582+1),COLUMN('1-DATA'!AV580)),IF($B582="STD. DEVIATION",2,$F$1))))</f>
        <v/>
      </c>
      <c r="AX582" s="1" t="str">
        <f>IF(OR($B582="",AX$7=""),"",IF($B582="MEANS",INDEX('1-DATA'!$1:$1048576,$A581-1,COLUMN('1-DATA'!AW580)),ROUND(INDEX('1-DATA'!$1:$1048576,IF(OR($B582="STD. DEVIATION",$C$1=1),$A582,$A582+1),COLUMN('1-DATA'!AW580)),IF($B582="STD. DEVIATION",2,$F$1))))</f>
        <v/>
      </c>
      <c r="AY582" s="1" t="str">
        <f>IF(OR($B582="",AY$7=""),"",IF($B582="MEANS",INDEX('1-DATA'!$1:$1048576,$A581-1,COLUMN('1-DATA'!AX580)),ROUND(INDEX('1-DATA'!$1:$1048576,IF(OR($B582="STD. DEVIATION",$C$1=1),$A582,$A582+1),COLUMN('1-DATA'!AX580)),IF($B582="STD. DEVIATION",2,$F$1))))</f>
        <v/>
      </c>
      <c r="AZ582" s="1" t="str">
        <f>IF(OR($B582="",AZ$7=""),"",IF($B582="MEANS",INDEX('1-DATA'!$1:$1048576,$A581-1,COLUMN('1-DATA'!AY580)),ROUND(INDEX('1-DATA'!$1:$1048576,IF(OR($B582="STD. DEVIATION",$C$1=1),$A582,$A582+1),COLUMN('1-DATA'!AY580)),IF($B582="STD. DEVIATION",2,$F$1))))</f>
        <v/>
      </c>
    </row>
    <row r="583" spans="1:52" x14ac:dyDescent="0.25">
      <c r="A583" s="11">
        <f t="shared" si="9"/>
        <v>1735</v>
      </c>
      <c r="B583" s="1" t="str">
        <f>IF(B582="STD. DEVIATION",INDEX('1-DATA'!$1:$1048576,$A582-1,1),IF(INDEX('1-DATA'!$1:$1048576,$A583,1)&lt;&gt;"",INDEX('1-DATA'!$1:$1048576,$A583,1),""))</f>
        <v/>
      </c>
      <c r="C583" s="1" t="str">
        <f>IF(OR($B583="",C$7=""),"",IF($B583="MEANS",INDEX('1-DATA'!$1:$1048576,$A582-1,COLUMN('1-DATA'!B581)),ROUND(INDEX('1-DATA'!$1:$1048576,IF(OR($B583="STD. DEVIATION",$C$1=1),$A583,$A583+1),COLUMN('1-DATA'!B581)),IF($B583="STD. DEVIATION",2,$F$1))))</f>
        <v/>
      </c>
      <c r="D583" s="1" t="str">
        <f>IF(OR($B583="",D$7=""),"",IF($B583="MEANS",INDEX('1-DATA'!$1:$1048576,$A582-1,COLUMN('1-DATA'!C581)),ROUND(INDEX('1-DATA'!$1:$1048576,IF(OR($B583="STD. DEVIATION",$C$1=1),$A583,$A583+1),COLUMN('1-DATA'!C581)),IF($B583="STD. DEVIATION",2,$F$1))))</f>
        <v/>
      </c>
      <c r="E583" s="1" t="str">
        <f>IF(OR($B583="",E$7=""),"",IF($B583="MEANS",INDEX('1-DATA'!$1:$1048576,$A582-1,COLUMN('1-DATA'!D581)),ROUND(INDEX('1-DATA'!$1:$1048576,IF(OR($B583="STD. DEVIATION",$C$1=1),$A583,$A583+1),COLUMN('1-DATA'!D581)),IF($B583="STD. DEVIATION",2,$F$1))))</f>
        <v/>
      </c>
      <c r="F583" s="1" t="str">
        <f>IF(OR($B583="",F$7=""),"",IF($B583="MEANS",INDEX('1-DATA'!$1:$1048576,$A582-1,COLUMN('1-DATA'!E581)),ROUND(INDEX('1-DATA'!$1:$1048576,IF(OR($B583="STD. DEVIATION",$C$1=1),$A583,$A583+1),COLUMN('1-DATA'!E581)),IF($B583="STD. DEVIATION",2,$F$1))))</f>
        <v/>
      </c>
      <c r="G583" s="1" t="str">
        <f>IF(OR($B583="",G$7=""),"",IF($B583="MEANS",INDEX('1-DATA'!$1:$1048576,$A582-1,COLUMN('1-DATA'!F581)),ROUND(INDEX('1-DATA'!$1:$1048576,IF(OR($B583="STD. DEVIATION",$C$1=1),$A583,$A583+1),COLUMN('1-DATA'!F581)),IF($B583="STD. DEVIATION",2,$F$1))))</f>
        <v/>
      </c>
      <c r="H583" s="1" t="str">
        <f>IF(OR($B583="",H$7=""),"",IF($B583="MEANS",INDEX('1-DATA'!$1:$1048576,$A582-1,COLUMN('1-DATA'!G581)),ROUND(INDEX('1-DATA'!$1:$1048576,IF(OR($B583="STD. DEVIATION",$C$1=1),$A583,$A583+1),COLUMN('1-DATA'!G581)),IF($B583="STD. DEVIATION",2,$F$1))))</f>
        <v/>
      </c>
      <c r="I583" s="1" t="str">
        <f>IF(OR($B583="",I$7=""),"",IF($B583="MEANS",INDEX('1-DATA'!$1:$1048576,$A582-1,COLUMN('1-DATA'!H581)),ROUND(INDEX('1-DATA'!$1:$1048576,IF(OR($B583="STD. DEVIATION",$C$1=1),$A583,$A583+1),COLUMN('1-DATA'!H581)),IF($B583="STD. DEVIATION",2,$F$1))))</f>
        <v/>
      </c>
      <c r="J583" s="1" t="str">
        <f>IF(OR($B583="",J$7=""),"",IF($B583="MEANS",INDEX('1-DATA'!$1:$1048576,$A582-1,COLUMN('1-DATA'!I581)),ROUND(INDEX('1-DATA'!$1:$1048576,IF(OR($B583="STD. DEVIATION",$C$1=1),$A583,$A583+1),COLUMN('1-DATA'!I581)),IF($B583="STD. DEVIATION",2,$F$1))))</f>
        <v/>
      </c>
      <c r="K583" s="1" t="str">
        <f>IF(OR($B583="",K$7=""),"",IF($B583="MEANS",INDEX('1-DATA'!$1:$1048576,$A582-1,COLUMN('1-DATA'!J581)),ROUND(INDEX('1-DATA'!$1:$1048576,IF(OR($B583="STD. DEVIATION",$C$1=1),$A583,$A583+1),COLUMN('1-DATA'!J581)),IF($B583="STD. DEVIATION",2,$F$1))))</f>
        <v/>
      </c>
      <c r="L583" s="1" t="str">
        <f>IF(OR($B583="",L$7=""),"",IF($B583="MEANS",INDEX('1-DATA'!$1:$1048576,$A582-1,COLUMN('1-DATA'!K581)),ROUND(INDEX('1-DATA'!$1:$1048576,IF(OR($B583="STD. DEVIATION",$C$1=1),$A583,$A583+1),COLUMN('1-DATA'!K581)),IF($B583="STD. DEVIATION",2,$F$1))))</f>
        <v/>
      </c>
      <c r="M583" s="1" t="str">
        <f>IF(OR($B583="",M$7=""),"",IF($B583="MEANS",INDEX('1-DATA'!$1:$1048576,$A582-1,COLUMN('1-DATA'!L581)),ROUND(INDEX('1-DATA'!$1:$1048576,IF(OR($B583="STD. DEVIATION",$C$1=1),$A583,$A583+1),COLUMN('1-DATA'!L581)),IF($B583="STD. DEVIATION",2,$F$1))))</f>
        <v/>
      </c>
      <c r="N583" s="1" t="str">
        <f>IF(OR($B583="",N$7=""),"",IF($B583="MEANS",INDEX('1-DATA'!$1:$1048576,$A582-1,COLUMN('1-DATA'!M581)),ROUND(INDEX('1-DATA'!$1:$1048576,IF(OR($B583="STD. DEVIATION",$C$1=1),$A583,$A583+1),COLUMN('1-DATA'!M581)),IF($B583="STD. DEVIATION",2,$F$1))))</f>
        <v/>
      </c>
      <c r="O583" s="1" t="str">
        <f>IF(OR($B583="",O$7=""),"",IF($B583="MEANS",INDEX('1-DATA'!$1:$1048576,$A582-1,COLUMN('1-DATA'!N581)),ROUND(INDEX('1-DATA'!$1:$1048576,IF(OR($B583="STD. DEVIATION",$C$1=1),$A583,$A583+1),COLUMN('1-DATA'!N581)),IF($B583="STD. DEVIATION",2,$F$1))))</f>
        <v/>
      </c>
      <c r="P583" s="1" t="str">
        <f>IF(OR($B583="",P$7=""),"",IF($B583="MEANS",INDEX('1-DATA'!$1:$1048576,$A582-1,COLUMN('1-DATA'!O581)),ROUND(INDEX('1-DATA'!$1:$1048576,IF(OR($B583="STD. DEVIATION",$C$1=1),$A583,$A583+1),COLUMN('1-DATA'!O581)),IF($B583="STD. DEVIATION",2,$F$1))))</f>
        <v/>
      </c>
      <c r="Q583" s="1" t="str">
        <f>IF(OR($B583="",Q$7=""),"",IF($B583="MEANS",INDEX('1-DATA'!$1:$1048576,$A582-1,COLUMN('1-DATA'!P581)),ROUND(INDEX('1-DATA'!$1:$1048576,IF(OR($B583="STD. DEVIATION",$C$1=1),$A583,$A583+1),COLUMN('1-DATA'!P581)),IF($B583="STD. DEVIATION",2,$F$1))))</f>
        <v/>
      </c>
      <c r="R583" s="1" t="str">
        <f>IF(OR($B583="",R$7=""),"",IF($B583="MEANS",INDEX('1-DATA'!$1:$1048576,$A582-1,COLUMN('1-DATA'!Q581)),ROUND(INDEX('1-DATA'!$1:$1048576,IF(OR($B583="STD. DEVIATION",$C$1=1),$A583,$A583+1),COLUMN('1-DATA'!Q581)),IF($B583="STD. DEVIATION",2,$F$1))))</f>
        <v/>
      </c>
      <c r="S583" s="1" t="str">
        <f>IF(OR($B583="",S$7=""),"",IF($B583="MEANS",INDEX('1-DATA'!$1:$1048576,$A582-1,COLUMN('1-DATA'!R581)),ROUND(INDEX('1-DATA'!$1:$1048576,IF(OR($B583="STD. DEVIATION",$C$1=1),$A583,$A583+1),COLUMN('1-DATA'!R581)),IF($B583="STD. DEVIATION",2,$F$1))))</f>
        <v/>
      </c>
      <c r="T583" s="1" t="str">
        <f>IF(OR($B583="",T$7=""),"",IF($B583="MEANS",INDEX('1-DATA'!$1:$1048576,$A582-1,COLUMN('1-DATA'!S581)),ROUND(INDEX('1-DATA'!$1:$1048576,IF(OR($B583="STD. DEVIATION",$C$1=1),$A583,$A583+1),COLUMN('1-DATA'!S581)),IF($B583="STD. DEVIATION",2,$F$1))))</f>
        <v/>
      </c>
      <c r="U583" s="1" t="str">
        <f>IF(OR($B583="",U$7=""),"",IF($B583="MEANS",INDEX('1-DATA'!$1:$1048576,$A582-1,COLUMN('1-DATA'!T581)),ROUND(INDEX('1-DATA'!$1:$1048576,IF(OR($B583="STD. DEVIATION",$C$1=1),$A583,$A583+1),COLUMN('1-DATA'!T581)),IF($B583="STD. DEVIATION",2,$F$1))))</f>
        <v/>
      </c>
      <c r="V583" s="1" t="str">
        <f>IF(OR($B583="",V$7=""),"",IF($B583="MEANS",INDEX('1-DATA'!$1:$1048576,$A582-1,COLUMN('1-DATA'!U581)),ROUND(INDEX('1-DATA'!$1:$1048576,IF(OR($B583="STD. DEVIATION",$C$1=1),$A583,$A583+1),COLUMN('1-DATA'!U581)),IF($B583="STD. DEVIATION",2,$F$1))))</f>
        <v/>
      </c>
      <c r="W583" s="1" t="str">
        <f>IF(OR($B583="",W$7=""),"",IF($B583="MEANS",INDEX('1-DATA'!$1:$1048576,$A582-1,COLUMN('1-DATA'!V581)),ROUND(INDEX('1-DATA'!$1:$1048576,IF(OR($B583="STD. DEVIATION",$C$1=1),$A583,$A583+1),COLUMN('1-DATA'!V581)),IF($B583="STD. DEVIATION",2,$F$1))))</f>
        <v/>
      </c>
      <c r="X583" s="1" t="str">
        <f>IF(OR($B583="",X$7=""),"",IF($B583="MEANS",INDEX('1-DATA'!$1:$1048576,$A582-1,COLUMN('1-DATA'!W581)),ROUND(INDEX('1-DATA'!$1:$1048576,IF(OR($B583="STD. DEVIATION",$C$1=1),$A583,$A583+1),COLUMN('1-DATA'!W581)),IF($B583="STD. DEVIATION",2,$F$1))))</f>
        <v/>
      </c>
      <c r="Y583" s="1" t="str">
        <f>IF(OR($B583="",Y$7=""),"",IF($B583="MEANS",INDEX('1-DATA'!$1:$1048576,$A582-1,COLUMN('1-DATA'!X581)),ROUND(INDEX('1-DATA'!$1:$1048576,IF(OR($B583="STD. DEVIATION",$C$1=1),$A583,$A583+1),COLUMN('1-DATA'!X581)),IF($B583="STD. DEVIATION",2,$F$1))))</f>
        <v/>
      </c>
      <c r="Z583" s="1" t="str">
        <f>IF(OR($B583="",Z$7=""),"",IF($B583="MEANS",INDEX('1-DATA'!$1:$1048576,$A582-1,COLUMN('1-DATA'!Y581)),ROUND(INDEX('1-DATA'!$1:$1048576,IF(OR($B583="STD. DEVIATION",$C$1=1),$A583,$A583+1),COLUMN('1-DATA'!Y581)),IF($B583="STD. DEVIATION",2,$F$1))))</f>
        <v/>
      </c>
      <c r="AA583" s="1" t="str">
        <f>IF(OR($B583="",AA$7=""),"",IF($B583="MEANS",INDEX('1-DATA'!$1:$1048576,$A582-1,COLUMN('1-DATA'!Z581)),ROUND(INDEX('1-DATA'!$1:$1048576,IF(OR($B583="STD. DEVIATION",$C$1=1),$A583,$A583+1),COLUMN('1-DATA'!Z581)),IF($B583="STD. DEVIATION",2,$F$1))))</f>
        <v/>
      </c>
      <c r="AB583" s="1" t="str">
        <f>IF(OR($B583="",AB$7=""),"",IF($B583="MEANS",INDEX('1-DATA'!$1:$1048576,$A582-1,COLUMN('1-DATA'!AA581)),ROUND(INDEX('1-DATA'!$1:$1048576,IF(OR($B583="STD. DEVIATION",$C$1=1),$A583,$A583+1),COLUMN('1-DATA'!AA581)),IF($B583="STD. DEVIATION",2,$F$1))))</f>
        <v/>
      </c>
      <c r="AC583" s="1" t="str">
        <f>IF(OR($B583="",AC$7=""),"",IF($B583="MEANS",INDEX('1-DATA'!$1:$1048576,$A582-1,COLUMN('1-DATA'!AB581)),ROUND(INDEX('1-DATA'!$1:$1048576,IF(OR($B583="STD. DEVIATION",$C$1=1),$A583,$A583+1),COLUMN('1-DATA'!AB581)),IF($B583="STD. DEVIATION",2,$F$1))))</f>
        <v/>
      </c>
      <c r="AD583" s="1" t="str">
        <f>IF(OR($B583="",AD$7=""),"",IF($B583="MEANS",INDEX('1-DATA'!$1:$1048576,$A582-1,COLUMN('1-DATA'!AC581)),ROUND(INDEX('1-DATA'!$1:$1048576,IF(OR($B583="STD. DEVIATION",$C$1=1),$A583,$A583+1),COLUMN('1-DATA'!AC581)),IF($B583="STD. DEVIATION",2,$F$1))))</f>
        <v/>
      </c>
      <c r="AE583" s="1" t="str">
        <f>IF(OR($B583="",AE$7=""),"",IF($B583="MEANS",INDEX('1-DATA'!$1:$1048576,$A582-1,COLUMN('1-DATA'!AD581)),ROUND(INDEX('1-DATA'!$1:$1048576,IF(OR($B583="STD. DEVIATION",$C$1=1),$A583,$A583+1),COLUMN('1-DATA'!AD581)),IF($B583="STD. DEVIATION",2,$F$1))))</f>
        <v/>
      </c>
      <c r="AF583" s="1" t="str">
        <f>IF(OR($B583="",AF$7=""),"",IF($B583="MEANS",INDEX('1-DATA'!$1:$1048576,$A582-1,COLUMN('1-DATA'!AE581)),ROUND(INDEX('1-DATA'!$1:$1048576,IF(OR($B583="STD. DEVIATION",$C$1=1),$A583,$A583+1),COLUMN('1-DATA'!AE581)),IF($B583="STD. DEVIATION",2,$F$1))))</f>
        <v/>
      </c>
      <c r="AG583" s="1" t="str">
        <f>IF(OR($B583="",AG$7=""),"",IF($B583="MEANS",INDEX('1-DATA'!$1:$1048576,$A582-1,COLUMN('1-DATA'!AF581)),ROUND(INDEX('1-DATA'!$1:$1048576,IF(OR($B583="STD. DEVIATION",$C$1=1),$A583,$A583+1),COLUMN('1-DATA'!AF581)),IF($B583="STD. DEVIATION",2,$F$1))))</f>
        <v/>
      </c>
      <c r="AH583" s="1" t="str">
        <f>IF(OR($B583="",AH$7=""),"",IF($B583="MEANS",INDEX('1-DATA'!$1:$1048576,$A582-1,COLUMN('1-DATA'!AG581)),ROUND(INDEX('1-DATA'!$1:$1048576,IF(OR($B583="STD. DEVIATION",$C$1=1),$A583,$A583+1),COLUMN('1-DATA'!AG581)),IF($B583="STD. DEVIATION",2,$F$1))))</f>
        <v/>
      </c>
      <c r="AI583" s="1" t="str">
        <f>IF(OR($B583="",AI$7=""),"",IF($B583="MEANS",INDEX('1-DATA'!$1:$1048576,$A582-1,COLUMN('1-DATA'!AH581)),ROUND(INDEX('1-DATA'!$1:$1048576,IF(OR($B583="STD. DEVIATION",$C$1=1),$A583,$A583+1),COLUMN('1-DATA'!AH581)),IF($B583="STD. DEVIATION",2,$F$1))))</f>
        <v/>
      </c>
      <c r="AJ583" s="1" t="str">
        <f>IF(OR($B583="",AJ$7=""),"",IF($B583="MEANS",INDEX('1-DATA'!$1:$1048576,$A582-1,COLUMN('1-DATA'!AI581)),ROUND(INDEX('1-DATA'!$1:$1048576,IF(OR($B583="STD. DEVIATION",$C$1=1),$A583,$A583+1),COLUMN('1-DATA'!AI581)),IF($B583="STD. DEVIATION",2,$F$1))))</f>
        <v/>
      </c>
      <c r="AK583" s="1" t="str">
        <f>IF(OR($B583="",AK$7=""),"",IF($B583="MEANS",INDEX('1-DATA'!$1:$1048576,$A582-1,COLUMN('1-DATA'!AJ581)),ROUND(INDEX('1-DATA'!$1:$1048576,IF(OR($B583="STD. DEVIATION",$C$1=1),$A583,$A583+1),COLUMN('1-DATA'!AJ581)),IF($B583="STD. DEVIATION",2,$F$1))))</f>
        <v/>
      </c>
      <c r="AL583" s="1" t="str">
        <f>IF(OR($B583="",AL$7=""),"",IF($B583="MEANS",INDEX('1-DATA'!$1:$1048576,$A582-1,COLUMN('1-DATA'!AK581)),ROUND(INDEX('1-DATA'!$1:$1048576,IF(OR($B583="STD. DEVIATION",$C$1=1),$A583,$A583+1),COLUMN('1-DATA'!AK581)),IF($B583="STD. DEVIATION",2,$F$1))))</f>
        <v/>
      </c>
      <c r="AM583" s="1" t="str">
        <f>IF(OR($B583="",AM$7=""),"",IF($B583="MEANS",INDEX('1-DATA'!$1:$1048576,$A582-1,COLUMN('1-DATA'!AL581)),ROUND(INDEX('1-DATA'!$1:$1048576,IF(OR($B583="STD. DEVIATION",$C$1=1),$A583,$A583+1),COLUMN('1-DATA'!AL581)),IF($B583="STD. DEVIATION",2,$F$1))))</f>
        <v/>
      </c>
      <c r="AN583" s="1" t="str">
        <f>IF(OR($B583="",AN$7=""),"",IF($B583="MEANS",INDEX('1-DATA'!$1:$1048576,$A582-1,COLUMN('1-DATA'!AM581)),ROUND(INDEX('1-DATA'!$1:$1048576,IF(OR($B583="STD. DEVIATION",$C$1=1),$A583,$A583+1),COLUMN('1-DATA'!AM581)),IF($B583="STD. DEVIATION",2,$F$1))))</f>
        <v/>
      </c>
      <c r="AO583" s="1" t="str">
        <f>IF(OR($B583="",AO$7=""),"",IF($B583="MEANS",INDEX('1-DATA'!$1:$1048576,$A582-1,COLUMN('1-DATA'!AN581)),ROUND(INDEX('1-DATA'!$1:$1048576,IF(OR($B583="STD. DEVIATION",$C$1=1),$A583,$A583+1),COLUMN('1-DATA'!AN581)),IF($B583="STD. DEVIATION",2,$F$1))))</f>
        <v/>
      </c>
      <c r="AP583" s="1" t="str">
        <f>IF(OR($B583="",AP$7=""),"",IF($B583="MEANS",INDEX('1-DATA'!$1:$1048576,$A582-1,COLUMN('1-DATA'!AO581)),ROUND(INDEX('1-DATA'!$1:$1048576,IF(OR($B583="STD. DEVIATION",$C$1=1),$A583,$A583+1),COLUMN('1-DATA'!AO581)),IF($B583="STD. DEVIATION",2,$F$1))))</f>
        <v/>
      </c>
      <c r="AQ583" s="1" t="str">
        <f>IF(OR($B583="",AQ$7=""),"",IF($B583="MEANS",INDEX('1-DATA'!$1:$1048576,$A582-1,COLUMN('1-DATA'!AP581)),ROUND(INDEX('1-DATA'!$1:$1048576,IF(OR($B583="STD. DEVIATION",$C$1=1),$A583,$A583+1),COLUMN('1-DATA'!AP581)),IF($B583="STD. DEVIATION",2,$F$1))))</f>
        <v/>
      </c>
      <c r="AR583" s="1" t="str">
        <f>IF(OR($B583="",AR$7=""),"",IF($B583="MEANS",INDEX('1-DATA'!$1:$1048576,$A582-1,COLUMN('1-DATA'!AQ581)),ROUND(INDEX('1-DATA'!$1:$1048576,IF(OR($B583="STD. DEVIATION",$C$1=1),$A583,$A583+1),COLUMN('1-DATA'!AQ581)),IF($B583="STD. DEVIATION",2,$F$1))))</f>
        <v/>
      </c>
      <c r="AS583" s="1" t="str">
        <f>IF(OR($B583="",AS$7=""),"",IF($B583="MEANS",INDEX('1-DATA'!$1:$1048576,$A582-1,COLUMN('1-DATA'!AR581)),ROUND(INDEX('1-DATA'!$1:$1048576,IF(OR($B583="STD. DEVIATION",$C$1=1),$A583,$A583+1),COLUMN('1-DATA'!AR581)),IF($B583="STD. DEVIATION",2,$F$1))))</f>
        <v/>
      </c>
      <c r="AT583" s="1" t="str">
        <f>IF(OR($B583="",AT$7=""),"",IF($B583="MEANS",INDEX('1-DATA'!$1:$1048576,$A582-1,COLUMN('1-DATA'!AS581)),ROUND(INDEX('1-DATA'!$1:$1048576,IF(OR($B583="STD. DEVIATION",$C$1=1),$A583,$A583+1),COLUMN('1-DATA'!AS581)),IF($B583="STD. DEVIATION",2,$F$1))))</f>
        <v/>
      </c>
      <c r="AU583" s="1" t="str">
        <f>IF(OR($B583="",AU$7=""),"",IF($B583="MEANS",INDEX('1-DATA'!$1:$1048576,$A582-1,COLUMN('1-DATA'!AT581)),ROUND(INDEX('1-DATA'!$1:$1048576,IF(OR($B583="STD. DEVIATION",$C$1=1),$A583,$A583+1),COLUMN('1-DATA'!AT581)),IF($B583="STD. DEVIATION",2,$F$1))))</f>
        <v/>
      </c>
      <c r="AV583" s="1" t="str">
        <f>IF(OR($B583="",AV$7=""),"",IF($B583="MEANS",INDEX('1-DATA'!$1:$1048576,$A582-1,COLUMN('1-DATA'!AU581)),ROUND(INDEX('1-DATA'!$1:$1048576,IF(OR($B583="STD. DEVIATION",$C$1=1),$A583,$A583+1),COLUMN('1-DATA'!AU581)),IF($B583="STD. DEVIATION",2,$F$1))))</f>
        <v/>
      </c>
      <c r="AW583" s="1" t="str">
        <f>IF(OR($B583="",AW$7=""),"",IF($B583="MEANS",INDEX('1-DATA'!$1:$1048576,$A582-1,COLUMN('1-DATA'!AV581)),ROUND(INDEX('1-DATA'!$1:$1048576,IF(OR($B583="STD. DEVIATION",$C$1=1),$A583,$A583+1),COLUMN('1-DATA'!AV581)),IF($B583="STD. DEVIATION",2,$F$1))))</f>
        <v/>
      </c>
      <c r="AX583" s="1" t="str">
        <f>IF(OR($B583="",AX$7=""),"",IF($B583="MEANS",INDEX('1-DATA'!$1:$1048576,$A582-1,COLUMN('1-DATA'!AW581)),ROUND(INDEX('1-DATA'!$1:$1048576,IF(OR($B583="STD. DEVIATION",$C$1=1),$A583,$A583+1),COLUMN('1-DATA'!AW581)),IF($B583="STD. DEVIATION",2,$F$1))))</f>
        <v/>
      </c>
      <c r="AY583" s="1" t="str">
        <f>IF(OR($B583="",AY$7=""),"",IF($B583="MEANS",INDEX('1-DATA'!$1:$1048576,$A582-1,COLUMN('1-DATA'!AX581)),ROUND(INDEX('1-DATA'!$1:$1048576,IF(OR($B583="STD. DEVIATION",$C$1=1),$A583,$A583+1),COLUMN('1-DATA'!AX581)),IF($B583="STD. DEVIATION",2,$F$1))))</f>
        <v/>
      </c>
      <c r="AZ583" s="1" t="str">
        <f>IF(OR($B583="",AZ$7=""),"",IF($B583="MEANS",INDEX('1-DATA'!$1:$1048576,$A582-1,COLUMN('1-DATA'!AY581)),ROUND(INDEX('1-DATA'!$1:$1048576,IF(OR($B583="STD. DEVIATION",$C$1=1),$A583,$A583+1),COLUMN('1-DATA'!AY581)),IF($B583="STD. DEVIATION",2,$F$1))))</f>
        <v/>
      </c>
    </row>
    <row r="584" spans="1:52" x14ac:dyDescent="0.25">
      <c r="A584" s="11">
        <f t="shared" si="9"/>
        <v>1738</v>
      </c>
      <c r="B584" s="1" t="str">
        <f>IF(B583="STD. DEVIATION",INDEX('1-DATA'!$1:$1048576,$A583-1,1),IF(INDEX('1-DATA'!$1:$1048576,$A584,1)&lt;&gt;"",INDEX('1-DATA'!$1:$1048576,$A584,1),""))</f>
        <v/>
      </c>
      <c r="C584" s="1" t="str">
        <f>IF(OR($B584="",C$7=""),"",IF($B584="MEANS",INDEX('1-DATA'!$1:$1048576,$A583-1,COLUMN('1-DATA'!B582)),ROUND(INDEX('1-DATA'!$1:$1048576,IF(OR($B584="STD. DEVIATION",$C$1=1),$A584,$A584+1),COLUMN('1-DATA'!B582)),IF($B584="STD. DEVIATION",2,$F$1))))</f>
        <v/>
      </c>
      <c r="D584" s="1" t="str">
        <f>IF(OR($B584="",D$7=""),"",IF($B584="MEANS",INDEX('1-DATA'!$1:$1048576,$A583-1,COLUMN('1-DATA'!C582)),ROUND(INDEX('1-DATA'!$1:$1048576,IF(OR($B584="STD. DEVIATION",$C$1=1),$A584,$A584+1),COLUMN('1-DATA'!C582)),IF($B584="STD. DEVIATION",2,$F$1))))</f>
        <v/>
      </c>
      <c r="E584" s="1" t="str">
        <f>IF(OR($B584="",E$7=""),"",IF($B584="MEANS",INDEX('1-DATA'!$1:$1048576,$A583-1,COLUMN('1-DATA'!D582)),ROUND(INDEX('1-DATA'!$1:$1048576,IF(OR($B584="STD. DEVIATION",$C$1=1),$A584,$A584+1),COLUMN('1-DATA'!D582)),IF($B584="STD. DEVIATION",2,$F$1))))</f>
        <v/>
      </c>
      <c r="F584" s="1" t="str">
        <f>IF(OR($B584="",F$7=""),"",IF($B584="MEANS",INDEX('1-DATA'!$1:$1048576,$A583-1,COLUMN('1-DATA'!E582)),ROUND(INDEX('1-DATA'!$1:$1048576,IF(OR($B584="STD. DEVIATION",$C$1=1),$A584,$A584+1),COLUMN('1-DATA'!E582)),IF($B584="STD. DEVIATION",2,$F$1))))</f>
        <v/>
      </c>
      <c r="G584" s="1" t="str">
        <f>IF(OR($B584="",G$7=""),"",IF($B584="MEANS",INDEX('1-DATA'!$1:$1048576,$A583-1,COLUMN('1-DATA'!F582)),ROUND(INDEX('1-DATA'!$1:$1048576,IF(OR($B584="STD. DEVIATION",$C$1=1),$A584,$A584+1),COLUMN('1-DATA'!F582)),IF($B584="STD. DEVIATION",2,$F$1))))</f>
        <v/>
      </c>
      <c r="H584" s="1" t="str">
        <f>IF(OR($B584="",H$7=""),"",IF($B584="MEANS",INDEX('1-DATA'!$1:$1048576,$A583-1,COLUMN('1-DATA'!G582)),ROUND(INDEX('1-DATA'!$1:$1048576,IF(OR($B584="STD. DEVIATION",$C$1=1),$A584,$A584+1),COLUMN('1-DATA'!G582)),IF($B584="STD. DEVIATION",2,$F$1))))</f>
        <v/>
      </c>
      <c r="I584" s="1" t="str">
        <f>IF(OR($B584="",I$7=""),"",IF($B584="MEANS",INDEX('1-DATA'!$1:$1048576,$A583-1,COLUMN('1-DATA'!H582)),ROUND(INDEX('1-DATA'!$1:$1048576,IF(OR($B584="STD. DEVIATION",$C$1=1),$A584,$A584+1),COLUMN('1-DATA'!H582)),IF($B584="STD. DEVIATION",2,$F$1))))</f>
        <v/>
      </c>
      <c r="J584" s="1" t="str">
        <f>IF(OR($B584="",J$7=""),"",IF($B584="MEANS",INDEX('1-DATA'!$1:$1048576,$A583-1,COLUMN('1-DATA'!I582)),ROUND(INDEX('1-DATA'!$1:$1048576,IF(OR($B584="STD. DEVIATION",$C$1=1),$A584,$A584+1),COLUMN('1-DATA'!I582)),IF($B584="STD. DEVIATION",2,$F$1))))</f>
        <v/>
      </c>
      <c r="K584" s="1" t="str">
        <f>IF(OR($B584="",K$7=""),"",IF($B584="MEANS",INDEX('1-DATA'!$1:$1048576,$A583-1,COLUMN('1-DATA'!J582)),ROUND(INDEX('1-DATA'!$1:$1048576,IF(OR($B584="STD. DEVIATION",$C$1=1),$A584,$A584+1),COLUMN('1-DATA'!J582)),IF($B584="STD. DEVIATION",2,$F$1))))</f>
        <v/>
      </c>
      <c r="L584" s="1" t="str">
        <f>IF(OR($B584="",L$7=""),"",IF($B584="MEANS",INDEX('1-DATA'!$1:$1048576,$A583-1,COLUMN('1-DATA'!K582)),ROUND(INDEX('1-DATA'!$1:$1048576,IF(OR($B584="STD. DEVIATION",$C$1=1),$A584,$A584+1),COLUMN('1-DATA'!K582)),IF($B584="STD. DEVIATION",2,$F$1))))</f>
        <v/>
      </c>
      <c r="M584" s="1" t="str">
        <f>IF(OR($B584="",M$7=""),"",IF($B584="MEANS",INDEX('1-DATA'!$1:$1048576,$A583-1,COLUMN('1-DATA'!L582)),ROUND(INDEX('1-DATA'!$1:$1048576,IF(OR($B584="STD. DEVIATION",$C$1=1),$A584,$A584+1),COLUMN('1-DATA'!L582)),IF($B584="STD. DEVIATION",2,$F$1))))</f>
        <v/>
      </c>
      <c r="N584" s="1" t="str">
        <f>IF(OR($B584="",N$7=""),"",IF($B584="MEANS",INDEX('1-DATA'!$1:$1048576,$A583-1,COLUMN('1-DATA'!M582)),ROUND(INDEX('1-DATA'!$1:$1048576,IF(OR($B584="STD. DEVIATION",$C$1=1),$A584,$A584+1),COLUMN('1-DATA'!M582)),IF($B584="STD. DEVIATION",2,$F$1))))</f>
        <v/>
      </c>
      <c r="O584" s="1" t="str">
        <f>IF(OR($B584="",O$7=""),"",IF($B584="MEANS",INDEX('1-DATA'!$1:$1048576,$A583-1,COLUMN('1-DATA'!N582)),ROUND(INDEX('1-DATA'!$1:$1048576,IF(OR($B584="STD. DEVIATION",$C$1=1),$A584,$A584+1),COLUMN('1-DATA'!N582)),IF($B584="STD. DEVIATION",2,$F$1))))</f>
        <v/>
      </c>
      <c r="P584" s="1" t="str">
        <f>IF(OR($B584="",P$7=""),"",IF($B584="MEANS",INDEX('1-DATA'!$1:$1048576,$A583-1,COLUMN('1-DATA'!O582)),ROUND(INDEX('1-DATA'!$1:$1048576,IF(OR($B584="STD. DEVIATION",$C$1=1),$A584,$A584+1),COLUMN('1-DATA'!O582)),IF($B584="STD. DEVIATION",2,$F$1))))</f>
        <v/>
      </c>
      <c r="Q584" s="1" t="str">
        <f>IF(OR($B584="",Q$7=""),"",IF($B584="MEANS",INDEX('1-DATA'!$1:$1048576,$A583-1,COLUMN('1-DATA'!P582)),ROUND(INDEX('1-DATA'!$1:$1048576,IF(OR($B584="STD. DEVIATION",$C$1=1),$A584,$A584+1),COLUMN('1-DATA'!P582)),IF($B584="STD. DEVIATION",2,$F$1))))</f>
        <v/>
      </c>
      <c r="R584" s="1" t="str">
        <f>IF(OR($B584="",R$7=""),"",IF($B584="MEANS",INDEX('1-DATA'!$1:$1048576,$A583-1,COLUMN('1-DATA'!Q582)),ROUND(INDEX('1-DATA'!$1:$1048576,IF(OR($B584="STD. DEVIATION",$C$1=1),$A584,$A584+1),COLUMN('1-DATA'!Q582)),IF($B584="STD. DEVIATION",2,$F$1))))</f>
        <v/>
      </c>
      <c r="S584" s="1" t="str">
        <f>IF(OR($B584="",S$7=""),"",IF($B584="MEANS",INDEX('1-DATA'!$1:$1048576,$A583-1,COLUMN('1-DATA'!R582)),ROUND(INDEX('1-DATA'!$1:$1048576,IF(OR($B584="STD. DEVIATION",$C$1=1),$A584,$A584+1),COLUMN('1-DATA'!R582)),IF($B584="STD. DEVIATION",2,$F$1))))</f>
        <v/>
      </c>
      <c r="T584" s="1" t="str">
        <f>IF(OR($B584="",T$7=""),"",IF($B584="MEANS",INDEX('1-DATA'!$1:$1048576,$A583-1,COLUMN('1-DATA'!S582)),ROUND(INDEX('1-DATA'!$1:$1048576,IF(OR($B584="STD. DEVIATION",$C$1=1),$A584,$A584+1),COLUMN('1-DATA'!S582)),IF($B584="STD. DEVIATION",2,$F$1))))</f>
        <v/>
      </c>
      <c r="U584" s="1" t="str">
        <f>IF(OR($B584="",U$7=""),"",IF($B584="MEANS",INDEX('1-DATA'!$1:$1048576,$A583-1,COLUMN('1-DATA'!T582)),ROUND(INDEX('1-DATA'!$1:$1048576,IF(OR($B584="STD. DEVIATION",$C$1=1),$A584,$A584+1),COLUMN('1-DATA'!T582)),IF($B584="STD. DEVIATION",2,$F$1))))</f>
        <v/>
      </c>
      <c r="V584" s="1" t="str">
        <f>IF(OR($B584="",V$7=""),"",IF($B584="MEANS",INDEX('1-DATA'!$1:$1048576,$A583-1,COLUMN('1-DATA'!U582)),ROUND(INDEX('1-DATA'!$1:$1048576,IF(OR($B584="STD. DEVIATION",$C$1=1),$A584,$A584+1),COLUMN('1-DATA'!U582)),IF($B584="STD. DEVIATION",2,$F$1))))</f>
        <v/>
      </c>
      <c r="W584" s="1" t="str">
        <f>IF(OR($B584="",W$7=""),"",IF($B584="MEANS",INDEX('1-DATA'!$1:$1048576,$A583-1,COLUMN('1-DATA'!V582)),ROUND(INDEX('1-DATA'!$1:$1048576,IF(OR($B584="STD. DEVIATION",$C$1=1),$A584,$A584+1),COLUMN('1-DATA'!V582)),IF($B584="STD. DEVIATION",2,$F$1))))</f>
        <v/>
      </c>
      <c r="X584" s="1" t="str">
        <f>IF(OR($B584="",X$7=""),"",IF($B584="MEANS",INDEX('1-DATA'!$1:$1048576,$A583-1,COLUMN('1-DATA'!W582)),ROUND(INDEX('1-DATA'!$1:$1048576,IF(OR($B584="STD. DEVIATION",$C$1=1),$A584,$A584+1),COLUMN('1-DATA'!W582)),IF($B584="STD. DEVIATION",2,$F$1))))</f>
        <v/>
      </c>
      <c r="Y584" s="1" t="str">
        <f>IF(OR($B584="",Y$7=""),"",IF($B584="MEANS",INDEX('1-DATA'!$1:$1048576,$A583-1,COLUMN('1-DATA'!X582)),ROUND(INDEX('1-DATA'!$1:$1048576,IF(OR($B584="STD. DEVIATION",$C$1=1),$A584,$A584+1),COLUMN('1-DATA'!X582)),IF($B584="STD. DEVIATION",2,$F$1))))</f>
        <v/>
      </c>
      <c r="Z584" s="1" t="str">
        <f>IF(OR($B584="",Z$7=""),"",IF($B584="MEANS",INDEX('1-DATA'!$1:$1048576,$A583-1,COLUMN('1-DATA'!Y582)),ROUND(INDEX('1-DATA'!$1:$1048576,IF(OR($B584="STD. DEVIATION",$C$1=1),$A584,$A584+1),COLUMN('1-DATA'!Y582)),IF($B584="STD. DEVIATION",2,$F$1))))</f>
        <v/>
      </c>
      <c r="AA584" s="1" t="str">
        <f>IF(OR($B584="",AA$7=""),"",IF($B584="MEANS",INDEX('1-DATA'!$1:$1048576,$A583-1,COLUMN('1-DATA'!Z582)),ROUND(INDEX('1-DATA'!$1:$1048576,IF(OR($B584="STD. DEVIATION",$C$1=1),$A584,$A584+1),COLUMN('1-DATA'!Z582)),IF($B584="STD. DEVIATION",2,$F$1))))</f>
        <v/>
      </c>
      <c r="AB584" s="1" t="str">
        <f>IF(OR($B584="",AB$7=""),"",IF($B584="MEANS",INDEX('1-DATA'!$1:$1048576,$A583-1,COLUMN('1-DATA'!AA582)),ROUND(INDEX('1-DATA'!$1:$1048576,IF(OR($B584="STD. DEVIATION",$C$1=1),$A584,$A584+1),COLUMN('1-DATA'!AA582)),IF($B584="STD. DEVIATION",2,$F$1))))</f>
        <v/>
      </c>
      <c r="AC584" s="1" t="str">
        <f>IF(OR($B584="",AC$7=""),"",IF($B584="MEANS",INDEX('1-DATA'!$1:$1048576,$A583-1,COLUMN('1-DATA'!AB582)),ROUND(INDEX('1-DATA'!$1:$1048576,IF(OR($B584="STD. DEVIATION",$C$1=1),$A584,$A584+1),COLUMN('1-DATA'!AB582)),IF($B584="STD. DEVIATION",2,$F$1))))</f>
        <v/>
      </c>
      <c r="AD584" s="1" t="str">
        <f>IF(OR($B584="",AD$7=""),"",IF($B584="MEANS",INDEX('1-DATA'!$1:$1048576,$A583-1,COLUMN('1-DATA'!AC582)),ROUND(INDEX('1-DATA'!$1:$1048576,IF(OR($B584="STD. DEVIATION",$C$1=1),$A584,$A584+1),COLUMN('1-DATA'!AC582)),IF($B584="STD. DEVIATION",2,$F$1))))</f>
        <v/>
      </c>
      <c r="AE584" s="1" t="str">
        <f>IF(OR($B584="",AE$7=""),"",IF($B584="MEANS",INDEX('1-DATA'!$1:$1048576,$A583-1,COLUMN('1-DATA'!AD582)),ROUND(INDEX('1-DATA'!$1:$1048576,IF(OR($B584="STD. DEVIATION",$C$1=1),$A584,$A584+1),COLUMN('1-DATA'!AD582)),IF($B584="STD. DEVIATION",2,$F$1))))</f>
        <v/>
      </c>
      <c r="AF584" s="1" t="str">
        <f>IF(OR($B584="",AF$7=""),"",IF($B584="MEANS",INDEX('1-DATA'!$1:$1048576,$A583-1,COLUMN('1-DATA'!AE582)),ROUND(INDEX('1-DATA'!$1:$1048576,IF(OR($B584="STD. DEVIATION",$C$1=1),$A584,$A584+1),COLUMN('1-DATA'!AE582)),IF($B584="STD. DEVIATION",2,$F$1))))</f>
        <v/>
      </c>
      <c r="AG584" s="1" t="str">
        <f>IF(OR($B584="",AG$7=""),"",IF($B584="MEANS",INDEX('1-DATA'!$1:$1048576,$A583-1,COLUMN('1-DATA'!AF582)),ROUND(INDEX('1-DATA'!$1:$1048576,IF(OR($B584="STD. DEVIATION",$C$1=1),$A584,$A584+1),COLUMN('1-DATA'!AF582)),IF($B584="STD. DEVIATION",2,$F$1))))</f>
        <v/>
      </c>
      <c r="AH584" s="1" t="str">
        <f>IF(OR($B584="",AH$7=""),"",IF($B584="MEANS",INDEX('1-DATA'!$1:$1048576,$A583-1,COLUMN('1-DATA'!AG582)),ROUND(INDEX('1-DATA'!$1:$1048576,IF(OR($B584="STD. DEVIATION",$C$1=1),$A584,$A584+1),COLUMN('1-DATA'!AG582)),IF($B584="STD. DEVIATION",2,$F$1))))</f>
        <v/>
      </c>
      <c r="AI584" s="1" t="str">
        <f>IF(OR($B584="",AI$7=""),"",IF($B584="MEANS",INDEX('1-DATA'!$1:$1048576,$A583-1,COLUMN('1-DATA'!AH582)),ROUND(INDEX('1-DATA'!$1:$1048576,IF(OR($B584="STD. DEVIATION",$C$1=1),$A584,$A584+1),COLUMN('1-DATA'!AH582)),IF($B584="STD. DEVIATION",2,$F$1))))</f>
        <v/>
      </c>
      <c r="AJ584" s="1" t="str">
        <f>IF(OR($B584="",AJ$7=""),"",IF($B584="MEANS",INDEX('1-DATA'!$1:$1048576,$A583-1,COLUMN('1-DATA'!AI582)),ROUND(INDEX('1-DATA'!$1:$1048576,IF(OR($B584="STD. DEVIATION",$C$1=1),$A584,$A584+1),COLUMN('1-DATA'!AI582)),IF($B584="STD. DEVIATION",2,$F$1))))</f>
        <v/>
      </c>
      <c r="AK584" s="1" t="str">
        <f>IF(OR($B584="",AK$7=""),"",IF($B584="MEANS",INDEX('1-DATA'!$1:$1048576,$A583-1,COLUMN('1-DATA'!AJ582)),ROUND(INDEX('1-DATA'!$1:$1048576,IF(OR($B584="STD. DEVIATION",$C$1=1),$A584,$A584+1),COLUMN('1-DATA'!AJ582)),IF($B584="STD. DEVIATION",2,$F$1))))</f>
        <v/>
      </c>
      <c r="AL584" s="1" t="str">
        <f>IF(OR($B584="",AL$7=""),"",IF($B584="MEANS",INDEX('1-DATA'!$1:$1048576,$A583-1,COLUMN('1-DATA'!AK582)),ROUND(INDEX('1-DATA'!$1:$1048576,IF(OR($B584="STD. DEVIATION",$C$1=1),$A584,$A584+1),COLUMN('1-DATA'!AK582)),IF($B584="STD. DEVIATION",2,$F$1))))</f>
        <v/>
      </c>
      <c r="AM584" s="1" t="str">
        <f>IF(OR($B584="",AM$7=""),"",IF($B584="MEANS",INDEX('1-DATA'!$1:$1048576,$A583-1,COLUMN('1-DATA'!AL582)),ROUND(INDEX('1-DATA'!$1:$1048576,IF(OR($B584="STD. DEVIATION",$C$1=1),$A584,$A584+1),COLUMN('1-DATA'!AL582)),IF($B584="STD. DEVIATION",2,$F$1))))</f>
        <v/>
      </c>
      <c r="AN584" s="1" t="str">
        <f>IF(OR($B584="",AN$7=""),"",IF($B584="MEANS",INDEX('1-DATA'!$1:$1048576,$A583-1,COLUMN('1-DATA'!AM582)),ROUND(INDEX('1-DATA'!$1:$1048576,IF(OR($B584="STD. DEVIATION",$C$1=1),$A584,$A584+1),COLUMN('1-DATA'!AM582)),IF($B584="STD. DEVIATION",2,$F$1))))</f>
        <v/>
      </c>
      <c r="AO584" s="1" t="str">
        <f>IF(OR($B584="",AO$7=""),"",IF($B584="MEANS",INDEX('1-DATA'!$1:$1048576,$A583-1,COLUMN('1-DATA'!AN582)),ROUND(INDEX('1-DATA'!$1:$1048576,IF(OR($B584="STD. DEVIATION",$C$1=1),$A584,$A584+1),COLUMN('1-DATA'!AN582)),IF($B584="STD. DEVIATION",2,$F$1))))</f>
        <v/>
      </c>
      <c r="AP584" s="1" t="str">
        <f>IF(OR($B584="",AP$7=""),"",IF($B584="MEANS",INDEX('1-DATA'!$1:$1048576,$A583-1,COLUMN('1-DATA'!AO582)),ROUND(INDEX('1-DATA'!$1:$1048576,IF(OR($B584="STD. DEVIATION",$C$1=1),$A584,$A584+1),COLUMN('1-DATA'!AO582)),IF($B584="STD. DEVIATION",2,$F$1))))</f>
        <v/>
      </c>
      <c r="AQ584" s="1" t="str">
        <f>IF(OR($B584="",AQ$7=""),"",IF($B584="MEANS",INDEX('1-DATA'!$1:$1048576,$A583-1,COLUMN('1-DATA'!AP582)),ROUND(INDEX('1-DATA'!$1:$1048576,IF(OR($B584="STD. DEVIATION",$C$1=1),$A584,$A584+1),COLUMN('1-DATA'!AP582)),IF($B584="STD. DEVIATION",2,$F$1))))</f>
        <v/>
      </c>
      <c r="AR584" s="1" t="str">
        <f>IF(OR($B584="",AR$7=""),"",IF($B584="MEANS",INDEX('1-DATA'!$1:$1048576,$A583-1,COLUMN('1-DATA'!AQ582)),ROUND(INDEX('1-DATA'!$1:$1048576,IF(OR($B584="STD. DEVIATION",$C$1=1),$A584,$A584+1),COLUMN('1-DATA'!AQ582)),IF($B584="STD. DEVIATION",2,$F$1))))</f>
        <v/>
      </c>
      <c r="AS584" s="1" t="str">
        <f>IF(OR($B584="",AS$7=""),"",IF($B584="MEANS",INDEX('1-DATA'!$1:$1048576,$A583-1,COLUMN('1-DATA'!AR582)),ROUND(INDEX('1-DATA'!$1:$1048576,IF(OR($B584="STD. DEVIATION",$C$1=1),$A584,$A584+1),COLUMN('1-DATA'!AR582)),IF($B584="STD. DEVIATION",2,$F$1))))</f>
        <v/>
      </c>
      <c r="AT584" s="1" t="str">
        <f>IF(OR($B584="",AT$7=""),"",IF($B584="MEANS",INDEX('1-DATA'!$1:$1048576,$A583-1,COLUMN('1-DATA'!AS582)),ROUND(INDEX('1-DATA'!$1:$1048576,IF(OR($B584="STD. DEVIATION",$C$1=1),$A584,$A584+1),COLUMN('1-DATA'!AS582)),IF($B584="STD. DEVIATION",2,$F$1))))</f>
        <v/>
      </c>
      <c r="AU584" s="1" t="str">
        <f>IF(OR($B584="",AU$7=""),"",IF($B584="MEANS",INDEX('1-DATA'!$1:$1048576,$A583-1,COLUMN('1-DATA'!AT582)),ROUND(INDEX('1-DATA'!$1:$1048576,IF(OR($B584="STD. DEVIATION",$C$1=1),$A584,$A584+1),COLUMN('1-DATA'!AT582)),IF($B584="STD. DEVIATION",2,$F$1))))</f>
        <v/>
      </c>
      <c r="AV584" s="1" t="str">
        <f>IF(OR($B584="",AV$7=""),"",IF($B584="MEANS",INDEX('1-DATA'!$1:$1048576,$A583-1,COLUMN('1-DATA'!AU582)),ROUND(INDEX('1-DATA'!$1:$1048576,IF(OR($B584="STD. DEVIATION",$C$1=1),$A584,$A584+1),COLUMN('1-DATA'!AU582)),IF($B584="STD. DEVIATION",2,$F$1))))</f>
        <v/>
      </c>
      <c r="AW584" s="1" t="str">
        <f>IF(OR($B584="",AW$7=""),"",IF($B584="MEANS",INDEX('1-DATA'!$1:$1048576,$A583-1,COLUMN('1-DATA'!AV582)),ROUND(INDEX('1-DATA'!$1:$1048576,IF(OR($B584="STD. DEVIATION",$C$1=1),$A584,$A584+1),COLUMN('1-DATA'!AV582)),IF($B584="STD. DEVIATION",2,$F$1))))</f>
        <v/>
      </c>
      <c r="AX584" s="1" t="str">
        <f>IF(OR($B584="",AX$7=""),"",IF($B584="MEANS",INDEX('1-DATA'!$1:$1048576,$A583-1,COLUMN('1-DATA'!AW582)),ROUND(INDEX('1-DATA'!$1:$1048576,IF(OR($B584="STD. DEVIATION",$C$1=1),$A584,$A584+1),COLUMN('1-DATA'!AW582)),IF($B584="STD. DEVIATION",2,$F$1))))</f>
        <v/>
      </c>
      <c r="AY584" s="1" t="str">
        <f>IF(OR($B584="",AY$7=""),"",IF($B584="MEANS",INDEX('1-DATA'!$1:$1048576,$A583-1,COLUMN('1-DATA'!AX582)),ROUND(INDEX('1-DATA'!$1:$1048576,IF(OR($B584="STD. DEVIATION",$C$1=1),$A584,$A584+1),COLUMN('1-DATA'!AX582)),IF($B584="STD. DEVIATION",2,$F$1))))</f>
        <v/>
      </c>
      <c r="AZ584" s="1" t="str">
        <f>IF(OR($B584="",AZ$7=""),"",IF($B584="MEANS",INDEX('1-DATA'!$1:$1048576,$A583-1,COLUMN('1-DATA'!AY582)),ROUND(INDEX('1-DATA'!$1:$1048576,IF(OR($B584="STD. DEVIATION",$C$1=1),$A584,$A584+1),COLUMN('1-DATA'!AY582)),IF($B584="STD. DEVIATION",2,$F$1))))</f>
        <v/>
      </c>
    </row>
    <row r="585" spans="1:52" x14ac:dyDescent="0.25">
      <c r="A585" s="11">
        <f t="shared" si="9"/>
        <v>1741</v>
      </c>
      <c r="B585" s="1" t="str">
        <f>IF(B584="STD. DEVIATION",INDEX('1-DATA'!$1:$1048576,$A584-1,1),IF(INDEX('1-DATA'!$1:$1048576,$A585,1)&lt;&gt;"",INDEX('1-DATA'!$1:$1048576,$A585,1),""))</f>
        <v/>
      </c>
      <c r="C585" s="1" t="str">
        <f>IF(OR($B585="",C$7=""),"",IF($B585="MEANS",INDEX('1-DATA'!$1:$1048576,$A584-1,COLUMN('1-DATA'!B583)),ROUND(INDEX('1-DATA'!$1:$1048576,IF(OR($B585="STD. DEVIATION",$C$1=1),$A585,$A585+1),COLUMN('1-DATA'!B583)),IF($B585="STD. DEVIATION",2,$F$1))))</f>
        <v/>
      </c>
      <c r="D585" s="1" t="str">
        <f>IF(OR($B585="",D$7=""),"",IF($B585="MEANS",INDEX('1-DATA'!$1:$1048576,$A584-1,COLUMN('1-DATA'!C583)),ROUND(INDEX('1-DATA'!$1:$1048576,IF(OR($B585="STD. DEVIATION",$C$1=1),$A585,$A585+1),COLUMN('1-DATA'!C583)),IF($B585="STD. DEVIATION",2,$F$1))))</f>
        <v/>
      </c>
      <c r="E585" s="1" t="str">
        <f>IF(OR($B585="",E$7=""),"",IF($B585="MEANS",INDEX('1-DATA'!$1:$1048576,$A584-1,COLUMN('1-DATA'!D583)),ROUND(INDEX('1-DATA'!$1:$1048576,IF(OR($B585="STD. DEVIATION",$C$1=1),$A585,$A585+1),COLUMN('1-DATA'!D583)),IF($B585="STD. DEVIATION",2,$F$1))))</f>
        <v/>
      </c>
      <c r="F585" s="1" t="str">
        <f>IF(OR($B585="",F$7=""),"",IF($B585="MEANS",INDEX('1-DATA'!$1:$1048576,$A584-1,COLUMN('1-DATA'!E583)),ROUND(INDEX('1-DATA'!$1:$1048576,IF(OR($B585="STD. DEVIATION",$C$1=1),$A585,$A585+1),COLUMN('1-DATA'!E583)),IF($B585="STD. DEVIATION",2,$F$1))))</f>
        <v/>
      </c>
      <c r="G585" s="1" t="str">
        <f>IF(OR($B585="",G$7=""),"",IF($B585="MEANS",INDEX('1-DATA'!$1:$1048576,$A584-1,COLUMN('1-DATA'!F583)),ROUND(INDEX('1-DATA'!$1:$1048576,IF(OR($B585="STD. DEVIATION",$C$1=1),$A585,$A585+1),COLUMN('1-DATA'!F583)),IF($B585="STD. DEVIATION",2,$F$1))))</f>
        <v/>
      </c>
      <c r="H585" s="1" t="str">
        <f>IF(OR($B585="",H$7=""),"",IF($B585="MEANS",INDEX('1-DATA'!$1:$1048576,$A584-1,COLUMN('1-DATA'!G583)),ROUND(INDEX('1-DATA'!$1:$1048576,IF(OR($B585="STD. DEVIATION",$C$1=1),$A585,$A585+1),COLUMN('1-DATA'!G583)),IF($B585="STD. DEVIATION",2,$F$1))))</f>
        <v/>
      </c>
      <c r="I585" s="1" t="str">
        <f>IF(OR($B585="",I$7=""),"",IF($B585="MEANS",INDEX('1-DATA'!$1:$1048576,$A584-1,COLUMN('1-DATA'!H583)),ROUND(INDEX('1-DATA'!$1:$1048576,IF(OR($B585="STD. DEVIATION",$C$1=1),$A585,$A585+1),COLUMN('1-DATA'!H583)),IF($B585="STD. DEVIATION",2,$F$1))))</f>
        <v/>
      </c>
      <c r="J585" s="1" t="str">
        <f>IF(OR($B585="",J$7=""),"",IF($B585="MEANS",INDEX('1-DATA'!$1:$1048576,$A584-1,COLUMN('1-DATA'!I583)),ROUND(INDEX('1-DATA'!$1:$1048576,IF(OR($B585="STD. DEVIATION",$C$1=1),$A585,$A585+1),COLUMN('1-DATA'!I583)),IF($B585="STD. DEVIATION",2,$F$1))))</f>
        <v/>
      </c>
      <c r="K585" s="1" t="str">
        <f>IF(OR($B585="",K$7=""),"",IF($B585="MEANS",INDEX('1-DATA'!$1:$1048576,$A584-1,COLUMN('1-DATA'!J583)),ROUND(INDEX('1-DATA'!$1:$1048576,IF(OR($B585="STD. DEVIATION",$C$1=1),$A585,$A585+1),COLUMN('1-DATA'!J583)),IF($B585="STD. DEVIATION",2,$F$1))))</f>
        <v/>
      </c>
      <c r="L585" s="1" t="str">
        <f>IF(OR($B585="",L$7=""),"",IF($B585="MEANS",INDEX('1-DATA'!$1:$1048576,$A584-1,COLUMN('1-DATA'!K583)),ROUND(INDEX('1-DATA'!$1:$1048576,IF(OR($B585="STD. DEVIATION",$C$1=1),$A585,$A585+1),COLUMN('1-DATA'!K583)),IF($B585="STD. DEVIATION",2,$F$1))))</f>
        <v/>
      </c>
      <c r="M585" s="1" t="str">
        <f>IF(OR($B585="",M$7=""),"",IF($B585="MEANS",INDEX('1-DATA'!$1:$1048576,$A584-1,COLUMN('1-DATA'!L583)),ROUND(INDEX('1-DATA'!$1:$1048576,IF(OR($B585="STD. DEVIATION",$C$1=1),$A585,$A585+1),COLUMN('1-DATA'!L583)),IF($B585="STD. DEVIATION",2,$F$1))))</f>
        <v/>
      </c>
      <c r="N585" s="1" t="str">
        <f>IF(OR($B585="",N$7=""),"",IF($B585="MEANS",INDEX('1-DATA'!$1:$1048576,$A584-1,COLUMN('1-DATA'!M583)),ROUND(INDEX('1-DATA'!$1:$1048576,IF(OR($B585="STD. DEVIATION",$C$1=1),$A585,$A585+1),COLUMN('1-DATA'!M583)),IF($B585="STD. DEVIATION",2,$F$1))))</f>
        <v/>
      </c>
      <c r="O585" s="1" t="str">
        <f>IF(OR($B585="",O$7=""),"",IF($B585="MEANS",INDEX('1-DATA'!$1:$1048576,$A584-1,COLUMN('1-DATA'!N583)),ROUND(INDEX('1-DATA'!$1:$1048576,IF(OR($B585="STD. DEVIATION",$C$1=1),$A585,$A585+1),COLUMN('1-DATA'!N583)),IF($B585="STD. DEVIATION",2,$F$1))))</f>
        <v/>
      </c>
      <c r="P585" s="1" t="str">
        <f>IF(OR($B585="",P$7=""),"",IF($B585="MEANS",INDEX('1-DATA'!$1:$1048576,$A584-1,COLUMN('1-DATA'!O583)),ROUND(INDEX('1-DATA'!$1:$1048576,IF(OR($B585="STD. DEVIATION",$C$1=1),$A585,$A585+1),COLUMN('1-DATA'!O583)),IF($B585="STD. DEVIATION",2,$F$1))))</f>
        <v/>
      </c>
      <c r="Q585" s="1" t="str">
        <f>IF(OR($B585="",Q$7=""),"",IF($B585="MEANS",INDEX('1-DATA'!$1:$1048576,$A584-1,COLUMN('1-DATA'!P583)),ROUND(INDEX('1-DATA'!$1:$1048576,IF(OR($B585="STD. DEVIATION",$C$1=1),$A585,$A585+1),COLUMN('1-DATA'!P583)),IF($B585="STD. DEVIATION",2,$F$1))))</f>
        <v/>
      </c>
      <c r="R585" s="1" t="str">
        <f>IF(OR($B585="",R$7=""),"",IF($B585="MEANS",INDEX('1-DATA'!$1:$1048576,$A584-1,COLUMN('1-DATA'!Q583)),ROUND(INDEX('1-DATA'!$1:$1048576,IF(OR($B585="STD. DEVIATION",$C$1=1),$A585,$A585+1),COLUMN('1-DATA'!Q583)),IF($B585="STD. DEVIATION",2,$F$1))))</f>
        <v/>
      </c>
      <c r="S585" s="1" t="str">
        <f>IF(OR($B585="",S$7=""),"",IF($B585="MEANS",INDEX('1-DATA'!$1:$1048576,$A584-1,COLUMN('1-DATA'!R583)),ROUND(INDEX('1-DATA'!$1:$1048576,IF(OR($B585="STD. DEVIATION",$C$1=1),$A585,$A585+1),COLUMN('1-DATA'!R583)),IF($B585="STD. DEVIATION",2,$F$1))))</f>
        <v/>
      </c>
      <c r="T585" s="1" t="str">
        <f>IF(OR($B585="",T$7=""),"",IF($B585="MEANS",INDEX('1-DATA'!$1:$1048576,$A584-1,COLUMN('1-DATA'!S583)),ROUND(INDEX('1-DATA'!$1:$1048576,IF(OR($B585="STD. DEVIATION",$C$1=1),$A585,$A585+1),COLUMN('1-DATA'!S583)),IF($B585="STD. DEVIATION",2,$F$1))))</f>
        <v/>
      </c>
      <c r="U585" s="1" t="str">
        <f>IF(OR($B585="",U$7=""),"",IF($B585="MEANS",INDEX('1-DATA'!$1:$1048576,$A584-1,COLUMN('1-DATA'!T583)),ROUND(INDEX('1-DATA'!$1:$1048576,IF(OR($B585="STD. DEVIATION",$C$1=1),$A585,$A585+1),COLUMN('1-DATA'!T583)),IF($B585="STD. DEVIATION",2,$F$1))))</f>
        <v/>
      </c>
      <c r="V585" s="1" t="str">
        <f>IF(OR($B585="",V$7=""),"",IF($B585="MEANS",INDEX('1-DATA'!$1:$1048576,$A584-1,COLUMN('1-DATA'!U583)),ROUND(INDEX('1-DATA'!$1:$1048576,IF(OR($B585="STD. DEVIATION",$C$1=1),$A585,$A585+1),COLUMN('1-DATA'!U583)),IF($B585="STD. DEVIATION",2,$F$1))))</f>
        <v/>
      </c>
      <c r="W585" s="1" t="str">
        <f>IF(OR($B585="",W$7=""),"",IF($B585="MEANS",INDEX('1-DATA'!$1:$1048576,$A584-1,COLUMN('1-DATA'!V583)),ROUND(INDEX('1-DATA'!$1:$1048576,IF(OR($B585="STD. DEVIATION",$C$1=1),$A585,$A585+1),COLUMN('1-DATA'!V583)),IF($B585="STD. DEVIATION",2,$F$1))))</f>
        <v/>
      </c>
      <c r="X585" s="1" t="str">
        <f>IF(OR($B585="",X$7=""),"",IF($B585="MEANS",INDEX('1-DATA'!$1:$1048576,$A584-1,COLUMN('1-DATA'!W583)),ROUND(INDEX('1-DATA'!$1:$1048576,IF(OR($B585="STD. DEVIATION",$C$1=1),$A585,$A585+1),COLUMN('1-DATA'!W583)),IF($B585="STD. DEVIATION",2,$F$1))))</f>
        <v/>
      </c>
      <c r="Y585" s="1" t="str">
        <f>IF(OR($B585="",Y$7=""),"",IF($B585="MEANS",INDEX('1-DATA'!$1:$1048576,$A584-1,COLUMN('1-DATA'!X583)),ROUND(INDEX('1-DATA'!$1:$1048576,IF(OR($B585="STD. DEVIATION",$C$1=1),$A585,$A585+1),COLUMN('1-DATA'!X583)),IF($B585="STD. DEVIATION",2,$F$1))))</f>
        <v/>
      </c>
      <c r="Z585" s="1" t="str">
        <f>IF(OR($B585="",Z$7=""),"",IF($B585="MEANS",INDEX('1-DATA'!$1:$1048576,$A584-1,COLUMN('1-DATA'!Y583)),ROUND(INDEX('1-DATA'!$1:$1048576,IF(OR($B585="STD. DEVIATION",$C$1=1),$A585,$A585+1),COLUMN('1-DATA'!Y583)),IF($B585="STD. DEVIATION",2,$F$1))))</f>
        <v/>
      </c>
      <c r="AA585" s="1" t="str">
        <f>IF(OR($B585="",AA$7=""),"",IF($B585="MEANS",INDEX('1-DATA'!$1:$1048576,$A584-1,COLUMN('1-DATA'!Z583)),ROUND(INDEX('1-DATA'!$1:$1048576,IF(OR($B585="STD. DEVIATION",$C$1=1),$A585,$A585+1),COLUMN('1-DATA'!Z583)),IF($B585="STD. DEVIATION",2,$F$1))))</f>
        <v/>
      </c>
      <c r="AB585" s="1" t="str">
        <f>IF(OR($B585="",AB$7=""),"",IF($B585="MEANS",INDEX('1-DATA'!$1:$1048576,$A584-1,COLUMN('1-DATA'!AA583)),ROUND(INDEX('1-DATA'!$1:$1048576,IF(OR($B585="STD. DEVIATION",$C$1=1),$A585,$A585+1),COLUMN('1-DATA'!AA583)),IF($B585="STD. DEVIATION",2,$F$1))))</f>
        <v/>
      </c>
      <c r="AC585" s="1" t="str">
        <f>IF(OR($B585="",AC$7=""),"",IF($B585="MEANS",INDEX('1-DATA'!$1:$1048576,$A584-1,COLUMN('1-DATA'!AB583)),ROUND(INDEX('1-DATA'!$1:$1048576,IF(OR($B585="STD. DEVIATION",$C$1=1),$A585,$A585+1),COLUMN('1-DATA'!AB583)),IF($B585="STD. DEVIATION",2,$F$1))))</f>
        <v/>
      </c>
      <c r="AD585" s="1" t="str">
        <f>IF(OR($B585="",AD$7=""),"",IF($B585="MEANS",INDEX('1-DATA'!$1:$1048576,$A584-1,COLUMN('1-DATA'!AC583)),ROUND(INDEX('1-DATA'!$1:$1048576,IF(OR($B585="STD. DEVIATION",$C$1=1),$A585,$A585+1),COLUMN('1-DATA'!AC583)),IF($B585="STD. DEVIATION",2,$F$1))))</f>
        <v/>
      </c>
      <c r="AE585" s="1" t="str">
        <f>IF(OR($B585="",AE$7=""),"",IF($B585="MEANS",INDEX('1-DATA'!$1:$1048576,$A584-1,COLUMN('1-DATA'!AD583)),ROUND(INDEX('1-DATA'!$1:$1048576,IF(OR($B585="STD. DEVIATION",$C$1=1),$A585,$A585+1),COLUMN('1-DATA'!AD583)),IF($B585="STD. DEVIATION",2,$F$1))))</f>
        <v/>
      </c>
      <c r="AF585" s="1" t="str">
        <f>IF(OR($B585="",AF$7=""),"",IF($B585="MEANS",INDEX('1-DATA'!$1:$1048576,$A584-1,COLUMN('1-DATA'!AE583)),ROUND(INDEX('1-DATA'!$1:$1048576,IF(OR($B585="STD. DEVIATION",$C$1=1),$A585,$A585+1),COLUMN('1-DATA'!AE583)),IF($B585="STD. DEVIATION",2,$F$1))))</f>
        <v/>
      </c>
      <c r="AG585" s="1" t="str">
        <f>IF(OR($B585="",AG$7=""),"",IF($B585="MEANS",INDEX('1-DATA'!$1:$1048576,$A584-1,COLUMN('1-DATA'!AF583)),ROUND(INDEX('1-DATA'!$1:$1048576,IF(OR($B585="STD. DEVIATION",$C$1=1),$A585,$A585+1),COLUMN('1-DATA'!AF583)),IF($B585="STD. DEVIATION",2,$F$1))))</f>
        <v/>
      </c>
      <c r="AH585" s="1" t="str">
        <f>IF(OR($B585="",AH$7=""),"",IF($B585="MEANS",INDEX('1-DATA'!$1:$1048576,$A584-1,COLUMN('1-DATA'!AG583)),ROUND(INDEX('1-DATA'!$1:$1048576,IF(OR($B585="STD. DEVIATION",$C$1=1),$A585,$A585+1),COLUMN('1-DATA'!AG583)),IF($B585="STD. DEVIATION",2,$F$1))))</f>
        <v/>
      </c>
      <c r="AI585" s="1" t="str">
        <f>IF(OR($B585="",AI$7=""),"",IF($B585="MEANS",INDEX('1-DATA'!$1:$1048576,$A584-1,COLUMN('1-DATA'!AH583)),ROUND(INDEX('1-DATA'!$1:$1048576,IF(OR($B585="STD. DEVIATION",$C$1=1),$A585,$A585+1),COLUMN('1-DATA'!AH583)),IF($B585="STD. DEVIATION",2,$F$1))))</f>
        <v/>
      </c>
      <c r="AJ585" s="1" t="str">
        <f>IF(OR($B585="",AJ$7=""),"",IF($B585="MEANS",INDEX('1-DATA'!$1:$1048576,$A584-1,COLUMN('1-DATA'!AI583)),ROUND(INDEX('1-DATA'!$1:$1048576,IF(OR($B585="STD. DEVIATION",$C$1=1),$A585,$A585+1),COLUMN('1-DATA'!AI583)),IF($B585="STD. DEVIATION",2,$F$1))))</f>
        <v/>
      </c>
      <c r="AK585" s="1" t="str">
        <f>IF(OR($B585="",AK$7=""),"",IF($B585="MEANS",INDEX('1-DATA'!$1:$1048576,$A584-1,COLUMN('1-DATA'!AJ583)),ROUND(INDEX('1-DATA'!$1:$1048576,IF(OR($B585="STD. DEVIATION",$C$1=1),$A585,$A585+1),COLUMN('1-DATA'!AJ583)),IF($B585="STD. DEVIATION",2,$F$1))))</f>
        <v/>
      </c>
      <c r="AL585" s="1" t="str">
        <f>IF(OR($B585="",AL$7=""),"",IF($B585="MEANS",INDEX('1-DATA'!$1:$1048576,$A584-1,COLUMN('1-DATA'!AK583)),ROUND(INDEX('1-DATA'!$1:$1048576,IF(OR($B585="STD. DEVIATION",$C$1=1),$A585,$A585+1),COLUMN('1-DATA'!AK583)),IF($B585="STD. DEVIATION",2,$F$1))))</f>
        <v/>
      </c>
      <c r="AM585" s="1" t="str">
        <f>IF(OR($B585="",AM$7=""),"",IF($B585="MEANS",INDEX('1-DATA'!$1:$1048576,$A584-1,COLUMN('1-DATA'!AL583)),ROUND(INDEX('1-DATA'!$1:$1048576,IF(OR($B585="STD. DEVIATION",$C$1=1),$A585,$A585+1),COLUMN('1-DATA'!AL583)),IF($B585="STD. DEVIATION",2,$F$1))))</f>
        <v/>
      </c>
      <c r="AN585" s="1" t="str">
        <f>IF(OR($B585="",AN$7=""),"",IF($B585="MEANS",INDEX('1-DATA'!$1:$1048576,$A584-1,COLUMN('1-DATA'!AM583)),ROUND(INDEX('1-DATA'!$1:$1048576,IF(OR($B585="STD. DEVIATION",$C$1=1),$A585,$A585+1),COLUMN('1-DATA'!AM583)),IF($B585="STD. DEVIATION",2,$F$1))))</f>
        <v/>
      </c>
      <c r="AO585" s="1" t="str">
        <f>IF(OR($B585="",AO$7=""),"",IF($B585="MEANS",INDEX('1-DATA'!$1:$1048576,$A584-1,COLUMN('1-DATA'!AN583)),ROUND(INDEX('1-DATA'!$1:$1048576,IF(OR($B585="STD. DEVIATION",$C$1=1),$A585,$A585+1),COLUMN('1-DATA'!AN583)),IF($B585="STD. DEVIATION",2,$F$1))))</f>
        <v/>
      </c>
      <c r="AP585" s="1" t="str">
        <f>IF(OR($B585="",AP$7=""),"",IF($B585="MEANS",INDEX('1-DATA'!$1:$1048576,$A584-1,COLUMN('1-DATA'!AO583)),ROUND(INDEX('1-DATA'!$1:$1048576,IF(OR($B585="STD. DEVIATION",$C$1=1),$A585,$A585+1),COLUMN('1-DATA'!AO583)),IF($B585="STD. DEVIATION",2,$F$1))))</f>
        <v/>
      </c>
      <c r="AQ585" s="1" t="str">
        <f>IF(OR($B585="",AQ$7=""),"",IF($B585="MEANS",INDEX('1-DATA'!$1:$1048576,$A584-1,COLUMN('1-DATA'!AP583)),ROUND(INDEX('1-DATA'!$1:$1048576,IF(OR($B585="STD. DEVIATION",$C$1=1),$A585,$A585+1),COLUMN('1-DATA'!AP583)),IF($B585="STD. DEVIATION",2,$F$1))))</f>
        <v/>
      </c>
      <c r="AR585" s="1" t="str">
        <f>IF(OR($B585="",AR$7=""),"",IF($B585="MEANS",INDEX('1-DATA'!$1:$1048576,$A584-1,COLUMN('1-DATA'!AQ583)),ROUND(INDEX('1-DATA'!$1:$1048576,IF(OR($B585="STD. DEVIATION",$C$1=1),$A585,$A585+1),COLUMN('1-DATA'!AQ583)),IF($B585="STD. DEVIATION",2,$F$1))))</f>
        <v/>
      </c>
      <c r="AS585" s="1" t="str">
        <f>IF(OR($B585="",AS$7=""),"",IF($B585="MEANS",INDEX('1-DATA'!$1:$1048576,$A584-1,COLUMN('1-DATA'!AR583)),ROUND(INDEX('1-DATA'!$1:$1048576,IF(OR($B585="STD. DEVIATION",$C$1=1),$A585,$A585+1),COLUMN('1-DATA'!AR583)),IF($B585="STD. DEVIATION",2,$F$1))))</f>
        <v/>
      </c>
      <c r="AT585" s="1" t="str">
        <f>IF(OR($B585="",AT$7=""),"",IF($B585="MEANS",INDEX('1-DATA'!$1:$1048576,$A584-1,COLUMN('1-DATA'!AS583)),ROUND(INDEX('1-DATA'!$1:$1048576,IF(OR($B585="STD. DEVIATION",$C$1=1),$A585,$A585+1),COLUMN('1-DATA'!AS583)),IF($B585="STD. DEVIATION",2,$F$1))))</f>
        <v/>
      </c>
      <c r="AU585" s="1" t="str">
        <f>IF(OR($B585="",AU$7=""),"",IF($B585="MEANS",INDEX('1-DATA'!$1:$1048576,$A584-1,COLUMN('1-DATA'!AT583)),ROUND(INDEX('1-DATA'!$1:$1048576,IF(OR($B585="STD. DEVIATION",$C$1=1),$A585,$A585+1),COLUMN('1-DATA'!AT583)),IF($B585="STD. DEVIATION",2,$F$1))))</f>
        <v/>
      </c>
      <c r="AV585" s="1" t="str">
        <f>IF(OR($B585="",AV$7=""),"",IF($B585="MEANS",INDEX('1-DATA'!$1:$1048576,$A584-1,COLUMN('1-DATA'!AU583)),ROUND(INDEX('1-DATA'!$1:$1048576,IF(OR($B585="STD. DEVIATION",$C$1=1),$A585,$A585+1),COLUMN('1-DATA'!AU583)),IF($B585="STD. DEVIATION",2,$F$1))))</f>
        <v/>
      </c>
      <c r="AW585" s="1" t="str">
        <f>IF(OR($B585="",AW$7=""),"",IF($B585="MEANS",INDEX('1-DATA'!$1:$1048576,$A584-1,COLUMN('1-DATA'!AV583)),ROUND(INDEX('1-DATA'!$1:$1048576,IF(OR($B585="STD. DEVIATION",$C$1=1),$A585,$A585+1),COLUMN('1-DATA'!AV583)),IF($B585="STD. DEVIATION",2,$F$1))))</f>
        <v/>
      </c>
      <c r="AX585" s="1" t="str">
        <f>IF(OR($B585="",AX$7=""),"",IF($B585="MEANS",INDEX('1-DATA'!$1:$1048576,$A584-1,COLUMN('1-DATA'!AW583)),ROUND(INDEX('1-DATA'!$1:$1048576,IF(OR($B585="STD. DEVIATION",$C$1=1),$A585,$A585+1),COLUMN('1-DATA'!AW583)),IF($B585="STD. DEVIATION",2,$F$1))))</f>
        <v/>
      </c>
      <c r="AY585" s="1" t="str">
        <f>IF(OR($B585="",AY$7=""),"",IF($B585="MEANS",INDEX('1-DATA'!$1:$1048576,$A584-1,COLUMN('1-DATA'!AX583)),ROUND(INDEX('1-DATA'!$1:$1048576,IF(OR($B585="STD. DEVIATION",$C$1=1),$A585,$A585+1),COLUMN('1-DATA'!AX583)),IF($B585="STD. DEVIATION",2,$F$1))))</f>
        <v/>
      </c>
      <c r="AZ585" s="1" t="str">
        <f>IF(OR($B585="",AZ$7=""),"",IF($B585="MEANS",INDEX('1-DATA'!$1:$1048576,$A584-1,COLUMN('1-DATA'!AY583)),ROUND(INDEX('1-DATA'!$1:$1048576,IF(OR($B585="STD. DEVIATION",$C$1=1),$A585,$A585+1),COLUMN('1-DATA'!AY583)),IF($B585="STD. DEVIATION",2,$F$1))))</f>
        <v/>
      </c>
    </row>
    <row r="586" spans="1:52" x14ac:dyDescent="0.25">
      <c r="A586" s="11">
        <f t="shared" si="9"/>
        <v>1744</v>
      </c>
      <c r="B586" s="1" t="str">
        <f>IF(B585="STD. DEVIATION",INDEX('1-DATA'!$1:$1048576,$A585-1,1),IF(INDEX('1-DATA'!$1:$1048576,$A586,1)&lt;&gt;"",INDEX('1-DATA'!$1:$1048576,$A586,1),""))</f>
        <v/>
      </c>
      <c r="C586" s="1" t="str">
        <f>IF(OR($B586="",C$7=""),"",IF($B586="MEANS",INDEX('1-DATA'!$1:$1048576,$A585-1,COLUMN('1-DATA'!B584)),ROUND(INDEX('1-DATA'!$1:$1048576,IF(OR($B586="STD. DEVIATION",$C$1=1),$A586,$A586+1),COLUMN('1-DATA'!B584)),IF($B586="STD. DEVIATION",2,$F$1))))</f>
        <v/>
      </c>
      <c r="D586" s="1" t="str">
        <f>IF(OR($B586="",D$7=""),"",IF($B586="MEANS",INDEX('1-DATA'!$1:$1048576,$A585-1,COLUMN('1-DATA'!C584)),ROUND(INDEX('1-DATA'!$1:$1048576,IF(OR($B586="STD. DEVIATION",$C$1=1),$A586,$A586+1),COLUMN('1-DATA'!C584)),IF($B586="STD. DEVIATION",2,$F$1))))</f>
        <v/>
      </c>
      <c r="E586" s="1" t="str">
        <f>IF(OR($B586="",E$7=""),"",IF($B586="MEANS",INDEX('1-DATA'!$1:$1048576,$A585-1,COLUMN('1-DATA'!D584)),ROUND(INDEX('1-DATA'!$1:$1048576,IF(OR($B586="STD. DEVIATION",$C$1=1),$A586,$A586+1),COLUMN('1-DATA'!D584)),IF($B586="STD. DEVIATION",2,$F$1))))</f>
        <v/>
      </c>
      <c r="F586" s="1" t="str">
        <f>IF(OR($B586="",F$7=""),"",IF($B586="MEANS",INDEX('1-DATA'!$1:$1048576,$A585-1,COLUMN('1-DATA'!E584)),ROUND(INDEX('1-DATA'!$1:$1048576,IF(OR($B586="STD. DEVIATION",$C$1=1),$A586,$A586+1),COLUMN('1-DATA'!E584)),IF($B586="STD. DEVIATION",2,$F$1))))</f>
        <v/>
      </c>
      <c r="G586" s="1" t="str">
        <f>IF(OR($B586="",G$7=""),"",IF($B586="MEANS",INDEX('1-DATA'!$1:$1048576,$A585-1,COLUMN('1-DATA'!F584)),ROUND(INDEX('1-DATA'!$1:$1048576,IF(OR($B586="STD. DEVIATION",$C$1=1),$A586,$A586+1),COLUMN('1-DATA'!F584)),IF($B586="STD. DEVIATION",2,$F$1))))</f>
        <v/>
      </c>
      <c r="H586" s="1" t="str">
        <f>IF(OR($B586="",H$7=""),"",IF($B586="MEANS",INDEX('1-DATA'!$1:$1048576,$A585-1,COLUMN('1-DATA'!G584)),ROUND(INDEX('1-DATA'!$1:$1048576,IF(OR($B586="STD. DEVIATION",$C$1=1),$A586,$A586+1),COLUMN('1-DATA'!G584)),IF($B586="STD. DEVIATION",2,$F$1))))</f>
        <v/>
      </c>
      <c r="I586" s="1" t="str">
        <f>IF(OR($B586="",I$7=""),"",IF($B586="MEANS",INDEX('1-DATA'!$1:$1048576,$A585-1,COLUMN('1-DATA'!H584)),ROUND(INDEX('1-DATA'!$1:$1048576,IF(OR($B586="STD. DEVIATION",$C$1=1),$A586,$A586+1),COLUMN('1-DATA'!H584)),IF($B586="STD. DEVIATION",2,$F$1))))</f>
        <v/>
      </c>
      <c r="J586" s="1" t="str">
        <f>IF(OR($B586="",J$7=""),"",IF($B586="MEANS",INDEX('1-DATA'!$1:$1048576,$A585-1,COLUMN('1-DATA'!I584)),ROUND(INDEX('1-DATA'!$1:$1048576,IF(OR($B586="STD. DEVIATION",$C$1=1),$A586,$A586+1),COLUMN('1-DATA'!I584)),IF($B586="STD. DEVIATION",2,$F$1))))</f>
        <v/>
      </c>
      <c r="K586" s="1" t="str">
        <f>IF(OR($B586="",K$7=""),"",IF($B586="MEANS",INDEX('1-DATA'!$1:$1048576,$A585-1,COLUMN('1-DATA'!J584)),ROUND(INDEX('1-DATA'!$1:$1048576,IF(OR($B586="STD. DEVIATION",$C$1=1),$A586,$A586+1),COLUMN('1-DATA'!J584)),IF($B586="STD. DEVIATION",2,$F$1))))</f>
        <v/>
      </c>
      <c r="L586" s="1" t="str">
        <f>IF(OR($B586="",L$7=""),"",IF($B586="MEANS",INDEX('1-DATA'!$1:$1048576,$A585-1,COLUMN('1-DATA'!K584)),ROUND(INDEX('1-DATA'!$1:$1048576,IF(OR($B586="STD. DEVIATION",$C$1=1),$A586,$A586+1),COLUMN('1-DATA'!K584)),IF($B586="STD. DEVIATION",2,$F$1))))</f>
        <v/>
      </c>
      <c r="M586" s="1" t="str">
        <f>IF(OR($B586="",M$7=""),"",IF($B586="MEANS",INDEX('1-DATA'!$1:$1048576,$A585-1,COLUMN('1-DATA'!L584)),ROUND(INDEX('1-DATA'!$1:$1048576,IF(OR($B586="STD. DEVIATION",$C$1=1),$A586,$A586+1),COLUMN('1-DATA'!L584)),IF($B586="STD. DEVIATION",2,$F$1))))</f>
        <v/>
      </c>
      <c r="N586" s="1" t="str">
        <f>IF(OR($B586="",N$7=""),"",IF($B586="MEANS",INDEX('1-DATA'!$1:$1048576,$A585-1,COLUMN('1-DATA'!M584)),ROUND(INDEX('1-DATA'!$1:$1048576,IF(OR($B586="STD. DEVIATION",$C$1=1),$A586,$A586+1),COLUMN('1-DATA'!M584)),IF($B586="STD. DEVIATION",2,$F$1))))</f>
        <v/>
      </c>
      <c r="O586" s="1" t="str">
        <f>IF(OR($B586="",O$7=""),"",IF($B586="MEANS",INDEX('1-DATA'!$1:$1048576,$A585-1,COLUMN('1-DATA'!N584)),ROUND(INDEX('1-DATA'!$1:$1048576,IF(OR($B586="STD. DEVIATION",$C$1=1),$A586,$A586+1),COLUMN('1-DATA'!N584)),IF($B586="STD. DEVIATION",2,$F$1))))</f>
        <v/>
      </c>
      <c r="P586" s="1" t="str">
        <f>IF(OR($B586="",P$7=""),"",IF($B586="MEANS",INDEX('1-DATA'!$1:$1048576,$A585-1,COLUMN('1-DATA'!O584)),ROUND(INDEX('1-DATA'!$1:$1048576,IF(OR($B586="STD. DEVIATION",$C$1=1),$A586,$A586+1),COLUMN('1-DATA'!O584)),IF($B586="STD. DEVIATION",2,$F$1))))</f>
        <v/>
      </c>
      <c r="Q586" s="1" t="str">
        <f>IF(OR($B586="",Q$7=""),"",IF($B586="MEANS",INDEX('1-DATA'!$1:$1048576,$A585-1,COLUMN('1-DATA'!P584)),ROUND(INDEX('1-DATA'!$1:$1048576,IF(OR($B586="STD. DEVIATION",$C$1=1),$A586,$A586+1),COLUMN('1-DATA'!P584)),IF($B586="STD. DEVIATION",2,$F$1))))</f>
        <v/>
      </c>
      <c r="R586" s="1" t="str">
        <f>IF(OR($B586="",R$7=""),"",IF($B586="MEANS",INDEX('1-DATA'!$1:$1048576,$A585-1,COLUMN('1-DATA'!Q584)),ROUND(INDEX('1-DATA'!$1:$1048576,IF(OR($B586="STD. DEVIATION",$C$1=1),$A586,$A586+1),COLUMN('1-DATA'!Q584)),IF($B586="STD. DEVIATION",2,$F$1))))</f>
        <v/>
      </c>
      <c r="S586" s="1" t="str">
        <f>IF(OR($B586="",S$7=""),"",IF($B586="MEANS",INDEX('1-DATA'!$1:$1048576,$A585-1,COLUMN('1-DATA'!R584)),ROUND(INDEX('1-DATA'!$1:$1048576,IF(OR($B586="STD. DEVIATION",$C$1=1),$A586,$A586+1),COLUMN('1-DATA'!R584)),IF($B586="STD. DEVIATION",2,$F$1))))</f>
        <v/>
      </c>
      <c r="T586" s="1" t="str">
        <f>IF(OR($B586="",T$7=""),"",IF($B586="MEANS",INDEX('1-DATA'!$1:$1048576,$A585-1,COLUMN('1-DATA'!S584)),ROUND(INDEX('1-DATA'!$1:$1048576,IF(OR($B586="STD. DEVIATION",$C$1=1),$A586,$A586+1),COLUMN('1-DATA'!S584)),IF($B586="STD. DEVIATION",2,$F$1))))</f>
        <v/>
      </c>
      <c r="U586" s="1" t="str">
        <f>IF(OR($B586="",U$7=""),"",IF($B586="MEANS",INDEX('1-DATA'!$1:$1048576,$A585-1,COLUMN('1-DATA'!T584)),ROUND(INDEX('1-DATA'!$1:$1048576,IF(OR($B586="STD. DEVIATION",$C$1=1),$A586,$A586+1),COLUMN('1-DATA'!T584)),IF($B586="STD. DEVIATION",2,$F$1))))</f>
        <v/>
      </c>
      <c r="V586" s="1" t="str">
        <f>IF(OR($B586="",V$7=""),"",IF($B586="MEANS",INDEX('1-DATA'!$1:$1048576,$A585-1,COLUMN('1-DATA'!U584)),ROUND(INDEX('1-DATA'!$1:$1048576,IF(OR($B586="STD. DEVIATION",$C$1=1),$A586,$A586+1),COLUMN('1-DATA'!U584)),IF($B586="STD. DEVIATION",2,$F$1))))</f>
        <v/>
      </c>
      <c r="W586" s="1" t="str">
        <f>IF(OR($B586="",W$7=""),"",IF($B586="MEANS",INDEX('1-DATA'!$1:$1048576,$A585-1,COLUMN('1-DATA'!V584)),ROUND(INDEX('1-DATA'!$1:$1048576,IF(OR($B586="STD. DEVIATION",$C$1=1),$A586,$A586+1),COLUMN('1-DATA'!V584)),IF($B586="STD. DEVIATION",2,$F$1))))</f>
        <v/>
      </c>
      <c r="X586" s="1" t="str">
        <f>IF(OR($B586="",X$7=""),"",IF($B586="MEANS",INDEX('1-DATA'!$1:$1048576,$A585-1,COLUMN('1-DATA'!W584)),ROUND(INDEX('1-DATA'!$1:$1048576,IF(OR($B586="STD. DEVIATION",$C$1=1),$A586,$A586+1),COLUMN('1-DATA'!W584)),IF($B586="STD. DEVIATION",2,$F$1))))</f>
        <v/>
      </c>
      <c r="Y586" s="1" t="str">
        <f>IF(OR($B586="",Y$7=""),"",IF($B586="MEANS",INDEX('1-DATA'!$1:$1048576,$A585-1,COLUMN('1-DATA'!X584)),ROUND(INDEX('1-DATA'!$1:$1048576,IF(OR($B586="STD. DEVIATION",$C$1=1),$A586,$A586+1),COLUMN('1-DATA'!X584)),IF($B586="STD. DEVIATION",2,$F$1))))</f>
        <v/>
      </c>
      <c r="Z586" s="1" t="str">
        <f>IF(OR($B586="",Z$7=""),"",IF($B586="MEANS",INDEX('1-DATA'!$1:$1048576,$A585-1,COLUMN('1-DATA'!Y584)),ROUND(INDEX('1-DATA'!$1:$1048576,IF(OR($B586="STD. DEVIATION",$C$1=1),$A586,$A586+1),COLUMN('1-DATA'!Y584)),IF($B586="STD. DEVIATION",2,$F$1))))</f>
        <v/>
      </c>
      <c r="AA586" s="1" t="str">
        <f>IF(OR($B586="",AA$7=""),"",IF($B586="MEANS",INDEX('1-DATA'!$1:$1048576,$A585-1,COLUMN('1-DATA'!Z584)),ROUND(INDEX('1-DATA'!$1:$1048576,IF(OR($B586="STD. DEVIATION",$C$1=1),$A586,$A586+1),COLUMN('1-DATA'!Z584)),IF($B586="STD. DEVIATION",2,$F$1))))</f>
        <v/>
      </c>
      <c r="AB586" s="1" t="str">
        <f>IF(OR($B586="",AB$7=""),"",IF($B586="MEANS",INDEX('1-DATA'!$1:$1048576,$A585-1,COLUMN('1-DATA'!AA584)),ROUND(INDEX('1-DATA'!$1:$1048576,IF(OR($B586="STD. DEVIATION",$C$1=1),$A586,$A586+1),COLUMN('1-DATA'!AA584)),IF($B586="STD. DEVIATION",2,$F$1))))</f>
        <v/>
      </c>
      <c r="AC586" s="1" t="str">
        <f>IF(OR($B586="",AC$7=""),"",IF($B586="MEANS",INDEX('1-DATA'!$1:$1048576,$A585-1,COLUMN('1-DATA'!AB584)),ROUND(INDEX('1-DATA'!$1:$1048576,IF(OR($B586="STD. DEVIATION",$C$1=1),$A586,$A586+1),COLUMN('1-DATA'!AB584)),IF($B586="STD. DEVIATION",2,$F$1))))</f>
        <v/>
      </c>
      <c r="AD586" s="1" t="str">
        <f>IF(OR($B586="",AD$7=""),"",IF($B586="MEANS",INDEX('1-DATA'!$1:$1048576,$A585-1,COLUMN('1-DATA'!AC584)),ROUND(INDEX('1-DATA'!$1:$1048576,IF(OR($B586="STD. DEVIATION",$C$1=1),$A586,$A586+1),COLUMN('1-DATA'!AC584)),IF($B586="STD. DEVIATION",2,$F$1))))</f>
        <v/>
      </c>
      <c r="AE586" s="1" t="str">
        <f>IF(OR($B586="",AE$7=""),"",IF($B586="MEANS",INDEX('1-DATA'!$1:$1048576,$A585-1,COLUMN('1-DATA'!AD584)),ROUND(INDEX('1-DATA'!$1:$1048576,IF(OR($B586="STD. DEVIATION",$C$1=1),$A586,$A586+1),COLUMN('1-DATA'!AD584)),IF($B586="STD. DEVIATION",2,$F$1))))</f>
        <v/>
      </c>
      <c r="AF586" s="1" t="str">
        <f>IF(OR($B586="",AF$7=""),"",IF($B586="MEANS",INDEX('1-DATA'!$1:$1048576,$A585-1,COLUMN('1-DATA'!AE584)),ROUND(INDEX('1-DATA'!$1:$1048576,IF(OR($B586="STD. DEVIATION",$C$1=1),$A586,$A586+1),COLUMN('1-DATA'!AE584)),IF($B586="STD. DEVIATION",2,$F$1))))</f>
        <v/>
      </c>
      <c r="AG586" s="1" t="str">
        <f>IF(OR($B586="",AG$7=""),"",IF($B586="MEANS",INDEX('1-DATA'!$1:$1048576,$A585-1,COLUMN('1-DATA'!AF584)),ROUND(INDEX('1-DATA'!$1:$1048576,IF(OR($B586="STD. DEVIATION",$C$1=1),$A586,$A586+1),COLUMN('1-DATA'!AF584)),IF($B586="STD. DEVIATION",2,$F$1))))</f>
        <v/>
      </c>
      <c r="AH586" s="1" t="str">
        <f>IF(OR($B586="",AH$7=""),"",IF($B586="MEANS",INDEX('1-DATA'!$1:$1048576,$A585-1,COLUMN('1-DATA'!AG584)),ROUND(INDEX('1-DATA'!$1:$1048576,IF(OR($B586="STD. DEVIATION",$C$1=1),$A586,$A586+1),COLUMN('1-DATA'!AG584)),IF($B586="STD. DEVIATION",2,$F$1))))</f>
        <v/>
      </c>
      <c r="AI586" s="1" t="str">
        <f>IF(OR($B586="",AI$7=""),"",IF($B586="MEANS",INDEX('1-DATA'!$1:$1048576,$A585-1,COLUMN('1-DATA'!AH584)),ROUND(INDEX('1-DATA'!$1:$1048576,IF(OR($B586="STD. DEVIATION",$C$1=1),$A586,$A586+1),COLUMN('1-DATA'!AH584)),IF($B586="STD. DEVIATION",2,$F$1))))</f>
        <v/>
      </c>
      <c r="AJ586" s="1" t="str">
        <f>IF(OR($B586="",AJ$7=""),"",IF($B586="MEANS",INDEX('1-DATA'!$1:$1048576,$A585-1,COLUMN('1-DATA'!AI584)),ROUND(INDEX('1-DATA'!$1:$1048576,IF(OR($B586="STD. DEVIATION",$C$1=1),$A586,$A586+1),COLUMN('1-DATA'!AI584)),IF($B586="STD. DEVIATION",2,$F$1))))</f>
        <v/>
      </c>
      <c r="AK586" s="1" t="str">
        <f>IF(OR($B586="",AK$7=""),"",IF($B586="MEANS",INDEX('1-DATA'!$1:$1048576,$A585-1,COLUMN('1-DATA'!AJ584)),ROUND(INDEX('1-DATA'!$1:$1048576,IF(OR($B586="STD. DEVIATION",$C$1=1),$A586,$A586+1),COLUMN('1-DATA'!AJ584)),IF($B586="STD. DEVIATION",2,$F$1))))</f>
        <v/>
      </c>
      <c r="AL586" s="1" t="str">
        <f>IF(OR($B586="",AL$7=""),"",IF($B586="MEANS",INDEX('1-DATA'!$1:$1048576,$A585-1,COLUMN('1-DATA'!AK584)),ROUND(INDEX('1-DATA'!$1:$1048576,IF(OR($B586="STD. DEVIATION",$C$1=1),$A586,$A586+1),COLUMN('1-DATA'!AK584)),IF($B586="STD. DEVIATION",2,$F$1))))</f>
        <v/>
      </c>
      <c r="AM586" s="1" t="str">
        <f>IF(OR($B586="",AM$7=""),"",IF($B586="MEANS",INDEX('1-DATA'!$1:$1048576,$A585-1,COLUMN('1-DATA'!AL584)),ROUND(INDEX('1-DATA'!$1:$1048576,IF(OR($B586="STD. DEVIATION",$C$1=1),$A586,$A586+1),COLUMN('1-DATA'!AL584)),IF($B586="STD. DEVIATION",2,$F$1))))</f>
        <v/>
      </c>
      <c r="AN586" s="1" t="str">
        <f>IF(OR($B586="",AN$7=""),"",IF($B586="MEANS",INDEX('1-DATA'!$1:$1048576,$A585-1,COLUMN('1-DATA'!AM584)),ROUND(INDEX('1-DATA'!$1:$1048576,IF(OR($B586="STD. DEVIATION",$C$1=1),$A586,$A586+1),COLUMN('1-DATA'!AM584)),IF($B586="STD. DEVIATION",2,$F$1))))</f>
        <v/>
      </c>
      <c r="AO586" s="1" t="str">
        <f>IF(OR($B586="",AO$7=""),"",IF($B586="MEANS",INDEX('1-DATA'!$1:$1048576,$A585-1,COLUMN('1-DATA'!AN584)),ROUND(INDEX('1-DATA'!$1:$1048576,IF(OR($B586="STD. DEVIATION",$C$1=1),$A586,$A586+1),COLUMN('1-DATA'!AN584)),IF($B586="STD. DEVIATION",2,$F$1))))</f>
        <v/>
      </c>
      <c r="AP586" s="1" t="str">
        <f>IF(OR($B586="",AP$7=""),"",IF($B586="MEANS",INDEX('1-DATA'!$1:$1048576,$A585-1,COLUMN('1-DATA'!AO584)),ROUND(INDEX('1-DATA'!$1:$1048576,IF(OR($B586="STD. DEVIATION",$C$1=1),$A586,$A586+1),COLUMN('1-DATA'!AO584)),IF($B586="STD. DEVIATION",2,$F$1))))</f>
        <v/>
      </c>
      <c r="AQ586" s="1" t="str">
        <f>IF(OR($B586="",AQ$7=""),"",IF($B586="MEANS",INDEX('1-DATA'!$1:$1048576,$A585-1,COLUMN('1-DATA'!AP584)),ROUND(INDEX('1-DATA'!$1:$1048576,IF(OR($B586="STD. DEVIATION",$C$1=1),$A586,$A586+1),COLUMN('1-DATA'!AP584)),IF($B586="STD. DEVIATION",2,$F$1))))</f>
        <v/>
      </c>
      <c r="AR586" s="1" t="str">
        <f>IF(OR($B586="",AR$7=""),"",IF($B586="MEANS",INDEX('1-DATA'!$1:$1048576,$A585-1,COLUMN('1-DATA'!AQ584)),ROUND(INDEX('1-DATA'!$1:$1048576,IF(OR($B586="STD. DEVIATION",$C$1=1),$A586,$A586+1),COLUMN('1-DATA'!AQ584)),IF($B586="STD. DEVIATION",2,$F$1))))</f>
        <v/>
      </c>
      <c r="AS586" s="1" t="str">
        <f>IF(OR($B586="",AS$7=""),"",IF($B586="MEANS",INDEX('1-DATA'!$1:$1048576,$A585-1,COLUMN('1-DATA'!AR584)),ROUND(INDEX('1-DATA'!$1:$1048576,IF(OR($B586="STD. DEVIATION",$C$1=1),$A586,$A586+1),COLUMN('1-DATA'!AR584)),IF($B586="STD. DEVIATION",2,$F$1))))</f>
        <v/>
      </c>
      <c r="AT586" s="1" t="str">
        <f>IF(OR($B586="",AT$7=""),"",IF($B586="MEANS",INDEX('1-DATA'!$1:$1048576,$A585-1,COLUMN('1-DATA'!AS584)),ROUND(INDEX('1-DATA'!$1:$1048576,IF(OR($B586="STD. DEVIATION",$C$1=1),$A586,$A586+1),COLUMN('1-DATA'!AS584)),IF($B586="STD. DEVIATION",2,$F$1))))</f>
        <v/>
      </c>
      <c r="AU586" s="1" t="str">
        <f>IF(OR($B586="",AU$7=""),"",IF($B586="MEANS",INDEX('1-DATA'!$1:$1048576,$A585-1,COLUMN('1-DATA'!AT584)),ROUND(INDEX('1-DATA'!$1:$1048576,IF(OR($B586="STD. DEVIATION",$C$1=1),$A586,$A586+1),COLUMN('1-DATA'!AT584)),IF($B586="STD. DEVIATION",2,$F$1))))</f>
        <v/>
      </c>
      <c r="AV586" s="1" t="str">
        <f>IF(OR($B586="",AV$7=""),"",IF($B586="MEANS",INDEX('1-DATA'!$1:$1048576,$A585-1,COLUMN('1-DATA'!AU584)),ROUND(INDEX('1-DATA'!$1:$1048576,IF(OR($B586="STD. DEVIATION",$C$1=1),$A586,$A586+1),COLUMN('1-DATA'!AU584)),IF($B586="STD. DEVIATION",2,$F$1))))</f>
        <v/>
      </c>
      <c r="AW586" s="1" t="str">
        <f>IF(OR($B586="",AW$7=""),"",IF($B586="MEANS",INDEX('1-DATA'!$1:$1048576,$A585-1,COLUMN('1-DATA'!AV584)),ROUND(INDEX('1-DATA'!$1:$1048576,IF(OR($B586="STD. DEVIATION",$C$1=1),$A586,$A586+1),COLUMN('1-DATA'!AV584)),IF($B586="STD. DEVIATION",2,$F$1))))</f>
        <v/>
      </c>
      <c r="AX586" s="1" t="str">
        <f>IF(OR($B586="",AX$7=""),"",IF($B586="MEANS",INDEX('1-DATA'!$1:$1048576,$A585-1,COLUMN('1-DATA'!AW584)),ROUND(INDEX('1-DATA'!$1:$1048576,IF(OR($B586="STD. DEVIATION",$C$1=1),$A586,$A586+1),COLUMN('1-DATA'!AW584)),IF($B586="STD. DEVIATION",2,$F$1))))</f>
        <v/>
      </c>
      <c r="AY586" s="1" t="str">
        <f>IF(OR($B586="",AY$7=""),"",IF($B586="MEANS",INDEX('1-DATA'!$1:$1048576,$A585-1,COLUMN('1-DATA'!AX584)),ROUND(INDEX('1-DATA'!$1:$1048576,IF(OR($B586="STD. DEVIATION",$C$1=1),$A586,$A586+1),COLUMN('1-DATA'!AX584)),IF($B586="STD. DEVIATION",2,$F$1))))</f>
        <v/>
      </c>
      <c r="AZ586" s="1" t="str">
        <f>IF(OR($B586="",AZ$7=""),"",IF($B586="MEANS",INDEX('1-DATA'!$1:$1048576,$A585-1,COLUMN('1-DATA'!AY584)),ROUND(INDEX('1-DATA'!$1:$1048576,IF(OR($B586="STD. DEVIATION",$C$1=1),$A586,$A586+1),COLUMN('1-DATA'!AY584)),IF($B586="STD. DEVIATION",2,$F$1))))</f>
        <v/>
      </c>
    </row>
    <row r="587" spans="1:52" x14ac:dyDescent="0.25">
      <c r="A587" s="11">
        <f t="shared" si="9"/>
        <v>1747</v>
      </c>
      <c r="B587" s="1" t="str">
        <f>IF(B586="STD. DEVIATION",INDEX('1-DATA'!$1:$1048576,$A586-1,1),IF(INDEX('1-DATA'!$1:$1048576,$A587,1)&lt;&gt;"",INDEX('1-DATA'!$1:$1048576,$A587,1),""))</f>
        <v/>
      </c>
      <c r="C587" s="1" t="str">
        <f>IF(OR($B587="",C$7=""),"",IF($B587="MEANS",INDEX('1-DATA'!$1:$1048576,$A586-1,COLUMN('1-DATA'!B585)),ROUND(INDEX('1-DATA'!$1:$1048576,IF(OR($B587="STD. DEVIATION",$C$1=1),$A587,$A587+1),COLUMN('1-DATA'!B585)),IF($B587="STD. DEVIATION",2,$F$1))))</f>
        <v/>
      </c>
      <c r="D587" s="1" t="str">
        <f>IF(OR($B587="",D$7=""),"",IF($B587="MEANS",INDEX('1-DATA'!$1:$1048576,$A586-1,COLUMN('1-DATA'!C585)),ROUND(INDEX('1-DATA'!$1:$1048576,IF(OR($B587="STD. DEVIATION",$C$1=1),$A587,$A587+1),COLUMN('1-DATA'!C585)),IF($B587="STD. DEVIATION",2,$F$1))))</f>
        <v/>
      </c>
      <c r="E587" s="1" t="str">
        <f>IF(OR($B587="",E$7=""),"",IF($B587="MEANS",INDEX('1-DATA'!$1:$1048576,$A586-1,COLUMN('1-DATA'!D585)),ROUND(INDEX('1-DATA'!$1:$1048576,IF(OR($B587="STD. DEVIATION",$C$1=1),$A587,$A587+1),COLUMN('1-DATA'!D585)),IF($B587="STD. DEVIATION",2,$F$1))))</f>
        <v/>
      </c>
      <c r="F587" s="1" t="str">
        <f>IF(OR($B587="",F$7=""),"",IF($B587="MEANS",INDEX('1-DATA'!$1:$1048576,$A586-1,COLUMN('1-DATA'!E585)),ROUND(INDEX('1-DATA'!$1:$1048576,IF(OR($B587="STD. DEVIATION",$C$1=1),$A587,$A587+1),COLUMN('1-DATA'!E585)),IF($B587="STD. DEVIATION",2,$F$1))))</f>
        <v/>
      </c>
      <c r="G587" s="1" t="str">
        <f>IF(OR($B587="",G$7=""),"",IF($B587="MEANS",INDEX('1-DATA'!$1:$1048576,$A586-1,COLUMN('1-DATA'!F585)),ROUND(INDEX('1-DATA'!$1:$1048576,IF(OR($B587="STD. DEVIATION",$C$1=1),$A587,$A587+1),COLUMN('1-DATA'!F585)),IF($B587="STD. DEVIATION",2,$F$1))))</f>
        <v/>
      </c>
      <c r="H587" s="1" t="str">
        <f>IF(OR($B587="",H$7=""),"",IF($B587="MEANS",INDEX('1-DATA'!$1:$1048576,$A586-1,COLUMN('1-DATA'!G585)),ROUND(INDEX('1-DATA'!$1:$1048576,IF(OR($B587="STD. DEVIATION",$C$1=1),$A587,$A587+1),COLUMN('1-DATA'!G585)),IF($B587="STD. DEVIATION",2,$F$1))))</f>
        <v/>
      </c>
      <c r="I587" s="1" t="str">
        <f>IF(OR($B587="",I$7=""),"",IF($B587="MEANS",INDEX('1-DATA'!$1:$1048576,$A586-1,COLUMN('1-DATA'!H585)),ROUND(INDEX('1-DATA'!$1:$1048576,IF(OR($B587="STD. DEVIATION",$C$1=1),$A587,$A587+1),COLUMN('1-DATA'!H585)),IF($B587="STD. DEVIATION",2,$F$1))))</f>
        <v/>
      </c>
      <c r="J587" s="1" t="str">
        <f>IF(OR($B587="",J$7=""),"",IF($B587="MEANS",INDEX('1-DATA'!$1:$1048576,$A586-1,COLUMN('1-DATA'!I585)),ROUND(INDEX('1-DATA'!$1:$1048576,IF(OR($B587="STD. DEVIATION",$C$1=1),$A587,$A587+1),COLUMN('1-DATA'!I585)),IF($B587="STD. DEVIATION",2,$F$1))))</f>
        <v/>
      </c>
      <c r="K587" s="1" t="str">
        <f>IF(OR($B587="",K$7=""),"",IF($B587="MEANS",INDEX('1-DATA'!$1:$1048576,$A586-1,COLUMN('1-DATA'!J585)),ROUND(INDEX('1-DATA'!$1:$1048576,IF(OR($B587="STD. DEVIATION",$C$1=1),$A587,$A587+1),COLUMN('1-DATA'!J585)),IF($B587="STD. DEVIATION",2,$F$1))))</f>
        <v/>
      </c>
      <c r="L587" s="1" t="str">
        <f>IF(OR($B587="",L$7=""),"",IF($B587="MEANS",INDEX('1-DATA'!$1:$1048576,$A586-1,COLUMN('1-DATA'!K585)),ROUND(INDEX('1-DATA'!$1:$1048576,IF(OR($B587="STD. DEVIATION",$C$1=1),$A587,$A587+1),COLUMN('1-DATA'!K585)),IF($B587="STD. DEVIATION",2,$F$1))))</f>
        <v/>
      </c>
      <c r="M587" s="1" t="str">
        <f>IF(OR($B587="",M$7=""),"",IF($B587="MEANS",INDEX('1-DATA'!$1:$1048576,$A586-1,COLUMN('1-DATA'!L585)),ROUND(INDEX('1-DATA'!$1:$1048576,IF(OR($B587="STD. DEVIATION",$C$1=1),$A587,$A587+1),COLUMN('1-DATA'!L585)),IF($B587="STD. DEVIATION",2,$F$1))))</f>
        <v/>
      </c>
      <c r="N587" s="1" t="str">
        <f>IF(OR($B587="",N$7=""),"",IF($B587="MEANS",INDEX('1-DATA'!$1:$1048576,$A586-1,COLUMN('1-DATA'!M585)),ROUND(INDEX('1-DATA'!$1:$1048576,IF(OR($B587="STD. DEVIATION",$C$1=1),$A587,$A587+1),COLUMN('1-DATA'!M585)),IF($B587="STD. DEVIATION",2,$F$1))))</f>
        <v/>
      </c>
      <c r="O587" s="1" t="str">
        <f>IF(OR($B587="",O$7=""),"",IF($B587="MEANS",INDEX('1-DATA'!$1:$1048576,$A586-1,COLUMN('1-DATA'!N585)),ROUND(INDEX('1-DATA'!$1:$1048576,IF(OR($B587="STD. DEVIATION",$C$1=1),$A587,$A587+1),COLUMN('1-DATA'!N585)),IF($B587="STD. DEVIATION",2,$F$1))))</f>
        <v/>
      </c>
      <c r="P587" s="1" t="str">
        <f>IF(OR($B587="",P$7=""),"",IF($B587="MEANS",INDEX('1-DATA'!$1:$1048576,$A586-1,COLUMN('1-DATA'!O585)),ROUND(INDEX('1-DATA'!$1:$1048576,IF(OR($B587="STD. DEVIATION",$C$1=1),$A587,$A587+1),COLUMN('1-DATA'!O585)),IF($B587="STD. DEVIATION",2,$F$1))))</f>
        <v/>
      </c>
      <c r="Q587" s="1" t="str">
        <f>IF(OR($B587="",Q$7=""),"",IF($B587="MEANS",INDEX('1-DATA'!$1:$1048576,$A586-1,COLUMN('1-DATA'!P585)),ROUND(INDEX('1-DATA'!$1:$1048576,IF(OR($B587="STD. DEVIATION",$C$1=1),$A587,$A587+1),COLUMN('1-DATA'!P585)),IF($B587="STD. DEVIATION",2,$F$1))))</f>
        <v/>
      </c>
      <c r="R587" s="1" t="str">
        <f>IF(OR($B587="",R$7=""),"",IF($B587="MEANS",INDEX('1-DATA'!$1:$1048576,$A586-1,COLUMN('1-DATA'!Q585)),ROUND(INDEX('1-DATA'!$1:$1048576,IF(OR($B587="STD. DEVIATION",$C$1=1),$A587,$A587+1),COLUMN('1-DATA'!Q585)),IF($B587="STD. DEVIATION",2,$F$1))))</f>
        <v/>
      </c>
      <c r="S587" s="1" t="str">
        <f>IF(OR($B587="",S$7=""),"",IF($B587="MEANS",INDEX('1-DATA'!$1:$1048576,$A586-1,COLUMN('1-DATA'!R585)),ROUND(INDEX('1-DATA'!$1:$1048576,IF(OR($B587="STD. DEVIATION",$C$1=1),$A587,$A587+1),COLUMN('1-DATA'!R585)),IF($B587="STD. DEVIATION",2,$F$1))))</f>
        <v/>
      </c>
      <c r="T587" s="1" t="str">
        <f>IF(OR($B587="",T$7=""),"",IF($B587="MEANS",INDEX('1-DATA'!$1:$1048576,$A586-1,COLUMN('1-DATA'!S585)),ROUND(INDEX('1-DATA'!$1:$1048576,IF(OR($B587="STD. DEVIATION",$C$1=1),$A587,$A587+1),COLUMN('1-DATA'!S585)),IF($B587="STD. DEVIATION",2,$F$1))))</f>
        <v/>
      </c>
      <c r="U587" s="1" t="str">
        <f>IF(OR($B587="",U$7=""),"",IF($B587="MEANS",INDEX('1-DATA'!$1:$1048576,$A586-1,COLUMN('1-DATA'!T585)),ROUND(INDEX('1-DATA'!$1:$1048576,IF(OR($B587="STD. DEVIATION",$C$1=1),$A587,$A587+1),COLUMN('1-DATA'!T585)),IF($B587="STD. DEVIATION",2,$F$1))))</f>
        <v/>
      </c>
      <c r="V587" s="1" t="str">
        <f>IF(OR($B587="",V$7=""),"",IF($B587="MEANS",INDEX('1-DATA'!$1:$1048576,$A586-1,COLUMN('1-DATA'!U585)),ROUND(INDEX('1-DATA'!$1:$1048576,IF(OR($B587="STD. DEVIATION",$C$1=1),$A587,$A587+1),COLUMN('1-DATA'!U585)),IF($B587="STD. DEVIATION",2,$F$1))))</f>
        <v/>
      </c>
      <c r="W587" s="1" t="str">
        <f>IF(OR($B587="",W$7=""),"",IF($B587="MEANS",INDEX('1-DATA'!$1:$1048576,$A586-1,COLUMN('1-DATA'!V585)),ROUND(INDEX('1-DATA'!$1:$1048576,IF(OR($B587="STD. DEVIATION",$C$1=1),$A587,$A587+1),COLUMN('1-DATA'!V585)),IF($B587="STD. DEVIATION",2,$F$1))))</f>
        <v/>
      </c>
      <c r="X587" s="1" t="str">
        <f>IF(OR($B587="",X$7=""),"",IF($B587="MEANS",INDEX('1-DATA'!$1:$1048576,$A586-1,COLUMN('1-DATA'!W585)),ROUND(INDEX('1-DATA'!$1:$1048576,IF(OR($B587="STD. DEVIATION",$C$1=1),$A587,$A587+1),COLUMN('1-DATA'!W585)),IF($B587="STD. DEVIATION",2,$F$1))))</f>
        <v/>
      </c>
      <c r="Y587" s="1" t="str">
        <f>IF(OR($B587="",Y$7=""),"",IF($B587="MEANS",INDEX('1-DATA'!$1:$1048576,$A586-1,COLUMN('1-DATA'!X585)),ROUND(INDEX('1-DATA'!$1:$1048576,IF(OR($B587="STD. DEVIATION",$C$1=1),$A587,$A587+1),COLUMN('1-DATA'!X585)),IF($B587="STD. DEVIATION",2,$F$1))))</f>
        <v/>
      </c>
      <c r="Z587" s="1" t="str">
        <f>IF(OR($B587="",Z$7=""),"",IF($B587="MEANS",INDEX('1-DATA'!$1:$1048576,$A586-1,COLUMN('1-DATA'!Y585)),ROUND(INDEX('1-DATA'!$1:$1048576,IF(OR($B587="STD. DEVIATION",$C$1=1),$A587,$A587+1),COLUMN('1-DATA'!Y585)),IF($B587="STD. DEVIATION",2,$F$1))))</f>
        <v/>
      </c>
      <c r="AA587" s="1" t="str">
        <f>IF(OR($B587="",AA$7=""),"",IF($B587="MEANS",INDEX('1-DATA'!$1:$1048576,$A586-1,COLUMN('1-DATA'!Z585)),ROUND(INDEX('1-DATA'!$1:$1048576,IF(OR($B587="STD. DEVIATION",$C$1=1),$A587,$A587+1),COLUMN('1-DATA'!Z585)),IF($B587="STD. DEVIATION",2,$F$1))))</f>
        <v/>
      </c>
      <c r="AB587" s="1" t="str">
        <f>IF(OR($B587="",AB$7=""),"",IF($B587="MEANS",INDEX('1-DATA'!$1:$1048576,$A586-1,COLUMN('1-DATA'!AA585)),ROUND(INDEX('1-DATA'!$1:$1048576,IF(OR($B587="STD. DEVIATION",$C$1=1),$A587,$A587+1),COLUMN('1-DATA'!AA585)),IF($B587="STD. DEVIATION",2,$F$1))))</f>
        <v/>
      </c>
      <c r="AC587" s="1" t="str">
        <f>IF(OR($B587="",AC$7=""),"",IF($B587="MEANS",INDEX('1-DATA'!$1:$1048576,$A586-1,COLUMN('1-DATA'!AB585)),ROUND(INDEX('1-DATA'!$1:$1048576,IF(OR($B587="STD. DEVIATION",$C$1=1),$A587,$A587+1),COLUMN('1-DATA'!AB585)),IF($B587="STD. DEVIATION",2,$F$1))))</f>
        <v/>
      </c>
      <c r="AD587" s="1" t="str">
        <f>IF(OR($B587="",AD$7=""),"",IF($B587="MEANS",INDEX('1-DATA'!$1:$1048576,$A586-1,COLUMN('1-DATA'!AC585)),ROUND(INDEX('1-DATA'!$1:$1048576,IF(OR($B587="STD. DEVIATION",$C$1=1),$A587,$A587+1),COLUMN('1-DATA'!AC585)),IF($B587="STD. DEVIATION",2,$F$1))))</f>
        <v/>
      </c>
      <c r="AE587" s="1" t="str">
        <f>IF(OR($B587="",AE$7=""),"",IF($B587="MEANS",INDEX('1-DATA'!$1:$1048576,$A586-1,COLUMN('1-DATA'!AD585)),ROUND(INDEX('1-DATA'!$1:$1048576,IF(OR($B587="STD. DEVIATION",$C$1=1),$A587,$A587+1),COLUMN('1-DATA'!AD585)),IF($B587="STD. DEVIATION",2,$F$1))))</f>
        <v/>
      </c>
      <c r="AF587" s="1" t="str">
        <f>IF(OR($B587="",AF$7=""),"",IF($B587="MEANS",INDEX('1-DATA'!$1:$1048576,$A586-1,COLUMN('1-DATA'!AE585)),ROUND(INDEX('1-DATA'!$1:$1048576,IF(OR($B587="STD. DEVIATION",$C$1=1),$A587,$A587+1),COLUMN('1-DATA'!AE585)),IF($B587="STD. DEVIATION",2,$F$1))))</f>
        <v/>
      </c>
      <c r="AG587" s="1" t="str">
        <f>IF(OR($B587="",AG$7=""),"",IF($B587="MEANS",INDEX('1-DATA'!$1:$1048576,$A586-1,COLUMN('1-DATA'!AF585)),ROUND(INDEX('1-DATA'!$1:$1048576,IF(OR($B587="STD. DEVIATION",$C$1=1),$A587,$A587+1),COLUMN('1-DATA'!AF585)),IF($B587="STD. DEVIATION",2,$F$1))))</f>
        <v/>
      </c>
      <c r="AH587" s="1" t="str">
        <f>IF(OR($B587="",AH$7=""),"",IF($B587="MEANS",INDEX('1-DATA'!$1:$1048576,$A586-1,COLUMN('1-DATA'!AG585)),ROUND(INDEX('1-DATA'!$1:$1048576,IF(OR($B587="STD. DEVIATION",$C$1=1),$A587,$A587+1),COLUMN('1-DATA'!AG585)),IF($B587="STD. DEVIATION",2,$F$1))))</f>
        <v/>
      </c>
      <c r="AI587" s="1" t="str">
        <f>IF(OR($B587="",AI$7=""),"",IF($B587="MEANS",INDEX('1-DATA'!$1:$1048576,$A586-1,COLUMN('1-DATA'!AH585)),ROUND(INDEX('1-DATA'!$1:$1048576,IF(OR($B587="STD. DEVIATION",$C$1=1),$A587,$A587+1),COLUMN('1-DATA'!AH585)),IF($B587="STD. DEVIATION",2,$F$1))))</f>
        <v/>
      </c>
      <c r="AJ587" s="1" t="str">
        <f>IF(OR($B587="",AJ$7=""),"",IF($B587="MEANS",INDEX('1-DATA'!$1:$1048576,$A586-1,COLUMN('1-DATA'!AI585)),ROUND(INDEX('1-DATA'!$1:$1048576,IF(OR($B587="STD. DEVIATION",$C$1=1),$A587,$A587+1),COLUMN('1-DATA'!AI585)),IF($B587="STD. DEVIATION",2,$F$1))))</f>
        <v/>
      </c>
      <c r="AK587" s="1" t="str">
        <f>IF(OR($B587="",AK$7=""),"",IF($B587="MEANS",INDEX('1-DATA'!$1:$1048576,$A586-1,COLUMN('1-DATA'!AJ585)),ROUND(INDEX('1-DATA'!$1:$1048576,IF(OR($B587="STD. DEVIATION",$C$1=1),$A587,$A587+1),COLUMN('1-DATA'!AJ585)),IF($B587="STD. DEVIATION",2,$F$1))))</f>
        <v/>
      </c>
      <c r="AL587" s="1" t="str">
        <f>IF(OR($B587="",AL$7=""),"",IF($B587="MEANS",INDEX('1-DATA'!$1:$1048576,$A586-1,COLUMN('1-DATA'!AK585)),ROUND(INDEX('1-DATA'!$1:$1048576,IF(OR($B587="STD. DEVIATION",$C$1=1),$A587,$A587+1),COLUMN('1-DATA'!AK585)),IF($B587="STD. DEVIATION",2,$F$1))))</f>
        <v/>
      </c>
      <c r="AM587" s="1" t="str">
        <f>IF(OR($B587="",AM$7=""),"",IF($B587="MEANS",INDEX('1-DATA'!$1:$1048576,$A586-1,COLUMN('1-DATA'!AL585)),ROUND(INDEX('1-DATA'!$1:$1048576,IF(OR($B587="STD. DEVIATION",$C$1=1),$A587,$A587+1),COLUMN('1-DATA'!AL585)),IF($B587="STD. DEVIATION",2,$F$1))))</f>
        <v/>
      </c>
      <c r="AN587" s="1" t="str">
        <f>IF(OR($B587="",AN$7=""),"",IF($B587="MEANS",INDEX('1-DATA'!$1:$1048576,$A586-1,COLUMN('1-DATA'!AM585)),ROUND(INDEX('1-DATA'!$1:$1048576,IF(OR($B587="STD. DEVIATION",$C$1=1),$A587,$A587+1),COLUMN('1-DATA'!AM585)),IF($B587="STD. DEVIATION",2,$F$1))))</f>
        <v/>
      </c>
      <c r="AO587" s="1" t="str">
        <f>IF(OR($B587="",AO$7=""),"",IF($B587="MEANS",INDEX('1-DATA'!$1:$1048576,$A586-1,COLUMN('1-DATA'!AN585)),ROUND(INDEX('1-DATA'!$1:$1048576,IF(OR($B587="STD. DEVIATION",$C$1=1),$A587,$A587+1),COLUMN('1-DATA'!AN585)),IF($B587="STD. DEVIATION",2,$F$1))))</f>
        <v/>
      </c>
      <c r="AP587" s="1" t="str">
        <f>IF(OR($B587="",AP$7=""),"",IF($B587="MEANS",INDEX('1-DATA'!$1:$1048576,$A586-1,COLUMN('1-DATA'!AO585)),ROUND(INDEX('1-DATA'!$1:$1048576,IF(OR($B587="STD. DEVIATION",$C$1=1),$A587,$A587+1),COLUMN('1-DATA'!AO585)),IF($B587="STD. DEVIATION",2,$F$1))))</f>
        <v/>
      </c>
      <c r="AQ587" s="1" t="str">
        <f>IF(OR($B587="",AQ$7=""),"",IF($B587="MEANS",INDEX('1-DATA'!$1:$1048576,$A586-1,COLUMN('1-DATA'!AP585)),ROUND(INDEX('1-DATA'!$1:$1048576,IF(OR($B587="STD. DEVIATION",$C$1=1),$A587,$A587+1),COLUMN('1-DATA'!AP585)),IF($B587="STD. DEVIATION",2,$F$1))))</f>
        <v/>
      </c>
      <c r="AR587" s="1" t="str">
        <f>IF(OR($B587="",AR$7=""),"",IF($B587="MEANS",INDEX('1-DATA'!$1:$1048576,$A586-1,COLUMN('1-DATA'!AQ585)),ROUND(INDEX('1-DATA'!$1:$1048576,IF(OR($B587="STD. DEVIATION",$C$1=1),$A587,$A587+1),COLUMN('1-DATA'!AQ585)),IF($B587="STD. DEVIATION",2,$F$1))))</f>
        <v/>
      </c>
      <c r="AS587" s="1" t="str">
        <f>IF(OR($B587="",AS$7=""),"",IF($B587="MEANS",INDEX('1-DATA'!$1:$1048576,$A586-1,COLUMN('1-DATA'!AR585)),ROUND(INDEX('1-DATA'!$1:$1048576,IF(OR($B587="STD. DEVIATION",$C$1=1),$A587,$A587+1),COLUMN('1-DATA'!AR585)),IF($B587="STD. DEVIATION",2,$F$1))))</f>
        <v/>
      </c>
      <c r="AT587" s="1" t="str">
        <f>IF(OR($B587="",AT$7=""),"",IF($B587="MEANS",INDEX('1-DATA'!$1:$1048576,$A586-1,COLUMN('1-DATA'!AS585)),ROUND(INDEX('1-DATA'!$1:$1048576,IF(OR($B587="STD. DEVIATION",$C$1=1),$A587,$A587+1),COLUMN('1-DATA'!AS585)),IF($B587="STD. DEVIATION",2,$F$1))))</f>
        <v/>
      </c>
      <c r="AU587" s="1" t="str">
        <f>IF(OR($B587="",AU$7=""),"",IF($B587="MEANS",INDEX('1-DATA'!$1:$1048576,$A586-1,COLUMN('1-DATA'!AT585)),ROUND(INDEX('1-DATA'!$1:$1048576,IF(OR($B587="STD. DEVIATION",$C$1=1),$A587,$A587+1),COLUMN('1-DATA'!AT585)),IF($B587="STD. DEVIATION",2,$F$1))))</f>
        <v/>
      </c>
      <c r="AV587" s="1" t="str">
        <f>IF(OR($B587="",AV$7=""),"",IF($B587="MEANS",INDEX('1-DATA'!$1:$1048576,$A586-1,COLUMN('1-DATA'!AU585)),ROUND(INDEX('1-DATA'!$1:$1048576,IF(OR($B587="STD. DEVIATION",$C$1=1),$A587,$A587+1),COLUMN('1-DATA'!AU585)),IF($B587="STD. DEVIATION",2,$F$1))))</f>
        <v/>
      </c>
      <c r="AW587" s="1" t="str">
        <f>IF(OR($B587="",AW$7=""),"",IF($B587="MEANS",INDEX('1-DATA'!$1:$1048576,$A586-1,COLUMN('1-DATA'!AV585)),ROUND(INDEX('1-DATA'!$1:$1048576,IF(OR($B587="STD. DEVIATION",$C$1=1),$A587,$A587+1),COLUMN('1-DATA'!AV585)),IF($B587="STD. DEVIATION",2,$F$1))))</f>
        <v/>
      </c>
      <c r="AX587" s="1" t="str">
        <f>IF(OR($B587="",AX$7=""),"",IF($B587="MEANS",INDEX('1-DATA'!$1:$1048576,$A586-1,COLUMN('1-DATA'!AW585)),ROUND(INDEX('1-DATA'!$1:$1048576,IF(OR($B587="STD. DEVIATION",$C$1=1),$A587,$A587+1),COLUMN('1-DATA'!AW585)),IF($B587="STD. DEVIATION",2,$F$1))))</f>
        <v/>
      </c>
      <c r="AY587" s="1" t="str">
        <f>IF(OR($B587="",AY$7=""),"",IF($B587="MEANS",INDEX('1-DATA'!$1:$1048576,$A586-1,COLUMN('1-DATA'!AX585)),ROUND(INDEX('1-DATA'!$1:$1048576,IF(OR($B587="STD. DEVIATION",$C$1=1),$A587,$A587+1),COLUMN('1-DATA'!AX585)),IF($B587="STD. DEVIATION",2,$F$1))))</f>
        <v/>
      </c>
      <c r="AZ587" s="1" t="str">
        <f>IF(OR($B587="",AZ$7=""),"",IF($B587="MEANS",INDEX('1-DATA'!$1:$1048576,$A586-1,COLUMN('1-DATA'!AY585)),ROUND(INDEX('1-DATA'!$1:$1048576,IF(OR($B587="STD. DEVIATION",$C$1=1),$A587,$A587+1),COLUMN('1-DATA'!AY585)),IF($B587="STD. DEVIATION",2,$F$1))))</f>
        <v/>
      </c>
    </row>
    <row r="588" spans="1:52" x14ac:dyDescent="0.25">
      <c r="A588" s="11">
        <f t="shared" si="9"/>
        <v>1750</v>
      </c>
      <c r="B588" s="1" t="str">
        <f>IF(B587="STD. DEVIATION",INDEX('1-DATA'!$1:$1048576,$A587-1,1),IF(INDEX('1-DATA'!$1:$1048576,$A588,1)&lt;&gt;"",INDEX('1-DATA'!$1:$1048576,$A588,1),""))</f>
        <v/>
      </c>
      <c r="C588" s="1" t="str">
        <f>IF(OR($B588="",C$7=""),"",IF($B588="MEANS",INDEX('1-DATA'!$1:$1048576,$A587-1,COLUMN('1-DATA'!B586)),ROUND(INDEX('1-DATA'!$1:$1048576,IF(OR($B588="STD. DEVIATION",$C$1=1),$A588,$A588+1),COLUMN('1-DATA'!B586)),IF($B588="STD. DEVIATION",2,$F$1))))</f>
        <v/>
      </c>
      <c r="D588" s="1" t="str">
        <f>IF(OR($B588="",D$7=""),"",IF($B588="MEANS",INDEX('1-DATA'!$1:$1048576,$A587-1,COLUMN('1-DATA'!C586)),ROUND(INDEX('1-DATA'!$1:$1048576,IF(OR($B588="STD. DEVIATION",$C$1=1),$A588,$A588+1),COLUMN('1-DATA'!C586)),IF($B588="STD. DEVIATION",2,$F$1))))</f>
        <v/>
      </c>
      <c r="E588" s="1" t="str">
        <f>IF(OR($B588="",E$7=""),"",IF($B588="MEANS",INDEX('1-DATA'!$1:$1048576,$A587-1,COLUMN('1-DATA'!D586)),ROUND(INDEX('1-DATA'!$1:$1048576,IF(OR($B588="STD. DEVIATION",$C$1=1),$A588,$A588+1),COLUMN('1-DATA'!D586)),IF($B588="STD. DEVIATION",2,$F$1))))</f>
        <v/>
      </c>
      <c r="F588" s="1" t="str">
        <f>IF(OR($B588="",F$7=""),"",IF($B588="MEANS",INDEX('1-DATA'!$1:$1048576,$A587-1,COLUMN('1-DATA'!E586)),ROUND(INDEX('1-DATA'!$1:$1048576,IF(OR($B588="STD. DEVIATION",$C$1=1),$A588,$A588+1),COLUMN('1-DATA'!E586)),IF($B588="STD. DEVIATION",2,$F$1))))</f>
        <v/>
      </c>
      <c r="G588" s="1" t="str">
        <f>IF(OR($B588="",G$7=""),"",IF($B588="MEANS",INDEX('1-DATA'!$1:$1048576,$A587-1,COLUMN('1-DATA'!F586)),ROUND(INDEX('1-DATA'!$1:$1048576,IF(OR($B588="STD. DEVIATION",$C$1=1),$A588,$A588+1),COLUMN('1-DATA'!F586)),IF($B588="STD. DEVIATION",2,$F$1))))</f>
        <v/>
      </c>
      <c r="H588" s="1" t="str">
        <f>IF(OR($B588="",H$7=""),"",IF($B588="MEANS",INDEX('1-DATA'!$1:$1048576,$A587-1,COLUMN('1-DATA'!G586)),ROUND(INDEX('1-DATA'!$1:$1048576,IF(OR($B588="STD. DEVIATION",$C$1=1),$A588,$A588+1),COLUMN('1-DATA'!G586)),IF($B588="STD. DEVIATION",2,$F$1))))</f>
        <v/>
      </c>
      <c r="I588" s="1" t="str">
        <f>IF(OR($B588="",I$7=""),"",IF($B588="MEANS",INDEX('1-DATA'!$1:$1048576,$A587-1,COLUMN('1-DATA'!H586)),ROUND(INDEX('1-DATA'!$1:$1048576,IF(OR($B588="STD. DEVIATION",$C$1=1),$A588,$A588+1),COLUMN('1-DATA'!H586)),IF($B588="STD. DEVIATION",2,$F$1))))</f>
        <v/>
      </c>
      <c r="J588" s="1" t="str">
        <f>IF(OR($B588="",J$7=""),"",IF($B588="MEANS",INDEX('1-DATA'!$1:$1048576,$A587-1,COLUMN('1-DATA'!I586)),ROUND(INDEX('1-DATA'!$1:$1048576,IF(OR($B588="STD. DEVIATION",$C$1=1),$A588,$A588+1),COLUMN('1-DATA'!I586)),IF($B588="STD. DEVIATION",2,$F$1))))</f>
        <v/>
      </c>
      <c r="K588" s="1" t="str">
        <f>IF(OR($B588="",K$7=""),"",IF($B588="MEANS",INDEX('1-DATA'!$1:$1048576,$A587-1,COLUMN('1-DATA'!J586)),ROUND(INDEX('1-DATA'!$1:$1048576,IF(OR($B588="STD. DEVIATION",$C$1=1),$A588,$A588+1),COLUMN('1-DATA'!J586)),IF($B588="STD. DEVIATION",2,$F$1))))</f>
        <v/>
      </c>
      <c r="L588" s="1" t="str">
        <f>IF(OR($B588="",L$7=""),"",IF($B588="MEANS",INDEX('1-DATA'!$1:$1048576,$A587-1,COLUMN('1-DATA'!K586)),ROUND(INDEX('1-DATA'!$1:$1048576,IF(OR($B588="STD. DEVIATION",$C$1=1),$A588,$A588+1),COLUMN('1-DATA'!K586)),IF($B588="STD. DEVIATION",2,$F$1))))</f>
        <v/>
      </c>
      <c r="M588" s="1" t="str">
        <f>IF(OR($B588="",M$7=""),"",IF($B588="MEANS",INDEX('1-DATA'!$1:$1048576,$A587-1,COLUMN('1-DATA'!L586)),ROUND(INDEX('1-DATA'!$1:$1048576,IF(OR($B588="STD. DEVIATION",$C$1=1),$A588,$A588+1),COLUMN('1-DATA'!L586)),IF($B588="STD. DEVIATION",2,$F$1))))</f>
        <v/>
      </c>
      <c r="N588" s="1" t="str">
        <f>IF(OR($B588="",N$7=""),"",IF($B588="MEANS",INDEX('1-DATA'!$1:$1048576,$A587-1,COLUMN('1-DATA'!M586)),ROUND(INDEX('1-DATA'!$1:$1048576,IF(OR($B588="STD. DEVIATION",$C$1=1),$A588,$A588+1),COLUMN('1-DATA'!M586)),IF($B588="STD. DEVIATION",2,$F$1))))</f>
        <v/>
      </c>
      <c r="O588" s="1" t="str">
        <f>IF(OR($B588="",O$7=""),"",IF($B588="MEANS",INDEX('1-DATA'!$1:$1048576,$A587-1,COLUMN('1-DATA'!N586)),ROUND(INDEX('1-DATA'!$1:$1048576,IF(OR($B588="STD. DEVIATION",$C$1=1),$A588,$A588+1),COLUMN('1-DATA'!N586)),IF($B588="STD. DEVIATION",2,$F$1))))</f>
        <v/>
      </c>
      <c r="P588" s="1" t="str">
        <f>IF(OR($B588="",P$7=""),"",IF($B588="MEANS",INDEX('1-DATA'!$1:$1048576,$A587-1,COLUMN('1-DATA'!O586)),ROUND(INDEX('1-DATA'!$1:$1048576,IF(OR($B588="STD. DEVIATION",$C$1=1),$A588,$A588+1),COLUMN('1-DATA'!O586)),IF($B588="STD. DEVIATION",2,$F$1))))</f>
        <v/>
      </c>
      <c r="Q588" s="1" t="str">
        <f>IF(OR($B588="",Q$7=""),"",IF($B588="MEANS",INDEX('1-DATA'!$1:$1048576,$A587-1,COLUMN('1-DATA'!P586)),ROUND(INDEX('1-DATA'!$1:$1048576,IF(OR($B588="STD. DEVIATION",$C$1=1),$A588,$A588+1),COLUMN('1-DATA'!P586)),IF($B588="STD. DEVIATION",2,$F$1))))</f>
        <v/>
      </c>
      <c r="R588" s="1" t="str">
        <f>IF(OR($B588="",R$7=""),"",IF($B588="MEANS",INDEX('1-DATA'!$1:$1048576,$A587-1,COLUMN('1-DATA'!Q586)),ROUND(INDEX('1-DATA'!$1:$1048576,IF(OR($B588="STD. DEVIATION",$C$1=1),$A588,$A588+1),COLUMN('1-DATA'!Q586)),IF($B588="STD. DEVIATION",2,$F$1))))</f>
        <v/>
      </c>
      <c r="S588" s="1" t="str">
        <f>IF(OR($B588="",S$7=""),"",IF($B588="MEANS",INDEX('1-DATA'!$1:$1048576,$A587-1,COLUMN('1-DATA'!R586)),ROUND(INDEX('1-DATA'!$1:$1048576,IF(OR($B588="STD. DEVIATION",$C$1=1),$A588,$A588+1),COLUMN('1-DATA'!R586)),IF($B588="STD. DEVIATION",2,$F$1))))</f>
        <v/>
      </c>
      <c r="T588" s="1" t="str">
        <f>IF(OR($B588="",T$7=""),"",IF($B588="MEANS",INDEX('1-DATA'!$1:$1048576,$A587-1,COLUMN('1-DATA'!S586)),ROUND(INDEX('1-DATA'!$1:$1048576,IF(OR($B588="STD. DEVIATION",$C$1=1),$A588,$A588+1),COLUMN('1-DATA'!S586)),IF($B588="STD. DEVIATION",2,$F$1))))</f>
        <v/>
      </c>
      <c r="U588" s="1" t="str">
        <f>IF(OR($B588="",U$7=""),"",IF($B588="MEANS",INDEX('1-DATA'!$1:$1048576,$A587-1,COLUMN('1-DATA'!T586)),ROUND(INDEX('1-DATA'!$1:$1048576,IF(OR($B588="STD. DEVIATION",$C$1=1),$A588,$A588+1),COLUMN('1-DATA'!T586)),IF($B588="STD. DEVIATION",2,$F$1))))</f>
        <v/>
      </c>
      <c r="V588" s="1" t="str">
        <f>IF(OR($B588="",V$7=""),"",IF($B588="MEANS",INDEX('1-DATA'!$1:$1048576,$A587-1,COLUMN('1-DATA'!U586)),ROUND(INDEX('1-DATA'!$1:$1048576,IF(OR($B588="STD. DEVIATION",$C$1=1),$A588,$A588+1),COLUMN('1-DATA'!U586)),IF($B588="STD. DEVIATION",2,$F$1))))</f>
        <v/>
      </c>
      <c r="W588" s="1" t="str">
        <f>IF(OR($B588="",W$7=""),"",IF($B588="MEANS",INDEX('1-DATA'!$1:$1048576,$A587-1,COLUMN('1-DATA'!V586)),ROUND(INDEX('1-DATA'!$1:$1048576,IF(OR($B588="STD. DEVIATION",$C$1=1),$A588,$A588+1),COLUMN('1-DATA'!V586)),IF($B588="STD. DEVIATION",2,$F$1))))</f>
        <v/>
      </c>
      <c r="X588" s="1" t="str">
        <f>IF(OR($B588="",X$7=""),"",IF($B588="MEANS",INDEX('1-DATA'!$1:$1048576,$A587-1,COLUMN('1-DATA'!W586)),ROUND(INDEX('1-DATA'!$1:$1048576,IF(OR($B588="STD. DEVIATION",$C$1=1),$A588,$A588+1),COLUMN('1-DATA'!W586)),IF($B588="STD. DEVIATION",2,$F$1))))</f>
        <v/>
      </c>
      <c r="Y588" s="1" t="str">
        <f>IF(OR($B588="",Y$7=""),"",IF($B588="MEANS",INDEX('1-DATA'!$1:$1048576,$A587-1,COLUMN('1-DATA'!X586)),ROUND(INDEX('1-DATA'!$1:$1048576,IF(OR($B588="STD. DEVIATION",$C$1=1),$A588,$A588+1),COLUMN('1-DATA'!X586)),IF($B588="STD. DEVIATION",2,$F$1))))</f>
        <v/>
      </c>
      <c r="Z588" s="1" t="str">
        <f>IF(OR($B588="",Z$7=""),"",IF($B588="MEANS",INDEX('1-DATA'!$1:$1048576,$A587-1,COLUMN('1-DATA'!Y586)),ROUND(INDEX('1-DATA'!$1:$1048576,IF(OR($B588="STD. DEVIATION",$C$1=1),$A588,$A588+1),COLUMN('1-DATA'!Y586)),IF($B588="STD. DEVIATION",2,$F$1))))</f>
        <v/>
      </c>
      <c r="AA588" s="1" t="str">
        <f>IF(OR($B588="",AA$7=""),"",IF($B588="MEANS",INDEX('1-DATA'!$1:$1048576,$A587-1,COLUMN('1-DATA'!Z586)),ROUND(INDEX('1-DATA'!$1:$1048576,IF(OR($B588="STD. DEVIATION",$C$1=1),$A588,$A588+1),COLUMN('1-DATA'!Z586)),IF($B588="STD. DEVIATION",2,$F$1))))</f>
        <v/>
      </c>
      <c r="AB588" s="1" t="str">
        <f>IF(OR($B588="",AB$7=""),"",IF($B588="MEANS",INDEX('1-DATA'!$1:$1048576,$A587-1,COLUMN('1-DATA'!AA586)),ROUND(INDEX('1-DATA'!$1:$1048576,IF(OR($B588="STD. DEVIATION",$C$1=1),$A588,$A588+1),COLUMN('1-DATA'!AA586)),IF($B588="STD. DEVIATION",2,$F$1))))</f>
        <v/>
      </c>
      <c r="AC588" s="1" t="str">
        <f>IF(OR($B588="",AC$7=""),"",IF($B588="MEANS",INDEX('1-DATA'!$1:$1048576,$A587-1,COLUMN('1-DATA'!AB586)),ROUND(INDEX('1-DATA'!$1:$1048576,IF(OR($B588="STD. DEVIATION",$C$1=1),$A588,$A588+1),COLUMN('1-DATA'!AB586)),IF($B588="STD. DEVIATION",2,$F$1))))</f>
        <v/>
      </c>
      <c r="AD588" s="1" t="str">
        <f>IF(OR($B588="",AD$7=""),"",IF($B588="MEANS",INDEX('1-DATA'!$1:$1048576,$A587-1,COLUMN('1-DATA'!AC586)),ROUND(INDEX('1-DATA'!$1:$1048576,IF(OR($B588="STD. DEVIATION",$C$1=1),$A588,$A588+1),COLUMN('1-DATA'!AC586)),IF($B588="STD. DEVIATION",2,$F$1))))</f>
        <v/>
      </c>
      <c r="AE588" s="1" t="str">
        <f>IF(OR($B588="",AE$7=""),"",IF($B588="MEANS",INDEX('1-DATA'!$1:$1048576,$A587-1,COLUMN('1-DATA'!AD586)),ROUND(INDEX('1-DATA'!$1:$1048576,IF(OR($B588="STD. DEVIATION",$C$1=1),$A588,$A588+1),COLUMN('1-DATA'!AD586)),IF($B588="STD. DEVIATION",2,$F$1))))</f>
        <v/>
      </c>
      <c r="AF588" s="1" t="str">
        <f>IF(OR($B588="",AF$7=""),"",IF($B588="MEANS",INDEX('1-DATA'!$1:$1048576,$A587-1,COLUMN('1-DATA'!AE586)),ROUND(INDEX('1-DATA'!$1:$1048576,IF(OR($B588="STD. DEVIATION",$C$1=1),$A588,$A588+1),COLUMN('1-DATA'!AE586)),IF($B588="STD. DEVIATION",2,$F$1))))</f>
        <v/>
      </c>
      <c r="AG588" s="1" t="str">
        <f>IF(OR($B588="",AG$7=""),"",IF($B588="MEANS",INDEX('1-DATA'!$1:$1048576,$A587-1,COLUMN('1-DATA'!AF586)),ROUND(INDEX('1-DATA'!$1:$1048576,IF(OR($B588="STD. DEVIATION",$C$1=1),$A588,$A588+1),COLUMN('1-DATA'!AF586)),IF($B588="STD. DEVIATION",2,$F$1))))</f>
        <v/>
      </c>
      <c r="AH588" s="1" t="str">
        <f>IF(OR($B588="",AH$7=""),"",IF($B588="MEANS",INDEX('1-DATA'!$1:$1048576,$A587-1,COLUMN('1-DATA'!AG586)),ROUND(INDEX('1-DATA'!$1:$1048576,IF(OR($B588="STD. DEVIATION",$C$1=1),$A588,$A588+1),COLUMN('1-DATA'!AG586)),IF($B588="STD. DEVIATION",2,$F$1))))</f>
        <v/>
      </c>
      <c r="AI588" s="1" t="str">
        <f>IF(OR($B588="",AI$7=""),"",IF($B588="MEANS",INDEX('1-DATA'!$1:$1048576,$A587-1,COLUMN('1-DATA'!AH586)),ROUND(INDEX('1-DATA'!$1:$1048576,IF(OR($B588="STD. DEVIATION",$C$1=1),$A588,$A588+1),COLUMN('1-DATA'!AH586)),IF($B588="STD. DEVIATION",2,$F$1))))</f>
        <v/>
      </c>
      <c r="AJ588" s="1" t="str">
        <f>IF(OR($B588="",AJ$7=""),"",IF($B588="MEANS",INDEX('1-DATA'!$1:$1048576,$A587-1,COLUMN('1-DATA'!AI586)),ROUND(INDEX('1-DATA'!$1:$1048576,IF(OR($B588="STD. DEVIATION",$C$1=1),$A588,$A588+1),COLUMN('1-DATA'!AI586)),IF($B588="STD. DEVIATION",2,$F$1))))</f>
        <v/>
      </c>
      <c r="AK588" s="1" t="str">
        <f>IF(OR($B588="",AK$7=""),"",IF($B588="MEANS",INDEX('1-DATA'!$1:$1048576,$A587-1,COLUMN('1-DATA'!AJ586)),ROUND(INDEX('1-DATA'!$1:$1048576,IF(OR($B588="STD. DEVIATION",$C$1=1),$A588,$A588+1),COLUMN('1-DATA'!AJ586)),IF($B588="STD. DEVIATION",2,$F$1))))</f>
        <v/>
      </c>
      <c r="AL588" s="1" t="str">
        <f>IF(OR($B588="",AL$7=""),"",IF($B588="MEANS",INDEX('1-DATA'!$1:$1048576,$A587-1,COLUMN('1-DATA'!AK586)),ROUND(INDEX('1-DATA'!$1:$1048576,IF(OR($B588="STD. DEVIATION",$C$1=1),$A588,$A588+1),COLUMN('1-DATA'!AK586)),IF($B588="STD. DEVIATION",2,$F$1))))</f>
        <v/>
      </c>
      <c r="AM588" s="1" t="str">
        <f>IF(OR($B588="",AM$7=""),"",IF($B588="MEANS",INDEX('1-DATA'!$1:$1048576,$A587-1,COLUMN('1-DATA'!AL586)),ROUND(INDEX('1-DATA'!$1:$1048576,IF(OR($B588="STD. DEVIATION",$C$1=1),$A588,$A588+1),COLUMN('1-DATA'!AL586)),IF($B588="STD. DEVIATION",2,$F$1))))</f>
        <v/>
      </c>
      <c r="AN588" s="1" t="str">
        <f>IF(OR($B588="",AN$7=""),"",IF($B588="MEANS",INDEX('1-DATA'!$1:$1048576,$A587-1,COLUMN('1-DATA'!AM586)),ROUND(INDEX('1-DATA'!$1:$1048576,IF(OR($B588="STD. DEVIATION",$C$1=1),$A588,$A588+1),COLUMN('1-DATA'!AM586)),IF($B588="STD. DEVIATION",2,$F$1))))</f>
        <v/>
      </c>
      <c r="AO588" s="1" t="str">
        <f>IF(OR($B588="",AO$7=""),"",IF($B588="MEANS",INDEX('1-DATA'!$1:$1048576,$A587-1,COLUMN('1-DATA'!AN586)),ROUND(INDEX('1-DATA'!$1:$1048576,IF(OR($B588="STD. DEVIATION",$C$1=1),$A588,$A588+1),COLUMN('1-DATA'!AN586)),IF($B588="STD. DEVIATION",2,$F$1))))</f>
        <v/>
      </c>
      <c r="AP588" s="1" t="str">
        <f>IF(OR($B588="",AP$7=""),"",IF($B588="MEANS",INDEX('1-DATA'!$1:$1048576,$A587-1,COLUMN('1-DATA'!AO586)),ROUND(INDEX('1-DATA'!$1:$1048576,IF(OR($B588="STD. DEVIATION",$C$1=1),$A588,$A588+1),COLUMN('1-DATA'!AO586)),IF($B588="STD. DEVIATION",2,$F$1))))</f>
        <v/>
      </c>
      <c r="AQ588" s="1" t="str">
        <f>IF(OR($B588="",AQ$7=""),"",IF($B588="MEANS",INDEX('1-DATA'!$1:$1048576,$A587-1,COLUMN('1-DATA'!AP586)),ROUND(INDEX('1-DATA'!$1:$1048576,IF(OR($B588="STD. DEVIATION",$C$1=1),$A588,$A588+1),COLUMN('1-DATA'!AP586)),IF($B588="STD. DEVIATION",2,$F$1))))</f>
        <v/>
      </c>
      <c r="AR588" s="1" t="str">
        <f>IF(OR($B588="",AR$7=""),"",IF($B588="MEANS",INDEX('1-DATA'!$1:$1048576,$A587-1,COLUMN('1-DATA'!AQ586)),ROUND(INDEX('1-DATA'!$1:$1048576,IF(OR($B588="STD. DEVIATION",$C$1=1),$A588,$A588+1),COLUMN('1-DATA'!AQ586)),IF($B588="STD. DEVIATION",2,$F$1))))</f>
        <v/>
      </c>
      <c r="AS588" s="1" t="str">
        <f>IF(OR($B588="",AS$7=""),"",IF($B588="MEANS",INDEX('1-DATA'!$1:$1048576,$A587-1,COLUMN('1-DATA'!AR586)),ROUND(INDEX('1-DATA'!$1:$1048576,IF(OR($B588="STD. DEVIATION",$C$1=1),$A588,$A588+1),COLUMN('1-DATA'!AR586)),IF($B588="STD. DEVIATION",2,$F$1))))</f>
        <v/>
      </c>
      <c r="AT588" s="1" t="str">
        <f>IF(OR($B588="",AT$7=""),"",IF($B588="MEANS",INDEX('1-DATA'!$1:$1048576,$A587-1,COLUMN('1-DATA'!AS586)),ROUND(INDEX('1-DATA'!$1:$1048576,IF(OR($B588="STD. DEVIATION",$C$1=1),$A588,$A588+1),COLUMN('1-DATA'!AS586)),IF($B588="STD. DEVIATION",2,$F$1))))</f>
        <v/>
      </c>
      <c r="AU588" s="1" t="str">
        <f>IF(OR($B588="",AU$7=""),"",IF($B588="MEANS",INDEX('1-DATA'!$1:$1048576,$A587-1,COLUMN('1-DATA'!AT586)),ROUND(INDEX('1-DATA'!$1:$1048576,IF(OR($B588="STD. DEVIATION",$C$1=1),$A588,$A588+1),COLUMN('1-DATA'!AT586)),IF($B588="STD. DEVIATION",2,$F$1))))</f>
        <v/>
      </c>
      <c r="AV588" s="1" t="str">
        <f>IF(OR($B588="",AV$7=""),"",IF($B588="MEANS",INDEX('1-DATA'!$1:$1048576,$A587-1,COLUMN('1-DATA'!AU586)),ROUND(INDEX('1-DATA'!$1:$1048576,IF(OR($B588="STD. DEVIATION",$C$1=1),$A588,$A588+1),COLUMN('1-DATA'!AU586)),IF($B588="STD. DEVIATION",2,$F$1))))</f>
        <v/>
      </c>
      <c r="AW588" s="1" t="str">
        <f>IF(OR($B588="",AW$7=""),"",IF($B588="MEANS",INDEX('1-DATA'!$1:$1048576,$A587-1,COLUMN('1-DATA'!AV586)),ROUND(INDEX('1-DATA'!$1:$1048576,IF(OR($B588="STD. DEVIATION",$C$1=1),$A588,$A588+1),COLUMN('1-DATA'!AV586)),IF($B588="STD. DEVIATION",2,$F$1))))</f>
        <v/>
      </c>
      <c r="AX588" s="1" t="str">
        <f>IF(OR($B588="",AX$7=""),"",IF($B588="MEANS",INDEX('1-DATA'!$1:$1048576,$A587-1,COLUMN('1-DATA'!AW586)),ROUND(INDEX('1-DATA'!$1:$1048576,IF(OR($B588="STD. DEVIATION",$C$1=1),$A588,$A588+1),COLUMN('1-DATA'!AW586)),IF($B588="STD. DEVIATION",2,$F$1))))</f>
        <v/>
      </c>
      <c r="AY588" s="1" t="str">
        <f>IF(OR($B588="",AY$7=""),"",IF($B588="MEANS",INDEX('1-DATA'!$1:$1048576,$A587-1,COLUMN('1-DATA'!AX586)),ROUND(INDEX('1-DATA'!$1:$1048576,IF(OR($B588="STD. DEVIATION",$C$1=1),$A588,$A588+1),COLUMN('1-DATA'!AX586)),IF($B588="STD. DEVIATION",2,$F$1))))</f>
        <v/>
      </c>
      <c r="AZ588" s="1" t="str">
        <f>IF(OR($B588="",AZ$7=""),"",IF($B588="MEANS",INDEX('1-DATA'!$1:$1048576,$A587-1,COLUMN('1-DATA'!AY586)),ROUND(INDEX('1-DATA'!$1:$1048576,IF(OR($B588="STD. DEVIATION",$C$1=1),$A588,$A588+1),COLUMN('1-DATA'!AY586)),IF($B588="STD. DEVIATION",2,$F$1))))</f>
        <v/>
      </c>
    </row>
    <row r="589" spans="1:52" x14ac:dyDescent="0.25">
      <c r="A589" s="11">
        <f t="shared" si="9"/>
        <v>1753</v>
      </c>
      <c r="B589" s="1" t="str">
        <f>IF(B588="STD. DEVIATION",INDEX('1-DATA'!$1:$1048576,$A588-1,1),IF(INDEX('1-DATA'!$1:$1048576,$A589,1)&lt;&gt;"",INDEX('1-DATA'!$1:$1048576,$A589,1),""))</f>
        <v/>
      </c>
      <c r="C589" s="1" t="str">
        <f>IF(OR($B589="",C$7=""),"",IF($B589="MEANS",INDEX('1-DATA'!$1:$1048576,$A588-1,COLUMN('1-DATA'!B587)),ROUND(INDEX('1-DATA'!$1:$1048576,IF(OR($B589="STD. DEVIATION",$C$1=1),$A589,$A589+1),COLUMN('1-DATA'!B587)),IF($B589="STD. DEVIATION",2,$F$1))))</f>
        <v/>
      </c>
      <c r="D589" s="1" t="str">
        <f>IF(OR($B589="",D$7=""),"",IF($B589="MEANS",INDEX('1-DATA'!$1:$1048576,$A588-1,COLUMN('1-DATA'!C587)),ROUND(INDEX('1-DATA'!$1:$1048576,IF(OR($B589="STD. DEVIATION",$C$1=1),$A589,$A589+1),COLUMN('1-DATA'!C587)),IF($B589="STD. DEVIATION",2,$F$1))))</f>
        <v/>
      </c>
      <c r="E589" s="1" t="str">
        <f>IF(OR($B589="",E$7=""),"",IF($B589="MEANS",INDEX('1-DATA'!$1:$1048576,$A588-1,COLUMN('1-DATA'!D587)),ROUND(INDEX('1-DATA'!$1:$1048576,IF(OR($B589="STD. DEVIATION",$C$1=1),$A589,$A589+1),COLUMN('1-DATA'!D587)),IF($B589="STD. DEVIATION",2,$F$1))))</f>
        <v/>
      </c>
      <c r="F589" s="1" t="str">
        <f>IF(OR($B589="",F$7=""),"",IF($B589="MEANS",INDEX('1-DATA'!$1:$1048576,$A588-1,COLUMN('1-DATA'!E587)),ROUND(INDEX('1-DATA'!$1:$1048576,IF(OR($B589="STD. DEVIATION",$C$1=1),$A589,$A589+1),COLUMN('1-DATA'!E587)),IF($B589="STD. DEVIATION",2,$F$1))))</f>
        <v/>
      </c>
      <c r="G589" s="1" t="str">
        <f>IF(OR($B589="",G$7=""),"",IF($B589="MEANS",INDEX('1-DATA'!$1:$1048576,$A588-1,COLUMN('1-DATA'!F587)),ROUND(INDEX('1-DATA'!$1:$1048576,IF(OR($B589="STD. DEVIATION",$C$1=1),$A589,$A589+1),COLUMN('1-DATA'!F587)),IF($B589="STD. DEVIATION",2,$F$1))))</f>
        <v/>
      </c>
      <c r="H589" s="1" t="str">
        <f>IF(OR($B589="",H$7=""),"",IF($B589="MEANS",INDEX('1-DATA'!$1:$1048576,$A588-1,COLUMN('1-DATA'!G587)),ROUND(INDEX('1-DATA'!$1:$1048576,IF(OR($B589="STD. DEVIATION",$C$1=1),$A589,$A589+1),COLUMN('1-DATA'!G587)),IF($B589="STD. DEVIATION",2,$F$1))))</f>
        <v/>
      </c>
      <c r="I589" s="1" t="str">
        <f>IF(OR($B589="",I$7=""),"",IF($B589="MEANS",INDEX('1-DATA'!$1:$1048576,$A588-1,COLUMN('1-DATA'!H587)),ROUND(INDEX('1-DATA'!$1:$1048576,IF(OR($B589="STD. DEVIATION",$C$1=1),$A589,$A589+1),COLUMN('1-DATA'!H587)),IF($B589="STD. DEVIATION",2,$F$1))))</f>
        <v/>
      </c>
      <c r="J589" s="1" t="str">
        <f>IF(OR($B589="",J$7=""),"",IF($B589="MEANS",INDEX('1-DATA'!$1:$1048576,$A588-1,COLUMN('1-DATA'!I587)),ROUND(INDEX('1-DATA'!$1:$1048576,IF(OR($B589="STD. DEVIATION",$C$1=1),$A589,$A589+1),COLUMN('1-DATA'!I587)),IF($B589="STD. DEVIATION",2,$F$1))))</f>
        <v/>
      </c>
      <c r="K589" s="1" t="str">
        <f>IF(OR($B589="",K$7=""),"",IF($B589="MEANS",INDEX('1-DATA'!$1:$1048576,$A588-1,COLUMN('1-DATA'!J587)),ROUND(INDEX('1-DATA'!$1:$1048576,IF(OR($B589="STD. DEVIATION",$C$1=1),$A589,$A589+1),COLUMN('1-DATA'!J587)),IF($B589="STD. DEVIATION",2,$F$1))))</f>
        <v/>
      </c>
      <c r="L589" s="1" t="str">
        <f>IF(OR($B589="",L$7=""),"",IF($B589="MEANS",INDEX('1-DATA'!$1:$1048576,$A588-1,COLUMN('1-DATA'!K587)),ROUND(INDEX('1-DATA'!$1:$1048576,IF(OR($B589="STD. DEVIATION",$C$1=1),$A589,$A589+1),COLUMN('1-DATA'!K587)),IF($B589="STD. DEVIATION",2,$F$1))))</f>
        <v/>
      </c>
      <c r="M589" s="1" t="str">
        <f>IF(OR($B589="",M$7=""),"",IF($B589="MEANS",INDEX('1-DATA'!$1:$1048576,$A588-1,COLUMN('1-DATA'!L587)),ROUND(INDEX('1-DATA'!$1:$1048576,IF(OR($B589="STD. DEVIATION",$C$1=1),$A589,$A589+1),COLUMN('1-DATA'!L587)),IF($B589="STD. DEVIATION",2,$F$1))))</f>
        <v/>
      </c>
      <c r="N589" s="1" t="str">
        <f>IF(OR($B589="",N$7=""),"",IF($B589="MEANS",INDEX('1-DATA'!$1:$1048576,$A588-1,COLUMN('1-DATA'!M587)),ROUND(INDEX('1-DATA'!$1:$1048576,IF(OR($B589="STD. DEVIATION",$C$1=1),$A589,$A589+1),COLUMN('1-DATA'!M587)),IF($B589="STD. DEVIATION",2,$F$1))))</f>
        <v/>
      </c>
      <c r="O589" s="1" t="str">
        <f>IF(OR($B589="",O$7=""),"",IF($B589="MEANS",INDEX('1-DATA'!$1:$1048576,$A588-1,COLUMN('1-DATA'!N587)),ROUND(INDEX('1-DATA'!$1:$1048576,IF(OR($B589="STD. DEVIATION",$C$1=1),$A589,$A589+1),COLUMN('1-DATA'!N587)),IF($B589="STD. DEVIATION",2,$F$1))))</f>
        <v/>
      </c>
      <c r="P589" s="1" t="str">
        <f>IF(OR($B589="",P$7=""),"",IF($B589="MEANS",INDEX('1-DATA'!$1:$1048576,$A588-1,COLUMN('1-DATA'!O587)),ROUND(INDEX('1-DATA'!$1:$1048576,IF(OR($B589="STD. DEVIATION",$C$1=1),$A589,$A589+1),COLUMN('1-DATA'!O587)),IF($B589="STD. DEVIATION",2,$F$1))))</f>
        <v/>
      </c>
      <c r="Q589" s="1" t="str">
        <f>IF(OR($B589="",Q$7=""),"",IF($B589="MEANS",INDEX('1-DATA'!$1:$1048576,$A588-1,COLUMN('1-DATA'!P587)),ROUND(INDEX('1-DATA'!$1:$1048576,IF(OR($B589="STD. DEVIATION",$C$1=1),$A589,$A589+1),COLUMN('1-DATA'!P587)),IF($B589="STD. DEVIATION",2,$F$1))))</f>
        <v/>
      </c>
      <c r="R589" s="1" t="str">
        <f>IF(OR($B589="",R$7=""),"",IF($B589="MEANS",INDEX('1-DATA'!$1:$1048576,$A588-1,COLUMN('1-DATA'!Q587)),ROUND(INDEX('1-DATA'!$1:$1048576,IF(OR($B589="STD. DEVIATION",$C$1=1),$A589,$A589+1),COLUMN('1-DATA'!Q587)),IF($B589="STD. DEVIATION",2,$F$1))))</f>
        <v/>
      </c>
      <c r="S589" s="1" t="str">
        <f>IF(OR($B589="",S$7=""),"",IF($B589="MEANS",INDEX('1-DATA'!$1:$1048576,$A588-1,COLUMN('1-DATA'!R587)),ROUND(INDEX('1-DATA'!$1:$1048576,IF(OR($B589="STD. DEVIATION",$C$1=1),$A589,$A589+1),COLUMN('1-DATA'!R587)),IF($B589="STD. DEVIATION",2,$F$1))))</f>
        <v/>
      </c>
      <c r="T589" s="1" t="str">
        <f>IF(OR($B589="",T$7=""),"",IF($B589="MEANS",INDEX('1-DATA'!$1:$1048576,$A588-1,COLUMN('1-DATA'!S587)),ROUND(INDEX('1-DATA'!$1:$1048576,IF(OR($B589="STD. DEVIATION",$C$1=1),$A589,$A589+1),COLUMN('1-DATA'!S587)),IF($B589="STD. DEVIATION",2,$F$1))))</f>
        <v/>
      </c>
      <c r="U589" s="1" t="str">
        <f>IF(OR($B589="",U$7=""),"",IF($B589="MEANS",INDEX('1-DATA'!$1:$1048576,$A588-1,COLUMN('1-DATA'!T587)),ROUND(INDEX('1-DATA'!$1:$1048576,IF(OR($B589="STD. DEVIATION",$C$1=1),$A589,$A589+1),COLUMN('1-DATA'!T587)),IF($B589="STD. DEVIATION",2,$F$1))))</f>
        <v/>
      </c>
      <c r="V589" s="1" t="str">
        <f>IF(OR($B589="",V$7=""),"",IF($B589="MEANS",INDEX('1-DATA'!$1:$1048576,$A588-1,COLUMN('1-DATA'!U587)),ROUND(INDEX('1-DATA'!$1:$1048576,IF(OR($B589="STD. DEVIATION",$C$1=1),$A589,$A589+1),COLUMN('1-DATA'!U587)),IF($B589="STD. DEVIATION",2,$F$1))))</f>
        <v/>
      </c>
      <c r="W589" s="1" t="str">
        <f>IF(OR($B589="",W$7=""),"",IF($B589="MEANS",INDEX('1-DATA'!$1:$1048576,$A588-1,COLUMN('1-DATA'!V587)),ROUND(INDEX('1-DATA'!$1:$1048576,IF(OR($B589="STD. DEVIATION",$C$1=1),$A589,$A589+1),COLUMN('1-DATA'!V587)),IF($B589="STD. DEVIATION",2,$F$1))))</f>
        <v/>
      </c>
      <c r="X589" s="1" t="str">
        <f>IF(OR($B589="",X$7=""),"",IF($B589="MEANS",INDEX('1-DATA'!$1:$1048576,$A588-1,COLUMN('1-DATA'!W587)),ROUND(INDEX('1-DATA'!$1:$1048576,IF(OR($B589="STD. DEVIATION",$C$1=1),$A589,$A589+1),COLUMN('1-DATA'!W587)),IF($B589="STD. DEVIATION",2,$F$1))))</f>
        <v/>
      </c>
      <c r="Y589" s="1" t="str">
        <f>IF(OR($B589="",Y$7=""),"",IF($B589="MEANS",INDEX('1-DATA'!$1:$1048576,$A588-1,COLUMN('1-DATA'!X587)),ROUND(INDEX('1-DATA'!$1:$1048576,IF(OR($B589="STD. DEVIATION",$C$1=1),$A589,$A589+1),COLUMN('1-DATA'!X587)),IF($B589="STD. DEVIATION",2,$F$1))))</f>
        <v/>
      </c>
      <c r="Z589" s="1" t="str">
        <f>IF(OR($B589="",Z$7=""),"",IF($B589="MEANS",INDEX('1-DATA'!$1:$1048576,$A588-1,COLUMN('1-DATA'!Y587)),ROUND(INDEX('1-DATA'!$1:$1048576,IF(OR($B589="STD. DEVIATION",$C$1=1),$A589,$A589+1),COLUMN('1-DATA'!Y587)),IF($B589="STD. DEVIATION",2,$F$1))))</f>
        <v/>
      </c>
      <c r="AA589" s="1" t="str">
        <f>IF(OR($B589="",AA$7=""),"",IF($B589="MEANS",INDEX('1-DATA'!$1:$1048576,$A588-1,COLUMN('1-DATA'!Z587)),ROUND(INDEX('1-DATA'!$1:$1048576,IF(OR($B589="STD. DEVIATION",$C$1=1),$A589,$A589+1),COLUMN('1-DATA'!Z587)),IF($B589="STD. DEVIATION",2,$F$1))))</f>
        <v/>
      </c>
      <c r="AB589" s="1" t="str">
        <f>IF(OR($B589="",AB$7=""),"",IF($B589="MEANS",INDEX('1-DATA'!$1:$1048576,$A588-1,COLUMN('1-DATA'!AA587)),ROUND(INDEX('1-DATA'!$1:$1048576,IF(OR($B589="STD. DEVIATION",$C$1=1),$A589,$A589+1),COLUMN('1-DATA'!AA587)),IF($B589="STD. DEVIATION",2,$F$1))))</f>
        <v/>
      </c>
      <c r="AC589" s="1" t="str">
        <f>IF(OR($B589="",AC$7=""),"",IF($B589="MEANS",INDEX('1-DATA'!$1:$1048576,$A588-1,COLUMN('1-DATA'!AB587)),ROUND(INDEX('1-DATA'!$1:$1048576,IF(OR($B589="STD. DEVIATION",$C$1=1),$A589,$A589+1),COLUMN('1-DATA'!AB587)),IF($B589="STD. DEVIATION",2,$F$1))))</f>
        <v/>
      </c>
      <c r="AD589" s="1" t="str">
        <f>IF(OR($B589="",AD$7=""),"",IF($B589="MEANS",INDEX('1-DATA'!$1:$1048576,$A588-1,COLUMN('1-DATA'!AC587)),ROUND(INDEX('1-DATA'!$1:$1048576,IF(OR($B589="STD. DEVIATION",$C$1=1),$A589,$A589+1),COLUMN('1-DATA'!AC587)),IF($B589="STD. DEVIATION",2,$F$1))))</f>
        <v/>
      </c>
      <c r="AE589" s="1" t="str">
        <f>IF(OR($B589="",AE$7=""),"",IF($B589="MEANS",INDEX('1-DATA'!$1:$1048576,$A588-1,COLUMN('1-DATA'!AD587)),ROUND(INDEX('1-DATA'!$1:$1048576,IF(OR($B589="STD. DEVIATION",$C$1=1),$A589,$A589+1),COLUMN('1-DATA'!AD587)),IF($B589="STD. DEVIATION",2,$F$1))))</f>
        <v/>
      </c>
      <c r="AF589" s="1" t="str">
        <f>IF(OR($B589="",AF$7=""),"",IF($B589="MEANS",INDEX('1-DATA'!$1:$1048576,$A588-1,COLUMN('1-DATA'!AE587)),ROUND(INDEX('1-DATA'!$1:$1048576,IF(OR($B589="STD. DEVIATION",$C$1=1),$A589,$A589+1),COLUMN('1-DATA'!AE587)),IF($B589="STD. DEVIATION",2,$F$1))))</f>
        <v/>
      </c>
      <c r="AG589" s="1" t="str">
        <f>IF(OR($B589="",AG$7=""),"",IF($B589="MEANS",INDEX('1-DATA'!$1:$1048576,$A588-1,COLUMN('1-DATA'!AF587)),ROUND(INDEX('1-DATA'!$1:$1048576,IF(OR($B589="STD. DEVIATION",$C$1=1),$A589,$A589+1),COLUMN('1-DATA'!AF587)),IF($B589="STD. DEVIATION",2,$F$1))))</f>
        <v/>
      </c>
      <c r="AH589" s="1" t="str">
        <f>IF(OR($B589="",AH$7=""),"",IF($B589="MEANS",INDEX('1-DATA'!$1:$1048576,$A588-1,COLUMN('1-DATA'!AG587)),ROUND(INDEX('1-DATA'!$1:$1048576,IF(OR($B589="STD. DEVIATION",$C$1=1),$A589,$A589+1),COLUMN('1-DATA'!AG587)),IF($B589="STD. DEVIATION",2,$F$1))))</f>
        <v/>
      </c>
      <c r="AI589" s="1" t="str">
        <f>IF(OR($B589="",AI$7=""),"",IF($B589="MEANS",INDEX('1-DATA'!$1:$1048576,$A588-1,COLUMN('1-DATA'!AH587)),ROUND(INDEX('1-DATA'!$1:$1048576,IF(OR($B589="STD. DEVIATION",$C$1=1),$A589,$A589+1),COLUMN('1-DATA'!AH587)),IF($B589="STD. DEVIATION",2,$F$1))))</f>
        <v/>
      </c>
      <c r="AJ589" s="1" t="str">
        <f>IF(OR($B589="",AJ$7=""),"",IF($B589="MEANS",INDEX('1-DATA'!$1:$1048576,$A588-1,COLUMN('1-DATA'!AI587)),ROUND(INDEX('1-DATA'!$1:$1048576,IF(OR($B589="STD. DEVIATION",$C$1=1),$A589,$A589+1),COLUMN('1-DATA'!AI587)),IF($B589="STD. DEVIATION",2,$F$1))))</f>
        <v/>
      </c>
      <c r="AK589" s="1" t="str">
        <f>IF(OR($B589="",AK$7=""),"",IF($B589="MEANS",INDEX('1-DATA'!$1:$1048576,$A588-1,COLUMN('1-DATA'!AJ587)),ROUND(INDEX('1-DATA'!$1:$1048576,IF(OR($B589="STD. DEVIATION",$C$1=1),$A589,$A589+1),COLUMN('1-DATA'!AJ587)),IF($B589="STD. DEVIATION",2,$F$1))))</f>
        <v/>
      </c>
      <c r="AL589" s="1" t="str">
        <f>IF(OR($B589="",AL$7=""),"",IF($B589="MEANS",INDEX('1-DATA'!$1:$1048576,$A588-1,COLUMN('1-DATA'!AK587)),ROUND(INDEX('1-DATA'!$1:$1048576,IF(OR($B589="STD. DEVIATION",$C$1=1),$A589,$A589+1),COLUMN('1-DATA'!AK587)),IF($B589="STD. DEVIATION",2,$F$1))))</f>
        <v/>
      </c>
      <c r="AM589" s="1" t="str">
        <f>IF(OR($B589="",AM$7=""),"",IF($B589="MEANS",INDEX('1-DATA'!$1:$1048576,$A588-1,COLUMN('1-DATA'!AL587)),ROUND(INDEX('1-DATA'!$1:$1048576,IF(OR($B589="STD. DEVIATION",$C$1=1),$A589,$A589+1),COLUMN('1-DATA'!AL587)),IF($B589="STD. DEVIATION",2,$F$1))))</f>
        <v/>
      </c>
      <c r="AN589" s="1" t="str">
        <f>IF(OR($B589="",AN$7=""),"",IF($B589="MEANS",INDEX('1-DATA'!$1:$1048576,$A588-1,COLUMN('1-DATA'!AM587)),ROUND(INDEX('1-DATA'!$1:$1048576,IF(OR($B589="STD. DEVIATION",$C$1=1),$A589,$A589+1),COLUMN('1-DATA'!AM587)),IF($B589="STD. DEVIATION",2,$F$1))))</f>
        <v/>
      </c>
      <c r="AO589" s="1" t="str">
        <f>IF(OR($B589="",AO$7=""),"",IF($B589="MEANS",INDEX('1-DATA'!$1:$1048576,$A588-1,COLUMN('1-DATA'!AN587)),ROUND(INDEX('1-DATA'!$1:$1048576,IF(OR($B589="STD. DEVIATION",$C$1=1),$A589,$A589+1),COLUMN('1-DATA'!AN587)),IF($B589="STD. DEVIATION",2,$F$1))))</f>
        <v/>
      </c>
      <c r="AP589" s="1" t="str">
        <f>IF(OR($B589="",AP$7=""),"",IF($B589="MEANS",INDEX('1-DATA'!$1:$1048576,$A588-1,COLUMN('1-DATA'!AO587)),ROUND(INDEX('1-DATA'!$1:$1048576,IF(OR($B589="STD. DEVIATION",$C$1=1),$A589,$A589+1),COLUMN('1-DATA'!AO587)),IF($B589="STD. DEVIATION",2,$F$1))))</f>
        <v/>
      </c>
      <c r="AQ589" s="1" t="str">
        <f>IF(OR($B589="",AQ$7=""),"",IF($B589="MEANS",INDEX('1-DATA'!$1:$1048576,$A588-1,COLUMN('1-DATA'!AP587)),ROUND(INDEX('1-DATA'!$1:$1048576,IF(OR($B589="STD. DEVIATION",$C$1=1),$A589,$A589+1),COLUMN('1-DATA'!AP587)),IF($B589="STD. DEVIATION",2,$F$1))))</f>
        <v/>
      </c>
      <c r="AR589" s="1" t="str">
        <f>IF(OR($B589="",AR$7=""),"",IF($B589="MEANS",INDEX('1-DATA'!$1:$1048576,$A588-1,COLUMN('1-DATA'!AQ587)),ROUND(INDEX('1-DATA'!$1:$1048576,IF(OR($B589="STD. DEVIATION",$C$1=1),$A589,$A589+1),COLUMN('1-DATA'!AQ587)),IF($B589="STD. DEVIATION",2,$F$1))))</f>
        <v/>
      </c>
      <c r="AS589" s="1" t="str">
        <f>IF(OR($B589="",AS$7=""),"",IF($B589="MEANS",INDEX('1-DATA'!$1:$1048576,$A588-1,COLUMN('1-DATA'!AR587)),ROUND(INDEX('1-DATA'!$1:$1048576,IF(OR($B589="STD. DEVIATION",$C$1=1),$A589,$A589+1),COLUMN('1-DATA'!AR587)),IF($B589="STD. DEVIATION",2,$F$1))))</f>
        <v/>
      </c>
      <c r="AT589" s="1" t="str">
        <f>IF(OR($B589="",AT$7=""),"",IF($B589="MEANS",INDEX('1-DATA'!$1:$1048576,$A588-1,COLUMN('1-DATA'!AS587)),ROUND(INDEX('1-DATA'!$1:$1048576,IF(OR($B589="STD. DEVIATION",$C$1=1),$A589,$A589+1),COLUMN('1-DATA'!AS587)),IF($B589="STD. DEVIATION",2,$F$1))))</f>
        <v/>
      </c>
      <c r="AU589" s="1" t="str">
        <f>IF(OR($B589="",AU$7=""),"",IF($B589="MEANS",INDEX('1-DATA'!$1:$1048576,$A588-1,COLUMN('1-DATA'!AT587)),ROUND(INDEX('1-DATA'!$1:$1048576,IF(OR($B589="STD. DEVIATION",$C$1=1),$A589,$A589+1),COLUMN('1-DATA'!AT587)),IF($B589="STD. DEVIATION",2,$F$1))))</f>
        <v/>
      </c>
      <c r="AV589" s="1" t="str">
        <f>IF(OR($B589="",AV$7=""),"",IF($B589="MEANS",INDEX('1-DATA'!$1:$1048576,$A588-1,COLUMN('1-DATA'!AU587)),ROUND(INDEX('1-DATA'!$1:$1048576,IF(OR($B589="STD. DEVIATION",$C$1=1),$A589,$A589+1),COLUMN('1-DATA'!AU587)),IF($B589="STD. DEVIATION",2,$F$1))))</f>
        <v/>
      </c>
      <c r="AW589" s="1" t="str">
        <f>IF(OR($B589="",AW$7=""),"",IF($B589="MEANS",INDEX('1-DATA'!$1:$1048576,$A588-1,COLUMN('1-DATA'!AV587)),ROUND(INDEX('1-DATA'!$1:$1048576,IF(OR($B589="STD. DEVIATION",$C$1=1),$A589,$A589+1),COLUMN('1-DATA'!AV587)),IF($B589="STD. DEVIATION",2,$F$1))))</f>
        <v/>
      </c>
      <c r="AX589" s="1" t="str">
        <f>IF(OR($B589="",AX$7=""),"",IF($B589="MEANS",INDEX('1-DATA'!$1:$1048576,$A588-1,COLUMN('1-DATA'!AW587)),ROUND(INDEX('1-DATA'!$1:$1048576,IF(OR($B589="STD. DEVIATION",$C$1=1),$A589,$A589+1),COLUMN('1-DATA'!AW587)),IF($B589="STD. DEVIATION",2,$F$1))))</f>
        <v/>
      </c>
      <c r="AY589" s="1" t="str">
        <f>IF(OR($B589="",AY$7=""),"",IF($B589="MEANS",INDEX('1-DATA'!$1:$1048576,$A588-1,COLUMN('1-DATA'!AX587)),ROUND(INDEX('1-DATA'!$1:$1048576,IF(OR($B589="STD. DEVIATION",$C$1=1),$A589,$A589+1),COLUMN('1-DATA'!AX587)),IF($B589="STD. DEVIATION",2,$F$1))))</f>
        <v/>
      </c>
      <c r="AZ589" s="1" t="str">
        <f>IF(OR($B589="",AZ$7=""),"",IF($B589="MEANS",INDEX('1-DATA'!$1:$1048576,$A588-1,COLUMN('1-DATA'!AY587)),ROUND(INDEX('1-DATA'!$1:$1048576,IF(OR($B589="STD. DEVIATION",$C$1=1),$A589,$A589+1),COLUMN('1-DATA'!AY587)),IF($B589="STD. DEVIATION",2,$F$1))))</f>
        <v/>
      </c>
    </row>
    <row r="590" spans="1:52" x14ac:dyDescent="0.25">
      <c r="A590" s="11">
        <f t="shared" si="9"/>
        <v>1756</v>
      </c>
      <c r="B590" s="1" t="str">
        <f>IF(B589="STD. DEVIATION",INDEX('1-DATA'!$1:$1048576,$A589-1,1),IF(INDEX('1-DATA'!$1:$1048576,$A590,1)&lt;&gt;"",INDEX('1-DATA'!$1:$1048576,$A590,1),""))</f>
        <v/>
      </c>
      <c r="C590" s="1" t="str">
        <f>IF(OR($B590="",C$7=""),"",IF($B590="MEANS",INDEX('1-DATA'!$1:$1048576,$A589-1,COLUMN('1-DATA'!B588)),ROUND(INDEX('1-DATA'!$1:$1048576,IF(OR($B590="STD. DEVIATION",$C$1=1),$A590,$A590+1),COLUMN('1-DATA'!B588)),IF($B590="STD. DEVIATION",2,$F$1))))</f>
        <v/>
      </c>
      <c r="D590" s="1" t="str">
        <f>IF(OR($B590="",D$7=""),"",IF($B590="MEANS",INDEX('1-DATA'!$1:$1048576,$A589-1,COLUMN('1-DATA'!C588)),ROUND(INDEX('1-DATA'!$1:$1048576,IF(OR($B590="STD. DEVIATION",$C$1=1),$A590,$A590+1),COLUMN('1-DATA'!C588)),IF($B590="STD. DEVIATION",2,$F$1))))</f>
        <v/>
      </c>
      <c r="E590" s="1" t="str">
        <f>IF(OR($B590="",E$7=""),"",IF($B590="MEANS",INDEX('1-DATA'!$1:$1048576,$A589-1,COLUMN('1-DATA'!D588)),ROUND(INDEX('1-DATA'!$1:$1048576,IF(OR($B590="STD. DEVIATION",$C$1=1),$A590,$A590+1),COLUMN('1-DATA'!D588)),IF($B590="STD. DEVIATION",2,$F$1))))</f>
        <v/>
      </c>
      <c r="F590" s="1" t="str">
        <f>IF(OR($B590="",F$7=""),"",IF($B590="MEANS",INDEX('1-DATA'!$1:$1048576,$A589-1,COLUMN('1-DATA'!E588)),ROUND(INDEX('1-DATA'!$1:$1048576,IF(OR($B590="STD. DEVIATION",$C$1=1),$A590,$A590+1),COLUMN('1-DATA'!E588)),IF($B590="STD. DEVIATION",2,$F$1))))</f>
        <v/>
      </c>
      <c r="G590" s="1" t="str">
        <f>IF(OR($B590="",G$7=""),"",IF($B590="MEANS",INDEX('1-DATA'!$1:$1048576,$A589-1,COLUMN('1-DATA'!F588)),ROUND(INDEX('1-DATA'!$1:$1048576,IF(OR($B590="STD. DEVIATION",$C$1=1),$A590,$A590+1),COLUMN('1-DATA'!F588)),IF($B590="STD. DEVIATION",2,$F$1))))</f>
        <v/>
      </c>
      <c r="H590" s="1" t="str">
        <f>IF(OR($B590="",H$7=""),"",IF($B590="MEANS",INDEX('1-DATA'!$1:$1048576,$A589-1,COLUMN('1-DATA'!G588)),ROUND(INDEX('1-DATA'!$1:$1048576,IF(OR($B590="STD. DEVIATION",$C$1=1),$A590,$A590+1),COLUMN('1-DATA'!G588)),IF($B590="STD. DEVIATION",2,$F$1))))</f>
        <v/>
      </c>
      <c r="I590" s="1" t="str">
        <f>IF(OR($B590="",I$7=""),"",IF($B590="MEANS",INDEX('1-DATA'!$1:$1048576,$A589-1,COLUMN('1-DATA'!H588)),ROUND(INDEX('1-DATA'!$1:$1048576,IF(OR($B590="STD. DEVIATION",$C$1=1),$A590,$A590+1),COLUMN('1-DATA'!H588)),IF($B590="STD. DEVIATION",2,$F$1))))</f>
        <v/>
      </c>
      <c r="J590" s="1" t="str">
        <f>IF(OR($B590="",J$7=""),"",IF($B590="MEANS",INDEX('1-DATA'!$1:$1048576,$A589-1,COLUMN('1-DATA'!I588)),ROUND(INDEX('1-DATA'!$1:$1048576,IF(OR($B590="STD. DEVIATION",$C$1=1),$A590,$A590+1),COLUMN('1-DATA'!I588)),IF($B590="STD. DEVIATION",2,$F$1))))</f>
        <v/>
      </c>
      <c r="K590" s="1" t="str">
        <f>IF(OR($B590="",K$7=""),"",IF($B590="MEANS",INDEX('1-DATA'!$1:$1048576,$A589-1,COLUMN('1-DATA'!J588)),ROUND(INDEX('1-DATA'!$1:$1048576,IF(OR($B590="STD. DEVIATION",$C$1=1),$A590,$A590+1),COLUMN('1-DATA'!J588)),IF($B590="STD. DEVIATION",2,$F$1))))</f>
        <v/>
      </c>
      <c r="L590" s="1" t="str">
        <f>IF(OR($B590="",L$7=""),"",IF($B590="MEANS",INDEX('1-DATA'!$1:$1048576,$A589-1,COLUMN('1-DATA'!K588)),ROUND(INDEX('1-DATA'!$1:$1048576,IF(OR($B590="STD. DEVIATION",$C$1=1),$A590,$A590+1),COLUMN('1-DATA'!K588)),IF($B590="STD. DEVIATION",2,$F$1))))</f>
        <v/>
      </c>
      <c r="M590" s="1" t="str">
        <f>IF(OR($B590="",M$7=""),"",IF($B590="MEANS",INDEX('1-DATA'!$1:$1048576,$A589-1,COLUMN('1-DATA'!L588)),ROUND(INDEX('1-DATA'!$1:$1048576,IF(OR($B590="STD. DEVIATION",$C$1=1),$A590,$A590+1),COLUMN('1-DATA'!L588)),IF($B590="STD. DEVIATION",2,$F$1))))</f>
        <v/>
      </c>
      <c r="N590" s="1" t="str">
        <f>IF(OR($B590="",N$7=""),"",IF($B590="MEANS",INDEX('1-DATA'!$1:$1048576,$A589-1,COLUMN('1-DATA'!M588)),ROUND(INDEX('1-DATA'!$1:$1048576,IF(OR($B590="STD. DEVIATION",$C$1=1),$A590,$A590+1),COLUMN('1-DATA'!M588)),IF($B590="STD. DEVIATION",2,$F$1))))</f>
        <v/>
      </c>
      <c r="O590" s="1" t="str">
        <f>IF(OR($B590="",O$7=""),"",IF($B590="MEANS",INDEX('1-DATA'!$1:$1048576,$A589-1,COLUMN('1-DATA'!N588)),ROUND(INDEX('1-DATA'!$1:$1048576,IF(OR($B590="STD. DEVIATION",$C$1=1),$A590,$A590+1),COLUMN('1-DATA'!N588)),IF($B590="STD. DEVIATION",2,$F$1))))</f>
        <v/>
      </c>
      <c r="P590" s="1" t="str">
        <f>IF(OR($B590="",P$7=""),"",IF($B590="MEANS",INDEX('1-DATA'!$1:$1048576,$A589-1,COLUMN('1-DATA'!O588)),ROUND(INDEX('1-DATA'!$1:$1048576,IF(OR($B590="STD. DEVIATION",$C$1=1),$A590,$A590+1),COLUMN('1-DATA'!O588)),IF($B590="STD. DEVIATION",2,$F$1))))</f>
        <v/>
      </c>
      <c r="Q590" s="1" t="str">
        <f>IF(OR($B590="",Q$7=""),"",IF($B590="MEANS",INDEX('1-DATA'!$1:$1048576,$A589-1,COLUMN('1-DATA'!P588)),ROUND(INDEX('1-DATA'!$1:$1048576,IF(OR($B590="STD. DEVIATION",$C$1=1),$A590,$A590+1),COLUMN('1-DATA'!P588)),IF($B590="STD. DEVIATION",2,$F$1))))</f>
        <v/>
      </c>
      <c r="R590" s="1" t="str">
        <f>IF(OR($B590="",R$7=""),"",IF($B590="MEANS",INDEX('1-DATA'!$1:$1048576,$A589-1,COLUMN('1-DATA'!Q588)),ROUND(INDEX('1-DATA'!$1:$1048576,IF(OR($B590="STD. DEVIATION",$C$1=1),$A590,$A590+1),COLUMN('1-DATA'!Q588)),IF($B590="STD. DEVIATION",2,$F$1))))</f>
        <v/>
      </c>
      <c r="S590" s="1" t="str">
        <f>IF(OR($B590="",S$7=""),"",IF($B590="MEANS",INDEX('1-DATA'!$1:$1048576,$A589-1,COLUMN('1-DATA'!R588)),ROUND(INDEX('1-DATA'!$1:$1048576,IF(OR($B590="STD. DEVIATION",$C$1=1),$A590,$A590+1),COLUMN('1-DATA'!R588)),IF($B590="STD. DEVIATION",2,$F$1))))</f>
        <v/>
      </c>
      <c r="T590" s="1" t="str">
        <f>IF(OR($B590="",T$7=""),"",IF($B590="MEANS",INDEX('1-DATA'!$1:$1048576,$A589-1,COLUMN('1-DATA'!S588)),ROUND(INDEX('1-DATA'!$1:$1048576,IF(OR($B590="STD. DEVIATION",$C$1=1),$A590,$A590+1),COLUMN('1-DATA'!S588)),IF($B590="STD. DEVIATION",2,$F$1))))</f>
        <v/>
      </c>
      <c r="U590" s="1" t="str">
        <f>IF(OR($B590="",U$7=""),"",IF($B590="MEANS",INDEX('1-DATA'!$1:$1048576,$A589-1,COLUMN('1-DATA'!T588)),ROUND(INDEX('1-DATA'!$1:$1048576,IF(OR($B590="STD. DEVIATION",$C$1=1),$A590,$A590+1),COLUMN('1-DATA'!T588)),IF($B590="STD. DEVIATION",2,$F$1))))</f>
        <v/>
      </c>
      <c r="V590" s="1" t="str">
        <f>IF(OR($B590="",V$7=""),"",IF($B590="MEANS",INDEX('1-DATA'!$1:$1048576,$A589-1,COLUMN('1-DATA'!U588)),ROUND(INDEX('1-DATA'!$1:$1048576,IF(OR($B590="STD. DEVIATION",$C$1=1),$A590,$A590+1),COLUMN('1-DATA'!U588)),IF($B590="STD. DEVIATION",2,$F$1))))</f>
        <v/>
      </c>
      <c r="W590" s="1" t="str">
        <f>IF(OR($B590="",W$7=""),"",IF($B590="MEANS",INDEX('1-DATA'!$1:$1048576,$A589-1,COLUMN('1-DATA'!V588)),ROUND(INDEX('1-DATA'!$1:$1048576,IF(OR($B590="STD. DEVIATION",$C$1=1),$A590,$A590+1),COLUMN('1-DATA'!V588)),IF($B590="STD. DEVIATION",2,$F$1))))</f>
        <v/>
      </c>
      <c r="X590" s="1" t="str">
        <f>IF(OR($B590="",X$7=""),"",IF($B590="MEANS",INDEX('1-DATA'!$1:$1048576,$A589-1,COLUMN('1-DATA'!W588)),ROUND(INDEX('1-DATA'!$1:$1048576,IF(OR($B590="STD. DEVIATION",$C$1=1),$A590,$A590+1),COLUMN('1-DATA'!W588)),IF($B590="STD. DEVIATION",2,$F$1))))</f>
        <v/>
      </c>
      <c r="Y590" s="1" t="str">
        <f>IF(OR($B590="",Y$7=""),"",IF($B590="MEANS",INDEX('1-DATA'!$1:$1048576,$A589-1,COLUMN('1-DATA'!X588)),ROUND(INDEX('1-DATA'!$1:$1048576,IF(OR($B590="STD. DEVIATION",$C$1=1),$A590,$A590+1),COLUMN('1-DATA'!X588)),IF($B590="STD. DEVIATION",2,$F$1))))</f>
        <v/>
      </c>
      <c r="Z590" s="1" t="str">
        <f>IF(OR($B590="",Z$7=""),"",IF($B590="MEANS",INDEX('1-DATA'!$1:$1048576,$A589-1,COLUMN('1-DATA'!Y588)),ROUND(INDEX('1-DATA'!$1:$1048576,IF(OR($B590="STD. DEVIATION",$C$1=1),$A590,$A590+1),COLUMN('1-DATA'!Y588)),IF($B590="STD. DEVIATION",2,$F$1))))</f>
        <v/>
      </c>
      <c r="AA590" s="1" t="str">
        <f>IF(OR($B590="",AA$7=""),"",IF($B590="MEANS",INDEX('1-DATA'!$1:$1048576,$A589-1,COLUMN('1-DATA'!Z588)),ROUND(INDEX('1-DATA'!$1:$1048576,IF(OR($B590="STD. DEVIATION",$C$1=1),$A590,$A590+1),COLUMN('1-DATA'!Z588)),IF($B590="STD. DEVIATION",2,$F$1))))</f>
        <v/>
      </c>
      <c r="AB590" s="1" t="str">
        <f>IF(OR($B590="",AB$7=""),"",IF($B590="MEANS",INDEX('1-DATA'!$1:$1048576,$A589-1,COLUMN('1-DATA'!AA588)),ROUND(INDEX('1-DATA'!$1:$1048576,IF(OR($B590="STD. DEVIATION",$C$1=1),$A590,$A590+1),COLUMN('1-DATA'!AA588)),IF($B590="STD. DEVIATION",2,$F$1))))</f>
        <v/>
      </c>
      <c r="AC590" s="1" t="str">
        <f>IF(OR($B590="",AC$7=""),"",IF($B590="MEANS",INDEX('1-DATA'!$1:$1048576,$A589-1,COLUMN('1-DATA'!AB588)),ROUND(INDEX('1-DATA'!$1:$1048576,IF(OR($B590="STD. DEVIATION",$C$1=1),$A590,$A590+1),COLUMN('1-DATA'!AB588)),IF($B590="STD. DEVIATION",2,$F$1))))</f>
        <v/>
      </c>
      <c r="AD590" s="1" t="str">
        <f>IF(OR($B590="",AD$7=""),"",IF($B590="MEANS",INDEX('1-DATA'!$1:$1048576,$A589-1,COLUMN('1-DATA'!AC588)),ROUND(INDEX('1-DATA'!$1:$1048576,IF(OR($B590="STD. DEVIATION",$C$1=1),$A590,$A590+1),COLUMN('1-DATA'!AC588)),IF($B590="STD. DEVIATION",2,$F$1))))</f>
        <v/>
      </c>
      <c r="AE590" s="1" t="str">
        <f>IF(OR($B590="",AE$7=""),"",IF($B590="MEANS",INDEX('1-DATA'!$1:$1048576,$A589-1,COLUMN('1-DATA'!AD588)),ROUND(INDEX('1-DATA'!$1:$1048576,IF(OR($B590="STD. DEVIATION",$C$1=1),$A590,$A590+1),COLUMN('1-DATA'!AD588)),IF($B590="STD. DEVIATION",2,$F$1))))</f>
        <v/>
      </c>
      <c r="AF590" s="1" t="str">
        <f>IF(OR($B590="",AF$7=""),"",IF($B590="MEANS",INDEX('1-DATA'!$1:$1048576,$A589-1,COLUMN('1-DATA'!AE588)),ROUND(INDEX('1-DATA'!$1:$1048576,IF(OR($B590="STD. DEVIATION",$C$1=1),$A590,$A590+1),COLUMN('1-DATA'!AE588)),IF($B590="STD. DEVIATION",2,$F$1))))</f>
        <v/>
      </c>
      <c r="AG590" s="1" t="str">
        <f>IF(OR($B590="",AG$7=""),"",IF($B590="MEANS",INDEX('1-DATA'!$1:$1048576,$A589-1,COLUMN('1-DATA'!AF588)),ROUND(INDEX('1-DATA'!$1:$1048576,IF(OR($B590="STD. DEVIATION",$C$1=1),$A590,$A590+1),COLUMN('1-DATA'!AF588)),IF($B590="STD. DEVIATION",2,$F$1))))</f>
        <v/>
      </c>
      <c r="AH590" s="1" t="str">
        <f>IF(OR($B590="",AH$7=""),"",IF($B590="MEANS",INDEX('1-DATA'!$1:$1048576,$A589-1,COLUMN('1-DATA'!AG588)),ROUND(INDEX('1-DATA'!$1:$1048576,IF(OR($B590="STD. DEVIATION",$C$1=1),$A590,$A590+1),COLUMN('1-DATA'!AG588)),IF($B590="STD. DEVIATION",2,$F$1))))</f>
        <v/>
      </c>
      <c r="AI590" s="1" t="str">
        <f>IF(OR($B590="",AI$7=""),"",IF($B590="MEANS",INDEX('1-DATA'!$1:$1048576,$A589-1,COLUMN('1-DATA'!AH588)),ROUND(INDEX('1-DATA'!$1:$1048576,IF(OR($B590="STD. DEVIATION",$C$1=1),$A590,$A590+1),COLUMN('1-DATA'!AH588)),IF($B590="STD. DEVIATION",2,$F$1))))</f>
        <v/>
      </c>
      <c r="AJ590" s="1" t="str">
        <f>IF(OR($B590="",AJ$7=""),"",IF($B590="MEANS",INDEX('1-DATA'!$1:$1048576,$A589-1,COLUMN('1-DATA'!AI588)),ROUND(INDEX('1-DATA'!$1:$1048576,IF(OR($B590="STD. DEVIATION",$C$1=1),$A590,$A590+1),COLUMN('1-DATA'!AI588)),IF($B590="STD. DEVIATION",2,$F$1))))</f>
        <v/>
      </c>
      <c r="AK590" s="1" t="str">
        <f>IF(OR($B590="",AK$7=""),"",IF($B590="MEANS",INDEX('1-DATA'!$1:$1048576,$A589-1,COLUMN('1-DATA'!AJ588)),ROUND(INDEX('1-DATA'!$1:$1048576,IF(OR($B590="STD. DEVIATION",$C$1=1),$A590,$A590+1),COLUMN('1-DATA'!AJ588)),IF($B590="STD. DEVIATION",2,$F$1))))</f>
        <v/>
      </c>
      <c r="AL590" s="1" t="str">
        <f>IF(OR($B590="",AL$7=""),"",IF($B590="MEANS",INDEX('1-DATA'!$1:$1048576,$A589-1,COLUMN('1-DATA'!AK588)),ROUND(INDEX('1-DATA'!$1:$1048576,IF(OR($B590="STD. DEVIATION",$C$1=1),$A590,$A590+1),COLUMN('1-DATA'!AK588)),IF($B590="STD. DEVIATION",2,$F$1))))</f>
        <v/>
      </c>
      <c r="AM590" s="1" t="str">
        <f>IF(OR($B590="",AM$7=""),"",IF($B590="MEANS",INDEX('1-DATA'!$1:$1048576,$A589-1,COLUMN('1-DATA'!AL588)),ROUND(INDEX('1-DATA'!$1:$1048576,IF(OR($B590="STD. DEVIATION",$C$1=1),$A590,$A590+1),COLUMN('1-DATA'!AL588)),IF($B590="STD. DEVIATION",2,$F$1))))</f>
        <v/>
      </c>
      <c r="AN590" s="1" t="str">
        <f>IF(OR($B590="",AN$7=""),"",IF($B590="MEANS",INDEX('1-DATA'!$1:$1048576,$A589-1,COLUMN('1-DATA'!AM588)),ROUND(INDEX('1-DATA'!$1:$1048576,IF(OR($B590="STD. DEVIATION",$C$1=1),$A590,$A590+1),COLUMN('1-DATA'!AM588)),IF($B590="STD. DEVIATION",2,$F$1))))</f>
        <v/>
      </c>
      <c r="AO590" s="1" t="str">
        <f>IF(OR($B590="",AO$7=""),"",IF($B590="MEANS",INDEX('1-DATA'!$1:$1048576,$A589-1,COLUMN('1-DATA'!AN588)),ROUND(INDEX('1-DATA'!$1:$1048576,IF(OR($B590="STD. DEVIATION",$C$1=1),$A590,$A590+1),COLUMN('1-DATA'!AN588)),IF($B590="STD. DEVIATION",2,$F$1))))</f>
        <v/>
      </c>
      <c r="AP590" s="1" t="str">
        <f>IF(OR($B590="",AP$7=""),"",IF($B590="MEANS",INDEX('1-DATA'!$1:$1048576,$A589-1,COLUMN('1-DATA'!AO588)),ROUND(INDEX('1-DATA'!$1:$1048576,IF(OR($B590="STD. DEVIATION",$C$1=1),$A590,$A590+1),COLUMN('1-DATA'!AO588)),IF($B590="STD. DEVIATION",2,$F$1))))</f>
        <v/>
      </c>
      <c r="AQ590" s="1" t="str">
        <f>IF(OR($B590="",AQ$7=""),"",IF($B590="MEANS",INDEX('1-DATA'!$1:$1048576,$A589-1,COLUMN('1-DATA'!AP588)),ROUND(INDEX('1-DATA'!$1:$1048576,IF(OR($B590="STD. DEVIATION",$C$1=1),$A590,$A590+1),COLUMN('1-DATA'!AP588)),IF($B590="STD. DEVIATION",2,$F$1))))</f>
        <v/>
      </c>
      <c r="AR590" s="1" t="str">
        <f>IF(OR($B590="",AR$7=""),"",IF($B590="MEANS",INDEX('1-DATA'!$1:$1048576,$A589-1,COLUMN('1-DATA'!AQ588)),ROUND(INDEX('1-DATA'!$1:$1048576,IF(OR($B590="STD. DEVIATION",$C$1=1),$A590,$A590+1),COLUMN('1-DATA'!AQ588)),IF($B590="STD. DEVIATION",2,$F$1))))</f>
        <v/>
      </c>
      <c r="AS590" s="1" t="str">
        <f>IF(OR($B590="",AS$7=""),"",IF($B590="MEANS",INDEX('1-DATA'!$1:$1048576,$A589-1,COLUMN('1-DATA'!AR588)),ROUND(INDEX('1-DATA'!$1:$1048576,IF(OR($B590="STD. DEVIATION",$C$1=1),$A590,$A590+1),COLUMN('1-DATA'!AR588)),IF($B590="STD. DEVIATION",2,$F$1))))</f>
        <v/>
      </c>
      <c r="AT590" s="1" t="str">
        <f>IF(OR($B590="",AT$7=""),"",IF($B590="MEANS",INDEX('1-DATA'!$1:$1048576,$A589-1,COLUMN('1-DATA'!AS588)),ROUND(INDEX('1-DATA'!$1:$1048576,IF(OR($B590="STD. DEVIATION",$C$1=1),$A590,$A590+1),COLUMN('1-DATA'!AS588)),IF($B590="STD. DEVIATION",2,$F$1))))</f>
        <v/>
      </c>
      <c r="AU590" s="1" t="str">
        <f>IF(OR($B590="",AU$7=""),"",IF($B590="MEANS",INDEX('1-DATA'!$1:$1048576,$A589-1,COLUMN('1-DATA'!AT588)),ROUND(INDEX('1-DATA'!$1:$1048576,IF(OR($B590="STD. DEVIATION",$C$1=1),$A590,$A590+1),COLUMN('1-DATA'!AT588)),IF($B590="STD. DEVIATION",2,$F$1))))</f>
        <v/>
      </c>
      <c r="AV590" s="1" t="str">
        <f>IF(OR($B590="",AV$7=""),"",IF($B590="MEANS",INDEX('1-DATA'!$1:$1048576,$A589-1,COLUMN('1-DATA'!AU588)),ROUND(INDEX('1-DATA'!$1:$1048576,IF(OR($B590="STD. DEVIATION",$C$1=1),$A590,$A590+1),COLUMN('1-DATA'!AU588)),IF($B590="STD. DEVIATION",2,$F$1))))</f>
        <v/>
      </c>
      <c r="AW590" s="1" t="str">
        <f>IF(OR($B590="",AW$7=""),"",IF($B590="MEANS",INDEX('1-DATA'!$1:$1048576,$A589-1,COLUMN('1-DATA'!AV588)),ROUND(INDEX('1-DATA'!$1:$1048576,IF(OR($B590="STD. DEVIATION",$C$1=1),$A590,$A590+1),COLUMN('1-DATA'!AV588)),IF($B590="STD. DEVIATION",2,$F$1))))</f>
        <v/>
      </c>
      <c r="AX590" s="1" t="str">
        <f>IF(OR($B590="",AX$7=""),"",IF($B590="MEANS",INDEX('1-DATA'!$1:$1048576,$A589-1,COLUMN('1-DATA'!AW588)),ROUND(INDEX('1-DATA'!$1:$1048576,IF(OR($B590="STD. DEVIATION",$C$1=1),$A590,$A590+1),COLUMN('1-DATA'!AW588)),IF($B590="STD. DEVIATION",2,$F$1))))</f>
        <v/>
      </c>
      <c r="AY590" s="1" t="str">
        <f>IF(OR($B590="",AY$7=""),"",IF($B590="MEANS",INDEX('1-DATA'!$1:$1048576,$A589-1,COLUMN('1-DATA'!AX588)),ROUND(INDEX('1-DATA'!$1:$1048576,IF(OR($B590="STD. DEVIATION",$C$1=1),$A590,$A590+1),COLUMN('1-DATA'!AX588)),IF($B590="STD. DEVIATION",2,$F$1))))</f>
        <v/>
      </c>
      <c r="AZ590" s="1" t="str">
        <f>IF(OR($B590="",AZ$7=""),"",IF($B590="MEANS",INDEX('1-DATA'!$1:$1048576,$A589-1,COLUMN('1-DATA'!AY588)),ROUND(INDEX('1-DATA'!$1:$1048576,IF(OR($B590="STD. DEVIATION",$C$1=1),$A590,$A590+1),COLUMN('1-DATA'!AY588)),IF($B590="STD. DEVIATION",2,$F$1))))</f>
        <v/>
      </c>
    </row>
    <row r="591" spans="1:52" x14ac:dyDescent="0.25">
      <c r="A591" s="11">
        <f t="shared" si="9"/>
        <v>1759</v>
      </c>
      <c r="B591" s="1" t="str">
        <f>IF(B590="STD. DEVIATION",INDEX('1-DATA'!$1:$1048576,$A590-1,1),IF(INDEX('1-DATA'!$1:$1048576,$A591,1)&lt;&gt;"",INDEX('1-DATA'!$1:$1048576,$A591,1),""))</f>
        <v/>
      </c>
      <c r="C591" s="1" t="str">
        <f>IF(OR($B591="",C$7=""),"",IF($B591="MEANS",INDEX('1-DATA'!$1:$1048576,$A590-1,COLUMN('1-DATA'!B589)),ROUND(INDEX('1-DATA'!$1:$1048576,IF(OR($B591="STD. DEVIATION",$C$1=1),$A591,$A591+1),COLUMN('1-DATA'!B589)),IF($B591="STD. DEVIATION",2,$F$1))))</f>
        <v/>
      </c>
      <c r="D591" s="1" t="str">
        <f>IF(OR($B591="",D$7=""),"",IF($B591="MEANS",INDEX('1-DATA'!$1:$1048576,$A590-1,COLUMN('1-DATA'!C589)),ROUND(INDEX('1-DATA'!$1:$1048576,IF(OR($B591="STD. DEVIATION",$C$1=1),$A591,$A591+1),COLUMN('1-DATA'!C589)),IF($B591="STD. DEVIATION",2,$F$1))))</f>
        <v/>
      </c>
      <c r="E591" s="1" t="str">
        <f>IF(OR($B591="",E$7=""),"",IF($B591="MEANS",INDEX('1-DATA'!$1:$1048576,$A590-1,COLUMN('1-DATA'!D589)),ROUND(INDEX('1-DATA'!$1:$1048576,IF(OR($B591="STD. DEVIATION",$C$1=1),$A591,$A591+1),COLUMN('1-DATA'!D589)),IF($B591="STD. DEVIATION",2,$F$1))))</f>
        <v/>
      </c>
      <c r="F591" s="1" t="str">
        <f>IF(OR($B591="",F$7=""),"",IF($B591="MEANS",INDEX('1-DATA'!$1:$1048576,$A590-1,COLUMN('1-DATA'!E589)),ROUND(INDEX('1-DATA'!$1:$1048576,IF(OR($B591="STD. DEVIATION",$C$1=1),$A591,$A591+1),COLUMN('1-DATA'!E589)),IF($B591="STD. DEVIATION",2,$F$1))))</f>
        <v/>
      </c>
      <c r="G591" s="1" t="str">
        <f>IF(OR($B591="",G$7=""),"",IF($B591="MEANS",INDEX('1-DATA'!$1:$1048576,$A590-1,COLUMN('1-DATA'!F589)),ROUND(INDEX('1-DATA'!$1:$1048576,IF(OR($B591="STD. DEVIATION",$C$1=1),$A591,$A591+1),COLUMN('1-DATA'!F589)),IF($B591="STD. DEVIATION",2,$F$1))))</f>
        <v/>
      </c>
      <c r="H591" s="1" t="str">
        <f>IF(OR($B591="",H$7=""),"",IF($B591="MEANS",INDEX('1-DATA'!$1:$1048576,$A590-1,COLUMN('1-DATA'!G589)),ROUND(INDEX('1-DATA'!$1:$1048576,IF(OR($B591="STD. DEVIATION",$C$1=1),$A591,$A591+1),COLUMN('1-DATA'!G589)),IF($B591="STD. DEVIATION",2,$F$1))))</f>
        <v/>
      </c>
      <c r="I591" s="1" t="str">
        <f>IF(OR($B591="",I$7=""),"",IF($B591="MEANS",INDEX('1-DATA'!$1:$1048576,$A590-1,COLUMN('1-DATA'!H589)),ROUND(INDEX('1-DATA'!$1:$1048576,IF(OR($B591="STD. DEVIATION",$C$1=1),$A591,$A591+1),COLUMN('1-DATA'!H589)),IF($B591="STD. DEVIATION",2,$F$1))))</f>
        <v/>
      </c>
      <c r="J591" s="1" t="str">
        <f>IF(OR($B591="",J$7=""),"",IF($B591="MEANS",INDEX('1-DATA'!$1:$1048576,$A590-1,COLUMN('1-DATA'!I589)),ROUND(INDEX('1-DATA'!$1:$1048576,IF(OR($B591="STD. DEVIATION",$C$1=1),$A591,$A591+1),COLUMN('1-DATA'!I589)),IF($B591="STD. DEVIATION",2,$F$1))))</f>
        <v/>
      </c>
      <c r="K591" s="1" t="str">
        <f>IF(OR($B591="",K$7=""),"",IF($B591="MEANS",INDEX('1-DATA'!$1:$1048576,$A590-1,COLUMN('1-DATA'!J589)),ROUND(INDEX('1-DATA'!$1:$1048576,IF(OR($B591="STD. DEVIATION",$C$1=1),$A591,$A591+1),COLUMN('1-DATA'!J589)),IF($B591="STD. DEVIATION",2,$F$1))))</f>
        <v/>
      </c>
      <c r="L591" s="1" t="str">
        <f>IF(OR($B591="",L$7=""),"",IF($B591="MEANS",INDEX('1-DATA'!$1:$1048576,$A590-1,COLUMN('1-DATA'!K589)),ROUND(INDEX('1-DATA'!$1:$1048576,IF(OR($B591="STD. DEVIATION",$C$1=1),$A591,$A591+1),COLUMN('1-DATA'!K589)),IF($B591="STD. DEVIATION",2,$F$1))))</f>
        <v/>
      </c>
      <c r="M591" s="1" t="str">
        <f>IF(OR($B591="",M$7=""),"",IF($B591="MEANS",INDEX('1-DATA'!$1:$1048576,$A590-1,COLUMN('1-DATA'!L589)),ROUND(INDEX('1-DATA'!$1:$1048576,IF(OR($B591="STD. DEVIATION",$C$1=1),$A591,$A591+1),COLUMN('1-DATA'!L589)),IF($B591="STD. DEVIATION",2,$F$1))))</f>
        <v/>
      </c>
      <c r="N591" s="1" t="str">
        <f>IF(OR($B591="",N$7=""),"",IF($B591="MEANS",INDEX('1-DATA'!$1:$1048576,$A590-1,COLUMN('1-DATA'!M589)),ROUND(INDEX('1-DATA'!$1:$1048576,IF(OR($B591="STD. DEVIATION",$C$1=1),$A591,$A591+1),COLUMN('1-DATA'!M589)),IF($B591="STD. DEVIATION",2,$F$1))))</f>
        <v/>
      </c>
      <c r="O591" s="1" t="str">
        <f>IF(OR($B591="",O$7=""),"",IF($B591="MEANS",INDEX('1-DATA'!$1:$1048576,$A590-1,COLUMN('1-DATA'!N589)),ROUND(INDEX('1-DATA'!$1:$1048576,IF(OR($B591="STD. DEVIATION",$C$1=1),$A591,$A591+1),COLUMN('1-DATA'!N589)),IF($B591="STD. DEVIATION",2,$F$1))))</f>
        <v/>
      </c>
      <c r="P591" s="1" t="str">
        <f>IF(OR($B591="",P$7=""),"",IF($B591="MEANS",INDEX('1-DATA'!$1:$1048576,$A590-1,COLUMN('1-DATA'!O589)),ROUND(INDEX('1-DATA'!$1:$1048576,IF(OR($B591="STD. DEVIATION",$C$1=1),$A591,$A591+1),COLUMN('1-DATA'!O589)),IF($B591="STD. DEVIATION",2,$F$1))))</f>
        <v/>
      </c>
      <c r="Q591" s="1" t="str">
        <f>IF(OR($B591="",Q$7=""),"",IF($B591="MEANS",INDEX('1-DATA'!$1:$1048576,$A590-1,COLUMN('1-DATA'!P589)),ROUND(INDEX('1-DATA'!$1:$1048576,IF(OR($B591="STD. DEVIATION",$C$1=1),$A591,$A591+1),COLUMN('1-DATA'!P589)),IF($B591="STD. DEVIATION",2,$F$1))))</f>
        <v/>
      </c>
      <c r="R591" s="1" t="str">
        <f>IF(OR($B591="",R$7=""),"",IF($B591="MEANS",INDEX('1-DATA'!$1:$1048576,$A590-1,COLUMN('1-DATA'!Q589)),ROUND(INDEX('1-DATA'!$1:$1048576,IF(OR($B591="STD. DEVIATION",$C$1=1),$A591,$A591+1),COLUMN('1-DATA'!Q589)),IF($B591="STD. DEVIATION",2,$F$1))))</f>
        <v/>
      </c>
      <c r="S591" s="1" t="str">
        <f>IF(OR($B591="",S$7=""),"",IF($B591="MEANS",INDEX('1-DATA'!$1:$1048576,$A590-1,COLUMN('1-DATA'!R589)),ROUND(INDEX('1-DATA'!$1:$1048576,IF(OR($B591="STD. DEVIATION",$C$1=1),$A591,$A591+1),COLUMN('1-DATA'!R589)),IF($B591="STD. DEVIATION",2,$F$1))))</f>
        <v/>
      </c>
      <c r="T591" s="1" t="str">
        <f>IF(OR($B591="",T$7=""),"",IF($B591="MEANS",INDEX('1-DATA'!$1:$1048576,$A590-1,COLUMN('1-DATA'!S589)),ROUND(INDEX('1-DATA'!$1:$1048576,IF(OR($B591="STD. DEVIATION",$C$1=1),$A591,$A591+1),COLUMN('1-DATA'!S589)),IF($B591="STD. DEVIATION",2,$F$1))))</f>
        <v/>
      </c>
      <c r="U591" s="1" t="str">
        <f>IF(OR($B591="",U$7=""),"",IF($B591="MEANS",INDEX('1-DATA'!$1:$1048576,$A590-1,COLUMN('1-DATA'!T589)),ROUND(INDEX('1-DATA'!$1:$1048576,IF(OR($B591="STD. DEVIATION",$C$1=1),$A591,$A591+1),COLUMN('1-DATA'!T589)),IF($B591="STD. DEVIATION",2,$F$1))))</f>
        <v/>
      </c>
      <c r="V591" s="1" t="str">
        <f>IF(OR($B591="",V$7=""),"",IF($B591="MEANS",INDEX('1-DATA'!$1:$1048576,$A590-1,COLUMN('1-DATA'!U589)),ROUND(INDEX('1-DATA'!$1:$1048576,IF(OR($B591="STD. DEVIATION",$C$1=1),$A591,$A591+1),COLUMN('1-DATA'!U589)),IF($B591="STD. DEVIATION",2,$F$1))))</f>
        <v/>
      </c>
      <c r="W591" s="1" t="str">
        <f>IF(OR($B591="",W$7=""),"",IF($B591="MEANS",INDEX('1-DATA'!$1:$1048576,$A590-1,COLUMN('1-DATA'!V589)),ROUND(INDEX('1-DATA'!$1:$1048576,IF(OR($B591="STD. DEVIATION",$C$1=1),$A591,$A591+1),COLUMN('1-DATA'!V589)),IF($B591="STD. DEVIATION",2,$F$1))))</f>
        <v/>
      </c>
      <c r="X591" s="1" t="str">
        <f>IF(OR($B591="",X$7=""),"",IF($B591="MEANS",INDEX('1-DATA'!$1:$1048576,$A590-1,COLUMN('1-DATA'!W589)),ROUND(INDEX('1-DATA'!$1:$1048576,IF(OR($B591="STD. DEVIATION",$C$1=1),$A591,$A591+1),COLUMN('1-DATA'!W589)),IF($B591="STD. DEVIATION",2,$F$1))))</f>
        <v/>
      </c>
      <c r="Y591" s="1" t="str">
        <f>IF(OR($B591="",Y$7=""),"",IF($B591="MEANS",INDEX('1-DATA'!$1:$1048576,$A590-1,COLUMN('1-DATA'!X589)),ROUND(INDEX('1-DATA'!$1:$1048576,IF(OR($B591="STD. DEVIATION",$C$1=1),$A591,$A591+1),COLUMN('1-DATA'!X589)),IF($B591="STD. DEVIATION",2,$F$1))))</f>
        <v/>
      </c>
      <c r="Z591" s="1" t="str">
        <f>IF(OR($B591="",Z$7=""),"",IF($B591="MEANS",INDEX('1-DATA'!$1:$1048576,$A590-1,COLUMN('1-DATA'!Y589)),ROUND(INDEX('1-DATA'!$1:$1048576,IF(OR($B591="STD. DEVIATION",$C$1=1),$A591,$A591+1),COLUMN('1-DATA'!Y589)),IF($B591="STD. DEVIATION",2,$F$1))))</f>
        <v/>
      </c>
      <c r="AA591" s="1" t="str">
        <f>IF(OR($B591="",AA$7=""),"",IF($B591="MEANS",INDEX('1-DATA'!$1:$1048576,$A590-1,COLUMN('1-DATA'!Z589)),ROUND(INDEX('1-DATA'!$1:$1048576,IF(OR($B591="STD. DEVIATION",$C$1=1),$A591,$A591+1),COLUMN('1-DATA'!Z589)),IF($B591="STD. DEVIATION",2,$F$1))))</f>
        <v/>
      </c>
      <c r="AB591" s="1" t="str">
        <f>IF(OR($B591="",AB$7=""),"",IF($B591="MEANS",INDEX('1-DATA'!$1:$1048576,$A590-1,COLUMN('1-DATA'!AA589)),ROUND(INDEX('1-DATA'!$1:$1048576,IF(OR($B591="STD. DEVIATION",$C$1=1),$A591,$A591+1),COLUMN('1-DATA'!AA589)),IF($B591="STD. DEVIATION",2,$F$1))))</f>
        <v/>
      </c>
      <c r="AC591" s="1" t="str">
        <f>IF(OR($B591="",AC$7=""),"",IF($B591="MEANS",INDEX('1-DATA'!$1:$1048576,$A590-1,COLUMN('1-DATA'!AB589)),ROUND(INDEX('1-DATA'!$1:$1048576,IF(OR($B591="STD. DEVIATION",$C$1=1),$A591,$A591+1),COLUMN('1-DATA'!AB589)),IF($B591="STD. DEVIATION",2,$F$1))))</f>
        <v/>
      </c>
      <c r="AD591" s="1" t="str">
        <f>IF(OR($B591="",AD$7=""),"",IF($B591="MEANS",INDEX('1-DATA'!$1:$1048576,$A590-1,COLUMN('1-DATA'!AC589)),ROUND(INDEX('1-DATA'!$1:$1048576,IF(OR($B591="STD. DEVIATION",$C$1=1),$A591,$A591+1),COLUMN('1-DATA'!AC589)),IF($B591="STD. DEVIATION",2,$F$1))))</f>
        <v/>
      </c>
      <c r="AE591" s="1" t="str">
        <f>IF(OR($B591="",AE$7=""),"",IF($B591="MEANS",INDEX('1-DATA'!$1:$1048576,$A590-1,COLUMN('1-DATA'!AD589)),ROUND(INDEX('1-DATA'!$1:$1048576,IF(OR($B591="STD. DEVIATION",$C$1=1),$A591,$A591+1),COLUMN('1-DATA'!AD589)),IF($B591="STD. DEVIATION",2,$F$1))))</f>
        <v/>
      </c>
      <c r="AF591" s="1" t="str">
        <f>IF(OR($B591="",AF$7=""),"",IF($B591="MEANS",INDEX('1-DATA'!$1:$1048576,$A590-1,COLUMN('1-DATA'!AE589)),ROUND(INDEX('1-DATA'!$1:$1048576,IF(OR($B591="STD. DEVIATION",$C$1=1),$A591,$A591+1),COLUMN('1-DATA'!AE589)),IF($B591="STD. DEVIATION",2,$F$1))))</f>
        <v/>
      </c>
      <c r="AG591" s="1" t="str">
        <f>IF(OR($B591="",AG$7=""),"",IF($B591="MEANS",INDEX('1-DATA'!$1:$1048576,$A590-1,COLUMN('1-DATA'!AF589)),ROUND(INDEX('1-DATA'!$1:$1048576,IF(OR($B591="STD. DEVIATION",$C$1=1),$A591,$A591+1),COLUMN('1-DATA'!AF589)),IF($B591="STD. DEVIATION",2,$F$1))))</f>
        <v/>
      </c>
      <c r="AH591" s="1" t="str">
        <f>IF(OR($B591="",AH$7=""),"",IF($B591="MEANS",INDEX('1-DATA'!$1:$1048576,$A590-1,COLUMN('1-DATA'!AG589)),ROUND(INDEX('1-DATA'!$1:$1048576,IF(OR($B591="STD. DEVIATION",$C$1=1),$A591,$A591+1),COLUMN('1-DATA'!AG589)),IF($B591="STD. DEVIATION",2,$F$1))))</f>
        <v/>
      </c>
      <c r="AI591" s="1" t="str">
        <f>IF(OR($B591="",AI$7=""),"",IF($B591="MEANS",INDEX('1-DATA'!$1:$1048576,$A590-1,COLUMN('1-DATA'!AH589)),ROUND(INDEX('1-DATA'!$1:$1048576,IF(OR($B591="STD. DEVIATION",$C$1=1),$A591,$A591+1),COLUMN('1-DATA'!AH589)),IF($B591="STD. DEVIATION",2,$F$1))))</f>
        <v/>
      </c>
      <c r="AJ591" s="1" t="str">
        <f>IF(OR($B591="",AJ$7=""),"",IF($B591="MEANS",INDEX('1-DATA'!$1:$1048576,$A590-1,COLUMN('1-DATA'!AI589)),ROUND(INDEX('1-DATA'!$1:$1048576,IF(OR($B591="STD. DEVIATION",$C$1=1),$A591,$A591+1),COLUMN('1-DATA'!AI589)),IF($B591="STD. DEVIATION",2,$F$1))))</f>
        <v/>
      </c>
      <c r="AK591" s="1" t="str">
        <f>IF(OR($B591="",AK$7=""),"",IF($B591="MEANS",INDEX('1-DATA'!$1:$1048576,$A590-1,COLUMN('1-DATA'!AJ589)),ROUND(INDEX('1-DATA'!$1:$1048576,IF(OR($B591="STD. DEVIATION",$C$1=1),$A591,$A591+1),COLUMN('1-DATA'!AJ589)),IF($B591="STD. DEVIATION",2,$F$1))))</f>
        <v/>
      </c>
      <c r="AL591" s="1" t="str">
        <f>IF(OR($B591="",AL$7=""),"",IF($B591="MEANS",INDEX('1-DATA'!$1:$1048576,$A590-1,COLUMN('1-DATA'!AK589)),ROUND(INDEX('1-DATA'!$1:$1048576,IF(OR($B591="STD. DEVIATION",$C$1=1),$A591,$A591+1),COLUMN('1-DATA'!AK589)),IF($B591="STD. DEVIATION",2,$F$1))))</f>
        <v/>
      </c>
      <c r="AM591" s="1" t="str">
        <f>IF(OR($B591="",AM$7=""),"",IF($B591="MEANS",INDEX('1-DATA'!$1:$1048576,$A590-1,COLUMN('1-DATA'!AL589)),ROUND(INDEX('1-DATA'!$1:$1048576,IF(OR($B591="STD. DEVIATION",$C$1=1),$A591,$A591+1),COLUMN('1-DATA'!AL589)),IF($B591="STD. DEVIATION",2,$F$1))))</f>
        <v/>
      </c>
      <c r="AN591" s="1" t="str">
        <f>IF(OR($B591="",AN$7=""),"",IF($B591="MEANS",INDEX('1-DATA'!$1:$1048576,$A590-1,COLUMN('1-DATA'!AM589)),ROUND(INDEX('1-DATA'!$1:$1048576,IF(OR($B591="STD. DEVIATION",$C$1=1),$A591,$A591+1),COLUMN('1-DATA'!AM589)),IF($B591="STD. DEVIATION",2,$F$1))))</f>
        <v/>
      </c>
      <c r="AO591" s="1" t="str">
        <f>IF(OR($B591="",AO$7=""),"",IF($B591="MEANS",INDEX('1-DATA'!$1:$1048576,$A590-1,COLUMN('1-DATA'!AN589)),ROUND(INDEX('1-DATA'!$1:$1048576,IF(OR($B591="STD. DEVIATION",$C$1=1),$A591,$A591+1),COLUMN('1-DATA'!AN589)),IF($B591="STD. DEVIATION",2,$F$1))))</f>
        <v/>
      </c>
      <c r="AP591" s="1" t="str">
        <f>IF(OR($B591="",AP$7=""),"",IF($B591="MEANS",INDEX('1-DATA'!$1:$1048576,$A590-1,COLUMN('1-DATA'!AO589)),ROUND(INDEX('1-DATA'!$1:$1048576,IF(OR($B591="STD. DEVIATION",$C$1=1),$A591,$A591+1),COLUMN('1-DATA'!AO589)),IF($B591="STD. DEVIATION",2,$F$1))))</f>
        <v/>
      </c>
      <c r="AQ591" s="1" t="str">
        <f>IF(OR($B591="",AQ$7=""),"",IF($B591="MEANS",INDEX('1-DATA'!$1:$1048576,$A590-1,COLUMN('1-DATA'!AP589)),ROUND(INDEX('1-DATA'!$1:$1048576,IF(OR($B591="STD. DEVIATION",$C$1=1),$A591,$A591+1),COLUMN('1-DATA'!AP589)),IF($B591="STD. DEVIATION",2,$F$1))))</f>
        <v/>
      </c>
      <c r="AR591" s="1" t="str">
        <f>IF(OR($B591="",AR$7=""),"",IF($B591="MEANS",INDEX('1-DATA'!$1:$1048576,$A590-1,COLUMN('1-DATA'!AQ589)),ROUND(INDEX('1-DATA'!$1:$1048576,IF(OR($B591="STD. DEVIATION",$C$1=1),$A591,$A591+1),COLUMN('1-DATA'!AQ589)),IF($B591="STD. DEVIATION",2,$F$1))))</f>
        <v/>
      </c>
      <c r="AS591" s="1" t="str">
        <f>IF(OR($B591="",AS$7=""),"",IF($B591="MEANS",INDEX('1-DATA'!$1:$1048576,$A590-1,COLUMN('1-DATA'!AR589)),ROUND(INDEX('1-DATA'!$1:$1048576,IF(OR($B591="STD. DEVIATION",$C$1=1),$A591,$A591+1),COLUMN('1-DATA'!AR589)),IF($B591="STD. DEVIATION",2,$F$1))))</f>
        <v/>
      </c>
      <c r="AT591" s="1" t="str">
        <f>IF(OR($B591="",AT$7=""),"",IF($B591="MEANS",INDEX('1-DATA'!$1:$1048576,$A590-1,COLUMN('1-DATA'!AS589)),ROUND(INDEX('1-DATA'!$1:$1048576,IF(OR($B591="STD. DEVIATION",$C$1=1),$A591,$A591+1),COLUMN('1-DATA'!AS589)),IF($B591="STD. DEVIATION",2,$F$1))))</f>
        <v/>
      </c>
      <c r="AU591" s="1" t="str">
        <f>IF(OR($B591="",AU$7=""),"",IF($B591="MEANS",INDEX('1-DATA'!$1:$1048576,$A590-1,COLUMN('1-DATA'!AT589)),ROUND(INDEX('1-DATA'!$1:$1048576,IF(OR($B591="STD. DEVIATION",$C$1=1),$A591,$A591+1),COLUMN('1-DATA'!AT589)),IF($B591="STD. DEVIATION",2,$F$1))))</f>
        <v/>
      </c>
      <c r="AV591" s="1" t="str">
        <f>IF(OR($B591="",AV$7=""),"",IF($B591="MEANS",INDEX('1-DATA'!$1:$1048576,$A590-1,COLUMN('1-DATA'!AU589)),ROUND(INDEX('1-DATA'!$1:$1048576,IF(OR($B591="STD. DEVIATION",$C$1=1),$A591,$A591+1),COLUMN('1-DATA'!AU589)),IF($B591="STD. DEVIATION",2,$F$1))))</f>
        <v/>
      </c>
      <c r="AW591" s="1" t="str">
        <f>IF(OR($B591="",AW$7=""),"",IF($B591="MEANS",INDEX('1-DATA'!$1:$1048576,$A590-1,COLUMN('1-DATA'!AV589)),ROUND(INDEX('1-DATA'!$1:$1048576,IF(OR($B591="STD. DEVIATION",$C$1=1),$A591,$A591+1),COLUMN('1-DATA'!AV589)),IF($B591="STD. DEVIATION",2,$F$1))))</f>
        <v/>
      </c>
      <c r="AX591" s="1" t="str">
        <f>IF(OR($B591="",AX$7=""),"",IF($B591="MEANS",INDEX('1-DATA'!$1:$1048576,$A590-1,COLUMN('1-DATA'!AW589)),ROUND(INDEX('1-DATA'!$1:$1048576,IF(OR($B591="STD. DEVIATION",$C$1=1),$A591,$A591+1),COLUMN('1-DATA'!AW589)),IF($B591="STD. DEVIATION",2,$F$1))))</f>
        <v/>
      </c>
      <c r="AY591" s="1" t="str">
        <f>IF(OR($B591="",AY$7=""),"",IF($B591="MEANS",INDEX('1-DATA'!$1:$1048576,$A590-1,COLUMN('1-DATA'!AX589)),ROUND(INDEX('1-DATA'!$1:$1048576,IF(OR($B591="STD. DEVIATION",$C$1=1),$A591,$A591+1),COLUMN('1-DATA'!AX589)),IF($B591="STD. DEVIATION",2,$F$1))))</f>
        <v/>
      </c>
      <c r="AZ591" s="1" t="str">
        <f>IF(OR($B591="",AZ$7=""),"",IF($B591="MEANS",INDEX('1-DATA'!$1:$1048576,$A590-1,COLUMN('1-DATA'!AY589)),ROUND(INDEX('1-DATA'!$1:$1048576,IF(OR($B591="STD. DEVIATION",$C$1=1),$A591,$A591+1),COLUMN('1-DATA'!AY589)),IF($B591="STD. DEVIATION",2,$F$1))))</f>
        <v/>
      </c>
    </row>
    <row r="592" spans="1:52" x14ac:dyDescent="0.25">
      <c r="A592" s="11">
        <f t="shared" si="9"/>
        <v>1762</v>
      </c>
      <c r="B592" s="1" t="str">
        <f>IF(B591="STD. DEVIATION",INDEX('1-DATA'!$1:$1048576,$A591-1,1),IF(INDEX('1-DATA'!$1:$1048576,$A592,1)&lt;&gt;"",INDEX('1-DATA'!$1:$1048576,$A592,1),""))</f>
        <v/>
      </c>
      <c r="C592" s="1" t="str">
        <f>IF(OR($B592="",C$7=""),"",IF($B592="MEANS",INDEX('1-DATA'!$1:$1048576,$A591-1,COLUMN('1-DATA'!B590)),ROUND(INDEX('1-DATA'!$1:$1048576,IF(OR($B592="STD. DEVIATION",$C$1=1),$A592,$A592+1),COLUMN('1-DATA'!B590)),IF($B592="STD. DEVIATION",2,$F$1))))</f>
        <v/>
      </c>
      <c r="D592" s="1" t="str">
        <f>IF(OR($B592="",D$7=""),"",IF($B592="MEANS",INDEX('1-DATA'!$1:$1048576,$A591-1,COLUMN('1-DATA'!C590)),ROUND(INDEX('1-DATA'!$1:$1048576,IF(OR($B592="STD. DEVIATION",$C$1=1),$A592,$A592+1),COLUMN('1-DATA'!C590)),IF($B592="STD. DEVIATION",2,$F$1))))</f>
        <v/>
      </c>
      <c r="E592" s="1" t="str">
        <f>IF(OR($B592="",E$7=""),"",IF($B592="MEANS",INDEX('1-DATA'!$1:$1048576,$A591-1,COLUMN('1-DATA'!D590)),ROUND(INDEX('1-DATA'!$1:$1048576,IF(OR($B592="STD. DEVIATION",$C$1=1),$A592,$A592+1),COLUMN('1-DATA'!D590)),IF($B592="STD. DEVIATION",2,$F$1))))</f>
        <v/>
      </c>
      <c r="F592" s="1" t="str">
        <f>IF(OR($B592="",F$7=""),"",IF($B592="MEANS",INDEX('1-DATA'!$1:$1048576,$A591-1,COLUMN('1-DATA'!E590)),ROUND(INDEX('1-DATA'!$1:$1048576,IF(OR($B592="STD. DEVIATION",$C$1=1),$A592,$A592+1),COLUMN('1-DATA'!E590)),IF($B592="STD. DEVIATION",2,$F$1))))</f>
        <v/>
      </c>
      <c r="G592" s="1" t="str">
        <f>IF(OR($B592="",G$7=""),"",IF($B592="MEANS",INDEX('1-DATA'!$1:$1048576,$A591-1,COLUMN('1-DATA'!F590)),ROUND(INDEX('1-DATA'!$1:$1048576,IF(OR($B592="STD. DEVIATION",$C$1=1),$A592,$A592+1),COLUMN('1-DATA'!F590)),IF($B592="STD. DEVIATION",2,$F$1))))</f>
        <v/>
      </c>
      <c r="H592" s="1" t="str">
        <f>IF(OR($B592="",H$7=""),"",IF($B592="MEANS",INDEX('1-DATA'!$1:$1048576,$A591-1,COLUMN('1-DATA'!G590)),ROUND(INDEX('1-DATA'!$1:$1048576,IF(OR($B592="STD. DEVIATION",$C$1=1),$A592,$A592+1),COLUMN('1-DATA'!G590)),IF($B592="STD. DEVIATION",2,$F$1))))</f>
        <v/>
      </c>
      <c r="I592" s="1" t="str">
        <f>IF(OR($B592="",I$7=""),"",IF($B592="MEANS",INDEX('1-DATA'!$1:$1048576,$A591-1,COLUMN('1-DATA'!H590)),ROUND(INDEX('1-DATA'!$1:$1048576,IF(OR($B592="STD. DEVIATION",$C$1=1),$A592,$A592+1),COLUMN('1-DATA'!H590)),IF($B592="STD. DEVIATION",2,$F$1))))</f>
        <v/>
      </c>
      <c r="J592" s="1" t="str">
        <f>IF(OR($B592="",J$7=""),"",IF($B592="MEANS",INDEX('1-DATA'!$1:$1048576,$A591-1,COLUMN('1-DATA'!I590)),ROUND(INDEX('1-DATA'!$1:$1048576,IF(OR($B592="STD. DEVIATION",$C$1=1),$A592,$A592+1),COLUMN('1-DATA'!I590)),IF($B592="STD. DEVIATION",2,$F$1))))</f>
        <v/>
      </c>
      <c r="K592" s="1" t="str">
        <f>IF(OR($B592="",K$7=""),"",IF($B592="MEANS",INDEX('1-DATA'!$1:$1048576,$A591-1,COLUMN('1-DATA'!J590)),ROUND(INDEX('1-DATA'!$1:$1048576,IF(OR($B592="STD. DEVIATION",$C$1=1),$A592,$A592+1),COLUMN('1-DATA'!J590)),IF($B592="STD. DEVIATION",2,$F$1))))</f>
        <v/>
      </c>
      <c r="L592" s="1" t="str">
        <f>IF(OR($B592="",L$7=""),"",IF($B592="MEANS",INDEX('1-DATA'!$1:$1048576,$A591-1,COLUMN('1-DATA'!K590)),ROUND(INDEX('1-DATA'!$1:$1048576,IF(OR($B592="STD. DEVIATION",$C$1=1),$A592,$A592+1),COLUMN('1-DATA'!K590)),IF($B592="STD. DEVIATION",2,$F$1))))</f>
        <v/>
      </c>
      <c r="M592" s="1" t="str">
        <f>IF(OR($B592="",M$7=""),"",IF($B592="MEANS",INDEX('1-DATA'!$1:$1048576,$A591-1,COLUMN('1-DATA'!L590)),ROUND(INDEX('1-DATA'!$1:$1048576,IF(OR($B592="STD. DEVIATION",$C$1=1),$A592,$A592+1),COLUMN('1-DATA'!L590)),IF($B592="STD. DEVIATION",2,$F$1))))</f>
        <v/>
      </c>
      <c r="N592" s="1" t="str">
        <f>IF(OR($B592="",N$7=""),"",IF($B592="MEANS",INDEX('1-DATA'!$1:$1048576,$A591-1,COLUMN('1-DATA'!M590)),ROUND(INDEX('1-DATA'!$1:$1048576,IF(OR($B592="STD. DEVIATION",$C$1=1),$A592,$A592+1),COLUMN('1-DATA'!M590)),IF($B592="STD. DEVIATION",2,$F$1))))</f>
        <v/>
      </c>
      <c r="O592" s="1" t="str">
        <f>IF(OR($B592="",O$7=""),"",IF($B592="MEANS",INDEX('1-DATA'!$1:$1048576,$A591-1,COLUMN('1-DATA'!N590)),ROUND(INDEX('1-DATA'!$1:$1048576,IF(OR($B592="STD. DEVIATION",$C$1=1),$A592,$A592+1),COLUMN('1-DATA'!N590)),IF($B592="STD. DEVIATION",2,$F$1))))</f>
        <v/>
      </c>
      <c r="P592" s="1" t="str">
        <f>IF(OR($B592="",P$7=""),"",IF($B592="MEANS",INDEX('1-DATA'!$1:$1048576,$A591-1,COLUMN('1-DATA'!O590)),ROUND(INDEX('1-DATA'!$1:$1048576,IF(OR($B592="STD. DEVIATION",$C$1=1),$A592,$A592+1),COLUMN('1-DATA'!O590)),IF($B592="STD. DEVIATION",2,$F$1))))</f>
        <v/>
      </c>
      <c r="Q592" s="1" t="str">
        <f>IF(OR($B592="",Q$7=""),"",IF($B592="MEANS",INDEX('1-DATA'!$1:$1048576,$A591-1,COLUMN('1-DATA'!P590)),ROUND(INDEX('1-DATA'!$1:$1048576,IF(OR($B592="STD. DEVIATION",$C$1=1),$A592,$A592+1),COLUMN('1-DATA'!P590)),IF($B592="STD. DEVIATION",2,$F$1))))</f>
        <v/>
      </c>
      <c r="R592" s="1" t="str">
        <f>IF(OR($B592="",R$7=""),"",IF($B592="MEANS",INDEX('1-DATA'!$1:$1048576,$A591-1,COLUMN('1-DATA'!Q590)),ROUND(INDEX('1-DATA'!$1:$1048576,IF(OR($B592="STD. DEVIATION",$C$1=1),$A592,$A592+1),COLUMN('1-DATA'!Q590)),IF($B592="STD. DEVIATION",2,$F$1))))</f>
        <v/>
      </c>
      <c r="S592" s="1" t="str">
        <f>IF(OR($B592="",S$7=""),"",IF($B592="MEANS",INDEX('1-DATA'!$1:$1048576,$A591-1,COLUMN('1-DATA'!R590)),ROUND(INDEX('1-DATA'!$1:$1048576,IF(OR($B592="STD. DEVIATION",$C$1=1),$A592,$A592+1),COLUMN('1-DATA'!R590)),IF($B592="STD. DEVIATION",2,$F$1))))</f>
        <v/>
      </c>
      <c r="T592" s="1" t="str">
        <f>IF(OR($B592="",T$7=""),"",IF($B592="MEANS",INDEX('1-DATA'!$1:$1048576,$A591-1,COLUMN('1-DATA'!S590)),ROUND(INDEX('1-DATA'!$1:$1048576,IF(OR($B592="STD. DEVIATION",$C$1=1),$A592,$A592+1),COLUMN('1-DATA'!S590)),IF($B592="STD. DEVIATION",2,$F$1))))</f>
        <v/>
      </c>
      <c r="U592" s="1" t="str">
        <f>IF(OR($B592="",U$7=""),"",IF($B592="MEANS",INDEX('1-DATA'!$1:$1048576,$A591-1,COLUMN('1-DATA'!T590)),ROUND(INDEX('1-DATA'!$1:$1048576,IF(OR($B592="STD. DEVIATION",$C$1=1),$A592,$A592+1),COLUMN('1-DATA'!T590)),IF($B592="STD. DEVIATION",2,$F$1))))</f>
        <v/>
      </c>
      <c r="V592" s="1" t="str">
        <f>IF(OR($B592="",V$7=""),"",IF($B592="MEANS",INDEX('1-DATA'!$1:$1048576,$A591-1,COLUMN('1-DATA'!U590)),ROUND(INDEX('1-DATA'!$1:$1048576,IF(OR($B592="STD. DEVIATION",$C$1=1),$A592,$A592+1),COLUMN('1-DATA'!U590)),IF($B592="STD. DEVIATION",2,$F$1))))</f>
        <v/>
      </c>
      <c r="W592" s="1" t="str">
        <f>IF(OR($B592="",W$7=""),"",IF($B592="MEANS",INDEX('1-DATA'!$1:$1048576,$A591-1,COLUMN('1-DATA'!V590)),ROUND(INDEX('1-DATA'!$1:$1048576,IF(OR($B592="STD. DEVIATION",$C$1=1),$A592,$A592+1),COLUMN('1-DATA'!V590)),IF($B592="STD. DEVIATION",2,$F$1))))</f>
        <v/>
      </c>
      <c r="X592" s="1" t="str">
        <f>IF(OR($B592="",X$7=""),"",IF($B592="MEANS",INDEX('1-DATA'!$1:$1048576,$A591-1,COLUMN('1-DATA'!W590)),ROUND(INDEX('1-DATA'!$1:$1048576,IF(OR($B592="STD. DEVIATION",$C$1=1),$A592,$A592+1),COLUMN('1-DATA'!W590)),IF($B592="STD. DEVIATION",2,$F$1))))</f>
        <v/>
      </c>
      <c r="Y592" s="1" t="str">
        <f>IF(OR($B592="",Y$7=""),"",IF($B592="MEANS",INDEX('1-DATA'!$1:$1048576,$A591-1,COLUMN('1-DATA'!X590)),ROUND(INDEX('1-DATA'!$1:$1048576,IF(OR($B592="STD. DEVIATION",$C$1=1),$A592,$A592+1),COLUMN('1-DATA'!X590)),IF($B592="STD. DEVIATION",2,$F$1))))</f>
        <v/>
      </c>
      <c r="Z592" s="1" t="str">
        <f>IF(OR($B592="",Z$7=""),"",IF($B592="MEANS",INDEX('1-DATA'!$1:$1048576,$A591-1,COLUMN('1-DATA'!Y590)),ROUND(INDEX('1-DATA'!$1:$1048576,IF(OR($B592="STD. DEVIATION",$C$1=1),$A592,$A592+1),COLUMN('1-DATA'!Y590)),IF($B592="STD. DEVIATION",2,$F$1))))</f>
        <v/>
      </c>
      <c r="AA592" s="1" t="str">
        <f>IF(OR($B592="",AA$7=""),"",IF($B592="MEANS",INDEX('1-DATA'!$1:$1048576,$A591-1,COLUMN('1-DATA'!Z590)),ROUND(INDEX('1-DATA'!$1:$1048576,IF(OR($B592="STD. DEVIATION",$C$1=1),$A592,$A592+1),COLUMN('1-DATA'!Z590)),IF($B592="STD. DEVIATION",2,$F$1))))</f>
        <v/>
      </c>
      <c r="AB592" s="1" t="str">
        <f>IF(OR($B592="",AB$7=""),"",IF($B592="MEANS",INDEX('1-DATA'!$1:$1048576,$A591-1,COLUMN('1-DATA'!AA590)),ROUND(INDEX('1-DATA'!$1:$1048576,IF(OR($B592="STD. DEVIATION",$C$1=1),$A592,$A592+1),COLUMN('1-DATA'!AA590)),IF($B592="STD. DEVIATION",2,$F$1))))</f>
        <v/>
      </c>
      <c r="AC592" s="1" t="str">
        <f>IF(OR($B592="",AC$7=""),"",IF($B592="MEANS",INDEX('1-DATA'!$1:$1048576,$A591-1,COLUMN('1-DATA'!AB590)),ROUND(INDEX('1-DATA'!$1:$1048576,IF(OR($B592="STD. DEVIATION",$C$1=1),$A592,$A592+1),COLUMN('1-DATA'!AB590)),IF($B592="STD. DEVIATION",2,$F$1))))</f>
        <v/>
      </c>
      <c r="AD592" s="1" t="str">
        <f>IF(OR($B592="",AD$7=""),"",IF($B592="MEANS",INDEX('1-DATA'!$1:$1048576,$A591-1,COLUMN('1-DATA'!AC590)),ROUND(INDEX('1-DATA'!$1:$1048576,IF(OR($B592="STD. DEVIATION",$C$1=1),$A592,$A592+1),COLUMN('1-DATA'!AC590)),IF($B592="STD. DEVIATION",2,$F$1))))</f>
        <v/>
      </c>
      <c r="AE592" s="1" t="str">
        <f>IF(OR($B592="",AE$7=""),"",IF($B592="MEANS",INDEX('1-DATA'!$1:$1048576,$A591-1,COLUMN('1-DATA'!AD590)),ROUND(INDEX('1-DATA'!$1:$1048576,IF(OR($B592="STD. DEVIATION",$C$1=1),$A592,$A592+1),COLUMN('1-DATA'!AD590)),IF($B592="STD. DEVIATION",2,$F$1))))</f>
        <v/>
      </c>
      <c r="AF592" s="1" t="str">
        <f>IF(OR($B592="",AF$7=""),"",IF($B592="MEANS",INDEX('1-DATA'!$1:$1048576,$A591-1,COLUMN('1-DATA'!AE590)),ROUND(INDEX('1-DATA'!$1:$1048576,IF(OR($B592="STD. DEVIATION",$C$1=1),$A592,$A592+1),COLUMN('1-DATA'!AE590)),IF($B592="STD. DEVIATION",2,$F$1))))</f>
        <v/>
      </c>
      <c r="AG592" s="1" t="str">
        <f>IF(OR($B592="",AG$7=""),"",IF($B592="MEANS",INDEX('1-DATA'!$1:$1048576,$A591-1,COLUMN('1-DATA'!AF590)),ROUND(INDEX('1-DATA'!$1:$1048576,IF(OR($B592="STD. DEVIATION",$C$1=1),$A592,$A592+1),COLUMN('1-DATA'!AF590)),IF($B592="STD. DEVIATION",2,$F$1))))</f>
        <v/>
      </c>
      <c r="AH592" s="1" t="str">
        <f>IF(OR($B592="",AH$7=""),"",IF($B592="MEANS",INDEX('1-DATA'!$1:$1048576,$A591-1,COLUMN('1-DATA'!AG590)),ROUND(INDEX('1-DATA'!$1:$1048576,IF(OR($B592="STD. DEVIATION",$C$1=1),$A592,$A592+1),COLUMN('1-DATA'!AG590)),IF($B592="STD. DEVIATION",2,$F$1))))</f>
        <v/>
      </c>
      <c r="AI592" s="1" t="str">
        <f>IF(OR($B592="",AI$7=""),"",IF($B592="MEANS",INDEX('1-DATA'!$1:$1048576,$A591-1,COLUMN('1-DATA'!AH590)),ROUND(INDEX('1-DATA'!$1:$1048576,IF(OR($B592="STD. DEVIATION",$C$1=1),$A592,$A592+1),COLUMN('1-DATA'!AH590)),IF($B592="STD. DEVIATION",2,$F$1))))</f>
        <v/>
      </c>
      <c r="AJ592" s="1" t="str">
        <f>IF(OR($B592="",AJ$7=""),"",IF($B592="MEANS",INDEX('1-DATA'!$1:$1048576,$A591-1,COLUMN('1-DATA'!AI590)),ROUND(INDEX('1-DATA'!$1:$1048576,IF(OR($B592="STD. DEVIATION",$C$1=1),$A592,$A592+1),COLUMN('1-DATA'!AI590)),IF($B592="STD. DEVIATION",2,$F$1))))</f>
        <v/>
      </c>
      <c r="AK592" s="1" t="str">
        <f>IF(OR($B592="",AK$7=""),"",IF($B592="MEANS",INDEX('1-DATA'!$1:$1048576,$A591-1,COLUMN('1-DATA'!AJ590)),ROUND(INDEX('1-DATA'!$1:$1048576,IF(OR($B592="STD. DEVIATION",$C$1=1),$A592,$A592+1),COLUMN('1-DATA'!AJ590)),IF($B592="STD. DEVIATION",2,$F$1))))</f>
        <v/>
      </c>
      <c r="AL592" s="1" t="str">
        <f>IF(OR($B592="",AL$7=""),"",IF($B592="MEANS",INDEX('1-DATA'!$1:$1048576,$A591-1,COLUMN('1-DATA'!AK590)),ROUND(INDEX('1-DATA'!$1:$1048576,IF(OR($B592="STD. DEVIATION",$C$1=1),$A592,$A592+1),COLUMN('1-DATA'!AK590)),IF($B592="STD. DEVIATION",2,$F$1))))</f>
        <v/>
      </c>
      <c r="AM592" s="1" t="str">
        <f>IF(OR($B592="",AM$7=""),"",IF($B592="MEANS",INDEX('1-DATA'!$1:$1048576,$A591-1,COLUMN('1-DATA'!AL590)),ROUND(INDEX('1-DATA'!$1:$1048576,IF(OR($B592="STD. DEVIATION",$C$1=1),$A592,$A592+1),COLUMN('1-DATA'!AL590)),IF($B592="STD. DEVIATION",2,$F$1))))</f>
        <v/>
      </c>
      <c r="AN592" s="1" t="str">
        <f>IF(OR($B592="",AN$7=""),"",IF($B592="MEANS",INDEX('1-DATA'!$1:$1048576,$A591-1,COLUMN('1-DATA'!AM590)),ROUND(INDEX('1-DATA'!$1:$1048576,IF(OR($B592="STD. DEVIATION",$C$1=1),$A592,$A592+1),COLUMN('1-DATA'!AM590)),IF($B592="STD. DEVIATION",2,$F$1))))</f>
        <v/>
      </c>
      <c r="AO592" s="1" t="str">
        <f>IF(OR($B592="",AO$7=""),"",IF($B592="MEANS",INDEX('1-DATA'!$1:$1048576,$A591-1,COLUMN('1-DATA'!AN590)),ROUND(INDEX('1-DATA'!$1:$1048576,IF(OR($B592="STD. DEVIATION",$C$1=1),$A592,$A592+1),COLUMN('1-DATA'!AN590)),IF($B592="STD. DEVIATION",2,$F$1))))</f>
        <v/>
      </c>
      <c r="AP592" s="1" t="str">
        <f>IF(OR($B592="",AP$7=""),"",IF($B592="MEANS",INDEX('1-DATA'!$1:$1048576,$A591-1,COLUMN('1-DATA'!AO590)),ROUND(INDEX('1-DATA'!$1:$1048576,IF(OR($B592="STD. DEVIATION",$C$1=1),$A592,$A592+1),COLUMN('1-DATA'!AO590)),IF($B592="STD. DEVIATION",2,$F$1))))</f>
        <v/>
      </c>
      <c r="AQ592" s="1" t="str">
        <f>IF(OR($B592="",AQ$7=""),"",IF($B592="MEANS",INDEX('1-DATA'!$1:$1048576,$A591-1,COLUMN('1-DATA'!AP590)),ROUND(INDEX('1-DATA'!$1:$1048576,IF(OR($B592="STD. DEVIATION",$C$1=1),$A592,$A592+1),COLUMN('1-DATA'!AP590)),IF($B592="STD. DEVIATION",2,$F$1))))</f>
        <v/>
      </c>
      <c r="AR592" s="1" t="str">
        <f>IF(OR($B592="",AR$7=""),"",IF($B592="MEANS",INDEX('1-DATA'!$1:$1048576,$A591-1,COLUMN('1-DATA'!AQ590)),ROUND(INDEX('1-DATA'!$1:$1048576,IF(OR($B592="STD. DEVIATION",$C$1=1),$A592,$A592+1),COLUMN('1-DATA'!AQ590)),IF($B592="STD. DEVIATION",2,$F$1))))</f>
        <v/>
      </c>
      <c r="AS592" s="1" t="str">
        <f>IF(OR($B592="",AS$7=""),"",IF($B592="MEANS",INDEX('1-DATA'!$1:$1048576,$A591-1,COLUMN('1-DATA'!AR590)),ROUND(INDEX('1-DATA'!$1:$1048576,IF(OR($B592="STD. DEVIATION",$C$1=1),$A592,$A592+1),COLUMN('1-DATA'!AR590)),IF($B592="STD. DEVIATION",2,$F$1))))</f>
        <v/>
      </c>
      <c r="AT592" s="1" t="str">
        <f>IF(OR($B592="",AT$7=""),"",IF($B592="MEANS",INDEX('1-DATA'!$1:$1048576,$A591-1,COLUMN('1-DATA'!AS590)),ROUND(INDEX('1-DATA'!$1:$1048576,IF(OR($B592="STD. DEVIATION",$C$1=1),$A592,$A592+1),COLUMN('1-DATA'!AS590)),IF($B592="STD. DEVIATION",2,$F$1))))</f>
        <v/>
      </c>
      <c r="AU592" s="1" t="str">
        <f>IF(OR($B592="",AU$7=""),"",IF($B592="MEANS",INDEX('1-DATA'!$1:$1048576,$A591-1,COLUMN('1-DATA'!AT590)),ROUND(INDEX('1-DATA'!$1:$1048576,IF(OR($B592="STD. DEVIATION",$C$1=1),$A592,$A592+1),COLUMN('1-DATA'!AT590)),IF($B592="STD. DEVIATION",2,$F$1))))</f>
        <v/>
      </c>
      <c r="AV592" s="1" t="str">
        <f>IF(OR($B592="",AV$7=""),"",IF($B592="MEANS",INDEX('1-DATA'!$1:$1048576,$A591-1,COLUMN('1-DATA'!AU590)),ROUND(INDEX('1-DATA'!$1:$1048576,IF(OR($B592="STD. DEVIATION",$C$1=1),$A592,$A592+1),COLUMN('1-DATA'!AU590)),IF($B592="STD. DEVIATION",2,$F$1))))</f>
        <v/>
      </c>
      <c r="AW592" s="1" t="str">
        <f>IF(OR($B592="",AW$7=""),"",IF($B592="MEANS",INDEX('1-DATA'!$1:$1048576,$A591-1,COLUMN('1-DATA'!AV590)),ROUND(INDEX('1-DATA'!$1:$1048576,IF(OR($B592="STD. DEVIATION",$C$1=1),$A592,$A592+1),COLUMN('1-DATA'!AV590)),IF($B592="STD. DEVIATION",2,$F$1))))</f>
        <v/>
      </c>
      <c r="AX592" s="1" t="str">
        <f>IF(OR($B592="",AX$7=""),"",IF($B592="MEANS",INDEX('1-DATA'!$1:$1048576,$A591-1,COLUMN('1-DATA'!AW590)),ROUND(INDEX('1-DATA'!$1:$1048576,IF(OR($B592="STD. DEVIATION",$C$1=1),$A592,$A592+1),COLUMN('1-DATA'!AW590)),IF($B592="STD. DEVIATION",2,$F$1))))</f>
        <v/>
      </c>
      <c r="AY592" s="1" t="str">
        <f>IF(OR($B592="",AY$7=""),"",IF($B592="MEANS",INDEX('1-DATA'!$1:$1048576,$A591-1,COLUMN('1-DATA'!AX590)),ROUND(INDEX('1-DATA'!$1:$1048576,IF(OR($B592="STD. DEVIATION",$C$1=1),$A592,$A592+1),COLUMN('1-DATA'!AX590)),IF($B592="STD. DEVIATION",2,$F$1))))</f>
        <v/>
      </c>
      <c r="AZ592" s="1" t="str">
        <f>IF(OR($B592="",AZ$7=""),"",IF($B592="MEANS",INDEX('1-DATA'!$1:$1048576,$A591-1,COLUMN('1-DATA'!AY590)),ROUND(INDEX('1-DATA'!$1:$1048576,IF(OR($B592="STD. DEVIATION",$C$1=1),$A592,$A592+1),COLUMN('1-DATA'!AY590)),IF($B592="STD. DEVIATION",2,$F$1))))</f>
        <v/>
      </c>
    </row>
    <row r="593" spans="1:52" x14ac:dyDescent="0.25">
      <c r="A593" s="11">
        <f t="shared" si="9"/>
        <v>1765</v>
      </c>
      <c r="B593" s="1" t="str">
        <f>IF(B592="STD. DEVIATION",INDEX('1-DATA'!$1:$1048576,$A592-1,1),IF(INDEX('1-DATA'!$1:$1048576,$A593,1)&lt;&gt;"",INDEX('1-DATA'!$1:$1048576,$A593,1),""))</f>
        <v/>
      </c>
      <c r="C593" s="1" t="str">
        <f>IF(OR($B593="",C$7=""),"",IF($B593="MEANS",INDEX('1-DATA'!$1:$1048576,$A592-1,COLUMN('1-DATA'!B591)),ROUND(INDEX('1-DATA'!$1:$1048576,IF(OR($B593="STD. DEVIATION",$C$1=1),$A593,$A593+1),COLUMN('1-DATA'!B591)),IF($B593="STD. DEVIATION",2,$F$1))))</f>
        <v/>
      </c>
      <c r="D593" s="1" t="str">
        <f>IF(OR($B593="",D$7=""),"",IF($B593="MEANS",INDEX('1-DATA'!$1:$1048576,$A592-1,COLUMN('1-DATA'!C591)),ROUND(INDEX('1-DATA'!$1:$1048576,IF(OR($B593="STD. DEVIATION",$C$1=1),$A593,$A593+1),COLUMN('1-DATA'!C591)),IF($B593="STD. DEVIATION",2,$F$1))))</f>
        <v/>
      </c>
      <c r="E593" s="1" t="str">
        <f>IF(OR($B593="",E$7=""),"",IF($B593="MEANS",INDEX('1-DATA'!$1:$1048576,$A592-1,COLUMN('1-DATA'!D591)),ROUND(INDEX('1-DATA'!$1:$1048576,IF(OR($B593="STD. DEVIATION",$C$1=1),$A593,$A593+1),COLUMN('1-DATA'!D591)),IF($B593="STD. DEVIATION",2,$F$1))))</f>
        <v/>
      </c>
      <c r="F593" s="1" t="str">
        <f>IF(OR($B593="",F$7=""),"",IF($B593="MEANS",INDEX('1-DATA'!$1:$1048576,$A592-1,COLUMN('1-DATA'!E591)),ROUND(INDEX('1-DATA'!$1:$1048576,IF(OR($B593="STD. DEVIATION",$C$1=1),$A593,$A593+1),COLUMN('1-DATA'!E591)),IF($B593="STD. DEVIATION",2,$F$1))))</f>
        <v/>
      </c>
      <c r="G593" s="1" t="str">
        <f>IF(OR($B593="",G$7=""),"",IF($B593="MEANS",INDEX('1-DATA'!$1:$1048576,$A592-1,COLUMN('1-DATA'!F591)),ROUND(INDEX('1-DATA'!$1:$1048576,IF(OR($B593="STD. DEVIATION",$C$1=1),$A593,$A593+1),COLUMN('1-DATA'!F591)),IF($B593="STD. DEVIATION",2,$F$1))))</f>
        <v/>
      </c>
      <c r="H593" s="1" t="str">
        <f>IF(OR($B593="",H$7=""),"",IF($B593="MEANS",INDEX('1-DATA'!$1:$1048576,$A592-1,COLUMN('1-DATA'!G591)),ROUND(INDEX('1-DATA'!$1:$1048576,IF(OR($B593="STD. DEVIATION",$C$1=1),$A593,$A593+1),COLUMN('1-DATA'!G591)),IF($B593="STD. DEVIATION",2,$F$1))))</f>
        <v/>
      </c>
      <c r="I593" s="1" t="str">
        <f>IF(OR($B593="",I$7=""),"",IF($B593="MEANS",INDEX('1-DATA'!$1:$1048576,$A592-1,COLUMN('1-DATA'!H591)),ROUND(INDEX('1-DATA'!$1:$1048576,IF(OR($B593="STD. DEVIATION",$C$1=1),$A593,$A593+1),COLUMN('1-DATA'!H591)),IF($B593="STD. DEVIATION",2,$F$1))))</f>
        <v/>
      </c>
      <c r="J593" s="1" t="str">
        <f>IF(OR($B593="",J$7=""),"",IF($B593="MEANS",INDEX('1-DATA'!$1:$1048576,$A592-1,COLUMN('1-DATA'!I591)),ROUND(INDEX('1-DATA'!$1:$1048576,IF(OR($B593="STD. DEVIATION",$C$1=1),$A593,$A593+1),COLUMN('1-DATA'!I591)),IF($B593="STD. DEVIATION",2,$F$1))))</f>
        <v/>
      </c>
      <c r="K593" s="1" t="str">
        <f>IF(OR($B593="",K$7=""),"",IF($B593="MEANS",INDEX('1-DATA'!$1:$1048576,$A592-1,COLUMN('1-DATA'!J591)),ROUND(INDEX('1-DATA'!$1:$1048576,IF(OR($B593="STD. DEVIATION",$C$1=1),$A593,$A593+1),COLUMN('1-DATA'!J591)),IF($B593="STD. DEVIATION",2,$F$1))))</f>
        <v/>
      </c>
      <c r="L593" s="1" t="str">
        <f>IF(OR($B593="",L$7=""),"",IF($B593="MEANS",INDEX('1-DATA'!$1:$1048576,$A592-1,COLUMN('1-DATA'!K591)),ROUND(INDEX('1-DATA'!$1:$1048576,IF(OR($B593="STD. DEVIATION",$C$1=1),$A593,$A593+1),COLUMN('1-DATA'!K591)),IF($B593="STD. DEVIATION",2,$F$1))))</f>
        <v/>
      </c>
      <c r="M593" s="1" t="str">
        <f>IF(OR($B593="",M$7=""),"",IF($B593="MEANS",INDEX('1-DATA'!$1:$1048576,$A592-1,COLUMN('1-DATA'!L591)),ROUND(INDEX('1-DATA'!$1:$1048576,IF(OR($B593="STD. DEVIATION",$C$1=1),$A593,$A593+1),COLUMN('1-DATA'!L591)),IF($B593="STD. DEVIATION",2,$F$1))))</f>
        <v/>
      </c>
      <c r="N593" s="1" t="str">
        <f>IF(OR($B593="",N$7=""),"",IF($B593="MEANS",INDEX('1-DATA'!$1:$1048576,$A592-1,COLUMN('1-DATA'!M591)),ROUND(INDEX('1-DATA'!$1:$1048576,IF(OR($B593="STD. DEVIATION",$C$1=1),$A593,$A593+1),COLUMN('1-DATA'!M591)),IF($B593="STD. DEVIATION",2,$F$1))))</f>
        <v/>
      </c>
      <c r="O593" s="1" t="str">
        <f>IF(OR($B593="",O$7=""),"",IF($B593="MEANS",INDEX('1-DATA'!$1:$1048576,$A592-1,COLUMN('1-DATA'!N591)),ROUND(INDEX('1-DATA'!$1:$1048576,IF(OR($B593="STD. DEVIATION",$C$1=1),$A593,$A593+1),COLUMN('1-DATA'!N591)),IF($B593="STD. DEVIATION",2,$F$1))))</f>
        <v/>
      </c>
      <c r="P593" s="1" t="str">
        <f>IF(OR($B593="",P$7=""),"",IF($B593="MEANS",INDEX('1-DATA'!$1:$1048576,$A592-1,COLUMN('1-DATA'!O591)),ROUND(INDEX('1-DATA'!$1:$1048576,IF(OR($B593="STD. DEVIATION",$C$1=1),$A593,$A593+1),COLUMN('1-DATA'!O591)),IF($B593="STD. DEVIATION",2,$F$1))))</f>
        <v/>
      </c>
      <c r="Q593" s="1" t="str">
        <f>IF(OR($B593="",Q$7=""),"",IF($B593="MEANS",INDEX('1-DATA'!$1:$1048576,$A592-1,COLUMN('1-DATA'!P591)),ROUND(INDEX('1-DATA'!$1:$1048576,IF(OR($B593="STD. DEVIATION",$C$1=1),$A593,$A593+1),COLUMN('1-DATA'!P591)),IF($B593="STD. DEVIATION",2,$F$1))))</f>
        <v/>
      </c>
      <c r="R593" s="1" t="str">
        <f>IF(OR($B593="",R$7=""),"",IF($B593="MEANS",INDEX('1-DATA'!$1:$1048576,$A592-1,COLUMN('1-DATA'!Q591)),ROUND(INDEX('1-DATA'!$1:$1048576,IF(OR($B593="STD. DEVIATION",$C$1=1),$A593,$A593+1),COLUMN('1-DATA'!Q591)),IF($B593="STD. DEVIATION",2,$F$1))))</f>
        <v/>
      </c>
      <c r="S593" s="1" t="str">
        <f>IF(OR($B593="",S$7=""),"",IF($B593="MEANS",INDEX('1-DATA'!$1:$1048576,$A592-1,COLUMN('1-DATA'!R591)),ROUND(INDEX('1-DATA'!$1:$1048576,IF(OR($B593="STD. DEVIATION",$C$1=1),$A593,$A593+1),COLUMN('1-DATA'!R591)),IF($B593="STD. DEVIATION",2,$F$1))))</f>
        <v/>
      </c>
      <c r="T593" s="1" t="str">
        <f>IF(OR($B593="",T$7=""),"",IF($B593="MEANS",INDEX('1-DATA'!$1:$1048576,$A592-1,COLUMN('1-DATA'!S591)),ROUND(INDEX('1-DATA'!$1:$1048576,IF(OR($B593="STD. DEVIATION",$C$1=1),$A593,$A593+1),COLUMN('1-DATA'!S591)),IF($B593="STD. DEVIATION",2,$F$1))))</f>
        <v/>
      </c>
      <c r="U593" s="1" t="str">
        <f>IF(OR($B593="",U$7=""),"",IF($B593="MEANS",INDEX('1-DATA'!$1:$1048576,$A592-1,COLUMN('1-DATA'!T591)),ROUND(INDEX('1-DATA'!$1:$1048576,IF(OR($B593="STD. DEVIATION",$C$1=1),$A593,$A593+1),COLUMN('1-DATA'!T591)),IF($B593="STD. DEVIATION",2,$F$1))))</f>
        <v/>
      </c>
      <c r="V593" s="1" t="str">
        <f>IF(OR($B593="",V$7=""),"",IF($B593="MEANS",INDEX('1-DATA'!$1:$1048576,$A592-1,COLUMN('1-DATA'!U591)),ROUND(INDEX('1-DATA'!$1:$1048576,IF(OR($B593="STD. DEVIATION",$C$1=1),$A593,$A593+1),COLUMN('1-DATA'!U591)),IF($B593="STD. DEVIATION",2,$F$1))))</f>
        <v/>
      </c>
      <c r="W593" s="1" t="str">
        <f>IF(OR($B593="",W$7=""),"",IF($B593="MEANS",INDEX('1-DATA'!$1:$1048576,$A592-1,COLUMN('1-DATA'!V591)),ROUND(INDEX('1-DATA'!$1:$1048576,IF(OR($B593="STD. DEVIATION",$C$1=1),$A593,$A593+1),COLUMN('1-DATA'!V591)),IF($B593="STD. DEVIATION",2,$F$1))))</f>
        <v/>
      </c>
      <c r="X593" s="1" t="str">
        <f>IF(OR($B593="",X$7=""),"",IF($B593="MEANS",INDEX('1-DATA'!$1:$1048576,$A592-1,COLUMN('1-DATA'!W591)),ROUND(INDEX('1-DATA'!$1:$1048576,IF(OR($B593="STD. DEVIATION",$C$1=1),$A593,$A593+1),COLUMN('1-DATA'!W591)),IF($B593="STD. DEVIATION",2,$F$1))))</f>
        <v/>
      </c>
      <c r="Y593" s="1" t="str">
        <f>IF(OR($B593="",Y$7=""),"",IF($B593="MEANS",INDEX('1-DATA'!$1:$1048576,$A592-1,COLUMN('1-DATA'!X591)),ROUND(INDEX('1-DATA'!$1:$1048576,IF(OR($B593="STD. DEVIATION",$C$1=1),$A593,$A593+1),COLUMN('1-DATA'!X591)),IF($B593="STD. DEVIATION",2,$F$1))))</f>
        <v/>
      </c>
      <c r="Z593" s="1" t="str">
        <f>IF(OR($B593="",Z$7=""),"",IF($B593="MEANS",INDEX('1-DATA'!$1:$1048576,$A592-1,COLUMN('1-DATA'!Y591)),ROUND(INDEX('1-DATA'!$1:$1048576,IF(OR($B593="STD. DEVIATION",$C$1=1),$A593,$A593+1),COLUMN('1-DATA'!Y591)),IF($B593="STD. DEVIATION",2,$F$1))))</f>
        <v/>
      </c>
      <c r="AA593" s="1" t="str">
        <f>IF(OR($B593="",AA$7=""),"",IF($B593="MEANS",INDEX('1-DATA'!$1:$1048576,$A592-1,COLUMN('1-DATA'!Z591)),ROUND(INDEX('1-DATA'!$1:$1048576,IF(OR($B593="STD. DEVIATION",$C$1=1),$A593,$A593+1),COLUMN('1-DATA'!Z591)),IF($B593="STD. DEVIATION",2,$F$1))))</f>
        <v/>
      </c>
      <c r="AB593" s="1" t="str">
        <f>IF(OR($B593="",AB$7=""),"",IF($B593="MEANS",INDEX('1-DATA'!$1:$1048576,$A592-1,COLUMN('1-DATA'!AA591)),ROUND(INDEX('1-DATA'!$1:$1048576,IF(OR($B593="STD. DEVIATION",$C$1=1),$A593,$A593+1),COLUMN('1-DATA'!AA591)),IF($B593="STD. DEVIATION",2,$F$1))))</f>
        <v/>
      </c>
      <c r="AC593" s="1" t="str">
        <f>IF(OR($B593="",AC$7=""),"",IF($B593="MEANS",INDEX('1-DATA'!$1:$1048576,$A592-1,COLUMN('1-DATA'!AB591)),ROUND(INDEX('1-DATA'!$1:$1048576,IF(OR($B593="STD. DEVIATION",$C$1=1),$A593,$A593+1),COLUMN('1-DATA'!AB591)),IF($B593="STD. DEVIATION",2,$F$1))))</f>
        <v/>
      </c>
      <c r="AD593" s="1" t="str">
        <f>IF(OR($B593="",AD$7=""),"",IF($B593="MEANS",INDEX('1-DATA'!$1:$1048576,$A592-1,COLUMN('1-DATA'!AC591)),ROUND(INDEX('1-DATA'!$1:$1048576,IF(OR($B593="STD. DEVIATION",$C$1=1),$A593,$A593+1),COLUMN('1-DATA'!AC591)),IF($B593="STD. DEVIATION",2,$F$1))))</f>
        <v/>
      </c>
      <c r="AE593" s="1" t="str">
        <f>IF(OR($B593="",AE$7=""),"",IF($B593="MEANS",INDEX('1-DATA'!$1:$1048576,$A592-1,COLUMN('1-DATA'!AD591)),ROUND(INDEX('1-DATA'!$1:$1048576,IF(OR($B593="STD. DEVIATION",$C$1=1),$A593,$A593+1),COLUMN('1-DATA'!AD591)),IF($B593="STD. DEVIATION",2,$F$1))))</f>
        <v/>
      </c>
      <c r="AF593" s="1" t="str">
        <f>IF(OR($B593="",AF$7=""),"",IF($B593="MEANS",INDEX('1-DATA'!$1:$1048576,$A592-1,COLUMN('1-DATA'!AE591)),ROUND(INDEX('1-DATA'!$1:$1048576,IF(OR($B593="STD. DEVIATION",$C$1=1),$A593,$A593+1),COLUMN('1-DATA'!AE591)),IF($B593="STD. DEVIATION",2,$F$1))))</f>
        <v/>
      </c>
      <c r="AG593" s="1" t="str">
        <f>IF(OR($B593="",AG$7=""),"",IF($B593="MEANS",INDEX('1-DATA'!$1:$1048576,$A592-1,COLUMN('1-DATA'!AF591)),ROUND(INDEX('1-DATA'!$1:$1048576,IF(OR($B593="STD. DEVIATION",$C$1=1),$A593,$A593+1),COLUMN('1-DATA'!AF591)),IF($B593="STD. DEVIATION",2,$F$1))))</f>
        <v/>
      </c>
      <c r="AH593" s="1" t="str">
        <f>IF(OR($B593="",AH$7=""),"",IF($B593="MEANS",INDEX('1-DATA'!$1:$1048576,$A592-1,COLUMN('1-DATA'!AG591)),ROUND(INDEX('1-DATA'!$1:$1048576,IF(OR($B593="STD. DEVIATION",$C$1=1),$A593,$A593+1),COLUMN('1-DATA'!AG591)),IF($B593="STD. DEVIATION",2,$F$1))))</f>
        <v/>
      </c>
      <c r="AI593" s="1" t="str">
        <f>IF(OR($B593="",AI$7=""),"",IF($B593="MEANS",INDEX('1-DATA'!$1:$1048576,$A592-1,COLUMN('1-DATA'!AH591)),ROUND(INDEX('1-DATA'!$1:$1048576,IF(OR($B593="STD. DEVIATION",$C$1=1),$A593,$A593+1),COLUMN('1-DATA'!AH591)),IF($B593="STD. DEVIATION",2,$F$1))))</f>
        <v/>
      </c>
      <c r="AJ593" s="1" t="str">
        <f>IF(OR($B593="",AJ$7=""),"",IF($B593="MEANS",INDEX('1-DATA'!$1:$1048576,$A592-1,COLUMN('1-DATA'!AI591)),ROUND(INDEX('1-DATA'!$1:$1048576,IF(OR($B593="STD. DEVIATION",$C$1=1),$A593,$A593+1),COLUMN('1-DATA'!AI591)),IF($B593="STD. DEVIATION",2,$F$1))))</f>
        <v/>
      </c>
      <c r="AK593" s="1" t="str">
        <f>IF(OR($B593="",AK$7=""),"",IF($B593="MEANS",INDEX('1-DATA'!$1:$1048576,$A592-1,COLUMN('1-DATA'!AJ591)),ROUND(INDEX('1-DATA'!$1:$1048576,IF(OR($B593="STD. DEVIATION",$C$1=1),$A593,$A593+1),COLUMN('1-DATA'!AJ591)),IF($B593="STD. DEVIATION",2,$F$1))))</f>
        <v/>
      </c>
      <c r="AL593" s="1" t="str">
        <f>IF(OR($B593="",AL$7=""),"",IF($B593="MEANS",INDEX('1-DATA'!$1:$1048576,$A592-1,COLUMN('1-DATA'!AK591)),ROUND(INDEX('1-DATA'!$1:$1048576,IF(OR($B593="STD. DEVIATION",$C$1=1),$A593,$A593+1),COLUMN('1-DATA'!AK591)),IF($B593="STD. DEVIATION",2,$F$1))))</f>
        <v/>
      </c>
      <c r="AM593" s="1" t="str">
        <f>IF(OR($B593="",AM$7=""),"",IF($B593="MEANS",INDEX('1-DATA'!$1:$1048576,$A592-1,COLUMN('1-DATA'!AL591)),ROUND(INDEX('1-DATA'!$1:$1048576,IF(OR($B593="STD. DEVIATION",$C$1=1),$A593,$A593+1),COLUMN('1-DATA'!AL591)),IF($B593="STD. DEVIATION",2,$F$1))))</f>
        <v/>
      </c>
      <c r="AN593" s="1" t="str">
        <f>IF(OR($B593="",AN$7=""),"",IF($B593="MEANS",INDEX('1-DATA'!$1:$1048576,$A592-1,COLUMN('1-DATA'!AM591)),ROUND(INDEX('1-DATA'!$1:$1048576,IF(OR($B593="STD. DEVIATION",$C$1=1),$A593,$A593+1),COLUMN('1-DATA'!AM591)),IF($B593="STD. DEVIATION",2,$F$1))))</f>
        <v/>
      </c>
      <c r="AO593" s="1" t="str">
        <f>IF(OR($B593="",AO$7=""),"",IF($B593="MEANS",INDEX('1-DATA'!$1:$1048576,$A592-1,COLUMN('1-DATA'!AN591)),ROUND(INDEX('1-DATA'!$1:$1048576,IF(OR($B593="STD. DEVIATION",$C$1=1),$A593,$A593+1),COLUMN('1-DATA'!AN591)),IF($B593="STD. DEVIATION",2,$F$1))))</f>
        <v/>
      </c>
      <c r="AP593" s="1" t="str">
        <f>IF(OR($B593="",AP$7=""),"",IF($B593="MEANS",INDEX('1-DATA'!$1:$1048576,$A592-1,COLUMN('1-DATA'!AO591)),ROUND(INDEX('1-DATA'!$1:$1048576,IF(OR($B593="STD. DEVIATION",$C$1=1),$A593,$A593+1),COLUMN('1-DATA'!AO591)),IF($B593="STD. DEVIATION",2,$F$1))))</f>
        <v/>
      </c>
      <c r="AQ593" s="1" t="str">
        <f>IF(OR($B593="",AQ$7=""),"",IF($B593="MEANS",INDEX('1-DATA'!$1:$1048576,$A592-1,COLUMN('1-DATA'!AP591)),ROUND(INDEX('1-DATA'!$1:$1048576,IF(OR($B593="STD. DEVIATION",$C$1=1),$A593,$A593+1),COLUMN('1-DATA'!AP591)),IF($B593="STD. DEVIATION",2,$F$1))))</f>
        <v/>
      </c>
      <c r="AR593" s="1" t="str">
        <f>IF(OR($B593="",AR$7=""),"",IF($B593="MEANS",INDEX('1-DATA'!$1:$1048576,$A592-1,COLUMN('1-DATA'!AQ591)),ROUND(INDEX('1-DATA'!$1:$1048576,IF(OR($B593="STD. DEVIATION",$C$1=1),$A593,$A593+1),COLUMN('1-DATA'!AQ591)),IF($B593="STD. DEVIATION",2,$F$1))))</f>
        <v/>
      </c>
      <c r="AS593" s="1" t="str">
        <f>IF(OR($B593="",AS$7=""),"",IF($B593="MEANS",INDEX('1-DATA'!$1:$1048576,$A592-1,COLUMN('1-DATA'!AR591)),ROUND(INDEX('1-DATA'!$1:$1048576,IF(OR($B593="STD. DEVIATION",$C$1=1),$A593,$A593+1),COLUMN('1-DATA'!AR591)),IF($B593="STD. DEVIATION",2,$F$1))))</f>
        <v/>
      </c>
      <c r="AT593" s="1" t="str">
        <f>IF(OR($B593="",AT$7=""),"",IF($B593="MEANS",INDEX('1-DATA'!$1:$1048576,$A592-1,COLUMN('1-DATA'!AS591)),ROUND(INDEX('1-DATA'!$1:$1048576,IF(OR($B593="STD. DEVIATION",$C$1=1),$A593,$A593+1),COLUMN('1-DATA'!AS591)),IF($B593="STD. DEVIATION",2,$F$1))))</f>
        <v/>
      </c>
      <c r="AU593" s="1" t="str">
        <f>IF(OR($B593="",AU$7=""),"",IF($B593="MEANS",INDEX('1-DATA'!$1:$1048576,$A592-1,COLUMN('1-DATA'!AT591)),ROUND(INDEX('1-DATA'!$1:$1048576,IF(OR($B593="STD. DEVIATION",$C$1=1),$A593,$A593+1),COLUMN('1-DATA'!AT591)),IF($B593="STD. DEVIATION",2,$F$1))))</f>
        <v/>
      </c>
      <c r="AV593" s="1" t="str">
        <f>IF(OR($B593="",AV$7=""),"",IF($B593="MEANS",INDEX('1-DATA'!$1:$1048576,$A592-1,COLUMN('1-DATA'!AU591)),ROUND(INDEX('1-DATA'!$1:$1048576,IF(OR($B593="STD. DEVIATION",$C$1=1),$A593,$A593+1),COLUMN('1-DATA'!AU591)),IF($B593="STD. DEVIATION",2,$F$1))))</f>
        <v/>
      </c>
      <c r="AW593" s="1" t="str">
        <f>IF(OR($B593="",AW$7=""),"",IF($B593="MEANS",INDEX('1-DATA'!$1:$1048576,$A592-1,COLUMN('1-DATA'!AV591)),ROUND(INDEX('1-DATA'!$1:$1048576,IF(OR($B593="STD. DEVIATION",$C$1=1),$A593,$A593+1),COLUMN('1-DATA'!AV591)),IF($B593="STD. DEVIATION",2,$F$1))))</f>
        <v/>
      </c>
      <c r="AX593" s="1" t="str">
        <f>IF(OR($B593="",AX$7=""),"",IF($B593="MEANS",INDEX('1-DATA'!$1:$1048576,$A592-1,COLUMN('1-DATA'!AW591)),ROUND(INDEX('1-DATA'!$1:$1048576,IF(OR($B593="STD. DEVIATION",$C$1=1),$A593,$A593+1),COLUMN('1-DATA'!AW591)),IF($B593="STD. DEVIATION",2,$F$1))))</f>
        <v/>
      </c>
      <c r="AY593" s="1" t="str">
        <f>IF(OR($B593="",AY$7=""),"",IF($B593="MEANS",INDEX('1-DATA'!$1:$1048576,$A592-1,COLUMN('1-DATA'!AX591)),ROUND(INDEX('1-DATA'!$1:$1048576,IF(OR($B593="STD. DEVIATION",$C$1=1),$A593,$A593+1),COLUMN('1-DATA'!AX591)),IF($B593="STD. DEVIATION",2,$F$1))))</f>
        <v/>
      </c>
      <c r="AZ593" s="1" t="str">
        <f>IF(OR($B593="",AZ$7=""),"",IF($B593="MEANS",INDEX('1-DATA'!$1:$1048576,$A592-1,COLUMN('1-DATA'!AY591)),ROUND(INDEX('1-DATA'!$1:$1048576,IF(OR($B593="STD. DEVIATION",$C$1=1),$A593,$A593+1),COLUMN('1-DATA'!AY591)),IF($B593="STD. DEVIATION",2,$F$1))))</f>
        <v/>
      </c>
    </row>
    <row r="594" spans="1:52" x14ac:dyDescent="0.25">
      <c r="A594" s="11">
        <f t="shared" si="9"/>
        <v>1768</v>
      </c>
      <c r="B594" s="1" t="str">
        <f>IF(B593="STD. DEVIATION",INDEX('1-DATA'!$1:$1048576,$A593-1,1),IF(INDEX('1-DATA'!$1:$1048576,$A594,1)&lt;&gt;"",INDEX('1-DATA'!$1:$1048576,$A594,1),""))</f>
        <v/>
      </c>
      <c r="C594" s="1" t="str">
        <f>IF(OR($B594="",C$7=""),"",IF($B594="MEANS",INDEX('1-DATA'!$1:$1048576,$A593-1,COLUMN('1-DATA'!B592)),ROUND(INDEX('1-DATA'!$1:$1048576,IF(OR($B594="STD. DEVIATION",$C$1=1),$A594,$A594+1),COLUMN('1-DATA'!B592)),IF($B594="STD. DEVIATION",2,$F$1))))</f>
        <v/>
      </c>
      <c r="D594" s="1" t="str">
        <f>IF(OR($B594="",D$7=""),"",IF($B594="MEANS",INDEX('1-DATA'!$1:$1048576,$A593-1,COLUMN('1-DATA'!C592)),ROUND(INDEX('1-DATA'!$1:$1048576,IF(OR($B594="STD. DEVIATION",$C$1=1),$A594,$A594+1),COLUMN('1-DATA'!C592)),IF($B594="STD. DEVIATION",2,$F$1))))</f>
        <v/>
      </c>
      <c r="E594" s="1" t="str">
        <f>IF(OR($B594="",E$7=""),"",IF($B594="MEANS",INDEX('1-DATA'!$1:$1048576,$A593-1,COLUMN('1-DATA'!D592)),ROUND(INDEX('1-DATA'!$1:$1048576,IF(OR($B594="STD. DEVIATION",$C$1=1),$A594,$A594+1),COLUMN('1-DATA'!D592)),IF($B594="STD. DEVIATION",2,$F$1))))</f>
        <v/>
      </c>
      <c r="F594" s="1" t="str">
        <f>IF(OR($B594="",F$7=""),"",IF($B594="MEANS",INDEX('1-DATA'!$1:$1048576,$A593-1,COLUMN('1-DATA'!E592)),ROUND(INDEX('1-DATA'!$1:$1048576,IF(OR($B594="STD. DEVIATION",$C$1=1),$A594,$A594+1),COLUMN('1-DATA'!E592)),IF($B594="STD. DEVIATION",2,$F$1))))</f>
        <v/>
      </c>
      <c r="G594" s="1" t="str">
        <f>IF(OR($B594="",G$7=""),"",IF($B594="MEANS",INDEX('1-DATA'!$1:$1048576,$A593-1,COLUMN('1-DATA'!F592)),ROUND(INDEX('1-DATA'!$1:$1048576,IF(OR($B594="STD. DEVIATION",$C$1=1),$A594,$A594+1),COLUMN('1-DATA'!F592)),IF($B594="STD. DEVIATION",2,$F$1))))</f>
        <v/>
      </c>
      <c r="H594" s="1" t="str">
        <f>IF(OR($B594="",H$7=""),"",IF($B594="MEANS",INDEX('1-DATA'!$1:$1048576,$A593-1,COLUMN('1-DATA'!G592)),ROUND(INDEX('1-DATA'!$1:$1048576,IF(OR($B594="STD. DEVIATION",$C$1=1),$A594,$A594+1),COLUMN('1-DATA'!G592)),IF($B594="STD. DEVIATION",2,$F$1))))</f>
        <v/>
      </c>
      <c r="I594" s="1" t="str">
        <f>IF(OR($B594="",I$7=""),"",IF($B594="MEANS",INDEX('1-DATA'!$1:$1048576,$A593-1,COLUMN('1-DATA'!H592)),ROUND(INDEX('1-DATA'!$1:$1048576,IF(OR($B594="STD. DEVIATION",$C$1=1),$A594,$A594+1),COLUMN('1-DATA'!H592)),IF($B594="STD. DEVIATION",2,$F$1))))</f>
        <v/>
      </c>
      <c r="J594" s="1" t="str">
        <f>IF(OR($B594="",J$7=""),"",IF($B594="MEANS",INDEX('1-DATA'!$1:$1048576,$A593-1,COLUMN('1-DATA'!I592)),ROUND(INDEX('1-DATA'!$1:$1048576,IF(OR($B594="STD. DEVIATION",$C$1=1),$A594,$A594+1),COLUMN('1-DATA'!I592)),IF($B594="STD. DEVIATION",2,$F$1))))</f>
        <v/>
      </c>
      <c r="K594" s="1" t="str">
        <f>IF(OR($B594="",K$7=""),"",IF($B594="MEANS",INDEX('1-DATA'!$1:$1048576,$A593-1,COLUMN('1-DATA'!J592)),ROUND(INDEX('1-DATA'!$1:$1048576,IF(OR($B594="STD. DEVIATION",$C$1=1),$A594,$A594+1),COLUMN('1-DATA'!J592)),IF($B594="STD. DEVIATION",2,$F$1))))</f>
        <v/>
      </c>
      <c r="L594" s="1" t="str">
        <f>IF(OR($B594="",L$7=""),"",IF($B594="MEANS",INDEX('1-DATA'!$1:$1048576,$A593-1,COLUMN('1-DATA'!K592)),ROUND(INDEX('1-DATA'!$1:$1048576,IF(OR($B594="STD. DEVIATION",$C$1=1),$A594,$A594+1),COLUMN('1-DATA'!K592)),IF($B594="STD. DEVIATION",2,$F$1))))</f>
        <v/>
      </c>
      <c r="M594" s="1" t="str">
        <f>IF(OR($B594="",M$7=""),"",IF($B594="MEANS",INDEX('1-DATA'!$1:$1048576,$A593-1,COLUMN('1-DATA'!L592)),ROUND(INDEX('1-DATA'!$1:$1048576,IF(OR($B594="STD. DEVIATION",$C$1=1),$A594,$A594+1),COLUMN('1-DATA'!L592)),IF($B594="STD. DEVIATION",2,$F$1))))</f>
        <v/>
      </c>
      <c r="N594" s="1" t="str">
        <f>IF(OR($B594="",N$7=""),"",IF($B594="MEANS",INDEX('1-DATA'!$1:$1048576,$A593-1,COLUMN('1-DATA'!M592)),ROUND(INDEX('1-DATA'!$1:$1048576,IF(OR($B594="STD. DEVIATION",$C$1=1),$A594,$A594+1),COLUMN('1-DATA'!M592)),IF($B594="STD. DEVIATION",2,$F$1))))</f>
        <v/>
      </c>
      <c r="O594" s="1" t="str">
        <f>IF(OR($B594="",O$7=""),"",IF($B594="MEANS",INDEX('1-DATA'!$1:$1048576,$A593-1,COLUMN('1-DATA'!N592)),ROUND(INDEX('1-DATA'!$1:$1048576,IF(OR($B594="STD. DEVIATION",$C$1=1),$A594,$A594+1),COLUMN('1-DATA'!N592)),IF($B594="STD. DEVIATION",2,$F$1))))</f>
        <v/>
      </c>
      <c r="P594" s="1" t="str">
        <f>IF(OR($B594="",P$7=""),"",IF($B594="MEANS",INDEX('1-DATA'!$1:$1048576,$A593-1,COLUMN('1-DATA'!O592)),ROUND(INDEX('1-DATA'!$1:$1048576,IF(OR($B594="STD. DEVIATION",$C$1=1),$A594,$A594+1),COLUMN('1-DATA'!O592)),IF($B594="STD. DEVIATION",2,$F$1))))</f>
        <v/>
      </c>
      <c r="Q594" s="1" t="str">
        <f>IF(OR($B594="",Q$7=""),"",IF($B594="MEANS",INDEX('1-DATA'!$1:$1048576,$A593-1,COLUMN('1-DATA'!P592)),ROUND(INDEX('1-DATA'!$1:$1048576,IF(OR($B594="STD. DEVIATION",$C$1=1),$A594,$A594+1),COLUMN('1-DATA'!P592)),IF($B594="STD. DEVIATION",2,$F$1))))</f>
        <v/>
      </c>
      <c r="R594" s="1" t="str">
        <f>IF(OR($B594="",R$7=""),"",IF($B594="MEANS",INDEX('1-DATA'!$1:$1048576,$A593-1,COLUMN('1-DATA'!Q592)),ROUND(INDEX('1-DATA'!$1:$1048576,IF(OR($B594="STD. DEVIATION",$C$1=1),$A594,$A594+1),COLUMN('1-DATA'!Q592)),IF($B594="STD. DEVIATION",2,$F$1))))</f>
        <v/>
      </c>
      <c r="S594" s="1" t="str">
        <f>IF(OR($B594="",S$7=""),"",IF($B594="MEANS",INDEX('1-DATA'!$1:$1048576,$A593-1,COLUMN('1-DATA'!R592)),ROUND(INDEX('1-DATA'!$1:$1048576,IF(OR($B594="STD. DEVIATION",$C$1=1),$A594,$A594+1),COLUMN('1-DATA'!R592)),IF($B594="STD. DEVIATION",2,$F$1))))</f>
        <v/>
      </c>
      <c r="T594" s="1" t="str">
        <f>IF(OR($B594="",T$7=""),"",IF($B594="MEANS",INDEX('1-DATA'!$1:$1048576,$A593-1,COLUMN('1-DATA'!S592)),ROUND(INDEX('1-DATA'!$1:$1048576,IF(OR($B594="STD. DEVIATION",$C$1=1),$A594,$A594+1),COLUMN('1-DATA'!S592)),IF($B594="STD. DEVIATION",2,$F$1))))</f>
        <v/>
      </c>
      <c r="U594" s="1" t="str">
        <f>IF(OR($B594="",U$7=""),"",IF($B594="MEANS",INDEX('1-DATA'!$1:$1048576,$A593-1,COLUMN('1-DATA'!T592)),ROUND(INDEX('1-DATA'!$1:$1048576,IF(OR($B594="STD. DEVIATION",$C$1=1),$A594,$A594+1),COLUMN('1-DATA'!T592)),IF($B594="STD. DEVIATION",2,$F$1))))</f>
        <v/>
      </c>
      <c r="V594" s="1" t="str">
        <f>IF(OR($B594="",V$7=""),"",IF($B594="MEANS",INDEX('1-DATA'!$1:$1048576,$A593-1,COLUMN('1-DATA'!U592)),ROUND(INDEX('1-DATA'!$1:$1048576,IF(OR($B594="STD. DEVIATION",$C$1=1),$A594,$A594+1),COLUMN('1-DATA'!U592)),IF($B594="STD. DEVIATION",2,$F$1))))</f>
        <v/>
      </c>
      <c r="W594" s="1" t="str">
        <f>IF(OR($B594="",W$7=""),"",IF($B594="MEANS",INDEX('1-DATA'!$1:$1048576,$A593-1,COLUMN('1-DATA'!V592)),ROUND(INDEX('1-DATA'!$1:$1048576,IF(OR($B594="STD. DEVIATION",$C$1=1),$A594,$A594+1),COLUMN('1-DATA'!V592)),IF($B594="STD. DEVIATION",2,$F$1))))</f>
        <v/>
      </c>
      <c r="X594" s="1" t="str">
        <f>IF(OR($B594="",X$7=""),"",IF($B594="MEANS",INDEX('1-DATA'!$1:$1048576,$A593-1,COLUMN('1-DATA'!W592)),ROUND(INDEX('1-DATA'!$1:$1048576,IF(OR($B594="STD. DEVIATION",$C$1=1),$A594,$A594+1),COLUMN('1-DATA'!W592)),IF($B594="STD. DEVIATION",2,$F$1))))</f>
        <v/>
      </c>
      <c r="Y594" s="1" t="str">
        <f>IF(OR($B594="",Y$7=""),"",IF($B594="MEANS",INDEX('1-DATA'!$1:$1048576,$A593-1,COLUMN('1-DATA'!X592)),ROUND(INDEX('1-DATA'!$1:$1048576,IF(OR($B594="STD. DEVIATION",$C$1=1),$A594,$A594+1),COLUMN('1-DATA'!X592)),IF($B594="STD. DEVIATION",2,$F$1))))</f>
        <v/>
      </c>
      <c r="Z594" s="1" t="str">
        <f>IF(OR($B594="",Z$7=""),"",IF($B594="MEANS",INDEX('1-DATA'!$1:$1048576,$A593-1,COLUMN('1-DATA'!Y592)),ROUND(INDEX('1-DATA'!$1:$1048576,IF(OR($B594="STD. DEVIATION",$C$1=1),$A594,$A594+1),COLUMN('1-DATA'!Y592)),IF($B594="STD. DEVIATION",2,$F$1))))</f>
        <v/>
      </c>
      <c r="AA594" s="1" t="str">
        <f>IF(OR($B594="",AA$7=""),"",IF($B594="MEANS",INDEX('1-DATA'!$1:$1048576,$A593-1,COLUMN('1-DATA'!Z592)),ROUND(INDEX('1-DATA'!$1:$1048576,IF(OR($B594="STD. DEVIATION",$C$1=1),$A594,$A594+1),COLUMN('1-DATA'!Z592)),IF($B594="STD. DEVIATION",2,$F$1))))</f>
        <v/>
      </c>
      <c r="AB594" s="1" t="str">
        <f>IF(OR($B594="",AB$7=""),"",IF($B594="MEANS",INDEX('1-DATA'!$1:$1048576,$A593-1,COLUMN('1-DATA'!AA592)),ROUND(INDEX('1-DATA'!$1:$1048576,IF(OR($B594="STD. DEVIATION",$C$1=1),$A594,$A594+1),COLUMN('1-DATA'!AA592)),IF($B594="STD. DEVIATION",2,$F$1))))</f>
        <v/>
      </c>
      <c r="AC594" s="1" t="str">
        <f>IF(OR($B594="",AC$7=""),"",IF($B594="MEANS",INDEX('1-DATA'!$1:$1048576,$A593-1,COLUMN('1-DATA'!AB592)),ROUND(INDEX('1-DATA'!$1:$1048576,IF(OR($B594="STD. DEVIATION",$C$1=1),$A594,$A594+1),COLUMN('1-DATA'!AB592)),IF($B594="STD. DEVIATION",2,$F$1))))</f>
        <v/>
      </c>
      <c r="AD594" s="1" t="str">
        <f>IF(OR($B594="",AD$7=""),"",IF($B594="MEANS",INDEX('1-DATA'!$1:$1048576,$A593-1,COLUMN('1-DATA'!AC592)),ROUND(INDEX('1-DATA'!$1:$1048576,IF(OR($B594="STD. DEVIATION",$C$1=1),$A594,$A594+1),COLUMN('1-DATA'!AC592)),IF($B594="STD. DEVIATION",2,$F$1))))</f>
        <v/>
      </c>
      <c r="AE594" s="1" t="str">
        <f>IF(OR($B594="",AE$7=""),"",IF($B594="MEANS",INDEX('1-DATA'!$1:$1048576,$A593-1,COLUMN('1-DATA'!AD592)),ROUND(INDEX('1-DATA'!$1:$1048576,IF(OR($B594="STD. DEVIATION",$C$1=1),$A594,$A594+1),COLUMN('1-DATA'!AD592)),IF($B594="STD. DEVIATION",2,$F$1))))</f>
        <v/>
      </c>
      <c r="AF594" s="1" t="str">
        <f>IF(OR($B594="",AF$7=""),"",IF($B594="MEANS",INDEX('1-DATA'!$1:$1048576,$A593-1,COLUMN('1-DATA'!AE592)),ROUND(INDEX('1-DATA'!$1:$1048576,IF(OR($B594="STD. DEVIATION",$C$1=1),$A594,$A594+1),COLUMN('1-DATA'!AE592)),IF($B594="STD. DEVIATION",2,$F$1))))</f>
        <v/>
      </c>
      <c r="AG594" s="1" t="str">
        <f>IF(OR($B594="",AG$7=""),"",IF($B594="MEANS",INDEX('1-DATA'!$1:$1048576,$A593-1,COLUMN('1-DATA'!AF592)),ROUND(INDEX('1-DATA'!$1:$1048576,IF(OR($B594="STD. DEVIATION",$C$1=1),$A594,$A594+1),COLUMN('1-DATA'!AF592)),IF($B594="STD. DEVIATION",2,$F$1))))</f>
        <v/>
      </c>
      <c r="AH594" s="1" t="str">
        <f>IF(OR($B594="",AH$7=""),"",IF($B594="MEANS",INDEX('1-DATA'!$1:$1048576,$A593-1,COLUMN('1-DATA'!AG592)),ROUND(INDEX('1-DATA'!$1:$1048576,IF(OR($B594="STD. DEVIATION",$C$1=1),$A594,$A594+1),COLUMN('1-DATA'!AG592)),IF($B594="STD. DEVIATION",2,$F$1))))</f>
        <v/>
      </c>
      <c r="AI594" s="1" t="str">
        <f>IF(OR($B594="",AI$7=""),"",IF($B594="MEANS",INDEX('1-DATA'!$1:$1048576,$A593-1,COLUMN('1-DATA'!AH592)),ROUND(INDEX('1-DATA'!$1:$1048576,IF(OR($B594="STD. DEVIATION",$C$1=1),$A594,$A594+1),COLUMN('1-DATA'!AH592)),IF($B594="STD. DEVIATION",2,$F$1))))</f>
        <v/>
      </c>
      <c r="AJ594" s="1" t="str">
        <f>IF(OR($B594="",AJ$7=""),"",IF($B594="MEANS",INDEX('1-DATA'!$1:$1048576,$A593-1,COLUMN('1-DATA'!AI592)),ROUND(INDEX('1-DATA'!$1:$1048576,IF(OR($B594="STD. DEVIATION",$C$1=1),$A594,$A594+1),COLUMN('1-DATA'!AI592)),IF($B594="STD. DEVIATION",2,$F$1))))</f>
        <v/>
      </c>
      <c r="AK594" s="1" t="str">
        <f>IF(OR($B594="",AK$7=""),"",IF($B594="MEANS",INDEX('1-DATA'!$1:$1048576,$A593-1,COLUMN('1-DATA'!AJ592)),ROUND(INDEX('1-DATA'!$1:$1048576,IF(OR($B594="STD. DEVIATION",$C$1=1),$A594,$A594+1),COLUMN('1-DATA'!AJ592)),IF($B594="STD. DEVIATION",2,$F$1))))</f>
        <v/>
      </c>
      <c r="AL594" s="1" t="str">
        <f>IF(OR($B594="",AL$7=""),"",IF($B594="MEANS",INDEX('1-DATA'!$1:$1048576,$A593-1,COLUMN('1-DATA'!AK592)),ROUND(INDEX('1-DATA'!$1:$1048576,IF(OR($B594="STD. DEVIATION",$C$1=1),$A594,$A594+1),COLUMN('1-DATA'!AK592)),IF($B594="STD. DEVIATION",2,$F$1))))</f>
        <v/>
      </c>
      <c r="AM594" s="1" t="str">
        <f>IF(OR($B594="",AM$7=""),"",IF($B594="MEANS",INDEX('1-DATA'!$1:$1048576,$A593-1,COLUMN('1-DATA'!AL592)),ROUND(INDEX('1-DATA'!$1:$1048576,IF(OR($B594="STD. DEVIATION",$C$1=1),$A594,$A594+1),COLUMN('1-DATA'!AL592)),IF($B594="STD. DEVIATION",2,$F$1))))</f>
        <v/>
      </c>
      <c r="AN594" s="1" t="str">
        <f>IF(OR($B594="",AN$7=""),"",IF($B594="MEANS",INDEX('1-DATA'!$1:$1048576,$A593-1,COLUMN('1-DATA'!AM592)),ROUND(INDEX('1-DATA'!$1:$1048576,IF(OR($B594="STD. DEVIATION",$C$1=1),$A594,$A594+1),COLUMN('1-DATA'!AM592)),IF($B594="STD. DEVIATION",2,$F$1))))</f>
        <v/>
      </c>
      <c r="AO594" s="1" t="str">
        <f>IF(OR($B594="",AO$7=""),"",IF($B594="MEANS",INDEX('1-DATA'!$1:$1048576,$A593-1,COLUMN('1-DATA'!AN592)),ROUND(INDEX('1-DATA'!$1:$1048576,IF(OR($B594="STD. DEVIATION",$C$1=1),$A594,$A594+1),COLUMN('1-DATA'!AN592)),IF($B594="STD. DEVIATION",2,$F$1))))</f>
        <v/>
      </c>
      <c r="AP594" s="1" t="str">
        <f>IF(OR($B594="",AP$7=""),"",IF($B594="MEANS",INDEX('1-DATA'!$1:$1048576,$A593-1,COLUMN('1-DATA'!AO592)),ROUND(INDEX('1-DATA'!$1:$1048576,IF(OR($B594="STD. DEVIATION",$C$1=1),$A594,$A594+1),COLUMN('1-DATA'!AO592)),IF($B594="STD. DEVIATION",2,$F$1))))</f>
        <v/>
      </c>
      <c r="AQ594" s="1" t="str">
        <f>IF(OR($B594="",AQ$7=""),"",IF($B594="MEANS",INDEX('1-DATA'!$1:$1048576,$A593-1,COLUMN('1-DATA'!AP592)),ROUND(INDEX('1-DATA'!$1:$1048576,IF(OR($B594="STD. DEVIATION",$C$1=1),$A594,$A594+1),COLUMN('1-DATA'!AP592)),IF($B594="STD. DEVIATION",2,$F$1))))</f>
        <v/>
      </c>
      <c r="AR594" s="1" t="str">
        <f>IF(OR($B594="",AR$7=""),"",IF($B594="MEANS",INDEX('1-DATA'!$1:$1048576,$A593-1,COLUMN('1-DATA'!AQ592)),ROUND(INDEX('1-DATA'!$1:$1048576,IF(OR($B594="STD. DEVIATION",$C$1=1),$A594,$A594+1),COLUMN('1-DATA'!AQ592)),IF($B594="STD. DEVIATION",2,$F$1))))</f>
        <v/>
      </c>
      <c r="AS594" s="1" t="str">
        <f>IF(OR($B594="",AS$7=""),"",IF($B594="MEANS",INDEX('1-DATA'!$1:$1048576,$A593-1,COLUMN('1-DATA'!AR592)),ROUND(INDEX('1-DATA'!$1:$1048576,IF(OR($B594="STD. DEVIATION",$C$1=1),$A594,$A594+1),COLUMN('1-DATA'!AR592)),IF($B594="STD. DEVIATION",2,$F$1))))</f>
        <v/>
      </c>
      <c r="AT594" s="1" t="str">
        <f>IF(OR($B594="",AT$7=""),"",IF($B594="MEANS",INDEX('1-DATA'!$1:$1048576,$A593-1,COLUMN('1-DATA'!AS592)),ROUND(INDEX('1-DATA'!$1:$1048576,IF(OR($B594="STD. DEVIATION",$C$1=1),$A594,$A594+1),COLUMN('1-DATA'!AS592)),IF($B594="STD. DEVIATION",2,$F$1))))</f>
        <v/>
      </c>
      <c r="AU594" s="1" t="str">
        <f>IF(OR($B594="",AU$7=""),"",IF($B594="MEANS",INDEX('1-DATA'!$1:$1048576,$A593-1,COLUMN('1-DATA'!AT592)),ROUND(INDEX('1-DATA'!$1:$1048576,IF(OR($B594="STD. DEVIATION",$C$1=1),$A594,$A594+1),COLUMN('1-DATA'!AT592)),IF($B594="STD. DEVIATION",2,$F$1))))</f>
        <v/>
      </c>
      <c r="AV594" s="1" t="str">
        <f>IF(OR($B594="",AV$7=""),"",IF($B594="MEANS",INDEX('1-DATA'!$1:$1048576,$A593-1,COLUMN('1-DATA'!AU592)),ROUND(INDEX('1-DATA'!$1:$1048576,IF(OR($B594="STD. DEVIATION",$C$1=1),$A594,$A594+1),COLUMN('1-DATA'!AU592)),IF($B594="STD. DEVIATION",2,$F$1))))</f>
        <v/>
      </c>
      <c r="AW594" s="1" t="str">
        <f>IF(OR($B594="",AW$7=""),"",IF($B594="MEANS",INDEX('1-DATA'!$1:$1048576,$A593-1,COLUMN('1-DATA'!AV592)),ROUND(INDEX('1-DATA'!$1:$1048576,IF(OR($B594="STD. DEVIATION",$C$1=1),$A594,$A594+1),COLUMN('1-DATA'!AV592)),IF($B594="STD. DEVIATION",2,$F$1))))</f>
        <v/>
      </c>
      <c r="AX594" s="1" t="str">
        <f>IF(OR($B594="",AX$7=""),"",IF($B594="MEANS",INDEX('1-DATA'!$1:$1048576,$A593-1,COLUMN('1-DATA'!AW592)),ROUND(INDEX('1-DATA'!$1:$1048576,IF(OR($B594="STD. DEVIATION",$C$1=1),$A594,$A594+1),COLUMN('1-DATA'!AW592)),IF($B594="STD. DEVIATION",2,$F$1))))</f>
        <v/>
      </c>
      <c r="AY594" s="1" t="str">
        <f>IF(OR($B594="",AY$7=""),"",IF($B594="MEANS",INDEX('1-DATA'!$1:$1048576,$A593-1,COLUMN('1-DATA'!AX592)),ROUND(INDEX('1-DATA'!$1:$1048576,IF(OR($B594="STD. DEVIATION",$C$1=1),$A594,$A594+1),COLUMN('1-DATA'!AX592)),IF($B594="STD. DEVIATION",2,$F$1))))</f>
        <v/>
      </c>
      <c r="AZ594" s="1" t="str">
        <f>IF(OR($B594="",AZ$7=""),"",IF($B594="MEANS",INDEX('1-DATA'!$1:$1048576,$A593-1,COLUMN('1-DATA'!AY592)),ROUND(INDEX('1-DATA'!$1:$1048576,IF(OR($B594="STD. DEVIATION",$C$1=1),$A594,$A594+1),COLUMN('1-DATA'!AY592)),IF($B594="STD. DEVIATION",2,$F$1))))</f>
        <v/>
      </c>
    </row>
    <row r="595" spans="1:52" x14ac:dyDescent="0.25">
      <c r="A595" s="11">
        <f t="shared" si="9"/>
        <v>1771</v>
      </c>
      <c r="B595" s="1" t="str">
        <f>IF(B594="STD. DEVIATION",INDEX('1-DATA'!$1:$1048576,$A594-1,1),IF(INDEX('1-DATA'!$1:$1048576,$A595,1)&lt;&gt;"",INDEX('1-DATA'!$1:$1048576,$A595,1),""))</f>
        <v/>
      </c>
      <c r="C595" s="1" t="str">
        <f>IF(OR($B595="",C$7=""),"",IF($B595="MEANS",INDEX('1-DATA'!$1:$1048576,$A594-1,COLUMN('1-DATA'!B593)),ROUND(INDEX('1-DATA'!$1:$1048576,IF(OR($B595="STD. DEVIATION",$C$1=1),$A595,$A595+1),COLUMN('1-DATA'!B593)),IF($B595="STD. DEVIATION",2,$F$1))))</f>
        <v/>
      </c>
      <c r="D595" s="1" t="str">
        <f>IF(OR($B595="",D$7=""),"",IF($B595="MEANS",INDEX('1-DATA'!$1:$1048576,$A594-1,COLUMN('1-DATA'!C593)),ROUND(INDEX('1-DATA'!$1:$1048576,IF(OR($B595="STD. DEVIATION",$C$1=1),$A595,$A595+1),COLUMN('1-DATA'!C593)),IF($B595="STD. DEVIATION",2,$F$1))))</f>
        <v/>
      </c>
      <c r="E595" s="1" t="str">
        <f>IF(OR($B595="",E$7=""),"",IF($B595="MEANS",INDEX('1-DATA'!$1:$1048576,$A594-1,COLUMN('1-DATA'!D593)),ROUND(INDEX('1-DATA'!$1:$1048576,IF(OR($B595="STD. DEVIATION",$C$1=1),$A595,$A595+1),COLUMN('1-DATA'!D593)),IF($B595="STD. DEVIATION",2,$F$1))))</f>
        <v/>
      </c>
      <c r="F595" s="1" t="str">
        <f>IF(OR($B595="",F$7=""),"",IF($B595="MEANS",INDEX('1-DATA'!$1:$1048576,$A594-1,COLUMN('1-DATA'!E593)),ROUND(INDEX('1-DATA'!$1:$1048576,IF(OR($B595="STD. DEVIATION",$C$1=1),$A595,$A595+1),COLUMN('1-DATA'!E593)),IF($B595="STD. DEVIATION",2,$F$1))))</f>
        <v/>
      </c>
      <c r="G595" s="1" t="str">
        <f>IF(OR($B595="",G$7=""),"",IF($B595="MEANS",INDEX('1-DATA'!$1:$1048576,$A594-1,COLUMN('1-DATA'!F593)),ROUND(INDEX('1-DATA'!$1:$1048576,IF(OR($B595="STD. DEVIATION",$C$1=1),$A595,$A595+1),COLUMN('1-DATA'!F593)),IF($B595="STD. DEVIATION",2,$F$1))))</f>
        <v/>
      </c>
      <c r="H595" s="1" t="str">
        <f>IF(OR($B595="",H$7=""),"",IF($B595="MEANS",INDEX('1-DATA'!$1:$1048576,$A594-1,COLUMN('1-DATA'!G593)),ROUND(INDEX('1-DATA'!$1:$1048576,IF(OR($B595="STD. DEVIATION",$C$1=1),$A595,$A595+1),COLUMN('1-DATA'!G593)),IF($B595="STD. DEVIATION",2,$F$1))))</f>
        <v/>
      </c>
      <c r="I595" s="1" t="str">
        <f>IF(OR($B595="",I$7=""),"",IF($B595="MEANS",INDEX('1-DATA'!$1:$1048576,$A594-1,COLUMN('1-DATA'!H593)),ROUND(INDEX('1-DATA'!$1:$1048576,IF(OR($B595="STD. DEVIATION",$C$1=1),$A595,$A595+1),COLUMN('1-DATA'!H593)),IF($B595="STD. DEVIATION",2,$F$1))))</f>
        <v/>
      </c>
      <c r="J595" s="1" t="str">
        <f>IF(OR($B595="",J$7=""),"",IF($B595="MEANS",INDEX('1-DATA'!$1:$1048576,$A594-1,COLUMN('1-DATA'!I593)),ROUND(INDEX('1-DATA'!$1:$1048576,IF(OR($B595="STD. DEVIATION",$C$1=1),$A595,$A595+1),COLUMN('1-DATA'!I593)),IF($B595="STD. DEVIATION",2,$F$1))))</f>
        <v/>
      </c>
      <c r="K595" s="1" t="str">
        <f>IF(OR($B595="",K$7=""),"",IF($B595="MEANS",INDEX('1-DATA'!$1:$1048576,$A594-1,COLUMN('1-DATA'!J593)),ROUND(INDEX('1-DATA'!$1:$1048576,IF(OR($B595="STD. DEVIATION",$C$1=1),$A595,$A595+1),COLUMN('1-DATA'!J593)),IF($B595="STD. DEVIATION",2,$F$1))))</f>
        <v/>
      </c>
      <c r="L595" s="1" t="str">
        <f>IF(OR($B595="",L$7=""),"",IF($B595="MEANS",INDEX('1-DATA'!$1:$1048576,$A594-1,COLUMN('1-DATA'!K593)),ROUND(INDEX('1-DATA'!$1:$1048576,IF(OR($B595="STD. DEVIATION",$C$1=1),$A595,$A595+1),COLUMN('1-DATA'!K593)),IF($B595="STD. DEVIATION",2,$F$1))))</f>
        <v/>
      </c>
      <c r="M595" s="1" t="str">
        <f>IF(OR($B595="",M$7=""),"",IF($B595="MEANS",INDEX('1-DATA'!$1:$1048576,$A594-1,COLUMN('1-DATA'!L593)),ROUND(INDEX('1-DATA'!$1:$1048576,IF(OR($B595="STD. DEVIATION",$C$1=1),$A595,$A595+1),COLUMN('1-DATA'!L593)),IF($B595="STD. DEVIATION",2,$F$1))))</f>
        <v/>
      </c>
      <c r="N595" s="1" t="str">
        <f>IF(OR($B595="",N$7=""),"",IF($B595="MEANS",INDEX('1-DATA'!$1:$1048576,$A594-1,COLUMN('1-DATA'!M593)),ROUND(INDEX('1-DATA'!$1:$1048576,IF(OR($B595="STD. DEVIATION",$C$1=1),$A595,$A595+1),COLUMN('1-DATA'!M593)),IF($B595="STD. DEVIATION",2,$F$1))))</f>
        <v/>
      </c>
      <c r="O595" s="1" t="str">
        <f>IF(OR($B595="",O$7=""),"",IF($B595="MEANS",INDEX('1-DATA'!$1:$1048576,$A594-1,COLUMN('1-DATA'!N593)),ROUND(INDEX('1-DATA'!$1:$1048576,IF(OR($B595="STD. DEVIATION",$C$1=1),$A595,$A595+1),COLUMN('1-DATA'!N593)),IF($B595="STD. DEVIATION",2,$F$1))))</f>
        <v/>
      </c>
      <c r="P595" s="1" t="str">
        <f>IF(OR($B595="",P$7=""),"",IF($B595="MEANS",INDEX('1-DATA'!$1:$1048576,$A594-1,COLUMN('1-DATA'!O593)),ROUND(INDEX('1-DATA'!$1:$1048576,IF(OR($B595="STD. DEVIATION",$C$1=1),$A595,$A595+1),COLUMN('1-DATA'!O593)),IF($B595="STD. DEVIATION",2,$F$1))))</f>
        <v/>
      </c>
      <c r="Q595" s="1" t="str">
        <f>IF(OR($B595="",Q$7=""),"",IF($B595="MEANS",INDEX('1-DATA'!$1:$1048576,$A594-1,COLUMN('1-DATA'!P593)),ROUND(INDEX('1-DATA'!$1:$1048576,IF(OR($B595="STD. DEVIATION",$C$1=1),$A595,$A595+1),COLUMN('1-DATA'!P593)),IF($B595="STD. DEVIATION",2,$F$1))))</f>
        <v/>
      </c>
      <c r="R595" s="1" t="str">
        <f>IF(OR($B595="",R$7=""),"",IF($B595="MEANS",INDEX('1-DATA'!$1:$1048576,$A594-1,COLUMN('1-DATA'!Q593)),ROUND(INDEX('1-DATA'!$1:$1048576,IF(OR($B595="STD. DEVIATION",$C$1=1),$A595,$A595+1),COLUMN('1-DATA'!Q593)),IF($B595="STD. DEVIATION",2,$F$1))))</f>
        <v/>
      </c>
      <c r="S595" s="1" t="str">
        <f>IF(OR($B595="",S$7=""),"",IF($B595="MEANS",INDEX('1-DATA'!$1:$1048576,$A594-1,COLUMN('1-DATA'!R593)),ROUND(INDEX('1-DATA'!$1:$1048576,IF(OR($B595="STD. DEVIATION",$C$1=1),$A595,$A595+1),COLUMN('1-DATA'!R593)),IF($B595="STD. DEVIATION",2,$F$1))))</f>
        <v/>
      </c>
      <c r="T595" s="1" t="str">
        <f>IF(OR($B595="",T$7=""),"",IF($B595="MEANS",INDEX('1-DATA'!$1:$1048576,$A594-1,COLUMN('1-DATA'!S593)),ROUND(INDEX('1-DATA'!$1:$1048576,IF(OR($B595="STD. DEVIATION",$C$1=1),$A595,$A595+1),COLUMN('1-DATA'!S593)),IF($B595="STD. DEVIATION",2,$F$1))))</f>
        <v/>
      </c>
      <c r="U595" s="1" t="str">
        <f>IF(OR($B595="",U$7=""),"",IF($B595="MEANS",INDEX('1-DATA'!$1:$1048576,$A594-1,COLUMN('1-DATA'!T593)),ROUND(INDEX('1-DATA'!$1:$1048576,IF(OR($B595="STD. DEVIATION",$C$1=1),$A595,$A595+1),COLUMN('1-DATA'!T593)),IF($B595="STD. DEVIATION",2,$F$1))))</f>
        <v/>
      </c>
      <c r="V595" s="1" t="str">
        <f>IF(OR($B595="",V$7=""),"",IF($B595="MEANS",INDEX('1-DATA'!$1:$1048576,$A594-1,COLUMN('1-DATA'!U593)),ROUND(INDEX('1-DATA'!$1:$1048576,IF(OR($B595="STD. DEVIATION",$C$1=1),$A595,$A595+1),COLUMN('1-DATA'!U593)),IF($B595="STD. DEVIATION",2,$F$1))))</f>
        <v/>
      </c>
      <c r="W595" s="1" t="str">
        <f>IF(OR($B595="",W$7=""),"",IF($B595="MEANS",INDEX('1-DATA'!$1:$1048576,$A594-1,COLUMN('1-DATA'!V593)),ROUND(INDEX('1-DATA'!$1:$1048576,IF(OR($B595="STD. DEVIATION",$C$1=1),$A595,$A595+1),COLUMN('1-DATA'!V593)),IF($B595="STD. DEVIATION",2,$F$1))))</f>
        <v/>
      </c>
      <c r="X595" s="1" t="str">
        <f>IF(OR($B595="",X$7=""),"",IF($B595="MEANS",INDEX('1-DATA'!$1:$1048576,$A594-1,COLUMN('1-DATA'!W593)),ROUND(INDEX('1-DATA'!$1:$1048576,IF(OR($B595="STD. DEVIATION",$C$1=1),$A595,$A595+1),COLUMN('1-DATA'!W593)),IF($B595="STD. DEVIATION",2,$F$1))))</f>
        <v/>
      </c>
      <c r="Y595" s="1" t="str">
        <f>IF(OR($B595="",Y$7=""),"",IF($B595="MEANS",INDEX('1-DATA'!$1:$1048576,$A594-1,COLUMN('1-DATA'!X593)),ROUND(INDEX('1-DATA'!$1:$1048576,IF(OR($B595="STD. DEVIATION",$C$1=1),$A595,$A595+1),COLUMN('1-DATA'!X593)),IF($B595="STD. DEVIATION",2,$F$1))))</f>
        <v/>
      </c>
      <c r="Z595" s="1" t="str">
        <f>IF(OR($B595="",Z$7=""),"",IF($B595="MEANS",INDEX('1-DATA'!$1:$1048576,$A594-1,COLUMN('1-DATA'!Y593)),ROUND(INDEX('1-DATA'!$1:$1048576,IF(OR($B595="STD. DEVIATION",$C$1=1),$A595,$A595+1),COLUMN('1-DATA'!Y593)),IF($B595="STD. DEVIATION",2,$F$1))))</f>
        <v/>
      </c>
      <c r="AA595" s="1" t="str">
        <f>IF(OR($B595="",AA$7=""),"",IF($B595="MEANS",INDEX('1-DATA'!$1:$1048576,$A594-1,COLUMN('1-DATA'!Z593)),ROUND(INDEX('1-DATA'!$1:$1048576,IF(OR($B595="STD. DEVIATION",$C$1=1),$A595,$A595+1),COLUMN('1-DATA'!Z593)),IF($B595="STD. DEVIATION",2,$F$1))))</f>
        <v/>
      </c>
      <c r="AB595" s="1" t="str">
        <f>IF(OR($B595="",AB$7=""),"",IF($B595="MEANS",INDEX('1-DATA'!$1:$1048576,$A594-1,COLUMN('1-DATA'!AA593)),ROUND(INDEX('1-DATA'!$1:$1048576,IF(OR($B595="STD. DEVIATION",$C$1=1),$A595,$A595+1),COLUMN('1-DATA'!AA593)),IF($B595="STD. DEVIATION",2,$F$1))))</f>
        <v/>
      </c>
      <c r="AC595" s="1" t="str">
        <f>IF(OR($B595="",AC$7=""),"",IF($B595="MEANS",INDEX('1-DATA'!$1:$1048576,$A594-1,COLUMN('1-DATA'!AB593)),ROUND(INDEX('1-DATA'!$1:$1048576,IF(OR($B595="STD. DEVIATION",$C$1=1),$A595,$A595+1),COLUMN('1-DATA'!AB593)),IF($B595="STD. DEVIATION",2,$F$1))))</f>
        <v/>
      </c>
      <c r="AD595" s="1" t="str">
        <f>IF(OR($B595="",AD$7=""),"",IF($B595="MEANS",INDEX('1-DATA'!$1:$1048576,$A594-1,COLUMN('1-DATA'!AC593)),ROUND(INDEX('1-DATA'!$1:$1048576,IF(OR($B595="STD. DEVIATION",$C$1=1),$A595,$A595+1),COLUMN('1-DATA'!AC593)),IF($B595="STD. DEVIATION",2,$F$1))))</f>
        <v/>
      </c>
      <c r="AE595" s="1" t="str">
        <f>IF(OR($B595="",AE$7=""),"",IF($B595="MEANS",INDEX('1-DATA'!$1:$1048576,$A594-1,COLUMN('1-DATA'!AD593)),ROUND(INDEX('1-DATA'!$1:$1048576,IF(OR($B595="STD. DEVIATION",$C$1=1),$A595,$A595+1),COLUMN('1-DATA'!AD593)),IF($B595="STD. DEVIATION",2,$F$1))))</f>
        <v/>
      </c>
      <c r="AF595" s="1" t="str">
        <f>IF(OR($B595="",AF$7=""),"",IF($B595="MEANS",INDEX('1-DATA'!$1:$1048576,$A594-1,COLUMN('1-DATA'!AE593)),ROUND(INDEX('1-DATA'!$1:$1048576,IF(OR($B595="STD. DEVIATION",$C$1=1),$A595,$A595+1),COLUMN('1-DATA'!AE593)),IF($B595="STD. DEVIATION",2,$F$1))))</f>
        <v/>
      </c>
      <c r="AG595" s="1" t="str">
        <f>IF(OR($B595="",AG$7=""),"",IF($B595="MEANS",INDEX('1-DATA'!$1:$1048576,$A594-1,COLUMN('1-DATA'!AF593)),ROUND(INDEX('1-DATA'!$1:$1048576,IF(OR($B595="STD. DEVIATION",$C$1=1),$A595,$A595+1),COLUMN('1-DATA'!AF593)),IF($B595="STD. DEVIATION",2,$F$1))))</f>
        <v/>
      </c>
      <c r="AH595" s="1" t="str">
        <f>IF(OR($B595="",AH$7=""),"",IF($B595="MEANS",INDEX('1-DATA'!$1:$1048576,$A594-1,COLUMN('1-DATA'!AG593)),ROUND(INDEX('1-DATA'!$1:$1048576,IF(OR($B595="STD. DEVIATION",$C$1=1),$A595,$A595+1),COLUMN('1-DATA'!AG593)),IF($B595="STD. DEVIATION",2,$F$1))))</f>
        <v/>
      </c>
      <c r="AI595" s="1" t="str">
        <f>IF(OR($B595="",AI$7=""),"",IF($B595="MEANS",INDEX('1-DATA'!$1:$1048576,$A594-1,COLUMN('1-DATA'!AH593)),ROUND(INDEX('1-DATA'!$1:$1048576,IF(OR($B595="STD. DEVIATION",$C$1=1),$A595,$A595+1),COLUMN('1-DATA'!AH593)),IF($B595="STD. DEVIATION",2,$F$1))))</f>
        <v/>
      </c>
      <c r="AJ595" s="1" t="str">
        <f>IF(OR($B595="",AJ$7=""),"",IF($B595="MEANS",INDEX('1-DATA'!$1:$1048576,$A594-1,COLUMN('1-DATA'!AI593)),ROUND(INDEX('1-DATA'!$1:$1048576,IF(OR($B595="STD. DEVIATION",$C$1=1),$A595,$A595+1),COLUMN('1-DATA'!AI593)),IF($B595="STD. DEVIATION",2,$F$1))))</f>
        <v/>
      </c>
      <c r="AK595" s="1" t="str">
        <f>IF(OR($B595="",AK$7=""),"",IF($B595="MEANS",INDEX('1-DATA'!$1:$1048576,$A594-1,COLUMN('1-DATA'!AJ593)),ROUND(INDEX('1-DATA'!$1:$1048576,IF(OR($B595="STD. DEVIATION",$C$1=1),$A595,$A595+1),COLUMN('1-DATA'!AJ593)),IF($B595="STD. DEVIATION",2,$F$1))))</f>
        <v/>
      </c>
      <c r="AL595" s="1" t="str">
        <f>IF(OR($B595="",AL$7=""),"",IF($B595="MEANS",INDEX('1-DATA'!$1:$1048576,$A594-1,COLUMN('1-DATA'!AK593)),ROUND(INDEX('1-DATA'!$1:$1048576,IF(OR($B595="STD. DEVIATION",$C$1=1),$A595,$A595+1),COLUMN('1-DATA'!AK593)),IF($B595="STD. DEVIATION",2,$F$1))))</f>
        <v/>
      </c>
      <c r="AM595" s="1" t="str">
        <f>IF(OR($B595="",AM$7=""),"",IF($B595="MEANS",INDEX('1-DATA'!$1:$1048576,$A594-1,COLUMN('1-DATA'!AL593)),ROUND(INDEX('1-DATA'!$1:$1048576,IF(OR($B595="STD. DEVIATION",$C$1=1),$A595,$A595+1),COLUMN('1-DATA'!AL593)),IF($B595="STD. DEVIATION",2,$F$1))))</f>
        <v/>
      </c>
      <c r="AN595" s="1" t="str">
        <f>IF(OR($B595="",AN$7=""),"",IF($B595="MEANS",INDEX('1-DATA'!$1:$1048576,$A594-1,COLUMN('1-DATA'!AM593)),ROUND(INDEX('1-DATA'!$1:$1048576,IF(OR($B595="STD. DEVIATION",$C$1=1),$A595,$A595+1),COLUMN('1-DATA'!AM593)),IF($B595="STD. DEVIATION",2,$F$1))))</f>
        <v/>
      </c>
      <c r="AO595" s="1" t="str">
        <f>IF(OR($B595="",AO$7=""),"",IF($B595="MEANS",INDEX('1-DATA'!$1:$1048576,$A594-1,COLUMN('1-DATA'!AN593)),ROUND(INDEX('1-DATA'!$1:$1048576,IF(OR($B595="STD. DEVIATION",$C$1=1),$A595,$A595+1),COLUMN('1-DATA'!AN593)),IF($B595="STD. DEVIATION",2,$F$1))))</f>
        <v/>
      </c>
      <c r="AP595" s="1" t="str">
        <f>IF(OR($B595="",AP$7=""),"",IF($B595="MEANS",INDEX('1-DATA'!$1:$1048576,$A594-1,COLUMN('1-DATA'!AO593)),ROUND(INDEX('1-DATA'!$1:$1048576,IF(OR($B595="STD. DEVIATION",$C$1=1),$A595,$A595+1),COLUMN('1-DATA'!AO593)),IF($B595="STD. DEVIATION",2,$F$1))))</f>
        <v/>
      </c>
      <c r="AQ595" s="1" t="str">
        <f>IF(OR($B595="",AQ$7=""),"",IF($B595="MEANS",INDEX('1-DATA'!$1:$1048576,$A594-1,COLUMN('1-DATA'!AP593)),ROUND(INDEX('1-DATA'!$1:$1048576,IF(OR($B595="STD. DEVIATION",$C$1=1),$A595,$A595+1),COLUMN('1-DATA'!AP593)),IF($B595="STD. DEVIATION",2,$F$1))))</f>
        <v/>
      </c>
      <c r="AR595" s="1" t="str">
        <f>IF(OR($B595="",AR$7=""),"",IF($B595="MEANS",INDEX('1-DATA'!$1:$1048576,$A594-1,COLUMN('1-DATA'!AQ593)),ROUND(INDEX('1-DATA'!$1:$1048576,IF(OR($B595="STD. DEVIATION",$C$1=1),$A595,$A595+1),COLUMN('1-DATA'!AQ593)),IF($B595="STD. DEVIATION",2,$F$1))))</f>
        <v/>
      </c>
      <c r="AS595" s="1" t="str">
        <f>IF(OR($B595="",AS$7=""),"",IF($B595="MEANS",INDEX('1-DATA'!$1:$1048576,$A594-1,COLUMN('1-DATA'!AR593)),ROUND(INDEX('1-DATA'!$1:$1048576,IF(OR($B595="STD. DEVIATION",$C$1=1),$A595,$A595+1),COLUMN('1-DATA'!AR593)),IF($B595="STD. DEVIATION",2,$F$1))))</f>
        <v/>
      </c>
      <c r="AT595" s="1" t="str">
        <f>IF(OR($B595="",AT$7=""),"",IF($B595="MEANS",INDEX('1-DATA'!$1:$1048576,$A594-1,COLUMN('1-DATA'!AS593)),ROUND(INDEX('1-DATA'!$1:$1048576,IF(OR($B595="STD. DEVIATION",$C$1=1),$A595,$A595+1),COLUMN('1-DATA'!AS593)),IF($B595="STD. DEVIATION",2,$F$1))))</f>
        <v/>
      </c>
      <c r="AU595" s="1" t="str">
        <f>IF(OR($B595="",AU$7=""),"",IF($B595="MEANS",INDEX('1-DATA'!$1:$1048576,$A594-1,COLUMN('1-DATA'!AT593)),ROUND(INDEX('1-DATA'!$1:$1048576,IF(OR($B595="STD. DEVIATION",$C$1=1),$A595,$A595+1),COLUMN('1-DATA'!AT593)),IF($B595="STD. DEVIATION",2,$F$1))))</f>
        <v/>
      </c>
      <c r="AV595" s="1" t="str">
        <f>IF(OR($B595="",AV$7=""),"",IF($B595="MEANS",INDEX('1-DATA'!$1:$1048576,$A594-1,COLUMN('1-DATA'!AU593)),ROUND(INDEX('1-DATA'!$1:$1048576,IF(OR($B595="STD. DEVIATION",$C$1=1),$A595,$A595+1),COLUMN('1-DATA'!AU593)),IF($B595="STD. DEVIATION",2,$F$1))))</f>
        <v/>
      </c>
      <c r="AW595" s="1" t="str">
        <f>IF(OR($B595="",AW$7=""),"",IF($B595="MEANS",INDEX('1-DATA'!$1:$1048576,$A594-1,COLUMN('1-DATA'!AV593)),ROUND(INDEX('1-DATA'!$1:$1048576,IF(OR($B595="STD. DEVIATION",$C$1=1),$A595,$A595+1),COLUMN('1-DATA'!AV593)),IF($B595="STD. DEVIATION",2,$F$1))))</f>
        <v/>
      </c>
      <c r="AX595" s="1" t="str">
        <f>IF(OR($B595="",AX$7=""),"",IF($B595="MEANS",INDEX('1-DATA'!$1:$1048576,$A594-1,COLUMN('1-DATA'!AW593)),ROUND(INDEX('1-DATA'!$1:$1048576,IF(OR($B595="STD. DEVIATION",$C$1=1),$A595,$A595+1),COLUMN('1-DATA'!AW593)),IF($B595="STD. DEVIATION",2,$F$1))))</f>
        <v/>
      </c>
      <c r="AY595" s="1" t="str">
        <f>IF(OR($B595="",AY$7=""),"",IF($B595="MEANS",INDEX('1-DATA'!$1:$1048576,$A594-1,COLUMN('1-DATA'!AX593)),ROUND(INDEX('1-DATA'!$1:$1048576,IF(OR($B595="STD. DEVIATION",$C$1=1),$A595,$A595+1),COLUMN('1-DATA'!AX593)),IF($B595="STD. DEVIATION",2,$F$1))))</f>
        <v/>
      </c>
      <c r="AZ595" s="1" t="str">
        <f>IF(OR($B595="",AZ$7=""),"",IF($B595="MEANS",INDEX('1-DATA'!$1:$1048576,$A594-1,COLUMN('1-DATA'!AY593)),ROUND(INDEX('1-DATA'!$1:$1048576,IF(OR($B595="STD. DEVIATION",$C$1=1),$A595,$A595+1),COLUMN('1-DATA'!AY593)),IF($B595="STD. DEVIATION",2,$F$1))))</f>
        <v/>
      </c>
    </row>
    <row r="596" spans="1:52" x14ac:dyDescent="0.25">
      <c r="A596" s="11">
        <f t="shared" si="9"/>
        <v>1774</v>
      </c>
      <c r="B596" s="1" t="str">
        <f>IF(B595="STD. DEVIATION",INDEX('1-DATA'!$1:$1048576,$A595-1,1),IF(INDEX('1-DATA'!$1:$1048576,$A596,1)&lt;&gt;"",INDEX('1-DATA'!$1:$1048576,$A596,1),""))</f>
        <v/>
      </c>
      <c r="C596" s="1" t="str">
        <f>IF(OR($B596="",C$7=""),"",IF($B596="MEANS",INDEX('1-DATA'!$1:$1048576,$A595-1,COLUMN('1-DATA'!B594)),ROUND(INDEX('1-DATA'!$1:$1048576,IF(OR($B596="STD. DEVIATION",$C$1=1),$A596,$A596+1),COLUMN('1-DATA'!B594)),IF($B596="STD. DEVIATION",2,$F$1))))</f>
        <v/>
      </c>
      <c r="D596" s="1" t="str">
        <f>IF(OR($B596="",D$7=""),"",IF($B596="MEANS",INDEX('1-DATA'!$1:$1048576,$A595-1,COLUMN('1-DATA'!C594)),ROUND(INDEX('1-DATA'!$1:$1048576,IF(OR($B596="STD. DEVIATION",$C$1=1),$A596,$A596+1),COLUMN('1-DATA'!C594)),IF($B596="STD. DEVIATION",2,$F$1))))</f>
        <v/>
      </c>
      <c r="E596" s="1" t="str">
        <f>IF(OR($B596="",E$7=""),"",IF($B596="MEANS",INDEX('1-DATA'!$1:$1048576,$A595-1,COLUMN('1-DATA'!D594)),ROUND(INDEX('1-DATA'!$1:$1048576,IF(OR($B596="STD. DEVIATION",$C$1=1),$A596,$A596+1),COLUMN('1-DATA'!D594)),IF($B596="STD. DEVIATION",2,$F$1))))</f>
        <v/>
      </c>
      <c r="F596" s="1" t="str">
        <f>IF(OR($B596="",F$7=""),"",IF($B596="MEANS",INDEX('1-DATA'!$1:$1048576,$A595-1,COLUMN('1-DATA'!E594)),ROUND(INDEX('1-DATA'!$1:$1048576,IF(OR($B596="STD. DEVIATION",$C$1=1),$A596,$A596+1),COLUMN('1-DATA'!E594)),IF($B596="STD. DEVIATION",2,$F$1))))</f>
        <v/>
      </c>
      <c r="G596" s="1" t="str">
        <f>IF(OR($B596="",G$7=""),"",IF($B596="MEANS",INDEX('1-DATA'!$1:$1048576,$A595-1,COLUMN('1-DATA'!F594)),ROUND(INDEX('1-DATA'!$1:$1048576,IF(OR($B596="STD. DEVIATION",$C$1=1),$A596,$A596+1),COLUMN('1-DATA'!F594)),IF($B596="STD. DEVIATION",2,$F$1))))</f>
        <v/>
      </c>
      <c r="H596" s="1" t="str">
        <f>IF(OR($B596="",H$7=""),"",IF($B596="MEANS",INDEX('1-DATA'!$1:$1048576,$A595-1,COLUMN('1-DATA'!G594)),ROUND(INDEX('1-DATA'!$1:$1048576,IF(OR($B596="STD. DEVIATION",$C$1=1),$A596,$A596+1),COLUMN('1-DATA'!G594)),IF($B596="STD. DEVIATION",2,$F$1))))</f>
        <v/>
      </c>
      <c r="I596" s="1" t="str">
        <f>IF(OR($B596="",I$7=""),"",IF($B596="MEANS",INDEX('1-DATA'!$1:$1048576,$A595-1,COLUMN('1-DATA'!H594)),ROUND(INDEX('1-DATA'!$1:$1048576,IF(OR($B596="STD. DEVIATION",$C$1=1),$A596,$A596+1),COLUMN('1-DATA'!H594)),IF($B596="STD. DEVIATION",2,$F$1))))</f>
        <v/>
      </c>
      <c r="J596" s="1" t="str">
        <f>IF(OR($B596="",J$7=""),"",IF($B596="MEANS",INDEX('1-DATA'!$1:$1048576,$A595-1,COLUMN('1-DATA'!I594)),ROUND(INDEX('1-DATA'!$1:$1048576,IF(OR($B596="STD. DEVIATION",$C$1=1),$A596,$A596+1),COLUMN('1-DATA'!I594)),IF($B596="STD. DEVIATION",2,$F$1))))</f>
        <v/>
      </c>
      <c r="K596" s="1" t="str">
        <f>IF(OR($B596="",K$7=""),"",IF($B596="MEANS",INDEX('1-DATA'!$1:$1048576,$A595-1,COLUMN('1-DATA'!J594)),ROUND(INDEX('1-DATA'!$1:$1048576,IF(OR($B596="STD. DEVIATION",$C$1=1),$A596,$A596+1),COLUMN('1-DATA'!J594)),IF($B596="STD. DEVIATION",2,$F$1))))</f>
        <v/>
      </c>
      <c r="L596" s="1" t="str">
        <f>IF(OR($B596="",L$7=""),"",IF($B596="MEANS",INDEX('1-DATA'!$1:$1048576,$A595-1,COLUMN('1-DATA'!K594)),ROUND(INDEX('1-DATA'!$1:$1048576,IF(OR($B596="STD. DEVIATION",$C$1=1),$A596,$A596+1),COLUMN('1-DATA'!K594)),IF($B596="STD. DEVIATION",2,$F$1))))</f>
        <v/>
      </c>
      <c r="M596" s="1" t="str">
        <f>IF(OR($B596="",M$7=""),"",IF($B596="MEANS",INDEX('1-DATA'!$1:$1048576,$A595-1,COLUMN('1-DATA'!L594)),ROUND(INDEX('1-DATA'!$1:$1048576,IF(OR($B596="STD. DEVIATION",$C$1=1),$A596,$A596+1),COLUMN('1-DATA'!L594)),IF($B596="STD. DEVIATION",2,$F$1))))</f>
        <v/>
      </c>
      <c r="N596" s="1" t="str">
        <f>IF(OR($B596="",N$7=""),"",IF($B596="MEANS",INDEX('1-DATA'!$1:$1048576,$A595-1,COLUMN('1-DATA'!M594)),ROUND(INDEX('1-DATA'!$1:$1048576,IF(OR($B596="STD. DEVIATION",$C$1=1),$A596,$A596+1),COLUMN('1-DATA'!M594)),IF($B596="STD. DEVIATION",2,$F$1))))</f>
        <v/>
      </c>
      <c r="O596" s="1" t="str">
        <f>IF(OR($B596="",O$7=""),"",IF($B596="MEANS",INDEX('1-DATA'!$1:$1048576,$A595-1,COLUMN('1-DATA'!N594)),ROUND(INDEX('1-DATA'!$1:$1048576,IF(OR($B596="STD. DEVIATION",$C$1=1),$A596,$A596+1),COLUMN('1-DATA'!N594)),IF($B596="STD. DEVIATION",2,$F$1))))</f>
        <v/>
      </c>
      <c r="P596" s="1" t="str">
        <f>IF(OR($B596="",P$7=""),"",IF($B596="MEANS",INDEX('1-DATA'!$1:$1048576,$A595-1,COLUMN('1-DATA'!O594)),ROUND(INDEX('1-DATA'!$1:$1048576,IF(OR($B596="STD. DEVIATION",$C$1=1),$A596,$A596+1),COLUMN('1-DATA'!O594)),IF($B596="STD. DEVIATION",2,$F$1))))</f>
        <v/>
      </c>
      <c r="Q596" s="1" t="str">
        <f>IF(OR($B596="",Q$7=""),"",IF($B596="MEANS",INDEX('1-DATA'!$1:$1048576,$A595-1,COLUMN('1-DATA'!P594)),ROUND(INDEX('1-DATA'!$1:$1048576,IF(OR($B596="STD. DEVIATION",$C$1=1),$A596,$A596+1),COLUMN('1-DATA'!P594)),IF($B596="STD. DEVIATION",2,$F$1))))</f>
        <v/>
      </c>
      <c r="R596" s="1" t="str">
        <f>IF(OR($B596="",R$7=""),"",IF($B596="MEANS",INDEX('1-DATA'!$1:$1048576,$A595-1,COLUMN('1-DATA'!Q594)),ROUND(INDEX('1-DATA'!$1:$1048576,IF(OR($B596="STD. DEVIATION",$C$1=1),$A596,$A596+1),COLUMN('1-DATA'!Q594)),IF($B596="STD. DEVIATION",2,$F$1))))</f>
        <v/>
      </c>
      <c r="S596" s="1" t="str">
        <f>IF(OR($B596="",S$7=""),"",IF($B596="MEANS",INDEX('1-DATA'!$1:$1048576,$A595-1,COLUMN('1-DATA'!R594)),ROUND(INDEX('1-DATA'!$1:$1048576,IF(OR($B596="STD. DEVIATION",$C$1=1),$A596,$A596+1),COLUMN('1-DATA'!R594)),IF($B596="STD. DEVIATION",2,$F$1))))</f>
        <v/>
      </c>
      <c r="T596" s="1" t="str">
        <f>IF(OR($B596="",T$7=""),"",IF($B596="MEANS",INDEX('1-DATA'!$1:$1048576,$A595-1,COLUMN('1-DATA'!S594)),ROUND(INDEX('1-DATA'!$1:$1048576,IF(OR($B596="STD. DEVIATION",$C$1=1),$A596,$A596+1),COLUMN('1-DATA'!S594)),IF($B596="STD. DEVIATION",2,$F$1))))</f>
        <v/>
      </c>
      <c r="U596" s="1" t="str">
        <f>IF(OR($B596="",U$7=""),"",IF($B596="MEANS",INDEX('1-DATA'!$1:$1048576,$A595-1,COLUMN('1-DATA'!T594)),ROUND(INDEX('1-DATA'!$1:$1048576,IF(OR($B596="STD. DEVIATION",$C$1=1),$A596,$A596+1),COLUMN('1-DATA'!T594)),IF($B596="STD. DEVIATION",2,$F$1))))</f>
        <v/>
      </c>
      <c r="V596" s="1" t="str">
        <f>IF(OR($B596="",V$7=""),"",IF($B596="MEANS",INDEX('1-DATA'!$1:$1048576,$A595-1,COLUMN('1-DATA'!U594)),ROUND(INDEX('1-DATA'!$1:$1048576,IF(OR($B596="STD. DEVIATION",$C$1=1),$A596,$A596+1),COLUMN('1-DATA'!U594)),IF($B596="STD. DEVIATION",2,$F$1))))</f>
        <v/>
      </c>
      <c r="W596" s="1" t="str">
        <f>IF(OR($B596="",W$7=""),"",IF($B596="MEANS",INDEX('1-DATA'!$1:$1048576,$A595-1,COLUMN('1-DATA'!V594)),ROUND(INDEX('1-DATA'!$1:$1048576,IF(OR($B596="STD. DEVIATION",$C$1=1),$A596,$A596+1),COLUMN('1-DATA'!V594)),IF($B596="STD. DEVIATION",2,$F$1))))</f>
        <v/>
      </c>
      <c r="X596" s="1" t="str">
        <f>IF(OR($B596="",X$7=""),"",IF($B596="MEANS",INDEX('1-DATA'!$1:$1048576,$A595-1,COLUMN('1-DATA'!W594)),ROUND(INDEX('1-DATA'!$1:$1048576,IF(OR($B596="STD. DEVIATION",$C$1=1),$A596,$A596+1),COLUMN('1-DATA'!W594)),IF($B596="STD. DEVIATION",2,$F$1))))</f>
        <v/>
      </c>
      <c r="Y596" s="1" t="str">
        <f>IF(OR($B596="",Y$7=""),"",IF($B596="MEANS",INDEX('1-DATA'!$1:$1048576,$A595-1,COLUMN('1-DATA'!X594)),ROUND(INDEX('1-DATA'!$1:$1048576,IF(OR($B596="STD. DEVIATION",$C$1=1),$A596,$A596+1),COLUMN('1-DATA'!X594)),IF($B596="STD. DEVIATION",2,$F$1))))</f>
        <v/>
      </c>
      <c r="Z596" s="1" t="str">
        <f>IF(OR($B596="",Z$7=""),"",IF($B596="MEANS",INDEX('1-DATA'!$1:$1048576,$A595-1,COLUMN('1-DATA'!Y594)),ROUND(INDEX('1-DATA'!$1:$1048576,IF(OR($B596="STD. DEVIATION",$C$1=1),$A596,$A596+1),COLUMN('1-DATA'!Y594)),IF($B596="STD. DEVIATION",2,$F$1))))</f>
        <v/>
      </c>
      <c r="AA596" s="1" t="str">
        <f>IF(OR($B596="",AA$7=""),"",IF($B596="MEANS",INDEX('1-DATA'!$1:$1048576,$A595-1,COLUMN('1-DATA'!Z594)),ROUND(INDEX('1-DATA'!$1:$1048576,IF(OR($B596="STD. DEVIATION",$C$1=1),$A596,$A596+1),COLUMN('1-DATA'!Z594)),IF($B596="STD. DEVIATION",2,$F$1))))</f>
        <v/>
      </c>
      <c r="AB596" s="1" t="str">
        <f>IF(OR($B596="",AB$7=""),"",IF($B596="MEANS",INDEX('1-DATA'!$1:$1048576,$A595-1,COLUMN('1-DATA'!AA594)),ROUND(INDEX('1-DATA'!$1:$1048576,IF(OR($B596="STD. DEVIATION",$C$1=1),$A596,$A596+1),COLUMN('1-DATA'!AA594)),IF($B596="STD. DEVIATION",2,$F$1))))</f>
        <v/>
      </c>
      <c r="AC596" s="1" t="str">
        <f>IF(OR($B596="",AC$7=""),"",IF($B596="MEANS",INDEX('1-DATA'!$1:$1048576,$A595-1,COLUMN('1-DATA'!AB594)),ROUND(INDEX('1-DATA'!$1:$1048576,IF(OR($B596="STD. DEVIATION",$C$1=1),$A596,$A596+1),COLUMN('1-DATA'!AB594)),IF($B596="STD. DEVIATION",2,$F$1))))</f>
        <v/>
      </c>
      <c r="AD596" s="1" t="str">
        <f>IF(OR($B596="",AD$7=""),"",IF($B596="MEANS",INDEX('1-DATA'!$1:$1048576,$A595-1,COLUMN('1-DATA'!AC594)),ROUND(INDEX('1-DATA'!$1:$1048576,IF(OR($B596="STD. DEVIATION",$C$1=1),$A596,$A596+1),COLUMN('1-DATA'!AC594)),IF($B596="STD. DEVIATION",2,$F$1))))</f>
        <v/>
      </c>
      <c r="AE596" s="1" t="str">
        <f>IF(OR($B596="",AE$7=""),"",IF($B596="MEANS",INDEX('1-DATA'!$1:$1048576,$A595-1,COLUMN('1-DATA'!AD594)),ROUND(INDEX('1-DATA'!$1:$1048576,IF(OR($B596="STD. DEVIATION",$C$1=1),$A596,$A596+1),COLUMN('1-DATA'!AD594)),IF($B596="STD. DEVIATION",2,$F$1))))</f>
        <v/>
      </c>
      <c r="AF596" s="1" t="str">
        <f>IF(OR($B596="",AF$7=""),"",IF($B596="MEANS",INDEX('1-DATA'!$1:$1048576,$A595-1,COLUMN('1-DATA'!AE594)),ROUND(INDEX('1-DATA'!$1:$1048576,IF(OR($B596="STD. DEVIATION",$C$1=1),$A596,$A596+1),COLUMN('1-DATA'!AE594)),IF($B596="STD. DEVIATION",2,$F$1))))</f>
        <v/>
      </c>
      <c r="AG596" s="1" t="str">
        <f>IF(OR($B596="",AG$7=""),"",IF($B596="MEANS",INDEX('1-DATA'!$1:$1048576,$A595-1,COLUMN('1-DATA'!AF594)),ROUND(INDEX('1-DATA'!$1:$1048576,IF(OR($B596="STD. DEVIATION",$C$1=1),$A596,$A596+1),COLUMN('1-DATA'!AF594)),IF($B596="STD. DEVIATION",2,$F$1))))</f>
        <v/>
      </c>
      <c r="AH596" s="1" t="str">
        <f>IF(OR($B596="",AH$7=""),"",IF($B596="MEANS",INDEX('1-DATA'!$1:$1048576,$A595-1,COLUMN('1-DATA'!AG594)),ROUND(INDEX('1-DATA'!$1:$1048576,IF(OR($B596="STD. DEVIATION",$C$1=1),$A596,$A596+1),COLUMN('1-DATA'!AG594)),IF($B596="STD. DEVIATION",2,$F$1))))</f>
        <v/>
      </c>
      <c r="AI596" s="1" t="str">
        <f>IF(OR($B596="",AI$7=""),"",IF($B596="MEANS",INDEX('1-DATA'!$1:$1048576,$A595-1,COLUMN('1-DATA'!AH594)),ROUND(INDEX('1-DATA'!$1:$1048576,IF(OR($B596="STD. DEVIATION",$C$1=1),$A596,$A596+1),COLUMN('1-DATA'!AH594)),IF($B596="STD. DEVIATION",2,$F$1))))</f>
        <v/>
      </c>
      <c r="AJ596" s="1" t="str">
        <f>IF(OR($B596="",AJ$7=""),"",IF($B596="MEANS",INDEX('1-DATA'!$1:$1048576,$A595-1,COLUMN('1-DATA'!AI594)),ROUND(INDEX('1-DATA'!$1:$1048576,IF(OR($B596="STD. DEVIATION",$C$1=1),$A596,$A596+1),COLUMN('1-DATA'!AI594)),IF($B596="STD. DEVIATION",2,$F$1))))</f>
        <v/>
      </c>
      <c r="AK596" s="1" t="str">
        <f>IF(OR($B596="",AK$7=""),"",IF($B596="MEANS",INDEX('1-DATA'!$1:$1048576,$A595-1,COLUMN('1-DATA'!AJ594)),ROUND(INDEX('1-DATA'!$1:$1048576,IF(OR($B596="STD. DEVIATION",$C$1=1),$A596,$A596+1),COLUMN('1-DATA'!AJ594)),IF($B596="STD. DEVIATION",2,$F$1))))</f>
        <v/>
      </c>
      <c r="AL596" s="1" t="str">
        <f>IF(OR($B596="",AL$7=""),"",IF($B596="MEANS",INDEX('1-DATA'!$1:$1048576,$A595-1,COLUMN('1-DATA'!AK594)),ROUND(INDEX('1-DATA'!$1:$1048576,IF(OR($B596="STD. DEVIATION",$C$1=1),$A596,$A596+1),COLUMN('1-DATA'!AK594)),IF($B596="STD. DEVIATION",2,$F$1))))</f>
        <v/>
      </c>
      <c r="AM596" s="1" t="str">
        <f>IF(OR($B596="",AM$7=""),"",IF($B596="MEANS",INDEX('1-DATA'!$1:$1048576,$A595-1,COLUMN('1-DATA'!AL594)),ROUND(INDEX('1-DATA'!$1:$1048576,IF(OR($B596="STD. DEVIATION",$C$1=1),$A596,$A596+1),COLUMN('1-DATA'!AL594)),IF($B596="STD. DEVIATION",2,$F$1))))</f>
        <v/>
      </c>
      <c r="AN596" s="1" t="str">
        <f>IF(OR($B596="",AN$7=""),"",IF($B596="MEANS",INDEX('1-DATA'!$1:$1048576,$A595-1,COLUMN('1-DATA'!AM594)),ROUND(INDEX('1-DATA'!$1:$1048576,IF(OR($B596="STD. DEVIATION",$C$1=1),$A596,$A596+1),COLUMN('1-DATA'!AM594)),IF($B596="STD. DEVIATION",2,$F$1))))</f>
        <v/>
      </c>
      <c r="AO596" s="1" t="str">
        <f>IF(OR($B596="",AO$7=""),"",IF($B596="MEANS",INDEX('1-DATA'!$1:$1048576,$A595-1,COLUMN('1-DATA'!AN594)),ROUND(INDEX('1-DATA'!$1:$1048576,IF(OR($B596="STD. DEVIATION",$C$1=1),$A596,$A596+1),COLUMN('1-DATA'!AN594)),IF($B596="STD. DEVIATION",2,$F$1))))</f>
        <v/>
      </c>
      <c r="AP596" s="1" t="str">
        <f>IF(OR($B596="",AP$7=""),"",IF($B596="MEANS",INDEX('1-DATA'!$1:$1048576,$A595-1,COLUMN('1-DATA'!AO594)),ROUND(INDEX('1-DATA'!$1:$1048576,IF(OR($B596="STD. DEVIATION",$C$1=1),$A596,$A596+1),COLUMN('1-DATA'!AO594)),IF($B596="STD. DEVIATION",2,$F$1))))</f>
        <v/>
      </c>
      <c r="AQ596" s="1" t="str">
        <f>IF(OR($B596="",AQ$7=""),"",IF($B596="MEANS",INDEX('1-DATA'!$1:$1048576,$A595-1,COLUMN('1-DATA'!AP594)),ROUND(INDEX('1-DATA'!$1:$1048576,IF(OR($B596="STD. DEVIATION",$C$1=1),$A596,$A596+1),COLUMN('1-DATA'!AP594)),IF($B596="STD. DEVIATION",2,$F$1))))</f>
        <v/>
      </c>
      <c r="AR596" s="1" t="str">
        <f>IF(OR($B596="",AR$7=""),"",IF($B596="MEANS",INDEX('1-DATA'!$1:$1048576,$A595-1,COLUMN('1-DATA'!AQ594)),ROUND(INDEX('1-DATA'!$1:$1048576,IF(OR($B596="STD. DEVIATION",$C$1=1),$A596,$A596+1),COLUMN('1-DATA'!AQ594)),IF($B596="STD. DEVIATION",2,$F$1))))</f>
        <v/>
      </c>
      <c r="AS596" s="1" t="str">
        <f>IF(OR($B596="",AS$7=""),"",IF($B596="MEANS",INDEX('1-DATA'!$1:$1048576,$A595-1,COLUMN('1-DATA'!AR594)),ROUND(INDEX('1-DATA'!$1:$1048576,IF(OR($B596="STD. DEVIATION",$C$1=1),$A596,$A596+1),COLUMN('1-DATA'!AR594)),IF($B596="STD. DEVIATION",2,$F$1))))</f>
        <v/>
      </c>
      <c r="AT596" s="1" t="str">
        <f>IF(OR($B596="",AT$7=""),"",IF($B596="MEANS",INDEX('1-DATA'!$1:$1048576,$A595-1,COLUMN('1-DATA'!AS594)),ROUND(INDEX('1-DATA'!$1:$1048576,IF(OR($B596="STD. DEVIATION",$C$1=1),$A596,$A596+1),COLUMN('1-DATA'!AS594)),IF($B596="STD. DEVIATION",2,$F$1))))</f>
        <v/>
      </c>
      <c r="AU596" s="1" t="str">
        <f>IF(OR($B596="",AU$7=""),"",IF($B596="MEANS",INDEX('1-DATA'!$1:$1048576,$A595-1,COLUMN('1-DATA'!AT594)),ROUND(INDEX('1-DATA'!$1:$1048576,IF(OR($B596="STD. DEVIATION",$C$1=1),$A596,$A596+1),COLUMN('1-DATA'!AT594)),IF($B596="STD. DEVIATION",2,$F$1))))</f>
        <v/>
      </c>
      <c r="AV596" s="1" t="str">
        <f>IF(OR($B596="",AV$7=""),"",IF($B596="MEANS",INDEX('1-DATA'!$1:$1048576,$A595-1,COLUMN('1-DATA'!AU594)),ROUND(INDEX('1-DATA'!$1:$1048576,IF(OR($B596="STD. DEVIATION",$C$1=1),$A596,$A596+1),COLUMN('1-DATA'!AU594)),IF($B596="STD. DEVIATION",2,$F$1))))</f>
        <v/>
      </c>
      <c r="AW596" s="1" t="str">
        <f>IF(OR($B596="",AW$7=""),"",IF($B596="MEANS",INDEX('1-DATA'!$1:$1048576,$A595-1,COLUMN('1-DATA'!AV594)),ROUND(INDEX('1-DATA'!$1:$1048576,IF(OR($B596="STD. DEVIATION",$C$1=1),$A596,$A596+1),COLUMN('1-DATA'!AV594)),IF($B596="STD. DEVIATION",2,$F$1))))</f>
        <v/>
      </c>
      <c r="AX596" s="1" t="str">
        <f>IF(OR($B596="",AX$7=""),"",IF($B596="MEANS",INDEX('1-DATA'!$1:$1048576,$A595-1,COLUMN('1-DATA'!AW594)),ROUND(INDEX('1-DATA'!$1:$1048576,IF(OR($B596="STD. DEVIATION",$C$1=1),$A596,$A596+1),COLUMN('1-DATA'!AW594)),IF($B596="STD. DEVIATION",2,$F$1))))</f>
        <v/>
      </c>
      <c r="AY596" s="1" t="str">
        <f>IF(OR($B596="",AY$7=""),"",IF($B596="MEANS",INDEX('1-DATA'!$1:$1048576,$A595-1,COLUMN('1-DATA'!AX594)),ROUND(INDEX('1-DATA'!$1:$1048576,IF(OR($B596="STD. DEVIATION",$C$1=1),$A596,$A596+1),COLUMN('1-DATA'!AX594)),IF($B596="STD. DEVIATION",2,$F$1))))</f>
        <v/>
      </c>
      <c r="AZ596" s="1" t="str">
        <f>IF(OR($B596="",AZ$7=""),"",IF($B596="MEANS",INDEX('1-DATA'!$1:$1048576,$A595-1,COLUMN('1-DATA'!AY594)),ROUND(INDEX('1-DATA'!$1:$1048576,IF(OR($B596="STD. DEVIATION",$C$1=1),$A596,$A596+1),COLUMN('1-DATA'!AY594)),IF($B596="STD. DEVIATION",2,$F$1))))</f>
        <v/>
      </c>
    </row>
    <row r="597" spans="1:52" x14ac:dyDescent="0.25">
      <c r="A597" s="11">
        <f t="shared" si="9"/>
        <v>1777</v>
      </c>
      <c r="B597" s="1" t="str">
        <f>IF(B596="STD. DEVIATION",INDEX('1-DATA'!$1:$1048576,$A596-1,1),IF(INDEX('1-DATA'!$1:$1048576,$A597,1)&lt;&gt;"",INDEX('1-DATA'!$1:$1048576,$A597,1),""))</f>
        <v/>
      </c>
      <c r="C597" s="1" t="str">
        <f>IF(OR($B597="",C$7=""),"",IF($B597="MEANS",INDEX('1-DATA'!$1:$1048576,$A596-1,COLUMN('1-DATA'!B595)),ROUND(INDEX('1-DATA'!$1:$1048576,IF(OR($B597="STD. DEVIATION",$C$1=1),$A597,$A597+1),COLUMN('1-DATA'!B595)),IF($B597="STD. DEVIATION",2,$F$1))))</f>
        <v/>
      </c>
      <c r="D597" s="1" t="str">
        <f>IF(OR($B597="",D$7=""),"",IF($B597="MEANS",INDEX('1-DATA'!$1:$1048576,$A596-1,COLUMN('1-DATA'!C595)),ROUND(INDEX('1-DATA'!$1:$1048576,IF(OR($B597="STD. DEVIATION",$C$1=1),$A597,$A597+1),COLUMN('1-DATA'!C595)),IF($B597="STD. DEVIATION",2,$F$1))))</f>
        <v/>
      </c>
      <c r="E597" s="1" t="str">
        <f>IF(OR($B597="",E$7=""),"",IF($B597="MEANS",INDEX('1-DATA'!$1:$1048576,$A596-1,COLUMN('1-DATA'!D595)),ROUND(INDEX('1-DATA'!$1:$1048576,IF(OR($B597="STD. DEVIATION",$C$1=1),$A597,$A597+1),COLUMN('1-DATA'!D595)),IF($B597="STD. DEVIATION",2,$F$1))))</f>
        <v/>
      </c>
      <c r="F597" s="1" t="str">
        <f>IF(OR($B597="",F$7=""),"",IF($B597="MEANS",INDEX('1-DATA'!$1:$1048576,$A596-1,COLUMN('1-DATA'!E595)),ROUND(INDEX('1-DATA'!$1:$1048576,IF(OR($B597="STD. DEVIATION",$C$1=1),$A597,$A597+1),COLUMN('1-DATA'!E595)),IF($B597="STD. DEVIATION",2,$F$1))))</f>
        <v/>
      </c>
      <c r="G597" s="1" t="str">
        <f>IF(OR($B597="",G$7=""),"",IF($B597="MEANS",INDEX('1-DATA'!$1:$1048576,$A596-1,COLUMN('1-DATA'!F595)),ROUND(INDEX('1-DATA'!$1:$1048576,IF(OR($B597="STD. DEVIATION",$C$1=1),$A597,$A597+1),COLUMN('1-DATA'!F595)),IF($B597="STD. DEVIATION",2,$F$1))))</f>
        <v/>
      </c>
      <c r="H597" s="1" t="str">
        <f>IF(OR($B597="",H$7=""),"",IF($B597="MEANS",INDEX('1-DATA'!$1:$1048576,$A596-1,COLUMN('1-DATA'!G595)),ROUND(INDEX('1-DATA'!$1:$1048576,IF(OR($B597="STD. DEVIATION",$C$1=1),$A597,$A597+1),COLUMN('1-DATA'!G595)),IF($B597="STD. DEVIATION",2,$F$1))))</f>
        <v/>
      </c>
      <c r="I597" s="1" t="str">
        <f>IF(OR($B597="",I$7=""),"",IF($B597="MEANS",INDEX('1-DATA'!$1:$1048576,$A596-1,COLUMN('1-DATA'!H595)),ROUND(INDEX('1-DATA'!$1:$1048576,IF(OR($B597="STD. DEVIATION",$C$1=1),$A597,$A597+1),COLUMN('1-DATA'!H595)),IF($B597="STD. DEVIATION",2,$F$1))))</f>
        <v/>
      </c>
      <c r="J597" s="1" t="str">
        <f>IF(OR($B597="",J$7=""),"",IF($B597="MEANS",INDEX('1-DATA'!$1:$1048576,$A596-1,COLUMN('1-DATA'!I595)),ROUND(INDEX('1-DATA'!$1:$1048576,IF(OR($B597="STD. DEVIATION",$C$1=1),$A597,$A597+1),COLUMN('1-DATA'!I595)),IF($B597="STD. DEVIATION",2,$F$1))))</f>
        <v/>
      </c>
      <c r="K597" s="1" t="str">
        <f>IF(OR($B597="",K$7=""),"",IF($B597="MEANS",INDEX('1-DATA'!$1:$1048576,$A596-1,COLUMN('1-DATA'!J595)),ROUND(INDEX('1-DATA'!$1:$1048576,IF(OR($B597="STD. DEVIATION",$C$1=1),$A597,$A597+1),COLUMN('1-DATA'!J595)),IF($B597="STD. DEVIATION",2,$F$1))))</f>
        <v/>
      </c>
      <c r="L597" s="1" t="str">
        <f>IF(OR($B597="",L$7=""),"",IF($B597="MEANS",INDEX('1-DATA'!$1:$1048576,$A596-1,COLUMN('1-DATA'!K595)),ROUND(INDEX('1-DATA'!$1:$1048576,IF(OR($B597="STD. DEVIATION",$C$1=1),$A597,$A597+1),COLUMN('1-DATA'!K595)),IF($B597="STD. DEVIATION",2,$F$1))))</f>
        <v/>
      </c>
      <c r="M597" s="1" t="str">
        <f>IF(OR($B597="",M$7=""),"",IF($B597="MEANS",INDEX('1-DATA'!$1:$1048576,$A596-1,COLUMN('1-DATA'!L595)),ROUND(INDEX('1-DATA'!$1:$1048576,IF(OR($B597="STD. DEVIATION",$C$1=1),$A597,$A597+1),COLUMN('1-DATA'!L595)),IF($B597="STD. DEVIATION",2,$F$1))))</f>
        <v/>
      </c>
      <c r="N597" s="1" t="str">
        <f>IF(OR($B597="",N$7=""),"",IF($B597="MEANS",INDEX('1-DATA'!$1:$1048576,$A596-1,COLUMN('1-DATA'!M595)),ROUND(INDEX('1-DATA'!$1:$1048576,IF(OR($B597="STD. DEVIATION",$C$1=1),$A597,$A597+1),COLUMN('1-DATA'!M595)),IF($B597="STD. DEVIATION",2,$F$1))))</f>
        <v/>
      </c>
      <c r="O597" s="1" t="str">
        <f>IF(OR($B597="",O$7=""),"",IF($B597="MEANS",INDEX('1-DATA'!$1:$1048576,$A596-1,COLUMN('1-DATA'!N595)),ROUND(INDEX('1-DATA'!$1:$1048576,IF(OR($B597="STD. DEVIATION",$C$1=1),$A597,$A597+1),COLUMN('1-DATA'!N595)),IF($B597="STD. DEVIATION",2,$F$1))))</f>
        <v/>
      </c>
      <c r="P597" s="1" t="str">
        <f>IF(OR($B597="",P$7=""),"",IF($B597="MEANS",INDEX('1-DATA'!$1:$1048576,$A596-1,COLUMN('1-DATA'!O595)),ROUND(INDEX('1-DATA'!$1:$1048576,IF(OR($B597="STD. DEVIATION",$C$1=1),$A597,$A597+1),COLUMN('1-DATA'!O595)),IF($B597="STD. DEVIATION",2,$F$1))))</f>
        <v/>
      </c>
      <c r="Q597" s="1" t="str">
        <f>IF(OR($B597="",Q$7=""),"",IF($B597="MEANS",INDEX('1-DATA'!$1:$1048576,$A596-1,COLUMN('1-DATA'!P595)),ROUND(INDEX('1-DATA'!$1:$1048576,IF(OR($B597="STD. DEVIATION",$C$1=1),$A597,$A597+1),COLUMN('1-DATA'!P595)),IF($B597="STD. DEVIATION",2,$F$1))))</f>
        <v/>
      </c>
      <c r="R597" s="1" t="str">
        <f>IF(OR($B597="",R$7=""),"",IF($B597="MEANS",INDEX('1-DATA'!$1:$1048576,$A596-1,COLUMN('1-DATA'!Q595)),ROUND(INDEX('1-DATA'!$1:$1048576,IF(OR($B597="STD. DEVIATION",$C$1=1),$A597,$A597+1),COLUMN('1-DATA'!Q595)),IF($B597="STD. DEVIATION",2,$F$1))))</f>
        <v/>
      </c>
      <c r="S597" s="1" t="str">
        <f>IF(OR($B597="",S$7=""),"",IF($B597="MEANS",INDEX('1-DATA'!$1:$1048576,$A596-1,COLUMN('1-DATA'!R595)),ROUND(INDEX('1-DATA'!$1:$1048576,IF(OR($B597="STD. DEVIATION",$C$1=1),$A597,$A597+1),COLUMN('1-DATA'!R595)),IF($B597="STD. DEVIATION",2,$F$1))))</f>
        <v/>
      </c>
      <c r="T597" s="1" t="str">
        <f>IF(OR($B597="",T$7=""),"",IF($B597="MEANS",INDEX('1-DATA'!$1:$1048576,$A596-1,COLUMN('1-DATA'!S595)),ROUND(INDEX('1-DATA'!$1:$1048576,IF(OR($B597="STD. DEVIATION",$C$1=1),$A597,$A597+1),COLUMN('1-DATA'!S595)),IF($B597="STD. DEVIATION",2,$F$1))))</f>
        <v/>
      </c>
      <c r="U597" s="1" t="str">
        <f>IF(OR($B597="",U$7=""),"",IF($B597="MEANS",INDEX('1-DATA'!$1:$1048576,$A596-1,COLUMN('1-DATA'!T595)),ROUND(INDEX('1-DATA'!$1:$1048576,IF(OR($B597="STD. DEVIATION",$C$1=1),$A597,$A597+1),COLUMN('1-DATA'!T595)),IF($B597="STD. DEVIATION",2,$F$1))))</f>
        <v/>
      </c>
      <c r="V597" s="1" t="str">
        <f>IF(OR($B597="",V$7=""),"",IF($B597="MEANS",INDEX('1-DATA'!$1:$1048576,$A596-1,COLUMN('1-DATA'!U595)),ROUND(INDEX('1-DATA'!$1:$1048576,IF(OR($B597="STD. DEVIATION",$C$1=1),$A597,$A597+1),COLUMN('1-DATA'!U595)),IF($B597="STD. DEVIATION",2,$F$1))))</f>
        <v/>
      </c>
      <c r="W597" s="1" t="str">
        <f>IF(OR($B597="",W$7=""),"",IF($B597="MEANS",INDEX('1-DATA'!$1:$1048576,$A596-1,COLUMN('1-DATA'!V595)),ROUND(INDEX('1-DATA'!$1:$1048576,IF(OR($B597="STD. DEVIATION",$C$1=1),$A597,$A597+1),COLUMN('1-DATA'!V595)),IF($B597="STD. DEVIATION",2,$F$1))))</f>
        <v/>
      </c>
      <c r="X597" s="1" t="str">
        <f>IF(OR($B597="",X$7=""),"",IF($B597="MEANS",INDEX('1-DATA'!$1:$1048576,$A596-1,COLUMN('1-DATA'!W595)),ROUND(INDEX('1-DATA'!$1:$1048576,IF(OR($B597="STD. DEVIATION",$C$1=1),$A597,$A597+1),COLUMN('1-DATA'!W595)),IF($B597="STD. DEVIATION",2,$F$1))))</f>
        <v/>
      </c>
      <c r="Y597" s="1" t="str">
        <f>IF(OR($B597="",Y$7=""),"",IF($B597="MEANS",INDEX('1-DATA'!$1:$1048576,$A596-1,COLUMN('1-DATA'!X595)),ROUND(INDEX('1-DATA'!$1:$1048576,IF(OR($B597="STD. DEVIATION",$C$1=1),$A597,$A597+1),COLUMN('1-DATA'!X595)),IF($B597="STD. DEVIATION",2,$F$1))))</f>
        <v/>
      </c>
      <c r="Z597" s="1" t="str">
        <f>IF(OR($B597="",Z$7=""),"",IF($B597="MEANS",INDEX('1-DATA'!$1:$1048576,$A596-1,COLUMN('1-DATA'!Y595)),ROUND(INDEX('1-DATA'!$1:$1048576,IF(OR($B597="STD. DEVIATION",$C$1=1),$A597,$A597+1),COLUMN('1-DATA'!Y595)),IF($B597="STD. DEVIATION",2,$F$1))))</f>
        <v/>
      </c>
      <c r="AA597" s="1" t="str">
        <f>IF(OR($B597="",AA$7=""),"",IF($B597="MEANS",INDEX('1-DATA'!$1:$1048576,$A596-1,COLUMN('1-DATA'!Z595)),ROUND(INDEX('1-DATA'!$1:$1048576,IF(OR($B597="STD. DEVIATION",$C$1=1),$A597,$A597+1),COLUMN('1-DATA'!Z595)),IF($B597="STD. DEVIATION",2,$F$1))))</f>
        <v/>
      </c>
      <c r="AB597" s="1" t="str">
        <f>IF(OR($B597="",AB$7=""),"",IF($B597="MEANS",INDEX('1-DATA'!$1:$1048576,$A596-1,COLUMN('1-DATA'!AA595)),ROUND(INDEX('1-DATA'!$1:$1048576,IF(OR($B597="STD. DEVIATION",$C$1=1),$A597,$A597+1),COLUMN('1-DATA'!AA595)),IF($B597="STD. DEVIATION",2,$F$1))))</f>
        <v/>
      </c>
      <c r="AC597" s="1" t="str">
        <f>IF(OR($B597="",AC$7=""),"",IF($B597="MEANS",INDEX('1-DATA'!$1:$1048576,$A596-1,COLUMN('1-DATA'!AB595)),ROUND(INDEX('1-DATA'!$1:$1048576,IF(OR($B597="STD. DEVIATION",$C$1=1),$A597,$A597+1),COLUMN('1-DATA'!AB595)),IF($B597="STD. DEVIATION",2,$F$1))))</f>
        <v/>
      </c>
      <c r="AD597" s="1" t="str">
        <f>IF(OR($B597="",AD$7=""),"",IF($B597="MEANS",INDEX('1-DATA'!$1:$1048576,$A596-1,COLUMN('1-DATA'!AC595)),ROUND(INDEX('1-DATA'!$1:$1048576,IF(OR($B597="STD. DEVIATION",$C$1=1),$A597,$A597+1),COLUMN('1-DATA'!AC595)),IF($B597="STD. DEVIATION",2,$F$1))))</f>
        <v/>
      </c>
      <c r="AE597" s="1" t="str">
        <f>IF(OR($B597="",AE$7=""),"",IF($B597="MEANS",INDEX('1-DATA'!$1:$1048576,$A596-1,COLUMN('1-DATA'!AD595)),ROUND(INDEX('1-DATA'!$1:$1048576,IF(OR($B597="STD. DEVIATION",$C$1=1),$A597,$A597+1),COLUMN('1-DATA'!AD595)),IF($B597="STD. DEVIATION",2,$F$1))))</f>
        <v/>
      </c>
      <c r="AF597" s="1" t="str">
        <f>IF(OR($B597="",AF$7=""),"",IF($B597="MEANS",INDEX('1-DATA'!$1:$1048576,$A596-1,COLUMN('1-DATA'!AE595)),ROUND(INDEX('1-DATA'!$1:$1048576,IF(OR($B597="STD. DEVIATION",$C$1=1),$A597,$A597+1),COLUMN('1-DATA'!AE595)),IF($B597="STD. DEVIATION",2,$F$1))))</f>
        <v/>
      </c>
      <c r="AG597" s="1" t="str">
        <f>IF(OR($B597="",AG$7=""),"",IF($B597="MEANS",INDEX('1-DATA'!$1:$1048576,$A596-1,COLUMN('1-DATA'!AF595)),ROUND(INDEX('1-DATA'!$1:$1048576,IF(OR($B597="STD. DEVIATION",$C$1=1),$A597,$A597+1),COLUMN('1-DATA'!AF595)),IF($B597="STD. DEVIATION",2,$F$1))))</f>
        <v/>
      </c>
      <c r="AH597" s="1" t="str">
        <f>IF(OR($B597="",AH$7=""),"",IF($B597="MEANS",INDEX('1-DATA'!$1:$1048576,$A596-1,COLUMN('1-DATA'!AG595)),ROUND(INDEX('1-DATA'!$1:$1048576,IF(OR($B597="STD. DEVIATION",$C$1=1),$A597,$A597+1),COLUMN('1-DATA'!AG595)),IF($B597="STD. DEVIATION",2,$F$1))))</f>
        <v/>
      </c>
      <c r="AI597" s="1" t="str">
        <f>IF(OR($B597="",AI$7=""),"",IF($B597="MEANS",INDEX('1-DATA'!$1:$1048576,$A596-1,COLUMN('1-DATA'!AH595)),ROUND(INDEX('1-DATA'!$1:$1048576,IF(OR($B597="STD. DEVIATION",$C$1=1),$A597,$A597+1),COLUMN('1-DATA'!AH595)),IF($B597="STD. DEVIATION",2,$F$1))))</f>
        <v/>
      </c>
      <c r="AJ597" s="1" t="str">
        <f>IF(OR($B597="",AJ$7=""),"",IF($B597="MEANS",INDEX('1-DATA'!$1:$1048576,$A596-1,COLUMN('1-DATA'!AI595)),ROUND(INDEX('1-DATA'!$1:$1048576,IF(OR($B597="STD. DEVIATION",$C$1=1),$A597,$A597+1),COLUMN('1-DATA'!AI595)),IF($B597="STD. DEVIATION",2,$F$1))))</f>
        <v/>
      </c>
      <c r="AK597" s="1" t="str">
        <f>IF(OR($B597="",AK$7=""),"",IF($B597="MEANS",INDEX('1-DATA'!$1:$1048576,$A596-1,COLUMN('1-DATA'!AJ595)),ROUND(INDEX('1-DATA'!$1:$1048576,IF(OR($B597="STD. DEVIATION",$C$1=1),$A597,$A597+1),COLUMN('1-DATA'!AJ595)),IF($B597="STD. DEVIATION",2,$F$1))))</f>
        <v/>
      </c>
      <c r="AL597" s="1" t="str">
        <f>IF(OR($B597="",AL$7=""),"",IF($B597="MEANS",INDEX('1-DATA'!$1:$1048576,$A596-1,COLUMN('1-DATA'!AK595)),ROUND(INDEX('1-DATA'!$1:$1048576,IF(OR($B597="STD. DEVIATION",$C$1=1),$A597,$A597+1),COLUMN('1-DATA'!AK595)),IF($B597="STD. DEVIATION",2,$F$1))))</f>
        <v/>
      </c>
      <c r="AM597" s="1" t="str">
        <f>IF(OR($B597="",AM$7=""),"",IF($B597="MEANS",INDEX('1-DATA'!$1:$1048576,$A596-1,COLUMN('1-DATA'!AL595)),ROUND(INDEX('1-DATA'!$1:$1048576,IF(OR($B597="STD. DEVIATION",$C$1=1),$A597,$A597+1),COLUMN('1-DATA'!AL595)),IF($B597="STD. DEVIATION",2,$F$1))))</f>
        <v/>
      </c>
      <c r="AN597" s="1" t="str">
        <f>IF(OR($B597="",AN$7=""),"",IF($B597="MEANS",INDEX('1-DATA'!$1:$1048576,$A596-1,COLUMN('1-DATA'!AM595)),ROUND(INDEX('1-DATA'!$1:$1048576,IF(OR($B597="STD. DEVIATION",$C$1=1),$A597,$A597+1),COLUMN('1-DATA'!AM595)),IF($B597="STD. DEVIATION",2,$F$1))))</f>
        <v/>
      </c>
      <c r="AO597" s="1" t="str">
        <f>IF(OR($B597="",AO$7=""),"",IF($B597="MEANS",INDEX('1-DATA'!$1:$1048576,$A596-1,COLUMN('1-DATA'!AN595)),ROUND(INDEX('1-DATA'!$1:$1048576,IF(OR($B597="STD. DEVIATION",$C$1=1),$A597,$A597+1),COLUMN('1-DATA'!AN595)),IF($B597="STD. DEVIATION",2,$F$1))))</f>
        <v/>
      </c>
      <c r="AP597" s="1" t="str">
        <f>IF(OR($B597="",AP$7=""),"",IF($B597="MEANS",INDEX('1-DATA'!$1:$1048576,$A596-1,COLUMN('1-DATA'!AO595)),ROUND(INDEX('1-DATA'!$1:$1048576,IF(OR($B597="STD. DEVIATION",$C$1=1),$A597,$A597+1),COLUMN('1-DATA'!AO595)),IF($B597="STD. DEVIATION",2,$F$1))))</f>
        <v/>
      </c>
      <c r="AQ597" s="1" t="str">
        <f>IF(OR($B597="",AQ$7=""),"",IF($B597="MEANS",INDEX('1-DATA'!$1:$1048576,$A596-1,COLUMN('1-DATA'!AP595)),ROUND(INDEX('1-DATA'!$1:$1048576,IF(OR($B597="STD. DEVIATION",$C$1=1),$A597,$A597+1),COLUMN('1-DATA'!AP595)),IF($B597="STD. DEVIATION",2,$F$1))))</f>
        <v/>
      </c>
      <c r="AR597" s="1" t="str">
        <f>IF(OR($B597="",AR$7=""),"",IF($B597="MEANS",INDEX('1-DATA'!$1:$1048576,$A596-1,COLUMN('1-DATA'!AQ595)),ROUND(INDEX('1-DATA'!$1:$1048576,IF(OR($B597="STD. DEVIATION",$C$1=1),$A597,$A597+1),COLUMN('1-DATA'!AQ595)),IF($B597="STD. DEVIATION",2,$F$1))))</f>
        <v/>
      </c>
      <c r="AS597" s="1" t="str">
        <f>IF(OR($B597="",AS$7=""),"",IF($B597="MEANS",INDEX('1-DATA'!$1:$1048576,$A596-1,COLUMN('1-DATA'!AR595)),ROUND(INDEX('1-DATA'!$1:$1048576,IF(OR($B597="STD. DEVIATION",$C$1=1),$A597,$A597+1),COLUMN('1-DATA'!AR595)),IF($B597="STD. DEVIATION",2,$F$1))))</f>
        <v/>
      </c>
      <c r="AT597" s="1" t="str">
        <f>IF(OR($B597="",AT$7=""),"",IF($B597="MEANS",INDEX('1-DATA'!$1:$1048576,$A596-1,COLUMN('1-DATA'!AS595)),ROUND(INDEX('1-DATA'!$1:$1048576,IF(OR($B597="STD. DEVIATION",$C$1=1),$A597,$A597+1),COLUMN('1-DATA'!AS595)),IF($B597="STD. DEVIATION",2,$F$1))))</f>
        <v/>
      </c>
      <c r="AU597" s="1" t="str">
        <f>IF(OR($B597="",AU$7=""),"",IF($B597="MEANS",INDEX('1-DATA'!$1:$1048576,$A596-1,COLUMN('1-DATA'!AT595)),ROUND(INDEX('1-DATA'!$1:$1048576,IF(OR($B597="STD. DEVIATION",$C$1=1),$A597,$A597+1),COLUMN('1-DATA'!AT595)),IF($B597="STD. DEVIATION",2,$F$1))))</f>
        <v/>
      </c>
      <c r="AV597" s="1" t="str">
        <f>IF(OR($B597="",AV$7=""),"",IF($B597="MEANS",INDEX('1-DATA'!$1:$1048576,$A596-1,COLUMN('1-DATA'!AU595)),ROUND(INDEX('1-DATA'!$1:$1048576,IF(OR($B597="STD. DEVIATION",$C$1=1),$A597,$A597+1),COLUMN('1-DATA'!AU595)),IF($B597="STD. DEVIATION",2,$F$1))))</f>
        <v/>
      </c>
      <c r="AW597" s="1" t="str">
        <f>IF(OR($B597="",AW$7=""),"",IF($B597="MEANS",INDEX('1-DATA'!$1:$1048576,$A596-1,COLUMN('1-DATA'!AV595)),ROUND(INDEX('1-DATA'!$1:$1048576,IF(OR($B597="STD. DEVIATION",$C$1=1),$A597,$A597+1),COLUMN('1-DATA'!AV595)),IF($B597="STD. DEVIATION",2,$F$1))))</f>
        <v/>
      </c>
      <c r="AX597" s="1" t="str">
        <f>IF(OR($B597="",AX$7=""),"",IF($B597="MEANS",INDEX('1-DATA'!$1:$1048576,$A596-1,COLUMN('1-DATA'!AW595)),ROUND(INDEX('1-DATA'!$1:$1048576,IF(OR($B597="STD. DEVIATION",$C$1=1),$A597,$A597+1),COLUMN('1-DATA'!AW595)),IF($B597="STD. DEVIATION",2,$F$1))))</f>
        <v/>
      </c>
      <c r="AY597" s="1" t="str">
        <f>IF(OR($B597="",AY$7=""),"",IF($B597="MEANS",INDEX('1-DATA'!$1:$1048576,$A596-1,COLUMN('1-DATA'!AX595)),ROUND(INDEX('1-DATA'!$1:$1048576,IF(OR($B597="STD. DEVIATION",$C$1=1),$A597,$A597+1),COLUMN('1-DATA'!AX595)),IF($B597="STD. DEVIATION",2,$F$1))))</f>
        <v/>
      </c>
      <c r="AZ597" s="1" t="str">
        <f>IF(OR($B597="",AZ$7=""),"",IF($B597="MEANS",INDEX('1-DATA'!$1:$1048576,$A596-1,COLUMN('1-DATA'!AY595)),ROUND(INDEX('1-DATA'!$1:$1048576,IF(OR($B597="STD. DEVIATION",$C$1=1),$A597,$A597+1),COLUMN('1-DATA'!AY595)),IF($B597="STD. DEVIATION",2,$F$1))))</f>
        <v/>
      </c>
    </row>
    <row r="598" spans="1:52" x14ac:dyDescent="0.25">
      <c r="A598" s="11">
        <f t="shared" si="9"/>
        <v>1780</v>
      </c>
      <c r="B598" s="1" t="str">
        <f>IF(B597="STD. DEVIATION",INDEX('1-DATA'!$1:$1048576,$A597-1,1),IF(INDEX('1-DATA'!$1:$1048576,$A598,1)&lt;&gt;"",INDEX('1-DATA'!$1:$1048576,$A598,1),""))</f>
        <v/>
      </c>
      <c r="C598" s="1" t="str">
        <f>IF(OR($B598="",C$7=""),"",IF($B598="MEANS",INDEX('1-DATA'!$1:$1048576,$A597-1,COLUMN('1-DATA'!B596)),ROUND(INDEX('1-DATA'!$1:$1048576,IF(OR($B598="STD. DEVIATION",$C$1=1),$A598,$A598+1),COLUMN('1-DATA'!B596)),IF($B598="STD. DEVIATION",2,$F$1))))</f>
        <v/>
      </c>
      <c r="D598" s="1" t="str">
        <f>IF(OR($B598="",D$7=""),"",IF($B598="MEANS",INDEX('1-DATA'!$1:$1048576,$A597-1,COLUMN('1-DATA'!C596)),ROUND(INDEX('1-DATA'!$1:$1048576,IF(OR($B598="STD. DEVIATION",$C$1=1),$A598,$A598+1),COLUMN('1-DATA'!C596)),IF($B598="STD. DEVIATION",2,$F$1))))</f>
        <v/>
      </c>
      <c r="E598" s="1" t="str">
        <f>IF(OR($B598="",E$7=""),"",IF($B598="MEANS",INDEX('1-DATA'!$1:$1048576,$A597-1,COLUMN('1-DATA'!D596)),ROUND(INDEX('1-DATA'!$1:$1048576,IF(OR($B598="STD. DEVIATION",$C$1=1),$A598,$A598+1),COLUMN('1-DATA'!D596)),IF($B598="STD. DEVIATION",2,$F$1))))</f>
        <v/>
      </c>
      <c r="F598" s="1" t="str">
        <f>IF(OR($B598="",F$7=""),"",IF($B598="MEANS",INDEX('1-DATA'!$1:$1048576,$A597-1,COLUMN('1-DATA'!E596)),ROUND(INDEX('1-DATA'!$1:$1048576,IF(OR($B598="STD. DEVIATION",$C$1=1),$A598,$A598+1),COLUMN('1-DATA'!E596)),IF($B598="STD. DEVIATION",2,$F$1))))</f>
        <v/>
      </c>
      <c r="G598" s="1" t="str">
        <f>IF(OR($B598="",G$7=""),"",IF($B598="MEANS",INDEX('1-DATA'!$1:$1048576,$A597-1,COLUMN('1-DATA'!F596)),ROUND(INDEX('1-DATA'!$1:$1048576,IF(OR($B598="STD. DEVIATION",$C$1=1),$A598,$A598+1),COLUMN('1-DATA'!F596)),IF($B598="STD. DEVIATION",2,$F$1))))</f>
        <v/>
      </c>
      <c r="H598" s="1" t="str">
        <f>IF(OR($B598="",H$7=""),"",IF($B598="MEANS",INDEX('1-DATA'!$1:$1048576,$A597-1,COLUMN('1-DATA'!G596)),ROUND(INDEX('1-DATA'!$1:$1048576,IF(OR($B598="STD. DEVIATION",$C$1=1),$A598,$A598+1),COLUMN('1-DATA'!G596)),IF($B598="STD. DEVIATION",2,$F$1))))</f>
        <v/>
      </c>
      <c r="I598" s="1" t="str">
        <f>IF(OR($B598="",I$7=""),"",IF($B598="MEANS",INDEX('1-DATA'!$1:$1048576,$A597-1,COLUMN('1-DATA'!H596)),ROUND(INDEX('1-DATA'!$1:$1048576,IF(OR($B598="STD. DEVIATION",$C$1=1),$A598,$A598+1),COLUMN('1-DATA'!H596)),IF($B598="STD. DEVIATION",2,$F$1))))</f>
        <v/>
      </c>
      <c r="J598" s="1" t="str">
        <f>IF(OR($B598="",J$7=""),"",IF($B598="MEANS",INDEX('1-DATA'!$1:$1048576,$A597-1,COLUMN('1-DATA'!I596)),ROUND(INDEX('1-DATA'!$1:$1048576,IF(OR($B598="STD. DEVIATION",$C$1=1),$A598,$A598+1),COLUMN('1-DATA'!I596)),IF($B598="STD. DEVIATION",2,$F$1))))</f>
        <v/>
      </c>
      <c r="K598" s="1" t="str">
        <f>IF(OR($B598="",K$7=""),"",IF($B598="MEANS",INDEX('1-DATA'!$1:$1048576,$A597-1,COLUMN('1-DATA'!J596)),ROUND(INDEX('1-DATA'!$1:$1048576,IF(OR($B598="STD. DEVIATION",$C$1=1),$A598,$A598+1),COLUMN('1-DATA'!J596)),IF($B598="STD. DEVIATION",2,$F$1))))</f>
        <v/>
      </c>
      <c r="L598" s="1" t="str">
        <f>IF(OR($B598="",L$7=""),"",IF($B598="MEANS",INDEX('1-DATA'!$1:$1048576,$A597-1,COLUMN('1-DATA'!K596)),ROUND(INDEX('1-DATA'!$1:$1048576,IF(OR($B598="STD. DEVIATION",$C$1=1),$A598,$A598+1),COLUMN('1-DATA'!K596)),IF($B598="STD. DEVIATION",2,$F$1))))</f>
        <v/>
      </c>
      <c r="M598" s="1" t="str">
        <f>IF(OR($B598="",M$7=""),"",IF($B598="MEANS",INDEX('1-DATA'!$1:$1048576,$A597-1,COLUMN('1-DATA'!L596)),ROUND(INDEX('1-DATA'!$1:$1048576,IF(OR($B598="STD. DEVIATION",$C$1=1),$A598,$A598+1),COLUMN('1-DATA'!L596)),IF($B598="STD. DEVIATION",2,$F$1))))</f>
        <v/>
      </c>
      <c r="N598" s="1" t="str">
        <f>IF(OR($B598="",N$7=""),"",IF($B598="MEANS",INDEX('1-DATA'!$1:$1048576,$A597-1,COLUMN('1-DATA'!M596)),ROUND(INDEX('1-DATA'!$1:$1048576,IF(OR($B598="STD. DEVIATION",$C$1=1),$A598,$A598+1),COLUMN('1-DATA'!M596)),IF($B598="STD. DEVIATION",2,$F$1))))</f>
        <v/>
      </c>
      <c r="O598" s="1" t="str">
        <f>IF(OR($B598="",O$7=""),"",IF($B598="MEANS",INDEX('1-DATA'!$1:$1048576,$A597-1,COLUMN('1-DATA'!N596)),ROUND(INDEX('1-DATA'!$1:$1048576,IF(OR($B598="STD. DEVIATION",$C$1=1),$A598,$A598+1),COLUMN('1-DATA'!N596)),IF($B598="STD. DEVIATION",2,$F$1))))</f>
        <v/>
      </c>
      <c r="P598" s="1" t="str">
        <f>IF(OR($B598="",P$7=""),"",IF($B598="MEANS",INDEX('1-DATA'!$1:$1048576,$A597-1,COLUMN('1-DATA'!O596)),ROUND(INDEX('1-DATA'!$1:$1048576,IF(OR($B598="STD. DEVIATION",$C$1=1),$A598,$A598+1),COLUMN('1-DATA'!O596)),IF($B598="STD. DEVIATION",2,$F$1))))</f>
        <v/>
      </c>
      <c r="Q598" s="1" t="str">
        <f>IF(OR($B598="",Q$7=""),"",IF($B598="MEANS",INDEX('1-DATA'!$1:$1048576,$A597-1,COLUMN('1-DATA'!P596)),ROUND(INDEX('1-DATA'!$1:$1048576,IF(OR($B598="STD. DEVIATION",$C$1=1),$A598,$A598+1),COLUMN('1-DATA'!P596)),IF($B598="STD. DEVIATION",2,$F$1))))</f>
        <v/>
      </c>
      <c r="R598" s="1" t="str">
        <f>IF(OR($B598="",R$7=""),"",IF($B598="MEANS",INDEX('1-DATA'!$1:$1048576,$A597-1,COLUMN('1-DATA'!Q596)),ROUND(INDEX('1-DATA'!$1:$1048576,IF(OR($B598="STD. DEVIATION",$C$1=1),$A598,$A598+1),COLUMN('1-DATA'!Q596)),IF($B598="STD. DEVIATION",2,$F$1))))</f>
        <v/>
      </c>
      <c r="S598" s="1" t="str">
        <f>IF(OR($B598="",S$7=""),"",IF($B598="MEANS",INDEX('1-DATA'!$1:$1048576,$A597-1,COLUMN('1-DATA'!R596)),ROUND(INDEX('1-DATA'!$1:$1048576,IF(OR($B598="STD. DEVIATION",$C$1=1),$A598,$A598+1),COLUMN('1-DATA'!R596)),IF($B598="STD. DEVIATION",2,$F$1))))</f>
        <v/>
      </c>
      <c r="T598" s="1" t="str">
        <f>IF(OR($B598="",T$7=""),"",IF($B598="MEANS",INDEX('1-DATA'!$1:$1048576,$A597-1,COLUMN('1-DATA'!S596)),ROUND(INDEX('1-DATA'!$1:$1048576,IF(OR($B598="STD. DEVIATION",$C$1=1),$A598,$A598+1),COLUMN('1-DATA'!S596)),IF($B598="STD. DEVIATION",2,$F$1))))</f>
        <v/>
      </c>
      <c r="U598" s="1" t="str">
        <f>IF(OR($B598="",U$7=""),"",IF($B598="MEANS",INDEX('1-DATA'!$1:$1048576,$A597-1,COLUMN('1-DATA'!T596)),ROUND(INDEX('1-DATA'!$1:$1048576,IF(OR($B598="STD. DEVIATION",$C$1=1),$A598,$A598+1),COLUMN('1-DATA'!T596)),IF($B598="STD. DEVIATION",2,$F$1))))</f>
        <v/>
      </c>
      <c r="V598" s="1" t="str">
        <f>IF(OR($B598="",V$7=""),"",IF($B598="MEANS",INDEX('1-DATA'!$1:$1048576,$A597-1,COLUMN('1-DATA'!U596)),ROUND(INDEX('1-DATA'!$1:$1048576,IF(OR($B598="STD. DEVIATION",$C$1=1),$A598,$A598+1),COLUMN('1-DATA'!U596)),IF($B598="STD. DEVIATION",2,$F$1))))</f>
        <v/>
      </c>
      <c r="W598" s="1" t="str">
        <f>IF(OR($B598="",W$7=""),"",IF($B598="MEANS",INDEX('1-DATA'!$1:$1048576,$A597-1,COLUMN('1-DATA'!V596)),ROUND(INDEX('1-DATA'!$1:$1048576,IF(OR($B598="STD. DEVIATION",$C$1=1),$A598,$A598+1),COLUMN('1-DATA'!V596)),IF($B598="STD. DEVIATION",2,$F$1))))</f>
        <v/>
      </c>
      <c r="X598" s="1" t="str">
        <f>IF(OR($B598="",X$7=""),"",IF($B598="MEANS",INDEX('1-DATA'!$1:$1048576,$A597-1,COLUMN('1-DATA'!W596)),ROUND(INDEX('1-DATA'!$1:$1048576,IF(OR($B598="STD. DEVIATION",$C$1=1),$A598,$A598+1),COLUMN('1-DATA'!W596)),IF($B598="STD. DEVIATION",2,$F$1))))</f>
        <v/>
      </c>
      <c r="Y598" s="1" t="str">
        <f>IF(OR($B598="",Y$7=""),"",IF($B598="MEANS",INDEX('1-DATA'!$1:$1048576,$A597-1,COLUMN('1-DATA'!X596)),ROUND(INDEX('1-DATA'!$1:$1048576,IF(OR($B598="STD. DEVIATION",$C$1=1),$A598,$A598+1),COLUMN('1-DATA'!X596)),IF($B598="STD. DEVIATION",2,$F$1))))</f>
        <v/>
      </c>
      <c r="Z598" s="1" t="str">
        <f>IF(OR($B598="",Z$7=""),"",IF($B598="MEANS",INDEX('1-DATA'!$1:$1048576,$A597-1,COLUMN('1-DATA'!Y596)),ROUND(INDEX('1-DATA'!$1:$1048576,IF(OR($B598="STD. DEVIATION",$C$1=1),$A598,$A598+1),COLUMN('1-DATA'!Y596)),IF($B598="STD. DEVIATION",2,$F$1))))</f>
        <v/>
      </c>
      <c r="AA598" s="1" t="str">
        <f>IF(OR($B598="",AA$7=""),"",IF($B598="MEANS",INDEX('1-DATA'!$1:$1048576,$A597-1,COLUMN('1-DATA'!Z596)),ROUND(INDEX('1-DATA'!$1:$1048576,IF(OR($B598="STD. DEVIATION",$C$1=1),$A598,$A598+1),COLUMN('1-DATA'!Z596)),IF($B598="STD. DEVIATION",2,$F$1))))</f>
        <v/>
      </c>
      <c r="AB598" s="1" t="str">
        <f>IF(OR($B598="",AB$7=""),"",IF($B598="MEANS",INDEX('1-DATA'!$1:$1048576,$A597-1,COLUMN('1-DATA'!AA596)),ROUND(INDEX('1-DATA'!$1:$1048576,IF(OR($B598="STD. DEVIATION",$C$1=1),$A598,$A598+1),COLUMN('1-DATA'!AA596)),IF($B598="STD. DEVIATION",2,$F$1))))</f>
        <v/>
      </c>
      <c r="AC598" s="1" t="str">
        <f>IF(OR($B598="",AC$7=""),"",IF($B598="MEANS",INDEX('1-DATA'!$1:$1048576,$A597-1,COLUMN('1-DATA'!AB596)),ROUND(INDEX('1-DATA'!$1:$1048576,IF(OR($B598="STD. DEVIATION",$C$1=1),$A598,$A598+1),COLUMN('1-DATA'!AB596)),IF($B598="STD. DEVIATION",2,$F$1))))</f>
        <v/>
      </c>
      <c r="AD598" s="1" t="str">
        <f>IF(OR($B598="",AD$7=""),"",IF($B598="MEANS",INDEX('1-DATA'!$1:$1048576,$A597-1,COLUMN('1-DATA'!AC596)),ROUND(INDEX('1-DATA'!$1:$1048576,IF(OR($B598="STD. DEVIATION",$C$1=1),$A598,$A598+1),COLUMN('1-DATA'!AC596)),IF($B598="STD. DEVIATION",2,$F$1))))</f>
        <v/>
      </c>
      <c r="AE598" s="1" t="str">
        <f>IF(OR($B598="",AE$7=""),"",IF($B598="MEANS",INDEX('1-DATA'!$1:$1048576,$A597-1,COLUMN('1-DATA'!AD596)),ROUND(INDEX('1-DATA'!$1:$1048576,IF(OR($B598="STD. DEVIATION",$C$1=1),$A598,$A598+1),COLUMN('1-DATA'!AD596)),IF($B598="STD. DEVIATION",2,$F$1))))</f>
        <v/>
      </c>
      <c r="AF598" s="1" t="str">
        <f>IF(OR($B598="",AF$7=""),"",IF($B598="MEANS",INDEX('1-DATA'!$1:$1048576,$A597-1,COLUMN('1-DATA'!AE596)),ROUND(INDEX('1-DATA'!$1:$1048576,IF(OR($B598="STD. DEVIATION",$C$1=1),$A598,$A598+1),COLUMN('1-DATA'!AE596)),IF($B598="STD. DEVIATION",2,$F$1))))</f>
        <v/>
      </c>
      <c r="AG598" s="1" t="str">
        <f>IF(OR($B598="",AG$7=""),"",IF($B598="MEANS",INDEX('1-DATA'!$1:$1048576,$A597-1,COLUMN('1-DATA'!AF596)),ROUND(INDEX('1-DATA'!$1:$1048576,IF(OR($B598="STD. DEVIATION",$C$1=1),$A598,$A598+1),COLUMN('1-DATA'!AF596)),IF($B598="STD. DEVIATION",2,$F$1))))</f>
        <v/>
      </c>
      <c r="AH598" s="1" t="str">
        <f>IF(OR($B598="",AH$7=""),"",IF($B598="MEANS",INDEX('1-DATA'!$1:$1048576,$A597-1,COLUMN('1-DATA'!AG596)),ROUND(INDEX('1-DATA'!$1:$1048576,IF(OR($B598="STD. DEVIATION",$C$1=1),$A598,$A598+1),COLUMN('1-DATA'!AG596)),IF($B598="STD. DEVIATION",2,$F$1))))</f>
        <v/>
      </c>
      <c r="AI598" s="1" t="str">
        <f>IF(OR($B598="",AI$7=""),"",IF($B598="MEANS",INDEX('1-DATA'!$1:$1048576,$A597-1,COLUMN('1-DATA'!AH596)),ROUND(INDEX('1-DATA'!$1:$1048576,IF(OR($B598="STD. DEVIATION",$C$1=1),$A598,$A598+1),COLUMN('1-DATA'!AH596)),IF($B598="STD. DEVIATION",2,$F$1))))</f>
        <v/>
      </c>
      <c r="AJ598" s="1" t="str">
        <f>IF(OR($B598="",AJ$7=""),"",IF($B598="MEANS",INDEX('1-DATA'!$1:$1048576,$A597-1,COLUMN('1-DATA'!AI596)),ROUND(INDEX('1-DATA'!$1:$1048576,IF(OR($B598="STD. DEVIATION",$C$1=1),$A598,$A598+1),COLUMN('1-DATA'!AI596)),IF($B598="STD. DEVIATION",2,$F$1))))</f>
        <v/>
      </c>
      <c r="AK598" s="1" t="str">
        <f>IF(OR($B598="",AK$7=""),"",IF($B598="MEANS",INDEX('1-DATA'!$1:$1048576,$A597-1,COLUMN('1-DATA'!AJ596)),ROUND(INDEX('1-DATA'!$1:$1048576,IF(OR($B598="STD. DEVIATION",$C$1=1),$A598,$A598+1),COLUMN('1-DATA'!AJ596)),IF($B598="STD. DEVIATION",2,$F$1))))</f>
        <v/>
      </c>
      <c r="AL598" s="1" t="str">
        <f>IF(OR($B598="",AL$7=""),"",IF($B598="MEANS",INDEX('1-DATA'!$1:$1048576,$A597-1,COLUMN('1-DATA'!AK596)),ROUND(INDEX('1-DATA'!$1:$1048576,IF(OR($B598="STD. DEVIATION",$C$1=1),$A598,$A598+1),COLUMN('1-DATA'!AK596)),IF($B598="STD. DEVIATION",2,$F$1))))</f>
        <v/>
      </c>
      <c r="AM598" s="1" t="str">
        <f>IF(OR($B598="",AM$7=""),"",IF($B598="MEANS",INDEX('1-DATA'!$1:$1048576,$A597-1,COLUMN('1-DATA'!AL596)),ROUND(INDEX('1-DATA'!$1:$1048576,IF(OR($B598="STD. DEVIATION",$C$1=1),$A598,$A598+1),COLUMN('1-DATA'!AL596)),IF($B598="STD. DEVIATION",2,$F$1))))</f>
        <v/>
      </c>
      <c r="AN598" s="1" t="str">
        <f>IF(OR($B598="",AN$7=""),"",IF($B598="MEANS",INDEX('1-DATA'!$1:$1048576,$A597-1,COLUMN('1-DATA'!AM596)),ROUND(INDEX('1-DATA'!$1:$1048576,IF(OR($B598="STD. DEVIATION",$C$1=1),$A598,$A598+1),COLUMN('1-DATA'!AM596)),IF($B598="STD. DEVIATION",2,$F$1))))</f>
        <v/>
      </c>
      <c r="AO598" s="1" t="str">
        <f>IF(OR($B598="",AO$7=""),"",IF($B598="MEANS",INDEX('1-DATA'!$1:$1048576,$A597-1,COLUMN('1-DATA'!AN596)),ROUND(INDEX('1-DATA'!$1:$1048576,IF(OR($B598="STD. DEVIATION",$C$1=1),$A598,$A598+1),COLUMN('1-DATA'!AN596)),IF($B598="STD. DEVIATION",2,$F$1))))</f>
        <v/>
      </c>
      <c r="AP598" s="1" t="str">
        <f>IF(OR($B598="",AP$7=""),"",IF($B598="MEANS",INDEX('1-DATA'!$1:$1048576,$A597-1,COLUMN('1-DATA'!AO596)),ROUND(INDEX('1-DATA'!$1:$1048576,IF(OR($B598="STD. DEVIATION",$C$1=1),$A598,$A598+1),COLUMN('1-DATA'!AO596)),IF($B598="STD. DEVIATION",2,$F$1))))</f>
        <v/>
      </c>
      <c r="AQ598" s="1" t="str">
        <f>IF(OR($B598="",AQ$7=""),"",IF($B598="MEANS",INDEX('1-DATA'!$1:$1048576,$A597-1,COLUMN('1-DATA'!AP596)),ROUND(INDEX('1-DATA'!$1:$1048576,IF(OR($B598="STD. DEVIATION",$C$1=1),$A598,$A598+1),COLUMN('1-DATA'!AP596)),IF($B598="STD. DEVIATION",2,$F$1))))</f>
        <v/>
      </c>
      <c r="AR598" s="1" t="str">
        <f>IF(OR($B598="",AR$7=""),"",IF($B598="MEANS",INDEX('1-DATA'!$1:$1048576,$A597-1,COLUMN('1-DATA'!AQ596)),ROUND(INDEX('1-DATA'!$1:$1048576,IF(OR($B598="STD. DEVIATION",$C$1=1),$A598,$A598+1),COLUMN('1-DATA'!AQ596)),IF($B598="STD. DEVIATION",2,$F$1))))</f>
        <v/>
      </c>
      <c r="AS598" s="1" t="str">
        <f>IF(OR($B598="",AS$7=""),"",IF($B598="MEANS",INDEX('1-DATA'!$1:$1048576,$A597-1,COLUMN('1-DATA'!AR596)),ROUND(INDEX('1-DATA'!$1:$1048576,IF(OR($B598="STD. DEVIATION",$C$1=1),$A598,$A598+1),COLUMN('1-DATA'!AR596)),IF($B598="STD. DEVIATION",2,$F$1))))</f>
        <v/>
      </c>
      <c r="AT598" s="1" t="str">
        <f>IF(OR($B598="",AT$7=""),"",IF($B598="MEANS",INDEX('1-DATA'!$1:$1048576,$A597-1,COLUMN('1-DATA'!AS596)),ROUND(INDEX('1-DATA'!$1:$1048576,IF(OR($B598="STD. DEVIATION",$C$1=1),$A598,$A598+1),COLUMN('1-DATA'!AS596)),IF($B598="STD. DEVIATION",2,$F$1))))</f>
        <v/>
      </c>
      <c r="AU598" s="1" t="str">
        <f>IF(OR($B598="",AU$7=""),"",IF($B598="MEANS",INDEX('1-DATA'!$1:$1048576,$A597-1,COLUMN('1-DATA'!AT596)),ROUND(INDEX('1-DATA'!$1:$1048576,IF(OR($B598="STD. DEVIATION",$C$1=1),$A598,$A598+1),COLUMN('1-DATA'!AT596)),IF($B598="STD. DEVIATION",2,$F$1))))</f>
        <v/>
      </c>
      <c r="AV598" s="1" t="str">
        <f>IF(OR($B598="",AV$7=""),"",IF($B598="MEANS",INDEX('1-DATA'!$1:$1048576,$A597-1,COLUMN('1-DATA'!AU596)),ROUND(INDEX('1-DATA'!$1:$1048576,IF(OR($B598="STD. DEVIATION",$C$1=1),$A598,$A598+1),COLUMN('1-DATA'!AU596)),IF($B598="STD. DEVIATION",2,$F$1))))</f>
        <v/>
      </c>
      <c r="AW598" s="1" t="str">
        <f>IF(OR($B598="",AW$7=""),"",IF($B598="MEANS",INDEX('1-DATA'!$1:$1048576,$A597-1,COLUMN('1-DATA'!AV596)),ROUND(INDEX('1-DATA'!$1:$1048576,IF(OR($B598="STD. DEVIATION",$C$1=1),$A598,$A598+1),COLUMN('1-DATA'!AV596)),IF($B598="STD. DEVIATION",2,$F$1))))</f>
        <v/>
      </c>
      <c r="AX598" s="1" t="str">
        <f>IF(OR($B598="",AX$7=""),"",IF($B598="MEANS",INDEX('1-DATA'!$1:$1048576,$A597-1,COLUMN('1-DATA'!AW596)),ROUND(INDEX('1-DATA'!$1:$1048576,IF(OR($B598="STD. DEVIATION",$C$1=1),$A598,$A598+1),COLUMN('1-DATA'!AW596)),IF($B598="STD. DEVIATION",2,$F$1))))</f>
        <v/>
      </c>
      <c r="AY598" s="1" t="str">
        <f>IF(OR($B598="",AY$7=""),"",IF($B598="MEANS",INDEX('1-DATA'!$1:$1048576,$A597-1,COLUMN('1-DATA'!AX596)),ROUND(INDEX('1-DATA'!$1:$1048576,IF(OR($B598="STD. DEVIATION",$C$1=1),$A598,$A598+1),COLUMN('1-DATA'!AX596)),IF($B598="STD. DEVIATION",2,$F$1))))</f>
        <v/>
      </c>
      <c r="AZ598" s="1" t="str">
        <f>IF(OR($B598="",AZ$7=""),"",IF($B598="MEANS",INDEX('1-DATA'!$1:$1048576,$A597-1,COLUMN('1-DATA'!AY596)),ROUND(INDEX('1-DATA'!$1:$1048576,IF(OR($B598="STD. DEVIATION",$C$1=1),$A598,$A598+1),COLUMN('1-DATA'!AY596)),IF($B598="STD. DEVIATION",2,$F$1))))</f>
        <v/>
      </c>
    </row>
    <row r="599" spans="1:52" x14ac:dyDescent="0.25">
      <c r="A599" s="11">
        <f t="shared" si="9"/>
        <v>1783</v>
      </c>
      <c r="B599" s="1" t="str">
        <f>IF(B598="STD. DEVIATION",INDEX('1-DATA'!$1:$1048576,$A598-1,1),IF(INDEX('1-DATA'!$1:$1048576,$A599,1)&lt;&gt;"",INDEX('1-DATA'!$1:$1048576,$A599,1),""))</f>
        <v/>
      </c>
      <c r="C599" s="1" t="str">
        <f>IF(OR($B599="",C$7=""),"",IF($B599="MEANS",INDEX('1-DATA'!$1:$1048576,$A598-1,COLUMN('1-DATA'!B597)),ROUND(INDEX('1-DATA'!$1:$1048576,IF(OR($B599="STD. DEVIATION",$C$1=1),$A599,$A599+1),COLUMN('1-DATA'!B597)),IF($B599="STD. DEVIATION",2,$F$1))))</f>
        <v/>
      </c>
      <c r="D599" s="1" t="str">
        <f>IF(OR($B599="",D$7=""),"",IF($B599="MEANS",INDEX('1-DATA'!$1:$1048576,$A598-1,COLUMN('1-DATA'!C597)),ROUND(INDEX('1-DATA'!$1:$1048576,IF(OR($B599="STD. DEVIATION",$C$1=1),$A599,$A599+1),COLUMN('1-DATA'!C597)),IF($B599="STD. DEVIATION",2,$F$1))))</f>
        <v/>
      </c>
      <c r="E599" s="1" t="str">
        <f>IF(OR($B599="",E$7=""),"",IF($B599="MEANS",INDEX('1-DATA'!$1:$1048576,$A598-1,COLUMN('1-DATA'!D597)),ROUND(INDEX('1-DATA'!$1:$1048576,IF(OR($B599="STD. DEVIATION",$C$1=1),$A599,$A599+1),COLUMN('1-DATA'!D597)),IF($B599="STD. DEVIATION",2,$F$1))))</f>
        <v/>
      </c>
      <c r="F599" s="1" t="str">
        <f>IF(OR($B599="",F$7=""),"",IF($B599="MEANS",INDEX('1-DATA'!$1:$1048576,$A598-1,COLUMN('1-DATA'!E597)),ROUND(INDEX('1-DATA'!$1:$1048576,IF(OR($B599="STD. DEVIATION",$C$1=1),$A599,$A599+1),COLUMN('1-DATA'!E597)),IF($B599="STD. DEVIATION",2,$F$1))))</f>
        <v/>
      </c>
      <c r="G599" s="1" t="str">
        <f>IF(OR($B599="",G$7=""),"",IF($B599="MEANS",INDEX('1-DATA'!$1:$1048576,$A598-1,COLUMN('1-DATA'!F597)),ROUND(INDEX('1-DATA'!$1:$1048576,IF(OR($B599="STD. DEVIATION",$C$1=1),$A599,$A599+1),COLUMN('1-DATA'!F597)),IF($B599="STD. DEVIATION",2,$F$1))))</f>
        <v/>
      </c>
      <c r="H599" s="1" t="str">
        <f>IF(OR($B599="",H$7=""),"",IF($B599="MEANS",INDEX('1-DATA'!$1:$1048576,$A598-1,COLUMN('1-DATA'!G597)),ROUND(INDEX('1-DATA'!$1:$1048576,IF(OR($B599="STD. DEVIATION",$C$1=1),$A599,$A599+1),COLUMN('1-DATA'!G597)),IF($B599="STD. DEVIATION",2,$F$1))))</f>
        <v/>
      </c>
      <c r="I599" s="1" t="str">
        <f>IF(OR($B599="",I$7=""),"",IF($B599="MEANS",INDEX('1-DATA'!$1:$1048576,$A598-1,COLUMN('1-DATA'!H597)),ROUND(INDEX('1-DATA'!$1:$1048576,IF(OR($B599="STD. DEVIATION",$C$1=1),$A599,$A599+1),COLUMN('1-DATA'!H597)),IF($B599="STD. DEVIATION",2,$F$1))))</f>
        <v/>
      </c>
      <c r="J599" s="1" t="str">
        <f>IF(OR($B599="",J$7=""),"",IF($B599="MEANS",INDEX('1-DATA'!$1:$1048576,$A598-1,COLUMN('1-DATA'!I597)),ROUND(INDEX('1-DATA'!$1:$1048576,IF(OR($B599="STD. DEVIATION",$C$1=1),$A599,$A599+1),COLUMN('1-DATA'!I597)),IF($B599="STD. DEVIATION",2,$F$1))))</f>
        <v/>
      </c>
      <c r="K599" s="1" t="str">
        <f>IF(OR($B599="",K$7=""),"",IF($B599="MEANS",INDEX('1-DATA'!$1:$1048576,$A598-1,COLUMN('1-DATA'!J597)),ROUND(INDEX('1-DATA'!$1:$1048576,IF(OR($B599="STD. DEVIATION",$C$1=1),$A599,$A599+1),COLUMN('1-DATA'!J597)),IF($B599="STD. DEVIATION",2,$F$1))))</f>
        <v/>
      </c>
      <c r="L599" s="1" t="str">
        <f>IF(OR($B599="",L$7=""),"",IF($B599="MEANS",INDEX('1-DATA'!$1:$1048576,$A598-1,COLUMN('1-DATA'!K597)),ROUND(INDEX('1-DATA'!$1:$1048576,IF(OR($B599="STD. DEVIATION",$C$1=1),$A599,$A599+1),COLUMN('1-DATA'!K597)),IF($B599="STD. DEVIATION",2,$F$1))))</f>
        <v/>
      </c>
      <c r="M599" s="1" t="str">
        <f>IF(OR($B599="",M$7=""),"",IF($B599="MEANS",INDEX('1-DATA'!$1:$1048576,$A598-1,COLUMN('1-DATA'!L597)),ROUND(INDEX('1-DATA'!$1:$1048576,IF(OR($B599="STD. DEVIATION",$C$1=1),$A599,$A599+1),COLUMN('1-DATA'!L597)),IF($B599="STD. DEVIATION",2,$F$1))))</f>
        <v/>
      </c>
      <c r="N599" s="1" t="str">
        <f>IF(OR($B599="",N$7=""),"",IF($B599="MEANS",INDEX('1-DATA'!$1:$1048576,$A598-1,COLUMN('1-DATA'!M597)),ROUND(INDEX('1-DATA'!$1:$1048576,IF(OR($B599="STD. DEVIATION",$C$1=1),$A599,$A599+1),COLUMN('1-DATA'!M597)),IF($B599="STD. DEVIATION",2,$F$1))))</f>
        <v/>
      </c>
      <c r="O599" s="1" t="str">
        <f>IF(OR($B599="",O$7=""),"",IF($B599="MEANS",INDEX('1-DATA'!$1:$1048576,$A598-1,COLUMN('1-DATA'!N597)),ROUND(INDEX('1-DATA'!$1:$1048576,IF(OR($B599="STD. DEVIATION",$C$1=1),$A599,$A599+1),COLUMN('1-DATA'!N597)),IF($B599="STD. DEVIATION",2,$F$1))))</f>
        <v/>
      </c>
      <c r="P599" s="1" t="str">
        <f>IF(OR($B599="",P$7=""),"",IF($B599="MEANS",INDEX('1-DATA'!$1:$1048576,$A598-1,COLUMN('1-DATA'!O597)),ROUND(INDEX('1-DATA'!$1:$1048576,IF(OR($B599="STD. DEVIATION",$C$1=1),$A599,$A599+1),COLUMN('1-DATA'!O597)),IF($B599="STD. DEVIATION",2,$F$1))))</f>
        <v/>
      </c>
      <c r="Q599" s="1" t="str">
        <f>IF(OR($B599="",Q$7=""),"",IF($B599="MEANS",INDEX('1-DATA'!$1:$1048576,$A598-1,COLUMN('1-DATA'!P597)),ROUND(INDEX('1-DATA'!$1:$1048576,IF(OR($B599="STD. DEVIATION",$C$1=1),$A599,$A599+1),COLUMN('1-DATA'!P597)),IF($B599="STD. DEVIATION",2,$F$1))))</f>
        <v/>
      </c>
      <c r="R599" s="1" t="str">
        <f>IF(OR($B599="",R$7=""),"",IF($B599="MEANS",INDEX('1-DATA'!$1:$1048576,$A598-1,COLUMN('1-DATA'!Q597)),ROUND(INDEX('1-DATA'!$1:$1048576,IF(OR($B599="STD. DEVIATION",$C$1=1),$A599,$A599+1),COLUMN('1-DATA'!Q597)),IF($B599="STD. DEVIATION",2,$F$1))))</f>
        <v/>
      </c>
      <c r="S599" s="1" t="str">
        <f>IF(OR($B599="",S$7=""),"",IF($B599="MEANS",INDEX('1-DATA'!$1:$1048576,$A598-1,COLUMN('1-DATA'!R597)),ROUND(INDEX('1-DATA'!$1:$1048576,IF(OR($B599="STD. DEVIATION",$C$1=1),$A599,$A599+1),COLUMN('1-DATA'!R597)),IF($B599="STD. DEVIATION",2,$F$1))))</f>
        <v/>
      </c>
      <c r="T599" s="1" t="str">
        <f>IF(OR($B599="",T$7=""),"",IF($B599="MEANS",INDEX('1-DATA'!$1:$1048576,$A598-1,COLUMN('1-DATA'!S597)),ROUND(INDEX('1-DATA'!$1:$1048576,IF(OR($B599="STD. DEVIATION",$C$1=1),$A599,$A599+1),COLUMN('1-DATA'!S597)),IF($B599="STD. DEVIATION",2,$F$1))))</f>
        <v/>
      </c>
      <c r="U599" s="1" t="str">
        <f>IF(OR($B599="",U$7=""),"",IF($B599="MEANS",INDEX('1-DATA'!$1:$1048576,$A598-1,COLUMN('1-DATA'!T597)),ROUND(INDEX('1-DATA'!$1:$1048576,IF(OR($B599="STD. DEVIATION",$C$1=1),$A599,$A599+1),COLUMN('1-DATA'!T597)),IF($B599="STD. DEVIATION",2,$F$1))))</f>
        <v/>
      </c>
      <c r="V599" s="1" t="str">
        <f>IF(OR($B599="",V$7=""),"",IF($B599="MEANS",INDEX('1-DATA'!$1:$1048576,$A598-1,COLUMN('1-DATA'!U597)),ROUND(INDEX('1-DATA'!$1:$1048576,IF(OR($B599="STD. DEVIATION",$C$1=1),$A599,$A599+1),COLUMN('1-DATA'!U597)),IF($B599="STD. DEVIATION",2,$F$1))))</f>
        <v/>
      </c>
      <c r="W599" s="1" t="str">
        <f>IF(OR($B599="",W$7=""),"",IF($B599="MEANS",INDEX('1-DATA'!$1:$1048576,$A598-1,COLUMN('1-DATA'!V597)),ROUND(INDEX('1-DATA'!$1:$1048576,IF(OR($B599="STD. DEVIATION",$C$1=1),$A599,$A599+1),COLUMN('1-DATA'!V597)),IF($B599="STD. DEVIATION",2,$F$1))))</f>
        <v/>
      </c>
      <c r="X599" s="1" t="str">
        <f>IF(OR($B599="",X$7=""),"",IF($B599="MEANS",INDEX('1-DATA'!$1:$1048576,$A598-1,COLUMN('1-DATA'!W597)),ROUND(INDEX('1-DATA'!$1:$1048576,IF(OR($B599="STD. DEVIATION",$C$1=1),$A599,$A599+1),COLUMN('1-DATA'!W597)),IF($B599="STD. DEVIATION",2,$F$1))))</f>
        <v/>
      </c>
      <c r="Y599" s="1" t="str">
        <f>IF(OR($B599="",Y$7=""),"",IF($B599="MEANS",INDEX('1-DATA'!$1:$1048576,$A598-1,COLUMN('1-DATA'!X597)),ROUND(INDEX('1-DATA'!$1:$1048576,IF(OR($B599="STD. DEVIATION",$C$1=1),$A599,$A599+1),COLUMN('1-DATA'!X597)),IF($B599="STD. DEVIATION",2,$F$1))))</f>
        <v/>
      </c>
      <c r="Z599" s="1" t="str">
        <f>IF(OR($B599="",Z$7=""),"",IF($B599="MEANS",INDEX('1-DATA'!$1:$1048576,$A598-1,COLUMN('1-DATA'!Y597)),ROUND(INDEX('1-DATA'!$1:$1048576,IF(OR($B599="STD. DEVIATION",$C$1=1),$A599,$A599+1),COLUMN('1-DATA'!Y597)),IF($B599="STD. DEVIATION",2,$F$1))))</f>
        <v/>
      </c>
      <c r="AA599" s="1" t="str">
        <f>IF(OR($B599="",AA$7=""),"",IF($B599="MEANS",INDEX('1-DATA'!$1:$1048576,$A598-1,COLUMN('1-DATA'!Z597)),ROUND(INDEX('1-DATA'!$1:$1048576,IF(OR($B599="STD. DEVIATION",$C$1=1),$A599,$A599+1),COLUMN('1-DATA'!Z597)),IF($B599="STD. DEVIATION",2,$F$1))))</f>
        <v/>
      </c>
      <c r="AB599" s="1" t="str">
        <f>IF(OR($B599="",AB$7=""),"",IF($B599="MEANS",INDEX('1-DATA'!$1:$1048576,$A598-1,COLUMN('1-DATA'!AA597)),ROUND(INDEX('1-DATA'!$1:$1048576,IF(OR($B599="STD. DEVIATION",$C$1=1),$A599,$A599+1),COLUMN('1-DATA'!AA597)),IF($B599="STD. DEVIATION",2,$F$1))))</f>
        <v/>
      </c>
      <c r="AC599" s="1" t="str">
        <f>IF(OR($B599="",AC$7=""),"",IF($B599="MEANS",INDEX('1-DATA'!$1:$1048576,$A598-1,COLUMN('1-DATA'!AB597)),ROUND(INDEX('1-DATA'!$1:$1048576,IF(OR($B599="STD. DEVIATION",$C$1=1),$A599,$A599+1),COLUMN('1-DATA'!AB597)),IF($B599="STD. DEVIATION",2,$F$1))))</f>
        <v/>
      </c>
      <c r="AD599" s="1" t="str">
        <f>IF(OR($B599="",AD$7=""),"",IF($B599="MEANS",INDEX('1-DATA'!$1:$1048576,$A598-1,COLUMN('1-DATA'!AC597)),ROUND(INDEX('1-DATA'!$1:$1048576,IF(OR($B599="STD. DEVIATION",$C$1=1),$A599,$A599+1),COLUMN('1-DATA'!AC597)),IF($B599="STD. DEVIATION",2,$F$1))))</f>
        <v/>
      </c>
      <c r="AE599" s="1" t="str">
        <f>IF(OR($B599="",AE$7=""),"",IF($B599="MEANS",INDEX('1-DATA'!$1:$1048576,$A598-1,COLUMN('1-DATA'!AD597)),ROUND(INDEX('1-DATA'!$1:$1048576,IF(OR($B599="STD. DEVIATION",$C$1=1),$A599,$A599+1),COLUMN('1-DATA'!AD597)),IF($B599="STD. DEVIATION",2,$F$1))))</f>
        <v/>
      </c>
      <c r="AF599" s="1" t="str">
        <f>IF(OR($B599="",AF$7=""),"",IF($B599="MEANS",INDEX('1-DATA'!$1:$1048576,$A598-1,COLUMN('1-DATA'!AE597)),ROUND(INDEX('1-DATA'!$1:$1048576,IF(OR($B599="STD. DEVIATION",$C$1=1),$A599,$A599+1),COLUMN('1-DATA'!AE597)),IF($B599="STD. DEVIATION",2,$F$1))))</f>
        <v/>
      </c>
      <c r="AG599" s="1" t="str">
        <f>IF(OR($B599="",AG$7=""),"",IF($B599="MEANS",INDEX('1-DATA'!$1:$1048576,$A598-1,COLUMN('1-DATA'!AF597)),ROUND(INDEX('1-DATA'!$1:$1048576,IF(OR($B599="STD. DEVIATION",$C$1=1),$A599,$A599+1),COLUMN('1-DATA'!AF597)),IF($B599="STD. DEVIATION",2,$F$1))))</f>
        <v/>
      </c>
      <c r="AH599" s="1" t="str">
        <f>IF(OR($B599="",AH$7=""),"",IF($B599="MEANS",INDEX('1-DATA'!$1:$1048576,$A598-1,COLUMN('1-DATA'!AG597)),ROUND(INDEX('1-DATA'!$1:$1048576,IF(OR($B599="STD. DEVIATION",$C$1=1),$A599,$A599+1),COLUMN('1-DATA'!AG597)),IF($B599="STD. DEVIATION",2,$F$1))))</f>
        <v/>
      </c>
      <c r="AI599" s="1" t="str">
        <f>IF(OR($B599="",AI$7=""),"",IF($B599="MEANS",INDEX('1-DATA'!$1:$1048576,$A598-1,COLUMN('1-DATA'!AH597)),ROUND(INDEX('1-DATA'!$1:$1048576,IF(OR($B599="STD. DEVIATION",$C$1=1),$A599,$A599+1),COLUMN('1-DATA'!AH597)),IF($B599="STD. DEVIATION",2,$F$1))))</f>
        <v/>
      </c>
      <c r="AJ599" s="1" t="str">
        <f>IF(OR($B599="",AJ$7=""),"",IF($B599="MEANS",INDEX('1-DATA'!$1:$1048576,$A598-1,COLUMN('1-DATA'!AI597)),ROUND(INDEX('1-DATA'!$1:$1048576,IF(OR($B599="STD. DEVIATION",$C$1=1),$A599,$A599+1),COLUMN('1-DATA'!AI597)),IF($B599="STD. DEVIATION",2,$F$1))))</f>
        <v/>
      </c>
      <c r="AK599" s="1" t="str">
        <f>IF(OR($B599="",AK$7=""),"",IF($B599="MEANS",INDEX('1-DATA'!$1:$1048576,$A598-1,COLUMN('1-DATA'!AJ597)),ROUND(INDEX('1-DATA'!$1:$1048576,IF(OR($B599="STD. DEVIATION",$C$1=1),$A599,$A599+1),COLUMN('1-DATA'!AJ597)),IF($B599="STD. DEVIATION",2,$F$1))))</f>
        <v/>
      </c>
      <c r="AL599" s="1" t="str">
        <f>IF(OR($B599="",AL$7=""),"",IF($B599="MEANS",INDEX('1-DATA'!$1:$1048576,$A598-1,COLUMN('1-DATA'!AK597)),ROUND(INDEX('1-DATA'!$1:$1048576,IF(OR($B599="STD. DEVIATION",$C$1=1),$A599,$A599+1),COLUMN('1-DATA'!AK597)),IF($B599="STD. DEVIATION",2,$F$1))))</f>
        <v/>
      </c>
      <c r="AM599" s="1" t="str">
        <f>IF(OR($B599="",AM$7=""),"",IF($B599="MEANS",INDEX('1-DATA'!$1:$1048576,$A598-1,COLUMN('1-DATA'!AL597)),ROUND(INDEX('1-DATA'!$1:$1048576,IF(OR($B599="STD. DEVIATION",$C$1=1),$A599,$A599+1),COLUMN('1-DATA'!AL597)),IF($B599="STD. DEVIATION",2,$F$1))))</f>
        <v/>
      </c>
      <c r="AN599" s="1" t="str">
        <f>IF(OR($B599="",AN$7=""),"",IF($B599="MEANS",INDEX('1-DATA'!$1:$1048576,$A598-1,COLUMN('1-DATA'!AM597)),ROUND(INDEX('1-DATA'!$1:$1048576,IF(OR($B599="STD. DEVIATION",$C$1=1),$A599,$A599+1),COLUMN('1-DATA'!AM597)),IF($B599="STD. DEVIATION",2,$F$1))))</f>
        <v/>
      </c>
      <c r="AO599" s="1" t="str">
        <f>IF(OR($B599="",AO$7=""),"",IF($B599="MEANS",INDEX('1-DATA'!$1:$1048576,$A598-1,COLUMN('1-DATA'!AN597)),ROUND(INDEX('1-DATA'!$1:$1048576,IF(OR($B599="STD. DEVIATION",$C$1=1),$A599,$A599+1),COLUMN('1-DATA'!AN597)),IF($B599="STD. DEVIATION",2,$F$1))))</f>
        <v/>
      </c>
      <c r="AP599" s="1" t="str">
        <f>IF(OR($B599="",AP$7=""),"",IF($B599="MEANS",INDEX('1-DATA'!$1:$1048576,$A598-1,COLUMN('1-DATA'!AO597)),ROUND(INDEX('1-DATA'!$1:$1048576,IF(OR($B599="STD. DEVIATION",$C$1=1),$A599,$A599+1),COLUMN('1-DATA'!AO597)),IF($B599="STD. DEVIATION",2,$F$1))))</f>
        <v/>
      </c>
      <c r="AQ599" s="1" t="str">
        <f>IF(OR($B599="",AQ$7=""),"",IF($B599="MEANS",INDEX('1-DATA'!$1:$1048576,$A598-1,COLUMN('1-DATA'!AP597)),ROUND(INDEX('1-DATA'!$1:$1048576,IF(OR($B599="STD. DEVIATION",$C$1=1),$A599,$A599+1),COLUMN('1-DATA'!AP597)),IF($B599="STD. DEVIATION",2,$F$1))))</f>
        <v/>
      </c>
      <c r="AR599" s="1" t="str">
        <f>IF(OR($B599="",AR$7=""),"",IF($B599="MEANS",INDEX('1-DATA'!$1:$1048576,$A598-1,COLUMN('1-DATA'!AQ597)),ROUND(INDEX('1-DATA'!$1:$1048576,IF(OR($B599="STD. DEVIATION",$C$1=1),$A599,$A599+1),COLUMN('1-DATA'!AQ597)),IF($B599="STD. DEVIATION",2,$F$1))))</f>
        <v/>
      </c>
      <c r="AS599" s="1" t="str">
        <f>IF(OR($B599="",AS$7=""),"",IF($B599="MEANS",INDEX('1-DATA'!$1:$1048576,$A598-1,COLUMN('1-DATA'!AR597)),ROUND(INDEX('1-DATA'!$1:$1048576,IF(OR($B599="STD. DEVIATION",$C$1=1),$A599,$A599+1),COLUMN('1-DATA'!AR597)),IF($B599="STD. DEVIATION",2,$F$1))))</f>
        <v/>
      </c>
      <c r="AT599" s="1" t="str">
        <f>IF(OR($B599="",AT$7=""),"",IF($B599="MEANS",INDEX('1-DATA'!$1:$1048576,$A598-1,COLUMN('1-DATA'!AS597)),ROUND(INDEX('1-DATA'!$1:$1048576,IF(OR($B599="STD. DEVIATION",$C$1=1),$A599,$A599+1),COLUMN('1-DATA'!AS597)),IF($B599="STD. DEVIATION",2,$F$1))))</f>
        <v/>
      </c>
      <c r="AU599" s="1" t="str">
        <f>IF(OR($B599="",AU$7=""),"",IF($B599="MEANS",INDEX('1-DATA'!$1:$1048576,$A598-1,COLUMN('1-DATA'!AT597)),ROUND(INDEX('1-DATA'!$1:$1048576,IF(OR($B599="STD. DEVIATION",$C$1=1),$A599,$A599+1),COLUMN('1-DATA'!AT597)),IF($B599="STD. DEVIATION",2,$F$1))))</f>
        <v/>
      </c>
      <c r="AV599" s="1" t="str">
        <f>IF(OR($B599="",AV$7=""),"",IF($B599="MEANS",INDEX('1-DATA'!$1:$1048576,$A598-1,COLUMN('1-DATA'!AU597)),ROUND(INDEX('1-DATA'!$1:$1048576,IF(OR($B599="STD. DEVIATION",$C$1=1),$A599,$A599+1),COLUMN('1-DATA'!AU597)),IF($B599="STD. DEVIATION",2,$F$1))))</f>
        <v/>
      </c>
      <c r="AW599" s="1" t="str">
        <f>IF(OR($B599="",AW$7=""),"",IF($B599="MEANS",INDEX('1-DATA'!$1:$1048576,$A598-1,COLUMN('1-DATA'!AV597)),ROUND(INDEX('1-DATA'!$1:$1048576,IF(OR($B599="STD. DEVIATION",$C$1=1),$A599,$A599+1),COLUMN('1-DATA'!AV597)),IF($B599="STD. DEVIATION",2,$F$1))))</f>
        <v/>
      </c>
      <c r="AX599" s="1" t="str">
        <f>IF(OR($B599="",AX$7=""),"",IF($B599="MEANS",INDEX('1-DATA'!$1:$1048576,$A598-1,COLUMN('1-DATA'!AW597)),ROUND(INDEX('1-DATA'!$1:$1048576,IF(OR($B599="STD. DEVIATION",$C$1=1),$A599,$A599+1),COLUMN('1-DATA'!AW597)),IF($B599="STD. DEVIATION",2,$F$1))))</f>
        <v/>
      </c>
      <c r="AY599" s="1" t="str">
        <f>IF(OR($B599="",AY$7=""),"",IF($B599="MEANS",INDEX('1-DATA'!$1:$1048576,$A598-1,COLUMN('1-DATA'!AX597)),ROUND(INDEX('1-DATA'!$1:$1048576,IF(OR($B599="STD. DEVIATION",$C$1=1),$A599,$A599+1),COLUMN('1-DATA'!AX597)),IF($B599="STD. DEVIATION",2,$F$1))))</f>
        <v/>
      </c>
      <c r="AZ599" s="1" t="str">
        <f>IF(OR($B599="",AZ$7=""),"",IF($B599="MEANS",INDEX('1-DATA'!$1:$1048576,$A598-1,COLUMN('1-DATA'!AY597)),ROUND(INDEX('1-DATA'!$1:$1048576,IF(OR($B599="STD. DEVIATION",$C$1=1),$A599,$A599+1),COLUMN('1-DATA'!AY597)),IF($B599="STD. DEVIATION",2,$F$1))))</f>
        <v/>
      </c>
    </row>
    <row r="600" spans="1:52" x14ac:dyDescent="0.25">
      <c r="A600" s="11">
        <f t="shared" si="9"/>
        <v>1786</v>
      </c>
      <c r="B600" s="1" t="str">
        <f>IF(B599="STD. DEVIATION",INDEX('1-DATA'!$1:$1048576,$A599-1,1),IF(INDEX('1-DATA'!$1:$1048576,$A600,1)&lt;&gt;"",INDEX('1-DATA'!$1:$1048576,$A600,1),""))</f>
        <v/>
      </c>
      <c r="C600" s="1" t="str">
        <f>IF(OR($B600="",C$7=""),"",IF($B600="MEANS",INDEX('1-DATA'!$1:$1048576,$A599-1,COLUMN('1-DATA'!B598)),ROUND(INDEX('1-DATA'!$1:$1048576,IF(OR($B600="STD. DEVIATION",$C$1=1),$A600,$A600+1),COLUMN('1-DATA'!B598)),IF($B600="STD. DEVIATION",2,$F$1))))</f>
        <v/>
      </c>
      <c r="D600" s="1" t="str">
        <f>IF(OR($B600="",D$7=""),"",IF($B600="MEANS",INDEX('1-DATA'!$1:$1048576,$A599-1,COLUMN('1-DATA'!C598)),ROUND(INDEX('1-DATA'!$1:$1048576,IF(OR($B600="STD. DEVIATION",$C$1=1),$A600,$A600+1),COLUMN('1-DATA'!C598)),IF($B600="STD. DEVIATION",2,$F$1))))</f>
        <v/>
      </c>
      <c r="E600" s="1" t="str">
        <f>IF(OR($B600="",E$7=""),"",IF($B600="MEANS",INDEX('1-DATA'!$1:$1048576,$A599-1,COLUMN('1-DATA'!D598)),ROUND(INDEX('1-DATA'!$1:$1048576,IF(OR($B600="STD. DEVIATION",$C$1=1),$A600,$A600+1),COLUMN('1-DATA'!D598)),IF($B600="STD. DEVIATION",2,$F$1))))</f>
        <v/>
      </c>
      <c r="F600" s="1" t="str">
        <f>IF(OR($B600="",F$7=""),"",IF($B600="MEANS",INDEX('1-DATA'!$1:$1048576,$A599-1,COLUMN('1-DATA'!E598)),ROUND(INDEX('1-DATA'!$1:$1048576,IF(OR($B600="STD. DEVIATION",$C$1=1),$A600,$A600+1),COLUMN('1-DATA'!E598)),IF($B600="STD. DEVIATION",2,$F$1))))</f>
        <v/>
      </c>
      <c r="G600" s="1" t="str">
        <f>IF(OR($B600="",G$7=""),"",IF($B600="MEANS",INDEX('1-DATA'!$1:$1048576,$A599-1,COLUMN('1-DATA'!F598)),ROUND(INDEX('1-DATA'!$1:$1048576,IF(OR($B600="STD. DEVIATION",$C$1=1),$A600,$A600+1),COLUMN('1-DATA'!F598)),IF($B600="STD. DEVIATION",2,$F$1))))</f>
        <v/>
      </c>
      <c r="H600" s="1" t="str">
        <f>IF(OR($B600="",H$7=""),"",IF($B600="MEANS",INDEX('1-DATA'!$1:$1048576,$A599-1,COLUMN('1-DATA'!G598)),ROUND(INDEX('1-DATA'!$1:$1048576,IF(OR($B600="STD. DEVIATION",$C$1=1),$A600,$A600+1),COLUMN('1-DATA'!G598)),IF($B600="STD. DEVIATION",2,$F$1))))</f>
        <v/>
      </c>
      <c r="I600" s="1" t="str">
        <f>IF(OR($B600="",I$7=""),"",IF($B600="MEANS",INDEX('1-DATA'!$1:$1048576,$A599-1,COLUMN('1-DATA'!H598)),ROUND(INDEX('1-DATA'!$1:$1048576,IF(OR($B600="STD. DEVIATION",$C$1=1),$A600,$A600+1),COLUMN('1-DATA'!H598)),IF($B600="STD. DEVIATION",2,$F$1))))</f>
        <v/>
      </c>
      <c r="J600" s="1" t="str">
        <f>IF(OR($B600="",J$7=""),"",IF($B600="MEANS",INDEX('1-DATA'!$1:$1048576,$A599-1,COLUMN('1-DATA'!I598)),ROUND(INDEX('1-DATA'!$1:$1048576,IF(OR($B600="STD. DEVIATION",$C$1=1),$A600,$A600+1),COLUMN('1-DATA'!I598)),IF($B600="STD. DEVIATION",2,$F$1))))</f>
        <v/>
      </c>
      <c r="K600" s="1" t="str">
        <f>IF(OR($B600="",K$7=""),"",IF($B600="MEANS",INDEX('1-DATA'!$1:$1048576,$A599-1,COLUMN('1-DATA'!J598)),ROUND(INDEX('1-DATA'!$1:$1048576,IF(OR($B600="STD. DEVIATION",$C$1=1),$A600,$A600+1),COLUMN('1-DATA'!J598)),IF($B600="STD. DEVIATION",2,$F$1))))</f>
        <v/>
      </c>
      <c r="L600" s="1" t="str">
        <f>IF(OR($B600="",L$7=""),"",IF($B600="MEANS",INDEX('1-DATA'!$1:$1048576,$A599-1,COLUMN('1-DATA'!K598)),ROUND(INDEX('1-DATA'!$1:$1048576,IF(OR($B600="STD. DEVIATION",$C$1=1),$A600,$A600+1),COLUMN('1-DATA'!K598)),IF($B600="STD. DEVIATION",2,$F$1))))</f>
        <v/>
      </c>
      <c r="M600" s="1" t="str">
        <f>IF(OR($B600="",M$7=""),"",IF($B600="MEANS",INDEX('1-DATA'!$1:$1048576,$A599-1,COLUMN('1-DATA'!L598)),ROUND(INDEX('1-DATA'!$1:$1048576,IF(OR($B600="STD. DEVIATION",$C$1=1),$A600,$A600+1),COLUMN('1-DATA'!L598)),IF($B600="STD. DEVIATION",2,$F$1))))</f>
        <v/>
      </c>
      <c r="N600" s="1" t="str">
        <f>IF(OR($B600="",N$7=""),"",IF($B600="MEANS",INDEX('1-DATA'!$1:$1048576,$A599-1,COLUMN('1-DATA'!M598)),ROUND(INDEX('1-DATA'!$1:$1048576,IF(OR($B600="STD. DEVIATION",$C$1=1),$A600,$A600+1),COLUMN('1-DATA'!M598)),IF($B600="STD. DEVIATION",2,$F$1))))</f>
        <v/>
      </c>
      <c r="O600" s="1" t="str">
        <f>IF(OR($B600="",O$7=""),"",IF($B600="MEANS",INDEX('1-DATA'!$1:$1048576,$A599-1,COLUMN('1-DATA'!N598)),ROUND(INDEX('1-DATA'!$1:$1048576,IF(OR($B600="STD. DEVIATION",$C$1=1),$A600,$A600+1),COLUMN('1-DATA'!N598)),IF($B600="STD. DEVIATION",2,$F$1))))</f>
        <v/>
      </c>
      <c r="P600" s="1" t="str">
        <f>IF(OR($B600="",P$7=""),"",IF($B600="MEANS",INDEX('1-DATA'!$1:$1048576,$A599-1,COLUMN('1-DATA'!O598)),ROUND(INDEX('1-DATA'!$1:$1048576,IF(OR($B600="STD. DEVIATION",$C$1=1),$A600,$A600+1),COLUMN('1-DATA'!O598)),IF($B600="STD. DEVIATION",2,$F$1))))</f>
        <v/>
      </c>
      <c r="Q600" s="1" t="str">
        <f>IF(OR($B600="",Q$7=""),"",IF($B600="MEANS",INDEX('1-DATA'!$1:$1048576,$A599-1,COLUMN('1-DATA'!P598)),ROUND(INDEX('1-DATA'!$1:$1048576,IF(OR($B600="STD. DEVIATION",$C$1=1),$A600,$A600+1),COLUMN('1-DATA'!P598)),IF($B600="STD. DEVIATION",2,$F$1))))</f>
        <v/>
      </c>
      <c r="R600" s="1" t="str">
        <f>IF(OR($B600="",R$7=""),"",IF($B600="MEANS",INDEX('1-DATA'!$1:$1048576,$A599-1,COLUMN('1-DATA'!Q598)),ROUND(INDEX('1-DATA'!$1:$1048576,IF(OR($B600="STD. DEVIATION",$C$1=1),$A600,$A600+1),COLUMN('1-DATA'!Q598)),IF($B600="STD. DEVIATION",2,$F$1))))</f>
        <v/>
      </c>
      <c r="S600" s="1" t="str">
        <f>IF(OR($B600="",S$7=""),"",IF($B600="MEANS",INDEX('1-DATA'!$1:$1048576,$A599-1,COLUMN('1-DATA'!R598)),ROUND(INDEX('1-DATA'!$1:$1048576,IF(OR($B600="STD. DEVIATION",$C$1=1),$A600,$A600+1),COLUMN('1-DATA'!R598)),IF($B600="STD. DEVIATION",2,$F$1))))</f>
        <v/>
      </c>
      <c r="T600" s="1" t="str">
        <f>IF(OR($B600="",T$7=""),"",IF($B600="MEANS",INDEX('1-DATA'!$1:$1048576,$A599-1,COLUMN('1-DATA'!S598)),ROUND(INDEX('1-DATA'!$1:$1048576,IF(OR($B600="STD. DEVIATION",$C$1=1),$A600,$A600+1),COLUMN('1-DATA'!S598)),IF($B600="STD. DEVIATION",2,$F$1))))</f>
        <v/>
      </c>
      <c r="U600" s="1" t="str">
        <f>IF(OR($B600="",U$7=""),"",IF($B600="MEANS",INDEX('1-DATA'!$1:$1048576,$A599-1,COLUMN('1-DATA'!T598)),ROUND(INDEX('1-DATA'!$1:$1048576,IF(OR($B600="STD. DEVIATION",$C$1=1),$A600,$A600+1),COLUMN('1-DATA'!T598)),IF($B600="STD. DEVIATION",2,$F$1))))</f>
        <v/>
      </c>
      <c r="V600" s="1" t="str">
        <f>IF(OR($B600="",V$7=""),"",IF($B600="MEANS",INDEX('1-DATA'!$1:$1048576,$A599-1,COLUMN('1-DATA'!U598)),ROUND(INDEX('1-DATA'!$1:$1048576,IF(OR($B600="STD. DEVIATION",$C$1=1),$A600,$A600+1),COLUMN('1-DATA'!U598)),IF($B600="STD. DEVIATION",2,$F$1))))</f>
        <v/>
      </c>
      <c r="W600" s="1" t="str">
        <f>IF(OR($B600="",W$7=""),"",IF($B600="MEANS",INDEX('1-DATA'!$1:$1048576,$A599-1,COLUMN('1-DATA'!V598)),ROUND(INDEX('1-DATA'!$1:$1048576,IF(OR($B600="STD. DEVIATION",$C$1=1),$A600,$A600+1),COLUMN('1-DATA'!V598)),IF($B600="STD. DEVIATION",2,$F$1))))</f>
        <v/>
      </c>
      <c r="X600" s="1" t="str">
        <f>IF(OR($B600="",X$7=""),"",IF($B600="MEANS",INDEX('1-DATA'!$1:$1048576,$A599-1,COLUMN('1-DATA'!W598)),ROUND(INDEX('1-DATA'!$1:$1048576,IF(OR($B600="STD. DEVIATION",$C$1=1),$A600,$A600+1),COLUMN('1-DATA'!W598)),IF($B600="STD. DEVIATION",2,$F$1))))</f>
        <v/>
      </c>
      <c r="Y600" s="1" t="str">
        <f>IF(OR($B600="",Y$7=""),"",IF($B600="MEANS",INDEX('1-DATA'!$1:$1048576,$A599-1,COLUMN('1-DATA'!X598)),ROUND(INDEX('1-DATA'!$1:$1048576,IF(OR($B600="STD. DEVIATION",$C$1=1),$A600,$A600+1),COLUMN('1-DATA'!X598)),IF($B600="STD. DEVIATION",2,$F$1))))</f>
        <v/>
      </c>
      <c r="Z600" s="1" t="str">
        <f>IF(OR($B600="",Z$7=""),"",IF($B600="MEANS",INDEX('1-DATA'!$1:$1048576,$A599-1,COLUMN('1-DATA'!Y598)),ROUND(INDEX('1-DATA'!$1:$1048576,IF(OR($B600="STD. DEVIATION",$C$1=1),$A600,$A600+1),COLUMN('1-DATA'!Y598)),IF($B600="STD. DEVIATION",2,$F$1))))</f>
        <v/>
      </c>
      <c r="AA600" s="1" t="str">
        <f>IF(OR($B600="",AA$7=""),"",IF($B600="MEANS",INDEX('1-DATA'!$1:$1048576,$A599-1,COLUMN('1-DATA'!Z598)),ROUND(INDEX('1-DATA'!$1:$1048576,IF(OR($B600="STD. DEVIATION",$C$1=1),$A600,$A600+1),COLUMN('1-DATA'!Z598)),IF($B600="STD. DEVIATION",2,$F$1))))</f>
        <v/>
      </c>
      <c r="AB600" s="1" t="str">
        <f>IF(OR($B600="",AB$7=""),"",IF($B600="MEANS",INDEX('1-DATA'!$1:$1048576,$A599-1,COLUMN('1-DATA'!AA598)),ROUND(INDEX('1-DATA'!$1:$1048576,IF(OR($B600="STD. DEVIATION",$C$1=1),$A600,$A600+1),COLUMN('1-DATA'!AA598)),IF($B600="STD. DEVIATION",2,$F$1))))</f>
        <v/>
      </c>
      <c r="AC600" s="1" t="str">
        <f>IF(OR($B600="",AC$7=""),"",IF($B600="MEANS",INDEX('1-DATA'!$1:$1048576,$A599-1,COLUMN('1-DATA'!AB598)),ROUND(INDEX('1-DATA'!$1:$1048576,IF(OR($B600="STD. DEVIATION",$C$1=1),$A600,$A600+1),COLUMN('1-DATA'!AB598)),IF($B600="STD. DEVIATION",2,$F$1))))</f>
        <v/>
      </c>
      <c r="AD600" s="1" t="str">
        <f>IF(OR($B600="",AD$7=""),"",IF($B600="MEANS",INDEX('1-DATA'!$1:$1048576,$A599-1,COLUMN('1-DATA'!AC598)),ROUND(INDEX('1-DATA'!$1:$1048576,IF(OR($B600="STD. DEVIATION",$C$1=1),$A600,$A600+1),COLUMN('1-DATA'!AC598)),IF($B600="STD. DEVIATION",2,$F$1))))</f>
        <v/>
      </c>
      <c r="AE600" s="1" t="str">
        <f>IF(OR($B600="",AE$7=""),"",IF($B600="MEANS",INDEX('1-DATA'!$1:$1048576,$A599-1,COLUMN('1-DATA'!AD598)),ROUND(INDEX('1-DATA'!$1:$1048576,IF(OR($B600="STD. DEVIATION",$C$1=1),$A600,$A600+1),COLUMN('1-DATA'!AD598)),IF($B600="STD. DEVIATION",2,$F$1))))</f>
        <v/>
      </c>
      <c r="AF600" s="1" t="str">
        <f>IF(OR($B600="",AF$7=""),"",IF($B600="MEANS",INDEX('1-DATA'!$1:$1048576,$A599-1,COLUMN('1-DATA'!AE598)),ROUND(INDEX('1-DATA'!$1:$1048576,IF(OR($B600="STD. DEVIATION",$C$1=1),$A600,$A600+1),COLUMN('1-DATA'!AE598)),IF($B600="STD. DEVIATION",2,$F$1))))</f>
        <v/>
      </c>
      <c r="AG600" s="1" t="str">
        <f>IF(OR($B600="",AG$7=""),"",IF($B600="MEANS",INDEX('1-DATA'!$1:$1048576,$A599-1,COLUMN('1-DATA'!AF598)),ROUND(INDEX('1-DATA'!$1:$1048576,IF(OR($B600="STD. DEVIATION",$C$1=1),$A600,$A600+1),COLUMN('1-DATA'!AF598)),IF($B600="STD. DEVIATION",2,$F$1))))</f>
        <v/>
      </c>
      <c r="AH600" s="1" t="str">
        <f>IF(OR($B600="",AH$7=""),"",IF($B600="MEANS",INDEX('1-DATA'!$1:$1048576,$A599-1,COLUMN('1-DATA'!AG598)),ROUND(INDEX('1-DATA'!$1:$1048576,IF(OR($B600="STD. DEVIATION",$C$1=1),$A600,$A600+1),COLUMN('1-DATA'!AG598)),IF($B600="STD. DEVIATION",2,$F$1))))</f>
        <v/>
      </c>
      <c r="AI600" s="1" t="str">
        <f>IF(OR($B600="",AI$7=""),"",IF($B600="MEANS",INDEX('1-DATA'!$1:$1048576,$A599-1,COLUMN('1-DATA'!AH598)),ROUND(INDEX('1-DATA'!$1:$1048576,IF(OR($B600="STD. DEVIATION",$C$1=1),$A600,$A600+1),COLUMN('1-DATA'!AH598)),IF($B600="STD. DEVIATION",2,$F$1))))</f>
        <v/>
      </c>
      <c r="AJ600" s="1" t="str">
        <f>IF(OR($B600="",AJ$7=""),"",IF($B600="MEANS",INDEX('1-DATA'!$1:$1048576,$A599-1,COLUMN('1-DATA'!AI598)),ROUND(INDEX('1-DATA'!$1:$1048576,IF(OR($B600="STD. DEVIATION",$C$1=1),$A600,$A600+1),COLUMN('1-DATA'!AI598)),IF($B600="STD. DEVIATION",2,$F$1))))</f>
        <v/>
      </c>
      <c r="AK600" s="1" t="str">
        <f>IF(OR($B600="",AK$7=""),"",IF($B600="MEANS",INDEX('1-DATA'!$1:$1048576,$A599-1,COLUMN('1-DATA'!AJ598)),ROUND(INDEX('1-DATA'!$1:$1048576,IF(OR($B600="STD. DEVIATION",$C$1=1),$A600,$A600+1),COLUMN('1-DATA'!AJ598)),IF($B600="STD. DEVIATION",2,$F$1))))</f>
        <v/>
      </c>
      <c r="AL600" s="1" t="str">
        <f>IF(OR($B600="",AL$7=""),"",IF($B600="MEANS",INDEX('1-DATA'!$1:$1048576,$A599-1,COLUMN('1-DATA'!AK598)),ROUND(INDEX('1-DATA'!$1:$1048576,IF(OR($B600="STD. DEVIATION",$C$1=1),$A600,$A600+1),COLUMN('1-DATA'!AK598)),IF($B600="STD. DEVIATION",2,$F$1))))</f>
        <v/>
      </c>
      <c r="AM600" s="1" t="str">
        <f>IF(OR($B600="",AM$7=""),"",IF($B600="MEANS",INDEX('1-DATA'!$1:$1048576,$A599-1,COLUMN('1-DATA'!AL598)),ROUND(INDEX('1-DATA'!$1:$1048576,IF(OR($B600="STD. DEVIATION",$C$1=1),$A600,$A600+1),COLUMN('1-DATA'!AL598)),IF($B600="STD. DEVIATION",2,$F$1))))</f>
        <v/>
      </c>
      <c r="AN600" s="1" t="str">
        <f>IF(OR($B600="",AN$7=""),"",IF($B600="MEANS",INDEX('1-DATA'!$1:$1048576,$A599-1,COLUMN('1-DATA'!AM598)),ROUND(INDEX('1-DATA'!$1:$1048576,IF(OR($B600="STD. DEVIATION",$C$1=1),$A600,$A600+1),COLUMN('1-DATA'!AM598)),IF($B600="STD. DEVIATION",2,$F$1))))</f>
        <v/>
      </c>
      <c r="AO600" s="1" t="str">
        <f>IF(OR($B600="",AO$7=""),"",IF($B600="MEANS",INDEX('1-DATA'!$1:$1048576,$A599-1,COLUMN('1-DATA'!AN598)),ROUND(INDEX('1-DATA'!$1:$1048576,IF(OR($B600="STD. DEVIATION",$C$1=1),$A600,$A600+1),COLUMN('1-DATA'!AN598)),IF($B600="STD. DEVIATION",2,$F$1))))</f>
        <v/>
      </c>
      <c r="AP600" s="1" t="str">
        <f>IF(OR($B600="",AP$7=""),"",IF($B600="MEANS",INDEX('1-DATA'!$1:$1048576,$A599-1,COLUMN('1-DATA'!AO598)),ROUND(INDEX('1-DATA'!$1:$1048576,IF(OR($B600="STD. DEVIATION",$C$1=1),$A600,$A600+1),COLUMN('1-DATA'!AO598)),IF($B600="STD. DEVIATION",2,$F$1))))</f>
        <v/>
      </c>
      <c r="AQ600" s="1" t="str">
        <f>IF(OR($B600="",AQ$7=""),"",IF($B600="MEANS",INDEX('1-DATA'!$1:$1048576,$A599-1,COLUMN('1-DATA'!AP598)),ROUND(INDEX('1-DATA'!$1:$1048576,IF(OR($B600="STD. DEVIATION",$C$1=1),$A600,$A600+1),COLUMN('1-DATA'!AP598)),IF($B600="STD. DEVIATION",2,$F$1))))</f>
        <v/>
      </c>
      <c r="AR600" s="1" t="str">
        <f>IF(OR($B600="",AR$7=""),"",IF($B600="MEANS",INDEX('1-DATA'!$1:$1048576,$A599-1,COLUMN('1-DATA'!AQ598)),ROUND(INDEX('1-DATA'!$1:$1048576,IF(OR($B600="STD. DEVIATION",$C$1=1),$A600,$A600+1),COLUMN('1-DATA'!AQ598)),IF($B600="STD. DEVIATION",2,$F$1))))</f>
        <v/>
      </c>
      <c r="AS600" s="1" t="str">
        <f>IF(OR($B600="",AS$7=""),"",IF($B600="MEANS",INDEX('1-DATA'!$1:$1048576,$A599-1,COLUMN('1-DATA'!AR598)),ROUND(INDEX('1-DATA'!$1:$1048576,IF(OR($B600="STD. DEVIATION",$C$1=1),$A600,$A600+1),COLUMN('1-DATA'!AR598)),IF($B600="STD. DEVIATION",2,$F$1))))</f>
        <v/>
      </c>
      <c r="AT600" s="1" t="str">
        <f>IF(OR($B600="",AT$7=""),"",IF($B600="MEANS",INDEX('1-DATA'!$1:$1048576,$A599-1,COLUMN('1-DATA'!AS598)),ROUND(INDEX('1-DATA'!$1:$1048576,IF(OR($B600="STD. DEVIATION",$C$1=1),$A600,$A600+1),COLUMN('1-DATA'!AS598)),IF($B600="STD. DEVIATION",2,$F$1))))</f>
        <v/>
      </c>
      <c r="AU600" s="1" t="str">
        <f>IF(OR($B600="",AU$7=""),"",IF($B600="MEANS",INDEX('1-DATA'!$1:$1048576,$A599-1,COLUMN('1-DATA'!AT598)),ROUND(INDEX('1-DATA'!$1:$1048576,IF(OR($B600="STD. DEVIATION",$C$1=1),$A600,$A600+1),COLUMN('1-DATA'!AT598)),IF($B600="STD. DEVIATION",2,$F$1))))</f>
        <v/>
      </c>
      <c r="AV600" s="1" t="str">
        <f>IF(OR($B600="",AV$7=""),"",IF($B600="MEANS",INDEX('1-DATA'!$1:$1048576,$A599-1,COLUMN('1-DATA'!AU598)),ROUND(INDEX('1-DATA'!$1:$1048576,IF(OR($B600="STD. DEVIATION",$C$1=1),$A600,$A600+1),COLUMN('1-DATA'!AU598)),IF($B600="STD. DEVIATION",2,$F$1))))</f>
        <v/>
      </c>
      <c r="AW600" s="1" t="str">
        <f>IF(OR($B600="",AW$7=""),"",IF($B600="MEANS",INDEX('1-DATA'!$1:$1048576,$A599-1,COLUMN('1-DATA'!AV598)),ROUND(INDEX('1-DATA'!$1:$1048576,IF(OR($B600="STD. DEVIATION",$C$1=1),$A600,$A600+1),COLUMN('1-DATA'!AV598)),IF($B600="STD. DEVIATION",2,$F$1))))</f>
        <v/>
      </c>
      <c r="AX600" s="1" t="str">
        <f>IF(OR($B600="",AX$7=""),"",IF($B600="MEANS",INDEX('1-DATA'!$1:$1048576,$A599-1,COLUMN('1-DATA'!AW598)),ROUND(INDEX('1-DATA'!$1:$1048576,IF(OR($B600="STD. DEVIATION",$C$1=1),$A600,$A600+1),COLUMN('1-DATA'!AW598)),IF($B600="STD. DEVIATION",2,$F$1))))</f>
        <v/>
      </c>
      <c r="AY600" s="1" t="str">
        <f>IF(OR($B600="",AY$7=""),"",IF($B600="MEANS",INDEX('1-DATA'!$1:$1048576,$A599-1,COLUMN('1-DATA'!AX598)),ROUND(INDEX('1-DATA'!$1:$1048576,IF(OR($B600="STD. DEVIATION",$C$1=1),$A600,$A600+1),COLUMN('1-DATA'!AX598)),IF($B600="STD. DEVIATION",2,$F$1))))</f>
        <v/>
      </c>
      <c r="AZ600" s="1" t="str">
        <f>IF(OR($B600="",AZ$7=""),"",IF($B600="MEANS",INDEX('1-DATA'!$1:$1048576,$A599-1,COLUMN('1-DATA'!AY598)),ROUND(INDEX('1-DATA'!$1:$1048576,IF(OR($B600="STD. DEVIATION",$C$1=1),$A600,$A600+1),COLUMN('1-DATA'!AY598)),IF($B600="STD. DEVIATION",2,$F$1))))</f>
        <v/>
      </c>
    </row>
    <row r="601" spans="1:52" x14ac:dyDescent="0.25">
      <c r="A601" s="11">
        <f t="shared" si="9"/>
        <v>1789</v>
      </c>
      <c r="B601" s="1" t="str">
        <f>IF(B600="STD. DEVIATION",INDEX('1-DATA'!$1:$1048576,$A600-1,1),IF(INDEX('1-DATA'!$1:$1048576,$A601,1)&lt;&gt;"",INDEX('1-DATA'!$1:$1048576,$A601,1),""))</f>
        <v/>
      </c>
      <c r="C601" s="1" t="str">
        <f>IF(OR($B601="",C$7=""),"",IF($B601="MEANS",INDEX('1-DATA'!$1:$1048576,$A600-1,COLUMN('1-DATA'!B599)),ROUND(INDEX('1-DATA'!$1:$1048576,IF(OR($B601="STD. DEVIATION",$C$1=1),$A601,$A601+1),COLUMN('1-DATA'!B599)),IF($B601="STD. DEVIATION",2,$F$1))))</f>
        <v/>
      </c>
      <c r="D601" s="1" t="str">
        <f>IF(OR($B601="",D$7=""),"",IF($B601="MEANS",INDEX('1-DATA'!$1:$1048576,$A600-1,COLUMN('1-DATA'!C599)),ROUND(INDEX('1-DATA'!$1:$1048576,IF(OR($B601="STD. DEVIATION",$C$1=1),$A601,$A601+1),COLUMN('1-DATA'!C599)),IF($B601="STD. DEVIATION",2,$F$1))))</f>
        <v/>
      </c>
      <c r="E601" s="1" t="str">
        <f>IF(OR($B601="",E$7=""),"",IF($B601="MEANS",INDEX('1-DATA'!$1:$1048576,$A600-1,COLUMN('1-DATA'!D599)),ROUND(INDEX('1-DATA'!$1:$1048576,IF(OR($B601="STD. DEVIATION",$C$1=1),$A601,$A601+1),COLUMN('1-DATA'!D599)),IF($B601="STD. DEVIATION",2,$F$1))))</f>
        <v/>
      </c>
      <c r="F601" s="1" t="str">
        <f>IF(OR($B601="",F$7=""),"",IF($B601="MEANS",INDEX('1-DATA'!$1:$1048576,$A600-1,COLUMN('1-DATA'!E599)),ROUND(INDEX('1-DATA'!$1:$1048576,IF(OR($B601="STD. DEVIATION",$C$1=1),$A601,$A601+1),COLUMN('1-DATA'!E599)),IF($B601="STD. DEVIATION",2,$F$1))))</f>
        <v/>
      </c>
      <c r="G601" s="1" t="str">
        <f>IF(OR($B601="",G$7=""),"",IF($B601="MEANS",INDEX('1-DATA'!$1:$1048576,$A600-1,COLUMN('1-DATA'!F599)),ROUND(INDEX('1-DATA'!$1:$1048576,IF(OR($B601="STD. DEVIATION",$C$1=1),$A601,$A601+1),COLUMN('1-DATA'!F599)),IF($B601="STD. DEVIATION",2,$F$1))))</f>
        <v/>
      </c>
      <c r="H601" s="1" t="str">
        <f>IF(OR($B601="",H$7=""),"",IF($B601="MEANS",INDEX('1-DATA'!$1:$1048576,$A600-1,COLUMN('1-DATA'!G599)),ROUND(INDEX('1-DATA'!$1:$1048576,IF(OR($B601="STD. DEVIATION",$C$1=1),$A601,$A601+1),COLUMN('1-DATA'!G599)),IF($B601="STD. DEVIATION",2,$F$1))))</f>
        <v/>
      </c>
      <c r="I601" s="1" t="str">
        <f>IF(OR($B601="",I$7=""),"",IF($B601="MEANS",INDEX('1-DATA'!$1:$1048576,$A600-1,COLUMN('1-DATA'!H599)),ROUND(INDEX('1-DATA'!$1:$1048576,IF(OR($B601="STD. DEVIATION",$C$1=1),$A601,$A601+1),COLUMN('1-DATA'!H599)),IF($B601="STD. DEVIATION",2,$F$1))))</f>
        <v/>
      </c>
      <c r="J601" s="1" t="str">
        <f>IF(OR($B601="",J$7=""),"",IF($B601="MEANS",INDEX('1-DATA'!$1:$1048576,$A600-1,COLUMN('1-DATA'!I599)),ROUND(INDEX('1-DATA'!$1:$1048576,IF(OR($B601="STD. DEVIATION",$C$1=1),$A601,$A601+1),COLUMN('1-DATA'!I599)),IF($B601="STD. DEVIATION",2,$F$1))))</f>
        <v/>
      </c>
      <c r="K601" s="1" t="str">
        <f>IF(OR($B601="",K$7=""),"",IF($B601="MEANS",INDEX('1-DATA'!$1:$1048576,$A600-1,COLUMN('1-DATA'!J599)),ROUND(INDEX('1-DATA'!$1:$1048576,IF(OR($B601="STD. DEVIATION",$C$1=1),$A601,$A601+1),COLUMN('1-DATA'!J599)),IF($B601="STD. DEVIATION",2,$F$1))))</f>
        <v/>
      </c>
      <c r="L601" s="1" t="str">
        <f>IF(OR($B601="",L$7=""),"",IF($B601="MEANS",INDEX('1-DATA'!$1:$1048576,$A600-1,COLUMN('1-DATA'!K599)),ROUND(INDEX('1-DATA'!$1:$1048576,IF(OR($B601="STD. DEVIATION",$C$1=1),$A601,$A601+1),COLUMN('1-DATA'!K599)),IF($B601="STD. DEVIATION",2,$F$1))))</f>
        <v/>
      </c>
      <c r="M601" s="1" t="str">
        <f>IF(OR($B601="",M$7=""),"",IF($B601="MEANS",INDEX('1-DATA'!$1:$1048576,$A600-1,COLUMN('1-DATA'!L599)),ROUND(INDEX('1-DATA'!$1:$1048576,IF(OR($B601="STD. DEVIATION",$C$1=1),$A601,$A601+1),COLUMN('1-DATA'!L599)),IF($B601="STD. DEVIATION",2,$F$1))))</f>
        <v/>
      </c>
      <c r="N601" s="1" t="str">
        <f>IF(OR($B601="",N$7=""),"",IF($B601="MEANS",INDEX('1-DATA'!$1:$1048576,$A600-1,COLUMN('1-DATA'!M599)),ROUND(INDEX('1-DATA'!$1:$1048576,IF(OR($B601="STD. DEVIATION",$C$1=1),$A601,$A601+1),COLUMN('1-DATA'!M599)),IF($B601="STD. DEVIATION",2,$F$1))))</f>
        <v/>
      </c>
      <c r="O601" s="1" t="str">
        <f>IF(OR($B601="",O$7=""),"",IF($B601="MEANS",INDEX('1-DATA'!$1:$1048576,$A600-1,COLUMN('1-DATA'!N599)),ROUND(INDEX('1-DATA'!$1:$1048576,IF(OR($B601="STD. DEVIATION",$C$1=1),$A601,$A601+1),COLUMN('1-DATA'!N599)),IF($B601="STD. DEVIATION",2,$F$1))))</f>
        <v/>
      </c>
      <c r="P601" s="1" t="str">
        <f>IF(OR($B601="",P$7=""),"",IF($B601="MEANS",INDEX('1-DATA'!$1:$1048576,$A600-1,COLUMN('1-DATA'!O599)),ROUND(INDEX('1-DATA'!$1:$1048576,IF(OR($B601="STD. DEVIATION",$C$1=1),$A601,$A601+1),COLUMN('1-DATA'!O599)),IF($B601="STD. DEVIATION",2,$F$1))))</f>
        <v/>
      </c>
      <c r="Q601" s="1" t="str">
        <f>IF(OR($B601="",Q$7=""),"",IF($B601="MEANS",INDEX('1-DATA'!$1:$1048576,$A600-1,COLUMN('1-DATA'!P599)),ROUND(INDEX('1-DATA'!$1:$1048576,IF(OR($B601="STD. DEVIATION",$C$1=1),$A601,$A601+1),COLUMN('1-DATA'!P599)),IF($B601="STD. DEVIATION",2,$F$1))))</f>
        <v/>
      </c>
      <c r="R601" s="1" t="str">
        <f>IF(OR($B601="",R$7=""),"",IF($B601="MEANS",INDEX('1-DATA'!$1:$1048576,$A600-1,COLUMN('1-DATA'!Q599)),ROUND(INDEX('1-DATA'!$1:$1048576,IF(OR($B601="STD. DEVIATION",$C$1=1),$A601,$A601+1),COLUMN('1-DATA'!Q599)),IF($B601="STD. DEVIATION",2,$F$1))))</f>
        <v/>
      </c>
      <c r="S601" s="1" t="str">
        <f>IF(OR($B601="",S$7=""),"",IF($B601="MEANS",INDEX('1-DATA'!$1:$1048576,$A600-1,COLUMN('1-DATA'!R599)),ROUND(INDEX('1-DATA'!$1:$1048576,IF(OR($B601="STD. DEVIATION",$C$1=1),$A601,$A601+1),COLUMN('1-DATA'!R599)),IF($B601="STD. DEVIATION",2,$F$1))))</f>
        <v/>
      </c>
      <c r="T601" s="1" t="str">
        <f>IF(OR($B601="",T$7=""),"",IF($B601="MEANS",INDEX('1-DATA'!$1:$1048576,$A600-1,COLUMN('1-DATA'!S599)),ROUND(INDEX('1-DATA'!$1:$1048576,IF(OR($B601="STD. DEVIATION",$C$1=1),$A601,$A601+1),COLUMN('1-DATA'!S599)),IF($B601="STD. DEVIATION",2,$F$1))))</f>
        <v/>
      </c>
      <c r="U601" s="1" t="str">
        <f>IF(OR($B601="",U$7=""),"",IF($B601="MEANS",INDEX('1-DATA'!$1:$1048576,$A600-1,COLUMN('1-DATA'!T599)),ROUND(INDEX('1-DATA'!$1:$1048576,IF(OR($B601="STD. DEVIATION",$C$1=1),$A601,$A601+1),COLUMN('1-DATA'!T599)),IF($B601="STD. DEVIATION",2,$F$1))))</f>
        <v/>
      </c>
      <c r="V601" s="1" t="str">
        <f>IF(OR($B601="",V$7=""),"",IF($B601="MEANS",INDEX('1-DATA'!$1:$1048576,$A600-1,COLUMN('1-DATA'!U599)),ROUND(INDEX('1-DATA'!$1:$1048576,IF(OR($B601="STD. DEVIATION",$C$1=1),$A601,$A601+1),COLUMN('1-DATA'!U599)),IF($B601="STD. DEVIATION",2,$F$1))))</f>
        <v/>
      </c>
      <c r="W601" s="1" t="str">
        <f>IF(OR($B601="",W$7=""),"",IF($B601="MEANS",INDEX('1-DATA'!$1:$1048576,$A600-1,COLUMN('1-DATA'!V599)),ROUND(INDEX('1-DATA'!$1:$1048576,IF(OR($B601="STD. DEVIATION",$C$1=1),$A601,$A601+1),COLUMN('1-DATA'!V599)),IF($B601="STD. DEVIATION",2,$F$1))))</f>
        <v/>
      </c>
      <c r="X601" s="1" t="str">
        <f>IF(OR($B601="",X$7=""),"",IF($B601="MEANS",INDEX('1-DATA'!$1:$1048576,$A600-1,COLUMN('1-DATA'!W599)),ROUND(INDEX('1-DATA'!$1:$1048576,IF(OR($B601="STD. DEVIATION",$C$1=1),$A601,$A601+1),COLUMN('1-DATA'!W599)),IF($B601="STD. DEVIATION",2,$F$1))))</f>
        <v/>
      </c>
      <c r="Y601" s="1" t="str">
        <f>IF(OR($B601="",Y$7=""),"",IF($B601="MEANS",INDEX('1-DATA'!$1:$1048576,$A600-1,COLUMN('1-DATA'!X599)),ROUND(INDEX('1-DATA'!$1:$1048576,IF(OR($B601="STD. DEVIATION",$C$1=1),$A601,$A601+1),COLUMN('1-DATA'!X599)),IF($B601="STD. DEVIATION",2,$F$1))))</f>
        <v/>
      </c>
      <c r="Z601" s="1" t="str">
        <f>IF(OR($B601="",Z$7=""),"",IF($B601="MEANS",INDEX('1-DATA'!$1:$1048576,$A600-1,COLUMN('1-DATA'!Y599)),ROUND(INDEX('1-DATA'!$1:$1048576,IF(OR($B601="STD. DEVIATION",$C$1=1),$A601,$A601+1),COLUMN('1-DATA'!Y599)),IF($B601="STD. DEVIATION",2,$F$1))))</f>
        <v/>
      </c>
      <c r="AA601" s="1" t="str">
        <f>IF(OR($B601="",AA$7=""),"",IF($B601="MEANS",INDEX('1-DATA'!$1:$1048576,$A600-1,COLUMN('1-DATA'!Z599)),ROUND(INDEX('1-DATA'!$1:$1048576,IF(OR($B601="STD. DEVIATION",$C$1=1),$A601,$A601+1),COLUMN('1-DATA'!Z599)),IF($B601="STD. DEVIATION",2,$F$1))))</f>
        <v/>
      </c>
      <c r="AB601" s="1" t="str">
        <f>IF(OR($B601="",AB$7=""),"",IF($B601="MEANS",INDEX('1-DATA'!$1:$1048576,$A600-1,COLUMN('1-DATA'!AA599)),ROUND(INDEX('1-DATA'!$1:$1048576,IF(OR($B601="STD. DEVIATION",$C$1=1),$A601,$A601+1),COLUMN('1-DATA'!AA599)),IF($B601="STD. DEVIATION",2,$F$1))))</f>
        <v/>
      </c>
      <c r="AC601" s="1" t="str">
        <f>IF(OR($B601="",AC$7=""),"",IF($B601="MEANS",INDEX('1-DATA'!$1:$1048576,$A600-1,COLUMN('1-DATA'!AB599)),ROUND(INDEX('1-DATA'!$1:$1048576,IF(OR($B601="STD. DEVIATION",$C$1=1),$A601,$A601+1),COLUMN('1-DATA'!AB599)),IF($B601="STD. DEVIATION",2,$F$1))))</f>
        <v/>
      </c>
      <c r="AD601" s="1" t="str">
        <f>IF(OR($B601="",AD$7=""),"",IF($B601="MEANS",INDEX('1-DATA'!$1:$1048576,$A600-1,COLUMN('1-DATA'!AC599)),ROUND(INDEX('1-DATA'!$1:$1048576,IF(OR($B601="STD. DEVIATION",$C$1=1),$A601,$A601+1),COLUMN('1-DATA'!AC599)),IF($B601="STD. DEVIATION",2,$F$1))))</f>
        <v/>
      </c>
      <c r="AE601" s="1" t="str">
        <f>IF(OR($B601="",AE$7=""),"",IF($B601="MEANS",INDEX('1-DATA'!$1:$1048576,$A600-1,COLUMN('1-DATA'!AD599)),ROUND(INDEX('1-DATA'!$1:$1048576,IF(OR($B601="STD. DEVIATION",$C$1=1),$A601,$A601+1),COLUMN('1-DATA'!AD599)),IF($B601="STD. DEVIATION",2,$F$1))))</f>
        <v/>
      </c>
      <c r="AF601" s="1" t="str">
        <f>IF(OR($B601="",AF$7=""),"",IF($B601="MEANS",INDEX('1-DATA'!$1:$1048576,$A600-1,COLUMN('1-DATA'!AE599)),ROUND(INDEX('1-DATA'!$1:$1048576,IF(OR($B601="STD. DEVIATION",$C$1=1),$A601,$A601+1),COLUMN('1-DATA'!AE599)),IF($B601="STD. DEVIATION",2,$F$1))))</f>
        <v/>
      </c>
      <c r="AG601" s="1" t="str">
        <f>IF(OR($B601="",AG$7=""),"",IF($B601="MEANS",INDEX('1-DATA'!$1:$1048576,$A600-1,COLUMN('1-DATA'!AF599)),ROUND(INDEX('1-DATA'!$1:$1048576,IF(OR($B601="STD. DEVIATION",$C$1=1),$A601,$A601+1),COLUMN('1-DATA'!AF599)),IF($B601="STD. DEVIATION",2,$F$1))))</f>
        <v/>
      </c>
      <c r="AH601" s="1" t="str">
        <f>IF(OR($B601="",AH$7=""),"",IF($B601="MEANS",INDEX('1-DATA'!$1:$1048576,$A600-1,COLUMN('1-DATA'!AG599)),ROUND(INDEX('1-DATA'!$1:$1048576,IF(OR($B601="STD. DEVIATION",$C$1=1),$A601,$A601+1),COLUMN('1-DATA'!AG599)),IF($B601="STD. DEVIATION",2,$F$1))))</f>
        <v/>
      </c>
      <c r="AI601" s="1" t="str">
        <f>IF(OR($B601="",AI$7=""),"",IF($B601="MEANS",INDEX('1-DATA'!$1:$1048576,$A600-1,COLUMN('1-DATA'!AH599)),ROUND(INDEX('1-DATA'!$1:$1048576,IF(OR($B601="STD. DEVIATION",$C$1=1),$A601,$A601+1),COLUMN('1-DATA'!AH599)),IF($B601="STD. DEVIATION",2,$F$1))))</f>
        <v/>
      </c>
      <c r="AJ601" s="1" t="str">
        <f>IF(OR($B601="",AJ$7=""),"",IF($B601="MEANS",INDEX('1-DATA'!$1:$1048576,$A600-1,COLUMN('1-DATA'!AI599)),ROUND(INDEX('1-DATA'!$1:$1048576,IF(OR($B601="STD. DEVIATION",$C$1=1),$A601,$A601+1),COLUMN('1-DATA'!AI599)),IF($B601="STD. DEVIATION",2,$F$1))))</f>
        <v/>
      </c>
      <c r="AK601" s="1" t="str">
        <f>IF(OR($B601="",AK$7=""),"",IF($B601="MEANS",INDEX('1-DATA'!$1:$1048576,$A600-1,COLUMN('1-DATA'!AJ599)),ROUND(INDEX('1-DATA'!$1:$1048576,IF(OR($B601="STD. DEVIATION",$C$1=1),$A601,$A601+1),COLUMN('1-DATA'!AJ599)),IF($B601="STD. DEVIATION",2,$F$1))))</f>
        <v/>
      </c>
      <c r="AL601" s="1" t="str">
        <f>IF(OR($B601="",AL$7=""),"",IF($B601="MEANS",INDEX('1-DATA'!$1:$1048576,$A600-1,COLUMN('1-DATA'!AK599)),ROUND(INDEX('1-DATA'!$1:$1048576,IF(OR($B601="STD. DEVIATION",$C$1=1),$A601,$A601+1),COLUMN('1-DATA'!AK599)),IF($B601="STD. DEVIATION",2,$F$1))))</f>
        <v/>
      </c>
      <c r="AM601" s="1" t="str">
        <f>IF(OR($B601="",AM$7=""),"",IF($B601="MEANS",INDEX('1-DATA'!$1:$1048576,$A600-1,COLUMN('1-DATA'!AL599)),ROUND(INDEX('1-DATA'!$1:$1048576,IF(OR($B601="STD. DEVIATION",$C$1=1),$A601,$A601+1),COLUMN('1-DATA'!AL599)),IF($B601="STD. DEVIATION",2,$F$1))))</f>
        <v/>
      </c>
      <c r="AN601" s="1" t="str">
        <f>IF(OR($B601="",AN$7=""),"",IF($B601="MEANS",INDEX('1-DATA'!$1:$1048576,$A600-1,COLUMN('1-DATA'!AM599)),ROUND(INDEX('1-DATA'!$1:$1048576,IF(OR($B601="STD. DEVIATION",$C$1=1),$A601,$A601+1),COLUMN('1-DATA'!AM599)),IF($B601="STD. DEVIATION",2,$F$1))))</f>
        <v/>
      </c>
      <c r="AO601" s="1" t="str">
        <f>IF(OR($B601="",AO$7=""),"",IF($B601="MEANS",INDEX('1-DATA'!$1:$1048576,$A600-1,COLUMN('1-DATA'!AN599)),ROUND(INDEX('1-DATA'!$1:$1048576,IF(OR($B601="STD. DEVIATION",$C$1=1),$A601,$A601+1),COLUMN('1-DATA'!AN599)),IF($B601="STD. DEVIATION",2,$F$1))))</f>
        <v/>
      </c>
      <c r="AP601" s="1" t="str">
        <f>IF(OR($B601="",AP$7=""),"",IF($B601="MEANS",INDEX('1-DATA'!$1:$1048576,$A600-1,COLUMN('1-DATA'!AO599)),ROUND(INDEX('1-DATA'!$1:$1048576,IF(OR($B601="STD. DEVIATION",$C$1=1),$A601,$A601+1),COLUMN('1-DATA'!AO599)),IF($B601="STD. DEVIATION",2,$F$1))))</f>
        <v/>
      </c>
      <c r="AQ601" s="1" t="str">
        <f>IF(OR($B601="",AQ$7=""),"",IF($B601="MEANS",INDEX('1-DATA'!$1:$1048576,$A600-1,COLUMN('1-DATA'!AP599)),ROUND(INDEX('1-DATA'!$1:$1048576,IF(OR($B601="STD. DEVIATION",$C$1=1),$A601,$A601+1),COLUMN('1-DATA'!AP599)),IF($B601="STD. DEVIATION",2,$F$1))))</f>
        <v/>
      </c>
      <c r="AR601" s="1" t="str">
        <f>IF(OR($B601="",AR$7=""),"",IF($B601="MEANS",INDEX('1-DATA'!$1:$1048576,$A600-1,COLUMN('1-DATA'!AQ599)),ROUND(INDEX('1-DATA'!$1:$1048576,IF(OR($B601="STD. DEVIATION",$C$1=1),$A601,$A601+1),COLUMN('1-DATA'!AQ599)),IF($B601="STD. DEVIATION",2,$F$1))))</f>
        <v/>
      </c>
      <c r="AS601" s="1" t="str">
        <f>IF(OR($B601="",AS$7=""),"",IF($B601="MEANS",INDEX('1-DATA'!$1:$1048576,$A600-1,COLUMN('1-DATA'!AR599)),ROUND(INDEX('1-DATA'!$1:$1048576,IF(OR($B601="STD. DEVIATION",$C$1=1),$A601,$A601+1),COLUMN('1-DATA'!AR599)),IF($B601="STD. DEVIATION",2,$F$1))))</f>
        <v/>
      </c>
      <c r="AT601" s="1" t="str">
        <f>IF(OR($B601="",AT$7=""),"",IF($B601="MEANS",INDEX('1-DATA'!$1:$1048576,$A600-1,COLUMN('1-DATA'!AS599)),ROUND(INDEX('1-DATA'!$1:$1048576,IF(OR($B601="STD. DEVIATION",$C$1=1),$A601,$A601+1),COLUMN('1-DATA'!AS599)),IF($B601="STD. DEVIATION",2,$F$1))))</f>
        <v/>
      </c>
      <c r="AU601" s="1" t="str">
        <f>IF(OR($B601="",AU$7=""),"",IF($B601="MEANS",INDEX('1-DATA'!$1:$1048576,$A600-1,COLUMN('1-DATA'!AT599)),ROUND(INDEX('1-DATA'!$1:$1048576,IF(OR($B601="STD. DEVIATION",$C$1=1),$A601,$A601+1),COLUMN('1-DATA'!AT599)),IF($B601="STD. DEVIATION",2,$F$1))))</f>
        <v/>
      </c>
      <c r="AV601" s="1" t="str">
        <f>IF(OR($B601="",AV$7=""),"",IF($B601="MEANS",INDEX('1-DATA'!$1:$1048576,$A600-1,COLUMN('1-DATA'!AU599)),ROUND(INDEX('1-DATA'!$1:$1048576,IF(OR($B601="STD. DEVIATION",$C$1=1),$A601,$A601+1),COLUMN('1-DATA'!AU599)),IF($B601="STD. DEVIATION",2,$F$1))))</f>
        <v/>
      </c>
      <c r="AW601" s="1" t="str">
        <f>IF(OR($B601="",AW$7=""),"",IF($B601="MEANS",INDEX('1-DATA'!$1:$1048576,$A600-1,COLUMN('1-DATA'!AV599)),ROUND(INDEX('1-DATA'!$1:$1048576,IF(OR($B601="STD. DEVIATION",$C$1=1),$A601,$A601+1),COLUMN('1-DATA'!AV599)),IF($B601="STD. DEVIATION",2,$F$1))))</f>
        <v/>
      </c>
      <c r="AX601" s="1" t="str">
        <f>IF(OR($B601="",AX$7=""),"",IF($B601="MEANS",INDEX('1-DATA'!$1:$1048576,$A600-1,COLUMN('1-DATA'!AW599)),ROUND(INDEX('1-DATA'!$1:$1048576,IF(OR($B601="STD. DEVIATION",$C$1=1),$A601,$A601+1),COLUMN('1-DATA'!AW599)),IF($B601="STD. DEVIATION",2,$F$1))))</f>
        <v/>
      </c>
      <c r="AY601" s="1" t="str">
        <f>IF(OR($B601="",AY$7=""),"",IF($B601="MEANS",INDEX('1-DATA'!$1:$1048576,$A600-1,COLUMN('1-DATA'!AX599)),ROUND(INDEX('1-DATA'!$1:$1048576,IF(OR($B601="STD. DEVIATION",$C$1=1),$A601,$A601+1),COLUMN('1-DATA'!AX599)),IF($B601="STD. DEVIATION",2,$F$1))))</f>
        <v/>
      </c>
      <c r="AZ601" s="1" t="str">
        <f>IF(OR($B601="",AZ$7=""),"",IF($B601="MEANS",INDEX('1-DATA'!$1:$1048576,$A600-1,COLUMN('1-DATA'!AY599)),ROUND(INDEX('1-DATA'!$1:$1048576,IF(OR($B601="STD. DEVIATION",$C$1=1),$A601,$A601+1),COLUMN('1-DATA'!AY599)),IF($B601="STD. DEVIATION",2,$F$1))))</f>
        <v/>
      </c>
    </row>
    <row r="602" spans="1:52" x14ac:dyDescent="0.25">
      <c r="A602" s="11">
        <f t="shared" si="9"/>
        <v>1792</v>
      </c>
      <c r="B602" s="1" t="str">
        <f>IF(B601="STD. DEVIATION",INDEX('1-DATA'!$1:$1048576,$A601-1,1),IF(INDEX('1-DATA'!$1:$1048576,$A602,1)&lt;&gt;"",INDEX('1-DATA'!$1:$1048576,$A602,1),""))</f>
        <v/>
      </c>
      <c r="C602" s="1" t="str">
        <f>IF(OR($B602="",C$7=""),"",IF($B602="MEANS",INDEX('1-DATA'!$1:$1048576,$A601-1,COLUMN('1-DATA'!B600)),ROUND(INDEX('1-DATA'!$1:$1048576,IF(OR($B602="STD. DEVIATION",$C$1=1),$A602,$A602+1),COLUMN('1-DATA'!B600)),IF($B602="STD. DEVIATION",2,$F$1))))</f>
        <v/>
      </c>
      <c r="D602" s="1" t="str">
        <f>IF(OR($B602="",D$7=""),"",IF($B602="MEANS",INDEX('1-DATA'!$1:$1048576,$A601-1,COLUMN('1-DATA'!C600)),ROUND(INDEX('1-DATA'!$1:$1048576,IF(OR($B602="STD. DEVIATION",$C$1=1),$A602,$A602+1),COLUMN('1-DATA'!C600)),IF($B602="STD. DEVIATION",2,$F$1))))</f>
        <v/>
      </c>
      <c r="E602" s="1" t="str">
        <f>IF(OR($B602="",E$7=""),"",IF($B602="MEANS",INDEX('1-DATA'!$1:$1048576,$A601-1,COLUMN('1-DATA'!D600)),ROUND(INDEX('1-DATA'!$1:$1048576,IF(OR($B602="STD. DEVIATION",$C$1=1),$A602,$A602+1),COLUMN('1-DATA'!D600)),IF($B602="STD. DEVIATION",2,$F$1))))</f>
        <v/>
      </c>
      <c r="F602" s="1" t="str">
        <f>IF(OR($B602="",F$7=""),"",IF($B602="MEANS",INDEX('1-DATA'!$1:$1048576,$A601-1,COLUMN('1-DATA'!E600)),ROUND(INDEX('1-DATA'!$1:$1048576,IF(OR($B602="STD. DEVIATION",$C$1=1),$A602,$A602+1),COLUMN('1-DATA'!E600)),IF($B602="STD. DEVIATION",2,$F$1))))</f>
        <v/>
      </c>
      <c r="G602" s="1" t="str">
        <f>IF(OR($B602="",G$7=""),"",IF($B602="MEANS",INDEX('1-DATA'!$1:$1048576,$A601-1,COLUMN('1-DATA'!F600)),ROUND(INDEX('1-DATA'!$1:$1048576,IF(OR($B602="STD. DEVIATION",$C$1=1),$A602,$A602+1),COLUMN('1-DATA'!F600)),IF($B602="STD. DEVIATION",2,$F$1))))</f>
        <v/>
      </c>
      <c r="H602" s="1" t="str">
        <f>IF(OR($B602="",H$7=""),"",IF($B602="MEANS",INDEX('1-DATA'!$1:$1048576,$A601-1,COLUMN('1-DATA'!G600)),ROUND(INDEX('1-DATA'!$1:$1048576,IF(OR($B602="STD. DEVIATION",$C$1=1),$A602,$A602+1),COLUMN('1-DATA'!G600)),IF($B602="STD. DEVIATION",2,$F$1))))</f>
        <v/>
      </c>
      <c r="I602" s="1" t="str">
        <f>IF(OR($B602="",I$7=""),"",IF($B602="MEANS",INDEX('1-DATA'!$1:$1048576,$A601-1,COLUMN('1-DATA'!H600)),ROUND(INDEX('1-DATA'!$1:$1048576,IF(OR($B602="STD. DEVIATION",$C$1=1),$A602,$A602+1),COLUMN('1-DATA'!H600)),IF($B602="STD. DEVIATION",2,$F$1))))</f>
        <v/>
      </c>
      <c r="J602" s="1" t="str">
        <f>IF(OR($B602="",J$7=""),"",IF($B602="MEANS",INDEX('1-DATA'!$1:$1048576,$A601-1,COLUMN('1-DATA'!I600)),ROUND(INDEX('1-DATA'!$1:$1048576,IF(OR($B602="STD. DEVIATION",$C$1=1),$A602,$A602+1),COLUMN('1-DATA'!I600)),IF($B602="STD. DEVIATION",2,$F$1))))</f>
        <v/>
      </c>
      <c r="K602" s="1" t="str">
        <f>IF(OR($B602="",K$7=""),"",IF($B602="MEANS",INDEX('1-DATA'!$1:$1048576,$A601-1,COLUMN('1-DATA'!J600)),ROUND(INDEX('1-DATA'!$1:$1048576,IF(OR($B602="STD. DEVIATION",$C$1=1),$A602,$A602+1),COLUMN('1-DATA'!J600)),IF($B602="STD. DEVIATION",2,$F$1))))</f>
        <v/>
      </c>
      <c r="L602" s="1" t="str">
        <f>IF(OR($B602="",L$7=""),"",IF($B602="MEANS",INDEX('1-DATA'!$1:$1048576,$A601-1,COLUMN('1-DATA'!K600)),ROUND(INDEX('1-DATA'!$1:$1048576,IF(OR($B602="STD. DEVIATION",$C$1=1),$A602,$A602+1),COLUMN('1-DATA'!K600)),IF($B602="STD. DEVIATION",2,$F$1))))</f>
        <v/>
      </c>
      <c r="M602" s="1" t="str">
        <f>IF(OR($B602="",M$7=""),"",IF($B602="MEANS",INDEX('1-DATA'!$1:$1048576,$A601-1,COLUMN('1-DATA'!L600)),ROUND(INDEX('1-DATA'!$1:$1048576,IF(OR($B602="STD. DEVIATION",$C$1=1),$A602,$A602+1),COLUMN('1-DATA'!L600)),IF($B602="STD. DEVIATION",2,$F$1))))</f>
        <v/>
      </c>
      <c r="N602" s="1" t="str">
        <f>IF(OR($B602="",N$7=""),"",IF($B602="MEANS",INDEX('1-DATA'!$1:$1048576,$A601-1,COLUMN('1-DATA'!M600)),ROUND(INDEX('1-DATA'!$1:$1048576,IF(OR($B602="STD. DEVIATION",$C$1=1),$A602,$A602+1),COLUMN('1-DATA'!M600)),IF($B602="STD. DEVIATION",2,$F$1))))</f>
        <v/>
      </c>
      <c r="O602" s="1" t="str">
        <f>IF(OR($B602="",O$7=""),"",IF($B602="MEANS",INDEX('1-DATA'!$1:$1048576,$A601-1,COLUMN('1-DATA'!N600)),ROUND(INDEX('1-DATA'!$1:$1048576,IF(OR($B602="STD. DEVIATION",$C$1=1),$A602,$A602+1),COLUMN('1-DATA'!N600)),IF($B602="STD. DEVIATION",2,$F$1))))</f>
        <v/>
      </c>
      <c r="P602" s="1" t="str">
        <f>IF(OR($B602="",P$7=""),"",IF($B602="MEANS",INDEX('1-DATA'!$1:$1048576,$A601-1,COLUMN('1-DATA'!O600)),ROUND(INDEX('1-DATA'!$1:$1048576,IF(OR($B602="STD. DEVIATION",$C$1=1),$A602,$A602+1),COLUMN('1-DATA'!O600)),IF($B602="STD. DEVIATION",2,$F$1))))</f>
        <v/>
      </c>
      <c r="Q602" s="1" t="str">
        <f>IF(OR($B602="",Q$7=""),"",IF($B602="MEANS",INDEX('1-DATA'!$1:$1048576,$A601-1,COLUMN('1-DATA'!P600)),ROUND(INDEX('1-DATA'!$1:$1048576,IF(OR($B602="STD. DEVIATION",$C$1=1),$A602,$A602+1),COLUMN('1-DATA'!P600)),IF($B602="STD. DEVIATION",2,$F$1))))</f>
        <v/>
      </c>
      <c r="R602" s="1" t="str">
        <f>IF(OR($B602="",R$7=""),"",IF($B602="MEANS",INDEX('1-DATA'!$1:$1048576,$A601-1,COLUMN('1-DATA'!Q600)),ROUND(INDEX('1-DATA'!$1:$1048576,IF(OR($B602="STD. DEVIATION",$C$1=1),$A602,$A602+1),COLUMN('1-DATA'!Q600)),IF($B602="STD. DEVIATION",2,$F$1))))</f>
        <v/>
      </c>
      <c r="S602" s="1" t="str">
        <f>IF(OR($B602="",S$7=""),"",IF($B602="MEANS",INDEX('1-DATA'!$1:$1048576,$A601-1,COLUMN('1-DATA'!R600)),ROUND(INDEX('1-DATA'!$1:$1048576,IF(OR($B602="STD. DEVIATION",$C$1=1),$A602,$A602+1),COLUMN('1-DATA'!R600)),IF($B602="STD. DEVIATION",2,$F$1))))</f>
        <v/>
      </c>
      <c r="T602" s="1" t="str">
        <f>IF(OR($B602="",T$7=""),"",IF($B602="MEANS",INDEX('1-DATA'!$1:$1048576,$A601-1,COLUMN('1-DATA'!S600)),ROUND(INDEX('1-DATA'!$1:$1048576,IF(OR($B602="STD. DEVIATION",$C$1=1),$A602,$A602+1),COLUMN('1-DATA'!S600)),IF($B602="STD. DEVIATION",2,$F$1))))</f>
        <v/>
      </c>
      <c r="U602" s="1" t="str">
        <f>IF(OR($B602="",U$7=""),"",IF($B602="MEANS",INDEX('1-DATA'!$1:$1048576,$A601-1,COLUMN('1-DATA'!T600)),ROUND(INDEX('1-DATA'!$1:$1048576,IF(OR($B602="STD. DEVIATION",$C$1=1),$A602,$A602+1),COLUMN('1-DATA'!T600)),IF($B602="STD. DEVIATION",2,$F$1))))</f>
        <v/>
      </c>
      <c r="V602" s="1" t="str">
        <f>IF(OR($B602="",V$7=""),"",IF($B602="MEANS",INDEX('1-DATA'!$1:$1048576,$A601-1,COLUMN('1-DATA'!U600)),ROUND(INDEX('1-DATA'!$1:$1048576,IF(OR($B602="STD. DEVIATION",$C$1=1),$A602,$A602+1),COLUMN('1-DATA'!U600)),IF($B602="STD. DEVIATION",2,$F$1))))</f>
        <v/>
      </c>
      <c r="W602" s="1" t="str">
        <f>IF(OR($B602="",W$7=""),"",IF($B602="MEANS",INDEX('1-DATA'!$1:$1048576,$A601-1,COLUMN('1-DATA'!V600)),ROUND(INDEX('1-DATA'!$1:$1048576,IF(OR($B602="STD. DEVIATION",$C$1=1),$A602,$A602+1),COLUMN('1-DATA'!V600)),IF($B602="STD. DEVIATION",2,$F$1))))</f>
        <v/>
      </c>
      <c r="X602" s="1" t="str">
        <f>IF(OR($B602="",X$7=""),"",IF($B602="MEANS",INDEX('1-DATA'!$1:$1048576,$A601-1,COLUMN('1-DATA'!W600)),ROUND(INDEX('1-DATA'!$1:$1048576,IF(OR($B602="STD. DEVIATION",$C$1=1),$A602,$A602+1),COLUMN('1-DATA'!W600)),IF($B602="STD. DEVIATION",2,$F$1))))</f>
        <v/>
      </c>
      <c r="Y602" s="1" t="str">
        <f>IF(OR($B602="",Y$7=""),"",IF($B602="MEANS",INDEX('1-DATA'!$1:$1048576,$A601-1,COLUMN('1-DATA'!X600)),ROUND(INDEX('1-DATA'!$1:$1048576,IF(OR($B602="STD. DEVIATION",$C$1=1),$A602,$A602+1),COLUMN('1-DATA'!X600)),IF($B602="STD. DEVIATION",2,$F$1))))</f>
        <v/>
      </c>
      <c r="Z602" s="1" t="str">
        <f>IF(OR($B602="",Z$7=""),"",IF($B602="MEANS",INDEX('1-DATA'!$1:$1048576,$A601-1,COLUMN('1-DATA'!Y600)),ROUND(INDEX('1-DATA'!$1:$1048576,IF(OR($B602="STD. DEVIATION",$C$1=1),$A602,$A602+1),COLUMN('1-DATA'!Y600)),IF($B602="STD. DEVIATION",2,$F$1))))</f>
        <v/>
      </c>
      <c r="AA602" s="1" t="str">
        <f>IF(OR($B602="",AA$7=""),"",IF($B602="MEANS",INDEX('1-DATA'!$1:$1048576,$A601-1,COLUMN('1-DATA'!Z600)),ROUND(INDEX('1-DATA'!$1:$1048576,IF(OR($B602="STD. DEVIATION",$C$1=1),$A602,$A602+1),COLUMN('1-DATA'!Z600)),IF($B602="STD. DEVIATION",2,$F$1))))</f>
        <v/>
      </c>
      <c r="AB602" s="1" t="str">
        <f>IF(OR($B602="",AB$7=""),"",IF($B602="MEANS",INDEX('1-DATA'!$1:$1048576,$A601-1,COLUMN('1-DATA'!AA600)),ROUND(INDEX('1-DATA'!$1:$1048576,IF(OR($B602="STD. DEVIATION",$C$1=1),$A602,$A602+1),COLUMN('1-DATA'!AA600)),IF($B602="STD. DEVIATION",2,$F$1))))</f>
        <v/>
      </c>
      <c r="AC602" s="1" t="str">
        <f>IF(OR($B602="",AC$7=""),"",IF($B602="MEANS",INDEX('1-DATA'!$1:$1048576,$A601-1,COLUMN('1-DATA'!AB600)),ROUND(INDEX('1-DATA'!$1:$1048576,IF(OR($B602="STD. DEVIATION",$C$1=1),$A602,$A602+1),COLUMN('1-DATA'!AB600)),IF($B602="STD. DEVIATION",2,$F$1))))</f>
        <v/>
      </c>
      <c r="AD602" s="1" t="str">
        <f>IF(OR($B602="",AD$7=""),"",IF($B602="MEANS",INDEX('1-DATA'!$1:$1048576,$A601-1,COLUMN('1-DATA'!AC600)),ROUND(INDEX('1-DATA'!$1:$1048576,IF(OR($B602="STD. DEVIATION",$C$1=1),$A602,$A602+1),COLUMN('1-DATA'!AC600)),IF($B602="STD. DEVIATION",2,$F$1))))</f>
        <v/>
      </c>
      <c r="AE602" s="1" t="str">
        <f>IF(OR($B602="",AE$7=""),"",IF($B602="MEANS",INDEX('1-DATA'!$1:$1048576,$A601-1,COLUMN('1-DATA'!AD600)),ROUND(INDEX('1-DATA'!$1:$1048576,IF(OR($B602="STD. DEVIATION",$C$1=1),$A602,$A602+1),COLUMN('1-DATA'!AD600)),IF($B602="STD. DEVIATION",2,$F$1))))</f>
        <v/>
      </c>
      <c r="AF602" s="1" t="str">
        <f>IF(OR($B602="",AF$7=""),"",IF($B602="MEANS",INDEX('1-DATA'!$1:$1048576,$A601-1,COLUMN('1-DATA'!AE600)),ROUND(INDEX('1-DATA'!$1:$1048576,IF(OR($B602="STD. DEVIATION",$C$1=1),$A602,$A602+1),COLUMN('1-DATA'!AE600)),IF($B602="STD. DEVIATION",2,$F$1))))</f>
        <v/>
      </c>
      <c r="AG602" s="1" t="str">
        <f>IF(OR($B602="",AG$7=""),"",IF($B602="MEANS",INDEX('1-DATA'!$1:$1048576,$A601-1,COLUMN('1-DATA'!AF600)),ROUND(INDEX('1-DATA'!$1:$1048576,IF(OR($B602="STD. DEVIATION",$C$1=1),$A602,$A602+1),COLUMN('1-DATA'!AF600)),IF($B602="STD. DEVIATION",2,$F$1))))</f>
        <v/>
      </c>
      <c r="AH602" s="1" t="str">
        <f>IF(OR($B602="",AH$7=""),"",IF($B602="MEANS",INDEX('1-DATA'!$1:$1048576,$A601-1,COLUMN('1-DATA'!AG600)),ROUND(INDEX('1-DATA'!$1:$1048576,IF(OR($B602="STD. DEVIATION",$C$1=1),$A602,$A602+1),COLUMN('1-DATA'!AG600)),IF($B602="STD. DEVIATION",2,$F$1))))</f>
        <v/>
      </c>
      <c r="AI602" s="1" t="str">
        <f>IF(OR($B602="",AI$7=""),"",IF($B602="MEANS",INDEX('1-DATA'!$1:$1048576,$A601-1,COLUMN('1-DATA'!AH600)),ROUND(INDEX('1-DATA'!$1:$1048576,IF(OR($B602="STD. DEVIATION",$C$1=1),$A602,$A602+1),COLUMN('1-DATA'!AH600)),IF($B602="STD. DEVIATION",2,$F$1))))</f>
        <v/>
      </c>
      <c r="AJ602" s="1" t="str">
        <f>IF(OR($B602="",AJ$7=""),"",IF($B602="MEANS",INDEX('1-DATA'!$1:$1048576,$A601-1,COLUMN('1-DATA'!AI600)),ROUND(INDEX('1-DATA'!$1:$1048576,IF(OR($B602="STD. DEVIATION",$C$1=1),$A602,$A602+1),COLUMN('1-DATA'!AI600)),IF($B602="STD. DEVIATION",2,$F$1))))</f>
        <v/>
      </c>
      <c r="AK602" s="1" t="str">
        <f>IF(OR($B602="",AK$7=""),"",IF($B602="MEANS",INDEX('1-DATA'!$1:$1048576,$A601-1,COLUMN('1-DATA'!AJ600)),ROUND(INDEX('1-DATA'!$1:$1048576,IF(OR($B602="STD. DEVIATION",$C$1=1),$A602,$A602+1),COLUMN('1-DATA'!AJ600)),IF($B602="STD. DEVIATION",2,$F$1))))</f>
        <v/>
      </c>
      <c r="AL602" s="1" t="str">
        <f>IF(OR($B602="",AL$7=""),"",IF($B602="MEANS",INDEX('1-DATA'!$1:$1048576,$A601-1,COLUMN('1-DATA'!AK600)),ROUND(INDEX('1-DATA'!$1:$1048576,IF(OR($B602="STD. DEVIATION",$C$1=1),$A602,$A602+1),COLUMN('1-DATA'!AK600)),IF($B602="STD. DEVIATION",2,$F$1))))</f>
        <v/>
      </c>
      <c r="AM602" s="1" t="str">
        <f>IF(OR($B602="",AM$7=""),"",IF($B602="MEANS",INDEX('1-DATA'!$1:$1048576,$A601-1,COLUMN('1-DATA'!AL600)),ROUND(INDEX('1-DATA'!$1:$1048576,IF(OR($B602="STD. DEVIATION",$C$1=1),$A602,$A602+1),COLUMN('1-DATA'!AL600)),IF($B602="STD. DEVIATION",2,$F$1))))</f>
        <v/>
      </c>
      <c r="AN602" s="1" t="str">
        <f>IF(OR($B602="",AN$7=""),"",IF($B602="MEANS",INDEX('1-DATA'!$1:$1048576,$A601-1,COLUMN('1-DATA'!AM600)),ROUND(INDEX('1-DATA'!$1:$1048576,IF(OR($B602="STD. DEVIATION",$C$1=1),$A602,$A602+1),COLUMN('1-DATA'!AM600)),IF($B602="STD. DEVIATION",2,$F$1))))</f>
        <v/>
      </c>
      <c r="AO602" s="1" t="str">
        <f>IF(OR($B602="",AO$7=""),"",IF($B602="MEANS",INDEX('1-DATA'!$1:$1048576,$A601-1,COLUMN('1-DATA'!AN600)),ROUND(INDEX('1-DATA'!$1:$1048576,IF(OR($B602="STD. DEVIATION",$C$1=1),$A602,$A602+1),COLUMN('1-DATA'!AN600)),IF($B602="STD. DEVIATION",2,$F$1))))</f>
        <v/>
      </c>
      <c r="AP602" s="1" t="str">
        <f>IF(OR($B602="",AP$7=""),"",IF($B602="MEANS",INDEX('1-DATA'!$1:$1048576,$A601-1,COLUMN('1-DATA'!AO600)),ROUND(INDEX('1-DATA'!$1:$1048576,IF(OR($B602="STD. DEVIATION",$C$1=1),$A602,$A602+1),COLUMN('1-DATA'!AO600)),IF($B602="STD. DEVIATION",2,$F$1))))</f>
        <v/>
      </c>
      <c r="AQ602" s="1" t="str">
        <f>IF(OR($B602="",AQ$7=""),"",IF($B602="MEANS",INDEX('1-DATA'!$1:$1048576,$A601-1,COLUMN('1-DATA'!AP600)),ROUND(INDEX('1-DATA'!$1:$1048576,IF(OR($B602="STD. DEVIATION",$C$1=1),$A602,$A602+1),COLUMN('1-DATA'!AP600)),IF($B602="STD. DEVIATION",2,$F$1))))</f>
        <v/>
      </c>
      <c r="AR602" s="1" t="str">
        <f>IF(OR($B602="",AR$7=""),"",IF($B602="MEANS",INDEX('1-DATA'!$1:$1048576,$A601-1,COLUMN('1-DATA'!AQ600)),ROUND(INDEX('1-DATA'!$1:$1048576,IF(OR($B602="STD. DEVIATION",$C$1=1),$A602,$A602+1),COLUMN('1-DATA'!AQ600)),IF($B602="STD. DEVIATION",2,$F$1))))</f>
        <v/>
      </c>
      <c r="AS602" s="1" t="str">
        <f>IF(OR($B602="",AS$7=""),"",IF($B602="MEANS",INDEX('1-DATA'!$1:$1048576,$A601-1,COLUMN('1-DATA'!AR600)),ROUND(INDEX('1-DATA'!$1:$1048576,IF(OR($B602="STD. DEVIATION",$C$1=1),$A602,$A602+1),COLUMN('1-DATA'!AR600)),IF($B602="STD. DEVIATION",2,$F$1))))</f>
        <v/>
      </c>
      <c r="AT602" s="1" t="str">
        <f>IF(OR($B602="",AT$7=""),"",IF($B602="MEANS",INDEX('1-DATA'!$1:$1048576,$A601-1,COLUMN('1-DATA'!AS600)),ROUND(INDEX('1-DATA'!$1:$1048576,IF(OR($B602="STD. DEVIATION",$C$1=1),$A602,$A602+1),COLUMN('1-DATA'!AS600)),IF($B602="STD. DEVIATION",2,$F$1))))</f>
        <v/>
      </c>
      <c r="AU602" s="1" t="str">
        <f>IF(OR($B602="",AU$7=""),"",IF($B602="MEANS",INDEX('1-DATA'!$1:$1048576,$A601-1,COLUMN('1-DATA'!AT600)),ROUND(INDEX('1-DATA'!$1:$1048576,IF(OR($B602="STD. DEVIATION",$C$1=1),$A602,$A602+1),COLUMN('1-DATA'!AT600)),IF($B602="STD. DEVIATION",2,$F$1))))</f>
        <v/>
      </c>
      <c r="AV602" s="1" t="str">
        <f>IF(OR($B602="",AV$7=""),"",IF($B602="MEANS",INDEX('1-DATA'!$1:$1048576,$A601-1,COLUMN('1-DATA'!AU600)),ROUND(INDEX('1-DATA'!$1:$1048576,IF(OR($B602="STD. DEVIATION",$C$1=1),$A602,$A602+1),COLUMN('1-DATA'!AU600)),IF($B602="STD. DEVIATION",2,$F$1))))</f>
        <v/>
      </c>
      <c r="AW602" s="1" t="str">
        <f>IF(OR($B602="",AW$7=""),"",IF($B602="MEANS",INDEX('1-DATA'!$1:$1048576,$A601-1,COLUMN('1-DATA'!AV600)),ROUND(INDEX('1-DATA'!$1:$1048576,IF(OR($B602="STD. DEVIATION",$C$1=1),$A602,$A602+1),COLUMN('1-DATA'!AV600)),IF($B602="STD. DEVIATION",2,$F$1))))</f>
        <v/>
      </c>
      <c r="AX602" s="1" t="str">
        <f>IF(OR($B602="",AX$7=""),"",IF($B602="MEANS",INDEX('1-DATA'!$1:$1048576,$A601-1,COLUMN('1-DATA'!AW600)),ROUND(INDEX('1-DATA'!$1:$1048576,IF(OR($B602="STD. DEVIATION",$C$1=1),$A602,$A602+1),COLUMN('1-DATA'!AW600)),IF($B602="STD. DEVIATION",2,$F$1))))</f>
        <v/>
      </c>
      <c r="AY602" s="1" t="str">
        <f>IF(OR($B602="",AY$7=""),"",IF($B602="MEANS",INDEX('1-DATA'!$1:$1048576,$A601-1,COLUMN('1-DATA'!AX600)),ROUND(INDEX('1-DATA'!$1:$1048576,IF(OR($B602="STD. DEVIATION",$C$1=1),$A602,$A602+1),COLUMN('1-DATA'!AX600)),IF($B602="STD. DEVIATION",2,$F$1))))</f>
        <v/>
      </c>
      <c r="AZ602" s="1" t="str">
        <f>IF(OR($B602="",AZ$7=""),"",IF($B602="MEANS",INDEX('1-DATA'!$1:$1048576,$A601-1,COLUMN('1-DATA'!AY600)),ROUND(INDEX('1-DATA'!$1:$1048576,IF(OR($B602="STD. DEVIATION",$C$1=1),$A602,$A602+1),COLUMN('1-DATA'!AY600)),IF($B602="STD. DEVIATION",2,$F$1))))</f>
        <v/>
      </c>
    </row>
    <row r="603" spans="1:52" x14ac:dyDescent="0.25">
      <c r="A603" s="11">
        <f t="shared" si="9"/>
        <v>1795</v>
      </c>
      <c r="B603" s="1" t="str">
        <f>IF(B602="STD. DEVIATION",INDEX('1-DATA'!$1:$1048576,$A602-1,1),IF(INDEX('1-DATA'!$1:$1048576,$A603,1)&lt;&gt;"",INDEX('1-DATA'!$1:$1048576,$A603,1),""))</f>
        <v/>
      </c>
      <c r="C603" s="1" t="str">
        <f>IF(OR($B603="",C$7=""),"",IF($B603="MEANS",INDEX('1-DATA'!$1:$1048576,$A602-1,COLUMN('1-DATA'!B601)),ROUND(INDEX('1-DATA'!$1:$1048576,IF(OR($B603="STD. DEVIATION",$C$1=1),$A603,$A603+1),COLUMN('1-DATA'!B601)),IF($B603="STD. DEVIATION",2,$F$1))))</f>
        <v/>
      </c>
      <c r="D603" s="1" t="str">
        <f>IF(OR($B603="",D$7=""),"",IF($B603="MEANS",INDEX('1-DATA'!$1:$1048576,$A602-1,COLUMN('1-DATA'!C601)),ROUND(INDEX('1-DATA'!$1:$1048576,IF(OR($B603="STD. DEVIATION",$C$1=1),$A603,$A603+1),COLUMN('1-DATA'!C601)),IF($B603="STD. DEVIATION",2,$F$1))))</f>
        <v/>
      </c>
      <c r="E603" s="1" t="str">
        <f>IF(OR($B603="",E$7=""),"",IF($B603="MEANS",INDEX('1-DATA'!$1:$1048576,$A602-1,COLUMN('1-DATA'!D601)),ROUND(INDEX('1-DATA'!$1:$1048576,IF(OR($B603="STD. DEVIATION",$C$1=1),$A603,$A603+1),COLUMN('1-DATA'!D601)),IF($B603="STD. DEVIATION",2,$F$1))))</f>
        <v/>
      </c>
      <c r="F603" s="1" t="str">
        <f>IF(OR($B603="",F$7=""),"",IF($B603="MEANS",INDEX('1-DATA'!$1:$1048576,$A602-1,COLUMN('1-DATA'!E601)),ROUND(INDEX('1-DATA'!$1:$1048576,IF(OR($B603="STD. DEVIATION",$C$1=1),$A603,$A603+1),COLUMN('1-DATA'!E601)),IF($B603="STD. DEVIATION",2,$F$1))))</f>
        <v/>
      </c>
      <c r="G603" s="1" t="str">
        <f>IF(OR($B603="",G$7=""),"",IF($B603="MEANS",INDEX('1-DATA'!$1:$1048576,$A602-1,COLUMN('1-DATA'!F601)),ROUND(INDEX('1-DATA'!$1:$1048576,IF(OR($B603="STD. DEVIATION",$C$1=1),$A603,$A603+1),COLUMN('1-DATA'!F601)),IF($B603="STD. DEVIATION",2,$F$1))))</f>
        <v/>
      </c>
      <c r="H603" s="1" t="str">
        <f>IF(OR($B603="",H$7=""),"",IF($B603="MEANS",INDEX('1-DATA'!$1:$1048576,$A602-1,COLUMN('1-DATA'!G601)),ROUND(INDEX('1-DATA'!$1:$1048576,IF(OR($B603="STD. DEVIATION",$C$1=1),$A603,$A603+1),COLUMN('1-DATA'!G601)),IF($B603="STD. DEVIATION",2,$F$1))))</f>
        <v/>
      </c>
      <c r="I603" s="1" t="str">
        <f>IF(OR($B603="",I$7=""),"",IF($B603="MEANS",INDEX('1-DATA'!$1:$1048576,$A602-1,COLUMN('1-DATA'!H601)),ROUND(INDEX('1-DATA'!$1:$1048576,IF(OR($B603="STD. DEVIATION",$C$1=1),$A603,$A603+1),COLUMN('1-DATA'!H601)),IF($B603="STD. DEVIATION",2,$F$1))))</f>
        <v/>
      </c>
      <c r="J603" s="1" t="str">
        <f>IF(OR($B603="",J$7=""),"",IF($B603="MEANS",INDEX('1-DATA'!$1:$1048576,$A602-1,COLUMN('1-DATA'!I601)),ROUND(INDEX('1-DATA'!$1:$1048576,IF(OR($B603="STD. DEVIATION",$C$1=1),$A603,$A603+1),COLUMN('1-DATA'!I601)),IF($B603="STD. DEVIATION",2,$F$1))))</f>
        <v/>
      </c>
      <c r="K603" s="1" t="str">
        <f>IF(OR($B603="",K$7=""),"",IF($B603="MEANS",INDEX('1-DATA'!$1:$1048576,$A602-1,COLUMN('1-DATA'!J601)),ROUND(INDEX('1-DATA'!$1:$1048576,IF(OR($B603="STD. DEVIATION",$C$1=1),$A603,$A603+1),COLUMN('1-DATA'!J601)),IF($B603="STD. DEVIATION",2,$F$1))))</f>
        <v/>
      </c>
      <c r="L603" s="1" t="str">
        <f>IF(OR($B603="",L$7=""),"",IF($B603="MEANS",INDEX('1-DATA'!$1:$1048576,$A602-1,COLUMN('1-DATA'!K601)),ROUND(INDEX('1-DATA'!$1:$1048576,IF(OR($B603="STD. DEVIATION",$C$1=1),$A603,$A603+1),COLUMN('1-DATA'!K601)),IF($B603="STD. DEVIATION",2,$F$1))))</f>
        <v/>
      </c>
      <c r="M603" s="1" t="str">
        <f>IF(OR($B603="",M$7=""),"",IF($B603="MEANS",INDEX('1-DATA'!$1:$1048576,$A602-1,COLUMN('1-DATA'!L601)),ROUND(INDEX('1-DATA'!$1:$1048576,IF(OR($B603="STD. DEVIATION",$C$1=1),$A603,$A603+1),COLUMN('1-DATA'!L601)),IF($B603="STD. DEVIATION",2,$F$1))))</f>
        <v/>
      </c>
      <c r="N603" s="1" t="str">
        <f>IF(OR($B603="",N$7=""),"",IF($B603="MEANS",INDEX('1-DATA'!$1:$1048576,$A602-1,COLUMN('1-DATA'!M601)),ROUND(INDEX('1-DATA'!$1:$1048576,IF(OR($B603="STD. DEVIATION",$C$1=1),$A603,$A603+1),COLUMN('1-DATA'!M601)),IF($B603="STD. DEVIATION",2,$F$1))))</f>
        <v/>
      </c>
      <c r="O603" s="1" t="str">
        <f>IF(OR($B603="",O$7=""),"",IF($B603="MEANS",INDEX('1-DATA'!$1:$1048576,$A602-1,COLUMN('1-DATA'!N601)),ROUND(INDEX('1-DATA'!$1:$1048576,IF(OR($B603="STD. DEVIATION",$C$1=1),$A603,$A603+1),COLUMN('1-DATA'!N601)),IF($B603="STD. DEVIATION",2,$F$1))))</f>
        <v/>
      </c>
      <c r="P603" s="1" t="str">
        <f>IF(OR($B603="",P$7=""),"",IF($B603="MEANS",INDEX('1-DATA'!$1:$1048576,$A602-1,COLUMN('1-DATA'!O601)),ROUND(INDEX('1-DATA'!$1:$1048576,IF(OR($B603="STD. DEVIATION",$C$1=1),$A603,$A603+1),COLUMN('1-DATA'!O601)),IF($B603="STD. DEVIATION",2,$F$1))))</f>
        <v/>
      </c>
      <c r="Q603" s="1" t="str">
        <f>IF(OR($B603="",Q$7=""),"",IF($B603="MEANS",INDEX('1-DATA'!$1:$1048576,$A602-1,COLUMN('1-DATA'!P601)),ROUND(INDEX('1-DATA'!$1:$1048576,IF(OR($B603="STD. DEVIATION",$C$1=1),$A603,$A603+1),COLUMN('1-DATA'!P601)),IF($B603="STD. DEVIATION",2,$F$1))))</f>
        <v/>
      </c>
      <c r="R603" s="1" t="str">
        <f>IF(OR($B603="",R$7=""),"",IF($B603="MEANS",INDEX('1-DATA'!$1:$1048576,$A602-1,COLUMN('1-DATA'!Q601)),ROUND(INDEX('1-DATA'!$1:$1048576,IF(OR($B603="STD. DEVIATION",$C$1=1),$A603,$A603+1),COLUMN('1-DATA'!Q601)),IF($B603="STD. DEVIATION",2,$F$1))))</f>
        <v/>
      </c>
      <c r="S603" s="1" t="str">
        <f>IF(OR($B603="",S$7=""),"",IF($B603="MEANS",INDEX('1-DATA'!$1:$1048576,$A602-1,COLUMN('1-DATA'!R601)),ROUND(INDEX('1-DATA'!$1:$1048576,IF(OR($B603="STD. DEVIATION",$C$1=1),$A603,$A603+1),COLUMN('1-DATA'!R601)),IF($B603="STD. DEVIATION",2,$F$1))))</f>
        <v/>
      </c>
      <c r="T603" s="1" t="str">
        <f>IF(OR($B603="",T$7=""),"",IF($B603="MEANS",INDEX('1-DATA'!$1:$1048576,$A602-1,COLUMN('1-DATA'!S601)),ROUND(INDEX('1-DATA'!$1:$1048576,IF(OR($B603="STD. DEVIATION",$C$1=1),$A603,$A603+1),COLUMN('1-DATA'!S601)),IF($B603="STD. DEVIATION",2,$F$1))))</f>
        <v/>
      </c>
      <c r="U603" s="1" t="str">
        <f>IF(OR($B603="",U$7=""),"",IF($B603="MEANS",INDEX('1-DATA'!$1:$1048576,$A602-1,COLUMN('1-DATA'!T601)),ROUND(INDEX('1-DATA'!$1:$1048576,IF(OR($B603="STD. DEVIATION",$C$1=1),$A603,$A603+1),COLUMN('1-DATA'!T601)),IF($B603="STD. DEVIATION",2,$F$1))))</f>
        <v/>
      </c>
      <c r="V603" s="1" t="str">
        <f>IF(OR($B603="",V$7=""),"",IF($B603="MEANS",INDEX('1-DATA'!$1:$1048576,$A602-1,COLUMN('1-DATA'!U601)),ROUND(INDEX('1-DATA'!$1:$1048576,IF(OR($B603="STD. DEVIATION",$C$1=1),$A603,$A603+1),COLUMN('1-DATA'!U601)),IF($B603="STD. DEVIATION",2,$F$1))))</f>
        <v/>
      </c>
      <c r="W603" s="1" t="str">
        <f>IF(OR($B603="",W$7=""),"",IF($B603="MEANS",INDEX('1-DATA'!$1:$1048576,$A602-1,COLUMN('1-DATA'!V601)),ROUND(INDEX('1-DATA'!$1:$1048576,IF(OR($B603="STD. DEVIATION",$C$1=1),$A603,$A603+1),COLUMN('1-DATA'!V601)),IF($B603="STD. DEVIATION",2,$F$1))))</f>
        <v/>
      </c>
      <c r="X603" s="1" t="str">
        <f>IF(OR($B603="",X$7=""),"",IF($B603="MEANS",INDEX('1-DATA'!$1:$1048576,$A602-1,COLUMN('1-DATA'!W601)),ROUND(INDEX('1-DATA'!$1:$1048576,IF(OR($B603="STD. DEVIATION",$C$1=1),$A603,$A603+1),COLUMN('1-DATA'!W601)),IF($B603="STD. DEVIATION",2,$F$1))))</f>
        <v/>
      </c>
      <c r="Y603" s="1" t="str">
        <f>IF(OR($B603="",Y$7=""),"",IF($B603="MEANS",INDEX('1-DATA'!$1:$1048576,$A602-1,COLUMN('1-DATA'!X601)),ROUND(INDEX('1-DATA'!$1:$1048576,IF(OR($B603="STD. DEVIATION",$C$1=1),$A603,$A603+1),COLUMN('1-DATA'!X601)),IF($B603="STD. DEVIATION",2,$F$1))))</f>
        <v/>
      </c>
      <c r="Z603" s="1" t="str">
        <f>IF(OR($B603="",Z$7=""),"",IF($B603="MEANS",INDEX('1-DATA'!$1:$1048576,$A602-1,COLUMN('1-DATA'!Y601)),ROUND(INDEX('1-DATA'!$1:$1048576,IF(OR($B603="STD. DEVIATION",$C$1=1),$A603,$A603+1),COLUMN('1-DATA'!Y601)),IF($B603="STD. DEVIATION",2,$F$1))))</f>
        <v/>
      </c>
      <c r="AA603" s="1" t="str">
        <f>IF(OR($B603="",AA$7=""),"",IF($B603="MEANS",INDEX('1-DATA'!$1:$1048576,$A602-1,COLUMN('1-DATA'!Z601)),ROUND(INDEX('1-DATA'!$1:$1048576,IF(OR($B603="STD. DEVIATION",$C$1=1),$A603,$A603+1),COLUMN('1-DATA'!Z601)),IF($B603="STD. DEVIATION",2,$F$1))))</f>
        <v/>
      </c>
      <c r="AB603" s="1" t="str">
        <f>IF(OR($B603="",AB$7=""),"",IF($B603="MEANS",INDEX('1-DATA'!$1:$1048576,$A602-1,COLUMN('1-DATA'!AA601)),ROUND(INDEX('1-DATA'!$1:$1048576,IF(OR($B603="STD. DEVIATION",$C$1=1),$A603,$A603+1),COLUMN('1-DATA'!AA601)),IF($B603="STD. DEVIATION",2,$F$1))))</f>
        <v/>
      </c>
      <c r="AC603" s="1" t="str">
        <f>IF(OR($B603="",AC$7=""),"",IF($B603="MEANS",INDEX('1-DATA'!$1:$1048576,$A602-1,COLUMN('1-DATA'!AB601)),ROUND(INDEX('1-DATA'!$1:$1048576,IF(OR($B603="STD. DEVIATION",$C$1=1),$A603,$A603+1),COLUMN('1-DATA'!AB601)),IF($B603="STD. DEVIATION",2,$F$1))))</f>
        <v/>
      </c>
      <c r="AD603" s="1" t="str">
        <f>IF(OR($B603="",AD$7=""),"",IF($B603="MEANS",INDEX('1-DATA'!$1:$1048576,$A602-1,COLUMN('1-DATA'!AC601)),ROUND(INDEX('1-DATA'!$1:$1048576,IF(OR($B603="STD. DEVIATION",$C$1=1),$A603,$A603+1),COLUMN('1-DATA'!AC601)),IF($B603="STD. DEVIATION",2,$F$1))))</f>
        <v/>
      </c>
      <c r="AE603" s="1" t="str">
        <f>IF(OR($B603="",AE$7=""),"",IF($B603="MEANS",INDEX('1-DATA'!$1:$1048576,$A602-1,COLUMN('1-DATA'!AD601)),ROUND(INDEX('1-DATA'!$1:$1048576,IF(OR($B603="STD. DEVIATION",$C$1=1),$A603,$A603+1),COLUMN('1-DATA'!AD601)),IF($B603="STD. DEVIATION",2,$F$1))))</f>
        <v/>
      </c>
      <c r="AF603" s="1" t="str">
        <f>IF(OR($B603="",AF$7=""),"",IF($B603="MEANS",INDEX('1-DATA'!$1:$1048576,$A602-1,COLUMN('1-DATA'!AE601)),ROUND(INDEX('1-DATA'!$1:$1048576,IF(OR($B603="STD. DEVIATION",$C$1=1),$A603,$A603+1),COLUMN('1-DATA'!AE601)),IF($B603="STD. DEVIATION",2,$F$1))))</f>
        <v/>
      </c>
      <c r="AG603" s="1" t="str">
        <f>IF(OR($B603="",AG$7=""),"",IF($B603="MEANS",INDEX('1-DATA'!$1:$1048576,$A602-1,COLUMN('1-DATA'!AF601)),ROUND(INDEX('1-DATA'!$1:$1048576,IF(OR($B603="STD. DEVIATION",$C$1=1),$A603,$A603+1),COLUMN('1-DATA'!AF601)),IF($B603="STD. DEVIATION",2,$F$1))))</f>
        <v/>
      </c>
      <c r="AH603" s="1" t="str">
        <f>IF(OR($B603="",AH$7=""),"",IF($B603="MEANS",INDEX('1-DATA'!$1:$1048576,$A602-1,COLUMN('1-DATA'!AG601)),ROUND(INDEX('1-DATA'!$1:$1048576,IF(OR($B603="STD. DEVIATION",$C$1=1),$A603,$A603+1),COLUMN('1-DATA'!AG601)),IF($B603="STD. DEVIATION",2,$F$1))))</f>
        <v/>
      </c>
      <c r="AI603" s="1" t="str">
        <f>IF(OR($B603="",AI$7=""),"",IF($B603="MEANS",INDEX('1-DATA'!$1:$1048576,$A602-1,COLUMN('1-DATA'!AH601)),ROUND(INDEX('1-DATA'!$1:$1048576,IF(OR($B603="STD. DEVIATION",$C$1=1),$A603,$A603+1),COLUMN('1-DATA'!AH601)),IF($B603="STD. DEVIATION",2,$F$1))))</f>
        <v/>
      </c>
      <c r="AJ603" s="1" t="str">
        <f>IF(OR($B603="",AJ$7=""),"",IF($B603="MEANS",INDEX('1-DATA'!$1:$1048576,$A602-1,COLUMN('1-DATA'!AI601)),ROUND(INDEX('1-DATA'!$1:$1048576,IF(OR($B603="STD. DEVIATION",$C$1=1),$A603,$A603+1),COLUMN('1-DATA'!AI601)),IF($B603="STD. DEVIATION",2,$F$1))))</f>
        <v/>
      </c>
      <c r="AK603" s="1" t="str">
        <f>IF(OR($B603="",AK$7=""),"",IF($B603="MEANS",INDEX('1-DATA'!$1:$1048576,$A602-1,COLUMN('1-DATA'!AJ601)),ROUND(INDEX('1-DATA'!$1:$1048576,IF(OR($B603="STD. DEVIATION",$C$1=1),$A603,$A603+1),COLUMN('1-DATA'!AJ601)),IF($B603="STD. DEVIATION",2,$F$1))))</f>
        <v/>
      </c>
      <c r="AL603" s="1" t="str">
        <f>IF(OR($B603="",AL$7=""),"",IF($B603="MEANS",INDEX('1-DATA'!$1:$1048576,$A602-1,COLUMN('1-DATA'!AK601)),ROUND(INDEX('1-DATA'!$1:$1048576,IF(OR($B603="STD. DEVIATION",$C$1=1),$A603,$A603+1),COLUMN('1-DATA'!AK601)),IF($B603="STD. DEVIATION",2,$F$1))))</f>
        <v/>
      </c>
      <c r="AM603" s="1" t="str">
        <f>IF(OR($B603="",AM$7=""),"",IF($B603="MEANS",INDEX('1-DATA'!$1:$1048576,$A602-1,COLUMN('1-DATA'!AL601)),ROUND(INDEX('1-DATA'!$1:$1048576,IF(OR($B603="STD. DEVIATION",$C$1=1),$A603,$A603+1),COLUMN('1-DATA'!AL601)),IF($B603="STD. DEVIATION",2,$F$1))))</f>
        <v/>
      </c>
      <c r="AN603" s="1" t="str">
        <f>IF(OR($B603="",AN$7=""),"",IF($B603="MEANS",INDEX('1-DATA'!$1:$1048576,$A602-1,COLUMN('1-DATA'!AM601)),ROUND(INDEX('1-DATA'!$1:$1048576,IF(OR($B603="STD. DEVIATION",$C$1=1),$A603,$A603+1),COLUMN('1-DATA'!AM601)),IF($B603="STD. DEVIATION",2,$F$1))))</f>
        <v/>
      </c>
      <c r="AO603" s="1" t="str">
        <f>IF(OR($B603="",AO$7=""),"",IF($B603="MEANS",INDEX('1-DATA'!$1:$1048576,$A602-1,COLUMN('1-DATA'!AN601)),ROUND(INDEX('1-DATA'!$1:$1048576,IF(OR($B603="STD. DEVIATION",$C$1=1),$A603,$A603+1),COLUMN('1-DATA'!AN601)),IF($B603="STD. DEVIATION",2,$F$1))))</f>
        <v/>
      </c>
      <c r="AP603" s="1" t="str">
        <f>IF(OR($B603="",AP$7=""),"",IF($B603="MEANS",INDEX('1-DATA'!$1:$1048576,$A602-1,COLUMN('1-DATA'!AO601)),ROUND(INDEX('1-DATA'!$1:$1048576,IF(OR($B603="STD. DEVIATION",$C$1=1),$A603,$A603+1),COLUMN('1-DATA'!AO601)),IF($B603="STD. DEVIATION",2,$F$1))))</f>
        <v/>
      </c>
      <c r="AQ603" s="1" t="str">
        <f>IF(OR($B603="",AQ$7=""),"",IF($B603="MEANS",INDEX('1-DATA'!$1:$1048576,$A602-1,COLUMN('1-DATA'!AP601)),ROUND(INDEX('1-DATA'!$1:$1048576,IF(OR($B603="STD. DEVIATION",$C$1=1),$A603,$A603+1),COLUMN('1-DATA'!AP601)),IF($B603="STD. DEVIATION",2,$F$1))))</f>
        <v/>
      </c>
      <c r="AR603" s="1" t="str">
        <f>IF(OR($B603="",AR$7=""),"",IF($B603="MEANS",INDEX('1-DATA'!$1:$1048576,$A602-1,COLUMN('1-DATA'!AQ601)),ROUND(INDEX('1-DATA'!$1:$1048576,IF(OR($B603="STD. DEVIATION",$C$1=1),$A603,$A603+1),COLUMN('1-DATA'!AQ601)),IF($B603="STD. DEVIATION",2,$F$1))))</f>
        <v/>
      </c>
      <c r="AS603" s="1" t="str">
        <f>IF(OR($B603="",AS$7=""),"",IF($B603="MEANS",INDEX('1-DATA'!$1:$1048576,$A602-1,COLUMN('1-DATA'!AR601)),ROUND(INDEX('1-DATA'!$1:$1048576,IF(OR($B603="STD. DEVIATION",$C$1=1),$A603,$A603+1),COLUMN('1-DATA'!AR601)),IF($B603="STD. DEVIATION",2,$F$1))))</f>
        <v/>
      </c>
      <c r="AT603" s="1" t="str">
        <f>IF(OR($B603="",AT$7=""),"",IF($B603="MEANS",INDEX('1-DATA'!$1:$1048576,$A602-1,COLUMN('1-DATA'!AS601)),ROUND(INDEX('1-DATA'!$1:$1048576,IF(OR($B603="STD. DEVIATION",$C$1=1),$A603,$A603+1),COLUMN('1-DATA'!AS601)),IF($B603="STD. DEVIATION",2,$F$1))))</f>
        <v/>
      </c>
      <c r="AU603" s="1" t="str">
        <f>IF(OR($B603="",AU$7=""),"",IF($B603="MEANS",INDEX('1-DATA'!$1:$1048576,$A602-1,COLUMN('1-DATA'!AT601)),ROUND(INDEX('1-DATA'!$1:$1048576,IF(OR($B603="STD. DEVIATION",$C$1=1),$A603,$A603+1),COLUMN('1-DATA'!AT601)),IF($B603="STD. DEVIATION",2,$F$1))))</f>
        <v/>
      </c>
      <c r="AV603" s="1" t="str">
        <f>IF(OR($B603="",AV$7=""),"",IF($B603="MEANS",INDEX('1-DATA'!$1:$1048576,$A602-1,COLUMN('1-DATA'!AU601)),ROUND(INDEX('1-DATA'!$1:$1048576,IF(OR($B603="STD. DEVIATION",$C$1=1),$A603,$A603+1),COLUMN('1-DATA'!AU601)),IF($B603="STD. DEVIATION",2,$F$1))))</f>
        <v/>
      </c>
      <c r="AW603" s="1" t="str">
        <f>IF(OR($B603="",AW$7=""),"",IF($B603="MEANS",INDEX('1-DATA'!$1:$1048576,$A602-1,COLUMN('1-DATA'!AV601)),ROUND(INDEX('1-DATA'!$1:$1048576,IF(OR($B603="STD. DEVIATION",$C$1=1),$A603,$A603+1),COLUMN('1-DATA'!AV601)),IF($B603="STD. DEVIATION",2,$F$1))))</f>
        <v/>
      </c>
      <c r="AX603" s="1" t="str">
        <f>IF(OR($B603="",AX$7=""),"",IF($B603="MEANS",INDEX('1-DATA'!$1:$1048576,$A602-1,COLUMN('1-DATA'!AW601)),ROUND(INDEX('1-DATA'!$1:$1048576,IF(OR($B603="STD. DEVIATION",$C$1=1),$A603,$A603+1),COLUMN('1-DATA'!AW601)),IF($B603="STD. DEVIATION",2,$F$1))))</f>
        <v/>
      </c>
      <c r="AY603" s="1" t="str">
        <f>IF(OR($B603="",AY$7=""),"",IF($B603="MEANS",INDEX('1-DATA'!$1:$1048576,$A602-1,COLUMN('1-DATA'!AX601)),ROUND(INDEX('1-DATA'!$1:$1048576,IF(OR($B603="STD. DEVIATION",$C$1=1),$A603,$A603+1),COLUMN('1-DATA'!AX601)),IF($B603="STD. DEVIATION",2,$F$1))))</f>
        <v/>
      </c>
      <c r="AZ603" s="1" t="str">
        <f>IF(OR($B603="",AZ$7=""),"",IF($B603="MEANS",INDEX('1-DATA'!$1:$1048576,$A602-1,COLUMN('1-DATA'!AY601)),ROUND(INDEX('1-DATA'!$1:$1048576,IF(OR($B603="STD. DEVIATION",$C$1=1),$A603,$A603+1),COLUMN('1-DATA'!AY601)),IF($B603="STD. DEVIATION",2,$F$1))))</f>
        <v/>
      </c>
    </row>
    <row r="604" spans="1:52" x14ac:dyDescent="0.25">
      <c r="A604" s="11">
        <f t="shared" si="9"/>
        <v>1798</v>
      </c>
      <c r="B604" s="1" t="str">
        <f>IF(B603="STD. DEVIATION",INDEX('1-DATA'!$1:$1048576,$A603-1,1),IF(INDEX('1-DATA'!$1:$1048576,$A604,1)&lt;&gt;"",INDEX('1-DATA'!$1:$1048576,$A604,1),""))</f>
        <v/>
      </c>
      <c r="C604" s="1" t="str">
        <f>IF(OR($B604="",C$7=""),"",IF($B604="MEANS",INDEX('1-DATA'!$1:$1048576,$A603-1,COLUMN('1-DATA'!B602)),ROUND(INDEX('1-DATA'!$1:$1048576,IF(OR($B604="STD. DEVIATION",$C$1=1),$A604,$A604+1),COLUMN('1-DATA'!B602)),IF($B604="STD. DEVIATION",2,$F$1))))</f>
        <v/>
      </c>
      <c r="D604" s="1" t="str">
        <f>IF(OR($B604="",D$7=""),"",IF($B604="MEANS",INDEX('1-DATA'!$1:$1048576,$A603-1,COLUMN('1-DATA'!C602)),ROUND(INDEX('1-DATA'!$1:$1048576,IF(OR($B604="STD. DEVIATION",$C$1=1),$A604,$A604+1),COLUMN('1-DATA'!C602)),IF($B604="STD. DEVIATION",2,$F$1))))</f>
        <v/>
      </c>
      <c r="E604" s="1" t="str">
        <f>IF(OR($B604="",E$7=""),"",IF($B604="MEANS",INDEX('1-DATA'!$1:$1048576,$A603-1,COLUMN('1-DATA'!D602)),ROUND(INDEX('1-DATA'!$1:$1048576,IF(OR($B604="STD. DEVIATION",$C$1=1),$A604,$A604+1),COLUMN('1-DATA'!D602)),IF($B604="STD. DEVIATION",2,$F$1))))</f>
        <v/>
      </c>
      <c r="F604" s="1" t="str">
        <f>IF(OR($B604="",F$7=""),"",IF($B604="MEANS",INDEX('1-DATA'!$1:$1048576,$A603-1,COLUMN('1-DATA'!E602)),ROUND(INDEX('1-DATA'!$1:$1048576,IF(OR($B604="STD. DEVIATION",$C$1=1),$A604,$A604+1),COLUMN('1-DATA'!E602)),IF($B604="STD. DEVIATION",2,$F$1))))</f>
        <v/>
      </c>
      <c r="G604" s="1" t="str">
        <f>IF(OR($B604="",G$7=""),"",IF($B604="MEANS",INDEX('1-DATA'!$1:$1048576,$A603-1,COLUMN('1-DATA'!F602)),ROUND(INDEX('1-DATA'!$1:$1048576,IF(OR($B604="STD. DEVIATION",$C$1=1),$A604,$A604+1),COLUMN('1-DATA'!F602)),IF($B604="STD. DEVIATION",2,$F$1))))</f>
        <v/>
      </c>
      <c r="H604" s="1" t="str">
        <f>IF(OR($B604="",H$7=""),"",IF($B604="MEANS",INDEX('1-DATA'!$1:$1048576,$A603-1,COLUMN('1-DATA'!G602)),ROUND(INDEX('1-DATA'!$1:$1048576,IF(OR($B604="STD. DEVIATION",$C$1=1),$A604,$A604+1),COLUMN('1-DATA'!G602)),IF($B604="STD. DEVIATION",2,$F$1))))</f>
        <v/>
      </c>
      <c r="I604" s="1" t="str">
        <f>IF(OR($B604="",I$7=""),"",IF($B604="MEANS",INDEX('1-DATA'!$1:$1048576,$A603-1,COLUMN('1-DATA'!H602)),ROUND(INDEX('1-DATA'!$1:$1048576,IF(OR($B604="STD. DEVIATION",$C$1=1),$A604,$A604+1),COLUMN('1-DATA'!H602)),IF($B604="STD. DEVIATION",2,$F$1))))</f>
        <v/>
      </c>
      <c r="J604" s="1" t="str">
        <f>IF(OR($B604="",J$7=""),"",IF($B604="MEANS",INDEX('1-DATA'!$1:$1048576,$A603-1,COLUMN('1-DATA'!I602)),ROUND(INDEX('1-DATA'!$1:$1048576,IF(OR($B604="STD. DEVIATION",$C$1=1),$A604,$A604+1),COLUMN('1-DATA'!I602)),IF($B604="STD. DEVIATION",2,$F$1))))</f>
        <v/>
      </c>
      <c r="K604" s="1" t="str">
        <f>IF(OR($B604="",K$7=""),"",IF($B604="MEANS",INDEX('1-DATA'!$1:$1048576,$A603-1,COLUMN('1-DATA'!J602)),ROUND(INDEX('1-DATA'!$1:$1048576,IF(OR($B604="STD. DEVIATION",$C$1=1),$A604,$A604+1),COLUMN('1-DATA'!J602)),IF($B604="STD. DEVIATION",2,$F$1))))</f>
        <v/>
      </c>
      <c r="L604" s="1" t="str">
        <f>IF(OR($B604="",L$7=""),"",IF($B604="MEANS",INDEX('1-DATA'!$1:$1048576,$A603-1,COLUMN('1-DATA'!K602)),ROUND(INDEX('1-DATA'!$1:$1048576,IF(OR($B604="STD. DEVIATION",$C$1=1),$A604,$A604+1),COLUMN('1-DATA'!K602)),IF($B604="STD. DEVIATION",2,$F$1))))</f>
        <v/>
      </c>
      <c r="M604" s="1" t="str">
        <f>IF(OR($B604="",M$7=""),"",IF($B604="MEANS",INDEX('1-DATA'!$1:$1048576,$A603-1,COLUMN('1-DATA'!L602)),ROUND(INDEX('1-DATA'!$1:$1048576,IF(OR($B604="STD. DEVIATION",$C$1=1),$A604,$A604+1),COLUMN('1-DATA'!L602)),IF($B604="STD. DEVIATION",2,$F$1))))</f>
        <v/>
      </c>
      <c r="N604" s="1" t="str">
        <f>IF(OR($B604="",N$7=""),"",IF($B604="MEANS",INDEX('1-DATA'!$1:$1048576,$A603-1,COLUMN('1-DATA'!M602)),ROUND(INDEX('1-DATA'!$1:$1048576,IF(OR($B604="STD. DEVIATION",$C$1=1),$A604,$A604+1),COLUMN('1-DATA'!M602)),IF($B604="STD. DEVIATION",2,$F$1))))</f>
        <v/>
      </c>
      <c r="O604" s="1" t="str">
        <f>IF(OR($B604="",O$7=""),"",IF($B604="MEANS",INDEX('1-DATA'!$1:$1048576,$A603-1,COLUMN('1-DATA'!N602)),ROUND(INDEX('1-DATA'!$1:$1048576,IF(OR($B604="STD. DEVIATION",$C$1=1),$A604,$A604+1),COLUMN('1-DATA'!N602)),IF($B604="STD. DEVIATION",2,$F$1))))</f>
        <v/>
      </c>
      <c r="P604" s="1" t="str">
        <f>IF(OR($B604="",P$7=""),"",IF($B604="MEANS",INDEX('1-DATA'!$1:$1048576,$A603-1,COLUMN('1-DATA'!O602)),ROUND(INDEX('1-DATA'!$1:$1048576,IF(OR($B604="STD. DEVIATION",$C$1=1),$A604,$A604+1),COLUMN('1-DATA'!O602)),IF($B604="STD. DEVIATION",2,$F$1))))</f>
        <v/>
      </c>
      <c r="Q604" s="1" t="str">
        <f>IF(OR($B604="",Q$7=""),"",IF($B604="MEANS",INDEX('1-DATA'!$1:$1048576,$A603-1,COLUMN('1-DATA'!P602)),ROUND(INDEX('1-DATA'!$1:$1048576,IF(OR($B604="STD. DEVIATION",$C$1=1),$A604,$A604+1),COLUMN('1-DATA'!P602)),IF($B604="STD. DEVIATION",2,$F$1))))</f>
        <v/>
      </c>
      <c r="R604" s="1" t="str">
        <f>IF(OR($B604="",R$7=""),"",IF($B604="MEANS",INDEX('1-DATA'!$1:$1048576,$A603-1,COLUMN('1-DATA'!Q602)),ROUND(INDEX('1-DATA'!$1:$1048576,IF(OR($B604="STD. DEVIATION",$C$1=1),$A604,$A604+1),COLUMN('1-DATA'!Q602)),IF($B604="STD. DEVIATION",2,$F$1))))</f>
        <v/>
      </c>
      <c r="S604" s="1" t="str">
        <f>IF(OR($B604="",S$7=""),"",IF($B604="MEANS",INDEX('1-DATA'!$1:$1048576,$A603-1,COLUMN('1-DATA'!R602)),ROUND(INDEX('1-DATA'!$1:$1048576,IF(OR($B604="STD. DEVIATION",$C$1=1),$A604,$A604+1),COLUMN('1-DATA'!R602)),IF($B604="STD. DEVIATION",2,$F$1))))</f>
        <v/>
      </c>
      <c r="T604" s="1" t="str">
        <f>IF(OR($B604="",T$7=""),"",IF($B604="MEANS",INDEX('1-DATA'!$1:$1048576,$A603-1,COLUMN('1-DATA'!S602)),ROUND(INDEX('1-DATA'!$1:$1048576,IF(OR($B604="STD. DEVIATION",$C$1=1),$A604,$A604+1),COLUMN('1-DATA'!S602)),IF($B604="STD. DEVIATION",2,$F$1))))</f>
        <v/>
      </c>
      <c r="U604" s="1" t="str">
        <f>IF(OR($B604="",U$7=""),"",IF($B604="MEANS",INDEX('1-DATA'!$1:$1048576,$A603-1,COLUMN('1-DATA'!T602)),ROUND(INDEX('1-DATA'!$1:$1048576,IF(OR($B604="STD. DEVIATION",$C$1=1),$A604,$A604+1),COLUMN('1-DATA'!T602)),IF($B604="STD. DEVIATION",2,$F$1))))</f>
        <v/>
      </c>
      <c r="V604" s="1" t="str">
        <f>IF(OR($B604="",V$7=""),"",IF($B604="MEANS",INDEX('1-DATA'!$1:$1048576,$A603-1,COLUMN('1-DATA'!U602)),ROUND(INDEX('1-DATA'!$1:$1048576,IF(OR($B604="STD. DEVIATION",$C$1=1),$A604,$A604+1),COLUMN('1-DATA'!U602)),IF($B604="STD. DEVIATION",2,$F$1))))</f>
        <v/>
      </c>
      <c r="W604" s="1" t="str">
        <f>IF(OR($B604="",W$7=""),"",IF($B604="MEANS",INDEX('1-DATA'!$1:$1048576,$A603-1,COLUMN('1-DATA'!V602)),ROUND(INDEX('1-DATA'!$1:$1048576,IF(OR($B604="STD. DEVIATION",$C$1=1),$A604,$A604+1),COLUMN('1-DATA'!V602)),IF($B604="STD. DEVIATION",2,$F$1))))</f>
        <v/>
      </c>
      <c r="X604" s="1" t="str">
        <f>IF(OR($B604="",X$7=""),"",IF($B604="MEANS",INDEX('1-DATA'!$1:$1048576,$A603-1,COLUMN('1-DATA'!W602)),ROUND(INDEX('1-DATA'!$1:$1048576,IF(OR($B604="STD. DEVIATION",$C$1=1),$A604,$A604+1),COLUMN('1-DATA'!W602)),IF($B604="STD. DEVIATION",2,$F$1))))</f>
        <v/>
      </c>
      <c r="Y604" s="1" t="str">
        <f>IF(OR($B604="",Y$7=""),"",IF($B604="MEANS",INDEX('1-DATA'!$1:$1048576,$A603-1,COLUMN('1-DATA'!X602)),ROUND(INDEX('1-DATA'!$1:$1048576,IF(OR($B604="STD. DEVIATION",$C$1=1),$A604,$A604+1),COLUMN('1-DATA'!X602)),IF($B604="STD. DEVIATION",2,$F$1))))</f>
        <v/>
      </c>
      <c r="Z604" s="1" t="str">
        <f>IF(OR($B604="",Z$7=""),"",IF($B604="MEANS",INDEX('1-DATA'!$1:$1048576,$A603-1,COLUMN('1-DATA'!Y602)),ROUND(INDEX('1-DATA'!$1:$1048576,IF(OR($B604="STD. DEVIATION",$C$1=1),$A604,$A604+1),COLUMN('1-DATA'!Y602)),IF($B604="STD. DEVIATION",2,$F$1))))</f>
        <v/>
      </c>
      <c r="AA604" s="1" t="str">
        <f>IF(OR($B604="",AA$7=""),"",IF($B604="MEANS",INDEX('1-DATA'!$1:$1048576,$A603-1,COLUMN('1-DATA'!Z602)),ROUND(INDEX('1-DATA'!$1:$1048576,IF(OR($B604="STD. DEVIATION",$C$1=1),$A604,$A604+1),COLUMN('1-DATA'!Z602)),IF($B604="STD. DEVIATION",2,$F$1))))</f>
        <v/>
      </c>
      <c r="AB604" s="1" t="str">
        <f>IF(OR($B604="",AB$7=""),"",IF($B604="MEANS",INDEX('1-DATA'!$1:$1048576,$A603-1,COLUMN('1-DATA'!AA602)),ROUND(INDEX('1-DATA'!$1:$1048576,IF(OR($B604="STD. DEVIATION",$C$1=1),$A604,$A604+1),COLUMN('1-DATA'!AA602)),IF($B604="STD. DEVIATION",2,$F$1))))</f>
        <v/>
      </c>
      <c r="AC604" s="1" t="str">
        <f>IF(OR($B604="",AC$7=""),"",IF($B604="MEANS",INDEX('1-DATA'!$1:$1048576,$A603-1,COLUMN('1-DATA'!AB602)),ROUND(INDEX('1-DATA'!$1:$1048576,IF(OR($B604="STD. DEVIATION",$C$1=1),$A604,$A604+1),COLUMN('1-DATA'!AB602)),IF($B604="STD. DEVIATION",2,$F$1))))</f>
        <v/>
      </c>
      <c r="AD604" s="1" t="str">
        <f>IF(OR($B604="",AD$7=""),"",IF($B604="MEANS",INDEX('1-DATA'!$1:$1048576,$A603-1,COLUMN('1-DATA'!AC602)),ROUND(INDEX('1-DATA'!$1:$1048576,IF(OR($B604="STD. DEVIATION",$C$1=1),$A604,$A604+1),COLUMN('1-DATA'!AC602)),IF($B604="STD. DEVIATION",2,$F$1))))</f>
        <v/>
      </c>
      <c r="AE604" s="1" t="str">
        <f>IF(OR($B604="",AE$7=""),"",IF($B604="MEANS",INDEX('1-DATA'!$1:$1048576,$A603-1,COLUMN('1-DATA'!AD602)),ROUND(INDEX('1-DATA'!$1:$1048576,IF(OR($B604="STD. DEVIATION",$C$1=1),$A604,$A604+1),COLUMN('1-DATA'!AD602)),IF($B604="STD. DEVIATION",2,$F$1))))</f>
        <v/>
      </c>
      <c r="AF604" s="1" t="str">
        <f>IF(OR($B604="",AF$7=""),"",IF($B604="MEANS",INDEX('1-DATA'!$1:$1048576,$A603-1,COLUMN('1-DATA'!AE602)),ROUND(INDEX('1-DATA'!$1:$1048576,IF(OR($B604="STD. DEVIATION",$C$1=1),$A604,$A604+1),COLUMN('1-DATA'!AE602)),IF($B604="STD. DEVIATION",2,$F$1))))</f>
        <v/>
      </c>
      <c r="AG604" s="1" t="str">
        <f>IF(OR($B604="",AG$7=""),"",IF($B604="MEANS",INDEX('1-DATA'!$1:$1048576,$A603-1,COLUMN('1-DATA'!AF602)),ROUND(INDEX('1-DATA'!$1:$1048576,IF(OR($B604="STD. DEVIATION",$C$1=1),$A604,$A604+1),COLUMN('1-DATA'!AF602)),IF($B604="STD. DEVIATION",2,$F$1))))</f>
        <v/>
      </c>
      <c r="AH604" s="1" t="str">
        <f>IF(OR($B604="",AH$7=""),"",IF($B604="MEANS",INDEX('1-DATA'!$1:$1048576,$A603-1,COLUMN('1-DATA'!AG602)),ROUND(INDEX('1-DATA'!$1:$1048576,IF(OR($B604="STD. DEVIATION",$C$1=1),$A604,$A604+1),COLUMN('1-DATA'!AG602)),IF($B604="STD. DEVIATION",2,$F$1))))</f>
        <v/>
      </c>
      <c r="AI604" s="1" t="str">
        <f>IF(OR($B604="",AI$7=""),"",IF($B604="MEANS",INDEX('1-DATA'!$1:$1048576,$A603-1,COLUMN('1-DATA'!AH602)),ROUND(INDEX('1-DATA'!$1:$1048576,IF(OR($B604="STD. DEVIATION",$C$1=1),$A604,$A604+1),COLUMN('1-DATA'!AH602)),IF($B604="STD. DEVIATION",2,$F$1))))</f>
        <v/>
      </c>
      <c r="AJ604" s="1" t="str">
        <f>IF(OR($B604="",AJ$7=""),"",IF($B604="MEANS",INDEX('1-DATA'!$1:$1048576,$A603-1,COLUMN('1-DATA'!AI602)),ROUND(INDEX('1-DATA'!$1:$1048576,IF(OR($B604="STD. DEVIATION",$C$1=1),$A604,$A604+1),COLUMN('1-DATA'!AI602)),IF($B604="STD. DEVIATION",2,$F$1))))</f>
        <v/>
      </c>
      <c r="AK604" s="1" t="str">
        <f>IF(OR($B604="",AK$7=""),"",IF($B604="MEANS",INDEX('1-DATA'!$1:$1048576,$A603-1,COLUMN('1-DATA'!AJ602)),ROUND(INDEX('1-DATA'!$1:$1048576,IF(OR($B604="STD. DEVIATION",$C$1=1),$A604,$A604+1),COLUMN('1-DATA'!AJ602)),IF($B604="STD. DEVIATION",2,$F$1))))</f>
        <v/>
      </c>
      <c r="AL604" s="1" t="str">
        <f>IF(OR($B604="",AL$7=""),"",IF($B604="MEANS",INDEX('1-DATA'!$1:$1048576,$A603-1,COLUMN('1-DATA'!AK602)),ROUND(INDEX('1-DATA'!$1:$1048576,IF(OR($B604="STD. DEVIATION",$C$1=1),$A604,$A604+1),COLUMN('1-DATA'!AK602)),IF($B604="STD. DEVIATION",2,$F$1))))</f>
        <v/>
      </c>
      <c r="AM604" s="1" t="str">
        <f>IF(OR($B604="",AM$7=""),"",IF($B604="MEANS",INDEX('1-DATA'!$1:$1048576,$A603-1,COLUMN('1-DATA'!AL602)),ROUND(INDEX('1-DATA'!$1:$1048576,IF(OR($B604="STD. DEVIATION",$C$1=1),$A604,$A604+1),COLUMN('1-DATA'!AL602)),IF($B604="STD. DEVIATION",2,$F$1))))</f>
        <v/>
      </c>
      <c r="AN604" s="1" t="str">
        <f>IF(OR($B604="",AN$7=""),"",IF($B604="MEANS",INDEX('1-DATA'!$1:$1048576,$A603-1,COLUMN('1-DATA'!AM602)),ROUND(INDEX('1-DATA'!$1:$1048576,IF(OR($B604="STD. DEVIATION",$C$1=1),$A604,$A604+1),COLUMN('1-DATA'!AM602)),IF($B604="STD. DEVIATION",2,$F$1))))</f>
        <v/>
      </c>
      <c r="AO604" s="1" t="str">
        <f>IF(OR($B604="",AO$7=""),"",IF($B604="MEANS",INDEX('1-DATA'!$1:$1048576,$A603-1,COLUMN('1-DATA'!AN602)),ROUND(INDEX('1-DATA'!$1:$1048576,IF(OR($B604="STD. DEVIATION",$C$1=1),$A604,$A604+1),COLUMN('1-DATA'!AN602)),IF($B604="STD. DEVIATION",2,$F$1))))</f>
        <v/>
      </c>
      <c r="AP604" s="1" t="str">
        <f>IF(OR($B604="",AP$7=""),"",IF($B604="MEANS",INDEX('1-DATA'!$1:$1048576,$A603-1,COLUMN('1-DATA'!AO602)),ROUND(INDEX('1-DATA'!$1:$1048576,IF(OR($B604="STD. DEVIATION",$C$1=1),$A604,$A604+1),COLUMN('1-DATA'!AO602)),IF($B604="STD. DEVIATION",2,$F$1))))</f>
        <v/>
      </c>
      <c r="AQ604" s="1" t="str">
        <f>IF(OR($B604="",AQ$7=""),"",IF($B604="MEANS",INDEX('1-DATA'!$1:$1048576,$A603-1,COLUMN('1-DATA'!AP602)),ROUND(INDEX('1-DATA'!$1:$1048576,IF(OR($B604="STD. DEVIATION",$C$1=1),$A604,$A604+1),COLUMN('1-DATA'!AP602)),IF($B604="STD. DEVIATION",2,$F$1))))</f>
        <v/>
      </c>
      <c r="AR604" s="1" t="str">
        <f>IF(OR($B604="",AR$7=""),"",IF($B604="MEANS",INDEX('1-DATA'!$1:$1048576,$A603-1,COLUMN('1-DATA'!AQ602)),ROUND(INDEX('1-DATA'!$1:$1048576,IF(OR($B604="STD. DEVIATION",$C$1=1),$A604,$A604+1),COLUMN('1-DATA'!AQ602)),IF($B604="STD. DEVIATION",2,$F$1))))</f>
        <v/>
      </c>
      <c r="AS604" s="1" t="str">
        <f>IF(OR($B604="",AS$7=""),"",IF($B604="MEANS",INDEX('1-DATA'!$1:$1048576,$A603-1,COLUMN('1-DATA'!AR602)),ROUND(INDEX('1-DATA'!$1:$1048576,IF(OR($B604="STD. DEVIATION",$C$1=1),$A604,$A604+1),COLUMN('1-DATA'!AR602)),IF($B604="STD. DEVIATION",2,$F$1))))</f>
        <v/>
      </c>
      <c r="AT604" s="1" t="str">
        <f>IF(OR($B604="",AT$7=""),"",IF($B604="MEANS",INDEX('1-DATA'!$1:$1048576,$A603-1,COLUMN('1-DATA'!AS602)),ROUND(INDEX('1-DATA'!$1:$1048576,IF(OR($B604="STD. DEVIATION",$C$1=1),$A604,$A604+1),COLUMN('1-DATA'!AS602)),IF($B604="STD. DEVIATION",2,$F$1))))</f>
        <v/>
      </c>
      <c r="AU604" s="1" t="str">
        <f>IF(OR($B604="",AU$7=""),"",IF($B604="MEANS",INDEX('1-DATA'!$1:$1048576,$A603-1,COLUMN('1-DATA'!AT602)),ROUND(INDEX('1-DATA'!$1:$1048576,IF(OR($B604="STD. DEVIATION",$C$1=1),$A604,$A604+1),COLUMN('1-DATA'!AT602)),IF($B604="STD. DEVIATION",2,$F$1))))</f>
        <v/>
      </c>
      <c r="AV604" s="1" t="str">
        <f>IF(OR($B604="",AV$7=""),"",IF($B604="MEANS",INDEX('1-DATA'!$1:$1048576,$A603-1,COLUMN('1-DATA'!AU602)),ROUND(INDEX('1-DATA'!$1:$1048576,IF(OR($B604="STD. DEVIATION",$C$1=1),$A604,$A604+1),COLUMN('1-DATA'!AU602)),IF($B604="STD. DEVIATION",2,$F$1))))</f>
        <v/>
      </c>
      <c r="AW604" s="1" t="str">
        <f>IF(OR($B604="",AW$7=""),"",IF($B604="MEANS",INDEX('1-DATA'!$1:$1048576,$A603-1,COLUMN('1-DATA'!AV602)),ROUND(INDEX('1-DATA'!$1:$1048576,IF(OR($B604="STD. DEVIATION",$C$1=1),$A604,$A604+1),COLUMN('1-DATA'!AV602)),IF($B604="STD. DEVIATION",2,$F$1))))</f>
        <v/>
      </c>
      <c r="AX604" s="1" t="str">
        <f>IF(OR($B604="",AX$7=""),"",IF($B604="MEANS",INDEX('1-DATA'!$1:$1048576,$A603-1,COLUMN('1-DATA'!AW602)),ROUND(INDEX('1-DATA'!$1:$1048576,IF(OR($B604="STD. DEVIATION",$C$1=1),$A604,$A604+1),COLUMN('1-DATA'!AW602)),IF($B604="STD. DEVIATION",2,$F$1))))</f>
        <v/>
      </c>
      <c r="AY604" s="1" t="str">
        <f>IF(OR($B604="",AY$7=""),"",IF($B604="MEANS",INDEX('1-DATA'!$1:$1048576,$A603-1,COLUMN('1-DATA'!AX602)),ROUND(INDEX('1-DATA'!$1:$1048576,IF(OR($B604="STD. DEVIATION",$C$1=1),$A604,$A604+1),COLUMN('1-DATA'!AX602)),IF($B604="STD. DEVIATION",2,$F$1))))</f>
        <v/>
      </c>
      <c r="AZ604" s="1" t="str">
        <f>IF(OR($B604="",AZ$7=""),"",IF($B604="MEANS",INDEX('1-DATA'!$1:$1048576,$A603-1,COLUMN('1-DATA'!AY602)),ROUND(INDEX('1-DATA'!$1:$1048576,IF(OR($B604="STD. DEVIATION",$C$1=1),$A604,$A604+1),COLUMN('1-DATA'!AY602)),IF($B604="STD. DEVIATION",2,$F$1))))</f>
        <v/>
      </c>
    </row>
    <row r="605" spans="1:52" x14ac:dyDescent="0.25">
      <c r="A605" s="11">
        <f t="shared" si="9"/>
        <v>1801</v>
      </c>
      <c r="B605" s="1" t="str">
        <f>IF(B604="STD. DEVIATION",INDEX('1-DATA'!$1:$1048576,$A604-1,1),IF(INDEX('1-DATA'!$1:$1048576,$A605,1)&lt;&gt;"",INDEX('1-DATA'!$1:$1048576,$A605,1),""))</f>
        <v/>
      </c>
      <c r="C605" s="1" t="str">
        <f>IF(OR($B605="",C$7=""),"",IF($B605="MEANS",INDEX('1-DATA'!$1:$1048576,$A604-1,COLUMN('1-DATA'!B603)),ROUND(INDEX('1-DATA'!$1:$1048576,IF(OR($B605="STD. DEVIATION",$C$1=1),$A605,$A605+1),COLUMN('1-DATA'!B603)),IF($B605="STD. DEVIATION",2,$F$1))))</f>
        <v/>
      </c>
      <c r="D605" s="1" t="str">
        <f>IF(OR($B605="",D$7=""),"",IF($B605="MEANS",INDEX('1-DATA'!$1:$1048576,$A604-1,COLUMN('1-DATA'!C603)),ROUND(INDEX('1-DATA'!$1:$1048576,IF(OR($B605="STD. DEVIATION",$C$1=1),$A605,$A605+1),COLUMN('1-DATA'!C603)),IF($B605="STD. DEVIATION",2,$F$1))))</f>
        <v/>
      </c>
      <c r="E605" s="1" t="str">
        <f>IF(OR($B605="",E$7=""),"",IF($B605="MEANS",INDEX('1-DATA'!$1:$1048576,$A604-1,COLUMN('1-DATA'!D603)),ROUND(INDEX('1-DATA'!$1:$1048576,IF(OR($B605="STD. DEVIATION",$C$1=1),$A605,$A605+1),COLUMN('1-DATA'!D603)),IF($B605="STD. DEVIATION",2,$F$1))))</f>
        <v/>
      </c>
      <c r="F605" s="1" t="str">
        <f>IF(OR($B605="",F$7=""),"",IF($B605="MEANS",INDEX('1-DATA'!$1:$1048576,$A604-1,COLUMN('1-DATA'!E603)),ROUND(INDEX('1-DATA'!$1:$1048576,IF(OR($B605="STD. DEVIATION",$C$1=1),$A605,$A605+1),COLUMN('1-DATA'!E603)),IF($B605="STD. DEVIATION",2,$F$1))))</f>
        <v/>
      </c>
      <c r="G605" s="1" t="str">
        <f>IF(OR($B605="",G$7=""),"",IF($B605="MEANS",INDEX('1-DATA'!$1:$1048576,$A604-1,COLUMN('1-DATA'!F603)),ROUND(INDEX('1-DATA'!$1:$1048576,IF(OR($B605="STD. DEVIATION",$C$1=1),$A605,$A605+1),COLUMN('1-DATA'!F603)),IF($B605="STD. DEVIATION",2,$F$1))))</f>
        <v/>
      </c>
      <c r="H605" s="1" t="str">
        <f>IF(OR($B605="",H$7=""),"",IF($B605="MEANS",INDEX('1-DATA'!$1:$1048576,$A604-1,COLUMN('1-DATA'!G603)),ROUND(INDEX('1-DATA'!$1:$1048576,IF(OR($B605="STD. DEVIATION",$C$1=1),$A605,$A605+1),COLUMN('1-DATA'!G603)),IF($B605="STD. DEVIATION",2,$F$1))))</f>
        <v/>
      </c>
      <c r="I605" s="1" t="str">
        <f>IF(OR($B605="",I$7=""),"",IF($B605="MEANS",INDEX('1-DATA'!$1:$1048576,$A604-1,COLUMN('1-DATA'!H603)),ROUND(INDEX('1-DATA'!$1:$1048576,IF(OR($B605="STD. DEVIATION",$C$1=1),$A605,$A605+1),COLUMN('1-DATA'!H603)),IF($B605="STD. DEVIATION",2,$F$1))))</f>
        <v/>
      </c>
      <c r="J605" s="1" t="str">
        <f>IF(OR($B605="",J$7=""),"",IF($B605="MEANS",INDEX('1-DATA'!$1:$1048576,$A604-1,COLUMN('1-DATA'!I603)),ROUND(INDEX('1-DATA'!$1:$1048576,IF(OR($B605="STD. DEVIATION",$C$1=1),$A605,$A605+1),COLUMN('1-DATA'!I603)),IF($B605="STD. DEVIATION",2,$F$1))))</f>
        <v/>
      </c>
      <c r="K605" s="1" t="str">
        <f>IF(OR($B605="",K$7=""),"",IF($B605="MEANS",INDEX('1-DATA'!$1:$1048576,$A604-1,COLUMN('1-DATA'!J603)),ROUND(INDEX('1-DATA'!$1:$1048576,IF(OR($B605="STD. DEVIATION",$C$1=1),$A605,$A605+1),COLUMN('1-DATA'!J603)),IF($B605="STD. DEVIATION",2,$F$1))))</f>
        <v/>
      </c>
      <c r="L605" s="1" t="str">
        <f>IF(OR($B605="",L$7=""),"",IF($B605="MEANS",INDEX('1-DATA'!$1:$1048576,$A604-1,COLUMN('1-DATA'!K603)),ROUND(INDEX('1-DATA'!$1:$1048576,IF(OR($B605="STD. DEVIATION",$C$1=1),$A605,$A605+1),COLUMN('1-DATA'!K603)),IF($B605="STD. DEVIATION",2,$F$1))))</f>
        <v/>
      </c>
      <c r="M605" s="1" t="str">
        <f>IF(OR($B605="",M$7=""),"",IF($B605="MEANS",INDEX('1-DATA'!$1:$1048576,$A604-1,COLUMN('1-DATA'!L603)),ROUND(INDEX('1-DATA'!$1:$1048576,IF(OR($B605="STD. DEVIATION",$C$1=1),$A605,$A605+1),COLUMN('1-DATA'!L603)),IF($B605="STD. DEVIATION",2,$F$1))))</f>
        <v/>
      </c>
      <c r="N605" s="1" t="str">
        <f>IF(OR($B605="",N$7=""),"",IF($B605="MEANS",INDEX('1-DATA'!$1:$1048576,$A604-1,COLUMN('1-DATA'!M603)),ROUND(INDEX('1-DATA'!$1:$1048576,IF(OR($B605="STD. DEVIATION",$C$1=1),$A605,$A605+1),COLUMN('1-DATA'!M603)),IF($B605="STD. DEVIATION",2,$F$1))))</f>
        <v/>
      </c>
      <c r="O605" s="1" t="str">
        <f>IF(OR($B605="",O$7=""),"",IF($B605="MEANS",INDEX('1-DATA'!$1:$1048576,$A604-1,COLUMN('1-DATA'!N603)),ROUND(INDEX('1-DATA'!$1:$1048576,IF(OR($B605="STD. DEVIATION",$C$1=1),$A605,$A605+1),COLUMN('1-DATA'!N603)),IF($B605="STD. DEVIATION",2,$F$1))))</f>
        <v/>
      </c>
      <c r="P605" s="1" t="str">
        <f>IF(OR($B605="",P$7=""),"",IF($B605="MEANS",INDEX('1-DATA'!$1:$1048576,$A604-1,COLUMN('1-DATA'!O603)),ROUND(INDEX('1-DATA'!$1:$1048576,IF(OR($B605="STD. DEVIATION",$C$1=1),$A605,$A605+1),COLUMN('1-DATA'!O603)),IF($B605="STD. DEVIATION",2,$F$1))))</f>
        <v/>
      </c>
      <c r="Q605" s="1" t="str">
        <f>IF(OR($B605="",Q$7=""),"",IF($B605="MEANS",INDEX('1-DATA'!$1:$1048576,$A604-1,COLUMN('1-DATA'!P603)),ROUND(INDEX('1-DATA'!$1:$1048576,IF(OR($B605="STD. DEVIATION",$C$1=1),$A605,$A605+1),COLUMN('1-DATA'!P603)),IF($B605="STD. DEVIATION",2,$F$1))))</f>
        <v/>
      </c>
      <c r="R605" s="1" t="str">
        <f>IF(OR($B605="",R$7=""),"",IF($B605="MEANS",INDEX('1-DATA'!$1:$1048576,$A604-1,COLUMN('1-DATA'!Q603)),ROUND(INDEX('1-DATA'!$1:$1048576,IF(OR($B605="STD. DEVIATION",$C$1=1),$A605,$A605+1),COLUMN('1-DATA'!Q603)),IF($B605="STD. DEVIATION",2,$F$1))))</f>
        <v/>
      </c>
      <c r="S605" s="1" t="str">
        <f>IF(OR($B605="",S$7=""),"",IF($B605="MEANS",INDEX('1-DATA'!$1:$1048576,$A604-1,COLUMN('1-DATA'!R603)),ROUND(INDEX('1-DATA'!$1:$1048576,IF(OR($B605="STD. DEVIATION",$C$1=1),$A605,$A605+1),COLUMN('1-DATA'!R603)),IF($B605="STD. DEVIATION",2,$F$1))))</f>
        <v/>
      </c>
      <c r="T605" s="1" t="str">
        <f>IF(OR($B605="",T$7=""),"",IF($B605="MEANS",INDEX('1-DATA'!$1:$1048576,$A604-1,COLUMN('1-DATA'!S603)),ROUND(INDEX('1-DATA'!$1:$1048576,IF(OR($B605="STD. DEVIATION",$C$1=1),$A605,$A605+1),COLUMN('1-DATA'!S603)),IF($B605="STD. DEVIATION",2,$F$1))))</f>
        <v/>
      </c>
      <c r="U605" s="1" t="str">
        <f>IF(OR($B605="",U$7=""),"",IF($B605="MEANS",INDEX('1-DATA'!$1:$1048576,$A604-1,COLUMN('1-DATA'!T603)),ROUND(INDEX('1-DATA'!$1:$1048576,IF(OR($B605="STD. DEVIATION",$C$1=1),$A605,$A605+1),COLUMN('1-DATA'!T603)),IF($B605="STD. DEVIATION",2,$F$1))))</f>
        <v/>
      </c>
      <c r="V605" s="1" t="str">
        <f>IF(OR($B605="",V$7=""),"",IF($B605="MEANS",INDEX('1-DATA'!$1:$1048576,$A604-1,COLUMN('1-DATA'!U603)),ROUND(INDEX('1-DATA'!$1:$1048576,IF(OR($B605="STD. DEVIATION",$C$1=1),$A605,$A605+1),COLUMN('1-DATA'!U603)),IF($B605="STD. DEVIATION",2,$F$1))))</f>
        <v/>
      </c>
      <c r="W605" s="1" t="str">
        <f>IF(OR($B605="",W$7=""),"",IF($B605="MEANS",INDEX('1-DATA'!$1:$1048576,$A604-1,COLUMN('1-DATA'!V603)),ROUND(INDEX('1-DATA'!$1:$1048576,IF(OR($B605="STD. DEVIATION",$C$1=1),$A605,$A605+1),COLUMN('1-DATA'!V603)),IF($B605="STD. DEVIATION",2,$F$1))))</f>
        <v/>
      </c>
      <c r="X605" s="1" t="str">
        <f>IF(OR($B605="",X$7=""),"",IF($B605="MEANS",INDEX('1-DATA'!$1:$1048576,$A604-1,COLUMN('1-DATA'!W603)),ROUND(INDEX('1-DATA'!$1:$1048576,IF(OR($B605="STD. DEVIATION",$C$1=1),$A605,$A605+1),COLUMN('1-DATA'!W603)),IF($B605="STD. DEVIATION",2,$F$1))))</f>
        <v/>
      </c>
      <c r="Y605" s="1" t="str">
        <f>IF(OR($B605="",Y$7=""),"",IF($B605="MEANS",INDEX('1-DATA'!$1:$1048576,$A604-1,COLUMN('1-DATA'!X603)),ROUND(INDEX('1-DATA'!$1:$1048576,IF(OR($B605="STD. DEVIATION",$C$1=1),$A605,$A605+1),COLUMN('1-DATA'!X603)),IF($B605="STD. DEVIATION",2,$F$1))))</f>
        <v/>
      </c>
      <c r="Z605" s="1" t="str">
        <f>IF(OR($B605="",Z$7=""),"",IF($B605="MEANS",INDEX('1-DATA'!$1:$1048576,$A604-1,COLUMN('1-DATA'!Y603)),ROUND(INDEX('1-DATA'!$1:$1048576,IF(OR($B605="STD. DEVIATION",$C$1=1),$A605,$A605+1),COLUMN('1-DATA'!Y603)),IF($B605="STD. DEVIATION",2,$F$1))))</f>
        <v/>
      </c>
      <c r="AA605" s="1" t="str">
        <f>IF(OR($B605="",AA$7=""),"",IF($B605="MEANS",INDEX('1-DATA'!$1:$1048576,$A604-1,COLUMN('1-DATA'!Z603)),ROUND(INDEX('1-DATA'!$1:$1048576,IF(OR($B605="STD. DEVIATION",$C$1=1),$A605,$A605+1),COLUMN('1-DATA'!Z603)),IF($B605="STD. DEVIATION",2,$F$1))))</f>
        <v/>
      </c>
      <c r="AB605" s="1" t="str">
        <f>IF(OR($B605="",AB$7=""),"",IF($B605="MEANS",INDEX('1-DATA'!$1:$1048576,$A604-1,COLUMN('1-DATA'!AA603)),ROUND(INDEX('1-DATA'!$1:$1048576,IF(OR($B605="STD. DEVIATION",$C$1=1),$A605,$A605+1),COLUMN('1-DATA'!AA603)),IF($B605="STD. DEVIATION",2,$F$1))))</f>
        <v/>
      </c>
      <c r="AC605" s="1" t="str">
        <f>IF(OR($B605="",AC$7=""),"",IF($B605="MEANS",INDEX('1-DATA'!$1:$1048576,$A604-1,COLUMN('1-DATA'!AB603)),ROUND(INDEX('1-DATA'!$1:$1048576,IF(OR($B605="STD. DEVIATION",$C$1=1),$A605,$A605+1),COLUMN('1-DATA'!AB603)),IF($B605="STD. DEVIATION",2,$F$1))))</f>
        <v/>
      </c>
      <c r="AD605" s="1" t="str">
        <f>IF(OR($B605="",AD$7=""),"",IF($B605="MEANS",INDEX('1-DATA'!$1:$1048576,$A604-1,COLUMN('1-DATA'!AC603)),ROUND(INDEX('1-DATA'!$1:$1048576,IF(OR($B605="STD. DEVIATION",$C$1=1),$A605,$A605+1),COLUMN('1-DATA'!AC603)),IF($B605="STD. DEVIATION",2,$F$1))))</f>
        <v/>
      </c>
      <c r="AE605" s="1" t="str">
        <f>IF(OR($B605="",AE$7=""),"",IF($B605="MEANS",INDEX('1-DATA'!$1:$1048576,$A604-1,COLUMN('1-DATA'!AD603)),ROUND(INDEX('1-DATA'!$1:$1048576,IF(OR($B605="STD. DEVIATION",$C$1=1),$A605,$A605+1),COLUMN('1-DATA'!AD603)),IF($B605="STD. DEVIATION",2,$F$1))))</f>
        <v/>
      </c>
      <c r="AF605" s="1" t="str">
        <f>IF(OR($B605="",AF$7=""),"",IF($B605="MEANS",INDEX('1-DATA'!$1:$1048576,$A604-1,COLUMN('1-DATA'!AE603)),ROUND(INDEX('1-DATA'!$1:$1048576,IF(OR($B605="STD. DEVIATION",$C$1=1),$A605,$A605+1),COLUMN('1-DATA'!AE603)),IF($B605="STD. DEVIATION",2,$F$1))))</f>
        <v/>
      </c>
      <c r="AG605" s="1" t="str">
        <f>IF(OR($B605="",AG$7=""),"",IF($B605="MEANS",INDEX('1-DATA'!$1:$1048576,$A604-1,COLUMN('1-DATA'!AF603)),ROUND(INDEX('1-DATA'!$1:$1048576,IF(OR($B605="STD. DEVIATION",$C$1=1),$A605,$A605+1),COLUMN('1-DATA'!AF603)),IF($B605="STD. DEVIATION",2,$F$1))))</f>
        <v/>
      </c>
      <c r="AH605" s="1" t="str">
        <f>IF(OR($B605="",AH$7=""),"",IF($B605="MEANS",INDEX('1-DATA'!$1:$1048576,$A604-1,COLUMN('1-DATA'!AG603)),ROUND(INDEX('1-DATA'!$1:$1048576,IF(OR($B605="STD. DEVIATION",$C$1=1),$A605,$A605+1),COLUMN('1-DATA'!AG603)),IF($B605="STD. DEVIATION",2,$F$1))))</f>
        <v/>
      </c>
      <c r="AI605" s="1" t="str">
        <f>IF(OR($B605="",AI$7=""),"",IF($B605="MEANS",INDEX('1-DATA'!$1:$1048576,$A604-1,COLUMN('1-DATA'!AH603)),ROUND(INDEX('1-DATA'!$1:$1048576,IF(OR($B605="STD. DEVIATION",$C$1=1),$A605,$A605+1),COLUMN('1-DATA'!AH603)),IF($B605="STD. DEVIATION",2,$F$1))))</f>
        <v/>
      </c>
      <c r="AJ605" s="1" t="str">
        <f>IF(OR($B605="",AJ$7=""),"",IF($B605="MEANS",INDEX('1-DATA'!$1:$1048576,$A604-1,COLUMN('1-DATA'!AI603)),ROUND(INDEX('1-DATA'!$1:$1048576,IF(OR($B605="STD. DEVIATION",$C$1=1),$A605,$A605+1),COLUMN('1-DATA'!AI603)),IF($B605="STD. DEVIATION",2,$F$1))))</f>
        <v/>
      </c>
      <c r="AK605" s="1" t="str">
        <f>IF(OR($B605="",AK$7=""),"",IF($B605="MEANS",INDEX('1-DATA'!$1:$1048576,$A604-1,COLUMN('1-DATA'!AJ603)),ROUND(INDEX('1-DATA'!$1:$1048576,IF(OR($B605="STD. DEVIATION",$C$1=1),$A605,$A605+1),COLUMN('1-DATA'!AJ603)),IF($B605="STD. DEVIATION",2,$F$1))))</f>
        <v/>
      </c>
      <c r="AL605" s="1" t="str">
        <f>IF(OR($B605="",AL$7=""),"",IF($B605="MEANS",INDEX('1-DATA'!$1:$1048576,$A604-1,COLUMN('1-DATA'!AK603)),ROUND(INDEX('1-DATA'!$1:$1048576,IF(OR($B605="STD. DEVIATION",$C$1=1),$A605,$A605+1),COLUMN('1-DATA'!AK603)),IF($B605="STD. DEVIATION",2,$F$1))))</f>
        <v/>
      </c>
      <c r="AM605" s="1" t="str">
        <f>IF(OR($B605="",AM$7=""),"",IF($B605="MEANS",INDEX('1-DATA'!$1:$1048576,$A604-1,COLUMN('1-DATA'!AL603)),ROUND(INDEX('1-DATA'!$1:$1048576,IF(OR($B605="STD. DEVIATION",$C$1=1),$A605,$A605+1),COLUMN('1-DATA'!AL603)),IF($B605="STD. DEVIATION",2,$F$1))))</f>
        <v/>
      </c>
      <c r="AN605" s="1" t="str">
        <f>IF(OR($B605="",AN$7=""),"",IF($B605="MEANS",INDEX('1-DATA'!$1:$1048576,$A604-1,COLUMN('1-DATA'!AM603)),ROUND(INDEX('1-DATA'!$1:$1048576,IF(OR($B605="STD. DEVIATION",$C$1=1),$A605,$A605+1),COLUMN('1-DATA'!AM603)),IF($B605="STD. DEVIATION",2,$F$1))))</f>
        <v/>
      </c>
      <c r="AO605" s="1" t="str">
        <f>IF(OR($B605="",AO$7=""),"",IF($B605="MEANS",INDEX('1-DATA'!$1:$1048576,$A604-1,COLUMN('1-DATA'!AN603)),ROUND(INDEX('1-DATA'!$1:$1048576,IF(OR($B605="STD. DEVIATION",$C$1=1),$A605,$A605+1),COLUMN('1-DATA'!AN603)),IF($B605="STD. DEVIATION",2,$F$1))))</f>
        <v/>
      </c>
      <c r="AP605" s="1" t="str">
        <f>IF(OR($B605="",AP$7=""),"",IF($B605="MEANS",INDEX('1-DATA'!$1:$1048576,$A604-1,COLUMN('1-DATA'!AO603)),ROUND(INDEX('1-DATA'!$1:$1048576,IF(OR($B605="STD. DEVIATION",$C$1=1),$A605,$A605+1),COLUMN('1-DATA'!AO603)),IF($B605="STD. DEVIATION",2,$F$1))))</f>
        <v/>
      </c>
      <c r="AQ605" s="1" t="str">
        <f>IF(OR($B605="",AQ$7=""),"",IF($B605="MEANS",INDEX('1-DATA'!$1:$1048576,$A604-1,COLUMN('1-DATA'!AP603)),ROUND(INDEX('1-DATA'!$1:$1048576,IF(OR($B605="STD. DEVIATION",$C$1=1),$A605,$A605+1),COLUMN('1-DATA'!AP603)),IF($B605="STD. DEVIATION",2,$F$1))))</f>
        <v/>
      </c>
      <c r="AR605" s="1" t="str">
        <f>IF(OR($B605="",AR$7=""),"",IF($B605="MEANS",INDEX('1-DATA'!$1:$1048576,$A604-1,COLUMN('1-DATA'!AQ603)),ROUND(INDEX('1-DATA'!$1:$1048576,IF(OR($B605="STD. DEVIATION",$C$1=1),$A605,$A605+1),COLUMN('1-DATA'!AQ603)),IF($B605="STD. DEVIATION",2,$F$1))))</f>
        <v/>
      </c>
      <c r="AS605" s="1" t="str">
        <f>IF(OR($B605="",AS$7=""),"",IF($B605="MEANS",INDEX('1-DATA'!$1:$1048576,$A604-1,COLUMN('1-DATA'!AR603)),ROUND(INDEX('1-DATA'!$1:$1048576,IF(OR($B605="STD. DEVIATION",$C$1=1),$A605,$A605+1),COLUMN('1-DATA'!AR603)),IF($B605="STD. DEVIATION",2,$F$1))))</f>
        <v/>
      </c>
      <c r="AT605" s="1" t="str">
        <f>IF(OR($B605="",AT$7=""),"",IF($B605="MEANS",INDEX('1-DATA'!$1:$1048576,$A604-1,COLUMN('1-DATA'!AS603)),ROUND(INDEX('1-DATA'!$1:$1048576,IF(OR($B605="STD. DEVIATION",$C$1=1),$A605,$A605+1),COLUMN('1-DATA'!AS603)),IF($B605="STD. DEVIATION",2,$F$1))))</f>
        <v/>
      </c>
      <c r="AU605" s="1" t="str">
        <f>IF(OR($B605="",AU$7=""),"",IF($B605="MEANS",INDEX('1-DATA'!$1:$1048576,$A604-1,COLUMN('1-DATA'!AT603)),ROUND(INDEX('1-DATA'!$1:$1048576,IF(OR($B605="STD. DEVIATION",$C$1=1),$A605,$A605+1),COLUMN('1-DATA'!AT603)),IF($B605="STD. DEVIATION",2,$F$1))))</f>
        <v/>
      </c>
      <c r="AV605" s="1" t="str">
        <f>IF(OR($B605="",AV$7=""),"",IF($B605="MEANS",INDEX('1-DATA'!$1:$1048576,$A604-1,COLUMN('1-DATA'!AU603)),ROUND(INDEX('1-DATA'!$1:$1048576,IF(OR($B605="STD. DEVIATION",$C$1=1),$A605,$A605+1),COLUMN('1-DATA'!AU603)),IF($B605="STD. DEVIATION",2,$F$1))))</f>
        <v/>
      </c>
      <c r="AW605" s="1" t="str">
        <f>IF(OR($B605="",AW$7=""),"",IF($B605="MEANS",INDEX('1-DATA'!$1:$1048576,$A604-1,COLUMN('1-DATA'!AV603)),ROUND(INDEX('1-DATA'!$1:$1048576,IF(OR($B605="STD. DEVIATION",$C$1=1),$A605,$A605+1),COLUMN('1-DATA'!AV603)),IF($B605="STD. DEVIATION",2,$F$1))))</f>
        <v/>
      </c>
      <c r="AX605" s="1" t="str">
        <f>IF(OR($B605="",AX$7=""),"",IF($B605="MEANS",INDEX('1-DATA'!$1:$1048576,$A604-1,COLUMN('1-DATA'!AW603)),ROUND(INDEX('1-DATA'!$1:$1048576,IF(OR($B605="STD. DEVIATION",$C$1=1),$A605,$A605+1),COLUMN('1-DATA'!AW603)),IF($B605="STD. DEVIATION",2,$F$1))))</f>
        <v/>
      </c>
      <c r="AY605" s="1" t="str">
        <f>IF(OR($B605="",AY$7=""),"",IF($B605="MEANS",INDEX('1-DATA'!$1:$1048576,$A604-1,COLUMN('1-DATA'!AX603)),ROUND(INDEX('1-DATA'!$1:$1048576,IF(OR($B605="STD. DEVIATION",$C$1=1),$A605,$A605+1),COLUMN('1-DATA'!AX603)),IF($B605="STD. DEVIATION",2,$F$1))))</f>
        <v/>
      </c>
      <c r="AZ605" s="1" t="str">
        <f>IF(OR($B605="",AZ$7=""),"",IF($B605="MEANS",INDEX('1-DATA'!$1:$1048576,$A604-1,COLUMN('1-DATA'!AY603)),ROUND(INDEX('1-DATA'!$1:$1048576,IF(OR($B605="STD. DEVIATION",$C$1=1),$A605,$A605+1),COLUMN('1-DATA'!AY603)),IF($B605="STD. DEVIATION",2,$F$1))))</f>
        <v/>
      </c>
    </row>
    <row r="606" spans="1:52" x14ac:dyDescent="0.25">
      <c r="A606" s="11">
        <f t="shared" ref="A606:A669" si="10">A605+3</f>
        <v>1804</v>
      </c>
      <c r="B606" s="1" t="str">
        <f>IF(B605="STD. DEVIATION",INDEX('1-DATA'!$1:$1048576,$A605-1,1),IF(INDEX('1-DATA'!$1:$1048576,$A606,1)&lt;&gt;"",INDEX('1-DATA'!$1:$1048576,$A606,1),""))</f>
        <v/>
      </c>
      <c r="C606" s="1" t="str">
        <f>IF(OR($B606="",C$7=""),"",IF($B606="MEANS",INDEX('1-DATA'!$1:$1048576,$A605-1,COLUMN('1-DATA'!B604)),ROUND(INDEX('1-DATA'!$1:$1048576,IF(OR($B606="STD. DEVIATION",$C$1=1),$A606,$A606+1),COLUMN('1-DATA'!B604)),IF($B606="STD. DEVIATION",2,$F$1))))</f>
        <v/>
      </c>
      <c r="D606" s="1" t="str">
        <f>IF(OR($B606="",D$7=""),"",IF($B606="MEANS",INDEX('1-DATA'!$1:$1048576,$A605-1,COLUMN('1-DATA'!C604)),ROUND(INDEX('1-DATA'!$1:$1048576,IF(OR($B606="STD. DEVIATION",$C$1=1),$A606,$A606+1),COLUMN('1-DATA'!C604)),IF($B606="STD. DEVIATION",2,$F$1))))</f>
        <v/>
      </c>
      <c r="E606" s="1" t="str">
        <f>IF(OR($B606="",E$7=""),"",IF($B606="MEANS",INDEX('1-DATA'!$1:$1048576,$A605-1,COLUMN('1-DATA'!D604)),ROUND(INDEX('1-DATA'!$1:$1048576,IF(OR($B606="STD. DEVIATION",$C$1=1),$A606,$A606+1),COLUMN('1-DATA'!D604)),IF($B606="STD. DEVIATION",2,$F$1))))</f>
        <v/>
      </c>
      <c r="F606" s="1" t="str">
        <f>IF(OR($B606="",F$7=""),"",IF($B606="MEANS",INDEX('1-DATA'!$1:$1048576,$A605-1,COLUMN('1-DATA'!E604)),ROUND(INDEX('1-DATA'!$1:$1048576,IF(OR($B606="STD. DEVIATION",$C$1=1),$A606,$A606+1),COLUMN('1-DATA'!E604)),IF($B606="STD. DEVIATION",2,$F$1))))</f>
        <v/>
      </c>
      <c r="G606" s="1" t="str">
        <f>IF(OR($B606="",G$7=""),"",IF($B606="MEANS",INDEX('1-DATA'!$1:$1048576,$A605-1,COLUMN('1-DATA'!F604)),ROUND(INDEX('1-DATA'!$1:$1048576,IF(OR($B606="STD. DEVIATION",$C$1=1),$A606,$A606+1),COLUMN('1-DATA'!F604)),IF($B606="STD. DEVIATION",2,$F$1))))</f>
        <v/>
      </c>
      <c r="H606" s="1" t="str">
        <f>IF(OR($B606="",H$7=""),"",IF($B606="MEANS",INDEX('1-DATA'!$1:$1048576,$A605-1,COLUMN('1-DATA'!G604)),ROUND(INDEX('1-DATA'!$1:$1048576,IF(OR($B606="STD. DEVIATION",$C$1=1),$A606,$A606+1),COLUMN('1-DATA'!G604)),IF($B606="STD. DEVIATION",2,$F$1))))</f>
        <v/>
      </c>
      <c r="I606" s="1" t="str">
        <f>IF(OR($B606="",I$7=""),"",IF($B606="MEANS",INDEX('1-DATA'!$1:$1048576,$A605-1,COLUMN('1-DATA'!H604)),ROUND(INDEX('1-DATA'!$1:$1048576,IF(OR($B606="STD. DEVIATION",$C$1=1),$A606,$A606+1),COLUMN('1-DATA'!H604)),IF($B606="STD. DEVIATION",2,$F$1))))</f>
        <v/>
      </c>
      <c r="J606" s="1" t="str">
        <f>IF(OR($B606="",J$7=""),"",IF($B606="MEANS",INDEX('1-DATA'!$1:$1048576,$A605-1,COLUMN('1-DATA'!I604)),ROUND(INDEX('1-DATA'!$1:$1048576,IF(OR($B606="STD. DEVIATION",$C$1=1),$A606,$A606+1),COLUMN('1-DATA'!I604)),IF($B606="STD. DEVIATION",2,$F$1))))</f>
        <v/>
      </c>
      <c r="K606" s="1" t="str">
        <f>IF(OR($B606="",K$7=""),"",IF($B606="MEANS",INDEX('1-DATA'!$1:$1048576,$A605-1,COLUMN('1-DATA'!J604)),ROUND(INDEX('1-DATA'!$1:$1048576,IF(OR($B606="STD. DEVIATION",$C$1=1),$A606,$A606+1),COLUMN('1-DATA'!J604)),IF($B606="STD. DEVIATION",2,$F$1))))</f>
        <v/>
      </c>
      <c r="L606" s="1" t="str">
        <f>IF(OR($B606="",L$7=""),"",IF($B606="MEANS",INDEX('1-DATA'!$1:$1048576,$A605-1,COLUMN('1-DATA'!K604)),ROUND(INDEX('1-DATA'!$1:$1048576,IF(OR($B606="STD. DEVIATION",$C$1=1),$A606,$A606+1),COLUMN('1-DATA'!K604)),IF($B606="STD. DEVIATION",2,$F$1))))</f>
        <v/>
      </c>
      <c r="M606" s="1" t="str">
        <f>IF(OR($B606="",M$7=""),"",IF($B606="MEANS",INDEX('1-DATA'!$1:$1048576,$A605-1,COLUMN('1-DATA'!L604)),ROUND(INDEX('1-DATA'!$1:$1048576,IF(OR($B606="STD. DEVIATION",$C$1=1),$A606,$A606+1),COLUMN('1-DATA'!L604)),IF($B606="STD. DEVIATION",2,$F$1))))</f>
        <v/>
      </c>
      <c r="N606" s="1" t="str">
        <f>IF(OR($B606="",N$7=""),"",IF($B606="MEANS",INDEX('1-DATA'!$1:$1048576,$A605-1,COLUMN('1-DATA'!M604)),ROUND(INDEX('1-DATA'!$1:$1048576,IF(OR($B606="STD. DEVIATION",$C$1=1),$A606,$A606+1),COLUMN('1-DATA'!M604)),IF($B606="STD. DEVIATION",2,$F$1))))</f>
        <v/>
      </c>
      <c r="O606" s="1" t="str">
        <f>IF(OR($B606="",O$7=""),"",IF($B606="MEANS",INDEX('1-DATA'!$1:$1048576,$A605-1,COLUMN('1-DATA'!N604)),ROUND(INDEX('1-DATA'!$1:$1048576,IF(OR($B606="STD. DEVIATION",$C$1=1),$A606,$A606+1),COLUMN('1-DATA'!N604)),IF($B606="STD. DEVIATION",2,$F$1))))</f>
        <v/>
      </c>
      <c r="P606" s="1" t="str">
        <f>IF(OR($B606="",P$7=""),"",IF($B606="MEANS",INDEX('1-DATA'!$1:$1048576,$A605-1,COLUMN('1-DATA'!O604)),ROUND(INDEX('1-DATA'!$1:$1048576,IF(OR($B606="STD. DEVIATION",$C$1=1),$A606,$A606+1),COLUMN('1-DATA'!O604)),IF($B606="STD. DEVIATION",2,$F$1))))</f>
        <v/>
      </c>
      <c r="Q606" s="1" t="str">
        <f>IF(OR($B606="",Q$7=""),"",IF($B606="MEANS",INDEX('1-DATA'!$1:$1048576,$A605-1,COLUMN('1-DATA'!P604)),ROUND(INDEX('1-DATA'!$1:$1048576,IF(OR($B606="STD. DEVIATION",$C$1=1),$A606,$A606+1),COLUMN('1-DATA'!P604)),IF($B606="STD. DEVIATION",2,$F$1))))</f>
        <v/>
      </c>
      <c r="R606" s="1" t="str">
        <f>IF(OR($B606="",R$7=""),"",IF($B606="MEANS",INDEX('1-DATA'!$1:$1048576,$A605-1,COLUMN('1-DATA'!Q604)),ROUND(INDEX('1-DATA'!$1:$1048576,IF(OR($B606="STD. DEVIATION",$C$1=1),$A606,$A606+1),COLUMN('1-DATA'!Q604)),IF($B606="STD. DEVIATION",2,$F$1))))</f>
        <v/>
      </c>
      <c r="S606" s="1" t="str">
        <f>IF(OR($B606="",S$7=""),"",IF($B606="MEANS",INDEX('1-DATA'!$1:$1048576,$A605-1,COLUMN('1-DATA'!R604)),ROUND(INDEX('1-DATA'!$1:$1048576,IF(OR($B606="STD. DEVIATION",$C$1=1),$A606,$A606+1),COLUMN('1-DATA'!R604)),IF($B606="STD. DEVIATION",2,$F$1))))</f>
        <v/>
      </c>
      <c r="T606" s="1" t="str">
        <f>IF(OR($B606="",T$7=""),"",IF($B606="MEANS",INDEX('1-DATA'!$1:$1048576,$A605-1,COLUMN('1-DATA'!S604)),ROUND(INDEX('1-DATA'!$1:$1048576,IF(OR($B606="STD. DEVIATION",$C$1=1),$A606,$A606+1),COLUMN('1-DATA'!S604)),IF($B606="STD. DEVIATION",2,$F$1))))</f>
        <v/>
      </c>
      <c r="U606" s="1" t="str">
        <f>IF(OR($B606="",U$7=""),"",IF($B606="MEANS",INDEX('1-DATA'!$1:$1048576,$A605-1,COLUMN('1-DATA'!T604)),ROUND(INDEX('1-DATA'!$1:$1048576,IF(OR($B606="STD. DEVIATION",$C$1=1),$A606,$A606+1),COLUMN('1-DATA'!T604)),IF($B606="STD. DEVIATION",2,$F$1))))</f>
        <v/>
      </c>
      <c r="V606" s="1" t="str">
        <f>IF(OR($B606="",V$7=""),"",IF($B606="MEANS",INDEX('1-DATA'!$1:$1048576,$A605-1,COLUMN('1-DATA'!U604)),ROUND(INDEX('1-DATA'!$1:$1048576,IF(OR($B606="STD. DEVIATION",$C$1=1),$A606,$A606+1),COLUMN('1-DATA'!U604)),IF($B606="STD. DEVIATION",2,$F$1))))</f>
        <v/>
      </c>
      <c r="W606" s="1" t="str">
        <f>IF(OR($B606="",W$7=""),"",IF($B606="MEANS",INDEX('1-DATA'!$1:$1048576,$A605-1,COLUMN('1-DATA'!V604)),ROUND(INDEX('1-DATA'!$1:$1048576,IF(OR($B606="STD. DEVIATION",$C$1=1),$A606,$A606+1),COLUMN('1-DATA'!V604)),IF($B606="STD. DEVIATION",2,$F$1))))</f>
        <v/>
      </c>
      <c r="X606" s="1" t="str">
        <f>IF(OR($B606="",X$7=""),"",IF($B606="MEANS",INDEX('1-DATA'!$1:$1048576,$A605-1,COLUMN('1-DATA'!W604)),ROUND(INDEX('1-DATA'!$1:$1048576,IF(OR($B606="STD. DEVIATION",$C$1=1),$A606,$A606+1),COLUMN('1-DATA'!W604)),IF($B606="STD. DEVIATION",2,$F$1))))</f>
        <v/>
      </c>
      <c r="Y606" s="1" t="str">
        <f>IF(OR($B606="",Y$7=""),"",IF($B606="MEANS",INDEX('1-DATA'!$1:$1048576,$A605-1,COLUMN('1-DATA'!X604)),ROUND(INDEX('1-DATA'!$1:$1048576,IF(OR($B606="STD. DEVIATION",$C$1=1),$A606,$A606+1),COLUMN('1-DATA'!X604)),IF($B606="STD. DEVIATION",2,$F$1))))</f>
        <v/>
      </c>
      <c r="Z606" s="1" t="str">
        <f>IF(OR($B606="",Z$7=""),"",IF($B606="MEANS",INDEX('1-DATA'!$1:$1048576,$A605-1,COLUMN('1-DATA'!Y604)),ROUND(INDEX('1-DATA'!$1:$1048576,IF(OR($B606="STD. DEVIATION",$C$1=1),$A606,$A606+1),COLUMN('1-DATA'!Y604)),IF($B606="STD. DEVIATION",2,$F$1))))</f>
        <v/>
      </c>
      <c r="AA606" s="1" t="str">
        <f>IF(OR($B606="",AA$7=""),"",IF($B606="MEANS",INDEX('1-DATA'!$1:$1048576,$A605-1,COLUMN('1-DATA'!Z604)),ROUND(INDEX('1-DATA'!$1:$1048576,IF(OR($B606="STD. DEVIATION",$C$1=1),$A606,$A606+1),COLUMN('1-DATA'!Z604)),IF($B606="STD. DEVIATION",2,$F$1))))</f>
        <v/>
      </c>
      <c r="AB606" s="1" t="str">
        <f>IF(OR($B606="",AB$7=""),"",IF($B606="MEANS",INDEX('1-DATA'!$1:$1048576,$A605-1,COLUMN('1-DATA'!AA604)),ROUND(INDEX('1-DATA'!$1:$1048576,IF(OR($B606="STD. DEVIATION",$C$1=1),$A606,$A606+1),COLUMN('1-DATA'!AA604)),IF($B606="STD. DEVIATION",2,$F$1))))</f>
        <v/>
      </c>
      <c r="AC606" s="1" t="str">
        <f>IF(OR($B606="",AC$7=""),"",IF($B606="MEANS",INDEX('1-DATA'!$1:$1048576,$A605-1,COLUMN('1-DATA'!AB604)),ROUND(INDEX('1-DATA'!$1:$1048576,IF(OR($B606="STD. DEVIATION",$C$1=1),$A606,$A606+1),COLUMN('1-DATA'!AB604)),IF($B606="STD. DEVIATION",2,$F$1))))</f>
        <v/>
      </c>
      <c r="AD606" s="1" t="str">
        <f>IF(OR($B606="",AD$7=""),"",IF($B606="MEANS",INDEX('1-DATA'!$1:$1048576,$A605-1,COLUMN('1-DATA'!AC604)),ROUND(INDEX('1-DATA'!$1:$1048576,IF(OR($B606="STD. DEVIATION",$C$1=1),$A606,$A606+1),COLUMN('1-DATA'!AC604)),IF($B606="STD. DEVIATION",2,$F$1))))</f>
        <v/>
      </c>
      <c r="AE606" s="1" t="str">
        <f>IF(OR($B606="",AE$7=""),"",IF($B606="MEANS",INDEX('1-DATA'!$1:$1048576,$A605-1,COLUMN('1-DATA'!AD604)),ROUND(INDEX('1-DATA'!$1:$1048576,IF(OR($B606="STD. DEVIATION",$C$1=1),$A606,$A606+1),COLUMN('1-DATA'!AD604)),IF($B606="STD. DEVIATION",2,$F$1))))</f>
        <v/>
      </c>
      <c r="AF606" s="1" t="str">
        <f>IF(OR($B606="",AF$7=""),"",IF($B606="MEANS",INDEX('1-DATA'!$1:$1048576,$A605-1,COLUMN('1-DATA'!AE604)),ROUND(INDEX('1-DATA'!$1:$1048576,IF(OR($B606="STD. DEVIATION",$C$1=1),$A606,$A606+1),COLUMN('1-DATA'!AE604)),IF($B606="STD. DEVIATION",2,$F$1))))</f>
        <v/>
      </c>
      <c r="AG606" s="1" t="str">
        <f>IF(OR($B606="",AG$7=""),"",IF($B606="MEANS",INDEX('1-DATA'!$1:$1048576,$A605-1,COLUMN('1-DATA'!AF604)),ROUND(INDEX('1-DATA'!$1:$1048576,IF(OR($B606="STD. DEVIATION",$C$1=1),$A606,$A606+1),COLUMN('1-DATA'!AF604)),IF($B606="STD. DEVIATION",2,$F$1))))</f>
        <v/>
      </c>
      <c r="AH606" s="1" t="str">
        <f>IF(OR($B606="",AH$7=""),"",IF($B606="MEANS",INDEX('1-DATA'!$1:$1048576,$A605-1,COLUMN('1-DATA'!AG604)),ROUND(INDEX('1-DATA'!$1:$1048576,IF(OR($B606="STD. DEVIATION",$C$1=1),$A606,$A606+1),COLUMN('1-DATA'!AG604)),IF($B606="STD. DEVIATION",2,$F$1))))</f>
        <v/>
      </c>
      <c r="AI606" s="1" t="str">
        <f>IF(OR($B606="",AI$7=""),"",IF($B606="MEANS",INDEX('1-DATA'!$1:$1048576,$A605-1,COLUMN('1-DATA'!AH604)),ROUND(INDEX('1-DATA'!$1:$1048576,IF(OR($B606="STD. DEVIATION",$C$1=1),$A606,$A606+1),COLUMN('1-DATA'!AH604)),IF($B606="STD. DEVIATION",2,$F$1))))</f>
        <v/>
      </c>
      <c r="AJ606" s="1" t="str">
        <f>IF(OR($B606="",AJ$7=""),"",IF($B606="MEANS",INDEX('1-DATA'!$1:$1048576,$A605-1,COLUMN('1-DATA'!AI604)),ROUND(INDEX('1-DATA'!$1:$1048576,IF(OR($B606="STD. DEVIATION",$C$1=1),$A606,$A606+1),COLUMN('1-DATA'!AI604)),IF($B606="STD. DEVIATION",2,$F$1))))</f>
        <v/>
      </c>
      <c r="AK606" s="1" t="str">
        <f>IF(OR($B606="",AK$7=""),"",IF($B606="MEANS",INDEX('1-DATA'!$1:$1048576,$A605-1,COLUMN('1-DATA'!AJ604)),ROUND(INDEX('1-DATA'!$1:$1048576,IF(OR($B606="STD. DEVIATION",$C$1=1),$A606,$A606+1),COLUMN('1-DATA'!AJ604)),IF($B606="STD. DEVIATION",2,$F$1))))</f>
        <v/>
      </c>
      <c r="AL606" s="1" t="str">
        <f>IF(OR($B606="",AL$7=""),"",IF($B606="MEANS",INDEX('1-DATA'!$1:$1048576,$A605-1,COLUMN('1-DATA'!AK604)),ROUND(INDEX('1-DATA'!$1:$1048576,IF(OR($B606="STD. DEVIATION",$C$1=1),$A606,$A606+1),COLUMN('1-DATA'!AK604)),IF($B606="STD. DEVIATION",2,$F$1))))</f>
        <v/>
      </c>
      <c r="AM606" s="1" t="str">
        <f>IF(OR($B606="",AM$7=""),"",IF($B606="MEANS",INDEX('1-DATA'!$1:$1048576,$A605-1,COLUMN('1-DATA'!AL604)),ROUND(INDEX('1-DATA'!$1:$1048576,IF(OR($B606="STD. DEVIATION",$C$1=1),$A606,$A606+1),COLUMN('1-DATA'!AL604)),IF($B606="STD. DEVIATION",2,$F$1))))</f>
        <v/>
      </c>
      <c r="AN606" s="1" t="str">
        <f>IF(OR($B606="",AN$7=""),"",IF($B606="MEANS",INDEX('1-DATA'!$1:$1048576,$A605-1,COLUMN('1-DATA'!AM604)),ROUND(INDEX('1-DATA'!$1:$1048576,IF(OR($B606="STD. DEVIATION",$C$1=1),$A606,$A606+1),COLUMN('1-DATA'!AM604)),IF($B606="STD. DEVIATION",2,$F$1))))</f>
        <v/>
      </c>
      <c r="AO606" s="1" t="str">
        <f>IF(OR($B606="",AO$7=""),"",IF($B606="MEANS",INDEX('1-DATA'!$1:$1048576,$A605-1,COLUMN('1-DATA'!AN604)),ROUND(INDEX('1-DATA'!$1:$1048576,IF(OR($B606="STD. DEVIATION",$C$1=1),$A606,$A606+1),COLUMN('1-DATA'!AN604)),IF($B606="STD. DEVIATION",2,$F$1))))</f>
        <v/>
      </c>
      <c r="AP606" s="1" t="str">
        <f>IF(OR($B606="",AP$7=""),"",IF($B606="MEANS",INDEX('1-DATA'!$1:$1048576,$A605-1,COLUMN('1-DATA'!AO604)),ROUND(INDEX('1-DATA'!$1:$1048576,IF(OR($B606="STD. DEVIATION",$C$1=1),$A606,$A606+1),COLUMN('1-DATA'!AO604)),IF($B606="STD. DEVIATION",2,$F$1))))</f>
        <v/>
      </c>
      <c r="AQ606" s="1" t="str">
        <f>IF(OR($B606="",AQ$7=""),"",IF($B606="MEANS",INDEX('1-DATA'!$1:$1048576,$A605-1,COLUMN('1-DATA'!AP604)),ROUND(INDEX('1-DATA'!$1:$1048576,IF(OR($B606="STD. DEVIATION",$C$1=1),$A606,$A606+1),COLUMN('1-DATA'!AP604)),IF($B606="STD. DEVIATION",2,$F$1))))</f>
        <v/>
      </c>
      <c r="AR606" s="1" t="str">
        <f>IF(OR($B606="",AR$7=""),"",IF($B606="MEANS",INDEX('1-DATA'!$1:$1048576,$A605-1,COLUMN('1-DATA'!AQ604)),ROUND(INDEX('1-DATA'!$1:$1048576,IF(OR($B606="STD. DEVIATION",$C$1=1),$A606,$A606+1),COLUMN('1-DATA'!AQ604)),IF($B606="STD. DEVIATION",2,$F$1))))</f>
        <v/>
      </c>
      <c r="AS606" s="1" t="str">
        <f>IF(OR($B606="",AS$7=""),"",IF($B606="MEANS",INDEX('1-DATA'!$1:$1048576,$A605-1,COLUMN('1-DATA'!AR604)),ROUND(INDEX('1-DATA'!$1:$1048576,IF(OR($B606="STD. DEVIATION",$C$1=1),$A606,$A606+1),COLUMN('1-DATA'!AR604)),IF($B606="STD. DEVIATION",2,$F$1))))</f>
        <v/>
      </c>
      <c r="AT606" s="1" t="str">
        <f>IF(OR($B606="",AT$7=""),"",IF($B606="MEANS",INDEX('1-DATA'!$1:$1048576,$A605-1,COLUMN('1-DATA'!AS604)),ROUND(INDEX('1-DATA'!$1:$1048576,IF(OR($B606="STD. DEVIATION",$C$1=1),$A606,$A606+1),COLUMN('1-DATA'!AS604)),IF($B606="STD. DEVIATION",2,$F$1))))</f>
        <v/>
      </c>
      <c r="AU606" s="1" t="str">
        <f>IF(OR($B606="",AU$7=""),"",IF($B606="MEANS",INDEX('1-DATA'!$1:$1048576,$A605-1,COLUMN('1-DATA'!AT604)),ROUND(INDEX('1-DATA'!$1:$1048576,IF(OR($B606="STD. DEVIATION",$C$1=1),$A606,$A606+1),COLUMN('1-DATA'!AT604)),IF($B606="STD. DEVIATION",2,$F$1))))</f>
        <v/>
      </c>
      <c r="AV606" s="1" t="str">
        <f>IF(OR($B606="",AV$7=""),"",IF($B606="MEANS",INDEX('1-DATA'!$1:$1048576,$A605-1,COLUMN('1-DATA'!AU604)),ROUND(INDEX('1-DATA'!$1:$1048576,IF(OR($B606="STD. DEVIATION",$C$1=1),$A606,$A606+1),COLUMN('1-DATA'!AU604)),IF($B606="STD. DEVIATION",2,$F$1))))</f>
        <v/>
      </c>
      <c r="AW606" s="1" t="str">
        <f>IF(OR($B606="",AW$7=""),"",IF($B606="MEANS",INDEX('1-DATA'!$1:$1048576,$A605-1,COLUMN('1-DATA'!AV604)),ROUND(INDEX('1-DATA'!$1:$1048576,IF(OR($B606="STD. DEVIATION",$C$1=1),$A606,$A606+1),COLUMN('1-DATA'!AV604)),IF($B606="STD. DEVIATION",2,$F$1))))</f>
        <v/>
      </c>
      <c r="AX606" s="1" t="str">
        <f>IF(OR($B606="",AX$7=""),"",IF($B606="MEANS",INDEX('1-DATA'!$1:$1048576,$A605-1,COLUMN('1-DATA'!AW604)),ROUND(INDEX('1-DATA'!$1:$1048576,IF(OR($B606="STD. DEVIATION",$C$1=1),$A606,$A606+1),COLUMN('1-DATA'!AW604)),IF($B606="STD. DEVIATION",2,$F$1))))</f>
        <v/>
      </c>
      <c r="AY606" s="1" t="str">
        <f>IF(OR($B606="",AY$7=""),"",IF($B606="MEANS",INDEX('1-DATA'!$1:$1048576,$A605-1,COLUMN('1-DATA'!AX604)),ROUND(INDEX('1-DATA'!$1:$1048576,IF(OR($B606="STD. DEVIATION",$C$1=1),$A606,$A606+1),COLUMN('1-DATA'!AX604)),IF($B606="STD. DEVIATION",2,$F$1))))</f>
        <v/>
      </c>
      <c r="AZ606" s="1" t="str">
        <f>IF(OR($B606="",AZ$7=""),"",IF($B606="MEANS",INDEX('1-DATA'!$1:$1048576,$A605-1,COLUMN('1-DATA'!AY604)),ROUND(INDEX('1-DATA'!$1:$1048576,IF(OR($B606="STD. DEVIATION",$C$1=1),$A606,$A606+1),COLUMN('1-DATA'!AY604)),IF($B606="STD. DEVIATION",2,$F$1))))</f>
        <v/>
      </c>
    </row>
    <row r="607" spans="1:52" x14ac:dyDescent="0.25">
      <c r="A607" s="11">
        <f t="shared" si="10"/>
        <v>1807</v>
      </c>
      <c r="B607" s="1" t="str">
        <f>IF(B606="STD. DEVIATION",INDEX('1-DATA'!$1:$1048576,$A606-1,1),IF(INDEX('1-DATA'!$1:$1048576,$A607,1)&lt;&gt;"",INDEX('1-DATA'!$1:$1048576,$A607,1),""))</f>
        <v/>
      </c>
      <c r="C607" s="1" t="str">
        <f>IF(OR($B607="",C$7=""),"",IF($B607="MEANS",INDEX('1-DATA'!$1:$1048576,$A606-1,COLUMN('1-DATA'!B605)),ROUND(INDEX('1-DATA'!$1:$1048576,IF(OR($B607="STD. DEVIATION",$C$1=1),$A607,$A607+1),COLUMN('1-DATA'!B605)),IF($B607="STD. DEVIATION",2,$F$1))))</f>
        <v/>
      </c>
      <c r="D607" s="1" t="str">
        <f>IF(OR($B607="",D$7=""),"",IF($B607="MEANS",INDEX('1-DATA'!$1:$1048576,$A606-1,COLUMN('1-DATA'!C605)),ROUND(INDEX('1-DATA'!$1:$1048576,IF(OR($B607="STD. DEVIATION",$C$1=1),$A607,$A607+1),COLUMN('1-DATA'!C605)),IF($B607="STD. DEVIATION",2,$F$1))))</f>
        <v/>
      </c>
      <c r="E607" s="1" t="str">
        <f>IF(OR($B607="",E$7=""),"",IF($B607="MEANS",INDEX('1-DATA'!$1:$1048576,$A606-1,COLUMN('1-DATA'!D605)),ROUND(INDEX('1-DATA'!$1:$1048576,IF(OR($B607="STD. DEVIATION",$C$1=1),$A607,$A607+1),COLUMN('1-DATA'!D605)),IF($B607="STD. DEVIATION",2,$F$1))))</f>
        <v/>
      </c>
      <c r="F607" s="1" t="str">
        <f>IF(OR($B607="",F$7=""),"",IF($B607="MEANS",INDEX('1-DATA'!$1:$1048576,$A606-1,COLUMN('1-DATA'!E605)),ROUND(INDEX('1-DATA'!$1:$1048576,IF(OR($B607="STD. DEVIATION",$C$1=1),$A607,$A607+1),COLUMN('1-DATA'!E605)),IF($B607="STD. DEVIATION",2,$F$1))))</f>
        <v/>
      </c>
      <c r="G607" s="1" t="str">
        <f>IF(OR($B607="",G$7=""),"",IF($B607="MEANS",INDEX('1-DATA'!$1:$1048576,$A606-1,COLUMN('1-DATA'!F605)),ROUND(INDEX('1-DATA'!$1:$1048576,IF(OR($B607="STD. DEVIATION",$C$1=1),$A607,$A607+1),COLUMN('1-DATA'!F605)),IF($B607="STD. DEVIATION",2,$F$1))))</f>
        <v/>
      </c>
      <c r="H607" s="1" t="str">
        <f>IF(OR($B607="",H$7=""),"",IF($B607="MEANS",INDEX('1-DATA'!$1:$1048576,$A606-1,COLUMN('1-DATA'!G605)),ROUND(INDEX('1-DATA'!$1:$1048576,IF(OR($B607="STD. DEVIATION",$C$1=1),$A607,$A607+1),COLUMN('1-DATA'!G605)),IF($B607="STD. DEVIATION",2,$F$1))))</f>
        <v/>
      </c>
      <c r="I607" s="1" t="str">
        <f>IF(OR($B607="",I$7=""),"",IF($B607="MEANS",INDEX('1-DATA'!$1:$1048576,$A606-1,COLUMN('1-DATA'!H605)),ROUND(INDEX('1-DATA'!$1:$1048576,IF(OR($B607="STD. DEVIATION",$C$1=1),$A607,$A607+1),COLUMN('1-DATA'!H605)),IF($B607="STD. DEVIATION",2,$F$1))))</f>
        <v/>
      </c>
      <c r="J607" s="1" t="str">
        <f>IF(OR($B607="",J$7=""),"",IF($B607="MEANS",INDEX('1-DATA'!$1:$1048576,$A606-1,COLUMN('1-DATA'!I605)),ROUND(INDEX('1-DATA'!$1:$1048576,IF(OR($B607="STD. DEVIATION",$C$1=1),$A607,$A607+1),COLUMN('1-DATA'!I605)),IF($B607="STD. DEVIATION",2,$F$1))))</f>
        <v/>
      </c>
      <c r="K607" s="1" t="str">
        <f>IF(OR($B607="",K$7=""),"",IF($B607="MEANS",INDEX('1-DATA'!$1:$1048576,$A606-1,COLUMN('1-DATA'!J605)),ROUND(INDEX('1-DATA'!$1:$1048576,IF(OR($B607="STD. DEVIATION",$C$1=1),$A607,$A607+1),COLUMN('1-DATA'!J605)),IF($B607="STD. DEVIATION",2,$F$1))))</f>
        <v/>
      </c>
      <c r="L607" s="1" t="str">
        <f>IF(OR($B607="",L$7=""),"",IF($B607="MEANS",INDEX('1-DATA'!$1:$1048576,$A606-1,COLUMN('1-DATA'!K605)),ROUND(INDEX('1-DATA'!$1:$1048576,IF(OR($B607="STD. DEVIATION",$C$1=1),$A607,$A607+1),COLUMN('1-DATA'!K605)),IF($B607="STD. DEVIATION",2,$F$1))))</f>
        <v/>
      </c>
      <c r="M607" s="1" t="str">
        <f>IF(OR($B607="",M$7=""),"",IF($B607="MEANS",INDEX('1-DATA'!$1:$1048576,$A606-1,COLUMN('1-DATA'!L605)),ROUND(INDEX('1-DATA'!$1:$1048576,IF(OR($B607="STD. DEVIATION",$C$1=1),$A607,$A607+1),COLUMN('1-DATA'!L605)),IF($B607="STD. DEVIATION",2,$F$1))))</f>
        <v/>
      </c>
      <c r="N607" s="1" t="str">
        <f>IF(OR($B607="",N$7=""),"",IF($B607="MEANS",INDEX('1-DATA'!$1:$1048576,$A606-1,COLUMN('1-DATA'!M605)),ROUND(INDEX('1-DATA'!$1:$1048576,IF(OR($B607="STD. DEVIATION",$C$1=1),$A607,$A607+1),COLUMN('1-DATA'!M605)),IF($B607="STD. DEVIATION",2,$F$1))))</f>
        <v/>
      </c>
      <c r="O607" s="1" t="str">
        <f>IF(OR($B607="",O$7=""),"",IF($B607="MEANS",INDEX('1-DATA'!$1:$1048576,$A606-1,COLUMN('1-DATA'!N605)),ROUND(INDEX('1-DATA'!$1:$1048576,IF(OR($B607="STD. DEVIATION",$C$1=1),$A607,$A607+1),COLUMN('1-DATA'!N605)),IF($B607="STD. DEVIATION",2,$F$1))))</f>
        <v/>
      </c>
      <c r="P607" s="1" t="str">
        <f>IF(OR($B607="",P$7=""),"",IF($B607="MEANS",INDEX('1-DATA'!$1:$1048576,$A606-1,COLUMN('1-DATA'!O605)),ROUND(INDEX('1-DATA'!$1:$1048576,IF(OR($B607="STD. DEVIATION",$C$1=1),$A607,$A607+1),COLUMN('1-DATA'!O605)),IF($B607="STD. DEVIATION",2,$F$1))))</f>
        <v/>
      </c>
      <c r="Q607" s="1" t="str">
        <f>IF(OR($B607="",Q$7=""),"",IF($B607="MEANS",INDEX('1-DATA'!$1:$1048576,$A606-1,COLUMN('1-DATA'!P605)),ROUND(INDEX('1-DATA'!$1:$1048576,IF(OR($B607="STD. DEVIATION",$C$1=1),$A607,$A607+1),COLUMN('1-DATA'!P605)),IF($B607="STD. DEVIATION",2,$F$1))))</f>
        <v/>
      </c>
      <c r="R607" s="1" t="str">
        <f>IF(OR($B607="",R$7=""),"",IF($B607="MEANS",INDEX('1-DATA'!$1:$1048576,$A606-1,COLUMN('1-DATA'!Q605)),ROUND(INDEX('1-DATA'!$1:$1048576,IF(OR($B607="STD. DEVIATION",$C$1=1),$A607,$A607+1),COLUMN('1-DATA'!Q605)),IF($B607="STD. DEVIATION",2,$F$1))))</f>
        <v/>
      </c>
      <c r="S607" s="1" t="str">
        <f>IF(OR($B607="",S$7=""),"",IF($B607="MEANS",INDEX('1-DATA'!$1:$1048576,$A606-1,COLUMN('1-DATA'!R605)),ROUND(INDEX('1-DATA'!$1:$1048576,IF(OR($B607="STD. DEVIATION",$C$1=1),$A607,$A607+1),COLUMN('1-DATA'!R605)),IF($B607="STD. DEVIATION",2,$F$1))))</f>
        <v/>
      </c>
      <c r="T607" s="1" t="str">
        <f>IF(OR($B607="",T$7=""),"",IF($B607="MEANS",INDEX('1-DATA'!$1:$1048576,$A606-1,COLUMN('1-DATA'!S605)),ROUND(INDEX('1-DATA'!$1:$1048576,IF(OR($B607="STD. DEVIATION",$C$1=1),$A607,$A607+1),COLUMN('1-DATA'!S605)),IF($B607="STD. DEVIATION",2,$F$1))))</f>
        <v/>
      </c>
      <c r="U607" s="1" t="str">
        <f>IF(OR($B607="",U$7=""),"",IF($B607="MEANS",INDEX('1-DATA'!$1:$1048576,$A606-1,COLUMN('1-DATA'!T605)),ROUND(INDEX('1-DATA'!$1:$1048576,IF(OR($B607="STD. DEVIATION",$C$1=1),$A607,$A607+1),COLUMN('1-DATA'!T605)),IF($B607="STD. DEVIATION",2,$F$1))))</f>
        <v/>
      </c>
      <c r="V607" s="1" t="str">
        <f>IF(OR($B607="",V$7=""),"",IF($B607="MEANS",INDEX('1-DATA'!$1:$1048576,$A606-1,COLUMN('1-DATA'!U605)),ROUND(INDEX('1-DATA'!$1:$1048576,IF(OR($B607="STD. DEVIATION",$C$1=1),$A607,$A607+1),COLUMN('1-DATA'!U605)),IF($B607="STD. DEVIATION",2,$F$1))))</f>
        <v/>
      </c>
      <c r="W607" s="1" t="str">
        <f>IF(OR($B607="",W$7=""),"",IF($B607="MEANS",INDEX('1-DATA'!$1:$1048576,$A606-1,COLUMN('1-DATA'!V605)),ROUND(INDEX('1-DATA'!$1:$1048576,IF(OR($B607="STD. DEVIATION",$C$1=1),$A607,$A607+1),COLUMN('1-DATA'!V605)),IF($B607="STD. DEVIATION",2,$F$1))))</f>
        <v/>
      </c>
      <c r="X607" s="1" t="str">
        <f>IF(OR($B607="",X$7=""),"",IF($B607="MEANS",INDEX('1-DATA'!$1:$1048576,$A606-1,COLUMN('1-DATA'!W605)),ROUND(INDEX('1-DATA'!$1:$1048576,IF(OR($B607="STD. DEVIATION",$C$1=1),$A607,$A607+1),COLUMN('1-DATA'!W605)),IF($B607="STD. DEVIATION",2,$F$1))))</f>
        <v/>
      </c>
      <c r="Y607" s="1" t="str">
        <f>IF(OR($B607="",Y$7=""),"",IF($B607="MEANS",INDEX('1-DATA'!$1:$1048576,$A606-1,COLUMN('1-DATA'!X605)),ROUND(INDEX('1-DATA'!$1:$1048576,IF(OR($B607="STD. DEVIATION",$C$1=1),$A607,$A607+1),COLUMN('1-DATA'!X605)),IF($B607="STD. DEVIATION",2,$F$1))))</f>
        <v/>
      </c>
      <c r="Z607" s="1" t="str">
        <f>IF(OR($B607="",Z$7=""),"",IF($B607="MEANS",INDEX('1-DATA'!$1:$1048576,$A606-1,COLUMN('1-DATA'!Y605)),ROUND(INDEX('1-DATA'!$1:$1048576,IF(OR($B607="STD. DEVIATION",$C$1=1),$A607,$A607+1),COLUMN('1-DATA'!Y605)),IF($B607="STD. DEVIATION",2,$F$1))))</f>
        <v/>
      </c>
      <c r="AA607" s="1" t="str">
        <f>IF(OR($B607="",AA$7=""),"",IF($B607="MEANS",INDEX('1-DATA'!$1:$1048576,$A606-1,COLUMN('1-DATA'!Z605)),ROUND(INDEX('1-DATA'!$1:$1048576,IF(OR($B607="STD. DEVIATION",$C$1=1),$A607,$A607+1),COLUMN('1-DATA'!Z605)),IF($B607="STD. DEVIATION",2,$F$1))))</f>
        <v/>
      </c>
      <c r="AB607" s="1" t="str">
        <f>IF(OR($B607="",AB$7=""),"",IF($B607="MEANS",INDEX('1-DATA'!$1:$1048576,$A606-1,COLUMN('1-DATA'!AA605)),ROUND(INDEX('1-DATA'!$1:$1048576,IF(OR($B607="STD. DEVIATION",$C$1=1),$A607,$A607+1),COLUMN('1-DATA'!AA605)),IF($B607="STD. DEVIATION",2,$F$1))))</f>
        <v/>
      </c>
      <c r="AC607" s="1" t="str">
        <f>IF(OR($B607="",AC$7=""),"",IF($B607="MEANS",INDEX('1-DATA'!$1:$1048576,$A606-1,COLUMN('1-DATA'!AB605)),ROUND(INDEX('1-DATA'!$1:$1048576,IF(OR($B607="STD. DEVIATION",$C$1=1),$A607,$A607+1),COLUMN('1-DATA'!AB605)),IF($B607="STD. DEVIATION",2,$F$1))))</f>
        <v/>
      </c>
      <c r="AD607" s="1" t="str">
        <f>IF(OR($B607="",AD$7=""),"",IF($B607="MEANS",INDEX('1-DATA'!$1:$1048576,$A606-1,COLUMN('1-DATA'!AC605)),ROUND(INDEX('1-DATA'!$1:$1048576,IF(OR($B607="STD. DEVIATION",$C$1=1),$A607,$A607+1),COLUMN('1-DATA'!AC605)),IF($B607="STD. DEVIATION",2,$F$1))))</f>
        <v/>
      </c>
      <c r="AE607" s="1" t="str">
        <f>IF(OR($B607="",AE$7=""),"",IF($B607="MEANS",INDEX('1-DATA'!$1:$1048576,$A606-1,COLUMN('1-DATA'!AD605)),ROUND(INDEX('1-DATA'!$1:$1048576,IF(OR($B607="STD. DEVIATION",$C$1=1),$A607,$A607+1),COLUMN('1-DATA'!AD605)),IF($B607="STD. DEVIATION",2,$F$1))))</f>
        <v/>
      </c>
      <c r="AF607" s="1" t="str">
        <f>IF(OR($B607="",AF$7=""),"",IF($B607="MEANS",INDEX('1-DATA'!$1:$1048576,$A606-1,COLUMN('1-DATA'!AE605)),ROUND(INDEX('1-DATA'!$1:$1048576,IF(OR($B607="STD. DEVIATION",$C$1=1),$A607,$A607+1),COLUMN('1-DATA'!AE605)),IF($B607="STD. DEVIATION",2,$F$1))))</f>
        <v/>
      </c>
      <c r="AG607" s="1" t="str">
        <f>IF(OR($B607="",AG$7=""),"",IF($B607="MEANS",INDEX('1-DATA'!$1:$1048576,$A606-1,COLUMN('1-DATA'!AF605)),ROUND(INDEX('1-DATA'!$1:$1048576,IF(OR($B607="STD. DEVIATION",$C$1=1),$A607,$A607+1),COLUMN('1-DATA'!AF605)),IF($B607="STD. DEVIATION",2,$F$1))))</f>
        <v/>
      </c>
      <c r="AH607" s="1" t="str">
        <f>IF(OR($B607="",AH$7=""),"",IF($B607="MEANS",INDEX('1-DATA'!$1:$1048576,$A606-1,COLUMN('1-DATA'!AG605)),ROUND(INDEX('1-DATA'!$1:$1048576,IF(OR($B607="STD. DEVIATION",$C$1=1),$A607,$A607+1),COLUMN('1-DATA'!AG605)),IF($B607="STD. DEVIATION",2,$F$1))))</f>
        <v/>
      </c>
      <c r="AI607" s="1" t="str">
        <f>IF(OR($B607="",AI$7=""),"",IF($B607="MEANS",INDEX('1-DATA'!$1:$1048576,$A606-1,COLUMN('1-DATA'!AH605)),ROUND(INDEX('1-DATA'!$1:$1048576,IF(OR($B607="STD. DEVIATION",$C$1=1),$A607,$A607+1),COLUMN('1-DATA'!AH605)),IF($B607="STD. DEVIATION",2,$F$1))))</f>
        <v/>
      </c>
      <c r="AJ607" s="1" t="str">
        <f>IF(OR($B607="",AJ$7=""),"",IF($B607="MEANS",INDEX('1-DATA'!$1:$1048576,$A606-1,COLUMN('1-DATA'!AI605)),ROUND(INDEX('1-DATA'!$1:$1048576,IF(OR($B607="STD. DEVIATION",$C$1=1),$A607,$A607+1),COLUMN('1-DATA'!AI605)),IF($B607="STD. DEVIATION",2,$F$1))))</f>
        <v/>
      </c>
      <c r="AK607" s="1" t="str">
        <f>IF(OR($B607="",AK$7=""),"",IF($B607="MEANS",INDEX('1-DATA'!$1:$1048576,$A606-1,COLUMN('1-DATA'!AJ605)),ROUND(INDEX('1-DATA'!$1:$1048576,IF(OR($B607="STD. DEVIATION",$C$1=1),$A607,$A607+1),COLUMN('1-DATA'!AJ605)),IF($B607="STD. DEVIATION",2,$F$1))))</f>
        <v/>
      </c>
      <c r="AL607" s="1" t="str">
        <f>IF(OR($B607="",AL$7=""),"",IF($B607="MEANS",INDEX('1-DATA'!$1:$1048576,$A606-1,COLUMN('1-DATA'!AK605)),ROUND(INDEX('1-DATA'!$1:$1048576,IF(OR($B607="STD. DEVIATION",$C$1=1),$A607,$A607+1),COLUMN('1-DATA'!AK605)),IF($B607="STD. DEVIATION",2,$F$1))))</f>
        <v/>
      </c>
      <c r="AM607" s="1" t="str">
        <f>IF(OR($B607="",AM$7=""),"",IF($B607="MEANS",INDEX('1-DATA'!$1:$1048576,$A606-1,COLUMN('1-DATA'!AL605)),ROUND(INDEX('1-DATA'!$1:$1048576,IF(OR($B607="STD. DEVIATION",$C$1=1),$A607,$A607+1),COLUMN('1-DATA'!AL605)),IF($B607="STD. DEVIATION",2,$F$1))))</f>
        <v/>
      </c>
      <c r="AN607" s="1" t="str">
        <f>IF(OR($B607="",AN$7=""),"",IF($B607="MEANS",INDEX('1-DATA'!$1:$1048576,$A606-1,COLUMN('1-DATA'!AM605)),ROUND(INDEX('1-DATA'!$1:$1048576,IF(OR($B607="STD. DEVIATION",$C$1=1),$A607,$A607+1),COLUMN('1-DATA'!AM605)),IF($B607="STD. DEVIATION",2,$F$1))))</f>
        <v/>
      </c>
      <c r="AO607" s="1" t="str">
        <f>IF(OR($B607="",AO$7=""),"",IF($B607="MEANS",INDEX('1-DATA'!$1:$1048576,$A606-1,COLUMN('1-DATA'!AN605)),ROUND(INDEX('1-DATA'!$1:$1048576,IF(OR($B607="STD. DEVIATION",$C$1=1),$A607,$A607+1),COLUMN('1-DATA'!AN605)),IF($B607="STD. DEVIATION",2,$F$1))))</f>
        <v/>
      </c>
      <c r="AP607" s="1" t="str">
        <f>IF(OR($B607="",AP$7=""),"",IF($B607="MEANS",INDEX('1-DATA'!$1:$1048576,$A606-1,COLUMN('1-DATA'!AO605)),ROUND(INDEX('1-DATA'!$1:$1048576,IF(OR($B607="STD. DEVIATION",$C$1=1),$A607,$A607+1),COLUMN('1-DATA'!AO605)),IF($B607="STD. DEVIATION",2,$F$1))))</f>
        <v/>
      </c>
      <c r="AQ607" s="1" t="str">
        <f>IF(OR($B607="",AQ$7=""),"",IF($B607="MEANS",INDEX('1-DATA'!$1:$1048576,$A606-1,COLUMN('1-DATA'!AP605)),ROUND(INDEX('1-DATA'!$1:$1048576,IF(OR($B607="STD. DEVIATION",$C$1=1),$A607,$A607+1),COLUMN('1-DATA'!AP605)),IF($B607="STD. DEVIATION",2,$F$1))))</f>
        <v/>
      </c>
      <c r="AR607" s="1" t="str">
        <f>IF(OR($B607="",AR$7=""),"",IF($B607="MEANS",INDEX('1-DATA'!$1:$1048576,$A606-1,COLUMN('1-DATA'!AQ605)),ROUND(INDEX('1-DATA'!$1:$1048576,IF(OR($B607="STD. DEVIATION",$C$1=1),$A607,$A607+1),COLUMN('1-DATA'!AQ605)),IF($B607="STD. DEVIATION",2,$F$1))))</f>
        <v/>
      </c>
      <c r="AS607" s="1" t="str">
        <f>IF(OR($B607="",AS$7=""),"",IF($B607="MEANS",INDEX('1-DATA'!$1:$1048576,$A606-1,COLUMN('1-DATA'!AR605)),ROUND(INDEX('1-DATA'!$1:$1048576,IF(OR($B607="STD. DEVIATION",$C$1=1),$A607,$A607+1),COLUMN('1-DATA'!AR605)),IF($B607="STD. DEVIATION",2,$F$1))))</f>
        <v/>
      </c>
      <c r="AT607" s="1" t="str">
        <f>IF(OR($B607="",AT$7=""),"",IF($B607="MEANS",INDEX('1-DATA'!$1:$1048576,$A606-1,COLUMN('1-DATA'!AS605)),ROUND(INDEX('1-DATA'!$1:$1048576,IF(OR($B607="STD. DEVIATION",$C$1=1),$A607,$A607+1),COLUMN('1-DATA'!AS605)),IF($B607="STD. DEVIATION",2,$F$1))))</f>
        <v/>
      </c>
      <c r="AU607" s="1" t="str">
        <f>IF(OR($B607="",AU$7=""),"",IF($B607="MEANS",INDEX('1-DATA'!$1:$1048576,$A606-1,COLUMN('1-DATA'!AT605)),ROUND(INDEX('1-DATA'!$1:$1048576,IF(OR($B607="STD. DEVIATION",$C$1=1),$A607,$A607+1),COLUMN('1-DATA'!AT605)),IF($B607="STD. DEVIATION",2,$F$1))))</f>
        <v/>
      </c>
      <c r="AV607" s="1" t="str">
        <f>IF(OR($B607="",AV$7=""),"",IF($B607="MEANS",INDEX('1-DATA'!$1:$1048576,$A606-1,COLUMN('1-DATA'!AU605)),ROUND(INDEX('1-DATA'!$1:$1048576,IF(OR($B607="STD. DEVIATION",$C$1=1),$A607,$A607+1),COLUMN('1-DATA'!AU605)),IF($B607="STD. DEVIATION",2,$F$1))))</f>
        <v/>
      </c>
      <c r="AW607" s="1" t="str">
        <f>IF(OR($B607="",AW$7=""),"",IF($B607="MEANS",INDEX('1-DATA'!$1:$1048576,$A606-1,COLUMN('1-DATA'!AV605)),ROUND(INDEX('1-DATA'!$1:$1048576,IF(OR($B607="STD. DEVIATION",$C$1=1),$A607,$A607+1),COLUMN('1-DATA'!AV605)),IF($B607="STD. DEVIATION",2,$F$1))))</f>
        <v/>
      </c>
      <c r="AX607" s="1" t="str">
        <f>IF(OR($B607="",AX$7=""),"",IF($B607="MEANS",INDEX('1-DATA'!$1:$1048576,$A606-1,COLUMN('1-DATA'!AW605)),ROUND(INDEX('1-DATA'!$1:$1048576,IF(OR($B607="STD. DEVIATION",$C$1=1),$A607,$A607+1),COLUMN('1-DATA'!AW605)),IF($B607="STD. DEVIATION",2,$F$1))))</f>
        <v/>
      </c>
      <c r="AY607" s="1" t="str">
        <f>IF(OR($B607="",AY$7=""),"",IF($B607="MEANS",INDEX('1-DATA'!$1:$1048576,$A606-1,COLUMN('1-DATA'!AX605)),ROUND(INDEX('1-DATA'!$1:$1048576,IF(OR($B607="STD. DEVIATION",$C$1=1),$A607,$A607+1),COLUMN('1-DATA'!AX605)),IF($B607="STD. DEVIATION",2,$F$1))))</f>
        <v/>
      </c>
      <c r="AZ607" s="1" t="str">
        <f>IF(OR($B607="",AZ$7=""),"",IF($B607="MEANS",INDEX('1-DATA'!$1:$1048576,$A606-1,COLUMN('1-DATA'!AY605)),ROUND(INDEX('1-DATA'!$1:$1048576,IF(OR($B607="STD. DEVIATION",$C$1=1),$A607,$A607+1),COLUMN('1-DATA'!AY605)),IF($B607="STD. DEVIATION",2,$F$1))))</f>
        <v/>
      </c>
    </row>
    <row r="608" spans="1:52" x14ac:dyDescent="0.25">
      <c r="A608" s="11">
        <f t="shared" si="10"/>
        <v>1810</v>
      </c>
      <c r="B608" s="1" t="str">
        <f>IF(B607="STD. DEVIATION",INDEX('1-DATA'!$1:$1048576,$A607-1,1),IF(INDEX('1-DATA'!$1:$1048576,$A608,1)&lt;&gt;"",INDEX('1-DATA'!$1:$1048576,$A608,1),""))</f>
        <v/>
      </c>
      <c r="C608" s="1" t="str">
        <f>IF(OR($B608="",C$7=""),"",IF($B608="MEANS",INDEX('1-DATA'!$1:$1048576,$A607-1,COLUMN('1-DATA'!B606)),ROUND(INDEX('1-DATA'!$1:$1048576,IF(OR($B608="STD. DEVIATION",$C$1=1),$A608,$A608+1),COLUMN('1-DATA'!B606)),IF($B608="STD. DEVIATION",2,$F$1))))</f>
        <v/>
      </c>
      <c r="D608" s="1" t="str">
        <f>IF(OR($B608="",D$7=""),"",IF($B608="MEANS",INDEX('1-DATA'!$1:$1048576,$A607-1,COLUMN('1-DATA'!C606)),ROUND(INDEX('1-DATA'!$1:$1048576,IF(OR($B608="STD. DEVIATION",$C$1=1),$A608,$A608+1),COLUMN('1-DATA'!C606)),IF($B608="STD. DEVIATION",2,$F$1))))</f>
        <v/>
      </c>
      <c r="E608" s="1" t="str">
        <f>IF(OR($B608="",E$7=""),"",IF($B608="MEANS",INDEX('1-DATA'!$1:$1048576,$A607-1,COLUMN('1-DATA'!D606)),ROUND(INDEX('1-DATA'!$1:$1048576,IF(OR($B608="STD. DEVIATION",$C$1=1),$A608,$A608+1),COLUMN('1-DATA'!D606)),IF($B608="STD. DEVIATION",2,$F$1))))</f>
        <v/>
      </c>
      <c r="F608" s="1" t="str">
        <f>IF(OR($B608="",F$7=""),"",IF($B608="MEANS",INDEX('1-DATA'!$1:$1048576,$A607-1,COLUMN('1-DATA'!E606)),ROUND(INDEX('1-DATA'!$1:$1048576,IF(OR($B608="STD. DEVIATION",$C$1=1),$A608,$A608+1),COLUMN('1-DATA'!E606)),IF($B608="STD. DEVIATION",2,$F$1))))</f>
        <v/>
      </c>
      <c r="G608" s="1" t="str">
        <f>IF(OR($B608="",G$7=""),"",IF($B608="MEANS",INDEX('1-DATA'!$1:$1048576,$A607-1,COLUMN('1-DATA'!F606)),ROUND(INDEX('1-DATA'!$1:$1048576,IF(OR($B608="STD. DEVIATION",$C$1=1),$A608,$A608+1),COLUMN('1-DATA'!F606)),IF($B608="STD. DEVIATION",2,$F$1))))</f>
        <v/>
      </c>
      <c r="H608" s="1" t="str">
        <f>IF(OR($B608="",H$7=""),"",IF($B608="MEANS",INDEX('1-DATA'!$1:$1048576,$A607-1,COLUMN('1-DATA'!G606)),ROUND(INDEX('1-DATA'!$1:$1048576,IF(OR($B608="STD. DEVIATION",$C$1=1),$A608,$A608+1),COLUMN('1-DATA'!G606)),IF($B608="STD. DEVIATION",2,$F$1))))</f>
        <v/>
      </c>
      <c r="I608" s="1" t="str">
        <f>IF(OR($B608="",I$7=""),"",IF($B608="MEANS",INDEX('1-DATA'!$1:$1048576,$A607-1,COLUMN('1-DATA'!H606)),ROUND(INDEX('1-DATA'!$1:$1048576,IF(OR($B608="STD. DEVIATION",$C$1=1),$A608,$A608+1),COLUMN('1-DATA'!H606)),IF($B608="STD. DEVIATION",2,$F$1))))</f>
        <v/>
      </c>
      <c r="J608" s="1" t="str">
        <f>IF(OR($B608="",J$7=""),"",IF($B608="MEANS",INDEX('1-DATA'!$1:$1048576,$A607-1,COLUMN('1-DATA'!I606)),ROUND(INDEX('1-DATA'!$1:$1048576,IF(OR($B608="STD. DEVIATION",$C$1=1),$A608,$A608+1),COLUMN('1-DATA'!I606)),IF($B608="STD. DEVIATION",2,$F$1))))</f>
        <v/>
      </c>
      <c r="K608" s="1" t="str">
        <f>IF(OR($B608="",K$7=""),"",IF($B608="MEANS",INDEX('1-DATA'!$1:$1048576,$A607-1,COLUMN('1-DATA'!J606)),ROUND(INDEX('1-DATA'!$1:$1048576,IF(OR($B608="STD. DEVIATION",$C$1=1),$A608,$A608+1),COLUMN('1-DATA'!J606)),IF($B608="STD. DEVIATION",2,$F$1))))</f>
        <v/>
      </c>
      <c r="L608" s="1" t="str">
        <f>IF(OR($B608="",L$7=""),"",IF($B608="MEANS",INDEX('1-DATA'!$1:$1048576,$A607-1,COLUMN('1-DATA'!K606)),ROUND(INDEX('1-DATA'!$1:$1048576,IF(OR($B608="STD. DEVIATION",$C$1=1),$A608,$A608+1),COLUMN('1-DATA'!K606)),IF($B608="STD. DEVIATION",2,$F$1))))</f>
        <v/>
      </c>
      <c r="M608" s="1" t="str">
        <f>IF(OR($B608="",M$7=""),"",IF($B608="MEANS",INDEX('1-DATA'!$1:$1048576,$A607-1,COLUMN('1-DATA'!L606)),ROUND(INDEX('1-DATA'!$1:$1048576,IF(OR($B608="STD. DEVIATION",$C$1=1),$A608,$A608+1),COLUMN('1-DATA'!L606)),IF($B608="STD. DEVIATION",2,$F$1))))</f>
        <v/>
      </c>
      <c r="N608" s="1" t="str">
        <f>IF(OR($B608="",N$7=""),"",IF($B608="MEANS",INDEX('1-DATA'!$1:$1048576,$A607-1,COLUMN('1-DATA'!M606)),ROUND(INDEX('1-DATA'!$1:$1048576,IF(OR($B608="STD. DEVIATION",$C$1=1),$A608,$A608+1),COLUMN('1-DATA'!M606)),IF($B608="STD. DEVIATION",2,$F$1))))</f>
        <v/>
      </c>
      <c r="O608" s="1" t="str">
        <f>IF(OR($B608="",O$7=""),"",IF($B608="MEANS",INDEX('1-DATA'!$1:$1048576,$A607-1,COLUMN('1-DATA'!N606)),ROUND(INDEX('1-DATA'!$1:$1048576,IF(OR($B608="STD. DEVIATION",$C$1=1),$A608,$A608+1),COLUMN('1-DATA'!N606)),IF($B608="STD. DEVIATION",2,$F$1))))</f>
        <v/>
      </c>
      <c r="P608" s="1" t="str">
        <f>IF(OR($B608="",P$7=""),"",IF($B608="MEANS",INDEX('1-DATA'!$1:$1048576,$A607-1,COLUMN('1-DATA'!O606)),ROUND(INDEX('1-DATA'!$1:$1048576,IF(OR($B608="STD. DEVIATION",$C$1=1),$A608,$A608+1),COLUMN('1-DATA'!O606)),IF($B608="STD. DEVIATION",2,$F$1))))</f>
        <v/>
      </c>
      <c r="Q608" s="1" t="str">
        <f>IF(OR($B608="",Q$7=""),"",IF($B608="MEANS",INDEX('1-DATA'!$1:$1048576,$A607-1,COLUMN('1-DATA'!P606)),ROUND(INDEX('1-DATA'!$1:$1048576,IF(OR($B608="STD. DEVIATION",$C$1=1),$A608,$A608+1),COLUMN('1-DATA'!P606)),IF($B608="STD. DEVIATION",2,$F$1))))</f>
        <v/>
      </c>
      <c r="R608" s="1" t="str">
        <f>IF(OR($B608="",R$7=""),"",IF($B608="MEANS",INDEX('1-DATA'!$1:$1048576,$A607-1,COLUMN('1-DATA'!Q606)),ROUND(INDEX('1-DATA'!$1:$1048576,IF(OR($B608="STD. DEVIATION",$C$1=1),$A608,$A608+1),COLUMN('1-DATA'!Q606)),IF($B608="STD. DEVIATION",2,$F$1))))</f>
        <v/>
      </c>
      <c r="S608" s="1" t="str">
        <f>IF(OR($B608="",S$7=""),"",IF($B608="MEANS",INDEX('1-DATA'!$1:$1048576,$A607-1,COLUMN('1-DATA'!R606)),ROUND(INDEX('1-DATA'!$1:$1048576,IF(OR($B608="STD. DEVIATION",$C$1=1),$A608,$A608+1),COLUMN('1-DATA'!R606)),IF($B608="STD. DEVIATION",2,$F$1))))</f>
        <v/>
      </c>
      <c r="T608" s="1" t="str">
        <f>IF(OR($B608="",T$7=""),"",IF($B608="MEANS",INDEX('1-DATA'!$1:$1048576,$A607-1,COLUMN('1-DATA'!S606)),ROUND(INDEX('1-DATA'!$1:$1048576,IF(OR($B608="STD. DEVIATION",$C$1=1),$A608,$A608+1),COLUMN('1-DATA'!S606)),IF($B608="STD. DEVIATION",2,$F$1))))</f>
        <v/>
      </c>
      <c r="U608" s="1" t="str">
        <f>IF(OR($B608="",U$7=""),"",IF($B608="MEANS",INDEX('1-DATA'!$1:$1048576,$A607-1,COLUMN('1-DATA'!T606)),ROUND(INDEX('1-DATA'!$1:$1048576,IF(OR($B608="STD. DEVIATION",$C$1=1),$A608,$A608+1),COLUMN('1-DATA'!T606)),IF($B608="STD. DEVIATION",2,$F$1))))</f>
        <v/>
      </c>
      <c r="V608" s="1" t="str">
        <f>IF(OR($B608="",V$7=""),"",IF($B608="MEANS",INDEX('1-DATA'!$1:$1048576,$A607-1,COLUMN('1-DATA'!U606)),ROUND(INDEX('1-DATA'!$1:$1048576,IF(OR($B608="STD. DEVIATION",$C$1=1),$A608,$A608+1),COLUMN('1-DATA'!U606)),IF($B608="STD. DEVIATION",2,$F$1))))</f>
        <v/>
      </c>
      <c r="W608" s="1" t="str">
        <f>IF(OR($B608="",W$7=""),"",IF($B608="MEANS",INDEX('1-DATA'!$1:$1048576,$A607-1,COLUMN('1-DATA'!V606)),ROUND(INDEX('1-DATA'!$1:$1048576,IF(OR($B608="STD. DEVIATION",$C$1=1),$A608,$A608+1),COLUMN('1-DATA'!V606)),IF($B608="STD. DEVIATION",2,$F$1))))</f>
        <v/>
      </c>
      <c r="X608" s="1" t="str">
        <f>IF(OR($B608="",X$7=""),"",IF($B608="MEANS",INDEX('1-DATA'!$1:$1048576,$A607-1,COLUMN('1-DATA'!W606)),ROUND(INDEX('1-DATA'!$1:$1048576,IF(OR($B608="STD. DEVIATION",$C$1=1),$A608,$A608+1),COLUMN('1-DATA'!W606)),IF($B608="STD. DEVIATION",2,$F$1))))</f>
        <v/>
      </c>
      <c r="Y608" s="1" t="str">
        <f>IF(OR($B608="",Y$7=""),"",IF($B608="MEANS",INDEX('1-DATA'!$1:$1048576,$A607-1,COLUMN('1-DATA'!X606)),ROUND(INDEX('1-DATA'!$1:$1048576,IF(OR($B608="STD. DEVIATION",$C$1=1),$A608,$A608+1),COLUMN('1-DATA'!X606)),IF($B608="STD. DEVIATION",2,$F$1))))</f>
        <v/>
      </c>
      <c r="Z608" s="1" t="str">
        <f>IF(OR($B608="",Z$7=""),"",IF($B608="MEANS",INDEX('1-DATA'!$1:$1048576,$A607-1,COLUMN('1-DATA'!Y606)),ROUND(INDEX('1-DATA'!$1:$1048576,IF(OR($B608="STD. DEVIATION",$C$1=1),$A608,$A608+1),COLUMN('1-DATA'!Y606)),IF($B608="STD. DEVIATION",2,$F$1))))</f>
        <v/>
      </c>
      <c r="AA608" s="1" t="str">
        <f>IF(OR($B608="",AA$7=""),"",IF($B608="MEANS",INDEX('1-DATA'!$1:$1048576,$A607-1,COLUMN('1-DATA'!Z606)),ROUND(INDEX('1-DATA'!$1:$1048576,IF(OR($B608="STD. DEVIATION",$C$1=1),$A608,$A608+1),COLUMN('1-DATA'!Z606)),IF($B608="STD. DEVIATION",2,$F$1))))</f>
        <v/>
      </c>
      <c r="AB608" s="1" t="str">
        <f>IF(OR($B608="",AB$7=""),"",IF($B608="MEANS",INDEX('1-DATA'!$1:$1048576,$A607-1,COLUMN('1-DATA'!AA606)),ROUND(INDEX('1-DATA'!$1:$1048576,IF(OR($B608="STD. DEVIATION",$C$1=1),$A608,$A608+1),COLUMN('1-DATA'!AA606)),IF($B608="STD. DEVIATION",2,$F$1))))</f>
        <v/>
      </c>
      <c r="AC608" s="1" t="str">
        <f>IF(OR($B608="",AC$7=""),"",IF($B608="MEANS",INDEX('1-DATA'!$1:$1048576,$A607-1,COLUMN('1-DATA'!AB606)),ROUND(INDEX('1-DATA'!$1:$1048576,IF(OR($B608="STD. DEVIATION",$C$1=1),$A608,$A608+1),COLUMN('1-DATA'!AB606)),IF($B608="STD. DEVIATION",2,$F$1))))</f>
        <v/>
      </c>
      <c r="AD608" s="1" t="str">
        <f>IF(OR($B608="",AD$7=""),"",IF($B608="MEANS",INDEX('1-DATA'!$1:$1048576,$A607-1,COLUMN('1-DATA'!AC606)),ROUND(INDEX('1-DATA'!$1:$1048576,IF(OR($B608="STD. DEVIATION",$C$1=1),$A608,$A608+1),COLUMN('1-DATA'!AC606)),IF($B608="STD. DEVIATION",2,$F$1))))</f>
        <v/>
      </c>
      <c r="AE608" s="1" t="str">
        <f>IF(OR($B608="",AE$7=""),"",IF($B608="MEANS",INDEX('1-DATA'!$1:$1048576,$A607-1,COLUMN('1-DATA'!AD606)),ROUND(INDEX('1-DATA'!$1:$1048576,IF(OR($B608="STD. DEVIATION",$C$1=1),$A608,$A608+1),COLUMN('1-DATA'!AD606)),IF($B608="STD. DEVIATION",2,$F$1))))</f>
        <v/>
      </c>
      <c r="AF608" s="1" t="str">
        <f>IF(OR($B608="",AF$7=""),"",IF($B608="MEANS",INDEX('1-DATA'!$1:$1048576,$A607-1,COLUMN('1-DATA'!AE606)),ROUND(INDEX('1-DATA'!$1:$1048576,IF(OR($B608="STD. DEVIATION",$C$1=1),$A608,$A608+1),COLUMN('1-DATA'!AE606)),IF($B608="STD. DEVIATION",2,$F$1))))</f>
        <v/>
      </c>
      <c r="AG608" s="1" t="str">
        <f>IF(OR($B608="",AG$7=""),"",IF($B608="MEANS",INDEX('1-DATA'!$1:$1048576,$A607-1,COLUMN('1-DATA'!AF606)),ROUND(INDEX('1-DATA'!$1:$1048576,IF(OR($B608="STD. DEVIATION",$C$1=1),$A608,$A608+1),COLUMN('1-DATA'!AF606)),IF($B608="STD. DEVIATION",2,$F$1))))</f>
        <v/>
      </c>
      <c r="AH608" s="1" t="str">
        <f>IF(OR($B608="",AH$7=""),"",IF($B608="MEANS",INDEX('1-DATA'!$1:$1048576,$A607-1,COLUMN('1-DATA'!AG606)),ROUND(INDEX('1-DATA'!$1:$1048576,IF(OR($B608="STD. DEVIATION",$C$1=1),$A608,$A608+1),COLUMN('1-DATA'!AG606)),IF($B608="STD. DEVIATION",2,$F$1))))</f>
        <v/>
      </c>
      <c r="AI608" s="1" t="str">
        <f>IF(OR($B608="",AI$7=""),"",IF($B608="MEANS",INDEX('1-DATA'!$1:$1048576,$A607-1,COLUMN('1-DATA'!AH606)),ROUND(INDEX('1-DATA'!$1:$1048576,IF(OR($B608="STD. DEVIATION",$C$1=1),$A608,$A608+1),COLUMN('1-DATA'!AH606)),IF($B608="STD. DEVIATION",2,$F$1))))</f>
        <v/>
      </c>
      <c r="AJ608" s="1" t="str">
        <f>IF(OR($B608="",AJ$7=""),"",IF($B608="MEANS",INDEX('1-DATA'!$1:$1048576,$A607-1,COLUMN('1-DATA'!AI606)),ROUND(INDEX('1-DATA'!$1:$1048576,IF(OR($B608="STD. DEVIATION",$C$1=1),$A608,$A608+1),COLUMN('1-DATA'!AI606)),IF($B608="STD. DEVIATION",2,$F$1))))</f>
        <v/>
      </c>
      <c r="AK608" s="1" t="str">
        <f>IF(OR($B608="",AK$7=""),"",IF($B608="MEANS",INDEX('1-DATA'!$1:$1048576,$A607-1,COLUMN('1-DATA'!AJ606)),ROUND(INDEX('1-DATA'!$1:$1048576,IF(OR($B608="STD. DEVIATION",$C$1=1),$A608,$A608+1),COLUMN('1-DATA'!AJ606)),IF($B608="STD. DEVIATION",2,$F$1))))</f>
        <v/>
      </c>
      <c r="AL608" s="1" t="str">
        <f>IF(OR($B608="",AL$7=""),"",IF($B608="MEANS",INDEX('1-DATA'!$1:$1048576,$A607-1,COLUMN('1-DATA'!AK606)),ROUND(INDEX('1-DATA'!$1:$1048576,IF(OR($B608="STD. DEVIATION",$C$1=1),$A608,$A608+1),COLUMN('1-DATA'!AK606)),IF($B608="STD. DEVIATION",2,$F$1))))</f>
        <v/>
      </c>
      <c r="AM608" s="1" t="str">
        <f>IF(OR($B608="",AM$7=""),"",IF($B608="MEANS",INDEX('1-DATA'!$1:$1048576,$A607-1,COLUMN('1-DATA'!AL606)),ROUND(INDEX('1-DATA'!$1:$1048576,IF(OR($B608="STD. DEVIATION",$C$1=1),$A608,$A608+1),COLUMN('1-DATA'!AL606)),IF($B608="STD. DEVIATION",2,$F$1))))</f>
        <v/>
      </c>
      <c r="AN608" s="1" t="str">
        <f>IF(OR($B608="",AN$7=""),"",IF($B608="MEANS",INDEX('1-DATA'!$1:$1048576,$A607-1,COLUMN('1-DATA'!AM606)),ROUND(INDEX('1-DATA'!$1:$1048576,IF(OR($B608="STD. DEVIATION",$C$1=1),$A608,$A608+1),COLUMN('1-DATA'!AM606)),IF($B608="STD. DEVIATION",2,$F$1))))</f>
        <v/>
      </c>
      <c r="AO608" s="1" t="str">
        <f>IF(OR($B608="",AO$7=""),"",IF($B608="MEANS",INDEX('1-DATA'!$1:$1048576,$A607-1,COLUMN('1-DATA'!AN606)),ROUND(INDEX('1-DATA'!$1:$1048576,IF(OR($B608="STD. DEVIATION",$C$1=1),$A608,$A608+1),COLUMN('1-DATA'!AN606)),IF($B608="STD. DEVIATION",2,$F$1))))</f>
        <v/>
      </c>
      <c r="AP608" s="1" t="str">
        <f>IF(OR($B608="",AP$7=""),"",IF($B608="MEANS",INDEX('1-DATA'!$1:$1048576,$A607-1,COLUMN('1-DATA'!AO606)),ROUND(INDEX('1-DATA'!$1:$1048576,IF(OR($B608="STD. DEVIATION",$C$1=1),$A608,$A608+1),COLUMN('1-DATA'!AO606)),IF($B608="STD. DEVIATION",2,$F$1))))</f>
        <v/>
      </c>
      <c r="AQ608" s="1" t="str">
        <f>IF(OR($B608="",AQ$7=""),"",IF($B608="MEANS",INDEX('1-DATA'!$1:$1048576,$A607-1,COLUMN('1-DATA'!AP606)),ROUND(INDEX('1-DATA'!$1:$1048576,IF(OR($B608="STD. DEVIATION",$C$1=1),$A608,$A608+1),COLUMN('1-DATA'!AP606)),IF($B608="STD. DEVIATION",2,$F$1))))</f>
        <v/>
      </c>
      <c r="AR608" s="1" t="str">
        <f>IF(OR($B608="",AR$7=""),"",IF($B608="MEANS",INDEX('1-DATA'!$1:$1048576,$A607-1,COLUMN('1-DATA'!AQ606)),ROUND(INDEX('1-DATA'!$1:$1048576,IF(OR($B608="STD. DEVIATION",$C$1=1),$A608,$A608+1),COLUMN('1-DATA'!AQ606)),IF($B608="STD. DEVIATION",2,$F$1))))</f>
        <v/>
      </c>
      <c r="AS608" s="1" t="str">
        <f>IF(OR($B608="",AS$7=""),"",IF($B608="MEANS",INDEX('1-DATA'!$1:$1048576,$A607-1,COLUMN('1-DATA'!AR606)),ROUND(INDEX('1-DATA'!$1:$1048576,IF(OR($B608="STD. DEVIATION",$C$1=1),$A608,$A608+1),COLUMN('1-DATA'!AR606)),IF($B608="STD. DEVIATION",2,$F$1))))</f>
        <v/>
      </c>
      <c r="AT608" s="1" t="str">
        <f>IF(OR($B608="",AT$7=""),"",IF($B608="MEANS",INDEX('1-DATA'!$1:$1048576,$A607-1,COLUMN('1-DATA'!AS606)),ROUND(INDEX('1-DATA'!$1:$1048576,IF(OR($B608="STD. DEVIATION",$C$1=1),$A608,$A608+1),COLUMN('1-DATA'!AS606)),IF($B608="STD. DEVIATION",2,$F$1))))</f>
        <v/>
      </c>
      <c r="AU608" s="1" t="str">
        <f>IF(OR($B608="",AU$7=""),"",IF($B608="MEANS",INDEX('1-DATA'!$1:$1048576,$A607-1,COLUMN('1-DATA'!AT606)),ROUND(INDEX('1-DATA'!$1:$1048576,IF(OR($B608="STD. DEVIATION",$C$1=1),$A608,$A608+1),COLUMN('1-DATA'!AT606)),IF($B608="STD. DEVIATION",2,$F$1))))</f>
        <v/>
      </c>
      <c r="AV608" s="1" t="str">
        <f>IF(OR($B608="",AV$7=""),"",IF($B608="MEANS",INDEX('1-DATA'!$1:$1048576,$A607-1,COLUMN('1-DATA'!AU606)),ROUND(INDEX('1-DATA'!$1:$1048576,IF(OR($B608="STD. DEVIATION",$C$1=1),$A608,$A608+1),COLUMN('1-DATA'!AU606)),IF($B608="STD. DEVIATION",2,$F$1))))</f>
        <v/>
      </c>
      <c r="AW608" s="1" t="str">
        <f>IF(OR($B608="",AW$7=""),"",IF($B608="MEANS",INDEX('1-DATA'!$1:$1048576,$A607-1,COLUMN('1-DATA'!AV606)),ROUND(INDEX('1-DATA'!$1:$1048576,IF(OR($B608="STD. DEVIATION",$C$1=1),$A608,$A608+1),COLUMN('1-DATA'!AV606)),IF($B608="STD. DEVIATION",2,$F$1))))</f>
        <v/>
      </c>
      <c r="AX608" s="1" t="str">
        <f>IF(OR($B608="",AX$7=""),"",IF($B608="MEANS",INDEX('1-DATA'!$1:$1048576,$A607-1,COLUMN('1-DATA'!AW606)),ROUND(INDEX('1-DATA'!$1:$1048576,IF(OR($B608="STD. DEVIATION",$C$1=1),$A608,$A608+1),COLUMN('1-DATA'!AW606)),IF($B608="STD. DEVIATION",2,$F$1))))</f>
        <v/>
      </c>
      <c r="AY608" s="1" t="str">
        <f>IF(OR($B608="",AY$7=""),"",IF($B608="MEANS",INDEX('1-DATA'!$1:$1048576,$A607-1,COLUMN('1-DATA'!AX606)),ROUND(INDEX('1-DATA'!$1:$1048576,IF(OR($B608="STD. DEVIATION",$C$1=1),$A608,$A608+1),COLUMN('1-DATA'!AX606)),IF($B608="STD. DEVIATION",2,$F$1))))</f>
        <v/>
      </c>
      <c r="AZ608" s="1" t="str">
        <f>IF(OR($B608="",AZ$7=""),"",IF($B608="MEANS",INDEX('1-DATA'!$1:$1048576,$A607-1,COLUMN('1-DATA'!AY606)),ROUND(INDEX('1-DATA'!$1:$1048576,IF(OR($B608="STD. DEVIATION",$C$1=1),$A608,$A608+1),COLUMN('1-DATA'!AY606)),IF($B608="STD. DEVIATION",2,$F$1))))</f>
        <v/>
      </c>
    </row>
    <row r="609" spans="1:52" x14ac:dyDescent="0.25">
      <c r="A609" s="11">
        <f t="shared" si="10"/>
        <v>1813</v>
      </c>
      <c r="B609" s="1" t="str">
        <f>IF(B608="STD. DEVIATION",INDEX('1-DATA'!$1:$1048576,$A608-1,1),IF(INDEX('1-DATA'!$1:$1048576,$A609,1)&lt;&gt;"",INDEX('1-DATA'!$1:$1048576,$A609,1),""))</f>
        <v/>
      </c>
      <c r="C609" s="1" t="str">
        <f>IF(OR($B609="",C$7=""),"",IF($B609="MEANS",INDEX('1-DATA'!$1:$1048576,$A608-1,COLUMN('1-DATA'!B607)),ROUND(INDEX('1-DATA'!$1:$1048576,IF(OR($B609="STD. DEVIATION",$C$1=1),$A609,$A609+1),COLUMN('1-DATA'!B607)),IF($B609="STD. DEVIATION",2,$F$1))))</f>
        <v/>
      </c>
      <c r="D609" s="1" t="str">
        <f>IF(OR($B609="",D$7=""),"",IF($B609="MEANS",INDEX('1-DATA'!$1:$1048576,$A608-1,COLUMN('1-DATA'!C607)),ROUND(INDEX('1-DATA'!$1:$1048576,IF(OR($B609="STD. DEVIATION",$C$1=1),$A609,$A609+1),COLUMN('1-DATA'!C607)),IF($B609="STD. DEVIATION",2,$F$1))))</f>
        <v/>
      </c>
      <c r="E609" s="1" t="str">
        <f>IF(OR($B609="",E$7=""),"",IF($B609="MEANS",INDEX('1-DATA'!$1:$1048576,$A608-1,COLUMN('1-DATA'!D607)),ROUND(INDEX('1-DATA'!$1:$1048576,IF(OR($B609="STD. DEVIATION",$C$1=1),$A609,$A609+1),COLUMN('1-DATA'!D607)),IF($B609="STD. DEVIATION",2,$F$1))))</f>
        <v/>
      </c>
      <c r="F609" s="1" t="str">
        <f>IF(OR($B609="",F$7=""),"",IF($B609="MEANS",INDEX('1-DATA'!$1:$1048576,$A608-1,COLUMN('1-DATA'!E607)),ROUND(INDEX('1-DATA'!$1:$1048576,IF(OR($B609="STD. DEVIATION",$C$1=1),$A609,$A609+1),COLUMN('1-DATA'!E607)),IF($B609="STD. DEVIATION",2,$F$1))))</f>
        <v/>
      </c>
      <c r="G609" s="1" t="str">
        <f>IF(OR($B609="",G$7=""),"",IF($B609="MEANS",INDEX('1-DATA'!$1:$1048576,$A608-1,COLUMN('1-DATA'!F607)),ROUND(INDEX('1-DATA'!$1:$1048576,IF(OR($B609="STD. DEVIATION",$C$1=1),$A609,$A609+1),COLUMN('1-DATA'!F607)),IF($B609="STD. DEVIATION",2,$F$1))))</f>
        <v/>
      </c>
      <c r="H609" s="1" t="str">
        <f>IF(OR($B609="",H$7=""),"",IF($B609="MEANS",INDEX('1-DATA'!$1:$1048576,$A608-1,COLUMN('1-DATA'!G607)),ROUND(INDEX('1-DATA'!$1:$1048576,IF(OR($B609="STD. DEVIATION",$C$1=1),$A609,$A609+1),COLUMN('1-DATA'!G607)),IF($B609="STD. DEVIATION",2,$F$1))))</f>
        <v/>
      </c>
      <c r="I609" s="1" t="str">
        <f>IF(OR($B609="",I$7=""),"",IF($B609="MEANS",INDEX('1-DATA'!$1:$1048576,$A608-1,COLUMN('1-DATA'!H607)),ROUND(INDEX('1-DATA'!$1:$1048576,IF(OR($B609="STD. DEVIATION",$C$1=1),$A609,$A609+1),COLUMN('1-DATA'!H607)),IF($B609="STD. DEVIATION",2,$F$1))))</f>
        <v/>
      </c>
      <c r="J609" s="1" t="str">
        <f>IF(OR($B609="",J$7=""),"",IF($B609="MEANS",INDEX('1-DATA'!$1:$1048576,$A608-1,COLUMN('1-DATA'!I607)),ROUND(INDEX('1-DATA'!$1:$1048576,IF(OR($B609="STD. DEVIATION",$C$1=1),$A609,$A609+1),COLUMN('1-DATA'!I607)),IF($B609="STD. DEVIATION",2,$F$1))))</f>
        <v/>
      </c>
      <c r="K609" s="1" t="str">
        <f>IF(OR($B609="",K$7=""),"",IF($B609="MEANS",INDEX('1-DATA'!$1:$1048576,$A608-1,COLUMN('1-DATA'!J607)),ROUND(INDEX('1-DATA'!$1:$1048576,IF(OR($B609="STD. DEVIATION",$C$1=1),$A609,$A609+1),COLUMN('1-DATA'!J607)),IF($B609="STD. DEVIATION",2,$F$1))))</f>
        <v/>
      </c>
      <c r="L609" s="1" t="str">
        <f>IF(OR($B609="",L$7=""),"",IF($B609="MEANS",INDEX('1-DATA'!$1:$1048576,$A608-1,COLUMN('1-DATA'!K607)),ROUND(INDEX('1-DATA'!$1:$1048576,IF(OR($B609="STD. DEVIATION",$C$1=1),$A609,$A609+1),COLUMN('1-DATA'!K607)),IF($B609="STD. DEVIATION",2,$F$1))))</f>
        <v/>
      </c>
      <c r="M609" s="1" t="str">
        <f>IF(OR($B609="",M$7=""),"",IF($B609="MEANS",INDEX('1-DATA'!$1:$1048576,$A608-1,COLUMN('1-DATA'!L607)),ROUND(INDEX('1-DATA'!$1:$1048576,IF(OR($B609="STD. DEVIATION",$C$1=1),$A609,$A609+1),COLUMN('1-DATA'!L607)),IF($B609="STD. DEVIATION",2,$F$1))))</f>
        <v/>
      </c>
      <c r="N609" s="1" t="str">
        <f>IF(OR($B609="",N$7=""),"",IF($B609="MEANS",INDEX('1-DATA'!$1:$1048576,$A608-1,COLUMN('1-DATA'!M607)),ROUND(INDEX('1-DATA'!$1:$1048576,IF(OR($B609="STD. DEVIATION",$C$1=1),$A609,$A609+1),COLUMN('1-DATA'!M607)),IF($B609="STD. DEVIATION",2,$F$1))))</f>
        <v/>
      </c>
      <c r="O609" s="1" t="str">
        <f>IF(OR($B609="",O$7=""),"",IF($B609="MEANS",INDEX('1-DATA'!$1:$1048576,$A608-1,COLUMN('1-DATA'!N607)),ROUND(INDEX('1-DATA'!$1:$1048576,IF(OR($B609="STD. DEVIATION",$C$1=1),$A609,$A609+1),COLUMN('1-DATA'!N607)),IF($B609="STD. DEVIATION",2,$F$1))))</f>
        <v/>
      </c>
      <c r="P609" s="1" t="str">
        <f>IF(OR($B609="",P$7=""),"",IF($B609="MEANS",INDEX('1-DATA'!$1:$1048576,$A608-1,COLUMN('1-DATA'!O607)),ROUND(INDEX('1-DATA'!$1:$1048576,IF(OR($B609="STD. DEVIATION",$C$1=1),$A609,$A609+1),COLUMN('1-DATA'!O607)),IF($B609="STD. DEVIATION",2,$F$1))))</f>
        <v/>
      </c>
      <c r="Q609" s="1" t="str">
        <f>IF(OR($B609="",Q$7=""),"",IF($B609="MEANS",INDEX('1-DATA'!$1:$1048576,$A608-1,COLUMN('1-DATA'!P607)),ROUND(INDEX('1-DATA'!$1:$1048576,IF(OR($B609="STD. DEVIATION",$C$1=1),$A609,$A609+1),COLUMN('1-DATA'!P607)),IF($B609="STD. DEVIATION",2,$F$1))))</f>
        <v/>
      </c>
      <c r="R609" s="1" t="str">
        <f>IF(OR($B609="",R$7=""),"",IF($B609="MEANS",INDEX('1-DATA'!$1:$1048576,$A608-1,COLUMN('1-DATA'!Q607)),ROUND(INDEX('1-DATA'!$1:$1048576,IF(OR($B609="STD. DEVIATION",$C$1=1),$A609,$A609+1),COLUMN('1-DATA'!Q607)),IF($B609="STD. DEVIATION",2,$F$1))))</f>
        <v/>
      </c>
      <c r="S609" s="1" t="str">
        <f>IF(OR($B609="",S$7=""),"",IF($B609="MEANS",INDEX('1-DATA'!$1:$1048576,$A608-1,COLUMN('1-DATA'!R607)),ROUND(INDEX('1-DATA'!$1:$1048576,IF(OR($B609="STD. DEVIATION",$C$1=1),$A609,$A609+1),COLUMN('1-DATA'!R607)),IF($B609="STD. DEVIATION",2,$F$1))))</f>
        <v/>
      </c>
      <c r="T609" s="1" t="str">
        <f>IF(OR($B609="",T$7=""),"",IF($B609="MEANS",INDEX('1-DATA'!$1:$1048576,$A608-1,COLUMN('1-DATA'!S607)),ROUND(INDEX('1-DATA'!$1:$1048576,IF(OR($B609="STD. DEVIATION",$C$1=1),$A609,$A609+1),COLUMN('1-DATA'!S607)),IF($B609="STD. DEVIATION",2,$F$1))))</f>
        <v/>
      </c>
      <c r="U609" s="1" t="str">
        <f>IF(OR($B609="",U$7=""),"",IF($B609="MEANS",INDEX('1-DATA'!$1:$1048576,$A608-1,COLUMN('1-DATA'!T607)),ROUND(INDEX('1-DATA'!$1:$1048576,IF(OR($B609="STD. DEVIATION",$C$1=1),$A609,$A609+1),COLUMN('1-DATA'!T607)),IF($B609="STD. DEVIATION",2,$F$1))))</f>
        <v/>
      </c>
      <c r="V609" s="1" t="str">
        <f>IF(OR($B609="",V$7=""),"",IF($B609="MEANS",INDEX('1-DATA'!$1:$1048576,$A608-1,COLUMN('1-DATA'!U607)),ROUND(INDEX('1-DATA'!$1:$1048576,IF(OR($B609="STD. DEVIATION",$C$1=1),$A609,$A609+1),COLUMN('1-DATA'!U607)),IF($B609="STD. DEVIATION",2,$F$1))))</f>
        <v/>
      </c>
      <c r="W609" s="1" t="str">
        <f>IF(OR($B609="",W$7=""),"",IF($B609="MEANS",INDEX('1-DATA'!$1:$1048576,$A608-1,COLUMN('1-DATA'!V607)),ROUND(INDEX('1-DATA'!$1:$1048576,IF(OR($B609="STD. DEVIATION",$C$1=1),$A609,$A609+1),COLUMN('1-DATA'!V607)),IF($B609="STD. DEVIATION",2,$F$1))))</f>
        <v/>
      </c>
      <c r="X609" s="1" t="str">
        <f>IF(OR($B609="",X$7=""),"",IF($B609="MEANS",INDEX('1-DATA'!$1:$1048576,$A608-1,COLUMN('1-DATA'!W607)),ROUND(INDEX('1-DATA'!$1:$1048576,IF(OR($B609="STD. DEVIATION",$C$1=1),$A609,$A609+1),COLUMN('1-DATA'!W607)),IF($B609="STD. DEVIATION",2,$F$1))))</f>
        <v/>
      </c>
      <c r="Y609" s="1" t="str">
        <f>IF(OR($B609="",Y$7=""),"",IF($B609="MEANS",INDEX('1-DATA'!$1:$1048576,$A608-1,COLUMN('1-DATA'!X607)),ROUND(INDEX('1-DATA'!$1:$1048576,IF(OR($B609="STD. DEVIATION",$C$1=1),$A609,$A609+1),COLUMN('1-DATA'!X607)),IF($B609="STD. DEVIATION",2,$F$1))))</f>
        <v/>
      </c>
      <c r="Z609" s="1" t="str">
        <f>IF(OR($B609="",Z$7=""),"",IF($B609="MEANS",INDEX('1-DATA'!$1:$1048576,$A608-1,COLUMN('1-DATA'!Y607)),ROUND(INDEX('1-DATA'!$1:$1048576,IF(OR($B609="STD. DEVIATION",$C$1=1),$A609,$A609+1),COLUMN('1-DATA'!Y607)),IF($B609="STD. DEVIATION",2,$F$1))))</f>
        <v/>
      </c>
      <c r="AA609" s="1" t="str">
        <f>IF(OR($B609="",AA$7=""),"",IF($B609="MEANS",INDEX('1-DATA'!$1:$1048576,$A608-1,COLUMN('1-DATA'!Z607)),ROUND(INDEX('1-DATA'!$1:$1048576,IF(OR($B609="STD. DEVIATION",$C$1=1),$A609,$A609+1),COLUMN('1-DATA'!Z607)),IF($B609="STD. DEVIATION",2,$F$1))))</f>
        <v/>
      </c>
      <c r="AB609" s="1" t="str">
        <f>IF(OR($B609="",AB$7=""),"",IF($B609="MEANS",INDEX('1-DATA'!$1:$1048576,$A608-1,COLUMN('1-DATA'!AA607)),ROUND(INDEX('1-DATA'!$1:$1048576,IF(OR($B609="STD. DEVIATION",$C$1=1),$A609,$A609+1),COLUMN('1-DATA'!AA607)),IF($B609="STD. DEVIATION",2,$F$1))))</f>
        <v/>
      </c>
      <c r="AC609" s="1" t="str">
        <f>IF(OR($B609="",AC$7=""),"",IF($B609="MEANS",INDEX('1-DATA'!$1:$1048576,$A608-1,COLUMN('1-DATA'!AB607)),ROUND(INDEX('1-DATA'!$1:$1048576,IF(OR($B609="STD. DEVIATION",$C$1=1),$A609,$A609+1),COLUMN('1-DATA'!AB607)),IF($B609="STD. DEVIATION",2,$F$1))))</f>
        <v/>
      </c>
      <c r="AD609" s="1" t="str">
        <f>IF(OR($B609="",AD$7=""),"",IF($B609="MEANS",INDEX('1-DATA'!$1:$1048576,$A608-1,COLUMN('1-DATA'!AC607)),ROUND(INDEX('1-DATA'!$1:$1048576,IF(OR($B609="STD. DEVIATION",$C$1=1),$A609,$A609+1),COLUMN('1-DATA'!AC607)),IF($B609="STD. DEVIATION",2,$F$1))))</f>
        <v/>
      </c>
      <c r="AE609" s="1" t="str">
        <f>IF(OR($B609="",AE$7=""),"",IF($B609="MEANS",INDEX('1-DATA'!$1:$1048576,$A608-1,COLUMN('1-DATA'!AD607)),ROUND(INDEX('1-DATA'!$1:$1048576,IF(OR($B609="STD. DEVIATION",$C$1=1),$A609,$A609+1),COLUMN('1-DATA'!AD607)),IF($B609="STD. DEVIATION",2,$F$1))))</f>
        <v/>
      </c>
      <c r="AF609" s="1" t="str">
        <f>IF(OR($B609="",AF$7=""),"",IF($B609="MEANS",INDEX('1-DATA'!$1:$1048576,$A608-1,COLUMN('1-DATA'!AE607)),ROUND(INDEX('1-DATA'!$1:$1048576,IF(OR($B609="STD. DEVIATION",$C$1=1),$A609,$A609+1),COLUMN('1-DATA'!AE607)),IF($B609="STD. DEVIATION",2,$F$1))))</f>
        <v/>
      </c>
      <c r="AG609" s="1" t="str">
        <f>IF(OR($B609="",AG$7=""),"",IF($B609="MEANS",INDEX('1-DATA'!$1:$1048576,$A608-1,COLUMN('1-DATA'!AF607)),ROUND(INDEX('1-DATA'!$1:$1048576,IF(OR($B609="STD. DEVIATION",$C$1=1),$A609,$A609+1),COLUMN('1-DATA'!AF607)),IF($B609="STD. DEVIATION",2,$F$1))))</f>
        <v/>
      </c>
      <c r="AH609" s="1" t="str">
        <f>IF(OR($B609="",AH$7=""),"",IF($B609="MEANS",INDEX('1-DATA'!$1:$1048576,$A608-1,COLUMN('1-DATA'!AG607)),ROUND(INDEX('1-DATA'!$1:$1048576,IF(OR($B609="STD. DEVIATION",$C$1=1),$A609,$A609+1),COLUMN('1-DATA'!AG607)),IF($B609="STD. DEVIATION",2,$F$1))))</f>
        <v/>
      </c>
      <c r="AI609" s="1" t="str">
        <f>IF(OR($B609="",AI$7=""),"",IF($B609="MEANS",INDEX('1-DATA'!$1:$1048576,$A608-1,COLUMN('1-DATA'!AH607)),ROUND(INDEX('1-DATA'!$1:$1048576,IF(OR($B609="STD. DEVIATION",$C$1=1),$A609,$A609+1),COLUMN('1-DATA'!AH607)),IF($B609="STD. DEVIATION",2,$F$1))))</f>
        <v/>
      </c>
      <c r="AJ609" s="1" t="str">
        <f>IF(OR($B609="",AJ$7=""),"",IF($B609="MEANS",INDEX('1-DATA'!$1:$1048576,$A608-1,COLUMN('1-DATA'!AI607)),ROUND(INDEX('1-DATA'!$1:$1048576,IF(OR($B609="STD. DEVIATION",$C$1=1),$A609,$A609+1),COLUMN('1-DATA'!AI607)),IF($B609="STD. DEVIATION",2,$F$1))))</f>
        <v/>
      </c>
      <c r="AK609" s="1" t="str">
        <f>IF(OR($B609="",AK$7=""),"",IF($B609="MEANS",INDEX('1-DATA'!$1:$1048576,$A608-1,COLUMN('1-DATA'!AJ607)),ROUND(INDEX('1-DATA'!$1:$1048576,IF(OR($B609="STD. DEVIATION",$C$1=1),$A609,$A609+1),COLUMN('1-DATA'!AJ607)),IF($B609="STD. DEVIATION",2,$F$1))))</f>
        <v/>
      </c>
      <c r="AL609" s="1" t="str">
        <f>IF(OR($B609="",AL$7=""),"",IF($B609="MEANS",INDEX('1-DATA'!$1:$1048576,$A608-1,COLUMN('1-DATA'!AK607)),ROUND(INDEX('1-DATA'!$1:$1048576,IF(OR($B609="STD. DEVIATION",$C$1=1),$A609,$A609+1),COLUMN('1-DATA'!AK607)),IF($B609="STD. DEVIATION",2,$F$1))))</f>
        <v/>
      </c>
      <c r="AM609" s="1" t="str">
        <f>IF(OR($B609="",AM$7=""),"",IF($B609="MEANS",INDEX('1-DATA'!$1:$1048576,$A608-1,COLUMN('1-DATA'!AL607)),ROUND(INDEX('1-DATA'!$1:$1048576,IF(OR($B609="STD. DEVIATION",$C$1=1),$A609,$A609+1),COLUMN('1-DATA'!AL607)),IF($B609="STD. DEVIATION",2,$F$1))))</f>
        <v/>
      </c>
      <c r="AN609" s="1" t="str">
        <f>IF(OR($B609="",AN$7=""),"",IF($B609="MEANS",INDEX('1-DATA'!$1:$1048576,$A608-1,COLUMN('1-DATA'!AM607)),ROUND(INDEX('1-DATA'!$1:$1048576,IF(OR($B609="STD. DEVIATION",$C$1=1),$A609,$A609+1),COLUMN('1-DATA'!AM607)),IF($B609="STD. DEVIATION",2,$F$1))))</f>
        <v/>
      </c>
      <c r="AO609" s="1" t="str">
        <f>IF(OR($B609="",AO$7=""),"",IF($B609="MEANS",INDEX('1-DATA'!$1:$1048576,$A608-1,COLUMN('1-DATA'!AN607)),ROUND(INDEX('1-DATA'!$1:$1048576,IF(OR($B609="STD. DEVIATION",$C$1=1),$A609,$A609+1),COLUMN('1-DATA'!AN607)),IF($B609="STD. DEVIATION",2,$F$1))))</f>
        <v/>
      </c>
      <c r="AP609" s="1" t="str">
        <f>IF(OR($B609="",AP$7=""),"",IF($B609="MEANS",INDEX('1-DATA'!$1:$1048576,$A608-1,COLUMN('1-DATA'!AO607)),ROUND(INDEX('1-DATA'!$1:$1048576,IF(OR($B609="STD. DEVIATION",$C$1=1),$A609,$A609+1),COLUMN('1-DATA'!AO607)),IF($B609="STD. DEVIATION",2,$F$1))))</f>
        <v/>
      </c>
      <c r="AQ609" s="1" t="str">
        <f>IF(OR($B609="",AQ$7=""),"",IF($B609="MEANS",INDEX('1-DATA'!$1:$1048576,$A608-1,COLUMN('1-DATA'!AP607)),ROUND(INDEX('1-DATA'!$1:$1048576,IF(OR($B609="STD. DEVIATION",$C$1=1),$A609,$A609+1),COLUMN('1-DATA'!AP607)),IF($B609="STD. DEVIATION",2,$F$1))))</f>
        <v/>
      </c>
      <c r="AR609" s="1" t="str">
        <f>IF(OR($B609="",AR$7=""),"",IF($B609="MEANS",INDEX('1-DATA'!$1:$1048576,$A608-1,COLUMN('1-DATA'!AQ607)),ROUND(INDEX('1-DATA'!$1:$1048576,IF(OR($B609="STD. DEVIATION",$C$1=1),$A609,$A609+1),COLUMN('1-DATA'!AQ607)),IF($B609="STD. DEVIATION",2,$F$1))))</f>
        <v/>
      </c>
      <c r="AS609" s="1" t="str">
        <f>IF(OR($B609="",AS$7=""),"",IF($B609="MEANS",INDEX('1-DATA'!$1:$1048576,$A608-1,COLUMN('1-DATA'!AR607)),ROUND(INDEX('1-DATA'!$1:$1048576,IF(OR($B609="STD. DEVIATION",$C$1=1),$A609,$A609+1),COLUMN('1-DATA'!AR607)),IF($B609="STD. DEVIATION",2,$F$1))))</f>
        <v/>
      </c>
      <c r="AT609" s="1" t="str">
        <f>IF(OR($B609="",AT$7=""),"",IF($B609="MEANS",INDEX('1-DATA'!$1:$1048576,$A608-1,COLUMN('1-DATA'!AS607)),ROUND(INDEX('1-DATA'!$1:$1048576,IF(OR($B609="STD. DEVIATION",$C$1=1),$A609,$A609+1),COLUMN('1-DATA'!AS607)),IF($B609="STD. DEVIATION",2,$F$1))))</f>
        <v/>
      </c>
      <c r="AU609" s="1" t="str">
        <f>IF(OR($B609="",AU$7=""),"",IF($B609="MEANS",INDEX('1-DATA'!$1:$1048576,$A608-1,COLUMN('1-DATA'!AT607)),ROUND(INDEX('1-DATA'!$1:$1048576,IF(OR($B609="STD. DEVIATION",$C$1=1),$A609,$A609+1),COLUMN('1-DATA'!AT607)),IF($B609="STD. DEVIATION",2,$F$1))))</f>
        <v/>
      </c>
      <c r="AV609" s="1" t="str">
        <f>IF(OR($B609="",AV$7=""),"",IF($B609="MEANS",INDEX('1-DATA'!$1:$1048576,$A608-1,COLUMN('1-DATA'!AU607)),ROUND(INDEX('1-DATA'!$1:$1048576,IF(OR($B609="STD. DEVIATION",$C$1=1),$A609,$A609+1),COLUMN('1-DATA'!AU607)),IF($B609="STD. DEVIATION",2,$F$1))))</f>
        <v/>
      </c>
      <c r="AW609" s="1" t="str">
        <f>IF(OR($B609="",AW$7=""),"",IF($B609="MEANS",INDEX('1-DATA'!$1:$1048576,$A608-1,COLUMN('1-DATA'!AV607)),ROUND(INDEX('1-DATA'!$1:$1048576,IF(OR($B609="STD. DEVIATION",$C$1=1),$A609,$A609+1),COLUMN('1-DATA'!AV607)),IF($B609="STD. DEVIATION",2,$F$1))))</f>
        <v/>
      </c>
      <c r="AX609" s="1" t="str">
        <f>IF(OR($B609="",AX$7=""),"",IF($B609="MEANS",INDEX('1-DATA'!$1:$1048576,$A608-1,COLUMN('1-DATA'!AW607)),ROUND(INDEX('1-DATA'!$1:$1048576,IF(OR($B609="STD. DEVIATION",$C$1=1),$A609,$A609+1),COLUMN('1-DATA'!AW607)),IF($B609="STD. DEVIATION",2,$F$1))))</f>
        <v/>
      </c>
      <c r="AY609" s="1" t="str">
        <f>IF(OR($B609="",AY$7=""),"",IF($B609="MEANS",INDEX('1-DATA'!$1:$1048576,$A608-1,COLUMN('1-DATA'!AX607)),ROUND(INDEX('1-DATA'!$1:$1048576,IF(OR($B609="STD. DEVIATION",$C$1=1),$A609,$A609+1),COLUMN('1-DATA'!AX607)),IF($B609="STD. DEVIATION",2,$F$1))))</f>
        <v/>
      </c>
      <c r="AZ609" s="1" t="str">
        <f>IF(OR($B609="",AZ$7=""),"",IF($B609="MEANS",INDEX('1-DATA'!$1:$1048576,$A608-1,COLUMN('1-DATA'!AY607)),ROUND(INDEX('1-DATA'!$1:$1048576,IF(OR($B609="STD. DEVIATION",$C$1=1),$A609,$A609+1),COLUMN('1-DATA'!AY607)),IF($B609="STD. DEVIATION",2,$F$1))))</f>
        <v/>
      </c>
    </row>
    <row r="610" spans="1:52" x14ac:dyDescent="0.25">
      <c r="A610" s="11">
        <f t="shared" si="10"/>
        <v>1816</v>
      </c>
      <c r="B610" s="1" t="str">
        <f>IF(B609="STD. DEVIATION",INDEX('1-DATA'!$1:$1048576,$A609-1,1),IF(INDEX('1-DATA'!$1:$1048576,$A610,1)&lt;&gt;"",INDEX('1-DATA'!$1:$1048576,$A610,1),""))</f>
        <v/>
      </c>
      <c r="C610" s="1" t="str">
        <f>IF(OR($B610="",C$7=""),"",IF($B610="MEANS",INDEX('1-DATA'!$1:$1048576,$A609-1,COLUMN('1-DATA'!B608)),ROUND(INDEX('1-DATA'!$1:$1048576,IF(OR($B610="STD. DEVIATION",$C$1=1),$A610,$A610+1),COLUMN('1-DATA'!B608)),IF($B610="STD. DEVIATION",2,$F$1))))</f>
        <v/>
      </c>
      <c r="D610" s="1" t="str">
        <f>IF(OR($B610="",D$7=""),"",IF($B610="MEANS",INDEX('1-DATA'!$1:$1048576,$A609-1,COLUMN('1-DATA'!C608)),ROUND(INDEX('1-DATA'!$1:$1048576,IF(OR($B610="STD. DEVIATION",$C$1=1),$A610,$A610+1),COLUMN('1-DATA'!C608)),IF($B610="STD. DEVIATION",2,$F$1))))</f>
        <v/>
      </c>
      <c r="E610" s="1" t="str">
        <f>IF(OR($B610="",E$7=""),"",IF($B610="MEANS",INDEX('1-DATA'!$1:$1048576,$A609-1,COLUMN('1-DATA'!D608)),ROUND(INDEX('1-DATA'!$1:$1048576,IF(OR($B610="STD. DEVIATION",$C$1=1),$A610,$A610+1),COLUMN('1-DATA'!D608)),IF($B610="STD. DEVIATION",2,$F$1))))</f>
        <v/>
      </c>
      <c r="F610" s="1" t="str">
        <f>IF(OR($B610="",F$7=""),"",IF($B610="MEANS",INDEX('1-DATA'!$1:$1048576,$A609-1,COLUMN('1-DATA'!E608)),ROUND(INDEX('1-DATA'!$1:$1048576,IF(OR($B610="STD. DEVIATION",$C$1=1),$A610,$A610+1),COLUMN('1-DATA'!E608)),IF($B610="STD. DEVIATION",2,$F$1))))</f>
        <v/>
      </c>
      <c r="G610" s="1" t="str">
        <f>IF(OR($B610="",G$7=""),"",IF($B610="MEANS",INDEX('1-DATA'!$1:$1048576,$A609-1,COLUMN('1-DATA'!F608)),ROUND(INDEX('1-DATA'!$1:$1048576,IF(OR($B610="STD. DEVIATION",$C$1=1),$A610,$A610+1),COLUMN('1-DATA'!F608)),IF($B610="STD. DEVIATION",2,$F$1))))</f>
        <v/>
      </c>
      <c r="H610" s="1" t="str">
        <f>IF(OR($B610="",H$7=""),"",IF($B610="MEANS",INDEX('1-DATA'!$1:$1048576,$A609-1,COLUMN('1-DATA'!G608)),ROUND(INDEX('1-DATA'!$1:$1048576,IF(OR($B610="STD. DEVIATION",$C$1=1),$A610,$A610+1),COLUMN('1-DATA'!G608)),IF($B610="STD. DEVIATION",2,$F$1))))</f>
        <v/>
      </c>
      <c r="I610" s="1" t="str">
        <f>IF(OR($B610="",I$7=""),"",IF($B610="MEANS",INDEX('1-DATA'!$1:$1048576,$A609-1,COLUMN('1-DATA'!H608)),ROUND(INDEX('1-DATA'!$1:$1048576,IF(OR($B610="STD. DEVIATION",$C$1=1),$A610,$A610+1),COLUMN('1-DATA'!H608)),IF($B610="STD. DEVIATION",2,$F$1))))</f>
        <v/>
      </c>
      <c r="J610" s="1" t="str">
        <f>IF(OR($B610="",J$7=""),"",IF($B610="MEANS",INDEX('1-DATA'!$1:$1048576,$A609-1,COLUMN('1-DATA'!I608)),ROUND(INDEX('1-DATA'!$1:$1048576,IF(OR($B610="STD. DEVIATION",$C$1=1),$A610,$A610+1),COLUMN('1-DATA'!I608)),IF($B610="STD. DEVIATION",2,$F$1))))</f>
        <v/>
      </c>
      <c r="K610" s="1" t="str">
        <f>IF(OR($B610="",K$7=""),"",IF($B610="MEANS",INDEX('1-DATA'!$1:$1048576,$A609-1,COLUMN('1-DATA'!J608)),ROUND(INDEX('1-DATA'!$1:$1048576,IF(OR($B610="STD. DEVIATION",$C$1=1),$A610,$A610+1),COLUMN('1-DATA'!J608)),IF($B610="STD. DEVIATION",2,$F$1))))</f>
        <v/>
      </c>
      <c r="L610" s="1" t="str">
        <f>IF(OR($B610="",L$7=""),"",IF($B610="MEANS",INDEX('1-DATA'!$1:$1048576,$A609-1,COLUMN('1-DATA'!K608)),ROUND(INDEX('1-DATA'!$1:$1048576,IF(OR($B610="STD. DEVIATION",$C$1=1),$A610,$A610+1),COLUMN('1-DATA'!K608)),IF($B610="STD. DEVIATION",2,$F$1))))</f>
        <v/>
      </c>
      <c r="M610" s="1" t="str">
        <f>IF(OR($B610="",M$7=""),"",IF($B610="MEANS",INDEX('1-DATA'!$1:$1048576,$A609-1,COLUMN('1-DATA'!L608)),ROUND(INDEX('1-DATA'!$1:$1048576,IF(OR($B610="STD. DEVIATION",$C$1=1),$A610,$A610+1),COLUMN('1-DATA'!L608)),IF($B610="STD. DEVIATION",2,$F$1))))</f>
        <v/>
      </c>
      <c r="N610" s="1" t="str">
        <f>IF(OR($B610="",N$7=""),"",IF($B610="MEANS",INDEX('1-DATA'!$1:$1048576,$A609-1,COLUMN('1-DATA'!M608)),ROUND(INDEX('1-DATA'!$1:$1048576,IF(OR($B610="STD. DEVIATION",$C$1=1),$A610,$A610+1),COLUMN('1-DATA'!M608)),IF($B610="STD. DEVIATION",2,$F$1))))</f>
        <v/>
      </c>
      <c r="O610" s="1" t="str">
        <f>IF(OR($B610="",O$7=""),"",IF($B610="MEANS",INDEX('1-DATA'!$1:$1048576,$A609-1,COLUMN('1-DATA'!N608)),ROUND(INDEX('1-DATA'!$1:$1048576,IF(OR($B610="STD. DEVIATION",$C$1=1),$A610,$A610+1),COLUMN('1-DATA'!N608)),IF($B610="STD. DEVIATION",2,$F$1))))</f>
        <v/>
      </c>
      <c r="P610" s="1" t="str">
        <f>IF(OR($B610="",P$7=""),"",IF($B610="MEANS",INDEX('1-DATA'!$1:$1048576,$A609-1,COLUMN('1-DATA'!O608)),ROUND(INDEX('1-DATA'!$1:$1048576,IF(OR($B610="STD. DEVIATION",$C$1=1),$A610,$A610+1),COLUMN('1-DATA'!O608)),IF($B610="STD. DEVIATION",2,$F$1))))</f>
        <v/>
      </c>
      <c r="Q610" s="1" t="str">
        <f>IF(OR($B610="",Q$7=""),"",IF($B610="MEANS",INDEX('1-DATA'!$1:$1048576,$A609-1,COLUMN('1-DATA'!P608)),ROUND(INDEX('1-DATA'!$1:$1048576,IF(OR($B610="STD. DEVIATION",$C$1=1),$A610,$A610+1),COLUMN('1-DATA'!P608)),IF($B610="STD. DEVIATION",2,$F$1))))</f>
        <v/>
      </c>
      <c r="R610" s="1" t="str">
        <f>IF(OR($B610="",R$7=""),"",IF($B610="MEANS",INDEX('1-DATA'!$1:$1048576,$A609-1,COLUMN('1-DATA'!Q608)),ROUND(INDEX('1-DATA'!$1:$1048576,IF(OR($B610="STD. DEVIATION",$C$1=1),$A610,$A610+1),COLUMN('1-DATA'!Q608)),IF($B610="STD. DEVIATION",2,$F$1))))</f>
        <v/>
      </c>
      <c r="S610" s="1" t="str">
        <f>IF(OR($B610="",S$7=""),"",IF($B610="MEANS",INDEX('1-DATA'!$1:$1048576,$A609-1,COLUMN('1-DATA'!R608)),ROUND(INDEX('1-DATA'!$1:$1048576,IF(OR($B610="STD. DEVIATION",$C$1=1),$A610,$A610+1),COLUMN('1-DATA'!R608)),IF($B610="STD. DEVIATION",2,$F$1))))</f>
        <v/>
      </c>
      <c r="T610" s="1" t="str">
        <f>IF(OR($B610="",T$7=""),"",IF($B610="MEANS",INDEX('1-DATA'!$1:$1048576,$A609-1,COLUMN('1-DATA'!S608)),ROUND(INDEX('1-DATA'!$1:$1048576,IF(OR($B610="STD. DEVIATION",$C$1=1),$A610,$A610+1),COLUMN('1-DATA'!S608)),IF($B610="STD. DEVIATION",2,$F$1))))</f>
        <v/>
      </c>
      <c r="U610" s="1" t="str">
        <f>IF(OR($B610="",U$7=""),"",IF($B610="MEANS",INDEX('1-DATA'!$1:$1048576,$A609-1,COLUMN('1-DATA'!T608)),ROUND(INDEX('1-DATA'!$1:$1048576,IF(OR($B610="STD. DEVIATION",$C$1=1),$A610,$A610+1),COLUMN('1-DATA'!T608)),IF($B610="STD. DEVIATION",2,$F$1))))</f>
        <v/>
      </c>
      <c r="V610" s="1" t="str">
        <f>IF(OR($B610="",V$7=""),"",IF($B610="MEANS",INDEX('1-DATA'!$1:$1048576,$A609-1,COLUMN('1-DATA'!U608)),ROUND(INDEX('1-DATA'!$1:$1048576,IF(OR($B610="STD. DEVIATION",$C$1=1),$A610,$A610+1),COLUMN('1-DATA'!U608)),IF($B610="STD. DEVIATION",2,$F$1))))</f>
        <v/>
      </c>
      <c r="W610" s="1" t="str">
        <f>IF(OR($B610="",W$7=""),"",IF($B610="MEANS",INDEX('1-DATA'!$1:$1048576,$A609-1,COLUMN('1-DATA'!V608)),ROUND(INDEX('1-DATA'!$1:$1048576,IF(OR($B610="STD. DEVIATION",$C$1=1),$A610,$A610+1),COLUMN('1-DATA'!V608)),IF($B610="STD. DEVIATION",2,$F$1))))</f>
        <v/>
      </c>
      <c r="X610" s="1" t="str">
        <f>IF(OR($B610="",X$7=""),"",IF($B610="MEANS",INDEX('1-DATA'!$1:$1048576,$A609-1,COLUMN('1-DATA'!W608)),ROUND(INDEX('1-DATA'!$1:$1048576,IF(OR($B610="STD. DEVIATION",$C$1=1),$A610,$A610+1),COLUMN('1-DATA'!W608)),IF($B610="STD. DEVIATION",2,$F$1))))</f>
        <v/>
      </c>
      <c r="Y610" s="1" t="str">
        <f>IF(OR($B610="",Y$7=""),"",IF($B610="MEANS",INDEX('1-DATA'!$1:$1048576,$A609-1,COLUMN('1-DATA'!X608)),ROUND(INDEX('1-DATA'!$1:$1048576,IF(OR($B610="STD. DEVIATION",$C$1=1),$A610,$A610+1),COLUMN('1-DATA'!X608)),IF($B610="STD. DEVIATION",2,$F$1))))</f>
        <v/>
      </c>
      <c r="Z610" s="1" t="str">
        <f>IF(OR($B610="",Z$7=""),"",IF($B610="MEANS",INDEX('1-DATA'!$1:$1048576,$A609-1,COLUMN('1-DATA'!Y608)),ROUND(INDEX('1-DATA'!$1:$1048576,IF(OR($B610="STD. DEVIATION",$C$1=1),$A610,$A610+1),COLUMN('1-DATA'!Y608)),IF($B610="STD. DEVIATION",2,$F$1))))</f>
        <v/>
      </c>
      <c r="AA610" s="1" t="str">
        <f>IF(OR($B610="",AA$7=""),"",IF($B610="MEANS",INDEX('1-DATA'!$1:$1048576,$A609-1,COLUMN('1-DATA'!Z608)),ROUND(INDEX('1-DATA'!$1:$1048576,IF(OR($B610="STD. DEVIATION",$C$1=1),$A610,$A610+1),COLUMN('1-DATA'!Z608)),IF($B610="STD. DEVIATION",2,$F$1))))</f>
        <v/>
      </c>
      <c r="AB610" s="1" t="str">
        <f>IF(OR($B610="",AB$7=""),"",IF($B610="MEANS",INDEX('1-DATA'!$1:$1048576,$A609-1,COLUMN('1-DATA'!AA608)),ROUND(INDEX('1-DATA'!$1:$1048576,IF(OR($B610="STD. DEVIATION",$C$1=1),$A610,$A610+1),COLUMN('1-DATA'!AA608)),IF($B610="STD. DEVIATION",2,$F$1))))</f>
        <v/>
      </c>
      <c r="AC610" s="1" t="str">
        <f>IF(OR($B610="",AC$7=""),"",IF($B610="MEANS",INDEX('1-DATA'!$1:$1048576,$A609-1,COLUMN('1-DATA'!AB608)),ROUND(INDEX('1-DATA'!$1:$1048576,IF(OR($B610="STD. DEVIATION",$C$1=1),$A610,$A610+1),COLUMN('1-DATA'!AB608)),IF($B610="STD. DEVIATION",2,$F$1))))</f>
        <v/>
      </c>
      <c r="AD610" s="1" t="str">
        <f>IF(OR($B610="",AD$7=""),"",IF($B610="MEANS",INDEX('1-DATA'!$1:$1048576,$A609-1,COLUMN('1-DATA'!AC608)),ROUND(INDEX('1-DATA'!$1:$1048576,IF(OR($B610="STD. DEVIATION",$C$1=1),$A610,$A610+1),COLUMN('1-DATA'!AC608)),IF($B610="STD. DEVIATION",2,$F$1))))</f>
        <v/>
      </c>
      <c r="AE610" s="1" t="str">
        <f>IF(OR($B610="",AE$7=""),"",IF($B610="MEANS",INDEX('1-DATA'!$1:$1048576,$A609-1,COLUMN('1-DATA'!AD608)),ROUND(INDEX('1-DATA'!$1:$1048576,IF(OR($B610="STD. DEVIATION",$C$1=1),$A610,$A610+1),COLUMN('1-DATA'!AD608)),IF($B610="STD. DEVIATION",2,$F$1))))</f>
        <v/>
      </c>
      <c r="AF610" s="1" t="str">
        <f>IF(OR($B610="",AF$7=""),"",IF($B610="MEANS",INDEX('1-DATA'!$1:$1048576,$A609-1,COLUMN('1-DATA'!AE608)),ROUND(INDEX('1-DATA'!$1:$1048576,IF(OR($B610="STD. DEVIATION",$C$1=1),$A610,$A610+1),COLUMN('1-DATA'!AE608)),IF($B610="STD. DEVIATION",2,$F$1))))</f>
        <v/>
      </c>
      <c r="AG610" s="1" t="str">
        <f>IF(OR($B610="",AG$7=""),"",IF($B610="MEANS",INDEX('1-DATA'!$1:$1048576,$A609-1,COLUMN('1-DATA'!AF608)),ROUND(INDEX('1-DATA'!$1:$1048576,IF(OR($B610="STD. DEVIATION",$C$1=1),$A610,$A610+1),COLUMN('1-DATA'!AF608)),IF($B610="STD. DEVIATION",2,$F$1))))</f>
        <v/>
      </c>
      <c r="AH610" s="1" t="str">
        <f>IF(OR($B610="",AH$7=""),"",IF($B610="MEANS",INDEX('1-DATA'!$1:$1048576,$A609-1,COLUMN('1-DATA'!AG608)),ROUND(INDEX('1-DATA'!$1:$1048576,IF(OR($B610="STD. DEVIATION",$C$1=1),$A610,$A610+1),COLUMN('1-DATA'!AG608)),IF($B610="STD. DEVIATION",2,$F$1))))</f>
        <v/>
      </c>
      <c r="AI610" s="1" t="str">
        <f>IF(OR($B610="",AI$7=""),"",IF($B610="MEANS",INDEX('1-DATA'!$1:$1048576,$A609-1,COLUMN('1-DATA'!AH608)),ROUND(INDEX('1-DATA'!$1:$1048576,IF(OR($B610="STD. DEVIATION",$C$1=1),$A610,$A610+1),COLUMN('1-DATA'!AH608)),IF($B610="STD. DEVIATION",2,$F$1))))</f>
        <v/>
      </c>
      <c r="AJ610" s="1" t="str">
        <f>IF(OR($B610="",AJ$7=""),"",IF($B610="MEANS",INDEX('1-DATA'!$1:$1048576,$A609-1,COLUMN('1-DATA'!AI608)),ROUND(INDEX('1-DATA'!$1:$1048576,IF(OR($B610="STD. DEVIATION",$C$1=1),$A610,$A610+1),COLUMN('1-DATA'!AI608)),IF($B610="STD. DEVIATION",2,$F$1))))</f>
        <v/>
      </c>
      <c r="AK610" s="1" t="str">
        <f>IF(OR($B610="",AK$7=""),"",IF($B610="MEANS",INDEX('1-DATA'!$1:$1048576,$A609-1,COLUMN('1-DATA'!AJ608)),ROUND(INDEX('1-DATA'!$1:$1048576,IF(OR($B610="STD. DEVIATION",$C$1=1),$A610,$A610+1),COLUMN('1-DATA'!AJ608)),IF($B610="STD. DEVIATION",2,$F$1))))</f>
        <v/>
      </c>
      <c r="AL610" s="1" t="str">
        <f>IF(OR($B610="",AL$7=""),"",IF($B610="MEANS",INDEX('1-DATA'!$1:$1048576,$A609-1,COLUMN('1-DATA'!AK608)),ROUND(INDEX('1-DATA'!$1:$1048576,IF(OR($B610="STD. DEVIATION",$C$1=1),$A610,$A610+1),COLUMN('1-DATA'!AK608)),IF($B610="STD. DEVIATION",2,$F$1))))</f>
        <v/>
      </c>
      <c r="AM610" s="1" t="str">
        <f>IF(OR($B610="",AM$7=""),"",IF($B610="MEANS",INDEX('1-DATA'!$1:$1048576,$A609-1,COLUMN('1-DATA'!AL608)),ROUND(INDEX('1-DATA'!$1:$1048576,IF(OR($B610="STD. DEVIATION",$C$1=1),$A610,$A610+1),COLUMN('1-DATA'!AL608)),IF($B610="STD. DEVIATION",2,$F$1))))</f>
        <v/>
      </c>
      <c r="AN610" s="1" t="str">
        <f>IF(OR($B610="",AN$7=""),"",IF($B610="MEANS",INDEX('1-DATA'!$1:$1048576,$A609-1,COLUMN('1-DATA'!AM608)),ROUND(INDEX('1-DATA'!$1:$1048576,IF(OR($B610="STD. DEVIATION",$C$1=1),$A610,$A610+1),COLUMN('1-DATA'!AM608)),IF($B610="STD. DEVIATION",2,$F$1))))</f>
        <v/>
      </c>
      <c r="AO610" s="1" t="str">
        <f>IF(OR($B610="",AO$7=""),"",IF($B610="MEANS",INDEX('1-DATA'!$1:$1048576,$A609-1,COLUMN('1-DATA'!AN608)),ROUND(INDEX('1-DATA'!$1:$1048576,IF(OR($B610="STD. DEVIATION",$C$1=1),$A610,$A610+1),COLUMN('1-DATA'!AN608)),IF($B610="STD. DEVIATION",2,$F$1))))</f>
        <v/>
      </c>
      <c r="AP610" s="1" t="str">
        <f>IF(OR($B610="",AP$7=""),"",IF($B610="MEANS",INDEX('1-DATA'!$1:$1048576,$A609-1,COLUMN('1-DATA'!AO608)),ROUND(INDEX('1-DATA'!$1:$1048576,IF(OR($B610="STD. DEVIATION",$C$1=1),$A610,$A610+1),COLUMN('1-DATA'!AO608)),IF($B610="STD. DEVIATION",2,$F$1))))</f>
        <v/>
      </c>
      <c r="AQ610" s="1" t="str">
        <f>IF(OR($B610="",AQ$7=""),"",IF($B610="MEANS",INDEX('1-DATA'!$1:$1048576,$A609-1,COLUMN('1-DATA'!AP608)),ROUND(INDEX('1-DATA'!$1:$1048576,IF(OR($B610="STD. DEVIATION",$C$1=1),$A610,$A610+1),COLUMN('1-DATA'!AP608)),IF($B610="STD. DEVIATION",2,$F$1))))</f>
        <v/>
      </c>
      <c r="AR610" s="1" t="str">
        <f>IF(OR($B610="",AR$7=""),"",IF($B610="MEANS",INDEX('1-DATA'!$1:$1048576,$A609-1,COLUMN('1-DATA'!AQ608)),ROUND(INDEX('1-DATA'!$1:$1048576,IF(OR($B610="STD. DEVIATION",$C$1=1),$A610,$A610+1),COLUMN('1-DATA'!AQ608)),IF($B610="STD. DEVIATION",2,$F$1))))</f>
        <v/>
      </c>
      <c r="AS610" s="1" t="str">
        <f>IF(OR($B610="",AS$7=""),"",IF($B610="MEANS",INDEX('1-DATA'!$1:$1048576,$A609-1,COLUMN('1-DATA'!AR608)),ROUND(INDEX('1-DATA'!$1:$1048576,IF(OR($B610="STD. DEVIATION",$C$1=1),$A610,$A610+1),COLUMN('1-DATA'!AR608)),IF($B610="STD. DEVIATION",2,$F$1))))</f>
        <v/>
      </c>
      <c r="AT610" s="1" t="str">
        <f>IF(OR($B610="",AT$7=""),"",IF($B610="MEANS",INDEX('1-DATA'!$1:$1048576,$A609-1,COLUMN('1-DATA'!AS608)),ROUND(INDEX('1-DATA'!$1:$1048576,IF(OR($B610="STD. DEVIATION",$C$1=1),$A610,$A610+1),COLUMN('1-DATA'!AS608)),IF($B610="STD. DEVIATION",2,$F$1))))</f>
        <v/>
      </c>
      <c r="AU610" s="1" t="str">
        <f>IF(OR($B610="",AU$7=""),"",IF($B610="MEANS",INDEX('1-DATA'!$1:$1048576,$A609-1,COLUMN('1-DATA'!AT608)),ROUND(INDEX('1-DATA'!$1:$1048576,IF(OR($B610="STD. DEVIATION",$C$1=1),$A610,$A610+1),COLUMN('1-DATA'!AT608)),IF($B610="STD. DEVIATION",2,$F$1))))</f>
        <v/>
      </c>
      <c r="AV610" s="1" t="str">
        <f>IF(OR($B610="",AV$7=""),"",IF($B610="MEANS",INDEX('1-DATA'!$1:$1048576,$A609-1,COLUMN('1-DATA'!AU608)),ROUND(INDEX('1-DATA'!$1:$1048576,IF(OR($B610="STD. DEVIATION",$C$1=1),$A610,$A610+1),COLUMN('1-DATA'!AU608)),IF($B610="STD. DEVIATION",2,$F$1))))</f>
        <v/>
      </c>
      <c r="AW610" s="1" t="str">
        <f>IF(OR($B610="",AW$7=""),"",IF($B610="MEANS",INDEX('1-DATA'!$1:$1048576,$A609-1,COLUMN('1-DATA'!AV608)),ROUND(INDEX('1-DATA'!$1:$1048576,IF(OR($B610="STD. DEVIATION",$C$1=1),$A610,$A610+1),COLUMN('1-DATA'!AV608)),IF($B610="STD. DEVIATION",2,$F$1))))</f>
        <v/>
      </c>
      <c r="AX610" s="1" t="str">
        <f>IF(OR($B610="",AX$7=""),"",IF($B610="MEANS",INDEX('1-DATA'!$1:$1048576,$A609-1,COLUMN('1-DATA'!AW608)),ROUND(INDEX('1-DATA'!$1:$1048576,IF(OR($B610="STD. DEVIATION",$C$1=1),$A610,$A610+1),COLUMN('1-DATA'!AW608)),IF($B610="STD. DEVIATION",2,$F$1))))</f>
        <v/>
      </c>
      <c r="AY610" s="1" t="str">
        <f>IF(OR($B610="",AY$7=""),"",IF($B610="MEANS",INDEX('1-DATA'!$1:$1048576,$A609-1,COLUMN('1-DATA'!AX608)),ROUND(INDEX('1-DATA'!$1:$1048576,IF(OR($B610="STD. DEVIATION",$C$1=1),$A610,$A610+1),COLUMN('1-DATA'!AX608)),IF($B610="STD. DEVIATION",2,$F$1))))</f>
        <v/>
      </c>
      <c r="AZ610" s="1" t="str">
        <f>IF(OR($B610="",AZ$7=""),"",IF($B610="MEANS",INDEX('1-DATA'!$1:$1048576,$A609-1,COLUMN('1-DATA'!AY608)),ROUND(INDEX('1-DATA'!$1:$1048576,IF(OR($B610="STD. DEVIATION",$C$1=1),$A610,$A610+1),COLUMN('1-DATA'!AY608)),IF($B610="STD. DEVIATION",2,$F$1))))</f>
        <v/>
      </c>
    </row>
    <row r="611" spans="1:52" x14ac:dyDescent="0.25">
      <c r="A611" s="11">
        <f t="shared" si="10"/>
        <v>1819</v>
      </c>
      <c r="B611" s="1" t="str">
        <f>IF(B610="STD. DEVIATION",INDEX('1-DATA'!$1:$1048576,$A610-1,1),IF(INDEX('1-DATA'!$1:$1048576,$A611,1)&lt;&gt;"",INDEX('1-DATA'!$1:$1048576,$A611,1),""))</f>
        <v/>
      </c>
      <c r="C611" s="1" t="str">
        <f>IF(OR($B611="",C$7=""),"",IF($B611="MEANS",INDEX('1-DATA'!$1:$1048576,$A610-1,COLUMN('1-DATA'!B609)),ROUND(INDEX('1-DATA'!$1:$1048576,IF(OR($B611="STD. DEVIATION",$C$1=1),$A611,$A611+1),COLUMN('1-DATA'!B609)),IF($B611="STD. DEVIATION",2,$F$1))))</f>
        <v/>
      </c>
      <c r="D611" s="1" t="str">
        <f>IF(OR($B611="",D$7=""),"",IF($B611="MEANS",INDEX('1-DATA'!$1:$1048576,$A610-1,COLUMN('1-DATA'!C609)),ROUND(INDEX('1-DATA'!$1:$1048576,IF(OR($B611="STD. DEVIATION",$C$1=1),$A611,$A611+1),COLUMN('1-DATA'!C609)),IF($B611="STD. DEVIATION",2,$F$1))))</f>
        <v/>
      </c>
      <c r="E611" s="1" t="str">
        <f>IF(OR($B611="",E$7=""),"",IF($B611="MEANS",INDEX('1-DATA'!$1:$1048576,$A610-1,COLUMN('1-DATA'!D609)),ROUND(INDEX('1-DATA'!$1:$1048576,IF(OR($B611="STD. DEVIATION",$C$1=1),$A611,$A611+1),COLUMN('1-DATA'!D609)),IF($B611="STD. DEVIATION",2,$F$1))))</f>
        <v/>
      </c>
      <c r="F611" s="1" t="str">
        <f>IF(OR($B611="",F$7=""),"",IF($B611="MEANS",INDEX('1-DATA'!$1:$1048576,$A610-1,COLUMN('1-DATA'!E609)),ROUND(INDEX('1-DATA'!$1:$1048576,IF(OR($B611="STD. DEVIATION",$C$1=1),$A611,$A611+1),COLUMN('1-DATA'!E609)),IF($B611="STD. DEVIATION",2,$F$1))))</f>
        <v/>
      </c>
      <c r="G611" s="1" t="str">
        <f>IF(OR($B611="",G$7=""),"",IF($B611="MEANS",INDEX('1-DATA'!$1:$1048576,$A610-1,COLUMN('1-DATA'!F609)),ROUND(INDEX('1-DATA'!$1:$1048576,IF(OR($B611="STD. DEVIATION",$C$1=1),$A611,$A611+1),COLUMN('1-DATA'!F609)),IF($B611="STD. DEVIATION",2,$F$1))))</f>
        <v/>
      </c>
      <c r="H611" s="1" t="str">
        <f>IF(OR($B611="",H$7=""),"",IF($B611="MEANS",INDEX('1-DATA'!$1:$1048576,$A610-1,COLUMN('1-DATA'!G609)),ROUND(INDEX('1-DATA'!$1:$1048576,IF(OR($B611="STD. DEVIATION",$C$1=1),$A611,$A611+1),COLUMN('1-DATA'!G609)),IF($B611="STD. DEVIATION",2,$F$1))))</f>
        <v/>
      </c>
      <c r="I611" s="1" t="str">
        <f>IF(OR($B611="",I$7=""),"",IF($B611="MEANS",INDEX('1-DATA'!$1:$1048576,$A610-1,COLUMN('1-DATA'!H609)),ROUND(INDEX('1-DATA'!$1:$1048576,IF(OR($B611="STD. DEVIATION",$C$1=1),$A611,$A611+1),COLUMN('1-DATA'!H609)),IF($B611="STD. DEVIATION",2,$F$1))))</f>
        <v/>
      </c>
      <c r="J611" s="1" t="str">
        <f>IF(OR($B611="",J$7=""),"",IF($B611="MEANS",INDEX('1-DATA'!$1:$1048576,$A610-1,COLUMN('1-DATA'!I609)),ROUND(INDEX('1-DATA'!$1:$1048576,IF(OR($B611="STD. DEVIATION",$C$1=1),$A611,$A611+1),COLUMN('1-DATA'!I609)),IF($B611="STD. DEVIATION",2,$F$1))))</f>
        <v/>
      </c>
      <c r="K611" s="1" t="str">
        <f>IF(OR($B611="",K$7=""),"",IF($B611="MEANS",INDEX('1-DATA'!$1:$1048576,$A610-1,COLUMN('1-DATA'!J609)),ROUND(INDEX('1-DATA'!$1:$1048576,IF(OR($B611="STD. DEVIATION",$C$1=1),$A611,$A611+1),COLUMN('1-DATA'!J609)),IF($B611="STD. DEVIATION",2,$F$1))))</f>
        <v/>
      </c>
      <c r="L611" s="1" t="str">
        <f>IF(OR($B611="",L$7=""),"",IF($B611="MEANS",INDEX('1-DATA'!$1:$1048576,$A610-1,COLUMN('1-DATA'!K609)),ROUND(INDEX('1-DATA'!$1:$1048576,IF(OR($B611="STD. DEVIATION",$C$1=1),$A611,$A611+1),COLUMN('1-DATA'!K609)),IF($B611="STD. DEVIATION",2,$F$1))))</f>
        <v/>
      </c>
      <c r="M611" s="1" t="str">
        <f>IF(OR($B611="",M$7=""),"",IF($B611="MEANS",INDEX('1-DATA'!$1:$1048576,$A610-1,COLUMN('1-DATA'!L609)),ROUND(INDEX('1-DATA'!$1:$1048576,IF(OR($B611="STD. DEVIATION",$C$1=1),$A611,$A611+1),COLUMN('1-DATA'!L609)),IF($B611="STD. DEVIATION",2,$F$1))))</f>
        <v/>
      </c>
      <c r="N611" s="1" t="str">
        <f>IF(OR($B611="",N$7=""),"",IF($B611="MEANS",INDEX('1-DATA'!$1:$1048576,$A610-1,COLUMN('1-DATA'!M609)),ROUND(INDEX('1-DATA'!$1:$1048576,IF(OR($B611="STD. DEVIATION",$C$1=1),$A611,$A611+1),COLUMN('1-DATA'!M609)),IF($B611="STD. DEVIATION",2,$F$1))))</f>
        <v/>
      </c>
      <c r="O611" s="1" t="str">
        <f>IF(OR($B611="",O$7=""),"",IF($B611="MEANS",INDEX('1-DATA'!$1:$1048576,$A610-1,COLUMN('1-DATA'!N609)),ROUND(INDEX('1-DATA'!$1:$1048576,IF(OR($B611="STD. DEVIATION",$C$1=1),$A611,$A611+1),COLUMN('1-DATA'!N609)),IF($B611="STD. DEVIATION",2,$F$1))))</f>
        <v/>
      </c>
      <c r="P611" s="1" t="str">
        <f>IF(OR($B611="",P$7=""),"",IF($B611="MEANS",INDEX('1-DATA'!$1:$1048576,$A610-1,COLUMN('1-DATA'!O609)),ROUND(INDEX('1-DATA'!$1:$1048576,IF(OR($B611="STD. DEVIATION",$C$1=1),$A611,$A611+1),COLUMN('1-DATA'!O609)),IF($B611="STD. DEVIATION",2,$F$1))))</f>
        <v/>
      </c>
      <c r="Q611" s="1" t="str">
        <f>IF(OR($B611="",Q$7=""),"",IF($B611="MEANS",INDEX('1-DATA'!$1:$1048576,$A610-1,COLUMN('1-DATA'!P609)),ROUND(INDEX('1-DATA'!$1:$1048576,IF(OR($B611="STD. DEVIATION",$C$1=1),$A611,$A611+1),COLUMN('1-DATA'!P609)),IF($B611="STD. DEVIATION",2,$F$1))))</f>
        <v/>
      </c>
      <c r="R611" s="1" t="str">
        <f>IF(OR($B611="",R$7=""),"",IF($B611="MEANS",INDEX('1-DATA'!$1:$1048576,$A610-1,COLUMN('1-DATA'!Q609)),ROUND(INDEX('1-DATA'!$1:$1048576,IF(OR($B611="STD. DEVIATION",$C$1=1),$A611,$A611+1),COLUMN('1-DATA'!Q609)),IF($B611="STD. DEVIATION",2,$F$1))))</f>
        <v/>
      </c>
      <c r="S611" s="1" t="str">
        <f>IF(OR($B611="",S$7=""),"",IF($B611="MEANS",INDEX('1-DATA'!$1:$1048576,$A610-1,COLUMN('1-DATA'!R609)),ROUND(INDEX('1-DATA'!$1:$1048576,IF(OR($B611="STD. DEVIATION",$C$1=1),$A611,$A611+1),COLUMN('1-DATA'!R609)),IF($B611="STD. DEVIATION",2,$F$1))))</f>
        <v/>
      </c>
      <c r="T611" s="1" t="str">
        <f>IF(OR($B611="",T$7=""),"",IF($B611="MEANS",INDEX('1-DATA'!$1:$1048576,$A610-1,COLUMN('1-DATA'!S609)),ROUND(INDEX('1-DATA'!$1:$1048576,IF(OR($B611="STD. DEVIATION",$C$1=1),$A611,$A611+1),COLUMN('1-DATA'!S609)),IF($B611="STD. DEVIATION",2,$F$1))))</f>
        <v/>
      </c>
      <c r="U611" s="1" t="str">
        <f>IF(OR($B611="",U$7=""),"",IF($B611="MEANS",INDEX('1-DATA'!$1:$1048576,$A610-1,COLUMN('1-DATA'!T609)),ROUND(INDEX('1-DATA'!$1:$1048576,IF(OR($B611="STD. DEVIATION",$C$1=1),$A611,$A611+1),COLUMN('1-DATA'!T609)),IF($B611="STD. DEVIATION",2,$F$1))))</f>
        <v/>
      </c>
      <c r="V611" s="1" t="str">
        <f>IF(OR($B611="",V$7=""),"",IF($B611="MEANS",INDEX('1-DATA'!$1:$1048576,$A610-1,COLUMN('1-DATA'!U609)),ROUND(INDEX('1-DATA'!$1:$1048576,IF(OR($B611="STD. DEVIATION",$C$1=1),$A611,$A611+1),COLUMN('1-DATA'!U609)),IF($B611="STD. DEVIATION",2,$F$1))))</f>
        <v/>
      </c>
      <c r="W611" s="1" t="str">
        <f>IF(OR($B611="",W$7=""),"",IF($B611="MEANS",INDEX('1-DATA'!$1:$1048576,$A610-1,COLUMN('1-DATA'!V609)),ROUND(INDEX('1-DATA'!$1:$1048576,IF(OR($B611="STD. DEVIATION",$C$1=1),$A611,$A611+1),COLUMN('1-DATA'!V609)),IF($B611="STD. DEVIATION",2,$F$1))))</f>
        <v/>
      </c>
      <c r="X611" s="1" t="str">
        <f>IF(OR($B611="",X$7=""),"",IF($B611="MEANS",INDEX('1-DATA'!$1:$1048576,$A610-1,COLUMN('1-DATA'!W609)),ROUND(INDEX('1-DATA'!$1:$1048576,IF(OR($B611="STD. DEVIATION",$C$1=1),$A611,$A611+1),COLUMN('1-DATA'!W609)),IF($B611="STD. DEVIATION",2,$F$1))))</f>
        <v/>
      </c>
      <c r="Y611" s="1" t="str">
        <f>IF(OR($B611="",Y$7=""),"",IF($B611="MEANS",INDEX('1-DATA'!$1:$1048576,$A610-1,COLUMN('1-DATA'!X609)),ROUND(INDEX('1-DATA'!$1:$1048576,IF(OR($B611="STD. DEVIATION",$C$1=1),$A611,$A611+1),COLUMN('1-DATA'!X609)),IF($B611="STD. DEVIATION",2,$F$1))))</f>
        <v/>
      </c>
      <c r="Z611" s="1" t="str">
        <f>IF(OR($B611="",Z$7=""),"",IF($B611="MEANS",INDEX('1-DATA'!$1:$1048576,$A610-1,COLUMN('1-DATA'!Y609)),ROUND(INDEX('1-DATA'!$1:$1048576,IF(OR($B611="STD. DEVIATION",$C$1=1),$A611,$A611+1),COLUMN('1-DATA'!Y609)),IF($B611="STD. DEVIATION",2,$F$1))))</f>
        <v/>
      </c>
      <c r="AA611" s="1" t="str">
        <f>IF(OR($B611="",AA$7=""),"",IF($B611="MEANS",INDEX('1-DATA'!$1:$1048576,$A610-1,COLUMN('1-DATA'!Z609)),ROUND(INDEX('1-DATA'!$1:$1048576,IF(OR($B611="STD. DEVIATION",$C$1=1),$A611,$A611+1),COLUMN('1-DATA'!Z609)),IF($B611="STD. DEVIATION",2,$F$1))))</f>
        <v/>
      </c>
      <c r="AB611" s="1" t="str">
        <f>IF(OR($B611="",AB$7=""),"",IF($B611="MEANS",INDEX('1-DATA'!$1:$1048576,$A610-1,COLUMN('1-DATA'!AA609)),ROUND(INDEX('1-DATA'!$1:$1048576,IF(OR($B611="STD. DEVIATION",$C$1=1),$A611,$A611+1),COLUMN('1-DATA'!AA609)),IF($B611="STD. DEVIATION",2,$F$1))))</f>
        <v/>
      </c>
      <c r="AC611" s="1" t="str">
        <f>IF(OR($B611="",AC$7=""),"",IF($B611="MEANS",INDEX('1-DATA'!$1:$1048576,$A610-1,COLUMN('1-DATA'!AB609)),ROUND(INDEX('1-DATA'!$1:$1048576,IF(OR($B611="STD. DEVIATION",$C$1=1),$A611,$A611+1),COLUMN('1-DATA'!AB609)),IF($B611="STD. DEVIATION",2,$F$1))))</f>
        <v/>
      </c>
      <c r="AD611" s="1" t="str">
        <f>IF(OR($B611="",AD$7=""),"",IF($B611="MEANS",INDEX('1-DATA'!$1:$1048576,$A610-1,COLUMN('1-DATA'!AC609)),ROUND(INDEX('1-DATA'!$1:$1048576,IF(OR($B611="STD. DEVIATION",$C$1=1),$A611,$A611+1),COLUMN('1-DATA'!AC609)),IF($B611="STD. DEVIATION",2,$F$1))))</f>
        <v/>
      </c>
      <c r="AE611" s="1" t="str">
        <f>IF(OR($B611="",AE$7=""),"",IF($B611="MEANS",INDEX('1-DATA'!$1:$1048576,$A610-1,COLUMN('1-DATA'!AD609)),ROUND(INDEX('1-DATA'!$1:$1048576,IF(OR($B611="STD. DEVIATION",$C$1=1),$A611,$A611+1),COLUMN('1-DATA'!AD609)),IF($B611="STD. DEVIATION",2,$F$1))))</f>
        <v/>
      </c>
      <c r="AF611" s="1" t="str">
        <f>IF(OR($B611="",AF$7=""),"",IF($B611="MEANS",INDEX('1-DATA'!$1:$1048576,$A610-1,COLUMN('1-DATA'!AE609)),ROUND(INDEX('1-DATA'!$1:$1048576,IF(OR($B611="STD. DEVIATION",$C$1=1),$A611,$A611+1),COLUMN('1-DATA'!AE609)),IF($B611="STD. DEVIATION",2,$F$1))))</f>
        <v/>
      </c>
      <c r="AG611" s="1" t="str">
        <f>IF(OR($B611="",AG$7=""),"",IF($B611="MEANS",INDEX('1-DATA'!$1:$1048576,$A610-1,COLUMN('1-DATA'!AF609)),ROUND(INDEX('1-DATA'!$1:$1048576,IF(OR($B611="STD. DEVIATION",$C$1=1),$A611,$A611+1),COLUMN('1-DATA'!AF609)),IF($B611="STD. DEVIATION",2,$F$1))))</f>
        <v/>
      </c>
      <c r="AH611" s="1" t="str">
        <f>IF(OR($B611="",AH$7=""),"",IF($B611="MEANS",INDEX('1-DATA'!$1:$1048576,$A610-1,COLUMN('1-DATA'!AG609)),ROUND(INDEX('1-DATA'!$1:$1048576,IF(OR($B611="STD. DEVIATION",$C$1=1),$A611,$A611+1),COLUMN('1-DATA'!AG609)),IF($B611="STD. DEVIATION",2,$F$1))))</f>
        <v/>
      </c>
      <c r="AI611" s="1" t="str">
        <f>IF(OR($B611="",AI$7=""),"",IF($B611="MEANS",INDEX('1-DATA'!$1:$1048576,$A610-1,COLUMN('1-DATA'!AH609)),ROUND(INDEX('1-DATA'!$1:$1048576,IF(OR($B611="STD. DEVIATION",$C$1=1),$A611,$A611+1),COLUMN('1-DATA'!AH609)),IF($B611="STD. DEVIATION",2,$F$1))))</f>
        <v/>
      </c>
      <c r="AJ611" s="1" t="str">
        <f>IF(OR($B611="",AJ$7=""),"",IF($B611="MEANS",INDEX('1-DATA'!$1:$1048576,$A610-1,COLUMN('1-DATA'!AI609)),ROUND(INDEX('1-DATA'!$1:$1048576,IF(OR($B611="STD. DEVIATION",$C$1=1),$A611,$A611+1),COLUMN('1-DATA'!AI609)),IF($B611="STD. DEVIATION",2,$F$1))))</f>
        <v/>
      </c>
      <c r="AK611" s="1" t="str">
        <f>IF(OR($B611="",AK$7=""),"",IF($B611="MEANS",INDEX('1-DATA'!$1:$1048576,$A610-1,COLUMN('1-DATA'!AJ609)),ROUND(INDEX('1-DATA'!$1:$1048576,IF(OR($B611="STD. DEVIATION",$C$1=1),$A611,$A611+1),COLUMN('1-DATA'!AJ609)),IF($B611="STD. DEVIATION",2,$F$1))))</f>
        <v/>
      </c>
      <c r="AL611" s="1" t="str">
        <f>IF(OR($B611="",AL$7=""),"",IF($B611="MEANS",INDEX('1-DATA'!$1:$1048576,$A610-1,COLUMN('1-DATA'!AK609)),ROUND(INDEX('1-DATA'!$1:$1048576,IF(OR($B611="STD. DEVIATION",$C$1=1),$A611,$A611+1),COLUMN('1-DATA'!AK609)),IF($B611="STD. DEVIATION",2,$F$1))))</f>
        <v/>
      </c>
      <c r="AM611" s="1" t="str">
        <f>IF(OR($B611="",AM$7=""),"",IF($B611="MEANS",INDEX('1-DATA'!$1:$1048576,$A610-1,COLUMN('1-DATA'!AL609)),ROUND(INDEX('1-DATA'!$1:$1048576,IF(OR($B611="STD. DEVIATION",$C$1=1),$A611,$A611+1),COLUMN('1-DATA'!AL609)),IF($B611="STD. DEVIATION",2,$F$1))))</f>
        <v/>
      </c>
      <c r="AN611" s="1" t="str">
        <f>IF(OR($B611="",AN$7=""),"",IF($B611="MEANS",INDEX('1-DATA'!$1:$1048576,$A610-1,COLUMN('1-DATA'!AM609)),ROUND(INDEX('1-DATA'!$1:$1048576,IF(OR($B611="STD. DEVIATION",$C$1=1),$A611,$A611+1),COLUMN('1-DATA'!AM609)),IF($B611="STD. DEVIATION",2,$F$1))))</f>
        <v/>
      </c>
      <c r="AO611" s="1" t="str">
        <f>IF(OR($B611="",AO$7=""),"",IF($B611="MEANS",INDEX('1-DATA'!$1:$1048576,$A610-1,COLUMN('1-DATA'!AN609)),ROUND(INDEX('1-DATA'!$1:$1048576,IF(OR($B611="STD. DEVIATION",$C$1=1),$A611,$A611+1),COLUMN('1-DATA'!AN609)),IF($B611="STD. DEVIATION",2,$F$1))))</f>
        <v/>
      </c>
      <c r="AP611" s="1" t="str">
        <f>IF(OR($B611="",AP$7=""),"",IF($B611="MEANS",INDEX('1-DATA'!$1:$1048576,$A610-1,COLUMN('1-DATA'!AO609)),ROUND(INDEX('1-DATA'!$1:$1048576,IF(OR($B611="STD. DEVIATION",$C$1=1),$A611,$A611+1),COLUMN('1-DATA'!AO609)),IF($B611="STD. DEVIATION",2,$F$1))))</f>
        <v/>
      </c>
      <c r="AQ611" s="1" t="str">
        <f>IF(OR($B611="",AQ$7=""),"",IF($B611="MEANS",INDEX('1-DATA'!$1:$1048576,$A610-1,COLUMN('1-DATA'!AP609)),ROUND(INDEX('1-DATA'!$1:$1048576,IF(OR($B611="STD. DEVIATION",$C$1=1),$A611,$A611+1),COLUMN('1-DATA'!AP609)),IF($B611="STD. DEVIATION",2,$F$1))))</f>
        <v/>
      </c>
      <c r="AR611" s="1" t="str">
        <f>IF(OR($B611="",AR$7=""),"",IF($B611="MEANS",INDEX('1-DATA'!$1:$1048576,$A610-1,COLUMN('1-DATA'!AQ609)),ROUND(INDEX('1-DATA'!$1:$1048576,IF(OR($B611="STD. DEVIATION",$C$1=1),$A611,$A611+1),COLUMN('1-DATA'!AQ609)),IF($B611="STD. DEVIATION",2,$F$1))))</f>
        <v/>
      </c>
      <c r="AS611" s="1" t="str">
        <f>IF(OR($B611="",AS$7=""),"",IF($B611="MEANS",INDEX('1-DATA'!$1:$1048576,$A610-1,COLUMN('1-DATA'!AR609)),ROUND(INDEX('1-DATA'!$1:$1048576,IF(OR($B611="STD. DEVIATION",$C$1=1),$A611,$A611+1),COLUMN('1-DATA'!AR609)),IF($B611="STD. DEVIATION",2,$F$1))))</f>
        <v/>
      </c>
      <c r="AT611" s="1" t="str">
        <f>IF(OR($B611="",AT$7=""),"",IF($B611="MEANS",INDEX('1-DATA'!$1:$1048576,$A610-1,COLUMN('1-DATA'!AS609)),ROUND(INDEX('1-DATA'!$1:$1048576,IF(OR($B611="STD. DEVIATION",$C$1=1),$A611,$A611+1),COLUMN('1-DATA'!AS609)),IF($B611="STD. DEVIATION",2,$F$1))))</f>
        <v/>
      </c>
      <c r="AU611" s="1" t="str">
        <f>IF(OR($B611="",AU$7=""),"",IF($B611="MEANS",INDEX('1-DATA'!$1:$1048576,$A610-1,COLUMN('1-DATA'!AT609)),ROUND(INDEX('1-DATA'!$1:$1048576,IF(OR($B611="STD. DEVIATION",$C$1=1),$A611,$A611+1),COLUMN('1-DATA'!AT609)),IF($B611="STD. DEVIATION",2,$F$1))))</f>
        <v/>
      </c>
      <c r="AV611" s="1" t="str">
        <f>IF(OR($B611="",AV$7=""),"",IF($B611="MEANS",INDEX('1-DATA'!$1:$1048576,$A610-1,COLUMN('1-DATA'!AU609)),ROUND(INDEX('1-DATA'!$1:$1048576,IF(OR($B611="STD. DEVIATION",$C$1=1),$A611,$A611+1),COLUMN('1-DATA'!AU609)),IF($B611="STD. DEVIATION",2,$F$1))))</f>
        <v/>
      </c>
      <c r="AW611" s="1" t="str">
        <f>IF(OR($B611="",AW$7=""),"",IF($B611="MEANS",INDEX('1-DATA'!$1:$1048576,$A610-1,COLUMN('1-DATA'!AV609)),ROUND(INDEX('1-DATA'!$1:$1048576,IF(OR($B611="STD. DEVIATION",$C$1=1),$A611,$A611+1),COLUMN('1-DATA'!AV609)),IF($B611="STD. DEVIATION",2,$F$1))))</f>
        <v/>
      </c>
      <c r="AX611" s="1" t="str">
        <f>IF(OR($B611="",AX$7=""),"",IF($B611="MEANS",INDEX('1-DATA'!$1:$1048576,$A610-1,COLUMN('1-DATA'!AW609)),ROUND(INDEX('1-DATA'!$1:$1048576,IF(OR($B611="STD. DEVIATION",$C$1=1),$A611,$A611+1),COLUMN('1-DATA'!AW609)),IF($B611="STD. DEVIATION",2,$F$1))))</f>
        <v/>
      </c>
      <c r="AY611" s="1" t="str">
        <f>IF(OR($B611="",AY$7=""),"",IF($B611="MEANS",INDEX('1-DATA'!$1:$1048576,$A610-1,COLUMN('1-DATA'!AX609)),ROUND(INDEX('1-DATA'!$1:$1048576,IF(OR($B611="STD. DEVIATION",$C$1=1),$A611,$A611+1),COLUMN('1-DATA'!AX609)),IF($B611="STD. DEVIATION",2,$F$1))))</f>
        <v/>
      </c>
      <c r="AZ611" s="1" t="str">
        <f>IF(OR($B611="",AZ$7=""),"",IF($B611="MEANS",INDEX('1-DATA'!$1:$1048576,$A610-1,COLUMN('1-DATA'!AY609)),ROUND(INDEX('1-DATA'!$1:$1048576,IF(OR($B611="STD. DEVIATION",$C$1=1),$A611,$A611+1),COLUMN('1-DATA'!AY609)),IF($B611="STD. DEVIATION",2,$F$1))))</f>
        <v/>
      </c>
    </row>
    <row r="612" spans="1:52" x14ac:dyDescent="0.25">
      <c r="A612" s="11">
        <f t="shared" si="10"/>
        <v>1822</v>
      </c>
      <c r="B612" s="1" t="str">
        <f>IF(B611="STD. DEVIATION",INDEX('1-DATA'!$1:$1048576,$A611-1,1),IF(INDEX('1-DATA'!$1:$1048576,$A612,1)&lt;&gt;"",INDEX('1-DATA'!$1:$1048576,$A612,1),""))</f>
        <v/>
      </c>
      <c r="C612" s="1" t="str">
        <f>IF(OR($B612="",C$7=""),"",IF($B612="MEANS",INDEX('1-DATA'!$1:$1048576,$A611-1,COLUMN('1-DATA'!B610)),ROUND(INDEX('1-DATA'!$1:$1048576,IF(OR($B612="STD. DEVIATION",$C$1=1),$A612,$A612+1),COLUMN('1-DATA'!B610)),IF($B612="STD. DEVIATION",2,$F$1))))</f>
        <v/>
      </c>
      <c r="D612" s="1" t="str">
        <f>IF(OR($B612="",D$7=""),"",IF($B612="MEANS",INDEX('1-DATA'!$1:$1048576,$A611-1,COLUMN('1-DATA'!C610)),ROUND(INDEX('1-DATA'!$1:$1048576,IF(OR($B612="STD. DEVIATION",$C$1=1),$A612,$A612+1),COLUMN('1-DATA'!C610)),IF($B612="STD. DEVIATION",2,$F$1))))</f>
        <v/>
      </c>
      <c r="E612" s="1" t="str">
        <f>IF(OR($B612="",E$7=""),"",IF($B612="MEANS",INDEX('1-DATA'!$1:$1048576,$A611-1,COLUMN('1-DATA'!D610)),ROUND(INDEX('1-DATA'!$1:$1048576,IF(OR($B612="STD. DEVIATION",$C$1=1),$A612,$A612+1),COLUMN('1-DATA'!D610)),IF($B612="STD. DEVIATION",2,$F$1))))</f>
        <v/>
      </c>
      <c r="F612" s="1" t="str">
        <f>IF(OR($B612="",F$7=""),"",IF($B612="MEANS",INDEX('1-DATA'!$1:$1048576,$A611-1,COLUMN('1-DATA'!E610)),ROUND(INDEX('1-DATA'!$1:$1048576,IF(OR($B612="STD. DEVIATION",$C$1=1),$A612,$A612+1),COLUMN('1-DATA'!E610)),IF($B612="STD. DEVIATION",2,$F$1))))</f>
        <v/>
      </c>
      <c r="G612" s="1" t="str">
        <f>IF(OR($B612="",G$7=""),"",IF($B612="MEANS",INDEX('1-DATA'!$1:$1048576,$A611-1,COLUMN('1-DATA'!F610)),ROUND(INDEX('1-DATA'!$1:$1048576,IF(OR($B612="STD. DEVIATION",$C$1=1),$A612,$A612+1),COLUMN('1-DATA'!F610)),IF($B612="STD. DEVIATION",2,$F$1))))</f>
        <v/>
      </c>
      <c r="H612" s="1" t="str">
        <f>IF(OR($B612="",H$7=""),"",IF($B612="MEANS",INDEX('1-DATA'!$1:$1048576,$A611-1,COLUMN('1-DATA'!G610)),ROUND(INDEX('1-DATA'!$1:$1048576,IF(OR($B612="STD. DEVIATION",$C$1=1),$A612,$A612+1),COLUMN('1-DATA'!G610)),IF($B612="STD. DEVIATION",2,$F$1))))</f>
        <v/>
      </c>
      <c r="I612" s="1" t="str">
        <f>IF(OR($B612="",I$7=""),"",IF($B612="MEANS",INDEX('1-DATA'!$1:$1048576,$A611-1,COLUMN('1-DATA'!H610)),ROUND(INDEX('1-DATA'!$1:$1048576,IF(OR($B612="STD. DEVIATION",$C$1=1),$A612,$A612+1),COLUMN('1-DATA'!H610)),IF($B612="STD. DEVIATION",2,$F$1))))</f>
        <v/>
      </c>
      <c r="J612" s="1" t="str">
        <f>IF(OR($B612="",J$7=""),"",IF($B612="MEANS",INDEX('1-DATA'!$1:$1048576,$A611-1,COLUMN('1-DATA'!I610)),ROUND(INDEX('1-DATA'!$1:$1048576,IF(OR($B612="STD. DEVIATION",$C$1=1),$A612,$A612+1),COLUMN('1-DATA'!I610)),IF($B612="STD. DEVIATION",2,$F$1))))</f>
        <v/>
      </c>
      <c r="K612" s="1" t="str">
        <f>IF(OR($B612="",K$7=""),"",IF($B612="MEANS",INDEX('1-DATA'!$1:$1048576,$A611-1,COLUMN('1-DATA'!J610)),ROUND(INDEX('1-DATA'!$1:$1048576,IF(OR($B612="STD. DEVIATION",$C$1=1),$A612,$A612+1),COLUMN('1-DATA'!J610)),IF($B612="STD. DEVIATION",2,$F$1))))</f>
        <v/>
      </c>
      <c r="L612" s="1" t="str">
        <f>IF(OR($B612="",L$7=""),"",IF($B612="MEANS",INDEX('1-DATA'!$1:$1048576,$A611-1,COLUMN('1-DATA'!K610)),ROUND(INDEX('1-DATA'!$1:$1048576,IF(OR($B612="STD. DEVIATION",$C$1=1),$A612,$A612+1),COLUMN('1-DATA'!K610)),IF($B612="STD. DEVIATION",2,$F$1))))</f>
        <v/>
      </c>
      <c r="M612" s="1" t="str">
        <f>IF(OR($B612="",M$7=""),"",IF($B612="MEANS",INDEX('1-DATA'!$1:$1048576,$A611-1,COLUMN('1-DATA'!L610)),ROUND(INDEX('1-DATA'!$1:$1048576,IF(OR($B612="STD. DEVIATION",$C$1=1),$A612,$A612+1),COLUMN('1-DATA'!L610)),IF($B612="STD. DEVIATION",2,$F$1))))</f>
        <v/>
      </c>
      <c r="N612" s="1" t="str">
        <f>IF(OR($B612="",N$7=""),"",IF($B612="MEANS",INDEX('1-DATA'!$1:$1048576,$A611-1,COLUMN('1-DATA'!M610)),ROUND(INDEX('1-DATA'!$1:$1048576,IF(OR($B612="STD. DEVIATION",$C$1=1),$A612,$A612+1),COLUMN('1-DATA'!M610)),IF($B612="STD. DEVIATION",2,$F$1))))</f>
        <v/>
      </c>
      <c r="O612" s="1" t="str">
        <f>IF(OR($B612="",O$7=""),"",IF($B612="MEANS",INDEX('1-DATA'!$1:$1048576,$A611-1,COLUMN('1-DATA'!N610)),ROUND(INDEX('1-DATA'!$1:$1048576,IF(OR($B612="STD. DEVIATION",$C$1=1),$A612,$A612+1),COLUMN('1-DATA'!N610)),IF($B612="STD. DEVIATION",2,$F$1))))</f>
        <v/>
      </c>
      <c r="P612" s="1" t="str">
        <f>IF(OR($B612="",P$7=""),"",IF($B612="MEANS",INDEX('1-DATA'!$1:$1048576,$A611-1,COLUMN('1-DATA'!O610)),ROUND(INDEX('1-DATA'!$1:$1048576,IF(OR($B612="STD. DEVIATION",$C$1=1),$A612,$A612+1),COLUMN('1-DATA'!O610)),IF($B612="STD. DEVIATION",2,$F$1))))</f>
        <v/>
      </c>
      <c r="Q612" s="1" t="str">
        <f>IF(OR($B612="",Q$7=""),"",IF($B612="MEANS",INDEX('1-DATA'!$1:$1048576,$A611-1,COLUMN('1-DATA'!P610)),ROUND(INDEX('1-DATA'!$1:$1048576,IF(OR($B612="STD. DEVIATION",$C$1=1),$A612,$A612+1),COLUMN('1-DATA'!P610)),IF($B612="STD. DEVIATION",2,$F$1))))</f>
        <v/>
      </c>
      <c r="R612" s="1" t="str">
        <f>IF(OR($B612="",R$7=""),"",IF($B612="MEANS",INDEX('1-DATA'!$1:$1048576,$A611-1,COLUMN('1-DATA'!Q610)),ROUND(INDEX('1-DATA'!$1:$1048576,IF(OR($B612="STD. DEVIATION",$C$1=1),$A612,$A612+1),COLUMN('1-DATA'!Q610)),IF($B612="STD. DEVIATION",2,$F$1))))</f>
        <v/>
      </c>
      <c r="S612" s="1" t="str">
        <f>IF(OR($B612="",S$7=""),"",IF($B612="MEANS",INDEX('1-DATA'!$1:$1048576,$A611-1,COLUMN('1-DATA'!R610)),ROUND(INDEX('1-DATA'!$1:$1048576,IF(OR($B612="STD. DEVIATION",$C$1=1),$A612,$A612+1),COLUMN('1-DATA'!R610)),IF($B612="STD. DEVIATION",2,$F$1))))</f>
        <v/>
      </c>
      <c r="T612" s="1" t="str">
        <f>IF(OR($B612="",T$7=""),"",IF($B612="MEANS",INDEX('1-DATA'!$1:$1048576,$A611-1,COLUMN('1-DATA'!S610)),ROUND(INDEX('1-DATA'!$1:$1048576,IF(OR($B612="STD. DEVIATION",$C$1=1),$A612,$A612+1),COLUMN('1-DATA'!S610)),IF($B612="STD. DEVIATION",2,$F$1))))</f>
        <v/>
      </c>
      <c r="U612" s="1" t="str">
        <f>IF(OR($B612="",U$7=""),"",IF($B612="MEANS",INDEX('1-DATA'!$1:$1048576,$A611-1,COLUMN('1-DATA'!T610)),ROUND(INDEX('1-DATA'!$1:$1048576,IF(OR($B612="STD. DEVIATION",$C$1=1),$A612,$A612+1),COLUMN('1-DATA'!T610)),IF($B612="STD. DEVIATION",2,$F$1))))</f>
        <v/>
      </c>
      <c r="V612" s="1" t="str">
        <f>IF(OR($B612="",V$7=""),"",IF($B612="MEANS",INDEX('1-DATA'!$1:$1048576,$A611-1,COLUMN('1-DATA'!U610)),ROUND(INDEX('1-DATA'!$1:$1048576,IF(OR($B612="STD. DEVIATION",$C$1=1),$A612,$A612+1),COLUMN('1-DATA'!U610)),IF($B612="STD. DEVIATION",2,$F$1))))</f>
        <v/>
      </c>
      <c r="W612" s="1" t="str">
        <f>IF(OR($B612="",W$7=""),"",IF($B612="MEANS",INDEX('1-DATA'!$1:$1048576,$A611-1,COLUMN('1-DATA'!V610)),ROUND(INDEX('1-DATA'!$1:$1048576,IF(OR($B612="STD. DEVIATION",$C$1=1),$A612,$A612+1),COLUMN('1-DATA'!V610)),IF($B612="STD. DEVIATION",2,$F$1))))</f>
        <v/>
      </c>
      <c r="X612" s="1" t="str">
        <f>IF(OR($B612="",X$7=""),"",IF($B612="MEANS",INDEX('1-DATA'!$1:$1048576,$A611-1,COLUMN('1-DATA'!W610)),ROUND(INDEX('1-DATA'!$1:$1048576,IF(OR($B612="STD. DEVIATION",$C$1=1),$A612,$A612+1),COLUMN('1-DATA'!W610)),IF($B612="STD. DEVIATION",2,$F$1))))</f>
        <v/>
      </c>
      <c r="Y612" s="1" t="str">
        <f>IF(OR($B612="",Y$7=""),"",IF($B612="MEANS",INDEX('1-DATA'!$1:$1048576,$A611-1,COLUMN('1-DATA'!X610)),ROUND(INDEX('1-DATA'!$1:$1048576,IF(OR($B612="STD. DEVIATION",$C$1=1),$A612,$A612+1),COLUMN('1-DATA'!X610)),IF($B612="STD. DEVIATION",2,$F$1))))</f>
        <v/>
      </c>
      <c r="Z612" s="1" t="str">
        <f>IF(OR($B612="",Z$7=""),"",IF($B612="MEANS",INDEX('1-DATA'!$1:$1048576,$A611-1,COLUMN('1-DATA'!Y610)),ROUND(INDEX('1-DATA'!$1:$1048576,IF(OR($B612="STD. DEVIATION",$C$1=1),$A612,$A612+1),COLUMN('1-DATA'!Y610)),IF($B612="STD. DEVIATION",2,$F$1))))</f>
        <v/>
      </c>
      <c r="AA612" s="1" t="str">
        <f>IF(OR($B612="",AA$7=""),"",IF($B612="MEANS",INDEX('1-DATA'!$1:$1048576,$A611-1,COLUMN('1-DATA'!Z610)),ROUND(INDEX('1-DATA'!$1:$1048576,IF(OR($B612="STD. DEVIATION",$C$1=1),$A612,$A612+1),COLUMN('1-DATA'!Z610)),IF($B612="STD. DEVIATION",2,$F$1))))</f>
        <v/>
      </c>
      <c r="AB612" s="1" t="str">
        <f>IF(OR($B612="",AB$7=""),"",IF($B612="MEANS",INDEX('1-DATA'!$1:$1048576,$A611-1,COLUMN('1-DATA'!AA610)),ROUND(INDEX('1-DATA'!$1:$1048576,IF(OR($B612="STD. DEVIATION",$C$1=1),$A612,$A612+1),COLUMN('1-DATA'!AA610)),IF($B612="STD. DEVIATION",2,$F$1))))</f>
        <v/>
      </c>
      <c r="AC612" s="1" t="str">
        <f>IF(OR($B612="",AC$7=""),"",IF($B612="MEANS",INDEX('1-DATA'!$1:$1048576,$A611-1,COLUMN('1-DATA'!AB610)),ROUND(INDEX('1-DATA'!$1:$1048576,IF(OR($B612="STD. DEVIATION",$C$1=1),$A612,$A612+1),COLUMN('1-DATA'!AB610)),IF($B612="STD. DEVIATION",2,$F$1))))</f>
        <v/>
      </c>
      <c r="AD612" s="1" t="str">
        <f>IF(OR($B612="",AD$7=""),"",IF($B612="MEANS",INDEX('1-DATA'!$1:$1048576,$A611-1,COLUMN('1-DATA'!AC610)),ROUND(INDEX('1-DATA'!$1:$1048576,IF(OR($B612="STD. DEVIATION",$C$1=1),$A612,$A612+1),COLUMN('1-DATA'!AC610)),IF($B612="STD. DEVIATION",2,$F$1))))</f>
        <v/>
      </c>
      <c r="AE612" s="1" t="str">
        <f>IF(OR($B612="",AE$7=""),"",IF($B612="MEANS",INDEX('1-DATA'!$1:$1048576,$A611-1,COLUMN('1-DATA'!AD610)),ROUND(INDEX('1-DATA'!$1:$1048576,IF(OR($B612="STD. DEVIATION",$C$1=1),$A612,$A612+1),COLUMN('1-DATA'!AD610)),IF($B612="STD. DEVIATION",2,$F$1))))</f>
        <v/>
      </c>
      <c r="AF612" s="1" t="str">
        <f>IF(OR($B612="",AF$7=""),"",IF($B612="MEANS",INDEX('1-DATA'!$1:$1048576,$A611-1,COLUMN('1-DATA'!AE610)),ROUND(INDEX('1-DATA'!$1:$1048576,IF(OR($B612="STD. DEVIATION",$C$1=1),$A612,$A612+1),COLUMN('1-DATA'!AE610)),IF($B612="STD. DEVIATION",2,$F$1))))</f>
        <v/>
      </c>
      <c r="AG612" s="1" t="str">
        <f>IF(OR($B612="",AG$7=""),"",IF($B612="MEANS",INDEX('1-DATA'!$1:$1048576,$A611-1,COLUMN('1-DATA'!AF610)),ROUND(INDEX('1-DATA'!$1:$1048576,IF(OR($B612="STD. DEVIATION",$C$1=1),$A612,$A612+1),COLUMN('1-DATA'!AF610)),IF($B612="STD. DEVIATION",2,$F$1))))</f>
        <v/>
      </c>
      <c r="AH612" s="1" t="str">
        <f>IF(OR($B612="",AH$7=""),"",IF($B612="MEANS",INDEX('1-DATA'!$1:$1048576,$A611-1,COLUMN('1-DATA'!AG610)),ROUND(INDEX('1-DATA'!$1:$1048576,IF(OR($B612="STD. DEVIATION",$C$1=1),$A612,$A612+1),COLUMN('1-DATA'!AG610)),IF($B612="STD. DEVIATION",2,$F$1))))</f>
        <v/>
      </c>
      <c r="AI612" s="1" t="str">
        <f>IF(OR($B612="",AI$7=""),"",IF($B612="MEANS",INDEX('1-DATA'!$1:$1048576,$A611-1,COLUMN('1-DATA'!AH610)),ROUND(INDEX('1-DATA'!$1:$1048576,IF(OR($B612="STD. DEVIATION",$C$1=1),$A612,$A612+1),COLUMN('1-DATA'!AH610)),IF($B612="STD. DEVIATION",2,$F$1))))</f>
        <v/>
      </c>
      <c r="AJ612" s="1" t="str">
        <f>IF(OR($B612="",AJ$7=""),"",IF($B612="MEANS",INDEX('1-DATA'!$1:$1048576,$A611-1,COLUMN('1-DATA'!AI610)),ROUND(INDEX('1-DATA'!$1:$1048576,IF(OR($B612="STD. DEVIATION",$C$1=1),$A612,$A612+1),COLUMN('1-DATA'!AI610)),IF($B612="STD. DEVIATION",2,$F$1))))</f>
        <v/>
      </c>
      <c r="AK612" s="1" t="str">
        <f>IF(OR($B612="",AK$7=""),"",IF($B612="MEANS",INDEX('1-DATA'!$1:$1048576,$A611-1,COLUMN('1-DATA'!AJ610)),ROUND(INDEX('1-DATA'!$1:$1048576,IF(OR($B612="STD. DEVIATION",$C$1=1),$A612,$A612+1),COLUMN('1-DATA'!AJ610)),IF($B612="STD. DEVIATION",2,$F$1))))</f>
        <v/>
      </c>
      <c r="AL612" s="1" t="str">
        <f>IF(OR($B612="",AL$7=""),"",IF($B612="MEANS",INDEX('1-DATA'!$1:$1048576,$A611-1,COLUMN('1-DATA'!AK610)),ROUND(INDEX('1-DATA'!$1:$1048576,IF(OR($B612="STD. DEVIATION",$C$1=1),$A612,$A612+1),COLUMN('1-DATA'!AK610)),IF($B612="STD. DEVIATION",2,$F$1))))</f>
        <v/>
      </c>
      <c r="AM612" s="1" t="str">
        <f>IF(OR($B612="",AM$7=""),"",IF($B612="MEANS",INDEX('1-DATA'!$1:$1048576,$A611-1,COLUMN('1-DATA'!AL610)),ROUND(INDEX('1-DATA'!$1:$1048576,IF(OR($B612="STD. DEVIATION",$C$1=1),$A612,$A612+1),COLUMN('1-DATA'!AL610)),IF($B612="STD. DEVIATION",2,$F$1))))</f>
        <v/>
      </c>
      <c r="AN612" s="1" t="str">
        <f>IF(OR($B612="",AN$7=""),"",IF($B612="MEANS",INDEX('1-DATA'!$1:$1048576,$A611-1,COLUMN('1-DATA'!AM610)),ROUND(INDEX('1-DATA'!$1:$1048576,IF(OR($B612="STD. DEVIATION",$C$1=1),$A612,$A612+1),COLUMN('1-DATA'!AM610)),IF($B612="STD. DEVIATION",2,$F$1))))</f>
        <v/>
      </c>
      <c r="AO612" s="1" t="str">
        <f>IF(OR($B612="",AO$7=""),"",IF($B612="MEANS",INDEX('1-DATA'!$1:$1048576,$A611-1,COLUMN('1-DATA'!AN610)),ROUND(INDEX('1-DATA'!$1:$1048576,IF(OR($B612="STD. DEVIATION",$C$1=1),$A612,$A612+1),COLUMN('1-DATA'!AN610)),IF($B612="STD. DEVIATION",2,$F$1))))</f>
        <v/>
      </c>
      <c r="AP612" s="1" t="str">
        <f>IF(OR($B612="",AP$7=""),"",IF($B612="MEANS",INDEX('1-DATA'!$1:$1048576,$A611-1,COLUMN('1-DATA'!AO610)),ROUND(INDEX('1-DATA'!$1:$1048576,IF(OR($B612="STD. DEVIATION",$C$1=1),$A612,$A612+1),COLUMN('1-DATA'!AO610)),IF($B612="STD. DEVIATION",2,$F$1))))</f>
        <v/>
      </c>
      <c r="AQ612" s="1" t="str">
        <f>IF(OR($B612="",AQ$7=""),"",IF($B612="MEANS",INDEX('1-DATA'!$1:$1048576,$A611-1,COLUMN('1-DATA'!AP610)),ROUND(INDEX('1-DATA'!$1:$1048576,IF(OR($B612="STD. DEVIATION",$C$1=1),$A612,$A612+1),COLUMN('1-DATA'!AP610)),IF($B612="STD. DEVIATION",2,$F$1))))</f>
        <v/>
      </c>
      <c r="AR612" s="1" t="str">
        <f>IF(OR($B612="",AR$7=""),"",IF($B612="MEANS",INDEX('1-DATA'!$1:$1048576,$A611-1,COLUMN('1-DATA'!AQ610)),ROUND(INDEX('1-DATA'!$1:$1048576,IF(OR($B612="STD. DEVIATION",$C$1=1),$A612,$A612+1),COLUMN('1-DATA'!AQ610)),IF($B612="STD. DEVIATION",2,$F$1))))</f>
        <v/>
      </c>
      <c r="AS612" s="1" t="str">
        <f>IF(OR($B612="",AS$7=""),"",IF($B612="MEANS",INDEX('1-DATA'!$1:$1048576,$A611-1,COLUMN('1-DATA'!AR610)),ROUND(INDEX('1-DATA'!$1:$1048576,IF(OR($B612="STD. DEVIATION",$C$1=1),$A612,$A612+1),COLUMN('1-DATA'!AR610)),IF($B612="STD. DEVIATION",2,$F$1))))</f>
        <v/>
      </c>
      <c r="AT612" s="1" t="str">
        <f>IF(OR($B612="",AT$7=""),"",IF($B612="MEANS",INDEX('1-DATA'!$1:$1048576,$A611-1,COLUMN('1-DATA'!AS610)),ROUND(INDEX('1-DATA'!$1:$1048576,IF(OR($B612="STD. DEVIATION",$C$1=1),$A612,$A612+1),COLUMN('1-DATA'!AS610)),IF($B612="STD. DEVIATION",2,$F$1))))</f>
        <v/>
      </c>
      <c r="AU612" s="1" t="str">
        <f>IF(OR($B612="",AU$7=""),"",IF($B612="MEANS",INDEX('1-DATA'!$1:$1048576,$A611-1,COLUMN('1-DATA'!AT610)),ROUND(INDEX('1-DATA'!$1:$1048576,IF(OR($B612="STD. DEVIATION",$C$1=1),$A612,$A612+1),COLUMN('1-DATA'!AT610)),IF($B612="STD. DEVIATION",2,$F$1))))</f>
        <v/>
      </c>
      <c r="AV612" s="1" t="str">
        <f>IF(OR($B612="",AV$7=""),"",IF($B612="MEANS",INDEX('1-DATA'!$1:$1048576,$A611-1,COLUMN('1-DATA'!AU610)),ROUND(INDEX('1-DATA'!$1:$1048576,IF(OR($B612="STD. DEVIATION",$C$1=1),$A612,$A612+1),COLUMN('1-DATA'!AU610)),IF($B612="STD. DEVIATION",2,$F$1))))</f>
        <v/>
      </c>
      <c r="AW612" s="1" t="str">
        <f>IF(OR($B612="",AW$7=""),"",IF($B612="MEANS",INDEX('1-DATA'!$1:$1048576,$A611-1,COLUMN('1-DATA'!AV610)),ROUND(INDEX('1-DATA'!$1:$1048576,IF(OR($B612="STD. DEVIATION",$C$1=1),$A612,$A612+1),COLUMN('1-DATA'!AV610)),IF($B612="STD. DEVIATION",2,$F$1))))</f>
        <v/>
      </c>
      <c r="AX612" s="1" t="str">
        <f>IF(OR($B612="",AX$7=""),"",IF($B612="MEANS",INDEX('1-DATA'!$1:$1048576,$A611-1,COLUMN('1-DATA'!AW610)),ROUND(INDEX('1-DATA'!$1:$1048576,IF(OR($B612="STD. DEVIATION",$C$1=1),$A612,$A612+1),COLUMN('1-DATA'!AW610)),IF($B612="STD. DEVIATION",2,$F$1))))</f>
        <v/>
      </c>
      <c r="AY612" s="1" t="str">
        <f>IF(OR($B612="",AY$7=""),"",IF($B612="MEANS",INDEX('1-DATA'!$1:$1048576,$A611-1,COLUMN('1-DATA'!AX610)),ROUND(INDEX('1-DATA'!$1:$1048576,IF(OR($B612="STD. DEVIATION",$C$1=1),$A612,$A612+1),COLUMN('1-DATA'!AX610)),IF($B612="STD. DEVIATION",2,$F$1))))</f>
        <v/>
      </c>
      <c r="AZ612" s="1" t="str">
        <f>IF(OR($B612="",AZ$7=""),"",IF($B612="MEANS",INDEX('1-DATA'!$1:$1048576,$A611-1,COLUMN('1-DATA'!AY610)),ROUND(INDEX('1-DATA'!$1:$1048576,IF(OR($B612="STD. DEVIATION",$C$1=1),$A612,$A612+1),COLUMN('1-DATA'!AY610)),IF($B612="STD. DEVIATION",2,$F$1))))</f>
        <v/>
      </c>
    </row>
    <row r="613" spans="1:52" x14ac:dyDescent="0.25">
      <c r="A613" s="11">
        <f t="shared" si="10"/>
        <v>1825</v>
      </c>
      <c r="B613" s="1" t="str">
        <f>IF(B612="STD. DEVIATION",INDEX('1-DATA'!$1:$1048576,$A612-1,1),IF(INDEX('1-DATA'!$1:$1048576,$A613,1)&lt;&gt;"",INDEX('1-DATA'!$1:$1048576,$A613,1),""))</f>
        <v/>
      </c>
      <c r="C613" s="1" t="str">
        <f>IF(OR($B613="",C$7=""),"",IF($B613="MEANS",INDEX('1-DATA'!$1:$1048576,$A612-1,COLUMN('1-DATA'!B611)),ROUND(INDEX('1-DATA'!$1:$1048576,IF(OR($B613="STD. DEVIATION",$C$1=1),$A613,$A613+1),COLUMN('1-DATA'!B611)),IF($B613="STD. DEVIATION",2,$F$1))))</f>
        <v/>
      </c>
      <c r="D613" s="1" t="str">
        <f>IF(OR($B613="",D$7=""),"",IF($B613="MEANS",INDEX('1-DATA'!$1:$1048576,$A612-1,COLUMN('1-DATA'!C611)),ROUND(INDEX('1-DATA'!$1:$1048576,IF(OR($B613="STD. DEVIATION",$C$1=1),$A613,$A613+1),COLUMN('1-DATA'!C611)),IF($B613="STD. DEVIATION",2,$F$1))))</f>
        <v/>
      </c>
      <c r="E613" s="1" t="str">
        <f>IF(OR($B613="",E$7=""),"",IF($B613="MEANS",INDEX('1-DATA'!$1:$1048576,$A612-1,COLUMN('1-DATA'!D611)),ROUND(INDEX('1-DATA'!$1:$1048576,IF(OR($B613="STD. DEVIATION",$C$1=1),$A613,$A613+1),COLUMN('1-DATA'!D611)),IF($B613="STD. DEVIATION",2,$F$1))))</f>
        <v/>
      </c>
      <c r="F613" s="1" t="str">
        <f>IF(OR($B613="",F$7=""),"",IF($B613="MEANS",INDEX('1-DATA'!$1:$1048576,$A612-1,COLUMN('1-DATA'!E611)),ROUND(INDEX('1-DATA'!$1:$1048576,IF(OR($B613="STD. DEVIATION",$C$1=1),$A613,$A613+1),COLUMN('1-DATA'!E611)),IF($B613="STD. DEVIATION",2,$F$1))))</f>
        <v/>
      </c>
      <c r="G613" s="1" t="str">
        <f>IF(OR($B613="",G$7=""),"",IF($B613="MEANS",INDEX('1-DATA'!$1:$1048576,$A612-1,COLUMN('1-DATA'!F611)),ROUND(INDEX('1-DATA'!$1:$1048576,IF(OR($B613="STD. DEVIATION",$C$1=1),$A613,$A613+1),COLUMN('1-DATA'!F611)),IF($B613="STD. DEVIATION",2,$F$1))))</f>
        <v/>
      </c>
      <c r="H613" s="1" t="str">
        <f>IF(OR($B613="",H$7=""),"",IF($B613="MEANS",INDEX('1-DATA'!$1:$1048576,$A612-1,COLUMN('1-DATA'!G611)),ROUND(INDEX('1-DATA'!$1:$1048576,IF(OR($B613="STD. DEVIATION",$C$1=1),$A613,$A613+1),COLUMN('1-DATA'!G611)),IF($B613="STD. DEVIATION",2,$F$1))))</f>
        <v/>
      </c>
      <c r="I613" s="1" t="str">
        <f>IF(OR($B613="",I$7=""),"",IF($B613="MEANS",INDEX('1-DATA'!$1:$1048576,$A612-1,COLUMN('1-DATA'!H611)),ROUND(INDEX('1-DATA'!$1:$1048576,IF(OR($B613="STD. DEVIATION",$C$1=1),$A613,$A613+1),COLUMN('1-DATA'!H611)),IF($B613="STD. DEVIATION",2,$F$1))))</f>
        <v/>
      </c>
      <c r="J613" s="1" t="str">
        <f>IF(OR($B613="",J$7=""),"",IF($B613="MEANS",INDEX('1-DATA'!$1:$1048576,$A612-1,COLUMN('1-DATA'!I611)),ROUND(INDEX('1-DATA'!$1:$1048576,IF(OR($B613="STD. DEVIATION",$C$1=1),$A613,$A613+1),COLUMN('1-DATA'!I611)),IF($B613="STD. DEVIATION",2,$F$1))))</f>
        <v/>
      </c>
      <c r="K613" s="1" t="str">
        <f>IF(OR($B613="",K$7=""),"",IF($B613="MEANS",INDEX('1-DATA'!$1:$1048576,$A612-1,COLUMN('1-DATA'!J611)),ROUND(INDEX('1-DATA'!$1:$1048576,IF(OR($B613="STD. DEVIATION",$C$1=1),$A613,$A613+1),COLUMN('1-DATA'!J611)),IF($B613="STD. DEVIATION",2,$F$1))))</f>
        <v/>
      </c>
      <c r="L613" s="1" t="str">
        <f>IF(OR($B613="",L$7=""),"",IF($B613="MEANS",INDEX('1-DATA'!$1:$1048576,$A612-1,COLUMN('1-DATA'!K611)),ROUND(INDEX('1-DATA'!$1:$1048576,IF(OR($B613="STD. DEVIATION",$C$1=1),$A613,$A613+1),COLUMN('1-DATA'!K611)),IF($B613="STD. DEVIATION",2,$F$1))))</f>
        <v/>
      </c>
      <c r="M613" s="1" t="str">
        <f>IF(OR($B613="",M$7=""),"",IF($B613="MEANS",INDEX('1-DATA'!$1:$1048576,$A612-1,COLUMN('1-DATA'!L611)),ROUND(INDEX('1-DATA'!$1:$1048576,IF(OR($B613="STD. DEVIATION",$C$1=1),$A613,$A613+1),COLUMN('1-DATA'!L611)),IF($B613="STD. DEVIATION",2,$F$1))))</f>
        <v/>
      </c>
      <c r="N613" s="1" t="str">
        <f>IF(OR($B613="",N$7=""),"",IF($B613="MEANS",INDEX('1-DATA'!$1:$1048576,$A612-1,COLUMN('1-DATA'!M611)),ROUND(INDEX('1-DATA'!$1:$1048576,IF(OR($B613="STD. DEVIATION",$C$1=1),$A613,$A613+1),COLUMN('1-DATA'!M611)),IF($B613="STD. DEVIATION",2,$F$1))))</f>
        <v/>
      </c>
      <c r="O613" s="1" t="str">
        <f>IF(OR($B613="",O$7=""),"",IF($B613="MEANS",INDEX('1-DATA'!$1:$1048576,$A612-1,COLUMN('1-DATA'!N611)),ROUND(INDEX('1-DATA'!$1:$1048576,IF(OR($B613="STD. DEVIATION",$C$1=1),$A613,$A613+1),COLUMN('1-DATA'!N611)),IF($B613="STD. DEVIATION",2,$F$1))))</f>
        <v/>
      </c>
      <c r="P613" s="1" t="str">
        <f>IF(OR($B613="",P$7=""),"",IF($B613="MEANS",INDEX('1-DATA'!$1:$1048576,$A612-1,COLUMN('1-DATA'!O611)),ROUND(INDEX('1-DATA'!$1:$1048576,IF(OR($B613="STD. DEVIATION",$C$1=1),$A613,$A613+1),COLUMN('1-DATA'!O611)),IF($B613="STD. DEVIATION",2,$F$1))))</f>
        <v/>
      </c>
      <c r="Q613" s="1" t="str">
        <f>IF(OR($B613="",Q$7=""),"",IF($B613="MEANS",INDEX('1-DATA'!$1:$1048576,$A612-1,COLUMN('1-DATA'!P611)),ROUND(INDEX('1-DATA'!$1:$1048576,IF(OR($B613="STD. DEVIATION",$C$1=1),$A613,$A613+1),COLUMN('1-DATA'!P611)),IF($B613="STD. DEVIATION",2,$F$1))))</f>
        <v/>
      </c>
      <c r="R613" s="1" t="str">
        <f>IF(OR($B613="",R$7=""),"",IF($B613="MEANS",INDEX('1-DATA'!$1:$1048576,$A612-1,COLUMN('1-DATA'!Q611)),ROUND(INDEX('1-DATA'!$1:$1048576,IF(OR($B613="STD. DEVIATION",$C$1=1),$A613,$A613+1),COLUMN('1-DATA'!Q611)),IF($B613="STD. DEVIATION",2,$F$1))))</f>
        <v/>
      </c>
      <c r="S613" s="1" t="str">
        <f>IF(OR($B613="",S$7=""),"",IF($B613="MEANS",INDEX('1-DATA'!$1:$1048576,$A612-1,COLUMN('1-DATA'!R611)),ROUND(INDEX('1-DATA'!$1:$1048576,IF(OR($B613="STD. DEVIATION",$C$1=1),$A613,$A613+1),COLUMN('1-DATA'!R611)),IF($B613="STD. DEVIATION",2,$F$1))))</f>
        <v/>
      </c>
      <c r="T613" s="1" t="str">
        <f>IF(OR($B613="",T$7=""),"",IF($B613="MEANS",INDEX('1-DATA'!$1:$1048576,$A612-1,COLUMN('1-DATA'!S611)),ROUND(INDEX('1-DATA'!$1:$1048576,IF(OR($B613="STD. DEVIATION",$C$1=1),$A613,$A613+1),COLUMN('1-DATA'!S611)),IF($B613="STD. DEVIATION",2,$F$1))))</f>
        <v/>
      </c>
      <c r="U613" s="1" t="str">
        <f>IF(OR($B613="",U$7=""),"",IF($B613="MEANS",INDEX('1-DATA'!$1:$1048576,$A612-1,COLUMN('1-DATA'!T611)),ROUND(INDEX('1-DATA'!$1:$1048576,IF(OR($B613="STD. DEVIATION",$C$1=1),$A613,$A613+1),COLUMN('1-DATA'!T611)),IF($B613="STD. DEVIATION",2,$F$1))))</f>
        <v/>
      </c>
      <c r="V613" s="1" t="str">
        <f>IF(OR($B613="",V$7=""),"",IF($B613="MEANS",INDEX('1-DATA'!$1:$1048576,$A612-1,COLUMN('1-DATA'!U611)),ROUND(INDEX('1-DATA'!$1:$1048576,IF(OR($B613="STD. DEVIATION",$C$1=1),$A613,$A613+1),COLUMN('1-DATA'!U611)),IF($B613="STD. DEVIATION",2,$F$1))))</f>
        <v/>
      </c>
      <c r="W613" s="1" t="str">
        <f>IF(OR($B613="",W$7=""),"",IF($B613="MEANS",INDEX('1-DATA'!$1:$1048576,$A612-1,COLUMN('1-DATA'!V611)),ROUND(INDEX('1-DATA'!$1:$1048576,IF(OR($B613="STD. DEVIATION",$C$1=1),$A613,$A613+1),COLUMN('1-DATA'!V611)),IF($B613="STD. DEVIATION",2,$F$1))))</f>
        <v/>
      </c>
      <c r="X613" s="1" t="str">
        <f>IF(OR($B613="",X$7=""),"",IF($B613="MEANS",INDEX('1-DATA'!$1:$1048576,$A612-1,COLUMN('1-DATA'!W611)),ROUND(INDEX('1-DATA'!$1:$1048576,IF(OR($B613="STD. DEVIATION",$C$1=1),$A613,$A613+1),COLUMN('1-DATA'!W611)),IF($B613="STD. DEVIATION",2,$F$1))))</f>
        <v/>
      </c>
      <c r="Y613" s="1" t="str">
        <f>IF(OR($B613="",Y$7=""),"",IF($B613="MEANS",INDEX('1-DATA'!$1:$1048576,$A612-1,COLUMN('1-DATA'!X611)),ROUND(INDEX('1-DATA'!$1:$1048576,IF(OR($B613="STD. DEVIATION",$C$1=1),$A613,$A613+1),COLUMN('1-DATA'!X611)),IF($B613="STD. DEVIATION",2,$F$1))))</f>
        <v/>
      </c>
      <c r="Z613" s="1" t="str">
        <f>IF(OR($B613="",Z$7=""),"",IF($B613="MEANS",INDEX('1-DATA'!$1:$1048576,$A612-1,COLUMN('1-DATA'!Y611)),ROUND(INDEX('1-DATA'!$1:$1048576,IF(OR($B613="STD. DEVIATION",$C$1=1),$A613,$A613+1),COLUMN('1-DATA'!Y611)),IF($B613="STD. DEVIATION",2,$F$1))))</f>
        <v/>
      </c>
      <c r="AA613" s="1" t="str">
        <f>IF(OR($B613="",AA$7=""),"",IF($B613="MEANS",INDEX('1-DATA'!$1:$1048576,$A612-1,COLUMN('1-DATA'!Z611)),ROUND(INDEX('1-DATA'!$1:$1048576,IF(OR($B613="STD. DEVIATION",$C$1=1),$A613,$A613+1),COLUMN('1-DATA'!Z611)),IF($B613="STD. DEVIATION",2,$F$1))))</f>
        <v/>
      </c>
      <c r="AB613" s="1" t="str">
        <f>IF(OR($B613="",AB$7=""),"",IF($B613="MEANS",INDEX('1-DATA'!$1:$1048576,$A612-1,COLUMN('1-DATA'!AA611)),ROUND(INDEX('1-DATA'!$1:$1048576,IF(OR($B613="STD. DEVIATION",$C$1=1),$A613,$A613+1),COLUMN('1-DATA'!AA611)),IF($B613="STD. DEVIATION",2,$F$1))))</f>
        <v/>
      </c>
      <c r="AC613" s="1" t="str">
        <f>IF(OR($B613="",AC$7=""),"",IF($B613="MEANS",INDEX('1-DATA'!$1:$1048576,$A612-1,COLUMN('1-DATA'!AB611)),ROUND(INDEX('1-DATA'!$1:$1048576,IF(OR($B613="STD. DEVIATION",$C$1=1),$A613,$A613+1),COLUMN('1-DATA'!AB611)),IF($B613="STD. DEVIATION",2,$F$1))))</f>
        <v/>
      </c>
      <c r="AD613" s="1" t="str">
        <f>IF(OR($B613="",AD$7=""),"",IF($B613="MEANS",INDEX('1-DATA'!$1:$1048576,$A612-1,COLUMN('1-DATA'!AC611)),ROUND(INDEX('1-DATA'!$1:$1048576,IF(OR($B613="STD. DEVIATION",$C$1=1),$A613,$A613+1),COLUMN('1-DATA'!AC611)),IF($B613="STD. DEVIATION",2,$F$1))))</f>
        <v/>
      </c>
      <c r="AE613" s="1" t="str">
        <f>IF(OR($B613="",AE$7=""),"",IF($B613="MEANS",INDEX('1-DATA'!$1:$1048576,$A612-1,COLUMN('1-DATA'!AD611)),ROUND(INDEX('1-DATA'!$1:$1048576,IF(OR($B613="STD. DEVIATION",$C$1=1),$A613,$A613+1),COLUMN('1-DATA'!AD611)),IF($B613="STD. DEVIATION",2,$F$1))))</f>
        <v/>
      </c>
      <c r="AF613" s="1" t="str">
        <f>IF(OR($B613="",AF$7=""),"",IF($B613="MEANS",INDEX('1-DATA'!$1:$1048576,$A612-1,COLUMN('1-DATA'!AE611)),ROUND(INDEX('1-DATA'!$1:$1048576,IF(OR($B613="STD. DEVIATION",$C$1=1),$A613,$A613+1),COLUMN('1-DATA'!AE611)),IF($B613="STD. DEVIATION",2,$F$1))))</f>
        <v/>
      </c>
      <c r="AG613" s="1" t="str">
        <f>IF(OR($B613="",AG$7=""),"",IF($B613="MEANS",INDEX('1-DATA'!$1:$1048576,$A612-1,COLUMN('1-DATA'!AF611)),ROUND(INDEX('1-DATA'!$1:$1048576,IF(OR($B613="STD. DEVIATION",$C$1=1),$A613,$A613+1),COLUMN('1-DATA'!AF611)),IF($B613="STD. DEVIATION",2,$F$1))))</f>
        <v/>
      </c>
      <c r="AH613" s="1" t="str">
        <f>IF(OR($B613="",AH$7=""),"",IF($B613="MEANS",INDEX('1-DATA'!$1:$1048576,$A612-1,COLUMN('1-DATA'!AG611)),ROUND(INDEX('1-DATA'!$1:$1048576,IF(OR($B613="STD. DEVIATION",$C$1=1),$A613,$A613+1),COLUMN('1-DATA'!AG611)),IF($B613="STD. DEVIATION",2,$F$1))))</f>
        <v/>
      </c>
      <c r="AI613" s="1" t="str">
        <f>IF(OR($B613="",AI$7=""),"",IF($B613="MEANS",INDEX('1-DATA'!$1:$1048576,$A612-1,COLUMN('1-DATA'!AH611)),ROUND(INDEX('1-DATA'!$1:$1048576,IF(OR($B613="STD. DEVIATION",$C$1=1),$A613,$A613+1),COLUMN('1-DATA'!AH611)),IF($B613="STD. DEVIATION",2,$F$1))))</f>
        <v/>
      </c>
      <c r="AJ613" s="1" t="str">
        <f>IF(OR($B613="",AJ$7=""),"",IF($B613="MEANS",INDEX('1-DATA'!$1:$1048576,$A612-1,COLUMN('1-DATA'!AI611)),ROUND(INDEX('1-DATA'!$1:$1048576,IF(OR($B613="STD. DEVIATION",$C$1=1),$A613,$A613+1),COLUMN('1-DATA'!AI611)),IF($B613="STD. DEVIATION",2,$F$1))))</f>
        <v/>
      </c>
      <c r="AK613" s="1" t="str">
        <f>IF(OR($B613="",AK$7=""),"",IF($B613="MEANS",INDEX('1-DATA'!$1:$1048576,$A612-1,COLUMN('1-DATA'!AJ611)),ROUND(INDEX('1-DATA'!$1:$1048576,IF(OR($B613="STD. DEVIATION",$C$1=1),$A613,$A613+1),COLUMN('1-DATA'!AJ611)),IF($B613="STD. DEVIATION",2,$F$1))))</f>
        <v/>
      </c>
      <c r="AL613" s="1" t="str">
        <f>IF(OR($B613="",AL$7=""),"",IF($B613="MEANS",INDEX('1-DATA'!$1:$1048576,$A612-1,COLUMN('1-DATA'!AK611)),ROUND(INDEX('1-DATA'!$1:$1048576,IF(OR($B613="STD. DEVIATION",$C$1=1),$A613,$A613+1),COLUMN('1-DATA'!AK611)),IF($B613="STD. DEVIATION",2,$F$1))))</f>
        <v/>
      </c>
      <c r="AM613" s="1" t="str">
        <f>IF(OR($B613="",AM$7=""),"",IF($B613="MEANS",INDEX('1-DATA'!$1:$1048576,$A612-1,COLUMN('1-DATA'!AL611)),ROUND(INDEX('1-DATA'!$1:$1048576,IF(OR($B613="STD. DEVIATION",$C$1=1),$A613,$A613+1),COLUMN('1-DATA'!AL611)),IF($B613="STD. DEVIATION",2,$F$1))))</f>
        <v/>
      </c>
      <c r="AN613" s="1" t="str">
        <f>IF(OR($B613="",AN$7=""),"",IF($B613="MEANS",INDEX('1-DATA'!$1:$1048576,$A612-1,COLUMN('1-DATA'!AM611)),ROUND(INDEX('1-DATA'!$1:$1048576,IF(OR($B613="STD. DEVIATION",$C$1=1),$A613,$A613+1),COLUMN('1-DATA'!AM611)),IF($B613="STD. DEVIATION",2,$F$1))))</f>
        <v/>
      </c>
      <c r="AO613" s="1" t="str">
        <f>IF(OR($B613="",AO$7=""),"",IF($B613="MEANS",INDEX('1-DATA'!$1:$1048576,$A612-1,COLUMN('1-DATA'!AN611)),ROUND(INDEX('1-DATA'!$1:$1048576,IF(OR($B613="STD. DEVIATION",$C$1=1),$A613,$A613+1),COLUMN('1-DATA'!AN611)),IF($B613="STD. DEVIATION",2,$F$1))))</f>
        <v/>
      </c>
      <c r="AP613" s="1" t="str">
        <f>IF(OR($B613="",AP$7=""),"",IF($B613="MEANS",INDEX('1-DATA'!$1:$1048576,$A612-1,COLUMN('1-DATA'!AO611)),ROUND(INDEX('1-DATA'!$1:$1048576,IF(OR($B613="STD. DEVIATION",$C$1=1),$A613,$A613+1),COLUMN('1-DATA'!AO611)),IF($B613="STD. DEVIATION",2,$F$1))))</f>
        <v/>
      </c>
      <c r="AQ613" s="1" t="str">
        <f>IF(OR($B613="",AQ$7=""),"",IF($B613="MEANS",INDEX('1-DATA'!$1:$1048576,$A612-1,COLUMN('1-DATA'!AP611)),ROUND(INDEX('1-DATA'!$1:$1048576,IF(OR($B613="STD. DEVIATION",$C$1=1),$A613,$A613+1),COLUMN('1-DATA'!AP611)),IF($B613="STD. DEVIATION",2,$F$1))))</f>
        <v/>
      </c>
      <c r="AR613" s="1" t="str">
        <f>IF(OR($B613="",AR$7=""),"",IF($B613="MEANS",INDEX('1-DATA'!$1:$1048576,$A612-1,COLUMN('1-DATA'!AQ611)),ROUND(INDEX('1-DATA'!$1:$1048576,IF(OR($B613="STD. DEVIATION",$C$1=1),$A613,$A613+1),COLUMN('1-DATA'!AQ611)),IF($B613="STD. DEVIATION",2,$F$1))))</f>
        <v/>
      </c>
      <c r="AS613" s="1" t="str">
        <f>IF(OR($B613="",AS$7=""),"",IF($B613="MEANS",INDEX('1-DATA'!$1:$1048576,$A612-1,COLUMN('1-DATA'!AR611)),ROUND(INDEX('1-DATA'!$1:$1048576,IF(OR($B613="STD. DEVIATION",$C$1=1),$A613,$A613+1),COLUMN('1-DATA'!AR611)),IF($B613="STD. DEVIATION",2,$F$1))))</f>
        <v/>
      </c>
      <c r="AT613" s="1" t="str">
        <f>IF(OR($B613="",AT$7=""),"",IF($B613="MEANS",INDEX('1-DATA'!$1:$1048576,$A612-1,COLUMN('1-DATA'!AS611)),ROUND(INDEX('1-DATA'!$1:$1048576,IF(OR($B613="STD. DEVIATION",$C$1=1),$A613,$A613+1),COLUMN('1-DATA'!AS611)),IF($B613="STD. DEVIATION",2,$F$1))))</f>
        <v/>
      </c>
      <c r="AU613" s="1" t="str">
        <f>IF(OR($B613="",AU$7=""),"",IF($B613="MEANS",INDEX('1-DATA'!$1:$1048576,$A612-1,COLUMN('1-DATA'!AT611)),ROUND(INDEX('1-DATA'!$1:$1048576,IF(OR($B613="STD. DEVIATION",$C$1=1),$A613,$A613+1),COLUMN('1-DATA'!AT611)),IF($B613="STD. DEVIATION",2,$F$1))))</f>
        <v/>
      </c>
      <c r="AV613" s="1" t="str">
        <f>IF(OR($B613="",AV$7=""),"",IF($B613="MEANS",INDEX('1-DATA'!$1:$1048576,$A612-1,COLUMN('1-DATA'!AU611)),ROUND(INDEX('1-DATA'!$1:$1048576,IF(OR($B613="STD. DEVIATION",$C$1=1),$A613,$A613+1),COLUMN('1-DATA'!AU611)),IF($B613="STD. DEVIATION",2,$F$1))))</f>
        <v/>
      </c>
      <c r="AW613" s="1" t="str">
        <f>IF(OR($B613="",AW$7=""),"",IF($B613="MEANS",INDEX('1-DATA'!$1:$1048576,$A612-1,COLUMN('1-DATA'!AV611)),ROUND(INDEX('1-DATA'!$1:$1048576,IF(OR($B613="STD. DEVIATION",$C$1=1),$A613,$A613+1),COLUMN('1-DATA'!AV611)),IF($B613="STD. DEVIATION",2,$F$1))))</f>
        <v/>
      </c>
      <c r="AX613" s="1" t="str">
        <f>IF(OR($B613="",AX$7=""),"",IF($B613="MEANS",INDEX('1-DATA'!$1:$1048576,$A612-1,COLUMN('1-DATA'!AW611)),ROUND(INDEX('1-DATA'!$1:$1048576,IF(OR($B613="STD. DEVIATION",$C$1=1),$A613,$A613+1),COLUMN('1-DATA'!AW611)),IF($B613="STD. DEVIATION",2,$F$1))))</f>
        <v/>
      </c>
      <c r="AY613" s="1" t="str">
        <f>IF(OR($B613="",AY$7=""),"",IF($B613="MEANS",INDEX('1-DATA'!$1:$1048576,$A612-1,COLUMN('1-DATA'!AX611)),ROUND(INDEX('1-DATA'!$1:$1048576,IF(OR($B613="STD. DEVIATION",$C$1=1),$A613,$A613+1),COLUMN('1-DATA'!AX611)),IF($B613="STD. DEVIATION",2,$F$1))))</f>
        <v/>
      </c>
      <c r="AZ613" s="1" t="str">
        <f>IF(OR($B613="",AZ$7=""),"",IF($B613="MEANS",INDEX('1-DATA'!$1:$1048576,$A612-1,COLUMN('1-DATA'!AY611)),ROUND(INDEX('1-DATA'!$1:$1048576,IF(OR($B613="STD. DEVIATION",$C$1=1),$A613,$A613+1),COLUMN('1-DATA'!AY611)),IF($B613="STD. DEVIATION",2,$F$1))))</f>
        <v/>
      </c>
    </row>
    <row r="614" spans="1:52" x14ac:dyDescent="0.25">
      <c r="A614" s="11">
        <f t="shared" si="10"/>
        <v>1828</v>
      </c>
      <c r="B614" s="1" t="str">
        <f>IF(B613="STD. DEVIATION",INDEX('1-DATA'!$1:$1048576,$A613-1,1),IF(INDEX('1-DATA'!$1:$1048576,$A614,1)&lt;&gt;"",INDEX('1-DATA'!$1:$1048576,$A614,1),""))</f>
        <v/>
      </c>
      <c r="C614" s="1" t="str">
        <f>IF(OR($B614="",C$7=""),"",IF($B614="MEANS",INDEX('1-DATA'!$1:$1048576,$A613-1,COLUMN('1-DATA'!B612)),ROUND(INDEX('1-DATA'!$1:$1048576,IF(OR($B614="STD. DEVIATION",$C$1=1),$A614,$A614+1),COLUMN('1-DATA'!B612)),IF($B614="STD. DEVIATION",2,$F$1))))</f>
        <v/>
      </c>
      <c r="D614" s="1" t="str">
        <f>IF(OR($B614="",D$7=""),"",IF($B614="MEANS",INDEX('1-DATA'!$1:$1048576,$A613-1,COLUMN('1-DATA'!C612)),ROUND(INDEX('1-DATA'!$1:$1048576,IF(OR($B614="STD. DEVIATION",$C$1=1),$A614,$A614+1),COLUMN('1-DATA'!C612)),IF($B614="STD. DEVIATION",2,$F$1))))</f>
        <v/>
      </c>
      <c r="E614" s="1" t="str">
        <f>IF(OR($B614="",E$7=""),"",IF($B614="MEANS",INDEX('1-DATA'!$1:$1048576,$A613-1,COLUMN('1-DATA'!D612)),ROUND(INDEX('1-DATA'!$1:$1048576,IF(OR($B614="STD. DEVIATION",$C$1=1),$A614,$A614+1),COLUMN('1-DATA'!D612)),IF($B614="STD. DEVIATION",2,$F$1))))</f>
        <v/>
      </c>
      <c r="F614" s="1" t="str">
        <f>IF(OR($B614="",F$7=""),"",IF($B614="MEANS",INDEX('1-DATA'!$1:$1048576,$A613-1,COLUMN('1-DATA'!E612)),ROUND(INDEX('1-DATA'!$1:$1048576,IF(OR($B614="STD. DEVIATION",$C$1=1),$A614,$A614+1),COLUMN('1-DATA'!E612)),IF($B614="STD. DEVIATION",2,$F$1))))</f>
        <v/>
      </c>
      <c r="G614" s="1" t="str">
        <f>IF(OR($B614="",G$7=""),"",IF($B614="MEANS",INDEX('1-DATA'!$1:$1048576,$A613-1,COLUMN('1-DATA'!F612)),ROUND(INDEX('1-DATA'!$1:$1048576,IF(OR($B614="STD. DEVIATION",$C$1=1),$A614,$A614+1),COLUMN('1-DATA'!F612)),IF($B614="STD. DEVIATION",2,$F$1))))</f>
        <v/>
      </c>
      <c r="H614" s="1" t="str">
        <f>IF(OR($B614="",H$7=""),"",IF($B614="MEANS",INDEX('1-DATA'!$1:$1048576,$A613-1,COLUMN('1-DATA'!G612)),ROUND(INDEX('1-DATA'!$1:$1048576,IF(OR($B614="STD. DEVIATION",$C$1=1),$A614,$A614+1),COLUMN('1-DATA'!G612)),IF($B614="STD. DEVIATION",2,$F$1))))</f>
        <v/>
      </c>
      <c r="I614" s="1" t="str">
        <f>IF(OR($B614="",I$7=""),"",IF($B614="MEANS",INDEX('1-DATA'!$1:$1048576,$A613-1,COLUMN('1-DATA'!H612)),ROUND(INDEX('1-DATA'!$1:$1048576,IF(OR($B614="STD. DEVIATION",$C$1=1),$A614,$A614+1),COLUMN('1-DATA'!H612)),IF($B614="STD. DEVIATION",2,$F$1))))</f>
        <v/>
      </c>
      <c r="J614" s="1" t="str">
        <f>IF(OR($B614="",J$7=""),"",IF($B614="MEANS",INDEX('1-DATA'!$1:$1048576,$A613-1,COLUMN('1-DATA'!I612)),ROUND(INDEX('1-DATA'!$1:$1048576,IF(OR($B614="STD. DEVIATION",$C$1=1),$A614,$A614+1),COLUMN('1-DATA'!I612)),IF($B614="STD. DEVIATION",2,$F$1))))</f>
        <v/>
      </c>
      <c r="K614" s="1" t="str">
        <f>IF(OR($B614="",K$7=""),"",IF($B614="MEANS",INDEX('1-DATA'!$1:$1048576,$A613-1,COLUMN('1-DATA'!J612)),ROUND(INDEX('1-DATA'!$1:$1048576,IF(OR($B614="STD. DEVIATION",$C$1=1),$A614,$A614+1),COLUMN('1-DATA'!J612)),IF($B614="STD. DEVIATION",2,$F$1))))</f>
        <v/>
      </c>
      <c r="L614" s="1" t="str">
        <f>IF(OR($B614="",L$7=""),"",IF($B614="MEANS",INDEX('1-DATA'!$1:$1048576,$A613-1,COLUMN('1-DATA'!K612)),ROUND(INDEX('1-DATA'!$1:$1048576,IF(OR($B614="STD. DEVIATION",$C$1=1),$A614,$A614+1),COLUMN('1-DATA'!K612)),IF($B614="STD. DEVIATION",2,$F$1))))</f>
        <v/>
      </c>
      <c r="M614" s="1" t="str">
        <f>IF(OR($B614="",M$7=""),"",IF($B614="MEANS",INDEX('1-DATA'!$1:$1048576,$A613-1,COLUMN('1-DATA'!L612)),ROUND(INDEX('1-DATA'!$1:$1048576,IF(OR($B614="STD. DEVIATION",$C$1=1),$A614,$A614+1),COLUMN('1-DATA'!L612)),IF($B614="STD. DEVIATION",2,$F$1))))</f>
        <v/>
      </c>
      <c r="N614" s="1" t="str">
        <f>IF(OR($B614="",N$7=""),"",IF($B614="MEANS",INDEX('1-DATA'!$1:$1048576,$A613-1,COLUMN('1-DATA'!M612)),ROUND(INDEX('1-DATA'!$1:$1048576,IF(OR($B614="STD. DEVIATION",$C$1=1),$A614,$A614+1),COLUMN('1-DATA'!M612)),IF($B614="STD. DEVIATION",2,$F$1))))</f>
        <v/>
      </c>
      <c r="O614" s="1" t="str">
        <f>IF(OR($B614="",O$7=""),"",IF($B614="MEANS",INDEX('1-DATA'!$1:$1048576,$A613-1,COLUMN('1-DATA'!N612)),ROUND(INDEX('1-DATA'!$1:$1048576,IF(OR($B614="STD. DEVIATION",$C$1=1),$A614,$A614+1),COLUMN('1-DATA'!N612)),IF($B614="STD. DEVIATION",2,$F$1))))</f>
        <v/>
      </c>
      <c r="P614" s="1" t="str">
        <f>IF(OR($B614="",P$7=""),"",IF($B614="MEANS",INDEX('1-DATA'!$1:$1048576,$A613-1,COLUMN('1-DATA'!O612)),ROUND(INDEX('1-DATA'!$1:$1048576,IF(OR($B614="STD. DEVIATION",$C$1=1),$A614,$A614+1),COLUMN('1-DATA'!O612)),IF($B614="STD. DEVIATION",2,$F$1))))</f>
        <v/>
      </c>
      <c r="Q614" s="1" t="str">
        <f>IF(OR($B614="",Q$7=""),"",IF($B614="MEANS",INDEX('1-DATA'!$1:$1048576,$A613-1,COLUMN('1-DATA'!P612)),ROUND(INDEX('1-DATA'!$1:$1048576,IF(OR($B614="STD. DEVIATION",$C$1=1),$A614,$A614+1),COLUMN('1-DATA'!P612)),IF($B614="STD. DEVIATION",2,$F$1))))</f>
        <v/>
      </c>
      <c r="R614" s="1" t="str">
        <f>IF(OR($B614="",R$7=""),"",IF($B614="MEANS",INDEX('1-DATA'!$1:$1048576,$A613-1,COLUMN('1-DATA'!Q612)),ROUND(INDEX('1-DATA'!$1:$1048576,IF(OR($B614="STD. DEVIATION",$C$1=1),$A614,$A614+1),COLUMN('1-DATA'!Q612)),IF($B614="STD. DEVIATION",2,$F$1))))</f>
        <v/>
      </c>
      <c r="S614" s="1" t="str">
        <f>IF(OR($B614="",S$7=""),"",IF($B614="MEANS",INDEX('1-DATA'!$1:$1048576,$A613-1,COLUMN('1-DATA'!R612)),ROUND(INDEX('1-DATA'!$1:$1048576,IF(OR($B614="STD. DEVIATION",$C$1=1),$A614,$A614+1),COLUMN('1-DATA'!R612)),IF($B614="STD. DEVIATION",2,$F$1))))</f>
        <v/>
      </c>
      <c r="T614" s="1" t="str">
        <f>IF(OR($B614="",T$7=""),"",IF($B614="MEANS",INDEX('1-DATA'!$1:$1048576,$A613-1,COLUMN('1-DATA'!S612)),ROUND(INDEX('1-DATA'!$1:$1048576,IF(OR($B614="STD. DEVIATION",$C$1=1),$A614,$A614+1),COLUMN('1-DATA'!S612)),IF($B614="STD. DEVIATION",2,$F$1))))</f>
        <v/>
      </c>
      <c r="U614" s="1" t="str">
        <f>IF(OR($B614="",U$7=""),"",IF($B614="MEANS",INDEX('1-DATA'!$1:$1048576,$A613-1,COLUMN('1-DATA'!T612)),ROUND(INDEX('1-DATA'!$1:$1048576,IF(OR($B614="STD. DEVIATION",$C$1=1),$A614,$A614+1),COLUMN('1-DATA'!T612)),IF($B614="STD. DEVIATION",2,$F$1))))</f>
        <v/>
      </c>
      <c r="V614" s="1" t="str">
        <f>IF(OR($B614="",V$7=""),"",IF($B614="MEANS",INDEX('1-DATA'!$1:$1048576,$A613-1,COLUMN('1-DATA'!U612)),ROUND(INDEX('1-DATA'!$1:$1048576,IF(OR($B614="STD. DEVIATION",$C$1=1),$A614,$A614+1),COLUMN('1-DATA'!U612)),IF($B614="STD. DEVIATION",2,$F$1))))</f>
        <v/>
      </c>
      <c r="W614" s="1" t="str">
        <f>IF(OR($B614="",W$7=""),"",IF($B614="MEANS",INDEX('1-DATA'!$1:$1048576,$A613-1,COLUMN('1-DATA'!V612)),ROUND(INDEX('1-DATA'!$1:$1048576,IF(OR($B614="STD. DEVIATION",$C$1=1),$A614,$A614+1),COLUMN('1-DATA'!V612)),IF($B614="STD. DEVIATION",2,$F$1))))</f>
        <v/>
      </c>
      <c r="X614" s="1" t="str">
        <f>IF(OR($B614="",X$7=""),"",IF($B614="MEANS",INDEX('1-DATA'!$1:$1048576,$A613-1,COLUMN('1-DATA'!W612)),ROUND(INDEX('1-DATA'!$1:$1048576,IF(OR($B614="STD. DEVIATION",$C$1=1),$A614,$A614+1),COLUMN('1-DATA'!W612)),IF($B614="STD. DEVIATION",2,$F$1))))</f>
        <v/>
      </c>
      <c r="Y614" s="1" t="str">
        <f>IF(OR($B614="",Y$7=""),"",IF($B614="MEANS",INDEX('1-DATA'!$1:$1048576,$A613-1,COLUMN('1-DATA'!X612)),ROUND(INDEX('1-DATA'!$1:$1048576,IF(OR($B614="STD. DEVIATION",$C$1=1),$A614,$A614+1),COLUMN('1-DATA'!X612)),IF($B614="STD. DEVIATION",2,$F$1))))</f>
        <v/>
      </c>
      <c r="Z614" s="1" t="str">
        <f>IF(OR($B614="",Z$7=""),"",IF($B614="MEANS",INDEX('1-DATA'!$1:$1048576,$A613-1,COLUMN('1-DATA'!Y612)),ROUND(INDEX('1-DATA'!$1:$1048576,IF(OR($B614="STD. DEVIATION",$C$1=1),$A614,$A614+1),COLUMN('1-DATA'!Y612)),IF($B614="STD. DEVIATION",2,$F$1))))</f>
        <v/>
      </c>
      <c r="AA614" s="1" t="str">
        <f>IF(OR($B614="",AA$7=""),"",IF($B614="MEANS",INDEX('1-DATA'!$1:$1048576,$A613-1,COLUMN('1-DATA'!Z612)),ROUND(INDEX('1-DATA'!$1:$1048576,IF(OR($B614="STD. DEVIATION",$C$1=1),$A614,$A614+1),COLUMN('1-DATA'!Z612)),IF($B614="STD. DEVIATION",2,$F$1))))</f>
        <v/>
      </c>
      <c r="AB614" s="1" t="str">
        <f>IF(OR($B614="",AB$7=""),"",IF($B614="MEANS",INDEX('1-DATA'!$1:$1048576,$A613-1,COLUMN('1-DATA'!AA612)),ROUND(INDEX('1-DATA'!$1:$1048576,IF(OR($B614="STD. DEVIATION",$C$1=1),$A614,$A614+1),COLUMN('1-DATA'!AA612)),IF($B614="STD. DEVIATION",2,$F$1))))</f>
        <v/>
      </c>
      <c r="AC614" s="1" t="str">
        <f>IF(OR($B614="",AC$7=""),"",IF($B614="MEANS",INDEX('1-DATA'!$1:$1048576,$A613-1,COLUMN('1-DATA'!AB612)),ROUND(INDEX('1-DATA'!$1:$1048576,IF(OR($B614="STD. DEVIATION",$C$1=1),$A614,$A614+1),COLUMN('1-DATA'!AB612)),IF($B614="STD. DEVIATION",2,$F$1))))</f>
        <v/>
      </c>
      <c r="AD614" s="1" t="str">
        <f>IF(OR($B614="",AD$7=""),"",IF($B614="MEANS",INDEX('1-DATA'!$1:$1048576,$A613-1,COLUMN('1-DATA'!AC612)),ROUND(INDEX('1-DATA'!$1:$1048576,IF(OR($B614="STD. DEVIATION",$C$1=1),$A614,$A614+1),COLUMN('1-DATA'!AC612)),IF($B614="STD. DEVIATION",2,$F$1))))</f>
        <v/>
      </c>
      <c r="AE614" s="1" t="str">
        <f>IF(OR($B614="",AE$7=""),"",IF($B614="MEANS",INDEX('1-DATA'!$1:$1048576,$A613-1,COLUMN('1-DATA'!AD612)),ROUND(INDEX('1-DATA'!$1:$1048576,IF(OR($B614="STD. DEVIATION",$C$1=1),$A614,$A614+1),COLUMN('1-DATA'!AD612)),IF($B614="STD. DEVIATION",2,$F$1))))</f>
        <v/>
      </c>
      <c r="AF614" s="1" t="str">
        <f>IF(OR($B614="",AF$7=""),"",IF($B614="MEANS",INDEX('1-DATA'!$1:$1048576,$A613-1,COLUMN('1-DATA'!AE612)),ROUND(INDEX('1-DATA'!$1:$1048576,IF(OR($B614="STD. DEVIATION",$C$1=1),$A614,$A614+1),COLUMN('1-DATA'!AE612)),IF($B614="STD. DEVIATION",2,$F$1))))</f>
        <v/>
      </c>
      <c r="AG614" s="1" t="str">
        <f>IF(OR($B614="",AG$7=""),"",IF($B614="MEANS",INDEX('1-DATA'!$1:$1048576,$A613-1,COLUMN('1-DATA'!AF612)),ROUND(INDEX('1-DATA'!$1:$1048576,IF(OR($B614="STD. DEVIATION",$C$1=1),$A614,$A614+1),COLUMN('1-DATA'!AF612)),IF($B614="STD. DEVIATION",2,$F$1))))</f>
        <v/>
      </c>
      <c r="AH614" s="1" t="str">
        <f>IF(OR($B614="",AH$7=""),"",IF($B614="MEANS",INDEX('1-DATA'!$1:$1048576,$A613-1,COLUMN('1-DATA'!AG612)),ROUND(INDEX('1-DATA'!$1:$1048576,IF(OR($B614="STD. DEVIATION",$C$1=1),$A614,$A614+1),COLUMN('1-DATA'!AG612)),IF($B614="STD. DEVIATION",2,$F$1))))</f>
        <v/>
      </c>
      <c r="AI614" s="1" t="str">
        <f>IF(OR($B614="",AI$7=""),"",IF($B614="MEANS",INDEX('1-DATA'!$1:$1048576,$A613-1,COLUMN('1-DATA'!AH612)),ROUND(INDEX('1-DATA'!$1:$1048576,IF(OR($B614="STD. DEVIATION",$C$1=1),$A614,$A614+1),COLUMN('1-DATA'!AH612)),IF($B614="STD. DEVIATION",2,$F$1))))</f>
        <v/>
      </c>
      <c r="AJ614" s="1" t="str">
        <f>IF(OR($B614="",AJ$7=""),"",IF($B614="MEANS",INDEX('1-DATA'!$1:$1048576,$A613-1,COLUMN('1-DATA'!AI612)),ROUND(INDEX('1-DATA'!$1:$1048576,IF(OR($B614="STD. DEVIATION",$C$1=1),$A614,$A614+1),COLUMN('1-DATA'!AI612)),IF($B614="STD. DEVIATION",2,$F$1))))</f>
        <v/>
      </c>
      <c r="AK614" s="1" t="str">
        <f>IF(OR($B614="",AK$7=""),"",IF($B614="MEANS",INDEX('1-DATA'!$1:$1048576,$A613-1,COLUMN('1-DATA'!AJ612)),ROUND(INDEX('1-DATA'!$1:$1048576,IF(OR($B614="STD. DEVIATION",$C$1=1),$A614,$A614+1),COLUMN('1-DATA'!AJ612)),IF($B614="STD. DEVIATION",2,$F$1))))</f>
        <v/>
      </c>
      <c r="AL614" s="1" t="str">
        <f>IF(OR($B614="",AL$7=""),"",IF($B614="MEANS",INDEX('1-DATA'!$1:$1048576,$A613-1,COLUMN('1-DATA'!AK612)),ROUND(INDEX('1-DATA'!$1:$1048576,IF(OR($B614="STD. DEVIATION",$C$1=1),$A614,$A614+1),COLUMN('1-DATA'!AK612)),IF($B614="STD. DEVIATION",2,$F$1))))</f>
        <v/>
      </c>
      <c r="AM614" s="1" t="str">
        <f>IF(OR($B614="",AM$7=""),"",IF($B614="MEANS",INDEX('1-DATA'!$1:$1048576,$A613-1,COLUMN('1-DATA'!AL612)),ROUND(INDEX('1-DATA'!$1:$1048576,IF(OR($B614="STD. DEVIATION",$C$1=1),$A614,$A614+1),COLUMN('1-DATA'!AL612)),IF($B614="STD. DEVIATION",2,$F$1))))</f>
        <v/>
      </c>
      <c r="AN614" s="1" t="str">
        <f>IF(OR($B614="",AN$7=""),"",IF($B614="MEANS",INDEX('1-DATA'!$1:$1048576,$A613-1,COLUMN('1-DATA'!AM612)),ROUND(INDEX('1-DATA'!$1:$1048576,IF(OR($B614="STD. DEVIATION",$C$1=1),$A614,$A614+1),COLUMN('1-DATA'!AM612)),IF($B614="STD. DEVIATION",2,$F$1))))</f>
        <v/>
      </c>
      <c r="AO614" s="1" t="str">
        <f>IF(OR($B614="",AO$7=""),"",IF($B614="MEANS",INDEX('1-DATA'!$1:$1048576,$A613-1,COLUMN('1-DATA'!AN612)),ROUND(INDEX('1-DATA'!$1:$1048576,IF(OR($B614="STD. DEVIATION",$C$1=1),$A614,$A614+1),COLUMN('1-DATA'!AN612)),IF($B614="STD. DEVIATION",2,$F$1))))</f>
        <v/>
      </c>
      <c r="AP614" s="1" t="str">
        <f>IF(OR($B614="",AP$7=""),"",IF($B614="MEANS",INDEX('1-DATA'!$1:$1048576,$A613-1,COLUMN('1-DATA'!AO612)),ROUND(INDEX('1-DATA'!$1:$1048576,IF(OR($B614="STD. DEVIATION",$C$1=1),$A614,$A614+1),COLUMN('1-DATA'!AO612)),IF($B614="STD. DEVIATION",2,$F$1))))</f>
        <v/>
      </c>
      <c r="AQ614" s="1" t="str">
        <f>IF(OR($B614="",AQ$7=""),"",IF($B614="MEANS",INDEX('1-DATA'!$1:$1048576,$A613-1,COLUMN('1-DATA'!AP612)),ROUND(INDEX('1-DATA'!$1:$1048576,IF(OR($B614="STD. DEVIATION",$C$1=1),$A614,$A614+1),COLUMN('1-DATA'!AP612)),IF($B614="STD. DEVIATION",2,$F$1))))</f>
        <v/>
      </c>
      <c r="AR614" s="1" t="str">
        <f>IF(OR($B614="",AR$7=""),"",IF($B614="MEANS",INDEX('1-DATA'!$1:$1048576,$A613-1,COLUMN('1-DATA'!AQ612)),ROUND(INDEX('1-DATA'!$1:$1048576,IF(OR($B614="STD. DEVIATION",$C$1=1),$A614,$A614+1),COLUMN('1-DATA'!AQ612)),IF($B614="STD. DEVIATION",2,$F$1))))</f>
        <v/>
      </c>
      <c r="AS614" s="1" t="str">
        <f>IF(OR($B614="",AS$7=""),"",IF($B614="MEANS",INDEX('1-DATA'!$1:$1048576,$A613-1,COLUMN('1-DATA'!AR612)),ROUND(INDEX('1-DATA'!$1:$1048576,IF(OR($B614="STD. DEVIATION",$C$1=1),$A614,$A614+1),COLUMN('1-DATA'!AR612)),IF($B614="STD. DEVIATION",2,$F$1))))</f>
        <v/>
      </c>
      <c r="AT614" s="1" t="str">
        <f>IF(OR($B614="",AT$7=""),"",IF($B614="MEANS",INDEX('1-DATA'!$1:$1048576,$A613-1,COLUMN('1-DATA'!AS612)),ROUND(INDEX('1-DATA'!$1:$1048576,IF(OR($B614="STD. DEVIATION",$C$1=1),$A614,$A614+1),COLUMN('1-DATA'!AS612)),IF($B614="STD. DEVIATION",2,$F$1))))</f>
        <v/>
      </c>
      <c r="AU614" s="1" t="str">
        <f>IF(OR($B614="",AU$7=""),"",IF($B614="MEANS",INDEX('1-DATA'!$1:$1048576,$A613-1,COLUMN('1-DATA'!AT612)),ROUND(INDEX('1-DATA'!$1:$1048576,IF(OR($B614="STD. DEVIATION",$C$1=1),$A614,$A614+1),COLUMN('1-DATA'!AT612)),IF($B614="STD. DEVIATION",2,$F$1))))</f>
        <v/>
      </c>
      <c r="AV614" s="1" t="str">
        <f>IF(OR($B614="",AV$7=""),"",IF($B614="MEANS",INDEX('1-DATA'!$1:$1048576,$A613-1,COLUMN('1-DATA'!AU612)),ROUND(INDEX('1-DATA'!$1:$1048576,IF(OR($B614="STD. DEVIATION",$C$1=1),$A614,$A614+1),COLUMN('1-DATA'!AU612)),IF($B614="STD. DEVIATION",2,$F$1))))</f>
        <v/>
      </c>
      <c r="AW614" s="1" t="str">
        <f>IF(OR($B614="",AW$7=""),"",IF($B614="MEANS",INDEX('1-DATA'!$1:$1048576,$A613-1,COLUMN('1-DATA'!AV612)),ROUND(INDEX('1-DATA'!$1:$1048576,IF(OR($B614="STD. DEVIATION",$C$1=1),$A614,$A614+1),COLUMN('1-DATA'!AV612)),IF($B614="STD. DEVIATION",2,$F$1))))</f>
        <v/>
      </c>
      <c r="AX614" s="1" t="str">
        <f>IF(OR($B614="",AX$7=""),"",IF($B614="MEANS",INDEX('1-DATA'!$1:$1048576,$A613-1,COLUMN('1-DATA'!AW612)),ROUND(INDEX('1-DATA'!$1:$1048576,IF(OR($B614="STD. DEVIATION",$C$1=1),$A614,$A614+1),COLUMN('1-DATA'!AW612)),IF($B614="STD. DEVIATION",2,$F$1))))</f>
        <v/>
      </c>
      <c r="AY614" s="1" t="str">
        <f>IF(OR($B614="",AY$7=""),"",IF($B614="MEANS",INDEX('1-DATA'!$1:$1048576,$A613-1,COLUMN('1-DATA'!AX612)),ROUND(INDEX('1-DATA'!$1:$1048576,IF(OR($B614="STD. DEVIATION",$C$1=1),$A614,$A614+1),COLUMN('1-DATA'!AX612)),IF($B614="STD. DEVIATION",2,$F$1))))</f>
        <v/>
      </c>
      <c r="AZ614" s="1" t="str">
        <f>IF(OR($B614="",AZ$7=""),"",IF($B614="MEANS",INDEX('1-DATA'!$1:$1048576,$A613-1,COLUMN('1-DATA'!AY612)),ROUND(INDEX('1-DATA'!$1:$1048576,IF(OR($B614="STD. DEVIATION",$C$1=1),$A614,$A614+1),COLUMN('1-DATA'!AY612)),IF($B614="STD. DEVIATION",2,$F$1))))</f>
        <v/>
      </c>
    </row>
    <row r="615" spans="1:52" x14ac:dyDescent="0.25">
      <c r="A615" s="11">
        <f t="shared" si="10"/>
        <v>1831</v>
      </c>
      <c r="B615" s="1" t="str">
        <f>IF(B614="STD. DEVIATION",INDEX('1-DATA'!$1:$1048576,$A614-1,1),IF(INDEX('1-DATA'!$1:$1048576,$A615,1)&lt;&gt;"",INDEX('1-DATA'!$1:$1048576,$A615,1),""))</f>
        <v/>
      </c>
      <c r="C615" s="1" t="str">
        <f>IF(OR($B615="",C$7=""),"",IF($B615="MEANS",INDEX('1-DATA'!$1:$1048576,$A614-1,COLUMN('1-DATA'!B613)),ROUND(INDEX('1-DATA'!$1:$1048576,IF(OR($B615="STD. DEVIATION",$C$1=1),$A615,$A615+1),COLUMN('1-DATA'!B613)),IF($B615="STD. DEVIATION",2,$F$1))))</f>
        <v/>
      </c>
      <c r="D615" s="1" t="str">
        <f>IF(OR($B615="",D$7=""),"",IF($B615="MEANS",INDEX('1-DATA'!$1:$1048576,$A614-1,COLUMN('1-DATA'!C613)),ROUND(INDEX('1-DATA'!$1:$1048576,IF(OR($B615="STD. DEVIATION",$C$1=1),$A615,$A615+1),COLUMN('1-DATA'!C613)),IF($B615="STD. DEVIATION",2,$F$1))))</f>
        <v/>
      </c>
      <c r="E615" s="1" t="str">
        <f>IF(OR($B615="",E$7=""),"",IF($B615="MEANS",INDEX('1-DATA'!$1:$1048576,$A614-1,COLUMN('1-DATA'!D613)),ROUND(INDEX('1-DATA'!$1:$1048576,IF(OR($B615="STD. DEVIATION",$C$1=1),$A615,$A615+1),COLUMN('1-DATA'!D613)),IF($B615="STD. DEVIATION",2,$F$1))))</f>
        <v/>
      </c>
      <c r="F615" s="1" t="str">
        <f>IF(OR($B615="",F$7=""),"",IF($B615="MEANS",INDEX('1-DATA'!$1:$1048576,$A614-1,COLUMN('1-DATA'!E613)),ROUND(INDEX('1-DATA'!$1:$1048576,IF(OR($B615="STD. DEVIATION",$C$1=1),$A615,$A615+1),COLUMN('1-DATA'!E613)),IF($B615="STD. DEVIATION",2,$F$1))))</f>
        <v/>
      </c>
      <c r="G615" s="1" t="str">
        <f>IF(OR($B615="",G$7=""),"",IF($B615="MEANS",INDEX('1-DATA'!$1:$1048576,$A614-1,COLUMN('1-DATA'!F613)),ROUND(INDEX('1-DATA'!$1:$1048576,IF(OR($B615="STD. DEVIATION",$C$1=1),$A615,$A615+1),COLUMN('1-DATA'!F613)),IF($B615="STD. DEVIATION",2,$F$1))))</f>
        <v/>
      </c>
      <c r="H615" s="1" t="str">
        <f>IF(OR($B615="",H$7=""),"",IF($B615="MEANS",INDEX('1-DATA'!$1:$1048576,$A614-1,COLUMN('1-DATA'!G613)),ROUND(INDEX('1-DATA'!$1:$1048576,IF(OR($B615="STD. DEVIATION",$C$1=1),$A615,$A615+1),COLUMN('1-DATA'!G613)),IF($B615="STD. DEVIATION",2,$F$1))))</f>
        <v/>
      </c>
      <c r="I615" s="1" t="str">
        <f>IF(OR($B615="",I$7=""),"",IF($B615="MEANS",INDEX('1-DATA'!$1:$1048576,$A614-1,COLUMN('1-DATA'!H613)),ROUND(INDEX('1-DATA'!$1:$1048576,IF(OR($B615="STD. DEVIATION",$C$1=1),$A615,$A615+1),COLUMN('1-DATA'!H613)),IF($B615="STD. DEVIATION",2,$F$1))))</f>
        <v/>
      </c>
      <c r="J615" s="1" t="str">
        <f>IF(OR($B615="",J$7=""),"",IF($B615="MEANS",INDEX('1-DATA'!$1:$1048576,$A614-1,COLUMN('1-DATA'!I613)),ROUND(INDEX('1-DATA'!$1:$1048576,IF(OR($B615="STD. DEVIATION",$C$1=1),$A615,$A615+1),COLUMN('1-DATA'!I613)),IF($B615="STD. DEVIATION",2,$F$1))))</f>
        <v/>
      </c>
      <c r="K615" s="1" t="str">
        <f>IF(OR($B615="",K$7=""),"",IF($B615="MEANS",INDEX('1-DATA'!$1:$1048576,$A614-1,COLUMN('1-DATA'!J613)),ROUND(INDEX('1-DATA'!$1:$1048576,IF(OR($B615="STD. DEVIATION",$C$1=1),$A615,$A615+1),COLUMN('1-DATA'!J613)),IF($B615="STD. DEVIATION",2,$F$1))))</f>
        <v/>
      </c>
      <c r="L615" s="1" t="str">
        <f>IF(OR($B615="",L$7=""),"",IF($B615="MEANS",INDEX('1-DATA'!$1:$1048576,$A614-1,COLUMN('1-DATA'!K613)),ROUND(INDEX('1-DATA'!$1:$1048576,IF(OR($B615="STD. DEVIATION",$C$1=1),$A615,$A615+1),COLUMN('1-DATA'!K613)),IF($B615="STD. DEVIATION",2,$F$1))))</f>
        <v/>
      </c>
      <c r="M615" s="1" t="str">
        <f>IF(OR($B615="",M$7=""),"",IF($B615="MEANS",INDEX('1-DATA'!$1:$1048576,$A614-1,COLUMN('1-DATA'!L613)),ROUND(INDEX('1-DATA'!$1:$1048576,IF(OR($B615="STD. DEVIATION",$C$1=1),$A615,$A615+1),COLUMN('1-DATA'!L613)),IF($B615="STD. DEVIATION",2,$F$1))))</f>
        <v/>
      </c>
      <c r="N615" s="1" t="str">
        <f>IF(OR($B615="",N$7=""),"",IF($B615="MEANS",INDEX('1-DATA'!$1:$1048576,$A614-1,COLUMN('1-DATA'!M613)),ROUND(INDEX('1-DATA'!$1:$1048576,IF(OR($B615="STD. DEVIATION",$C$1=1),$A615,$A615+1),COLUMN('1-DATA'!M613)),IF($B615="STD. DEVIATION",2,$F$1))))</f>
        <v/>
      </c>
      <c r="O615" s="1" t="str">
        <f>IF(OR($B615="",O$7=""),"",IF($B615="MEANS",INDEX('1-DATA'!$1:$1048576,$A614-1,COLUMN('1-DATA'!N613)),ROUND(INDEX('1-DATA'!$1:$1048576,IF(OR($B615="STD. DEVIATION",$C$1=1),$A615,$A615+1),COLUMN('1-DATA'!N613)),IF($B615="STD. DEVIATION",2,$F$1))))</f>
        <v/>
      </c>
      <c r="P615" s="1" t="str">
        <f>IF(OR($B615="",P$7=""),"",IF($B615="MEANS",INDEX('1-DATA'!$1:$1048576,$A614-1,COLUMN('1-DATA'!O613)),ROUND(INDEX('1-DATA'!$1:$1048576,IF(OR($B615="STD. DEVIATION",$C$1=1),$A615,$A615+1),COLUMN('1-DATA'!O613)),IF($B615="STD. DEVIATION",2,$F$1))))</f>
        <v/>
      </c>
      <c r="Q615" s="1" t="str">
        <f>IF(OR($B615="",Q$7=""),"",IF($B615="MEANS",INDEX('1-DATA'!$1:$1048576,$A614-1,COLUMN('1-DATA'!P613)),ROUND(INDEX('1-DATA'!$1:$1048576,IF(OR($B615="STD. DEVIATION",$C$1=1),$A615,$A615+1),COLUMN('1-DATA'!P613)),IF($B615="STD. DEVIATION",2,$F$1))))</f>
        <v/>
      </c>
      <c r="R615" s="1" t="str">
        <f>IF(OR($B615="",R$7=""),"",IF($B615="MEANS",INDEX('1-DATA'!$1:$1048576,$A614-1,COLUMN('1-DATA'!Q613)),ROUND(INDEX('1-DATA'!$1:$1048576,IF(OR($B615="STD. DEVIATION",$C$1=1),$A615,$A615+1),COLUMN('1-DATA'!Q613)),IF($B615="STD. DEVIATION",2,$F$1))))</f>
        <v/>
      </c>
      <c r="S615" s="1" t="str">
        <f>IF(OR($B615="",S$7=""),"",IF($B615="MEANS",INDEX('1-DATA'!$1:$1048576,$A614-1,COLUMN('1-DATA'!R613)),ROUND(INDEX('1-DATA'!$1:$1048576,IF(OR($B615="STD. DEVIATION",$C$1=1),$A615,$A615+1),COLUMN('1-DATA'!R613)),IF($B615="STD. DEVIATION",2,$F$1))))</f>
        <v/>
      </c>
      <c r="T615" s="1" t="str">
        <f>IF(OR($B615="",T$7=""),"",IF($B615="MEANS",INDEX('1-DATA'!$1:$1048576,$A614-1,COLUMN('1-DATA'!S613)),ROUND(INDEX('1-DATA'!$1:$1048576,IF(OR($B615="STD. DEVIATION",$C$1=1),$A615,$A615+1),COLUMN('1-DATA'!S613)),IF($B615="STD. DEVIATION",2,$F$1))))</f>
        <v/>
      </c>
      <c r="U615" s="1" t="str">
        <f>IF(OR($B615="",U$7=""),"",IF($B615="MEANS",INDEX('1-DATA'!$1:$1048576,$A614-1,COLUMN('1-DATA'!T613)),ROUND(INDEX('1-DATA'!$1:$1048576,IF(OR($B615="STD. DEVIATION",$C$1=1),$A615,$A615+1),COLUMN('1-DATA'!T613)),IF($B615="STD. DEVIATION",2,$F$1))))</f>
        <v/>
      </c>
      <c r="V615" s="1" t="str">
        <f>IF(OR($B615="",V$7=""),"",IF($B615="MEANS",INDEX('1-DATA'!$1:$1048576,$A614-1,COLUMN('1-DATA'!U613)),ROUND(INDEX('1-DATA'!$1:$1048576,IF(OR($B615="STD. DEVIATION",$C$1=1),$A615,$A615+1),COLUMN('1-DATA'!U613)),IF($B615="STD. DEVIATION",2,$F$1))))</f>
        <v/>
      </c>
      <c r="W615" s="1" t="str">
        <f>IF(OR($B615="",W$7=""),"",IF($B615="MEANS",INDEX('1-DATA'!$1:$1048576,$A614-1,COLUMN('1-DATA'!V613)),ROUND(INDEX('1-DATA'!$1:$1048576,IF(OR($B615="STD. DEVIATION",$C$1=1),$A615,$A615+1),COLUMN('1-DATA'!V613)),IF($B615="STD. DEVIATION",2,$F$1))))</f>
        <v/>
      </c>
      <c r="X615" s="1" t="str">
        <f>IF(OR($B615="",X$7=""),"",IF($B615="MEANS",INDEX('1-DATA'!$1:$1048576,$A614-1,COLUMN('1-DATA'!W613)),ROUND(INDEX('1-DATA'!$1:$1048576,IF(OR($B615="STD. DEVIATION",$C$1=1),$A615,$A615+1),COLUMN('1-DATA'!W613)),IF($B615="STD. DEVIATION",2,$F$1))))</f>
        <v/>
      </c>
      <c r="Y615" s="1" t="str">
        <f>IF(OR($B615="",Y$7=""),"",IF($B615="MEANS",INDEX('1-DATA'!$1:$1048576,$A614-1,COLUMN('1-DATA'!X613)),ROUND(INDEX('1-DATA'!$1:$1048576,IF(OR($B615="STD. DEVIATION",$C$1=1),$A615,$A615+1),COLUMN('1-DATA'!X613)),IF($B615="STD. DEVIATION",2,$F$1))))</f>
        <v/>
      </c>
      <c r="Z615" s="1" t="str">
        <f>IF(OR($B615="",Z$7=""),"",IF($B615="MEANS",INDEX('1-DATA'!$1:$1048576,$A614-1,COLUMN('1-DATA'!Y613)),ROUND(INDEX('1-DATA'!$1:$1048576,IF(OR($B615="STD. DEVIATION",$C$1=1),$A615,$A615+1),COLUMN('1-DATA'!Y613)),IF($B615="STD. DEVIATION",2,$F$1))))</f>
        <v/>
      </c>
      <c r="AA615" s="1" t="str">
        <f>IF(OR($B615="",AA$7=""),"",IF($B615="MEANS",INDEX('1-DATA'!$1:$1048576,$A614-1,COLUMN('1-DATA'!Z613)),ROUND(INDEX('1-DATA'!$1:$1048576,IF(OR($B615="STD. DEVIATION",$C$1=1),$A615,$A615+1),COLUMN('1-DATA'!Z613)),IF($B615="STD. DEVIATION",2,$F$1))))</f>
        <v/>
      </c>
      <c r="AB615" s="1" t="str">
        <f>IF(OR($B615="",AB$7=""),"",IF($B615="MEANS",INDEX('1-DATA'!$1:$1048576,$A614-1,COLUMN('1-DATA'!AA613)),ROUND(INDEX('1-DATA'!$1:$1048576,IF(OR($B615="STD. DEVIATION",$C$1=1),$A615,$A615+1),COLUMN('1-DATA'!AA613)),IF($B615="STD. DEVIATION",2,$F$1))))</f>
        <v/>
      </c>
      <c r="AC615" s="1" t="str">
        <f>IF(OR($B615="",AC$7=""),"",IF($B615="MEANS",INDEX('1-DATA'!$1:$1048576,$A614-1,COLUMN('1-DATA'!AB613)),ROUND(INDEX('1-DATA'!$1:$1048576,IF(OR($B615="STD. DEVIATION",$C$1=1),$A615,$A615+1),COLUMN('1-DATA'!AB613)),IF($B615="STD. DEVIATION",2,$F$1))))</f>
        <v/>
      </c>
      <c r="AD615" s="1" t="str">
        <f>IF(OR($B615="",AD$7=""),"",IF($B615="MEANS",INDEX('1-DATA'!$1:$1048576,$A614-1,COLUMN('1-DATA'!AC613)),ROUND(INDEX('1-DATA'!$1:$1048576,IF(OR($B615="STD. DEVIATION",$C$1=1),$A615,$A615+1),COLUMN('1-DATA'!AC613)),IF($B615="STD. DEVIATION",2,$F$1))))</f>
        <v/>
      </c>
      <c r="AE615" s="1" t="str">
        <f>IF(OR($B615="",AE$7=""),"",IF($B615="MEANS",INDEX('1-DATA'!$1:$1048576,$A614-1,COLUMN('1-DATA'!AD613)),ROUND(INDEX('1-DATA'!$1:$1048576,IF(OR($B615="STD. DEVIATION",$C$1=1),$A615,$A615+1),COLUMN('1-DATA'!AD613)),IF($B615="STD. DEVIATION",2,$F$1))))</f>
        <v/>
      </c>
      <c r="AF615" s="1" t="str">
        <f>IF(OR($B615="",AF$7=""),"",IF($B615="MEANS",INDEX('1-DATA'!$1:$1048576,$A614-1,COLUMN('1-DATA'!AE613)),ROUND(INDEX('1-DATA'!$1:$1048576,IF(OR($B615="STD. DEVIATION",$C$1=1),$A615,$A615+1),COLUMN('1-DATA'!AE613)),IF($B615="STD. DEVIATION",2,$F$1))))</f>
        <v/>
      </c>
      <c r="AG615" s="1" t="str">
        <f>IF(OR($B615="",AG$7=""),"",IF($B615="MEANS",INDEX('1-DATA'!$1:$1048576,$A614-1,COLUMN('1-DATA'!AF613)),ROUND(INDEX('1-DATA'!$1:$1048576,IF(OR($B615="STD. DEVIATION",$C$1=1),$A615,$A615+1),COLUMN('1-DATA'!AF613)),IF($B615="STD. DEVIATION",2,$F$1))))</f>
        <v/>
      </c>
      <c r="AH615" s="1" t="str">
        <f>IF(OR($B615="",AH$7=""),"",IF($B615="MEANS",INDEX('1-DATA'!$1:$1048576,$A614-1,COLUMN('1-DATA'!AG613)),ROUND(INDEX('1-DATA'!$1:$1048576,IF(OR($B615="STD. DEVIATION",$C$1=1),$A615,$A615+1),COLUMN('1-DATA'!AG613)),IF($B615="STD. DEVIATION",2,$F$1))))</f>
        <v/>
      </c>
      <c r="AI615" s="1" t="str">
        <f>IF(OR($B615="",AI$7=""),"",IF($B615="MEANS",INDEX('1-DATA'!$1:$1048576,$A614-1,COLUMN('1-DATA'!AH613)),ROUND(INDEX('1-DATA'!$1:$1048576,IF(OR($B615="STD. DEVIATION",$C$1=1),$A615,$A615+1),COLUMN('1-DATA'!AH613)),IF($B615="STD. DEVIATION",2,$F$1))))</f>
        <v/>
      </c>
      <c r="AJ615" s="1" t="str">
        <f>IF(OR($B615="",AJ$7=""),"",IF($B615="MEANS",INDEX('1-DATA'!$1:$1048576,$A614-1,COLUMN('1-DATA'!AI613)),ROUND(INDEX('1-DATA'!$1:$1048576,IF(OR($B615="STD. DEVIATION",$C$1=1),$A615,$A615+1),COLUMN('1-DATA'!AI613)),IF($B615="STD. DEVIATION",2,$F$1))))</f>
        <v/>
      </c>
      <c r="AK615" s="1" t="str">
        <f>IF(OR($B615="",AK$7=""),"",IF($B615="MEANS",INDEX('1-DATA'!$1:$1048576,$A614-1,COLUMN('1-DATA'!AJ613)),ROUND(INDEX('1-DATA'!$1:$1048576,IF(OR($B615="STD. DEVIATION",$C$1=1),$A615,$A615+1),COLUMN('1-DATA'!AJ613)),IF($B615="STD. DEVIATION",2,$F$1))))</f>
        <v/>
      </c>
      <c r="AL615" s="1" t="str">
        <f>IF(OR($B615="",AL$7=""),"",IF($B615="MEANS",INDEX('1-DATA'!$1:$1048576,$A614-1,COLUMN('1-DATA'!AK613)),ROUND(INDEX('1-DATA'!$1:$1048576,IF(OR($B615="STD. DEVIATION",$C$1=1),$A615,$A615+1),COLUMN('1-DATA'!AK613)),IF($B615="STD. DEVIATION",2,$F$1))))</f>
        <v/>
      </c>
      <c r="AM615" s="1" t="str">
        <f>IF(OR($B615="",AM$7=""),"",IF($B615="MEANS",INDEX('1-DATA'!$1:$1048576,$A614-1,COLUMN('1-DATA'!AL613)),ROUND(INDEX('1-DATA'!$1:$1048576,IF(OR($B615="STD. DEVIATION",$C$1=1),$A615,$A615+1),COLUMN('1-DATA'!AL613)),IF($B615="STD. DEVIATION",2,$F$1))))</f>
        <v/>
      </c>
      <c r="AN615" s="1" t="str">
        <f>IF(OR($B615="",AN$7=""),"",IF($B615="MEANS",INDEX('1-DATA'!$1:$1048576,$A614-1,COLUMN('1-DATA'!AM613)),ROUND(INDEX('1-DATA'!$1:$1048576,IF(OR($B615="STD. DEVIATION",$C$1=1),$A615,$A615+1),COLUMN('1-DATA'!AM613)),IF($B615="STD. DEVIATION",2,$F$1))))</f>
        <v/>
      </c>
      <c r="AO615" s="1" t="str">
        <f>IF(OR($B615="",AO$7=""),"",IF($B615="MEANS",INDEX('1-DATA'!$1:$1048576,$A614-1,COLUMN('1-DATA'!AN613)),ROUND(INDEX('1-DATA'!$1:$1048576,IF(OR($B615="STD. DEVIATION",$C$1=1),$A615,$A615+1),COLUMN('1-DATA'!AN613)),IF($B615="STD. DEVIATION",2,$F$1))))</f>
        <v/>
      </c>
      <c r="AP615" s="1" t="str">
        <f>IF(OR($B615="",AP$7=""),"",IF($B615="MEANS",INDEX('1-DATA'!$1:$1048576,$A614-1,COLUMN('1-DATA'!AO613)),ROUND(INDEX('1-DATA'!$1:$1048576,IF(OR($B615="STD. DEVIATION",$C$1=1),$A615,$A615+1),COLUMN('1-DATA'!AO613)),IF($B615="STD. DEVIATION",2,$F$1))))</f>
        <v/>
      </c>
      <c r="AQ615" s="1" t="str">
        <f>IF(OR($B615="",AQ$7=""),"",IF($B615="MEANS",INDEX('1-DATA'!$1:$1048576,$A614-1,COLUMN('1-DATA'!AP613)),ROUND(INDEX('1-DATA'!$1:$1048576,IF(OR($B615="STD. DEVIATION",$C$1=1),$A615,$A615+1),COLUMN('1-DATA'!AP613)),IF($B615="STD. DEVIATION",2,$F$1))))</f>
        <v/>
      </c>
      <c r="AR615" s="1" t="str">
        <f>IF(OR($B615="",AR$7=""),"",IF($B615="MEANS",INDEX('1-DATA'!$1:$1048576,$A614-1,COLUMN('1-DATA'!AQ613)),ROUND(INDEX('1-DATA'!$1:$1048576,IF(OR($B615="STD. DEVIATION",$C$1=1),$A615,$A615+1),COLUMN('1-DATA'!AQ613)),IF($B615="STD. DEVIATION",2,$F$1))))</f>
        <v/>
      </c>
      <c r="AS615" s="1" t="str">
        <f>IF(OR($B615="",AS$7=""),"",IF($B615="MEANS",INDEX('1-DATA'!$1:$1048576,$A614-1,COLUMN('1-DATA'!AR613)),ROUND(INDEX('1-DATA'!$1:$1048576,IF(OR($B615="STD. DEVIATION",$C$1=1),$A615,$A615+1),COLUMN('1-DATA'!AR613)),IF($B615="STD. DEVIATION",2,$F$1))))</f>
        <v/>
      </c>
      <c r="AT615" s="1" t="str">
        <f>IF(OR($B615="",AT$7=""),"",IF($B615="MEANS",INDEX('1-DATA'!$1:$1048576,$A614-1,COLUMN('1-DATA'!AS613)),ROUND(INDEX('1-DATA'!$1:$1048576,IF(OR($B615="STD. DEVIATION",$C$1=1),$A615,$A615+1),COLUMN('1-DATA'!AS613)),IF($B615="STD. DEVIATION",2,$F$1))))</f>
        <v/>
      </c>
      <c r="AU615" s="1" t="str">
        <f>IF(OR($B615="",AU$7=""),"",IF($B615="MEANS",INDEX('1-DATA'!$1:$1048576,$A614-1,COLUMN('1-DATA'!AT613)),ROUND(INDEX('1-DATA'!$1:$1048576,IF(OR($B615="STD. DEVIATION",$C$1=1),$A615,$A615+1),COLUMN('1-DATA'!AT613)),IF($B615="STD. DEVIATION",2,$F$1))))</f>
        <v/>
      </c>
      <c r="AV615" s="1" t="str">
        <f>IF(OR($B615="",AV$7=""),"",IF($B615="MEANS",INDEX('1-DATA'!$1:$1048576,$A614-1,COLUMN('1-DATA'!AU613)),ROUND(INDEX('1-DATA'!$1:$1048576,IF(OR($B615="STD. DEVIATION",$C$1=1),$A615,$A615+1),COLUMN('1-DATA'!AU613)),IF($B615="STD. DEVIATION",2,$F$1))))</f>
        <v/>
      </c>
      <c r="AW615" s="1" t="str">
        <f>IF(OR($B615="",AW$7=""),"",IF($B615="MEANS",INDEX('1-DATA'!$1:$1048576,$A614-1,COLUMN('1-DATA'!AV613)),ROUND(INDEX('1-DATA'!$1:$1048576,IF(OR($B615="STD. DEVIATION",$C$1=1),$A615,$A615+1),COLUMN('1-DATA'!AV613)),IF($B615="STD. DEVIATION",2,$F$1))))</f>
        <v/>
      </c>
      <c r="AX615" s="1" t="str">
        <f>IF(OR($B615="",AX$7=""),"",IF($B615="MEANS",INDEX('1-DATA'!$1:$1048576,$A614-1,COLUMN('1-DATA'!AW613)),ROUND(INDEX('1-DATA'!$1:$1048576,IF(OR($B615="STD. DEVIATION",$C$1=1),$A615,$A615+1),COLUMN('1-DATA'!AW613)),IF($B615="STD. DEVIATION",2,$F$1))))</f>
        <v/>
      </c>
      <c r="AY615" s="1" t="str">
        <f>IF(OR($B615="",AY$7=""),"",IF($B615="MEANS",INDEX('1-DATA'!$1:$1048576,$A614-1,COLUMN('1-DATA'!AX613)),ROUND(INDEX('1-DATA'!$1:$1048576,IF(OR($B615="STD. DEVIATION",$C$1=1),$A615,$A615+1),COLUMN('1-DATA'!AX613)),IF($B615="STD. DEVIATION",2,$F$1))))</f>
        <v/>
      </c>
      <c r="AZ615" s="1" t="str">
        <f>IF(OR($B615="",AZ$7=""),"",IF($B615="MEANS",INDEX('1-DATA'!$1:$1048576,$A614-1,COLUMN('1-DATA'!AY613)),ROUND(INDEX('1-DATA'!$1:$1048576,IF(OR($B615="STD. DEVIATION",$C$1=1),$A615,$A615+1),COLUMN('1-DATA'!AY613)),IF($B615="STD. DEVIATION",2,$F$1))))</f>
        <v/>
      </c>
    </row>
    <row r="616" spans="1:52" x14ac:dyDescent="0.25">
      <c r="A616" s="11">
        <f t="shared" si="10"/>
        <v>1834</v>
      </c>
      <c r="B616" s="1" t="str">
        <f>IF(B615="STD. DEVIATION",INDEX('1-DATA'!$1:$1048576,$A615-1,1),IF(INDEX('1-DATA'!$1:$1048576,$A616,1)&lt;&gt;"",INDEX('1-DATA'!$1:$1048576,$A616,1),""))</f>
        <v/>
      </c>
      <c r="C616" s="1" t="str">
        <f>IF(OR($B616="",C$7=""),"",IF($B616="MEANS",INDEX('1-DATA'!$1:$1048576,$A615-1,COLUMN('1-DATA'!B614)),ROUND(INDEX('1-DATA'!$1:$1048576,IF(OR($B616="STD. DEVIATION",$C$1=1),$A616,$A616+1),COLUMN('1-DATA'!B614)),IF($B616="STD. DEVIATION",2,$F$1))))</f>
        <v/>
      </c>
      <c r="D616" s="1" t="str">
        <f>IF(OR($B616="",D$7=""),"",IF($B616="MEANS",INDEX('1-DATA'!$1:$1048576,$A615-1,COLUMN('1-DATA'!C614)),ROUND(INDEX('1-DATA'!$1:$1048576,IF(OR($B616="STD. DEVIATION",$C$1=1),$A616,$A616+1),COLUMN('1-DATA'!C614)),IF($B616="STD. DEVIATION",2,$F$1))))</f>
        <v/>
      </c>
      <c r="E616" s="1" t="str">
        <f>IF(OR($B616="",E$7=""),"",IF($B616="MEANS",INDEX('1-DATA'!$1:$1048576,$A615-1,COLUMN('1-DATA'!D614)),ROUND(INDEX('1-DATA'!$1:$1048576,IF(OR($B616="STD. DEVIATION",$C$1=1),$A616,$A616+1),COLUMN('1-DATA'!D614)),IF($B616="STD. DEVIATION",2,$F$1))))</f>
        <v/>
      </c>
      <c r="F616" s="1" t="str">
        <f>IF(OR($B616="",F$7=""),"",IF($B616="MEANS",INDEX('1-DATA'!$1:$1048576,$A615-1,COLUMN('1-DATA'!E614)),ROUND(INDEX('1-DATA'!$1:$1048576,IF(OR($B616="STD. DEVIATION",$C$1=1),$A616,$A616+1),COLUMN('1-DATA'!E614)),IF($B616="STD. DEVIATION",2,$F$1))))</f>
        <v/>
      </c>
      <c r="G616" s="1" t="str">
        <f>IF(OR($B616="",G$7=""),"",IF($B616="MEANS",INDEX('1-DATA'!$1:$1048576,$A615-1,COLUMN('1-DATA'!F614)),ROUND(INDEX('1-DATA'!$1:$1048576,IF(OR($B616="STD. DEVIATION",$C$1=1),$A616,$A616+1),COLUMN('1-DATA'!F614)),IF($B616="STD. DEVIATION",2,$F$1))))</f>
        <v/>
      </c>
      <c r="H616" s="1" t="str">
        <f>IF(OR($B616="",H$7=""),"",IF($B616="MEANS",INDEX('1-DATA'!$1:$1048576,$A615-1,COLUMN('1-DATA'!G614)),ROUND(INDEX('1-DATA'!$1:$1048576,IF(OR($B616="STD. DEVIATION",$C$1=1),$A616,$A616+1),COLUMN('1-DATA'!G614)),IF($B616="STD. DEVIATION",2,$F$1))))</f>
        <v/>
      </c>
      <c r="I616" s="1" t="str">
        <f>IF(OR($B616="",I$7=""),"",IF($B616="MEANS",INDEX('1-DATA'!$1:$1048576,$A615-1,COLUMN('1-DATA'!H614)),ROUND(INDEX('1-DATA'!$1:$1048576,IF(OR($B616="STD. DEVIATION",$C$1=1),$A616,$A616+1),COLUMN('1-DATA'!H614)),IF($B616="STD. DEVIATION",2,$F$1))))</f>
        <v/>
      </c>
      <c r="J616" s="1" t="str">
        <f>IF(OR($B616="",J$7=""),"",IF($B616="MEANS",INDEX('1-DATA'!$1:$1048576,$A615-1,COLUMN('1-DATA'!I614)),ROUND(INDEX('1-DATA'!$1:$1048576,IF(OR($B616="STD. DEVIATION",$C$1=1),$A616,$A616+1),COLUMN('1-DATA'!I614)),IF($B616="STD. DEVIATION",2,$F$1))))</f>
        <v/>
      </c>
      <c r="K616" s="1" t="str">
        <f>IF(OR($B616="",K$7=""),"",IF($B616="MEANS",INDEX('1-DATA'!$1:$1048576,$A615-1,COLUMN('1-DATA'!J614)),ROUND(INDEX('1-DATA'!$1:$1048576,IF(OR($B616="STD. DEVIATION",$C$1=1),$A616,$A616+1),COLUMN('1-DATA'!J614)),IF($B616="STD. DEVIATION",2,$F$1))))</f>
        <v/>
      </c>
      <c r="L616" s="1" t="str">
        <f>IF(OR($B616="",L$7=""),"",IF($B616="MEANS",INDEX('1-DATA'!$1:$1048576,$A615-1,COLUMN('1-DATA'!K614)),ROUND(INDEX('1-DATA'!$1:$1048576,IF(OR($B616="STD. DEVIATION",$C$1=1),$A616,$A616+1),COLUMN('1-DATA'!K614)),IF($B616="STD. DEVIATION",2,$F$1))))</f>
        <v/>
      </c>
      <c r="M616" s="1" t="str">
        <f>IF(OR($B616="",M$7=""),"",IF($B616="MEANS",INDEX('1-DATA'!$1:$1048576,$A615-1,COLUMN('1-DATA'!L614)),ROUND(INDEX('1-DATA'!$1:$1048576,IF(OR($B616="STD. DEVIATION",$C$1=1),$A616,$A616+1),COLUMN('1-DATA'!L614)),IF($B616="STD. DEVIATION",2,$F$1))))</f>
        <v/>
      </c>
      <c r="N616" s="1" t="str">
        <f>IF(OR($B616="",N$7=""),"",IF($B616="MEANS",INDEX('1-DATA'!$1:$1048576,$A615-1,COLUMN('1-DATA'!M614)),ROUND(INDEX('1-DATA'!$1:$1048576,IF(OR($B616="STD. DEVIATION",$C$1=1),$A616,$A616+1),COLUMN('1-DATA'!M614)),IF($B616="STD. DEVIATION",2,$F$1))))</f>
        <v/>
      </c>
      <c r="O616" s="1" t="str">
        <f>IF(OR($B616="",O$7=""),"",IF($B616="MEANS",INDEX('1-DATA'!$1:$1048576,$A615-1,COLUMN('1-DATA'!N614)),ROUND(INDEX('1-DATA'!$1:$1048576,IF(OR($B616="STD. DEVIATION",$C$1=1),$A616,$A616+1),COLUMN('1-DATA'!N614)),IF($B616="STD. DEVIATION",2,$F$1))))</f>
        <v/>
      </c>
      <c r="P616" s="1" t="str">
        <f>IF(OR($B616="",P$7=""),"",IF($B616="MEANS",INDEX('1-DATA'!$1:$1048576,$A615-1,COLUMN('1-DATA'!O614)),ROUND(INDEX('1-DATA'!$1:$1048576,IF(OR($B616="STD. DEVIATION",$C$1=1),$A616,$A616+1),COLUMN('1-DATA'!O614)),IF($B616="STD. DEVIATION",2,$F$1))))</f>
        <v/>
      </c>
      <c r="Q616" s="1" t="str">
        <f>IF(OR($B616="",Q$7=""),"",IF($B616="MEANS",INDEX('1-DATA'!$1:$1048576,$A615-1,COLUMN('1-DATA'!P614)),ROUND(INDEX('1-DATA'!$1:$1048576,IF(OR($B616="STD. DEVIATION",$C$1=1),$A616,$A616+1),COLUMN('1-DATA'!P614)),IF($B616="STD. DEVIATION",2,$F$1))))</f>
        <v/>
      </c>
      <c r="R616" s="1" t="str">
        <f>IF(OR($B616="",R$7=""),"",IF($B616="MEANS",INDEX('1-DATA'!$1:$1048576,$A615-1,COLUMN('1-DATA'!Q614)),ROUND(INDEX('1-DATA'!$1:$1048576,IF(OR($B616="STD. DEVIATION",$C$1=1),$A616,$A616+1),COLUMN('1-DATA'!Q614)),IF($B616="STD. DEVIATION",2,$F$1))))</f>
        <v/>
      </c>
      <c r="S616" s="1" t="str">
        <f>IF(OR($B616="",S$7=""),"",IF($B616="MEANS",INDEX('1-DATA'!$1:$1048576,$A615-1,COLUMN('1-DATA'!R614)),ROUND(INDEX('1-DATA'!$1:$1048576,IF(OR($B616="STD. DEVIATION",$C$1=1),$A616,$A616+1),COLUMN('1-DATA'!R614)),IF($B616="STD. DEVIATION",2,$F$1))))</f>
        <v/>
      </c>
      <c r="T616" s="1" t="str">
        <f>IF(OR($B616="",T$7=""),"",IF($B616="MEANS",INDEX('1-DATA'!$1:$1048576,$A615-1,COLUMN('1-DATA'!S614)),ROUND(INDEX('1-DATA'!$1:$1048576,IF(OR($B616="STD. DEVIATION",$C$1=1),$A616,$A616+1),COLUMN('1-DATA'!S614)),IF($B616="STD. DEVIATION",2,$F$1))))</f>
        <v/>
      </c>
      <c r="U616" s="1" t="str">
        <f>IF(OR($B616="",U$7=""),"",IF($B616="MEANS",INDEX('1-DATA'!$1:$1048576,$A615-1,COLUMN('1-DATA'!T614)),ROUND(INDEX('1-DATA'!$1:$1048576,IF(OR($B616="STD. DEVIATION",$C$1=1),$A616,$A616+1),COLUMN('1-DATA'!T614)),IF($B616="STD. DEVIATION",2,$F$1))))</f>
        <v/>
      </c>
      <c r="V616" s="1" t="str">
        <f>IF(OR($B616="",V$7=""),"",IF($B616="MEANS",INDEX('1-DATA'!$1:$1048576,$A615-1,COLUMN('1-DATA'!U614)),ROUND(INDEX('1-DATA'!$1:$1048576,IF(OR($B616="STD. DEVIATION",$C$1=1),$A616,$A616+1),COLUMN('1-DATA'!U614)),IF($B616="STD. DEVIATION",2,$F$1))))</f>
        <v/>
      </c>
      <c r="W616" s="1" t="str">
        <f>IF(OR($B616="",W$7=""),"",IF($B616="MEANS",INDEX('1-DATA'!$1:$1048576,$A615-1,COLUMN('1-DATA'!V614)),ROUND(INDEX('1-DATA'!$1:$1048576,IF(OR($B616="STD. DEVIATION",$C$1=1),$A616,$A616+1),COLUMN('1-DATA'!V614)),IF($B616="STD. DEVIATION",2,$F$1))))</f>
        <v/>
      </c>
      <c r="X616" s="1" t="str">
        <f>IF(OR($B616="",X$7=""),"",IF($B616="MEANS",INDEX('1-DATA'!$1:$1048576,$A615-1,COLUMN('1-DATA'!W614)),ROUND(INDEX('1-DATA'!$1:$1048576,IF(OR($B616="STD. DEVIATION",$C$1=1),$A616,$A616+1),COLUMN('1-DATA'!W614)),IF($B616="STD. DEVIATION",2,$F$1))))</f>
        <v/>
      </c>
      <c r="Y616" s="1" t="str">
        <f>IF(OR($B616="",Y$7=""),"",IF($B616="MEANS",INDEX('1-DATA'!$1:$1048576,$A615-1,COLUMN('1-DATA'!X614)),ROUND(INDEX('1-DATA'!$1:$1048576,IF(OR($B616="STD. DEVIATION",$C$1=1),$A616,$A616+1),COLUMN('1-DATA'!X614)),IF($B616="STD. DEVIATION",2,$F$1))))</f>
        <v/>
      </c>
      <c r="Z616" s="1" t="str">
        <f>IF(OR($B616="",Z$7=""),"",IF($B616="MEANS",INDEX('1-DATA'!$1:$1048576,$A615-1,COLUMN('1-DATA'!Y614)),ROUND(INDEX('1-DATA'!$1:$1048576,IF(OR($B616="STD. DEVIATION",$C$1=1),$A616,$A616+1),COLUMN('1-DATA'!Y614)),IF($B616="STD. DEVIATION",2,$F$1))))</f>
        <v/>
      </c>
      <c r="AA616" s="1" t="str">
        <f>IF(OR($B616="",AA$7=""),"",IF($B616="MEANS",INDEX('1-DATA'!$1:$1048576,$A615-1,COLUMN('1-DATA'!Z614)),ROUND(INDEX('1-DATA'!$1:$1048576,IF(OR($B616="STD. DEVIATION",$C$1=1),$A616,$A616+1),COLUMN('1-DATA'!Z614)),IF($B616="STD. DEVIATION",2,$F$1))))</f>
        <v/>
      </c>
      <c r="AB616" s="1" t="str">
        <f>IF(OR($B616="",AB$7=""),"",IF($B616="MEANS",INDEX('1-DATA'!$1:$1048576,$A615-1,COLUMN('1-DATA'!AA614)),ROUND(INDEX('1-DATA'!$1:$1048576,IF(OR($B616="STD. DEVIATION",$C$1=1),$A616,$A616+1),COLUMN('1-DATA'!AA614)),IF($B616="STD. DEVIATION",2,$F$1))))</f>
        <v/>
      </c>
      <c r="AC616" s="1" t="str">
        <f>IF(OR($B616="",AC$7=""),"",IF($B616="MEANS",INDEX('1-DATA'!$1:$1048576,$A615-1,COLUMN('1-DATA'!AB614)),ROUND(INDEX('1-DATA'!$1:$1048576,IF(OR($B616="STD. DEVIATION",$C$1=1),$A616,$A616+1),COLUMN('1-DATA'!AB614)),IF($B616="STD. DEVIATION",2,$F$1))))</f>
        <v/>
      </c>
      <c r="AD616" s="1" t="str">
        <f>IF(OR($B616="",AD$7=""),"",IF($B616="MEANS",INDEX('1-DATA'!$1:$1048576,$A615-1,COLUMN('1-DATA'!AC614)),ROUND(INDEX('1-DATA'!$1:$1048576,IF(OR($B616="STD. DEVIATION",$C$1=1),$A616,$A616+1),COLUMN('1-DATA'!AC614)),IF($B616="STD. DEVIATION",2,$F$1))))</f>
        <v/>
      </c>
      <c r="AE616" s="1" t="str">
        <f>IF(OR($B616="",AE$7=""),"",IF($B616="MEANS",INDEX('1-DATA'!$1:$1048576,$A615-1,COLUMN('1-DATA'!AD614)),ROUND(INDEX('1-DATA'!$1:$1048576,IF(OR($B616="STD. DEVIATION",$C$1=1),$A616,$A616+1),COLUMN('1-DATA'!AD614)),IF($B616="STD. DEVIATION",2,$F$1))))</f>
        <v/>
      </c>
      <c r="AF616" s="1" t="str">
        <f>IF(OR($B616="",AF$7=""),"",IF($B616="MEANS",INDEX('1-DATA'!$1:$1048576,$A615-1,COLUMN('1-DATA'!AE614)),ROUND(INDEX('1-DATA'!$1:$1048576,IF(OR($B616="STD. DEVIATION",$C$1=1),$A616,$A616+1),COLUMN('1-DATA'!AE614)),IF($B616="STD. DEVIATION",2,$F$1))))</f>
        <v/>
      </c>
      <c r="AG616" s="1" t="str">
        <f>IF(OR($B616="",AG$7=""),"",IF($B616="MEANS",INDEX('1-DATA'!$1:$1048576,$A615-1,COLUMN('1-DATA'!AF614)),ROUND(INDEX('1-DATA'!$1:$1048576,IF(OR($B616="STD. DEVIATION",$C$1=1),$A616,$A616+1),COLUMN('1-DATA'!AF614)),IF($B616="STD. DEVIATION",2,$F$1))))</f>
        <v/>
      </c>
      <c r="AH616" s="1" t="str">
        <f>IF(OR($B616="",AH$7=""),"",IF($B616="MEANS",INDEX('1-DATA'!$1:$1048576,$A615-1,COLUMN('1-DATA'!AG614)),ROUND(INDEX('1-DATA'!$1:$1048576,IF(OR($B616="STD. DEVIATION",$C$1=1),$A616,$A616+1),COLUMN('1-DATA'!AG614)),IF($B616="STD. DEVIATION",2,$F$1))))</f>
        <v/>
      </c>
      <c r="AI616" s="1" t="str">
        <f>IF(OR($B616="",AI$7=""),"",IF($B616="MEANS",INDEX('1-DATA'!$1:$1048576,$A615-1,COLUMN('1-DATA'!AH614)),ROUND(INDEX('1-DATA'!$1:$1048576,IF(OR($B616="STD. DEVIATION",$C$1=1),$A616,$A616+1),COLUMN('1-DATA'!AH614)),IF($B616="STD. DEVIATION",2,$F$1))))</f>
        <v/>
      </c>
      <c r="AJ616" s="1" t="str">
        <f>IF(OR($B616="",AJ$7=""),"",IF($B616="MEANS",INDEX('1-DATA'!$1:$1048576,$A615-1,COLUMN('1-DATA'!AI614)),ROUND(INDEX('1-DATA'!$1:$1048576,IF(OR($B616="STD. DEVIATION",$C$1=1),$A616,$A616+1),COLUMN('1-DATA'!AI614)),IF($B616="STD. DEVIATION",2,$F$1))))</f>
        <v/>
      </c>
      <c r="AK616" s="1" t="str">
        <f>IF(OR($B616="",AK$7=""),"",IF($B616="MEANS",INDEX('1-DATA'!$1:$1048576,$A615-1,COLUMN('1-DATA'!AJ614)),ROUND(INDEX('1-DATA'!$1:$1048576,IF(OR($B616="STD. DEVIATION",$C$1=1),$A616,$A616+1),COLUMN('1-DATA'!AJ614)),IF($B616="STD. DEVIATION",2,$F$1))))</f>
        <v/>
      </c>
      <c r="AL616" s="1" t="str">
        <f>IF(OR($B616="",AL$7=""),"",IF($B616="MEANS",INDEX('1-DATA'!$1:$1048576,$A615-1,COLUMN('1-DATA'!AK614)),ROUND(INDEX('1-DATA'!$1:$1048576,IF(OR($B616="STD. DEVIATION",$C$1=1),$A616,$A616+1),COLUMN('1-DATA'!AK614)),IF($B616="STD. DEVIATION",2,$F$1))))</f>
        <v/>
      </c>
      <c r="AM616" s="1" t="str">
        <f>IF(OR($B616="",AM$7=""),"",IF($B616="MEANS",INDEX('1-DATA'!$1:$1048576,$A615-1,COLUMN('1-DATA'!AL614)),ROUND(INDEX('1-DATA'!$1:$1048576,IF(OR($B616="STD. DEVIATION",$C$1=1),$A616,$A616+1),COLUMN('1-DATA'!AL614)),IF($B616="STD. DEVIATION",2,$F$1))))</f>
        <v/>
      </c>
      <c r="AN616" s="1" t="str">
        <f>IF(OR($B616="",AN$7=""),"",IF($B616="MEANS",INDEX('1-DATA'!$1:$1048576,$A615-1,COLUMN('1-DATA'!AM614)),ROUND(INDEX('1-DATA'!$1:$1048576,IF(OR($B616="STD. DEVIATION",$C$1=1),$A616,$A616+1),COLUMN('1-DATA'!AM614)),IF($B616="STD. DEVIATION",2,$F$1))))</f>
        <v/>
      </c>
      <c r="AO616" s="1" t="str">
        <f>IF(OR($B616="",AO$7=""),"",IF($B616="MEANS",INDEX('1-DATA'!$1:$1048576,$A615-1,COLUMN('1-DATA'!AN614)),ROUND(INDEX('1-DATA'!$1:$1048576,IF(OR($B616="STD. DEVIATION",$C$1=1),$A616,$A616+1),COLUMN('1-DATA'!AN614)),IF($B616="STD. DEVIATION",2,$F$1))))</f>
        <v/>
      </c>
      <c r="AP616" s="1" t="str">
        <f>IF(OR($B616="",AP$7=""),"",IF($B616="MEANS",INDEX('1-DATA'!$1:$1048576,$A615-1,COLUMN('1-DATA'!AO614)),ROUND(INDEX('1-DATA'!$1:$1048576,IF(OR($B616="STD. DEVIATION",$C$1=1),$A616,$A616+1),COLUMN('1-DATA'!AO614)),IF($B616="STD. DEVIATION",2,$F$1))))</f>
        <v/>
      </c>
      <c r="AQ616" s="1" t="str">
        <f>IF(OR($B616="",AQ$7=""),"",IF($B616="MEANS",INDEX('1-DATA'!$1:$1048576,$A615-1,COLUMN('1-DATA'!AP614)),ROUND(INDEX('1-DATA'!$1:$1048576,IF(OR($B616="STD. DEVIATION",$C$1=1),$A616,$A616+1),COLUMN('1-DATA'!AP614)),IF($B616="STD. DEVIATION",2,$F$1))))</f>
        <v/>
      </c>
      <c r="AR616" s="1" t="str">
        <f>IF(OR($B616="",AR$7=""),"",IF($B616="MEANS",INDEX('1-DATA'!$1:$1048576,$A615-1,COLUMN('1-DATA'!AQ614)),ROUND(INDEX('1-DATA'!$1:$1048576,IF(OR($B616="STD. DEVIATION",$C$1=1),$A616,$A616+1),COLUMN('1-DATA'!AQ614)),IF($B616="STD. DEVIATION",2,$F$1))))</f>
        <v/>
      </c>
      <c r="AS616" s="1" t="str">
        <f>IF(OR($B616="",AS$7=""),"",IF($B616="MEANS",INDEX('1-DATA'!$1:$1048576,$A615-1,COLUMN('1-DATA'!AR614)),ROUND(INDEX('1-DATA'!$1:$1048576,IF(OR($B616="STD. DEVIATION",$C$1=1),$A616,$A616+1),COLUMN('1-DATA'!AR614)),IF($B616="STD. DEVIATION",2,$F$1))))</f>
        <v/>
      </c>
      <c r="AT616" s="1" t="str">
        <f>IF(OR($B616="",AT$7=""),"",IF($B616="MEANS",INDEX('1-DATA'!$1:$1048576,$A615-1,COLUMN('1-DATA'!AS614)),ROUND(INDEX('1-DATA'!$1:$1048576,IF(OR($B616="STD. DEVIATION",$C$1=1),$A616,$A616+1),COLUMN('1-DATA'!AS614)),IF($B616="STD. DEVIATION",2,$F$1))))</f>
        <v/>
      </c>
      <c r="AU616" s="1" t="str">
        <f>IF(OR($B616="",AU$7=""),"",IF($B616="MEANS",INDEX('1-DATA'!$1:$1048576,$A615-1,COLUMN('1-DATA'!AT614)),ROUND(INDEX('1-DATA'!$1:$1048576,IF(OR($B616="STD. DEVIATION",$C$1=1),$A616,$A616+1),COLUMN('1-DATA'!AT614)),IF($B616="STD. DEVIATION",2,$F$1))))</f>
        <v/>
      </c>
      <c r="AV616" s="1" t="str">
        <f>IF(OR($B616="",AV$7=""),"",IF($B616="MEANS",INDEX('1-DATA'!$1:$1048576,$A615-1,COLUMN('1-DATA'!AU614)),ROUND(INDEX('1-DATA'!$1:$1048576,IF(OR($B616="STD. DEVIATION",$C$1=1),$A616,$A616+1),COLUMN('1-DATA'!AU614)),IF($B616="STD. DEVIATION",2,$F$1))))</f>
        <v/>
      </c>
      <c r="AW616" s="1" t="str">
        <f>IF(OR($B616="",AW$7=""),"",IF($B616="MEANS",INDEX('1-DATA'!$1:$1048576,$A615-1,COLUMN('1-DATA'!AV614)),ROUND(INDEX('1-DATA'!$1:$1048576,IF(OR($B616="STD. DEVIATION",$C$1=1),$A616,$A616+1),COLUMN('1-DATA'!AV614)),IF($B616="STD. DEVIATION",2,$F$1))))</f>
        <v/>
      </c>
      <c r="AX616" s="1" t="str">
        <f>IF(OR($B616="",AX$7=""),"",IF($B616="MEANS",INDEX('1-DATA'!$1:$1048576,$A615-1,COLUMN('1-DATA'!AW614)),ROUND(INDEX('1-DATA'!$1:$1048576,IF(OR($B616="STD. DEVIATION",$C$1=1),$A616,$A616+1),COLUMN('1-DATA'!AW614)),IF($B616="STD. DEVIATION",2,$F$1))))</f>
        <v/>
      </c>
      <c r="AY616" s="1" t="str">
        <f>IF(OR($B616="",AY$7=""),"",IF($B616="MEANS",INDEX('1-DATA'!$1:$1048576,$A615-1,COLUMN('1-DATA'!AX614)),ROUND(INDEX('1-DATA'!$1:$1048576,IF(OR($B616="STD. DEVIATION",$C$1=1),$A616,$A616+1),COLUMN('1-DATA'!AX614)),IF($B616="STD. DEVIATION",2,$F$1))))</f>
        <v/>
      </c>
      <c r="AZ616" s="1" t="str">
        <f>IF(OR($B616="",AZ$7=""),"",IF($B616="MEANS",INDEX('1-DATA'!$1:$1048576,$A615-1,COLUMN('1-DATA'!AY614)),ROUND(INDEX('1-DATA'!$1:$1048576,IF(OR($B616="STD. DEVIATION",$C$1=1),$A616,$A616+1),COLUMN('1-DATA'!AY614)),IF($B616="STD. DEVIATION",2,$F$1))))</f>
        <v/>
      </c>
    </row>
    <row r="617" spans="1:52" x14ac:dyDescent="0.25">
      <c r="A617" s="11">
        <f t="shared" si="10"/>
        <v>1837</v>
      </c>
      <c r="B617" s="1" t="str">
        <f>IF(B616="STD. DEVIATION",INDEX('1-DATA'!$1:$1048576,$A616-1,1),IF(INDEX('1-DATA'!$1:$1048576,$A617,1)&lt;&gt;"",INDEX('1-DATA'!$1:$1048576,$A617,1),""))</f>
        <v/>
      </c>
      <c r="C617" s="1" t="str">
        <f>IF(OR($B617="",C$7=""),"",IF($B617="MEANS",INDEX('1-DATA'!$1:$1048576,$A616-1,COLUMN('1-DATA'!B615)),ROUND(INDEX('1-DATA'!$1:$1048576,IF(OR($B617="STD. DEVIATION",$C$1=1),$A617,$A617+1),COLUMN('1-DATA'!B615)),IF($B617="STD. DEVIATION",2,$F$1))))</f>
        <v/>
      </c>
      <c r="D617" s="1" t="str">
        <f>IF(OR($B617="",D$7=""),"",IF($B617="MEANS",INDEX('1-DATA'!$1:$1048576,$A616-1,COLUMN('1-DATA'!C615)),ROUND(INDEX('1-DATA'!$1:$1048576,IF(OR($B617="STD. DEVIATION",$C$1=1),$A617,$A617+1),COLUMN('1-DATA'!C615)),IF($B617="STD. DEVIATION",2,$F$1))))</f>
        <v/>
      </c>
      <c r="E617" s="1" t="str">
        <f>IF(OR($B617="",E$7=""),"",IF($B617="MEANS",INDEX('1-DATA'!$1:$1048576,$A616-1,COLUMN('1-DATA'!D615)),ROUND(INDEX('1-DATA'!$1:$1048576,IF(OR($B617="STD. DEVIATION",$C$1=1),$A617,$A617+1),COLUMN('1-DATA'!D615)),IF($B617="STD. DEVIATION",2,$F$1))))</f>
        <v/>
      </c>
      <c r="F617" s="1" t="str">
        <f>IF(OR($B617="",F$7=""),"",IF($B617="MEANS",INDEX('1-DATA'!$1:$1048576,$A616-1,COLUMN('1-DATA'!E615)),ROUND(INDEX('1-DATA'!$1:$1048576,IF(OR($B617="STD. DEVIATION",$C$1=1),$A617,$A617+1),COLUMN('1-DATA'!E615)),IF($B617="STD. DEVIATION",2,$F$1))))</f>
        <v/>
      </c>
      <c r="G617" s="1" t="str">
        <f>IF(OR($B617="",G$7=""),"",IF($B617="MEANS",INDEX('1-DATA'!$1:$1048576,$A616-1,COLUMN('1-DATA'!F615)),ROUND(INDEX('1-DATA'!$1:$1048576,IF(OR($B617="STD. DEVIATION",$C$1=1),$A617,$A617+1),COLUMN('1-DATA'!F615)),IF($B617="STD. DEVIATION",2,$F$1))))</f>
        <v/>
      </c>
      <c r="H617" s="1" t="str">
        <f>IF(OR($B617="",H$7=""),"",IF($B617="MEANS",INDEX('1-DATA'!$1:$1048576,$A616-1,COLUMN('1-DATA'!G615)),ROUND(INDEX('1-DATA'!$1:$1048576,IF(OR($B617="STD. DEVIATION",$C$1=1),$A617,$A617+1),COLUMN('1-DATA'!G615)),IF($B617="STD. DEVIATION",2,$F$1))))</f>
        <v/>
      </c>
      <c r="I617" s="1" t="str">
        <f>IF(OR($B617="",I$7=""),"",IF($B617="MEANS",INDEX('1-DATA'!$1:$1048576,$A616-1,COLUMN('1-DATA'!H615)),ROUND(INDEX('1-DATA'!$1:$1048576,IF(OR($B617="STD. DEVIATION",$C$1=1),$A617,$A617+1),COLUMN('1-DATA'!H615)),IF($B617="STD. DEVIATION",2,$F$1))))</f>
        <v/>
      </c>
      <c r="J617" s="1" t="str">
        <f>IF(OR($B617="",J$7=""),"",IF($B617="MEANS",INDEX('1-DATA'!$1:$1048576,$A616-1,COLUMN('1-DATA'!I615)),ROUND(INDEX('1-DATA'!$1:$1048576,IF(OR($B617="STD. DEVIATION",$C$1=1),$A617,$A617+1),COLUMN('1-DATA'!I615)),IF($B617="STD. DEVIATION",2,$F$1))))</f>
        <v/>
      </c>
      <c r="K617" s="1" t="str">
        <f>IF(OR($B617="",K$7=""),"",IF($B617="MEANS",INDEX('1-DATA'!$1:$1048576,$A616-1,COLUMN('1-DATA'!J615)),ROUND(INDEX('1-DATA'!$1:$1048576,IF(OR($B617="STD. DEVIATION",$C$1=1),$A617,$A617+1),COLUMN('1-DATA'!J615)),IF($B617="STD. DEVIATION",2,$F$1))))</f>
        <v/>
      </c>
      <c r="L617" s="1" t="str">
        <f>IF(OR($B617="",L$7=""),"",IF($B617="MEANS",INDEX('1-DATA'!$1:$1048576,$A616-1,COLUMN('1-DATA'!K615)),ROUND(INDEX('1-DATA'!$1:$1048576,IF(OR($B617="STD. DEVIATION",$C$1=1),$A617,$A617+1),COLUMN('1-DATA'!K615)),IF($B617="STD. DEVIATION",2,$F$1))))</f>
        <v/>
      </c>
      <c r="M617" s="1" t="str">
        <f>IF(OR($B617="",M$7=""),"",IF($B617="MEANS",INDEX('1-DATA'!$1:$1048576,$A616-1,COLUMN('1-DATA'!L615)),ROUND(INDEX('1-DATA'!$1:$1048576,IF(OR($B617="STD. DEVIATION",$C$1=1),$A617,$A617+1),COLUMN('1-DATA'!L615)),IF($B617="STD. DEVIATION",2,$F$1))))</f>
        <v/>
      </c>
      <c r="N617" s="1" t="str">
        <f>IF(OR($B617="",N$7=""),"",IF($B617="MEANS",INDEX('1-DATA'!$1:$1048576,$A616-1,COLUMN('1-DATA'!M615)),ROUND(INDEX('1-DATA'!$1:$1048576,IF(OR($B617="STD. DEVIATION",$C$1=1),$A617,$A617+1),COLUMN('1-DATA'!M615)),IF($B617="STD. DEVIATION",2,$F$1))))</f>
        <v/>
      </c>
      <c r="O617" s="1" t="str">
        <f>IF(OR($B617="",O$7=""),"",IF($B617="MEANS",INDEX('1-DATA'!$1:$1048576,$A616-1,COLUMN('1-DATA'!N615)),ROUND(INDEX('1-DATA'!$1:$1048576,IF(OR($B617="STD. DEVIATION",$C$1=1),$A617,$A617+1),COLUMN('1-DATA'!N615)),IF($B617="STD. DEVIATION",2,$F$1))))</f>
        <v/>
      </c>
      <c r="P617" s="1" t="str">
        <f>IF(OR($B617="",P$7=""),"",IF($B617="MEANS",INDEX('1-DATA'!$1:$1048576,$A616-1,COLUMN('1-DATA'!O615)),ROUND(INDEX('1-DATA'!$1:$1048576,IF(OR($B617="STD. DEVIATION",$C$1=1),$A617,$A617+1),COLUMN('1-DATA'!O615)),IF($B617="STD. DEVIATION",2,$F$1))))</f>
        <v/>
      </c>
      <c r="Q617" s="1" t="str">
        <f>IF(OR($B617="",Q$7=""),"",IF($B617="MEANS",INDEX('1-DATA'!$1:$1048576,$A616-1,COLUMN('1-DATA'!P615)),ROUND(INDEX('1-DATA'!$1:$1048576,IF(OR($B617="STD. DEVIATION",$C$1=1),$A617,$A617+1),COLUMN('1-DATA'!P615)),IF($B617="STD. DEVIATION",2,$F$1))))</f>
        <v/>
      </c>
      <c r="R617" s="1" t="str">
        <f>IF(OR($B617="",R$7=""),"",IF($B617="MEANS",INDEX('1-DATA'!$1:$1048576,$A616-1,COLUMN('1-DATA'!Q615)),ROUND(INDEX('1-DATA'!$1:$1048576,IF(OR($B617="STD. DEVIATION",$C$1=1),$A617,$A617+1),COLUMN('1-DATA'!Q615)),IF($B617="STD. DEVIATION",2,$F$1))))</f>
        <v/>
      </c>
      <c r="S617" s="1" t="str">
        <f>IF(OR($B617="",S$7=""),"",IF($B617="MEANS",INDEX('1-DATA'!$1:$1048576,$A616-1,COLUMN('1-DATA'!R615)),ROUND(INDEX('1-DATA'!$1:$1048576,IF(OR($B617="STD. DEVIATION",$C$1=1),$A617,$A617+1),COLUMN('1-DATA'!R615)),IF($B617="STD. DEVIATION",2,$F$1))))</f>
        <v/>
      </c>
      <c r="T617" s="1" t="str">
        <f>IF(OR($B617="",T$7=""),"",IF($B617="MEANS",INDEX('1-DATA'!$1:$1048576,$A616-1,COLUMN('1-DATA'!S615)),ROUND(INDEX('1-DATA'!$1:$1048576,IF(OR($B617="STD. DEVIATION",$C$1=1),$A617,$A617+1),COLUMN('1-DATA'!S615)),IF($B617="STD. DEVIATION",2,$F$1))))</f>
        <v/>
      </c>
      <c r="U617" s="1" t="str">
        <f>IF(OR($B617="",U$7=""),"",IF($B617="MEANS",INDEX('1-DATA'!$1:$1048576,$A616-1,COLUMN('1-DATA'!T615)),ROUND(INDEX('1-DATA'!$1:$1048576,IF(OR($B617="STD. DEVIATION",$C$1=1),$A617,$A617+1),COLUMN('1-DATA'!T615)),IF($B617="STD. DEVIATION",2,$F$1))))</f>
        <v/>
      </c>
      <c r="V617" s="1" t="str">
        <f>IF(OR($B617="",V$7=""),"",IF($B617="MEANS",INDEX('1-DATA'!$1:$1048576,$A616-1,COLUMN('1-DATA'!U615)),ROUND(INDEX('1-DATA'!$1:$1048576,IF(OR($B617="STD. DEVIATION",$C$1=1),$A617,$A617+1),COLUMN('1-DATA'!U615)),IF($B617="STD. DEVIATION",2,$F$1))))</f>
        <v/>
      </c>
      <c r="W617" s="1" t="str">
        <f>IF(OR($B617="",W$7=""),"",IF($B617="MEANS",INDEX('1-DATA'!$1:$1048576,$A616-1,COLUMN('1-DATA'!V615)),ROUND(INDEX('1-DATA'!$1:$1048576,IF(OR($B617="STD. DEVIATION",$C$1=1),$A617,$A617+1),COLUMN('1-DATA'!V615)),IF($B617="STD. DEVIATION",2,$F$1))))</f>
        <v/>
      </c>
      <c r="X617" s="1" t="str">
        <f>IF(OR($B617="",X$7=""),"",IF($B617="MEANS",INDEX('1-DATA'!$1:$1048576,$A616-1,COLUMN('1-DATA'!W615)),ROUND(INDEX('1-DATA'!$1:$1048576,IF(OR($B617="STD. DEVIATION",$C$1=1),$A617,$A617+1),COLUMN('1-DATA'!W615)),IF($B617="STD. DEVIATION",2,$F$1))))</f>
        <v/>
      </c>
      <c r="Y617" s="1" t="str">
        <f>IF(OR($B617="",Y$7=""),"",IF($B617="MEANS",INDEX('1-DATA'!$1:$1048576,$A616-1,COLUMN('1-DATA'!X615)),ROUND(INDEX('1-DATA'!$1:$1048576,IF(OR($B617="STD. DEVIATION",$C$1=1),$A617,$A617+1),COLUMN('1-DATA'!X615)),IF($B617="STD. DEVIATION",2,$F$1))))</f>
        <v/>
      </c>
      <c r="Z617" s="1" t="str">
        <f>IF(OR($B617="",Z$7=""),"",IF($B617="MEANS",INDEX('1-DATA'!$1:$1048576,$A616-1,COLUMN('1-DATA'!Y615)),ROUND(INDEX('1-DATA'!$1:$1048576,IF(OR($B617="STD. DEVIATION",$C$1=1),$A617,$A617+1),COLUMN('1-DATA'!Y615)),IF($B617="STD. DEVIATION",2,$F$1))))</f>
        <v/>
      </c>
      <c r="AA617" s="1" t="str">
        <f>IF(OR($B617="",AA$7=""),"",IF($B617="MEANS",INDEX('1-DATA'!$1:$1048576,$A616-1,COLUMN('1-DATA'!Z615)),ROUND(INDEX('1-DATA'!$1:$1048576,IF(OR($B617="STD. DEVIATION",$C$1=1),$A617,$A617+1),COLUMN('1-DATA'!Z615)),IF($B617="STD. DEVIATION",2,$F$1))))</f>
        <v/>
      </c>
      <c r="AB617" s="1" t="str">
        <f>IF(OR($B617="",AB$7=""),"",IF($B617="MEANS",INDEX('1-DATA'!$1:$1048576,$A616-1,COLUMN('1-DATA'!AA615)),ROUND(INDEX('1-DATA'!$1:$1048576,IF(OR($B617="STD. DEVIATION",$C$1=1),$A617,$A617+1),COLUMN('1-DATA'!AA615)),IF($B617="STD. DEVIATION",2,$F$1))))</f>
        <v/>
      </c>
      <c r="AC617" s="1" t="str">
        <f>IF(OR($B617="",AC$7=""),"",IF($B617="MEANS",INDEX('1-DATA'!$1:$1048576,$A616-1,COLUMN('1-DATA'!AB615)),ROUND(INDEX('1-DATA'!$1:$1048576,IF(OR($B617="STD. DEVIATION",$C$1=1),$A617,$A617+1),COLUMN('1-DATA'!AB615)),IF($B617="STD. DEVIATION",2,$F$1))))</f>
        <v/>
      </c>
      <c r="AD617" s="1" t="str">
        <f>IF(OR($B617="",AD$7=""),"",IF($B617="MEANS",INDEX('1-DATA'!$1:$1048576,$A616-1,COLUMN('1-DATA'!AC615)),ROUND(INDEX('1-DATA'!$1:$1048576,IF(OR($B617="STD. DEVIATION",$C$1=1),$A617,$A617+1),COLUMN('1-DATA'!AC615)),IF($B617="STD. DEVIATION",2,$F$1))))</f>
        <v/>
      </c>
      <c r="AE617" s="1" t="str">
        <f>IF(OR($B617="",AE$7=""),"",IF($B617="MEANS",INDEX('1-DATA'!$1:$1048576,$A616-1,COLUMN('1-DATA'!AD615)),ROUND(INDEX('1-DATA'!$1:$1048576,IF(OR($B617="STD. DEVIATION",$C$1=1),$A617,$A617+1),COLUMN('1-DATA'!AD615)),IF($B617="STD. DEVIATION",2,$F$1))))</f>
        <v/>
      </c>
      <c r="AF617" s="1" t="str">
        <f>IF(OR($B617="",AF$7=""),"",IF($B617="MEANS",INDEX('1-DATA'!$1:$1048576,$A616-1,COLUMN('1-DATA'!AE615)),ROUND(INDEX('1-DATA'!$1:$1048576,IF(OR($B617="STD. DEVIATION",$C$1=1),$A617,$A617+1),COLUMN('1-DATA'!AE615)),IF($B617="STD. DEVIATION",2,$F$1))))</f>
        <v/>
      </c>
      <c r="AG617" s="1" t="str">
        <f>IF(OR($B617="",AG$7=""),"",IF($B617="MEANS",INDEX('1-DATA'!$1:$1048576,$A616-1,COLUMN('1-DATA'!AF615)),ROUND(INDEX('1-DATA'!$1:$1048576,IF(OR($B617="STD. DEVIATION",$C$1=1),$A617,$A617+1),COLUMN('1-DATA'!AF615)),IF($B617="STD. DEVIATION",2,$F$1))))</f>
        <v/>
      </c>
      <c r="AH617" s="1" t="str">
        <f>IF(OR($B617="",AH$7=""),"",IF($B617="MEANS",INDEX('1-DATA'!$1:$1048576,$A616-1,COLUMN('1-DATA'!AG615)),ROUND(INDEX('1-DATA'!$1:$1048576,IF(OR($B617="STD. DEVIATION",$C$1=1),$A617,$A617+1),COLUMN('1-DATA'!AG615)),IF($B617="STD. DEVIATION",2,$F$1))))</f>
        <v/>
      </c>
      <c r="AI617" s="1" t="str">
        <f>IF(OR($B617="",AI$7=""),"",IF($B617="MEANS",INDEX('1-DATA'!$1:$1048576,$A616-1,COLUMN('1-DATA'!AH615)),ROUND(INDEX('1-DATA'!$1:$1048576,IF(OR($B617="STD. DEVIATION",$C$1=1),$A617,$A617+1),COLUMN('1-DATA'!AH615)),IF($B617="STD. DEVIATION",2,$F$1))))</f>
        <v/>
      </c>
      <c r="AJ617" s="1" t="str">
        <f>IF(OR($B617="",AJ$7=""),"",IF($B617="MEANS",INDEX('1-DATA'!$1:$1048576,$A616-1,COLUMN('1-DATA'!AI615)),ROUND(INDEX('1-DATA'!$1:$1048576,IF(OR($B617="STD. DEVIATION",$C$1=1),$A617,$A617+1),COLUMN('1-DATA'!AI615)),IF($B617="STD. DEVIATION",2,$F$1))))</f>
        <v/>
      </c>
      <c r="AK617" s="1" t="str">
        <f>IF(OR($B617="",AK$7=""),"",IF($B617="MEANS",INDEX('1-DATA'!$1:$1048576,$A616-1,COLUMN('1-DATA'!AJ615)),ROUND(INDEX('1-DATA'!$1:$1048576,IF(OR($B617="STD. DEVIATION",$C$1=1),$A617,$A617+1),COLUMN('1-DATA'!AJ615)),IF($B617="STD. DEVIATION",2,$F$1))))</f>
        <v/>
      </c>
      <c r="AL617" s="1" t="str">
        <f>IF(OR($B617="",AL$7=""),"",IF($B617="MEANS",INDEX('1-DATA'!$1:$1048576,$A616-1,COLUMN('1-DATA'!AK615)),ROUND(INDEX('1-DATA'!$1:$1048576,IF(OR($B617="STD. DEVIATION",$C$1=1),$A617,$A617+1),COLUMN('1-DATA'!AK615)),IF($B617="STD. DEVIATION",2,$F$1))))</f>
        <v/>
      </c>
      <c r="AM617" s="1" t="str">
        <f>IF(OR($B617="",AM$7=""),"",IF($B617="MEANS",INDEX('1-DATA'!$1:$1048576,$A616-1,COLUMN('1-DATA'!AL615)),ROUND(INDEX('1-DATA'!$1:$1048576,IF(OR($B617="STD. DEVIATION",$C$1=1),$A617,$A617+1),COLUMN('1-DATA'!AL615)),IF($B617="STD. DEVIATION",2,$F$1))))</f>
        <v/>
      </c>
      <c r="AN617" s="1" t="str">
        <f>IF(OR($B617="",AN$7=""),"",IF($B617="MEANS",INDEX('1-DATA'!$1:$1048576,$A616-1,COLUMN('1-DATA'!AM615)),ROUND(INDEX('1-DATA'!$1:$1048576,IF(OR($B617="STD. DEVIATION",$C$1=1),$A617,$A617+1),COLUMN('1-DATA'!AM615)),IF($B617="STD. DEVIATION",2,$F$1))))</f>
        <v/>
      </c>
      <c r="AO617" s="1" t="str">
        <f>IF(OR($B617="",AO$7=""),"",IF($B617="MEANS",INDEX('1-DATA'!$1:$1048576,$A616-1,COLUMN('1-DATA'!AN615)),ROUND(INDEX('1-DATA'!$1:$1048576,IF(OR($B617="STD. DEVIATION",$C$1=1),$A617,$A617+1),COLUMN('1-DATA'!AN615)),IF($B617="STD. DEVIATION",2,$F$1))))</f>
        <v/>
      </c>
      <c r="AP617" s="1" t="str">
        <f>IF(OR($B617="",AP$7=""),"",IF($B617="MEANS",INDEX('1-DATA'!$1:$1048576,$A616-1,COLUMN('1-DATA'!AO615)),ROUND(INDEX('1-DATA'!$1:$1048576,IF(OR($B617="STD. DEVIATION",$C$1=1),$A617,$A617+1),COLUMN('1-DATA'!AO615)),IF($B617="STD. DEVIATION",2,$F$1))))</f>
        <v/>
      </c>
      <c r="AQ617" s="1" t="str">
        <f>IF(OR($B617="",AQ$7=""),"",IF($B617="MEANS",INDEX('1-DATA'!$1:$1048576,$A616-1,COLUMN('1-DATA'!AP615)),ROUND(INDEX('1-DATA'!$1:$1048576,IF(OR($B617="STD. DEVIATION",$C$1=1),$A617,$A617+1),COLUMN('1-DATA'!AP615)),IF($B617="STD. DEVIATION",2,$F$1))))</f>
        <v/>
      </c>
      <c r="AR617" s="1" t="str">
        <f>IF(OR($B617="",AR$7=""),"",IF($B617="MEANS",INDEX('1-DATA'!$1:$1048576,$A616-1,COLUMN('1-DATA'!AQ615)),ROUND(INDEX('1-DATA'!$1:$1048576,IF(OR($B617="STD. DEVIATION",$C$1=1),$A617,$A617+1),COLUMN('1-DATA'!AQ615)),IF($B617="STD. DEVIATION",2,$F$1))))</f>
        <v/>
      </c>
      <c r="AS617" s="1" t="str">
        <f>IF(OR($B617="",AS$7=""),"",IF($B617="MEANS",INDEX('1-DATA'!$1:$1048576,$A616-1,COLUMN('1-DATA'!AR615)),ROUND(INDEX('1-DATA'!$1:$1048576,IF(OR($B617="STD. DEVIATION",$C$1=1),$A617,$A617+1),COLUMN('1-DATA'!AR615)),IF($B617="STD. DEVIATION",2,$F$1))))</f>
        <v/>
      </c>
      <c r="AT617" s="1" t="str">
        <f>IF(OR($B617="",AT$7=""),"",IF($B617="MEANS",INDEX('1-DATA'!$1:$1048576,$A616-1,COLUMN('1-DATA'!AS615)),ROUND(INDEX('1-DATA'!$1:$1048576,IF(OR($B617="STD. DEVIATION",$C$1=1),$A617,$A617+1),COLUMN('1-DATA'!AS615)),IF($B617="STD. DEVIATION",2,$F$1))))</f>
        <v/>
      </c>
      <c r="AU617" s="1" t="str">
        <f>IF(OR($B617="",AU$7=""),"",IF($B617="MEANS",INDEX('1-DATA'!$1:$1048576,$A616-1,COLUMN('1-DATA'!AT615)),ROUND(INDEX('1-DATA'!$1:$1048576,IF(OR($B617="STD. DEVIATION",$C$1=1),$A617,$A617+1),COLUMN('1-DATA'!AT615)),IF($B617="STD. DEVIATION",2,$F$1))))</f>
        <v/>
      </c>
      <c r="AV617" s="1" t="str">
        <f>IF(OR($B617="",AV$7=""),"",IF($B617="MEANS",INDEX('1-DATA'!$1:$1048576,$A616-1,COLUMN('1-DATA'!AU615)),ROUND(INDEX('1-DATA'!$1:$1048576,IF(OR($B617="STD. DEVIATION",$C$1=1),$A617,$A617+1),COLUMN('1-DATA'!AU615)),IF($B617="STD. DEVIATION",2,$F$1))))</f>
        <v/>
      </c>
      <c r="AW617" s="1" t="str">
        <f>IF(OR($B617="",AW$7=""),"",IF($B617="MEANS",INDEX('1-DATA'!$1:$1048576,$A616-1,COLUMN('1-DATA'!AV615)),ROUND(INDEX('1-DATA'!$1:$1048576,IF(OR($B617="STD. DEVIATION",$C$1=1),$A617,$A617+1),COLUMN('1-DATA'!AV615)),IF($B617="STD. DEVIATION",2,$F$1))))</f>
        <v/>
      </c>
      <c r="AX617" s="1" t="str">
        <f>IF(OR($B617="",AX$7=""),"",IF($B617="MEANS",INDEX('1-DATA'!$1:$1048576,$A616-1,COLUMN('1-DATA'!AW615)),ROUND(INDEX('1-DATA'!$1:$1048576,IF(OR($B617="STD. DEVIATION",$C$1=1),$A617,$A617+1),COLUMN('1-DATA'!AW615)),IF($B617="STD. DEVIATION",2,$F$1))))</f>
        <v/>
      </c>
      <c r="AY617" s="1" t="str">
        <f>IF(OR($B617="",AY$7=""),"",IF($B617="MEANS",INDEX('1-DATA'!$1:$1048576,$A616-1,COLUMN('1-DATA'!AX615)),ROUND(INDEX('1-DATA'!$1:$1048576,IF(OR($B617="STD. DEVIATION",$C$1=1),$A617,$A617+1),COLUMN('1-DATA'!AX615)),IF($B617="STD. DEVIATION",2,$F$1))))</f>
        <v/>
      </c>
      <c r="AZ617" s="1" t="str">
        <f>IF(OR($B617="",AZ$7=""),"",IF($B617="MEANS",INDEX('1-DATA'!$1:$1048576,$A616-1,COLUMN('1-DATA'!AY615)),ROUND(INDEX('1-DATA'!$1:$1048576,IF(OR($B617="STD. DEVIATION",$C$1=1),$A617,$A617+1),COLUMN('1-DATA'!AY615)),IF($B617="STD. DEVIATION",2,$F$1))))</f>
        <v/>
      </c>
    </row>
    <row r="618" spans="1:52" x14ac:dyDescent="0.25">
      <c r="A618" s="11">
        <f t="shared" si="10"/>
        <v>1840</v>
      </c>
      <c r="B618" s="1" t="str">
        <f>IF(B617="STD. DEVIATION",INDEX('1-DATA'!$1:$1048576,$A617-1,1),IF(INDEX('1-DATA'!$1:$1048576,$A618,1)&lt;&gt;"",INDEX('1-DATA'!$1:$1048576,$A618,1),""))</f>
        <v/>
      </c>
      <c r="C618" s="1" t="str">
        <f>IF(OR($B618="",C$7=""),"",IF($B618="MEANS",INDEX('1-DATA'!$1:$1048576,$A617-1,COLUMN('1-DATA'!B616)),ROUND(INDEX('1-DATA'!$1:$1048576,IF(OR($B618="STD. DEVIATION",$C$1=1),$A618,$A618+1),COLUMN('1-DATA'!B616)),IF($B618="STD. DEVIATION",2,$F$1))))</f>
        <v/>
      </c>
      <c r="D618" s="1" t="str">
        <f>IF(OR($B618="",D$7=""),"",IF($B618="MEANS",INDEX('1-DATA'!$1:$1048576,$A617-1,COLUMN('1-DATA'!C616)),ROUND(INDEX('1-DATA'!$1:$1048576,IF(OR($B618="STD. DEVIATION",$C$1=1),$A618,$A618+1),COLUMN('1-DATA'!C616)),IF($B618="STD. DEVIATION",2,$F$1))))</f>
        <v/>
      </c>
      <c r="E618" s="1" t="str">
        <f>IF(OR($B618="",E$7=""),"",IF($B618="MEANS",INDEX('1-DATA'!$1:$1048576,$A617-1,COLUMN('1-DATA'!D616)),ROUND(INDEX('1-DATA'!$1:$1048576,IF(OR($B618="STD. DEVIATION",$C$1=1),$A618,$A618+1),COLUMN('1-DATA'!D616)),IF($B618="STD. DEVIATION",2,$F$1))))</f>
        <v/>
      </c>
      <c r="F618" s="1" t="str">
        <f>IF(OR($B618="",F$7=""),"",IF($B618="MEANS",INDEX('1-DATA'!$1:$1048576,$A617-1,COLUMN('1-DATA'!E616)),ROUND(INDEX('1-DATA'!$1:$1048576,IF(OR($B618="STD. DEVIATION",$C$1=1),$A618,$A618+1),COLUMN('1-DATA'!E616)),IF($B618="STD. DEVIATION",2,$F$1))))</f>
        <v/>
      </c>
      <c r="G618" s="1" t="str">
        <f>IF(OR($B618="",G$7=""),"",IF($B618="MEANS",INDEX('1-DATA'!$1:$1048576,$A617-1,COLUMN('1-DATA'!F616)),ROUND(INDEX('1-DATA'!$1:$1048576,IF(OR($B618="STD. DEVIATION",$C$1=1),$A618,$A618+1),COLUMN('1-DATA'!F616)),IF($B618="STD. DEVIATION",2,$F$1))))</f>
        <v/>
      </c>
      <c r="H618" s="1" t="str">
        <f>IF(OR($B618="",H$7=""),"",IF($B618="MEANS",INDEX('1-DATA'!$1:$1048576,$A617-1,COLUMN('1-DATA'!G616)),ROUND(INDEX('1-DATA'!$1:$1048576,IF(OR($B618="STD. DEVIATION",$C$1=1),$A618,$A618+1),COLUMN('1-DATA'!G616)),IF($B618="STD. DEVIATION",2,$F$1))))</f>
        <v/>
      </c>
      <c r="I618" s="1" t="str">
        <f>IF(OR($B618="",I$7=""),"",IF($B618="MEANS",INDEX('1-DATA'!$1:$1048576,$A617-1,COLUMN('1-DATA'!H616)),ROUND(INDEX('1-DATA'!$1:$1048576,IF(OR($B618="STD. DEVIATION",$C$1=1),$A618,$A618+1),COLUMN('1-DATA'!H616)),IF($B618="STD. DEVIATION",2,$F$1))))</f>
        <v/>
      </c>
      <c r="J618" s="1" t="str">
        <f>IF(OR($B618="",J$7=""),"",IF($B618="MEANS",INDEX('1-DATA'!$1:$1048576,$A617-1,COLUMN('1-DATA'!I616)),ROUND(INDEX('1-DATA'!$1:$1048576,IF(OR($B618="STD. DEVIATION",$C$1=1),$A618,$A618+1),COLUMN('1-DATA'!I616)),IF($B618="STD. DEVIATION",2,$F$1))))</f>
        <v/>
      </c>
      <c r="K618" s="1" t="str">
        <f>IF(OR($B618="",K$7=""),"",IF($B618="MEANS",INDEX('1-DATA'!$1:$1048576,$A617-1,COLUMN('1-DATA'!J616)),ROUND(INDEX('1-DATA'!$1:$1048576,IF(OR($B618="STD. DEVIATION",$C$1=1),$A618,$A618+1),COLUMN('1-DATA'!J616)),IF($B618="STD. DEVIATION",2,$F$1))))</f>
        <v/>
      </c>
      <c r="L618" s="1" t="str">
        <f>IF(OR($B618="",L$7=""),"",IF($B618="MEANS",INDEX('1-DATA'!$1:$1048576,$A617-1,COLUMN('1-DATA'!K616)),ROUND(INDEX('1-DATA'!$1:$1048576,IF(OR($B618="STD. DEVIATION",$C$1=1),$A618,$A618+1),COLUMN('1-DATA'!K616)),IF($B618="STD. DEVIATION",2,$F$1))))</f>
        <v/>
      </c>
      <c r="M618" s="1" t="str">
        <f>IF(OR($B618="",M$7=""),"",IF($B618="MEANS",INDEX('1-DATA'!$1:$1048576,$A617-1,COLUMN('1-DATA'!L616)),ROUND(INDEX('1-DATA'!$1:$1048576,IF(OR($B618="STD. DEVIATION",$C$1=1),$A618,$A618+1),COLUMN('1-DATA'!L616)),IF($B618="STD. DEVIATION",2,$F$1))))</f>
        <v/>
      </c>
      <c r="N618" s="1" t="str">
        <f>IF(OR($B618="",N$7=""),"",IF($B618="MEANS",INDEX('1-DATA'!$1:$1048576,$A617-1,COLUMN('1-DATA'!M616)),ROUND(INDEX('1-DATA'!$1:$1048576,IF(OR($B618="STD. DEVIATION",$C$1=1),$A618,$A618+1),COLUMN('1-DATA'!M616)),IF($B618="STD. DEVIATION",2,$F$1))))</f>
        <v/>
      </c>
      <c r="O618" s="1" t="str">
        <f>IF(OR($B618="",O$7=""),"",IF($B618="MEANS",INDEX('1-DATA'!$1:$1048576,$A617-1,COLUMN('1-DATA'!N616)),ROUND(INDEX('1-DATA'!$1:$1048576,IF(OR($B618="STD. DEVIATION",$C$1=1),$A618,$A618+1),COLUMN('1-DATA'!N616)),IF($B618="STD. DEVIATION",2,$F$1))))</f>
        <v/>
      </c>
      <c r="P618" s="1" t="str">
        <f>IF(OR($B618="",P$7=""),"",IF($B618="MEANS",INDEX('1-DATA'!$1:$1048576,$A617-1,COLUMN('1-DATA'!O616)),ROUND(INDEX('1-DATA'!$1:$1048576,IF(OR($B618="STD. DEVIATION",$C$1=1),$A618,$A618+1),COLUMN('1-DATA'!O616)),IF($B618="STD. DEVIATION",2,$F$1))))</f>
        <v/>
      </c>
      <c r="Q618" s="1" t="str">
        <f>IF(OR($B618="",Q$7=""),"",IF($B618="MEANS",INDEX('1-DATA'!$1:$1048576,$A617-1,COLUMN('1-DATA'!P616)),ROUND(INDEX('1-DATA'!$1:$1048576,IF(OR($B618="STD. DEVIATION",$C$1=1),$A618,$A618+1),COLUMN('1-DATA'!P616)),IF($B618="STD. DEVIATION",2,$F$1))))</f>
        <v/>
      </c>
      <c r="R618" s="1" t="str">
        <f>IF(OR($B618="",R$7=""),"",IF($B618="MEANS",INDEX('1-DATA'!$1:$1048576,$A617-1,COLUMN('1-DATA'!Q616)),ROUND(INDEX('1-DATA'!$1:$1048576,IF(OR($B618="STD. DEVIATION",$C$1=1),$A618,$A618+1),COLUMN('1-DATA'!Q616)),IF($B618="STD. DEVIATION",2,$F$1))))</f>
        <v/>
      </c>
      <c r="S618" s="1" t="str">
        <f>IF(OR($B618="",S$7=""),"",IF($B618="MEANS",INDEX('1-DATA'!$1:$1048576,$A617-1,COLUMN('1-DATA'!R616)),ROUND(INDEX('1-DATA'!$1:$1048576,IF(OR($B618="STD. DEVIATION",$C$1=1),$A618,$A618+1),COLUMN('1-DATA'!R616)),IF($B618="STD. DEVIATION",2,$F$1))))</f>
        <v/>
      </c>
      <c r="T618" s="1" t="str">
        <f>IF(OR($B618="",T$7=""),"",IF($B618="MEANS",INDEX('1-DATA'!$1:$1048576,$A617-1,COLUMN('1-DATA'!S616)),ROUND(INDEX('1-DATA'!$1:$1048576,IF(OR($B618="STD. DEVIATION",$C$1=1),$A618,$A618+1),COLUMN('1-DATA'!S616)),IF($B618="STD. DEVIATION",2,$F$1))))</f>
        <v/>
      </c>
      <c r="U618" s="1" t="str">
        <f>IF(OR($B618="",U$7=""),"",IF($B618="MEANS",INDEX('1-DATA'!$1:$1048576,$A617-1,COLUMN('1-DATA'!T616)),ROUND(INDEX('1-DATA'!$1:$1048576,IF(OR($B618="STD. DEVIATION",$C$1=1),$A618,$A618+1),COLUMN('1-DATA'!T616)),IF($B618="STD. DEVIATION",2,$F$1))))</f>
        <v/>
      </c>
      <c r="V618" s="1" t="str">
        <f>IF(OR($B618="",V$7=""),"",IF($B618="MEANS",INDEX('1-DATA'!$1:$1048576,$A617-1,COLUMN('1-DATA'!U616)),ROUND(INDEX('1-DATA'!$1:$1048576,IF(OR($B618="STD. DEVIATION",$C$1=1),$A618,$A618+1),COLUMN('1-DATA'!U616)),IF($B618="STD. DEVIATION",2,$F$1))))</f>
        <v/>
      </c>
      <c r="W618" s="1" t="str">
        <f>IF(OR($B618="",W$7=""),"",IF($B618="MEANS",INDEX('1-DATA'!$1:$1048576,$A617-1,COLUMN('1-DATA'!V616)),ROUND(INDEX('1-DATA'!$1:$1048576,IF(OR($B618="STD. DEVIATION",$C$1=1),$A618,$A618+1),COLUMN('1-DATA'!V616)),IF($B618="STD. DEVIATION",2,$F$1))))</f>
        <v/>
      </c>
      <c r="X618" s="1" t="str">
        <f>IF(OR($B618="",X$7=""),"",IF($B618="MEANS",INDEX('1-DATA'!$1:$1048576,$A617-1,COLUMN('1-DATA'!W616)),ROUND(INDEX('1-DATA'!$1:$1048576,IF(OR($B618="STD. DEVIATION",$C$1=1),$A618,$A618+1),COLUMN('1-DATA'!W616)),IF($B618="STD. DEVIATION",2,$F$1))))</f>
        <v/>
      </c>
      <c r="Y618" s="1" t="str">
        <f>IF(OR($B618="",Y$7=""),"",IF($B618="MEANS",INDEX('1-DATA'!$1:$1048576,$A617-1,COLUMN('1-DATA'!X616)),ROUND(INDEX('1-DATA'!$1:$1048576,IF(OR($B618="STD. DEVIATION",$C$1=1),$A618,$A618+1),COLUMN('1-DATA'!X616)),IF($B618="STD. DEVIATION",2,$F$1))))</f>
        <v/>
      </c>
      <c r="Z618" s="1" t="str">
        <f>IF(OR($B618="",Z$7=""),"",IF($B618="MEANS",INDEX('1-DATA'!$1:$1048576,$A617-1,COLUMN('1-DATA'!Y616)),ROUND(INDEX('1-DATA'!$1:$1048576,IF(OR($B618="STD. DEVIATION",$C$1=1),$A618,$A618+1),COLUMN('1-DATA'!Y616)),IF($B618="STD. DEVIATION",2,$F$1))))</f>
        <v/>
      </c>
      <c r="AA618" s="1" t="str">
        <f>IF(OR($B618="",AA$7=""),"",IF($B618="MEANS",INDEX('1-DATA'!$1:$1048576,$A617-1,COLUMN('1-DATA'!Z616)),ROUND(INDEX('1-DATA'!$1:$1048576,IF(OR($B618="STD. DEVIATION",$C$1=1),$A618,$A618+1),COLUMN('1-DATA'!Z616)),IF($B618="STD. DEVIATION",2,$F$1))))</f>
        <v/>
      </c>
      <c r="AB618" s="1" t="str">
        <f>IF(OR($B618="",AB$7=""),"",IF($B618="MEANS",INDEX('1-DATA'!$1:$1048576,$A617-1,COLUMN('1-DATA'!AA616)),ROUND(INDEX('1-DATA'!$1:$1048576,IF(OR($B618="STD. DEVIATION",$C$1=1),$A618,$A618+1),COLUMN('1-DATA'!AA616)),IF($B618="STD. DEVIATION",2,$F$1))))</f>
        <v/>
      </c>
      <c r="AC618" s="1" t="str">
        <f>IF(OR($B618="",AC$7=""),"",IF($B618="MEANS",INDEX('1-DATA'!$1:$1048576,$A617-1,COLUMN('1-DATA'!AB616)),ROUND(INDEX('1-DATA'!$1:$1048576,IF(OR($B618="STD. DEVIATION",$C$1=1),$A618,$A618+1),COLUMN('1-DATA'!AB616)),IF($B618="STD. DEVIATION",2,$F$1))))</f>
        <v/>
      </c>
      <c r="AD618" s="1" t="str">
        <f>IF(OR($B618="",AD$7=""),"",IF($B618="MEANS",INDEX('1-DATA'!$1:$1048576,$A617-1,COLUMN('1-DATA'!AC616)),ROUND(INDEX('1-DATA'!$1:$1048576,IF(OR($B618="STD. DEVIATION",$C$1=1),$A618,$A618+1),COLUMN('1-DATA'!AC616)),IF($B618="STD. DEVIATION",2,$F$1))))</f>
        <v/>
      </c>
      <c r="AE618" s="1" t="str">
        <f>IF(OR($B618="",AE$7=""),"",IF($B618="MEANS",INDEX('1-DATA'!$1:$1048576,$A617-1,COLUMN('1-DATA'!AD616)),ROUND(INDEX('1-DATA'!$1:$1048576,IF(OR($B618="STD. DEVIATION",$C$1=1),$A618,$A618+1),COLUMN('1-DATA'!AD616)),IF($B618="STD. DEVIATION",2,$F$1))))</f>
        <v/>
      </c>
      <c r="AF618" s="1" t="str">
        <f>IF(OR($B618="",AF$7=""),"",IF($B618="MEANS",INDEX('1-DATA'!$1:$1048576,$A617-1,COLUMN('1-DATA'!AE616)),ROUND(INDEX('1-DATA'!$1:$1048576,IF(OR($B618="STD. DEVIATION",$C$1=1),$A618,$A618+1),COLUMN('1-DATA'!AE616)),IF($B618="STD. DEVIATION",2,$F$1))))</f>
        <v/>
      </c>
      <c r="AG618" s="1" t="str">
        <f>IF(OR($B618="",AG$7=""),"",IF($B618="MEANS",INDEX('1-DATA'!$1:$1048576,$A617-1,COLUMN('1-DATA'!AF616)),ROUND(INDEX('1-DATA'!$1:$1048576,IF(OR($B618="STD. DEVIATION",$C$1=1),$A618,$A618+1),COLUMN('1-DATA'!AF616)),IF($B618="STD. DEVIATION",2,$F$1))))</f>
        <v/>
      </c>
      <c r="AH618" s="1" t="str">
        <f>IF(OR($B618="",AH$7=""),"",IF($B618="MEANS",INDEX('1-DATA'!$1:$1048576,$A617-1,COLUMN('1-DATA'!AG616)),ROUND(INDEX('1-DATA'!$1:$1048576,IF(OR($B618="STD. DEVIATION",$C$1=1),$A618,$A618+1),COLUMN('1-DATA'!AG616)),IF($B618="STD. DEVIATION",2,$F$1))))</f>
        <v/>
      </c>
      <c r="AI618" s="1" t="str">
        <f>IF(OR($B618="",AI$7=""),"",IF($B618="MEANS",INDEX('1-DATA'!$1:$1048576,$A617-1,COLUMN('1-DATA'!AH616)),ROUND(INDEX('1-DATA'!$1:$1048576,IF(OR($B618="STD. DEVIATION",$C$1=1),$A618,$A618+1),COLUMN('1-DATA'!AH616)),IF($B618="STD. DEVIATION",2,$F$1))))</f>
        <v/>
      </c>
      <c r="AJ618" s="1" t="str">
        <f>IF(OR($B618="",AJ$7=""),"",IF($B618="MEANS",INDEX('1-DATA'!$1:$1048576,$A617-1,COLUMN('1-DATA'!AI616)),ROUND(INDEX('1-DATA'!$1:$1048576,IF(OR($B618="STD. DEVIATION",$C$1=1),$A618,$A618+1),COLUMN('1-DATA'!AI616)),IF($B618="STD. DEVIATION",2,$F$1))))</f>
        <v/>
      </c>
      <c r="AK618" s="1" t="str">
        <f>IF(OR($B618="",AK$7=""),"",IF($B618="MEANS",INDEX('1-DATA'!$1:$1048576,$A617-1,COLUMN('1-DATA'!AJ616)),ROUND(INDEX('1-DATA'!$1:$1048576,IF(OR($B618="STD. DEVIATION",$C$1=1),$A618,$A618+1),COLUMN('1-DATA'!AJ616)),IF($B618="STD. DEVIATION",2,$F$1))))</f>
        <v/>
      </c>
      <c r="AL618" s="1" t="str">
        <f>IF(OR($B618="",AL$7=""),"",IF($B618="MEANS",INDEX('1-DATA'!$1:$1048576,$A617-1,COLUMN('1-DATA'!AK616)),ROUND(INDEX('1-DATA'!$1:$1048576,IF(OR($B618="STD. DEVIATION",$C$1=1),$A618,$A618+1),COLUMN('1-DATA'!AK616)),IF($B618="STD. DEVIATION",2,$F$1))))</f>
        <v/>
      </c>
      <c r="AM618" s="1" t="str">
        <f>IF(OR($B618="",AM$7=""),"",IF($B618="MEANS",INDEX('1-DATA'!$1:$1048576,$A617-1,COLUMN('1-DATA'!AL616)),ROUND(INDEX('1-DATA'!$1:$1048576,IF(OR($B618="STD. DEVIATION",$C$1=1),$A618,$A618+1),COLUMN('1-DATA'!AL616)),IF($B618="STD. DEVIATION",2,$F$1))))</f>
        <v/>
      </c>
      <c r="AN618" s="1" t="str">
        <f>IF(OR($B618="",AN$7=""),"",IF($B618="MEANS",INDEX('1-DATA'!$1:$1048576,$A617-1,COLUMN('1-DATA'!AM616)),ROUND(INDEX('1-DATA'!$1:$1048576,IF(OR($B618="STD. DEVIATION",$C$1=1),$A618,$A618+1),COLUMN('1-DATA'!AM616)),IF($B618="STD. DEVIATION",2,$F$1))))</f>
        <v/>
      </c>
      <c r="AO618" s="1" t="str">
        <f>IF(OR($B618="",AO$7=""),"",IF($B618="MEANS",INDEX('1-DATA'!$1:$1048576,$A617-1,COLUMN('1-DATA'!AN616)),ROUND(INDEX('1-DATA'!$1:$1048576,IF(OR($B618="STD. DEVIATION",$C$1=1),$A618,$A618+1),COLUMN('1-DATA'!AN616)),IF($B618="STD. DEVIATION",2,$F$1))))</f>
        <v/>
      </c>
      <c r="AP618" s="1" t="str">
        <f>IF(OR($B618="",AP$7=""),"",IF($B618="MEANS",INDEX('1-DATA'!$1:$1048576,$A617-1,COLUMN('1-DATA'!AO616)),ROUND(INDEX('1-DATA'!$1:$1048576,IF(OR($B618="STD. DEVIATION",$C$1=1),$A618,$A618+1),COLUMN('1-DATA'!AO616)),IF($B618="STD. DEVIATION",2,$F$1))))</f>
        <v/>
      </c>
      <c r="AQ618" s="1" t="str">
        <f>IF(OR($B618="",AQ$7=""),"",IF($B618="MEANS",INDEX('1-DATA'!$1:$1048576,$A617-1,COLUMN('1-DATA'!AP616)),ROUND(INDEX('1-DATA'!$1:$1048576,IF(OR($B618="STD. DEVIATION",$C$1=1),$A618,$A618+1),COLUMN('1-DATA'!AP616)),IF($B618="STD. DEVIATION",2,$F$1))))</f>
        <v/>
      </c>
      <c r="AR618" s="1" t="str">
        <f>IF(OR($B618="",AR$7=""),"",IF($B618="MEANS",INDEX('1-DATA'!$1:$1048576,$A617-1,COLUMN('1-DATA'!AQ616)),ROUND(INDEX('1-DATA'!$1:$1048576,IF(OR($B618="STD. DEVIATION",$C$1=1),$A618,$A618+1),COLUMN('1-DATA'!AQ616)),IF($B618="STD. DEVIATION",2,$F$1))))</f>
        <v/>
      </c>
      <c r="AS618" s="1" t="str">
        <f>IF(OR($B618="",AS$7=""),"",IF($B618="MEANS",INDEX('1-DATA'!$1:$1048576,$A617-1,COLUMN('1-DATA'!AR616)),ROUND(INDEX('1-DATA'!$1:$1048576,IF(OR($B618="STD. DEVIATION",$C$1=1),$A618,$A618+1),COLUMN('1-DATA'!AR616)),IF($B618="STD. DEVIATION",2,$F$1))))</f>
        <v/>
      </c>
      <c r="AT618" s="1" t="str">
        <f>IF(OR($B618="",AT$7=""),"",IF($B618="MEANS",INDEX('1-DATA'!$1:$1048576,$A617-1,COLUMN('1-DATA'!AS616)),ROUND(INDEX('1-DATA'!$1:$1048576,IF(OR($B618="STD. DEVIATION",$C$1=1),$A618,$A618+1),COLUMN('1-DATA'!AS616)),IF($B618="STD. DEVIATION",2,$F$1))))</f>
        <v/>
      </c>
      <c r="AU618" s="1" t="str">
        <f>IF(OR($B618="",AU$7=""),"",IF($B618="MEANS",INDEX('1-DATA'!$1:$1048576,$A617-1,COLUMN('1-DATA'!AT616)),ROUND(INDEX('1-DATA'!$1:$1048576,IF(OR($B618="STD. DEVIATION",$C$1=1),$A618,$A618+1),COLUMN('1-DATA'!AT616)),IF($B618="STD. DEVIATION",2,$F$1))))</f>
        <v/>
      </c>
      <c r="AV618" s="1" t="str">
        <f>IF(OR($B618="",AV$7=""),"",IF($B618="MEANS",INDEX('1-DATA'!$1:$1048576,$A617-1,COLUMN('1-DATA'!AU616)),ROUND(INDEX('1-DATA'!$1:$1048576,IF(OR($B618="STD. DEVIATION",$C$1=1),$A618,$A618+1),COLUMN('1-DATA'!AU616)),IF($B618="STD. DEVIATION",2,$F$1))))</f>
        <v/>
      </c>
      <c r="AW618" s="1" t="str">
        <f>IF(OR($B618="",AW$7=""),"",IF($B618="MEANS",INDEX('1-DATA'!$1:$1048576,$A617-1,COLUMN('1-DATA'!AV616)),ROUND(INDEX('1-DATA'!$1:$1048576,IF(OR($B618="STD. DEVIATION",$C$1=1),$A618,$A618+1),COLUMN('1-DATA'!AV616)),IF($B618="STD. DEVIATION",2,$F$1))))</f>
        <v/>
      </c>
      <c r="AX618" s="1" t="str">
        <f>IF(OR($B618="",AX$7=""),"",IF($B618="MEANS",INDEX('1-DATA'!$1:$1048576,$A617-1,COLUMN('1-DATA'!AW616)),ROUND(INDEX('1-DATA'!$1:$1048576,IF(OR($B618="STD. DEVIATION",$C$1=1),$A618,$A618+1),COLUMN('1-DATA'!AW616)),IF($B618="STD. DEVIATION",2,$F$1))))</f>
        <v/>
      </c>
      <c r="AY618" s="1" t="str">
        <f>IF(OR($B618="",AY$7=""),"",IF($B618="MEANS",INDEX('1-DATA'!$1:$1048576,$A617-1,COLUMN('1-DATA'!AX616)),ROUND(INDEX('1-DATA'!$1:$1048576,IF(OR($B618="STD. DEVIATION",$C$1=1),$A618,$A618+1),COLUMN('1-DATA'!AX616)),IF($B618="STD. DEVIATION",2,$F$1))))</f>
        <v/>
      </c>
      <c r="AZ618" s="1" t="str">
        <f>IF(OR($B618="",AZ$7=""),"",IF($B618="MEANS",INDEX('1-DATA'!$1:$1048576,$A617-1,COLUMN('1-DATA'!AY616)),ROUND(INDEX('1-DATA'!$1:$1048576,IF(OR($B618="STD. DEVIATION",$C$1=1),$A618,$A618+1),COLUMN('1-DATA'!AY616)),IF($B618="STD. DEVIATION",2,$F$1))))</f>
        <v/>
      </c>
    </row>
    <row r="619" spans="1:52" x14ac:dyDescent="0.25">
      <c r="A619" s="11">
        <f t="shared" si="10"/>
        <v>1843</v>
      </c>
      <c r="B619" s="1" t="str">
        <f>IF(B618="STD. DEVIATION",INDEX('1-DATA'!$1:$1048576,$A618-1,1),IF(INDEX('1-DATA'!$1:$1048576,$A619,1)&lt;&gt;"",INDEX('1-DATA'!$1:$1048576,$A619,1),""))</f>
        <v/>
      </c>
      <c r="C619" s="1" t="str">
        <f>IF(OR($B619="",C$7=""),"",IF($B619="MEANS",INDEX('1-DATA'!$1:$1048576,$A618-1,COLUMN('1-DATA'!B617)),ROUND(INDEX('1-DATA'!$1:$1048576,IF(OR($B619="STD. DEVIATION",$C$1=1),$A619,$A619+1),COLUMN('1-DATA'!B617)),IF($B619="STD. DEVIATION",2,$F$1))))</f>
        <v/>
      </c>
      <c r="D619" s="1" t="str">
        <f>IF(OR($B619="",D$7=""),"",IF($B619="MEANS",INDEX('1-DATA'!$1:$1048576,$A618-1,COLUMN('1-DATA'!C617)),ROUND(INDEX('1-DATA'!$1:$1048576,IF(OR($B619="STD. DEVIATION",$C$1=1),$A619,$A619+1),COLUMN('1-DATA'!C617)),IF($B619="STD. DEVIATION",2,$F$1))))</f>
        <v/>
      </c>
      <c r="E619" s="1" t="str">
        <f>IF(OR($B619="",E$7=""),"",IF($B619="MEANS",INDEX('1-DATA'!$1:$1048576,$A618-1,COLUMN('1-DATA'!D617)),ROUND(INDEX('1-DATA'!$1:$1048576,IF(OR($B619="STD. DEVIATION",$C$1=1),$A619,$A619+1),COLUMN('1-DATA'!D617)),IF($B619="STD. DEVIATION",2,$F$1))))</f>
        <v/>
      </c>
      <c r="F619" s="1" t="str">
        <f>IF(OR($B619="",F$7=""),"",IF($B619="MEANS",INDEX('1-DATA'!$1:$1048576,$A618-1,COLUMN('1-DATA'!E617)),ROUND(INDEX('1-DATA'!$1:$1048576,IF(OR($B619="STD. DEVIATION",$C$1=1),$A619,$A619+1),COLUMN('1-DATA'!E617)),IF($B619="STD. DEVIATION",2,$F$1))))</f>
        <v/>
      </c>
      <c r="G619" s="1" t="str">
        <f>IF(OR($B619="",G$7=""),"",IF($B619="MEANS",INDEX('1-DATA'!$1:$1048576,$A618-1,COLUMN('1-DATA'!F617)),ROUND(INDEX('1-DATA'!$1:$1048576,IF(OR($B619="STD. DEVIATION",$C$1=1),$A619,$A619+1),COLUMN('1-DATA'!F617)),IF($B619="STD. DEVIATION",2,$F$1))))</f>
        <v/>
      </c>
      <c r="H619" s="1" t="str">
        <f>IF(OR($B619="",H$7=""),"",IF($B619="MEANS",INDEX('1-DATA'!$1:$1048576,$A618-1,COLUMN('1-DATA'!G617)),ROUND(INDEX('1-DATA'!$1:$1048576,IF(OR($B619="STD. DEVIATION",$C$1=1),$A619,$A619+1),COLUMN('1-DATA'!G617)),IF($B619="STD. DEVIATION",2,$F$1))))</f>
        <v/>
      </c>
      <c r="I619" s="1" t="str">
        <f>IF(OR($B619="",I$7=""),"",IF($B619="MEANS",INDEX('1-DATA'!$1:$1048576,$A618-1,COLUMN('1-DATA'!H617)),ROUND(INDEX('1-DATA'!$1:$1048576,IF(OR($B619="STD. DEVIATION",$C$1=1),$A619,$A619+1),COLUMN('1-DATA'!H617)),IF($B619="STD. DEVIATION",2,$F$1))))</f>
        <v/>
      </c>
      <c r="J619" s="1" t="str">
        <f>IF(OR($B619="",J$7=""),"",IF($B619="MEANS",INDEX('1-DATA'!$1:$1048576,$A618-1,COLUMN('1-DATA'!I617)),ROUND(INDEX('1-DATA'!$1:$1048576,IF(OR($B619="STD. DEVIATION",$C$1=1),$A619,$A619+1),COLUMN('1-DATA'!I617)),IF($B619="STD. DEVIATION",2,$F$1))))</f>
        <v/>
      </c>
      <c r="K619" s="1" t="str">
        <f>IF(OR($B619="",K$7=""),"",IF($B619="MEANS",INDEX('1-DATA'!$1:$1048576,$A618-1,COLUMN('1-DATA'!J617)),ROUND(INDEX('1-DATA'!$1:$1048576,IF(OR($B619="STD. DEVIATION",$C$1=1),$A619,$A619+1),COLUMN('1-DATA'!J617)),IF($B619="STD. DEVIATION",2,$F$1))))</f>
        <v/>
      </c>
      <c r="L619" s="1" t="str">
        <f>IF(OR($B619="",L$7=""),"",IF($B619="MEANS",INDEX('1-DATA'!$1:$1048576,$A618-1,COLUMN('1-DATA'!K617)),ROUND(INDEX('1-DATA'!$1:$1048576,IF(OR($B619="STD. DEVIATION",$C$1=1),$A619,$A619+1),COLUMN('1-DATA'!K617)),IF($B619="STD. DEVIATION",2,$F$1))))</f>
        <v/>
      </c>
      <c r="M619" s="1" t="str">
        <f>IF(OR($B619="",M$7=""),"",IF($B619="MEANS",INDEX('1-DATA'!$1:$1048576,$A618-1,COLUMN('1-DATA'!L617)),ROUND(INDEX('1-DATA'!$1:$1048576,IF(OR($B619="STD. DEVIATION",$C$1=1),$A619,$A619+1),COLUMN('1-DATA'!L617)),IF($B619="STD. DEVIATION",2,$F$1))))</f>
        <v/>
      </c>
      <c r="N619" s="1" t="str">
        <f>IF(OR($B619="",N$7=""),"",IF($B619="MEANS",INDEX('1-DATA'!$1:$1048576,$A618-1,COLUMN('1-DATA'!M617)),ROUND(INDEX('1-DATA'!$1:$1048576,IF(OR($B619="STD. DEVIATION",$C$1=1),$A619,$A619+1),COLUMN('1-DATA'!M617)),IF($B619="STD. DEVIATION",2,$F$1))))</f>
        <v/>
      </c>
      <c r="O619" s="1" t="str">
        <f>IF(OR($B619="",O$7=""),"",IF($B619="MEANS",INDEX('1-DATA'!$1:$1048576,$A618-1,COLUMN('1-DATA'!N617)),ROUND(INDEX('1-DATA'!$1:$1048576,IF(OR($B619="STD. DEVIATION",$C$1=1),$A619,$A619+1),COLUMN('1-DATA'!N617)),IF($B619="STD. DEVIATION",2,$F$1))))</f>
        <v/>
      </c>
      <c r="P619" s="1" t="str">
        <f>IF(OR($B619="",P$7=""),"",IF($B619="MEANS",INDEX('1-DATA'!$1:$1048576,$A618-1,COLUMN('1-DATA'!O617)),ROUND(INDEX('1-DATA'!$1:$1048576,IF(OR($B619="STD. DEVIATION",$C$1=1),$A619,$A619+1),COLUMN('1-DATA'!O617)),IF($B619="STD. DEVIATION",2,$F$1))))</f>
        <v/>
      </c>
      <c r="Q619" s="1" t="str">
        <f>IF(OR($B619="",Q$7=""),"",IF($B619="MEANS",INDEX('1-DATA'!$1:$1048576,$A618-1,COLUMN('1-DATA'!P617)),ROUND(INDEX('1-DATA'!$1:$1048576,IF(OR($B619="STD. DEVIATION",$C$1=1),$A619,$A619+1),COLUMN('1-DATA'!P617)),IF($B619="STD. DEVIATION",2,$F$1))))</f>
        <v/>
      </c>
      <c r="R619" s="1" t="str">
        <f>IF(OR($B619="",R$7=""),"",IF($B619="MEANS",INDEX('1-DATA'!$1:$1048576,$A618-1,COLUMN('1-DATA'!Q617)),ROUND(INDEX('1-DATA'!$1:$1048576,IF(OR($B619="STD. DEVIATION",$C$1=1),$A619,$A619+1),COLUMN('1-DATA'!Q617)),IF($B619="STD. DEVIATION",2,$F$1))))</f>
        <v/>
      </c>
      <c r="S619" s="1" t="str">
        <f>IF(OR($B619="",S$7=""),"",IF($B619="MEANS",INDEX('1-DATA'!$1:$1048576,$A618-1,COLUMN('1-DATA'!R617)),ROUND(INDEX('1-DATA'!$1:$1048576,IF(OR($B619="STD. DEVIATION",$C$1=1),$A619,$A619+1),COLUMN('1-DATA'!R617)),IF($B619="STD. DEVIATION",2,$F$1))))</f>
        <v/>
      </c>
      <c r="T619" s="1" t="str">
        <f>IF(OR($B619="",T$7=""),"",IF($B619="MEANS",INDEX('1-DATA'!$1:$1048576,$A618-1,COLUMN('1-DATA'!S617)),ROUND(INDEX('1-DATA'!$1:$1048576,IF(OR($B619="STD. DEVIATION",$C$1=1),$A619,$A619+1),COLUMN('1-DATA'!S617)),IF($B619="STD. DEVIATION",2,$F$1))))</f>
        <v/>
      </c>
      <c r="U619" s="1" t="str">
        <f>IF(OR($B619="",U$7=""),"",IF($B619="MEANS",INDEX('1-DATA'!$1:$1048576,$A618-1,COLUMN('1-DATA'!T617)),ROUND(INDEX('1-DATA'!$1:$1048576,IF(OR($B619="STD. DEVIATION",$C$1=1),$A619,$A619+1),COLUMN('1-DATA'!T617)),IF($B619="STD. DEVIATION",2,$F$1))))</f>
        <v/>
      </c>
      <c r="V619" s="1" t="str">
        <f>IF(OR($B619="",V$7=""),"",IF($B619="MEANS",INDEX('1-DATA'!$1:$1048576,$A618-1,COLUMN('1-DATA'!U617)),ROUND(INDEX('1-DATA'!$1:$1048576,IF(OR($B619="STD. DEVIATION",$C$1=1),$A619,$A619+1),COLUMN('1-DATA'!U617)),IF($B619="STD. DEVIATION",2,$F$1))))</f>
        <v/>
      </c>
      <c r="W619" s="1" t="str">
        <f>IF(OR($B619="",W$7=""),"",IF($B619="MEANS",INDEX('1-DATA'!$1:$1048576,$A618-1,COLUMN('1-DATA'!V617)),ROUND(INDEX('1-DATA'!$1:$1048576,IF(OR($B619="STD. DEVIATION",$C$1=1),$A619,$A619+1),COLUMN('1-DATA'!V617)),IF($B619="STD. DEVIATION",2,$F$1))))</f>
        <v/>
      </c>
      <c r="X619" s="1" t="str">
        <f>IF(OR($B619="",X$7=""),"",IF($B619="MEANS",INDEX('1-DATA'!$1:$1048576,$A618-1,COLUMN('1-DATA'!W617)),ROUND(INDEX('1-DATA'!$1:$1048576,IF(OR($B619="STD. DEVIATION",$C$1=1),$A619,$A619+1),COLUMN('1-DATA'!W617)),IF($B619="STD. DEVIATION",2,$F$1))))</f>
        <v/>
      </c>
      <c r="Y619" s="1" t="str">
        <f>IF(OR($B619="",Y$7=""),"",IF($B619="MEANS",INDEX('1-DATA'!$1:$1048576,$A618-1,COLUMN('1-DATA'!X617)),ROUND(INDEX('1-DATA'!$1:$1048576,IF(OR($B619="STD. DEVIATION",$C$1=1),$A619,$A619+1),COLUMN('1-DATA'!X617)),IF($B619="STD. DEVIATION",2,$F$1))))</f>
        <v/>
      </c>
      <c r="Z619" s="1" t="str">
        <f>IF(OR($B619="",Z$7=""),"",IF($B619="MEANS",INDEX('1-DATA'!$1:$1048576,$A618-1,COLUMN('1-DATA'!Y617)),ROUND(INDEX('1-DATA'!$1:$1048576,IF(OR($B619="STD. DEVIATION",$C$1=1),$A619,$A619+1),COLUMN('1-DATA'!Y617)),IF($B619="STD. DEVIATION",2,$F$1))))</f>
        <v/>
      </c>
      <c r="AA619" s="1" t="str">
        <f>IF(OR($B619="",AA$7=""),"",IF($B619="MEANS",INDEX('1-DATA'!$1:$1048576,$A618-1,COLUMN('1-DATA'!Z617)),ROUND(INDEX('1-DATA'!$1:$1048576,IF(OR($B619="STD. DEVIATION",$C$1=1),$A619,$A619+1),COLUMN('1-DATA'!Z617)),IF($B619="STD. DEVIATION",2,$F$1))))</f>
        <v/>
      </c>
      <c r="AB619" s="1" t="str">
        <f>IF(OR($B619="",AB$7=""),"",IF($B619="MEANS",INDEX('1-DATA'!$1:$1048576,$A618-1,COLUMN('1-DATA'!AA617)),ROUND(INDEX('1-DATA'!$1:$1048576,IF(OR($B619="STD. DEVIATION",$C$1=1),$A619,$A619+1),COLUMN('1-DATA'!AA617)),IF($B619="STD. DEVIATION",2,$F$1))))</f>
        <v/>
      </c>
      <c r="AC619" s="1" t="str">
        <f>IF(OR($B619="",AC$7=""),"",IF($B619="MEANS",INDEX('1-DATA'!$1:$1048576,$A618-1,COLUMN('1-DATA'!AB617)),ROUND(INDEX('1-DATA'!$1:$1048576,IF(OR($B619="STD. DEVIATION",$C$1=1),$A619,$A619+1),COLUMN('1-DATA'!AB617)),IF($B619="STD. DEVIATION",2,$F$1))))</f>
        <v/>
      </c>
      <c r="AD619" s="1" t="str">
        <f>IF(OR($B619="",AD$7=""),"",IF($B619="MEANS",INDEX('1-DATA'!$1:$1048576,$A618-1,COLUMN('1-DATA'!AC617)),ROUND(INDEX('1-DATA'!$1:$1048576,IF(OR($B619="STD. DEVIATION",$C$1=1),$A619,$A619+1),COLUMN('1-DATA'!AC617)),IF($B619="STD. DEVIATION",2,$F$1))))</f>
        <v/>
      </c>
      <c r="AE619" s="1" t="str">
        <f>IF(OR($B619="",AE$7=""),"",IF($B619="MEANS",INDEX('1-DATA'!$1:$1048576,$A618-1,COLUMN('1-DATA'!AD617)),ROUND(INDEX('1-DATA'!$1:$1048576,IF(OR($B619="STD. DEVIATION",$C$1=1),$A619,$A619+1),COLUMN('1-DATA'!AD617)),IF($B619="STD. DEVIATION",2,$F$1))))</f>
        <v/>
      </c>
      <c r="AF619" s="1" t="str">
        <f>IF(OR($B619="",AF$7=""),"",IF($B619="MEANS",INDEX('1-DATA'!$1:$1048576,$A618-1,COLUMN('1-DATA'!AE617)),ROUND(INDEX('1-DATA'!$1:$1048576,IF(OR($B619="STD. DEVIATION",$C$1=1),$A619,$A619+1),COLUMN('1-DATA'!AE617)),IF($B619="STD. DEVIATION",2,$F$1))))</f>
        <v/>
      </c>
      <c r="AG619" s="1" t="str">
        <f>IF(OR($B619="",AG$7=""),"",IF($B619="MEANS",INDEX('1-DATA'!$1:$1048576,$A618-1,COLUMN('1-DATA'!AF617)),ROUND(INDEX('1-DATA'!$1:$1048576,IF(OR($B619="STD. DEVIATION",$C$1=1),$A619,$A619+1),COLUMN('1-DATA'!AF617)),IF($B619="STD. DEVIATION",2,$F$1))))</f>
        <v/>
      </c>
      <c r="AH619" s="1" t="str">
        <f>IF(OR($B619="",AH$7=""),"",IF($B619="MEANS",INDEX('1-DATA'!$1:$1048576,$A618-1,COLUMN('1-DATA'!AG617)),ROUND(INDEX('1-DATA'!$1:$1048576,IF(OR($B619="STD. DEVIATION",$C$1=1),$A619,$A619+1),COLUMN('1-DATA'!AG617)),IF($B619="STD. DEVIATION",2,$F$1))))</f>
        <v/>
      </c>
      <c r="AI619" s="1" t="str">
        <f>IF(OR($B619="",AI$7=""),"",IF($B619="MEANS",INDEX('1-DATA'!$1:$1048576,$A618-1,COLUMN('1-DATA'!AH617)),ROUND(INDEX('1-DATA'!$1:$1048576,IF(OR($B619="STD. DEVIATION",$C$1=1),$A619,$A619+1),COLUMN('1-DATA'!AH617)),IF($B619="STD. DEVIATION",2,$F$1))))</f>
        <v/>
      </c>
      <c r="AJ619" s="1" t="str">
        <f>IF(OR($B619="",AJ$7=""),"",IF($B619="MEANS",INDEX('1-DATA'!$1:$1048576,$A618-1,COLUMN('1-DATA'!AI617)),ROUND(INDEX('1-DATA'!$1:$1048576,IF(OR($B619="STD. DEVIATION",$C$1=1),$A619,$A619+1),COLUMN('1-DATA'!AI617)),IF($B619="STD. DEVIATION",2,$F$1))))</f>
        <v/>
      </c>
      <c r="AK619" s="1" t="str">
        <f>IF(OR($B619="",AK$7=""),"",IF($B619="MEANS",INDEX('1-DATA'!$1:$1048576,$A618-1,COLUMN('1-DATA'!AJ617)),ROUND(INDEX('1-DATA'!$1:$1048576,IF(OR($B619="STD. DEVIATION",$C$1=1),$A619,$A619+1),COLUMN('1-DATA'!AJ617)),IF($B619="STD. DEVIATION",2,$F$1))))</f>
        <v/>
      </c>
      <c r="AL619" s="1" t="str">
        <f>IF(OR($B619="",AL$7=""),"",IF($B619="MEANS",INDEX('1-DATA'!$1:$1048576,$A618-1,COLUMN('1-DATA'!AK617)),ROUND(INDEX('1-DATA'!$1:$1048576,IF(OR($B619="STD. DEVIATION",$C$1=1),$A619,$A619+1),COLUMN('1-DATA'!AK617)),IF($B619="STD. DEVIATION",2,$F$1))))</f>
        <v/>
      </c>
      <c r="AM619" s="1" t="str">
        <f>IF(OR($B619="",AM$7=""),"",IF($B619="MEANS",INDEX('1-DATA'!$1:$1048576,$A618-1,COLUMN('1-DATA'!AL617)),ROUND(INDEX('1-DATA'!$1:$1048576,IF(OR($B619="STD. DEVIATION",$C$1=1),$A619,$A619+1),COLUMN('1-DATA'!AL617)),IF($B619="STD. DEVIATION",2,$F$1))))</f>
        <v/>
      </c>
      <c r="AN619" s="1" t="str">
        <f>IF(OR($B619="",AN$7=""),"",IF($B619="MEANS",INDEX('1-DATA'!$1:$1048576,$A618-1,COLUMN('1-DATA'!AM617)),ROUND(INDEX('1-DATA'!$1:$1048576,IF(OR($B619="STD. DEVIATION",$C$1=1),$A619,$A619+1),COLUMN('1-DATA'!AM617)),IF($B619="STD. DEVIATION",2,$F$1))))</f>
        <v/>
      </c>
      <c r="AO619" s="1" t="str">
        <f>IF(OR($B619="",AO$7=""),"",IF($B619="MEANS",INDEX('1-DATA'!$1:$1048576,$A618-1,COLUMN('1-DATA'!AN617)),ROUND(INDEX('1-DATA'!$1:$1048576,IF(OR($B619="STD. DEVIATION",$C$1=1),$A619,$A619+1),COLUMN('1-DATA'!AN617)),IF($B619="STD. DEVIATION",2,$F$1))))</f>
        <v/>
      </c>
      <c r="AP619" s="1" t="str">
        <f>IF(OR($B619="",AP$7=""),"",IF($B619="MEANS",INDEX('1-DATA'!$1:$1048576,$A618-1,COLUMN('1-DATA'!AO617)),ROUND(INDEX('1-DATA'!$1:$1048576,IF(OR($B619="STD. DEVIATION",$C$1=1),$A619,$A619+1),COLUMN('1-DATA'!AO617)),IF($B619="STD. DEVIATION",2,$F$1))))</f>
        <v/>
      </c>
      <c r="AQ619" s="1" t="str">
        <f>IF(OR($B619="",AQ$7=""),"",IF($B619="MEANS",INDEX('1-DATA'!$1:$1048576,$A618-1,COLUMN('1-DATA'!AP617)),ROUND(INDEX('1-DATA'!$1:$1048576,IF(OR($B619="STD. DEVIATION",$C$1=1),$A619,$A619+1),COLUMN('1-DATA'!AP617)),IF($B619="STD. DEVIATION",2,$F$1))))</f>
        <v/>
      </c>
      <c r="AR619" s="1" t="str">
        <f>IF(OR($B619="",AR$7=""),"",IF($B619="MEANS",INDEX('1-DATA'!$1:$1048576,$A618-1,COLUMN('1-DATA'!AQ617)),ROUND(INDEX('1-DATA'!$1:$1048576,IF(OR($B619="STD. DEVIATION",$C$1=1),$A619,$A619+1),COLUMN('1-DATA'!AQ617)),IF($B619="STD. DEVIATION",2,$F$1))))</f>
        <v/>
      </c>
      <c r="AS619" s="1" t="str">
        <f>IF(OR($B619="",AS$7=""),"",IF($B619="MEANS",INDEX('1-DATA'!$1:$1048576,$A618-1,COLUMN('1-DATA'!AR617)),ROUND(INDEX('1-DATA'!$1:$1048576,IF(OR($B619="STD. DEVIATION",$C$1=1),$A619,$A619+1),COLUMN('1-DATA'!AR617)),IF($B619="STD. DEVIATION",2,$F$1))))</f>
        <v/>
      </c>
      <c r="AT619" s="1" t="str">
        <f>IF(OR($B619="",AT$7=""),"",IF($B619="MEANS",INDEX('1-DATA'!$1:$1048576,$A618-1,COLUMN('1-DATA'!AS617)),ROUND(INDEX('1-DATA'!$1:$1048576,IF(OR($B619="STD. DEVIATION",$C$1=1),$A619,$A619+1),COLUMN('1-DATA'!AS617)),IF($B619="STD. DEVIATION",2,$F$1))))</f>
        <v/>
      </c>
      <c r="AU619" s="1" t="str">
        <f>IF(OR($B619="",AU$7=""),"",IF($B619="MEANS",INDEX('1-DATA'!$1:$1048576,$A618-1,COLUMN('1-DATA'!AT617)),ROUND(INDEX('1-DATA'!$1:$1048576,IF(OR($B619="STD. DEVIATION",$C$1=1),$A619,$A619+1),COLUMN('1-DATA'!AT617)),IF($B619="STD. DEVIATION",2,$F$1))))</f>
        <v/>
      </c>
      <c r="AV619" s="1" t="str">
        <f>IF(OR($B619="",AV$7=""),"",IF($B619="MEANS",INDEX('1-DATA'!$1:$1048576,$A618-1,COLUMN('1-DATA'!AU617)),ROUND(INDEX('1-DATA'!$1:$1048576,IF(OR($B619="STD. DEVIATION",$C$1=1),$A619,$A619+1),COLUMN('1-DATA'!AU617)),IF($B619="STD. DEVIATION",2,$F$1))))</f>
        <v/>
      </c>
      <c r="AW619" s="1" t="str">
        <f>IF(OR($B619="",AW$7=""),"",IF($B619="MEANS",INDEX('1-DATA'!$1:$1048576,$A618-1,COLUMN('1-DATA'!AV617)),ROUND(INDEX('1-DATA'!$1:$1048576,IF(OR($B619="STD. DEVIATION",$C$1=1),$A619,$A619+1),COLUMN('1-DATA'!AV617)),IF($B619="STD. DEVIATION",2,$F$1))))</f>
        <v/>
      </c>
      <c r="AX619" s="1" t="str">
        <f>IF(OR($B619="",AX$7=""),"",IF($B619="MEANS",INDEX('1-DATA'!$1:$1048576,$A618-1,COLUMN('1-DATA'!AW617)),ROUND(INDEX('1-DATA'!$1:$1048576,IF(OR($B619="STD. DEVIATION",$C$1=1),$A619,$A619+1),COLUMN('1-DATA'!AW617)),IF($B619="STD. DEVIATION",2,$F$1))))</f>
        <v/>
      </c>
      <c r="AY619" s="1" t="str">
        <f>IF(OR($B619="",AY$7=""),"",IF($B619="MEANS",INDEX('1-DATA'!$1:$1048576,$A618-1,COLUMN('1-DATA'!AX617)),ROUND(INDEX('1-DATA'!$1:$1048576,IF(OR($B619="STD. DEVIATION",$C$1=1),$A619,$A619+1),COLUMN('1-DATA'!AX617)),IF($B619="STD. DEVIATION",2,$F$1))))</f>
        <v/>
      </c>
      <c r="AZ619" s="1" t="str">
        <f>IF(OR($B619="",AZ$7=""),"",IF($B619="MEANS",INDEX('1-DATA'!$1:$1048576,$A618-1,COLUMN('1-DATA'!AY617)),ROUND(INDEX('1-DATA'!$1:$1048576,IF(OR($B619="STD. DEVIATION",$C$1=1),$A619,$A619+1),COLUMN('1-DATA'!AY617)),IF($B619="STD. DEVIATION",2,$F$1))))</f>
        <v/>
      </c>
    </row>
    <row r="620" spans="1:52" x14ac:dyDescent="0.25">
      <c r="A620" s="11">
        <f t="shared" si="10"/>
        <v>1846</v>
      </c>
      <c r="B620" s="1" t="str">
        <f>IF(B619="STD. DEVIATION",INDEX('1-DATA'!$1:$1048576,$A619-1,1),IF(INDEX('1-DATA'!$1:$1048576,$A620,1)&lt;&gt;"",INDEX('1-DATA'!$1:$1048576,$A620,1),""))</f>
        <v/>
      </c>
      <c r="C620" s="1" t="str">
        <f>IF(OR($B620="",C$7=""),"",IF($B620="MEANS",INDEX('1-DATA'!$1:$1048576,$A619-1,COLUMN('1-DATA'!B618)),ROUND(INDEX('1-DATA'!$1:$1048576,IF(OR($B620="STD. DEVIATION",$C$1=1),$A620,$A620+1),COLUMN('1-DATA'!B618)),IF($B620="STD. DEVIATION",2,$F$1))))</f>
        <v/>
      </c>
      <c r="D620" s="1" t="str">
        <f>IF(OR($B620="",D$7=""),"",IF($B620="MEANS",INDEX('1-DATA'!$1:$1048576,$A619-1,COLUMN('1-DATA'!C618)),ROUND(INDEX('1-DATA'!$1:$1048576,IF(OR($B620="STD. DEVIATION",$C$1=1),$A620,$A620+1),COLUMN('1-DATA'!C618)),IF($B620="STD. DEVIATION",2,$F$1))))</f>
        <v/>
      </c>
      <c r="E620" s="1" t="str">
        <f>IF(OR($B620="",E$7=""),"",IF($B620="MEANS",INDEX('1-DATA'!$1:$1048576,$A619-1,COLUMN('1-DATA'!D618)),ROUND(INDEX('1-DATA'!$1:$1048576,IF(OR($B620="STD. DEVIATION",$C$1=1),$A620,$A620+1),COLUMN('1-DATA'!D618)),IF($B620="STD. DEVIATION",2,$F$1))))</f>
        <v/>
      </c>
      <c r="F620" s="1" t="str">
        <f>IF(OR($B620="",F$7=""),"",IF($B620="MEANS",INDEX('1-DATA'!$1:$1048576,$A619-1,COLUMN('1-DATA'!E618)),ROUND(INDEX('1-DATA'!$1:$1048576,IF(OR($B620="STD. DEVIATION",$C$1=1),$A620,$A620+1),COLUMN('1-DATA'!E618)),IF($B620="STD. DEVIATION",2,$F$1))))</f>
        <v/>
      </c>
      <c r="G620" s="1" t="str">
        <f>IF(OR($B620="",G$7=""),"",IF($B620="MEANS",INDEX('1-DATA'!$1:$1048576,$A619-1,COLUMN('1-DATA'!F618)),ROUND(INDEX('1-DATA'!$1:$1048576,IF(OR($B620="STD. DEVIATION",$C$1=1),$A620,$A620+1),COLUMN('1-DATA'!F618)),IF($B620="STD. DEVIATION",2,$F$1))))</f>
        <v/>
      </c>
      <c r="H620" s="1" t="str">
        <f>IF(OR($B620="",H$7=""),"",IF($B620="MEANS",INDEX('1-DATA'!$1:$1048576,$A619-1,COLUMN('1-DATA'!G618)),ROUND(INDEX('1-DATA'!$1:$1048576,IF(OR($B620="STD. DEVIATION",$C$1=1),$A620,$A620+1),COLUMN('1-DATA'!G618)),IF($B620="STD. DEVIATION",2,$F$1))))</f>
        <v/>
      </c>
      <c r="I620" s="1" t="str">
        <f>IF(OR($B620="",I$7=""),"",IF($B620="MEANS",INDEX('1-DATA'!$1:$1048576,$A619-1,COLUMN('1-DATA'!H618)),ROUND(INDEX('1-DATA'!$1:$1048576,IF(OR($B620="STD. DEVIATION",$C$1=1),$A620,$A620+1),COLUMN('1-DATA'!H618)),IF($B620="STD. DEVIATION",2,$F$1))))</f>
        <v/>
      </c>
      <c r="J620" s="1" t="str">
        <f>IF(OR($B620="",J$7=""),"",IF($B620="MEANS",INDEX('1-DATA'!$1:$1048576,$A619-1,COLUMN('1-DATA'!I618)),ROUND(INDEX('1-DATA'!$1:$1048576,IF(OR($B620="STD. DEVIATION",$C$1=1),$A620,$A620+1),COLUMN('1-DATA'!I618)),IF($B620="STD. DEVIATION",2,$F$1))))</f>
        <v/>
      </c>
      <c r="K620" s="1" t="str">
        <f>IF(OR($B620="",K$7=""),"",IF($B620="MEANS",INDEX('1-DATA'!$1:$1048576,$A619-1,COLUMN('1-DATA'!J618)),ROUND(INDEX('1-DATA'!$1:$1048576,IF(OR($B620="STD. DEVIATION",$C$1=1),$A620,$A620+1),COLUMN('1-DATA'!J618)),IF($B620="STD. DEVIATION",2,$F$1))))</f>
        <v/>
      </c>
      <c r="L620" s="1" t="str">
        <f>IF(OR($B620="",L$7=""),"",IF($B620="MEANS",INDEX('1-DATA'!$1:$1048576,$A619-1,COLUMN('1-DATA'!K618)),ROUND(INDEX('1-DATA'!$1:$1048576,IF(OR($B620="STD. DEVIATION",$C$1=1),$A620,$A620+1),COLUMN('1-DATA'!K618)),IF($B620="STD. DEVIATION",2,$F$1))))</f>
        <v/>
      </c>
      <c r="M620" s="1" t="str">
        <f>IF(OR($B620="",M$7=""),"",IF($B620="MEANS",INDEX('1-DATA'!$1:$1048576,$A619-1,COLUMN('1-DATA'!L618)),ROUND(INDEX('1-DATA'!$1:$1048576,IF(OR($B620="STD. DEVIATION",$C$1=1),$A620,$A620+1),COLUMN('1-DATA'!L618)),IF($B620="STD. DEVIATION",2,$F$1))))</f>
        <v/>
      </c>
      <c r="N620" s="1" t="str">
        <f>IF(OR($B620="",N$7=""),"",IF($B620="MEANS",INDEX('1-DATA'!$1:$1048576,$A619-1,COLUMN('1-DATA'!M618)),ROUND(INDEX('1-DATA'!$1:$1048576,IF(OR($B620="STD. DEVIATION",$C$1=1),$A620,$A620+1),COLUMN('1-DATA'!M618)),IF($B620="STD. DEVIATION",2,$F$1))))</f>
        <v/>
      </c>
      <c r="O620" s="1" t="str">
        <f>IF(OR($B620="",O$7=""),"",IF($B620="MEANS",INDEX('1-DATA'!$1:$1048576,$A619-1,COLUMN('1-DATA'!N618)),ROUND(INDEX('1-DATA'!$1:$1048576,IF(OR($B620="STD. DEVIATION",$C$1=1),$A620,$A620+1),COLUMN('1-DATA'!N618)),IF($B620="STD. DEVIATION",2,$F$1))))</f>
        <v/>
      </c>
      <c r="P620" s="1" t="str">
        <f>IF(OR($B620="",P$7=""),"",IF($B620="MEANS",INDEX('1-DATA'!$1:$1048576,$A619-1,COLUMN('1-DATA'!O618)),ROUND(INDEX('1-DATA'!$1:$1048576,IF(OR($B620="STD. DEVIATION",$C$1=1),$A620,$A620+1),COLUMN('1-DATA'!O618)),IF($B620="STD. DEVIATION",2,$F$1))))</f>
        <v/>
      </c>
      <c r="Q620" s="1" t="str">
        <f>IF(OR($B620="",Q$7=""),"",IF($B620="MEANS",INDEX('1-DATA'!$1:$1048576,$A619-1,COLUMN('1-DATA'!P618)),ROUND(INDEX('1-DATA'!$1:$1048576,IF(OR($B620="STD. DEVIATION",$C$1=1),$A620,$A620+1),COLUMN('1-DATA'!P618)),IF($B620="STD. DEVIATION",2,$F$1))))</f>
        <v/>
      </c>
      <c r="R620" s="1" t="str">
        <f>IF(OR($B620="",R$7=""),"",IF($B620="MEANS",INDEX('1-DATA'!$1:$1048576,$A619-1,COLUMN('1-DATA'!Q618)),ROUND(INDEX('1-DATA'!$1:$1048576,IF(OR($B620="STD. DEVIATION",$C$1=1),$A620,$A620+1),COLUMN('1-DATA'!Q618)),IF($B620="STD. DEVIATION",2,$F$1))))</f>
        <v/>
      </c>
      <c r="S620" s="1" t="str">
        <f>IF(OR($B620="",S$7=""),"",IF($B620="MEANS",INDEX('1-DATA'!$1:$1048576,$A619-1,COLUMN('1-DATA'!R618)),ROUND(INDEX('1-DATA'!$1:$1048576,IF(OR($B620="STD. DEVIATION",$C$1=1),$A620,$A620+1),COLUMN('1-DATA'!R618)),IF($B620="STD. DEVIATION",2,$F$1))))</f>
        <v/>
      </c>
      <c r="T620" s="1" t="str">
        <f>IF(OR($B620="",T$7=""),"",IF($B620="MEANS",INDEX('1-DATA'!$1:$1048576,$A619-1,COLUMN('1-DATA'!S618)),ROUND(INDEX('1-DATA'!$1:$1048576,IF(OR($B620="STD. DEVIATION",$C$1=1),$A620,$A620+1),COLUMN('1-DATA'!S618)),IF($B620="STD. DEVIATION",2,$F$1))))</f>
        <v/>
      </c>
      <c r="U620" s="1" t="str">
        <f>IF(OR($B620="",U$7=""),"",IF($B620="MEANS",INDEX('1-DATA'!$1:$1048576,$A619-1,COLUMN('1-DATA'!T618)),ROUND(INDEX('1-DATA'!$1:$1048576,IF(OR($B620="STD. DEVIATION",$C$1=1),$A620,$A620+1),COLUMN('1-DATA'!T618)),IF($B620="STD. DEVIATION",2,$F$1))))</f>
        <v/>
      </c>
      <c r="V620" s="1" t="str">
        <f>IF(OR($B620="",V$7=""),"",IF($B620="MEANS",INDEX('1-DATA'!$1:$1048576,$A619-1,COLUMN('1-DATA'!U618)),ROUND(INDEX('1-DATA'!$1:$1048576,IF(OR($B620="STD. DEVIATION",$C$1=1),$A620,$A620+1),COLUMN('1-DATA'!U618)),IF($B620="STD. DEVIATION",2,$F$1))))</f>
        <v/>
      </c>
      <c r="W620" s="1" t="str">
        <f>IF(OR($B620="",W$7=""),"",IF($B620="MEANS",INDEX('1-DATA'!$1:$1048576,$A619-1,COLUMN('1-DATA'!V618)),ROUND(INDEX('1-DATA'!$1:$1048576,IF(OR($B620="STD. DEVIATION",$C$1=1),$A620,$A620+1),COLUMN('1-DATA'!V618)),IF($B620="STD. DEVIATION",2,$F$1))))</f>
        <v/>
      </c>
      <c r="X620" s="1" t="str">
        <f>IF(OR($B620="",X$7=""),"",IF($B620="MEANS",INDEX('1-DATA'!$1:$1048576,$A619-1,COLUMN('1-DATA'!W618)),ROUND(INDEX('1-DATA'!$1:$1048576,IF(OR($B620="STD. DEVIATION",$C$1=1),$A620,$A620+1),COLUMN('1-DATA'!W618)),IF($B620="STD. DEVIATION",2,$F$1))))</f>
        <v/>
      </c>
      <c r="Y620" s="1" t="str">
        <f>IF(OR($B620="",Y$7=""),"",IF($B620="MEANS",INDEX('1-DATA'!$1:$1048576,$A619-1,COLUMN('1-DATA'!X618)),ROUND(INDEX('1-DATA'!$1:$1048576,IF(OR($B620="STD. DEVIATION",$C$1=1),$A620,$A620+1),COLUMN('1-DATA'!X618)),IF($B620="STD. DEVIATION",2,$F$1))))</f>
        <v/>
      </c>
      <c r="Z620" s="1" t="str">
        <f>IF(OR($B620="",Z$7=""),"",IF($B620="MEANS",INDEX('1-DATA'!$1:$1048576,$A619-1,COLUMN('1-DATA'!Y618)),ROUND(INDEX('1-DATA'!$1:$1048576,IF(OR($B620="STD. DEVIATION",$C$1=1),$A620,$A620+1),COLUMN('1-DATA'!Y618)),IF($B620="STD. DEVIATION",2,$F$1))))</f>
        <v/>
      </c>
      <c r="AA620" s="1" t="str">
        <f>IF(OR($B620="",AA$7=""),"",IF($B620="MEANS",INDEX('1-DATA'!$1:$1048576,$A619-1,COLUMN('1-DATA'!Z618)),ROUND(INDEX('1-DATA'!$1:$1048576,IF(OR($B620="STD. DEVIATION",$C$1=1),$A620,$A620+1),COLUMN('1-DATA'!Z618)),IF($B620="STD. DEVIATION",2,$F$1))))</f>
        <v/>
      </c>
      <c r="AB620" s="1" t="str">
        <f>IF(OR($B620="",AB$7=""),"",IF($B620="MEANS",INDEX('1-DATA'!$1:$1048576,$A619-1,COLUMN('1-DATA'!AA618)),ROUND(INDEX('1-DATA'!$1:$1048576,IF(OR($B620="STD. DEVIATION",$C$1=1),$A620,$A620+1),COLUMN('1-DATA'!AA618)),IF($B620="STD. DEVIATION",2,$F$1))))</f>
        <v/>
      </c>
      <c r="AC620" s="1" t="str">
        <f>IF(OR($B620="",AC$7=""),"",IF($B620="MEANS",INDEX('1-DATA'!$1:$1048576,$A619-1,COLUMN('1-DATA'!AB618)),ROUND(INDEX('1-DATA'!$1:$1048576,IF(OR($B620="STD. DEVIATION",$C$1=1),$A620,$A620+1),COLUMN('1-DATA'!AB618)),IF($B620="STD. DEVIATION",2,$F$1))))</f>
        <v/>
      </c>
      <c r="AD620" s="1" t="str">
        <f>IF(OR($B620="",AD$7=""),"",IF($B620="MEANS",INDEX('1-DATA'!$1:$1048576,$A619-1,COLUMN('1-DATA'!AC618)),ROUND(INDEX('1-DATA'!$1:$1048576,IF(OR($B620="STD. DEVIATION",$C$1=1),$A620,$A620+1),COLUMN('1-DATA'!AC618)),IF($B620="STD. DEVIATION",2,$F$1))))</f>
        <v/>
      </c>
      <c r="AE620" s="1" t="str">
        <f>IF(OR($B620="",AE$7=""),"",IF($B620="MEANS",INDEX('1-DATA'!$1:$1048576,$A619-1,COLUMN('1-DATA'!AD618)),ROUND(INDEX('1-DATA'!$1:$1048576,IF(OR($B620="STD. DEVIATION",$C$1=1),$A620,$A620+1),COLUMN('1-DATA'!AD618)),IF($B620="STD. DEVIATION",2,$F$1))))</f>
        <v/>
      </c>
      <c r="AF620" s="1" t="str">
        <f>IF(OR($B620="",AF$7=""),"",IF($B620="MEANS",INDEX('1-DATA'!$1:$1048576,$A619-1,COLUMN('1-DATA'!AE618)),ROUND(INDEX('1-DATA'!$1:$1048576,IF(OR($B620="STD. DEVIATION",$C$1=1),$A620,$A620+1),COLUMN('1-DATA'!AE618)),IF($B620="STD. DEVIATION",2,$F$1))))</f>
        <v/>
      </c>
      <c r="AG620" s="1" t="str">
        <f>IF(OR($B620="",AG$7=""),"",IF($B620="MEANS",INDEX('1-DATA'!$1:$1048576,$A619-1,COLUMN('1-DATA'!AF618)),ROUND(INDEX('1-DATA'!$1:$1048576,IF(OR($B620="STD. DEVIATION",$C$1=1),$A620,$A620+1),COLUMN('1-DATA'!AF618)),IF($B620="STD. DEVIATION",2,$F$1))))</f>
        <v/>
      </c>
      <c r="AH620" s="1" t="str">
        <f>IF(OR($B620="",AH$7=""),"",IF($B620="MEANS",INDEX('1-DATA'!$1:$1048576,$A619-1,COLUMN('1-DATA'!AG618)),ROUND(INDEX('1-DATA'!$1:$1048576,IF(OR($B620="STD. DEVIATION",$C$1=1),$A620,$A620+1),COLUMN('1-DATA'!AG618)),IF($B620="STD. DEVIATION",2,$F$1))))</f>
        <v/>
      </c>
      <c r="AI620" s="1" t="str">
        <f>IF(OR($B620="",AI$7=""),"",IF($B620="MEANS",INDEX('1-DATA'!$1:$1048576,$A619-1,COLUMN('1-DATA'!AH618)),ROUND(INDEX('1-DATA'!$1:$1048576,IF(OR($B620="STD. DEVIATION",$C$1=1),$A620,$A620+1),COLUMN('1-DATA'!AH618)),IF($B620="STD. DEVIATION",2,$F$1))))</f>
        <v/>
      </c>
      <c r="AJ620" s="1" t="str">
        <f>IF(OR($B620="",AJ$7=""),"",IF($B620="MEANS",INDEX('1-DATA'!$1:$1048576,$A619-1,COLUMN('1-DATA'!AI618)),ROUND(INDEX('1-DATA'!$1:$1048576,IF(OR($B620="STD. DEVIATION",$C$1=1),$A620,$A620+1),COLUMN('1-DATA'!AI618)),IF($B620="STD. DEVIATION",2,$F$1))))</f>
        <v/>
      </c>
      <c r="AK620" s="1" t="str">
        <f>IF(OR($B620="",AK$7=""),"",IF($B620="MEANS",INDEX('1-DATA'!$1:$1048576,$A619-1,COLUMN('1-DATA'!AJ618)),ROUND(INDEX('1-DATA'!$1:$1048576,IF(OR($B620="STD. DEVIATION",$C$1=1),$A620,$A620+1),COLUMN('1-DATA'!AJ618)),IF($B620="STD. DEVIATION",2,$F$1))))</f>
        <v/>
      </c>
      <c r="AL620" s="1" t="str">
        <f>IF(OR($B620="",AL$7=""),"",IF($B620="MEANS",INDEX('1-DATA'!$1:$1048576,$A619-1,COLUMN('1-DATA'!AK618)),ROUND(INDEX('1-DATA'!$1:$1048576,IF(OR($B620="STD. DEVIATION",$C$1=1),$A620,$A620+1),COLUMN('1-DATA'!AK618)),IF($B620="STD. DEVIATION",2,$F$1))))</f>
        <v/>
      </c>
      <c r="AM620" s="1" t="str">
        <f>IF(OR($B620="",AM$7=""),"",IF($B620="MEANS",INDEX('1-DATA'!$1:$1048576,$A619-1,COLUMN('1-DATA'!AL618)),ROUND(INDEX('1-DATA'!$1:$1048576,IF(OR($B620="STD. DEVIATION",$C$1=1),$A620,$A620+1),COLUMN('1-DATA'!AL618)),IF($B620="STD. DEVIATION",2,$F$1))))</f>
        <v/>
      </c>
      <c r="AN620" s="1" t="str">
        <f>IF(OR($B620="",AN$7=""),"",IF($B620="MEANS",INDEX('1-DATA'!$1:$1048576,$A619-1,COLUMN('1-DATA'!AM618)),ROUND(INDEX('1-DATA'!$1:$1048576,IF(OR($B620="STD. DEVIATION",$C$1=1),$A620,$A620+1),COLUMN('1-DATA'!AM618)),IF($B620="STD. DEVIATION",2,$F$1))))</f>
        <v/>
      </c>
      <c r="AO620" s="1" t="str">
        <f>IF(OR($B620="",AO$7=""),"",IF($B620="MEANS",INDEX('1-DATA'!$1:$1048576,$A619-1,COLUMN('1-DATA'!AN618)),ROUND(INDEX('1-DATA'!$1:$1048576,IF(OR($B620="STD. DEVIATION",$C$1=1),$A620,$A620+1),COLUMN('1-DATA'!AN618)),IF($B620="STD. DEVIATION",2,$F$1))))</f>
        <v/>
      </c>
      <c r="AP620" s="1" t="str">
        <f>IF(OR($B620="",AP$7=""),"",IF($B620="MEANS",INDEX('1-DATA'!$1:$1048576,$A619-1,COLUMN('1-DATA'!AO618)),ROUND(INDEX('1-DATA'!$1:$1048576,IF(OR($B620="STD. DEVIATION",$C$1=1),$A620,$A620+1),COLUMN('1-DATA'!AO618)),IF($B620="STD. DEVIATION",2,$F$1))))</f>
        <v/>
      </c>
      <c r="AQ620" s="1" t="str">
        <f>IF(OR($B620="",AQ$7=""),"",IF($B620="MEANS",INDEX('1-DATA'!$1:$1048576,$A619-1,COLUMN('1-DATA'!AP618)),ROUND(INDEX('1-DATA'!$1:$1048576,IF(OR($B620="STD. DEVIATION",$C$1=1),$A620,$A620+1),COLUMN('1-DATA'!AP618)),IF($B620="STD. DEVIATION",2,$F$1))))</f>
        <v/>
      </c>
      <c r="AR620" s="1" t="str">
        <f>IF(OR($B620="",AR$7=""),"",IF($B620="MEANS",INDEX('1-DATA'!$1:$1048576,$A619-1,COLUMN('1-DATA'!AQ618)),ROUND(INDEX('1-DATA'!$1:$1048576,IF(OR($B620="STD. DEVIATION",$C$1=1),$A620,$A620+1),COLUMN('1-DATA'!AQ618)),IF($B620="STD. DEVIATION",2,$F$1))))</f>
        <v/>
      </c>
      <c r="AS620" s="1" t="str">
        <f>IF(OR($B620="",AS$7=""),"",IF($B620="MEANS",INDEX('1-DATA'!$1:$1048576,$A619-1,COLUMN('1-DATA'!AR618)),ROUND(INDEX('1-DATA'!$1:$1048576,IF(OR($B620="STD. DEVIATION",$C$1=1),$A620,$A620+1),COLUMN('1-DATA'!AR618)),IF($B620="STD. DEVIATION",2,$F$1))))</f>
        <v/>
      </c>
      <c r="AT620" s="1" t="str">
        <f>IF(OR($B620="",AT$7=""),"",IF($B620="MEANS",INDEX('1-DATA'!$1:$1048576,$A619-1,COLUMN('1-DATA'!AS618)),ROUND(INDEX('1-DATA'!$1:$1048576,IF(OR($B620="STD. DEVIATION",$C$1=1),$A620,$A620+1),COLUMN('1-DATA'!AS618)),IF($B620="STD. DEVIATION",2,$F$1))))</f>
        <v/>
      </c>
      <c r="AU620" s="1" t="str">
        <f>IF(OR($B620="",AU$7=""),"",IF($B620="MEANS",INDEX('1-DATA'!$1:$1048576,$A619-1,COLUMN('1-DATA'!AT618)),ROUND(INDEX('1-DATA'!$1:$1048576,IF(OR($B620="STD. DEVIATION",$C$1=1),$A620,$A620+1),COLUMN('1-DATA'!AT618)),IF($B620="STD. DEVIATION",2,$F$1))))</f>
        <v/>
      </c>
      <c r="AV620" s="1" t="str">
        <f>IF(OR($B620="",AV$7=""),"",IF($B620="MEANS",INDEX('1-DATA'!$1:$1048576,$A619-1,COLUMN('1-DATA'!AU618)),ROUND(INDEX('1-DATA'!$1:$1048576,IF(OR($B620="STD. DEVIATION",$C$1=1),$A620,$A620+1),COLUMN('1-DATA'!AU618)),IF($B620="STD. DEVIATION",2,$F$1))))</f>
        <v/>
      </c>
      <c r="AW620" s="1" t="str">
        <f>IF(OR($B620="",AW$7=""),"",IF($B620="MEANS",INDEX('1-DATA'!$1:$1048576,$A619-1,COLUMN('1-DATA'!AV618)),ROUND(INDEX('1-DATA'!$1:$1048576,IF(OR($B620="STD. DEVIATION",$C$1=1),$A620,$A620+1),COLUMN('1-DATA'!AV618)),IF($B620="STD. DEVIATION",2,$F$1))))</f>
        <v/>
      </c>
      <c r="AX620" s="1" t="str">
        <f>IF(OR($B620="",AX$7=""),"",IF($B620="MEANS",INDEX('1-DATA'!$1:$1048576,$A619-1,COLUMN('1-DATA'!AW618)),ROUND(INDEX('1-DATA'!$1:$1048576,IF(OR($B620="STD. DEVIATION",$C$1=1),$A620,$A620+1),COLUMN('1-DATA'!AW618)),IF($B620="STD. DEVIATION",2,$F$1))))</f>
        <v/>
      </c>
      <c r="AY620" s="1" t="str">
        <f>IF(OR($B620="",AY$7=""),"",IF($B620="MEANS",INDEX('1-DATA'!$1:$1048576,$A619-1,COLUMN('1-DATA'!AX618)),ROUND(INDEX('1-DATA'!$1:$1048576,IF(OR($B620="STD. DEVIATION",$C$1=1),$A620,$A620+1),COLUMN('1-DATA'!AX618)),IF($B620="STD. DEVIATION",2,$F$1))))</f>
        <v/>
      </c>
      <c r="AZ620" s="1" t="str">
        <f>IF(OR($B620="",AZ$7=""),"",IF($B620="MEANS",INDEX('1-DATA'!$1:$1048576,$A619-1,COLUMN('1-DATA'!AY618)),ROUND(INDEX('1-DATA'!$1:$1048576,IF(OR($B620="STD. DEVIATION",$C$1=1),$A620,$A620+1),COLUMN('1-DATA'!AY618)),IF($B620="STD. DEVIATION",2,$F$1))))</f>
        <v/>
      </c>
    </row>
    <row r="621" spans="1:52" x14ac:dyDescent="0.25">
      <c r="A621" s="11">
        <f t="shared" si="10"/>
        <v>1849</v>
      </c>
      <c r="B621" s="1" t="str">
        <f>IF(B620="STD. DEVIATION",INDEX('1-DATA'!$1:$1048576,$A620-1,1),IF(INDEX('1-DATA'!$1:$1048576,$A621,1)&lt;&gt;"",INDEX('1-DATA'!$1:$1048576,$A621,1),""))</f>
        <v/>
      </c>
      <c r="C621" s="1" t="str">
        <f>IF(OR($B621="",C$7=""),"",IF($B621="MEANS",INDEX('1-DATA'!$1:$1048576,$A620-1,COLUMN('1-DATA'!B619)),ROUND(INDEX('1-DATA'!$1:$1048576,IF(OR($B621="STD. DEVIATION",$C$1=1),$A621,$A621+1),COLUMN('1-DATA'!B619)),IF($B621="STD. DEVIATION",2,$F$1))))</f>
        <v/>
      </c>
      <c r="D621" s="1" t="str">
        <f>IF(OR($B621="",D$7=""),"",IF($B621="MEANS",INDEX('1-DATA'!$1:$1048576,$A620-1,COLUMN('1-DATA'!C619)),ROUND(INDEX('1-DATA'!$1:$1048576,IF(OR($B621="STD. DEVIATION",$C$1=1),$A621,$A621+1),COLUMN('1-DATA'!C619)),IF($B621="STD. DEVIATION",2,$F$1))))</f>
        <v/>
      </c>
      <c r="E621" s="1" t="str">
        <f>IF(OR($B621="",E$7=""),"",IF($B621="MEANS",INDEX('1-DATA'!$1:$1048576,$A620-1,COLUMN('1-DATA'!D619)),ROUND(INDEX('1-DATA'!$1:$1048576,IF(OR($B621="STD. DEVIATION",$C$1=1),$A621,$A621+1),COLUMN('1-DATA'!D619)),IF($B621="STD. DEVIATION",2,$F$1))))</f>
        <v/>
      </c>
      <c r="F621" s="1" t="str">
        <f>IF(OR($B621="",F$7=""),"",IF($B621="MEANS",INDEX('1-DATA'!$1:$1048576,$A620-1,COLUMN('1-DATA'!E619)),ROUND(INDEX('1-DATA'!$1:$1048576,IF(OR($B621="STD. DEVIATION",$C$1=1),$A621,$A621+1),COLUMN('1-DATA'!E619)),IF($B621="STD. DEVIATION",2,$F$1))))</f>
        <v/>
      </c>
      <c r="G621" s="1" t="str">
        <f>IF(OR($B621="",G$7=""),"",IF($B621="MEANS",INDEX('1-DATA'!$1:$1048576,$A620-1,COLUMN('1-DATA'!F619)),ROUND(INDEX('1-DATA'!$1:$1048576,IF(OR($B621="STD. DEVIATION",$C$1=1),$A621,$A621+1),COLUMN('1-DATA'!F619)),IF($B621="STD. DEVIATION",2,$F$1))))</f>
        <v/>
      </c>
      <c r="H621" s="1" t="str">
        <f>IF(OR($B621="",H$7=""),"",IF($B621="MEANS",INDEX('1-DATA'!$1:$1048576,$A620-1,COLUMN('1-DATA'!G619)),ROUND(INDEX('1-DATA'!$1:$1048576,IF(OR($B621="STD. DEVIATION",$C$1=1),$A621,$A621+1),COLUMN('1-DATA'!G619)),IF($B621="STD. DEVIATION",2,$F$1))))</f>
        <v/>
      </c>
      <c r="I621" s="1" t="str">
        <f>IF(OR($B621="",I$7=""),"",IF($B621="MEANS",INDEX('1-DATA'!$1:$1048576,$A620-1,COLUMN('1-DATA'!H619)),ROUND(INDEX('1-DATA'!$1:$1048576,IF(OR($B621="STD. DEVIATION",$C$1=1),$A621,$A621+1),COLUMN('1-DATA'!H619)),IF($B621="STD. DEVIATION",2,$F$1))))</f>
        <v/>
      </c>
      <c r="J621" s="1" t="str">
        <f>IF(OR($B621="",J$7=""),"",IF($B621="MEANS",INDEX('1-DATA'!$1:$1048576,$A620-1,COLUMN('1-DATA'!I619)),ROUND(INDEX('1-DATA'!$1:$1048576,IF(OR($B621="STD. DEVIATION",$C$1=1),$A621,$A621+1),COLUMN('1-DATA'!I619)),IF($B621="STD. DEVIATION",2,$F$1))))</f>
        <v/>
      </c>
      <c r="K621" s="1" t="str">
        <f>IF(OR($B621="",K$7=""),"",IF($B621="MEANS",INDEX('1-DATA'!$1:$1048576,$A620-1,COLUMN('1-DATA'!J619)),ROUND(INDEX('1-DATA'!$1:$1048576,IF(OR($B621="STD. DEVIATION",$C$1=1),$A621,$A621+1),COLUMN('1-DATA'!J619)),IF($B621="STD. DEVIATION",2,$F$1))))</f>
        <v/>
      </c>
      <c r="L621" s="1" t="str">
        <f>IF(OR($B621="",L$7=""),"",IF($B621="MEANS",INDEX('1-DATA'!$1:$1048576,$A620-1,COLUMN('1-DATA'!K619)),ROUND(INDEX('1-DATA'!$1:$1048576,IF(OR($B621="STD. DEVIATION",$C$1=1),$A621,$A621+1),COLUMN('1-DATA'!K619)),IF($B621="STD. DEVIATION",2,$F$1))))</f>
        <v/>
      </c>
      <c r="M621" s="1" t="str">
        <f>IF(OR($B621="",M$7=""),"",IF($B621="MEANS",INDEX('1-DATA'!$1:$1048576,$A620-1,COLUMN('1-DATA'!L619)),ROUND(INDEX('1-DATA'!$1:$1048576,IF(OR($B621="STD. DEVIATION",$C$1=1),$A621,$A621+1),COLUMN('1-DATA'!L619)),IF($B621="STD. DEVIATION",2,$F$1))))</f>
        <v/>
      </c>
      <c r="N621" s="1" t="str">
        <f>IF(OR($B621="",N$7=""),"",IF($B621="MEANS",INDEX('1-DATA'!$1:$1048576,$A620-1,COLUMN('1-DATA'!M619)),ROUND(INDEX('1-DATA'!$1:$1048576,IF(OR($B621="STD. DEVIATION",$C$1=1),$A621,$A621+1),COLUMN('1-DATA'!M619)),IF($B621="STD. DEVIATION",2,$F$1))))</f>
        <v/>
      </c>
      <c r="O621" s="1" t="str">
        <f>IF(OR($B621="",O$7=""),"",IF($B621="MEANS",INDEX('1-DATA'!$1:$1048576,$A620-1,COLUMN('1-DATA'!N619)),ROUND(INDEX('1-DATA'!$1:$1048576,IF(OR($B621="STD. DEVIATION",$C$1=1),$A621,$A621+1),COLUMN('1-DATA'!N619)),IF($B621="STD. DEVIATION",2,$F$1))))</f>
        <v/>
      </c>
      <c r="P621" s="1" t="str">
        <f>IF(OR($B621="",P$7=""),"",IF($B621="MEANS",INDEX('1-DATA'!$1:$1048576,$A620-1,COLUMN('1-DATA'!O619)),ROUND(INDEX('1-DATA'!$1:$1048576,IF(OR($B621="STD. DEVIATION",$C$1=1),$A621,$A621+1),COLUMN('1-DATA'!O619)),IF($B621="STD. DEVIATION",2,$F$1))))</f>
        <v/>
      </c>
      <c r="Q621" s="1" t="str">
        <f>IF(OR($B621="",Q$7=""),"",IF($B621="MEANS",INDEX('1-DATA'!$1:$1048576,$A620-1,COLUMN('1-DATA'!P619)),ROUND(INDEX('1-DATA'!$1:$1048576,IF(OR($B621="STD. DEVIATION",$C$1=1),$A621,$A621+1),COLUMN('1-DATA'!P619)),IF($B621="STD. DEVIATION",2,$F$1))))</f>
        <v/>
      </c>
      <c r="R621" s="1" t="str">
        <f>IF(OR($B621="",R$7=""),"",IF($B621="MEANS",INDEX('1-DATA'!$1:$1048576,$A620-1,COLUMN('1-DATA'!Q619)),ROUND(INDEX('1-DATA'!$1:$1048576,IF(OR($B621="STD. DEVIATION",$C$1=1),$A621,$A621+1),COLUMN('1-DATA'!Q619)),IF($B621="STD. DEVIATION",2,$F$1))))</f>
        <v/>
      </c>
      <c r="S621" s="1" t="str">
        <f>IF(OR($B621="",S$7=""),"",IF($B621="MEANS",INDEX('1-DATA'!$1:$1048576,$A620-1,COLUMN('1-DATA'!R619)),ROUND(INDEX('1-DATA'!$1:$1048576,IF(OR($B621="STD. DEVIATION",$C$1=1),$A621,$A621+1),COLUMN('1-DATA'!R619)),IF($B621="STD. DEVIATION",2,$F$1))))</f>
        <v/>
      </c>
      <c r="T621" s="1" t="str">
        <f>IF(OR($B621="",T$7=""),"",IF($B621="MEANS",INDEX('1-DATA'!$1:$1048576,$A620-1,COLUMN('1-DATA'!S619)),ROUND(INDEX('1-DATA'!$1:$1048576,IF(OR($B621="STD. DEVIATION",$C$1=1),$A621,$A621+1),COLUMN('1-DATA'!S619)),IF($B621="STD. DEVIATION",2,$F$1))))</f>
        <v/>
      </c>
      <c r="U621" s="1" t="str">
        <f>IF(OR($B621="",U$7=""),"",IF($B621="MEANS",INDEX('1-DATA'!$1:$1048576,$A620-1,COLUMN('1-DATA'!T619)),ROUND(INDEX('1-DATA'!$1:$1048576,IF(OR($B621="STD. DEVIATION",$C$1=1),$A621,$A621+1),COLUMN('1-DATA'!T619)),IF($B621="STD. DEVIATION",2,$F$1))))</f>
        <v/>
      </c>
      <c r="V621" s="1" t="str">
        <f>IF(OR($B621="",V$7=""),"",IF($B621="MEANS",INDEX('1-DATA'!$1:$1048576,$A620-1,COLUMN('1-DATA'!U619)),ROUND(INDEX('1-DATA'!$1:$1048576,IF(OR($B621="STD. DEVIATION",$C$1=1),$A621,$A621+1),COLUMN('1-DATA'!U619)),IF($B621="STD. DEVIATION",2,$F$1))))</f>
        <v/>
      </c>
      <c r="W621" s="1" t="str">
        <f>IF(OR($B621="",W$7=""),"",IF($B621="MEANS",INDEX('1-DATA'!$1:$1048576,$A620-1,COLUMN('1-DATA'!V619)),ROUND(INDEX('1-DATA'!$1:$1048576,IF(OR($B621="STD. DEVIATION",$C$1=1),$A621,$A621+1),COLUMN('1-DATA'!V619)),IF($B621="STD. DEVIATION",2,$F$1))))</f>
        <v/>
      </c>
      <c r="X621" s="1" t="str">
        <f>IF(OR($B621="",X$7=""),"",IF($B621="MEANS",INDEX('1-DATA'!$1:$1048576,$A620-1,COLUMN('1-DATA'!W619)),ROUND(INDEX('1-DATA'!$1:$1048576,IF(OR($B621="STD. DEVIATION",$C$1=1),$A621,$A621+1),COLUMN('1-DATA'!W619)),IF($B621="STD. DEVIATION",2,$F$1))))</f>
        <v/>
      </c>
      <c r="Y621" s="1" t="str">
        <f>IF(OR($B621="",Y$7=""),"",IF($B621="MEANS",INDEX('1-DATA'!$1:$1048576,$A620-1,COLUMN('1-DATA'!X619)),ROUND(INDEX('1-DATA'!$1:$1048576,IF(OR($B621="STD. DEVIATION",$C$1=1),$A621,$A621+1),COLUMN('1-DATA'!X619)),IF($B621="STD. DEVIATION",2,$F$1))))</f>
        <v/>
      </c>
      <c r="Z621" s="1" t="str">
        <f>IF(OR($B621="",Z$7=""),"",IF($B621="MEANS",INDEX('1-DATA'!$1:$1048576,$A620-1,COLUMN('1-DATA'!Y619)),ROUND(INDEX('1-DATA'!$1:$1048576,IF(OR($B621="STD. DEVIATION",$C$1=1),$A621,$A621+1),COLUMN('1-DATA'!Y619)),IF($B621="STD. DEVIATION",2,$F$1))))</f>
        <v/>
      </c>
      <c r="AA621" s="1" t="str">
        <f>IF(OR($B621="",AA$7=""),"",IF($B621="MEANS",INDEX('1-DATA'!$1:$1048576,$A620-1,COLUMN('1-DATA'!Z619)),ROUND(INDEX('1-DATA'!$1:$1048576,IF(OR($B621="STD. DEVIATION",$C$1=1),$A621,$A621+1),COLUMN('1-DATA'!Z619)),IF($B621="STD. DEVIATION",2,$F$1))))</f>
        <v/>
      </c>
      <c r="AB621" s="1" t="str">
        <f>IF(OR($B621="",AB$7=""),"",IF($B621="MEANS",INDEX('1-DATA'!$1:$1048576,$A620-1,COLUMN('1-DATA'!AA619)),ROUND(INDEX('1-DATA'!$1:$1048576,IF(OR($B621="STD. DEVIATION",$C$1=1),$A621,$A621+1),COLUMN('1-DATA'!AA619)),IF($B621="STD. DEVIATION",2,$F$1))))</f>
        <v/>
      </c>
      <c r="AC621" s="1" t="str">
        <f>IF(OR($B621="",AC$7=""),"",IF($B621="MEANS",INDEX('1-DATA'!$1:$1048576,$A620-1,COLUMN('1-DATA'!AB619)),ROUND(INDEX('1-DATA'!$1:$1048576,IF(OR($B621="STD. DEVIATION",$C$1=1),$A621,$A621+1),COLUMN('1-DATA'!AB619)),IF($B621="STD. DEVIATION",2,$F$1))))</f>
        <v/>
      </c>
      <c r="AD621" s="1" t="str">
        <f>IF(OR($B621="",AD$7=""),"",IF($B621="MEANS",INDEX('1-DATA'!$1:$1048576,$A620-1,COLUMN('1-DATA'!AC619)),ROUND(INDEX('1-DATA'!$1:$1048576,IF(OR($B621="STD. DEVIATION",$C$1=1),$A621,$A621+1),COLUMN('1-DATA'!AC619)),IF($B621="STD. DEVIATION",2,$F$1))))</f>
        <v/>
      </c>
      <c r="AE621" s="1" t="str">
        <f>IF(OR($B621="",AE$7=""),"",IF($B621="MEANS",INDEX('1-DATA'!$1:$1048576,$A620-1,COLUMN('1-DATA'!AD619)),ROUND(INDEX('1-DATA'!$1:$1048576,IF(OR($B621="STD. DEVIATION",$C$1=1),$A621,$A621+1),COLUMN('1-DATA'!AD619)),IF($B621="STD. DEVIATION",2,$F$1))))</f>
        <v/>
      </c>
      <c r="AF621" s="1" t="str">
        <f>IF(OR($B621="",AF$7=""),"",IF($B621="MEANS",INDEX('1-DATA'!$1:$1048576,$A620-1,COLUMN('1-DATA'!AE619)),ROUND(INDEX('1-DATA'!$1:$1048576,IF(OR($B621="STD. DEVIATION",$C$1=1),$A621,$A621+1),COLUMN('1-DATA'!AE619)),IF($B621="STD. DEVIATION",2,$F$1))))</f>
        <v/>
      </c>
      <c r="AG621" s="1" t="str">
        <f>IF(OR($B621="",AG$7=""),"",IF($B621="MEANS",INDEX('1-DATA'!$1:$1048576,$A620-1,COLUMN('1-DATA'!AF619)),ROUND(INDEX('1-DATA'!$1:$1048576,IF(OR($B621="STD. DEVIATION",$C$1=1),$A621,$A621+1),COLUMN('1-DATA'!AF619)),IF($B621="STD. DEVIATION",2,$F$1))))</f>
        <v/>
      </c>
      <c r="AH621" s="1" t="str">
        <f>IF(OR($B621="",AH$7=""),"",IF($B621="MEANS",INDEX('1-DATA'!$1:$1048576,$A620-1,COLUMN('1-DATA'!AG619)),ROUND(INDEX('1-DATA'!$1:$1048576,IF(OR($B621="STD. DEVIATION",$C$1=1),$A621,$A621+1),COLUMN('1-DATA'!AG619)),IF($B621="STD. DEVIATION",2,$F$1))))</f>
        <v/>
      </c>
      <c r="AI621" s="1" t="str">
        <f>IF(OR($B621="",AI$7=""),"",IF($B621="MEANS",INDEX('1-DATA'!$1:$1048576,$A620-1,COLUMN('1-DATA'!AH619)),ROUND(INDEX('1-DATA'!$1:$1048576,IF(OR($B621="STD. DEVIATION",$C$1=1),$A621,$A621+1),COLUMN('1-DATA'!AH619)),IF($B621="STD. DEVIATION",2,$F$1))))</f>
        <v/>
      </c>
      <c r="AJ621" s="1" t="str">
        <f>IF(OR($B621="",AJ$7=""),"",IF($B621="MEANS",INDEX('1-DATA'!$1:$1048576,$A620-1,COLUMN('1-DATA'!AI619)),ROUND(INDEX('1-DATA'!$1:$1048576,IF(OR($B621="STD. DEVIATION",$C$1=1),$A621,$A621+1),COLUMN('1-DATA'!AI619)),IF($B621="STD. DEVIATION",2,$F$1))))</f>
        <v/>
      </c>
      <c r="AK621" s="1" t="str">
        <f>IF(OR($B621="",AK$7=""),"",IF($B621="MEANS",INDEX('1-DATA'!$1:$1048576,$A620-1,COLUMN('1-DATA'!AJ619)),ROUND(INDEX('1-DATA'!$1:$1048576,IF(OR($B621="STD. DEVIATION",$C$1=1),$A621,$A621+1),COLUMN('1-DATA'!AJ619)),IF($B621="STD. DEVIATION",2,$F$1))))</f>
        <v/>
      </c>
      <c r="AL621" s="1" t="str">
        <f>IF(OR($B621="",AL$7=""),"",IF($B621="MEANS",INDEX('1-DATA'!$1:$1048576,$A620-1,COLUMN('1-DATA'!AK619)),ROUND(INDEX('1-DATA'!$1:$1048576,IF(OR($B621="STD. DEVIATION",$C$1=1),$A621,$A621+1),COLUMN('1-DATA'!AK619)),IF($B621="STD. DEVIATION",2,$F$1))))</f>
        <v/>
      </c>
      <c r="AM621" s="1" t="str">
        <f>IF(OR($B621="",AM$7=""),"",IF($B621="MEANS",INDEX('1-DATA'!$1:$1048576,$A620-1,COLUMN('1-DATA'!AL619)),ROUND(INDEX('1-DATA'!$1:$1048576,IF(OR($B621="STD. DEVIATION",$C$1=1),$A621,$A621+1),COLUMN('1-DATA'!AL619)),IF($B621="STD. DEVIATION",2,$F$1))))</f>
        <v/>
      </c>
      <c r="AN621" s="1" t="str">
        <f>IF(OR($B621="",AN$7=""),"",IF($B621="MEANS",INDEX('1-DATA'!$1:$1048576,$A620-1,COLUMN('1-DATA'!AM619)),ROUND(INDEX('1-DATA'!$1:$1048576,IF(OR($B621="STD. DEVIATION",$C$1=1),$A621,$A621+1),COLUMN('1-DATA'!AM619)),IF($B621="STD. DEVIATION",2,$F$1))))</f>
        <v/>
      </c>
      <c r="AO621" s="1" t="str">
        <f>IF(OR($B621="",AO$7=""),"",IF($B621="MEANS",INDEX('1-DATA'!$1:$1048576,$A620-1,COLUMN('1-DATA'!AN619)),ROUND(INDEX('1-DATA'!$1:$1048576,IF(OR($B621="STD. DEVIATION",$C$1=1),$A621,$A621+1),COLUMN('1-DATA'!AN619)),IF($B621="STD. DEVIATION",2,$F$1))))</f>
        <v/>
      </c>
      <c r="AP621" s="1" t="str">
        <f>IF(OR($B621="",AP$7=""),"",IF($B621="MEANS",INDEX('1-DATA'!$1:$1048576,$A620-1,COLUMN('1-DATA'!AO619)),ROUND(INDEX('1-DATA'!$1:$1048576,IF(OR($B621="STD. DEVIATION",$C$1=1),$A621,$A621+1),COLUMN('1-DATA'!AO619)),IF($B621="STD. DEVIATION",2,$F$1))))</f>
        <v/>
      </c>
      <c r="AQ621" s="1" t="str">
        <f>IF(OR($B621="",AQ$7=""),"",IF($B621="MEANS",INDEX('1-DATA'!$1:$1048576,$A620-1,COLUMN('1-DATA'!AP619)),ROUND(INDEX('1-DATA'!$1:$1048576,IF(OR($B621="STD. DEVIATION",$C$1=1),$A621,$A621+1),COLUMN('1-DATA'!AP619)),IF($B621="STD. DEVIATION",2,$F$1))))</f>
        <v/>
      </c>
      <c r="AR621" s="1" t="str">
        <f>IF(OR($B621="",AR$7=""),"",IF($B621="MEANS",INDEX('1-DATA'!$1:$1048576,$A620-1,COLUMN('1-DATA'!AQ619)),ROUND(INDEX('1-DATA'!$1:$1048576,IF(OR($B621="STD. DEVIATION",$C$1=1),$A621,$A621+1),COLUMN('1-DATA'!AQ619)),IF($B621="STD. DEVIATION",2,$F$1))))</f>
        <v/>
      </c>
      <c r="AS621" s="1" t="str">
        <f>IF(OR($B621="",AS$7=""),"",IF($B621="MEANS",INDEX('1-DATA'!$1:$1048576,$A620-1,COLUMN('1-DATA'!AR619)),ROUND(INDEX('1-DATA'!$1:$1048576,IF(OR($B621="STD. DEVIATION",$C$1=1),$A621,$A621+1),COLUMN('1-DATA'!AR619)),IF($B621="STD. DEVIATION",2,$F$1))))</f>
        <v/>
      </c>
      <c r="AT621" s="1" t="str">
        <f>IF(OR($B621="",AT$7=""),"",IF($B621="MEANS",INDEX('1-DATA'!$1:$1048576,$A620-1,COLUMN('1-DATA'!AS619)),ROUND(INDEX('1-DATA'!$1:$1048576,IF(OR($B621="STD. DEVIATION",$C$1=1),$A621,$A621+1),COLUMN('1-DATA'!AS619)),IF($B621="STD. DEVIATION",2,$F$1))))</f>
        <v/>
      </c>
      <c r="AU621" s="1" t="str">
        <f>IF(OR($B621="",AU$7=""),"",IF($B621="MEANS",INDEX('1-DATA'!$1:$1048576,$A620-1,COLUMN('1-DATA'!AT619)),ROUND(INDEX('1-DATA'!$1:$1048576,IF(OR($B621="STD. DEVIATION",$C$1=1),$A621,$A621+1),COLUMN('1-DATA'!AT619)),IF($B621="STD. DEVIATION",2,$F$1))))</f>
        <v/>
      </c>
      <c r="AV621" s="1" t="str">
        <f>IF(OR($B621="",AV$7=""),"",IF($B621="MEANS",INDEX('1-DATA'!$1:$1048576,$A620-1,COLUMN('1-DATA'!AU619)),ROUND(INDEX('1-DATA'!$1:$1048576,IF(OR($B621="STD. DEVIATION",$C$1=1),$A621,$A621+1),COLUMN('1-DATA'!AU619)),IF($B621="STD. DEVIATION",2,$F$1))))</f>
        <v/>
      </c>
      <c r="AW621" s="1" t="str">
        <f>IF(OR($B621="",AW$7=""),"",IF($B621="MEANS",INDEX('1-DATA'!$1:$1048576,$A620-1,COLUMN('1-DATA'!AV619)),ROUND(INDEX('1-DATA'!$1:$1048576,IF(OR($B621="STD. DEVIATION",$C$1=1),$A621,$A621+1),COLUMN('1-DATA'!AV619)),IF($B621="STD. DEVIATION",2,$F$1))))</f>
        <v/>
      </c>
      <c r="AX621" s="1" t="str">
        <f>IF(OR($B621="",AX$7=""),"",IF($B621="MEANS",INDEX('1-DATA'!$1:$1048576,$A620-1,COLUMN('1-DATA'!AW619)),ROUND(INDEX('1-DATA'!$1:$1048576,IF(OR($B621="STD. DEVIATION",$C$1=1),$A621,$A621+1),COLUMN('1-DATA'!AW619)),IF($B621="STD. DEVIATION",2,$F$1))))</f>
        <v/>
      </c>
      <c r="AY621" s="1" t="str">
        <f>IF(OR($B621="",AY$7=""),"",IF($B621="MEANS",INDEX('1-DATA'!$1:$1048576,$A620-1,COLUMN('1-DATA'!AX619)),ROUND(INDEX('1-DATA'!$1:$1048576,IF(OR($B621="STD. DEVIATION",$C$1=1),$A621,$A621+1),COLUMN('1-DATA'!AX619)),IF($B621="STD. DEVIATION",2,$F$1))))</f>
        <v/>
      </c>
      <c r="AZ621" s="1" t="str">
        <f>IF(OR($B621="",AZ$7=""),"",IF($B621="MEANS",INDEX('1-DATA'!$1:$1048576,$A620-1,COLUMN('1-DATA'!AY619)),ROUND(INDEX('1-DATA'!$1:$1048576,IF(OR($B621="STD. DEVIATION",$C$1=1),$A621,$A621+1),COLUMN('1-DATA'!AY619)),IF($B621="STD. DEVIATION",2,$F$1))))</f>
        <v/>
      </c>
    </row>
    <row r="622" spans="1:52" x14ac:dyDescent="0.25">
      <c r="A622" s="11">
        <f t="shared" si="10"/>
        <v>1852</v>
      </c>
      <c r="B622" s="1" t="str">
        <f>IF(B621="STD. DEVIATION",INDEX('1-DATA'!$1:$1048576,$A621-1,1),IF(INDEX('1-DATA'!$1:$1048576,$A622,1)&lt;&gt;"",INDEX('1-DATA'!$1:$1048576,$A622,1),""))</f>
        <v/>
      </c>
      <c r="C622" s="1" t="str">
        <f>IF(OR($B622="",C$7=""),"",IF($B622="MEANS",INDEX('1-DATA'!$1:$1048576,$A621-1,COLUMN('1-DATA'!B620)),ROUND(INDEX('1-DATA'!$1:$1048576,IF(OR($B622="STD. DEVIATION",$C$1=1),$A622,$A622+1),COLUMN('1-DATA'!B620)),IF($B622="STD. DEVIATION",2,$F$1))))</f>
        <v/>
      </c>
      <c r="D622" s="1" t="str">
        <f>IF(OR($B622="",D$7=""),"",IF($B622="MEANS",INDEX('1-DATA'!$1:$1048576,$A621-1,COLUMN('1-DATA'!C620)),ROUND(INDEX('1-DATA'!$1:$1048576,IF(OR($B622="STD. DEVIATION",$C$1=1),$A622,$A622+1),COLUMN('1-DATA'!C620)),IF($B622="STD. DEVIATION",2,$F$1))))</f>
        <v/>
      </c>
      <c r="E622" s="1" t="str">
        <f>IF(OR($B622="",E$7=""),"",IF($B622="MEANS",INDEX('1-DATA'!$1:$1048576,$A621-1,COLUMN('1-DATA'!D620)),ROUND(INDEX('1-DATA'!$1:$1048576,IF(OR($B622="STD. DEVIATION",$C$1=1),$A622,$A622+1),COLUMN('1-DATA'!D620)),IF($B622="STD. DEVIATION",2,$F$1))))</f>
        <v/>
      </c>
      <c r="F622" s="1" t="str">
        <f>IF(OR($B622="",F$7=""),"",IF($B622="MEANS",INDEX('1-DATA'!$1:$1048576,$A621-1,COLUMN('1-DATA'!E620)),ROUND(INDEX('1-DATA'!$1:$1048576,IF(OR($B622="STD. DEVIATION",$C$1=1),$A622,$A622+1),COLUMN('1-DATA'!E620)),IF($B622="STD. DEVIATION",2,$F$1))))</f>
        <v/>
      </c>
      <c r="G622" s="1" t="str">
        <f>IF(OR($B622="",G$7=""),"",IF($B622="MEANS",INDEX('1-DATA'!$1:$1048576,$A621-1,COLUMN('1-DATA'!F620)),ROUND(INDEX('1-DATA'!$1:$1048576,IF(OR($B622="STD. DEVIATION",$C$1=1),$A622,$A622+1),COLUMN('1-DATA'!F620)),IF($B622="STD. DEVIATION",2,$F$1))))</f>
        <v/>
      </c>
      <c r="H622" s="1" t="str">
        <f>IF(OR($B622="",H$7=""),"",IF($B622="MEANS",INDEX('1-DATA'!$1:$1048576,$A621-1,COLUMN('1-DATA'!G620)),ROUND(INDEX('1-DATA'!$1:$1048576,IF(OR($B622="STD. DEVIATION",$C$1=1),$A622,$A622+1),COLUMN('1-DATA'!G620)),IF($B622="STD. DEVIATION",2,$F$1))))</f>
        <v/>
      </c>
      <c r="I622" s="1" t="str">
        <f>IF(OR($B622="",I$7=""),"",IF($B622="MEANS",INDEX('1-DATA'!$1:$1048576,$A621-1,COLUMN('1-DATA'!H620)),ROUND(INDEX('1-DATA'!$1:$1048576,IF(OR($B622="STD. DEVIATION",$C$1=1),$A622,$A622+1),COLUMN('1-DATA'!H620)),IF($B622="STD. DEVIATION",2,$F$1))))</f>
        <v/>
      </c>
      <c r="J622" s="1" t="str">
        <f>IF(OR($B622="",J$7=""),"",IF($B622="MEANS",INDEX('1-DATA'!$1:$1048576,$A621-1,COLUMN('1-DATA'!I620)),ROUND(INDEX('1-DATA'!$1:$1048576,IF(OR($B622="STD. DEVIATION",$C$1=1),$A622,$A622+1),COLUMN('1-DATA'!I620)),IF($B622="STD. DEVIATION",2,$F$1))))</f>
        <v/>
      </c>
      <c r="K622" s="1" t="str">
        <f>IF(OR($B622="",K$7=""),"",IF($B622="MEANS",INDEX('1-DATA'!$1:$1048576,$A621-1,COLUMN('1-DATA'!J620)),ROUND(INDEX('1-DATA'!$1:$1048576,IF(OR($B622="STD. DEVIATION",$C$1=1),$A622,$A622+1),COLUMN('1-DATA'!J620)),IF($B622="STD. DEVIATION",2,$F$1))))</f>
        <v/>
      </c>
      <c r="L622" s="1" t="str">
        <f>IF(OR($B622="",L$7=""),"",IF($B622="MEANS",INDEX('1-DATA'!$1:$1048576,$A621-1,COLUMN('1-DATA'!K620)),ROUND(INDEX('1-DATA'!$1:$1048576,IF(OR($B622="STD. DEVIATION",$C$1=1),$A622,$A622+1),COLUMN('1-DATA'!K620)),IF($B622="STD. DEVIATION",2,$F$1))))</f>
        <v/>
      </c>
      <c r="M622" s="1" t="str">
        <f>IF(OR($B622="",M$7=""),"",IF($B622="MEANS",INDEX('1-DATA'!$1:$1048576,$A621-1,COLUMN('1-DATA'!L620)),ROUND(INDEX('1-DATA'!$1:$1048576,IF(OR($B622="STD. DEVIATION",$C$1=1),$A622,$A622+1),COLUMN('1-DATA'!L620)),IF($B622="STD. DEVIATION",2,$F$1))))</f>
        <v/>
      </c>
      <c r="N622" s="1" t="str">
        <f>IF(OR($B622="",N$7=""),"",IF($B622="MEANS",INDEX('1-DATA'!$1:$1048576,$A621-1,COLUMN('1-DATA'!M620)),ROUND(INDEX('1-DATA'!$1:$1048576,IF(OR($B622="STD. DEVIATION",$C$1=1),$A622,$A622+1),COLUMN('1-DATA'!M620)),IF($B622="STD. DEVIATION",2,$F$1))))</f>
        <v/>
      </c>
      <c r="O622" s="1" t="str">
        <f>IF(OR($B622="",O$7=""),"",IF($B622="MEANS",INDEX('1-DATA'!$1:$1048576,$A621-1,COLUMN('1-DATA'!N620)),ROUND(INDEX('1-DATA'!$1:$1048576,IF(OR($B622="STD. DEVIATION",$C$1=1),$A622,$A622+1),COLUMN('1-DATA'!N620)),IF($B622="STD. DEVIATION",2,$F$1))))</f>
        <v/>
      </c>
      <c r="P622" s="1" t="str">
        <f>IF(OR($B622="",P$7=""),"",IF($B622="MEANS",INDEX('1-DATA'!$1:$1048576,$A621-1,COLUMN('1-DATA'!O620)),ROUND(INDEX('1-DATA'!$1:$1048576,IF(OR($B622="STD. DEVIATION",$C$1=1),$A622,$A622+1),COLUMN('1-DATA'!O620)),IF($B622="STD. DEVIATION",2,$F$1))))</f>
        <v/>
      </c>
      <c r="Q622" s="1" t="str">
        <f>IF(OR($B622="",Q$7=""),"",IF($B622="MEANS",INDEX('1-DATA'!$1:$1048576,$A621-1,COLUMN('1-DATA'!P620)),ROUND(INDEX('1-DATA'!$1:$1048576,IF(OR($B622="STD. DEVIATION",$C$1=1),$A622,$A622+1),COLUMN('1-DATA'!P620)),IF($B622="STD. DEVIATION",2,$F$1))))</f>
        <v/>
      </c>
      <c r="R622" s="1" t="str">
        <f>IF(OR($B622="",R$7=""),"",IF($B622="MEANS",INDEX('1-DATA'!$1:$1048576,$A621-1,COLUMN('1-DATA'!Q620)),ROUND(INDEX('1-DATA'!$1:$1048576,IF(OR($B622="STD. DEVIATION",$C$1=1),$A622,$A622+1),COLUMN('1-DATA'!Q620)),IF($B622="STD. DEVIATION",2,$F$1))))</f>
        <v/>
      </c>
      <c r="S622" s="1" t="str">
        <f>IF(OR($B622="",S$7=""),"",IF($B622="MEANS",INDEX('1-DATA'!$1:$1048576,$A621-1,COLUMN('1-DATA'!R620)),ROUND(INDEX('1-DATA'!$1:$1048576,IF(OR($B622="STD. DEVIATION",$C$1=1),$A622,$A622+1),COLUMN('1-DATA'!R620)),IF($B622="STD. DEVIATION",2,$F$1))))</f>
        <v/>
      </c>
      <c r="T622" s="1" t="str">
        <f>IF(OR($B622="",T$7=""),"",IF($B622="MEANS",INDEX('1-DATA'!$1:$1048576,$A621-1,COLUMN('1-DATA'!S620)),ROUND(INDEX('1-DATA'!$1:$1048576,IF(OR($B622="STD. DEVIATION",$C$1=1),$A622,$A622+1),COLUMN('1-DATA'!S620)),IF($B622="STD. DEVIATION",2,$F$1))))</f>
        <v/>
      </c>
      <c r="U622" s="1" t="str">
        <f>IF(OR($B622="",U$7=""),"",IF($B622="MEANS",INDEX('1-DATA'!$1:$1048576,$A621-1,COLUMN('1-DATA'!T620)),ROUND(INDEX('1-DATA'!$1:$1048576,IF(OR($B622="STD. DEVIATION",$C$1=1),$A622,$A622+1),COLUMN('1-DATA'!T620)),IF($B622="STD. DEVIATION",2,$F$1))))</f>
        <v/>
      </c>
      <c r="V622" s="1" t="str">
        <f>IF(OR($B622="",V$7=""),"",IF($B622="MEANS",INDEX('1-DATA'!$1:$1048576,$A621-1,COLUMN('1-DATA'!U620)),ROUND(INDEX('1-DATA'!$1:$1048576,IF(OR($B622="STD. DEVIATION",$C$1=1),$A622,$A622+1),COLUMN('1-DATA'!U620)),IF($B622="STD. DEVIATION",2,$F$1))))</f>
        <v/>
      </c>
      <c r="W622" s="1" t="str">
        <f>IF(OR($B622="",W$7=""),"",IF($B622="MEANS",INDEX('1-DATA'!$1:$1048576,$A621-1,COLUMN('1-DATA'!V620)),ROUND(INDEX('1-DATA'!$1:$1048576,IF(OR($B622="STD. DEVIATION",$C$1=1),$A622,$A622+1),COLUMN('1-DATA'!V620)),IF($B622="STD. DEVIATION",2,$F$1))))</f>
        <v/>
      </c>
      <c r="X622" s="1" t="str">
        <f>IF(OR($B622="",X$7=""),"",IF($B622="MEANS",INDEX('1-DATA'!$1:$1048576,$A621-1,COLUMN('1-DATA'!W620)),ROUND(INDEX('1-DATA'!$1:$1048576,IF(OR($B622="STD. DEVIATION",$C$1=1),$A622,$A622+1),COLUMN('1-DATA'!W620)),IF($B622="STD. DEVIATION",2,$F$1))))</f>
        <v/>
      </c>
      <c r="Y622" s="1" t="str">
        <f>IF(OR($B622="",Y$7=""),"",IF($B622="MEANS",INDEX('1-DATA'!$1:$1048576,$A621-1,COLUMN('1-DATA'!X620)),ROUND(INDEX('1-DATA'!$1:$1048576,IF(OR($B622="STD. DEVIATION",$C$1=1),$A622,$A622+1),COLUMN('1-DATA'!X620)),IF($B622="STD. DEVIATION",2,$F$1))))</f>
        <v/>
      </c>
      <c r="Z622" s="1" t="str">
        <f>IF(OR($B622="",Z$7=""),"",IF($B622="MEANS",INDEX('1-DATA'!$1:$1048576,$A621-1,COLUMN('1-DATA'!Y620)),ROUND(INDEX('1-DATA'!$1:$1048576,IF(OR($B622="STD. DEVIATION",$C$1=1),$A622,$A622+1),COLUMN('1-DATA'!Y620)),IF($B622="STD. DEVIATION",2,$F$1))))</f>
        <v/>
      </c>
      <c r="AA622" s="1" t="str">
        <f>IF(OR($B622="",AA$7=""),"",IF($B622="MEANS",INDEX('1-DATA'!$1:$1048576,$A621-1,COLUMN('1-DATA'!Z620)),ROUND(INDEX('1-DATA'!$1:$1048576,IF(OR($B622="STD. DEVIATION",$C$1=1),$A622,$A622+1),COLUMN('1-DATA'!Z620)),IF($B622="STD. DEVIATION",2,$F$1))))</f>
        <v/>
      </c>
      <c r="AB622" s="1" t="str">
        <f>IF(OR($B622="",AB$7=""),"",IF($B622="MEANS",INDEX('1-DATA'!$1:$1048576,$A621-1,COLUMN('1-DATA'!AA620)),ROUND(INDEX('1-DATA'!$1:$1048576,IF(OR($B622="STD. DEVIATION",$C$1=1),$A622,$A622+1),COLUMN('1-DATA'!AA620)),IF($B622="STD. DEVIATION",2,$F$1))))</f>
        <v/>
      </c>
      <c r="AC622" s="1" t="str">
        <f>IF(OR($B622="",AC$7=""),"",IF($B622="MEANS",INDEX('1-DATA'!$1:$1048576,$A621-1,COLUMN('1-DATA'!AB620)),ROUND(INDEX('1-DATA'!$1:$1048576,IF(OR($B622="STD. DEVIATION",$C$1=1),$A622,$A622+1),COLUMN('1-DATA'!AB620)),IF($B622="STD. DEVIATION",2,$F$1))))</f>
        <v/>
      </c>
      <c r="AD622" s="1" t="str">
        <f>IF(OR($B622="",AD$7=""),"",IF($B622="MEANS",INDEX('1-DATA'!$1:$1048576,$A621-1,COLUMN('1-DATA'!AC620)),ROUND(INDEX('1-DATA'!$1:$1048576,IF(OR($B622="STD. DEVIATION",$C$1=1),$A622,$A622+1),COLUMN('1-DATA'!AC620)),IF($B622="STD. DEVIATION",2,$F$1))))</f>
        <v/>
      </c>
      <c r="AE622" s="1" t="str">
        <f>IF(OR($B622="",AE$7=""),"",IF($B622="MEANS",INDEX('1-DATA'!$1:$1048576,$A621-1,COLUMN('1-DATA'!AD620)),ROUND(INDEX('1-DATA'!$1:$1048576,IF(OR($B622="STD. DEVIATION",$C$1=1),$A622,$A622+1),COLUMN('1-DATA'!AD620)),IF($B622="STD. DEVIATION",2,$F$1))))</f>
        <v/>
      </c>
      <c r="AF622" s="1" t="str">
        <f>IF(OR($B622="",AF$7=""),"",IF($B622="MEANS",INDEX('1-DATA'!$1:$1048576,$A621-1,COLUMN('1-DATA'!AE620)),ROUND(INDEX('1-DATA'!$1:$1048576,IF(OR($B622="STD. DEVIATION",$C$1=1),$A622,$A622+1),COLUMN('1-DATA'!AE620)),IF($B622="STD. DEVIATION",2,$F$1))))</f>
        <v/>
      </c>
      <c r="AG622" s="1" t="str">
        <f>IF(OR($B622="",AG$7=""),"",IF($B622="MEANS",INDEX('1-DATA'!$1:$1048576,$A621-1,COLUMN('1-DATA'!AF620)),ROUND(INDEX('1-DATA'!$1:$1048576,IF(OR($B622="STD. DEVIATION",$C$1=1),$A622,$A622+1),COLUMN('1-DATA'!AF620)),IF($B622="STD. DEVIATION",2,$F$1))))</f>
        <v/>
      </c>
      <c r="AH622" s="1" t="str">
        <f>IF(OR($B622="",AH$7=""),"",IF($B622="MEANS",INDEX('1-DATA'!$1:$1048576,$A621-1,COLUMN('1-DATA'!AG620)),ROUND(INDEX('1-DATA'!$1:$1048576,IF(OR($B622="STD. DEVIATION",$C$1=1),$A622,$A622+1),COLUMN('1-DATA'!AG620)),IF($B622="STD. DEVIATION",2,$F$1))))</f>
        <v/>
      </c>
      <c r="AI622" s="1" t="str">
        <f>IF(OR($B622="",AI$7=""),"",IF($B622="MEANS",INDEX('1-DATA'!$1:$1048576,$A621-1,COLUMN('1-DATA'!AH620)),ROUND(INDEX('1-DATA'!$1:$1048576,IF(OR($B622="STD. DEVIATION",$C$1=1),$A622,$A622+1),COLUMN('1-DATA'!AH620)),IF($B622="STD. DEVIATION",2,$F$1))))</f>
        <v/>
      </c>
      <c r="AJ622" s="1" t="str">
        <f>IF(OR($B622="",AJ$7=""),"",IF($B622="MEANS",INDEX('1-DATA'!$1:$1048576,$A621-1,COLUMN('1-DATA'!AI620)),ROUND(INDEX('1-DATA'!$1:$1048576,IF(OR($B622="STD. DEVIATION",$C$1=1),$A622,$A622+1),COLUMN('1-DATA'!AI620)),IF($B622="STD. DEVIATION",2,$F$1))))</f>
        <v/>
      </c>
      <c r="AK622" s="1" t="str">
        <f>IF(OR($B622="",AK$7=""),"",IF($B622="MEANS",INDEX('1-DATA'!$1:$1048576,$A621-1,COLUMN('1-DATA'!AJ620)),ROUND(INDEX('1-DATA'!$1:$1048576,IF(OR($B622="STD. DEVIATION",$C$1=1),$A622,$A622+1),COLUMN('1-DATA'!AJ620)),IF($B622="STD. DEVIATION",2,$F$1))))</f>
        <v/>
      </c>
      <c r="AL622" s="1" t="str">
        <f>IF(OR($B622="",AL$7=""),"",IF($B622="MEANS",INDEX('1-DATA'!$1:$1048576,$A621-1,COLUMN('1-DATA'!AK620)),ROUND(INDEX('1-DATA'!$1:$1048576,IF(OR($B622="STD. DEVIATION",$C$1=1),$A622,$A622+1),COLUMN('1-DATA'!AK620)),IF($B622="STD. DEVIATION",2,$F$1))))</f>
        <v/>
      </c>
      <c r="AM622" s="1" t="str">
        <f>IF(OR($B622="",AM$7=""),"",IF($B622="MEANS",INDEX('1-DATA'!$1:$1048576,$A621-1,COLUMN('1-DATA'!AL620)),ROUND(INDEX('1-DATA'!$1:$1048576,IF(OR($B622="STD. DEVIATION",$C$1=1),$A622,$A622+1),COLUMN('1-DATA'!AL620)),IF($B622="STD. DEVIATION",2,$F$1))))</f>
        <v/>
      </c>
      <c r="AN622" s="1" t="str">
        <f>IF(OR($B622="",AN$7=""),"",IF($B622="MEANS",INDEX('1-DATA'!$1:$1048576,$A621-1,COLUMN('1-DATA'!AM620)),ROUND(INDEX('1-DATA'!$1:$1048576,IF(OR($B622="STD. DEVIATION",$C$1=1),$A622,$A622+1),COLUMN('1-DATA'!AM620)),IF($B622="STD. DEVIATION",2,$F$1))))</f>
        <v/>
      </c>
      <c r="AO622" s="1" t="str">
        <f>IF(OR($B622="",AO$7=""),"",IF($B622="MEANS",INDEX('1-DATA'!$1:$1048576,$A621-1,COLUMN('1-DATA'!AN620)),ROUND(INDEX('1-DATA'!$1:$1048576,IF(OR($B622="STD. DEVIATION",$C$1=1),$A622,$A622+1),COLUMN('1-DATA'!AN620)),IF($B622="STD. DEVIATION",2,$F$1))))</f>
        <v/>
      </c>
      <c r="AP622" s="1" t="str">
        <f>IF(OR($B622="",AP$7=""),"",IF($B622="MEANS",INDEX('1-DATA'!$1:$1048576,$A621-1,COLUMN('1-DATA'!AO620)),ROUND(INDEX('1-DATA'!$1:$1048576,IF(OR($B622="STD. DEVIATION",$C$1=1),$A622,$A622+1),COLUMN('1-DATA'!AO620)),IF($B622="STD. DEVIATION",2,$F$1))))</f>
        <v/>
      </c>
      <c r="AQ622" s="1" t="str">
        <f>IF(OR($B622="",AQ$7=""),"",IF($B622="MEANS",INDEX('1-DATA'!$1:$1048576,$A621-1,COLUMN('1-DATA'!AP620)),ROUND(INDEX('1-DATA'!$1:$1048576,IF(OR($B622="STD. DEVIATION",$C$1=1),$A622,$A622+1),COLUMN('1-DATA'!AP620)),IF($B622="STD. DEVIATION",2,$F$1))))</f>
        <v/>
      </c>
      <c r="AR622" s="1" t="str">
        <f>IF(OR($B622="",AR$7=""),"",IF($B622="MEANS",INDEX('1-DATA'!$1:$1048576,$A621-1,COLUMN('1-DATA'!AQ620)),ROUND(INDEX('1-DATA'!$1:$1048576,IF(OR($B622="STD. DEVIATION",$C$1=1),$A622,$A622+1),COLUMN('1-DATA'!AQ620)),IF($B622="STD. DEVIATION",2,$F$1))))</f>
        <v/>
      </c>
      <c r="AS622" s="1" t="str">
        <f>IF(OR($B622="",AS$7=""),"",IF($B622="MEANS",INDEX('1-DATA'!$1:$1048576,$A621-1,COLUMN('1-DATA'!AR620)),ROUND(INDEX('1-DATA'!$1:$1048576,IF(OR($B622="STD. DEVIATION",$C$1=1),$A622,$A622+1),COLUMN('1-DATA'!AR620)),IF($B622="STD. DEVIATION",2,$F$1))))</f>
        <v/>
      </c>
      <c r="AT622" s="1" t="str">
        <f>IF(OR($B622="",AT$7=""),"",IF($B622="MEANS",INDEX('1-DATA'!$1:$1048576,$A621-1,COLUMN('1-DATA'!AS620)),ROUND(INDEX('1-DATA'!$1:$1048576,IF(OR($B622="STD. DEVIATION",$C$1=1),$A622,$A622+1),COLUMN('1-DATA'!AS620)),IF($B622="STD. DEVIATION",2,$F$1))))</f>
        <v/>
      </c>
      <c r="AU622" s="1" t="str">
        <f>IF(OR($B622="",AU$7=""),"",IF($B622="MEANS",INDEX('1-DATA'!$1:$1048576,$A621-1,COLUMN('1-DATA'!AT620)),ROUND(INDEX('1-DATA'!$1:$1048576,IF(OR($B622="STD. DEVIATION",$C$1=1),$A622,$A622+1),COLUMN('1-DATA'!AT620)),IF($B622="STD. DEVIATION",2,$F$1))))</f>
        <v/>
      </c>
      <c r="AV622" s="1" t="str">
        <f>IF(OR($B622="",AV$7=""),"",IF($B622="MEANS",INDEX('1-DATA'!$1:$1048576,$A621-1,COLUMN('1-DATA'!AU620)),ROUND(INDEX('1-DATA'!$1:$1048576,IF(OR($B622="STD. DEVIATION",$C$1=1),$A622,$A622+1),COLUMN('1-DATA'!AU620)),IF($B622="STD. DEVIATION",2,$F$1))))</f>
        <v/>
      </c>
      <c r="AW622" s="1" t="str">
        <f>IF(OR($B622="",AW$7=""),"",IF($B622="MEANS",INDEX('1-DATA'!$1:$1048576,$A621-1,COLUMN('1-DATA'!AV620)),ROUND(INDEX('1-DATA'!$1:$1048576,IF(OR($B622="STD. DEVIATION",$C$1=1),$A622,$A622+1),COLUMN('1-DATA'!AV620)),IF($B622="STD. DEVIATION",2,$F$1))))</f>
        <v/>
      </c>
      <c r="AX622" s="1" t="str">
        <f>IF(OR($B622="",AX$7=""),"",IF($B622="MEANS",INDEX('1-DATA'!$1:$1048576,$A621-1,COLUMN('1-DATA'!AW620)),ROUND(INDEX('1-DATA'!$1:$1048576,IF(OR($B622="STD. DEVIATION",$C$1=1),$A622,$A622+1),COLUMN('1-DATA'!AW620)),IF($B622="STD. DEVIATION",2,$F$1))))</f>
        <v/>
      </c>
      <c r="AY622" s="1" t="str">
        <f>IF(OR($B622="",AY$7=""),"",IF($B622="MEANS",INDEX('1-DATA'!$1:$1048576,$A621-1,COLUMN('1-DATA'!AX620)),ROUND(INDEX('1-DATA'!$1:$1048576,IF(OR($B622="STD. DEVIATION",$C$1=1),$A622,$A622+1),COLUMN('1-DATA'!AX620)),IF($B622="STD. DEVIATION",2,$F$1))))</f>
        <v/>
      </c>
      <c r="AZ622" s="1" t="str">
        <f>IF(OR($B622="",AZ$7=""),"",IF($B622="MEANS",INDEX('1-DATA'!$1:$1048576,$A621-1,COLUMN('1-DATA'!AY620)),ROUND(INDEX('1-DATA'!$1:$1048576,IF(OR($B622="STD. DEVIATION",$C$1=1),$A622,$A622+1),COLUMN('1-DATA'!AY620)),IF($B622="STD. DEVIATION",2,$F$1))))</f>
        <v/>
      </c>
    </row>
    <row r="623" spans="1:52" x14ac:dyDescent="0.25">
      <c r="A623" s="11">
        <f t="shared" si="10"/>
        <v>1855</v>
      </c>
      <c r="B623" s="1" t="str">
        <f>IF(B622="STD. DEVIATION",INDEX('1-DATA'!$1:$1048576,$A622-1,1),IF(INDEX('1-DATA'!$1:$1048576,$A623,1)&lt;&gt;"",INDEX('1-DATA'!$1:$1048576,$A623,1),""))</f>
        <v/>
      </c>
      <c r="C623" s="1" t="str">
        <f>IF(OR($B623="",C$7=""),"",IF($B623="MEANS",INDEX('1-DATA'!$1:$1048576,$A622-1,COLUMN('1-DATA'!B621)),ROUND(INDEX('1-DATA'!$1:$1048576,IF(OR($B623="STD. DEVIATION",$C$1=1),$A623,$A623+1),COLUMN('1-DATA'!B621)),IF($B623="STD. DEVIATION",2,$F$1))))</f>
        <v/>
      </c>
      <c r="D623" s="1" t="str">
        <f>IF(OR($B623="",D$7=""),"",IF($B623="MEANS",INDEX('1-DATA'!$1:$1048576,$A622-1,COLUMN('1-DATA'!C621)),ROUND(INDEX('1-DATA'!$1:$1048576,IF(OR($B623="STD. DEVIATION",$C$1=1),$A623,$A623+1),COLUMN('1-DATA'!C621)),IF($B623="STD. DEVIATION",2,$F$1))))</f>
        <v/>
      </c>
      <c r="E623" s="1" t="str">
        <f>IF(OR($B623="",E$7=""),"",IF($B623="MEANS",INDEX('1-DATA'!$1:$1048576,$A622-1,COLUMN('1-DATA'!D621)),ROUND(INDEX('1-DATA'!$1:$1048576,IF(OR($B623="STD. DEVIATION",$C$1=1),$A623,$A623+1),COLUMN('1-DATA'!D621)),IF($B623="STD. DEVIATION",2,$F$1))))</f>
        <v/>
      </c>
      <c r="F623" s="1" t="str">
        <f>IF(OR($B623="",F$7=""),"",IF($B623="MEANS",INDEX('1-DATA'!$1:$1048576,$A622-1,COLUMN('1-DATA'!E621)),ROUND(INDEX('1-DATA'!$1:$1048576,IF(OR($B623="STD. DEVIATION",$C$1=1),$A623,$A623+1),COLUMN('1-DATA'!E621)),IF($B623="STD. DEVIATION",2,$F$1))))</f>
        <v/>
      </c>
      <c r="G623" s="1" t="str">
        <f>IF(OR($B623="",G$7=""),"",IF($B623="MEANS",INDEX('1-DATA'!$1:$1048576,$A622-1,COLUMN('1-DATA'!F621)),ROUND(INDEX('1-DATA'!$1:$1048576,IF(OR($B623="STD. DEVIATION",$C$1=1),$A623,$A623+1),COLUMN('1-DATA'!F621)),IF($B623="STD. DEVIATION",2,$F$1))))</f>
        <v/>
      </c>
      <c r="H623" s="1" t="str">
        <f>IF(OR($B623="",H$7=""),"",IF($B623="MEANS",INDEX('1-DATA'!$1:$1048576,$A622-1,COLUMN('1-DATA'!G621)),ROUND(INDEX('1-DATA'!$1:$1048576,IF(OR($B623="STD. DEVIATION",$C$1=1),$A623,$A623+1),COLUMN('1-DATA'!G621)),IF($B623="STD. DEVIATION",2,$F$1))))</f>
        <v/>
      </c>
      <c r="I623" s="1" t="str">
        <f>IF(OR($B623="",I$7=""),"",IF($B623="MEANS",INDEX('1-DATA'!$1:$1048576,$A622-1,COLUMN('1-DATA'!H621)),ROUND(INDEX('1-DATA'!$1:$1048576,IF(OR($B623="STD. DEVIATION",$C$1=1),$A623,$A623+1),COLUMN('1-DATA'!H621)),IF($B623="STD. DEVIATION",2,$F$1))))</f>
        <v/>
      </c>
      <c r="J623" s="1" t="str">
        <f>IF(OR($B623="",J$7=""),"",IF($B623="MEANS",INDEX('1-DATA'!$1:$1048576,$A622-1,COLUMN('1-DATA'!I621)),ROUND(INDEX('1-DATA'!$1:$1048576,IF(OR($B623="STD. DEVIATION",$C$1=1),$A623,$A623+1),COLUMN('1-DATA'!I621)),IF($B623="STD. DEVIATION",2,$F$1))))</f>
        <v/>
      </c>
      <c r="K623" s="1" t="str">
        <f>IF(OR($B623="",K$7=""),"",IF($B623="MEANS",INDEX('1-DATA'!$1:$1048576,$A622-1,COLUMN('1-DATA'!J621)),ROUND(INDEX('1-DATA'!$1:$1048576,IF(OR($B623="STD. DEVIATION",$C$1=1),$A623,$A623+1),COLUMN('1-DATA'!J621)),IF($B623="STD. DEVIATION",2,$F$1))))</f>
        <v/>
      </c>
      <c r="L623" s="1" t="str">
        <f>IF(OR($B623="",L$7=""),"",IF($B623="MEANS",INDEX('1-DATA'!$1:$1048576,$A622-1,COLUMN('1-DATA'!K621)),ROUND(INDEX('1-DATA'!$1:$1048576,IF(OR($B623="STD. DEVIATION",$C$1=1),$A623,$A623+1),COLUMN('1-DATA'!K621)),IF($B623="STD. DEVIATION",2,$F$1))))</f>
        <v/>
      </c>
      <c r="M623" s="1" t="str">
        <f>IF(OR($B623="",M$7=""),"",IF($B623="MEANS",INDEX('1-DATA'!$1:$1048576,$A622-1,COLUMN('1-DATA'!L621)),ROUND(INDEX('1-DATA'!$1:$1048576,IF(OR($B623="STD. DEVIATION",$C$1=1),$A623,$A623+1),COLUMN('1-DATA'!L621)),IF($B623="STD. DEVIATION",2,$F$1))))</f>
        <v/>
      </c>
      <c r="N623" s="1" t="str">
        <f>IF(OR($B623="",N$7=""),"",IF($B623="MEANS",INDEX('1-DATA'!$1:$1048576,$A622-1,COLUMN('1-DATA'!M621)),ROUND(INDEX('1-DATA'!$1:$1048576,IF(OR($B623="STD. DEVIATION",$C$1=1),$A623,$A623+1),COLUMN('1-DATA'!M621)),IF($B623="STD. DEVIATION",2,$F$1))))</f>
        <v/>
      </c>
      <c r="O623" s="1" t="str">
        <f>IF(OR($B623="",O$7=""),"",IF($B623="MEANS",INDEX('1-DATA'!$1:$1048576,$A622-1,COLUMN('1-DATA'!N621)),ROUND(INDEX('1-DATA'!$1:$1048576,IF(OR($B623="STD. DEVIATION",$C$1=1),$A623,$A623+1),COLUMN('1-DATA'!N621)),IF($B623="STD. DEVIATION",2,$F$1))))</f>
        <v/>
      </c>
      <c r="P623" s="1" t="str">
        <f>IF(OR($B623="",P$7=""),"",IF($B623="MEANS",INDEX('1-DATA'!$1:$1048576,$A622-1,COLUMN('1-DATA'!O621)),ROUND(INDEX('1-DATA'!$1:$1048576,IF(OR($B623="STD. DEVIATION",$C$1=1),$A623,$A623+1),COLUMN('1-DATA'!O621)),IF($B623="STD. DEVIATION",2,$F$1))))</f>
        <v/>
      </c>
      <c r="Q623" s="1" t="str">
        <f>IF(OR($B623="",Q$7=""),"",IF($B623="MEANS",INDEX('1-DATA'!$1:$1048576,$A622-1,COLUMN('1-DATA'!P621)),ROUND(INDEX('1-DATA'!$1:$1048576,IF(OR($B623="STD. DEVIATION",$C$1=1),$A623,$A623+1),COLUMN('1-DATA'!P621)),IF($B623="STD. DEVIATION",2,$F$1))))</f>
        <v/>
      </c>
      <c r="R623" s="1" t="str">
        <f>IF(OR($B623="",R$7=""),"",IF($B623="MEANS",INDEX('1-DATA'!$1:$1048576,$A622-1,COLUMN('1-DATA'!Q621)),ROUND(INDEX('1-DATA'!$1:$1048576,IF(OR($B623="STD. DEVIATION",$C$1=1),$A623,$A623+1),COLUMN('1-DATA'!Q621)),IF($B623="STD. DEVIATION",2,$F$1))))</f>
        <v/>
      </c>
      <c r="S623" s="1" t="str">
        <f>IF(OR($B623="",S$7=""),"",IF($B623="MEANS",INDEX('1-DATA'!$1:$1048576,$A622-1,COLUMN('1-DATA'!R621)),ROUND(INDEX('1-DATA'!$1:$1048576,IF(OR($B623="STD. DEVIATION",$C$1=1),$A623,$A623+1),COLUMN('1-DATA'!R621)),IF($B623="STD. DEVIATION",2,$F$1))))</f>
        <v/>
      </c>
      <c r="T623" s="1" t="str">
        <f>IF(OR($B623="",T$7=""),"",IF($B623="MEANS",INDEX('1-DATA'!$1:$1048576,$A622-1,COLUMN('1-DATA'!S621)),ROUND(INDEX('1-DATA'!$1:$1048576,IF(OR($B623="STD. DEVIATION",$C$1=1),$A623,$A623+1),COLUMN('1-DATA'!S621)),IF($B623="STD. DEVIATION",2,$F$1))))</f>
        <v/>
      </c>
      <c r="U623" s="1" t="str">
        <f>IF(OR($B623="",U$7=""),"",IF($B623="MEANS",INDEX('1-DATA'!$1:$1048576,$A622-1,COLUMN('1-DATA'!T621)),ROUND(INDEX('1-DATA'!$1:$1048576,IF(OR($B623="STD. DEVIATION",$C$1=1),$A623,$A623+1),COLUMN('1-DATA'!T621)),IF($B623="STD. DEVIATION",2,$F$1))))</f>
        <v/>
      </c>
      <c r="V623" s="1" t="str">
        <f>IF(OR($B623="",V$7=""),"",IF($B623="MEANS",INDEX('1-DATA'!$1:$1048576,$A622-1,COLUMN('1-DATA'!U621)),ROUND(INDEX('1-DATA'!$1:$1048576,IF(OR($B623="STD. DEVIATION",$C$1=1),$A623,$A623+1),COLUMN('1-DATA'!U621)),IF($B623="STD. DEVIATION",2,$F$1))))</f>
        <v/>
      </c>
      <c r="W623" s="1" t="str">
        <f>IF(OR($B623="",W$7=""),"",IF($B623="MEANS",INDEX('1-DATA'!$1:$1048576,$A622-1,COLUMN('1-DATA'!V621)),ROUND(INDEX('1-DATA'!$1:$1048576,IF(OR($B623="STD. DEVIATION",$C$1=1),$A623,$A623+1),COLUMN('1-DATA'!V621)),IF($B623="STD. DEVIATION",2,$F$1))))</f>
        <v/>
      </c>
      <c r="X623" s="1" t="str">
        <f>IF(OR($B623="",X$7=""),"",IF($B623="MEANS",INDEX('1-DATA'!$1:$1048576,$A622-1,COLUMN('1-DATA'!W621)),ROUND(INDEX('1-DATA'!$1:$1048576,IF(OR($B623="STD. DEVIATION",$C$1=1),$A623,$A623+1),COLUMN('1-DATA'!W621)),IF($B623="STD. DEVIATION",2,$F$1))))</f>
        <v/>
      </c>
      <c r="Y623" s="1" t="str">
        <f>IF(OR($B623="",Y$7=""),"",IF($B623="MEANS",INDEX('1-DATA'!$1:$1048576,$A622-1,COLUMN('1-DATA'!X621)),ROUND(INDEX('1-DATA'!$1:$1048576,IF(OR($B623="STD. DEVIATION",$C$1=1),$A623,$A623+1),COLUMN('1-DATA'!X621)),IF($B623="STD. DEVIATION",2,$F$1))))</f>
        <v/>
      </c>
      <c r="Z623" s="1" t="str">
        <f>IF(OR($B623="",Z$7=""),"",IF($B623="MEANS",INDEX('1-DATA'!$1:$1048576,$A622-1,COLUMN('1-DATA'!Y621)),ROUND(INDEX('1-DATA'!$1:$1048576,IF(OR($B623="STD. DEVIATION",$C$1=1),$A623,$A623+1),COLUMN('1-DATA'!Y621)),IF($B623="STD. DEVIATION",2,$F$1))))</f>
        <v/>
      </c>
      <c r="AA623" s="1" t="str">
        <f>IF(OR($B623="",AA$7=""),"",IF($B623="MEANS",INDEX('1-DATA'!$1:$1048576,$A622-1,COLUMN('1-DATA'!Z621)),ROUND(INDEX('1-DATA'!$1:$1048576,IF(OR($B623="STD. DEVIATION",$C$1=1),$A623,$A623+1),COLUMN('1-DATA'!Z621)),IF($B623="STD. DEVIATION",2,$F$1))))</f>
        <v/>
      </c>
      <c r="AB623" s="1" t="str">
        <f>IF(OR($B623="",AB$7=""),"",IF($B623="MEANS",INDEX('1-DATA'!$1:$1048576,$A622-1,COLUMN('1-DATA'!AA621)),ROUND(INDEX('1-DATA'!$1:$1048576,IF(OR($B623="STD. DEVIATION",$C$1=1),$A623,$A623+1),COLUMN('1-DATA'!AA621)),IF($B623="STD. DEVIATION",2,$F$1))))</f>
        <v/>
      </c>
      <c r="AC623" s="1" t="str">
        <f>IF(OR($B623="",AC$7=""),"",IF($B623="MEANS",INDEX('1-DATA'!$1:$1048576,$A622-1,COLUMN('1-DATA'!AB621)),ROUND(INDEX('1-DATA'!$1:$1048576,IF(OR($B623="STD. DEVIATION",$C$1=1),$A623,$A623+1),COLUMN('1-DATA'!AB621)),IF($B623="STD. DEVIATION",2,$F$1))))</f>
        <v/>
      </c>
      <c r="AD623" s="1" t="str">
        <f>IF(OR($B623="",AD$7=""),"",IF($B623="MEANS",INDEX('1-DATA'!$1:$1048576,$A622-1,COLUMN('1-DATA'!AC621)),ROUND(INDEX('1-DATA'!$1:$1048576,IF(OR($B623="STD. DEVIATION",$C$1=1),$A623,$A623+1),COLUMN('1-DATA'!AC621)),IF($B623="STD. DEVIATION",2,$F$1))))</f>
        <v/>
      </c>
      <c r="AE623" s="1" t="str">
        <f>IF(OR($B623="",AE$7=""),"",IF($B623="MEANS",INDEX('1-DATA'!$1:$1048576,$A622-1,COLUMN('1-DATA'!AD621)),ROUND(INDEX('1-DATA'!$1:$1048576,IF(OR($B623="STD. DEVIATION",$C$1=1),$A623,$A623+1),COLUMN('1-DATA'!AD621)),IF($B623="STD. DEVIATION",2,$F$1))))</f>
        <v/>
      </c>
      <c r="AF623" s="1" t="str">
        <f>IF(OR($B623="",AF$7=""),"",IF($B623="MEANS",INDEX('1-DATA'!$1:$1048576,$A622-1,COLUMN('1-DATA'!AE621)),ROUND(INDEX('1-DATA'!$1:$1048576,IF(OR($B623="STD. DEVIATION",$C$1=1),$A623,$A623+1),COLUMN('1-DATA'!AE621)),IF($B623="STD. DEVIATION",2,$F$1))))</f>
        <v/>
      </c>
      <c r="AG623" s="1" t="str">
        <f>IF(OR($B623="",AG$7=""),"",IF($B623="MEANS",INDEX('1-DATA'!$1:$1048576,$A622-1,COLUMN('1-DATA'!AF621)),ROUND(INDEX('1-DATA'!$1:$1048576,IF(OR($B623="STD. DEVIATION",$C$1=1),$A623,$A623+1),COLUMN('1-DATA'!AF621)),IF($B623="STD. DEVIATION",2,$F$1))))</f>
        <v/>
      </c>
      <c r="AH623" s="1" t="str">
        <f>IF(OR($B623="",AH$7=""),"",IF($B623="MEANS",INDEX('1-DATA'!$1:$1048576,$A622-1,COLUMN('1-DATA'!AG621)),ROUND(INDEX('1-DATA'!$1:$1048576,IF(OR($B623="STD. DEVIATION",$C$1=1),$A623,$A623+1),COLUMN('1-DATA'!AG621)),IF($B623="STD. DEVIATION",2,$F$1))))</f>
        <v/>
      </c>
      <c r="AI623" s="1" t="str">
        <f>IF(OR($B623="",AI$7=""),"",IF($B623="MEANS",INDEX('1-DATA'!$1:$1048576,$A622-1,COLUMN('1-DATA'!AH621)),ROUND(INDEX('1-DATA'!$1:$1048576,IF(OR($B623="STD. DEVIATION",$C$1=1),$A623,$A623+1),COLUMN('1-DATA'!AH621)),IF($B623="STD. DEVIATION",2,$F$1))))</f>
        <v/>
      </c>
      <c r="AJ623" s="1" t="str">
        <f>IF(OR($B623="",AJ$7=""),"",IF($B623="MEANS",INDEX('1-DATA'!$1:$1048576,$A622-1,COLUMN('1-DATA'!AI621)),ROUND(INDEX('1-DATA'!$1:$1048576,IF(OR($B623="STD. DEVIATION",$C$1=1),$A623,$A623+1),COLUMN('1-DATA'!AI621)),IF($B623="STD. DEVIATION",2,$F$1))))</f>
        <v/>
      </c>
      <c r="AK623" s="1" t="str">
        <f>IF(OR($B623="",AK$7=""),"",IF($B623="MEANS",INDEX('1-DATA'!$1:$1048576,$A622-1,COLUMN('1-DATA'!AJ621)),ROUND(INDEX('1-DATA'!$1:$1048576,IF(OR($B623="STD. DEVIATION",$C$1=1),$A623,$A623+1),COLUMN('1-DATA'!AJ621)),IF($B623="STD. DEVIATION",2,$F$1))))</f>
        <v/>
      </c>
      <c r="AL623" s="1" t="str">
        <f>IF(OR($B623="",AL$7=""),"",IF($B623="MEANS",INDEX('1-DATA'!$1:$1048576,$A622-1,COLUMN('1-DATA'!AK621)),ROUND(INDEX('1-DATA'!$1:$1048576,IF(OR($B623="STD. DEVIATION",$C$1=1),$A623,$A623+1),COLUMN('1-DATA'!AK621)),IF($B623="STD. DEVIATION",2,$F$1))))</f>
        <v/>
      </c>
      <c r="AM623" s="1" t="str">
        <f>IF(OR($B623="",AM$7=""),"",IF($B623="MEANS",INDEX('1-DATA'!$1:$1048576,$A622-1,COLUMN('1-DATA'!AL621)),ROUND(INDEX('1-DATA'!$1:$1048576,IF(OR($B623="STD. DEVIATION",$C$1=1),$A623,$A623+1),COLUMN('1-DATA'!AL621)),IF($B623="STD. DEVIATION",2,$F$1))))</f>
        <v/>
      </c>
      <c r="AN623" s="1" t="str">
        <f>IF(OR($B623="",AN$7=""),"",IF($B623="MEANS",INDEX('1-DATA'!$1:$1048576,$A622-1,COLUMN('1-DATA'!AM621)),ROUND(INDEX('1-DATA'!$1:$1048576,IF(OR($B623="STD. DEVIATION",$C$1=1),$A623,$A623+1),COLUMN('1-DATA'!AM621)),IF($B623="STD. DEVIATION",2,$F$1))))</f>
        <v/>
      </c>
      <c r="AO623" s="1" t="str">
        <f>IF(OR($B623="",AO$7=""),"",IF($B623="MEANS",INDEX('1-DATA'!$1:$1048576,$A622-1,COLUMN('1-DATA'!AN621)),ROUND(INDEX('1-DATA'!$1:$1048576,IF(OR($B623="STD. DEVIATION",$C$1=1),$A623,$A623+1),COLUMN('1-DATA'!AN621)),IF($B623="STD. DEVIATION",2,$F$1))))</f>
        <v/>
      </c>
      <c r="AP623" s="1" t="str">
        <f>IF(OR($B623="",AP$7=""),"",IF($B623="MEANS",INDEX('1-DATA'!$1:$1048576,$A622-1,COLUMN('1-DATA'!AO621)),ROUND(INDEX('1-DATA'!$1:$1048576,IF(OR($B623="STD. DEVIATION",$C$1=1),$A623,$A623+1),COLUMN('1-DATA'!AO621)),IF($B623="STD. DEVIATION",2,$F$1))))</f>
        <v/>
      </c>
      <c r="AQ623" s="1" t="str">
        <f>IF(OR($B623="",AQ$7=""),"",IF($B623="MEANS",INDEX('1-DATA'!$1:$1048576,$A622-1,COLUMN('1-DATA'!AP621)),ROUND(INDEX('1-DATA'!$1:$1048576,IF(OR($B623="STD. DEVIATION",$C$1=1),$A623,$A623+1),COLUMN('1-DATA'!AP621)),IF($B623="STD. DEVIATION",2,$F$1))))</f>
        <v/>
      </c>
      <c r="AR623" s="1" t="str">
        <f>IF(OR($B623="",AR$7=""),"",IF($B623="MEANS",INDEX('1-DATA'!$1:$1048576,$A622-1,COLUMN('1-DATA'!AQ621)),ROUND(INDEX('1-DATA'!$1:$1048576,IF(OR($B623="STD. DEVIATION",$C$1=1),$A623,$A623+1),COLUMN('1-DATA'!AQ621)),IF($B623="STD. DEVIATION",2,$F$1))))</f>
        <v/>
      </c>
      <c r="AS623" s="1" t="str">
        <f>IF(OR($B623="",AS$7=""),"",IF($B623="MEANS",INDEX('1-DATA'!$1:$1048576,$A622-1,COLUMN('1-DATA'!AR621)),ROUND(INDEX('1-DATA'!$1:$1048576,IF(OR($B623="STD. DEVIATION",$C$1=1),$A623,$A623+1),COLUMN('1-DATA'!AR621)),IF($B623="STD. DEVIATION",2,$F$1))))</f>
        <v/>
      </c>
      <c r="AT623" s="1" t="str">
        <f>IF(OR($B623="",AT$7=""),"",IF($B623="MEANS",INDEX('1-DATA'!$1:$1048576,$A622-1,COLUMN('1-DATA'!AS621)),ROUND(INDEX('1-DATA'!$1:$1048576,IF(OR($B623="STD. DEVIATION",$C$1=1),$A623,$A623+1),COLUMN('1-DATA'!AS621)),IF($B623="STD. DEVIATION",2,$F$1))))</f>
        <v/>
      </c>
      <c r="AU623" s="1" t="str">
        <f>IF(OR($B623="",AU$7=""),"",IF($B623="MEANS",INDEX('1-DATA'!$1:$1048576,$A622-1,COLUMN('1-DATA'!AT621)),ROUND(INDEX('1-DATA'!$1:$1048576,IF(OR($B623="STD. DEVIATION",$C$1=1),$A623,$A623+1),COLUMN('1-DATA'!AT621)),IF($B623="STD. DEVIATION",2,$F$1))))</f>
        <v/>
      </c>
      <c r="AV623" s="1" t="str">
        <f>IF(OR($B623="",AV$7=""),"",IF($B623="MEANS",INDEX('1-DATA'!$1:$1048576,$A622-1,COLUMN('1-DATA'!AU621)),ROUND(INDEX('1-DATA'!$1:$1048576,IF(OR($B623="STD. DEVIATION",$C$1=1),$A623,$A623+1),COLUMN('1-DATA'!AU621)),IF($B623="STD. DEVIATION",2,$F$1))))</f>
        <v/>
      </c>
      <c r="AW623" s="1" t="str">
        <f>IF(OR($B623="",AW$7=""),"",IF($B623="MEANS",INDEX('1-DATA'!$1:$1048576,$A622-1,COLUMN('1-DATA'!AV621)),ROUND(INDEX('1-DATA'!$1:$1048576,IF(OR($B623="STD. DEVIATION",$C$1=1),$A623,$A623+1),COLUMN('1-DATA'!AV621)),IF($B623="STD. DEVIATION",2,$F$1))))</f>
        <v/>
      </c>
      <c r="AX623" s="1" t="str">
        <f>IF(OR($B623="",AX$7=""),"",IF($B623="MEANS",INDEX('1-DATA'!$1:$1048576,$A622-1,COLUMN('1-DATA'!AW621)),ROUND(INDEX('1-DATA'!$1:$1048576,IF(OR($B623="STD. DEVIATION",$C$1=1),$A623,$A623+1),COLUMN('1-DATA'!AW621)),IF($B623="STD. DEVIATION",2,$F$1))))</f>
        <v/>
      </c>
      <c r="AY623" s="1" t="str">
        <f>IF(OR($B623="",AY$7=""),"",IF($B623="MEANS",INDEX('1-DATA'!$1:$1048576,$A622-1,COLUMN('1-DATA'!AX621)),ROUND(INDEX('1-DATA'!$1:$1048576,IF(OR($B623="STD. DEVIATION",$C$1=1),$A623,$A623+1),COLUMN('1-DATA'!AX621)),IF($B623="STD. DEVIATION",2,$F$1))))</f>
        <v/>
      </c>
      <c r="AZ623" s="1" t="str">
        <f>IF(OR($B623="",AZ$7=""),"",IF($B623="MEANS",INDEX('1-DATA'!$1:$1048576,$A622-1,COLUMN('1-DATA'!AY621)),ROUND(INDEX('1-DATA'!$1:$1048576,IF(OR($B623="STD. DEVIATION",$C$1=1),$A623,$A623+1),COLUMN('1-DATA'!AY621)),IF($B623="STD. DEVIATION",2,$F$1))))</f>
        <v/>
      </c>
    </row>
    <row r="624" spans="1:52" x14ac:dyDescent="0.25">
      <c r="A624" s="11">
        <f t="shared" si="10"/>
        <v>1858</v>
      </c>
      <c r="B624" s="1" t="str">
        <f>IF(B623="STD. DEVIATION",INDEX('1-DATA'!$1:$1048576,$A623-1,1),IF(INDEX('1-DATA'!$1:$1048576,$A624,1)&lt;&gt;"",INDEX('1-DATA'!$1:$1048576,$A624,1),""))</f>
        <v/>
      </c>
      <c r="C624" s="1" t="str">
        <f>IF(OR($B624="",C$7=""),"",IF($B624="MEANS",INDEX('1-DATA'!$1:$1048576,$A623-1,COLUMN('1-DATA'!B622)),ROUND(INDEX('1-DATA'!$1:$1048576,IF(OR($B624="STD. DEVIATION",$C$1=1),$A624,$A624+1),COLUMN('1-DATA'!B622)),IF($B624="STD. DEVIATION",2,$F$1))))</f>
        <v/>
      </c>
      <c r="D624" s="1" t="str">
        <f>IF(OR($B624="",D$7=""),"",IF($B624="MEANS",INDEX('1-DATA'!$1:$1048576,$A623-1,COLUMN('1-DATA'!C622)),ROUND(INDEX('1-DATA'!$1:$1048576,IF(OR($B624="STD. DEVIATION",$C$1=1),$A624,$A624+1),COLUMN('1-DATA'!C622)),IF($B624="STD. DEVIATION",2,$F$1))))</f>
        <v/>
      </c>
      <c r="E624" s="1" t="str">
        <f>IF(OR($B624="",E$7=""),"",IF($B624="MEANS",INDEX('1-DATA'!$1:$1048576,$A623-1,COLUMN('1-DATA'!D622)),ROUND(INDEX('1-DATA'!$1:$1048576,IF(OR($B624="STD. DEVIATION",$C$1=1),$A624,$A624+1),COLUMN('1-DATA'!D622)),IF($B624="STD. DEVIATION",2,$F$1))))</f>
        <v/>
      </c>
      <c r="F624" s="1" t="str">
        <f>IF(OR($B624="",F$7=""),"",IF($B624="MEANS",INDEX('1-DATA'!$1:$1048576,$A623-1,COLUMN('1-DATA'!E622)),ROUND(INDEX('1-DATA'!$1:$1048576,IF(OR($B624="STD. DEVIATION",$C$1=1),$A624,$A624+1),COLUMN('1-DATA'!E622)),IF($B624="STD. DEVIATION",2,$F$1))))</f>
        <v/>
      </c>
      <c r="G624" s="1" t="str">
        <f>IF(OR($B624="",G$7=""),"",IF($B624="MEANS",INDEX('1-DATA'!$1:$1048576,$A623-1,COLUMN('1-DATA'!F622)),ROUND(INDEX('1-DATA'!$1:$1048576,IF(OR($B624="STD. DEVIATION",$C$1=1),$A624,$A624+1),COLUMN('1-DATA'!F622)),IF($B624="STD. DEVIATION",2,$F$1))))</f>
        <v/>
      </c>
      <c r="H624" s="1" t="str">
        <f>IF(OR($B624="",H$7=""),"",IF($B624="MEANS",INDEX('1-DATA'!$1:$1048576,$A623-1,COLUMN('1-DATA'!G622)),ROUND(INDEX('1-DATA'!$1:$1048576,IF(OR($B624="STD. DEVIATION",$C$1=1),$A624,$A624+1),COLUMN('1-DATA'!G622)),IF($B624="STD. DEVIATION",2,$F$1))))</f>
        <v/>
      </c>
      <c r="I624" s="1" t="str">
        <f>IF(OR($B624="",I$7=""),"",IF($B624="MEANS",INDEX('1-DATA'!$1:$1048576,$A623-1,COLUMN('1-DATA'!H622)),ROUND(INDEX('1-DATA'!$1:$1048576,IF(OR($B624="STD. DEVIATION",$C$1=1),$A624,$A624+1),COLUMN('1-DATA'!H622)),IF($B624="STD. DEVIATION",2,$F$1))))</f>
        <v/>
      </c>
      <c r="J624" s="1" t="str">
        <f>IF(OR($B624="",J$7=""),"",IF($B624="MEANS",INDEX('1-DATA'!$1:$1048576,$A623-1,COLUMN('1-DATA'!I622)),ROUND(INDEX('1-DATA'!$1:$1048576,IF(OR($B624="STD. DEVIATION",$C$1=1),$A624,$A624+1),COLUMN('1-DATA'!I622)),IF($B624="STD. DEVIATION",2,$F$1))))</f>
        <v/>
      </c>
      <c r="K624" s="1" t="str">
        <f>IF(OR($B624="",K$7=""),"",IF($B624="MEANS",INDEX('1-DATA'!$1:$1048576,$A623-1,COLUMN('1-DATA'!J622)),ROUND(INDEX('1-DATA'!$1:$1048576,IF(OR($B624="STD. DEVIATION",$C$1=1),$A624,$A624+1),COLUMN('1-DATA'!J622)),IF($B624="STD. DEVIATION",2,$F$1))))</f>
        <v/>
      </c>
      <c r="L624" s="1" t="str">
        <f>IF(OR($B624="",L$7=""),"",IF($B624="MEANS",INDEX('1-DATA'!$1:$1048576,$A623-1,COLUMN('1-DATA'!K622)),ROUND(INDEX('1-DATA'!$1:$1048576,IF(OR($B624="STD. DEVIATION",$C$1=1),$A624,$A624+1),COLUMN('1-DATA'!K622)),IF($B624="STD. DEVIATION",2,$F$1))))</f>
        <v/>
      </c>
      <c r="M624" s="1" t="str">
        <f>IF(OR($B624="",M$7=""),"",IF($B624="MEANS",INDEX('1-DATA'!$1:$1048576,$A623-1,COLUMN('1-DATA'!L622)),ROUND(INDEX('1-DATA'!$1:$1048576,IF(OR($B624="STD. DEVIATION",$C$1=1),$A624,$A624+1),COLUMN('1-DATA'!L622)),IF($B624="STD. DEVIATION",2,$F$1))))</f>
        <v/>
      </c>
      <c r="N624" s="1" t="str">
        <f>IF(OR($B624="",N$7=""),"",IF($B624="MEANS",INDEX('1-DATA'!$1:$1048576,$A623-1,COLUMN('1-DATA'!M622)),ROUND(INDEX('1-DATA'!$1:$1048576,IF(OR($B624="STD. DEVIATION",$C$1=1),$A624,$A624+1),COLUMN('1-DATA'!M622)),IF($B624="STD. DEVIATION",2,$F$1))))</f>
        <v/>
      </c>
      <c r="O624" s="1" t="str">
        <f>IF(OR($B624="",O$7=""),"",IF($B624="MEANS",INDEX('1-DATA'!$1:$1048576,$A623-1,COLUMN('1-DATA'!N622)),ROUND(INDEX('1-DATA'!$1:$1048576,IF(OR($B624="STD. DEVIATION",$C$1=1),$A624,$A624+1),COLUMN('1-DATA'!N622)),IF($B624="STD. DEVIATION",2,$F$1))))</f>
        <v/>
      </c>
      <c r="P624" s="1" t="str">
        <f>IF(OR($B624="",P$7=""),"",IF($B624="MEANS",INDEX('1-DATA'!$1:$1048576,$A623-1,COLUMN('1-DATA'!O622)),ROUND(INDEX('1-DATA'!$1:$1048576,IF(OR($B624="STD. DEVIATION",$C$1=1),$A624,$A624+1),COLUMN('1-DATA'!O622)),IF($B624="STD. DEVIATION",2,$F$1))))</f>
        <v/>
      </c>
      <c r="Q624" s="1" t="str">
        <f>IF(OR($B624="",Q$7=""),"",IF($B624="MEANS",INDEX('1-DATA'!$1:$1048576,$A623-1,COLUMN('1-DATA'!P622)),ROUND(INDEX('1-DATA'!$1:$1048576,IF(OR($B624="STD. DEVIATION",$C$1=1),$A624,$A624+1),COLUMN('1-DATA'!P622)),IF($B624="STD. DEVIATION",2,$F$1))))</f>
        <v/>
      </c>
      <c r="R624" s="1" t="str">
        <f>IF(OR($B624="",R$7=""),"",IF($B624="MEANS",INDEX('1-DATA'!$1:$1048576,$A623-1,COLUMN('1-DATA'!Q622)),ROUND(INDEX('1-DATA'!$1:$1048576,IF(OR($B624="STD. DEVIATION",$C$1=1),$A624,$A624+1),COLUMN('1-DATA'!Q622)),IF($B624="STD. DEVIATION",2,$F$1))))</f>
        <v/>
      </c>
      <c r="S624" s="1" t="str">
        <f>IF(OR($B624="",S$7=""),"",IF($B624="MEANS",INDEX('1-DATA'!$1:$1048576,$A623-1,COLUMN('1-DATA'!R622)),ROUND(INDEX('1-DATA'!$1:$1048576,IF(OR($B624="STD. DEVIATION",$C$1=1),$A624,$A624+1),COLUMN('1-DATA'!R622)),IF($B624="STD. DEVIATION",2,$F$1))))</f>
        <v/>
      </c>
      <c r="T624" s="1" t="str">
        <f>IF(OR($B624="",T$7=""),"",IF($B624="MEANS",INDEX('1-DATA'!$1:$1048576,$A623-1,COLUMN('1-DATA'!S622)),ROUND(INDEX('1-DATA'!$1:$1048576,IF(OR($B624="STD. DEVIATION",$C$1=1),$A624,$A624+1),COLUMN('1-DATA'!S622)),IF($B624="STD. DEVIATION",2,$F$1))))</f>
        <v/>
      </c>
      <c r="U624" s="1" t="str">
        <f>IF(OR($B624="",U$7=""),"",IF($B624="MEANS",INDEX('1-DATA'!$1:$1048576,$A623-1,COLUMN('1-DATA'!T622)),ROUND(INDEX('1-DATA'!$1:$1048576,IF(OR($B624="STD. DEVIATION",$C$1=1),$A624,$A624+1),COLUMN('1-DATA'!T622)),IF($B624="STD. DEVIATION",2,$F$1))))</f>
        <v/>
      </c>
      <c r="V624" s="1" t="str">
        <f>IF(OR($B624="",V$7=""),"",IF($B624="MEANS",INDEX('1-DATA'!$1:$1048576,$A623-1,COLUMN('1-DATA'!U622)),ROUND(INDEX('1-DATA'!$1:$1048576,IF(OR($B624="STD. DEVIATION",$C$1=1),$A624,$A624+1),COLUMN('1-DATA'!U622)),IF($B624="STD. DEVIATION",2,$F$1))))</f>
        <v/>
      </c>
      <c r="W624" s="1" t="str">
        <f>IF(OR($B624="",W$7=""),"",IF($B624="MEANS",INDEX('1-DATA'!$1:$1048576,$A623-1,COLUMN('1-DATA'!V622)),ROUND(INDEX('1-DATA'!$1:$1048576,IF(OR($B624="STD. DEVIATION",$C$1=1),$A624,$A624+1),COLUMN('1-DATA'!V622)),IF($B624="STD. DEVIATION",2,$F$1))))</f>
        <v/>
      </c>
      <c r="X624" s="1" t="str">
        <f>IF(OR($B624="",X$7=""),"",IF($B624="MEANS",INDEX('1-DATA'!$1:$1048576,$A623-1,COLUMN('1-DATA'!W622)),ROUND(INDEX('1-DATA'!$1:$1048576,IF(OR($B624="STD. DEVIATION",$C$1=1),$A624,$A624+1),COLUMN('1-DATA'!W622)),IF($B624="STD. DEVIATION",2,$F$1))))</f>
        <v/>
      </c>
      <c r="Y624" s="1" t="str">
        <f>IF(OR($B624="",Y$7=""),"",IF($B624="MEANS",INDEX('1-DATA'!$1:$1048576,$A623-1,COLUMN('1-DATA'!X622)),ROUND(INDEX('1-DATA'!$1:$1048576,IF(OR($B624="STD. DEVIATION",$C$1=1),$A624,$A624+1),COLUMN('1-DATA'!X622)),IF($B624="STD. DEVIATION",2,$F$1))))</f>
        <v/>
      </c>
      <c r="Z624" s="1" t="str">
        <f>IF(OR($B624="",Z$7=""),"",IF($B624="MEANS",INDEX('1-DATA'!$1:$1048576,$A623-1,COLUMN('1-DATA'!Y622)),ROUND(INDEX('1-DATA'!$1:$1048576,IF(OR($B624="STD. DEVIATION",$C$1=1),$A624,$A624+1),COLUMN('1-DATA'!Y622)),IF($B624="STD. DEVIATION",2,$F$1))))</f>
        <v/>
      </c>
      <c r="AA624" s="1" t="str">
        <f>IF(OR($B624="",AA$7=""),"",IF($B624="MEANS",INDEX('1-DATA'!$1:$1048576,$A623-1,COLUMN('1-DATA'!Z622)),ROUND(INDEX('1-DATA'!$1:$1048576,IF(OR($B624="STD. DEVIATION",$C$1=1),$A624,$A624+1),COLUMN('1-DATA'!Z622)),IF($B624="STD. DEVIATION",2,$F$1))))</f>
        <v/>
      </c>
      <c r="AB624" s="1" t="str">
        <f>IF(OR($B624="",AB$7=""),"",IF($B624="MEANS",INDEX('1-DATA'!$1:$1048576,$A623-1,COLUMN('1-DATA'!AA622)),ROUND(INDEX('1-DATA'!$1:$1048576,IF(OR($B624="STD. DEVIATION",$C$1=1),$A624,$A624+1),COLUMN('1-DATA'!AA622)),IF($B624="STD. DEVIATION",2,$F$1))))</f>
        <v/>
      </c>
      <c r="AC624" s="1" t="str">
        <f>IF(OR($B624="",AC$7=""),"",IF($B624="MEANS",INDEX('1-DATA'!$1:$1048576,$A623-1,COLUMN('1-DATA'!AB622)),ROUND(INDEX('1-DATA'!$1:$1048576,IF(OR($B624="STD. DEVIATION",$C$1=1),$A624,$A624+1),COLUMN('1-DATA'!AB622)),IF($B624="STD. DEVIATION",2,$F$1))))</f>
        <v/>
      </c>
      <c r="AD624" s="1" t="str">
        <f>IF(OR($B624="",AD$7=""),"",IF($B624="MEANS",INDEX('1-DATA'!$1:$1048576,$A623-1,COLUMN('1-DATA'!AC622)),ROUND(INDEX('1-DATA'!$1:$1048576,IF(OR($B624="STD. DEVIATION",$C$1=1),$A624,$A624+1),COLUMN('1-DATA'!AC622)),IF($B624="STD. DEVIATION",2,$F$1))))</f>
        <v/>
      </c>
      <c r="AE624" s="1" t="str">
        <f>IF(OR($B624="",AE$7=""),"",IF($B624="MEANS",INDEX('1-DATA'!$1:$1048576,$A623-1,COLUMN('1-DATA'!AD622)),ROUND(INDEX('1-DATA'!$1:$1048576,IF(OR($B624="STD. DEVIATION",$C$1=1),$A624,$A624+1),COLUMN('1-DATA'!AD622)),IF($B624="STD. DEVIATION",2,$F$1))))</f>
        <v/>
      </c>
      <c r="AF624" s="1" t="str">
        <f>IF(OR($B624="",AF$7=""),"",IF($B624="MEANS",INDEX('1-DATA'!$1:$1048576,$A623-1,COLUMN('1-DATA'!AE622)),ROUND(INDEX('1-DATA'!$1:$1048576,IF(OR($B624="STD. DEVIATION",$C$1=1),$A624,$A624+1),COLUMN('1-DATA'!AE622)),IF($B624="STD. DEVIATION",2,$F$1))))</f>
        <v/>
      </c>
      <c r="AG624" s="1" t="str">
        <f>IF(OR($B624="",AG$7=""),"",IF($B624="MEANS",INDEX('1-DATA'!$1:$1048576,$A623-1,COLUMN('1-DATA'!AF622)),ROUND(INDEX('1-DATA'!$1:$1048576,IF(OR($B624="STD. DEVIATION",$C$1=1),$A624,$A624+1),COLUMN('1-DATA'!AF622)),IF($B624="STD. DEVIATION",2,$F$1))))</f>
        <v/>
      </c>
      <c r="AH624" s="1" t="str">
        <f>IF(OR($B624="",AH$7=""),"",IF($B624="MEANS",INDEX('1-DATA'!$1:$1048576,$A623-1,COLUMN('1-DATA'!AG622)),ROUND(INDEX('1-DATA'!$1:$1048576,IF(OR($B624="STD. DEVIATION",$C$1=1),$A624,$A624+1),COLUMN('1-DATA'!AG622)),IF($B624="STD. DEVIATION",2,$F$1))))</f>
        <v/>
      </c>
      <c r="AI624" s="1" t="str">
        <f>IF(OR($B624="",AI$7=""),"",IF($B624="MEANS",INDEX('1-DATA'!$1:$1048576,$A623-1,COLUMN('1-DATA'!AH622)),ROUND(INDEX('1-DATA'!$1:$1048576,IF(OR($B624="STD. DEVIATION",$C$1=1),$A624,$A624+1),COLUMN('1-DATA'!AH622)),IF($B624="STD. DEVIATION",2,$F$1))))</f>
        <v/>
      </c>
      <c r="AJ624" s="1" t="str">
        <f>IF(OR($B624="",AJ$7=""),"",IF($B624="MEANS",INDEX('1-DATA'!$1:$1048576,$A623-1,COLUMN('1-DATA'!AI622)),ROUND(INDEX('1-DATA'!$1:$1048576,IF(OR($B624="STD. DEVIATION",$C$1=1),$A624,$A624+1),COLUMN('1-DATA'!AI622)),IF($B624="STD. DEVIATION",2,$F$1))))</f>
        <v/>
      </c>
      <c r="AK624" s="1" t="str">
        <f>IF(OR($B624="",AK$7=""),"",IF($B624="MEANS",INDEX('1-DATA'!$1:$1048576,$A623-1,COLUMN('1-DATA'!AJ622)),ROUND(INDEX('1-DATA'!$1:$1048576,IF(OR($B624="STD. DEVIATION",$C$1=1),$A624,$A624+1),COLUMN('1-DATA'!AJ622)),IF($B624="STD. DEVIATION",2,$F$1))))</f>
        <v/>
      </c>
      <c r="AL624" s="1" t="str">
        <f>IF(OR($B624="",AL$7=""),"",IF($B624="MEANS",INDEX('1-DATA'!$1:$1048576,$A623-1,COLUMN('1-DATA'!AK622)),ROUND(INDEX('1-DATA'!$1:$1048576,IF(OR($B624="STD. DEVIATION",$C$1=1),$A624,$A624+1),COLUMN('1-DATA'!AK622)),IF($B624="STD. DEVIATION",2,$F$1))))</f>
        <v/>
      </c>
      <c r="AM624" s="1" t="str">
        <f>IF(OR($B624="",AM$7=""),"",IF($B624="MEANS",INDEX('1-DATA'!$1:$1048576,$A623-1,COLUMN('1-DATA'!AL622)),ROUND(INDEX('1-DATA'!$1:$1048576,IF(OR($B624="STD. DEVIATION",$C$1=1),$A624,$A624+1),COLUMN('1-DATA'!AL622)),IF($B624="STD. DEVIATION",2,$F$1))))</f>
        <v/>
      </c>
      <c r="AN624" s="1" t="str">
        <f>IF(OR($B624="",AN$7=""),"",IF($B624="MEANS",INDEX('1-DATA'!$1:$1048576,$A623-1,COLUMN('1-DATA'!AM622)),ROUND(INDEX('1-DATA'!$1:$1048576,IF(OR($B624="STD. DEVIATION",$C$1=1),$A624,$A624+1),COLUMN('1-DATA'!AM622)),IF($B624="STD. DEVIATION",2,$F$1))))</f>
        <v/>
      </c>
      <c r="AO624" s="1" t="str">
        <f>IF(OR($B624="",AO$7=""),"",IF($B624="MEANS",INDEX('1-DATA'!$1:$1048576,$A623-1,COLUMN('1-DATA'!AN622)),ROUND(INDEX('1-DATA'!$1:$1048576,IF(OR($B624="STD. DEVIATION",$C$1=1),$A624,$A624+1),COLUMN('1-DATA'!AN622)),IF($B624="STD. DEVIATION",2,$F$1))))</f>
        <v/>
      </c>
      <c r="AP624" s="1" t="str">
        <f>IF(OR($B624="",AP$7=""),"",IF($B624="MEANS",INDEX('1-DATA'!$1:$1048576,$A623-1,COLUMN('1-DATA'!AO622)),ROUND(INDEX('1-DATA'!$1:$1048576,IF(OR($B624="STD. DEVIATION",$C$1=1),$A624,$A624+1),COLUMN('1-DATA'!AO622)),IF($B624="STD. DEVIATION",2,$F$1))))</f>
        <v/>
      </c>
      <c r="AQ624" s="1" t="str">
        <f>IF(OR($B624="",AQ$7=""),"",IF($B624="MEANS",INDEX('1-DATA'!$1:$1048576,$A623-1,COLUMN('1-DATA'!AP622)),ROUND(INDEX('1-DATA'!$1:$1048576,IF(OR($B624="STD. DEVIATION",$C$1=1),$A624,$A624+1),COLUMN('1-DATA'!AP622)),IF($B624="STD. DEVIATION",2,$F$1))))</f>
        <v/>
      </c>
      <c r="AR624" s="1" t="str">
        <f>IF(OR($B624="",AR$7=""),"",IF($B624="MEANS",INDEX('1-DATA'!$1:$1048576,$A623-1,COLUMN('1-DATA'!AQ622)),ROUND(INDEX('1-DATA'!$1:$1048576,IF(OR($B624="STD. DEVIATION",$C$1=1),$A624,$A624+1),COLUMN('1-DATA'!AQ622)),IF($B624="STD. DEVIATION",2,$F$1))))</f>
        <v/>
      </c>
      <c r="AS624" s="1" t="str">
        <f>IF(OR($B624="",AS$7=""),"",IF($B624="MEANS",INDEX('1-DATA'!$1:$1048576,$A623-1,COLUMN('1-DATA'!AR622)),ROUND(INDEX('1-DATA'!$1:$1048576,IF(OR($B624="STD. DEVIATION",$C$1=1),$A624,$A624+1),COLUMN('1-DATA'!AR622)),IF($B624="STD. DEVIATION",2,$F$1))))</f>
        <v/>
      </c>
      <c r="AT624" s="1" t="str">
        <f>IF(OR($B624="",AT$7=""),"",IF($B624="MEANS",INDEX('1-DATA'!$1:$1048576,$A623-1,COLUMN('1-DATA'!AS622)),ROUND(INDEX('1-DATA'!$1:$1048576,IF(OR($B624="STD. DEVIATION",$C$1=1),$A624,$A624+1),COLUMN('1-DATA'!AS622)),IF($B624="STD. DEVIATION",2,$F$1))))</f>
        <v/>
      </c>
      <c r="AU624" s="1" t="str">
        <f>IF(OR($B624="",AU$7=""),"",IF($B624="MEANS",INDEX('1-DATA'!$1:$1048576,$A623-1,COLUMN('1-DATA'!AT622)),ROUND(INDEX('1-DATA'!$1:$1048576,IF(OR($B624="STD. DEVIATION",$C$1=1),$A624,$A624+1),COLUMN('1-DATA'!AT622)),IF($B624="STD. DEVIATION",2,$F$1))))</f>
        <v/>
      </c>
      <c r="AV624" s="1" t="str">
        <f>IF(OR($B624="",AV$7=""),"",IF($B624="MEANS",INDEX('1-DATA'!$1:$1048576,$A623-1,COLUMN('1-DATA'!AU622)),ROUND(INDEX('1-DATA'!$1:$1048576,IF(OR($B624="STD. DEVIATION",$C$1=1),$A624,$A624+1),COLUMN('1-DATA'!AU622)),IF($B624="STD. DEVIATION",2,$F$1))))</f>
        <v/>
      </c>
      <c r="AW624" s="1" t="str">
        <f>IF(OR($B624="",AW$7=""),"",IF($B624="MEANS",INDEX('1-DATA'!$1:$1048576,$A623-1,COLUMN('1-DATA'!AV622)),ROUND(INDEX('1-DATA'!$1:$1048576,IF(OR($B624="STD. DEVIATION",$C$1=1),$A624,$A624+1),COLUMN('1-DATA'!AV622)),IF($B624="STD. DEVIATION",2,$F$1))))</f>
        <v/>
      </c>
      <c r="AX624" s="1" t="str">
        <f>IF(OR($B624="",AX$7=""),"",IF($B624="MEANS",INDEX('1-DATA'!$1:$1048576,$A623-1,COLUMN('1-DATA'!AW622)),ROUND(INDEX('1-DATA'!$1:$1048576,IF(OR($B624="STD. DEVIATION",$C$1=1),$A624,$A624+1),COLUMN('1-DATA'!AW622)),IF($B624="STD. DEVIATION",2,$F$1))))</f>
        <v/>
      </c>
      <c r="AY624" s="1" t="str">
        <f>IF(OR($B624="",AY$7=""),"",IF($B624="MEANS",INDEX('1-DATA'!$1:$1048576,$A623-1,COLUMN('1-DATA'!AX622)),ROUND(INDEX('1-DATA'!$1:$1048576,IF(OR($B624="STD. DEVIATION",$C$1=1),$A624,$A624+1),COLUMN('1-DATA'!AX622)),IF($B624="STD. DEVIATION",2,$F$1))))</f>
        <v/>
      </c>
      <c r="AZ624" s="1" t="str">
        <f>IF(OR($B624="",AZ$7=""),"",IF($B624="MEANS",INDEX('1-DATA'!$1:$1048576,$A623-1,COLUMN('1-DATA'!AY622)),ROUND(INDEX('1-DATA'!$1:$1048576,IF(OR($B624="STD. DEVIATION",$C$1=1),$A624,$A624+1),COLUMN('1-DATA'!AY622)),IF($B624="STD. DEVIATION",2,$F$1))))</f>
        <v/>
      </c>
    </row>
    <row r="625" spans="1:52" x14ac:dyDescent="0.25">
      <c r="A625" s="11">
        <f t="shared" si="10"/>
        <v>1861</v>
      </c>
      <c r="B625" s="1" t="str">
        <f>IF(B624="STD. DEVIATION",INDEX('1-DATA'!$1:$1048576,$A624-1,1),IF(INDEX('1-DATA'!$1:$1048576,$A625,1)&lt;&gt;"",INDEX('1-DATA'!$1:$1048576,$A625,1),""))</f>
        <v/>
      </c>
      <c r="C625" s="1" t="str">
        <f>IF(OR($B625="",C$7=""),"",IF($B625="MEANS",INDEX('1-DATA'!$1:$1048576,$A624-1,COLUMN('1-DATA'!B623)),ROUND(INDEX('1-DATA'!$1:$1048576,IF(OR($B625="STD. DEVIATION",$C$1=1),$A625,$A625+1),COLUMN('1-DATA'!B623)),IF($B625="STD. DEVIATION",2,$F$1))))</f>
        <v/>
      </c>
      <c r="D625" s="1" t="str">
        <f>IF(OR($B625="",D$7=""),"",IF($B625="MEANS",INDEX('1-DATA'!$1:$1048576,$A624-1,COLUMN('1-DATA'!C623)),ROUND(INDEX('1-DATA'!$1:$1048576,IF(OR($B625="STD. DEVIATION",$C$1=1),$A625,$A625+1),COLUMN('1-DATA'!C623)),IF($B625="STD. DEVIATION",2,$F$1))))</f>
        <v/>
      </c>
      <c r="E625" s="1" t="str">
        <f>IF(OR($B625="",E$7=""),"",IF($B625="MEANS",INDEX('1-DATA'!$1:$1048576,$A624-1,COLUMN('1-DATA'!D623)),ROUND(INDEX('1-DATA'!$1:$1048576,IF(OR($B625="STD. DEVIATION",$C$1=1),$A625,$A625+1),COLUMN('1-DATA'!D623)),IF($B625="STD. DEVIATION",2,$F$1))))</f>
        <v/>
      </c>
      <c r="F625" s="1" t="str">
        <f>IF(OR($B625="",F$7=""),"",IF($B625="MEANS",INDEX('1-DATA'!$1:$1048576,$A624-1,COLUMN('1-DATA'!E623)),ROUND(INDEX('1-DATA'!$1:$1048576,IF(OR($B625="STD. DEVIATION",$C$1=1),$A625,$A625+1),COLUMN('1-DATA'!E623)),IF($B625="STD. DEVIATION",2,$F$1))))</f>
        <v/>
      </c>
      <c r="G625" s="1" t="str">
        <f>IF(OR($B625="",G$7=""),"",IF($B625="MEANS",INDEX('1-DATA'!$1:$1048576,$A624-1,COLUMN('1-DATA'!F623)),ROUND(INDEX('1-DATA'!$1:$1048576,IF(OR($B625="STD. DEVIATION",$C$1=1),$A625,$A625+1),COLUMN('1-DATA'!F623)),IF($B625="STD. DEVIATION",2,$F$1))))</f>
        <v/>
      </c>
      <c r="H625" s="1" t="str">
        <f>IF(OR($B625="",H$7=""),"",IF($B625="MEANS",INDEX('1-DATA'!$1:$1048576,$A624-1,COLUMN('1-DATA'!G623)),ROUND(INDEX('1-DATA'!$1:$1048576,IF(OR($B625="STD. DEVIATION",$C$1=1),$A625,$A625+1),COLUMN('1-DATA'!G623)),IF($B625="STD. DEVIATION",2,$F$1))))</f>
        <v/>
      </c>
      <c r="I625" s="1" t="str">
        <f>IF(OR($B625="",I$7=""),"",IF($B625="MEANS",INDEX('1-DATA'!$1:$1048576,$A624-1,COLUMN('1-DATA'!H623)),ROUND(INDEX('1-DATA'!$1:$1048576,IF(OR($B625="STD. DEVIATION",$C$1=1),$A625,$A625+1),COLUMN('1-DATA'!H623)),IF($B625="STD. DEVIATION",2,$F$1))))</f>
        <v/>
      </c>
      <c r="J625" s="1" t="str">
        <f>IF(OR($B625="",J$7=""),"",IF($B625="MEANS",INDEX('1-DATA'!$1:$1048576,$A624-1,COLUMN('1-DATA'!I623)),ROUND(INDEX('1-DATA'!$1:$1048576,IF(OR($B625="STD. DEVIATION",$C$1=1),$A625,$A625+1),COLUMN('1-DATA'!I623)),IF($B625="STD. DEVIATION",2,$F$1))))</f>
        <v/>
      </c>
      <c r="K625" s="1" t="str">
        <f>IF(OR($B625="",K$7=""),"",IF($B625="MEANS",INDEX('1-DATA'!$1:$1048576,$A624-1,COLUMN('1-DATA'!J623)),ROUND(INDEX('1-DATA'!$1:$1048576,IF(OR($B625="STD. DEVIATION",$C$1=1),$A625,$A625+1),COLUMN('1-DATA'!J623)),IF($B625="STD. DEVIATION",2,$F$1))))</f>
        <v/>
      </c>
      <c r="L625" s="1" t="str">
        <f>IF(OR($B625="",L$7=""),"",IF($B625="MEANS",INDEX('1-DATA'!$1:$1048576,$A624-1,COLUMN('1-DATA'!K623)),ROUND(INDEX('1-DATA'!$1:$1048576,IF(OR($B625="STD. DEVIATION",$C$1=1),$A625,$A625+1),COLUMN('1-DATA'!K623)),IF($B625="STD. DEVIATION",2,$F$1))))</f>
        <v/>
      </c>
      <c r="M625" s="1" t="str">
        <f>IF(OR($B625="",M$7=""),"",IF($B625="MEANS",INDEX('1-DATA'!$1:$1048576,$A624-1,COLUMN('1-DATA'!L623)),ROUND(INDEX('1-DATA'!$1:$1048576,IF(OR($B625="STD. DEVIATION",$C$1=1),$A625,$A625+1),COLUMN('1-DATA'!L623)),IF($B625="STD. DEVIATION",2,$F$1))))</f>
        <v/>
      </c>
      <c r="N625" s="1" t="str">
        <f>IF(OR($B625="",N$7=""),"",IF($B625="MEANS",INDEX('1-DATA'!$1:$1048576,$A624-1,COLUMN('1-DATA'!M623)),ROUND(INDEX('1-DATA'!$1:$1048576,IF(OR($B625="STD. DEVIATION",$C$1=1),$A625,$A625+1),COLUMN('1-DATA'!M623)),IF($B625="STD. DEVIATION",2,$F$1))))</f>
        <v/>
      </c>
      <c r="O625" s="1" t="str">
        <f>IF(OR($B625="",O$7=""),"",IF($B625="MEANS",INDEX('1-DATA'!$1:$1048576,$A624-1,COLUMN('1-DATA'!N623)),ROUND(INDEX('1-DATA'!$1:$1048576,IF(OR($B625="STD. DEVIATION",$C$1=1),$A625,$A625+1),COLUMN('1-DATA'!N623)),IF($B625="STD. DEVIATION",2,$F$1))))</f>
        <v/>
      </c>
      <c r="P625" s="1" t="str">
        <f>IF(OR($B625="",P$7=""),"",IF($B625="MEANS",INDEX('1-DATA'!$1:$1048576,$A624-1,COLUMN('1-DATA'!O623)),ROUND(INDEX('1-DATA'!$1:$1048576,IF(OR($B625="STD. DEVIATION",$C$1=1),$A625,$A625+1),COLUMN('1-DATA'!O623)),IF($B625="STD. DEVIATION",2,$F$1))))</f>
        <v/>
      </c>
      <c r="Q625" s="1" t="str">
        <f>IF(OR($B625="",Q$7=""),"",IF($B625="MEANS",INDEX('1-DATA'!$1:$1048576,$A624-1,COLUMN('1-DATA'!P623)),ROUND(INDEX('1-DATA'!$1:$1048576,IF(OR($B625="STD. DEVIATION",$C$1=1),$A625,$A625+1),COLUMN('1-DATA'!P623)),IF($B625="STD. DEVIATION",2,$F$1))))</f>
        <v/>
      </c>
      <c r="R625" s="1" t="str">
        <f>IF(OR($B625="",R$7=""),"",IF($B625="MEANS",INDEX('1-DATA'!$1:$1048576,$A624-1,COLUMN('1-DATA'!Q623)),ROUND(INDEX('1-DATA'!$1:$1048576,IF(OR($B625="STD. DEVIATION",$C$1=1),$A625,$A625+1),COLUMN('1-DATA'!Q623)),IF($B625="STD. DEVIATION",2,$F$1))))</f>
        <v/>
      </c>
      <c r="S625" s="1" t="str">
        <f>IF(OR($B625="",S$7=""),"",IF($B625="MEANS",INDEX('1-DATA'!$1:$1048576,$A624-1,COLUMN('1-DATA'!R623)),ROUND(INDEX('1-DATA'!$1:$1048576,IF(OR($B625="STD. DEVIATION",$C$1=1),$A625,$A625+1),COLUMN('1-DATA'!R623)),IF($B625="STD. DEVIATION",2,$F$1))))</f>
        <v/>
      </c>
      <c r="T625" s="1" t="str">
        <f>IF(OR($B625="",T$7=""),"",IF($B625="MEANS",INDEX('1-DATA'!$1:$1048576,$A624-1,COLUMN('1-DATA'!S623)),ROUND(INDEX('1-DATA'!$1:$1048576,IF(OR($B625="STD. DEVIATION",$C$1=1),$A625,$A625+1),COLUMN('1-DATA'!S623)),IF($B625="STD. DEVIATION",2,$F$1))))</f>
        <v/>
      </c>
      <c r="U625" s="1" t="str">
        <f>IF(OR($B625="",U$7=""),"",IF($B625="MEANS",INDEX('1-DATA'!$1:$1048576,$A624-1,COLUMN('1-DATA'!T623)),ROUND(INDEX('1-DATA'!$1:$1048576,IF(OR($B625="STD. DEVIATION",$C$1=1),$A625,$A625+1),COLUMN('1-DATA'!T623)),IF($B625="STD. DEVIATION",2,$F$1))))</f>
        <v/>
      </c>
      <c r="V625" s="1" t="str">
        <f>IF(OR($B625="",V$7=""),"",IF($B625="MEANS",INDEX('1-DATA'!$1:$1048576,$A624-1,COLUMN('1-DATA'!U623)),ROUND(INDEX('1-DATA'!$1:$1048576,IF(OR($B625="STD. DEVIATION",$C$1=1),$A625,$A625+1),COLUMN('1-DATA'!U623)),IF($B625="STD. DEVIATION",2,$F$1))))</f>
        <v/>
      </c>
      <c r="W625" s="1" t="str">
        <f>IF(OR($B625="",W$7=""),"",IF($B625="MEANS",INDEX('1-DATA'!$1:$1048576,$A624-1,COLUMN('1-DATA'!V623)),ROUND(INDEX('1-DATA'!$1:$1048576,IF(OR($B625="STD. DEVIATION",$C$1=1),$A625,$A625+1),COLUMN('1-DATA'!V623)),IF($B625="STD. DEVIATION",2,$F$1))))</f>
        <v/>
      </c>
      <c r="X625" s="1" t="str">
        <f>IF(OR($B625="",X$7=""),"",IF($B625="MEANS",INDEX('1-DATA'!$1:$1048576,$A624-1,COLUMN('1-DATA'!W623)),ROUND(INDEX('1-DATA'!$1:$1048576,IF(OR($B625="STD. DEVIATION",$C$1=1),$A625,$A625+1),COLUMN('1-DATA'!W623)),IF($B625="STD. DEVIATION",2,$F$1))))</f>
        <v/>
      </c>
      <c r="Y625" s="1" t="str">
        <f>IF(OR($B625="",Y$7=""),"",IF($B625="MEANS",INDEX('1-DATA'!$1:$1048576,$A624-1,COLUMN('1-DATA'!X623)),ROUND(INDEX('1-DATA'!$1:$1048576,IF(OR($B625="STD. DEVIATION",$C$1=1),$A625,$A625+1),COLUMN('1-DATA'!X623)),IF($B625="STD. DEVIATION",2,$F$1))))</f>
        <v/>
      </c>
      <c r="Z625" s="1" t="str">
        <f>IF(OR($B625="",Z$7=""),"",IF($B625="MEANS",INDEX('1-DATA'!$1:$1048576,$A624-1,COLUMN('1-DATA'!Y623)),ROUND(INDEX('1-DATA'!$1:$1048576,IF(OR($B625="STD. DEVIATION",$C$1=1),$A625,$A625+1),COLUMN('1-DATA'!Y623)),IF($B625="STD. DEVIATION",2,$F$1))))</f>
        <v/>
      </c>
      <c r="AA625" s="1" t="str">
        <f>IF(OR($B625="",AA$7=""),"",IF($B625="MEANS",INDEX('1-DATA'!$1:$1048576,$A624-1,COLUMN('1-DATA'!Z623)),ROUND(INDEX('1-DATA'!$1:$1048576,IF(OR($B625="STD. DEVIATION",$C$1=1),$A625,$A625+1),COLUMN('1-DATA'!Z623)),IF($B625="STD. DEVIATION",2,$F$1))))</f>
        <v/>
      </c>
      <c r="AB625" s="1" t="str">
        <f>IF(OR($B625="",AB$7=""),"",IF($B625="MEANS",INDEX('1-DATA'!$1:$1048576,$A624-1,COLUMN('1-DATA'!AA623)),ROUND(INDEX('1-DATA'!$1:$1048576,IF(OR($B625="STD. DEVIATION",$C$1=1),$A625,$A625+1),COLUMN('1-DATA'!AA623)),IF($B625="STD. DEVIATION",2,$F$1))))</f>
        <v/>
      </c>
      <c r="AC625" s="1" t="str">
        <f>IF(OR($B625="",AC$7=""),"",IF($B625="MEANS",INDEX('1-DATA'!$1:$1048576,$A624-1,COLUMN('1-DATA'!AB623)),ROUND(INDEX('1-DATA'!$1:$1048576,IF(OR($B625="STD. DEVIATION",$C$1=1),$A625,$A625+1),COLUMN('1-DATA'!AB623)),IF($B625="STD. DEVIATION",2,$F$1))))</f>
        <v/>
      </c>
      <c r="AD625" s="1" t="str">
        <f>IF(OR($B625="",AD$7=""),"",IF($B625="MEANS",INDEX('1-DATA'!$1:$1048576,$A624-1,COLUMN('1-DATA'!AC623)),ROUND(INDEX('1-DATA'!$1:$1048576,IF(OR($B625="STD. DEVIATION",$C$1=1),$A625,$A625+1),COLUMN('1-DATA'!AC623)),IF($B625="STD. DEVIATION",2,$F$1))))</f>
        <v/>
      </c>
      <c r="AE625" s="1" t="str">
        <f>IF(OR($B625="",AE$7=""),"",IF($B625="MEANS",INDEX('1-DATA'!$1:$1048576,$A624-1,COLUMN('1-DATA'!AD623)),ROUND(INDEX('1-DATA'!$1:$1048576,IF(OR($B625="STD. DEVIATION",$C$1=1),$A625,$A625+1),COLUMN('1-DATA'!AD623)),IF($B625="STD. DEVIATION",2,$F$1))))</f>
        <v/>
      </c>
      <c r="AF625" s="1" t="str">
        <f>IF(OR($B625="",AF$7=""),"",IF($B625="MEANS",INDEX('1-DATA'!$1:$1048576,$A624-1,COLUMN('1-DATA'!AE623)),ROUND(INDEX('1-DATA'!$1:$1048576,IF(OR($B625="STD. DEVIATION",$C$1=1),$A625,$A625+1),COLUMN('1-DATA'!AE623)),IF($B625="STD. DEVIATION",2,$F$1))))</f>
        <v/>
      </c>
      <c r="AG625" s="1" t="str">
        <f>IF(OR($B625="",AG$7=""),"",IF($B625="MEANS",INDEX('1-DATA'!$1:$1048576,$A624-1,COLUMN('1-DATA'!AF623)),ROUND(INDEX('1-DATA'!$1:$1048576,IF(OR($B625="STD. DEVIATION",$C$1=1),$A625,$A625+1),COLUMN('1-DATA'!AF623)),IF($B625="STD. DEVIATION",2,$F$1))))</f>
        <v/>
      </c>
      <c r="AH625" s="1" t="str">
        <f>IF(OR($B625="",AH$7=""),"",IF($B625="MEANS",INDEX('1-DATA'!$1:$1048576,$A624-1,COLUMN('1-DATA'!AG623)),ROUND(INDEX('1-DATA'!$1:$1048576,IF(OR($B625="STD. DEVIATION",$C$1=1),$A625,$A625+1),COLUMN('1-DATA'!AG623)),IF($B625="STD. DEVIATION",2,$F$1))))</f>
        <v/>
      </c>
      <c r="AI625" s="1" t="str">
        <f>IF(OR($B625="",AI$7=""),"",IF($B625="MEANS",INDEX('1-DATA'!$1:$1048576,$A624-1,COLUMN('1-DATA'!AH623)),ROUND(INDEX('1-DATA'!$1:$1048576,IF(OR($B625="STD. DEVIATION",$C$1=1),$A625,$A625+1),COLUMN('1-DATA'!AH623)),IF($B625="STD. DEVIATION",2,$F$1))))</f>
        <v/>
      </c>
      <c r="AJ625" s="1" t="str">
        <f>IF(OR($B625="",AJ$7=""),"",IF($B625="MEANS",INDEX('1-DATA'!$1:$1048576,$A624-1,COLUMN('1-DATA'!AI623)),ROUND(INDEX('1-DATA'!$1:$1048576,IF(OR($B625="STD. DEVIATION",$C$1=1),$A625,$A625+1),COLUMN('1-DATA'!AI623)),IF($B625="STD. DEVIATION",2,$F$1))))</f>
        <v/>
      </c>
      <c r="AK625" s="1" t="str">
        <f>IF(OR($B625="",AK$7=""),"",IF($B625="MEANS",INDEX('1-DATA'!$1:$1048576,$A624-1,COLUMN('1-DATA'!AJ623)),ROUND(INDEX('1-DATA'!$1:$1048576,IF(OR($B625="STD. DEVIATION",$C$1=1),$A625,$A625+1),COLUMN('1-DATA'!AJ623)),IF($B625="STD. DEVIATION",2,$F$1))))</f>
        <v/>
      </c>
      <c r="AL625" s="1" t="str">
        <f>IF(OR($B625="",AL$7=""),"",IF($B625="MEANS",INDEX('1-DATA'!$1:$1048576,$A624-1,COLUMN('1-DATA'!AK623)),ROUND(INDEX('1-DATA'!$1:$1048576,IF(OR($B625="STD. DEVIATION",$C$1=1),$A625,$A625+1),COLUMN('1-DATA'!AK623)),IF($B625="STD. DEVIATION",2,$F$1))))</f>
        <v/>
      </c>
      <c r="AM625" s="1" t="str">
        <f>IF(OR($B625="",AM$7=""),"",IF($B625="MEANS",INDEX('1-DATA'!$1:$1048576,$A624-1,COLUMN('1-DATA'!AL623)),ROUND(INDEX('1-DATA'!$1:$1048576,IF(OR($B625="STD. DEVIATION",$C$1=1),$A625,$A625+1),COLUMN('1-DATA'!AL623)),IF($B625="STD. DEVIATION",2,$F$1))))</f>
        <v/>
      </c>
      <c r="AN625" s="1" t="str">
        <f>IF(OR($B625="",AN$7=""),"",IF($B625="MEANS",INDEX('1-DATA'!$1:$1048576,$A624-1,COLUMN('1-DATA'!AM623)),ROUND(INDEX('1-DATA'!$1:$1048576,IF(OR($B625="STD. DEVIATION",$C$1=1),$A625,$A625+1),COLUMN('1-DATA'!AM623)),IF($B625="STD. DEVIATION",2,$F$1))))</f>
        <v/>
      </c>
      <c r="AO625" s="1" t="str">
        <f>IF(OR($B625="",AO$7=""),"",IF($B625="MEANS",INDEX('1-DATA'!$1:$1048576,$A624-1,COLUMN('1-DATA'!AN623)),ROUND(INDEX('1-DATA'!$1:$1048576,IF(OR($B625="STD. DEVIATION",$C$1=1),$A625,$A625+1),COLUMN('1-DATA'!AN623)),IF($B625="STD. DEVIATION",2,$F$1))))</f>
        <v/>
      </c>
      <c r="AP625" s="1" t="str">
        <f>IF(OR($B625="",AP$7=""),"",IF($B625="MEANS",INDEX('1-DATA'!$1:$1048576,$A624-1,COLUMN('1-DATA'!AO623)),ROUND(INDEX('1-DATA'!$1:$1048576,IF(OR($B625="STD. DEVIATION",$C$1=1),$A625,$A625+1),COLUMN('1-DATA'!AO623)),IF($B625="STD. DEVIATION",2,$F$1))))</f>
        <v/>
      </c>
      <c r="AQ625" s="1" t="str">
        <f>IF(OR($B625="",AQ$7=""),"",IF($B625="MEANS",INDEX('1-DATA'!$1:$1048576,$A624-1,COLUMN('1-DATA'!AP623)),ROUND(INDEX('1-DATA'!$1:$1048576,IF(OR($B625="STD. DEVIATION",$C$1=1),$A625,$A625+1),COLUMN('1-DATA'!AP623)),IF($B625="STD. DEVIATION",2,$F$1))))</f>
        <v/>
      </c>
      <c r="AR625" s="1" t="str">
        <f>IF(OR($B625="",AR$7=""),"",IF($B625="MEANS",INDEX('1-DATA'!$1:$1048576,$A624-1,COLUMN('1-DATA'!AQ623)),ROUND(INDEX('1-DATA'!$1:$1048576,IF(OR($B625="STD. DEVIATION",$C$1=1),$A625,$A625+1),COLUMN('1-DATA'!AQ623)),IF($B625="STD. DEVIATION",2,$F$1))))</f>
        <v/>
      </c>
      <c r="AS625" s="1" t="str">
        <f>IF(OR($B625="",AS$7=""),"",IF($B625="MEANS",INDEX('1-DATA'!$1:$1048576,$A624-1,COLUMN('1-DATA'!AR623)),ROUND(INDEX('1-DATA'!$1:$1048576,IF(OR($B625="STD. DEVIATION",$C$1=1),$A625,$A625+1),COLUMN('1-DATA'!AR623)),IF($B625="STD. DEVIATION",2,$F$1))))</f>
        <v/>
      </c>
      <c r="AT625" s="1" t="str">
        <f>IF(OR($B625="",AT$7=""),"",IF($B625="MEANS",INDEX('1-DATA'!$1:$1048576,$A624-1,COLUMN('1-DATA'!AS623)),ROUND(INDEX('1-DATA'!$1:$1048576,IF(OR($B625="STD. DEVIATION",$C$1=1),$A625,$A625+1),COLUMN('1-DATA'!AS623)),IF($B625="STD. DEVIATION",2,$F$1))))</f>
        <v/>
      </c>
      <c r="AU625" s="1" t="str">
        <f>IF(OR($B625="",AU$7=""),"",IF($B625="MEANS",INDEX('1-DATA'!$1:$1048576,$A624-1,COLUMN('1-DATA'!AT623)),ROUND(INDEX('1-DATA'!$1:$1048576,IF(OR($B625="STD. DEVIATION",$C$1=1),$A625,$A625+1),COLUMN('1-DATA'!AT623)),IF($B625="STD. DEVIATION",2,$F$1))))</f>
        <v/>
      </c>
      <c r="AV625" s="1" t="str">
        <f>IF(OR($B625="",AV$7=""),"",IF($B625="MEANS",INDEX('1-DATA'!$1:$1048576,$A624-1,COLUMN('1-DATA'!AU623)),ROUND(INDEX('1-DATA'!$1:$1048576,IF(OR($B625="STD. DEVIATION",$C$1=1),$A625,$A625+1),COLUMN('1-DATA'!AU623)),IF($B625="STD. DEVIATION",2,$F$1))))</f>
        <v/>
      </c>
      <c r="AW625" s="1" t="str">
        <f>IF(OR($B625="",AW$7=""),"",IF($B625="MEANS",INDEX('1-DATA'!$1:$1048576,$A624-1,COLUMN('1-DATA'!AV623)),ROUND(INDEX('1-DATA'!$1:$1048576,IF(OR($B625="STD. DEVIATION",$C$1=1),$A625,$A625+1),COLUMN('1-DATA'!AV623)),IF($B625="STD. DEVIATION",2,$F$1))))</f>
        <v/>
      </c>
      <c r="AX625" s="1" t="str">
        <f>IF(OR($B625="",AX$7=""),"",IF($B625="MEANS",INDEX('1-DATA'!$1:$1048576,$A624-1,COLUMN('1-DATA'!AW623)),ROUND(INDEX('1-DATA'!$1:$1048576,IF(OR($B625="STD. DEVIATION",$C$1=1),$A625,$A625+1),COLUMN('1-DATA'!AW623)),IF($B625="STD. DEVIATION",2,$F$1))))</f>
        <v/>
      </c>
      <c r="AY625" s="1" t="str">
        <f>IF(OR($B625="",AY$7=""),"",IF($B625="MEANS",INDEX('1-DATA'!$1:$1048576,$A624-1,COLUMN('1-DATA'!AX623)),ROUND(INDEX('1-DATA'!$1:$1048576,IF(OR($B625="STD. DEVIATION",$C$1=1),$A625,$A625+1),COLUMN('1-DATA'!AX623)),IF($B625="STD. DEVIATION",2,$F$1))))</f>
        <v/>
      </c>
      <c r="AZ625" s="1" t="str">
        <f>IF(OR($B625="",AZ$7=""),"",IF($B625="MEANS",INDEX('1-DATA'!$1:$1048576,$A624-1,COLUMN('1-DATA'!AY623)),ROUND(INDEX('1-DATA'!$1:$1048576,IF(OR($B625="STD. DEVIATION",$C$1=1),$A625,$A625+1),COLUMN('1-DATA'!AY623)),IF($B625="STD. DEVIATION",2,$F$1))))</f>
        <v/>
      </c>
    </row>
    <row r="626" spans="1:52" x14ac:dyDescent="0.25">
      <c r="A626" s="11">
        <f t="shared" si="10"/>
        <v>1864</v>
      </c>
      <c r="B626" s="1" t="str">
        <f>IF(B625="STD. DEVIATION",INDEX('1-DATA'!$1:$1048576,$A625-1,1),IF(INDEX('1-DATA'!$1:$1048576,$A626,1)&lt;&gt;"",INDEX('1-DATA'!$1:$1048576,$A626,1),""))</f>
        <v/>
      </c>
      <c r="C626" s="1" t="str">
        <f>IF(OR($B626="",C$7=""),"",IF($B626="MEANS",INDEX('1-DATA'!$1:$1048576,$A625-1,COLUMN('1-DATA'!B624)),ROUND(INDEX('1-DATA'!$1:$1048576,IF(OR($B626="STD. DEVIATION",$C$1=1),$A626,$A626+1),COLUMN('1-DATA'!B624)),IF($B626="STD. DEVIATION",2,$F$1))))</f>
        <v/>
      </c>
      <c r="D626" s="1" t="str">
        <f>IF(OR($B626="",D$7=""),"",IF($B626="MEANS",INDEX('1-DATA'!$1:$1048576,$A625-1,COLUMN('1-DATA'!C624)),ROUND(INDEX('1-DATA'!$1:$1048576,IF(OR($B626="STD. DEVIATION",$C$1=1),$A626,$A626+1),COLUMN('1-DATA'!C624)),IF($B626="STD. DEVIATION",2,$F$1))))</f>
        <v/>
      </c>
      <c r="E626" s="1" t="str">
        <f>IF(OR($B626="",E$7=""),"",IF($B626="MEANS",INDEX('1-DATA'!$1:$1048576,$A625-1,COLUMN('1-DATA'!D624)),ROUND(INDEX('1-DATA'!$1:$1048576,IF(OR($B626="STD. DEVIATION",$C$1=1),$A626,$A626+1),COLUMN('1-DATA'!D624)),IF($B626="STD. DEVIATION",2,$F$1))))</f>
        <v/>
      </c>
      <c r="F626" s="1" t="str">
        <f>IF(OR($B626="",F$7=""),"",IF($B626="MEANS",INDEX('1-DATA'!$1:$1048576,$A625-1,COLUMN('1-DATA'!E624)),ROUND(INDEX('1-DATA'!$1:$1048576,IF(OR($B626="STD. DEVIATION",$C$1=1),$A626,$A626+1),COLUMN('1-DATA'!E624)),IF($B626="STD. DEVIATION",2,$F$1))))</f>
        <v/>
      </c>
      <c r="G626" s="1" t="str">
        <f>IF(OR($B626="",G$7=""),"",IF($B626="MEANS",INDEX('1-DATA'!$1:$1048576,$A625-1,COLUMN('1-DATA'!F624)),ROUND(INDEX('1-DATA'!$1:$1048576,IF(OR($B626="STD. DEVIATION",$C$1=1),$A626,$A626+1),COLUMN('1-DATA'!F624)),IF($B626="STD. DEVIATION",2,$F$1))))</f>
        <v/>
      </c>
      <c r="H626" s="1" t="str">
        <f>IF(OR($B626="",H$7=""),"",IF($B626="MEANS",INDEX('1-DATA'!$1:$1048576,$A625-1,COLUMN('1-DATA'!G624)),ROUND(INDEX('1-DATA'!$1:$1048576,IF(OR($B626="STD. DEVIATION",$C$1=1),$A626,$A626+1),COLUMN('1-DATA'!G624)),IF($B626="STD. DEVIATION",2,$F$1))))</f>
        <v/>
      </c>
      <c r="I626" s="1" t="str">
        <f>IF(OR($B626="",I$7=""),"",IF($B626="MEANS",INDEX('1-DATA'!$1:$1048576,$A625-1,COLUMN('1-DATA'!H624)),ROUND(INDEX('1-DATA'!$1:$1048576,IF(OR($B626="STD. DEVIATION",$C$1=1),$A626,$A626+1),COLUMN('1-DATA'!H624)),IF($B626="STD. DEVIATION",2,$F$1))))</f>
        <v/>
      </c>
      <c r="J626" s="1" t="str">
        <f>IF(OR($B626="",J$7=""),"",IF($B626="MEANS",INDEX('1-DATA'!$1:$1048576,$A625-1,COLUMN('1-DATA'!I624)),ROUND(INDEX('1-DATA'!$1:$1048576,IF(OR($B626="STD. DEVIATION",$C$1=1),$A626,$A626+1),COLUMN('1-DATA'!I624)),IF($B626="STD. DEVIATION",2,$F$1))))</f>
        <v/>
      </c>
      <c r="K626" s="1" t="str">
        <f>IF(OR($B626="",K$7=""),"",IF($B626="MEANS",INDEX('1-DATA'!$1:$1048576,$A625-1,COLUMN('1-DATA'!J624)),ROUND(INDEX('1-DATA'!$1:$1048576,IF(OR($B626="STD. DEVIATION",$C$1=1),$A626,$A626+1),COLUMN('1-DATA'!J624)),IF($B626="STD. DEVIATION",2,$F$1))))</f>
        <v/>
      </c>
      <c r="L626" s="1" t="str">
        <f>IF(OR($B626="",L$7=""),"",IF($B626="MEANS",INDEX('1-DATA'!$1:$1048576,$A625-1,COLUMN('1-DATA'!K624)),ROUND(INDEX('1-DATA'!$1:$1048576,IF(OR($B626="STD. DEVIATION",$C$1=1),$A626,$A626+1),COLUMN('1-DATA'!K624)),IF($B626="STD. DEVIATION",2,$F$1))))</f>
        <v/>
      </c>
      <c r="M626" s="1" t="str">
        <f>IF(OR($B626="",M$7=""),"",IF($B626="MEANS",INDEX('1-DATA'!$1:$1048576,$A625-1,COLUMN('1-DATA'!L624)),ROUND(INDEX('1-DATA'!$1:$1048576,IF(OR($B626="STD. DEVIATION",$C$1=1),$A626,$A626+1),COLUMN('1-DATA'!L624)),IF($B626="STD. DEVIATION",2,$F$1))))</f>
        <v/>
      </c>
      <c r="N626" s="1" t="str">
        <f>IF(OR($B626="",N$7=""),"",IF($B626="MEANS",INDEX('1-DATA'!$1:$1048576,$A625-1,COLUMN('1-DATA'!M624)),ROUND(INDEX('1-DATA'!$1:$1048576,IF(OR($B626="STD. DEVIATION",$C$1=1),$A626,$A626+1),COLUMN('1-DATA'!M624)),IF($B626="STD. DEVIATION",2,$F$1))))</f>
        <v/>
      </c>
      <c r="O626" s="1" t="str">
        <f>IF(OR($B626="",O$7=""),"",IF($B626="MEANS",INDEX('1-DATA'!$1:$1048576,$A625-1,COLUMN('1-DATA'!N624)),ROUND(INDEX('1-DATA'!$1:$1048576,IF(OR($B626="STD. DEVIATION",$C$1=1),$A626,$A626+1),COLUMN('1-DATA'!N624)),IF($B626="STD. DEVIATION",2,$F$1))))</f>
        <v/>
      </c>
      <c r="P626" s="1" t="str">
        <f>IF(OR($B626="",P$7=""),"",IF($B626="MEANS",INDEX('1-DATA'!$1:$1048576,$A625-1,COLUMN('1-DATA'!O624)),ROUND(INDEX('1-DATA'!$1:$1048576,IF(OR($B626="STD. DEVIATION",$C$1=1),$A626,$A626+1),COLUMN('1-DATA'!O624)),IF($B626="STD. DEVIATION",2,$F$1))))</f>
        <v/>
      </c>
      <c r="Q626" s="1" t="str">
        <f>IF(OR($B626="",Q$7=""),"",IF($B626="MEANS",INDEX('1-DATA'!$1:$1048576,$A625-1,COLUMN('1-DATA'!P624)),ROUND(INDEX('1-DATA'!$1:$1048576,IF(OR($B626="STD. DEVIATION",$C$1=1),$A626,$A626+1),COLUMN('1-DATA'!P624)),IF($B626="STD. DEVIATION",2,$F$1))))</f>
        <v/>
      </c>
      <c r="R626" s="1" t="str">
        <f>IF(OR($B626="",R$7=""),"",IF($B626="MEANS",INDEX('1-DATA'!$1:$1048576,$A625-1,COLUMN('1-DATA'!Q624)),ROUND(INDEX('1-DATA'!$1:$1048576,IF(OR($B626="STD. DEVIATION",$C$1=1),$A626,$A626+1),COLUMN('1-DATA'!Q624)),IF($B626="STD. DEVIATION",2,$F$1))))</f>
        <v/>
      </c>
      <c r="S626" s="1" t="str">
        <f>IF(OR($B626="",S$7=""),"",IF($B626="MEANS",INDEX('1-DATA'!$1:$1048576,$A625-1,COLUMN('1-DATA'!R624)),ROUND(INDEX('1-DATA'!$1:$1048576,IF(OR($B626="STD. DEVIATION",$C$1=1),$A626,$A626+1),COLUMN('1-DATA'!R624)),IF($B626="STD. DEVIATION",2,$F$1))))</f>
        <v/>
      </c>
      <c r="T626" s="1" t="str">
        <f>IF(OR($B626="",T$7=""),"",IF($B626="MEANS",INDEX('1-DATA'!$1:$1048576,$A625-1,COLUMN('1-DATA'!S624)),ROUND(INDEX('1-DATA'!$1:$1048576,IF(OR($B626="STD. DEVIATION",$C$1=1),$A626,$A626+1),COLUMN('1-DATA'!S624)),IF($B626="STD. DEVIATION",2,$F$1))))</f>
        <v/>
      </c>
      <c r="U626" s="1" t="str">
        <f>IF(OR($B626="",U$7=""),"",IF($B626="MEANS",INDEX('1-DATA'!$1:$1048576,$A625-1,COLUMN('1-DATA'!T624)),ROUND(INDEX('1-DATA'!$1:$1048576,IF(OR($B626="STD. DEVIATION",$C$1=1),$A626,$A626+1),COLUMN('1-DATA'!T624)),IF($B626="STD. DEVIATION",2,$F$1))))</f>
        <v/>
      </c>
      <c r="V626" s="1" t="str">
        <f>IF(OR($B626="",V$7=""),"",IF($B626="MEANS",INDEX('1-DATA'!$1:$1048576,$A625-1,COLUMN('1-DATA'!U624)),ROUND(INDEX('1-DATA'!$1:$1048576,IF(OR($B626="STD. DEVIATION",$C$1=1),$A626,$A626+1),COLUMN('1-DATA'!U624)),IF($B626="STD. DEVIATION",2,$F$1))))</f>
        <v/>
      </c>
      <c r="W626" s="1" t="str">
        <f>IF(OR($B626="",W$7=""),"",IF($B626="MEANS",INDEX('1-DATA'!$1:$1048576,$A625-1,COLUMN('1-DATA'!V624)),ROUND(INDEX('1-DATA'!$1:$1048576,IF(OR($B626="STD. DEVIATION",$C$1=1),$A626,$A626+1),COLUMN('1-DATA'!V624)),IF($B626="STD. DEVIATION",2,$F$1))))</f>
        <v/>
      </c>
      <c r="X626" s="1" t="str">
        <f>IF(OR($B626="",X$7=""),"",IF($B626="MEANS",INDEX('1-DATA'!$1:$1048576,$A625-1,COLUMN('1-DATA'!W624)),ROUND(INDEX('1-DATA'!$1:$1048576,IF(OR($B626="STD. DEVIATION",$C$1=1),$A626,$A626+1),COLUMN('1-DATA'!W624)),IF($B626="STD. DEVIATION",2,$F$1))))</f>
        <v/>
      </c>
      <c r="Y626" s="1" t="str">
        <f>IF(OR($B626="",Y$7=""),"",IF($B626="MEANS",INDEX('1-DATA'!$1:$1048576,$A625-1,COLUMN('1-DATA'!X624)),ROUND(INDEX('1-DATA'!$1:$1048576,IF(OR($B626="STD. DEVIATION",$C$1=1),$A626,$A626+1),COLUMN('1-DATA'!X624)),IF($B626="STD. DEVIATION",2,$F$1))))</f>
        <v/>
      </c>
      <c r="Z626" s="1" t="str">
        <f>IF(OR($B626="",Z$7=""),"",IF($B626="MEANS",INDEX('1-DATA'!$1:$1048576,$A625-1,COLUMN('1-DATA'!Y624)),ROUND(INDEX('1-DATA'!$1:$1048576,IF(OR($B626="STD. DEVIATION",$C$1=1),$A626,$A626+1),COLUMN('1-DATA'!Y624)),IF($B626="STD. DEVIATION",2,$F$1))))</f>
        <v/>
      </c>
      <c r="AA626" s="1" t="str">
        <f>IF(OR($B626="",AA$7=""),"",IF($B626="MEANS",INDEX('1-DATA'!$1:$1048576,$A625-1,COLUMN('1-DATA'!Z624)),ROUND(INDEX('1-DATA'!$1:$1048576,IF(OR($B626="STD. DEVIATION",$C$1=1),$A626,$A626+1),COLUMN('1-DATA'!Z624)),IF($B626="STD. DEVIATION",2,$F$1))))</f>
        <v/>
      </c>
      <c r="AB626" s="1" t="str">
        <f>IF(OR($B626="",AB$7=""),"",IF($B626="MEANS",INDEX('1-DATA'!$1:$1048576,$A625-1,COLUMN('1-DATA'!AA624)),ROUND(INDEX('1-DATA'!$1:$1048576,IF(OR($B626="STD. DEVIATION",$C$1=1),$A626,$A626+1),COLUMN('1-DATA'!AA624)),IF($B626="STD. DEVIATION",2,$F$1))))</f>
        <v/>
      </c>
      <c r="AC626" s="1" t="str">
        <f>IF(OR($B626="",AC$7=""),"",IF($B626="MEANS",INDEX('1-DATA'!$1:$1048576,$A625-1,COLUMN('1-DATA'!AB624)),ROUND(INDEX('1-DATA'!$1:$1048576,IF(OR($B626="STD. DEVIATION",$C$1=1),$A626,$A626+1),COLUMN('1-DATA'!AB624)),IF($B626="STD. DEVIATION",2,$F$1))))</f>
        <v/>
      </c>
      <c r="AD626" s="1" t="str">
        <f>IF(OR($B626="",AD$7=""),"",IF($B626="MEANS",INDEX('1-DATA'!$1:$1048576,$A625-1,COLUMN('1-DATA'!AC624)),ROUND(INDEX('1-DATA'!$1:$1048576,IF(OR($B626="STD. DEVIATION",$C$1=1),$A626,$A626+1),COLUMN('1-DATA'!AC624)),IF($B626="STD. DEVIATION",2,$F$1))))</f>
        <v/>
      </c>
      <c r="AE626" s="1" t="str">
        <f>IF(OR($B626="",AE$7=""),"",IF($B626="MEANS",INDEX('1-DATA'!$1:$1048576,$A625-1,COLUMN('1-DATA'!AD624)),ROUND(INDEX('1-DATA'!$1:$1048576,IF(OR($B626="STD. DEVIATION",$C$1=1),$A626,$A626+1),COLUMN('1-DATA'!AD624)),IF($B626="STD. DEVIATION",2,$F$1))))</f>
        <v/>
      </c>
      <c r="AF626" s="1" t="str">
        <f>IF(OR($B626="",AF$7=""),"",IF($B626="MEANS",INDEX('1-DATA'!$1:$1048576,$A625-1,COLUMN('1-DATA'!AE624)),ROUND(INDEX('1-DATA'!$1:$1048576,IF(OR($B626="STD. DEVIATION",$C$1=1),$A626,$A626+1),COLUMN('1-DATA'!AE624)),IF($B626="STD. DEVIATION",2,$F$1))))</f>
        <v/>
      </c>
      <c r="AG626" s="1" t="str">
        <f>IF(OR($B626="",AG$7=""),"",IF($B626="MEANS",INDEX('1-DATA'!$1:$1048576,$A625-1,COLUMN('1-DATA'!AF624)),ROUND(INDEX('1-DATA'!$1:$1048576,IF(OR($B626="STD. DEVIATION",$C$1=1),$A626,$A626+1),COLUMN('1-DATA'!AF624)),IF($B626="STD. DEVIATION",2,$F$1))))</f>
        <v/>
      </c>
      <c r="AH626" s="1" t="str">
        <f>IF(OR($B626="",AH$7=""),"",IF($B626="MEANS",INDEX('1-DATA'!$1:$1048576,$A625-1,COLUMN('1-DATA'!AG624)),ROUND(INDEX('1-DATA'!$1:$1048576,IF(OR($B626="STD. DEVIATION",$C$1=1),$A626,$A626+1),COLUMN('1-DATA'!AG624)),IF($B626="STD. DEVIATION",2,$F$1))))</f>
        <v/>
      </c>
      <c r="AI626" s="1" t="str">
        <f>IF(OR($B626="",AI$7=""),"",IF($B626="MEANS",INDEX('1-DATA'!$1:$1048576,$A625-1,COLUMN('1-DATA'!AH624)),ROUND(INDEX('1-DATA'!$1:$1048576,IF(OR($B626="STD. DEVIATION",$C$1=1),$A626,$A626+1),COLUMN('1-DATA'!AH624)),IF($B626="STD. DEVIATION",2,$F$1))))</f>
        <v/>
      </c>
      <c r="AJ626" s="1" t="str">
        <f>IF(OR($B626="",AJ$7=""),"",IF($B626="MEANS",INDEX('1-DATA'!$1:$1048576,$A625-1,COLUMN('1-DATA'!AI624)),ROUND(INDEX('1-DATA'!$1:$1048576,IF(OR($B626="STD. DEVIATION",$C$1=1),$A626,$A626+1),COLUMN('1-DATA'!AI624)),IF($B626="STD. DEVIATION",2,$F$1))))</f>
        <v/>
      </c>
      <c r="AK626" s="1" t="str">
        <f>IF(OR($B626="",AK$7=""),"",IF($B626="MEANS",INDEX('1-DATA'!$1:$1048576,$A625-1,COLUMN('1-DATA'!AJ624)),ROUND(INDEX('1-DATA'!$1:$1048576,IF(OR($B626="STD. DEVIATION",$C$1=1),$A626,$A626+1),COLUMN('1-DATA'!AJ624)),IF($B626="STD. DEVIATION",2,$F$1))))</f>
        <v/>
      </c>
      <c r="AL626" s="1" t="str">
        <f>IF(OR($B626="",AL$7=""),"",IF($B626="MEANS",INDEX('1-DATA'!$1:$1048576,$A625-1,COLUMN('1-DATA'!AK624)),ROUND(INDEX('1-DATA'!$1:$1048576,IF(OR($B626="STD. DEVIATION",$C$1=1),$A626,$A626+1),COLUMN('1-DATA'!AK624)),IF($B626="STD. DEVIATION",2,$F$1))))</f>
        <v/>
      </c>
      <c r="AM626" s="1" t="str">
        <f>IF(OR($B626="",AM$7=""),"",IF($B626="MEANS",INDEX('1-DATA'!$1:$1048576,$A625-1,COLUMN('1-DATA'!AL624)),ROUND(INDEX('1-DATA'!$1:$1048576,IF(OR($B626="STD. DEVIATION",$C$1=1),$A626,$A626+1),COLUMN('1-DATA'!AL624)),IF($B626="STD. DEVIATION",2,$F$1))))</f>
        <v/>
      </c>
      <c r="AN626" s="1" t="str">
        <f>IF(OR($B626="",AN$7=""),"",IF($B626="MEANS",INDEX('1-DATA'!$1:$1048576,$A625-1,COLUMN('1-DATA'!AM624)),ROUND(INDEX('1-DATA'!$1:$1048576,IF(OR($B626="STD. DEVIATION",$C$1=1),$A626,$A626+1),COLUMN('1-DATA'!AM624)),IF($B626="STD. DEVIATION",2,$F$1))))</f>
        <v/>
      </c>
      <c r="AO626" s="1" t="str">
        <f>IF(OR($B626="",AO$7=""),"",IF($B626="MEANS",INDEX('1-DATA'!$1:$1048576,$A625-1,COLUMN('1-DATA'!AN624)),ROUND(INDEX('1-DATA'!$1:$1048576,IF(OR($B626="STD. DEVIATION",$C$1=1),$A626,$A626+1),COLUMN('1-DATA'!AN624)),IF($B626="STD. DEVIATION",2,$F$1))))</f>
        <v/>
      </c>
      <c r="AP626" s="1" t="str">
        <f>IF(OR($B626="",AP$7=""),"",IF($B626="MEANS",INDEX('1-DATA'!$1:$1048576,$A625-1,COLUMN('1-DATA'!AO624)),ROUND(INDEX('1-DATA'!$1:$1048576,IF(OR($B626="STD. DEVIATION",$C$1=1),$A626,$A626+1),COLUMN('1-DATA'!AO624)),IF($B626="STD. DEVIATION",2,$F$1))))</f>
        <v/>
      </c>
      <c r="AQ626" s="1" t="str">
        <f>IF(OR($B626="",AQ$7=""),"",IF($B626="MEANS",INDEX('1-DATA'!$1:$1048576,$A625-1,COLUMN('1-DATA'!AP624)),ROUND(INDEX('1-DATA'!$1:$1048576,IF(OR($B626="STD. DEVIATION",$C$1=1),$A626,$A626+1),COLUMN('1-DATA'!AP624)),IF($B626="STD. DEVIATION",2,$F$1))))</f>
        <v/>
      </c>
      <c r="AR626" s="1" t="str">
        <f>IF(OR($B626="",AR$7=""),"",IF($B626="MEANS",INDEX('1-DATA'!$1:$1048576,$A625-1,COLUMN('1-DATA'!AQ624)),ROUND(INDEX('1-DATA'!$1:$1048576,IF(OR($B626="STD. DEVIATION",$C$1=1),$A626,$A626+1),COLUMN('1-DATA'!AQ624)),IF($B626="STD. DEVIATION",2,$F$1))))</f>
        <v/>
      </c>
      <c r="AS626" s="1" t="str">
        <f>IF(OR($B626="",AS$7=""),"",IF($B626="MEANS",INDEX('1-DATA'!$1:$1048576,$A625-1,COLUMN('1-DATA'!AR624)),ROUND(INDEX('1-DATA'!$1:$1048576,IF(OR($B626="STD. DEVIATION",$C$1=1),$A626,$A626+1),COLUMN('1-DATA'!AR624)),IF($B626="STD. DEVIATION",2,$F$1))))</f>
        <v/>
      </c>
      <c r="AT626" s="1" t="str">
        <f>IF(OR($B626="",AT$7=""),"",IF($B626="MEANS",INDEX('1-DATA'!$1:$1048576,$A625-1,COLUMN('1-DATA'!AS624)),ROUND(INDEX('1-DATA'!$1:$1048576,IF(OR($B626="STD. DEVIATION",$C$1=1),$A626,$A626+1),COLUMN('1-DATA'!AS624)),IF($B626="STD. DEVIATION",2,$F$1))))</f>
        <v/>
      </c>
      <c r="AU626" s="1" t="str">
        <f>IF(OR($B626="",AU$7=""),"",IF($B626="MEANS",INDEX('1-DATA'!$1:$1048576,$A625-1,COLUMN('1-DATA'!AT624)),ROUND(INDEX('1-DATA'!$1:$1048576,IF(OR($B626="STD. DEVIATION",$C$1=1),$A626,$A626+1),COLUMN('1-DATA'!AT624)),IF($B626="STD. DEVIATION",2,$F$1))))</f>
        <v/>
      </c>
      <c r="AV626" s="1" t="str">
        <f>IF(OR($B626="",AV$7=""),"",IF($B626="MEANS",INDEX('1-DATA'!$1:$1048576,$A625-1,COLUMN('1-DATA'!AU624)),ROUND(INDEX('1-DATA'!$1:$1048576,IF(OR($B626="STD. DEVIATION",$C$1=1),$A626,$A626+1),COLUMN('1-DATA'!AU624)),IF($B626="STD. DEVIATION",2,$F$1))))</f>
        <v/>
      </c>
      <c r="AW626" s="1" t="str">
        <f>IF(OR($B626="",AW$7=""),"",IF($B626="MEANS",INDEX('1-DATA'!$1:$1048576,$A625-1,COLUMN('1-DATA'!AV624)),ROUND(INDEX('1-DATA'!$1:$1048576,IF(OR($B626="STD. DEVIATION",$C$1=1),$A626,$A626+1),COLUMN('1-DATA'!AV624)),IF($B626="STD. DEVIATION",2,$F$1))))</f>
        <v/>
      </c>
      <c r="AX626" s="1" t="str">
        <f>IF(OR($B626="",AX$7=""),"",IF($B626="MEANS",INDEX('1-DATA'!$1:$1048576,$A625-1,COLUMN('1-DATA'!AW624)),ROUND(INDEX('1-DATA'!$1:$1048576,IF(OR($B626="STD. DEVIATION",$C$1=1),$A626,$A626+1),COLUMN('1-DATA'!AW624)),IF($B626="STD. DEVIATION",2,$F$1))))</f>
        <v/>
      </c>
      <c r="AY626" s="1" t="str">
        <f>IF(OR($B626="",AY$7=""),"",IF($B626="MEANS",INDEX('1-DATA'!$1:$1048576,$A625-1,COLUMN('1-DATA'!AX624)),ROUND(INDEX('1-DATA'!$1:$1048576,IF(OR($B626="STD. DEVIATION",$C$1=1),$A626,$A626+1),COLUMN('1-DATA'!AX624)),IF($B626="STD. DEVIATION",2,$F$1))))</f>
        <v/>
      </c>
      <c r="AZ626" s="1" t="str">
        <f>IF(OR($B626="",AZ$7=""),"",IF($B626="MEANS",INDEX('1-DATA'!$1:$1048576,$A625-1,COLUMN('1-DATA'!AY624)),ROUND(INDEX('1-DATA'!$1:$1048576,IF(OR($B626="STD. DEVIATION",$C$1=1),$A626,$A626+1),COLUMN('1-DATA'!AY624)),IF($B626="STD. DEVIATION",2,$F$1))))</f>
        <v/>
      </c>
    </row>
    <row r="627" spans="1:52" x14ac:dyDescent="0.25">
      <c r="A627" s="11">
        <f t="shared" si="10"/>
        <v>1867</v>
      </c>
      <c r="B627" s="1" t="str">
        <f>IF(B626="STD. DEVIATION",INDEX('1-DATA'!$1:$1048576,$A626-1,1),IF(INDEX('1-DATA'!$1:$1048576,$A627,1)&lt;&gt;"",INDEX('1-DATA'!$1:$1048576,$A627,1),""))</f>
        <v/>
      </c>
      <c r="C627" s="1" t="str">
        <f>IF(OR($B627="",C$7=""),"",IF($B627="MEANS",INDEX('1-DATA'!$1:$1048576,$A626-1,COLUMN('1-DATA'!B625)),ROUND(INDEX('1-DATA'!$1:$1048576,IF(OR($B627="STD. DEVIATION",$C$1=1),$A627,$A627+1),COLUMN('1-DATA'!B625)),IF($B627="STD. DEVIATION",2,$F$1))))</f>
        <v/>
      </c>
      <c r="D627" s="1" t="str">
        <f>IF(OR($B627="",D$7=""),"",IF($B627="MEANS",INDEX('1-DATA'!$1:$1048576,$A626-1,COLUMN('1-DATA'!C625)),ROUND(INDEX('1-DATA'!$1:$1048576,IF(OR($B627="STD. DEVIATION",$C$1=1),$A627,$A627+1),COLUMN('1-DATA'!C625)),IF($B627="STD. DEVIATION",2,$F$1))))</f>
        <v/>
      </c>
      <c r="E627" s="1" t="str">
        <f>IF(OR($B627="",E$7=""),"",IF($B627="MEANS",INDEX('1-DATA'!$1:$1048576,$A626-1,COLUMN('1-DATA'!D625)),ROUND(INDEX('1-DATA'!$1:$1048576,IF(OR($B627="STD. DEVIATION",$C$1=1),$A627,$A627+1),COLUMN('1-DATA'!D625)),IF($B627="STD. DEVIATION",2,$F$1))))</f>
        <v/>
      </c>
      <c r="F627" s="1" t="str">
        <f>IF(OR($B627="",F$7=""),"",IF($B627="MEANS",INDEX('1-DATA'!$1:$1048576,$A626-1,COLUMN('1-DATA'!E625)),ROUND(INDEX('1-DATA'!$1:$1048576,IF(OR($B627="STD. DEVIATION",$C$1=1),$A627,$A627+1),COLUMN('1-DATA'!E625)),IF($B627="STD. DEVIATION",2,$F$1))))</f>
        <v/>
      </c>
      <c r="G627" s="1" t="str">
        <f>IF(OR($B627="",G$7=""),"",IF($B627="MEANS",INDEX('1-DATA'!$1:$1048576,$A626-1,COLUMN('1-DATA'!F625)),ROUND(INDEX('1-DATA'!$1:$1048576,IF(OR($B627="STD. DEVIATION",$C$1=1),$A627,$A627+1),COLUMN('1-DATA'!F625)),IF($B627="STD. DEVIATION",2,$F$1))))</f>
        <v/>
      </c>
      <c r="H627" s="1" t="str">
        <f>IF(OR($B627="",H$7=""),"",IF($B627="MEANS",INDEX('1-DATA'!$1:$1048576,$A626-1,COLUMN('1-DATA'!G625)),ROUND(INDEX('1-DATA'!$1:$1048576,IF(OR($B627="STD. DEVIATION",$C$1=1),$A627,$A627+1),COLUMN('1-DATA'!G625)),IF($B627="STD. DEVIATION",2,$F$1))))</f>
        <v/>
      </c>
      <c r="I627" s="1" t="str">
        <f>IF(OR($B627="",I$7=""),"",IF($B627="MEANS",INDEX('1-DATA'!$1:$1048576,$A626-1,COLUMN('1-DATA'!H625)),ROUND(INDEX('1-DATA'!$1:$1048576,IF(OR($B627="STD. DEVIATION",$C$1=1),$A627,$A627+1),COLUMN('1-DATA'!H625)),IF($B627="STD. DEVIATION",2,$F$1))))</f>
        <v/>
      </c>
      <c r="J627" s="1" t="str">
        <f>IF(OR($B627="",J$7=""),"",IF($B627="MEANS",INDEX('1-DATA'!$1:$1048576,$A626-1,COLUMN('1-DATA'!I625)),ROUND(INDEX('1-DATA'!$1:$1048576,IF(OR($B627="STD. DEVIATION",$C$1=1),$A627,$A627+1),COLUMN('1-DATA'!I625)),IF($B627="STD. DEVIATION",2,$F$1))))</f>
        <v/>
      </c>
      <c r="K627" s="1" t="str">
        <f>IF(OR($B627="",K$7=""),"",IF($B627="MEANS",INDEX('1-DATA'!$1:$1048576,$A626-1,COLUMN('1-DATA'!J625)),ROUND(INDEX('1-DATA'!$1:$1048576,IF(OR($B627="STD. DEVIATION",$C$1=1),$A627,$A627+1),COLUMN('1-DATA'!J625)),IF($B627="STD. DEVIATION",2,$F$1))))</f>
        <v/>
      </c>
      <c r="L627" s="1" t="str">
        <f>IF(OR($B627="",L$7=""),"",IF($B627="MEANS",INDEX('1-DATA'!$1:$1048576,$A626-1,COLUMN('1-DATA'!K625)),ROUND(INDEX('1-DATA'!$1:$1048576,IF(OR($B627="STD. DEVIATION",$C$1=1),$A627,$A627+1),COLUMN('1-DATA'!K625)),IF($B627="STD. DEVIATION",2,$F$1))))</f>
        <v/>
      </c>
      <c r="M627" s="1" t="str">
        <f>IF(OR($B627="",M$7=""),"",IF($B627="MEANS",INDEX('1-DATA'!$1:$1048576,$A626-1,COLUMN('1-DATA'!L625)),ROUND(INDEX('1-DATA'!$1:$1048576,IF(OR($B627="STD. DEVIATION",$C$1=1),$A627,$A627+1),COLUMN('1-DATA'!L625)),IF($B627="STD. DEVIATION",2,$F$1))))</f>
        <v/>
      </c>
      <c r="N627" s="1" t="str">
        <f>IF(OR($B627="",N$7=""),"",IF($B627="MEANS",INDEX('1-DATA'!$1:$1048576,$A626-1,COLUMN('1-DATA'!M625)),ROUND(INDEX('1-DATA'!$1:$1048576,IF(OR($B627="STD. DEVIATION",$C$1=1),$A627,$A627+1),COLUMN('1-DATA'!M625)),IF($B627="STD. DEVIATION",2,$F$1))))</f>
        <v/>
      </c>
      <c r="O627" s="1" t="str">
        <f>IF(OR($B627="",O$7=""),"",IF($B627="MEANS",INDEX('1-DATA'!$1:$1048576,$A626-1,COLUMN('1-DATA'!N625)),ROUND(INDEX('1-DATA'!$1:$1048576,IF(OR($B627="STD. DEVIATION",$C$1=1),$A627,$A627+1),COLUMN('1-DATA'!N625)),IF($B627="STD. DEVIATION",2,$F$1))))</f>
        <v/>
      </c>
      <c r="P627" s="1" t="str">
        <f>IF(OR($B627="",P$7=""),"",IF($B627="MEANS",INDEX('1-DATA'!$1:$1048576,$A626-1,COLUMN('1-DATA'!O625)),ROUND(INDEX('1-DATA'!$1:$1048576,IF(OR($B627="STD. DEVIATION",$C$1=1),$A627,$A627+1),COLUMN('1-DATA'!O625)),IF($B627="STD. DEVIATION",2,$F$1))))</f>
        <v/>
      </c>
      <c r="Q627" s="1" t="str">
        <f>IF(OR($B627="",Q$7=""),"",IF($B627="MEANS",INDEX('1-DATA'!$1:$1048576,$A626-1,COLUMN('1-DATA'!P625)),ROUND(INDEX('1-DATA'!$1:$1048576,IF(OR($B627="STD. DEVIATION",$C$1=1),$A627,$A627+1),COLUMN('1-DATA'!P625)),IF($B627="STD. DEVIATION",2,$F$1))))</f>
        <v/>
      </c>
      <c r="R627" s="1" t="str">
        <f>IF(OR($B627="",R$7=""),"",IF($B627="MEANS",INDEX('1-DATA'!$1:$1048576,$A626-1,COLUMN('1-DATA'!Q625)),ROUND(INDEX('1-DATA'!$1:$1048576,IF(OR($B627="STD. DEVIATION",$C$1=1),$A627,$A627+1),COLUMN('1-DATA'!Q625)),IF($B627="STD. DEVIATION",2,$F$1))))</f>
        <v/>
      </c>
      <c r="S627" s="1" t="str">
        <f>IF(OR($B627="",S$7=""),"",IF($B627="MEANS",INDEX('1-DATA'!$1:$1048576,$A626-1,COLUMN('1-DATA'!R625)),ROUND(INDEX('1-DATA'!$1:$1048576,IF(OR($B627="STD. DEVIATION",$C$1=1),$A627,$A627+1),COLUMN('1-DATA'!R625)),IF($B627="STD. DEVIATION",2,$F$1))))</f>
        <v/>
      </c>
      <c r="T627" s="1" t="str">
        <f>IF(OR($B627="",T$7=""),"",IF($B627="MEANS",INDEX('1-DATA'!$1:$1048576,$A626-1,COLUMN('1-DATA'!S625)),ROUND(INDEX('1-DATA'!$1:$1048576,IF(OR($B627="STD. DEVIATION",$C$1=1),$A627,$A627+1),COLUMN('1-DATA'!S625)),IF($B627="STD. DEVIATION",2,$F$1))))</f>
        <v/>
      </c>
      <c r="U627" s="1" t="str">
        <f>IF(OR($B627="",U$7=""),"",IF($B627="MEANS",INDEX('1-DATA'!$1:$1048576,$A626-1,COLUMN('1-DATA'!T625)),ROUND(INDEX('1-DATA'!$1:$1048576,IF(OR($B627="STD. DEVIATION",$C$1=1),$A627,$A627+1),COLUMN('1-DATA'!T625)),IF($B627="STD. DEVIATION",2,$F$1))))</f>
        <v/>
      </c>
      <c r="V627" s="1" t="str">
        <f>IF(OR($B627="",V$7=""),"",IF($B627="MEANS",INDEX('1-DATA'!$1:$1048576,$A626-1,COLUMN('1-DATA'!U625)),ROUND(INDEX('1-DATA'!$1:$1048576,IF(OR($B627="STD. DEVIATION",$C$1=1),$A627,$A627+1),COLUMN('1-DATA'!U625)),IF($B627="STD. DEVIATION",2,$F$1))))</f>
        <v/>
      </c>
      <c r="W627" s="1" t="str">
        <f>IF(OR($B627="",W$7=""),"",IF($B627="MEANS",INDEX('1-DATA'!$1:$1048576,$A626-1,COLUMN('1-DATA'!V625)),ROUND(INDEX('1-DATA'!$1:$1048576,IF(OR($B627="STD. DEVIATION",$C$1=1),$A627,$A627+1),COLUMN('1-DATA'!V625)),IF($B627="STD. DEVIATION",2,$F$1))))</f>
        <v/>
      </c>
      <c r="X627" s="1" t="str">
        <f>IF(OR($B627="",X$7=""),"",IF($B627="MEANS",INDEX('1-DATA'!$1:$1048576,$A626-1,COLUMN('1-DATA'!W625)),ROUND(INDEX('1-DATA'!$1:$1048576,IF(OR($B627="STD. DEVIATION",$C$1=1),$A627,$A627+1),COLUMN('1-DATA'!W625)),IF($B627="STD. DEVIATION",2,$F$1))))</f>
        <v/>
      </c>
      <c r="Y627" s="1" t="str">
        <f>IF(OR($B627="",Y$7=""),"",IF($B627="MEANS",INDEX('1-DATA'!$1:$1048576,$A626-1,COLUMN('1-DATA'!X625)),ROUND(INDEX('1-DATA'!$1:$1048576,IF(OR($B627="STD. DEVIATION",$C$1=1),$A627,$A627+1),COLUMN('1-DATA'!X625)),IF($B627="STD. DEVIATION",2,$F$1))))</f>
        <v/>
      </c>
      <c r="Z627" s="1" t="str">
        <f>IF(OR($B627="",Z$7=""),"",IF($B627="MEANS",INDEX('1-DATA'!$1:$1048576,$A626-1,COLUMN('1-DATA'!Y625)),ROUND(INDEX('1-DATA'!$1:$1048576,IF(OR($B627="STD. DEVIATION",$C$1=1),$A627,$A627+1),COLUMN('1-DATA'!Y625)),IF($B627="STD. DEVIATION",2,$F$1))))</f>
        <v/>
      </c>
      <c r="AA627" s="1" t="str">
        <f>IF(OR($B627="",AA$7=""),"",IF($B627="MEANS",INDEX('1-DATA'!$1:$1048576,$A626-1,COLUMN('1-DATA'!Z625)),ROUND(INDEX('1-DATA'!$1:$1048576,IF(OR($B627="STD. DEVIATION",$C$1=1),$A627,$A627+1),COLUMN('1-DATA'!Z625)),IF($B627="STD. DEVIATION",2,$F$1))))</f>
        <v/>
      </c>
      <c r="AB627" s="1" t="str">
        <f>IF(OR($B627="",AB$7=""),"",IF($B627="MEANS",INDEX('1-DATA'!$1:$1048576,$A626-1,COLUMN('1-DATA'!AA625)),ROUND(INDEX('1-DATA'!$1:$1048576,IF(OR($B627="STD. DEVIATION",$C$1=1),$A627,$A627+1),COLUMN('1-DATA'!AA625)),IF($B627="STD. DEVIATION",2,$F$1))))</f>
        <v/>
      </c>
      <c r="AC627" s="1" t="str">
        <f>IF(OR($B627="",AC$7=""),"",IF($B627="MEANS",INDEX('1-DATA'!$1:$1048576,$A626-1,COLUMN('1-DATA'!AB625)),ROUND(INDEX('1-DATA'!$1:$1048576,IF(OR($B627="STD. DEVIATION",$C$1=1),$A627,$A627+1),COLUMN('1-DATA'!AB625)),IF($B627="STD. DEVIATION",2,$F$1))))</f>
        <v/>
      </c>
      <c r="AD627" s="1" t="str">
        <f>IF(OR($B627="",AD$7=""),"",IF($B627="MEANS",INDEX('1-DATA'!$1:$1048576,$A626-1,COLUMN('1-DATA'!AC625)),ROUND(INDEX('1-DATA'!$1:$1048576,IF(OR($B627="STD. DEVIATION",$C$1=1),$A627,$A627+1),COLUMN('1-DATA'!AC625)),IF($B627="STD. DEVIATION",2,$F$1))))</f>
        <v/>
      </c>
      <c r="AE627" s="1" t="str">
        <f>IF(OR($B627="",AE$7=""),"",IF($B627="MEANS",INDEX('1-DATA'!$1:$1048576,$A626-1,COLUMN('1-DATA'!AD625)),ROUND(INDEX('1-DATA'!$1:$1048576,IF(OR($B627="STD. DEVIATION",$C$1=1),$A627,$A627+1),COLUMN('1-DATA'!AD625)),IF($B627="STD. DEVIATION",2,$F$1))))</f>
        <v/>
      </c>
      <c r="AF627" s="1" t="str">
        <f>IF(OR($B627="",AF$7=""),"",IF($B627="MEANS",INDEX('1-DATA'!$1:$1048576,$A626-1,COLUMN('1-DATA'!AE625)),ROUND(INDEX('1-DATA'!$1:$1048576,IF(OR($B627="STD. DEVIATION",$C$1=1),$A627,$A627+1),COLUMN('1-DATA'!AE625)),IF($B627="STD. DEVIATION",2,$F$1))))</f>
        <v/>
      </c>
      <c r="AG627" s="1" t="str">
        <f>IF(OR($B627="",AG$7=""),"",IF($B627="MEANS",INDEX('1-DATA'!$1:$1048576,$A626-1,COLUMN('1-DATA'!AF625)),ROUND(INDEX('1-DATA'!$1:$1048576,IF(OR($B627="STD. DEVIATION",$C$1=1),$A627,$A627+1),COLUMN('1-DATA'!AF625)),IF($B627="STD. DEVIATION",2,$F$1))))</f>
        <v/>
      </c>
      <c r="AH627" s="1" t="str">
        <f>IF(OR($B627="",AH$7=""),"",IF($B627="MEANS",INDEX('1-DATA'!$1:$1048576,$A626-1,COLUMN('1-DATA'!AG625)),ROUND(INDEX('1-DATA'!$1:$1048576,IF(OR($B627="STD. DEVIATION",$C$1=1),$A627,$A627+1),COLUMN('1-DATA'!AG625)),IF($B627="STD. DEVIATION",2,$F$1))))</f>
        <v/>
      </c>
      <c r="AI627" s="1" t="str">
        <f>IF(OR($B627="",AI$7=""),"",IF($B627="MEANS",INDEX('1-DATA'!$1:$1048576,$A626-1,COLUMN('1-DATA'!AH625)),ROUND(INDEX('1-DATA'!$1:$1048576,IF(OR($B627="STD. DEVIATION",$C$1=1),$A627,$A627+1),COLUMN('1-DATA'!AH625)),IF($B627="STD. DEVIATION",2,$F$1))))</f>
        <v/>
      </c>
      <c r="AJ627" s="1" t="str">
        <f>IF(OR($B627="",AJ$7=""),"",IF($B627="MEANS",INDEX('1-DATA'!$1:$1048576,$A626-1,COLUMN('1-DATA'!AI625)),ROUND(INDEX('1-DATA'!$1:$1048576,IF(OR($B627="STD. DEVIATION",$C$1=1),$A627,$A627+1),COLUMN('1-DATA'!AI625)),IF($B627="STD. DEVIATION",2,$F$1))))</f>
        <v/>
      </c>
      <c r="AK627" s="1" t="str">
        <f>IF(OR($B627="",AK$7=""),"",IF($B627="MEANS",INDEX('1-DATA'!$1:$1048576,$A626-1,COLUMN('1-DATA'!AJ625)),ROUND(INDEX('1-DATA'!$1:$1048576,IF(OR($B627="STD. DEVIATION",$C$1=1),$A627,$A627+1),COLUMN('1-DATA'!AJ625)),IF($B627="STD. DEVIATION",2,$F$1))))</f>
        <v/>
      </c>
      <c r="AL627" s="1" t="str">
        <f>IF(OR($B627="",AL$7=""),"",IF($B627="MEANS",INDEX('1-DATA'!$1:$1048576,$A626-1,COLUMN('1-DATA'!AK625)),ROUND(INDEX('1-DATA'!$1:$1048576,IF(OR($B627="STD. DEVIATION",$C$1=1),$A627,$A627+1),COLUMN('1-DATA'!AK625)),IF($B627="STD. DEVIATION",2,$F$1))))</f>
        <v/>
      </c>
      <c r="AM627" s="1" t="str">
        <f>IF(OR($B627="",AM$7=""),"",IF($B627="MEANS",INDEX('1-DATA'!$1:$1048576,$A626-1,COLUMN('1-DATA'!AL625)),ROUND(INDEX('1-DATA'!$1:$1048576,IF(OR($B627="STD. DEVIATION",$C$1=1),$A627,$A627+1),COLUMN('1-DATA'!AL625)),IF($B627="STD. DEVIATION",2,$F$1))))</f>
        <v/>
      </c>
      <c r="AN627" s="1" t="str">
        <f>IF(OR($B627="",AN$7=""),"",IF($B627="MEANS",INDEX('1-DATA'!$1:$1048576,$A626-1,COLUMN('1-DATA'!AM625)),ROUND(INDEX('1-DATA'!$1:$1048576,IF(OR($B627="STD. DEVIATION",$C$1=1),$A627,$A627+1),COLUMN('1-DATA'!AM625)),IF($B627="STD. DEVIATION",2,$F$1))))</f>
        <v/>
      </c>
      <c r="AO627" s="1" t="str">
        <f>IF(OR($B627="",AO$7=""),"",IF($B627="MEANS",INDEX('1-DATA'!$1:$1048576,$A626-1,COLUMN('1-DATA'!AN625)),ROUND(INDEX('1-DATA'!$1:$1048576,IF(OR($B627="STD. DEVIATION",$C$1=1),$A627,$A627+1),COLUMN('1-DATA'!AN625)),IF($B627="STD. DEVIATION",2,$F$1))))</f>
        <v/>
      </c>
      <c r="AP627" s="1" t="str">
        <f>IF(OR($B627="",AP$7=""),"",IF($B627="MEANS",INDEX('1-DATA'!$1:$1048576,$A626-1,COLUMN('1-DATA'!AO625)),ROUND(INDEX('1-DATA'!$1:$1048576,IF(OR($B627="STD. DEVIATION",$C$1=1),$A627,$A627+1),COLUMN('1-DATA'!AO625)),IF($B627="STD. DEVIATION",2,$F$1))))</f>
        <v/>
      </c>
      <c r="AQ627" s="1" t="str">
        <f>IF(OR($B627="",AQ$7=""),"",IF($B627="MEANS",INDEX('1-DATA'!$1:$1048576,$A626-1,COLUMN('1-DATA'!AP625)),ROUND(INDEX('1-DATA'!$1:$1048576,IF(OR($B627="STD. DEVIATION",$C$1=1),$A627,$A627+1),COLUMN('1-DATA'!AP625)),IF($B627="STD. DEVIATION",2,$F$1))))</f>
        <v/>
      </c>
      <c r="AR627" s="1" t="str">
        <f>IF(OR($B627="",AR$7=""),"",IF($B627="MEANS",INDEX('1-DATA'!$1:$1048576,$A626-1,COLUMN('1-DATA'!AQ625)),ROUND(INDEX('1-DATA'!$1:$1048576,IF(OR($B627="STD. DEVIATION",$C$1=1),$A627,$A627+1),COLUMN('1-DATA'!AQ625)),IF($B627="STD. DEVIATION",2,$F$1))))</f>
        <v/>
      </c>
      <c r="AS627" s="1" t="str">
        <f>IF(OR($B627="",AS$7=""),"",IF($B627="MEANS",INDEX('1-DATA'!$1:$1048576,$A626-1,COLUMN('1-DATA'!AR625)),ROUND(INDEX('1-DATA'!$1:$1048576,IF(OR($B627="STD. DEVIATION",$C$1=1),$A627,$A627+1),COLUMN('1-DATA'!AR625)),IF($B627="STD. DEVIATION",2,$F$1))))</f>
        <v/>
      </c>
      <c r="AT627" s="1" t="str">
        <f>IF(OR($B627="",AT$7=""),"",IF($B627="MEANS",INDEX('1-DATA'!$1:$1048576,$A626-1,COLUMN('1-DATA'!AS625)),ROUND(INDEX('1-DATA'!$1:$1048576,IF(OR($B627="STD. DEVIATION",$C$1=1),$A627,$A627+1),COLUMN('1-DATA'!AS625)),IF($B627="STD. DEVIATION",2,$F$1))))</f>
        <v/>
      </c>
      <c r="AU627" s="1" t="str">
        <f>IF(OR($B627="",AU$7=""),"",IF($B627="MEANS",INDEX('1-DATA'!$1:$1048576,$A626-1,COLUMN('1-DATA'!AT625)),ROUND(INDEX('1-DATA'!$1:$1048576,IF(OR($B627="STD. DEVIATION",$C$1=1),$A627,$A627+1),COLUMN('1-DATA'!AT625)),IF($B627="STD. DEVIATION",2,$F$1))))</f>
        <v/>
      </c>
      <c r="AV627" s="1" t="str">
        <f>IF(OR($B627="",AV$7=""),"",IF($B627="MEANS",INDEX('1-DATA'!$1:$1048576,$A626-1,COLUMN('1-DATA'!AU625)),ROUND(INDEX('1-DATA'!$1:$1048576,IF(OR($B627="STD. DEVIATION",$C$1=1),$A627,$A627+1),COLUMN('1-DATA'!AU625)),IF($B627="STD. DEVIATION",2,$F$1))))</f>
        <v/>
      </c>
      <c r="AW627" s="1" t="str">
        <f>IF(OR($B627="",AW$7=""),"",IF($B627="MEANS",INDEX('1-DATA'!$1:$1048576,$A626-1,COLUMN('1-DATA'!AV625)),ROUND(INDEX('1-DATA'!$1:$1048576,IF(OR($B627="STD. DEVIATION",$C$1=1),$A627,$A627+1),COLUMN('1-DATA'!AV625)),IF($B627="STD. DEVIATION",2,$F$1))))</f>
        <v/>
      </c>
      <c r="AX627" s="1" t="str">
        <f>IF(OR($B627="",AX$7=""),"",IF($B627="MEANS",INDEX('1-DATA'!$1:$1048576,$A626-1,COLUMN('1-DATA'!AW625)),ROUND(INDEX('1-DATA'!$1:$1048576,IF(OR($B627="STD. DEVIATION",$C$1=1),$A627,$A627+1),COLUMN('1-DATA'!AW625)),IF($B627="STD. DEVIATION",2,$F$1))))</f>
        <v/>
      </c>
      <c r="AY627" s="1" t="str">
        <f>IF(OR($B627="",AY$7=""),"",IF($B627="MEANS",INDEX('1-DATA'!$1:$1048576,$A626-1,COLUMN('1-DATA'!AX625)),ROUND(INDEX('1-DATA'!$1:$1048576,IF(OR($B627="STD. DEVIATION",$C$1=1),$A627,$A627+1),COLUMN('1-DATA'!AX625)),IF($B627="STD. DEVIATION",2,$F$1))))</f>
        <v/>
      </c>
      <c r="AZ627" s="1" t="str">
        <f>IF(OR($B627="",AZ$7=""),"",IF($B627="MEANS",INDEX('1-DATA'!$1:$1048576,$A626-1,COLUMN('1-DATA'!AY625)),ROUND(INDEX('1-DATA'!$1:$1048576,IF(OR($B627="STD. DEVIATION",$C$1=1),$A627,$A627+1),COLUMN('1-DATA'!AY625)),IF($B627="STD. DEVIATION",2,$F$1))))</f>
        <v/>
      </c>
    </row>
    <row r="628" spans="1:52" x14ac:dyDescent="0.25">
      <c r="A628" s="11">
        <f t="shared" si="10"/>
        <v>1870</v>
      </c>
      <c r="B628" s="1" t="str">
        <f>IF(B627="STD. DEVIATION",INDEX('1-DATA'!$1:$1048576,$A627-1,1),IF(INDEX('1-DATA'!$1:$1048576,$A628,1)&lt;&gt;"",INDEX('1-DATA'!$1:$1048576,$A628,1),""))</f>
        <v/>
      </c>
      <c r="C628" s="1" t="str">
        <f>IF(OR($B628="",C$7=""),"",IF($B628="MEANS",INDEX('1-DATA'!$1:$1048576,$A627-1,COLUMN('1-DATA'!B626)),ROUND(INDEX('1-DATA'!$1:$1048576,IF(OR($B628="STD. DEVIATION",$C$1=1),$A628,$A628+1),COLUMN('1-DATA'!B626)),IF($B628="STD. DEVIATION",2,$F$1))))</f>
        <v/>
      </c>
      <c r="D628" s="1" t="str">
        <f>IF(OR($B628="",D$7=""),"",IF($B628="MEANS",INDEX('1-DATA'!$1:$1048576,$A627-1,COLUMN('1-DATA'!C626)),ROUND(INDEX('1-DATA'!$1:$1048576,IF(OR($B628="STD. DEVIATION",$C$1=1),$A628,$A628+1),COLUMN('1-DATA'!C626)),IF($B628="STD. DEVIATION",2,$F$1))))</f>
        <v/>
      </c>
      <c r="E628" s="1" t="str">
        <f>IF(OR($B628="",E$7=""),"",IF($B628="MEANS",INDEX('1-DATA'!$1:$1048576,$A627-1,COLUMN('1-DATA'!D626)),ROUND(INDEX('1-DATA'!$1:$1048576,IF(OR($B628="STD. DEVIATION",$C$1=1),$A628,$A628+1),COLUMN('1-DATA'!D626)),IF($B628="STD. DEVIATION",2,$F$1))))</f>
        <v/>
      </c>
      <c r="F628" s="1" t="str">
        <f>IF(OR($B628="",F$7=""),"",IF($B628="MEANS",INDEX('1-DATA'!$1:$1048576,$A627-1,COLUMN('1-DATA'!E626)),ROUND(INDEX('1-DATA'!$1:$1048576,IF(OR($B628="STD. DEVIATION",$C$1=1),$A628,$A628+1),COLUMN('1-DATA'!E626)),IF($B628="STD. DEVIATION",2,$F$1))))</f>
        <v/>
      </c>
      <c r="G628" s="1" t="str">
        <f>IF(OR($B628="",G$7=""),"",IF($B628="MEANS",INDEX('1-DATA'!$1:$1048576,$A627-1,COLUMN('1-DATA'!F626)),ROUND(INDEX('1-DATA'!$1:$1048576,IF(OR($B628="STD. DEVIATION",$C$1=1),$A628,$A628+1),COLUMN('1-DATA'!F626)),IF($B628="STD. DEVIATION",2,$F$1))))</f>
        <v/>
      </c>
      <c r="H628" s="1" t="str">
        <f>IF(OR($B628="",H$7=""),"",IF($B628="MEANS",INDEX('1-DATA'!$1:$1048576,$A627-1,COLUMN('1-DATA'!G626)),ROUND(INDEX('1-DATA'!$1:$1048576,IF(OR($B628="STD. DEVIATION",$C$1=1),$A628,$A628+1),COLUMN('1-DATA'!G626)),IF($B628="STD. DEVIATION",2,$F$1))))</f>
        <v/>
      </c>
      <c r="I628" s="1" t="str">
        <f>IF(OR($B628="",I$7=""),"",IF($B628="MEANS",INDEX('1-DATA'!$1:$1048576,$A627-1,COLUMN('1-DATA'!H626)),ROUND(INDEX('1-DATA'!$1:$1048576,IF(OR($B628="STD. DEVIATION",$C$1=1),$A628,$A628+1),COLUMN('1-DATA'!H626)),IF($B628="STD. DEVIATION",2,$F$1))))</f>
        <v/>
      </c>
      <c r="J628" s="1" t="str">
        <f>IF(OR($B628="",J$7=""),"",IF($B628="MEANS",INDEX('1-DATA'!$1:$1048576,$A627-1,COLUMN('1-DATA'!I626)),ROUND(INDEX('1-DATA'!$1:$1048576,IF(OR($B628="STD. DEVIATION",$C$1=1),$A628,$A628+1),COLUMN('1-DATA'!I626)),IF($B628="STD. DEVIATION",2,$F$1))))</f>
        <v/>
      </c>
      <c r="K628" s="1" t="str">
        <f>IF(OR($B628="",K$7=""),"",IF($B628="MEANS",INDEX('1-DATA'!$1:$1048576,$A627-1,COLUMN('1-DATA'!J626)),ROUND(INDEX('1-DATA'!$1:$1048576,IF(OR($B628="STD. DEVIATION",$C$1=1),$A628,$A628+1),COLUMN('1-DATA'!J626)),IF($B628="STD. DEVIATION",2,$F$1))))</f>
        <v/>
      </c>
      <c r="L628" s="1" t="str">
        <f>IF(OR($B628="",L$7=""),"",IF($B628="MEANS",INDEX('1-DATA'!$1:$1048576,$A627-1,COLUMN('1-DATA'!K626)),ROUND(INDEX('1-DATA'!$1:$1048576,IF(OR($B628="STD. DEVIATION",$C$1=1),$A628,$A628+1),COLUMN('1-DATA'!K626)),IF($B628="STD. DEVIATION",2,$F$1))))</f>
        <v/>
      </c>
      <c r="M628" s="1" t="str">
        <f>IF(OR($B628="",M$7=""),"",IF($B628="MEANS",INDEX('1-DATA'!$1:$1048576,$A627-1,COLUMN('1-DATA'!L626)),ROUND(INDEX('1-DATA'!$1:$1048576,IF(OR($B628="STD. DEVIATION",$C$1=1),$A628,$A628+1),COLUMN('1-DATA'!L626)),IF($B628="STD. DEVIATION",2,$F$1))))</f>
        <v/>
      </c>
      <c r="N628" s="1" t="str">
        <f>IF(OR($B628="",N$7=""),"",IF($B628="MEANS",INDEX('1-DATA'!$1:$1048576,$A627-1,COLUMN('1-DATA'!M626)),ROUND(INDEX('1-DATA'!$1:$1048576,IF(OR($B628="STD. DEVIATION",$C$1=1),$A628,$A628+1),COLUMN('1-DATA'!M626)),IF($B628="STD. DEVIATION",2,$F$1))))</f>
        <v/>
      </c>
      <c r="O628" s="1" t="str">
        <f>IF(OR($B628="",O$7=""),"",IF($B628="MEANS",INDEX('1-DATA'!$1:$1048576,$A627-1,COLUMN('1-DATA'!N626)),ROUND(INDEX('1-DATA'!$1:$1048576,IF(OR($B628="STD. DEVIATION",$C$1=1),$A628,$A628+1),COLUMN('1-DATA'!N626)),IF($B628="STD. DEVIATION",2,$F$1))))</f>
        <v/>
      </c>
      <c r="P628" s="1" t="str">
        <f>IF(OR($B628="",P$7=""),"",IF($B628="MEANS",INDEX('1-DATA'!$1:$1048576,$A627-1,COLUMN('1-DATA'!O626)),ROUND(INDEX('1-DATA'!$1:$1048576,IF(OR($B628="STD. DEVIATION",$C$1=1),$A628,$A628+1),COLUMN('1-DATA'!O626)),IF($B628="STD. DEVIATION",2,$F$1))))</f>
        <v/>
      </c>
      <c r="Q628" s="1" t="str">
        <f>IF(OR($B628="",Q$7=""),"",IF($B628="MEANS",INDEX('1-DATA'!$1:$1048576,$A627-1,COLUMN('1-DATA'!P626)),ROUND(INDEX('1-DATA'!$1:$1048576,IF(OR($B628="STD. DEVIATION",$C$1=1),$A628,$A628+1),COLUMN('1-DATA'!P626)),IF($B628="STD. DEVIATION",2,$F$1))))</f>
        <v/>
      </c>
      <c r="R628" s="1" t="str">
        <f>IF(OR($B628="",R$7=""),"",IF($B628="MEANS",INDEX('1-DATA'!$1:$1048576,$A627-1,COLUMN('1-DATA'!Q626)),ROUND(INDEX('1-DATA'!$1:$1048576,IF(OR($B628="STD. DEVIATION",$C$1=1),$A628,$A628+1),COLUMN('1-DATA'!Q626)),IF($B628="STD. DEVIATION",2,$F$1))))</f>
        <v/>
      </c>
      <c r="S628" s="1" t="str">
        <f>IF(OR($B628="",S$7=""),"",IF($B628="MEANS",INDEX('1-DATA'!$1:$1048576,$A627-1,COLUMN('1-DATA'!R626)),ROUND(INDEX('1-DATA'!$1:$1048576,IF(OR($B628="STD. DEVIATION",$C$1=1),$A628,$A628+1),COLUMN('1-DATA'!R626)),IF($B628="STD. DEVIATION",2,$F$1))))</f>
        <v/>
      </c>
      <c r="T628" s="1" t="str">
        <f>IF(OR($B628="",T$7=""),"",IF($B628="MEANS",INDEX('1-DATA'!$1:$1048576,$A627-1,COLUMN('1-DATA'!S626)),ROUND(INDEX('1-DATA'!$1:$1048576,IF(OR($B628="STD. DEVIATION",$C$1=1),$A628,$A628+1),COLUMN('1-DATA'!S626)),IF($B628="STD. DEVIATION",2,$F$1))))</f>
        <v/>
      </c>
      <c r="U628" s="1" t="str">
        <f>IF(OR($B628="",U$7=""),"",IF($B628="MEANS",INDEX('1-DATA'!$1:$1048576,$A627-1,COLUMN('1-DATA'!T626)),ROUND(INDEX('1-DATA'!$1:$1048576,IF(OR($B628="STD. DEVIATION",$C$1=1),$A628,$A628+1),COLUMN('1-DATA'!T626)),IF($B628="STD. DEVIATION",2,$F$1))))</f>
        <v/>
      </c>
      <c r="V628" s="1" t="str">
        <f>IF(OR($B628="",V$7=""),"",IF($B628="MEANS",INDEX('1-DATA'!$1:$1048576,$A627-1,COLUMN('1-DATA'!U626)),ROUND(INDEX('1-DATA'!$1:$1048576,IF(OR($B628="STD. DEVIATION",$C$1=1),$A628,$A628+1),COLUMN('1-DATA'!U626)),IF($B628="STD. DEVIATION",2,$F$1))))</f>
        <v/>
      </c>
      <c r="W628" s="1" t="str">
        <f>IF(OR($B628="",W$7=""),"",IF($B628="MEANS",INDEX('1-DATA'!$1:$1048576,$A627-1,COLUMN('1-DATA'!V626)),ROUND(INDEX('1-DATA'!$1:$1048576,IF(OR($B628="STD. DEVIATION",$C$1=1),$A628,$A628+1),COLUMN('1-DATA'!V626)),IF($B628="STD. DEVIATION",2,$F$1))))</f>
        <v/>
      </c>
      <c r="X628" s="1" t="str">
        <f>IF(OR($B628="",X$7=""),"",IF($B628="MEANS",INDEX('1-DATA'!$1:$1048576,$A627-1,COLUMN('1-DATA'!W626)),ROUND(INDEX('1-DATA'!$1:$1048576,IF(OR($B628="STD. DEVIATION",$C$1=1),$A628,$A628+1),COLUMN('1-DATA'!W626)),IF($B628="STD. DEVIATION",2,$F$1))))</f>
        <v/>
      </c>
      <c r="Y628" s="1" t="str">
        <f>IF(OR($B628="",Y$7=""),"",IF($B628="MEANS",INDEX('1-DATA'!$1:$1048576,$A627-1,COLUMN('1-DATA'!X626)),ROUND(INDEX('1-DATA'!$1:$1048576,IF(OR($B628="STD. DEVIATION",$C$1=1),$A628,$A628+1),COLUMN('1-DATA'!X626)),IF($B628="STD. DEVIATION",2,$F$1))))</f>
        <v/>
      </c>
      <c r="Z628" s="1" t="str">
        <f>IF(OR($B628="",Z$7=""),"",IF($B628="MEANS",INDEX('1-DATA'!$1:$1048576,$A627-1,COLUMN('1-DATA'!Y626)),ROUND(INDEX('1-DATA'!$1:$1048576,IF(OR($B628="STD. DEVIATION",$C$1=1),$A628,$A628+1),COLUMN('1-DATA'!Y626)),IF($B628="STD. DEVIATION",2,$F$1))))</f>
        <v/>
      </c>
      <c r="AA628" s="1" t="str">
        <f>IF(OR($B628="",AA$7=""),"",IF($B628="MEANS",INDEX('1-DATA'!$1:$1048576,$A627-1,COLUMN('1-DATA'!Z626)),ROUND(INDEX('1-DATA'!$1:$1048576,IF(OR($B628="STD. DEVIATION",$C$1=1),$A628,$A628+1),COLUMN('1-DATA'!Z626)),IF($B628="STD. DEVIATION",2,$F$1))))</f>
        <v/>
      </c>
      <c r="AB628" s="1" t="str">
        <f>IF(OR($B628="",AB$7=""),"",IF($B628="MEANS",INDEX('1-DATA'!$1:$1048576,$A627-1,COLUMN('1-DATA'!AA626)),ROUND(INDEX('1-DATA'!$1:$1048576,IF(OR($B628="STD. DEVIATION",$C$1=1),$A628,$A628+1),COLUMN('1-DATA'!AA626)),IF($B628="STD. DEVIATION",2,$F$1))))</f>
        <v/>
      </c>
      <c r="AC628" s="1" t="str">
        <f>IF(OR($B628="",AC$7=""),"",IF($B628="MEANS",INDEX('1-DATA'!$1:$1048576,$A627-1,COLUMN('1-DATA'!AB626)),ROUND(INDEX('1-DATA'!$1:$1048576,IF(OR($B628="STD. DEVIATION",$C$1=1),$A628,$A628+1),COLUMN('1-DATA'!AB626)),IF($B628="STD. DEVIATION",2,$F$1))))</f>
        <v/>
      </c>
      <c r="AD628" s="1" t="str">
        <f>IF(OR($B628="",AD$7=""),"",IF($B628="MEANS",INDEX('1-DATA'!$1:$1048576,$A627-1,COLUMN('1-DATA'!AC626)),ROUND(INDEX('1-DATA'!$1:$1048576,IF(OR($B628="STD. DEVIATION",$C$1=1),$A628,$A628+1),COLUMN('1-DATA'!AC626)),IF($B628="STD. DEVIATION",2,$F$1))))</f>
        <v/>
      </c>
      <c r="AE628" s="1" t="str">
        <f>IF(OR($B628="",AE$7=""),"",IF($B628="MEANS",INDEX('1-DATA'!$1:$1048576,$A627-1,COLUMN('1-DATA'!AD626)),ROUND(INDEX('1-DATA'!$1:$1048576,IF(OR($B628="STD. DEVIATION",$C$1=1),$A628,$A628+1),COLUMN('1-DATA'!AD626)),IF($B628="STD. DEVIATION",2,$F$1))))</f>
        <v/>
      </c>
      <c r="AF628" s="1" t="str">
        <f>IF(OR($B628="",AF$7=""),"",IF($B628="MEANS",INDEX('1-DATA'!$1:$1048576,$A627-1,COLUMN('1-DATA'!AE626)),ROUND(INDEX('1-DATA'!$1:$1048576,IF(OR($B628="STD. DEVIATION",$C$1=1),$A628,$A628+1),COLUMN('1-DATA'!AE626)),IF($B628="STD. DEVIATION",2,$F$1))))</f>
        <v/>
      </c>
      <c r="AG628" s="1" t="str">
        <f>IF(OR($B628="",AG$7=""),"",IF($B628="MEANS",INDEX('1-DATA'!$1:$1048576,$A627-1,COLUMN('1-DATA'!AF626)),ROUND(INDEX('1-DATA'!$1:$1048576,IF(OR($B628="STD. DEVIATION",$C$1=1),$A628,$A628+1),COLUMN('1-DATA'!AF626)),IF($B628="STD. DEVIATION",2,$F$1))))</f>
        <v/>
      </c>
      <c r="AH628" s="1" t="str">
        <f>IF(OR($B628="",AH$7=""),"",IF($B628="MEANS",INDEX('1-DATA'!$1:$1048576,$A627-1,COLUMN('1-DATA'!AG626)),ROUND(INDEX('1-DATA'!$1:$1048576,IF(OR($B628="STD. DEVIATION",$C$1=1),$A628,$A628+1),COLUMN('1-DATA'!AG626)),IF($B628="STD. DEVIATION",2,$F$1))))</f>
        <v/>
      </c>
      <c r="AI628" s="1" t="str">
        <f>IF(OR($B628="",AI$7=""),"",IF($B628="MEANS",INDEX('1-DATA'!$1:$1048576,$A627-1,COLUMN('1-DATA'!AH626)),ROUND(INDEX('1-DATA'!$1:$1048576,IF(OR($B628="STD. DEVIATION",$C$1=1),$A628,$A628+1),COLUMN('1-DATA'!AH626)),IF($B628="STD. DEVIATION",2,$F$1))))</f>
        <v/>
      </c>
      <c r="AJ628" s="1" t="str">
        <f>IF(OR($B628="",AJ$7=""),"",IF($B628="MEANS",INDEX('1-DATA'!$1:$1048576,$A627-1,COLUMN('1-DATA'!AI626)),ROUND(INDEX('1-DATA'!$1:$1048576,IF(OR($B628="STD. DEVIATION",$C$1=1),$A628,$A628+1),COLUMN('1-DATA'!AI626)),IF($B628="STD. DEVIATION",2,$F$1))))</f>
        <v/>
      </c>
      <c r="AK628" s="1" t="str">
        <f>IF(OR($B628="",AK$7=""),"",IF($B628="MEANS",INDEX('1-DATA'!$1:$1048576,$A627-1,COLUMN('1-DATA'!AJ626)),ROUND(INDEX('1-DATA'!$1:$1048576,IF(OR($B628="STD. DEVIATION",$C$1=1),$A628,$A628+1),COLUMN('1-DATA'!AJ626)),IF($B628="STD. DEVIATION",2,$F$1))))</f>
        <v/>
      </c>
      <c r="AL628" s="1" t="str">
        <f>IF(OR($B628="",AL$7=""),"",IF($B628="MEANS",INDEX('1-DATA'!$1:$1048576,$A627-1,COLUMN('1-DATA'!AK626)),ROUND(INDEX('1-DATA'!$1:$1048576,IF(OR($B628="STD. DEVIATION",$C$1=1),$A628,$A628+1),COLUMN('1-DATA'!AK626)),IF($B628="STD. DEVIATION",2,$F$1))))</f>
        <v/>
      </c>
      <c r="AM628" s="1" t="str">
        <f>IF(OR($B628="",AM$7=""),"",IF($B628="MEANS",INDEX('1-DATA'!$1:$1048576,$A627-1,COLUMN('1-DATA'!AL626)),ROUND(INDEX('1-DATA'!$1:$1048576,IF(OR($B628="STD. DEVIATION",$C$1=1),$A628,$A628+1),COLUMN('1-DATA'!AL626)),IF($B628="STD. DEVIATION",2,$F$1))))</f>
        <v/>
      </c>
      <c r="AN628" s="1" t="str">
        <f>IF(OR($B628="",AN$7=""),"",IF($B628="MEANS",INDEX('1-DATA'!$1:$1048576,$A627-1,COLUMN('1-DATA'!AM626)),ROUND(INDEX('1-DATA'!$1:$1048576,IF(OR($B628="STD. DEVIATION",$C$1=1),$A628,$A628+1),COLUMN('1-DATA'!AM626)),IF($B628="STD. DEVIATION",2,$F$1))))</f>
        <v/>
      </c>
      <c r="AO628" s="1" t="str">
        <f>IF(OR($B628="",AO$7=""),"",IF($B628="MEANS",INDEX('1-DATA'!$1:$1048576,$A627-1,COLUMN('1-DATA'!AN626)),ROUND(INDEX('1-DATA'!$1:$1048576,IF(OR($B628="STD. DEVIATION",$C$1=1),$A628,$A628+1),COLUMN('1-DATA'!AN626)),IF($B628="STD. DEVIATION",2,$F$1))))</f>
        <v/>
      </c>
      <c r="AP628" s="1" t="str">
        <f>IF(OR($B628="",AP$7=""),"",IF($B628="MEANS",INDEX('1-DATA'!$1:$1048576,$A627-1,COLUMN('1-DATA'!AO626)),ROUND(INDEX('1-DATA'!$1:$1048576,IF(OR($B628="STD. DEVIATION",$C$1=1),$A628,$A628+1),COLUMN('1-DATA'!AO626)),IF($B628="STD. DEVIATION",2,$F$1))))</f>
        <v/>
      </c>
      <c r="AQ628" s="1" t="str">
        <f>IF(OR($B628="",AQ$7=""),"",IF($B628="MEANS",INDEX('1-DATA'!$1:$1048576,$A627-1,COLUMN('1-DATA'!AP626)),ROUND(INDEX('1-DATA'!$1:$1048576,IF(OR($B628="STD. DEVIATION",$C$1=1),$A628,$A628+1),COLUMN('1-DATA'!AP626)),IF($B628="STD. DEVIATION",2,$F$1))))</f>
        <v/>
      </c>
      <c r="AR628" s="1" t="str">
        <f>IF(OR($B628="",AR$7=""),"",IF($B628="MEANS",INDEX('1-DATA'!$1:$1048576,$A627-1,COLUMN('1-DATA'!AQ626)),ROUND(INDEX('1-DATA'!$1:$1048576,IF(OR($B628="STD. DEVIATION",$C$1=1),$A628,$A628+1),COLUMN('1-DATA'!AQ626)),IF($B628="STD. DEVIATION",2,$F$1))))</f>
        <v/>
      </c>
      <c r="AS628" s="1" t="str">
        <f>IF(OR($B628="",AS$7=""),"",IF($B628="MEANS",INDEX('1-DATA'!$1:$1048576,$A627-1,COLUMN('1-DATA'!AR626)),ROUND(INDEX('1-DATA'!$1:$1048576,IF(OR($B628="STD. DEVIATION",$C$1=1),$A628,$A628+1),COLUMN('1-DATA'!AR626)),IF($B628="STD. DEVIATION",2,$F$1))))</f>
        <v/>
      </c>
      <c r="AT628" s="1" t="str">
        <f>IF(OR($B628="",AT$7=""),"",IF($B628="MEANS",INDEX('1-DATA'!$1:$1048576,$A627-1,COLUMN('1-DATA'!AS626)),ROUND(INDEX('1-DATA'!$1:$1048576,IF(OR($B628="STD. DEVIATION",$C$1=1),$A628,$A628+1),COLUMN('1-DATA'!AS626)),IF($B628="STD. DEVIATION",2,$F$1))))</f>
        <v/>
      </c>
      <c r="AU628" s="1" t="str">
        <f>IF(OR($B628="",AU$7=""),"",IF($B628="MEANS",INDEX('1-DATA'!$1:$1048576,$A627-1,COLUMN('1-DATA'!AT626)),ROUND(INDEX('1-DATA'!$1:$1048576,IF(OR($B628="STD. DEVIATION",$C$1=1),$A628,$A628+1),COLUMN('1-DATA'!AT626)),IF($B628="STD. DEVIATION",2,$F$1))))</f>
        <v/>
      </c>
      <c r="AV628" s="1" t="str">
        <f>IF(OR($B628="",AV$7=""),"",IF($B628="MEANS",INDEX('1-DATA'!$1:$1048576,$A627-1,COLUMN('1-DATA'!AU626)),ROUND(INDEX('1-DATA'!$1:$1048576,IF(OR($B628="STD. DEVIATION",$C$1=1),$A628,$A628+1),COLUMN('1-DATA'!AU626)),IF($B628="STD. DEVIATION",2,$F$1))))</f>
        <v/>
      </c>
      <c r="AW628" s="1" t="str">
        <f>IF(OR($B628="",AW$7=""),"",IF($B628="MEANS",INDEX('1-DATA'!$1:$1048576,$A627-1,COLUMN('1-DATA'!AV626)),ROUND(INDEX('1-DATA'!$1:$1048576,IF(OR($B628="STD. DEVIATION",$C$1=1),$A628,$A628+1),COLUMN('1-DATA'!AV626)),IF($B628="STD. DEVIATION",2,$F$1))))</f>
        <v/>
      </c>
      <c r="AX628" s="1" t="str">
        <f>IF(OR($B628="",AX$7=""),"",IF($B628="MEANS",INDEX('1-DATA'!$1:$1048576,$A627-1,COLUMN('1-DATA'!AW626)),ROUND(INDEX('1-DATA'!$1:$1048576,IF(OR($B628="STD. DEVIATION",$C$1=1),$A628,$A628+1),COLUMN('1-DATA'!AW626)),IF($B628="STD. DEVIATION",2,$F$1))))</f>
        <v/>
      </c>
      <c r="AY628" s="1" t="str">
        <f>IF(OR($B628="",AY$7=""),"",IF($B628="MEANS",INDEX('1-DATA'!$1:$1048576,$A627-1,COLUMN('1-DATA'!AX626)),ROUND(INDEX('1-DATA'!$1:$1048576,IF(OR($B628="STD. DEVIATION",$C$1=1),$A628,$A628+1),COLUMN('1-DATA'!AX626)),IF($B628="STD. DEVIATION",2,$F$1))))</f>
        <v/>
      </c>
      <c r="AZ628" s="1" t="str">
        <f>IF(OR($B628="",AZ$7=""),"",IF($B628="MEANS",INDEX('1-DATA'!$1:$1048576,$A627-1,COLUMN('1-DATA'!AY626)),ROUND(INDEX('1-DATA'!$1:$1048576,IF(OR($B628="STD. DEVIATION",$C$1=1),$A628,$A628+1),COLUMN('1-DATA'!AY626)),IF($B628="STD. DEVIATION",2,$F$1))))</f>
        <v/>
      </c>
    </row>
    <row r="629" spans="1:52" x14ac:dyDescent="0.25">
      <c r="A629" s="11">
        <f t="shared" si="10"/>
        <v>1873</v>
      </c>
      <c r="B629" s="1" t="str">
        <f>IF(B628="STD. DEVIATION",INDEX('1-DATA'!$1:$1048576,$A628-1,1),IF(INDEX('1-DATA'!$1:$1048576,$A629,1)&lt;&gt;"",INDEX('1-DATA'!$1:$1048576,$A629,1),""))</f>
        <v/>
      </c>
      <c r="C629" s="1" t="str">
        <f>IF(OR($B629="",C$7=""),"",IF($B629="MEANS",INDEX('1-DATA'!$1:$1048576,$A628-1,COLUMN('1-DATA'!B627)),ROUND(INDEX('1-DATA'!$1:$1048576,IF(OR($B629="STD. DEVIATION",$C$1=1),$A629,$A629+1),COLUMN('1-DATA'!B627)),IF($B629="STD. DEVIATION",2,$F$1))))</f>
        <v/>
      </c>
      <c r="D629" s="1" t="str">
        <f>IF(OR($B629="",D$7=""),"",IF($B629="MEANS",INDEX('1-DATA'!$1:$1048576,$A628-1,COLUMN('1-DATA'!C627)),ROUND(INDEX('1-DATA'!$1:$1048576,IF(OR($B629="STD. DEVIATION",$C$1=1),$A629,$A629+1),COLUMN('1-DATA'!C627)),IF($B629="STD. DEVIATION",2,$F$1))))</f>
        <v/>
      </c>
      <c r="E629" s="1" t="str">
        <f>IF(OR($B629="",E$7=""),"",IF($B629="MEANS",INDEX('1-DATA'!$1:$1048576,$A628-1,COLUMN('1-DATA'!D627)),ROUND(INDEX('1-DATA'!$1:$1048576,IF(OR($B629="STD. DEVIATION",$C$1=1),$A629,$A629+1),COLUMN('1-DATA'!D627)),IF($B629="STD. DEVIATION",2,$F$1))))</f>
        <v/>
      </c>
      <c r="F629" s="1" t="str">
        <f>IF(OR($B629="",F$7=""),"",IF($B629="MEANS",INDEX('1-DATA'!$1:$1048576,$A628-1,COLUMN('1-DATA'!E627)),ROUND(INDEX('1-DATA'!$1:$1048576,IF(OR($B629="STD. DEVIATION",$C$1=1),$A629,$A629+1),COLUMN('1-DATA'!E627)),IF($B629="STD. DEVIATION",2,$F$1))))</f>
        <v/>
      </c>
      <c r="G629" s="1" t="str">
        <f>IF(OR($B629="",G$7=""),"",IF($B629="MEANS",INDEX('1-DATA'!$1:$1048576,$A628-1,COLUMN('1-DATA'!F627)),ROUND(INDEX('1-DATA'!$1:$1048576,IF(OR($B629="STD. DEVIATION",$C$1=1),$A629,$A629+1),COLUMN('1-DATA'!F627)),IF($B629="STD. DEVIATION",2,$F$1))))</f>
        <v/>
      </c>
      <c r="H629" s="1" t="str">
        <f>IF(OR($B629="",H$7=""),"",IF($B629="MEANS",INDEX('1-DATA'!$1:$1048576,$A628-1,COLUMN('1-DATA'!G627)),ROUND(INDEX('1-DATA'!$1:$1048576,IF(OR($B629="STD. DEVIATION",$C$1=1),$A629,$A629+1),COLUMN('1-DATA'!G627)),IF($B629="STD. DEVIATION",2,$F$1))))</f>
        <v/>
      </c>
      <c r="I629" s="1" t="str">
        <f>IF(OR($B629="",I$7=""),"",IF($B629="MEANS",INDEX('1-DATA'!$1:$1048576,$A628-1,COLUMN('1-DATA'!H627)),ROUND(INDEX('1-DATA'!$1:$1048576,IF(OR($B629="STD. DEVIATION",$C$1=1),$A629,$A629+1),COLUMN('1-DATA'!H627)),IF($B629="STD. DEVIATION",2,$F$1))))</f>
        <v/>
      </c>
      <c r="J629" s="1" t="str">
        <f>IF(OR($B629="",J$7=""),"",IF($B629="MEANS",INDEX('1-DATA'!$1:$1048576,$A628-1,COLUMN('1-DATA'!I627)),ROUND(INDEX('1-DATA'!$1:$1048576,IF(OR($B629="STD. DEVIATION",$C$1=1),$A629,$A629+1),COLUMN('1-DATA'!I627)),IF($B629="STD. DEVIATION",2,$F$1))))</f>
        <v/>
      </c>
      <c r="K629" s="1" t="str">
        <f>IF(OR($B629="",K$7=""),"",IF($B629="MEANS",INDEX('1-DATA'!$1:$1048576,$A628-1,COLUMN('1-DATA'!J627)),ROUND(INDEX('1-DATA'!$1:$1048576,IF(OR($B629="STD. DEVIATION",$C$1=1),$A629,$A629+1),COLUMN('1-DATA'!J627)),IF($B629="STD. DEVIATION",2,$F$1))))</f>
        <v/>
      </c>
      <c r="L629" s="1" t="str">
        <f>IF(OR($B629="",L$7=""),"",IF($B629="MEANS",INDEX('1-DATA'!$1:$1048576,$A628-1,COLUMN('1-DATA'!K627)),ROUND(INDEX('1-DATA'!$1:$1048576,IF(OR($B629="STD. DEVIATION",$C$1=1),$A629,$A629+1),COLUMN('1-DATA'!K627)),IF($B629="STD. DEVIATION",2,$F$1))))</f>
        <v/>
      </c>
      <c r="M629" s="1" t="str">
        <f>IF(OR($B629="",M$7=""),"",IF($B629="MEANS",INDEX('1-DATA'!$1:$1048576,$A628-1,COLUMN('1-DATA'!L627)),ROUND(INDEX('1-DATA'!$1:$1048576,IF(OR($B629="STD. DEVIATION",$C$1=1),$A629,$A629+1),COLUMN('1-DATA'!L627)),IF($B629="STD. DEVIATION",2,$F$1))))</f>
        <v/>
      </c>
      <c r="N629" s="1" t="str">
        <f>IF(OR($B629="",N$7=""),"",IF($B629="MEANS",INDEX('1-DATA'!$1:$1048576,$A628-1,COLUMN('1-DATA'!M627)),ROUND(INDEX('1-DATA'!$1:$1048576,IF(OR($B629="STD. DEVIATION",$C$1=1),$A629,$A629+1),COLUMN('1-DATA'!M627)),IF($B629="STD. DEVIATION",2,$F$1))))</f>
        <v/>
      </c>
      <c r="O629" s="1" t="str">
        <f>IF(OR($B629="",O$7=""),"",IF($B629="MEANS",INDEX('1-DATA'!$1:$1048576,$A628-1,COLUMN('1-DATA'!N627)),ROUND(INDEX('1-DATA'!$1:$1048576,IF(OR($B629="STD. DEVIATION",$C$1=1),$A629,$A629+1),COLUMN('1-DATA'!N627)),IF($B629="STD. DEVIATION",2,$F$1))))</f>
        <v/>
      </c>
      <c r="P629" s="1" t="str">
        <f>IF(OR($B629="",P$7=""),"",IF($B629="MEANS",INDEX('1-DATA'!$1:$1048576,$A628-1,COLUMN('1-DATA'!O627)),ROUND(INDEX('1-DATA'!$1:$1048576,IF(OR($B629="STD. DEVIATION",$C$1=1),$A629,$A629+1),COLUMN('1-DATA'!O627)),IF($B629="STD. DEVIATION",2,$F$1))))</f>
        <v/>
      </c>
      <c r="Q629" s="1" t="str">
        <f>IF(OR($B629="",Q$7=""),"",IF($B629="MEANS",INDEX('1-DATA'!$1:$1048576,$A628-1,COLUMN('1-DATA'!P627)),ROUND(INDEX('1-DATA'!$1:$1048576,IF(OR($B629="STD. DEVIATION",$C$1=1),$A629,$A629+1),COLUMN('1-DATA'!P627)),IF($B629="STD. DEVIATION",2,$F$1))))</f>
        <v/>
      </c>
      <c r="R629" s="1" t="str">
        <f>IF(OR($B629="",R$7=""),"",IF($B629="MEANS",INDEX('1-DATA'!$1:$1048576,$A628-1,COLUMN('1-DATA'!Q627)),ROUND(INDEX('1-DATA'!$1:$1048576,IF(OR($B629="STD. DEVIATION",$C$1=1),$A629,$A629+1),COLUMN('1-DATA'!Q627)),IF($B629="STD. DEVIATION",2,$F$1))))</f>
        <v/>
      </c>
      <c r="S629" s="1" t="str">
        <f>IF(OR($B629="",S$7=""),"",IF($B629="MEANS",INDEX('1-DATA'!$1:$1048576,$A628-1,COLUMN('1-DATA'!R627)),ROUND(INDEX('1-DATA'!$1:$1048576,IF(OR($B629="STD. DEVIATION",$C$1=1),$A629,$A629+1),COLUMN('1-DATA'!R627)),IF($B629="STD. DEVIATION",2,$F$1))))</f>
        <v/>
      </c>
      <c r="T629" s="1" t="str">
        <f>IF(OR($B629="",T$7=""),"",IF($B629="MEANS",INDEX('1-DATA'!$1:$1048576,$A628-1,COLUMN('1-DATA'!S627)),ROUND(INDEX('1-DATA'!$1:$1048576,IF(OR($B629="STD. DEVIATION",$C$1=1),$A629,$A629+1),COLUMN('1-DATA'!S627)),IF($B629="STD. DEVIATION",2,$F$1))))</f>
        <v/>
      </c>
      <c r="U629" s="1" t="str">
        <f>IF(OR($B629="",U$7=""),"",IF($B629="MEANS",INDEX('1-DATA'!$1:$1048576,$A628-1,COLUMN('1-DATA'!T627)),ROUND(INDEX('1-DATA'!$1:$1048576,IF(OR($B629="STD. DEVIATION",$C$1=1),$A629,$A629+1),COLUMN('1-DATA'!T627)),IF($B629="STD. DEVIATION",2,$F$1))))</f>
        <v/>
      </c>
      <c r="V629" s="1" t="str">
        <f>IF(OR($B629="",V$7=""),"",IF($B629="MEANS",INDEX('1-DATA'!$1:$1048576,$A628-1,COLUMN('1-DATA'!U627)),ROUND(INDEX('1-DATA'!$1:$1048576,IF(OR($B629="STD. DEVIATION",$C$1=1),$A629,$A629+1),COLUMN('1-DATA'!U627)),IF($B629="STD. DEVIATION",2,$F$1))))</f>
        <v/>
      </c>
      <c r="W629" s="1" t="str">
        <f>IF(OR($B629="",W$7=""),"",IF($B629="MEANS",INDEX('1-DATA'!$1:$1048576,$A628-1,COLUMN('1-DATA'!V627)),ROUND(INDEX('1-DATA'!$1:$1048576,IF(OR($B629="STD. DEVIATION",$C$1=1),$A629,$A629+1),COLUMN('1-DATA'!V627)),IF($B629="STD. DEVIATION",2,$F$1))))</f>
        <v/>
      </c>
      <c r="X629" s="1" t="str">
        <f>IF(OR($B629="",X$7=""),"",IF($B629="MEANS",INDEX('1-DATA'!$1:$1048576,$A628-1,COLUMN('1-DATA'!W627)),ROUND(INDEX('1-DATA'!$1:$1048576,IF(OR($B629="STD. DEVIATION",$C$1=1),$A629,$A629+1),COLUMN('1-DATA'!W627)),IF($B629="STD. DEVIATION",2,$F$1))))</f>
        <v/>
      </c>
      <c r="Y629" s="1" t="str">
        <f>IF(OR($B629="",Y$7=""),"",IF($B629="MEANS",INDEX('1-DATA'!$1:$1048576,$A628-1,COLUMN('1-DATA'!X627)),ROUND(INDEX('1-DATA'!$1:$1048576,IF(OR($B629="STD. DEVIATION",$C$1=1),$A629,$A629+1),COLUMN('1-DATA'!X627)),IF($B629="STD. DEVIATION",2,$F$1))))</f>
        <v/>
      </c>
      <c r="Z629" s="1" t="str">
        <f>IF(OR($B629="",Z$7=""),"",IF($B629="MEANS",INDEX('1-DATA'!$1:$1048576,$A628-1,COLUMN('1-DATA'!Y627)),ROUND(INDEX('1-DATA'!$1:$1048576,IF(OR($B629="STD. DEVIATION",$C$1=1),$A629,$A629+1),COLUMN('1-DATA'!Y627)),IF($B629="STD. DEVIATION",2,$F$1))))</f>
        <v/>
      </c>
      <c r="AA629" s="1" t="str">
        <f>IF(OR($B629="",AA$7=""),"",IF($B629="MEANS",INDEX('1-DATA'!$1:$1048576,$A628-1,COLUMN('1-DATA'!Z627)),ROUND(INDEX('1-DATA'!$1:$1048576,IF(OR($B629="STD. DEVIATION",$C$1=1),$A629,$A629+1),COLUMN('1-DATA'!Z627)),IF($B629="STD. DEVIATION",2,$F$1))))</f>
        <v/>
      </c>
      <c r="AB629" s="1" t="str">
        <f>IF(OR($B629="",AB$7=""),"",IF($B629="MEANS",INDEX('1-DATA'!$1:$1048576,$A628-1,COLUMN('1-DATA'!AA627)),ROUND(INDEX('1-DATA'!$1:$1048576,IF(OR($B629="STD. DEVIATION",$C$1=1),$A629,$A629+1),COLUMN('1-DATA'!AA627)),IF($B629="STD. DEVIATION",2,$F$1))))</f>
        <v/>
      </c>
      <c r="AC629" s="1" t="str">
        <f>IF(OR($B629="",AC$7=""),"",IF($B629="MEANS",INDEX('1-DATA'!$1:$1048576,$A628-1,COLUMN('1-DATA'!AB627)),ROUND(INDEX('1-DATA'!$1:$1048576,IF(OR($B629="STD. DEVIATION",$C$1=1),$A629,$A629+1),COLUMN('1-DATA'!AB627)),IF($B629="STD. DEVIATION",2,$F$1))))</f>
        <v/>
      </c>
      <c r="AD629" s="1" t="str">
        <f>IF(OR($B629="",AD$7=""),"",IF($B629="MEANS",INDEX('1-DATA'!$1:$1048576,$A628-1,COLUMN('1-DATA'!AC627)),ROUND(INDEX('1-DATA'!$1:$1048576,IF(OR($B629="STD. DEVIATION",$C$1=1),$A629,$A629+1),COLUMN('1-DATA'!AC627)),IF($B629="STD. DEVIATION",2,$F$1))))</f>
        <v/>
      </c>
      <c r="AE629" s="1" t="str">
        <f>IF(OR($B629="",AE$7=""),"",IF($B629="MEANS",INDEX('1-DATA'!$1:$1048576,$A628-1,COLUMN('1-DATA'!AD627)),ROUND(INDEX('1-DATA'!$1:$1048576,IF(OR($B629="STD. DEVIATION",$C$1=1),$A629,$A629+1),COLUMN('1-DATA'!AD627)),IF($B629="STD. DEVIATION",2,$F$1))))</f>
        <v/>
      </c>
      <c r="AF629" s="1" t="str">
        <f>IF(OR($B629="",AF$7=""),"",IF($B629="MEANS",INDEX('1-DATA'!$1:$1048576,$A628-1,COLUMN('1-DATA'!AE627)),ROUND(INDEX('1-DATA'!$1:$1048576,IF(OR($B629="STD. DEVIATION",$C$1=1),$A629,$A629+1),COLUMN('1-DATA'!AE627)),IF($B629="STD. DEVIATION",2,$F$1))))</f>
        <v/>
      </c>
      <c r="AG629" s="1" t="str">
        <f>IF(OR($B629="",AG$7=""),"",IF($B629="MEANS",INDEX('1-DATA'!$1:$1048576,$A628-1,COLUMN('1-DATA'!AF627)),ROUND(INDEX('1-DATA'!$1:$1048576,IF(OR($B629="STD. DEVIATION",$C$1=1),$A629,$A629+1),COLUMN('1-DATA'!AF627)),IF($B629="STD. DEVIATION",2,$F$1))))</f>
        <v/>
      </c>
      <c r="AH629" s="1" t="str">
        <f>IF(OR($B629="",AH$7=""),"",IF($B629="MEANS",INDEX('1-DATA'!$1:$1048576,$A628-1,COLUMN('1-DATA'!AG627)),ROUND(INDEX('1-DATA'!$1:$1048576,IF(OR($B629="STD. DEVIATION",$C$1=1),$A629,$A629+1),COLUMN('1-DATA'!AG627)),IF($B629="STD. DEVIATION",2,$F$1))))</f>
        <v/>
      </c>
      <c r="AI629" s="1" t="str">
        <f>IF(OR($B629="",AI$7=""),"",IF($B629="MEANS",INDEX('1-DATA'!$1:$1048576,$A628-1,COLUMN('1-DATA'!AH627)),ROUND(INDEX('1-DATA'!$1:$1048576,IF(OR($B629="STD. DEVIATION",$C$1=1),$A629,$A629+1),COLUMN('1-DATA'!AH627)),IF($B629="STD. DEVIATION",2,$F$1))))</f>
        <v/>
      </c>
      <c r="AJ629" s="1" t="str">
        <f>IF(OR($B629="",AJ$7=""),"",IF($B629="MEANS",INDEX('1-DATA'!$1:$1048576,$A628-1,COLUMN('1-DATA'!AI627)),ROUND(INDEX('1-DATA'!$1:$1048576,IF(OR($B629="STD. DEVIATION",$C$1=1),$A629,$A629+1),COLUMN('1-DATA'!AI627)),IF($B629="STD. DEVIATION",2,$F$1))))</f>
        <v/>
      </c>
      <c r="AK629" s="1" t="str">
        <f>IF(OR($B629="",AK$7=""),"",IF($B629="MEANS",INDEX('1-DATA'!$1:$1048576,$A628-1,COLUMN('1-DATA'!AJ627)),ROUND(INDEX('1-DATA'!$1:$1048576,IF(OR($B629="STD. DEVIATION",$C$1=1),$A629,$A629+1),COLUMN('1-DATA'!AJ627)),IF($B629="STD. DEVIATION",2,$F$1))))</f>
        <v/>
      </c>
      <c r="AL629" s="1" t="str">
        <f>IF(OR($B629="",AL$7=""),"",IF($B629="MEANS",INDEX('1-DATA'!$1:$1048576,$A628-1,COLUMN('1-DATA'!AK627)),ROUND(INDEX('1-DATA'!$1:$1048576,IF(OR($B629="STD. DEVIATION",$C$1=1),$A629,$A629+1),COLUMN('1-DATA'!AK627)),IF($B629="STD. DEVIATION",2,$F$1))))</f>
        <v/>
      </c>
      <c r="AM629" s="1" t="str">
        <f>IF(OR($B629="",AM$7=""),"",IF($B629="MEANS",INDEX('1-DATA'!$1:$1048576,$A628-1,COLUMN('1-DATA'!AL627)),ROUND(INDEX('1-DATA'!$1:$1048576,IF(OR($B629="STD. DEVIATION",$C$1=1),$A629,$A629+1),COLUMN('1-DATA'!AL627)),IF($B629="STD. DEVIATION",2,$F$1))))</f>
        <v/>
      </c>
      <c r="AN629" s="1" t="str">
        <f>IF(OR($B629="",AN$7=""),"",IF($B629="MEANS",INDEX('1-DATA'!$1:$1048576,$A628-1,COLUMN('1-DATA'!AM627)),ROUND(INDEX('1-DATA'!$1:$1048576,IF(OR($B629="STD. DEVIATION",$C$1=1),$A629,$A629+1),COLUMN('1-DATA'!AM627)),IF($B629="STD. DEVIATION",2,$F$1))))</f>
        <v/>
      </c>
      <c r="AO629" s="1" t="str">
        <f>IF(OR($B629="",AO$7=""),"",IF($B629="MEANS",INDEX('1-DATA'!$1:$1048576,$A628-1,COLUMN('1-DATA'!AN627)),ROUND(INDEX('1-DATA'!$1:$1048576,IF(OR($B629="STD. DEVIATION",$C$1=1),$A629,$A629+1),COLUMN('1-DATA'!AN627)),IF($B629="STD. DEVIATION",2,$F$1))))</f>
        <v/>
      </c>
      <c r="AP629" s="1" t="str">
        <f>IF(OR($B629="",AP$7=""),"",IF($B629="MEANS",INDEX('1-DATA'!$1:$1048576,$A628-1,COLUMN('1-DATA'!AO627)),ROUND(INDEX('1-DATA'!$1:$1048576,IF(OR($B629="STD. DEVIATION",$C$1=1),$A629,$A629+1),COLUMN('1-DATA'!AO627)),IF($B629="STD. DEVIATION",2,$F$1))))</f>
        <v/>
      </c>
      <c r="AQ629" s="1" t="str">
        <f>IF(OR($B629="",AQ$7=""),"",IF($B629="MEANS",INDEX('1-DATA'!$1:$1048576,$A628-1,COLUMN('1-DATA'!AP627)),ROUND(INDEX('1-DATA'!$1:$1048576,IF(OR($B629="STD. DEVIATION",$C$1=1),$A629,$A629+1),COLUMN('1-DATA'!AP627)),IF($B629="STD. DEVIATION",2,$F$1))))</f>
        <v/>
      </c>
      <c r="AR629" s="1" t="str">
        <f>IF(OR($B629="",AR$7=""),"",IF($B629="MEANS",INDEX('1-DATA'!$1:$1048576,$A628-1,COLUMN('1-DATA'!AQ627)),ROUND(INDEX('1-DATA'!$1:$1048576,IF(OR($B629="STD. DEVIATION",$C$1=1),$A629,$A629+1),COLUMN('1-DATA'!AQ627)),IF($B629="STD. DEVIATION",2,$F$1))))</f>
        <v/>
      </c>
      <c r="AS629" s="1" t="str">
        <f>IF(OR($B629="",AS$7=""),"",IF($B629="MEANS",INDEX('1-DATA'!$1:$1048576,$A628-1,COLUMN('1-DATA'!AR627)),ROUND(INDEX('1-DATA'!$1:$1048576,IF(OR($B629="STD. DEVIATION",$C$1=1),$A629,$A629+1),COLUMN('1-DATA'!AR627)),IF($B629="STD. DEVIATION",2,$F$1))))</f>
        <v/>
      </c>
      <c r="AT629" s="1" t="str">
        <f>IF(OR($B629="",AT$7=""),"",IF($B629="MEANS",INDEX('1-DATA'!$1:$1048576,$A628-1,COLUMN('1-DATA'!AS627)),ROUND(INDEX('1-DATA'!$1:$1048576,IF(OR($B629="STD. DEVIATION",$C$1=1),$A629,$A629+1),COLUMN('1-DATA'!AS627)),IF($B629="STD. DEVIATION",2,$F$1))))</f>
        <v/>
      </c>
      <c r="AU629" s="1" t="str">
        <f>IF(OR($B629="",AU$7=""),"",IF($B629="MEANS",INDEX('1-DATA'!$1:$1048576,$A628-1,COLUMN('1-DATA'!AT627)),ROUND(INDEX('1-DATA'!$1:$1048576,IF(OR($B629="STD. DEVIATION",$C$1=1),$A629,$A629+1),COLUMN('1-DATA'!AT627)),IF($B629="STD. DEVIATION",2,$F$1))))</f>
        <v/>
      </c>
      <c r="AV629" s="1" t="str">
        <f>IF(OR($B629="",AV$7=""),"",IF($B629="MEANS",INDEX('1-DATA'!$1:$1048576,$A628-1,COLUMN('1-DATA'!AU627)),ROUND(INDEX('1-DATA'!$1:$1048576,IF(OR($B629="STD. DEVIATION",$C$1=1),$A629,$A629+1),COLUMN('1-DATA'!AU627)),IF($B629="STD. DEVIATION",2,$F$1))))</f>
        <v/>
      </c>
      <c r="AW629" s="1" t="str">
        <f>IF(OR($B629="",AW$7=""),"",IF($B629="MEANS",INDEX('1-DATA'!$1:$1048576,$A628-1,COLUMN('1-DATA'!AV627)),ROUND(INDEX('1-DATA'!$1:$1048576,IF(OR($B629="STD. DEVIATION",$C$1=1),$A629,$A629+1),COLUMN('1-DATA'!AV627)),IF($B629="STD. DEVIATION",2,$F$1))))</f>
        <v/>
      </c>
      <c r="AX629" s="1" t="str">
        <f>IF(OR($B629="",AX$7=""),"",IF($B629="MEANS",INDEX('1-DATA'!$1:$1048576,$A628-1,COLUMN('1-DATA'!AW627)),ROUND(INDEX('1-DATA'!$1:$1048576,IF(OR($B629="STD. DEVIATION",$C$1=1),$A629,$A629+1),COLUMN('1-DATA'!AW627)),IF($B629="STD. DEVIATION",2,$F$1))))</f>
        <v/>
      </c>
      <c r="AY629" s="1" t="str">
        <f>IF(OR($B629="",AY$7=""),"",IF($B629="MEANS",INDEX('1-DATA'!$1:$1048576,$A628-1,COLUMN('1-DATA'!AX627)),ROUND(INDEX('1-DATA'!$1:$1048576,IF(OR($B629="STD. DEVIATION",$C$1=1),$A629,$A629+1),COLUMN('1-DATA'!AX627)),IF($B629="STD. DEVIATION",2,$F$1))))</f>
        <v/>
      </c>
      <c r="AZ629" s="1" t="str">
        <f>IF(OR($B629="",AZ$7=""),"",IF($B629="MEANS",INDEX('1-DATA'!$1:$1048576,$A628-1,COLUMN('1-DATA'!AY627)),ROUND(INDEX('1-DATA'!$1:$1048576,IF(OR($B629="STD. DEVIATION",$C$1=1),$A629,$A629+1),COLUMN('1-DATA'!AY627)),IF($B629="STD. DEVIATION",2,$F$1))))</f>
        <v/>
      </c>
    </row>
    <row r="630" spans="1:52" x14ac:dyDescent="0.25">
      <c r="A630" s="11">
        <f t="shared" si="10"/>
        <v>1876</v>
      </c>
      <c r="B630" s="1" t="str">
        <f>IF(B629="STD. DEVIATION",INDEX('1-DATA'!$1:$1048576,$A629-1,1),IF(INDEX('1-DATA'!$1:$1048576,$A630,1)&lt;&gt;"",INDEX('1-DATA'!$1:$1048576,$A630,1),""))</f>
        <v/>
      </c>
      <c r="C630" s="1" t="str">
        <f>IF(OR($B630="",C$7=""),"",IF($B630="MEANS",INDEX('1-DATA'!$1:$1048576,$A629-1,COLUMN('1-DATA'!B628)),ROUND(INDEX('1-DATA'!$1:$1048576,IF(OR($B630="STD. DEVIATION",$C$1=1),$A630,$A630+1),COLUMN('1-DATA'!B628)),IF($B630="STD. DEVIATION",2,$F$1))))</f>
        <v/>
      </c>
      <c r="D630" s="1" t="str">
        <f>IF(OR($B630="",D$7=""),"",IF($B630="MEANS",INDEX('1-DATA'!$1:$1048576,$A629-1,COLUMN('1-DATA'!C628)),ROUND(INDEX('1-DATA'!$1:$1048576,IF(OR($B630="STD. DEVIATION",$C$1=1),$A630,$A630+1),COLUMN('1-DATA'!C628)),IF($B630="STD. DEVIATION",2,$F$1))))</f>
        <v/>
      </c>
      <c r="E630" s="1" t="str">
        <f>IF(OR($B630="",E$7=""),"",IF($B630="MEANS",INDEX('1-DATA'!$1:$1048576,$A629-1,COLUMN('1-DATA'!D628)),ROUND(INDEX('1-DATA'!$1:$1048576,IF(OR($B630="STD. DEVIATION",$C$1=1),$A630,$A630+1),COLUMN('1-DATA'!D628)),IF($B630="STD. DEVIATION",2,$F$1))))</f>
        <v/>
      </c>
      <c r="F630" s="1" t="str">
        <f>IF(OR($B630="",F$7=""),"",IF($B630="MEANS",INDEX('1-DATA'!$1:$1048576,$A629-1,COLUMN('1-DATA'!E628)),ROUND(INDEX('1-DATA'!$1:$1048576,IF(OR($B630="STD. DEVIATION",$C$1=1),$A630,$A630+1),COLUMN('1-DATA'!E628)),IF($B630="STD. DEVIATION",2,$F$1))))</f>
        <v/>
      </c>
      <c r="G630" s="1" t="str">
        <f>IF(OR($B630="",G$7=""),"",IF($B630="MEANS",INDEX('1-DATA'!$1:$1048576,$A629-1,COLUMN('1-DATA'!F628)),ROUND(INDEX('1-DATA'!$1:$1048576,IF(OR($B630="STD. DEVIATION",$C$1=1),$A630,$A630+1),COLUMN('1-DATA'!F628)),IF($B630="STD. DEVIATION",2,$F$1))))</f>
        <v/>
      </c>
      <c r="H630" s="1" t="str">
        <f>IF(OR($B630="",H$7=""),"",IF($B630="MEANS",INDEX('1-DATA'!$1:$1048576,$A629-1,COLUMN('1-DATA'!G628)),ROUND(INDEX('1-DATA'!$1:$1048576,IF(OR($B630="STD. DEVIATION",$C$1=1),$A630,$A630+1),COLUMN('1-DATA'!G628)),IF($B630="STD. DEVIATION",2,$F$1))))</f>
        <v/>
      </c>
      <c r="I630" s="1" t="str">
        <f>IF(OR($B630="",I$7=""),"",IF($B630="MEANS",INDEX('1-DATA'!$1:$1048576,$A629-1,COLUMN('1-DATA'!H628)),ROUND(INDEX('1-DATA'!$1:$1048576,IF(OR($B630="STD. DEVIATION",$C$1=1),$A630,$A630+1),COLUMN('1-DATA'!H628)),IF($B630="STD. DEVIATION",2,$F$1))))</f>
        <v/>
      </c>
      <c r="J630" s="1" t="str">
        <f>IF(OR($B630="",J$7=""),"",IF($B630="MEANS",INDEX('1-DATA'!$1:$1048576,$A629-1,COLUMN('1-DATA'!I628)),ROUND(INDEX('1-DATA'!$1:$1048576,IF(OR($B630="STD. DEVIATION",$C$1=1),$A630,$A630+1),COLUMN('1-DATA'!I628)),IF($B630="STD. DEVIATION",2,$F$1))))</f>
        <v/>
      </c>
      <c r="K630" s="1" t="str">
        <f>IF(OR($B630="",K$7=""),"",IF($B630="MEANS",INDEX('1-DATA'!$1:$1048576,$A629-1,COLUMN('1-DATA'!J628)),ROUND(INDEX('1-DATA'!$1:$1048576,IF(OR($B630="STD. DEVIATION",$C$1=1),$A630,$A630+1),COLUMN('1-DATA'!J628)),IF($B630="STD. DEVIATION",2,$F$1))))</f>
        <v/>
      </c>
      <c r="L630" s="1" t="str">
        <f>IF(OR($B630="",L$7=""),"",IF($B630="MEANS",INDEX('1-DATA'!$1:$1048576,$A629-1,COLUMN('1-DATA'!K628)),ROUND(INDEX('1-DATA'!$1:$1048576,IF(OR($B630="STD. DEVIATION",$C$1=1),$A630,$A630+1),COLUMN('1-DATA'!K628)),IF($B630="STD. DEVIATION",2,$F$1))))</f>
        <v/>
      </c>
      <c r="M630" s="1" t="str">
        <f>IF(OR($B630="",M$7=""),"",IF($B630="MEANS",INDEX('1-DATA'!$1:$1048576,$A629-1,COLUMN('1-DATA'!L628)),ROUND(INDEX('1-DATA'!$1:$1048576,IF(OR($B630="STD. DEVIATION",$C$1=1),$A630,$A630+1),COLUMN('1-DATA'!L628)),IF($B630="STD. DEVIATION",2,$F$1))))</f>
        <v/>
      </c>
      <c r="N630" s="1" t="str">
        <f>IF(OR($B630="",N$7=""),"",IF($B630="MEANS",INDEX('1-DATA'!$1:$1048576,$A629-1,COLUMN('1-DATA'!M628)),ROUND(INDEX('1-DATA'!$1:$1048576,IF(OR($B630="STD. DEVIATION",$C$1=1),$A630,$A630+1),COLUMN('1-DATA'!M628)),IF($B630="STD. DEVIATION",2,$F$1))))</f>
        <v/>
      </c>
      <c r="O630" s="1" t="str">
        <f>IF(OR($B630="",O$7=""),"",IF($B630="MEANS",INDEX('1-DATA'!$1:$1048576,$A629-1,COLUMN('1-DATA'!N628)),ROUND(INDEX('1-DATA'!$1:$1048576,IF(OR($B630="STD. DEVIATION",$C$1=1),$A630,$A630+1),COLUMN('1-DATA'!N628)),IF($B630="STD. DEVIATION",2,$F$1))))</f>
        <v/>
      </c>
      <c r="P630" s="1" t="str">
        <f>IF(OR($B630="",P$7=""),"",IF($B630="MEANS",INDEX('1-DATA'!$1:$1048576,$A629-1,COLUMN('1-DATA'!O628)),ROUND(INDEX('1-DATA'!$1:$1048576,IF(OR($B630="STD. DEVIATION",$C$1=1),$A630,$A630+1),COLUMN('1-DATA'!O628)),IF($B630="STD. DEVIATION",2,$F$1))))</f>
        <v/>
      </c>
      <c r="Q630" s="1" t="str">
        <f>IF(OR($B630="",Q$7=""),"",IF($B630="MEANS",INDEX('1-DATA'!$1:$1048576,$A629-1,COLUMN('1-DATA'!P628)),ROUND(INDEX('1-DATA'!$1:$1048576,IF(OR($B630="STD. DEVIATION",$C$1=1),$A630,$A630+1),COLUMN('1-DATA'!P628)),IF($B630="STD. DEVIATION",2,$F$1))))</f>
        <v/>
      </c>
      <c r="R630" s="1" t="str">
        <f>IF(OR($B630="",R$7=""),"",IF($B630="MEANS",INDEX('1-DATA'!$1:$1048576,$A629-1,COLUMN('1-DATA'!Q628)),ROUND(INDEX('1-DATA'!$1:$1048576,IF(OR($B630="STD. DEVIATION",$C$1=1),$A630,$A630+1),COLUMN('1-DATA'!Q628)),IF($B630="STD. DEVIATION",2,$F$1))))</f>
        <v/>
      </c>
      <c r="S630" s="1" t="str">
        <f>IF(OR($B630="",S$7=""),"",IF($B630="MEANS",INDEX('1-DATA'!$1:$1048576,$A629-1,COLUMN('1-DATA'!R628)),ROUND(INDEX('1-DATA'!$1:$1048576,IF(OR($B630="STD. DEVIATION",$C$1=1),$A630,$A630+1),COLUMN('1-DATA'!R628)),IF($B630="STD. DEVIATION",2,$F$1))))</f>
        <v/>
      </c>
      <c r="T630" s="1" t="str">
        <f>IF(OR($B630="",T$7=""),"",IF($B630="MEANS",INDEX('1-DATA'!$1:$1048576,$A629-1,COLUMN('1-DATA'!S628)),ROUND(INDEX('1-DATA'!$1:$1048576,IF(OR($B630="STD. DEVIATION",$C$1=1),$A630,$A630+1),COLUMN('1-DATA'!S628)),IF($B630="STD. DEVIATION",2,$F$1))))</f>
        <v/>
      </c>
      <c r="U630" s="1" t="str">
        <f>IF(OR($B630="",U$7=""),"",IF($B630="MEANS",INDEX('1-DATA'!$1:$1048576,$A629-1,COLUMN('1-DATA'!T628)),ROUND(INDEX('1-DATA'!$1:$1048576,IF(OR($B630="STD. DEVIATION",$C$1=1),$A630,$A630+1),COLUMN('1-DATA'!T628)),IF($B630="STD. DEVIATION",2,$F$1))))</f>
        <v/>
      </c>
      <c r="V630" s="1" t="str">
        <f>IF(OR($B630="",V$7=""),"",IF($B630="MEANS",INDEX('1-DATA'!$1:$1048576,$A629-1,COLUMN('1-DATA'!U628)),ROUND(INDEX('1-DATA'!$1:$1048576,IF(OR($B630="STD. DEVIATION",$C$1=1),$A630,$A630+1),COLUMN('1-DATA'!U628)),IF($B630="STD. DEVIATION",2,$F$1))))</f>
        <v/>
      </c>
      <c r="W630" s="1" t="str">
        <f>IF(OR($B630="",W$7=""),"",IF($B630="MEANS",INDEX('1-DATA'!$1:$1048576,$A629-1,COLUMN('1-DATA'!V628)),ROUND(INDEX('1-DATA'!$1:$1048576,IF(OR($B630="STD. DEVIATION",$C$1=1),$A630,$A630+1),COLUMN('1-DATA'!V628)),IF($B630="STD. DEVIATION",2,$F$1))))</f>
        <v/>
      </c>
      <c r="X630" s="1" t="str">
        <f>IF(OR($B630="",X$7=""),"",IF($B630="MEANS",INDEX('1-DATA'!$1:$1048576,$A629-1,COLUMN('1-DATA'!W628)),ROUND(INDEX('1-DATA'!$1:$1048576,IF(OR($B630="STD. DEVIATION",$C$1=1),$A630,$A630+1),COLUMN('1-DATA'!W628)),IF($B630="STD. DEVIATION",2,$F$1))))</f>
        <v/>
      </c>
      <c r="Y630" s="1" t="str">
        <f>IF(OR($B630="",Y$7=""),"",IF($B630="MEANS",INDEX('1-DATA'!$1:$1048576,$A629-1,COLUMN('1-DATA'!X628)),ROUND(INDEX('1-DATA'!$1:$1048576,IF(OR($B630="STD. DEVIATION",$C$1=1),$A630,$A630+1),COLUMN('1-DATA'!X628)),IF($B630="STD. DEVIATION",2,$F$1))))</f>
        <v/>
      </c>
      <c r="Z630" s="1" t="str">
        <f>IF(OR($B630="",Z$7=""),"",IF($B630="MEANS",INDEX('1-DATA'!$1:$1048576,$A629-1,COLUMN('1-DATA'!Y628)),ROUND(INDEX('1-DATA'!$1:$1048576,IF(OR($B630="STD. DEVIATION",$C$1=1),$A630,$A630+1),COLUMN('1-DATA'!Y628)),IF($B630="STD. DEVIATION",2,$F$1))))</f>
        <v/>
      </c>
      <c r="AA630" s="1" t="str">
        <f>IF(OR($B630="",AA$7=""),"",IF($B630="MEANS",INDEX('1-DATA'!$1:$1048576,$A629-1,COLUMN('1-DATA'!Z628)),ROUND(INDEX('1-DATA'!$1:$1048576,IF(OR($B630="STD. DEVIATION",$C$1=1),$A630,$A630+1),COLUMN('1-DATA'!Z628)),IF($B630="STD. DEVIATION",2,$F$1))))</f>
        <v/>
      </c>
      <c r="AB630" s="1" t="str">
        <f>IF(OR($B630="",AB$7=""),"",IF($B630="MEANS",INDEX('1-DATA'!$1:$1048576,$A629-1,COLUMN('1-DATA'!AA628)),ROUND(INDEX('1-DATA'!$1:$1048576,IF(OR($B630="STD. DEVIATION",$C$1=1),$A630,$A630+1),COLUMN('1-DATA'!AA628)),IF($B630="STD. DEVIATION",2,$F$1))))</f>
        <v/>
      </c>
      <c r="AC630" s="1" t="str">
        <f>IF(OR($B630="",AC$7=""),"",IF($B630="MEANS",INDEX('1-DATA'!$1:$1048576,$A629-1,COLUMN('1-DATA'!AB628)),ROUND(INDEX('1-DATA'!$1:$1048576,IF(OR($B630="STD. DEVIATION",$C$1=1),$A630,$A630+1),COLUMN('1-DATA'!AB628)),IF($B630="STD. DEVIATION",2,$F$1))))</f>
        <v/>
      </c>
      <c r="AD630" s="1" t="str">
        <f>IF(OR($B630="",AD$7=""),"",IF($B630="MEANS",INDEX('1-DATA'!$1:$1048576,$A629-1,COLUMN('1-DATA'!AC628)),ROUND(INDEX('1-DATA'!$1:$1048576,IF(OR($B630="STD. DEVIATION",$C$1=1),$A630,$A630+1),COLUMN('1-DATA'!AC628)),IF($B630="STD. DEVIATION",2,$F$1))))</f>
        <v/>
      </c>
      <c r="AE630" s="1" t="str">
        <f>IF(OR($B630="",AE$7=""),"",IF($B630="MEANS",INDEX('1-DATA'!$1:$1048576,$A629-1,COLUMN('1-DATA'!AD628)),ROUND(INDEX('1-DATA'!$1:$1048576,IF(OR($B630="STD. DEVIATION",$C$1=1),$A630,$A630+1),COLUMN('1-DATA'!AD628)),IF($B630="STD. DEVIATION",2,$F$1))))</f>
        <v/>
      </c>
      <c r="AF630" s="1" t="str">
        <f>IF(OR($B630="",AF$7=""),"",IF($B630="MEANS",INDEX('1-DATA'!$1:$1048576,$A629-1,COLUMN('1-DATA'!AE628)),ROUND(INDEX('1-DATA'!$1:$1048576,IF(OR($B630="STD. DEVIATION",$C$1=1),$A630,$A630+1),COLUMN('1-DATA'!AE628)),IF($B630="STD. DEVIATION",2,$F$1))))</f>
        <v/>
      </c>
      <c r="AG630" s="1" t="str">
        <f>IF(OR($B630="",AG$7=""),"",IF($B630="MEANS",INDEX('1-DATA'!$1:$1048576,$A629-1,COLUMN('1-DATA'!AF628)),ROUND(INDEX('1-DATA'!$1:$1048576,IF(OR($B630="STD. DEVIATION",$C$1=1),$A630,$A630+1),COLUMN('1-DATA'!AF628)),IF($B630="STD. DEVIATION",2,$F$1))))</f>
        <v/>
      </c>
      <c r="AH630" s="1" t="str">
        <f>IF(OR($B630="",AH$7=""),"",IF($B630="MEANS",INDEX('1-DATA'!$1:$1048576,$A629-1,COLUMN('1-DATA'!AG628)),ROUND(INDEX('1-DATA'!$1:$1048576,IF(OR($B630="STD. DEVIATION",$C$1=1),$A630,$A630+1),COLUMN('1-DATA'!AG628)),IF($B630="STD. DEVIATION",2,$F$1))))</f>
        <v/>
      </c>
      <c r="AI630" s="1" t="str">
        <f>IF(OR($B630="",AI$7=""),"",IF($B630="MEANS",INDEX('1-DATA'!$1:$1048576,$A629-1,COLUMN('1-DATA'!AH628)),ROUND(INDEX('1-DATA'!$1:$1048576,IF(OR($B630="STD. DEVIATION",$C$1=1),$A630,$A630+1),COLUMN('1-DATA'!AH628)),IF($B630="STD. DEVIATION",2,$F$1))))</f>
        <v/>
      </c>
      <c r="AJ630" s="1" t="str">
        <f>IF(OR($B630="",AJ$7=""),"",IF($B630="MEANS",INDEX('1-DATA'!$1:$1048576,$A629-1,COLUMN('1-DATA'!AI628)),ROUND(INDEX('1-DATA'!$1:$1048576,IF(OR($B630="STD. DEVIATION",$C$1=1),$A630,$A630+1),COLUMN('1-DATA'!AI628)),IF($B630="STD. DEVIATION",2,$F$1))))</f>
        <v/>
      </c>
      <c r="AK630" s="1" t="str">
        <f>IF(OR($B630="",AK$7=""),"",IF($B630="MEANS",INDEX('1-DATA'!$1:$1048576,$A629-1,COLUMN('1-DATA'!AJ628)),ROUND(INDEX('1-DATA'!$1:$1048576,IF(OR($B630="STD. DEVIATION",$C$1=1),$A630,$A630+1),COLUMN('1-DATA'!AJ628)),IF($B630="STD. DEVIATION",2,$F$1))))</f>
        <v/>
      </c>
      <c r="AL630" s="1" t="str">
        <f>IF(OR($B630="",AL$7=""),"",IF($B630="MEANS",INDEX('1-DATA'!$1:$1048576,$A629-1,COLUMN('1-DATA'!AK628)),ROUND(INDEX('1-DATA'!$1:$1048576,IF(OR($B630="STD. DEVIATION",$C$1=1),$A630,$A630+1),COLUMN('1-DATA'!AK628)),IF($B630="STD. DEVIATION",2,$F$1))))</f>
        <v/>
      </c>
      <c r="AM630" s="1" t="str">
        <f>IF(OR($B630="",AM$7=""),"",IF($B630="MEANS",INDEX('1-DATA'!$1:$1048576,$A629-1,COLUMN('1-DATA'!AL628)),ROUND(INDEX('1-DATA'!$1:$1048576,IF(OR($B630="STD. DEVIATION",$C$1=1),$A630,$A630+1),COLUMN('1-DATA'!AL628)),IF($B630="STD. DEVIATION",2,$F$1))))</f>
        <v/>
      </c>
      <c r="AN630" s="1" t="str">
        <f>IF(OR($B630="",AN$7=""),"",IF($B630="MEANS",INDEX('1-DATA'!$1:$1048576,$A629-1,COLUMN('1-DATA'!AM628)),ROUND(INDEX('1-DATA'!$1:$1048576,IF(OR($B630="STD. DEVIATION",$C$1=1),$A630,$A630+1),COLUMN('1-DATA'!AM628)),IF($B630="STD. DEVIATION",2,$F$1))))</f>
        <v/>
      </c>
      <c r="AO630" s="1" t="str">
        <f>IF(OR($B630="",AO$7=""),"",IF($B630="MEANS",INDEX('1-DATA'!$1:$1048576,$A629-1,COLUMN('1-DATA'!AN628)),ROUND(INDEX('1-DATA'!$1:$1048576,IF(OR($B630="STD. DEVIATION",$C$1=1),$A630,$A630+1),COLUMN('1-DATA'!AN628)),IF($B630="STD. DEVIATION",2,$F$1))))</f>
        <v/>
      </c>
      <c r="AP630" s="1" t="str">
        <f>IF(OR($B630="",AP$7=""),"",IF($B630="MEANS",INDEX('1-DATA'!$1:$1048576,$A629-1,COLUMN('1-DATA'!AO628)),ROUND(INDEX('1-DATA'!$1:$1048576,IF(OR($B630="STD. DEVIATION",$C$1=1),$A630,$A630+1),COLUMN('1-DATA'!AO628)),IF($B630="STD. DEVIATION",2,$F$1))))</f>
        <v/>
      </c>
      <c r="AQ630" s="1" t="str">
        <f>IF(OR($B630="",AQ$7=""),"",IF($B630="MEANS",INDEX('1-DATA'!$1:$1048576,$A629-1,COLUMN('1-DATA'!AP628)),ROUND(INDEX('1-DATA'!$1:$1048576,IF(OR($B630="STD. DEVIATION",$C$1=1),$A630,$A630+1),COLUMN('1-DATA'!AP628)),IF($B630="STD. DEVIATION",2,$F$1))))</f>
        <v/>
      </c>
      <c r="AR630" s="1" t="str">
        <f>IF(OR($B630="",AR$7=""),"",IF($B630="MEANS",INDEX('1-DATA'!$1:$1048576,$A629-1,COLUMN('1-DATA'!AQ628)),ROUND(INDEX('1-DATA'!$1:$1048576,IF(OR($B630="STD. DEVIATION",$C$1=1),$A630,$A630+1),COLUMN('1-DATA'!AQ628)),IF($B630="STD. DEVIATION",2,$F$1))))</f>
        <v/>
      </c>
      <c r="AS630" s="1" t="str">
        <f>IF(OR($B630="",AS$7=""),"",IF($B630="MEANS",INDEX('1-DATA'!$1:$1048576,$A629-1,COLUMN('1-DATA'!AR628)),ROUND(INDEX('1-DATA'!$1:$1048576,IF(OR($B630="STD. DEVIATION",$C$1=1),$A630,$A630+1),COLUMN('1-DATA'!AR628)),IF($B630="STD. DEVIATION",2,$F$1))))</f>
        <v/>
      </c>
      <c r="AT630" s="1" t="str">
        <f>IF(OR($B630="",AT$7=""),"",IF($B630="MEANS",INDEX('1-DATA'!$1:$1048576,$A629-1,COLUMN('1-DATA'!AS628)),ROUND(INDEX('1-DATA'!$1:$1048576,IF(OR($B630="STD. DEVIATION",$C$1=1),$A630,$A630+1),COLUMN('1-DATA'!AS628)),IF($B630="STD. DEVIATION",2,$F$1))))</f>
        <v/>
      </c>
      <c r="AU630" s="1" t="str">
        <f>IF(OR($B630="",AU$7=""),"",IF($B630="MEANS",INDEX('1-DATA'!$1:$1048576,$A629-1,COLUMN('1-DATA'!AT628)),ROUND(INDEX('1-DATA'!$1:$1048576,IF(OR($B630="STD. DEVIATION",$C$1=1),$A630,$A630+1),COLUMN('1-DATA'!AT628)),IF($B630="STD. DEVIATION",2,$F$1))))</f>
        <v/>
      </c>
      <c r="AV630" s="1" t="str">
        <f>IF(OR($B630="",AV$7=""),"",IF($B630="MEANS",INDEX('1-DATA'!$1:$1048576,$A629-1,COLUMN('1-DATA'!AU628)),ROUND(INDEX('1-DATA'!$1:$1048576,IF(OR($B630="STD. DEVIATION",$C$1=1),$A630,$A630+1),COLUMN('1-DATA'!AU628)),IF($B630="STD. DEVIATION",2,$F$1))))</f>
        <v/>
      </c>
      <c r="AW630" s="1" t="str">
        <f>IF(OR($B630="",AW$7=""),"",IF($B630="MEANS",INDEX('1-DATA'!$1:$1048576,$A629-1,COLUMN('1-DATA'!AV628)),ROUND(INDEX('1-DATA'!$1:$1048576,IF(OR($B630="STD. DEVIATION",$C$1=1),$A630,$A630+1),COLUMN('1-DATA'!AV628)),IF($B630="STD. DEVIATION",2,$F$1))))</f>
        <v/>
      </c>
      <c r="AX630" s="1" t="str">
        <f>IF(OR($B630="",AX$7=""),"",IF($B630="MEANS",INDEX('1-DATA'!$1:$1048576,$A629-1,COLUMN('1-DATA'!AW628)),ROUND(INDEX('1-DATA'!$1:$1048576,IF(OR($B630="STD. DEVIATION",$C$1=1),$A630,$A630+1),COLUMN('1-DATA'!AW628)),IF($B630="STD. DEVIATION",2,$F$1))))</f>
        <v/>
      </c>
      <c r="AY630" s="1" t="str">
        <f>IF(OR($B630="",AY$7=""),"",IF($B630="MEANS",INDEX('1-DATA'!$1:$1048576,$A629-1,COLUMN('1-DATA'!AX628)),ROUND(INDEX('1-DATA'!$1:$1048576,IF(OR($B630="STD. DEVIATION",$C$1=1),$A630,$A630+1),COLUMN('1-DATA'!AX628)),IF($B630="STD. DEVIATION",2,$F$1))))</f>
        <v/>
      </c>
      <c r="AZ630" s="1" t="str">
        <f>IF(OR($B630="",AZ$7=""),"",IF($B630="MEANS",INDEX('1-DATA'!$1:$1048576,$A629-1,COLUMN('1-DATA'!AY628)),ROUND(INDEX('1-DATA'!$1:$1048576,IF(OR($B630="STD. DEVIATION",$C$1=1),$A630,$A630+1),COLUMN('1-DATA'!AY628)),IF($B630="STD. DEVIATION",2,$F$1))))</f>
        <v/>
      </c>
    </row>
    <row r="631" spans="1:52" x14ac:dyDescent="0.25">
      <c r="A631" s="11">
        <f t="shared" si="10"/>
        <v>1879</v>
      </c>
      <c r="B631" s="1" t="str">
        <f>IF(B630="STD. DEVIATION",INDEX('1-DATA'!$1:$1048576,$A630-1,1),IF(INDEX('1-DATA'!$1:$1048576,$A631,1)&lt;&gt;"",INDEX('1-DATA'!$1:$1048576,$A631,1),""))</f>
        <v/>
      </c>
      <c r="C631" s="1" t="str">
        <f>IF(OR($B631="",C$7=""),"",IF($B631="MEANS",INDEX('1-DATA'!$1:$1048576,$A630-1,COLUMN('1-DATA'!B629)),ROUND(INDEX('1-DATA'!$1:$1048576,IF(OR($B631="STD. DEVIATION",$C$1=1),$A631,$A631+1),COLUMN('1-DATA'!B629)),IF($B631="STD. DEVIATION",2,$F$1))))</f>
        <v/>
      </c>
      <c r="D631" s="1" t="str">
        <f>IF(OR($B631="",D$7=""),"",IF($B631="MEANS",INDEX('1-DATA'!$1:$1048576,$A630-1,COLUMN('1-DATA'!C629)),ROUND(INDEX('1-DATA'!$1:$1048576,IF(OR($B631="STD. DEVIATION",$C$1=1),$A631,$A631+1),COLUMN('1-DATA'!C629)),IF($B631="STD. DEVIATION",2,$F$1))))</f>
        <v/>
      </c>
      <c r="E631" s="1" t="str">
        <f>IF(OR($B631="",E$7=""),"",IF($B631="MEANS",INDEX('1-DATA'!$1:$1048576,$A630-1,COLUMN('1-DATA'!D629)),ROUND(INDEX('1-DATA'!$1:$1048576,IF(OR($B631="STD. DEVIATION",$C$1=1),$A631,$A631+1),COLUMN('1-DATA'!D629)),IF($B631="STD. DEVIATION",2,$F$1))))</f>
        <v/>
      </c>
      <c r="F631" s="1" t="str">
        <f>IF(OR($B631="",F$7=""),"",IF($B631="MEANS",INDEX('1-DATA'!$1:$1048576,$A630-1,COLUMN('1-DATA'!E629)),ROUND(INDEX('1-DATA'!$1:$1048576,IF(OR($B631="STD. DEVIATION",$C$1=1),$A631,$A631+1),COLUMN('1-DATA'!E629)),IF($B631="STD. DEVIATION",2,$F$1))))</f>
        <v/>
      </c>
      <c r="G631" s="1" t="str">
        <f>IF(OR($B631="",G$7=""),"",IF($B631="MEANS",INDEX('1-DATA'!$1:$1048576,$A630-1,COLUMN('1-DATA'!F629)),ROUND(INDEX('1-DATA'!$1:$1048576,IF(OR($B631="STD. DEVIATION",$C$1=1),$A631,$A631+1),COLUMN('1-DATA'!F629)),IF($B631="STD. DEVIATION",2,$F$1))))</f>
        <v/>
      </c>
      <c r="H631" s="1" t="str">
        <f>IF(OR($B631="",H$7=""),"",IF($B631="MEANS",INDEX('1-DATA'!$1:$1048576,$A630-1,COLUMN('1-DATA'!G629)),ROUND(INDEX('1-DATA'!$1:$1048576,IF(OR($B631="STD. DEVIATION",$C$1=1),$A631,$A631+1),COLUMN('1-DATA'!G629)),IF($B631="STD. DEVIATION",2,$F$1))))</f>
        <v/>
      </c>
      <c r="I631" s="1" t="str">
        <f>IF(OR($B631="",I$7=""),"",IF($B631="MEANS",INDEX('1-DATA'!$1:$1048576,$A630-1,COLUMN('1-DATA'!H629)),ROUND(INDEX('1-DATA'!$1:$1048576,IF(OR($B631="STD. DEVIATION",$C$1=1),$A631,$A631+1),COLUMN('1-DATA'!H629)),IF($B631="STD. DEVIATION",2,$F$1))))</f>
        <v/>
      </c>
      <c r="J631" s="1" t="str">
        <f>IF(OR($B631="",J$7=""),"",IF($B631="MEANS",INDEX('1-DATA'!$1:$1048576,$A630-1,COLUMN('1-DATA'!I629)),ROUND(INDEX('1-DATA'!$1:$1048576,IF(OR($B631="STD. DEVIATION",$C$1=1),$A631,$A631+1),COLUMN('1-DATA'!I629)),IF($B631="STD. DEVIATION",2,$F$1))))</f>
        <v/>
      </c>
      <c r="K631" s="1" t="str">
        <f>IF(OR($B631="",K$7=""),"",IF($B631="MEANS",INDEX('1-DATA'!$1:$1048576,$A630-1,COLUMN('1-DATA'!J629)),ROUND(INDEX('1-DATA'!$1:$1048576,IF(OR($B631="STD. DEVIATION",$C$1=1),$A631,$A631+1),COLUMN('1-DATA'!J629)),IF($B631="STD. DEVIATION",2,$F$1))))</f>
        <v/>
      </c>
      <c r="L631" s="1" t="str">
        <f>IF(OR($B631="",L$7=""),"",IF($B631="MEANS",INDEX('1-DATA'!$1:$1048576,$A630-1,COLUMN('1-DATA'!K629)),ROUND(INDEX('1-DATA'!$1:$1048576,IF(OR($B631="STD. DEVIATION",$C$1=1),$A631,$A631+1),COLUMN('1-DATA'!K629)),IF($B631="STD. DEVIATION",2,$F$1))))</f>
        <v/>
      </c>
      <c r="M631" s="1" t="str">
        <f>IF(OR($B631="",M$7=""),"",IF($B631="MEANS",INDEX('1-DATA'!$1:$1048576,$A630-1,COLUMN('1-DATA'!L629)),ROUND(INDEX('1-DATA'!$1:$1048576,IF(OR($B631="STD. DEVIATION",$C$1=1),$A631,$A631+1),COLUMN('1-DATA'!L629)),IF($B631="STD. DEVIATION",2,$F$1))))</f>
        <v/>
      </c>
      <c r="N631" s="1" t="str">
        <f>IF(OR($B631="",N$7=""),"",IF($B631="MEANS",INDEX('1-DATA'!$1:$1048576,$A630-1,COLUMN('1-DATA'!M629)),ROUND(INDEX('1-DATA'!$1:$1048576,IF(OR($B631="STD. DEVIATION",$C$1=1),$A631,$A631+1),COLUMN('1-DATA'!M629)),IF($B631="STD. DEVIATION",2,$F$1))))</f>
        <v/>
      </c>
      <c r="O631" s="1" t="str">
        <f>IF(OR($B631="",O$7=""),"",IF($B631="MEANS",INDEX('1-DATA'!$1:$1048576,$A630-1,COLUMN('1-DATA'!N629)),ROUND(INDEX('1-DATA'!$1:$1048576,IF(OR($B631="STD. DEVIATION",$C$1=1),$A631,$A631+1),COLUMN('1-DATA'!N629)),IF($B631="STD. DEVIATION",2,$F$1))))</f>
        <v/>
      </c>
      <c r="P631" s="1" t="str">
        <f>IF(OR($B631="",P$7=""),"",IF($B631="MEANS",INDEX('1-DATA'!$1:$1048576,$A630-1,COLUMN('1-DATA'!O629)),ROUND(INDEX('1-DATA'!$1:$1048576,IF(OR($B631="STD. DEVIATION",$C$1=1),$A631,$A631+1),COLUMN('1-DATA'!O629)),IF($B631="STD. DEVIATION",2,$F$1))))</f>
        <v/>
      </c>
      <c r="Q631" s="1" t="str">
        <f>IF(OR($B631="",Q$7=""),"",IF($B631="MEANS",INDEX('1-DATA'!$1:$1048576,$A630-1,COLUMN('1-DATA'!P629)),ROUND(INDEX('1-DATA'!$1:$1048576,IF(OR($B631="STD. DEVIATION",$C$1=1),$A631,$A631+1),COLUMN('1-DATA'!P629)),IF($B631="STD. DEVIATION",2,$F$1))))</f>
        <v/>
      </c>
      <c r="R631" s="1" t="str">
        <f>IF(OR($B631="",R$7=""),"",IF($B631="MEANS",INDEX('1-DATA'!$1:$1048576,$A630-1,COLUMN('1-DATA'!Q629)),ROUND(INDEX('1-DATA'!$1:$1048576,IF(OR($B631="STD. DEVIATION",$C$1=1),$A631,$A631+1),COLUMN('1-DATA'!Q629)),IF($B631="STD. DEVIATION",2,$F$1))))</f>
        <v/>
      </c>
      <c r="S631" s="1" t="str">
        <f>IF(OR($B631="",S$7=""),"",IF($B631="MEANS",INDEX('1-DATA'!$1:$1048576,$A630-1,COLUMN('1-DATA'!R629)),ROUND(INDEX('1-DATA'!$1:$1048576,IF(OR($B631="STD. DEVIATION",$C$1=1),$A631,$A631+1),COLUMN('1-DATA'!R629)),IF($B631="STD. DEVIATION",2,$F$1))))</f>
        <v/>
      </c>
      <c r="T631" s="1" t="str">
        <f>IF(OR($B631="",T$7=""),"",IF($B631="MEANS",INDEX('1-DATA'!$1:$1048576,$A630-1,COLUMN('1-DATA'!S629)),ROUND(INDEX('1-DATA'!$1:$1048576,IF(OR($B631="STD. DEVIATION",$C$1=1),$A631,$A631+1),COLUMN('1-DATA'!S629)),IF($B631="STD. DEVIATION",2,$F$1))))</f>
        <v/>
      </c>
      <c r="U631" s="1" t="str">
        <f>IF(OR($B631="",U$7=""),"",IF($B631="MEANS",INDEX('1-DATA'!$1:$1048576,$A630-1,COLUMN('1-DATA'!T629)),ROUND(INDEX('1-DATA'!$1:$1048576,IF(OR($B631="STD. DEVIATION",$C$1=1),$A631,$A631+1),COLUMN('1-DATA'!T629)),IF($B631="STD. DEVIATION",2,$F$1))))</f>
        <v/>
      </c>
      <c r="V631" s="1" t="str">
        <f>IF(OR($B631="",V$7=""),"",IF($B631="MEANS",INDEX('1-DATA'!$1:$1048576,$A630-1,COLUMN('1-DATA'!U629)),ROUND(INDEX('1-DATA'!$1:$1048576,IF(OR($B631="STD. DEVIATION",$C$1=1),$A631,$A631+1),COLUMN('1-DATA'!U629)),IF($B631="STD. DEVIATION",2,$F$1))))</f>
        <v/>
      </c>
      <c r="W631" s="1" t="str">
        <f>IF(OR($B631="",W$7=""),"",IF($B631="MEANS",INDEX('1-DATA'!$1:$1048576,$A630-1,COLUMN('1-DATA'!V629)),ROUND(INDEX('1-DATA'!$1:$1048576,IF(OR($B631="STD. DEVIATION",$C$1=1),$A631,$A631+1),COLUMN('1-DATA'!V629)),IF($B631="STD. DEVIATION",2,$F$1))))</f>
        <v/>
      </c>
      <c r="X631" s="1" t="str">
        <f>IF(OR($B631="",X$7=""),"",IF($B631="MEANS",INDEX('1-DATA'!$1:$1048576,$A630-1,COLUMN('1-DATA'!W629)),ROUND(INDEX('1-DATA'!$1:$1048576,IF(OR($B631="STD. DEVIATION",$C$1=1),$A631,$A631+1),COLUMN('1-DATA'!W629)),IF($B631="STD. DEVIATION",2,$F$1))))</f>
        <v/>
      </c>
      <c r="Y631" s="1" t="str">
        <f>IF(OR($B631="",Y$7=""),"",IF($B631="MEANS",INDEX('1-DATA'!$1:$1048576,$A630-1,COLUMN('1-DATA'!X629)),ROUND(INDEX('1-DATA'!$1:$1048576,IF(OR($B631="STD. DEVIATION",$C$1=1),$A631,$A631+1),COLUMN('1-DATA'!X629)),IF($B631="STD. DEVIATION",2,$F$1))))</f>
        <v/>
      </c>
      <c r="Z631" s="1" t="str">
        <f>IF(OR($B631="",Z$7=""),"",IF($B631="MEANS",INDEX('1-DATA'!$1:$1048576,$A630-1,COLUMN('1-DATA'!Y629)),ROUND(INDEX('1-DATA'!$1:$1048576,IF(OR($B631="STD. DEVIATION",$C$1=1),$A631,$A631+1),COLUMN('1-DATA'!Y629)),IF($B631="STD. DEVIATION",2,$F$1))))</f>
        <v/>
      </c>
      <c r="AA631" s="1" t="str">
        <f>IF(OR($B631="",AA$7=""),"",IF($B631="MEANS",INDEX('1-DATA'!$1:$1048576,$A630-1,COLUMN('1-DATA'!Z629)),ROUND(INDEX('1-DATA'!$1:$1048576,IF(OR($B631="STD. DEVIATION",$C$1=1),$A631,$A631+1),COLUMN('1-DATA'!Z629)),IF($B631="STD. DEVIATION",2,$F$1))))</f>
        <v/>
      </c>
      <c r="AB631" s="1" t="str">
        <f>IF(OR($B631="",AB$7=""),"",IF($B631="MEANS",INDEX('1-DATA'!$1:$1048576,$A630-1,COLUMN('1-DATA'!AA629)),ROUND(INDEX('1-DATA'!$1:$1048576,IF(OR($B631="STD. DEVIATION",$C$1=1),$A631,$A631+1),COLUMN('1-DATA'!AA629)),IF($B631="STD. DEVIATION",2,$F$1))))</f>
        <v/>
      </c>
      <c r="AC631" s="1" t="str">
        <f>IF(OR($B631="",AC$7=""),"",IF($B631="MEANS",INDEX('1-DATA'!$1:$1048576,$A630-1,COLUMN('1-DATA'!AB629)),ROUND(INDEX('1-DATA'!$1:$1048576,IF(OR($B631="STD. DEVIATION",$C$1=1),$A631,$A631+1),COLUMN('1-DATA'!AB629)),IF($B631="STD. DEVIATION",2,$F$1))))</f>
        <v/>
      </c>
      <c r="AD631" s="1" t="str">
        <f>IF(OR($B631="",AD$7=""),"",IF($B631="MEANS",INDEX('1-DATA'!$1:$1048576,$A630-1,COLUMN('1-DATA'!AC629)),ROUND(INDEX('1-DATA'!$1:$1048576,IF(OR($B631="STD. DEVIATION",$C$1=1),$A631,$A631+1),COLUMN('1-DATA'!AC629)),IF($B631="STD. DEVIATION",2,$F$1))))</f>
        <v/>
      </c>
      <c r="AE631" s="1" t="str">
        <f>IF(OR($B631="",AE$7=""),"",IF($B631="MEANS",INDEX('1-DATA'!$1:$1048576,$A630-1,COLUMN('1-DATA'!AD629)),ROUND(INDEX('1-DATA'!$1:$1048576,IF(OR($B631="STD. DEVIATION",$C$1=1),$A631,$A631+1),COLUMN('1-DATA'!AD629)),IF($B631="STD. DEVIATION",2,$F$1))))</f>
        <v/>
      </c>
      <c r="AF631" s="1" t="str">
        <f>IF(OR($B631="",AF$7=""),"",IF($B631="MEANS",INDEX('1-DATA'!$1:$1048576,$A630-1,COLUMN('1-DATA'!AE629)),ROUND(INDEX('1-DATA'!$1:$1048576,IF(OR($B631="STD. DEVIATION",$C$1=1),$A631,$A631+1),COLUMN('1-DATA'!AE629)),IF($B631="STD. DEVIATION",2,$F$1))))</f>
        <v/>
      </c>
      <c r="AG631" s="1" t="str">
        <f>IF(OR($B631="",AG$7=""),"",IF($B631="MEANS",INDEX('1-DATA'!$1:$1048576,$A630-1,COLUMN('1-DATA'!AF629)),ROUND(INDEX('1-DATA'!$1:$1048576,IF(OR($B631="STD. DEVIATION",$C$1=1),$A631,$A631+1),COLUMN('1-DATA'!AF629)),IF($B631="STD. DEVIATION",2,$F$1))))</f>
        <v/>
      </c>
      <c r="AH631" s="1" t="str">
        <f>IF(OR($B631="",AH$7=""),"",IF($B631="MEANS",INDEX('1-DATA'!$1:$1048576,$A630-1,COLUMN('1-DATA'!AG629)),ROUND(INDEX('1-DATA'!$1:$1048576,IF(OR($B631="STD. DEVIATION",$C$1=1),$A631,$A631+1),COLUMN('1-DATA'!AG629)),IF($B631="STD. DEVIATION",2,$F$1))))</f>
        <v/>
      </c>
      <c r="AI631" s="1" t="str">
        <f>IF(OR($B631="",AI$7=""),"",IF($B631="MEANS",INDEX('1-DATA'!$1:$1048576,$A630-1,COLUMN('1-DATA'!AH629)),ROUND(INDEX('1-DATA'!$1:$1048576,IF(OR($B631="STD. DEVIATION",$C$1=1),$A631,$A631+1),COLUMN('1-DATA'!AH629)),IF($B631="STD. DEVIATION",2,$F$1))))</f>
        <v/>
      </c>
      <c r="AJ631" s="1" t="str">
        <f>IF(OR($B631="",AJ$7=""),"",IF($B631="MEANS",INDEX('1-DATA'!$1:$1048576,$A630-1,COLUMN('1-DATA'!AI629)),ROUND(INDEX('1-DATA'!$1:$1048576,IF(OR($B631="STD. DEVIATION",$C$1=1),$A631,$A631+1),COLUMN('1-DATA'!AI629)),IF($B631="STD. DEVIATION",2,$F$1))))</f>
        <v/>
      </c>
      <c r="AK631" s="1" t="str">
        <f>IF(OR($B631="",AK$7=""),"",IF($B631="MEANS",INDEX('1-DATA'!$1:$1048576,$A630-1,COLUMN('1-DATA'!AJ629)),ROUND(INDEX('1-DATA'!$1:$1048576,IF(OR($B631="STD. DEVIATION",$C$1=1),$A631,$A631+1),COLUMN('1-DATA'!AJ629)),IF($B631="STD. DEVIATION",2,$F$1))))</f>
        <v/>
      </c>
      <c r="AL631" s="1" t="str">
        <f>IF(OR($B631="",AL$7=""),"",IF($B631="MEANS",INDEX('1-DATA'!$1:$1048576,$A630-1,COLUMN('1-DATA'!AK629)),ROUND(INDEX('1-DATA'!$1:$1048576,IF(OR($B631="STD. DEVIATION",$C$1=1),$A631,$A631+1),COLUMN('1-DATA'!AK629)),IF($B631="STD. DEVIATION",2,$F$1))))</f>
        <v/>
      </c>
      <c r="AM631" s="1" t="str">
        <f>IF(OR($B631="",AM$7=""),"",IF($B631="MEANS",INDEX('1-DATA'!$1:$1048576,$A630-1,COLUMN('1-DATA'!AL629)),ROUND(INDEX('1-DATA'!$1:$1048576,IF(OR($B631="STD. DEVIATION",$C$1=1),$A631,$A631+1),COLUMN('1-DATA'!AL629)),IF($B631="STD. DEVIATION",2,$F$1))))</f>
        <v/>
      </c>
      <c r="AN631" s="1" t="str">
        <f>IF(OR($B631="",AN$7=""),"",IF($B631="MEANS",INDEX('1-DATA'!$1:$1048576,$A630-1,COLUMN('1-DATA'!AM629)),ROUND(INDEX('1-DATA'!$1:$1048576,IF(OR($B631="STD. DEVIATION",$C$1=1),$A631,$A631+1),COLUMN('1-DATA'!AM629)),IF($B631="STD. DEVIATION",2,$F$1))))</f>
        <v/>
      </c>
      <c r="AO631" s="1" t="str">
        <f>IF(OR($B631="",AO$7=""),"",IF($B631="MEANS",INDEX('1-DATA'!$1:$1048576,$A630-1,COLUMN('1-DATA'!AN629)),ROUND(INDEX('1-DATA'!$1:$1048576,IF(OR($B631="STD. DEVIATION",$C$1=1),$A631,$A631+1),COLUMN('1-DATA'!AN629)),IF($B631="STD. DEVIATION",2,$F$1))))</f>
        <v/>
      </c>
      <c r="AP631" s="1" t="str">
        <f>IF(OR($B631="",AP$7=""),"",IF($B631="MEANS",INDEX('1-DATA'!$1:$1048576,$A630-1,COLUMN('1-DATA'!AO629)),ROUND(INDEX('1-DATA'!$1:$1048576,IF(OR($B631="STD. DEVIATION",$C$1=1),$A631,$A631+1),COLUMN('1-DATA'!AO629)),IF($B631="STD. DEVIATION",2,$F$1))))</f>
        <v/>
      </c>
      <c r="AQ631" s="1" t="str">
        <f>IF(OR($B631="",AQ$7=""),"",IF($B631="MEANS",INDEX('1-DATA'!$1:$1048576,$A630-1,COLUMN('1-DATA'!AP629)),ROUND(INDEX('1-DATA'!$1:$1048576,IF(OR($B631="STD. DEVIATION",$C$1=1),$A631,$A631+1),COLUMN('1-DATA'!AP629)),IF($B631="STD. DEVIATION",2,$F$1))))</f>
        <v/>
      </c>
      <c r="AR631" s="1" t="str">
        <f>IF(OR($B631="",AR$7=""),"",IF($B631="MEANS",INDEX('1-DATA'!$1:$1048576,$A630-1,COLUMN('1-DATA'!AQ629)),ROUND(INDEX('1-DATA'!$1:$1048576,IF(OR($B631="STD. DEVIATION",$C$1=1),$A631,$A631+1),COLUMN('1-DATA'!AQ629)),IF($B631="STD. DEVIATION",2,$F$1))))</f>
        <v/>
      </c>
      <c r="AS631" s="1" t="str">
        <f>IF(OR($B631="",AS$7=""),"",IF($B631="MEANS",INDEX('1-DATA'!$1:$1048576,$A630-1,COLUMN('1-DATA'!AR629)),ROUND(INDEX('1-DATA'!$1:$1048576,IF(OR($B631="STD. DEVIATION",$C$1=1),$A631,$A631+1),COLUMN('1-DATA'!AR629)),IF($B631="STD. DEVIATION",2,$F$1))))</f>
        <v/>
      </c>
      <c r="AT631" s="1" t="str">
        <f>IF(OR($B631="",AT$7=""),"",IF($B631="MEANS",INDEX('1-DATA'!$1:$1048576,$A630-1,COLUMN('1-DATA'!AS629)),ROUND(INDEX('1-DATA'!$1:$1048576,IF(OR($B631="STD. DEVIATION",$C$1=1),$A631,$A631+1),COLUMN('1-DATA'!AS629)),IF($B631="STD. DEVIATION",2,$F$1))))</f>
        <v/>
      </c>
      <c r="AU631" s="1" t="str">
        <f>IF(OR($B631="",AU$7=""),"",IF($B631="MEANS",INDEX('1-DATA'!$1:$1048576,$A630-1,COLUMN('1-DATA'!AT629)),ROUND(INDEX('1-DATA'!$1:$1048576,IF(OR($B631="STD. DEVIATION",$C$1=1),$A631,$A631+1),COLUMN('1-DATA'!AT629)),IF($B631="STD. DEVIATION",2,$F$1))))</f>
        <v/>
      </c>
      <c r="AV631" s="1" t="str">
        <f>IF(OR($B631="",AV$7=""),"",IF($B631="MEANS",INDEX('1-DATA'!$1:$1048576,$A630-1,COLUMN('1-DATA'!AU629)),ROUND(INDEX('1-DATA'!$1:$1048576,IF(OR($B631="STD. DEVIATION",$C$1=1),$A631,$A631+1),COLUMN('1-DATA'!AU629)),IF($B631="STD. DEVIATION",2,$F$1))))</f>
        <v/>
      </c>
      <c r="AW631" s="1" t="str">
        <f>IF(OR($B631="",AW$7=""),"",IF($B631="MEANS",INDEX('1-DATA'!$1:$1048576,$A630-1,COLUMN('1-DATA'!AV629)),ROUND(INDEX('1-DATA'!$1:$1048576,IF(OR($B631="STD. DEVIATION",$C$1=1),$A631,$A631+1),COLUMN('1-DATA'!AV629)),IF($B631="STD. DEVIATION",2,$F$1))))</f>
        <v/>
      </c>
      <c r="AX631" s="1" t="str">
        <f>IF(OR($B631="",AX$7=""),"",IF($B631="MEANS",INDEX('1-DATA'!$1:$1048576,$A630-1,COLUMN('1-DATA'!AW629)),ROUND(INDEX('1-DATA'!$1:$1048576,IF(OR($B631="STD. DEVIATION",$C$1=1),$A631,$A631+1),COLUMN('1-DATA'!AW629)),IF($B631="STD. DEVIATION",2,$F$1))))</f>
        <v/>
      </c>
      <c r="AY631" s="1" t="str">
        <f>IF(OR($B631="",AY$7=""),"",IF($B631="MEANS",INDEX('1-DATA'!$1:$1048576,$A630-1,COLUMN('1-DATA'!AX629)),ROUND(INDEX('1-DATA'!$1:$1048576,IF(OR($B631="STD. DEVIATION",$C$1=1),$A631,$A631+1),COLUMN('1-DATA'!AX629)),IF($B631="STD. DEVIATION",2,$F$1))))</f>
        <v/>
      </c>
      <c r="AZ631" s="1" t="str">
        <f>IF(OR($B631="",AZ$7=""),"",IF($B631="MEANS",INDEX('1-DATA'!$1:$1048576,$A630-1,COLUMN('1-DATA'!AY629)),ROUND(INDEX('1-DATA'!$1:$1048576,IF(OR($B631="STD. DEVIATION",$C$1=1),$A631,$A631+1),COLUMN('1-DATA'!AY629)),IF($B631="STD. DEVIATION",2,$F$1))))</f>
        <v/>
      </c>
    </row>
    <row r="632" spans="1:52" x14ac:dyDescent="0.25">
      <c r="A632" s="11">
        <f t="shared" si="10"/>
        <v>1882</v>
      </c>
      <c r="B632" s="1" t="str">
        <f>IF(B631="STD. DEVIATION",INDEX('1-DATA'!$1:$1048576,$A631-1,1),IF(INDEX('1-DATA'!$1:$1048576,$A632,1)&lt;&gt;"",INDEX('1-DATA'!$1:$1048576,$A632,1),""))</f>
        <v/>
      </c>
      <c r="C632" s="1" t="str">
        <f>IF(OR($B632="",C$7=""),"",IF($B632="MEANS",INDEX('1-DATA'!$1:$1048576,$A631-1,COLUMN('1-DATA'!B630)),ROUND(INDEX('1-DATA'!$1:$1048576,IF(OR($B632="STD. DEVIATION",$C$1=1),$A632,$A632+1),COLUMN('1-DATA'!B630)),IF($B632="STD. DEVIATION",2,$F$1))))</f>
        <v/>
      </c>
      <c r="D632" s="1" t="str">
        <f>IF(OR($B632="",D$7=""),"",IF($B632="MEANS",INDEX('1-DATA'!$1:$1048576,$A631-1,COLUMN('1-DATA'!C630)),ROUND(INDEX('1-DATA'!$1:$1048576,IF(OR($B632="STD. DEVIATION",$C$1=1),$A632,$A632+1),COLUMN('1-DATA'!C630)),IF($B632="STD. DEVIATION",2,$F$1))))</f>
        <v/>
      </c>
      <c r="E632" s="1" t="str">
        <f>IF(OR($B632="",E$7=""),"",IF($B632="MEANS",INDEX('1-DATA'!$1:$1048576,$A631-1,COLUMN('1-DATA'!D630)),ROUND(INDEX('1-DATA'!$1:$1048576,IF(OR($B632="STD. DEVIATION",$C$1=1),$A632,$A632+1),COLUMN('1-DATA'!D630)),IF($B632="STD. DEVIATION",2,$F$1))))</f>
        <v/>
      </c>
      <c r="F632" s="1" t="str">
        <f>IF(OR($B632="",F$7=""),"",IF($B632="MEANS",INDEX('1-DATA'!$1:$1048576,$A631-1,COLUMN('1-DATA'!E630)),ROUND(INDEX('1-DATA'!$1:$1048576,IF(OR($B632="STD. DEVIATION",$C$1=1),$A632,$A632+1),COLUMN('1-DATA'!E630)),IF($B632="STD. DEVIATION",2,$F$1))))</f>
        <v/>
      </c>
      <c r="G632" s="1" t="str">
        <f>IF(OR($B632="",G$7=""),"",IF($B632="MEANS",INDEX('1-DATA'!$1:$1048576,$A631-1,COLUMN('1-DATA'!F630)),ROUND(INDEX('1-DATA'!$1:$1048576,IF(OR($B632="STD. DEVIATION",$C$1=1),$A632,$A632+1),COLUMN('1-DATA'!F630)),IF($B632="STD. DEVIATION",2,$F$1))))</f>
        <v/>
      </c>
      <c r="H632" s="1" t="str">
        <f>IF(OR($B632="",H$7=""),"",IF($B632="MEANS",INDEX('1-DATA'!$1:$1048576,$A631-1,COLUMN('1-DATA'!G630)),ROUND(INDEX('1-DATA'!$1:$1048576,IF(OR($B632="STD. DEVIATION",$C$1=1),$A632,$A632+1),COLUMN('1-DATA'!G630)),IF($B632="STD. DEVIATION",2,$F$1))))</f>
        <v/>
      </c>
      <c r="I632" s="1" t="str">
        <f>IF(OR($B632="",I$7=""),"",IF($B632="MEANS",INDEX('1-DATA'!$1:$1048576,$A631-1,COLUMN('1-DATA'!H630)),ROUND(INDEX('1-DATA'!$1:$1048576,IF(OR($B632="STD. DEVIATION",$C$1=1),$A632,$A632+1),COLUMN('1-DATA'!H630)),IF($B632="STD. DEVIATION",2,$F$1))))</f>
        <v/>
      </c>
      <c r="J632" s="1" t="str">
        <f>IF(OR($B632="",J$7=""),"",IF($B632="MEANS",INDEX('1-DATA'!$1:$1048576,$A631-1,COLUMN('1-DATA'!I630)),ROUND(INDEX('1-DATA'!$1:$1048576,IF(OR($B632="STD. DEVIATION",$C$1=1),$A632,$A632+1),COLUMN('1-DATA'!I630)),IF($B632="STD. DEVIATION",2,$F$1))))</f>
        <v/>
      </c>
      <c r="K632" s="1" t="str">
        <f>IF(OR($B632="",K$7=""),"",IF($B632="MEANS",INDEX('1-DATA'!$1:$1048576,$A631-1,COLUMN('1-DATA'!J630)),ROUND(INDEX('1-DATA'!$1:$1048576,IF(OR($B632="STD. DEVIATION",$C$1=1),$A632,$A632+1),COLUMN('1-DATA'!J630)),IF($B632="STD. DEVIATION",2,$F$1))))</f>
        <v/>
      </c>
      <c r="L632" s="1" t="str">
        <f>IF(OR($B632="",L$7=""),"",IF($B632="MEANS",INDEX('1-DATA'!$1:$1048576,$A631-1,COLUMN('1-DATA'!K630)),ROUND(INDEX('1-DATA'!$1:$1048576,IF(OR($B632="STD. DEVIATION",$C$1=1),$A632,$A632+1),COLUMN('1-DATA'!K630)),IF($B632="STD. DEVIATION",2,$F$1))))</f>
        <v/>
      </c>
      <c r="M632" s="1" t="str">
        <f>IF(OR($B632="",M$7=""),"",IF($B632="MEANS",INDEX('1-DATA'!$1:$1048576,$A631-1,COLUMN('1-DATA'!L630)),ROUND(INDEX('1-DATA'!$1:$1048576,IF(OR($B632="STD. DEVIATION",$C$1=1),$A632,$A632+1),COLUMN('1-DATA'!L630)),IF($B632="STD. DEVIATION",2,$F$1))))</f>
        <v/>
      </c>
      <c r="N632" s="1" t="str">
        <f>IF(OR($B632="",N$7=""),"",IF($B632="MEANS",INDEX('1-DATA'!$1:$1048576,$A631-1,COLUMN('1-DATA'!M630)),ROUND(INDEX('1-DATA'!$1:$1048576,IF(OR($B632="STD. DEVIATION",$C$1=1),$A632,$A632+1),COLUMN('1-DATA'!M630)),IF($B632="STD. DEVIATION",2,$F$1))))</f>
        <v/>
      </c>
      <c r="O632" s="1" t="str">
        <f>IF(OR($B632="",O$7=""),"",IF($B632="MEANS",INDEX('1-DATA'!$1:$1048576,$A631-1,COLUMN('1-DATA'!N630)),ROUND(INDEX('1-DATA'!$1:$1048576,IF(OR($B632="STD. DEVIATION",$C$1=1),$A632,$A632+1),COLUMN('1-DATA'!N630)),IF($B632="STD. DEVIATION",2,$F$1))))</f>
        <v/>
      </c>
      <c r="P632" s="1" t="str">
        <f>IF(OR($B632="",P$7=""),"",IF($B632="MEANS",INDEX('1-DATA'!$1:$1048576,$A631-1,COLUMN('1-DATA'!O630)),ROUND(INDEX('1-DATA'!$1:$1048576,IF(OR($B632="STD. DEVIATION",$C$1=1),$A632,$A632+1),COLUMN('1-DATA'!O630)),IF($B632="STD. DEVIATION",2,$F$1))))</f>
        <v/>
      </c>
      <c r="Q632" s="1" t="str">
        <f>IF(OR($B632="",Q$7=""),"",IF($B632="MEANS",INDEX('1-DATA'!$1:$1048576,$A631-1,COLUMN('1-DATA'!P630)),ROUND(INDEX('1-DATA'!$1:$1048576,IF(OR($B632="STD. DEVIATION",$C$1=1),$A632,$A632+1),COLUMN('1-DATA'!P630)),IF($B632="STD. DEVIATION",2,$F$1))))</f>
        <v/>
      </c>
      <c r="R632" s="1" t="str">
        <f>IF(OR($B632="",R$7=""),"",IF($B632="MEANS",INDEX('1-DATA'!$1:$1048576,$A631-1,COLUMN('1-DATA'!Q630)),ROUND(INDEX('1-DATA'!$1:$1048576,IF(OR($B632="STD. DEVIATION",$C$1=1),$A632,$A632+1),COLUMN('1-DATA'!Q630)),IF($B632="STD. DEVIATION",2,$F$1))))</f>
        <v/>
      </c>
      <c r="S632" s="1" t="str">
        <f>IF(OR($B632="",S$7=""),"",IF($B632="MEANS",INDEX('1-DATA'!$1:$1048576,$A631-1,COLUMN('1-DATA'!R630)),ROUND(INDEX('1-DATA'!$1:$1048576,IF(OR($B632="STD. DEVIATION",$C$1=1),$A632,$A632+1),COLUMN('1-DATA'!R630)),IF($B632="STD. DEVIATION",2,$F$1))))</f>
        <v/>
      </c>
      <c r="T632" s="1" t="str">
        <f>IF(OR($B632="",T$7=""),"",IF($B632="MEANS",INDEX('1-DATA'!$1:$1048576,$A631-1,COLUMN('1-DATA'!S630)),ROUND(INDEX('1-DATA'!$1:$1048576,IF(OR($B632="STD. DEVIATION",$C$1=1),$A632,$A632+1),COLUMN('1-DATA'!S630)),IF($B632="STD. DEVIATION",2,$F$1))))</f>
        <v/>
      </c>
      <c r="U632" s="1" t="str">
        <f>IF(OR($B632="",U$7=""),"",IF($B632="MEANS",INDEX('1-DATA'!$1:$1048576,$A631-1,COLUMN('1-DATA'!T630)),ROUND(INDEX('1-DATA'!$1:$1048576,IF(OR($B632="STD. DEVIATION",$C$1=1),$A632,$A632+1),COLUMN('1-DATA'!T630)),IF($B632="STD. DEVIATION",2,$F$1))))</f>
        <v/>
      </c>
      <c r="V632" s="1" t="str">
        <f>IF(OR($B632="",V$7=""),"",IF($B632="MEANS",INDEX('1-DATA'!$1:$1048576,$A631-1,COLUMN('1-DATA'!U630)),ROUND(INDEX('1-DATA'!$1:$1048576,IF(OR($B632="STD. DEVIATION",$C$1=1),$A632,$A632+1),COLUMN('1-DATA'!U630)),IF($B632="STD. DEVIATION",2,$F$1))))</f>
        <v/>
      </c>
      <c r="W632" s="1" t="str">
        <f>IF(OR($B632="",W$7=""),"",IF($B632="MEANS",INDEX('1-DATA'!$1:$1048576,$A631-1,COLUMN('1-DATA'!V630)),ROUND(INDEX('1-DATA'!$1:$1048576,IF(OR($B632="STD. DEVIATION",$C$1=1),$A632,$A632+1),COLUMN('1-DATA'!V630)),IF($B632="STD. DEVIATION",2,$F$1))))</f>
        <v/>
      </c>
      <c r="X632" s="1" t="str">
        <f>IF(OR($B632="",X$7=""),"",IF($B632="MEANS",INDEX('1-DATA'!$1:$1048576,$A631-1,COLUMN('1-DATA'!W630)),ROUND(INDEX('1-DATA'!$1:$1048576,IF(OR($B632="STD. DEVIATION",$C$1=1),$A632,$A632+1),COLUMN('1-DATA'!W630)),IF($B632="STD. DEVIATION",2,$F$1))))</f>
        <v/>
      </c>
      <c r="Y632" s="1" t="str">
        <f>IF(OR($B632="",Y$7=""),"",IF($B632="MEANS",INDEX('1-DATA'!$1:$1048576,$A631-1,COLUMN('1-DATA'!X630)),ROUND(INDEX('1-DATA'!$1:$1048576,IF(OR($B632="STD. DEVIATION",$C$1=1),$A632,$A632+1),COLUMN('1-DATA'!X630)),IF($B632="STD. DEVIATION",2,$F$1))))</f>
        <v/>
      </c>
      <c r="Z632" s="1" t="str">
        <f>IF(OR($B632="",Z$7=""),"",IF($B632="MEANS",INDEX('1-DATA'!$1:$1048576,$A631-1,COLUMN('1-DATA'!Y630)),ROUND(INDEX('1-DATA'!$1:$1048576,IF(OR($B632="STD. DEVIATION",$C$1=1),$A632,$A632+1),COLUMN('1-DATA'!Y630)),IF($B632="STD. DEVIATION",2,$F$1))))</f>
        <v/>
      </c>
      <c r="AA632" s="1" t="str">
        <f>IF(OR($B632="",AA$7=""),"",IF($B632="MEANS",INDEX('1-DATA'!$1:$1048576,$A631-1,COLUMN('1-DATA'!Z630)),ROUND(INDEX('1-DATA'!$1:$1048576,IF(OR($B632="STD. DEVIATION",$C$1=1),$A632,$A632+1),COLUMN('1-DATA'!Z630)),IF($B632="STD. DEVIATION",2,$F$1))))</f>
        <v/>
      </c>
      <c r="AB632" s="1" t="str">
        <f>IF(OR($B632="",AB$7=""),"",IF($B632="MEANS",INDEX('1-DATA'!$1:$1048576,$A631-1,COLUMN('1-DATA'!AA630)),ROUND(INDEX('1-DATA'!$1:$1048576,IF(OR($B632="STD. DEVIATION",$C$1=1),$A632,$A632+1),COLUMN('1-DATA'!AA630)),IF($B632="STD. DEVIATION",2,$F$1))))</f>
        <v/>
      </c>
      <c r="AC632" s="1" t="str">
        <f>IF(OR($B632="",AC$7=""),"",IF($B632="MEANS",INDEX('1-DATA'!$1:$1048576,$A631-1,COLUMN('1-DATA'!AB630)),ROUND(INDEX('1-DATA'!$1:$1048576,IF(OR($B632="STD. DEVIATION",$C$1=1),$A632,$A632+1),COLUMN('1-DATA'!AB630)),IF($B632="STD. DEVIATION",2,$F$1))))</f>
        <v/>
      </c>
      <c r="AD632" s="1" t="str">
        <f>IF(OR($B632="",AD$7=""),"",IF($B632="MEANS",INDEX('1-DATA'!$1:$1048576,$A631-1,COLUMN('1-DATA'!AC630)),ROUND(INDEX('1-DATA'!$1:$1048576,IF(OR($B632="STD. DEVIATION",$C$1=1),$A632,$A632+1),COLUMN('1-DATA'!AC630)),IF($B632="STD. DEVIATION",2,$F$1))))</f>
        <v/>
      </c>
      <c r="AE632" s="1" t="str">
        <f>IF(OR($B632="",AE$7=""),"",IF($B632="MEANS",INDEX('1-DATA'!$1:$1048576,$A631-1,COLUMN('1-DATA'!AD630)),ROUND(INDEX('1-DATA'!$1:$1048576,IF(OR($B632="STD. DEVIATION",$C$1=1),$A632,$A632+1),COLUMN('1-DATA'!AD630)),IF($B632="STD. DEVIATION",2,$F$1))))</f>
        <v/>
      </c>
      <c r="AF632" s="1" t="str">
        <f>IF(OR($B632="",AF$7=""),"",IF($B632="MEANS",INDEX('1-DATA'!$1:$1048576,$A631-1,COLUMN('1-DATA'!AE630)),ROUND(INDEX('1-DATA'!$1:$1048576,IF(OR($B632="STD. DEVIATION",$C$1=1),$A632,$A632+1),COLUMN('1-DATA'!AE630)),IF($B632="STD. DEVIATION",2,$F$1))))</f>
        <v/>
      </c>
      <c r="AG632" s="1" t="str">
        <f>IF(OR($B632="",AG$7=""),"",IF($B632="MEANS",INDEX('1-DATA'!$1:$1048576,$A631-1,COLUMN('1-DATA'!AF630)),ROUND(INDEX('1-DATA'!$1:$1048576,IF(OR($B632="STD. DEVIATION",$C$1=1),$A632,$A632+1),COLUMN('1-DATA'!AF630)),IF($B632="STD. DEVIATION",2,$F$1))))</f>
        <v/>
      </c>
      <c r="AH632" s="1" t="str">
        <f>IF(OR($B632="",AH$7=""),"",IF($B632="MEANS",INDEX('1-DATA'!$1:$1048576,$A631-1,COLUMN('1-DATA'!AG630)),ROUND(INDEX('1-DATA'!$1:$1048576,IF(OR($B632="STD. DEVIATION",$C$1=1),$A632,$A632+1),COLUMN('1-DATA'!AG630)),IF($B632="STD. DEVIATION",2,$F$1))))</f>
        <v/>
      </c>
      <c r="AI632" s="1" t="str">
        <f>IF(OR($B632="",AI$7=""),"",IF($B632="MEANS",INDEX('1-DATA'!$1:$1048576,$A631-1,COLUMN('1-DATA'!AH630)),ROUND(INDEX('1-DATA'!$1:$1048576,IF(OR($B632="STD. DEVIATION",$C$1=1),$A632,$A632+1),COLUMN('1-DATA'!AH630)),IF($B632="STD. DEVIATION",2,$F$1))))</f>
        <v/>
      </c>
      <c r="AJ632" s="1" t="str">
        <f>IF(OR($B632="",AJ$7=""),"",IF($B632="MEANS",INDEX('1-DATA'!$1:$1048576,$A631-1,COLUMN('1-DATA'!AI630)),ROUND(INDEX('1-DATA'!$1:$1048576,IF(OR($B632="STD. DEVIATION",$C$1=1),$A632,$A632+1),COLUMN('1-DATA'!AI630)),IF($B632="STD. DEVIATION",2,$F$1))))</f>
        <v/>
      </c>
      <c r="AK632" s="1" t="str">
        <f>IF(OR($B632="",AK$7=""),"",IF($B632="MEANS",INDEX('1-DATA'!$1:$1048576,$A631-1,COLUMN('1-DATA'!AJ630)),ROUND(INDEX('1-DATA'!$1:$1048576,IF(OR($B632="STD. DEVIATION",$C$1=1),$A632,$A632+1),COLUMN('1-DATA'!AJ630)),IF($B632="STD. DEVIATION",2,$F$1))))</f>
        <v/>
      </c>
      <c r="AL632" s="1" t="str">
        <f>IF(OR($B632="",AL$7=""),"",IF($B632="MEANS",INDEX('1-DATA'!$1:$1048576,$A631-1,COLUMN('1-DATA'!AK630)),ROUND(INDEX('1-DATA'!$1:$1048576,IF(OR($B632="STD. DEVIATION",$C$1=1),$A632,$A632+1),COLUMN('1-DATA'!AK630)),IF($B632="STD. DEVIATION",2,$F$1))))</f>
        <v/>
      </c>
      <c r="AM632" s="1" t="str">
        <f>IF(OR($B632="",AM$7=""),"",IF($B632="MEANS",INDEX('1-DATA'!$1:$1048576,$A631-1,COLUMN('1-DATA'!AL630)),ROUND(INDEX('1-DATA'!$1:$1048576,IF(OR($B632="STD. DEVIATION",$C$1=1),$A632,$A632+1),COLUMN('1-DATA'!AL630)),IF($B632="STD. DEVIATION",2,$F$1))))</f>
        <v/>
      </c>
      <c r="AN632" s="1" t="str">
        <f>IF(OR($B632="",AN$7=""),"",IF($B632="MEANS",INDEX('1-DATA'!$1:$1048576,$A631-1,COLUMN('1-DATA'!AM630)),ROUND(INDEX('1-DATA'!$1:$1048576,IF(OR($B632="STD. DEVIATION",$C$1=1),$A632,$A632+1),COLUMN('1-DATA'!AM630)),IF($B632="STD. DEVIATION",2,$F$1))))</f>
        <v/>
      </c>
      <c r="AO632" s="1" t="str">
        <f>IF(OR($B632="",AO$7=""),"",IF($B632="MEANS",INDEX('1-DATA'!$1:$1048576,$A631-1,COLUMN('1-DATA'!AN630)),ROUND(INDEX('1-DATA'!$1:$1048576,IF(OR($B632="STD. DEVIATION",$C$1=1),$A632,$A632+1),COLUMN('1-DATA'!AN630)),IF($B632="STD. DEVIATION",2,$F$1))))</f>
        <v/>
      </c>
      <c r="AP632" s="1" t="str">
        <f>IF(OR($B632="",AP$7=""),"",IF($B632="MEANS",INDEX('1-DATA'!$1:$1048576,$A631-1,COLUMN('1-DATA'!AO630)),ROUND(INDEX('1-DATA'!$1:$1048576,IF(OR($B632="STD. DEVIATION",$C$1=1),$A632,$A632+1),COLUMN('1-DATA'!AO630)),IF($B632="STD. DEVIATION",2,$F$1))))</f>
        <v/>
      </c>
      <c r="AQ632" s="1" t="str">
        <f>IF(OR($B632="",AQ$7=""),"",IF($B632="MEANS",INDEX('1-DATA'!$1:$1048576,$A631-1,COLUMN('1-DATA'!AP630)),ROUND(INDEX('1-DATA'!$1:$1048576,IF(OR($B632="STD. DEVIATION",$C$1=1),$A632,$A632+1),COLUMN('1-DATA'!AP630)),IF($B632="STD. DEVIATION",2,$F$1))))</f>
        <v/>
      </c>
      <c r="AR632" s="1" t="str">
        <f>IF(OR($B632="",AR$7=""),"",IF($B632="MEANS",INDEX('1-DATA'!$1:$1048576,$A631-1,COLUMN('1-DATA'!AQ630)),ROUND(INDEX('1-DATA'!$1:$1048576,IF(OR($B632="STD. DEVIATION",$C$1=1),$A632,$A632+1),COLUMN('1-DATA'!AQ630)),IF($B632="STD. DEVIATION",2,$F$1))))</f>
        <v/>
      </c>
      <c r="AS632" s="1" t="str">
        <f>IF(OR($B632="",AS$7=""),"",IF($B632="MEANS",INDEX('1-DATA'!$1:$1048576,$A631-1,COLUMN('1-DATA'!AR630)),ROUND(INDEX('1-DATA'!$1:$1048576,IF(OR($B632="STD. DEVIATION",$C$1=1),$A632,$A632+1),COLUMN('1-DATA'!AR630)),IF($B632="STD. DEVIATION",2,$F$1))))</f>
        <v/>
      </c>
      <c r="AT632" s="1" t="str">
        <f>IF(OR($B632="",AT$7=""),"",IF($B632="MEANS",INDEX('1-DATA'!$1:$1048576,$A631-1,COLUMN('1-DATA'!AS630)),ROUND(INDEX('1-DATA'!$1:$1048576,IF(OR($B632="STD. DEVIATION",$C$1=1),$A632,$A632+1),COLUMN('1-DATA'!AS630)),IF($B632="STD. DEVIATION",2,$F$1))))</f>
        <v/>
      </c>
      <c r="AU632" s="1" t="str">
        <f>IF(OR($B632="",AU$7=""),"",IF($B632="MEANS",INDEX('1-DATA'!$1:$1048576,$A631-1,COLUMN('1-DATA'!AT630)),ROUND(INDEX('1-DATA'!$1:$1048576,IF(OR($B632="STD. DEVIATION",$C$1=1),$A632,$A632+1),COLUMN('1-DATA'!AT630)),IF($B632="STD. DEVIATION",2,$F$1))))</f>
        <v/>
      </c>
      <c r="AV632" s="1" t="str">
        <f>IF(OR($B632="",AV$7=""),"",IF($B632="MEANS",INDEX('1-DATA'!$1:$1048576,$A631-1,COLUMN('1-DATA'!AU630)),ROUND(INDEX('1-DATA'!$1:$1048576,IF(OR($B632="STD. DEVIATION",$C$1=1),$A632,$A632+1),COLUMN('1-DATA'!AU630)),IF($B632="STD. DEVIATION",2,$F$1))))</f>
        <v/>
      </c>
      <c r="AW632" s="1" t="str">
        <f>IF(OR($B632="",AW$7=""),"",IF($B632="MEANS",INDEX('1-DATA'!$1:$1048576,$A631-1,COLUMN('1-DATA'!AV630)),ROUND(INDEX('1-DATA'!$1:$1048576,IF(OR($B632="STD. DEVIATION",$C$1=1),$A632,$A632+1),COLUMN('1-DATA'!AV630)),IF($B632="STD. DEVIATION",2,$F$1))))</f>
        <v/>
      </c>
      <c r="AX632" s="1" t="str">
        <f>IF(OR($B632="",AX$7=""),"",IF($B632="MEANS",INDEX('1-DATA'!$1:$1048576,$A631-1,COLUMN('1-DATA'!AW630)),ROUND(INDEX('1-DATA'!$1:$1048576,IF(OR($B632="STD. DEVIATION",$C$1=1),$A632,$A632+1),COLUMN('1-DATA'!AW630)),IF($B632="STD. DEVIATION",2,$F$1))))</f>
        <v/>
      </c>
      <c r="AY632" s="1" t="str">
        <f>IF(OR($B632="",AY$7=""),"",IF($B632="MEANS",INDEX('1-DATA'!$1:$1048576,$A631-1,COLUMN('1-DATA'!AX630)),ROUND(INDEX('1-DATA'!$1:$1048576,IF(OR($B632="STD. DEVIATION",$C$1=1),$A632,$A632+1),COLUMN('1-DATA'!AX630)),IF($B632="STD. DEVIATION",2,$F$1))))</f>
        <v/>
      </c>
      <c r="AZ632" s="1" t="str">
        <f>IF(OR($B632="",AZ$7=""),"",IF($B632="MEANS",INDEX('1-DATA'!$1:$1048576,$A631-1,COLUMN('1-DATA'!AY630)),ROUND(INDEX('1-DATA'!$1:$1048576,IF(OR($B632="STD. DEVIATION",$C$1=1),$A632,$A632+1),COLUMN('1-DATA'!AY630)),IF($B632="STD. DEVIATION",2,$F$1))))</f>
        <v/>
      </c>
    </row>
    <row r="633" spans="1:52" x14ac:dyDescent="0.25">
      <c r="A633" s="11">
        <f t="shared" si="10"/>
        <v>1885</v>
      </c>
      <c r="B633" s="1" t="str">
        <f>IF(B632="STD. DEVIATION",INDEX('1-DATA'!$1:$1048576,$A632-1,1),IF(INDEX('1-DATA'!$1:$1048576,$A633,1)&lt;&gt;"",INDEX('1-DATA'!$1:$1048576,$A633,1),""))</f>
        <v/>
      </c>
      <c r="C633" s="1" t="str">
        <f>IF(OR($B633="",C$7=""),"",IF($B633="MEANS",INDEX('1-DATA'!$1:$1048576,$A632-1,COLUMN('1-DATA'!B631)),ROUND(INDEX('1-DATA'!$1:$1048576,IF(OR($B633="STD. DEVIATION",$C$1=1),$A633,$A633+1),COLUMN('1-DATA'!B631)),IF($B633="STD. DEVIATION",2,$F$1))))</f>
        <v/>
      </c>
      <c r="D633" s="1" t="str">
        <f>IF(OR($B633="",D$7=""),"",IF($B633="MEANS",INDEX('1-DATA'!$1:$1048576,$A632-1,COLUMN('1-DATA'!C631)),ROUND(INDEX('1-DATA'!$1:$1048576,IF(OR($B633="STD. DEVIATION",$C$1=1),$A633,$A633+1),COLUMN('1-DATA'!C631)),IF($B633="STD. DEVIATION",2,$F$1))))</f>
        <v/>
      </c>
      <c r="E633" s="1" t="str">
        <f>IF(OR($B633="",E$7=""),"",IF($B633="MEANS",INDEX('1-DATA'!$1:$1048576,$A632-1,COLUMN('1-DATA'!D631)),ROUND(INDEX('1-DATA'!$1:$1048576,IF(OR($B633="STD. DEVIATION",$C$1=1),$A633,$A633+1),COLUMN('1-DATA'!D631)),IF($B633="STD. DEVIATION",2,$F$1))))</f>
        <v/>
      </c>
      <c r="F633" s="1" t="str">
        <f>IF(OR($B633="",F$7=""),"",IF($B633="MEANS",INDEX('1-DATA'!$1:$1048576,$A632-1,COLUMN('1-DATA'!E631)),ROUND(INDEX('1-DATA'!$1:$1048576,IF(OR($B633="STD. DEVIATION",$C$1=1),$A633,$A633+1),COLUMN('1-DATA'!E631)),IF($B633="STD. DEVIATION",2,$F$1))))</f>
        <v/>
      </c>
      <c r="G633" s="1" t="str">
        <f>IF(OR($B633="",G$7=""),"",IF($B633="MEANS",INDEX('1-DATA'!$1:$1048576,$A632-1,COLUMN('1-DATA'!F631)),ROUND(INDEX('1-DATA'!$1:$1048576,IF(OR($B633="STD. DEVIATION",$C$1=1),$A633,$A633+1),COLUMN('1-DATA'!F631)),IF($B633="STD. DEVIATION",2,$F$1))))</f>
        <v/>
      </c>
      <c r="H633" s="1" t="str">
        <f>IF(OR($B633="",H$7=""),"",IF($B633="MEANS",INDEX('1-DATA'!$1:$1048576,$A632-1,COLUMN('1-DATA'!G631)),ROUND(INDEX('1-DATA'!$1:$1048576,IF(OR($B633="STD. DEVIATION",$C$1=1),$A633,$A633+1),COLUMN('1-DATA'!G631)),IF($B633="STD. DEVIATION",2,$F$1))))</f>
        <v/>
      </c>
      <c r="I633" s="1" t="str">
        <f>IF(OR($B633="",I$7=""),"",IF($B633="MEANS",INDEX('1-DATA'!$1:$1048576,$A632-1,COLUMN('1-DATA'!H631)),ROUND(INDEX('1-DATA'!$1:$1048576,IF(OR($B633="STD. DEVIATION",$C$1=1),$A633,$A633+1),COLUMN('1-DATA'!H631)),IF($B633="STD. DEVIATION",2,$F$1))))</f>
        <v/>
      </c>
      <c r="J633" s="1" t="str">
        <f>IF(OR($B633="",J$7=""),"",IF($B633="MEANS",INDEX('1-DATA'!$1:$1048576,$A632-1,COLUMN('1-DATA'!I631)),ROUND(INDEX('1-DATA'!$1:$1048576,IF(OR($B633="STD. DEVIATION",$C$1=1),$A633,$A633+1),COLUMN('1-DATA'!I631)),IF($B633="STD. DEVIATION",2,$F$1))))</f>
        <v/>
      </c>
      <c r="K633" s="1" t="str">
        <f>IF(OR($B633="",K$7=""),"",IF($B633="MEANS",INDEX('1-DATA'!$1:$1048576,$A632-1,COLUMN('1-DATA'!J631)),ROUND(INDEX('1-DATA'!$1:$1048576,IF(OR($B633="STD. DEVIATION",$C$1=1),$A633,$A633+1),COLUMN('1-DATA'!J631)),IF($B633="STD. DEVIATION",2,$F$1))))</f>
        <v/>
      </c>
      <c r="L633" s="1" t="str">
        <f>IF(OR($B633="",L$7=""),"",IF($B633="MEANS",INDEX('1-DATA'!$1:$1048576,$A632-1,COLUMN('1-DATA'!K631)),ROUND(INDEX('1-DATA'!$1:$1048576,IF(OR($B633="STD. DEVIATION",$C$1=1),$A633,$A633+1),COLUMN('1-DATA'!K631)),IF($B633="STD. DEVIATION",2,$F$1))))</f>
        <v/>
      </c>
      <c r="M633" s="1" t="str">
        <f>IF(OR($B633="",M$7=""),"",IF($B633="MEANS",INDEX('1-DATA'!$1:$1048576,$A632-1,COLUMN('1-DATA'!L631)),ROUND(INDEX('1-DATA'!$1:$1048576,IF(OR($B633="STD. DEVIATION",$C$1=1),$A633,$A633+1),COLUMN('1-DATA'!L631)),IF($B633="STD. DEVIATION",2,$F$1))))</f>
        <v/>
      </c>
      <c r="N633" s="1" t="str">
        <f>IF(OR($B633="",N$7=""),"",IF($B633="MEANS",INDEX('1-DATA'!$1:$1048576,$A632-1,COLUMN('1-DATA'!M631)),ROUND(INDEX('1-DATA'!$1:$1048576,IF(OR($B633="STD. DEVIATION",$C$1=1),$A633,$A633+1),COLUMN('1-DATA'!M631)),IF($B633="STD. DEVIATION",2,$F$1))))</f>
        <v/>
      </c>
      <c r="O633" s="1" t="str">
        <f>IF(OR($B633="",O$7=""),"",IF($B633="MEANS",INDEX('1-DATA'!$1:$1048576,$A632-1,COLUMN('1-DATA'!N631)),ROUND(INDEX('1-DATA'!$1:$1048576,IF(OR($B633="STD. DEVIATION",$C$1=1),$A633,$A633+1),COLUMN('1-DATA'!N631)),IF($B633="STD. DEVIATION",2,$F$1))))</f>
        <v/>
      </c>
      <c r="P633" s="1" t="str">
        <f>IF(OR($B633="",P$7=""),"",IF($B633="MEANS",INDEX('1-DATA'!$1:$1048576,$A632-1,COLUMN('1-DATA'!O631)),ROUND(INDEX('1-DATA'!$1:$1048576,IF(OR($B633="STD. DEVIATION",$C$1=1),$A633,$A633+1),COLUMN('1-DATA'!O631)),IF($B633="STD. DEVIATION",2,$F$1))))</f>
        <v/>
      </c>
      <c r="Q633" s="1" t="str">
        <f>IF(OR($B633="",Q$7=""),"",IF($B633="MEANS",INDEX('1-DATA'!$1:$1048576,$A632-1,COLUMN('1-DATA'!P631)),ROUND(INDEX('1-DATA'!$1:$1048576,IF(OR($B633="STD. DEVIATION",$C$1=1),$A633,$A633+1),COLUMN('1-DATA'!P631)),IF($B633="STD. DEVIATION",2,$F$1))))</f>
        <v/>
      </c>
      <c r="R633" s="1" t="str">
        <f>IF(OR($B633="",R$7=""),"",IF($B633="MEANS",INDEX('1-DATA'!$1:$1048576,$A632-1,COLUMN('1-DATA'!Q631)),ROUND(INDEX('1-DATA'!$1:$1048576,IF(OR($B633="STD. DEVIATION",$C$1=1),$A633,$A633+1),COLUMN('1-DATA'!Q631)),IF($B633="STD. DEVIATION",2,$F$1))))</f>
        <v/>
      </c>
      <c r="S633" s="1" t="str">
        <f>IF(OR($B633="",S$7=""),"",IF($B633="MEANS",INDEX('1-DATA'!$1:$1048576,$A632-1,COLUMN('1-DATA'!R631)),ROUND(INDEX('1-DATA'!$1:$1048576,IF(OR($B633="STD. DEVIATION",$C$1=1),$A633,$A633+1),COLUMN('1-DATA'!R631)),IF($B633="STD. DEVIATION",2,$F$1))))</f>
        <v/>
      </c>
      <c r="T633" s="1" t="str">
        <f>IF(OR($B633="",T$7=""),"",IF($B633="MEANS",INDEX('1-DATA'!$1:$1048576,$A632-1,COLUMN('1-DATA'!S631)),ROUND(INDEX('1-DATA'!$1:$1048576,IF(OR($B633="STD. DEVIATION",$C$1=1),$A633,$A633+1),COLUMN('1-DATA'!S631)),IF($B633="STD. DEVIATION",2,$F$1))))</f>
        <v/>
      </c>
      <c r="U633" s="1" t="str">
        <f>IF(OR($B633="",U$7=""),"",IF($B633="MEANS",INDEX('1-DATA'!$1:$1048576,$A632-1,COLUMN('1-DATA'!T631)),ROUND(INDEX('1-DATA'!$1:$1048576,IF(OR($B633="STD. DEVIATION",$C$1=1),$A633,$A633+1),COLUMN('1-DATA'!T631)),IF($B633="STD. DEVIATION",2,$F$1))))</f>
        <v/>
      </c>
      <c r="V633" s="1" t="str">
        <f>IF(OR($B633="",V$7=""),"",IF($B633="MEANS",INDEX('1-DATA'!$1:$1048576,$A632-1,COLUMN('1-DATA'!U631)),ROUND(INDEX('1-DATA'!$1:$1048576,IF(OR($B633="STD. DEVIATION",$C$1=1),$A633,$A633+1),COLUMN('1-DATA'!U631)),IF($B633="STD. DEVIATION",2,$F$1))))</f>
        <v/>
      </c>
      <c r="W633" s="1" t="str">
        <f>IF(OR($B633="",W$7=""),"",IF($B633="MEANS",INDEX('1-DATA'!$1:$1048576,$A632-1,COLUMN('1-DATA'!V631)),ROUND(INDEX('1-DATA'!$1:$1048576,IF(OR($B633="STD. DEVIATION",$C$1=1),$A633,$A633+1),COLUMN('1-DATA'!V631)),IF($B633="STD. DEVIATION",2,$F$1))))</f>
        <v/>
      </c>
      <c r="X633" s="1" t="str">
        <f>IF(OR($B633="",X$7=""),"",IF($B633="MEANS",INDEX('1-DATA'!$1:$1048576,$A632-1,COLUMN('1-DATA'!W631)),ROUND(INDEX('1-DATA'!$1:$1048576,IF(OR($B633="STD. DEVIATION",$C$1=1),$A633,$A633+1),COLUMN('1-DATA'!W631)),IF($B633="STD. DEVIATION",2,$F$1))))</f>
        <v/>
      </c>
      <c r="Y633" s="1" t="str">
        <f>IF(OR($B633="",Y$7=""),"",IF($B633="MEANS",INDEX('1-DATA'!$1:$1048576,$A632-1,COLUMN('1-DATA'!X631)),ROUND(INDEX('1-DATA'!$1:$1048576,IF(OR($B633="STD. DEVIATION",$C$1=1),$A633,$A633+1),COLUMN('1-DATA'!X631)),IF($B633="STD. DEVIATION",2,$F$1))))</f>
        <v/>
      </c>
      <c r="Z633" s="1" t="str">
        <f>IF(OR($B633="",Z$7=""),"",IF($B633="MEANS",INDEX('1-DATA'!$1:$1048576,$A632-1,COLUMN('1-DATA'!Y631)),ROUND(INDEX('1-DATA'!$1:$1048576,IF(OR($B633="STD. DEVIATION",$C$1=1),$A633,$A633+1),COLUMN('1-DATA'!Y631)),IF($B633="STD. DEVIATION",2,$F$1))))</f>
        <v/>
      </c>
      <c r="AA633" s="1" t="str">
        <f>IF(OR($B633="",AA$7=""),"",IF($B633="MEANS",INDEX('1-DATA'!$1:$1048576,$A632-1,COLUMN('1-DATA'!Z631)),ROUND(INDEX('1-DATA'!$1:$1048576,IF(OR($B633="STD. DEVIATION",$C$1=1),$A633,$A633+1),COLUMN('1-DATA'!Z631)),IF($B633="STD. DEVIATION",2,$F$1))))</f>
        <v/>
      </c>
      <c r="AB633" s="1" t="str">
        <f>IF(OR($B633="",AB$7=""),"",IF($B633="MEANS",INDEX('1-DATA'!$1:$1048576,$A632-1,COLUMN('1-DATA'!AA631)),ROUND(INDEX('1-DATA'!$1:$1048576,IF(OR($B633="STD. DEVIATION",$C$1=1),$A633,$A633+1),COLUMN('1-DATA'!AA631)),IF($B633="STD. DEVIATION",2,$F$1))))</f>
        <v/>
      </c>
      <c r="AC633" s="1" t="str">
        <f>IF(OR($B633="",AC$7=""),"",IF($B633="MEANS",INDEX('1-DATA'!$1:$1048576,$A632-1,COLUMN('1-DATA'!AB631)),ROUND(INDEX('1-DATA'!$1:$1048576,IF(OR($B633="STD. DEVIATION",$C$1=1),$A633,$A633+1),COLUMN('1-DATA'!AB631)),IF($B633="STD. DEVIATION",2,$F$1))))</f>
        <v/>
      </c>
      <c r="AD633" s="1" t="str">
        <f>IF(OR($B633="",AD$7=""),"",IF($B633="MEANS",INDEX('1-DATA'!$1:$1048576,$A632-1,COLUMN('1-DATA'!AC631)),ROUND(INDEX('1-DATA'!$1:$1048576,IF(OR($B633="STD. DEVIATION",$C$1=1),$A633,$A633+1),COLUMN('1-DATA'!AC631)),IF($B633="STD. DEVIATION",2,$F$1))))</f>
        <v/>
      </c>
      <c r="AE633" s="1" t="str">
        <f>IF(OR($B633="",AE$7=""),"",IF($B633="MEANS",INDEX('1-DATA'!$1:$1048576,$A632-1,COLUMN('1-DATA'!AD631)),ROUND(INDEX('1-DATA'!$1:$1048576,IF(OR($B633="STD. DEVIATION",$C$1=1),$A633,$A633+1),COLUMN('1-DATA'!AD631)),IF($B633="STD. DEVIATION",2,$F$1))))</f>
        <v/>
      </c>
      <c r="AF633" s="1" t="str">
        <f>IF(OR($B633="",AF$7=""),"",IF($B633="MEANS",INDEX('1-DATA'!$1:$1048576,$A632-1,COLUMN('1-DATA'!AE631)),ROUND(INDEX('1-DATA'!$1:$1048576,IF(OR($B633="STD. DEVIATION",$C$1=1),$A633,$A633+1),COLUMN('1-DATA'!AE631)),IF($B633="STD. DEVIATION",2,$F$1))))</f>
        <v/>
      </c>
      <c r="AG633" s="1" t="str">
        <f>IF(OR($B633="",AG$7=""),"",IF($B633="MEANS",INDEX('1-DATA'!$1:$1048576,$A632-1,COLUMN('1-DATA'!AF631)),ROUND(INDEX('1-DATA'!$1:$1048576,IF(OR($B633="STD. DEVIATION",$C$1=1),$A633,$A633+1),COLUMN('1-DATA'!AF631)),IF($B633="STD. DEVIATION",2,$F$1))))</f>
        <v/>
      </c>
      <c r="AH633" s="1" t="str">
        <f>IF(OR($B633="",AH$7=""),"",IF($B633="MEANS",INDEX('1-DATA'!$1:$1048576,$A632-1,COLUMN('1-DATA'!AG631)),ROUND(INDEX('1-DATA'!$1:$1048576,IF(OR($B633="STD. DEVIATION",$C$1=1),$A633,$A633+1),COLUMN('1-DATA'!AG631)),IF($B633="STD. DEVIATION",2,$F$1))))</f>
        <v/>
      </c>
      <c r="AI633" s="1" t="str">
        <f>IF(OR($B633="",AI$7=""),"",IF($B633="MEANS",INDEX('1-DATA'!$1:$1048576,$A632-1,COLUMN('1-DATA'!AH631)),ROUND(INDEX('1-DATA'!$1:$1048576,IF(OR($B633="STD. DEVIATION",$C$1=1),$A633,$A633+1),COLUMN('1-DATA'!AH631)),IF($B633="STD. DEVIATION",2,$F$1))))</f>
        <v/>
      </c>
      <c r="AJ633" s="1" t="str">
        <f>IF(OR($B633="",AJ$7=""),"",IF($B633="MEANS",INDEX('1-DATA'!$1:$1048576,$A632-1,COLUMN('1-DATA'!AI631)),ROUND(INDEX('1-DATA'!$1:$1048576,IF(OR($B633="STD. DEVIATION",$C$1=1),$A633,$A633+1),COLUMN('1-DATA'!AI631)),IF($B633="STD. DEVIATION",2,$F$1))))</f>
        <v/>
      </c>
      <c r="AK633" s="1" t="str">
        <f>IF(OR($B633="",AK$7=""),"",IF($B633="MEANS",INDEX('1-DATA'!$1:$1048576,$A632-1,COLUMN('1-DATA'!AJ631)),ROUND(INDEX('1-DATA'!$1:$1048576,IF(OR($B633="STD. DEVIATION",$C$1=1),$A633,$A633+1),COLUMN('1-DATA'!AJ631)),IF($B633="STD. DEVIATION",2,$F$1))))</f>
        <v/>
      </c>
      <c r="AL633" s="1" t="str">
        <f>IF(OR($B633="",AL$7=""),"",IF($B633="MEANS",INDEX('1-DATA'!$1:$1048576,$A632-1,COLUMN('1-DATA'!AK631)),ROUND(INDEX('1-DATA'!$1:$1048576,IF(OR($B633="STD. DEVIATION",$C$1=1),$A633,$A633+1),COLUMN('1-DATA'!AK631)),IF($B633="STD. DEVIATION",2,$F$1))))</f>
        <v/>
      </c>
      <c r="AM633" s="1" t="str">
        <f>IF(OR($B633="",AM$7=""),"",IF($B633="MEANS",INDEX('1-DATA'!$1:$1048576,$A632-1,COLUMN('1-DATA'!AL631)),ROUND(INDEX('1-DATA'!$1:$1048576,IF(OR($B633="STD. DEVIATION",$C$1=1),$A633,$A633+1),COLUMN('1-DATA'!AL631)),IF($B633="STD. DEVIATION",2,$F$1))))</f>
        <v/>
      </c>
      <c r="AN633" s="1" t="str">
        <f>IF(OR($B633="",AN$7=""),"",IF($B633="MEANS",INDEX('1-DATA'!$1:$1048576,$A632-1,COLUMN('1-DATA'!AM631)),ROUND(INDEX('1-DATA'!$1:$1048576,IF(OR($B633="STD. DEVIATION",$C$1=1),$A633,$A633+1),COLUMN('1-DATA'!AM631)),IF($B633="STD. DEVIATION",2,$F$1))))</f>
        <v/>
      </c>
      <c r="AO633" s="1" t="str">
        <f>IF(OR($B633="",AO$7=""),"",IF($B633="MEANS",INDEX('1-DATA'!$1:$1048576,$A632-1,COLUMN('1-DATA'!AN631)),ROUND(INDEX('1-DATA'!$1:$1048576,IF(OR($B633="STD. DEVIATION",$C$1=1),$A633,$A633+1),COLUMN('1-DATA'!AN631)),IF($B633="STD. DEVIATION",2,$F$1))))</f>
        <v/>
      </c>
      <c r="AP633" s="1" t="str">
        <f>IF(OR($B633="",AP$7=""),"",IF($B633="MEANS",INDEX('1-DATA'!$1:$1048576,$A632-1,COLUMN('1-DATA'!AO631)),ROUND(INDEX('1-DATA'!$1:$1048576,IF(OR($B633="STD. DEVIATION",$C$1=1),$A633,$A633+1),COLUMN('1-DATA'!AO631)),IF($B633="STD. DEVIATION",2,$F$1))))</f>
        <v/>
      </c>
      <c r="AQ633" s="1" t="str">
        <f>IF(OR($B633="",AQ$7=""),"",IF($B633="MEANS",INDEX('1-DATA'!$1:$1048576,$A632-1,COLUMN('1-DATA'!AP631)),ROUND(INDEX('1-DATA'!$1:$1048576,IF(OR($B633="STD. DEVIATION",$C$1=1),$A633,$A633+1),COLUMN('1-DATA'!AP631)),IF($B633="STD. DEVIATION",2,$F$1))))</f>
        <v/>
      </c>
      <c r="AR633" s="1" t="str">
        <f>IF(OR($B633="",AR$7=""),"",IF($B633="MEANS",INDEX('1-DATA'!$1:$1048576,$A632-1,COLUMN('1-DATA'!AQ631)),ROUND(INDEX('1-DATA'!$1:$1048576,IF(OR($B633="STD. DEVIATION",$C$1=1),$A633,$A633+1),COLUMN('1-DATA'!AQ631)),IF($B633="STD. DEVIATION",2,$F$1))))</f>
        <v/>
      </c>
      <c r="AS633" s="1" t="str">
        <f>IF(OR($B633="",AS$7=""),"",IF($B633="MEANS",INDEX('1-DATA'!$1:$1048576,$A632-1,COLUMN('1-DATA'!AR631)),ROUND(INDEX('1-DATA'!$1:$1048576,IF(OR($B633="STD. DEVIATION",$C$1=1),$A633,$A633+1),COLUMN('1-DATA'!AR631)),IF($B633="STD. DEVIATION",2,$F$1))))</f>
        <v/>
      </c>
      <c r="AT633" s="1" t="str">
        <f>IF(OR($B633="",AT$7=""),"",IF($B633="MEANS",INDEX('1-DATA'!$1:$1048576,$A632-1,COLUMN('1-DATA'!AS631)),ROUND(INDEX('1-DATA'!$1:$1048576,IF(OR($B633="STD. DEVIATION",$C$1=1),$A633,$A633+1),COLUMN('1-DATA'!AS631)),IF($B633="STD. DEVIATION",2,$F$1))))</f>
        <v/>
      </c>
      <c r="AU633" s="1" t="str">
        <f>IF(OR($B633="",AU$7=""),"",IF($B633="MEANS",INDEX('1-DATA'!$1:$1048576,$A632-1,COLUMN('1-DATA'!AT631)),ROUND(INDEX('1-DATA'!$1:$1048576,IF(OR($B633="STD. DEVIATION",$C$1=1),$A633,$A633+1),COLUMN('1-DATA'!AT631)),IF($B633="STD. DEVIATION",2,$F$1))))</f>
        <v/>
      </c>
      <c r="AV633" s="1" t="str">
        <f>IF(OR($B633="",AV$7=""),"",IF($B633="MEANS",INDEX('1-DATA'!$1:$1048576,$A632-1,COLUMN('1-DATA'!AU631)),ROUND(INDEX('1-DATA'!$1:$1048576,IF(OR($B633="STD. DEVIATION",$C$1=1),$A633,$A633+1),COLUMN('1-DATA'!AU631)),IF($B633="STD. DEVIATION",2,$F$1))))</f>
        <v/>
      </c>
      <c r="AW633" s="1" t="str">
        <f>IF(OR($B633="",AW$7=""),"",IF($B633="MEANS",INDEX('1-DATA'!$1:$1048576,$A632-1,COLUMN('1-DATA'!AV631)),ROUND(INDEX('1-DATA'!$1:$1048576,IF(OR($B633="STD. DEVIATION",$C$1=1),$A633,$A633+1),COLUMN('1-DATA'!AV631)),IF($B633="STD. DEVIATION",2,$F$1))))</f>
        <v/>
      </c>
      <c r="AX633" s="1" t="str">
        <f>IF(OR($B633="",AX$7=""),"",IF($B633="MEANS",INDEX('1-DATA'!$1:$1048576,$A632-1,COLUMN('1-DATA'!AW631)),ROUND(INDEX('1-DATA'!$1:$1048576,IF(OR($B633="STD. DEVIATION",$C$1=1),$A633,$A633+1),COLUMN('1-DATA'!AW631)),IF($B633="STD. DEVIATION",2,$F$1))))</f>
        <v/>
      </c>
      <c r="AY633" s="1" t="str">
        <f>IF(OR($B633="",AY$7=""),"",IF($B633="MEANS",INDEX('1-DATA'!$1:$1048576,$A632-1,COLUMN('1-DATA'!AX631)),ROUND(INDEX('1-DATA'!$1:$1048576,IF(OR($B633="STD. DEVIATION",$C$1=1),$A633,$A633+1),COLUMN('1-DATA'!AX631)),IF($B633="STD. DEVIATION",2,$F$1))))</f>
        <v/>
      </c>
      <c r="AZ633" s="1" t="str">
        <f>IF(OR($B633="",AZ$7=""),"",IF($B633="MEANS",INDEX('1-DATA'!$1:$1048576,$A632-1,COLUMN('1-DATA'!AY631)),ROUND(INDEX('1-DATA'!$1:$1048576,IF(OR($B633="STD. DEVIATION",$C$1=1),$A633,$A633+1),COLUMN('1-DATA'!AY631)),IF($B633="STD. DEVIATION",2,$F$1))))</f>
        <v/>
      </c>
    </row>
    <row r="634" spans="1:52" x14ac:dyDescent="0.25">
      <c r="A634" s="11">
        <f t="shared" si="10"/>
        <v>1888</v>
      </c>
      <c r="B634" s="1" t="str">
        <f>IF(B633="STD. DEVIATION",INDEX('1-DATA'!$1:$1048576,$A633-1,1),IF(INDEX('1-DATA'!$1:$1048576,$A634,1)&lt;&gt;"",INDEX('1-DATA'!$1:$1048576,$A634,1),""))</f>
        <v/>
      </c>
      <c r="C634" s="1" t="str">
        <f>IF(OR($B634="",C$7=""),"",IF($B634="MEANS",INDEX('1-DATA'!$1:$1048576,$A633-1,COLUMN('1-DATA'!B632)),ROUND(INDEX('1-DATA'!$1:$1048576,IF(OR($B634="STD. DEVIATION",$C$1=1),$A634,$A634+1),COLUMN('1-DATA'!B632)),IF($B634="STD. DEVIATION",2,$F$1))))</f>
        <v/>
      </c>
      <c r="D634" s="1" t="str">
        <f>IF(OR($B634="",D$7=""),"",IF($B634="MEANS",INDEX('1-DATA'!$1:$1048576,$A633-1,COLUMN('1-DATA'!C632)),ROUND(INDEX('1-DATA'!$1:$1048576,IF(OR($B634="STD. DEVIATION",$C$1=1),$A634,$A634+1),COLUMN('1-DATA'!C632)),IF($B634="STD. DEVIATION",2,$F$1))))</f>
        <v/>
      </c>
      <c r="E634" s="1" t="str">
        <f>IF(OR($B634="",E$7=""),"",IF($B634="MEANS",INDEX('1-DATA'!$1:$1048576,$A633-1,COLUMN('1-DATA'!D632)),ROUND(INDEX('1-DATA'!$1:$1048576,IF(OR($B634="STD. DEVIATION",$C$1=1),$A634,$A634+1),COLUMN('1-DATA'!D632)),IF($B634="STD. DEVIATION",2,$F$1))))</f>
        <v/>
      </c>
      <c r="F634" s="1" t="str">
        <f>IF(OR($B634="",F$7=""),"",IF($B634="MEANS",INDEX('1-DATA'!$1:$1048576,$A633-1,COLUMN('1-DATA'!E632)),ROUND(INDEX('1-DATA'!$1:$1048576,IF(OR($B634="STD. DEVIATION",$C$1=1),$A634,$A634+1),COLUMN('1-DATA'!E632)),IF($B634="STD. DEVIATION",2,$F$1))))</f>
        <v/>
      </c>
      <c r="G634" s="1" t="str">
        <f>IF(OR($B634="",G$7=""),"",IF($B634="MEANS",INDEX('1-DATA'!$1:$1048576,$A633-1,COLUMN('1-DATA'!F632)),ROUND(INDEX('1-DATA'!$1:$1048576,IF(OR($B634="STD. DEVIATION",$C$1=1),$A634,$A634+1),COLUMN('1-DATA'!F632)),IF($B634="STD. DEVIATION",2,$F$1))))</f>
        <v/>
      </c>
      <c r="H634" s="1" t="str">
        <f>IF(OR($B634="",H$7=""),"",IF($B634="MEANS",INDEX('1-DATA'!$1:$1048576,$A633-1,COLUMN('1-DATA'!G632)),ROUND(INDEX('1-DATA'!$1:$1048576,IF(OR($B634="STD. DEVIATION",$C$1=1),$A634,$A634+1),COLUMN('1-DATA'!G632)),IF($B634="STD. DEVIATION",2,$F$1))))</f>
        <v/>
      </c>
      <c r="I634" s="1" t="str">
        <f>IF(OR($B634="",I$7=""),"",IF($B634="MEANS",INDEX('1-DATA'!$1:$1048576,$A633-1,COLUMN('1-DATA'!H632)),ROUND(INDEX('1-DATA'!$1:$1048576,IF(OR($B634="STD. DEVIATION",$C$1=1),$A634,$A634+1),COLUMN('1-DATA'!H632)),IF($B634="STD. DEVIATION",2,$F$1))))</f>
        <v/>
      </c>
      <c r="J634" s="1" t="str">
        <f>IF(OR($B634="",J$7=""),"",IF($B634="MEANS",INDEX('1-DATA'!$1:$1048576,$A633-1,COLUMN('1-DATA'!I632)),ROUND(INDEX('1-DATA'!$1:$1048576,IF(OR($B634="STD. DEVIATION",$C$1=1),$A634,$A634+1),COLUMN('1-DATA'!I632)),IF($B634="STD. DEVIATION",2,$F$1))))</f>
        <v/>
      </c>
      <c r="K634" s="1" t="str">
        <f>IF(OR($B634="",K$7=""),"",IF($B634="MEANS",INDEX('1-DATA'!$1:$1048576,$A633-1,COLUMN('1-DATA'!J632)),ROUND(INDEX('1-DATA'!$1:$1048576,IF(OR($B634="STD. DEVIATION",$C$1=1),$A634,$A634+1),COLUMN('1-DATA'!J632)),IF($B634="STD. DEVIATION",2,$F$1))))</f>
        <v/>
      </c>
      <c r="L634" s="1" t="str">
        <f>IF(OR($B634="",L$7=""),"",IF($B634="MEANS",INDEX('1-DATA'!$1:$1048576,$A633-1,COLUMN('1-DATA'!K632)),ROUND(INDEX('1-DATA'!$1:$1048576,IF(OR($B634="STD. DEVIATION",$C$1=1),$A634,$A634+1),COLUMN('1-DATA'!K632)),IF($B634="STD. DEVIATION",2,$F$1))))</f>
        <v/>
      </c>
      <c r="M634" s="1" t="str">
        <f>IF(OR($B634="",M$7=""),"",IF($B634="MEANS",INDEX('1-DATA'!$1:$1048576,$A633-1,COLUMN('1-DATA'!L632)),ROUND(INDEX('1-DATA'!$1:$1048576,IF(OR($B634="STD. DEVIATION",$C$1=1),$A634,$A634+1),COLUMN('1-DATA'!L632)),IF($B634="STD. DEVIATION",2,$F$1))))</f>
        <v/>
      </c>
      <c r="N634" s="1" t="str">
        <f>IF(OR($B634="",N$7=""),"",IF($B634="MEANS",INDEX('1-DATA'!$1:$1048576,$A633-1,COLUMN('1-DATA'!M632)),ROUND(INDEX('1-DATA'!$1:$1048576,IF(OR($B634="STD. DEVIATION",$C$1=1),$A634,$A634+1),COLUMN('1-DATA'!M632)),IF($B634="STD. DEVIATION",2,$F$1))))</f>
        <v/>
      </c>
      <c r="O634" s="1" t="str">
        <f>IF(OR($B634="",O$7=""),"",IF($B634="MEANS",INDEX('1-DATA'!$1:$1048576,$A633-1,COLUMN('1-DATA'!N632)),ROUND(INDEX('1-DATA'!$1:$1048576,IF(OR($B634="STD. DEVIATION",$C$1=1),$A634,$A634+1),COLUMN('1-DATA'!N632)),IF($B634="STD. DEVIATION",2,$F$1))))</f>
        <v/>
      </c>
      <c r="P634" s="1" t="str">
        <f>IF(OR($B634="",P$7=""),"",IF($B634="MEANS",INDEX('1-DATA'!$1:$1048576,$A633-1,COLUMN('1-DATA'!O632)),ROUND(INDEX('1-DATA'!$1:$1048576,IF(OR($B634="STD. DEVIATION",$C$1=1),$A634,$A634+1),COLUMN('1-DATA'!O632)),IF($B634="STD. DEVIATION",2,$F$1))))</f>
        <v/>
      </c>
      <c r="Q634" s="1" t="str">
        <f>IF(OR($B634="",Q$7=""),"",IF($B634="MEANS",INDEX('1-DATA'!$1:$1048576,$A633-1,COLUMN('1-DATA'!P632)),ROUND(INDEX('1-DATA'!$1:$1048576,IF(OR($B634="STD. DEVIATION",$C$1=1),$A634,$A634+1),COLUMN('1-DATA'!P632)),IF($B634="STD. DEVIATION",2,$F$1))))</f>
        <v/>
      </c>
      <c r="R634" s="1" t="str">
        <f>IF(OR($B634="",R$7=""),"",IF($B634="MEANS",INDEX('1-DATA'!$1:$1048576,$A633-1,COLUMN('1-DATA'!Q632)),ROUND(INDEX('1-DATA'!$1:$1048576,IF(OR($B634="STD. DEVIATION",$C$1=1),$A634,$A634+1),COLUMN('1-DATA'!Q632)),IF($B634="STD. DEVIATION",2,$F$1))))</f>
        <v/>
      </c>
      <c r="S634" s="1" t="str">
        <f>IF(OR($B634="",S$7=""),"",IF($B634="MEANS",INDEX('1-DATA'!$1:$1048576,$A633-1,COLUMN('1-DATA'!R632)),ROUND(INDEX('1-DATA'!$1:$1048576,IF(OR($B634="STD. DEVIATION",$C$1=1),$A634,$A634+1),COLUMN('1-DATA'!R632)),IF($B634="STD. DEVIATION",2,$F$1))))</f>
        <v/>
      </c>
      <c r="T634" s="1" t="str">
        <f>IF(OR($B634="",T$7=""),"",IF($B634="MEANS",INDEX('1-DATA'!$1:$1048576,$A633-1,COLUMN('1-DATA'!S632)),ROUND(INDEX('1-DATA'!$1:$1048576,IF(OR($B634="STD. DEVIATION",$C$1=1),$A634,$A634+1),COLUMN('1-DATA'!S632)),IF($B634="STD. DEVIATION",2,$F$1))))</f>
        <v/>
      </c>
      <c r="U634" s="1" t="str">
        <f>IF(OR($B634="",U$7=""),"",IF($B634="MEANS",INDEX('1-DATA'!$1:$1048576,$A633-1,COLUMN('1-DATA'!T632)),ROUND(INDEX('1-DATA'!$1:$1048576,IF(OR($B634="STD. DEVIATION",$C$1=1),$A634,$A634+1),COLUMN('1-DATA'!T632)),IF($B634="STD. DEVIATION",2,$F$1))))</f>
        <v/>
      </c>
      <c r="V634" s="1" t="str">
        <f>IF(OR($B634="",V$7=""),"",IF($B634="MEANS",INDEX('1-DATA'!$1:$1048576,$A633-1,COLUMN('1-DATA'!U632)),ROUND(INDEX('1-DATA'!$1:$1048576,IF(OR($B634="STD. DEVIATION",$C$1=1),$A634,$A634+1),COLUMN('1-DATA'!U632)),IF($B634="STD. DEVIATION",2,$F$1))))</f>
        <v/>
      </c>
      <c r="W634" s="1" t="str">
        <f>IF(OR($B634="",W$7=""),"",IF($B634="MEANS",INDEX('1-DATA'!$1:$1048576,$A633-1,COLUMN('1-DATA'!V632)),ROUND(INDEX('1-DATA'!$1:$1048576,IF(OR($B634="STD. DEVIATION",$C$1=1),$A634,$A634+1),COLUMN('1-DATA'!V632)),IF($B634="STD. DEVIATION",2,$F$1))))</f>
        <v/>
      </c>
      <c r="X634" s="1" t="str">
        <f>IF(OR($B634="",X$7=""),"",IF($B634="MEANS",INDEX('1-DATA'!$1:$1048576,$A633-1,COLUMN('1-DATA'!W632)),ROUND(INDEX('1-DATA'!$1:$1048576,IF(OR($B634="STD. DEVIATION",$C$1=1),$A634,$A634+1),COLUMN('1-DATA'!W632)),IF($B634="STD. DEVIATION",2,$F$1))))</f>
        <v/>
      </c>
      <c r="Y634" s="1" t="str">
        <f>IF(OR($B634="",Y$7=""),"",IF($B634="MEANS",INDEX('1-DATA'!$1:$1048576,$A633-1,COLUMN('1-DATA'!X632)),ROUND(INDEX('1-DATA'!$1:$1048576,IF(OR($B634="STD. DEVIATION",$C$1=1),$A634,$A634+1),COLUMN('1-DATA'!X632)),IF($B634="STD. DEVIATION",2,$F$1))))</f>
        <v/>
      </c>
      <c r="Z634" s="1" t="str">
        <f>IF(OR($B634="",Z$7=""),"",IF($B634="MEANS",INDEX('1-DATA'!$1:$1048576,$A633-1,COLUMN('1-DATA'!Y632)),ROUND(INDEX('1-DATA'!$1:$1048576,IF(OR($B634="STD. DEVIATION",$C$1=1),$A634,$A634+1),COLUMN('1-DATA'!Y632)),IF($B634="STD. DEVIATION",2,$F$1))))</f>
        <v/>
      </c>
      <c r="AA634" s="1" t="str">
        <f>IF(OR($B634="",AA$7=""),"",IF($B634="MEANS",INDEX('1-DATA'!$1:$1048576,$A633-1,COLUMN('1-DATA'!Z632)),ROUND(INDEX('1-DATA'!$1:$1048576,IF(OR($B634="STD. DEVIATION",$C$1=1),$A634,$A634+1),COLUMN('1-DATA'!Z632)),IF($B634="STD. DEVIATION",2,$F$1))))</f>
        <v/>
      </c>
      <c r="AB634" s="1" t="str">
        <f>IF(OR($B634="",AB$7=""),"",IF($B634="MEANS",INDEX('1-DATA'!$1:$1048576,$A633-1,COLUMN('1-DATA'!AA632)),ROUND(INDEX('1-DATA'!$1:$1048576,IF(OR($B634="STD. DEVIATION",$C$1=1),$A634,$A634+1),COLUMN('1-DATA'!AA632)),IF($B634="STD. DEVIATION",2,$F$1))))</f>
        <v/>
      </c>
      <c r="AC634" s="1" t="str">
        <f>IF(OR($B634="",AC$7=""),"",IF($B634="MEANS",INDEX('1-DATA'!$1:$1048576,$A633-1,COLUMN('1-DATA'!AB632)),ROUND(INDEX('1-DATA'!$1:$1048576,IF(OR($B634="STD. DEVIATION",$C$1=1),$A634,$A634+1),COLUMN('1-DATA'!AB632)),IF($B634="STD. DEVIATION",2,$F$1))))</f>
        <v/>
      </c>
      <c r="AD634" s="1" t="str">
        <f>IF(OR($B634="",AD$7=""),"",IF($B634="MEANS",INDEX('1-DATA'!$1:$1048576,$A633-1,COLUMN('1-DATA'!AC632)),ROUND(INDEX('1-DATA'!$1:$1048576,IF(OR($B634="STD. DEVIATION",$C$1=1),$A634,$A634+1),COLUMN('1-DATA'!AC632)),IF($B634="STD. DEVIATION",2,$F$1))))</f>
        <v/>
      </c>
      <c r="AE634" s="1" t="str">
        <f>IF(OR($B634="",AE$7=""),"",IF($B634="MEANS",INDEX('1-DATA'!$1:$1048576,$A633-1,COLUMN('1-DATA'!AD632)),ROUND(INDEX('1-DATA'!$1:$1048576,IF(OR($B634="STD. DEVIATION",$C$1=1),$A634,$A634+1),COLUMN('1-DATA'!AD632)),IF($B634="STD. DEVIATION",2,$F$1))))</f>
        <v/>
      </c>
      <c r="AF634" s="1" t="str">
        <f>IF(OR($B634="",AF$7=""),"",IF($B634="MEANS",INDEX('1-DATA'!$1:$1048576,$A633-1,COLUMN('1-DATA'!AE632)),ROUND(INDEX('1-DATA'!$1:$1048576,IF(OR($B634="STD. DEVIATION",$C$1=1),$A634,$A634+1),COLUMN('1-DATA'!AE632)),IF($B634="STD. DEVIATION",2,$F$1))))</f>
        <v/>
      </c>
      <c r="AG634" s="1" t="str">
        <f>IF(OR($B634="",AG$7=""),"",IF($B634="MEANS",INDEX('1-DATA'!$1:$1048576,$A633-1,COLUMN('1-DATA'!AF632)),ROUND(INDEX('1-DATA'!$1:$1048576,IF(OR($B634="STD. DEVIATION",$C$1=1),$A634,$A634+1),COLUMN('1-DATA'!AF632)),IF($B634="STD. DEVIATION",2,$F$1))))</f>
        <v/>
      </c>
      <c r="AH634" s="1" t="str">
        <f>IF(OR($B634="",AH$7=""),"",IF($B634="MEANS",INDEX('1-DATA'!$1:$1048576,$A633-1,COLUMN('1-DATA'!AG632)),ROUND(INDEX('1-DATA'!$1:$1048576,IF(OR($B634="STD. DEVIATION",$C$1=1),$A634,$A634+1),COLUMN('1-DATA'!AG632)),IF($B634="STD. DEVIATION",2,$F$1))))</f>
        <v/>
      </c>
      <c r="AI634" s="1" t="str">
        <f>IF(OR($B634="",AI$7=""),"",IF($B634="MEANS",INDEX('1-DATA'!$1:$1048576,$A633-1,COLUMN('1-DATA'!AH632)),ROUND(INDEX('1-DATA'!$1:$1048576,IF(OR($B634="STD. DEVIATION",$C$1=1),$A634,$A634+1),COLUMN('1-DATA'!AH632)),IF($B634="STD. DEVIATION",2,$F$1))))</f>
        <v/>
      </c>
      <c r="AJ634" s="1" t="str">
        <f>IF(OR($B634="",AJ$7=""),"",IF($B634="MEANS",INDEX('1-DATA'!$1:$1048576,$A633-1,COLUMN('1-DATA'!AI632)),ROUND(INDEX('1-DATA'!$1:$1048576,IF(OR($B634="STD. DEVIATION",$C$1=1),$A634,$A634+1),COLUMN('1-DATA'!AI632)),IF($B634="STD. DEVIATION",2,$F$1))))</f>
        <v/>
      </c>
      <c r="AK634" s="1" t="str">
        <f>IF(OR($B634="",AK$7=""),"",IF($B634="MEANS",INDEX('1-DATA'!$1:$1048576,$A633-1,COLUMN('1-DATA'!AJ632)),ROUND(INDEX('1-DATA'!$1:$1048576,IF(OR($B634="STD. DEVIATION",$C$1=1),$A634,$A634+1),COLUMN('1-DATA'!AJ632)),IF($B634="STD. DEVIATION",2,$F$1))))</f>
        <v/>
      </c>
      <c r="AL634" s="1" t="str">
        <f>IF(OR($B634="",AL$7=""),"",IF($B634="MEANS",INDEX('1-DATA'!$1:$1048576,$A633-1,COLUMN('1-DATA'!AK632)),ROUND(INDEX('1-DATA'!$1:$1048576,IF(OR($B634="STD. DEVIATION",$C$1=1),$A634,$A634+1),COLUMN('1-DATA'!AK632)),IF($B634="STD. DEVIATION",2,$F$1))))</f>
        <v/>
      </c>
      <c r="AM634" s="1" t="str">
        <f>IF(OR($B634="",AM$7=""),"",IF($B634="MEANS",INDEX('1-DATA'!$1:$1048576,$A633-1,COLUMN('1-DATA'!AL632)),ROUND(INDEX('1-DATA'!$1:$1048576,IF(OR($B634="STD. DEVIATION",$C$1=1),$A634,$A634+1),COLUMN('1-DATA'!AL632)),IF($B634="STD. DEVIATION",2,$F$1))))</f>
        <v/>
      </c>
      <c r="AN634" s="1" t="str">
        <f>IF(OR($B634="",AN$7=""),"",IF($B634="MEANS",INDEX('1-DATA'!$1:$1048576,$A633-1,COLUMN('1-DATA'!AM632)),ROUND(INDEX('1-DATA'!$1:$1048576,IF(OR($B634="STD. DEVIATION",$C$1=1),$A634,$A634+1),COLUMN('1-DATA'!AM632)),IF($B634="STD. DEVIATION",2,$F$1))))</f>
        <v/>
      </c>
      <c r="AO634" s="1" t="str">
        <f>IF(OR($B634="",AO$7=""),"",IF($B634="MEANS",INDEX('1-DATA'!$1:$1048576,$A633-1,COLUMN('1-DATA'!AN632)),ROUND(INDEX('1-DATA'!$1:$1048576,IF(OR($B634="STD. DEVIATION",$C$1=1),$A634,$A634+1),COLUMN('1-DATA'!AN632)),IF($B634="STD. DEVIATION",2,$F$1))))</f>
        <v/>
      </c>
      <c r="AP634" s="1" t="str">
        <f>IF(OR($B634="",AP$7=""),"",IF($B634="MEANS",INDEX('1-DATA'!$1:$1048576,$A633-1,COLUMN('1-DATA'!AO632)),ROUND(INDEX('1-DATA'!$1:$1048576,IF(OR($B634="STD. DEVIATION",$C$1=1),$A634,$A634+1),COLUMN('1-DATA'!AO632)),IF($B634="STD. DEVIATION",2,$F$1))))</f>
        <v/>
      </c>
      <c r="AQ634" s="1" t="str">
        <f>IF(OR($B634="",AQ$7=""),"",IF($B634="MEANS",INDEX('1-DATA'!$1:$1048576,$A633-1,COLUMN('1-DATA'!AP632)),ROUND(INDEX('1-DATA'!$1:$1048576,IF(OR($B634="STD. DEVIATION",$C$1=1),$A634,$A634+1),COLUMN('1-DATA'!AP632)),IF($B634="STD. DEVIATION",2,$F$1))))</f>
        <v/>
      </c>
      <c r="AR634" s="1" t="str">
        <f>IF(OR($B634="",AR$7=""),"",IF($B634="MEANS",INDEX('1-DATA'!$1:$1048576,$A633-1,COLUMN('1-DATA'!AQ632)),ROUND(INDEX('1-DATA'!$1:$1048576,IF(OR($B634="STD. DEVIATION",$C$1=1),$A634,$A634+1),COLUMN('1-DATA'!AQ632)),IF($B634="STD. DEVIATION",2,$F$1))))</f>
        <v/>
      </c>
      <c r="AS634" s="1" t="str">
        <f>IF(OR($B634="",AS$7=""),"",IF($B634="MEANS",INDEX('1-DATA'!$1:$1048576,$A633-1,COLUMN('1-DATA'!AR632)),ROUND(INDEX('1-DATA'!$1:$1048576,IF(OR($B634="STD. DEVIATION",$C$1=1),$A634,$A634+1),COLUMN('1-DATA'!AR632)),IF($B634="STD. DEVIATION",2,$F$1))))</f>
        <v/>
      </c>
      <c r="AT634" s="1" t="str">
        <f>IF(OR($B634="",AT$7=""),"",IF($B634="MEANS",INDEX('1-DATA'!$1:$1048576,$A633-1,COLUMN('1-DATA'!AS632)),ROUND(INDEX('1-DATA'!$1:$1048576,IF(OR($B634="STD. DEVIATION",$C$1=1),$A634,$A634+1),COLUMN('1-DATA'!AS632)),IF($B634="STD. DEVIATION",2,$F$1))))</f>
        <v/>
      </c>
      <c r="AU634" s="1" t="str">
        <f>IF(OR($B634="",AU$7=""),"",IF($B634="MEANS",INDEX('1-DATA'!$1:$1048576,$A633-1,COLUMN('1-DATA'!AT632)),ROUND(INDEX('1-DATA'!$1:$1048576,IF(OR($B634="STD. DEVIATION",$C$1=1),$A634,$A634+1),COLUMN('1-DATA'!AT632)),IF($B634="STD. DEVIATION",2,$F$1))))</f>
        <v/>
      </c>
      <c r="AV634" s="1" t="str">
        <f>IF(OR($B634="",AV$7=""),"",IF($B634="MEANS",INDEX('1-DATA'!$1:$1048576,$A633-1,COLUMN('1-DATA'!AU632)),ROUND(INDEX('1-DATA'!$1:$1048576,IF(OR($B634="STD. DEVIATION",$C$1=1),$A634,$A634+1),COLUMN('1-DATA'!AU632)),IF($B634="STD. DEVIATION",2,$F$1))))</f>
        <v/>
      </c>
      <c r="AW634" s="1" t="str">
        <f>IF(OR($B634="",AW$7=""),"",IF($B634="MEANS",INDEX('1-DATA'!$1:$1048576,$A633-1,COLUMN('1-DATA'!AV632)),ROUND(INDEX('1-DATA'!$1:$1048576,IF(OR($B634="STD. DEVIATION",$C$1=1),$A634,$A634+1),COLUMN('1-DATA'!AV632)),IF($B634="STD. DEVIATION",2,$F$1))))</f>
        <v/>
      </c>
      <c r="AX634" s="1" t="str">
        <f>IF(OR($B634="",AX$7=""),"",IF($B634="MEANS",INDEX('1-DATA'!$1:$1048576,$A633-1,COLUMN('1-DATA'!AW632)),ROUND(INDEX('1-DATA'!$1:$1048576,IF(OR($B634="STD. DEVIATION",$C$1=1),$A634,$A634+1),COLUMN('1-DATA'!AW632)),IF($B634="STD. DEVIATION",2,$F$1))))</f>
        <v/>
      </c>
      <c r="AY634" s="1" t="str">
        <f>IF(OR($B634="",AY$7=""),"",IF($B634="MEANS",INDEX('1-DATA'!$1:$1048576,$A633-1,COLUMN('1-DATA'!AX632)),ROUND(INDEX('1-DATA'!$1:$1048576,IF(OR($B634="STD. DEVIATION",$C$1=1),$A634,$A634+1),COLUMN('1-DATA'!AX632)),IF($B634="STD. DEVIATION",2,$F$1))))</f>
        <v/>
      </c>
      <c r="AZ634" s="1" t="str">
        <f>IF(OR($B634="",AZ$7=""),"",IF($B634="MEANS",INDEX('1-DATA'!$1:$1048576,$A633-1,COLUMN('1-DATA'!AY632)),ROUND(INDEX('1-DATA'!$1:$1048576,IF(OR($B634="STD. DEVIATION",$C$1=1),$A634,$A634+1),COLUMN('1-DATA'!AY632)),IF($B634="STD. DEVIATION",2,$F$1))))</f>
        <v/>
      </c>
    </row>
    <row r="635" spans="1:52" x14ac:dyDescent="0.25">
      <c r="A635" s="11">
        <f t="shared" si="10"/>
        <v>1891</v>
      </c>
      <c r="B635" s="1" t="str">
        <f>IF(B634="STD. DEVIATION",INDEX('1-DATA'!$1:$1048576,$A634-1,1),IF(INDEX('1-DATA'!$1:$1048576,$A635,1)&lt;&gt;"",INDEX('1-DATA'!$1:$1048576,$A635,1),""))</f>
        <v/>
      </c>
      <c r="C635" s="1" t="str">
        <f>IF(OR($B635="",C$7=""),"",IF($B635="MEANS",INDEX('1-DATA'!$1:$1048576,$A634-1,COLUMN('1-DATA'!B633)),ROUND(INDEX('1-DATA'!$1:$1048576,IF(OR($B635="STD. DEVIATION",$C$1=1),$A635,$A635+1),COLUMN('1-DATA'!B633)),IF($B635="STD. DEVIATION",2,$F$1))))</f>
        <v/>
      </c>
      <c r="D635" s="1" t="str">
        <f>IF(OR($B635="",D$7=""),"",IF($B635="MEANS",INDEX('1-DATA'!$1:$1048576,$A634-1,COLUMN('1-DATA'!C633)),ROUND(INDEX('1-DATA'!$1:$1048576,IF(OR($B635="STD. DEVIATION",$C$1=1),$A635,$A635+1),COLUMN('1-DATA'!C633)),IF($B635="STD. DEVIATION",2,$F$1))))</f>
        <v/>
      </c>
      <c r="E635" s="1" t="str">
        <f>IF(OR($B635="",E$7=""),"",IF($B635="MEANS",INDEX('1-DATA'!$1:$1048576,$A634-1,COLUMN('1-DATA'!D633)),ROUND(INDEX('1-DATA'!$1:$1048576,IF(OR($B635="STD. DEVIATION",$C$1=1),$A635,$A635+1),COLUMN('1-DATA'!D633)),IF($B635="STD. DEVIATION",2,$F$1))))</f>
        <v/>
      </c>
      <c r="F635" s="1" t="str">
        <f>IF(OR($B635="",F$7=""),"",IF($B635="MEANS",INDEX('1-DATA'!$1:$1048576,$A634-1,COLUMN('1-DATA'!E633)),ROUND(INDEX('1-DATA'!$1:$1048576,IF(OR($B635="STD. DEVIATION",$C$1=1),$A635,$A635+1),COLUMN('1-DATA'!E633)),IF($B635="STD. DEVIATION",2,$F$1))))</f>
        <v/>
      </c>
      <c r="G635" s="1" t="str">
        <f>IF(OR($B635="",G$7=""),"",IF($B635="MEANS",INDEX('1-DATA'!$1:$1048576,$A634-1,COLUMN('1-DATA'!F633)),ROUND(INDEX('1-DATA'!$1:$1048576,IF(OR($B635="STD. DEVIATION",$C$1=1),$A635,$A635+1),COLUMN('1-DATA'!F633)),IF($B635="STD. DEVIATION",2,$F$1))))</f>
        <v/>
      </c>
      <c r="H635" s="1" t="str">
        <f>IF(OR($B635="",H$7=""),"",IF($B635="MEANS",INDEX('1-DATA'!$1:$1048576,$A634-1,COLUMN('1-DATA'!G633)),ROUND(INDEX('1-DATA'!$1:$1048576,IF(OR($B635="STD. DEVIATION",$C$1=1),$A635,$A635+1),COLUMN('1-DATA'!G633)),IF($B635="STD. DEVIATION",2,$F$1))))</f>
        <v/>
      </c>
      <c r="I635" s="1" t="str">
        <f>IF(OR($B635="",I$7=""),"",IF($B635="MEANS",INDEX('1-DATA'!$1:$1048576,$A634-1,COLUMN('1-DATA'!H633)),ROUND(INDEX('1-DATA'!$1:$1048576,IF(OR($B635="STD. DEVIATION",$C$1=1),$A635,$A635+1),COLUMN('1-DATA'!H633)),IF($B635="STD. DEVIATION",2,$F$1))))</f>
        <v/>
      </c>
      <c r="J635" s="1" t="str">
        <f>IF(OR($B635="",J$7=""),"",IF($B635="MEANS",INDEX('1-DATA'!$1:$1048576,$A634-1,COLUMN('1-DATA'!I633)),ROUND(INDEX('1-DATA'!$1:$1048576,IF(OR($B635="STD. DEVIATION",$C$1=1),$A635,$A635+1),COLUMN('1-DATA'!I633)),IF($B635="STD. DEVIATION",2,$F$1))))</f>
        <v/>
      </c>
      <c r="K635" s="1" t="str">
        <f>IF(OR($B635="",K$7=""),"",IF($B635="MEANS",INDEX('1-DATA'!$1:$1048576,$A634-1,COLUMN('1-DATA'!J633)),ROUND(INDEX('1-DATA'!$1:$1048576,IF(OR($B635="STD. DEVIATION",$C$1=1),$A635,$A635+1),COLUMN('1-DATA'!J633)),IF($B635="STD. DEVIATION",2,$F$1))))</f>
        <v/>
      </c>
      <c r="L635" s="1" t="str">
        <f>IF(OR($B635="",L$7=""),"",IF($B635="MEANS",INDEX('1-DATA'!$1:$1048576,$A634-1,COLUMN('1-DATA'!K633)),ROUND(INDEX('1-DATA'!$1:$1048576,IF(OR($B635="STD. DEVIATION",$C$1=1),$A635,$A635+1),COLUMN('1-DATA'!K633)),IF($B635="STD. DEVIATION",2,$F$1))))</f>
        <v/>
      </c>
      <c r="M635" s="1" t="str">
        <f>IF(OR($B635="",M$7=""),"",IF($B635="MEANS",INDEX('1-DATA'!$1:$1048576,$A634-1,COLUMN('1-DATA'!L633)),ROUND(INDEX('1-DATA'!$1:$1048576,IF(OR($B635="STD. DEVIATION",$C$1=1),$A635,$A635+1),COLUMN('1-DATA'!L633)),IF($B635="STD. DEVIATION",2,$F$1))))</f>
        <v/>
      </c>
      <c r="N635" s="1" t="str">
        <f>IF(OR($B635="",N$7=""),"",IF($B635="MEANS",INDEX('1-DATA'!$1:$1048576,$A634-1,COLUMN('1-DATA'!M633)),ROUND(INDEX('1-DATA'!$1:$1048576,IF(OR($B635="STD. DEVIATION",$C$1=1),$A635,$A635+1),COLUMN('1-DATA'!M633)),IF($B635="STD. DEVIATION",2,$F$1))))</f>
        <v/>
      </c>
      <c r="O635" s="1" t="str">
        <f>IF(OR($B635="",O$7=""),"",IF($B635="MEANS",INDEX('1-DATA'!$1:$1048576,$A634-1,COLUMN('1-DATA'!N633)),ROUND(INDEX('1-DATA'!$1:$1048576,IF(OR($B635="STD. DEVIATION",$C$1=1),$A635,$A635+1),COLUMN('1-DATA'!N633)),IF($B635="STD. DEVIATION",2,$F$1))))</f>
        <v/>
      </c>
      <c r="P635" s="1" t="str">
        <f>IF(OR($B635="",P$7=""),"",IF($B635="MEANS",INDEX('1-DATA'!$1:$1048576,$A634-1,COLUMN('1-DATA'!O633)),ROUND(INDEX('1-DATA'!$1:$1048576,IF(OR($B635="STD. DEVIATION",$C$1=1),$A635,$A635+1),COLUMN('1-DATA'!O633)),IF($B635="STD. DEVIATION",2,$F$1))))</f>
        <v/>
      </c>
      <c r="Q635" s="1" t="str">
        <f>IF(OR($B635="",Q$7=""),"",IF($B635="MEANS",INDEX('1-DATA'!$1:$1048576,$A634-1,COLUMN('1-DATA'!P633)),ROUND(INDEX('1-DATA'!$1:$1048576,IF(OR($B635="STD. DEVIATION",$C$1=1),$A635,$A635+1),COLUMN('1-DATA'!P633)),IF($B635="STD. DEVIATION",2,$F$1))))</f>
        <v/>
      </c>
      <c r="R635" s="1" t="str">
        <f>IF(OR($B635="",R$7=""),"",IF($B635="MEANS",INDEX('1-DATA'!$1:$1048576,$A634-1,COLUMN('1-DATA'!Q633)),ROUND(INDEX('1-DATA'!$1:$1048576,IF(OR($B635="STD. DEVIATION",$C$1=1),$A635,$A635+1),COLUMN('1-DATA'!Q633)),IF($B635="STD. DEVIATION",2,$F$1))))</f>
        <v/>
      </c>
      <c r="S635" s="1" t="str">
        <f>IF(OR($B635="",S$7=""),"",IF($B635="MEANS",INDEX('1-DATA'!$1:$1048576,$A634-1,COLUMN('1-DATA'!R633)),ROUND(INDEX('1-DATA'!$1:$1048576,IF(OR($B635="STD. DEVIATION",$C$1=1),$A635,$A635+1),COLUMN('1-DATA'!R633)),IF($B635="STD. DEVIATION",2,$F$1))))</f>
        <v/>
      </c>
      <c r="T635" s="1" t="str">
        <f>IF(OR($B635="",T$7=""),"",IF($B635="MEANS",INDEX('1-DATA'!$1:$1048576,$A634-1,COLUMN('1-DATA'!S633)),ROUND(INDEX('1-DATA'!$1:$1048576,IF(OR($B635="STD. DEVIATION",$C$1=1),$A635,$A635+1),COLUMN('1-DATA'!S633)),IF($B635="STD. DEVIATION",2,$F$1))))</f>
        <v/>
      </c>
      <c r="U635" s="1" t="str">
        <f>IF(OR($B635="",U$7=""),"",IF($B635="MEANS",INDEX('1-DATA'!$1:$1048576,$A634-1,COLUMN('1-DATA'!T633)),ROUND(INDEX('1-DATA'!$1:$1048576,IF(OR($B635="STD. DEVIATION",$C$1=1),$A635,$A635+1),COLUMN('1-DATA'!T633)),IF($B635="STD. DEVIATION",2,$F$1))))</f>
        <v/>
      </c>
      <c r="V635" s="1" t="str">
        <f>IF(OR($B635="",V$7=""),"",IF($B635="MEANS",INDEX('1-DATA'!$1:$1048576,$A634-1,COLUMN('1-DATA'!U633)),ROUND(INDEX('1-DATA'!$1:$1048576,IF(OR($B635="STD. DEVIATION",$C$1=1),$A635,$A635+1),COLUMN('1-DATA'!U633)),IF($B635="STD. DEVIATION",2,$F$1))))</f>
        <v/>
      </c>
      <c r="W635" s="1" t="str">
        <f>IF(OR($B635="",W$7=""),"",IF($B635="MEANS",INDEX('1-DATA'!$1:$1048576,$A634-1,COLUMN('1-DATA'!V633)),ROUND(INDEX('1-DATA'!$1:$1048576,IF(OR($B635="STD. DEVIATION",$C$1=1),$A635,$A635+1),COLUMN('1-DATA'!V633)),IF($B635="STD. DEVIATION",2,$F$1))))</f>
        <v/>
      </c>
      <c r="X635" s="1" t="str">
        <f>IF(OR($B635="",X$7=""),"",IF($B635="MEANS",INDEX('1-DATA'!$1:$1048576,$A634-1,COLUMN('1-DATA'!W633)),ROUND(INDEX('1-DATA'!$1:$1048576,IF(OR($B635="STD. DEVIATION",$C$1=1),$A635,$A635+1),COLUMN('1-DATA'!W633)),IF($B635="STD. DEVIATION",2,$F$1))))</f>
        <v/>
      </c>
      <c r="Y635" s="1" t="str">
        <f>IF(OR($B635="",Y$7=""),"",IF($B635="MEANS",INDEX('1-DATA'!$1:$1048576,$A634-1,COLUMN('1-DATA'!X633)),ROUND(INDEX('1-DATA'!$1:$1048576,IF(OR($B635="STD. DEVIATION",$C$1=1),$A635,$A635+1),COLUMN('1-DATA'!X633)),IF($B635="STD. DEVIATION",2,$F$1))))</f>
        <v/>
      </c>
      <c r="Z635" s="1" t="str">
        <f>IF(OR($B635="",Z$7=""),"",IF($B635="MEANS",INDEX('1-DATA'!$1:$1048576,$A634-1,COLUMN('1-DATA'!Y633)),ROUND(INDEX('1-DATA'!$1:$1048576,IF(OR($B635="STD. DEVIATION",$C$1=1),$A635,$A635+1),COLUMN('1-DATA'!Y633)),IF($B635="STD. DEVIATION",2,$F$1))))</f>
        <v/>
      </c>
      <c r="AA635" s="1" t="str">
        <f>IF(OR($B635="",AA$7=""),"",IF($B635="MEANS",INDEX('1-DATA'!$1:$1048576,$A634-1,COLUMN('1-DATA'!Z633)),ROUND(INDEX('1-DATA'!$1:$1048576,IF(OR($B635="STD. DEVIATION",$C$1=1),$A635,$A635+1),COLUMN('1-DATA'!Z633)),IF($B635="STD. DEVIATION",2,$F$1))))</f>
        <v/>
      </c>
      <c r="AB635" s="1" t="str">
        <f>IF(OR($B635="",AB$7=""),"",IF($B635="MEANS",INDEX('1-DATA'!$1:$1048576,$A634-1,COLUMN('1-DATA'!AA633)),ROUND(INDEX('1-DATA'!$1:$1048576,IF(OR($B635="STD. DEVIATION",$C$1=1),$A635,$A635+1),COLUMN('1-DATA'!AA633)),IF($B635="STD. DEVIATION",2,$F$1))))</f>
        <v/>
      </c>
      <c r="AC635" s="1" t="str">
        <f>IF(OR($B635="",AC$7=""),"",IF($B635="MEANS",INDEX('1-DATA'!$1:$1048576,$A634-1,COLUMN('1-DATA'!AB633)),ROUND(INDEX('1-DATA'!$1:$1048576,IF(OR($B635="STD. DEVIATION",$C$1=1),$A635,$A635+1),COLUMN('1-DATA'!AB633)),IF($B635="STD. DEVIATION",2,$F$1))))</f>
        <v/>
      </c>
      <c r="AD635" s="1" t="str">
        <f>IF(OR($B635="",AD$7=""),"",IF($B635="MEANS",INDEX('1-DATA'!$1:$1048576,$A634-1,COLUMN('1-DATA'!AC633)),ROUND(INDEX('1-DATA'!$1:$1048576,IF(OR($B635="STD. DEVIATION",$C$1=1),$A635,$A635+1),COLUMN('1-DATA'!AC633)),IF($B635="STD. DEVIATION",2,$F$1))))</f>
        <v/>
      </c>
      <c r="AE635" s="1" t="str">
        <f>IF(OR($B635="",AE$7=""),"",IF($B635="MEANS",INDEX('1-DATA'!$1:$1048576,$A634-1,COLUMN('1-DATA'!AD633)),ROUND(INDEX('1-DATA'!$1:$1048576,IF(OR($B635="STD. DEVIATION",$C$1=1),$A635,$A635+1),COLUMN('1-DATA'!AD633)),IF($B635="STD. DEVIATION",2,$F$1))))</f>
        <v/>
      </c>
      <c r="AF635" s="1" t="str">
        <f>IF(OR($B635="",AF$7=""),"",IF($B635="MEANS",INDEX('1-DATA'!$1:$1048576,$A634-1,COLUMN('1-DATA'!AE633)),ROUND(INDEX('1-DATA'!$1:$1048576,IF(OR($B635="STD. DEVIATION",$C$1=1),$A635,$A635+1),COLUMN('1-DATA'!AE633)),IF($B635="STD. DEVIATION",2,$F$1))))</f>
        <v/>
      </c>
      <c r="AG635" s="1" t="str">
        <f>IF(OR($B635="",AG$7=""),"",IF($B635="MEANS",INDEX('1-DATA'!$1:$1048576,$A634-1,COLUMN('1-DATA'!AF633)),ROUND(INDEX('1-DATA'!$1:$1048576,IF(OR($B635="STD. DEVIATION",$C$1=1),$A635,$A635+1),COLUMN('1-DATA'!AF633)),IF($B635="STD. DEVIATION",2,$F$1))))</f>
        <v/>
      </c>
      <c r="AH635" s="1" t="str">
        <f>IF(OR($B635="",AH$7=""),"",IF($B635="MEANS",INDEX('1-DATA'!$1:$1048576,$A634-1,COLUMN('1-DATA'!AG633)),ROUND(INDEX('1-DATA'!$1:$1048576,IF(OR($B635="STD. DEVIATION",$C$1=1),$A635,$A635+1),COLUMN('1-DATA'!AG633)),IF($B635="STD. DEVIATION",2,$F$1))))</f>
        <v/>
      </c>
      <c r="AI635" s="1" t="str">
        <f>IF(OR($B635="",AI$7=""),"",IF($B635="MEANS",INDEX('1-DATA'!$1:$1048576,$A634-1,COLUMN('1-DATA'!AH633)),ROUND(INDEX('1-DATA'!$1:$1048576,IF(OR($B635="STD. DEVIATION",$C$1=1),$A635,$A635+1),COLUMN('1-DATA'!AH633)),IF($B635="STD. DEVIATION",2,$F$1))))</f>
        <v/>
      </c>
      <c r="AJ635" s="1" t="str">
        <f>IF(OR($B635="",AJ$7=""),"",IF($B635="MEANS",INDEX('1-DATA'!$1:$1048576,$A634-1,COLUMN('1-DATA'!AI633)),ROUND(INDEX('1-DATA'!$1:$1048576,IF(OR($B635="STD. DEVIATION",$C$1=1),$A635,$A635+1),COLUMN('1-DATA'!AI633)),IF($B635="STD. DEVIATION",2,$F$1))))</f>
        <v/>
      </c>
      <c r="AK635" s="1" t="str">
        <f>IF(OR($B635="",AK$7=""),"",IF($B635="MEANS",INDEX('1-DATA'!$1:$1048576,$A634-1,COLUMN('1-DATA'!AJ633)),ROUND(INDEX('1-DATA'!$1:$1048576,IF(OR($B635="STD. DEVIATION",$C$1=1),$A635,$A635+1),COLUMN('1-DATA'!AJ633)),IF($B635="STD. DEVIATION",2,$F$1))))</f>
        <v/>
      </c>
      <c r="AL635" s="1" t="str">
        <f>IF(OR($B635="",AL$7=""),"",IF($B635="MEANS",INDEX('1-DATA'!$1:$1048576,$A634-1,COLUMN('1-DATA'!AK633)),ROUND(INDEX('1-DATA'!$1:$1048576,IF(OR($B635="STD. DEVIATION",$C$1=1),$A635,$A635+1),COLUMN('1-DATA'!AK633)),IF($B635="STD. DEVIATION",2,$F$1))))</f>
        <v/>
      </c>
      <c r="AM635" s="1" t="str">
        <f>IF(OR($B635="",AM$7=""),"",IF($B635="MEANS",INDEX('1-DATA'!$1:$1048576,$A634-1,COLUMN('1-DATA'!AL633)),ROUND(INDEX('1-DATA'!$1:$1048576,IF(OR($B635="STD. DEVIATION",$C$1=1),$A635,$A635+1),COLUMN('1-DATA'!AL633)),IF($B635="STD. DEVIATION",2,$F$1))))</f>
        <v/>
      </c>
      <c r="AN635" s="1" t="str">
        <f>IF(OR($B635="",AN$7=""),"",IF($B635="MEANS",INDEX('1-DATA'!$1:$1048576,$A634-1,COLUMN('1-DATA'!AM633)),ROUND(INDEX('1-DATA'!$1:$1048576,IF(OR($B635="STD. DEVIATION",$C$1=1),$A635,$A635+1),COLUMN('1-DATA'!AM633)),IF($B635="STD. DEVIATION",2,$F$1))))</f>
        <v/>
      </c>
      <c r="AO635" s="1" t="str">
        <f>IF(OR($B635="",AO$7=""),"",IF($B635="MEANS",INDEX('1-DATA'!$1:$1048576,$A634-1,COLUMN('1-DATA'!AN633)),ROUND(INDEX('1-DATA'!$1:$1048576,IF(OR($B635="STD. DEVIATION",$C$1=1),$A635,$A635+1),COLUMN('1-DATA'!AN633)),IF($B635="STD. DEVIATION",2,$F$1))))</f>
        <v/>
      </c>
      <c r="AP635" s="1" t="str">
        <f>IF(OR($B635="",AP$7=""),"",IF($B635="MEANS",INDEX('1-DATA'!$1:$1048576,$A634-1,COLUMN('1-DATA'!AO633)),ROUND(INDEX('1-DATA'!$1:$1048576,IF(OR($B635="STD. DEVIATION",$C$1=1),$A635,$A635+1),COLUMN('1-DATA'!AO633)),IF($B635="STD. DEVIATION",2,$F$1))))</f>
        <v/>
      </c>
      <c r="AQ635" s="1" t="str">
        <f>IF(OR($B635="",AQ$7=""),"",IF($B635="MEANS",INDEX('1-DATA'!$1:$1048576,$A634-1,COLUMN('1-DATA'!AP633)),ROUND(INDEX('1-DATA'!$1:$1048576,IF(OR($B635="STD. DEVIATION",$C$1=1),$A635,$A635+1),COLUMN('1-DATA'!AP633)),IF($B635="STD. DEVIATION",2,$F$1))))</f>
        <v/>
      </c>
      <c r="AR635" s="1" t="str">
        <f>IF(OR($B635="",AR$7=""),"",IF($B635="MEANS",INDEX('1-DATA'!$1:$1048576,$A634-1,COLUMN('1-DATA'!AQ633)),ROUND(INDEX('1-DATA'!$1:$1048576,IF(OR($B635="STD. DEVIATION",$C$1=1),$A635,$A635+1),COLUMN('1-DATA'!AQ633)),IF($B635="STD. DEVIATION",2,$F$1))))</f>
        <v/>
      </c>
      <c r="AS635" s="1" t="str">
        <f>IF(OR($B635="",AS$7=""),"",IF($B635="MEANS",INDEX('1-DATA'!$1:$1048576,$A634-1,COLUMN('1-DATA'!AR633)),ROUND(INDEX('1-DATA'!$1:$1048576,IF(OR($B635="STD. DEVIATION",$C$1=1),$A635,$A635+1),COLUMN('1-DATA'!AR633)),IF($B635="STD. DEVIATION",2,$F$1))))</f>
        <v/>
      </c>
      <c r="AT635" s="1" t="str">
        <f>IF(OR($B635="",AT$7=""),"",IF($B635="MEANS",INDEX('1-DATA'!$1:$1048576,$A634-1,COLUMN('1-DATA'!AS633)),ROUND(INDEX('1-DATA'!$1:$1048576,IF(OR($B635="STD. DEVIATION",$C$1=1),$A635,$A635+1),COLUMN('1-DATA'!AS633)),IF($B635="STD. DEVIATION",2,$F$1))))</f>
        <v/>
      </c>
      <c r="AU635" s="1" t="str">
        <f>IF(OR($B635="",AU$7=""),"",IF($B635="MEANS",INDEX('1-DATA'!$1:$1048576,$A634-1,COLUMN('1-DATA'!AT633)),ROUND(INDEX('1-DATA'!$1:$1048576,IF(OR($B635="STD. DEVIATION",$C$1=1),$A635,$A635+1),COLUMN('1-DATA'!AT633)),IF($B635="STD. DEVIATION",2,$F$1))))</f>
        <v/>
      </c>
      <c r="AV635" s="1" t="str">
        <f>IF(OR($B635="",AV$7=""),"",IF($B635="MEANS",INDEX('1-DATA'!$1:$1048576,$A634-1,COLUMN('1-DATA'!AU633)),ROUND(INDEX('1-DATA'!$1:$1048576,IF(OR($B635="STD. DEVIATION",$C$1=1),$A635,$A635+1),COLUMN('1-DATA'!AU633)),IF($B635="STD. DEVIATION",2,$F$1))))</f>
        <v/>
      </c>
      <c r="AW635" s="1" t="str">
        <f>IF(OR($B635="",AW$7=""),"",IF($B635="MEANS",INDEX('1-DATA'!$1:$1048576,$A634-1,COLUMN('1-DATA'!AV633)),ROUND(INDEX('1-DATA'!$1:$1048576,IF(OR($B635="STD. DEVIATION",$C$1=1),$A635,$A635+1),COLUMN('1-DATA'!AV633)),IF($B635="STD. DEVIATION",2,$F$1))))</f>
        <v/>
      </c>
      <c r="AX635" s="1" t="str">
        <f>IF(OR($B635="",AX$7=""),"",IF($B635="MEANS",INDEX('1-DATA'!$1:$1048576,$A634-1,COLUMN('1-DATA'!AW633)),ROUND(INDEX('1-DATA'!$1:$1048576,IF(OR($B635="STD. DEVIATION",$C$1=1),$A635,$A635+1),COLUMN('1-DATA'!AW633)),IF($B635="STD. DEVIATION",2,$F$1))))</f>
        <v/>
      </c>
      <c r="AY635" s="1" t="str">
        <f>IF(OR($B635="",AY$7=""),"",IF($B635="MEANS",INDEX('1-DATA'!$1:$1048576,$A634-1,COLUMN('1-DATA'!AX633)),ROUND(INDEX('1-DATA'!$1:$1048576,IF(OR($B635="STD. DEVIATION",$C$1=1),$A635,$A635+1),COLUMN('1-DATA'!AX633)),IF($B635="STD. DEVIATION",2,$F$1))))</f>
        <v/>
      </c>
      <c r="AZ635" s="1" t="str">
        <f>IF(OR($B635="",AZ$7=""),"",IF($B635="MEANS",INDEX('1-DATA'!$1:$1048576,$A634-1,COLUMN('1-DATA'!AY633)),ROUND(INDEX('1-DATA'!$1:$1048576,IF(OR($B635="STD. DEVIATION",$C$1=1),$A635,$A635+1),COLUMN('1-DATA'!AY633)),IF($B635="STD. DEVIATION",2,$F$1))))</f>
        <v/>
      </c>
    </row>
    <row r="636" spans="1:52" x14ac:dyDescent="0.25">
      <c r="A636" s="11">
        <f t="shared" si="10"/>
        <v>1894</v>
      </c>
      <c r="B636" s="1" t="str">
        <f>IF(B635="STD. DEVIATION",INDEX('1-DATA'!$1:$1048576,$A635-1,1),IF(INDEX('1-DATA'!$1:$1048576,$A636,1)&lt;&gt;"",INDEX('1-DATA'!$1:$1048576,$A636,1),""))</f>
        <v/>
      </c>
      <c r="C636" s="1" t="str">
        <f>IF(OR($B636="",C$7=""),"",IF($B636="MEANS",INDEX('1-DATA'!$1:$1048576,$A635-1,COLUMN('1-DATA'!B634)),ROUND(INDEX('1-DATA'!$1:$1048576,IF(OR($B636="STD. DEVIATION",$C$1=1),$A636,$A636+1),COLUMN('1-DATA'!B634)),IF($B636="STD. DEVIATION",2,$F$1))))</f>
        <v/>
      </c>
      <c r="D636" s="1" t="str">
        <f>IF(OR($B636="",D$7=""),"",IF($B636="MEANS",INDEX('1-DATA'!$1:$1048576,$A635-1,COLUMN('1-DATA'!C634)),ROUND(INDEX('1-DATA'!$1:$1048576,IF(OR($B636="STD. DEVIATION",$C$1=1),$A636,$A636+1),COLUMN('1-DATA'!C634)),IF($B636="STD. DEVIATION",2,$F$1))))</f>
        <v/>
      </c>
      <c r="E636" s="1" t="str">
        <f>IF(OR($B636="",E$7=""),"",IF($B636="MEANS",INDEX('1-DATA'!$1:$1048576,$A635-1,COLUMN('1-DATA'!D634)),ROUND(INDEX('1-DATA'!$1:$1048576,IF(OR($B636="STD. DEVIATION",$C$1=1),$A636,$A636+1),COLUMN('1-DATA'!D634)),IF($B636="STD. DEVIATION",2,$F$1))))</f>
        <v/>
      </c>
      <c r="F636" s="1" t="str">
        <f>IF(OR($B636="",F$7=""),"",IF($B636="MEANS",INDEX('1-DATA'!$1:$1048576,$A635-1,COLUMN('1-DATA'!E634)),ROUND(INDEX('1-DATA'!$1:$1048576,IF(OR($B636="STD. DEVIATION",$C$1=1),$A636,$A636+1),COLUMN('1-DATA'!E634)),IF($B636="STD. DEVIATION",2,$F$1))))</f>
        <v/>
      </c>
      <c r="G636" s="1" t="str">
        <f>IF(OR($B636="",G$7=""),"",IF($B636="MEANS",INDEX('1-DATA'!$1:$1048576,$A635-1,COLUMN('1-DATA'!F634)),ROUND(INDEX('1-DATA'!$1:$1048576,IF(OR($B636="STD. DEVIATION",$C$1=1),$A636,$A636+1),COLUMN('1-DATA'!F634)),IF($B636="STD. DEVIATION",2,$F$1))))</f>
        <v/>
      </c>
      <c r="H636" s="1" t="str">
        <f>IF(OR($B636="",H$7=""),"",IF($B636="MEANS",INDEX('1-DATA'!$1:$1048576,$A635-1,COLUMN('1-DATA'!G634)),ROUND(INDEX('1-DATA'!$1:$1048576,IF(OR($B636="STD. DEVIATION",$C$1=1),$A636,$A636+1),COLUMN('1-DATA'!G634)),IF($B636="STD. DEVIATION",2,$F$1))))</f>
        <v/>
      </c>
      <c r="I636" s="1" t="str">
        <f>IF(OR($B636="",I$7=""),"",IF($B636="MEANS",INDEX('1-DATA'!$1:$1048576,$A635-1,COLUMN('1-DATA'!H634)),ROUND(INDEX('1-DATA'!$1:$1048576,IF(OR($B636="STD. DEVIATION",$C$1=1),$A636,$A636+1),COLUMN('1-DATA'!H634)),IF($B636="STD. DEVIATION",2,$F$1))))</f>
        <v/>
      </c>
      <c r="J636" s="1" t="str">
        <f>IF(OR($B636="",J$7=""),"",IF($B636="MEANS",INDEX('1-DATA'!$1:$1048576,$A635-1,COLUMN('1-DATA'!I634)),ROUND(INDEX('1-DATA'!$1:$1048576,IF(OR($B636="STD. DEVIATION",$C$1=1),$A636,$A636+1),COLUMN('1-DATA'!I634)),IF($B636="STD. DEVIATION",2,$F$1))))</f>
        <v/>
      </c>
      <c r="K636" s="1" t="str">
        <f>IF(OR($B636="",K$7=""),"",IF($B636="MEANS",INDEX('1-DATA'!$1:$1048576,$A635-1,COLUMN('1-DATA'!J634)),ROUND(INDEX('1-DATA'!$1:$1048576,IF(OR($B636="STD. DEVIATION",$C$1=1),$A636,$A636+1),COLUMN('1-DATA'!J634)),IF($B636="STD. DEVIATION",2,$F$1))))</f>
        <v/>
      </c>
      <c r="L636" s="1" t="str">
        <f>IF(OR($B636="",L$7=""),"",IF($B636="MEANS",INDEX('1-DATA'!$1:$1048576,$A635-1,COLUMN('1-DATA'!K634)),ROUND(INDEX('1-DATA'!$1:$1048576,IF(OR($B636="STD. DEVIATION",$C$1=1),$A636,$A636+1),COLUMN('1-DATA'!K634)),IF($B636="STD. DEVIATION",2,$F$1))))</f>
        <v/>
      </c>
      <c r="M636" s="1" t="str">
        <f>IF(OR($B636="",M$7=""),"",IF($B636="MEANS",INDEX('1-DATA'!$1:$1048576,$A635-1,COLUMN('1-DATA'!L634)),ROUND(INDEX('1-DATA'!$1:$1048576,IF(OR($B636="STD. DEVIATION",$C$1=1),$A636,$A636+1),COLUMN('1-DATA'!L634)),IF($B636="STD. DEVIATION",2,$F$1))))</f>
        <v/>
      </c>
      <c r="N636" s="1" t="str">
        <f>IF(OR($B636="",N$7=""),"",IF($B636="MEANS",INDEX('1-DATA'!$1:$1048576,$A635-1,COLUMN('1-DATA'!M634)),ROUND(INDEX('1-DATA'!$1:$1048576,IF(OR($B636="STD. DEVIATION",$C$1=1),$A636,$A636+1),COLUMN('1-DATA'!M634)),IF($B636="STD. DEVIATION",2,$F$1))))</f>
        <v/>
      </c>
      <c r="O636" s="1" t="str">
        <f>IF(OR($B636="",O$7=""),"",IF($B636="MEANS",INDEX('1-DATA'!$1:$1048576,$A635-1,COLUMN('1-DATA'!N634)),ROUND(INDEX('1-DATA'!$1:$1048576,IF(OR($B636="STD. DEVIATION",$C$1=1),$A636,$A636+1),COLUMN('1-DATA'!N634)),IF($B636="STD. DEVIATION",2,$F$1))))</f>
        <v/>
      </c>
      <c r="P636" s="1" t="str">
        <f>IF(OR($B636="",P$7=""),"",IF($B636="MEANS",INDEX('1-DATA'!$1:$1048576,$A635-1,COLUMN('1-DATA'!O634)),ROUND(INDEX('1-DATA'!$1:$1048576,IF(OR($B636="STD. DEVIATION",$C$1=1),$A636,$A636+1),COLUMN('1-DATA'!O634)),IF($B636="STD. DEVIATION",2,$F$1))))</f>
        <v/>
      </c>
      <c r="Q636" s="1" t="str">
        <f>IF(OR($B636="",Q$7=""),"",IF($B636="MEANS",INDEX('1-DATA'!$1:$1048576,$A635-1,COLUMN('1-DATA'!P634)),ROUND(INDEX('1-DATA'!$1:$1048576,IF(OR($B636="STD. DEVIATION",$C$1=1),$A636,$A636+1),COLUMN('1-DATA'!P634)),IF($B636="STD. DEVIATION",2,$F$1))))</f>
        <v/>
      </c>
      <c r="R636" s="1" t="str">
        <f>IF(OR($B636="",R$7=""),"",IF($B636="MEANS",INDEX('1-DATA'!$1:$1048576,$A635-1,COLUMN('1-DATA'!Q634)),ROUND(INDEX('1-DATA'!$1:$1048576,IF(OR($B636="STD. DEVIATION",$C$1=1),$A636,$A636+1),COLUMN('1-DATA'!Q634)),IF($B636="STD. DEVIATION",2,$F$1))))</f>
        <v/>
      </c>
      <c r="S636" s="1" t="str">
        <f>IF(OR($B636="",S$7=""),"",IF($B636="MEANS",INDEX('1-DATA'!$1:$1048576,$A635-1,COLUMN('1-DATA'!R634)),ROUND(INDEX('1-DATA'!$1:$1048576,IF(OR($B636="STD. DEVIATION",$C$1=1),$A636,$A636+1),COLUMN('1-DATA'!R634)),IF($B636="STD. DEVIATION",2,$F$1))))</f>
        <v/>
      </c>
      <c r="T636" s="1" t="str">
        <f>IF(OR($B636="",T$7=""),"",IF($B636="MEANS",INDEX('1-DATA'!$1:$1048576,$A635-1,COLUMN('1-DATA'!S634)),ROUND(INDEX('1-DATA'!$1:$1048576,IF(OR($B636="STD. DEVIATION",$C$1=1),$A636,$A636+1),COLUMN('1-DATA'!S634)),IF($B636="STD. DEVIATION",2,$F$1))))</f>
        <v/>
      </c>
      <c r="U636" s="1" t="str">
        <f>IF(OR($B636="",U$7=""),"",IF($B636="MEANS",INDEX('1-DATA'!$1:$1048576,$A635-1,COLUMN('1-DATA'!T634)),ROUND(INDEX('1-DATA'!$1:$1048576,IF(OR($B636="STD. DEVIATION",$C$1=1),$A636,$A636+1),COLUMN('1-DATA'!T634)),IF($B636="STD. DEVIATION",2,$F$1))))</f>
        <v/>
      </c>
      <c r="V636" s="1" t="str">
        <f>IF(OR($B636="",V$7=""),"",IF($B636="MEANS",INDEX('1-DATA'!$1:$1048576,$A635-1,COLUMN('1-DATA'!U634)),ROUND(INDEX('1-DATA'!$1:$1048576,IF(OR($B636="STD. DEVIATION",$C$1=1),$A636,$A636+1),COLUMN('1-DATA'!U634)),IF($B636="STD. DEVIATION",2,$F$1))))</f>
        <v/>
      </c>
      <c r="W636" s="1" t="str">
        <f>IF(OR($B636="",W$7=""),"",IF($B636="MEANS",INDEX('1-DATA'!$1:$1048576,$A635-1,COLUMN('1-DATA'!V634)),ROUND(INDEX('1-DATA'!$1:$1048576,IF(OR($B636="STD. DEVIATION",$C$1=1),$A636,$A636+1),COLUMN('1-DATA'!V634)),IF($B636="STD. DEVIATION",2,$F$1))))</f>
        <v/>
      </c>
      <c r="X636" s="1" t="str">
        <f>IF(OR($B636="",X$7=""),"",IF($B636="MEANS",INDEX('1-DATA'!$1:$1048576,$A635-1,COLUMN('1-DATA'!W634)),ROUND(INDEX('1-DATA'!$1:$1048576,IF(OR($B636="STD. DEVIATION",$C$1=1),$A636,$A636+1),COLUMN('1-DATA'!W634)),IF($B636="STD. DEVIATION",2,$F$1))))</f>
        <v/>
      </c>
      <c r="Y636" s="1" t="str">
        <f>IF(OR($B636="",Y$7=""),"",IF($B636="MEANS",INDEX('1-DATA'!$1:$1048576,$A635-1,COLUMN('1-DATA'!X634)),ROUND(INDEX('1-DATA'!$1:$1048576,IF(OR($B636="STD. DEVIATION",$C$1=1),$A636,$A636+1),COLUMN('1-DATA'!X634)),IF($B636="STD. DEVIATION",2,$F$1))))</f>
        <v/>
      </c>
      <c r="Z636" s="1" t="str">
        <f>IF(OR($B636="",Z$7=""),"",IF($B636="MEANS",INDEX('1-DATA'!$1:$1048576,$A635-1,COLUMN('1-DATA'!Y634)),ROUND(INDEX('1-DATA'!$1:$1048576,IF(OR($B636="STD. DEVIATION",$C$1=1),$A636,$A636+1),COLUMN('1-DATA'!Y634)),IF($B636="STD. DEVIATION",2,$F$1))))</f>
        <v/>
      </c>
      <c r="AA636" s="1" t="str">
        <f>IF(OR($B636="",AA$7=""),"",IF($B636="MEANS",INDEX('1-DATA'!$1:$1048576,$A635-1,COLUMN('1-DATA'!Z634)),ROUND(INDEX('1-DATA'!$1:$1048576,IF(OR($B636="STD. DEVIATION",$C$1=1),$A636,$A636+1),COLUMN('1-DATA'!Z634)),IF($B636="STD. DEVIATION",2,$F$1))))</f>
        <v/>
      </c>
      <c r="AB636" s="1" t="str">
        <f>IF(OR($B636="",AB$7=""),"",IF($B636="MEANS",INDEX('1-DATA'!$1:$1048576,$A635-1,COLUMN('1-DATA'!AA634)),ROUND(INDEX('1-DATA'!$1:$1048576,IF(OR($B636="STD. DEVIATION",$C$1=1),$A636,$A636+1),COLUMN('1-DATA'!AA634)),IF($B636="STD. DEVIATION",2,$F$1))))</f>
        <v/>
      </c>
      <c r="AC636" s="1" t="str">
        <f>IF(OR($B636="",AC$7=""),"",IF($B636="MEANS",INDEX('1-DATA'!$1:$1048576,$A635-1,COLUMN('1-DATA'!AB634)),ROUND(INDEX('1-DATA'!$1:$1048576,IF(OR($B636="STD. DEVIATION",$C$1=1),$A636,$A636+1),COLUMN('1-DATA'!AB634)),IF($B636="STD. DEVIATION",2,$F$1))))</f>
        <v/>
      </c>
      <c r="AD636" s="1" t="str">
        <f>IF(OR($B636="",AD$7=""),"",IF($B636="MEANS",INDEX('1-DATA'!$1:$1048576,$A635-1,COLUMN('1-DATA'!AC634)),ROUND(INDEX('1-DATA'!$1:$1048576,IF(OR($B636="STD. DEVIATION",$C$1=1),$A636,$A636+1),COLUMN('1-DATA'!AC634)),IF($B636="STD. DEVIATION",2,$F$1))))</f>
        <v/>
      </c>
      <c r="AE636" s="1" t="str">
        <f>IF(OR($B636="",AE$7=""),"",IF($B636="MEANS",INDEX('1-DATA'!$1:$1048576,$A635-1,COLUMN('1-DATA'!AD634)),ROUND(INDEX('1-DATA'!$1:$1048576,IF(OR($B636="STD. DEVIATION",$C$1=1),$A636,$A636+1),COLUMN('1-DATA'!AD634)),IF($B636="STD. DEVIATION",2,$F$1))))</f>
        <v/>
      </c>
      <c r="AF636" s="1" t="str">
        <f>IF(OR($B636="",AF$7=""),"",IF($B636="MEANS",INDEX('1-DATA'!$1:$1048576,$A635-1,COLUMN('1-DATA'!AE634)),ROUND(INDEX('1-DATA'!$1:$1048576,IF(OR($B636="STD. DEVIATION",$C$1=1),$A636,$A636+1),COLUMN('1-DATA'!AE634)),IF($B636="STD. DEVIATION",2,$F$1))))</f>
        <v/>
      </c>
      <c r="AG636" s="1" t="str">
        <f>IF(OR($B636="",AG$7=""),"",IF($B636="MEANS",INDEX('1-DATA'!$1:$1048576,$A635-1,COLUMN('1-DATA'!AF634)),ROUND(INDEX('1-DATA'!$1:$1048576,IF(OR($B636="STD. DEVIATION",$C$1=1),$A636,$A636+1),COLUMN('1-DATA'!AF634)),IF($B636="STD. DEVIATION",2,$F$1))))</f>
        <v/>
      </c>
      <c r="AH636" s="1" t="str">
        <f>IF(OR($B636="",AH$7=""),"",IF($B636="MEANS",INDEX('1-DATA'!$1:$1048576,$A635-1,COLUMN('1-DATA'!AG634)),ROUND(INDEX('1-DATA'!$1:$1048576,IF(OR($B636="STD. DEVIATION",$C$1=1),$A636,$A636+1),COLUMN('1-DATA'!AG634)),IF($B636="STD. DEVIATION",2,$F$1))))</f>
        <v/>
      </c>
      <c r="AI636" s="1" t="str">
        <f>IF(OR($B636="",AI$7=""),"",IF($B636="MEANS",INDEX('1-DATA'!$1:$1048576,$A635-1,COLUMN('1-DATA'!AH634)),ROUND(INDEX('1-DATA'!$1:$1048576,IF(OR($B636="STD. DEVIATION",$C$1=1),$A636,$A636+1),COLUMN('1-DATA'!AH634)),IF($B636="STD. DEVIATION",2,$F$1))))</f>
        <v/>
      </c>
      <c r="AJ636" s="1" t="str">
        <f>IF(OR($B636="",AJ$7=""),"",IF($B636="MEANS",INDEX('1-DATA'!$1:$1048576,$A635-1,COLUMN('1-DATA'!AI634)),ROUND(INDEX('1-DATA'!$1:$1048576,IF(OR($B636="STD. DEVIATION",$C$1=1),$A636,$A636+1),COLUMN('1-DATA'!AI634)),IF($B636="STD. DEVIATION",2,$F$1))))</f>
        <v/>
      </c>
      <c r="AK636" s="1" t="str">
        <f>IF(OR($B636="",AK$7=""),"",IF($B636="MEANS",INDEX('1-DATA'!$1:$1048576,$A635-1,COLUMN('1-DATA'!AJ634)),ROUND(INDEX('1-DATA'!$1:$1048576,IF(OR($B636="STD. DEVIATION",$C$1=1),$A636,$A636+1),COLUMN('1-DATA'!AJ634)),IF($B636="STD. DEVIATION",2,$F$1))))</f>
        <v/>
      </c>
      <c r="AL636" s="1" t="str">
        <f>IF(OR($B636="",AL$7=""),"",IF($B636="MEANS",INDEX('1-DATA'!$1:$1048576,$A635-1,COLUMN('1-DATA'!AK634)),ROUND(INDEX('1-DATA'!$1:$1048576,IF(OR($B636="STD. DEVIATION",$C$1=1),$A636,$A636+1),COLUMN('1-DATA'!AK634)),IF($B636="STD. DEVIATION",2,$F$1))))</f>
        <v/>
      </c>
      <c r="AM636" s="1" t="str">
        <f>IF(OR($B636="",AM$7=""),"",IF($B636="MEANS",INDEX('1-DATA'!$1:$1048576,$A635-1,COLUMN('1-DATA'!AL634)),ROUND(INDEX('1-DATA'!$1:$1048576,IF(OR($B636="STD. DEVIATION",$C$1=1),$A636,$A636+1),COLUMN('1-DATA'!AL634)),IF($B636="STD. DEVIATION",2,$F$1))))</f>
        <v/>
      </c>
      <c r="AN636" s="1" t="str">
        <f>IF(OR($B636="",AN$7=""),"",IF($B636="MEANS",INDEX('1-DATA'!$1:$1048576,$A635-1,COLUMN('1-DATA'!AM634)),ROUND(INDEX('1-DATA'!$1:$1048576,IF(OR($B636="STD. DEVIATION",$C$1=1),$A636,$A636+1),COLUMN('1-DATA'!AM634)),IF($B636="STD. DEVIATION",2,$F$1))))</f>
        <v/>
      </c>
      <c r="AO636" s="1" t="str">
        <f>IF(OR($B636="",AO$7=""),"",IF($B636="MEANS",INDEX('1-DATA'!$1:$1048576,$A635-1,COLUMN('1-DATA'!AN634)),ROUND(INDEX('1-DATA'!$1:$1048576,IF(OR($B636="STD. DEVIATION",$C$1=1),$A636,$A636+1),COLUMN('1-DATA'!AN634)),IF($B636="STD. DEVIATION",2,$F$1))))</f>
        <v/>
      </c>
      <c r="AP636" s="1" t="str">
        <f>IF(OR($B636="",AP$7=""),"",IF($B636="MEANS",INDEX('1-DATA'!$1:$1048576,$A635-1,COLUMN('1-DATA'!AO634)),ROUND(INDEX('1-DATA'!$1:$1048576,IF(OR($B636="STD. DEVIATION",$C$1=1),$A636,$A636+1),COLUMN('1-DATA'!AO634)),IF($B636="STD. DEVIATION",2,$F$1))))</f>
        <v/>
      </c>
      <c r="AQ636" s="1" t="str">
        <f>IF(OR($B636="",AQ$7=""),"",IF($B636="MEANS",INDEX('1-DATA'!$1:$1048576,$A635-1,COLUMN('1-DATA'!AP634)),ROUND(INDEX('1-DATA'!$1:$1048576,IF(OR($B636="STD. DEVIATION",$C$1=1),$A636,$A636+1),COLUMN('1-DATA'!AP634)),IF($B636="STD. DEVIATION",2,$F$1))))</f>
        <v/>
      </c>
      <c r="AR636" s="1" t="str">
        <f>IF(OR($B636="",AR$7=""),"",IF($B636="MEANS",INDEX('1-DATA'!$1:$1048576,$A635-1,COLUMN('1-DATA'!AQ634)),ROUND(INDEX('1-DATA'!$1:$1048576,IF(OR($B636="STD. DEVIATION",$C$1=1),$A636,$A636+1),COLUMN('1-DATA'!AQ634)),IF($B636="STD. DEVIATION",2,$F$1))))</f>
        <v/>
      </c>
      <c r="AS636" s="1" t="str">
        <f>IF(OR($B636="",AS$7=""),"",IF($B636="MEANS",INDEX('1-DATA'!$1:$1048576,$A635-1,COLUMN('1-DATA'!AR634)),ROUND(INDEX('1-DATA'!$1:$1048576,IF(OR($B636="STD. DEVIATION",$C$1=1),$A636,$A636+1),COLUMN('1-DATA'!AR634)),IF($B636="STD. DEVIATION",2,$F$1))))</f>
        <v/>
      </c>
      <c r="AT636" s="1" t="str">
        <f>IF(OR($B636="",AT$7=""),"",IF($B636="MEANS",INDEX('1-DATA'!$1:$1048576,$A635-1,COLUMN('1-DATA'!AS634)),ROUND(INDEX('1-DATA'!$1:$1048576,IF(OR($B636="STD. DEVIATION",$C$1=1),$A636,$A636+1),COLUMN('1-DATA'!AS634)),IF($B636="STD. DEVIATION",2,$F$1))))</f>
        <v/>
      </c>
      <c r="AU636" s="1" t="str">
        <f>IF(OR($B636="",AU$7=""),"",IF($B636="MEANS",INDEX('1-DATA'!$1:$1048576,$A635-1,COLUMN('1-DATA'!AT634)),ROUND(INDEX('1-DATA'!$1:$1048576,IF(OR($B636="STD. DEVIATION",$C$1=1),$A636,$A636+1),COLUMN('1-DATA'!AT634)),IF($B636="STD. DEVIATION",2,$F$1))))</f>
        <v/>
      </c>
      <c r="AV636" s="1" t="str">
        <f>IF(OR($B636="",AV$7=""),"",IF($B636="MEANS",INDEX('1-DATA'!$1:$1048576,$A635-1,COLUMN('1-DATA'!AU634)),ROUND(INDEX('1-DATA'!$1:$1048576,IF(OR($B636="STD. DEVIATION",$C$1=1),$A636,$A636+1),COLUMN('1-DATA'!AU634)),IF($B636="STD. DEVIATION",2,$F$1))))</f>
        <v/>
      </c>
      <c r="AW636" s="1" t="str">
        <f>IF(OR($B636="",AW$7=""),"",IF($B636="MEANS",INDEX('1-DATA'!$1:$1048576,$A635-1,COLUMN('1-DATA'!AV634)),ROUND(INDEX('1-DATA'!$1:$1048576,IF(OR($B636="STD. DEVIATION",$C$1=1),$A636,$A636+1),COLUMN('1-DATA'!AV634)),IF($B636="STD. DEVIATION",2,$F$1))))</f>
        <v/>
      </c>
      <c r="AX636" s="1" t="str">
        <f>IF(OR($B636="",AX$7=""),"",IF($B636="MEANS",INDEX('1-DATA'!$1:$1048576,$A635-1,COLUMN('1-DATA'!AW634)),ROUND(INDEX('1-DATA'!$1:$1048576,IF(OR($B636="STD. DEVIATION",$C$1=1),$A636,$A636+1),COLUMN('1-DATA'!AW634)),IF($B636="STD. DEVIATION",2,$F$1))))</f>
        <v/>
      </c>
      <c r="AY636" s="1" t="str">
        <f>IF(OR($B636="",AY$7=""),"",IF($B636="MEANS",INDEX('1-DATA'!$1:$1048576,$A635-1,COLUMN('1-DATA'!AX634)),ROUND(INDEX('1-DATA'!$1:$1048576,IF(OR($B636="STD. DEVIATION",$C$1=1),$A636,$A636+1),COLUMN('1-DATA'!AX634)),IF($B636="STD. DEVIATION",2,$F$1))))</f>
        <v/>
      </c>
      <c r="AZ636" s="1" t="str">
        <f>IF(OR($B636="",AZ$7=""),"",IF($B636="MEANS",INDEX('1-DATA'!$1:$1048576,$A635-1,COLUMN('1-DATA'!AY634)),ROUND(INDEX('1-DATA'!$1:$1048576,IF(OR($B636="STD. DEVIATION",$C$1=1),$A636,$A636+1),COLUMN('1-DATA'!AY634)),IF($B636="STD. DEVIATION",2,$F$1))))</f>
        <v/>
      </c>
    </row>
    <row r="637" spans="1:52" x14ac:dyDescent="0.25">
      <c r="A637" s="11">
        <f t="shared" si="10"/>
        <v>1897</v>
      </c>
      <c r="B637" s="1" t="str">
        <f>IF(B636="STD. DEVIATION",INDEX('1-DATA'!$1:$1048576,$A636-1,1),IF(INDEX('1-DATA'!$1:$1048576,$A637,1)&lt;&gt;"",INDEX('1-DATA'!$1:$1048576,$A637,1),""))</f>
        <v/>
      </c>
      <c r="C637" s="1" t="str">
        <f>IF(OR($B637="",C$7=""),"",IF($B637="MEANS",INDEX('1-DATA'!$1:$1048576,$A636-1,COLUMN('1-DATA'!B635)),ROUND(INDEX('1-DATA'!$1:$1048576,IF(OR($B637="STD. DEVIATION",$C$1=1),$A637,$A637+1),COLUMN('1-DATA'!B635)),IF($B637="STD. DEVIATION",2,$F$1))))</f>
        <v/>
      </c>
      <c r="D637" s="1" t="str">
        <f>IF(OR($B637="",D$7=""),"",IF($B637="MEANS",INDEX('1-DATA'!$1:$1048576,$A636-1,COLUMN('1-DATA'!C635)),ROUND(INDEX('1-DATA'!$1:$1048576,IF(OR($B637="STD. DEVIATION",$C$1=1),$A637,$A637+1),COLUMN('1-DATA'!C635)),IF($B637="STD. DEVIATION",2,$F$1))))</f>
        <v/>
      </c>
      <c r="E637" s="1" t="str">
        <f>IF(OR($B637="",E$7=""),"",IF($B637="MEANS",INDEX('1-DATA'!$1:$1048576,$A636-1,COLUMN('1-DATA'!D635)),ROUND(INDEX('1-DATA'!$1:$1048576,IF(OR($B637="STD. DEVIATION",$C$1=1),$A637,$A637+1),COLUMN('1-DATA'!D635)),IF($B637="STD. DEVIATION",2,$F$1))))</f>
        <v/>
      </c>
      <c r="F637" s="1" t="str">
        <f>IF(OR($B637="",F$7=""),"",IF($B637="MEANS",INDEX('1-DATA'!$1:$1048576,$A636-1,COLUMN('1-DATA'!E635)),ROUND(INDEX('1-DATA'!$1:$1048576,IF(OR($B637="STD. DEVIATION",$C$1=1),$A637,$A637+1),COLUMN('1-DATA'!E635)),IF($B637="STD. DEVIATION",2,$F$1))))</f>
        <v/>
      </c>
      <c r="G637" s="1" t="str">
        <f>IF(OR($B637="",G$7=""),"",IF($B637="MEANS",INDEX('1-DATA'!$1:$1048576,$A636-1,COLUMN('1-DATA'!F635)),ROUND(INDEX('1-DATA'!$1:$1048576,IF(OR($B637="STD. DEVIATION",$C$1=1),$A637,$A637+1),COLUMN('1-DATA'!F635)),IF($B637="STD. DEVIATION",2,$F$1))))</f>
        <v/>
      </c>
      <c r="H637" s="1" t="str">
        <f>IF(OR($B637="",H$7=""),"",IF($B637="MEANS",INDEX('1-DATA'!$1:$1048576,$A636-1,COLUMN('1-DATA'!G635)),ROUND(INDEX('1-DATA'!$1:$1048576,IF(OR($B637="STD. DEVIATION",$C$1=1),$A637,$A637+1),COLUMN('1-DATA'!G635)),IF($B637="STD. DEVIATION",2,$F$1))))</f>
        <v/>
      </c>
      <c r="I637" s="1" t="str">
        <f>IF(OR($B637="",I$7=""),"",IF($B637="MEANS",INDEX('1-DATA'!$1:$1048576,$A636-1,COLUMN('1-DATA'!H635)),ROUND(INDEX('1-DATA'!$1:$1048576,IF(OR($B637="STD. DEVIATION",$C$1=1),$A637,$A637+1),COLUMN('1-DATA'!H635)),IF($B637="STD. DEVIATION",2,$F$1))))</f>
        <v/>
      </c>
      <c r="J637" s="1" t="str">
        <f>IF(OR($B637="",J$7=""),"",IF($B637="MEANS",INDEX('1-DATA'!$1:$1048576,$A636-1,COLUMN('1-DATA'!I635)),ROUND(INDEX('1-DATA'!$1:$1048576,IF(OR($B637="STD. DEVIATION",$C$1=1),$A637,$A637+1),COLUMN('1-DATA'!I635)),IF($B637="STD. DEVIATION",2,$F$1))))</f>
        <v/>
      </c>
      <c r="K637" s="1" t="str">
        <f>IF(OR($B637="",K$7=""),"",IF($B637="MEANS",INDEX('1-DATA'!$1:$1048576,$A636-1,COLUMN('1-DATA'!J635)),ROUND(INDEX('1-DATA'!$1:$1048576,IF(OR($B637="STD. DEVIATION",$C$1=1),$A637,$A637+1),COLUMN('1-DATA'!J635)),IF($B637="STD. DEVIATION",2,$F$1))))</f>
        <v/>
      </c>
      <c r="L637" s="1" t="str">
        <f>IF(OR($B637="",L$7=""),"",IF($B637="MEANS",INDEX('1-DATA'!$1:$1048576,$A636-1,COLUMN('1-DATA'!K635)),ROUND(INDEX('1-DATA'!$1:$1048576,IF(OR($B637="STD. DEVIATION",$C$1=1),$A637,$A637+1),COLUMN('1-DATA'!K635)),IF($B637="STD. DEVIATION",2,$F$1))))</f>
        <v/>
      </c>
      <c r="M637" s="1" t="str">
        <f>IF(OR($B637="",M$7=""),"",IF($B637="MEANS",INDEX('1-DATA'!$1:$1048576,$A636-1,COLUMN('1-DATA'!L635)),ROUND(INDEX('1-DATA'!$1:$1048576,IF(OR($B637="STD. DEVIATION",$C$1=1),$A637,$A637+1),COLUMN('1-DATA'!L635)),IF($B637="STD. DEVIATION",2,$F$1))))</f>
        <v/>
      </c>
      <c r="N637" s="1" t="str">
        <f>IF(OR($B637="",N$7=""),"",IF($B637="MEANS",INDEX('1-DATA'!$1:$1048576,$A636-1,COLUMN('1-DATA'!M635)),ROUND(INDEX('1-DATA'!$1:$1048576,IF(OR($B637="STD. DEVIATION",$C$1=1),$A637,$A637+1),COLUMN('1-DATA'!M635)),IF($B637="STD. DEVIATION",2,$F$1))))</f>
        <v/>
      </c>
      <c r="O637" s="1" t="str">
        <f>IF(OR($B637="",O$7=""),"",IF($B637="MEANS",INDEX('1-DATA'!$1:$1048576,$A636-1,COLUMN('1-DATA'!N635)),ROUND(INDEX('1-DATA'!$1:$1048576,IF(OR($B637="STD. DEVIATION",$C$1=1),$A637,$A637+1),COLUMN('1-DATA'!N635)),IF($B637="STD. DEVIATION",2,$F$1))))</f>
        <v/>
      </c>
      <c r="P637" s="1" t="str">
        <f>IF(OR($B637="",P$7=""),"",IF($B637="MEANS",INDEX('1-DATA'!$1:$1048576,$A636-1,COLUMN('1-DATA'!O635)),ROUND(INDEX('1-DATA'!$1:$1048576,IF(OR($B637="STD. DEVIATION",$C$1=1),$A637,$A637+1),COLUMN('1-DATA'!O635)),IF($B637="STD. DEVIATION",2,$F$1))))</f>
        <v/>
      </c>
      <c r="Q637" s="1" t="str">
        <f>IF(OR($B637="",Q$7=""),"",IF($B637="MEANS",INDEX('1-DATA'!$1:$1048576,$A636-1,COLUMN('1-DATA'!P635)),ROUND(INDEX('1-DATA'!$1:$1048576,IF(OR($B637="STD. DEVIATION",$C$1=1),$A637,$A637+1),COLUMN('1-DATA'!P635)),IF($B637="STD. DEVIATION",2,$F$1))))</f>
        <v/>
      </c>
      <c r="R637" s="1" t="str">
        <f>IF(OR($B637="",R$7=""),"",IF($B637="MEANS",INDEX('1-DATA'!$1:$1048576,$A636-1,COLUMN('1-DATA'!Q635)),ROUND(INDEX('1-DATA'!$1:$1048576,IF(OR($B637="STD. DEVIATION",$C$1=1),$A637,$A637+1),COLUMN('1-DATA'!Q635)),IF($B637="STD. DEVIATION",2,$F$1))))</f>
        <v/>
      </c>
      <c r="S637" s="1" t="str">
        <f>IF(OR($B637="",S$7=""),"",IF($B637="MEANS",INDEX('1-DATA'!$1:$1048576,$A636-1,COLUMN('1-DATA'!R635)),ROUND(INDEX('1-DATA'!$1:$1048576,IF(OR($B637="STD. DEVIATION",$C$1=1),$A637,$A637+1),COLUMN('1-DATA'!R635)),IF($B637="STD. DEVIATION",2,$F$1))))</f>
        <v/>
      </c>
      <c r="T637" s="1" t="str">
        <f>IF(OR($B637="",T$7=""),"",IF($B637="MEANS",INDEX('1-DATA'!$1:$1048576,$A636-1,COLUMN('1-DATA'!S635)),ROUND(INDEX('1-DATA'!$1:$1048576,IF(OR($B637="STD. DEVIATION",$C$1=1),$A637,$A637+1),COLUMN('1-DATA'!S635)),IF($B637="STD. DEVIATION",2,$F$1))))</f>
        <v/>
      </c>
      <c r="U637" s="1" t="str">
        <f>IF(OR($B637="",U$7=""),"",IF($B637="MEANS",INDEX('1-DATA'!$1:$1048576,$A636-1,COLUMN('1-DATA'!T635)),ROUND(INDEX('1-DATA'!$1:$1048576,IF(OR($B637="STD. DEVIATION",$C$1=1),$A637,$A637+1),COLUMN('1-DATA'!T635)),IF($B637="STD. DEVIATION",2,$F$1))))</f>
        <v/>
      </c>
      <c r="V637" s="1" t="str">
        <f>IF(OR($B637="",V$7=""),"",IF($B637="MEANS",INDEX('1-DATA'!$1:$1048576,$A636-1,COLUMN('1-DATA'!U635)),ROUND(INDEX('1-DATA'!$1:$1048576,IF(OR($B637="STD. DEVIATION",$C$1=1),$A637,$A637+1),COLUMN('1-DATA'!U635)),IF($B637="STD. DEVIATION",2,$F$1))))</f>
        <v/>
      </c>
      <c r="W637" s="1" t="str">
        <f>IF(OR($B637="",W$7=""),"",IF($B637="MEANS",INDEX('1-DATA'!$1:$1048576,$A636-1,COLUMN('1-DATA'!V635)),ROUND(INDEX('1-DATA'!$1:$1048576,IF(OR($B637="STD. DEVIATION",$C$1=1),$A637,$A637+1),COLUMN('1-DATA'!V635)),IF($B637="STD. DEVIATION",2,$F$1))))</f>
        <v/>
      </c>
      <c r="X637" s="1" t="str">
        <f>IF(OR($B637="",X$7=""),"",IF($B637="MEANS",INDEX('1-DATA'!$1:$1048576,$A636-1,COLUMN('1-DATA'!W635)),ROUND(INDEX('1-DATA'!$1:$1048576,IF(OR($B637="STD. DEVIATION",$C$1=1),$A637,$A637+1),COLUMN('1-DATA'!W635)),IF($B637="STD. DEVIATION",2,$F$1))))</f>
        <v/>
      </c>
      <c r="Y637" s="1" t="str">
        <f>IF(OR($B637="",Y$7=""),"",IF($B637="MEANS",INDEX('1-DATA'!$1:$1048576,$A636-1,COLUMN('1-DATA'!X635)),ROUND(INDEX('1-DATA'!$1:$1048576,IF(OR($B637="STD. DEVIATION",$C$1=1),$A637,$A637+1),COLUMN('1-DATA'!X635)),IF($B637="STD. DEVIATION",2,$F$1))))</f>
        <v/>
      </c>
      <c r="Z637" s="1" t="str">
        <f>IF(OR($B637="",Z$7=""),"",IF($B637="MEANS",INDEX('1-DATA'!$1:$1048576,$A636-1,COLUMN('1-DATA'!Y635)),ROUND(INDEX('1-DATA'!$1:$1048576,IF(OR($B637="STD. DEVIATION",$C$1=1),$A637,$A637+1),COLUMN('1-DATA'!Y635)),IF($B637="STD. DEVIATION",2,$F$1))))</f>
        <v/>
      </c>
      <c r="AA637" s="1" t="str">
        <f>IF(OR($B637="",AA$7=""),"",IF($B637="MEANS",INDEX('1-DATA'!$1:$1048576,$A636-1,COLUMN('1-DATA'!Z635)),ROUND(INDEX('1-DATA'!$1:$1048576,IF(OR($B637="STD. DEVIATION",$C$1=1),$A637,$A637+1),COLUMN('1-DATA'!Z635)),IF($B637="STD. DEVIATION",2,$F$1))))</f>
        <v/>
      </c>
      <c r="AB637" s="1" t="str">
        <f>IF(OR($B637="",AB$7=""),"",IF($B637="MEANS",INDEX('1-DATA'!$1:$1048576,$A636-1,COLUMN('1-DATA'!AA635)),ROUND(INDEX('1-DATA'!$1:$1048576,IF(OR($B637="STD. DEVIATION",$C$1=1),$A637,$A637+1),COLUMN('1-DATA'!AA635)),IF($B637="STD. DEVIATION",2,$F$1))))</f>
        <v/>
      </c>
      <c r="AC637" s="1" t="str">
        <f>IF(OR($B637="",AC$7=""),"",IF($B637="MEANS",INDEX('1-DATA'!$1:$1048576,$A636-1,COLUMN('1-DATA'!AB635)),ROUND(INDEX('1-DATA'!$1:$1048576,IF(OR($B637="STD. DEVIATION",$C$1=1),$A637,$A637+1),COLUMN('1-DATA'!AB635)),IF($B637="STD. DEVIATION",2,$F$1))))</f>
        <v/>
      </c>
      <c r="AD637" s="1" t="str">
        <f>IF(OR($B637="",AD$7=""),"",IF($B637="MEANS",INDEX('1-DATA'!$1:$1048576,$A636-1,COLUMN('1-DATA'!AC635)),ROUND(INDEX('1-DATA'!$1:$1048576,IF(OR($B637="STD. DEVIATION",$C$1=1),$A637,$A637+1),COLUMN('1-DATA'!AC635)),IF($B637="STD. DEVIATION",2,$F$1))))</f>
        <v/>
      </c>
      <c r="AE637" s="1" t="str">
        <f>IF(OR($B637="",AE$7=""),"",IF($B637="MEANS",INDEX('1-DATA'!$1:$1048576,$A636-1,COLUMN('1-DATA'!AD635)),ROUND(INDEX('1-DATA'!$1:$1048576,IF(OR($B637="STD. DEVIATION",$C$1=1),$A637,$A637+1),COLUMN('1-DATA'!AD635)),IF($B637="STD. DEVIATION",2,$F$1))))</f>
        <v/>
      </c>
      <c r="AF637" s="1" t="str">
        <f>IF(OR($B637="",AF$7=""),"",IF($B637="MEANS",INDEX('1-DATA'!$1:$1048576,$A636-1,COLUMN('1-DATA'!AE635)),ROUND(INDEX('1-DATA'!$1:$1048576,IF(OR($B637="STD. DEVIATION",$C$1=1),$A637,$A637+1),COLUMN('1-DATA'!AE635)),IF($B637="STD. DEVIATION",2,$F$1))))</f>
        <v/>
      </c>
      <c r="AG637" s="1" t="str">
        <f>IF(OR($B637="",AG$7=""),"",IF($B637="MEANS",INDEX('1-DATA'!$1:$1048576,$A636-1,COLUMN('1-DATA'!AF635)),ROUND(INDEX('1-DATA'!$1:$1048576,IF(OR($B637="STD. DEVIATION",$C$1=1),$A637,$A637+1),COLUMN('1-DATA'!AF635)),IF($B637="STD. DEVIATION",2,$F$1))))</f>
        <v/>
      </c>
      <c r="AH637" s="1" t="str">
        <f>IF(OR($B637="",AH$7=""),"",IF($B637="MEANS",INDEX('1-DATA'!$1:$1048576,$A636-1,COLUMN('1-DATA'!AG635)),ROUND(INDEX('1-DATA'!$1:$1048576,IF(OR($B637="STD. DEVIATION",$C$1=1),$A637,$A637+1),COLUMN('1-DATA'!AG635)),IF($B637="STD. DEVIATION",2,$F$1))))</f>
        <v/>
      </c>
      <c r="AI637" s="1" t="str">
        <f>IF(OR($B637="",AI$7=""),"",IF($B637="MEANS",INDEX('1-DATA'!$1:$1048576,$A636-1,COLUMN('1-DATA'!AH635)),ROUND(INDEX('1-DATA'!$1:$1048576,IF(OR($B637="STD. DEVIATION",$C$1=1),$A637,$A637+1),COLUMN('1-DATA'!AH635)),IF($B637="STD. DEVIATION",2,$F$1))))</f>
        <v/>
      </c>
      <c r="AJ637" s="1" t="str">
        <f>IF(OR($B637="",AJ$7=""),"",IF($B637="MEANS",INDEX('1-DATA'!$1:$1048576,$A636-1,COLUMN('1-DATA'!AI635)),ROUND(INDEX('1-DATA'!$1:$1048576,IF(OR($B637="STD. DEVIATION",$C$1=1),$A637,$A637+1),COLUMN('1-DATA'!AI635)),IF($B637="STD. DEVIATION",2,$F$1))))</f>
        <v/>
      </c>
      <c r="AK637" s="1" t="str">
        <f>IF(OR($B637="",AK$7=""),"",IF($B637="MEANS",INDEX('1-DATA'!$1:$1048576,$A636-1,COLUMN('1-DATA'!AJ635)),ROUND(INDEX('1-DATA'!$1:$1048576,IF(OR($B637="STD. DEVIATION",$C$1=1),$A637,$A637+1),COLUMN('1-DATA'!AJ635)),IF($B637="STD. DEVIATION",2,$F$1))))</f>
        <v/>
      </c>
      <c r="AL637" s="1" t="str">
        <f>IF(OR($B637="",AL$7=""),"",IF($B637="MEANS",INDEX('1-DATA'!$1:$1048576,$A636-1,COLUMN('1-DATA'!AK635)),ROUND(INDEX('1-DATA'!$1:$1048576,IF(OR($B637="STD. DEVIATION",$C$1=1),$A637,$A637+1),COLUMN('1-DATA'!AK635)),IF($B637="STD. DEVIATION",2,$F$1))))</f>
        <v/>
      </c>
      <c r="AM637" s="1" t="str">
        <f>IF(OR($B637="",AM$7=""),"",IF($B637="MEANS",INDEX('1-DATA'!$1:$1048576,$A636-1,COLUMN('1-DATA'!AL635)),ROUND(INDEX('1-DATA'!$1:$1048576,IF(OR($B637="STD. DEVIATION",$C$1=1),$A637,$A637+1),COLUMN('1-DATA'!AL635)),IF($B637="STD. DEVIATION",2,$F$1))))</f>
        <v/>
      </c>
      <c r="AN637" s="1" t="str">
        <f>IF(OR($B637="",AN$7=""),"",IF($B637="MEANS",INDEX('1-DATA'!$1:$1048576,$A636-1,COLUMN('1-DATA'!AM635)),ROUND(INDEX('1-DATA'!$1:$1048576,IF(OR($B637="STD. DEVIATION",$C$1=1),$A637,$A637+1),COLUMN('1-DATA'!AM635)),IF($B637="STD. DEVIATION",2,$F$1))))</f>
        <v/>
      </c>
      <c r="AO637" s="1" t="str">
        <f>IF(OR($B637="",AO$7=""),"",IF($B637="MEANS",INDEX('1-DATA'!$1:$1048576,$A636-1,COLUMN('1-DATA'!AN635)),ROUND(INDEX('1-DATA'!$1:$1048576,IF(OR($B637="STD. DEVIATION",$C$1=1),$A637,$A637+1),COLUMN('1-DATA'!AN635)),IF($B637="STD. DEVIATION",2,$F$1))))</f>
        <v/>
      </c>
      <c r="AP637" s="1" t="str">
        <f>IF(OR($B637="",AP$7=""),"",IF($B637="MEANS",INDEX('1-DATA'!$1:$1048576,$A636-1,COLUMN('1-DATA'!AO635)),ROUND(INDEX('1-DATA'!$1:$1048576,IF(OR($B637="STD. DEVIATION",$C$1=1),$A637,$A637+1),COLUMN('1-DATA'!AO635)),IF($B637="STD. DEVIATION",2,$F$1))))</f>
        <v/>
      </c>
      <c r="AQ637" s="1" t="str">
        <f>IF(OR($B637="",AQ$7=""),"",IF($B637="MEANS",INDEX('1-DATA'!$1:$1048576,$A636-1,COLUMN('1-DATA'!AP635)),ROUND(INDEX('1-DATA'!$1:$1048576,IF(OR($B637="STD. DEVIATION",$C$1=1),$A637,$A637+1),COLUMN('1-DATA'!AP635)),IF($B637="STD. DEVIATION",2,$F$1))))</f>
        <v/>
      </c>
      <c r="AR637" s="1" t="str">
        <f>IF(OR($B637="",AR$7=""),"",IF($B637="MEANS",INDEX('1-DATA'!$1:$1048576,$A636-1,COLUMN('1-DATA'!AQ635)),ROUND(INDEX('1-DATA'!$1:$1048576,IF(OR($B637="STD. DEVIATION",$C$1=1),$A637,$A637+1),COLUMN('1-DATA'!AQ635)),IF($B637="STD. DEVIATION",2,$F$1))))</f>
        <v/>
      </c>
      <c r="AS637" s="1" t="str">
        <f>IF(OR($B637="",AS$7=""),"",IF($B637="MEANS",INDEX('1-DATA'!$1:$1048576,$A636-1,COLUMN('1-DATA'!AR635)),ROUND(INDEX('1-DATA'!$1:$1048576,IF(OR($B637="STD. DEVIATION",$C$1=1),$A637,$A637+1),COLUMN('1-DATA'!AR635)),IF($B637="STD. DEVIATION",2,$F$1))))</f>
        <v/>
      </c>
      <c r="AT637" s="1" t="str">
        <f>IF(OR($B637="",AT$7=""),"",IF($B637="MEANS",INDEX('1-DATA'!$1:$1048576,$A636-1,COLUMN('1-DATA'!AS635)),ROUND(INDEX('1-DATA'!$1:$1048576,IF(OR($B637="STD. DEVIATION",$C$1=1),$A637,$A637+1),COLUMN('1-DATA'!AS635)),IF($B637="STD. DEVIATION",2,$F$1))))</f>
        <v/>
      </c>
      <c r="AU637" s="1" t="str">
        <f>IF(OR($B637="",AU$7=""),"",IF($B637="MEANS",INDEX('1-DATA'!$1:$1048576,$A636-1,COLUMN('1-DATA'!AT635)),ROUND(INDEX('1-DATA'!$1:$1048576,IF(OR($B637="STD. DEVIATION",$C$1=1),$A637,$A637+1),COLUMN('1-DATA'!AT635)),IF($B637="STD. DEVIATION",2,$F$1))))</f>
        <v/>
      </c>
      <c r="AV637" s="1" t="str">
        <f>IF(OR($B637="",AV$7=""),"",IF($B637="MEANS",INDEX('1-DATA'!$1:$1048576,$A636-1,COLUMN('1-DATA'!AU635)),ROUND(INDEX('1-DATA'!$1:$1048576,IF(OR($B637="STD. DEVIATION",$C$1=1),$A637,$A637+1),COLUMN('1-DATA'!AU635)),IF($B637="STD. DEVIATION",2,$F$1))))</f>
        <v/>
      </c>
      <c r="AW637" s="1" t="str">
        <f>IF(OR($B637="",AW$7=""),"",IF($B637="MEANS",INDEX('1-DATA'!$1:$1048576,$A636-1,COLUMN('1-DATA'!AV635)),ROUND(INDEX('1-DATA'!$1:$1048576,IF(OR($B637="STD. DEVIATION",$C$1=1),$A637,$A637+1),COLUMN('1-DATA'!AV635)),IF($B637="STD. DEVIATION",2,$F$1))))</f>
        <v/>
      </c>
      <c r="AX637" s="1" t="str">
        <f>IF(OR($B637="",AX$7=""),"",IF($B637="MEANS",INDEX('1-DATA'!$1:$1048576,$A636-1,COLUMN('1-DATA'!AW635)),ROUND(INDEX('1-DATA'!$1:$1048576,IF(OR($B637="STD. DEVIATION",$C$1=1),$A637,$A637+1),COLUMN('1-DATA'!AW635)),IF($B637="STD. DEVIATION",2,$F$1))))</f>
        <v/>
      </c>
      <c r="AY637" s="1" t="str">
        <f>IF(OR($B637="",AY$7=""),"",IF($B637="MEANS",INDEX('1-DATA'!$1:$1048576,$A636-1,COLUMN('1-DATA'!AX635)),ROUND(INDEX('1-DATA'!$1:$1048576,IF(OR($B637="STD. DEVIATION",$C$1=1),$A637,$A637+1),COLUMN('1-DATA'!AX635)),IF($B637="STD. DEVIATION",2,$F$1))))</f>
        <v/>
      </c>
      <c r="AZ637" s="1" t="str">
        <f>IF(OR($B637="",AZ$7=""),"",IF($B637="MEANS",INDEX('1-DATA'!$1:$1048576,$A636-1,COLUMN('1-DATA'!AY635)),ROUND(INDEX('1-DATA'!$1:$1048576,IF(OR($B637="STD. DEVIATION",$C$1=1),$A637,$A637+1),COLUMN('1-DATA'!AY635)),IF($B637="STD. DEVIATION",2,$F$1))))</f>
        <v/>
      </c>
    </row>
    <row r="638" spans="1:52" x14ac:dyDescent="0.25">
      <c r="A638" s="11">
        <f t="shared" si="10"/>
        <v>1900</v>
      </c>
      <c r="B638" s="1" t="str">
        <f>IF(B637="STD. DEVIATION",INDEX('1-DATA'!$1:$1048576,$A637-1,1),IF(INDEX('1-DATA'!$1:$1048576,$A638,1)&lt;&gt;"",INDEX('1-DATA'!$1:$1048576,$A638,1),""))</f>
        <v/>
      </c>
      <c r="C638" s="1" t="str">
        <f>IF(OR($B638="",C$7=""),"",IF($B638="MEANS",INDEX('1-DATA'!$1:$1048576,$A637-1,COLUMN('1-DATA'!B636)),ROUND(INDEX('1-DATA'!$1:$1048576,IF(OR($B638="STD. DEVIATION",$C$1=1),$A638,$A638+1),COLUMN('1-DATA'!B636)),IF($B638="STD. DEVIATION",2,$F$1))))</f>
        <v/>
      </c>
      <c r="D638" s="1" t="str">
        <f>IF(OR($B638="",D$7=""),"",IF($B638="MEANS",INDEX('1-DATA'!$1:$1048576,$A637-1,COLUMN('1-DATA'!C636)),ROUND(INDEX('1-DATA'!$1:$1048576,IF(OR($B638="STD. DEVIATION",$C$1=1),$A638,$A638+1),COLUMN('1-DATA'!C636)),IF($B638="STD. DEVIATION",2,$F$1))))</f>
        <v/>
      </c>
      <c r="E638" s="1" t="str">
        <f>IF(OR($B638="",E$7=""),"",IF($B638="MEANS",INDEX('1-DATA'!$1:$1048576,$A637-1,COLUMN('1-DATA'!D636)),ROUND(INDEX('1-DATA'!$1:$1048576,IF(OR($B638="STD. DEVIATION",$C$1=1),$A638,$A638+1),COLUMN('1-DATA'!D636)),IF($B638="STD. DEVIATION",2,$F$1))))</f>
        <v/>
      </c>
      <c r="F638" s="1" t="str">
        <f>IF(OR($B638="",F$7=""),"",IF($B638="MEANS",INDEX('1-DATA'!$1:$1048576,$A637-1,COLUMN('1-DATA'!E636)),ROUND(INDEX('1-DATA'!$1:$1048576,IF(OR($B638="STD. DEVIATION",$C$1=1),$A638,$A638+1),COLUMN('1-DATA'!E636)),IF($B638="STD. DEVIATION",2,$F$1))))</f>
        <v/>
      </c>
      <c r="G638" s="1" t="str">
        <f>IF(OR($B638="",G$7=""),"",IF($B638="MEANS",INDEX('1-DATA'!$1:$1048576,$A637-1,COLUMN('1-DATA'!F636)),ROUND(INDEX('1-DATA'!$1:$1048576,IF(OR($B638="STD. DEVIATION",$C$1=1),$A638,$A638+1),COLUMN('1-DATA'!F636)),IF($B638="STD. DEVIATION",2,$F$1))))</f>
        <v/>
      </c>
      <c r="H638" s="1" t="str">
        <f>IF(OR($B638="",H$7=""),"",IF($B638="MEANS",INDEX('1-DATA'!$1:$1048576,$A637-1,COLUMN('1-DATA'!G636)),ROUND(INDEX('1-DATA'!$1:$1048576,IF(OR($B638="STD. DEVIATION",$C$1=1),$A638,$A638+1),COLUMN('1-DATA'!G636)),IF($B638="STD. DEVIATION",2,$F$1))))</f>
        <v/>
      </c>
      <c r="I638" s="1" t="str">
        <f>IF(OR($B638="",I$7=""),"",IF($B638="MEANS",INDEX('1-DATA'!$1:$1048576,$A637-1,COLUMN('1-DATA'!H636)),ROUND(INDEX('1-DATA'!$1:$1048576,IF(OR($B638="STD. DEVIATION",$C$1=1),$A638,$A638+1),COLUMN('1-DATA'!H636)),IF($B638="STD. DEVIATION",2,$F$1))))</f>
        <v/>
      </c>
      <c r="J638" s="1" t="str">
        <f>IF(OR($B638="",J$7=""),"",IF($B638="MEANS",INDEX('1-DATA'!$1:$1048576,$A637-1,COLUMN('1-DATA'!I636)),ROUND(INDEX('1-DATA'!$1:$1048576,IF(OR($B638="STD. DEVIATION",$C$1=1),$A638,$A638+1),COLUMN('1-DATA'!I636)),IF($B638="STD. DEVIATION",2,$F$1))))</f>
        <v/>
      </c>
      <c r="K638" s="1" t="str">
        <f>IF(OR($B638="",K$7=""),"",IF($B638="MEANS",INDEX('1-DATA'!$1:$1048576,$A637-1,COLUMN('1-DATA'!J636)),ROUND(INDEX('1-DATA'!$1:$1048576,IF(OR($B638="STD. DEVIATION",$C$1=1),$A638,$A638+1),COLUMN('1-DATA'!J636)),IF($B638="STD. DEVIATION",2,$F$1))))</f>
        <v/>
      </c>
      <c r="L638" s="1" t="str">
        <f>IF(OR($B638="",L$7=""),"",IF($B638="MEANS",INDEX('1-DATA'!$1:$1048576,$A637-1,COLUMN('1-DATA'!K636)),ROUND(INDEX('1-DATA'!$1:$1048576,IF(OR($B638="STD. DEVIATION",$C$1=1),$A638,$A638+1),COLUMN('1-DATA'!K636)),IF($B638="STD. DEVIATION",2,$F$1))))</f>
        <v/>
      </c>
      <c r="M638" s="1" t="str">
        <f>IF(OR($B638="",M$7=""),"",IF($B638="MEANS",INDEX('1-DATA'!$1:$1048576,$A637-1,COLUMN('1-DATA'!L636)),ROUND(INDEX('1-DATA'!$1:$1048576,IF(OR($B638="STD. DEVIATION",$C$1=1),$A638,$A638+1),COLUMN('1-DATA'!L636)),IF($B638="STD. DEVIATION",2,$F$1))))</f>
        <v/>
      </c>
      <c r="N638" s="1" t="str">
        <f>IF(OR($B638="",N$7=""),"",IF($B638="MEANS",INDEX('1-DATA'!$1:$1048576,$A637-1,COLUMN('1-DATA'!M636)),ROUND(INDEX('1-DATA'!$1:$1048576,IF(OR($B638="STD. DEVIATION",$C$1=1),$A638,$A638+1),COLUMN('1-DATA'!M636)),IF($B638="STD. DEVIATION",2,$F$1))))</f>
        <v/>
      </c>
      <c r="O638" s="1" t="str">
        <f>IF(OR($B638="",O$7=""),"",IF($B638="MEANS",INDEX('1-DATA'!$1:$1048576,$A637-1,COLUMN('1-DATA'!N636)),ROUND(INDEX('1-DATA'!$1:$1048576,IF(OR($B638="STD. DEVIATION",$C$1=1),$A638,$A638+1),COLUMN('1-DATA'!N636)),IF($B638="STD. DEVIATION",2,$F$1))))</f>
        <v/>
      </c>
      <c r="P638" s="1" t="str">
        <f>IF(OR($B638="",P$7=""),"",IF($B638="MEANS",INDEX('1-DATA'!$1:$1048576,$A637-1,COLUMN('1-DATA'!O636)),ROUND(INDEX('1-DATA'!$1:$1048576,IF(OR($B638="STD. DEVIATION",$C$1=1),$A638,$A638+1),COLUMN('1-DATA'!O636)),IF($B638="STD. DEVIATION",2,$F$1))))</f>
        <v/>
      </c>
      <c r="Q638" s="1" t="str">
        <f>IF(OR($B638="",Q$7=""),"",IF($B638="MEANS",INDEX('1-DATA'!$1:$1048576,$A637-1,COLUMN('1-DATA'!P636)),ROUND(INDEX('1-DATA'!$1:$1048576,IF(OR($B638="STD. DEVIATION",$C$1=1),$A638,$A638+1),COLUMN('1-DATA'!P636)),IF($B638="STD. DEVIATION",2,$F$1))))</f>
        <v/>
      </c>
      <c r="R638" s="1" t="str">
        <f>IF(OR($B638="",R$7=""),"",IF($B638="MEANS",INDEX('1-DATA'!$1:$1048576,$A637-1,COLUMN('1-DATA'!Q636)),ROUND(INDEX('1-DATA'!$1:$1048576,IF(OR($B638="STD. DEVIATION",$C$1=1),$A638,$A638+1),COLUMN('1-DATA'!Q636)),IF($B638="STD. DEVIATION",2,$F$1))))</f>
        <v/>
      </c>
      <c r="S638" s="1" t="str">
        <f>IF(OR($B638="",S$7=""),"",IF($B638="MEANS",INDEX('1-DATA'!$1:$1048576,$A637-1,COLUMN('1-DATA'!R636)),ROUND(INDEX('1-DATA'!$1:$1048576,IF(OR($B638="STD. DEVIATION",$C$1=1),$A638,$A638+1),COLUMN('1-DATA'!R636)),IF($B638="STD. DEVIATION",2,$F$1))))</f>
        <v/>
      </c>
      <c r="T638" s="1" t="str">
        <f>IF(OR($B638="",T$7=""),"",IF($B638="MEANS",INDEX('1-DATA'!$1:$1048576,$A637-1,COLUMN('1-DATA'!S636)),ROUND(INDEX('1-DATA'!$1:$1048576,IF(OR($B638="STD. DEVIATION",$C$1=1),$A638,$A638+1),COLUMN('1-DATA'!S636)),IF($B638="STD. DEVIATION",2,$F$1))))</f>
        <v/>
      </c>
      <c r="U638" s="1" t="str">
        <f>IF(OR($B638="",U$7=""),"",IF($B638="MEANS",INDEX('1-DATA'!$1:$1048576,$A637-1,COLUMN('1-DATA'!T636)),ROUND(INDEX('1-DATA'!$1:$1048576,IF(OR($B638="STD. DEVIATION",$C$1=1),$A638,$A638+1),COLUMN('1-DATA'!T636)),IF($B638="STD. DEVIATION",2,$F$1))))</f>
        <v/>
      </c>
      <c r="V638" s="1" t="str">
        <f>IF(OR($B638="",V$7=""),"",IF($B638="MEANS",INDEX('1-DATA'!$1:$1048576,$A637-1,COLUMN('1-DATA'!U636)),ROUND(INDEX('1-DATA'!$1:$1048576,IF(OR($B638="STD. DEVIATION",$C$1=1),$A638,$A638+1),COLUMN('1-DATA'!U636)),IF($B638="STD. DEVIATION",2,$F$1))))</f>
        <v/>
      </c>
      <c r="W638" s="1" t="str">
        <f>IF(OR($B638="",W$7=""),"",IF($B638="MEANS",INDEX('1-DATA'!$1:$1048576,$A637-1,COLUMN('1-DATA'!V636)),ROUND(INDEX('1-DATA'!$1:$1048576,IF(OR($B638="STD. DEVIATION",$C$1=1),$A638,$A638+1),COLUMN('1-DATA'!V636)),IF($B638="STD. DEVIATION",2,$F$1))))</f>
        <v/>
      </c>
      <c r="X638" s="1" t="str">
        <f>IF(OR($B638="",X$7=""),"",IF($B638="MEANS",INDEX('1-DATA'!$1:$1048576,$A637-1,COLUMN('1-DATA'!W636)),ROUND(INDEX('1-DATA'!$1:$1048576,IF(OR($B638="STD. DEVIATION",$C$1=1),$A638,$A638+1),COLUMN('1-DATA'!W636)),IF($B638="STD. DEVIATION",2,$F$1))))</f>
        <v/>
      </c>
      <c r="Y638" s="1" t="str">
        <f>IF(OR($B638="",Y$7=""),"",IF($B638="MEANS",INDEX('1-DATA'!$1:$1048576,$A637-1,COLUMN('1-DATA'!X636)),ROUND(INDEX('1-DATA'!$1:$1048576,IF(OR($B638="STD. DEVIATION",$C$1=1),$A638,$A638+1),COLUMN('1-DATA'!X636)),IF($B638="STD. DEVIATION",2,$F$1))))</f>
        <v/>
      </c>
      <c r="Z638" s="1" t="str">
        <f>IF(OR($B638="",Z$7=""),"",IF($B638="MEANS",INDEX('1-DATA'!$1:$1048576,$A637-1,COLUMN('1-DATA'!Y636)),ROUND(INDEX('1-DATA'!$1:$1048576,IF(OR($B638="STD. DEVIATION",$C$1=1),$A638,$A638+1),COLUMN('1-DATA'!Y636)),IF($B638="STD. DEVIATION",2,$F$1))))</f>
        <v/>
      </c>
      <c r="AA638" s="1" t="str">
        <f>IF(OR($B638="",AA$7=""),"",IF($B638="MEANS",INDEX('1-DATA'!$1:$1048576,$A637-1,COLUMN('1-DATA'!Z636)),ROUND(INDEX('1-DATA'!$1:$1048576,IF(OR($B638="STD. DEVIATION",$C$1=1),$A638,$A638+1),COLUMN('1-DATA'!Z636)),IF($B638="STD. DEVIATION",2,$F$1))))</f>
        <v/>
      </c>
      <c r="AB638" s="1" t="str">
        <f>IF(OR($B638="",AB$7=""),"",IF($B638="MEANS",INDEX('1-DATA'!$1:$1048576,$A637-1,COLUMN('1-DATA'!AA636)),ROUND(INDEX('1-DATA'!$1:$1048576,IF(OR($B638="STD. DEVIATION",$C$1=1),$A638,$A638+1),COLUMN('1-DATA'!AA636)),IF($B638="STD. DEVIATION",2,$F$1))))</f>
        <v/>
      </c>
      <c r="AC638" s="1" t="str">
        <f>IF(OR($B638="",AC$7=""),"",IF($B638="MEANS",INDEX('1-DATA'!$1:$1048576,$A637-1,COLUMN('1-DATA'!AB636)),ROUND(INDEX('1-DATA'!$1:$1048576,IF(OR($B638="STD. DEVIATION",$C$1=1),$A638,$A638+1),COLUMN('1-DATA'!AB636)),IF($B638="STD. DEVIATION",2,$F$1))))</f>
        <v/>
      </c>
      <c r="AD638" s="1" t="str">
        <f>IF(OR($B638="",AD$7=""),"",IF($B638="MEANS",INDEX('1-DATA'!$1:$1048576,$A637-1,COLUMN('1-DATA'!AC636)),ROUND(INDEX('1-DATA'!$1:$1048576,IF(OR($B638="STD. DEVIATION",$C$1=1),$A638,$A638+1),COLUMN('1-DATA'!AC636)),IF($B638="STD. DEVIATION",2,$F$1))))</f>
        <v/>
      </c>
      <c r="AE638" s="1" t="str">
        <f>IF(OR($B638="",AE$7=""),"",IF($B638="MEANS",INDEX('1-DATA'!$1:$1048576,$A637-1,COLUMN('1-DATA'!AD636)),ROUND(INDEX('1-DATA'!$1:$1048576,IF(OR($B638="STD. DEVIATION",$C$1=1),$A638,$A638+1),COLUMN('1-DATA'!AD636)),IF($B638="STD. DEVIATION",2,$F$1))))</f>
        <v/>
      </c>
      <c r="AF638" s="1" t="str">
        <f>IF(OR($B638="",AF$7=""),"",IF($B638="MEANS",INDEX('1-DATA'!$1:$1048576,$A637-1,COLUMN('1-DATA'!AE636)),ROUND(INDEX('1-DATA'!$1:$1048576,IF(OR($B638="STD. DEVIATION",$C$1=1),$A638,$A638+1),COLUMN('1-DATA'!AE636)),IF($B638="STD. DEVIATION",2,$F$1))))</f>
        <v/>
      </c>
      <c r="AG638" s="1" t="str">
        <f>IF(OR($B638="",AG$7=""),"",IF($B638="MEANS",INDEX('1-DATA'!$1:$1048576,$A637-1,COLUMN('1-DATA'!AF636)),ROUND(INDEX('1-DATA'!$1:$1048576,IF(OR($B638="STD. DEVIATION",$C$1=1),$A638,$A638+1),COLUMN('1-DATA'!AF636)),IF($B638="STD. DEVIATION",2,$F$1))))</f>
        <v/>
      </c>
      <c r="AH638" s="1" t="str">
        <f>IF(OR($B638="",AH$7=""),"",IF($B638="MEANS",INDEX('1-DATA'!$1:$1048576,$A637-1,COLUMN('1-DATA'!AG636)),ROUND(INDEX('1-DATA'!$1:$1048576,IF(OR($B638="STD. DEVIATION",$C$1=1),$A638,$A638+1),COLUMN('1-DATA'!AG636)),IF($B638="STD. DEVIATION",2,$F$1))))</f>
        <v/>
      </c>
      <c r="AI638" s="1" t="str">
        <f>IF(OR($B638="",AI$7=""),"",IF($B638="MEANS",INDEX('1-DATA'!$1:$1048576,$A637-1,COLUMN('1-DATA'!AH636)),ROUND(INDEX('1-DATA'!$1:$1048576,IF(OR($B638="STD. DEVIATION",$C$1=1),$A638,$A638+1),COLUMN('1-DATA'!AH636)),IF($B638="STD. DEVIATION",2,$F$1))))</f>
        <v/>
      </c>
      <c r="AJ638" s="1" t="str">
        <f>IF(OR($B638="",AJ$7=""),"",IF($B638="MEANS",INDEX('1-DATA'!$1:$1048576,$A637-1,COLUMN('1-DATA'!AI636)),ROUND(INDEX('1-DATA'!$1:$1048576,IF(OR($B638="STD. DEVIATION",$C$1=1),$A638,$A638+1),COLUMN('1-DATA'!AI636)),IF($B638="STD. DEVIATION",2,$F$1))))</f>
        <v/>
      </c>
      <c r="AK638" s="1" t="str">
        <f>IF(OR($B638="",AK$7=""),"",IF($B638="MEANS",INDEX('1-DATA'!$1:$1048576,$A637-1,COLUMN('1-DATA'!AJ636)),ROUND(INDEX('1-DATA'!$1:$1048576,IF(OR($B638="STD. DEVIATION",$C$1=1),$A638,$A638+1),COLUMN('1-DATA'!AJ636)),IF($B638="STD. DEVIATION",2,$F$1))))</f>
        <v/>
      </c>
      <c r="AL638" s="1" t="str">
        <f>IF(OR($B638="",AL$7=""),"",IF($B638="MEANS",INDEX('1-DATA'!$1:$1048576,$A637-1,COLUMN('1-DATA'!AK636)),ROUND(INDEX('1-DATA'!$1:$1048576,IF(OR($B638="STD. DEVIATION",$C$1=1),$A638,$A638+1),COLUMN('1-DATA'!AK636)),IF($B638="STD. DEVIATION",2,$F$1))))</f>
        <v/>
      </c>
      <c r="AM638" s="1" t="str">
        <f>IF(OR($B638="",AM$7=""),"",IF($B638="MEANS",INDEX('1-DATA'!$1:$1048576,$A637-1,COLUMN('1-DATA'!AL636)),ROUND(INDEX('1-DATA'!$1:$1048576,IF(OR($B638="STD. DEVIATION",$C$1=1),$A638,$A638+1),COLUMN('1-DATA'!AL636)),IF($B638="STD. DEVIATION",2,$F$1))))</f>
        <v/>
      </c>
      <c r="AN638" s="1" t="str">
        <f>IF(OR($B638="",AN$7=""),"",IF($B638="MEANS",INDEX('1-DATA'!$1:$1048576,$A637-1,COLUMN('1-DATA'!AM636)),ROUND(INDEX('1-DATA'!$1:$1048576,IF(OR($B638="STD. DEVIATION",$C$1=1),$A638,$A638+1),COLUMN('1-DATA'!AM636)),IF($B638="STD. DEVIATION",2,$F$1))))</f>
        <v/>
      </c>
      <c r="AO638" s="1" t="str">
        <f>IF(OR($B638="",AO$7=""),"",IF($B638="MEANS",INDEX('1-DATA'!$1:$1048576,$A637-1,COLUMN('1-DATA'!AN636)),ROUND(INDEX('1-DATA'!$1:$1048576,IF(OR($B638="STD. DEVIATION",$C$1=1),$A638,$A638+1),COLUMN('1-DATA'!AN636)),IF($B638="STD. DEVIATION",2,$F$1))))</f>
        <v/>
      </c>
      <c r="AP638" s="1" t="str">
        <f>IF(OR($B638="",AP$7=""),"",IF($B638="MEANS",INDEX('1-DATA'!$1:$1048576,$A637-1,COLUMN('1-DATA'!AO636)),ROUND(INDEX('1-DATA'!$1:$1048576,IF(OR($B638="STD. DEVIATION",$C$1=1),$A638,$A638+1),COLUMN('1-DATA'!AO636)),IF($B638="STD. DEVIATION",2,$F$1))))</f>
        <v/>
      </c>
      <c r="AQ638" s="1" t="str">
        <f>IF(OR($B638="",AQ$7=""),"",IF($B638="MEANS",INDEX('1-DATA'!$1:$1048576,$A637-1,COLUMN('1-DATA'!AP636)),ROUND(INDEX('1-DATA'!$1:$1048576,IF(OR($B638="STD. DEVIATION",$C$1=1),$A638,$A638+1),COLUMN('1-DATA'!AP636)),IF($B638="STD. DEVIATION",2,$F$1))))</f>
        <v/>
      </c>
      <c r="AR638" s="1" t="str">
        <f>IF(OR($B638="",AR$7=""),"",IF($B638="MEANS",INDEX('1-DATA'!$1:$1048576,$A637-1,COLUMN('1-DATA'!AQ636)),ROUND(INDEX('1-DATA'!$1:$1048576,IF(OR($B638="STD. DEVIATION",$C$1=1),$A638,$A638+1),COLUMN('1-DATA'!AQ636)),IF($B638="STD. DEVIATION",2,$F$1))))</f>
        <v/>
      </c>
      <c r="AS638" s="1" t="str">
        <f>IF(OR($B638="",AS$7=""),"",IF($B638="MEANS",INDEX('1-DATA'!$1:$1048576,$A637-1,COLUMN('1-DATA'!AR636)),ROUND(INDEX('1-DATA'!$1:$1048576,IF(OR($B638="STD. DEVIATION",$C$1=1),$A638,$A638+1),COLUMN('1-DATA'!AR636)),IF($B638="STD. DEVIATION",2,$F$1))))</f>
        <v/>
      </c>
      <c r="AT638" s="1" t="str">
        <f>IF(OR($B638="",AT$7=""),"",IF($B638="MEANS",INDEX('1-DATA'!$1:$1048576,$A637-1,COLUMN('1-DATA'!AS636)),ROUND(INDEX('1-DATA'!$1:$1048576,IF(OR($B638="STD. DEVIATION",$C$1=1),$A638,$A638+1),COLUMN('1-DATA'!AS636)),IF($B638="STD. DEVIATION",2,$F$1))))</f>
        <v/>
      </c>
      <c r="AU638" s="1" t="str">
        <f>IF(OR($B638="",AU$7=""),"",IF($B638="MEANS",INDEX('1-DATA'!$1:$1048576,$A637-1,COLUMN('1-DATA'!AT636)),ROUND(INDEX('1-DATA'!$1:$1048576,IF(OR($B638="STD. DEVIATION",$C$1=1),$A638,$A638+1),COLUMN('1-DATA'!AT636)),IF($B638="STD. DEVIATION",2,$F$1))))</f>
        <v/>
      </c>
      <c r="AV638" s="1" t="str">
        <f>IF(OR($B638="",AV$7=""),"",IF($B638="MEANS",INDEX('1-DATA'!$1:$1048576,$A637-1,COLUMN('1-DATA'!AU636)),ROUND(INDEX('1-DATA'!$1:$1048576,IF(OR($B638="STD. DEVIATION",$C$1=1),$A638,$A638+1),COLUMN('1-DATA'!AU636)),IF($B638="STD. DEVIATION",2,$F$1))))</f>
        <v/>
      </c>
      <c r="AW638" s="1" t="str">
        <f>IF(OR($B638="",AW$7=""),"",IF($B638="MEANS",INDEX('1-DATA'!$1:$1048576,$A637-1,COLUMN('1-DATA'!AV636)),ROUND(INDEX('1-DATA'!$1:$1048576,IF(OR($B638="STD. DEVIATION",$C$1=1),$A638,$A638+1),COLUMN('1-DATA'!AV636)),IF($B638="STD. DEVIATION",2,$F$1))))</f>
        <v/>
      </c>
      <c r="AX638" s="1" t="str">
        <f>IF(OR($B638="",AX$7=""),"",IF($B638="MEANS",INDEX('1-DATA'!$1:$1048576,$A637-1,COLUMN('1-DATA'!AW636)),ROUND(INDEX('1-DATA'!$1:$1048576,IF(OR($B638="STD. DEVIATION",$C$1=1),$A638,$A638+1),COLUMN('1-DATA'!AW636)),IF($B638="STD. DEVIATION",2,$F$1))))</f>
        <v/>
      </c>
      <c r="AY638" s="1" t="str">
        <f>IF(OR($B638="",AY$7=""),"",IF($B638="MEANS",INDEX('1-DATA'!$1:$1048576,$A637-1,COLUMN('1-DATA'!AX636)),ROUND(INDEX('1-DATA'!$1:$1048576,IF(OR($B638="STD. DEVIATION",$C$1=1),$A638,$A638+1),COLUMN('1-DATA'!AX636)),IF($B638="STD. DEVIATION",2,$F$1))))</f>
        <v/>
      </c>
      <c r="AZ638" s="1" t="str">
        <f>IF(OR($B638="",AZ$7=""),"",IF($B638="MEANS",INDEX('1-DATA'!$1:$1048576,$A637-1,COLUMN('1-DATA'!AY636)),ROUND(INDEX('1-DATA'!$1:$1048576,IF(OR($B638="STD. DEVIATION",$C$1=1),$A638,$A638+1),COLUMN('1-DATA'!AY636)),IF($B638="STD. DEVIATION",2,$F$1))))</f>
        <v/>
      </c>
    </row>
    <row r="639" spans="1:52" x14ac:dyDescent="0.25">
      <c r="A639" s="11">
        <f t="shared" si="10"/>
        <v>1903</v>
      </c>
      <c r="B639" s="1" t="str">
        <f>IF(B638="STD. DEVIATION",INDEX('1-DATA'!$1:$1048576,$A638-1,1),IF(INDEX('1-DATA'!$1:$1048576,$A639,1)&lt;&gt;"",INDEX('1-DATA'!$1:$1048576,$A639,1),""))</f>
        <v/>
      </c>
      <c r="C639" s="1" t="str">
        <f>IF(OR($B639="",C$7=""),"",IF($B639="MEANS",INDEX('1-DATA'!$1:$1048576,$A638-1,COLUMN('1-DATA'!B637)),ROUND(INDEX('1-DATA'!$1:$1048576,IF(OR($B639="STD. DEVIATION",$C$1=1),$A639,$A639+1),COLUMN('1-DATA'!B637)),IF($B639="STD. DEVIATION",2,$F$1))))</f>
        <v/>
      </c>
      <c r="D639" s="1" t="str">
        <f>IF(OR($B639="",D$7=""),"",IF($B639="MEANS",INDEX('1-DATA'!$1:$1048576,$A638-1,COLUMN('1-DATA'!C637)),ROUND(INDEX('1-DATA'!$1:$1048576,IF(OR($B639="STD. DEVIATION",$C$1=1),$A639,$A639+1),COLUMN('1-DATA'!C637)),IF($B639="STD. DEVIATION",2,$F$1))))</f>
        <v/>
      </c>
      <c r="E639" s="1" t="str">
        <f>IF(OR($B639="",E$7=""),"",IF($B639="MEANS",INDEX('1-DATA'!$1:$1048576,$A638-1,COLUMN('1-DATA'!D637)),ROUND(INDEX('1-DATA'!$1:$1048576,IF(OR($B639="STD. DEVIATION",$C$1=1),$A639,$A639+1),COLUMN('1-DATA'!D637)),IF($B639="STD. DEVIATION",2,$F$1))))</f>
        <v/>
      </c>
      <c r="F639" s="1" t="str">
        <f>IF(OR($B639="",F$7=""),"",IF($B639="MEANS",INDEX('1-DATA'!$1:$1048576,$A638-1,COLUMN('1-DATA'!E637)),ROUND(INDEX('1-DATA'!$1:$1048576,IF(OR($B639="STD. DEVIATION",$C$1=1),$A639,$A639+1),COLUMN('1-DATA'!E637)),IF($B639="STD. DEVIATION",2,$F$1))))</f>
        <v/>
      </c>
      <c r="G639" s="1" t="str">
        <f>IF(OR($B639="",G$7=""),"",IF($B639="MEANS",INDEX('1-DATA'!$1:$1048576,$A638-1,COLUMN('1-DATA'!F637)),ROUND(INDEX('1-DATA'!$1:$1048576,IF(OR($B639="STD. DEVIATION",$C$1=1),$A639,$A639+1),COLUMN('1-DATA'!F637)),IF($B639="STD. DEVIATION",2,$F$1))))</f>
        <v/>
      </c>
      <c r="H639" s="1" t="str">
        <f>IF(OR($B639="",H$7=""),"",IF($B639="MEANS",INDEX('1-DATA'!$1:$1048576,$A638-1,COLUMN('1-DATA'!G637)),ROUND(INDEX('1-DATA'!$1:$1048576,IF(OR($B639="STD. DEVIATION",$C$1=1),$A639,$A639+1),COLUMN('1-DATA'!G637)),IF($B639="STD. DEVIATION",2,$F$1))))</f>
        <v/>
      </c>
      <c r="I639" s="1" t="str">
        <f>IF(OR($B639="",I$7=""),"",IF($B639="MEANS",INDEX('1-DATA'!$1:$1048576,$A638-1,COLUMN('1-DATA'!H637)),ROUND(INDEX('1-DATA'!$1:$1048576,IF(OR($B639="STD. DEVIATION",$C$1=1),$A639,$A639+1),COLUMN('1-DATA'!H637)),IF($B639="STD. DEVIATION",2,$F$1))))</f>
        <v/>
      </c>
      <c r="J639" s="1" t="str">
        <f>IF(OR($B639="",J$7=""),"",IF($B639="MEANS",INDEX('1-DATA'!$1:$1048576,$A638-1,COLUMN('1-DATA'!I637)),ROUND(INDEX('1-DATA'!$1:$1048576,IF(OR($B639="STD. DEVIATION",$C$1=1),$A639,$A639+1),COLUMN('1-DATA'!I637)),IF($B639="STD. DEVIATION",2,$F$1))))</f>
        <v/>
      </c>
      <c r="K639" s="1" t="str">
        <f>IF(OR($B639="",K$7=""),"",IF($B639="MEANS",INDEX('1-DATA'!$1:$1048576,$A638-1,COLUMN('1-DATA'!J637)),ROUND(INDEX('1-DATA'!$1:$1048576,IF(OR($B639="STD. DEVIATION",$C$1=1),$A639,$A639+1),COLUMN('1-DATA'!J637)),IF($B639="STD. DEVIATION",2,$F$1))))</f>
        <v/>
      </c>
      <c r="L639" s="1" t="str">
        <f>IF(OR($B639="",L$7=""),"",IF($B639="MEANS",INDEX('1-DATA'!$1:$1048576,$A638-1,COLUMN('1-DATA'!K637)),ROUND(INDEX('1-DATA'!$1:$1048576,IF(OR($B639="STD. DEVIATION",$C$1=1),$A639,$A639+1),COLUMN('1-DATA'!K637)),IF($B639="STD. DEVIATION",2,$F$1))))</f>
        <v/>
      </c>
      <c r="M639" s="1" t="str">
        <f>IF(OR($B639="",M$7=""),"",IF($B639="MEANS",INDEX('1-DATA'!$1:$1048576,$A638-1,COLUMN('1-DATA'!L637)),ROUND(INDEX('1-DATA'!$1:$1048576,IF(OR($B639="STD. DEVIATION",$C$1=1),$A639,$A639+1),COLUMN('1-DATA'!L637)),IF($B639="STD. DEVIATION",2,$F$1))))</f>
        <v/>
      </c>
      <c r="N639" s="1" t="str">
        <f>IF(OR($B639="",N$7=""),"",IF($B639="MEANS",INDEX('1-DATA'!$1:$1048576,$A638-1,COLUMN('1-DATA'!M637)),ROUND(INDEX('1-DATA'!$1:$1048576,IF(OR($B639="STD. DEVIATION",$C$1=1),$A639,$A639+1),COLUMN('1-DATA'!M637)),IF($B639="STD. DEVIATION",2,$F$1))))</f>
        <v/>
      </c>
      <c r="O639" s="1" t="str">
        <f>IF(OR($B639="",O$7=""),"",IF($B639="MEANS",INDEX('1-DATA'!$1:$1048576,$A638-1,COLUMN('1-DATA'!N637)),ROUND(INDEX('1-DATA'!$1:$1048576,IF(OR($B639="STD. DEVIATION",$C$1=1),$A639,$A639+1),COLUMN('1-DATA'!N637)),IF($B639="STD. DEVIATION",2,$F$1))))</f>
        <v/>
      </c>
      <c r="P639" s="1" t="str">
        <f>IF(OR($B639="",P$7=""),"",IF($B639="MEANS",INDEX('1-DATA'!$1:$1048576,$A638-1,COLUMN('1-DATA'!O637)),ROUND(INDEX('1-DATA'!$1:$1048576,IF(OR($B639="STD. DEVIATION",$C$1=1),$A639,$A639+1),COLUMN('1-DATA'!O637)),IF($B639="STD. DEVIATION",2,$F$1))))</f>
        <v/>
      </c>
      <c r="Q639" s="1" t="str">
        <f>IF(OR($B639="",Q$7=""),"",IF($B639="MEANS",INDEX('1-DATA'!$1:$1048576,$A638-1,COLUMN('1-DATA'!P637)),ROUND(INDEX('1-DATA'!$1:$1048576,IF(OR($B639="STD. DEVIATION",$C$1=1),$A639,$A639+1),COLUMN('1-DATA'!P637)),IF($B639="STD. DEVIATION",2,$F$1))))</f>
        <v/>
      </c>
      <c r="R639" s="1" t="str">
        <f>IF(OR($B639="",R$7=""),"",IF($B639="MEANS",INDEX('1-DATA'!$1:$1048576,$A638-1,COLUMN('1-DATA'!Q637)),ROUND(INDEX('1-DATA'!$1:$1048576,IF(OR($B639="STD. DEVIATION",$C$1=1),$A639,$A639+1),COLUMN('1-DATA'!Q637)),IF($B639="STD. DEVIATION",2,$F$1))))</f>
        <v/>
      </c>
      <c r="S639" s="1" t="str">
        <f>IF(OR($B639="",S$7=""),"",IF($B639="MEANS",INDEX('1-DATA'!$1:$1048576,$A638-1,COLUMN('1-DATA'!R637)),ROUND(INDEX('1-DATA'!$1:$1048576,IF(OR($B639="STD. DEVIATION",$C$1=1),$A639,$A639+1),COLUMN('1-DATA'!R637)),IF($B639="STD. DEVIATION",2,$F$1))))</f>
        <v/>
      </c>
      <c r="T639" s="1" t="str">
        <f>IF(OR($B639="",T$7=""),"",IF($B639="MEANS",INDEX('1-DATA'!$1:$1048576,$A638-1,COLUMN('1-DATA'!S637)),ROUND(INDEX('1-DATA'!$1:$1048576,IF(OR($B639="STD. DEVIATION",$C$1=1),$A639,$A639+1),COLUMN('1-DATA'!S637)),IF($B639="STD. DEVIATION",2,$F$1))))</f>
        <v/>
      </c>
      <c r="U639" s="1" t="str">
        <f>IF(OR($B639="",U$7=""),"",IF($B639="MEANS",INDEX('1-DATA'!$1:$1048576,$A638-1,COLUMN('1-DATA'!T637)),ROUND(INDEX('1-DATA'!$1:$1048576,IF(OR($B639="STD. DEVIATION",$C$1=1),$A639,$A639+1),COLUMN('1-DATA'!T637)),IF($B639="STD. DEVIATION",2,$F$1))))</f>
        <v/>
      </c>
      <c r="V639" s="1" t="str">
        <f>IF(OR($B639="",V$7=""),"",IF($B639="MEANS",INDEX('1-DATA'!$1:$1048576,$A638-1,COLUMN('1-DATA'!U637)),ROUND(INDEX('1-DATA'!$1:$1048576,IF(OR($B639="STD. DEVIATION",$C$1=1),$A639,$A639+1),COLUMN('1-DATA'!U637)),IF($B639="STD. DEVIATION",2,$F$1))))</f>
        <v/>
      </c>
      <c r="W639" s="1" t="str">
        <f>IF(OR($B639="",W$7=""),"",IF($B639="MEANS",INDEX('1-DATA'!$1:$1048576,$A638-1,COLUMN('1-DATA'!V637)),ROUND(INDEX('1-DATA'!$1:$1048576,IF(OR($B639="STD. DEVIATION",$C$1=1),$A639,$A639+1),COLUMN('1-DATA'!V637)),IF($B639="STD. DEVIATION",2,$F$1))))</f>
        <v/>
      </c>
      <c r="X639" s="1" t="str">
        <f>IF(OR($B639="",X$7=""),"",IF($B639="MEANS",INDEX('1-DATA'!$1:$1048576,$A638-1,COLUMN('1-DATA'!W637)),ROUND(INDEX('1-DATA'!$1:$1048576,IF(OR($B639="STD. DEVIATION",$C$1=1),$A639,$A639+1),COLUMN('1-DATA'!W637)),IF($B639="STD. DEVIATION",2,$F$1))))</f>
        <v/>
      </c>
      <c r="Y639" s="1" t="str">
        <f>IF(OR($B639="",Y$7=""),"",IF($B639="MEANS",INDEX('1-DATA'!$1:$1048576,$A638-1,COLUMN('1-DATA'!X637)),ROUND(INDEX('1-DATA'!$1:$1048576,IF(OR($B639="STD. DEVIATION",$C$1=1),$A639,$A639+1),COLUMN('1-DATA'!X637)),IF($B639="STD. DEVIATION",2,$F$1))))</f>
        <v/>
      </c>
      <c r="Z639" s="1" t="str">
        <f>IF(OR($B639="",Z$7=""),"",IF($B639="MEANS",INDEX('1-DATA'!$1:$1048576,$A638-1,COLUMN('1-DATA'!Y637)),ROUND(INDEX('1-DATA'!$1:$1048576,IF(OR($B639="STD. DEVIATION",$C$1=1),$A639,$A639+1),COLUMN('1-DATA'!Y637)),IF($B639="STD. DEVIATION",2,$F$1))))</f>
        <v/>
      </c>
      <c r="AA639" s="1" t="str">
        <f>IF(OR($B639="",AA$7=""),"",IF($B639="MEANS",INDEX('1-DATA'!$1:$1048576,$A638-1,COLUMN('1-DATA'!Z637)),ROUND(INDEX('1-DATA'!$1:$1048576,IF(OR($B639="STD. DEVIATION",$C$1=1),$A639,$A639+1),COLUMN('1-DATA'!Z637)),IF($B639="STD. DEVIATION",2,$F$1))))</f>
        <v/>
      </c>
      <c r="AB639" s="1" t="str">
        <f>IF(OR($B639="",AB$7=""),"",IF($B639="MEANS",INDEX('1-DATA'!$1:$1048576,$A638-1,COLUMN('1-DATA'!AA637)),ROUND(INDEX('1-DATA'!$1:$1048576,IF(OR($B639="STD. DEVIATION",$C$1=1),$A639,$A639+1),COLUMN('1-DATA'!AA637)),IF($B639="STD. DEVIATION",2,$F$1))))</f>
        <v/>
      </c>
      <c r="AC639" s="1" t="str">
        <f>IF(OR($B639="",AC$7=""),"",IF($B639="MEANS",INDEX('1-DATA'!$1:$1048576,$A638-1,COLUMN('1-DATA'!AB637)),ROUND(INDEX('1-DATA'!$1:$1048576,IF(OR($B639="STD. DEVIATION",$C$1=1),$A639,$A639+1),COLUMN('1-DATA'!AB637)),IF($B639="STD. DEVIATION",2,$F$1))))</f>
        <v/>
      </c>
      <c r="AD639" s="1" t="str">
        <f>IF(OR($B639="",AD$7=""),"",IF($B639="MEANS",INDEX('1-DATA'!$1:$1048576,$A638-1,COLUMN('1-DATA'!AC637)),ROUND(INDEX('1-DATA'!$1:$1048576,IF(OR($B639="STD. DEVIATION",$C$1=1),$A639,$A639+1),COLUMN('1-DATA'!AC637)),IF($B639="STD. DEVIATION",2,$F$1))))</f>
        <v/>
      </c>
      <c r="AE639" s="1" t="str">
        <f>IF(OR($B639="",AE$7=""),"",IF($B639="MEANS",INDEX('1-DATA'!$1:$1048576,$A638-1,COLUMN('1-DATA'!AD637)),ROUND(INDEX('1-DATA'!$1:$1048576,IF(OR($B639="STD. DEVIATION",$C$1=1),$A639,$A639+1),COLUMN('1-DATA'!AD637)),IF($B639="STD. DEVIATION",2,$F$1))))</f>
        <v/>
      </c>
      <c r="AF639" s="1" t="str">
        <f>IF(OR($B639="",AF$7=""),"",IF($B639="MEANS",INDEX('1-DATA'!$1:$1048576,$A638-1,COLUMN('1-DATA'!AE637)),ROUND(INDEX('1-DATA'!$1:$1048576,IF(OR($B639="STD. DEVIATION",$C$1=1),$A639,$A639+1),COLUMN('1-DATA'!AE637)),IF($B639="STD. DEVIATION",2,$F$1))))</f>
        <v/>
      </c>
      <c r="AG639" s="1" t="str">
        <f>IF(OR($B639="",AG$7=""),"",IF($B639="MEANS",INDEX('1-DATA'!$1:$1048576,$A638-1,COLUMN('1-DATA'!AF637)),ROUND(INDEX('1-DATA'!$1:$1048576,IF(OR($B639="STD. DEVIATION",$C$1=1),$A639,$A639+1),COLUMN('1-DATA'!AF637)),IF($B639="STD. DEVIATION",2,$F$1))))</f>
        <v/>
      </c>
      <c r="AH639" s="1" t="str">
        <f>IF(OR($B639="",AH$7=""),"",IF($B639="MEANS",INDEX('1-DATA'!$1:$1048576,$A638-1,COLUMN('1-DATA'!AG637)),ROUND(INDEX('1-DATA'!$1:$1048576,IF(OR($B639="STD. DEVIATION",$C$1=1),$A639,$A639+1),COLUMN('1-DATA'!AG637)),IF($B639="STD. DEVIATION",2,$F$1))))</f>
        <v/>
      </c>
      <c r="AI639" s="1" t="str">
        <f>IF(OR($B639="",AI$7=""),"",IF($B639="MEANS",INDEX('1-DATA'!$1:$1048576,$A638-1,COLUMN('1-DATA'!AH637)),ROUND(INDEX('1-DATA'!$1:$1048576,IF(OR($B639="STD. DEVIATION",$C$1=1),$A639,$A639+1),COLUMN('1-DATA'!AH637)),IF($B639="STD. DEVIATION",2,$F$1))))</f>
        <v/>
      </c>
      <c r="AJ639" s="1" t="str">
        <f>IF(OR($B639="",AJ$7=""),"",IF($B639="MEANS",INDEX('1-DATA'!$1:$1048576,$A638-1,COLUMN('1-DATA'!AI637)),ROUND(INDEX('1-DATA'!$1:$1048576,IF(OR($B639="STD. DEVIATION",$C$1=1),$A639,$A639+1),COLUMN('1-DATA'!AI637)),IF($B639="STD. DEVIATION",2,$F$1))))</f>
        <v/>
      </c>
      <c r="AK639" s="1" t="str">
        <f>IF(OR($B639="",AK$7=""),"",IF($B639="MEANS",INDEX('1-DATA'!$1:$1048576,$A638-1,COLUMN('1-DATA'!AJ637)),ROUND(INDEX('1-DATA'!$1:$1048576,IF(OR($B639="STD. DEVIATION",$C$1=1),$A639,$A639+1),COLUMN('1-DATA'!AJ637)),IF($B639="STD. DEVIATION",2,$F$1))))</f>
        <v/>
      </c>
      <c r="AL639" s="1" t="str">
        <f>IF(OR($B639="",AL$7=""),"",IF($B639="MEANS",INDEX('1-DATA'!$1:$1048576,$A638-1,COLUMN('1-DATA'!AK637)),ROUND(INDEX('1-DATA'!$1:$1048576,IF(OR($B639="STD. DEVIATION",$C$1=1),$A639,$A639+1),COLUMN('1-DATA'!AK637)),IF($B639="STD. DEVIATION",2,$F$1))))</f>
        <v/>
      </c>
      <c r="AM639" s="1" t="str">
        <f>IF(OR($B639="",AM$7=""),"",IF($B639="MEANS",INDEX('1-DATA'!$1:$1048576,$A638-1,COLUMN('1-DATA'!AL637)),ROUND(INDEX('1-DATA'!$1:$1048576,IF(OR($B639="STD. DEVIATION",$C$1=1),$A639,$A639+1),COLUMN('1-DATA'!AL637)),IF($B639="STD. DEVIATION",2,$F$1))))</f>
        <v/>
      </c>
      <c r="AN639" s="1" t="str">
        <f>IF(OR($B639="",AN$7=""),"",IF($B639="MEANS",INDEX('1-DATA'!$1:$1048576,$A638-1,COLUMN('1-DATA'!AM637)),ROUND(INDEX('1-DATA'!$1:$1048576,IF(OR($B639="STD. DEVIATION",$C$1=1),$A639,$A639+1),COLUMN('1-DATA'!AM637)),IF($B639="STD. DEVIATION",2,$F$1))))</f>
        <v/>
      </c>
      <c r="AO639" s="1" t="str">
        <f>IF(OR($B639="",AO$7=""),"",IF($B639="MEANS",INDEX('1-DATA'!$1:$1048576,$A638-1,COLUMN('1-DATA'!AN637)),ROUND(INDEX('1-DATA'!$1:$1048576,IF(OR($B639="STD. DEVIATION",$C$1=1),$A639,$A639+1),COLUMN('1-DATA'!AN637)),IF($B639="STD. DEVIATION",2,$F$1))))</f>
        <v/>
      </c>
      <c r="AP639" s="1" t="str">
        <f>IF(OR($B639="",AP$7=""),"",IF($B639="MEANS",INDEX('1-DATA'!$1:$1048576,$A638-1,COLUMN('1-DATA'!AO637)),ROUND(INDEX('1-DATA'!$1:$1048576,IF(OR($B639="STD. DEVIATION",$C$1=1),$A639,$A639+1),COLUMN('1-DATA'!AO637)),IF($B639="STD. DEVIATION",2,$F$1))))</f>
        <v/>
      </c>
      <c r="AQ639" s="1" t="str">
        <f>IF(OR($B639="",AQ$7=""),"",IF($B639="MEANS",INDEX('1-DATA'!$1:$1048576,$A638-1,COLUMN('1-DATA'!AP637)),ROUND(INDEX('1-DATA'!$1:$1048576,IF(OR($B639="STD. DEVIATION",$C$1=1),$A639,$A639+1),COLUMN('1-DATA'!AP637)),IF($B639="STD. DEVIATION",2,$F$1))))</f>
        <v/>
      </c>
      <c r="AR639" s="1" t="str">
        <f>IF(OR($B639="",AR$7=""),"",IF($B639="MEANS",INDEX('1-DATA'!$1:$1048576,$A638-1,COLUMN('1-DATA'!AQ637)),ROUND(INDEX('1-DATA'!$1:$1048576,IF(OR($B639="STD. DEVIATION",$C$1=1),$A639,$A639+1),COLUMN('1-DATA'!AQ637)),IF($B639="STD. DEVIATION",2,$F$1))))</f>
        <v/>
      </c>
      <c r="AS639" s="1" t="str">
        <f>IF(OR($B639="",AS$7=""),"",IF($B639="MEANS",INDEX('1-DATA'!$1:$1048576,$A638-1,COLUMN('1-DATA'!AR637)),ROUND(INDEX('1-DATA'!$1:$1048576,IF(OR($B639="STD. DEVIATION",$C$1=1),$A639,$A639+1),COLUMN('1-DATA'!AR637)),IF($B639="STD. DEVIATION",2,$F$1))))</f>
        <v/>
      </c>
      <c r="AT639" s="1" t="str">
        <f>IF(OR($B639="",AT$7=""),"",IF($B639="MEANS",INDEX('1-DATA'!$1:$1048576,$A638-1,COLUMN('1-DATA'!AS637)),ROUND(INDEX('1-DATA'!$1:$1048576,IF(OR($B639="STD. DEVIATION",$C$1=1),$A639,$A639+1),COLUMN('1-DATA'!AS637)),IF($B639="STD. DEVIATION",2,$F$1))))</f>
        <v/>
      </c>
      <c r="AU639" s="1" t="str">
        <f>IF(OR($B639="",AU$7=""),"",IF($B639="MEANS",INDEX('1-DATA'!$1:$1048576,$A638-1,COLUMN('1-DATA'!AT637)),ROUND(INDEX('1-DATA'!$1:$1048576,IF(OR($B639="STD. DEVIATION",$C$1=1),$A639,$A639+1),COLUMN('1-DATA'!AT637)),IF($B639="STD. DEVIATION",2,$F$1))))</f>
        <v/>
      </c>
      <c r="AV639" s="1" t="str">
        <f>IF(OR($B639="",AV$7=""),"",IF($B639="MEANS",INDEX('1-DATA'!$1:$1048576,$A638-1,COLUMN('1-DATA'!AU637)),ROUND(INDEX('1-DATA'!$1:$1048576,IF(OR($B639="STD. DEVIATION",$C$1=1),$A639,$A639+1),COLUMN('1-DATA'!AU637)),IF($B639="STD. DEVIATION",2,$F$1))))</f>
        <v/>
      </c>
      <c r="AW639" s="1" t="str">
        <f>IF(OR($B639="",AW$7=""),"",IF($B639="MEANS",INDEX('1-DATA'!$1:$1048576,$A638-1,COLUMN('1-DATA'!AV637)),ROUND(INDEX('1-DATA'!$1:$1048576,IF(OR($B639="STD. DEVIATION",$C$1=1),$A639,$A639+1),COLUMN('1-DATA'!AV637)),IF($B639="STD. DEVIATION",2,$F$1))))</f>
        <v/>
      </c>
      <c r="AX639" s="1" t="str">
        <f>IF(OR($B639="",AX$7=""),"",IF($B639="MEANS",INDEX('1-DATA'!$1:$1048576,$A638-1,COLUMN('1-DATA'!AW637)),ROUND(INDEX('1-DATA'!$1:$1048576,IF(OR($B639="STD. DEVIATION",$C$1=1),$A639,$A639+1),COLUMN('1-DATA'!AW637)),IF($B639="STD. DEVIATION",2,$F$1))))</f>
        <v/>
      </c>
      <c r="AY639" s="1" t="str">
        <f>IF(OR($B639="",AY$7=""),"",IF($B639="MEANS",INDEX('1-DATA'!$1:$1048576,$A638-1,COLUMN('1-DATA'!AX637)),ROUND(INDEX('1-DATA'!$1:$1048576,IF(OR($B639="STD. DEVIATION",$C$1=1),$A639,$A639+1),COLUMN('1-DATA'!AX637)),IF($B639="STD. DEVIATION",2,$F$1))))</f>
        <v/>
      </c>
      <c r="AZ639" s="1" t="str">
        <f>IF(OR($B639="",AZ$7=""),"",IF($B639="MEANS",INDEX('1-DATA'!$1:$1048576,$A638-1,COLUMN('1-DATA'!AY637)),ROUND(INDEX('1-DATA'!$1:$1048576,IF(OR($B639="STD. DEVIATION",$C$1=1),$A639,$A639+1),COLUMN('1-DATA'!AY637)),IF($B639="STD. DEVIATION",2,$F$1))))</f>
        <v/>
      </c>
    </row>
    <row r="640" spans="1:52" x14ac:dyDescent="0.25">
      <c r="A640" s="11">
        <f t="shared" si="10"/>
        <v>1906</v>
      </c>
      <c r="B640" s="1" t="str">
        <f>IF(B639="STD. DEVIATION",INDEX('1-DATA'!$1:$1048576,$A639-1,1),IF(INDEX('1-DATA'!$1:$1048576,$A640,1)&lt;&gt;"",INDEX('1-DATA'!$1:$1048576,$A640,1),""))</f>
        <v/>
      </c>
      <c r="C640" s="1" t="str">
        <f>IF(OR($B640="",C$7=""),"",IF($B640="MEANS",INDEX('1-DATA'!$1:$1048576,$A639-1,COLUMN('1-DATA'!B638)),ROUND(INDEX('1-DATA'!$1:$1048576,IF(OR($B640="STD. DEVIATION",$C$1=1),$A640,$A640+1),COLUMN('1-DATA'!B638)),IF($B640="STD. DEVIATION",2,$F$1))))</f>
        <v/>
      </c>
      <c r="D640" s="1" t="str">
        <f>IF(OR($B640="",D$7=""),"",IF($B640="MEANS",INDEX('1-DATA'!$1:$1048576,$A639-1,COLUMN('1-DATA'!C638)),ROUND(INDEX('1-DATA'!$1:$1048576,IF(OR($B640="STD. DEVIATION",$C$1=1),$A640,$A640+1),COLUMN('1-DATA'!C638)),IF($B640="STD. DEVIATION",2,$F$1))))</f>
        <v/>
      </c>
      <c r="E640" s="1" t="str">
        <f>IF(OR($B640="",E$7=""),"",IF($B640="MEANS",INDEX('1-DATA'!$1:$1048576,$A639-1,COLUMN('1-DATA'!D638)),ROUND(INDEX('1-DATA'!$1:$1048576,IF(OR($B640="STD. DEVIATION",$C$1=1),$A640,$A640+1),COLUMN('1-DATA'!D638)),IF($B640="STD. DEVIATION",2,$F$1))))</f>
        <v/>
      </c>
      <c r="F640" s="1" t="str">
        <f>IF(OR($B640="",F$7=""),"",IF($B640="MEANS",INDEX('1-DATA'!$1:$1048576,$A639-1,COLUMN('1-DATA'!E638)),ROUND(INDEX('1-DATA'!$1:$1048576,IF(OR($B640="STD. DEVIATION",$C$1=1),$A640,$A640+1),COLUMN('1-DATA'!E638)),IF($B640="STD. DEVIATION",2,$F$1))))</f>
        <v/>
      </c>
      <c r="G640" s="1" t="str">
        <f>IF(OR($B640="",G$7=""),"",IF($B640="MEANS",INDEX('1-DATA'!$1:$1048576,$A639-1,COLUMN('1-DATA'!F638)),ROUND(INDEX('1-DATA'!$1:$1048576,IF(OR($B640="STD. DEVIATION",$C$1=1),$A640,$A640+1),COLUMN('1-DATA'!F638)),IF($B640="STD. DEVIATION",2,$F$1))))</f>
        <v/>
      </c>
      <c r="H640" s="1" t="str">
        <f>IF(OR($B640="",H$7=""),"",IF($B640="MEANS",INDEX('1-DATA'!$1:$1048576,$A639-1,COLUMN('1-DATA'!G638)),ROUND(INDEX('1-DATA'!$1:$1048576,IF(OR($B640="STD. DEVIATION",$C$1=1),$A640,$A640+1),COLUMN('1-DATA'!G638)),IF($B640="STD. DEVIATION",2,$F$1))))</f>
        <v/>
      </c>
      <c r="I640" s="1" t="str">
        <f>IF(OR($B640="",I$7=""),"",IF($B640="MEANS",INDEX('1-DATA'!$1:$1048576,$A639-1,COLUMN('1-DATA'!H638)),ROUND(INDEX('1-DATA'!$1:$1048576,IF(OR($B640="STD. DEVIATION",$C$1=1),$A640,$A640+1),COLUMN('1-DATA'!H638)),IF($B640="STD. DEVIATION",2,$F$1))))</f>
        <v/>
      </c>
      <c r="J640" s="1" t="str">
        <f>IF(OR($B640="",J$7=""),"",IF($B640="MEANS",INDEX('1-DATA'!$1:$1048576,$A639-1,COLUMN('1-DATA'!I638)),ROUND(INDEX('1-DATA'!$1:$1048576,IF(OR($B640="STD. DEVIATION",$C$1=1),$A640,$A640+1),COLUMN('1-DATA'!I638)),IF($B640="STD. DEVIATION",2,$F$1))))</f>
        <v/>
      </c>
      <c r="K640" s="1" t="str">
        <f>IF(OR($B640="",K$7=""),"",IF($B640="MEANS",INDEX('1-DATA'!$1:$1048576,$A639-1,COLUMN('1-DATA'!J638)),ROUND(INDEX('1-DATA'!$1:$1048576,IF(OR($B640="STD. DEVIATION",$C$1=1),$A640,$A640+1),COLUMN('1-DATA'!J638)),IF($B640="STD. DEVIATION",2,$F$1))))</f>
        <v/>
      </c>
      <c r="L640" s="1" t="str">
        <f>IF(OR($B640="",L$7=""),"",IF($B640="MEANS",INDEX('1-DATA'!$1:$1048576,$A639-1,COLUMN('1-DATA'!K638)),ROUND(INDEX('1-DATA'!$1:$1048576,IF(OR($B640="STD. DEVIATION",$C$1=1),$A640,$A640+1),COLUMN('1-DATA'!K638)),IF($B640="STD. DEVIATION",2,$F$1))))</f>
        <v/>
      </c>
      <c r="M640" s="1" t="str">
        <f>IF(OR($B640="",M$7=""),"",IF($B640="MEANS",INDEX('1-DATA'!$1:$1048576,$A639-1,COLUMN('1-DATA'!L638)),ROUND(INDEX('1-DATA'!$1:$1048576,IF(OR($B640="STD. DEVIATION",$C$1=1),$A640,$A640+1),COLUMN('1-DATA'!L638)),IF($B640="STD. DEVIATION",2,$F$1))))</f>
        <v/>
      </c>
      <c r="N640" s="1" t="str">
        <f>IF(OR($B640="",N$7=""),"",IF($B640="MEANS",INDEX('1-DATA'!$1:$1048576,$A639-1,COLUMN('1-DATA'!M638)),ROUND(INDEX('1-DATA'!$1:$1048576,IF(OR($B640="STD. DEVIATION",$C$1=1),$A640,$A640+1),COLUMN('1-DATA'!M638)),IF($B640="STD. DEVIATION",2,$F$1))))</f>
        <v/>
      </c>
      <c r="O640" s="1" t="str">
        <f>IF(OR($B640="",O$7=""),"",IF($B640="MEANS",INDEX('1-DATA'!$1:$1048576,$A639-1,COLUMN('1-DATA'!N638)),ROUND(INDEX('1-DATA'!$1:$1048576,IF(OR($B640="STD. DEVIATION",$C$1=1),$A640,$A640+1),COLUMN('1-DATA'!N638)),IF($B640="STD. DEVIATION",2,$F$1))))</f>
        <v/>
      </c>
      <c r="P640" s="1" t="str">
        <f>IF(OR($B640="",P$7=""),"",IF($B640="MEANS",INDEX('1-DATA'!$1:$1048576,$A639-1,COLUMN('1-DATA'!O638)),ROUND(INDEX('1-DATA'!$1:$1048576,IF(OR($B640="STD. DEVIATION",$C$1=1),$A640,$A640+1),COLUMN('1-DATA'!O638)),IF($B640="STD. DEVIATION",2,$F$1))))</f>
        <v/>
      </c>
      <c r="Q640" s="1" t="str">
        <f>IF(OR($B640="",Q$7=""),"",IF($B640="MEANS",INDEX('1-DATA'!$1:$1048576,$A639-1,COLUMN('1-DATA'!P638)),ROUND(INDEX('1-DATA'!$1:$1048576,IF(OR($B640="STD. DEVIATION",$C$1=1),$A640,$A640+1),COLUMN('1-DATA'!P638)),IF($B640="STD. DEVIATION",2,$F$1))))</f>
        <v/>
      </c>
      <c r="R640" s="1" t="str">
        <f>IF(OR($B640="",R$7=""),"",IF($B640="MEANS",INDEX('1-DATA'!$1:$1048576,$A639-1,COLUMN('1-DATA'!Q638)),ROUND(INDEX('1-DATA'!$1:$1048576,IF(OR($B640="STD. DEVIATION",$C$1=1),$A640,$A640+1),COLUMN('1-DATA'!Q638)),IF($B640="STD. DEVIATION",2,$F$1))))</f>
        <v/>
      </c>
      <c r="S640" s="1" t="str">
        <f>IF(OR($B640="",S$7=""),"",IF($B640="MEANS",INDEX('1-DATA'!$1:$1048576,$A639-1,COLUMN('1-DATA'!R638)),ROUND(INDEX('1-DATA'!$1:$1048576,IF(OR($B640="STD. DEVIATION",$C$1=1),$A640,$A640+1),COLUMN('1-DATA'!R638)),IF($B640="STD. DEVIATION",2,$F$1))))</f>
        <v/>
      </c>
      <c r="T640" s="1" t="str">
        <f>IF(OR($B640="",T$7=""),"",IF($B640="MEANS",INDEX('1-DATA'!$1:$1048576,$A639-1,COLUMN('1-DATA'!S638)),ROUND(INDEX('1-DATA'!$1:$1048576,IF(OR($B640="STD. DEVIATION",$C$1=1),$A640,$A640+1),COLUMN('1-DATA'!S638)),IF($B640="STD. DEVIATION",2,$F$1))))</f>
        <v/>
      </c>
      <c r="U640" s="1" t="str">
        <f>IF(OR($B640="",U$7=""),"",IF($B640="MEANS",INDEX('1-DATA'!$1:$1048576,$A639-1,COLUMN('1-DATA'!T638)),ROUND(INDEX('1-DATA'!$1:$1048576,IF(OR($B640="STD. DEVIATION",$C$1=1),$A640,$A640+1),COLUMN('1-DATA'!T638)),IF($B640="STD. DEVIATION",2,$F$1))))</f>
        <v/>
      </c>
      <c r="V640" s="1" t="str">
        <f>IF(OR($B640="",V$7=""),"",IF($B640="MEANS",INDEX('1-DATA'!$1:$1048576,$A639-1,COLUMN('1-DATA'!U638)),ROUND(INDEX('1-DATA'!$1:$1048576,IF(OR($B640="STD. DEVIATION",$C$1=1),$A640,$A640+1),COLUMN('1-DATA'!U638)),IF($B640="STD. DEVIATION",2,$F$1))))</f>
        <v/>
      </c>
      <c r="W640" s="1" t="str">
        <f>IF(OR($B640="",W$7=""),"",IF($B640="MEANS",INDEX('1-DATA'!$1:$1048576,$A639-1,COLUMN('1-DATA'!V638)),ROUND(INDEX('1-DATA'!$1:$1048576,IF(OR($B640="STD. DEVIATION",$C$1=1),$A640,$A640+1),COLUMN('1-DATA'!V638)),IF($B640="STD. DEVIATION",2,$F$1))))</f>
        <v/>
      </c>
      <c r="X640" s="1" t="str">
        <f>IF(OR($B640="",X$7=""),"",IF($B640="MEANS",INDEX('1-DATA'!$1:$1048576,$A639-1,COLUMN('1-DATA'!W638)),ROUND(INDEX('1-DATA'!$1:$1048576,IF(OR($B640="STD. DEVIATION",$C$1=1),$A640,$A640+1),COLUMN('1-DATA'!W638)),IF($B640="STD. DEVIATION",2,$F$1))))</f>
        <v/>
      </c>
      <c r="Y640" s="1" t="str">
        <f>IF(OR($B640="",Y$7=""),"",IF($B640="MEANS",INDEX('1-DATA'!$1:$1048576,$A639-1,COLUMN('1-DATA'!X638)),ROUND(INDEX('1-DATA'!$1:$1048576,IF(OR($B640="STD. DEVIATION",$C$1=1),$A640,$A640+1),COLUMN('1-DATA'!X638)),IF($B640="STD. DEVIATION",2,$F$1))))</f>
        <v/>
      </c>
      <c r="Z640" s="1" t="str">
        <f>IF(OR($B640="",Z$7=""),"",IF($B640="MEANS",INDEX('1-DATA'!$1:$1048576,$A639-1,COLUMN('1-DATA'!Y638)),ROUND(INDEX('1-DATA'!$1:$1048576,IF(OR($B640="STD. DEVIATION",$C$1=1),$A640,$A640+1),COLUMN('1-DATA'!Y638)),IF($B640="STD. DEVIATION",2,$F$1))))</f>
        <v/>
      </c>
      <c r="AA640" s="1" t="str">
        <f>IF(OR($B640="",AA$7=""),"",IF($B640="MEANS",INDEX('1-DATA'!$1:$1048576,$A639-1,COLUMN('1-DATA'!Z638)),ROUND(INDEX('1-DATA'!$1:$1048576,IF(OR($B640="STD. DEVIATION",$C$1=1),$A640,$A640+1),COLUMN('1-DATA'!Z638)),IF($B640="STD. DEVIATION",2,$F$1))))</f>
        <v/>
      </c>
      <c r="AB640" s="1" t="str">
        <f>IF(OR($B640="",AB$7=""),"",IF($B640="MEANS",INDEX('1-DATA'!$1:$1048576,$A639-1,COLUMN('1-DATA'!AA638)),ROUND(INDEX('1-DATA'!$1:$1048576,IF(OR($B640="STD. DEVIATION",$C$1=1),$A640,$A640+1),COLUMN('1-DATA'!AA638)),IF($B640="STD. DEVIATION",2,$F$1))))</f>
        <v/>
      </c>
      <c r="AC640" s="1" t="str">
        <f>IF(OR($B640="",AC$7=""),"",IF($B640="MEANS",INDEX('1-DATA'!$1:$1048576,$A639-1,COLUMN('1-DATA'!AB638)),ROUND(INDEX('1-DATA'!$1:$1048576,IF(OR($B640="STD. DEVIATION",$C$1=1),$A640,$A640+1),COLUMN('1-DATA'!AB638)),IF($B640="STD. DEVIATION",2,$F$1))))</f>
        <v/>
      </c>
      <c r="AD640" s="1" t="str">
        <f>IF(OR($B640="",AD$7=""),"",IF($B640="MEANS",INDEX('1-DATA'!$1:$1048576,$A639-1,COLUMN('1-DATA'!AC638)),ROUND(INDEX('1-DATA'!$1:$1048576,IF(OR($B640="STD. DEVIATION",$C$1=1),$A640,$A640+1),COLUMN('1-DATA'!AC638)),IF($B640="STD. DEVIATION",2,$F$1))))</f>
        <v/>
      </c>
      <c r="AE640" s="1" t="str">
        <f>IF(OR($B640="",AE$7=""),"",IF($B640="MEANS",INDEX('1-DATA'!$1:$1048576,$A639-1,COLUMN('1-DATA'!AD638)),ROUND(INDEX('1-DATA'!$1:$1048576,IF(OR($B640="STD. DEVIATION",$C$1=1),$A640,$A640+1),COLUMN('1-DATA'!AD638)),IF($B640="STD. DEVIATION",2,$F$1))))</f>
        <v/>
      </c>
      <c r="AF640" s="1" t="str">
        <f>IF(OR($B640="",AF$7=""),"",IF($B640="MEANS",INDEX('1-DATA'!$1:$1048576,$A639-1,COLUMN('1-DATA'!AE638)),ROUND(INDEX('1-DATA'!$1:$1048576,IF(OR($B640="STD. DEVIATION",$C$1=1),$A640,$A640+1),COLUMN('1-DATA'!AE638)),IF($B640="STD. DEVIATION",2,$F$1))))</f>
        <v/>
      </c>
      <c r="AG640" s="1" t="str">
        <f>IF(OR($B640="",AG$7=""),"",IF($B640="MEANS",INDEX('1-DATA'!$1:$1048576,$A639-1,COLUMN('1-DATA'!AF638)),ROUND(INDEX('1-DATA'!$1:$1048576,IF(OR($B640="STD. DEVIATION",$C$1=1),$A640,$A640+1),COLUMN('1-DATA'!AF638)),IF($B640="STD. DEVIATION",2,$F$1))))</f>
        <v/>
      </c>
      <c r="AH640" s="1" t="str">
        <f>IF(OR($B640="",AH$7=""),"",IF($B640="MEANS",INDEX('1-DATA'!$1:$1048576,$A639-1,COLUMN('1-DATA'!AG638)),ROUND(INDEX('1-DATA'!$1:$1048576,IF(OR($B640="STD. DEVIATION",$C$1=1),$A640,$A640+1),COLUMN('1-DATA'!AG638)),IF($B640="STD. DEVIATION",2,$F$1))))</f>
        <v/>
      </c>
      <c r="AI640" s="1" t="str">
        <f>IF(OR($B640="",AI$7=""),"",IF($B640="MEANS",INDEX('1-DATA'!$1:$1048576,$A639-1,COLUMN('1-DATA'!AH638)),ROUND(INDEX('1-DATA'!$1:$1048576,IF(OR($B640="STD. DEVIATION",$C$1=1),$A640,$A640+1),COLUMN('1-DATA'!AH638)),IF($B640="STD. DEVIATION",2,$F$1))))</f>
        <v/>
      </c>
      <c r="AJ640" s="1" t="str">
        <f>IF(OR($B640="",AJ$7=""),"",IF($B640="MEANS",INDEX('1-DATA'!$1:$1048576,$A639-1,COLUMN('1-DATA'!AI638)),ROUND(INDEX('1-DATA'!$1:$1048576,IF(OR($B640="STD. DEVIATION",$C$1=1),$A640,$A640+1),COLUMN('1-DATA'!AI638)),IF($B640="STD. DEVIATION",2,$F$1))))</f>
        <v/>
      </c>
      <c r="AK640" s="1" t="str">
        <f>IF(OR($B640="",AK$7=""),"",IF($B640="MEANS",INDEX('1-DATA'!$1:$1048576,$A639-1,COLUMN('1-DATA'!AJ638)),ROUND(INDEX('1-DATA'!$1:$1048576,IF(OR($B640="STD. DEVIATION",$C$1=1),$A640,$A640+1),COLUMN('1-DATA'!AJ638)),IF($B640="STD. DEVIATION",2,$F$1))))</f>
        <v/>
      </c>
      <c r="AL640" s="1" t="str">
        <f>IF(OR($B640="",AL$7=""),"",IF($B640="MEANS",INDEX('1-DATA'!$1:$1048576,$A639-1,COLUMN('1-DATA'!AK638)),ROUND(INDEX('1-DATA'!$1:$1048576,IF(OR($B640="STD. DEVIATION",$C$1=1),$A640,$A640+1),COLUMN('1-DATA'!AK638)),IF($B640="STD. DEVIATION",2,$F$1))))</f>
        <v/>
      </c>
      <c r="AM640" s="1" t="str">
        <f>IF(OR($B640="",AM$7=""),"",IF($B640="MEANS",INDEX('1-DATA'!$1:$1048576,$A639-1,COLUMN('1-DATA'!AL638)),ROUND(INDEX('1-DATA'!$1:$1048576,IF(OR($B640="STD. DEVIATION",$C$1=1),$A640,$A640+1),COLUMN('1-DATA'!AL638)),IF($B640="STD. DEVIATION",2,$F$1))))</f>
        <v/>
      </c>
      <c r="AN640" s="1" t="str">
        <f>IF(OR($B640="",AN$7=""),"",IF($B640="MEANS",INDEX('1-DATA'!$1:$1048576,$A639-1,COLUMN('1-DATA'!AM638)),ROUND(INDEX('1-DATA'!$1:$1048576,IF(OR($B640="STD. DEVIATION",$C$1=1),$A640,$A640+1),COLUMN('1-DATA'!AM638)),IF($B640="STD. DEVIATION",2,$F$1))))</f>
        <v/>
      </c>
      <c r="AO640" s="1" t="str">
        <f>IF(OR($B640="",AO$7=""),"",IF($B640="MEANS",INDEX('1-DATA'!$1:$1048576,$A639-1,COLUMN('1-DATA'!AN638)),ROUND(INDEX('1-DATA'!$1:$1048576,IF(OR($B640="STD. DEVIATION",$C$1=1),$A640,$A640+1),COLUMN('1-DATA'!AN638)),IF($B640="STD. DEVIATION",2,$F$1))))</f>
        <v/>
      </c>
      <c r="AP640" s="1" t="str">
        <f>IF(OR($B640="",AP$7=""),"",IF($B640="MEANS",INDEX('1-DATA'!$1:$1048576,$A639-1,COLUMN('1-DATA'!AO638)),ROUND(INDEX('1-DATA'!$1:$1048576,IF(OR($B640="STD. DEVIATION",$C$1=1),$A640,$A640+1),COLUMN('1-DATA'!AO638)),IF($B640="STD. DEVIATION",2,$F$1))))</f>
        <v/>
      </c>
      <c r="AQ640" s="1" t="str">
        <f>IF(OR($B640="",AQ$7=""),"",IF($B640="MEANS",INDEX('1-DATA'!$1:$1048576,$A639-1,COLUMN('1-DATA'!AP638)),ROUND(INDEX('1-DATA'!$1:$1048576,IF(OR($B640="STD. DEVIATION",$C$1=1),$A640,$A640+1),COLUMN('1-DATA'!AP638)),IF($B640="STD. DEVIATION",2,$F$1))))</f>
        <v/>
      </c>
      <c r="AR640" s="1" t="str">
        <f>IF(OR($B640="",AR$7=""),"",IF($B640="MEANS",INDEX('1-DATA'!$1:$1048576,$A639-1,COLUMN('1-DATA'!AQ638)),ROUND(INDEX('1-DATA'!$1:$1048576,IF(OR($B640="STD. DEVIATION",$C$1=1),$A640,$A640+1),COLUMN('1-DATA'!AQ638)),IF($B640="STD. DEVIATION",2,$F$1))))</f>
        <v/>
      </c>
      <c r="AS640" s="1" t="str">
        <f>IF(OR($B640="",AS$7=""),"",IF($B640="MEANS",INDEX('1-DATA'!$1:$1048576,$A639-1,COLUMN('1-DATA'!AR638)),ROUND(INDEX('1-DATA'!$1:$1048576,IF(OR($B640="STD. DEVIATION",$C$1=1),$A640,$A640+1),COLUMN('1-DATA'!AR638)),IF($B640="STD. DEVIATION",2,$F$1))))</f>
        <v/>
      </c>
      <c r="AT640" s="1" t="str">
        <f>IF(OR($B640="",AT$7=""),"",IF($B640="MEANS",INDEX('1-DATA'!$1:$1048576,$A639-1,COLUMN('1-DATA'!AS638)),ROUND(INDEX('1-DATA'!$1:$1048576,IF(OR($B640="STD. DEVIATION",$C$1=1),$A640,$A640+1),COLUMN('1-DATA'!AS638)),IF($B640="STD. DEVIATION",2,$F$1))))</f>
        <v/>
      </c>
      <c r="AU640" s="1" t="str">
        <f>IF(OR($B640="",AU$7=""),"",IF($B640="MEANS",INDEX('1-DATA'!$1:$1048576,$A639-1,COLUMN('1-DATA'!AT638)),ROUND(INDEX('1-DATA'!$1:$1048576,IF(OR($B640="STD. DEVIATION",$C$1=1),$A640,$A640+1),COLUMN('1-DATA'!AT638)),IF($B640="STD. DEVIATION",2,$F$1))))</f>
        <v/>
      </c>
      <c r="AV640" s="1" t="str">
        <f>IF(OR($B640="",AV$7=""),"",IF($B640="MEANS",INDEX('1-DATA'!$1:$1048576,$A639-1,COLUMN('1-DATA'!AU638)),ROUND(INDEX('1-DATA'!$1:$1048576,IF(OR($B640="STD. DEVIATION",$C$1=1),$A640,$A640+1),COLUMN('1-DATA'!AU638)),IF($B640="STD. DEVIATION",2,$F$1))))</f>
        <v/>
      </c>
      <c r="AW640" s="1" t="str">
        <f>IF(OR($B640="",AW$7=""),"",IF($B640="MEANS",INDEX('1-DATA'!$1:$1048576,$A639-1,COLUMN('1-DATA'!AV638)),ROUND(INDEX('1-DATA'!$1:$1048576,IF(OR($B640="STD. DEVIATION",$C$1=1),$A640,$A640+1),COLUMN('1-DATA'!AV638)),IF($B640="STD. DEVIATION",2,$F$1))))</f>
        <v/>
      </c>
      <c r="AX640" s="1" t="str">
        <f>IF(OR($B640="",AX$7=""),"",IF($B640="MEANS",INDEX('1-DATA'!$1:$1048576,$A639-1,COLUMN('1-DATA'!AW638)),ROUND(INDEX('1-DATA'!$1:$1048576,IF(OR($B640="STD. DEVIATION",$C$1=1),$A640,$A640+1),COLUMN('1-DATA'!AW638)),IF($B640="STD. DEVIATION",2,$F$1))))</f>
        <v/>
      </c>
      <c r="AY640" s="1" t="str">
        <f>IF(OR($B640="",AY$7=""),"",IF($B640="MEANS",INDEX('1-DATA'!$1:$1048576,$A639-1,COLUMN('1-DATA'!AX638)),ROUND(INDEX('1-DATA'!$1:$1048576,IF(OR($B640="STD. DEVIATION",$C$1=1),$A640,$A640+1),COLUMN('1-DATA'!AX638)),IF($B640="STD. DEVIATION",2,$F$1))))</f>
        <v/>
      </c>
      <c r="AZ640" s="1" t="str">
        <f>IF(OR($B640="",AZ$7=""),"",IF($B640="MEANS",INDEX('1-DATA'!$1:$1048576,$A639-1,COLUMN('1-DATA'!AY638)),ROUND(INDEX('1-DATA'!$1:$1048576,IF(OR($B640="STD. DEVIATION",$C$1=1),$A640,$A640+1),COLUMN('1-DATA'!AY638)),IF($B640="STD. DEVIATION",2,$F$1))))</f>
        <v/>
      </c>
    </row>
    <row r="641" spans="1:52" x14ac:dyDescent="0.25">
      <c r="A641" s="11">
        <f t="shared" si="10"/>
        <v>1909</v>
      </c>
      <c r="B641" s="1" t="str">
        <f>IF(B640="STD. DEVIATION",INDEX('1-DATA'!$1:$1048576,$A640-1,1),IF(INDEX('1-DATA'!$1:$1048576,$A641,1)&lt;&gt;"",INDEX('1-DATA'!$1:$1048576,$A641,1),""))</f>
        <v/>
      </c>
      <c r="C641" s="1" t="str">
        <f>IF(OR($B641="",C$7=""),"",IF($B641="MEANS",INDEX('1-DATA'!$1:$1048576,$A640-1,COLUMN('1-DATA'!B639)),ROUND(INDEX('1-DATA'!$1:$1048576,IF(OR($B641="STD. DEVIATION",$C$1=1),$A641,$A641+1),COLUMN('1-DATA'!B639)),IF($B641="STD. DEVIATION",2,$F$1))))</f>
        <v/>
      </c>
      <c r="D641" s="1" t="str">
        <f>IF(OR($B641="",D$7=""),"",IF($B641="MEANS",INDEX('1-DATA'!$1:$1048576,$A640-1,COLUMN('1-DATA'!C639)),ROUND(INDEX('1-DATA'!$1:$1048576,IF(OR($B641="STD. DEVIATION",$C$1=1),$A641,$A641+1),COLUMN('1-DATA'!C639)),IF($B641="STD. DEVIATION",2,$F$1))))</f>
        <v/>
      </c>
      <c r="E641" s="1" t="str">
        <f>IF(OR($B641="",E$7=""),"",IF($B641="MEANS",INDEX('1-DATA'!$1:$1048576,$A640-1,COLUMN('1-DATA'!D639)),ROUND(INDEX('1-DATA'!$1:$1048576,IF(OR($B641="STD. DEVIATION",$C$1=1),$A641,$A641+1),COLUMN('1-DATA'!D639)),IF($B641="STD. DEVIATION",2,$F$1))))</f>
        <v/>
      </c>
      <c r="F641" s="1" t="str">
        <f>IF(OR($B641="",F$7=""),"",IF($B641="MEANS",INDEX('1-DATA'!$1:$1048576,$A640-1,COLUMN('1-DATA'!E639)),ROUND(INDEX('1-DATA'!$1:$1048576,IF(OR($B641="STD. DEVIATION",$C$1=1),$A641,$A641+1),COLUMN('1-DATA'!E639)),IF($B641="STD. DEVIATION",2,$F$1))))</f>
        <v/>
      </c>
      <c r="G641" s="1" t="str">
        <f>IF(OR($B641="",G$7=""),"",IF($B641="MEANS",INDEX('1-DATA'!$1:$1048576,$A640-1,COLUMN('1-DATA'!F639)),ROUND(INDEX('1-DATA'!$1:$1048576,IF(OR($B641="STD. DEVIATION",$C$1=1),$A641,$A641+1),COLUMN('1-DATA'!F639)),IF($B641="STD. DEVIATION",2,$F$1))))</f>
        <v/>
      </c>
      <c r="H641" s="1" t="str">
        <f>IF(OR($B641="",H$7=""),"",IF($B641="MEANS",INDEX('1-DATA'!$1:$1048576,$A640-1,COLUMN('1-DATA'!G639)),ROUND(INDEX('1-DATA'!$1:$1048576,IF(OR($B641="STD. DEVIATION",$C$1=1),$A641,$A641+1),COLUMN('1-DATA'!G639)),IF($B641="STD. DEVIATION",2,$F$1))))</f>
        <v/>
      </c>
      <c r="I641" s="1" t="str">
        <f>IF(OR($B641="",I$7=""),"",IF($B641="MEANS",INDEX('1-DATA'!$1:$1048576,$A640-1,COLUMN('1-DATA'!H639)),ROUND(INDEX('1-DATA'!$1:$1048576,IF(OR($B641="STD. DEVIATION",$C$1=1),$A641,$A641+1),COLUMN('1-DATA'!H639)),IF($B641="STD. DEVIATION",2,$F$1))))</f>
        <v/>
      </c>
      <c r="J641" s="1" t="str">
        <f>IF(OR($B641="",J$7=""),"",IF($B641="MEANS",INDEX('1-DATA'!$1:$1048576,$A640-1,COLUMN('1-DATA'!I639)),ROUND(INDEX('1-DATA'!$1:$1048576,IF(OR($B641="STD. DEVIATION",$C$1=1),$A641,$A641+1),COLUMN('1-DATA'!I639)),IF($B641="STD. DEVIATION",2,$F$1))))</f>
        <v/>
      </c>
      <c r="K641" s="1" t="str">
        <f>IF(OR($B641="",K$7=""),"",IF($B641="MEANS",INDEX('1-DATA'!$1:$1048576,$A640-1,COLUMN('1-DATA'!J639)),ROUND(INDEX('1-DATA'!$1:$1048576,IF(OR($B641="STD. DEVIATION",$C$1=1),$A641,$A641+1),COLUMN('1-DATA'!J639)),IF($B641="STD. DEVIATION",2,$F$1))))</f>
        <v/>
      </c>
      <c r="L641" s="1" t="str">
        <f>IF(OR($B641="",L$7=""),"",IF($B641="MEANS",INDEX('1-DATA'!$1:$1048576,$A640-1,COLUMN('1-DATA'!K639)),ROUND(INDEX('1-DATA'!$1:$1048576,IF(OR($B641="STD. DEVIATION",$C$1=1),$A641,$A641+1),COLUMN('1-DATA'!K639)),IF($B641="STD. DEVIATION",2,$F$1))))</f>
        <v/>
      </c>
      <c r="M641" s="1" t="str">
        <f>IF(OR($B641="",M$7=""),"",IF($B641="MEANS",INDEX('1-DATA'!$1:$1048576,$A640-1,COLUMN('1-DATA'!L639)),ROUND(INDEX('1-DATA'!$1:$1048576,IF(OR($B641="STD. DEVIATION",$C$1=1),$A641,$A641+1),COLUMN('1-DATA'!L639)),IF($B641="STD. DEVIATION",2,$F$1))))</f>
        <v/>
      </c>
      <c r="N641" s="1" t="str">
        <f>IF(OR($B641="",N$7=""),"",IF($B641="MEANS",INDEX('1-DATA'!$1:$1048576,$A640-1,COLUMN('1-DATA'!M639)),ROUND(INDEX('1-DATA'!$1:$1048576,IF(OR($B641="STD. DEVIATION",$C$1=1),$A641,$A641+1),COLUMN('1-DATA'!M639)),IF($B641="STD. DEVIATION",2,$F$1))))</f>
        <v/>
      </c>
      <c r="O641" s="1" t="str">
        <f>IF(OR($B641="",O$7=""),"",IF($B641="MEANS",INDEX('1-DATA'!$1:$1048576,$A640-1,COLUMN('1-DATA'!N639)),ROUND(INDEX('1-DATA'!$1:$1048576,IF(OR($B641="STD. DEVIATION",$C$1=1),$A641,$A641+1),COLUMN('1-DATA'!N639)),IF($B641="STD. DEVIATION",2,$F$1))))</f>
        <v/>
      </c>
      <c r="P641" s="1" t="str">
        <f>IF(OR($B641="",P$7=""),"",IF($B641="MEANS",INDEX('1-DATA'!$1:$1048576,$A640-1,COLUMN('1-DATA'!O639)),ROUND(INDEX('1-DATA'!$1:$1048576,IF(OR($B641="STD. DEVIATION",$C$1=1),$A641,$A641+1),COLUMN('1-DATA'!O639)),IF($B641="STD. DEVIATION",2,$F$1))))</f>
        <v/>
      </c>
      <c r="Q641" s="1" t="str">
        <f>IF(OR($B641="",Q$7=""),"",IF($B641="MEANS",INDEX('1-DATA'!$1:$1048576,$A640-1,COLUMN('1-DATA'!P639)),ROUND(INDEX('1-DATA'!$1:$1048576,IF(OR($B641="STD. DEVIATION",$C$1=1),$A641,$A641+1),COLUMN('1-DATA'!P639)),IF($B641="STD. DEVIATION",2,$F$1))))</f>
        <v/>
      </c>
      <c r="R641" s="1" t="str">
        <f>IF(OR($B641="",R$7=""),"",IF($B641="MEANS",INDEX('1-DATA'!$1:$1048576,$A640-1,COLUMN('1-DATA'!Q639)),ROUND(INDEX('1-DATA'!$1:$1048576,IF(OR($B641="STD. DEVIATION",$C$1=1),$A641,$A641+1),COLUMN('1-DATA'!Q639)),IF($B641="STD. DEVIATION",2,$F$1))))</f>
        <v/>
      </c>
      <c r="S641" s="1" t="str">
        <f>IF(OR($B641="",S$7=""),"",IF($B641="MEANS",INDEX('1-DATA'!$1:$1048576,$A640-1,COLUMN('1-DATA'!R639)),ROUND(INDEX('1-DATA'!$1:$1048576,IF(OR($B641="STD. DEVIATION",$C$1=1),$A641,$A641+1),COLUMN('1-DATA'!R639)),IF($B641="STD. DEVIATION",2,$F$1))))</f>
        <v/>
      </c>
      <c r="T641" s="1" t="str">
        <f>IF(OR($B641="",T$7=""),"",IF($B641="MEANS",INDEX('1-DATA'!$1:$1048576,$A640-1,COLUMN('1-DATA'!S639)),ROUND(INDEX('1-DATA'!$1:$1048576,IF(OR($B641="STD. DEVIATION",$C$1=1),$A641,$A641+1),COLUMN('1-DATA'!S639)),IF($B641="STD. DEVIATION",2,$F$1))))</f>
        <v/>
      </c>
      <c r="U641" s="1" t="str">
        <f>IF(OR($B641="",U$7=""),"",IF($B641="MEANS",INDEX('1-DATA'!$1:$1048576,$A640-1,COLUMN('1-DATA'!T639)),ROUND(INDEX('1-DATA'!$1:$1048576,IF(OR($B641="STD. DEVIATION",$C$1=1),$A641,$A641+1),COLUMN('1-DATA'!T639)),IF($B641="STD. DEVIATION",2,$F$1))))</f>
        <v/>
      </c>
      <c r="V641" s="1" t="str">
        <f>IF(OR($B641="",V$7=""),"",IF($B641="MEANS",INDEX('1-DATA'!$1:$1048576,$A640-1,COLUMN('1-DATA'!U639)),ROUND(INDEX('1-DATA'!$1:$1048576,IF(OR($B641="STD. DEVIATION",$C$1=1),$A641,$A641+1),COLUMN('1-DATA'!U639)),IF($B641="STD. DEVIATION",2,$F$1))))</f>
        <v/>
      </c>
      <c r="W641" s="1" t="str">
        <f>IF(OR($B641="",W$7=""),"",IF($B641="MEANS",INDEX('1-DATA'!$1:$1048576,$A640-1,COLUMN('1-DATA'!V639)),ROUND(INDEX('1-DATA'!$1:$1048576,IF(OR($B641="STD. DEVIATION",$C$1=1),$A641,$A641+1),COLUMN('1-DATA'!V639)),IF($B641="STD. DEVIATION",2,$F$1))))</f>
        <v/>
      </c>
      <c r="X641" s="1" t="str">
        <f>IF(OR($B641="",X$7=""),"",IF($B641="MEANS",INDEX('1-DATA'!$1:$1048576,$A640-1,COLUMN('1-DATA'!W639)),ROUND(INDEX('1-DATA'!$1:$1048576,IF(OR($B641="STD. DEVIATION",$C$1=1),$A641,$A641+1),COLUMN('1-DATA'!W639)),IF($B641="STD. DEVIATION",2,$F$1))))</f>
        <v/>
      </c>
      <c r="Y641" s="1" t="str">
        <f>IF(OR($B641="",Y$7=""),"",IF($B641="MEANS",INDEX('1-DATA'!$1:$1048576,$A640-1,COLUMN('1-DATA'!X639)),ROUND(INDEX('1-DATA'!$1:$1048576,IF(OR($B641="STD. DEVIATION",$C$1=1),$A641,$A641+1),COLUMN('1-DATA'!X639)),IF($B641="STD. DEVIATION",2,$F$1))))</f>
        <v/>
      </c>
      <c r="Z641" s="1" t="str">
        <f>IF(OR($B641="",Z$7=""),"",IF($B641="MEANS",INDEX('1-DATA'!$1:$1048576,$A640-1,COLUMN('1-DATA'!Y639)),ROUND(INDEX('1-DATA'!$1:$1048576,IF(OR($B641="STD. DEVIATION",$C$1=1),$A641,$A641+1),COLUMN('1-DATA'!Y639)),IF($B641="STD. DEVIATION",2,$F$1))))</f>
        <v/>
      </c>
      <c r="AA641" s="1" t="str">
        <f>IF(OR($B641="",AA$7=""),"",IF($B641="MEANS",INDEX('1-DATA'!$1:$1048576,$A640-1,COLUMN('1-DATA'!Z639)),ROUND(INDEX('1-DATA'!$1:$1048576,IF(OR($B641="STD. DEVIATION",$C$1=1),$A641,$A641+1),COLUMN('1-DATA'!Z639)),IF($B641="STD. DEVIATION",2,$F$1))))</f>
        <v/>
      </c>
      <c r="AB641" s="1" t="str">
        <f>IF(OR($B641="",AB$7=""),"",IF($B641="MEANS",INDEX('1-DATA'!$1:$1048576,$A640-1,COLUMN('1-DATA'!AA639)),ROUND(INDEX('1-DATA'!$1:$1048576,IF(OR($B641="STD. DEVIATION",$C$1=1),$A641,$A641+1),COLUMN('1-DATA'!AA639)),IF($B641="STD. DEVIATION",2,$F$1))))</f>
        <v/>
      </c>
      <c r="AC641" s="1" t="str">
        <f>IF(OR($B641="",AC$7=""),"",IF($B641="MEANS",INDEX('1-DATA'!$1:$1048576,$A640-1,COLUMN('1-DATA'!AB639)),ROUND(INDEX('1-DATA'!$1:$1048576,IF(OR($B641="STD. DEVIATION",$C$1=1),$A641,$A641+1),COLUMN('1-DATA'!AB639)),IF($B641="STD. DEVIATION",2,$F$1))))</f>
        <v/>
      </c>
      <c r="AD641" s="1" t="str">
        <f>IF(OR($B641="",AD$7=""),"",IF($B641="MEANS",INDEX('1-DATA'!$1:$1048576,$A640-1,COLUMN('1-DATA'!AC639)),ROUND(INDEX('1-DATA'!$1:$1048576,IF(OR($B641="STD. DEVIATION",$C$1=1),$A641,$A641+1),COLUMN('1-DATA'!AC639)),IF($B641="STD. DEVIATION",2,$F$1))))</f>
        <v/>
      </c>
      <c r="AE641" s="1" t="str">
        <f>IF(OR($B641="",AE$7=""),"",IF($B641="MEANS",INDEX('1-DATA'!$1:$1048576,$A640-1,COLUMN('1-DATA'!AD639)),ROUND(INDEX('1-DATA'!$1:$1048576,IF(OR($B641="STD. DEVIATION",$C$1=1),$A641,$A641+1),COLUMN('1-DATA'!AD639)),IF($B641="STD. DEVIATION",2,$F$1))))</f>
        <v/>
      </c>
      <c r="AF641" s="1" t="str">
        <f>IF(OR($B641="",AF$7=""),"",IF($B641="MEANS",INDEX('1-DATA'!$1:$1048576,$A640-1,COLUMN('1-DATA'!AE639)),ROUND(INDEX('1-DATA'!$1:$1048576,IF(OR($B641="STD. DEVIATION",$C$1=1),$A641,$A641+1),COLUMN('1-DATA'!AE639)),IF($B641="STD. DEVIATION",2,$F$1))))</f>
        <v/>
      </c>
      <c r="AG641" s="1" t="str">
        <f>IF(OR($B641="",AG$7=""),"",IF($B641="MEANS",INDEX('1-DATA'!$1:$1048576,$A640-1,COLUMN('1-DATA'!AF639)),ROUND(INDEX('1-DATA'!$1:$1048576,IF(OR($B641="STD. DEVIATION",$C$1=1),$A641,$A641+1),COLUMN('1-DATA'!AF639)),IF($B641="STD. DEVIATION",2,$F$1))))</f>
        <v/>
      </c>
      <c r="AH641" s="1" t="str">
        <f>IF(OR($B641="",AH$7=""),"",IF($B641="MEANS",INDEX('1-DATA'!$1:$1048576,$A640-1,COLUMN('1-DATA'!AG639)),ROUND(INDEX('1-DATA'!$1:$1048576,IF(OR($B641="STD. DEVIATION",$C$1=1),$A641,$A641+1),COLUMN('1-DATA'!AG639)),IF($B641="STD. DEVIATION",2,$F$1))))</f>
        <v/>
      </c>
      <c r="AI641" s="1" t="str">
        <f>IF(OR($B641="",AI$7=""),"",IF($B641="MEANS",INDEX('1-DATA'!$1:$1048576,$A640-1,COLUMN('1-DATA'!AH639)),ROUND(INDEX('1-DATA'!$1:$1048576,IF(OR($B641="STD. DEVIATION",$C$1=1),$A641,$A641+1),COLUMN('1-DATA'!AH639)),IF($B641="STD. DEVIATION",2,$F$1))))</f>
        <v/>
      </c>
      <c r="AJ641" s="1" t="str">
        <f>IF(OR($B641="",AJ$7=""),"",IF($B641="MEANS",INDEX('1-DATA'!$1:$1048576,$A640-1,COLUMN('1-DATA'!AI639)),ROUND(INDEX('1-DATA'!$1:$1048576,IF(OR($B641="STD. DEVIATION",$C$1=1),$A641,$A641+1),COLUMN('1-DATA'!AI639)),IF($B641="STD. DEVIATION",2,$F$1))))</f>
        <v/>
      </c>
      <c r="AK641" s="1" t="str">
        <f>IF(OR($B641="",AK$7=""),"",IF($B641="MEANS",INDEX('1-DATA'!$1:$1048576,$A640-1,COLUMN('1-DATA'!AJ639)),ROUND(INDEX('1-DATA'!$1:$1048576,IF(OR($B641="STD. DEVIATION",$C$1=1),$A641,$A641+1),COLUMN('1-DATA'!AJ639)),IF($B641="STD. DEVIATION",2,$F$1))))</f>
        <v/>
      </c>
      <c r="AL641" s="1" t="str">
        <f>IF(OR($B641="",AL$7=""),"",IF($B641="MEANS",INDEX('1-DATA'!$1:$1048576,$A640-1,COLUMN('1-DATA'!AK639)),ROUND(INDEX('1-DATA'!$1:$1048576,IF(OR($B641="STD. DEVIATION",$C$1=1),$A641,$A641+1),COLUMN('1-DATA'!AK639)),IF($B641="STD. DEVIATION",2,$F$1))))</f>
        <v/>
      </c>
      <c r="AM641" s="1" t="str">
        <f>IF(OR($B641="",AM$7=""),"",IF($B641="MEANS",INDEX('1-DATA'!$1:$1048576,$A640-1,COLUMN('1-DATA'!AL639)),ROUND(INDEX('1-DATA'!$1:$1048576,IF(OR($B641="STD. DEVIATION",$C$1=1),$A641,$A641+1),COLUMN('1-DATA'!AL639)),IF($B641="STD. DEVIATION",2,$F$1))))</f>
        <v/>
      </c>
      <c r="AN641" s="1" t="str">
        <f>IF(OR($B641="",AN$7=""),"",IF($B641="MEANS",INDEX('1-DATA'!$1:$1048576,$A640-1,COLUMN('1-DATA'!AM639)),ROUND(INDEX('1-DATA'!$1:$1048576,IF(OR($B641="STD. DEVIATION",$C$1=1),$A641,$A641+1),COLUMN('1-DATA'!AM639)),IF($B641="STD. DEVIATION",2,$F$1))))</f>
        <v/>
      </c>
      <c r="AO641" s="1" t="str">
        <f>IF(OR($B641="",AO$7=""),"",IF($B641="MEANS",INDEX('1-DATA'!$1:$1048576,$A640-1,COLUMN('1-DATA'!AN639)),ROUND(INDEX('1-DATA'!$1:$1048576,IF(OR($B641="STD. DEVIATION",$C$1=1),$A641,$A641+1),COLUMN('1-DATA'!AN639)),IF($B641="STD. DEVIATION",2,$F$1))))</f>
        <v/>
      </c>
      <c r="AP641" s="1" t="str">
        <f>IF(OR($B641="",AP$7=""),"",IF($B641="MEANS",INDEX('1-DATA'!$1:$1048576,$A640-1,COLUMN('1-DATA'!AO639)),ROUND(INDEX('1-DATA'!$1:$1048576,IF(OR($B641="STD. DEVIATION",$C$1=1),$A641,$A641+1),COLUMN('1-DATA'!AO639)),IF($B641="STD. DEVIATION",2,$F$1))))</f>
        <v/>
      </c>
      <c r="AQ641" s="1" t="str">
        <f>IF(OR($B641="",AQ$7=""),"",IF($B641="MEANS",INDEX('1-DATA'!$1:$1048576,$A640-1,COLUMN('1-DATA'!AP639)),ROUND(INDEX('1-DATA'!$1:$1048576,IF(OR($B641="STD. DEVIATION",$C$1=1),$A641,$A641+1),COLUMN('1-DATA'!AP639)),IF($B641="STD. DEVIATION",2,$F$1))))</f>
        <v/>
      </c>
      <c r="AR641" s="1" t="str">
        <f>IF(OR($B641="",AR$7=""),"",IF($B641="MEANS",INDEX('1-DATA'!$1:$1048576,$A640-1,COLUMN('1-DATA'!AQ639)),ROUND(INDEX('1-DATA'!$1:$1048576,IF(OR($B641="STD. DEVIATION",$C$1=1),$A641,$A641+1),COLUMN('1-DATA'!AQ639)),IF($B641="STD. DEVIATION",2,$F$1))))</f>
        <v/>
      </c>
      <c r="AS641" s="1" t="str">
        <f>IF(OR($B641="",AS$7=""),"",IF($B641="MEANS",INDEX('1-DATA'!$1:$1048576,$A640-1,COLUMN('1-DATA'!AR639)),ROUND(INDEX('1-DATA'!$1:$1048576,IF(OR($B641="STD. DEVIATION",$C$1=1),$A641,$A641+1),COLUMN('1-DATA'!AR639)),IF($B641="STD. DEVIATION",2,$F$1))))</f>
        <v/>
      </c>
      <c r="AT641" s="1" t="str">
        <f>IF(OR($B641="",AT$7=""),"",IF($B641="MEANS",INDEX('1-DATA'!$1:$1048576,$A640-1,COLUMN('1-DATA'!AS639)),ROUND(INDEX('1-DATA'!$1:$1048576,IF(OR($B641="STD. DEVIATION",$C$1=1),$A641,$A641+1),COLUMN('1-DATA'!AS639)),IF($B641="STD. DEVIATION",2,$F$1))))</f>
        <v/>
      </c>
      <c r="AU641" s="1" t="str">
        <f>IF(OR($B641="",AU$7=""),"",IF($B641="MEANS",INDEX('1-DATA'!$1:$1048576,$A640-1,COLUMN('1-DATA'!AT639)),ROUND(INDEX('1-DATA'!$1:$1048576,IF(OR($B641="STD. DEVIATION",$C$1=1),$A641,$A641+1),COLUMN('1-DATA'!AT639)),IF($B641="STD. DEVIATION",2,$F$1))))</f>
        <v/>
      </c>
      <c r="AV641" s="1" t="str">
        <f>IF(OR($B641="",AV$7=""),"",IF($B641="MEANS",INDEX('1-DATA'!$1:$1048576,$A640-1,COLUMN('1-DATA'!AU639)),ROUND(INDEX('1-DATA'!$1:$1048576,IF(OR($B641="STD. DEVIATION",$C$1=1),$A641,$A641+1),COLUMN('1-DATA'!AU639)),IF($B641="STD. DEVIATION",2,$F$1))))</f>
        <v/>
      </c>
      <c r="AW641" s="1" t="str">
        <f>IF(OR($B641="",AW$7=""),"",IF($B641="MEANS",INDEX('1-DATA'!$1:$1048576,$A640-1,COLUMN('1-DATA'!AV639)),ROUND(INDEX('1-DATA'!$1:$1048576,IF(OR($B641="STD. DEVIATION",$C$1=1),$A641,$A641+1),COLUMN('1-DATA'!AV639)),IF($B641="STD. DEVIATION",2,$F$1))))</f>
        <v/>
      </c>
      <c r="AX641" s="1" t="str">
        <f>IF(OR($B641="",AX$7=""),"",IF($B641="MEANS",INDEX('1-DATA'!$1:$1048576,$A640-1,COLUMN('1-DATA'!AW639)),ROUND(INDEX('1-DATA'!$1:$1048576,IF(OR($B641="STD. DEVIATION",$C$1=1),$A641,$A641+1),COLUMN('1-DATA'!AW639)),IF($B641="STD. DEVIATION",2,$F$1))))</f>
        <v/>
      </c>
      <c r="AY641" s="1" t="str">
        <f>IF(OR($B641="",AY$7=""),"",IF($B641="MEANS",INDEX('1-DATA'!$1:$1048576,$A640-1,COLUMN('1-DATA'!AX639)),ROUND(INDEX('1-DATA'!$1:$1048576,IF(OR($B641="STD. DEVIATION",$C$1=1),$A641,$A641+1),COLUMN('1-DATA'!AX639)),IF($B641="STD. DEVIATION",2,$F$1))))</f>
        <v/>
      </c>
      <c r="AZ641" s="1" t="str">
        <f>IF(OR($B641="",AZ$7=""),"",IF($B641="MEANS",INDEX('1-DATA'!$1:$1048576,$A640-1,COLUMN('1-DATA'!AY639)),ROUND(INDEX('1-DATA'!$1:$1048576,IF(OR($B641="STD. DEVIATION",$C$1=1),$A641,$A641+1),COLUMN('1-DATA'!AY639)),IF($B641="STD. DEVIATION",2,$F$1))))</f>
        <v/>
      </c>
    </row>
    <row r="642" spans="1:52" x14ac:dyDescent="0.25">
      <c r="A642" s="11">
        <f t="shared" si="10"/>
        <v>1912</v>
      </c>
      <c r="B642" s="1" t="str">
        <f>IF(B641="STD. DEVIATION",INDEX('1-DATA'!$1:$1048576,$A641-1,1),IF(INDEX('1-DATA'!$1:$1048576,$A642,1)&lt;&gt;"",INDEX('1-DATA'!$1:$1048576,$A642,1),""))</f>
        <v/>
      </c>
      <c r="C642" s="1" t="str">
        <f>IF(OR($B642="",C$7=""),"",IF($B642="MEANS",INDEX('1-DATA'!$1:$1048576,$A641-1,COLUMN('1-DATA'!B640)),ROUND(INDEX('1-DATA'!$1:$1048576,IF(OR($B642="STD. DEVIATION",$C$1=1),$A642,$A642+1),COLUMN('1-DATA'!B640)),IF($B642="STD. DEVIATION",2,$F$1))))</f>
        <v/>
      </c>
      <c r="D642" s="1" t="str">
        <f>IF(OR($B642="",D$7=""),"",IF($B642="MEANS",INDEX('1-DATA'!$1:$1048576,$A641-1,COLUMN('1-DATA'!C640)),ROUND(INDEX('1-DATA'!$1:$1048576,IF(OR($B642="STD. DEVIATION",$C$1=1),$A642,$A642+1),COLUMN('1-DATA'!C640)),IF($B642="STD. DEVIATION",2,$F$1))))</f>
        <v/>
      </c>
      <c r="E642" s="1" t="str">
        <f>IF(OR($B642="",E$7=""),"",IF($B642="MEANS",INDEX('1-DATA'!$1:$1048576,$A641-1,COLUMN('1-DATA'!D640)),ROUND(INDEX('1-DATA'!$1:$1048576,IF(OR($B642="STD. DEVIATION",$C$1=1),$A642,$A642+1),COLUMN('1-DATA'!D640)),IF($B642="STD. DEVIATION",2,$F$1))))</f>
        <v/>
      </c>
      <c r="F642" s="1" t="str">
        <f>IF(OR($B642="",F$7=""),"",IF($B642="MEANS",INDEX('1-DATA'!$1:$1048576,$A641-1,COLUMN('1-DATA'!E640)),ROUND(INDEX('1-DATA'!$1:$1048576,IF(OR($B642="STD. DEVIATION",$C$1=1),$A642,$A642+1),COLUMN('1-DATA'!E640)),IF($B642="STD. DEVIATION",2,$F$1))))</f>
        <v/>
      </c>
      <c r="G642" s="1" t="str">
        <f>IF(OR($B642="",G$7=""),"",IF($B642="MEANS",INDEX('1-DATA'!$1:$1048576,$A641-1,COLUMN('1-DATA'!F640)),ROUND(INDEX('1-DATA'!$1:$1048576,IF(OR($B642="STD. DEVIATION",$C$1=1),$A642,$A642+1),COLUMN('1-DATA'!F640)),IF($B642="STD. DEVIATION",2,$F$1))))</f>
        <v/>
      </c>
      <c r="H642" s="1" t="str">
        <f>IF(OR($B642="",H$7=""),"",IF($B642="MEANS",INDEX('1-DATA'!$1:$1048576,$A641-1,COLUMN('1-DATA'!G640)),ROUND(INDEX('1-DATA'!$1:$1048576,IF(OR($B642="STD. DEVIATION",$C$1=1),$A642,$A642+1),COLUMN('1-DATA'!G640)),IF($B642="STD. DEVIATION",2,$F$1))))</f>
        <v/>
      </c>
      <c r="I642" s="1" t="str">
        <f>IF(OR($B642="",I$7=""),"",IF($B642="MEANS",INDEX('1-DATA'!$1:$1048576,$A641-1,COLUMN('1-DATA'!H640)),ROUND(INDEX('1-DATA'!$1:$1048576,IF(OR($B642="STD. DEVIATION",$C$1=1),$A642,$A642+1),COLUMN('1-DATA'!H640)),IF($B642="STD. DEVIATION",2,$F$1))))</f>
        <v/>
      </c>
      <c r="J642" s="1" t="str">
        <f>IF(OR($B642="",J$7=""),"",IF($B642="MEANS",INDEX('1-DATA'!$1:$1048576,$A641-1,COLUMN('1-DATA'!I640)),ROUND(INDEX('1-DATA'!$1:$1048576,IF(OR($B642="STD. DEVIATION",$C$1=1),$A642,$A642+1),COLUMN('1-DATA'!I640)),IF($B642="STD. DEVIATION",2,$F$1))))</f>
        <v/>
      </c>
      <c r="K642" s="1" t="str">
        <f>IF(OR($B642="",K$7=""),"",IF($B642="MEANS",INDEX('1-DATA'!$1:$1048576,$A641-1,COLUMN('1-DATA'!J640)),ROUND(INDEX('1-DATA'!$1:$1048576,IF(OR($B642="STD. DEVIATION",$C$1=1),$A642,$A642+1),COLUMN('1-DATA'!J640)),IF($B642="STD. DEVIATION",2,$F$1))))</f>
        <v/>
      </c>
      <c r="L642" s="1" t="str">
        <f>IF(OR($B642="",L$7=""),"",IF($B642="MEANS",INDEX('1-DATA'!$1:$1048576,$A641-1,COLUMN('1-DATA'!K640)),ROUND(INDEX('1-DATA'!$1:$1048576,IF(OR($B642="STD. DEVIATION",$C$1=1),$A642,$A642+1),COLUMN('1-DATA'!K640)),IF($B642="STD. DEVIATION",2,$F$1))))</f>
        <v/>
      </c>
      <c r="M642" s="1" t="str">
        <f>IF(OR($B642="",M$7=""),"",IF($B642="MEANS",INDEX('1-DATA'!$1:$1048576,$A641-1,COLUMN('1-DATA'!L640)),ROUND(INDEX('1-DATA'!$1:$1048576,IF(OR($B642="STD. DEVIATION",$C$1=1),$A642,$A642+1),COLUMN('1-DATA'!L640)),IF($B642="STD. DEVIATION",2,$F$1))))</f>
        <v/>
      </c>
      <c r="N642" s="1" t="str">
        <f>IF(OR($B642="",N$7=""),"",IF($B642="MEANS",INDEX('1-DATA'!$1:$1048576,$A641-1,COLUMN('1-DATA'!M640)),ROUND(INDEX('1-DATA'!$1:$1048576,IF(OR($B642="STD. DEVIATION",$C$1=1),$A642,$A642+1),COLUMN('1-DATA'!M640)),IF($B642="STD. DEVIATION",2,$F$1))))</f>
        <v/>
      </c>
      <c r="O642" s="1" t="str">
        <f>IF(OR($B642="",O$7=""),"",IF($B642="MEANS",INDEX('1-DATA'!$1:$1048576,$A641-1,COLUMN('1-DATA'!N640)),ROUND(INDEX('1-DATA'!$1:$1048576,IF(OR($B642="STD. DEVIATION",$C$1=1),$A642,$A642+1),COLUMN('1-DATA'!N640)),IF($B642="STD. DEVIATION",2,$F$1))))</f>
        <v/>
      </c>
      <c r="P642" s="1" t="str">
        <f>IF(OR($B642="",P$7=""),"",IF($B642="MEANS",INDEX('1-DATA'!$1:$1048576,$A641-1,COLUMN('1-DATA'!O640)),ROUND(INDEX('1-DATA'!$1:$1048576,IF(OR($B642="STD. DEVIATION",$C$1=1),$A642,$A642+1),COLUMN('1-DATA'!O640)),IF($B642="STD. DEVIATION",2,$F$1))))</f>
        <v/>
      </c>
      <c r="Q642" s="1" t="str">
        <f>IF(OR($B642="",Q$7=""),"",IF($B642="MEANS",INDEX('1-DATA'!$1:$1048576,$A641-1,COLUMN('1-DATA'!P640)),ROUND(INDEX('1-DATA'!$1:$1048576,IF(OR($B642="STD. DEVIATION",$C$1=1),$A642,$A642+1),COLUMN('1-DATA'!P640)),IF($B642="STD. DEVIATION",2,$F$1))))</f>
        <v/>
      </c>
      <c r="R642" s="1" t="str">
        <f>IF(OR($B642="",R$7=""),"",IF($B642="MEANS",INDEX('1-DATA'!$1:$1048576,$A641-1,COLUMN('1-DATA'!Q640)),ROUND(INDEX('1-DATA'!$1:$1048576,IF(OR($B642="STD. DEVIATION",$C$1=1),$A642,$A642+1),COLUMN('1-DATA'!Q640)),IF($B642="STD. DEVIATION",2,$F$1))))</f>
        <v/>
      </c>
      <c r="S642" s="1" t="str">
        <f>IF(OR($B642="",S$7=""),"",IF($B642="MEANS",INDEX('1-DATA'!$1:$1048576,$A641-1,COLUMN('1-DATA'!R640)),ROUND(INDEX('1-DATA'!$1:$1048576,IF(OR($B642="STD. DEVIATION",$C$1=1),$A642,$A642+1),COLUMN('1-DATA'!R640)),IF($B642="STD. DEVIATION",2,$F$1))))</f>
        <v/>
      </c>
      <c r="T642" s="1" t="str">
        <f>IF(OR($B642="",T$7=""),"",IF($B642="MEANS",INDEX('1-DATA'!$1:$1048576,$A641-1,COLUMN('1-DATA'!S640)),ROUND(INDEX('1-DATA'!$1:$1048576,IF(OR($B642="STD. DEVIATION",$C$1=1),$A642,$A642+1),COLUMN('1-DATA'!S640)),IF($B642="STD. DEVIATION",2,$F$1))))</f>
        <v/>
      </c>
      <c r="U642" s="1" t="str">
        <f>IF(OR($B642="",U$7=""),"",IF($B642="MEANS",INDEX('1-DATA'!$1:$1048576,$A641-1,COLUMN('1-DATA'!T640)),ROUND(INDEX('1-DATA'!$1:$1048576,IF(OR($B642="STD. DEVIATION",$C$1=1),$A642,$A642+1),COLUMN('1-DATA'!T640)),IF($B642="STD. DEVIATION",2,$F$1))))</f>
        <v/>
      </c>
      <c r="V642" s="1" t="str">
        <f>IF(OR($B642="",V$7=""),"",IF($B642="MEANS",INDEX('1-DATA'!$1:$1048576,$A641-1,COLUMN('1-DATA'!U640)),ROUND(INDEX('1-DATA'!$1:$1048576,IF(OR($B642="STD. DEVIATION",$C$1=1),$A642,$A642+1),COLUMN('1-DATA'!U640)),IF($B642="STD. DEVIATION",2,$F$1))))</f>
        <v/>
      </c>
      <c r="W642" s="1" t="str">
        <f>IF(OR($B642="",W$7=""),"",IF($B642="MEANS",INDEX('1-DATA'!$1:$1048576,$A641-1,COLUMN('1-DATA'!V640)),ROUND(INDEX('1-DATA'!$1:$1048576,IF(OR($B642="STD. DEVIATION",$C$1=1),$A642,$A642+1),COLUMN('1-DATA'!V640)),IF($B642="STD. DEVIATION",2,$F$1))))</f>
        <v/>
      </c>
      <c r="X642" s="1" t="str">
        <f>IF(OR($B642="",X$7=""),"",IF($B642="MEANS",INDEX('1-DATA'!$1:$1048576,$A641-1,COLUMN('1-DATA'!W640)),ROUND(INDEX('1-DATA'!$1:$1048576,IF(OR($B642="STD. DEVIATION",$C$1=1),$A642,$A642+1),COLUMN('1-DATA'!W640)),IF($B642="STD. DEVIATION",2,$F$1))))</f>
        <v/>
      </c>
      <c r="Y642" s="1" t="str">
        <f>IF(OR($B642="",Y$7=""),"",IF($B642="MEANS",INDEX('1-DATA'!$1:$1048576,$A641-1,COLUMN('1-DATA'!X640)),ROUND(INDEX('1-DATA'!$1:$1048576,IF(OR($B642="STD. DEVIATION",$C$1=1),$A642,$A642+1),COLUMN('1-DATA'!X640)),IF($B642="STD. DEVIATION",2,$F$1))))</f>
        <v/>
      </c>
      <c r="Z642" s="1" t="str">
        <f>IF(OR($B642="",Z$7=""),"",IF($B642="MEANS",INDEX('1-DATA'!$1:$1048576,$A641-1,COLUMN('1-DATA'!Y640)),ROUND(INDEX('1-DATA'!$1:$1048576,IF(OR($B642="STD. DEVIATION",$C$1=1),$A642,$A642+1),COLUMN('1-DATA'!Y640)),IF($B642="STD. DEVIATION",2,$F$1))))</f>
        <v/>
      </c>
      <c r="AA642" s="1" t="str">
        <f>IF(OR($B642="",AA$7=""),"",IF($B642="MEANS",INDEX('1-DATA'!$1:$1048576,$A641-1,COLUMN('1-DATA'!Z640)),ROUND(INDEX('1-DATA'!$1:$1048576,IF(OR($B642="STD. DEVIATION",$C$1=1),$A642,$A642+1),COLUMN('1-DATA'!Z640)),IF($B642="STD. DEVIATION",2,$F$1))))</f>
        <v/>
      </c>
      <c r="AB642" s="1" t="str">
        <f>IF(OR($B642="",AB$7=""),"",IF($B642="MEANS",INDEX('1-DATA'!$1:$1048576,$A641-1,COLUMN('1-DATA'!AA640)),ROUND(INDEX('1-DATA'!$1:$1048576,IF(OR($B642="STD. DEVIATION",$C$1=1),$A642,$A642+1),COLUMN('1-DATA'!AA640)),IF($B642="STD. DEVIATION",2,$F$1))))</f>
        <v/>
      </c>
      <c r="AC642" s="1" t="str">
        <f>IF(OR($B642="",AC$7=""),"",IF($B642="MEANS",INDEX('1-DATA'!$1:$1048576,$A641-1,COLUMN('1-DATA'!AB640)),ROUND(INDEX('1-DATA'!$1:$1048576,IF(OR($B642="STD. DEVIATION",$C$1=1),$A642,$A642+1),COLUMN('1-DATA'!AB640)),IF($B642="STD. DEVIATION",2,$F$1))))</f>
        <v/>
      </c>
      <c r="AD642" s="1" t="str">
        <f>IF(OR($B642="",AD$7=""),"",IF($B642="MEANS",INDEX('1-DATA'!$1:$1048576,$A641-1,COLUMN('1-DATA'!AC640)),ROUND(INDEX('1-DATA'!$1:$1048576,IF(OR($B642="STD. DEVIATION",$C$1=1),$A642,$A642+1),COLUMN('1-DATA'!AC640)),IF($B642="STD. DEVIATION",2,$F$1))))</f>
        <v/>
      </c>
      <c r="AE642" s="1" t="str">
        <f>IF(OR($B642="",AE$7=""),"",IF($B642="MEANS",INDEX('1-DATA'!$1:$1048576,$A641-1,COLUMN('1-DATA'!AD640)),ROUND(INDEX('1-DATA'!$1:$1048576,IF(OR($B642="STD. DEVIATION",$C$1=1),$A642,$A642+1),COLUMN('1-DATA'!AD640)),IF($B642="STD. DEVIATION",2,$F$1))))</f>
        <v/>
      </c>
      <c r="AF642" s="1" t="str">
        <f>IF(OR($B642="",AF$7=""),"",IF($B642="MEANS",INDEX('1-DATA'!$1:$1048576,$A641-1,COLUMN('1-DATA'!AE640)),ROUND(INDEX('1-DATA'!$1:$1048576,IF(OR($B642="STD. DEVIATION",$C$1=1),$A642,$A642+1),COLUMN('1-DATA'!AE640)),IF($B642="STD. DEVIATION",2,$F$1))))</f>
        <v/>
      </c>
      <c r="AG642" s="1" t="str">
        <f>IF(OR($B642="",AG$7=""),"",IF($B642="MEANS",INDEX('1-DATA'!$1:$1048576,$A641-1,COLUMN('1-DATA'!AF640)),ROUND(INDEX('1-DATA'!$1:$1048576,IF(OR($B642="STD. DEVIATION",$C$1=1),$A642,$A642+1),COLUMN('1-DATA'!AF640)),IF($B642="STD. DEVIATION",2,$F$1))))</f>
        <v/>
      </c>
      <c r="AH642" s="1" t="str">
        <f>IF(OR($B642="",AH$7=""),"",IF($B642="MEANS",INDEX('1-DATA'!$1:$1048576,$A641-1,COLUMN('1-DATA'!AG640)),ROUND(INDEX('1-DATA'!$1:$1048576,IF(OR($B642="STD. DEVIATION",$C$1=1),$A642,$A642+1),COLUMN('1-DATA'!AG640)),IF($B642="STD. DEVIATION",2,$F$1))))</f>
        <v/>
      </c>
      <c r="AI642" s="1" t="str">
        <f>IF(OR($B642="",AI$7=""),"",IF($B642="MEANS",INDEX('1-DATA'!$1:$1048576,$A641-1,COLUMN('1-DATA'!AH640)),ROUND(INDEX('1-DATA'!$1:$1048576,IF(OR($B642="STD. DEVIATION",$C$1=1),$A642,$A642+1),COLUMN('1-DATA'!AH640)),IF($B642="STD. DEVIATION",2,$F$1))))</f>
        <v/>
      </c>
      <c r="AJ642" s="1" t="str">
        <f>IF(OR($B642="",AJ$7=""),"",IF($B642="MEANS",INDEX('1-DATA'!$1:$1048576,$A641-1,COLUMN('1-DATA'!AI640)),ROUND(INDEX('1-DATA'!$1:$1048576,IF(OR($B642="STD. DEVIATION",$C$1=1),$A642,$A642+1),COLUMN('1-DATA'!AI640)),IF($B642="STD. DEVIATION",2,$F$1))))</f>
        <v/>
      </c>
      <c r="AK642" s="1" t="str">
        <f>IF(OR($B642="",AK$7=""),"",IF($B642="MEANS",INDEX('1-DATA'!$1:$1048576,$A641-1,COLUMN('1-DATA'!AJ640)),ROUND(INDEX('1-DATA'!$1:$1048576,IF(OR($B642="STD. DEVIATION",$C$1=1),$A642,$A642+1),COLUMN('1-DATA'!AJ640)),IF($B642="STD. DEVIATION",2,$F$1))))</f>
        <v/>
      </c>
      <c r="AL642" s="1" t="str">
        <f>IF(OR($B642="",AL$7=""),"",IF($B642="MEANS",INDEX('1-DATA'!$1:$1048576,$A641-1,COLUMN('1-DATA'!AK640)),ROUND(INDEX('1-DATA'!$1:$1048576,IF(OR($B642="STD. DEVIATION",$C$1=1),$A642,$A642+1),COLUMN('1-DATA'!AK640)),IF($B642="STD. DEVIATION",2,$F$1))))</f>
        <v/>
      </c>
      <c r="AM642" s="1" t="str">
        <f>IF(OR($B642="",AM$7=""),"",IF($B642="MEANS",INDEX('1-DATA'!$1:$1048576,$A641-1,COLUMN('1-DATA'!AL640)),ROUND(INDEX('1-DATA'!$1:$1048576,IF(OR($B642="STD. DEVIATION",$C$1=1),$A642,$A642+1),COLUMN('1-DATA'!AL640)),IF($B642="STD. DEVIATION",2,$F$1))))</f>
        <v/>
      </c>
      <c r="AN642" s="1" t="str">
        <f>IF(OR($B642="",AN$7=""),"",IF($B642="MEANS",INDEX('1-DATA'!$1:$1048576,$A641-1,COLUMN('1-DATA'!AM640)),ROUND(INDEX('1-DATA'!$1:$1048576,IF(OR($B642="STD. DEVIATION",$C$1=1),$A642,$A642+1),COLUMN('1-DATA'!AM640)),IF($B642="STD. DEVIATION",2,$F$1))))</f>
        <v/>
      </c>
      <c r="AO642" s="1" t="str">
        <f>IF(OR($B642="",AO$7=""),"",IF($B642="MEANS",INDEX('1-DATA'!$1:$1048576,$A641-1,COLUMN('1-DATA'!AN640)),ROUND(INDEX('1-DATA'!$1:$1048576,IF(OR($B642="STD. DEVIATION",$C$1=1),$A642,$A642+1),COLUMN('1-DATA'!AN640)),IF($B642="STD. DEVIATION",2,$F$1))))</f>
        <v/>
      </c>
      <c r="AP642" s="1" t="str">
        <f>IF(OR($B642="",AP$7=""),"",IF($B642="MEANS",INDEX('1-DATA'!$1:$1048576,$A641-1,COLUMN('1-DATA'!AO640)),ROUND(INDEX('1-DATA'!$1:$1048576,IF(OR($B642="STD. DEVIATION",$C$1=1),$A642,$A642+1),COLUMN('1-DATA'!AO640)),IF($B642="STD. DEVIATION",2,$F$1))))</f>
        <v/>
      </c>
      <c r="AQ642" s="1" t="str">
        <f>IF(OR($B642="",AQ$7=""),"",IF($B642="MEANS",INDEX('1-DATA'!$1:$1048576,$A641-1,COLUMN('1-DATA'!AP640)),ROUND(INDEX('1-DATA'!$1:$1048576,IF(OR($B642="STD. DEVIATION",$C$1=1),$A642,$A642+1),COLUMN('1-DATA'!AP640)),IF($B642="STD. DEVIATION",2,$F$1))))</f>
        <v/>
      </c>
      <c r="AR642" s="1" t="str">
        <f>IF(OR($B642="",AR$7=""),"",IF($B642="MEANS",INDEX('1-DATA'!$1:$1048576,$A641-1,COLUMN('1-DATA'!AQ640)),ROUND(INDEX('1-DATA'!$1:$1048576,IF(OR($B642="STD. DEVIATION",$C$1=1),$A642,$A642+1),COLUMN('1-DATA'!AQ640)),IF($B642="STD. DEVIATION",2,$F$1))))</f>
        <v/>
      </c>
      <c r="AS642" s="1" t="str">
        <f>IF(OR($B642="",AS$7=""),"",IF($B642="MEANS",INDEX('1-DATA'!$1:$1048576,$A641-1,COLUMN('1-DATA'!AR640)),ROUND(INDEX('1-DATA'!$1:$1048576,IF(OR($B642="STD. DEVIATION",$C$1=1),$A642,$A642+1),COLUMN('1-DATA'!AR640)),IF($B642="STD. DEVIATION",2,$F$1))))</f>
        <v/>
      </c>
      <c r="AT642" s="1" t="str">
        <f>IF(OR($B642="",AT$7=""),"",IF($B642="MEANS",INDEX('1-DATA'!$1:$1048576,$A641-1,COLUMN('1-DATA'!AS640)),ROUND(INDEX('1-DATA'!$1:$1048576,IF(OR($B642="STD. DEVIATION",$C$1=1),$A642,$A642+1),COLUMN('1-DATA'!AS640)),IF($B642="STD. DEVIATION",2,$F$1))))</f>
        <v/>
      </c>
      <c r="AU642" s="1" t="str">
        <f>IF(OR($B642="",AU$7=""),"",IF($B642="MEANS",INDEX('1-DATA'!$1:$1048576,$A641-1,COLUMN('1-DATA'!AT640)),ROUND(INDEX('1-DATA'!$1:$1048576,IF(OR($B642="STD. DEVIATION",$C$1=1),$A642,$A642+1),COLUMN('1-DATA'!AT640)),IF($B642="STD. DEVIATION",2,$F$1))))</f>
        <v/>
      </c>
      <c r="AV642" s="1" t="str">
        <f>IF(OR($B642="",AV$7=""),"",IF($B642="MEANS",INDEX('1-DATA'!$1:$1048576,$A641-1,COLUMN('1-DATA'!AU640)),ROUND(INDEX('1-DATA'!$1:$1048576,IF(OR($B642="STD. DEVIATION",$C$1=1),$A642,$A642+1),COLUMN('1-DATA'!AU640)),IF($B642="STD. DEVIATION",2,$F$1))))</f>
        <v/>
      </c>
      <c r="AW642" s="1" t="str">
        <f>IF(OR($B642="",AW$7=""),"",IF($B642="MEANS",INDEX('1-DATA'!$1:$1048576,$A641-1,COLUMN('1-DATA'!AV640)),ROUND(INDEX('1-DATA'!$1:$1048576,IF(OR($B642="STD. DEVIATION",$C$1=1),$A642,$A642+1),COLUMN('1-DATA'!AV640)),IF($B642="STD. DEVIATION",2,$F$1))))</f>
        <v/>
      </c>
      <c r="AX642" s="1" t="str">
        <f>IF(OR($B642="",AX$7=""),"",IF($B642="MEANS",INDEX('1-DATA'!$1:$1048576,$A641-1,COLUMN('1-DATA'!AW640)),ROUND(INDEX('1-DATA'!$1:$1048576,IF(OR($B642="STD. DEVIATION",$C$1=1),$A642,$A642+1),COLUMN('1-DATA'!AW640)),IF($B642="STD. DEVIATION",2,$F$1))))</f>
        <v/>
      </c>
      <c r="AY642" s="1" t="str">
        <f>IF(OR($B642="",AY$7=""),"",IF($B642="MEANS",INDEX('1-DATA'!$1:$1048576,$A641-1,COLUMN('1-DATA'!AX640)),ROUND(INDEX('1-DATA'!$1:$1048576,IF(OR($B642="STD. DEVIATION",$C$1=1),$A642,$A642+1),COLUMN('1-DATA'!AX640)),IF($B642="STD. DEVIATION",2,$F$1))))</f>
        <v/>
      </c>
      <c r="AZ642" s="1" t="str">
        <f>IF(OR($B642="",AZ$7=""),"",IF($B642="MEANS",INDEX('1-DATA'!$1:$1048576,$A641-1,COLUMN('1-DATA'!AY640)),ROUND(INDEX('1-DATA'!$1:$1048576,IF(OR($B642="STD. DEVIATION",$C$1=1),$A642,$A642+1),COLUMN('1-DATA'!AY640)),IF($B642="STD. DEVIATION",2,$F$1))))</f>
        <v/>
      </c>
    </row>
    <row r="643" spans="1:52" x14ac:dyDescent="0.25">
      <c r="A643" s="11">
        <f t="shared" si="10"/>
        <v>1915</v>
      </c>
      <c r="B643" s="1" t="str">
        <f>IF(B642="STD. DEVIATION",INDEX('1-DATA'!$1:$1048576,$A642-1,1),IF(INDEX('1-DATA'!$1:$1048576,$A643,1)&lt;&gt;"",INDEX('1-DATA'!$1:$1048576,$A643,1),""))</f>
        <v/>
      </c>
      <c r="C643" s="1" t="str">
        <f>IF(OR($B643="",C$7=""),"",IF($B643="MEANS",INDEX('1-DATA'!$1:$1048576,$A642-1,COLUMN('1-DATA'!B641)),ROUND(INDEX('1-DATA'!$1:$1048576,IF(OR($B643="STD. DEVIATION",$C$1=1),$A643,$A643+1),COLUMN('1-DATA'!B641)),IF($B643="STD. DEVIATION",2,$F$1))))</f>
        <v/>
      </c>
      <c r="D643" s="1" t="str">
        <f>IF(OR($B643="",D$7=""),"",IF($B643="MEANS",INDEX('1-DATA'!$1:$1048576,$A642-1,COLUMN('1-DATA'!C641)),ROUND(INDEX('1-DATA'!$1:$1048576,IF(OR($B643="STD. DEVIATION",$C$1=1),$A643,$A643+1),COLUMN('1-DATA'!C641)),IF($B643="STD. DEVIATION",2,$F$1))))</f>
        <v/>
      </c>
      <c r="E643" s="1" t="str">
        <f>IF(OR($B643="",E$7=""),"",IF($B643="MEANS",INDEX('1-DATA'!$1:$1048576,$A642-1,COLUMN('1-DATA'!D641)),ROUND(INDEX('1-DATA'!$1:$1048576,IF(OR($B643="STD. DEVIATION",$C$1=1),$A643,$A643+1),COLUMN('1-DATA'!D641)),IF($B643="STD. DEVIATION",2,$F$1))))</f>
        <v/>
      </c>
      <c r="F643" s="1" t="str">
        <f>IF(OR($B643="",F$7=""),"",IF($B643="MEANS",INDEX('1-DATA'!$1:$1048576,$A642-1,COLUMN('1-DATA'!E641)),ROUND(INDEX('1-DATA'!$1:$1048576,IF(OR($B643="STD. DEVIATION",$C$1=1),$A643,$A643+1),COLUMN('1-DATA'!E641)),IF($B643="STD. DEVIATION",2,$F$1))))</f>
        <v/>
      </c>
      <c r="G643" s="1" t="str">
        <f>IF(OR($B643="",G$7=""),"",IF($B643="MEANS",INDEX('1-DATA'!$1:$1048576,$A642-1,COLUMN('1-DATA'!F641)),ROUND(INDEX('1-DATA'!$1:$1048576,IF(OR($B643="STD. DEVIATION",$C$1=1),$A643,$A643+1),COLUMN('1-DATA'!F641)),IF($B643="STD. DEVIATION",2,$F$1))))</f>
        <v/>
      </c>
      <c r="H643" s="1" t="str">
        <f>IF(OR($B643="",H$7=""),"",IF($B643="MEANS",INDEX('1-DATA'!$1:$1048576,$A642-1,COLUMN('1-DATA'!G641)),ROUND(INDEX('1-DATA'!$1:$1048576,IF(OR($B643="STD. DEVIATION",$C$1=1),$A643,$A643+1),COLUMN('1-DATA'!G641)),IF($B643="STD. DEVIATION",2,$F$1))))</f>
        <v/>
      </c>
      <c r="I643" s="1" t="str">
        <f>IF(OR($B643="",I$7=""),"",IF($B643="MEANS",INDEX('1-DATA'!$1:$1048576,$A642-1,COLUMN('1-DATA'!H641)),ROUND(INDEX('1-DATA'!$1:$1048576,IF(OR($B643="STD. DEVIATION",$C$1=1),$A643,$A643+1),COLUMN('1-DATA'!H641)),IF($B643="STD. DEVIATION",2,$F$1))))</f>
        <v/>
      </c>
      <c r="J643" s="1" t="str">
        <f>IF(OR($B643="",J$7=""),"",IF($B643="MEANS",INDEX('1-DATA'!$1:$1048576,$A642-1,COLUMN('1-DATA'!I641)),ROUND(INDEX('1-DATA'!$1:$1048576,IF(OR($B643="STD. DEVIATION",$C$1=1),$A643,$A643+1),COLUMN('1-DATA'!I641)),IF($B643="STD. DEVIATION",2,$F$1))))</f>
        <v/>
      </c>
      <c r="K643" s="1" t="str">
        <f>IF(OR($B643="",K$7=""),"",IF($B643="MEANS",INDEX('1-DATA'!$1:$1048576,$A642-1,COLUMN('1-DATA'!J641)),ROUND(INDEX('1-DATA'!$1:$1048576,IF(OR($B643="STD. DEVIATION",$C$1=1),$A643,$A643+1),COLUMN('1-DATA'!J641)),IF($B643="STD. DEVIATION",2,$F$1))))</f>
        <v/>
      </c>
      <c r="L643" s="1" t="str">
        <f>IF(OR($B643="",L$7=""),"",IF($B643="MEANS",INDEX('1-DATA'!$1:$1048576,$A642-1,COLUMN('1-DATA'!K641)),ROUND(INDEX('1-DATA'!$1:$1048576,IF(OR($B643="STD. DEVIATION",$C$1=1),$A643,$A643+1),COLUMN('1-DATA'!K641)),IF($B643="STD. DEVIATION",2,$F$1))))</f>
        <v/>
      </c>
      <c r="M643" s="1" t="str">
        <f>IF(OR($B643="",M$7=""),"",IF($B643="MEANS",INDEX('1-DATA'!$1:$1048576,$A642-1,COLUMN('1-DATA'!L641)),ROUND(INDEX('1-DATA'!$1:$1048576,IF(OR($B643="STD. DEVIATION",$C$1=1),$A643,$A643+1),COLUMN('1-DATA'!L641)),IF($B643="STD. DEVIATION",2,$F$1))))</f>
        <v/>
      </c>
      <c r="N643" s="1" t="str">
        <f>IF(OR($B643="",N$7=""),"",IF($B643="MEANS",INDEX('1-DATA'!$1:$1048576,$A642-1,COLUMN('1-DATA'!M641)),ROUND(INDEX('1-DATA'!$1:$1048576,IF(OR($B643="STD. DEVIATION",$C$1=1),$A643,$A643+1),COLUMN('1-DATA'!M641)),IF($B643="STD. DEVIATION",2,$F$1))))</f>
        <v/>
      </c>
      <c r="O643" s="1" t="str">
        <f>IF(OR($B643="",O$7=""),"",IF($B643="MEANS",INDEX('1-DATA'!$1:$1048576,$A642-1,COLUMN('1-DATA'!N641)),ROUND(INDEX('1-DATA'!$1:$1048576,IF(OR($B643="STD. DEVIATION",$C$1=1),$A643,$A643+1),COLUMN('1-DATA'!N641)),IF($B643="STD. DEVIATION",2,$F$1))))</f>
        <v/>
      </c>
      <c r="P643" s="1" t="str">
        <f>IF(OR($B643="",P$7=""),"",IF($B643="MEANS",INDEX('1-DATA'!$1:$1048576,$A642-1,COLUMN('1-DATA'!O641)),ROUND(INDEX('1-DATA'!$1:$1048576,IF(OR($B643="STD. DEVIATION",$C$1=1),$A643,$A643+1),COLUMN('1-DATA'!O641)),IF($B643="STD. DEVIATION",2,$F$1))))</f>
        <v/>
      </c>
      <c r="Q643" s="1" t="str">
        <f>IF(OR($B643="",Q$7=""),"",IF($B643="MEANS",INDEX('1-DATA'!$1:$1048576,$A642-1,COLUMN('1-DATA'!P641)),ROUND(INDEX('1-DATA'!$1:$1048576,IF(OR($B643="STD. DEVIATION",$C$1=1),$A643,$A643+1),COLUMN('1-DATA'!P641)),IF($B643="STD. DEVIATION",2,$F$1))))</f>
        <v/>
      </c>
      <c r="R643" s="1" t="str">
        <f>IF(OR($B643="",R$7=""),"",IF($B643="MEANS",INDEX('1-DATA'!$1:$1048576,$A642-1,COLUMN('1-DATA'!Q641)),ROUND(INDEX('1-DATA'!$1:$1048576,IF(OR($B643="STD. DEVIATION",$C$1=1),$A643,$A643+1),COLUMN('1-DATA'!Q641)),IF($B643="STD. DEVIATION",2,$F$1))))</f>
        <v/>
      </c>
      <c r="S643" s="1" t="str">
        <f>IF(OR($B643="",S$7=""),"",IF($B643="MEANS",INDEX('1-DATA'!$1:$1048576,$A642-1,COLUMN('1-DATA'!R641)),ROUND(INDEX('1-DATA'!$1:$1048576,IF(OR($B643="STD. DEVIATION",$C$1=1),$A643,$A643+1),COLUMN('1-DATA'!R641)),IF($B643="STD. DEVIATION",2,$F$1))))</f>
        <v/>
      </c>
      <c r="T643" s="1" t="str">
        <f>IF(OR($B643="",T$7=""),"",IF($B643="MEANS",INDEX('1-DATA'!$1:$1048576,$A642-1,COLUMN('1-DATA'!S641)),ROUND(INDEX('1-DATA'!$1:$1048576,IF(OR($B643="STD. DEVIATION",$C$1=1),$A643,$A643+1),COLUMN('1-DATA'!S641)),IF($B643="STD. DEVIATION",2,$F$1))))</f>
        <v/>
      </c>
      <c r="U643" s="1" t="str">
        <f>IF(OR($B643="",U$7=""),"",IF($B643="MEANS",INDEX('1-DATA'!$1:$1048576,$A642-1,COLUMN('1-DATA'!T641)),ROUND(INDEX('1-DATA'!$1:$1048576,IF(OR($B643="STD. DEVIATION",$C$1=1),$A643,$A643+1),COLUMN('1-DATA'!T641)),IF($B643="STD. DEVIATION",2,$F$1))))</f>
        <v/>
      </c>
      <c r="V643" s="1" t="str">
        <f>IF(OR($B643="",V$7=""),"",IF($B643="MEANS",INDEX('1-DATA'!$1:$1048576,$A642-1,COLUMN('1-DATA'!U641)),ROUND(INDEX('1-DATA'!$1:$1048576,IF(OR($B643="STD. DEVIATION",$C$1=1),$A643,$A643+1),COLUMN('1-DATA'!U641)),IF($B643="STD. DEVIATION",2,$F$1))))</f>
        <v/>
      </c>
      <c r="W643" s="1" t="str">
        <f>IF(OR($B643="",W$7=""),"",IF($B643="MEANS",INDEX('1-DATA'!$1:$1048576,$A642-1,COLUMN('1-DATA'!V641)),ROUND(INDEX('1-DATA'!$1:$1048576,IF(OR($B643="STD. DEVIATION",$C$1=1),$A643,$A643+1),COLUMN('1-DATA'!V641)),IF($B643="STD. DEVIATION",2,$F$1))))</f>
        <v/>
      </c>
      <c r="X643" s="1" t="str">
        <f>IF(OR($B643="",X$7=""),"",IF($B643="MEANS",INDEX('1-DATA'!$1:$1048576,$A642-1,COLUMN('1-DATA'!W641)),ROUND(INDEX('1-DATA'!$1:$1048576,IF(OR($B643="STD. DEVIATION",$C$1=1),$A643,$A643+1),COLUMN('1-DATA'!W641)),IF($B643="STD. DEVIATION",2,$F$1))))</f>
        <v/>
      </c>
      <c r="Y643" s="1" t="str">
        <f>IF(OR($B643="",Y$7=""),"",IF($B643="MEANS",INDEX('1-DATA'!$1:$1048576,$A642-1,COLUMN('1-DATA'!X641)),ROUND(INDEX('1-DATA'!$1:$1048576,IF(OR($B643="STD. DEVIATION",$C$1=1),$A643,$A643+1),COLUMN('1-DATA'!X641)),IF($B643="STD. DEVIATION",2,$F$1))))</f>
        <v/>
      </c>
      <c r="Z643" s="1" t="str">
        <f>IF(OR($B643="",Z$7=""),"",IF($B643="MEANS",INDEX('1-DATA'!$1:$1048576,$A642-1,COLUMN('1-DATA'!Y641)),ROUND(INDEX('1-DATA'!$1:$1048576,IF(OR($B643="STD. DEVIATION",$C$1=1),$A643,$A643+1),COLUMN('1-DATA'!Y641)),IF($B643="STD. DEVIATION",2,$F$1))))</f>
        <v/>
      </c>
      <c r="AA643" s="1" t="str">
        <f>IF(OR($B643="",AA$7=""),"",IF($B643="MEANS",INDEX('1-DATA'!$1:$1048576,$A642-1,COLUMN('1-DATA'!Z641)),ROUND(INDEX('1-DATA'!$1:$1048576,IF(OR($B643="STD. DEVIATION",$C$1=1),$A643,$A643+1),COLUMN('1-DATA'!Z641)),IF($B643="STD. DEVIATION",2,$F$1))))</f>
        <v/>
      </c>
      <c r="AB643" s="1" t="str">
        <f>IF(OR($B643="",AB$7=""),"",IF($B643="MEANS",INDEX('1-DATA'!$1:$1048576,$A642-1,COLUMN('1-DATA'!AA641)),ROUND(INDEX('1-DATA'!$1:$1048576,IF(OR($B643="STD. DEVIATION",$C$1=1),$A643,$A643+1),COLUMN('1-DATA'!AA641)),IF($B643="STD. DEVIATION",2,$F$1))))</f>
        <v/>
      </c>
      <c r="AC643" s="1" t="str">
        <f>IF(OR($B643="",AC$7=""),"",IF($B643="MEANS",INDEX('1-DATA'!$1:$1048576,$A642-1,COLUMN('1-DATA'!AB641)),ROUND(INDEX('1-DATA'!$1:$1048576,IF(OR($B643="STD. DEVIATION",$C$1=1),$A643,$A643+1),COLUMN('1-DATA'!AB641)),IF($B643="STD. DEVIATION",2,$F$1))))</f>
        <v/>
      </c>
      <c r="AD643" s="1" t="str">
        <f>IF(OR($B643="",AD$7=""),"",IF($B643="MEANS",INDEX('1-DATA'!$1:$1048576,$A642-1,COLUMN('1-DATA'!AC641)),ROUND(INDEX('1-DATA'!$1:$1048576,IF(OR($B643="STD. DEVIATION",$C$1=1),$A643,$A643+1),COLUMN('1-DATA'!AC641)),IF($B643="STD. DEVIATION",2,$F$1))))</f>
        <v/>
      </c>
      <c r="AE643" s="1" t="str">
        <f>IF(OR($B643="",AE$7=""),"",IF($B643="MEANS",INDEX('1-DATA'!$1:$1048576,$A642-1,COLUMN('1-DATA'!AD641)),ROUND(INDEX('1-DATA'!$1:$1048576,IF(OR($B643="STD. DEVIATION",$C$1=1),$A643,$A643+1),COLUMN('1-DATA'!AD641)),IF($B643="STD. DEVIATION",2,$F$1))))</f>
        <v/>
      </c>
      <c r="AF643" s="1" t="str">
        <f>IF(OR($B643="",AF$7=""),"",IF($B643="MEANS",INDEX('1-DATA'!$1:$1048576,$A642-1,COLUMN('1-DATA'!AE641)),ROUND(INDEX('1-DATA'!$1:$1048576,IF(OR($B643="STD. DEVIATION",$C$1=1),$A643,$A643+1),COLUMN('1-DATA'!AE641)),IF($B643="STD. DEVIATION",2,$F$1))))</f>
        <v/>
      </c>
      <c r="AG643" s="1" t="str">
        <f>IF(OR($B643="",AG$7=""),"",IF($B643="MEANS",INDEX('1-DATA'!$1:$1048576,$A642-1,COLUMN('1-DATA'!AF641)),ROUND(INDEX('1-DATA'!$1:$1048576,IF(OR($B643="STD. DEVIATION",$C$1=1),$A643,$A643+1),COLUMN('1-DATA'!AF641)),IF($B643="STD. DEVIATION",2,$F$1))))</f>
        <v/>
      </c>
      <c r="AH643" s="1" t="str">
        <f>IF(OR($B643="",AH$7=""),"",IF($B643="MEANS",INDEX('1-DATA'!$1:$1048576,$A642-1,COLUMN('1-DATA'!AG641)),ROUND(INDEX('1-DATA'!$1:$1048576,IF(OR($B643="STD. DEVIATION",$C$1=1),$A643,$A643+1),COLUMN('1-DATA'!AG641)),IF($B643="STD. DEVIATION",2,$F$1))))</f>
        <v/>
      </c>
      <c r="AI643" s="1" t="str">
        <f>IF(OR($B643="",AI$7=""),"",IF($B643="MEANS",INDEX('1-DATA'!$1:$1048576,$A642-1,COLUMN('1-DATA'!AH641)),ROUND(INDEX('1-DATA'!$1:$1048576,IF(OR($B643="STD. DEVIATION",$C$1=1),$A643,$A643+1),COLUMN('1-DATA'!AH641)),IF($B643="STD. DEVIATION",2,$F$1))))</f>
        <v/>
      </c>
      <c r="AJ643" s="1" t="str">
        <f>IF(OR($B643="",AJ$7=""),"",IF($B643="MEANS",INDEX('1-DATA'!$1:$1048576,$A642-1,COLUMN('1-DATA'!AI641)),ROUND(INDEX('1-DATA'!$1:$1048576,IF(OR($B643="STD. DEVIATION",$C$1=1),$A643,$A643+1),COLUMN('1-DATA'!AI641)),IF($B643="STD. DEVIATION",2,$F$1))))</f>
        <v/>
      </c>
      <c r="AK643" s="1" t="str">
        <f>IF(OR($B643="",AK$7=""),"",IF($B643="MEANS",INDEX('1-DATA'!$1:$1048576,$A642-1,COLUMN('1-DATA'!AJ641)),ROUND(INDEX('1-DATA'!$1:$1048576,IF(OR($B643="STD. DEVIATION",$C$1=1),$A643,$A643+1),COLUMN('1-DATA'!AJ641)),IF($B643="STD. DEVIATION",2,$F$1))))</f>
        <v/>
      </c>
      <c r="AL643" s="1" t="str">
        <f>IF(OR($B643="",AL$7=""),"",IF($B643="MEANS",INDEX('1-DATA'!$1:$1048576,$A642-1,COLUMN('1-DATA'!AK641)),ROUND(INDEX('1-DATA'!$1:$1048576,IF(OR($B643="STD. DEVIATION",$C$1=1),$A643,$A643+1),COLUMN('1-DATA'!AK641)),IF($B643="STD. DEVIATION",2,$F$1))))</f>
        <v/>
      </c>
      <c r="AM643" s="1" t="str">
        <f>IF(OR($B643="",AM$7=""),"",IF($B643="MEANS",INDEX('1-DATA'!$1:$1048576,$A642-1,COLUMN('1-DATA'!AL641)),ROUND(INDEX('1-DATA'!$1:$1048576,IF(OR($B643="STD. DEVIATION",$C$1=1),$A643,$A643+1),COLUMN('1-DATA'!AL641)),IF($B643="STD. DEVIATION",2,$F$1))))</f>
        <v/>
      </c>
      <c r="AN643" s="1" t="str">
        <f>IF(OR($B643="",AN$7=""),"",IF($B643="MEANS",INDEX('1-DATA'!$1:$1048576,$A642-1,COLUMN('1-DATA'!AM641)),ROUND(INDEX('1-DATA'!$1:$1048576,IF(OR($B643="STD. DEVIATION",$C$1=1),$A643,$A643+1),COLUMN('1-DATA'!AM641)),IF($B643="STD. DEVIATION",2,$F$1))))</f>
        <v/>
      </c>
      <c r="AO643" s="1" t="str">
        <f>IF(OR($B643="",AO$7=""),"",IF($B643="MEANS",INDEX('1-DATA'!$1:$1048576,$A642-1,COLUMN('1-DATA'!AN641)),ROUND(INDEX('1-DATA'!$1:$1048576,IF(OR($B643="STD. DEVIATION",$C$1=1),$A643,$A643+1),COLUMN('1-DATA'!AN641)),IF($B643="STD. DEVIATION",2,$F$1))))</f>
        <v/>
      </c>
      <c r="AP643" s="1" t="str">
        <f>IF(OR($B643="",AP$7=""),"",IF($B643="MEANS",INDEX('1-DATA'!$1:$1048576,$A642-1,COLUMN('1-DATA'!AO641)),ROUND(INDEX('1-DATA'!$1:$1048576,IF(OR($B643="STD. DEVIATION",$C$1=1),$A643,$A643+1),COLUMN('1-DATA'!AO641)),IF($B643="STD. DEVIATION",2,$F$1))))</f>
        <v/>
      </c>
      <c r="AQ643" s="1" t="str">
        <f>IF(OR($B643="",AQ$7=""),"",IF($B643="MEANS",INDEX('1-DATA'!$1:$1048576,$A642-1,COLUMN('1-DATA'!AP641)),ROUND(INDEX('1-DATA'!$1:$1048576,IF(OR($B643="STD. DEVIATION",$C$1=1),$A643,$A643+1),COLUMN('1-DATA'!AP641)),IF($B643="STD. DEVIATION",2,$F$1))))</f>
        <v/>
      </c>
      <c r="AR643" s="1" t="str">
        <f>IF(OR($B643="",AR$7=""),"",IF($B643="MEANS",INDEX('1-DATA'!$1:$1048576,$A642-1,COLUMN('1-DATA'!AQ641)),ROUND(INDEX('1-DATA'!$1:$1048576,IF(OR($B643="STD. DEVIATION",$C$1=1),$A643,$A643+1),COLUMN('1-DATA'!AQ641)),IF($B643="STD. DEVIATION",2,$F$1))))</f>
        <v/>
      </c>
      <c r="AS643" s="1" t="str">
        <f>IF(OR($B643="",AS$7=""),"",IF($B643="MEANS",INDEX('1-DATA'!$1:$1048576,$A642-1,COLUMN('1-DATA'!AR641)),ROUND(INDEX('1-DATA'!$1:$1048576,IF(OR($B643="STD. DEVIATION",$C$1=1),$A643,$A643+1),COLUMN('1-DATA'!AR641)),IF($B643="STD. DEVIATION",2,$F$1))))</f>
        <v/>
      </c>
      <c r="AT643" s="1" t="str">
        <f>IF(OR($B643="",AT$7=""),"",IF($B643="MEANS",INDEX('1-DATA'!$1:$1048576,$A642-1,COLUMN('1-DATA'!AS641)),ROUND(INDEX('1-DATA'!$1:$1048576,IF(OR($B643="STD. DEVIATION",$C$1=1),$A643,$A643+1),COLUMN('1-DATA'!AS641)),IF($B643="STD. DEVIATION",2,$F$1))))</f>
        <v/>
      </c>
      <c r="AU643" s="1" t="str">
        <f>IF(OR($B643="",AU$7=""),"",IF($B643="MEANS",INDEX('1-DATA'!$1:$1048576,$A642-1,COLUMN('1-DATA'!AT641)),ROUND(INDEX('1-DATA'!$1:$1048576,IF(OR($B643="STD. DEVIATION",$C$1=1),$A643,$A643+1),COLUMN('1-DATA'!AT641)),IF($B643="STD. DEVIATION",2,$F$1))))</f>
        <v/>
      </c>
      <c r="AV643" s="1" t="str">
        <f>IF(OR($B643="",AV$7=""),"",IF($B643="MEANS",INDEX('1-DATA'!$1:$1048576,$A642-1,COLUMN('1-DATA'!AU641)),ROUND(INDEX('1-DATA'!$1:$1048576,IF(OR($B643="STD. DEVIATION",$C$1=1),$A643,$A643+1),COLUMN('1-DATA'!AU641)),IF($B643="STD. DEVIATION",2,$F$1))))</f>
        <v/>
      </c>
      <c r="AW643" s="1" t="str">
        <f>IF(OR($B643="",AW$7=""),"",IF($B643="MEANS",INDEX('1-DATA'!$1:$1048576,$A642-1,COLUMN('1-DATA'!AV641)),ROUND(INDEX('1-DATA'!$1:$1048576,IF(OR($B643="STD. DEVIATION",$C$1=1),$A643,$A643+1),COLUMN('1-DATA'!AV641)),IF($B643="STD. DEVIATION",2,$F$1))))</f>
        <v/>
      </c>
      <c r="AX643" s="1" t="str">
        <f>IF(OR($B643="",AX$7=""),"",IF($B643="MEANS",INDEX('1-DATA'!$1:$1048576,$A642-1,COLUMN('1-DATA'!AW641)),ROUND(INDEX('1-DATA'!$1:$1048576,IF(OR($B643="STD. DEVIATION",$C$1=1),$A643,$A643+1),COLUMN('1-DATA'!AW641)),IF($B643="STD. DEVIATION",2,$F$1))))</f>
        <v/>
      </c>
      <c r="AY643" s="1" t="str">
        <f>IF(OR($B643="",AY$7=""),"",IF($B643="MEANS",INDEX('1-DATA'!$1:$1048576,$A642-1,COLUMN('1-DATA'!AX641)),ROUND(INDEX('1-DATA'!$1:$1048576,IF(OR($B643="STD. DEVIATION",$C$1=1),$A643,$A643+1),COLUMN('1-DATA'!AX641)),IF($B643="STD. DEVIATION",2,$F$1))))</f>
        <v/>
      </c>
      <c r="AZ643" s="1" t="str">
        <f>IF(OR($B643="",AZ$7=""),"",IF($B643="MEANS",INDEX('1-DATA'!$1:$1048576,$A642-1,COLUMN('1-DATA'!AY641)),ROUND(INDEX('1-DATA'!$1:$1048576,IF(OR($B643="STD. DEVIATION",$C$1=1),$A643,$A643+1),COLUMN('1-DATA'!AY641)),IF($B643="STD. DEVIATION",2,$F$1))))</f>
        <v/>
      </c>
    </row>
    <row r="644" spans="1:52" x14ac:dyDescent="0.25">
      <c r="A644" s="11">
        <f t="shared" si="10"/>
        <v>1918</v>
      </c>
      <c r="B644" s="1" t="str">
        <f>IF(B643="STD. DEVIATION",INDEX('1-DATA'!$1:$1048576,$A643-1,1),IF(INDEX('1-DATA'!$1:$1048576,$A644,1)&lt;&gt;"",INDEX('1-DATA'!$1:$1048576,$A644,1),""))</f>
        <v/>
      </c>
      <c r="C644" s="1" t="str">
        <f>IF(OR($B644="",C$7=""),"",IF($B644="MEANS",INDEX('1-DATA'!$1:$1048576,$A643-1,COLUMN('1-DATA'!B642)),ROUND(INDEX('1-DATA'!$1:$1048576,IF(OR($B644="STD. DEVIATION",$C$1=1),$A644,$A644+1),COLUMN('1-DATA'!B642)),IF($B644="STD. DEVIATION",2,$F$1))))</f>
        <v/>
      </c>
      <c r="D644" s="1" t="str">
        <f>IF(OR($B644="",D$7=""),"",IF($B644="MEANS",INDEX('1-DATA'!$1:$1048576,$A643-1,COLUMN('1-DATA'!C642)),ROUND(INDEX('1-DATA'!$1:$1048576,IF(OR($B644="STD. DEVIATION",$C$1=1),$A644,$A644+1),COLUMN('1-DATA'!C642)),IF($B644="STD. DEVIATION",2,$F$1))))</f>
        <v/>
      </c>
      <c r="E644" s="1" t="str">
        <f>IF(OR($B644="",E$7=""),"",IF($B644="MEANS",INDEX('1-DATA'!$1:$1048576,$A643-1,COLUMN('1-DATA'!D642)),ROUND(INDEX('1-DATA'!$1:$1048576,IF(OR($B644="STD. DEVIATION",$C$1=1),$A644,$A644+1),COLUMN('1-DATA'!D642)),IF($B644="STD. DEVIATION",2,$F$1))))</f>
        <v/>
      </c>
      <c r="F644" s="1" t="str">
        <f>IF(OR($B644="",F$7=""),"",IF($B644="MEANS",INDEX('1-DATA'!$1:$1048576,$A643-1,COLUMN('1-DATA'!E642)),ROUND(INDEX('1-DATA'!$1:$1048576,IF(OR($B644="STD. DEVIATION",$C$1=1),$A644,$A644+1),COLUMN('1-DATA'!E642)),IF($B644="STD. DEVIATION",2,$F$1))))</f>
        <v/>
      </c>
      <c r="G644" s="1" t="str">
        <f>IF(OR($B644="",G$7=""),"",IF($B644="MEANS",INDEX('1-DATA'!$1:$1048576,$A643-1,COLUMN('1-DATA'!F642)),ROUND(INDEX('1-DATA'!$1:$1048576,IF(OR($B644="STD. DEVIATION",$C$1=1),$A644,$A644+1),COLUMN('1-DATA'!F642)),IF($B644="STD. DEVIATION",2,$F$1))))</f>
        <v/>
      </c>
      <c r="H644" s="1" t="str">
        <f>IF(OR($B644="",H$7=""),"",IF($B644="MEANS",INDEX('1-DATA'!$1:$1048576,$A643-1,COLUMN('1-DATA'!G642)),ROUND(INDEX('1-DATA'!$1:$1048576,IF(OR($B644="STD. DEVIATION",$C$1=1),$A644,$A644+1),COLUMN('1-DATA'!G642)),IF($B644="STD. DEVIATION",2,$F$1))))</f>
        <v/>
      </c>
      <c r="I644" s="1" t="str">
        <f>IF(OR($B644="",I$7=""),"",IF($B644="MEANS",INDEX('1-DATA'!$1:$1048576,$A643-1,COLUMN('1-DATA'!H642)),ROUND(INDEX('1-DATA'!$1:$1048576,IF(OR($B644="STD. DEVIATION",$C$1=1),$A644,$A644+1),COLUMN('1-DATA'!H642)),IF($B644="STD. DEVIATION",2,$F$1))))</f>
        <v/>
      </c>
      <c r="J644" s="1" t="str">
        <f>IF(OR($B644="",J$7=""),"",IF($B644="MEANS",INDEX('1-DATA'!$1:$1048576,$A643-1,COLUMN('1-DATA'!I642)),ROUND(INDEX('1-DATA'!$1:$1048576,IF(OR($B644="STD. DEVIATION",$C$1=1),$A644,$A644+1),COLUMN('1-DATA'!I642)),IF($B644="STD. DEVIATION",2,$F$1))))</f>
        <v/>
      </c>
      <c r="K644" s="1" t="str">
        <f>IF(OR($B644="",K$7=""),"",IF($B644="MEANS",INDEX('1-DATA'!$1:$1048576,$A643-1,COLUMN('1-DATA'!J642)),ROUND(INDEX('1-DATA'!$1:$1048576,IF(OR($B644="STD. DEVIATION",$C$1=1),$A644,$A644+1),COLUMN('1-DATA'!J642)),IF($B644="STD. DEVIATION",2,$F$1))))</f>
        <v/>
      </c>
      <c r="L644" s="1" t="str">
        <f>IF(OR($B644="",L$7=""),"",IF($B644="MEANS",INDEX('1-DATA'!$1:$1048576,$A643-1,COLUMN('1-DATA'!K642)),ROUND(INDEX('1-DATA'!$1:$1048576,IF(OR($B644="STD. DEVIATION",$C$1=1),$A644,$A644+1),COLUMN('1-DATA'!K642)),IF($B644="STD. DEVIATION",2,$F$1))))</f>
        <v/>
      </c>
      <c r="M644" s="1" t="str">
        <f>IF(OR($B644="",M$7=""),"",IF($B644="MEANS",INDEX('1-DATA'!$1:$1048576,$A643-1,COLUMN('1-DATA'!L642)),ROUND(INDEX('1-DATA'!$1:$1048576,IF(OR($B644="STD. DEVIATION",$C$1=1),$A644,$A644+1),COLUMN('1-DATA'!L642)),IF($B644="STD. DEVIATION",2,$F$1))))</f>
        <v/>
      </c>
      <c r="N644" s="1" t="str">
        <f>IF(OR($B644="",N$7=""),"",IF($B644="MEANS",INDEX('1-DATA'!$1:$1048576,$A643-1,COLUMN('1-DATA'!M642)),ROUND(INDEX('1-DATA'!$1:$1048576,IF(OR($B644="STD. DEVIATION",$C$1=1),$A644,$A644+1),COLUMN('1-DATA'!M642)),IF($B644="STD. DEVIATION",2,$F$1))))</f>
        <v/>
      </c>
      <c r="O644" s="1" t="str">
        <f>IF(OR($B644="",O$7=""),"",IF($B644="MEANS",INDEX('1-DATA'!$1:$1048576,$A643-1,COLUMN('1-DATA'!N642)),ROUND(INDEX('1-DATA'!$1:$1048576,IF(OR($B644="STD. DEVIATION",$C$1=1),$A644,$A644+1),COLUMN('1-DATA'!N642)),IF($B644="STD. DEVIATION",2,$F$1))))</f>
        <v/>
      </c>
      <c r="P644" s="1" t="str">
        <f>IF(OR($B644="",P$7=""),"",IF($B644="MEANS",INDEX('1-DATA'!$1:$1048576,$A643-1,COLUMN('1-DATA'!O642)),ROUND(INDEX('1-DATA'!$1:$1048576,IF(OR($B644="STD. DEVIATION",$C$1=1),$A644,$A644+1),COLUMN('1-DATA'!O642)),IF($B644="STD. DEVIATION",2,$F$1))))</f>
        <v/>
      </c>
      <c r="Q644" s="1" t="str">
        <f>IF(OR($B644="",Q$7=""),"",IF($B644="MEANS",INDEX('1-DATA'!$1:$1048576,$A643-1,COLUMN('1-DATA'!P642)),ROUND(INDEX('1-DATA'!$1:$1048576,IF(OR($B644="STD. DEVIATION",$C$1=1),$A644,$A644+1),COLUMN('1-DATA'!P642)),IF($B644="STD. DEVIATION",2,$F$1))))</f>
        <v/>
      </c>
      <c r="R644" s="1" t="str">
        <f>IF(OR($B644="",R$7=""),"",IF($B644="MEANS",INDEX('1-DATA'!$1:$1048576,$A643-1,COLUMN('1-DATA'!Q642)),ROUND(INDEX('1-DATA'!$1:$1048576,IF(OR($B644="STD. DEVIATION",$C$1=1),$A644,$A644+1),COLUMN('1-DATA'!Q642)),IF($B644="STD. DEVIATION",2,$F$1))))</f>
        <v/>
      </c>
      <c r="S644" s="1" t="str">
        <f>IF(OR($B644="",S$7=""),"",IF($B644="MEANS",INDEX('1-DATA'!$1:$1048576,$A643-1,COLUMN('1-DATA'!R642)),ROUND(INDEX('1-DATA'!$1:$1048576,IF(OR($B644="STD. DEVIATION",$C$1=1),$A644,$A644+1),COLUMN('1-DATA'!R642)),IF($B644="STD. DEVIATION",2,$F$1))))</f>
        <v/>
      </c>
      <c r="T644" s="1" t="str">
        <f>IF(OR($B644="",T$7=""),"",IF($B644="MEANS",INDEX('1-DATA'!$1:$1048576,$A643-1,COLUMN('1-DATA'!S642)),ROUND(INDEX('1-DATA'!$1:$1048576,IF(OR($B644="STD. DEVIATION",$C$1=1),$A644,$A644+1),COLUMN('1-DATA'!S642)),IF($B644="STD. DEVIATION",2,$F$1))))</f>
        <v/>
      </c>
      <c r="U644" s="1" t="str">
        <f>IF(OR($B644="",U$7=""),"",IF($B644="MEANS",INDEX('1-DATA'!$1:$1048576,$A643-1,COLUMN('1-DATA'!T642)),ROUND(INDEX('1-DATA'!$1:$1048576,IF(OR($B644="STD. DEVIATION",$C$1=1),$A644,$A644+1),COLUMN('1-DATA'!T642)),IF($B644="STD. DEVIATION",2,$F$1))))</f>
        <v/>
      </c>
      <c r="V644" s="1" t="str">
        <f>IF(OR($B644="",V$7=""),"",IF($B644="MEANS",INDEX('1-DATA'!$1:$1048576,$A643-1,COLUMN('1-DATA'!U642)),ROUND(INDEX('1-DATA'!$1:$1048576,IF(OR($B644="STD. DEVIATION",$C$1=1),$A644,$A644+1),COLUMN('1-DATA'!U642)),IF($B644="STD. DEVIATION",2,$F$1))))</f>
        <v/>
      </c>
      <c r="W644" s="1" t="str">
        <f>IF(OR($B644="",W$7=""),"",IF($B644="MEANS",INDEX('1-DATA'!$1:$1048576,$A643-1,COLUMN('1-DATA'!V642)),ROUND(INDEX('1-DATA'!$1:$1048576,IF(OR($B644="STD. DEVIATION",$C$1=1),$A644,$A644+1),COLUMN('1-DATA'!V642)),IF($B644="STD. DEVIATION",2,$F$1))))</f>
        <v/>
      </c>
      <c r="X644" s="1" t="str">
        <f>IF(OR($B644="",X$7=""),"",IF($B644="MEANS",INDEX('1-DATA'!$1:$1048576,$A643-1,COLUMN('1-DATA'!W642)),ROUND(INDEX('1-DATA'!$1:$1048576,IF(OR($B644="STD. DEVIATION",$C$1=1),$A644,$A644+1),COLUMN('1-DATA'!W642)),IF($B644="STD. DEVIATION",2,$F$1))))</f>
        <v/>
      </c>
      <c r="Y644" s="1" t="str">
        <f>IF(OR($B644="",Y$7=""),"",IF($B644="MEANS",INDEX('1-DATA'!$1:$1048576,$A643-1,COLUMN('1-DATA'!X642)),ROUND(INDEX('1-DATA'!$1:$1048576,IF(OR($B644="STD. DEVIATION",$C$1=1),$A644,$A644+1),COLUMN('1-DATA'!X642)),IF($B644="STD. DEVIATION",2,$F$1))))</f>
        <v/>
      </c>
      <c r="Z644" s="1" t="str">
        <f>IF(OR($B644="",Z$7=""),"",IF($B644="MEANS",INDEX('1-DATA'!$1:$1048576,$A643-1,COLUMN('1-DATA'!Y642)),ROUND(INDEX('1-DATA'!$1:$1048576,IF(OR($B644="STD. DEVIATION",$C$1=1),$A644,$A644+1),COLUMN('1-DATA'!Y642)),IF($B644="STD. DEVIATION",2,$F$1))))</f>
        <v/>
      </c>
      <c r="AA644" s="1" t="str">
        <f>IF(OR($B644="",AA$7=""),"",IF($B644="MEANS",INDEX('1-DATA'!$1:$1048576,$A643-1,COLUMN('1-DATA'!Z642)),ROUND(INDEX('1-DATA'!$1:$1048576,IF(OR($B644="STD. DEVIATION",$C$1=1),$A644,$A644+1),COLUMN('1-DATA'!Z642)),IF($B644="STD. DEVIATION",2,$F$1))))</f>
        <v/>
      </c>
      <c r="AB644" s="1" t="str">
        <f>IF(OR($B644="",AB$7=""),"",IF($B644="MEANS",INDEX('1-DATA'!$1:$1048576,$A643-1,COLUMN('1-DATA'!AA642)),ROUND(INDEX('1-DATA'!$1:$1048576,IF(OR($B644="STD. DEVIATION",$C$1=1),$A644,$A644+1),COLUMN('1-DATA'!AA642)),IF($B644="STD. DEVIATION",2,$F$1))))</f>
        <v/>
      </c>
      <c r="AC644" s="1" t="str">
        <f>IF(OR($B644="",AC$7=""),"",IF($B644="MEANS",INDEX('1-DATA'!$1:$1048576,$A643-1,COLUMN('1-DATA'!AB642)),ROUND(INDEX('1-DATA'!$1:$1048576,IF(OR($B644="STD. DEVIATION",$C$1=1),$A644,$A644+1),COLUMN('1-DATA'!AB642)),IF($B644="STD. DEVIATION",2,$F$1))))</f>
        <v/>
      </c>
      <c r="AD644" s="1" t="str">
        <f>IF(OR($B644="",AD$7=""),"",IF($B644="MEANS",INDEX('1-DATA'!$1:$1048576,$A643-1,COLUMN('1-DATA'!AC642)),ROUND(INDEX('1-DATA'!$1:$1048576,IF(OR($B644="STD. DEVIATION",$C$1=1),$A644,$A644+1),COLUMN('1-DATA'!AC642)),IF($B644="STD. DEVIATION",2,$F$1))))</f>
        <v/>
      </c>
      <c r="AE644" s="1" t="str">
        <f>IF(OR($B644="",AE$7=""),"",IF($B644="MEANS",INDEX('1-DATA'!$1:$1048576,$A643-1,COLUMN('1-DATA'!AD642)),ROUND(INDEX('1-DATA'!$1:$1048576,IF(OR($B644="STD. DEVIATION",$C$1=1),$A644,$A644+1),COLUMN('1-DATA'!AD642)),IF($B644="STD. DEVIATION",2,$F$1))))</f>
        <v/>
      </c>
      <c r="AF644" s="1" t="str">
        <f>IF(OR($B644="",AF$7=""),"",IF($B644="MEANS",INDEX('1-DATA'!$1:$1048576,$A643-1,COLUMN('1-DATA'!AE642)),ROUND(INDEX('1-DATA'!$1:$1048576,IF(OR($B644="STD. DEVIATION",$C$1=1),$A644,$A644+1),COLUMN('1-DATA'!AE642)),IF($B644="STD. DEVIATION",2,$F$1))))</f>
        <v/>
      </c>
      <c r="AG644" s="1" t="str">
        <f>IF(OR($B644="",AG$7=""),"",IF($B644="MEANS",INDEX('1-DATA'!$1:$1048576,$A643-1,COLUMN('1-DATA'!AF642)),ROUND(INDEX('1-DATA'!$1:$1048576,IF(OR($B644="STD. DEVIATION",$C$1=1),$A644,$A644+1),COLUMN('1-DATA'!AF642)),IF($B644="STD. DEVIATION",2,$F$1))))</f>
        <v/>
      </c>
      <c r="AH644" s="1" t="str">
        <f>IF(OR($B644="",AH$7=""),"",IF($B644="MEANS",INDEX('1-DATA'!$1:$1048576,$A643-1,COLUMN('1-DATA'!AG642)),ROUND(INDEX('1-DATA'!$1:$1048576,IF(OR($B644="STD. DEVIATION",$C$1=1),$A644,$A644+1),COLUMN('1-DATA'!AG642)),IF($B644="STD. DEVIATION",2,$F$1))))</f>
        <v/>
      </c>
      <c r="AI644" s="1" t="str">
        <f>IF(OR($B644="",AI$7=""),"",IF($B644="MEANS",INDEX('1-DATA'!$1:$1048576,$A643-1,COLUMN('1-DATA'!AH642)),ROUND(INDEX('1-DATA'!$1:$1048576,IF(OR($B644="STD. DEVIATION",$C$1=1),$A644,$A644+1),COLUMN('1-DATA'!AH642)),IF($B644="STD. DEVIATION",2,$F$1))))</f>
        <v/>
      </c>
      <c r="AJ644" s="1" t="str">
        <f>IF(OR($B644="",AJ$7=""),"",IF($B644="MEANS",INDEX('1-DATA'!$1:$1048576,$A643-1,COLUMN('1-DATA'!AI642)),ROUND(INDEX('1-DATA'!$1:$1048576,IF(OR($B644="STD. DEVIATION",$C$1=1),$A644,$A644+1),COLUMN('1-DATA'!AI642)),IF($B644="STD. DEVIATION",2,$F$1))))</f>
        <v/>
      </c>
      <c r="AK644" s="1" t="str">
        <f>IF(OR($B644="",AK$7=""),"",IF($B644="MEANS",INDEX('1-DATA'!$1:$1048576,$A643-1,COLUMN('1-DATA'!AJ642)),ROUND(INDEX('1-DATA'!$1:$1048576,IF(OR($B644="STD. DEVIATION",$C$1=1),$A644,$A644+1),COLUMN('1-DATA'!AJ642)),IF($B644="STD. DEVIATION",2,$F$1))))</f>
        <v/>
      </c>
      <c r="AL644" s="1" t="str">
        <f>IF(OR($B644="",AL$7=""),"",IF($B644="MEANS",INDEX('1-DATA'!$1:$1048576,$A643-1,COLUMN('1-DATA'!AK642)),ROUND(INDEX('1-DATA'!$1:$1048576,IF(OR($B644="STD. DEVIATION",$C$1=1),$A644,$A644+1),COLUMN('1-DATA'!AK642)),IF($B644="STD. DEVIATION",2,$F$1))))</f>
        <v/>
      </c>
      <c r="AM644" s="1" t="str">
        <f>IF(OR($B644="",AM$7=""),"",IF($B644="MEANS",INDEX('1-DATA'!$1:$1048576,$A643-1,COLUMN('1-DATA'!AL642)),ROUND(INDEX('1-DATA'!$1:$1048576,IF(OR($B644="STD. DEVIATION",$C$1=1),$A644,$A644+1),COLUMN('1-DATA'!AL642)),IF($B644="STD. DEVIATION",2,$F$1))))</f>
        <v/>
      </c>
      <c r="AN644" s="1" t="str">
        <f>IF(OR($B644="",AN$7=""),"",IF($B644="MEANS",INDEX('1-DATA'!$1:$1048576,$A643-1,COLUMN('1-DATA'!AM642)),ROUND(INDEX('1-DATA'!$1:$1048576,IF(OR($B644="STD. DEVIATION",$C$1=1),$A644,$A644+1),COLUMN('1-DATA'!AM642)),IF($B644="STD. DEVIATION",2,$F$1))))</f>
        <v/>
      </c>
      <c r="AO644" s="1" t="str">
        <f>IF(OR($B644="",AO$7=""),"",IF($B644="MEANS",INDEX('1-DATA'!$1:$1048576,$A643-1,COLUMN('1-DATA'!AN642)),ROUND(INDEX('1-DATA'!$1:$1048576,IF(OR($B644="STD. DEVIATION",$C$1=1),$A644,$A644+1),COLUMN('1-DATA'!AN642)),IF($B644="STD. DEVIATION",2,$F$1))))</f>
        <v/>
      </c>
      <c r="AP644" s="1" t="str">
        <f>IF(OR($B644="",AP$7=""),"",IF($B644="MEANS",INDEX('1-DATA'!$1:$1048576,$A643-1,COLUMN('1-DATA'!AO642)),ROUND(INDEX('1-DATA'!$1:$1048576,IF(OR($B644="STD. DEVIATION",$C$1=1),$A644,$A644+1),COLUMN('1-DATA'!AO642)),IF($B644="STD. DEVIATION",2,$F$1))))</f>
        <v/>
      </c>
      <c r="AQ644" s="1" t="str">
        <f>IF(OR($B644="",AQ$7=""),"",IF($B644="MEANS",INDEX('1-DATA'!$1:$1048576,$A643-1,COLUMN('1-DATA'!AP642)),ROUND(INDEX('1-DATA'!$1:$1048576,IF(OR($B644="STD. DEVIATION",$C$1=1),$A644,$A644+1),COLUMN('1-DATA'!AP642)),IF($B644="STD. DEVIATION",2,$F$1))))</f>
        <v/>
      </c>
      <c r="AR644" s="1" t="str">
        <f>IF(OR($B644="",AR$7=""),"",IF($B644="MEANS",INDEX('1-DATA'!$1:$1048576,$A643-1,COLUMN('1-DATA'!AQ642)),ROUND(INDEX('1-DATA'!$1:$1048576,IF(OR($B644="STD. DEVIATION",$C$1=1),$A644,$A644+1),COLUMN('1-DATA'!AQ642)),IF($B644="STD. DEVIATION",2,$F$1))))</f>
        <v/>
      </c>
      <c r="AS644" s="1" t="str">
        <f>IF(OR($B644="",AS$7=""),"",IF($B644="MEANS",INDEX('1-DATA'!$1:$1048576,$A643-1,COLUMN('1-DATA'!AR642)),ROUND(INDEX('1-DATA'!$1:$1048576,IF(OR($B644="STD. DEVIATION",$C$1=1),$A644,$A644+1),COLUMN('1-DATA'!AR642)),IF($B644="STD. DEVIATION",2,$F$1))))</f>
        <v/>
      </c>
      <c r="AT644" s="1" t="str">
        <f>IF(OR($B644="",AT$7=""),"",IF($B644="MEANS",INDEX('1-DATA'!$1:$1048576,$A643-1,COLUMN('1-DATA'!AS642)),ROUND(INDEX('1-DATA'!$1:$1048576,IF(OR($B644="STD. DEVIATION",$C$1=1),$A644,$A644+1),COLUMN('1-DATA'!AS642)),IF($B644="STD. DEVIATION",2,$F$1))))</f>
        <v/>
      </c>
      <c r="AU644" s="1" t="str">
        <f>IF(OR($B644="",AU$7=""),"",IF($B644="MEANS",INDEX('1-DATA'!$1:$1048576,$A643-1,COLUMN('1-DATA'!AT642)),ROUND(INDEX('1-DATA'!$1:$1048576,IF(OR($B644="STD. DEVIATION",$C$1=1),$A644,$A644+1),COLUMN('1-DATA'!AT642)),IF($B644="STD. DEVIATION",2,$F$1))))</f>
        <v/>
      </c>
      <c r="AV644" s="1" t="str">
        <f>IF(OR($B644="",AV$7=""),"",IF($B644="MEANS",INDEX('1-DATA'!$1:$1048576,$A643-1,COLUMN('1-DATA'!AU642)),ROUND(INDEX('1-DATA'!$1:$1048576,IF(OR($B644="STD. DEVIATION",$C$1=1),$A644,$A644+1),COLUMN('1-DATA'!AU642)),IF($B644="STD. DEVIATION",2,$F$1))))</f>
        <v/>
      </c>
      <c r="AW644" s="1" t="str">
        <f>IF(OR($B644="",AW$7=""),"",IF($B644="MEANS",INDEX('1-DATA'!$1:$1048576,$A643-1,COLUMN('1-DATA'!AV642)),ROUND(INDEX('1-DATA'!$1:$1048576,IF(OR($B644="STD. DEVIATION",$C$1=1),$A644,$A644+1),COLUMN('1-DATA'!AV642)),IF($B644="STD. DEVIATION",2,$F$1))))</f>
        <v/>
      </c>
      <c r="AX644" s="1" t="str">
        <f>IF(OR($B644="",AX$7=""),"",IF($B644="MEANS",INDEX('1-DATA'!$1:$1048576,$A643-1,COLUMN('1-DATA'!AW642)),ROUND(INDEX('1-DATA'!$1:$1048576,IF(OR($B644="STD. DEVIATION",$C$1=1),$A644,$A644+1),COLUMN('1-DATA'!AW642)),IF($B644="STD. DEVIATION",2,$F$1))))</f>
        <v/>
      </c>
      <c r="AY644" s="1" t="str">
        <f>IF(OR($B644="",AY$7=""),"",IF($B644="MEANS",INDEX('1-DATA'!$1:$1048576,$A643-1,COLUMN('1-DATA'!AX642)),ROUND(INDEX('1-DATA'!$1:$1048576,IF(OR($B644="STD. DEVIATION",$C$1=1),$A644,$A644+1),COLUMN('1-DATA'!AX642)),IF($B644="STD. DEVIATION",2,$F$1))))</f>
        <v/>
      </c>
      <c r="AZ644" s="1" t="str">
        <f>IF(OR($B644="",AZ$7=""),"",IF($B644="MEANS",INDEX('1-DATA'!$1:$1048576,$A643-1,COLUMN('1-DATA'!AY642)),ROUND(INDEX('1-DATA'!$1:$1048576,IF(OR($B644="STD. DEVIATION",$C$1=1),$A644,$A644+1),COLUMN('1-DATA'!AY642)),IF($B644="STD. DEVIATION",2,$F$1))))</f>
        <v/>
      </c>
    </row>
    <row r="645" spans="1:52" x14ac:dyDescent="0.25">
      <c r="A645" s="11">
        <f t="shared" si="10"/>
        <v>1921</v>
      </c>
      <c r="B645" s="1" t="str">
        <f>IF(B644="STD. DEVIATION",INDEX('1-DATA'!$1:$1048576,$A644-1,1),IF(INDEX('1-DATA'!$1:$1048576,$A645,1)&lt;&gt;"",INDEX('1-DATA'!$1:$1048576,$A645,1),""))</f>
        <v/>
      </c>
      <c r="C645" s="1" t="str">
        <f>IF(OR($B645="",C$7=""),"",IF($B645="MEANS",INDEX('1-DATA'!$1:$1048576,$A644-1,COLUMN('1-DATA'!B643)),ROUND(INDEX('1-DATA'!$1:$1048576,IF(OR($B645="STD. DEVIATION",$C$1=1),$A645,$A645+1),COLUMN('1-DATA'!B643)),IF($B645="STD. DEVIATION",2,$F$1))))</f>
        <v/>
      </c>
      <c r="D645" s="1" t="str">
        <f>IF(OR($B645="",D$7=""),"",IF($B645="MEANS",INDEX('1-DATA'!$1:$1048576,$A644-1,COLUMN('1-DATA'!C643)),ROUND(INDEX('1-DATA'!$1:$1048576,IF(OR($B645="STD. DEVIATION",$C$1=1),$A645,$A645+1),COLUMN('1-DATA'!C643)),IF($B645="STD. DEVIATION",2,$F$1))))</f>
        <v/>
      </c>
      <c r="E645" s="1" t="str">
        <f>IF(OR($B645="",E$7=""),"",IF($B645="MEANS",INDEX('1-DATA'!$1:$1048576,$A644-1,COLUMN('1-DATA'!D643)),ROUND(INDEX('1-DATA'!$1:$1048576,IF(OR($B645="STD. DEVIATION",$C$1=1),$A645,$A645+1),COLUMN('1-DATA'!D643)),IF($B645="STD. DEVIATION",2,$F$1))))</f>
        <v/>
      </c>
      <c r="F645" s="1" t="str">
        <f>IF(OR($B645="",F$7=""),"",IF($B645="MEANS",INDEX('1-DATA'!$1:$1048576,$A644-1,COLUMN('1-DATA'!E643)),ROUND(INDEX('1-DATA'!$1:$1048576,IF(OR($B645="STD. DEVIATION",$C$1=1),$A645,$A645+1),COLUMN('1-DATA'!E643)),IF($B645="STD. DEVIATION",2,$F$1))))</f>
        <v/>
      </c>
      <c r="G645" s="1" t="str">
        <f>IF(OR($B645="",G$7=""),"",IF($B645="MEANS",INDEX('1-DATA'!$1:$1048576,$A644-1,COLUMN('1-DATA'!F643)),ROUND(INDEX('1-DATA'!$1:$1048576,IF(OR($B645="STD. DEVIATION",$C$1=1),$A645,$A645+1),COLUMN('1-DATA'!F643)),IF($B645="STD. DEVIATION",2,$F$1))))</f>
        <v/>
      </c>
      <c r="H645" s="1" t="str">
        <f>IF(OR($B645="",H$7=""),"",IF($B645="MEANS",INDEX('1-DATA'!$1:$1048576,$A644-1,COLUMN('1-DATA'!G643)),ROUND(INDEX('1-DATA'!$1:$1048576,IF(OR($B645="STD. DEVIATION",$C$1=1),$A645,$A645+1),COLUMN('1-DATA'!G643)),IF($B645="STD. DEVIATION",2,$F$1))))</f>
        <v/>
      </c>
      <c r="I645" s="1" t="str">
        <f>IF(OR($B645="",I$7=""),"",IF($B645="MEANS",INDEX('1-DATA'!$1:$1048576,$A644-1,COLUMN('1-DATA'!H643)),ROUND(INDEX('1-DATA'!$1:$1048576,IF(OR($B645="STD. DEVIATION",$C$1=1),$A645,$A645+1),COLUMN('1-DATA'!H643)),IF($B645="STD. DEVIATION",2,$F$1))))</f>
        <v/>
      </c>
      <c r="J645" s="1" t="str">
        <f>IF(OR($B645="",J$7=""),"",IF($B645="MEANS",INDEX('1-DATA'!$1:$1048576,$A644-1,COLUMN('1-DATA'!I643)),ROUND(INDEX('1-DATA'!$1:$1048576,IF(OR($B645="STD. DEVIATION",$C$1=1),$A645,$A645+1),COLUMN('1-DATA'!I643)),IF($B645="STD. DEVIATION",2,$F$1))))</f>
        <v/>
      </c>
      <c r="K645" s="1" t="str">
        <f>IF(OR($B645="",K$7=""),"",IF($B645="MEANS",INDEX('1-DATA'!$1:$1048576,$A644-1,COLUMN('1-DATA'!J643)),ROUND(INDEX('1-DATA'!$1:$1048576,IF(OR($B645="STD. DEVIATION",$C$1=1),$A645,$A645+1),COLUMN('1-DATA'!J643)),IF($B645="STD. DEVIATION",2,$F$1))))</f>
        <v/>
      </c>
      <c r="L645" s="1" t="str">
        <f>IF(OR($B645="",L$7=""),"",IF($B645="MEANS",INDEX('1-DATA'!$1:$1048576,$A644-1,COLUMN('1-DATA'!K643)),ROUND(INDEX('1-DATA'!$1:$1048576,IF(OR($B645="STD. DEVIATION",$C$1=1),$A645,$A645+1),COLUMN('1-DATA'!K643)),IF($B645="STD. DEVIATION",2,$F$1))))</f>
        <v/>
      </c>
      <c r="M645" s="1" t="str">
        <f>IF(OR($B645="",M$7=""),"",IF($B645="MEANS",INDEX('1-DATA'!$1:$1048576,$A644-1,COLUMN('1-DATA'!L643)),ROUND(INDEX('1-DATA'!$1:$1048576,IF(OR($B645="STD. DEVIATION",$C$1=1),$A645,$A645+1),COLUMN('1-DATA'!L643)),IF($B645="STD. DEVIATION",2,$F$1))))</f>
        <v/>
      </c>
      <c r="N645" s="1" t="str">
        <f>IF(OR($B645="",N$7=""),"",IF($B645="MEANS",INDEX('1-DATA'!$1:$1048576,$A644-1,COLUMN('1-DATA'!M643)),ROUND(INDEX('1-DATA'!$1:$1048576,IF(OR($B645="STD. DEVIATION",$C$1=1),$A645,$A645+1),COLUMN('1-DATA'!M643)),IF($B645="STD. DEVIATION",2,$F$1))))</f>
        <v/>
      </c>
      <c r="O645" s="1" t="str">
        <f>IF(OR($B645="",O$7=""),"",IF($B645="MEANS",INDEX('1-DATA'!$1:$1048576,$A644-1,COLUMN('1-DATA'!N643)),ROUND(INDEX('1-DATA'!$1:$1048576,IF(OR($B645="STD. DEVIATION",$C$1=1),$A645,$A645+1),COLUMN('1-DATA'!N643)),IF($B645="STD. DEVIATION",2,$F$1))))</f>
        <v/>
      </c>
      <c r="P645" s="1" t="str">
        <f>IF(OR($B645="",P$7=""),"",IF($B645="MEANS",INDEX('1-DATA'!$1:$1048576,$A644-1,COLUMN('1-DATA'!O643)),ROUND(INDEX('1-DATA'!$1:$1048576,IF(OR($B645="STD. DEVIATION",$C$1=1),$A645,$A645+1),COLUMN('1-DATA'!O643)),IF($B645="STD. DEVIATION",2,$F$1))))</f>
        <v/>
      </c>
      <c r="Q645" s="1" t="str">
        <f>IF(OR($B645="",Q$7=""),"",IF($B645="MEANS",INDEX('1-DATA'!$1:$1048576,$A644-1,COLUMN('1-DATA'!P643)),ROUND(INDEX('1-DATA'!$1:$1048576,IF(OR($B645="STD. DEVIATION",$C$1=1),$A645,$A645+1),COLUMN('1-DATA'!P643)),IF($B645="STD. DEVIATION",2,$F$1))))</f>
        <v/>
      </c>
      <c r="R645" s="1" t="str">
        <f>IF(OR($B645="",R$7=""),"",IF($B645="MEANS",INDEX('1-DATA'!$1:$1048576,$A644-1,COLUMN('1-DATA'!Q643)),ROUND(INDEX('1-DATA'!$1:$1048576,IF(OR($B645="STD. DEVIATION",$C$1=1),$A645,$A645+1),COLUMN('1-DATA'!Q643)),IF($B645="STD. DEVIATION",2,$F$1))))</f>
        <v/>
      </c>
      <c r="S645" s="1" t="str">
        <f>IF(OR($B645="",S$7=""),"",IF($B645="MEANS",INDEX('1-DATA'!$1:$1048576,$A644-1,COLUMN('1-DATA'!R643)),ROUND(INDEX('1-DATA'!$1:$1048576,IF(OR($B645="STD. DEVIATION",$C$1=1),$A645,$A645+1),COLUMN('1-DATA'!R643)),IF($B645="STD. DEVIATION",2,$F$1))))</f>
        <v/>
      </c>
      <c r="T645" s="1" t="str">
        <f>IF(OR($B645="",T$7=""),"",IF($B645="MEANS",INDEX('1-DATA'!$1:$1048576,$A644-1,COLUMN('1-DATA'!S643)),ROUND(INDEX('1-DATA'!$1:$1048576,IF(OR($B645="STD. DEVIATION",$C$1=1),$A645,$A645+1),COLUMN('1-DATA'!S643)),IF($B645="STD. DEVIATION",2,$F$1))))</f>
        <v/>
      </c>
      <c r="U645" s="1" t="str">
        <f>IF(OR($B645="",U$7=""),"",IF($B645="MEANS",INDEX('1-DATA'!$1:$1048576,$A644-1,COLUMN('1-DATA'!T643)),ROUND(INDEX('1-DATA'!$1:$1048576,IF(OR($B645="STD. DEVIATION",$C$1=1),$A645,$A645+1),COLUMN('1-DATA'!T643)),IF($B645="STD. DEVIATION",2,$F$1))))</f>
        <v/>
      </c>
      <c r="V645" s="1" t="str">
        <f>IF(OR($B645="",V$7=""),"",IF($B645="MEANS",INDEX('1-DATA'!$1:$1048576,$A644-1,COLUMN('1-DATA'!U643)),ROUND(INDEX('1-DATA'!$1:$1048576,IF(OR($B645="STD. DEVIATION",$C$1=1),$A645,$A645+1),COLUMN('1-DATA'!U643)),IF($B645="STD. DEVIATION",2,$F$1))))</f>
        <v/>
      </c>
      <c r="W645" s="1" t="str">
        <f>IF(OR($B645="",W$7=""),"",IF($B645="MEANS",INDEX('1-DATA'!$1:$1048576,$A644-1,COLUMN('1-DATA'!V643)),ROUND(INDEX('1-DATA'!$1:$1048576,IF(OR($B645="STD. DEVIATION",$C$1=1),$A645,$A645+1),COLUMN('1-DATA'!V643)),IF($B645="STD. DEVIATION",2,$F$1))))</f>
        <v/>
      </c>
      <c r="X645" s="1" t="str">
        <f>IF(OR($B645="",X$7=""),"",IF($B645="MEANS",INDEX('1-DATA'!$1:$1048576,$A644-1,COLUMN('1-DATA'!W643)),ROUND(INDEX('1-DATA'!$1:$1048576,IF(OR($B645="STD. DEVIATION",$C$1=1),$A645,$A645+1),COLUMN('1-DATA'!W643)),IF($B645="STD. DEVIATION",2,$F$1))))</f>
        <v/>
      </c>
      <c r="Y645" s="1" t="str">
        <f>IF(OR($B645="",Y$7=""),"",IF($B645="MEANS",INDEX('1-DATA'!$1:$1048576,$A644-1,COLUMN('1-DATA'!X643)),ROUND(INDEX('1-DATA'!$1:$1048576,IF(OR($B645="STD. DEVIATION",$C$1=1),$A645,$A645+1),COLUMN('1-DATA'!X643)),IF($B645="STD. DEVIATION",2,$F$1))))</f>
        <v/>
      </c>
      <c r="Z645" s="1" t="str">
        <f>IF(OR($B645="",Z$7=""),"",IF($B645="MEANS",INDEX('1-DATA'!$1:$1048576,$A644-1,COLUMN('1-DATA'!Y643)),ROUND(INDEX('1-DATA'!$1:$1048576,IF(OR($B645="STD. DEVIATION",$C$1=1),$A645,$A645+1),COLUMN('1-DATA'!Y643)),IF($B645="STD. DEVIATION",2,$F$1))))</f>
        <v/>
      </c>
      <c r="AA645" s="1" t="str">
        <f>IF(OR($B645="",AA$7=""),"",IF($B645="MEANS",INDEX('1-DATA'!$1:$1048576,$A644-1,COLUMN('1-DATA'!Z643)),ROUND(INDEX('1-DATA'!$1:$1048576,IF(OR($B645="STD. DEVIATION",$C$1=1),$A645,$A645+1),COLUMN('1-DATA'!Z643)),IF($B645="STD. DEVIATION",2,$F$1))))</f>
        <v/>
      </c>
      <c r="AB645" s="1" t="str">
        <f>IF(OR($B645="",AB$7=""),"",IF($B645="MEANS",INDEX('1-DATA'!$1:$1048576,$A644-1,COLUMN('1-DATA'!AA643)),ROUND(INDEX('1-DATA'!$1:$1048576,IF(OR($B645="STD. DEVIATION",$C$1=1),$A645,$A645+1),COLUMN('1-DATA'!AA643)),IF($B645="STD. DEVIATION",2,$F$1))))</f>
        <v/>
      </c>
      <c r="AC645" s="1" t="str">
        <f>IF(OR($B645="",AC$7=""),"",IF($B645="MEANS",INDEX('1-DATA'!$1:$1048576,$A644-1,COLUMN('1-DATA'!AB643)),ROUND(INDEX('1-DATA'!$1:$1048576,IF(OR($B645="STD. DEVIATION",$C$1=1),$A645,$A645+1),COLUMN('1-DATA'!AB643)),IF($B645="STD. DEVIATION",2,$F$1))))</f>
        <v/>
      </c>
      <c r="AD645" s="1" t="str">
        <f>IF(OR($B645="",AD$7=""),"",IF($B645="MEANS",INDEX('1-DATA'!$1:$1048576,$A644-1,COLUMN('1-DATA'!AC643)),ROUND(INDEX('1-DATA'!$1:$1048576,IF(OR($B645="STD. DEVIATION",$C$1=1),$A645,$A645+1),COLUMN('1-DATA'!AC643)),IF($B645="STD. DEVIATION",2,$F$1))))</f>
        <v/>
      </c>
      <c r="AE645" s="1" t="str">
        <f>IF(OR($B645="",AE$7=""),"",IF($B645="MEANS",INDEX('1-DATA'!$1:$1048576,$A644-1,COLUMN('1-DATA'!AD643)),ROUND(INDEX('1-DATA'!$1:$1048576,IF(OR($B645="STD. DEVIATION",$C$1=1),$A645,$A645+1),COLUMN('1-DATA'!AD643)),IF($B645="STD. DEVIATION",2,$F$1))))</f>
        <v/>
      </c>
      <c r="AF645" s="1" t="str">
        <f>IF(OR($B645="",AF$7=""),"",IF($B645="MEANS",INDEX('1-DATA'!$1:$1048576,$A644-1,COLUMN('1-DATA'!AE643)),ROUND(INDEX('1-DATA'!$1:$1048576,IF(OR($B645="STD. DEVIATION",$C$1=1),$A645,$A645+1),COLUMN('1-DATA'!AE643)),IF($B645="STD. DEVIATION",2,$F$1))))</f>
        <v/>
      </c>
      <c r="AG645" s="1" t="str">
        <f>IF(OR($B645="",AG$7=""),"",IF($B645="MEANS",INDEX('1-DATA'!$1:$1048576,$A644-1,COLUMN('1-DATA'!AF643)),ROUND(INDEX('1-DATA'!$1:$1048576,IF(OR($B645="STD. DEVIATION",$C$1=1),$A645,$A645+1),COLUMN('1-DATA'!AF643)),IF($B645="STD. DEVIATION",2,$F$1))))</f>
        <v/>
      </c>
      <c r="AH645" s="1" t="str">
        <f>IF(OR($B645="",AH$7=""),"",IF($B645="MEANS",INDEX('1-DATA'!$1:$1048576,$A644-1,COLUMN('1-DATA'!AG643)),ROUND(INDEX('1-DATA'!$1:$1048576,IF(OR($B645="STD. DEVIATION",$C$1=1),$A645,$A645+1),COLUMN('1-DATA'!AG643)),IF($B645="STD. DEVIATION",2,$F$1))))</f>
        <v/>
      </c>
      <c r="AI645" s="1" t="str">
        <f>IF(OR($B645="",AI$7=""),"",IF($B645="MEANS",INDEX('1-DATA'!$1:$1048576,$A644-1,COLUMN('1-DATA'!AH643)),ROUND(INDEX('1-DATA'!$1:$1048576,IF(OR($B645="STD. DEVIATION",$C$1=1),$A645,$A645+1),COLUMN('1-DATA'!AH643)),IF($B645="STD. DEVIATION",2,$F$1))))</f>
        <v/>
      </c>
      <c r="AJ645" s="1" t="str">
        <f>IF(OR($B645="",AJ$7=""),"",IF($B645="MEANS",INDEX('1-DATA'!$1:$1048576,$A644-1,COLUMN('1-DATA'!AI643)),ROUND(INDEX('1-DATA'!$1:$1048576,IF(OR($B645="STD. DEVIATION",$C$1=1),$A645,$A645+1),COLUMN('1-DATA'!AI643)),IF($B645="STD. DEVIATION",2,$F$1))))</f>
        <v/>
      </c>
      <c r="AK645" s="1" t="str">
        <f>IF(OR($B645="",AK$7=""),"",IF($B645="MEANS",INDEX('1-DATA'!$1:$1048576,$A644-1,COLUMN('1-DATA'!AJ643)),ROUND(INDEX('1-DATA'!$1:$1048576,IF(OR($B645="STD. DEVIATION",$C$1=1),$A645,$A645+1),COLUMN('1-DATA'!AJ643)),IF($B645="STD. DEVIATION",2,$F$1))))</f>
        <v/>
      </c>
      <c r="AL645" s="1" t="str">
        <f>IF(OR($B645="",AL$7=""),"",IF($B645="MEANS",INDEX('1-DATA'!$1:$1048576,$A644-1,COLUMN('1-DATA'!AK643)),ROUND(INDEX('1-DATA'!$1:$1048576,IF(OR($B645="STD. DEVIATION",$C$1=1),$A645,$A645+1),COLUMN('1-DATA'!AK643)),IF($B645="STD. DEVIATION",2,$F$1))))</f>
        <v/>
      </c>
      <c r="AM645" s="1" t="str">
        <f>IF(OR($B645="",AM$7=""),"",IF($B645="MEANS",INDEX('1-DATA'!$1:$1048576,$A644-1,COLUMN('1-DATA'!AL643)),ROUND(INDEX('1-DATA'!$1:$1048576,IF(OR($B645="STD. DEVIATION",$C$1=1),$A645,$A645+1),COLUMN('1-DATA'!AL643)),IF($B645="STD. DEVIATION",2,$F$1))))</f>
        <v/>
      </c>
      <c r="AN645" s="1" t="str">
        <f>IF(OR($B645="",AN$7=""),"",IF($B645="MEANS",INDEX('1-DATA'!$1:$1048576,$A644-1,COLUMN('1-DATA'!AM643)),ROUND(INDEX('1-DATA'!$1:$1048576,IF(OR($B645="STD. DEVIATION",$C$1=1),$A645,$A645+1),COLUMN('1-DATA'!AM643)),IF($B645="STD. DEVIATION",2,$F$1))))</f>
        <v/>
      </c>
      <c r="AO645" s="1" t="str">
        <f>IF(OR($B645="",AO$7=""),"",IF($B645="MEANS",INDEX('1-DATA'!$1:$1048576,$A644-1,COLUMN('1-DATA'!AN643)),ROUND(INDEX('1-DATA'!$1:$1048576,IF(OR($B645="STD. DEVIATION",$C$1=1),$A645,$A645+1),COLUMN('1-DATA'!AN643)),IF($B645="STD. DEVIATION",2,$F$1))))</f>
        <v/>
      </c>
      <c r="AP645" s="1" t="str">
        <f>IF(OR($B645="",AP$7=""),"",IF($B645="MEANS",INDEX('1-DATA'!$1:$1048576,$A644-1,COLUMN('1-DATA'!AO643)),ROUND(INDEX('1-DATA'!$1:$1048576,IF(OR($B645="STD. DEVIATION",$C$1=1),$A645,$A645+1),COLUMN('1-DATA'!AO643)),IF($B645="STD. DEVIATION",2,$F$1))))</f>
        <v/>
      </c>
      <c r="AQ645" s="1" t="str">
        <f>IF(OR($B645="",AQ$7=""),"",IF($B645="MEANS",INDEX('1-DATA'!$1:$1048576,$A644-1,COLUMN('1-DATA'!AP643)),ROUND(INDEX('1-DATA'!$1:$1048576,IF(OR($B645="STD. DEVIATION",$C$1=1),$A645,$A645+1),COLUMN('1-DATA'!AP643)),IF($B645="STD. DEVIATION",2,$F$1))))</f>
        <v/>
      </c>
      <c r="AR645" s="1" t="str">
        <f>IF(OR($B645="",AR$7=""),"",IF($B645="MEANS",INDEX('1-DATA'!$1:$1048576,$A644-1,COLUMN('1-DATA'!AQ643)),ROUND(INDEX('1-DATA'!$1:$1048576,IF(OR($B645="STD. DEVIATION",$C$1=1),$A645,$A645+1),COLUMN('1-DATA'!AQ643)),IF($B645="STD. DEVIATION",2,$F$1))))</f>
        <v/>
      </c>
      <c r="AS645" s="1" t="str">
        <f>IF(OR($B645="",AS$7=""),"",IF($B645="MEANS",INDEX('1-DATA'!$1:$1048576,$A644-1,COLUMN('1-DATA'!AR643)),ROUND(INDEX('1-DATA'!$1:$1048576,IF(OR($B645="STD. DEVIATION",$C$1=1),$A645,$A645+1),COLUMN('1-DATA'!AR643)),IF($B645="STD. DEVIATION",2,$F$1))))</f>
        <v/>
      </c>
      <c r="AT645" s="1" t="str">
        <f>IF(OR($B645="",AT$7=""),"",IF($B645="MEANS",INDEX('1-DATA'!$1:$1048576,$A644-1,COLUMN('1-DATA'!AS643)),ROUND(INDEX('1-DATA'!$1:$1048576,IF(OR($B645="STD. DEVIATION",$C$1=1),$A645,$A645+1),COLUMN('1-DATA'!AS643)),IF($B645="STD. DEVIATION",2,$F$1))))</f>
        <v/>
      </c>
      <c r="AU645" s="1" t="str">
        <f>IF(OR($B645="",AU$7=""),"",IF($B645="MEANS",INDEX('1-DATA'!$1:$1048576,$A644-1,COLUMN('1-DATA'!AT643)),ROUND(INDEX('1-DATA'!$1:$1048576,IF(OR($B645="STD. DEVIATION",$C$1=1),$A645,$A645+1),COLUMN('1-DATA'!AT643)),IF($B645="STD. DEVIATION",2,$F$1))))</f>
        <v/>
      </c>
      <c r="AV645" s="1" t="str">
        <f>IF(OR($B645="",AV$7=""),"",IF($B645="MEANS",INDEX('1-DATA'!$1:$1048576,$A644-1,COLUMN('1-DATA'!AU643)),ROUND(INDEX('1-DATA'!$1:$1048576,IF(OR($B645="STD. DEVIATION",$C$1=1),$A645,$A645+1),COLUMN('1-DATA'!AU643)),IF($B645="STD. DEVIATION",2,$F$1))))</f>
        <v/>
      </c>
      <c r="AW645" s="1" t="str">
        <f>IF(OR($B645="",AW$7=""),"",IF($B645="MEANS",INDEX('1-DATA'!$1:$1048576,$A644-1,COLUMN('1-DATA'!AV643)),ROUND(INDEX('1-DATA'!$1:$1048576,IF(OR($B645="STD. DEVIATION",$C$1=1),$A645,$A645+1),COLUMN('1-DATA'!AV643)),IF($B645="STD. DEVIATION",2,$F$1))))</f>
        <v/>
      </c>
      <c r="AX645" s="1" t="str">
        <f>IF(OR($B645="",AX$7=""),"",IF($B645="MEANS",INDEX('1-DATA'!$1:$1048576,$A644-1,COLUMN('1-DATA'!AW643)),ROUND(INDEX('1-DATA'!$1:$1048576,IF(OR($B645="STD. DEVIATION",$C$1=1),$A645,$A645+1),COLUMN('1-DATA'!AW643)),IF($B645="STD. DEVIATION",2,$F$1))))</f>
        <v/>
      </c>
      <c r="AY645" s="1" t="str">
        <f>IF(OR($B645="",AY$7=""),"",IF($B645="MEANS",INDEX('1-DATA'!$1:$1048576,$A644-1,COLUMN('1-DATA'!AX643)),ROUND(INDEX('1-DATA'!$1:$1048576,IF(OR($B645="STD. DEVIATION",$C$1=1),$A645,$A645+1),COLUMN('1-DATA'!AX643)),IF($B645="STD. DEVIATION",2,$F$1))))</f>
        <v/>
      </c>
      <c r="AZ645" s="1" t="str">
        <f>IF(OR($B645="",AZ$7=""),"",IF($B645="MEANS",INDEX('1-DATA'!$1:$1048576,$A644-1,COLUMN('1-DATA'!AY643)),ROUND(INDEX('1-DATA'!$1:$1048576,IF(OR($B645="STD. DEVIATION",$C$1=1),$A645,$A645+1),COLUMN('1-DATA'!AY643)),IF($B645="STD. DEVIATION",2,$F$1))))</f>
        <v/>
      </c>
    </row>
    <row r="646" spans="1:52" x14ac:dyDescent="0.25">
      <c r="A646" s="11">
        <f t="shared" si="10"/>
        <v>1924</v>
      </c>
      <c r="B646" s="1" t="str">
        <f>IF(B645="STD. DEVIATION",INDEX('1-DATA'!$1:$1048576,$A645-1,1),IF(INDEX('1-DATA'!$1:$1048576,$A646,1)&lt;&gt;"",INDEX('1-DATA'!$1:$1048576,$A646,1),""))</f>
        <v/>
      </c>
      <c r="C646" s="1" t="str">
        <f>IF(OR($B646="",C$7=""),"",IF($B646="MEANS",INDEX('1-DATA'!$1:$1048576,$A645-1,COLUMN('1-DATA'!B644)),ROUND(INDEX('1-DATA'!$1:$1048576,IF(OR($B646="STD. DEVIATION",$C$1=1),$A646,$A646+1),COLUMN('1-DATA'!B644)),IF($B646="STD. DEVIATION",2,$F$1))))</f>
        <v/>
      </c>
      <c r="D646" s="1" t="str">
        <f>IF(OR($B646="",D$7=""),"",IF($B646="MEANS",INDEX('1-DATA'!$1:$1048576,$A645-1,COLUMN('1-DATA'!C644)),ROUND(INDEX('1-DATA'!$1:$1048576,IF(OR($B646="STD. DEVIATION",$C$1=1),$A646,$A646+1),COLUMN('1-DATA'!C644)),IF($B646="STD. DEVIATION",2,$F$1))))</f>
        <v/>
      </c>
      <c r="E646" s="1" t="str">
        <f>IF(OR($B646="",E$7=""),"",IF($B646="MEANS",INDEX('1-DATA'!$1:$1048576,$A645-1,COLUMN('1-DATA'!D644)),ROUND(INDEX('1-DATA'!$1:$1048576,IF(OR($B646="STD. DEVIATION",$C$1=1),$A646,$A646+1),COLUMN('1-DATA'!D644)),IF($B646="STD. DEVIATION",2,$F$1))))</f>
        <v/>
      </c>
      <c r="F646" s="1" t="str">
        <f>IF(OR($B646="",F$7=""),"",IF($B646="MEANS",INDEX('1-DATA'!$1:$1048576,$A645-1,COLUMN('1-DATA'!E644)),ROUND(INDEX('1-DATA'!$1:$1048576,IF(OR($B646="STD. DEVIATION",$C$1=1),$A646,$A646+1),COLUMN('1-DATA'!E644)),IF($B646="STD. DEVIATION",2,$F$1))))</f>
        <v/>
      </c>
      <c r="G646" s="1" t="str">
        <f>IF(OR($B646="",G$7=""),"",IF($B646="MEANS",INDEX('1-DATA'!$1:$1048576,$A645-1,COLUMN('1-DATA'!F644)),ROUND(INDEX('1-DATA'!$1:$1048576,IF(OR($B646="STD. DEVIATION",$C$1=1),$A646,$A646+1),COLUMN('1-DATA'!F644)),IF($B646="STD. DEVIATION",2,$F$1))))</f>
        <v/>
      </c>
      <c r="H646" s="1" t="str">
        <f>IF(OR($B646="",H$7=""),"",IF($B646="MEANS",INDEX('1-DATA'!$1:$1048576,$A645-1,COLUMN('1-DATA'!G644)),ROUND(INDEX('1-DATA'!$1:$1048576,IF(OR($B646="STD. DEVIATION",$C$1=1),$A646,$A646+1),COLUMN('1-DATA'!G644)),IF($B646="STD. DEVIATION",2,$F$1))))</f>
        <v/>
      </c>
      <c r="I646" s="1" t="str">
        <f>IF(OR($B646="",I$7=""),"",IF($B646="MEANS",INDEX('1-DATA'!$1:$1048576,$A645-1,COLUMN('1-DATA'!H644)),ROUND(INDEX('1-DATA'!$1:$1048576,IF(OR($B646="STD. DEVIATION",$C$1=1),$A646,$A646+1),COLUMN('1-DATA'!H644)),IF($B646="STD. DEVIATION",2,$F$1))))</f>
        <v/>
      </c>
      <c r="J646" s="1" t="str">
        <f>IF(OR($B646="",J$7=""),"",IF($B646="MEANS",INDEX('1-DATA'!$1:$1048576,$A645-1,COLUMN('1-DATA'!I644)),ROUND(INDEX('1-DATA'!$1:$1048576,IF(OR($B646="STD. DEVIATION",$C$1=1),$A646,$A646+1),COLUMN('1-DATA'!I644)),IF($B646="STD. DEVIATION",2,$F$1))))</f>
        <v/>
      </c>
      <c r="K646" s="1" t="str">
        <f>IF(OR($B646="",K$7=""),"",IF($B646="MEANS",INDEX('1-DATA'!$1:$1048576,$A645-1,COLUMN('1-DATA'!J644)),ROUND(INDEX('1-DATA'!$1:$1048576,IF(OR($B646="STD. DEVIATION",$C$1=1),$A646,$A646+1),COLUMN('1-DATA'!J644)),IF($B646="STD. DEVIATION",2,$F$1))))</f>
        <v/>
      </c>
      <c r="L646" s="1" t="str">
        <f>IF(OR($B646="",L$7=""),"",IF($B646="MEANS",INDEX('1-DATA'!$1:$1048576,$A645-1,COLUMN('1-DATA'!K644)),ROUND(INDEX('1-DATA'!$1:$1048576,IF(OR($B646="STD. DEVIATION",$C$1=1),$A646,$A646+1),COLUMN('1-DATA'!K644)),IF($B646="STD. DEVIATION",2,$F$1))))</f>
        <v/>
      </c>
      <c r="M646" s="1" t="str">
        <f>IF(OR($B646="",M$7=""),"",IF($B646="MEANS",INDEX('1-DATA'!$1:$1048576,$A645-1,COLUMN('1-DATA'!L644)),ROUND(INDEX('1-DATA'!$1:$1048576,IF(OR($B646="STD. DEVIATION",$C$1=1),$A646,$A646+1),COLUMN('1-DATA'!L644)),IF($B646="STD. DEVIATION",2,$F$1))))</f>
        <v/>
      </c>
      <c r="N646" s="1" t="str">
        <f>IF(OR($B646="",N$7=""),"",IF($B646="MEANS",INDEX('1-DATA'!$1:$1048576,$A645-1,COLUMN('1-DATA'!M644)),ROUND(INDEX('1-DATA'!$1:$1048576,IF(OR($B646="STD. DEVIATION",$C$1=1),$A646,$A646+1),COLUMN('1-DATA'!M644)),IF($B646="STD. DEVIATION",2,$F$1))))</f>
        <v/>
      </c>
      <c r="O646" s="1" t="str">
        <f>IF(OR($B646="",O$7=""),"",IF($B646="MEANS",INDEX('1-DATA'!$1:$1048576,$A645-1,COLUMN('1-DATA'!N644)),ROUND(INDEX('1-DATA'!$1:$1048576,IF(OR($B646="STD. DEVIATION",$C$1=1),$A646,$A646+1),COLUMN('1-DATA'!N644)),IF($B646="STD. DEVIATION",2,$F$1))))</f>
        <v/>
      </c>
      <c r="P646" s="1" t="str">
        <f>IF(OR($B646="",P$7=""),"",IF($B646="MEANS",INDEX('1-DATA'!$1:$1048576,$A645-1,COLUMN('1-DATA'!O644)),ROUND(INDEX('1-DATA'!$1:$1048576,IF(OR($B646="STD. DEVIATION",$C$1=1),$A646,$A646+1),COLUMN('1-DATA'!O644)),IF($B646="STD. DEVIATION",2,$F$1))))</f>
        <v/>
      </c>
      <c r="Q646" s="1" t="str">
        <f>IF(OR($B646="",Q$7=""),"",IF($B646="MEANS",INDEX('1-DATA'!$1:$1048576,$A645-1,COLUMN('1-DATA'!P644)),ROUND(INDEX('1-DATA'!$1:$1048576,IF(OR($B646="STD. DEVIATION",$C$1=1),$A646,$A646+1),COLUMN('1-DATA'!P644)),IF($B646="STD. DEVIATION",2,$F$1))))</f>
        <v/>
      </c>
      <c r="R646" s="1" t="str">
        <f>IF(OR($B646="",R$7=""),"",IF($B646="MEANS",INDEX('1-DATA'!$1:$1048576,$A645-1,COLUMN('1-DATA'!Q644)),ROUND(INDEX('1-DATA'!$1:$1048576,IF(OR($B646="STD. DEVIATION",$C$1=1),$A646,$A646+1),COLUMN('1-DATA'!Q644)),IF($B646="STD. DEVIATION",2,$F$1))))</f>
        <v/>
      </c>
      <c r="S646" s="1" t="str">
        <f>IF(OR($B646="",S$7=""),"",IF($B646="MEANS",INDEX('1-DATA'!$1:$1048576,$A645-1,COLUMN('1-DATA'!R644)),ROUND(INDEX('1-DATA'!$1:$1048576,IF(OR($B646="STD. DEVIATION",$C$1=1),$A646,$A646+1),COLUMN('1-DATA'!R644)),IF($B646="STD. DEVIATION",2,$F$1))))</f>
        <v/>
      </c>
      <c r="T646" s="1" t="str">
        <f>IF(OR($B646="",T$7=""),"",IF($B646="MEANS",INDEX('1-DATA'!$1:$1048576,$A645-1,COLUMN('1-DATA'!S644)),ROUND(INDEX('1-DATA'!$1:$1048576,IF(OR($B646="STD. DEVIATION",$C$1=1),$A646,$A646+1),COLUMN('1-DATA'!S644)),IF($B646="STD. DEVIATION",2,$F$1))))</f>
        <v/>
      </c>
      <c r="U646" s="1" t="str">
        <f>IF(OR($B646="",U$7=""),"",IF($B646="MEANS",INDEX('1-DATA'!$1:$1048576,$A645-1,COLUMN('1-DATA'!T644)),ROUND(INDEX('1-DATA'!$1:$1048576,IF(OR($B646="STD. DEVIATION",$C$1=1),$A646,$A646+1),COLUMN('1-DATA'!T644)),IF($B646="STD. DEVIATION",2,$F$1))))</f>
        <v/>
      </c>
      <c r="V646" s="1" t="str">
        <f>IF(OR($B646="",V$7=""),"",IF($B646="MEANS",INDEX('1-DATA'!$1:$1048576,$A645-1,COLUMN('1-DATA'!U644)),ROUND(INDEX('1-DATA'!$1:$1048576,IF(OR($B646="STD. DEVIATION",$C$1=1),$A646,$A646+1),COLUMN('1-DATA'!U644)),IF($B646="STD. DEVIATION",2,$F$1))))</f>
        <v/>
      </c>
      <c r="W646" s="1" t="str">
        <f>IF(OR($B646="",W$7=""),"",IF($B646="MEANS",INDEX('1-DATA'!$1:$1048576,$A645-1,COLUMN('1-DATA'!V644)),ROUND(INDEX('1-DATA'!$1:$1048576,IF(OR($B646="STD. DEVIATION",$C$1=1),$A646,$A646+1),COLUMN('1-DATA'!V644)),IF($B646="STD. DEVIATION",2,$F$1))))</f>
        <v/>
      </c>
      <c r="X646" s="1" t="str">
        <f>IF(OR($B646="",X$7=""),"",IF($B646="MEANS",INDEX('1-DATA'!$1:$1048576,$A645-1,COLUMN('1-DATA'!W644)),ROUND(INDEX('1-DATA'!$1:$1048576,IF(OR($B646="STD. DEVIATION",$C$1=1),$A646,$A646+1),COLUMN('1-DATA'!W644)),IF($B646="STD. DEVIATION",2,$F$1))))</f>
        <v/>
      </c>
      <c r="Y646" s="1" t="str">
        <f>IF(OR($B646="",Y$7=""),"",IF($B646="MEANS",INDEX('1-DATA'!$1:$1048576,$A645-1,COLUMN('1-DATA'!X644)),ROUND(INDEX('1-DATA'!$1:$1048576,IF(OR($B646="STD. DEVIATION",$C$1=1),$A646,$A646+1),COLUMN('1-DATA'!X644)),IF($B646="STD. DEVIATION",2,$F$1))))</f>
        <v/>
      </c>
      <c r="Z646" s="1" t="str">
        <f>IF(OR($B646="",Z$7=""),"",IF($B646="MEANS",INDEX('1-DATA'!$1:$1048576,$A645-1,COLUMN('1-DATA'!Y644)),ROUND(INDEX('1-DATA'!$1:$1048576,IF(OR($B646="STD. DEVIATION",$C$1=1),$A646,$A646+1),COLUMN('1-DATA'!Y644)),IF($B646="STD. DEVIATION",2,$F$1))))</f>
        <v/>
      </c>
      <c r="AA646" s="1" t="str">
        <f>IF(OR($B646="",AA$7=""),"",IF($B646="MEANS",INDEX('1-DATA'!$1:$1048576,$A645-1,COLUMN('1-DATA'!Z644)),ROUND(INDEX('1-DATA'!$1:$1048576,IF(OR($B646="STD. DEVIATION",$C$1=1),$A646,$A646+1),COLUMN('1-DATA'!Z644)),IF($B646="STD. DEVIATION",2,$F$1))))</f>
        <v/>
      </c>
      <c r="AB646" s="1" t="str">
        <f>IF(OR($B646="",AB$7=""),"",IF($B646="MEANS",INDEX('1-DATA'!$1:$1048576,$A645-1,COLUMN('1-DATA'!AA644)),ROUND(INDEX('1-DATA'!$1:$1048576,IF(OR($B646="STD. DEVIATION",$C$1=1),$A646,$A646+1),COLUMN('1-DATA'!AA644)),IF($B646="STD. DEVIATION",2,$F$1))))</f>
        <v/>
      </c>
      <c r="AC646" s="1" t="str">
        <f>IF(OR($B646="",AC$7=""),"",IF($B646="MEANS",INDEX('1-DATA'!$1:$1048576,$A645-1,COLUMN('1-DATA'!AB644)),ROUND(INDEX('1-DATA'!$1:$1048576,IF(OR($B646="STD. DEVIATION",$C$1=1),$A646,$A646+1),COLUMN('1-DATA'!AB644)),IF($B646="STD. DEVIATION",2,$F$1))))</f>
        <v/>
      </c>
      <c r="AD646" s="1" t="str">
        <f>IF(OR($B646="",AD$7=""),"",IF($B646="MEANS",INDEX('1-DATA'!$1:$1048576,$A645-1,COLUMN('1-DATA'!AC644)),ROUND(INDEX('1-DATA'!$1:$1048576,IF(OR($B646="STD. DEVIATION",$C$1=1),$A646,$A646+1),COLUMN('1-DATA'!AC644)),IF($B646="STD. DEVIATION",2,$F$1))))</f>
        <v/>
      </c>
      <c r="AE646" s="1" t="str">
        <f>IF(OR($B646="",AE$7=""),"",IF($B646="MEANS",INDEX('1-DATA'!$1:$1048576,$A645-1,COLUMN('1-DATA'!AD644)),ROUND(INDEX('1-DATA'!$1:$1048576,IF(OR($B646="STD. DEVIATION",$C$1=1),$A646,$A646+1),COLUMN('1-DATA'!AD644)),IF($B646="STD. DEVIATION",2,$F$1))))</f>
        <v/>
      </c>
      <c r="AF646" s="1" t="str">
        <f>IF(OR($B646="",AF$7=""),"",IF($B646="MEANS",INDEX('1-DATA'!$1:$1048576,$A645-1,COLUMN('1-DATA'!AE644)),ROUND(INDEX('1-DATA'!$1:$1048576,IF(OR($B646="STD. DEVIATION",$C$1=1),$A646,$A646+1),COLUMN('1-DATA'!AE644)),IF($B646="STD. DEVIATION",2,$F$1))))</f>
        <v/>
      </c>
      <c r="AG646" s="1" t="str">
        <f>IF(OR($B646="",AG$7=""),"",IF($B646="MEANS",INDEX('1-DATA'!$1:$1048576,$A645-1,COLUMN('1-DATA'!AF644)),ROUND(INDEX('1-DATA'!$1:$1048576,IF(OR($B646="STD. DEVIATION",$C$1=1),$A646,$A646+1),COLUMN('1-DATA'!AF644)),IF($B646="STD. DEVIATION",2,$F$1))))</f>
        <v/>
      </c>
      <c r="AH646" s="1" t="str">
        <f>IF(OR($B646="",AH$7=""),"",IF($B646="MEANS",INDEX('1-DATA'!$1:$1048576,$A645-1,COLUMN('1-DATA'!AG644)),ROUND(INDEX('1-DATA'!$1:$1048576,IF(OR($B646="STD. DEVIATION",$C$1=1),$A646,$A646+1),COLUMN('1-DATA'!AG644)),IF($B646="STD. DEVIATION",2,$F$1))))</f>
        <v/>
      </c>
      <c r="AI646" s="1" t="str">
        <f>IF(OR($B646="",AI$7=""),"",IF($B646="MEANS",INDEX('1-DATA'!$1:$1048576,$A645-1,COLUMN('1-DATA'!AH644)),ROUND(INDEX('1-DATA'!$1:$1048576,IF(OR($B646="STD. DEVIATION",$C$1=1),$A646,$A646+1),COLUMN('1-DATA'!AH644)),IF($B646="STD. DEVIATION",2,$F$1))))</f>
        <v/>
      </c>
      <c r="AJ646" s="1" t="str">
        <f>IF(OR($B646="",AJ$7=""),"",IF($B646="MEANS",INDEX('1-DATA'!$1:$1048576,$A645-1,COLUMN('1-DATA'!AI644)),ROUND(INDEX('1-DATA'!$1:$1048576,IF(OR($B646="STD. DEVIATION",$C$1=1),$A646,$A646+1),COLUMN('1-DATA'!AI644)),IF($B646="STD. DEVIATION",2,$F$1))))</f>
        <v/>
      </c>
      <c r="AK646" s="1" t="str">
        <f>IF(OR($B646="",AK$7=""),"",IF($B646="MEANS",INDEX('1-DATA'!$1:$1048576,$A645-1,COLUMN('1-DATA'!AJ644)),ROUND(INDEX('1-DATA'!$1:$1048576,IF(OR($B646="STD. DEVIATION",$C$1=1),$A646,$A646+1),COLUMN('1-DATA'!AJ644)),IF($B646="STD. DEVIATION",2,$F$1))))</f>
        <v/>
      </c>
      <c r="AL646" s="1" t="str">
        <f>IF(OR($B646="",AL$7=""),"",IF($B646="MEANS",INDEX('1-DATA'!$1:$1048576,$A645-1,COLUMN('1-DATA'!AK644)),ROUND(INDEX('1-DATA'!$1:$1048576,IF(OR($B646="STD. DEVIATION",$C$1=1),$A646,$A646+1),COLUMN('1-DATA'!AK644)),IF($B646="STD. DEVIATION",2,$F$1))))</f>
        <v/>
      </c>
      <c r="AM646" s="1" t="str">
        <f>IF(OR($B646="",AM$7=""),"",IF($B646="MEANS",INDEX('1-DATA'!$1:$1048576,$A645-1,COLUMN('1-DATA'!AL644)),ROUND(INDEX('1-DATA'!$1:$1048576,IF(OR($B646="STD. DEVIATION",$C$1=1),$A646,$A646+1),COLUMN('1-DATA'!AL644)),IF($B646="STD. DEVIATION",2,$F$1))))</f>
        <v/>
      </c>
      <c r="AN646" s="1" t="str">
        <f>IF(OR($B646="",AN$7=""),"",IF($B646="MEANS",INDEX('1-DATA'!$1:$1048576,$A645-1,COLUMN('1-DATA'!AM644)),ROUND(INDEX('1-DATA'!$1:$1048576,IF(OR($B646="STD. DEVIATION",$C$1=1),$A646,$A646+1),COLUMN('1-DATA'!AM644)),IF($B646="STD. DEVIATION",2,$F$1))))</f>
        <v/>
      </c>
      <c r="AO646" s="1" t="str">
        <f>IF(OR($B646="",AO$7=""),"",IF($B646="MEANS",INDEX('1-DATA'!$1:$1048576,$A645-1,COLUMN('1-DATA'!AN644)),ROUND(INDEX('1-DATA'!$1:$1048576,IF(OR($B646="STD. DEVIATION",$C$1=1),$A646,$A646+1),COLUMN('1-DATA'!AN644)),IF($B646="STD. DEVIATION",2,$F$1))))</f>
        <v/>
      </c>
      <c r="AP646" s="1" t="str">
        <f>IF(OR($B646="",AP$7=""),"",IF($B646="MEANS",INDEX('1-DATA'!$1:$1048576,$A645-1,COLUMN('1-DATA'!AO644)),ROUND(INDEX('1-DATA'!$1:$1048576,IF(OR($B646="STD. DEVIATION",$C$1=1),$A646,$A646+1),COLUMN('1-DATA'!AO644)),IF($B646="STD. DEVIATION",2,$F$1))))</f>
        <v/>
      </c>
      <c r="AQ646" s="1" t="str">
        <f>IF(OR($B646="",AQ$7=""),"",IF($B646="MEANS",INDEX('1-DATA'!$1:$1048576,$A645-1,COLUMN('1-DATA'!AP644)),ROUND(INDEX('1-DATA'!$1:$1048576,IF(OR($B646="STD. DEVIATION",$C$1=1),$A646,$A646+1),COLUMN('1-DATA'!AP644)),IF($B646="STD. DEVIATION",2,$F$1))))</f>
        <v/>
      </c>
      <c r="AR646" s="1" t="str">
        <f>IF(OR($B646="",AR$7=""),"",IF($B646="MEANS",INDEX('1-DATA'!$1:$1048576,$A645-1,COLUMN('1-DATA'!AQ644)),ROUND(INDEX('1-DATA'!$1:$1048576,IF(OR($B646="STD. DEVIATION",$C$1=1),$A646,$A646+1),COLUMN('1-DATA'!AQ644)),IF($B646="STD. DEVIATION",2,$F$1))))</f>
        <v/>
      </c>
      <c r="AS646" s="1" t="str">
        <f>IF(OR($B646="",AS$7=""),"",IF($B646="MEANS",INDEX('1-DATA'!$1:$1048576,$A645-1,COLUMN('1-DATA'!AR644)),ROUND(INDEX('1-DATA'!$1:$1048576,IF(OR($B646="STD. DEVIATION",$C$1=1),$A646,$A646+1),COLUMN('1-DATA'!AR644)),IF($B646="STD. DEVIATION",2,$F$1))))</f>
        <v/>
      </c>
      <c r="AT646" s="1" t="str">
        <f>IF(OR($B646="",AT$7=""),"",IF($B646="MEANS",INDEX('1-DATA'!$1:$1048576,$A645-1,COLUMN('1-DATA'!AS644)),ROUND(INDEX('1-DATA'!$1:$1048576,IF(OR($B646="STD. DEVIATION",$C$1=1),$A646,$A646+1),COLUMN('1-DATA'!AS644)),IF($B646="STD. DEVIATION",2,$F$1))))</f>
        <v/>
      </c>
      <c r="AU646" s="1" t="str">
        <f>IF(OR($B646="",AU$7=""),"",IF($B646="MEANS",INDEX('1-DATA'!$1:$1048576,$A645-1,COLUMN('1-DATA'!AT644)),ROUND(INDEX('1-DATA'!$1:$1048576,IF(OR($B646="STD. DEVIATION",$C$1=1),$A646,$A646+1),COLUMN('1-DATA'!AT644)),IF($B646="STD. DEVIATION",2,$F$1))))</f>
        <v/>
      </c>
      <c r="AV646" s="1" t="str">
        <f>IF(OR($B646="",AV$7=""),"",IF($B646="MEANS",INDEX('1-DATA'!$1:$1048576,$A645-1,COLUMN('1-DATA'!AU644)),ROUND(INDEX('1-DATA'!$1:$1048576,IF(OR($B646="STD. DEVIATION",$C$1=1),$A646,$A646+1),COLUMN('1-DATA'!AU644)),IF($B646="STD. DEVIATION",2,$F$1))))</f>
        <v/>
      </c>
      <c r="AW646" s="1" t="str">
        <f>IF(OR($B646="",AW$7=""),"",IF($B646="MEANS",INDEX('1-DATA'!$1:$1048576,$A645-1,COLUMN('1-DATA'!AV644)),ROUND(INDEX('1-DATA'!$1:$1048576,IF(OR($B646="STD. DEVIATION",$C$1=1),$A646,$A646+1),COLUMN('1-DATA'!AV644)),IF($B646="STD. DEVIATION",2,$F$1))))</f>
        <v/>
      </c>
      <c r="AX646" s="1" t="str">
        <f>IF(OR($B646="",AX$7=""),"",IF($B646="MEANS",INDEX('1-DATA'!$1:$1048576,$A645-1,COLUMN('1-DATA'!AW644)),ROUND(INDEX('1-DATA'!$1:$1048576,IF(OR($B646="STD. DEVIATION",$C$1=1),$A646,$A646+1),COLUMN('1-DATA'!AW644)),IF($B646="STD. DEVIATION",2,$F$1))))</f>
        <v/>
      </c>
      <c r="AY646" s="1" t="str">
        <f>IF(OR($B646="",AY$7=""),"",IF($B646="MEANS",INDEX('1-DATA'!$1:$1048576,$A645-1,COLUMN('1-DATA'!AX644)),ROUND(INDEX('1-DATA'!$1:$1048576,IF(OR($B646="STD. DEVIATION",$C$1=1),$A646,$A646+1),COLUMN('1-DATA'!AX644)),IF($B646="STD. DEVIATION",2,$F$1))))</f>
        <v/>
      </c>
      <c r="AZ646" s="1" t="str">
        <f>IF(OR($B646="",AZ$7=""),"",IF($B646="MEANS",INDEX('1-DATA'!$1:$1048576,$A645-1,COLUMN('1-DATA'!AY644)),ROUND(INDEX('1-DATA'!$1:$1048576,IF(OR($B646="STD. DEVIATION",$C$1=1),$A646,$A646+1),COLUMN('1-DATA'!AY644)),IF($B646="STD. DEVIATION",2,$F$1))))</f>
        <v/>
      </c>
    </row>
    <row r="647" spans="1:52" x14ac:dyDescent="0.25">
      <c r="A647" s="11">
        <f t="shared" si="10"/>
        <v>1927</v>
      </c>
      <c r="B647" s="1" t="str">
        <f>IF(B646="STD. DEVIATION",INDEX('1-DATA'!$1:$1048576,$A646-1,1),IF(INDEX('1-DATA'!$1:$1048576,$A647,1)&lt;&gt;"",INDEX('1-DATA'!$1:$1048576,$A647,1),""))</f>
        <v/>
      </c>
      <c r="C647" s="1" t="str">
        <f>IF(OR($B647="",C$7=""),"",IF($B647="MEANS",INDEX('1-DATA'!$1:$1048576,$A646-1,COLUMN('1-DATA'!B645)),ROUND(INDEX('1-DATA'!$1:$1048576,IF(OR($B647="STD. DEVIATION",$C$1=1),$A647,$A647+1),COLUMN('1-DATA'!B645)),IF($B647="STD. DEVIATION",2,$F$1))))</f>
        <v/>
      </c>
      <c r="D647" s="1" t="str">
        <f>IF(OR($B647="",D$7=""),"",IF($B647="MEANS",INDEX('1-DATA'!$1:$1048576,$A646-1,COLUMN('1-DATA'!C645)),ROUND(INDEX('1-DATA'!$1:$1048576,IF(OR($B647="STD. DEVIATION",$C$1=1),$A647,$A647+1),COLUMN('1-DATA'!C645)),IF($B647="STD. DEVIATION",2,$F$1))))</f>
        <v/>
      </c>
      <c r="E647" s="1" t="str">
        <f>IF(OR($B647="",E$7=""),"",IF($B647="MEANS",INDEX('1-DATA'!$1:$1048576,$A646-1,COLUMN('1-DATA'!D645)),ROUND(INDEX('1-DATA'!$1:$1048576,IF(OR($B647="STD. DEVIATION",$C$1=1),$A647,$A647+1),COLUMN('1-DATA'!D645)),IF($B647="STD. DEVIATION",2,$F$1))))</f>
        <v/>
      </c>
      <c r="F647" s="1" t="str">
        <f>IF(OR($B647="",F$7=""),"",IF($B647="MEANS",INDEX('1-DATA'!$1:$1048576,$A646-1,COLUMN('1-DATA'!E645)),ROUND(INDEX('1-DATA'!$1:$1048576,IF(OR($B647="STD. DEVIATION",$C$1=1),$A647,$A647+1),COLUMN('1-DATA'!E645)),IF($B647="STD. DEVIATION",2,$F$1))))</f>
        <v/>
      </c>
      <c r="G647" s="1" t="str">
        <f>IF(OR($B647="",G$7=""),"",IF($B647="MEANS",INDEX('1-DATA'!$1:$1048576,$A646-1,COLUMN('1-DATA'!F645)),ROUND(INDEX('1-DATA'!$1:$1048576,IF(OR($B647="STD. DEVIATION",$C$1=1),$A647,$A647+1),COLUMN('1-DATA'!F645)),IF($B647="STD. DEVIATION",2,$F$1))))</f>
        <v/>
      </c>
      <c r="H647" s="1" t="str">
        <f>IF(OR($B647="",H$7=""),"",IF($B647="MEANS",INDEX('1-DATA'!$1:$1048576,$A646-1,COLUMN('1-DATA'!G645)),ROUND(INDEX('1-DATA'!$1:$1048576,IF(OR($B647="STD. DEVIATION",$C$1=1),$A647,$A647+1),COLUMN('1-DATA'!G645)),IF($B647="STD. DEVIATION",2,$F$1))))</f>
        <v/>
      </c>
      <c r="I647" s="1" t="str">
        <f>IF(OR($B647="",I$7=""),"",IF($B647="MEANS",INDEX('1-DATA'!$1:$1048576,$A646-1,COLUMN('1-DATA'!H645)),ROUND(INDEX('1-DATA'!$1:$1048576,IF(OR($B647="STD. DEVIATION",$C$1=1),$A647,$A647+1),COLUMN('1-DATA'!H645)),IF($B647="STD. DEVIATION",2,$F$1))))</f>
        <v/>
      </c>
      <c r="J647" s="1" t="str">
        <f>IF(OR($B647="",J$7=""),"",IF($B647="MEANS",INDEX('1-DATA'!$1:$1048576,$A646-1,COLUMN('1-DATA'!I645)),ROUND(INDEX('1-DATA'!$1:$1048576,IF(OR($B647="STD. DEVIATION",$C$1=1),$A647,$A647+1),COLUMN('1-DATA'!I645)),IF($B647="STD. DEVIATION",2,$F$1))))</f>
        <v/>
      </c>
      <c r="K647" s="1" t="str">
        <f>IF(OR($B647="",K$7=""),"",IF($B647="MEANS",INDEX('1-DATA'!$1:$1048576,$A646-1,COLUMN('1-DATA'!J645)),ROUND(INDEX('1-DATA'!$1:$1048576,IF(OR($B647="STD. DEVIATION",$C$1=1),$A647,$A647+1),COLUMN('1-DATA'!J645)),IF($B647="STD. DEVIATION",2,$F$1))))</f>
        <v/>
      </c>
      <c r="L647" s="1" t="str">
        <f>IF(OR($B647="",L$7=""),"",IF($B647="MEANS",INDEX('1-DATA'!$1:$1048576,$A646-1,COLUMN('1-DATA'!K645)),ROUND(INDEX('1-DATA'!$1:$1048576,IF(OR($B647="STD. DEVIATION",$C$1=1),$A647,$A647+1),COLUMN('1-DATA'!K645)),IF($B647="STD. DEVIATION",2,$F$1))))</f>
        <v/>
      </c>
      <c r="M647" s="1" t="str">
        <f>IF(OR($B647="",M$7=""),"",IF($B647="MEANS",INDEX('1-DATA'!$1:$1048576,$A646-1,COLUMN('1-DATA'!L645)),ROUND(INDEX('1-DATA'!$1:$1048576,IF(OR($B647="STD. DEVIATION",$C$1=1),$A647,$A647+1),COLUMN('1-DATA'!L645)),IF($B647="STD. DEVIATION",2,$F$1))))</f>
        <v/>
      </c>
      <c r="N647" s="1" t="str">
        <f>IF(OR($B647="",N$7=""),"",IF($B647="MEANS",INDEX('1-DATA'!$1:$1048576,$A646-1,COLUMN('1-DATA'!M645)),ROUND(INDEX('1-DATA'!$1:$1048576,IF(OR($B647="STD. DEVIATION",$C$1=1),$A647,$A647+1),COLUMN('1-DATA'!M645)),IF($B647="STD. DEVIATION",2,$F$1))))</f>
        <v/>
      </c>
      <c r="O647" s="1" t="str">
        <f>IF(OR($B647="",O$7=""),"",IF($B647="MEANS",INDEX('1-DATA'!$1:$1048576,$A646-1,COLUMN('1-DATA'!N645)),ROUND(INDEX('1-DATA'!$1:$1048576,IF(OR($B647="STD. DEVIATION",$C$1=1),$A647,$A647+1),COLUMN('1-DATA'!N645)),IF($B647="STD. DEVIATION",2,$F$1))))</f>
        <v/>
      </c>
      <c r="P647" s="1" t="str">
        <f>IF(OR($B647="",P$7=""),"",IF($B647="MEANS",INDEX('1-DATA'!$1:$1048576,$A646-1,COLUMN('1-DATA'!O645)),ROUND(INDEX('1-DATA'!$1:$1048576,IF(OR($B647="STD. DEVIATION",$C$1=1),$A647,$A647+1),COLUMN('1-DATA'!O645)),IF($B647="STD. DEVIATION",2,$F$1))))</f>
        <v/>
      </c>
      <c r="Q647" s="1" t="str">
        <f>IF(OR($B647="",Q$7=""),"",IF($B647="MEANS",INDEX('1-DATA'!$1:$1048576,$A646-1,COLUMN('1-DATA'!P645)),ROUND(INDEX('1-DATA'!$1:$1048576,IF(OR($B647="STD. DEVIATION",$C$1=1),$A647,$A647+1),COLUMN('1-DATA'!P645)),IF($B647="STD. DEVIATION",2,$F$1))))</f>
        <v/>
      </c>
      <c r="R647" s="1" t="str">
        <f>IF(OR($B647="",R$7=""),"",IF($B647="MEANS",INDEX('1-DATA'!$1:$1048576,$A646-1,COLUMN('1-DATA'!Q645)),ROUND(INDEX('1-DATA'!$1:$1048576,IF(OR($B647="STD. DEVIATION",$C$1=1),$A647,$A647+1),COLUMN('1-DATA'!Q645)),IF($B647="STD. DEVIATION",2,$F$1))))</f>
        <v/>
      </c>
      <c r="S647" s="1" t="str">
        <f>IF(OR($B647="",S$7=""),"",IF($B647="MEANS",INDEX('1-DATA'!$1:$1048576,$A646-1,COLUMN('1-DATA'!R645)),ROUND(INDEX('1-DATA'!$1:$1048576,IF(OR($B647="STD. DEVIATION",$C$1=1),$A647,$A647+1),COLUMN('1-DATA'!R645)),IF($B647="STD. DEVIATION",2,$F$1))))</f>
        <v/>
      </c>
      <c r="T647" s="1" t="str">
        <f>IF(OR($B647="",T$7=""),"",IF($B647="MEANS",INDEX('1-DATA'!$1:$1048576,$A646-1,COLUMN('1-DATA'!S645)),ROUND(INDEX('1-DATA'!$1:$1048576,IF(OR($B647="STD. DEVIATION",$C$1=1),$A647,$A647+1),COLUMN('1-DATA'!S645)),IF($B647="STD. DEVIATION",2,$F$1))))</f>
        <v/>
      </c>
      <c r="U647" s="1" t="str">
        <f>IF(OR($B647="",U$7=""),"",IF($B647="MEANS",INDEX('1-DATA'!$1:$1048576,$A646-1,COLUMN('1-DATA'!T645)),ROUND(INDEX('1-DATA'!$1:$1048576,IF(OR($B647="STD. DEVIATION",$C$1=1),$A647,$A647+1),COLUMN('1-DATA'!T645)),IF($B647="STD. DEVIATION",2,$F$1))))</f>
        <v/>
      </c>
      <c r="V647" s="1" t="str">
        <f>IF(OR($B647="",V$7=""),"",IF($B647="MEANS",INDEX('1-DATA'!$1:$1048576,$A646-1,COLUMN('1-DATA'!U645)),ROUND(INDEX('1-DATA'!$1:$1048576,IF(OR($B647="STD. DEVIATION",$C$1=1),$A647,$A647+1),COLUMN('1-DATA'!U645)),IF($B647="STD. DEVIATION",2,$F$1))))</f>
        <v/>
      </c>
      <c r="W647" s="1" t="str">
        <f>IF(OR($B647="",W$7=""),"",IF($B647="MEANS",INDEX('1-DATA'!$1:$1048576,$A646-1,COLUMN('1-DATA'!V645)),ROUND(INDEX('1-DATA'!$1:$1048576,IF(OR($B647="STD. DEVIATION",$C$1=1),$A647,$A647+1),COLUMN('1-DATA'!V645)),IF($B647="STD. DEVIATION",2,$F$1))))</f>
        <v/>
      </c>
      <c r="X647" s="1" t="str">
        <f>IF(OR($B647="",X$7=""),"",IF($B647="MEANS",INDEX('1-DATA'!$1:$1048576,$A646-1,COLUMN('1-DATA'!W645)),ROUND(INDEX('1-DATA'!$1:$1048576,IF(OR($B647="STD. DEVIATION",$C$1=1),$A647,$A647+1),COLUMN('1-DATA'!W645)),IF($B647="STD. DEVIATION",2,$F$1))))</f>
        <v/>
      </c>
      <c r="Y647" s="1" t="str">
        <f>IF(OR($B647="",Y$7=""),"",IF($B647="MEANS",INDEX('1-DATA'!$1:$1048576,$A646-1,COLUMN('1-DATA'!X645)),ROUND(INDEX('1-DATA'!$1:$1048576,IF(OR($B647="STD. DEVIATION",$C$1=1),$A647,$A647+1),COLUMN('1-DATA'!X645)),IF($B647="STD. DEVIATION",2,$F$1))))</f>
        <v/>
      </c>
      <c r="Z647" s="1" t="str">
        <f>IF(OR($B647="",Z$7=""),"",IF($B647="MEANS",INDEX('1-DATA'!$1:$1048576,$A646-1,COLUMN('1-DATA'!Y645)),ROUND(INDEX('1-DATA'!$1:$1048576,IF(OR($B647="STD. DEVIATION",$C$1=1),$A647,$A647+1),COLUMN('1-DATA'!Y645)),IF($B647="STD. DEVIATION",2,$F$1))))</f>
        <v/>
      </c>
      <c r="AA647" s="1" t="str">
        <f>IF(OR($B647="",AA$7=""),"",IF($B647="MEANS",INDEX('1-DATA'!$1:$1048576,$A646-1,COLUMN('1-DATA'!Z645)),ROUND(INDEX('1-DATA'!$1:$1048576,IF(OR($B647="STD. DEVIATION",$C$1=1),$A647,$A647+1),COLUMN('1-DATA'!Z645)),IF($B647="STD. DEVIATION",2,$F$1))))</f>
        <v/>
      </c>
      <c r="AB647" s="1" t="str">
        <f>IF(OR($B647="",AB$7=""),"",IF($B647="MEANS",INDEX('1-DATA'!$1:$1048576,$A646-1,COLUMN('1-DATA'!AA645)),ROUND(INDEX('1-DATA'!$1:$1048576,IF(OR($B647="STD. DEVIATION",$C$1=1),$A647,$A647+1),COLUMN('1-DATA'!AA645)),IF($B647="STD. DEVIATION",2,$F$1))))</f>
        <v/>
      </c>
      <c r="AC647" s="1" t="str">
        <f>IF(OR($B647="",AC$7=""),"",IF($B647="MEANS",INDEX('1-DATA'!$1:$1048576,$A646-1,COLUMN('1-DATA'!AB645)),ROUND(INDEX('1-DATA'!$1:$1048576,IF(OR($B647="STD. DEVIATION",$C$1=1),$A647,$A647+1),COLUMN('1-DATA'!AB645)),IF($B647="STD. DEVIATION",2,$F$1))))</f>
        <v/>
      </c>
      <c r="AD647" s="1" t="str">
        <f>IF(OR($B647="",AD$7=""),"",IF($B647="MEANS",INDEX('1-DATA'!$1:$1048576,$A646-1,COLUMN('1-DATA'!AC645)),ROUND(INDEX('1-DATA'!$1:$1048576,IF(OR($B647="STD. DEVIATION",$C$1=1),$A647,$A647+1),COLUMN('1-DATA'!AC645)),IF($B647="STD. DEVIATION",2,$F$1))))</f>
        <v/>
      </c>
      <c r="AE647" s="1" t="str">
        <f>IF(OR($B647="",AE$7=""),"",IF($B647="MEANS",INDEX('1-DATA'!$1:$1048576,$A646-1,COLUMN('1-DATA'!AD645)),ROUND(INDEX('1-DATA'!$1:$1048576,IF(OR($B647="STD. DEVIATION",$C$1=1),$A647,$A647+1),COLUMN('1-DATA'!AD645)),IF($B647="STD. DEVIATION",2,$F$1))))</f>
        <v/>
      </c>
      <c r="AF647" s="1" t="str">
        <f>IF(OR($B647="",AF$7=""),"",IF($B647="MEANS",INDEX('1-DATA'!$1:$1048576,$A646-1,COLUMN('1-DATA'!AE645)),ROUND(INDEX('1-DATA'!$1:$1048576,IF(OR($B647="STD. DEVIATION",$C$1=1),$A647,$A647+1),COLUMN('1-DATA'!AE645)),IF($B647="STD. DEVIATION",2,$F$1))))</f>
        <v/>
      </c>
      <c r="AG647" s="1" t="str">
        <f>IF(OR($B647="",AG$7=""),"",IF($B647="MEANS",INDEX('1-DATA'!$1:$1048576,$A646-1,COLUMN('1-DATA'!AF645)),ROUND(INDEX('1-DATA'!$1:$1048576,IF(OR($B647="STD. DEVIATION",$C$1=1),$A647,$A647+1),COLUMN('1-DATA'!AF645)),IF($B647="STD. DEVIATION",2,$F$1))))</f>
        <v/>
      </c>
      <c r="AH647" s="1" t="str">
        <f>IF(OR($B647="",AH$7=""),"",IF($B647="MEANS",INDEX('1-DATA'!$1:$1048576,$A646-1,COLUMN('1-DATA'!AG645)),ROUND(INDEX('1-DATA'!$1:$1048576,IF(OR($B647="STD. DEVIATION",$C$1=1),$A647,$A647+1),COLUMN('1-DATA'!AG645)),IF($B647="STD. DEVIATION",2,$F$1))))</f>
        <v/>
      </c>
      <c r="AI647" s="1" t="str">
        <f>IF(OR($B647="",AI$7=""),"",IF($B647="MEANS",INDEX('1-DATA'!$1:$1048576,$A646-1,COLUMN('1-DATA'!AH645)),ROUND(INDEX('1-DATA'!$1:$1048576,IF(OR($B647="STD. DEVIATION",$C$1=1),$A647,$A647+1),COLUMN('1-DATA'!AH645)),IF($B647="STD. DEVIATION",2,$F$1))))</f>
        <v/>
      </c>
      <c r="AJ647" s="1" t="str">
        <f>IF(OR($B647="",AJ$7=""),"",IF($B647="MEANS",INDEX('1-DATA'!$1:$1048576,$A646-1,COLUMN('1-DATA'!AI645)),ROUND(INDEX('1-DATA'!$1:$1048576,IF(OR($B647="STD. DEVIATION",$C$1=1),$A647,$A647+1),COLUMN('1-DATA'!AI645)),IF($B647="STD. DEVIATION",2,$F$1))))</f>
        <v/>
      </c>
      <c r="AK647" s="1" t="str">
        <f>IF(OR($B647="",AK$7=""),"",IF($B647="MEANS",INDEX('1-DATA'!$1:$1048576,$A646-1,COLUMN('1-DATA'!AJ645)),ROUND(INDEX('1-DATA'!$1:$1048576,IF(OR($B647="STD. DEVIATION",$C$1=1),$A647,$A647+1),COLUMN('1-DATA'!AJ645)),IF($B647="STD. DEVIATION",2,$F$1))))</f>
        <v/>
      </c>
      <c r="AL647" s="1" t="str">
        <f>IF(OR($B647="",AL$7=""),"",IF($B647="MEANS",INDEX('1-DATA'!$1:$1048576,$A646-1,COLUMN('1-DATA'!AK645)),ROUND(INDEX('1-DATA'!$1:$1048576,IF(OR($B647="STD. DEVIATION",$C$1=1),$A647,$A647+1),COLUMN('1-DATA'!AK645)),IF($B647="STD. DEVIATION",2,$F$1))))</f>
        <v/>
      </c>
      <c r="AM647" s="1" t="str">
        <f>IF(OR($B647="",AM$7=""),"",IF($B647="MEANS",INDEX('1-DATA'!$1:$1048576,$A646-1,COLUMN('1-DATA'!AL645)),ROUND(INDEX('1-DATA'!$1:$1048576,IF(OR($B647="STD. DEVIATION",$C$1=1),$A647,$A647+1),COLUMN('1-DATA'!AL645)),IF($B647="STD. DEVIATION",2,$F$1))))</f>
        <v/>
      </c>
      <c r="AN647" s="1" t="str">
        <f>IF(OR($B647="",AN$7=""),"",IF($B647="MEANS",INDEX('1-DATA'!$1:$1048576,$A646-1,COLUMN('1-DATA'!AM645)),ROUND(INDEX('1-DATA'!$1:$1048576,IF(OR($B647="STD. DEVIATION",$C$1=1),$A647,$A647+1),COLUMN('1-DATA'!AM645)),IF($B647="STD. DEVIATION",2,$F$1))))</f>
        <v/>
      </c>
      <c r="AO647" s="1" t="str">
        <f>IF(OR($B647="",AO$7=""),"",IF($B647="MEANS",INDEX('1-DATA'!$1:$1048576,$A646-1,COLUMN('1-DATA'!AN645)),ROUND(INDEX('1-DATA'!$1:$1048576,IF(OR($B647="STD. DEVIATION",$C$1=1),$A647,$A647+1),COLUMN('1-DATA'!AN645)),IF($B647="STD. DEVIATION",2,$F$1))))</f>
        <v/>
      </c>
      <c r="AP647" s="1" t="str">
        <f>IF(OR($B647="",AP$7=""),"",IF($B647="MEANS",INDEX('1-DATA'!$1:$1048576,$A646-1,COLUMN('1-DATA'!AO645)),ROUND(INDEX('1-DATA'!$1:$1048576,IF(OR($B647="STD. DEVIATION",$C$1=1),$A647,$A647+1),COLUMN('1-DATA'!AO645)),IF($B647="STD. DEVIATION",2,$F$1))))</f>
        <v/>
      </c>
      <c r="AQ647" s="1" t="str">
        <f>IF(OR($B647="",AQ$7=""),"",IF($B647="MEANS",INDEX('1-DATA'!$1:$1048576,$A646-1,COLUMN('1-DATA'!AP645)),ROUND(INDEX('1-DATA'!$1:$1048576,IF(OR($B647="STD. DEVIATION",$C$1=1),$A647,$A647+1),COLUMN('1-DATA'!AP645)),IF($B647="STD. DEVIATION",2,$F$1))))</f>
        <v/>
      </c>
      <c r="AR647" s="1" t="str">
        <f>IF(OR($B647="",AR$7=""),"",IF($B647="MEANS",INDEX('1-DATA'!$1:$1048576,$A646-1,COLUMN('1-DATA'!AQ645)),ROUND(INDEX('1-DATA'!$1:$1048576,IF(OR($B647="STD. DEVIATION",$C$1=1),$A647,$A647+1),COLUMN('1-DATA'!AQ645)),IF($B647="STD. DEVIATION",2,$F$1))))</f>
        <v/>
      </c>
      <c r="AS647" s="1" t="str">
        <f>IF(OR($B647="",AS$7=""),"",IF($B647="MEANS",INDEX('1-DATA'!$1:$1048576,$A646-1,COLUMN('1-DATA'!AR645)),ROUND(INDEX('1-DATA'!$1:$1048576,IF(OR($B647="STD. DEVIATION",$C$1=1),$A647,$A647+1),COLUMN('1-DATA'!AR645)),IF($B647="STD. DEVIATION",2,$F$1))))</f>
        <v/>
      </c>
      <c r="AT647" s="1" t="str">
        <f>IF(OR($B647="",AT$7=""),"",IF($B647="MEANS",INDEX('1-DATA'!$1:$1048576,$A646-1,COLUMN('1-DATA'!AS645)),ROUND(INDEX('1-DATA'!$1:$1048576,IF(OR($B647="STD. DEVIATION",$C$1=1),$A647,$A647+1),COLUMN('1-DATA'!AS645)),IF($B647="STD. DEVIATION",2,$F$1))))</f>
        <v/>
      </c>
      <c r="AU647" s="1" t="str">
        <f>IF(OR($B647="",AU$7=""),"",IF($B647="MEANS",INDEX('1-DATA'!$1:$1048576,$A646-1,COLUMN('1-DATA'!AT645)),ROUND(INDEX('1-DATA'!$1:$1048576,IF(OR($B647="STD. DEVIATION",$C$1=1),$A647,$A647+1),COLUMN('1-DATA'!AT645)),IF($B647="STD. DEVIATION",2,$F$1))))</f>
        <v/>
      </c>
      <c r="AV647" s="1" t="str">
        <f>IF(OR($B647="",AV$7=""),"",IF($B647="MEANS",INDEX('1-DATA'!$1:$1048576,$A646-1,COLUMN('1-DATA'!AU645)),ROUND(INDEX('1-DATA'!$1:$1048576,IF(OR($B647="STD. DEVIATION",$C$1=1),$A647,$A647+1),COLUMN('1-DATA'!AU645)),IF($B647="STD. DEVIATION",2,$F$1))))</f>
        <v/>
      </c>
      <c r="AW647" s="1" t="str">
        <f>IF(OR($B647="",AW$7=""),"",IF($B647="MEANS",INDEX('1-DATA'!$1:$1048576,$A646-1,COLUMN('1-DATA'!AV645)),ROUND(INDEX('1-DATA'!$1:$1048576,IF(OR($B647="STD. DEVIATION",$C$1=1),$A647,$A647+1),COLUMN('1-DATA'!AV645)),IF($B647="STD. DEVIATION",2,$F$1))))</f>
        <v/>
      </c>
      <c r="AX647" s="1" t="str">
        <f>IF(OR($B647="",AX$7=""),"",IF($B647="MEANS",INDEX('1-DATA'!$1:$1048576,$A646-1,COLUMN('1-DATA'!AW645)),ROUND(INDEX('1-DATA'!$1:$1048576,IF(OR($B647="STD. DEVIATION",$C$1=1),$A647,$A647+1),COLUMN('1-DATA'!AW645)),IF($B647="STD. DEVIATION",2,$F$1))))</f>
        <v/>
      </c>
      <c r="AY647" s="1" t="str">
        <f>IF(OR($B647="",AY$7=""),"",IF($B647="MEANS",INDEX('1-DATA'!$1:$1048576,$A646-1,COLUMN('1-DATA'!AX645)),ROUND(INDEX('1-DATA'!$1:$1048576,IF(OR($B647="STD. DEVIATION",$C$1=1),$A647,$A647+1),COLUMN('1-DATA'!AX645)),IF($B647="STD. DEVIATION",2,$F$1))))</f>
        <v/>
      </c>
      <c r="AZ647" s="1" t="str">
        <f>IF(OR($B647="",AZ$7=""),"",IF($B647="MEANS",INDEX('1-DATA'!$1:$1048576,$A646-1,COLUMN('1-DATA'!AY645)),ROUND(INDEX('1-DATA'!$1:$1048576,IF(OR($B647="STD. DEVIATION",$C$1=1),$A647,$A647+1),COLUMN('1-DATA'!AY645)),IF($B647="STD. DEVIATION",2,$F$1))))</f>
        <v/>
      </c>
    </row>
    <row r="648" spans="1:52" x14ac:dyDescent="0.25">
      <c r="A648" s="11">
        <f t="shared" si="10"/>
        <v>1930</v>
      </c>
      <c r="B648" s="1" t="str">
        <f>IF(B647="STD. DEVIATION",INDEX('1-DATA'!$1:$1048576,$A647-1,1),IF(INDEX('1-DATA'!$1:$1048576,$A648,1)&lt;&gt;"",INDEX('1-DATA'!$1:$1048576,$A648,1),""))</f>
        <v/>
      </c>
      <c r="C648" s="1" t="str">
        <f>IF(OR($B648="",C$7=""),"",IF($B648="MEANS",INDEX('1-DATA'!$1:$1048576,$A647-1,COLUMN('1-DATA'!B646)),ROUND(INDEX('1-DATA'!$1:$1048576,IF(OR($B648="STD. DEVIATION",$C$1=1),$A648,$A648+1),COLUMN('1-DATA'!B646)),IF($B648="STD. DEVIATION",2,$F$1))))</f>
        <v/>
      </c>
      <c r="D648" s="1" t="str">
        <f>IF(OR($B648="",D$7=""),"",IF($B648="MEANS",INDEX('1-DATA'!$1:$1048576,$A647-1,COLUMN('1-DATA'!C646)),ROUND(INDEX('1-DATA'!$1:$1048576,IF(OR($B648="STD. DEVIATION",$C$1=1),$A648,$A648+1),COLUMN('1-DATA'!C646)),IF($B648="STD. DEVIATION",2,$F$1))))</f>
        <v/>
      </c>
      <c r="E648" s="1" t="str">
        <f>IF(OR($B648="",E$7=""),"",IF($B648="MEANS",INDEX('1-DATA'!$1:$1048576,$A647-1,COLUMN('1-DATA'!D646)),ROUND(INDEX('1-DATA'!$1:$1048576,IF(OR($B648="STD. DEVIATION",$C$1=1),$A648,$A648+1),COLUMN('1-DATA'!D646)),IF($B648="STD. DEVIATION",2,$F$1))))</f>
        <v/>
      </c>
      <c r="F648" s="1" t="str">
        <f>IF(OR($B648="",F$7=""),"",IF($B648="MEANS",INDEX('1-DATA'!$1:$1048576,$A647-1,COLUMN('1-DATA'!E646)),ROUND(INDEX('1-DATA'!$1:$1048576,IF(OR($B648="STD. DEVIATION",$C$1=1),$A648,$A648+1),COLUMN('1-DATA'!E646)),IF($B648="STD. DEVIATION",2,$F$1))))</f>
        <v/>
      </c>
      <c r="G648" s="1" t="str">
        <f>IF(OR($B648="",G$7=""),"",IF($B648="MEANS",INDEX('1-DATA'!$1:$1048576,$A647-1,COLUMN('1-DATA'!F646)),ROUND(INDEX('1-DATA'!$1:$1048576,IF(OR($B648="STD. DEVIATION",$C$1=1),$A648,$A648+1),COLUMN('1-DATA'!F646)),IF($B648="STD. DEVIATION",2,$F$1))))</f>
        <v/>
      </c>
      <c r="H648" s="1" t="str">
        <f>IF(OR($B648="",H$7=""),"",IF($B648="MEANS",INDEX('1-DATA'!$1:$1048576,$A647-1,COLUMN('1-DATA'!G646)),ROUND(INDEX('1-DATA'!$1:$1048576,IF(OR($B648="STD. DEVIATION",$C$1=1),$A648,$A648+1),COLUMN('1-DATA'!G646)),IF($B648="STD. DEVIATION",2,$F$1))))</f>
        <v/>
      </c>
      <c r="I648" s="1" t="str">
        <f>IF(OR($B648="",I$7=""),"",IF($B648="MEANS",INDEX('1-DATA'!$1:$1048576,$A647-1,COLUMN('1-DATA'!H646)),ROUND(INDEX('1-DATA'!$1:$1048576,IF(OR($B648="STD. DEVIATION",$C$1=1),$A648,$A648+1),COLUMN('1-DATA'!H646)),IF($B648="STD. DEVIATION",2,$F$1))))</f>
        <v/>
      </c>
      <c r="J648" s="1" t="str">
        <f>IF(OR($B648="",J$7=""),"",IF($B648="MEANS",INDEX('1-DATA'!$1:$1048576,$A647-1,COLUMN('1-DATA'!I646)),ROUND(INDEX('1-DATA'!$1:$1048576,IF(OR($B648="STD. DEVIATION",$C$1=1),$A648,$A648+1),COLUMN('1-DATA'!I646)),IF($B648="STD. DEVIATION",2,$F$1))))</f>
        <v/>
      </c>
      <c r="K648" s="1" t="str">
        <f>IF(OR($B648="",K$7=""),"",IF($B648="MEANS",INDEX('1-DATA'!$1:$1048576,$A647-1,COLUMN('1-DATA'!J646)),ROUND(INDEX('1-DATA'!$1:$1048576,IF(OR($B648="STD. DEVIATION",$C$1=1),$A648,$A648+1),COLUMN('1-DATA'!J646)),IF($B648="STD. DEVIATION",2,$F$1))))</f>
        <v/>
      </c>
      <c r="L648" s="1" t="str">
        <f>IF(OR($B648="",L$7=""),"",IF($B648="MEANS",INDEX('1-DATA'!$1:$1048576,$A647-1,COLUMN('1-DATA'!K646)),ROUND(INDEX('1-DATA'!$1:$1048576,IF(OR($B648="STD. DEVIATION",$C$1=1),$A648,$A648+1),COLUMN('1-DATA'!K646)),IF($B648="STD. DEVIATION",2,$F$1))))</f>
        <v/>
      </c>
      <c r="M648" s="1" t="str">
        <f>IF(OR($B648="",M$7=""),"",IF($B648="MEANS",INDEX('1-DATA'!$1:$1048576,$A647-1,COLUMN('1-DATA'!L646)),ROUND(INDEX('1-DATA'!$1:$1048576,IF(OR($B648="STD. DEVIATION",$C$1=1),$A648,$A648+1),COLUMN('1-DATA'!L646)),IF($B648="STD. DEVIATION",2,$F$1))))</f>
        <v/>
      </c>
      <c r="N648" s="1" t="str">
        <f>IF(OR($B648="",N$7=""),"",IF($B648="MEANS",INDEX('1-DATA'!$1:$1048576,$A647-1,COLUMN('1-DATA'!M646)),ROUND(INDEX('1-DATA'!$1:$1048576,IF(OR($B648="STD. DEVIATION",$C$1=1),$A648,$A648+1),COLUMN('1-DATA'!M646)),IF($B648="STD. DEVIATION",2,$F$1))))</f>
        <v/>
      </c>
      <c r="O648" s="1" t="str">
        <f>IF(OR($B648="",O$7=""),"",IF($B648="MEANS",INDEX('1-DATA'!$1:$1048576,$A647-1,COLUMN('1-DATA'!N646)),ROUND(INDEX('1-DATA'!$1:$1048576,IF(OR($B648="STD. DEVIATION",$C$1=1),$A648,$A648+1),COLUMN('1-DATA'!N646)),IF($B648="STD. DEVIATION",2,$F$1))))</f>
        <v/>
      </c>
      <c r="P648" s="1" t="str">
        <f>IF(OR($B648="",P$7=""),"",IF($B648="MEANS",INDEX('1-DATA'!$1:$1048576,$A647-1,COLUMN('1-DATA'!O646)),ROUND(INDEX('1-DATA'!$1:$1048576,IF(OR($B648="STD. DEVIATION",$C$1=1),$A648,$A648+1),COLUMN('1-DATA'!O646)),IF($B648="STD. DEVIATION",2,$F$1))))</f>
        <v/>
      </c>
      <c r="Q648" s="1" t="str">
        <f>IF(OR($B648="",Q$7=""),"",IF($B648="MEANS",INDEX('1-DATA'!$1:$1048576,$A647-1,COLUMN('1-DATA'!P646)),ROUND(INDEX('1-DATA'!$1:$1048576,IF(OR($B648="STD. DEVIATION",$C$1=1),$A648,$A648+1),COLUMN('1-DATA'!P646)),IF($B648="STD. DEVIATION",2,$F$1))))</f>
        <v/>
      </c>
      <c r="R648" s="1" t="str">
        <f>IF(OR($B648="",R$7=""),"",IF($B648="MEANS",INDEX('1-DATA'!$1:$1048576,$A647-1,COLUMN('1-DATA'!Q646)),ROUND(INDEX('1-DATA'!$1:$1048576,IF(OR($B648="STD. DEVIATION",$C$1=1),$A648,$A648+1),COLUMN('1-DATA'!Q646)),IF($B648="STD. DEVIATION",2,$F$1))))</f>
        <v/>
      </c>
      <c r="S648" s="1" t="str">
        <f>IF(OR($B648="",S$7=""),"",IF($B648="MEANS",INDEX('1-DATA'!$1:$1048576,$A647-1,COLUMN('1-DATA'!R646)),ROUND(INDEX('1-DATA'!$1:$1048576,IF(OR($B648="STD. DEVIATION",$C$1=1),$A648,$A648+1),COLUMN('1-DATA'!R646)),IF($B648="STD. DEVIATION",2,$F$1))))</f>
        <v/>
      </c>
      <c r="T648" s="1" t="str">
        <f>IF(OR($B648="",T$7=""),"",IF($B648="MEANS",INDEX('1-DATA'!$1:$1048576,$A647-1,COLUMN('1-DATA'!S646)),ROUND(INDEX('1-DATA'!$1:$1048576,IF(OR($B648="STD. DEVIATION",$C$1=1),$A648,$A648+1),COLUMN('1-DATA'!S646)),IF($B648="STD. DEVIATION",2,$F$1))))</f>
        <v/>
      </c>
      <c r="U648" s="1" t="str">
        <f>IF(OR($B648="",U$7=""),"",IF($B648="MEANS",INDEX('1-DATA'!$1:$1048576,$A647-1,COLUMN('1-DATA'!T646)),ROUND(INDEX('1-DATA'!$1:$1048576,IF(OR($B648="STD. DEVIATION",$C$1=1),$A648,$A648+1),COLUMN('1-DATA'!T646)),IF($B648="STD. DEVIATION",2,$F$1))))</f>
        <v/>
      </c>
      <c r="V648" s="1" t="str">
        <f>IF(OR($B648="",V$7=""),"",IF($B648="MEANS",INDEX('1-DATA'!$1:$1048576,$A647-1,COLUMN('1-DATA'!U646)),ROUND(INDEX('1-DATA'!$1:$1048576,IF(OR($B648="STD. DEVIATION",$C$1=1),$A648,$A648+1),COLUMN('1-DATA'!U646)),IF($B648="STD. DEVIATION",2,$F$1))))</f>
        <v/>
      </c>
      <c r="W648" s="1" t="str">
        <f>IF(OR($B648="",W$7=""),"",IF($B648="MEANS",INDEX('1-DATA'!$1:$1048576,$A647-1,COLUMN('1-DATA'!V646)),ROUND(INDEX('1-DATA'!$1:$1048576,IF(OR($B648="STD. DEVIATION",$C$1=1),$A648,$A648+1),COLUMN('1-DATA'!V646)),IF($B648="STD. DEVIATION",2,$F$1))))</f>
        <v/>
      </c>
      <c r="X648" s="1" t="str">
        <f>IF(OR($B648="",X$7=""),"",IF($B648="MEANS",INDEX('1-DATA'!$1:$1048576,$A647-1,COLUMN('1-DATA'!W646)),ROUND(INDEX('1-DATA'!$1:$1048576,IF(OR($B648="STD. DEVIATION",$C$1=1),$A648,$A648+1),COLUMN('1-DATA'!W646)),IF($B648="STD. DEVIATION",2,$F$1))))</f>
        <v/>
      </c>
      <c r="Y648" s="1" t="str">
        <f>IF(OR($B648="",Y$7=""),"",IF($B648="MEANS",INDEX('1-DATA'!$1:$1048576,$A647-1,COLUMN('1-DATA'!X646)),ROUND(INDEX('1-DATA'!$1:$1048576,IF(OR($B648="STD. DEVIATION",$C$1=1),$A648,$A648+1),COLUMN('1-DATA'!X646)),IF($B648="STD. DEVIATION",2,$F$1))))</f>
        <v/>
      </c>
      <c r="Z648" s="1" t="str">
        <f>IF(OR($B648="",Z$7=""),"",IF($B648="MEANS",INDEX('1-DATA'!$1:$1048576,$A647-1,COLUMN('1-DATA'!Y646)),ROUND(INDEX('1-DATA'!$1:$1048576,IF(OR($B648="STD. DEVIATION",$C$1=1),$A648,$A648+1),COLUMN('1-DATA'!Y646)),IF($B648="STD. DEVIATION",2,$F$1))))</f>
        <v/>
      </c>
      <c r="AA648" s="1" t="str">
        <f>IF(OR($B648="",AA$7=""),"",IF($B648="MEANS",INDEX('1-DATA'!$1:$1048576,$A647-1,COLUMN('1-DATA'!Z646)),ROUND(INDEX('1-DATA'!$1:$1048576,IF(OR($B648="STD. DEVIATION",$C$1=1),$A648,$A648+1),COLUMN('1-DATA'!Z646)),IF($B648="STD. DEVIATION",2,$F$1))))</f>
        <v/>
      </c>
      <c r="AB648" s="1" t="str">
        <f>IF(OR($B648="",AB$7=""),"",IF($B648="MEANS",INDEX('1-DATA'!$1:$1048576,$A647-1,COLUMN('1-DATA'!AA646)),ROUND(INDEX('1-DATA'!$1:$1048576,IF(OR($B648="STD. DEVIATION",$C$1=1),$A648,$A648+1),COLUMN('1-DATA'!AA646)),IF($B648="STD. DEVIATION",2,$F$1))))</f>
        <v/>
      </c>
      <c r="AC648" s="1" t="str">
        <f>IF(OR($B648="",AC$7=""),"",IF($B648="MEANS",INDEX('1-DATA'!$1:$1048576,$A647-1,COLUMN('1-DATA'!AB646)),ROUND(INDEX('1-DATA'!$1:$1048576,IF(OR($B648="STD. DEVIATION",$C$1=1),$A648,$A648+1),COLUMN('1-DATA'!AB646)),IF($B648="STD. DEVIATION",2,$F$1))))</f>
        <v/>
      </c>
      <c r="AD648" s="1" t="str">
        <f>IF(OR($B648="",AD$7=""),"",IF($B648="MEANS",INDEX('1-DATA'!$1:$1048576,$A647-1,COLUMN('1-DATA'!AC646)),ROUND(INDEX('1-DATA'!$1:$1048576,IF(OR($B648="STD. DEVIATION",$C$1=1),$A648,$A648+1),COLUMN('1-DATA'!AC646)),IF($B648="STD. DEVIATION",2,$F$1))))</f>
        <v/>
      </c>
      <c r="AE648" s="1" t="str">
        <f>IF(OR($B648="",AE$7=""),"",IF($B648="MEANS",INDEX('1-DATA'!$1:$1048576,$A647-1,COLUMN('1-DATA'!AD646)),ROUND(INDEX('1-DATA'!$1:$1048576,IF(OR($B648="STD. DEVIATION",$C$1=1),$A648,$A648+1),COLUMN('1-DATA'!AD646)),IF($B648="STD. DEVIATION",2,$F$1))))</f>
        <v/>
      </c>
      <c r="AF648" s="1" t="str">
        <f>IF(OR($B648="",AF$7=""),"",IF($B648="MEANS",INDEX('1-DATA'!$1:$1048576,$A647-1,COLUMN('1-DATA'!AE646)),ROUND(INDEX('1-DATA'!$1:$1048576,IF(OR($B648="STD. DEVIATION",$C$1=1),$A648,$A648+1),COLUMN('1-DATA'!AE646)),IF($B648="STD. DEVIATION",2,$F$1))))</f>
        <v/>
      </c>
      <c r="AG648" s="1" t="str">
        <f>IF(OR($B648="",AG$7=""),"",IF($B648="MEANS",INDEX('1-DATA'!$1:$1048576,$A647-1,COLUMN('1-DATA'!AF646)),ROUND(INDEX('1-DATA'!$1:$1048576,IF(OR($B648="STD. DEVIATION",$C$1=1),$A648,$A648+1),COLUMN('1-DATA'!AF646)),IF($B648="STD. DEVIATION",2,$F$1))))</f>
        <v/>
      </c>
      <c r="AH648" s="1" t="str">
        <f>IF(OR($B648="",AH$7=""),"",IF($B648="MEANS",INDEX('1-DATA'!$1:$1048576,$A647-1,COLUMN('1-DATA'!AG646)),ROUND(INDEX('1-DATA'!$1:$1048576,IF(OR($B648="STD. DEVIATION",$C$1=1),$A648,$A648+1),COLUMN('1-DATA'!AG646)),IF($B648="STD. DEVIATION",2,$F$1))))</f>
        <v/>
      </c>
      <c r="AI648" s="1" t="str">
        <f>IF(OR($B648="",AI$7=""),"",IF($B648="MEANS",INDEX('1-DATA'!$1:$1048576,$A647-1,COLUMN('1-DATA'!AH646)),ROUND(INDEX('1-DATA'!$1:$1048576,IF(OR($B648="STD. DEVIATION",$C$1=1),$A648,$A648+1),COLUMN('1-DATA'!AH646)),IF($B648="STD. DEVIATION",2,$F$1))))</f>
        <v/>
      </c>
      <c r="AJ648" s="1" t="str">
        <f>IF(OR($B648="",AJ$7=""),"",IF($B648="MEANS",INDEX('1-DATA'!$1:$1048576,$A647-1,COLUMN('1-DATA'!AI646)),ROUND(INDEX('1-DATA'!$1:$1048576,IF(OR($B648="STD. DEVIATION",$C$1=1),$A648,$A648+1),COLUMN('1-DATA'!AI646)),IF($B648="STD. DEVIATION",2,$F$1))))</f>
        <v/>
      </c>
      <c r="AK648" s="1" t="str">
        <f>IF(OR($B648="",AK$7=""),"",IF($B648="MEANS",INDEX('1-DATA'!$1:$1048576,$A647-1,COLUMN('1-DATA'!AJ646)),ROUND(INDEX('1-DATA'!$1:$1048576,IF(OR($B648="STD. DEVIATION",$C$1=1),$A648,$A648+1),COLUMN('1-DATA'!AJ646)),IF($B648="STD. DEVIATION",2,$F$1))))</f>
        <v/>
      </c>
      <c r="AL648" s="1" t="str">
        <f>IF(OR($B648="",AL$7=""),"",IF($B648="MEANS",INDEX('1-DATA'!$1:$1048576,$A647-1,COLUMN('1-DATA'!AK646)),ROUND(INDEX('1-DATA'!$1:$1048576,IF(OR($B648="STD. DEVIATION",$C$1=1),$A648,$A648+1),COLUMN('1-DATA'!AK646)),IF($B648="STD. DEVIATION",2,$F$1))))</f>
        <v/>
      </c>
      <c r="AM648" s="1" t="str">
        <f>IF(OR($B648="",AM$7=""),"",IF($B648="MEANS",INDEX('1-DATA'!$1:$1048576,$A647-1,COLUMN('1-DATA'!AL646)),ROUND(INDEX('1-DATA'!$1:$1048576,IF(OR($B648="STD. DEVIATION",$C$1=1),$A648,$A648+1),COLUMN('1-DATA'!AL646)),IF($B648="STD. DEVIATION",2,$F$1))))</f>
        <v/>
      </c>
      <c r="AN648" s="1" t="str">
        <f>IF(OR($B648="",AN$7=""),"",IF($B648="MEANS",INDEX('1-DATA'!$1:$1048576,$A647-1,COLUMN('1-DATA'!AM646)),ROUND(INDEX('1-DATA'!$1:$1048576,IF(OR($B648="STD. DEVIATION",$C$1=1),$A648,$A648+1),COLUMN('1-DATA'!AM646)),IF($B648="STD. DEVIATION",2,$F$1))))</f>
        <v/>
      </c>
      <c r="AO648" s="1" t="str">
        <f>IF(OR($B648="",AO$7=""),"",IF($B648="MEANS",INDEX('1-DATA'!$1:$1048576,$A647-1,COLUMN('1-DATA'!AN646)),ROUND(INDEX('1-DATA'!$1:$1048576,IF(OR($B648="STD. DEVIATION",$C$1=1),$A648,$A648+1),COLUMN('1-DATA'!AN646)),IF($B648="STD. DEVIATION",2,$F$1))))</f>
        <v/>
      </c>
      <c r="AP648" s="1" t="str">
        <f>IF(OR($B648="",AP$7=""),"",IF($B648="MEANS",INDEX('1-DATA'!$1:$1048576,$A647-1,COLUMN('1-DATA'!AO646)),ROUND(INDEX('1-DATA'!$1:$1048576,IF(OR($B648="STD. DEVIATION",$C$1=1),$A648,$A648+1),COLUMN('1-DATA'!AO646)),IF($B648="STD. DEVIATION",2,$F$1))))</f>
        <v/>
      </c>
      <c r="AQ648" s="1" t="str">
        <f>IF(OR($B648="",AQ$7=""),"",IF($B648="MEANS",INDEX('1-DATA'!$1:$1048576,$A647-1,COLUMN('1-DATA'!AP646)),ROUND(INDEX('1-DATA'!$1:$1048576,IF(OR($B648="STD. DEVIATION",$C$1=1),$A648,$A648+1),COLUMN('1-DATA'!AP646)),IF($B648="STD. DEVIATION",2,$F$1))))</f>
        <v/>
      </c>
      <c r="AR648" s="1" t="str">
        <f>IF(OR($B648="",AR$7=""),"",IF($B648="MEANS",INDEX('1-DATA'!$1:$1048576,$A647-1,COLUMN('1-DATA'!AQ646)),ROUND(INDEX('1-DATA'!$1:$1048576,IF(OR($B648="STD. DEVIATION",$C$1=1),$A648,$A648+1),COLUMN('1-DATA'!AQ646)),IF($B648="STD. DEVIATION",2,$F$1))))</f>
        <v/>
      </c>
      <c r="AS648" s="1" t="str">
        <f>IF(OR($B648="",AS$7=""),"",IF($B648="MEANS",INDEX('1-DATA'!$1:$1048576,$A647-1,COLUMN('1-DATA'!AR646)),ROUND(INDEX('1-DATA'!$1:$1048576,IF(OR($B648="STD. DEVIATION",$C$1=1),$A648,$A648+1),COLUMN('1-DATA'!AR646)),IF($B648="STD. DEVIATION",2,$F$1))))</f>
        <v/>
      </c>
      <c r="AT648" s="1" t="str">
        <f>IF(OR($B648="",AT$7=""),"",IF($B648="MEANS",INDEX('1-DATA'!$1:$1048576,$A647-1,COLUMN('1-DATA'!AS646)),ROUND(INDEX('1-DATA'!$1:$1048576,IF(OR($B648="STD. DEVIATION",$C$1=1),$A648,$A648+1),COLUMN('1-DATA'!AS646)),IF($B648="STD. DEVIATION",2,$F$1))))</f>
        <v/>
      </c>
      <c r="AU648" s="1" t="str">
        <f>IF(OR($B648="",AU$7=""),"",IF($B648="MEANS",INDEX('1-DATA'!$1:$1048576,$A647-1,COLUMN('1-DATA'!AT646)),ROUND(INDEX('1-DATA'!$1:$1048576,IF(OR($B648="STD. DEVIATION",$C$1=1),$A648,$A648+1),COLUMN('1-DATA'!AT646)),IF($B648="STD. DEVIATION",2,$F$1))))</f>
        <v/>
      </c>
      <c r="AV648" s="1" t="str">
        <f>IF(OR($B648="",AV$7=""),"",IF($B648="MEANS",INDEX('1-DATA'!$1:$1048576,$A647-1,COLUMN('1-DATA'!AU646)),ROUND(INDEX('1-DATA'!$1:$1048576,IF(OR($B648="STD. DEVIATION",$C$1=1),$A648,$A648+1),COLUMN('1-DATA'!AU646)),IF($B648="STD. DEVIATION",2,$F$1))))</f>
        <v/>
      </c>
      <c r="AW648" s="1" t="str">
        <f>IF(OR($B648="",AW$7=""),"",IF($B648="MEANS",INDEX('1-DATA'!$1:$1048576,$A647-1,COLUMN('1-DATA'!AV646)),ROUND(INDEX('1-DATA'!$1:$1048576,IF(OR($B648="STD. DEVIATION",$C$1=1),$A648,$A648+1),COLUMN('1-DATA'!AV646)),IF($B648="STD. DEVIATION",2,$F$1))))</f>
        <v/>
      </c>
      <c r="AX648" s="1" t="str">
        <f>IF(OR($B648="",AX$7=""),"",IF($B648="MEANS",INDEX('1-DATA'!$1:$1048576,$A647-1,COLUMN('1-DATA'!AW646)),ROUND(INDEX('1-DATA'!$1:$1048576,IF(OR($B648="STD. DEVIATION",$C$1=1),$A648,$A648+1),COLUMN('1-DATA'!AW646)),IF($B648="STD. DEVIATION",2,$F$1))))</f>
        <v/>
      </c>
      <c r="AY648" s="1" t="str">
        <f>IF(OR($B648="",AY$7=""),"",IF($B648="MEANS",INDEX('1-DATA'!$1:$1048576,$A647-1,COLUMN('1-DATA'!AX646)),ROUND(INDEX('1-DATA'!$1:$1048576,IF(OR($B648="STD. DEVIATION",$C$1=1),$A648,$A648+1),COLUMN('1-DATA'!AX646)),IF($B648="STD. DEVIATION",2,$F$1))))</f>
        <v/>
      </c>
      <c r="AZ648" s="1" t="str">
        <f>IF(OR($B648="",AZ$7=""),"",IF($B648="MEANS",INDEX('1-DATA'!$1:$1048576,$A647-1,COLUMN('1-DATA'!AY646)),ROUND(INDEX('1-DATA'!$1:$1048576,IF(OR($B648="STD. DEVIATION",$C$1=1),$A648,$A648+1),COLUMN('1-DATA'!AY646)),IF($B648="STD. DEVIATION",2,$F$1))))</f>
        <v/>
      </c>
    </row>
    <row r="649" spans="1:52" x14ac:dyDescent="0.25">
      <c r="A649" s="11">
        <f t="shared" si="10"/>
        <v>1933</v>
      </c>
      <c r="B649" s="1" t="str">
        <f>IF(B648="STD. DEVIATION",INDEX('1-DATA'!$1:$1048576,$A648-1,1),IF(INDEX('1-DATA'!$1:$1048576,$A649,1)&lt;&gt;"",INDEX('1-DATA'!$1:$1048576,$A649,1),""))</f>
        <v/>
      </c>
      <c r="C649" s="1" t="str">
        <f>IF(OR($B649="",C$7=""),"",IF($B649="MEANS",INDEX('1-DATA'!$1:$1048576,$A648-1,COLUMN('1-DATA'!B647)),ROUND(INDEX('1-DATA'!$1:$1048576,IF(OR($B649="STD. DEVIATION",$C$1=1),$A649,$A649+1),COLUMN('1-DATA'!B647)),IF($B649="STD. DEVIATION",2,$F$1))))</f>
        <v/>
      </c>
      <c r="D649" s="1" t="str">
        <f>IF(OR($B649="",D$7=""),"",IF($B649="MEANS",INDEX('1-DATA'!$1:$1048576,$A648-1,COLUMN('1-DATA'!C647)),ROUND(INDEX('1-DATA'!$1:$1048576,IF(OR($B649="STD. DEVIATION",$C$1=1),$A649,$A649+1),COLUMN('1-DATA'!C647)),IF($B649="STD. DEVIATION",2,$F$1))))</f>
        <v/>
      </c>
      <c r="E649" s="1" t="str">
        <f>IF(OR($B649="",E$7=""),"",IF($B649="MEANS",INDEX('1-DATA'!$1:$1048576,$A648-1,COLUMN('1-DATA'!D647)),ROUND(INDEX('1-DATA'!$1:$1048576,IF(OR($B649="STD. DEVIATION",$C$1=1),$A649,$A649+1),COLUMN('1-DATA'!D647)),IF($B649="STD. DEVIATION",2,$F$1))))</f>
        <v/>
      </c>
      <c r="F649" s="1" t="str">
        <f>IF(OR($B649="",F$7=""),"",IF($B649="MEANS",INDEX('1-DATA'!$1:$1048576,$A648-1,COLUMN('1-DATA'!E647)),ROUND(INDEX('1-DATA'!$1:$1048576,IF(OR($B649="STD. DEVIATION",$C$1=1),$A649,$A649+1),COLUMN('1-DATA'!E647)),IF($B649="STD. DEVIATION",2,$F$1))))</f>
        <v/>
      </c>
      <c r="G649" s="1" t="str">
        <f>IF(OR($B649="",G$7=""),"",IF($B649="MEANS",INDEX('1-DATA'!$1:$1048576,$A648-1,COLUMN('1-DATA'!F647)),ROUND(INDEX('1-DATA'!$1:$1048576,IF(OR($B649="STD. DEVIATION",$C$1=1),$A649,$A649+1),COLUMN('1-DATA'!F647)),IF($B649="STD. DEVIATION",2,$F$1))))</f>
        <v/>
      </c>
      <c r="H649" s="1" t="str">
        <f>IF(OR($B649="",H$7=""),"",IF($B649="MEANS",INDEX('1-DATA'!$1:$1048576,$A648-1,COLUMN('1-DATA'!G647)),ROUND(INDEX('1-DATA'!$1:$1048576,IF(OR($B649="STD. DEVIATION",$C$1=1),$A649,$A649+1),COLUMN('1-DATA'!G647)),IF($B649="STD. DEVIATION",2,$F$1))))</f>
        <v/>
      </c>
      <c r="I649" s="1" t="str">
        <f>IF(OR($B649="",I$7=""),"",IF($B649="MEANS",INDEX('1-DATA'!$1:$1048576,$A648-1,COLUMN('1-DATA'!H647)),ROUND(INDEX('1-DATA'!$1:$1048576,IF(OR($B649="STD. DEVIATION",$C$1=1),$A649,$A649+1),COLUMN('1-DATA'!H647)),IF($B649="STD. DEVIATION",2,$F$1))))</f>
        <v/>
      </c>
      <c r="J649" s="1" t="str">
        <f>IF(OR($B649="",J$7=""),"",IF($B649="MEANS",INDEX('1-DATA'!$1:$1048576,$A648-1,COLUMN('1-DATA'!I647)),ROUND(INDEX('1-DATA'!$1:$1048576,IF(OR($B649="STD. DEVIATION",$C$1=1),$A649,$A649+1),COLUMN('1-DATA'!I647)),IF($B649="STD. DEVIATION",2,$F$1))))</f>
        <v/>
      </c>
      <c r="K649" s="1" t="str">
        <f>IF(OR($B649="",K$7=""),"",IF($B649="MEANS",INDEX('1-DATA'!$1:$1048576,$A648-1,COLUMN('1-DATA'!J647)),ROUND(INDEX('1-DATA'!$1:$1048576,IF(OR($B649="STD. DEVIATION",$C$1=1),$A649,$A649+1),COLUMN('1-DATA'!J647)),IF($B649="STD. DEVIATION",2,$F$1))))</f>
        <v/>
      </c>
      <c r="L649" s="1" t="str">
        <f>IF(OR($B649="",L$7=""),"",IF($B649="MEANS",INDEX('1-DATA'!$1:$1048576,$A648-1,COLUMN('1-DATA'!K647)),ROUND(INDEX('1-DATA'!$1:$1048576,IF(OR($B649="STD. DEVIATION",$C$1=1),$A649,$A649+1),COLUMN('1-DATA'!K647)),IF($B649="STD. DEVIATION",2,$F$1))))</f>
        <v/>
      </c>
      <c r="M649" s="1" t="str">
        <f>IF(OR($B649="",M$7=""),"",IF($B649="MEANS",INDEX('1-DATA'!$1:$1048576,$A648-1,COLUMN('1-DATA'!L647)),ROUND(INDEX('1-DATA'!$1:$1048576,IF(OR($B649="STD. DEVIATION",$C$1=1),$A649,$A649+1),COLUMN('1-DATA'!L647)),IF($B649="STD. DEVIATION",2,$F$1))))</f>
        <v/>
      </c>
      <c r="N649" s="1" t="str">
        <f>IF(OR($B649="",N$7=""),"",IF($B649="MEANS",INDEX('1-DATA'!$1:$1048576,$A648-1,COLUMN('1-DATA'!M647)),ROUND(INDEX('1-DATA'!$1:$1048576,IF(OR($B649="STD. DEVIATION",$C$1=1),$A649,$A649+1),COLUMN('1-DATA'!M647)),IF($B649="STD. DEVIATION",2,$F$1))))</f>
        <v/>
      </c>
      <c r="O649" s="1" t="str">
        <f>IF(OR($B649="",O$7=""),"",IF($B649="MEANS",INDEX('1-DATA'!$1:$1048576,$A648-1,COLUMN('1-DATA'!N647)),ROUND(INDEX('1-DATA'!$1:$1048576,IF(OR($B649="STD. DEVIATION",$C$1=1),$A649,$A649+1),COLUMN('1-DATA'!N647)),IF($B649="STD. DEVIATION",2,$F$1))))</f>
        <v/>
      </c>
      <c r="P649" s="1" t="str">
        <f>IF(OR($B649="",P$7=""),"",IF($B649="MEANS",INDEX('1-DATA'!$1:$1048576,$A648-1,COLUMN('1-DATA'!O647)),ROUND(INDEX('1-DATA'!$1:$1048576,IF(OR($B649="STD. DEVIATION",$C$1=1),$A649,$A649+1),COLUMN('1-DATA'!O647)),IF($B649="STD. DEVIATION",2,$F$1))))</f>
        <v/>
      </c>
      <c r="Q649" s="1" t="str">
        <f>IF(OR($B649="",Q$7=""),"",IF($B649="MEANS",INDEX('1-DATA'!$1:$1048576,$A648-1,COLUMN('1-DATA'!P647)),ROUND(INDEX('1-DATA'!$1:$1048576,IF(OR($B649="STD. DEVIATION",$C$1=1),$A649,$A649+1),COLUMN('1-DATA'!P647)),IF($B649="STD. DEVIATION",2,$F$1))))</f>
        <v/>
      </c>
      <c r="R649" s="1" t="str">
        <f>IF(OR($B649="",R$7=""),"",IF($B649="MEANS",INDEX('1-DATA'!$1:$1048576,$A648-1,COLUMN('1-DATA'!Q647)),ROUND(INDEX('1-DATA'!$1:$1048576,IF(OR($B649="STD. DEVIATION",$C$1=1),$A649,$A649+1),COLUMN('1-DATA'!Q647)),IF($B649="STD. DEVIATION",2,$F$1))))</f>
        <v/>
      </c>
      <c r="S649" s="1" t="str">
        <f>IF(OR($B649="",S$7=""),"",IF($B649="MEANS",INDEX('1-DATA'!$1:$1048576,$A648-1,COLUMN('1-DATA'!R647)),ROUND(INDEX('1-DATA'!$1:$1048576,IF(OR($B649="STD. DEVIATION",$C$1=1),$A649,$A649+1),COLUMN('1-DATA'!R647)),IF($B649="STD. DEVIATION",2,$F$1))))</f>
        <v/>
      </c>
      <c r="T649" s="1" t="str">
        <f>IF(OR($B649="",T$7=""),"",IF($B649="MEANS",INDEX('1-DATA'!$1:$1048576,$A648-1,COLUMN('1-DATA'!S647)),ROUND(INDEX('1-DATA'!$1:$1048576,IF(OR($B649="STD. DEVIATION",$C$1=1),$A649,$A649+1),COLUMN('1-DATA'!S647)),IF($B649="STD. DEVIATION",2,$F$1))))</f>
        <v/>
      </c>
      <c r="U649" s="1" t="str">
        <f>IF(OR($B649="",U$7=""),"",IF($B649="MEANS",INDEX('1-DATA'!$1:$1048576,$A648-1,COLUMN('1-DATA'!T647)),ROUND(INDEX('1-DATA'!$1:$1048576,IF(OR($B649="STD. DEVIATION",$C$1=1),$A649,$A649+1),COLUMN('1-DATA'!T647)),IF($B649="STD. DEVIATION",2,$F$1))))</f>
        <v/>
      </c>
      <c r="V649" s="1" t="str">
        <f>IF(OR($B649="",V$7=""),"",IF($B649="MEANS",INDEX('1-DATA'!$1:$1048576,$A648-1,COLUMN('1-DATA'!U647)),ROUND(INDEX('1-DATA'!$1:$1048576,IF(OR($B649="STD. DEVIATION",$C$1=1),$A649,$A649+1),COLUMN('1-DATA'!U647)),IF($B649="STD. DEVIATION",2,$F$1))))</f>
        <v/>
      </c>
      <c r="W649" s="1" t="str">
        <f>IF(OR($B649="",W$7=""),"",IF($B649="MEANS",INDEX('1-DATA'!$1:$1048576,$A648-1,COLUMN('1-DATA'!V647)),ROUND(INDEX('1-DATA'!$1:$1048576,IF(OR($B649="STD. DEVIATION",$C$1=1),$A649,$A649+1),COLUMN('1-DATA'!V647)),IF($B649="STD. DEVIATION",2,$F$1))))</f>
        <v/>
      </c>
      <c r="X649" s="1" t="str">
        <f>IF(OR($B649="",X$7=""),"",IF($B649="MEANS",INDEX('1-DATA'!$1:$1048576,$A648-1,COLUMN('1-DATA'!W647)),ROUND(INDEX('1-DATA'!$1:$1048576,IF(OR($B649="STD. DEVIATION",$C$1=1),$A649,$A649+1),COLUMN('1-DATA'!W647)),IF($B649="STD. DEVIATION",2,$F$1))))</f>
        <v/>
      </c>
      <c r="Y649" s="1" t="str">
        <f>IF(OR($B649="",Y$7=""),"",IF($B649="MEANS",INDEX('1-DATA'!$1:$1048576,$A648-1,COLUMN('1-DATA'!X647)),ROUND(INDEX('1-DATA'!$1:$1048576,IF(OR($B649="STD. DEVIATION",$C$1=1),$A649,$A649+1),COLUMN('1-DATA'!X647)),IF($B649="STD. DEVIATION",2,$F$1))))</f>
        <v/>
      </c>
      <c r="Z649" s="1" t="str">
        <f>IF(OR($B649="",Z$7=""),"",IF($B649="MEANS",INDEX('1-DATA'!$1:$1048576,$A648-1,COLUMN('1-DATA'!Y647)),ROUND(INDEX('1-DATA'!$1:$1048576,IF(OR($B649="STD. DEVIATION",$C$1=1),$A649,$A649+1),COLUMN('1-DATA'!Y647)),IF($B649="STD. DEVIATION",2,$F$1))))</f>
        <v/>
      </c>
      <c r="AA649" s="1" t="str">
        <f>IF(OR($B649="",AA$7=""),"",IF($B649="MEANS",INDEX('1-DATA'!$1:$1048576,$A648-1,COLUMN('1-DATA'!Z647)),ROUND(INDEX('1-DATA'!$1:$1048576,IF(OR($B649="STD. DEVIATION",$C$1=1),$A649,$A649+1),COLUMN('1-DATA'!Z647)),IF($B649="STD. DEVIATION",2,$F$1))))</f>
        <v/>
      </c>
      <c r="AB649" s="1" t="str">
        <f>IF(OR($B649="",AB$7=""),"",IF($B649="MEANS",INDEX('1-DATA'!$1:$1048576,$A648-1,COLUMN('1-DATA'!AA647)),ROUND(INDEX('1-DATA'!$1:$1048576,IF(OR($B649="STD. DEVIATION",$C$1=1),$A649,$A649+1),COLUMN('1-DATA'!AA647)),IF($B649="STD. DEVIATION",2,$F$1))))</f>
        <v/>
      </c>
      <c r="AC649" s="1" t="str">
        <f>IF(OR($B649="",AC$7=""),"",IF($B649="MEANS",INDEX('1-DATA'!$1:$1048576,$A648-1,COLUMN('1-DATA'!AB647)),ROUND(INDEX('1-DATA'!$1:$1048576,IF(OR($B649="STD. DEVIATION",$C$1=1),$A649,$A649+1),COLUMN('1-DATA'!AB647)),IF($B649="STD. DEVIATION",2,$F$1))))</f>
        <v/>
      </c>
      <c r="AD649" s="1" t="str">
        <f>IF(OR($B649="",AD$7=""),"",IF($B649="MEANS",INDEX('1-DATA'!$1:$1048576,$A648-1,COLUMN('1-DATA'!AC647)),ROUND(INDEX('1-DATA'!$1:$1048576,IF(OR($B649="STD. DEVIATION",$C$1=1),$A649,$A649+1),COLUMN('1-DATA'!AC647)),IF($B649="STD. DEVIATION",2,$F$1))))</f>
        <v/>
      </c>
      <c r="AE649" s="1" t="str">
        <f>IF(OR($B649="",AE$7=""),"",IF($B649="MEANS",INDEX('1-DATA'!$1:$1048576,$A648-1,COLUMN('1-DATA'!AD647)),ROUND(INDEX('1-DATA'!$1:$1048576,IF(OR($B649="STD. DEVIATION",$C$1=1),$A649,$A649+1),COLUMN('1-DATA'!AD647)),IF($B649="STD. DEVIATION",2,$F$1))))</f>
        <v/>
      </c>
      <c r="AF649" s="1" t="str">
        <f>IF(OR($B649="",AF$7=""),"",IF($B649="MEANS",INDEX('1-DATA'!$1:$1048576,$A648-1,COLUMN('1-DATA'!AE647)),ROUND(INDEX('1-DATA'!$1:$1048576,IF(OR($B649="STD. DEVIATION",$C$1=1),$A649,$A649+1),COLUMN('1-DATA'!AE647)),IF($B649="STD. DEVIATION",2,$F$1))))</f>
        <v/>
      </c>
      <c r="AG649" s="1" t="str">
        <f>IF(OR($B649="",AG$7=""),"",IF($B649="MEANS",INDEX('1-DATA'!$1:$1048576,$A648-1,COLUMN('1-DATA'!AF647)),ROUND(INDEX('1-DATA'!$1:$1048576,IF(OR($B649="STD. DEVIATION",$C$1=1),$A649,$A649+1),COLUMN('1-DATA'!AF647)),IF($B649="STD. DEVIATION",2,$F$1))))</f>
        <v/>
      </c>
      <c r="AH649" s="1" t="str">
        <f>IF(OR($B649="",AH$7=""),"",IF($B649="MEANS",INDEX('1-DATA'!$1:$1048576,$A648-1,COLUMN('1-DATA'!AG647)),ROUND(INDEX('1-DATA'!$1:$1048576,IF(OR($B649="STD. DEVIATION",$C$1=1),$A649,$A649+1),COLUMN('1-DATA'!AG647)),IF($B649="STD. DEVIATION",2,$F$1))))</f>
        <v/>
      </c>
      <c r="AI649" s="1" t="str">
        <f>IF(OR($B649="",AI$7=""),"",IF($B649="MEANS",INDEX('1-DATA'!$1:$1048576,$A648-1,COLUMN('1-DATA'!AH647)),ROUND(INDEX('1-DATA'!$1:$1048576,IF(OR($B649="STD. DEVIATION",$C$1=1),$A649,$A649+1),COLUMN('1-DATA'!AH647)),IF($B649="STD. DEVIATION",2,$F$1))))</f>
        <v/>
      </c>
      <c r="AJ649" s="1" t="str">
        <f>IF(OR($B649="",AJ$7=""),"",IF($B649="MEANS",INDEX('1-DATA'!$1:$1048576,$A648-1,COLUMN('1-DATA'!AI647)),ROUND(INDEX('1-DATA'!$1:$1048576,IF(OR($B649="STD. DEVIATION",$C$1=1),$A649,$A649+1),COLUMN('1-DATA'!AI647)),IF($B649="STD. DEVIATION",2,$F$1))))</f>
        <v/>
      </c>
      <c r="AK649" s="1" t="str">
        <f>IF(OR($B649="",AK$7=""),"",IF($B649="MEANS",INDEX('1-DATA'!$1:$1048576,$A648-1,COLUMN('1-DATA'!AJ647)),ROUND(INDEX('1-DATA'!$1:$1048576,IF(OR($B649="STD. DEVIATION",$C$1=1),$A649,$A649+1),COLUMN('1-DATA'!AJ647)),IF($B649="STD. DEVIATION",2,$F$1))))</f>
        <v/>
      </c>
      <c r="AL649" s="1" t="str">
        <f>IF(OR($B649="",AL$7=""),"",IF($B649="MEANS",INDEX('1-DATA'!$1:$1048576,$A648-1,COLUMN('1-DATA'!AK647)),ROUND(INDEX('1-DATA'!$1:$1048576,IF(OR($B649="STD. DEVIATION",$C$1=1),$A649,$A649+1),COLUMN('1-DATA'!AK647)),IF($B649="STD. DEVIATION",2,$F$1))))</f>
        <v/>
      </c>
      <c r="AM649" s="1" t="str">
        <f>IF(OR($B649="",AM$7=""),"",IF($B649="MEANS",INDEX('1-DATA'!$1:$1048576,$A648-1,COLUMN('1-DATA'!AL647)),ROUND(INDEX('1-DATA'!$1:$1048576,IF(OR($B649="STD. DEVIATION",$C$1=1),$A649,$A649+1),COLUMN('1-DATA'!AL647)),IF($B649="STD. DEVIATION",2,$F$1))))</f>
        <v/>
      </c>
      <c r="AN649" s="1" t="str">
        <f>IF(OR($B649="",AN$7=""),"",IF($B649="MEANS",INDEX('1-DATA'!$1:$1048576,$A648-1,COLUMN('1-DATA'!AM647)),ROUND(INDEX('1-DATA'!$1:$1048576,IF(OR($B649="STD. DEVIATION",$C$1=1),$A649,$A649+1),COLUMN('1-DATA'!AM647)),IF($B649="STD. DEVIATION",2,$F$1))))</f>
        <v/>
      </c>
      <c r="AO649" s="1" t="str">
        <f>IF(OR($B649="",AO$7=""),"",IF($B649="MEANS",INDEX('1-DATA'!$1:$1048576,$A648-1,COLUMN('1-DATA'!AN647)),ROUND(INDEX('1-DATA'!$1:$1048576,IF(OR($B649="STD. DEVIATION",$C$1=1),$A649,$A649+1),COLUMN('1-DATA'!AN647)),IF($B649="STD. DEVIATION",2,$F$1))))</f>
        <v/>
      </c>
      <c r="AP649" s="1" t="str">
        <f>IF(OR($B649="",AP$7=""),"",IF($B649="MEANS",INDEX('1-DATA'!$1:$1048576,$A648-1,COLUMN('1-DATA'!AO647)),ROUND(INDEX('1-DATA'!$1:$1048576,IF(OR($B649="STD. DEVIATION",$C$1=1),$A649,$A649+1),COLUMN('1-DATA'!AO647)),IF($B649="STD. DEVIATION",2,$F$1))))</f>
        <v/>
      </c>
      <c r="AQ649" s="1" t="str">
        <f>IF(OR($B649="",AQ$7=""),"",IF($B649="MEANS",INDEX('1-DATA'!$1:$1048576,$A648-1,COLUMN('1-DATA'!AP647)),ROUND(INDEX('1-DATA'!$1:$1048576,IF(OR($B649="STD. DEVIATION",$C$1=1),$A649,$A649+1),COLUMN('1-DATA'!AP647)),IF($B649="STD. DEVIATION",2,$F$1))))</f>
        <v/>
      </c>
      <c r="AR649" s="1" t="str">
        <f>IF(OR($B649="",AR$7=""),"",IF($B649="MEANS",INDEX('1-DATA'!$1:$1048576,$A648-1,COLUMN('1-DATA'!AQ647)),ROUND(INDEX('1-DATA'!$1:$1048576,IF(OR($B649="STD. DEVIATION",$C$1=1),$A649,$A649+1),COLUMN('1-DATA'!AQ647)),IF($B649="STD. DEVIATION",2,$F$1))))</f>
        <v/>
      </c>
      <c r="AS649" s="1" t="str">
        <f>IF(OR($B649="",AS$7=""),"",IF($B649="MEANS",INDEX('1-DATA'!$1:$1048576,$A648-1,COLUMN('1-DATA'!AR647)),ROUND(INDEX('1-DATA'!$1:$1048576,IF(OR($B649="STD. DEVIATION",$C$1=1),$A649,$A649+1),COLUMN('1-DATA'!AR647)),IF($B649="STD. DEVIATION",2,$F$1))))</f>
        <v/>
      </c>
      <c r="AT649" s="1" t="str">
        <f>IF(OR($B649="",AT$7=""),"",IF($B649="MEANS",INDEX('1-DATA'!$1:$1048576,$A648-1,COLUMN('1-DATA'!AS647)),ROUND(INDEX('1-DATA'!$1:$1048576,IF(OR($B649="STD. DEVIATION",$C$1=1),$A649,$A649+1),COLUMN('1-DATA'!AS647)),IF($B649="STD. DEVIATION",2,$F$1))))</f>
        <v/>
      </c>
      <c r="AU649" s="1" t="str">
        <f>IF(OR($B649="",AU$7=""),"",IF($B649="MEANS",INDEX('1-DATA'!$1:$1048576,$A648-1,COLUMN('1-DATA'!AT647)),ROUND(INDEX('1-DATA'!$1:$1048576,IF(OR($B649="STD. DEVIATION",$C$1=1),$A649,$A649+1),COLUMN('1-DATA'!AT647)),IF($B649="STD. DEVIATION",2,$F$1))))</f>
        <v/>
      </c>
      <c r="AV649" s="1" t="str">
        <f>IF(OR($B649="",AV$7=""),"",IF($B649="MEANS",INDEX('1-DATA'!$1:$1048576,$A648-1,COLUMN('1-DATA'!AU647)),ROUND(INDEX('1-DATA'!$1:$1048576,IF(OR($B649="STD. DEVIATION",$C$1=1),$A649,$A649+1),COLUMN('1-DATA'!AU647)),IF($B649="STD. DEVIATION",2,$F$1))))</f>
        <v/>
      </c>
      <c r="AW649" s="1" t="str">
        <f>IF(OR($B649="",AW$7=""),"",IF($B649="MEANS",INDEX('1-DATA'!$1:$1048576,$A648-1,COLUMN('1-DATA'!AV647)),ROUND(INDEX('1-DATA'!$1:$1048576,IF(OR($B649="STD. DEVIATION",$C$1=1),$A649,$A649+1),COLUMN('1-DATA'!AV647)),IF($B649="STD. DEVIATION",2,$F$1))))</f>
        <v/>
      </c>
      <c r="AX649" s="1" t="str">
        <f>IF(OR($B649="",AX$7=""),"",IF($B649="MEANS",INDEX('1-DATA'!$1:$1048576,$A648-1,COLUMN('1-DATA'!AW647)),ROUND(INDEX('1-DATA'!$1:$1048576,IF(OR($B649="STD. DEVIATION",$C$1=1),$A649,$A649+1),COLUMN('1-DATA'!AW647)),IF($B649="STD. DEVIATION",2,$F$1))))</f>
        <v/>
      </c>
      <c r="AY649" s="1" t="str">
        <f>IF(OR($B649="",AY$7=""),"",IF($B649="MEANS",INDEX('1-DATA'!$1:$1048576,$A648-1,COLUMN('1-DATA'!AX647)),ROUND(INDEX('1-DATA'!$1:$1048576,IF(OR($B649="STD. DEVIATION",$C$1=1),$A649,$A649+1),COLUMN('1-DATA'!AX647)),IF($B649="STD. DEVIATION",2,$F$1))))</f>
        <v/>
      </c>
      <c r="AZ649" s="1" t="str">
        <f>IF(OR($B649="",AZ$7=""),"",IF($B649="MEANS",INDEX('1-DATA'!$1:$1048576,$A648-1,COLUMN('1-DATA'!AY647)),ROUND(INDEX('1-DATA'!$1:$1048576,IF(OR($B649="STD. DEVIATION",$C$1=1),$A649,$A649+1),COLUMN('1-DATA'!AY647)),IF($B649="STD. DEVIATION",2,$F$1))))</f>
        <v/>
      </c>
    </row>
    <row r="650" spans="1:52" x14ac:dyDescent="0.25">
      <c r="A650" s="11">
        <f t="shared" si="10"/>
        <v>1936</v>
      </c>
      <c r="B650" s="1" t="str">
        <f>IF(B649="STD. DEVIATION",INDEX('1-DATA'!$1:$1048576,$A649-1,1),IF(INDEX('1-DATA'!$1:$1048576,$A650,1)&lt;&gt;"",INDEX('1-DATA'!$1:$1048576,$A650,1),""))</f>
        <v/>
      </c>
      <c r="C650" s="1" t="str">
        <f>IF(OR($B650="",C$7=""),"",IF($B650="MEANS",INDEX('1-DATA'!$1:$1048576,$A649-1,COLUMN('1-DATA'!B648)),ROUND(INDEX('1-DATA'!$1:$1048576,IF(OR($B650="STD. DEVIATION",$C$1=1),$A650,$A650+1),COLUMN('1-DATA'!B648)),IF($B650="STD. DEVIATION",2,$F$1))))</f>
        <v/>
      </c>
      <c r="D650" s="1" t="str">
        <f>IF(OR($B650="",D$7=""),"",IF($B650="MEANS",INDEX('1-DATA'!$1:$1048576,$A649-1,COLUMN('1-DATA'!C648)),ROUND(INDEX('1-DATA'!$1:$1048576,IF(OR($B650="STD. DEVIATION",$C$1=1),$A650,$A650+1),COLUMN('1-DATA'!C648)),IF($B650="STD. DEVIATION",2,$F$1))))</f>
        <v/>
      </c>
      <c r="E650" s="1" t="str">
        <f>IF(OR($B650="",E$7=""),"",IF($B650="MEANS",INDEX('1-DATA'!$1:$1048576,$A649-1,COLUMN('1-DATA'!D648)),ROUND(INDEX('1-DATA'!$1:$1048576,IF(OR($B650="STD. DEVIATION",$C$1=1),$A650,$A650+1),COLUMN('1-DATA'!D648)),IF($B650="STD. DEVIATION",2,$F$1))))</f>
        <v/>
      </c>
      <c r="F650" s="1" t="str">
        <f>IF(OR($B650="",F$7=""),"",IF($B650="MEANS",INDEX('1-DATA'!$1:$1048576,$A649-1,COLUMN('1-DATA'!E648)),ROUND(INDEX('1-DATA'!$1:$1048576,IF(OR($B650="STD. DEVIATION",$C$1=1),$A650,$A650+1),COLUMN('1-DATA'!E648)),IF($B650="STD. DEVIATION",2,$F$1))))</f>
        <v/>
      </c>
      <c r="G650" s="1" t="str">
        <f>IF(OR($B650="",G$7=""),"",IF($B650="MEANS",INDEX('1-DATA'!$1:$1048576,$A649-1,COLUMN('1-DATA'!F648)),ROUND(INDEX('1-DATA'!$1:$1048576,IF(OR($B650="STD. DEVIATION",$C$1=1),$A650,$A650+1),COLUMN('1-DATA'!F648)),IF($B650="STD. DEVIATION",2,$F$1))))</f>
        <v/>
      </c>
      <c r="H650" s="1" t="str">
        <f>IF(OR($B650="",H$7=""),"",IF($B650="MEANS",INDEX('1-DATA'!$1:$1048576,$A649-1,COLUMN('1-DATA'!G648)),ROUND(INDEX('1-DATA'!$1:$1048576,IF(OR($B650="STD. DEVIATION",$C$1=1),$A650,$A650+1),COLUMN('1-DATA'!G648)),IF($B650="STD. DEVIATION",2,$F$1))))</f>
        <v/>
      </c>
      <c r="I650" s="1" t="str">
        <f>IF(OR($B650="",I$7=""),"",IF($B650="MEANS",INDEX('1-DATA'!$1:$1048576,$A649-1,COLUMN('1-DATA'!H648)),ROUND(INDEX('1-DATA'!$1:$1048576,IF(OR($B650="STD. DEVIATION",$C$1=1),$A650,$A650+1),COLUMN('1-DATA'!H648)),IF($B650="STD. DEVIATION",2,$F$1))))</f>
        <v/>
      </c>
      <c r="J650" s="1" t="str">
        <f>IF(OR($B650="",J$7=""),"",IF($B650="MEANS",INDEX('1-DATA'!$1:$1048576,$A649-1,COLUMN('1-DATA'!I648)),ROUND(INDEX('1-DATA'!$1:$1048576,IF(OR($B650="STD. DEVIATION",$C$1=1),$A650,$A650+1),COLUMN('1-DATA'!I648)),IF($B650="STD. DEVIATION",2,$F$1))))</f>
        <v/>
      </c>
      <c r="K650" s="1" t="str">
        <f>IF(OR($B650="",K$7=""),"",IF($B650="MEANS",INDEX('1-DATA'!$1:$1048576,$A649-1,COLUMN('1-DATA'!J648)),ROUND(INDEX('1-DATA'!$1:$1048576,IF(OR($B650="STD. DEVIATION",$C$1=1),$A650,$A650+1),COLUMN('1-DATA'!J648)),IF($B650="STD. DEVIATION",2,$F$1))))</f>
        <v/>
      </c>
      <c r="L650" s="1" t="str">
        <f>IF(OR($B650="",L$7=""),"",IF($B650="MEANS",INDEX('1-DATA'!$1:$1048576,$A649-1,COLUMN('1-DATA'!K648)),ROUND(INDEX('1-DATA'!$1:$1048576,IF(OR($B650="STD. DEVIATION",$C$1=1),$A650,$A650+1),COLUMN('1-DATA'!K648)),IF($B650="STD. DEVIATION",2,$F$1))))</f>
        <v/>
      </c>
      <c r="M650" s="1" t="str">
        <f>IF(OR($B650="",M$7=""),"",IF($B650="MEANS",INDEX('1-DATA'!$1:$1048576,$A649-1,COLUMN('1-DATA'!L648)),ROUND(INDEX('1-DATA'!$1:$1048576,IF(OR($B650="STD. DEVIATION",$C$1=1),$A650,$A650+1),COLUMN('1-DATA'!L648)),IF($B650="STD. DEVIATION",2,$F$1))))</f>
        <v/>
      </c>
      <c r="N650" s="1" t="str">
        <f>IF(OR($B650="",N$7=""),"",IF($B650="MEANS",INDEX('1-DATA'!$1:$1048576,$A649-1,COLUMN('1-DATA'!M648)),ROUND(INDEX('1-DATA'!$1:$1048576,IF(OR($B650="STD. DEVIATION",$C$1=1),$A650,$A650+1),COLUMN('1-DATA'!M648)),IF($B650="STD. DEVIATION",2,$F$1))))</f>
        <v/>
      </c>
      <c r="O650" s="1" t="str">
        <f>IF(OR($B650="",O$7=""),"",IF($B650="MEANS",INDEX('1-DATA'!$1:$1048576,$A649-1,COLUMN('1-DATA'!N648)),ROUND(INDEX('1-DATA'!$1:$1048576,IF(OR($B650="STD. DEVIATION",$C$1=1),$A650,$A650+1),COLUMN('1-DATA'!N648)),IF($B650="STD. DEVIATION",2,$F$1))))</f>
        <v/>
      </c>
      <c r="P650" s="1" t="str">
        <f>IF(OR($B650="",P$7=""),"",IF($B650="MEANS",INDEX('1-DATA'!$1:$1048576,$A649-1,COLUMN('1-DATA'!O648)),ROUND(INDEX('1-DATA'!$1:$1048576,IF(OR($B650="STD. DEVIATION",$C$1=1),$A650,$A650+1),COLUMN('1-DATA'!O648)),IF($B650="STD. DEVIATION",2,$F$1))))</f>
        <v/>
      </c>
      <c r="Q650" s="1" t="str">
        <f>IF(OR($B650="",Q$7=""),"",IF($B650="MEANS",INDEX('1-DATA'!$1:$1048576,$A649-1,COLUMN('1-DATA'!P648)),ROUND(INDEX('1-DATA'!$1:$1048576,IF(OR($B650="STD. DEVIATION",$C$1=1),$A650,$A650+1),COLUMN('1-DATA'!P648)),IF($B650="STD. DEVIATION",2,$F$1))))</f>
        <v/>
      </c>
      <c r="R650" s="1" t="str">
        <f>IF(OR($B650="",R$7=""),"",IF($B650="MEANS",INDEX('1-DATA'!$1:$1048576,$A649-1,COLUMN('1-DATA'!Q648)),ROUND(INDEX('1-DATA'!$1:$1048576,IF(OR($B650="STD. DEVIATION",$C$1=1),$A650,$A650+1),COLUMN('1-DATA'!Q648)),IF($B650="STD. DEVIATION",2,$F$1))))</f>
        <v/>
      </c>
      <c r="S650" s="1" t="str">
        <f>IF(OR($B650="",S$7=""),"",IF($B650="MEANS",INDEX('1-DATA'!$1:$1048576,$A649-1,COLUMN('1-DATA'!R648)),ROUND(INDEX('1-DATA'!$1:$1048576,IF(OR($B650="STD. DEVIATION",$C$1=1),$A650,$A650+1),COLUMN('1-DATA'!R648)),IF($B650="STD. DEVIATION",2,$F$1))))</f>
        <v/>
      </c>
      <c r="T650" s="1" t="str">
        <f>IF(OR($B650="",T$7=""),"",IF($B650="MEANS",INDEX('1-DATA'!$1:$1048576,$A649-1,COLUMN('1-DATA'!S648)),ROUND(INDEX('1-DATA'!$1:$1048576,IF(OR($B650="STD. DEVIATION",$C$1=1),$A650,$A650+1),COLUMN('1-DATA'!S648)),IF($B650="STD. DEVIATION",2,$F$1))))</f>
        <v/>
      </c>
      <c r="U650" s="1" t="str">
        <f>IF(OR($B650="",U$7=""),"",IF($B650="MEANS",INDEX('1-DATA'!$1:$1048576,$A649-1,COLUMN('1-DATA'!T648)),ROUND(INDEX('1-DATA'!$1:$1048576,IF(OR($B650="STD. DEVIATION",$C$1=1),$A650,$A650+1),COLUMN('1-DATA'!T648)),IF($B650="STD. DEVIATION",2,$F$1))))</f>
        <v/>
      </c>
      <c r="V650" s="1" t="str">
        <f>IF(OR($B650="",V$7=""),"",IF($B650="MEANS",INDEX('1-DATA'!$1:$1048576,$A649-1,COLUMN('1-DATA'!U648)),ROUND(INDEX('1-DATA'!$1:$1048576,IF(OR($B650="STD. DEVIATION",$C$1=1),$A650,$A650+1),COLUMN('1-DATA'!U648)),IF($B650="STD. DEVIATION",2,$F$1))))</f>
        <v/>
      </c>
      <c r="W650" s="1" t="str">
        <f>IF(OR($B650="",W$7=""),"",IF($B650="MEANS",INDEX('1-DATA'!$1:$1048576,$A649-1,COLUMN('1-DATA'!V648)),ROUND(INDEX('1-DATA'!$1:$1048576,IF(OR($B650="STD. DEVIATION",$C$1=1),$A650,$A650+1),COLUMN('1-DATA'!V648)),IF($B650="STD. DEVIATION",2,$F$1))))</f>
        <v/>
      </c>
      <c r="X650" s="1" t="str">
        <f>IF(OR($B650="",X$7=""),"",IF($B650="MEANS",INDEX('1-DATA'!$1:$1048576,$A649-1,COLUMN('1-DATA'!W648)),ROUND(INDEX('1-DATA'!$1:$1048576,IF(OR($B650="STD. DEVIATION",$C$1=1),$A650,$A650+1),COLUMN('1-DATA'!W648)),IF($B650="STD. DEVIATION",2,$F$1))))</f>
        <v/>
      </c>
      <c r="Y650" s="1" t="str">
        <f>IF(OR($B650="",Y$7=""),"",IF($B650="MEANS",INDEX('1-DATA'!$1:$1048576,$A649-1,COLUMN('1-DATA'!X648)),ROUND(INDEX('1-DATA'!$1:$1048576,IF(OR($B650="STD. DEVIATION",$C$1=1),$A650,$A650+1),COLUMN('1-DATA'!X648)),IF($B650="STD. DEVIATION",2,$F$1))))</f>
        <v/>
      </c>
      <c r="Z650" s="1" t="str">
        <f>IF(OR($B650="",Z$7=""),"",IF($B650="MEANS",INDEX('1-DATA'!$1:$1048576,$A649-1,COLUMN('1-DATA'!Y648)),ROUND(INDEX('1-DATA'!$1:$1048576,IF(OR($B650="STD. DEVIATION",$C$1=1),$A650,$A650+1),COLUMN('1-DATA'!Y648)),IF($B650="STD. DEVIATION",2,$F$1))))</f>
        <v/>
      </c>
      <c r="AA650" s="1" t="str">
        <f>IF(OR($B650="",AA$7=""),"",IF($B650="MEANS",INDEX('1-DATA'!$1:$1048576,$A649-1,COLUMN('1-DATA'!Z648)),ROUND(INDEX('1-DATA'!$1:$1048576,IF(OR($B650="STD. DEVIATION",$C$1=1),$A650,$A650+1),COLUMN('1-DATA'!Z648)),IF($B650="STD. DEVIATION",2,$F$1))))</f>
        <v/>
      </c>
      <c r="AB650" s="1" t="str">
        <f>IF(OR($B650="",AB$7=""),"",IF($B650="MEANS",INDEX('1-DATA'!$1:$1048576,$A649-1,COLUMN('1-DATA'!AA648)),ROUND(INDEX('1-DATA'!$1:$1048576,IF(OR($B650="STD. DEVIATION",$C$1=1),$A650,$A650+1),COLUMN('1-DATA'!AA648)),IF($B650="STD. DEVIATION",2,$F$1))))</f>
        <v/>
      </c>
      <c r="AC650" s="1" t="str">
        <f>IF(OR($B650="",AC$7=""),"",IF($B650="MEANS",INDEX('1-DATA'!$1:$1048576,$A649-1,COLUMN('1-DATA'!AB648)),ROUND(INDEX('1-DATA'!$1:$1048576,IF(OR($B650="STD. DEVIATION",$C$1=1),$A650,$A650+1),COLUMN('1-DATA'!AB648)),IF($B650="STD. DEVIATION",2,$F$1))))</f>
        <v/>
      </c>
      <c r="AD650" s="1" t="str">
        <f>IF(OR($B650="",AD$7=""),"",IF($B650="MEANS",INDEX('1-DATA'!$1:$1048576,$A649-1,COLUMN('1-DATA'!AC648)),ROUND(INDEX('1-DATA'!$1:$1048576,IF(OR($B650="STD. DEVIATION",$C$1=1),$A650,$A650+1),COLUMN('1-DATA'!AC648)),IF($B650="STD. DEVIATION",2,$F$1))))</f>
        <v/>
      </c>
      <c r="AE650" s="1" t="str">
        <f>IF(OR($B650="",AE$7=""),"",IF($B650="MEANS",INDEX('1-DATA'!$1:$1048576,$A649-1,COLUMN('1-DATA'!AD648)),ROUND(INDEX('1-DATA'!$1:$1048576,IF(OR($B650="STD. DEVIATION",$C$1=1),$A650,$A650+1),COLUMN('1-DATA'!AD648)),IF($B650="STD. DEVIATION",2,$F$1))))</f>
        <v/>
      </c>
      <c r="AF650" s="1" t="str">
        <f>IF(OR($B650="",AF$7=""),"",IF($B650="MEANS",INDEX('1-DATA'!$1:$1048576,$A649-1,COLUMN('1-DATA'!AE648)),ROUND(INDEX('1-DATA'!$1:$1048576,IF(OR($B650="STD. DEVIATION",$C$1=1),$A650,$A650+1),COLUMN('1-DATA'!AE648)),IF($B650="STD. DEVIATION",2,$F$1))))</f>
        <v/>
      </c>
      <c r="AG650" s="1" t="str">
        <f>IF(OR($B650="",AG$7=""),"",IF($B650="MEANS",INDEX('1-DATA'!$1:$1048576,$A649-1,COLUMN('1-DATA'!AF648)),ROUND(INDEX('1-DATA'!$1:$1048576,IF(OR($B650="STD. DEVIATION",$C$1=1),$A650,$A650+1),COLUMN('1-DATA'!AF648)),IF($B650="STD. DEVIATION",2,$F$1))))</f>
        <v/>
      </c>
      <c r="AH650" s="1" t="str">
        <f>IF(OR($B650="",AH$7=""),"",IF($B650="MEANS",INDEX('1-DATA'!$1:$1048576,$A649-1,COLUMN('1-DATA'!AG648)),ROUND(INDEX('1-DATA'!$1:$1048576,IF(OR($B650="STD. DEVIATION",$C$1=1),$A650,$A650+1),COLUMN('1-DATA'!AG648)),IF($B650="STD. DEVIATION",2,$F$1))))</f>
        <v/>
      </c>
      <c r="AI650" s="1" t="str">
        <f>IF(OR($B650="",AI$7=""),"",IF($B650="MEANS",INDEX('1-DATA'!$1:$1048576,$A649-1,COLUMN('1-DATA'!AH648)),ROUND(INDEX('1-DATA'!$1:$1048576,IF(OR($B650="STD. DEVIATION",$C$1=1),$A650,$A650+1),COLUMN('1-DATA'!AH648)),IF($B650="STD. DEVIATION",2,$F$1))))</f>
        <v/>
      </c>
      <c r="AJ650" s="1" t="str">
        <f>IF(OR($B650="",AJ$7=""),"",IF($B650="MEANS",INDEX('1-DATA'!$1:$1048576,$A649-1,COLUMN('1-DATA'!AI648)),ROUND(INDEX('1-DATA'!$1:$1048576,IF(OR($B650="STD. DEVIATION",$C$1=1),$A650,$A650+1),COLUMN('1-DATA'!AI648)),IF($B650="STD. DEVIATION",2,$F$1))))</f>
        <v/>
      </c>
      <c r="AK650" s="1" t="str">
        <f>IF(OR($B650="",AK$7=""),"",IF($B650="MEANS",INDEX('1-DATA'!$1:$1048576,$A649-1,COLUMN('1-DATA'!AJ648)),ROUND(INDEX('1-DATA'!$1:$1048576,IF(OR($B650="STD. DEVIATION",$C$1=1),$A650,$A650+1),COLUMN('1-DATA'!AJ648)),IF($B650="STD. DEVIATION",2,$F$1))))</f>
        <v/>
      </c>
      <c r="AL650" s="1" t="str">
        <f>IF(OR($B650="",AL$7=""),"",IF($B650="MEANS",INDEX('1-DATA'!$1:$1048576,$A649-1,COLUMN('1-DATA'!AK648)),ROUND(INDEX('1-DATA'!$1:$1048576,IF(OR($B650="STD. DEVIATION",$C$1=1),$A650,$A650+1),COLUMN('1-DATA'!AK648)),IF($B650="STD. DEVIATION",2,$F$1))))</f>
        <v/>
      </c>
      <c r="AM650" s="1" t="str">
        <f>IF(OR($B650="",AM$7=""),"",IF($B650="MEANS",INDEX('1-DATA'!$1:$1048576,$A649-1,COLUMN('1-DATA'!AL648)),ROUND(INDEX('1-DATA'!$1:$1048576,IF(OR($B650="STD. DEVIATION",$C$1=1),$A650,$A650+1),COLUMN('1-DATA'!AL648)),IF($B650="STD. DEVIATION",2,$F$1))))</f>
        <v/>
      </c>
      <c r="AN650" s="1" t="str">
        <f>IF(OR($B650="",AN$7=""),"",IF($B650="MEANS",INDEX('1-DATA'!$1:$1048576,$A649-1,COLUMN('1-DATA'!AM648)),ROUND(INDEX('1-DATA'!$1:$1048576,IF(OR($B650="STD. DEVIATION",$C$1=1),$A650,$A650+1),COLUMN('1-DATA'!AM648)),IF($B650="STD. DEVIATION",2,$F$1))))</f>
        <v/>
      </c>
      <c r="AO650" s="1" t="str">
        <f>IF(OR($B650="",AO$7=""),"",IF($B650="MEANS",INDEX('1-DATA'!$1:$1048576,$A649-1,COLUMN('1-DATA'!AN648)),ROUND(INDEX('1-DATA'!$1:$1048576,IF(OR($B650="STD. DEVIATION",$C$1=1),$A650,$A650+1),COLUMN('1-DATA'!AN648)),IF($B650="STD. DEVIATION",2,$F$1))))</f>
        <v/>
      </c>
      <c r="AP650" s="1" t="str">
        <f>IF(OR($B650="",AP$7=""),"",IF($B650="MEANS",INDEX('1-DATA'!$1:$1048576,$A649-1,COLUMN('1-DATA'!AO648)),ROUND(INDEX('1-DATA'!$1:$1048576,IF(OR($B650="STD. DEVIATION",$C$1=1),$A650,$A650+1),COLUMN('1-DATA'!AO648)),IF($B650="STD. DEVIATION",2,$F$1))))</f>
        <v/>
      </c>
      <c r="AQ650" s="1" t="str">
        <f>IF(OR($B650="",AQ$7=""),"",IF($B650="MEANS",INDEX('1-DATA'!$1:$1048576,$A649-1,COLUMN('1-DATA'!AP648)),ROUND(INDEX('1-DATA'!$1:$1048576,IF(OR($B650="STD. DEVIATION",$C$1=1),$A650,$A650+1),COLUMN('1-DATA'!AP648)),IF($B650="STD. DEVIATION",2,$F$1))))</f>
        <v/>
      </c>
      <c r="AR650" s="1" t="str">
        <f>IF(OR($B650="",AR$7=""),"",IF($B650="MEANS",INDEX('1-DATA'!$1:$1048576,$A649-1,COLUMN('1-DATA'!AQ648)),ROUND(INDEX('1-DATA'!$1:$1048576,IF(OR($B650="STD. DEVIATION",$C$1=1),$A650,$A650+1),COLUMN('1-DATA'!AQ648)),IF($B650="STD. DEVIATION",2,$F$1))))</f>
        <v/>
      </c>
      <c r="AS650" s="1" t="str">
        <f>IF(OR($B650="",AS$7=""),"",IF($B650="MEANS",INDEX('1-DATA'!$1:$1048576,$A649-1,COLUMN('1-DATA'!AR648)),ROUND(INDEX('1-DATA'!$1:$1048576,IF(OR($B650="STD. DEVIATION",$C$1=1),$A650,$A650+1),COLUMN('1-DATA'!AR648)),IF($B650="STD. DEVIATION",2,$F$1))))</f>
        <v/>
      </c>
      <c r="AT650" s="1" t="str">
        <f>IF(OR($B650="",AT$7=""),"",IF($B650="MEANS",INDEX('1-DATA'!$1:$1048576,$A649-1,COLUMN('1-DATA'!AS648)),ROUND(INDEX('1-DATA'!$1:$1048576,IF(OR($B650="STD. DEVIATION",$C$1=1),$A650,$A650+1),COLUMN('1-DATA'!AS648)),IF($B650="STD. DEVIATION",2,$F$1))))</f>
        <v/>
      </c>
      <c r="AU650" s="1" t="str">
        <f>IF(OR($B650="",AU$7=""),"",IF($B650="MEANS",INDEX('1-DATA'!$1:$1048576,$A649-1,COLUMN('1-DATA'!AT648)),ROUND(INDEX('1-DATA'!$1:$1048576,IF(OR($B650="STD. DEVIATION",$C$1=1),$A650,$A650+1),COLUMN('1-DATA'!AT648)),IF($B650="STD. DEVIATION",2,$F$1))))</f>
        <v/>
      </c>
      <c r="AV650" s="1" t="str">
        <f>IF(OR($B650="",AV$7=""),"",IF($B650="MEANS",INDEX('1-DATA'!$1:$1048576,$A649-1,COLUMN('1-DATA'!AU648)),ROUND(INDEX('1-DATA'!$1:$1048576,IF(OR($B650="STD. DEVIATION",$C$1=1),$A650,$A650+1),COLUMN('1-DATA'!AU648)),IF($B650="STD. DEVIATION",2,$F$1))))</f>
        <v/>
      </c>
      <c r="AW650" s="1" t="str">
        <f>IF(OR($B650="",AW$7=""),"",IF($B650="MEANS",INDEX('1-DATA'!$1:$1048576,$A649-1,COLUMN('1-DATA'!AV648)),ROUND(INDEX('1-DATA'!$1:$1048576,IF(OR($B650="STD. DEVIATION",$C$1=1),$A650,$A650+1),COLUMN('1-DATA'!AV648)),IF($B650="STD. DEVIATION",2,$F$1))))</f>
        <v/>
      </c>
      <c r="AX650" s="1" t="str">
        <f>IF(OR($B650="",AX$7=""),"",IF($B650="MEANS",INDEX('1-DATA'!$1:$1048576,$A649-1,COLUMN('1-DATA'!AW648)),ROUND(INDEX('1-DATA'!$1:$1048576,IF(OR($B650="STD. DEVIATION",$C$1=1),$A650,$A650+1),COLUMN('1-DATA'!AW648)),IF($B650="STD. DEVIATION",2,$F$1))))</f>
        <v/>
      </c>
      <c r="AY650" s="1" t="str">
        <f>IF(OR($B650="",AY$7=""),"",IF($B650="MEANS",INDEX('1-DATA'!$1:$1048576,$A649-1,COLUMN('1-DATA'!AX648)),ROUND(INDEX('1-DATA'!$1:$1048576,IF(OR($B650="STD. DEVIATION",$C$1=1),$A650,$A650+1),COLUMN('1-DATA'!AX648)),IF($B650="STD. DEVIATION",2,$F$1))))</f>
        <v/>
      </c>
      <c r="AZ650" s="1" t="str">
        <f>IF(OR($B650="",AZ$7=""),"",IF($B650="MEANS",INDEX('1-DATA'!$1:$1048576,$A649-1,COLUMN('1-DATA'!AY648)),ROUND(INDEX('1-DATA'!$1:$1048576,IF(OR($B650="STD. DEVIATION",$C$1=1),$A650,$A650+1),COLUMN('1-DATA'!AY648)),IF($B650="STD. DEVIATION",2,$F$1))))</f>
        <v/>
      </c>
    </row>
    <row r="651" spans="1:52" x14ac:dyDescent="0.25">
      <c r="A651" s="11">
        <f t="shared" si="10"/>
        <v>1939</v>
      </c>
      <c r="B651" s="1" t="str">
        <f>IF(B650="STD. DEVIATION",INDEX('1-DATA'!$1:$1048576,$A650-1,1),IF(INDEX('1-DATA'!$1:$1048576,$A651,1)&lt;&gt;"",INDEX('1-DATA'!$1:$1048576,$A651,1),""))</f>
        <v/>
      </c>
      <c r="C651" s="1" t="str">
        <f>IF(OR($B651="",C$7=""),"",IF($B651="MEANS",INDEX('1-DATA'!$1:$1048576,$A650-1,COLUMN('1-DATA'!B649)),ROUND(INDEX('1-DATA'!$1:$1048576,IF(OR($B651="STD. DEVIATION",$C$1=1),$A651,$A651+1),COLUMN('1-DATA'!B649)),IF($B651="STD. DEVIATION",2,$F$1))))</f>
        <v/>
      </c>
      <c r="D651" s="1" t="str">
        <f>IF(OR($B651="",D$7=""),"",IF($B651="MEANS",INDEX('1-DATA'!$1:$1048576,$A650-1,COLUMN('1-DATA'!C649)),ROUND(INDEX('1-DATA'!$1:$1048576,IF(OR($B651="STD. DEVIATION",$C$1=1),$A651,$A651+1),COLUMN('1-DATA'!C649)),IF($B651="STD. DEVIATION",2,$F$1))))</f>
        <v/>
      </c>
      <c r="E651" s="1" t="str">
        <f>IF(OR($B651="",E$7=""),"",IF($B651="MEANS",INDEX('1-DATA'!$1:$1048576,$A650-1,COLUMN('1-DATA'!D649)),ROUND(INDEX('1-DATA'!$1:$1048576,IF(OR($B651="STD. DEVIATION",$C$1=1),$A651,$A651+1),COLUMN('1-DATA'!D649)),IF($B651="STD. DEVIATION",2,$F$1))))</f>
        <v/>
      </c>
      <c r="F651" s="1" t="str">
        <f>IF(OR($B651="",F$7=""),"",IF($B651="MEANS",INDEX('1-DATA'!$1:$1048576,$A650-1,COLUMN('1-DATA'!E649)),ROUND(INDEX('1-DATA'!$1:$1048576,IF(OR($B651="STD. DEVIATION",$C$1=1),$A651,$A651+1),COLUMN('1-DATA'!E649)),IF($B651="STD. DEVIATION",2,$F$1))))</f>
        <v/>
      </c>
      <c r="G651" s="1" t="str">
        <f>IF(OR($B651="",G$7=""),"",IF($B651="MEANS",INDEX('1-DATA'!$1:$1048576,$A650-1,COLUMN('1-DATA'!F649)),ROUND(INDEX('1-DATA'!$1:$1048576,IF(OR($B651="STD. DEVIATION",$C$1=1),$A651,$A651+1),COLUMN('1-DATA'!F649)),IF($B651="STD. DEVIATION",2,$F$1))))</f>
        <v/>
      </c>
      <c r="H651" s="1" t="str">
        <f>IF(OR($B651="",H$7=""),"",IF($B651="MEANS",INDEX('1-DATA'!$1:$1048576,$A650-1,COLUMN('1-DATA'!G649)),ROUND(INDEX('1-DATA'!$1:$1048576,IF(OR($B651="STD. DEVIATION",$C$1=1),$A651,$A651+1),COLUMN('1-DATA'!G649)),IF($B651="STD. DEVIATION",2,$F$1))))</f>
        <v/>
      </c>
      <c r="I651" s="1" t="str">
        <f>IF(OR($B651="",I$7=""),"",IF($B651="MEANS",INDEX('1-DATA'!$1:$1048576,$A650-1,COLUMN('1-DATA'!H649)),ROUND(INDEX('1-DATA'!$1:$1048576,IF(OR($B651="STD. DEVIATION",$C$1=1),$A651,$A651+1),COLUMN('1-DATA'!H649)),IF($B651="STD. DEVIATION",2,$F$1))))</f>
        <v/>
      </c>
      <c r="J651" s="1" t="str">
        <f>IF(OR($B651="",J$7=""),"",IF($B651="MEANS",INDEX('1-DATA'!$1:$1048576,$A650-1,COLUMN('1-DATA'!I649)),ROUND(INDEX('1-DATA'!$1:$1048576,IF(OR($B651="STD. DEVIATION",$C$1=1),$A651,$A651+1),COLUMN('1-DATA'!I649)),IF($B651="STD. DEVIATION",2,$F$1))))</f>
        <v/>
      </c>
      <c r="K651" s="1" t="str">
        <f>IF(OR($B651="",K$7=""),"",IF($B651="MEANS",INDEX('1-DATA'!$1:$1048576,$A650-1,COLUMN('1-DATA'!J649)),ROUND(INDEX('1-DATA'!$1:$1048576,IF(OR($B651="STD. DEVIATION",$C$1=1),$A651,$A651+1),COLUMN('1-DATA'!J649)),IF($B651="STD. DEVIATION",2,$F$1))))</f>
        <v/>
      </c>
      <c r="L651" s="1" t="str">
        <f>IF(OR($B651="",L$7=""),"",IF($B651="MEANS",INDEX('1-DATA'!$1:$1048576,$A650-1,COLUMN('1-DATA'!K649)),ROUND(INDEX('1-DATA'!$1:$1048576,IF(OR($B651="STD. DEVIATION",$C$1=1),$A651,$A651+1),COLUMN('1-DATA'!K649)),IF($B651="STD. DEVIATION",2,$F$1))))</f>
        <v/>
      </c>
      <c r="M651" s="1" t="str">
        <f>IF(OR($B651="",M$7=""),"",IF($B651="MEANS",INDEX('1-DATA'!$1:$1048576,$A650-1,COLUMN('1-DATA'!L649)),ROUND(INDEX('1-DATA'!$1:$1048576,IF(OR($B651="STD. DEVIATION",$C$1=1),$A651,$A651+1),COLUMN('1-DATA'!L649)),IF($B651="STD. DEVIATION",2,$F$1))))</f>
        <v/>
      </c>
      <c r="N651" s="1" t="str">
        <f>IF(OR($B651="",N$7=""),"",IF($B651="MEANS",INDEX('1-DATA'!$1:$1048576,$A650-1,COLUMN('1-DATA'!M649)),ROUND(INDEX('1-DATA'!$1:$1048576,IF(OR($B651="STD. DEVIATION",$C$1=1),$A651,$A651+1),COLUMN('1-DATA'!M649)),IF($B651="STD. DEVIATION",2,$F$1))))</f>
        <v/>
      </c>
      <c r="O651" s="1" t="str">
        <f>IF(OR($B651="",O$7=""),"",IF($B651="MEANS",INDEX('1-DATA'!$1:$1048576,$A650-1,COLUMN('1-DATA'!N649)),ROUND(INDEX('1-DATA'!$1:$1048576,IF(OR($B651="STD. DEVIATION",$C$1=1),$A651,$A651+1),COLUMN('1-DATA'!N649)),IF($B651="STD. DEVIATION",2,$F$1))))</f>
        <v/>
      </c>
      <c r="P651" s="1" t="str">
        <f>IF(OR($B651="",P$7=""),"",IF($B651="MEANS",INDEX('1-DATA'!$1:$1048576,$A650-1,COLUMN('1-DATA'!O649)),ROUND(INDEX('1-DATA'!$1:$1048576,IF(OR($B651="STD. DEVIATION",$C$1=1),$A651,$A651+1),COLUMN('1-DATA'!O649)),IF($B651="STD. DEVIATION",2,$F$1))))</f>
        <v/>
      </c>
      <c r="Q651" s="1" t="str">
        <f>IF(OR($B651="",Q$7=""),"",IF($B651="MEANS",INDEX('1-DATA'!$1:$1048576,$A650-1,COLUMN('1-DATA'!P649)),ROUND(INDEX('1-DATA'!$1:$1048576,IF(OR($B651="STD. DEVIATION",$C$1=1),$A651,$A651+1),COLUMN('1-DATA'!P649)),IF($B651="STD. DEVIATION",2,$F$1))))</f>
        <v/>
      </c>
      <c r="R651" s="1" t="str">
        <f>IF(OR($B651="",R$7=""),"",IF($B651="MEANS",INDEX('1-DATA'!$1:$1048576,$A650-1,COLUMN('1-DATA'!Q649)),ROUND(INDEX('1-DATA'!$1:$1048576,IF(OR($B651="STD. DEVIATION",$C$1=1),$A651,$A651+1),COLUMN('1-DATA'!Q649)),IF($B651="STD. DEVIATION",2,$F$1))))</f>
        <v/>
      </c>
      <c r="S651" s="1" t="str">
        <f>IF(OR($B651="",S$7=""),"",IF($B651="MEANS",INDEX('1-DATA'!$1:$1048576,$A650-1,COLUMN('1-DATA'!R649)),ROUND(INDEX('1-DATA'!$1:$1048576,IF(OR($B651="STD. DEVIATION",$C$1=1),$A651,$A651+1),COLUMN('1-DATA'!R649)),IF($B651="STD. DEVIATION",2,$F$1))))</f>
        <v/>
      </c>
      <c r="T651" s="1" t="str">
        <f>IF(OR($B651="",T$7=""),"",IF($B651="MEANS",INDEX('1-DATA'!$1:$1048576,$A650-1,COLUMN('1-DATA'!S649)),ROUND(INDEX('1-DATA'!$1:$1048576,IF(OR($B651="STD. DEVIATION",$C$1=1),$A651,$A651+1),COLUMN('1-DATA'!S649)),IF($B651="STD. DEVIATION",2,$F$1))))</f>
        <v/>
      </c>
      <c r="U651" s="1" t="str">
        <f>IF(OR($B651="",U$7=""),"",IF($B651="MEANS",INDEX('1-DATA'!$1:$1048576,$A650-1,COLUMN('1-DATA'!T649)),ROUND(INDEX('1-DATA'!$1:$1048576,IF(OR($B651="STD. DEVIATION",$C$1=1),$A651,$A651+1),COLUMN('1-DATA'!T649)),IF($B651="STD. DEVIATION",2,$F$1))))</f>
        <v/>
      </c>
      <c r="V651" s="1" t="str">
        <f>IF(OR($B651="",V$7=""),"",IF($B651="MEANS",INDEX('1-DATA'!$1:$1048576,$A650-1,COLUMN('1-DATA'!U649)),ROUND(INDEX('1-DATA'!$1:$1048576,IF(OR($B651="STD. DEVIATION",$C$1=1),$A651,$A651+1),COLUMN('1-DATA'!U649)),IF($B651="STD. DEVIATION",2,$F$1))))</f>
        <v/>
      </c>
      <c r="W651" s="1" t="str">
        <f>IF(OR($B651="",W$7=""),"",IF($B651="MEANS",INDEX('1-DATA'!$1:$1048576,$A650-1,COLUMN('1-DATA'!V649)),ROUND(INDEX('1-DATA'!$1:$1048576,IF(OR($B651="STD. DEVIATION",$C$1=1),$A651,$A651+1),COLUMN('1-DATA'!V649)),IF($B651="STD. DEVIATION",2,$F$1))))</f>
        <v/>
      </c>
      <c r="X651" s="1" t="str">
        <f>IF(OR($B651="",X$7=""),"",IF($B651="MEANS",INDEX('1-DATA'!$1:$1048576,$A650-1,COLUMN('1-DATA'!W649)),ROUND(INDEX('1-DATA'!$1:$1048576,IF(OR($B651="STD. DEVIATION",$C$1=1),$A651,$A651+1),COLUMN('1-DATA'!W649)),IF($B651="STD. DEVIATION",2,$F$1))))</f>
        <v/>
      </c>
      <c r="Y651" s="1" t="str">
        <f>IF(OR($B651="",Y$7=""),"",IF($B651="MEANS",INDEX('1-DATA'!$1:$1048576,$A650-1,COLUMN('1-DATA'!X649)),ROUND(INDEX('1-DATA'!$1:$1048576,IF(OR($B651="STD. DEVIATION",$C$1=1),$A651,$A651+1),COLUMN('1-DATA'!X649)),IF($B651="STD. DEVIATION",2,$F$1))))</f>
        <v/>
      </c>
      <c r="Z651" s="1" t="str">
        <f>IF(OR($B651="",Z$7=""),"",IF($B651="MEANS",INDEX('1-DATA'!$1:$1048576,$A650-1,COLUMN('1-DATA'!Y649)),ROUND(INDEX('1-DATA'!$1:$1048576,IF(OR($B651="STD. DEVIATION",$C$1=1),$A651,$A651+1),COLUMN('1-DATA'!Y649)),IF($B651="STD. DEVIATION",2,$F$1))))</f>
        <v/>
      </c>
      <c r="AA651" s="1" t="str">
        <f>IF(OR($B651="",AA$7=""),"",IF($B651="MEANS",INDEX('1-DATA'!$1:$1048576,$A650-1,COLUMN('1-DATA'!Z649)),ROUND(INDEX('1-DATA'!$1:$1048576,IF(OR($B651="STD. DEVIATION",$C$1=1),$A651,$A651+1),COLUMN('1-DATA'!Z649)),IF($B651="STD. DEVIATION",2,$F$1))))</f>
        <v/>
      </c>
      <c r="AB651" s="1" t="str">
        <f>IF(OR($B651="",AB$7=""),"",IF($B651="MEANS",INDEX('1-DATA'!$1:$1048576,$A650-1,COLUMN('1-DATA'!AA649)),ROUND(INDEX('1-DATA'!$1:$1048576,IF(OR($B651="STD. DEVIATION",$C$1=1),$A651,$A651+1),COLUMN('1-DATA'!AA649)),IF($B651="STD. DEVIATION",2,$F$1))))</f>
        <v/>
      </c>
      <c r="AC651" s="1" t="str">
        <f>IF(OR($B651="",AC$7=""),"",IF($B651="MEANS",INDEX('1-DATA'!$1:$1048576,$A650-1,COLUMN('1-DATA'!AB649)),ROUND(INDEX('1-DATA'!$1:$1048576,IF(OR($B651="STD. DEVIATION",$C$1=1),$A651,$A651+1),COLUMN('1-DATA'!AB649)),IF($B651="STD. DEVIATION",2,$F$1))))</f>
        <v/>
      </c>
      <c r="AD651" s="1" t="str">
        <f>IF(OR($B651="",AD$7=""),"",IF($B651="MEANS",INDEX('1-DATA'!$1:$1048576,$A650-1,COLUMN('1-DATA'!AC649)),ROUND(INDEX('1-DATA'!$1:$1048576,IF(OR($B651="STD. DEVIATION",$C$1=1),$A651,$A651+1),COLUMN('1-DATA'!AC649)),IF($B651="STD. DEVIATION",2,$F$1))))</f>
        <v/>
      </c>
      <c r="AE651" s="1" t="str">
        <f>IF(OR($B651="",AE$7=""),"",IF($B651="MEANS",INDEX('1-DATA'!$1:$1048576,$A650-1,COLUMN('1-DATA'!AD649)),ROUND(INDEX('1-DATA'!$1:$1048576,IF(OR($B651="STD. DEVIATION",$C$1=1),$A651,$A651+1),COLUMN('1-DATA'!AD649)),IF($B651="STD. DEVIATION",2,$F$1))))</f>
        <v/>
      </c>
      <c r="AF651" s="1" t="str">
        <f>IF(OR($B651="",AF$7=""),"",IF($B651="MEANS",INDEX('1-DATA'!$1:$1048576,$A650-1,COLUMN('1-DATA'!AE649)),ROUND(INDEX('1-DATA'!$1:$1048576,IF(OR($B651="STD. DEVIATION",$C$1=1),$A651,$A651+1),COLUMN('1-DATA'!AE649)),IF($B651="STD. DEVIATION",2,$F$1))))</f>
        <v/>
      </c>
      <c r="AG651" s="1" t="str">
        <f>IF(OR($B651="",AG$7=""),"",IF($B651="MEANS",INDEX('1-DATA'!$1:$1048576,$A650-1,COLUMN('1-DATA'!AF649)),ROUND(INDEX('1-DATA'!$1:$1048576,IF(OR($B651="STD. DEVIATION",$C$1=1),$A651,$A651+1),COLUMN('1-DATA'!AF649)),IF($B651="STD. DEVIATION",2,$F$1))))</f>
        <v/>
      </c>
      <c r="AH651" s="1" t="str">
        <f>IF(OR($B651="",AH$7=""),"",IF($B651="MEANS",INDEX('1-DATA'!$1:$1048576,$A650-1,COLUMN('1-DATA'!AG649)),ROUND(INDEX('1-DATA'!$1:$1048576,IF(OR($B651="STD. DEVIATION",$C$1=1),$A651,$A651+1),COLUMN('1-DATA'!AG649)),IF($B651="STD. DEVIATION",2,$F$1))))</f>
        <v/>
      </c>
      <c r="AI651" s="1" t="str">
        <f>IF(OR($B651="",AI$7=""),"",IF($B651="MEANS",INDEX('1-DATA'!$1:$1048576,$A650-1,COLUMN('1-DATA'!AH649)),ROUND(INDEX('1-DATA'!$1:$1048576,IF(OR($B651="STD. DEVIATION",$C$1=1),$A651,$A651+1),COLUMN('1-DATA'!AH649)),IF($B651="STD. DEVIATION",2,$F$1))))</f>
        <v/>
      </c>
      <c r="AJ651" s="1" t="str">
        <f>IF(OR($B651="",AJ$7=""),"",IF($B651="MEANS",INDEX('1-DATA'!$1:$1048576,$A650-1,COLUMN('1-DATA'!AI649)),ROUND(INDEX('1-DATA'!$1:$1048576,IF(OR($B651="STD. DEVIATION",$C$1=1),$A651,$A651+1),COLUMN('1-DATA'!AI649)),IF($B651="STD. DEVIATION",2,$F$1))))</f>
        <v/>
      </c>
      <c r="AK651" s="1" t="str">
        <f>IF(OR($B651="",AK$7=""),"",IF($B651="MEANS",INDEX('1-DATA'!$1:$1048576,$A650-1,COLUMN('1-DATA'!AJ649)),ROUND(INDEX('1-DATA'!$1:$1048576,IF(OR($B651="STD. DEVIATION",$C$1=1),$A651,$A651+1),COLUMN('1-DATA'!AJ649)),IF($B651="STD. DEVIATION",2,$F$1))))</f>
        <v/>
      </c>
      <c r="AL651" s="1" t="str">
        <f>IF(OR($B651="",AL$7=""),"",IF($B651="MEANS",INDEX('1-DATA'!$1:$1048576,$A650-1,COLUMN('1-DATA'!AK649)),ROUND(INDEX('1-DATA'!$1:$1048576,IF(OR($B651="STD. DEVIATION",$C$1=1),$A651,$A651+1),COLUMN('1-DATA'!AK649)),IF($B651="STD. DEVIATION",2,$F$1))))</f>
        <v/>
      </c>
      <c r="AM651" s="1" t="str">
        <f>IF(OR($B651="",AM$7=""),"",IF($B651="MEANS",INDEX('1-DATA'!$1:$1048576,$A650-1,COLUMN('1-DATA'!AL649)),ROUND(INDEX('1-DATA'!$1:$1048576,IF(OR($B651="STD. DEVIATION",$C$1=1),$A651,$A651+1),COLUMN('1-DATA'!AL649)),IF($B651="STD. DEVIATION",2,$F$1))))</f>
        <v/>
      </c>
      <c r="AN651" s="1" t="str">
        <f>IF(OR($B651="",AN$7=""),"",IF($B651="MEANS",INDEX('1-DATA'!$1:$1048576,$A650-1,COLUMN('1-DATA'!AM649)),ROUND(INDEX('1-DATA'!$1:$1048576,IF(OR($B651="STD. DEVIATION",$C$1=1),$A651,$A651+1),COLUMN('1-DATA'!AM649)),IF($B651="STD. DEVIATION",2,$F$1))))</f>
        <v/>
      </c>
      <c r="AO651" s="1" t="str">
        <f>IF(OR($B651="",AO$7=""),"",IF($B651="MEANS",INDEX('1-DATA'!$1:$1048576,$A650-1,COLUMN('1-DATA'!AN649)),ROUND(INDEX('1-DATA'!$1:$1048576,IF(OR($B651="STD. DEVIATION",$C$1=1),$A651,$A651+1),COLUMN('1-DATA'!AN649)),IF($B651="STD. DEVIATION",2,$F$1))))</f>
        <v/>
      </c>
      <c r="AP651" s="1" t="str">
        <f>IF(OR($B651="",AP$7=""),"",IF($B651="MEANS",INDEX('1-DATA'!$1:$1048576,$A650-1,COLUMN('1-DATA'!AO649)),ROUND(INDEX('1-DATA'!$1:$1048576,IF(OR($B651="STD. DEVIATION",$C$1=1),$A651,$A651+1),COLUMN('1-DATA'!AO649)),IF($B651="STD. DEVIATION",2,$F$1))))</f>
        <v/>
      </c>
      <c r="AQ651" s="1" t="str">
        <f>IF(OR($B651="",AQ$7=""),"",IF($B651="MEANS",INDEX('1-DATA'!$1:$1048576,$A650-1,COLUMN('1-DATA'!AP649)),ROUND(INDEX('1-DATA'!$1:$1048576,IF(OR($B651="STD. DEVIATION",$C$1=1),$A651,$A651+1),COLUMN('1-DATA'!AP649)),IF($B651="STD. DEVIATION",2,$F$1))))</f>
        <v/>
      </c>
      <c r="AR651" s="1" t="str">
        <f>IF(OR($B651="",AR$7=""),"",IF($B651="MEANS",INDEX('1-DATA'!$1:$1048576,$A650-1,COLUMN('1-DATA'!AQ649)),ROUND(INDEX('1-DATA'!$1:$1048576,IF(OR($B651="STD. DEVIATION",$C$1=1),$A651,$A651+1),COLUMN('1-DATA'!AQ649)),IF($B651="STD. DEVIATION",2,$F$1))))</f>
        <v/>
      </c>
      <c r="AS651" s="1" t="str">
        <f>IF(OR($B651="",AS$7=""),"",IF($B651="MEANS",INDEX('1-DATA'!$1:$1048576,$A650-1,COLUMN('1-DATA'!AR649)),ROUND(INDEX('1-DATA'!$1:$1048576,IF(OR($B651="STD. DEVIATION",$C$1=1),$A651,$A651+1),COLUMN('1-DATA'!AR649)),IF($B651="STD. DEVIATION",2,$F$1))))</f>
        <v/>
      </c>
      <c r="AT651" s="1" t="str">
        <f>IF(OR($B651="",AT$7=""),"",IF($B651="MEANS",INDEX('1-DATA'!$1:$1048576,$A650-1,COLUMN('1-DATA'!AS649)),ROUND(INDEX('1-DATA'!$1:$1048576,IF(OR($B651="STD. DEVIATION",$C$1=1),$A651,$A651+1),COLUMN('1-DATA'!AS649)),IF($B651="STD. DEVIATION",2,$F$1))))</f>
        <v/>
      </c>
      <c r="AU651" s="1" t="str">
        <f>IF(OR($B651="",AU$7=""),"",IF($B651="MEANS",INDEX('1-DATA'!$1:$1048576,$A650-1,COLUMN('1-DATA'!AT649)),ROUND(INDEX('1-DATA'!$1:$1048576,IF(OR($B651="STD. DEVIATION",$C$1=1),$A651,$A651+1),COLUMN('1-DATA'!AT649)),IF($B651="STD. DEVIATION",2,$F$1))))</f>
        <v/>
      </c>
      <c r="AV651" s="1" t="str">
        <f>IF(OR($B651="",AV$7=""),"",IF($B651="MEANS",INDEX('1-DATA'!$1:$1048576,$A650-1,COLUMN('1-DATA'!AU649)),ROUND(INDEX('1-DATA'!$1:$1048576,IF(OR($B651="STD. DEVIATION",$C$1=1),$A651,$A651+1),COLUMN('1-DATA'!AU649)),IF($B651="STD. DEVIATION",2,$F$1))))</f>
        <v/>
      </c>
      <c r="AW651" s="1" t="str">
        <f>IF(OR($B651="",AW$7=""),"",IF($B651="MEANS",INDEX('1-DATA'!$1:$1048576,$A650-1,COLUMN('1-DATA'!AV649)),ROUND(INDEX('1-DATA'!$1:$1048576,IF(OR($B651="STD. DEVIATION",$C$1=1),$A651,$A651+1),COLUMN('1-DATA'!AV649)),IF($B651="STD. DEVIATION",2,$F$1))))</f>
        <v/>
      </c>
      <c r="AX651" s="1" t="str">
        <f>IF(OR($B651="",AX$7=""),"",IF($B651="MEANS",INDEX('1-DATA'!$1:$1048576,$A650-1,COLUMN('1-DATA'!AW649)),ROUND(INDEX('1-DATA'!$1:$1048576,IF(OR($B651="STD. DEVIATION",$C$1=1),$A651,$A651+1),COLUMN('1-DATA'!AW649)),IF($B651="STD. DEVIATION",2,$F$1))))</f>
        <v/>
      </c>
      <c r="AY651" s="1" t="str">
        <f>IF(OR($B651="",AY$7=""),"",IF($B651="MEANS",INDEX('1-DATA'!$1:$1048576,$A650-1,COLUMN('1-DATA'!AX649)),ROUND(INDEX('1-DATA'!$1:$1048576,IF(OR($B651="STD. DEVIATION",$C$1=1),$A651,$A651+1),COLUMN('1-DATA'!AX649)),IF($B651="STD. DEVIATION",2,$F$1))))</f>
        <v/>
      </c>
      <c r="AZ651" s="1" t="str">
        <f>IF(OR($B651="",AZ$7=""),"",IF($B651="MEANS",INDEX('1-DATA'!$1:$1048576,$A650-1,COLUMN('1-DATA'!AY649)),ROUND(INDEX('1-DATA'!$1:$1048576,IF(OR($B651="STD. DEVIATION",$C$1=1),$A651,$A651+1),COLUMN('1-DATA'!AY649)),IF($B651="STD. DEVIATION",2,$F$1))))</f>
        <v/>
      </c>
    </row>
    <row r="652" spans="1:52" x14ac:dyDescent="0.25">
      <c r="A652" s="11">
        <f t="shared" si="10"/>
        <v>1942</v>
      </c>
      <c r="B652" s="1" t="str">
        <f>IF(B651="STD. DEVIATION",INDEX('1-DATA'!$1:$1048576,$A651-1,1),IF(INDEX('1-DATA'!$1:$1048576,$A652,1)&lt;&gt;"",INDEX('1-DATA'!$1:$1048576,$A652,1),""))</f>
        <v/>
      </c>
      <c r="C652" s="1" t="str">
        <f>IF(OR($B652="",C$7=""),"",IF($B652="MEANS",INDEX('1-DATA'!$1:$1048576,$A651-1,COLUMN('1-DATA'!B650)),ROUND(INDEX('1-DATA'!$1:$1048576,IF(OR($B652="STD. DEVIATION",$C$1=1),$A652,$A652+1),COLUMN('1-DATA'!B650)),IF($B652="STD. DEVIATION",2,$F$1))))</f>
        <v/>
      </c>
      <c r="D652" s="1" t="str">
        <f>IF(OR($B652="",D$7=""),"",IF($B652="MEANS",INDEX('1-DATA'!$1:$1048576,$A651-1,COLUMN('1-DATA'!C650)),ROUND(INDEX('1-DATA'!$1:$1048576,IF(OR($B652="STD. DEVIATION",$C$1=1),$A652,$A652+1),COLUMN('1-DATA'!C650)),IF($B652="STD. DEVIATION",2,$F$1))))</f>
        <v/>
      </c>
      <c r="E652" s="1" t="str">
        <f>IF(OR($B652="",E$7=""),"",IF($B652="MEANS",INDEX('1-DATA'!$1:$1048576,$A651-1,COLUMN('1-DATA'!D650)),ROUND(INDEX('1-DATA'!$1:$1048576,IF(OR($B652="STD. DEVIATION",$C$1=1),$A652,$A652+1),COLUMN('1-DATA'!D650)),IF($B652="STD. DEVIATION",2,$F$1))))</f>
        <v/>
      </c>
      <c r="F652" s="1" t="str">
        <f>IF(OR($B652="",F$7=""),"",IF($B652="MEANS",INDEX('1-DATA'!$1:$1048576,$A651-1,COLUMN('1-DATA'!E650)),ROUND(INDEX('1-DATA'!$1:$1048576,IF(OR($B652="STD. DEVIATION",$C$1=1),$A652,$A652+1),COLUMN('1-DATA'!E650)),IF($B652="STD. DEVIATION",2,$F$1))))</f>
        <v/>
      </c>
      <c r="G652" s="1" t="str">
        <f>IF(OR($B652="",G$7=""),"",IF($B652="MEANS",INDEX('1-DATA'!$1:$1048576,$A651-1,COLUMN('1-DATA'!F650)),ROUND(INDEX('1-DATA'!$1:$1048576,IF(OR($B652="STD. DEVIATION",$C$1=1),$A652,$A652+1),COLUMN('1-DATA'!F650)),IF($B652="STD. DEVIATION",2,$F$1))))</f>
        <v/>
      </c>
      <c r="H652" s="1" t="str">
        <f>IF(OR($B652="",H$7=""),"",IF($B652="MEANS",INDEX('1-DATA'!$1:$1048576,$A651-1,COLUMN('1-DATA'!G650)),ROUND(INDEX('1-DATA'!$1:$1048576,IF(OR($B652="STD. DEVIATION",$C$1=1),$A652,$A652+1),COLUMN('1-DATA'!G650)),IF($B652="STD. DEVIATION",2,$F$1))))</f>
        <v/>
      </c>
      <c r="I652" s="1" t="str">
        <f>IF(OR($B652="",I$7=""),"",IF($B652="MEANS",INDEX('1-DATA'!$1:$1048576,$A651-1,COLUMN('1-DATA'!H650)),ROUND(INDEX('1-DATA'!$1:$1048576,IF(OR($B652="STD. DEVIATION",$C$1=1),$A652,$A652+1),COLUMN('1-DATA'!H650)),IF($B652="STD. DEVIATION",2,$F$1))))</f>
        <v/>
      </c>
      <c r="J652" s="1" t="str">
        <f>IF(OR($B652="",J$7=""),"",IF($B652="MEANS",INDEX('1-DATA'!$1:$1048576,$A651-1,COLUMN('1-DATA'!I650)),ROUND(INDEX('1-DATA'!$1:$1048576,IF(OR($B652="STD. DEVIATION",$C$1=1),$A652,$A652+1),COLUMN('1-DATA'!I650)),IF($B652="STD. DEVIATION",2,$F$1))))</f>
        <v/>
      </c>
      <c r="K652" s="1" t="str">
        <f>IF(OR($B652="",K$7=""),"",IF($B652="MEANS",INDEX('1-DATA'!$1:$1048576,$A651-1,COLUMN('1-DATA'!J650)),ROUND(INDEX('1-DATA'!$1:$1048576,IF(OR($B652="STD. DEVIATION",$C$1=1),$A652,$A652+1),COLUMN('1-DATA'!J650)),IF($B652="STD. DEVIATION",2,$F$1))))</f>
        <v/>
      </c>
      <c r="L652" s="1" t="str">
        <f>IF(OR($B652="",L$7=""),"",IF($B652="MEANS",INDEX('1-DATA'!$1:$1048576,$A651-1,COLUMN('1-DATA'!K650)),ROUND(INDEX('1-DATA'!$1:$1048576,IF(OR($B652="STD. DEVIATION",$C$1=1),$A652,$A652+1),COLUMN('1-DATA'!K650)),IF($B652="STD. DEVIATION",2,$F$1))))</f>
        <v/>
      </c>
      <c r="M652" s="1" t="str">
        <f>IF(OR($B652="",M$7=""),"",IF($B652="MEANS",INDEX('1-DATA'!$1:$1048576,$A651-1,COLUMN('1-DATA'!L650)),ROUND(INDEX('1-DATA'!$1:$1048576,IF(OR($B652="STD. DEVIATION",$C$1=1),$A652,$A652+1),COLUMN('1-DATA'!L650)),IF($B652="STD. DEVIATION",2,$F$1))))</f>
        <v/>
      </c>
      <c r="N652" s="1" t="str">
        <f>IF(OR($B652="",N$7=""),"",IF($B652="MEANS",INDEX('1-DATA'!$1:$1048576,$A651-1,COLUMN('1-DATA'!M650)),ROUND(INDEX('1-DATA'!$1:$1048576,IF(OR($B652="STD. DEVIATION",$C$1=1),$A652,$A652+1),COLUMN('1-DATA'!M650)),IF($B652="STD. DEVIATION",2,$F$1))))</f>
        <v/>
      </c>
      <c r="O652" s="1" t="str">
        <f>IF(OR($B652="",O$7=""),"",IF($B652="MEANS",INDEX('1-DATA'!$1:$1048576,$A651-1,COLUMN('1-DATA'!N650)),ROUND(INDEX('1-DATA'!$1:$1048576,IF(OR($B652="STD. DEVIATION",$C$1=1),$A652,$A652+1),COLUMN('1-DATA'!N650)),IF($B652="STD. DEVIATION",2,$F$1))))</f>
        <v/>
      </c>
      <c r="P652" s="1" t="str">
        <f>IF(OR($B652="",P$7=""),"",IF($B652="MEANS",INDEX('1-DATA'!$1:$1048576,$A651-1,COLUMN('1-DATA'!O650)),ROUND(INDEX('1-DATA'!$1:$1048576,IF(OR($B652="STD. DEVIATION",$C$1=1),$A652,$A652+1),COLUMN('1-DATA'!O650)),IF($B652="STD. DEVIATION",2,$F$1))))</f>
        <v/>
      </c>
      <c r="Q652" s="1" t="str">
        <f>IF(OR($B652="",Q$7=""),"",IF($B652="MEANS",INDEX('1-DATA'!$1:$1048576,$A651-1,COLUMN('1-DATA'!P650)),ROUND(INDEX('1-DATA'!$1:$1048576,IF(OR($B652="STD. DEVIATION",$C$1=1),$A652,$A652+1),COLUMN('1-DATA'!P650)),IF($B652="STD. DEVIATION",2,$F$1))))</f>
        <v/>
      </c>
      <c r="R652" s="1" t="str">
        <f>IF(OR($B652="",R$7=""),"",IF($B652="MEANS",INDEX('1-DATA'!$1:$1048576,$A651-1,COLUMN('1-DATA'!Q650)),ROUND(INDEX('1-DATA'!$1:$1048576,IF(OR($B652="STD. DEVIATION",$C$1=1),$A652,$A652+1),COLUMN('1-DATA'!Q650)),IF($B652="STD. DEVIATION",2,$F$1))))</f>
        <v/>
      </c>
      <c r="S652" s="1" t="str">
        <f>IF(OR($B652="",S$7=""),"",IF($B652="MEANS",INDEX('1-DATA'!$1:$1048576,$A651-1,COLUMN('1-DATA'!R650)),ROUND(INDEX('1-DATA'!$1:$1048576,IF(OR($B652="STD. DEVIATION",$C$1=1),$A652,$A652+1),COLUMN('1-DATA'!R650)),IF($B652="STD. DEVIATION",2,$F$1))))</f>
        <v/>
      </c>
      <c r="T652" s="1" t="str">
        <f>IF(OR($B652="",T$7=""),"",IF($B652="MEANS",INDEX('1-DATA'!$1:$1048576,$A651-1,COLUMN('1-DATA'!S650)),ROUND(INDEX('1-DATA'!$1:$1048576,IF(OR($B652="STD. DEVIATION",$C$1=1),$A652,$A652+1),COLUMN('1-DATA'!S650)),IF($B652="STD. DEVIATION",2,$F$1))))</f>
        <v/>
      </c>
      <c r="U652" s="1" t="str">
        <f>IF(OR($B652="",U$7=""),"",IF($B652="MEANS",INDEX('1-DATA'!$1:$1048576,$A651-1,COLUMN('1-DATA'!T650)),ROUND(INDEX('1-DATA'!$1:$1048576,IF(OR($B652="STD. DEVIATION",$C$1=1),$A652,$A652+1),COLUMN('1-DATA'!T650)),IF($B652="STD. DEVIATION",2,$F$1))))</f>
        <v/>
      </c>
      <c r="V652" s="1" t="str">
        <f>IF(OR($B652="",V$7=""),"",IF($B652="MEANS",INDEX('1-DATA'!$1:$1048576,$A651-1,COLUMN('1-DATA'!U650)),ROUND(INDEX('1-DATA'!$1:$1048576,IF(OR($B652="STD. DEVIATION",$C$1=1),$A652,$A652+1),COLUMN('1-DATA'!U650)),IF($B652="STD. DEVIATION",2,$F$1))))</f>
        <v/>
      </c>
      <c r="W652" s="1" t="str">
        <f>IF(OR($B652="",W$7=""),"",IF($B652="MEANS",INDEX('1-DATA'!$1:$1048576,$A651-1,COLUMN('1-DATA'!V650)),ROUND(INDEX('1-DATA'!$1:$1048576,IF(OR($B652="STD. DEVIATION",$C$1=1),$A652,$A652+1),COLUMN('1-DATA'!V650)),IF($B652="STD. DEVIATION",2,$F$1))))</f>
        <v/>
      </c>
      <c r="X652" s="1" t="str">
        <f>IF(OR($B652="",X$7=""),"",IF($B652="MEANS",INDEX('1-DATA'!$1:$1048576,$A651-1,COLUMN('1-DATA'!W650)),ROUND(INDEX('1-DATA'!$1:$1048576,IF(OR($B652="STD. DEVIATION",$C$1=1),$A652,$A652+1),COLUMN('1-DATA'!W650)),IF($B652="STD. DEVIATION",2,$F$1))))</f>
        <v/>
      </c>
      <c r="Y652" s="1" t="str">
        <f>IF(OR($B652="",Y$7=""),"",IF($B652="MEANS",INDEX('1-DATA'!$1:$1048576,$A651-1,COLUMN('1-DATA'!X650)),ROUND(INDEX('1-DATA'!$1:$1048576,IF(OR($B652="STD. DEVIATION",$C$1=1),$A652,$A652+1),COLUMN('1-DATA'!X650)),IF($B652="STD. DEVIATION",2,$F$1))))</f>
        <v/>
      </c>
      <c r="Z652" s="1" t="str">
        <f>IF(OR($B652="",Z$7=""),"",IF($B652="MEANS",INDEX('1-DATA'!$1:$1048576,$A651-1,COLUMN('1-DATA'!Y650)),ROUND(INDEX('1-DATA'!$1:$1048576,IF(OR($B652="STD. DEVIATION",$C$1=1),$A652,$A652+1),COLUMN('1-DATA'!Y650)),IF($B652="STD. DEVIATION",2,$F$1))))</f>
        <v/>
      </c>
      <c r="AA652" s="1" t="str">
        <f>IF(OR($B652="",AA$7=""),"",IF($B652="MEANS",INDEX('1-DATA'!$1:$1048576,$A651-1,COLUMN('1-DATA'!Z650)),ROUND(INDEX('1-DATA'!$1:$1048576,IF(OR($B652="STD. DEVIATION",$C$1=1),$A652,$A652+1),COLUMN('1-DATA'!Z650)),IF($B652="STD. DEVIATION",2,$F$1))))</f>
        <v/>
      </c>
      <c r="AB652" s="1" t="str">
        <f>IF(OR($B652="",AB$7=""),"",IF($B652="MEANS",INDEX('1-DATA'!$1:$1048576,$A651-1,COLUMN('1-DATA'!AA650)),ROUND(INDEX('1-DATA'!$1:$1048576,IF(OR($B652="STD. DEVIATION",$C$1=1),$A652,$A652+1),COLUMN('1-DATA'!AA650)),IF($B652="STD. DEVIATION",2,$F$1))))</f>
        <v/>
      </c>
      <c r="AC652" s="1" t="str">
        <f>IF(OR($B652="",AC$7=""),"",IF($B652="MEANS",INDEX('1-DATA'!$1:$1048576,$A651-1,COLUMN('1-DATA'!AB650)),ROUND(INDEX('1-DATA'!$1:$1048576,IF(OR($B652="STD. DEVIATION",$C$1=1),$A652,$A652+1),COLUMN('1-DATA'!AB650)),IF($B652="STD. DEVIATION",2,$F$1))))</f>
        <v/>
      </c>
      <c r="AD652" s="1" t="str">
        <f>IF(OR($B652="",AD$7=""),"",IF($B652="MEANS",INDEX('1-DATA'!$1:$1048576,$A651-1,COLUMN('1-DATA'!AC650)),ROUND(INDEX('1-DATA'!$1:$1048576,IF(OR($B652="STD. DEVIATION",$C$1=1),$A652,$A652+1),COLUMN('1-DATA'!AC650)),IF($B652="STD. DEVIATION",2,$F$1))))</f>
        <v/>
      </c>
      <c r="AE652" s="1" t="str">
        <f>IF(OR($B652="",AE$7=""),"",IF($B652="MEANS",INDEX('1-DATA'!$1:$1048576,$A651-1,COLUMN('1-DATA'!AD650)),ROUND(INDEX('1-DATA'!$1:$1048576,IF(OR($B652="STD. DEVIATION",$C$1=1),$A652,$A652+1),COLUMN('1-DATA'!AD650)),IF($B652="STD. DEVIATION",2,$F$1))))</f>
        <v/>
      </c>
      <c r="AF652" s="1" t="str">
        <f>IF(OR($B652="",AF$7=""),"",IF($B652="MEANS",INDEX('1-DATA'!$1:$1048576,$A651-1,COLUMN('1-DATA'!AE650)),ROUND(INDEX('1-DATA'!$1:$1048576,IF(OR($B652="STD. DEVIATION",$C$1=1),$A652,$A652+1),COLUMN('1-DATA'!AE650)),IF($B652="STD. DEVIATION",2,$F$1))))</f>
        <v/>
      </c>
      <c r="AG652" s="1" t="str">
        <f>IF(OR($B652="",AG$7=""),"",IF($B652="MEANS",INDEX('1-DATA'!$1:$1048576,$A651-1,COLUMN('1-DATA'!AF650)),ROUND(INDEX('1-DATA'!$1:$1048576,IF(OR($B652="STD. DEVIATION",$C$1=1),$A652,$A652+1),COLUMN('1-DATA'!AF650)),IF($B652="STD. DEVIATION",2,$F$1))))</f>
        <v/>
      </c>
      <c r="AH652" s="1" t="str">
        <f>IF(OR($B652="",AH$7=""),"",IF($B652="MEANS",INDEX('1-DATA'!$1:$1048576,$A651-1,COLUMN('1-DATA'!AG650)),ROUND(INDEX('1-DATA'!$1:$1048576,IF(OR($B652="STD. DEVIATION",$C$1=1),$A652,$A652+1),COLUMN('1-DATA'!AG650)),IF($B652="STD. DEVIATION",2,$F$1))))</f>
        <v/>
      </c>
      <c r="AI652" s="1" t="str">
        <f>IF(OR($B652="",AI$7=""),"",IF($B652="MEANS",INDEX('1-DATA'!$1:$1048576,$A651-1,COLUMN('1-DATA'!AH650)),ROUND(INDEX('1-DATA'!$1:$1048576,IF(OR($B652="STD. DEVIATION",$C$1=1),$A652,$A652+1),COLUMN('1-DATA'!AH650)),IF($B652="STD. DEVIATION",2,$F$1))))</f>
        <v/>
      </c>
      <c r="AJ652" s="1" t="str">
        <f>IF(OR($B652="",AJ$7=""),"",IF($B652="MEANS",INDEX('1-DATA'!$1:$1048576,$A651-1,COLUMN('1-DATA'!AI650)),ROUND(INDEX('1-DATA'!$1:$1048576,IF(OR($B652="STD. DEVIATION",$C$1=1),$A652,$A652+1),COLUMN('1-DATA'!AI650)),IF($B652="STD. DEVIATION",2,$F$1))))</f>
        <v/>
      </c>
      <c r="AK652" s="1" t="str">
        <f>IF(OR($B652="",AK$7=""),"",IF($B652="MEANS",INDEX('1-DATA'!$1:$1048576,$A651-1,COLUMN('1-DATA'!AJ650)),ROUND(INDEX('1-DATA'!$1:$1048576,IF(OR($B652="STD. DEVIATION",$C$1=1),$A652,$A652+1),COLUMN('1-DATA'!AJ650)),IF($B652="STD. DEVIATION",2,$F$1))))</f>
        <v/>
      </c>
      <c r="AL652" s="1" t="str">
        <f>IF(OR($B652="",AL$7=""),"",IF($B652="MEANS",INDEX('1-DATA'!$1:$1048576,$A651-1,COLUMN('1-DATA'!AK650)),ROUND(INDEX('1-DATA'!$1:$1048576,IF(OR($B652="STD. DEVIATION",$C$1=1),$A652,$A652+1),COLUMN('1-DATA'!AK650)),IF($B652="STD. DEVIATION",2,$F$1))))</f>
        <v/>
      </c>
      <c r="AM652" s="1" t="str">
        <f>IF(OR($B652="",AM$7=""),"",IF($B652="MEANS",INDEX('1-DATA'!$1:$1048576,$A651-1,COLUMN('1-DATA'!AL650)),ROUND(INDEX('1-DATA'!$1:$1048576,IF(OR($B652="STD. DEVIATION",$C$1=1),$A652,$A652+1),COLUMN('1-DATA'!AL650)),IF($B652="STD. DEVIATION",2,$F$1))))</f>
        <v/>
      </c>
      <c r="AN652" s="1" t="str">
        <f>IF(OR($B652="",AN$7=""),"",IF($B652="MEANS",INDEX('1-DATA'!$1:$1048576,$A651-1,COLUMN('1-DATA'!AM650)),ROUND(INDEX('1-DATA'!$1:$1048576,IF(OR($B652="STD. DEVIATION",$C$1=1),$A652,$A652+1),COLUMN('1-DATA'!AM650)),IF($B652="STD. DEVIATION",2,$F$1))))</f>
        <v/>
      </c>
      <c r="AO652" s="1" t="str">
        <f>IF(OR($B652="",AO$7=""),"",IF($B652="MEANS",INDEX('1-DATA'!$1:$1048576,$A651-1,COLUMN('1-DATA'!AN650)),ROUND(INDEX('1-DATA'!$1:$1048576,IF(OR($B652="STD. DEVIATION",$C$1=1),$A652,$A652+1),COLUMN('1-DATA'!AN650)),IF($B652="STD. DEVIATION",2,$F$1))))</f>
        <v/>
      </c>
      <c r="AP652" s="1" t="str">
        <f>IF(OR($B652="",AP$7=""),"",IF($B652="MEANS",INDEX('1-DATA'!$1:$1048576,$A651-1,COLUMN('1-DATA'!AO650)),ROUND(INDEX('1-DATA'!$1:$1048576,IF(OR($B652="STD. DEVIATION",$C$1=1),$A652,$A652+1),COLUMN('1-DATA'!AO650)),IF($B652="STD. DEVIATION",2,$F$1))))</f>
        <v/>
      </c>
      <c r="AQ652" s="1" t="str">
        <f>IF(OR($B652="",AQ$7=""),"",IF($B652="MEANS",INDEX('1-DATA'!$1:$1048576,$A651-1,COLUMN('1-DATA'!AP650)),ROUND(INDEX('1-DATA'!$1:$1048576,IF(OR($B652="STD. DEVIATION",$C$1=1),$A652,$A652+1),COLUMN('1-DATA'!AP650)),IF($B652="STD. DEVIATION",2,$F$1))))</f>
        <v/>
      </c>
      <c r="AR652" s="1" t="str">
        <f>IF(OR($B652="",AR$7=""),"",IF($B652="MEANS",INDEX('1-DATA'!$1:$1048576,$A651-1,COLUMN('1-DATA'!AQ650)),ROUND(INDEX('1-DATA'!$1:$1048576,IF(OR($B652="STD. DEVIATION",$C$1=1),$A652,$A652+1),COLUMN('1-DATA'!AQ650)),IF($B652="STD. DEVIATION",2,$F$1))))</f>
        <v/>
      </c>
      <c r="AS652" s="1" t="str">
        <f>IF(OR($B652="",AS$7=""),"",IF($B652="MEANS",INDEX('1-DATA'!$1:$1048576,$A651-1,COLUMN('1-DATA'!AR650)),ROUND(INDEX('1-DATA'!$1:$1048576,IF(OR($B652="STD. DEVIATION",$C$1=1),$A652,$A652+1),COLUMN('1-DATA'!AR650)),IF($B652="STD. DEVIATION",2,$F$1))))</f>
        <v/>
      </c>
      <c r="AT652" s="1" t="str">
        <f>IF(OR($B652="",AT$7=""),"",IF($B652="MEANS",INDEX('1-DATA'!$1:$1048576,$A651-1,COLUMN('1-DATA'!AS650)),ROUND(INDEX('1-DATA'!$1:$1048576,IF(OR($B652="STD. DEVIATION",$C$1=1),$A652,$A652+1),COLUMN('1-DATA'!AS650)),IF($B652="STD. DEVIATION",2,$F$1))))</f>
        <v/>
      </c>
      <c r="AU652" s="1" t="str">
        <f>IF(OR($B652="",AU$7=""),"",IF($B652="MEANS",INDEX('1-DATA'!$1:$1048576,$A651-1,COLUMN('1-DATA'!AT650)),ROUND(INDEX('1-DATA'!$1:$1048576,IF(OR($B652="STD. DEVIATION",$C$1=1),$A652,$A652+1),COLUMN('1-DATA'!AT650)),IF($B652="STD. DEVIATION",2,$F$1))))</f>
        <v/>
      </c>
      <c r="AV652" s="1" t="str">
        <f>IF(OR($B652="",AV$7=""),"",IF($B652="MEANS",INDEX('1-DATA'!$1:$1048576,$A651-1,COLUMN('1-DATA'!AU650)),ROUND(INDEX('1-DATA'!$1:$1048576,IF(OR($B652="STD. DEVIATION",$C$1=1),$A652,$A652+1),COLUMN('1-DATA'!AU650)),IF($B652="STD. DEVIATION",2,$F$1))))</f>
        <v/>
      </c>
      <c r="AW652" s="1" t="str">
        <f>IF(OR($B652="",AW$7=""),"",IF($B652="MEANS",INDEX('1-DATA'!$1:$1048576,$A651-1,COLUMN('1-DATA'!AV650)),ROUND(INDEX('1-DATA'!$1:$1048576,IF(OR($B652="STD. DEVIATION",$C$1=1),$A652,$A652+1),COLUMN('1-DATA'!AV650)),IF($B652="STD. DEVIATION",2,$F$1))))</f>
        <v/>
      </c>
      <c r="AX652" s="1" t="str">
        <f>IF(OR($B652="",AX$7=""),"",IF($B652="MEANS",INDEX('1-DATA'!$1:$1048576,$A651-1,COLUMN('1-DATA'!AW650)),ROUND(INDEX('1-DATA'!$1:$1048576,IF(OR($B652="STD. DEVIATION",$C$1=1),$A652,$A652+1),COLUMN('1-DATA'!AW650)),IF($B652="STD. DEVIATION",2,$F$1))))</f>
        <v/>
      </c>
      <c r="AY652" s="1" t="str">
        <f>IF(OR($B652="",AY$7=""),"",IF($B652="MEANS",INDEX('1-DATA'!$1:$1048576,$A651-1,COLUMN('1-DATA'!AX650)),ROUND(INDEX('1-DATA'!$1:$1048576,IF(OR($B652="STD. DEVIATION",$C$1=1),$A652,$A652+1),COLUMN('1-DATA'!AX650)),IF($B652="STD. DEVIATION",2,$F$1))))</f>
        <v/>
      </c>
      <c r="AZ652" s="1" t="str">
        <f>IF(OR($B652="",AZ$7=""),"",IF($B652="MEANS",INDEX('1-DATA'!$1:$1048576,$A651-1,COLUMN('1-DATA'!AY650)),ROUND(INDEX('1-DATA'!$1:$1048576,IF(OR($B652="STD. DEVIATION",$C$1=1),$A652,$A652+1),COLUMN('1-DATA'!AY650)),IF($B652="STD. DEVIATION",2,$F$1))))</f>
        <v/>
      </c>
    </row>
    <row r="653" spans="1:52" x14ac:dyDescent="0.25">
      <c r="A653" s="11">
        <f t="shared" si="10"/>
        <v>1945</v>
      </c>
      <c r="B653" s="1" t="str">
        <f>IF(B652="STD. DEVIATION",INDEX('1-DATA'!$1:$1048576,$A652-1,1),IF(INDEX('1-DATA'!$1:$1048576,$A653,1)&lt;&gt;"",INDEX('1-DATA'!$1:$1048576,$A653,1),""))</f>
        <v/>
      </c>
      <c r="C653" s="1" t="str">
        <f>IF(OR($B653="",C$7=""),"",IF($B653="MEANS",INDEX('1-DATA'!$1:$1048576,$A652-1,COLUMN('1-DATA'!B651)),ROUND(INDEX('1-DATA'!$1:$1048576,IF(OR($B653="STD. DEVIATION",$C$1=1),$A653,$A653+1),COLUMN('1-DATA'!B651)),IF($B653="STD. DEVIATION",2,$F$1))))</f>
        <v/>
      </c>
      <c r="D653" s="1" t="str">
        <f>IF(OR($B653="",D$7=""),"",IF($B653="MEANS",INDEX('1-DATA'!$1:$1048576,$A652-1,COLUMN('1-DATA'!C651)),ROUND(INDEX('1-DATA'!$1:$1048576,IF(OR($B653="STD. DEVIATION",$C$1=1),$A653,$A653+1),COLUMN('1-DATA'!C651)),IF($B653="STD. DEVIATION",2,$F$1))))</f>
        <v/>
      </c>
      <c r="E653" s="1" t="str">
        <f>IF(OR($B653="",E$7=""),"",IF($B653="MEANS",INDEX('1-DATA'!$1:$1048576,$A652-1,COLUMN('1-DATA'!D651)),ROUND(INDEX('1-DATA'!$1:$1048576,IF(OR($B653="STD. DEVIATION",$C$1=1),$A653,$A653+1),COLUMN('1-DATA'!D651)),IF($B653="STD. DEVIATION",2,$F$1))))</f>
        <v/>
      </c>
      <c r="F653" s="1" t="str">
        <f>IF(OR($B653="",F$7=""),"",IF($B653="MEANS",INDEX('1-DATA'!$1:$1048576,$A652-1,COLUMN('1-DATA'!E651)),ROUND(INDEX('1-DATA'!$1:$1048576,IF(OR($B653="STD. DEVIATION",$C$1=1),$A653,$A653+1),COLUMN('1-DATA'!E651)),IF($B653="STD. DEVIATION",2,$F$1))))</f>
        <v/>
      </c>
      <c r="G653" s="1" t="str">
        <f>IF(OR($B653="",G$7=""),"",IF($B653="MEANS",INDEX('1-DATA'!$1:$1048576,$A652-1,COLUMN('1-DATA'!F651)),ROUND(INDEX('1-DATA'!$1:$1048576,IF(OR($B653="STD. DEVIATION",$C$1=1),$A653,$A653+1),COLUMN('1-DATA'!F651)),IF($B653="STD. DEVIATION",2,$F$1))))</f>
        <v/>
      </c>
      <c r="H653" s="1" t="str">
        <f>IF(OR($B653="",H$7=""),"",IF($B653="MEANS",INDEX('1-DATA'!$1:$1048576,$A652-1,COLUMN('1-DATA'!G651)),ROUND(INDEX('1-DATA'!$1:$1048576,IF(OR($B653="STD. DEVIATION",$C$1=1),$A653,$A653+1),COLUMN('1-DATA'!G651)),IF($B653="STD. DEVIATION",2,$F$1))))</f>
        <v/>
      </c>
      <c r="I653" s="1" t="str">
        <f>IF(OR($B653="",I$7=""),"",IF($B653="MEANS",INDEX('1-DATA'!$1:$1048576,$A652-1,COLUMN('1-DATA'!H651)),ROUND(INDEX('1-DATA'!$1:$1048576,IF(OR($B653="STD. DEVIATION",$C$1=1),$A653,$A653+1),COLUMN('1-DATA'!H651)),IF($B653="STD. DEVIATION",2,$F$1))))</f>
        <v/>
      </c>
      <c r="J653" s="1" t="str">
        <f>IF(OR($B653="",J$7=""),"",IF($B653="MEANS",INDEX('1-DATA'!$1:$1048576,$A652-1,COLUMN('1-DATA'!I651)),ROUND(INDEX('1-DATA'!$1:$1048576,IF(OR($B653="STD. DEVIATION",$C$1=1),$A653,$A653+1),COLUMN('1-DATA'!I651)),IF($B653="STD. DEVIATION",2,$F$1))))</f>
        <v/>
      </c>
      <c r="K653" s="1" t="str">
        <f>IF(OR($B653="",K$7=""),"",IF($B653="MEANS",INDEX('1-DATA'!$1:$1048576,$A652-1,COLUMN('1-DATA'!J651)),ROUND(INDEX('1-DATA'!$1:$1048576,IF(OR($B653="STD. DEVIATION",$C$1=1),$A653,$A653+1),COLUMN('1-DATA'!J651)),IF($B653="STD. DEVIATION",2,$F$1))))</f>
        <v/>
      </c>
      <c r="L653" s="1" t="str">
        <f>IF(OR($B653="",L$7=""),"",IF($B653="MEANS",INDEX('1-DATA'!$1:$1048576,$A652-1,COLUMN('1-DATA'!K651)),ROUND(INDEX('1-DATA'!$1:$1048576,IF(OR($B653="STD. DEVIATION",$C$1=1),$A653,$A653+1),COLUMN('1-DATA'!K651)),IF($B653="STD. DEVIATION",2,$F$1))))</f>
        <v/>
      </c>
      <c r="M653" s="1" t="str">
        <f>IF(OR($B653="",M$7=""),"",IF($B653="MEANS",INDEX('1-DATA'!$1:$1048576,$A652-1,COLUMN('1-DATA'!L651)),ROUND(INDEX('1-DATA'!$1:$1048576,IF(OR($B653="STD. DEVIATION",$C$1=1),$A653,$A653+1),COLUMN('1-DATA'!L651)),IF($B653="STD. DEVIATION",2,$F$1))))</f>
        <v/>
      </c>
      <c r="N653" s="1" t="str">
        <f>IF(OR($B653="",N$7=""),"",IF($B653="MEANS",INDEX('1-DATA'!$1:$1048576,$A652-1,COLUMN('1-DATA'!M651)),ROUND(INDEX('1-DATA'!$1:$1048576,IF(OR($B653="STD. DEVIATION",$C$1=1),$A653,$A653+1),COLUMN('1-DATA'!M651)),IF($B653="STD. DEVIATION",2,$F$1))))</f>
        <v/>
      </c>
      <c r="O653" s="1" t="str">
        <f>IF(OR($B653="",O$7=""),"",IF($B653="MEANS",INDEX('1-DATA'!$1:$1048576,$A652-1,COLUMN('1-DATA'!N651)),ROUND(INDEX('1-DATA'!$1:$1048576,IF(OR($B653="STD. DEVIATION",$C$1=1),$A653,$A653+1),COLUMN('1-DATA'!N651)),IF($B653="STD. DEVIATION",2,$F$1))))</f>
        <v/>
      </c>
      <c r="P653" s="1" t="str">
        <f>IF(OR($B653="",P$7=""),"",IF($B653="MEANS",INDEX('1-DATA'!$1:$1048576,$A652-1,COLUMN('1-DATA'!O651)),ROUND(INDEX('1-DATA'!$1:$1048576,IF(OR($B653="STD. DEVIATION",$C$1=1),$A653,$A653+1),COLUMN('1-DATA'!O651)),IF($B653="STD. DEVIATION",2,$F$1))))</f>
        <v/>
      </c>
      <c r="Q653" s="1" t="str">
        <f>IF(OR($B653="",Q$7=""),"",IF($B653="MEANS",INDEX('1-DATA'!$1:$1048576,$A652-1,COLUMN('1-DATA'!P651)),ROUND(INDEX('1-DATA'!$1:$1048576,IF(OR($B653="STD. DEVIATION",$C$1=1),$A653,$A653+1),COLUMN('1-DATA'!P651)),IF($B653="STD. DEVIATION",2,$F$1))))</f>
        <v/>
      </c>
      <c r="R653" s="1" t="str">
        <f>IF(OR($B653="",R$7=""),"",IF($B653="MEANS",INDEX('1-DATA'!$1:$1048576,$A652-1,COLUMN('1-DATA'!Q651)),ROUND(INDEX('1-DATA'!$1:$1048576,IF(OR($B653="STD. DEVIATION",$C$1=1),$A653,$A653+1),COLUMN('1-DATA'!Q651)),IF($B653="STD. DEVIATION",2,$F$1))))</f>
        <v/>
      </c>
      <c r="S653" s="1" t="str">
        <f>IF(OR($B653="",S$7=""),"",IF($B653="MEANS",INDEX('1-DATA'!$1:$1048576,$A652-1,COLUMN('1-DATA'!R651)),ROUND(INDEX('1-DATA'!$1:$1048576,IF(OR($B653="STD. DEVIATION",$C$1=1),$A653,$A653+1),COLUMN('1-DATA'!R651)),IF($B653="STD. DEVIATION",2,$F$1))))</f>
        <v/>
      </c>
      <c r="T653" s="1" t="str">
        <f>IF(OR($B653="",T$7=""),"",IF($B653="MEANS",INDEX('1-DATA'!$1:$1048576,$A652-1,COLUMN('1-DATA'!S651)),ROUND(INDEX('1-DATA'!$1:$1048576,IF(OR($B653="STD. DEVIATION",$C$1=1),$A653,$A653+1),COLUMN('1-DATA'!S651)),IF($B653="STD. DEVIATION",2,$F$1))))</f>
        <v/>
      </c>
      <c r="U653" s="1" t="str">
        <f>IF(OR($B653="",U$7=""),"",IF($B653="MEANS",INDEX('1-DATA'!$1:$1048576,$A652-1,COLUMN('1-DATA'!T651)),ROUND(INDEX('1-DATA'!$1:$1048576,IF(OR($B653="STD. DEVIATION",$C$1=1),$A653,$A653+1),COLUMN('1-DATA'!T651)),IF($B653="STD. DEVIATION",2,$F$1))))</f>
        <v/>
      </c>
      <c r="V653" s="1" t="str">
        <f>IF(OR($B653="",V$7=""),"",IF($B653="MEANS",INDEX('1-DATA'!$1:$1048576,$A652-1,COLUMN('1-DATA'!U651)),ROUND(INDEX('1-DATA'!$1:$1048576,IF(OR($B653="STD. DEVIATION",$C$1=1),$A653,$A653+1),COLUMN('1-DATA'!U651)),IF($B653="STD. DEVIATION",2,$F$1))))</f>
        <v/>
      </c>
      <c r="W653" s="1" t="str">
        <f>IF(OR($B653="",W$7=""),"",IF($B653="MEANS",INDEX('1-DATA'!$1:$1048576,$A652-1,COLUMN('1-DATA'!V651)),ROUND(INDEX('1-DATA'!$1:$1048576,IF(OR($B653="STD. DEVIATION",$C$1=1),$A653,$A653+1),COLUMN('1-DATA'!V651)),IF($B653="STD. DEVIATION",2,$F$1))))</f>
        <v/>
      </c>
      <c r="X653" s="1" t="str">
        <f>IF(OR($B653="",X$7=""),"",IF($B653="MEANS",INDEX('1-DATA'!$1:$1048576,$A652-1,COLUMN('1-DATA'!W651)),ROUND(INDEX('1-DATA'!$1:$1048576,IF(OR($B653="STD. DEVIATION",$C$1=1),$A653,$A653+1),COLUMN('1-DATA'!W651)),IF($B653="STD. DEVIATION",2,$F$1))))</f>
        <v/>
      </c>
      <c r="Y653" s="1" t="str">
        <f>IF(OR($B653="",Y$7=""),"",IF($B653="MEANS",INDEX('1-DATA'!$1:$1048576,$A652-1,COLUMN('1-DATA'!X651)),ROUND(INDEX('1-DATA'!$1:$1048576,IF(OR($B653="STD. DEVIATION",$C$1=1),$A653,$A653+1),COLUMN('1-DATA'!X651)),IF($B653="STD. DEVIATION",2,$F$1))))</f>
        <v/>
      </c>
      <c r="Z653" s="1" t="str">
        <f>IF(OR($B653="",Z$7=""),"",IF($B653="MEANS",INDEX('1-DATA'!$1:$1048576,$A652-1,COLUMN('1-DATA'!Y651)),ROUND(INDEX('1-DATA'!$1:$1048576,IF(OR($B653="STD. DEVIATION",$C$1=1),$A653,$A653+1),COLUMN('1-DATA'!Y651)),IF($B653="STD. DEVIATION",2,$F$1))))</f>
        <v/>
      </c>
      <c r="AA653" s="1" t="str">
        <f>IF(OR($B653="",AA$7=""),"",IF($B653="MEANS",INDEX('1-DATA'!$1:$1048576,$A652-1,COLUMN('1-DATA'!Z651)),ROUND(INDEX('1-DATA'!$1:$1048576,IF(OR($B653="STD. DEVIATION",$C$1=1),$A653,$A653+1),COLUMN('1-DATA'!Z651)),IF($B653="STD. DEVIATION",2,$F$1))))</f>
        <v/>
      </c>
      <c r="AB653" s="1" t="str">
        <f>IF(OR($B653="",AB$7=""),"",IF($B653="MEANS",INDEX('1-DATA'!$1:$1048576,$A652-1,COLUMN('1-DATA'!AA651)),ROUND(INDEX('1-DATA'!$1:$1048576,IF(OR($B653="STD. DEVIATION",$C$1=1),$A653,$A653+1),COLUMN('1-DATA'!AA651)),IF($B653="STD. DEVIATION",2,$F$1))))</f>
        <v/>
      </c>
      <c r="AC653" s="1" t="str">
        <f>IF(OR($B653="",AC$7=""),"",IF($B653="MEANS",INDEX('1-DATA'!$1:$1048576,$A652-1,COLUMN('1-DATA'!AB651)),ROUND(INDEX('1-DATA'!$1:$1048576,IF(OR($B653="STD. DEVIATION",$C$1=1),$A653,$A653+1),COLUMN('1-DATA'!AB651)),IF($B653="STD. DEVIATION",2,$F$1))))</f>
        <v/>
      </c>
      <c r="AD653" s="1" t="str">
        <f>IF(OR($B653="",AD$7=""),"",IF($B653="MEANS",INDEX('1-DATA'!$1:$1048576,$A652-1,COLUMN('1-DATA'!AC651)),ROUND(INDEX('1-DATA'!$1:$1048576,IF(OR($B653="STD. DEVIATION",$C$1=1),$A653,$A653+1),COLUMN('1-DATA'!AC651)),IF($B653="STD. DEVIATION",2,$F$1))))</f>
        <v/>
      </c>
      <c r="AE653" s="1" t="str">
        <f>IF(OR($B653="",AE$7=""),"",IF($B653="MEANS",INDEX('1-DATA'!$1:$1048576,$A652-1,COLUMN('1-DATA'!AD651)),ROUND(INDEX('1-DATA'!$1:$1048576,IF(OR($B653="STD. DEVIATION",$C$1=1),$A653,$A653+1),COLUMN('1-DATA'!AD651)),IF($B653="STD. DEVIATION",2,$F$1))))</f>
        <v/>
      </c>
      <c r="AF653" s="1" t="str">
        <f>IF(OR($B653="",AF$7=""),"",IF($B653="MEANS",INDEX('1-DATA'!$1:$1048576,$A652-1,COLUMN('1-DATA'!AE651)),ROUND(INDEX('1-DATA'!$1:$1048576,IF(OR($B653="STD. DEVIATION",$C$1=1),$A653,$A653+1),COLUMN('1-DATA'!AE651)),IF($B653="STD. DEVIATION",2,$F$1))))</f>
        <v/>
      </c>
      <c r="AG653" s="1" t="str">
        <f>IF(OR($B653="",AG$7=""),"",IF($B653="MEANS",INDEX('1-DATA'!$1:$1048576,$A652-1,COLUMN('1-DATA'!AF651)),ROUND(INDEX('1-DATA'!$1:$1048576,IF(OR($B653="STD. DEVIATION",$C$1=1),$A653,$A653+1),COLUMN('1-DATA'!AF651)),IF($B653="STD. DEVIATION",2,$F$1))))</f>
        <v/>
      </c>
      <c r="AH653" s="1" t="str">
        <f>IF(OR($B653="",AH$7=""),"",IF($B653="MEANS",INDEX('1-DATA'!$1:$1048576,$A652-1,COLUMN('1-DATA'!AG651)),ROUND(INDEX('1-DATA'!$1:$1048576,IF(OR($B653="STD. DEVIATION",$C$1=1),$A653,$A653+1),COLUMN('1-DATA'!AG651)),IF($B653="STD. DEVIATION",2,$F$1))))</f>
        <v/>
      </c>
      <c r="AI653" s="1" t="str">
        <f>IF(OR($B653="",AI$7=""),"",IF($B653="MEANS",INDEX('1-DATA'!$1:$1048576,$A652-1,COLUMN('1-DATA'!AH651)),ROUND(INDEX('1-DATA'!$1:$1048576,IF(OR($B653="STD. DEVIATION",$C$1=1),$A653,$A653+1),COLUMN('1-DATA'!AH651)),IF($B653="STD. DEVIATION",2,$F$1))))</f>
        <v/>
      </c>
      <c r="AJ653" s="1" t="str">
        <f>IF(OR($B653="",AJ$7=""),"",IF($B653="MEANS",INDEX('1-DATA'!$1:$1048576,$A652-1,COLUMN('1-DATA'!AI651)),ROUND(INDEX('1-DATA'!$1:$1048576,IF(OR($B653="STD. DEVIATION",$C$1=1),$A653,$A653+1),COLUMN('1-DATA'!AI651)),IF($B653="STD. DEVIATION",2,$F$1))))</f>
        <v/>
      </c>
      <c r="AK653" s="1" t="str">
        <f>IF(OR($B653="",AK$7=""),"",IF($B653="MEANS",INDEX('1-DATA'!$1:$1048576,$A652-1,COLUMN('1-DATA'!AJ651)),ROUND(INDEX('1-DATA'!$1:$1048576,IF(OR($B653="STD. DEVIATION",$C$1=1),$A653,$A653+1),COLUMN('1-DATA'!AJ651)),IF($B653="STD. DEVIATION",2,$F$1))))</f>
        <v/>
      </c>
      <c r="AL653" s="1" t="str">
        <f>IF(OR($B653="",AL$7=""),"",IF($B653="MEANS",INDEX('1-DATA'!$1:$1048576,$A652-1,COLUMN('1-DATA'!AK651)),ROUND(INDEX('1-DATA'!$1:$1048576,IF(OR($B653="STD. DEVIATION",$C$1=1),$A653,$A653+1),COLUMN('1-DATA'!AK651)),IF($B653="STD. DEVIATION",2,$F$1))))</f>
        <v/>
      </c>
      <c r="AM653" s="1" t="str">
        <f>IF(OR($B653="",AM$7=""),"",IF($B653="MEANS",INDEX('1-DATA'!$1:$1048576,$A652-1,COLUMN('1-DATA'!AL651)),ROUND(INDEX('1-DATA'!$1:$1048576,IF(OR($B653="STD. DEVIATION",$C$1=1),$A653,$A653+1),COLUMN('1-DATA'!AL651)),IF($B653="STD. DEVIATION",2,$F$1))))</f>
        <v/>
      </c>
      <c r="AN653" s="1" t="str">
        <f>IF(OR($B653="",AN$7=""),"",IF($B653="MEANS",INDEX('1-DATA'!$1:$1048576,$A652-1,COLUMN('1-DATA'!AM651)),ROUND(INDEX('1-DATA'!$1:$1048576,IF(OR($B653="STD. DEVIATION",$C$1=1),$A653,$A653+1),COLUMN('1-DATA'!AM651)),IF($B653="STD. DEVIATION",2,$F$1))))</f>
        <v/>
      </c>
      <c r="AO653" s="1" t="str">
        <f>IF(OR($B653="",AO$7=""),"",IF($B653="MEANS",INDEX('1-DATA'!$1:$1048576,$A652-1,COLUMN('1-DATA'!AN651)),ROUND(INDEX('1-DATA'!$1:$1048576,IF(OR($B653="STD. DEVIATION",$C$1=1),$A653,$A653+1),COLUMN('1-DATA'!AN651)),IF($B653="STD. DEVIATION",2,$F$1))))</f>
        <v/>
      </c>
      <c r="AP653" s="1" t="str">
        <f>IF(OR($B653="",AP$7=""),"",IF($B653="MEANS",INDEX('1-DATA'!$1:$1048576,$A652-1,COLUMN('1-DATA'!AO651)),ROUND(INDEX('1-DATA'!$1:$1048576,IF(OR($B653="STD. DEVIATION",$C$1=1),$A653,$A653+1),COLUMN('1-DATA'!AO651)),IF($B653="STD. DEVIATION",2,$F$1))))</f>
        <v/>
      </c>
      <c r="AQ653" s="1" t="str">
        <f>IF(OR($B653="",AQ$7=""),"",IF($B653="MEANS",INDEX('1-DATA'!$1:$1048576,$A652-1,COLUMN('1-DATA'!AP651)),ROUND(INDEX('1-DATA'!$1:$1048576,IF(OR($B653="STD. DEVIATION",$C$1=1),$A653,$A653+1),COLUMN('1-DATA'!AP651)),IF($B653="STD. DEVIATION",2,$F$1))))</f>
        <v/>
      </c>
      <c r="AR653" s="1" t="str">
        <f>IF(OR($B653="",AR$7=""),"",IF($B653="MEANS",INDEX('1-DATA'!$1:$1048576,$A652-1,COLUMN('1-DATA'!AQ651)),ROUND(INDEX('1-DATA'!$1:$1048576,IF(OR($B653="STD. DEVIATION",$C$1=1),$A653,$A653+1),COLUMN('1-DATA'!AQ651)),IF($B653="STD. DEVIATION",2,$F$1))))</f>
        <v/>
      </c>
      <c r="AS653" s="1" t="str">
        <f>IF(OR($B653="",AS$7=""),"",IF($B653="MEANS",INDEX('1-DATA'!$1:$1048576,$A652-1,COLUMN('1-DATA'!AR651)),ROUND(INDEX('1-DATA'!$1:$1048576,IF(OR($B653="STD. DEVIATION",$C$1=1),$A653,$A653+1),COLUMN('1-DATA'!AR651)),IF($B653="STD. DEVIATION",2,$F$1))))</f>
        <v/>
      </c>
      <c r="AT653" s="1" t="str">
        <f>IF(OR($B653="",AT$7=""),"",IF($B653="MEANS",INDEX('1-DATA'!$1:$1048576,$A652-1,COLUMN('1-DATA'!AS651)),ROUND(INDEX('1-DATA'!$1:$1048576,IF(OR($B653="STD. DEVIATION",$C$1=1),$A653,$A653+1),COLUMN('1-DATA'!AS651)),IF($B653="STD. DEVIATION",2,$F$1))))</f>
        <v/>
      </c>
      <c r="AU653" s="1" t="str">
        <f>IF(OR($B653="",AU$7=""),"",IF($B653="MEANS",INDEX('1-DATA'!$1:$1048576,$A652-1,COLUMN('1-DATA'!AT651)),ROUND(INDEX('1-DATA'!$1:$1048576,IF(OR($B653="STD. DEVIATION",$C$1=1),$A653,$A653+1),COLUMN('1-DATA'!AT651)),IF($B653="STD. DEVIATION",2,$F$1))))</f>
        <v/>
      </c>
      <c r="AV653" s="1" t="str">
        <f>IF(OR($B653="",AV$7=""),"",IF($B653="MEANS",INDEX('1-DATA'!$1:$1048576,$A652-1,COLUMN('1-DATA'!AU651)),ROUND(INDEX('1-DATA'!$1:$1048576,IF(OR($B653="STD. DEVIATION",$C$1=1),$A653,$A653+1),COLUMN('1-DATA'!AU651)),IF($B653="STD. DEVIATION",2,$F$1))))</f>
        <v/>
      </c>
      <c r="AW653" s="1" t="str">
        <f>IF(OR($B653="",AW$7=""),"",IF($B653="MEANS",INDEX('1-DATA'!$1:$1048576,$A652-1,COLUMN('1-DATA'!AV651)),ROUND(INDEX('1-DATA'!$1:$1048576,IF(OR($B653="STD. DEVIATION",$C$1=1),$A653,$A653+1),COLUMN('1-DATA'!AV651)),IF($B653="STD. DEVIATION",2,$F$1))))</f>
        <v/>
      </c>
      <c r="AX653" s="1" t="str">
        <f>IF(OR($B653="",AX$7=""),"",IF($B653="MEANS",INDEX('1-DATA'!$1:$1048576,$A652-1,COLUMN('1-DATA'!AW651)),ROUND(INDEX('1-DATA'!$1:$1048576,IF(OR($B653="STD. DEVIATION",$C$1=1),$A653,$A653+1),COLUMN('1-DATA'!AW651)),IF($B653="STD. DEVIATION",2,$F$1))))</f>
        <v/>
      </c>
      <c r="AY653" s="1" t="str">
        <f>IF(OR($B653="",AY$7=""),"",IF($B653="MEANS",INDEX('1-DATA'!$1:$1048576,$A652-1,COLUMN('1-DATA'!AX651)),ROUND(INDEX('1-DATA'!$1:$1048576,IF(OR($B653="STD. DEVIATION",$C$1=1),$A653,$A653+1),COLUMN('1-DATA'!AX651)),IF($B653="STD. DEVIATION",2,$F$1))))</f>
        <v/>
      </c>
      <c r="AZ653" s="1" t="str">
        <f>IF(OR($B653="",AZ$7=""),"",IF($B653="MEANS",INDEX('1-DATA'!$1:$1048576,$A652-1,COLUMN('1-DATA'!AY651)),ROUND(INDEX('1-DATA'!$1:$1048576,IF(OR($B653="STD. DEVIATION",$C$1=1),$A653,$A653+1),COLUMN('1-DATA'!AY651)),IF($B653="STD. DEVIATION",2,$F$1))))</f>
        <v/>
      </c>
    </row>
    <row r="654" spans="1:52" x14ac:dyDescent="0.25">
      <c r="A654" s="11">
        <f t="shared" si="10"/>
        <v>1948</v>
      </c>
      <c r="B654" s="1" t="str">
        <f>IF(B653="STD. DEVIATION",INDEX('1-DATA'!$1:$1048576,$A653-1,1),IF(INDEX('1-DATA'!$1:$1048576,$A654,1)&lt;&gt;"",INDEX('1-DATA'!$1:$1048576,$A654,1),""))</f>
        <v/>
      </c>
      <c r="C654" s="1" t="str">
        <f>IF(OR($B654="",C$7=""),"",IF($B654="MEANS",INDEX('1-DATA'!$1:$1048576,$A653-1,COLUMN('1-DATA'!B652)),ROUND(INDEX('1-DATA'!$1:$1048576,IF(OR($B654="STD. DEVIATION",$C$1=1),$A654,$A654+1),COLUMN('1-DATA'!B652)),IF($B654="STD. DEVIATION",2,$F$1))))</f>
        <v/>
      </c>
      <c r="D654" s="1" t="str">
        <f>IF(OR($B654="",D$7=""),"",IF($B654="MEANS",INDEX('1-DATA'!$1:$1048576,$A653-1,COLUMN('1-DATA'!C652)),ROUND(INDEX('1-DATA'!$1:$1048576,IF(OR($B654="STD. DEVIATION",$C$1=1),$A654,$A654+1),COLUMN('1-DATA'!C652)),IF($B654="STD. DEVIATION",2,$F$1))))</f>
        <v/>
      </c>
      <c r="E654" s="1" t="str">
        <f>IF(OR($B654="",E$7=""),"",IF($B654="MEANS",INDEX('1-DATA'!$1:$1048576,$A653-1,COLUMN('1-DATA'!D652)),ROUND(INDEX('1-DATA'!$1:$1048576,IF(OR($B654="STD. DEVIATION",$C$1=1),$A654,$A654+1),COLUMN('1-DATA'!D652)),IF($B654="STD. DEVIATION",2,$F$1))))</f>
        <v/>
      </c>
      <c r="F654" s="1" t="str">
        <f>IF(OR($B654="",F$7=""),"",IF($B654="MEANS",INDEX('1-DATA'!$1:$1048576,$A653-1,COLUMN('1-DATA'!E652)),ROUND(INDEX('1-DATA'!$1:$1048576,IF(OR($B654="STD. DEVIATION",$C$1=1),$A654,$A654+1),COLUMN('1-DATA'!E652)),IF($B654="STD. DEVIATION",2,$F$1))))</f>
        <v/>
      </c>
      <c r="G654" s="1" t="str">
        <f>IF(OR($B654="",G$7=""),"",IF($B654="MEANS",INDEX('1-DATA'!$1:$1048576,$A653-1,COLUMN('1-DATA'!F652)),ROUND(INDEX('1-DATA'!$1:$1048576,IF(OR($B654="STD. DEVIATION",$C$1=1),$A654,$A654+1),COLUMN('1-DATA'!F652)),IF($B654="STD. DEVIATION",2,$F$1))))</f>
        <v/>
      </c>
      <c r="H654" s="1" t="str">
        <f>IF(OR($B654="",H$7=""),"",IF($B654="MEANS",INDEX('1-DATA'!$1:$1048576,$A653-1,COLUMN('1-DATA'!G652)),ROUND(INDEX('1-DATA'!$1:$1048576,IF(OR($B654="STD. DEVIATION",$C$1=1),$A654,$A654+1),COLUMN('1-DATA'!G652)),IF($B654="STD. DEVIATION",2,$F$1))))</f>
        <v/>
      </c>
      <c r="I654" s="1" t="str">
        <f>IF(OR($B654="",I$7=""),"",IF($B654="MEANS",INDEX('1-DATA'!$1:$1048576,$A653-1,COLUMN('1-DATA'!H652)),ROUND(INDEX('1-DATA'!$1:$1048576,IF(OR($B654="STD. DEVIATION",$C$1=1),$A654,$A654+1),COLUMN('1-DATA'!H652)),IF($B654="STD. DEVIATION",2,$F$1))))</f>
        <v/>
      </c>
      <c r="J654" s="1" t="str">
        <f>IF(OR($B654="",J$7=""),"",IF($B654="MEANS",INDEX('1-DATA'!$1:$1048576,$A653-1,COLUMN('1-DATA'!I652)),ROUND(INDEX('1-DATA'!$1:$1048576,IF(OR($B654="STD. DEVIATION",$C$1=1),$A654,$A654+1),COLUMN('1-DATA'!I652)),IF($B654="STD. DEVIATION",2,$F$1))))</f>
        <v/>
      </c>
      <c r="K654" s="1" t="str">
        <f>IF(OR($B654="",K$7=""),"",IF($B654="MEANS",INDEX('1-DATA'!$1:$1048576,$A653-1,COLUMN('1-DATA'!J652)),ROUND(INDEX('1-DATA'!$1:$1048576,IF(OR($B654="STD. DEVIATION",$C$1=1),$A654,$A654+1),COLUMN('1-DATA'!J652)),IF($B654="STD. DEVIATION",2,$F$1))))</f>
        <v/>
      </c>
      <c r="L654" s="1" t="str">
        <f>IF(OR($B654="",L$7=""),"",IF($B654="MEANS",INDEX('1-DATA'!$1:$1048576,$A653-1,COLUMN('1-DATA'!K652)),ROUND(INDEX('1-DATA'!$1:$1048576,IF(OR($B654="STD. DEVIATION",$C$1=1),$A654,$A654+1),COLUMN('1-DATA'!K652)),IF($B654="STD. DEVIATION",2,$F$1))))</f>
        <v/>
      </c>
      <c r="M654" s="1" t="str">
        <f>IF(OR($B654="",M$7=""),"",IF($B654="MEANS",INDEX('1-DATA'!$1:$1048576,$A653-1,COLUMN('1-DATA'!L652)),ROUND(INDEX('1-DATA'!$1:$1048576,IF(OR($B654="STD. DEVIATION",$C$1=1),$A654,$A654+1),COLUMN('1-DATA'!L652)),IF($B654="STD. DEVIATION",2,$F$1))))</f>
        <v/>
      </c>
      <c r="N654" s="1" t="str">
        <f>IF(OR($B654="",N$7=""),"",IF($B654="MEANS",INDEX('1-DATA'!$1:$1048576,$A653-1,COLUMN('1-DATA'!M652)),ROUND(INDEX('1-DATA'!$1:$1048576,IF(OR($B654="STD. DEVIATION",$C$1=1),$A654,$A654+1),COLUMN('1-DATA'!M652)),IF($B654="STD. DEVIATION",2,$F$1))))</f>
        <v/>
      </c>
      <c r="O654" s="1" t="str">
        <f>IF(OR($B654="",O$7=""),"",IF($B654="MEANS",INDEX('1-DATA'!$1:$1048576,$A653-1,COLUMN('1-DATA'!N652)),ROUND(INDEX('1-DATA'!$1:$1048576,IF(OR($B654="STD. DEVIATION",$C$1=1),$A654,$A654+1),COLUMN('1-DATA'!N652)),IF($B654="STD. DEVIATION",2,$F$1))))</f>
        <v/>
      </c>
      <c r="P654" s="1" t="str">
        <f>IF(OR($B654="",P$7=""),"",IF($B654="MEANS",INDEX('1-DATA'!$1:$1048576,$A653-1,COLUMN('1-DATA'!O652)),ROUND(INDEX('1-DATA'!$1:$1048576,IF(OR($B654="STD. DEVIATION",$C$1=1),$A654,$A654+1),COLUMN('1-DATA'!O652)),IF($B654="STD. DEVIATION",2,$F$1))))</f>
        <v/>
      </c>
      <c r="Q654" s="1" t="str">
        <f>IF(OR($B654="",Q$7=""),"",IF($B654="MEANS",INDEX('1-DATA'!$1:$1048576,$A653-1,COLUMN('1-DATA'!P652)),ROUND(INDEX('1-DATA'!$1:$1048576,IF(OR($B654="STD. DEVIATION",$C$1=1),$A654,$A654+1),COLUMN('1-DATA'!P652)),IF($B654="STD. DEVIATION",2,$F$1))))</f>
        <v/>
      </c>
      <c r="R654" s="1" t="str">
        <f>IF(OR($B654="",R$7=""),"",IF($B654="MEANS",INDEX('1-DATA'!$1:$1048576,$A653-1,COLUMN('1-DATA'!Q652)),ROUND(INDEX('1-DATA'!$1:$1048576,IF(OR($B654="STD. DEVIATION",$C$1=1),$A654,$A654+1),COLUMN('1-DATA'!Q652)),IF($B654="STD. DEVIATION",2,$F$1))))</f>
        <v/>
      </c>
      <c r="S654" s="1" t="str">
        <f>IF(OR($B654="",S$7=""),"",IF($B654="MEANS",INDEX('1-DATA'!$1:$1048576,$A653-1,COLUMN('1-DATA'!R652)),ROUND(INDEX('1-DATA'!$1:$1048576,IF(OR($B654="STD. DEVIATION",$C$1=1),$A654,$A654+1),COLUMN('1-DATA'!R652)),IF($B654="STD. DEVIATION",2,$F$1))))</f>
        <v/>
      </c>
      <c r="T654" s="1" t="str">
        <f>IF(OR($B654="",T$7=""),"",IF($B654="MEANS",INDEX('1-DATA'!$1:$1048576,$A653-1,COLUMN('1-DATA'!S652)),ROUND(INDEX('1-DATA'!$1:$1048576,IF(OR($B654="STD. DEVIATION",$C$1=1),$A654,$A654+1),COLUMN('1-DATA'!S652)),IF($B654="STD. DEVIATION",2,$F$1))))</f>
        <v/>
      </c>
      <c r="U654" s="1" t="str">
        <f>IF(OR($B654="",U$7=""),"",IF($B654="MEANS",INDEX('1-DATA'!$1:$1048576,$A653-1,COLUMN('1-DATA'!T652)),ROUND(INDEX('1-DATA'!$1:$1048576,IF(OR($B654="STD. DEVIATION",$C$1=1),$A654,$A654+1),COLUMN('1-DATA'!T652)),IF($B654="STD. DEVIATION",2,$F$1))))</f>
        <v/>
      </c>
      <c r="V654" s="1" t="str">
        <f>IF(OR($B654="",V$7=""),"",IF($B654="MEANS",INDEX('1-DATA'!$1:$1048576,$A653-1,COLUMN('1-DATA'!U652)),ROUND(INDEX('1-DATA'!$1:$1048576,IF(OR($B654="STD. DEVIATION",$C$1=1),$A654,$A654+1),COLUMN('1-DATA'!U652)),IF($B654="STD. DEVIATION",2,$F$1))))</f>
        <v/>
      </c>
      <c r="W654" s="1" t="str">
        <f>IF(OR($B654="",W$7=""),"",IF($B654="MEANS",INDEX('1-DATA'!$1:$1048576,$A653-1,COLUMN('1-DATA'!V652)),ROUND(INDEX('1-DATA'!$1:$1048576,IF(OR($B654="STD. DEVIATION",$C$1=1),$A654,$A654+1),COLUMN('1-DATA'!V652)),IF($B654="STD. DEVIATION",2,$F$1))))</f>
        <v/>
      </c>
      <c r="X654" s="1" t="str">
        <f>IF(OR($B654="",X$7=""),"",IF($B654="MEANS",INDEX('1-DATA'!$1:$1048576,$A653-1,COLUMN('1-DATA'!W652)),ROUND(INDEX('1-DATA'!$1:$1048576,IF(OR($B654="STD. DEVIATION",$C$1=1),$A654,$A654+1),COLUMN('1-DATA'!W652)),IF($B654="STD. DEVIATION",2,$F$1))))</f>
        <v/>
      </c>
      <c r="Y654" s="1" t="str">
        <f>IF(OR($B654="",Y$7=""),"",IF($B654="MEANS",INDEX('1-DATA'!$1:$1048576,$A653-1,COLUMN('1-DATA'!X652)),ROUND(INDEX('1-DATA'!$1:$1048576,IF(OR($B654="STD. DEVIATION",$C$1=1),$A654,$A654+1),COLUMN('1-DATA'!X652)),IF($B654="STD. DEVIATION",2,$F$1))))</f>
        <v/>
      </c>
      <c r="Z654" s="1" t="str">
        <f>IF(OR($B654="",Z$7=""),"",IF($B654="MEANS",INDEX('1-DATA'!$1:$1048576,$A653-1,COLUMN('1-DATA'!Y652)),ROUND(INDEX('1-DATA'!$1:$1048576,IF(OR($B654="STD. DEVIATION",$C$1=1),$A654,$A654+1),COLUMN('1-DATA'!Y652)),IF($B654="STD. DEVIATION",2,$F$1))))</f>
        <v/>
      </c>
      <c r="AA654" s="1" t="str">
        <f>IF(OR($B654="",AA$7=""),"",IF($B654="MEANS",INDEX('1-DATA'!$1:$1048576,$A653-1,COLUMN('1-DATA'!Z652)),ROUND(INDEX('1-DATA'!$1:$1048576,IF(OR($B654="STD. DEVIATION",$C$1=1),$A654,$A654+1),COLUMN('1-DATA'!Z652)),IF($B654="STD. DEVIATION",2,$F$1))))</f>
        <v/>
      </c>
      <c r="AB654" s="1" t="str">
        <f>IF(OR($B654="",AB$7=""),"",IF($B654="MEANS",INDEX('1-DATA'!$1:$1048576,$A653-1,COLUMN('1-DATA'!AA652)),ROUND(INDEX('1-DATA'!$1:$1048576,IF(OR($B654="STD. DEVIATION",$C$1=1),$A654,$A654+1),COLUMN('1-DATA'!AA652)),IF($B654="STD. DEVIATION",2,$F$1))))</f>
        <v/>
      </c>
      <c r="AC654" s="1" t="str">
        <f>IF(OR($B654="",AC$7=""),"",IF($B654="MEANS",INDEX('1-DATA'!$1:$1048576,$A653-1,COLUMN('1-DATA'!AB652)),ROUND(INDEX('1-DATA'!$1:$1048576,IF(OR($B654="STD. DEVIATION",$C$1=1),$A654,$A654+1),COLUMN('1-DATA'!AB652)),IF($B654="STD. DEVIATION",2,$F$1))))</f>
        <v/>
      </c>
      <c r="AD654" s="1" t="str">
        <f>IF(OR($B654="",AD$7=""),"",IF($B654="MEANS",INDEX('1-DATA'!$1:$1048576,$A653-1,COLUMN('1-DATA'!AC652)),ROUND(INDEX('1-DATA'!$1:$1048576,IF(OR($B654="STD. DEVIATION",$C$1=1),$A654,$A654+1),COLUMN('1-DATA'!AC652)),IF($B654="STD. DEVIATION",2,$F$1))))</f>
        <v/>
      </c>
      <c r="AE654" s="1" t="str">
        <f>IF(OR($B654="",AE$7=""),"",IF($B654="MEANS",INDEX('1-DATA'!$1:$1048576,$A653-1,COLUMN('1-DATA'!AD652)),ROUND(INDEX('1-DATA'!$1:$1048576,IF(OR($B654="STD. DEVIATION",$C$1=1),$A654,$A654+1),COLUMN('1-DATA'!AD652)),IF($B654="STD. DEVIATION",2,$F$1))))</f>
        <v/>
      </c>
      <c r="AF654" s="1" t="str">
        <f>IF(OR($B654="",AF$7=""),"",IF($B654="MEANS",INDEX('1-DATA'!$1:$1048576,$A653-1,COLUMN('1-DATA'!AE652)),ROUND(INDEX('1-DATA'!$1:$1048576,IF(OR($B654="STD. DEVIATION",$C$1=1),$A654,$A654+1),COLUMN('1-DATA'!AE652)),IF($B654="STD. DEVIATION",2,$F$1))))</f>
        <v/>
      </c>
      <c r="AG654" s="1" t="str">
        <f>IF(OR($B654="",AG$7=""),"",IF($B654="MEANS",INDEX('1-DATA'!$1:$1048576,$A653-1,COLUMN('1-DATA'!AF652)),ROUND(INDEX('1-DATA'!$1:$1048576,IF(OR($B654="STD. DEVIATION",$C$1=1),$A654,$A654+1),COLUMN('1-DATA'!AF652)),IF($B654="STD. DEVIATION",2,$F$1))))</f>
        <v/>
      </c>
      <c r="AH654" s="1" t="str">
        <f>IF(OR($B654="",AH$7=""),"",IF($B654="MEANS",INDEX('1-DATA'!$1:$1048576,$A653-1,COLUMN('1-DATA'!AG652)),ROUND(INDEX('1-DATA'!$1:$1048576,IF(OR($B654="STD. DEVIATION",$C$1=1),$A654,$A654+1),COLUMN('1-DATA'!AG652)),IF($B654="STD. DEVIATION",2,$F$1))))</f>
        <v/>
      </c>
      <c r="AI654" s="1" t="str">
        <f>IF(OR($B654="",AI$7=""),"",IF($B654="MEANS",INDEX('1-DATA'!$1:$1048576,$A653-1,COLUMN('1-DATA'!AH652)),ROUND(INDEX('1-DATA'!$1:$1048576,IF(OR($B654="STD. DEVIATION",$C$1=1),$A654,$A654+1),COLUMN('1-DATA'!AH652)),IF($B654="STD. DEVIATION",2,$F$1))))</f>
        <v/>
      </c>
      <c r="AJ654" s="1" t="str">
        <f>IF(OR($B654="",AJ$7=""),"",IF($B654="MEANS",INDEX('1-DATA'!$1:$1048576,$A653-1,COLUMN('1-DATA'!AI652)),ROUND(INDEX('1-DATA'!$1:$1048576,IF(OR($B654="STD. DEVIATION",$C$1=1),$A654,$A654+1),COLUMN('1-DATA'!AI652)),IF($B654="STD. DEVIATION",2,$F$1))))</f>
        <v/>
      </c>
      <c r="AK654" s="1" t="str">
        <f>IF(OR($B654="",AK$7=""),"",IF($B654="MEANS",INDEX('1-DATA'!$1:$1048576,$A653-1,COLUMN('1-DATA'!AJ652)),ROUND(INDEX('1-DATA'!$1:$1048576,IF(OR($B654="STD. DEVIATION",$C$1=1),$A654,$A654+1),COLUMN('1-DATA'!AJ652)),IF($B654="STD. DEVIATION",2,$F$1))))</f>
        <v/>
      </c>
      <c r="AL654" s="1" t="str">
        <f>IF(OR($B654="",AL$7=""),"",IF($B654="MEANS",INDEX('1-DATA'!$1:$1048576,$A653-1,COLUMN('1-DATA'!AK652)),ROUND(INDEX('1-DATA'!$1:$1048576,IF(OR($B654="STD. DEVIATION",$C$1=1),$A654,$A654+1),COLUMN('1-DATA'!AK652)),IF($B654="STD. DEVIATION",2,$F$1))))</f>
        <v/>
      </c>
      <c r="AM654" s="1" t="str">
        <f>IF(OR($B654="",AM$7=""),"",IF($B654="MEANS",INDEX('1-DATA'!$1:$1048576,$A653-1,COLUMN('1-DATA'!AL652)),ROUND(INDEX('1-DATA'!$1:$1048576,IF(OR($B654="STD. DEVIATION",$C$1=1),$A654,$A654+1),COLUMN('1-DATA'!AL652)),IF($B654="STD. DEVIATION",2,$F$1))))</f>
        <v/>
      </c>
      <c r="AN654" s="1" t="str">
        <f>IF(OR($B654="",AN$7=""),"",IF($B654="MEANS",INDEX('1-DATA'!$1:$1048576,$A653-1,COLUMN('1-DATA'!AM652)),ROUND(INDEX('1-DATA'!$1:$1048576,IF(OR($B654="STD. DEVIATION",$C$1=1),$A654,$A654+1),COLUMN('1-DATA'!AM652)),IF($B654="STD. DEVIATION",2,$F$1))))</f>
        <v/>
      </c>
      <c r="AO654" s="1" t="str">
        <f>IF(OR($B654="",AO$7=""),"",IF($B654="MEANS",INDEX('1-DATA'!$1:$1048576,$A653-1,COLUMN('1-DATA'!AN652)),ROUND(INDEX('1-DATA'!$1:$1048576,IF(OR($B654="STD. DEVIATION",$C$1=1),$A654,$A654+1),COLUMN('1-DATA'!AN652)),IF($B654="STD. DEVIATION",2,$F$1))))</f>
        <v/>
      </c>
      <c r="AP654" s="1" t="str">
        <f>IF(OR($B654="",AP$7=""),"",IF($B654="MEANS",INDEX('1-DATA'!$1:$1048576,$A653-1,COLUMN('1-DATA'!AO652)),ROUND(INDEX('1-DATA'!$1:$1048576,IF(OR($B654="STD. DEVIATION",$C$1=1),$A654,$A654+1),COLUMN('1-DATA'!AO652)),IF($B654="STD. DEVIATION",2,$F$1))))</f>
        <v/>
      </c>
      <c r="AQ654" s="1" t="str">
        <f>IF(OR($B654="",AQ$7=""),"",IF($B654="MEANS",INDEX('1-DATA'!$1:$1048576,$A653-1,COLUMN('1-DATA'!AP652)),ROUND(INDEX('1-DATA'!$1:$1048576,IF(OR($B654="STD. DEVIATION",$C$1=1),$A654,$A654+1),COLUMN('1-DATA'!AP652)),IF($B654="STD. DEVIATION",2,$F$1))))</f>
        <v/>
      </c>
      <c r="AR654" s="1" t="str">
        <f>IF(OR($B654="",AR$7=""),"",IF($B654="MEANS",INDEX('1-DATA'!$1:$1048576,$A653-1,COLUMN('1-DATA'!AQ652)),ROUND(INDEX('1-DATA'!$1:$1048576,IF(OR($B654="STD. DEVIATION",$C$1=1),$A654,$A654+1),COLUMN('1-DATA'!AQ652)),IF($B654="STD. DEVIATION",2,$F$1))))</f>
        <v/>
      </c>
      <c r="AS654" s="1" t="str">
        <f>IF(OR($B654="",AS$7=""),"",IF($B654="MEANS",INDEX('1-DATA'!$1:$1048576,$A653-1,COLUMN('1-DATA'!AR652)),ROUND(INDEX('1-DATA'!$1:$1048576,IF(OR($B654="STD. DEVIATION",$C$1=1),$A654,$A654+1),COLUMN('1-DATA'!AR652)),IF($B654="STD. DEVIATION",2,$F$1))))</f>
        <v/>
      </c>
      <c r="AT654" s="1" t="str">
        <f>IF(OR($B654="",AT$7=""),"",IF($B654="MEANS",INDEX('1-DATA'!$1:$1048576,$A653-1,COLUMN('1-DATA'!AS652)),ROUND(INDEX('1-DATA'!$1:$1048576,IF(OR($B654="STD. DEVIATION",$C$1=1),$A654,$A654+1),COLUMN('1-DATA'!AS652)),IF($B654="STD. DEVIATION",2,$F$1))))</f>
        <v/>
      </c>
      <c r="AU654" s="1" t="str">
        <f>IF(OR($B654="",AU$7=""),"",IF($B654="MEANS",INDEX('1-DATA'!$1:$1048576,$A653-1,COLUMN('1-DATA'!AT652)),ROUND(INDEX('1-DATA'!$1:$1048576,IF(OR($B654="STD. DEVIATION",$C$1=1),$A654,$A654+1),COLUMN('1-DATA'!AT652)),IF($B654="STD. DEVIATION",2,$F$1))))</f>
        <v/>
      </c>
      <c r="AV654" s="1" t="str">
        <f>IF(OR($B654="",AV$7=""),"",IF($B654="MEANS",INDEX('1-DATA'!$1:$1048576,$A653-1,COLUMN('1-DATA'!AU652)),ROUND(INDEX('1-DATA'!$1:$1048576,IF(OR($B654="STD. DEVIATION",$C$1=1),$A654,$A654+1),COLUMN('1-DATA'!AU652)),IF($B654="STD. DEVIATION",2,$F$1))))</f>
        <v/>
      </c>
      <c r="AW654" s="1" t="str">
        <f>IF(OR($B654="",AW$7=""),"",IF($B654="MEANS",INDEX('1-DATA'!$1:$1048576,$A653-1,COLUMN('1-DATA'!AV652)),ROUND(INDEX('1-DATA'!$1:$1048576,IF(OR($B654="STD. DEVIATION",$C$1=1),$A654,$A654+1),COLUMN('1-DATA'!AV652)),IF($B654="STD. DEVIATION",2,$F$1))))</f>
        <v/>
      </c>
      <c r="AX654" s="1" t="str">
        <f>IF(OR($B654="",AX$7=""),"",IF($B654="MEANS",INDEX('1-DATA'!$1:$1048576,$A653-1,COLUMN('1-DATA'!AW652)),ROUND(INDEX('1-DATA'!$1:$1048576,IF(OR($B654="STD. DEVIATION",$C$1=1),$A654,$A654+1),COLUMN('1-DATA'!AW652)),IF($B654="STD. DEVIATION",2,$F$1))))</f>
        <v/>
      </c>
      <c r="AY654" s="1" t="str">
        <f>IF(OR($B654="",AY$7=""),"",IF($B654="MEANS",INDEX('1-DATA'!$1:$1048576,$A653-1,COLUMN('1-DATA'!AX652)),ROUND(INDEX('1-DATA'!$1:$1048576,IF(OR($B654="STD. DEVIATION",$C$1=1),$A654,$A654+1),COLUMN('1-DATA'!AX652)),IF($B654="STD. DEVIATION",2,$F$1))))</f>
        <v/>
      </c>
      <c r="AZ654" s="1" t="str">
        <f>IF(OR($B654="",AZ$7=""),"",IF($B654="MEANS",INDEX('1-DATA'!$1:$1048576,$A653-1,COLUMN('1-DATA'!AY652)),ROUND(INDEX('1-DATA'!$1:$1048576,IF(OR($B654="STD. DEVIATION",$C$1=1),$A654,$A654+1),COLUMN('1-DATA'!AY652)),IF($B654="STD. DEVIATION",2,$F$1))))</f>
        <v/>
      </c>
    </row>
    <row r="655" spans="1:52" x14ac:dyDescent="0.25">
      <c r="A655" s="11">
        <f t="shared" si="10"/>
        <v>1951</v>
      </c>
      <c r="B655" s="1" t="str">
        <f>IF(B654="STD. DEVIATION",INDEX('1-DATA'!$1:$1048576,$A654-1,1),IF(INDEX('1-DATA'!$1:$1048576,$A655,1)&lt;&gt;"",INDEX('1-DATA'!$1:$1048576,$A655,1),""))</f>
        <v/>
      </c>
      <c r="C655" s="1" t="str">
        <f>IF(OR($B655="",C$7=""),"",IF($B655="MEANS",INDEX('1-DATA'!$1:$1048576,$A654-1,COLUMN('1-DATA'!B653)),ROUND(INDEX('1-DATA'!$1:$1048576,IF(OR($B655="STD. DEVIATION",$C$1=1),$A655,$A655+1),COLUMN('1-DATA'!B653)),IF($B655="STD. DEVIATION",2,$F$1))))</f>
        <v/>
      </c>
      <c r="D655" s="1" t="str">
        <f>IF(OR($B655="",D$7=""),"",IF($B655="MEANS",INDEX('1-DATA'!$1:$1048576,$A654-1,COLUMN('1-DATA'!C653)),ROUND(INDEX('1-DATA'!$1:$1048576,IF(OR($B655="STD. DEVIATION",$C$1=1),$A655,$A655+1),COLUMN('1-DATA'!C653)),IF($B655="STD. DEVIATION",2,$F$1))))</f>
        <v/>
      </c>
      <c r="E655" s="1" t="str">
        <f>IF(OR($B655="",E$7=""),"",IF($B655="MEANS",INDEX('1-DATA'!$1:$1048576,$A654-1,COLUMN('1-DATA'!D653)),ROUND(INDEX('1-DATA'!$1:$1048576,IF(OR($B655="STD. DEVIATION",$C$1=1),$A655,$A655+1),COLUMN('1-DATA'!D653)),IF($B655="STD. DEVIATION",2,$F$1))))</f>
        <v/>
      </c>
      <c r="F655" s="1" t="str">
        <f>IF(OR($B655="",F$7=""),"",IF($B655="MEANS",INDEX('1-DATA'!$1:$1048576,$A654-1,COLUMN('1-DATA'!E653)),ROUND(INDEX('1-DATA'!$1:$1048576,IF(OR($B655="STD. DEVIATION",$C$1=1),$A655,$A655+1),COLUMN('1-DATA'!E653)),IF($B655="STD. DEVIATION",2,$F$1))))</f>
        <v/>
      </c>
      <c r="G655" s="1" t="str">
        <f>IF(OR($B655="",G$7=""),"",IF($B655="MEANS",INDEX('1-DATA'!$1:$1048576,$A654-1,COLUMN('1-DATA'!F653)),ROUND(INDEX('1-DATA'!$1:$1048576,IF(OR($B655="STD. DEVIATION",$C$1=1),$A655,$A655+1),COLUMN('1-DATA'!F653)),IF($B655="STD. DEVIATION",2,$F$1))))</f>
        <v/>
      </c>
      <c r="H655" s="1" t="str">
        <f>IF(OR($B655="",H$7=""),"",IF($B655="MEANS",INDEX('1-DATA'!$1:$1048576,$A654-1,COLUMN('1-DATA'!G653)),ROUND(INDEX('1-DATA'!$1:$1048576,IF(OR($B655="STD. DEVIATION",$C$1=1),$A655,$A655+1),COLUMN('1-DATA'!G653)),IF($B655="STD. DEVIATION",2,$F$1))))</f>
        <v/>
      </c>
      <c r="I655" s="1" t="str">
        <f>IF(OR($B655="",I$7=""),"",IF($B655="MEANS",INDEX('1-DATA'!$1:$1048576,$A654-1,COLUMN('1-DATA'!H653)),ROUND(INDEX('1-DATA'!$1:$1048576,IF(OR($B655="STD. DEVIATION",$C$1=1),$A655,$A655+1),COLUMN('1-DATA'!H653)),IF($B655="STD. DEVIATION",2,$F$1))))</f>
        <v/>
      </c>
      <c r="J655" s="1" t="str">
        <f>IF(OR($B655="",J$7=""),"",IF($B655="MEANS",INDEX('1-DATA'!$1:$1048576,$A654-1,COLUMN('1-DATA'!I653)),ROUND(INDEX('1-DATA'!$1:$1048576,IF(OR($B655="STD. DEVIATION",$C$1=1),$A655,$A655+1),COLUMN('1-DATA'!I653)),IF($B655="STD. DEVIATION",2,$F$1))))</f>
        <v/>
      </c>
      <c r="K655" s="1" t="str">
        <f>IF(OR($B655="",K$7=""),"",IF($B655="MEANS",INDEX('1-DATA'!$1:$1048576,$A654-1,COLUMN('1-DATA'!J653)),ROUND(INDEX('1-DATA'!$1:$1048576,IF(OR($B655="STD. DEVIATION",$C$1=1),$A655,$A655+1),COLUMN('1-DATA'!J653)),IF($B655="STD. DEVIATION",2,$F$1))))</f>
        <v/>
      </c>
      <c r="L655" s="1" t="str">
        <f>IF(OR($B655="",L$7=""),"",IF($B655="MEANS",INDEX('1-DATA'!$1:$1048576,$A654-1,COLUMN('1-DATA'!K653)),ROUND(INDEX('1-DATA'!$1:$1048576,IF(OR($B655="STD. DEVIATION",$C$1=1),$A655,$A655+1),COLUMN('1-DATA'!K653)),IF($B655="STD. DEVIATION",2,$F$1))))</f>
        <v/>
      </c>
      <c r="M655" s="1" t="str">
        <f>IF(OR($B655="",M$7=""),"",IF($B655="MEANS",INDEX('1-DATA'!$1:$1048576,$A654-1,COLUMN('1-DATA'!L653)),ROUND(INDEX('1-DATA'!$1:$1048576,IF(OR($B655="STD. DEVIATION",$C$1=1),$A655,$A655+1),COLUMN('1-DATA'!L653)),IF($B655="STD. DEVIATION",2,$F$1))))</f>
        <v/>
      </c>
      <c r="N655" s="1" t="str">
        <f>IF(OR($B655="",N$7=""),"",IF($B655="MEANS",INDEX('1-DATA'!$1:$1048576,$A654-1,COLUMN('1-DATA'!M653)),ROUND(INDEX('1-DATA'!$1:$1048576,IF(OR($B655="STD. DEVIATION",$C$1=1),$A655,$A655+1),COLUMN('1-DATA'!M653)),IF($B655="STD. DEVIATION",2,$F$1))))</f>
        <v/>
      </c>
      <c r="O655" s="1" t="str">
        <f>IF(OR($B655="",O$7=""),"",IF($B655="MEANS",INDEX('1-DATA'!$1:$1048576,$A654-1,COLUMN('1-DATA'!N653)),ROUND(INDEX('1-DATA'!$1:$1048576,IF(OR($B655="STD. DEVIATION",$C$1=1),$A655,$A655+1),COLUMN('1-DATA'!N653)),IF($B655="STD. DEVIATION",2,$F$1))))</f>
        <v/>
      </c>
      <c r="P655" s="1" t="str">
        <f>IF(OR($B655="",P$7=""),"",IF($B655="MEANS",INDEX('1-DATA'!$1:$1048576,$A654-1,COLUMN('1-DATA'!O653)),ROUND(INDEX('1-DATA'!$1:$1048576,IF(OR($B655="STD. DEVIATION",$C$1=1),$A655,$A655+1),COLUMN('1-DATA'!O653)),IF($B655="STD. DEVIATION",2,$F$1))))</f>
        <v/>
      </c>
      <c r="Q655" s="1" t="str">
        <f>IF(OR($B655="",Q$7=""),"",IF($B655="MEANS",INDEX('1-DATA'!$1:$1048576,$A654-1,COLUMN('1-DATA'!P653)),ROUND(INDEX('1-DATA'!$1:$1048576,IF(OR($B655="STD. DEVIATION",$C$1=1),$A655,$A655+1),COLUMN('1-DATA'!P653)),IF($B655="STD. DEVIATION",2,$F$1))))</f>
        <v/>
      </c>
      <c r="R655" s="1" t="str">
        <f>IF(OR($B655="",R$7=""),"",IF($B655="MEANS",INDEX('1-DATA'!$1:$1048576,$A654-1,COLUMN('1-DATA'!Q653)),ROUND(INDEX('1-DATA'!$1:$1048576,IF(OR($B655="STD. DEVIATION",$C$1=1),$A655,$A655+1),COLUMN('1-DATA'!Q653)),IF($B655="STD. DEVIATION",2,$F$1))))</f>
        <v/>
      </c>
      <c r="S655" s="1" t="str">
        <f>IF(OR($B655="",S$7=""),"",IF($B655="MEANS",INDEX('1-DATA'!$1:$1048576,$A654-1,COLUMN('1-DATA'!R653)),ROUND(INDEX('1-DATA'!$1:$1048576,IF(OR($B655="STD. DEVIATION",$C$1=1),$A655,$A655+1),COLUMN('1-DATA'!R653)),IF($B655="STD. DEVIATION",2,$F$1))))</f>
        <v/>
      </c>
      <c r="T655" s="1" t="str">
        <f>IF(OR($B655="",T$7=""),"",IF($B655="MEANS",INDEX('1-DATA'!$1:$1048576,$A654-1,COLUMN('1-DATA'!S653)),ROUND(INDEX('1-DATA'!$1:$1048576,IF(OR($B655="STD. DEVIATION",$C$1=1),$A655,$A655+1),COLUMN('1-DATA'!S653)),IF($B655="STD. DEVIATION",2,$F$1))))</f>
        <v/>
      </c>
      <c r="U655" s="1" t="str">
        <f>IF(OR($B655="",U$7=""),"",IF($B655="MEANS",INDEX('1-DATA'!$1:$1048576,$A654-1,COLUMN('1-DATA'!T653)),ROUND(INDEX('1-DATA'!$1:$1048576,IF(OR($B655="STD. DEVIATION",$C$1=1),$A655,$A655+1),COLUMN('1-DATA'!T653)),IF($B655="STD. DEVIATION",2,$F$1))))</f>
        <v/>
      </c>
      <c r="V655" s="1" t="str">
        <f>IF(OR($B655="",V$7=""),"",IF($B655="MEANS",INDEX('1-DATA'!$1:$1048576,$A654-1,COLUMN('1-DATA'!U653)),ROUND(INDEX('1-DATA'!$1:$1048576,IF(OR($B655="STD. DEVIATION",$C$1=1),$A655,$A655+1),COLUMN('1-DATA'!U653)),IF($B655="STD. DEVIATION",2,$F$1))))</f>
        <v/>
      </c>
      <c r="W655" s="1" t="str">
        <f>IF(OR($B655="",W$7=""),"",IF($B655="MEANS",INDEX('1-DATA'!$1:$1048576,$A654-1,COLUMN('1-DATA'!V653)),ROUND(INDEX('1-DATA'!$1:$1048576,IF(OR($B655="STD. DEVIATION",$C$1=1),$A655,$A655+1),COLUMN('1-DATA'!V653)),IF($B655="STD. DEVIATION",2,$F$1))))</f>
        <v/>
      </c>
      <c r="X655" s="1" t="str">
        <f>IF(OR($B655="",X$7=""),"",IF($B655="MEANS",INDEX('1-DATA'!$1:$1048576,$A654-1,COLUMN('1-DATA'!W653)),ROUND(INDEX('1-DATA'!$1:$1048576,IF(OR($B655="STD. DEVIATION",$C$1=1),$A655,$A655+1),COLUMN('1-DATA'!W653)),IF($B655="STD. DEVIATION",2,$F$1))))</f>
        <v/>
      </c>
      <c r="Y655" s="1" t="str">
        <f>IF(OR($B655="",Y$7=""),"",IF($B655="MEANS",INDEX('1-DATA'!$1:$1048576,$A654-1,COLUMN('1-DATA'!X653)),ROUND(INDEX('1-DATA'!$1:$1048576,IF(OR($B655="STD. DEVIATION",$C$1=1),$A655,$A655+1),COLUMN('1-DATA'!X653)),IF($B655="STD. DEVIATION",2,$F$1))))</f>
        <v/>
      </c>
      <c r="Z655" s="1" t="str">
        <f>IF(OR($B655="",Z$7=""),"",IF($B655="MEANS",INDEX('1-DATA'!$1:$1048576,$A654-1,COLUMN('1-DATA'!Y653)),ROUND(INDEX('1-DATA'!$1:$1048576,IF(OR($B655="STD. DEVIATION",$C$1=1),$A655,$A655+1),COLUMN('1-DATA'!Y653)),IF($B655="STD. DEVIATION",2,$F$1))))</f>
        <v/>
      </c>
      <c r="AA655" s="1" t="str">
        <f>IF(OR($B655="",AA$7=""),"",IF($B655="MEANS",INDEX('1-DATA'!$1:$1048576,$A654-1,COLUMN('1-DATA'!Z653)),ROUND(INDEX('1-DATA'!$1:$1048576,IF(OR($B655="STD. DEVIATION",$C$1=1),$A655,$A655+1),COLUMN('1-DATA'!Z653)),IF($B655="STD. DEVIATION",2,$F$1))))</f>
        <v/>
      </c>
      <c r="AB655" s="1" t="str">
        <f>IF(OR($B655="",AB$7=""),"",IF($B655="MEANS",INDEX('1-DATA'!$1:$1048576,$A654-1,COLUMN('1-DATA'!AA653)),ROUND(INDEX('1-DATA'!$1:$1048576,IF(OR($B655="STD. DEVIATION",$C$1=1),$A655,$A655+1),COLUMN('1-DATA'!AA653)),IF($B655="STD. DEVIATION",2,$F$1))))</f>
        <v/>
      </c>
      <c r="AC655" s="1" t="str">
        <f>IF(OR($B655="",AC$7=""),"",IF($B655="MEANS",INDEX('1-DATA'!$1:$1048576,$A654-1,COLUMN('1-DATA'!AB653)),ROUND(INDEX('1-DATA'!$1:$1048576,IF(OR($B655="STD. DEVIATION",$C$1=1),$A655,$A655+1),COLUMN('1-DATA'!AB653)),IF($B655="STD. DEVIATION",2,$F$1))))</f>
        <v/>
      </c>
      <c r="AD655" s="1" t="str">
        <f>IF(OR($B655="",AD$7=""),"",IF($B655="MEANS",INDEX('1-DATA'!$1:$1048576,$A654-1,COLUMN('1-DATA'!AC653)),ROUND(INDEX('1-DATA'!$1:$1048576,IF(OR($B655="STD. DEVIATION",$C$1=1),$A655,$A655+1),COLUMN('1-DATA'!AC653)),IF($B655="STD. DEVIATION",2,$F$1))))</f>
        <v/>
      </c>
      <c r="AE655" s="1" t="str">
        <f>IF(OR($B655="",AE$7=""),"",IF($B655="MEANS",INDEX('1-DATA'!$1:$1048576,$A654-1,COLUMN('1-DATA'!AD653)),ROUND(INDEX('1-DATA'!$1:$1048576,IF(OR($B655="STD. DEVIATION",$C$1=1),$A655,$A655+1),COLUMN('1-DATA'!AD653)),IF($B655="STD. DEVIATION",2,$F$1))))</f>
        <v/>
      </c>
      <c r="AF655" s="1" t="str">
        <f>IF(OR($B655="",AF$7=""),"",IF($B655="MEANS",INDEX('1-DATA'!$1:$1048576,$A654-1,COLUMN('1-DATA'!AE653)),ROUND(INDEX('1-DATA'!$1:$1048576,IF(OR($B655="STD. DEVIATION",$C$1=1),$A655,$A655+1),COLUMN('1-DATA'!AE653)),IF($B655="STD. DEVIATION",2,$F$1))))</f>
        <v/>
      </c>
      <c r="AG655" s="1" t="str">
        <f>IF(OR($B655="",AG$7=""),"",IF($B655="MEANS",INDEX('1-DATA'!$1:$1048576,$A654-1,COLUMN('1-DATA'!AF653)),ROUND(INDEX('1-DATA'!$1:$1048576,IF(OR($B655="STD. DEVIATION",$C$1=1),$A655,$A655+1),COLUMN('1-DATA'!AF653)),IF($B655="STD. DEVIATION",2,$F$1))))</f>
        <v/>
      </c>
      <c r="AH655" s="1" t="str">
        <f>IF(OR($B655="",AH$7=""),"",IF($B655="MEANS",INDEX('1-DATA'!$1:$1048576,$A654-1,COLUMN('1-DATA'!AG653)),ROUND(INDEX('1-DATA'!$1:$1048576,IF(OR($B655="STD. DEVIATION",$C$1=1),$A655,$A655+1),COLUMN('1-DATA'!AG653)),IF($B655="STD. DEVIATION",2,$F$1))))</f>
        <v/>
      </c>
      <c r="AI655" s="1" t="str">
        <f>IF(OR($B655="",AI$7=""),"",IF($B655="MEANS",INDEX('1-DATA'!$1:$1048576,$A654-1,COLUMN('1-DATA'!AH653)),ROUND(INDEX('1-DATA'!$1:$1048576,IF(OR($B655="STD. DEVIATION",$C$1=1),$A655,$A655+1),COLUMN('1-DATA'!AH653)),IF($B655="STD. DEVIATION",2,$F$1))))</f>
        <v/>
      </c>
      <c r="AJ655" s="1" t="str">
        <f>IF(OR($B655="",AJ$7=""),"",IF($B655="MEANS",INDEX('1-DATA'!$1:$1048576,$A654-1,COLUMN('1-DATA'!AI653)),ROUND(INDEX('1-DATA'!$1:$1048576,IF(OR($B655="STD. DEVIATION",$C$1=1),$A655,$A655+1),COLUMN('1-DATA'!AI653)),IF($B655="STD. DEVIATION",2,$F$1))))</f>
        <v/>
      </c>
      <c r="AK655" s="1" t="str">
        <f>IF(OR($B655="",AK$7=""),"",IF($B655="MEANS",INDEX('1-DATA'!$1:$1048576,$A654-1,COLUMN('1-DATA'!AJ653)),ROUND(INDEX('1-DATA'!$1:$1048576,IF(OR($B655="STD. DEVIATION",$C$1=1),$A655,$A655+1),COLUMN('1-DATA'!AJ653)),IF($B655="STD. DEVIATION",2,$F$1))))</f>
        <v/>
      </c>
      <c r="AL655" s="1" t="str">
        <f>IF(OR($B655="",AL$7=""),"",IF($B655="MEANS",INDEX('1-DATA'!$1:$1048576,$A654-1,COLUMN('1-DATA'!AK653)),ROUND(INDEX('1-DATA'!$1:$1048576,IF(OR($B655="STD. DEVIATION",$C$1=1),$A655,$A655+1),COLUMN('1-DATA'!AK653)),IF($B655="STD. DEVIATION",2,$F$1))))</f>
        <v/>
      </c>
      <c r="AM655" s="1" t="str">
        <f>IF(OR($B655="",AM$7=""),"",IF($B655="MEANS",INDEX('1-DATA'!$1:$1048576,$A654-1,COLUMN('1-DATA'!AL653)),ROUND(INDEX('1-DATA'!$1:$1048576,IF(OR($B655="STD. DEVIATION",$C$1=1),$A655,$A655+1),COLUMN('1-DATA'!AL653)),IF($B655="STD. DEVIATION",2,$F$1))))</f>
        <v/>
      </c>
      <c r="AN655" s="1" t="str">
        <f>IF(OR($B655="",AN$7=""),"",IF($B655="MEANS",INDEX('1-DATA'!$1:$1048576,$A654-1,COLUMN('1-DATA'!AM653)),ROUND(INDEX('1-DATA'!$1:$1048576,IF(OR($B655="STD. DEVIATION",$C$1=1),$A655,$A655+1),COLUMN('1-DATA'!AM653)),IF($B655="STD. DEVIATION",2,$F$1))))</f>
        <v/>
      </c>
      <c r="AO655" s="1" t="str">
        <f>IF(OR($B655="",AO$7=""),"",IF($B655="MEANS",INDEX('1-DATA'!$1:$1048576,$A654-1,COLUMN('1-DATA'!AN653)),ROUND(INDEX('1-DATA'!$1:$1048576,IF(OR($B655="STD. DEVIATION",$C$1=1),$A655,$A655+1),COLUMN('1-DATA'!AN653)),IF($B655="STD. DEVIATION",2,$F$1))))</f>
        <v/>
      </c>
      <c r="AP655" s="1" t="str">
        <f>IF(OR($B655="",AP$7=""),"",IF($B655="MEANS",INDEX('1-DATA'!$1:$1048576,$A654-1,COLUMN('1-DATA'!AO653)),ROUND(INDEX('1-DATA'!$1:$1048576,IF(OR($B655="STD. DEVIATION",$C$1=1),$A655,$A655+1),COLUMN('1-DATA'!AO653)),IF($B655="STD. DEVIATION",2,$F$1))))</f>
        <v/>
      </c>
      <c r="AQ655" s="1" t="str">
        <f>IF(OR($B655="",AQ$7=""),"",IF($B655="MEANS",INDEX('1-DATA'!$1:$1048576,$A654-1,COLUMN('1-DATA'!AP653)),ROUND(INDEX('1-DATA'!$1:$1048576,IF(OR($B655="STD. DEVIATION",$C$1=1),$A655,$A655+1),COLUMN('1-DATA'!AP653)),IF($B655="STD. DEVIATION",2,$F$1))))</f>
        <v/>
      </c>
      <c r="AR655" s="1" t="str">
        <f>IF(OR($B655="",AR$7=""),"",IF($B655="MEANS",INDEX('1-DATA'!$1:$1048576,$A654-1,COLUMN('1-DATA'!AQ653)),ROUND(INDEX('1-DATA'!$1:$1048576,IF(OR($B655="STD. DEVIATION",$C$1=1),$A655,$A655+1),COLUMN('1-DATA'!AQ653)),IF($B655="STD. DEVIATION",2,$F$1))))</f>
        <v/>
      </c>
      <c r="AS655" s="1" t="str">
        <f>IF(OR($B655="",AS$7=""),"",IF($B655="MEANS",INDEX('1-DATA'!$1:$1048576,$A654-1,COLUMN('1-DATA'!AR653)),ROUND(INDEX('1-DATA'!$1:$1048576,IF(OR($B655="STD. DEVIATION",$C$1=1),$A655,$A655+1),COLUMN('1-DATA'!AR653)),IF($B655="STD. DEVIATION",2,$F$1))))</f>
        <v/>
      </c>
      <c r="AT655" s="1" t="str">
        <f>IF(OR($B655="",AT$7=""),"",IF($B655="MEANS",INDEX('1-DATA'!$1:$1048576,$A654-1,COLUMN('1-DATA'!AS653)),ROUND(INDEX('1-DATA'!$1:$1048576,IF(OR($B655="STD. DEVIATION",$C$1=1),$A655,$A655+1),COLUMN('1-DATA'!AS653)),IF($B655="STD. DEVIATION",2,$F$1))))</f>
        <v/>
      </c>
      <c r="AU655" s="1" t="str">
        <f>IF(OR($B655="",AU$7=""),"",IF($B655="MEANS",INDEX('1-DATA'!$1:$1048576,$A654-1,COLUMN('1-DATA'!AT653)),ROUND(INDEX('1-DATA'!$1:$1048576,IF(OR($B655="STD. DEVIATION",$C$1=1),$A655,$A655+1),COLUMN('1-DATA'!AT653)),IF($B655="STD. DEVIATION",2,$F$1))))</f>
        <v/>
      </c>
      <c r="AV655" s="1" t="str">
        <f>IF(OR($B655="",AV$7=""),"",IF($B655="MEANS",INDEX('1-DATA'!$1:$1048576,$A654-1,COLUMN('1-DATA'!AU653)),ROUND(INDEX('1-DATA'!$1:$1048576,IF(OR($B655="STD. DEVIATION",$C$1=1),$A655,$A655+1),COLUMN('1-DATA'!AU653)),IF($B655="STD. DEVIATION",2,$F$1))))</f>
        <v/>
      </c>
      <c r="AW655" s="1" t="str">
        <f>IF(OR($B655="",AW$7=""),"",IF($B655="MEANS",INDEX('1-DATA'!$1:$1048576,$A654-1,COLUMN('1-DATA'!AV653)),ROUND(INDEX('1-DATA'!$1:$1048576,IF(OR($B655="STD. DEVIATION",$C$1=1),$A655,$A655+1),COLUMN('1-DATA'!AV653)),IF($B655="STD. DEVIATION",2,$F$1))))</f>
        <v/>
      </c>
      <c r="AX655" s="1" t="str">
        <f>IF(OR($B655="",AX$7=""),"",IF($B655="MEANS",INDEX('1-DATA'!$1:$1048576,$A654-1,COLUMN('1-DATA'!AW653)),ROUND(INDEX('1-DATA'!$1:$1048576,IF(OR($B655="STD. DEVIATION",$C$1=1),$A655,$A655+1),COLUMN('1-DATA'!AW653)),IF($B655="STD. DEVIATION",2,$F$1))))</f>
        <v/>
      </c>
      <c r="AY655" s="1" t="str">
        <f>IF(OR($B655="",AY$7=""),"",IF($B655="MEANS",INDEX('1-DATA'!$1:$1048576,$A654-1,COLUMN('1-DATA'!AX653)),ROUND(INDEX('1-DATA'!$1:$1048576,IF(OR($B655="STD. DEVIATION",$C$1=1),$A655,$A655+1),COLUMN('1-DATA'!AX653)),IF($B655="STD. DEVIATION",2,$F$1))))</f>
        <v/>
      </c>
      <c r="AZ655" s="1" t="str">
        <f>IF(OR($B655="",AZ$7=""),"",IF($B655="MEANS",INDEX('1-DATA'!$1:$1048576,$A654-1,COLUMN('1-DATA'!AY653)),ROUND(INDEX('1-DATA'!$1:$1048576,IF(OR($B655="STD. DEVIATION",$C$1=1),$A655,$A655+1),COLUMN('1-DATA'!AY653)),IF($B655="STD. DEVIATION",2,$F$1))))</f>
        <v/>
      </c>
    </row>
    <row r="656" spans="1:52" x14ac:dyDescent="0.25">
      <c r="A656" s="11">
        <f t="shared" si="10"/>
        <v>1954</v>
      </c>
      <c r="B656" s="1" t="str">
        <f>IF(B655="STD. DEVIATION",INDEX('1-DATA'!$1:$1048576,$A655-1,1),IF(INDEX('1-DATA'!$1:$1048576,$A656,1)&lt;&gt;"",INDEX('1-DATA'!$1:$1048576,$A656,1),""))</f>
        <v/>
      </c>
      <c r="C656" s="1" t="str">
        <f>IF(OR($B656="",C$7=""),"",IF($B656="MEANS",INDEX('1-DATA'!$1:$1048576,$A655-1,COLUMN('1-DATA'!B654)),ROUND(INDEX('1-DATA'!$1:$1048576,IF(OR($B656="STD. DEVIATION",$C$1=1),$A656,$A656+1),COLUMN('1-DATA'!B654)),IF($B656="STD. DEVIATION",2,$F$1))))</f>
        <v/>
      </c>
      <c r="D656" s="1" t="str">
        <f>IF(OR($B656="",D$7=""),"",IF($B656="MEANS",INDEX('1-DATA'!$1:$1048576,$A655-1,COLUMN('1-DATA'!C654)),ROUND(INDEX('1-DATA'!$1:$1048576,IF(OR($B656="STD. DEVIATION",$C$1=1),$A656,$A656+1),COLUMN('1-DATA'!C654)),IF($B656="STD. DEVIATION",2,$F$1))))</f>
        <v/>
      </c>
      <c r="E656" s="1" t="str">
        <f>IF(OR($B656="",E$7=""),"",IF($B656="MEANS",INDEX('1-DATA'!$1:$1048576,$A655-1,COLUMN('1-DATA'!D654)),ROUND(INDEX('1-DATA'!$1:$1048576,IF(OR($B656="STD. DEVIATION",$C$1=1),$A656,$A656+1),COLUMN('1-DATA'!D654)),IF($B656="STD. DEVIATION",2,$F$1))))</f>
        <v/>
      </c>
      <c r="F656" s="1" t="str">
        <f>IF(OR($B656="",F$7=""),"",IF($B656="MEANS",INDEX('1-DATA'!$1:$1048576,$A655-1,COLUMN('1-DATA'!E654)),ROUND(INDEX('1-DATA'!$1:$1048576,IF(OR($B656="STD. DEVIATION",$C$1=1),$A656,$A656+1),COLUMN('1-DATA'!E654)),IF($B656="STD. DEVIATION",2,$F$1))))</f>
        <v/>
      </c>
      <c r="G656" s="1" t="str">
        <f>IF(OR($B656="",G$7=""),"",IF($B656="MEANS",INDEX('1-DATA'!$1:$1048576,$A655-1,COLUMN('1-DATA'!F654)),ROUND(INDEX('1-DATA'!$1:$1048576,IF(OR($B656="STD. DEVIATION",$C$1=1),$A656,$A656+1),COLUMN('1-DATA'!F654)),IF($B656="STD. DEVIATION",2,$F$1))))</f>
        <v/>
      </c>
      <c r="H656" s="1" t="str">
        <f>IF(OR($B656="",H$7=""),"",IF($B656="MEANS",INDEX('1-DATA'!$1:$1048576,$A655-1,COLUMN('1-DATA'!G654)),ROUND(INDEX('1-DATA'!$1:$1048576,IF(OR($B656="STD. DEVIATION",$C$1=1),$A656,$A656+1),COLUMN('1-DATA'!G654)),IF($B656="STD. DEVIATION",2,$F$1))))</f>
        <v/>
      </c>
      <c r="I656" s="1" t="str">
        <f>IF(OR($B656="",I$7=""),"",IF($B656="MEANS",INDEX('1-DATA'!$1:$1048576,$A655-1,COLUMN('1-DATA'!H654)),ROUND(INDEX('1-DATA'!$1:$1048576,IF(OR($B656="STD. DEVIATION",$C$1=1),$A656,$A656+1),COLUMN('1-DATA'!H654)),IF($B656="STD. DEVIATION",2,$F$1))))</f>
        <v/>
      </c>
      <c r="J656" s="1" t="str">
        <f>IF(OR($B656="",J$7=""),"",IF($B656="MEANS",INDEX('1-DATA'!$1:$1048576,$A655-1,COLUMN('1-DATA'!I654)),ROUND(INDEX('1-DATA'!$1:$1048576,IF(OR($B656="STD. DEVIATION",$C$1=1),$A656,$A656+1),COLUMN('1-DATA'!I654)),IF($B656="STD. DEVIATION",2,$F$1))))</f>
        <v/>
      </c>
      <c r="K656" s="1" t="str">
        <f>IF(OR($B656="",K$7=""),"",IF($B656="MEANS",INDEX('1-DATA'!$1:$1048576,$A655-1,COLUMN('1-DATA'!J654)),ROUND(INDEX('1-DATA'!$1:$1048576,IF(OR($B656="STD. DEVIATION",$C$1=1),$A656,$A656+1),COLUMN('1-DATA'!J654)),IF($B656="STD. DEVIATION",2,$F$1))))</f>
        <v/>
      </c>
      <c r="L656" s="1" t="str">
        <f>IF(OR($B656="",L$7=""),"",IF($B656="MEANS",INDEX('1-DATA'!$1:$1048576,$A655-1,COLUMN('1-DATA'!K654)),ROUND(INDEX('1-DATA'!$1:$1048576,IF(OR($B656="STD. DEVIATION",$C$1=1),$A656,$A656+1),COLUMN('1-DATA'!K654)),IF($B656="STD. DEVIATION",2,$F$1))))</f>
        <v/>
      </c>
      <c r="M656" s="1" t="str">
        <f>IF(OR($B656="",M$7=""),"",IF($B656="MEANS",INDEX('1-DATA'!$1:$1048576,$A655-1,COLUMN('1-DATA'!L654)),ROUND(INDEX('1-DATA'!$1:$1048576,IF(OR($B656="STD. DEVIATION",$C$1=1),$A656,$A656+1),COLUMN('1-DATA'!L654)),IF($B656="STD. DEVIATION",2,$F$1))))</f>
        <v/>
      </c>
      <c r="N656" s="1" t="str">
        <f>IF(OR($B656="",N$7=""),"",IF($B656="MEANS",INDEX('1-DATA'!$1:$1048576,$A655-1,COLUMN('1-DATA'!M654)),ROUND(INDEX('1-DATA'!$1:$1048576,IF(OR($B656="STD. DEVIATION",$C$1=1),$A656,$A656+1),COLUMN('1-DATA'!M654)),IF($B656="STD. DEVIATION",2,$F$1))))</f>
        <v/>
      </c>
      <c r="O656" s="1" t="str">
        <f>IF(OR($B656="",O$7=""),"",IF($B656="MEANS",INDEX('1-DATA'!$1:$1048576,$A655-1,COLUMN('1-DATA'!N654)),ROUND(INDEX('1-DATA'!$1:$1048576,IF(OR($B656="STD. DEVIATION",$C$1=1),$A656,$A656+1),COLUMN('1-DATA'!N654)),IF($B656="STD. DEVIATION",2,$F$1))))</f>
        <v/>
      </c>
      <c r="P656" s="1" t="str">
        <f>IF(OR($B656="",P$7=""),"",IF($B656="MEANS",INDEX('1-DATA'!$1:$1048576,$A655-1,COLUMN('1-DATA'!O654)),ROUND(INDEX('1-DATA'!$1:$1048576,IF(OR($B656="STD. DEVIATION",$C$1=1),$A656,$A656+1),COLUMN('1-DATA'!O654)),IF($B656="STD. DEVIATION",2,$F$1))))</f>
        <v/>
      </c>
      <c r="Q656" s="1" t="str">
        <f>IF(OR($B656="",Q$7=""),"",IF($B656="MEANS",INDEX('1-DATA'!$1:$1048576,$A655-1,COLUMN('1-DATA'!P654)),ROUND(INDEX('1-DATA'!$1:$1048576,IF(OR($B656="STD. DEVIATION",$C$1=1),$A656,$A656+1),COLUMN('1-DATA'!P654)),IF($B656="STD. DEVIATION",2,$F$1))))</f>
        <v/>
      </c>
      <c r="R656" s="1" t="str">
        <f>IF(OR($B656="",R$7=""),"",IF($B656="MEANS",INDEX('1-DATA'!$1:$1048576,$A655-1,COLUMN('1-DATA'!Q654)),ROUND(INDEX('1-DATA'!$1:$1048576,IF(OR($B656="STD. DEVIATION",$C$1=1),$A656,$A656+1),COLUMN('1-DATA'!Q654)),IF($B656="STD. DEVIATION",2,$F$1))))</f>
        <v/>
      </c>
      <c r="S656" s="1" t="str">
        <f>IF(OR($B656="",S$7=""),"",IF($B656="MEANS",INDEX('1-DATA'!$1:$1048576,$A655-1,COLUMN('1-DATA'!R654)),ROUND(INDEX('1-DATA'!$1:$1048576,IF(OR($B656="STD. DEVIATION",$C$1=1),$A656,$A656+1),COLUMN('1-DATA'!R654)),IF($B656="STD. DEVIATION",2,$F$1))))</f>
        <v/>
      </c>
      <c r="T656" s="1" t="str">
        <f>IF(OR($B656="",T$7=""),"",IF($B656="MEANS",INDEX('1-DATA'!$1:$1048576,$A655-1,COLUMN('1-DATA'!S654)),ROUND(INDEX('1-DATA'!$1:$1048576,IF(OR($B656="STD. DEVIATION",$C$1=1),$A656,$A656+1),COLUMN('1-DATA'!S654)),IF($B656="STD. DEVIATION",2,$F$1))))</f>
        <v/>
      </c>
      <c r="U656" s="1" t="str">
        <f>IF(OR($B656="",U$7=""),"",IF($B656="MEANS",INDEX('1-DATA'!$1:$1048576,$A655-1,COLUMN('1-DATA'!T654)),ROUND(INDEX('1-DATA'!$1:$1048576,IF(OR($B656="STD. DEVIATION",$C$1=1),$A656,$A656+1),COLUMN('1-DATA'!T654)),IF($B656="STD. DEVIATION",2,$F$1))))</f>
        <v/>
      </c>
      <c r="V656" s="1" t="str">
        <f>IF(OR($B656="",V$7=""),"",IF($B656="MEANS",INDEX('1-DATA'!$1:$1048576,$A655-1,COLUMN('1-DATA'!U654)),ROUND(INDEX('1-DATA'!$1:$1048576,IF(OR($B656="STD. DEVIATION",$C$1=1),$A656,$A656+1),COLUMN('1-DATA'!U654)),IF($B656="STD. DEVIATION",2,$F$1))))</f>
        <v/>
      </c>
      <c r="W656" s="1" t="str">
        <f>IF(OR($B656="",W$7=""),"",IF($B656="MEANS",INDEX('1-DATA'!$1:$1048576,$A655-1,COLUMN('1-DATA'!V654)),ROUND(INDEX('1-DATA'!$1:$1048576,IF(OR($B656="STD. DEVIATION",$C$1=1),$A656,$A656+1),COLUMN('1-DATA'!V654)),IF($B656="STD. DEVIATION",2,$F$1))))</f>
        <v/>
      </c>
      <c r="X656" s="1" t="str">
        <f>IF(OR($B656="",X$7=""),"",IF($B656="MEANS",INDEX('1-DATA'!$1:$1048576,$A655-1,COLUMN('1-DATA'!W654)),ROUND(INDEX('1-DATA'!$1:$1048576,IF(OR($B656="STD. DEVIATION",$C$1=1),$A656,$A656+1),COLUMN('1-DATA'!W654)),IF($B656="STD. DEVIATION",2,$F$1))))</f>
        <v/>
      </c>
      <c r="Y656" s="1" t="str">
        <f>IF(OR($B656="",Y$7=""),"",IF($B656="MEANS",INDEX('1-DATA'!$1:$1048576,$A655-1,COLUMN('1-DATA'!X654)),ROUND(INDEX('1-DATA'!$1:$1048576,IF(OR($B656="STD. DEVIATION",$C$1=1),$A656,$A656+1),COLUMN('1-DATA'!X654)),IF($B656="STD. DEVIATION",2,$F$1))))</f>
        <v/>
      </c>
      <c r="Z656" s="1" t="str">
        <f>IF(OR($B656="",Z$7=""),"",IF($B656="MEANS",INDEX('1-DATA'!$1:$1048576,$A655-1,COLUMN('1-DATA'!Y654)),ROUND(INDEX('1-DATA'!$1:$1048576,IF(OR($B656="STD. DEVIATION",$C$1=1),$A656,$A656+1),COLUMN('1-DATA'!Y654)),IF($B656="STD. DEVIATION",2,$F$1))))</f>
        <v/>
      </c>
      <c r="AA656" s="1" t="str">
        <f>IF(OR($B656="",AA$7=""),"",IF($B656="MEANS",INDEX('1-DATA'!$1:$1048576,$A655-1,COLUMN('1-DATA'!Z654)),ROUND(INDEX('1-DATA'!$1:$1048576,IF(OR($B656="STD. DEVIATION",$C$1=1),$A656,$A656+1),COLUMN('1-DATA'!Z654)),IF($B656="STD. DEVIATION",2,$F$1))))</f>
        <v/>
      </c>
      <c r="AB656" s="1" t="str">
        <f>IF(OR($B656="",AB$7=""),"",IF($B656="MEANS",INDEX('1-DATA'!$1:$1048576,$A655-1,COLUMN('1-DATA'!AA654)),ROUND(INDEX('1-DATA'!$1:$1048576,IF(OR($B656="STD. DEVIATION",$C$1=1),$A656,$A656+1),COLUMN('1-DATA'!AA654)),IF($B656="STD. DEVIATION",2,$F$1))))</f>
        <v/>
      </c>
      <c r="AC656" s="1" t="str">
        <f>IF(OR($B656="",AC$7=""),"",IF($B656="MEANS",INDEX('1-DATA'!$1:$1048576,$A655-1,COLUMN('1-DATA'!AB654)),ROUND(INDEX('1-DATA'!$1:$1048576,IF(OR($B656="STD. DEVIATION",$C$1=1),$A656,$A656+1),COLUMN('1-DATA'!AB654)),IF($B656="STD. DEVIATION",2,$F$1))))</f>
        <v/>
      </c>
      <c r="AD656" s="1" t="str">
        <f>IF(OR($B656="",AD$7=""),"",IF($B656="MEANS",INDEX('1-DATA'!$1:$1048576,$A655-1,COLUMN('1-DATA'!AC654)),ROUND(INDEX('1-DATA'!$1:$1048576,IF(OR($B656="STD. DEVIATION",$C$1=1),$A656,$A656+1),COLUMN('1-DATA'!AC654)),IF($B656="STD. DEVIATION",2,$F$1))))</f>
        <v/>
      </c>
      <c r="AE656" s="1" t="str">
        <f>IF(OR($B656="",AE$7=""),"",IF($B656="MEANS",INDEX('1-DATA'!$1:$1048576,$A655-1,COLUMN('1-DATA'!AD654)),ROUND(INDEX('1-DATA'!$1:$1048576,IF(OR($B656="STD. DEVIATION",$C$1=1),$A656,$A656+1),COLUMN('1-DATA'!AD654)),IF($B656="STD. DEVIATION",2,$F$1))))</f>
        <v/>
      </c>
      <c r="AF656" s="1" t="str">
        <f>IF(OR($B656="",AF$7=""),"",IF($B656="MEANS",INDEX('1-DATA'!$1:$1048576,$A655-1,COLUMN('1-DATA'!AE654)),ROUND(INDEX('1-DATA'!$1:$1048576,IF(OR($B656="STD. DEVIATION",$C$1=1),$A656,$A656+1),COLUMN('1-DATA'!AE654)),IF($B656="STD. DEVIATION",2,$F$1))))</f>
        <v/>
      </c>
      <c r="AG656" s="1" t="str">
        <f>IF(OR($B656="",AG$7=""),"",IF($B656="MEANS",INDEX('1-DATA'!$1:$1048576,$A655-1,COLUMN('1-DATA'!AF654)),ROUND(INDEX('1-DATA'!$1:$1048576,IF(OR($B656="STD. DEVIATION",$C$1=1),$A656,$A656+1),COLUMN('1-DATA'!AF654)),IF($B656="STD. DEVIATION",2,$F$1))))</f>
        <v/>
      </c>
      <c r="AH656" s="1" t="str">
        <f>IF(OR($B656="",AH$7=""),"",IF($B656="MEANS",INDEX('1-DATA'!$1:$1048576,$A655-1,COLUMN('1-DATA'!AG654)),ROUND(INDEX('1-DATA'!$1:$1048576,IF(OR($B656="STD. DEVIATION",$C$1=1),$A656,$A656+1),COLUMN('1-DATA'!AG654)),IF($B656="STD. DEVIATION",2,$F$1))))</f>
        <v/>
      </c>
      <c r="AI656" s="1" t="str">
        <f>IF(OR($B656="",AI$7=""),"",IF($B656="MEANS",INDEX('1-DATA'!$1:$1048576,$A655-1,COLUMN('1-DATA'!AH654)),ROUND(INDEX('1-DATA'!$1:$1048576,IF(OR($B656="STD. DEVIATION",$C$1=1),$A656,$A656+1),COLUMN('1-DATA'!AH654)),IF($B656="STD. DEVIATION",2,$F$1))))</f>
        <v/>
      </c>
      <c r="AJ656" s="1" t="str">
        <f>IF(OR($B656="",AJ$7=""),"",IF($B656="MEANS",INDEX('1-DATA'!$1:$1048576,$A655-1,COLUMN('1-DATA'!AI654)),ROUND(INDEX('1-DATA'!$1:$1048576,IF(OR($B656="STD. DEVIATION",$C$1=1),$A656,$A656+1),COLUMN('1-DATA'!AI654)),IF($B656="STD. DEVIATION",2,$F$1))))</f>
        <v/>
      </c>
      <c r="AK656" s="1" t="str">
        <f>IF(OR($B656="",AK$7=""),"",IF($B656="MEANS",INDEX('1-DATA'!$1:$1048576,$A655-1,COLUMN('1-DATA'!AJ654)),ROUND(INDEX('1-DATA'!$1:$1048576,IF(OR($B656="STD. DEVIATION",$C$1=1),$A656,$A656+1),COLUMN('1-DATA'!AJ654)),IF($B656="STD. DEVIATION",2,$F$1))))</f>
        <v/>
      </c>
      <c r="AL656" s="1" t="str">
        <f>IF(OR($B656="",AL$7=""),"",IF($B656="MEANS",INDEX('1-DATA'!$1:$1048576,$A655-1,COLUMN('1-DATA'!AK654)),ROUND(INDEX('1-DATA'!$1:$1048576,IF(OR($B656="STD. DEVIATION",$C$1=1),$A656,$A656+1),COLUMN('1-DATA'!AK654)),IF($B656="STD. DEVIATION",2,$F$1))))</f>
        <v/>
      </c>
      <c r="AM656" s="1" t="str">
        <f>IF(OR($B656="",AM$7=""),"",IF($B656="MEANS",INDEX('1-DATA'!$1:$1048576,$A655-1,COLUMN('1-DATA'!AL654)),ROUND(INDEX('1-DATA'!$1:$1048576,IF(OR($B656="STD. DEVIATION",$C$1=1),$A656,$A656+1),COLUMN('1-DATA'!AL654)),IF($B656="STD. DEVIATION",2,$F$1))))</f>
        <v/>
      </c>
      <c r="AN656" s="1" t="str">
        <f>IF(OR($B656="",AN$7=""),"",IF($B656="MEANS",INDEX('1-DATA'!$1:$1048576,$A655-1,COLUMN('1-DATA'!AM654)),ROUND(INDEX('1-DATA'!$1:$1048576,IF(OR($B656="STD. DEVIATION",$C$1=1),$A656,$A656+1),COLUMN('1-DATA'!AM654)),IF($B656="STD. DEVIATION",2,$F$1))))</f>
        <v/>
      </c>
      <c r="AO656" s="1" t="str">
        <f>IF(OR($B656="",AO$7=""),"",IF($B656="MEANS",INDEX('1-DATA'!$1:$1048576,$A655-1,COLUMN('1-DATA'!AN654)),ROUND(INDEX('1-DATA'!$1:$1048576,IF(OR($B656="STD. DEVIATION",$C$1=1),$A656,$A656+1),COLUMN('1-DATA'!AN654)),IF($B656="STD. DEVIATION",2,$F$1))))</f>
        <v/>
      </c>
      <c r="AP656" s="1" t="str">
        <f>IF(OR($B656="",AP$7=""),"",IF($B656="MEANS",INDEX('1-DATA'!$1:$1048576,$A655-1,COLUMN('1-DATA'!AO654)),ROUND(INDEX('1-DATA'!$1:$1048576,IF(OR($B656="STD. DEVIATION",$C$1=1),$A656,$A656+1),COLUMN('1-DATA'!AO654)),IF($B656="STD. DEVIATION",2,$F$1))))</f>
        <v/>
      </c>
      <c r="AQ656" s="1" t="str">
        <f>IF(OR($B656="",AQ$7=""),"",IF($B656="MEANS",INDEX('1-DATA'!$1:$1048576,$A655-1,COLUMN('1-DATA'!AP654)),ROUND(INDEX('1-DATA'!$1:$1048576,IF(OR($B656="STD. DEVIATION",$C$1=1),$A656,$A656+1),COLUMN('1-DATA'!AP654)),IF($B656="STD. DEVIATION",2,$F$1))))</f>
        <v/>
      </c>
      <c r="AR656" s="1" t="str">
        <f>IF(OR($B656="",AR$7=""),"",IF($B656="MEANS",INDEX('1-DATA'!$1:$1048576,$A655-1,COLUMN('1-DATA'!AQ654)),ROUND(INDEX('1-DATA'!$1:$1048576,IF(OR($B656="STD. DEVIATION",$C$1=1),$A656,$A656+1),COLUMN('1-DATA'!AQ654)),IF($B656="STD. DEVIATION",2,$F$1))))</f>
        <v/>
      </c>
      <c r="AS656" s="1" t="str">
        <f>IF(OR($B656="",AS$7=""),"",IF($B656="MEANS",INDEX('1-DATA'!$1:$1048576,$A655-1,COLUMN('1-DATA'!AR654)),ROUND(INDEX('1-DATA'!$1:$1048576,IF(OR($B656="STD. DEVIATION",$C$1=1),$A656,$A656+1),COLUMN('1-DATA'!AR654)),IF($B656="STD. DEVIATION",2,$F$1))))</f>
        <v/>
      </c>
      <c r="AT656" s="1" t="str">
        <f>IF(OR($B656="",AT$7=""),"",IF($B656="MEANS",INDEX('1-DATA'!$1:$1048576,$A655-1,COLUMN('1-DATA'!AS654)),ROUND(INDEX('1-DATA'!$1:$1048576,IF(OR($B656="STD. DEVIATION",$C$1=1),$A656,$A656+1),COLUMN('1-DATA'!AS654)),IF($B656="STD. DEVIATION",2,$F$1))))</f>
        <v/>
      </c>
      <c r="AU656" s="1" t="str">
        <f>IF(OR($B656="",AU$7=""),"",IF($B656="MEANS",INDEX('1-DATA'!$1:$1048576,$A655-1,COLUMN('1-DATA'!AT654)),ROUND(INDEX('1-DATA'!$1:$1048576,IF(OR($B656="STD. DEVIATION",$C$1=1),$A656,$A656+1),COLUMN('1-DATA'!AT654)),IF($B656="STD. DEVIATION",2,$F$1))))</f>
        <v/>
      </c>
      <c r="AV656" s="1" t="str">
        <f>IF(OR($B656="",AV$7=""),"",IF($B656="MEANS",INDEX('1-DATA'!$1:$1048576,$A655-1,COLUMN('1-DATA'!AU654)),ROUND(INDEX('1-DATA'!$1:$1048576,IF(OR($B656="STD. DEVIATION",$C$1=1),$A656,$A656+1),COLUMN('1-DATA'!AU654)),IF($B656="STD. DEVIATION",2,$F$1))))</f>
        <v/>
      </c>
      <c r="AW656" s="1" t="str">
        <f>IF(OR($B656="",AW$7=""),"",IF($B656="MEANS",INDEX('1-DATA'!$1:$1048576,$A655-1,COLUMN('1-DATA'!AV654)),ROUND(INDEX('1-DATA'!$1:$1048576,IF(OR($B656="STD. DEVIATION",$C$1=1),$A656,$A656+1),COLUMN('1-DATA'!AV654)),IF($B656="STD. DEVIATION",2,$F$1))))</f>
        <v/>
      </c>
      <c r="AX656" s="1" t="str">
        <f>IF(OR($B656="",AX$7=""),"",IF($B656="MEANS",INDEX('1-DATA'!$1:$1048576,$A655-1,COLUMN('1-DATA'!AW654)),ROUND(INDEX('1-DATA'!$1:$1048576,IF(OR($B656="STD. DEVIATION",$C$1=1),$A656,$A656+1),COLUMN('1-DATA'!AW654)),IF($B656="STD. DEVIATION",2,$F$1))))</f>
        <v/>
      </c>
      <c r="AY656" s="1" t="str">
        <f>IF(OR($B656="",AY$7=""),"",IF($B656="MEANS",INDEX('1-DATA'!$1:$1048576,$A655-1,COLUMN('1-DATA'!AX654)),ROUND(INDEX('1-DATA'!$1:$1048576,IF(OR($B656="STD. DEVIATION",$C$1=1),$A656,$A656+1),COLUMN('1-DATA'!AX654)),IF($B656="STD. DEVIATION",2,$F$1))))</f>
        <v/>
      </c>
      <c r="AZ656" s="1" t="str">
        <f>IF(OR($B656="",AZ$7=""),"",IF($B656="MEANS",INDEX('1-DATA'!$1:$1048576,$A655-1,COLUMN('1-DATA'!AY654)),ROUND(INDEX('1-DATA'!$1:$1048576,IF(OR($B656="STD. DEVIATION",$C$1=1),$A656,$A656+1),COLUMN('1-DATA'!AY654)),IF($B656="STD. DEVIATION",2,$F$1))))</f>
        <v/>
      </c>
    </row>
    <row r="657" spans="1:52" x14ac:dyDescent="0.25">
      <c r="A657" s="11">
        <f t="shared" si="10"/>
        <v>1957</v>
      </c>
      <c r="B657" s="1" t="str">
        <f>IF(B656="STD. DEVIATION",INDEX('1-DATA'!$1:$1048576,$A656-1,1),IF(INDEX('1-DATA'!$1:$1048576,$A657,1)&lt;&gt;"",INDEX('1-DATA'!$1:$1048576,$A657,1),""))</f>
        <v/>
      </c>
      <c r="C657" s="1" t="str">
        <f>IF(OR($B657="",C$7=""),"",IF($B657="MEANS",INDEX('1-DATA'!$1:$1048576,$A656-1,COLUMN('1-DATA'!B655)),ROUND(INDEX('1-DATA'!$1:$1048576,IF(OR($B657="STD. DEVIATION",$C$1=1),$A657,$A657+1),COLUMN('1-DATA'!B655)),IF($B657="STD. DEVIATION",2,$F$1))))</f>
        <v/>
      </c>
      <c r="D657" s="1" t="str">
        <f>IF(OR($B657="",D$7=""),"",IF($B657="MEANS",INDEX('1-DATA'!$1:$1048576,$A656-1,COLUMN('1-DATA'!C655)),ROUND(INDEX('1-DATA'!$1:$1048576,IF(OR($B657="STD. DEVIATION",$C$1=1),$A657,$A657+1),COLUMN('1-DATA'!C655)),IF($B657="STD. DEVIATION",2,$F$1))))</f>
        <v/>
      </c>
      <c r="E657" s="1" t="str">
        <f>IF(OR($B657="",E$7=""),"",IF($B657="MEANS",INDEX('1-DATA'!$1:$1048576,$A656-1,COLUMN('1-DATA'!D655)),ROUND(INDEX('1-DATA'!$1:$1048576,IF(OR($B657="STD. DEVIATION",$C$1=1),$A657,$A657+1),COLUMN('1-DATA'!D655)),IF($B657="STD. DEVIATION",2,$F$1))))</f>
        <v/>
      </c>
      <c r="F657" s="1" t="str">
        <f>IF(OR($B657="",F$7=""),"",IF($B657="MEANS",INDEX('1-DATA'!$1:$1048576,$A656-1,COLUMN('1-DATA'!E655)),ROUND(INDEX('1-DATA'!$1:$1048576,IF(OR($B657="STD. DEVIATION",$C$1=1),$A657,$A657+1),COLUMN('1-DATA'!E655)),IF($B657="STD. DEVIATION",2,$F$1))))</f>
        <v/>
      </c>
      <c r="G657" s="1" t="str">
        <f>IF(OR($B657="",G$7=""),"",IF($B657="MEANS",INDEX('1-DATA'!$1:$1048576,$A656-1,COLUMN('1-DATA'!F655)),ROUND(INDEX('1-DATA'!$1:$1048576,IF(OR($B657="STD. DEVIATION",$C$1=1),$A657,$A657+1),COLUMN('1-DATA'!F655)),IF($B657="STD. DEVIATION",2,$F$1))))</f>
        <v/>
      </c>
      <c r="H657" s="1" t="str">
        <f>IF(OR($B657="",H$7=""),"",IF($B657="MEANS",INDEX('1-DATA'!$1:$1048576,$A656-1,COLUMN('1-DATA'!G655)),ROUND(INDEX('1-DATA'!$1:$1048576,IF(OR($B657="STD. DEVIATION",$C$1=1),$A657,$A657+1),COLUMN('1-DATA'!G655)),IF($B657="STD. DEVIATION",2,$F$1))))</f>
        <v/>
      </c>
      <c r="I657" s="1" t="str">
        <f>IF(OR($B657="",I$7=""),"",IF($B657="MEANS",INDEX('1-DATA'!$1:$1048576,$A656-1,COLUMN('1-DATA'!H655)),ROUND(INDEX('1-DATA'!$1:$1048576,IF(OR($B657="STD. DEVIATION",$C$1=1),$A657,$A657+1),COLUMN('1-DATA'!H655)),IF($B657="STD. DEVIATION",2,$F$1))))</f>
        <v/>
      </c>
      <c r="J657" s="1" t="str">
        <f>IF(OR($B657="",J$7=""),"",IF($B657="MEANS",INDEX('1-DATA'!$1:$1048576,$A656-1,COLUMN('1-DATA'!I655)),ROUND(INDEX('1-DATA'!$1:$1048576,IF(OR($B657="STD. DEVIATION",$C$1=1),$A657,$A657+1),COLUMN('1-DATA'!I655)),IF($B657="STD. DEVIATION",2,$F$1))))</f>
        <v/>
      </c>
      <c r="K657" s="1" t="str">
        <f>IF(OR($B657="",K$7=""),"",IF($B657="MEANS",INDEX('1-DATA'!$1:$1048576,$A656-1,COLUMN('1-DATA'!J655)),ROUND(INDEX('1-DATA'!$1:$1048576,IF(OR($B657="STD. DEVIATION",$C$1=1),$A657,$A657+1),COLUMN('1-DATA'!J655)),IF($B657="STD. DEVIATION",2,$F$1))))</f>
        <v/>
      </c>
      <c r="L657" s="1" t="str">
        <f>IF(OR($B657="",L$7=""),"",IF($B657="MEANS",INDEX('1-DATA'!$1:$1048576,$A656-1,COLUMN('1-DATA'!K655)),ROUND(INDEX('1-DATA'!$1:$1048576,IF(OR($B657="STD. DEVIATION",$C$1=1),$A657,$A657+1),COLUMN('1-DATA'!K655)),IF($B657="STD. DEVIATION",2,$F$1))))</f>
        <v/>
      </c>
      <c r="M657" s="1" t="str">
        <f>IF(OR($B657="",M$7=""),"",IF($B657="MEANS",INDEX('1-DATA'!$1:$1048576,$A656-1,COLUMN('1-DATA'!L655)),ROUND(INDEX('1-DATA'!$1:$1048576,IF(OR($B657="STD. DEVIATION",$C$1=1),$A657,$A657+1),COLUMN('1-DATA'!L655)),IF($B657="STD. DEVIATION",2,$F$1))))</f>
        <v/>
      </c>
      <c r="N657" s="1" t="str">
        <f>IF(OR($B657="",N$7=""),"",IF($B657="MEANS",INDEX('1-DATA'!$1:$1048576,$A656-1,COLUMN('1-DATA'!M655)),ROUND(INDEX('1-DATA'!$1:$1048576,IF(OR($B657="STD. DEVIATION",$C$1=1),$A657,$A657+1),COLUMN('1-DATA'!M655)),IF($B657="STD. DEVIATION",2,$F$1))))</f>
        <v/>
      </c>
      <c r="O657" s="1" t="str">
        <f>IF(OR($B657="",O$7=""),"",IF($B657="MEANS",INDEX('1-DATA'!$1:$1048576,$A656-1,COLUMN('1-DATA'!N655)),ROUND(INDEX('1-DATA'!$1:$1048576,IF(OR($B657="STD. DEVIATION",$C$1=1),$A657,$A657+1),COLUMN('1-DATA'!N655)),IF($B657="STD. DEVIATION",2,$F$1))))</f>
        <v/>
      </c>
      <c r="P657" s="1" t="str">
        <f>IF(OR($B657="",P$7=""),"",IF($B657="MEANS",INDEX('1-DATA'!$1:$1048576,$A656-1,COLUMN('1-DATA'!O655)),ROUND(INDEX('1-DATA'!$1:$1048576,IF(OR($B657="STD. DEVIATION",$C$1=1),$A657,$A657+1),COLUMN('1-DATA'!O655)),IF($B657="STD. DEVIATION",2,$F$1))))</f>
        <v/>
      </c>
      <c r="Q657" s="1" t="str">
        <f>IF(OR($B657="",Q$7=""),"",IF($B657="MEANS",INDEX('1-DATA'!$1:$1048576,$A656-1,COLUMN('1-DATA'!P655)),ROUND(INDEX('1-DATA'!$1:$1048576,IF(OR($B657="STD. DEVIATION",$C$1=1),$A657,$A657+1),COLUMN('1-DATA'!P655)),IF($B657="STD. DEVIATION",2,$F$1))))</f>
        <v/>
      </c>
      <c r="R657" s="1" t="str">
        <f>IF(OR($B657="",R$7=""),"",IF($B657="MEANS",INDEX('1-DATA'!$1:$1048576,$A656-1,COLUMN('1-DATA'!Q655)),ROUND(INDEX('1-DATA'!$1:$1048576,IF(OR($B657="STD. DEVIATION",$C$1=1),$A657,$A657+1),COLUMN('1-DATA'!Q655)),IF($B657="STD. DEVIATION",2,$F$1))))</f>
        <v/>
      </c>
      <c r="S657" s="1" t="str">
        <f>IF(OR($B657="",S$7=""),"",IF($B657="MEANS",INDEX('1-DATA'!$1:$1048576,$A656-1,COLUMN('1-DATA'!R655)),ROUND(INDEX('1-DATA'!$1:$1048576,IF(OR($B657="STD. DEVIATION",$C$1=1),$A657,$A657+1),COLUMN('1-DATA'!R655)),IF($B657="STD. DEVIATION",2,$F$1))))</f>
        <v/>
      </c>
      <c r="T657" s="1" t="str">
        <f>IF(OR($B657="",T$7=""),"",IF($B657="MEANS",INDEX('1-DATA'!$1:$1048576,$A656-1,COLUMN('1-DATA'!S655)),ROUND(INDEX('1-DATA'!$1:$1048576,IF(OR($B657="STD. DEVIATION",$C$1=1),$A657,$A657+1),COLUMN('1-DATA'!S655)),IF($B657="STD. DEVIATION",2,$F$1))))</f>
        <v/>
      </c>
      <c r="U657" s="1" t="str">
        <f>IF(OR($B657="",U$7=""),"",IF($B657="MEANS",INDEX('1-DATA'!$1:$1048576,$A656-1,COLUMN('1-DATA'!T655)),ROUND(INDEX('1-DATA'!$1:$1048576,IF(OR($B657="STD. DEVIATION",$C$1=1),$A657,$A657+1),COLUMN('1-DATA'!T655)),IF($B657="STD. DEVIATION",2,$F$1))))</f>
        <v/>
      </c>
      <c r="V657" s="1" t="str">
        <f>IF(OR($B657="",V$7=""),"",IF($B657="MEANS",INDEX('1-DATA'!$1:$1048576,$A656-1,COLUMN('1-DATA'!U655)),ROUND(INDEX('1-DATA'!$1:$1048576,IF(OR($B657="STD. DEVIATION",$C$1=1),$A657,$A657+1),COLUMN('1-DATA'!U655)),IF($B657="STD. DEVIATION",2,$F$1))))</f>
        <v/>
      </c>
      <c r="W657" s="1" t="str">
        <f>IF(OR($B657="",W$7=""),"",IF($B657="MEANS",INDEX('1-DATA'!$1:$1048576,$A656-1,COLUMN('1-DATA'!V655)),ROUND(INDEX('1-DATA'!$1:$1048576,IF(OR($B657="STD. DEVIATION",$C$1=1),$A657,$A657+1),COLUMN('1-DATA'!V655)),IF($B657="STD. DEVIATION",2,$F$1))))</f>
        <v/>
      </c>
      <c r="X657" s="1" t="str">
        <f>IF(OR($B657="",X$7=""),"",IF($B657="MEANS",INDEX('1-DATA'!$1:$1048576,$A656-1,COLUMN('1-DATA'!W655)),ROUND(INDEX('1-DATA'!$1:$1048576,IF(OR($B657="STD. DEVIATION",$C$1=1),$A657,$A657+1),COLUMN('1-DATA'!W655)),IF($B657="STD. DEVIATION",2,$F$1))))</f>
        <v/>
      </c>
      <c r="Y657" s="1" t="str">
        <f>IF(OR($B657="",Y$7=""),"",IF($B657="MEANS",INDEX('1-DATA'!$1:$1048576,$A656-1,COLUMN('1-DATA'!X655)),ROUND(INDEX('1-DATA'!$1:$1048576,IF(OR($B657="STD. DEVIATION",$C$1=1),$A657,$A657+1),COLUMN('1-DATA'!X655)),IF($B657="STD. DEVIATION",2,$F$1))))</f>
        <v/>
      </c>
      <c r="Z657" s="1" t="str">
        <f>IF(OR($B657="",Z$7=""),"",IF($B657="MEANS",INDEX('1-DATA'!$1:$1048576,$A656-1,COLUMN('1-DATA'!Y655)),ROUND(INDEX('1-DATA'!$1:$1048576,IF(OR($B657="STD. DEVIATION",$C$1=1),$A657,$A657+1),COLUMN('1-DATA'!Y655)),IF($B657="STD. DEVIATION",2,$F$1))))</f>
        <v/>
      </c>
      <c r="AA657" s="1" t="str">
        <f>IF(OR($B657="",AA$7=""),"",IF($B657="MEANS",INDEX('1-DATA'!$1:$1048576,$A656-1,COLUMN('1-DATA'!Z655)),ROUND(INDEX('1-DATA'!$1:$1048576,IF(OR($B657="STD. DEVIATION",$C$1=1),$A657,$A657+1),COLUMN('1-DATA'!Z655)),IF($B657="STD. DEVIATION",2,$F$1))))</f>
        <v/>
      </c>
      <c r="AB657" s="1" t="str">
        <f>IF(OR($B657="",AB$7=""),"",IF($B657="MEANS",INDEX('1-DATA'!$1:$1048576,$A656-1,COLUMN('1-DATA'!AA655)),ROUND(INDEX('1-DATA'!$1:$1048576,IF(OR($B657="STD. DEVIATION",$C$1=1),$A657,$A657+1),COLUMN('1-DATA'!AA655)),IF($B657="STD. DEVIATION",2,$F$1))))</f>
        <v/>
      </c>
      <c r="AC657" s="1" t="str">
        <f>IF(OR($B657="",AC$7=""),"",IF($B657="MEANS",INDEX('1-DATA'!$1:$1048576,$A656-1,COLUMN('1-DATA'!AB655)),ROUND(INDEX('1-DATA'!$1:$1048576,IF(OR($B657="STD. DEVIATION",$C$1=1),$A657,$A657+1),COLUMN('1-DATA'!AB655)),IF($B657="STD. DEVIATION",2,$F$1))))</f>
        <v/>
      </c>
      <c r="AD657" s="1" t="str">
        <f>IF(OR($B657="",AD$7=""),"",IF($B657="MEANS",INDEX('1-DATA'!$1:$1048576,$A656-1,COLUMN('1-DATA'!AC655)),ROUND(INDEX('1-DATA'!$1:$1048576,IF(OR($B657="STD. DEVIATION",$C$1=1),$A657,$A657+1),COLUMN('1-DATA'!AC655)),IF($B657="STD. DEVIATION",2,$F$1))))</f>
        <v/>
      </c>
      <c r="AE657" s="1" t="str">
        <f>IF(OR($B657="",AE$7=""),"",IF($B657="MEANS",INDEX('1-DATA'!$1:$1048576,$A656-1,COLUMN('1-DATA'!AD655)),ROUND(INDEX('1-DATA'!$1:$1048576,IF(OR($B657="STD. DEVIATION",$C$1=1),$A657,$A657+1),COLUMN('1-DATA'!AD655)),IF($B657="STD. DEVIATION",2,$F$1))))</f>
        <v/>
      </c>
      <c r="AF657" s="1" t="str">
        <f>IF(OR($B657="",AF$7=""),"",IF($B657="MEANS",INDEX('1-DATA'!$1:$1048576,$A656-1,COLUMN('1-DATA'!AE655)),ROUND(INDEX('1-DATA'!$1:$1048576,IF(OR($B657="STD. DEVIATION",$C$1=1),$A657,$A657+1),COLUMN('1-DATA'!AE655)),IF($B657="STD. DEVIATION",2,$F$1))))</f>
        <v/>
      </c>
      <c r="AG657" s="1" t="str">
        <f>IF(OR($B657="",AG$7=""),"",IF($B657="MEANS",INDEX('1-DATA'!$1:$1048576,$A656-1,COLUMN('1-DATA'!AF655)),ROUND(INDEX('1-DATA'!$1:$1048576,IF(OR($B657="STD. DEVIATION",$C$1=1),$A657,$A657+1),COLUMN('1-DATA'!AF655)),IF($B657="STD. DEVIATION",2,$F$1))))</f>
        <v/>
      </c>
      <c r="AH657" s="1" t="str">
        <f>IF(OR($B657="",AH$7=""),"",IF($B657="MEANS",INDEX('1-DATA'!$1:$1048576,$A656-1,COLUMN('1-DATA'!AG655)),ROUND(INDEX('1-DATA'!$1:$1048576,IF(OR($B657="STD. DEVIATION",$C$1=1),$A657,$A657+1),COLUMN('1-DATA'!AG655)),IF($B657="STD. DEVIATION",2,$F$1))))</f>
        <v/>
      </c>
      <c r="AI657" s="1" t="str">
        <f>IF(OR($B657="",AI$7=""),"",IF($B657="MEANS",INDEX('1-DATA'!$1:$1048576,$A656-1,COLUMN('1-DATA'!AH655)),ROUND(INDEX('1-DATA'!$1:$1048576,IF(OR($B657="STD. DEVIATION",$C$1=1),$A657,$A657+1),COLUMN('1-DATA'!AH655)),IF($B657="STD. DEVIATION",2,$F$1))))</f>
        <v/>
      </c>
      <c r="AJ657" s="1" t="str">
        <f>IF(OR($B657="",AJ$7=""),"",IF($B657="MEANS",INDEX('1-DATA'!$1:$1048576,$A656-1,COLUMN('1-DATA'!AI655)),ROUND(INDEX('1-DATA'!$1:$1048576,IF(OR($B657="STD. DEVIATION",$C$1=1),$A657,$A657+1),COLUMN('1-DATA'!AI655)),IF($B657="STD. DEVIATION",2,$F$1))))</f>
        <v/>
      </c>
      <c r="AK657" s="1" t="str">
        <f>IF(OR($B657="",AK$7=""),"",IF($B657="MEANS",INDEX('1-DATA'!$1:$1048576,$A656-1,COLUMN('1-DATA'!AJ655)),ROUND(INDEX('1-DATA'!$1:$1048576,IF(OR($B657="STD. DEVIATION",$C$1=1),$A657,$A657+1),COLUMN('1-DATA'!AJ655)),IF($B657="STD. DEVIATION",2,$F$1))))</f>
        <v/>
      </c>
      <c r="AL657" s="1" t="str">
        <f>IF(OR($B657="",AL$7=""),"",IF($B657="MEANS",INDEX('1-DATA'!$1:$1048576,$A656-1,COLUMN('1-DATA'!AK655)),ROUND(INDEX('1-DATA'!$1:$1048576,IF(OR($B657="STD. DEVIATION",$C$1=1),$A657,$A657+1),COLUMN('1-DATA'!AK655)),IF($B657="STD. DEVIATION",2,$F$1))))</f>
        <v/>
      </c>
      <c r="AM657" s="1" t="str">
        <f>IF(OR($B657="",AM$7=""),"",IF($B657="MEANS",INDEX('1-DATA'!$1:$1048576,$A656-1,COLUMN('1-DATA'!AL655)),ROUND(INDEX('1-DATA'!$1:$1048576,IF(OR($B657="STD. DEVIATION",$C$1=1),$A657,$A657+1),COLUMN('1-DATA'!AL655)),IF($B657="STD. DEVIATION",2,$F$1))))</f>
        <v/>
      </c>
      <c r="AN657" s="1" t="str">
        <f>IF(OR($B657="",AN$7=""),"",IF($B657="MEANS",INDEX('1-DATA'!$1:$1048576,$A656-1,COLUMN('1-DATA'!AM655)),ROUND(INDEX('1-DATA'!$1:$1048576,IF(OR($B657="STD. DEVIATION",$C$1=1),$A657,$A657+1),COLUMN('1-DATA'!AM655)),IF($B657="STD. DEVIATION",2,$F$1))))</f>
        <v/>
      </c>
      <c r="AO657" s="1" t="str">
        <f>IF(OR($B657="",AO$7=""),"",IF($B657="MEANS",INDEX('1-DATA'!$1:$1048576,$A656-1,COLUMN('1-DATA'!AN655)),ROUND(INDEX('1-DATA'!$1:$1048576,IF(OR($B657="STD. DEVIATION",$C$1=1),$A657,$A657+1),COLUMN('1-DATA'!AN655)),IF($B657="STD. DEVIATION",2,$F$1))))</f>
        <v/>
      </c>
      <c r="AP657" s="1" t="str">
        <f>IF(OR($B657="",AP$7=""),"",IF($B657="MEANS",INDEX('1-DATA'!$1:$1048576,$A656-1,COLUMN('1-DATA'!AO655)),ROUND(INDEX('1-DATA'!$1:$1048576,IF(OR($B657="STD. DEVIATION",$C$1=1),$A657,$A657+1),COLUMN('1-DATA'!AO655)),IF($B657="STD. DEVIATION",2,$F$1))))</f>
        <v/>
      </c>
      <c r="AQ657" s="1" t="str">
        <f>IF(OR($B657="",AQ$7=""),"",IF($B657="MEANS",INDEX('1-DATA'!$1:$1048576,$A656-1,COLUMN('1-DATA'!AP655)),ROUND(INDEX('1-DATA'!$1:$1048576,IF(OR($B657="STD. DEVIATION",$C$1=1),$A657,$A657+1),COLUMN('1-DATA'!AP655)),IF($B657="STD. DEVIATION",2,$F$1))))</f>
        <v/>
      </c>
      <c r="AR657" s="1" t="str">
        <f>IF(OR($B657="",AR$7=""),"",IF($B657="MEANS",INDEX('1-DATA'!$1:$1048576,$A656-1,COLUMN('1-DATA'!AQ655)),ROUND(INDEX('1-DATA'!$1:$1048576,IF(OR($B657="STD. DEVIATION",$C$1=1),$A657,$A657+1),COLUMN('1-DATA'!AQ655)),IF($B657="STD. DEVIATION",2,$F$1))))</f>
        <v/>
      </c>
      <c r="AS657" s="1" t="str">
        <f>IF(OR($B657="",AS$7=""),"",IF($B657="MEANS",INDEX('1-DATA'!$1:$1048576,$A656-1,COLUMN('1-DATA'!AR655)),ROUND(INDEX('1-DATA'!$1:$1048576,IF(OR($B657="STD. DEVIATION",$C$1=1),$A657,$A657+1),COLUMN('1-DATA'!AR655)),IF($B657="STD. DEVIATION",2,$F$1))))</f>
        <v/>
      </c>
      <c r="AT657" s="1" t="str">
        <f>IF(OR($B657="",AT$7=""),"",IF($B657="MEANS",INDEX('1-DATA'!$1:$1048576,$A656-1,COLUMN('1-DATA'!AS655)),ROUND(INDEX('1-DATA'!$1:$1048576,IF(OR($B657="STD. DEVIATION",$C$1=1),$A657,$A657+1),COLUMN('1-DATA'!AS655)),IF($B657="STD. DEVIATION",2,$F$1))))</f>
        <v/>
      </c>
      <c r="AU657" s="1" t="str">
        <f>IF(OR($B657="",AU$7=""),"",IF($B657="MEANS",INDEX('1-DATA'!$1:$1048576,$A656-1,COLUMN('1-DATA'!AT655)),ROUND(INDEX('1-DATA'!$1:$1048576,IF(OR($B657="STD. DEVIATION",$C$1=1),$A657,$A657+1),COLUMN('1-DATA'!AT655)),IF($B657="STD. DEVIATION",2,$F$1))))</f>
        <v/>
      </c>
      <c r="AV657" s="1" t="str">
        <f>IF(OR($B657="",AV$7=""),"",IF($B657="MEANS",INDEX('1-DATA'!$1:$1048576,$A656-1,COLUMN('1-DATA'!AU655)),ROUND(INDEX('1-DATA'!$1:$1048576,IF(OR($B657="STD. DEVIATION",$C$1=1),$A657,$A657+1),COLUMN('1-DATA'!AU655)),IF($B657="STD. DEVIATION",2,$F$1))))</f>
        <v/>
      </c>
      <c r="AW657" s="1" t="str">
        <f>IF(OR($B657="",AW$7=""),"",IF($B657="MEANS",INDEX('1-DATA'!$1:$1048576,$A656-1,COLUMN('1-DATA'!AV655)),ROUND(INDEX('1-DATA'!$1:$1048576,IF(OR($B657="STD. DEVIATION",$C$1=1),$A657,$A657+1),COLUMN('1-DATA'!AV655)),IF($B657="STD. DEVIATION",2,$F$1))))</f>
        <v/>
      </c>
      <c r="AX657" s="1" t="str">
        <f>IF(OR($B657="",AX$7=""),"",IF($B657="MEANS",INDEX('1-DATA'!$1:$1048576,$A656-1,COLUMN('1-DATA'!AW655)),ROUND(INDEX('1-DATA'!$1:$1048576,IF(OR($B657="STD. DEVIATION",$C$1=1),$A657,$A657+1),COLUMN('1-DATA'!AW655)),IF($B657="STD. DEVIATION",2,$F$1))))</f>
        <v/>
      </c>
      <c r="AY657" s="1" t="str">
        <f>IF(OR($B657="",AY$7=""),"",IF($B657="MEANS",INDEX('1-DATA'!$1:$1048576,$A656-1,COLUMN('1-DATA'!AX655)),ROUND(INDEX('1-DATA'!$1:$1048576,IF(OR($B657="STD. DEVIATION",$C$1=1),$A657,$A657+1),COLUMN('1-DATA'!AX655)),IF($B657="STD. DEVIATION",2,$F$1))))</f>
        <v/>
      </c>
      <c r="AZ657" s="1" t="str">
        <f>IF(OR($B657="",AZ$7=""),"",IF($B657="MEANS",INDEX('1-DATA'!$1:$1048576,$A656-1,COLUMN('1-DATA'!AY655)),ROUND(INDEX('1-DATA'!$1:$1048576,IF(OR($B657="STD. DEVIATION",$C$1=1),$A657,$A657+1),COLUMN('1-DATA'!AY655)),IF($B657="STD. DEVIATION",2,$F$1))))</f>
        <v/>
      </c>
    </row>
    <row r="658" spans="1:52" x14ac:dyDescent="0.25">
      <c r="A658" s="11">
        <f t="shared" si="10"/>
        <v>1960</v>
      </c>
      <c r="B658" s="1" t="str">
        <f>IF(B657="STD. DEVIATION",INDEX('1-DATA'!$1:$1048576,$A657-1,1),IF(INDEX('1-DATA'!$1:$1048576,$A658,1)&lt;&gt;"",INDEX('1-DATA'!$1:$1048576,$A658,1),""))</f>
        <v/>
      </c>
      <c r="C658" s="1" t="str">
        <f>IF(OR($B658="",C$7=""),"",IF($B658="MEANS",INDEX('1-DATA'!$1:$1048576,$A657-1,COLUMN('1-DATA'!B656)),ROUND(INDEX('1-DATA'!$1:$1048576,IF(OR($B658="STD. DEVIATION",$C$1=1),$A658,$A658+1),COLUMN('1-DATA'!B656)),IF($B658="STD. DEVIATION",2,$F$1))))</f>
        <v/>
      </c>
      <c r="D658" s="1" t="str">
        <f>IF(OR($B658="",D$7=""),"",IF($B658="MEANS",INDEX('1-DATA'!$1:$1048576,$A657-1,COLUMN('1-DATA'!C656)),ROUND(INDEX('1-DATA'!$1:$1048576,IF(OR($B658="STD. DEVIATION",$C$1=1),$A658,$A658+1),COLUMN('1-DATA'!C656)),IF($B658="STD. DEVIATION",2,$F$1))))</f>
        <v/>
      </c>
      <c r="E658" s="1" t="str">
        <f>IF(OR($B658="",E$7=""),"",IF($B658="MEANS",INDEX('1-DATA'!$1:$1048576,$A657-1,COLUMN('1-DATA'!D656)),ROUND(INDEX('1-DATA'!$1:$1048576,IF(OR($B658="STD. DEVIATION",$C$1=1),$A658,$A658+1),COLUMN('1-DATA'!D656)),IF($B658="STD. DEVIATION",2,$F$1))))</f>
        <v/>
      </c>
      <c r="F658" s="1" t="str">
        <f>IF(OR($B658="",F$7=""),"",IF($B658="MEANS",INDEX('1-DATA'!$1:$1048576,$A657-1,COLUMN('1-DATA'!E656)),ROUND(INDEX('1-DATA'!$1:$1048576,IF(OR($B658="STD. DEVIATION",$C$1=1),$A658,$A658+1),COLUMN('1-DATA'!E656)),IF($B658="STD. DEVIATION",2,$F$1))))</f>
        <v/>
      </c>
      <c r="G658" s="1" t="str">
        <f>IF(OR($B658="",G$7=""),"",IF($B658="MEANS",INDEX('1-DATA'!$1:$1048576,$A657-1,COLUMN('1-DATA'!F656)),ROUND(INDEX('1-DATA'!$1:$1048576,IF(OR($B658="STD. DEVIATION",$C$1=1),$A658,$A658+1),COLUMN('1-DATA'!F656)),IF($B658="STD. DEVIATION",2,$F$1))))</f>
        <v/>
      </c>
      <c r="H658" s="1" t="str">
        <f>IF(OR($B658="",H$7=""),"",IF($B658="MEANS",INDEX('1-DATA'!$1:$1048576,$A657-1,COLUMN('1-DATA'!G656)),ROUND(INDEX('1-DATA'!$1:$1048576,IF(OR($B658="STD. DEVIATION",$C$1=1),$A658,$A658+1),COLUMN('1-DATA'!G656)),IF($B658="STD. DEVIATION",2,$F$1))))</f>
        <v/>
      </c>
      <c r="I658" s="1" t="str">
        <f>IF(OR($B658="",I$7=""),"",IF($B658="MEANS",INDEX('1-DATA'!$1:$1048576,$A657-1,COLUMN('1-DATA'!H656)),ROUND(INDEX('1-DATA'!$1:$1048576,IF(OR($B658="STD. DEVIATION",$C$1=1),$A658,$A658+1),COLUMN('1-DATA'!H656)),IF($B658="STD. DEVIATION",2,$F$1))))</f>
        <v/>
      </c>
      <c r="J658" s="1" t="str">
        <f>IF(OR($B658="",J$7=""),"",IF($B658="MEANS",INDEX('1-DATA'!$1:$1048576,$A657-1,COLUMN('1-DATA'!I656)),ROUND(INDEX('1-DATA'!$1:$1048576,IF(OR($B658="STD. DEVIATION",$C$1=1),$A658,$A658+1),COLUMN('1-DATA'!I656)),IF($B658="STD. DEVIATION",2,$F$1))))</f>
        <v/>
      </c>
      <c r="K658" s="1" t="str">
        <f>IF(OR($B658="",K$7=""),"",IF($B658="MEANS",INDEX('1-DATA'!$1:$1048576,$A657-1,COLUMN('1-DATA'!J656)),ROUND(INDEX('1-DATA'!$1:$1048576,IF(OR($B658="STD. DEVIATION",$C$1=1),$A658,$A658+1),COLUMN('1-DATA'!J656)),IF($B658="STD. DEVIATION",2,$F$1))))</f>
        <v/>
      </c>
      <c r="L658" s="1" t="str">
        <f>IF(OR($B658="",L$7=""),"",IF($B658="MEANS",INDEX('1-DATA'!$1:$1048576,$A657-1,COLUMN('1-DATA'!K656)),ROUND(INDEX('1-DATA'!$1:$1048576,IF(OR($B658="STD. DEVIATION",$C$1=1),$A658,$A658+1),COLUMN('1-DATA'!K656)),IF($B658="STD. DEVIATION",2,$F$1))))</f>
        <v/>
      </c>
      <c r="M658" s="1" t="str">
        <f>IF(OR($B658="",M$7=""),"",IF($B658="MEANS",INDEX('1-DATA'!$1:$1048576,$A657-1,COLUMN('1-DATA'!L656)),ROUND(INDEX('1-DATA'!$1:$1048576,IF(OR($B658="STD. DEVIATION",$C$1=1),$A658,$A658+1),COLUMN('1-DATA'!L656)),IF($B658="STD. DEVIATION",2,$F$1))))</f>
        <v/>
      </c>
      <c r="N658" s="1" t="str">
        <f>IF(OR($B658="",N$7=""),"",IF($B658="MEANS",INDEX('1-DATA'!$1:$1048576,$A657-1,COLUMN('1-DATA'!M656)),ROUND(INDEX('1-DATA'!$1:$1048576,IF(OR($B658="STD. DEVIATION",$C$1=1),$A658,$A658+1),COLUMN('1-DATA'!M656)),IF($B658="STD. DEVIATION",2,$F$1))))</f>
        <v/>
      </c>
      <c r="O658" s="1" t="str">
        <f>IF(OR($B658="",O$7=""),"",IF($B658="MEANS",INDEX('1-DATA'!$1:$1048576,$A657-1,COLUMN('1-DATA'!N656)),ROUND(INDEX('1-DATA'!$1:$1048576,IF(OR($B658="STD. DEVIATION",$C$1=1),$A658,$A658+1),COLUMN('1-DATA'!N656)),IF($B658="STD. DEVIATION",2,$F$1))))</f>
        <v/>
      </c>
      <c r="P658" s="1" t="str">
        <f>IF(OR($B658="",P$7=""),"",IF($B658="MEANS",INDEX('1-DATA'!$1:$1048576,$A657-1,COLUMN('1-DATA'!O656)),ROUND(INDEX('1-DATA'!$1:$1048576,IF(OR($B658="STD. DEVIATION",$C$1=1),$A658,$A658+1),COLUMN('1-DATA'!O656)),IF($B658="STD. DEVIATION",2,$F$1))))</f>
        <v/>
      </c>
      <c r="Q658" s="1" t="str">
        <f>IF(OR($B658="",Q$7=""),"",IF($B658="MEANS",INDEX('1-DATA'!$1:$1048576,$A657-1,COLUMN('1-DATA'!P656)),ROUND(INDEX('1-DATA'!$1:$1048576,IF(OR($B658="STD. DEVIATION",$C$1=1),$A658,$A658+1),COLUMN('1-DATA'!P656)),IF($B658="STD. DEVIATION",2,$F$1))))</f>
        <v/>
      </c>
      <c r="R658" s="1" t="str">
        <f>IF(OR($B658="",R$7=""),"",IF($B658="MEANS",INDEX('1-DATA'!$1:$1048576,$A657-1,COLUMN('1-DATA'!Q656)),ROUND(INDEX('1-DATA'!$1:$1048576,IF(OR($B658="STD. DEVIATION",$C$1=1),$A658,$A658+1),COLUMN('1-DATA'!Q656)),IF($B658="STD. DEVIATION",2,$F$1))))</f>
        <v/>
      </c>
      <c r="S658" s="1" t="str">
        <f>IF(OR($B658="",S$7=""),"",IF($B658="MEANS",INDEX('1-DATA'!$1:$1048576,$A657-1,COLUMN('1-DATA'!R656)),ROUND(INDEX('1-DATA'!$1:$1048576,IF(OR($B658="STD. DEVIATION",$C$1=1),$A658,$A658+1),COLUMN('1-DATA'!R656)),IF($B658="STD. DEVIATION",2,$F$1))))</f>
        <v/>
      </c>
      <c r="T658" s="1" t="str">
        <f>IF(OR($B658="",T$7=""),"",IF($B658="MEANS",INDEX('1-DATA'!$1:$1048576,$A657-1,COLUMN('1-DATA'!S656)),ROUND(INDEX('1-DATA'!$1:$1048576,IF(OR($B658="STD. DEVIATION",$C$1=1),$A658,$A658+1),COLUMN('1-DATA'!S656)),IF($B658="STD. DEVIATION",2,$F$1))))</f>
        <v/>
      </c>
      <c r="U658" s="1" t="str">
        <f>IF(OR($B658="",U$7=""),"",IF($B658="MEANS",INDEX('1-DATA'!$1:$1048576,$A657-1,COLUMN('1-DATA'!T656)),ROUND(INDEX('1-DATA'!$1:$1048576,IF(OR($B658="STD. DEVIATION",$C$1=1),$A658,$A658+1),COLUMN('1-DATA'!T656)),IF($B658="STD. DEVIATION",2,$F$1))))</f>
        <v/>
      </c>
      <c r="V658" s="1" t="str">
        <f>IF(OR($B658="",V$7=""),"",IF($B658="MEANS",INDEX('1-DATA'!$1:$1048576,$A657-1,COLUMN('1-DATA'!U656)),ROUND(INDEX('1-DATA'!$1:$1048576,IF(OR($B658="STD. DEVIATION",$C$1=1),$A658,$A658+1),COLUMN('1-DATA'!U656)),IF($B658="STD. DEVIATION",2,$F$1))))</f>
        <v/>
      </c>
      <c r="W658" s="1" t="str">
        <f>IF(OR($B658="",W$7=""),"",IF($B658="MEANS",INDEX('1-DATA'!$1:$1048576,$A657-1,COLUMN('1-DATA'!V656)),ROUND(INDEX('1-DATA'!$1:$1048576,IF(OR($B658="STD. DEVIATION",$C$1=1),$A658,$A658+1),COLUMN('1-DATA'!V656)),IF($B658="STD. DEVIATION",2,$F$1))))</f>
        <v/>
      </c>
      <c r="X658" s="1" t="str">
        <f>IF(OR($B658="",X$7=""),"",IF($B658="MEANS",INDEX('1-DATA'!$1:$1048576,$A657-1,COLUMN('1-DATA'!W656)),ROUND(INDEX('1-DATA'!$1:$1048576,IF(OR($B658="STD. DEVIATION",$C$1=1),$A658,$A658+1),COLUMN('1-DATA'!W656)),IF($B658="STD. DEVIATION",2,$F$1))))</f>
        <v/>
      </c>
      <c r="Y658" s="1" t="str">
        <f>IF(OR($B658="",Y$7=""),"",IF($B658="MEANS",INDEX('1-DATA'!$1:$1048576,$A657-1,COLUMN('1-DATA'!X656)),ROUND(INDEX('1-DATA'!$1:$1048576,IF(OR($B658="STD. DEVIATION",$C$1=1),$A658,$A658+1),COLUMN('1-DATA'!X656)),IF($B658="STD. DEVIATION",2,$F$1))))</f>
        <v/>
      </c>
      <c r="Z658" s="1" t="str">
        <f>IF(OR($B658="",Z$7=""),"",IF($B658="MEANS",INDEX('1-DATA'!$1:$1048576,$A657-1,COLUMN('1-DATA'!Y656)),ROUND(INDEX('1-DATA'!$1:$1048576,IF(OR($B658="STD. DEVIATION",$C$1=1),$A658,$A658+1),COLUMN('1-DATA'!Y656)),IF($B658="STD. DEVIATION",2,$F$1))))</f>
        <v/>
      </c>
      <c r="AA658" s="1" t="str">
        <f>IF(OR($B658="",AA$7=""),"",IF($B658="MEANS",INDEX('1-DATA'!$1:$1048576,$A657-1,COLUMN('1-DATA'!Z656)),ROUND(INDEX('1-DATA'!$1:$1048576,IF(OR($B658="STD. DEVIATION",$C$1=1),$A658,$A658+1),COLUMN('1-DATA'!Z656)),IF($B658="STD. DEVIATION",2,$F$1))))</f>
        <v/>
      </c>
      <c r="AB658" s="1" t="str">
        <f>IF(OR($B658="",AB$7=""),"",IF($B658="MEANS",INDEX('1-DATA'!$1:$1048576,$A657-1,COLUMN('1-DATA'!AA656)),ROUND(INDEX('1-DATA'!$1:$1048576,IF(OR($B658="STD. DEVIATION",$C$1=1),$A658,$A658+1),COLUMN('1-DATA'!AA656)),IF($B658="STD. DEVIATION",2,$F$1))))</f>
        <v/>
      </c>
      <c r="AC658" s="1" t="str">
        <f>IF(OR($B658="",AC$7=""),"",IF($B658="MEANS",INDEX('1-DATA'!$1:$1048576,$A657-1,COLUMN('1-DATA'!AB656)),ROUND(INDEX('1-DATA'!$1:$1048576,IF(OR($B658="STD. DEVIATION",$C$1=1),$A658,$A658+1),COLUMN('1-DATA'!AB656)),IF($B658="STD. DEVIATION",2,$F$1))))</f>
        <v/>
      </c>
      <c r="AD658" s="1" t="str">
        <f>IF(OR($B658="",AD$7=""),"",IF($B658="MEANS",INDEX('1-DATA'!$1:$1048576,$A657-1,COLUMN('1-DATA'!AC656)),ROUND(INDEX('1-DATA'!$1:$1048576,IF(OR($B658="STD. DEVIATION",$C$1=1),$A658,$A658+1),COLUMN('1-DATA'!AC656)),IF($B658="STD. DEVIATION",2,$F$1))))</f>
        <v/>
      </c>
      <c r="AE658" s="1" t="str">
        <f>IF(OR($B658="",AE$7=""),"",IF($B658="MEANS",INDEX('1-DATA'!$1:$1048576,$A657-1,COLUMN('1-DATA'!AD656)),ROUND(INDEX('1-DATA'!$1:$1048576,IF(OR($B658="STD. DEVIATION",$C$1=1),$A658,$A658+1),COLUMN('1-DATA'!AD656)),IF($B658="STD. DEVIATION",2,$F$1))))</f>
        <v/>
      </c>
      <c r="AF658" s="1" t="str">
        <f>IF(OR($B658="",AF$7=""),"",IF($B658="MEANS",INDEX('1-DATA'!$1:$1048576,$A657-1,COLUMN('1-DATA'!AE656)),ROUND(INDEX('1-DATA'!$1:$1048576,IF(OR($B658="STD. DEVIATION",$C$1=1),$A658,$A658+1),COLUMN('1-DATA'!AE656)),IF($B658="STD. DEVIATION",2,$F$1))))</f>
        <v/>
      </c>
      <c r="AG658" s="1" t="str">
        <f>IF(OR($B658="",AG$7=""),"",IF($B658="MEANS",INDEX('1-DATA'!$1:$1048576,$A657-1,COLUMN('1-DATA'!AF656)),ROUND(INDEX('1-DATA'!$1:$1048576,IF(OR($B658="STD. DEVIATION",$C$1=1),$A658,$A658+1),COLUMN('1-DATA'!AF656)),IF($B658="STD. DEVIATION",2,$F$1))))</f>
        <v/>
      </c>
      <c r="AH658" s="1" t="str">
        <f>IF(OR($B658="",AH$7=""),"",IF($B658="MEANS",INDEX('1-DATA'!$1:$1048576,$A657-1,COLUMN('1-DATA'!AG656)),ROUND(INDEX('1-DATA'!$1:$1048576,IF(OR($B658="STD. DEVIATION",$C$1=1),$A658,$A658+1),COLUMN('1-DATA'!AG656)),IF($B658="STD. DEVIATION",2,$F$1))))</f>
        <v/>
      </c>
      <c r="AI658" s="1" t="str">
        <f>IF(OR($B658="",AI$7=""),"",IF($B658="MEANS",INDEX('1-DATA'!$1:$1048576,$A657-1,COLUMN('1-DATA'!AH656)),ROUND(INDEX('1-DATA'!$1:$1048576,IF(OR($B658="STD. DEVIATION",$C$1=1),$A658,$A658+1),COLUMN('1-DATA'!AH656)),IF($B658="STD. DEVIATION",2,$F$1))))</f>
        <v/>
      </c>
      <c r="AJ658" s="1" t="str">
        <f>IF(OR($B658="",AJ$7=""),"",IF($B658="MEANS",INDEX('1-DATA'!$1:$1048576,$A657-1,COLUMN('1-DATA'!AI656)),ROUND(INDEX('1-DATA'!$1:$1048576,IF(OR($B658="STD. DEVIATION",$C$1=1),$A658,$A658+1),COLUMN('1-DATA'!AI656)),IF($B658="STD. DEVIATION",2,$F$1))))</f>
        <v/>
      </c>
      <c r="AK658" s="1" t="str">
        <f>IF(OR($B658="",AK$7=""),"",IF($B658="MEANS",INDEX('1-DATA'!$1:$1048576,$A657-1,COLUMN('1-DATA'!AJ656)),ROUND(INDEX('1-DATA'!$1:$1048576,IF(OR($B658="STD. DEVIATION",$C$1=1),$A658,$A658+1),COLUMN('1-DATA'!AJ656)),IF($B658="STD. DEVIATION",2,$F$1))))</f>
        <v/>
      </c>
      <c r="AL658" s="1" t="str">
        <f>IF(OR($B658="",AL$7=""),"",IF($B658="MEANS",INDEX('1-DATA'!$1:$1048576,$A657-1,COLUMN('1-DATA'!AK656)),ROUND(INDEX('1-DATA'!$1:$1048576,IF(OR($B658="STD. DEVIATION",$C$1=1),$A658,$A658+1),COLUMN('1-DATA'!AK656)),IF($B658="STD. DEVIATION",2,$F$1))))</f>
        <v/>
      </c>
      <c r="AM658" s="1" t="str">
        <f>IF(OR($B658="",AM$7=""),"",IF($B658="MEANS",INDEX('1-DATA'!$1:$1048576,$A657-1,COLUMN('1-DATA'!AL656)),ROUND(INDEX('1-DATA'!$1:$1048576,IF(OR($B658="STD. DEVIATION",$C$1=1),$A658,$A658+1),COLUMN('1-DATA'!AL656)),IF($B658="STD. DEVIATION",2,$F$1))))</f>
        <v/>
      </c>
      <c r="AN658" s="1" t="str">
        <f>IF(OR($B658="",AN$7=""),"",IF($B658="MEANS",INDEX('1-DATA'!$1:$1048576,$A657-1,COLUMN('1-DATA'!AM656)),ROUND(INDEX('1-DATA'!$1:$1048576,IF(OR($B658="STD. DEVIATION",$C$1=1),$A658,$A658+1),COLUMN('1-DATA'!AM656)),IF($B658="STD. DEVIATION",2,$F$1))))</f>
        <v/>
      </c>
      <c r="AO658" s="1" t="str">
        <f>IF(OR($B658="",AO$7=""),"",IF($B658="MEANS",INDEX('1-DATA'!$1:$1048576,$A657-1,COLUMN('1-DATA'!AN656)),ROUND(INDEX('1-DATA'!$1:$1048576,IF(OR($B658="STD. DEVIATION",$C$1=1),$A658,$A658+1),COLUMN('1-DATA'!AN656)),IF($B658="STD. DEVIATION",2,$F$1))))</f>
        <v/>
      </c>
      <c r="AP658" s="1" t="str">
        <f>IF(OR($B658="",AP$7=""),"",IF($B658="MEANS",INDEX('1-DATA'!$1:$1048576,$A657-1,COLUMN('1-DATA'!AO656)),ROUND(INDEX('1-DATA'!$1:$1048576,IF(OR($B658="STD. DEVIATION",$C$1=1),$A658,$A658+1),COLUMN('1-DATA'!AO656)),IF($B658="STD. DEVIATION",2,$F$1))))</f>
        <v/>
      </c>
      <c r="AQ658" s="1" t="str">
        <f>IF(OR($B658="",AQ$7=""),"",IF($B658="MEANS",INDEX('1-DATA'!$1:$1048576,$A657-1,COLUMN('1-DATA'!AP656)),ROUND(INDEX('1-DATA'!$1:$1048576,IF(OR($B658="STD. DEVIATION",$C$1=1),$A658,$A658+1),COLUMN('1-DATA'!AP656)),IF($B658="STD. DEVIATION",2,$F$1))))</f>
        <v/>
      </c>
      <c r="AR658" s="1" t="str">
        <f>IF(OR($B658="",AR$7=""),"",IF($B658="MEANS",INDEX('1-DATA'!$1:$1048576,$A657-1,COLUMN('1-DATA'!AQ656)),ROUND(INDEX('1-DATA'!$1:$1048576,IF(OR($B658="STD. DEVIATION",$C$1=1),$A658,$A658+1),COLUMN('1-DATA'!AQ656)),IF($B658="STD. DEVIATION",2,$F$1))))</f>
        <v/>
      </c>
      <c r="AS658" s="1" t="str">
        <f>IF(OR($B658="",AS$7=""),"",IF($B658="MEANS",INDEX('1-DATA'!$1:$1048576,$A657-1,COLUMN('1-DATA'!AR656)),ROUND(INDEX('1-DATA'!$1:$1048576,IF(OR($B658="STD. DEVIATION",$C$1=1),$A658,$A658+1),COLUMN('1-DATA'!AR656)),IF($B658="STD. DEVIATION",2,$F$1))))</f>
        <v/>
      </c>
      <c r="AT658" s="1" t="str">
        <f>IF(OR($B658="",AT$7=""),"",IF($B658="MEANS",INDEX('1-DATA'!$1:$1048576,$A657-1,COLUMN('1-DATA'!AS656)),ROUND(INDEX('1-DATA'!$1:$1048576,IF(OR($B658="STD. DEVIATION",$C$1=1),$A658,$A658+1),COLUMN('1-DATA'!AS656)),IF($B658="STD. DEVIATION",2,$F$1))))</f>
        <v/>
      </c>
      <c r="AU658" s="1" t="str">
        <f>IF(OR($B658="",AU$7=""),"",IF($B658="MEANS",INDEX('1-DATA'!$1:$1048576,$A657-1,COLUMN('1-DATA'!AT656)),ROUND(INDEX('1-DATA'!$1:$1048576,IF(OR($B658="STD. DEVIATION",$C$1=1),$A658,$A658+1),COLUMN('1-DATA'!AT656)),IF($B658="STD. DEVIATION",2,$F$1))))</f>
        <v/>
      </c>
      <c r="AV658" s="1" t="str">
        <f>IF(OR($B658="",AV$7=""),"",IF($B658="MEANS",INDEX('1-DATA'!$1:$1048576,$A657-1,COLUMN('1-DATA'!AU656)),ROUND(INDEX('1-DATA'!$1:$1048576,IF(OR($B658="STD. DEVIATION",$C$1=1),$A658,$A658+1),COLUMN('1-DATA'!AU656)),IF($B658="STD. DEVIATION",2,$F$1))))</f>
        <v/>
      </c>
      <c r="AW658" s="1" t="str">
        <f>IF(OR($B658="",AW$7=""),"",IF($B658="MEANS",INDEX('1-DATA'!$1:$1048576,$A657-1,COLUMN('1-DATA'!AV656)),ROUND(INDEX('1-DATA'!$1:$1048576,IF(OR($B658="STD. DEVIATION",$C$1=1),$A658,$A658+1),COLUMN('1-DATA'!AV656)),IF($B658="STD. DEVIATION",2,$F$1))))</f>
        <v/>
      </c>
      <c r="AX658" s="1" t="str">
        <f>IF(OR($B658="",AX$7=""),"",IF($B658="MEANS",INDEX('1-DATA'!$1:$1048576,$A657-1,COLUMN('1-DATA'!AW656)),ROUND(INDEX('1-DATA'!$1:$1048576,IF(OR($B658="STD. DEVIATION",$C$1=1),$A658,$A658+1),COLUMN('1-DATA'!AW656)),IF($B658="STD. DEVIATION",2,$F$1))))</f>
        <v/>
      </c>
      <c r="AY658" s="1" t="str">
        <f>IF(OR($B658="",AY$7=""),"",IF($B658="MEANS",INDEX('1-DATA'!$1:$1048576,$A657-1,COLUMN('1-DATA'!AX656)),ROUND(INDEX('1-DATA'!$1:$1048576,IF(OR($B658="STD. DEVIATION",$C$1=1),$A658,$A658+1),COLUMN('1-DATA'!AX656)),IF($B658="STD. DEVIATION",2,$F$1))))</f>
        <v/>
      </c>
      <c r="AZ658" s="1" t="str">
        <f>IF(OR($B658="",AZ$7=""),"",IF($B658="MEANS",INDEX('1-DATA'!$1:$1048576,$A657-1,COLUMN('1-DATA'!AY656)),ROUND(INDEX('1-DATA'!$1:$1048576,IF(OR($B658="STD. DEVIATION",$C$1=1),$A658,$A658+1),COLUMN('1-DATA'!AY656)),IF($B658="STD. DEVIATION",2,$F$1))))</f>
        <v/>
      </c>
    </row>
    <row r="659" spans="1:52" x14ac:dyDescent="0.25">
      <c r="A659" s="11">
        <f t="shared" si="10"/>
        <v>1963</v>
      </c>
      <c r="B659" s="1" t="str">
        <f>IF(B658="STD. DEVIATION",INDEX('1-DATA'!$1:$1048576,$A658-1,1),IF(INDEX('1-DATA'!$1:$1048576,$A659,1)&lt;&gt;"",INDEX('1-DATA'!$1:$1048576,$A659,1),""))</f>
        <v/>
      </c>
      <c r="C659" s="1" t="str">
        <f>IF(OR($B659="",C$7=""),"",IF($B659="MEANS",INDEX('1-DATA'!$1:$1048576,$A658-1,COLUMN('1-DATA'!B657)),ROUND(INDEX('1-DATA'!$1:$1048576,IF(OR($B659="STD. DEVIATION",$C$1=1),$A659,$A659+1),COLUMN('1-DATA'!B657)),IF($B659="STD. DEVIATION",2,$F$1))))</f>
        <v/>
      </c>
      <c r="D659" s="1" t="str">
        <f>IF(OR($B659="",D$7=""),"",IF($B659="MEANS",INDEX('1-DATA'!$1:$1048576,$A658-1,COLUMN('1-DATA'!C657)),ROUND(INDEX('1-DATA'!$1:$1048576,IF(OR($B659="STD. DEVIATION",$C$1=1),$A659,$A659+1),COLUMN('1-DATA'!C657)),IF($B659="STD. DEVIATION",2,$F$1))))</f>
        <v/>
      </c>
      <c r="E659" s="1" t="str">
        <f>IF(OR($B659="",E$7=""),"",IF($B659="MEANS",INDEX('1-DATA'!$1:$1048576,$A658-1,COLUMN('1-DATA'!D657)),ROUND(INDEX('1-DATA'!$1:$1048576,IF(OR($B659="STD. DEVIATION",$C$1=1),$A659,$A659+1),COLUMN('1-DATA'!D657)),IF($B659="STD. DEVIATION",2,$F$1))))</f>
        <v/>
      </c>
      <c r="F659" s="1" t="str">
        <f>IF(OR($B659="",F$7=""),"",IF($B659="MEANS",INDEX('1-DATA'!$1:$1048576,$A658-1,COLUMN('1-DATA'!E657)),ROUND(INDEX('1-DATA'!$1:$1048576,IF(OR($B659="STD. DEVIATION",$C$1=1),$A659,$A659+1),COLUMN('1-DATA'!E657)),IF($B659="STD. DEVIATION",2,$F$1))))</f>
        <v/>
      </c>
      <c r="G659" s="1" t="str">
        <f>IF(OR($B659="",G$7=""),"",IF($B659="MEANS",INDEX('1-DATA'!$1:$1048576,$A658-1,COLUMN('1-DATA'!F657)),ROUND(INDEX('1-DATA'!$1:$1048576,IF(OR($B659="STD. DEVIATION",$C$1=1),$A659,$A659+1),COLUMN('1-DATA'!F657)),IF($B659="STD. DEVIATION",2,$F$1))))</f>
        <v/>
      </c>
      <c r="H659" s="1" t="str">
        <f>IF(OR($B659="",H$7=""),"",IF($B659="MEANS",INDEX('1-DATA'!$1:$1048576,$A658-1,COLUMN('1-DATA'!G657)),ROUND(INDEX('1-DATA'!$1:$1048576,IF(OR($B659="STD. DEVIATION",$C$1=1),$A659,$A659+1),COLUMN('1-DATA'!G657)),IF($B659="STD. DEVIATION",2,$F$1))))</f>
        <v/>
      </c>
      <c r="I659" s="1" t="str">
        <f>IF(OR($B659="",I$7=""),"",IF($B659="MEANS",INDEX('1-DATA'!$1:$1048576,$A658-1,COLUMN('1-DATA'!H657)),ROUND(INDEX('1-DATA'!$1:$1048576,IF(OR($B659="STD. DEVIATION",$C$1=1),$A659,$A659+1),COLUMN('1-DATA'!H657)),IF($B659="STD. DEVIATION",2,$F$1))))</f>
        <v/>
      </c>
      <c r="J659" s="1" t="str">
        <f>IF(OR($B659="",J$7=""),"",IF($B659="MEANS",INDEX('1-DATA'!$1:$1048576,$A658-1,COLUMN('1-DATA'!I657)),ROUND(INDEX('1-DATA'!$1:$1048576,IF(OR($B659="STD. DEVIATION",$C$1=1),$A659,$A659+1),COLUMN('1-DATA'!I657)),IF($B659="STD. DEVIATION",2,$F$1))))</f>
        <v/>
      </c>
      <c r="K659" s="1" t="str">
        <f>IF(OR($B659="",K$7=""),"",IF($B659="MEANS",INDEX('1-DATA'!$1:$1048576,$A658-1,COLUMN('1-DATA'!J657)),ROUND(INDEX('1-DATA'!$1:$1048576,IF(OR($B659="STD. DEVIATION",$C$1=1),$A659,$A659+1),COLUMN('1-DATA'!J657)),IF($B659="STD. DEVIATION",2,$F$1))))</f>
        <v/>
      </c>
      <c r="L659" s="1" t="str">
        <f>IF(OR($B659="",L$7=""),"",IF($B659="MEANS",INDEX('1-DATA'!$1:$1048576,$A658-1,COLUMN('1-DATA'!K657)),ROUND(INDEX('1-DATA'!$1:$1048576,IF(OR($B659="STD. DEVIATION",$C$1=1),$A659,$A659+1),COLUMN('1-DATA'!K657)),IF($B659="STD. DEVIATION",2,$F$1))))</f>
        <v/>
      </c>
      <c r="M659" s="1" t="str">
        <f>IF(OR($B659="",M$7=""),"",IF($B659="MEANS",INDEX('1-DATA'!$1:$1048576,$A658-1,COLUMN('1-DATA'!L657)),ROUND(INDEX('1-DATA'!$1:$1048576,IF(OR($B659="STD. DEVIATION",$C$1=1),$A659,$A659+1),COLUMN('1-DATA'!L657)),IF($B659="STD. DEVIATION",2,$F$1))))</f>
        <v/>
      </c>
      <c r="N659" s="1" t="str">
        <f>IF(OR($B659="",N$7=""),"",IF($B659="MEANS",INDEX('1-DATA'!$1:$1048576,$A658-1,COLUMN('1-DATA'!M657)),ROUND(INDEX('1-DATA'!$1:$1048576,IF(OR($B659="STD. DEVIATION",$C$1=1),$A659,$A659+1),COLUMN('1-DATA'!M657)),IF($B659="STD. DEVIATION",2,$F$1))))</f>
        <v/>
      </c>
      <c r="O659" s="1" t="str">
        <f>IF(OR($B659="",O$7=""),"",IF($B659="MEANS",INDEX('1-DATA'!$1:$1048576,$A658-1,COLUMN('1-DATA'!N657)),ROUND(INDEX('1-DATA'!$1:$1048576,IF(OR($B659="STD. DEVIATION",$C$1=1),$A659,$A659+1),COLUMN('1-DATA'!N657)),IF($B659="STD. DEVIATION",2,$F$1))))</f>
        <v/>
      </c>
      <c r="P659" s="1" t="str">
        <f>IF(OR($B659="",P$7=""),"",IF($B659="MEANS",INDEX('1-DATA'!$1:$1048576,$A658-1,COLUMN('1-DATA'!O657)),ROUND(INDEX('1-DATA'!$1:$1048576,IF(OR($B659="STD. DEVIATION",$C$1=1),$A659,$A659+1),COLUMN('1-DATA'!O657)),IF($B659="STD. DEVIATION",2,$F$1))))</f>
        <v/>
      </c>
      <c r="Q659" s="1" t="str">
        <f>IF(OR($B659="",Q$7=""),"",IF($B659="MEANS",INDEX('1-DATA'!$1:$1048576,$A658-1,COLUMN('1-DATA'!P657)),ROUND(INDEX('1-DATA'!$1:$1048576,IF(OR($B659="STD. DEVIATION",$C$1=1),$A659,$A659+1),COLUMN('1-DATA'!P657)),IF($B659="STD. DEVIATION",2,$F$1))))</f>
        <v/>
      </c>
      <c r="R659" s="1" t="str">
        <f>IF(OR($B659="",R$7=""),"",IF($B659="MEANS",INDEX('1-DATA'!$1:$1048576,$A658-1,COLUMN('1-DATA'!Q657)),ROUND(INDEX('1-DATA'!$1:$1048576,IF(OR($B659="STD. DEVIATION",$C$1=1),$A659,$A659+1),COLUMN('1-DATA'!Q657)),IF($B659="STD. DEVIATION",2,$F$1))))</f>
        <v/>
      </c>
      <c r="S659" s="1" t="str">
        <f>IF(OR($B659="",S$7=""),"",IF($B659="MEANS",INDEX('1-DATA'!$1:$1048576,$A658-1,COLUMN('1-DATA'!R657)),ROUND(INDEX('1-DATA'!$1:$1048576,IF(OR($B659="STD. DEVIATION",$C$1=1),$A659,$A659+1),COLUMN('1-DATA'!R657)),IF($B659="STD. DEVIATION",2,$F$1))))</f>
        <v/>
      </c>
      <c r="T659" s="1" t="str">
        <f>IF(OR($B659="",T$7=""),"",IF($B659="MEANS",INDEX('1-DATA'!$1:$1048576,$A658-1,COLUMN('1-DATA'!S657)),ROUND(INDEX('1-DATA'!$1:$1048576,IF(OR($B659="STD. DEVIATION",$C$1=1),$A659,$A659+1),COLUMN('1-DATA'!S657)),IF($B659="STD. DEVIATION",2,$F$1))))</f>
        <v/>
      </c>
      <c r="U659" s="1" t="str">
        <f>IF(OR($B659="",U$7=""),"",IF($B659="MEANS",INDEX('1-DATA'!$1:$1048576,$A658-1,COLUMN('1-DATA'!T657)),ROUND(INDEX('1-DATA'!$1:$1048576,IF(OR($B659="STD. DEVIATION",$C$1=1),$A659,$A659+1),COLUMN('1-DATA'!T657)),IF($B659="STD. DEVIATION",2,$F$1))))</f>
        <v/>
      </c>
      <c r="V659" s="1" t="str">
        <f>IF(OR($B659="",V$7=""),"",IF($B659="MEANS",INDEX('1-DATA'!$1:$1048576,$A658-1,COLUMN('1-DATA'!U657)),ROUND(INDEX('1-DATA'!$1:$1048576,IF(OR($B659="STD. DEVIATION",$C$1=1),$A659,$A659+1),COLUMN('1-DATA'!U657)),IF($B659="STD. DEVIATION",2,$F$1))))</f>
        <v/>
      </c>
      <c r="W659" s="1" t="str">
        <f>IF(OR($B659="",W$7=""),"",IF($B659="MEANS",INDEX('1-DATA'!$1:$1048576,$A658-1,COLUMN('1-DATA'!V657)),ROUND(INDEX('1-DATA'!$1:$1048576,IF(OR($B659="STD. DEVIATION",$C$1=1),$A659,$A659+1),COLUMN('1-DATA'!V657)),IF($B659="STD. DEVIATION",2,$F$1))))</f>
        <v/>
      </c>
      <c r="X659" s="1" t="str">
        <f>IF(OR($B659="",X$7=""),"",IF($B659="MEANS",INDEX('1-DATA'!$1:$1048576,$A658-1,COLUMN('1-DATA'!W657)),ROUND(INDEX('1-DATA'!$1:$1048576,IF(OR($B659="STD. DEVIATION",$C$1=1),$A659,$A659+1),COLUMN('1-DATA'!W657)),IF($B659="STD. DEVIATION",2,$F$1))))</f>
        <v/>
      </c>
      <c r="Y659" s="1" t="str">
        <f>IF(OR($B659="",Y$7=""),"",IF($B659="MEANS",INDEX('1-DATA'!$1:$1048576,$A658-1,COLUMN('1-DATA'!X657)),ROUND(INDEX('1-DATA'!$1:$1048576,IF(OR($B659="STD. DEVIATION",$C$1=1),$A659,$A659+1),COLUMN('1-DATA'!X657)),IF($B659="STD. DEVIATION",2,$F$1))))</f>
        <v/>
      </c>
      <c r="Z659" s="1" t="str">
        <f>IF(OR($B659="",Z$7=""),"",IF($B659="MEANS",INDEX('1-DATA'!$1:$1048576,$A658-1,COLUMN('1-DATA'!Y657)),ROUND(INDEX('1-DATA'!$1:$1048576,IF(OR($B659="STD. DEVIATION",$C$1=1),$A659,$A659+1),COLUMN('1-DATA'!Y657)),IF($B659="STD. DEVIATION",2,$F$1))))</f>
        <v/>
      </c>
      <c r="AA659" s="1" t="str">
        <f>IF(OR($B659="",AA$7=""),"",IF($B659="MEANS",INDEX('1-DATA'!$1:$1048576,$A658-1,COLUMN('1-DATA'!Z657)),ROUND(INDEX('1-DATA'!$1:$1048576,IF(OR($B659="STD. DEVIATION",$C$1=1),$A659,$A659+1),COLUMN('1-DATA'!Z657)),IF($B659="STD. DEVIATION",2,$F$1))))</f>
        <v/>
      </c>
      <c r="AB659" s="1" t="str">
        <f>IF(OR($B659="",AB$7=""),"",IF($B659="MEANS",INDEX('1-DATA'!$1:$1048576,$A658-1,COLUMN('1-DATA'!AA657)),ROUND(INDEX('1-DATA'!$1:$1048576,IF(OR($B659="STD. DEVIATION",$C$1=1),$A659,$A659+1),COLUMN('1-DATA'!AA657)),IF($B659="STD. DEVIATION",2,$F$1))))</f>
        <v/>
      </c>
      <c r="AC659" s="1" t="str">
        <f>IF(OR($B659="",AC$7=""),"",IF($B659="MEANS",INDEX('1-DATA'!$1:$1048576,$A658-1,COLUMN('1-DATA'!AB657)),ROUND(INDEX('1-DATA'!$1:$1048576,IF(OR($B659="STD. DEVIATION",$C$1=1),$A659,$A659+1),COLUMN('1-DATA'!AB657)),IF($B659="STD. DEVIATION",2,$F$1))))</f>
        <v/>
      </c>
      <c r="AD659" s="1" t="str">
        <f>IF(OR($B659="",AD$7=""),"",IF($B659="MEANS",INDEX('1-DATA'!$1:$1048576,$A658-1,COLUMN('1-DATA'!AC657)),ROUND(INDEX('1-DATA'!$1:$1048576,IF(OR($B659="STD. DEVIATION",$C$1=1),$A659,$A659+1),COLUMN('1-DATA'!AC657)),IF($B659="STD. DEVIATION",2,$F$1))))</f>
        <v/>
      </c>
      <c r="AE659" s="1" t="str">
        <f>IF(OR($B659="",AE$7=""),"",IF($B659="MEANS",INDEX('1-DATA'!$1:$1048576,$A658-1,COLUMN('1-DATA'!AD657)),ROUND(INDEX('1-DATA'!$1:$1048576,IF(OR($B659="STD. DEVIATION",$C$1=1),$A659,$A659+1),COLUMN('1-DATA'!AD657)),IF($B659="STD. DEVIATION",2,$F$1))))</f>
        <v/>
      </c>
      <c r="AF659" s="1" t="str">
        <f>IF(OR($B659="",AF$7=""),"",IF($B659="MEANS",INDEX('1-DATA'!$1:$1048576,$A658-1,COLUMN('1-DATA'!AE657)),ROUND(INDEX('1-DATA'!$1:$1048576,IF(OR($B659="STD. DEVIATION",$C$1=1),$A659,$A659+1),COLUMN('1-DATA'!AE657)),IF($B659="STD. DEVIATION",2,$F$1))))</f>
        <v/>
      </c>
      <c r="AG659" s="1" t="str">
        <f>IF(OR($B659="",AG$7=""),"",IF($B659="MEANS",INDEX('1-DATA'!$1:$1048576,$A658-1,COLUMN('1-DATA'!AF657)),ROUND(INDEX('1-DATA'!$1:$1048576,IF(OR($B659="STD. DEVIATION",$C$1=1),$A659,$A659+1),COLUMN('1-DATA'!AF657)),IF($B659="STD. DEVIATION",2,$F$1))))</f>
        <v/>
      </c>
      <c r="AH659" s="1" t="str">
        <f>IF(OR($B659="",AH$7=""),"",IF($B659="MEANS",INDEX('1-DATA'!$1:$1048576,$A658-1,COLUMN('1-DATA'!AG657)),ROUND(INDEX('1-DATA'!$1:$1048576,IF(OR($B659="STD. DEVIATION",$C$1=1),$A659,$A659+1),COLUMN('1-DATA'!AG657)),IF($B659="STD. DEVIATION",2,$F$1))))</f>
        <v/>
      </c>
      <c r="AI659" s="1" t="str">
        <f>IF(OR($B659="",AI$7=""),"",IF($B659="MEANS",INDEX('1-DATA'!$1:$1048576,$A658-1,COLUMN('1-DATA'!AH657)),ROUND(INDEX('1-DATA'!$1:$1048576,IF(OR($B659="STD. DEVIATION",$C$1=1),$A659,$A659+1),COLUMN('1-DATA'!AH657)),IF($B659="STD. DEVIATION",2,$F$1))))</f>
        <v/>
      </c>
      <c r="AJ659" s="1" t="str">
        <f>IF(OR($B659="",AJ$7=""),"",IF($B659="MEANS",INDEX('1-DATA'!$1:$1048576,$A658-1,COLUMN('1-DATA'!AI657)),ROUND(INDEX('1-DATA'!$1:$1048576,IF(OR($B659="STD. DEVIATION",$C$1=1),$A659,$A659+1),COLUMN('1-DATA'!AI657)),IF($B659="STD. DEVIATION",2,$F$1))))</f>
        <v/>
      </c>
      <c r="AK659" s="1" t="str">
        <f>IF(OR($B659="",AK$7=""),"",IF($B659="MEANS",INDEX('1-DATA'!$1:$1048576,$A658-1,COLUMN('1-DATA'!AJ657)),ROUND(INDEX('1-DATA'!$1:$1048576,IF(OR($B659="STD. DEVIATION",$C$1=1),$A659,$A659+1),COLUMN('1-DATA'!AJ657)),IF($B659="STD. DEVIATION",2,$F$1))))</f>
        <v/>
      </c>
      <c r="AL659" s="1" t="str">
        <f>IF(OR($B659="",AL$7=""),"",IF($B659="MEANS",INDEX('1-DATA'!$1:$1048576,$A658-1,COLUMN('1-DATA'!AK657)),ROUND(INDEX('1-DATA'!$1:$1048576,IF(OR($B659="STD. DEVIATION",$C$1=1),$A659,$A659+1),COLUMN('1-DATA'!AK657)),IF($B659="STD. DEVIATION",2,$F$1))))</f>
        <v/>
      </c>
      <c r="AM659" s="1" t="str">
        <f>IF(OR($B659="",AM$7=""),"",IF($B659="MEANS",INDEX('1-DATA'!$1:$1048576,$A658-1,COLUMN('1-DATA'!AL657)),ROUND(INDEX('1-DATA'!$1:$1048576,IF(OR($B659="STD. DEVIATION",$C$1=1),$A659,$A659+1),COLUMN('1-DATA'!AL657)),IF($B659="STD. DEVIATION",2,$F$1))))</f>
        <v/>
      </c>
      <c r="AN659" s="1" t="str">
        <f>IF(OR($B659="",AN$7=""),"",IF($B659="MEANS",INDEX('1-DATA'!$1:$1048576,$A658-1,COLUMN('1-DATA'!AM657)),ROUND(INDEX('1-DATA'!$1:$1048576,IF(OR($B659="STD. DEVIATION",$C$1=1),$A659,$A659+1),COLUMN('1-DATA'!AM657)),IF($B659="STD. DEVIATION",2,$F$1))))</f>
        <v/>
      </c>
      <c r="AO659" s="1" t="str">
        <f>IF(OR($B659="",AO$7=""),"",IF($B659="MEANS",INDEX('1-DATA'!$1:$1048576,$A658-1,COLUMN('1-DATA'!AN657)),ROUND(INDEX('1-DATA'!$1:$1048576,IF(OR($B659="STD. DEVIATION",$C$1=1),$A659,$A659+1),COLUMN('1-DATA'!AN657)),IF($B659="STD. DEVIATION",2,$F$1))))</f>
        <v/>
      </c>
      <c r="AP659" s="1" t="str">
        <f>IF(OR($B659="",AP$7=""),"",IF($B659="MEANS",INDEX('1-DATA'!$1:$1048576,$A658-1,COLUMN('1-DATA'!AO657)),ROUND(INDEX('1-DATA'!$1:$1048576,IF(OR($B659="STD. DEVIATION",$C$1=1),$A659,$A659+1),COLUMN('1-DATA'!AO657)),IF($B659="STD. DEVIATION",2,$F$1))))</f>
        <v/>
      </c>
      <c r="AQ659" s="1" t="str">
        <f>IF(OR($B659="",AQ$7=""),"",IF($B659="MEANS",INDEX('1-DATA'!$1:$1048576,$A658-1,COLUMN('1-DATA'!AP657)),ROUND(INDEX('1-DATA'!$1:$1048576,IF(OR($B659="STD. DEVIATION",$C$1=1),$A659,$A659+1),COLUMN('1-DATA'!AP657)),IF($B659="STD. DEVIATION",2,$F$1))))</f>
        <v/>
      </c>
      <c r="AR659" s="1" t="str">
        <f>IF(OR($B659="",AR$7=""),"",IF($B659="MEANS",INDEX('1-DATA'!$1:$1048576,$A658-1,COLUMN('1-DATA'!AQ657)),ROUND(INDEX('1-DATA'!$1:$1048576,IF(OR($B659="STD. DEVIATION",$C$1=1),$A659,$A659+1),COLUMN('1-DATA'!AQ657)),IF($B659="STD. DEVIATION",2,$F$1))))</f>
        <v/>
      </c>
      <c r="AS659" s="1" t="str">
        <f>IF(OR($B659="",AS$7=""),"",IF($B659="MEANS",INDEX('1-DATA'!$1:$1048576,$A658-1,COLUMN('1-DATA'!AR657)),ROUND(INDEX('1-DATA'!$1:$1048576,IF(OR($B659="STD. DEVIATION",$C$1=1),$A659,$A659+1),COLUMN('1-DATA'!AR657)),IF($B659="STD. DEVIATION",2,$F$1))))</f>
        <v/>
      </c>
      <c r="AT659" s="1" t="str">
        <f>IF(OR($B659="",AT$7=""),"",IF($B659="MEANS",INDEX('1-DATA'!$1:$1048576,$A658-1,COLUMN('1-DATA'!AS657)),ROUND(INDEX('1-DATA'!$1:$1048576,IF(OR($B659="STD. DEVIATION",$C$1=1),$A659,$A659+1),COLUMN('1-DATA'!AS657)),IF($B659="STD. DEVIATION",2,$F$1))))</f>
        <v/>
      </c>
      <c r="AU659" s="1" t="str">
        <f>IF(OR($B659="",AU$7=""),"",IF($B659="MEANS",INDEX('1-DATA'!$1:$1048576,$A658-1,COLUMN('1-DATA'!AT657)),ROUND(INDEX('1-DATA'!$1:$1048576,IF(OR($B659="STD. DEVIATION",$C$1=1),$A659,$A659+1),COLUMN('1-DATA'!AT657)),IF($B659="STD. DEVIATION",2,$F$1))))</f>
        <v/>
      </c>
      <c r="AV659" s="1" t="str">
        <f>IF(OR($B659="",AV$7=""),"",IF($B659="MEANS",INDEX('1-DATA'!$1:$1048576,$A658-1,COLUMN('1-DATA'!AU657)),ROUND(INDEX('1-DATA'!$1:$1048576,IF(OR($B659="STD. DEVIATION",$C$1=1),$A659,$A659+1),COLUMN('1-DATA'!AU657)),IF($B659="STD. DEVIATION",2,$F$1))))</f>
        <v/>
      </c>
      <c r="AW659" s="1" t="str">
        <f>IF(OR($B659="",AW$7=""),"",IF($B659="MEANS",INDEX('1-DATA'!$1:$1048576,$A658-1,COLUMN('1-DATA'!AV657)),ROUND(INDEX('1-DATA'!$1:$1048576,IF(OR($B659="STD. DEVIATION",$C$1=1),$A659,$A659+1),COLUMN('1-DATA'!AV657)),IF($B659="STD. DEVIATION",2,$F$1))))</f>
        <v/>
      </c>
      <c r="AX659" s="1" t="str">
        <f>IF(OR($B659="",AX$7=""),"",IF($B659="MEANS",INDEX('1-DATA'!$1:$1048576,$A658-1,COLUMN('1-DATA'!AW657)),ROUND(INDEX('1-DATA'!$1:$1048576,IF(OR($B659="STD. DEVIATION",$C$1=1),$A659,$A659+1),COLUMN('1-DATA'!AW657)),IF($B659="STD. DEVIATION",2,$F$1))))</f>
        <v/>
      </c>
      <c r="AY659" s="1" t="str">
        <f>IF(OR($B659="",AY$7=""),"",IF($B659="MEANS",INDEX('1-DATA'!$1:$1048576,$A658-1,COLUMN('1-DATA'!AX657)),ROUND(INDEX('1-DATA'!$1:$1048576,IF(OR($B659="STD. DEVIATION",$C$1=1),$A659,$A659+1),COLUMN('1-DATA'!AX657)),IF($B659="STD. DEVIATION",2,$F$1))))</f>
        <v/>
      </c>
      <c r="AZ659" s="1" t="str">
        <f>IF(OR($B659="",AZ$7=""),"",IF($B659="MEANS",INDEX('1-DATA'!$1:$1048576,$A658-1,COLUMN('1-DATA'!AY657)),ROUND(INDEX('1-DATA'!$1:$1048576,IF(OR($B659="STD. DEVIATION",$C$1=1),$A659,$A659+1),COLUMN('1-DATA'!AY657)),IF($B659="STD. DEVIATION",2,$F$1))))</f>
        <v/>
      </c>
    </row>
    <row r="660" spans="1:52" x14ac:dyDescent="0.25">
      <c r="A660" s="11">
        <f t="shared" si="10"/>
        <v>1966</v>
      </c>
      <c r="B660" s="1" t="str">
        <f>IF(B659="STD. DEVIATION",INDEX('1-DATA'!$1:$1048576,$A659-1,1),IF(INDEX('1-DATA'!$1:$1048576,$A660,1)&lt;&gt;"",INDEX('1-DATA'!$1:$1048576,$A660,1),""))</f>
        <v/>
      </c>
      <c r="C660" s="1" t="str">
        <f>IF(OR($B660="",C$7=""),"",IF($B660="MEANS",INDEX('1-DATA'!$1:$1048576,$A659-1,COLUMN('1-DATA'!B658)),ROUND(INDEX('1-DATA'!$1:$1048576,IF(OR($B660="STD. DEVIATION",$C$1=1),$A660,$A660+1),COLUMN('1-DATA'!B658)),IF($B660="STD. DEVIATION",2,$F$1))))</f>
        <v/>
      </c>
      <c r="D660" s="1" t="str">
        <f>IF(OR($B660="",D$7=""),"",IF($B660="MEANS",INDEX('1-DATA'!$1:$1048576,$A659-1,COLUMN('1-DATA'!C658)),ROUND(INDEX('1-DATA'!$1:$1048576,IF(OR($B660="STD. DEVIATION",$C$1=1),$A660,$A660+1),COLUMN('1-DATA'!C658)),IF($B660="STD. DEVIATION",2,$F$1))))</f>
        <v/>
      </c>
      <c r="E660" s="1" t="str">
        <f>IF(OR($B660="",E$7=""),"",IF($B660="MEANS",INDEX('1-DATA'!$1:$1048576,$A659-1,COLUMN('1-DATA'!D658)),ROUND(INDEX('1-DATA'!$1:$1048576,IF(OR($B660="STD. DEVIATION",$C$1=1),$A660,$A660+1),COLUMN('1-DATA'!D658)),IF($B660="STD. DEVIATION",2,$F$1))))</f>
        <v/>
      </c>
      <c r="F660" s="1" t="str">
        <f>IF(OR($B660="",F$7=""),"",IF($B660="MEANS",INDEX('1-DATA'!$1:$1048576,$A659-1,COLUMN('1-DATA'!E658)),ROUND(INDEX('1-DATA'!$1:$1048576,IF(OR($B660="STD. DEVIATION",$C$1=1),$A660,$A660+1),COLUMN('1-DATA'!E658)),IF($B660="STD. DEVIATION",2,$F$1))))</f>
        <v/>
      </c>
      <c r="G660" s="1" t="str">
        <f>IF(OR($B660="",G$7=""),"",IF($B660="MEANS",INDEX('1-DATA'!$1:$1048576,$A659-1,COLUMN('1-DATA'!F658)),ROUND(INDEX('1-DATA'!$1:$1048576,IF(OR($B660="STD. DEVIATION",$C$1=1),$A660,$A660+1),COLUMN('1-DATA'!F658)),IF($B660="STD. DEVIATION",2,$F$1))))</f>
        <v/>
      </c>
      <c r="H660" s="1" t="str">
        <f>IF(OR($B660="",H$7=""),"",IF($B660="MEANS",INDEX('1-DATA'!$1:$1048576,$A659-1,COLUMN('1-DATA'!G658)),ROUND(INDEX('1-DATA'!$1:$1048576,IF(OR($B660="STD. DEVIATION",$C$1=1),$A660,$A660+1),COLUMN('1-DATA'!G658)),IF($B660="STD. DEVIATION",2,$F$1))))</f>
        <v/>
      </c>
      <c r="I660" s="1" t="str">
        <f>IF(OR($B660="",I$7=""),"",IF($B660="MEANS",INDEX('1-DATA'!$1:$1048576,$A659-1,COLUMN('1-DATA'!H658)),ROUND(INDEX('1-DATA'!$1:$1048576,IF(OR($B660="STD. DEVIATION",$C$1=1),$A660,$A660+1),COLUMN('1-DATA'!H658)),IF($B660="STD. DEVIATION",2,$F$1))))</f>
        <v/>
      </c>
      <c r="J660" s="1" t="str">
        <f>IF(OR($B660="",J$7=""),"",IF($B660="MEANS",INDEX('1-DATA'!$1:$1048576,$A659-1,COLUMN('1-DATA'!I658)),ROUND(INDEX('1-DATA'!$1:$1048576,IF(OR($B660="STD. DEVIATION",$C$1=1),$A660,$A660+1),COLUMN('1-DATA'!I658)),IF($B660="STD. DEVIATION",2,$F$1))))</f>
        <v/>
      </c>
      <c r="K660" s="1" t="str">
        <f>IF(OR($B660="",K$7=""),"",IF($B660="MEANS",INDEX('1-DATA'!$1:$1048576,$A659-1,COLUMN('1-DATA'!J658)),ROUND(INDEX('1-DATA'!$1:$1048576,IF(OR($B660="STD. DEVIATION",$C$1=1),$A660,$A660+1),COLUMN('1-DATA'!J658)),IF($B660="STD. DEVIATION",2,$F$1))))</f>
        <v/>
      </c>
      <c r="L660" s="1" t="str">
        <f>IF(OR($B660="",L$7=""),"",IF($B660="MEANS",INDEX('1-DATA'!$1:$1048576,$A659-1,COLUMN('1-DATA'!K658)),ROUND(INDEX('1-DATA'!$1:$1048576,IF(OR($B660="STD. DEVIATION",$C$1=1),$A660,$A660+1),COLUMN('1-DATA'!K658)),IF($B660="STD. DEVIATION",2,$F$1))))</f>
        <v/>
      </c>
      <c r="M660" s="1" t="str">
        <f>IF(OR($B660="",M$7=""),"",IF($B660="MEANS",INDEX('1-DATA'!$1:$1048576,$A659-1,COLUMN('1-DATA'!L658)),ROUND(INDEX('1-DATA'!$1:$1048576,IF(OR($B660="STD. DEVIATION",$C$1=1),$A660,$A660+1),COLUMN('1-DATA'!L658)),IF($B660="STD. DEVIATION",2,$F$1))))</f>
        <v/>
      </c>
      <c r="N660" s="1" t="str">
        <f>IF(OR($B660="",N$7=""),"",IF($B660="MEANS",INDEX('1-DATA'!$1:$1048576,$A659-1,COLUMN('1-DATA'!M658)),ROUND(INDEX('1-DATA'!$1:$1048576,IF(OR($B660="STD. DEVIATION",$C$1=1),$A660,$A660+1),COLUMN('1-DATA'!M658)),IF($B660="STD. DEVIATION",2,$F$1))))</f>
        <v/>
      </c>
      <c r="O660" s="1" t="str">
        <f>IF(OR($B660="",O$7=""),"",IF($B660="MEANS",INDEX('1-DATA'!$1:$1048576,$A659-1,COLUMN('1-DATA'!N658)),ROUND(INDEX('1-DATA'!$1:$1048576,IF(OR($B660="STD. DEVIATION",$C$1=1),$A660,$A660+1),COLUMN('1-DATA'!N658)),IF($B660="STD. DEVIATION",2,$F$1))))</f>
        <v/>
      </c>
      <c r="P660" s="1" t="str">
        <f>IF(OR($B660="",P$7=""),"",IF($B660="MEANS",INDEX('1-DATA'!$1:$1048576,$A659-1,COLUMN('1-DATA'!O658)),ROUND(INDEX('1-DATA'!$1:$1048576,IF(OR($B660="STD. DEVIATION",$C$1=1),$A660,$A660+1),COLUMN('1-DATA'!O658)),IF($B660="STD. DEVIATION",2,$F$1))))</f>
        <v/>
      </c>
      <c r="Q660" s="1" t="str">
        <f>IF(OR($B660="",Q$7=""),"",IF($B660="MEANS",INDEX('1-DATA'!$1:$1048576,$A659-1,COLUMN('1-DATA'!P658)),ROUND(INDEX('1-DATA'!$1:$1048576,IF(OR($B660="STD. DEVIATION",$C$1=1),$A660,$A660+1),COLUMN('1-DATA'!P658)),IF($B660="STD. DEVIATION",2,$F$1))))</f>
        <v/>
      </c>
      <c r="R660" s="1" t="str">
        <f>IF(OR($B660="",R$7=""),"",IF($B660="MEANS",INDEX('1-DATA'!$1:$1048576,$A659-1,COLUMN('1-DATA'!Q658)),ROUND(INDEX('1-DATA'!$1:$1048576,IF(OR($B660="STD. DEVIATION",$C$1=1),$A660,$A660+1),COLUMN('1-DATA'!Q658)),IF($B660="STD. DEVIATION",2,$F$1))))</f>
        <v/>
      </c>
      <c r="S660" s="1" t="str">
        <f>IF(OR($B660="",S$7=""),"",IF($B660="MEANS",INDEX('1-DATA'!$1:$1048576,$A659-1,COLUMN('1-DATA'!R658)),ROUND(INDEX('1-DATA'!$1:$1048576,IF(OR($B660="STD. DEVIATION",$C$1=1),$A660,$A660+1),COLUMN('1-DATA'!R658)),IF($B660="STD. DEVIATION",2,$F$1))))</f>
        <v/>
      </c>
      <c r="T660" s="1" t="str">
        <f>IF(OR($B660="",T$7=""),"",IF($B660="MEANS",INDEX('1-DATA'!$1:$1048576,$A659-1,COLUMN('1-DATA'!S658)),ROUND(INDEX('1-DATA'!$1:$1048576,IF(OR($B660="STD. DEVIATION",$C$1=1),$A660,$A660+1),COLUMN('1-DATA'!S658)),IF($B660="STD. DEVIATION",2,$F$1))))</f>
        <v/>
      </c>
      <c r="U660" s="1" t="str">
        <f>IF(OR($B660="",U$7=""),"",IF($B660="MEANS",INDEX('1-DATA'!$1:$1048576,$A659-1,COLUMN('1-DATA'!T658)),ROUND(INDEX('1-DATA'!$1:$1048576,IF(OR($B660="STD. DEVIATION",$C$1=1),$A660,$A660+1),COLUMN('1-DATA'!T658)),IF($B660="STD. DEVIATION",2,$F$1))))</f>
        <v/>
      </c>
      <c r="V660" s="1" t="str">
        <f>IF(OR($B660="",V$7=""),"",IF($B660="MEANS",INDEX('1-DATA'!$1:$1048576,$A659-1,COLUMN('1-DATA'!U658)),ROUND(INDEX('1-DATA'!$1:$1048576,IF(OR($B660="STD. DEVIATION",$C$1=1),$A660,$A660+1),COLUMN('1-DATA'!U658)),IF($B660="STD. DEVIATION",2,$F$1))))</f>
        <v/>
      </c>
      <c r="W660" s="1" t="str">
        <f>IF(OR($B660="",W$7=""),"",IF($B660="MEANS",INDEX('1-DATA'!$1:$1048576,$A659-1,COLUMN('1-DATA'!V658)),ROUND(INDEX('1-DATA'!$1:$1048576,IF(OR($B660="STD. DEVIATION",$C$1=1),$A660,$A660+1),COLUMN('1-DATA'!V658)),IF($B660="STD. DEVIATION",2,$F$1))))</f>
        <v/>
      </c>
      <c r="X660" s="1" t="str">
        <f>IF(OR($B660="",X$7=""),"",IF($B660="MEANS",INDEX('1-DATA'!$1:$1048576,$A659-1,COLUMN('1-DATA'!W658)),ROUND(INDEX('1-DATA'!$1:$1048576,IF(OR($B660="STD. DEVIATION",$C$1=1),$A660,$A660+1),COLUMN('1-DATA'!W658)),IF($B660="STD. DEVIATION",2,$F$1))))</f>
        <v/>
      </c>
      <c r="Y660" s="1" t="str">
        <f>IF(OR($B660="",Y$7=""),"",IF($B660="MEANS",INDEX('1-DATA'!$1:$1048576,$A659-1,COLUMN('1-DATA'!X658)),ROUND(INDEX('1-DATA'!$1:$1048576,IF(OR($B660="STD. DEVIATION",$C$1=1),$A660,$A660+1),COLUMN('1-DATA'!X658)),IF($B660="STD. DEVIATION",2,$F$1))))</f>
        <v/>
      </c>
      <c r="Z660" s="1" t="str">
        <f>IF(OR($B660="",Z$7=""),"",IF($B660="MEANS",INDEX('1-DATA'!$1:$1048576,$A659-1,COLUMN('1-DATA'!Y658)),ROUND(INDEX('1-DATA'!$1:$1048576,IF(OR($B660="STD. DEVIATION",$C$1=1),$A660,$A660+1),COLUMN('1-DATA'!Y658)),IF($B660="STD. DEVIATION",2,$F$1))))</f>
        <v/>
      </c>
      <c r="AA660" s="1" t="str">
        <f>IF(OR($B660="",AA$7=""),"",IF($B660="MEANS",INDEX('1-DATA'!$1:$1048576,$A659-1,COLUMN('1-DATA'!Z658)),ROUND(INDEX('1-DATA'!$1:$1048576,IF(OR($B660="STD. DEVIATION",$C$1=1),$A660,$A660+1),COLUMN('1-DATA'!Z658)),IF($B660="STD. DEVIATION",2,$F$1))))</f>
        <v/>
      </c>
      <c r="AB660" s="1" t="str">
        <f>IF(OR($B660="",AB$7=""),"",IF($B660="MEANS",INDEX('1-DATA'!$1:$1048576,$A659-1,COLUMN('1-DATA'!AA658)),ROUND(INDEX('1-DATA'!$1:$1048576,IF(OR($B660="STD. DEVIATION",$C$1=1),$A660,$A660+1),COLUMN('1-DATA'!AA658)),IF($B660="STD. DEVIATION",2,$F$1))))</f>
        <v/>
      </c>
      <c r="AC660" s="1" t="str">
        <f>IF(OR($B660="",AC$7=""),"",IF($B660="MEANS",INDEX('1-DATA'!$1:$1048576,$A659-1,COLUMN('1-DATA'!AB658)),ROUND(INDEX('1-DATA'!$1:$1048576,IF(OR($B660="STD. DEVIATION",$C$1=1),$A660,$A660+1),COLUMN('1-DATA'!AB658)),IF($B660="STD. DEVIATION",2,$F$1))))</f>
        <v/>
      </c>
      <c r="AD660" s="1" t="str">
        <f>IF(OR($B660="",AD$7=""),"",IF($B660="MEANS",INDEX('1-DATA'!$1:$1048576,$A659-1,COLUMN('1-DATA'!AC658)),ROUND(INDEX('1-DATA'!$1:$1048576,IF(OR($B660="STD. DEVIATION",$C$1=1),$A660,$A660+1),COLUMN('1-DATA'!AC658)),IF($B660="STD. DEVIATION",2,$F$1))))</f>
        <v/>
      </c>
      <c r="AE660" s="1" t="str">
        <f>IF(OR($B660="",AE$7=""),"",IF($B660="MEANS",INDEX('1-DATA'!$1:$1048576,$A659-1,COLUMN('1-DATA'!AD658)),ROUND(INDEX('1-DATA'!$1:$1048576,IF(OR($B660="STD. DEVIATION",$C$1=1),$A660,$A660+1),COLUMN('1-DATA'!AD658)),IF($B660="STD. DEVIATION",2,$F$1))))</f>
        <v/>
      </c>
      <c r="AF660" s="1" t="str">
        <f>IF(OR($B660="",AF$7=""),"",IF($B660="MEANS",INDEX('1-DATA'!$1:$1048576,$A659-1,COLUMN('1-DATA'!AE658)),ROUND(INDEX('1-DATA'!$1:$1048576,IF(OR($B660="STD. DEVIATION",$C$1=1),$A660,$A660+1),COLUMN('1-DATA'!AE658)),IF($B660="STD. DEVIATION",2,$F$1))))</f>
        <v/>
      </c>
      <c r="AG660" s="1" t="str">
        <f>IF(OR($B660="",AG$7=""),"",IF($B660="MEANS",INDEX('1-DATA'!$1:$1048576,$A659-1,COLUMN('1-DATA'!AF658)),ROUND(INDEX('1-DATA'!$1:$1048576,IF(OR($B660="STD. DEVIATION",$C$1=1),$A660,$A660+1),COLUMN('1-DATA'!AF658)),IF($B660="STD. DEVIATION",2,$F$1))))</f>
        <v/>
      </c>
      <c r="AH660" s="1" t="str">
        <f>IF(OR($B660="",AH$7=""),"",IF($B660="MEANS",INDEX('1-DATA'!$1:$1048576,$A659-1,COLUMN('1-DATA'!AG658)),ROUND(INDEX('1-DATA'!$1:$1048576,IF(OR($B660="STD. DEVIATION",$C$1=1),$A660,$A660+1),COLUMN('1-DATA'!AG658)),IF($B660="STD. DEVIATION",2,$F$1))))</f>
        <v/>
      </c>
      <c r="AI660" s="1" t="str">
        <f>IF(OR($B660="",AI$7=""),"",IF($B660="MEANS",INDEX('1-DATA'!$1:$1048576,$A659-1,COLUMN('1-DATA'!AH658)),ROUND(INDEX('1-DATA'!$1:$1048576,IF(OR($B660="STD. DEVIATION",$C$1=1),$A660,$A660+1),COLUMN('1-DATA'!AH658)),IF($B660="STD. DEVIATION",2,$F$1))))</f>
        <v/>
      </c>
      <c r="AJ660" s="1" t="str">
        <f>IF(OR($B660="",AJ$7=""),"",IF($B660="MEANS",INDEX('1-DATA'!$1:$1048576,$A659-1,COLUMN('1-DATA'!AI658)),ROUND(INDEX('1-DATA'!$1:$1048576,IF(OR($B660="STD. DEVIATION",$C$1=1),$A660,$A660+1),COLUMN('1-DATA'!AI658)),IF($B660="STD. DEVIATION",2,$F$1))))</f>
        <v/>
      </c>
      <c r="AK660" s="1" t="str">
        <f>IF(OR($B660="",AK$7=""),"",IF($B660="MEANS",INDEX('1-DATA'!$1:$1048576,$A659-1,COLUMN('1-DATA'!AJ658)),ROUND(INDEX('1-DATA'!$1:$1048576,IF(OR($B660="STD. DEVIATION",$C$1=1),$A660,$A660+1),COLUMN('1-DATA'!AJ658)),IF($B660="STD. DEVIATION",2,$F$1))))</f>
        <v/>
      </c>
      <c r="AL660" s="1" t="str">
        <f>IF(OR($B660="",AL$7=""),"",IF($B660="MEANS",INDEX('1-DATA'!$1:$1048576,$A659-1,COLUMN('1-DATA'!AK658)),ROUND(INDEX('1-DATA'!$1:$1048576,IF(OR($B660="STD. DEVIATION",$C$1=1),$A660,$A660+1),COLUMN('1-DATA'!AK658)),IF($B660="STD. DEVIATION",2,$F$1))))</f>
        <v/>
      </c>
      <c r="AM660" s="1" t="str">
        <f>IF(OR($B660="",AM$7=""),"",IF($B660="MEANS",INDEX('1-DATA'!$1:$1048576,$A659-1,COLUMN('1-DATA'!AL658)),ROUND(INDEX('1-DATA'!$1:$1048576,IF(OR($B660="STD. DEVIATION",$C$1=1),$A660,$A660+1),COLUMN('1-DATA'!AL658)),IF($B660="STD. DEVIATION",2,$F$1))))</f>
        <v/>
      </c>
      <c r="AN660" s="1" t="str">
        <f>IF(OR($B660="",AN$7=""),"",IF($B660="MEANS",INDEX('1-DATA'!$1:$1048576,$A659-1,COLUMN('1-DATA'!AM658)),ROUND(INDEX('1-DATA'!$1:$1048576,IF(OR($B660="STD. DEVIATION",$C$1=1),$A660,$A660+1),COLUMN('1-DATA'!AM658)),IF($B660="STD. DEVIATION",2,$F$1))))</f>
        <v/>
      </c>
      <c r="AO660" s="1" t="str">
        <f>IF(OR($B660="",AO$7=""),"",IF($B660="MEANS",INDEX('1-DATA'!$1:$1048576,$A659-1,COLUMN('1-DATA'!AN658)),ROUND(INDEX('1-DATA'!$1:$1048576,IF(OR($B660="STD. DEVIATION",$C$1=1),$A660,$A660+1),COLUMN('1-DATA'!AN658)),IF($B660="STD. DEVIATION",2,$F$1))))</f>
        <v/>
      </c>
      <c r="AP660" s="1" t="str">
        <f>IF(OR($B660="",AP$7=""),"",IF($B660="MEANS",INDEX('1-DATA'!$1:$1048576,$A659-1,COLUMN('1-DATA'!AO658)),ROUND(INDEX('1-DATA'!$1:$1048576,IF(OR($B660="STD. DEVIATION",$C$1=1),$A660,$A660+1),COLUMN('1-DATA'!AO658)),IF($B660="STD. DEVIATION",2,$F$1))))</f>
        <v/>
      </c>
      <c r="AQ660" s="1" t="str">
        <f>IF(OR($B660="",AQ$7=""),"",IF($B660="MEANS",INDEX('1-DATA'!$1:$1048576,$A659-1,COLUMN('1-DATA'!AP658)),ROUND(INDEX('1-DATA'!$1:$1048576,IF(OR($B660="STD. DEVIATION",$C$1=1),$A660,$A660+1),COLUMN('1-DATA'!AP658)),IF($B660="STD. DEVIATION",2,$F$1))))</f>
        <v/>
      </c>
      <c r="AR660" s="1" t="str">
        <f>IF(OR($B660="",AR$7=""),"",IF($B660="MEANS",INDEX('1-DATA'!$1:$1048576,$A659-1,COLUMN('1-DATA'!AQ658)),ROUND(INDEX('1-DATA'!$1:$1048576,IF(OR($B660="STD. DEVIATION",$C$1=1),$A660,$A660+1),COLUMN('1-DATA'!AQ658)),IF($B660="STD. DEVIATION",2,$F$1))))</f>
        <v/>
      </c>
      <c r="AS660" s="1" t="str">
        <f>IF(OR($B660="",AS$7=""),"",IF($B660="MEANS",INDEX('1-DATA'!$1:$1048576,$A659-1,COLUMN('1-DATA'!AR658)),ROUND(INDEX('1-DATA'!$1:$1048576,IF(OR($B660="STD. DEVIATION",$C$1=1),$A660,$A660+1),COLUMN('1-DATA'!AR658)),IF($B660="STD. DEVIATION",2,$F$1))))</f>
        <v/>
      </c>
      <c r="AT660" s="1" t="str">
        <f>IF(OR($B660="",AT$7=""),"",IF($B660="MEANS",INDEX('1-DATA'!$1:$1048576,$A659-1,COLUMN('1-DATA'!AS658)),ROUND(INDEX('1-DATA'!$1:$1048576,IF(OR($B660="STD. DEVIATION",$C$1=1),$A660,$A660+1),COLUMN('1-DATA'!AS658)),IF($B660="STD. DEVIATION",2,$F$1))))</f>
        <v/>
      </c>
      <c r="AU660" s="1" t="str">
        <f>IF(OR($B660="",AU$7=""),"",IF($B660="MEANS",INDEX('1-DATA'!$1:$1048576,$A659-1,COLUMN('1-DATA'!AT658)),ROUND(INDEX('1-DATA'!$1:$1048576,IF(OR($B660="STD. DEVIATION",$C$1=1),$A660,$A660+1),COLUMN('1-DATA'!AT658)),IF($B660="STD. DEVIATION",2,$F$1))))</f>
        <v/>
      </c>
      <c r="AV660" s="1" t="str">
        <f>IF(OR($B660="",AV$7=""),"",IF($B660="MEANS",INDEX('1-DATA'!$1:$1048576,$A659-1,COLUMN('1-DATA'!AU658)),ROUND(INDEX('1-DATA'!$1:$1048576,IF(OR($B660="STD. DEVIATION",$C$1=1),$A660,$A660+1),COLUMN('1-DATA'!AU658)),IF($B660="STD. DEVIATION",2,$F$1))))</f>
        <v/>
      </c>
      <c r="AW660" s="1" t="str">
        <f>IF(OR($B660="",AW$7=""),"",IF($B660="MEANS",INDEX('1-DATA'!$1:$1048576,$A659-1,COLUMN('1-DATA'!AV658)),ROUND(INDEX('1-DATA'!$1:$1048576,IF(OR($B660="STD. DEVIATION",$C$1=1),$A660,$A660+1),COLUMN('1-DATA'!AV658)),IF($B660="STD. DEVIATION",2,$F$1))))</f>
        <v/>
      </c>
      <c r="AX660" s="1" t="str">
        <f>IF(OR($B660="",AX$7=""),"",IF($B660="MEANS",INDEX('1-DATA'!$1:$1048576,$A659-1,COLUMN('1-DATA'!AW658)),ROUND(INDEX('1-DATA'!$1:$1048576,IF(OR($B660="STD. DEVIATION",$C$1=1),$A660,$A660+1),COLUMN('1-DATA'!AW658)),IF($B660="STD. DEVIATION",2,$F$1))))</f>
        <v/>
      </c>
      <c r="AY660" s="1" t="str">
        <f>IF(OR($B660="",AY$7=""),"",IF($B660="MEANS",INDEX('1-DATA'!$1:$1048576,$A659-1,COLUMN('1-DATA'!AX658)),ROUND(INDEX('1-DATA'!$1:$1048576,IF(OR($B660="STD. DEVIATION",$C$1=1),$A660,$A660+1),COLUMN('1-DATA'!AX658)),IF($B660="STD. DEVIATION",2,$F$1))))</f>
        <v/>
      </c>
      <c r="AZ660" s="1" t="str">
        <f>IF(OR($B660="",AZ$7=""),"",IF($B660="MEANS",INDEX('1-DATA'!$1:$1048576,$A659-1,COLUMN('1-DATA'!AY658)),ROUND(INDEX('1-DATA'!$1:$1048576,IF(OR($B660="STD. DEVIATION",$C$1=1),$A660,$A660+1),COLUMN('1-DATA'!AY658)),IF($B660="STD. DEVIATION",2,$F$1))))</f>
        <v/>
      </c>
    </row>
    <row r="661" spans="1:52" x14ac:dyDescent="0.25">
      <c r="A661" s="11">
        <f t="shared" si="10"/>
        <v>1969</v>
      </c>
      <c r="B661" s="1" t="str">
        <f>IF(B660="STD. DEVIATION",INDEX('1-DATA'!$1:$1048576,$A660-1,1),IF(INDEX('1-DATA'!$1:$1048576,$A661,1)&lt;&gt;"",INDEX('1-DATA'!$1:$1048576,$A661,1),""))</f>
        <v/>
      </c>
      <c r="C661" s="1" t="str">
        <f>IF(OR($B661="",C$7=""),"",IF($B661="MEANS",INDEX('1-DATA'!$1:$1048576,$A660-1,COLUMN('1-DATA'!B659)),ROUND(INDEX('1-DATA'!$1:$1048576,IF(OR($B661="STD. DEVIATION",$C$1=1),$A661,$A661+1),COLUMN('1-DATA'!B659)),IF($B661="STD. DEVIATION",2,$F$1))))</f>
        <v/>
      </c>
      <c r="D661" s="1" t="str">
        <f>IF(OR($B661="",D$7=""),"",IF($B661="MEANS",INDEX('1-DATA'!$1:$1048576,$A660-1,COLUMN('1-DATA'!C659)),ROUND(INDEX('1-DATA'!$1:$1048576,IF(OR($B661="STD. DEVIATION",$C$1=1),$A661,$A661+1),COLUMN('1-DATA'!C659)),IF($B661="STD. DEVIATION",2,$F$1))))</f>
        <v/>
      </c>
      <c r="E661" s="1" t="str">
        <f>IF(OR($B661="",E$7=""),"",IF($B661="MEANS",INDEX('1-DATA'!$1:$1048576,$A660-1,COLUMN('1-DATA'!D659)),ROUND(INDEX('1-DATA'!$1:$1048576,IF(OR($B661="STD. DEVIATION",$C$1=1),$A661,$A661+1),COLUMN('1-DATA'!D659)),IF($B661="STD. DEVIATION",2,$F$1))))</f>
        <v/>
      </c>
      <c r="F661" s="1" t="str">
        <f>IF(OR($B661="",F$7=""),"",IF($B661="MEANS",INDEX('1-DATA'!$1:$1048576,$A660-1,COLUMN('1-DATA'!E659)),ROUND(INDEX('1-DATA'!$1:$1048576,IF(OR($B661="STD. DEVIATION",$C$1=1),$A661,$A661+1),COLUMN('1-DATA'!E659)),IF($B661="STD. DEVIATION",2,$F$1))))</f>
        <v/>
      </c>
      <c r="G661" s="1" t="str">
        <f>IF(OR($B661="",G$7=""),"",IF($B661="MEANS",INDEX('1-DATA'!$1:$1048576,$A660-1,COLUMN('1-DATA'!F659)),ROUND(INDEX('1-DATA'!$1:$1048576,IF(OR($B661="STD. DEVIATION",$C$1=1),$A661,$A661+1),COLUMN('1-DATA'!F659)),IF($B661="STD. DEVIATION",2,$F$1))))</f>
        <v/>
      </c>
      <c r="H661" s="1" t="str">
        <f>IF(OR($B661="",H$7=""),"",IF($B661="MEANS",INDEX('1-DATA'!$1:$1048576,$A660-1,COLUMN('1-DATA'!G659)),ROUND(INDEX('1-DATA'!$1:$1048576,IF(OR($B661="STD. DEVIATION",$C$1=1),$A661,$A661+1),COLUMN('1-DATA'!G659)),IF($B661="STD. DEVIATION",2,$F$1))))</f>
        <v/>
      </c>
      <c r="I661" s="1" t="str">
        <f>IF(OR($B661="",I$7=""),"",IF($B661="MEANS",INDEX('1-DATA'!$1:$1048576,$A660-1,COLUMN('1-DATA'!H659)),ROUND(INDEX('1-DATA'!$1:$1048576,IF(OR($B661="STD. DEVIATION",$C$1=1),$A661,$A661+1),COLUMN('1-DATA'!H659)),IF($B661="STD. DEVIATION",2,$F$1))))</f>
        <v/>
      </c>
      <c r="J661" s="1" t="str">
        <f>IF(OR($B661="",J$7=""),"",IF($B661="MEANS",INDEX('1-DATA'!$1:$1048576,$A660-1,COLUMN('1-DATA'!I659)),ROUND(INDEX('1-DATA'!$1:$1048576,IF(OR($B661="STD. DEVIATION",$C$1=1),$A661,$A661+1),COLUMN('1-DATA'!I659)),IF($B661="STD. DEVIATION",2,$F$1))))</f>
        <v/>
      </c>
      <c r="K661" s="1" t="str">
        <f>IF(OR($B661="",K$7=""),"",IF($B661="MEANS",INDEX('1-DATA'!$1:$1048576,$A660-1,COLUMN('1-DATA'!J659)),ROUND(INDEX('1-DATA'!$1:$1048576,IF(OR($B661="STD. DEVIATION",$C$1=1),$A661,$A661+1),COLUMN('1-DATA'!J659)),IF($B661="STD. DEVIATION",2,$F$1))))</f>
        <v/>
      </c>
      <c r="L661" s="1" t="str">
        <f>IF(OR($B661="",L$7=""),"",IF($B661="MEANS",INDEX('1-DATA'!$1:$1048576,$A660-1,COLUMN('1-DATA'!K659)),ROUND(INDEX('1-DATA'!$1:$1048576,IF(OR($B661="STD. DEVIATION",$C$1=1),$A661,$A661+1),COLUMN('1-DATA'!K659)),IF($B661="STD. DEVIATION",2,$F$1))))</f>
        <v/>
      </c>
      <c r="M661" s="1" t="str">
        <f>IF(OR($B661="",M$7=""),"",IF($B661="MEANS",INDEX('1-DATA'!$1:$1048576,$A660-1,COLUMN('1-DATA'!L659)),ROUND(INDEX('1-DATA'!$1:$1048576,IF(OR($B661="STD. DEVIATION",$C$1=1),$A661,$A661+1),COLUMN('1-DATA'!L659)),IF($B661="STD. DEVIATION",2,$F$1))))</f>
        <v/>
      </c>
      <c r="N661" s="1" t="str">
        <f>IF(OR($B661="",N$7=""),"",IF($B661="MEANS",INDEX('1-DATA'!$1:$1048576,$A660-1,COLUMN('1-DATA'!M659)),ROUND(INDEX('1-DATA'!$1:$1048576,IF(OR($B661="STD. DEVIATION",$C$1=1),$A661,$A661+1),COLUMN('1-DATA'!M659)),IF($B661="STD. DEVIATION",2,$F$1))))</f>
        <v/>
      </c>
      <c r="O661" s="1" t="str">
        <f>IF(OR($B661="",O$7=""),"",IF($B661="MEANS",INDEX('1-DATA'!$1:$1048576,$A660-1,COLUMN('1-DATA'!N659)),ROUND(INDEX('1-DATA'!$1:$1048576,IF(OR($B661="STD. DEVIATION",$C$1=1),$A661,$A661+1),COLUMN('1-DATA'!N659)),IF($B661="STD. DEVIATION",2,$F$1))))</f>
        <v/>
      </c>
      <c r="P661" s="1" t="str">
        <f>IF(OR($B661="",P$7=""),"",IF($B661="MEANS",INDEX('1-DATA'!$1:$1048576,$A660-1,COLUMN('1-DATA'!O659)),ROUND(INDEX('1-DATA'!$1:$1048576,IF(OR($B661="STD. DEVIATION",$C$1=1),$A661,$A661+1),COLUMN('1-DATA'!O659)),IF($B661="STD. DEVIATION",2,$F$1))))</f>
        <v/>
      </c>
      <c r="Q661" s="1" t="str">
        <f>IF(OR($B661="",Q$7=""),"",IF($B661="MEANS",INDEX('1-DATA'!$1:$1048576,$A660-1,COLUMN('1-DATA'!P659)),ROUND(INDEX('1-DATA'!$1:$1048576,IF(OR($B661="STD. DEVIATION",$C$1=1),$A661,$A661+1),COLUMN('1-DATA'!P659)),IF($B661="STD. DEVIATION",2,$F$1))))</f>
        <v/>
      </c>
      <c r="R661" s="1" t="str">
        <f>IF(OR($B661="",R$7=""),"",IF($B661="MEANS",INDEX('1-DATA'!$1:$1048576,$A660-1,COLUMN('1-DATA'!Q659)),ROUND(INDEX('1-DATA'!$1:$1048576,IF(OR($B661="STD. DEVIATION",$C$1=1),$A661,$A661+1),COLUMN('1-DATA'!Q659)),IF($B661="STD. DEVIATION",2,$F$1))))</f>
        <v/>
      </c>
      <c r="S661" s="1" t="str">
        <f>IF(OR($B661="",S$7=""),"",IF($B661="MEANS",INDEX('1-DATA'!$1:$1048576,$A660-1,COLUMN('1-DATA'!R659)),ROUND(INDEX('1-DATA'!$1:$1048576,IF(OR($B661="STD. DEVIATION",$C$1=1),$A661,$A661+1),COLUMN('1-DATA'!R659)),IF($B661="STD. DEVIATION",2,$F$1))))</f>
        <v/>
      </c>
      <c r="T661" s="1" t="str">
        <f>IF(OR($B661="",T$7=""),"",IF($B661="MEANS",INDEX('1-DATA'!$1:$1048576,$A660-1,COLUMN('1-DATA'!S659)),ROUND(INDEX('1-DATA'!$1:$1048576,IF(OR($B661="STD. DEVIATION",$C$1=1),$A661,$A661+1),COLUMN('1-DATA'!S659)),IF($B661="STD. DEVIATION",2,$F$1))))</f>
        <v/>
      </c>
      <c r="U661" s="1" t="str">
        <f>IF(OR($B661="",U$7=""),"",IF($B661="MEANS",INDEX('1-DATA'!$1:$1048576,$A660-1,COLUMN('1-DATA'!T659)),ROUND(INDEX('1-DATA'!$1:$1048576,IF(OR($B661="STD. DEVIATION",$C$1=1),$A661,$A661+1),COLUMN('1-DATA'!T659)),IF($B661="STD. DEVIATION",2,$F$1))))</f>
        <v/>
      </c>
      <c r="V661" s="1" t="str">
        <f>IF(OR($B661="",V$7=""),"",IF($B661="MEANS",INDEX('1-DATA'!$1:$1048576,$A660-1,COLUMN('1-DATA'!U659)),ROUND(INDEX('1-DATA'!$1:$1048576,IF(OR($B661="STD. DEVIATION",$C$1=1),$A661,$A661+1),COLUMN('1-DATA'!U659)),IF($B661="STD. DEVIATION",2,$F$1))))</f>
        <v/>
      </c>
      <c r="W661" s="1" t="str">
        <f>IF(OR($B661="",W$7=""),"",IF($B661="MEANS",INDEX('1-DATA'!$1:$1048576,$A660-1,COLUMN('1-DATA'!V659)),ROUND(INDEX('1-DATA'!$1:$1048576,IF(OR($B661="STD. DEVIATION",$C$1=1),$A661,$A661+1),COLUMN('1-DATA'!V659)),IF($B661="STD. DEVIATION",2,$F$1))))</f>
        <v/>
      </c>
      <c r="X661" s="1" t="str">
        <f>IF(OR($B661="",X$7=""),"",IF($B661="MEANS",INDEX('1-DATA'!$1:$1048576,$A660-1,COLUMN('1-DATA'!W659)),ROUND(INDEX('1-DATA'!$1:$1048576,IF(OR($B661="STD. DEVIATION",$C$1=1),$A661,$A661+1),COLUMN('1-DATA'!W659)),IF($B661="STD. DEVIATION",2,$F$1))))</f>
        <v/>
      </c>
      <c r="Y661" s="1" t="str">
        <f>IF(OR($B661="",Y$7=""),"",IF($B661="MEANS",INDEX('1-DATA'!$1:$1048576,$A660-1,COLUMN('1-DATA'!X659)),ROUND(INDEX('1-DATA'!$1:$1048576,IF(OR($B661="STD. DEVIATION",$C$1=1),$A661,$A661+1),COLUMN('1-DATA'!X659)),IF($B661="STD. DEVIATION",2,$F$1))))</f>
        <v/>
      </c>
      <c r="Z661" s="1" t="str">
        <f>IF(OR($B661="",Z$7=""),"",IF($B661="MEANS",INDEX('1-DATA'!$1:$1048576,$A660-1,COLUMN('1-DATA'!Y659)),ROUND(INDEX('1-DATA'!$1:$1048576,IF(OR($B661="STD. DEVIATION",$C$1=1),$A661,$A661+1),COLUMN('1-DATA'!Y659)),IF($B661="STD. DEVIATION",2,$F$1))))</f>
        <v/>
      </c>
      <c r="AA661" s="1" t="str">
        <f>IF(OR($B661="",AA$7=""),"",IF($B661="MEANS",INDEX('1-DATA'!$1:$1048576,$A660-1,COLUMN('1-DATA'!Z659)),ROUND(INDEX('1-DATA'!$1:$1048576,IF(OR($B661="STD. DEVIATION",$C$1=1),$A661,$A661+1),COLUMN('1-DATA'!Z659)),IF($B661="STD. DEVIATION",2,$F$1))))</f>
        <v/>
      </c>
      <c r="AB661" s="1" t="str">
        <f>IF(OR($B661="",AB$7=""),"",IF($B661="MEANS",INDEX('1-DATA'!$1:$1048576,$A660-1,COLUMN('1-DATA'!AA659)),ROUND(INDEX('1-DATA'!$1:$1048576,IF(OR($B661="STD. DEVIATION",$C$1=1),$A661,$A661+1),COLUMN('1-DATA'!AA659)),IF($B661="STD. DEVIATION",2,$F$1))))</f>
        <v/>
      </c>
      <c r="AC661" s="1" t="str">
        <f>IF(OR($B661="",AC$7=""),"",IF($B661="MEANS",INDEX('1-DATA'!$1:$1048576,$A660-1,COLUMN('1-DATA'!AB659)),ROUND(INDEX('1-DATA'!$1:$1048576,IF(OR($B661="STD. DEVIATION",$C$1=1),$A661,$A661+1),COLUMN('1-DATA'!AB659)),IF($B661="STD. DEVIATION",2,$F$1))))</f>
        <v/>
      </c>
      <c r="AD661" s="1" t="str">
        <f>IF(OR($B661="",AD$7=""),"",IF($B661="MEANS",INDEX('1-DATA'!$1:$1048576,$A660-1,COLUMN('1-DATA'!AC659)),ROUND(INDEX('1-DATA'!$1:$1048576,IF(OR($B661="STD. DEVIATION",$C$1=1),$A661,$A661+1),COLUMN('1-DATA'!AC659)),IF($B661="STD. DEVIATION",2,$F$1))))</f>
        <v/>
      </c>
      <c r="AE661" s="1" t="str">
        <f>IF(OR($B661="",AE$7=""),"",IF($B661="MEANS",INDEX('1-DATA'!$1:$1048576,$A660-1,COLUMN('1-DATA'!AD659)),ROUND(INDEX('1-DATA'!$1:$1048576,IF(OR($B661="STD. DEVIATION",$C$1=1),$A661,$A661+1),COLUMN('1-DATA'!AD659)),IF($B661="STD. DEVIATION",2,$F$1))))</f>
        <v/>
      </c>
      <c r="AF661" s="1" t="str">
        <f>IF(OR($B661="",AF$7=""),"",IF($B661="MEANS",INDEX('1-DATA'!$1:$1048576,$A660-1,COLUMN('1-DATA'!AE659)),ROUND(INDEX('1-DATA'!$1:$1048576,IF(OR($B661="STD. DEVIATION",$C$1=1),$A661,$A661+1),COLUMN('1-DATA'!AE659)),IF($B661="STD. DEVIATION",2,$F$1))))</f>
        <v/>
      </c>
      <c r="AG661" s="1" t="str">
        <f>IF(OR($B661="",AG$7=""),"",IF($B661="MEANS",INDEX('1-DATA'!$1:$1048576,$A660-1,COLUMN('1-DATA'!AF659)),ROUND(INDEX('1-DATA'!$1:$1048576,IF(OR($B661="STD. DEVIATION",$C$1=1),$A661,$A661+1),COLUMN('1-DATA'!AF659)),IF($B661="STD. DEVIATION",2,$F$1))))</f>
        <v/>
      </c>
      <c r="AH661" s="1" t="str">
        <f>IF(OR($B661="",AH$7=""),"",IF($B661="MEANS",INDEX('1-DATA'!$1:$1048576,$A660-1,COLUMN('1-DATA'!AG659)),ROUND(INDEX('1-DATA'!$1:$1048576,IF(OR($B661="STD. DEVIATION",$C$1=1),$A661,$A661+1),COLUMN('1-DATA'!AG659)),IF($B661="STD. DEVIATION",2,$F$1))))</f>
        <v/>
      </c>
      <c r="AI661" s="1" t="str">
        <f>IF(OR($B661="",AI$7=""),"",IF($B661="MEANS",INDEX('1-DATA'!$1:$1048576,$A660-1,COLUMN('1-DATA'!AH659)),ROUND(INDEX('1-DATA'!$1:$1048576,IF(OR($B661="STD. DEVIATION",$C$1=1),$A661,$A661+1),COLUMN('1-DATA'!AH659)),IF($B661="STD. DEVIATION",2,$F$1))))</f>
        <v/>
      </c>
      <c r="AJ661" s="1" t="str">
        <f>IF(OR($B661="",AJ$7=""),"",IF($B661="MEANS",INDEX('1-DATA'!$1:$1048576,$A660-1,COLUMN('1-DATA'!AI659)),ROUND(INDEX('1-DATA'!$1:$1048576,IF(OR($B661="STD. DEVIATION",$C$1=1),$A661,$A661+1),COLUMN('1-DATA'!AI659)),IF($B661="STD. DEVIATION",2,$F$1))))</f>
        <v/>
      </c>
      <c r="AK661" s="1" t="str">
        <f>IF(OR($B661="",AK$7=""),"",IF($B661="MEANS",INDEX('1-DATA'!$1:$1048576,$A660-1,COLUMN('1-DATA'!AJ659)),ROUND(INDEX('1-DATA'!$1:$1048576,IF(OR($B661="STD. DEVIATION",$C$1=1),$A661,$A661+1),COLUMN('1-DATA'!AJ659)),IF($B661="STD. DEVIATION",2,$F$1))))</f>
        <v/>
      </c>
      <c r="AL661" s="1" t="str">
        <f>IF(OR($B661="",AL$7=""),"",IF($B661="MEANS",INDEX('1-DATA'!$1:$1048576,$A660-1,COLUMN('1-DATA'!AK659)),ROUND(INDEX('1-DATA'!$1:$1048576,IF(OR($B661="STD. DEVIATION",$C$1=1),$A661,$A661+1),COLUMN('1-DATA'!AK659)),IF($B661="STD. DEVIATION",2,$F$1))))</f>
        <v/>
      </c>
      <c r="AM661" s="1" t="str">
        <f>IF(OR($B661="",AM$7=""),"",IF($B661="MEANS",INDEX('1-DATA'!$1:$1048576,$A660-1,COLUMN('1-DATA'!AL659)),ROUND(INDEX('1-DATA'!$1:$1048576,IF(OR($B661="STD. DEVIATION",$C$1=1),$A661,$A661+1),COLUMN('1-DATA'!AL659)),IF($B661="STD. DEVIATION",2,$F$1))))</f>
        <v/>
      </c>
      <c r="AN661" s="1" t="str">
        <f>IF(OR($B661="",AN$7=""),"",IF($B661="MEANS",INDEX('1-DATA'!$1:$1048576,$A660-1,COLUMN('1-DATA'!AM659)),ROUND(INDEX('1-DATA'!$1:$1048576,IF(OR($B661="STD. DEVIATION",$C$1=1),$A661,$A661+1),COLUMN('1-DATA'!AM659)),IF($B661="STD. DEVIATION",2,$F$1))))</f>
        <v/>
      </c>
      <c r="AO661" s="1" t="str">
        <f>IF(OR($B661="",AO$7=""),"",IF($B661="MEANS",INDEX('1-DATA'!$1:$1048576,$A660-1,COLUMN('1-DATA'!AN659)),ROUND(INDEX('1-DATA'!$1:$1048576,IF(OR($B661="STD. DEVIATION",$C$1=1),$A661,$A661+1),COLUMN('1-DATA'!AN659)),IF($B661="STD. DEVIATION",2,$F$1))))</f>
        <v/>
      </c>
      <c r="AP661" s="1" t="str">
        <f>IF(OR($B661="",AP$7=""),"",IF($B661="MEANS",INDEX('1-DATA'!$1:$1048576,$A660-1,COLUMN('1-DATA'!AO659)),ROUND(INDEX('1-DATA'!$1:$1048576,IF(OR($B661="STD. DEVIATION",$C$1=1),$A661,$A661+1),COLUMN('1-DATA'!AO659)),IF($B661="STD. DEVIATION",2,$F$1))))</f>
        <v/>
      </c>
      <c r="AQ661" s="1" t="str">
        <f>IF(OR($B661="",AQ$7=""),"",IF($B661="MEANS",INDEX('1-DATA'!$1:$1048576,$A660-1,COLUMN('1-DATA'!AP659)),ROUND(INDEX('1-DATA'!$1:$1048576,IF(OR($B661="STD. DEVIATION",$C$1=1),$A661,$A661+1),COLUMN('1-DATA'!AP659)),IF($B661="STD. DEVIATION",2,$F$1))))</f>
        <v/>
      </c>
      <c r="AR661" s="1" t="str">
        <f>IF(OR($B661="",AR$7=""),"",IF($B661="MEANS",INDEX('1-DATA'!$1:$1048576,$A660-1,COLUMN('1-DATA'!AQ659)),ROUND(INDEX('1-DATA'!$1:$1048576,IF(OR($B661="STD. DEVIATION",$C$1=1),$A661,$A661+1),COLUMN('1-DATA'!AQ659)),IF($B661="STD. DEVIATION",2,$F$1))))</f>
        <v/>
      </c>
      <c r="AS661" s="1" t="str">
        <f>IF(OR($B661="",AS$7=""),"",IF($B661="MEANS",INDEX('1-DATA'!$1:$1048576,$A660-1,COLUMN('1-DATA'!AR659)),ROUND(INDEX('1-DATA'!$1:$1048576,IF(OR($B661="STD. DEVIATION",$C$1=1),$A661,$A661+1),COLUMN('1-DATA'!AR659)),IF($B661="STD. DEVIATION",2,$F$1))))</f>
        <v/>
      </c>
      <c r="AT661" s="1" t="str">
        <f>IF(OR($B661="",AT$7=""),"",IF($B661="MEANS",INDEX('1-DATA'!$1:$1048576,$A660-1,COLUMN('1-DATA'!AS659)),ROUND(INDEX('1-DATA'!$1:$1048576,IF(OR($B661="STD. DEVIATION",$C$1=1),$A661,$A661+1),COLUMN('1-DATA'!AS659)),IF($B661="STD. DEVIATION",2,$F$1))))</f>
        <v/>
      </c>
      <c r="AU661" s="1" t="str">
        <f>IF(OR($B661="",AU$7=""),"",IF($B661="MEANS",INDEX('1-DATA'!$1:$1048576,$A660-1,COLUMN('1-DATA'!AT659)),ROUND(INDEX('1-DATA'!$1:$1048576,IF(OR($B661="STD. DEVIATION",$C$1=1),$A661,$A661+1),COLUMN('1-DATA'!AT659)),IF($B661="STD. DEVIATION",2,$F$1))))</f>
        <v/>
      </c>
      <c r="AV661" s="1" t="str">
        <f>IF(OR($B661="",AV$7=""),"",IF($B661="MEANS",INDEX('1-DATA'!$1:$1048576,$A660-1,COLUMN('1-DATA'!AU659)),ROUND(INDEX('1-DATA'!$1:$1048576,IF(OR($B661="STD. DEVIATION",$C$1=1),$A661,$A661+1),COLUMN('1-DATA'!AU659)),IF($B661="STD. DEVIATION",2,$F$1))))</f>
        <v/>
      </c>
      <c r="AW661" s="1" t="str">
        <f>IF(OR($B661="",AW$7=""),"",IF($B661="MEANS",INDEX('1-DATA'!$1:$1048576,$A660-1,COLUMN('1-DATA'!AV659)),ROUND(INDEX('1-DATA'!$1:$1048576,IF(OR($B661="STD. DEVIATION",$C$1=1),$A661,$A661+1),COLUMN('1-DATA'!AV659)),IF($B661="STD. DEVIATION",2,$F$1))))</f>
        <v/>
      </c>
      <c r="AX661" s="1" t="str">
        <f>IF(OR($B661="",AX$7=""),"",IF($B661="MEANS",INDEX('1-DATA'!$1:$1048576,$A660-1,COLUMN('1-DATA'!AW659)),ROUND(INDEX('1-DATA'!$1:$1048576,IF(OR($B661="STD. DEVIATION",$C$1=1),$A661,$A661+1),COLUMN('1-DATA'!AW659)),IF($B661="STD. DEVIATION",2,$F$1))))</f>
        <v/>
      </c>
      <c r="AY661" s="1" t="str">
        <f>IF(OR($B661="",AY$7=""),"",IF($B661="MEANS",INDEX('1-DATA'!$1:$1048576,$A660-1,COLUMN('1-DATA'!AX659)),ROUND(INDEX('1-DATA'!$1:$1048576,IF(OR($B661="STD. DEVIATION",$C$1=1),$A661,$A661+1),COLUMN('1-DATA'!AX659)),IF($B661="STD. DEVIATION",2,$F$1))))</f>
        <v/>
      </c>
      <c r="AZ661" s="1" t="str">
        <f>IF(OR($B661="",AZ$7=""),"",IF($B661="MEANS",INDEX('1-DATA'!$1:$1048576,$A660-1,COLUMN('1-DATA'!AY659)),ROUND(INDEX('1-DATA'!$1:$1048576,IF(OR($B661="STD. DEVIATION",$C$1=1),$A661,$A661+1),COLUMN('1-DATA'!AY659)),IF($B661="STD. DEVIATION",2,$F$1))))</f>
        <v/>
      </c>
    </row>
    <row r="662" spans="1:52" x14ac:dyDescent="0.25">
      <c r="A662" s="11">
        <f t="shared" si="10"/>
        <v>1972</v>
      </c>
      <c r="B662" s="1" t="str">
        <f>IF(B661="STD. DEVIATION",INDEX('1-DATA'!$1:$1048576,$A661-1,1),IF(INDEX('1-DATA'!$1:$1048576,$A662,1)&lt;&gt;"",INDEX('1-DATA'!$1:$1048576,$A662,1),""))</f>
        <v/>
      </c>
      <c r="C662" s="1" t="str">
        <f>IF(OR($B662="",C$7=""),"",IF($B662="MEANS",INDEX('1-DATA'!$1:$1048576,$A661-1,COLUMN('1-DATA'!B660)),ROUND(INDEX('1-DATA'!$1:$1048576,IF(OR($B662="STD. DEVIATION",$C$1=1),$A662,$A662+1),COLUMN('1-DATA'!B660)),IF($B662="STD. DEVIATION",2,$F$1))))</f>
        <v/>
      </c>
      <c r="D662" s="1" t="str">
        <f>IF(OR($B662="",D$7=""),"",IF($B662="MEANS",INDEX('1-DATA'!$1:$1048576,$A661-1,COLUMN('1-DATA'!C660)),ROUND(INDEX('1-DATA'!$1:$1048576,IF(OR($B662="STD. DEVIATION",$C$1=1),$A662,$A662+1),COLUMN('1-DATA'!C660)),IF($B662="STD. DEVIATION",2,$F$1))))</f>
        <v/>
      </c>
      <c r="E662" s="1" t="str">
        <f>IF(OR($B662="",E$7=""),"",IF($B662="MEANS",INDEX('1-DATA'!$1:$1048576,$A661-1,COLUMN('1-DATA'!D660)),ROUND(INDEX('1-DATA'!$1:$1048576,IF(OR($B662="STD. DEVIATION",$C$1=1),$A662,$A662+1),COLUMN('1-DATA'!D660)),IF($B662="STD. DEVIATION",2,$F$1))))</f>
        <v/>
      </c>
      <c r="F662" s="1" t="str">
        <f>IF(OR($B662="",F$7=""),"",IF($B662="MEANS",INDEX('1-DATA'!$1:$1048576,$A661-1,COLUMN('1-DATA'!E660)),ROUND(INDEX('1-DATA'!$1:$1048576,IF(OR($B662="STD. DEVIATION",$C$1=1),$A662,$A662+1),COLUMN('1-DATA'!E660)),IF($B662="STD. DEVIATION",2,$F$1))))</f>
        <v/>
      </c>
      <c r="G662" s="1" t="str">
        <f>IF(OR($B662="",G$7=""),"",IF($B662="MEANS",INDEX('1-DATA'!$1:$1048576,$A661-1,COLUMN('1-DATA'!F660)),ROUND(INDEX('1-DATA'!$1:$1048576,IF(OR($B662="STD. DEVIATION",$C$1=1),$A662,$A662+1),COLUMN('1-DATA'!F660)),IF($B662="STD. DEVIATION",2,$F$1))))</f>
        <v/>
      </c>
      <c r="H662" s="1" t="str">
        <f>IF(OR($B662="",H$7=""),"",IF($B662="MEANS",INDEX('1-DATA'!$1:$1048576,$A661-1,COLUMN('1-DATA'!G660)),ROUND(INDEX('1-DATA'!$1:$1048576,IF(OR($B662="STD. DEVIATION",$C$1=1),$A662,$A662+1),COLUMN('1-DATA'!G660)),IF($B662="STD. DEVIATION",2,$F$1))))</f>
        <v/>
      </c>
      <c r="I662" s="1" t="str">
        <f>IF(OR($B662="",I$7=""),"",IF($B662="MEANS",INDEX('1-DATA'!$1:$1048576,$A661-1,COLUMN('1-DATA'!H660)),ROUND(INDEX('1-DATA'!$1:$1048576,IF(OR($B662="STD. DEVIATION",$C$1=1),$A662,$A662+1),COLUMN('1-DATA'!H660)),IF($B662="STD. DEVIATION",2,$F$1))))</f>
        <v/>
      </c>
      <c r="J662" s="1" t="str">
        <f>IF(OR($B662="",J$7=""),"",IF($B662="MEANS",INDEX('1-DATA'!$1:$1048576,$A661-1,COLUMN('1-DATA'!I660)),ROUND(INDEX('1-DATA'!$1:$1048576,IF(OR($B662="STD. DEVIATION",$C$1=1),$A662,$A662+1),COLUMN('1-DATA'!I660)),IF($B662="STD. DEVIATION",2,$F$1))))</f>
        <v/>
      </c>
      <c r="K662" s="1" t="str">
        <f>IF(OR($B662="",K$7=""),"",IF($B662="MEANS",INDEX('1-DATA'!$1:$1048576,$A661-1,COLUMN('1-DATA'!J660)),ROUND(INDEX('1-DATA'!$1:$1048576,IF(OR($B662="STD. DEVIATION",$C$1=1),$A662,$A662+1),COLUMN('1-DATA'!J660)),IF($B662="STD. DEVIATION",2,$F$1))))</f>
        <v/>
      </c>
      <c r="L662" s="1" t="str">
        <f>IF(OR($B662="",L$7=""),"",IF($B662="MEANS",INDEX('1-DATA'!$1:$1048576,$A661-1,COLUMN('1-DATA'!K660)),ROUND(INDEX('1-DATA'!$1:$1048576,IF(OR($B662="STD. DEVIATION",$C$1=1),$A662,$A662+1),COLUMN('1-DATA'!K660)),IF($B662="STD. DEVIATION",2,$F$1))))</f>
        <v/>
      </c>
      <c r="M662" s="1" t="str">
        <f>IF(OR($B662="",M$7=""),"",IF($B662="MEANS",INDEX('1-DATA'!$1:$1048576,$A661-1,COLUMN('1-DATA'!L660)),ROUND(INDEX('1-DATA'!$1:$1048576,IF(OR($B662="STD. DEVIATION",$C$1=1),$A662,$A662+1),COLUMN('1-DATA'!L660)),IF($B662="STD. DEVIATION",2,$F$1))))</f>
        <v/>
      </c>
      <c r="N662" s="1" t="str">
        <f>IF(OR($B662="",N$7=""),"",IF($B662="MEANS",INDEX('1-DATA'!$1:$1048576,$A661-1,COLUMN('1-DATA'!M660)),ROUND(INDEX('1-DATA'!$1:$1048576,IF(OR($B662="STD. DEVIATION",$C$1=1),$A662,$A662+1),COLUMN('1-DATA'!M660)),IF($B662="STD. DEVIATION",2,$F$1))))</f>
        <v/>
      </c>
      <c r="O662" s="1" t="str">
        <f>IF(OR($B662="",O$7=""),"",IF($B662="MEANS",INDEX('1-DATA'!$1:$1048576,$A661-1,COLUMN('1-DATA'!N660)),ROUND(INDEX('1-DATA'!$1:$1048576,IF(OR($B662="STD. DEVIATION",$C$1=1),$A662,$A662+1),COLUMN('1-DATA'!N660)),IF($B662="STD. DEVIATION",2,$F$1))))</f>
        <v/>
      </c>
      <c r="P662" s="1" t="str">
        <f>IF(OR($B662="",P$7=""),"",IF($B662="MEANS",INDEX('1-DATA'!$1:$1048576,$A661-1,COLUMN('1-DATA'!O660)),ROUND(INDEX('1-DATA'!$1:$1048576,IF(OR($B662="STD. DEVIATION",$C$1=1),$A662,$A662+1),COLUMN('1-DATA'!O660)),IF($B662="STD. DEVIATION",2,$F$1))))</f>
        <v/>
      </c>
      <c r="Q662" s="1" t="str">
        <f>IF(OR($B662="",Q$7=""),"",IF($B662="MEANS",INDEX('1-DATA'!$1:$1048576,$A661-1,COLUMN('1-DATA'!P660)),ROUND(INDEX('1-DATA'!$1:$1048576,IF(OR($B662="STD. DEVIATION",$C$1=1),$A662,$A662+1),COLUMN('1-DATA'!P660)),IF($B662="STD. DEVIATION",2,$F$1))))</f>
        <v/>
      </c>
      <c r="R662" s="1" t="str">
        <f>IF(OR($B662="",R$7=""),"",IF($B662="MEANS",INDEX('1-DATA'!$1:$1048576,$A661-1,COLUMN('1-DATA'!Q660)),ROUND(INDEX('1-DATA'!$1:$1048576,IF(OR($B662="STD. DEVIATION",$C$1=1),$A662,$A662+1),COLUMN('1-DATA'!Q660)),IF($B662="STD. DEVIATION",2,$F$1))))</f>
        <v/>
      </c>
      <c r="S662" s="1" t="str">
        <f>IF(OR($B662="",S$7=""),"",IF($B662="MEANS",INDEX('1-DATA'!$1:$1048576,$A661-1,COLUMN('1-DATA'!R660)),ROUND(INDEX('1-DATA'!$1:$1048576,IF(OR($B662="STD. DEVIATION",$C$1=1),$A662,$A662+1),COLUMN('1-DATA'!R660)),IF($B662="STD. DEVIATION",2,$F$1))))</f>
        <v/>
      </c>
      <c r="T662" s="1" t="str">
        <f>IF(OR($B662="",T$7=""),"",IF($B662="MEANS",INDEX('1-DATA'!$1:$1048576,$A661-1,COLUMN('1-DATA'!S660)),ROUND(INDEX('1-DATA'!$1:$1048576,IF(OR($B662="STD. DEVIATION",$C$1=1),$A662,$A662+1),COLUMN('1-DATA'!S660)),IF($B662="STD. DEVIATION",2,$F$1))))</f>
        <v/>
      </c>
      <c r="U662" s="1" t="str">
        <f>IF(OR($B662="",U$7=""),"",IF($B662="MEANS",INDEX('1-DATA'!$1:$1048576,$A661-1,COLUMN('1-DATA'!T660)),ROUND(INDEX('1-DATA'!$1:$1048576,IF(OR($B662="STD. DEVIATION",$C$1=1),$A662,$A662+1),COLUMN('1-DATA'!T660)),IF($B662="STD. DEVIATION",2,$F$1))))</f>
        <v/>
      </c>
      <c r="V662" s="1" t="str">
        <f>IF(OR($B662="",V$7=""),"",IF($B662="MEANS",INDEX('1-DATA'!$1:$1048576,$A661-1,COLUMN('1-DATA'!U660)),ROUND(INDEX('1-DATA'!$1:$1048576,IF(OR($B662="STD. DEVIATION",$C$1=1),$A662,$A662+1),COLUMN('1-DATA'!U660)),IF($B662="STD. DEVIATION",2,$F$1))))</f>
        <v/>
      </c>
      <c r="W662" s="1" t="str">
        <f>IF(OR($B662="",W$7=""),"",IF($B662="MEANS",INDEX('1-DATA'!$1:$1048576,$A661-1,COLUMN('1-DATA'!V660)),ROUND(INDEX('1-DATA'!$1:$1048576,IF(OR($B662="STD. DEVIATION",$C$1=1),$A662,$A662+1),COLUMN('1-DATA'!V660)),IF($B662="STD. DEVIATION",2,$F$1))))</f>
        <v/>
      </c>
      <c r="X662" s="1" t="str">
        <f>IF(OR($B662="",X$7=""),"",IF($B662="MEANS",INDEX('1-DATA'!$1:$1048576,$A661-1,COLUMN('1-DATA'!W660)),ROUND(INDEX('1-DATA'!$1:$1048576,IF(OR($B662="STD. DEVIATION",$C$1=1),$A662,$A662+1),COLUMN('1-DATA'!W660)),IF($B662="STD. DEVIATION",2,$F$1))))</f>
        <v/>
      </c>
      <c r="Y662" s="1" t="str">
        <f>IF(OR($B662="",Y$7=""),"",IF($B662="MEANS",INDEX('1-DATA'!$1:$1048576,$A661-1,COLUMN('1-DATA'!X660)),ROUND(INDEX('1-DATA'!$1:$1048576,IF(OR($B662="STD. DEVIATION",$C$1=1),$A662,$A662+1),COLUMN('1-DATA'!X660)),IF($B662="STD. DEVIATION",2,$F$1))))</f>
        <v/>
      </c>
      <c r="Z662" s="1" t="str">
        <f>IF(OR($B662="",Z$7=""),"",IF($B662="MEANS",INDEX('1-DATA'!$1:$1048576,$A661-1,COLUMN('1-DATA'!Y660)),ROUND(INDEX('1-DATA'!$1:$1048576,IF(OR($B662="STD. DEVIATION",$C$1=1),$A662,$A662+1),COLUMN('1-DATA'!Y660)),IF($B662="STD. DEVIATION",2,$F$1))))</f>
        <v/>
      </c>
      <c r="AA662" s="1" t="str">
        <f>IF(OR($B662="",AA$7=""),"",IF($B662="MEANS",INDEX('1-DATA'!$1:$1048576,$A661-1,COLUMN('1-DATA'!Z660)),ROUND(INDEX('1-DATA'!$1:$1048576,IF(OR($B662="STD. DEVIATION",$C$1=1),$A662,$A662+1),COLUMN('1-DATA'!Z660)),IF($B662="STD. DEVIATION",2,$F$1))))</f>
        <v/>
      </c>
      <c r="AB662" s="1" t="str">
        <f>IF(OR($B662="",AB$7=""),"",IF($B662="MEANS",INDEX('1-DATA'!$1:$1048576,$A661-1,COLUMN('1-DATA'!AA660)),ROUND(INDEX('1-DATA'!$1:$1048576,IF(OR($B662="STD. DEVIATION",$C$1=1),$A662,$A662+1),COLUMN('1-DATA'!AA660)),IF($B662="STD. DEVIATION",2,$F$1))))</f>
        <v/>
      </c>
      <c r="AC662" s="1" t="str">
        <f>IF(OR($B662="",AC$7=""),"",IF($B662="MEANS",INDEX('1-DATA'!$1:$1048576,$A661-1,COLUMN('1-DATA'!AB660)),ROUND(INDEX('1-DATA'!$1:$1048576,IF(OR($B662="STD. DEVIATION",$C$1=1),$A662,$A662+1),COLUMN('1-DATA'!AB660)),IF($B662="STD. DEVIATION",2,$F$1))))</f>
        <v/>
      </c>
      <c r="AD662" s="1" t="str">
        <f>IF(OR($B662="",AD$7=""),"",IF($B662="MEANS",INDEX('1-DATA'!$1:$1048576,$A661-1,COLUMN('1-DATA'!AC660)),ROUND(INDEX('1-DATA'!$1:$1048576,IF(OR($B662="STD. DEVIATION",$C$1=1),$A662,$A662+1),COLUMN('1-DATA'!AC660)),IF($B662="STD. DEVIATION",2,$F$1))))</f>
        <v/>
      </c>
      <c r="AE662" s="1" t="str">
        <f>IF(OR($B662="",AE$7=""),"",IF($B662="MEANS",INDEX('1-DATA'!$1:$1048576,$A661-1,COLUMN('1-DATA'!AD660)),ROUND(INDEX('1-DATA'!$1:$1048576,IF(OR($B662="STD. DEVIATION",$C$1=1),$A662,$A662+1),COLUMN('1-DATA'!AD660)),IF($B662="STD. DEVIATION",2,$F$1))))</f>
        <v/>
      </c>
      <c r="AF662" s="1" t="str">
        <f>IF(OR($B662="",AF$7=""),"",IF($B662="MEANS",INDEX('1-DATA'!$1:$1048576,$A661-1,COLUMN('1-DATA'!AE660)),ROUND(INDEX('1-DATA'!$1:$1048576,IF(OR($B662="STD. DEVIATION",$C$1=1),$A662,$A662+1),COLUMN('1-DATA'!AE660)),IF($B662="STD. DEVIATION",2,$F$1))))</f>
        <v/>
      </c>
      <c r="AG662" s="1" t="str">
        <f>IF(OR($B662="",AG$7=""),"",IF($B662="MEANS",INDEX('1-DATA'!$1:$1048576,$A661-1,COLUMN('1-DATA'!AF660)),ROUND(INDEX('1-DATA'!$1:$1048576,IF(OR($B662="STD. DEVIATION",$C$1=1),$A662,$A662+1),COLUMN('1-DATA'!AF660)),IF($B662="STD. DEVIATION",2,$F$1))))</f>
        <v/>
      </c>
      <c r="AH662" s="1" t="str">
        <f>IF(OR($B662="",AH$7=""),"",IF($B662="MEANS",INDEX('1-DATA'!$1:$1048576,$A661-1,COLUMN('1-DATA'!AG660)),ROUND(INDEX('1-DATA'!$1:$1048576,IF(OR($B662="STD. DEVIATION",$C$1=1),$A662,$A662+1),COLUMN('1-DATA'!AG660)),IF($B662="STD. DEVIATION",2,$F$1))))</f>
        <v/>
      </c>
      <c r="AI662" s="1" t="str">
        <f>IF(OR($B662="",AI$7=""),"",IF($B662="MEANS",INDEX('1-DATA'!$1:$1048576,$A661-1,COLUMN('1-DATA'!AH660)),ROUND(INDEX('1-DATA'!$1:$1048576,IF(OR($B662="STD. DEVIATION",$C$1=1),$A662,$A662+1),COLUMN('1-DATA'!AH660)),IF($B662="STD. DEVIATION",2,$F$1))))</f>
        <v/>
      </c>
      <c r="AJ662" s="1" t="str">
        <f>IF(OR($B662="",AJ$7=""),"",IF($B662="MEANS",INDEX('1-DATA'!$1:$1048576,$A661-1,COLUMN('1-DATA'!AI660)),ROUND(INDEX('1-DATA'!$1:$1048576,IF(OR($B662="STD. DEVIATION",$C$1=1),$A662,$A662+1),COLUMN('1-DATA'!AI660)),IF($B662="STD. DEVIATION",2,$F$1))))</f>
        <v/>
      </c>
      <c r="AK662" s="1" t="str">
        <f>IF(OR($B662="",AK$7=""),"",IF($B662="MEANS",INDEX('1-DATA'!$1:$1048576,$A661-1,COLUMN('1-DATA'!AJ660)),ROUND(INDEX('1-DATA'!$1:$1048576,IF(OR($B662="STD. DEVIATION",$C$1=1),$A662,$A662+1),COLUMN('1-DATA'!AJ660)),IF($B662="STD. DEVIATION",2,$F$1))))</f>
        <v/>
      </c>
      <c r="AL662" s="1" t="str">
        <f>IF(OR($B662="",AL$7=""),"",IF($B662="MEANS",INDEX('1-DATA'!$1:$1048576,$A661-1,COLUMN('1-DATA'!AK660)),ROUND(INDEX('1-DATA'!$1:$1048576,IF(OR($B662="STD. DEVIATION",$C$1=1),$A662,$A662+1),COLUMN('1-DATA'!AK660)),IF($B662="STD. DEVIATION",2,$F$1))))</f>
        <v/>
      </c>
      <c r="AM662" s="1" t="str">
        <f>IF(OR($B662="",AM$7=""),"",IF($B662="MEANS",INDEX('1-DATA'!$1:$1048576,$A661-1,COLUMN('1-DATA'!AL660)),ROUND(INDEX('1-DATA'!$1:$1048576,IF(OR($B662="STD. DEVIATION",$C$1=1),$A662,$A662+1),COLUMN('1-DATA'!AL660)),IF($B662="STD. DEVIATION",2,$F$1))))</f>
        <v/>
      </c>
      <c r="AN662" s="1" t="str">
        <f>IF(OR($B662="",AN$7=""),"",IF($B662="MEANS",INDEX('1-DATA'!$1:$1048576,$A661-1,COLUMN('1-DATA'!AM660)),ROUND(INDEX('1-DATA'!$1:$1048576,IF(OR($B662="STD. DEVIATION",$C$1=1),$A662,$A662+1),COLUMN('1-DATA'!AM660)),IF($B662="STD. DEVIATION",2,$F$1))))</f>
        <v/>
      </c>
      <c r="AO662" s="1" t="str">
        <f>IF(OR($B662="",AO$7=""),"",IF($B662="MEANS",INDEX('1-DATA'!$1:$1048576,$A661-1,COLUMN('1-DATA'!AN660)),ROUND(INDEX('1-DATA'!$1:$1048576,IF(OR($B662="STD. DEVIATION",$C$1=1),$A662,$A662+1),COLUMN('1-DATA'!AN660)),IF($B662="STD. DEVIATION",2,$F$1))))</f>
        <v/>
      </c>
      <c r="AP662" s="1" t="str">
        <f>IF(OR($B662="",AP$7=""),"",IF($B662="MEANS",INDEX('1-DATA'!$1:$1048576,$A661-1,COLUMN('1-DATA'!AO660)),ROUND(INDEX('1-DATA'!$1:$1048576,IF(OR($B662="STD. DEVIATION",$C$1=1),$A662,$A662+1),COLUMN('1-DATA'!AO660)),IF($B662="STD. DEVIATION",2,$F$1))))</f>
        <v/>
      </c>
      <c r="AQ662" s="1" t="str">
        <f>IF(OR($B662="",AQ$7=""),"",IF($B662="MEANS",INDEX('1-DATA'!$1:$1048576,$A661-1,COLUMN('1-DATA'!AP660)),ROUND(INDEX('1-DATA'!$1:$1048576,IF(OR($B662="STD. DEVIATION",$C$1=1),$A662,$A662+1),COLUMN('1-DATA'!AP660)),IF($B662="STD. DEVIATION",2,$F$1))))</f>
        <v/>
      </c>
      <c r="AR662" s="1" t="str">
        <f>IF(OR($B662="",AR$7=""),"",IF($B662="MEANS",INDEX('1-DATA'!$1:$1048576,$A661-1,COLUMN('1-DATA'!AQ660)),ROUND(INDEX('1-DATA'!$1:$1048576,IF(OR($B662="STD. DEVIATION",$C$1=1),$A662,$A662+1),COLUMN('1-DATA'!AQ660)),IF($B662="STD. DEVIATION",2,$F$1))))</f>
        <v/>
      </c>
      <c r="AS662" s="1" t="str">
        <f>IF(OR($B662="",AS$7=""),"",IF($B662="MEANS",INDEX('1-DATA'!$1:$1048576,$A661-1,COLUMN('1-DATA'!AR660)),ROUND(INDEX('1-DATA'!$1:$1048576,IF(OR($B662="STD. DEVIATION",$C$1=1),$A662,$A662+1),COLUMN('1-DATA'!AR660)),IF($B662="STD. DEVIATION",2,$F$1))))</f>
        <v/>
      </c>
      <c r="AT662" s="1" t="str">
        <f>IF(OR($B662="",AT$7=""),"",IF($B662="MEANS",INDEX('1-DATA'!$1:$1048576,$A661-1,COLUMN('1-DATA'!AS660)),ROUND(INDEX('1-DATA'!$1:$1048576,IF(OR($B662="STD. DEVIATION",$C$1=1),$A662,$A662+1),COLUMN('1-DATA'!AS660)),IF($B662="STD. DEVIATION",2,$F$1))))</f>
        <v/>
      </c>
      <c r="AU662" s="1" t="str">
        <f>IF(OR($B662="",AU$7=""),"",IF($B662="MEANS",INDEX('1-DATA'!$1:$1048576,$A661-1,COLUMN('1-DATA'!AT660)),ROUND(INDEX('1-DATA'!$1:$1048576,IF(OR($B662="STD. DEVIATION",$C$1=1),$A662,$A662+1),COLUMN('1-DATA'!AT660)),IF($B662="STD. DEVIATION",2,$F$1))))</f>
        <v/>
      </c>
      <c r="AV662" s="1" t="str">
        <f>IF(OR($B662="",AV$7=""),"",IF($B662="MEANS",INDEX('1-DATA'!$1:$1048576,$A661-1,COLUMN('1-DATA'!AU660)),ROUND(INDEX('1-DATA'!$1:$1048576,IF(OR($B662="STD. DEVIATION",$C$1=1),$A662,$A662+1),COLUMN('1-DATA'!AU660)),IF($B662="STD. DEVIATION",2,$F$1))))</f>
        <v/>
      </c>
      <c r="AW662" s="1" t="str">
        <f>IF(OR($B662="",AW$7=""),"",IF($B662="MEANS",INDEX('1-DATA'!$1:$1048576,$A661-1,COLUMN('1-DATA'!AV660)),ROUND(INDEX('1-DATA'!$1:$1048576,IF(OR($B662="STD. DEVIATION",$C$1=1),$A662,$A662+1),COLUMN('1-DATA'!AV660)),IF($B662="STD. DEVIATION",2,$F$1))))</f>
        <v/>
      </c>
      <c r="AX662" s="1" t="str">
        <f>IF(OR($B662="",AX$7=""),"",IF($B662="MEANS",INDEX('1-DATA'!$1:$1048576,$A661-1,COLUMN('1-DATA'!AW660)),ROUND(INDEX('1-DATA'!$1:$1048576,IF(OR($B662="STD. DEVIATION",$C$1=1),$A662,$A662+1),COLUMN('1-DATA'!AW660)),IF($B662="STD. DEVIATION",2,$F$1))))</f>
        <v/>
      </c>
      <c r="AY662" s="1" t="str">
        <f>IF(OR($B662="",AY$7=""),"",IF($B662="MEANS",INDEX('1-DATA'!$1:$1048576,$A661-1,COLUMN('1-DATA'!AX660)),ROUND(INDEX('1-DATA'!$1:$1048576,IF(OR($B662="STD. DEVIATION",$C$1=1),$A662,$A662+1),COLUMN('1-DATA'!AX660)),IF($B662="STD. DEVIATION",2,$F$1))))</f>
        <v/>
      </c>
      <c r="AZ662" s="1" t="str">
        <f>IF(OR($B662="",AZ$7=""),"",IF($B662="MEANS",INDEX('1-DATA'!$1:$1048576,$A661-1,COLUMN('1-DATA'!AY660)),ROUND(INDEX('1-DATA'!$1:$1048576,IF(OR($B662="STD. DEVIATION",$C$1=1),$A662,$A662+1),COLUMN('1-DATA'!AY660)),IF($B662="STD. DEVIATION",2,$F$1))))</f>
        <v/>
      </c>
    </row>
    <row r="663" spans="1:52" x14ac:dyDescent="0.25">
      <c r="A663" s="11">
        <f t="shared" si="10"/>
        <v>1975</v>
      </c>
      <c r="B663" s="1" t="str">
        <f>IF(B662="STD. DEVIATION",INDEX('1-DATA'!$1:$1048576,$A662-1,1),IF(INDEX('1-DATA'!$1:$1048576,$A663,1)&lt;&gt;"",INDEX('1-DATA'!$1:$1048576,$A663,1),""))</f>
        <v/>
      </c>
      <c r="C663" s="1" t="str">
        <f>IF(OR($B663="",C$7=""),"",IF($B663="MEANS",INDEX('1-DATA'!$1:$1048576,$A662-1,COLUMN('1-DATA'!B661)),ROUND(INDEX('1-DATA'!$1:$1048576,IF(OR($B663="STD. DEVIATION",$C$1=1),$A663,$A663+1),COLUMN('1-DATA'!B661)),IF($B663="STD. DEVIATION",2,$F$1))))</f>
        <v/>
      </c>
      <c r="D663" s="1" t="str">
        <f>IF(OR($B663="",D$7=""),"",IF($B663="MEANS",INDEX('1-DATA'!$1:$1048576,$A662-1,COLUMN('1-DATA'!C661)),ROUND(INDEX('1-DATA'!$1:$1048576,IF(OR($B663="STD. DEVIATION",$C$1=1),$A663,$A663+1),COLUMN('1-DATA'!C661)),IF($B663="STD. DEVIATION",2,$F$1))))</f>
        <v/>
      </c>
      <c r="E663" s="1" t="str">
        <f>IF(OR($B663="",E$7=""),"",IF($B663="MEANS",INDEX('1-DATA'!$1:$1048576,$A662-1,COLUMN('1-DATA'!D661)),ROUND(INDEX('1-DATA'!$1:$1048576,IF(OR($B663="STD. DEVIATION",$C$1=1),$A663,$A663+1),COLUMN('1-DATA'!D661)),IF($B663="STD. DEVIATION",2,$F$1))))</f>
        <v/>
      </c>
      <c r="F663" s="1" t="str">
        <f>IF(OR($B663="",F$7=""),"",IF($B663="MEANS",INDEX('1-DATA'!$1:$1048576,$A662-1,COLUMN('1-DATA'!E661)),ROUND(INDEX('1-DATA'!$1:$1048576,IF(OR($B663="STD. DEVIATION",$C$1=1),$A663,$A663+1),COLUMN('1-DATA'!E661)),IF($B663="STD. DEVIATION",2,$F$1))))</f>
        <v/>
      </c>
      <c r="G663" s="1" t="str">
        <f>IF(OR($B663="",G$7=""),"",IF($B663="MEANS",INDEX('1-DATA'!$1:$1048576,$A662-1,COLUMN('1-DATA'!F661)),ROUND(INDEX('1-DATA'!$1:$1048576,IF(OR($B663="STD. DEVIATION",$C$1=1),$A663,$A663+1),COLUMN('1-DATA'!F661)),IF($B663="STD. DEVIATION",2,$F$1))))</f>
        <v/>
      </c>
      <c r="H663" s="1" t="str">
        <f>IF(OR($B663="",H$7=""),"",IF($B663="MEANS",INDEX('1-DATA'!$1:$1048576,$A662-1,COLUMN('1-DATA'!G661)),ROUND(INDEX('1-DATA'!$1:$1048576,IF(OR($B663="STD. DEVIATION",$C$1=1),$A663,$A663+1),COLUMN('1-DATA'!G661)),IF($B663="STD. DEVIATION",2,$F$1))))</f>
        <v/>
      </c>
      <c r="I663" s="1" t="str">
        <f>IF(OR($B663="",I$7=""),"",IF($B663="MEANS",INDEX('1-DATA'!$1:$1048576,$A662-1,COLUMN('1-DATA'!H661)),ROUND(INDEX('1-DATA'!$1:$1048576,IF(OR($B663="STD. DEVIATION",$C$1=1),$A663,$A663+1),COLUMN('1-DATA'!H661)),IF($B663="STD. DEVIATION",2,$F$1))))</f>
        <v/>
      </c>
      <c r="J663" s="1" t="str">
        <f>IF(OR($B663="",J$7=""),"",IF($B663="MEANS",INDEX('1-DATA'!$1:$1048576,$A662-1,COLUMN('1-DATA'!I661)),ROUND(INDEX('1-DATA'!$1:$1048576,IF(OR($B663="STD. DEVIATION",$C$1=1),$A663,$A663+1),COLUMN('1-DATA'!I661)),IF($B663="STD. DEVIATION",2,$F$1))))</f>
        <v/>
      </c>
      <c r="K663" s="1" t="str">
        <f>IF(OR($B663="",K$7=""),"",IF($B663="MEANS",INDEX('1-DATA'!$1:$1048576,$A662-1,COLUMN('1-DATA'!J661)),ROUND(INDEX('1-DATA'!$1:$1048576,IF(OR($B663="STD. DEVIATION",$C$1=1),$A663,$A663+1),COLUMN('1-DATA'!J661)),IF($B663="STD. DEVIATION",2,$F$1))))</f>
        <v/>
      </c>
      <c r="L663" s="1" t="str">
        <f>IF(OR($B663="",L$7=""),"",IF($B663="MEANS",INDEX('1-DATA'!$1:$1048576,$A662-1,COLUMN('1-DATA'!K661)),ROUND(INDEX('1-DATA'!$1:$1048576,IF(OR($B663="STD. DEVIATION",$C$1=1),$A663,$A663+1),COLUMN('1-DATA'!K661)),IF($B663="STD. DEVIATION",2,$F$1))))</f>
        <v/>
      </c>
      <c r="M663" s="1" t="str">
        <f>IF(OR($B663="",M$7=""),"",IF($B663="MEANS",INDEX('1-DATA'!$1:$1048576,$A662-1,COLUMN('1-DATA'!L661)),ROUND(INDEX('1-DATA'!$1:$1048576,IF(OR($B663="STD. DEVIATION",$C$1=1),$A663,$A663+1),COLUMN('1-DATA'!L661)),IF($B663="STD. DEVIATION",2,$F$1))))</f>
        <v/>
      </c>
      <c r="N663" s="1" t="str">
        <f>IF(OR($B663="",N$7=""),"",IF($B663="MEANS",INDEX('1-DATA'!$1:$1048576,$A662-1,COLUMN('1-DATA'!M661)),ROUND(INDEX('1-DATA'!$1:$1048576,IF(OR($B663="STD. DEVIATION",$C$1=1),$A663,$A663+1),COLUMN('1-DATA'!M661)),IF($B663="STD. DEVIATION",2,$F$1))))</f>
        <v/>
      </c>
      <c r="O663" s="1" t="str">
        <f>IF(OR($B663="",O$7=""),"",IF($B663="MEANS",INDEX('1-DATA'!$1:$1048576,$A662-1,COLUMN('1-DATA'!N661)),ROUND(INDEX('1-DATA'!$1:$1048576,IF(OR($B663="STD. DEVIATION",$C$1=1),$A663,$A663+1),COLUMN('1-DATA'!N661)),IF($B663="STD. DEVIATION",2,$F$1))))</f>
        <v/>
      </c>
      <c r="P663" s="1" t="str">
        <f>IF(OR($B663="",P$7=""),"",IF($B663="MEANS",INDEX('1-DATA'!$1:$1048576,$A662-1,COLUMN('1-DATA'!O661)),ROUND(INDEX('1-DATA'!$1:$1048576,IF(OR($B663="STD. DEVIATION",$C$1=1),$A663,$A663+1),COLUMN('1-DATA'!O661)),IF($B663="STD. DEVIATION",2,$F$1))))</f>
        <v/>
      </c>
      <c r="Q663" s="1" t="str">
        <f>IF(OR($B663="",Q$7=""),"",IF($B663="MEANS",INDEX('1-DATA'!$1:$1048576,$A662-1,COLUMN('1-DATA'!P661)),ROUND(INDEX('1-DATA'!$1:$1048576,IF(OR($B663="STD. DEVIATION",$C$1=1),$A663,$A663+1),COLUMN('1-DATA'!P661)),IF($B663="STD. DEVIATION",2,$F$1))))</f>
        <v/>
      </c>
      <c r="R663" s="1" t="str">
        <f>IF(OR($B663="",R$7=""),"",IF($B663="MEANS",INDEX('1-DATA'!$1:$1048576,$A662-1,COLUMN('1-DATA'!Q661)),ROUND(INDEX('1-DATA'!$1:$1048576,IF(OR($B663="STD. DEVIATION",$C$1=1),$A663,$A663+1),COLUMN('1-DATA'!Q661)),IF($B663="STD. DEVIATION",2,$F$1))))</f>
        <v/>
      </c>
      <c r="S663" s="1" t="str">
        <f>IF(OR($B663="",S$7=""),"",IF($B663="MEANS",INDEX('1-DATA'!$1:$1048576,$A662-1,COLUMN('1-DATA'!R661)),ROUND(INDEX('1-DATA'!$1:$1048576,IF(OR($B663="STD. DEVIATION",$C$1=1),$A663,$A663+1),COLUMN('1-DATA'!R661)),IF($B663="STD. DEVIATION",2,$F$1))))</f>
        <v/>
      </c>
      <c r="T663" s="1" t="str">
        <f>IF(OR($B663="",T$7=""),"",IF($B663="MEANS",INDEX('1-DATA'!$1:$1048576,$A662-1,COLUMN('1-DATA'!S661)),ROUND(INDEX('1-DATA'!$1:$1048576,IF(OR($B663="STD. DEVIATION",$C$1=1),$A663,$A663+1),COLUMN('1-DATA'!S661)),IF($B663="STD. DEVIATION",2,$F$1))))</f>
        <v/>
      </c>
      <c r="U663" s="1" t="str">
        <f>IF(OR($B663="",U$7=""),"",IF($B663="MEANS",INDEX('1-DATA'!$1:$1048576,$A662-1,COLUMN('1-DATA'!T661)),ROUND(INDEX('1-DATA'!$1:$1048576,IF(OR($B663="STD. DEVIATION",$C$1=1),$A663,$A663+1),COLUMN('1-DATA'!T661)),IF($B663="STD. DEVIATION",2,$F$1))))</f>
        <v/>
      </c>
      <c r="V663" s="1" t="str">
        <f>IF(OR($B663="",V$7=""),"",IF($B663="MEANS",INDEX('1-DATA'!$1:$1048576,$A662-1,COLUMN('1-DATA'!U661)),ROUND(INDEX('1-DATA'!$1:$1048576,IF(OR($B663="STD. DEVIATION",$C$1=1),$A663,$A663+1),COLUMN('1-DATA'!U661)),IF($B663="STD. DEVIATION",2,$F$1))))</f>
        <v/>
      </c>
      <c r="W663" s="1" t="str">
        <f>IF(OR($B663="",W$7=""),"",IF($B663="MEANS",INDEX('1-DATA'!$1:$1048576,$A662-1,COLUMN('1-DATA'!V661)),ROUND(INDEX('1-DATA'!$1:$1048576,IF(OR($B663="STD. DEVIATION",$C$1=1),$A663,$A663+1),COLUMN('1-DATA'!V661)),IF($B663="STD. DEVIATION",2,$F$1))))</f>
        <v/>
      </c>
      <c r="X663" s="1" t="str">
        <f>IF(OR($B663="",X$7=""),"",IF($B663="MEANS",INDEX('1-DATA'!$1:$1048576,$A662-1,COLUMN('1-DATA'!W661)),ROUND(INDEX('1-DATA'!$1:$1048576,IF(OR($B663="STD. DEVIATION",$C$1=1),$A663,$A663+1),COLUMN('1-DATA'!W661)),IF($B663="STD. DEVIATION",2,$F$1))))</f>
        <v/>
      </c>
      <c r="Y663" s="1" t="str">
        <f>IF(OR($B663="",Y$7=""),"",IF($B663="MEANS",INDEX('1-DATA'!$1:$1048576,$A662-1,COLUMN('1-DATA'!X661)),ROUND(INDEX('1-DATA'!$1:$1048576,IF(OR($B663="STD. DEVIATION",$C$1=1),$A663,$A663+1),COLUMN('1-DATA'!X661)),IF($B663="STD. DEVIATION",2,$F$1))))</f>
        <v/>
      </c>
      <c r="Z663" s="1" t="str">
        <f>IF(OR($B663="",Z$7=""),"",IF($B663="MEANS",INDEX('1-DATA'!$1:$1048576,$A662-1,COLUMN('1-DATA'!Y661)),ROUND(INDEX('1-DATA'!$1:$1048576,IF(OR($B663="STD. DEVIATION",$C$1=1),$A663,$A663+1),COLUMN('1-DATA'!Y661)),IF($B663="STD. DEVIATION",2,$F$1))))</f>
        <v/>
      </c>
      <c r="AA663" s="1" t="str">
        <f>IF(OR($B663="",AA$7=""),"",IF($B663="MEANS",INDEX('1-DATA'!$1:$1048576,$A662-1,COLUMN('1-DATA'!Z661)),ROUND(INDEX('1-DATA'!$1:$1048576,IF(OR($B663="STD. DEVIATION",$C$1=1),$A663,$A663+1),COLUMN('1-DATA'!Z661)),IF($B663="STD. DEVIATION",2,$F$1))))</f>
        <v/>
      </c>
      <c r="AB663" s="1" t="str">
        <f>IF(OR($B663="",AB$7=""),"",IF($B663="MEANS",INDEX('1-DATA'!$1:$1048576,$A662-1,COLUMN('1-DATA'!AA661)),ROUND(INDEX('1-DATA'!$1:$1048576,IF(OR($B663="STD. DEVIATION",$C$1=1),$A663,$A663+1),COLUMN('1-DATA'!AA661)),IF($B663="STD. DEVIATION",2,$F$1))))</f>
        <v/>
      </c>
      <c r="AC663" s="1" t="str">
        <f>IF(OR($B663="",AC$7=""),"",IF($B663="MEANS",INDEX('1-DATA'!$1:$1048576,$A662-1,COLUMN('1-DATA'!AB661)),ROUND(INDEX('1-DATA'!$1:$1048576,IF(OR($B663="STD. DEVIATION",$C$1=1),$A663,$A663+1),COLUMN('1-DATA'!AB661)),IF($B663="STD. DEVIATION",2,$F$1))))</f>
        <v/>
      </c>
      <c r="AD663" s="1" t="str">
        <f>IF(OR($B663="",AD$7=""),"",IF($B663="MEANS",INDEX('1-DATA'!$1:$1048576,$A662-1,COLUMN('1-DATA'!AC661)),ROUND(INDEX('1-DATA'!$1:$1048576,IF(OR($B663="STD. DEVIATION",$C$1=1),$A663,$A663+1),COLUMN('1-DATA'!AC661)),IF($B663="STD. DEVIATION",2,$F$1))))</f>
        <v/>
      </c>
      <c r="AE663" s="1" t="str">
        <f>IF(OR($B663="",AE$7=""),"",IF($B663="MEANS",INDEX('1-DATA'!$1:$1048576,$A662-1,COLUMN('1-DATA'!AD661)),ROUND(INDEX('1-DATA'!$1:$1048576,IF(OR($B663="STD. DEVIATION",$C$1=1),$A663,$A663+1),COLUMN('1-DATA'!AD661)),IF($B663="STD. DEVIATION",2,$F$1))))</f>
        <v/>
      </c>
      <c r="AF663" s="1" t="str">
        <f>IF(OR($B663="",AF$7=""),"",IF($B663="MEANS",INDEX('1-DATA'!$1:$1048576,$A662-1,COLUMN('1-DATA'!AE661)),ROUND(INDEX('1-DATA'!$1:$1048576,IF(OR($B663="STD. DEVIATION",$C$1=1),$A663,$A663+1),COLUMN('1-DATA'!AE661)),IF($B663="STD. DEVIATION",2,$F$1))))</f>
        <v/>
      </c>
      <c r="AG663" s="1" t="str">
        <f>IF(OR($B663="",AG$7=""),"",IF($B663="MEANS",INDEX('1-DATA'!$1:$1048576,$A662-1,COLUMN('1-DATA'!AF661)),ROUND(INDEX('1-DATA'!$1:$1048576,IF(OR($B663="STD. DEVIATION",$C$1=1),$A663,$A663+1),COLUMN('1-DATA'!AF661)),IF($B663="STD. DEVIATION",2,$F$1))))</f>
        <v/>
      </c>
      <c r="AH663" s="1" t="str">
        <f>IF(OR($B663="",AH$7=""),"",IF($B663="MEANS",INDEX('1-DATA'!$1:$1048576,$A662-1,COLUMN('1-DATA'!AG661)),ROUND(INDEX('1-DATA'!$1:$1048576,IF(OR($B663="STD. DEVIATION",$C$1=1),$A663,$A663+1),COLUMN('1-DATA'!AG661)),IF($B663="STD. DEVIATION",2,$F$1))))</f>
        <v/>
      </c>
      <c r="AI663" s="1" t="str">
        <f>IF(OR($B663="",AI$7=""),"",IF($B663="MEANS",INDEX('1-DATA'!$1:$1048576,$A662-1,COLUMN('1-DATA'!AH661)),ROUND(INDEX('1-DATA'!$1:$1048576,IF(OR($B663="STD. DEVIATION",$C$1=1),$A663,$A663+1),COLUMN('1-DATA'!AH661)),IF($B663="STD. DEVIATION",2,$F$1))))</f>
        <v/>
      </c>
      <c r="AJ663" s="1" t="str">
        <f>IF(OR($B663="",AJ$7=""),"",IF($B663="MEANS",INDEX('1-DATA'!$1:$1048576,$A662-1,COLUMN('1-DATA'!AI661)),ROUND(INDEX('1-DATA'!$1:$1048576,IF(OR($B663="STD. DEVIATION",$C$1=1),$A663,$A663+1),COLUMN('1-DATA'!AI661)),IF($B663="STD. DEVIATION",2,$F$1))))</f>
        <v/>
      </c>
      <c r="AK663" s="1" t="str">
        <f>IF(OR($B663="",AK$7=""),"",IF($B663="MEANS",INDEX('1-DATA'!$1:$1048576,$A662-1,COLUMN('1-DATA'!AJ661)),ROUND(INDEX('1-DATA'!$1:$1048576,IF(OR($B663="STD. DEVIATION",$C$1=1),$A663,$A663+1),COLUMN('1-DATA'!AJ661)),IF($B663="STD. DEVIATION",2,$F$1))))</f>
        <v/>
      </c>
      <c r="AL663" s="1" t="str">
        <f>IF(OR($B663="",AL$7=""),"",IF($B663="MEANS",INDEX('1-DATA'!$1:$1048576,$A662-1,COLUMN('1-DATA'!AK661)),ROUND(INDEX('1-DATA'!$1:$1048576,IF(OR($B663="STD. DEVIATION",$C$1=1),$A663,$A663+1),COLUMN('1-DATA'!AK661)),IF($B663="STD. DEVIATION",2,$F$1))))</f>
        <v/>
      </c>
      <c r="AM663" s="1" t="str">
        <f>IF(OR($B663="",AM$7=""),"",IF($B663="MEANS",INDEX('1-DATA'!$1:$1048576,$A662-1,COLUMN('1-DATA'!AL661)),ROUND(INDEX('1-DATA'!$1:$1048576,IF(OR($B663="STD. DEVIATION",$C$1=1),$A663,$A663+1),COLUMN('1-DATA'!AL661)),IF($B663="STD. DEVIATION",2,$F$1))))</f>
        <v/>
      </c>
      <c r="AN663" s="1" t="str">
        <f>IF(OR($B663="",AN$7=""),"",IF($B663="MEANS",INDEX('1-DATA'!$1:$1048576,$A662-1,COLUMN('1-DATA'!AM661)),ROUND(INDEX('1-DATA'!$1:$1048576,IF(OR($B663="STD. DEVIATION",$C$1=1),$A663,$A663+1),COLUMN('1-DATA'!AM661)),IF($B663="STD. DEVIATION",2,$F$1))))</f>
        <v/>
      </c>
      <c r="AO663" s="1" t="str">
        <f>IF(OR($B663="",AO$7=""),"",IF($B663="MEANS",INDEX('1-DATA'!$1:$1048576,$A662-1,COLUMN('1-DATA'!AN661)),ROUND(INDEX('1-DATA'!$1:$1048576,IF(OR($B663="STD. DEVIATION",$C$1=1),$A663,$A663+1),COLUMN('1-DATA'!AN661)),IF($B663="STD. DEVIATION",2,$F$1))))</f>
        <v/>
      </c>
      <c r="AP663" s="1" t="str">
        <f>IF(OR($B663="",AP$7=""),"",IF($B663="MEANS",INDEX('1-DATA'!$1:$1048576,$A662-1,COLUMN('1-DATA'!AO661)),ROUND(INDEX('1-DATA'!$1:$1048576,IF(OR($B663="STD. DEVIATION",$C$1=1),$A663,$A663+1),COLUMN('1-DATA'!AO661)),IF($B663="STD. DEVIATION",2,$F$1))))</f>
        <v/>
      </c>
      <c r="AQ663" s="1" t="str">
        <f>IF(OR($B663="",AQ$7=""),"",IF($B663="MEANS",INDEX('1-DATA'!$1:$1048576,$A662-1,COLUMN('1-DATA'!AP661)),ROUND(INDEX('1-DATA'!$1:$1048576,IF(OR($B663="STD. DEVIATION",$C$1=1),$A663,$A663+1),COLUMN('1-DATA'!AP661)),IF($B663="STD. DEVIATION",2,$F$1))))</f>
        <v/>
      </c>
      <c r="AR663" s="1" t="str">
        <f>IF(OR($B663="",AR$7=""),"",IF($B663="MEANS",INDEX('1-DATA'!$1:$1048576,$A662-1,COLUMN('1-DATA'!AQ661)),ROUND(INDEX('1-DATA'!$1:$1048576,IF(OR($B663="STD. DEVIATION",$C$1=1),$A663,$A663+1),COLUMN('1-DATA'!AQ661)),IF($B663="STD. DEVIATION",2,$F$1))))</f>
        <v/>
      </c>
      <c r="AS663" s="1" t="str">
        <f>IF(OR($B663="",AS$7=""),"",IF($B663="MEANS",INDEX('1-DATA'!$1:$1048576,$A662-1,COLUMN('1-DATA'!AR661)),ROUND(INDEX('1-DATA'!$1:$1048576,IF(OR($B663="STD. DEVIATION",$C$1=1),$A663,$A663+1),COLUMN('1-DATA'!AR661)),IF($B663="STD. DEVIATION",2,$F$1))))</f>
        <v/>
      </c>
      <c r="AT663" s="1" t="str">
        <f>IF(OR($B663="",AT$7=""),"",IF($B663="MEANS",INDEX('1-DATA'!$1:$1048576,$A662-1,COLUMN('1-DATA'!AS661)),ROUND(INDEX('1-DATA'!$1:$1048576,IF(OR($B663="STD. DEVIATION",$C$1=1),$A663,$A663+1),COLUMN('1-DATA'!AS661)),IF($B663="STD. DEVIATION",2,$F$1))))</f>
        <v/>
      </c>
      <c r="AU663" s="1" t="str">
        <f>IF(OR($B663="",AU$7=""),"",IF($B663="MEANS",INDEX('1-DATA'!$1:$1048576,$A662-1,COLUMN('1-DATA'!AT661)),ROUND(INDEX('1-DATA'!$1:$1048576,IF(OR($B663="STD. DEVIATION",$C$1=1),$A663,$A663+1),COLUMN('1-DATA'!AT661)),IF($B663="STD. DEVIATION",2,$F$1))))</f>
        <v/>
      </c>
      <c r="AV663" s="1" t="str">
        <f>IF(OR($B663="",AV$7=""),"",IF($B663="MEANS",INDEX('1-DATA'!$1:$1048576,$A662-1,COLUMN('1-DATA'!AU661)),ROUND(INDEX('1-DATA'!$1:$1048576,IF(OR($B663="STD. DEVIATION",$C$1=1),$A663,$A663+1),COLUMN('1-DATA'!AU661)),IF($B663="STD. DEVIATION",2,$F$1))))</f>
        <v/>
      </c>
      <c r="AW663" s="1" t="str">
        <f>IF(OR($B663="",AW$7=""),"",IF($B663="MEANS",INDEX('1-DATA'!$1:$1048576,$A662-1,COLUMN('1-DATA'!AV661)),ROUND(INDEX('1-DATA'!$1:$1048576,IF(OR($B663="STD. DEVIATION",$C$1=1),$A663,$A663+1),COLUMN('1-DATA'!AV661)),IF($B663="STD. DEVIATION",2,$F$1))))</f>
        <v/>
      </c>
      <c r="AX663" s="1" t="str">
        <f>IF(OR($B663="",AX$7=""),"",IF($B663="MEANS",INDEX('1-DATA'!$1:$1048576,$A662-1,COLUMN('1-DATA'!AW661)),ROUND(INDEX('1-DATA'!$1:$1048576,IF(OR($B663="STD. DEVIATION",$C$1=1),$A663,$A663+1),COLUMN('1-DATA'!AW661)),IF($B663="STD. DEVIATION",2,$F$1))))</f>
        <v/>
      </c>
      <c r="AY663" s="1" t="str">
        <f>IF(OR($B663="",AY$7=""),"",IF($B663="MEANS",INDEX('1-DATA'!$1:$1048576,$A662-1,COLUMN('1-DATA'!AX661)),ROUND(INDEX('1-DATA'!$1:$1048576,IF(OR($B663="STD. DEVIATION",$C$1=1),$A663,$A663+1),COLUMN('1-DATA'!AX661)),IF($B663="STD. DEVIATION",2,$F$1))))</f>
        <v/>
      </c>
      <c r="AZ663" s="1" t="str">
        <f>IF(OR($B663="",AZ$7=""),"",IF($B663="MEANS",INDEX('1-DATA'!$1:$1048576,$A662-1,COLUMN('1-DATA'!AY661)),ROUND(INDEX('1-DATA'!$1:$1048576,IF(OR($B663="STD. DEVIATION",$C$1=1),$A663,$A663+1),COLUMN('1-DATA'!AY661)),IF($B663="STD. DEVIATION",2,$F$1))))</f>
        <v/>
      </c>
    </row>
    <row r="664" spans="1:52" x14ac:dyDescent="0.25">
      <c r="A664" s="11">
        <f t="shared" si="10"/>
        <v>1978</v>
      </c>
      <c r="B664" s="1" t="str">
        <f>IF(B663="STD. DEVIATION",INDEX('1-DATA'!$1:$1048576,$A663-1,1),IF(INDEX('1-DATA'!$1:$1048576,$A664,1)&lt;&gt;"",INDEX('1-DATA'!$1:$1048576,$A664,1),""))</f>
        <v/>
      </c>
      <c r="C664" s="1" t="str">
        <f>IF(OR($B664="",C$7=""),"",IF($B664="MEANS",INDEX('1-DATA'!$1:$1048576,$A663-1,COLUMN('1-DATA'!B662)),ROUND(INDEX('1-DATA'!$1:$1048576,IF(OR($B664="STD. DEVIATION",$C$1=1),$A664,$A664+1),COLUMN('1-DATA'!B662)),IF($B664="STD. DEVIATION",2,$F$1))))</f>
        <v/>
      </c>
      <c r="D664" s="1" t="str">
        <f>IF(OR($B664="",D$7=""),"",IF($B664="MEANS",INDEX('1-DATA'!$1:$1048576,$A663-1,COLUMN('1-DATA'!C662)),ROUND(INDEX('1-DATA'!$1:$1048576,IF(OR($B664="STD. DEVIATION",$C$1=1),$A664,$A664+1),COLUMN('1-DATA'!C662)),IF($B664="STD. DEVIATION",2,$F$1))))</f>
        <v/>
      </c>
      <c r="E664" s="1" t="str">
        <f>IF(OR($B664="",E$7=""),"",IF($B664="MEANS",INDEX('1-DATA'!$1:$1048576,$A663-1,COLUMN('1-DATA'!D662)),ROUND(INDEX('1-DATA'!$1:$1048576,IF(OR($B664="STD. DEVIATION",$C$1=1),$A664,$A664+1),COLUMN('1-DATA'!D662)),IF($B664="STD. DEVIATION",2,$F$1))))</f>
        <v/>
      </c>
      <c r="F664" s="1" t="str">
        <f>IF(OR($B664="",F$7=""),"",IF($B664="MEANS",INDEX('1-DATA'!$1:$1048576,$A663-1,COLUMN('1-DATA'!E662)),ROUND(INDEX('1-DATA'!$1:$1048576,IF(OR($B664="STD. DEVIATION",$C$1=1),$A664,$A664+1),COLUMN('1-DATA'!E662)),IF($B664="STD. DEVIATION",2,$F$1))))</f>
        <v/>
      </c>
      <c r="G664" s="1" t="str">
        <f>IF(OR($B664="",G$7=""),"",IF($B664="MEANS",INDEX('1-DATA'!$1:$1048576,$A663-1,COLUMN('1-DATA'!F662)),ROUND(INDEX('1-DATA'!$1:$1048576,IF(OR($B664="STD. DEVIATION",$C$1=1),$A664,$A664+1),COLUMN('1-DATA'!F662)),IF($B664="STD. DEVIATION",2,$F$1))))</f>
        <v/>
      </c>
      <c r="H664" s="1" t="str">
        <f>IF(OR($B664="",H$7=""),"",IF($B664="MEANS",INDEX('1-DATA'!$1:$1048576,$A663-1,COLUMN('1-DATA'!G662)),ROUND(INDEX('1-DATA'!$1:$1048576,IF(OR($B664="STD. DEVIATION",$C$1=1),$A664,$A664+1),COLUMN('1-DATA'!G662)),IF($B664="STD. DEVIATION",2,$F$1))))</f>
        <v/>
      </c>
      <c r="I664" s="1" t="str">
        <f>IF(OR($B664="",I$7=""),"",IF($B664="MEANS",INDEX('1-DATA'!$1:$1048576,$A663-1,COLUMN('1-DATA'!H662)),ROUND(INDEX('1-DATA'!$1:$1048576,IF(OR($B664="STD. DEVIATION",$C$1=1),$A664,$A664+1),COLUMN('1-DATA'!H662)),IF($B664="STD. DEVIATION",2,$F$1))))</f>
        <v/>
      </c>
      <c r="J664" s="1" t="str">
        <f>IF(OR($B664="",J$7=""),"",IF($B664="MEANS",INDEX('1-DATA'!$1:$1048576,$A663-1,COLUMN('1-DATA'!I662)),ROUND(INDEX('1-DATA'!$1:$1048576,IF(OR($B664="STD. DEVIATION",$C$1=1),$A664,$A664+1),COLUMN('1-DATA'!I662)),IF($B664="STD. DEVIATION",2,$F$1))))</f>
        <v/>
      </c>
      <c r="K664" s="1" t="str">
        <f>IF(OR($B664="",K$7=""),"",IF($B664="MEANS",INDEX('1-DATA'!$1:$1048576,$A663-1,COLUMN('1-DATA'!J662)),ROUND(INDEX('1-DATA'!$1:$1048576,IF(OR($B664="STD. DEVIATION",$C$1=1),$A664,$A664+1),COLUMN('1-DATA'!J662)),IF($B664="STD. DEVIATION",2,$F$1))))</f>
        <v/>
      </c>
      <c r="L664" s="1" t="str">
        <f>IF(OR($B664="",L$7=""),"",IF($B664="MEANS",INDEX('1-DATA'!$1:$1048576,$A663-1,COLUMN('1-DATA'!K662)),ROUND(INDEX('1-DATA'!$1:$1048576,IF(OR($B664="STD. DEVIATION",$C$1=1),$A664,$A664+1),COLUMN('1-DATA'!K662)),IF($B664="STD. DEVIATION",2,$F$1))))</f>
        <v/>
      </c>
      <c r="M664" s="1" t="str">
        <f>IF(OR($B664="",M$7=""),"",IF($B664="MEANS",INDEX('1-DATA'!$1:$1048576,$A663-1,COLUMN('1-DATA'!L662)),ROUND(INDEX('1-DATA'!$1:$1048576,IF(OR($B664="STD. DEVIATION",$C$1=1),$A664,$A664+1),COLUMN('1-DATA'!L662)),IF($B664="STD. DEVIATION",2,$F$1))))</f>
        <v/>
      </c>
      <c r="N664" s="1" t="str">
        <f>IF(OR($B664="",N$7=""),"",IF($B664="MEANS",INDEX('1-DATA'!$1:$1048576,$A663-1,COLUMN('1-DATA'!M662)),ROUND(INDEX('1-DATA'!$1:$1048576,IF(OR($B664="STD. DEVIATION",$C$1=1),$A664,$A664+1),COLUMN('1-DATA'!M662)),IF($B664="STD. DEVIATION",2,$F$1))))</f>
        <v/>
      </c>
      <c r="O664" s="1" t="str">
        <f>IF(OR($B664="",O$7=""),"",IF($B664="MEANS",INDEX('1-DATA'!$1:$1048576,$A663-1,COLUMN('1-DATA'!N662)),ROUND(INDEX('1-DATA'!$1:$1048576,IF(OR($B664="STD. DEVIATION",$C$1=1),$A664,$A664+1),COLUMN('1-DATA'!N662)),IF($B664="STD. DEVIATION",2,$F$1))))</f>
        <v/>
      </c>
      <c r="P664" s="1" t="str">
        <f>IF(OR($B664="",P$7=""),"",IF($B664="MEANS",INDEX('1-DATA'!$1:$1048576,$A663-1,COLUMN('1-DATA'!O662)),ROUND(INDEX('1-DATA'!$1:$1048576,IF(OR($B664="STD. DEVIATION",$C$1=1),$A664,$A664+1),COLUMN('1-DATA'!O662)),IF($B664="STD. DEVIATION",2,$F$1))))</f>
        <v/>
      </c>
      <c r="Q664" s="1" t="str">
        <f>IF(OR($B664="",Q$7=""),"",IF($B664="MEANS",INDEX('1-DATA'!$1:$1048576,$A663-1,COLUMN('1-DATA'!P662)),ROUND(INDEX('1-DATA'!$1:$1048576,IF(OR($B664="STD. DEVIATION",$C$1=1),$A664,$A664+1),COLUMN('1-DATA'!P662)),IF($B664="STD. DEVIATION",2,$F$1))))</f>
        <v/>
      </c>
      <c r="R664" s="1" t="str">
        <f>IF(OR($B664="",R$7=""),"",IF($B664="MEANS",INDEX('1-DATA'!$1:$1048576,$A663-1,COLUMN('1-DATA'!Q662)),ROUND(INDEX('1-DATA'!$1:$1048576,IF(OR($B664="STD. DEVIATION",$C$1=1),$A664,$A664+1),COLUMN('1-DATA'!Q662)),IF($B664="STD. DEVIATION",2,$F$1))))</f>
        <v/>
      </c>
      <c r="S664" s="1" t="str">
        <f>IF(OR($B664="",S$7=""),"",IF($B664="MEANS",INDEX('1-DATA'!$1:$1048576,$A663-1,COLUMN('1-DATA'!R662)),ROUND(INDEX('1-DATA'!$1:$1048576,IF(OR($B664="STD. DEVIATION",$C$1=1),$A664,$A664+1),COLUMN('1-DATA'!R662)),IF($B664="STD. DEVIATION",2,$F$1))))</f>
        <v/>
      </c>
      <c r="T664" s="1" t="str">
        <f>IF(OR($B664="",T$7=""),"",IF($B664="MEANS",INDEX('1-DATA'!$1:$1048576,$A663-1,COLUMN('1-DATA'!S662)),ROUND(INDEX('1-DATA'!$1:$1048576,IF(OR($B664="STD. DEVIATION",$C$1=1),$A664,$A664+1),COLUMN('1-DATA'!S662)),IF($B664="STD. DEVIATION",2,$F$1))))</f>
        <v/>
      </c>
      <c r="U664" s="1" t="str">
        <f>IF(OR($B664="",U$7=""),"",IF($B664="MEANS",INDEX('1-DATA'!$1:$1048576,$A663-1,COLUMN('1-DATA'!T662)),ROUND(INDEX('1-DATA'!$1:$1048576,IF(OR($B664="STD. DEVIATION",$C$1=1),$A664,$A664+1),COLUMN('1-DATA'!T662)),IF($B664="STD. DEVIATION",2,$F$1))))</f>
        <v/>
      </c>
      <c r="V664" s="1" t="str">
        <f>IF(OR($B664="",V$7=""),"",IF($B664="MEANS",INDEX('1-DATA'!$1:$1048576,$A663-1,COLUMN('1-DATA'!U662)),ROUND(INDEX('1-DATA'!$1:$1048576,IF(OR($B664="STD. DEVIATION",$C$1=1),$A664,$A664+1),COLUMN('1-DATA'!U662)),IF($B664="STD. DEVIATION",2,$F$1))))</f>
        <v/>
      </c>
      <c r="W664" s="1" t="str">
        <f>IF(OR($B664="",W$7=""),"",IF($B664="MEANS",INDEX('1-DATA'!$1:$1048576,$A663-1,COLUMN('1-DATA'!V662)),ROUND(INDEX('1-DATA'!$1:$1048576,IF(OR($B664="STD. DEVIATION",$C$1=1),$A664,$A664+1),COLUMN('1-DATA'!V662)),IF($B664="STD. DEVIATION",2,$F$1))))</f>
        <v/>
      </c>
      <c r="X664" s="1" t="str">
        <f>IF(OR($B664="",X$7=""),"",IF($B664="MEANS",INDEX('1-DATA'!$1:$1048576,$A663-1,COLUMN('1-DATA'!W662)),ROUND(INDEX('1-DATA'!$1:$1048576,IF(OR($B664="STD. DEVIATION",$C$1=1),$A664,$A664+1),COLUMN('1-DATA'!W662)),IF($B664="STD. DEVIATION",2,$F$1))))</f>
        <v/>
      </c>
      <c r="Y664" s="1" t="str">
        <f>IF(OR($B664="",Y$7=""),"",IF($B664="MEANS",INDEX('1-DATA'!$1:$1048576,$A663-1,COLUMN('1-DATA'!X662)),ROUND(INDEX('1-DATA'!$1:$1048576,IF(OR($B664="STD. DEVIATION",$C$1=1),$A664,$A664+1),COLUMN('1-DATA'!X662)),IF($B664="STD. DEVIATION",2,$F$1))))</f>
        <v/>
      </c>
      <c r="Z664" s="1" t="str">
        <f>IF(OR($B664="",Z$7=""),"",IF($B664="MEANS",INDEX('1-DATA'!$1:$1048576,$A663-1,COLUMN('1-DATA'!Y662)),ROUND(INDEX('1-DATA'!$1:$1048576,IF(OR($B664="STD. DEVIATION",$C$1=1),$A664,$A664+1),COLUMN('1-DATA'!Y662)),IF($B664="STD. DEVIATION",2,$F$1))))</f>
        <v/>
      </c>
      <c r="AA664" s="1" t="str">
        <f>IF(OR($B664="",AA$7=""),"",IF($B664="MEANS",INDEX('1-DATA'!$1:$1048576,$A663-1,COLUMN('1-DATA'!Z662)),ROUND(INDEX('1-DATA'!$1:$1048576,IF(OR($B664="STD. DEVIATION",$C$1=1),$A664,$A664+1),COLUMN('1-DATA'!Z662)),IF($B664="STD. DEVIATION",2,$F$1))))</f>
        <v/>
      </c>
      <c r="AB664" s="1" t="str">
        <f>IF(OR($B664="",AB$7=""),"",IF($B664="MEANS",INDEX('1-DATA'!$1:$1048576,$A663-1,COLUMN('1-DATA'!AA662)),ROUND(INDEX('1-DATA'!$1:$1048576,IF(OR($B664="STD. DEVIATION",$C$1=1),$A664,$A664+1),COLUMN('1-DATA'!AA662)),IF($B664="STD. DEVIATION",2,$F$1))))</f>
        <v/>
      </c>
      <c r="AC664" s="1" t="str">
        <f>IF(OR($B664="",AC$7=""),"",IF($B664="MEANS",INDEX('1-DATA'!$1:$1048576,$A663-1,COLUMN('1-DATA'!AB662)),ROUND(INDEX('1-DATA'!$1:$1048576,IF(OR($B664="STD. DEVIATION",$C$1=1),$A664,$A664+1),COLUMN('1-DATA'!AB662)),IF($B664="STD. DEVIATION",2,$F$1))))</f>
        <v/>
      </c>
      <c r="AD664" s="1" t="str">
        <f>IF(OR($B664="",AD$7=""),"",IF($B664="MEANS",INDEX('1-DATA'!$1:$1048576,$A663-1,COLUMN('1-DATA'!AC662)),ROUND(INDEX('1-DATA'!$1:$1048576,IF(OR($B664="STD. DEVIATION",$C$1=1),$A664,$A664+1),COLUMN('1-DATA'!AC662)),IF($B664="STD. DEVIATION",2,$F$1))))</f>
        <v/>
      </c>
      <c r="AE664" s="1" t="str">
        <f>IF(OR($B664="",AE$7=""),"",IF($B664="MEANS",INDEX('1-DATA'!$1:$1048576,$A663-1,COLUMN('1-DATA'!AD662)),ROUND(INDEX('1-DATA'!$1:$1048576,IF(OR($B664="STD. DEVIATION",$C$1=1),$A664,$A664+1),COLUMN('1-DATA'!AD662)),IF($B664="STD. DEVIATION",2,$F$1))))</f>
        <v/>
      </c>
      <c r="AF664" s="1" t="str">
        <f>IF(OR($B664="",AF$7=""),"",IF($B664="MEANS",INDEX('1-DATA'!$1:$1048576,$A663-1,COLUMN('1-DATA'!AE662)),ROUND(INDEX('1-DATA'!$1:$1048576,IF(OR($B664="STD. DEVIATION",$C$1=1),$A664,$A664+1),COLUMN('1-DATA'!AE662)),IF($B664="STD. DEVIATION",2,$F$1))))</f>
        <v/>
      </c>
      <c r="AG664" s="1" t="str">
        <f>IF(OR($B664="",AG$7=""),"",IF($B664="MEANS",INDEX('1-DATA'!$1:$1048576,$A663-1,COLUMN('1-DATA'!AF662)),ROUND(INDEX('1-DATA'!$1:$1048576,IF(OR($B664="STD. DEVIATION",$C$1=1),$A664,$A664+1),COLUMN('1-DATA'!AF662)),IF($B664="STD. DEVIATION",2,$F$1))))</f>
        <v/>
      </c>
      <c r="AH664" s="1" t="str">
        <f>IF(OR($B664="",AH$7=""),"",IF($B664="MEANS",INDEX('1-DATA'!$1:$1048576,$A663-1,COLUMN('1-DATA'!AG662)),ROUND(INDEX('1-DATA'!$1:$1048576,IF(OR($B664="STD. DEVIATION",$C$1=1),$A664,$A664+1),COLUMN('1-DATA'!AG662)),IF($B664="STD. DEVIATION",2,$F$1))))</f>
        <v/>
      </c>
      <c r="AI664" s="1" t="str">
        <f>IF(OR($B664="",AI$7=""),"",IF($B664="MEANS",INDEX('1-DATA'!$1:$1048576,$A663-1,COLUMN('1-DATA'!AH662)),ROUND(INDEX('1-DATA'!$1:$1048576,IF(OR($B664="STD. DEVIATION",$C$1=1),$A664,$A664+1),COLUMN('1-DATA'!AH662)),IF($B664="STD. DEVIATION",2,$F$1))))</f>
        <v/>
      </c>
      <c r="AJ664" s="1" t="str">
        <f>IF(OR($B664="",AJ$7=""),"",IF($B664="MEANS",INDEX('1-DATA'!$1:$1048576,$A663-1,COLUMN('1-DATA'!AI662)),ROUND(INDEX('1-DATA'!$1:$1048576,IF(OR($B664="STD. DEVIATION",$C$1=1),$A664,$A664+1),COLUMN('1-DATA'!AI662)),IF($B664="STD. DEVIATION",2,$F$1))))</f>
        <v/>
      </c>
      <c r="AK664" s="1" t="str">
        <f>IF(OR($B664="",AK$7=""),"",IF($B664="MEANS",INDEX('1-DATA'!$1:$1048576,$A663-1,COLUMN('1-DATA'!AJ662)),ROUND(INDEX('1-DATA'!$1:$1048576,IF(OR($B664="STD. DEVIATION",$C$1=1),$A664,$A664+1),COLUMN('1-DATA'!AJ662)),IF($B664="STD. DEVIATION",2,$F$1))))</f>
        <v/>
      </c>
      <c r="AL664" s="1" t="str">
        <f>IF(OR($B664="",AL$7=""),"",IF($B664="MEANS",INDEX('1-DATA'!$1:$1048576,$A663-1,COLUMN('1-DATA'!AK662)),ROUND(INDEX('1-DATA'!$1:$1048576,IF(OR($B664="STD. DEVIATION",$C$1=1),$A664,$A664+1),COLUMN('1-DATA'!AK662)),IF($B664="STD. DEVIATION",2,$F$1))))</f>
        <v/>
      </c>
      <c r="AM664" s="1" t="str">
        <f>IF(OR($B664="",AM$7=""),"",IF($B664="MEANS",INDEX('1-DATA'!$1:$1048576,$A663-1,COLUMN('1-DATA'!AL662)),ROUND(INDEX('1-DATA'!$1:$1048576,IF(OR($B664="STD. DEVIATION",$C$1=1),$A664,$A664+1),COLUMN('1-DATA'!AL662)),IF($B664="STD. DEVIATION",2,$F$1))))</f>
        <v/>
      </c>
      <c r="AN664" s="1" t="str">
        <f>IF(OR($B664="",AN$7=""),"",IF($B664="MEANS",INDEX('1-DATA'!$1:$1048576,$A663-1,COLUMN('1-DATA'!AM662)),ROUND(INDEX('1-DATA'!$1:$1048576,IF(OR($B664="STD. DEVIATION",$C$1=1),$A664,$A664+1),COLUMN('1-DATA'!AM662)),IF($B664="STD. DEVIATION",2,$F$1))))</f>
        <v/>
      </c>
      <c r="AO664" s="1" t="str">
        <f>IF(OR($B664="",AO$7=""),"",IF($B664="MEANS",INDEX('1-DATA'!$1:$1048576,$A663-1,COLUMN('1-DATA'!AN662)),ROUND(INDEX('1-DATA'!$1:$1048576,IF(OR($B664="STD. DEVIATION",$C$1=1),$A664,$A664+1),COLUMN('1-DATA'!AN662)),IF($B664="STD. DEVIATION",2,$F$1))))</f>
        <v/>
      </c>
      <c r="AP664" s="1" t="str">
        <f>IF(OR($B664="",AP$7=""),"",IF($B664="MEANS",INDEX('1-DATA'!$1:$1048576,$A663-1,COLUMN('1-DATA'!AO662)),ROUND(INDEX('1-DATA'!$1:$1048576,IF(OR($B664="STD. DEVIATION",$C$1=1),$A664,$A664+1),COLUMN('1-DATA'!AO662)),IF($B664="STD. DEVIATION",2,$F$1))))</f>
        <v/>
      </c>
      <c r="AQ664" s="1" t="str">
        <f>IF(OR($B664="",AQ$7=""),"",IF($B664="MEANS",INDEX('1-DATA'!$1:$1048576,$A663-1,COLUMN('1-DATA'!AP662)),ROUND(INDEX('1-DATA'!$1:$1048576,IF(OR($B664="STD. DEVIATION",$C$1=1),$A664,$A664+1),COLUMN('1-DATA'!AP662)),IF($B664="STD. DEVIATION",2,$F$1))))</f>
        <v/>
      </c>
      <c r="AR664" s="1" t="str">
        <f>IF(OR($B664="",AR$7=""),"",IF($B664="MEANS",INDEX('1-DATA'!$1:$1048576,$A663-1,COLUMN('1-DATA'!AQ662)),ROUND(INDEX('1-DATA'!$1:$1048576,IF(OR($B664="STD. DEVIATION",$C$1=1),$A664,$A664+1),COLUMN('1-DATA'!AQ662)),IF($B664="STD. DEVIATION",2,$F$1))))</f>
        <v/>
      </c>
      <c r="AS664" s="1" t="str">
        <f>IF(OR($B664="",AS$7=""),"",IF($B664="MEANS",INDEX('1-DATA'!$1:$1048576,$A663-1,COLUMN('1-DATA'!AR662)),ROUND(INDEX('1-DATA'!$1:$1048576,IF(OR($B664="STD. DEVIATION",$C$1=1),$A664,$A664+1),COLUMN('1-DATA'!AR662)),IF($B664="STD. DEVIATION",2,$F$1))))</f>
        <v/>
      </c>
      <c r="AT664" s="1" t="str">
        <f>IF(OR($B664="",AT$7=""),"",IF($B664="MEANS",INDEX('1-DATA'!$1:$1048576,$A663-1,COLUMN('1-DATA'!AS662)),ROUND(INDEX('1-DATA'!$1:$1048576,IF(OR($B664="STD. DEVIATION",$C$1=1),$A664,$A664+1),COLUMN('1-DATA'!AS662)),IF($B664="STD. DEVIATION",2,$F$1))))</f>
        <v/>
      </c>
      <c r="AU664" s="1" t="str">
        <f>IF(OR($B664="",AU$7=""),"",IF($B664="MEANS",INDEX('1-DATA'!$1:$1048576,$A663-1,COLUMN('1-DATA'!AT662)),ROUND(INDEX('1-DATA'!$1:$1048576,IF(OR($B664="STD. DEVIATION",$C$1=1),$A664,$A664+1),COLUMN('1-DATA'!AT662)),IF($B664="STD. DEVIATION",2,$F$1))))</f>
        <v/>
      </c>
      <c r="AV664" s="1" t="str">
        <f>IF(OR($B664="",AV$7=""),"",IF($B664="MEANS",INDEX('1-DATA'!$1:$1048576,$A663-1,COLUMN('1-DATA'!AU662)),ROUND(INDEX('1-DATA'!$1:$1048576,IF(OR($B664="STD. DEVIATION",$C$1=1),$A664,$A664+1),COLUMN('1-DATA'!AU662)),IF($B664="STD. DEVIATION",2,$F$1))))</f>
        <v/>
      </c>
      <c r="AW664" s="1" t="str">
        <f>IF(OR($B664="",AW$7=""),"",IF($B664="MEANS",INDEX('1-DATA'!$1:$1048576,$A663-1,COLUMN('1-DATA'!AV662)),ROUND(INDEX('1-DATA'!$1:$1048576,IF(OR($B664="STD. DEVIATION",$C$1=1),$A664,$A664+1),COLUMN('1-DATA'!AV662)),IF($B664="STD. DEVIATION",2,$F$1))))</f>
        <v/>
      </c>
      <c r="AX664" s="1" t="str">
        <f>IF(OR($B664="",AX$7=""),"",IF($B664="MEANS",INDEX('1-DATA'!$1:$1048576,$A663-1,COLUMN('1-DATA'!AW662)),ROUND(INDEX('1-DATA'!$1:$1048576,IF(OR($B664="STD. DEVIATION",$C$1=1),$A664,$A664+1),COLUMN('1-DATA'!AW662)),IF($B664="STD. DEVIATION",2,$F$1))))</f>
        <v/>
      </c>
      <c r="AY664" s="1" t="str">
        <f>IF(OR($B664="",AY$7=""),"",IF($B664="MEANS",INDEX('1-DATA'!$1:$1048576,$A663-1,COLUMN('1-DATA'!AX662)),ROUND(INDEX('1-DATA'!$1:$1048576,IF(OR($B664="STD. DEVIATION",$C$1=1),$A664,$A664+1),COLUMN('1-DATA'!AX662)),IF($B664="STD. DEVIATION",2,$F$1))))</f>
        <v/>
      </c>
      <c r="AZ664" s="1" t="str">
        <f>IF(OR($B664="",AZ$7=""),"",IF($B664="MEANS",INDEX('1-DATA'!$1:$1048576,$A663-1,COLUMN('1-DATA'!AY662)),ROUND(INDEX('1-DATA'!$1:$1048576,IF(OR($B664="STD. DEVIATION",$C$1=1),$A664,$A664+1),COLUMN('1-DATA'!AY662)),IF($B664="STD. DEVIATION",2,$F$1))))</f>
        <v/>
      </c>
    </row>
    <row r="665" spans="1:52" x14ac:dyDescent="0.25">
      <c r="A665" s="11">
        <f t="shared" si="10"/>
        <v>1981</v>
      </c>
      <c r="B665" s="1" t="str">
        <f>IF(B664="STD. DEVIATION",INDEX('1-DATA'!$1:$1048576,$A664-1,1),IF(INDEX('1-DATA'!$1:$1048576,$A665,1)&lt;&gt;"",INDEX('1-DATA'!$1:$1048576,$A665,1),""))</f>
        <v/>
      </c>
      <c r="C665" s="1" t="str">
        <f>IF(OR($B665="",C$7=""),"",IF($B665="MEANS",INDEX('1-DATA'!$1:$1048576,$A664-1,COLUMN('1-DATA'!B663)),ROUND(INDEX('1-DATA'!$1:$1048576,IF(OR($B665="STD. DEVIATION",$C$1=1),$A665,$A665+1),COLUMN('1-DATA'!B663)),IF($B665="STD. DEVIATION",2,$F$1))))</f>
        <v/>
      </c>
      <c r="D665" s="1" t="str">
        <f>IF(OR($B665="",D$7=""),"",IF($B665="MEANS",INDEX('1-DATA'!$1:$1048576,$A664-1,COLUMN('1-DATA'!C663)),ROUND(INDEX('1-DATA'!$1:$1048576,IF(OR($B665="STD. DEVIATION",$C$1=1),$A665,$A665+1),COLUMN('1-DATA'!C663)),IF($B665="STD. DEVIATION",2,$F$1))))</f>
        <v/>
      </c>
      <c r="E665" s="1" t="str">
        <f>IF(OR($B665="",E$7=""),"",IF($B665="MEANS",INDEX('1-DATA'!$1:$1048576,$A664-1,COLUMN('1-DATA'!D663)),ROUND(INDEX('1-DATA'!$1:$1048576,IF(OR($B665="STD. DEVIATION",$C$1=1),$A665,$A665+1),COLUMN('1-DATA'!D663)),IF($B665="STD. DEVIATION",2,$F$1))))</f>
        <v/>
      </c>
      <c r="F665" s="1" t="str">
        <f>IF(OR($B665="",F$7=""),"",IF($B665="MEANS",INDEX('1-DATA'!$1:$1048576,$A664-1,COLUMN('1-DATA'!E663)),ROUND(INDEX('1-DATA'!$1:$1048576,IF(OR($B665="STD. DEVIATION",$C$1=1),$A665,$A665+1),COLUMN('1-DATA'!E663)),IF($B665="STD. DEVIATION",2,$F$1))))</f>
        <v/>
      </c>
      <c r="G665" s="1" t="str">
        <f>IF(OR($B665="",G$7=""),"",IF($B665="MEANS",INDEX('1-DATA'!$1:$1048576,$A664-1,COLUMN('1-DATA'!F663)),ROUND(INDEX('1-DATA'!$1:$1048576,IF(OR($B665="STD. DEVIATION",$C$1=1),$A665,$A665+1),COLUMN('1-DATA'!F663)),IF($B665="STD. DEVIATION",2,$F$1))))</f>
        <v/>
      </c>
      <c r="H665" s="1" t="str">
        <f>IF(OR($B665="",H$7=""),"",IF($B665="MEANS",INDEX('1-DATA'!$1:$1048576,$A664-1,COLUMN('1-DATA'!G663)),ROUND(INDEX('1-DATA'!$1:$1048576,IF(OR($B665="STD. DEVIATION",$C$1=1),$A665,$A665+1),COLUMN('1-DATA'!G663)),IF($B665="STD. DEVIATION",2,$F$1))))</f>
        <v/>
      </c>
      <c r="I665" s="1" t="str">
        <f>IF(OR($B665="",I$7=""),"",IF($B665="MEANS",INDEX('1-DATA'!$1:$1048576,$A664-1,COLUMN('1-DATA'!H663)),ROUND(INDEX('1-DATA'!$1:$1048576,IF(OR($B665="STD. DEVIATION",$C$1=1),$A665,$A665+1),COLUMN('1-DATA'!H663)),IF($B665="STD. DEVIATION",2,$F$1))))</f>
        <v/>
      </c>
      <c r="J665" s="1" t="str">
        <f>IF(OR($B665="",J$7=""),"",IF($B665="MEANS",INDEX('1-DATA'!$1:$1048576,$A664-1,COLUMN('1-DATA'!I663)),ROUND(INDEX('1-DATA'!$1:$1048576,IF(OR($B665="STD. DEVIATION",$C$1=1),$A665,$A665+1),COLUMN('1-DATA'!I663)),IF($B665="STD. DEVIATION",2,$F$1))))</f>
        <v/>
      </c>
      <c r="K665" s="1" t="str">
        <f>IF(OR($B665="",K$7=""),"",IF($B665="MEANS",INDEX('1-DATA'!$1:$1048576,$A664-1,COLUMN('1-DATA'!J663)),ROUND(INDEX('1-DATA'!$1:$1048576,IF(OR($B665="STD. DEVIATION",$C$1=1),$A665,$A665+1),COLUMN('1-DATA'!J663)),IF($B665="STD. DEVIATION",2,$F$1))))</f>
        <v/>
      </c>
      <c r="L665" s="1" t="str">
        <f>IF(OR($B665="",L$7=""),"",IF($B665="MEANS",INDEX('1-DATA'!$1:$1048576,$A664-1,COLUMN('1-DATA'!K663)),ROUND(INDEX('1-DATA'!$1:$1048576,IF(OR($B665="STD. DEVIATION",$C$1=1),$A665,$A665+1),COLUMN('1-DATA'!K663)),IF($B665="STD. DEVIATION",2,$F$1))))</f>
        <v/>
      </c>
      <c r="M665" s="1" t="str">
        <f>IF(OR($B665="",M$7=""),"",IF($B665="MEANS",INDEX('1-DATA'!$1:$1048576,$A664-1,COLUMN('1-DATA'!L663)),ROUND(INDEX('1-DATA'!$1:$1048576,IF(OR($B665="STD. DEVIATION",$C$1=1),$A665,$A665+1),COLUMN('1-DATA'!L663)),IF($B665="STD. DEVIATION",2,$F$1))))</f>
        <v/>
      </c>
      <c r="N665" s="1" t="str">
        <f>IF(OR($B665="",N$7=""),"",IF($B665="MEANS",INDEX('1-DATA'!$1:$1048576,$A664-1,COLUMN('1-DATA'!M663)),ROUND(INDEX('1-DATA'!$1:$1048576,IF(OR($B665="STD. DEVIATION",$C$1=1),$A665,$A665+1),COLUMN('1-DATA'!M663)),IF($B665="STD. DEVIATION",2,$F$1))))</f>
        <v/>
      </c>
      <c r="O665" s="1" t="str">
        <f>IF(OR($B665="",O$7=""),"",IF($B665="MEANS",INDEX('1-DATA'!$1:$1048576,$A664-1,COLUMN('1-DATA'!N663)),ROUND(INDEX('1-DATA'!$1:$1048576,IF(OR($B665="STD. DEVIATION",$C$1=1),$A665,$A665+1),COLUMN('1-DATA'!N663)),IF($B665="STD. DEVIATION",2,$F$1))))</f>
        <v/>
      </c>
      <c r="P665" s="1" t="str">
        <f>IF(OR($B665="",P$7=""),"",IF($B665="MEANS",INDEX('1-DATA'!$1:$1048576,$A664-1,COLUMN('1-DATA'!O663)),ROUND(INDEX('1-DATA'!$1:$1048576,IF(OR($B665="STD. DEVIATION",$C$1=1),$A665,$A665+1),COLUMN('1-DATA'!O663)),IF($B665="STD. DEVIATION",2,$F$1))))</f>
        <v/>
      </c>
      <c r="Q665" s="1" t="str">
        <f>IF(OR($B665="",Q$7=""),"",IF($B665="MEANS",INDEX('1-DATA'!$1:$1048576,$A664-1,COLUMN('1-DATA'!P663)),ROUND(INDEX('1-DATA'!$1:$1048576,IF(OR($B665="STD. DEVIATION",$C$1=1),$A665,$A665+1),COLUMN('1-DATA'!P663)),IF($B665="STD. DEVIATION",2,$F$1))))</f>
        <v/>
      </c>
      <c r="R665" s="1" t="str">
        <f>IF(OR($B665="",R$7=""),"",IF($B665="MEANS",INDEX('1-DATA'!$1:$1048576,$A664-1,COLUMN('1-DATA'!Q663)),ROUND(INDEX('1-DATA'!$1:$1048576,IF(OR($B665="STD. DEVIATION",$C$1=1),$A665,$A665+1),COLUMN('1-DATA'!Q663)),IF($B665="STD. DEVIATION",2,$F$1))))</f>
        <v/>
      </c>
      <c r="S665" s="1" t="str">
        <f>IF(OR($B665="",S$7=""),"",IF($B665="MEANS",INDEX('1-DATA'!$1:$1048576,$A664-1,COLUMN('1-DATA'!R663)),ROUND(INDEX('1-DATA'!$1:$1048576,IF(OR($B665="STD. DEVIATION",$C$1=1),$A665,$A665+1),COLUMN('1-DATA'!R663)),IF($B665="STD. DEVIATION",2,$F$1))))</f>
        <v/>
      </c>
      <c r="T665" s="1" t="str">
        <f>IF(OR($B665="",T$7=""),"",IF($B665="MEANS",INDEX('1-DATA'!$1:$1048576,$A664-1,COLUMN('1-DATA'!S663)),ROUND(INDEX('1-DATA'!$1:$1048576,IF(OR($B665="STD. DEVIATION",$C$1=1),$A665,$A665+1),COLUMN('1-DATA'!S663)),IF($B665="STD. DEVIATION",2,$F$1))))</f>
        <v/>
      </c>
      <c r="U665" s="1" t="str">
        <f>IF(OR($B665="",U$7=""),"",IF($B665="MEANS",INDEX('1-DATA'!$1:$1048576,$A664-1,COLUMN('1-DATA'!T663)),ROUND(INDEX('1-DATA'!$1:$1048576,IF(OR($B665="STD. DEVIATION",$C$1=1),$A665,$A665+1),COLUMN('1-DATA'!T663)),IF($B665="STD. DEVIATION",2,$F$1))))</f>
        <v/>
      </c>
      <c r="V665" s="1" t="str">
        <f>IF(OR($B665="",V$7=""),"",IF($B665="MEANS",INDEX('1-DATA'!$1:$1048576,$A664-1,COLUMN('1-DATA'!U663)),ROUND(INDEX('1-DATA'!$1:$1048576,IF(OR($B665="STD. DEVIATION",$C$1=1),$A665,$A665+1),COLUMN('1-DATA'!U663)),IF($B665="STD. DEVIATION",2,$F$1))))</f>
        <v/>
      </c>
      <c r="W665" s="1" t="str">
        <f>IF(OR($B665="",W$7=""),"",IF($B665="MEANS",INDEX('1-DATA'!$1:$1048576,$A664-1,COLUMN('1-DATA'!V663)),ROUND(INDEX('1-DATA'!$1:$1048576,IF(OR($B665="STD. DEVIATION",$C$1=1),$A665,$A665+1),COLUMN('1-DATA'!V663)),IF($B665="STD. DEVIATION",2,$F$1))))</f>
        <v/>
      </c>
      <c r="X665" s="1" t="str">
        <f>IF(OR($B665="",X$7=""),"",IF($B665="MEANS",INDEX('1-DATA'!$1:$1048576,$A664-1,COLUMN('1-DATA'!W663)),ROUND(INDEX('1-DATA'!$1:$1048576,IF(OR($B665="STD. DEVIATION",$C$1=1),$A665,$A665+1),COLUMN('1-DATA'!W663)),IF($B665="STD. DEVIATION",2,$F$1))))</f>
        <v/>
      </c>
      <c r="Y665" s="1" t="str">
        <f>IF(OR($B665="",Y$7=""),"",IF($B665="MEANS",INDEX('1-DATA'!$1:$1048576,$A664-1,COLUMN('1-DATA'!X663)),ROUND(INDEX('1-DATA'!$1:$1048576,IF(OR($B665="STD. DEVIATION",$C$1=1),$A665,$A665+1),COLUMN('1-DATA'!X663)),IF($B665="STD. DEVIATION",2,$F$1))))</f>
        <v/>
      </c>
      <c r="Z665" s="1" t="str">
        <f>IF(OR($B665="",Z$7=""),"",IF($B665="MEANS",INDEX('1-DATA'!$1:$1048576,$A664-1,COLUMN('1-DATA'!Y663)),ROUND(INDEX('1-DATA'!$1:$1048576,IF(OR($B665="STD. DEVIATION",$C$1=1),$A665,$A665+1),COLUMN('1-DATA'!Y663)),IF($B665="STD. DEVIATION",2,$F$1))))</f>
        <v/>
      </c>
      <c r="AA665" s="1" t="str">
        <f>IF(OR($B665="",AA$7=""),"",IF($B665="MEANS",INDEX('1-DATA'!$1:$1048576,$A664-1,COLUMN('1-DATA'!Z663)),ROUND(INDEX('1-DATA'!$1:$1048576,IF(OR($B665="STD. DEVIATION",$C$1=1),$A665,$A665+1),COLUMN('1-DATA'!Z663)),IF($B665="STD. DEVIATION",2,$F$1))))</f>
        <v/>
      </c>
      <c r="AB665" s="1" t="str">
        <f>IF(OR($B665="",AB$7=""),"",IF($B665="MEANS",INDEX('1-DATA'!$1:$1048576,$A664-1,COLUMN('1-DATA'!AA663)),ROUND(INDEX('1-DATA'!$1:$1048576,IF(OR($B665="STD. DEVIATION",$C$1=1),$A665,$A665+1),COLUMN('1-DATA'!AA663)),IF($B665="STD. DEVIATION",2,$F$1))))</f>
        <v/>
      </c>
      <c r="AC665" s="1" t="str">
        <f>IF(OR($B665="",AC$7=""),"",IF($B665="MEANS",INDEX('1-DATA'!$1:$1048576,$A664-1,COLUMN('1-DATA'!AB663)),ROUND(INDEX('1-DATA'!$1:$1048576,IF(OR($B665="STD. DEVIATION",$C$1=1),$A665,$A665+1),COLUMN('1-DATA'!AB663)),IF($B665="STD. DEVIATION",2,$F$1))))</f>
        <v/>
      </c>
      <c r="AD665" s="1" t="str">
        <f>IF(OR($B665="",AD$7=""),"",IF($B665="MEANS",INDEX('1-DATA'!$1:$1048576,$A664-1,COLUMN('1-DATA'!AC663)),ROUND(INDEX('1-DATA'!$1:$1048576,IF(OR($B665="STD. DEVIATION",$C$1=1),$A665,$A665+1),COLUMN('1-DATA'!AC663)),IF($B665="STD. DEVIATION",2,$F$1))))</f>
        <v/>
      </c>
      <c r="AE665" s="1" t="str">
        <f>IF(OR($B665="",AE$7=""),"",IF($B665="MEANS",INDEX('1-DATA'!$1:$1048576,$A664-1,COLUMN('1-DATA'!AD663)),ROUND(INDEX('1-DATA'!$1:$1048576,IF(OR($B665="STD. DEVIATION",$C$1=1),$A665,$A665+1),COLUMN('1-DATA'!AD663)),IF($B665="STD. DEVIATION",2,$F$1))))</f>
        <v/>
      </c>
      <c r="AF665" s="1" t="str">
        <f>IF(OR($B665="",AF$7=""),"",IF($B665="MEANS",INDEX('1-DATA'!$1:$1048576,$A664-1,COLUMN('1-DATA'!AE663)),ROUND(INDEX('1-DATA'!$1:$1048576,IF(OR($B665="STD. DEVIATION",$C$1=1),$A665,$A665+1),COLUMN('1-DATA'!AE663)),IF($B665="STD. DEVIATION",2,$F$1))))</f>
        <v/>
      </c>
      <c r="AG665" s="1" t="str">
        <f>IF(OR($B665="",AG$7=""),"",IF($B665="MEANS",INDEX('1-DATA'!$1:$1048576,$A664-1,COLUMN('1-DATA'!AF663)),ROUND(INDEX('1-DATA'!$1:$1048576,IF(OR($B665="STD. DEVIATION",$C$1=1),$A665,$A665+1),COLUMN('1-DATA'!AF663)),IF($B665="STD. DEVIATION",2,$F$1))))</f>
        <v/>
      </c>
      <c r="AH665" s="1" t="str">
        <f>IF(OR($B665="",AH$7=""),"",IF($B665="MEANS",INDEX('1-DATA'!$1:$1048576,$A664-1,COLUMN('1-DATA'!AG663)),ROUND(INDEX('1-DATA'!$1:$1048576,IF(OR($B665="STD. DEVIATION",$C$1=1),$A665,$A665+1),COLUMN('1-DATA'!AG663)),IF($B665="STD. DEVIATION",2,$F$1))))</f>
        <v/>
      </c>
      <c r="AI665" s="1" t="str">
        <f>IF(OR($B665="",AI$7=""),"",IF($B665="MEANS",INDEX('1-DATA'!$1:$1048576,$A664-1,COLUMN('1-DATA'!AH663)),ROUND(INDEX('1-DATA'!$1:$1048576,IF(OR($B665="STD. DEVIATION",$C$1=1),$A665,$A665+1),COLUMN('1-DATA'!AH663)),IF($B665="STD. DEVIATION",2,$F$1))))</f>
        <v/>
      </c>
      <c r="AJ665" s="1" t="str">
        <f>IF(OR($B665="",AJ$7=""),"",IF($B665="MEANS",INDEX('1-DATA'!$1:$1048576,$A664-1,COLUMN('1-DATA'!AI663)),ROUND(INDEX('1-DATA'!$1:$1048576,IF(OR($B665="STD. DEVIATION",$C$1=1),$A665,$A665+1),COLUMN('1-DATA'!AI663)),IF($B665="STD. DEVIATION",2,$F$1))))</f>
        <v/>
      </c>
      <c r="AK665" s="1" t="str">
        <f>IF(OR($B665="",AK$7=""),"",IF($B665="MEANS",INDEX('1-DATA'!$1:$1048576,$A664-1,COLUMN('1-DATA'!AJ663)),ROUND(INDEX('1-DATA'!$1:$1048576,IF(OR($B665="STD. DEVIATION",$C$1=1),$A665,$A665+1),COLUMN('1-DATA'!AJ663)),IF($B665="STD. DEVIATION",2,$F$1))))</f>
        <v/>
      </c>
      <c r="AL665" s="1" t="str">
        <f>IF(OR($B665="",AL$7=""),"",IF($B665="MEANS",INDEX('1-DATA'!$1:$1048576,$A664-1,COLUMN('1-DATA'!AK663)),ROUND(INDEX('1-DATA'!$1:$1048576,IF(OR($B665="STD. DEVIATION",$C$1=1),$A665,$A665+1),COLUMN('1-DATA'!AK663)),IF($B665="STD. DEVIATION",2,$F$1))))</f>
        <v/>
      </c>
      <c r="AM665" s="1" t="str">
        <f>IF(OR($B665="",AM$7=""),"",IF($B665="MEANS",INDEX('1-DATA'!$1:$1048576,$A664-1,COLUMN('1-DATA'!AL663)),ROUND(INDEX('1-DATA'!$1:$1048576,IF(OR($B665="STD. DEVIATION",$C$1=1),$A665,$A665+1),COLUMN('1-DATA'!AL663)),IF($B665="STD. DEVIATION",2,$F$1))))</f>
        <v/>
      </c>
      <c r="AN665" s="1" t="str">
        <f>IF(OR($B665="",AN$7=""),"",IF($B665="MEANS",INDEX('1-DATA'!$1:$1048576,$A664-1,COLUMN('1-DATA'!AM663)),ROUND(INDEX('1-DATA'!$1:$1048576,IF(OR($B665="STD. DEVIATION",$C$1=1),$A665,$A665+1),COLUMN('1-DATA'!AM663)),IF($B665="STD. DEVIATION",2,$F$1))))</f>
        <v/>
      </c>
      <c r="AO665" s="1" t="str">
        <f>IF(OR($B665="",AO$7=""),"",IF($B665="MEANS",INDEX('1-DATA'!$1:$1048576,$A664-1,COLUMN('1-DATA'!AN663)),ROUND(INDEX('1-DATA'!$1:$1048576,IF(OR($B665="STD. DEVIATION",$C$1=1),$A665,$A665+1),COLUMN('1-DATA'!AN663)),IF($B665="STD. DEVIATION",2,$F$1))))</f>
        <v/>
      </c>
      <c r="AP665" s="1" t="str">
        <f>IF(OR($B665="",AP$7=""),"",IF($B665="MEANS",INDEX('1-DATA'!$1:$1048576,$A664-1,COLUMN('1-DATA'!AO663)),ROUND(INDEX('1-DATA'!$1:$1048576,IF(OR($B665="STD. DEVIATION",$C$1=1),$A665,$A665+1),COLUMN('1-DATA'!AO663)),IF($B665="STD. DEVIATION",2,$F$1))))</f>
        <v/>
      </c>
      <c r="AQ665" s="1" t="str">
        <f>IF(OR($B665="",AQ$7=""),"",IF($B665="MEANS",INDEX('1-DATA'!$1:$1048576,$A664-1,COLUMN('1-DATA'!AP663)),ROUND(INDEX('1-DATA'!$1:$1048576,IF(OR($B665="STD. DEVIATION",$C$1=1),$A665,$A665+1),COLUMN('1-DATA'!AP663)),IF($B665="STD. DEVIATION",2,$F$1))))</f>
        <v/>
      </c>
      <c r="AR665" s="1" t="str">
        <f>IF(OR($B665="",AR$7=""),"",IF($B665="MEANS",INDEX('1-DATA'!$1:$1048576,$A664-1,COLUMN('1-DATA'!AQ663)),ROUND(INDEX('1-DATA'!$1:$1048576,IF(OR($B665="STD. DEVIATION",$C$1=1),$A665,$A665+1),COLUMN('1-DATA'!AQ663)),IF($B665="STD. DEVIATION",2,$F$1))))</f>
        <v/>
      </c>
      <c r="AS665" s="1" t="str">
        <f>IF(OR($B665="",AS$7=""),"",IF($B665="MEANS",INDEX('1-DATA'!$1:$1048576,$A664-1,COLUMN('1-DATA'!AR663)),ROUND(INDEX('1-DATA'!$1:$1048576,IF(OR($B665="STD. DEVIATION",$C$1=1),$A665,$A665+1),COLUMN('1-DATA'!AR663)),IF($B665="STD. DEVIATION",2,$F$1))))</f>
        <v/>
      </c>
      <c r="AT665" s="1" t="str">
        <f>IF(OR($B665="",AT$7=""),"",IF($B665="MEANS",INDEX('1-DATA'!$1:$1048576,$A664-1,COLUMN('1-DATA'!AS663)),ROUND(INDEX('1-DATA'!$1:$1048576,IF(OR($B665="STD. DEVIATION",$C$1=1),$A665,$A665+1),COLUMN('1-DATA'!AS663)),IF($B665="STD. DEVIATION",2,$F$1))))</f>
        <v/>
      </c>
      <c r="AU665" s="1" t="str">
        <f>IF(OR($B665="",AU$7=""),"",IF($B665="MEANS",INDEX('1-DATA'!$1:$1048576,$A664-1,COLUMN('1-DATA'!AT663)),ROUND(INDEX('1-DATA'!$1:$1048576,IF(OR($B665="STD. DEVIATION",$C$1=1),$A665,$A665+1),COLUMN('1-DATA'!AT663)),IF($B665="STD. DEVIATION",2,$F$1))))</f>
        <v/>
      </c>
      <c r="AV665" s="1" t="str">
        <f>IF(OR($B665="",AV$7=""),"",IF($B665="MEANS",INDEX('1-DATA'!$1:$1048576,$A664-1,COLUMN('1-DATA'!AU663)),ROUND(INDEX('1-DATA'!$1:$1048576,IF(OR($B665="STD. DEVIATION",$C$1=1),$A665,$A665+1),COLUMN('1-DATA'!AU663)),IF($B665="STD. DEVIATION",2,$F$1))))</f>
        <v/>
      </c>
      <c r="AW665" s="1" t="str">
        <f>IF(OR($B665="",AW$7=""),"",IF($B665="MEANS",INDEX('1-DATA'!$1:$1048576,$A664-1,COLUMN('1-DATA'!AV663)),ROUND(INDEX('1-DATA'!$1:$1048576,IF(OR($B665="STD. DEVIATION",$C$1=1),$A665,$A665+1),COLUMN('1-DATA'!AV663)),IF($B665="STD. DEVIATION",2,$F$1))))</f>
        <v/>
      </c>
      <c r="AX665" s="1" t="str">
        <f>IF(OR($B665="",AX$7=""),"",IF($B665="MEANS",INDEX('1-DATA'!$1:$1048576,$A664-1,COLUMN('1-DATA'!AW663)),ROUND(INDEX('1-DATA'!$1:$1048576,IF(OR($B665="STD. DEVIATION",$C$1=1),$A665,$A665+1),COLUMN('1-DATA'!AW663)),IF($B665="STD. DEVIATION",2,$F$1))))</f>
        <v/>
      </c>
      <c r="AY665" s="1" t="str">
        <f>IF(OR($B665="",AY$7=""),"",IF($B665="MEANS",INDEX('1-DATA'!$1:$1048576,$A664-1,COLUMN('1-DATA'!AX663)),ROUND(INDEX('1-DATA'!$1:$1048576,IF(OR($B665="STD. DEVIATION",$C$1=1),$A665,$A665+1),COLUMN('1-DATA'!AX663)),IF($B665="STD. DEVIATION",2,$F$1))))</f>
        <v/>
      </c>
      <c r="AZ665" s="1" t="str">
        <f>IF(OR($B665="",AZ$7=""),"",IF($B665="MEANS",INDEX('1-DATA'!$1:$1048576,$A664-1,COLUMN('1-DATA'!AY663)),ROUND(INDEX('1-DATA'!$1:$1048576,IF(OR($B665="STD. DEVIATION",$C$1=1),$A665,$A665+1),COLUMN('1-DATA'!AY663)),IF($B665="STD. DEVIATION",2,$F$1))))</f>
        <v/>
      </c>
    </row>
    <row r="666" spans="1:52" x14ac:dyDescent="0.25">
      <c r="A666" s="11">
        <f t="shared" si="10"/>
        <v>1984</v>
      </c>
      <c r="B666" s="1" t="str">
        <f>IF(B665="STD. DEVIATION",INDEX('1-DATA'!$1:$1048576,$A665-1,1),IF(INDEX('1-DATA'!$1:$1048576,$A666,1)&lt;&gt;"",INDEX('1-DATA'!$1:$1048576,$A666,1),""))</f>
        <v/>
      </c>
      <c r="C666" s="1" t="str">
        <f>IF(OR($B666="",C$7=""),"",IF($B666="MEANS",INDEX('1-DATA'!$1:$1048576,$A665-1,COLUMN('1-DATA'!B664)),ROUND(INDEX('1-DATA'!$1:$1048576,IF(OR($B666="STD. DEVIATION",$C$1=1),$A666,$A666+1),COLUMN('1-DATA'!B664)),IF($B666="STD. DEVIATION",2,$F$1))))</f>
        <v/>
      </c>
      <c r="D666" s="1" t="str">
        <f>IF(OR($B666="",D$7=""),"",IF($B666="MEANS",INDEX('1-DATA'!$1:$1048576,$A665-1,COLUMN('1-DATA'!C664)),ROUND(INDEX('1-DATA'!$1:$1048576,IF(OR($B666="STD. DEVIATION",$C$1=1),$A666,$A666+1),COLUMN('1-DATA'!C664)),IF($B666="STD. DEVIATION",2,$F$1))))</f>
        <v/>
      </c>
      <c r="E666" s="1" t="str">
        <f>IF(OR($B666="",E$7=""),"",IF($B666="MEANS",INDEX('1-DATA'!$1:$1048576,$A665-1,COLUMN('1-DATA'!D664)),ROUND(INDEX('1-DATA'!$1:$1048576,IF(OR($B666="STD. DEVIATION",$C$1=1),$A666,$A666+1),COLUMN('1-DATA'!D664)),IF($B666="STD. DEVIATION",2,$F$1))))</f>
        <v/>
      </c>
      <c r="F666" s="1" t="str">
        <f>IF(OR($B666="",F$7=""),"",IF($B666="MEANS",INDEX('1-DATA'!$1:$1048576,$A665-1,COLUMN('1-DATA'!E664)),ROUND(INDEX('1-DATA'!$1:$1048576,IF(OR($B666="STD. DEVIATION",$C$1=1),$A666,$A666+1),COLUMN('1-DATA'!E664)),IF($B666="STD. DEVIATION",2,$F$1))))</f>
        <v/>
      </c>
      <c r="G666" s="1" t="str">
        <f>IF(OR($B666="",G$7=""),"",IF($B666="MEANS",INDEX('1-DATA'!$1:$1048576,$A665-1,COLUMN('1-DATA'!F664)),ROUND(INDEX('1-DATA'!$1:$1048576,IF(OR($B666="STD. DEVIATION",$C$1=1),$A666,$A666+1),COLUMN('1-DATA'!F664)),IF($B666="STD. DEVIATION",2,$F$1))))</f>
        <v/>
      </c>
      <c r="H666" s="1" t="str">
        <f>IF(OR($B666="",H$7=""),"",IF($B666="MEANS",INDEX('1-DATA'!$1:$1048576,$A665-1,COLUMN('1-DATA'!G664)),ROUND(INDEX('1-DATA'!$1:$1048576,IF(OR($B666="STD. DEVIATION",$C$1=1),$A666,$A666+1),COLUMN('1-DATA'!G664)),IF($B666="STD. DEVIATION",2,$F$1))))</f>
        <v/>
      </c>
      <c r="I666" s="1" t="str">
        <f>IF(OR($B666="",I$7=""),"",IF($B666="MEANS",INDEX('1-DATA'!$1:$1048576,$A665-1,COLUMN('1-DATA'!H664)),ROUND(INDEX('1-DATA'!$1:$1048576,IF(OR($B666="STD. DEVIATION",$C$1=1),$A666,$A666+1),COLUMN('1-DATA'!H664)),IF($B666="STD. DEVIATION",2,$F$1))))</f>
        <v/>
      </c>
      <c r="J666" s="1" t="str">
        <f>IF(OR($B666="",J$7=""),"",IF($B666="MEANS",INDEX('1-DATA'!$1:$1048576,$A665-1,COLUMN('1-DATA'!I664)),ROUND(INDEX('1-DATA'!$1:$1048576,IF(OR($B666="STD. DEVIATION",$C$1=1),$A666,$A666+1),COLUMN('1-DATA'!I664)),IF($B666="STD. DEVIATION",2,$F$1))))</f>
        <v/>
      </c>
      <c r="K666" s="1" t="str">
        <f>IF(OR($B666="",K$7=""),"",IF($B666="MEANS",INDEX('1-DATA'!$1:$1048576,$A665-1,COLUMN('1-DATA'!J664)),ROUND(INDEX('1-DATA'!$1:$1048576,IF(OR($B666="STD. DEVIATION",$C$1=1),$A666,$A666+1),COLUMN('1-DATA'!J664)),IF($B666="STD. DEVIATION",2,$F$1))))</f>
        <v/>
      </c>
      <c r="L666" s="1" t="str">
        <f>IF(OR($B666="",L$7=""),"",IF($B666="MEANS",INDEX('1-DATA'!$1:$1048576,$A665-1,COLUMN('1-DATA'!K664)),ROUND(INDEX('1-DATA'!$1:$1048576,IF(OR($B666="STD. DEVIATION",$C$1=1),$A666,$A666+1),COLUMN('1-DATA'!K664)),IF($B666="STD. DEVIATION",2,$F$1))))</f>
        <v/>
      </c>
      <c r="M666" s="1" t="str">
        <f>IF(OR($B666="",M$7=""),"",IF($B666="MEANS",INDEX('1-DATA'!$1:$1048576,$A665-1,COLUMN('1-DATA'!L664)),ROUND(INDEX('1-DATA'!$1:$1048576,IF(OR($B666="STD. DEVIATION",$C$1=1),$A666,$A666+1),COLUMN('1-DATA'!L664)),IF($B666="STD. DEVIATION",2,$F$1))))</f>
        <v/>
      </c>
      <c r="N666" s="1" t="str">
        <f>IF(OR($B666="",N$7=""),"",IF($B666="MEANS",INDEX('1-DATA'!$1:$1048576,$A665-1,COLUMN('1-DATA'!M664)),ROUND(INDEX('1-DATA'!$1:$1048576,IF(OR($B666="STD. DEVIATION",$C$1=1),$A666,$A666+1),COLUMN('1-DATA'!M664)),IF($B666="STD. DEVIATION",2,$F$1))))</f>
        <v/>
      </c>
      <c r="O666" s="1" t="str">
        <f>IF(OR($B666="",O$7=""),"",IF($B666="MEANS",INDEX('1-DATA'!$1:$1048576,$A665-1,COLUMN('1-DATA'!N664)),ROUND(INDEX('1-DATA'!$1:$1048576,IF(OR($B666="STD. DEVIATION",$C$1=1),$A666,$A666+1),COLUMN('1-DATA'!N664)),IF($B666="STD. DEVIATION",2,$F$1))))</f>
        <v/>
      </c>
      <c r="P666" s="1" t="str">
        <f>IF(OR($B666="",P$7=""),"",IF($B666="MEANS",INDEX('1-DATA'!$1:$1048576,$A665-1,COLUMN('1-DATA'!O664)),ROUND(INDEX('1-DATA'!$1:$1048576,IF(OR($B666="STD. DEVIATION",$C$1=1),$A666,$A666+1),COLUMN('1-DATA'!O664)),IF($B666="STD. DEVIATION",2,$F$1))))</f>
        <v/>
      </c>
      <c r="Q666" s="1" t="str">
        <f>IF(OR($B666="",Q$7=""),"",IF($B666="MEANS",INDEX('1-DATA'!$1:$1048576,$A665-1,COLUMN('1-DATA'!P664)),ROUND(INDEX('1-DATA'!$1:$1048576,IF(OR($B666="STD. DEVIATION",$C$1=1),$A666,$A666+1),COLUMN('1-DATA'!P664)),IF($B666="STD. DEVIATION",2,$F$1))))</f>
        <v/>
      </c>
      <c r="R666" s="1" t="str">
        <f>IF(OR($B666="",R$7=""),"",IF($B666="MEANS",INDEX('1-DATA'!$1:$1048576,$A665-1,COLUMN('1-DATA'!Q664)),ROUND(INDEX('1-DATA'!$1:$1048576,IF(OR($B666="STD. DEVIATION",$C$1=1),$A666,$A666+1),COLUMN('1-DATA'!Q664)),IF($B666="STD. DEVIATION",2,$F$1))))</f>
        <v/>
      </c>
      <c r="S666" s="1" t="str">
        <f>IF(OR($B666="",S$7=""),"",IF($B666="MEANS",INDEX('1-DATA'!$1:$1048576,$A665-1,COLUMN('1-DATA'!R664)),ROUND(INDEX('1-DATA'!$1:$1048576,IF(OR($B666="STD. DEVIATION",$C$1=1),$A666,$A666+1),COLUMN('1-DATA'!R664)),IF($B666="STD. DEVIATION",2,$F$1))))</f>
        <v/>
      </c>
      <c r="T666" s="1" t="str">
        <f>IF(OR($B666="",T$7=""),"",IF($B666="MEANS",INDEX('1-DATA'!$1:$1048576,$A665-1,COLUMN('1-DATA'!S664)),ROUND(INDEX('1-DATA'!$1:$1048576,IF(OR($B666="STD. DEVIATION",$C$1=1),$A666,$A666+1),COLUMN('1-DATA'!S664)),IF($B666="STD. DEVIATION",2,$F$1))))</f>
        <v/>
      </c>
      <c r="U666" s="1" t="str">
        <f>IF(OR($B666="",U$7=""),"",IF($B666="MEANS",INDEX('1-DATA'!$1:$1048576,$A665-1,COLUMN('1-DATA'!T664)),ROUND(INDEX('1-DATA'!$1:$1048576,IF(OR($B666="STD. DEVIATION",$C$1=1),$A666,$A666+1),COLUMN('1-DATA'!T664)),IF($B666="STD. DEVIATION",2,$F$1))))</f>
        <v/>
      </c>
      <c r="V666" s="1" t="str">
        <f>IF(OR($B666="",V$7=""),"",IF($B666="MEANS",INDEX('1-DATA'!$1:$1048576,$A665-1,COLUMN('1-DATA'!U664)),ROUND(INDEX('1-DATA'!$1:$1048576,IF(OR($B666="STD. DEVIATION",$C$1=1),$A666,$A666+1),COLUMN('1-DATA'!U664)),IF($B666="STD. DEVIATION",2,$F$1))))</f>
        <v/>
      </c>
      <c r="W666" s="1" t="str">
        <f>IF(OR($B666="",W$7=""),"",IF($B666="MEANS",INDEX('1-DATA'!$1:$1048576,$A665-1,COLUMN('1-DATA'!V664)),ROUND(INDEX('1-DATA'!$1:$1048576,IF(OR($B666="STD. DEVIATION",$C$1=1),$A666,$A666+1),COLUMN('1-DATA'!V664)),IF($B666="STD. DEVIATION",2,$F$1))))</f>
        <v/>
      </c>
      <c r="X666" s="1" t="str">
        <f>IF(OR($B666="",X$7=""),"",IF($B666="MEANS",INDEX('1-DATA'!$1:$1048576,$A665-1,COLUMN('1-DATA'!W664)),ROUND(INDEX('1-DATA'!$1:$1048576,IF(OR($B666="STD. DEVIATION",$C$1=1),$A666,$A666+1),COLUMN('1-DATA'!W664)),IF($B666="STD. DEVIATION",2,$F$1))))</f>
        <v/>
      </c>
      <c r="Y666" s="1" t="str">
        <f>IF(OR($B666="",Y$7=""),"",IF($B666="MEANS",INDEX('1-DATA'!$1:$1048576,$A665-1,COLUMN('1-DATA'!X664)),ROUND(INDEX('1-DATA'!$1:$1048576,IF(OR($B666="STD. DEVIATION",$C$1=1),$A666,$A666+1),COLUMN('1-DATA'!X664)),IF($B666="STD. DEVIATION",2,$F$1))))</f>
        <v/>
      </c>
      <c r="Z666" s="1" t="str">
        <f>IF(OR($B666="",Z$7=""),"",IF($B666="MEANS",INDEX('1-DATA'!$1:$1048576,$A665-1,COLUMN('1-DATA'!Y664)),ROUND(INDEX('1-DATA'!$1:$1048576,IF(OR($B666="STD. DEVIATION",$C$1=1),$A666,$A666+1),COLUMN('1-DATA'!Y664)),IF($B666="STD. DEVIATION",2,$F$1))))</f>
        <v/>
      </c>
      <c r="AA666" s="1" t="str">
        <f>IF(OR($B666="",AA$7=""),"",IF($B666="MEANS",INDEX('1-DATA'!$1:$1048576,$A665-1,COLUMN('1-DATA'!Z664)),ROUND(INDEX('1-DATA'!$1:$1048576,IF(OR($B666="STD. DEVIATION",$C$1=1),$A666,$A666+1),COLUMN('1-DATA'!Z664)),IF($B666="STD. DEVIATION",2,$F$1))))</f>
        <v/>
      </c>
      <c r="AB666" s="1" t="str">
        <f>IF(OR($B666="",AB$7=""),"",IF($B666="MEANS",INDEX('1-DATA'!$1:$1048576,$A665-1,COLUMN('1-DATA'!AA664)),ROUND(INDEX('1-DATA'!$1:$1048576,IF(OR($B666="STD. DEVIATION",$C$1=1),$A666,$A666+1),COLUMN('1-DATA'!AA664)),IF($B666="STD. DEVIATION",2,$F$1))))</f>
        <v/>
      </c>
      <c r="AC666" s="1" t="str">
        <f>IF(OR($B666="",AC$7=""),"",IF($B666="MEANS",INDEX('1-DATA'!$1:$1048576,$A665-1,COLUMN('1-DATA'!AB664)),ROUND(INDEX('1-DATA'!$1:$1048576,IF(OR($B666="STD. DEVIATION",$C$1=1),$A666,$A666+1),COLUMN('1-DATA'!AB664)),IF($B666="STD. DEVIATION",2,$F$1))))</f>
        <v/>
      </c>
      <c r="AD666" s="1" t="str">
        <f>IF(OR($B666="",AD$7=""),"",IF($B666="MEANS",INDEX('1-DATA'!$1:$1048576,$A665-1,COLUMN('1-DATA'!AC664)),ROUND(INDEX('1-DATA'!$1:$1048576,IF(OR($B666="STD. DEVIATION",$C$1=1),$A666,$A666+1),COLUMN('1-DATA'!AC664)),IF($B666="STD. DEVIATION",2,$F$1))))</f>
        <v/>
      </c>
      <c r="AE666" s="1" t="str">
        <f>IF(OR($B666="",AE$7=""),"",IF($B666="MEANS",INDEX('1-DATA'!$1:$1048576,$A665-1,COLUMN('1-DATA'!AD664)),ROUND(INDEX('1-DATA'!$1:$1048576,IF(OR($B666="STD. DEVIATION",$C$1=1),$A666,$A666+1),COLUMN('1-DATA'!AD664)),IF($B666="STD. DEVIATION",2,$F$1))))</f>
        <v/>
      </c>
      <c r="AF666" s="1" t="str">
        <f>IF(OR($B666="",AF$7=""),"",IF($B666="MEANS",INDEX('1-DATA'!$1:$1048576,$A665-1,COLUMN('1-DATA'!AE664)),ROUND(INDEX('1-DATA'!$1:$1048576,IF(OR($B666="STD. DEVIATION",$C$1=1),$A666,$A666+1),COLUMN('1-DATA'!AE664)),IF($B666="STD. DEVIATION",2,$F$1))))</f>
        <v/>
      </c>
      <c r="AG666" s="1" t="str">
        <f>IF(OR($B666="",AG$7=""),"",IF($B666="MEANS",INDEX('1-DATA'!$1:$1048576,$A665-1,COLUMN('1-DATA'!AF664)),ROUND(INDEX('1-DATA'!$1:$1048576,IF(OR($B666="STD. DEVIATION",$C$1=1),$A666,$A666+1),COLUMN('1-DATA'!AF664)),IF($B666="STD. DEVIATION",2,$F$1))))</f>
        <v/>
      </c>
      <c r="AH666" s="1" t="str">
        <f>IF(OR($B666="",AH$7=""),"",IF($B666="MEANS",INDEX('1-DATA'!$1:$1048576,$A665-1,COLUMN('1-DATA'!AG664)),ROUND(INDEX('1-DATA'!$1:$1048576,IF(OR($B666="STD. DEVIATION",$C$1=1),$A666,$A666+1),COLUMN('1-DATA'!AG664)),IF($B666="STD. DEVIATION",2,$F$1))))</f>
        <v/>
      </c>
      <c r="AI666" s="1" t="str">
        <f>IF(OR($B666="",AI$7=""),"",IF($B666="MEANS",INDEX('1-DATA'!$1:$1048576,$A665-1,COLUMN('1-DATA'!AH664)),ROUND(INDEX('1-DATA'!$1:$1048576,IF(OR($B666="STD. DEVIATION",$C$1=1),$A666,$A666+1),COLUMN('1-DATA'!AH664)),IF($B666="STD. DEVIATION",2,$F$1))))</f>
        <v/>
      </c>
      <c r="AJ666" s="1" t="str">
        <f>IF(OR($B666="",AJ$7=""),"",IF($B666="MEANS",INDEX('1-DATA'!$1:$1048576,$A665-1,COLUMN('1-DATA'!AI664)),ROUND(INDEX('1-DATA'!$1:$1048576,IF(OR($B666="STD. DEVIATION",$C$1=1),$A666,$A666+1),COLUMN('1-DATA'!AI664)),IF($B666="STD. DEVIATION",2,$F$1))))</f>
        <v/>
      </c>
      <c r="AK666" s="1" t="str">
        <f>IF(OR($B666="",AK$7=""),"",IF($B666="MEANS",INDEX('1-DATA'!$1:$1048576,$A665-1,COLUMN('1-DATA'!AJ664)),ROUND(INDEX('1-DATA'!$1:$1048576,IF(OR($B666="STD. DEVIATION",$C$1=1),$A666,$A666+1),COLUMN('1-DATA'!AJ664)),IF($B666="STD. DEVIATION",2,$F$1))))</f>
        <v/>
      </c>
      <c r="AL666" s="1" t="str">
        <f>IF(OR($B666="",AL$7=""),"",IF($B666="MEANS",INDEX('1-DATA'!$1:$1048576,$A665-1,COLUMN('1-DATA'!AK664)),ROUND(INDEX('1-DATA'!$1:$1048576,IF(OR($B666="STD. DEVIATION",$C$1=1),$A666,$A666+1),COLUMN('1-DATA'!AK664)),IF($B666="STD. DEVIATION",2,$F$1))))</f>
        <v/>
      </c>
      <c r="AM666" s="1" t="str">
        <f>IF(OR($B666="",AM$7=""),"",IF($B666="MEANS",INDEX('1-DATA'!$1:$1048576,$A665-1,COLUMN('1-DATA'!AL664)),ROUND(INDEX('1-DATA'!$1:$1048576,IF(OR($B666="STD. DEVIATION",$C$1=1),$A666,$A666+1),COLUMN('1-DATA'!AL664)),IF($B666="STD. DEVIATION",2,$F$1))))</f>
        <v/>
      </c>
      <c r="AN666" s="1" t="str">
        <f>IF(OR($B666="",AN$7=""),"",IF($B666="MEANS",INDEX('1-DATA'!$1:$1048576,$A665-1,COLUMN('1-DATA'!AM664)),ROUND(INDEX('1-DATA'!$1:$1048576,IF(OR($B666="STD. DEVIATION",$C$1=1),$A666,$A666+1),COLUMN('1-DATA'!AM664)),IF($B666="STD. DEVIATION",2,$F$1))))</f>
        <v/>
      </c>
      <c r="AO666" s="1" t="str">
        <f>IF(OR($B666="",AO$7=""),"",IF($B666="MEANS",INDEX('1-DATA'!$1:$1048576,$A665-1,COLUMN('1-DATA'!AN664)),ROUND(INDEX('1-DATA'!$1:$1048576,IF(OR($B666="STD. DEVIATION",$C$1=1),$A666,$A666+1),COLUMN('1-DATA'!AN664)),IF($B666="STD. DEVIATION",2,$F$1))))</f>
        <v/>
      </c>
      <c r="AP666" s="1" t="str">
        <f>IF(OR($B666="",AP$7=""),"",IF($B666="MEANS",INDEX('1-DATA'!$1:$1048576,$A665-1,COLUMN('1-DATA'!AO664)),ROUND(INDEX('1-DATA'!$1:$1048576,IF(OR($B666="STD. DEVIATION",$C$1=1),$A666,$A666+1),COLUMN('1-DATA'!AO664)),IF($B666="STD. DEVIATION",2,$F$1))))</f>
        <v/>
      </c>
      <c r="AQ666" s="1" t="str">
        <f>IF(OR($B666="",AQ$7=""),"",IF($B666="MEANS",INDEX('1-DATA'!$1:$1048576,$A665-1,COLUMN('1-DATA'!AP664)),ROUND(INDEX('1-DATA'!$1:$1048576,IF(OR($B666="STD. DEVIATION",$C$1=1),$A666,$A666+1),COLUMN('1-DATA'!AP664)),IF($B666="STD. DEVIATION",2,$F$1))))</f>
        <v/>
      </c>
      <c r="AR666" s="1" t="str">
        <f>IF(OR($B666="",AR$7=""),"",IF($B666="MEANS",INDEX('1-DATA'!$1:$1048576,$A665-1,COLUMN('1-DATA'!AQ664)),ROUND(INDEX('1-DATA'!$1:$1048576,IF(OR($B666="STD. DEVIATION",$C$1=1),$A666,$A666+1),COLUMN('1-DATA'!AQ664)),IF($B666="STD. DEVIATION",2,$F$1))))</f>
        <v/>
      </c>
      <c r="AS666" s="1" t="str">
        <f>IF(OR($B666="",AS$7=""),"",IF($B666="MEANS",INDEX('1-DATA'!$1:$1048576,$A665-1,COLUMN('1-DATA'!AR664)),ROUND(INDEX('1-DATA'!$1:$1048576,IF(OR($B666="STD. DEVIATION",$C$1=1),$A666,$A666+1),COLUMN('1-DATA'!AR664)),IF($B666="STD. DEVIATION",2,$F$1))))</f>
        <v/>
      </c>
      <c r="AT666" s="1" t="str">
        <f>IF(OR($B666="",AT$7=""),"",IF($B666="MEANS",INDEX('1-DATA'!$1:$1048576,$A665-1,COLUMN('1-DATA'!AS664)),ROUND(INDEX('1-DATA'!$1:$1048576,IF(OR($B666="STD. DEVIATION",$C$1=1),$A666,$A666+1),COLUMN('1-DATA'!AS664)),IF($B666="STD. DEVIATION",2,$F$1))))</f>
        <v/>
      </c>
      <c r="AU666" s="1" t="str">
        <f>IF(OR($B666="",AU$7=""),"",IF($B666="MEANS",INDEX('1-DATA'!$1:$1048576,$A665-1,COLUMN('1-DATA'!AT664)),ROUND(INDEX('1-DATA'!$1:$1048576,IF(OR($B666="STD. DEVIATION",$C$1=1),$A666,$A666+1),COLUMN('1-DATA'!AT664)),IF($B666="STD. DEVIATION",2,$F$1))))</f>
        <v/>
      </c>
      <c r="AV666" s="1" t="str">
        <f>IF(OR($B666="",AV$7=""),"",IF($B666="MEANS",INDEX('1-DATA'!$1:$1048576,$A665-1,COLUMN('1-DATA'!AU664)),ROUND(INDEX('1-DATA'!$1:$1048576,IF(OR($B666="STD. DEVIATION",$C$1=1),$A666,$A666+1),COLUMN('1-DATA'!AU664)),IF($B666="STD. DEVIATION",2,$F$1))))</f>
        <v/>
      </c>
      <c r="AW666" s="1" t="str">
        <f>IF(OR($B666="",AW$7=""),"",IF($B666="MEANS",INDEX('1-DATA'!$1:$1048576,$A665-1,COLUMN('1-DATA'!AV664)),ROUND(INDEX('1-DATA'!$1:$1048576,IF(OR($B666="STD. DEVIATION",$C$1=1),$A666,$A666+1),COLUMN('1-DATA'!AV664)),IF($B666="STD. DEVIATION",2,$F$1))))</f>
        <v/>
      </c>
      <c r="AX666" s="1" t="str">
        <f>IF(OR($B666="",AX$7=""),"",IF($B666="MEANS",INDEX('1-DATA'!$1:$1048576,$A665-1,COLUMN('1-DATA'!AW664)),ROUND(INDEX('1-DATA'!$1:$1048576,IF(OR($B666="STD. DEVIATION",$C$1=1),$A666,$A666+1),COLUMN('1-DATA'!AW664)),IF($B666="STD. DEVIATION",2,$F$1))))</f>
        <v/>
      </c>
      <c r="AY666" s="1" t="str">
        <f>IF(OR($B666="",AY$7=""),"",IF($B666="MEANS",INDEX('1-DATA'!$1:$1048576,$A665-1,COLUMN('1-DATA'!AX664)),ROUND(INDEX('1-DATA'!$1:$1048576,IF(OR($B666="STD. DEVIATION",$C$1=1),$A666,$A666+1),COLUMN('1-DATA'!AX664)),IF($B666="STD. DEVIATION",2,$F$1))))</f>
        <v/>
      </c>
      <c r="AZ666" s="1" t="str">
        <f>IF(OR($B666="",AZ$7=""),"",IF($B666="MEANS",INDEX('1-DATA'!$1:$1048576,$A665-1,COLUMN('1-DATA'!AY664)),ROUND(INDEX('1-DATA'!$1:$1048576,IF(OR($B666="STD. DEVIATION",$C$1=1),$A666,$A666+1),COLUMN('1-DATA'!AY664)),IF($B666="STD. DEVIATION",2,$F$1))))</f>
        <v/>
      </c>
    </row>
    <row r="667" spans="1:52" x14ac:dyDescent="0.25">
      <c r="A667" s="11">
        <f t="shared" si="10"/>
        <v>1987</v>
      </c>
      <c r="B667" s="1" t="str">
        <f>IF(B666="STD. DEVIATION",INDEX('1-DATA'!$1:$1048576,$A666-1,1),IF(INDEX('1-DATA'!$1:$1048576,$A667,1)&lt;&gt;"",INDEX('1-DATA'!$1:$1048576,$A667,1),""))</f>
        <v/>
      </c>
      <c r="C667" s="1" t="str">
        <f>IF(OR($B667="",C$7=""),"",IF($B667="MEANS",INDEX('1-DATA'!$1:$1048576,$A666-1,COLUMN('1-DATA'!B665)),ROUND(INDEX('1-DATA'!$1:$1048576,IF(OR($B667="STD. DEVIATION",$C$1=1),$A667,$A667+1),COLUMN('1-DATA'!B665)),IF($B667="STD. DEVIATION",2,$F$1))))</f>
        <v/>
      </c>
      <c r="D667" s="1" t="str">
        <f>IF(OR($B667="",D$7=""),"",IF($B667="MEANS",INDEX('1-DATA'!$1:$1048576,$A666-1,COLUMN('1-DATA'!C665)),ROUND(INDEX('1-DATA'!$1:$1048576,IF(OR($B667="STD. DEVIATION",$C$1=1),$A667,$A667+1),COLUMN('1-DATA'!C665)),IF($B667="STD. DEVIATION",2,$F$1))))</f>
        <v/>
      </c>
      <c r="E667" s="1" t="str">
        <f>IF(OR($B667="",E$7=""),"",IF($B667="MEANS",INDEX('1-DATA'!$1:$1048576,$A666-1,COLUMN('1-DATA'!D665)),ROUND(INDEX('1-DATA'!$1:$1048576,IF(OR($B667="STD. DEVIATION",$C$1=1),$A667,$A667+1),COLUMN('1-DATA'!D665)),IF($B667="STD. DEVIATION",2,$F$1))))</f>
        <v/>
      </c>
      <c r="F667" s="1" t="str">
        <f>IF(OR($B667="",F$7=""),"",IF($B667="MEANS",INDEX('1-DATA'!$1:$1048576,$A666-1,COLUMN('1-DATA'!E665)),ROUND(INDEX('1-DATA'!$1:$1048576,IF(OR($B667="STD. DEVIATION",$C$1=1),$A667,$A667+1),COLUMN('1-DATA'!E665)),IF($B667="STD. DEVIATION",2,$F$1))))</f>
        <v/>
      </c>
      <c r="G667" s="1" t="str">
        <f>IF(OR($B667="",G$7=""),"",IF($B667="MEANS",INDEX('1-DATA'!$1:$1048576,$A666-1,COLUMN('1-DATA'!F665)),ROUND(INDEX('1-DATA'!$1:$1048576,IF(OR($B667="STD. DEVIATION",$C$1=1),$A667,$A667+1),COLUMN('1-DATA'!F665)),IF($B667="STD. DEVIATION",2,$F$1))))</f>
        <v/>
      </c>
      <c r="H667" s="1" t="str">
        <f>IF(OR($B667="",H$7=""),"",IF($B667="MEANS",INDEX('1-DATA'!$1:$1048576,$A666-1,COLUMN('1-DATA'!G665)),ROUND(INDEX('1-DATA'!$1:$1048576,IF(OR($B667="STD. DEVIATION",$C$1=1),$A667,$A667+1),COLUMN('1-DATA'!G665)),IF($B667="STD. DEVIATION",2,$F$1))))</f>
        <v/>
      </c>
      <c r="I667" s="1" t="str">
        <f>IF(OR($B667="",I$7=""),"",IF($B667="MEANS",INDEX('1-DATA'!$1:$1048576,$A666-1,COLUMN('1-DATA'!H665)),ROUND(INDEX('1-DATA'!$1:$1048576,IF(OR($B667="STD. DEVIATION",$C$1=1),$A667,$A667+1),COLUMN('1-DATA'!H665)),IF($B667="STD. DEVIATION",2,$F$1))))</f>
        <v/>
      </c>
      <c r="J667" s="1" t="str">
        <f>IF(OR($B667="",J$7=""),"",IF($B667="MEANS",INDEX('1-DATA'!$1:$1048576,$A666-1,COLUMN('1-DATA'!I665)),ROUND(INDEX('1-DATA'!$1:$1048576,IF(OR($B667="STD. DEVIATION",$C$1=1),$A667,$A667+1),COLUMN('1-DATA'!I665)),IF($B667="STD. DEVIATION",2,$F$1))))</f>
        <v/>
      </c>
      <c r="K667" s="1" t="str">
        <f>IF(OR($B667="",K$7=""),"",IF($B667="MEANS",INDEX('1-DATA'!$1:$1048576,$A666-1,COLUMN('1-DATA'!J665)),ROUND(INDEX('1-DATA'!$1:$1048576,IF(OR($B667="STD. DEVIATION",$C$1=1),$A667,$A667+1),COLUMN('1-DATA'!J665)),IF($B667="STD. DEVIATION",2,$F$1))))</f>
        <v/>
      </c>
      <c r="L667" s="1" t="str">
        <f>IF(OR($B667="",L$7=""),"",IF($B667="MEANS",INDEX('1-DATA'!$1:$1048576,$A666-1,COLUMN('1-DATA'!K665)),ROUND(INDEX('1-DATA'!$1:$1048576,IF(OR($B667="STD. DEVIATION",$C$1=1),$A667,$A667+1),COLUMN('1-DATA'!K665)),IF($B667="STD. DEVIATION",2,$F$1))))</f>
        <v/>
      </c>
      <c r="M667" s="1" t="str">
        <f>IF(OR($B667="",M$7=""),"",IF($B667="MEANS",INDEX('1-DATA'!$1:$1048576,$A666-1,COLUMN('1-DATA'!L665)),ROUND(INDEX('1-DATA'!$1:$1048576,IF(OR($B667="STD. DEVIATION",$C$1=1),$A667,$A667+1),COLUMN('1-DATA'!L665)),IF($B667="STD. DEVIATION",2,$F$1))))</f>
        <v/>
      </c>
      <c r="N667" s="1" t="str">
        <f>IF(OR($B667="",N$7=""),"",IF($B667="MEANS",INDEX('1-DATA'!$1:$1048576,$A666-1,COLUMN('1-DATA'!M665)),ROUND(INDEX('1-DATA'!$1:$1048576,IF(OR($B667="STD. DEVIATION",$C$1=1),$A667,$A667+1),COLUMN('1-DATA'!M665)),IF($B667="STD. DEVIATION",2,$F$1))))</f>
        <v/>
      </c>
      <c r="O667" s="1" t="str">
        <f>IF(OR($B667="",O$7=""),"",IF($B667="MEANS",INDEX('1-DATA'!$1:$1048576,$A666-1,COLUMN('1-DATA'!N665)),ROUND(INDEX('1-DATA'!$1:$1048576,IF(OR($B667="STD. DEVIATION",$C$1=1),$A667,$A667+1),COLUMN('1-DATA'!N665)),IF($B667="STD. DEVIATION",2,$F$1))))</f>
        <v/>
      </c>
      <c r="P667" s="1" t="str">
        <f>IF(OR($B667="",P$7=""),"",IF($B667="MEANS",INDEX('1-DATA'!$1:$1048576,$A666-1,COLUMN('1-DATA'!O665)),ROUND(INDEX('1-DATA'!$1:$1048576,IF(OR($B667="STD. DEVIATION",$C$1=1),$A667,$A667+1),COLUMN('1-DATA'!O665)),IF($B667="STD. DEVIATION",2,$F$1))))</f>
        <v/>
      </c>
      <c r="Q667" s="1" t="str">
        <f>IF(OR($B667="",Q$7=""),"",IF($B667="MEANS",INDEX('1-DATA'!$1:$1048576,$A666-1,COLUMN('1-DATA'!P665)),ROUND(INDEX('1-DATA'!$1:$1048576,IF(OR($B667="STD. DEVIATION",$C$1=1),$A667,$A667+1),COLUMN('1-DATA'!P665)),IF($B667="STD. DEVIATION",2,$F$1))))</f>
        <v/>
      </c>
      <c r="R667" s="1" t="str">
        <f>IF(OR($B667="",R$7=""),"",IF($B667="MEANS",INDEX('1-DATA'!$1:$1048576,$A666-1,COLUMN('1-DATA'!Q665)),ROUND(INDEX('1-DATA'!$1:$1048576,IF(OR($B667="STD. DEVIATION",$C$1=1),$A667,$A667+1),COLUMN('1-DATA'!Q665)),IF($B667="STD. DEVIATION",2,$F$1))))</f>
        <v/>
      </c>
      <c r="S667" s="1" t="str">
        <f>IF(OR($B667="",S$7=""),"",IF($B667="MEANS",INDEX('1-DATA'!$1:$1048576,$A666-1,COLUMN('1-DATA'!R665)),ROUND(INDEX('1-DATA'!$1:$1048576,IF(OR($B667="STD. DEVIATION",$C$1=1),$A667,$A667+1),COLUMN('1-DATA'!R665)),IF($B667="STD. DEVIATION",2,$F$1))))</f>
        <v/>
      </c>
      <c r="T667" s="1" t="str">
        <f>IF(OR($B667="",T$7=""),"",IF($B667="MEANS",INDEX('1-DATA'!$1:$1048576,$A666-1,COLUMN('1-DATA'!S665)),ROUND(INDEX('1-DATA'!$1:$1048576,IF(OR($B667="STD. DEVIATION",$C$1=1),$A667,$A667+1),COLUMN('1-DATA'!S665)),IF($B667="STD. DEVIATION",2,$F$1))))</f>
        <v/>
      </c>
      <c r="U667" s="1" t="str">
        <f>IF(OR($B667="",U$7=""),"",IF($B667="MEANS",INDEX('1-DATA'!$1:$1048576,$A666-1,COLUMN('1-DATA'!T665)),ROUND(INDEX('1-DATA'!$1:$1048576,IF(OR($B667="STD. DEVIATION",$C$1=1),$A667,$A667+1),COLUMN('1-DATA'!T665)),IF($B667="STD. DEVIATION",2,$F$1))))</f>
        <v/>
      </c>
      <c r="V667" s="1" t="str">
        <f>IF(OR($B667="",V$7=""),"",IF($B667="MEANS",INDEX('1-DATA'!$1:$1048576,$A666-1,COLUMN('1-DATA'!U665)),ROUND(INDEX('1-DATA'!$1:$1048576,IF(OR($B667="STD. DEVIATION",$C$1=1),$A667,$A667+1),COLUMN('1-DATA'!U665)),IF($B667="STD. DEVIATION",2,$F$1))))</f>
        <v/>
      </c>
      <c r="W667" s="1" t="str">
        <f>IF(OR($B667="",W$7=""),"",IF($B667="MEANS",INDEX('1-DATA'!$1:$1048576,$A666-1,COLUMN('1-DATA'!V665)),ROUND(INDEX('1-DATA'!$1:$1048576,IF(OR($B667="STD. DEVIATION",$C$1=1),$A667,$A667+1),COLUMN('1-DATA'!V665)),IF($B667="STD. DEVIATION",2,$F$1))))</f>
        <v/>
      </c>
      <c r="X667" s="1" t="str">
        <f>IF(OR($B667="",X$7=""),"",IF($B667="MEANS",INDEX('1-DATA'!$1:$1048576,$A666-1,COLUMN('1-DATA'!W665)),ROUND(INDEX('1-DATA'!$1:$1048576,IF(OR($B667="STD. DEVIATION",$C$1=1),$A667,$A667+1),COLUMN('1-DATA'!W665)),IF($B667="STD. DEVIATION",2,$F$1))))</f>
        <v/>
      </c>
      <c r="Y667" s="1" t="str">
        <f>IF(OR($B667="",Y$7=""),"",IF($B667="MEANS",INDEX('1-DATA'!$1:$1048576,$A666-1,COLUMN('1-DATA'!X665)),ROUND(INDEX('1-DATA'!$1:$1048576,IF(OR($B667="STD. DEVIATION",$C$1=1),$A667,$A667+1),COLUMN('1-DATA'!X665)),IF($B667="STD. DEVIATION",2,$F$1))))</f>
        <v/>
      </c>
      <c r="Z667" s="1" t="str">
        <f>IF(OR($B667="",Z$7=""),"",IF($B667="MEANS",INDEX('1-DATA'!$1:$1048576,$A666-1,COLUMN('1-DATA'!Y665)),ROUND(INDEX('1-DATA'!$1:$1048576,IF(OR($B667="STD. DEVIATION",$C$1=1),$A667,$A667+1),COLUMN('1-DATA'!Y665)),IF($B667="STD. DEVIATION",2,$F$1))))</f>
        <v/>
      </c>
      <c r="AA667" s="1" t="str">
        <f>IF(OR($B667="",AA$7=""),"",IF($B667="MEANS",INDEX('1-DATA'!$1:$1048576,$A666-1,COLUMN('1-DATA'!Z665)),ROUND(INDEX('1-DATA'!$1:$1048576,IF(OR($B667="STD. DEVIATION",$C$1=1),$A667,$A667+1),COLUMN('1-DATA'!Z665)),IF($B667="STD. DEVIATION",2,$F$1))))</f>
        <v/>
      </c>
      <c r="AB667" s="1" t="str">
        <f>IF(OR($B667="",AB$7=""),"",IF($B667="MEANS",INDEX('1-DATA'!$1:$1048576,$A666-1,COLUMN('1-DATA'!AA665)),ROUND(INDEX('1-DATA'!$1:$1048576,IF(OR($B667="STD. DEVIATION",$C$1=1),$A667,$A667+1),COLUMN('1-DATA'!AA665)),IF($B667="STD. DEVIATION",2,$F$1))))</f>
        <v/>
      </c>
      <c r="AC667" s="1" t="str">
        <f>IF(OR($B667="",AC$7=""),"",IF($B667="MEANS",INDEX('1-DATA'!$1:$1048576,$A666-1,COLUMN('1-DATA'!AB665)),ROUND(INDEX('1-DATA'!$1:$1048576,IF(OR($B667="STD. DEVIATION",$C$1=1),$A667,$A667+1),COLUMN('1-DATA'!AB665)),IF($B667="STD. DEVIATION",2,$F$1))))</f>
        <v/>
      </c>
      <c r="AD667" s="1" t="str">
        <f>IF(OR($B667="",AD$7=""),"",IF($B667="MEANS",INDEX('1-DATA'!$1:$1048576,$A666-1,COLUMN('1-DATA'!AC665)),ROUND(INDEX('1-DATA'!$1:$1048576,IF(OR($B667="STD. DEVIATION",$C$1=1),$A667,$A667+1),COLUMN('1-DATA'!AC665)),IF($B667="STD. DEVIATION",2,$F$1))))</f>
        <v/>
      </c>
      <c r="AE667" s="1" t="str">
        <f>IF(OR($B667="",AE$7=""),"",IF($B667="MEANS",INDEX('1-DATA'!$1:$1048576,$A666-1,COLUMN('1-DATA'!AD665)),ROUND(INDEX('1-DATA'!$1:$1048576,IF(OR($B667="STD. DEVIATION",$C$1=1),$A667,$A667+1),COLUMN('1-DATA'!AD665)),IF($B667="STD. DEVIATION",2,$F$1))))</f>
        <v/>
      </c>
      <c r="AF667" s="1" t="str">
        <f>IF(OR($B667="",AF$7=""),"",IF($B667="MEANS",INDEX('1-DATA'!$1:$1048576,$A666-1,COLUMN('1-DATA'!AE665)),ROUND(INDEX('1-DATA'!$1:$1048576,IF(OR($B667="STD. DEVIATION",$C$1=1),$A667,$A667+1),COLUMN('1-DATA'!AE665)),IF($B667="STD. DEVIATION",2,$F$1))))</f>
        <v/>
      </c>
      <c r="AG667" s="1" t="str">
        <f>IF(OR($B667="",AG$7=""),"",IF($B667="MEANS",INDEX('1-DATA'!$1:$1048576,$A666-1,COLUMN('1-DATA'!AF665)),ROUND(INDEX('1-DATA'!$1:$1048576,IF(OR($B667="STD. DEVIATION",$C$1=1),$A667,$A667+1),COLUMN('1-DATA'!AF665)),IF($B667="STD. DEVIATION",2,$F$1))))</f>
        <v/>
      </c>
      <c r="AH667" s="1" t="str">
        <f>IF(OR($B667="",AH$7=""),"",IF($B667="MEANS",INDEX('1-DATA'!$1:$1048576,$A666-1,COLUMN('1-DATA'!AG665)),ROUND(INDEX('1-DATA'!$1:$1048576,IF(OR($B667="STD. DEVIATION",$C$1=1),$A667,$A667+1),COLUMN('1-DATA'!AG665)),IF($B667="STD. DEVIATION",2,$F$1))))</f>
        <v/>
      </c>
      <c r="AI667" s="1" t="str">
        <f>IF(OR($B667="",AI$7=""),"",IF($B667="MEANS",INDEX('1-DATA'!$1:$1048576,$A666-1,COLUMN('1-DATA'!AH665)),ROUND(INDEX('1-DATA'!$1:$1048576,IF(OR($B667="STD. DEVIATION",$C$1=1),$A667,$A667+1),COLUMN('1-DATA'!AH665)),IF($B667="STD. DEVIATION",2,$F$1))))</f>
        <v/>
      </c>
      <c r="AJ667" s="1" t="str">
        <f>IF(OR($B667="",AJ$7=""),"",IF($B667="MEANS",INDEX('1-DATA'!$1:$1048576,$A666-1,COLUMN('1-DATA'!AI665)),ROUND(INDEX('1-DATA'!$1:$1048576,IF(OR($B667="STD. DEVIATION",$C$1=1),$A667,$A667+1),COLUMN('1-DATA'!AI665)),IF($B667="STD. DEVIATION",2,$F$1))))</f>
        <v/>
      </c>
      <c r="AK667" s="1" t="str">
        <f>IF(OR($B667="",AK$7=""),"",IF($B667="MEANS",INDEX('1-DATA'!$1:$1048576,$A666-1,COLUMN('1-DATA'!AJ665)),ROUND(INDEX('1-DATA'!$1:$1048576,IF(OR($B667="STD. DEVIATION",$C$1=1),$A667,$A667+1),COLUMN('1-DATA'!AJ665)),IF($B667="STD. DEVIATION",2,$F$1))))</f>
        <v/>
      </c>
      <c r="AL667" s="1" t="str">
        <f>IF(OR($B667="",AL$7=""),"",IF($B667="MEANS",INDEX('1-DATA'!$1:$1048576,$A666-1,COLUMN('1-DATA'!AK665)),ROUND(INDEX('1-DATA'!$1:$1048576,IF(OR($B667="STD. DEVIATION",$C$1=1),$A667,$A667+1),COLUMN('1-DATA'!AK665)),IF($B667="STD. DEVIATION",2,$F$1))))</f>
        <v/>
      </c>
      <c r="AM667" s="1" t="str">
        <f>IF(OR($B667="",AM$7=""),"",IF($B667="MEANS",INDEX('1-DATA'!$1:$1048576,$A666-1,COLUMN('1-DATA'!AL665)),ROUND(INDEX('1-DATA'!$1:$1048576,IF(OR($B667="STD. DEVIATION",$C$1=1),$A667,$A667+1),COLUMN('1-DATA'!AL665)),IF($B667="STD. DEVIATION",2,$F$1))))</f>
        <v/>
      </c>
      <c r="AN667" s="1" t="str">
        <f>IF(OR($B667="",AN$7=""),"",IF($B667="MEANS",INDEX('1-DATA'!$1:$1048576,$A666-1,COLUMN('1-DATA'!AM665)),ROUND(INDEX('1-DATA'!$1:$1048576,IF(OR($B667="STD. DEVIATION",$C$1=1),$A667,$A667+1),COLUMN('1-DATA'!AM665)),IF($B667="STD. DEVIATION",2,$F$1))))</f>
        <v/>
      </c>
      <c r="AO667" s="1" t="str">
        <f>IF(OR($B667="",AO$7=""),"",IF($B667="MEANS",INDEX('1-DATA'!$1:$1048576,$A666-1,COLUMN('1-DATA'!AN665)),ROUND(INDEX('1-DATA'!$1:$1048576,IF(OR($B667="STD. DEVIATION",$C$1=1),$A667,$A667+1),COLUMN('1-DATA'!AN665)),IF($B667="STD. DEVIATION",2,$F$1))))</f>
        <v/>
      </c>
      <c r="AP667" s="1" t="str">
        <f>IF(OR($B667="",AP$7=""),"",IF($B667="MEANS",INDEX('1-DATA'!$1:$1048576,$A666-1,COLUMN('1-DATA'!AO665)),ROUND(INDEX('1-DATA'!$1:$1048576,IF(OR($B667="STD. DEVIATION",$C$1=1),$A667,$A667+1),COLUMN('1-DATA'!AO665)),IF($B667="STD. DEVIATION",2,$F$1))))</f>
        <v/>
      </c>
      <c r="AQ667" s="1" t="str">
        <f>IF(OR($B667="",AQ$7=""),"",IF($B667="MEANS",INDEX('1-DATA'!$1:$1048576,$A666-1,COLUMN('1-DATA'!AP665)),ROUND(INDEX('1-DATA'!$1:$1048576,IF(OR($B667="STD. DEVIATION",$C$1=1),$A667,$A667+1),COLUMN('1-DATA'!AP665)),IF($B667="STD. DEVIATION",2,$F$1))))</f>
        <v/>
      </c>
      <c r="AR667" s="1" t="str">
        <f>IF(OR($B667="",AR$7=""),"",IF($B667="MEANS",INDEX('1-DATA'!$1:$1048576,$A666-1,COLUMN('1-DATA'!AQ665)),ROUND(INDEX('1-DATA'!$1:$1048576,IF(OR($B667="STD. DEVIATION",$C$1=1),$A667,$A667+1),COLUMN('1-DATA'!AQ665)),IF($B667="STD. DEVIATION",2,$F$1))))</f>
        <v/>
      </c>
      <c r="AS667" s="1" t="str">
        <f>IF(OR($B667="",AS$7=""),"",IF($B667="MEANS",INDEX('1-DATA'!$1:$1048576,$A666-1,COLUMN('1-DATA'!AR665)),ROUND(INDEX('1-DATA'!$1:$1048576,IF(OR($B667="STD. DEVIATION",$C$1=1),$A667,$A667+1),COLUMN('1-DATA'!AR665)),IF($B667="STD. DEVIATION",2,$F$1))))</f>
        <v/>
      </c>
      <c r="AT667" s="1" t="str">
        <f>IF(OR($B667="",AT$7=""),"",IF($B667="MEANS",INDEX('1-DATA'!$1:$1048576,$A666-1,COLUMN('1-DATA'!AS665)),ROUND(INDEX('1-DATA'!$1:$1048576,IF(OR($B667="STD. DEVIATION",$C$1=1),$A667,$A667+1),COLUMN('1-DATA'!AS665)),IF($B667="STD. DEVIATION",2,$F$1))))</f>
        <v/>
      </c>
      <c r="AU667" s="1" t="str">
        <f>IF(OR($B667="",AU$7=""),"",IF($B667="MEANS",INDEX('1-DATA'!$1:$1048576,$A666-1,COLUMN('1-DATA'!AT665)),ROUND(INDEX('1-DATA'!$1:$1048576,IF(OR($B667="STD. DEVIATION",$C$1=1),$A667,$A667+1),COLUMN('1-DATA'!AT665)),IF($B667="STD. DEVIATION",2,$F$1))))</f>
        <v/>
      </c>
      <c r="AV667" s="1" t="str">
        <f>IF(OR($B667="",AV$7=""),"",IF($B667="MEANS",INDEX('1-DATA'!$1:$1048576,$A666-1,COLUMN('1-DATA'!AU665)),ROUND(INDEX('1-DATA'!$1:$1048576,IF(OR($B667="STD. DEVIATION",$C$1=1),$A667,$A667+1),COLUMN('1-DATA'!AU665)),IF($B667="STD. DEVIATION",2,$F$1))))</f>
        <v/>
      </c>
      <c r="AW667" s="1" t="str">
        <f>IF(OR($B667="",AW$7=""),"",IF($B667="MEANS",INDEX('1-DATA'!$1:$1048576,$A666-1,COLUMN('1-DATA'!AV665)),ROUND(INDEX('1-DATA'!$1:$1048576,IF(OR($B667="STD. DEVIATION",$C$1=1),$A667,$A667+1),COLUMN('1-DATA'!AV665)),IF($B667="STD. DEVIATION",2,$F$1))))</f>
        <v/>
      </c>
      <c r="AX667" s="1" t="str">
        <f>IF(OR($B667="",AX$7=""),"",IF($B667="MEANS",INDEX('1-DATA'!$1:$1048576,$A666-1,COLUMN('1-DATA'!AW665)),ROUND(INDEX('1-DATA'!$1:$1048576,IF(OR($B667="STD. DEVIATION",$C$1=1),$A667,$A667+1),COLUMN('1-DATA'!AW665)),IF($B667="STD. DEVIATION",2,$F$1))))</f>
        <v/>
      </c>
      <c r="AY667" s="1" t="str">
        <f>IF(OR($B667="",AY$7=""),"",IF($B667="MEANS",INDEX('1-DATA'!$1:$1048576,$A666-1,COLUMN('1-DATA'!AX665)),ROUND(INDEX('1-DATA'!$1:$1048576,IF(OR($B667="STD. DEVIATION",$C$1=1),$A667,$A667+1),COLUMN('1-DATA'!AX665)),IF($B667="STD. DEVIATION",2,$F$1))))</f>
        <v/>
      </c>
      <c r="AZ667" s="1" t="str">
        <f>IF(OR($B667="",AZ$7=""),"",IF($B667="MEANS",INDEX('1-DATA'!$1:$1048576,$A666-1,COLUMN('1-DATA'!AY665)),ROUND(INDEX('1-DATA'!$1:$1048576,IF(OR($B667="STD. DEVIATION",$C$1=1),$A667,$A667+1),COLUMN('1-DATA'!AY665)),IF($B667="STD. DEVIATION",2,$F$1))))</f>
        <v/>
      </c>
    </row>
    <row r="668" spans="1:52" x14ac:dyDescent="0.25">
      <c r="A668" s="11">
        <f t="shared" si="10"/>
        <v>1990</v>
      </c>
      <c r="B668" s="1" t="str">
        <f>IF(B667="STD. DEVIATION",INDEX('1-DATA'!$1:$1048576,$A667-1,1),IF(INDEX('1-DATA'!$1:$1048576,$A668,1)&lt;&gt;"",INDEX('1-DATA'!$1:$1048576,$A668,1),""))</f>
        <v/>
      </c>
      <c r="C668" s="1" t="str">
        <f>IF(OR($B668="",C$7=""),"",IF($B668="MEANS",INDEX('1-DATA'!$1:$1048576,$A667-1,COLUMN('1-DATA'!B666)),ROUND(INDEX('1-DATA'!$1:$1048576,IF(OR($B668="STD. DEVIATION",$C$1=1),$A668,$A668+1),COLUMN('1-DATA'!B666)),IF($B668="STD. DEVIATION",2,$F$1))))</f>
        <v/>
      </c>
      <c r="D668" s="1" t="str">
        <f>IF(OR($B668="",D$7=""),"",IF($B668="MEANS",INDEX('1-DATA'!$1:$1048576,$A667-1,COLUMN('1-DATA'!C666)),ROUND(INDEX('1-DATA'!$1:$1048576,IF(OR($B668="STD. DEVIATION",$C$1=1),$A668,$A668+1),COLUMN('1-DATA'!C666)),IF($B668="STD. DEVIATION",2,$F$1))))</f>
        <v/>
      </c>
      <c r="E668" s="1" t="str">
        <f>IF(OR($B668="",E$7=""),"",IF($B668="MEANS",INDEX('1-DATA'!$1:$1048576,$A667-1,COLUMN('1-DATA'!D666)),ROUND(INDEX('1-DATA'!$1:$1048576,IF(OR($B668="STD. DEVIATION",$C$1=1),$A668,$A668+1),COLUMN('1-DATA'!D666)),IF($B668="STD. DEVIATION",2,$F$1))))</f>
        <v/>
      </c>
      <c r="F668" s="1" t="str">
        <f>IF(OR($B668="",F$7=""),"",IF($B668="MEANS",INDEX('1-DATA'!$1:$1048576,$A667-1,COLUMN('1-DATA'!E666)),ROUND(INDEX('1-DATA'!$1:$1048576,IF(OR($B668="STD. DEVIATION",$C$1=1),$A668,$A668+1),COLUMN('1-DATA'!E666)),IF($B668="STD. DEVIATION",2,$F$1))))</f>
        <v/>
      </c>
      <c r="G668" s="1" t="str">
        <f>IF(OR($B668="",G$7=""),"",IF($B668="MEANS",INDEX('1-DATA'!$1:$1048576,$A667-1,COLUMN('1-DATA'!F666)),ROUND(INDEX('1-DATA'!$1:$1048576,IF(OR($B668="STD. DEVIATION",$C$1=1),$A668,$A668+1),COLUMN('1-DATA'!F666)),IF($B668="STD. DEVIATION",2,$F$1))))</f>
        <v/>
      </c>
      <c r="H668" s="1" t="str">
        <f>IF(OR($B668="",H$7=""),"",IF($B668="MEANS",INDEX('1-DATA'!$1:$1048576,$A667-1,COLUMN('1-DATA'!G666)),ROUND(INDEX('1-DATA'!$1:$1048576,IF(OR($B668="STD. DEVIATION",$C$1=1),$A668,$A668+1),COLUMN('1-DATA'!G666)),IF($B668="STD. DEVIATION",2,$F$1))))</f>
        <v/>
      </c>
      <c r="I668" s="1" t="str">
        <f>IF(OR($B668="",I$7=""),"",IF($B668="MEANS",INDEX('1-DATA'!$1:$1048576,$A667-1,COLUMN('1-DATA'!H666)),ROUND(INDEX('1-DATA'!$1:$1048576,IF(OR($B668="STD. DEVIATION",$C$1=1),$A668,$A668+1),COLUMN('1-DATA'!H666)),IF($B668="STD. DEVIATION",2,$F$1))))</f>
        <v/>
      </c>
      <c r="J668" s="1" t="str">
        <f>IF(OR($B668="",J$7=""),"",IF($B668="MEANS",INDEX('1-DATA'!$1:$1048576,$A667-1,COLUMN('1-DATA'!I666)),ROUND(INDEX('1-DATA'!$1:$1048576,IF(OR($B668="STD. DEVIATION",$C$1=1),$A668,$A668+1),COLUMN('1-DATA'!I666)),IF($B668="STD. DEVIATION",2,$F$1))))</f>
        <v/>
      </c>
      <c r="K668" s="1" t="str">
        <f>IF(OR($B668="",K$7=""),"",IF($B668="MEANS",INDEX('1-DATA'!$1:$1048576,$A667-1,COLUMN('1-DATA'!J666)),ROUND(INDEX('1-DATA'!$1:$1048576,IF(OR($B668="STD. DEVIATION",$C$1=1),$A668,$A668+1),COLUMN('1-DATA'!J666)),IF($B668="STD. DEVIATION",2,$F$1))))</f>
        <v/>
      </c>
      <c r="L668" s="1" t="str">
        <f>IF(OR($B668="",L$7=""),"",IF($B668="MEANS",INDEX('1-DATA'!$1:$1048576,$A667-1,COLUMN('1-DATA'!K666)),ROUND(INDEX('1-DATA'!$1:$1048576,IF(OR($B668="STD. DEVIATION",$C$1=1),$A668,$A668+1),COLUMN('1-DATA'!K666)),IF($B668="STD. DEVIATION",2,$F$1))))</f>
        <v/>
      </c>
      <c r="M668" s="1" t="str">
        <f>IF(OR($B668="",M$7=""),"",IF($B668="MEANS",INDEX('1-DATA'!$1:$1048576,$A667-1,COLUMN('1-DATA'!L666)),ROUND(INDEX('1-DATA'!$1:$1048576,IF(OR($B668="STD. DEVIATION",$C$1=1),$A668,$A668+1),COLUMN('1-DATA'!L666)),IF($B668="STD. DEVIATION",2,$F$1))))</f>
        <v/>
      </c>
      <c r="N668" s="1" t="str">
        <f>IF(OR($B668="",N$7=""),"",IF($B668="MEANS",INDEX('1-DATA'!$1:$1048576,$A667-1,COLUMN('1-DATA'!M666)),ROUND(INDEX('1-DATA'!$1:$1048576,IF(OR($B668="STD. DEVIATION",$C$1=1),$A668,$A668+1),COLUMN('1-DATA'!M666)),IF($B668="STD. DEVIATION",2,$F$1))))</f>
        <v/>
      </c>
      <c r="O668" s="1" t="str">
        <f>IF(OR($B668="",O$7=""),"",IF($B668="MEANS",INDEX('1-DATA'!$1:$1048576,$A667-1,COLUMN('1-DATA'!N666)),ROUND(INDEX('1-DATA'!$1:$1048576,IF(OR($B668="STD. DEVIATION",$C$1=1),$A668,$A668+1),COLUMN('1-DATA'!N666)),IF($B668="STD. DEVIATION",2,$F$1))))</f>
        <v/>
      </c>
      <c r="P668" s="1" t="str">
        <f>IF(OR($B668="",P$7=""),"",IF($B668="MEANS",INDEX('1-DATA'!$1:$1048576,$A667-1,COLUMN('1-DATA'!O666)),ROUND(INDEX('1-DATA'!$1:$1048576,IF(OR($B668="STD. DEVIATION",$C$1=1),$A668,$A668+1),COLUMN('1-DATA'!O666)),IF($B668="STD. DEVIATION",2,$F$1))))</f>
        <v/>
      </c>
      <c r="Q668" s="1" t="str">
        <f>IF(OR($B668="",Q$7=""),"",IF($B668="MEANS",INDEX('1-DATA'!$1:$1048576,$A667-1,COLUMN('1-DATA'!P666)),ROUND(INDEX('1-DATA'!$1:$1048576,IF(OR($B668="STD. DEVIATION",$C$1=1),$A668,$A668+1),COLUMN('1-DATA'!P666)),IF($B668="STD. DEVIATION",2,$F$1))))</f>
        <v/>
      </c>
      <c r="R668" s="1" t="str">
        <f>IF(OR($B668="",R$7=""),"",IF($B668="MEANS",INDEX('1-DATA'!$1:$1048576,$A667-1,COLUMN('1-DATA'!Q666)),ROUND(INDEX('1-DATA'!$1:$1048576,IF(OR($B668="STD. DEVIATION",$C$1=1),$A668,$A668+1),COLUMN('1-DATA'!Q666)),IF($B668="STD. DEVIATION",2,$F$1))))</f>
        <v/>
      </c>
      <c r="S668" s="1" t="str">
        <f>IF(OR($B668="",S$7=""),"",IF($B668="MEANS",INDEX('1-DATA'!$1:$1048576,$A667-1,COLUMN('1-DATA'!R666)),ROUND(INDEX('1-DATA'!$1:$1048576,IF(OR($B668="STD. DEVIATION",$C$1=1),$A668,$A668+1),COLUMN('1-DATA'!R666)),IF($B668="STD. DEVIATION",2,$F$1))))</f>
        <v/>
      </c>
      <c r="T668" s="1" t="str">
        <f>IF(OR($B668="",T$7=""),"",IF($B668="MEANS",INDEX('1-DATA'!$1:$1048576,$A667-1,COLUMN('1-DATA'!S666)),ROUND(INDEX('1-DATA'!$1:$1048576,IF(OR($B668="STD. DEVIATION",$C$1=1),$A668,$A668+1),COLUMN('1-DATA'!S666)),IF($B668="STD. DEVIATION",2,$F$1))))</f>
        <v/>
      </c>
      <c r="U668" s="1" t="str">
        <f>IF(OR($B668="",U$7=""),"",IF($B668="MEANS",INDEX('1-DATA'!$1:$1048576,$A667-1,COLUMN('1-DATA'!T666)),ROUND(INDEX('1-DATA'!$1:$1048576,IF(OR($B668="STD. DEVIATION",$C$1=1),$A668,$A668+1),COLUMN('1-DATA'!T666)),IF($B668="STD. DEVIATION",2,$F$1))))</f>
        <v/>
      </c>
      <c r="V668" s="1" t="str">
        <f>IF(OR($B668="",V$7=""),"",IF($B668="MEANS",INDEX('1-DATA'!$1:$1048576,$A667-1,COLUMN('1-DATA'!U666)),ROUND(INDEX('1-DATA'!$1:$1048576,IF(OR($B668="STD. DEVIATION",$C$1=1),$A668,$A668+1),COLUMN('1-DATA'!U666)),IF($B668="STD. DEVIATION",2,$F$1))))</f>
        <v/>
      </c>
      <c r="W668" s="1" t="str">
        <f>IF(OR($B668="",W$7=""),"",IF($B668="MEANS",INDEX('1-DATA'!$1:$1048576,$A667-1,COLUMN('1-DATA'!V666)),ROUND(INDEX('1-DATA'!$1:$1048576,IF(OR($B668="STD. DEVIATION",$C$1=1),$A668,$A668+1),COLUMN('1-DATA'!V666)),IF($B668="STD. DEVIATION",2,$F$1))))</f>
        <v/>
      </c>
      <c r="X668" s="1" t="str">
        <f>IF(OR($B668="",X$7=""),"",IF($B668="MEANS",INDEX('1-DATA'!$1:$1048576,$A667-1,COLUMN('1-DATA'!W666)),ROUND(INDEX('1-DATA'!$1:$1048576,IF(OR($B668="STD. DEVIATION",$C$1=1),$A668,$A668+1),COLUMN('1-DATA'!W666)),IF($B668="STD. DEVIATION",2,$F$1))))</f>
        <v/>
      </c>
      <c r="Y668" s="1" t="str">
        <f>IF(OR($B668="",Y$7=""),"",IF($B668="MEANS",INDEX('1-DATA'!$1:$1048576,$A667-1,COLUMN('1-DATA'!X666)),ROUND(INDEX('1-DATA'!$1:$1048576,IF(OR($B668="STD. DEVIATION",$C$1=1),$A668,$A668+1),COLUMN('1-DATA'!X666)),IF($B668="STD. DEVIATION",2,$F$1))))</f>
        <v/>
      </c>
      <c r="Z668" s="1" t="str">
        <f>IF(OR($B668="",Z$7=""),"",IF($B668="MEANS",INDEX('1-DATA'!$1:$1048576,$A667-1,COLUMN('1-DATA'!Y666)),ROUND(INDEX('1-DATA'!$1:$1048576,IF(OR($B668="STD. DEVIATION",$C$1=1),$A668,$A668+1),COLUMN('1-DATA'!Y666)),IF($B668="STD. DEVIATION",2,$F$1))))</f>
        <v/>
      </c>
      <c r="AA668" s="1" t="str">
        <f>IF(OR($B668="",AA$7=""),"",IF($B668="MEANS",INDEX('1-DATA'!$1:$1048576,$A667-1,COLUMN('1-DATA'!Z666)),ROUND(INDEX('1-DATA'!$1:$1048576,IF(OR($B668="STD. DEVIATION",$C$1=1),$A668,$A668+1),COLUMN('1-DATA'!Z666)),IF($B668="STD. DEVIATION",2,$F$1))))</f>
        <v/>
      </c>
      <c r="AB668" s="1" t="str">
        <f>IF(OR($B668="",AB$7=""),"",IF($B668="MEANS",INDEX('1-DATA'!$1:$1048576,$A667-1,COLUMN('1-DATA'!AA666)),ROUND(INDEX('1-DATA'!$1:$1048576,IF(OR($B668="STD. DEVIATION",$C$1=1),$A668,$A668+1),COLUMN('1-DATA'!AA666)),IF($B668="STD. DEVIATION",2,$F$1))))</f>
        <v/>
      </c>
      <c r="AC668" s="1" t="str">
        <f>IF(OR($B668="",AC$7=""),"",IF($B668="MEANS",INDEX('1-DATA'!$1:$1048576,$A667-1,COLUMN('1-DATA'!AB666)),ROUND(INDEX('1-DATA'!$1:$1048576,IF(OR($B668="STD. DEVIATION",$C$1=1),$A668,$A668+1),COLUMN('1-DATA'!AB666)),IF($B668="STD. DEVIATION",2,$F$1))))</f>
        <v/>
      </c>
      <c r="AD668" s="1" t="str">
        <f>IF(OR($B668="",AD$7=""),"",IF($B668="MEANS",INDEX('1-DATA'!$1:$1048576,$A667-1,COLUMN('1-DATA'!AC666)),ROUND(INDEX('1-DATA'!$1:$1048576,IF(OR($B668="STD. DEVIATION",$C$1=1),$A668,$A668+1),COLUMN('1-DATA'!AC666)),IF($B668="STD. DEVIATION",2,$F$1))))</f>
        <v/>
      </c>
      <c r="AE668" s="1" t="str">
        <f>IF(OR($B668="",AE$7=""),"",IF($B668="MEANS",INDEX('1-DATA'!$1:$1048576,$A667-1,COLUMN('1-DATA'!AD666)),ROUND(INDEX('1-DATA'!$1:$1048576,IF(OR($B668="STD. DEVIATION",$C$1=1),$A668,$A668+1),COLUMN('1-DATA'!AD666)),IF($B668="STD. DEVIATION",2,$F$1))))</f>
        <v/>
      </c>
      <c r="AF668" s="1" t="str">
        <f>IF(OR($B668="",AF$7=""),"",IF($B668="MEANS",INDEX('1-DATA'!$1:$1048576,$A667-1,COLUMN('1-DATA'!AE666)),ROUND(INDEX('1-DATA'!$1:$1048576,IF(OR($B668="STD. DEVIATION",$C$1=1),$A668,$A668+1),COLUMN('1-DATA'!AE666)),IF($B668="STD. DEVIATION",2,$F$1))))</f>
        <v/>
      </c>
      <c r="AG668" s="1" t="str">
        <f>IF(OR($B668="",AG$7=""),"",IF($B668="MEANS",INDEX('1-DATA'!$1:$1048576,$A667-1,COLUMN('1-DATA'!AF666)),ROUND(INDEX('1-DATA'!$1:$1048576,IF(OR($B668="STD. DEVIATION",$C$1=1),$A668,$A668+1),COLUMN('1-DATA'!AF666)),IF($B668="STD. DEVIATION",2,$F$1))))</f>
        <v/>
      </c>
      <c r="AH668" s="1" t="str">
        <f>IF(OR($B668="",AH$7=""),"",IF($B668="MEANS",INDEX('1-DATA'!$1:$1048576,$A667-1,COLUMN('1-DATA'!AG666)),ROUND(INDEX('1-DATA'!$1:$1048576,IF(OR($B668="STD. DEVIATION",$C$1=1),$A668,$A668+1),COLUMN('1-DATA'!AG666)),IF($B668="STD. DEVIATION",2,$F$1))))</f>
        <v/>
      </c>
      <c r="AI668" s="1" t="str">
        <f>IF(OR($B668="",AI$7=""),"",IF($B668="MEANS",INDEX('1-DATA'!$1:$1048576,$A667-1,COLUMN('1-DATA'!AH666)),ROUND(INDEX('1-DATA'!$1:$1048576,IF(OR($B668="STD. DEVIATION",$C$1=1),$A668,$A668+1),COLUMN('1-DATA'!AH666)),IF($B668="STD. DEVIATION",2,$F$1))))</f>
        <v/>
      </c>
      <c r="AJ668" s="1" t="str">
        <f>IF(OR($B668="",AJ$7=""),"",IF($B668="MEANS",INDEX('1-DATA'!$1:$1048576,$A667-1,COLUMN('1-DATA'!AI666)),ROUND(INDEX('1-DATA'!$1:$1048576,IF(OR($B668="STD. DEVIATION",$C$1=1),$A668,$A668+1),COLUMN('1-DATA'!AI666)),IF($B668="STD. DEVIATION",2,$F$1))))</f>
        <v/>
      </c>
      <c r="AK668" s="1" t="str">
        <f>IF(OR($B668="",AK$7=""),"",IF($B668="MEANS",INDEX('1-DATA'!$1:$1048576,$A667-1,COLUMN('1-DATA'!AJ666)),ROUND(INDEX('1-DATA'!$1:$1048576,IF(OR($B668="STD. DEVIATION",$C$1=1),$A668,$A668+1),COLUMN('1-DATA'!AJ666)),IF($B668="STD. DEVIATION",2,$F$1))))</f>
        <v/>
      </c>
      <c r="AL668" s="1" t="str">
        <f>IF(OR($B668="",AL$7=""),"",IF($B668="MEANS",INDEX('1-DATA'!$1:$1048576,$A667-1,COLUMN('1-DATA'!AK666)),ROUND(INDEX('1-DATA'!$1:$1048576,IF(OR($B668="STD. DEVIATION",$C$1=1),$A668,$A668+1),COLUMN('1-DATA'!AK666)),IF($B668="STD. DEVIATION",2,$F$1))))</f>
        <v/>
      </c>
      <c r="AM668" s="1" t="str">
        <f>IF(OR($B668="",AM$7=""),"",IF($B668="MEANS",INDEX('1-DATA'!$1:$1048576,$A667-1,COLUMN('1-DATA'!AL666)),ROUND(INDEX('1-DATA'!$1:$1048576,IF(OR($B668="STD. DEVIATION",$C$1=1),$A668,$A668+1),COLUMN('1-DATA'!AL666)),IF($B668="STD. DEVIATION",2,$F$1))))</f>
        <v/>
      </c>
      <c r="AN668" s="1" t="str">
        <f>IF(OR($B668="",AN$7=""),"",IF($B668="MEANS",INDEX('1-DATA'!$1:$1048576,$A667-1,COLUMN('1-DATA'!AM666)),ROUND(INDEX('1-DATA'!$1:$1048576,IF(OR($B668="STD. DEVIATION",$C$1=1),$A668,$A668+1),COLUMN('1-DATA'!AM666)),IF($B668="STD. DEVIATION",2,$F$1))))</f>
        <v/>
      </c>
      <c r="AO668" s="1" t="str">
        <f>IF(OR($B668="",AO$7=""),"",IF($B668="MEANS",INDEX('1-DATA'!$1:$1048576,$A667-1,COLUMN('1-DATA'!AN666)),ROUND(INDEX('1-DATA'!$1:$1048576,IF(OR($B668="STD. DEVIATION",$C$1=1),$A668,$A668+1),COLUMN('1-DATA'!AN666)),IF($B668="STD. DEVIATION",2,$F$1))))</f>
        <v/>
      </c>
      <c r="AP668" s="1" t="str">
        <f>IF(OR($B668="",AP$7=""),"",IF($B668="MEANS",INDEX('1-DATA'!$1:$1048576,$A667-1,COLUMN('1-DATA'!AO666)),ROUND(INDEX('1-DATA'!$1:$1048576,IF(OR($B668="STD. DEVIATION",$C$1=1),$A668,$A668+1),COLUMN('1-DATA'!AO666)),IF($B668="STD. DEVIATION",2,$F$1))))</f>
        <v/>
      </c>
      <c r="AQ668" s="1" t="str">
        <f>IF(OR($B668="",AQ$7=""),"",IF($B668="MEANS",INDEX('1-DATA'!$1:$1048576,$A667-1,COLUMN('1-DATA'!AP666)),ROUND(INDEX('1-DATA'!$1:$1048576,IF(OR($B668="STD. DEVIATION",$C$1=1),$A668,$A668+1),COLUMN('1-DATA'!AP666)),IF($B668="STD. DEVIATION",2,$F$1))))</f>
        <v/>
      </c>
      <c r="AR668" s="1" t="str">
        <f>IF(OR($B668="",AR$7=""),"",IF($B668="MEANS",INDEX('1-DATA'!$1:$1048576,$A667-1,COLUMN('1-DATA'!AQ666)),ROUND(INDEX('1-DATA'!$1:$1048576,IF(OR($B668="STD. DEVIATION",$C$1=1),$A668,$A668+1),COLUMN('1-DATA'!AQ666)),IF($B668="STD. DEVIATION",2,$F$1))))</f>
        <v/>
      </c>
      <c r="AS668" s="1" t="str">
        <f>IF(OR($B668="",AS$7=""),"",IF($B668="MEANS",INDEX('1-DATA'!$1:$1048576,$A667-1,COLUMN('1-DATA'!AR666)),ROUND(INDEX('1-DATA'!$1:$1048576,IF(OR($B668="STD. DEVIATION",$C$1=1),$A668,$A668+1),COLUMN('1-DATA'!AR666)),IF($B668="STD. DEVIATION",2,$F$1))))</f>
        <v/>
      </c>
      <c r="AT668" s="1" t="str">
        <f>IF(OR($B668="",AT$7=""),"",IF($B668="MEANS",INDEX('1-DATA'!$1:$1048576,$A667-1,COLUMN('1-DATA'!AS666)),ROUND(INDEX('1-DATA'!$1:$1048576,IF(OR($B668="STD. DEVIATION",$C$1=1),$A668,$A668+1),COLUMN('1-DATA'!AS666)),IF($B668="STD. DEVIATION",2,$F$1))))</f>
        <v/>
      </c>
      <c r="AU668" s="1" t="str">
        <f>IF(OR($B668="",AU$7=""),"",IF($B668="MEANS",INDEX('1-DATA'!$1:$1048576,$A667-1,COLUMN('1-DATA'!AT666)),ROUND(INDEX('1-DATA'!$1:$1048576,IF(OR($B668="STD. DEVIATION",$C$1=1),$A668,$A668+1),COLUMN('1-DATA'!AT666)),IF($B668="STD. DEVIATION",2,$F$1))))</f>
        <v/>
      </c>
      <c r="AV668" s="1" t="str">
        <f>IF(OR($B668="",AV$7=""),"",IF($B668="MEANS",INDEX('1-DATA'!$1:$1048576,$A667-1,COLUMN('1-DATA'!AU666)),ROUND(INDEX('1-DATA'!$1:$1048576,IF(OR($B668="STD. DEVIATION",$C$1=1),$A668,$A668+1),COLUMN('1-DATA'!AU666)),IF($B668="STD. DEVIATION",2,$F$1))))</f>
        <v/>
      </c>
      <c r="AW668" s="1" t="str">
        <f>IF(OR($B668="",AW$7=""),"",IF($B668="MEANS",INDEX('1-DATA'!$1:$1048576,$A667-1,COLUMN('1-DATA'!AV666)),ROUND(INDEX('1-DATA'!$1:$1048576,IF(OR($B668="STD. DEVIATION",$C$1=1),$A668,$A668+1),COLUMN('1-DATA'!AV666)),IF($B668="STD. DEVIATION",2,$F$1))))</f>
        <v/>
      </c>
      <c r="AX668" s="1" t="str">
        <f>IF(OR($B668="",AX$7=""),"",IF($B668="MEANS",INDEX('1-DATA'!$1:$1048576,$A667-1,COLUMN('1-DATA'!AW666)),ROUND(INDEX('1-DATA'!$1:$1048576,IF(OR($B668="STD. DEVIATION",$C$1=1),$A668,$A668+1),COLUMN('1-DATA'!AW666)),IF($B668="STD. DEVIATION",2,$F$1))))</f>
        <v/>
      </c>
      <c r="AY668" s="1" t="str">
        <f>IF(OR($B668="",AY$7=""),"",IF($B668="MEANS",INDEX('1-DATA'!$1:$1048576,$A667-1,COLUMN('1-DATA'!AX666)),ROUND(INDEX('1-DATA'!$1:$1048576,IF(OR($B668="STD. DEVIATION",$C$1=1),$A668,$A668+1),COLUMN('1-DATA'!AX666)),IF($B668="STD. DEVIATION",2,$F$1))))</f>
        <v/>
      </c>
      <c r="AZ668" s="1" t="str">
        <f>IF(OR($B668="",AZ$7=""),"",IF($B668="MEANS",INDEX('1-DATA'!$1:$1048576,$A667-1,COLUMN('1-DATA'!AY666)),ROUND(INDEX('1-DATA'!$1:$1048576,IF(OR($B668="STD. DEVIATION",$C$1=1),$A668,$A668+1),COLUMN('1-DATA'!AY666)),IF($B668="STD. DEVIATION",2,$F$1))))</f>
        <v/>
      </c>
    </row>
    <row r="669" spans="1:52" x14ac:dyDescent="0.25">
      <c r="A669" s="11">
        <f t="shared" si="10"/>
        <v>1993</v>
      </c>
      <c r="B669" s="1" t="str">
        <f>IF(B668="STD. DEVIATION",INDEX('1-DATA'!$1:$1048576,$A668-1,1),IF(INDEX('1-DATA'!$1:$1048576,$A669,1)&lt;&gt;"",INDEX('1-DATA'!$1:$1048576,$A669,1),""))</f>
        <v/>
      </c>
      <c r="C669" s="1" t="str">
        <f>IF(OR($B669="",C$7=""),"",IF($B669="MEANS",INDEX('1-DATA'!$1:$1048576,$A668-1,COLUMN('1-DATA'!B667)),ROUND(INDEX('1-DATA'!$1:$1048576,IF(OR($B669="STD. DEVIATION",$C$1=1),$A669,$A669+1),COLUMN('1-DATA'!B667)),IF($B669="STD. DEVIATION",2,$F$1))))</f>
        <v/>
      </c>
      <c r="D669" s="1" t="str">
        <f>IF(OR($B669="",D$7=""),"",IF($B669="MEANS",INDEX('1-DATA'!$1:$1048576,$A668-1,COLUMN('1-DATA'!C667)),ROUND(INDEX('1-DATA'!$1:$1048576,IF(OR($B669="STD. DEVIATION",$C$1=1),$A669,$A669+1),COLUMN('1-DATA'!C667)),IF($B669="STD. DEVIATION",2,$F$1))))</f>
        <v/>
      </c>
      <c r="E669" s="1" t="str">
        <f>IF(OR($B669="",E$7=""),"",IF($B669="MEANS",INDEX('1-DATA'!$1:$1048576,$A668-1,COLUMN('1-DATA'!D667)),ROUND(INDEX('1-DATA'!$1:$1048576,IF(OR($B669="STD. DEVIATION",$C$1=1),$A669,$A669+1),COLUMN('1-DATA'!D667)),IF($B669="STD. DEVIATION",2,$F$1))))</f>
        <v/>
      </c>
      <c r="F669" s="1" t="str">
        <f>IF(OR($B669="",F$7=""),"",IF($B669="MEANS",INDEX('1-DATA'!$1:$1048576,$A668-1,COLUMN('1-DATA'!E667)),ROUND(INDEX('1-DATA'!$1:$1048576,IF(OR($B669="STD. DEVIATION",$C$1=1),$A669,$A669+1),COLUMN('1-DATA'!E667)),IF($B669="STD. DEVIATION",2,$F$1))))</f>
        <v/>
      </c>
      <c r="G669" s="1" t="str">
        <f>IF(OR($B669="",G$7=""),"",IF($B669="MEANS",INDEX('1-DATA'!$1:$1048576,$A668-1,COLUMN('1-DATA'!F667)),ROUND(INDEX('1-DATA'!$1:$1048576,IF(OR($B669="STD. DEVIATION",$C$1=1),$A669,$A669+1),COLUMN('1-DATA'!F667)),IF($B669="STD. DEVIATION",2,$F$1))))</f>
        <v/>
      </c>
      <c r="H669" s="1" t="str">
        <f>IF(OR($B669="",H$7=""),"",IF($B669="MEANS",INDEX('1-DATA'!$1:$1048576,$A668-1,COLUMN('1-DATA'!G667)),ROUND(INDEX('1-DATA'!$1:$1048576,IF(OR($B669="STD. DEVIATION",$C$1=1),$A669,$A669+1),COLUMN('1-DATA'!G667)),IF($B669="STD. DEVIATION",2,$F$1))))</f>
        <v/>
      </c>
      <c r="I669" s="1" t="str">
        <f>IF(OR($B669="",I$7=""),"",IF($B669="MEANS",INDEX('1-DATA'!$1:$1048576,$A668-1,COLUMN('1-DATA'!H667)),ROUND(INDEX('1-DATA'!$1:$1048576,IF(OR($B669="STD. DEVIATION",$C$1=1),$A669,$A669+1),COLUMN('1-DATA'!H667)),IF($B669="STD. DEVIATION",2,$F$1))))</f>
        <v/>
      </c>
      <c r="J669" s="1" t="str">
        <f>IF(OR($B669="",J$7=""),"",IF($B669="MEANS",INDEX('1-DATA'!$1:$1048576,$A668-1,COLUMN('1-DATA'!I667)),ROUND(INDEX('1-DATA'!$1:$1048576,IF(OR($B669="STD. DEVIATION",$C$1=1),$A669,$A669+1),COLUMN('1-DATA'!I667)),IF($B669="STD. DEVIATION",2,$F$1))))</f>
        <v/>
      </c>
      <c r="K669" s="1" t="str">
        <f>IF(OR($B669="",K$7=""),"",IF($B669="MEANS",INDEX('1-DATA'!$1:$1048576,$A668-1,COLUMN('1-DATA'!J667)),ROUND(INDEX('1-DATA'!$1:$1048576,IF(OR($B669="STD. DEVIATION",$C$1=1),$A669,$A669+1),COLUMN('1-DATA'!J667)),IF($B669="STD. DEVIATION",2,$F$1))))</f>
        <v/>
      </c>
      <c r="L669" s="1" t="str">
        <f>IF(OR($B669="",L$7=""),"",IF($B669="MEANS",INDEX('1-DATA'!$1:$1048576,$A668-1,COLUMN('1-DATA'!K667)),ROUND(INDEX('1-DATA'!$1:$1048576,IF(OR($B669="STD. DEVIATION",$C$1=1),$A669,$A669+1),COLUMN('1-DATA'!K667)),IF($B669="STD. DEVIATION",2,$F$1))))</f>
        <v/>
      </c>
      <c r="M669" s="1" t="str">
        <f>IF(OR($B669="",M$7=""),"",IF($B669="MEANS",INDEX('1-DATA'!$1:$1048576,$A668-1,COLUMN('1-DATA'!L667)),ROUND(INDEX('1-DATA'!$1:$1048576,IF(OR($B669="STD. DEVIATION",$C$1=1),$A669,$A669+1),COLUMN('1-DATA'!L667)),IF($B669="STD. DEVIATION",2,$F$1))))</f>
        <v/>
      </c>
      <c r="N669" s="1" t="str">
        <f>IF(OR($B669="",N$7=""),"",IF($B669="MEANS",INDEX('1-DATA'!$1:$1048576,$A668-1,COLUMN('1-DATA'!M667)),ROUND(INDEX('1-DATA'!$1:$1048576,IF(OR($B669="STD. DEVIATION",$C$1=1),$A669,$A669+1),COLUMN('1-DATA'!M667)),IF($B669="STD. DEVIATION",2,$F$1))))</f>
        <v/>
      </c>
      <c r="O669" s="1" t="str">
        <f>IF(OR($B669="",O$7=""),"",IF($B669="MEANS",INDEX('1-DATA'!$1:$1048576,$A668-1,COLUMN('1-DATA'!N667)),ROUND(INDEX('1-DATA'!$1:$1048576,IF(OR($B669="STD. DEVIATION",$C$1=1),$A669,$A669+1),COLUMN('1-DATA'!N667)),IF($B669="STD. DEVIATION",2,$F$1))))</f>
        <v/>
      </c>
      <c r="P669" s="1" t="str">
        <f>IF(OR($B669="",P$7=""),"",IF($B669="MEANS",INDEX('1-DATA'!$1:$1048576,$A668-1,COLUMN('1-DATA'!O667)),ROUND(INDEX('1-DATA'!$1:$1048576,IF(OR($B669="STD. DEVIATION",$C$1=1),$A669,$A669+1),COLUMN('1-DATA'!O667)),IF($B669="STD. DEVIATION",2,$F$1))))</f>
        <v/>
      </c>
      <c r="Q669" s="1" t="str">
        <f>IF(OR($B669="",Q$7=""),"",IF($B669="MEANS",INDEX('1-DATA'!$1:$1048576,$A668-1,COLUMN('1-DATA'!P667)),ROUND(INDEX('1-DATA'!$1:$1048576,IF(OR($B669="STD. DEVIATION",$C$1=1),$A669,$A669+1),COLUMN('1-DATA'!P667)),IF($B669="STD. DEVIATION",2,$F$1))))</f>
        <v/>
      </c>
      <c r="R669" s="1" t="str">
        <f>IF(OR($B669="",R$7=""),"",IF($B669="MEANS",INDEX('1-DATA'!$1:$1048576,$A668-1,COLUMN('1-DATA'!Q667)),ROUND(INDEX('1-DATA'!$1:$1048576,IF(OR($B669="STD. DEVIATION",$C$1=1),$A669,$A669+1),COLUMN('1-DATA'!Q667)),IF($B669="STD. DEVIATION",2,$F$1))))</f>
        <v/>
      </c>
      <c r="S669" s="1" t="str">
        <f>IF(OR($B669="",S$7=""),"",IF($B669="MEANS",INDEX('1-DATA'!$1:$1048576,$A668-1,COLUMN('1-DATA'!R667)),ROUND(INDEX('1-DATA'!$1:$1048576,IF(OR($B669="STD. DEVIATION",$C$1=1),$A669,$A669+1),COLUMN('1-DATA'!R667)),IF($B669="STD. DEVIATION",2,$F$1))))</f>
        <v/>
      </c>
      <c r="T669" s="1" t="str">
        <f>IF(OR($B669="",T$7=""),"",IF($B669="MEANS",INDEX('1-DATA'!$1:$1048576,$A668-1,COLUMN('1-DATA'!S667)),ROUND(INDEX('1-DATA'!$1:$1048576,IF(OR($B669="STD. DEVIATION",$C$1=1),$A669,$A669+1),COLUMN('1-DATA'!S667)),IF($B669="STD. DEVIATION",2,$F$1))))</f>
        <v/>
      </c>
      <c r="U669" s="1" t="str">
        <f>IF(OR($B669="",U$7=""),"",IF($B669="MEANS",INDEX('1-DATA'!$1:$1048576,$A668-1,COLUMN('1-DATA'!T667)),ROUND(INDEX('1-DATA'!$1:$1048576,IF(OR($B669="STD. DEVIATION",$C$1=1),$A669,$A669+1),COLUMN('1-DATA'!T667)),IF($B669="STD. DEVIATION",2,$F$1))))</f>
        <v/>
      </c>
      <c r="V669" s="1" t="str">
        <f>IF(OR($B669="",V$7=""),"",IF($B669="MEANS",INDEX('1-DATA'!$1:$1048576,$A668-1,COLUMN('1-DATA'!U667)),ROUND(INDEX('1-DATA'!$1:$1048576,IF(OR($B669="STD. DEVIATION",$C$1=1),$A669,$A669+1),COLUMN('1-DATA'!U667)),IF($B669="STD. DEVIATION",2,$F$1))))</f>
        <v/>
      </c>
      <c r="W669" s="1" t="str">
        <f>IF(OR($B669="",W$7=""),"",IF($B669="MEANS",INDEX('1-DATA'!$1:$1048576,$A668-1,COLUMN('1-DATA'!V667)),ROUND(INDEX('1-DATA'!$1:$1048576,IF(OR($B669="STD. DEVIATION",$C$1=1),$A669,$A669+1),COLUMN('1-DATA'!V667)),IF($B669="STD. DEVIATION",2,$F$1))))</f>
        <v/>
      </c>
      <c r="X669" s="1" t="str">
        <f>IF(OR($B669="",X$7=""),"",IF($B669="MEANS",INDEX('1-DATA'!$1:$1048576,$A668-1,COLUMN('1-DATA'!W667)),ROUND(INDEX('1-DATA'!$1:$1048576,IF(OR($B669="STD. DEVIATION",$C$1=1),$A669,$A669+1),COLUMN('1-DATA'!W667)),IF($B669="STD. DEVIATION",2,$F$1))))</f>
        <v/>
      </c>
      <c r="Y669" s="1" t="str">
        <f>IF(OR($B669="",Y$7=""),"",IF($B669="MEANS",INDEX('1-DATA'!$1:$1048576,$A668-1,COLUMN('1-DATA'!X667)),ROUND(INDEX('1-DATA'!$1:$1048576,IF(OR($B669="STD. DEVIATION",$C$1=1),$A669,$A669+1),COLUMN('1-DATA'!X667)),IF($B669="STD. DEVIATION",2,$F$1))))</f>
        <v/>
      </c>
      <c r="Z669" s="1" t="str">
        <f>IF(OR($B669="",Z$7=""),"",IF($B669="MEANS",INDEX('1-DATA'!$1:$1048576,$A668-1,COLUMN('1-DATA'!Y667)),ROUND(INDEX('1-DATA'!$1:$1048576,IF(OR($B669="STD. DEVIATION",$C$1=1),$A669,$A669+1),COLUMN('1-DATA'!Y667)),IF($B669="STD. DEVIATION",2,$F$1))))</f>
        <v/>
      </c>
      <c r="AA669" s="1" t="str">
        <f>IF(OR($B669="",AA$7=""),"",IF($B669="MEANS",INDEX('1-DATA'!$1:$1048576,$A668-1,COLUMN('1-DATA'!Z667)),ROUND(INDEX('1-DATA'!$1:$1048576,IF(OR($B669="STD. DEVIATION",$C$1=1),$A669,$A669+1),COLUMN('1-DATA'!Z667)),IF($B669="STD. DEVIATION",2,$F$1))))</f>
        <v/>
      </c>
      <c r="AB669" s="1" t="str">
        <f>IF(OR($B669="",AB$7=""),"",IF($B669="MEANS",INDEX('1-DATA'!$1:$1048576,$A668-1,COLUMN('1-DATA'!AA667)),ROUND(INDEX('1-DATA'!$1:$1048576,IF(OR($B669="STD. DEVIATION",$C$1=1),$A669,$A669+1),COLUMN('1-DATA'!AA667)),IF($B669="STD. DEVIATION",2,$F$1))))</f>
        <v/>
      </c>
      <c r="AC669" s="1" t="str">
        <f>IF(OR($B669="",AC$7=""),"",IF($B669="MEANS",INDEX('1-DATA'!$1:$1048576,$A668-1,COLUMN('1-DATA'!AB667)),ROUND(INDEX('1-DATA'!$1:$1048576,IF(OR($B669="STD. DEVIATION",$C$1=1),$A669,$A669+1),COLUMN('1-DATA'!AB667)),IF($B669="STD. DEVIATION",2,$F$1))))</f>
        <v/>
      </c>
      <c r="AD669" s="1" t="str">
        <f>IF(OR($B669="",AD$7=""),"",IF($B669="MEANS",INDEX('1-DATA'!$1:$1048576,$A668-1,COLUMN('1-DATA'!AC667)),ROUND(INDEX('1-DATA'!$1:$1048576,IF(OR($B669="STD. DEVIATION",$C$1=1),$A669,$A669+1),COLUMN('1-DATA'!AC667)),IF($B669="STD. DEVIATION",2,$F$1))))</f>
        <v/>
      </c>
      <c r="AE669" s="1" t="str">
        <f>IF(OR($B669="",AE$7=""),"",IF($B669="MEANS",INDEX('1-DATA'!$1:$1048576,$A668-1,COLUMN('1-DATA'!AD667)),ROUND(INDEX('1-DATA'!$1:$1048576,IF(OR($B669="STD. DEVIATION",$C$1=1),$A669,$A669+1),COLUMN('1-DATA'!AD667)),IF($B669="STD. DEVIATION",2,$F$1))))</f>
        <v/>
      </c>
      <c r="AF669" s="1" t="str">
        <f>IF(OR($B669="",AF$7=""),"",IF($B669="MEANS",INDEX('1-DATA'!$1:$1048576,$A668-1,COLUMN('1-DATA'!AE667)),ROUND(INDEX('1-DATA'!$1:$1048576,IF(OR($B669="STD. DEVIATION",$C$1=1),$A669,$A669+1),COLUMN('1-DATA'!AE667)),IF($B669="STD. DEVIATION",2,$F$1))))</f>
        <v/>
      </c>
      <c r="AG669" s="1" t="str">
        <f>IF(OR($B669="",AG$7=""),"",IF($B669="MEANS",INDEX('1-DATA'!$1:$1048576,$A668-1,COLUMN('1-DATA'!AF667)),ROUND(INDEX('1-DATA'!$1:$1048576,IF(OR($B669="STD. DEVIATION",$C$1=1),$A669,$A669+1),COLUMN('1-DATA'!AF667)),IF($B669="STD. DEVIATION",2,$F$1))))</f>
        <v/>
      </c>
      <c r="AH669" s="1" t="str">
        <f>IF(OR($B669="",AH$7=""),"",IF($B669="MEANS",INDEX('1-DATA'!$1:$1048576,$A668-1,COLUMN('1-DATA'!AG667)),ROUND(INDEX('1-DATA'!$1:$1048576,IF(OR($B669="STD. DEVIATION",$C$1=1),$A669,$A669+1),COLUMN('1-DATA'!AG667)),IF($B669="STD. DEVIATION",2,$F$1))))</f>
        <v/>
      </c>
      <c r="AI669" s="1" t="str">
        <f>IF(OR($B669="",AI$7=""),"",IF($B669="MEANS",INDEX('1-DATA'!$1:$1048576,$A668-1,COLUMN('1-DATA'!AH667)),ROUND(INDEX('1-DATA'!$1:$1048576,IF(OR($B669="STD. DEVIATION",$C$1=1),$A669,$A669+1),COLUMN('1-DATA'!AH667)),IF($B669="STD. DEVIATION",2,$F$1))))</f>
        <v/>
      </c>
      <c r="AJ669" s="1" t="str">
        <f>IF(OR($B669="",AJ$7=""),"",IF($B669="MEANS",INDEX('1-DATA'!$1:$1048576,$A668-1,COLUMN('1-DATA'!AI667)),ROUND(INDEX('1-DATA'!$1:$1048576,IF(OR($B669="STD. DEVIATION",$C$1=1),$A669,$A669+1),COLUMN('1-DATA'!AI667)),IF($B669="STD. DEVIATION",2,$F$1))))</f>
        <v/>
      </c>
      <c r="AK669" s="1" t="str">
        <f>IF(OR($B669="",AK$7=""),"",IF($B669="MEANS",INDEX('1-DATA'!$1:$1048576,$A668-1,COLUMN('1-DATA'!AJ667)),ROUND(INDEX('1-DATA'!$1:$1048576,IF(OR($B669="STD. DEVIATION",$C$1=1),$A669,$A669+1),COLUMN('1-DATA'!AJ667)),IF($B669="STD. DEVIATION",2,$F$1))))</f>
        <v/>
      </c>
      <c r="AL669" s="1" t="str">
        <f>IF(OR($B669="",AL$7=""),"",IF($B669="MEANS",INDEX('1-DATA'!$1:$1048576,$A668-1,COLUMN('1-DATA'!AK667)),ROUND(INDEX('1-DATA'!$1:$1048576,IF(OR($B669="STD. DEVIATION",$C$1=1),$A669,$A669+1),COLUMN('1-DATA'!AK667)),IF($B669="STD. DEVIATION",2,$F$1))))</f>
        <v/>
      </c>
      <c r="AM669" s="1" t="str">
        <f>IF(OR($B669="",AM$7=""),"",IF($B669="MEANS",INDEX('1-DATA'!$1:$1048576,$A668-1,COLUMN('1-DATA'!AL667)),ROUND(INDEX('1-DATA'!$1:$1048576,IF(OR($B669="STD. DEVIATION",$C$1=1),$A669,$A669+1),COLUMN('1-DATA'!AL667)),IF($B669="STD. DEVIATION",2,$F$1))))</f>
        <v/>
      </c>
      <c r="AN669" s="1" t="str">
        <f>IF(OR($B669="",AN$7=""),"",IF($B669="MEANS",INDEX('1-DATA'!$1:$1048576,$A668-1,COLUMN('1-DATA'!AM667)),ROUND(INDEX('1-DATA'!$1:$1048576,IF(OR($B669="STD. DEVIATION",$C$1=1),$A669,$A669+1),COLUMN('1-DATA'!AM667)),IF($B669="STD. DEVIATION",2,$F$1))))</f>
        <v/>
      </c>
      <c r="AO669" s="1" t="str">
        <f>IF(OR($B669="",AO$7=""),"",IF($B669="MEANS",INDEX('1-DATA'!$1:$1048576,$A668-1,COLUMN('1-DATA'!AN667)),ROUND(INDEX('1-DATA'!$1:$1048576,IF(OR($B669="STD. DEVIATION",$C$1=1),$A669,$A669+1),COLUMN('1-DATA'!AN667)),IF($B669="STD. DEVIATION",2,$F$1))))</f>
        <v/>
      </c>
      <c r="AP669" s="1" t="str">
        <f>IF(OR($B669="",AP$7=""),"",IF($B669="MEANS",INDEX('1-DATA'!$1:$1048576,$A668-1,COLUMN('1-DATA'!AO667)),ROUND(INDEX('1-DATA'!$1:$1048576,IF(OR($B669="STD. DEVIATION",$C$1=1),$A669,$A669+1),COLUMN('1-DATA'!AO667)),IF($B669="STD. DEVIATION",2,$F$1))))</f>
        <v/>
      </c>
      <c r="AQ669" s="1" t="str">
        <f>IF(OR($B669="",AQ$7=""),"",IF($B669="MEANS",INDEX('1-DATA'!$1:$1048576,$A668-1,COLUMN('1-DATA'!AP667)),ROUND(INDEX('1-DATA'!$1:$1048576,IF(OR($B669="STD. DEVIATION",$C$1=1),$A669,$A669+1),COLUMN('1-DATA'!AP667)),IF($B669="STD. DEVIATION",2,$F$1))))</f>
        <v/>
      </c>
      <c r="AR669" s="1" t="str">
        <f>IF(OR($B669="",AR$7=""),"",IF($B669="MEANS",INDEX('1-DATA'!$1:$1048576,$A668-1,COLUMN('1-DATA'!AQ667)),ROUND(INDEX('1-DATA'!$1:$1048576,IF(OR($B669="STD. DEVIATION",$C$1=1),$A669,$A669+1),COLUMN('1-DATA'!AQ667)),IF($B669="STD. DEVIATION",2,$F$1))))</f>
        <v/>
      </c>
      <c r="AS669" s="1" t="str">
        <f>IF(OR($B669="",AS$7=""),"",IF($B669="MEANS",INDEX('1-DATA'!$1:$1048576,$A668-1,COLUMN('1-DATA'!AR667)),ROUND(INDEX('1-DATA'!$1:$1048576,IF(OR($B669="STD. DEVIATION",$C$1=1),$A669,$A669+1),COLUMN('1-DATA'!AR667)),IF($B669="STD. DEVIATION",2,$F$1))))</f>
        <v/>
      </c>
      <c r="AT669" s="1" t="str">
        <f>IF(OR($B669="",AT$7=""),"",IF($B669="MEANS",INDEX('1-DATA'!$1:$1048576,$A668-1,COLUMN('1-DATA'!AS667)),ROUND(INDEX('1-DATA'!$1:$1048576,IF(OR($B669="STD. DEVIATION",$C$1=1),$A669,$A669+1),COLUMN('1-DATA'!AS667)),IF($B669="STD. DEVIATION",2,$F$1))))</f>
        <v/>
      </c>
      <c r="AU669" s="1" t="str">
        <f>IF(OR($B669="",AU$7=""),"",IF($B669="MEANS",INDEX('1-DATA'!$1:$1048576,$A668-1,COLUMN('1-DATA'!AT667)),ROUND(INDEX('1-DATA'!$1:$1048576,IF(OR($B669="STD. DEVIATION",$C$1=1),$A669,$A669+1),COLUMN('1-DATA'!AT667)),IF($B669="STD. DEVIATION",2,$F$1))))</f>
        <v/>
      </c>
      <c r="AV669" s="1" t="str">
        <f>IF(OR($B669="",AV$7=""),"",IF($B669="MEANS",INDEX('1-DATA'!$1:$1048576,$A668-1,COLUMN('1-DATA'!AU667)),ROUND(INDEX('1-DATA'!$1:$1048576,IF(OR($B669="STD. DEVIATION",$C$1=1),$A669,$A669+1),COLUMN('1-DATA'!AU667)),IF($B669="STD. DEVIATION",2,$F$1))))</f>
        <v/>
      </c>
      <c r="AW669" s="1" t="str">
        <f>IF(OR($B669="",AW$7=""),"",IF($B669="MEANS",INDEX('1-DATA'!$1:$1048576,$A668-1,COLUMN('1-DATA'!AV667)),ROUND(INDEX('1-DATA'!$1:$1048576,IF(OR($B669="STD. DEVIATION",$C$1=1),$A669,$A669+1),COLUMN('1-DATA'!AV667)),IF($B669="STD. DEVIATION",2,$F$1))))</f>
        <v/>
      </c>
      <c r="AX669" s="1" t="str">
        <f>IF(OR($B669="",AX$7=""),"",IF($B669="MEANS",INDEX('1-DATA'!$1:$1048576,$A668-1,COLUMN('1-DATA'!AW667)),ROUND(INDEX('1-DATA'!$1:$1048576,IF(OR($B669="STD. DEVIATION",$C$1=1),$A669,$A669+1),COLUMN('1-DATA'!AW667)),IF($B669="STD. DEVIATION",2,$F$1))))</f>
        <v/>
      </c>
      <c r="AY669" s="1" t="str">
        <f>IF(OR($B669="",AY$7=""),"",IF($B669="MEANS",INDEX('1-DATA'!$1:$1048576,$A668-1,COLUMN('1-DATA'!AX667)),ROUND(INDEX('1-DATA'!$1:$1048576,IF(OR($B669="STD. DEVIATION",$C$1=1),$A669,$A669+1),COLUMN('1-DATA'!AX667)),IF($B669="STD. DEVIATION",2,$F$1))))</f>
        <v/>
      </c>
      <c r="AZ669" s="1" t="str">
        <f>IF(OR($B669="",AZ$7=""),"",IF($B669="MEANS",INDEX('1-DATA'!$1:$1048576,$A668-1,COLUMN('1-DATA'!AY667)),ROUND(INDEX('1-DATA'!$1:$1048576,IF(OR($B669="STD. DEVIATION",$C$1=1),$A669,$A669+1),COLUMN('1-DATA'!AY667)),IF($B669="STD. DEVIATION",2,$F$1))))</f>
        <v/>
      </c>
    </row>
    <row r="670" spans="1:52" x14ac:dyDescent="0.25">
      <c r="A670" s="11">
        <f t="shared" ref="A670:A733" si="11">A669+3</f>
        <v>1996</v>
      </c>
      <c r="B670" s="1" t="str">
        <f>IF(B669="STD. DEVIATION",INDEX('1-DATA'!$1:$1048576,$A669-1,1),IF(INDEX('1-DATA'!$1:$1048576,$A670,1)&lt;&gt;"",INDEX('1-DATA'!$1:$1048576,$A670,1),""))</f>
        <v/>
      </c>
      <c r="C670" s="1" t="str">
        <f>IF(OR($B670="",C$7=""),"",IF($B670="MEANS",INDEX('1-DATA'!$1:$1048576,$A669-1,COLUMN('1-DATA'!B668)),ROUND(INDEX('1-DATA'!$1:$1048576,IF(OR($B670="STD. DEVIATION",$C$1=1),$A670,$A670+1),COLUMN('1-DATA'!B668)),IF($B670="STD. DEVIATION",2,$F$1))))</f>
        <v/>
      </c>
      <c r="D670" s="1" t="str">
        <f>IF(OR($B670="",D$7=""),"",IF($B670="MEANS",INDEX('1-DATA'!$1:$1048576,$A669-1,COLUMN('1-DATA'!C668)),ROUND(INDEX('1-DATA'!$1:$1048576,IF(OR($B670="STD. DEVIATION",$C$1=1),$A670,$A670+1),COLUMN('1-DATA'!C668)),IF($B670="STD. DEVIATION",2,$F$1))))</f>
        <v/>
      </c>
      <c r="E670" s="1" t="str">
        <f>IF(OR($B670="",E$7=""),"",IF($B670="MEANS",INDEX('1-DATA'!$1:$1048576,$A669-1,COLUMN('1-DATA'!D668)),ROUND(INDEX('1-DATA'!$1:$1048576,IF(OR($B670="STD. DEVIATION",$C$1=1),$A670,$A670+1),COLUMN('1-DATA'!D668)),IF($B670="STD. DEVIATION",2,$F$1))))</f>
        <v/>
      </c>
      <c r="F670" s="1" t="str">
        <f>IF(OR($B670="",F$7=""),"",IF($B670="MEANS",INDEX('1-DATA'!$1:$1048576,$A669-1,COLUMN('1-DATA'!E668)),ROUND(INDEX('1-DATA'!$1:$1048576,IF(OR($B670="STD. DEVIATION",$C$1=1),$A670,$A670+1),COLUMN('1-DATA'!E668)),IF($B670="STD. DEVIATION",2,$F$1))))</f>
        <v/>
      </c>
      <c r="G670" s="1" t="str">
        <f>IF(OR($B670="",G$7=""),"",IF($B670="MEANS",INDEX('1-DATA'!$1:$1048576,$A669-1,COLUMN('1-DATA'!F668)),ROUND(INDEX('1-DATA'!$1:$1048576,IF(OR($B670="STD. DEVIATION",$C$1=1),$A670,$A670+1),COLUMN('1-DATA'!F668)),IF($B670="STD. DEVIATION",2,$F$1))))</f>
        <v/>
      </c>
      <c r="H670" s="1" t="str">
        <f>IF(OR($B670="",H$7=""),"",IF($B670="MEANS",INDEX('1-DATA'!$1:$1048576,$A669-1,COLUMN('1-DATA'!G668)),ROUND(INDEX('1-DATA'!$1:$1048576,IF(OR($B670="STD. DEVIATION",$C$1=1),$A670,$A670+1),COLUMN('1-DATA'!G668)),IF($B670="STD. DEVIATION",2,$F$1))))</f>
        <v/>
      </c>
      <c r="I670" s="1" t="str">
        <f>IF(OR($B670="",I$7=""),"",IF($B670="MEANS",INDEX('1-DATA'!$1:$1048576,$A669-1,COLUMN('1-DATA'!H668)),ROUND(INDEX('1-DATA'!$1:$1048576,IF(OR($B670="STD. DEVIATION",$C$1=1),$A670,$A670+1),COLUMN('1-DATA'!H668)),IF($B670="STD. DEVIATION",2,$F$1))))</f>
        <v/>
      </c>
      <c r="J670" s="1" t="str">
        <f>IF(OR($B670="",J$7=""),"",IF($B670="MEANS",INDEX('1-DATA'!$1:$1048576,$A669-1,COLUMN('1-DATA'!I668)),ROUND(INDEX('1-DATA'!$1:$1048576,IF(OR($B670="STD. DEVIATION",$C$1=1),$A670,$A670+1),COLUMN('1-DATA'!I668)),IF($B670="STD. DEVIATION",2,$F$1))))</f>
        <v/>
      </c>
      <c r="K670" s="1" t="str">
        <f>IF(OR($B670="",K$7=""),"",IF($B670="MEANS",INDEX('1-DATA'!$1:$1048576,$A669-1,COLUMN('1-DATA'!J668)),ROUND(INDEX('1-DATA'!$1:$1048576,IF(OR($B670="STD. DEVIATION",$C$1=1),$A670,$A670+1),COLUMN('1-DATA'!J668)),IF($B670="STD. DEVIATION",2,$F$1))))</f>
        <v/>
      </c>
      <c r="L670" s="1" t="str">
        <f>IF(OR($B670="",L$7=""),"",IF($B670="MEANS",INDEX('1-DATA'!$1:$1048576,$A669-1,COLUMN('1-DATA'!K668)),ROUND(INDEX('1-DATA'!$1:$1048576,IF(OR($B670="STD. DEVIATION",$C$1=1),$A670,$A670+1),COLUMN('1-DATA'!K668)),IF($B670="STD. DEVIATION",2,$F$1))))</f>
        <v/>
      </c>
      <c r="M670" s="1" t="str">
        <f>IF(OR($B670="",M$7=""),"",IF($B670="MEANS",INDEX('1-DATA'!$1:$1048576,$A669-1,COLUMN('1-DATA'!L668)),ROUND(INDEX('1-DATA'!$1:$1048576,IF(OR($B670="STD. DEVIATION",$C$1=1),$A670,$A670+1),COLUMN('1-DATA'!L668)),IF($B670="STD. DEVIATION",2,$F$1))))</f>
        <v/>
      </c>
      <c r="N670" s="1" t="str">
        <f>IF(OR($B670="",N$7=""),"",IF($B670="MEANS",INDEX('1-DATA'!$1:$1048576,$A669-1,COLUMN('1-DATA'!M668)),ROUND(INDEX('1-DATA'!$1:$1048576,IF(OR($B670="STD. DEVIATION",$C$1=1),$A670,$A670+1),COLUMN('1-DATA'!M668)),IF($B670="STD. DEVIATION",2,$F$1))))</f>
        <v/>
      </c>
      <c r="O670" s="1" t="str">
        <f>IF(OR($B670="",O$7=""),"",IF($B670="MEANS",INDEX('1-DATA'!$1:$1048576,$A669-1,COLUMN('1-DATA'!N668)),ROUND(INDEX('1-DATA'!$1:$1048576,IF(OR($B670="STD. DEVIATION",$C$1=1),$A670,$A670+1),COLUMN('1-DATA'!N668)),IF($B670="STD. DEVIATION",2,$F$1))))</f>
        <v/>
      </c>
      <c r="P670" s="1" t="str">
        <f>IF(OR($B670="",P$7=""),"",IF($B670="MEANS",INDEX('1-DATA'!$1:$1048576,$A669-1,COLUMN('1-DATA'!O668)),ROUND(INDEX('1-DATA'!$1:$1048576,IF(OR($B670="STD. DEVIATION",$C$1=1),$A670,$A670+1),COLUMN('1-DATA'!O668)),IF($B670="STD. DEVIATION",2,$F$1))))</f>
        <v/>
      </c>
      <c r="Q670" s="1" t="str">
        <f>IF(OR($B670="",Q$7=""),"",IF($B670="MEANS",INDEX('1-DATA'!$1:$1048576,$A669-1,COLUMN('1-DATA'!P668)),ROUND(INDEX('1-DATA'!$1:$1048576,IF(OR($B670="STD. DEVIATION",$C$1=1),$A670,$A670+1),COLUMN('1-DATA'!P668)),IF($B670="STD. DEVIATION",2,$F$1))))</f>
        <v/>
      </c>
      <c r="R670" s="1" t="str">
        <f>IF(OR($B670="",R$7=""),"",IF($B670="MEANS",INDEX('1-DATA'!$1:$1048576,$A669-1,COLUMN('1-DATA'!Q668)),ROUND(INDEX('1-DATA'!$1:$1048576,IF(OR($B670="STD. DEVIATION",$C$1=1),$A670,$A670+1),COLUMN('1-DATA'!Q668)),IF($B670="STD. DEVIATION",2,$F$1))))</f>
        <v/>
      </c>
      <c r="S670" s="1" t="str">
        <f>IF(OR($B670="",S$7=""),"",IF($B670="MEANS",INDEX('1-DATA'!$1:$1048576,$A669-1,COLUMN('1-DATA'!R668)),ROUND(INDEX('1-DATA'!$1:$1048576,IF(OR($B670="STD. DEVIATION",$C$1=1),$A670,$A670+1),COLUMN('1-DATA'!R668)),IF($B670="STD. DEVIATION",2,$F$1))))</f>
        <v/>
      </c>
      <c r="T670" s="1" t="str">
        <f>IF(OR($B670="",T$7=""),"",IF($B670="MEANS",INDEX('1-DATA'!$1:$1048576,$A669-1,COLUMN('1-DATA'!S668)),ROUND(INDEX('1-DATA'!$1:$1048576,IF(OR($B670="STD. DEVIATION",$C$1=1),$A670,$A670+1),COLUMN('1-DATA'!S668)),IF($B670="STD. DEVIATION",2,$F$1))))</f>
        <v/>
      </c>
      <c r="U670" s="1" t="str">
        <f>IF(OR($B670="",U$7=""),"",IF($B670="MEANS",INDEX('1-DATA'!$1:$1048576,$A669-1,COLUMN('1-DATA'!T668)),ROUND(INDEX('1-DATA'!$1:$1048576,IF(OR($B670="STD. DEVIATION",$C$1=1),$A670,$A670+1),COLUMN('1-DATA'!T668)),IF($B670="STD. DEVIATION",2,$F$1))))</f>
        <v/>
      </c>
      <c r="V670" s="1" t="str">
        <f>IF(OR($B670="",V$7=""),"",IF($B670="MEANS",INDEX('1-DATA'!$1:$1048576,$A669-1,COLUMN('1-DATA'!U668)),ROUND(INDEX('1-DATA'!$1:$1048576,IF(OR($B670="STD. DEVIATION",$C$1=1),$A670,$A670+1),COLUMN('1-DATA'!U668)),IF($B670="STD. DEVIATION",2,$F$1))))</f>
        <v/>
      </c>
      <c r="W670" s="1" t="str">
        <f>IF(OR($B670="",W$7=""),"",IF($B670="MEANS",INDEX('1-DATA'!$1:$1048576,$A669-1,COLUMN('1-DATA'!V668)),ROUND(INDEX('1-DATA'!$1:$1048576,IF(OR($B670="STD. DEVIATION",$C$1=1),$A670,$A670+1),COLUMN('1-DATA'!V668)),IF($B670="STD. DEVIATION",2,$F$1))))</f>
        <v/>
      </c>
      <c r="X670" s="1" t="str">
        <f>IF(OR($B670="",X$7=""),"",IF($B670="MEANS",INDEX('1-DATA'!$1:$1048576,$A669-1,COLUMN('1-DATA'!W668)),ROUND(INDEX('1-DATA'!$1:$1048576,IF(OR($B670="STD. DEVIATION",$C$1=1),$A670,$A670+1),COLUMN('1-DATA'!W668)),IF($B670="STD. DEVIATION",2,$F$1))))</f>
        <v/>
      </c>
      <c r="Y670" s="1" t="str">
        <f>IF(OR($B670="",Y$7=""),"",IF($B670="MEANS",INDEX('1-DATA'!$1:$1048576,$A669-1,COLUMN('1-DATA'!X668)),ROUND(INDEX('1-DATA'!$1:$1048576,IF(OR($B670="STD. DEVIATION",$C$1=1),$A670,$A670+1),COLUMN('1-DATA'!X668)),IF($B670="STD. DEVIATION",2,$F$1))))</f>
        <v/>
      </c>
      <c r="Z670" s="1" t="str">
        <f>IF(OR($B670="",Z$7=""),"",IF($B670="MEANS",INDEX('1-DATA'!$1:$1048576,$A669-1,COLUMN('1-DATA'!Y668)),ROUND(INDEX('1-DATA'!$1:$1048576,IF(OR($B670="STD. DEVIATION",$C$1=1),$A670,$A670+1),COLUMN('1-DATA'!Y668)),IF($B670="STD. DEVIATION",2,$F$1))))</f>
        <v/>
      </c>
      <c r="AA670" s="1" t="str">
        <f>IF(OR($B670="",AA$7=""),"",IF($B670="MEANS",INDEX('1-DATA'!$1:$1048576,$A669-1,COLUMN('1-DATA'!Z668)),ROUND(INDEX('1-DATA'!$1:$1048576,IF(OR($B670="STD. DEVIATION",$C$1=1),$A670,$A670+1),COLUMN('1-DATA'!Z668)),IF($B670="STD. DEVIATION",2,$F$1))))</f>
        <v/>
      </c>
      <c r="AB670" s="1" t="str">
        <f>IF(OR($B670="",AB$7=""),"",IF($B670="MEANS",INDEX('1-DATA'!$1:$1048576,$A669-1,COLUMN('1-DATA'!AA668)),ROUND(INDEX('1-DATA'!$1:$1048576,IF(OR($B670="STD. DEVIATION",$C$1=1),$A670,$A670+1),COLUMN('1-DATA'!AA668)),IF($B670="STD. DEVIATION",2,$F$1))))</f>
        <v/>
      </c>
      <c r="AC670" s="1" t="str">
        <f>IF(OR($B670="",AC$7=""),"",IF($B670="MEANS",INDEX('1-DATA'!$1:$1048576,$A669-1,COLUMN('1-DATA'!AB668)),ROUND(INDEX('1-DATA'!$1:$1048576,IF(OR($B670="STD. DEVIATION",$C$1=1),$A670,$A670+1),COLUMN('1-DATA'!AB668)),IF($B670="STD. DEVIATION",2,$F$1))))</f>
        <v/>
      </c>
      <c r="AD670" s="1" t="str">
        <f>IF(OR($B670="",AD$7=""),"",IF($B670="MEANS",INDEX('1-DATA'!$1:$1048576,$A669-1,COLUMN('1-DATA'!AC668)),ROUND(INDEX('1-DATA'!$1:$1048576,IF(OR($B670="STD. DEVIATION",$C$1=1),$A670,$A670+1),COLUMN('1-DATA'!AC668)),IF($B670="STD. DEVIATION",2,$F$1))))</f>
        <v/>
      </c>
      <c r="AE670" s="1" t="str">
        <f>IF(OR($B670="",AE$7=""),"",IF($B670="MEANS",INDEX('1-DATA'!$1:$1048576,$A669-1,COLUMN('1-DATA'!AD668)),ROUND(INDEX('1-DATA'!$1:$1048576,IF(OR($B670="STD. DEVIATION",$C$1=1),$A670,$A670+1),COLUMN('1-DATA'!AD668)),IF($B670="STD. DEVIATION",2,$F$1))))</f>
        <v/>
      </c>
      <c r="AF670" s="1" t="str">
        <f>IF(OR($B670="",AF$7=""),"",IF($B670="MEANS",INDEX('1-DATA'!$1:$1048576,$A669-1,COLUMN('1-DATA'!AE668)),ROUND(INDEX('1-DATA'!$1:$1048576,IF(OR($B670="STD. DEVIATION",$C$1=1),$A670,$A670+1),COLUMN('1-DATA'!AE668)),IF($B670="STD. DEVIATION",2,$F$1))))</f>
        <v/>
      </c>
      <c r="AG670" s="1" t="str">
        <f>IF(OR($B670="",AG$7=""),"",IF($B670="MEANS",INDEX('1-DATA'!$1:$1048576,$A669-1,COLUMN('1-DATA'!AF668)),ROUND(INDEX('1-DATA'!$1:$1048576,IF(OR($B670="STD. DEVIATION",$C$1=1),$A670,$A670+1),COLUMN('1-DATA'!AF668)),IF($B670="STD. DEVIATION",2,$F$1))))</f>
        <v/>
      </c>
      <c r="AH670" s="1" t="str">
        <f>IF(OR($B670="",AH$7=""),"",IF($B670="MEANS",INDEX('1-DATA'!$1:$1048576,$A669-1,COLUMN('1-DATA'!AG668)),ROUND(INDEX('1-DATA'!$1:$1048576,IF(OR($B670="STD. DEVIATION",$C$1=1),$A670,$A670+1),COLUMN('1-DATA'!AG668)),IF($B670="STD. DEVIATION",2,$F$1))))</f>
        <v/>
      </c>
      <c r="AI670" s="1" t="str">
        <f>IF(OR($B670="",AI$7=""),"",IF($B670="MEANS",INDEX('1-DATA'!$1:$1048576,$A669-1,COLUMN('1-DATA'!AH668)),ROUND(INDEX('1-DATA'!$1:$1048576,IF(OR($B670="STD. DEVIATION",$C$1=1),$A670,$A670+1),COLUMN('1-DATA'!AH668)),IF($B670="STD. DEVIATION",2,$F$1))))</f>
        <v/>
      </c>
      <c r="AJ670" s="1" t="str">
        <f>IF(OR($B670="",AJ$7=""),"",IF($B670="MEANS",INDEX('1-DATA'!$1:$1048576,$A669-1,COLUMN('1-DATA'!AI668)),ROUND(INDEX('1-DATA'!$1:$1048576,IF(OR($B670="STD. DEVIATION",$C$1=1),$A670,$A670+1),COLUMN('1-DATA'!AI668)),IF($B670="STD. DEVIATION",2,$F$1))))</f>
        <v/>
      </c>
      <c r="AK670" s="1" t="str">
        <f>IF(OR($B670="",AK$7=""),"",IF($B670="MEANS",INDEX('1-DATA'!$1:$1048576,$A669-1,COLUMN('1-DATA'!AJ668)),ROUND(INDEX('1-DATA'!$1:$1048576,IF(OR($B670="STD. DEVIATION",$C$1=1),$A670,$A670+1),COLUMN('1-DATA'!AJ668)),IF($B670="STD. DEVIATION",2,$F$1))))</f>
        <v/>
      </c>
      <c r="AL670" s="1" t="str">
        <f>IF(OR($B670="",AL$7=""),"",IF($B670="MEANS",INDEX('1-DATA'!$1:$1048576,$A669-1,COLUMN('1-DATA'!AK668)),ROUND(INDEX('1-DATA'!$1:$1048576,IF(OR($B670="STD. DEVIATION",$C$1=1),$A670,$A670+1),COLUMN('1-DATA'!AK668)),IF($B670="STD. DEVIATION",2,$F$1))))</f>
        <v/>
      </c>
      <c r="AM670" s="1" t="str">
        <f>IF(OR($B670="",AM$7=""),"",IF($B670="MEANS",INDEX('1-DATA'!$1:$1048576,$A669-1,COLUMN('1-DATA'!AL668)),ROUND(INDEX('1-DATA'!$1:$1048576,IF(OR($B670="STD. DEVIATION",$C$1=1),$A670,$A670+1),COLUMN('1-DATA'!AL668)),IF($B670="STD. DEVIATION",2,$F$1))))</f>
        <v/>
      </c>
      <c r="AN670" s="1" t="str">
        <f>IF(OR($B670="",AN$7=""),"",IF($B670="MEANS",INDEX('1-DATA'!$1:$1048576,$A669-1,COLUMN('1-DATA'!AM668)),ROUND(INDEX('1-DATA'!$1:$1048576,IF(OR($B670="STD. DEVIATION",$C$1=1),$A670,$A670+1),COLUMN('1-DATA'!AM668)),IF($B670="STD. DEVIATION",2,$F$1))))</f>
        <v/>
      </c>
      <c r="AO670" s="1" t="str">
        <f>IF(OR($B670="",AO$7=""),"",IF($B670="MEANS",INDEX('1-DATA'!$1:$1048576,$A669-1,COLUMN('1-DATA'!AN668)),ROUND(INDEX('1-DATA'!$1:$1048576,IF(OR($B670="STD. DEVIATION",$C$1=1),$A670,$A670+1),COLUMN('1-DATA'!AN668)),IF($B670="STD. DEVIATION",2,$F$1))))</f>
        <v/>
      </c>
      <c r="AP670" s="1" t="str">
        <f>IF(OR($B670="",AP$7=""),"",IF($B670="MEANS",INDEX('1-DATA'!$1:$1048576,$A669-1,COLUMN('1-DATA'!AO668)),ROUND(INDEX('1-DATA'!$1:$1048576,IF(OR($B670="STD. DEVIATION",$C$1=1),$A670,$A670+1),COLUMN('1-DATA'!AO668)),IF($B670="STD. DEVIATION",2,$F$1))))</f>
        <v/>
      </c>
      <c r="AQ670" s="1" t="str">
        <f>IF(OR($B670="",AQ$7=""),"",IF($B670="MEANS",INDEX('1-DATA'!$1:$1048576,$A669-1,COLUMN('1-DATA'!AP668)),ROUND(INDEX('1-DATA'!$1:$1048576,IF(OR($B670="STD. DEVIATION",$C$1=1),$A670,$A670+1),COLUMN('1-DATA'!AP668)),IF($B670="STD. DEVIATION",2,$F$1))))</f>
        <v/>
      </c>
      <c r="AR670" s="1" t="str">
        <f>IF(OR($B670="",AR$7=""),"",IF($B670="MEANS",INDEX('1-DATA'!$1:$1048576,$A669-1,COLUMN('1-DATA'!AQ668)),ROUND(INDEX('1-DATA'!$1:$1048576,IF(OR($B670="STD. DEVIATION",$C$1=1),$A670,$A670+1),COLUMN('1-DATA'!AQ668)),IF($B670="STD. DEVIATION",2,$F$1))))</f>
        <v/>
      </c>
      <c r="AS670" s="1" t="str">
        <f>IF(OR($B670="",AS$7=""),"",IF($B670="MEANS",INDEX('1-DATA'!$1:$1048576,$A669-1,COLUMN('1-DATA'!AR668)),ROUND(INDEX('1-DATA'!$1:$1048576,IF(OR($B670="STD. DEVIATION",$C$1=1),$A670,$A670+1),COLUMN('1-DATA'!AR668)),IF($B670="STD. DEVIATION",2,$F$1))))</f>
        <v/>
      </c>
      <c r="AT670" s="1" t="str">
        <f>IF(OR($B670="",AT$7=""),"",IF($B670="MEANS",INDEX('1-DATA'!$1:$1048576,$A669-1,COLUMN('1-DATA'!AS668)),ROUND(INDEX('1-DATA'!$1:$1048576,IF(OR($B670="STD. DEVIATION",$C$1=1),$A670,$A670+1),COLUMN('1-DATA'!AS668)),IF($B670="STD. DEVIATION",2,$F$1))))</f>
        <v/>
      </c>
      <c r="AU670" s="1" t="str">
        <f>IF(OR($B670="",AU$7=""),"",IF($B670="MEANS",INDEX('1-DATA'!$1:$1048576,$A669-1,COLUMN('1-DATA'!AT668)),ROUND(INDEX('1-DATA'!$1:$1048576,IF(OR($B670="STD. DEVIATION",$C$1=1),$A670,$A670+1),COLUMN('1-DATA'!AT668)),IF($B670="STD. DEVIATION",2,$F$1))))</f>
        <v/>
      </c>
      <c r="AV670" s="1" t="str">
        <f>IF(OR($B670="",AV$7=""),"",IF($B670="MEANS",INDEX('1-DATA'!$1:$1048576,$A669-1,COLUMN('1-DATA'!AU668)),ROUND(INDEX('1-DATA'!$1:$1048576,IF(OR($B670="STD. DEVIATION",$C$1=1),$A670,$A670+1),COLUMN('1-DATA'!AU668)),IF($B670="STD. DEVIATION",2,$F$1))))</f>
        <v/>
      </c>
      <c r="AW670" s="1" t="str">
        <f>IF(OR($B670="",AW$7=""),"",IF($B670="MEANS",INDEX('1-DATA'!$1:$1048576,$A669-1,COLUMN('1-DATA'!AV668)),ROUND(INDEX('1-DATA'!$1:$1048576,IF(OR($B670="STD. DEVIATION",$C$1=1),$A670,$A670+1),COLUMN('1-DATA'!AV668)),IF($B670="STD. DEVIATION",2,$F$1))))</f>
        <v/>
      </c>
      <c r="AX670" s="1" t="str">
        <f>IF(OR($B670="",AX$7=""),"",IF($B670="MEANS",INDEX('1-DATA'!$1:$1048576,$A669-1,COLUMN('1-DATA'!AW668)),ROUND(INDEX('1-DATA'!$1:$1048576,IF(OR($B670="STD. DEVIATION",$C$1=1),$A670,$A670+1),COLUMN('1-DATA'!AW668)),IF($B670="STD. DEVIATION",2,$F$1))))</f>
        <v/>
      </c>
      <c r="AY670" s="1" t="str">
        <f>IF(OR($B670="",AY$7=""),"",IF($B670="MEANS",INDEX('1-DATA'!$1:$1048576,$A669-1,COLUMN('1-DATA'!AX668)),ROUND(INDEX('1-DATA'!$1:$1048576,IF(OR($B670="STD. DEVIATION",$C$1=1),$A670,$A670+1),COLUMN('1-DATA'!AX668)),IF($B670="STD. DEVIATION",2,$F$1))))</f>
        <v/>
      </c>
      <c r="AZ670" s="1" t="str">
        <f>IF(OR($B670="",AZ$7=""),"",IF($B670="MEANS",INDEX('1-DATA'!$1:$1048576,$A669-1,COLUMN('1-DATA'!AY668)),ROUND(INDEX('1-DATA'!$1:$1048576,IF(OR($B670="STD. DEVIATION",$C$1=1),$A670,$A670+1),COLUMN('1-DATA'!AY668)),IF($B670="STD. DEVIATION",2,$F$1))))</f>
        <v/>
      </c>
    </row>
    <row r="671" spans="1:52" x14ac:dyDescent="0.25">
      <c r="A671" s="11">
        <f t="shared" si="11"/>
        <v>1999</v>
      </c>
      <c r="B671" s="1" t="str">
        <f>IF(B670="STD. DEVIATION",INDEX('1-DATA'!$1:$1048576,$A670-1,1),IF(INDEX('1-DATA'!$1:$1048576,$A671,1)&lt;&gt;"",INDEX('1-DATA'!$1:$1048576,$A671,1),""))</f>
        <v/>
      </c>
      <c r="C671" s="1" t="str">
        <f>IF(OR($B671="",C$7=""),"",IF($B671="MEANS",INDEX('1-DATA'!$1:$1048576,$A670-1,COLUMN('1-DATA'!B669)),ROUND(INDEX('1-DATA'!$1:$1048576,IF(OR($B671="STD. DEVIATION",$C$1=1),$A671,$A671+1),COLUMN('1-DATA'!B669)),IF($B671="STD. DEVIATION",2,$F$1))))</f>
        <v/>
      </c>
      <c r="D671" s="1" t="str">
        <f>IF(OR($B671="",D$7=""),"",IF($B671="MEANS",INDEX('1-DATA'!$1:$1048576,$A670-1,COLUMN('1-DATA'!C669)),ROUND(INDEX('1-DATA'!$1:$1048576,IF(OR($B671="STD. DEVIATION",$C$1=1),$A671,$A671+1),COLUMN('1-DATA'!C669)),IF($B671="STD. DEVIATION",2,$F$1))))</f>
        <v/>
      </c>
      <c r="E671" s="1" t="str">
        <f>IF(OR($B671="",E$7=""),"",IF($B671="MEANS",INDEX('1-DATA'!$1:$1048576,$A670-1,COLUMN('1-DATA'!D669)),ROUND(INDEX('1-DATA'!$1:$1048576,IF(OR($B671="STD. DEVIATION",$C$1=1),$A671,$A671+1),COLUMN('1-DATA'!D669)),IF($B671="STD. DEVIATION",2,$F$1))))</f>
        <v/>
      </c>
      <c r="F671" s="1" t="str">
        <f>IF(OR($B671="",F$7=""),"",IF($B671="MEANS",INDEX('1-DATA'!$1:$1048576,$A670-1,COLUMN('1-DATA'!E669)),ROUND(INDEX('1-DATA'!$1:$1048576,IF(OR($B671="STD. DEVIATION",$C$1=1),$A671,$A671+1),COLUMN('1-DATA'!E669)),IF($B671="STD. DEVIATION",2,$F$1))))</f>
        <v/>
      </c>
      <c r="G671" s="1" t="str">
        <f>IF(OR($B671="",G$7=""),"",IF($B671="MEANS",INDEX('1-DATA'!$1:$1048576,$A670-1,COLUMN('1-DATA'!F669)),ROUND(INDEX('1-DATA'!$1:$1048576,IF(OR($B671="STD. DEVIATION",$C$1=1),$A671,$A671+1),COLUMN('1-DATA'!F669)),IF($B671="STD. DEVIATION",2,$F$1))))</f>
        <v/>
      </c>
      <c r="H671" s="1" t="str">
        <f>IF(OR($B671="",H$7=""),"",IF($B671="MEANS",INDEX('1-DATA'!$1:$1048576,$A670-1,COLUMN('1-DATA'!G669)),ROUND(INDEX('1-DATA'!$1:$1048576,IF(OR($B671="STD. DEVIATION",$C$1=1),$A671,$A671+1),COLUMN('1-DATA'!G669)),IF($B671="STD. DEVIATION",2,$F$1))))</f>
        <v/>
      </c>
      <c r="I671" s="1" t="str">
        <f>IF(OR($B671="",I$7=""),"",IF($B671="MEANS",INDEX('1-DATA'!$1:$1048576,$A670-1,COLUMN('1-DATA'!H669)),ROUND(INDEX('1-DATA'!$1:$1048576,IF(OR($B671="STD. DEVIATION",$C$1=1),$A671,$A671+1),COLUMN('1-DATA'!H669)),IF($B671="STD. DEVIATION",2,$F$1))))</f>
        <v/>
      </c>
      <c r="J671" s="1" t="str">
        <f>IF(OR($B671="",J$7=""),"",IF($B671="MEANS",INDEX('1-DATA'!$1:$1048576,$A670-1,COLUMN('1-DATA'!I669)),ROUND(INDEX('1-DATA'!$1:$1048576,IF(OR($B671="STD. DEVIATION",$C$1=1),$A671,$A671+1),COLUMN('1-DATA'!I669)),IF($B671="STD. DEVIATION",2,$F$1))))</f>
        <v/>
      </c>
      <c r="K671" s="1" t="str">
        <f>IF(OR($B671="",K$7=""),"",IF($B671="MEANS",INDEX('1-DATA'!$1:$1048576,$A670-1,COLUMN('1-DATA'!J669)),ROUND(INDEX('1-DATA'!$1:$1048576,IF(OR($B671="STD. DEVIATION",$C$1=1),$A671,$A671+1),COLUMN('1-DATA'!J669)),IF($B671="STD. DEVIATION",2,$F$1))))</f>
        <v/>
      </c>
      <c r="L671" s="1" t="str">
        <f>IF(OR($B671="",L$7=""),"",IF($B671="MEANS",INDEX('1-DATA'!$1:$1048576,$A670-1,COLUMN('1-DATA'!K669)),ROUND(INDEX('1-DATA'!$1:$1048576,IF(OR($B671="STD. DEVIATION",$C$1=1),$A671,$A671+1),COLUMN('1-DATA'!K669)),IF($B671="STD. DEVIATION",2,$F$1))))</f>
        <v/>
      </c>
      <c r="M671" s="1" t="str">
        <f>IF(OR($B671="",M$7=""),"",IF($B671="MEANS",INDEX('1-DATA'!$1:$1048576,$A670-1,COLUMN('1-DATA'!L669)),ROUND(INDEX('1-DATA'!$1:$1048576,IF(OR($B671="STD. DEVIATION",$C$1=1),$A671,$A671+1),COLUMN('1-DATA'!L669)),IF($B671="STD. DEVIATION",2,$F$1))))</f>
        <v/>
      </c>
      <c r="N671" s="1" t="str">
        <f>IF(OR($B671="",N$7=""),"",IF($B671="MEANS",INDEX('1-DATA'!$1:$1048576,$A670-1,COLUMN('1-DATA'!M669)),ROUND(INDEX('1-DATA'!$1:$1048576,IF(OR($B671="STD. DEVIATION",$C$1=1),$A671,$A671+1),COLUMN('1-DATA'!M669)),IF($B671="STD. DEVIATION",2,$F$1))))</f>
        <v/>
      </c>
      <c r="O671" s="1" t="str">
        <f>IF(OR($B671="",O$7=""),"",IF($B671="MEANS",INDEX('1-DATA'!$1:$1048576,$A670-1,COLUMN('1-DATA'!N669)),ROUND(INDEX('1-DATA'!$1:$1048576,IF(OR($B671="STD. DEVIATION",$C$1=1),$A671,$A671+1),COLUMN('1-DATA'!N669)),IF($B671="STD. DEVIATION",2,$F$1))))</f>
        <v/>
      </c>
      <c r="P671" s="1" t="str">
        <f>IF(OR($B671="",P$7=""),"",IF($B671="MEANS",INDEX('1-DATA'!$1:$1048576,$A670-1,COLUMN('1-DATA'!O669)),ROUND(INDEX('1-DATA'!$1:$1048576,IF(OR($B671="STD. DEVIATION",$C$1=1),$A671,$A671+1),COLUMN('1-DATA'!O669)),IF($B671="STD. DEVIATION",2,$F$1))))</f>
        <v/>
      </c>
      <c r="Q671" s="1" t="str">
        <f>IF(OR($B671="",Q$7=""),"",IF($B671="MEANS",INDEX('1-DATA'!$1:$1048576,$A670-1,COLUMN('1-DATA'!P669)),ROUND(INDEX('1-DATA'!$1:$1048576,IF(OR($B671="STD. DEVIATION",$C$1=1),$A671,$A671+1),COLUMN('1-DATA'!P669)),IF($B671="STD. DEVIATION",2,$F$1))))</f>
        <v/>
      </c>
      <c r="R671" s="1" t="str">
        <f>IF(OR($B671="",R$7=""),"",IF($B671="MEANS",INDEX('1-DATA'!$1:$1048576,$A670-1,COLUMN('1-DATA'!Q669)),ROUND(INDEX('1-DATA'!$1:$1048576,IF(OR($B671="STD. DEVIATION",$C$1=1),$A671,$A671+1),COLUMN('1-DATA'!Q669)),IF($B671="STD. DEVIATION",2,$F$1))))</f>
        <v/>
      </c>
      <c r="S671" s="1" t="str">
        <f>IF(OR($B671="",S$7=""),"",IF($B671="MEANS",INDEX('1-DATA'!$1:$1048576,$A670-1,COLUMN('1-DATA'!R669)),ROUND(INDEX('1-DATA'!$1:$1048576,IF(OR($B671="STD. DEVIATION",$C$1=1),$A671,$A671+1),COLUMN('1-DATA'!R669)),IF($B671="STD. DEVIATION",2,$F$1))))</f>
        <v/>
      </c>
      <c r="T671" s="1" t="str">
        <f>IF(OR($B671="",T$7=""),"",IF($B671="MEANS",INDEX('1-DATA'!$1:$1048576,$A670-1,COLUMN('1-DATA'!S669)),ROUND(INDEX('1-DATA'!$1:$1048576,IF(OR($B671="STD. DEVIATION",$C$1=1),$A671,$A671+1),COLUMN('1-DATA'!S669)),IF($B671="STD. DEVIATION",2,$F$1))))</f>
        <v/>
      </c>
      <c r="U671" s="1" t="str">
        <f>IF(OR($B671="",U$7=""),"",IF($B671="MEANS",INDEX('1-DATA'!$1:$1048576,$A670-1,COLUMN('1-DATA'!T669)),ROUND(INDEX('1-DATA'!$1:$1048576,IF(OR($B671="STD. DEVIATION",$C$1=1),$A671,$A671+1),COLUMN('1-DATA'!T669)),IF($B671="STD. DEVIATION",2,$F$1))))</f>
        <v/>
      </c>
      <c r="V671" s="1" t="str">
        <f>IF(OR($B671="",V$7=""),"",IF($B671="MEANS",INDEX('1-DATA'!$1:$1048576,$A670-1,COLUMN('1-DATA'!U669)),ROUND(INDEX('1-DATA'!$1:$1048576,IF(OR($B671="STD. DEVIATION",$C$1=1),$A671,$A671+1),COLUMN('1-DATA'!U669)),IF($B671="STD. DEVIATION",2,$F$1))))</f>
        <v/>
      </c>
      <c r="W671" s="1" t="str">
        <f>IF(OR($B671="",W$7=""),"",IF($B671="MEANS",INDEX('1-DATA'!$1:$1048576,$A670-1,COLUMN('1-DATA'!V669)),ROUND(INDEX('1-DATA'!$1:$1048576,IF(OR($B671="STD. DEVIATION",$C$1=1),$A671,$A671+1),COLUMN('1-DATA'!V669)),IF($B671="STD. DEVIATION",2,$F$1))))</f>
        <v/>
      </c>
      <c r="X671" s="1" t="str">
        <f>IF(OR($B671="",X$7=""),"",IF($B671="MEANS",INDEX('1-DATA'!$1:$1048576,$A670-1,COLUMN('1-DATA'!W669)),ROUND(INDEX('1-DATA'!$1:$1048576,IF(OR($B671="STD. DEVIATION",$C$1=1),$A671,$A671+1),COLUMN('1-DATA'!W669)),IF($B671="STD. DEVIATION",2,$F$1))))</f>
        <v/>
      </c>
      <c r="Y671" s="1" t="str">
        <f>IF(OR($B671="",Y$7=""),"",IF($B671="MEANS",INDEX('1-DATA'!$1:$1048576,$A670-1,COLUMN('1-DATA'!X669)),ROUND(INDEX('1-DATA'!$1:$1048576,IF(OR($B671="STD. DEVIATION",$C$1=1),$A671,$A671+1),COLUMN('1-DATA'!X669)),IF($B671="STD. DEVIATION",2,$F$1))))</f>
        <v/>
      </c>
      <c r="Z671" s="1" t="str">
        <f>IF(OR($B671="",Z$7=""),"",IF($B671="MEANS",INDEX('1-DATA'!$1:$1048576,$A670-1,COLUMN('1-DATA'!Y669)),ROUND(INDEX('1-DATA'!$1:$1048576,IF(OR($B671="STD. DEVIATION",$C$1=1),$A671,$A671+1),COLUMN('1-DATA'!Y669)),IF($B671="STD. DEVIATION",2,$F$1))))</f>
        <v/>
      </c>
      <c r="AA671" s="1" t="str">
        <f>IF(OR($B671="",AA$7=""),"",IF($B671="MEANS",INDEX('1-DATA'!$1:$1048576,$A670-1,COLUMN('1-DATA'!Z669)),ROUND(INDEX('1-DATA'!$1:$1048576,IF(OR($B671="STD. DEVIATION",$C$1=1),$A671,$A671+1),COLUMN('1-DATA'!Z669)),IF($B671="STD. DEVIATION",2,$F$1))))</f>
        <v/>
      </c>
      <c r="AB671" s="1" t="str">
        <f>IF(OR($B671="",AB$7=""),"",IF($B671="MEANS",INDEX('1-DATA'!$1:$1048576,$A670-1,COLUMN('1-DATA'!AA669)),ROUND(INDEX('1-DATA'!$1:$1048576,IF(OR($B671="STD. DEVIATION",$C$1=1),$A671,$A671+1),COLUMN('1-DATA'!AA669)),IF($B671="STD. DEVIATION",2,$F$1))))</f>
        <v/>
      </c>
      <c r="AC671" s="1" t="str">
        <f>IF(OR($B671="",AC$7=""),"",IF($B671="MEANS",INDEX('1-DATA'!$1:$1048576,$A670-1,COLUMN('1-DATA'!AB669)),ROUND(INDEX('1-DATA'!$1:$1048576,IF(OR($B671="STD. DEVIATION",$C$1=1),$A671,$A671+1),COLUMN('1-DATA'!AB669)),IF($B671="STD. DEVIATION",2,$F$1))))</f>
        <v/>
      </c>
      <c r="AD671" s="1" t="str">
        <f>IF(OR($B671="",AD$7=""),"",IF($B671="MEANS",INDEX('1-DATA'!$1:$1048576,$A670-1,COLUMN('1-DATA'!AC669)),ROUND(INDEX('1-DATA'!$1:$1048576,IF(OR($B671="STD. DEVIATION",$C$1=1),$A671,$A671+1),COLUMN('1-DATA'!AC669)),IF($B671="STD. DEVIATION",2,$F$1))))</f>
        <v/>
      </c>
      <c r="AE671" s="1" t="str">
        <f>IF(OR($B671="",AE$7=""),"",IF($B671="MEANS",INDEX('1-DATA'!$1:$1048576,$A670-1,COLUMN('1-DATA'!AD669)),ROUND(INDEX('1-DATA'!$1:$1048576,IF(OR($B671="STD. DEVIATION",$C$1=1),$A671,$A671+1),COLUMN('1-DATA'!AD669)),IF($B671="STD. DEVIATION",2,$F$1))))</f>
        <v/>
      </c>
      <c r="AF671" s="1" t="str">
        <f>IF(OR($B671="",AF$7=""),"",IF($B671="MEANS",INDEX('1-DATA'!$1:$1048576,$A670-1,COLUMN('1-DATA'!AE669)),ROUND(INDEX('1-DATA'!$1:$1048576,IF(OR($B671="STD. DEVIATION",$C$1=1),$A671,$A671+1),COLUMN('1-DATA'!AE669)),IF($B671="STD. DEVIATION",2,$F$1))))</f>
        <v/>
      </c>
      <c r="AG671" s="1" t="str">
        <f>IF(OR($B671="",AG$7=""),"",IF($B671="MEANS",INDEX('1-DATA'!$1:$1048576,$A670-1,COLUMN('1-DATA'!AF669)),ROUND(INDEX('1-DATA'!$1:$1048576,IF(OR($B671="STD. DEVIATION",$C$1=1),$A671,$A671+1),COLUMN('1-DATA'!AF669)),IF($B671="STD. DEVIATION",2,$F$1))))</f>
        <v/>
      </c>
      <c r="AH671" s="1" t="str">
        <f>IF(OR($B671="",AH$7=""),"",IF($B671="MEANS",INDEX('1-DATA'!$1:$1048576,$A670-1,COLUMN('1-DATA'!AG669)),ROUND(INDEX('1-DATA'!$1:$1048576,IF(OR($B671="STD. DEVIATION",$C$1=1),$A671,$A671+1),COLUMN('1-DATA'!AG669)),IF($B671="STD. DEVIATION",2,$F$1))))</f>
        <v/>
      </c>
      <c r="AI671" s="1" t="str">
        <f>IF(OR($B671="",AI$7=""),"",IF($B671="MEANS",INDEX('1-DATA'!$1:$1048576,$A670-1,COLUMN('1-DATA'!AH669)),ROUND(INDEX('1-DATA'!$1:$1048576,IF(OR($B671="STD. DEVIATION",$C$1=1),$A671,$A671+1),COLUMN('1-DATA'!AH669)),IF($B671="STD. DEVIATION",2,$F$1))))</f>
        <v/>
      </c>
      <c r="AJ671" s="1" t="str">
        <f>IF(OR($B671="",AJ$7=""),"",IF($B671="MEANS",INDEX('1-DATA'!$1:$1048576,$A670-1,COLUMN('1-DATA'!AI669)),ROUND(INDEX('1-DATA'!$1:$1048576,IF(OR($B671="STD. DEVIATION",$C$1=1),$A671,$A671+1),COLUMN('1-DATA'!AI669)),IF($B671="STD. DEVIATION",2,$F$1))))</f>
        <v/>
      </c>
      <c r="AK671" s="1" t="str">
        <f>IF(OR($B671="",AK$7=""),"",IF($B671="MEANS",INDEX('1-DATA'!$1:$1048576,$A670-1,COLUMN('1-DATA'!AJ669)),ROUND(INDEX('1-DATA'!$1:$1048576,IF(OR($B671="STD. DEVIATION",$C$1=1),$A671,$A671+1),COLUMN('1-DATA'!AJ669)),IF($B671="STD. DEVIATION",2,$F$1))))</f>
        <v/>
      </c>
      <c r="AL671" s="1" t="str">
        <f>IF(OR($B671="",AL$7=""),"",IF($B671="MEANS",INDEX('1-DATA'!$1:$1048576,$A670-1,COLUMN('1-DATA'!AK669)),ROUND(INDEX('1-DATA'!$1:$1048576,IF(OR($B671="STD. DEVIATION",$C$1=1),$A671,$A671+1),COLUMN('1-DATA'!AK669)),IF($B671="STD. DEVIATION",2,$F$1))))</f>
        <v/>
      </c>
      <c r="AM671" s="1" t="str">
        <f>IF(OR($B671="",AM$7=""),"",IF($B671="MEANS",INDEX('1-DATA'!$1:$1048576,$A670-1,COLUMN('1-DATA'!AL669)),ROUND(INDEX('1-DATA'!$1:$1048576,IF(OR($B671="STD. DEVIATION",$C$1=1),$A671,$A671+1),COLUMN('1-DATA'!AL669)),IF($B671="STD. DEVIATION",2,$F$1))))</f>
        <v/>
      </c>
      <c r="AN671" s="1" t="str">
        <f>IF(OR($B671="",AN$7=""),"",IF($B671="MEANS",INDEX('1-DATA'!$1:$1048576,$A670-1,COLUMN('1-DATA'!AM669)),ROUND(INDEX('1-DATA'!$1:$1048576,IF(OR($B671="STD. DEVIATION",$C$1=1),$A671,$A671+1),COLUMN('1-DATA'!AM669)),IF($B671="STD. DEVIATION",2,$F$1))))</f>
        <v/>
      </c>
      <c r="AO671" s="1" t="str">
        <f>IF(OR($B671="",AO$7=""),"",IF($B671="MEANS",INDEX('1-DATA'!$1:$1048576,$A670-1,COLUMN('1-DATA'!AN669)),ROUND(INDEX('1-DATA'!$1:$1048576,IF(OR($B671="STD. DEVIATION",$C$1=1),$A671,$A671+1),COLUMN('1-DATA'!AN669)),IF($B671="STD. DEVIATION",2,$F$1))))</f>
        <v/>
      </c>
      <c r="AP671" s="1" t="str">
        <f>IF(OR($B671="",AP$7=""),"",IF($B671="MEANS",INDEX('1-DATA'!$1:$1048576,$A670-1,COLUMN('1-DATA'!AO669)),ROUND(INDEX('1-DATA'!$1:$1048576,IF(OR($B671="STD. DEVIATION",$C$1=1),$A671,$A671+1),COLUMN('1-DATA'!AO669)),IF($B671="STD. DEVIATION",2,$F$1))))</f>
        <v/>
      </c>
      <c r="AQ671" s="1" t="str">
        <f>IF(OR($B671="",AQ$7=""),"",IF($B671="MEANS",INDEX('1-DATA'!$1:$1048576,$A670-1,COLUMN('1-DATA'!AP669)),ROUND(INDEX('1-DATA'!$1:$1048576,IF(OR($B671="STD. DEVIATION",$C$1=1),$A671,$A671+1),COLUMN('1-DATA'!AP669)),IF($B671="STD. DEVIATION",2,$F$1))))</f>
        <v/>
      </c>
      <c r="AR671" s="1" t="str">
        <f>IF(OR($B671="",AR$7=""),"",IF($B671="MEANS",INDEX('1-DATA'!$1:$1048576,$A670-1,COLUMN('1-DATA'!AQ669)),ROUND(INDEX('1-DATA'!$1:$1048576,IF(OR($B671="STD. DEVIATION",$C$1=1),$A671,$A671+1),COLUMN('1-DATA'!AQ669)),IF($B671="STD. DEVIATION",2,$F$1))))</f>
        <v/>
      </c>
      <c r="AS671" s="1" t="str">
        <f>IF(OR($B671="",AS$7=""),"",IF($B671="MEANS",INDEX('1-DATA'!$1:$1048576,$A670-1,COLUMN('1-DATA'!AR669)),ROUND(INDEX('1-DATA'!$1:$1048576,IF(OR($B671="STD. DEVIATION",$C$1=1),$A671,$A671+1),COLUMN('1-DATA'!AR669)),IF($B671="STD. DEVIATION",2,$F$1))))</f>
        <v/>
      </c>
      <c r="AT671" s="1" t="str">
        <f>IF(OR($B671="",AT$7=""),"",IF($B671="MEANS",INDEX('1-DATA'!$1:$1048576,$A670-1,COLUMN('1-DATA'!AS669)),ROUND(INDEX('1-DATA'!$1:$1048576,IF(OR($B671="STD. DEVIATION",$C$1=1),$A671,$A671+1),COLUMN('1-DATA'!AS669)),IF($B671="STD. DEVIATION",2,$F$1))))</f>
        <v/>
      </c>
      <c r="AU671" s="1" t="str">
        <f>IF(OR($B671="",AU$7=""),"",IF($B671="MEANS",INDEX('1-DATA'!$1:$1048576,$A670-1,COLUMN('1-DATA'!AT669)),ROUND(INDEX('1-DATA'!$1:$1048576,IF(OR($B671="STD. DEVIATION",$C$1=1),$A671,$A671+1),COLUMN('1-DATA'!AT669)),IF($B671="STD. DEVIATION",2,$F$1))))</f>
        <v/>
      </c>
      <c r="AV671" s="1" t="str">
        <f>IF(OR($B671="",AV$7=""),"",IF($B671="MEANS",INDEX('1-DATA'!$1:$1048576,$A670-1,COLUMN('1-DATA'!AU669)),ROUND(INDEX('1-DATA'!$1:$1048576,IF(OR($B671="STD. DEVIATION",$C$1=1),$A671,$A671+1),COLUMN('1-DATA'!AU669)),IF($B671="STD. DEVIATION",2,$F$1))))</f>
        <v/>
      </c>
      <c r="AW671" s="1" t="str">
        <f>IF(OR($B671="",AW$7=""),"",IF($B671="MEANS",INDEX('1-DATA'!$1:$1048576,$A670-1,COLUMN('1-DATA'!AV669)),ROUND(INDEX('1-DATA'!$1:$1048576,IF(OR($B671="STD. DEVIATION",$C$1=1),$A671,$A671+1),COLUMN('1-DATA'!AV669)),IF($B671="STD. DEVIATION",2,$F$1))))</f>
        <v/>
      </c>
      <c r="AX671" s="1" t="str">
        <f>IF(OR($B671="",AX$7=""),"",IF($B671="MEANS",INDEX('1-DATA'!$1:$1048576,$A670-1,COLUMN('1-DATA'!AW669)),ROUND(INDEX('1-DATA'!$1:$1048576,IF(OR($B671="STD. DEVIATION",$C$1=1),$A671,$A671+1),COLUMN('1-DATA'!AW669)),IF($B671="STD. DEVIATION",2,$F$1))))</f>
        <v/>
      </c>
      <c r="AY671" s="1" t="str">
        <f>IF(OR($B671="",AY$7=""),"",IF($B671="MEANS",INDEX('1-DATA'!$1:$1048576,$A670-1,COLUMN('1-DATA'!AX669)),ROUND(INDEX('1-DATA'!$1:$1048576,IF(OR($B671="STD. DEVIATION",$C$1=1),$A671,$A671+1),COLUMN('1-DATA'!AX669)),IF($B671="STD. DEVIATION",2,$F$1))))</f>
        <v/>
      </c>
      <c r="AZ671" s="1" t="str">
        <f>IF(OR($B671="",AZ$7=""),"",IF($B671="MEANS",INDEX('1-DATA'!$1:$1048576,$A670-1,COLUMN('1-DATA'!AY669)),ROUND(INDEX('1-DATA'!$1:$1048576,IF(OR($B671="STD. DEVIATION",$C$1=1),$A671,$A671+1),COLUMN('1-DATA'!AY669)),IF($B671="STD. DEVIATION",2,$F$1))))</f>
        <v/>
      </c>
    </row>
    <row r="672" spans="1:52" x14ac:dyDescent="0.25">
      <c r="A672" s="11">
        <f t="shared" si="11"/>
        <v>2002</v>
      </c>
      <c r="B672" s="1" t="str">
        <f>IF(B671="STD. DEVIATION",INDEX('1-DATA'!$1:$1048576,$A671-1,1),IF(INDEX('1-DATA'!$1:$1048576,$A672,1)&lt;&gt;"",INDEX('1-DATA'!$1:$1048576,$A672,1),""))</f>
        <v/>
      </c>
      <c r="C672" s="1" t="str">
        <f>IF(OR($B672="",C$7=""),"",IF($B672="MEANS",INDEX('1-DATA'!$1:$1048576,$A671-1,COLUMN('1-DATA'!B670)),ROUND(INDEX('1-DATA'!$1:$1048576,IF(OR($B672="STD. DEVIATION",$C$1=1),$A672,$A672+1),COLUMN('1-DATA'!B670)),IF($B672="STD. DEVIATION",2,$F$1))))</f>
        <v/>
      </c>
      <c r="D672" s="1" t="str">
        <f>IF(OR($B672="",D$7=""),"",IF($B672="MEANS",INDEX('1-DATA'!$1:$1048576,$A671-1,COLUMN('1-DATA'!C670)),ROUND(INDEX('1-DATA'!$1:$1048576,IF(OR($B672="STD. DEVIATION",$C$1=1),$A672,$A672+1),COLUMN('1-DATA'!C670)),IF($B672="STD. DEVIATION",2,$F$1))))</f>
        <v/>
      </c>
      <c r="E672" s="1" t="str">
        <f>IF(OR($B672="",E$7=""),"",IF($B672="MEANS",INDEX('1-DATA'!$1:$1048576,$A671-1,COLUMN('1-DATA'!D670)),ROUND(INDEX('1-DATA'!$1:$1048576,IF(OR($B672="STD. DEVIATION",$C$1=1),$A672,$A672+1),COLUMN('1-DATA'!D670)),IF($B672="STD. DEVIATION",2,$F$1))))</f>
        <v/>
      </c>
      <c r="F672" s="1" t="str">
        <f>IF(OR($B672="",F$7=""),"",IF($B672="MEANS",INDEX('1-DATA'!$1:$1048576,$A671-1,COLUMN('1-DATA'!E670)),ROUND(INDEX('1-DATA'!$1:$1048576,IF(OR($B672="STD. DEVIATION",$C$1=1),$A672,$A672+1),COLUMN('1-DATA'!E670)),IF($B672="STD. DEVIATION",2,$F$1))))</f>
        <v/>
      </c>
      <c r="G672" s="1" t="str">
        <f>IF(OR($B672="",G$7=""),"",IF($B672="MEANS",INDEX('1-DATA'!$1:$1048576,$A671-1,COLUMN('1-DATA'!F670)),ROUND(INDEX('1-DATA'!$1:$1048576,IF(OR($B672="STD. DEVIATION",$C$1=1),$A672,$A672+1),COLUMN('1-DATA'!F670)),IF($B672="STD. DEVIATION",2,$F$1))))</f>
        <v/>
      </c>
      <c r="H672" s="1" t="str">
        <f>IF(OR($B672="",H$7=""),"",IF($B672="MEANS",INDEX('1-DATA'!$1:$1048576,$A671-1,COLUMN('1-DATA'!G670)),ROUND(INDEX('1-DATA'!$1:$1048576,IF(OR($B672="STD. DEVIATION",$C$1=1),$A672,$A672+1),COLUMN('1-DATA'!G670)),IF($B672="STD. DEVIATION",2,$F$1))))</f>
        <v/>
      </c>
      <c r="I672" s="1" t="str">
        <f>IF(OR($B672="",I$7=""),"",IF($B672="MEANS",INDEX('1-DATA'!$1:$1048576,$A671-1,COLUMN('1-DATA'!H670)),ROUND(INDEX('1-DATA'!$1:$1048576,IF(OR($B672="STD. DEVIATION",$C$1=1),$A672,$A672+1),COLUMN('1-DATA'!H670)),IF($B672="STD. DEVIATION",2,$F$1))))</f>
        <v/>
      </c>
      <c r="J672" s="1" t="str">
        <f>IF(OR($B672="",J$7=""),"",IF($B672="MEANS",INDEX('1-DATA'!$1:$1048576,$A671-1,COLUMN('1-DATA'!I670)),ROUND(INDEX('1-DATA'!$1:$1048576,IF(OR($B672="STD. DEVIATION",$C$1=1),$A672,$A672+1),COLUMN('1-DATA'!I670)),IF($B672="STD. DEVIATION",2,$F$1))))</f>
        <v/>
      </c>
      <c r="K672" s="1" t="str">
        <f>IF(OR($B672="",K$7=""),"",IF($B672="MEANS",INDEX('1-DATA'!$1:$1048576,$A671-1,COLUMN('1-DATA'!J670)),ROUND(INDEX('1-DATA'!$1:$1048576,IF(OR($B672="STD. DEVIATION",$C$1=1),$A672,$A672+1),COLUMN('1-DATA'!J670)),IF($B672="STD. DEVIATION",2,$F$1))))</f>
        <v/>
      </c>
      <c r="L672" s="1" t="str">
        <f>IF(OR($B672="",L$7=""),"",IF($B672="MEANS",INDEX('1-DATA'!$1:$1048576,$A671-1,COLUMN('1-DATA'!K670)),ROUND(INDEX('1-DATA'!$1:$1048576,IF(OR($B672="STD. DEVIATION",$C$1=1),$A672,$A672+1),COLUMN('1-DATA'!K670)),IF($B672="STD. DEVIATION",2,$F$1))))</f>
        <v/>
      </c>
      <c r="M672" s="1" t="str">
        <f>IF(OR($B672="",M$7=""),"",IF($B672="MEANS",INDEX('1-DATA'!$1:$1048576,$A671-1,COLUMN('1-DATA'!L670)),ROUND(INDEX('1-DATA'!$1:$1048576,IF(OR($B672="STD. DEVIATION",$C$1=1),$A672,$A672+1),COLUMN('1-DATA'!L670)),IF($B672="STD. DEVIATION",2,$F$1))))</f>
        <v/>
      </c>
      <c r="N672" s="1" t="str">
        <f>IF(OR($B672="",N$7=""),"",IF($B672="MEANS",INDEX('1-DATA'!$1:$1048576,$A671-1,COLUMN('1-DATA'!M670)),ROUND(INDEX('1-DATA'!$1:$1048576,IF(OR($B672="STD. DEVIATION",$C$1=1),$A672,$A672+1),COLUMN('1-DATA'!M670)),IF($B672="STD. DEVIATION",2,$F$1))))</f>
        <v/>
      </c>
      <c r="O672" s="1" t="str">
        <f>IF(OR($B672="",O$7=""),"",IF($B672="MEANS",INDEX('1-DATA'!$1:$1048576,$A671-1,COLUMN('1-DATA'!N670)),ROUND(INDEX('1-DATA'!$1:$1048576,IF(OR($B672="STD. DEVIATION",$C$1=1),$A672,$A672+1),COLUMN('1-DATA'!N670)),IF($B672="STD. DEVIATION",2,$F$1))))</f>
        <v/>
      </c>
      <c r="P672" s="1" t="str">
        <f>IF(OR($B672="",P$7=""),"",IF($B672="MEANS",INDEX('1-DATA'!$1:$1048576,$A671-1,COLUMN('1-DATA'!O670)),ROUND(INDEX('1-DATA'!$1:$1048576,IF(OR($B672="STD. DEVIATION",$C$1=1),$A672,$A672+1),COLUMN('1-DATA'!O670)),IF($B672="STD. DEVIATION",2,$F$1))))</f>
        <v/>
      </c>
      <c r="Q672" s="1" t="str">
        <f>IF(OR($B672="",Q$7=""),"",IF($B672="MEANS",INDEX('1-DATA'!$1:$1048576,$A671-1,COLUMN('1-DATA'!P670)),ROUND(INDEX('1-DATA'!$1:$1048576,IF(OR($B672="STD. DEVIATION",$C$1=1),$A672,$A672+1),COLUMN('1-DATA'!P670)),IF($B672="STD. DEVIATION",2,$F$1))))</f>
        <v/>
      </c>
      <c r="R672" s="1" t="str">
        <f>IF(OR($B672="",R$7=""),"",IF($B672="MEANS",INDEX('1-DATA'!$1:$1048576,$A671-1,COLUMN('1-DATA'!Q670)),ROUND(INDEX('1-DATA'!$1:$1048576,IF(OR($B672="STD. DEVIATION",$C$1=1),$A672,$A672+1),COLUMN('1-DATA'!Q670)),IF($B672="STD. DEVIATION",2,$F$1))))</f>
        <v/>
      </c>
      <c r="S672" s="1" t="str">
        <f>IF(OR($B672="",S$7=""),"",IF($B672="MEANS",INDEX('1-DATA'!$1:$1048576,$A671-1,COLUMN('1-DATA'!R670)),ROUND(INDEX('1-DATA'!$1:$1048576,IF(OR($B672="STD. DEVIATION",$C$1=1),$A672,$A672+1),COLUMN('1-DATA'!R670)),IF($B672="STD. DEVIATION",2,$F$1))))</f>
        <v/>
      </c>
      <c r="T672" s="1" t="str">
        <f>IF(OR($B672="",T$7=""),"",IF($B672="MEANS",INDEX('1-DATA'!$1:$1048576,$A671-1,COLUMN('1-DATA'!S670)),ROUND(INDEX('1-DATA'!$1:$1048576,IF(OR($B672="STD. DEVIATION",$C$1=1),$A672,$A672+1),COLUMN('1-DATA'!S670)),IF($B672="STD. DEVIATION",2,$F$1))))</f>
        <v/>
      </c>
      <c r="U672" s="1" t="str">
        <f>IF(OR($B672="",U$7=""),"",IF($B672="MEANS",INDEX('1-DATA'!$1:$1048576,$A671-1,COLUMN('1-DATA'!T670)),ROUND(INDEX('1-DATA'!$1:$1048576,IF(OR($B672="STD. DEVIATION",$C$1=1),$A672,$A672+1),COLUMN('1-DATA'!T670)),IF($B672="STD. DEVIATION",2,$F$1))))</f>
        <v/>
      </c>
      <c r="V672" s="1" t="str">
        <f>IF(OR($B672="",V$7=""),"",IF($B672="MEANS",INDEX('1-DATA'!$1:$1048576,$A671-1,COLUMN('1-DATA'!U670)),ROUND(INDEX('1-DATA'!$1:$1048576,IF(OR($B672="STD. DEVIATION",$C$1=1),$A672,$A672+1),COLUMN('1-DATA'!U670)),IF($B672="STD. DEVIATION",2,$F$1))))</f>
        <v/>
      </c>
      <c r="W672" s="1" t="str">
        <f>IF(OR($B672="",W$7=""),"",IF($B672="MEANS",INDEX('1-DATA'!$1:$1048576,$A671-1,COLUMN('1-DATA'!V670)),ROUND(INDEX('1-DATA'!$1:$1048576,IF(OR($B672="STD. DEVIATION",$C$1=1),$A672,$A672+1),COLUMN('1-DATA'!V670)),IF($B672="STD. DEVIATION",2,$F$1))))</f>
        <v/>
      </c>
      <c r="X672" s="1" t="str">
        <f>IF(OR($B672="",X$7=""),"",IF($B672="MEANS",INDEX('1-DATA'!$1:$1048576,$A671-1,COLUMN('1-DATA'!W670)),ROUND(INDEX('1-DATA'!$1:$1048576,IF(OR($B672="STD. DEVIATION",$C$1=1),$A672,$A672+1),COLUMN('1-DATA'!W670)),IF($B672="STD. DEVIATION",2,$F$1))))</f>
        <v/>
      </c>
      <c r="Y672" s="1" t="str">
        <f>IF(OR($B672="",Y$7=""),"",IF($B672="MEANS",INDEX('1-DATA'!$1:$1048576,$A671-1,COLUMN('1-DATA'!X670)),ROUND(INDEX('1-DATA'!$1:$1048576,IF(OR($B672="STD. DEVIATION",$C$1=1),$A672,$A672+1),COLUMN('1-DATA'!X670)),IF($B672="STD. DEVIATION",2,$F$1))))</f>
        <v/>
      </c>
      <c r="Z672" s="1" t="str">
        <f>IF(OR($B672="",Z$7=""),"",IF($B672="MEANS",INDEX('1-DATA'!$1:$1048576,$A671-1,COLUMN('1-DATA'!Y670)),ROUND(INDEX('1-DATA'!$1:$1048576,IF(OR($B672="STD. DEVIATION",$C$1=1),$A672,$A672+1),COLUMN('1-DATA'!Y670)),IF($B672="STD. DEVIATION",2,$F$1))))</f>
        <v/>
      </c>
      <c r="AA672" s="1" t="str">
        <f>IF(OR($B672="",AA$7=""),"",IF($B672="MEANS",INDEX('1-DATA'!$1:$1048576,$A671-1,COLUMN('1-DATA'!Z670)),ROUND(INDEX('1-DATA'!$1:$1048576,IF(OR($B672="STD. DEVIATION",$C$1=1),$A672,$A672+1),COLUMN('1-DATA'!Z670)),IF($B672="STD. DEVIATION",2,$F$1))))</f>
        <v/>
      </c>
      <c r="AB672" s="1" t="str">
        <f>IF(OR($B672="",AB$7=""),"",IF($B672="MEANS",INDEX('1-DATA'!$1:$1048576,$A671-1,COLUMN('1-DATA'!AA670)),ROUND(INDEX('1-DATA'!$1:$1048576,IF(OR($B672="STD. DEVIATION",$C$1=1),$A672,$A672+1),COLUMN('1-DATA'!AA670)),IF($B672="STD. DEVIATION",2,$F$1))))</f>
        <v/>
      </c>
      <c r="AC672" s="1" t="str">
        <f>IF(OR($B672="",AC$7=""),"",IF($B672="MEANS",INDEX('1-DATA'!$1:$1048576,$A671-1,COLUMN('1-DATA'!AB670)),ROUND(INDEX('1-DATA'!$1:$1048576,IF(OR($B672="STD. DEVIATION",$C$1=1),$A672,$A672+1),COLUMN('1-DATA'!AB670)),IF($B672="STD. DEVIATION",2,$F$1))))</f>
        <v/>
      </c>
      <c r="AD672" s="1" t="str">
        <f>IF(OR($B672="",AD$7=""),"",IF($B672="MEANS",INDEX('1-DATA'!$1:$1048576,$A671-1,COLUMN('1-DATA'!AC670)),ROUND(INDEX('1-DATA'!$1:$1048576,IF(OR($B672="STD. DEVIATION",$C$1=1),$A672,$A672+1),COLUMN('1-DATA'!AC670)),IF($B672="STD. DEVIATION",2,$F$1))))</f>
        <v/>
      </c>
      <c r="AE672" s="1" t="str">
        <f>IF(OR($B672="",AE$7=""),"",IF($B672="MEANS",INDEX('1-DATA'!$1:$1048576,$A671-1,COLUMN('1-DATA'!AD670)),ROUND(INDEX('1-DATA'!$1:$1048576,IF(OR($B672="STD. DEVIATION",$C$1=1),$A672,$A672+1),COLUMN('1-DATA'!AD670)),IF($B672="STD. DEVIATION",2,$F$1))))</f>
        <v/>
      </c>
      <c r="AF672" s="1" t="str">
        <f>IF(OR($B672="",AF$7=""),"",IF($B672="MEANS",INDEX('1-DATA'!$1:$1048576,$A671-1,COLUMN('1-DATA'!AE670)),ROUND(INDEX('1-DATA'!$1:$1048576,IF(OR($B672="STD. DEVIATION",$C$1=1),$A672,$A672+1),COLUMN('1-DATA'!AE670)),IF($B672="STD. DEVIATION",2,$F$1))))</f>
        <v/>
      </c>
      <c r="AG672" s="1" t="str">
        <f>IF(OR($B672="",AG$7=""),"",IF($B672="MEANS",INDEX('1-DATA'!$1:$1048576,$A671-1,COLUMN('1-DATA'!AF670)),ROUND(INDEX('1-DATA'!$1:$1048576,IF(OR($B672="STD. DEVIATION",$C$1=1),$A672,$A672+1),COLUMN('1-DATA'!AF670)),IF($B672="STD. DEVIATION",2,$F$1))))</f>
        <v/>
      </c>
      <c r="AH672" s="1" t="str">
        <f>IF(OR($B672="",AH$7=""),"",IF($B672="MEANS",INDEX('1-DATA'!$1:$1048576,$A671-1,COLUMN('1-DATA'!AG670)),ROUND(INDEX('1-DATA'!$1:$1048576,IF(OR($B672="STD. DEVIATION",$C$1=1),$A672,$A672+1),COLUMN('1-DATA'!AG670)),IF($B672="STD. DEVIATION",2,$F$1))))</f>
        <v/>
      </c>
      <c r="AI672" s="1" t="str">
        <f>IF(OR($B672="",AI$7=""),"",IF($B672="MEANS",INDEX('1-DATA'!$1:$1048576,$A671-1,COLUMN('1-DATA'!AH670)),ROUND(INDEX('1-DATA'!$1:$1048576,IF(OR($B672="STD. DEVIATION",$C$1=1),$A672,$A672+1),COLUMN('1-DATA'!AH670)),IF($B672="STD. DEVIATION",2,$F$1))))</f>
        <v/>
      </c>
      <c r="AJ672" s="1" t="str">
        <f>IF(OR($B672="",AJ$7=""),"",IF($B672="MEANS",INDEX('1-DATA'!$1:$1048576,$A671-1,COLUMN('1-DATA'!AI670)),ROUND(INDEX('1-DATA'!$1:$1048576,IF(OR($B672="STD. DEVIATION",$C$1=1),$A672,$A672+1),COLUMN('1-DATA'!AI670)),IF($B672="STD. DEVIATION",2,$F$1))))</f>
        <v/>
      </c>
      <c r="AK672" s="1" t="str">
        <f>IF(OR($B672="",AK$7=""),"",IF($B672="MEANS",INDEX('1-DATA'!$1:$1048576,$A671-1,COLUMN('1-DATA'!AJ670)),ROUND(INDEX('1-DATA'!$1:$1048576,IF(OR($B672="STD. DEVIATION",$C$1=1),$A672,$A672+1),COLUMN('1-DATA'!AJ670)),IF($B672="STD. DEVIATION",2,$F$1))))</f>
        <v/>
      </c>
      <c r="AL672" s="1" t="str">
        <f>IF(OR($B672="",AL$7=""),"",IF($B672="MEANS",INDEX('1-DATA'!$1:$1048576,$A671-1,COLUMN('1-DATA'!AK670)),ROUND(INDEX('1-DATA'!$1:$1048576,IF(OR($B672="STD. DEVIATION",$C$1=1),$A672,$A672+1),COLUMN('1-DATA'!AK670)),IF($B672="STD. DEVIATION",2,$F$1))))</f>
        <v/>
      </c>
      <c r="AM672" s="1" t="str">
        <f>IF(OR($B672="",AM$7=""),"",IF($B672="MEANS",INDEX('1-DATA'!$1:$1048576,$A671-1,COLUMN('1-DATA'!AL670)),ROUND(INDEX('1-DATA'!$1:$1048576,IF(OR($B672="STD. DEVIATION",$C$1=1),$A672,$A672+1),COLUMN('1-DATA'!AL670)),IF($B672="STD. DEVIATION",2,$F$1))))</f>
        <v/>
      </c>
      <c r="AN672" s="1" t="str">
        <f>IF(OR($B672="",AN$7=""),"",IF($B672="MEANS",INDEX('1-DATA'!$1:$1048576,$A671-1,COLUMN('1-DATA'!AM670)),ROUND(INDEX('1-DATA'!$1:$1048576,IF(OR($B672="STD. DEVIATION",$C$1=1),$A672,$A672+1),COLUMN('1-DATA'!AM670)),IF($B672="STD. DEVIATION",2,$F$1))))</f>
        <v/>
      </c>
      <c r="AO672" s="1" t="str">
        <f>IF(OR($B672="",AO$7=""),"",IF($B672="MEANS",INDEX('1-DATA'!$1:$1048576,$A671-1,COLUMN('1-DATA'!AN670)),ROUND(INDEX('1-DATA'!$1:$1048576,IF(OR($B672="STD. DEVIATION",$C$1=1),$A672,$A672+1),COLUMN('1-DATA'!AN670)),IF($B672="STD. DEVIATION",2,$F$1))))</f>
        <v/>
      </c>
      <c r="AP672" s="1" t="str">
        <f>IF(OR($B672="",AP$7=""),"",IF($B672="MEANS",INDEX('1-DATA'!$1:$1048576,$A671-1,COLUMN('1-DATA'!AO670)),ROUND(INDEX('1-DATA'!$1:$1048576,IF(OR($B672="STD. DEVIATION",$C$1=1),$A672,$A672+1),COLUMN('1-DATA'!AO670)),IF($B672="STD. DEVIATION",2,$F$1))))</f>
        <v/>
      </c>
      <c r="AQ672" s="1" t="str">
        <f>IF(OR($B672="",AQ$7=""),"",IF($B672="MEANS",INDEX('1-DATA'!$1:$1048576,$A671-1,COLUMN('1-DATA'!AP670)),ROUND(INDEX('1-DATA'!$1:$1048576,IF(OR($B672="STD. DEVIATION",$C$1=1),$A672,$A672+1),COLUMN('1-DATA'!AP670)),IF($B672="STD. DEVIATION",2,$F$1))))</f>
        <v/>
      </c>
      <c r="AR672" s="1" t="str">
        <f>IF(OR($B672="",AR$7=""),"",IF($B672="MEANS",INDEX('1-DATA'!$1:$1048576,$A671-1,COLUMN('1-DATA'!AQ670)),ROUND(INDEX('1-DATA'!$1:$1048576,IF(OR($B672="STD. DEVIATION",$C$1=1),$A672,$A672+1),COLUMN('1-DATA'!AQ670)),IF($B672="STD. DEVIATION",2,$F$1))))</f>
        <v/>
      </c>
      <c r="AS672" s="1" t="str">
        <f>IF(OR($B672="",AS$7=""),"",IF($B672="MEANS",INDEX('1-DATA'!$1:$1048576,$A671-1,COLUMN('1-DATA'!AR670)),ROUND(INDEX('1-DATA'!$1:$1048576,IF(OR($B672="STD. DEVIATION",$C$1=1),$A672,$A672+1),COLUMN('1-DATA'!AR670)),IF($B672="STD. DEVIATION",2,$F$1))))</f>
        <v/>
      </c>
      <c r="AT672" s="1" t="str">
        <f>IF(OR($B672="",AT$7=""),"",IF($B672="MEANS",INDEX('1-DATA'!$1:$1048576,$A671-1,COLUMN('1-DATA'!AS670)),ROUND(INDEX('1-DATA'!$1:$1048576,IF(OR($B672="STD. DEVIATION",$C$1=1),$A672,$A672+1),COLUMN('1-DATA'!AS670)),IF($B672="STD. DEVIATION",2,$F$1))))</f>
        <v/>
      </c>
      <c r="AU672" s="1" t="str">
        <f>IF(OR($B672="",AU$7=""),"",IF($B672="MEANS",INDEX('1-DATA'!$1:$1048576,$A671-1,COLUMN('1-DATA'!AT670)),ROUND(INDEX('1-DATA'!$1:$1048576,IF(OR($B672="STD. DEVIATION",$C$1=1),$A672,$A672+1),COLUMN('1-DATA'!AT670)),IF($B672="STD. DEVIATION",2,$F$1))))</f>
        <v/>
      </c>
      <c r="AV672" s="1" t="str">
        <f>IF(OR($B672="",AV$7=""),"",IF($B672="MEANS",INDEX('1-DATA'!$1:$1048576,$A671-1,COLUMN('1-DATA'!AU670)),ROUND(INDEX('1-DATA'!$1:$1048576,IF(OR($B672="STD. DEVIATION",$C$1=1),$A672,$A672+1),COLUMN('1-DATA'!AU670)),IF($B672="STD. DEVIATION",2,$F$1))))</f>
        <v/>
      </c>
      <c r="AW672" s="1" t="str">
        <f>IF(OR($B672="",AW$7=""),"",IF($B672="MEANS",INDEX('1-DATA'!$1:$1048576,$A671-1,COLUMN('1-DATA'!AV670)),ROUND(INDEX('1-DATA'!$1:$1048576,IF(OR($B672="STD. DEVIATION",$C$1=1),$A672,$A672+1),COLUMN('1-DATA'!AV670)),IF($B672="STD. DEVIATION",2,$F$1))))</f>
        <v/>
      </c>
      <c r="AX672" s="1" t="str">
        <f>IF(OR($B672="",AX$7=""),"",IF($B672="MEANS",INDEX('1-DATA'!$1:$1048576,$A671-1,COLUMN('1-DATA'!AW670)),ROUND(INDEX('1-DATA'!$1:$1048576,IF(OR($B672="STD. DEVIATION",$C$1=1),$A672,$A672+1),COLUMN('1-DATA'!AW670)),IF($B672="STD. DEVIATION",2,$F$1))))</f>
        <v/>
      </c>
      <c r="AY672" s="1" t="str">
        <f>IF(OR($B672="",AY$7=""),"",IF($B672="MEANS",INDEX('1-DATA'!$1:$1048576,$A671-1,COLUMN('1-DATA'!AX670)),ROUND(INDEX('1-DATA'!$1:$1048576,IF(OR($B672="STD. DEVIATION",$C$1=1),$A672,$A672+1),COLUMN('1-DATA'!AX670)),IF($B672="STD. DEVIATION",2,$F$1))))</f>
        <v/>
      </c>
      <c r="AZ672" s="1" t="str">
        <f>IF(OR($B672="",AZ$7=""),"",IF($B672="MEANS",INDEX('1-DATA'!$1:$1048576,$A671-1,COLUMN('1-DATA'!AY670)),ROUND(INDEX('1-DATA'!$1:$1048576,IF(OR($B672="STD. DEVIATION",$C$1=1),$A672,$A672+1),COLUMN('1-DATA'!AY670)),IF($B672="STD. DEVIATION",2,$F$1))))</f>
        <v/>
      </c>
    </row>
    <row r="673" spans="1:52" x14ac:dyDescent="0.25">
      <c r="A673" s="11">
        <f t="shared" si="11"/>
        <v>2005</v>
      </c>
      <c r="B673" s="1" t="str">
        <f>IF(B672="STD. DEVIATION",INDEX('1-DATA'!$1:$1048576,$A672-1,1),IF(INDEX('1-DATA'!$1:$1048576,$A673,1)&lt;&gt;"",INDEX('1-DATA'!$1:$1048576,$A673,1),""))</f>
        <v/>
      </c>
      <c r="C673" s="1" t="str">
        <f>IF(OR($B673="",C$7=""),"",IF($B673="MEANS",INDEX('1-DATA'!$1:$1048576,$A672-1,COLUMN('1-DATA'!B671)),ROUND(INDEX('1-DATA'!$1:$1048576,IF(OR($B673="STD. DEVIATION",$C$1=1),$A673,$A673+1),COLUMN('1-DATA'!B671)),IF($B673="STD. DEVIATION",2,$F$1))))</f>
        <v/>
      </c>
      <c r="D673" s="1" t="str">
        <f>IF(OR($B673="",D$7=""),"",IF($B673="MEANS",INDEX('1-DATA'!$1:$1048576,$A672-1,COLUMN('1-DATA'!C671)),ROUND(INDEX('1-DATA'!$1:$1048576,IF(OR($B673="STD. DEVIATION",$C$1=1),$A673,$A673+1),COLUMN('1-DATA'!C671)),IF($B673="STD. DEVIATION",2,$F$1))))</f>
        <v/>
      </c>
      <c r="E673" s="1" t="str">
        <f>IF(OR($B673="",E$7=""),"",IF($B673="MEANS",INDEX('1-DATA'!$1:$1048576,$A672-1,COLUMN('1-DATA'!D671)),ROUND(INDEX('1-DATA'!$1:$1048576,IF(OR($B673="STD. DEVIATION",$C$1=1),$A673,$A673+1),COLUMN('1-DATA'!D671)),IF($B673="STD. DEVIATION",2,$F$1))))</f>
        <v/>
      </c>
      <c r="F673" s="1" t="str">
        <f>IF(OR($B673="",F$7=""),"",IF($B673="MEANS",INDEX('1-DATA'!$1:$1048576,$A672-1,COLUMN('1-DATA'!E671)),ROUND(INDEX('1-DATA'!$1:$1048576,IF(OR($B673="STD. DEVIATION",$C$1=1),$A673,$A673+1),COLUMN('1-DATA'!E671)),IF($B673="STD. DEVIATION",2,$F$1))))</f>
        <v/>
      </c>
      <c r="G673" s="1" t="str">
        <f>IF(OR($B673="",G$7=""),"",IF($B673="MEANS",INDEX('1-DATA'!$1:$1048576,$A672-1,COLUMN('1-DATA'!F671)),ROUND(INDEX('1-DATA'!$1:$1048576,IF(OR($B673="STD. DEVIATION",$C$1=1),$A673,$A673+1),COLUMN('1-DATA'!F671)),IF($B673="STD. DEVIATION",2,$F$1))))</f>
        <v/>
      </c>
      <c r="H673" s="1" t="str">
        <f>IF(OR($B673="",H$7=""),"",IF($B673="MEANS",INDEX('1-DATA'!$1:$1048576,$A672-1,COLUMN('1-DATA'!G671)),ROUND(INDEX('1-DATA'!$1:$1048576,IF(OR($B673="STD. DEVIATION",$C$1=1),$A673,$A673+1),COLUMN('1-DATA'!G671)),IF($B673="STD. DEVIATION",2,$F$1))))</f>
        <v/>
      </c>
      <c r="I673" s="1" t="str">
        <f>IF(OR($B673="",I$7=""),"",IF($B673="MEANS",INDEX('1-DATA'!$1:$1048576,$A672-1,COLUMN('1-DATA'!H671)),ROUND(INDEX('1-DATA'!$1:$1048576,IF(OR($B673="STD. DEVIATION",$C$1=1),$A673,$A673+1),COLUMN('1-DATA'!H671)),IF($B673="STD. DEVIATION",2,$F$1))))</f>
        <v/>
      </c>
      <c r="J673" s="1" t="str">
        <f>IF(OR($B673="",J$7=""),"",IF($B673="MEANS",INDEX('1-DATA'!$1:$1048576,$A672-1,COLUMN('1-DATA'!I671)),ROUND(INDEX('1-DATA'!$1:$1048576,IF(OR($B673="STD. DEVIATION",$C$1=1),$A673,$A673+1),COLUMN('1-DATA'!I671)),IF($B673="STD. DEVIATION",2,$F$1))))</f>
        <v/>
      </c>
      <c r="K673" s="1" t="str">
        <f>IF(OR($B673="",K$7=""),"",IF($B673="MEANS",INDEX('1-DATA'!$1:$1048576,$A672-1,COLUMN('1-DATA'!J671)),ROUND(INDEX('1-DATA'!$1:$1048576,IF(OR($B673="STD. DEVIATION",$C$1=1),$A673,$A673+1),COLUMN('1-DATA'!J671)),IF($B673="STD. DEVIATION",2,$F$1))))</f>
        <v/>
      </c>
      <c r="L673" s="1" t="str">
        <f>IF(OR($B673="",L$7=""),"",IF($B673="MEANS",INDEX('1-DATA'!$1:$1048576,$A672-1,COLUMN('1-DATA'!K671)),ROUND(INDEX('1-DATA'!$1:$1048576,IF(OR($B673="STD. DEVIATION",$C$1=1),$A673,$A673+1),COLUMN('1-DATA'!K671)),IF($B673="STD. DEVIATION",2,$F$1))))</f>
        <v/>
      </c>
      <c r="M673" s="1" t="str">
        <f>IF(OR($B673="",M$7=""),"",IF($B673="MEANS",INDEX('1-DATA'!$1:$1048576,$A672-1,COLUMN('1-DATA'!L671)),ROUND(INDEX('1-DATA'!$1:$1048576,IF(OR($B673="STD. DEVIATION",$C$1=1),$A673,$A673+1),COLUMN('1-DATA'!L671)),IF($B673="STD. DEVIATION",2,$F$1))))</f>
        <v/>
      </c>
      <c r="N673" s="1" t="str">
        <f>IF(OR($B673="",N$7=""),"",IF($B673="MEANS",INDEX('1-DATA'!$1:$1048576,$A672-1,COLUMN('1-DATA'!M671)),ROUND(INDEX('1-DATA'!$1:$1048576,IF(OR($B673="STD. DEVIATION",$C$1=1),$A673,$A673+1),COLUMN('1-DATA'!M671)),IF($B673="STD. DEVIATION",2,$F$1))))</f>
        <v/>
      </c>
      <c r="O673" s="1" t="str">
        <f>IF(OR($B673="",O$7=""),"",IF($B673="MEANS",INDEX('1-DATA'!$1:$1048576,$A672-1,COLUMN('1-DATA'!N671)),ROUND(INDEX('1-DATA'!$1:$1048576,IF(OR($B673="STD. DEVIATION",$C$1=1),$A673,$A673+1),COLUMN('1-DATA'!N671)),IF($B673="STD. DEVIATION",2,$F$1))))</f>
        <v/>
      </c>
      <c r="P673" s="1" t="str">
        <f>IF(OR($B673="",P$7=""),"",IF($B673="MEANS",INDEX('1-DATA'!$1:$1048576,$A672-1,COLUMN('1-DATA'!O671)),ROUND(INDEX('1-DATA'!$1:$1048576,IF(OR($B673="STD. DEVIATION",$C$1=1),$A673,$A673+1),COLUMN('1-DATA'!O671)),IF($B673="STD. DEVIATION",2,$F$1))))</f>
        <v/>
      </c>
      <c r="Q673" s="1" t="str">
        <f>IF(OR($B673="",Q$7=""),"",IF($B673="MEANS",INDEX('1-DATA'!$1:$1048576,$A672-1,COLUMN('1-DATA'!P671)),ROUND(INDEX('1-DATA'!$1:$1048576,IF(OR($B673="STD. DEVIATION",$C$1=1),$A673,$A673+1),COLUMN('1-DATA'!P671)),IF($B673="STD. DEVIATION",2,$F$1))))</f>
        <v/>
      </c>
      <c r="R673" s="1" t="str">
        <f>IF(OR($B673="",R$7=""),"",IF($B673="MEANS",INDEX('1-DATA'!$1:$1048576,$A672-1,COLUMN('1-DATA'!Q671)),ROUND(INDEX('1-DATA'!$1:$1048576,IF(OR($B673="STD. DEVIATION",$C$1=1),$A673,$A673+1),COLUMN('1-DATA'!Q671)),IF($B673="STD. DEVIATION",2,$F$1))))</f>
        <v/>
      </c>
      <c r="S673" s="1" t="str">
        <f>IF(OR($B673="",S$7=""),"",IF($B673="MEANS",INDEX('1-DATA'!$1:$1048576,$A672-1,COLUMN('1-DATA'!R671)),ROUND(INDEX('1-DATA'!$1:$1048576,IF(OR($B673="STD. DEVIATION",$C$1=1),$A673,$A673+1),COLUMN('1-DATA'!R671)),IF($B673="STD. DEVIATION",2,$F$1))))</f>
        <v/>
      </c>
      <c r="T673" s="1" t="str">
        <f>IF(OR($B673="",T$7=""),"",IF($B673="MEANS",INDEX('1-DATA'!$1:$1048576,$A672-1,COLUMN('1-DATA'!S671)),ROUND(INDEX('1-DATA'!$1:$1048576,IF(OR($B673="STD. DEVIATION",$C$1=1),$A673,$A673+1),COLUMN('1-DATA'!S671)),IF($B673="STD. DEVIATION",2,$F$1))))</f>
        <v/>
      </c>
      <c r="U673" s="1" t="str">
        <f>IF(OR($B673="",U$7=""),"",IF($B673="MEANS",INDEX('1-DATA'!$1:$1048576,$A672-1,COLUMN('1-DATA'!T671)),ROUND(INDEX('1-DATA'!$1:$1048576,IF(OR($B673="STD. DEVIATION",$C$1=1),$A673,$A673+1),COLUMN('1-DATA'!T671)),IF($B673="STD. DEVIATION",2,$F$1))))</f>
        <v/>
      </c>
      <c r="V673" s="1" t="str">
        <f>IF(OR($B673="",V$7=""),"",IF($B673="MEANS",INDEX('1-DATA'!$1:$1048576,$A672-1,COLUMN('1-DATA'!U671)),ROUND(INDEX('1-DATA'!$1:$1048576,IF(OR($B673="STD. DEVIATION",$C$1=1),$A673,$A673+1),COLUMN('1-DATA'!U671)),IF($B673="STD. DEVIATION",2,$F$1))))</f>
        <v/>
      </c>
      <c r="W673" s="1" t="str">
        <f>IF(OR($B673="",W$7=""),"",IF($B673="MEANS",INDEX('1-DATA'!$1:$1048576,$A672-1,COLUMN('1-DATA'!V671)),ROUND(INDEX('1-DATA'!$1:$1048576,IF(OR($B673="STD. DEVIATION",$C$1=1),$A673,$A673+1),COLUMN('1-DATA'!V671)),IF($B673="STD. DEVIATION",2,$F$1))))</f>
        <v/>
      </c>
      <c r="X673" s="1" t="str">
        <f>IF(OR($B673="",X$7=""),"",IF($B673="MEANS",INDEX('1-DATA'!$1:$1048576,$A672-1,COLUMN('1-DATA'!W671)),ROUND(INDEX('1-DATA'!$1:$1048576,IF(OR($B673="STD. DEVIATION",$C$1=1),$A673,$A673+1),COLUMN('1-DATA'!W671)),IF($B673="STD. DEVIATION",2,$F$1))))</f>
        <v/>
      </c>
      <c r="Y673" s="1" t="str">
        <f>IF(OR($B673="",Y$7=""),"",IF($B673="MEANS",INDEX('1-DATA'!$1:$1048576,$A672-1,COLUMN('1-DATA'!X671)),ROUND(INDEX('1-DATA'!$1:$1048576,IF(OR($B673="STD. DEVIATION",$C$1=1),$A673,$A673+1),COLUMN('1-DATA'!X671)),IF($B673="STD. DEVIATION",2,$F$1))))</f>
        <v/>
      </c>
      <c r="Z673" s="1" t="str">
        <f>IF(OR($B673="",Z$7=""),"",IF($B673="MEANS",INDEX('1-DATA'!$1:$1048576,$A672-1,COLUMN('1-DATA'!Y671)),ROUND(INDEX('1-DATA'!$1:$1048576,IF(OR($B673="STD. DEVIATION",$C$1=1),$A673,$A673+1),COLUMN('1-DATA'!Y671)),IF($B673="STD. DEVIATION",2,$F$1))))</f>
        <v/>
      </c>
      <c r="AA673" s="1" t="str">
        <f>IF(OR($B673="",AA$7=""),"",IF($B673="MEANS",INDEX('1-DATA'!$1:$1048576,$A672-1,COLUMN('1-DATA'!Z671)),ROUND(INDEX('1-DATA'!$1:$1048576,IF(OR($B673="STD. DEVIATION",$C$1=1),$A673,$A673+1),COLUMN('1-DATA'!Z671)),IF($B673="STD. DEVIATION",2,$F$1))))</f>
        <v/>
      </c>
      <c r="AB673" s="1" t="str">
        <f>IF(OR($B673="",AB$7=""),"",IF($B673="MEANS",INDEX('1-DATA'!$1:$1048576,$A672-1,COLUMN('1-DATA'!AA671)),ROUND(INDEX('1-DATA'!$1:$1048576,IF(OR($B673="STD. DEVIATION",$C$1=1),$A673,$A673+1),COLUMN('1-DATA'!AA671)),IF($B673="STD. DEVIATION",2,$F$1))))</f>
        <v/>
      </c>
      <c r="AC673" s="1" t="str">
        <f>IF(OR($B673="",AC$7=""),"",IF($B673="MEANS",INDEX('1-DATA'!$1:$1048576,$A672-1,COLUMN('1-DATA'!AB671)),ROUND(INDEX('1-DATA'!$1:$1048576,IF(OR($B673="STD. DEVIATION",$C$1=1),$A673,$A673+1),COLUMN('1-DATA'!AB671)),IF($B673="STD. DEVIATION",2,$F$1))))</f>
        <v/>
      </c>
      <c r="AD673" s="1" t="str">
        <f>IF(OR($B673="",AD$7=""),"",IF($B673="MEANS",INDEX('1-DATA'!$1:$1048576,$A672-1,COLUMN('1-DATA'!AC671)),ROUND(INDEX('1-DATA'!$1:$1048576,IF(OR($B673="STD. DEVIATION",$C$1=1),$A673,$A673+1),COLUMN('1-DATA'!AC671)),IF($B673="STD. DEVIATION",2,$F$1))))</f>
        <v/>
      </c>
      <c r="AE673" s="1" t="str">
        <f>IF(OR($B673="",AE$7=""),"",IF($B673="MEANS",INDEX('1-DATA'!$1:$1048576,$A672-1,COLUMN('1-DATA'!AD671)),ROUND(INDEX('1-DATA'!$1:$1048576,IF(OR($B673="STD. DEVIATION",$C$1=1),$A673,$A673+1),COLUMN('1-DATA'!AD671)),IF($B673="STD. DEVIATION",2,$F$1))))</f>
        <v/>
      </c>
      <c r="AF673" s="1" t="str">
        <f>IF(OR($B673="",AF$7=""),"",IF($B673="MEANS",INDEX('1-DATA'!$1:$1048576,$A672-1,COLUMN('1-DATA'!AE671)),ROUND(INDEX('1-DATA'!$1:$1048576,IF(OR($B673="STD. DEVIATION",$C$1=1),$A673,$A673+1),COLUMN('1-DATA'!AE671)),IF($B673="STD. DEVIATION",2,$F$1))))</f>
        <v/>
      </c>
      <c r="AG673" s="1" t="str">
        <f>IF(OR($B673="",AG$7=""),"",IF($B673="MEANS",INDEX('1-DATA'!$1:$1048576,$A672-1,COLUMN('1-DATA'!AF671)),ROUND(INDEX('1-DATA'!$1:$1048576,IF(OR($B673="STD. DEVIATION",$C$1=1),$A673,$A673+1),COLUMN('1-DATA'!AF671)),IF($B673="STD. DEVIATION",2,$F$1))))</f>
        <v/>
      </c>
      <c r="AH673" s="1" t="str">
        <f>IF(OR($B673="",AH$7=""),"",IF($B673="MEANS",INDEX('1-DATA'!$1:$1048576,$A672-1,COLUMN('1-DATA'!AG671)),ROUND(INDEX('1-DATA'!$1:$1048576,IF(OR($B673="STD. DEVIATION",$C$1=1),$A673,$A673+1),COLUMN('1-DATA'!AG671)),IF($B673="STD. DEVIATION",2,$F$1))))</f>
        <v/>
      </c>
      <c r="AI673" s="1" t="str">
        <f>IF(OR($B673="",AI$7=""),"",IF($B673="MEANS",INDEX('1-DATA'!$1:$1048576,$A672-1,COLUMN('1-DATA'!AH671)),ROUND(INDEX('1-DATA'!$1:$1048576,IF(OR($B673="STD. DEVIATION",$C$1=1),$A673,$A673+1),COLUMN('1-DATA'!AH671)),IF($B673="STD. DEVIATION",2,$F$1))))</f>
        <v/>
      </c>
      <c r="AJ673" s="1" t="str">
        <f>IF(OR($B673="",AJ$7=""),"",IF($B673="MEANS",INDEX('1-DATA'!$1:$1048576,$A672-1,COLUMN('1-DATA'!AI671)),ROUND(INDEX('1-DATA'!$1:$1048576,IF(OR($B673="STD. DEVIATION",$C$1=1),$A673,$A673+1),COLUMN('1-DATA'!AI671)),IF($B673="STD. DEVIATION",2,$F$1))))</f>
        <v/>
      </c>
      <c r="AK673" s="1" t="str">
        <f>IF(OR($B673="",AK$7=""),"",IF($B673="MEANS",INDEX('1-DATA'!$1:$1048576,$A672-1,COLUMN('1-DATA'!AJ671)),ROUND(INDEX('1-DATA'!$1:$1048576,IF(OR($B673="STD. DEVIATION",$C$1=1),$A673,$A673+1),COLUMN('1-DATA'!AJ671)),IF($B673="STD. DEVIATION",2,$F$1))))</f>
        <v/>
      </c>
      <c r="AL673" s="1" t="str">
        <f>IF(OR($B673="",AL$7=""),"",IF($B673="MEANS",INDEX('1-DATA'!$1:$1048576,$A672-1,COLUMN('1-DATA'!AK671)),ROUND(INDEX('1-DATA'!$1:$1048576,IF(OR($B673="STD. DEVIATION",$C$1=1),$A673,$A673+1),COLUMN('1-DATA'!AK671)),IF($B673="STD. DEVIATION",2,$F$1))))</f>
        <v/>
      </c>
      <c r="AM673" s="1" t="str">
        <f>IF(OR($B673="",AM$7=""),"",IF($B673="MEANS",INDEX('1-DATA'!$1:$1048576,$A672-1,COLUMN('1-DATA'!AL671)),ROUND(INDEX('1-DATA'!$1:$1048576,IF(OR($B673="STD. DEVIATION",$C$1=1),$A673,$A673+1),COLUMN('1-DATA'!AL671)),IF($B673="STD. DEVIATION",2,$F$1))))</f>
        <v/>
      </c>
      <c r="AN673" s="1" t="str">
        <f>IF(OR($B673="",AN$7=""),"",IF($B673="MEANS",INDEX('1-DATA'!$1:$1048576,$A672-1,COLUMN('1-DATA'!AM671)),ROUND(INDEX('1-DATA'!$1:$1048576,IF(OR($B673="STD. DEVIATION",$C$1=1),$A673,$A673+1),COLUMN('1-DATA'!AM671)),IF($B673="STD. DEVIATION",2,$F$1))))</f>
        <v/>
      </c>
      <c r="AO673" s="1" t="str">
        <f>IF(OR($B673="",AO$7=""),"",IF($B673="MEANS",INDEX('1-DATA'!$1:$1048576,$A672-1,COLUMN('1-DATA'!AN671)),ROUND(INDEX('1-DATA'!$1:$1048576,IF(OR($B673="STD. DEVIATION",$C$1=1),$A673,$A673+1),COLUMN('1-DATA'!AN671)),IF($B673="STD. DEVIATION",2,$F$1))))</f>
        <v/>
      </c>
      <c r="AP673" s="1" t="str">
        <f>IF(OR($B673="",AP$7=""),"",IF($B673="MEANS",INDEX('1-DATA'!$1:$1048576,$A672-1,COLUMN('1-DATA'!AO671)),ROUND(INDEX('1-DATA'!$1:$1048576,IF(OR($B673="STD. DEVIATION",$C$1=1),$A673,$A673+1),COLUMN('1-DATA'!AO671)),IF($B673="STD. DEVIATION",2,$F$1))))</f>
        <v/>
      </c>
      <c r="AQ673" s="1" t="str">
        <f>IF(OR($B673="",AQ$7=""),"",IF($B673="MEANS",INDEX('1-DATA'!$1:$1048576,$A672-1,COLUMN('1-DATA'!AP671)),ROUND(INDEX('1-DATA'!$1:$1048576,IF(OR($B673="STD. DEVIATION",$C$1=1),$A673,$A673+1),COLUMN('1-DATA'!AP671)),IF($B673="STD. DEVIATION",2,$F$1))))</f>
        <v/>
      </c>
      <c r="AR673" s="1" t="str">
        <f>IF(OR($B673="",AR$7=""),"",IF($B673="MEANS",INDEX('1-DATA'!$1:$1048576,$A672-1,COLUMN('1-DATA'!AQ671)),ROUND(INDEX('1-DATA'!$1:$1048576,IF(OR($B673="STD. DEVIATION",$C$1=1),$A673,$A673+1),COLUMN('1-DATA'!AQ671)),IF($B673="STD. DEVIATION",2,$F$1))))</f>
        <v/>
      </c>
      <c r="AS673" s="1" t="str">
        <f>IF(OR($B673="",AS$7=""),"",IF($B673="MEANS",INDEX('1-DATA'!$1:$1048576,$A672-1,COLUMN('1-DATA'!AR671)),ROUND(INDEX('1-DATA'!$1:$1048576,IF(OR($B673="STD. DEVIATION",$C$1=1),$A673,$A673+1),COLUMN('1-DATA'!AR671)),IF($B673="STD. DEVIATION",2,$F$1))))</f>
        <v/>
      </c>
      <c r="AT673" s="1" t="str">
        <f>IF(OR($B673="",AT$7=""),"",IF($B673="MEANS",INDEX('1-DATA'!$1:$1048576,$A672-1,COLUMN('1-DATA'!AS671)),ROUND(INDEX('1-DATA'!$1:$1048576,IF(OR($B673="STD. DEVIATION",$C$1=1),$A673,$A673+1),COLUMN('1-DATA'!AS671)),IF($B673="STD. DEVIATION",2,$F$1))))</f>
        <v/>
      </c>
      <c r="AU673" s="1" t="str">
        <f>IF(OR($B673="",AU$7=""),"",IF($B673="MEANS",INDEX('1-DATA'!$1:$1048576,$A672-1,COLUMN('1-DATA'!AT671)),ROUND(INDEX('1-DATA'!$1:$1048576,IF(OR($B673="STD. DEVIATION",$C$1=1),$A673,$A673+1),COLUMN('1-DATA'!AT671)),IF($B673="STD. DEVIATION",2,$F$1))))</f>
        <v/>
      </c>
      <c r="AV673" s="1" t="str">
        <f>IF(OR($B673="",AV$7=""),"",IF($B673="MEANS",INDEX('1-DATA'!$1:$1048576,$A672-1,COLUMN('1-DATA'!AU671)),ROUND(INDEX('1-DATA'!$1:$1048576,IF(OR($B673="STD. DEVIATION",$C$1=1),$A673,$A673+1),COLUMN('1-DATA'!AU671)),IF($B673="STD. DEVIATION",2,$F$1))))</f>
        <v/>
      </c>
      <c r="AW673" s="1" t="str">
        <f>IF(OR($B673="",AW$7=""),"",IF($B673="MEANS",INDEX('1-DATA'!$1:$1048576,$A672-1,COLUMN('1-DATA'!AV671)),ROUND(INDEX('1-DATA'!$1:$1048576,IF(OR($B673="STD. DEVIATION",$C$1=1),$A673,$A673+1),COLUMN('1-DATA'!AV671)),IF($B673="STD. DEVIATION",2,$F$1))))</f>
        <v/>
      </c>
      <c r="AX673" s="1" t="str">
        <f>IF(OR($B673="",AX$7=""),"",IF($B673="MEANS",INDEX('1-DATA'!$1:$1048576,$A672-1,COLUMN('1-DATA'!AW671)),ROUND(INDEX('1-DATA'!$1:$1048576,IF(OR($B673="STD. DEVIATION",$C$1=1),$A673,$A673+1),COLUMN('1-DATA'!AW671)),IF($B673="STD. DEVIATION",2,$F$1))))</f>
        <v/>
      </c>
      <c r="AY673" s="1" t="str">
        <f>IF(OR($B673="",AY$7=""),"",IF($B673="MEANS",INDEX('1-DATA'!$1:$1048576,$A672-1,COLUMN('1-DATA'!AX671)),ROUND(INDEX('1-DATA'!$1:$1048576,IF(OR($B673="STD. DEVIATION",$C$1=1),$A673,$A673+1),COLUMN('1-DATA'!AX671)),IF($B673="STD. DEVIATION",2,$F$1))))</f>
        <v/>
      </c>
      <c r="AZ673" s="1" t="str">
        <f>IF(OR($B673="",AZ$7=""),"",IF($B673="MEANS",INDEX('1-DATA'!$1:$1048576,$A672-1,COLUMN('1-DATA'!AY671)),ROUND(INDEX('1-DATA'!$1:$1048576,IF(OR($B673="STD. DEVIATION",$C$1=1),$A673,$A673+1),COLUMN('1-DATA'!AY671)),IF($B673="STD. DEVIATION",2,$F$1))))</f>
        <v/>
      </c>
    </row>
    <row r="674" spans="1:52" x14ac:dyDescent="0.25">
      <c r="A674" s="11">
        <f t="shared" si="11"/>
        <v>2008</v>
      </c>
      <c r="B674" s="1" t="str">
        <f>IF(B673="STD. DEVIATION",INDEX('1-DATA'!$1:$1048576,$A673-1,1),IF(INDEX('1-DATA'!$1:$1048576,$A674,1)&lt;&gt;"",INDEX('1-DATA'!$1:$1048576,$A674,1),""))</f>
        <v/>
      </c>
      <c r="C674" s="1" t="str">
        <f>IF(OR($B674="",C$7=""),"",IF($B674="MEANS",INDEX('1-DATA'!$1:$1048576,$A673-1,COLUMN('1-DATA'!B672)),ROUND(INDEX('1-DATA'!$1:$1048576,IF(OR($B674="STD. DEVIATION",$C$1=1),$A674,$A674+1),COLUMN('1-DATA'!B672)),IF($B674="STD. DEVIATION",2,$F$1))))</f>
        <v/>
      </c>
      <c r="D674" s="1" t="str">
        <f>IF(OR($B674="",D$7=""),"",IF($B674="MEANS",INDEX('1-DATA'!$1:$1048576,$A673-1,COLUMN('1-DATA'!C672)),ROUND(INDEX('1-DATA'!$1:$1048576,IF(OR($B674="STD. DEVIATION",$C$1=1),$A674,$A674+1),COLUMN('1-DATA'!C672)),IF($B674="STD. DEVIATION",2,$F$1))))</f>
        <v/>
      </c>
      <c r="E674" s="1" t="str">
        <f>IF(OR($B674="",E$7=""),"",IF($B674="MEANS",INDEX('1-DATA'!$1:$1048576,$A673-1,COLUMN('1-DATA'!D672)),ROUND(INDEX('1-DATA'!$1:$1048576,IF(OR($B674="STD. DEVIATION",$C$1=1),$A674,$A674+1),COLUMN('1-DATA'!D672)),IF($B674="STD. DEVIATION",2,$F$1))))</f>
        <v/>
      </c>
      <c r="F674" s="1" t="str">
        <f>IF(OR($B674="",F$7=""),"",IF($B674="MEANS",INDEX('1-DATA'!$1:$1048576,$A673-1,COLUMN('1-DATA'!E672)),ROUND(INDEX('1-DATA'!$1:$1048576,IF(OR($B674="STD. DEVIATION",$C$1=1),$A674,$A674+1),COLUMN('1-DATA'!E672)),IF($B674="STD. DEVIATION",2,$F$1))))</f>
        <v/>
      </c>
      <c r="G674" s="1" t="str">
        <f>IF(OR($B674="",G$7=""),"",IF($B674="MEANS",INDEX('1-DATA'!$1:$1048576,$A673-1,COLUMN('1-DATA'!F672)),ROUND(INDEX('1-DATA'!$1:$1048576,IF(OR($B674="STD. DEVIATION",$C$1=1),$A674,$A674+1),COLUMN('1-DATA'!F672)),IF($B674="STD. DEVIATION",2,$F$1))))</f>
        <v/>
      </c>
      <c r="H674" s="1" t="str">
        <f>IF(OR($B674="",H$7=""),"",IF($B674="MEANS",INDEX('1-DATA'!$1:$1048576,$A673-1,COLUMN('1-DATA'!G672)),ROUND(INDEX('1-DATA'!$1:$1048576,IF(OR($B674="STD. DEVIATION",$C$1=1),$A674,$A674+1),COLUMN('1-DATA'!G672)),IF($B674="STD. DEVIATION",2,$F$1))))</f>
        <v/>
      </c>
      <c r="I674" s="1" t="str">
        <f>IF(OR($B674="",I$7=""),"",IF($B674="MEANS",INDEX('1-DATA'!$1:$1048576,$A673-1,COLUMN('1-DATA'!H672)),ROUND(INDEX('1-DATA'!$1:$1048576,IF(OR($B674="STD. DEVIATION",$C$1=1),$A674,$A674+1),COLUMN('1-DATA'!H672)),IF($B674="STD. DEVIATION",2,$F$1))))</f>
        <v/>
      </c>
      <c r="J674" s="1" t="str">
        <f>IF(OR($B674="",J$7=""),"",IF($B674="MEANS",INDEX('1-DATA'!$1:$1048576,$A673-1,COLUMN('1-DATA'!I672)),ROUND(INDEX('1-DATA'!$1:$1048576,IF(OR($B674="STD. DEVIATION",$C$1=1),$A674,$A674+1),COLUMN('1-DATA'!I672)),IF($B674="STD. DEVIATION",2,$F$1))))</f>
        <v/>
      </c>
      <c r="K674" s="1" t="str">
        <f>IF(OR($B674="",K$7=""),"",IF($B674="MEANS",INDEX('1-DATA'!$1:$1048576,$A673-1,COLUMN('1-DATA'!J672)),ROUND(INDEX('1-DATA'!$1:$1048576,IF(OR($B674="STD. DEVIATION",$C$1=1),$A674,$A674+1),COLUMN('1-DATA'!J672)),IF($B674="STD. DEVIATION",2,$F$1))))</f>
        <v/>
      </c>
      <c r="L674" s="1" t="str">
        <f>IF(OR($B674="",L$7=""),"",IF($B674="MEANS",INDEX('1-DATA'!$1:$1048576,$A673-1,COLUMN('1-DATA'!K672)),ROUND(INDEX('1-DATA'!$1:$1048576,IF(OR($B674="STD. DEVIATION",$C$1=1),$A674,$A674+1),COLUMN('1-DATA'!K672)),IF($B674="STD. DEVIATION",2,$F$1))))</f>
        <v/>
      </c>
      <c r="M674" s="1" t="str">
        <f>IF(OR($B674="",M$7=""),"",IF($B674="MEANS",INDEX('1-DATA'!$1:$1048576,$A673-1,COLUMN('1-DATA'!L672)),ROUND(INDEX('1-DATA'!$1:$1048576,IF(OR($B674="STD. DEVIATION",$C$1=1),$A674,$A674+1),COLUMN('1-DATA'!L672)),IF($B674="STD. DEVIATION",2,$F$1))))</f>
        <v/>
      </c>
      <c r="N674" s="1" t="str">
        <f>IF(OR($B674="",N$7=""),"",IF($B674="MEANS",INDEX('1-DATA'!$1:$1048576,$A673-1,COLUMN('1-DATA'!M672)),ROUND(INDEX('1-DATA'!$1:$1048576,IF(OR($B674="STD. DEVIATION",$C$1=1),$A674,$A674+1),COLUMN('1-DATA'!M672)),IF($B674="STD. DEVIATION",2,$F$1))))</f>
        <v/>
      </c>
      <c r="O674" s="1" t="str">
        <f>IF(OR($B674="",O$7=""),"",IF($B674="MEANS",INDEX('1-DATA'!$1:$1048576,$A673-1,COLUMN('1-DATA'!N672)),ROUND(INDEX('1-DATA'!$1:$1048576,IF(OR($B674="STD. DEVIATION",$C$1=1),$A674,$A674+1),COLUMN('1-DATA'!N672)),IF($B674="STD. DEVIATION",2,$F$1))))</f>
        <v/>
      </c>
      <c r="P674" s="1" t="str">
        <f>IF(OR($B674="",P$7=""),"",IF($B674="MEANS",INDEX('1-DATA'!$1:$1048576,$A673-1,COLUMN('1-DATA'!O672)),ROUND(INDEX('1-DATA'!$1:$1048576,IF(OR($B674="STD. DEVIATION",$C$1=1),$A674,$A674+1),COLUMN('1-DATA'!O672)),IF($B674="STD. DEVIATION",2,$F$1))))</f>
        <v/>
      </c>
      <c r="Q674" s="1" t="str">
        <f>IF(OR($B674="",Q$7=""),"",IF($B674="MEANS",INDEX('1-DATA'!$1:$1048576,$A673-1,COLUMN('1-DATA'!P672)),ROUND(INDEX('1-DATA'!$1:$1048576,IF(OR($B674="STD. DEVIATION",$C$1=1),$A674,$A674+1),COLUMN('1-DATA'!P672)),IF($B674="STD. DEVIATION",2,$F$1))))</f>
        <v/>
      </c>
      <c r="R674" s="1" t="str">
        <f>IF(OR($B674="",R$7=""),"",IF($B674="MEANS",INDEX('1-DATA'!$1:$1048576,$A673-1,COLUMN('1-DATA'!Q672)),ROUND(INDEX('1-DATA'!$1:$1048576,IF(OR($B674="STD. DEVIATION",$C$1=1),$A674,$A674+1),COLUMN('1-DATA'!Q672)),IF($B674="STD. DEVIATION",2,$F$1))))</f>
        <v/>
      </c>
      <c r="S674" s="1" t="str">
        <f>IF(OR($B674="",S$7=""),"",IF($B674="MEANS",INDEX('1-DATA'!$1:$1048576,$A673-1,COLUMN('1-DATA'!R672)),ROUND(INDEX('1-DATA'!$1:$1048576,IF(OR($B674="STD. DEVIATION",$C$1=1),$A674,$A674+1),COLUMN('1-DATA'!R672)),IF($B674="STD. DEVIATION",2,$F$1))))</f>
        <v/>
      </c>
      <c r="T674" s="1" t="str">
        <f>IF(OR($B674="",T$7=""),"",IF($B674="MEANS",INDEX('1-DATA'!$1:$1048576,$A673-1,COLUMN('1-DATA'!S672)),ROUND(INDEX('1-DATA'!$1:$1048576,IF(OR($B674="STD. DEVIATION",$C$1=1),$A674,$A674+1),COLUMN('1-DATA'!S672)),IF($B674="STD. DEVIATION",2,$F$1))))</f>
        <v/>
      </c>
      <c r="U674" s="1" t="str">
        <f>IF(OR($B674="",U$7=""),"",IF($B674="MEANS",INDEX('1-DATA'!$1:$1048576,$A673-1,COLUMN('1-DATA'!T672)),ROUND(INDEX('1-DATA'!$1:$1048576,IF(OR($B674="STD. DEVIATION",$C$1=1),$A674,$A674+1),COLUMN('1-DATA'!T672)),IF($B674="STD. DEVIATION",2,$F$1))))</f>
        <v/>
      </c>
      <c r="V674" s="1" t="str">
        <f>IF(OR($B674="",V$7=""),"",IF($B674="MEANS",INDEX('1-DATA'!$1:$1048576,$A673-1,COLUMN('1-DATA'!U672)),ROUND(INDEX('1-DATA'!$1:$1048576,IF(OR($B674="STD. DEVIATION",$C$1=1),$A674,$A674+1),COLUMN('1-DATA'!U672)),IF($B674="STD. DEVIATION",2,$F$1))))</f>
        <v/>
      </c>
      <c r="W674" s="1" t="str">
        <f>IF(OR($B674="",W$7=""),"",IF($B674="MEANS",INDEX('1-DATA'!$1:$1048576,$A673-1,COLUMN('1-DATA'!V672)),ROUND(INDEX('1-DATA'!$1:$1048576,IF(OR($B674="STD. DEVIATION",$C$1=1),$A674,$A674+1),COLUMN('1-DATA'!V672)),IF($B674="STD. DEVIATION",2,$F$1))))</f>
        <v/>
      </c>
      <c r="X674" s="1" t="str">
        <f>IF(OR($B674="",X$7=""),"",IF($B674="MEANS",INDEX('1-DATA'!$1:$1048576,$A673-1,COLUMN('1-DATA'!W672)),ROUND(INDEX('1-DATA'!$1:$1048576,IF(OR($B674="STD. DEVIATION",$C$1=1),$A674,$A674+1),COLUMN('1-DATA'!W672)),IF($B674="STD. DEVIATION",2,$F$1))))</f>
        <v/>
      </c>
      <c r="Y674" s="1" t="str">
        <f>IF(OR($B674="",Y$7=""),"",IF($B674="MEANS",INDEX('1-DATA'!$1:$1048576,$A673-1,COLUMN('1-DATA'!X672)),ROUND(INDEX('1-DATA'!$1:$1048576,IF(OR($B674="STD. DEVIATION",$C$1=1),$A674,$A674+1),COLUMN('1-DATA'!X672)),IF($B674="STD. DEVIATION",2,$F$1))))</f>
        <v/>
      </c>
      <c r="Z674" s="1" t="str">
        <f>IF(OR($B674="",Z$7=""),"",IF($B674="MEANS",INDEX('1-DATA'!$1:$1048576,$A673-1,COLUMN('1-DATA'!Y672)),ROUND(INDEX('1-DATA'!$1:$1048576,IF(OR($B674="STD. DEVIATION",$C$1=1),$A674,$A674+1),COLUMN('1-DATA'!Y672)),IF($B674="STD. DEVIATION",2,$F$1))))</f>
        <v/>
      </c>
      <c r="AA674" s="1" t="str">
        <f>IF(OR($B674="",AA$7=""),"",IF($B674="MEANS",INDEX('1-DATA'!$1:$1048576,$A673-1,COLUMN('1-DATA'!Z672)),ROUND(INDEX('1-DATA'!$1:$1048576,IF(OR($B674="STD. DEVIATION",$C$1=1),$A674,$A674+1),COLUMN('1-DATA'!Z672)),IF($B674="STD. DEVIATION",2,$F$1))))</f>
        <v/>
      </c>
      <c r="AB674" s="1" t="str">
        <f>IF(OR($B674="",AB$7=""),"",IF($B674="MEANS",INDEX('1-DATA'!$1:$1048576,$A673-1,COLUMN('1-DATA'!AA672)),ROUND(INDEX('1-DATA'!$1:$1048576,IF(OR($B674="STD. DEVIATION",$C$1=1),$A674,$A674+1),COLUMN('1-DATA'!AA672)),IF($B674="STD. DEVIATION",2,$F$1))))</f>
        <v/>
      </c>
      <c r="AC674" s="1" t="str">
        <f>IF(OR($B674="",AC$7=""),"",IF($B674="MEANS",INDEX('1-DATA'!$1:$1048576,$A673-1,COLUMN('1-DATA'!AB672)),ROUND(INDEX('1-DATA'!$1:$1048576,IF(OR($B674="STD. DEVIATION",$C$1=1),$A674,$A674+1),COLUMN('1-DATA'!AB672)),IF($B674="STD. DEVIATION",2,$F$1))))</f>
        <v/>
      </c>
      <c r="AD674" s="1" t="str">
        <f>IF(OR($B674="",AD$7=""),"",IF($B674="MEANS",INDEX('1-DATA'!$1:$1048576,$A673-1,COLUMN('1-DATA'!AC672)),ROUND(INDEX('1-DATA'!$1:$1048576,IF(OR($B674="STD. DEVIATION",$C$1=1),$A674,$A674+1),COLUMN('1-DATA'!AC672)),IF($B674="STD. DEVIATION",2,$F$1))))</f>
        <v/>
      </c>
      <c r="AE674" s="1" t="str">
        <f>IF(OR($B674="",AE$7=""),"",IF($B674="MEANS",INDEX('1-DATA'!$1:$1048576,$A673-1,COLUMN('1-DATA'!AD672)),ROUND(INDEX('1-DATA'!$1:$1048576,IF(OR($B674="STD. DEVIATION",$C$1=1),$A674,$A674+1),COLUMN('1-DATA'!AD672)),IF($B674="STD. DEVIATION",2,$F$1))))</f>
        <v/>
      </c>
      <c r="AF674" s="1" t="str">
        <f>IF(OR($B674="",AF$7=""),"",IF($B674="MEANS",INDEX('1-DATA'!$1:$1048576,$A673-1,COLUMN('1-DATA'!AE672)),ROUND(INDEX('1-DATA'!$1:$1048576,IF(OR($B674="STD. DEVIATION",$C$1=1),$A674,$A674+1),COLUMN('1-DATA'!AE672)),IF($B674="STD. DEVIATION",2,$F$1))))</f>
        <v/>
      </c>
      <c r="AG674" s="1" t="str">
        <f>IF(OR($B674="",AG$7=""),"",IF($B674="MEANS",INDEX('1-DATA'!$1:$1048576,$A673-1,COLUMN('1-DATA'!AF672)),ROUND(INDEX('1-DATA'!$1:$1048576,IF(OR($B674="STD. DEVIATION",$C$1=1),$A674,$A674+1),COLUMN('1-DATA'!AF672)),IF($B674="STD. DEVIATION",2,$F$1))))</f>
        <v/>
      </c>
      <c r="AH674" s="1" t="str">
        <f>IF(OR($B674="",AH$7=""),"",IF($B674="MEANS",INDEX('1-DATA'!$1:$1048576,$A673-1,COLUMN('1-DATA'!AG672)),ROUND(INDEX('1-DATA'!$1:$1048576,IF(OR($B674="STD. DEVIATION",$C$1=1),$A674,$A674+1),COLUMN('1-DATA'!AG672)),IF($B674="STD. DEVIATION",2,$F$1))))</f>
        <v/>
      </c>
      <c r="AI674" s="1" t="str">
        <f>IF(OR($B674="",AI$7=""),"",IF($B674="MEANS",INDEX('1-DATA'!$1:$1048576,$A673-1,COLUMN('1-DATA'!AH672)),ROUND(INDEX('1-DATA'!$1:$1048576,IF(OR($B674="STD. DEVIATION",$C$1=1),$A674,$A674+1),COLUMN('1-DATA'!AH672)),IF($B674="STD. DEVIATION",2,$F$1))))</f>
        <v/>
      </c>
      <c r="AJ674" s="1" t="str">
        <f>IF(OR($B674="",AJ$7=""),"",IF($B674="MEANS",INDEX('1-DATA'!$1:$1048576,$A673-1,COLUMN('1-DATA'!AI672)),ROUND(INDEX('1-DATA'!$1:$1048576,IF(OR($B674="STD. DEVIATION",$C$1=1),$A674,$A674+1),COLUMN('1-DATA'!AI672)),IF($B674="STD. DEVIATION",2,$F$1))))</f>
        <v/>
      </c>
      <c r="AK674" s="1" t="str">
        <f>IF(OR($B674="",AK$7=""),"",IF($B674="MEANS",INDEX('1-DATA'!$1:$1048576,$A673-1,COLUMN('1-DATA'!AJ672)),ROUND(INDEX('1-DATA'!$1:$1048576,IF(OR($B674="STD. DEVIATION",$C$1=1),$A674,$A674+1),COLUMN('1-DATA'!AJ672)),IF($B674="STD. DEVIATION",2,$F$1))))</f>
        <v/>
      </c>
      <c r="AL674" s="1" t="str">
        <f>IF(OR($B674="",AL$7=""),"",IF($B674="MEANS",INDEX('1-DATA'!$1:$1048576,$A673-1,COLUMN('1-DATA'!AK672)),ROUND(INDEX('1-DATA'!$1:$1048576,IF(OR($B674="STD. DEVIATION",$C$1=1),$A674,$A674+1),COLUMN('1-DATA'!AK672)),IF($B674="STD. DEVIATION",2,$F$1))))</f>
        <v/>
      </c>
      <c r="AM674" s="1" t="str">
        <f>IF(OR($B674="",AM$7=""),"",IF($B674="MEANS",INDEX('1-DATA'!$1:$1048576,$A673-1,COLUMN('1-DATA'!AL672)),ROUND(INDEX('1-DATA'!$1:$1048576,IF(OR($B674="STD. DEVIATION",$C$1=1),$A674,$A674+1),COLUMN('1-DATA'!AL672)),IF($B674="STD. DEVIATION",2,$F$1))))</f>
        <v/>
      </c>
      <c r="AN674" s="1" t="str">
        <f>IF(OR($B674="",AN$7=""),"",IF($B674="MEANS",INDEX('1-DATA'!$1:$1048576,$A673-1,COLUMN('1-DATA'!AM672)),ROUND(INDEX('1-DATA'!$1:$1048576,IF(OR($B674="STD. DEVIATION",$C$1=1),$A674,$A674+1),COLUMN('1-DATA'!AM672)),IF($B674="STD. DEVIATION",2,$F$1))))</f>
        <v/>
      </c>
      <c r="AO674" s="1" t="str">
        <f>IF(OR($B674="",AO$7=""),"",IF($B674="MEANS",INDEX('1-DATA'!$1:$1048576,$A673-1,COLUMN('1-DATA'!AN672)),ROUND(INDEX('1-DATA'!$1:$1048576,IF(OR($B674="STD. DEVIATION",$C$1=1),$A674,$A674+1),COLUMN('1-DATA'!AN672)),IF($B674="STD. DEVIATION",2,$F$1))))</f>
        <v/>
      </c>
      <c r="AP674" s="1" t="str">
        <f>IF(OR($B674="",AP$7=""),"",IF($B674="MEANS",INDEX('1-DATA'!$1:$1048576,$A673-1,COLUMN('1-DATA'!AO672)),ROUND(INDEX('1-DATA'!$1:$1048576,IF(OR($B674="STD. DEVIATION",$C$1=1),$A674,$A674+1),COLUMN('1-DATA'!AO672)),IF($B674="STD. DEVIATION",2,$F$1))))</f>
        <v/>
      </c>
      <c r="AQ674" s="1" t="str">
        <f>IF(OR($B674="",AQ$7=""),"",IF($B674="MEANS",INDEX('1-DATA'!$1:$1048576,$A673-1,COLUMN('1-DATA'!AP672)),ROUND(INDEX('1-DATA'!$1:$1048576,IF(OR($B674="STD. DEVIATION",$C$1=1),$A674,$A674+1),COLUMN('1-DATA'!AP672)),IF($B674="STD. DEVIATION",2,$F$1))))</f>
        <v/>
      </c>
      <c r="AR674" s="1" t="str">
        <f>IF(OR($B674="",AR$7=""),"",IF($B674="MEANS",INDEX('1-DATA'!$1:$1048576,$A673-1,COLUMN('1-DATA'!AQ672)),ROUND(INDEX('1-DATA'!$1:$1048576,IF(OR($B674="STD. DEVIATION",$C$1=1),$A674,$A674+1),COLUMN('1-DATA'!AQ672)),IF($B674="STD. DEVIATION",2,$F$1))))</f>
        <v/>
      </c>
      <c r="AS674" s="1" t="str">
        <f>IF(OR($B674="",AS$7=""),"",IF($B674="MEANS",INDEX('1-DATA'!$1:$1048576,$A673-1,COLUMN('1-DATA'!AR672)),ROUND(INDEX('1-DATA'!$1:$1048576,IF(OR($B674="STD. DEVIATION",$C$1=1),$A674,$A674+1),COLUMN('1-DATA'!AR672)),IF($B674="STD. DEVIATION",2,$F$1))))</f>
        <v/>
      </c>
      <c r="AT674" s="1" t="str">
        <f>IF(OR($B674="",AT$7=""),"",IF($B674="MEANS",INDEX('1-DATA'!$1:$1048576,$A673-1,COLUMN('1-DATA'!AS672)),ROUND(INDEX('1-DATA'!$1:$1048576,IF(OR($B674="STD. DEVIATION",$C$1=1),$A674,$A674+1),COLUMN('1-DATA'!AS672)),IF($B674="STD. DEVIATION",2,$F$1))))</f>
        <v/>
      </c>
      <c r="AU674" s="1" t="str">
        <f>IF(OR($B674="",AU$7=""),"",IF($B674="MEANS",INDEX('1-DATA'!$1:$1048576,$A673-1,COLUMN('1-DATA'!AT672)),ROUND(INDEX('1-DATA'!$1:$1048576,IF(OR($B674="STD. DEVIATION",$C$1=1),$A674,$A674+1),COLUMN('1-DATA'!AT672)),IF($B674="STD. DEVIATION",2,$F$1))))</f>
        <v/>
      </c>
      <c r="AV674" s="1" t="str">
        <f>IF(OR($B674="",AV$7=""),"",IF($B674="MEANS",INDEX('1-DATA'!$1:$1048576,$A673-1,COLUMN('1-DATA'!AU672)),ROUND(INDEX('1-DATA'!$1:$1048576,IF(OR($B674="STD. DEVIATION",$C$1=1),$A674,$A674+1),COLUMN('1-DATA'!AU672)),IF($B674="STD. DEVIATION",2,$F$1))))</f>
        <v/>
      </c>
      <c r="AW674" s="1" t="str">
        <f>IF(OR($B674="",AW$7=""),"",IF($B674="MEANS",INDEX('1-DATA'!$1:$1048576,$A673-1,COLUMN('1-DATA'!AV672)),ROUND(INDEX('1-DATA'!$1:$1048576,IF(OR($B674="STD. DEVIATION",$C$1=1),$A674,$A674+1),COLUMN('1-DATA'!AV672)),IF($B674="STD. DEVIATION",2,$F$1))))</f>
        <v/>
      </c>
      <c r="AX674" s="1" t="str">
        <f>IF(OR($B674="",AX$7=""),"",IF($B674="MEANS",INDEX('1-DATA'!$1:$1048576,$A673-1,COLUMN('1-DATA'!AW672)),ROUND(INDEX('1-DATA'!$1:$1048576,IF(OR($B674="STD. DEVIATION",$C$1=1),$A674,$A674+1),COLUMN('1-DATA'!AW672)),IF($B674="STD. DEVIATION",2,$F$1))))</f>
        <v/>
      </c>
      <c r="AY674" s="1" t="str">
        <f>IF(OR($B674="",AY$7=""),"",IF($B674="MEANS",INDEX('1-DATA'!$1:$1048576,$A673-1,COLUMN('1-DATA'!AX672)),ROUND(INDEX('1-DATA'!$1:$1048576,IF(OR($B674="STD. DEVIATION",$C$1=1),$A674,$A674+1),COLUMN('1-DATA'!AX672)),IF($B674="STD. DEVIATION",2,$F$1))))</f>
        <v/>
      </c>
      <c r="AZ674" s="1" t="str">
        <f>IF(OR($B674="",AZ$7=""),"",IF($B674="MEANS",INDEX('1-DATA'!$1:$1048576,$A673-1,COLUMN('1-DATA'!AY672)),ROUND(INDEX('1-DATA'!$1:$1048576,IF(OR($B674="STD. DEVIATION",$C$1=1),$A674,$A674+1),COLUMN('1-DATA'!AY672)),IF($B674="STD. DEVIATION",2,$F$1))))</f>
        <v/>
      </c>
    </row>
    <row r="675" spans="1:52" x14ac:dyDescent="0.25">
      <c r="A675" s="11">
        <f t="shared" si="11"/>
        <v>2011</v>
      </c>
      <c r="B675" s="1" t="str">
        <f>IF(B674="STD. DEVIATION",INDEX('1-DATA'!$1:$1048576,$A674-1,1),IF(INDEX('1-DATA'!$1:$1048576,$A675,1)&lt;&gt;"",INDEX('1-DATA'!$1:$1048576,$A675,1),""))</f>
        <v/>
      </c>
      <c r="C675" s="1" t="str">
        <f>IF(OR($B675="",C$7=""),"",IF($B675="MEANS",INDEX('1-DATA'!$1:$1048576,$A674-1,COLUMN('1-DATA'!B673)),ROUND(INDEX('1-DATA'!$1:$1048576,IF(OR($B675="STD. DEVIATION",$C$1=1),$A675,$A675+1),COLUMN('1-DATA'!B673)),IF($B675="STD. DEVIATION",2,$F$1))))</f>
        <v/>
      </c>
      <c r="D675" s="1" t="str">
        <f>IF(OR($B675="",D$7=""),"",IF($B675="MEANS",INDEX('1-DATA'!$1:$1048576,$A674-1,COLUMN('1-DATA'!C673)),ROUND(INDEX('1-DATA'!$1:$1048576,IF(OR($B675="STD. DEVIATION",$C$1=1),$A675,$A675+1),COLUMN('1-DATA'!C673)),IF($B675="STD. DEVIATION",2,$F$1))))</f>
        <v/>
      </c>
      <c r="E675" s="1" t="str">
        <f>IF(OR($B675="",E$7=""),"",IF($B675="MEANS",INDEX('1-DATA'!$1:$1048576,$A674-1,COLUMN('1-DATA'!D673)),ROUND(INDEX('1-DATA'!$1:$1048576,IF(OR($B675="STD. DEVIATION",$C$1=1),$A675,$A675+1),COLUMN('1-DATA'!D673)),IF($B675="STD. DEVIATION",2,$F$1))))</f>
        <v/>
      </c>
      <c r="F675" s="1" t="str">
        <f>IF(OR($B675="",F$7=""),"",IF($B675="MEANS",INDEX('1-DATA'!$1:$1048576,$A674-1,COLUMN('1-DATA'!E673)),ROUND(INDEX('1-DATA'!$1:$1048576,IF(OR($B675="STD. DEVIATION",$C$1=1),$A675,$A675+1),COLUMN('1-DATA'!E673)),IF($B675="STD. DEVIATION",2,$F$1))))</f>
        <v/>
      </c>
      <c r="G675" s="1" t="str">
        <f>IF(OR($B675="",G$7=""),"",IF($B675="MEANS",INDEX('1-DATA'!$1:$1048576,$A674-1,COLUMN('1-DATA'!F673)),ROUND(INDEX('1-DATA'!$1:$1048576,IF(OR($B675="STD. DEVIATION",$C$1=1),$A675,$A675+1),COLUMN('1-DATA'!F673)),IF($B675="STD. DEVIATION",2,$F$1))))</f>
        <v/>
      </c>
      <c r="H675" s="1" t="str">
        <f>IF(OR($B675="",H$7=""),"",IF($B675="MEANS",INDEX('1-DATA'!$1:$1048576,$A674-1,COLUMN('1-DATA'!G673)),ROUND(INDEX('1-DATA'!$1:$1048576,IF(OR($B675="STD. DEVIATION",$C$1=1),$A675,$A675+1),COLUMN('1-DATA'!G673)),IF($B675="STD. DEVIATION",2,$F$1))))</f>
        <v/>
      </c>
      <c r="I675" s="1" t="str">
        <f>IF(OR($B675="",I$7=""),"",IF($B675="MEANS",INDEX('1-DATA'!$1:$1048576,$A674-1,COLUMN('1-DATA'!H673)),ROUND(INDEX('1-DATA'!$1:$1048576,IF(OR($B675="STD. DEVIATION",$C$1=1),$A675,$A675+1),COLUMN('1-DATA'!H673)),IF($B675="STD. DEVIATION",2,$F$1))))</f>
        <v/>
      </c>
      <c r="J675" s="1" t="str">
        <f>IF(OR($B675="",J$7=""),"",IF($B675="MEANS",INDEX('1-DATA'!$1:$1048576,$A674-1,COLUMN('1-DATA'!I673)),ROUND(INDEX('1-DATA'!$1:$1048576,IF(OR($B675="STD. DEVIATION",$C$1=1),$A675,$A675+1),COLUMN('1-DATA'!I673)),IF($B675="STD. DEVIATION",2,$F$1))))</f>
        <v/>
      </c>
      <c r="K675" s="1" t="str">
        <f>IF(OR($B675="",K$7=""),"",IF($B675="MEANS",INDEX('1-DATA'!$1:$1048576,$A674-1,COLUMN('1-DATA'!J673)),ROUND(INDEX('1-DATA'!$1:$1048576,IF(OR($B675="STD. DEVIATION",$C$1=1),$A675,$A675+1),COLUMN('1-DATA'!J673)),IF($B675="STD. DEVIATION",2,$F$1))))</f>
        <v/>
      </c>
      <c r="L675" s="1" t="str">
        <f>IF(OR($B675="",L$7=""),"",IF($B675="MEANS",INDEX('1-DATA'!$1:$1048576,$A674-1,COLUMN('1-DATA'!K673)),ROUND(INDEX('1-DATA'!$1:$1048576,IF(OR($B675="STD. DEVIATION",$C$1=1),$A675,$A675+1),COLUMN('1-DATA'!K673)),IF($B675="STD. DEVIATION",2,$F$1))))</f>
        <v/>
      </c>
      <c r="M675" s="1" t="str">
        <f>IF(OR($B675="",M$7=""),"",IF($B675="MEANS",INDEX('1-DATA'!$1:$1048576,$A674-1,COLUMN('1-DATA'!L673)),ROUND(INDEX('1-DATA'!$1:$1048576,IF(OR($B675="STD. DEVIATION",$C$1=1),$A675,$A675+1),COLUMN('1-DATA'!L673)),IF($B675="STD. DEVIATION",2,$F$1))))</f>
        <v/>
      </c>
      <c r="N675" s="1" t="str">
        <f>IF(OR($B675="",N$7=""),"",IF($B675="MEANS",INDEX('1-DATA'!$1:$1048576,$A674-1,COLUMN('1-DATA'!M673)),ROUND(INDEX('1-DATA'!$1:$1048576,IF(OR($B675="STD. DEVIATION",$C$1=1),$A675,$A675+1),COLUMN('1-DATA'!M673)),IF($B675="STD. DEVIATION",2,$F$1))))</f>
        <v/>
      </c>
      <c r="O675" s="1" t="str">
        <f>IF(OR($B675="",O$7=""),"",IF($B675="MEANS",INDEX('1-DATA'!$1:$1048576,$A674-1,COLUMN('1-DATA'!N673)),ROUND(INDEX('1-DATA'!$1:$1048576,IF(OR($B675="STD. DEVIATION",$C$1=1),$A675,$A675+1),COLUMN('1-DATA'!N673)),IF($B675="STD. DEVIATION",2,$F$1))))</f>
        <v/>
      </c>
      <c r="P675" s="1" t="str">
        <f>IF(OR($B675="",P$7=""),"",IF($B675="MEANS",INDEX('1-DATA'!$1:$1048576,$A674-1,COLUMN('1-DATA'!O673)),ROUND(INDEX('1-DATA'!$1:$1048576,IF(OR($B675="STD. DEVIATION",$C$1=1),$A675,$A675+1),COLUMN('1-DATA'!O673)),IF($B675="STD. DEVIATION",2,$F$1))))</f>
        <v/>
      </c>
      <c r="Q675" s="1" t="str">
        <f>IF(OR($B675="",Q$7=""),"",IF($B675="MEANS",INDEX('1-DATA'!$1:$1048576,$A674-1,COLUMN('1-DATA'!P673)),ROUND(INDEX('1-DATA'!$1:$1048576,IF(OR($B675="STD. DEVIATION",$C$1=1),$A675,$A675+1),COLUMN('1-DATA'!P673)),IF($B675="STD. DEVIATION",2,$F$1))))</f>
        <v/>
      </c>
      <c r="R675" s="1" t="str">
        <f>IF(OR($B675="",R$7=""),"",IF($B675="MEANS",INDEX('1-DATA'!$1:$1048576,$A674-1,COLUMN('1-DATA'!Q673)),ROUND(INDEX('1-DATA'!$1:$1048576,IF(OR($B675="STD. DEVIATION",$C$1=1),$A675,$A675+1),COLUMN('1-DATA'!Q673)),IF($B675="STD. DEVIATION",2,$F$1))))</f>
        <v/>
      </c>
      <c r="S675" s="1" t="str">
        <f>IF(OR($B675="",S$7=""),"",IF($B675="MEANS",INDEX('1-DATA'!$1:$1048576,$A674-1,COLUMN('1-DATA'!R673)),ROUND(INDEX('1-DATA'!$1:$1048576,IF(OR($B675="STD. DEVIATION",$C$1=1),$A675,$A675+1),COLUMN('1-DATA'!R673)),IF($B675="STD. DEVIATION",2,$F$1))))</f>
        <v/>
      </c>
      <c r="T675" s="1" t="str">
        <f>IF(OR($B675="",T$7=""),"",IF($B675="MEANS",INDEX('1-DATA'!$1:$1048576,$A674-1,COLUMN('1-DATA'!S673)),ROUND(INDEX('1-DATA'!$1:$1048576,IF(OR($B675="STD. DEVIATION",$C$1=1),$A675,$A675+1),COLUMN('1-DATA'!S673)),IF($B675="STD. DEVIATION",2,$F$1))))</f>
        <v/>
      </c>
      <c r="U675" s="1" t="str">
        <f>IF(OR($B675="",U$7=""),"",IF($B675="MEANS",INDEX('1-DATA'!$1:$1048576,$A674-1,COLUMN('1-DATA'!T673)),ROUND(INDEX('1-DATA'!$1:$1048576,IF(OR($B675="STD. DEVIATION",$C$1=1),$A675,$A675+1),COLUMN('1-DATA'!T673)),IF($B675="STD. DEVIATION",2,$F$1))))</f>
        <v/>
      </c>
      <c r="V675" s="1" t="str">
        <f>IF(OR($B675="",V$7=""),"",IF($B675="MEANS",INDEX('1-DATA'!$1:$1048576,$A674-1,COLUMN('1-DATA'!U673)),ROUND(INDEX('1-DATA'!$1:$1048576,IF(OR($B675="STD. DEVIATION",$C$1=1),$A675,$A675+1),COLUMN('1-DATA'!U673)),IF($B675="STD. DEVIATION",2,$F$1))))</f>
        <v/>
      </c>
      <c r="W675" s="1" t="str">
        <f>IF(OR($B675="",W$7=""),"",IF($B675="MEANS",INDEX('1-DATA'!$1:$1048576,$A674-1,COLUMN('1-DATA'!V673)),ROUND(INDEX('1-DATA'!$1:$1048576,IF(OR($B675="STD. DEVIATION",$C$1=1),$A675,$A675+1),COLUMN('1-DATA'!V673)),IF($B675="STD. DEVIATION",2,$F$1))))</f>
        <v/>
      </c>
      <c r="X675" s="1" t="str">
        <f>IF(OR($B675="",X$7=""),"",IF($B675="MEANS",INDEX('1-DATA'!$1:$1048576,$A674-1,COLUMN('1-DATA'!W673)),ROUND(INDEX('1-DATA'!$1:$1048576,IF(OR($B675="STD. DEVIATION",$C$1=1),$A675,$A675+1),COLUMN('1-DATA'!W673)),IF($B675="STD. DEVIATION",2,$F$1))))</f>
        <v/>
      </c>
      <c r="Y675" s="1" t="str">
        <f>IF(OR($B675="",Y$7=""),"",IF($B675="MEANS",INDEX('1-DATA'!$1:$1048576,$A674-1,COLUMN('1-DATA'!X673)),ROUND(INDEX('1-DATA'!$1:$1048576,IF(OR($B675="STD. DEVIATION",$C$1=1),$A675,$A675+1),COLUMN('1-DATA'!X673)),IF($B675="STD. DEVIATION",2,$F$1))))</f>
        <v/>
      </c>
      <c r="Z675" s="1" t="str">
        <f>IF(OR($B675="",Z$7=""),"",IF($B675="MEANS",INDEX('1-DATA'!$1:$1048576,$A674-1,COLUMN('1-DATA'!Y673)),ROUND(INDEX('1-DATA'!$1:$1048576,IF(OR($B675="STD. DEVIATION",$C$1=1),$A675,$A675+1),COLUMN('1-DATA'!Y673)),IF($B675="STD. DEVIATION",2,$F$1))))</f>
        <v/>
      </c>
      <c r="AA675" s="1" t="str">
        <f>IF(OR($B675="",AA$7=""),"",IF($B675="MEANS",INDEX('1-DATA'!$1:$1048576,$A674-1,COLUMN('1-DATA'!Z673)),ROUND(INDEX('1-DATA'!$1:$1048576,IF(OR($B675="STD. DEVIATION",$C$1=1),$A675,$A675+1),COLUMN('1-DATA'!Z673)),IF($B675="STD. DEVIATION",2,$F$1))))</f>
        <v/>
      </c>
      <c r="AB675" s="1" t="str">
        <f>IF(OR($B675="",AB$7=""),"",IF($B675="MEANS",INDEX('1-DATA'!$1:$1048576,$A674-1,COLUMN('1-DATA'!AA673)),ROUND(INDEX('1-DATA'!$1:$1048576,IF(OR($B675="STD. DEVIATION",$C$1=1),$A675,$A675+1),COLUMN('1-DATA'!AA673)),IF($B675="STD. DEVIATION",2,$F$1))))</f>
        <v/>
      </c>
      <c r="AC675" s="1" t="str">
        <f>IF(OR($B675="",AC$7=""),"",IF($B675="MEANS",INDEX('1-DATA'!$1:$1048576,$A674-1,COLUMN('1-DATA'!AB673)),ROUND(INDEX('1-DATA'!$1:$1048576,IF(OR($B675="STD. DEVIATION",$C$1=1),$A675,$A675+1),COLUMN('1-DATA'!AB673)),IF($B675="STD. DEVIATION",2,$F$1))))</f>
        <v/>
      </c>
      <c r="AD675" s="1" t="str">
        <f>IF(OR($B675="",AD$7=""),"",IF($B675="MEANS",INDEX('1-DATA'!$1:$1048576,$A674-1,COLUMN('1-DATA'!AC673)),ROUND(INDEX('1-DATA'!$1:$1048576,IF(OR($B675="STD. DEVIATION",$C$1=1),$A675,$A675+1),COLUMN('1-DATA'!AC673)),IF($B675="STD. DEVIATION",2,$F$1))))</f>
        <v/>
      </c>
      <c r="AE675" s="1" t="str">
        <f>IF(OR($B675="",AE$7=""),"",IF($B675="MEANS",INDEX('1-DATA'!$1:$1048576,$A674-1,COLUMN('1-DATA'!AD673)),ROUND(INDEX('1-DATA'!$1:$1048576,IF(OR($B675="STD. DEVIATION",$C$1=1),$A675,$A675+1),COLUMN('1-DATA'!AD673)),IF($B675="STD. DEVIATION",2,$F$1))))</f>
        <v/>
      </c>
      <c r="AF675" s="1" t="str">
        <f>IF(OR($B675="",AF$7=""),"",IF($B675="MEANS",INDEX('1-DATA'!$1:$1048576,$A674-1,COLUMN('1-DATA'!AE673)),ROUND(INDEX('1-DATA'!$1:$1048576,IF(OR($B675="STD. DEVIATION",$C$1=1),$A675,$A675+1),COLUMN('1-DATA'!AE673)),IF($B675="STD. DEVIATION",2,$F$1))))</f>
        <v/>
      </c>
      <c r="AG675" s="1" t="str">
        <f>IF(OR($B675="",AG$7=""),"",IF($B675="MEANS",INDEX('1-DATA'!$1:$1048576,$A674-1,COLUMN('1-DATA'!AF673)),ROUND(INDEX('1-DATA'!$1:$1048576,IF(OR($B675="STD. DEVIATION",$C$1=1),$A675,$A675+1),COLUMN('1-DATA'!AF673)),IF($B675="STD. DEVIATION",2,$F$1))))</f>
        <v/>
      </c>
      <c r="AH675" s="1" t="str">
        <f>IF(OR($B675="",AH$7=""),"",IF($B675="MEANS",INDEX('1-DATA'!$1:$1048576,$A674-1,COLUMN('1-DATA'!AG673)),ROUND(INDEX('1-DATA'!$1:$1048576,IF(OR($B675="STD. DEVIATION",$C$1=1),$A675,$A675+1),COLUMN('1-DATA'!AG673)),IF($B675="STD. DEVIATION",2,$F$1))))</f>
        <v/>
      </c>
      <c r="AI675" s="1" t="str">
        <f>IF(OR($B675="",AI$7=""),"",IF($B675="MEANS",INDEX('1-DATA'!$1:$1048576,$A674-1,COLUMN('1-DATA'!AH673)),ROUND(INDEX('1-DATA'!$1:$1048576,IF(OR($B675="STD. DEVIATION",$C$1=1),$A675,$A675+1),COLUMN('1-DATA'!AH673)),IF($B675="STD. DEVIATION",2,$F$1))))</f>
        <v/>
      </c>
      <c r="AJ675" s="1" t="str">
        <f>IF(OR($B675="",AJ$7=""),"",IF($B675="MEANS",INDEX('1-DATA'!$1:$1048576,$A674-1,COLUMN('1-DATA'!AI673)),ROUND(INDEX('1-DATA'!$1:$1048576,IF(OR($B675="STD. DEVIATION",$C$1=1),$A675,$A675+1),COLUMN('1-DATA'!AI673)),IF($B675="STD. DEVIATION",2,$F$1))))</f>
        <v/>
      </c>
      <c r="AK675" s="1" t="str">
        <f>IF(OR($B675="",AK$7=""),"",IF($B675="MEANS",INDEX('1-DATA'!$1:$1048576,$A674-1,COLUMN('1-DATA'!AJ673)),ROUND(INDEX('1-DATA'!$1:$1048576,IF(OR($B675="STD. DEVIATION",$C$1=1),$A675,$A675+1),COLUMN('1-DATA'!AJ673)),IF($B675="STD. DEVIATION",2,$F$1))))</f>
        <v/>
      </c>
      <c r="AL675" s="1" t="str">
        <f>IF(OR($B675="",AL$7=""),"",IF($B675="MEANS",INDEX('1-DATA'!$1:$1048576,$A674-1,COLUMN('1-DATA'!AK673)),ROUND(INDEX('1-DATA'!$1:$1048576,IF(OR($B675="STD. DEVIATION",$C$1=1),$A675,$A675+1),COLUMN('1-DATA'!AK673)),IF($B675="STD. DEVIATION",2,$F$1))))</f>
        <v/>
      </c>
      <c r="AM675" s="1" t="str">
        <f>IF(OR($B675="",AM$7=""),"",IF($B675="MEANS",INDEX('1-DATA'!$1:$1048576,$A674-1,COLUMN('1-DATA'!AL673)),ROUND(INDEX('1-DATA'!$1:$1048576,IF(OR($B675="STD. DEVIATION",$C$1=1),$A675,$A675+1),COLUMN('1-DATA'!AL673)),IF($B675="STD. DEVIATION",2,$F$1))))</f>
        <v/>
      </c>
      <c r="AN675" s="1" t="str">
        <f>IF(OR($B675="",AN$7=""),"",IF($B675="MEANS",INDEX('1-DATA'!$1:$1048576,$A674-1,COLUMN('1-DATA'!AM673)),ROUND(INDEX('1-DATA'!$1:$1048576,IF(OR($B675="STD. DEVIATION",$C$1=1),$A675,$A675+1),COLUMN('1-DATA'!AM673)),IF($B675="STD. DEVIATION",2,$F$1))))</f>
        <v/>
      </c>
      <c r="AO675" s="1" t="str">
        <f>IF(OR($B675="",AO$7=""),"",IF($B675="MEANS",INDEX('1-DATA'!$1:$1048576,$A674-1,COLUMN('1-DATA'!AN673)),ROUND(INDEX('1-DATA'!$1:$1048576,IF(OR($B675="STD. DEVIATION",$C$1=1),$A675,$A675+1),COLUMN('1-DATA'!AN673)),IF($B675="STD. DEVIATION",2,$F$1))))</f>
        <v/>
      </c>
      <c r="AP675" s="1" t="str">
        <f>IF(OR($B675="",AP$7=""),"",IF($B675="MEANS",INDEX('1-DATA'!$1:$1048576,$A674-1,COLUMN('1-DATA'!AO673)),ROUND(INDEX('1-DATA'!$1:$1048576,IF(OR($B675="STD. DEVIATION",$C$1=1),$A675,$A675+1),COLUMN('1-DATA'!AO673)),IF($B675="STD. DEVIATION",2,$F$1))))</f>
        <v/>
      </c>
      <c r="AQ675" s="1" t="str">
        <f>IF(OR($B675="",AQ$7=""),"",IF($B675="MEANS",INDEX('1-DATA'!$1:$1048576,$A674-1,COLUMN('1-DATA'!AP673)),ROUND(INDEX('1-DATA'!$1:$1048576,IF(OR($B675="STD. DEVIATION",$C$1=1),$A675,$A675+1),COLUMN('1-DATA'!AP673)),IF($B675="STD. DEVIATION",2,$F$1))))</f>
        <v/>
      </c>
      <c r="AR675" s="1" t="str">
        <f>IF(OR($B675="",AR$7=""),"",IF($B675="MEANS",INDEX('1-DATA'!$1:$1048576,$A674-1,COLUMN('1-DATA'!AQ673)),ROUND(INDEX('1-DATA'!$1:$1048576,IF(OR($B675="STD. DEVIATION",$C$1=1),$A675,$A675+1),COLUMN('1-DATA'!AQ673)),IF($B675="STD. DEVIATION",2,$F$1))))</f>
        <v/>
      </c>
      <c r="AS675" s="1" t="str">
        <f>IF(OR($B675="",AS$7=""),"",IF($B675="MEANS",INDEX('1-DATA'!$1:$1048576,$A674-1,COLUMN('1-DATA'!AR673)),ROUND(INDEX('1-DATA'!$1:$1048576,IF(OR($B675="STD. DEVIATION",$C$1=1),$A675,$A675+1),COLUMN('1-DATA'!AR673)),IF($B675="STD. DEVIATION",2,$F$1))))</f>
        <v/>
      </c>
      <c r="AT675" s="1" t="str">
        <f>IF(OR($B675="",AT$7=""),"",IF($B675="MEANS",INDEX('1-DATA'!$1:$1048576,$A674-1,COLUMN('1-DATA'!AS673)),ROUND(INDEX('1-DATA'!$1:$1048576,IF(OR($B675="STD. DEVIATION",$C$1=1),$A675,$A675+1),COLUMN('1-DATA'!AS673)),IF($B675="STD. DEVIATION",2,$F$1))))</f>
        <v/>
      </c>
      <c r="AU675" s="1" t="str">
        <f>IF(OR($B675="",AU$7=""),"",IF($B675="MEANS",INDEX('1-DATA'!$1:$1048576,$A674-1,COLUMN('1-DATA'!AT673)),ROUND(INDEX('1-DATA'!$1:$1048576,IF(OR($B675="STD. DEVIATION",$C$1=1),$A675,$A675+1),COLUMN('1-DATA'!AT673)),IF($B675="STD. DEVIATION",2,$F$1))))</f>
        <v/>
      </c>
      <c r="AV675" s="1" t="str">
        <f>IF(OR($B675="",AV$7=""),"",IF($B675="MEANS",INDEX('1-DATA'!$1:$1048576,$A674-1,COLUMN('1-DATA'!AU673)),ROUND(INDEX('1-DATA'!$1:$1048576,IF(OR($B675="STD. DEVIATION",$C$1=1),$A675,$A675+1),COLUMN('1-DATA'!AU673)),IF($B675="STD. DEVIATION",2,$F$1))))</f>
        <v/>
      </c>
      <c r="AW675" s="1" t="str">
        <f>IF(OR($B675="",AW$7=""),"",IF($B675="MEANS",INDEX('1-DATA'!$1:$1048576,$A674-1,COLUMN('1-DATA'!AV673)),ROUND(INDEX('1-DATA'!$1:$1048576,IF(OR($B675="STD. DEVIATION",$C$1=1),$A675,$A675+1),COLUMN('1-DATA'!AV673)),IF($B675="STD. DEVIATION",2,$F$1))))</f>
        <v/>
      </c>
      <c r="AX675" s="1" t="str">
        <f>IF(OR($B675="",AX$7=""),"",IF($B675="MEANS",INDEX('1-DATA'!$1:$1048576,$A674-1,COLUMN('1-DATA'!AW673)),ROUND(INDEX('1-DATA'!$1:$1048576,IF(OR($B675="STD. DEVIATION",$C$1=1),$A675,$A675+1),COLUMN('1-DATA'!AW673)),IF($B675="STD. DEVIATION",2,$F$1))))</f>
        <v/>
      </c>
      <c r="AY675" s="1" t="str">
        <f>IF(OR($B675="",AY$7=""),"",IF($B675="MEANS",INDEX('1-DATA'!$1:$1048576,$A674-1,COLUMN('1-DATA'!AX673)),ROUND(INDEX('1-DATA'!$1:$1048576,IF(OR($B675="STD. DEVIATION",$C$1=1),$A675,$A675+1),COLUMN('1-DATA'!AX673)),IF($B675="STD. DEVIATION",2,$F$1))))</f>
        <v/>
      </c>
      <c r="AZ675" s="1" t="str">
        <f>IF(OR($B675="",AZ$7=""),"",IF($B675="MEANS",INDEX('1-DATA'!$1:$1048576,$A674-1,COLUMN('1-DATA'!AY673)),ROUND(INDEX('1-DATA'!$1:$1048576,IF(OR($B675="STD. DEVIATION",$C$1=1),$A675,$A675+1),COLUMN('1-DATA'!AY673)),IF($B675="STD. DEVIATION",2,$F$1))))</f>
        <v/>
      </c>
    </row>
    <row r="676" spans="1:52" x14ac:dyDescent="0.25">
      <c r="A676" s="11">
        <f t="shared" si="11"/>
        <v>2014</v>
      </c>
      <c r="B676" s="1" t="str">
        <f>IF(B675="STD. DEVIATION",INDEX('1-DATA'!$1:$1048576,$A675-1,1),IF(INDEX('1-DATA'!$1:$1048576,$A676,1)&lt;&gt;"",INDEX('1-DATA'!$1:$1048576,$A676,1),""))</f>
        <v/>
      </c>
      <c r="C676" s="1" t="str">
        <f>IF(OR($B676="",C$7=""),"",IF($B676="MEANS",INDEX('1-DATA'!$1:$1048576,$A675-1,COLUMN('1-DATA'!B674)),ROUND(INDEX('1-DATA'!$1:$1048576,IF(OR($B676="STD. DEVIATION",$C$1=1),$A676,$A676+1),COLUMN('1-DATA'!B674)),IF($B676="STD. DEVIATION",2,$F$1))))</f>
        <v/>
      </c>
      <c r="D676" s="1" t="str">
        <f>IF(OR($B676="",D$7=""),"",IF($B676="MEANS",INDEX('1-DATA'!$1:$1048576,$A675-1,COLUMN('1-DATA'!C674)),ROUND(INDEX('1-DATA'!$1:$1048576,IF(OR($B676="STD. DEVIATION",$C$1=1),$A676,$A676+1),COLUMN('1-DATA'!C674)),IF($B676="STD. DEVIATION",2,$F$1))))</f>
        <v/>
      </c>
      <c r="E676" s="1" t="str">
        <f>IF(OR($B676="",E$7=""),"",IF($B676="MEANS",INDEX('1-DATA'!$1:$1048576,$A675-1,COLUMN('1-DATA'!D674)),ROUND(INDEX('1-DATA'!$1:$1048576,IF(OR($B676="STD. DEVIATION",$C$1=1),$A676,$A676+1),COLUMN('1-DATA'!D674)),IF($B676="STD. DEVIATION",2,$F$1))))</f>
        <v/>
      </c>
      <c r="F676" s="1" t="str">
        <f>IF(OR($B676="",F$7=""),"",IF($B676="MEANS",INDEX('1-DATA'!$1:$1048576,$A675-1,COLUMN('1-DATA'!E674)),ROUND(INDEX('1-DATA'!$1:$1048576,IF(OR($B676="STD. DEVIATION",$C$1=1),$A676,$A676+1),COLUMN('1-DATA'!E674)),IF($B676="STD. DEVIATION",2,$F$1))))</f>
        <v/>
      </c>
      <c r="G676" s="1" t="str">
        <f>IF(OR($B676="",G$7=""),"",IF($B676="MEANS",INDEX('1-DATA'!$1:$1048576,$A675-1,COLUMN('1-DATA'!F674)),ROUND(INDEX('1-DATA'!$1:$1048576,IF(OR($B676="STD. DEVIATION",$C$1=1),$A676,$A676+1),COLUMN('1-DATA'!F674)),IF($B676="STD. DEVIATION",2,$F$1))))</f>
        <v/>
      </c>
      <c r="H676" s="1" t="str">
        <f>IF(OR($B676="",H$7=""),"",IF($B676="MEANS",INDEX('1-DATA'!$1:$1048576,$A675-1,COLUMN('1-DATA'!G674)),ROUND(INDEX('1-DATA'!$1:$1048576,IF(OR($B676="STD. DEVIATION",$C$1=1),$A676,$A676+1),COLUMN('1-DATA'!G674)),IF($B676="STD. DEVIATION",2,$F$1))))</f>
        <v/>
      </c>
      <c r="I676" s="1" t="str">
        <f>IF(OR($B676="",I$7=""),"",IF($B676="MEANS",INDEX('1-DATA'!$1:$1048576,$A675-1,COLUMN('1-DATA'!H674)),ROUND(INDEX('1-DATA'!$1:$1048576,IF(OR($B676="STD. DEVIATION",$C$1=1),$A676,$A676+1),COLUMN('1-DATA'!H674)),IF($B676="STD. DEVIATION",2,$F$1))))</f>
        <v/>
      </c>
      <c r="J676" s="1" t="str">
        <f>IF(OR($B676="",J$7=""),"",IF($B676="MEANS",INDEX('1-DATA'!$1:$1048576,$A675-1,COLUMN('1-DATA'!I674)),ROUND(INDEX('1-DATA'!$1:$1048576,IF(OR($B676="STD. DEVIATION",$C$1=1),$A676,$A676+1),COLUMN('1-DATA'!I674)),IF($B676="STD. DEVIATION",2,$F$1))))</f>
        <v/>
      </c>
      <c r="K676" s="1" t="str">
        <f>IF(OR($B676="",K$7=""),"",IF($B676="MEANS",INDEX('1-DATA'!$1:$1048576,$A675-1,COLUMN('1-DATA'!J674)),ROUND(INDEX('1-DATA'!$1:$1048576,IF(OR($B676="STD. DEVIATION",$C$1=1),$A676,$A676+1),COLUMN('1-DATA'!J674)),IF($B676="STD. DEVIATION",2,$F$1))))</f>
        <v/>
      </c>
      <c r="L676" s="1" t="str">
        <f>IF(OR($B676="",L$7=""),"",IF($B676="MEANS",INDEX('1-DATA'!$1:$1048576,$A675-1,COLUMN('1-DATA'!K674)),ROUND(INDEX('1-DATA'!$1:$1048576,IF(OR($B676="STD. DEVIATION",$C$1=1),$A676,$A676+1),COLUMN('1-DATA'!K674)),IF($B676="STD. DEVIATION",2,$F$1))))</f>
        <v/>
      </c>
      <c r="M676" s="1" t="str">
        <f>IF(OR($B676="",M$7=""),"",IF($B676="MEANS",INDEX('1-DATA'!$1:$1048576,$A675-1,COLUMN('1-DATA'!L674)),ROUND(INDEX('1-DATA'!$1:$1048576,IF(OR($B676="STD. DEVIATION",$C$1=1),$A676,$A676+1),COLUMN('1-DATA'!L674)),IF($B676="STD. DEVIATION",2,$F$1))))</f>
        <v/>
      </c>
      <c r="N676" s="1" t="str">
        <f>IF(OR($B676="",N$7=""),"",IF($B676="MEANS",INDEX('1-DATA'!$1:$1048576,$A675-1,COLUMN('1-DATA'!M674)),ROUND(INDEX('1-DATA'!$1:$1048576,IF(OR($B676="STD. DEVIATION",$C$1=1),$A676,$A676+1),COLUMN('1-DATA'!M674)),IF($B676="STD. DEVIATION",2,$F$1))))</f>
        <v/>
      </c>
      <c r="O676" s="1" t="str">
        <f>IF(OR($B676="",O$7=""),"",IF($B676="MEANS",INDEX('1-DATA'!$1:$1048576,$A675-1,COLUMN('1-DATA'!N674)),ROUND(INDEX('1-DATA'!$1:$1048576,IF(OR($B676="STD. DEVIATION",$C$1=1),$A676,$A676+1),COLUMN('1-DATA'!N674)),IF($B676="STD. DEVIATION",2,$F$1))))</f>
        <v/>
      </c>
      <c r="P676" s="1" t="str">
        <f>IF(OR($B676="",P$7=""),"",IF($B676="MEANS",INDEX('1-DATA'!$1:$1048576,$A675-1,COLUMN('1-DATA'!O674)),ROUND(INDEX('1-DATA'!$1:$1048576,IF(OR($B676="STD. DEVIATION",$C$1=1),$A676,$A676+1),COLUMN('1-DATA'!O674)),IF($B676="STD. DEVIATION",2,$F$1))))</f>
        <v/>
      </c>
      <c r="Q676" s="1" t="str">
        <f>IF(OR($B676="",Q$7=""),"",IF($B676="MEANS",INDEX('1-DATA'!$1:$1048576,$A675-1,COLUMN('1-DATA'!P674)),ROUND(INDEX('1-DATA'!$1:$1048576,IF(OR($B676="STD. DEVIATION",$C$1=1),$A676,$A676+1),COLUMN('1-DATA'!P674)),IF($B676="STD. DEVIATION",2,$F$1))))</f>
        <v/>
      </c>
      <c r="R676" s="1" t="str">
        <f>IF(OR($B676="",R$7=""),"",IF($B676="MEANS",INDEX('1-DATA'!$1:$1048576,$A675-1,COLUMN('1-DATA'!Q674)),ROUND(INDEX('1-DATA'!$1:$1048576,IF(OR($B676="STD. DEVIATION",$C$1=1),$A676,$A676+1),COLUMN('1-DATA'!Q674)),IF($B676="STD. DEVIATION",2,$F$1))))</f>
        <v/>
      </c>
      <c r="S676" s="1" t="str">
        <f>IF(OR($B676="",S$7=""),"",IF($B676="MEANS",INDEX('1-DATA'!$1:$1048576,$A675-1,COLUMN('1-DATA'!R674)),ROUND(INDEX('1-DATA'!$1:$1048576,IF(OR($B676="STD. DEVIATION",$C$1=1),$A676,$A676+1),COLUMN('1-DATA'!R674)),IF($B676="STD. DEVIATION",2,$F$1))))</f>
        <v/>
      </c>
      <c r="T676" s="1" t="str">
        <f>IF(OR($B676="",T$7=""),"",IF($B676="MEANS",INDEX('1-DATA'!$1:$1048576,$A675-1,COLUMN('1-DATA'!S674)),ROUND(INDEX('1-DATA'!$1:$1048576,IF(OR($B676="STD. DEVIATION",$C$1=1),$A676,$A676+1),COLUMN('1-DATA'!S674)),IF($B676="STD. DEVIATION",2,$F$1))))</f>
        <v/>
      </c>
      <c r="U676" s="1" t="str">
        <f>IF(OR($B676="",U$7=""),"",IF($B676="MEANS",INDEX('1-DATA'!$1:$1048576,$A675-1,COLUMN('1-DATA'!T674)),ROUND(INDEX('1-DATA'!$1:$1048576,IF(OR($B676="STD. DEVIATION",$C$1=1),$A676,$A676+1),COLUMN('1-DATA'!T674)),IF($B676="STD. DEVIATION",2,$F$1))))</f>
        <v/>
      </c>
      <c r="V676" s="1" t="str">
        <f>IF(OR($B676="",V$7=""),"",IF($B676="MEANS",INDEX('1-DATA'!$1:$1048576,$A675-1,COLUMN('1-DATA'!U674)),ROUND(INDEX('1-DATA'!$1:$1048576,IF(OR($B676="STD. DEVIATION",$C$1=1),$A676,$A676+1),COLUMN('1-DATA'!U674)),IF($B676="STD. DEVIATION",2,$F$1))))</f>
        <v/>
      </c>
      <c r="W676" s="1" t="str">
        <f>IF(OR($B676="",W$7=""),"",IF($B676="MEANS",INDEX('1-DATA'!$1:$1048576,$A675-1,COLUMN('1-DATA'!V674)),ROUND(INDEX('1-DATA'!$1:$1048576,IF(OR($B676="STD. DEVIATION",$C$1=1),$A676,$A676+1),COLUMN('1-DATA'!V674)),IF($B676="STD. DEVIATION",2,$F$1))))</f>
        <v/>
      </c>
      <c r="X676" s="1" t="str">
        <f>IF(OR($B676="",X$7=""),"",IF($B676="MEANS",INDEX('1-DATA'!$1:$1048576,$A675-1,COLUMN('1-DATA'!W674)),ROUND(INDEX('1-DATA'!$1:$1048576,IF(OR($B676="STD. DEVIATION",$C$1=1),$A676,$A676+1),COLUMN('1-DATA'!W674)),IF($B676="STD. DEVIATION",2,$F$1))))</f>
        <v/>
      </c>
      <c r="Y676" s="1" t="str">
        <f>IF(OR($B676="",Y$7=""),"",IF($B676="MEANS",INDEX('1-DATA'!$1:$1048576,$A675-1,COLUMN('1-DATA'!X674)),ROUND(INDEX('1-DATA'!$1:$1048576,IF(OR($B676="STD. DEVIATION",$C$1=1),$A676,$A676+1),COLUMN('1-DATA'!X674)),IF($B676="STD. DEVIATION",2,$F$1))))</f>
        <v/>
      </c>
      <c r="Z676" s="1" t="str">
        <f>IF(OR($B676="",Z$7=""),"",IF($B676="MEANS",INDEX('1-DATA'!$1:$1048576,$A675-1,COLUMN('1-DATA'!Y674)),ROUND(INDEX('1-DATA'!$1:$1048576,IF(OR($B676="STD. DEVIATION",$C$1=1),$A676,$A676+1),COLUMN('1-DATA'!Y674)),IF($B676="STD. DEVIATION",2,$F$1))))</f>
        <v/>
      </c>
      <c r="AA676" s="1" t="str">
        <f>IF(OR($B676="",AA$7=""),"",IF($B676="MEANS",INDEX('1-DATA'!$1:$1048576,$A675-1,COLUMN('1-DATA'!Z674)),ROUND(INDEX('1-DATA'!$1:$1048576,IF(OR($B676="STD. DEVIATION",$C$1=1),$A676,$A676+1),COLUMN('1-DATA'!Z674)),IF($B676="STD. DEVIATION",2,$F$1))))</f>
        <v/>
      </c>
      <c r="AB676" s="1" t="str">
        <f>IF(OR($B676="",AB$7=""),"",IF($B676="MEANS",INDEX('1-DATA'!$1:$1048576,$A675-1,COLUMN('1-DATA'!AA674)),ROUND(INDEX('1-DATA'!$1:$1048576,IF(OR($B676="STD. DEVIATION",$C$1=1),$A676,$A676+1),COLUMN('1-DATA'!AA674)),IF($B676="STD. DEVIATION",2,$F$1))))</f>
        <v/>
      </c>
      <c r="AC676" s="1" t="str">
        <f>IF(OR($B676="",AC$7=""),"",IF($B676="MEANS",INDEX('1-DATA'!$1:$1048576,$A675-1,COLUMN('1-DATA'!AB674)),ROUND(INDEX('1-DATA'!$1:$1048576,IF(OR($B676="STD. DEVIATION",$C$1=1),$A676,$A676+1),COLUMN('1-DATA'!AB674)),IF($B676="STD. DEVIATION",2,$F$1))))</f>
        <v/>
      </c>
      <c r="AD676" s="1" t="str">
        <f>IF(OR($B676="",AD$7=""),"",IF($B676="MEANS",INDEX('1-DATA'!$1:$1048576,$A675-1,COLUMN('1-DATA'!AC674)),ROUND(INDEX('1-DATA'!$1:$1048576,IF(OR($B676="STD. DEVIATION",$C$1=1),$A676,$A676+1),COLUMN('1-DATA'!AC674)),IF($B676="STD. DEVIATION",2,$F$1))))</f>
        <v/>
      </c>
      <c r="AE676" s="1" t="str">
        <f>IF(OR($B676="",AE$7=""),"",IF($B676="MEANS",INDEX('1-DATA'!$1:$1048576,$A675-1,COLUMN('1-DATA'!AD674)),ROUND(INDEX('1-DATA'!$1:$1048576,IF(OR($B676="STD. DEVIATION",$C$1=1),$A676,$A676+1),COLUMN('1-DATA'!AD674)),IF($B676="STD. DEVIATION",2,$F$1))))</f>
        <v/>
      </c>
      <c r="AF676" s="1" t="str">
        <f>IF(OR($B676="",AF$7=""),"",IF($B676="MEANS",INDEX('1-DATA'!$1:$1048576,$A675-1,COLUMN('1-DATA'!AE674)),ROUND(INDEX('1-DATA'!$1:$1048576,IF(OR($B676="STD. DEVIATION",$C$1=1),$A676,$A676+1),COLUMN('1-DATA'!AE674)),IF($B676="STD. DEVIATION",2,$F$1))))</f>
        <v/>
      </c>
      <c r="AG676" s="1" t="str">
        <f>IF(OR($B676="",AG$7=""),"",IF($B676="MEANS",INDEX('1-DATA'!$1:$1048576,$A675-1,COLUMN('1-DATA'!AF674)),ROUND(INDEX('1-DATA'!$1:$1048576,IF(OR($B676="STD. DEVIATION",$C$1=1),$A676,$A676+1),COLUMN('1-DATA'!AF674)),IF($B676="STD. DEVIATION",2,$F$1))))</f>
        <v/>
      </c>
      <c r="AH676" s="1" t="str">
        <f>IF(OR($B676="",AH$7=""),"",IF($B676="MEANS",INDEX('1-DATA'!$1:$1048576,$A675-1,COLUMN('1-DATA'!AG674)),ROUND(INDEX('1-DATA'!$1:$1048576,IF(OR($B676="STD. DEVIATION",$C$1=1),$A676,$A676+1),COLUMN('1-DATA'!AG674)),IF($B676="STD. DEVIATION",2,$F$1))))</f>
        <v/>
      </c>
      <c r="AI676" s="1" t="str">
        <f>IF(OR($B676="",AI$7=""),"",IF($B676="MEANS",INDEX('1-DATA'!$1:$1048576,$A675-1,COLUMN('1-DATA'!AH674)),ROUND(INDEX('1-DATA'!$1:$1048576,IF(OR($B676="STD. DEVIATION",$C$1=1),$A676,$A676+1),COLUMN('1-DATA'!AH674)),IF($B676="STD. DEVIATION",2,$F$1))))</f>
        <v/>
      </c>
      <c r="AJ676" s="1" t="str">
        <f>IF(OR($B676="",AJ$7=""),"",IF($B676="MEANS",INDEX('1-DATA'!$1:$1048576,$A675-1,COLUMN('1-DATA'!AI674)),ROUND(INDEX('1-DATA'!$1:$1048576,IF(OR($B676="STD. DEVIATION",$C$1=1),$A676,$A676+1),COLUMN('1-DATA'!AI674)),IF($B676="STD. DEVIATION",2,$F$1))))</f>
        <v/>
      </c>
      <c r="AK676" s="1" t="str">
        <f>IF(OR($B676="",AK$7=""),"",IF($B676="MEANS",INDEX('1-DATA'!$1:$1048576,$A675-1,COLUMN('1-DATA'!AJ674)),ROUND(INDEX('1-DATA'!$1:$1048576,IF(OR($B676="STD. DEVIATION",$C$1=1),$A676,$A676+1),COLUMN('1-DATA'!AJ674)),IF($B676="STD. DEVIATION",2,$F$1))))</f>
        <v/>
      </c>
      <c r="AL676" s="1" t="str">
        <f>IF(OR($B676="",AL$7=""),"",IF($B676="MEANS",INDEX('1-DATA'!$1:$1048576,$A675-1,COLUMN('1-DATA'!AK674)),ROUND(INDEX('1-DATA'!$1:$1048576,IF(OR($B676="STD. DEVIATION",$C$1=1),$A676,$A676+1),COLUMN('1-DATA'!AK674)),IF($B676="STD. DEVIATION",2,$F$1))))</f>
        <v/>
      </c>
      <c r="AM676" s="1" t="str">
        <f>IF(OR($B676="",AM$7=""),"",IF($B676="MEANS",INDEX('1-DATA'!$1:$1048576,$A675-1,COLUMN('1-DATA'!AL674)),ROUND(INDEX('1-DATA'!$1:$1048576,IF(OR($B676="STD. DEVIATION",$C$1=1),$A676,$A676+1),COLUMN('1-DATA'!AL674)),IF($B676="STD. DEVIATION",2,$F$1))))</f>
        <v/>
      </c>
      <c r="AN676" s="1" t="str">
        <f>IF(OR($B676="",AN$7=""),"",IF($B676="MEANS",INDEX('1-DATA'!$1:$1048576,$A675-1,COLUMN('1-DATA'!AM674)),ROUND(INDEX('1-DATA'!$1:$1048576,IF(OR($B676="STD. DEVIATION",$C$1=1),$A676,$A676+1),COLUMN('1-DATA'!AM674)),IF($B676="STD. DEVIATION",2,$F$1))))</f>
        <v/>
      </c>
      <c r="AO676" s="1" t="str">
        <f>IF(OR($B676="",AO$7=""),"",IF($B676="MEANS",INDEX('1-DATA'!$1:$1048576,$A675-1,COLUMN('1-DATA'!AN674)),ROUND(INDEX('1-DATA'!$1:$1048576,IF(OR($B676="STD. DEVIATION",$C$1=1),$A676,$A676+1),COLUMN('1-DATA'!AN674)),IF($B676="STD. DEVIATION",2,$F$1))))</f>
        <v/>
      </c>
      <c r="AP676" s="1" t="str">
        <f>IF(OR($B676="",AP$7=""),"",IF($B676="MEANS",INDEX('1-DATA'!$1:$1048576,$A675-1,COLUMN('1-DATA'!AO674)),ROUND(INDEX('1-DATA'!$1:$1048576,IF(OR($B676="STD. DEVIATION",$C$1=1),$A676,$A676+1),COLUMN('1-DATA'!AO674)),IF($B676="STD. DEVIATION",2,$F$1))))</f>
        <v/>
      </c>
      <c r="AQ676" s="1" t="str">
        <f>IF(OR($B676="",AQ$7=""),"",IF($B676="MEANS",INDEX('1-DATA'!$1:$1048576,$A675-1,COLUMN('1-DATA'!AP674)),ROUND(INDEX('1-DATA'!$1:$1048576,IF(OR($B676="STD. DEVIATION",$C$1=1),$A676,$A676+1),COLUMN('1-DATA'!AP674)),IF($B676="STD. DEVIATION",2,$F$1))))</f>
        <v/>
      </c>
      <c r="AR676" s="1" t="str">
        <f>IF(OR($B676="",AR$7=""),"",IF($B676="MEANS",INDEX('1-DATA'!$1:$1048576,$A675-1,COLUMN('1-DATA'!AQ674)),ROUND(INDEX('1-DATA'!$1:$1048576,IF(OR($B676="STD. DEVIATION",$C$1=1),$A676,$A676+1),COLUMN('1-DATA'!AQ674)),IF($B676="STD. DEVIATION",2,$F$1))))</f>
        <v/>
      </c>
      <c r="AS676" s="1" t="str">
        <f>IF(OR($B676="",AS$7=""),"",IF($B676="MEANS",INDEX('1-DATA'!$1:$1048576,$A675-1,COLUMN('1-DATA'!AR674)),ROUND(INDEX('1-DATA'!$1:$1048576,IF(OR($B676="STD. DEVIATION",$C$1=1),$A676,$A676+1),COLUMN('1-DATA'!AR674)),IF($B676="STD. DEVIATION",2,$F$1))))</f>
        <v/>
      </c>
      <c r="AT676" s="1" t="str">
        <f>IF(OR($B676="",AT$7=""),"",IF($B676="MEANS",INDEX('1-DATA'!$1:$1048576,$A675-1,COLUMN('1-DATA'!AS674)),ROUND(INDEX('1-DATA'!$1:$1048576,IF(OR($B676="STD. DEVIATION",$C$1=1),$A676,$A676+1),COLUMN('1-DATA'!AS674)),IF($B676="STD. DEVIATION",2,$F$1))))</f>
        <v/>
      </c>
      <c r="AU676" s="1" t="str">
        <f>IF(OR($B676="",AU$7=""),"",IF($B676="MEANS",INDEX('1-DATA'!$1:$1048576,$A675-1,COLUMN('1-DATA'!AT674)),ROUND(INDEX('1-DATA'!$1:$1048576,IF(OR($B676="STD. DEVIATION",$C$1=1),$A676,$A676+1),COLUMN('1-DATA'!AT674)),IF($B676="STD. DEVIATION",2,$F$1))))</f>
        <v/>
      </c>
      <c r="AV676" s="1" t="str">
        <f>IF(OR($B676="",AV$7=""),"",IF($B676="MEANS",INDEX('1-DATA'!$1:$1048576,$A675-1,COLUMN('1-DATA'!AU674)),ROUND(INDEX('1-DATA'!$1:$1048576,IF(OR($B676="STD. DEVIATION",$C$1=1),$A676,$A676+1),COLUMN('1-DATA'!AU674)),IF($B676="STD. DEVIATION",2,$F$1))))</f>
        <v/>
      </c>
      <c r="AW676" s="1" t="str">
        <f>IF(OR($B676="",AW$7=""),"",IF($B676="MEANS",INDEX('1-DATA'!$1:$1048576,$A675-1,COLUMN('1-DATA'!AV674)),ROUND(INDEX('1-DATA'!$1:$1048576,IF(OR($B676="STD. DEVIATION",$C$1=1),$A676,$A676+1),COLUMN('1-DATA'!AV674)),IF($B676="STD. DEVIATION",2,$F$1))))</f>
        <v/>
      </c>
      <c r="AX676" s="1" t="str">
        <f>IF(OR($B676="",AX$7=""),"",IF($B676="MEANS",INDEX('1-DATA'!$1:$1048576,$A675-1,COLUMN('1-DATA'!AW674)),ROUND(INDEX('1-DATA'!$1:$1048576,IF(OR($B676="STD. DEVIATION",$C$1=1),$A676,$A676+1),COLUMN('1-DATA'!AW674)),IF($B676="STD. DEVIATION",2,$F$1))))</f>
        <v/>
      </c>
      <c r="AY676" s="1" t="str">
        <f>IF(OR($B676="",AY$7=""),"",IF($B676="MEANS",INDEX('1-DATA'!$1:$1048576,$A675-1,COLUMN('1-DATA'!AX674)),ROUND(INDEX('1-DATA'!$1:$1048576,IF(OR($B676="STD. DEVIATION",$C$1=1),$A676,$A676+1),COLUMN('1-DATA'!AX674)),IF($B676="STD. DEVIATION",2,$F$1))))</f>
        <v/>
      </c>
      <c r="AZ676" s="1" t="str">
        <f>IF(OR($B676="",AZ$7=""),"",IF($B676="MEANS",INDEX('1-DATA'!$1:$1048576,$A675-1,COLUMN('1-DATA'!AY674)),ROUND(INDEX('1-DATA'!$1:$1048576,IF(OR($B676="STD. DEVIATION",$C$1=1),$A676,$A676+1),COLUMN('1-DATA'!AY674)),IF($B676="STD. DEVIATION",2,$F$1))))</f>
        <v/>
      </c>
    </row>
    <row r="677" spans="1:52" x14ac:dyDescent="0.25">
      <c r="A677" s="11">
        <f t="shared" si="11"/>
        <v>2017</v>
      </c>
      <c r="B677" s="1" t="str">
        <f>IF(B676="STD. DEVIATION",INDEX('1-DATA'!$1:$1048576,$A676-1,1),IF(INDEX('1-DATA'!$1:$1048576,$A677,1)&lt;&gt;"",INDEX('1-DATA'!$1:$1048576,$A677,1),""))</f>
        <v/>
      </c>
      <c r="C677" s="1" t="str">
        <f>IF(OR($B677="",C$7=""),"",IF($B677="MEANS",INDEX('1-DATA'!$1:$1048576,$A676-1,COLUMN('1-DATA'!B675)),ROUND(INDEX('1-DATA'!$1:$1048576,IF(OR($B677="STD. DEVIATION",$C$1=1),$A677,$A677+1),COLUMN('1-DATA'!B675)),IF($B677="STD. DEVIATION",2,$F$1))))</f>
        <v/>
      </c>
      <c r="D677" s="1" t="str">
        <f>IF(OR($B677="",D$7=""),"",IF($B677="MEANS",INDEX('1-DATA'!$1:$1048576,$A676-1,COLUMN('1-DATA'!C675)),ROUND(INDEX('1-DATA'!$1:$1048576,IF(OR($B677="STD. DEVIATION",$C$1=1),$A677,$A677+1),COLUMN('1-DATA'!C675)),IF($B677="STD. DEVIATION",2,$F$1))))</f>
        <v/>
      </c>
      <c r="E677" s="1" t="str">
        <f>IF(OR($B677="",E$7=""),"",IF($B677="MEANS",INDEX('1-DATA'!$1:$1048576,$A676-1,COLUMN('1-DATA'!D675)),ROUND(INDEX('1-DATA'!$1:$1048576,IF(OR($B677="STD. DEVIATION",$C$1=1),$A677,$A677+1),COLUMN('1-DATA'!D675)),IF($B677="STD. DEVIATION",2,$F$1))))</f>
        <v/>
      </c>
      <c r="F677" s="1" t="str">
        <f>IF(OR($B677="",F$7=""),"",IF($B677="MEANS",INDEX('1-DATA'!$1:$1048576,$A676-1,COLUMN('1-DATA'!E675)),ROUND(INDEX('1-DATA'!$1:$1048576,IF(OR($B677="STD. DEVIATION",$C$1=1),$A677,$A677+1),COLUMN('1-DATA'!E675)),IF($B677="STD. DEVIATION",2,$F$1))))</f>
        <v/>
      </c>
      <c r="G677" s="1" t="str">
        <f>IF(OR($B677="",G$7=""),"",IF($B677="MEANS",INDEX('1-DATA'!$1:$1048576,$A676-1,COLUMN('1-DATA'!F675)),ROUND(INDEX('1-DATA'!$1:$1048576,IF(OR($B677="STD. DEVIATION",$C$1=1),$A677,$A677+1),COLUMN('1-DATA'!F675)),IF($B677="STD. DEVIATION",2,$F$1))))</f>
        <v/>
      </c>
      <c r="H677" s="1" t="str">
        <f>IF(OR($B677="",H$7=""),"",IF($B677="MEANS",INDEX('1-DATA'!$1:$1048576,$A676-1,COLUMN('1-DATA'!G675)),ROUND(INDEX('1-DATA'!$1:$1048576,IF(OR($B677="STD. DEVIATION",$C$1=1),$A677,$A677+1),COLUMN('1-DATA'!G675)),IF($B677="STD. DEVIATION",2,$F$1))))</f>
        <v/>
      </c>
      <c r="I677" s="1" t="str">
        <f>IF(OR($B677="",I$7=""),"",IF($B677="MEANS",INDEX('1-DATA'!$1:$1048576,$A676-1,COLUMN('1-DATA'!H675)),ROUND(INDEX('1-DATA'!$1:$1048576,IF(OR($B677="STD. DEVIATION",$C$1=1),$A677,$A677+1),COLUMN('1-DATA'!H675)),IF($B677="STD. DEVIATION",2,$F$1))))</f>
        <v/>
      </c>
      <c r="J677" s="1" t="str">
        <f>IF(OR($B677="",J$7=""),"",IF($B677="MEANS",INDEX('1-DATA'!$1:$1048576,$A676-1,COLUMN('1-DATA'!I675)),ROUND(INDEX('1-DATA'!$1:$1048576,IF(OR($B677="STD. DEVIATION",$C$1=1),$A677,$A677+1),COLUMN('1-DATA'!I675)),IF($B677="STD. DEVIATION",2,$F$1))))</f>
        <v/>
      </c>
      <c r="K677" s="1" t="str">
        <f>IF(OR($B677="",K$7=""),"",IF($B677="MEANS",INDEX('1-DATA'!$1:$1048576,$A676-1,COLUMN('1-DATA'!J675)),ROUND(INDEX('1-DATA'!$1:$1048576,IF(OR($B677="STD. DEVIATION",$C$1=1),$A677,$A677+1),COLUMN('1-DATA'!J675)),IF($B677="STD. DEVIATION",2,$F$1))))</f>
        <v/>
      </c>
      <c r="L677" s="1" t="str">
        <f>IF(OR($B677="",L$7=""),"",IF($B677="MEANS",INDEX('1-DATA'!$1:$1048576,$A676-1,COLUMN('1-DATA'!K675)),ROUND(INDEX('1-DATA'!$1:$1048576,IF(OR($B677="STD. DEVIATION",$C$1=1),$A677,$A677+1),COLUMN('1-DATA'!K675)),IF($B677="STD. DEVIATION",2,$F$1))))</f>
        <v/>
      </c>
      <c r="M677" s="1" t="str">
        <f>IF(OR($B677="",M$7=""),"",IF($B677="MEANS",INDEX('1-DATA'!$1:$1048576,$A676-1,COLUMN('1-DATA'!L675)),ROUND(INDEX('1-DATA'!$1:$1048576,IF(OR($B677="STD. DEVIATION",$C$1=1),$A677,$A677+1),COLUMN('1-DATA'!L675)),IF($B677="STD. DEVIATION",2,$F$1))))</f>
        <v/>
      </c>
      <c r="N677" s="1" t="str">
        <f>IF(OR($B677="",N$7=""),"",IF($B677="MEANS",INDEX('1-DATA'!$1:$1048576,$A676-1,COLUMN('1-DATA'!M675)),ROUND(INDEX('1-DATA'!$1:$1048576,IF(OR($B677="STD. DEVIATION",$C$1=1),$A677,$A677+1),COLUMN('1-DATA'!M675)),IF($B677="STD. DEVIATION",2,$F$1))))</f>
        <v/>
      </c>
      <c r="O677" s="1" t="str">
        <f>IF(OR($B677="",O$7=""),"",IF($B677="MEANS",INDEX('1-DATA'!$1:$1048576,$A676-1,COLUMN('1-DATA'!N675)),ROUND(INDEX('1-DATA'!$1:$1048576,IF(OR($B677="STD. DEVIATION",$C$1=1),$A677,$A677+1),COLUMN('1-DATA'!N675)),IF($B677="STD. DEVIATION",2,$F$1))))</f>
        <v/>
      </c>
      <c r="P677" s="1" t="str">
        <f>IF(OR($B677="",P$7=""),"",IF($B677="MEANS",INDEX('1-DATA'!$1:$1048576,$A676-1,COLUMN('1-DATA'!O675)),ROUND(INDEX('1-DATA'!$1:$1048576,IF(OR($B677="STD. DEVIATION",$C$1=1),$A677,$A677+1),COLUMN('1-DATA'!O675)),IF($B677="STD. DEVIATION",2,$F$1))))</f>
        <v/>
      </c>
      <c r="Q677" s="1" t="str">
        <f>IF(OR($B677="",Q$7=""),"",IF($B677="MEANS",INDEX('1-DATA'!$1:$1048576,$A676-1,COLUMN('1-DATA'!P675)),ROUND(INDEX('1-DATA'!$1:$1048576,IF(OR($B677="STD. DEVIATION",$C$1=1),$A677,$A677+1),COLUMN('1-DATA'!P675)),IF($B677="STD. DEVIATION",2,$F$1))))</f>
        <v/>
      </c>
      <c r="R677" s="1" t="str">
        <f>IF(OR($B677="",R$7=""),"",IF($B677="MEANS",INDEX('1-DATA'!$1:$1048576,$A676-1,COLUMN('1-DATA'!Q675)),ROUND(INDEX('1-DATA'!$1:$1048576,IF(OR($B677="STD. DEVIATION",$C$1=1),$A677,$A677+1),COLUMN('1-DATA'!Q675)),IF($B677="STD. DEVIATION",2,$F$1))))</f>
        <v/>
      </c>
      <c r="S677" s="1" t="str">
        <f>IF(OR($B677="",S$7=""),"",IF($B677="MEANS",INDEX('1-DATA'!$1:$1048576,$A676-1,COLUMN('1-DATA'!R675)),ROUND(INDEX('1-DATA'!$1:$1048576,IF(OR($B677="STD. DEVIATION",$C$1=1),$A677,$A677+1),COLUMN('1-DATA'!R675)),IF($B677="STD. DEVIATION",2,$F$1))))</f>
        <v/>
      </c>
      <c r="T677" s="1" t="str">
        <f>IF(OR($B677="",T$7=""),"",IF($B677="MEANS",INDEX('1-DATA'!$1:$1048576,$A676-1,COLUMN('1-DATA'!S675)),ROUND(INDEX('1-DATA'!$1:$1048576,IF(OR($B677="STD. DEVIATION",$C$1=1),$A677,$A677+1),COLUMN('1-DATA'!S675)),IF($B677="STD. DEVIATION",2,$F$1))))</f>
        <v/>
      </c>
      <c r="U677" s="1" t="str">
        <f>IF(OR($B677="",U$7=""),"",IF($B677="MEANS",INDEX('1-DATA'!$1:$1048576,$A676-1,COLUMN('1-DATA'!T675)),ROUND(INDEX('1-DATA'!$1:$1048576,IF(OR($B677="STD. DEVIATION",$C$1=1),$A677,$A677+1),COLUMN('1-DATA'!T675)),IF($B677="STD. DEVIATION",2,$F$1))))</f>
        <v/>
      </c>
      <c r="V677" s="1" t="str">
        <f>IF(OR($B677="",V$7=""),"",IF($B677="MEANS",INDEX('1-DATA'!$1:$1048576,$A676-1,COLUMN('1-DATA'!U675)),ROUND(INDEX('1-DATA'!$1:$1048576,IF(OR($B677="STD. DEVIATION",$C$1=1),$A677,$A677+1),COLUMN('1-DATA'!U675)),IF($B677="STD. DEVIATION",2,$F$1))))</f>
        <v/>
      </c>
      <c r="W677" s="1" t="str">
        <f>IF(OR($B677="",W$7=""),"",IF($B677="MEANS",INDEX('1-DATA'!$1:$1048576,$A676-1,COLUMN('1-DATA'!V675)),ROUND(INDEX('1-DATA'!$1:$1048576,IF(OR($B677="STD. DEVIATION",$C$1=1),$A677,$A677+1),COLUMN('1-DATA'!V675)),IF($B677="STD. DEVIATION",2,$F$1))))</f>
        <v/>
      </c>
      <c r="X677" s="1" t="str">
        <f>IF(OR($B677="",X$7=""),"",IF($B677="MEANS",INDEX('1-DATA'!$1:$1048576,$A676-1,COLUMN('1-DATA'!W675)),ROUND(INDEX('1-DATA'!$1:$1048576,IF(OR($B677="STD. DEVIATION",$C$1=1),$A677,$A677+1),COLUMN('1-DATA'!W675)),IF($B677="STD. DEVIATION",2,$F$1))))</f>
        <v/>
      </c>
      <c r="Y677" s="1" t="str">
        <f>IF(OR($B677="",Y$7=""),"",IF($B677="MEANS",INDEX('1-DATA'!$1:$1048576,$A676-1,COLUMN('1-DATA'!X675)),ROUND(INDEX('1-DATA'!$1:$1048576,IF(OR($B677="STD. DEVIATION",$C$1=1),$A677,$A677+1),COLUMN('1-DATA'!X675)),IF($B677="STD. DEVIATION",2,$F$1))))</f>
        <v/>
      </c>
      <c r="Z677" s="1" t="str">
        <f>IF(OR($B677="",Z$7=""),"",IF($B677="MEANS",INDEX('1-DATA'!$1:$1048576,$A676-1,COLUMN('1-DATA'!Y675)),ROUND(INDEX('1-DATA'!$1:$1048576,IF(OR($B677="STD. DEVIATION",$C$1=1),$A677,$A677+1),COLUMN('1-DATA'!Y675)),IF($B677="STD. DEVIATION",2,$F$1))))</f>
        <v/>
      </c>
      <c r="AA677" s="1" t="str">
        <f>IF(OR($B677="",AA$7=""),"",IF($B677="MEANS",INDEX('1-DATA'!$1:$1048576,$A676-1,COLUMN('1-DATA'!Z675)),ROUND(INDEX('1-DATA'!$1:$1048576,IF(OR($B677="STD. DEVIATION",$C$1=1),$A677,$A677+1),COLUMN('1-DATA'!Z675)),IF($B677="STD. DEVIATION",2,$F$1))))</f>
        <v/>
      </c>
      <c r="AB677" s="1" t="str">
        <f>IF(OR($B677="",AB$7=""),"",IF($B677="MEANS",INDEX('1-DATA'!$1:$1048576,$A676-1,COLUMN('1-DATA'!AA675)),ROUND(INDEX('1-DATA'!$1:$1048576,IF(OR($B677="STD. DEVIATION",$C$1=1),$A677,$A677+1),COLUMN('1-DATA'!AA675)),IF($B677="STD. DEVIATION",2,$F$1))))</f>
        <v/>
      </c>
      <c r="AC677" s="1" t="str">
        <f>IF(OR($B677="",AC$7=""),"",IF($B677="MEANS",INDEX('1-DATA'!$1:$1048576,$A676-1,COLUMN('1-DATA'!AB675)),ROUND(INDEX('1-DATA'!$1:$1048576,IF(OR($B677="STD. DEVIATION",$C$1=1),$A677,$A677+1),COLUMN('1-DATA'!AB675)),IF($B677="STD. DEVIATION",2,$F$1))))</f>
        <v/>
      </c>
      <c r="AD677" s="1" t="str">
        <f>IF(OR($B677="",AD$7=""),"",IF($B677="MEANS",INDEX('1-DATA'!$1:$1048576,$A676-1,COLUMN('1-DATA'!AC675)),ROUND(INDEX('1-DATA'!$1:$1048576,IF(OR($B677="STD. DEVIATION",$C$1=1),$A677,$A677+1),COLUMN('1-DATA'!AC675)),IF($B677="STD. DEVIATION",2,$F$1))))</f>
        <v/>
      </c>
      <c r="AE677" s="1" t="str">
        <f>IF(OR($B677="",AE$7=""),"",IF($B677="MEANS",INDEX('1-DATA'!$1:$1048576,$A676-1,COLUMN('1-DATA'!AD675)),ROUND(INDEX('1-DATA'!$1:$1048576,IF(OR($B677="STD. DEVIATION",$C$1=1),$A677,$A677+1),COLUMN('1-DATA'!AD675)),IF($B677="STD. DEVIATION",2,$F$1))))</f>
        <v/>
      </c>
      <c r="AF677" s="1" t="str">
        <f>IF(OR($B677="",AF$7=""),"",IF($B677="MEANS",INDEX('1-DATA'!$1:$1048576,$A676-1,COLUMN('1-DATA'!AE675)),ROUND(INDEX('1-DATA'!$1:$1048576,IF(OR($B677="STD. DEVIATION",$C$1=1),$A677,$A677+1),COLUMN('1-DATA'!AE675)),IF($B677="STD. DEVIATION",2,$F$1))))</f>
        <v/>
      </c>
      <c r="AG677" s="1" t="str">
        <f>IF(OR($B677="",AG$7=""),"",IF($B677="MEANS",INDEX('1-DATA'!$1:$1048576,$A676-1,COLUMN('1-DATA'!AF675)),ROUND(INDEX('1-DATA'!$1:$1048576,IF(OR($B677="STD. DEVIATION",$C$1=1),$A677,$A677+1),COLUMN('1-DATA'!AF675)),IF($B677="STD. DEVIATION",2,$F$1))))</f>
        <v/>
      </c>
      <c r="AH677" s="1" t="str">
        <f>IF(OR($B677="",AH$7=""),"",IF($B677="MEANS",INDEX('1-DATA'!$1:$1048576,$A676-1,COLUMN('1-DATA'!AG675)),ROUND(INDEX('1-DATA'!$1:$1048576,IF(OR($B677="STD. DEVIATION",$C$1=1),$A677,$A677+1),COLUMN('1-DATA'!AG675)),IF($B677="STD. DEVIATION",2,$F$1))))</f>
        <v/>
      </c>
      <c r="AI677" s="1" t="str">
        <f>IF(OR($B677="",AI$7=""),"",IF($B677="MEANS",INDEX('1-DATA'!$1:$1048576,$A676-1,COLUMN('1-DATA'!AH675)),ROUND(INDEX('1-DATA'!$1:$1048576,IF(OR($B677="STD. DEVIATION",$C$1=1),$A677,$A677+1),COLUMN('1-DATA'!AH675)),IF($B677="STD. DEVIATION",2,$F$1))))</f>
        <v/>
      </c>
      <c r="AJ677" s="1" t="str">
        <f>IF(OR($B677="",AJ$7=""),"",IF($B677="MEANS",INDEX('1-DATA'!$1:$1048576,$A676-1,COLUMN('1-DATA'!AI675)),ROUND(INDEX('1-DATA'!$1:$1048576,IF(OR($B677="STD. DEVIATION",$C$1=1),$A677,$A677+1),COLUMN('1-DATA'!AI675)),IF($B677="STD. DEVIATION",2,$F$1))))</f>
        <v/>
      </c>
      <c r="AK677" s="1" t="str">
        <f>IF(OR($B677="",AK$7=""),"",IF($B677="MEANS",INDEX('1-DATA'!$1:$1048576,$A676-1,COLUMN('1-DATA'!AJ675)),ROUND(INDEX('1-DATA'!$1:$1048576,IF(OR($B677="STD. DEVIATION",$C$1=1),$A677,$A677+1),COLUMN('1-DATA'!AJ675)),IF($B677="STD. DEVIATION",2,$F$1))))</f>
        <v/>
      </c>
      <c r="AL677" s="1" t="str">
        <f>IF(OR($B677="",AL$7=""),"",IF($B677="MEANS",INDEX('1-DATA'!$1:$1048576,$A676-1,COLUMN('1-DATA'!AK675)),ROUND(INDEX('1-DATA'!$1:$1048576,IF(OR($B677="STD. DEVIATION",$C$1=1),$A677,$A677+1),COLUMN('1-DATA'!AK675)),IF($B677="STD. DEVIATION",2,$F$1))))</f>
        <v/>
      </c>
      <c r="AM677" s="1" t="str">
        <f>IF(OR($B677="",AM$7=""),"",IF($B677="MEANS",INDEX('1-DATA'!$1:$1048576,$A676-1,COLUMN('1-DATA'!AL675)),ROUND(INDEX('1-DATA'!$1:$1048576,IF(OR($B677="STD. DEVIATION",$C$1=1),$A677,$A677+1),COLUMN('1-DATA'!AL675)),IF($B677="STD. DEVIATION",2,$F$1))))</f>
        <v/>
      </c>
      <c r="AN677" s="1" t="str">
        <f>IF(OR($B677="",AN$7=""),"",IF($B677="MEANS",INDEX('1-DATA'!$1:$1048576,$A676-1,COLUMN('1-DATA'!AM675)),ROUND(INDEX('1-DATA'!$1:$1048576,IF(OR($B677="STD. DEVIATION",$C$1=1),$A677,$A677+1),COLUMN('1-DATA'!AM675)),IF($B677="STD. DEVIATION",2,$F$1))))</f>
        <v/>
      </c>
      <c r="AO677" s="1" t="str">
        <f>IF(OR($B677="",AO$7=""),"",IF($B677="MEANS",INDEX('1-DATA'!$1:$1048576,$A676-1,COLUMN('1-DATA'!AN675)),ROUND(INDEX('1-DATA'!$1:$1048576,IF(OR($B677="STD. DEVIATION",$C$1=1),$A677,$A677+1),COLUMN('1-DATA'!AN675)),IF($B677="STD. DEVIATION",2,$F$1))))</f>
        <v/>
      </c>
      <c r="AP677" s="1" t="str">
        <f>IF(OR($B677="",AP$7=""),"",IF($B677="MEANS",INDEX('1-DATA'!$1:$1048576,$A676-1,COLUMN('1-DATA'!AO675)),ROUND(INDEX('1-DATA'!$1:$1048576,IF(OR($B677="STD. DEVIATION",$C$1=1),$A677,$A677+1),COLUMN('1-DATA'!AO675)),IF($B677="STD. DEVIATION",2,$F$1))))</f>
        <v/>
      </c>
      <c r="AQ677" s="1" t="str">
        <f>IF(OR($B677="",AQ$7=""),"",IF($B677="MEANS",INDEX('1-DATA'!$1:$1048576,$A676-1,COLUMN('1-DATA'!AP675)),ROUND(INDEX('1-DATA'!$1:$1048576,IF(OR($B677="STD. DEVIATION",$C$1=1),$A677,$A677+1),COLUMN('1-DATA'!AP675)),IF($B677="STD. DEVIATION",2,$F$1))))</f>
        <v/>
      </c>
      <c r="AR677" s="1" t="str">
        <f>IF(OR($B677="",AR$7=""),"",IF($B677="MEANS",INDEX('1-DATA'!$1:$1048576,$A676-1,COLUMN('1-DATA'!AQ675)),ROUND(INDEX('1-DATA'!$1:$1048576,IF(OR($B677="STD. DEVIATION",$C$1=1),$A677,$A677+1),COLUMN('1-DATA'!AQ675)),IF($B677="STD. DEVIATION",2,$F$1))))</f>
        <v/>
      </c>
      <c r="AS677" s="1" t="str">
        <f>IF(OR($B677="",AS$7=""),"",IF($B677="MEANS",INDEX('1-DATA'!$1:$1048576,$A676-1,COLUMN('1-DATA'!AR675)),ROUND(INDEX('1-DATA'!$1:$1048576,IF(OR($B677="STD. DEVIATION",$C$1=1),$A677,$A677+1),COLUMN('1-DATA'!AR675)),IF($B677="STD. DEVIATION",2,$F$1))))</f>
        <v/>
      </c>
      <c r="AT677" s="1" t="str">
        <f>IF(OR($B677="",AT$7=""),"",IF($B677="MEANS",INDEX('1-DATA'!$1:$1048576,$A676-1,COLUMN('1-DATA'!AS675)),ROUND(INDEX('1-DATA'!$1:$1048576,IF(OR($B677="STD. DEVIATION",$C$1=1),$A677,$A677+1),COLUMN('1-DATA'!AS675)),IF($B677="STD. DEVIATION",2,$F$1))))</f>
        <v/>
      </c>
      <c r="AU677" s="1" t="str">
        <f>IF(OR($B677="",AU$7=""),"",IF($B677="MEANS",INDEX('1-DATA'!$1:$1048576,$A676-1,COLUMN('1-DATA'!AT675)),ROUND(INDEX('1-DATA'!$1:$1048576,IF(OR($B677="STD. DEVIATION",$C$1=1),$A677,$A677+1),COLUMN('1-DATA'!AT675)),IF($B677="STD. DEVIATION",2,$F$1))))</f>
        <v/>
      </c>
      <c r="AV677" s="1" t="str">
        <f>IF(OR($B677="",AV$7=""),"",IF($B677="MEANS",INDEX('1-DATA'!$1:$1048576,$A676-1,COLUMN('1-DATA'!AU675)),ROUND(INDEX('1-DATA'!$1:$1048576,IF(OR($B677="STD. DEVIATION",$C$1=1),$A677,$A677+1),COLUMN('1-DATA'!AU675)),IF($B677="STD. DEVIATION",2,$F$1))))</f>
        <v/>
      </c>
      <c r="AW677" s="1" t="str">
        <f>IF(OR($B677="",AW$7=""),"",IF($B677="MEANS",INDEX('1-DATA'!$1:$1048576,$A676-1,COLUMN('1-DATA'!AV675)),ROUND(INDEX('1-DATA'!$1:$1048576,IF(OR($B677="STD. DEVIATION",$C$1=1),$A677,$A677+1),COLUMN('1-DATA'!AV675)),IF($B677="STD. DEVIATION",2,$F$1))))</f>
        <v/>
      </c>
      <c r="AX677" s="1" t="str">
        <f>IF(OR($B677="",AX$7=""),"",IF($B677="MEANS",INDEX('1-DATA'!$1:$1048576,$A676-1,COLUMN('1-DATA'!AW675)),ROUND(INDEX('1-DATA'!$1:$1048576,IF(OR($B677="STD. DEVIATION",$C$1=1),$A677,$A677+1),COLUMN('1-DATA'!AW675)),IF($B677="STD. DEVIATION",2,$F$1))))</f>
        <v/>
      </c>
      <c r="AY677" s="1" t="str">
        <f>IF(OR($B677="",AY$7=""),"",IF($B677="MEANS",INDEX('1-DATA'!$1:$1048576,$A676-1,COLUMN('1-DATA'!AX675)),ROUND(INDEX('1-DATA'!$1:$1048576,IF(OR($B677="STD. DEVIATION",$C$1=1),$A677,$A677+1),COLUMN('1-DATA'!AX675)),IF($B677="STD. DEVIATION",2,$F$1))))</f>
        <v/>
      </c>
      <c r="AZ677" s="1" t="str">
        <f>IF(OR($B677="",AZ$7=""),"",IF($B677="MEANS",INDEX('1-DATA'!$1:$1048576,$A676-1,COLUMN('1-DATA'!AY675)),ROUND(INDEX('1-DATA'!$1:$1048576,IF(OR($B677="STD. DEVIATION",$C$1=1),$A677,$A677+1),COLUMN('1-DATA'!AY675)),IF($B677="STD. DEVIATION",2,$F$1))))</f>
        <v/>
      </c>
    </row>
    <row r="678" spans="1:52" x14ac:dyDescent="0.25">
      <c r="A678" s="11">
        <f t="shared" si="11"/>
        <v>2020</v>
      </c>
      <c r="B678" s="1" t="str">
        <f>IF(B677="STD. DEVIATION",INDEX('1-DATA'!$1:$1048576,$A677-1,1),IF(INDEX('1-DATA'!$1:$1048576,$A678,1)&lt;&gt;"",INDEX('1-DATA'!$1:$1048576,$A678,1),""))</f>
        <v/>
      </c>
      <c r="C678" s="1" t="str">
        <f>IF(OR($B678="",C$7=""),"",IF($B678="MEANS",INDEX('1-DATA'!$1:$1048576,$A677-1,COLUMN('1-DATA'!B676)),ROUND(INDEX('1-DATA'!$1:$1048576,IF(OR($B678="STD. DEVIATION",$C$1=1),$A678,$A678+1),COLUMN('1-DATA'!B676)),IF($B678="STD. DEVIATION",2,$F$1))))</f>
        <v/>
      </c>
      <c r="D678" s="1" t="str">
        <f>IF(OR($B678="",D$7=""),"",IF($B678="MEANS",INDEX('1-DATA'!$1:$1048576,$A677-1,COLUMN('1-DATA'!C676)),ROUND(INDEX('1-DATA'!$1:$1048576,IF(OR($B678="STD. DEVIATION",$C$1=1),$A678,$A678+1),COLUMN('1-DATA'!C676)),IF($B678="STD. DEVIATION",2,$F$1))))</f>
        <v/>
      </c>
      <c r="E678" s="1" t="str">
        <f>IF(OR($B678="",E$7=""),"",IF($B678="MEANS",INDEX('1-DATA'!$1:$1048576,$A677-1,COLUMN('1-DATA'!D676)),ROUND(INDEX('1-DATA'!$1:$1048576,IF(OR($B678="STD. DEVIATION",$C$1=1),$A678,$A678+1),COLUMN('1-DATA'!D676)),IF($B678="STD. DEVIATION",2,$F$1))))</f>
        <v/>
      </c>
      <c r="F678" s="1" t="str">
        <f>IF(OR($B678="",F$7=""),"",IF($B678="MEANS",INDEX('1-DATA'!$1:$1048576,$A677-1,COLUMN('1-DATA'!E676)),ROUND(INDEX('1-DATA'!$1:$1048576,IF(OR($B678="STD. DEVIATION",$C$1=1),$A678,$A678+1),COLUMN('1-DATA'!E676)),IF($B678="STD. DEVIATION",2,$F$1))))</f>
        <v/>
      </c>
      <c r="G678" s="1" t="str">
        <f>IF(OR($B678="",G$7=""),"",IF($B678="MEANS",INDEX('1-DATA'!$1:$1048576,$A677-1,COLUMN('1-DATA'!F676)),ROUND(INDEX('1-DATA'!$1:$1048576,IF(OR($B678="STD. DEVIATION",$C$1=1),$A678,$A678+1),COLUMN('1-DATA'!F676)),IF($B678="STD. DEVIATION",2,$F$1))))</f>
        <v/>
      </c>
      <c r="H678" s="1" t="str">
        <f>IF(OR($B678="",H$7=""),"",IF($B678="MEANS",INDEX('1-DATA'!$1:$1048576,$A677-1,COLUMN('1-DATA'!G676)),ROUND(INDEX('1-DATA'!$1:$1048576,IF(OR($B678="STD. DEVIATION",$C$1=1),$A678,$A678+1),COLUMN('1-DATA'!G676)),IF($B678="STD. DEVIATION",2,$F$1))))</f>
        <v/>
      </c>
      <c r="I678" s="1" t="str">
        <f>IF(OR($B678="",I$7=""),"",IF($B678="MEANS",INDEX('1-DATA'!$1:$1048576,$A677-1,COLUMN('1-DATA'!H676)),ROUND(INDEX('1-DATA'!$1:$1048576,IF(OR($B678="STD. DEVIATION",$C$1=1),$A678,$A678+1),COLUMN('1-DATA'!H676)),IF($B678="STD. DEVIATION",2,$F$1))))</f>
        <v/>
      </c>
      <c r="J678" s="1" t="str">
        <f>IF(OR($B678="",J$7=""),"",IF($B678="MEANS",INDEX('1-DATA'!$1:$1048576,$A677-1,COLUMN('1-DATA'!I676)),ROUND(INDEX('1-DATA'!$1:$1048576,IF(OR($B678="STD. DEVIATION",$C$1=1),$A678,$A678+1),COLUMN('1-DATA'!I676)),IF($B678="STD. DEVIATION",2,$F$1))))</f>
        <v/>
      </c>
      <c r="K678" s="1" t="str">
        <f>IF(OR($B678="",K$7=""),"",IF($B678="MEANS",INDEX('1-DATA'!$1:$1048576,$A677-1,COLUMN('1-DATA'!J676)),ROUND(INDEX('1-DATA'!$1:$1048576,IF(OR($B678="STD. DEVIATION",$C$1=1),$A678,$A678+1),COLUMN('1-DATA'!J676)),IF($B678="STD. DEVIATION",2,$F$1))))</f>
        <v/>
      </c>
      <c r="L678" s="1" t="str">
        <f>IF(OR($B678="",L$7=""),"",IF($B678="MEANS",INDEX('1-DATA'!$1:$1048576,$A677-1,COLUMN('1-DATA'!K676)),ROUND(INDEX('1-DATA'!$1:$1048576,IF(OR($B678="STD. DEVIATION",$C$1=1),$A678,$A678+1),COLUMN('1-DATA'!K676)),IF($B678="STD. DEVIATION",2,$F$1))))</f>
        <v/>
      </c>
      <c r="M678" s="1" t="str">
        <f>IF(OR($B678="",M$7=""),"",IF($B678="MEANS",INDEX('1-DATA'!$1:$1048576,$A677-1,COLUMN('1-DATA'!L676)),ROUND(INDEX('1-DATA'!$1:$1048576,IF(OR($B678="STD. DEVIATION",$C$1=1),$A678,$A678+1),COLUMN('1-DATA'!L676)),IF($B678="STD. DEVIATION",2,$F$1))))</f>
        <v/>
      </c>
      <c r="N678" s="1" t="str">
        <f>IF(OR($B678="",N$7=""),"",IF($B678="MEANS",INDEX('1-DATA'!$1:$1048576,$A677-1,COLUMN('1-DATA'!M676)),ROUND(INDEX('1-DATA'!$1:$1048576,IF(OR($B678="STD. DEVIATION",$C$1=1),$A678,$A678+1),COLUMN('1-DATA'!M676)),IF($B678="STD. DEVIATION",2,$F$1))))</f>
        <v/>
      </c>
      <c r="O678" s="1" t="str">
        <f>IF(OR($B678="",O$7=""),"",IF($B678="MEANS",INDEX('1-DATA'!$1:$1048576,$A677-1,COLUMN('1-DATA'!N676)),ROUND(INDEX('1-DATA'!$1:$1048576,IF(OR($B678="STD. DEVIATION",$C$1=1),$A678,$A678+1),COLUMN('1-DATA'!N676)),IF($B678="STD. DEVIATION",2,$F$1))))</f>
        <v/>
      </c>
      <c r="P678" s="1" t="str">
        <f>IF(OR($B678="",P$7=""),"",IF($B678="MEANS",INDEX('1-DATA'!$1:$1048576,$A677-1,COLUMN('1-DATA'!O676)),ROUND(INDEX('1-DATA'!$1:$1048576,IF(OR($B678="STD. DEVIATION",$C$1=1),$A678,$A678+1),COLUMN('1-DATA'!O676)),IF($B678="STD. DEVIATION",2,$F$1))))</f>
        <v/>
      </c>
      <c r="Q678" s="1" t="str">
        <f>IF(OR($B678="",Q$7=""),"",IF($B678="MEANS",INDEX('1-DATA'!$1:$1048576,$A677-1,COLUMN('1-DATA'!P676)),ROUND(INDEX('1-DATA'!$1:$1048576,IF(OR($B678="STD. DEVIATION",$C$1=1),$A678,$A678+1),COLUMN('1-DATA'!P676)),IF($B678="STD. DEVIATION",2,$F$1))))</f>
        <v/>
      </c>
      <c r="R678" s="1" t="str">
        <f>IF(OR($B678="",R$7=""),"",IF($B678="MEANS",INDEX('1-DATA'!$1:$1048576,$A677-1,COLUMN('1-DATA'!Q676)),ROUND(INDEX('1-DATA'!$1:$1048576,IF(OR($B678="STD. DEVIATION",$C$1=1),$A678,$A678+1),COLUMN('1-DATA'!Q676)),IF($B678="STD. DEVIATION",2,$F$1))))</f>
        <v/>
      </c>
      <c r="S678" s="1" t="str">
        <f>IF(OR($B678="",S$7=""),"",IF($B678="MEANS",INDEX('1-DATA'!$1:$1048576,$A677-1,COLUMN('1-DATA'!R676)),ROUND(INDEX('1-DATA'!$1:$1048576,IF(OR($B678="STD. DEVIATION",$C$1=1),$A678,$A678+1),COLUMN('1-DATA'!R676)),IF($B678="STD. DEVIATION",2,$F$1))))</f>
        <v/>
      </c>
      <c r="T678" s="1" t="str">
        <f>IF(OR($B678="",T$7=""),"",IF($B678="MEANS",INDEX('1-DATA'!$1:$1048576,$A677-1,COLUMN('1-DATA'!S676)),ROUND(INDEX('1-DATA'!$1:$1048576,IF(OR($B678="STD. DEVIATION",$C$1=1),$A678,$A678+1),COLUMN('1-DATA'!S676)),IF($B678="STD. DEVIATION",2,$F$1))))</f>
        <v/>
      </c>
      <c r="U678" s="1" t="str">
        <f>IF(OR($B678="",U$7=""),"",IF($B678="MEANS",INDEX('1-DATA'!$1:$1048576,$A677-1,COLUMN('1-DATA'!T676)),ROUND(INDEX('1-DATA'!$1:$1048576,IF(OR($B678="STD. DEVIATION",$C$1=1),$A678,$A678+1),COLUMN('1-DATA'!T676)),IF($B678="STD. DEVIATION",2,$F$1))))</f>
        <v/>
      </c>
      <c r="V678" s="1" t="str">
        <f>IF(OR($B678="",V$7=""),"",IF($B678="MEANS",INDEX('1-DATA'!$1:$1048576,$A677-1,COLUMN('1-DATA'!U676)),ROUND(INDEX('1-DATA'!$1:$1048576,IF(OR($B678="STD. DEVIATION",$C$1=1),$A678,$A678+1),COLUMN('1-DATA'!U676)),IF($B678="STD. DEVIATION",2,$F$1))))</f>
        <v/>
      </c>
      <c r="W678" s="1" t="str">
        <f>IF(OR($B678="",W$7=""),"",IF($B678="MEANS",INDEX('1-DATA'!$1:$1048576,$A677-1,COLUMN('1-DATA'!V676)),ROUND(INDEX('1-DATA'!$1:$1048576,IF(OR($B678="STD. DEVIATION",$C$1=1),$A678,$A678+1),COLUMN('1-DATA'!V676)),IF($B678="STD. DEVIATION",2,$F$1))))</f>
        <v/>
      </c>
      <c r="X678" s="1" t="str">
        <f>IF(OR($B678="",X$7=""),"",IF($B678="MEANS",INDEX('1-DATA'!$1:$1048576,$A677-1,COLUMN('1-DATA'!W676)),ROUND(INDEX('1-DATA'!$1:$1048576,IF(OR($B678="STD. DEVIATION",$C$1=1),$A678,$A678+1),COLUMN('1-DATA'!W676)),IF($B678="STD. DEVIATION",2,$F$1))))</f>
        <v/>
      </c>
      <c r="Y678" s="1" t="str">
        <f>IF(OR($B678="",Y$7=""),"",IF($B678="MEANS",INDEX('1-DATA'!$1:$1048576,$A677-1,COLUMN('1-DATA'!X676)),ROUND(INDEX('1-DATA'!$1:$1048576,IF(OR($B678="STD. DEVIATION",$C$1=1),$A678,$A678+1),COLUMN('1-DATA'!X676)),IF($B678="STD. DEVIATION",2,$F$1))))</f>
        <v/>
      </c>
      <c r="Z678" s="1" t="str">
        <f>IF(OR($B678="",Z$7=""),"",IF($B678="MEANS",INDEX('1-DATA'!$1:$1048576,$A677-1,COLUMN('1-DATA'!Y676)),ROUND(INDEX('1-DATA'!$1:$1048576,IF(OR($B678="STD. DEVIATION",$C$1=1),$A678,$A678+1),COLUMN('1-DATA'!Y676)),IF($B678="STD. DEVIATION",2,$F$1))))</f>
        <v/>
      </c>
      <c r="AA678" s="1" t="str">
        <f>IF(OR($B678="",AA$7=""),"",IF($B678="MEANS",INDEX('1-DATA'!$1:$1048576,$A677-1,COLUMN('1-DATA'!Z676)),ROUND(INDEX('1-DATA'!$1:$1048576,IF(OR($B678="STD. DEVIATION",$C$1=1),$A678,$A678+1),COLUMN('1-DATA'!Z676)),IF($B678="STD. DEVIATION",2,$F$1))))</f>
        <v/>
      </c>
      <c r="AB678" s="1" t="str">
        <f>IF(OR($B678="",AB$7=""),"",IF($B678="MEANS",INDEX('1-DATA'!$1:$1048576,$A677-1,COLUMN('1-DATA'!AA676)),ROUND(INDEX('1-DATA'!$1:$1048576,IF(OR($B678="STD. DEVIATION",$C$1=1),$A678,$A678+1),COLUMN('1-DATA'!AA676)),IF($B678="STD. DEVIATION",2,$F$1))))</f>
        <v/>
      </c>
      <c r="AC678" s="1" t="str">
        <f>IF(OR($B678="",AC$7=""),"",IF($B678="MEANS",INDEX('1-DATA'!$1:$1048576,$A677-1,COLUMN('1-DATA'!AB676)),ROUND(INDEX('1-DATA'!$1:$1048576,IF(OR($B678="STD. DEVIATION",$C$1=1),$A678,$A678+1),COLUMN('1-DATA'!AB676)),IF($B678="STD. DEVIATION",2,$F$1))))</f>
        <v/>
      </c>
      <c r="AD678" s="1" t="str">
        <f>IF(OR($B678="",AD$7=""),"",IF($B678="MEANS",INDEX('1-DATA'!$1:$1048576,$A677-1,COLUMN('1-DATA'!AC676)),ROUND(INDEX('1-DATA'!$1:$1048576,IF(OR($B678="STD. DEVIATION",$C$1=1),$A678,$A678+1),COLUMN('1-DATA'!AC676)),IF($B678="STD. DEVIATION",2,$F$1))))</f>
        <v/>
      </c>
      <c r="AE678" s="1" t="str">
        <f>IF(OR($B678="",AE$7=""),"",IF($B678="MEANS",INDEX('1-DATA'!$1:$1048576,$A677-1,COLUMN('1-DATA'!AD676)),ROUND(INDEX('1-DATA'!$1:$1048576,IF(OR($B678="STD. DEVIATION",$C$1=1),$A678,$A678+1),COLUMN('1-DATA'!AD676)),IF($B678="STD. DEVIATION",2,$F$1))))</f>
        <v/>
      </c>
      <c r="AF678" s="1" t="str">
        <f>IF(OR($B678="",AF$7=""),"",IF($B678="MEANS",INDEX('1-DATA'!$1:$1048576,$A677-1,COLUMN('1-DATA'!AE676)),ROUND(INDEX('1-DATA'!$1:$1048576,IF(OR($B678="STD. DEVIATION",$C$1=1),$A678,$A678+1),COLUMN('1-DATA'!AE676)),IF($B678="STD. DEVIATION",2,$F$1))))</f>
        <v/>
      </c>
      <c r="AG678" s="1" t="str">
        <f>IF(OR($B678="",AG$7=""),"",IF($B678="MEANS",INDEX('1-DATA'!$1:$1048576,$A677-1,COLUMN('1-DATA'!AF676)),ROUND(INDEX('1-DATA'!$1:$1048576,IF(OR($B678="STD. DEVIATION",$C$1=1),$A678,$A678+1),COLUMN('1-DATA'!AF676)),IF($B678="STD. DEVIATION",2,$F$1))))</f>
        <v/>
      </c>
      <c r="AH678" s="1" t="str">
        <f>IF(OR($B678="",AH$7=""),"",IF($B678="MEANS",INDEX('1-DATA'!$1:$1048576,$A677-1,COLUMN('1-DATA'!AG676)),ROUND(INDEX('1-DATA'!$1:$1048576,IF(OR($B678="STD. DEVIATION",$C$1=1),$A678,$A678+1),COLUMN('1-DATA'!AG676)),IF($B678="STD. DEVIATION",2,$F$1))))</f>
        <v/>
      </c>
      <c r="AI678" s="1" t="str">
        <f>IF(OR($B678="",AI$7=""),"",IF($B678="MEANS",INDEX('1-DATA'!$1:$1048576,$A677-1,COLUMN('1-DATA'!AH676)),ROUND(INDEX('1-DATA'!$1:$1048576,IF(OR($B678="STD. DEVIATION",$C$1=1),$A678,$A678+1),COLUMN('1-DATA'!AH676)),IF($B678="STD. DEVIATION",2,$F$1))))</f>
        <v/>
      </c>
      <c r="AJ678" s="1" t="str">
        <f>IF(OR($B678="",AJ$7=""),"",IF($B678="MEANS",INDEX('1-DATA'!$1:$1048576,$A677-1,COLUMN('1-DATA'!AI676)),ROUND(INDEX('1-DATA'!$1:$1048576,IF(OR($B678="STD. DEVIATION",$C$1=1),$A678,$A678+1),COLUMN('1-DATA'!AI676)),IF($B678="STD. DEVIATION",2,$F$1))))</f>
        <v/>
      </c>
      <c r="AK678" s="1" t="str">
        <f>IF(OR($B678="",AK$7=""),"",IF($B678="MEANS",INDEX('1-DATA'!$1:$1048576,$A677-1,COLUMN('1-DATA'!AJ676)),ROUND(INDEX('1-DATA'!$1:$1048576,IF(OR($B678="STD. DEVIATION",$C$1=1),$A678,$A678+1),COLUMN('1-DATA'!AJ676)),IF($B678="STD. DEVIATION",2,$F$1))))</f>
        <v/>
      </c>
      <c r="AL678" s="1" t="str">
        <f>IF(OR($B678="",AL$7=""),"",IF($B678="MEANS",INDEX('1-DATA'!$1:$1048576,$A677-1,COLUMN('1-DATA'!AK676)),ROUND(INDEX('1-DATA'!$1:$1048576,IF(OR($B678="STD. DEVIATION",$C$1=1),$A678,$A678+1),COLUMN('1-DATA'!AK676)),IF($B678="STD. DEVIATION",2,$F$1))))</f>
        <v/>
      </c>
      <c r="AM678" s="1" t="str">
        <f>IF(OR($B678="",AM$7=""),"",IF($B678="MEANS",INDEX('1-DATA'!$1:$1048576,$A677-1,COLUMN('1-DATA'!AL676)),ROUND(INDEX('1-DATA'!$1:$1048576,IF(OR($B678="STD. DEVIATION",$C$1=1),$A678,$A678+1),COLUMN('1-DATA'!AL676)),IF($B678="STD. DEVIATION",2,$F$1))))</f>
        <v/>
      </c>
      <c r="AN678" s="1" t="str">
        <f>IF(OR($B678="",AN$7=""),"",IF($B678="MEANS",INDEX('1-DATA'!$1:$1048576,$A677-1,COLUMN('1-DATA'!AM676)),ROUND(INDEX('1-DATA'!$1:$1048576,IF(OR($B678="STD. DEVIATION",$C$1=1),$A678,$A678+1),COLUMN('1-DATA'!AM676)),IF($B678="STD. DEVIATION",2,$F$1))))</f>
        <v/>
      </c>
      <c r="AO678" s="1" t="str">
        <f>IF(OR($B678="",AO$7=""),"",IF($B678="MEANS",INDEX('1-DATA'!$1:$1048576,$A677-1,COLUMN('1-DATA'!AN676)),ROUND(INDEX('1-DATA'!$1:$1048576,IF(OR($B678="STD. DEVIATION",$C$1=1),$A678,$A678+1),COLUMN('1-DATA'!AN676)),IF($B678="STD. DEVIATION",2,$F$1))))</f>
        <v/>
      </c>
      <c r="AP678" s="1" t="str">
        <f>IF(OR($B678="",AP$7=""),"",IF($B678="MEANS",INDEX('1-DATA'!$1:$1048576,$A677-1,COLUMN('1-DATA'!AO676)),ROUND(INDEX('1-DATA'!$1:$1048576,IF(OR($B678="STD. DEVIATION",$C$1=1),$A678,$A678+1),COLUMN('1-DATA'!AO676)),IF($B678="STD. DEVIATION",2,$F$1))))</f>
        <v/>
      </c>
      <c r="AQ678" s="1" t="str">
        <f>IF(OR($B678="",AQ$7=""),"",IF($B678="MEANS",INDEX('1-DATA'!$1:$1048576,$A677-1,COLUMN('1-DATA'!AP676)),ROUND(INDEX('1-DATA'!$1:$1048576,IF(OR($B678="STD. DEVIATION",$C$1=1),$A678,$A678+1),COLUMN('1-DATA'!AP676)),IF($B678="STD. DEVIATION",2,$F$1))))</f>
        <v/>
      </c>
      <c r="AR678" s="1" t="str">
        <f>IF(OR($B678="",AR$7=""),"",IF($B678="MEANS",INDEX('1-DATA'!$1:$1048576,$A677-1,COLUMN('1-DATA'!AQ676)),ROUND(INDEX('1-DATA'!$1:$1048576,IF(OR($B678="STD. DEVIATION",$C$1=1),$A678,$A678+1),COLUMN('1-DATA'!AQ676)),IF($B678="STD. DEVIATION",2,$F$1))))</f>
        <v/>
      </c>
      <c r="AS678" s="1" t="str">
        <f>IF(OR($B678="",AS$7=""),"",IF($B678="MEANS",INDEX('1-DATA'!$1:$1048576,$A677-1,COLUMN('1-DATA'!AR676)),ROUND(INDEX('1-DATA'!$1:$1048576,IF(OR($B678="STD. DEVIATION",$C$1=1),$A678,$A678+1),COLUMN('1-DATA'!AR676)),IF($B678="STD. DEVIATION",2,$F$1))))</f>
        <v/>
      </c>
      <c r="AT678" s="1" t="str">
        <f>IF(OR($B678="",AT$7=""),"",IF($B678="MEANS",INDEX('1-DATA'!$1:$1048576,$A677-1,COLUMN('1-DATA'!AS676)),ROUND(INDEX('1-DATA'!$1:$1048576,IF(OR($B678="STD. DEVIATION",$C$1=1),$A678,$A678+1),COLUMN('1-DATA'!AS676)),IF($B678="STD. DEVIATION",2,$F$1))))</f>
        <v/>
      </c>
      <c r="AU678" s="1" t="str">
        <f>IF(OR($B678="",AU$7=""),"",IF($B678="MEANS",INDEX('1-DATA'!$1:$1048576,$A677-1,COLUMN('1-DATA'!AT676)),ROUND(INDEX('1-DATA'!$1:$1048576,IF(OR($B678="STD. DEVIATION",$C$1=1),$A678,$A678+1),COLUMN('1-DATA'!AT676)),IF($B678="STD. DEVIATION",2,$F$1))))</f>
        <v/>
      </c>
      <c r="AV678" s="1" t="str">
        <f>IF(OR($B678="",AV$7=""),"",IF($B678="MEANS",INDEX('1-DATA'!$1:$1048576,$A677-1,COLUMN('1-DATA'!AU676)),ROUND(INDEX('1-DATA'!$1:$1048576,IF(OR($B678="STD. DEVIATION",$C$1=1),$A678,$A678+1),COLUMN('1-DATA'!AU676)),IF($B678="STD. DEVIATION",2,$F$1))))</f>
        <v/>
      </c>
      <c r="AW678" s="1" t="str">
        <f>IF(OR($B678="",AW$7=""),"",IF($B678="MEANS",INDEX('1-DATA'!$1:$1048576,$A677-1,COLUMN('1-DATA'!AV676)),ROUND(INDEX('1-DATA'!$1:$1048576,IF(OR($B678="STD. DEVIATION",$C$1=1),$A678,$A678+1),COLUMN('1-DATA'!AV676)),IF($B678="STD. DEVIATION",2,$F$1))))</f>
        <v/>
      </c>
      <c r="AX678" s="1" t="str">
        <f>IF(OR($B678="",AX$7=""),"",IF($B678="MEANS",INDEX('1-DATA'!$1:$1048576,$A677-1,COLUMN('1-DATA'!AW676)),ROUND(INDEX('1-DATA'!$1:$1048576,IF(OR($B678="STD. DEVIATION",$C$1=1),$A678,$A678+1),COLUMN('1-DATA'!AW676)),IF($B678="STD. DEVIATION",2,$F$1))))</f>
        <v/>
      </c>
      <c r="AY678" s="1" t="str">
        <f>IF(OR($B678="",AY$7=""),"",IF($B678="MEANS",INDEX('1-DATA'!$1:$1048576,$A677-1,COLUMN('1-DATA'!AX676)),ROUND(INDEX('1-DATA'!$1:$1048576,IF(OR($B678="STD. DEVIATION",$C$1=1),$A678,$A678+1),COLUMN('1-DATA'!AX676)),IF($B678="STD. DEVIATION",2,$F$1))))</f>
        <v/>
      </c>
      <c r="AZ678" s="1" t="str">
        <f>IF(OR($B678="",AZ$7=""),"",IF($B678="MEANS",INDEX('1-DATA'!$1:$1048576,$A677-1,COLUMN('1-DATA'!AY676)),ROUND(INDEX('1-DATA'!$1:$1048576,IF(OR($B678="STD. DEVIATION",$C$1=1),$A678,$A678+1),COLUMN('1-DATA'!AY676)),IF($B678="STD. DEVIATION",2,$F$1))))</f>
        <v/>
      </c>
    </row>
    <row r="679" spans="1:52" x14ac:dyDescent="0.25">
      <c r="A679" s="11">
        <f t="shared" si="11"/>
        <v>2023</v>
      </c>
      <c r="B679" s="1" t="str">
        <f>IF(B678="STD. DEVIATION",INDEX('1-DATA'!$1:$1048576,$A678-1,1),IF(INDEX('1-DATA'!$1:$1048576,$A679,1)&lt;&gt;"",INDEX('1-DATA'!$1:$1048576,$A679,1),""))</f>
        <v/>
      </c>
      <c r="C679" s="1" t="str">
        <f>IF(OR($B679="",C$7=""),"",IF($B679="MEANS",INDEX('1-DATA'!$1:$1048576,$A678-1,COLUMN('1-DATA'!B677)),ROUND(INDEX('1-DATA'!$1:$1048576,IF(OR($B679="STD. DEVIATION",$C$1=1),$A679,$A679+1),COLUMN('1-DATA'!B677)),IF($B679="STD. DEVIATION",2,$F$1))))</f>
        <v/>
      </c>
      <c r="D679" s="1" t="str">
        <f>IF(OR($B679="",D$7=""),"",IF($B679="MEANS",INDEX('1-DATA'!$1:$1048576,$A678-1,COLUMN('1-DATA'!C677)),ROUND(INDEX('1-DATA'!$1:$1048576,IF(OR($B679="STD. DEVIATION",$C$1=1),$A679,$A679+1),COLUMN('1-DATA'!C677)),IF($B679="STD. DEVIATION",2,$F$1))))</f>
        <v/>
      </c>
      <c r="E679" s="1" t="str">
        <f>IF(OR($B679="",E$7=""),"",IF($B679="MEANS",INDEX('1-DATA'!$1:$1048576,$A678-1,COLUMN('1-DATA'!D677)),ROUND(INDEX('1-DATA'!$1:$1048576,IF(OR($B679="STD. DEVIATION",$C$1=1),$A679,$A679+1),COLUMN('1-DATA'!D677)),IF($B679="STD. DEVIATION",2,$F$1))))</f>
        <v/>
      </c>
      <c r="F679" s="1" t="str">
        <f>IF(OR($B679="",F$7=""),"",IF($B679="MEANS",INDEX('1-DATA'!$1:$1048576,$A678-1,COLUMN('1-DATA'!E677)),ROUND(INDEX('1-DATA'!$1:$1048576,IF(OR($B679="STD. DEVIATION",$C$1=1),$A679,$A679+1),COLUMN('1-DATA'!E677)),IF($B679="STD. DEVIATION",2,$F$1))))</f>
        <v/>
      </c>
      <c r="G679" s="1" t="str">
        <f>IF(OR($B679="",G$7=""),"",IF($B679="MEANS",INDEX('1-DATA'!$1:$1048576,$A678-1,COLUMN('1-DATA'!F677)),ROUND(INDEX('1-DATA'!$1:$1048576,IF(OR($B679="STD. DEVIATION",$C$1=1),$A679,$A679+1),COLUMN('1-DATA'!F677)),IF($B679="STD. DEVIATION",2,$F$1))))</f>
        <v/>
      </c>
      <c r="H679" s="1" t="str">
        <f>IF(OR($B679="",H$7=""),"",IF($B679="MEANS",INDEX('1-DATA'!$1:$1048576,$A678-1,COLUMN('1-DATA'!G677)),ROUND(INDEX('1-DATA'!$1:$1048576,IF(OR($B679="STD. DEVIATION",$C$1=1),$A679,$A679+1),COLUMN('1-DATA'!G677)),IF($B679="STD. DEVIATION",2,$F$1))))</f>
        <v/>
      </c>
      <c r="I679" s="1" t="str">
        <f>IF(OR($B679="",I$7=""),"",IF($B679="MEANS",INDEX('1-DATA'!$1:$1048576,$A678-1,COLUMN('1-DATA'!H677)),ROUND(INDEX('1-DATA'!$1:$1048576,IF(OR($B679="STD. DEVIATION",$C$1=1),$A679,$A679+1),COLUMN('1-DATA'!H677)),IF($B679="STD. DEVIATION",2,$F$1))))</f>
        <v/>
      </c>
      <c r="J679" s="1" t="str">
        <f>IF(OR($B679="",J$7=""),"",IF($B679="MEANS",INDEX('1-DATA'!$1:$1048576,$A678-1,COLUMN('1-DATA'!I677)),ROUND(INDEX('1-DATA'!$1:$1048576,IF(OR($B679="STD. DEVIATION",$C$1=1),$A679,$A679+1),COLUMN('1-DATA'!I677)),IF($B679="STD. DEVIATION",2,$F$1))))</f>
        <v/>
      </c>
      <c r="K679" s="1" t="str">
        <f>IF(OR($B679="",K$7=""),"",IF($B679="MEANS",INDEX('1-DATA'!$1:$1048576,$A678-1,COLUMN('1-DATA'!J677)),ROUND(INDEX('1-DATA'!$1:$1048576,IF(OR($B679="STD. DEVIATION",$C$1=1),$A679,$A679+1),COLUMN('1-DATA'!J677)),IF($B679="STD. DEVIATION",2,$F$1))))</f>
        <v/>
      </c>
      <c r="L679" s="1" t="str">
        <f>IF(OR($B679="",L$7=""),"",IF($B679="MEANS",INDEX('1-DATA'!$1:$1048576,$A678-1,COLUMN('1-DATA'!K677)),ROUND(INDEX('1-DATA'!$1:$1048576,IF(OR($B679="STD. DEVIATION",$C$1=1),$A679,$A679+1),COLUMN('1-DATA'!K677)),IF($B679="STD. DEVIATION",2,$F$1))))</f>
        <v/>
      </c>
      <c r="M679" s="1" t="str">
        <f>IF(OR($B679="",M$7=""),"",IF($B679="MEANS",INDEX('1-DATA'!$1:$1048576,$A678-1,COLUMN('1-DATA'!L677)),ROUND(INDEX('1-DATA'!$1:$1048576,IF(OR($B679="STD. DEVIATION",$C$1=1),$A679,$A679+1),COLUMN('1-DATA'!L677)),IF($B679="STD. DEVIATION",2,$F$1))))</f>
        <v/>
      </c>
      <c r="N679" s="1" t="str">
        <f>IF(OR($B679="",N$7=""),"",IF($B679="MEANS",INDEX('1-DATA'!$1:$1048576,$A678-1,COLUMN('1-DATA'!M677)),ROUND(INDEX('1-DATA'!$1:$1048576,IF(OR($B679="STD. DEVIATION",$C$1=1),$A679,$A679+1),COLUMN('1-DATA'!M677)),IF($B679="STD. DEVIATION",2,$F$1))))</f>
        <v/>
      </c>
      <c r="O679" s="1" t="str">
        <f>IF(OR($B679="",O$7=""),"",IF($B679="MEANS",INDEX('1-DATA'!$1:$1048576,$A678-1,COLUMN('1-DATA'!N677)),ROUND(INDEX('1-DATA'!$1:$1048576,IF(OR($B679="STD. DEVIATION",$C$1=1),$A679,$A679+1),COLUMN('1-DATA'!N677)),IF($B679="STD. DEVIATION",2,$F$1))))</f>
        <v/>
      </c>
      <c r="P679" s="1" t="str">
        <f>IF(OR($B679="",P$7=""),"",IF($B679="MEANS",INDEX('1-DATA'!$1:$1048576,$A678-1,COLUMN('1-DATA'!O677)),ROUND(INDEX('1-DATA'!$1:$1048576,IF(OR($B679="STD. DEVIATION",$C$1=1),$A679,$A679+1),COLUMN('1-DATA'!O677)),IF($B679="STD. DEVIATION",2,$F$1))))</f>
        <v/>
      </c>
      <c r="Q679" s="1" t="str">
        <f>IF(OR($B679="",Q$7=""),"",IF($B679="MEANS",INDEX('1-DATA'!$1:$1048576,$A678-1,COLUMN('1-DATA'!P677)),ROUND(INDEX('1-DATA'!$1:$1048576,IF(OR($B679="STD. DEVIATION",$C$1=1),$A679,$A679+1),COLUMN('1-DATA'!P677)),IF($B679="STD. DEVIATION",2,$F$1))))</f>
        <v/>
      </c>
      <c r="R679" s="1" t="str">
        <f>IF(OR($B679="",R$7=""),"",IF($B679="MEANS",INDEX('1-DATA'!$1:$1048576,$A678-1,COLUMN('1-DATA'!Q677)),ROUND(INDEX('1-DATA'!$1:$1048576,IF(OR($B679="STD. DEVIATION",$C$1=1),$A679,$A679+1),COLUMN('1-DATA'!Q677)),IF($B679="STD. DEVIATION",2,$F$1))))</f>
        <v/>
      </c>
      <c r="S679" s="1" t="str">
        <f>IF(OR($B679="",S$7=""),"",IF($B679="MEANS",INDEX('1-DATA'!$1:$1048576,$A678-1,COLUMN('1-DATA'!R677)),ROUND(INDEX('1-DATA'!$1:$1048576,IF(OR($B679="STD. DEVIATION",$C$1=1),$A679,$A679+1),COLUMN('1-DATA'!R677)),IF($B679="STD. DEVIATION",2,$F$1))))</f>
        <v/>
      </c>
      <c r="T679" s="1" t="str">
        <f>IF(OR($B679="",T$7=""),"",IF($B679="MEANS",INDEX('1-DATA'!$1:$1048576,$A678-1,COLUMN('1-DATA'!S677)),ROUND(INDEX('1-DATA'!$1:$1048576,IF(OR($B679="STD. DEVIATION",$C$1=1),$A679,$A679+1),COLUMN('1-DATA'!S677)),IF($B679="STD. DEVIATION",2,$F$1))))</f>
        <v/>
      </c>
      <c r="U679" s="1" t="str">
        <f>IF(OR($B679="",U$7=""),"",IF($B679="MEANS",INDEX('1-DATA'!$1:$1048576,$A678-1,COLUMN('1-DATA'!T677)),ROUND(INDEX('1-DATA'!$1:$1048576,IF(OR($B679="STD. DEVIATION",$C$1=1),$A679,$A679+1),COLUMN('1-DATA'!T677)),IF($B679="STD. DEVIATION",2,$F$1))))</f>
        <v/>
      </c>
      <c r="V679" s="1" t="str">
        <f>IF(OR($B679="",V$7=""),"",IF($B679="MEANS",INDEX('1-DATA'!$1:$1048576,$A678-1,COLUMN('1-DATA'!U677)),ROUND(INDEX('1-DATA'!$1:$1048576,IF(OR($B679="STD. DEVIATION",$C$1=1),$A679,$A679+1),COLUMN('1-DATA'!U677)),IF($B679="STD. DEVIATION",2,$F$1))))</f>
        <v/>
      </c>
      <c r="W679" s="1" t="str">
        <f>IF(OR($B679="",W$7=""),"",IF($B679="MEANS",INDEX('1-DATA'!$1:$1048576,$A678-1,COLUMN('1-DATA'!V677)),ROUND(INDEX('1-DATA'!$1:$1048576,IF(OR($B679="STD. DEVIATION",$C$1=1),$A679,$A679+1),COLUMN('1-DATA'!V677)),IF($B679="STD. DEVIATION",2,$F$1))))</f>
        <v/>
      </c>
      <c r="X679" s="1" t="str">
        <f>IF(OR($B679="",X$7=""),"",IF($B679="MEANS",INDEX('1-DATA'!$1:$1048576,$A678-1,COLUMN('1-DATA'!W677)),ROUND(INDEX('1-DATA'!$1:$1048576,IF(OR($B679="STD. DEVIATION",$C$1=1),$A679,$A679+1),COLUMN('1-DATA'!W677)),IF($B679="STD. DEVIATION",2,$F$1))))</f>
        <v/>
      </c>
      <c r="Y679" s="1" t="str">
        <f>IF(OR($B679="",Y$7=""),"",IF($B679="MEANS",INDEX('1-DATA'!$1:$1048576,$A678-1,COLUMN('1-DATA'!X677)),ROUND(INDEX('1-DATA'!$1:$1048576,IF(OR($B679="STD. DEVIATION",$C$1=1),$A679,$A679+1),COLUMN('1-DATA'!X677)),IF($B679="STD. DEVIATION",2,$F$1))))</f>
        <v/>
      </c>
      <c r="Z679" s="1" t="str">
        <f>IF(OR($B679="",Z$7=""),"",IF($B679="MEANS",INDEX('1-DATA'!$1:$1048576,$A678-1,COLUMN('1-DATA'!Y677)),ROUND(INDEX('1-DATA'!$1:$1048576,IF(OR($B679="STD. DEVIATION",$C$1=1),$A679,$A679+1),COLUMN('1-DATA'!Y677)),IF($B679="STD. DEVIATION",2,$F$1))))</f>
        <v/>
      </c>
      <c r="AA679" s="1" t="str">
        <f>IF(OR($B679="",AA$7=""),"",IF($B679="MEANS",INDEX('1-DATA'!$1:$1048576,$A678-1,COLUMN('1-DATA'!Z677)),ROUND(INDEX('1-DATA'!$1:$1048576,IF(OR($B679="STD. DEVIATION",$C$1=1),$A679,$A679+1),COLUMN('1-DATA'!Z677)),IF($B679="STD. DEVIATION",2,$F$1))))</f>
        <v/>
      </c>
      <c r="AB679" s="1" t="str">
        <f>IF(OR($B679="",AB$7=""),"",IF($B679="MEANS",INDEX('1-DATA'!$1:$1048576,$A678-1,COLUMN('1-DATA'!AA677)),ROUND(INDEX('1-DATA'!$1:$1048576,IF(OR($B679="STD. DEVIATION",$C$1=1),$A679,$A679+1),COLUMN('1-DATA'!AA677)),IF($B679="STD. DEVIATION",2,$F$1))))</f>
        <v/>
      </c>
      <c r="AC679" s="1" t="str">
        <f>IF(OR($B679="",AC$7=""),"",IF($B679="MEANS",INDEX('1-DATA'!$1:$1048576,$A678-1,COLUMN('1-DATA'!AB677)),ROUND(INDEX('1-DATA'!$1:$1048576,IF(OR($B679="STD. DEVIATION",$C$1=1),$A679,$A679+1),COLUMN('1-DATA'!AB677)),IF($B679="STD. DEVIATION",2,$F$1))))</f>
        <v/>
      </c>
      <c r="AD679" s="1" t="str">
        <f>IF(OR($B679="",AD$7=""),"",IF($B679="MEANS",INDEX('1-DATA'!$1:$1048576,$A678-1,COLUMN('1-DATA'!AC677)),ROUND(INDEX('1-DATA'!$1:$1048576,IF(OR($B679="STD. DEVIATION",$C$1=1),$A679,$A679+1),COLUMN('1-DATA'!AC677)),IF($B679="STD. DEVIATION",2,$F$1))))</f>
        <v/>
      </c>
      <c r="AE679" s="1" t="str">
        <f>IF(OR($B679="",AE$7=""),"",IF($B679="MEANS",INDEX('1-DATA'!$1:$1048576,$A678-1,COLUMN('1-DATA'!AD677)),ROUND(INDEX('1-DATA'!$1:$1048576,IF(OR($B679="STD. DEVIATION",$C$1=1),$A679,$A679+1),COLUMN('1-DATA'!AD677)),IF($B679="STD. DEVIATION",2,$F$1))))</f>
        <v/>
      </c>
      <c r="AF679" s="1" t="str">
        <f>IF(OR($B679="",AF$7=""),"",IF($B679="MEANS",INDEX('1-DATA'!$1:$1048576,$A678-1,COLUMN('1-DATA'!AE677)),ROUND(INDEX('1-DATA'!$1:$1048576,IF(OR($B679="STD. DEVIATION",$C$1=1),$A679,$A679+1),COLUMN('1-DATA'!AE677)),IF($B679="STD. DEVIATION",2,$F$1))))</f>
        <v/>
      </c>
      <c r="AG679" s="1" t="str">
        <f>IF(OR($B679="",AG$7=""),"",IF($B679="MEANS",INDEX('1-DATA'!$1:$1048576,$A678-1,COLUMN('1-DATA'!AF677)),ROUND(INDEX('1-DATA'!$1:$1048576,IF(OR($B679="STD. DEVIATION",$C$1=1),$A679,$A679+1),COLUMN('1-DATA'!AF677)),IF($B679="STD. DEVIATION",2,$F$1))))</f>
        <v/>
      </c>
      <c r="AH679" s="1" t="str">
        <f>IF(OR($B679="",AH$7=""),"",IF($B679="MEANS",INDEX('1-DATA'!$1:$1048576,$A678-1,COLUMN('1-DATA'!AG677)),ROUND(INDEX('1-DATA'!$1:$1048576,IF(OR($B679="STD. DEVIATION",$C$1=1),$A679,$A679+1),COLUMN('1-DATA'!AG677)),IF($B679="STD. DEVIATION",2,$F$1))))</f>
        <v/>
      </c>
      <c r="AI679" s="1" t="str">
        <f>IF(OR($B679="",AI$7=""),"",IF($B679="MEANS",INDEX('1-DATA'!$1:$1048576,$A678-1,COLUMN('1-DATA'!AH677)),ROUND(INDEX('1-DATA'!$1:$1048576,IF(OR($B679="STD. DEVIATION",$C$1=1),$A679,$A679+1),COLUMN('1-DATA'!AH677)),IF($B679="STD. DEVIATION",2,$F$1))))</f>
        <v/>
      </c>
      <c r="AJ679" s="1" t="str">
        <f>IF(OR($B679="",AJ$7=""),"",IF($B679="MEANS",INDEX('1-DATA'!$1:$1048576,$A678-1,COLUMN('1-DATA'!AI677)),ROUND(INDEX('1-DATA'!$1:$1048576,IF(OR($B679="STD. DEVIATION",$C$1=1),$A679,$A679+1),COLUMN('1-DATA'!AI677)),IF($B679="STD. DEVIATION",2,$F$1))))</f>
        <v/>
      </c>
      <c r="AK679" s="1" t="str">
        <f>IF(OR($B679="",AK$7=""),"",IF($B679="MEANS",INDEX('1-DATA'!$1:$1048576,$A678-1,COLUMN('1-DATA'!AJ677)),ROUND(INDEX('1-DATA'!$1:$1048576,IF(OR($B679="STD. DEVIATION",$C$1=1),$A679,$A679+1),COLUMN('1-DATA'!AJ677)),IF($B679="STD. DEVIATION",2,$F$1))))</f>
        <v/>
      </c>
      <c r="AL679" s="1" t="str">
        <f>IF(OR($B679="",AL$7=""),"",IF($B679="MEANS",INDEX('1-DATA'!$1:$1048576,$A678-1,COLUMN('1-DATA'!AK677)),ROUND(INDEX('1-DATA'!$1:$1048576,IF(OR($B679="STD. DEVIATION",$C$1=1),$A679,$A679+1),COLUMN('1-DATA'!AK677)),IF($B679="STD. DEVIATION",2,$F$1))))</f>
        <v/>
      </c>
      <c r="AM679" s="1" t="str">
        <f>IF(OR($B679="",AM$7=""),"",IF($B679="MEANS",INDEX('1-DATA'!$1:$1048576,$A678-1,COLUMN('1-DATA'!AL677)),ROUND(INDEX('1-DATA'!$1:$1048576,IF(OR($B679="STD. DEVIATION",$C$1=1),$A679,$A679+1),COLUMN('1-DATA'!AL677)),IF($B679="STD. DEVIATION",2,$F$1))))</f>
        <v/>
      </c>
      <c r="AN679" s="1" t="str">
        <f>IF(OR($B679="",AN$7=""),"",IF($B679="MEANS",INDEX('1-DATA'!$1:$1048576,$A678-1,COLUMN('1-DATA'!AM677)),ROUND(INDEX('1-DATA'!$1:$1048576,IF(OR($B679="STD. DEVIATION",$C$1=1),$A679,$A679+1),COLUMN('1-DATA'!AM677)),IF($B679="STD. DEVIATION",2,$F$1))))</f>
        <v/>
      </c>
      <c r="AO679" s="1" t="str">
        <f>IF(OR($B679="",AO$7=""),"",IF($B679="MEANS",INDEX('1-DATA'!$1:$1048576,$A678-1,COLUMN('1-DATA'!AN677)),ROUND(INDEX('1-DATA'!$1:$1048576,IF(OR($B679="STD. DEVIATION",$C$1=1),$A679,$A679+1),COLUMN('1-DATA'!AN677)),IF($B679="STD. DEVIATION",2,$F$1))))</f>
        <v/>
      </c>
      <c r="AP679" s="1" t="str">
        <f>IF(OR($B679="",AP$7=""),"",IF($B679="MEANS",INDEX('1-DATA'!$1:$1048576,$A678-1,COLUMN('1-DATA'!AO677)),ROUND(INDEX('1-DATA'!$1:$1048576,IF(OR($B679="STD. DEVIATION",$C$1=1),$A679,$A679+1),COLUMN('1-DATA'!AO677)),IF($B679="STD. DEVIATION",2,$F$1))))</f>
        <v/>
      </c>
      <c r="AQ679" s="1" t="str">
        <f>IF(OR($B679="",AQ$7=""),"",IF($B679="MEANS",INDEX('1-DATA'!$1:$1048576,$A678-1,COLUMN('1-DATA'!AP677)),ROUND(INDEX('1-DATA'!$1:$1048576,IF(OR($B679="STD. DEVIATION",$C$1=1),$A679,$A679+1),COLUMN('1-DATA'!AP677)),IF($B679="STD. DEVIATION",2,$F$1))))</f>
        <v/>
      </c>
      <c r="AR679" s="1" t="str">
        <f>IF(OR($B679="",AR$7=""),"",IF($B679="MEANS",INDEX('1-DATA'!$1:$1048576,$A678-1,COLUMN('1-DATA'!AQ677)),ROUND(INDEX('1-DATA'!$1:$1048576,IF(OR($B679="STD. DEVIATION",$C$1=1),$A679,$A679+1),COLUMN('1-DATA'!AQ677)),IF($B679="STD. DEVIATION",2,$F$1))))</f>
        <v/>
      </c>
      <c r="AS679" s="1" t="str">
        <f>IF(OR($B679="",AS$7=""),"",IF($B679="MEANS",INDEX('1-DATA'!$1:$1048576,$A678-1,COLUMN('1-DATA'!AR677)),ROUND(INDEX('1-DATA'!$1:$1048576,IF(OR($B679="STD. DEVIATION",$C$1=1),$A679,$A679+1),COLUMN('1-DATA'!AR677)),IF($B679="STD. DEVIATION",2,$F$1))))</f>
        <v/>
      </c>
      <c r="AT679" s="1" t="str">
        <f>IF(OR($B679="",AT$7=""),"",IF($B679="MEANS",INDEX('1-DATA'!$1:$1048576,$A678-1,COLUMN('1-DATA'!AS677)),ROUND(INDEX('1-DATA'!$1:$1048576,IF(OR($B679="STD. DEVIATION",$C$1=1),$A679,$A679+1),COLUMN('1-DATA'!AS677)),IF($B679="STD. DEVIATION",2,$F$1))))</f>
        <v/>
      </c>
      <c r="AU679" s="1" t="str">
        <f>IF(OR($B679="",AU$7=""),"",IF($B679="MEANS",INDEX('1-DATA'!$1:$1048576,$A678-1,COLUMN('1-DATA'!AT677)),ROUND(INDEX('1-DATA'!$1:$1048576,IF(OR($B679="STD. DEVIATION",$C$1=1),$A679,$A679+1),COLUMN('1-DATA'!AT677)),IF($B679="STD. DEVIATION",2,$F$1))))</f>
        <v/>
      </c>
      <c r="AV679" s="1" t="str">
        <f>IF(OR($B679="",AV$7=""),"",IF($B679="MEANS",INDEX('1-DATA'!$1:$1048576,$A678-1,COLUMN('1-DATA'!AU677)),ROUND(INDEX('1-DATA'!$1:$1048576,IF(OR($B679="STD. DEVIATION",$C$1=1),$A679,$A679+1),COLUMN('1-DATA'!AU677)),IF($B679="STD. DEVIATION",2,$F$1))))</f>
        <v/>
      </c>
      <c r="AW679" s="1" t="str">
        <f>IF(OR($B679="",AW$7=""),"",IF($B679="MEANS",INDEX('1-DATA'!$1:$1048576,$A678-1,COLUMN('1-DATA'!AV677)),ROUND(INDEX('1-DATA'!$1:$1048576,IF(OR($B679="STD. DEVIATION",$C$1=1),$A679,$A679+1),COLUMN('1-DATA'!AV677)),IF($B679="STD. DEVIATION",2,$F$1))))</f>
        <v/>
      </c>
      <c r="AX679" s="1" t="str">
        <f>IF(OR($B679="",AX$7=""),"",IF($B679="MEANS",INDEX('1-DATA'!$1:$1048576,$A678-1,COLUMN('1-DATA'!AW677)),ROUND(INDEX('1-DATA'!$1:$1048576,IF(OR($B679="STD. DEVIATION",$C$1=1),$A679,$A679+1),COLUMN('1-DATA'!AW677)),IF($B679="STD. DEVIATION",2,$F$1))))</f>
        <v/>
      </c>
      <c r="AY679" s="1" t="str">
        <f>IF(OR($B679="",AY$7=""),"",IF($B679="MEANS",INDEX('1-DATA'!$1:$1048576,$A678-1,COLUMN('1-DATA'!AX677)),ROUND(INDEX('1-DATA'!$1:$1048576,IF(OR($B679="STD. DEVIATION",$C$1=1),$A679,$A679+1),COLUMN('1-DATA'!AX677)),IF($B679="STD. DEVIATION",2,$F$1))))</f>
        <v/>
      </c>
      <c r="AZ679" s="1" t="str">
        <f>IF(OR($B679="",AZ$7=""),"",IF($B679="MEANS",INDEX('1-DATA'!$1:$1048576,$A678-1,COLUMN('1-DATA'!AY677)),ROUND(INDEX('1-DATA'!$1:$1048576,IF(OR($B679="STD. DEVIATION",$C$1=1),$A679,$A679+1),COLUMN('1-DATA'!AY677)),IF($B679="STD. DEVIATION",2,$F$1))))</f>
        <v/>
      </c>
    </row>
    <row r="680" spans="1:52" x14ac:dyDescent="0.25">
      <c r="A680" s="11">
        <f t="shared" si="11"/>
        <v>2026</v>
      </c>
      <c r="B680" s="1" t="str">
        <f>IF(B679="STD. DEVIATION",INDEX('1-DATA'!$1:$1048576,$A679-1,1),IF(INDEX('1-DATA'!$1:$1048576,$A680,1)&lt;&gt;"",INDEX('1-DATA'!$1:$1048576,$A680,1),""))</f>
        <v/>
      </c>
      <c r="C680" s="1" t="str">
        <f>IF(OR($B680="",C$7=""),"",IF($B680="MEANS",INDEX('1-DATA'!$1:$1048576,$A679-1,COLUMN('1-DATA'!B678)),ROUND(INDEX('1-DATA'!$1:$1048576,IF(OR($B680="STD. DEVIATION",$C$1=1),$A680,$A680+1),COLUMN('1-DATA'!B678)),IF($B680="STD. DEVIATION",2,$F$1))))</f>
        <v/>
      </c>
      <c r="D680" s="1" t="str">
        <f>IF(OR($B680="",D$7=""),"",IF($B680="MEANS",INDEX('1-DATA'!$1:$1048576,$A679-1,COLUMN('1-DATA'!C678)),ROUND(INDEX('1-DATA'!$1:$1048576,IF(OR($B680="STD. DEVIATION",$C$1=1),$A680,$A680+1),COLUMN('1-DATA'!C678)),IF($B680="STD. DEVIATION",2,$F$1))))</f>
        <v/>
      </c>
      <c r="E680" s="1" t="str">
        <f>IF(OR($B680="",E$7=""),"",IF($B680="MEANS",INDEX('1-DATA'!$1:$1048576,$A679-1,COLUMN('1-DATA'!D678)),ROUND(INDEX('1-DATA'!$1:$1048576,IF(OR($B680="STD. DEVIATION",$C$1=1),$A680,$A680+1),COLUMN('1-DATA'!D678)),IF($B680="STD. DEVIATION",2,$F$1))))</f>
        <v/>
      </c>
      <c r="F680" s="1" t="str">
        <f>IF(OR($B680="",F$7=""),"",IF($B680="MEANS",INDEX('1-DATA'!$1:$1048576,$A679-1,COLUMN('1-DATA'!E678)),ROUND(INDEX('1-DATA'!$1:$1048576,IF(OR($B680="STD. DEVIATION",$C$1=1),$A680,$A680+1),COLUMN('1-DATA'!E678)),IF($B680="STD. DEVIATION",2,$F$1))))</f>
        <v/>
      </c>
      <c r="G680" s="1" t="str">
        <f>IF(OR($B680="",G$7=""),"",IF($B680="MEANS",INDEX('1-DATA'!$1:$1048576,$A679-1,COLUMN('1-DATA'!F678)),ROUND(INDEX('1-DATA'!$1:$1048576,IF(OR($B680="STD. DEVIATION",$C$1=1),$A680,$A680+1),COLUMN('1-DATA'!F678)),IF($B680="STD. DEVIATION",2,$F$1))))</f>
        <v/>
      </c>
      <c r="H680" s="1" t="str">
        <f>IF(OR($B680="",H$7=""),"",IF($B680="MEANS",INDEX('1-DATA'!$1:$1048576,$A679-1,COLUMN('1-DATA'!G678)),ROUND(INDEX('1-DATA'!$1:$1048576,IF(OR($B680="STD. DEVIATION",$C$1=1),$A680,$A680+1),COLUMN('1-DATA'!G678)),IF($B680="STD. DEVIATION",2,$F$1))))</f>
        <v/>
      </c>
      <c r="I680" s="1" t="str">
        <f>IF(OR($B680="",I$7=""),"",IF($B680="MEANS",INDEX('1-DATA'!$1:$1048576,$A679-1,COLUMN('1-DATA'!H678)),ROUND(INDEX('1-DATA'!$1:$1048576,IF(OR($B680="STD. DEVIATION",$C$1=1),$A680,$A680+1),COLUMN('1-DATA'!H678)),IF($B680="STD. DEVIATION",2,$F$1))))</f>
        <v/>
      </c>
      <c r="J680" s="1" t="str">
        <f>IF(OR($B680="",J$7=""),"",IF($B680="MEANS",INDEX('1-DATA'!$1:$1048576,$A679-1,COLUMN('1-DATA'!I678)),ROUND(INDEX('1-DATA'!$1:$1048576,IF(OR($B680="STD. DEVIATION",$C$1=1),$A680,$A680+1),COLUMN('1-DATA'!I678)),IF($B680="STD. DEVIATION",2,$F$1))))</f>
        <v/>
      </c>
      <c r="K680" s="1" t="str">
        <f>IF(OR($B680="",K$7=""),"",IF($B680="MEANS",INDEX('1-DATA'!$1:$1048576,$A679-1,COLUMN('1-DATA'!J678)),ROUND(INDEX('1-DATA'!$1:$1048576,IF(OR($B680="STD. DEVIATION",$C$1=1),$A680,$A680+1),COLUMN('1-DATA'!J678)),IF($B680="STD. DEVIATION",2,$F$1))))</f>
        <v/>
      </c>
      <c r="L680" s="1" t="str">
        <f>IF(OR($B680="",L$7=""),"",IF($B680="MEANS",INDEX('1-DATA'!$1:$1048576,$A679-1,COLUMN('1-DATA'!K678)),ROUND(INDEX('1-DATA'!$1:$1048576,IF(OR($B680="STD. DEVIATION",$C$1=1),$A680,$A680+1),COLUMN('1-DATA'!K678)),IF($B680="STD. DEVIATION",2,$F$1))))</f>
        <v/>
      </c>
      <c r="M680" s="1" t="str">
        <f>IF(OR($B680="",M$7=""),"",IF($B680="MEANS",INDEX('1-DATA'!$1:$1048576,$A679-1,COLUMN('1-DATA'!L678)),ROUND(INDEX('1-DATA'!$1:$1048576,IF(OR($B680="STD. DEVIATION",$C$1=1),$A680,$A680+1),COLUMN('1-DATA'!L678)),IF($B680="STD. DEVIATION",2,$F$1))))</f>
        <v/>
      </c>
      <c r="N680" s="1" t="str">
        <f>IF(OR($B680="",N$7=""),"",IF($B680="MEANS",INDEX('1-DATA'!$1:$1048576,$A679-1,COLUMN('1-DATA'!M678)),ROUND(INDEX('1-DATA'!$1:$1048576,IF(OR($B680="STD. DEVIATION",$C$1=1),$A680,$A680+1),COLUMN('1-DATA'!M678)),IF($B680="STD. DEVIATION",2,$F$1))))</f>
        <v/>
      </c>
      <c r="O680" s="1" t="str">
        <f>IF(OR($B680="",O$7=""),"",IF($B680="MEANS",INDEX('1-DATA'!$1:$1048576,$A679-1,COLUMN('1-DATA'!N678)),ROUND(INDEX('1-DATA'!$1:$1048576,IF(OR($B680="STD. DEVIATION",$C$1=1),$A680,$A680+1),COLUMN('1-DATA'!N678)),IF($B680="STD. DEVIATION",2,$F$1))))</f>
        <v/>
      </c>
      <c r="P680" s="1" t="str">
        <f>IF(OR($B680="",P$7=""),"",IF($B680="MEANS",INDEX('1-DATA'!$1:$1048576,$A679-1,COLUMN('1-DATA'!O678)),ROUND(INDEX('1-DATA'!$1:$1048576,IF(OR($B680="STD. DEVIATION",$C$1=1),$A680,$A680+1),COLUMN('1-DATA'!O678)),IF($B680="STD. DEVIATION",2,$F$1))))</f>
        <v/>
      </c>
      <c r="Q680" s="1" t="str">
        <f>IF(OR($B680="",Q$7=""),"",IF($B680="MEANS",INDEX('1-DATA'!$1:$1048576,$A679-1,COLUMN('1-DATA'!P678)),ROUND(INDEX('1-DATA'!$1:$1048576,IF(OR($B680="STD. DEVIATION",$C$1=1),$A680,$A680+1),COLUMN('1-DATA'!P678)),IF($B680="STD. DEVIATION",2,$F$1))))</f>
        <v/>
      </c>
      <c r="R680" s="1" t="str">
        <f>IF(OR($B680="",R$7=""),"",IF($B680="MEANS",INDEX('1-DATA'!$1:$1048576,$A679-1,COLUMN('1-DATA'!Q678)),ROUND(INDEX('1-DATA'!$1:$1048576,IF(OR($B680="STD. DEVIATION",$C$1=1),$A680,$A680+1),COLUMN('1-DATA'!Q678)),IF($B680="STD. DEVIATION",2,$F$1))))</f>
        <v/>
      </c>
      <c r="S680" s="1" t="str">
        <f>IF(OR($B680="",S$7=""),"",IF($B680="MEANS",INDEX('1-DATA'!$1:$1048576,$A679-1,COLUMN('1-DATA'!R678)),ROUND(INDEX('1-DATA'!$1:$1048576,IF(OR($B680="STD. DEVIATION",$C$1=1),$A680,$A680+1),COLUMN('1-DATA'!R678)),IF($B680="STD. DEVIATION",2,$F$1))))</f>
        <v/>
      </c>
      <c r="T680" s="1" t="str">
        <f>IF(OR($B680="",T$7=""),"",IF($B680="MEANS",INDEX('1-DATA'!$1:$1048576,$A679-1,COLUMN('1-DATA'!S678)),ROUND(INDEX('1-DATA'!$1:$1048576,IF(OR($B680="STD. DEVIATION",$C$1=1),$A680,$A680+1),COLUMN('1-DATA'!S678)),IF($B680="STD. DEVIATION",2,$F$1))))</f>
        <v/>
      </c>
      <c r="U680" s="1" t="str">
        <f>IF(OR($B680="",U$7=""),"",IF($B680="MEANS",INDEX('1-DATA'!$1:$1048576,$A679-1,COLUMN('1-DATA'!T678)),ROUND(INDEX('1-DATA'!$1:$1048576,IF(OR($B680="STD. DEVIATION",$C$1=1),$A680,$A680+1),COLUMN('1-DATA'!T678)),IF($B680="STD. DEVIATION",2,$F$1))))</f>
        <v/>
      </c>
      <c r="V680" s="1" t="str">
        <f>IF(OR($B680="",V$7=""),"",IF($B680="MEANS",INDEX('1-DATA'!$1:$1048576,$A679-1,COLUMN('1-DATA'!U678)),ROUND(INDEX('1-DATA'!$1:$1048576,IF(OR($B680="STD. DEVIATION",$C$1=1),$A680,$A680+1),COLUMN('1-DATA'!U678)),IF($B680="STD. DEVIATION",2,$F$1))))</f>
        <v/>
      </c>
      <c r="W680" s="1" t="str">
        <f>IF(OR($B680="",W$7=""),"",IF($B680="MEANS",INDEX('1-DATA'!$1:$1048576,$A679-1,COLUMN('1-DATA'!V678)),ROUND(INDEX('1-DATA'!$1:$1048576,IF(OR($B680="STD. DEVIATION",$C$1=1),$A680,$A680+1),COLUMN('1-DATA'!V678)),IF($B680="STD. DEVIATION",2,$F$1))))</f>
        <v/>
      </c>
      <c r="X680" s="1" t="str">
        <f>IF(OR($B680="",X$7=""),"",IF($B680="MEANS",INDEX('1-DATA'!$1:$1048576,$A679-1,COLUMN('1-DATA'!W678)),ROUND(INDEX('1-DATA'!$1:$1048576,IF(OR($B680="STD. DEVIATION",$C$1=1),$A680,$A680+1),COLUMN('1-DATA'!W678)),IF($B680="STD. DEVIATION",2,$F$1))))</f>
        <v/>
      </c>
      <c r="Y680" s="1" t="str">
        <f>IF(OR($B680="",Y$7=""),"",IF($B680="MEANS",INDEX('1-DATA'!$1:$1048576,$A679-1,COLUMN('1-DATA'!X678)),ROUND(INDEX('1-DATA'!$1:$1048576,IF(OR($B680="STD. DEVIATION",$C$1=1),$A680,$A680+1),COLUMN('1-DATA'!X678)),IF($B680="STD. DEVIATION",2,$F$1))))</f>
        <v/>
      </c>
      <c r="Z680" s="1" t="str">
        <f>IF(OR($B680="",Z$7=""),"",IF($B680="MEANS",INDEX('1-DATA'!$1:$1048576,$A679-1,COLUMN('1-DATA'!Y678)),ROUND(INDEX('1-DATA'!$1:$1048576,IF(OR($B680="STD. DEVIATION",$C$1=1),$A680,$A680+1),COLUMN('1-DATA'!Y678)),IF($B680="STD. DEVIATION",2,$F$1))))</f>
        <v/>
      </c>
      <c r="AA680" s="1" t="str">
        <f>IF(OR($B680="",AA$7=""),"",IF($B680="MEANS",INDEX('1-DATA'!$1:$1048576,$A679-1,COLUMN('1-DATA'!Z678)),ROUND(INDEX('1-DATA'!$1:$1048576,IF(OR($B680="STD. DEVIATION",$C$1=1),$A680,$A680+1),COLUMN('1-DATA'!Z678)),IF($B680="STD. DEVIATION",2,$F$1))))</f>
        <v/>
      </c>
      <c r="AB680" s="1" t="str">
        <f>IF(OR($B680="",AB$7=""),"",IF($B680="MEANS",INDEX('1-DATA'!$1:$1048576,$A679-1,COLUMN('1-DATA'!AA678)),ROUND(INDEX('1-DATA'!$1:$1048576,IF(OR($B680="STD. DEVIATION",$C$1=1),$A680,$A680+1),COLUMN('1-DATA'!AA678)),IF($B680="STD. DEVIATION",2,$F$1))))</f>
        <v/>
      </c>
      <c r="AC680" s="1" t="str">
        <f>IF(OR($B680="",AC$7=""),"",IF($B680="MEANS",INDEX('1-DATA'!$1:$1048576,$A679-1,COLUMN('1-DATA'!AB678)),ROUND(INDEX('1-DATA'!$1:$1048576,IF(OR($B680="STD. DEVIATION",$C$1=1),$A680,$A680+1),COLUMN('1-DATA'!AB678)),IF($B680="STD. DEVIATION",2,$F$1))))</f>
        <v/>
      </c>
      <c r="AD680" s="1" t="str">
        <f>IF(OR($B680="",AD$7=""),"",IF($B680="MEANS",INDEX('1-DATA'!$1:$1048576,$A679-1,COLUMN('1-DATA'!AC678)),ROUND(INDEX('1-DATA'!$1:$1048576,IF(OR($B680="STD. DEVIATION",$C$1=1),$A680,$A680+1),COLUMN('1-DATA'!AC678)),IF($B680="STD. DEVIATION",2,$F$1))))</f>
        <v/>
      </c>
      <c r="AE680" s="1" t="str">
        <f>IF(OR($B680="",AE$7=""),"",IF($B680="MEANS",INDEX('1-DATA'!$1:$1048576,$A679-1,COLUMN('1-DATA'!AD678)),ROUND(INDEX('1-DATA'!$1:$1048576,IF(OR($B680="STD. DEVIATION",$C$1=1),$A680,$A680+1),COLUMN('1-DATA'!AD678)),IF($B680="STD. DEVIATION",2,$F$1))))</f>
        <v/>
      </c>
      <c r="AF680" s="1" t="str">
        <f>IF(OR($B680="",AF$7=""),"",IF($B680="MEANS",INDEX('1-DATA'!$1:$1048576,$A679-1,COLUMN('1-DATA'!AE678)),ROUND(INDEX('1-DATA'!$1:$1048576,IF(OR($B680="STD. DEVIATION",$C$1=1),$A680,$A680+1),COLUMN('1-DATA'!AE678)),IF($B680="STD. DEVIATION",2,$F$1))))</f>
        <v/>
      </c>
      <c r="AG680" s="1" t="str">
        <f>IF(OR($B680="",AG$7=""),"",IF($B680="MEANS",INDEX('1-DATA'!$1:$1048576,$A679-1,COLUMN('1-DATA'!AF678)),ROUND(INDEX('1-DATA'!$1:$1048576,IF(OR($B680="STD. DEVIATION",$C$1=1),$A680,$A680+1),COLUMN('1-DATA'!AF678)),IF($B680="STD. DEVIATION",2,$F$1))))</f>
        <v/>
      </c>
      <c r="AH680" s="1" t="str">
        <f>IF(OR($B680="",AH$7=""),"",IF($B680="MEANS",INDEX('1-DATA'!$1:$1048576,$A679-1,COLUMN('1-DATA'!AG678)),ROUND(INDEX('1-DATA'!$1:$1048576,IF(OR($B680="STD. DEVIATION",$C$1=1),$A680,$A680+1),COLUMN('1-DATA'!AG678)),IF($B680="STD. DEVIATION",2,$F$1))))</f>
        <v/>
      </c>
      <c r="AI680" s="1" t="str">
        <f>IF(OR($B680="",AI$7=""),"",IF($B680="MEANS",INDEX('1-DATA'!$1:$1048576,$A679-1,COLUMN('1-DATA'!AH678)),ROUND(INDEX('1-DATA'!$1:$1048576,IF(OR($B680="STD. DEVIATION",$C$1=1),$A680,$A680+1),COLUMN('1-DATA'!AH678)),IF($B680="STD. DEVIATION",2,$F$1))))</f>
        <v/>
      </c>
      <c r="AJ680" s="1" t="str">
        <f>IF(OR($B680="",AJ$7=""),"",IF($B680="MEANS",INDEX('1-DATA'!$1:$1048576,$A679-1,COLUMN('1-DATA'!AI678)),ROUND(INDEX('1-DATA'!$1:$1048576,IF(OR($B680="STD. DEVIATION",$C$1=1),$A680,$A680+1),COLUMN('1-DATA'!AI678)),IF($B680="STD. DEVIATION",2,$F$1))))</f>
        <v/>
      </c>
      <c r="AK680" s="1" t="str">
        <f>IF(OR($B680="",AK$7=""),"",IF($B680="MEANS",INDEX('1-DATA'!$1:$1048576,$A679-1,COLUMN('1-DATA'!AJ678)),ROUND(INDEX('1-DATA'!$1:$1048576,IF(OR($B680="STD. DEVIATION",$C$1=1),$A680,$A680+1),COLUMN('1-DATA'!AJ678)),IF($B680="STD. DEVIATION",2,$F$1))))</f>
        <v/>
      </c>
      <c r="AL680" s="1" t="str">
        <f>IF(OR($B680="",AL$7=""),"",IF($B680="MEANS",INDEX('1-DATA'!$1:$1048576,$A679-1,COLUMN('1-DATA'!AK678)),ROUND(INDEX('1-DATA'!$1:$1048576,IF(OR($B680="STD. DEVIATION",$C$1=1),$A680,$A680+1),COLUMN('1-DATA'!AK678)),IF($B680="STD. DEVIATION",2,$F$1))))</f>
        <v/>
      </c>
      <c r="AM680" s="1" t="str">
        <f>IF(OR($B680="",AM$7=""),"",IF($B680="MEANS",INDEX('1-DATA'!$1:$1048576,$A679-1,COLUMN('1-DATA'!AL678)),ROUND(INDEX('1-DATA'!$1:$1048576,IF(OR($B680="STD. DEVIATION",$C$1=1),$A680,$A680+1),COLUMN('1-DATA'!AL678)),IF($B680="STD. DEVIATION",2,$F$1))))</f>
        <v/>
      </c>
      <c r="AN680" s="1" t="str">
        <f>IF(OR($B680="",AN$7=""),"",IF($B680="MEANS",INDEX('1-DATA'!$1:$1048576,$A679-1,COLUMN('1-DATA'!AM678)),ROUND(INDEX('1-DATA'!$1:$1048576,IF(OR($B680="STD. DEVIATION",$C$1=1),$A680,$A680+1),COLUMN('1-DATA'!AM678)),IF($B680="STD. DEVIATION",2,$F$1))))</f>
        <v/>
      </c>
      <c r="AO680" s="1" t="str">
        <f>IF(OR($B680="",AO$7=""),"",IF($B680="MEANS",INDEX('1-DATA'!$1:$1048576,$A679-1,COLUMN('1-DATA'!AN678)),ROUND(INDEX('1-DATA'!$1:$1048576,IF(OR($B680="STD. DEVIATION",$C$1=1),$A680,$A680+1),COLUMN('1-DATA'!AN678)),IF($B680="STD. DEVIATION",2,$F$1))))</f>
        <v/>
      </c>
      <c r="AP680" s="1" t="str">
        <f>IF(OR($B680="",AP$7=""),"",IF($B680="MEANS",INDEX('1-DATA'!$1:$1048576,$A679-1,COLUMN('1-DATA'!AO678)),ROUND(INDEX('1-DATA'!$1:$1048576,IF(OR($B680="STD. DEVIATION",$C$1=1),$A680,$A680+1),COLUMN('1-DATA'!AO678)),IF($B680="STD. DEVIATION",2,$F$1))))</f>
        <v/>
      </c>
      <c r="AQ680" s="1" t="str">
        <f>IF(OR($B680="",AQ$7=""),"",IF($B680="MEANS",INDEX('1-DATA'!$1:$1048576,$A679-1,COLUMN('1-DATA'!AP678)),ROUND(INDEX('1-DATA'!$1:$1048576,IF(OR($B680="STD. DEVIATION",$C$1=1),$A680,$A680+1),COLUMN('1-DATA'!AP678)),IF($B680="STD. DEVIATION",2,$F$1))))</f>
        <v/>
      </c>
      <c r="AR680" s="1" t="str">
        <f>IF(OR($B680="",AR$7=""),"",IF($B680="MEANS",INDEX('1-DATA'!$1:$1048576,$A679-1,COLUMN('1-DATA'!AQ678)),ROUND(INDEX('1-DATA'!$1:$1048576,IF(OR($B680="STD. DEVIATION",$C$1=1),$A680,$A680+1),COLUMN('1-DATA'!AQ678)),IF($B680="STD. DEVIATION",2,$F$1))))</f>
        <v/>
      </c>
      <c r="AS680" s="1" t="str">
        <f>IF(OR($B680="",AS$7=""),"",IF($B680="MEANS",INDEX('1-DATA'!$1:$1048576,$A679-1,COLUMN('1-DATA'!AR678)),ROUND(INDEX('1-DATA'!$1:$1048576,IF(OR($B680="STD. DEVIATION",$C$1=1),$A680,$A680+1),COLUMN('1-DATA'!AR678)),IF($B680="STD. DEVIATION",2,$F$1))))</f>
        <v/>
      </c>
      <c r="AT680" s="1" t="str">
        <f>IF(OR($B680="",AT$7=""),"",IF($B680="MEANS",INDEX('1-DATA'!$1:$1048576,$A679-1,COLUMN('1-DATA'!AS678)),ROUND(INDEX('1-DATA'!$1:$1048576,IF(OR($B680="STD. DEVIATION",$C$1=1),$A680,$A680+1),COLUMN('1-DATA'!AS678)),IF($B680="STD. DEVIATION",2,$F$1))))</f>
        <v/>
      </c>
      <c r="AU680" s="1" t="str">
        <f>IF(OR($B680="",AU$7=""),"",IF($B680="MEANS",INDEX('1-DATA'!$1:$1048576,$A679-1,COLUMN('1-DATA'!AT678)),ROUND(INDEX('1-DATA'!$1:$1048576,IF(OR($B680="STD. DEVIATION",$C$1=1),$A680,$A680+1),COLUMN('1-DATA'!AT678)),IF($B680="STD. DEVIATION",2,$F$1))))</f>
        <v/>
      </c>
      <c r="AV680" s="1" t="str">
        <f>IF(OR($B680="",AV$7=""),"",IF($B680="MEANS",INDEX('1-DATA'!$1:$1048576,$A679-1,COLUMN('1-DATA'!AU678)),ROUND(INDEX('1-DATA'!$1:$1048576,IF(OR($B680="STD. DEVIATION",$C$1=1),$A680,$A680+1),COLUMN('1-DATA'!AU678)),IF($B680="STD. DEVIATION",2,$F$1))))</f>
        <v/>
      </c>
      <c r="AW680" s="1" t="str">
        <f>IF(OR($B680="",AW$7=""),"",IF($B680="MEANS",INDEX('1-DATA'!$1:$1048576,$A679-1,COLUMN('1-DATA'!AV678)),ROUND(INDEX('1-DATA'!$1:$1048576,IF(OR($B680="STD. DEVIATION",$C$1=1),$A680,$A680+1),COLUMN('1-DATA'!AV678)),IF($B680="STD. DEVIATION",2,$F$1))))</f>
        <v/>
      </c>
      <c r="AX680" s="1" t="str">
        <f>IF(OR($B680="",AX$7=""),"",IF($B680="MEANS",INDEX('1-DATA'!$1:$1048576,$A679-1,COLUMN('1-DATA'!AW678)),ROUND(INDEX('1-DATA'!$1:$1048576,IF(OR($B680="STD. DEVIATION",$C$1=1),$A680,$A680+1),COLUMN('1-DATA'!AW678)),IF($B680="STD. DEVIATION",2,$F$1))))</f>
        <v/>
      </c>
      <c r="AY680" s="1" t="str">
        <f>IF(OR($B680="",AY$7=""),"",IF($B680="MEANS",INDEX('1-DATA'!$1:$1048576,$A679-1,COLUMN('1-DATA'!AX678)),ROUND(INDEX('1-DATA'!$1:$1048576,IF(OR($B680="STD. DEVIATION",$C$1=1),$A680,$A680+1),COLUMN('1-DATA'!AX678)),IF($B680="STD. DEVIATION",2,$F$1))))</f>
        <v/>
      </c>
      <c r="AZ680" s="1" t="str">
        <f>IF(OR($B680="",AZ$7=""),"",IF($B680="MEANS",INDEX('1-DATA'!$1:$1048576,$A679-1,COLUMN('1-DATA'!AY678)),ROUND(INDEX('1-DATA'!$1:$1048576,IF(OR($B680="STD. DEVIATION",$C$1=1),$A680,$A680+1),COLUMN('1-DATA'!AY678)),IF($B680="STD. DEVIATION",2,$F$1))))</f>
        <v/>
      </c>
    </row>
    <row r="681" spans="1:52" x14ac:dyDescent="0.25">
      <c r="A681" s="11">
        <f t="shared" si="11"/>
        <v>2029</v>
      </c>
      <c r="B681" s="1" t="str">
        <f>IF(B680="STD. DEVIATION",INDEX('1-DATA'!$1:$1048576,$A680-1,1),IF(INDEX('1-DATA'!$1:$1048576,$A681,1)&lt;&gt;"",INDEX('1-DATA'!$1:$1048576,$A681,1),""))</f>
        <v/>
      </c>
      <c r="C681" s="1" t="str">
        <f>IF(OR($B681="",C$7=""),"",IF($B681="MEANS",INDEX('1-DATA'!$1:$1048576,$A680-1,COLUMN('1-DATA'!B679)),ROUND(INDEX('1-DATA'!$1:$1048576,IF(OR($B681="STD. DEVIATION",$C$1=1),$A681,$A681+1),COLUMN('1-DATA'!B679)),IF($B681="STD. DEVIATION",2,$F$1))))</f>
        <v/>
      </c>
      <c r="D681" s="1" t="str">
        <f>IF(OR($B681="",D$7=""),"",IF($B681="MEANS",INDEX('1-DATA'!$1:$1048576,$A680-1,COLUMN('1-DATA'!C679)),ROUND(INDEX('1-DATA'!$1:$1048576,IF(OR($B681="STD. DEVIATION",$C$1=1),$A681,$A681+1),COLUMN('1-DATA'!C679)),IF($B681="STD. DEVIATION",2,$F$1))))</f>
        <v/>
      </c>
      <c r="E681" s="1" t="str">
        <f>IF(OR($B681="",E$7=""),"",IF($B681="MEANS",INDEX('1-DATA'!$1:$1048576,$A680-1,COLUMN('1-DATA'!D679)),ROUND(INDEX('1-DATA'!$1:$1048576,IF(OR($B681="STD. DEVIATION",$C$1=1),$A681,$A681+1),COLUMN('1-DATA'!D679)),IF($B681="STD. DEVIATION",2,$F$1))))</f>
        <v/>
      </c>
      <c r="F681" s="1" t="str">
        <f>IF(OR($B681="",F$7=""),"",IF($B681="MEANS",INDEX('1-DATA'!$1:$1048576,$A680-1,COLUMN('1-DATA'!E679)),ROUND(INDEX('1-DATA'!$1:$1048576,IF(OR($B681="STD. DEVIATION",$C$1=1),$A681,$A681+1),COLUMN('1-DATA'!E679)),IF($B681="STD. DEVIATION",2,$F$1))))</f>
        <v/>
      </c>
      <c r="G681" s="1" t="str">
        <f>IF(OR($B681="",G$7=""),"",IF($B681="MEANS",INDEX('1-DATA'!$1:$1048576,$A680-1,COLUMN('1-DATA'!F679)),ROUND(INDEX('1-DATA'!$1:$1048576,IF(OR($B681="STD. DEVIATION",$C$1=1),$A681,$A681+1),COLUMN('1-DATA'!F679)),IF($B681="STD. DEVIATION",2,$F$1))))</f>
        <v/>
      </c>
      <c r="H681" s="1" t="str">
        <f>IF(OR($B681="",H$7=""),"",IF($B681="MEANS",INDEX('1-DATA'!$1:$1048576,$A680-1,COLUMN('1-DATA'!G679)),ROUND(INDEX('1-DATA'!$1:$1048576,IF(OR($B681="STD. DEVIATION",$C$1=1),$A681,$A681+1),COLUMN('1-DATA'!G679)),IF($B681="STD. DEVIATION",2,$F$1))))</f>
        <v/>
      </c>
      <c r="I681" s="1" t="str">
        <f>IF(OR($B681="",I$7=""),"",IF($B681="MEANS",INDEX('1-DATA'!$1:$1048576,$A680-1,COLUMN('1-DATA'!H679)),ROUND(INDEX('1-DATA'!$1:$1048576,IF(OR($B681="STD. DEVIATION",$C$1=1),$A681,$A681+1),COLUMN('1-DATA'!H679)),IF($B681="STD. DEVIATION",2,$F$1))))</f>
        <v/>
      </c>
      <c r="J681" s="1" t="str">
        <f>IF(OR($B681="",J$7=""),"",IF($B681="MEANS",INDEX('1-DATA'!$1:$1048576,$A680-1,COLUMN('1-DATA'!I679)),ROUND(INDEX('1-DATA'!$1:$1048576,IF(OR($B681="STD. DEVIATION",$C$1=1),$A681,$A681+1),COLUMN('1-DATA'!I679)),IF($B681="STD. DEVIATION",2,$F$1))))</f>
        <v/>
      </c>
      <c r="K681" s="1" t="str">
        <f>IF(OR($B681="",K$7=""),"",IF($B681="MEANS",INDEX('1-DATA'!$1:$1048576,$A680-1,COLUMN('1-DATA'!J679)),ROUND(INDEX('1-DATA'!$1:$1048576,IF(OR($B681="STD. DEVIATION",$C$1=1),$A681,$A681+1),COLUMN('1-DATA'!J679)),IF($B681="STD. DEVIATION",2,$F$1))))</f>
        <v/>
      </c>
      <c r="L681" s="1" t="str">
        <f>IF(OR($B681="",L$7=""),"",IF($B681="MEANS",INDEX('1-DATA'!$1:$1048576,$A680-1,COLUMN('1-DATA'!K679)),ROUND(INDEX('1-DATA'!$1:$1048576,IF(OR($B681="STD. DEVIATION",$C$1=1),$A681,$A681+1),COLUMN('1-DATA'!K679)),IF($B681="STD. DEVIATION",2,$F$1))))</f>
        <v/>
      </c>
      <c r="M681" s="1" t="str">
        <f>IF(OR($B681="",M$7=""),"",IF($B681="MEANS",INDEX('1-DATA'!$1:$1048576,$A680-1,COLUMN('1-DATA'!L679)),ROUND(INDEX('1-DATA'!$1:$1048576,IF(OR($B681="STD. DEVIATION",$C$1=1),$A681,$A681+1),COLUMN('1-DATA'!L679)),IF($B681="STD. DEVIATION",2,$F$1))))</f>
        <v/>
      </c>
      <c r="N681" s="1" t="str">
        <f>IF(OR($B681="",N$7=""),"",IF($B681="MEANS",INDEX('1-DATA'!$1:$1048576,$A680-1,COLUMN('1-DATA'!M679)),ROUND(INDEX('1-DATA'!$1:$1048576,IF(OR($B681="STD. DEVIATION",$C$1=1),$A681,$A681+1),COLUMN('1-DATA'!M679)),IF($B681="STD. DEVIATION",2,$F$1))))</f>
        <v/>
      </c>
      <c r="O681" s="1" t="str">
        <f>IF(OR($B681="",O$7=""),"",IF($B681="MEANS",INDEX('1-DATA'!$1:$1048576,$A680-1,COLUMN('1-DATA'!N679)),ROUND(INDEX('1-DATA'!$1:$1048576,IF(OR($B681="STD. DEVIATION",$C$1=1),$A681,$A681+1),COLUMN('1-DATA'!N679)),IF($B681="STD. DEVIATION",2,$F$1))))</f>
        <v/>
      </c>
      <c r="P681" s="1" t="str">
        <f>IF(OR($B681="",P$7=""),"",IF($B681="MEANS",INDEX('1-DATA'!$1:$1048576,$A680-1,COLUMN('1-DATA'!O679)),ROUND(INDEX('1-DATA'!$1:$1048576,IF(OR($B681="STD. DEVIATION",$C$1=1),$A681,$A681+1),COLUMN('1-DATA'!O679)),IF($B681="STD. DEVIATION",2,$F$1))))</f>
        <v/>
      </c>
      <c r="Q681" s="1" t="str">
        <f>IF(OR($B681="",Q$7=""),"",IF($B681="MEANS",INDEX('1-DATA'!$1:$1048576,$A680-1,COLUMN('1-DATA'!P679)),ROUND(INDEX('1-DATA'!$1:$1048576,IF(OR($B681="STD. DEVIATION",$C$1=1),$A681,$A681+1),COLUMN('1-DATA'!P679)),IF($B681="STD. DEVIATION",2,$F$1))))</f>
        <v/>
      </c>
      <c r="R681" s="1" t="str">
        <f>IF(OR($B681="",R$7=""),"",IF($B681="MEANS",INDEX('1-DATA'!$1:$1048576,$A680-1,COLUMN('1-DATA'!Q679)),ROUND(INDEX('1-DATA'!$1:$1048576,IF(OR($B681="STD. DEVIATION",$C$1=1),$A681,$A681+1),COLUMN('1-DATA'!Q679)),IF($B681="STD. DEVIATION",2,$F$1))))</f>
        <v/>
      </c>
      <c r="S681" s="1" t="str">
        <f>IF(OR($B681="",S$7=""),"",IF($B681="MEANS",INDEX('1-DATA'!$1:$1048576,$A680-1,COLUMN('1-DATA'!R679)),ROUND(INDEX('1-DATA'!$1:$1048576,IF(OR($B681="STD. DEVIATION",$C$1=1),$A681,$A681+1),COLUMN('1-DATA'!R679)),IF($B681="STD. DEVIATION",2,$F$1))))</f>
        <v/>
      </c>
      <c r="T681" s="1" t="str">
        <f>IF(OR($B681="",T$7=""),"",IF($B681="MEANS",INDEX('1-DATA'!$1:$1048576,$A680-1,COLUMN('1-DATA'!S679)),ROUND(INDEX('1-DATA'!$1:$1048576,IF(OR($B681="STD. DEVIATION",$C$1=1),$A681,$A681+1),COLUMN('1-DATA'!S679)),IF($B681="STD. DEVIATION",2,$F$1))))</f>
        <v/>
      </c>
      <c r="U681" s="1" t="str">
        <f>IF(OR($B681="",U$7=""),"",IF($B681="MEANS",INDEX('1-DATA'!$1:$1048576,$A680-1,COLUMN('1-DATA'!T679)),ROUND(INDEX('1-DATA'!$1:$1048576,IF(OR($B681="STD. DEVIATION",$C$1=1),$A681,$A681+1),COLUMN('1-DATA'!T679)),IF($B681="STD. DEVIATION",2,$F$1))))</f>
        <v/>
      </c>
      <c r="V681" s="1" t="str">
        <f>IF(OR($B681="",V$7=""),"",IF($B681="MEANS",INDEX('1-DATA'!$1:$1048576,$A680-1,COLUMN('1-DATA'!U679)),ROUND(INDEX('1-DATA'!$1:$1048576,IF(OR($B681="STD. DEVIATION",$C$1=1),$A681,$A681+1),COLUMN('1-DATA'!U679)),IF($B681="STD. DEVIATION",2,$F$1))))</f>
        <v/>
      </c>
      <c r="W681" s="1" t="str">
        <f>IF(OR($B681="",W$7=""),"",IF($B681="MEANS",INDEX('1-DATA'!$1:$1048576,$A680-1,COLUMN('1-DATA'!V679)),ROUND(INDEX('1-DATA'!$1:$1048576,IF(OR($B681="STD. DEVIATION",$C$1=1),$A681,$A681+1),COLUMN('1-DATA'!V679)),IF($B681="STD. DEVIATION",2,$F$1))))</f>
        <v/>
      </c>
      <c r="X681" s="1" t="str">
        <f>IF(OR($B681="",X$7=""),"",IF($B681="MEANS",INDEX('1-DATA'!$1:$1048576,$A680-1,COLUMN('1-DATA'!W679)),ROUND(INDEX('1-DATA'!$1:$1048576,IF(OR($B681="STD. DEVIATION",$C$1=1),$A681,$A681+1),COLUMN('1-DATA'!W679)),IF($B681="STD. DEVIATION",2,$F$1))))</f>
        <v/>
      </c>
      <c r="Y681" s="1" t="str">
        <f>IF(OR($B681="",Y$7=""),"",IF($B681="MEANS",INDEX('1-DATA'!$1:$1048576,$A680-1,COLUMN('1-DATA'!X679)),ROUND(INDEX('1-DATA'!$1:$1048576,IF(OR($B681="STD. DEVIATION",$C$1=1),$A681,$A681+1),COLUMN('1-DATA'!X679)),IF($B681="STD. DEVIATION",2,$F$1))))</f>
        <v/>
      </c>
      <c r="Z681" s="1" t="str">
        <f>IF(OR($B681="",Z$7=""),"",IF($B681="MEANS",INDEX('1-DATA'!$1:$1048576,$A680-1,COLUMN('1-DATA'!Y679)),ROUND(INDEX('1-DATA'!$1:$1048576,IF(OR($B681="STD. DEVIATION",$C$1=1),$A681,$A681+1),COLUMN('1-DATA'!Y679)),IF($B681="STD. DEVIATION",2,$F$1))))</f>
        <v/>
      </c>
      <c r="AA681" s="1" t="str">
        <f>IF(OR($B681="",AA$7=""),"",IF($B681="MEANS",INDEX('1-DATA'!$1:$1048576,$A680-1,COLUMN('1-DATA'!Z679)),ROUND(INDEX('1-DATA'!$1:$1048576,IF(OR($B681="STD. DEVIATION",$C$1=1),$A681,$A681+1),COLUMN('1-DATA'!Z679)),IF($B681="STD. DEVIATION",2,$F$1))))</f>
        <v/>
      </c>
      <c r="AB681" s="1" t="str">
        <f>IF(OR($B681="",AB$7=""),"",IF($B681="MEANS",INDEX('1-DATA'!$1:$1048576,$A680-1,COLUMN('1-DATA'!AA679)),ROUND(INDEX('1-DATA'!$1:$1048576,IF(OR($B681="STD. DEVIATION",$C$1=1),$A681,$A681+1),COLUMN('1-DATA'!AA679)),IF($B681="STD. DEVIATION",2,$F$1))))</f>
        <v/>
      </c>
      <c r="AC681" s="1" t="str">
        <f>IF(OR($B681="",AC$7=""),"",IF($B681="MEANS",INDEX('1-DATA'!$1:$1048576,$A680-1,COLUMN('1-DATA'!AB679)),ROUND(INDEX('1-DATA'!$1:$1048576,IF(OR($B681="STD. DEVIATION",$C$1=1),$A681,$A681+1),COLUMN('1-DATA'!AB679)),IF($B681="STD. DEVIATION",2,$F$1))))</f>
        <v/>
      </c>
      <c r="AD681" s="1" t="str">
        <f>IF(OR($B681="",AD$7=""),"",IF($B681="MEANS",INDEX('1-DATA'!$1:$1048576,$A680-1,COLUMN('1-DATA'!AC679)),ROUND(INDEX('1-DATA'!$1:$1048576,IF(OR($B681="STD. DEVIATION",$C$1=1),$A681,$A681+1),COLUMN('1-DATA'!AC679)),IF($B681="STD. DEVIATION",2,$F$1))))</f>
        <v/>
      </c>
      <c r="AE681" s="1" t="str">
        <f>IF(OR($B681="",AE$7=""),"",IF($B681="MEANS",INDEX('1-DATA'!$1:$1048576,$A680-1,COLUMN('1-DATA'!AD679)),ROUND(INDEX('1-DATA'!$1:$1048576,IF(OR($B681="STD. DEVIATION",$C$1=1),$A681,$A681+1),COLUMN('1-DATA'!AD679)),IF($B681="STD. DEVIATION",2,$F$1))))</f>
        <v/>
      </c>
      <c r="AF681" s="1" t="str">
        <f>IF(OR($B681="",AF$7=""),"",IF($B681="MEANS",INDEX('1-DATA'!$1:$1048576,$A680-1,COLUMN('1-DATA'!AE679)),ROUND(INDEX('1-DATA'!$1:$1048576,IF(OR($B681="STD. DEVIATION",$C$1=1),$A681,$A681+1),COLUMN('1-DATA'!AE679)),IF($B681="STD. DEVIATION",2,$F$1))))</f>
        <v/>
      </c>
      <c r="AG681" s="1" t="str">
        <f>IF(OR($B681="",AG$7=""),"",IF($B681="MEANS",INDEX('1-DATA'!$1:$1048576,$A680-1,COLUMN('1-DATA'!AF679)),ROUND(INDEX('1-DATA'!$1:$1048576,IF(OR($B681="STD. DEVIATION",$C$1=1),$A681,$A681+1),COLUMN('1-DATA'!AF679)),IF($B681="STD. DEVIATION",2,$F$1))))</f>
        <v/>
      </c>
      <c r="AH681" s="1" t="str">
        <f>IF(OR($B681="",AH$7=""),"",IF($B681="MEANS",INDEX('1-DATA'!$1:$1048576,$A680-1,COLUMN('1-DATA'!AG679)),ROUND(INDEX('1-DATA'!$1:$1048576,IF(OR($B681="STD. DEVIATION",$C$1=1),$A681,$A681+1),COLUMN('1-DATA'!AG679)),IF($B681="STD. DEVIATION",2,$F$1))))</f>
        <v/>
      </c>
      <c r="AI681" s="1" t="str">
        <f>IF(OR($B681="",AI$7=""),"",IF($B681="MEANS",INDEX('1-DATA'!$1:$1048576,$A680-1,COLUMN('1-DATA'!AH679)),ROUND(INDEX('1-DATA'!$1:$1048576,IF(OR($B681="STD. DEVIATION",$C$1=1),$A681,$A681+1),COLUMN('1-DATA'!AH679)),IF($B681="STD. DEVIATION",2,$F$1))))</f>
        <v/>
      </c>
      <c r="AJ681" s="1" t="str">
        <f>IF(OR($B681="",AJ$7=""),"",IF($B681="MEANS",INDEX('1-DATA'!$1:$1048576,$A680-1,COLUMN('1-DATA'!AI679)),ROUND(INDEX('1-DATA'!$1:$1048576,IF(OR($B681="STD. DEVIATION",$C$1=1),$A681,$A681+1),COLUMN('1-DATA'!AI679)),IF($B681="STD. DEVIATION",2,$F$1))))</f>
        <v/>
      </c>
      <c r="AK681" s="1" t="str">
        <f>IF(OR($B681="",AK$7=""),"",IF($B681="MEANS",INDEX('1-DATA'!$1:$1048576,$A680-1,COLUMN('1-DATA'!AJ679)),ROUND(INDEX('1-DATA'!$1:$1048576,IF(OR($B681="STD. DEVIATION",$C$1=1),$A681,$A681+1),COLUMN('1-DATA'!AJ679)),IF($B681="STD. DEVIATION",2,$F$1))))</f>
        <v/>
      </c>
      <c r="AL681" s="1" t="str">
        <f>IF(OR($B681="",AL$7=""),"",IF($B681="MEANS",INDEX('1-DATA'!$1:$1048576,$A680-1,COLUMN('1-DATA'!AK679)),ROUND(INDEX('1-DATA'!$1:$1048576,IF(OR($B681="STD. DEVIATION",$C$1=1),$A681,$A681+1),COLUMN('1-DATA'!AK679)),IF($B681="STD. DEVIATION",2,$F$1))))</f>
        <v/>
      </c>
      <c r="AM681" s="1" t="str">
        <f>IF(OR($B681="",AM$7=""),"",IF($B681="MEANS",INDEX('1-DATA'!$1:$1048576,$A680-1,COLUMN('1-DATA'!AL679)),ROUND(INDEX('1-DATA'!$1:$1048576,IF(OR($B681="STD. DEVIATION",$C$1=1),$A681,$A681+1),COLUMN('1-DATA'!AL679)),IF($B681="STD. DEVIATION",2,$F$1))))</f>
        <v/>
      </c>
      <c r="AN681" s="1" t="str">
        <f>IF(OR($B681="",AN$7=""),"",IF($B681="MEANS",INDEX('1-DATA'!$1:$1048576,$A680-1,COLUMN('1-DATA'!AM679)),ROUND(INDEX('1-DATA'!$1:$1048576,IF(OR($B681="STD. DEVIATION",$C$1=1),$A681,$A681+1),COLUMN('1-DATA'!AM679)),IF($B681="STD. DEVIATION",2,$F$1))))</f>
        <v/>
      </c>
      <c r="AO681" s="1" t="str">
        <f>IF(OR($B681="",AO$7=""),"",IF($B681="MEANS",INDEX('1-DATA'!$1:$1048576,$A680-1,COLUMN('1-DATA'!AN679)),ROUND(INDEX('1-DATA'!$1:$1048576,IF(OR($B681="STD. DEVIATION",$C$1=1),$A681,$A681+1),COLUMN('1-DATA'!AN679)),IF($B681="STD. DEVIATION",2,$F$1))))</f>
        <v/>
      </c>
      <c r="AP681" s="1" t="str">
        <f>IF(OR($B681="",AP$7=""),"",IF($B681="MEANS",INDEX('1-DATA'!$1:$1048576,$A680-1,COLUMN('1-DATA'!AO679)),ROUND(INDEX('1-DATA'!$1:$1048576,IF(OR($B681="STD. DEVIATION",$C$1=1),$A681,$A681+1),COLUMN('1-DATA'!AO679)),IF($B681="STD. DEVIATION",2,$F$1))))</f>
        <v/>
      </c>
      <c r="AQ681" s="1" t="str">
        <f>IF(OR($B681="",AQ$7=""),"",IF($B681="MEANS",INDEX('1-DATA'!$1:$1048576,$A680-1,COLUMN('1-DATA'!AP679)),ROUND(INDEX('1-DATA'!$1:$1048576,IF(OR($B681="STD. DEVIATION",$C$1=1),$A681,$A681+1),COLUMN('1-DATA'!AP679)),IF($B681="STD. DEVIATION",2,$F$1))))</f>
        <v/>
      </c>
      <c r="AR681" s="1" t="str">
        <f>IF(OR($B681="",AR$7=""),"",IF($B681="MEANS",INDEX('1-DATA'!$1:$1048576,$A680-1,COLUMN('1-DATA'!AQ679)),ROUND(INDEX('1-DATA'!$1:$1048576,IF(OR($B681="STD. DEVIATION",$C$1=1),$A681,$A681+1),COLUMN('1-DATA'!AQ679)),IF($B681="STD. DEVIATION",2,$F$1))))</f>
        <v/>
      </c>
      <c r="AS681" s="1" t="str">
        <f>IF(OR($B681="",AS$7=""),"",IF($B681="MEANS",INDEX('1-DATA'!$1:$1048576,$A680-1,COLUMN('1-DATA'!AR679)),ROUND(INDEX('1-DATA'!$1:$1048576,IF(OR($B681="STD. DEVIATION",$C$1=1),$A681,$A681+1),COLUMN('1-DATA'!AR679)),IF($B681="STD. DEVIATION",2,$F$1))))</f>
        <v/>
      </c>
      <c r="AT681" s="1" t="str">
        <f>IF(OR($B681="",AT$7=""),"",IF($B681="MEANS",INDEX('1-DATA'!$1:$1048576,$A680-1,COLUMN('1-DATA'!AS679)),ROUND(INDEX('1-DATA'!$1:$1048576,IF(OR($B681="STD. DEVIATION",$C$1=1),$A681,$A681+1),COLUMN('1-DATA'!AS679)),IF($B681="STD. DEVIATION",2,$F$1))))</f>
        <v/>
      </c>
      <c r="AU681" s="1" t="str">
        <f>IF(OR($B681="",AU$7=""),"",IF($B681="MEANS",INDEX('1-DATA'!$1:$1048576,$A680-1,COLUMN('1-DATA'!AT679)),ROUND(INDEX('1-DATA'!$1:$1048576,IF(OR($B681="STD. DEVIATION",$C$1=1),$A681,$A681+1),COLUMN('1-DATA'!AT679)),IF($B681="STD. DEVIATION",2,$F$1))))</f>
        <v/>
      </c>
      <c r="AV681" s="1" t="str">
        <f>IF(OR($B681="",AV$7=""),"",IF($B681="MEANS",INDEX('1-DATA'!$1:$1048576,$A680-1,COLUMN('1-DATA'!AU679)),ROUND(INDEX('1-DATA'!$1:$1048576,IF(OR($B681="STD. DEVIATION",$C$1=1),$A681,$A681+1),COLUMN('1-DATA'!AU679)),IF($B681="STD. DEVIATION",2,$F$1))))</f>
        <v/>
      </c>
      <c r="AW681" s="1" t="str">
        <f>IF(OR($B681="",AW$7=""),"",IF($B681="MEANS",INDEX('1-DATA'!$1:$1048576,$A680-1,COLUMN('1-DATA'!AV679)),ROUND(INDEX('1-DATA'!$1:$1048576,IF(OR($B681="STD. DEVIATION",$C$1=1),$A681,$A681+1),COLUMN('1-DATA'!AV679)),IF($B681="STD. DEVIATION",2,$F$1))))</f>
        <v/>
      </c>
      <c r="AX681" s="1" t="str">
        <f>IF(OR($B681="",AX$7=""),"",IF($B681="MEANS",INDEX('1-DATA'!$1:$1048576,$A680-1,COLUMN('1-DATA'!AW679)),ROUND(INDEX('1-DATA'!$1:$1048576,IF(OR($B681="STD. DEVIATION",$C$1=1),$A681,$A681+1),COLUMN('1-DATA'!AW679)),IF($B681="STD. DEVIATION",2,$F$1))))</f>
        <v/>
      </c>
      <c r="AY681" s="1" t="str">
        <f>IF(OR($B681="",AY$7=""),"",IF($B681="MEANS",INDEX('1-DATA'!$1:$1048576,$A680-1,COLUMN('1-DATA'!AX679)),ROUND(INDEX('1-DATA'!$1:$1048576,IF(OR($B681="STD. DEVIATION",$C$1=1),$A681,$A681+1),COLUMN('1-DATA'!AX679)),IF($B681="STD. DEVIATION",2,$F$1))))</f>
        <v/>
      </c>
      <c r="AZ681" s="1" t="str">
        <f>IF(OR($B681="",AZ$7=""),"",IF($B681="MEANS",INDEX('1-DATA'!$1:$1048576,$A680-1,COLUMN('1-DATA'!AY679)),ROUND(INDEX('1-DATA'!$1:$1048576,IF(OR($B681="STD. DEVIATION",$C$1=1),$A681,$A681+1),COLUMN('1-DATA'!AY679)),IF($B681="STD. DEVIATION",2,$F$1))))</f>
        <v/>
      </c>
    </row>
    <row r="682" spans="1:52" x14ac:dyDescent="0.25">
      <c r="A682" s="11">
        <f t="shared" si="11"/>
        <v>2032</v>
      </c>
      <c r="B682" s="1" t="str">
        <f>IF(B681="STD. DEVIATION",INDEX('1-DATA'!$1:$1048576,$A681-1,1),IF(INDEX('1-DATA'!$1:$1048576,$A682,1)&lt;&gt;"",INDEX('1-DATA'!$1:$1048576,$A682,1),""))</f>
        <v/>
      </c>
      <c r="C682" s="1" t="str">
        <f>IF(OR($B682="",C$7=""),"",IF($B682="MEANS",INDEX('1-DATA'!$1:$1048576,$A681-1,COLUMN('1-DATA'!B680)),ROUND(INDEX('1-DATA'!$1:$1048576,IF(OR($B682="STD. DEVIATION",$C$1=1),$A682,$A682+1),COLUMN('1-DATA'!B680)),IF($B682="STD. DEVIATION",2,$F$1))))</f>
        <v/>
      </c>
      <c r="D682" s="1" t="str">
        <f>IF(OR($B682="",D$7=""),"",IF($B682="MEANS",INDEX('1-DATA'!$1:$1048576,$A681-1,COLUMN('1-DATA'!C680)),ROUND(INDEX('1-DATA'!$1:$1048576,IF(OR($B682="STD. DEVIATION",$C$1=1),$A682,$A682+1),COLUMN('1-DATA'!C680)),IF($B682="STD. DEVIATION",2,$F$1))))</f>
        <v/>
      </c>
      <c r="E682" s="1" t="str">
        <f>IF(OR($B682="",E$7=""),"",IF($B682="MEANS",INDEX('1-DATA'!$1:$1048576,$A681-1,COLUMN('1-DATA'!D680)),ROUND(INDEX('1-DATA'!$1:$1048576,IF(OR($B682="STD. DEVIATION",$C$1=1),$A682,$A682+1),COLUMN('1-DATA'!D680)),IF($B682="STD. DEVIATION",2,$F$1))))</f>
        <v/>
      </c>
      <c r="F682" s="1" t="str">
        <f>IF(OR($B682="",F$7=""),"",IF($B682="MEANS",INDEX('1-DATA'!$1:$1048576,$A681-1,COLUMN('1-DATA'!E680)),ROUND(INDEX('1-DATA'!$1:$1048576,IF(OR($B682="STD. DEVIATION",$C$1=1),$A682,$A682+1),COLUMN('1-DATA'!E680)),IF($B682="STD. DEVIATION",2,$F$1))))</f>
        <v/>
      </c>
      <c r="G682" s="1" t="str">
        <f>IF(OR($B682="",G$7=""),"",IF($B682="MEANS",INDEX('1-DATA'!$1:$1048576,$A681-1,COLUMN('1-DATA'!F680)),ROUND(INDEX('1-DATA'!$1:$1048576,IF(OR($B682="STD. DEVIATION",$C$1=1),$A682,$A682+1),COLUMN('1-DATA'!F680)),IF($B682="STD. DEVIATION",2,$F$1))))</f>
        <v/>
      </c>
      <c r="H682" s="1" t="str">
        <f>IF(OR($B682="",H$7=""),"",IF($B682="MEANS",INDEX('1-DATA'!$1:$1048576,$A681-1,COLUMN('1-DATA'!G680)),ROUND(INDEX('1-DATA'!$1:$1048576,IF(OR($B682="STD. DEVIATION",$C$1=1),$A682,$A682+1),COLUMN('1-DATA'!G680)),IF($B682="STD. DEVIATION",2,$F$1))))</f>
        <v/>
      </c>
      <c r="I682" s="1" t="str">
        <f>IF(OR($B682="",I$7=""),"",IF($B682="MEANS",INDEX('1-DATA'!$1:$1048576,$A681-1,COLUMN('1-DATA'!H680)),ROUND(INDEX('1-DATA'!$1:$1048576,IF(OR($B682="STD. DEVIATION",$C$1=1),$A682,$A682+1),COLUMN('1-DATA'!H680)),IF($B682="STD. DEVIATION",2,$F$1))))</f>
        <v/>
      </c>
      <c r="J682" s="1" t="str">
        <f>IF(OR($B682="",J$7=""),"",IF($B682="MEANS",INDEX('1-DATA'!$1:$1048576,$A681-1,COLUMN('1-DATA'!I680)),ROUND(INDEX('1-DATA'!$1:$1048576,IF(OR($B682="STD. DEVIATION",$C$1=1),$A682,$A682+1),COLUMN('1-DATA'!I680)),IF($B682="STD. DEVIATION",2,$F$1))))</f>
        <v/>
      </c>
      <c r="K682" s="1" t="str">
        <f>IF(OR($B682="",K$7=""),"",IF($B682="MEANS",INDEX('1-DATA'!$1:$1048576,$A681-1,COLUMN('1-DATA'!J680)),ROUND(INDEX('1-DATA'!$1:$1048576,IF(OR($B682="STD. DEVIATION",$C$1=1),$A682,$A682+1),COLUMN('1-DATA'!J680)),IF($B682="STD. DEVIATION",2,$F$1))))</f>
        <v/>
      </c>
      <c r="L682" s="1" t="str">
        <f>IF(OR($B682="",L$7=""),"",IF($B682="MEANS",INDEX('1-DATA'!$1:$1048576,$A681-1,COLUMN('1-DATA'!K680)),ROUND(INDEX('1-DATA'!$1:$1048576,IF(OR($B682="STD. DEVIATION",$C$1=1),$A682,$A682+1),COLUMN('1-DATA'!K680)),IF($B682="STD. DEVIATION",2,$F$1))))</f>
        <v/>
      </c>
      <c r="M682" s="1" t="str">
        <f>IF(OR($B682="",M$7=""),"",IF($B682="MEANS",INDEX('1-DATA'!$1:$1048576,$A681-1,COLUMN('1-DATA'!L680)),ROUND(INDEX('1-DATA'!$1:$1048576,IF(OR($B682="STD. DEVIATION",$C$1=1),$A682,$A682+1),COLUMN('1-DATA'!L680)),IF($B682="STD. DEVIATION",2,$F$1))))</f>
        <v/>
      </c>
      <c r="N682" s="1" t="str">
        <f>IF(OR($B682="",N$7=""),"",IF($B682="MEANS",INDEX('1-DATA'!$1:$1048576,$A681-1,COLUMN('1-DATA'!M680)),ROUND(INDEX('1-DATA'!$1:$1048576,IF(OR($B682="STD. DEVIATION",$C$1=1),$A682,$A682+1),COLUMN('1-DATA'!M680)),IF($B682="STD. DEVIATION",2,$F$1))))</f>
        <v/>
      </c>
      <c r="O682" s="1" t="str">
        <f>IF(OR($B682="",O$7=""),"",IF($B682="MEANS",INDEX('1-DATA'!$1:$1048576,$A681-1,COLUMN('1-DATA'!N680)),ROUND(INDEX('1-DATA'!$1:$1048576,IF(OR($B682="STD. DEVIATION",$C$1=1),$A682,$A682+1),COLUMN('1-DATA'!N680)),IF($B682="STD. DEVIATION",2,$F$1))))</f>
        <v/>
      </c>
      <c r="P682" s="1" t="str">
        <f>IF(OR($B682="",P$7=""),"",IF($B682="MEANS",INDEX('1-DATA'!$1:$1048576,$A681-1,COLUMN('1-DATA'!O680)),ROUND(INDEX('1-DATA'!$1:$1048576,IF(OR($B682="STD. DEVIATION",$C$1=1),$A682,$A682+1),COLUMN('1-DATA'!O680)),IF($B682="STD. DEVIATION",2,$F$1))))</f>
        <v/>
      </c>
      <c r="Q682" s="1" t="str">
        <f>IF(OR($B682="",Q$7=""),"",IF($B682="MEANS",INDEX('1-DATA'!$1:$1048576,$A681-1,COLUMN('1-DATA'!P680)),ROUND(INDEX('1-DATA'!$1:$1048576,IF(OR($B682="STD. DEVIATION",$C$1=1),$A682,$A682+1),COLUMN('1-DATA'!P680)),IF($B682="STD. DEVIATION",2,$F$1))))</f>
        <v/>
      </c>
      <c r="R682" s="1" t="str">
        <f>IF(OR($B682="",R$7=""),"",IF($B682="MEANS",INDEX('1-DATA'!$1:$1048576,$A681-1,COLUMN('1-DATA'!Q680)),ROUND(INDEX('1-DATA'!$1:$1048576,IF(OR($B682="STD. DEVIATION",$C$1=1),$A682,$A682+1),COLUMN('1-DATA'!Q680)),IF($B682="STD. DEVIATION",2,$F$1))))</f>
        <v/>
      </c>
      <c r="S682" s="1" t="str">
        <f>IF(OR($B682="",S$7=""),"",IF($B682="MEANS",INDEX('1-DATA'!$1:$1048576,$A681-1,COLUMN('1-DATA'!R680)),ROUND(INDEX('1-DATA'!$1:$1048576,IF(OR($B682="STD. DEVIATION",$C$1=1),$A682,$A682+1),COLUMN('1-DATA'!R680)),IF($B682="STD. DEVIATION",2,$F$1))))</f>
        <v/>
      </c>
      <c r="T682" s="1" t="str">
        <f>IF(OR($B682="",T$7=""),"",IF($B682="MEANS",INDEX('1-DATA'!$1:$1048576,$A681-1,COLUMN('1-DATA'!S680)),ROUND(INDEX('1-DATA'!$1:$1048576,IF(OR($B682="STD. DEVIATION",$C$1=1),$A682,$A682+1),COLUMN('1-DATA'!S680)),IF($B682="STD. DEVIATION",2,$F$1))))</f>
        <v/>
      </c>
      <c r="U682" s="1" t="str">
        <f>IF(OR($B682="",U$7=""),"",IF($B682="MEANS",INDEX('1-DATA'!$1:$1048576,$A681-1,COLUMN('1-DATA'!T680)),ROUND(INDEX('1-DATA'!$1:$1048576,IF(OR($B682="STD. DEVIATION",$C$1=1),$A682,$A682+1),COLUMN('1-DATA'!T680)),IF($B682="STD. DEVIATION",2,$F$1))))</f>
        <v/>
      </c>
      <c r="V682" s="1" t="str">
        <f>IF(OR($B682="",V$7=""),"",IF($B682="MEANS",INDEX('1-DATA'!$1:$1048576,$A681-1,COLUMN('1-DATA'!U680)),ROUND(INDEX('1-DATA'!$1:$1048576,IF(OR($B682="STD. DEVIATION",$C$1=1),$A682,$A682+1),COLUMN('1-DATA'!U680)),IF($B682="STD. DEVIATION",2,$F$1))))</f>
        <v/>
      </c>
      <c r="W682" s="1" t="str">
        <f>IF(OR($B682="",W$7=""),"",IF($B682="MEANS",INDEX('1-DATA'!$1:$1048576,$A681-1,COLUMN('1-DATA'!V680)),ROUND(INDEX('1-DATA'!$1:$1048576,IF(OR($B682="STD. DEVIATION",$C$1=1),$A682,$A682+1),COLUMN('1-DATA'!V680)),IF($B682="STD. DEVIATION",2,$F$1))))</f>
        <v/>
      </c>
      <c r="X682" s="1" t="str">
        <f>IF(OR($B682="",X$7=""),"",IF($B682="MEANS",INDEX('1-DATA'!$1:$1048576,$A681-1,COLUMN('1-DATA'!W680)),ROUND(INDEX('1-DATA'!$1:$1048576,IF(OR($B682="STD. DEVIATION",$C$1=1),$A682,$A682+1),COLUMN('1-DATA'!W680)),IF($B682="STD. DEVIATION",2,$F$1))))</f>
        <v/>
      </c>
      <c r="Y682" s="1" t="str">
        <f>IF(OR($B682="",Y$7=""),"",IF($B682="MEANS",INDEX('1-DATA'!$1:$1048576,$A681-1,COLUMN('1-DATA'!X680)),ROUND(INDEX('1-DATA'!$1:$1048576,IF(OR($B682="STD. DEVIATION",$C$1=1),$A682,$A682+1),COLUMN('1-DATA'!X680)),IF($B682="STD. DEVIATION",2,$F$1))))</f>
        <v/>
      </c>
      <c r="Z682" s="1" t="str">
        <f>IF(OR($B682="",Z$7=""),"",IF($B682="MEANS",INDEX('1-DATA'!$1:$1048576,$A681-1,COLUMN('1-DATA'!Y680)),ROUND(INDEX('1-DATA'!$1:$1048576,IF(OR($B682="STD. DEVIATION",$C$1=1),$A682,$A682+1),COLUMN('1-DATA'!Y680)),IF($B682="STD. DEVIATION",2,$F$1))))</f>
        <v/>
      </c>
      <c r="AA682" s="1" t="str">
        <f>IF(OR($B682="",AA$7=""),"",IF($B682="MEANS",INDEX('1-DATA'!$1:$1048576,$A681-1,COLUMN('1-DATA'!Z680)),ROUND(INDEX('1-DATA'!$1:$1048576,IF(OR($B682="STD. DEVIATION",$C$1=1),$A682,$A682+1),COLUMN('1-DATA'!Z680)),IF($B682="STD. DEVIATION",2,$F$1))))</f>
        <v/>
      </c>
      <c r="AB682" s="1" t="str">
        <f>IF(OR($B682="",AB$7=""),"",IF($B682="MEANS",INDEX('1-DATA'!$1:$1048576,$A681-1,COLUMN('1-DATA'!AA680)),ROUND(INDEX('1-DATA'!$1:$1048576,IF(OR($B682="STD. DEVIATION",$C$1=1),$A682,$A682+1),COLUMN('1-DATA'!AA680)),IF($B682="STD. DEVIATION",2,$F$1))))</f>
        <v/>
      </c>
      <c r="AC682" s="1" t="str">
        <f>IF(OR($B682="",AC$7=""),"",IF($B682="MEANS",INDEX('1-DATA'!$1:$1048576,$A681-1,COLUMN('1-DATA'!AB680)),ROUND(INDEX('1-DATA'!$1:$1048576,IF(OR($B682="STD. DEVIATION",$C$1=1),$A682,$A682+1),COLUMN('1-DATA'!AB680)),IF($B682="STD. DEVIATION",2,$F$1))))</f>
        <v/>
      </c>
      <c r="AD682" s="1" t="str">
        <f>IF(OR($B682="",AD$7=""),"",IF($B682="MEANS",INDEX('1-DATA'!$1:$1048576,$A681-1,COLUMN('1-DATA'!AC680)),ROUND(INDEX('1-DATA'!$1:$1048576,IF(OR($B682="STD. DEVIATION",$C$1=1),$A682,$A682+1),COLUMN('1-DATA'!AC680)),IF($B682="STD. DEVIATION",2,$F$1))))</f>
        <v/>
      </c>
      <c r="AE682" s="1" t="str">
        <f>IF(OR($B682="",AE$7=""),"",IF($B682="MEANS",INDEX('1-DATA'!$1:$1048576,$A681-1,COLUMN('1-DATA'!AD680)),ROUND(INDEX('1-DATA'!$1:$1048576,IF(OR($B682="STD. DEVIATION",$C$1=1),$A682,$A682+1),COLUMN('1-DATA'!AD680)),IF($B682="STD. DEVIATION",2,$F$1))))</f>
        <v/>
      </c>
      <c r="AF682" s="1" t="str">
        <f>IF(OR($B682="",AF$7=""),"",IF($B682="MEANS",INDEX('1-DATA'!$1:$1048576,$A681-1,COLUMN('1-DATA'!AE680)),ROUND(INDEX('1-DATA'!$1:$1048576,IF(OR($B682="STD. DEVIATION",$C$1=1),$A682,$A682+1),COLUMN('1-DATA'!AE680)),IF($B682="STD. DEVIATION",2,$F$1))))</f>
        <v/>
      </c>
      <c r="AG682" s="1" t="str">
        <f>IF(OR($B682="",AG$7=""),"",IF($B682="MEANS",INDEX('1-DATA'!$1:$1048576,$A681-1,COLUMN('1-DATA'!AF680)),ROUND(INDEX('1-DATA'!$1:$1048576,IF(OR($B682="STD. DEVIATION",$C$1=1),$A682,$A682+1),COLUMN('1-DATA'!AF680)),IF($B682="STD. DEVIATION",2,$F$1))))</f>
        <v/>
      </c>
      <c r="AH682" s="1" t="str">
        <f>IF(OR($B682="",AH$7=""),"",IF($B682="MEANS",INDEX('1-DATA'!$1:$1048576,$A681-1,COLUMN('1-DATA'!AG680)),ROUND(INDEX('1-DATA'!$1:$1048576,IF(OR($B682="STD. DEVIATION",$C$1=1),$A682,$A682+1),COLUMN('1-DATA'!AG680)),IF($B682="STD. DEVIATION",2,$F$1))))</f>
        <v/>
      </c>
      <c r="AI682" s="1" t="str">
        <f>IF(OR($B682="",AI$7=""),"",IF($B682="MEANS",INDEX('1-DATA'!$1:$1048576,$A681-1,COLUMN('1-DATA'!AH680)),ROUND(INDEX('1-DATA'!$1:$1048576,IF(OR($B682="STD. DEVIATION",$C$1=1),$A682,$A682+1),COLUMN('1-DATA'!AH680)),IF($B682="STD. DEVIATION",2,$F$1))))</f>
        <v/>
      </c>
      <c r="AJ682" s="1" t="str">
        <f>IF(OR($B682="",AJ$7=""),"",IF($B682="MEANS",INDEX('1-DATA'!$1:$1048576,$A681-1,COLUMN('1-DATA'!AI680)),ROUND(INDEX('1-DATA'!$1:$1048576,IF(OR($B682="STD. DEVIATION",$C$1=1),$A682,$A682+1),COLUMN('1-DATA'!AI680)),IF($B682="STD. DEVIATION",2,$F$1))))</f>
        <v/>
      </c>
      <c r="AK682" s="1" t="str">
        <f>IF(OR($B682="",AK$7=""),"",IF($B682="MEANS",INDEX('1-DATA'!$1:$1048576,$A681-1,COLUMN('1-DATA'!AJ680)),ROUND(INDEX('1-DATA'!$1:$1048576,IF(OR($B682="STD. DEVIATION",$C$1=1),$A682,$A682+1),COLUMN('1-DATA'!AJ680)),IF($B682="STD. DEVIATION",2,$F$1))))</f>
        <v/>
      </c>
      <c r="AL682" s="1" t="str">
        <f>IF(OR($B682="",AL$7=""),"",IF($B682="MEANS",INDEX('1-DATA'!$1:$1048576,$A681-1,COLUMN('1-DATA'!AK680)),ROUND(INDEX('1-DATA'!$1:$1048576,IF(OR($B682="STD. DEVIATION",$C$1=1),$A682,$A682+1),COLUMN('1-DATA'!AK680)),IF($B682="STD. DEVIATION",2,$F$1))))</f>
        <v/>
      </c>
      <c r="AM682" s="1" t="str">
        <f>IF(OR($B682="",AM$7=""),"",IF($B682="MEANS",INDEX('1-DATA'!$1:$1048576,$A681-1,COLUMN('1-DATA'!AL680)),ROUND(INDEX('1-DATA'!$1:$1048576,IF(OR($B682="STD. DEVIATION",$C$1=1),$A682,$A682+1),COLUMN('1-DATA'!AL680)),IF($B682="STD. DEVIATION",2,$F$1))))</f>
        <v/>
      </c>
      <c r="AN682" s="1" t="str">
        <f>IF(OR($B682="",AN$7=""),"",IF($B682="MEANS",INDEX('1-DATA'!$1:$1048576,$A681-1,COLUMN('1-DATA'!AM680)),ROUND(INDEX('1-DATA'!$1:$1048576,IF(OR($B682="STD. DEVIATION",$C$1=1),$A682,$A682+1),COLUMN('1-DATA'!AM680)),IF($B682="STD. DEVIATION",2,$F$1))))</f>
        <v/>
      </c>
      <c r="AO682" s="1" t="str">
        <f>IF(OR($B682="",AO$7=""),"",IF($B682="MEANS",INDEX('1-DATA'!$1:$1048576,$A681-1,COLUMN('1-DATA'!AN680)),ROUND(INDEX('1-DATA'!$1:$1048576,IF(OR($B682="STD. DEVIATION",$C$1=1),$A682,$A682+1),COLUMN('1-DATA'!AN680)),IF($B682="STD. DEVIATION",2,$F$1))))</f>
        <v/>
      </c>
      <c r="AP682" s="1" t="str">
        <f>IF(OR($B682="",AP$7=""),"",IF($B682="MEANS",INDEX('1-DATA'!$1:$1048576,$A681-1,COLUMN('1-DATA'!AO680)),ROUND(INDEX('1-DATA'!$1:$1048576,IF(OR($B682="STD. DEVIATION",$C$1=1),$A682,$A682+1),COLUMN('1-DATA'!AO680)),IF($B682="STD. DEVIATION",2,$F$1))))</f>
        <v/>
      </c>
      <c r="AQ682" s="1" t="str">
        <f>IF(OR($B682="",AQ$7=""),"",IF($B682="MEANS",INDEX('1-DATA'!$1:$1048576,$A681-1,COLUMN('1-DATA'!AP680)),ROUND(INDEX('1-DATA'!$1:$1048576,IF(OR($B682="STD. DEVIATION",$C$1=1),$A682,$A682+1),COLUMN('1-DATA'!AP680)),IF($B682="STD. DEVIATION",2,$F$1))))</f>
        <v/>
      </c>
      <c r="AR682" s="1" t="str">
        <f>IF(OR($B682="",AR$7=""),"",IF($B682="MEANS",INDEX('1-DATA'!$1:$1048576,$A681-1,COLUMN('1-DATA'!AQ680)),ROUND(INDEX('1-DATA'!$1:$1048576,IF(OR($B682="STD. DEVIATION",$C$1=1),$A682,$A682+1),COLUMN('1-DATA'!AQ680)),IF($B682="STD. DEVIATION",2,$F$1))))</f>
        <v/>
      </c>
      <c r="AS682" s="1" t="str">
        <f>IF(OR($B682="",AS$7=""),"",IF($B682="MEANS",INDEX('1-DATA'!$1:$1048576,$A681-1,COLUMN('1-DATA'!AR680)),ROUND(INDEX('1-DATA'!$1:$1048576,IF(OR($B682="STD. DEVIATION",$C$1=1),$A682,$A682+1),COLUMN('1-DATA'!AR680)),IF($B682="STD. DEVIATION",2,$F$1))))</f>
        <v/>
      </c>
      <c r="AT682" s="1" t="str">
        <f>IF(OR($B682="",AT$7=""),"",IF($B682="MEANS",INDEX('1-DATA'!$1:$1048576,$A681-1,COLUMN('1-DATA'!AS680)),ROUND(INDEX('1-DATA'!$1:$1048576,IF(OR($B682="STD. DEVIATION",$C$1=1),$A682,$A682+1),COLUMN('1-DATA'!AS680)),IF($B682="STD. DEVIATION",2,$F$1))))</f>
        <v/>
      </c>
      <c r="AU682" s="1" t="str">
        <f>IF(OR($B682="",AU$7=""),"",IF($B682="MEANS",INDEX('1-DATA'!$1:$1048576,$A681-1,COLUMN('1-DATA'!AT680)),ROUND(INDEX('1-DATA'!$1:$1048576,IF(OR($B682="STD. DEVIATION",$C$1=1),$A682,$A682+1),COLUMN('1-DATA'!AT680)),IF($B682="STD. DEVIATION",2,$F$1))))</f>
        <v/>
      </c>
      <c r="AV682" s="1" t="str">
        <f>IF(OR($B682="",AV$7=""),"",IF($B682="MEANS",INDEX('1-DATA'!$1:$1048576,$A681-1,COLUMN('1-DATA'!AU680)),ROUND(INDEX('1-DATA'!$1:$1048576,IF(OR($B682="STD. DEVIATION",$C$1=1),$A682,$A682+1),COLUMN('1-DATA'!AU680)),IF($B682="STD. DEVIATION",2,$F$1))))</f>
        <v/>
      </c>
      <c r="AW682" s="1" t="str">
        <f>IF(OR($B682="",AW$7=""),"",IF($B682="MEANS",INDEX('1-DATA'!$1:$1048576,$A681-1,COLUMN('1-DATA'!AV680)),ROUND(INDEX('1-DATA'!$1:$1048576,IF(OR($B682="STD. DEVIATION",$C$1=1),$A682,$A682+1),COLUMN('1-DATA'!AV680)),IF($B682="STD. DEVIATION",2,$F$1))))</f>
        <v/>
      </c>
      <c r="AX682" s="1" t="str">
        <f>IF(OR($B682="",AX$7=""),"",IF($B682="MEANS",INDEX('1-DATA'!$1:$1048576,$A681-1,COLUMN('1-DATA'!AW680)),ROUND(INDEX('1-DATA'!$1:$1048576,IF(OR($B682="STD. DEVIATION",$C$1=1),$A682,$A682+1),COLUMN('1-DATA'!AW680)),IF($B682="STD. DEVIATION",2,$F$1))))</f>
        <v/>
      </c>
      <c r="AY682" s="1" t="str">
        <f>IF(OR($B682="",AY$7=""),"",IF($B682="MEANS",INDEX('1-DATA'!$1:$1048576,$A681-1,COLUMN('1-DATA'!AX680)),ROUND(INDEX('1-DATA'!$1:$1048576,IF(OR($B682="STD. DEVIATION",$C$1=1),$A682,$A682+1),COLUMN('1-DATA'!AX680)),IF($B682="STD. DEVIATION",2,$F$1))))</f>
        <v/>
      </c>
      <c r="AZ682" s="1" t="str">
        <f>IF(OR($B682="",AZ$7=""),"",IF($B682="MEANS",INDEX('1-DATA'!$1:$1048576,$A681-1,COLUMN('1-DATA'!AY680)),ROUND(INDEX('1-DATA'!$1:$1048576,IF(OR($B682="STD. DEVIATION",$C$1=1),$A682,$A682+1),COLUMN('1-DATA'!AY680)),IF($B682="STD. DEVIATION",2,$F$1))))</f>
        <v/>
      </c>
    </row>
    <row r="683" spans="1:52" x14ac:dyDescent="0.25">
      <c r="A683" s="11">
        <f t="shared" si="11"/>
        <v>2035</v>
      </c>
      <c r="B683" s="1" t="str">
        <f>IF(B682="STD. DEVIATION",INDEX('1-DATA'!$1:$1048576,$A682-1,1),IF(INDEX('1-DATA'!$1:$1048576,$A683,1)&lt;&gt;"",INDEX('1-DATA'!$1:$1048576,$A683,1),""))</f>
        <v/>
      </c>
      <c r="C683" s="1" t="str">
        <f>IF(OR($B683="",C$7=""),"",IF($B683="MEANS",INDEX('1-DATA'!$1:$1048576,$A682-1,COLUMN('1-DATA'!B681)),ROUND(INDEX('1-DATA'!$1:$1048576,IF(OR($B683="STD. DEVIATION",$C$1=1),$A683,$A683+1),COLUMN('1-DATA'!B681)),IF($B683="STD. DEVIATION",2,$F$1))))</f>
        <v/>
      </c>
      <c r="D683" s="1" t="str">
        <f>IF(OR($B683="",D$7=""),"",IF($B683="MEANS",INDEX('1-DATA'!$1:$1048576,$A682-1,COLUMN('1-DATA'!C681)),ROUND(INDEX('1-DATA'!$1:$1048576,IF(OR($B683="STD. DEVIATION",$C$1=1),$A683,$A683+1),COLUMN('1-DATA'!C681)),IF($B683="STD. DEVIATION",2,$F$1))))</f>
        <v/>
      </c>
      <c r="E683" s="1" t="str">
        <f>IF(OR($B683="",E$7=""),"",IF($B683="MEANS",INDEX('1-DATA'!$1:$1048576,$A682-1,COLUMN('1-DATA'!D681)),ROUND(INDEX('1-DATA'!$1:$1048576,IF(OR($B683="STD. DEVIATION",$C$1=1),$A683,$A683+1),COLUMN('1-DATA'!D681)),IF($B683="STD. DEVIATION",2,$F$1))))</f>
        <v/>
      </c>
      <c r="F683" s="1" t="str">
        <f>IF(OR($B683="",F$7=""),"",IF($B683="MEANS",INDEX('1-DATA'!$1:$1048576,$A682-1,COLUMN('1-DATA'!E681)),ROUND(INDEX('1-DATA'!$1:$1048576,IF(OR($B683="STD. DEVIATION",$C$1=1),$A683,$A683+1),COLUMN('1-DATA'!E681)),IF($B683="STD. DEVIATION",2,$F$1))))</f>
        <v/>
      </c>
      <c r="G683" s="1" t="str">
        <f>IF(OR($B683="",G$7=""),"",IF($B683="MEANS",INDEX('1-DATA'!$1:$1048576,$A682-1,COLUMN('1-DATA'!F681)),ROUND(INDEX('1-DATA'!$1:$1048576,IF(OR($B683="STD. DEVIATION",$C$1=1),$A683,$A683+1),COLUMN('1-DATA'!F681)),IF($B683="STD. DEVIATION",2,$F$1))))</f>
        <v/>
      </c>
      <c r="H683" s="1" t="str">
        <f>IF(OR($B683="",H$7=""),"",IF($B683="MEANS",INDEX('1-DATA'!$1:$1048576,$A682-1,COLUMN('1-DATA'!G681)),ROUND(INDEX('1-DATA'!$1:$1048576,IF(OR($B683="STD. DEVIATION",$C$1=1),$A683,$A683+1),COLUMN('1-DATA'!G681)),IF($B683="STD. DEVIATION",2,$F$1))))</f>
        <v/>
      </c>
      <c r="I683" s="1" t="str">
        <f>IF(OR($B683="",I$7=""),"",IF($B683="MEANS",INDEX('1-DATA'!$1:$1048576,$A682-1,COLUMN('1-DATA'!H681)),ROUND(INDEX('1-DATA'!$1:$1048576,IF(OR($B683="STD. DEVIATION",$C$1=1),$A683,$A683+1),COLUMN('1-DATA'!H681)),IF($B683="STD. DEVIATION",2,$F$1))))</f>
        <v/>
      </c>
      <c r="J683" s="1" t="str">
        <f>IF(OR($B683="",J$7=""),"",IF($B683="MEANS",INDEX('1-DATA'!$1:$1048576,$A682-1,COLUMN('1-DATA'!I681)),ROUND(INDEX('1-DATA'!$1:$1048576,IF(OR($B683="STD. DEVIATION",$C$1=1),$A683,$A683+1),COLUMN('1-DATA'!I681)),IF($B683="STD. DEVIATION",2,$F$1))))</f>
        <v/>
      </c>
      <c r="K683" s="1" t="str">
        <f>IF(OR($B683="",K$7=""),"",IF($B683="MEANS",INDEX('1-DATA'!$1:$1048576,$A682-1,COLUMN('1-DATA'!J681)),ROUND(INDEX('1-DATA'!$1:$1048576,IF(OR($B683="STD. DEVIATION",$C$1=1),$A683,$A683+1),COLUMN('1-DATA'!J681)),IF($B683="STD. DEVIATION",2,$F$1))))</f>
        <v/>
      </c>
      <c r="L683" s="1" t="str">
        <f>IF(OR($B683="",L$7=""),"",IF($B683="MEANS",INDEX('1-DATA'!$1:$1048576,$A682-1,COLUMN('1-DATA'!K681)),ROUND(INDEX('1-DATA'!$1:$1048576,IF(OR($B683="STD. DEVIATION",$C$1=1),$A683,$A683+1),COLUMN('1-DATA'!K681)),IF($B683="STD. DEVIATION",2,$F$1))))</f>
        <v/>
      </c>
      <c r="M683" s="1" t="str">
        <f>IF(OR($B683="",M$7=""),"",IF($B683="MEANS",INDEX('1-DATA'!$1:$1048576,$A682-1,COLUMN('1-DATA'!L681)),ROUND(INDEX('1-DATA'!$1:$1048576,IF(OR($B683="STD. DEVIATION",$C$1=1),$A683,$A683+1),COLUMN('1-DATA'!L681)),IF($B683="STD. DEVIATION",2,$F$1))))</f>
        <v/>
      </c>
      <c r="N683" s="1" t="str">
        <f>IF(OR($B683="",N$7=""),"",IF($B683="MEANS",INDEX('1-DATA'!$1:$1048576,$A682-1,COLUMN('1-DATA'!M681)),ROUND(INDEX('1-DATA'!$1:$1048576,IF(OR($B683="STD. DEVIATION",$C$1=1),$A683,$A683+1),COLUMN('1-DATA'!M681)),IF($B683="STD. DEVIATION",2,$F$1))))</f>
        <v/>
      </c>
      <c r="O683" s="1" t="str">
        <f>IF(OR($B683="",O$7=""),"",IF($B683="MEANS",INDEX('1-DATA'!$1:$1048576,$A682-1,COLUMN('1-DATA'!N681)),ROUND(INDEX('1-DATA'!$1:$1048576,IF(OR($B683="STD. DEVIATION",$C$1=1),$A683,$A683+1),COLUMN('1-DATA'!N681)),IF($B683="STD. DEVIATION",2,$F$1))))</f>
        <v/>
      </c>
      <c r="P683" s="1" t="str">
        <f>IF(OR($B683="",P$7=""),"",IF($B683="MEANS",INDEX('1-DATA'!$1:$1048576,$A682-1,COLUMN('1-DATA'!O681)),ROUND(INDEX('1-DATA'!$1:$1048576,IF(OR($B683="STD. DEVIATION",$C$1=1),$A683,$A683+1),COLUMN('1-DATA'!O681)),IF($B683="STD. DEVIATION",2,$F$1))))</f>
        <v/>
      </c>
      <c r="Q683" s="1" t="str">
        <f>IF(OR($B683="",Q$7=""),"",IF($B683="MEANS",INDEX('1-DATA'!$1:$1048576,$A682-1,COLUMN('1-DATA'!P681)),ROUND(INDEX('1-DATA'!$1:$1048576,IF(OR($B683="STD. DEVIATION",$C$1=1),$A683,$A683+1),COLUMN('1-DATA'!P681)),IF($B683="STD. DEVIATION",2,$F$1))))</f>
        <v/>
      </c>
      <c r="R683" s="1" t="str">
        <f>IF(OR($B683="",R$7=""),"",IF($B683="MEANS",INDEX('1-DATA'!$1:$1048576,$A682-1,COLUMN('1-DATA'!Q681)),ROUND(INDEX('1-DATA'!$1:$1048576,IF(OR($B683="STD. DEVIATION",$C$1=1),$A683,$A683+1),COLUMN('1-DATA'!Q681)),IF($B683="STD. DEVIATION",2,$F$1))))</f>
        <v/>
      </c>
      <c r="S683" s="1" t="str">
        <f>IF(OR($B683="",S$7=""),"",IF($B683="MEANS",INDEX('1-DATA'!$1:$1048576,$A682-1,COLUMN('1-DATA'!R681)),ROUND(INDEX('1-DATA'!$1:$1048576,IF(OR($B683="STD. DEVIATION",$C$1=1),$A683,$A683+1),COLUMN('1-DATA'!R681)),IF($B683="STD. DEVIATION",2,$F$1))))</f>
        <v/>
      </c>
      <c r="T683" s="1" t="str">
        <f>IF(OR($B683="",T$7=""),"",IF($B683="MEANS",INDEX('1-DATA'!$1:$1048576,$A682-1,COLUMN('1-DATA'!S681)),ROUND(INDEX('1-DATA'!$1:$1048576,IF(OR($B683="STD. DEVIATION",$C$1=1),$A683,$A683+1),COLUMN('1-DATA'!S681)),IF($B683="STD. DEVIATION",2,$F$1))))</f>
        <v/>
      </c>
      <c r="U683" s="1" t="str">
        <f>IF(OR($B683="",U$7=""),"",IF($B683="MEANS",INDEX('1-DATA'!$1:$1048576,$A682-1,COLUMN('1-DATA'!T681)),ROUND(INDEX('1-DATA'!$1:$1048576,IF(OR($B683="STD. DEVIATION",$C$1=1),$A683,$A683+1),COLUMN('1-DATA'!T681)),IF($B683="STD. DEVIATION",2,$F$1))))</f>
        <v/>
      </c>
      <c r="V683" s="1" t="str">
        <f>IF(OR($B683="",V$7=""),"",IF($B683="MEANS",INDEX('1-DATA'!$1:$1048576,$A682-1,COLUMN('1-DATA'!U681)),ROUND(INDEX('1-DATA'!$1:$1048576,IF(OR($B683="STD. DEVIATION",$C$1=1),$A683,$A683+1),COLUMN('1-DATA'!U681)),IF($B683="STD. DEVIATION",2,$F$1))))</f>
        <v/>
      </c>
      <c r="W683" s="1" t="str">
        <f>IF(OR($B683="",W$7=""),"",IF($B683="MEANS",INDEX('1-DATA'!$1:$1048576,$A682-1,COLUMN('1-DATA'!V681)),ROUND(INDEX('1-DATA'!$1:$1048576,IF(OR($B683="STD. DEVIATION",$C$1=1),$A683,$A683+1),COLUMN('1-DATA'!V681)),IF($B683="STD. DEVIATION",2,$F$1))))</f>
        <v/>
      </c>
      <c r="X683" s="1" t="str">
        <f>IF(OR($B683="",X$7=""),"",IF($B683="MEANS",INDEX('1-DATA'!$1:$1048576,$A682-1,COLUMN('1-DATA'!W681)),ROUND(INDEX('1-DATA'!$1:$1048576,IF(OR($B683="STD. DEVIATION",$C$1=1),$A683,$A683+1),COLUMN('1-DATA'!W681)),IF($B683="STD. DEVIATION",2,$F$1))))</f>
        <v/>
      </c>
      <c r="Y683" s="1" t="str">
        <f>IF(OR($B683="",Y$7=""),"",IF($B683="MEANS",INDEX('1-DATA'!$1:$1048576,$A682-1,COLUMN('1-DATA'!X681)),ROUND(INDEX('1-DATA'!$1:$1048576,IF(OR($B683="STD. DEVIATION",$C$1=1),$A683,$A683+1),COLUMN('1-DATA'!X681)),IF($B683="STD. DEVIATION",2,$F$1))))</f>
        <v/>
      </c>
      <c r="Z683" s="1" t="str">
        <f>IF(OR($B683="",Z$7=""),"",IF($B683="MEANS",INDEX('1-DATA'!$1:$1048576,$A682-1,COLUMN('1-DATA'!Y681)),ROUND(INDEX('1-DATA'!$1:$1048576,IF(OR($B683="STD. DEVIATION",$C$1=1),$A683,$A683+1),COLUMN('1-DATA'!Y681)),IF($B683="STD. DEVIATION",2,$F$1))))</f>
        <v/>
      </c>
      <c r="AA683" s="1" t="str">
        <f>IF(OR($B683="",AA$7=""),"",IF($B683="MEANS",INDEX('1-DATA'!$1:$1048576,$A682-1,COLUMN('1-DATA'!Z681)),ROUND(INDEX('1-DATA'!$1:$1048576,IF(OR($B683="STD. DEVIATION",$C$1=1),$A683,$A683+1),COLUMN('1-DATA'!Z681)),IF($B683="STD. DEVIATION",2,$F$1))))</f>
        <v/>
      </c>
      <c r="AB683" s="1" t="str">
        <f>IF(OR($B683="",AB$7=""),"",IF($B683="MEANS",INDEX('1-DATA'!$1:$1048576,$A682-1,COLUMN('1-DATA'!AA681)),ROUND(INDEX('1-DATA'!$1:$1048576,IF(OR($B683="STD. DEVIATION",$C$1=1),$A683,$A683+1),COLUMN('1-DATA'!AA681)),IF($B683="STD. DEVIATION",2,$F$1))))</f>
        <v/>
      </c>
      <c r="AC683" s="1" t="str">
        <f>IF(OR($B683="",AC$7=""),"",IF($B683="MEANS",INDEX('1-DATA'!$1:$1048576,$A682-1,COLUMN('1-DATA'!AB681)),ROUND(INDEX('1-DATA'!$1:$1048576,IF(OR($B683="STD. DEVIATION",$C$1=1),$A683,$A683+1),COLUMN('1-DATA'!AB681)),IF($B683="STD. DEVIATION",2,$F$1))))</f>
        <v/>
      </c>
      <c r="AD683" s="1" t="str">
        <f>IF(OR($B683="",AD$7=""),"",IF($B683="MEANS",INDEX('1-DATA'!$1:$1048576,$A682-1,COLUMN('1-DATA'!AC681)),ROUND(INDEX('1-DATA'!$1:$1048576,IF(OR($B683="STD. DEVIATION",$C$1=1),$A683,$A683+1),COLUMN('1-DATA'!AC681)),IF($B683="STD. DEVIATION",2,$F$1))))</f>
        <v/>
      </c>
      <c r="AE683" s="1" t="str">
        <f>IF(OR($B683="",AE$7=""),"",IF($B683="MEANS",INDEX('1-DATA'!$1:$1048576,$A682-1,COLUMN('1-DATA'!AD681)),ROUND(INDEX('1-DATA'!$1:$1048576,IF(OR($B683="STD. DEVIATION",$C$1=1),$A683,$A683+1),COLUMN('1-DATA'!AD681)),IF($B683="STD. DEVIATION",2,$F$1))))</f>
        <v/>
      </c>
      <c r="AF683" s="1" t="str">
        <f>IF(OR($B683="",AF$7=""),"",IF($B683="MEANS",INDEX('1-DATA'!$1:$1048576,$A682-1,COLUMN('1-DATA'!AE681)),ROUND(INDEX('1-DATA'!$1:$1048576,IF(OR($B683="STD. DEVIATION",$C$1=1),$A683,$A683+1),COLUMN('1-DATA'!AE681)),IF($B683="STD. DEVIATION",2,$F$1))))</f>
        <v/>
      </c>
      <c r="AG683" s="1" t="str">
        <f>IF(OR($B683="",AG$7=""),"",IF($B683="MEANS",INDEX('1-DATA'!$1:$1048576,$A682-1,COLUMN('1-DATA'!AF681)),ROUND(INDEX('1-DATA'!$1:$1048576,IF(OR($B683="STD. DEVIATION",$C$1=1),$A683,$A683+1),COLUMN('1-DATA'!AF681)),IF($B683="STD. DEVIATION",2,$F$1))))</f>
        <v/>
      </c>
      <c r="AH683" s="1" t="str">
        <f>IF(OR($B683="",AH$7=""),"",IF($B683="MEANS",INDEX('1-DATA'!$1:$1048576,$A682-1,COLUMN('1-DATA'!AG681)),ROUND(INDEX('1-DATA'!$1:$1048576,IF(OR($B683="STD. DEVIATION",$C$1=1),$A683,$A683+1),COLUMN('1-DATA'!AG681)),IF($B683="STD. DEVIATION",2,$F$1))))</f>
        <v/>
      </c>
      <c r="AI683" s="1" t="str">
        <f>IF(OR($B683="",AI$7=""),"",IF($B683="MEANS",INDEX('1-DATA'!$1:$1048576,$A682-1,COLUMN('1-DATA'!AH681)),ROUND(INDEX('1-DATA'!$1:$1048576,IF(OR($B683="STD. DEVIATION",$C$1=1),$A683,$A683+1),COLUMN('1-DATA'!AH681)),IF($B683="STD. DEVIATION",2,$F$1))))</f>
        <v/>
      </c>
      <c r="AJ683" s="1" t="str">
        <f>IF(OR($B683="",AJ$7=""),"",IF($B683="MEANS",INDEX('1-DATA'!$1:$1048576,$A682-1,COLUMN('1-DATA'!AI681)),ROUND(INDEX('1-DATA'!$1:$1048576,IF(OR($B683="STD. DEVIATION",$C$1=1),$A683,$A683+1),COLUMN('1-DATA'!AI681)),IF($B683="STD. DEVIATION",2,$F$1))))</f>
        <v/>
      </c>
      <c r="AK683" s="1" t="str">
        <f>IF(OR($B683="",AK$7=""),"",IF($B683="MEANS",INDEX('1-DATA'!$1:$1048576,$A682-1,COLUMN('1-DATA'!AJ681)),ROUND(INDEX('1-DATA'!$1:$1048576,IF(OR($B683="STD. DEVIATION",$C$1=1),$A683,$A683+1),COLUMN('1-DATA'!AJ681)),IF($B683="STD. DEVIATION",2,$F$1))))</f>
        <v/>
      </c>
      <c r="AL683" s="1" t="str">
        <f>IF(OR($B683="",AL$7=""),"",IF($B683="MEANS",INDEX('1-DATA'!$1:$1048576,$A682-1,COLUMN('1-DATA'!AK681)),ROUND(INDEX('1-DATA'!$1:$1048576,IF(OR($B683="STD. DEVIATION",$C$1=1),$A683,$A683+1),COLUMN('1-DATA'!AK681)),IF($B683="STD. DEVIATION",2,$F$1))))</f>
        <v/>
      </c>
      <c r="AM683" s="1" t="str">
        <f>IF(OR($B683="",AM$7=""),"",IF($B683="MEANS",INDEX('1-DATA'!$1:$1048576,$A682-1,COLUMN('1-DATA'!AL681)),ROUND(INDEX('1-DATA'!$1:$1048576,IF(OR($B683="STD. DEVIATION",$C$1=1),$A683,$A683+1),COLUMN('1-DATA'!AL681)),IF($B683="STD. DEVIATION",2,$F$1))))</f>
        <v/>
      </c>
      <c r="AN683" s="1" t="str">
        <f>IF(OR($B683="",AN$7=""),"",IF($B683="MEANS",INDEX('1-DATA'!$1:$1048576,$A682-1,COLUMN('1-DATA'!AM681)),ROUND(INDEX('1-DATA'!$1:$1048576,IF(OR($B683="STD. DEVIATION",$C$1=1),$A683,$A683+1),COLUMN('1-DATA'!AM681)),IF($B683="STD. DEVIATION",2,$F$1))))</f>
        <v/>
      </c>
      <c r="AO683" s="1" t="str">
        <f>IF(OR($B683="",AO$7=""),"",IF($B683="MEANS",INDEX('1-DATA'!$1:$1048576,$A682-1,COLUMN('1-DATA'!AN681)),ROUND(INDEX('1-DATA'!$1:$1048576,IF(OR($B683="STD. DEVIATION",$C$1=1),$A683,$A683+1),COLUMN('1-DATA'!AN681)),IF($B683="STD. DEVIATION",2,$F$1))))</f>
        <v/>
      </c>
      <c r="AP683" s="1" t="str">
        <f>IF(OR($B683="",AP$7=""),"",IF($B683="MEANS",INDEX('1-DATA'!$1:$1048576,$A682-1,COLUMN('1-DATA'!AO681)),ROUND(INDEX('1-DATA'!$1:$1048576,IF(OR($B683="STD. DEVIATION",$C$1=1),$A683,$A683+1),COLUMN('1-DATA'!AO681)),IF($B683="STD. DEVIATION",2,$F$1))))</f>
        <v/>
      </c>
      <c r="AQ683" s="1" t="str">
        <f>IF(OR($B683="",AQ$7=""),"",IF($B683="MEANS",INDEX('1-DATA'!$1:$1048576,$A682-1,COLUMN('1-DATA'!AP681)),ROUND(INDEX('1-DATA'!$1:$1048576,IF(OR($B683="STD. DEVIATION",$C$1=1),$A683,$A683+1),COLUMN('1-DATA'!AP681)),IF($B683="STD. DEVIATION",2,$F$1))))</f>
        <v/>
      </c>
      <c r="AR683" s="1" t="str">
        <f>IF(OR($B683="",AR$7=""),"",IF($B683="MEANS",INDEX('1-DATA'!$1:$1048576,$A682-1,COLUMN('1-DATA'!AQ681)),ROUND(INDEX('1-DATA'!$1:$1048576,IF(OR($B683="STD. DEVIATION",$C$1=1),$A683,$A683+1),COLUMN('1-DATA'!AQ681)),IF($B683="STD. DEVIATION",2,$F$1))))</f>
        <v/>
      </c>
      <c r="AS683" s="1" t="str">
        <f>IF(OR($B683="",AS$7=""),"",IF($B683="MEANS",INDEX('1-DATA'!$1:$1048576,$A682-1,COLUMN('1-DATA'!AR681)),ROUND(INDEX('1-DATA'!$1:$1048576,IF(OR($B683="STD. DEVIATION",$C$1=1),$A683,$A683+1),COLUMN('1-DATA'!AR681)),IF($B683="STD. DEVIATION",2,$F$1))))</f>
        <v/>
      </c>
      <c r="AT683" s="1" t="str">
        <f>IF(OR($B683="",AT$7=""),"",IF($B683="MEANS",INDEX('1-DATA'!$1:$1048576,$A682-1,COLUMN('1-DATA'!AS681)),ROUND(INDEX('1-DATA'!$1:$1048576,IF(OR($B683="STD. DEVIATION",$C$1=1),$A683,$A683+1),COLUMN('1-DATA'!AS681)),IF($B683="STD. DEVIATION",2,$F$1))))</f>
        <v/>
      </c>
      <c r="AU683" s="1" t="str">
        <f>IF(OR($B683="",AU$7=""),"",IF($B683="MEANS",INDEX('1-DATA'!$1:$1048576,$A682-1,COLUMN('1-DATA'!AT681)),ROUND(INDEX('1-DATA'!$1:$1048576,IF(OR($B683="STD. DEVIATION",$C$1=1),$A683,$A683+1),COLUMN('1-DATA'!AT681)),IF($B683="STD. DEVIATION",2,$F$1))))</f>
        <v/>
      </c>
      <c r="AV683" s="1" t="str">
        <f>IF(OR($B683="",AV$7=""),"",IF($B683="MEANS",INDEX('1-DATA'!$1:$1048576,$A682-1,COLUMN('1-DATA'!AU681)),ROUND(INDEX('1-DATA'!$1:$1048576,IF(OR($B683="STD. DEVIATION",$C$1=1),$A683,$A683+1),COLUMN('1-DATA'!AU681)),IF($B683="STD. DEVIATION",2,$F$1))))</f>
        <v/>
      </c>
      <c r="AW683" s="1" t="str">
        <f>IF(OR($B683="",AW$7=""),"",IF($B683="MEANS",INDEX('1-DATA'!$1:$1048576,$A682-1,COLUMN('1-DATA'!AV681)),ROUND(INDEX('1-DATA'!$1:$1048576,IF(OR($B683="STD. DEVIATION",$C$1=1),$A683,$A683+1),COLUMN('1-DATA'!AV681)),IF($B683="STD. DEVIATION",2,$F$1))))</f>
        <v/>
      </c>
      <c r="AX683" s="1" t="str">
        <f>IF(OR($B683="",AX$7=""),"",IF($B683="MEANS",INDEX('1-DATA'!$1:$1048576,$A682-1,COLUMN('1-DATA'!AW681)),ROUND(INDEX('1-DATA'!$1:$1048576,IF(OR($B683="STD. DEVIATION",$C$1=1),$A683,$A683+1),COLUMN('1-DATA'!AW681)),IF($B683="STD. DEVIATION",2,$F$1))))</f>
        <v/>
      </c>
      <c r="AY683" s="1" t="str">
        <f>IF(OR($B683="",AY$7=""),"",IF($B683="MEANS",INDEX('1-DATA'!$1:$1048576,$A682-1,COLUMN('1-DATA'!AX681)),ROUND(INDEX('1-DATA'!$1:$1048576,IF(OR($B683="STD. DEVIATION",$C$1=1),$A683,$A683+1),COLUMN('1-DATA'!AX681)),IF($B683="STD. DEVIATION",2,$F$1))))</f>
        <v/>
      </c>
      <c r="AZ683" s="1" t="str">
        <f>IF(OR($B683="",AZ$7=""),"",IF($B683="MEANS",INDEX('1-DATA'!$1:$1048576,$A682-1,COLUMN('1-DATA'!AY681)),ROUND(INDEX('1-DATA'!$1:$1048576,IF(OR($B683="STD. DEVIATION",$C$1=1),$A683,$A683+1),COLUMN('1-DATA'!AY681)),IF($B683="STD. DEVIATION",2,$F$1))))</f>
        <v/>
      </c>
    </row>
    <row r="684" spans="1:52" x14ac:dyDescent="0.25">
      <c r="A684" s="11">
        <f t="shared" si="11"/>
        <v>2038</v>
      </c>
      <c r="B684" s="1" t="str">
        <f>IF(B683="STD. DEVIATION",INDEX('1-DATA'!$1:$1048576,$A683-1,1),IF(INDEX('1-DATA'!$1:$1048576,$A684,1)&lt;&gt;"",INDEX('1-DATA'!$1:$1048576,$A684,1),""))</f>
        <v/>
      </c>
      <c r="C684" s="1" t="str">
        <f>IF(OR($B684="",C$7=""),"",IF($B684="MEANS",INDEX('1-DATA'!$1:$1048576,$A683-1,COLUMN('1-DATA'!B682)),ROUND(INDEX('1-DATA'!$1:$1048576,IF(OR($B684="STD. DEVIATION",$C$1=1),$A684,$A684+1),COLUMN('1-DATA'!B682)),IF($B684="STD. DEVIATION",2,$F$1))))</f>
        <v/>
      </c>
      <c r="D684" s="1" t="str">
        <f>IF(OR($B684="",D$7=""),"",IF($B684="MEANS",INDEX('1-DATA'!$1:$1048576,$A683-1,COLUMN('1-DATA'!C682)),ROUND(INDEX('1-DATA'!$1:$1048576,IF(OR($B684="STD. DEVIATION",$C$1=1),$A684,$A684+1),COLUMN('1-DATA'!C682)),IF($B684="STD. DEVIATION",2,$F$1))))</f>
        <v/>
      </c>
      <c r="E684" s="1" t="str">
        <f>IF(OR($B684="",E$7=""),"",IF($B684="MEANS",INDEX('1-DATA'!$1:$1048576,$A683-1,COLUMN('1-DATA'!D682)),ROUND(INDEX('1-DATA'!$1:$1048576,IF(OR($B684="STD. DEVIATION",$C$1=1),$A684,$A684+1),COLUMN('1-DATA'!D682)),IF($B684="STD. DEVIATION",2,$F$1))))</f>
        <v/>
      </c>
      <c r="F684" s="1" t="str">
        <f>IF(OR($B684="",F$7=""),"",IF($B684="MEANS",INDEX('1-DATA'!$1:$1048576,$A683-1,COLUMN('1-DATA'!E682)),ROUND(INDEX('1-DATA'!$1:$1048576,IF(OR($B684="STD. DEVIATION",$C$1=1),$A684,$A684+1),COLUMN('1-DATA'!E682)),IF($B684="STD. DEVIATION",2,$F$1))))</f>
        <v/>
      </c>
      <c r="G684" s="1" t="str">
        <f>IF(OR($B684="",G$7=""),"",IF($B684="MEANS",INDEX('1-DATA'!$1:$1048576,$A683-1,COLUMN('1-DATA'!F682)),ROUND(INDEX('1-DATA'!$1:$1048576,IF(OR($B684="STD. DEVIATION",$C$1=1),$A684,$A684+1),COLUMN('1-DATA'!F682)),IF($B684="STD. DEVIATION",2,$F$1))))</f>
        <v/>
      </c>
      <c r="H684" s="1" t="str">
        <f>IF(OR($B684="",H$7=""),"",IF($B684="MEANS",INDEX('1-DATA'!$1:$1048576,$A683-1,COLUMN('1-DATA'!G682)),ROUND(INDEX('1-DATA'!$1:$1048576,IF(OR($B684="STD. DEVIATION",$C$1=1),$A684,$A684+1),COLUMN('1-DATA'!G682)),IF($B684="STD. DEVIATION",2,$F$1))))</f>
        <v/>
      </c>
      <c r="I684" s="1" t="str">
        <f>IF(OR($B684="",I$7=""),"",IF($B684="MEANS",INDEX('1-DATA'!$1:$1048576,$A683-1,COLUMN('1-DATA'!H682)),ROUND(INDEX('1-DATA'!$1:$1048576,IF(OR($B684="STD. DEVIATION",$C$1=1),$A684,$A684+1),COLUMN('1-DATA'!H682)),IF($B684="STD. DEVIATION",2,$F$1))))</f>
        <v/>
      </c>
      <c r="J684" s="1" t="str">
        <f>IF(OR($B684="",J$7=""),"",IF($B684="MEANS",INDEX('1-DATA'!$1:$1048576,$A683-1,COLUMN('1-DATA'!I682)),ROUND(INDEX('1-DATA'!$1:$1048576,IF(OR($B684="STD. DEVIATION",$C$1=1),$A684,$A684+1),COLUMN('1-DATA'!I682)),IF($B684="STD. DEVIATION",2,$F$1))))</f>
        <v/>
      </c>
      <c r="K684" s="1" t="str">
        <f>IF(OR($B684="",K$7=""),"",IF($B684="MEANS",INDEX('1-DATA'!$1:$1048576,$A683-1,COLUMN('1-DATA'!J682)),ROUND(INDEX('1-DATA'!$1:$1048576,IF(OR($B684="STD. DEVIATION",$C$1=1),$A684,$A684+1),COLUMN('1-DATA'!J682)),IF($B684="STD. DEVIATION",2,$F$1))))</f>
        <v/>
      </c>
      <c r="L684" s="1" t="str">
        <f>IF(OR($B684="",L$7=""),"",IF($B684="MEANS",INDEX('1-DATA'!$1:$1048576,$A683-1,COLUMN('1-DATA'!K682)),ROUND(INDEX('1-DATA'!$1:$1048576,IF(OR($B684="STD. DEVIATION",$C$1=1),$A684,$A684+1),COLUMN('1-DATA'!K682)),IF($B684="STD. DEVIATION",2,$F$1))))</f>
        <v/>
      </c>
      <c r="M684" s="1" t="str">
        <f>IF(OR($B684="",M$7=""),"",IF($B684="MEANS",INDEX('1-DATA'!$1:$1048576,$A683-1,COLUMN('1-DATA'!L682)),ROUND(INDEX('1-DATA'!$1:$1048576,IF(OR($B684="STD. DEVIATION",$C$1=1),$A684,$A684+1),COLUMN('1-DATA'!L682)),IF($B684="STD. DEVIATION",2,$F$1))))</f>
        <v/>
      </c>
      <c r="N684" s="1" t="str">
        <f>IF(OR($B684="",N$7=""),"",IF($B684="MEANS",INDEX('1-DATA'!$1:$1048576,$A683-1,COLUMN('1-DATA'!M682)),ROUND(INDEX('1-DATA'!$1:$1048576,IF(OR($B684="STD. DEVIATION",$C$1=1),$A684,$A684+1),COLUMN('1-DATA'!M682)),IF($B684="STD. DEVIATION",2,$F$1))))</f>
        <v/>
      </c>
      <c r="O684" s="1" t="str">
        <f>IF(OR($B684="",O$7=""),"",IF($B684="MEANS",INDEX('1-DATA'!$1:$1048576,$A683-1,COLUMN('1-DATA'!N682)),ROUND(INDEX('1-DATA'!$1:$1048576,IF(OR($B684="STD. DEVIATION",$C$1=1),$A684,$A684+1),COLUMN('1-DATA'!N682)),IF($B684="STD. DEVIATION",2,$F$1))))</f>
        <v/>
      </c>
      <c r="P684" s="1" t="str">
        <f>IF(OR($B684="",P$7=""),"",IF($B684="MEANS",INDEX('1-DATA'!$1:$1048576,$A683-1,COLUMN('1-DATA'!O682)),ROUND(INDEX('1-DATA'!$1:$1048576,IF(OR($B684="STD. DEVIATION",$C$1=1),$A684,$A684+1),COLUMN('1-DATA'!O682)),IF($B684="STD. DEVIATION",2,$F$1))))</f>
        <v/>
      </c>
      <c r="Q684" s="1" t="str">
        <f>IF(OR($B684="",Q$7=""),"",IF($B684="MEANS",INDEX('1-DATA'!$1:$1048576,$A683-1,COLUMN('1-DATA'!P682)),ROUND(INDEX('1-DATA'!$1:$1048576,IF(OR($B684="STD. DEVIATION",$C$1=1),$A684,$A684+1),COLUMN('1-DATA'!P682)),IF($B684="STD. DEVIATION",2,$F$1))))</f>
        <v/>
      </c>
      <c r="R684" s="1" t="str">
        <f>IF(OR($B684="",R$7=""),"",IF($B684="MEANS",INDEX('1-DATA'!$1:$1048576,$A683-1,COLUMN('1-DATA'!Q682)),ROUND(INDEX('1-DATA'!$1:$1048576,IF(OR($B684="STD. DEVIATION",$C$1=1),$A684,$A684+1),COLUMN('1-DATA'!Q682)),IF($B684="STD. DEVIATION",2,$F$1))))</f>
        <v/>
      </c>
      <c r="S684" s="1" t="str">
        <f>IF(OR($B684="",S$7=""),"",IF($B684="MEANS",INDEX('1-DATA'!$1:$1048576,$A683-1,COLUMN('1-DATA'!R682)),ROUND(INDEX('1-DATA'!$1:$1048576,IF(OR($B684="STD. DEVIATION",$C$1=1),$A684,$A684+1),COLUMN('1-DATA'!R682)),IF($B684="STD. DEVIATION",2,$F$1))))</f>
        <v/>
      </c>
      <c r="T684" s="1" t="str">
        <f>IF(OR($B684="",T$7=""),"",IF($B684="MEANS",INDEX('1-DATA'!$1:$1048576,$A683-1,COLUMN('1-DATA'!S682)),ROUND(INDEX('1-DATA'!$1:$1048576,IF(OR($B684="STD. DEVIATION",$C$1=1),$A684,$A684+1),COLUMN('1-DATA'!S682)),IF($B684="STD. DEVIATION",2,$F$1))))</f>
        <v/>
      </c>
      <c r="U684" s="1" t="str">
        <f>IF(OR($B684="",U$7=""),"",IF($B684="MEANS",INDEX('1-DATA'!$1:$1048576,$A683-1,COLUMN('1-DATA'!T682)),ROUND(INDEX('1-DATA'!$1:$1048576,IF(OR($B684="STD. DEVIATION",$C$1=1),$A684,$A684+1),COLUMN('1-DATA'!T682)),IF($B684="STD. DEVIATION",2,$F$1))))</f>
        <v/>
      </c>
      <c r="V684" s="1" t="str">
        <f>IF(OR($B684="",V$7=""),"",IF($B684="MEANS",INDEX('1-DATA'!$1:$1048576,$A683-1,COLUMN('1-DATA'!U682)),ROUND(INDEX('1-DATA'!$1:$1048576,IF(OR($B684="STD. DEVIATION",$C$1=1),$A684,$A684+1),COLUMN('1-DATA'!U682)),IF($B684="STD. DEVIATION",2,$F$1))))</f>
        <v/>
      </c>
      <c r="W684" s="1" t="str">
        <f>IF(OR($B684="",W$7=""),"",IF($B684="MEANS",INDEX('1-DATA'!$1:$1048576,$A683-1,COLUMN('1-DATA'!V682)),ROUND(INDEX('1-DATA'!$1:$1048576,IF(OR($B684="STD. DEVIATION",$C$1=1),$A684,$A684+1),COLUMN('1-DATA'!V682)),IF($B684="STD. DEVIATION",2,$F$1))))</f>
        <v/>
      </c>
      <c r="X684" s="1" t="str">
        <f>IF(OR($B684="",X$7=""),"",IF($B684="MEANS",INDEX('1-DATA'!$1:$1048576,$A683-1,COLUMN('1-DATA'!W682)),ROUND(INDEX('1-DATA'!$1:$1048576,IF(OR($B684="STD. DEVIATION",$C$1=1),$A684,$A684+1),COLUMN('1-DATA'!W682)),IF($B684="STD. DEVIATION",2,$F$1))))</f>
        <v/>
      </c>
      <c r="Y684" s="1" t="str">
        <f>IF(OR($B684="",Y$7=""),"",IF($B684="MEANS",INDEX('1-DATA'!$1:$1048576,$A683-1,COLUMN('1-DATA'!X682)),ROUND(INDEX('1-DATA'!$1:$1048576,IF(OR($B684="STD. DEVIATION",$C$1=1),$A684,$A684+1),COLUMN('1-DATA'!X682)),IF($B684="STD. DEVIATION",2,$F$1))))</f>
        <v/>
      </c>
      <c r="Z684" s="1" t="str">
        <f>IF(OR($B684="",Z$7=""),"",IF($B684="MEANS",INDEX('1-DATA'!$1:$1048576,$A683-1,COLUMN('1-DATA'!Y682)),ROUND(INDEX('1-DATA'!$1:$1048576,IF(OR($B684="STD. DEVIATION",$C$1=1),$A684,$A684+1),COLUMN('1-DATA'!Y682)),IF($B684="STD. DEVIATION",2,$F$1))))</f>
        <v/>
      </c>
      <c r="AA684" s="1" t="str">
        <f>IF(OR($B684="",AA$7=""),"",IF($B684="MEANS",INDEX('1-DATA'!$1:$1048576,$A683-1,COLUMN('1-DATA'!Z682)),ROUND(INDEX('1-DATA'!$1:$1048576,IF(OR($B684="STD. DEVIATION",$C$1=1),$A684,$A684+1),COLUMN('1-DATA'!Z682)),IF($B684="STD. DEVIATION",2,$F$1))))</f>
        <v/>
      </c>
      <c r="AB684" s="1" t="str">
        <f>IF(OR($B684="",AB$7=""),"",IF($B684="MEANS",INDEX('1-DATA'!$1:$1048576,$A683-1,COLUMN('1-DATA'!AA682)),ROUND(INDEX('1-DATA'!$1:$1048576,IF(OR($B684="STD. DEVIATION",$C$1=1),$A684,$A684+1),COLUMN('1-DATA'!AA682)),IF($B684="STD. DEVIATION",2,$F$1))))</f>
        <v/>
      </c>
      <c r="AC684" s="1" t="str">
        <f>IF(OR($B684="",AC$7=""),"",IF($B684="MEANS",INDEX('1-DATA'!$1:$1048576,$A683-1,COLUMN('1-DATA'!AB682)),ROUND(INDEX('1-DATA'!$1:$1048576,IF(OR($B684="STD. DEVIATION",$C$1=1),$A684,$A684+1),COLUMN('1-DATA'!AB682)),IF($B684="STD. DEVIATION",2,$F$1))))</f>
        <v/>
      </c>
      <c r="AD684" s="1" t="str">
        <f>IF(OR($B684="",AD$7=""),"",IF($B684="MEANS",INDEX('1-DATA'!$1:$1048576,$A683-1,COLUMN('1-DATA'!AC682)),ROUND(INDEX('1-DATA'!$1:$1048576,IF(OR($B684="STD. DEVIATION",$C$1=1),$A684,$A684+1),COLUMN('1-DATA'!AC682)),IF($B684="STD. DEVIATION",2,$F$1))))</f>
        <v/>
      </c>
      <c r="AE684" s="1" t="str">
        <f>IF(OR($B684="",AE$7=""),"",IF($B684="MEANS",INDEX('1-DATA'!$1:$1048576,$A683-1,COLUMN('1-DATA'!AD682)),ROUND(INDEX('1-DATA'!$1:$1048576,IF(OR($B684="STD. DEVIATION",$C$1=1),$A684,$A684+1),COLUMN('1-DATA'!AD682)),IF($B684="STD. DEVIATION",2,$F$1))))</f>
        <v/>
      </c>
      <c r="AF684" s="1" t="str">
        <f>IF(OR($B684="",AF$7=""),"",IF($B684="MEANS",INDEX('1-DATA'!$1:$1048576,$A683-1,COLUMN('1-DATA'!AE682)),ROUND(INDEX('1-DATA'!$1:$1048576,IF(OR($B684="STD. DEVIATION",$C$1=1),$A684,$A684+1),COLUMN('1-DATA'!AE682)),IF($B684="STD. DEVIATION",2,$F$1))))</f>
        <v/>
      </c>
      <c r="AG684" s="1" t="str">
        <f>IF(OR($B684="",AG$7=""),"",IF($B684="MEANS",INDEX('1-DATA'!$1:$1048576,$A683-1,COLUMN('1-DATA'!AF682)),ROUND(INDEX('1-DATA'!$1:$1048576,IF(OR($B684="STD. DEVIATION",$C$1=1),$A684,$A684+1),COLUMN('1-DATA'!AF682)),IF($B684="STD. DEVIATION",2,$F$1))))</f>
        <v/>
      </c>
      <c r="AH684" s="1" t="str">
        <f>IF(OR($B684="",AH$7=""),"",IF($B684="MEANS",INDEX('1-DATA'!$1:$1048576,$A683-1,COLUMN('1-DATA'!AG682)),ROUND(INDEX('1-DATA'!$1:$1048576,IF(OR($B684="STD. DEVIATION",$C$1=1),$A684,$A684+1),COLUMN('1-DATA'!AG682)),IF($B684="STD. DEVIATION",2,$F$1))))</f>
        <v/>
      </c>
      <c r="AI684" s="1" t="str">
        <f>IF(OR($B684="",AI$7=""),"",IF($B684="MEANS",INDEX('1-DATA'!$1:$1048576,$A683-1,COLUMN('1-DATA'!AH682)),ROUND(INDEX('1-DATA'!$1:$1048576,IF(OR($B684="STD. DEVIATION",$C$1=1),$A684,$A684+1),COLUMN('1-DATA'!AH682)),IF($B684="STD. DEVIATION",2,$F$1))))</f>
        <v/>
      </c>
      <c r="AJ684" s="1" t="str">
        <f>IF(OR($B684="",AJ$7=""),"",IF($B684="MEANS",INDEX('1-DATA'!$1:$1048576,$A683-1,COLUMN('1-DATA'!AI682)),ROUND(INDEX('1-DATA'!$1:$1048576,IF(OR($B684="STD. DEVIATION",$C$1=1),$A684,$A684+1),COLUMN('1-DATA'!AI682)),IF($B684="STD. DEVIATION",2,$F$1))))</f>
        <v/>
      </c>
      <c r="AK684" s="1" t="str">
        <f>IF(OR($B684="",AK$7=""),"",IF($B684="MEANS",INDEX('1-DATA'!$1:$1048576,$A683-1,COLUMN('1-DATA'!AJ682)),ROUND(INDEX('1-DATA'!$1:$1048576,IF(OR($B684="STD. DEVIATION",$C$1=1),$A684,$A684+1),COLUMN('1-DATA'!AJ682)),IF($B684="STD. DEVIATION",2,$F$1))))</f>
        <v/>
      </c>
      <c r="AL684" s="1" t="str">
        <f>IF(OR($B684="",AL$7=""),"",IF($B684="MEANS",INDEX('1-DATA'!$1:$1048576,$A683-1,COLUMN('1-DATA'!AK682)),ROUND(INDEX('1-DATA'!$1:$1048576,IF(OR($B684="STD. DEVIATION",$C$1=1),$A684,$A684+1),COLUMN('1-DATA'!AK682)),IF($B684="STD. DEVIATION",2,$F$1))))</f>
        <v/>
      </c>
      <c r="AM684" s="1" t="str">
        <f>IF(OR($B684="",AM$7=""),"",IF($B684="MEANS",INDEX('1-DATA'!$1:$1048576,$A683-1,COLUMN('1-DATA'!AL682)),ROUND(INDEX('1-DATA'!$1:$1048576,IF(OR($B684="STD. DEVIATION",$C$1=1),$A684,$A684+1),COLUMN('1-DATA'!AL682)),IF($B684="STD. DEVIATION",2,$F$1))))</f>
        <v/>
      </c>
      <c r="AN684" s="1" t="str">
        <f>IF(OR($B684="",AN$7=""),"",IF($B684="MEANS",INDEX('1-DATA'!$1:$1048576,$A683-1,COLUMN('1-DATA'!AM682)),ROUND(INDEX('1-DATA'!$1:$1048576,IF(OR($B684="STD. DEVIATION",$C$1=1),$A684,$A684+1),COLUMN('1-DATA'!AM682)),IF($B684="STD. DEVIATION",2,$F$1))))</f>
        <v/>
      </c>
      <c r="AO684" s="1" t="str">
        <f>IF(OR($B684="",AO$7=""),"",IF($B684="MEANS",INDEX('1-DATA'!$1:$1048576,$A683-1,COLUMN('1-DATA'!AN682)),ROUND(INDEX('1-DATA'!$1:$1048576,IF(OR($B684="STD. DEVIATION",$C$1=1),$A684,$A684+1),COLUMN('1-DATA'!AN682)),IF($B684="STD. DEVIATION",2,$F$1))))</f>
        <v/>
      </c>
      <c r="AP684" s="1" t="str">
        <f>IF(OR($B684="",AP$7=""),"",IF($B684="MEANS",INDEX('1-DATA'!$1:$1048576,$A683-1,COLUMN('1-DATA'!AO682)),ROUND(INDEX('1-DATA'!$1:$1048576,IF(OR($B684="STD. DEVIATION",$C$1=1),$A684,$A684+1),COLUMN('1-DATA'!AO682)),IF($B684="STD. DEVIATION",2,$F$1))))</f>
        <v/>
      </c>
      <c r="AQ684" s="1" t="str">
        <f>IF(OR($B684="",AQ$7=""),"",IF($B684="MEANS",INDEX('1-DATA'!$1:$1048576,$A683-1,COLUMN('1-DATA'!AP682)),ROUND(INDEX('1-DATA'!$1:$1048576,IF(OR($B684="STD. DEVIATION",$C$1=1),$A684,$A684+1),COLUMN('1-DATA'!AP682)),IF($B684="STD. DEVIATION",2,$F$1))))</f>
        <v/>
      </c>
      <c r="AR684" s="1" t="str">
        <f>IF(OR($B684="",AR$7=""),"",IF($B684="MEANS",INDEX('1-DATA'!$1:$1048576,$A683-1,COLUMN('1-DATA'!AQ682)),ROUND(INDEX('1-DATA'!$1:$1048576,IF(OR($B684="STD. DEVIATION",$C$1=1),$A684,$A684+1),COLUMN('1-DATA'!AQ682)),IF($B684="STD. DEVIATION",2,$F$1))))</f>
        <v/>
      </c>
      <c r="AS684" s="1" t="str">
        <f>IF(OR($B684="",AS$7=""),"",IF($B684="MEANS",INDEX('1-DATA'!$1:$1048576,$A683-1,COLUMN('1-DATA'!AR682)),ROUND(INDEX('1-DATA'!$1:$1048576,IF(OR($B684="STD. DEVIATION",$C$1=1),$A684,$A684+1),COLUMN('1-DATA'!AR682)),IF($B684="STD. DEVIATION",2,$F$1))))</f>
        <v/>
      </c>
      <c r="AT684" s="1" t="str">
        <f>IF(OR($B684="",AT$7=""),"",IF($B684="MEANS",INDEX('1-DATA'!$1:$1048576,$A683-1,COLUMN('1-DATA'!AS682)),ROUND(INDEX('1-DATA'!$1:$1048576,IF(OR($B684="STD. DEVIATION",$C$1=1),$A684,$A684+1),COLUMN('1-DATA'!AS682)),IF($B684="STD. DEVIATION",2,$F$1))))</f>
        <v/>
      </c>
      <c r="AU684" s="1" t="str">
        <f>IF(OR($B684="",AU$7=""),"",IF($B684="MEANS",INDEX('1-DATA'!$1:$1048576,$A683-1,COLUMN('1-DATA'!AT682)),ROUND(INDEX('1-DATA'!$1:$1048576,IF(OR($B684="STD. DEVIATION",$C$1=1),$A684,$A684+1),COLUMN('1-DATA'!AT682)),IF($B684="STD. DEVIATION",2,$F$1))))</f>
        <v/>
      </c>
      <c r="AV684" s="1" t="str">
        <f>IF(OR($B684="",AV$7=""),"",IF($B684="MEANS",INDEX('1-DATA'!$1:$1048576,$A683-1,COLUMN('1-DATA'!AU682)),ROUND(INDEX('1-DATA'!$1:$1048576,IF(OR($B684="STD. DEVIATION",$C$1=1),$A684,$A684+1),COLUMN('1-DATA'!AU682)),IF($B684="STD. DEVIATION",2,$F$1))))</f>
        <v/>
      </c>
      <c r="AW684" s="1" t="str">
        <f>IF(OR($B684="",AW$7=""),"",IF($B684="MEANS",INDEX('1-DATA'!$1:$1048576,$A683-1,COLUMN('1-DATA'!AV682)),ROUND(INDEX('1-DATA'!$1:$1048576,IF(OR($B684="STD. DEVIATION",$C$1=1),$A684,$A684+1),COLUMN('1-DATA'!AV682)),IF($B684="STD. DEVIATION",2,$F$1))))</f>
        <v/>
      </c>
      <c r="AX684" s="1" t="str">
        <f>IF(OR($B684="",AX$7=""),"",IF($B684="MEANS",INDEX('1-DATA'!$1:$1048576,$A683-1,COLUMN('1-DATA'!AW682)),ROUND(INDEX('1-DATA'!$1:$1048576,IF(OR($B684="STD. DEVIATION",$C$1=1),$A684,$A684+1),COLUMN('1-DATA'!AW682)),IF($B684="STD. DEVIATION",2,$F$1))))</f>
        <v/>
      </c>
      <c r="AY684" s="1" t="str">
        <f>IF(OR($B684="",AY$7=""),"",IF($B684="MEANS",INDEX('1-DATA'!$1:$1048576,$A683-1,COLUMN('1-DATA'!AX682)),ROUND(INDEX('1-DATA'!$1:$1048576,IF(OR($B684="STD. DEVIATION",$C$1=1),$A684,$A684+1),COLUMN('1-DATA'!AX682)),IF($B684="STD. DEVIATION",2,$F$1))))</f>
        <v/>
      </c>
      <c r="AZ684" s="1" t="str">
        <f>IF(OR($B684="",AZ$7=""),"",IF($B684="MEANS",INDEX('1-DATA'!$1:$1048576,$A683-1,COLUMN('1-DATA'!AY682)),ROUND(INDEX('1-DATA'!$1:$1048576,IF(OR($B684="STD. DEVIATION",$C$1=1),$A684,$A684+1),COLUMN('1-DATA'!AY682)),IF($B684="STD. DEVIATION",2,$F$1))))</f>
        <v/>
      </c>
    </row>
    <row r="685" spans="1:52" x14ac:dyDescent="0.25">
      <c r="A685" s="11">
        <f t="shared" si="11"/>
        <v>2041</v>
      </c>
      <c r="B685" s="1" t="str">
        <f>IF(B684="STD. DEVIATION",INDEX('1-DATA'!$1:$1048576,$A684-1,1),IF(INDEX('1-DATA'!$1:$1048576,$A685,1)&lt;&gt;"",INDEX('1-DATA'!$1:$1048576,$A685,1),""))</f>
        <v/>
      </c>
      <c r="C685" s="1" t="str">
        <f>IF(OR($B685="",C$7=""),"",IF($B685="MEANS",INDEX('1-DATA'!$1:$1048576,$A684-1,COLUMN('1-DATA'!B683)),ROUND(INDEX('1-DATA'!$1:$1048576,IF(OR($B685="STD. DEVIATION",$C$1=1),$A685,$A685+1),COLUMN('1-DATA'!B683)),IF($B685="STD. DEVIATION",2,$F$1))))</f>
        <v/>
      </c>
      <c r="D685" s="1" t="str">
        <f>IF(OR($B685="",D$7=""),"",IF($B685="MEANS",INDEX('1-DATA'!$1:$1048576,$A684-1,COLUMN('1-DATA'!C683)),ROUND(INDEX('1-DATA'!$1:$1048576,IF(OR($B685="STD. DEVIATION",$C$1=1),$A685,$A685+1),COLUMN('1-DATA'!C683)),IF($B685="STD. DEVIATION",2,$F$1))))</f>
        <v/>
      </c>
      <c r="E685" s="1" t="str">
        <f>IF(OR($B685="",E$7=""),"",IF($B685="MEANS",INDEX('1-DATA'!$1:$1048576,$A684-1,COLUMN('1-DATA'!D683)),ROUND(INDEX('1-DATA'!$1:$1048576,IF(OR($B685="STD. DEVIATION",$C$1=1),$A685,$A685+1),COLUMN('1-DATA'!D683)),IF($B685="STD. DEVIATION",2,$F$1))))</f>
        <v/>
      </c>
      <c r="F685" s="1" t="str">
        <f>IF(OR($B685="",F$7=""),"",IF($B685="MEANS",INDEX('1-DATA'!$1:$1048576,$A684-1,COLUMN('1-DATA'!E683)),ROUND(INDEX('1-DATA'!$1:$1048576,IF(OR($B685="STD. DEVIATION",$C$1=1),$A685,$A685+1),COLUMN('1-DATA'!E683)),IF($B685="STD. DEVIATION",2,$F$1))))</f>
        <v/>
      </c>
      <c r="G685" s="1" t="str">
        <f>IF(OR($B685="",G$7=""),"",IF($B685="MEANS",INDEX('1-DATA'!$1:$1048576,$A684-1,COLUMN('1-DATA'!F683)),ROUND(INDEX('1-DATA'!$1:$1048576,IF(OR($B685="STD. DEVIATION",$C$1=1),$A685,$A685+1),COLUMN('1-DATA'!F683)),IF($B685="STD. DEVIATION",2,$F$1))))</f>
        <v/>
      </c>
      <c r="H685" s="1" t="str">
        <f>IF(OR($B685="",H$7=""),"",IF($B685="MEANS",INDEX('1-DATA'!$1:$1048576,$A684-1,COLUMN('1-DATA'!G683)),ROUND(INDEX('1-DATA'!$1:$1048576,IF(OR($B685="STD. DEVIATION",$C$1=1),$A685,$A685+1),COLUMN('1-DATA'!G683)),IF($B685="STD. DEVIATION",2,$F$1))))</f>
        <v/>
      </c>
      <c r="I685" s="1" t="str">
        <f>IF(OR($B685="",I$7=""),"",IF($B685="MEANS",INDEX('1-DATA'!$1:$1048576,$A684-1,COLUMN('1-DATA'!H683)),ROUND(INDEX('1-DATA'!$1:$1048576,IF(OR($B685="STD. DEVIATION",$C$1=1),$A685,$A685+1),COLUMN('1-DATA'!H683)),IF($B685="STD. DEVIATION",2,$F$1))))</f>
        <v/>
      </c>
      <c r="J685" s="1" t="str">
        <f>IF(OR($B685="",J$7=""),"",IF($B685="MEANS",INDEX('1-DATA'!$1:$1048576,$A684-1,COLUMN('1-DATA'!I683)),ROUND(INDEX('1-DATA'!$1:$1048576,IF(OR($B685="STD. DEVIATION",$C$1=1),$A685,$A685+1),COLUMN('1-DATA'!I683)),IF($B685="STD. DEVIATION",2,$F$1))))</f>
        <v/>
      </c>
      <c r="K685" s="1" t="str">
        <f>IF(OR($B685="",K$7=""),"",IF($B685="MEANS",INDEX('1-DATA'!$1:$1048576,$A684-1,COLUMN('1-DATA'!J683)),ROUND(INDEX('1-DATA'!$1:$1048576,IF(OR($B685="STD. DEVIATION",$C$1=1),$A685,$A685+1),COLUMN('1-DATA'!J683)),IF($B685="STD. DEVIATION",2,$F$1))))</f>
        <v/>
      </c>
      <c r="L685" s="1" t="str">
        <f>IF(OR($B685="",L$7=""),"",IF($B685="MEANS",INDEX('1-DATA'!$1:$1048576,$A684-1,COLUMN('1-DATA'!K683)),ROUND(INDEX('1-DATA'!$1:$1048576,IF(OR($B685="STD. DEVIATION",$C$1=1),$A685,$A685+1),COLUMN('1-DATA'!K683)),IF($B685="STD. DEVIATION",2,$F$1))))</f>
        <v/>
      </c>
      <c r="M685" s="1" t="str">
        <f>IF(OR($B685="",M$7=""),"",IF($B685="MEANS",INDEX('1-DATA'!$1:$1048576,$A684-1,COLUMN('1-DATA'!L683)),ROUND(INDEX('1-DATA'!$1:$1048576,IF(OR($B685="STD. DEVIATION",$C$1=1),$A685,$A685+1),COLUMN('1-DATA'!L683)),IF($B685="STD. DEVIATION",2,$F$1))))</f>
        <v/>
      </c>
      <c r="N685" s="1" t="str">
        <f>IF(OR($B685="",N$7=""),"",IF($B685="MEANS",INDEX('1-DATA'!$1:$1048576,$A684-1,COLUMN('1-DATA'!M683)),ROUND(INDEX('1-DATA'!$1:$1048576,IF(OR($B685="STD. DEVIATION",$C$1=1),$A685,$A685+1),COLUMN('1-DATA'!M683)),IF($B685="STD. DEVIATION",2,$F$1))))</f>
        <v/>
      </c>
      <c r="O685" s="1" t="str">
        <f>IF(OR($B685="",O$7=""),"",IF($B685="MEANS",INDEX('1-DATA'!$1:$1048576,$A684-1,COLUMN('1-DATA'!N683)),ROUND(INDEX('1-DATA'!$1:$1048576,IF(OR($B685="STD. DEVIATION",$C$1=1),$A685,$A685+1),COLUMN('1-DATA'!N683)),IF($B685="STD. DEVIATION",2,$F$1))))</f>
        <v/>
      </c>
      <c r="P685" s="1" t="str">
        <f>IF(OR($B685="",P$7=""),"",IF($B685="MEANS",INDEX('1-DATA'!$1:$1048576,$A684-1,COLUMN('1-DATA'!O683)),ROUND(INDEX('1-DATA'!$1:$1048576,IF(OR($B685="STD. DEVIATION",$C$1=1),$A685,$A685+1),COLUMN('1-DATA'!O683)),IF($B685="STD. DEVIATION",2,$F$1))))</f>
        <v/>
      </c>
      <c r="Q685" s="1" t="str">
        <f>IF(OR($B685="",Q$7=""),"",IF($B685="MEANS",INDEX('1-DATA'!$1:$1048576,$A684-1,COLUMN('1-DATA'!P683)),ROUND(INDEX('1-DATA'!$1:$1048576,IF(OR($B685="STD. DEVIATION",$C$1=1),$A685,$A685+1),COLUMN('1-DATA'!P683)),IF($B685="STD. DEVIATION",2,$F$1))))</f>
        <v/>
      </c>
      <c r="R685" s="1" t="str">
        <f>IF(OR($B685="",R$7=""),"",IF($B685="MEANS",INDEX('1-DATA'!$1:$1048576,$A684-1,COLUMN('1-DATA'!Q683)),ROUND(INDEX('1-DATA'!$1:$1048576,IF(OR($B685="STD. DEVIATION",$C$1=1),$A685,$A685+1),COLUMN('1-DATA'!Q683)),IF($B685="STD. DEVIATION",2,$F$1))))</f>
        <v/>
      </c>
      <c r="S685" s="1" t="str">
        <f>IF(OR($B685="",S$7=""),"",IF($B685="MEANS",INDEX('1-DATA'!$1:$1048576,$A684-1,COLUMN('1-DATA'!R683)),ROUND(INDEX('1-DATA'!$1:$1048576,IF(OR($B685="STD. DEVIATION",$C$1=1),$A685,$A685+1),COLUMN('1-DATA'!R683)),IF($B685="STD. DEVIATION",2,$F$1))))</f>
        <v/>
      </c>
      <c r="T685" s="1" t="str">
        <f>IF(OR($B685="",T$7=""),"",IF($B685="MEANS",INDEX('1-DATA'!$1:$1048576,$A684-1,COLUMN('1-DATA'!S683)),ROUND(INDEX('1-DATA'!$1:$1048576,IF(OR($B685="STD. DEVIATION",$C$1=1),$A685,$A685+1),COLUMN('1-DATA'!S683)),IF($B685="STD. DEVIATION",2,$F$1))))</f>
        <v/>
      </c>
      <c r="U685" s="1" t="str">
        <f>IF(OR($B685="",U$7=""),"",IF($B685="MEANS",INDEX('1-DATA'!$1:$1048576,$A684-1,COLUMN('1-DATA'!T683)),ROUND(INDEX('1-DATA'!$1:$1048576,IF(OR($B685="STD. DEVIATION",$C$1=1),$A685,$A685+1),COLUMN('1-DATA'!T683)),IF($B685="STD. DEVIATION",2,$F$1))))</f>
        <v/>
      </c>
      <c r="V685" s="1" t="str">
        <f>IF(OR($B685="",V$7=""),"",IF($B685="MEANS",INDEX('1-DATA'!$1:$1048576,$A684-1,COLUMN('1-DATA'!U683)),ROUND(INDEX('1-DATA'!$1:$1048576,IF(OR($B685="STD. DEVIATION",$C$1=1),$A685,$A685+1),COLUMN('1-DATA'!U683)),IF($B685="STD. DEVIATION",2,$F$1))))</f>
        <v/>
      </c>
      <c r="W685" s="1" t="str">
        <f>IF(OR($B685="",W$7=""),"",IF($B685="MEANS",INDEX('1-DATA'!$1:$1048576,$A684-1,COLUMN('1-DATA'!V683)),ROUND(INDEX('1-DATA'!$1:$1048576,IF(OR($B685="STD. DEVIATION",$C$1=1),$A685,$A685+1),COLUMN('1-DATA'!V683)),IF($B685="STD. DEVIATION",2,$F$1))))</f>
        <v/>
      </c>
      <c r="X685" s="1" t="str">
        <f>IF(OR($B685="",X$7=""),"",IF($B685="MEANS",INDEX('1-DATA'!$1:$1048576,$A684-1,COLUMN('1-DATA'!W683)),ROUND(INDEX('1-DATA'!$1:$1048576,IF(OR($B685="STD. DEVIATION",$C$1=1),$A685,$A685+1),COLUMN('1-DATA'!W683)),IF($B685="STD. DEVIATION",2,$F$1))))</f>
        <v/>
      </c>
      <c r="Y685" s="1" t="str">
        <f>IF(OR($B685="",Y$7=""),"",IF($B685="MEANS",INDEX('1-DATA'!$1:$1048576,$A684-1,COLUMN('1-DATA'!X683)),ROUND(INDEX('1-DATA'!$1:$1048576,IF(OR($B685="STD. DEVIATION",$C$1=1),$A685,$A685+1),COLUMN('1-DATA'!X683)),IF($B685="STD. DEVIATION",2,$F$1))))</f>
        <v/>
      </c>
      <c r="Z685" s="1" t="str">
        <f>IF(OR($B685="",Z$7=""),"",IF($B685="MEANS",INDEX('1-DATA'!$1:$1048576,$A684-1,COLUMN('1-DATA'!Y683)),ROUND(INDEX('1-DATA'!$1:$1048576,IF(OR($B685="STD. DEVIATION",$C$1=1),$A685,$A685+1),COLUMN('1-DATA'!Y683)),IF($B685="STD. DEVIATION",2,$F$1))))</f>
        <v/>
      </c>
      <c r="AA685" s="1" t="str">
        <f>IF(OR($B685="",AA$7=""),"",IF($B685="MEANS",INDEX('1-DATA'!$1:$1048576,$A684-1,COLUMN('1-DATA'!Z683)),ROUND(INDEX('1-DATA'!$1:$1048576,IF(OR($B685="STD. DEVIATION",$C$1=1),$A685,$A685+1),COLUMN('1-DATA'!Z683)),IF($B685="STD. DEVIATION",2,$F$1))))</f>
        <v/>
      </c>
      <c r="AB685" s="1" t="str">
        <f>IF(OR($B685="",AB$7=""),"",IF($B685="MEANS",INDEX('1-DATA'!$1:$1048576,$A684-1,COLUMN('1-DATA'!AA683)),ROUND(INDEX('1-DATA'!$1:$1048576,IF(OR($B685="STD. DEVIATION",$C$1=1),$A685,$A685+1),COLUMN('1-DATA'!AA683)),IF($B685="STD. DEVIATION",2,$F$1))))</f>
        <v/>
      </c>
      <c r="AC685" s="1" t="str">
        <f>IF(OR($B685="",AC$7=""),"",IF($B685="MEANS",INDEX('1-DATA'!$1:$1048576,$A684-1,COLUMN('1-DATA'!AB683)),ROUND(INDEX('1-DATA'!$1:$1048576,IF(OR($B685="STD. DEVIATION",$C$1=1),$A685,$A685+1),COLUMN('1-DATA'!AB683)),IF($B685="STD. DEVIATION",2,$F$1))))</f>
        <v/>
      </c>
      <c r="AD685" s="1" t="str">
        <f>IF(OR($B685="",AD$7=""),"",IF($B685="MEANS",INDEX('1-DATA'!$1:$1048576,$A684-1,COLUMN('1-DATA'!AC683)),ROUND(INDEX('1-DATA'!$1:$1048576,IF(OR($B685="STD. DEVIATION",$C$1=1),$A685,$A685+1),COLUMN('1-DATA'!AC683)),IF($B685="STD. DEVIATION",2,$F$1))))</f>
        <v/>
      </c>
      <c r="AE685" s="1" t="str">
        <f>IF(OR($B685="",AE$7=""),"",IF($B685="MEANS",INDEX('1-DATA'!$1:$1048576,$A684-1,COLUMN('1-DATA'!AD683)),ROUND(INDEX('1-DATA'!$1:$1048576,IF(OR($B685="STD. DEVIATION",$C$1=1),$A685,$A685+1),COLUMN('1-DATA'!AD683)),IF($B685="STD. DEVIATION",2,$F$1))))</f>
        <v/>
      </c>
      <c r="AF685" s="1" t="str">
        <f>IF(OR($B685="",AF$7=""),"",IF($B685="MEANS",INDEX('1-DATA'!$1:$1048576,$A684-1,COLUMN('1-DATA'!AE683)),ROUND(INDEX('1-DATA'!$1:$1048576,IF(OR($B685="STD. DEVIATION",$C$1=1),$A685,$A685+1),COLUMN('1-DATA'!AE683)),IF($B685="STD. DEVIATION",2,$F$1))))</f>
        <v/>
      </c>
      <c r="AG685" s="1" t="str">
        <f>IF(OR($B685="",AG$7=""),"",IF($B685="MEANS",INDEX('1-DATA'!$1:$1048576,$A684-1,COLUMN('1-DATA'!AF683)),ROUND(INDEX('1-DATA'!$1:$1048576,IF(OR($B685="STD. DEVIATION",$C$1=1),$A685,$A685+1),COLUMN('1-DATA'!AF683)),IF($B685="STD. DEVIATION",2,$F$1))))</f>
        <v/>
      </c>
      <c r="AH685" s="1" t="str">
        <f>IF(OR($B685="",AH$7=""),"",IF($B685="MEANS",INDEX('1-DATA'!$1:$1048576,$A684-1,COLUMN('1-DATA'!AG683)),ROUND(INDEX('1-DATA'!$1:$1048576,IF(OR($B685="STD. DEVIATION",$C$1=1),$A685,$A685+1),COLUMN('1-DATA'!AG683)),IF($B685="STD. DEVIATION",2,$F$1))))</f>
        <v/>
      </c>
      <c r="AI685" s="1" t="str">
        <f>IF(OR($B685="",AI$7=""),"",IF($B685="MEANS",INDEX('1-DATA'!$1:$1048576,$A684-1,COLUMN('1-DATA'!AH683)),ROUND(INDEX('1-DATA'!$1:$1048576,IF(OR($B685="STD. DEVIATION",$C$1=1),$A685,$A685+1),COLUMN('1-DATA'!AH683)),IF($B685="STD. DEVIATION",2,$F$1))))</f>
        <v/>
      </c>
      <c r="AJ685" s="1" t="str">
        <f>IF(OR($B685="",AJ$7=""),"",IF($B685="MEANS",INDEX('1-DATA'!$1:$1048576,$A684-1,COLUMN('1-DATA'!AI683)),ROUND(INDEX('1-DATA'!$1:$1048576,IF(OR($B685="STD. DEVIATION",$C$1=1),$A685,$A685+1),COLUMN('1-DATA'!AI683)),IF($B685="STD. DEVIATION",2,$F$1))))</f>
        <v/>
      </c>
      <c r="AK685" s="1" t="str">
        <f>IF(OR($B685="",AK$7=""),"",IF($B685="MEANS",INDEX('1-DATA'!$1:$1048576,$A684-1,COLUMN('1-DATA'!AJ683)),ROUND(INDEX('1-DATA'!$1:$1048576,IF(OR($B685="STD. DEVIATION",$C$1=1),$A685,$A685+1),COLUMN('1-DATA'!AJ683)),IF($B685="STD. DEVIATION",2,$F$1))))</f>
        <v/>
      </c>
      <c r="AL685" s="1" t="str">
        <f>IF(OR($B685="",AL$7=""),"",IF($B685="MEANS",INDEX('1-DATA'!$1:$1048576,$A684-1,COLUMN('1-DATA'!AK683)),ROUND(INDEX('1-DATA'!$1:$1048576,IF(OR($B685="STD. DEVIATION",$C$1=1),$A685,$A685+1),COLUMN('1-DATA'!AK683)),IF($B685="STD. DEVIATION",2,$F$1))))</f>
        <v/>
      </c>
      <c r="AM685" s="1" t="str">
        <f>IF(OR($B685="",AM$7=""),"",IF($B685="MEANS",INDEX('1-DATA'!$1:$1048576,$A684-1,COLUMN('1-DATA'!AL683)),ROUND(INDEX('1-DATA'!$1:$1048576,IF(OR($B685="STD. DEVIATION",$C$1=1),$A685,$A685+1),COLUMN('1-DATA'!AL683)),IF($B685="STD. DEVIATION",2,$F$1))))</f>
        <v/>
      </c>
      <c r="AN685" s="1" t="str">
        <f>IF(OR($B685="",AN$7=""),"",IF($B685="MEANS",INDEX('1-DATA'!$1:$1048576,$A684-1,COLUMN('1-DATA'!AM683)),ROUND(INDEX('1-DATA'!$1:$1048576,IF(OR($B685="STD. DEVIATION",$C$1=1),$A685,$A685+1),COLUMN('1-DATA'!AM683)),IF($B685="STD. DEVIATION",2,$F$1))))</f>
        <v/>
      </c>
      <c r="AO685" s="1" t="str">
        <f>IF(OR($B685="",AO$7=""),"",IF($B685="MEANS",INDEX('1-DATA'!$1:$1048576,$A684-1,COLUMN('1-DATA'!AN683)),ROUND(INDEX('1-DATA'!$1:$1048576,IF(OR($B685="STD. DEVIATION",$C$1=1),$A685,$A685+1),COLUMN('1-DATA'!AN683)),IF($B685="STD. DEVIATION",2,$F$1))))</f>
        <v/>
      </c>
      <c r="AP685" s="1" t="str">
        <f>IF(OR($B685="",AP$7=""),"",IF($B685="MEANS",INDEX('1-DATA'!$1:$1048576,$A684-1,COLUMN('1-DATA'!AO683)),ROUND(INDEX('1-DATA'!$1:$1048576,IF(OR($B685="STD. DEVIATION",$C$1=1),$A685,$A685+1),COLUMN('1-DATA'!AO683)),IF($B685="STD. DEVIATION",2,$F$1))))</f>
        <v/>
      </c>
      <c r="AQ685" s="1" t="str">
        <f>IF(OR($B685="",AQ$7=""),"",IF($B685="MEANS",INDEX('1-DATA'!$1:$1048576,$A684-1,COLUMN('1-DATA'!AP683)),ROUND(INDEX('1-DATA'!$1:$1048576,IF(OR($B685="STD. DEVIATION",$C$1=1),$A685,$A685+1),COLUMN('1-DATA'!AP683)),IF($B685="STD. DEVIATION",2,$F$1))))</f>
        <v/>
      </c>
      <c r="AR685" s="1" t="str">
        <f>IF(OR($B685="",AR$7=""),"",IF($B685="MEANS",INDEX('1-DATA'!$1:$1048576,$A684-1,COLUMN('1-DATA'!AQ683)),ROUND(INDEX('1-DATA'!$1:$1048576,IF(OR($B685="STD. DEVIATION",$C$1=1),$A685,$A685+1),COLUMN('1-DATA'!AQ683)),IF($B685="STD. DEVIATION",2,$F$1))))</f>
        <v/>
      </c>
      <c r="AS685" s="1" t="str">
        <f>IF(OR($B685="",AS$7=""),"",IF($B685="MEANS",INDEX('1-DATA'!$1:$1048576,$A684-1,COLUMN('1-DATA'!AR683)),ROUND(INDEX('1-DATA'!$1:$1048576,IF(OR($B685="STD. DEVIATION",$C$1=1),$A685,$A685+1),COLUMN('1-DATA'!AR683)),IF($B685="STD. DEVIATION",2,$F$1))))</f>
        <v/>
      </c>
      <c r="AT685" s="1" t="str">
        <f>IF(OR($B685="",AT$7=""),"",IF($B685="MEANS",INDEX('1-DATA'!$1:$1048576,$A684-1,COLUMN('1-DATA'!AS683)),ROUND(INDEX('1-DATA'!$1:$1048576,IF(OR($B685="STD. DEVIATION",$C$1=1),$A685,$A685+1),COLUMN('1-DATA'!AS683)),IF($B685="STD. DEVIATION",2,$F$1))))</f>
        <v/>
      </c>
      <c r="AU685" s="1" t="str">
        <f>IF(OR($B685="",AU$7=""),"",IF($B685="MEANS",INDEX('1-DATA'!$1:$1048576,$A684-1,COLUMN('1-DATA'!AT683)),ROUND(INDEX('1-DATA'!$1:$1048576,IF(OR($B685="STD. DEVIATION",$C$1=1),$A685,$A685+1),COLUMN('1-DATA'!AT683)),IF($B685="STD. DEVIATION",2,$F$1))))</f>
        <v/>
      </c>
      <c r="AV685" s="1" t="str">
        <f>IF(OR($B685="",AV$7=""),"",IF($B685="MEANS",INDEX('1-DATA'!$1:$1048576,$A684-1,COLUMN('1-DATA'!AU683)),ROUND(INDEX('1-DATA'!$1:$1048576,IF(OR($B685="STD. DEVIATION",$C$1=1),$A685,$A685+1),COLUMN('1-DATA'!AU683)),IF($B685="STD. DEVIATION",2,$F$1))))</f>
        <v/>
      </c>
      <c r="AW685" s="1" t="str">
        <f>IF(OR($B685="",AW$7=""),"",IF($B685="MEANS",INDEX('1-DATA'!$1:$1048576,$A684-1,COLUMN('1-DATA'!AV683)),ROUND(INDEX('1-DATA'!$1:$1048576,IF(OR($B685="STD. DEVIATION",$C$1=1),$A685,$A685+1),COLUMN('1-DATA'!AV683)),IF($B685="STD. DEVIATION",2,$F$1))))</f>
        <v/>
      </c>
      <c r="AX685" s="1" t="str">
        <f>IF(OR($B685="",AX$7=""),"",IF($B685="MEANS",INDEX('1-DATA'!$1:$1048576,$A684-1,COLUMN('1-DATA'!AW683)),ROUND(INDEX('1-DATA'!$1:$1048576,IF(OR($B685="STD. DEVIATION",$C$1=1),$A685,$A685+1),COLUMN('1-DATA'!AW683)),IF($B685="STD. DEVIATION",2,$F$1))))</f>
        <v/>
      </c>
      <c r="AY685" s="1" t="str">
        <f>IF(OR($B685="",AY$7=""),"",IF($B685="MEANS",INDEX('1-DATA'!$1:$1048576,$A684-1,COLUMN('1-DATA'!AX683)),ROUND(INDEX('1-DATA'!$1:$1048576,IF(OR($B685="STD. DEVIATION",$C$1=1),$A685,$A685+1),COLUMN('1-DATA'!AX683)),IF($B685="STD. DEVIATION",2,$F$1))))</f>
        <v/>
      </c>
      <c r="AZ685" s="1" t="str">
        <f>IF(OR($B685="",AZ$7=""),"",IF($B685="MEANS",INDEX('1-DATA'!$1:$1048576,$A684-1,COLUMN('1-DATA'!AY683)),ROUND(INDEX('1-DATA'!$1:$1048576,IF(OR($B685="STD. DEVIATION",$C$1=1),$A685,$A685+1),COLUMN('1-DATA'!AY683)),IF($B685="STD. DEVIATION",2,$F$1))))</f>
        <v/>
      </c>
    </row>
    <row r="686" spans="1:52" x14ac:dyDescent="0.25">
      <c r="A686" s="11">
        <f t="shared" si="11"/>
        <v>2044</v>
      </c>
      <c r="B686" s="1" t="str">
        <f>IF(B685="STD. DEVIATION",INDEX('1-DATA'!$1:$1048576,$A685-1,1),IF(INDEX('1-DATA'!$1:$1048576,$A686,1)&lt;&gt;"",INDEX('1-DATA'!$1:$1048576,$A686,1),""))</f>
        <v/>
      </c>
      <c r="C686" s="1" t="str">
        <f>IF(OR($B686="",C$7=""),"",IF($B686="MEANS",INDEX('1-DATA'!$1:$1048576,$A685-1,COLUMN('1-DATA'!B684)),ROUND(INDEX('1-DATA'!$1:$1048576,IF(OR($B686="STD. DEVIATION",$C$1=1),$A686,$A686+1),COLUMN('1-DATA'!B684)),IF($B686="STD. DEVIATION",2,$F$1))))</f>
        <v/>
      </c>
      <c r="D686" s="1" t="str">
        <f>IF(OR($B686="",D$7=""),"",IF($B686="MEANS",INDEX('1-DATA'!$1:$1048576,$A685-1,COLUMN('1-DATA'!C684)),ROUND(INDEX('1-DATA'!$1:$1048576,IF(OR($B686="STD. DEVIATION",$C$1=1),$A686,$A686+1),COLUMN('1-DATA'!C684)),IF($B686="STD. DEVIATION",2,$F$1))))</f>
        <v/>
      </c>
      <c r="E686" s="1" t="str">
        <f>IF(OR($B686="",E$7=""),"",IF($B686="MEANS",INDEX('1-DATA'!$1:$1048576,$A685-1,COLUMN('1-DATA'!D684)),ROUND(INDEX('1-DATA'!$1:$1048576,IF(OR($B686="STD. DEVIATION",$C$1=1),$A686,$A686+1),COLUMN('1-DATA'!D684)),IF($B686="STD. DEVIATION",2,$F$1))))</f>
        <v/>
      </c>
      <c r="F686" s="1" t="str">
        <f>IF(OR($B686="",F$7=""),"",IF($B686="MEANS",INDEX('1-DATA'!$1:$1048576,$A685-1,COLUMN('1-DATA'!E684)),ROUND(INDEX('1-DATA'!$1:$1048576,IF(OR($B686="STD. DEVIATION",$C$1=1),$A686,$A686+1),COLUMN('1-DATA'!E684)),IF($B686="STD. DEVIATION",2,$F$1))))</f>
        <v/>
      </c>
      <c r="G686" s="1" t="str">
        <f>IF(OR($B686="",G$7=""),"",IF($B686="MEANS",INDEX('1-DATA'!$1:$1048576,$A685-1,COLUMN('1-DATA'!F684)),ROUND(INDEX('1-DATA'!$1:$1048576,IF(OR($B686="STD. DEVIATION",$C$1=1),$A686,$A686+1),COLUMN('1-DATA'!F684)),IF($B686="STD. DEVIATION",2,$F$1))))</f>
        <v/>
      </c>
      <c r="H686" s="1" t="str">
        <f>IF(OR($B686="",H$7=""),"",IF($B686="MEANS",INDEX('1-DATA'!$1:$1048576,$A685-1,COLUMN('1-DATA'!G684)),ROUND(INDEX('1-DATA'!$1:$1048576,IF(OR($B686="STD. DEVIATION",$C$1=1),$A686,$A686+1),COLUMN('1-DATA'!G684)),IF($B686="STD. DEVIATION",2,$F$1))))</f>
        <v/>
      </c>
      <c r="I686" s="1" t="str">
        <f>IF(OR($B686="",I$7=""),"",IF($B686="MEANS",INDEX('1-DATA'!$1:$1048576,$A685-1,COLUMN('1-DATA'!H684)),ROUND(INDEX('1-DATA'!$1:$1048576,IF(OR($B686="STD. DEVIATION",$C$1=1),$A686,$A686+1),COLUMN('1-DATA'!H684)),IF($B686="STD. DEVIATION",2,$F$1))))</f>
        <v/>
      </c>
      <c r="J686" s="1" t="str">
        <f>IF(OR($B686="",J$7=""),"",IF($B686="MEANS",INDEX('1-DATA'!$1:$1048576,$A685-1,COLUMN('1-DATA'!I684)),ROUND(INDEX('1-DATA'!$1:$1048576,IF(OR($B686="STD. DEVIATION",$C$1=1),$A686,$A686+1),COLUMN('1-DATA'!I684)),IF($B686="STD. DEVIATION",2,$F$1))))</f>
        <v/>
      </c>
      <c r="K686" s="1" t="str">
        <f>IF(OR($B686="",K$7=""),"",IF($B686="MEANS",INDEX('1-DATA'!$1:$1048576,$A685-1,COLUMN('1-DATA'!J684)),ROUND(INDEX('1-DATA'!$1:$1048576,IF(OR($B686="STD. DEVIATION",$C$1=1),$A686,$A686+1),COLUMN('1-DATA'!J684)),IF($B686="STD. DEVIATION",2,$F$1))))</f>
        <v/>
      </c>
      <c r="L686" s="1" t="str">
        <f>IF(OR($B686="",L$7=""),"",IF($B686="MEANS",INDEX('1-DATA'!$1:$1048576,$A685-1,COLUMN('1-DATA'!K684)),ROUND(INDEX('1-DATA'!$1:$1048576,IF(OR($B686="STD. DEVIATION",$C$1=1),$A686,$A686+1),COLUMN('1-DATA'!K684)),IF($B686="STD. DEVIATION",2,$F$1))))</f>
        <v/>
      </c>
      <c r="M686" s="1" t="str">
        <f>IF(OR($B686="",M$7=""),"",IF($B686="MEANS",INDEX('1-DATA'!$1:$1048576,$A685-1,COLUMN('1-DATA'!L684)),ROUND(INDEX('1-DATA'!$1:$1048576,IF(OR($B686="STD. DEVIATION",$C$1=1),$A686,$A686+1),COLUMN('1-DATA'!L684)),IF($B686="STD. DEVIATION",2,$F$1))))</f>
        <v/>
      </c>
      <c r="N686" s="1" t="str">
        <f>IF(OR($B686="",N$7=""),"",IF($B686="MEANS",INDEX('1-DATA'!$1:$1048576,$A685-1,COLUMN('1-DATA'!M684)),ROUND(INDEX('1-DATA'!$1:$1048576,IF(OR($B686="STD. DEVIATION",$C$1=1),$A686,$A686+1),COLUMN('1-DATA'!M684)),IF($B686="STD. DEVIATION",2,$F$1))))</f>
        <v/>
      </c>
      <c r="O686" s="1" t="str">
        <f>IF(OR($B686="",O$7=""),"",IF($B686="MEANS",INDEX('1-DATA'!$1:$1048576,$A685-1,COLUMN('1-DATA'!N684)),ROUND(INDEX('1-DATA'!$1:$1048576,IF(OR($B686="STD. DEVIATION",$C$1=1),$A686,$A686+1),COLUMN('1-DATA'!N684)),IF($B686="STD. DEVIATION",2,$F$1))))</f>
        <v/>
      </c>
      <c r="P686" s="1" t="str">
        <f>IF(OR($B686="",P$7=""),"",IF($B686="MEANS",INDEX('1-DATA'!$1:$1048576,$A685-1,COLUMN('1-DATA'!O684)),ROUND(INDEX('1-DATA'!$1:$1048576,IF(OR($B686="STD. DEVIATION",$C$1=1),$A686,$A686+1),COLUMN('1-DATA'!O684)),IF($B686="STD. DEVIATION",2,$F$1))))</f>
        <v/>
      </c>
      <c r="Q686" s="1" t="str">
        <f>IF(OR($B686="",Q$7=""),"",IF($B686="MEANS",INDEX('1-DATA'!$1:$1048576,$A685-1,COLUMN('1-DATA'!P684)),ROUND(INDEX('1-DATA'!$1:$1048576,IF(OR($B686="STD. DEVIATION",$C$1=1),$A686,$A686+1),COLUMN('1-DATA'!P684)),IF($B686="STD. DEVIATION",2,$F$1))))</f>
        <v/>
      </c>
      <c r="R686" s="1" t="str">
        <f>IF(OR($B686="",R$7=""),"",IF($B686="MEANS",INDEX('1-DATA'!$1:$1048576,$A685-1,COLUMN('1-DATA'!Q684)),ROUND(INDEX('1-DATA'!$1:$1048576,IF(OR($B686="STD. DEVIATION",$C$1=1),$A686,$A686+1),COLUMN('1-DATA'!Q684)),IF($B686="STD. DEVIATION",2,$F$1))))</f>
        <v/>
      </c>
      <c r="S686" s="1" t="str">
        <f>IF(OR($B686="",S$7=""),"",IF($B686="MEANS",INDEX('1-DATA'!$1:$1048576,$A685-1,COLUMN('1-DATA'!R684)),ROUND(INDEX('1-DATA'!$1:$1048576,IF(OR($B686="STD. DEVIATION",$C$1=1),$A686,$A686+1),COLUMN('1-DATA'!R684)),IF($B686="STD. DEVIATION",2,$F$1))))</f>
        <v/>
      </c>
      <c r="T686" s="1" t="str">
        <f>IF(OR($B686="",T$7=""),"",IF($B686="MEANS",INDEX('1-DATA'!$1:$1048576,$A685-1,COLUMN('1-DATA'!S684)),ROUND(INDEX('1-DATA'!$1:$1048576,IF(OR($B686="STD. DEVIATION",$C$1=1),$A686,$A686+1),COLUMN('1-DATA'!S684)),IF($B686="STD. DEVIATION",2,$F$1))))</f>
        <v/>
      </c>
      <c r="U686" s="1" t="str">
        <f>IF(OR($B686="",U$7=""),"",IF($B686="MEANS",INDEX('1-DATA'!$1:$1048576,$A685-1,COLUMN('1-DATA'!T684)),ROUND(INDEX('1-DATA'!$1:$1048576,IF(OR($B686="STD. DEVIATION",$C$1=1),$A686,$A686+1),COLUMN('1-DATA'!T684)),IF($B686="STD. DEVIATION",2,$F$1))))</f>
        <v/>
      </c>
      <c r="V686" s="1" t="str">
        <f>IF(OR($B686="",V$7=""),"",IF($B686="MEANS",INDEX('1-DATA'!$1:$1048576,$A685-1,COLUMN('1-DATA'!U684)),ROUND(INDEX('1-DATA'!$1:$1048576,IF(OR($B686="STD. DEVIATION",$C$1=1),$A686,$A686+1),COLUMN('1-DATA'!U684)),IF($B686="STD. DEVIATION",2,$F$1))))</f>
        <v/>
      </c>
      <c r="W686" s="1" t="str">
        <f>IF(OR($B686="",W$7=""),"",IF($B686="MEANS",INDEX('1-DATA'!$1:$1048576,$A685-1,COLUMN('1-DATA'!V684)),ROUND(INDEX('1-DATA'!$1:$1048576,IF(OR($B686="STD. DEVIATION",$C$1=1),$A686,$A686+1),COLUMN('1-DATA'!V684)),IF($B686="STD. DEVIATION",2,$F$1))))</f>
        <v/>
      </c>
      <c r="X686" s="1" t="str">
        <f>IF(OR($B686="",X$7=""),"",IF($B686="MEANS",INDEX('1-DATA'!$1:$1048576,$A685-1,COLUMN('1-DATA'!W684)),ROUND(INDEX('1-DATA'!$1:$1048576,IF(OR($B686="STD. DEVIATION",$C$1=1),$A686,$A686+1),COLUMN('1-DATA'!W684)),IF($B686="STD. DEVIATION",2,$F$1))))</f>
        <v/>
      </c>
      <c r="Y686" s="1" t="str">
        <f>IF(OR($B686="",Y$7=""),"",IF($B686="MEANS",INDEX('1-DATA'!$1:$1048576,$A685-1,COLUMN('1-DATA'!X684)),ROUND(INDEX('1-DATA'!$1:$1048576,IF(OR($B686="STD. DEVIATION",$C$1=1),$A686,$A686+1),COLUMN('1-DATA'!X684)),IF($B686="STD. DEVIATION",2,$F$1))))</f>
        <v/>
      </c>
      <c r="Z686" s="1" t="str">
        <f>IF(OR($B686="",Z$7=""),"",IF($B686="MEANS",INDEX('1-DATA'!$1:$1048576,$A685-1,COLUMN('1-DATA'!Y684)),ROUND(INDEX('1-DATA'!$1:$1048576,IF(OR($B686="STD. DEVIATION",$C$1=1),$A686,$A686+1),COLUMN('1-DATA'!Y684)),IF($B686="STD. DEVIATION",2,$F$1))))</f>
        <v/>
      </c>
      <c r="AA686" s="1" t="str">
        <f>IF(OR($B686="",AA$7=""),"",IF($B686="MEANS",INDEX('1-DATA'!$1:$1048576,$A685-1,COLUMN('1-DATA'!Z684)),ROUND(INDEX('1-DATA'!$1:$1048576,IF(OR($B686="STD. DEVIATION",$C$1=1),$A686,$A686+1),COLUMN('1-DATA'!Z684)),IF($B686="STD. DEVIATION",2,$F$1))))</f>
        <v/>
      </c>
      <c r="AB686" s="1" t="str">
        <f>IF(OR($B686="",AB$7=""),"",IF($B686="MEANS",INDEX('1-DATA'!$1:$1048576,$A685-1,COLUMN('1-DATA'!AA684)),ROUND(INDEX('1-DATA'!$1:$1048576,IF(OR($B686="STD. DEVIATION",$C$1=1),$A686,$A686+1),COLUMN('1-DATA'!AA684)),IF($B686="STD. DEVIATION",2,$F$1))))</f>
        <v/>
      </c>
      <c r="AC686" s="1" t="str">
        <f>IF(OR($B686="",AC$7=""),"",IF($B686="MEANS",INDEX('1-DATA'!$1:$1048576,$A685-1,COLUMN('1-DATA'!AB684)),ROUND(INDEX('1-DATA'!$1:$1048576,IF(OR($B686="STD. DEVIATION",$C$1=1),$A686,$A686+1),COLUMN('1-DATA'!AB684)),IF($B686="STD. DEVIATION",2,$F$1))))</f>
        <v/>
      </c>
      <c r="AD686" s="1" t="str">
        <f>IF(OR($B686="",AD$7=""),"",IF($B686="MEANS",INDEX('1-DATA'!$1:$1048576,$A685-1,COLUMN('1-DATA'!AC684)),ROUND(INDEX('1-DATA'!$1:$1048576,IF(OR($B686="STD. DEVIATION",$C$1=1),$A686,$A686+1),COLUMN('1-DATA'!AC684)),IF($B686="STD. DEVIATION",2,$F$1))))</f>
        <v/>
      </c>
      <c r="AE686" s="1" t="str">
        <f>IF(OR($B686="",AE$7=""),"",IF($B686="MEANS",INDEX('1-DATA'!$1:$1048576,$A685-1,COLUMN('1-DATA'!AD684)),ROUND(INDEX('1-DATA'!$1:$1048576,IF(OR($B686="STD. DEVIATION",$C$1=1),$A686,$A686+1),COLUMN('1-DATA'!AD684)),IF($B686="STD. DEVIATION",2,$F$1))))</f>
        <v/>
      </c>
      <c r="AF686" s="1" t="str">
        <f>IF(OR($B686="",AF$7=""),"",IF($B686="MEANS",INDEX('1-DATA'!$1:$1048576,$A685-1,COLUMN('1-DATA'!AE684)),ROUND(INDEX('1-DATA'!$1:$1048576,IF(OR($B686="STD. DEVIATION",$C$1=1),$A686,$A686+1),COLUMN('1-DATA'!AE684)),IF($B686="STD. DEVIATION",2,$F$1))))</f>
        <v/>
      </c>
      <c r="AG686" s="1" t="str">
        <f>IF(OR($B686="",AG$7=""),"",IF($B686="MEANS",INDEX('1-DATA'!$1:$1048576,$A685-1,COLUMN('1-DATA'!AF684)),ROUND(INDEX('1-DATA'!$1:$1048576,IF(OR($B686="STD. DEVIATION",$C$1=1),$A686,$A686+1),COLUMN('1-DATA'!AF684)),IF($B686="STD. DEVIATION",2,$F$1))))</f>
        <v/>
      </c>
      <c r="AH686" s="1" t="str">
        <f>IF(OR($B686="",AH$7=""),"",IF($B686="MEANS",INDEX('1-DATA'!$1:$1048576,$A685-1,COLUMN('1-DATA'!AG684)),ROUND(INDEX('1-DATA'!$1:$1048576,IF(OR($B686="STD. DEVIATION",$C$1=1),$A686,$A686+1),COLUMN('1-DATA'!AG684)),IF($B686="STD. DEVIATION",2,$F$1))))</f>
        <v/>
      </c>
      <c r="AI686" s="1" t="str">
        <f>IF(OR($B686="",AI$7=""),"",IF($B686="MEANS",INDEX('1-DATA'!$1:$1048576,$A685-1,COLUMN('1-DATA'!AH684)),ROUND(INDEX('1-DATA'!$1:$1048576,IF(OR($B686="STD. DEVIATION",$C$1=1),$A686,$A686+1),COLUMN('1-DATA'!AH684)),IF($B686="STD. DEVIATION",2,$F$1))))</f>
        <v/>
      </c>
      <c r="AJ686" s="1" t="str">
        <f>IF(OR($B686="",AJ$7=""),"",IF($B686="MEANS",INDEX('1-DATA'!$1:$1048576,$A685-1,COLUMN('1-DATA'!AI684)),ROUND(INDEX('1-DATA'!$1:$1048576,IF(OR($B686="STD. DEVIATION",$C$1=1),$A686,$A686+1),COLUMN('1-DATA'!AI684)),IF($B686="STD. DEVIATION",2,$F$1))))</f>
        <v/>
      </c>
      <c r="AK686" s="1" t="str">
        <f>IF(OR($B686="",AK$7=""),"",IF($B686="MEANS",INDEX('1-DATA'!$1:$1048576,$A685-1,COLUMN('1-DATA'!AJ684)),ROUND(INDEX('1-DATA'!$1:$1048576,IF(OR($B686="STD. DEVIATION",$C$1=1),$A686,$A686+1),COLUMN('1-DATA'!AJ684)),IF($B686="STD. DEVIATION",2,$F$1))))</f>
        <v/>
      </c>
      <c r="AL686" s="1" t="str">
        <f>IF(OR($B686="",AL$7=""),"",IF($B686="MEANS",INDEX('1-DATA'!$1:$1048576,$A685-1,COLUMN('1-DATA'!AK684)),ROUND(INDEX('1-DATA'!$1:$1048576,IF(OR($B686="STD. DEVIATION",$C$1=1),$A686,$A686+1),COLUMN('1-DATA'!AK684)),IF($B686="STD. DEVIATION",2,$F$1))))</f>
        <v/>
      </c>
      <c r="AM686" s="1" t="str">
        <f>IF(OR($B686="",AM$7=""),"",IF($B686="MEANS",INDEX('1-DATA'!$1:$1048576,$A685-1,COLUMN('1-DATA'!AL684)),ROUND(INDEX('1-DATA'!$1:$1048576,IF(OR($B686="STD. DEVIATION",$C$1=1),$A686,$A686+1),COLUMN('1-DATA'!AL684)),IF($B686="STD. DEVIATION",2,$F$1))))</f>
        <v/>
      </c>
      <c r="AN686" s="1" t="str">
        <f>IF(OR($B686="",AN$7=""),"",IF($B686="MEANS",INDEX('1-DATA'!$1:$1048576,$A685-1,COLUMN('1-DATA'!AM684)),ROUND(INDEX('1-DATA'!$1:$1048576,IF(OR($B686="STD. DEVIATION",$C$1=1),$A686,$A686+1),COLUMN('1-DATA'!AM684)),IF($B686="STD. DEVIATION",2,$F$1))))</f>
        <v/>
      </c>
      <c r="AO686" s="1" t="str">
        <f>IF(OR($B686="",AO$7=""),"",IF($B686="MEANS",INDEX('1-DATA'!$1:$1048576,$A685-1,COLUMN('1-DATA'!AN684)),ROUND(INDEX('1-DATA'!$1:$1048576,IF(OR($B686="STD. DEVIATION",$C$1=1),$A686,$A686+1),COLUMN('1-DATA'!AN684)),IF($B686="STD. DEVIATION",2,$F$1))))</f>
        <v/>
      </c>
      <c r="AP686" s="1" t="str">
        <f>IF(OR($B686="",AP$7=""),"",IF($B686="MEANS",INDEX('1-DATA'!$1:$1048576,$A685-1,COLUMN('1-DATA'!AO684)),ROUND(INDEX('1-DATA'!$1:$1048576,IF(OR($B686="STD. DEVIATION",$C$1=1),$A686,$A686+1),COLUMN('1-DATA'!AO684)),IF($B686="STD. DEVIATION",2,$F$1))))</f>
        <v/>
      </c>
      <c r="AQ686" s="1" t="str">
        <f>IF(OR($B686="",AQ$7=""),"",IF($B686="MEANS",INDEX('1-DATA'!$1:$1048576,$A685-1,COLUMN('1-DATA'!AP684)),ROUND(INDEX('1-DATA'!$1:$1048576,IF(OR($B686="STD. DEVIATION",$C$1=1),$A686,$A686+1),COLUMN('1-DATA'!AP684)),IF($B686="STD. DEVIATION",2,$F$1))))</f>
        <v/>
      </c>
      <c r="AR686" s="1" t="str">
        <f>IF(OR($B686="",AR$7=""),"",IF($B686="MEANS",INDEX('1-DATA'!$1:$1048576,$A685-1,COLUMN('1-DATA'!AQ684)),ROUND(INDEX('1-DATA'!$1:$1048576,IF(OR($B686="STD. DEVIATION",$C$1=1),$A686,$A686+1),COLUMN('1-DATA'!AQ684)),IF($B686="STD. DEVIATION",2,$F$1))))</f>
        <v/>
      </c>
      <c r="AS686" s="1" t="str">
        <f>IF(OR($B686="",AS$7=""),"",IF($B686="MEANS",INDEX('1-DATA'!$1:$1048576,$A685-1,COLUMN('1-DATA'!AR684)),ROUND(INDEX('1-DATA'!$1:$1048576,IF(OR($B686="STD. DEVIATION",$C$1=1),$A686,$A686+1),COLUMN('1-DATA'!AR684)),IF($B686="STD. DEVIATION",2,$F$1))))</f>
        <v/>
      </c>
      <c r="AT686" s="1" t="str">
        <f>IF(OR($B686="",AT$7=""),"",IF($B686="MEANS",INDEX('1-DATA'!$1:$1048576,$A685-1,COLUMN('1-DATA'!AS684)),ROUND(INDEX('1-DATA'!$1:$1048576,IF(OR($B686="STD. DEVIATION",$C$1=1),$A686,$A686+1),COLUMN('1-DATA'!AS684)),IF($B686="STD. DEVIATION",2,$F$1))))</f>
        <v/>
      </c>
      <c r="AU686" s="1" t="str">
        <f>IF(OR($B686="",AU$7=""),"",IF($B686="MEANS",INDEX('1-DATA'!$1:$1048576,$A685-1,COLUMN('1-DATA'!AT684)),ROUND(INDEX('1-DATA'!$1:$1048576,IF(OR($B686="STD. DEVIATION",$C$1=1),$A686,$A686+1),COLUMN('1-DATA'!AT684)),IF($B686="STD. DEVIATION",2,$F$1))))</f>
        <v/>
      </c>
      <c r="AV686" s="1" t="str">
        <f>IF(OR($B686="",AV$7=""),"",IF($B686="MEANS",INDEX('1-DATA'!$1:$1048576,$A685-1,COLUMN('1-DATA'!AU684)),ROUND(INDEX('1-DATA'!$1:$1048576,IF(OR($B686="STD. DEVIATION",$C$1=1),$A686,$A686+1),COLUMN('1-DATA'!AU684)),IF($B686="STD. DEVIATION",2,$F$1))))</f>
        <v/>
      </c>
      <c r="AW686" s="1" t="str">
        <f>IF(OR($B686="",AW$7=""),"",IF($B686="MEANS",INDEX('1-DATA'!$1:$1048576,$A685-1,COLUMN('1-DATA'!AV684)),ROUND(INDEX('1-DATA'!$1:$1048576,IF(OR($B686="STD. DEVIATION",$C$1=1),$A686,$A686+1),COLUMN('1-DATA'!AV684)),IF($B686="STD. DEVIATION",2,$F$1))))</f>
        <v/>
      </c>
      <c r="AX686" s="1" t="str">
        <f>IF(OR($B686="",AX$7=""),"",IF($B686="MEANS",INDEX('1-DATA'!$1:$1048576,$A685-1,COLUMN('1-DATA'!AW684)),ROUND(INDEX('1-DATA'!$1:$1048576,IF(OR($B686="STD. DEVIATION",$C$1=1),$A686,$A686+1),COLUMN('1-DATA'!AW684)),IF($B686="STD. DEVIATION",2,$F$1))))</f>
        <v/>
      </c>
      <c r="AY686" s="1" t="str">
        <f>IF(OR($B686="",AY$7=""),"",IF($B686="MEANS",INDEX('1-DATA'!$1:$1048576,$A685-1,COLUMN('1-DATA'!AX684)),ROUND(INDEX('1-DATA'!$1:$1048576,IF(OR($B686="STD. DEVIATION",$C$1=1),$A686,$A686+1),COLUMN('1-DATA'!AX684)),IF($B686="STD. DEVIATION",2,$F$1))))</f>
        <v/>
      </c>
      <c r="AZ686" s="1" t="str">
        <f>IF(OR($B686="",AZ$7=""),"",IF($B686="MEANS",INDEX('1-DATA'!$1:$1048576,$A685-1,COLUMN('1-DATA'!AY684)),ROUND(INDEX('1-DATA'!$1:$1048576,IF(OR($B686="STD. DEVIATION",$C$1=1),$A686,$A686+1),COLUMN('1-DATA'!AY684)),IF($B686="STD. DEVIATION",2,$F$1))))</f>
        <v/>
      </c>
    </row>
    <row r="687" spans="1:52" x14ac:dyDescent="0.25">
      <c r="A687" s="11">
        <f t="shared" si="11"/>
        <v>2047</v>
      </c>
      <c r="B687" s="1" t="str">
        <f>IF(B686="STD. DEVIATION",INDEX('1-DATA'!$1:$1048576,$A686-1,1),IF(INDEX('1-DATA'!$1:$1048576,$A687,1)&lt;&gt;"",INDEX('1-DATA'!$1:$1048576,$A687,1),""))</f>
        <v/>
      </c>
      <c r="C687" s="1" t="str">
        <f>IF(OR($B687="",C$7=""),"",IF($B687="MEANS",INDEX('1-DATA'!$1:$1048576,$A686-1,COLUMN('1-DATA'!B685)),ROUND(INDEX('1-DATA'!$1:$1048576,IF(OR($B687="STD. DEVIATION",$C$1=1),$A687,$A687+1),COLUMN('1-DATA'!B685)),IF($B687="STD. DEVIATION",2,$F$1))))</f>
        <v/>
      </c>
      <c r="D687" s="1" t="str">
        <f>IF(OR($B687="",D$7=""),"",IF($B687="MEANS",INDEX('1-DATA'!$1:$1048576,$A686-1,COLUMN('1-DATA'!C685)),ROUND(INDEX('1-DATA'!$1:$1048576,IF(OR($B687="STD. DEVIATION",$C$1=1),$A687,$A687+1),COLUMN('1-DATA'!C685)),IF($B687="STD. DEVIATION",2,$F$1))))</f>
        <v/>
      </c>
      <c r="E687" s="1" t="str">
        <f>IF(OR($B687="",E$7=""),"",IF($B687="MEANS",INDEX('1-DATA'!$1:$1048576,$A686-1,COLUMN('1-DATA'!D685)),ROUND(INDEX('1-DATA'!$1:$1048576,IF(OR($B687="STD. DEVIATION",$C$1=1),$A687,$A687+1),COLUMN('1-DATA'!D685)),IF($B687="STD. DEVIATION",2,$F$1))))</f>
        <v/>
      </c>
      <c r="F687" s="1" t="str">
        <f>IF(OR($B687="",F$7=""),"",IF($B687="MEANS",INDEX('1-DATA'!$1:$1048576,$A686-1,COLUMN('1-DATA'!E685)),ROUND(INDEX('1-DATA'!$1:$1048576,IF(OR($B687="STD. DEVIATION",$C$1=1),$A687,$A687+1),COLUMN('1-DATA'!E685)),IF($B687="STD. DEVIATION",2,$F$1))))</f>
        <v/>
      </c>
      <c r="G687" s="1" t="str">
        <f>IF(OR($B687="",G$7=""),"",IF($B687="MEANS",INDEX('1-DATA'!$1:$1048576,$A686-1,COLUMN('1-DATA'!F685)),ROUND(INDEX('1-DATA'!$1:$1048576,IF(OR($B687="STD. DEVIATION",$C$1=1),$A687,$A687+1),COLUMN('1-DATA'!F685)),IF($B687="STD. DEVIATION",2,$F$1))))</f>
        <v/>
      </c>
      <c r="H687" s="1" t="str">
        <f>IF(OR($B687="",H$7=""),"",IF($B687="MEANS",INDEX('1-DATA'!$1:$1048576,$A686-1,COLUMN('1-DATA'!G685)),ROUND(INDEX('1-DATA'!$1:$1048576,IF(OR($B687="STD. DEVIATION",$C$1=1),$A687,$A687+1),COLUMN('1-DATA'!G685)),IF($B687="STD. DEVIATION",2,$F$1))))</f>
        <v/>
      </c>
      <c r="I687" s="1" t="str">
        <f>IF(OR($B687="",I$7=""),"",IF($B687="MEANS",INDEX('1-DATA'!$1:$1048576,$A686-1,COLUMN('1-DATA'!H685)),ROUND(INDEX('1-DATA'!$1:$1048576,IF(OR($B687="STD. DEVIATION",$C$1=1),$A687,$A687+1),COLUMN('1-DATA'!H685)),IF($B687="STD. DEVIATION",2,$F$1))))</f>
        <v/>
      </c>
      <c r="J687" s="1" t="str">
        <f>IF(OR($B687="",J$7=""),"",IF($B687="MEANS",INDEX('1-DATA'!$1:$1048576,$A686-1,COLUMN('1-DATA'!I685)),ROUND(INDEX('1-DATA'!$1:$1048576,IF(OR($B687="STD. DEVIATION",$C$1=1),$A687,$A687+1),COLUMN('1-DATA'!I685)),IF($B687="STD. DEVIATION",2,$F$1))))</f>
        <v/>
      </c>
      <c r="K687" s="1" t="str">
        <f>IF(OR($B687="",K$7=""),"",IF($B687="MEANS",INDEX('1-DATA'!$1:$1048576,$A686-1,COLUMN('1-DATA'!J685)),ROUND(INDEX('1-DATA'!$1:$1048576,IF(OR($B687="STD. DEVIATION",$C$1=1),$A687,$A687+1),COLUMN('1-DATA'!J685)),IF($B687="STD. DEVIATION",2,$F$1))))</f>
        <v/>
      </c>
      <c r="L687" s="1" t="str">
        <f>IF(OR($B687="",L$7=""),"",IF($B687="MEANS",INDEX('1-DATA'!$1:$1048576,$A686-1,COLUMN('1-DATA'!K685)),ROUND(INDEX('1-DATA'!$1:$1048576,IF(OR($B687="STD. DEVIATION",$C$1=1),$A687,$A687+1),COLUMN('1-DATA'!K685)),IF($B687="STD. DEVIATION",2,$F$1))))</f>
        <v/>
      </c>
      <c r="M687" s="1" t="str">
        <f>IF(OR($B687="",M$7=""),"",IF($B687="MEANS",INDEX('1-DATA'!$1:$1048576,$A686-1,COLUMN('1-DATA'!L685)),ROUND(INDEX('1-DATA'!$1:$1048576,IF(OR($B687="STD. DEVIATION",$C$1=1),$A687,$A687+1),COLUMN('1-DATA'!L685)),IF($B687="STD. DEVIATION",2,$F$1))))</f>
        <v/>
      </c>
      <c r="N687" s="1" t="str">
        <f>IF(OR($B687="",N$7=""),"",IF($B687="MEANS",INDEX('1-DATA'!$1:$1048576,$A686-1,COLUMN('1-DATA'!M685)),ROUND(INDEX('1-DATA'!$1:$1048576,IF(OR($B687="STD. DEVIATION",$C$1=1),$A687,$A687+1),COLUMN('1-DATA'!M685)),IF($B687="STD. DEVIATION",2,$F$1))))</f>
        <v/>
      </c>
      <c r="O687" s="1" t="str">
        <f>IF(OR($B687="",O$7=""),"",IF($B687="MEANS",INDEX('1-DATA'!$1:$1048576,$A686-1,COLUMN('1-DATA'!N685)),ROUND(INDEX('1-DATA'!$1:$1048576,IF(OR($B687="STD. DEVIATION",$C$1=1),$A687,$A687+1),COLUMN('1-DATA'!N685)),IF($B687="STD. DEVIATION",2,$F$1))))</f>
        <v/>
      </c>
      <c r="P687" s="1" t="str">
        <f>IF(OR($B687="",P$7=""),"",IF($B687="MEANS",INDEX('1-DATA'!$1:$1048576,$A686-1,COLUMN('1-DATA'!O685)),ROUND(INDEX('1-DATA'!$1:$1048576,IF(OR($B687="STD. DEVIATION",$C$1=1),$A687,$A687+1),COLUMN('1-DATA'!O685)),IF($B687="STD. DEVIATION",2,$F$1))))</f>
        <v/>
      </c>
      <c r="Q687" s="1" t="str">
        <f>IF(OR($B687="",Q$7=""),"",IF($B687="MEANS",INDEX('1-DATA'!$1:$1048576,$A686-1,COLUMN('1-DATA'!P685)),ROUND(INDEX('1-DATA'!$1:$1048576,IF(OR($B687="STD. DEVIATION",$C$1=1),$A687,$A687+1),COLUMN('1-DATA'!P685)),IF($B687="STD. DEVIATION",2,$F$1))))</f>
        <v/>
      </c>
      <c r="R687" s="1" t="str">
        <f>IF(OR($B687="",R$7=""),"",IF($B687="MEANS",INDEX('1-DATA'!$1:$1048576,$A686-1,COLUMN('1-DATA'!Q685)),ROUND(INDEX('1-DATA'!$1:$1048576,IF(OR($B687="STD. DEVIATION",$C$1=1),$A687,$A687+1),COLUMN('1-DATA'!Q685)),IF($B687="STD. DEVIATION",2,$F$1))))</f>
        <v/>
      </c>
      <c r="S687" s="1" t="str">
        <f>IF(OR($B687="",S$7=""),"",IF($B687="MEANS",INDEX('1-DATA'!$1:$1048576,$A686-1,COLUMN('1-DATA'!R685)),ROUND(INDEX('1-DATA'!$1:$1048576,IF(OR($B687="STD. DEVIATION",$C$1=1),$A687,$A687+1),COLUMN('1-DATA'!R685)),IF($B687="STD. DEVIATION",2,$F$1))))</f>
        <v/>
      </c>
      <c r="T687" s="1" t="str">
        <f>IF(OR($B687="",T$7=""),"",IF($B687="MEANS",INDEX('1-DATA'!$1:$1048576,$A686-1,COLUMN('1-DATA'!S685)),ROUND(INDEX('1-DATA'!$1:$1048576,IF(OR($B687="STD. DEVIATION",$C$1=1),$A687,$A687+1),COLUMN('1-DATA'!S685)),IF($B687="STD. DEVIATION",2,$F$1))))</f>
        <v/>
      </c>
      <c r="U687" s="1" t="str">
        <f>IF(OR($B687="",U$7=""),"",IF($B687="MEANS",INDEX('1-DATA'!$1:$1048576,$A686-1,COLUMN('1-DATA'!T685)),ROUND(INDEX('1-DATA'!$1:$1048576,IF(OR($B687="STD. DEVIATION",$C$1=1),$A687,$A687+1),COLUMN('1-DATA'!T685)),IF($B687="STD. DEVIATION",2,$F$1))))</f>
        <v/>
      </c>
      <c r="V687" s="1" t="str">
        <f>IF(OR($B687="",V$7=""),"",IF($B687="MEANS",INDEX('1-DATA'!$1:$1048576,$A686-1,COLUMN('1-DATA'!U685)),ROUND(INDEX('1-DATA'!$1:$1048576,IF(OR($B687="STD. DEVIATION",$C$1=1),$A687,$A687+1),COLUMN('1-DATA'!U685)),IF($B687="STD. DEVIATION",2,$F$1))))</f>
        <v/>
      </c>
      <c r="W687" s="1" t="str">
        <f>IF(OR($B687="",W$7=""),"",IF($B687="MEANS",INDEX('1-DATA'!$1:$1048576,$A686-1,COLUMN('1-DATA'!V685)),ROUND(INDEX('1-DATA'!$1:$1048576,IF(OR($B687="STD. DEVIATION",$C$1=1),$A687,$A687+1),COLUMN('1-DATA'!V685)),IF($B687="STD. DEVIATION",2,$F$1))))</f>
        <v/>
      </c>
      <c r="X687" s="1" t="str">
        <f>IF(OR($B687="",X$7=""),"",IF($B687="MEANS",INDEX('1-DATA'!$1:$1048576,$A686-1,COLUMN('1-DATA'!W685)),ROUND(INDEX('1-DATA'!$1:$1048576,IF(OR($B687="STD. DEVIATION",$C$1=1),$A687,$A687+1),COLUMN('1-DATA'!W685)),IF($B687="STD. DEVIATION",2,$F$1))))</f>
        <v/>
      </c>
      <c r="Y687" s="1" t="str">
        <f>IF(OR($B687="",Y$7=""),"",IF($B687="MEANS",INDEX('1-DATA'!$1:$1048576,$A686-1,COLUMN('1-DATA'!X685)),ROUND(INDEX('1-DATA'!$1:$1048576,IF(OR($B687="STD. DEVIATION",$C$1=1),$A687,$A687+1),COLUMN('1-DATA'!X685)),IF($B687="STD. DEVIATION",2,$F$1))))</f>
        <v/>
      </c>
      <c r="Z687" s="1" t="str">
        <f>IF(OR($B687="",Z$7=""),"",IF($B687="MEANS",INDEX('1-DATA'!$1:$1048576,$A686-1,COLUMN('1-DATA'!Y685)),ROUND(INDEX('1-DATA'!$1:$1048576,IF(OR($B687="STD. DEVIATION",$C$1=1),$A687,$A687+1),COLUMN('1-DATA'!Y685)),IF($B687="STD. DEVIATION",2,$F$1))))</f>
        <v/>
      </c>
      <c r="AA687" s="1" t="str">
        <f>IF(OR($B687="",AA$7=""),"",IF($B687="MEANS",INDEX('1-DATA'!$1:$1048576,$A686-1,COLUMN('1-DATA'!Z685)),ROUND(INDEX('1-DATA'!$1:$1048576,IF(OR($B687="STD. DEVIATION",$C$1=1),$A687,$A687+1),COLUMN('1-DATA'!Z685)),IF($B687="STD. DEVIATION",2,$F$1))))</f>
        <v/>
      </c>
      <c r="AB687" s="1" t="str">
        <f>IF(OR($B687="",AB$7=""),"",IF($B687="MEANS",INDEX('1-DATA'!$1:$1048576,$A686-1,COLUMN('1-DATA'!AA685)),ROUND(INDEX('1-DATA'!$1:$1048576,IF(OR($B687="STD. DEVIATION",$C$1=1),$A687,$A687+1),COLUMN('1-DATA'!AA685)),IF($B687="STD. DEVIATION",2,$F$1))))</f>
        <v/>
      </c>
      <c r="AC687" s="1" t="str">
        <f>IF(OR($B687="",AC$7=""),"",IF($B687="MEANS",INDEX('1-DATA'!$1:$1048576,$A686-1,COLUMN('1-DATA'!AB685)),ROUND(INDEX('1-DATA'!$1:$1048576,IF(OR($B687="STD. DEVIATION",$C$1=1),$A687,$A687+1),COLUMN('1-DATA'!AB685)),IF($B687="STD. DEVIATION",2,$F$1))))</f>
        <v/>
      </c>
      <c r="AD687" s="1" t="str">
        <f>IF(OR($B687="",AD$7=""),"",IF($B687="MEANS",INDEX('1-DATA'!$1:$1048576,$A686-1,COLUMN('1-DATA'!AC685)),ROUND(INDEX('1-DATA'!$1:$1048576,IF(OR($B687="STD. DEVIATION",$C$1=1),$A687,$A687+1),COLUMN('1-DATA'!AC685)),IF($B687="STD. DEVIATION",2,$F$1))))</f>
        <v/>
      </c>
      <c r="AE687" s="1" t="str">
        <f>IF(OR($B687="",AE$7=""),"",IF($B687="MEANS",INDEX('1-DATA'!$1:$1048576,$A686-1,COLUMN('1-DATA'!AD685)),ROUND(INDEX('1-DATA'!$1:$1048576,IF(OR($B687="STD. DEVIATION",$C$1=1),$A687,$A687+1),COLUMN('1-DATA'!AD685)),IF($B687="STD. DEVIATION",2,$F$1))))</f>
        <v/>
      </c>
      <c r="AF687" s="1" t="str">
        <f>IF(OR($B687="",AF$7=""),"",IF($B687="MEANS",INDEX('1-DATA'!$1:$1048576,$A686-1,COLUMN('1-DATA'!AE685)),ROUND(INDEX('1-DATA'!$1:$1048576,IF(OR($B687="STD. DEVIATION",$C$1=1),$A687,$A687+1),COLUMN('1-DATA'!AE685)),IF($B687="STD. DEVIATION",2,$F$1))))</f>
        <v/>
      </c>
      <c r="AG687" s="1" t="str">
        <f>IF(OR($B687="",AG$7=""),"",IF($B687="MEANS",INDEX('1-DATA'!$1:$1048576,$A686-1,COLUMN('1-DATA'!AF685)),ROUND(INDEX('1-DATA'!$1:$1048576,IF(OR($B687="STD. DEVIATION",$C$1=1),$A687,$A687+1),COLUMN('1-DATA'!AF685)),IF($B687="STD. DEVIATION",2,$F$1))))</f>
        <v/>
      </c>
      <c r="AH687" s="1" t="str">
        <f>IF(OR($B687="",AH$7=""),"",IF($B687="MEANS",INDEX('1-DATA'!$1:$1048576,$A686-1,COLUMN('1-DATA'!AG685)),ROUND(INDEX('1-DATA'!$1:$1048576,IF(OR($B687="STD. DEVIATION",$C$1=1),$A687,$A687+1),COLUMN('1-DATA'!AG685)),IF($B687="STD. DEVIATION",2,$F$1))))</f>
        <v/>
      </c>
      <c r="AI687" s="1" t="str">
        <f>IF(OR($B687="",AI$7=""),"",IF($B687="MEANS",INDEX('1-DATA'!$1:$1048576,$A686-1,COLUMN('1-DATA'!AH685)),ROUND(INDEX('1-DATA'!$1:$1048576,IF(OR($B687="STD. DEVIATION",$C$1=1),$A687,$A687+1),COLUMN('1-DATA'!AH685)),IF($B687="STD. DEVIATION",2,$F$1))))</f>
        <v/>
      </c>
      <c r="AJ687" s="1" t="str">
        <f>IF(OR($B687="",AJ$7=""),"",IF($B687="MEANS",INDEX('1-DATA'!$1:$1048576,$A686-1,COLUMN('1-DATA'!AI685)),ROUND(INDEX('1-DATA'!$1:$1048576,IF(OR($B687="STD. DEVIATION",$C$1=1),$A687,$A687+1),COLUMN('1-DATA'!AI685)),IF($B687="STD. DEVIATION",2,$F$1))))</f>
        <v/>
      </c>
      <c r="AK687" s="1" t="str">
        <f>IF(OR($B687="",AK$7=""),"",IF($B687="MEANS",INDEX('1-DATA'!$1:$1048576,$A686-1,COLUMN('1-DATA'!AJ685)),ROUND(INDEX('1-DATA'!$1:$1048576,IF(OR($B687="STD. DEVIATION",$C$1=1),$A687,$A687+1),COLUMN('1-DATA'!AJ685)),IF($B687="STD. DEVIATION",2,$F$1))))</f>
        <v/>
      </c>
      <c r="AL687" s="1" t="str">
        <f>IF(OR($B687="",AL$7=""),"",IF($B687="MEANS",INDEX('1-DATA'!$1:$1048576,$A686-1,COLUMN('1-DATA'!AK685)),ROUND(INDEX('1-DATA'!$1:$1048576,IF(OR($B687="STD. DEVIATION",$C$1=1),$A687,$A687+1),COLUMN('1-DATA'!AK685)),IF($B687="STD. DEVIATION",2,$F$1))))</f>
        <v/>
      </c>
      <c r="AM687" s="1" t="str">
        <f>IF(OR($B687="",AM$7=""),"",IF($B687="MEANS",INDEX('1-DATA'!$1:$1048576,$A686-1,COLUMN('1-DATA'!AL685)),ROUND(INDEX('1-DATA'!$1:$1048576,IF(OR($B687="STD. DEVIATION",$C$1=1),$A687,$A687+1),COLUMN('1-DATA'!AL685)),IF($B687="STD. DEVIATION",2,$F$1))))</f>
        <v/>
      </c>
      <c r="AN687" s="1" t="str">
        <f>IF(OR($B687="",AN$7=""),"",IF($B687="MEANS",INDEX('1-DATA'!$1:$1048576,$A686-1,COLUMN('1-DATA'!AM685)),ROUND(INDEX('1-DATA'!$1:$1048576,IF(OR($B687="STD. DEVIATION",$C$1=1),$A687,$A687+1),COLUMN('1-DATA'!AM685)),IF($B687="STD. DEVIATION",2,$F$1))))</f>
        <v/>
      </c>
      <c r="AO687" s="1" t="str">
        <f>IF(OR($B687="",AO$7=""),"",IF($B687="MEANS",INDEX('1-DATA'!$1:$1048576,$A686-1,COLUMN('1-DATA'!AN685)),ROUND(INDEX('1-DATA'!$1:$1048576,IF(OR($B687="STD. DEVIATION",$C$1=1),$A687,$A687+1),COLUMN('1-DATA'!AN685)),IF($B687="STD. DEVIATION",2,$F$1))))</f>
        <v/>
      </c>
      <c r="AP687" s="1" t="str">
        <f>IF(OR($B687="",AP$7=""),"",IF($B687="MEANS",INDEX('1-DATA'!$1:$1048576,$A686-1,COLUMN('1-DATA'!AO685)),ROUND(INDEX('1-DATA'!$1:$1048576,IF(OR($B687="STD. DEVIATION",$C$1=1),$A687,$A687+1),COLUMN('1-DATA'!AO685)),IF($B687="STD. DEVIATION",2,$F$1))))</f>
        <v/>
      </c>
      <c r="AQ687" s="1" t="str">
        <f>IF(OR($B687="",AQ$7=""),"",IF($B687="MEANS",INDEX('1-DATA'!$1:$1048576,$A686-1,COLUMN('1-DATA'!AP685)),ROUND(INDEX('1-DATA'!$1:$1048576,IF(OR($B687="STD. DEVIATION",$C$1=1),$A687,$A687+1),COLUMN('1-DATA'!AP685)),IF($B687="STD. DEVIATION",2,$F$1))))</f>
        <v/>
      </c>
      <c r="AR687" s="1" t="str">
        <f>IF(OR($B687="",AR$7=""),"",IF($B687="MEANS",INDEX('1-DATA'!$1:$1048576,$A686-1,COLUMN('1-DATA'!AQ685)),ROUND(INDEX('1-DATA'!$1:$1048576,IF(OR($B687="STD. DEVIATION",$C$1=1),$A687,$A687+1),COLUMN('1-DATA'!AQ685)),IF($B687="STD. DEVIATION",2,$F$1))))</f>
        <v/>
      </c>
      <c r="AS687" s="1" t="str">
        <f>IF(OR($B687="",AS$7=""),"",IF($B687="MEANS",INDEX('1-DATA'!$1:$1048576,$A686-1,COLUMN('1-DATA'!AR685)),ROUND(INDEX('1-DATA'!$1:$1048576,IF(OR($B687="STD. DEVIATION",$C$1=1),$A687,$A687+1),COLUMN('1-DATA'!AR685)),IF($B687="STD. DEVIATION",2,$F$1))))</f>
        <v/>
      </c>
      <c r="AT687" s="1" t="str">
        <f>IF(OR($B687="",AT$7=""),"",IF($B687="MEANS",INDEX('1-DATA'!$1:$1048576,$A686-1,COLUMN('1-DATA'!AS685)),ROUND(INDEX('1-DATA'!$1:$1048576,IF(OR($B687="STD. DEVIATION",$C$1=1),$A687,$A687+1),COLUMN('1-DATA'!AS685)),IF($B687="STD. DEVIATION",2,$F$1))))</f>
        <v/>
      </c>
      <c r="AU687" s="1" t="str">
        <f>IF(OR($B687="",AU$7=""),"",IF($B687="MEANS",INDEX('1-DATA'!$1:$1048576,$A686-1,COLUMN('1-DATA'!AT685)),ROUND(INDEX('1-DATA'!$1:$1048576,IF(OR($B687="STD. DEVIATION",$C$1=1),$A687,$A687+1),COLUMN('1-DATA'!AT685)),IF($B687="STD. DEVIATION",2,$F$1))))</f>
        <v/>
      </c>
      <c r="AV687" s="1" t="str">
        <f>IF(OR($B687="",AV$7=""),"",IF($B687="MEANS",INDEX('1-DATA'!$1:$1048576,$A686-1,COLUMN('1-DATA'!AU685)),ROUND(INDEX('1-DATA'!$1:$1048576,IF(OR($B687="STD. DEVIATION",$C$1=1),$A687,$A687+1),COLUMN('1-DATA'!AU685)),IF($B687="STD. DEVIATION",2,$F$1))))</f>
        <v/>
      </c>
      <c r="AW687" s="1" t="str">
        <f>IF(OR($B687="",AW$7=""),"",IF($B687="MEANS",INDEX('1-DATA'!$1:$1048576,$A686-1,COLUMN('1-DATA'!AV685)),ROUND(INDEX('1-DATA'!$1:$1048576,IF(OR($B687="STD. DEVIATION",$C$1=1),$A687,$A687+1),COLUMN('1-DATA'!AV685)),IF($B687="STD. DEVIATION",2,$F$1))))</f>
        <v/>
      </c>
      <c r="AX687" s="1" t="str">
        <f>IF(OR($B687="",AX$7=""),"",IF($B687="MEANS",INDEX('1-DATA'!$1:$1048576,$A686-1,COLUMN('1-DATA'!AW685)),ROUND(INDEX('1-DATA'!$1:$1048576,IF(OR($B687="STD. DEVIATION",$C$1=1),$A687,$A687+1),COLUMN('1-DATA'!AW685)),IF($B687="STD. DEVIATION",2,$F$1))))</f>
        <v/>
      </c>
      <c r="AY687" s="1" t="str">
        <f>IF(OR($B687="",AY$7=""),"",IF($B687="MEANS",INDEX('1-DATA'!$1:$1048576,$A686-1,COLUMN('1-DATA'!AX685)),ROUND(INDEX('1-DATA'!$1:$1048576,IF(OR($B687="STD. DEVIATION",$C$1=1),$A687,$A687+1),COLUMN('1-DATA'!AX685)),IF($B687="STD. DEVIATION",2,$F$1))))</f>
        <v/>
      </c>
      <c r="AZ687" s="1" t="str">
        <f>IF(OR($B687="",AZ$7=""),"",IF($B687="MEANS",INDEX('1-DATA'!$1:$1048576,$A686-1,COLUMN('1-DATA'!AY685)),ROUND(INDEX('1-DATA'!$1:$1048576,IF(OR($B687="STD. DEVIATION",$C$1=1),$A687,$A687+1),COLUMN('1-DATA'!AY685)),IF($B687="STD. DEVIATION",2,$F$1))))</f>
        <v/>
      </c>
    </row>
    <row r="688" spans="1:52" x14ac:dyDescent="0.25">
      <c r="A688" s="11">
        <f t="shared" si="11"/>
        <v>2050</v>
      </c>
      <c r="B688" s="1" t="str">
        <f>IF(B687="STD. DEVIATION",INDEX('1-DATA'!$1:$1048576,$A687-1,1),IF(INDEX('1-DATA'!$1:$1048576,$A688,1)&lt;&gt;"",INDEX('1-DATA'!$1:$1048576,$A688,1),""))</f>
        <v/>
      </c>
      <c r="C688" s="1" t="str">
        <f>IF(OR($B688="",C$7=""),"",IF($B688="MEANS",INDEX('1-DATA'!$1:$1048576,$A687-1,COLUMN('1-DATA'!B686)),ROUND(INDEX('1-DATA'!$1:$1048576,IF(OR($B688="STD. DEVIATION",$C$1=1),$A688,$A688+1),COLUMN('1-DATA'!B686)),IF($B688="STD. DEVIATION",2,$F$1))))</f>
        <v/>
      </c>
      <c r="D688" s="1" t="str">
        <f>IF(OR($B688="",D$7=""),"",IF($B688="MEANS",INDEX('1-DATA'!$1:$1048576,$A687-1,COLUMN('1-DATA'!C686)),ROUND(INDEX('1-DATA'!$1:$1048576,IF(OR($B688="STD. DEVIATION",$C$1=1),$A688,$A688+1),COLUMN('1-DATA'!C686)),IF($B688="STD. DEVIATION",2,$F$1))))</f>
        <v/>
      </c>
      <c r="E688" s="1" t="str">
        <f>IF(OR($B688="",E$7=""),"",IF($B688="MEANS",INDEX('1-DATA'!$1:$1048576,$A687-1,COLUMN('1-DATA'!D686)),ROUND(INDEX('1-DATA'!$1:$1048576,IF(OR($B688="STD. DEVIATION",$C$1=1),$A688,$A688+1),COLUMN('1-DATA'!D686)),IF($B688="STD. DEVIATION",2,$F$1))))</f>
        <v/>
      </c>
      <c r="F688" s="1" t="str">
        <f>IF(OR($B688="",F$7=""),"",IF($B688="MEANS",INDEX('1-DATA'!$1:$1048576,$A687-1,COLUMN('1-DATA'!E686)),ROUND(INDEX('1-DATA'!$1:$1048576,IF(OR($B688="STD. DEVIATION",$C$1=1),$A688,$A688+1),COLUMN('1-DATA'!E686)),IF($B688="STD. DEVIATION",2,$F$1))))</f>
        <v/>
      </c>
      <c r="G688" s="1" t="str">
        <f>IF(OR($B688="",G$7=""),"",IF($B688="MEANS",INDEX('1-DATA'!$1:$1048576,$A687-1,COLUMN('1-DATA'!F686)),ROUND(INDEX('1-DATA'!$1:$1048576,IF(OR($B688="STD. DEVIATION",$C$1=1),$A688,$A688+1),COLUMN('1-DATA'!F686)),IF($B688="STD. DEVIATION",2,$F$1))))</f>
        <v/>
      </c>
      <c r="H688" s="1" t="str">
        <f>IF(OR($B688="",H$7=""),"",IF($B688="MEANS",INDEX('1-DATA'!$1:$1048576,$A687-1,COLUMN('1-DATA'!G686)),ROUND(INDEX('1-DATA'!$1:$1048576,IF(OR($B688="STD. DEVIATION",$C$1=1),$A688,$A688+1),COLUMN('1-DATA'!G686)),IF($B688="STD. DEVIATION",2,$F$1))))</f>
        <v/>
      </c>
      <c r="I688" s="1" t="str">
        <f>IF(OR($B688="",I$7=""),"",IF($B688="MEANS",INDEX('1-DATA'!$1:$1048576,$A687-1,COLUMN('1-DATA'!H686)),ROUND(INDEX('1-DATA'!$1:$1048576,IF(OR($B688="STD. DEVIATION",$C$1=1),$A688,$A688+1),COLUMN('1-DATA'!H686)),IF($B688="STD. DEVIATION",2,$F$1))))</f>
        <v/>
      </c>
      <c r="J688" s="1" t="str">
        <f>IF(OR($B688="",J$7=""),"",IF($B688="MEANS",INDEX('1-DATA'!$1:$1048576,$A687-1,COLUMN('1-DATA'!I686)),ROUND(INDEX('1-DATA'!$1:$1048576,IF(OR($B688="STD. DEVIATION",$C$1=1),$A688,$A688+1),COLUMN('1-DATA'!I686)),IF($B688="STD. DEVIATION",2,$F$1))))</f>
        <v/>
      </c>
      <c r="K688" s="1" t="str">
        <f>IF(OR($B688="",K$7=""),"",IF($B688="MEANS",INDEX('1-DATA'!$1:$1048576,$A687-1,COLUMN('1-DATA'!J686)),ROUND(INDEX('1-DATA'!$1:$1048576,IF(OR($B688="STD. DEVIATION",$C$1=1),$A688,$A688+1),COLUMN('1-DATA'!J686)),IF($B688="STD. DEVIATION",2,$F$1))))</f>
        <v/>
      </c>
      <c r="L688" s="1" t="str">
        <f>IF(OR($B688="",L$7=""),"",IF($B688="MEANS",INDEX('1-DATA'!$1:$1048576,$A687-1,COLUMN('1-DATA'!K686)),ROUND(INDEX('1-DATA'!$1:$1048576,IF(OR($B688="STD. DEVIATION",$C$1=1),$A688,$A688+1),COLUMN('1-DATA'!K686)),IF($B688="STD. DEVIATION",2,$F$1))))</f>
        <v/>
      </c>
      <c r="M688" s="1" t="str">
        <f>IF(OR($B688="",M$7=""),"",IF($B688="MEANS",INDEX('1-DATA'!$1:$1048576,$A687-1,COLUMN('1-DATA'!L686)),ROUND(INDEX('1-DATA'!$1:$1048576,IF(OR($B688="STD. DEVIATION",$C$1=1),$A688,$A688+1),COLUMN('1-DATA'!L686)),IF($B688="STD. DEVIATION",2,$F$1))))</f>
        <v/>
      </c>
      <c r="N688" s="1" t="str">
        <f>IF(OR($B688="",N$7=""),"",IF($B688="MEANS",INDEX('1-DATA'!$1:$1048576,$A687-1,COLUMN('1-DATA'!M686)),ROUND(INDEX('1-DATA'!$1:$1048576,IF(OR($B688="STD. DEVIATION",$C$1=1),$A688,$A688+1),COLUMN('1-DATA'!M686)),IF($B688="STD. DEVIATION",2,$F$1))))</f>
        <v/>
      </c>
      <c r="O688" s="1" t="str">
        <f>IF(OR($B688="",O$7=""),"",IF($B688="MEANS",INDEX('1-DATA'!$1:$1048576,$A687-1,COLUMN('1-DATA'!N686)),ROUND(INDEX('1-DATA'!$1:$1048576,IF(OR($B688="STD. DEVIATION",$C$1=1),$A688,$A688+1),COLUMN('1-DATA'!N686)),IF($B688="STD. DEVIATION",2,$F$1))))</f>
        <v/>
      </c>
      <c r="P688" s="1" t="str">
        <f>IF(OR($B688="",P$7=""),"",IF($B688="MEANS",INDEX('1-DATA'!$1:$1048576,$A687-1,COLUMN('1-DATA'!O686)),ROUND(INDEX('1-DATA'!$1:$1048576,IF(OR($B688="STD. DEVIATION",$C$1=1),$A688,$A688+1),COLUMN('1-DATA'!O686)),IF($B688="STD. DEVIATION",2,$F$1))))</f>
        <v/>
      </c>
      <c r="Q688" s="1" t="str">
        <f>IF(OR($B688="",Q$7=""),"",IF($B688="MEANS",INDEX('1-DATA'!$1:$1048576,$A687-1,COLUMN('1-DATA'!P686)),ROUND(INDEX('1-DATA'!$1:$1048576,IF(OR($B688="STD. DEVIATION",$C$1=1),$A688,$A688+1),COLUMN('1-DATA'!P686)),IF($B688="STD. DEVIATION",2,$F$1))))</f>
        <v/>
      </c>
      <c r="R688" s="1" t="str">
        <f>IF(OR($B688="",R$7=""),"",IF($B688="MEANS",INDEX('1-DATA'!$1:$1048576,$A687-1,COLUMN('1-DATA'!Q686)),ROUND(INDEX('1-DATA'!$1:$1048576,IF(OR($B688="STD. DEVIATION",$C$1=1),$A688,$A688+1),COLUMN('1-DATA'!Q686)),IF($B688="STD. DEVIATION",2,$F$1))))</f>
        <v/>
      </c>
      <c r="S688" s="1" t="str">
        <f>IF(OR($B688="",S$7=""),"",IF($B688="MEANS",INDEX('1-DATA'!$1:$1048576,$A687-1,COLUMN('1-DATA'!R686)),ROUND(INDEX('1-DATA'!$1:$1048576,IF(OR($B688="STD. DEVIATION",$C$1=1),$A688,$A688+1),COLUMN('1-DATA'!R686)),IF($B688="STD. DEVIATION",2,$F$1))))</f>
        <v/>
      </c>
      <c r="T688" s="1" t="str">
        <f>IF(OR($B688="",T$7=""),"",IF($B688="MEANS",INDEX('1-DATA'!$1:$1048576,$A687-1,COLUMN('1-DATA'!S686)),ROUND(INDEX('1-DATA'!$1:$1048576,IF(OR($B688="STD. DEVIATION",$C$1=1),$A688,$A688+1),COLUMN('1-DATA'!S686)),IF($B688="STD. DEVIATION",2,$F$1))))</f>
        <v/>
      </c>
      <c r="U688" s="1" t="str">
        <f>IF(OR($B688="",U$7=""),"",IF($B688="MEANS",INDEX('1-DATA'!$1:$1048576,$A687-1,COLUMN('1-DATA'!T686)),ROUND(INDEX('1-DATA'!$1:$1048576,IF(OR($B688="STD. DEVIATION",$C$1=1),$A688,$A688+1),COLUMN('1-DATA'!T686)),IF($B688="STD. DEVIATION",2,$F$1))))</f>
        <v/>
      </c>
      <c r="V688" s="1" t="str">
        <f>IF(OR($B688="",V$7=""),"",IF($B688="MEANS",INDEX('1-DATA'!$1:$1048576,$A687-1,COLUMN('1-DATA'!U686)),ROUND(INDEX('1-DATA'!$1:$1048576,IF(OR($B688="STD. DEVIATION",$C$1=1),$A688,$A688+1),COLUMN('1-DATA'!U686)),IF($B688="STD. DEVIATION",2,$F$1))))</f>
        <v/>
      </c>
      <c r="W688" s="1" t="str">
        <f>IF(OR($B688="",W$7=""),"",IF($B688="MEANS",INDEX('1-DATA'!$1:$1048576,$A687-1,COLUMN('1-DATA'!V686)),ROUND(INDEX('1-DATA'!$1:$1048576,IF(OR($B688="STD. DEVIATION",$C$1=1),$A688,$A688+1),COLUMN('1-DATA'!V686)),IF($B688="STD. DEVIATION",2,$F$1))))</f>
        <v/>
      </c>
      <c r="X688" s="1" t="str">
        <f>IF(OR($B688="",X$7=""),"",IF($B688="MEANS",INDEX('1-DATA'!$1:$1048576,$A687-1,COLUMN('1-DATA'!W686)),ROUND(INDEX('1-DATA'!$1:$1048576,IF(OR($B688="STD. DEVIATION",$C$1=1),$A688,$A688+1),COLUMN('1-DATA'!W686)),IF($B688="STD. DEVIATION",2,$F$1))))</f>
        <v/>
      </c>
      <c r="Y688" s="1" t="str">
        <f>IF(OR($B688="",Y$7=""),"",IF($B688="MEANS",INDEX('1-DATA'!$1:$1048576,$A687-1,COLUMN('1-DATA'!X686)),ROUND(INDEX('1-DATA'!$1:$1048576,IF(OR($B688="STD. DEVIATION",$C$1=1),$A688,$A688+1),COLUMN('1-DATA'!X686)),IF($B688="STD. DEVIATION",2,$F$1))))</f>
        <v/>
      </c>
      <c r="Z688" s="1" t="str">
        <f>IF(OR($B688="",Z$7=""),"",IF($B688="MEANS",INDEX('1-DATA'!$1:$1048576,$A687-1,COLUMN('1-DATA'!Y686)),ROUND(INDEX('1-DATA'!$1:$1048576,IF(OR($B688="STD. DEVIATION",$C$1=1),$A688,$A688+1),COLUMN('1-DATA'!Y686)),IF($B688="STD. DEVIATION",2,$F$1))))</f>
        <v/>
      </c>
      <c r="AA688" s="1" t="str">
        <f>IF(OR($B688="",AA$7=""),"",IF($B688="MEANS",INDEX('1-DATA'!$1:$1048576,$A687-1,COLUMN('1-DATA'!Z686)),ROUND(INDEX('1-DATA'!$1:$1048576,IF(OR($B688="STD. DEVIATION",$C$1=1),$A688,$A688+1),COLUMN('1-DATA'!Z686)),IF($B688="STD. DEVIATION",2,$F$1))))</f>
        <v/>
      </c>
      <c r="AB688" s="1" t="str">
        <f>IF(OR($B688="",AB$7=""),"",IF($B688="MEANS",INDEX('1-DATA'!$1:$1048576,$A687-1,COLUMN('1-DATA'!AA686)),ROUND(INDEX('1-DATA'!$1:$1048576,IF(OR($B688="STD. DEVIATION",$C$1=1),$A688,$A688+1),COLUMN('1-DATA'!AA686)),IF($B688="STD. DEVIATION",2,$F$1))))</f>
        <v/>
      </c>
      <c r="AC688" s="1" t="str">
        <f>IF(OR($B688="",AC$7=""),"",IF($B688="MEANS",INDEX('1-DATA'!$1:$1048576,$A687-1,COLUMN('1-DATA'!AB686)),ROUND(INDEX('1-DATA'!$1:$1048576,IF(OR($B688="STD. DEVIATION",$C$1=1),$A688,$A688+1),COLUMN('1-DATA'!AB686)),IF($B688="STD. DEVIATION",2,$F$1))))</f>
        <v/>
      </c>
      <c r="AD688" s="1" t="str">
        <f>IF(OR($B688="",AD$7=""),"",IF($B688="MEANS",INDEX('1-DATA'!$1:$1048576,$A687-1,COLUMN('1-DATA'!AC686)),ROUND(INDEX('1-DATA'!$1:$1048576,IF(OR($B688="STD. DEVIATION",$C$1=1),$A688,$A688+1),COLUMN('1-DATA'!AC686)),IF($B688="STD. DEVIATION",2,$F$1))))</f>
        <v/>
      </c>
      <c r="AE688" s="1" t="str">
        <f>IF(OR($B688="",AE$7=""),"",IF($B688="MEANS",INDEX('1-DATA'!$1:$1048576,$A687-1,COLUMN('1-DATA'!AD686)),ROUND(INDEX('1-DATA'!$1:$1048576,IF(OR($B688="STD. DEVIATION",$C$1=1),$A688,$A688+1),COLUMN('1-DATA'!AD686)),IF($B688="STD. DEVIATION",2,$F$1))))</f>
        <v/>
      </c>
      <c r="AF688" s="1" t="str">
        <f>IF(OR($B688="",AF$7=""),"",IF($B688="MEANS",INDEX('1-DATA'!$1:$1048576,$A687-1,COLUMN('1-DATA'!AE686)),ROUND(INDEX('1-DATA'!$1:$1048576,IF(OR($B688="STD. DEVIATION",$C$1=1),$A688,$A688+1),COLUMN('1-DATA'!AE686)),IF($B688="STD. DEVIATION",2,$F$1))))</f>
        <v/>
      </c>
      <c r="AG688" s="1" t="str">
        <f>IF(OR($B688="",AG$7=""),"",IF($B688="MEANS",INDEX('1-DATA'!$1:$1048576,$A687-1,COLUMN('1-DATA'!AF686)),ROUND(INDEX('1-DATA'!$1:$1048576,IF(OR($B688="STD. DEVIATION",$C$1=1),$A688,$A688+1),COLUMN('1-DATA'!AF686)),IF($B688="STD. DEVIATION",2,$F$1))))</f>
        <v/>
      </c>
      <c r="AH688" s="1" t="str">
        <f>IF(OR($B688="",AH$7=""),"",IF($B688="MEANS",INDEX('1-DATA'!$1:$1048576,$A687-1,COLUMN('1-DATA'!AG686)),ROUND(INDEX('1-DATA'!$1:$1048576,IF(OR($B688="STD. DEVIATION",$C$1=1),$A688,$A688+1),COLUMN('1-DATA'!AG686)),IF($B688="STD. DEVIATION",2,$F$1))))</f>
        <v/>
      </c>
      <c r="AI688" s="1" t="str">
        <f>IF(OR($B688="",AI$7=""),"",IF($B688="MEANS",INDEX('1-DATA'!$1:$1048576,$A687-1,COLUMN('1-DATA'!AH686)),ROUND(INDEX('1-DATA'!$1:$1048576,IF(OR($B688="STD. DEVIATION",$C$1=1),$A688,$A688+1),COLUMN('1-DATA'!AH686)),IF($B688="STD. DEVIATION",2,$F$1))))</f>
        <v/>
      </c>
      <c r="AJ688" s="1" t="str">
        <f>IF(OR($B688="",AJ$7=""),"",IF($B688="MEANS",INDEX('1-DATA'!$1:$1048576,$A687-1,COLUMN('1-DATA'!AI686)),ROUND(INDEX('1-DATA'!$1:$1048576,IF(OR($B688="STD. DEVIATION",$C$1=1),$A688,$A688+1),COLUMN('1-DATA'!AI686)),IF($B688="STD. DEVIATION",2,$F$1))))</f>
        <v/>
      </c>
      <c r="AK688" s="1" t="str">
        <f>IF(OR($B688="",AK$7=""),"",IF($B688="MEANS",INDEX('1-DATA'!$1:$1048576,$A687-1,COLUMN('1-DATA'!AJ686)),ROUND(INDEX('1-DATA'!$1:$1048576,IF(OR($B688="STD. DEVIATION",$C$1=1),$A688,$A688+1),COLUMN('1-DATA'!AJ686)),IF($B688="STD. DEVIATION",2,$F$1))))</f>
        <v/>
      </c>
      <c r="AL688" s="1" t="str">
        <f>IF(OR($B688="",AL$7=""),"",IF($B688="MEANS",INDEX('1-DATA'!$1:$1048576,$A687-1,COLUMN('1-DATA'!AK686)),ROUND(INDEX('1-DATA'!$1:$1048576,IF(OR($B688="STD. DEVIATION",$C$1=1),$A688,$A688+1),COLUMN('1-DATA'!AK686)),IF($B688="STD. DEVIATION",2,$F$1))))</f>
        <v/>
      </c>
      <c r="AM688" s="1" t="str">
        <f>IF(OR($B688="",AM$7=""),"",IF($B688="MEANS",INDEX('1-DATA'!$1:$1048576,$A687-1,COLUMN('1-DATA'!AL686)),ROUND(INDEX('1-DATA'!$1:$1048576,IF(OR($B688="STD. DEVIATION",$C$1=1),$A688,$A688+1),COLUMN('1-DATA'!AL686)),IF($B688="STD. DEVIATION",2,$F$1))))</f>
        <v/>
      </c>
      <c r="AN688" s="1" t="str">
        <f>IF(OR($B688="",AN$7=""),"",IF($B688="MEANS",INDEX('1-DATA'!$1:$1048576,$A687-1,COLUMN('1-DATA'!AM686)),ROUND(INDEX('1-DATA'!$1:$1048576,IF(OR($B688="STD. DEVIATION",$C$1=1),$A688,$A688+1),COLUMN('1-DATA'!AM686)),IF($B688="STD. DEVIATION",2,$F$1))))</f>
        <v/>
      </c>
      <c r="AO688" s="1" t="str">
        <f>IF(OR($B688="",AO$7=""),"",IF($B688="MEANS",INDEX('1-DATA'!$1:$1048576,$A687-1,COLUMN('1-DATA'!AN686)),ROUND(INDEX('1-DATA'!$1:$1048576,IF(OR($B688="STD. DEVIATION",$C$1=1),$A688,$A688+1),COLUMN('1-DATA'!AN686)),IF($B688="STD. DEVIATION",2,$F$1))))</f>
        <v/>
      </c>
      <c r="AP688" s="1" t="str">
        <f>IF(OR($B688="",AP$7=""),"",IF($B688="MEANS",INDEX('1-DATA'!$1:$1048576,$A687-1,COLUMN('1-DATA'!AO686)),ROUND(INDEX('1-DATA'!$1:$1048576,IF(OR($B688="STD. DEVIATION",$C$1=1),$A688,$A688+1),COLUMN('1-DATA'!AO686)),IF($B688="STD. DEVIATION",2,$F$1))))</f>
        <v/>
      </c>
      <c r="AQ688" s="1" t="str">
        <f>IF(OR($B688="",AQ$7=""),"",IF($B688="MEANS",INDEX('1-DATA'!$1:$1048576,$A687-1,COLUMN('1-DATA'!AP686)),ROUND(INDEX('1-DATA'!$1:$1048576,IF(OR($B688="STD. DEVIATION",$C$1=1),$A688,$A688+1),COLUMN('1-DATA'!AP686)),IF($B688="STD. DEVIATION",2,$F$1))))</f>
        <v/>
      </c>
      <c r="AR688" s="1" t="str">
        <f>IF(OR($B688="",AR$7=""),"",IF($B688="MEANS",INDEX('1-DATA'!$1:$1048576,$A687-1,COLUMN('1-DATA'!AQ686)),ROUND(INDEX('1-DATA'!$1:$1048576,IF(OR($B688="STD. DEVIATION",$C$1=1),$A688,$A688+1),COLUMN('1-DATA'!AQ686)),IF($B688="STD. DEVIATION",2,$F$1))))</f>
        <v/>
      </c>
      <c r="AS688" s="1" t="str">
        <f>IF(OR($B688="",AS$7=""),"",IF($B688="MEANS",INDEX('1-DATA'!$1:$1048576,$A687-1,COLUMN('1-DATA'!AR686)),ROUND(INDEX('1-DATA'!$1:$1048576,IF(OR($B688="STD. DEVIATION",$C$1=1),$A688,$A688+1),COLUMN('1-DATA'!AR686)),IF($B688="STD. DEVIATION",2,$F$1))))</f>
        <v/>
      </c>
      <c r="AT688" s="1" t="str">
        <f>IF(OR($B688="",AT$7=""),"",IF($B688="MEANS",INDEX('1-DATA'!$1:$1048576,$A687-1,COLUMN('1-DATA'!AS686)),ROUND(INDEX('1-DATA'!$1:$1048576,IF(OR($B688="STD. DEVIATION",$C$1=1),$A688,$A688+1),COLUMN('1-DATA'!AS686)),IF($B688="STD. DEVIATION",2,$F$1))))</f>
        <v/>
      </c>
      <c r="AU688" s="1" t="str">
        <f>IF(OR($B688="",AU$7=""),"",IF($B688="MEANS",INDEX('1-DATA'!$1:$1048576,$A687-1,COLUMN('1-DATA'!AT686)),ROUND(INDEX('1-DATA'!$1:$1048576,IF(OR($B688="STD. DEVIATION",$C$1=1),$A688,$A688+1),COLUMN('1-DATA'!AT686)),IF($B688="STD. DEVIATION",2,$F$1))))</f>
        <v/>
      </c>
      <c r="AV688" s="1" t="str">
        <f>IF(OR($B688="",AV$7=""),"",IF($B688="MEANS",INDEX('1-DATA'!$1:$1048576,$A687-1,COLUMN('1-DATA'!AU686)),ROUND(INDEX('1-DATA'!$1:$1048576,IF(OR($B688="STD. DEVIATION",$C$1=1),$A688,$A688+1),COLUMN('1-DATA'!AU686)),IF($B688="STD. DEVIATION",2,$F$1))))</f>
        <v/>
      </c>
      <c r="AW688" s="1" t="str">
        <f>IF(OR($B688="",AW$7=""),"",IF($B688="MEANS",INDEX('1-DATA'!$1:$1048576,$A687-1,COLUMN('1-DATA'!AV686)),ROUND(INDEX('1-DATA'!$1:$1048576,IF(OR($B688="STD. DEVIATION",$C$1=1),$A688,$A688+1),COLUMN('1-DATA'!AV686)),IF($B688="STD. DEVIATION",2,$F$1))))</f>
        <v/>
      </c>
      <c r="AX688" s="1" t="str">
        <f>IF(OR($B688="",AX$7=""),"",IF($B688="MEANS",INDEX('1-DATA'!$1:$1048576,$A687-1,COLUMN('1-DATA'!AW686)),ROUND(INDEX('1-DATA'!$1:$1048576,IF(OR($B688="STD. DEVIATION",$C$1=1),$A688,$A688+1),COLUMN('1-DATA'!AW686)),IF($B688="STD. DEVIATION",2,$F$1))))</f>
        <v/>
      </c>
      <c r="AY688" s="1" t="str">
        <f>IF(OR($B688="",AY$7=""),"",IF($B688="MEANS",INDEX('1-DATA'!$1:$1048576,$A687-1,COLUMN('1-DATA'!AX686)),ROUND(INDEX('1-DATA'!$1:$1048576,IF(OR($B688="STD. DEVIATION",$C$1=1),$A688,$A688+1),COLUMN('1-DATA'!AX686)),IF($B688="STD. DEVIATION",2,$F$1))))</f>
        <v/>
      </c>
      <c r="AZ688" s="1" t="str">
        <f>IF(OR($B688="",AZ$7=""),"",IF($B688="MEANS",INDEX('1-DATA'!$1:$1048576,$A687-1,COLUMN('1-DATA'!AY686)),ROUND(INDEX('1-DATA'!$1:$1048576,IF(OR($B688="STD. DEVIATION",$C$1=1),$A688,$A688+1),COLUMN('1-DATA'!AY686)),IF($B688="STD. DEVIATION",2,$F$1))))</f>
        <v/>
      </c>
    </row>
    <row r="689" spans="1:52" x14ac:dyDescent="0.25">
      <c r="A689" s="11">
        <f t="shared" si="11"/>
        <v>2053</v>
      </c>
      <c r="B689" s="1" t="str">
        <f>IF(B688="STD. DEVIATION",INDEX('1-DATA'!$1:$1048576,$A688-1,1),IF(INDEX('1-DATA'!$1:$1048576,$A689,1)&lt;&gt;"",INDEX('1-DATA'!$1:$1048576,$A689,1),""))</f>
        <v/>
      </c>
      <c r="C689" s="1" t="str">
        <f>IF(OR($B689="",C$7=""),"",IF($B689="MEANS",INDEX('1-DATA'!$1:$1048576,$A688-1,COLUMN('1-DATA'!B687)),ROUND(INDEX('1-DATA'!$1:$1048576,IF(OR($B689="STD. DEVIATION",$C$1=1),$A689,$A689+1),COLUMN('1-DATA'!B687)),IF($B689="STD. DEVIATION",2,$F$1))))</f>
        <v/>
      </c>
      <c r="D689" s="1" t="str">
        <f>IF(OR($B689="",D$7=""),"",IF($B689="MEANS",INDEX('1-DATA'!$1:$1048576,$A688-1,COLUMN('1-DATA'!C687)),ROUND(INDEX('1-DATA'!$1:$1048576,IF(OR($B689="STD. DEVIATION",$C$1=1),$A689,$A689+1),COLUMN('1-DATA'!C687)),IF($B689="STD. DEVIATION",2,$F$1))))</f>
        <v/>
      </c>
      <c r="E689" s="1" t="str">
        <f>IF(OR($B689="",E$7=""),"",IF($B689="MEANS",INDEX('1-DATA'!$1:$1048576,$A688-1,COLUMN('1-DATA'!D687)),ROUND(INDEX('1-DATA'!$1:$1048576,IF(OR($B689="STD. DEVIATION",$C$1=1),$A689,$A689+1),COLUMN('1-DATA'!D687)),IF($B689="STD. DEVIATION",2,$F$1))))</f>
        <v/>
      </c>
      <c r="F689" s="1" t="str">
        <f>IF(OR($B689="",F$7=""),"",IF($B689="MEANS",INDEX('1-DATA'!$1:$1048576,$A688-1,COLUMN('1-DATA'!E687)),ROUND(INDEX('1-DATA'!$1:$1048576,IF(OR($B689="STD. DEVIATION",$C$1=1),$A689,$A689+1),COLUMN('1-DATA'!E687)),IF($B689="STD. DEVIATION",2,$F$1))))</f>
        <v/>
      </c>
      <c r="G689" s="1" t="str">
        <f>IF(OR($B689="",G$7=""),"",IF($B689="MEANS",INDEX('1-DATA'!$1:$1048576,$A688-1,COLUMN('1-DATA'!F687)),ROUND(INDEX('1-DATA'!$1:$1048576,IF(OR($B689="STD. DEVIATION",$C$1=1),$A689,$A689+1),COLUMN('1-DATA'!F687)),IF($B689="STD. DEVIATION",2,$F$1))))</f>
        <v/>
      </c>
      <c r="H689" s="1" t="str">
        <f>IF(OR($B689="",H$7=""),"",IF($B689="MEANS",INDEX('1-DATA'!$1:$1048576,$A688-1,COLUMN('1-DATA'!G687)),ROUND(INDEX('1-DATA'!$1:$1048576,IF(OR($B689="STD. DEVIATION",$C$1=1),$A689,$A689+1),COLUMN('1-DATA'!G687)),IF($B689="STD. DEVIATION",2,$F$1))))</f>
        <v/>
      </c>
      <c r="I689" s="1" t="str">
        <f>IF(OR($B689="",I$7=""),"",IF($B689="MEANS",INDEX('1-DATA'!$1:$1048576,$A688-1,COLUMN('1-DATA'!H687)),ROUND(INDEX('1-DATA'!$1:$1048576,IF(OR($B689="STD. DEVIATION",$C$1=1),$A689,$A689+1),COLUMN('1-DATA'!H687)),IF($B689="STD. DEVIATION",2,$F$1))))</f>
        <v/>
      </c>
      <c r="J689" s="1" t="str">
        <f>IF(OR($B689="",J$7=""),"",IF($B689="MEANS",INDEX('1-DATA'!$1:$1048576,$A688-1,COLUMN('1-DATA'!I687)),ROUND(INDEX('1-DATA'!$1:$1048576,IF(OR($B689="STD. DEVIATION",$C$1=1),$A689,$A689+1),COLUMN('1-DATA'!I687)),IF($B689="STD. DEVIATION",2,$F$1))))</f>
        <v/>
      </c>
      <c r="K689" s="1" t="str">
        <f>IF(OR($B689="",K$7=""),"",IF($B689="MEANS",INDEX('1-DATA'!$1:$1048576,$A688-1,COLUMN('1-DATA'!J687)),ROUND(INDEX('1-DATA'!$1:$1048576,IF(OR($B689="STD. DEVIATION",$C$1=1),$A689,$A689+1),COLUMN('1-DATA'!J687)),IF($B689="STD. DEVIATION",2,$F$1))))</f>
        <v/>
      </c>
      <c r="L689" s="1" t="str">
        <f>IF(OR($B689="",L$7=""),"",IF($B689="MEANS",INDEX('1-DATA'!$1:$1048576,$A688-1,COLUMN('1-DATA'!K687)),ROUND(INDEX('1-DATA'!$1:$1048576,IF(OR($B689="STD. DEVIATION",$C$1=1),$A689,$A689+1),COLUMN('1-DATA'!K687)),IF($B689="STD. DEVIATION",2,$F$1))))</f>
        <v/>
      </c>
      <c r="M689" s="1" t="str">
        <f>IF(OR($B689="",M$7=""),"",IF($B689="MEANS",INDEX('1-DATA'!$1:$1048576,$A688-1,COLUMN('1-DATA'!L687)),ROUND(INDEX('1-DATA'!$1:$1048576,IF(OR($B689="STD. DEVIATION",$C$1=1),$A689,$A689+1),COLUMN('1-DATA'!L687)),IF($B689="STD. DEVIATION",2,$F$1))))</f>
        <v/>
      </c>
      <c r="N689" s="1" t="str">
        <f>IF(OR($B689="",N$7=""),"",IF($B689="MEANS",INDEX('1-DATA'!$1:$1048576,$A688-1,COLUMN('1-DATA'!M687)),ROUND(INDEX('1-DATA'!$1:$1048576,IF(OR($B689="STD. DEVIATION",$C$1=1),$A689,$A689+1),COLUMN('1-DATA'!M687)),IF($B689="STD. DEVIATION",2,$F$1))))</f>
        <v/>
      </c>
      <c r="O689" s="1" t="str">
        <f>IF(OR($B689="",O$7=""),"",IF($B689="MEANS",INDEX('1-DATA'!$1:$1048576,$A688-1,COLUMN('1-DATA'!N687)),ROUND(INDEX('1-DATA'!$1:$1048576,IF(OR($B689="STD. DEVIATION",$C$1=1),$A689,$A689+1),COLUMN('1-DATA'!N687)),IF($B689="STD. DEVIATION",2,$F$1))))</f>
        <v/>
      </c>
      <c r="P689" s="1" t="str">
        <f>IF(OR($B689="",P$7=""),"",IF($B689="MEANS",INDEX('1-DATA'!$1:$1048576,$A688-1,COLUMN('1-DATA'!O687)),ROUND(INDEX('1-DATA'!$1:$1048576,IF(OR($B689="STD. DEVIATION",$C$1=1),$A689,$A689+1),COLUMN('1-DATA'!O687)),IF($B689="STD. DEVIATION",2,$F$1))))</f>
        <v/>
      </c>
      <c r="Q689" s="1" t="str">
        <f>IF(OR($B689="",Q$7=""),"",IF($B689="MEANS",INDEX('1-DATA'!$1:$1048576,$A688-1,COLUMN('1-DATA'!P687)),ROUND(INDEX('1-DATA'!$1:$1048576,IF(OR($B689="STD. DEVIATION",$C$1=1),$A689,$A689+1),COLUMN('1-DATA'!P687)),IF($B689="STD. DEVIATION",2,$F$1))))</f>
        <v/>
      </c>
      <c r="R689" s="1" t="str">
        <f>IF(OR($B689="",R$7=""),"",IF($B689="MEANS",INDEX('1-DATA'!$1:$1048576,$A688-1,COLUMN('1-DATA'!Q687)),ROUND(INDEX('1-DATA'!$1:$1048576,IF(OR($B689="STD. DEVIATION",$C$1=1),$A689,$A689+1),COLUMN('1-DATA'!Q687)),IF($B689="STD. DEVIATION",2,$F$1))))</f>
        <v/>
      </c>
      <c r="S689" s="1" t="str">
        <f>IF(OR($B689="",S$7=""),"",IF($B689="MEANS",INDEX('1-DATA'!$1:$1048576,$A688-1,COLUMN('1-DATA'!R687)),ROUND(INDEX('1-DATA'!$1:$1048576,IF(OR($B689="STD. DEVIATION",$C$1=1),$A689,$A689+1),COLUMN('1-DATA'!R687)),IF($B689="STD. DEVIATION",2,$F$1))))</f>
        <v/>
      </c>
      <c r="T689" s="1" t="str">
        <f>IF(OR($B689="",T$7=""),"",IF($B689="MEANS",INDEX('1-DATA'!$1:$1048576,$A688-1,COLUMN('1-DATA'!S687)),ROUND(INDEX('1-DATA'!$1:$1048576,IF(OR($B689="STD. DEVIATION",$C$1=1),$A689,$A689+1),COLUMN('1-DATA'!S687)),IF($B689="STD. DEVIATION",2,$F$1))))</f>
        <v/>
      </c>
      <c r="U689" s="1" t="str">
        <f>IF(OR($B689="",U$7=""),"",IF($B689="MEANS",INDEX('1-DATA'!$1:$1048576,$A688-1,COLUMN('1-DATA'!T687)),ROUND(INDEX('1-DATA'!$1:$1048576,IF(OR($B689="STD. DEVIATION",$C$1=1),$A689,$A689+1),COLUMN('1-DATA'!T687)),IF($B689="STD. DEVIATION",2,$F$1))))</f>
        <v/>
      </c>
      <c r="V689" s="1" t="str">
        <f>IF(OR($B689="",V$7=""),"",IF($B689="MEANS",INDEX('1-DATA'!$1:$1048576,$A688-1,COLUMN('1-DATA'!U687)),ROUND(INDEX('1-DATA'!$1:$1048576,IF(OR($B689="STD. DEVIATION",$C$1=1),$A689,$A689+1),COLUMN('1-DATA'!U687)),IF($B689="STD. DEVIATION",2,$F$1))))</f>
        <v/>
      </c>
      <c r="W689" s="1" t="str">
        <f>IF(OR($B689="",W$7=""),"",IF($B689="MEANS",INDEX('1-DATA'!$1:$1048576,$A688-1,COLUMN('1-DATA'!V687)),ROUND(INDEX('1-DATA'!$1:$1048576,IF(OR($B689="STD. DEVIATION",$C$1=1),$A689,$A689+1),COLUMN('1-DATA'!V687)),IF($B689="STD. DEVIATION",2,$F$1))))</f>
        <v/>
      </c>
      <c r="X689" s="1" t="str">
        <f>IF(OR($B689="",X$7=""),"",IF($B689="MEANS",INDEX('1-DATA'!$1:$1048576,$A688-1,COLUMN('1-DATA'!W687)),ROUND(INDEX('1-DATA'!$1:$1048576,IF(OR($B689="STD. DEVIATION",$C$1=1),$A689,$A689+1),COLUMN('1-DATA'!W687)),IF($B689="STD. DEVIATION",2,$F$1))))</f>
        <v/>
      </c>
      <c r="Y689" s="1" t="str">
        <f>IF(OR($B689="",Y$7=""),"",IF($B689="MEANS",INDEX('1-DATA'!$1:$1048576,$A688-1,COLUMN('1-DATA'!X687)),ROUND(INDEX('1-DATA'!$1:$1048576,IF(OR($B689="STD. DEVIATION",$C$1=1),$A689,$A689+1),COLUMN('1-DATA'!X687)),IF($B689="STD. DEVIATION",2,$F$1))))</f>
        <v/>
      </c>
      <c r="Z689" s="1" t="str">
        <f>IF(OR($B689="",Z$7=""),"",IF($B689="MEANS",INDEX('1-DATA'!$1:$1048576,$A688-1,COLUMN('1-DATA'!Y687)),ROUND(INDEX('1-DATA'!$1:$1048576,IF(OR($B689="STD. DEVIATION",$C$1=1),$A689,$A689+1),COLUMN('1-DATA'!Y687)),IF($B689="STD. DEVIATION",2,$F$1))))</f>
        <v/>
      </c>
      <c r="AA689" s="1" t="str">
        <f>IF(OR($B689="",AA$7=""),"",IF($B689="MEANS",INDEX('1-DATA'!$1:$1048576,$A688-1,COLUMN('1-DATA'!Z687)),ROUND(INDEX('1-DATA'!$1:$1048576,IF(OR($B689="STD. DEVIATION",$C$1=1),$A689,$A689+1),COLUMN('1-DATA'!Z687)),IF($B689="STD. DEVIATION",2,$F$1))))</f>
        <v/>
      </c>
      <c r="AB689" s="1" t="str">
        <f>IF(OR($B689="",AB$7=""),"",IF($B689="MEANS",INDEX('1-DATA'!$1:$1048576,$A688-1,COLUMN('1-DATA'!AA687)),ROUND(INDEX('1-DATA'!$1:$1048576,IF(OR($B689="STD. DEVIATION",$C$1=1),$A689,$A689+1),COLUMN('1-DATA'!AA687)),IF($B689="STD. DEVIATION",2,$F$1))))</f>
        <v/>
      </c>
      <c r="AC689" s="1" t="str">
        <f>IF(OR($B689="",AC$7=""),"",IF($B689="MEANS",INDEX('1-DATA'!$1:$1048576,$A688-1,COLUMN('1-DATA'!AB687)),ROUND(INDEX('1-DATA'!$1:$1048576,IF(OR($B689="STD. DEVIATION",$C$1=1),$A689,$A689+1),COLUMN('1-DATA'!AB687)),IF($B689="STD. DEVIATION",2,$F$1))))</f>
        <v/>
      </c>
      <c r="AD689" s="1" t="str">
        <f>IF(OR($B689="",AD$7=""),"",IF($B689="MEANS",INDEX('1-DATA'!$1:$1048576,$A688-1,COLUMN('1-DATA'!AC687)),ROUND(INDEX('1-DATA'!$1:$1048576,IF(OR($B689="STD. DEVIATION",$C$1=1),$A689,$A689+1),COLUMN('1-DATA'!AC687)),IF($B689="STD. DEVIATION",2,$F$1))))</f>
        <v/>
      </c>
      <c r="AE689" s="1" t="str">
        <f>IF(OR($B689="",AE$7=""),"",IF($B689="MEANS",INDEX('1-DATA'!$1:$1048576,$A688-1,COLUMN('1-DATA'!AD687)),ROUND(INDEX('1-DATA'!$1:$1048576,IF(OR($B689="STD. DEVIATION",$C$1=1),$A689,$A689+1),COLUMN('1-DATA'!AD687)),IF($B689="STD. DEVIATION",2,$F$1))))</f>
        <v/>
      </c>
      <c r="AF689" s="1" t="str">
        <f>IF(OR($B689="",AF$7=""),"",IF($B689="MEANS",INDEX('1-DATA'!$1:$1048576,$A688-1,COLUMN('1-DATA'!AE687)),ROUND(INDEX('1-DATA'!$1:$1048576,IF(OR($B689="STD. DEVIATION",$C$1=1),$A689,$A689+1),COLUMN('1-DATA'!AE687)),IF($B689="STD. DEVIATION",2,$F$1))))</f>
        <v/>
      </c>
      <c r="AG689" s="1" t="str">
        <f>IF(OR($B689="",AG$7=""),"",IF($B689="MEANS",INDEX('1-DATA'!$1:$1048576,$A688-1,COLUMN('1-DATA'!AF687)),ROUND(INDEX('1-DATA'!$1:$1048576,IF(OR($B689="STD. DEVIATION",$C$1=1),$A689,$A689+1),COLUMN('1-DATA'!AF687)),IF($B689="STD. DEVIATION",2,$F$1))))</f>
        <v/>
      </c>
      <c r="AH689" s="1" t="str">
        <f>IF(OR($B689="",AH$7=""),"",IF($B689="MEANS",INDEX('1-DATA'!$1:$1048576,$A688-1,COLUMN('1-DATA'!AG687)),ROUND(INDEX('1-DATA'!$1:$1048576,IF(OR($B689="STD. DEVIATION",$C$1=1),$A689,$A689+1),COLUMN('1-DATA'!AG687)),IF($B689="STD. DEVIATION",2,$F$1))))</f>
        <v/>
      </c>
      <c r="AI689" s="1" t="str">
        <f>IF(OR($B689="",AI$7=""),"",IF($B689="MEANS",INDEX('1-DATA'!$1:$1048576,$A688-1,COLUMN('1-DATA'!AH687)),ROUND(INDEX('1-DATA'!$1:$1048576,IF(OR($B689="STD. DEVIATION",$C$1=1),$A689,$A689+1),COLUMN('1-DATA'!AH687)),IF($B689="STD. DEVIATION",2,$F$1))))</f>
        <v/>
      </c>
      <c r="AJ689" s="1" t="str">
        <f>IF(OR($B689="",AJ$7=""),"",IF($B689="MEANS",INDEX('1-DATA'!$1:$1048576,$A688-1,COLUMN('1-DATA'!AI687)),ROUND(INDEX('1-DATA'!$1:$1048576,IF(OR($B689="STD. DEVIATION",$C$1=1),$A689,$A689+1),COLUMN('1-DATA'!AI687)),IF($B689="STD. DEVIATION",2,$F$1))))</f>
        <v/>
      </c>
      <c r="AK689" s="1" t="str">
        <f>IF(OR($B689="",AK$7=""),"",IF($B689="MEANS",INDEX('1-DATA'!$1:$1048576,$A688-1,COLUMN('1-DATA'!AJ687)),ROUND(INDEX('1-DATA'!$1:$1048576,IF(OR($B689="STD. DEVIATION",$C$1=1),$A689,$A689+1),COLUMN('1-DATA'!AJ687)),IF($B689="STD. DEVIATION",2,$F$1))))</f>
        <v/>
      </c>
      <c r="AL689" s="1" t="str">
        <f>IF(OR($B689="",AL$7=""),"",IF($B689="MEANS",INDEX('1-DATA'!$1:$1048576,$A688-1,COLUMN('1-DATA'!AK687)),ROUND(INDEX('1-DATA'!$1:$1048576,IF(OR($B689="STD. DEVIATION",$C$1=1),$A689,$A689+1),COLUMN('1-DATA'!AK687)),IF($B689="STD. DEVIATION",2,$F$1))))</f>
        <v/>
      </c>
      <c r="AM689" s="1" t="str">
        <f>IF(OR($B689="",AM$7=""),"",IF($B689="MEANS",INDEX('1-DATA'!$1:$1048576,$A688-1,COLUMN('1-DATA'!AL687)),ROUND(INDEX('1-DATA'!$1:$1048576,IF(OR($B689="STD. DEVIATION",$C$1=1),$A689,$A689+1),COLUMN('1-DATA'!AL687)),IF($B689="STD. DEVIATION",2,$F$1))))</f>
        <v/>
      </c>
      <c r="AN689" s="1" t="str">
        <f>IF(OR($B689="",AN$7=""),"",IF($B689="MEANS",INDEX('1-DATA'!$1:$1048576,$A688-1,COLUMN('1-DATA'!AM687)),ROUND(INDEX('1-DATA'!$1:$1048576,IF(OR($B689="STD. DEVIATION",$C$1=1),$A689,$A689+1),COLUMN('1-DATA'!AM687)),IF($B689="STD. DEVIATION",2,$F$1))))</f>
        <v/>
      </c>
      <c r="AO689" s="1" t="str">
        <f>IF(OR($B689="",AO$7=""),"",IF($B689="MEANS",INDEX('1-DATA'!$1:$1048576,$A688-1,COLUMN('1-DATA'!AN687)),ROUND(INDEX('1-DATA'!$1:$1048576,IF(OR($B689="STD. DEVIATION",$C$1=1),$A689,$A689+1),COLUMN('1-DATA'!AN687)),IF($B689="STD. DEVIATION",2,$F$1))))</f>
        <v/>
      </c>
      <c r="AP689" s="1" t="str">
        <f>IF(OR($B689="",AP$7=""),"",IF($B689="MEANS",INDEX('1-DATA'!$1:$1048576,$A688-1,COLUMN('1-DATA'!AO687)),ROUND(INDEX('1-DATA'!$1:$1048576,IF(OR($B689="STD. DEVIATION",$C$1=1),$A689,$A689+1),COLUMN('1-DATA'!AO687)),IF($B689="STD. DEVIATION",2,$F$1))))</f>
        <v/>
      </c>
      <c r="AQ689" s="1" t="str">
        <f>IF(OR($B689="",AQ$7=""),"",IF($B689="MEANS",INDEX('1-DATA'!$1:$1048576,$A688-1,COLUMN('1-DATA'!AP687)),ROUND(INDEX('1-DATA'!$1:$1048576,IF(OR($B689="STD. DEVIATION",$C$1=1),$A689,$A689+1),COLUMN('1-DATA'!AP687)),IF($B689="STD. DEVIATION",2,$F$1))))</f>
        <v/>
      </c>
      <c r="AR689" s="1" t="str">
        <f>IF(OR($B689="",AR$7=""),"",IF($B689="MEANS",INDEX('1-DATA'!$1:$1048576,$A688-1,COLUMN('1-DATA'!AQ687)),ROUND(INDEX('1-DATA'!$1:$1048576,IF(OR($B689="STD. DEVIATION",$C$1=1),$A689,$A689+1),COLUMN('1-DATA'!AQ687)),IF($B689="STD. DEVIATION",2,$F$1))))</f>
        <v/>
      </c>
      <c r="AS689" s="1" t="str">
        <f>IF(OR($B689="",AS$7=""),"",IF($B689="MEANS",INDEX('1-DATA'!$1:$1048576,$A688-1,COLUMN('1-DATA'!AR687)),ROUND(INDEX('1-DATA'!$1:$1048576,IF(OR($B689="STD. DEVIATION",$C$1=1),$A689,$A689+1),COLUMN('1-DATA'!AR687)),IF($B689="STD. DEVIATION",2,$F$1))))</f>
        <v/>
      </c>
      <c r="AT689" s="1" t="str">
        <f>IF(OR($B689="",AT$7=""),"",IF($B689="MEANS",INDEX('1-DATA'!$1:$1048576,$A688-1,COLUMN('1-DATA'!AS687)),ROUND(INDEX('1-DATA'!$1:$1048576,IF(OR($B689="STD. DEVIATION",$C$1=1),$A689,$A689+1),COLUMN('1-DATA'!AS687)),IF($B689="STD. DEVIATION",2,$F$1))))</f>
        <v/>
      </c>
      <c r="AU689" s="1" t="str">
        <f>IF(OR($B689="",AU$7=""),"",IF($B689="MEANS",INDEX('1-DATA'!$1:$1048576,$A688-1,COLUMN('1-DATA'!AT687)),ROUND(INDEX('1-DATA'!$1:$1048576,IF(OR($B689="STD. DEVIATION",$C$1=1),$A689,$A689+1),COLUMN('1-DATA'!AT687)),IF($B689="STD. DEVIATION",2,$F$1))))</f>
        <v/>
      </c>
      <c r="AV689" s="1" t="str">
        <f>IF(OR($B689="",AV$7=""),"",IF($B689="MEANS",INDEX('1-DATA'!$1:$1048576,$A688-1,COLUMN('1-DATA'!AU687)),ROUND(INDEX('1-DATA'!$1:$1048576,IF(OR($B689="STD. DEVIATION",$C$1=1),$A689,$A689+1),COLUMN('1-DATA'!AU687)),IF($B689="STD. DEVIATION",2,$F$1))))</f>
        <v/>
      </c>
      <c r="AW689" s="1" t="str">
        <f>IF(OR($B689="",AW$7=""),"",IF($B689="MEANS",INDEX('1-DATA'!$1:$1048576,$A688-1,COLUMN('1-DATA'!AV687)),ROUND(INDEX('1-DATA'!$1:$1048576,IF(OR($B689="STD. DEVIATION",$C$1=1),$A689,$A689+1),COLUMN('1-DATA'!AV687)),IF($B689="STD. DEVIATION",2,$F$1))))</f>
        <v/>
      </c>
      <c r="AX689" s="1" t="str">
        <f>IF(OR($B689="",AX$7=""),"",IF($B689="MEANS",INDEX('1-DATA'!$1:$1048576,$A688-1,COLUMN('1-DATA'!AW687)),ROUND(INDEX('1-DATA'!$1:$1048576,IF(OR($B689="STD. DEVIATION",$C$1=1),$A689,$A689+1),COLUMN('1-DATA'!AW687)),IF($B689="STD. DEVIATION",2,$F$1))))</f>
        <v/>
      </c>
      <c r="AY689" s="1" t="str">
        <f>IF(OR($B689="",AY$7=""),"",IF($B689="MEANS",INDEX('1-DATA'!$1:$1048576,$A688-1,COLUMN('1-DATA'!AX687)),ROUND(INDEX('1-DATA'!$1:$1048576,IF(OR($B689="STD. DEVIATION",$C$1=1),$A689,$A689+1),COLUMN('1-DATA'!AX687)),IF($B689="STD. DEVIATION",2,$F$1))))</f>
        <v/>
      </c>
      <c r="AZ689" s="1" t="str">
        <f>IF(OR($B689="",AZ$7=""),"",IF($B689="MEANS",INDEX('1-DATA'!$1:$1048576,$A688-1,COLUMN('1-DATA'!AY687)),ROUND(INDEX('1-DATA'!$1:$1048576,IF(OR($B689="STD. DEVIATION",$C$1=1),$A689,$A689+1),COLUMN('1-DATA'!AY687)),IF($B689="STD. DEVIATION",2,$F$1))))</f>
        <v/>
      </c>
    </row>
    <row r="690" spans="1:52" x14ac:dyDescent="0.25">
      <c r="A690" s="11">
        <f t="shared" si="11"/>
        <v>2056</v>
      </c>
      <c r="B690" s="1" t="str">
        <f>IF(B689="STD. DEVIATION",INDEX('1-DATA'!$1:$1048576,$A689-1,1),IF(INDEX('1-DATA'!$1:$1048576,$A690,1)&lt;&gt;"",INDEX('1-DATA'!$1:$1048576,$A690,1),""))</f>
        <v/>
      </c>
      <c r="C690" s="1" t="str">
        <f>IF(OR($B690="",C$7=""),"",IF($B690="MEANS",INDEX('1-DATA'!$1:$1048576,$A689-1,COLUMN('1-DATA'!B688)),ROUND(INDEX('1-DATA'!$1:$1048576,IF(OR($B690="STD. DEVIATION",$C$1=1),$A690,$A690+1),COLUMN('1-DATA'!B688)),IF($B690="STD. DEVIATION",2,$F$1))))</f>
        <v/>
      </c>
      <c r="D690" s="1" t="str">
        <f>IF(OR($B690="",D$7=""),"",IF($B690="MEANS",INDEX('1-DATA'!$1:$1048576,$A689-1,COLUMN('1-DATA'!C688)),ROUND(INDEX('1-DATA'!$1:$1048576,IF(OR($B690="STD. DEVIATION",$C$1=1),$A690,$A690+1),COLUMN('1-DATA'!C688)),IF($B690="STD. DEVIATION",2,$F$1))))</f>
        <v/>
      </c>
      <c r="E690" s="1" t="str">
        <f>IF(OR($B690="",E$7=""),"",IF($B690="MEANS",INDEX('1-DATA'!$1:$1048576,$A689-1,COLUMN('1-DATA'!D688)),ROUND(INDEX('1-DATA'!$1:$1048576,IF(OR($B690="STD. DEVIATION",$C$1=1),$A690,$A690+1),COLUMN('1-DATA'!D688)),IF($B690="STD. DEVIATION",2,$F$1))))</f>
        <v/>
      </c>
      <c r="F690" s="1" t="str">
        <f>IF(OR($B690="",F$7=""),"",IF($B690="MEANS",INDEX('1-DATA'!$1:$1048576,$A689-1,COLUMN('1-DATA'!E688)),ROUND(INDEX('1-DATA'!$1:$1048576,IF(OR($B690="STD. DEVIATION",$C$1=1),$A690,$A690+1),COLUMN('1-DATA'!E688)),IF($B690="STD. DEVIATION",2,$F$1))))</f>
        <v/>
      </c>
      <c r="G690" s="1" t="str">
        <f>IF(OR($B690="",G$7=""),"",IF($B690="MEANS",INDEX('1-DATA'!$1:$1048576,$A689-1,COLUMN('1-DATA'!F688)),ROUND(INDEX('1-DATA'!$1:$1048576,IF(OR($B690="STD. DEVIATION",$C$1=1),$A690,$A690+1),COLUMN('1-DATA'!F688)),IF($B690="STD. DEVIATION",2,$F$1))))</f>
        <v/>
      </c>
      <c r="H690" s="1" t="str">
        <f>IF(OR($B690="",H$7=""),"",IF($B690="MEANS",INDEX('1-DATA'!$1:$1048576,$A689-1,COLUMN('1-DATA'!G688)),ROUND(INDEX('1-DATA'!$1:$1048576,IF(OR($B690="STD. DEVIATION",$C$1=1),$A690,$A690+1),COLUMN('1-DATA'!G688)),IF($B690="STD. DEVIATION",2,$F$1))))</f>
        <v/>
      </c>
      <c r="I690" s="1" t="str">
        <f>IF(OR($B690="",I$7=""),"",IF($B690="MEANS",INDEX('1-DATA'!$1:$1048576,$A689-1,COLUMN('1-DATA'!H688)),ROUND(INDEX('1-DATA'!$1:$1048576,IF(OR($B690="STD. DEVIATION",$C$1=1),$A690,$A690+1),COLUMN('1-DATA'!H688)),IF($B690="STD. DEVIATION",2,$F$1))))</f>
        <v/>
      </c>
      <c r="J690" s="1" t="str">
        <f>IF(OR($B690="",J$7=""),"",IF($B690="MEANS",INDEX('1-DATA'!$1:$1048576,$A689-1,COLUMN('1-DATA'!I688)),ROUND(INDEX('1-DATA'!$1:$1048576,IF(OR($B690="STD. DEVIATION",$C$1=1),$A690,$A690+1),COLUMN('1-DATA'!I688)),IF($B690="STD. DEVIATION",2,$F$1))))</f>
        <v/>
      </c>
      <c r="K690" s="1" t="str">
        <f>IF(OR($B690="",K$7=""),"",IF($B690="MEANS",INDEX('1-DATA'!$1:$1048576,$A689-1,COLUMN('1-DATA'!J688)),ROUND(INDEX('1-DATA'!$1:$1048576,IF(OR($B690="STD. DEVIATION",$C$1=1),$A690,$A690+1),COLUMN('1-DATA'!J688)),IF($B690="STD. DEVIATION",2,$F$1))))</f>
        <v/>
      </c>
      <c r="L690" s="1" t="str">
        <f>IF(OR($B690="",L$7=""),"",IF($B690="MEANS",INDEX('1-DATA'!$1:$1048576,$A689-1,COLUMN('1-DATA'!K688)),ROUND(INDEX('1-DATA'!$1:$1048576,IF(OR($B690="STD. DEVIATION",$C$1=1),$A690,$A690+1),COLUMN('1-DATA'!K688)),IF($B690="STD. DEVIATION",2,$F$1))))</f>
        <v/>
      </c>
      <c r="M690" s="1" t="str">
        <f>IF(OR($B690="",M$7=""),"",IF($B690="MEANS",INDEX('1-DATA'!$1:$1048576,$A689-1,COLUMN('1-DATA'!L688)),ROUND(INDEX('1-DATA'!$1:$1048576,IF(OR($B690="STD. DEVIATION",$C$1=1),$A690,$A690+1),COLUMN('1-DATA'!L688)),IF($B690="STD. DEVIATION",2,$F$1))))</f>
        <v/>
      </c>
      <c r="N690" s="1" t="str">
        <f>IF(OR($B690="",N$7=""),"",IF($B690="MEANS",INDEX('1-DATA'!$1:$1048576,$A689-1,COLUMN('1-DATA'!M688)),ROUND(INDEX('1-DATA'!$1:$1048576,IF(OR($B690="STD. DEVIATION",$C$1=1),$A690,$A690+1),COLUMN('1-DATA'!M688)),IF($B690="STD. DEVIATION",2,$F$1))))</f>
        <v/>
      </c>
      <c r="O690" s="1" t="str">
        <f>IF(OR($B690="",O$7=""),"",IF($B690="MEANS",INDEX('1-DATA'!$1:$1048576,$A689-1,COLUMN('1-DATA'!N688)),ROUND(INDEX('1-DATA'!$1:$1048576,IF(OR($B690="STD. DEVIATION",$C$1=1),$A690,$A690+1),COLUMN('1-DATA'!N688)),IF($B690="STD. DEVIATION",2,$F$1))))</f>
        <v/>
      </c>
      <c r="P690" s="1" t="str">
        <f>IF(OR($B690="",P$7=""),"",IF($B690="MEANS",INDEX('1-DATA'!$1:$1048576,$A689-1,COLUMN('1-DATA'!O688)),ROUND(INDEX('1-DATA'!$1:$1048576,IF(OR($B690="STD. DEVIATION",$C$1=1),$A690,$A690+1),COLUMN('1-DATA'!O688)),IF($B690="STD. DEVIATION",2,$F$1))))</f>
        <v/>
      </c>
      <c r="Q690" s="1" t="str">
        <f>IF(OR($B690="",Q$7=""),"",IF($B690="MEANS",INDEX('1-DATA'!$1:$1048576,$A689-1,COLUMN('1-DATA'!P688)),ROUND(INDEX('1-DATA'!$1:$1048576,IF(OR($B690="STD. DEVIATION",$C$1=1),$A690,$A690+1),COLUMN('1-DATA'!P688)),IF($B690="STD. DEVIATION",2,$F$1))))</f>
        <v/>
      </c>
      <c r="R690" s="1" t="str">
        <f>IF(OR($B690="",R$7=""),"",IF($B690="MEANS",INDEX('1-DATA'!$1:$1048576,$A689-1,COLUMN('1-DATA'!Q688)),ROUND(INDEX('1-DATA'!$1:$1048576,IF(OR($B690="STD. DEVIATION",$C$1=1),$A690,$A690+1),COLUMN('1-DATA'!Q688)),IF($B690="STD. DEVIATION",2,$F$1))))</f>
        <v/>
      </c>
      <c r="S690" s="1" t="str">
        <f>IF(OR($B690="",S$7=""),"",IF($B690="MEANS",INDEX('1-DATA'!$1:$1048576,$A689-1,COLUMN('1-DATA'!R688)),ROUND(INDEX('1-DATA'!$1:$1048576,IF(OR($B690="STD. DEVIATION",$C$1=1),$A690,$A690+1),COLUMN('1-DATA'!R688)),IF($B690="STD. DEVIATION",2,$F$1))))</f>
        <v/>
      </c>
      <c r="T690" s="1" t="str">
        <f>IF(OR($B690="",T$7=""),"",IF($B690="MEANS",INDEX('1-DATA'!$1:$1048576,$A689-1,COLUMN('1-DATA'!S688)),ROUND(INDEX('1-DATA'!$1:$1048576,IF(OR($B690="STD. DEVIATION",$C$1=1),$A690,$A690+1),COLUMN('1-DATA'!S688)),IF($B690="STD. DEVIATION",2,$F$1))))</f>
        <v/>
      </c>
      <c r="U690" s="1" t="str">
        <f>IF(OR($B690="",U$7=""),"",IF($B690="MEANS",INDEX('1-DATA'!$1:$1048576,$A689-1,COLUMN('1-DATA'!T688)),ROUND(INDEX('1-DATA'!$1:$1048576,IF(OR($B690="STD. DEVIATION",$C$1=1),$A690,$A690+1),COLUMN('1-DATA'!T688)),IF($B690="STD. DEVIATION",2,$F$1))))</f>
        <v/>
      </c>
      <c r="V690" s="1" t="str">
        <f>IF(OR($B690="",V$7=""),"",IF($B690="MEANS",INDEX('1-DATA'!$1:$1048576,$A689-1,COLUMN('1-DATA'!U688)),ROUND(INDEX('1-DATA'!$1:$1048576,IF(OR($B690="STD. DEVIATION",$C$1=1),$A690,$A690+1),COLUMN('1-DATA'!U688)),IF($B690="STD. DEVIATION",2,$F$1))))</f>
        <v/>
      </c>
      <c r="W690" s="1" t="str">
        <f>IF(OR($B690="",W$7=""),"",IF($B690="MEANS",INDEX('1-DATA'!$1:$1048576,$A689-1,COLUMN('1-DATA'!V688)),ROUND(INDEX('1-DATA'!$1:$1048576,IF(OR($B690="STD. DEVIATION",$C$1=1),$A690,$A690+1),COLUMN('1-DATA'!V688)),IF($B690="STD. DEVIATION",2,$F$1))))</f>
        <v/>
      </c>
      <c r="X690" s="1" t="str">
        <f>IF(OR($B690="",X$7=""),"",IF($B690="MEANS",INDEX('1-DATA'!$1:$1048576,$A689-1,COLUMN('1-DATA'!W688)),ROUND(INDEX('1-DATA'!$1:$1048576,IF(OR($B690="STD. DEVIATION",$C$1=1),$A690,$A690+1),COLUMN('1-DATA'!W688)),IF($B690="STD. DEVIATION",2,$F$1))))</f>
        <v/>
      </c>
      <c r="Y690" s="1" t="str">
        <f>IF(OR($B690="",Y$7=""),"",IF($B690="MEANS",INDEX('1-DATA'!$1:$1048576,$A689-1,COLUMN('1-DATA'!X688)),ROUND(INDEX('1-DATA'!$1:$1048576,IF(OR($B690="STD. DEVIATION",$C$1=1),$A690,$A690+1),COLUMN('1-DATA'!X688)),IF($B690="STD. DEVIATION",2,$F$1))))</f>
        <v/>
      </c>
      <c r="Z690" s="1" t="str">
        <f>IF(OR($B690="",Z$7=""),"",IF($B690="MEANS",INDEX('1-DATA'!$1:$1048576,$A689-1,COLUMN('1-DATA'!Y688)),ROUND(INDEX('1-DATA'!$1:$1048576,IF(OR($B690="STD. DEVIATION",$C$1=1),$A690,$A690+1),COLUMN('1-DATA'!Y688)),IF($B690="STD. DEVIATION",2,$F$1))))</f>
        <v/>
      </c>
      <c r="AA690" s="1" t="str">
        <f>IF(OR($B690="",AA$7=""),"",IF($B690="MEANS",INDEX('1-DATA'!$1:$1048576,$A689-1,COLUMN('1-DATA'!Z688)),ROUND(INDEX('1-DATA'!$1:$1048576,IF(OR($B690="STD. DEVIATION",$C$1=1),$A690,$A690+1),COLUMN('1-DATA'!Z688)),IF($B690="STD. DEVIATION",2,$F$1))))</f>
        <v/>
      </c>
      <c r="AB690" s="1" t="str">
        <f>IF(OR($B690="",AB$7=""),"",IF($B690="MEANS",INDEX('1-DATA'!$1:$1048576,$A689-1,COLUMN('1-DATA'!AA688)),ROUND(INDEX('1-DATA'!$1:$1048576,IF(OR($B690="STD. DEVIATION",$C$1=1),$A690,$A690+1),COLUMN('1-DATA'!AA688)),IF($B690="STD. DEVIATION",2,$F$1))))</f>
        <v/>
      </c>
      <c r="AC690" s="1" t="str">
        <f>IF(OR($B690="",AC$7=""),"",IF($B690="MEANS",INDEX('1-DATA'!$1:$1048576,$A689-1,COLUMN('1-DATA'!AB688)),ROUND(INDEX('1-DATA'!$1:$1048576,IF(OR($B690="STD. DEVIATION",$C$1=1),$A690,$A690+1),COLUMN('1-DATA'!AB688)),IF($B690="STD. DEVIATION",2,$F$1))))</f>
        <v/>
      </c>
      <c r="AD690" s="1" t="str">
        <f>IF(OR($B690="",AD$7=""),"",IF($B690="MEANS",INDEX('1-DATA'!$1:$1048576,$A689-1,COLUMN('1-DATA'!AC688)),ROUND(INDEX('1-DATA'!$1:$1048576,IF(OR($B690="STD. DEVIATION",$C$1=1),$A690,$A690+1),COLUMN('1-DATA'!AC688)),IF($B690="STD. DEVIATION",2,$F$1))))</f>
        <v/>
      </c>
      <c r="AE690" s="1" t="str">
        <f>IF(OR($B690="",AE$7=""),"",IF($B690="MEANS",INDEX('1-DATA'!$1:$1048576,$A689-1,COLUMN('1-DATA'!AD688)),ROUND(INDEX('1-DATA'!$1:$1048576,IF(OR($B690="STD. DEVIATION",$C$1=1),$A690,$A690+1),COLUMN('1-DATA'!AD688)),IF($B690="STD. DEVIATION",2,$F$1))))</f>
        <v/>
      </c>
      <c r="AF690" s="1" t="str">
        <f>IF(OR($B690="",AF$7=""),"",IF($B690="MEANS",INDEX('1-DATA'!$1:$1048576,$A689-1,COLUMN('1-DATA'!AE688)),ROUND(INDEX('1-DATA'!$1:$1048576,IF(OR($B690="STD. DEVIATION",$C$1=1),$A690,$A690+1),COLUMN('1-DATA'!AE688)),IF($B690="STD. DEVIATION",2,$F$1))))</f>
        <v/>
      </c>
      <c r="AG690" s="1" t="str">
        <f>IF(OR($B690="",AG$7=""),"",IF($B690="MEANS",INDEX('1-DATA'!$1:$1048576,$A689-1,COLUMN('1-DATA'!AF688)),ROUND(INDEX('1-DATA'!$1:$1048576,IF(OR($B690="STD. DEVIATION",$C$1=1),$A690,$A690+1),COLUMN('1-DATA'!AF688)),IF($B690="STD. DEVIATION",2,$F$1))))</f>
        <v/>
      </c>
      <c r="AH690" s="1" t="str">
        <f>IF(OR($B690="",AH$7=""),"",IF($B690="MEANS",INDEX('1-DATA'!$1:$1048576,$A689-1,COLUMN('1-DATA'!AG688)),ROUND(INDEX('1-DATA'!$1:$1048576,IF(OR($B690="STD. DEVIATION",$C$1=1),$A690,$A690+1),COLUMN('1-DATA'!AG688)),IF($B690="STD. DEVIATION",2,$F$1))))</f>
        <v/>
      </c>
      <c r="AI690" s="1" t="str">
        <f>IF(OR($B690="",AI$7=""),"",IF($B690="MEANS",INDEX('1-DATA'!$1:$1048576,$A689-1,COLUMN('1-DATA'!AH688)),ROUND(INDEX('1-DATA'!$1:$1048576,IF(OR($B690="STD. DEVIATION",$C$1=1),$A690,$A690+1),COLUMN('1-DATA'!AH688)),IF($B690="STD. DEVIATION",2,$F$1))))</f>
        <v/>
      </c>
      <c r="AJ690" s="1" t="str">
        <f>IF(OR($B690="",AJ$7=""),"",IF($B690="MEANS",INDEX('1-DATA'!$1:$1048576,$A689-1,COLUMN('1-DATA'!AI688)),ROUND(INDEX('1-DATA'!$1:$1048576,IF(OR($B690="STD. DEVIATION",$C$1=1),$A690,$A690+1),COLUMN('1-DATA'!AI688)),IF($B690="STD. DEVIATION",2,$F$1))))</f>
        <v/>
      </c>
      <c r="AK690" s="1" t="str">
        <f>IF(OR($B690="",AK$7=""),"",IF($B690="MEANS",INDEX('1-DATA'!$1:$1048576,$A689-1,COLUMN('1-DATA'!AJ688)),ROUND(INDEX('1-DATA'!$1:$1048576,IF(OR($B690="STD. DEVIATION",$C$1=1),$A690,$A690+1),COLUMN('1-DATA'!AJ688)),IF($B690="STD. DEVIATION",2,$F$1))))</f>
        <v/>
      </c>
      <c r="AL690" s="1" t="str">
        <f>IF(OR($B690="",AL$7=""),"",IF($B690="MEANS",INDEX('1-DATA'!$1:$1048576,$A689-1,COLUMN('1-DATA'!AK688)),ROUND(INDEX('1-DATA'!$1:$1048576,IF(OR($B690="STD. DEVIATION",$C$1=1),$A690,$A690+1),COLUMN('1-DATA'!AK688)),IF($B690="STD. DEVIATION",2,$F$1))))</f>
        <v/>
      </c>
      <c r="AM690" s="1" t="str">
        <f>IF(OR($B690="",AM$7=""),"",IF($B690="MEANS",INDEX('1-DATA'!$1:$1048576,$A689-1,COLUMN('1-DATA'!AL688)),ROUND(INDEX('1-DATA'!$1:$1048576,IF(OR($B690="STD. DEVIATION",$C$1=1),$A690,$A690+1),COLUMN('1-DATA'!AL688)),IF($B690="STD. DEVIATION",2,$F$1))))</f>
        <v/>
      </c>
      <c r="AN690" s="1" t="str">
        <f>IF(OR($B690="",AN$7=""),"",IF($B690="MEANS",INDEX('1-DATA'!$1:$1048576,$A689-1,COLUMN('1-DATA'!AM688)),ROUND(INDEX('1-DATA'!$1:$1048576,IF(OR($B690="STD. DEVIATION",$C$1=1),$A690,$A690+1),COLUMN('1-DATA'!AM688)),IF($B690="STD. DEVIATION",2,$F$1))))</f>
        <v/>
      </c>
      <c r="AO690" s="1" t="str">
        <f>IF(OR($B690="",AO$7=""),"",IF($B690="MEANS",INDEX('1-DATA'!$1:$1048576,$A689-1,COLUMN('1-DATA'!AN688)),ROUND(INDEX('1-DATA'!$1:$1048576,IF(OR($B690="STD. DEVIATION",$C$1=1),$A690,$A690+1),COLUMN('1-DATA'!AN688)),IF($B690="STD. DEVIATION",2,$F$1))))</f>
        <v/>
      </c>
      <c r="AP690" s="1" t="str">
        <f>IF(OR($B690="",AP$7=""),"",IF($B690="MEANS",INDEX('1-DATA'!$1:$1048576,$A689-1,COLUMN('1-DATA'!AO688)),ROUND(INDEX('1-DATA'!$1:$1048576,IF(OR($B690="STD. DEVIATION",$C$1=1),$A690,$A690+1),COLUMN('1-DATA'!AO688)),IF($B690="STD. DEVIATION",2,$F$1))))</f>
        <v/>
      </c>
      <c r="AQ690" s="1" t="str">
        <f>IF(OR($B690="",AQ$7=""),"",IF($B690="MEANS",INDEX('1-DATA'!$1:$1048576,$A689-1,COLUMN('1-DATA'!AP688)),ROUND(INDEX('1-DATA'!$1:$1048576,IF(OR($B690="STD. DEVIATION",$C$1=1),$A690,$A690+1),COLUMN('1-DATA'!AP688)),IF($B690="STD. DEVIATION",2,$F$1))))</f>
        <v/>
      </c>
      <c r="AR690" s="1" t="str">
        <f>IF(OR($B690="",AR$7=""),"",IF($B690="MEANS",INDEX('1-DATA'!$1:$1048576,$A689-1,COLUMN('1-DATA'!AQ688)),ROUND(INDEX('1-DATA'!$1:$1048576,IF(OR($B690="STD. DEVIATION",$C$1=1),$A690,$A690+1),COLUMN('1-DATA'!AQ688)),IF($B690="STD. DEVIATION",2,$F$1))))</f>
        <v/>
      </c>
      <c r="AS690" s="1" t="str">
        <f>IF(OR($B690="",AS$7=""),"",IF($B690="MEANS",INDEX('1-DATA'!$1:$1048576,$A689-1,COLUMN('1-DATA'!AR688)),ROUND(INDEX('1-DATA'!$1:$1048576,IF(OR($B690="STD. DEVIATION",$C$1=1),$A690,$A690+1),COLUMN('1-DATA'!AR688)),IF($B690="STD. DEVIATION",2,$F$1))))</f>
        <v/>
      </c>
      <c r="AT690" s="1" t="str">
        <f>IF(OR($B690="",AT$7=""),"",IF($B690="MEANS",INDEX('1-DATA'!$1:$1048576,$A689-1,COLUMN('1-DATA'!AS688)),ROUND(INDEX('1-DATA'!$1:$1048576,IF(OR($B690="STD. DEVIATION",$C$1=1),$A690,$A690+1),COLUMN('1-DATA'!AS688)),IF($B690="STD. DEVIATION",2,$F$1))))</f>
        <v/>
      </c>
      <c r="AU690" s="1" t="str">
        <f>IF(OR($B690="",AU$7=""),"",IF($B690="MEANS",INDEX('1-DATA'!$1:$1048576,$A689-1,COLUMN('1-DATA'!AT688)),ROUND(INDEX('1-DATA'!$1:$1048576,IF(OR($B690="STD. DEVIATION",$C$1=1),$A690,$A690+1),COLUMN('1-DATA'!AT688)),IF($B690="STD. DEVIATION",2,$F$1))))</f>
        <v/>
      </c>
      <c r="AV690" s="1" t="str">
        <f>IF(OR($B690="",AV$7=""),"",IF($B690="MEANS",INDEX('1-DATA'!$1:$1048576,$A689-1,COLUMN('1-DATA'!AU688)),ROUND(INDEX('1-DATA'!$1:$1048576,IF(OR($B690="STD. DEVIATION",$C$1=1),$A690,$A690+1),COLUMN('1-DATA'!AU688)),IF($B690="STD. DEVIATION",2,$F$1))))</f>
        <v/>
      </c>
      <c r="AW690" s="1" t="str">
        <f>IF(OR($B690="",AW$7=""),"",IF($B690="MEANS",INDEX('1-DATA'!$1:$1048576,$A689-1,COLUMN('1-DATA'!AV688)),ROUND(INDEX('1-DATA'!$1:$1048576,IF(OR($B690="STD. DEVIATION",$C$1=1),$A690,$A690+1),COLUMN('1-DATA'!AV688)),IF($B690="STD. DEVIATION",2,$F$1))))</f>
        <v/>
      </c>
      <c r="AX690" s="1" t="str">
        <f>IF(OR($B690="",AX$7=""),"",IF($B690="MEANS",INDEX('1-DATA'!$1:$1048576,$A689-1,COLUMN('1-DATA'!AW688)),ROUND(INDEX('1-DATA'!$1:$1048576,IF(OR($B690="STD. DEVIATION",$C$1=1),$A690,$A690+1),COLUMN('1-DATA'!AW688)),IF($B690="STD. DEVIATION",2,$F$1))))</f>
        <v/>
      </c>
      <c r="AY690" s="1" t="str">
        <f>IF(OR($B690="",AY$7=""),"",IF($B690="MEANS",INDEX('1-DATA'!$1:$1048576,$A689-1,COLUMN('1-DATA'!AX688)),ROUND(INDEX('1-DATA'!$1:$1048576,IF(OR($B690="STD. DEVIATION",$C$1=1),$A690,$A690+1),COLUMN('1-DATA'!AX688)),IF($B690="STD. DEVIATION",2,$F$1))))</f>
        <v/>
      </c>
      <c r="AZ690" s="1" t="str">
        <f>IF(OR($B690="",AZ$7=""),"",IF($B690="MEANS",INDEX('1-DATA'!$1:$1048576,$A689-1,COLUMN('1-DATA'!AY688)),ROUND(INDEX('1-DATA'!$1:$1048576,IF(OR($B690="STD. DEVIATION",$C$1=1),$A690,$A690+1),COLUMN('1-DATA'!AY688)),IF($B690="STD. DEVIATION",2,$F$1))))</f>
        <v/>
      </c>
    </row>
    <row r="691" spans="1:52" x14ac:dyDescent="0.25">
      <c r="A691" s="11">
        <f t="shared" si="11"/>
        <v>2059</v>
      </c>
      <c r="B691" s="1" t="str">
        <f>IF(B690="STD. DEVIATION",INDEX('1-DATA'!$1:$1048576,$A690-1,1),IF(INDEX('1-DATA'!$1:$1048576,$A691,1)&lt;&gt;"",INDEX('1-DATA'!$1:$1048576,$A691,1),""))</f>
        <v/>
      </c>
      <c r="C691" s="1" t="str">
        <f>IF(OR($B691="",C$7=""),"",IF($B691="MEANS",INDEX('1-DATA'!$1:$1048576,$A690-1,COLUMN('1-DATA'!B689)),ROUND(INDEX('1-DATA'!$1:$1048576,IF(OR($B691="STD. DEVIATION",$C$1=1),$A691,$A691+1),COLUMN('1-DATA'!B689)),IF($B691="STD. DEVIATION",2,$F$1))))</f>
        <v/>
      </c>
      <c r="D691" s="1" t="str">
        <f>IF(OR($B691="",D$7=""),"",IF($B691="MEANS",INDEX('1-DATA'!$1:$1048576,$A690-1,COLUMN('1-DATA'!C689)),ROUND(INDEX('1-DATA'!$1:$1048576,IF(OR($B691="STD. DEVIATION",$C$1=1),$A691,$A691+1),COLUMN('1-DATA'!C689)),IF($B691="STD. DEVIATION",2,$F$1))))</f>
        <v/>
      </c>
      <c r="E691" s="1" t="str">
        <f>IF(OR($B691="",E$7=""),"",IF($B691="MEANS",INDEX('1-DATA'!$1:$1048576,$A690-1,COLUMN('1-DATA'!D689)),ROUND(INDEX('1-DATA'!$1:$1048576,IF(OR($B691="STD. DEVIATION",$C$1=1),$A691,$A691+1),COLUMN('1-DATA'!D689)),IF($B691="STD. DEVIATION",2,$F$1))))</f>
        <v/>
      </c>
      <c r="F691" s="1" t="str">
        <f>IF(OR($B691="",F$7=""),"",IF($B691="MEANS",INDEX('1-DATA'!$1:$1048576,$A690-1,COLUMN('1-DATA'!E689)),ROUND(INDEX('1-DATA'!$1:$1048576,IF(OR($B691="STD. DEVIATION",$C$1=1),$A691,$A691+1),COLUMN('1-DATA'!E689)),IF($B691="STD. DEVIATION",2,$F$1))))</f>
        <v/>
      </c>
      <c r="G691" s="1" t="str">
        <f>IF(OR($B691="",G$7=""),"",IF($B691="MEANS",INDEX('1-DATA'!$1:$1048576,$A690-1,COLUMN('1-DATA'!F689)),ROUND(INDEX('1-DATA'!$1:$1048576,IF(OR($B691="STD. DEVIATION",$C$1=1),$A691,$A691+1),COLUMN('1-DATA'!F689)),IF($B691="STD. DEVIATION",2,$F$1))))</f>
        <v/>
      </c>
      <c r="H691" s="1" t="str">
        <f>IF(OR($B691="",H$7=""),"",IF($B691="MEANS",INDEX('1-DATA'!$1:$1048576,$A690-1,COLUMN('1-DATA'!G689)),ROUND(INDEX('1-DATA'!$1:$1048576,IF(OR($B691="STD. DEVIATION",$C$1=1),$A691,$A691+1),COLUMN('1-DATA'!G689)),IF($B691="STD. DEVIATION",2,$F$1))))</f>
        <v/>
      </c>
      <c r="I691" s="1" t="str">
        <f>IF(OR($B691="",I$7=""),"",IF($B691="MEANS",INDEX('1-DATA'!$1:$1048576,$A690-1,COLUMN('1-DATA'!H689)),ROUND(INDEX('1-DATA'!$1:$1048576,IF(OR($B691="STD. DEVIATION",$C$1=1),$A691,$A691+1),COLUMN('1-DATA'!H689)),IF($B691="STD. DEVIATION",2,$F$1))))</f>
        <v/>
      </c>
      <c r="J691" s="1" t="str">
        <f>IF(OR($B691="",J$7=""),"",IF($B691="MEANS",INDEX('1-DATA'!$1:$1048576,$A690-1,COLUMN('1-DATA'!I689)),ROUND(INDEX('1-DATA'!$1:$1048576,IF(OR($B691="STD. DEVIATION",$C$1=1),$A691,$A691+1),COLUMN('1-DATA'!I689)),IF($B691="STD. DEVIATION",2,$F$1))))</f>
        <v/>
      </c>
      <c r="K691" s="1" t="str">
        <f>IF(OR($B691="",K$7=""),"",IF($B691="MEANS",INDEX('1-DATA'!$1:$1048576,$A690-1,COLUMN('1-DATA'!J689)),ROUND(INDEX('1-DATA'!$1:$1048576,IF(OR($B691="STD. DEVIATION",$C$1=1),$A691,$A691+1),COLUMN('1-DATA'!J689)),IF($B691="STD. DEVIATION",2,$F$1))))</f>
        <v/>
      </c>
      <c r="L691" s="1" t="str">
        <f>IF(OR($B691="",L$7=""),"",IF($B691="MEANS",INDEX('1-DATA'!$1:$1048576,$A690-1,COLUMN('1-DATA'!K689)),ROUND(INDEX('1-DATA'!$1:$1048576,IF(OR($B691="STD. DEVIATION",$C$1=1),$A691,$A691+1),COLUMN('1-DATA'!K689)),IF($B691="STD. DEVIATION",2,$F$1))))</f>
        <v/>
      </c>
      <c r="M691" s="1" t="str">
        <f>IF(OR($B691="",M$7=""),"",IF($B691="MEANS",INDEX('1-DATA'!$1:$1048576,$A690-1,COLUMN('1-DATA'!L689)),ROUND(INDEX('1-DATA'!$1:$1048576,IF(OR($B691="STD. DEVIATION",$C$1=1),$A691,$A691+1),COLUMN('1-DATA'!L689)),IF($B691="STD. DEVIATION",2,$F$1))))</f>
        <v/>
      </c>
      <c r="N691" s="1" t="str">
        <f>IF(OR($B691="",N$7=""),"",IF($B691="MEANS",INDEX('1-DATA'!$1:$1048576,$A690-1,COLUMN('1-DATA'!M689)),ROUND(INDEX('1-DATA'!$1:$1048576,IF(OR($B691="STD. DEVIATION",$C$1=1),$A691,$A691+1),COLUMN('1-DATA'!M689)),IF($B691="STD. DEVIATION",2,$F$1))))</f>
        <v/>
      </c>
      <c r="O691" s="1" t="str">
        <f>IF(OR($B691="",O$7=""),"",IF($B691="MEANS",INDEX('1-DATA'!$1:$1048576,$A690-1,COLUMN('1-DATA'!N689)),ROUND(INDEX('1-DATA'!$1:$1048576,IF(OR($B691="STD. DEVIATION",$C$1=1),$A691,$A691+1),COLUMN('1-DATA'!N689)),IF($B691="STD. DEVIATION",2,$F$1))))</f>
        <v/>
      </c>
      <c r="P691" s="1" t="str">
        <f>IF(OR($B691="",P$7=""),"",IF($B691="MEANS",INDEX('1-DATA'!$1:$1048576,$A690-1,COLUMN('1-DATA'!O689)),ROUND(INDEX('1-DATA'!$1:$1048576,IF(OR($B691="STD. DEVIATION",$C$1=1),$A691,$A691+1),COLUMN('1-DATA'!O689)),IF($B691="STD. DEVIATION",2,$F$1))))</f>
        <v/>
      </c>
      <c r="Q691" s="1" t="str">
        <f>IF(OR($B691="",Q$7=""),"",IF($B691="MEANS",INDEX('1-DATA'!$1:$1048576,$A690-1,COLUMN('1-DATA'!P689)),ROUND(INDEX('1-DATA'!$1:$1048576,IF(OR($B691="STD. DEVIATION",$C$1=1),$A691,$A691+1),COLUMN('1-DATA'!P689)),IF($B691="STD. DEVIATION",2,$F$1))))</f>
        <v/>
      </c>
      <c r="R691" s="1" t="str">
        <f>IF(OR($B691="",R$7=""),"",IF($B691="MEANS",INDEX('1-DATA'!$1:$1048576,$A690-1,COLUMN('1-DATA'!Q689)),ROUND(INDEX('1-DATA'!$1:$1048576,IF(OR($B691="STD. DEVIATION",$C$1=1),$A691,$A691+1),COLUMN('1-DATA'!Q689)),IF($B691="STD. DEVIATION",2,$F$1))))</f>
        <v/>
      </c>
      <c r="S691" s="1" t="str">
        <f>IF(OR($B691="",S$7=""),"",IF($B691="MEANS",INDEX('1-DATA'!$1:$1048576,$A690-1,COLUMN('1-DATA'!R689)),ROUND(INDEX('1-DATA'!$1:$1048576,IF(OR($B691="STD. DEVIATION",$C$1=1),$A691,$A691+1),COLUMN('1-DATA'!R689)),IF($B691="STD. DEVIATION",2,$F$1))))</f>
        <v/>
      </c>
      <c r="T691" s="1" t="str">
        <f>IF(OR($B691="",T$7=""),"",IF($B691="MEANS",INDEX('1-DATA'!$1:$1048576,$A690-1,COLUMN('1-DATA'!S689)),ROUND(INDEX('1-DATA'!$1:$1048576,IF(OR($B691="STD. DEVIATION",$C$1=1),$A691,$A691+1),COLUMN('1-DATA'!S689)),IF($B691="STD. DEVIATION",2,$F$1))))</f>
        <v/>
      </c>
      <c r="U691" s="1" t="str">
        <f>IF(OR($B691="",U$7=""),"",IF($B691="MEANS",INDEX('1-DATA'!$1:$1048576,$A690-1,COLUMN('1-DATA'!T689)),ROUND(INDEX('1-DATA'!$1:$1048576,IF(OR($B691="STD. DEVIATION",$C$1=1),$A691,$A691+1),COLUMN('1-DATA'!T689)),IF($B691="STD. DEVIATION",2,$F$1))))</f>
        <v/>
      </c>
      <c r="V691" s="1" t="str">
        <f>IF(OR($B691="",V$7=""),"",IF($B691="MEANS",INDEX('1-DATA'!$1:$1048576,$A690-1,COLUMN('1-DATA'!U689)),ROUND(INDEX('1-DATA'!$1:$1048576,IF(OR($B691="STD. DEVIATION",$C$1=1),$A691,$A691+1),COLUMN('1-DATA'!U689)),IF($B691="STD. DEVIATION",2,$F$1))))</f>
        <v/>
      </c>
      <c r="W691" s="1" t="str">
        <f>IF(OR($B691="",W$7=""),"",IF($B691="MEANS",INDEX('1-DATA'!$1:$1048576,$A690-1,COLUMN('1-DATA'!V689)),ROUND(INDEX('1-DATA'!$1:$1048576,IF(OR($B691="STD. DEVIATION",$C$1=1),$A691,$A691+1),COLUMN('1-DATA'!V689)),IF($B691="STD. DEVIATION",2,$F$1))))</f>
        <v/>
      </c>
      <c r="X691" s="1" t="str">
        <f>IF(OR($B691="",X$7=""),"",IF($B691="MEANS",INDEX('1-DATA'!$1:$1048576,$A690-1,COLUMN('1-DATA'!W689)),ROUND(INDEX('1-DATA'!$1:$1048576,IF(OR($B691="STD. DEVIATION",$C$1=1),$A691,$A691+1),COLUMN('1-DATA'!W689)),IF($B691="STD. DEVIATION",2,$F$1))))</f>
        <v/>
      </c>
      <c r="Y691" s="1" t="str">
        <f>IF(OR($B691="",Y$7=""),"",IF($B691="MEANS",INDEX('1-DATA'!$1:$1048576,$A690-1,COLUMN('1-DATA'!X689)),ROUND(INDEX('1-DATA'!$1:$1048576,IF(OR($B691="STD. DEVIATION",$C$1=1),$A691,$A691+1),COLUMN('1-DATA'!X689)),IF($B691="STD. DEVIATION",2,$F$1))))</f>
        <v/>
      </c>
      <c r="Z691" s="1" t="str">
        <f>IF(OR($B691="",Z$7=""),"",IF($B691="MEANS",INDEX('1-DATA'!$1:$1048576,$A690-1,COLUMN('1-DATA'!Y689)),ROUND(INDEX('1-DATA'!$1:$1048576,IF(OR($B691="STD. DEVIATION",$C$1=1),$A691,$A691+1),COLUMN('1-DATA'!Y689)),IF($B691="STD. DEVIATION",2,$F$1))))</f>
        <v/>
      </c>
      <c r="AA691" s="1" t="str">
        <f>IF(OR($B691="",AA$7=""),"",IF($B691="MEANS",INDEX('1-DATA'!$1:$1048576,$A690-1,COLUMN('1-DATA'!Z689)),ROUND(INDEX('1-DATA'!$1:$1048576,IF(OR($B691="STD. DEVIATION",$C$1=1),$A691,$A691+1),COLUMN('1-DATA'!Z689)),IF($B691="STD. DEVIATION",2,$F$1))))</f>
        <v/>
      </c>
      <c r="AB691" s="1" t="str">
        <f>IF(OR($B691="",AB$7=""),"",IF($B691="MEANS",INDEX('1-DATA'!$1:$1048576,$A690-1,COLUMN('1-DATA'!AA689)),ROUND(INDEX('1-DATA'!$1:$1048576,IF(OR($B691="STD. DEVIATION",$C$1=1),$A691,$A691+1),COLUMN('1-DATA'!AA689)),IF($B691="STD. DEVIATION",2,$F$1))))</f>
        <v/>
      </c>
      <c r="AC691" s="1" t="str">
        <f>IF(OR($B691="",AC$7=""),"",IF($B691="MEANS",INDEX('1-DATA'!$1:$1048576,$A690-1,COLUMN('1-DATA'!AB689)),ROUND(INDEX('1-DATA'!$1:$1048576,IF(OR($B691="STD. DEVIATION",$C$1=1),$A691,$A691+1),COLUMN('1-DATA'!AB689)),IF($B691="STD. DEVIATION",2,$F$1))))</f>
        <v/>
      </c>
      <c r="AD691" s="1" t="str">
        <f>IF(OR($B691="",AD$7=""),"",IF($B691="MEANS",INDEX('1-DATA'!$1:$1048576,$A690-1,COLUMN('1-DATA'!AC689)),ROUND(INDEX('1-DATA'!$1:$1048576,IF(OR($B691="STD. DEVIATION",$C$1=1),$A691,$A691+1),COLUMN('1-DATA'!AC689)),IF($B691="STD. DEVIATION",2,$F$1))))</f>
        <v/>
      </c>
      <c r="AE691" s="1" t="str">
        <f>IF(OR($B691="",AE$7=""),"",IF($B691="MEANS",INDEX('1-DATA'!$1:$1048576,$A690-1,COLUMN('1-DATA'!AD689)),ROUND(INDEX('1-DATA'!$1:$1048576,IF(OR($B691="STD. DEVIATION",$C$1=1),$A691,$A691+1),COLUMN('1-DATA'!AD689)),IF($B691="STD. DEVIATION",2,$F$1))))</f>
        <v/>
      </c>
      <c r="AF691" s="1" t="str">
        <f>IF(OR($B691="",AF$7=""),"",IF($B691="MEANS",INDEX('1-DATA'!$1:$1048576,$A690-1,COLUMN('1-DATA'!AE689)),ROUND(INDEX('1-DATA'!$1:$1048576,IF(OR($B691="STD. DEVIATION",$C$1=1),$A691,$A691+1),COLUMN('1-DATA'!AE689)),IF($B691="STD. DEVIATION",2,$F$1))))</f>
        <v/>
      </c>
      <c r="AG691" s="1" t="str">
        <f>IF(OR($B691="",AG$7=""),"",IF($B691="MEANS",INDEX('1-DATA'!$1:$1048576,$A690-1,COLUMN('1-DATA'!AF689)),ROUND(INDEX('1-DATA'!$1:$1048576,IF(OR($B691="STD. DEVIATION",$C$1=1),$A691,$A691+1),COLUMN('1-DATA'!AF689)),IF($B691="STD. DEVIATION",2,$F$1))))</f>
        <v/>
      </c>
      <c r="AH691" s="1" t="str">
        <f>IF(OR($B691="",AH$7=""),"",IF($B691="MEANS",INDEX('1-DATA'!$1:$1048576,$A690-1,COLUMN('1-DATA'!AG689)),ROUND(INDEX('1-DATA'!$1:$1048576,IF(OR($B691="STD. DEVIATION",$C$1=1),$A691,$A691+1),COLUMN('1-DATA'!AG689)),IF($B691="STD. DEVIATION",2,$F$1))))</f>
        <v/>
      </c>
      <c r="AI691" s="1" t="str">
        <f>IF(OR($B691="",AI$7=""),"",IF($B691="MEANS",INDEX('1-DATA'!$1:$1048576,$A690-1,COLUMN('1-DATA'!AH689)),ROUND(INDEX('1-DATA'!$1:$1048576,IF(OR($B691="STD. DEVIATION",$C$1=1),$A691,$A691+1),COLUMN('1-DATA'!AH689)),IF($B691="STD. DEVIATION",2,$F$1))))</f>
        <v/>
      </c>
      <c r="AJ691" s="1" t="str">
        <f>IF(OR($B691="",AJ$7=""),"",IF($B691="MEANS",INDEX('1-DATA'!$1:$1048576,$A690-1,COLUMN('1-DATA'!AI689)),ROUND(INDEX('1-DATA'!$1:$1048576,IF(OR($B691="STD. DEVIATION",$C$1=1),$A691,$A691+1),COLUMN('1-DATA'!AI689)),IF($B691="STD. DEVIATION",2,$F$1))))</f>
        <v/>
      </c>
      <c r="AK691" s="1" t="str">
        <f>IF(OR($B691="",AK$7=""),"",IF($B691="MEANS",INDEX('1-DATA'!$1:$1048576,$A690-1,COLUMN('1-DATA'!AJ689)),ROUND(INDEX('1-DATA'!$1:$1048576,IF(OR($B691="STD. DEVIATION",$C$1=1),$A691,$A691+1),COLUMN('1-DATA'!AJ689)),IF($B691="STD. DEVIATION",2,$F$1))))</f>
        <v/>
      </c>
      <c r="AL691" s="1" t="str">
        <f>IF(OR($B691="",AL$7=""),"",IF($B691="MEANS",INDEX('1-DATA'!$1:$1048576,$A690-1,COLUMN('1-DATA'!AK689)),ROUND(INDEX('1-DATA'!$1:$1048576,IF(OR($B691="STD. DEVIATION",$C$1=1),$A691,$A691+1),COLUMN('1-DATA'!AK689)),IF($B691="STD. DEVIATION",2,$F$1))))</f>
        <v/>
      </c>
      <c r="AM691" s="1" t="str">
        <f>IF(OR($B691="",AM$7=""),"",IF($B691="MEANS",INDEX('1-DATA'!$1:$1048576,$A690-1,COLUMN('1-DATA'!AL689)),ROUND(INDEX('1-DATA'!$1:$1048576,IF(OR($B691="STD. DEVIATION",$C$1=1),$A691,$A691+1),COLUMN('1-DATA'!AL689)),IF($B691="STD. DEVIATION",2,$F$1))))</f>
        <v/>
      </c>
      <c r="AN691" s="1" t="str">
        <f>IF(OR($B691="",AN$7=""),"",IF($B691="MEANS",INDEX('1-DATA'!$1:$1048576,$A690-1,COLUMN('1-DATA'!AM689)),ROUND(INDEX('1-DATA'!$1:$1048576,IF(OR($B691="STD. DEVIATION",$C$1=1),$A691,$A691+1),COLUMN('1-DATA'!AM689)),IF($B691="STD. DEVIATION",2,$F$1))))</f>
        <v/>
      </c>
      <c r="AO691" s="1" t="str">
        <f>IF(OR($B691="",AO$7=""),"",IF($B691="MEANS",INDEX('1-DATA'!$1:$1048576,$A690-1,COLUMN('1-DATA'!AN689)),ROUND(INDEX('1-DATA'!$1:$1048576,IF(OR($B691="STD. DEVIATION",$C$1=1),$A691,$A691+1),COLUMN('1-DATA'!AN689)),IF($B691="STD. DEVIATION",2,$F$1))))</f>
        <v/>
      </c>
      <c r="AP691" s="1" t="str">
        <f>IF(OR($B691="",AP$7=""),"",IF($B691="MEANS",INDEX('1-DATA'!$1:$1048576,$A690-1,COLUMN('1-DATA'!AO689)),ROUND(INDEX('1-DATA'!$1:$1048576,IF(OR($B691="STD. DEVIATION",$C$1=1),$A691,$A691+1),COLUMN('1-DATA'!AO689)),IF($B691="STD. DEVIATION",2,$F$1))))</f>
        <v/>
      </c>
      <c r="AQ691" s="1" t="str">
        <f>IF(OR($B691="",AQ$7=""),"",IF($B691="MEANS",INDEX('1-DATA'!$1:$1048576,$A690-1,COLUMN('1-DATA'!AP689)),ROUND(INDEX('1-DATA'!$1:$1048576,IF(OR($B691="STD. DEVIATION",$C$1=1),$A691,$A691+1),COLUMN('1-DATA'!AP689)),IF($B691="STD. DEVIATION",2,$F$1))))</f>
        <v/>
      </c>
      <c r="AR691" s="1" t="str">
        <f>IF(OR($B691="",AR$7=""),"",IF($B691="MEANS",INDEX('1-DATA'!$1:$1048576,$A690-1,COLUMN('1-DATA'!AQ689)),ROUND(INDEX('1-DATA'!$1:$1048576,IF(OR($B691="STD. DEVIATION",$C$1=1),$A691,$A691+1),COLUMN('1-DATA'!AQ689)),IF($B691="STD. DEVIATION",2,$F$1))))</f>
        <v/>
      </c>
      <c r="AS691" s="1" t="str">
        <f>IF(OR($B691="",AS$7=""),"",IF($B691="MEANS",INDEX('1-DATA'!$1:$1048576,$A690-1,COLUMN('1-DATA'!AR689)),ROUND(INDEX('1-DATA'!$1:$1048576,IF(OR($B691="STD. DEVIATION",$C$1=1),$A691,$A691+1),COLUMN('1-DATA'!AR689)),IF($B691="STD. DEVIATION",2,$F$1))))</f>
        <v/>
      </c>
      <c r="AT691" s="1" t="str">
        <f>IF(OR($B691="",AT$7=""),"",IF($B691="MEANS",INDEX('1-DATA'!$1:$1048576,$A690-1,COLUMN('1-DATA'!AS689)),ROUND(INDEX('1-DATA'!$1:$1048576,IF(OR($B691="STD. DEVIATION",$C$1=1),$A691,$A691+1),COLUMN('1-DATA'!AS689)),IF($B691="STD. DEVIATION",2,$F$1))))</f>
        <v/>
      </c>
      <c r="AU691" s="1" t="str">
        <f>IF(OR($B691="",AU$7=""),"",IF($B691="MEANS",INDEX('1-DATA'!$1:$1048576,$A690-1,COLUMN('1-DATA'!AT689)),ROUND(INDEX('1-DATA'!$1:$1048576,IF(OR($B691="STD. DEVIATION",$C$1=1),$A691,$A691+1),COLUMN('1-DATA'!AT689)),IF($B691="STD. DEVIATION",2,$F$1))))</f>
        <v/>
      </c>
      <c r="AV691" s="1" t="str">
        <f>IF(OR($B691="",AV$7=""),"",IF($B691="MEANS",INDEX('1-DATA'!$1:$1048576,$A690-1,COLUMN('1-DATA'!AU689)),ROUND(INDEX('1-DATA'!$1:$1048576,IF(OR($B691="STD. DEVIATION",$C$1=1),$A691,$A691+1),COLUMN('1-DATA'!AU689)),IF($B691="STD. DEVIATION",2,$F$1))))</f>
        <v/>
      </c>
      <c r="AW691" s="1" t="str">
        <f>IF(OR($B691="",AW$7=""),"",IF($B691="MEANS",INDEX('1-DATA'!$1:$1048576,$A690-1,COLUMN('1-DATA'!AV689)),ROUND(INDEX('1-DATA'!$1:$1048576,IF(OR($B691="STD. DEVIATION",$C$1=1),$A691,$A691+1),COLUMN('1-DATA'!AV689)),IF($B691="STD. DEVIATION",2,$F$1))))</f>
        <v/>
      </c>
      <c r="AX691" s="1" t="str">
        <f>IF(OR($B691="",AX$7=""),"",IF($B691="MEANS",INDEX('1-DATA'!$1:$1048576,$A690-1,COLUMN('1-DATA'!AW689)),ROUND(INDEX('1-DATA'!$1:$1048576,IF(OR($B691="STD. DEVIATION",$C$1=1),$A691,$A691+1),COLUMN('1-DATA'!AW689)),IF($B691="STD. DEVIATION",2,$F$1))))</f>
        <v/>
      </c>
      <c r="AY691" s="1" t="str">
        <f>IF(OR($B691="",AY$7=""),"",IF($B691="MEANS",INDEX('1-DATA'!$1:$1048576,$A690-1,COLUMN('1-DATA'!AX689)),ROUND(INDEX('1-DATA'!$1:$1048576,IF(OR($B691="STD. DEVIATION",$C$1=1),$A691,$A691+1),COLUMN('1-DATA'!AX689)),IF($B691="STD. DEVIATION",2,$F$1))))</f>
        <v/>
      </c>
      <c r="AZ691" s="1" t="str">
        <f>IF(OR($B691="",AZ$7=""),"",IF($B691="MEANS",INDEX('1-DATA'!$1:$1048576,$A690-1,COLUMN('1-DATA'!AY689)),ROUND(INDEX('1-DATA'!$1:$1048576,IF(OR($B691="STD. DEVIATION",$C$1=1),$A691,$A691+1),COLUMN('1-DATA'!AY689)),IF($B691="STD. DEVIATION",2,$F$1))))</f>
        <v/>
      </c>
    </row>
    <row r="692" spans="1:52" x14ac:dyDescent="0.25">
      <c r="A692" s="11">
        <f t="shared" si="11"/>
        <v>2062</v>
      </c>
      <c r="B692" s="1" t="str">
        <f>IF(B691="STD. DEVIATION",INDEX('1-DATA'!$1:$1048576,$A691-1,1),IF(INDEX('1-DATA'!$1:$1048576,$A692,1)&lt;&gt;"",INDEX('1-DATA'!$1:$1048576,$A692,1),""))</f>
        <v/>
      </c>
      <c r="C692" s="1" t="str">
        <f>IF(OR($B692="",C$7=""),"",IF($B692="MEANS",INDEX('1-DATA'!$1:$1048576,$A691-1,COLUMN('1-DATA'!B690)),ROUND(INDEX('1-DATA'!$1:$1048576,IF(OR($B692="STD. DEVIATION",$C$1=1),$A692,$A692+1),COLUMN('1-DATA'!B690)),IF($B692="STD. DEVIATION",2,$F$1))))</f>
        <v/>
      </c>
      <c r="D692" s="1" t="str">
        <f>IF(OR($B692="",D$7=""),"",IF($B692="MEANS",INDEX('1-DATA'!$1:$1048576,$A691-1,COLUMN('1-DATA'!C690)),ROUND(INDEX('1-DATA'!$1:$1048576,IF(OR($B692="STD. DEVIATION",$C$1=1),$A692,$A692+1),COLUMN('1-DATA'!C690)),IF($B692="STD. DEVIATION",2,$F$1))))</f>
        <v/>
      </c>
      <c r="E692" s="1" t="str">
        <f>IF(OR($B692="",E$7=""),"",IF($B692="MEANS",INDEX('1-DATA'!$1:$1048576,$A691-1,COLUMN('1-DATA'!D690)),ROUND(INDEX('1-DATA'!$1:$1048576,IF(OR($B692="STD. DEVIATION",$C$1=1),$A692,$A692+1),COLUMN('1-DATA'!D690)),IF($B692="STD. DEVIATION",2,$F$1))))</f>
        <v/>
      </c>
      <c r="F692" s="1" t="str">
        <f>IF(OR($B692="",F$7=""),"",IF($B692="MEANS",INDEX('1-DATA'!$1:$1048576,$A691-1,COLUMN('1-DATA'!E690)),ROUND(INDEX('1-DATA'!$1:$1048576,IF(OR($B692="STD. DEVIATION",$C$1=1),$A692,$A692+1),COLUMN('1-DATA'!E690)),IF($B692="STD. DEVIATION",2,$F$1))))</f>
        <v/>
      </c>
      <c r="G692" s="1" t="str">
        <f>IF(OR($B692="",G$7=""),"",IF($B692="MEANS",INDEX('1-DATA'!$1:$1048576,$A691-1,COLUMN('1-DATA'!F690)),ROUND(INDEX('1-DATA'!$1:$1048576,IF(OR($B692="STD. DEVIATION",$C$1=1),$A692,$A692+1),COLUMN('1-DATA'!F690)),IF($B692="STD. DEVIATION",2,$F$1))))</f>
        <v/>
      </c>
      <c r="H692" s="1" t="str">
        <f>IF(OR($B692="",H$7=""),"",IF($B692="MEANS",INDEX('1-DATA'!$1:$1048576,$A691-1,COLUMN('1-DATA'!G690)),ROUND(INDEX('1-DATA'!$1:$1048576,IF(OR($B692="STD. DEVIATION",$C$1=1),$A692,$A692+1),COLUMN('1-DATA'!G690)),IF($B692="STD. DEVIATION",2,$F$1))))</f>
        <v/>
      </c>
      <c r="I692" s="1" t="str">
        <f>IF(OR($B692="",I$7=""),"",IF($B692="MEANS",INDEX('1-DATA'!$1:$1048576,$A691-1,COLUMN('1-DATA'!H690)),ROUND(INDEX('1-DATA'!$1:$1048576,IF(OR($B692="STD. DEVIATION",$C$1=1),$A692,$A692+1),COLUMN('1-DATA'!H690)),IF($B692="STD. DEVIATION",2,$F$1))))</f>
        <v/>
      </c>
      <c r="J692" s="1" t="str">
        <f>IF(OR($B692="",J$7=""),"",IF($B692="MEANS",INDEX('1-DATA'!$1:$1048576,$A691-1,COLUMN('1-DATA'!I690)),ROUND(INDEX('1-DATA'!$1:$1048576,IF(OR($B692="STD. DEVIATION",$C$1=1),$A692,$A692+1),COLUMN('1-DATA'!I690)),IF($B692="STD. DEVIATION",2,$F$1))))</f>
        <v/>
      </c>
      <c r="K692" s="1" t="str">
        <f>IF(OR($B692="",K$7=""),"",IF($B692="MEANS",INDEX('1-DATA'!$1:$1048576,$A691-1,COLUMN('1-DATA'!J690)),ROUND(INDEX('1-DATA'!$1:$1048576,IF(OR($B692="STD. DEVIATION",$C$1=1),$A692,$A692+1),COLUMN('1-DATA'!J690)),IF($B692="STD. DEVIATION",2,$F$1))))</f>
        <v/>
      </c>
      <c r="L692" s="1" t="str">
        <f>IF(OR($B692="",L$7=""),"",IF($B692="MEANS",INDEX('1-DATA'!$1:$1048576,$A691-1,COLUMN('1-DATA'!K690)),ROUND(INDEX('1-DATA'!$1:$1048576,IF(OR($B692="STD. DEVIATION",$C$1=1),$A692,$A692+1),COLUMN('1-DATA'!K690)),IF($B692="STD. DEVIATION",2,$F$1))))</f>
        <v/>
      </c>
      <c r="M692" s="1" t="str">
        <f>IF(OR($B692="",M$7=""),"",IF($B692="MEANS",INDEX('1-DATA'!$1:$1048576,$A691-1,COLUMN('1-DATA'!L690)),ROUND(INDEX('1-DATA'!$1:$1048576,IF(OR($B692="STD. DEVIATION",$C$1=1),$A692,$A692+1),COLUMN('1-DATA'!L690)),IF($B692="STD. DEVIATION",2,$F$1))))</f>
        <v/>
      </c>
      <c r="N692" s="1" t="str">
        <f>IF(OR($B692="",N$7=""),"",IF($B692="MEANS",INDEX('1-DATA'!$1:$1048576,$A691-1,COLUMN('1-DATA'!M690)),ROUND(INDEX('1-DATA'!$1:$1048576,IF(OR($B692="STD. DEVIATION",$C$1=1),$A692,$A692+1),COLUMN('1-DATA'!M690)),IF($B692="STD. DEVIATION",2,$F$1))))</f>
        <v/>
      </c>
      <c r="O692" s="1" t="str">
        <f>IF(OR($B692="",O$7=""),"",IF($B692="MEANS",INDEX('1-DATA'!$1:$1048576,$A691-1,COLUMN('1-DATA'!N690)),ROUND(INDEX('1-DATA'!$1:$1048576,IF(OR($B692="STD. DEVIATION",$C$1=1),$A692,$A692+1),COLUMN('1-DATA'!N690)),IF($B692="STD. DEVIATION",2,$F$1))))</f>
        <v/>
      </c>
      <c r="P692" s="1" t="str">
        <f>IF(OR($B692="",P$7=""),"",IF($B692="MEANS",INDEX('1-DATA'!$1:$1048576,$A691-1,COLUMN('1-DATA'!O690)),ROUND(INDEX('1-DATA'!$1:$1048576,IF(OR($B692="STD. DEVIATION",$C$1=1),$A692,$A692+1),COLUMN('1-DATA'!O690)),IF($B692="STD. DEVIATION",2,$F$1))))</f>
        <v/>
      </c>
      <c r="Q692" s="1" t="str">
        <f>IF(OR($B692="",Q$7=""),"",IF($B692="MEANS",INDEX('1-DATA'!$1:$1048576,$A691-1,COLUMN('1-DATA'!P690)),ROUND(INDEX('1-DATA'!$1:$1048576,IF(OR($B692="STD. DEVIATION",$C$1=1),$A692,$A692+1),COLUMN('1-DATA'!P690)),IF($B692="STD. DEVIATION",2,$F$1))))</f>
        <v/>
      </c>
      <c r="R692" s="1" t="str">
        <f>IF(OR($B692="",R$7=""),"",IF($B692="MEANS",INDEX('1-DATA'!$1:$1048576,$A691-1,COLUMN('1-DATA'!Q690)),ROUND(INDEX('1-DATA'!$1:$1048576,IF(OR($B692="STD. DEVIATION",$C$1=1),$A692,$A692+1),COLUMN('1-DATA'!Q690)),IF($B692="STD. DEVIATION",2,$F$1))))</f>
        <v/>
      </c>
      <c r="S692" s="1" t="str">
        <f>IF(OR($B692="",S$7=""),"",IF($B692="MEANS",INDEX('1-DATA'!$1:$1048576,$A691-1,COLUMN('1-DATA'!R690)),ROUND(INDEX('1-DATA'!$1:$1048576,IF(OR($B692="STD. DEVIATION",$C$1=1),$A692,$A692+1),COLUMN('1-DATA'!R690)),IF($B692="STD. DEVIATION",2,$F$1))))</f>
        <v/>
      </c>
      <c r="T692" s="1" t="str">
        <f>IF(OR($B692="",T$7=""),"",IF($B692="MEANS",INDEX('1-DATA'!$1:$1048576,$A691-1,COLUMN('1-DATA'!S690)),ROUND(INDEX('1-DATA'!$1:$1048576,IF(OR($B692="STD. DEVIATION",$C$1=1),$A692,$A692+1),COLUMN('1-DATA'!S690)),IF($B692="STD. DEVIATION",2,$F$1))))</f>
        <v/>
      </c>
      <c r="U692" s="1" t="str">
        <f>IF(OR($B692="",U$7=""),"",IF($B692="MEANS",INDEX('1-DATA'!$1:$1048576,$A691-1,COLUMN('1-DATA'!T690)),ROUND(INDEX('1-DATA'!$1:$1048576,IF(OR($B692="STD. DEVIATION",$C$1=1),$A692,$A692+1),COLUMN('1-DATA'!T690)),IF($B692="STD. DEVIATION",2,$F$1))))</f>
        <v/>
      </c>
      <c r="V692" s="1" t="str">
        <f>IF(OR($B692="",V$7=""),"",IF($B692="MEANS",INDEX('1-DATA'!$1:$1048576,$A691-1,COLUMN('1-DATA'!U690)),ROUND(INDEX('1-DATA'!$1:$1048576,IF(OR($B692="STD. DEVIATION",$C$1=1),$A692,$A692+1),COLUMN('1-DATA'!U690)),IF($B692="STD. DEVIATION",2,$F$1))))</f>
        <v/>
      </c>
      <c r="W692" s="1" t="str">
        <f>IF(OR($B692="",W$7=""),"",IF($B692="MEANS",INDEX('1-DATA'!$1:$1048576,$A691-1,COLUMN('1-DATA'!V690)),ROUND(INDEX('1-DATA'!$1:$1048576,IF(OR($B692="STD. DEVIATION",$C$1=1),$A692,$A692+1),COLUMN('1-DATA'!V690)),IF($B692="STD. DEVIATION",2,$F$1))))</f>
        <v/>
      </c>
      <c r="X692" s="1" t="str">
        <f>IF(OR($B692="",X$7=""),"",IF($B692="MEANS",INDEX('1-DATA'!$1:$1048576,$A691-1,COLUMN('1-DATA'!W690)),ROUND(INDEX('1-DATA'!$1:$1048576,IF(OR($B692="STD. DEVIATION",$C$1=1),$A692,$A692+1),COLUMN('1-DATA'!W690)),IF($B692="STD. DEVIATION",2,$F$1))))</f>
        <v/>
      </c>
      <c r="Y692" s="1" t="str">
        <f>IF(OR($B692="",Y$7=""),"",IF($B692="MEANS",INDEX('1-DATA'!$1:$1048576,$A691-1,COLUMN('1-DATA'!X690)),ROUND(INDEX('1-DATA'!$1:$1048576,IF(OR($B692="STD. DEVIATION",$C$1=1),$A692,$A692+1),COLUMN('1-DATA'!X690)),IF($B692="STD. DEVIATION",2,$F$1))))</f>
        <v/>
      </c>
      <c r="Z692" s="1" t="str">
        <f>IF(OR($B692="",Z$7=""),"",IF($B692="MEANS",INDEX('1-DATA'!$1:$1048576,$A691-1,COLUMN('1-DATA'!Y690)),ROUND(INDEX('1-DATA'!$1:$1048576,IF(OR($B692="STD. DEVIATION",$C$1=1),$A692,$A692+1),COLUMN('1-DATA'!Y690)),IF($B692="STD. DEVIATION",2,$F$1))))</f>
        <v/>
      </c>
      <c r="AA692" s="1" t="str">
        <f>IF(OR($B692="",AA$7=""),"",IF($B692="MEANS",INDEX('1-DATA'!$1:$1048576,$A691-1,COLUMN('1-DATA'!Z690)),ROUND(INDEX('1-DATA'!$1:$1048576,IF(OR($B692="STD. DEVIATION",$C$1=1),$A692,$A692+1),COLUMN('1-DATA'!Z690)),IF($B692="STD. DEVIATION",2,$F$1))))</f>
        <v/>
      </c>
      <c r="AB692" s="1" t="str">
        <f>IF(OR($B692="",AB$7=""),"",IF($B692="MEANS",INDEX('1-DATA'!$1:$1048576,$A691-1,COLUMN('1-DATA'!AA690)),ROUND(INDEX('1-DATA'!$1:$1048576,IF(OR($B692="STD. DEVIATION",$C$1=1),$A692,$A692+1),COLUMN('1-DATA'!AA690)),IF($B692="STD. DEVIATION",2,$F$1))))</f>
        <v/>
      </c>
      <c r="AC692" s="1" t="str">
        <f>IF(OR($B692="",AC$7=""),"",IF($B692="MEANS",INDEX('1-DATA'!$1:$1048576,$A691-1,COLUMN('1-DATA'!AB690)),ROUND(INDEX('1-DATA'!$1:$1048576,IF(OR($B692="STD. DEVIATION",$C$1=1),$A692,$A692+1),COLUMN('1-DATA'!AB690)),IF($B692="STD. DEVIATION",2,$F$1))))</f>
        <v/>
      </c>
      <c r="AD692" s="1" t="str">
        <f>IF(OR($B692="",AD$7=""),"",IF($B692="MEANS",INDEX('1-DATA'!$1:$1048576,$A691-1,COLUMN('1-DATA'!AC690)),ROUND(INDEX('1-DATA'!$1:$1048576,IF(OR($B692="STD. DEVIATION",$C$1=1),$A692,$A692+1),COLUMN('1-DATA'!AC690)),IF($B692="STD. DEVIATION",2,$F$1))))</f>
        <v/>
      </c>
      <c r="AE692" s="1" t="str">
        <f>IF(OR($B692="",AE$7=""),"",IF($B692="MEANS",INDEX('1-DATA'!$1:$1048576,$A691-1,COLUMN('1-DATA'!AD690)),ROUND(INDEX('1-DATA'!$1:$1048576,IF(OR($B692="STD. DEVIATION",$C$1=1),$A692,$A692+1),COLUMN('1-DATA'!AD690)),IF($B692="STD. DEVIATION",2,$F$1))))</f>
        <v/>
      </c>
      <c r="AF692" s="1" t="str">
        <f>IF(OR($B692="",AF$7=""),"",IF($B692="MEANS",INDEX('1-DATA'!$1:$1048576,$A691-1,COLUMN('1-DATA'!AE690)),ROUND(INDEX('1-DATA'!$1:$1048576,IF(OR($B692="STD. DEVIATION",$C$1=1),$A692,$A692+1),COLUMN('1-DATA'!AE690)),IF($B692="STD. DEVIATION",2,$F$1))))</f>
        <v/>
      </c>
      <c r="AG692" s="1" t="str">
        <f>IF(OR($B692="",AG$7=""),"",IF($B692="MEANS",INDEX('1-DATA'!$1:$1048576,$A691-1,COLUMN('1-DATA'!AF690)),ROUND(INDEX('1-DATA'!$1:$1048576,IF(OR($B692="STD. DEVIATION",$C$1=1),$A692,$A692+1),COLUMN('1-DATA'!AF690)),IF($B692="STD. DEVIATION",2,$F$1))))</f>
        <v/>
      </c>
      <c r="AH692" s="1" t="str">
        <f>IF(OR($B692="",AH$7=""),"",IF($B692="MEANS",INDEX('1-DATA'!$1:$1048576,$A691-1,COLUMN('1-DATA'!AG690)),ROUND(INDEX('1-DATA'!$1:$1048576,IF(OR($B692="STD. DEVIATION",$C$1=1),$A692,$A692+1),COLUMN('1-DATA'!AG690)),IF($B692="STD. DEVIATION",2,$F$1))))</f>
        <v/>
      </c>
      <c r="AI692" s="1" t="str">
        <f>IF(OR($B692="",AI$7=""),"",IF($B692="MEANS",INDEX('1-DATA'!$1:$1048576,$A691-1,COLUMN('1-DATA'!AH690)),ROUND(INDEX('1-DATA'!$1:$1048576,IF(OR($B692="STD. DEVIATION",$C$1=1),$A692,$A692+1),COLUMN('1-DATA'!AH690)),IF($B692="STD. DEVIATION",2,$F$1))))</f>
        <v/>
      </c>
      <c r="AJ692" s="1" t="str">
        <f>IF(OR($B692="",AJ$7=""),"",IF($B692="MEANS",INDEX('1-DATA'!$1:$1048576,$A691-1,COLUMN('1-DATA'!AI690)),ROUND(INDEX('1-DATA'!$1:$1048576,IF(OR($B692="STD. DEVIATION",$C$1=1),$A692,$A692+1),COLUMN('1-DATA'!AI690)),IF($B692="STD. DEVIATION",2,$F$1))))</f>
        <v/>
      </c>
      <c r="AK692" s="1" t="str">
        <f>IF(OR($B692="",AK$7=""),"",IF($B692="MEANS",INDEX('1-DATA'!$1:$1048576,$A691-1,COLUMN('1-DATA'!AJ690)),ROUND(INDEX('1-DATA'!$1:$1048576,IF(OR($B692="STD. DEVIATION",$C$1=1),$A692,$A692+1),COLUMN('1-DATA'!AJ690)),IF($B692="STD. DEVIATION",2,$F$1))))</f>
        <v/>
      </c>
      <c r="AL692" s="1" t="str">
        <f>IF(OR($B692="",AL$7=""),"",IF($B692="MEANS",INDEX('1-DATA'!$1:$1048576,$A691-1,COLUMN('1-DATA'!AK690)),ROUND(INDEX('1-DATA'!$1:$1048576,IF(OR($B692="STD. DEVIATION",$C$1=1),$A692,$A692+1),COLUMN('1-DATA'!AK690)),IF($B692="STD. DEVIATION",2,$F$1))))</f>
        <v/>
      </c>
      <c r="AM692" s="1" t="str">
        <f>IF(OR($B692="",AM$7=""),"",IF($B692="MEANS",INDEX('1-DATA'!$1:$1048576,$A691-1,COLUMN('1-DATA'!AL690)),ROUND(INDEX('1-DATA'!$1:$1048576,IF(OR($B692="STD. DEVIATION",$C$1=1),$A692,$A692+1),COLUMN('1-DATA'!AL690)),IF($B692="STD. DEVIATION",2,$F$1))))</f>
        <v/>
      </c>
      <c r="AN692" s="1" t="str">
        <f>IF(OR($B692="",AN$7=""),"",IF($B692="MEANS",INDEX('1-DATA'!$1:$1048576,$A691-1,COLUMN('1-DATA'!AM690)),ROUND(INDEX('1-DATA'!$1:$1048576,IF(OR($B692="STD. DEVIATION",$C$1=1),$A692,$A692+1),COLUMN('1-DATA'!AM690)),IF($B692="STD. DEVIATION",2,$F$1))))</f>
        <v/>
      </c>
      <c r="AO692" s="1" t="str">
        <f>IF(OR($B692="",AO$7=""),"",IF($B692="MEANS",INDEX('1-DATA'!$1:$1048576,$A691-1,COLUMN('1-DATA'!AN690)),ROUND(INDEX('1-DATA'!$1:$1048576,IF(OR($B692="STD. DEVIATION",$C$1=1),$A692,$A692+1),COLUMN('1-DATA'!AN690)),IF($B692="STD. DEVIATION",2,$F$1))))</f>
        <v/>
      </c>
      <c r="AP692" s="1" t="str">
        <f>IF(OR($B692="",AP$7=""),"",IF($B692="MEANS",INDEX('1-DATA'!$1:$1048576,$A691-1,COLUMN('1-DATA'!AO690)),ROUND(INDEX('1-DATA'!$1:$1048576,IF(OR($B692="STD. DEVIATION",$C$1=1),$A692,$A692+1),COLUMN('1-DATA'!AO690)),IF($B692="STD. DEVIATION",2,$F$1))))</f>
        <v/>
      </c>
      <c r="AQ692" s="1" t="str">
        <f>IF(OR($B692="",AQ$7=""),"",IF($B692="MEANS",INDEX('1-DATA'!$1:$1048576,$A691-1,COLUMN('1-DATA'!AP690)),ROUND(INDEX('1-DATA'!$1:$1048576,IF(OR($B692="STD. DEVIATION",$C$1=1),$A692,$A692+1),COLUMN('1-DATA'!AP690)),IF($B692="STD. DEVIATION",2,$F$1))))</f>
        <v/>
      </c>
      <c r="AR692" s="1" t="str">
        <f>IF(OR($B692="",AR$7=""),"",IF($B692="MEANS",INDEX('1-DATA'!$1:$1048576,$A691-1,COLUMN('1-DATA'!AQ690)),ROUND(INDEX('1-DATA'!$1:$1048576,IF(OR($B692="STD. DEVIATION",$C$1=1),$A692,$A692+1),COLUMN('1-DATA'!AQ690)),IF($B692="STD. DEVIATION",2,$F$1))))</f>
        <v/>
      </c>
      <c r="AS692" s="1" t="str">
        <f>IF(OR($B692="",AS$7=""),"",IF($B692="MEANS",INDEX('1-DATA'!$1:$1048576,$A691-1,COLUMN('1-DATA'!AR690)),ROUND(INDEX('1-DATA'!$1:$1048576,IF(OR($B692="STD. DEVIATION",$C$1=1),$A692,$A692+1),COLUMN('1-DATA'!AR690)),IF($B692="STD. DEVIATION",2,$F$1))))</f>
        <v/>
      </c>
      <c r="AT692" s="1" t="str">
        <f>IF(OR($B692="",AT$7=""),"",IF($B692="MEANS",INDEX('1-DATA'!$1:$1048576,$A691-1,COLUMN('1-DATA'!AS690)),ROUND(INDEX('1-DATA'!$1:$1048576,IF(OR($B692="STD. DEVIATION",$C$1=1),$A692,$A692+1),COLUMN('1-DATA'!AS690)),IF($B692="STD. DEVIATION",2,$F$1))))</f>
        <v/>
      </c>
      <c r="AU692" s="1" t="str">
        <f>IF(OR($B692="",AU$7=""),"",IF($B692="MEANS",INDEX('1-DATA'!$1:$1048576,$A691-1,COLUMN('1-DATA'!AT690)),ROUND(INDEX('1-DATA'!$1:$1048576,IF(OR($B692="STD. DEVIATION",$C$1=1),$A692,$A692+1),COLUMN('1-DATA'!AT690)),IF($B692="STD. DEVIATION",2,$F$1))))</f>
        <v/>
      </c>
      <c r="AV692" s="1" t="str">
        <f>IF(OR($B692="",AV$7=""),"",IF($B692="MEANS",INDEX('1-DATA'!$1:$1048576,$A691-1,COLUMN('1-DATA'!AU690)),ROUND(INDEX('1-DATA'!$1:$1048576,IF(OR($B692="STD. DEVIATION",$C$1=1),$A692,$A692+1),COLUMN('1-DATA'!AU690)),IF($B692="STD. DEVIATION",2,$F$1))))</f>
        <v/>
      </c>
      <c r="AW692" s="1" t="str">
        <f>IF(OR($B692="",AW$7=""),"",IF($B692="MEANS",INDEX('1-DATA'!$1:$1048576,$A691-1,COLUMN('1-DATA'!AV690)),ROUND(INDEX('1-DATA'!$1:$1048576,IF(OR($B692="STD. DEVIATION",$C$1=1),$A692,$A692+1),COLUMN('1-DATA'!AV690)),IF($B692="STD. DEVIATION",2,$F$1))))</f>
        <v/>
      </c>
      <c r="AX692" s="1" t="str">
        <f>IF(OR($B692="",AX$7=""),"",IF($B692="MEANS",INDEX('1-DATA'!$1:$1048576,$A691-1,COLUMN('1-DATA'!AW690)),ROUND(INDEX('1-DATA'!$1:$1048576,IF(OR($B692="STD. DEVIATION",$C$1=1),$A692,$A692+1),COLUMN('1-DATA'!AW690)),IF($B692="STD. DEVIATION",2,$F$1))))</f>
        <v/>
      </c>
      <c r="AY692" s="1" t="str">
        <f>IF(OR($B692="",AY$7=""),"",IF($B692="MEANS",INDEX('1-DATA'!$1:$1048576,$A691-1,COLUMN('1-DATA'!AX690)),ROUND(INDEX('1-DATA'!$1:$1048576,IF(OR($B692="STD. DEVIATION",$C$1=1),$A692,$A692+1),COLUMN('1-DATA'!AX690)),IF($B692="STD. DEVIATION",2,$F$1))))</f>
        <v/>
      </c>
      <c r="AZ692" s="1" t="str">
        <f>IF(OR($B692="",AZ$7=""),"",IF($B692="MEANS",INDEX('1-DATA'!$1:$1048576,$A691-1,COLUMN('1-DATA'!AY690)),ROUND(INDEX('1-DATA'!$1:$1048576,IF(OR($B692="STD. DEVIATION",$C$1=1),$A692,$A692+1),COLUMN('1-DATA'!AY690)),IF($B692="STD. DEVIATION",2,$F$1))))</f>
        <v/>
      </c>
    </row>
    <row r="693" spans="1:52" x14ac:dyDescent="0.25">
      <c r="A693" s="11">
        <f t="shared" si="11"/>
        <v>2065</v>
      </c>
      <c r="B693" s="1" t="str">
        <f>IF(B692="STD. DEVIATION",INDEX('1-DATA'!$1:$1048576,$A692-1,1),IF(INDEX('1-DATA'!$1:$1048576,$A693,1)&lt;&gt;"",INDEX('1-DATA'!$1:$1048576,$A693,1),""))</f>
        <v/>
      </c>
      <c r="C693" s="1" t="str">
        <f>IF(OR($B693="",C$7=""),"",IF($B693="MEANS",INDEX('1-DATA'!$1:$1048576,$A692-1,COLUMN('1-DATA'!B691)),ROUND(INDEX('1-DATA'!$1:$1048576,IF(OR($B693="STD. DEVIATION",$C$1=1),$A693,$A693+1),COLUMN('1-DATA'!B691)),IF($B693="STD. DEVIATION",2,$F$1))))</f>
        <v/>
      </c>
      <c r="D693" s="1" t="str">
        <f>IF(OR($B693="",D$7=""),"",IF($B693="MEANS",INDEX('1-DATA'!$1:$1048576,$A692-1,COLUMN('1-DATA'!C691)),ROUND(INDEX('1-DATA'!$1:$1048576,IF(OR($B693="STD. DEVIATION",$C$1=1),$A693,$A693+1),COLUMN('1-DATA'!C691)),IF($B693="STD. DEVIATION",2,$F$1))))</f>
        <v/>
      </c>
      <c r="E693" s="1" t="str">
        <f>IF(OR($B693="",E$7=""),"",IF($B693="MEANS",INDEX('1-DATA'!$1:$1048576,$A692-1,COLUMN('1-DATA'!D691)),ROUND(INDEX('1-DATA'!$1:$1048576,IF(OR($B693="STD. DEVIATION",$C$1=1),$A693,$A693+1),COLUMN('1-DATA'!D691)),IF($B693="STD. DEVIATION",2,$F$1))))</f>
        <v/>
      </c>
      <c r="F693" s="1" t="str">
        <f>IF(OR($B693="",F$7=""),"",IF($B693="MEANS",INDEX('1-DATA'!$1:$1048576,$A692-1,COLUMN('1-DATA'!E691)),ROUND(INDEX('1-DATA'!$1:$1048576,IF(OR($B693="STD. DEVIATION",$C$1=1),$A693,$A693+1),COLUMN('1-DATA'!E691)),IF($B693="STD. DEVIATION",2,$F$1))))</f>
        <v/>
      </c>
      <c r="G693" s="1" t="str">
        <f>IF(OR($B693="",G$7=""),"",IF($B693="MEANS",INDEX('1-DATA'!$1:$1048576,$A692-1,COLUMN('1-DATA'!F691)),ROUND(INDEX('1-DATA'!$1:$1048576,IF(OR($B693="STD. DEVIATION",$C$1=1),$A693,$A693+1),COLUMN('1-DATA'!F691)),IF($B693="STD. DEVIATION",2,$F$1))))</f>
        <v/>
      </c>
      <c r="H693" s="1" t="str">
        <f>IF(OR($B693="",H$7=""),"",IF($B693="MEANS",INDEX('1-DATA'!$1:$1048576,$A692-1,COLUMN('1-DATA'!G691)),ROUND(INDEX('1-DATA'!$1:$1048576,IF(OR($B693="STD. DEVIATION",$C$1=1),$A693,$A693+1),COLUMN('1-DATA'!G691)),IF($B693="STD. DEVIATION",2,$F$1))))</f>
        <v/>
      </c>
      <c r="I693" s="1" t="str">
        <f>IF(OR($B693="",I$7=""),"",IF($B693="MEANS",INDEX('1-DATA'!$1:$1048576,$A692-1,COLUMN('1-DATA'!H691)),ROUND(INDEX('1-DATA'!$1:$1048576,IF(OR($B693="STD. DEVIATION",$C$1=1),$A693,$A693+1),COLUMN('1-DATA'!H691)),IF($B693="STD. DEVIATION",2,$F$1))))</f>
        <v/>
      </c>
      <c r="J693" s="1" t="str">
        <f>IF(OR($B693="",J$7=""),"",IF($B693="MEANS",INDEX('1-DATA'!$1:$1048576,$A692-1,COLUMN('1-DATA'!I691)),ROUND(INDEX('1-DATA'!$1:$1048576,IF(OR($B693="STD. DEVIATION",$C$1=1),$A693,$A693+1),COLUMN('1-DATA'!I691)),IF($B693="STD. DEVIATION",2,$F$1))))</f>
        <v/>
      </c>
      <c r="K693" s="1" t="str">
        <f>IF(OR($B693="",K$7=""),"",IF($B693="MEANS",INDEX('1-DATA'!$1:$1048576,$A692-1,COLUMN('1-DATA'!J691)),ROUND(INDEX('1-DATA'!$1:$1048576,IF(OR($B693="STD. DEVIATION",$C$1=1),$A693,$A693+1),COLUMN('1-DATA'!J691)),IF($B693="STD. DEVIATION",2,$F$1))))</f>
        <v/>
      </c>
      <c r="L693" s="1" t="str">
        <f>IF(OR($B693="",L$7=""),"",IF($B693="MEANS",INDEX('1-DATA'!$1:$1048576,$A692-1,COLUMN('1-DATA'!K691)),ROUND(INDEX('1-DATA'!$1:$1048576,IF(OR($B693="STD. DEVIATION",$C$1=1),$A693,$A693+1),COLUMN('1-DATA'!K691)),IF($B693="STD. DEVIATION",2,$F$1))))</f>
        <v/>
      </c>
      <c r="M693" s="1" t="str">
        <f>IF(OR($B693="",M$7=""),"",IF($B693="MEANS",INDEX('1-DATA'!$1:$1048576,$A692-1,COLUMN('1-DATA'!L691)),ROUND(INDEX('1-DATA'!$1:$1048576,IF(OR($B693="STD. DEVIATION",$C$1=1),$A693,$A693+1),COLUMN('1-DATA'!L691)),IF($B693="STD. DEVIATION",2,$F$1))))</f>
        <v/>
      </c>
      <c r="N693" s="1" t="str">
        <f>IF(OR($B693="",N$7=""),"",IF($B693="MEANS",INDEX('1-DATA'!$1:$1048576,$A692-1,COLUMN('1-DATA'!M691)),ROUND(INDEX('1-DATA'!$1:$1048576,IF(OR($B693="STD. DEVIATION",$C$1=1),$A693,$A693+1),COLUMN('1-DATA'!M691)),IF($B693="STD. DEVIATION",2,$F$1))))</f>
        <v/>
      </c>
      <c r="O693" s="1" t="str">
        <f>IF(OR($B693="",O$7=""),"",IF($B693="MEANS",INDEX('1-DATA'!$1:$1048576,$A692-1,COLUMN('1-DATA'!N691)),ROUND(INDEX('1-DATA'!$1:$1048576,IF(OR($B693="STD. DEVIATION",$C$1=1),$A693,$A693+1),COLUMN('1-DATA'!N691)),IF($B693="STD. DEVIATION",2,$F$1))))</f>
        <v/>
      </c>
      <c r="P693" s="1" t="str">
        <f>IF(OR($B693="",P$7=""),"",IF($B693="MEANS",INDEX('1-DATA'!$1:$1048576,$A692-1,COLUMN('1-DATA'!O691)),ROUND(INDEX('1-DATA'!$1:$1048576,IF(OR($B693="STD. DEVIATION",$C$1=1),$A693,$A693+1),COLUMN('1-DATA'!O691)),IF($B693="STD. DEVIATION",2,$F$1))))</f>
        <v/>
      </c>
      <c r="Q693" s="1" t="str">
        <f>IF(OR($B693="",Q$7=""),"",IF($B693="MEANS",INDEX('1-DATA'!$1:$1048576,$A692-1,COLUMN('1-DATA'!P691)),ROUND(INDEX('1-DATA'!$1:$1048576,IF(OR($B693="STD. DEVIATION",$C$1=1),$A693,$A693+1),COLUMN('1-DATA'!P691)),IF($B693="STD. DEVIATION",2,$F$1))))</f>
        <v/>
      </c>
      <c r="R693" s="1" t="str">
        <f>IF(OR($B693="",R$7=""),"",IF($B693="MEANS",INDEX('1-DATA'!$1:$1048576,$A692-1,COLUMN('1-DATA'!Q691)),ROUND(INDEX('1-DATA'!$1:$1048576,IF(OR($B693="STD. DEVIATION",$C$1=1),$A693,$A693+1),COLUMN('1-DATA'!Q691)),IF($B693="STD. DEVIATION",2,$F$1))))</f>
        <v/>
      </c>
      <c r="S693" s="1" t="str">
        <f>IF(OR($B693="",S$7=""),"",IF($B693="MEANS",INDEX('1-DATA'!$1:$1048576,$A692-1,COLUMN('1-DATA'!R691)),ROUND(INDEX('1-DATA'!$1:$1048576,IF(OR($B693="STD. DEVIATION",$C$1=1),$A693,$A693+1),COLUMN('1-DATA'!R691)),IF($B693="STD. DEVIATION",2,$F$1))))</f>
        <v/>
      </c>
      <c r="T693" s="1" t="str">
        <f>IF(OR($B693="",T$7=""),"",IF($B693="MEANS",INDEX('1-DATA'!$1:$1048576,$A692-1,COLUMN('1-DATA'!S691)),ROUND(INDEX('1-DATA'!$1:$1048576,IF(OR($B693="STD. DEVIATION",$C$1=1),$A693,$A693+1),COLUMN('1-DATA'!S691)),IF($B693="STD. DEVIATION",2,$F$1))))</f>
        <v/>
      </c>
      <c r="U693" s="1" t="str">
        <f>IF(OR($B693="",U$7=""),"",IF($B693="MEANS",INDEX('1-DATA'!$1:$1048576,$A692-1,COLUMN('1-DATA'!T691)),ROUND(INDEX('1-DATA'!$1:$1048576,IF(OR($B693="STD. DEVIATION",$C$1=1),$A693,$A693+1),COLUMN('1-DATA'!T691)),IF($B693="STD. DEVIATION",2,$F$1))))</f>
        <v/>
      </c>
      <c r="V693" s="1" t="str">
        <f>IF(OR($B693="",V$7=""),"",IF($B693="MEANS",INDEX('1-DATA'!$1:$1048576,$A692-1,COLUMN('1-DATA'!U691)),ROUND(INDEX('1-DATA'!$1:$1048576,IF(OR($B693="STD. DEVIATION",$C$1=1),$A693,$A693+1),COLUMN('1-DATA'!U691)),IF($B693="STD. DEVIATION",2,$F$1))))</f>
        <v/>
      </c>
      <c r="W693" s="1" t="str">
        <f>IF(OR($B693="",W$7=""),"",IF($B693="MEANS",INDEX('1-DATA'!$1:$1048576,$A692-1,COLUMN('1-DATA'!V691)),ROUND(INDEX('1-DATA'!$1:$1048576,IF(OR($B693="STD. DEVIATION",$C$1=1),$A693,$A693+1),COLUMN('1-DATA'!V691)),IF($B693="STD. DEVIATION",2,$F$1))))</f>
        <v/>
      </c>
      <c r="X693" s="1" t="str">
        <f>IF(OR($B693="",X$7=""),"",IF($B693="MEANS",INDEX('1-DATA'!$1:$1048576,$A692-1,COLUMN('1-DATA'!W691)),ROUND(INDEX('1-DATA'!$1:$1048576,IF(OR($B693="STD. DEVIATION",$C$1=1),$A693,$A693+1),COLUMN('1-DATA'!W691)),IF($B693="STD. DEVIATION",2,$F$1))))</f>
        <v/>
      </c>
      <c r="Y693" s="1" t="str">
        <f>IF(OR($B693="",Y$7=""),"",IF($B693="MEANS",INDEX('1-DATA'!$1:$1048576,$A692-1,COLUMN('1-DATA'!X691)),ROUND(INDEX('1-DATA'!$1:$1048576,IF(OR($B693="STD. DEVIATION",$C$1=1),$A693,$A693+1),COLUMN('1-DATA'!X691)),IF($B693="STD. DEVIATION",2,$F$1))))</f>
        <v/>
      </c>
      <c r="Z693" s="1" t="str">
        <f>IF(OR($B693="",Z$7=""),"",IF($B693="MEANS",INDEX('1-DATA'!$1:$1048576,$A692-1,COLUMN('1-DATA'!Y691)),ROUND(INDEX('1-DATA'!$1:$1048576,IF(OR($B693="STD. DEVIATION",$C$1=1),$A693,$A693+1),COLUMN('1-DATA'!Y691)),IF($B693="STD. DEVIATION",2,$F$1))))</f>
        <v/>
      </c>
      <c r="AA693" s="1" t="str">
        <f>IF(OR($B693="",AA$7=""),"",IF($B693="MEANS",INDEX('1-DATA'!$1:$1048576,$A692-1,COLUMN('1-DATA'!Z691)),ROUND(INDEX('1-DATA'!$1:$1048576,IF(OR($B693="STD. DEVIATION",$C$1=1),$A693,$A693+1),COLUMN('1-DATA'!Z691)),IF($B693="STD. DEVIATION",2,$F$1))))</f>
        <v/>
      </c>
      <c r="AB693" s="1" t="str">
        <f>IF(OR($B693="",AB$7=""),"",IF($B693="MEANS",INDEX('1-DATA'!$1:$1048576,$A692-1,COLUMN('1-DATA'!AA691)),ROUND(INDEX('1-DATA'!$1:$1048576,IF(OR($B693="STD. DEVIATION",$C$1=1),$A693,$A693+1),COLUMN('1-DATA'!AA691)),IF($B693="STD. DEVIATION",2,$F$1))))</f>
        <v/>
      </c>
      <c r="AC693" s="1" t="str">
        <f>IF(OR($B693="",AC$7=""),"",IF($B693="MEANS",INDEX('1-DATA'!$1:$1048576,$A692-1,COLUMN('1-DATA'!AB691)),ROUND(INDEX('1-DATA'!$1:$1048576,IF(OR($B693="STD. DEVIATION",$C$1=1),$A693,$A693+1),COLUMN('1-DATA'!AB691)),IF($B693="STD. DEVIATION",2,$F$1))))</f>
        <v/>
      </c>
      <c r="AD693" s="1" t="str">
        <f>IF(OR($B693="",AD$7=""),"",IF($B693="MEANS",INDEX('1-DATA'!$1:$1048576,$A692-1,COLUMN('1-DATA'!AC691)),ROUND(INDEX('1-DATA'!$1:$1048576,IF(OR($B693="STD. DEVIATION",$C$1=1),$A693,$A693+1),COLUMN('1-DATA'!AC691)),IF($B693="STD. DEVIATION",2,$F$1))))</f>
        <v/>
      </c>
      <c r="AE693" s="1" t="str">
        <f>IF(OR($B693="",AE$7=""),"",IF($B693="MEANS",INDEX('1-DATA'!$1:$1048576,$A692-1,COLUMN('1-DATA'!AD691)),ROUND(INDEX('1-DATA'!$1:$1048576,IF(OR($B693="STD. DEVIATION",$C$1=1),$A693,$A693+1),COLUMN('1-DATA'!AD691)),IF($B693="STD. DEVIATION",2,$F$1))))</f>
        <v/>
      </c>
      <c r="AF693" s="1" t="str">
        <f>IF(OR($B693="",AF$7=""),"",IF($B693="MEANS",INDEX('1-DATA'!$1:$1048576,$A692-1,COLUMN('1-DATA'!AE691)),ROUND(INDEX('1-DATA'!$1:$1048576,IF(OR($B693="STD. DEVIATION",$C$1=1),$A693,$A693+1),COLUMN('1-DATA'!AE691)),IF($B693="STD. DEVIATION",2,$F$1))))</f>
        <v/>
      </c>
      <c r="AG693" s="1" t="str">
        <f>IF(OR($B693="",AG$7=""),"",IF($B693="MEANS",INDEX('1-DATA'!$1:$1048576,$A692-1,COLUMN('1-DATA'!AF691)),ROUND(INDEX('1-DATA'!$1:$1048576,IF(OR($B693="STD. DEVIATION",$C$1=1),$A693,$A693+1),COLUMN('1-DATA'!AF691)),IF($B693="STD. DEVIATION",2,$F$1))))</f>
        <v/>
      </c>
      <c r="AH693" s="1" t="str">
        <f>IF(OR($B693="",AH$7=""),"",IF($B693="MEANS",INDEX('1-DATA'!$1:$1048576,$A692-1,COLUMN('1-DATA'!AG691)),ROUND(INDEX('1-DATA'!$1:$1048576,IF(OR($B693="STD. DEVIATION",$C$1=1),$A693,$A693+1),COLUMN('1-DATA'!AG691)),IF($B693="STD. DEVIATION",2,$F$1))))</f>
        <v/>
      </c>
      <c r="AI693" s="1" t="str">
        <f>IF(OR($B693="",AI$7=""),"",IF($B693="MEANS",INDEX('1-DATA'!$1:$1048576,$A692-1,COLUMN('1-DATA'!AH691)),ROUND(INDEX('1-DATA'!$1:$1048576,IF(OR($B693="STD. DEVIATION",$C$1=1),$A693,$A693+1),COLUMN('1-DATA'!AH691)),IF($B693="STD. DEVIATION",2,$F$1))))</f>
        <v/>
      </c>
      <c r="AJ693" s="1" t="str">
        <f>IF(OR($B693="",AJ$7=""),"",IF($B693="MEANS",INDEX('1-DATA'!$1:$1048576,$A692-1,COLUMN('1-DATA'!AI691)),ROUND(INDEX('1-DATA'!$1:$1048576,IF(OR($B693="STD. DEVIATION",$C$1=1),$A693,$A693+1),COLUMN('1-DATA'!AI691)),IF($B693="STD. DEVIATION",2,$F$1))))</f>
        <v/>
      </c>
      <c r="AK693" s="1" t="str">
        <f>IF(OR($B693="",AK$7=""),"",IF($B693="MEANS",INDEX('1-DATA'!$1:$1048576,$A692-1,COLUMN('1-DATA'!AJ691)),ROUND(INDEX('1-DATA'!$1:$1048576,IF(OR($B693="STD. DEVIATION",$C$1=1),$A693,$A693+1),COLUMN('1-DATA'!AJ691)),IF($B693="STD. DEVIATION",2,$F$1))))</f>
        <v/>
      </c>
      <c r="AL693" s="1" t="str">
        <f>IF(OR($B693="",AL$7=""),"",IF($B693="MEANS",INDEX('1-DATA'!$1:$1048576,$A692-1,COLUMN('1-DATA'!AK691)),ROUND(INDEX('1-DATA'!$1:$1048576,IF(OR($B693="STD. DEVIATION",$C$1=1),$A693,$A693+1),COLUMN('1-DATA'!AK691)),IF($B693="STD. DEVIATION",2,$F$1))))</f>
        <v/>
      </c>
      <c r="AM693" s="1" t="str">
        <f>IF(OR($B693="",AM$7=""),"",IF($B693="MEANS",INDEX('1-DATA'!$1:$1048576,$A692-1,COLUMN('1-DATA'!AL691)),ROUND(INDEX('1-DATA'!$1:$1048576,IF(OR($B693="STD. DEVIATION",$C$1=1),$A693,$A693+1),COLUMN('1-DATA'!AL691)),IF($B693="STD. DEVIATION",2,$F$1))))</f>
        <v/>
      </c>
      <c r="AN693" s="1" t="str">
        <f>IF(OR($B693="",AN$7=""),"",IF($B693="MEANS",INDEX('1-DATA'!$1:$1048576,$A692-1,COLUMN('1-DATA'!AM691)),ROUND(INDEX('1-DATA'!$1:$1048576,IF(OR($B693="STD. DEVIATION",$C$1=1),$A693,$A693+1),COLUMN('1-DATA'!AM691)),IF($B693="STD. DEVIATION",2,$F$1))))</f>
        <v/>
      </c>
      <c r="AO693" s="1" t="str">
        <f>IF(OR($B693="",AO$7=""),"",IF($B693="MEANS",INDEX('1-DATA'!$1:$1048576,$A692-1,COLUMN('1-DATA'!AN691)),ROUND(INDEX('1-DATA'!$1:$1048576,IF(OR($B693="STD. DEVIATION",$C$1=1),$A693,$A693+1),COLUMN('1-DATA'!AN691)),IF($B693="STD. DEVIATION",2,$F$1))))</f>
        <v/>
      </c>
      <c r="AP693" s="1" t="str">
        <f>IF(OR($B693="",AP$7=""),"",IF($B693="MEANS",INDEX('1-DATA'!$1:$1048576,$A692-1,COLUMN('1-DATA'!AO691)),ROUND(INDEX('1-DATA'!$1:$1048576,IF(OR($B693="STD. DEVIATION",$C$1=1),$A693,$A693+1),COLUMN('1-DATA'!AO691)),IF($B693="STD. DEVIATION",2,$F$1))))</f>
        <v/>
      </c>
      <c r="AQ693" s="1" t="str">
        <f>IF(OR($B693="",AQ$7=""),"",IF($B693="MEANS",INDEX('1-DATA'!$1:$1048576,$A692-1,COLUMN('1-DATA'!AP691)),ROUND(INDEX('1-DATA'!$1:$1048576,IF(OR($B693="STD. DEVIATION",$C$1=1),$A693,$A693+1),COLUMN('1-DATA'!AP691)),IF($B693="STD. DEVIATION",2,$F$1))))</f>
        <v/>
      </c>
      <c r="AR693" s="1" t="str">
        <f>IF(OR($B693="",AR$7=""),"",IF($B693="MEANS",INDEX('1-DATA'!$1:$1048576,$A692-1,COLUMN('1-DATA'!AQ691)),ROUND(INDEX('1-DATA'!$1:$1048576,IF(OR($B693="STD. DEVIATION",$C$1=1),$A693,$A693+1),COLUMN('1-DATA'!AQ691)),IF($B693="STD. DEVIATION",2,$F$1))))</f>
        <v/>
      </c>
      <c r="AS693" s="1" t="str">
        <f>IF(OR($B693="",AS$7=""),"",IF($B693="MEANS",INDEX('1-DATA'!$1:$1048576,$A692-1,COLUMN('1-DATA'!AR691)),ROUND(INDEX('1-DATA'!$1:$1048576,IF(OR($B693="STD. DEVIATION",$C$1=1),$A693,$A693+1),COLUMN('1-DATA'!AR691)),IF($B693="STD. DEVIATION",2,$F$1))))</f>
        <v/>
      </c>
      <c r="AT693" s="1" t="str">
        <f>IF(OR($B693="",AT$7=""),"",IF($B693="MEANS",INDEX('1-DATA'!$1:$1048576,$A692-1,COLUMN('1-DATA'!AS691)),ROUND(INDEX('1-DATA'!$1:$1048576,IF(OR($B693="STD. DEVIATION",$C$1=1),$A693,$A693+1),COLUMN('1-DATA'!AS691)),IF($B693="STD. DEVIATION",2,$F$1))))</f>
        <v/>
      </c>
      <c r="AU693" s="1" t="str">
        <f>IF(OR($B693="",AU$7=""),"",IF($B693="MEANS",INDEX('1-DATA'!$1:$1048576,$A692-1,COLUMN('1-DATA'!AT691)),ROUND(INDEX('1-DATA'!$1:$1048576,IF(OR($B693="STD. DEVIATION",$C$1=1),$A693,$A693+1),COLUMN('1-DATA'!AT691)),IF($B693="STD. DEVIATION",2,$F$1))))</f>
        <v/>
      </c>
      <c r="AV693" s="1" t="str">
        <f>IF(OR($B693="",AV$7=""),"",IF($B693="MEANS",INDEX('1-DATA'!$1:$1048576,$A692-1,COLUMN('1-DATA'!AU691)),ROUND(INDEX('1-DATA'!$1:$1048576,IF(OR($B693="STD. DEVIATION",$C$1=1),$A693,$A693+1),COLUMN('1-DATA'!AU691)),IF($B693="STD. DEVIATION",2,$F$1))))</f>
        <v/>
      </c>
      <c r="AW693" s="1" t="str">
        <f>IF(OR($B693="",AW$7=""),"",IF($B693="MEANS",INDEX('1-DATA'!$1:$1048576,$A692-1,COLUMN('1-DATA'!AV691)),ROUND(INDEX('1-DATA'!$1:$1048576,IF(OR($B693="STD. DEVIATION",$C$1=1),$A693,$A693+1),COLUMN('1-DATA'!AV691)),IF($B693="STD. DEVIATION",2,$F$1))))</f>
        <v/>
      </c>
      <c r="AX693" s="1" t="str">
        <f>IF(OR($B693="",AX$7=""),"",IF($B693="MEANS",INDEX('1-DATA'!$1:$1048576,$A692-1,COLUMN('1-DATA'!AW691)),ROUND(INDEX('1-DATA'!$1:$1048576,IF(OR($B693="STD. DEVIATION",$C$1=1),$A693,$A693+1),COLUMN('1-DATA'!AW691)),IF($B693="STD. DEVIATION",2,$F$1))))</f>
        <v/>
      </c>
      <c r="AY693" s="1" t="str">
        <f>IF(OR($B693="",AY$7=""),"",IF($B693="MEANS",INDEX('1-DATA'!$1:$1048576,$A692-1,COLUMN('1-DATA'!AX691)),ROUND(INDEX('1-DATA'!$1:$1048576,IF(OR($B693="STD. DEVIATION",$C$1=1),$A693,$A693+1),COLUMN('1-DATA'!AX691)),IF($B693="STD. DEVIATION",2,$F$1))))</f>
        <v/>
      </c>
      <c r="AZ693" s="1" t="str">
        <f>IF(OR($B693="",AZ$7=""),"",IF($B693="MEANS",INDEX('1-DATA'!$1:$1048576,$A692-1,COLUMN('1-DATA'!AY691)),ROUND(INDEX('1-DATA'!$1:$1048576,IF(OR($B693="STD. DEVIATION",$C$1=1),$A693,$A693+1),COLUMN('1-DATA'!AY691)),IF($B693="STD. DEVIATION",2,$F$1))))</f>
        <v/>
      </c>
    </row>
    <row r="694" spans="1:52" x14ac:dyDescent="0.25">
      <c r="A694" s="11">
        <f t="shared" si="11"/>
        <v>2068</v>
      </c>
      <c r="B694" s="1" t="str">
        <f>IF(B693="STD. DEVIATION",INDEX('1-DATA'!$1:$1048576,$A693-1,1),IF(INDEX('1-DATA'!$1:$1048576,$A694,1)&lt;&gt;"",INDEX('1-DATA'!$1:$1048576,$A694,1),""))</f>
        <v/>
      </c>
      <c r="C694" s="1" t="str">
        <f>IF(OR($B694="",C$7=""),"",IF($B694="MEANS",INDEX('1-DATA'!$1:$1048576,$A693-1,COLUMN('1-DATA'!B692)),ROUND(INDEX('1-DATA'!$1:$1048576,IF(OR($B694="STD. DEVIATION",$C$1=1),$A694,$A694+1),COLUMN('1-DATA'!B692)),IF($B694="STD. DEVIATION",2,$F$1))))</f>
        <v/>
      </c>
      <c r="D694" s="1" t="str">
        <f>IF(OR($B694="",D$7=""),"",IF($B694="MEANS",INDEX('1-DATA'!$1:$1048576,$A693-1,COLUMN('1-DATA'!C692)),ROUND(INDEX('1-DATA'!$1:$1048576,IF(OR($B694="STD. DEVIATION",$C$1=1),$A694,$A694+1),COLUMN('1-DATA'!C692)),IF($B694="STD. DEVIATION",2,$F$1))))</f>
        <v/>
      </c>
      <c r="E694" s="1" t="str">
        <f>IF(OR($B694="",E$7=""),"",IF($B694="MEANS",INDEX('1-DATA'!$1:$1048576,$A693-1,COLUMN('1-DATA'!D692)),ROUND(INDEX('1-DATA'!$1:$1048576,IF(OR($B694="STD. DEVIATION",$C$1=1),$A694,$A694+1),COLUMN('1-DATA'!D692)),IF($B694="STD. DEVIATION",2,$F$1))))</f>
        <v/>
      </c>
      <c r="F694" s="1" t="str">
        <f>IF(OR($B694="",F$7=""),"",IF($B694="MEANS",INDEX('1-DATA'!$1:$1048576,$A693-1,COLUMN('1-DATA'!E692)),ROUND(INDEX('1-DATA'!$1:$1048576,IF(OR($B694="STD. DEVIATION",$C$1=1),$A694,$A694+1),COLUMN('1-DATA'!E692)),IF($B694="STD. DEVIATION",2,$F$1))))</f>
        <v/>
      </c>
      <c r="G694" s="1" t="str">
        <f>IF(OR($B694="",G$7=""),"",IF($B694="MEANS",INDEX('1-DATA'!$1:$1048576,$A693-1,COLUMN('1-DATA'!F692)),ROUND(INDEX('1-DATA'!$1:$1048576,IF(OR($B694="STD. DEVIATION",$C$1=1),$A694,$A694+1),COLUMN('1-DATA'!F692)),IF($B694="STD. DEVIATION",2,$F$1))))</f>
        <v/>
      </c>
      <c r="H694" s="1" t="str">
        <f>IF(OR($B694="",H$7=""),"",IF($B694="MEANS",INDEX('1-DATA'!$1:$1048576,$A693-1,COLUMN('1-DATA'!G692)),ROUND(INDEX('1-DATA'!$1:$1048576,IF(OR($B694="STD. DEVIATION",$C$1=1),$A694,$A694+1),COLUMN('1-DATA'!G692)),IF($B694="STD. DEVIATION",2,$F$1))))</f>
        <v/>
      </c>
      <c r="I694" s="1" t="str">
        <f>IF(OR($B694="",I$7=""),"",IF($B694="MEANS",INDEX('1-DATA'!$1:$1048576,$A693-1,COLUMN('1-DATA'!H692)),ROUND(INDEX('1-DATA'!$1:$1048576,IF(OR($B694="STD. DEVIATION",$C$1=1),$A694,$A694+1),COLUMN('1-DATA'!H692)),IF($B694="STD. DEVIATION",2,$F$1))))</f>
        <v/>
      </c>
      <c r="J694" s="1" t="str">
        <f>IF(OR($B694="",J$7=""),"",IF($B694="MEANS",INDEX('1-DATA'!$1:$1048576,$A693-1,COLUMN('1-DATA'!I692)),ROUND(INDEX('1-DATA'!$1:$1048576,IF(OR($B694="STD. DEVIATION",$C$1=1),$A694,$A694+1),COLUMN('1-DATA'!I692)),IF($B694="STD. DEVIATION",2,$F$1))))</f>
        <v/>
      </c>
      <c r="K694" s="1" t="str">
        <f>IF(OR($B694="",K$7=""),"",IF($B694="MEANS",INDEX('1-DATA'!$1:$1048576,$A693-1,COLUMN('1-DATA'!J692)),ROUND(INDEX('1-DATA'!$1:$1048576,IF(OR($B694="STD. DEVIATION",$C$1=1),$A694,$A694+1),COLUMN('1-DATA'!J692)),IF($B694="STD. DEVIATION",2,$F$1))))</f>
        <v/>
      </c>
      <c r="L694" s="1" t="str">
        <f>IF(OR($B694="",L$7=""),"",IF($B694="MEANS",INDEX('1-DATA'!$1:$1048576,$A693-1,COLUMN('1-DATA'!K692)),ROUND(INDEX('1-DATA'!$1:$1048576,IF(OR($B694="STD. DEVIATION",$C$1=1),$A694,$A694+1),COLUMN('1-DATA'!K692)),IF($B694="STD. DEVIATION",2,$F$1))))</f>
        <v/>
      </c>
      <c r="M694" s="1" t="str">
        <f>IF(OR($B694="",M$7=""),"",IF($B694="MEANS",INDEX('1-DATA'!$1:$1048576,$A693-1,COLUMN('1-DATA'!L692)),ROUND(INDEX('1-DATA'!$1:$1048576,IF(OR($B694="STD. DEVIATION",$C$1=1),$A694,$A694+1),COLUMN('1-DATA'!L692)),IF($B694="STD. DEVIATION",2,$F$1))))</f>
        <v/>
      </c>
      <c r="N694" s="1" t="str">
        <f>IF(OR($B694="",N$7=""),"",IF($B694="MEANS",INDEX('1-DATA'!$1:$1048576,$A693-1,COLUMN('1-DATA'!M692)),ROUND(INDEX('1-DATA'!$1:$1048576,IF(OR($B694="STD. DEVIATION",$C$1=1),$A694,$A694+1),COLUMN('1-DATA'!M692)),IF($B694="STD. DEVIATION",2,$F$1))))</f>
        <v/>
      </c>
      <c r="O694" s="1" t="str">
        <f>IF(OR($B694="",O$7=""),"",IF($B694="MEANS",INDEX('1-DATA'!$1:$1048576,$A693-1,COLUMN('1-DATA'!N692)),ROUND(INDEX('1-DATA'!$1:$1048576,IF(OR($B694="STD. DEVIATION",$C$1=1),$A694,$A694+1),COLUMN('1-DATA'!N692)),IF($B694="STD. DEVIATION",2,$F$1))))</f>
        <v/>
      </c>
      <c r="P694" s="1" t="str">
        <f>IF(OR($B694="",P$7=""),"",IF($B694="MEANS",INDEX('1-DATA'!$1:$1048576,$A693-1,COLUMN('1-DATA'!O692)),ROUND(INDEX('1-DATA'!$1:$1048576,IF(OR($B694="STD. DEVIATION",$C$1=1),$A694,$A694+1),COLUMN('1-DATA'!O692)),IF($B694="STD. DEVIATION",2,$F$1))))</f>
        <v/>
      </c>
      <c r="Q694" s="1" t="str">
        <f>IF(OR($B694="",Q$7=""),"",IF($B694="MEANS",INDEX('1-DATA'!$1:$1048576,$A693-1,COLUMN('1-DATA'!P692)),ROUND(INDEX('1-DATA'!$1:$1048576,IF(OR($B694="STD. DEVIATION",$C$1=1),$A694,$A694+1),COLUMN('1-DATA'!P692)),IF($B694="STD. DEVIATION",2,$F$1))))</f>
        <v/>
      </c>
      <c r="R694" s="1" t="str">
        <f>IF(OR($B694="",R$7=""),"",IF($B694="MEANS",INDEX('1-DATA'!$1:$1048576,$A693-1,COLUMN('1-DATA'!Q692)),ROUND(INDEX('1-DATA'!$1:$1048576,IF(OR($B694="STD. DEVIATION",$C$1=1),$A694,$A694+1),COLUMN('1-DATA'!Q692)),IF($B694="STD. DEVIATION",2,$F$1))))</f>
        <v/>
      </c>
      <c r="S694" s="1" t="str">
        <f>IF(OR($B694="",S$7=""),"",IF($B694="MEANS",INDEX('1-DATA'!$1:$1048576,$A693-1,COLUMN('1-DATA'!R692)),ROUND(INDEX('1-DATA'!$1:$1048576,IF(OR($B694="STD. DEVIATION",$C$1=1),$A694,$A694+1),COLUMN('1-DATA'!R692)),IF($B694="STD. DEVIATION",2,$F$1))))</f>
        <v/>
      </c>
      <c r="T694" s="1" t="str">
        <f>IF(OR($B694="",T$7=""),"",IF($B694="MEANS",INDEX('1-DATA'!$1:$1048576,$A693-1,COLUMN('1-DATA'!S692)),ROUND(INDEX('1-DATA'!$1:$1048576,IF(OR($B694="STD. DEVIATION",$C$1=1),$A694,$A694+1),COLUMN('1-DATA'!S692)),IF($B694="STD. DEVIATION",2,$F$1))))</f>
        <v/>
      </c>
      <c r="U694" s="1" t="str">
        <f>IF(OR($B694="",U$7=""),"",IF($B694="MEANS",INDEX('1-DATA'!$1:$1048576,$A693-1,COLUMN('1-DATA'!T692)),ROUND(INDEX('1-DATA'!$1:$1048576,IF(OR($B694="STD. DEVIATION",$C$1=1),$A694,$A694+1),COLUMN('1-DATA'!T692)),IF($B694="STD. DEVIATION",2,$F$1))))</f>
        <v/>
      </c>
      <c r="V694" s="1" t="str">
        <f>IF(OR($B694="",V$7=""),"",IF($B694="MEANS",INDEX('1-DATA'!$1:$1048576,$A693-1,COLUMN('1-DATA'!U692)),ROUND(INDEX('1-DATA'!$1:$1048576,IF(OR($B694="STD. DEVIATION",$C$1=1),$A694,$A694+1),COLUMN('1-DATA'!U692)),IF($B694="STD. DEVIATION",2,$F$1))))</f>
        <v/>
      </c>
      <c r="W694" s="1" t="str">
        <f>IF(OR($B694="",W$7=""),"",IF($B694="MEANS",INDEX('1-DATA'!$1:$1048576,$A693-1,COLUMN('1-DATA'!V692)),ROUND(INDEX('1-DATA'!$1:$1048576,IF(OR($B694="STD. DEVIATION",$C$1=1),$A694,$A694+1),COLUMN('1-DATA'!V692)),IF($B694="STD. DEVIATION",2,$F$1))))</f>
        <v/>
      </c>
      <c r="X694" s="1" t="str">
        <f>IF(OR($B694="",X$7=""),"",IF($B694="MEANS",INDEX('1-DATA'!$1:$1048576,$A693-1,COLUMN('1-DATA'!W692)),ROUND(INDEX('1-DATA'!$1:$1048576,IF(OR($B694="STD. DEVIATION",$C$1=1),$A694,$A694+1),COLUMN('1-DATA'!W692)),IF($B694="STD. DEVIATION",2,$F$1))))</f>
        <v/>
      </c>
      <c r="Y694" s="1" t="str">
        <f>IF(OR($B694="",Y$7=""),"",IF($B694="MEANS",INDEX('1-DATA'!$1:$1048576,$A693-1,COLUMN('1-DATA'!X692)),ROUND(INDEX('1-DATA'!$1:$1048576,IF(OR($B694="STD. DEVIATION",$C$1=1),$A694,$A694+1),COLUMN('1-DATA'!X692)),IF($B694="STD. DEVIATION",2,$F$1))))</f>
        <v/>
      </c>
      <c r="Z694" s="1" t="str">
        <f>IF(OR($B694="",Z$7=""),"",IF($B694="MEANS",INDEX('1-DATA'!$1:$1048576,$A693-1,COLUMN('1-DATA'!Y692)),ROUND(INDEX('1-DATA'!$1:$1048576,IF(OR($B694="STD. DEVIATION",$C$1=1),$A694,$A694+1),COLUMN('1-DATA'!Y692)),IF($B694="STD. DEVIATION",2,$F$1))))</f>
        <v/>
      </c>
      <c r="AA694" s="1" t="str">
        <f>IF(OR($B694="",AA$7=""),"",IF($B694="MEANS",INDEX('1-DATA'!$1:$1048576,$A693-1,COLUMN('1-DATA'!Z692)),ROUND(INDEX('1-DATA'!$1:$1048576,IF(OR($B694="STD. DEVIATION",$C$1=1),$A694,$A694+1),COLUMN('1-DATA'!Z692)),IF($B694="STD. DEVIATION",2,$F$1))))</f>
        <v/>
      </c>
      <c r="AB694" s="1" t="str">
        <f>IF(OR($B694="",AB$7=""),"",IF($B694="MEANS",INDEX('1-DATA'!$1:$1048576,$A693-1,COLUMN('1-DATA'!AA692)),ROUND(INDEX('1-DATA'!$1:$1048576,IF(OR($B694="STD. DEVIATION",$C$1=1),$A694,$A694+1),COLUMN('1-DATA'!AA692)),IF($B694="STD. DEVIATION",2,$F$1))))</f>
        <v/>
      </c>
      <c r="AC694" s="1" t="str">
        <f>IF(OR($B694="",AC$7=""),"",IF($B694="MEANS",INDEX('1-DATA'!$1:$1048576,$A693-1,COLUMN('1-DATA'!AB692)),ROUND(INDEX('1-DATA'!$1:$1048576,IF(OR($B694="STD. DEVIATION",$C$1=1),$A694,$A694+1),COLUMN('1-DATA'!AB692)),IF($B694="STD. DEVIATION",2,$F$1))))</f>
        <v/>
      </c>
      <c r="AD694" s="1" t="str">
        <f>IF(OR($B694="",AD$7=""),"",IF($B694="MEANS",INDEX('1-DATA'!$1:$1048576,$A693-1,COLUMN('1-DATA'!AC692)),ROUND(INDEX('1-DATA'!$1:$1048576,IF(OR($B694="STD. DEVIATION",$C$1=1),$A694,$A694+1),COLUMN('1-DATA'!AC692)),IF($B694="STD. DEVIATION",2,$F$1))))</f>
        <v/>
      </c>
      <c r="AE694" s="1" t="str">
        <f>IF(OR($B694="",AE$7=""),"",IF($B694="MEANS",INDEX('1-DATA'!$1:$1048576,$A693-1,COLUMN('1-DATA'!AD692)),ROUND(INDEX('1-DATA'!$1:$1048576,IF(OR($B694="STD. DEVIATION",$C$1=1),$A694,$A694+1),COLUMN('1-DATA'!AD692)),IF($B694="STD. DEVIATION",2,$F$1))))</f>
        <v/>
      </c>
      <c r="AF694" s="1" t="str">
        <f>IF(OR($B694="",AF$7=""),"",IF($B694="MEANS",INDEX('1-DATA'!$1:$1048576,$A693-1,COLUMN('1-DATA'!AE692)),ROUND(INDEX('1-DATA'!$1:$1048576,IF(OR($B694="STD. DEVIATION",$C$1=1),$A694,$A694+1),COLUMN('1-DATA'!AE692)),IF($B694="STD. DEVIATION",2,$F$1))))</f>
        <v/>
      </c>
      <c r="AG694" s="1" t="str">
        <f>IF(OR($B694="",AG$7=""),"",IF($B694="MEANS",INDEX('1-DATA'!$1:$1048576,$A693-1,COLUMN('1-DATA'!AF692)),ROUND(INDEX('1-DATA'!$1:$1048576,IF(OR($B694="STD. DEVIATION",$C$1=1),$A694,$A694+1),COLUMN('1-DATA'!AF692)),IF($B694="STD. DEVIATION",2,$F$1))))</f>
        <v/>
      </c>
      <c r="AH694" s="1" t="str">
        <f>IF(OR($B694="",AH$7=""),"",IF($B694="MEANS",INDEX('1-DATA'!$1:$1048576,$A693-1,COLUMN('1-DATA'!AG692)),ROUND(INDEX('1-DATA'!$1:$1048576,IF(OR($B694="STD. DEVIATION",$C$1=1),$A694,$A694+1),COLUMN('1-DATA'!AG692)),IF($B694="STD. DEVIATION",2,$F$1))))</f>
        <v/>
      </c>
      <c r="AI694" s="1" t="str">
        <f>IF(OR($B694="",AI$7=""),"",IF($B694="MEANS",INDEX('1-DATA'!$1:$1048576,$A693-1,COLUMN('1-DATA'!AH692)),ROUND(INDEX('1-DATA'!$1:$1048576,IF(OR($B694="STD. DEVIATION",$C$1=1),$A694,$A694+1),COLUMN('1-DATA'!AH692)),IF($B694="STD. DEVIATION",2,$F$1))))</f>
        <v/>
      </c>
      <c r="AJ694" s="1" t="str">
        <f>IF(OR($B694="",AJ$7=""),"",IF($B694="MEANS",INDEX('1-DATA'!$1:$1048576,$A693-1,COLUMN('1-DATA'!AI692)),ROUND(INDEX('1-DATA'!$1:$1048576,IF(OR($B694="STD. DEVIATION",$C$1=1),$A694,$A694+1),COLUMN('1-DATA'!AI692)),IF($B694="STD. DEVIATION",2,$F$1))))</f>
        <v/>
      </c>
      <c r="AK694" s="1" t="str">
        <f>IF(OR($B694="",AK$7=""),"",IF($B694="MEANS",INDEX('1-DATA'!$1:$1048576,$A693-1,COLUMN('1-DATA'!AJ692)),ROUND(INDEX('1-DATA'!$1:$1048576,IF(OR($B694="STD. DEVIATION",$C$1=1),$A694,$A694+1),COLUMN('1-DATA'!AJ692)),IF($B694="STD. DEVIATION",2,$F$1))))</f>
        <v/>
      </c>
      <c r="AL694" s="1" t="str">
        <f>IF(OR($B694="",AL$7=""),"",IF($B694="MEANS",INDEX('1-DATA'!$1:$1048576,$A693-1,COLUMN('1-DATA'!AK692)),ROUND(INDEX('1-DATA'!$1:$1048576,IF(OR($B694="STD. DEVIATION",$C$1=1),$A694,$A694+1),COLUMN('1-DATA'!AK692)),IF($B694="STD. DEVIATION",2,$F$1))))</f>
        <v/>
      </c>
      <c r="AM694" s="1" t="str">
        <f>IF(OR($B694="",AM$7=""),"",IF($B694="MEANS",INDEX('1-DATA'!$1:$1048576,$A693-1,COLUMN('1-DATA'!AL692)),ROUND(INDEX('1-DATA'!$1:$1048576,IF(OR($B694="STD. DEVIATION",$C$1=1),$A694,$A694+1),COLUMN('1-DATA'!AL692)),IF($B694="STD. DEVIATION",2,$F$1))))</f>
        <v/>
      </c>
      <c r="AN694" s="1" t="str">
        <f>IF(OR($B694="",AN$7=""),"",IF($B694="MEANS",INDEX('1-DATA'!$1:$1048576,$A693-1,COLUMN('1-DATA'!AM692)),ROUND(INDEX('1-DATA'!$1:$1048576,IF(OR($B694="STD. DEVIATION",$C$1=1),$A694,$A694+1),COLUMN('1-DATA'!AM692)),IF($B694="STD. DEVIATION",2,$F$1))))</f>
        <v/>
      </c>
      <c r="AO694" s="1" t="str">
        <f>IF(OR($B694="",AO$7=""),"",IF($B694="MEANS",INDEX('1-DATA'!$1:$1048576,$A693-1,COLUMN('1-DATA'!AN692)),ROUND(INDEX('1-DATA'!$1:$1048576,IF(OR($B694="STD. DEVIATION",$C$1=1),$A694,$A694+1),COLUMN('1-DATA'!AN692)),IF($B694="STD. DEVIATION",2,$F$1))))</f>
        <v/>
      </c>
      <c r="AP694" s="1" t="str">
        <f>IF(OR($B694="",AP$7=""),"",IF($B694="MEANS",INDEX('1-DATA'!$1:$1048576,$A693-1,COLUMN('1-DATA'!AO692)),ROUND(INDEX('1-DATA'!$1:$1048576,IF(OR($B694="STD. DEVIATION",$C$1=1),$A694,$A694+1),COLUMN('1-DATA'!AO692)),IF($B694="STD. DEVIATION",2,$F$1))))</f>
        <v/>
      </c>
      <c r="AQ694" s="1" t="str">
        <f>IF(OR($B694="",AQ$7=""),"",IF($B694="MEANS",INDEX('1-DATA'!$1:$1048576,$A693-1,COLUMN('1-DATA'!AP692)),ROUND(INDEX('1-DATA'!$1:$1048576,IF(OR($B694="STD. DEVIATION",$C$1=1),$A694,$A694+1),COLUMN('1-DATA'!AP692)),IF($B694="STD. DEVIATION",2,$F$1))))</f>
        <v/>
      </c>
      <c r="AR694" s="1" t="str">
        <f>IF(OR($B694="",AR$7=""),"",IF($B694="MEANS",INDEX('1-DATA'!$1:$1048576,$A693-1,COLUMN('1-DATA'!AQ692)),ROUND(INDEX('1-DATA'!$1:$1048576,IF(OR($B694="STD. DEVIATION",$C$1=1),$A694,$A694+1),COLUMN('1-DATA'!AQ692)),IF($B694="STD. DEVIATION",2,$F$1))))</f>
        <v/>
      </c>
      <c r="AS694" s="1" t="str">
        <f>IF(OR($B694="",AS$7=""),"",IF($B694="MEANS",INDEX('1-DATA'!$1:$1048576,$A693-1,COLUMN('1-DATA'!AR692)),ROUND(INDEX('1-DATA'!$1:$1048576,IF(OR($B694="STD. DEVIATION",$C$1=1),$A694,$A694+1),COLUMN('1-DATA'!AR692)),IF($B694="STD. DEVIATION",2,$F$1))))</f>
        <v/>
      </c>
      <c r="AT694" s="1" t="str">
        <f>IF(OR($B694="",AT$7=""),"",IF($B694="MEANS",INDEX('1-DATA'!$1:$1048576,$A693-1,COLUMN('1-DATA'!AS692)),ROUND(INDEX('1-DATA'!$1:$1048576,IF(OR($B694="STD. DEVIATION",$C$1=1),$A694,$A694+1),COLUMN('1-DATA'!AS692)),IF($B694="STD. DEVIATION",2,$F$1))))</f>
        <v/>
      </c>
      <c r="AU694" s="1" t="str">
        <f>IF(OR($B694="",AU$7=""),"",IF($B694="MEANS",INDEX('1-DATA'!$1:$1048576,$A693-1,COLUMN('1-DATA'!AT692)),ROUND(INDEX('1-DATA'!$1:$1048576,IF(OR($B694="STD. DEVIATION",$C$1=1),$A694,$A694+1),COLUMN('1-DATA'!AT692)),IF($B694="STD. DEVIATION",2,$F$1))))</f>
        <v/>
      </c>
      <c r="AV694" s="1" t="str">
        <f>IF(OR($B694="",AV$7=""),"",IF($B694="MEANS",INDEX('1-DATA'!$1:$1048576,$A693-1,COLUMN('1-DATA'!AU692)),ROUND(INDEX('1-DATA'!$1:$1048576,IF(OR($B694="STD. DEVIATION",$C$1=1),$A694,$A694+1),COLUMN('1-DATA'!AU692)),IF($B694="STD. DEVIATION",2,$F$1))))</f>
        <v/>
      </c>
      <c r="AW694" s="1" t="str">
        <f>IF(OR($B694="",AW$7=""),"",IF($B694="MEANS",INDEX('1-DATA'!$1:$1048576,$A693-1,COLUMN('1-DATA'!AV692)),ROUND(INDEX('1-DATA'!$1:$1048576,IF(OR($B694="STD. DEVIATION",$C$1=1),$A694,$A694+1),COLUMN('1-DATA'!AV692)),IF($B694="STD. DEVIATION",2,$F$1))))</f>
        <v/>
      </c>
      <c r="AX694" s="1" t="str">
        <f>IF(OR($B694="",AX$7=""),"",IF($B694="MEANS",INDEX('1-DATA'!$1:$1048576,$A693-1,COLUMN('1-DATA'!AW692)),ROUND(INDEX('1-DATA'!$1:$1048576,IF(OR($B694="STD. DEVIATION",$C$1=1),$A694,$A694+1),COLUMN('1-DATA'!AW692)),IF($B694="STD. DEVIATION",2,$F$1))))</f>
        <v/>
      </c>
      <c r="AY694" s="1" t="str">
        <f>IF(OR($B694="",AY$7=""),"",IF($B694="MEANS",INDEX('1-DATA'!$1:$1048576,$A693-1,COLUMN('1-DATA'!AX692)),ROUND(INDEX('1-DATA'!$1:$1048576,IF(OR($B694="STD. DEVIATION",$C$1=1),$A694,$A694+1),COLUMN('1-DATA'!AX692)),IF($B694="STD. DEVIATION",2,$F$1))))</f>
        <v/>
      </c>
      <c r="AZ694" s="1" t="str">
        <f>IF(OR($B694="",AZ$7=""),"",IF($B694="MEANS",INDEX('1-DATA'!$1:$1048576,$A693-1,COLUMN('1-DATA'!AY692)),ROUND(INDEX('1-DATA'!$1:$1048576,IF(OR($B694="STD. DEVIATION",$C$1=1),$A694,$A694+1),COLUMN('1-DATA'!AY692)),IF($B694="STD. DEVIATION",2,$F$1))))</f>
        <v/>
      </c>
    </row>
    <row r="695" spans="1:52" x14ac:dyDescent="0.25">
      <c r="A695" s="11">
        <f t="shared" si="11"/>
        <v>2071</v>
      </c>
      <c r="B695" s="1" t="str">
        <f>IF(B694="STD. DEVIATION",INDEX('1-DATA'!$1:$1048576,$A694-1,1),IF(INDEX('1-DATA'!$1:$1048576,$A695,1)&lt;&gt;"",INDEX('1-DATA'!$1:$1048576,$A695,1),""))</f>
        <v/>
      </c>
      <c r="C695" s="1" t="str">
        <f>IF(OR($B695="",C$7=""),"",IF($B695="MEANS",INDEX('1-DATA'!$1:$1048576,$A694-1,COLUMN('1-DATA'!B693)),ROUND(INDEX('1-DATA'!$1:$1048576,IF(OR($B695="STD. DEVIATION",$C$1=1),$A695,$A695+1),COLUMN('1-DATA'!B693)),IF($B695="STD. DEVIATION",2,$F$1))))</f>
        <v/>
      </c>
      <c r="D695" s="1" t="str">
        <f>IF(OR($B695="",D$7=""),"",IF($B695="MEANS",INDEX('1-DATA'!$1:$1048576,$A694-1,COLUMN('1-DATA'!C693)),ROUND(INDEX('1-DATA'!$1:$1048576,IF(OR($B695="STD. DEVIATION",$C$1=1),$A695,$A695+1),COLUMN('1-DATA'!C693)),IF($B695="STD. DEVIATION",2,$F$1))))</f>
        <v/>
      </c>
      <c r="E695" s="1" t="str">
        <f>IF(OR($B695="",E$7=""),"",IF($B695="MEANS",INDEX('1-DATA'!$1:$1048576,$A694-1,COLUMN('1-DATA'!D693)),ROUND(INDEX('1-DATA'!$1:$1048576,IF(OR($B695="STD. DEVIATION",$C$1=1),$A695,$A695+1),COLUMN('1-DATA'!D693)),IF($B695="STD. DEVIATION",2,$F$1))))</f>
        <v/>
      </c>
      <c r="F695" s="1" t="str">
        <f>IF(OR($B695="",F$7=""),"",IF($B695="MEANS",INDEX('1-DATA'!$1:$1048576,$A694-1,COLUMN('1-DATA'!E693)),ROUND(INDEX('1-DATA'!$1:$1048576,IF(OR($B695="STD. DEVIATION",$C$1=1),$A695,$A695+1),COLUMN('1-DATA'!E693)),IF($B695="STD. DEVIATION",2,$F$1))))</f>
        <v/>
      </c>
      <c r="G695" s="1" t="str">
        <f>IF(OR($B695="",G$7=""),"",IF($B695="MEANS",INDEX('1-DATA'!$1:$1048576,$A694-1,COLUMN('1-DATA'!F693)),ROUND(INDEX('1-DATA'!$1:$1048576,IF(OR($B695="STD. DEVIATION",$C$1=1),$A695,$A695+1),COLUMN('1-DATA'!F693)),IF($B695="STD. DEVIATION",2,$F$1))))</f>
        <v/>
      </c>
      <c r="H695" s="1" t="str">
        <f>IF(OR($B695="",H$7=""),"",IF($B695="MEANS",INDEX('1-DATA'!$1:$1048576,$A694-1,COLUMN('1-DATA'!G693)),ROUND(INDEX('1-DATA'!$1:$1048576,IF(OR($B695="STD. DEVIATION",$C$1=1),$A695,$A695+1),COLUMN('1-DATA'!G693)),IF($B695="STD. DEVIATION",2,$F$1))))</f>
        <v/>
      </c>
      <c r="I695" s="1" t="str">
        <f>IF(OR($B695="",I$7=""),"",IF($B695="MEANS",INDEX('1-DATA'!$1:$1048576,$A694-1,COLUMN('1-DATA'!H693)),ROUND(INDEX('1-DATA'!$1:$1048576,IF(OR($B695="STD. DEVIATION",$C$1=1),$A695,$A695+1),COLUMN('1-DATA'!H693)),IF($B695="STD. DEVIATION",2,$F$1))))</f>
        <v/>
      </c>
      <c r="J695" s="1" t="str">
        <f>IF(OR($B695="",J$7=""),"",IF($B695="MEANS",INDEX('1-DATA'!$1:$1048576,$A694-1,COLUMN('1-DATA'!I693)),ROUND(INDEX('1-DATA'!$1:$1048576,IF(OR($B695="STD. DEVIATION",$C$1=1),$A695,$A695+1),COLUMN('1-DATA'!I693)),IF($B695="STD. DEVIATION",2,$F$1))))</f>
        <v/>
      </c>
      <c r="K695" s="1" t="str">
        <f>IF(OR($B695="",K$7=""),"",IF($B695="MEANS",INDEX('1-DATA'!$1:$1048576,$A694-1,COLUMN('1-DATA'!J693)),ROUND(INDEX('1-DATA'!$1:$1048576,IF(OR($B695="STD. DEVIATION",$C$1=1),$A695,$A695+1),COLUMN('1-DATA'!J693)),IF($B695="STD. DEVIATION",2,$F$1))))</f>
        <v/>
      </c>
      <c r="L695" s="1" t="str">
        <f>IF(OR($B695="",L$7=""),"",IF($B695="MEANS",INDEX('1-DATA'!$1:$1048576,$A694-1,COLUMN('1-DATA'!K693)),ROUND(INDEX('1-DATA'!$1:$1048576,IF(OR($B695="STD. DEVIATION",$C$1=1),$A695,$A695+1),COLUMN('1-DATA'!K693)),IF($B695="STD. DEVIATION",2,$F$1))))</f>
        <v/>
      </c>
      <c r="M695" s="1" t="str">
        <f>IF(OR($B695="",M$7=""),"",IF($B695="MEANS",INDEX('1-DATA'!$1:$1048576,$A694-1,COLUMN('1-DATA'!L693)),ROUND(INDEX('1-DATA'!$1:$1048576,IF(OR($B695="STD. DEVIATION",$C$1=1),$A695,$A695+1),COLUMN('1-DATA'!L693)),IF($B695="STD. DEVIATION",2,$F$1))))</f>
        <v/>
      </c>
      <c r="N695" s="1" t="str">
        <f>IF(OR($B695="",N$7=""),"",IF($B695="MEANS",INDEX('1-DATA'!$1:$1048576,$A694-1,COLUMN('1-DATA'!M693)),ROUND(INDEX('1-DATA'!$1:$1048576,IF(OR($B695="STD. DEVIATION",$C$1=1),$A695,$A695+1),COLUMN('1-DATA'!M693)),IF($B695="STD. DEVIATION",2,$F$1))))</f>
        <v/>
      </c>
      <c r="O695" s="1" t="str">
        <f>IF(OR($B695="",O$7=""),"",IF($B695="MEANS",INDEX('1-DATA'!$1:$1048576,$A694-1,COLUMN('1-DATA'!N693)),ROUND(INDEX('1-DATA'!$1:$1048576,IF(OR($B695="STD. DEVIATION",$C$1=1),$A695,$A695+1),COLUMN('1-DATA'!N693)),IF($B695="STD. DEVIATION",2,$F$1))))</f>
        <v/>
      </c>
      <c r="P695" s="1" t="str">
        <f>IF(OR($B695="",P$7=""),"",IF($B695="MEANS",INDEX('1-DATA'!$1:$1048576,$A694-1,COLUMN('1-DATA'!O693)),ROUND(INDEX('1-DATA'!$1:$1048576,IF(OR($B695="STD. DEVIATION",$C$1=1),$A695,$A695+1),COLUMN('1-DATA'!O693)),IF($B695="STD. DEVIATION",2,$F$1))))</f>
        <v/>
      </c>
      <c r="Q695" s="1" t="str">
        <f>IF(OR($B695="",Q$7=""),"",IF($B695="MEANS",INDEX('1-DATA'!$1:$1048576,$A694-1,COLUMN('1-DATA'!P693)),ROUND(INDEX('1-DATA'!$1:$1048576,IF(OR($B695="STD. DEVIATION",$C$1=1),$A695,$A695+1),COLUMN('1-DATA'!P693)),IF($B695="STD. DEVIATION",2,$F$1))))</f>
        <v/>
      </c>
      <c r="R695" s="1" t="str">
        <f>IF(OR($B695="",R$7=""),"",IF($B695="MEANS",INDEX('1-DATA'!$1:$1048576,$A694-1,COLUMN('1-DATA'!Q693)),ROUND(INDEX('1-DATA'!$1:$1048576,IF(OR($B695="STD. DEVIATION",$C$1=1),$A695,$A695+1),COLUMN('1-DATA'!Q693)),IF($B695="STD. DEVIATION",2,$F$1))))</f>
        <v/>
      </c>
      <c r="S695" s="1" t="str">
        <f>IF(OR($B695="",S$7=""),"",IF($B695="MEANS",INDEX('1-DATA'!$1:$1048576,$A694-1,COLUMN('1-DATA'!R693)),ROUND(INDEX('1-DATA'!$1:$1048576,IF(OR($B695="STD. DEVIATION",$C$1=1),$A695,$A695+1),COLUMN('1-DATA'!R693)),IF($B695="STD. DEVIATION",2,$F$1))))</f>
        <v/>
      </c>
      <c r="T695" s="1" t="str">
        <f>IF(OR($B695="",T$7=""),"",IF($B695="MEANS",INDEX('1-DATA'!$1:$1048576,$A694-1,COLUMN('1-DATA'!S693)),ROUND(INDEX('1-DATA'!$1:$1048576,IF(OR($B695="STD. DEVIATION",$C$1=1),$A695,$A695+1),COLUMN('1-DATA'!S693)),IF($B695="STD. DEVIATION",2,$F$1))))</f>
        <v/>
      </c>
      <c r="U695" s="1" t="str">
        <f>IF(OR($B695="",U$7=""),"",IF($B695="MEANS",INDEX('1-DATA'!$1:$1048576,$A694-1,COLUMN('1-DATA'!T693)),ROUND(INDEX('1-DATA'!$1:$1048576,IF(OR($B695="STD. DEVIATION",$C$1=1),$A695,$A695+1),COLUMN('1-DATA'!T693)),IF($B695="STD. DEVIATION",2,$F$1))))</f>
        <v/>
      </c>
      <c r="V695" s="1" t="str">
        <f>IF(OR($B695="",V$7=""),"",IF($B695="MEANS",INDEX('1-DATA'!$1:$1048576,$A694-1,COLUMN('1-DATA'!U693)),ROUND(INDEX('1-DATA'!$1:$1048576,IF(OR($B695="STD. DEVIATION",$C$1=1),$A695,$A695+1),COLUMN('1-DATA'!U693)),IF($B695="STD. DEVIATION",2,$F$1))))</f>
        <v/>
      </c>
      <c r="W695" s="1" t="str">
        <f>IF(OR($B695="",W$7=""),"",IF($B695="MEANS",INDEX('1-DATA'!$1:$1048576,$A694-1,COLUMN('1-DATA'!V693)),ROUND(INDEX('1-DATA'!$1:$1048576,IF(OR($B695="STD. DEVIATION",$C$1=1),$A695,$A695+1),COLUMN('1-DATA'!V693)),IF($B695="STD. DEVIATION",2,$F$1))))</f>
        <v/>
      </c>
      <c r="X695" s="1" t="str">
        <f>IF(OR($B695="",X$7=""),"",IF($B695="MEANS",INDEX('1-DATA'!$1:$1048576,$A694-1,COLUMN('1-DATA'!W693)),ROUND(INDEX('1-DATA'!$1:$1048576,IF(OR($B695="STD. DEVIATION",$C$1=1),$A695,$A695+1),COLUMN('1-DATA'!W693)),IF($B695="STD. DEVIATION",2,$F$1))))</f>
        <v/>
      </c>
      <c r="Y695" s="1" t="str">
        <f>IF(OR($B695="",Y$7=""),"",IF($B695="MEANS",INDEX('1-DATA'!$1:$1048576,$A694-1,COLUMN('1-DATA'!X693)),ROUND(INDEX('1-DATA'!$1:$1048576,IF(OR($B695="STD. DEVIATION",$C$1=1),$A695,$A695+1),COLUMN('1-DATA'!X693)),IF($B695="STD. DEVIATION",2,$F$1))))</f>
        <v/>
      </c>
      <c r="Z695" s="1" t="str">
        <f>IF(OR($B695="",Z$7=""),"",IF($B695="MEANS",INDEX('1-DATA'!$1:$1048576,$A694-1,COLUMN('1-DATA'!Y693)),ROUND(INDEX('1-DATA'!$1:$1048576,IF(OR($B695="STD. DEVIATION",$C$1=1),$A695,$A695+1),COLUMN('1-DATA'!Y693)),IF($B695="STD. DEVIATION",2,$F$1))))</f>
        <v/>
      </c>
      <c r="AA695" s="1" t="str">
        <f>IF(OR($B695="",AA$7=""),"",IF($B695="MEANS",INDEX('1-DATA'!$1:$1048576,$A694-1,COLUMN('1-DATA'!Z693)),ROUND(INDEX('1-DATA'!$1:$1048576,IF(OR($B695="STD. DEVIATION",$C$1=1),$A695,$A695+1),COLUMN('1-DATA'!Z693)),IF($B695="STD. DEVIATION",2,$F$1))))</f>
        <v/>
      </c>
      <c r="AB695" s="1" t="str">
        <f>IF(OR($B695="",AB$7=""),"",IF($B695="MEANS",INDEX('1-DATA'!$1:$1048576,$A694-1,COLUMN('1-DATA'!AA693)),ROUND(INDEX('1-DATA'!$1:$1048576,IF(OR($B695="STD. DEVIATION",$C$1=1),$A695,$A695+1),COLUMN('1-DATA'!AA693)),IF($B695="STD. DEVIATION",2,$F$1))))</f>
        <v/>
      </c>
      <c r="AC695" s="1" t="str">
        <f>IF(OR($B695="",AC$7=""),"",IF($B695="MEANS",INDEX('1-DATA'!$1:$1048576,$A694-1,COLUMN('1-DATA'!AB693)),ROUND(INDEX('1-DATA'!$1:$1048576,IF(OR($B695="STD. DEVIATION",$C$1=1),$A695,$A695+1),COLUMN('1-DATA'!AB693)),IF($B695="STD. DEVIATION",2,$F$1))))</f>
        <v/>
      </c>
      <c r="AD695" s="1" t="str">
        <f>IF(OR($B695="",AD$7=""),"",IF($B695="MEANS",INDEX('1-DATA'!$1:$1048576,$A694-1,COLUMN('1-DATA'!AC693)),ROUND(INDEX('1-DATA'!$1:$1048576,IF(OR($B695="STD. DEVIATION",$C$1=1),$A695,$A695+1),COLUMN('1-DATA'!AC693)),IF($B695="STD. DEVIATION",2,$F$1))))</f>
        <v/>
      </c>
      <c r="AE695" s="1" t="str">
        <f>IF(OR($B695="",AE$7=""),"",IF($B695="MEANS",INDEX('1-DATA'!$1:$1048576,$A694-1,COLUMN('1-DATA'!AD693)),ROUND(INDEX('1-DATA'!$1:$1048576,IF(OR($B695="STD. DEVIATION",$C$1=1),$A695,$A695+1),COLUMN('1-DATA'!AD693)),IF($B695="STD. DEVIATION",2,$F$1))))</f>
        <v/>
      </c>
      <c r="AF695" s="1" t="str">
        <f>IF(OR($B695="",AF$7=""),"",IF($B695="MEANS",INDEX('1-DATA'!$1:$1048576,$A694-1,COLUMN('1-DATA'!AE693)),ROUND(INDEX('1-DATA'!$1:$1048576,IF(OR($B695="STD. DEVIATION",$C$1=1),$A695,$A695+1),COLUMN('1-DATA'!AE693)),IF($B695="STD. DEVIATION",2,$F$1))))</f>
        <v/>
      </c>
      <c r="AG695" s="1" t="str">
        <f>IF(OR($B695="",AG$7=""),"",IF($B695="MEANS",INDEX('1-DATA'!$1:$1048576,$A694-1,COLUMN('1-DATA'!AF693)),ROUND(INDEX('1-DATA'!$1:$1048576,IF(OR($B695="STD. DEVIATION",$C$1=1),$A695,$A695+1),COLUMN('1-DATA'!AF693)),IF($B695="STD. DEVIATION",2,$F$1))))</f>
        <v/>
      </c>
      <c r="AH695" s="1" t="str">
        <f>IF(OR($B695="",AH$7=""),"",IF($B695="MEANS",INDEX('1-DATA'!$1:$1048576,$A694-1,COLUMN('1-DATA'!AG693)),ROUND(INDEX('1-DATA'!$1:$1048576,IF(OR($B695="STD. DEVIATION",$C$1=1),$A695,$A695+1),COLUMN('1-DATA'!AG693)),IF($B695="STD. DEVIATION",2,$F$1))))</f>
        <v/>
      </c>
      <c r="AI695" s="1" t="str">
        <f>IF(OR($B695="",AI$7=""),"",IF($B695="MEANS",INDEX('1-DATA'!$1:$1048576,$A694-1,COLUMN('1-DATA'!AH693)),ROUND(INDEX('1-DATA'!$1:$1048576,IF(OR($B695="STD. DEVIATION",$C$1=1),$A695,$A695+1),COLUMN('1-DATA'!AH693)),IF($B695="STD. DEVIATION",2,$F$1))))</f>
        <v/>
      </c>
      <c r="AJ695" s="1" t="str">
        <f>IF(OR($B695="",AJ$7=""),"",IF($B695="MEANS",INDEX('1-DATA'!$1:$1048576,$A694-1,COLUMN('1-DATA'!AI693)),ROUND(INDEX('1-DATA'!$1:$1048576,IF(OR($B695="STD. DEVIATION",$C$1=1),$A695,$A695+1),COLUMN('1-DATA'!AI693)),IF($B695="STD. DEVIATION",2,$F$1))))</f>
        <v/>
      </c>
      <c r="AK695" s="1" t="str">
        <f>IF(OR($B695="",AK$7=""),"",IF($B695="MEANS",INDEX('1-DATA'!$1:$1048576,$A694-1,COLUMN('1-DATA'!AJ693)),ROUND(INDEX('1-DATA'!$1:$1048576,IF(OR($B695="STD. DEVIATION",$C$1=1),$A695,$A695+1),COLUMN('1-DATA'!AJ693)),IF($B695="STD. DEVIATION",2,$F$1))))</f>
        <v/>
      </c>
      <c r="AL695" s="1" t="str">
        <f>IF(OR($B695="",AL$7=""),"",IF($B695="MEANS",INDEX('1-DATA'!$1:$1048576,$A694-1,COLUMN('1-DATA'!AK693)),ROUND(INDEX('1-DATA'!$1:$1048576,IF(OR($B695="STD. DEVIATION",$C$1=1),$A695,$A695+1),COLUMN('1-DATA'!AK693)),IF($B695="STD. DEVIATION",2,$F$1))))</f>
        <v/>
      </c>
      <c r="AM695" s="1" t="str">
        <f>IF(OR($B695="",AM$7=""),"",IF($B695="MEANS",INDEX('1-DATA'!$1:$1048576,$A694-1,COLUMN('1-DATA'!AL693)),ROUND(INDEX('1-DATA'!$1:$1048576,IF(OR($B695="STD. DEVIATION",$C$1=1),$A695,$A695+1),COLUMN('1-DATA'!AL693)),IF($B695="STD. DEVIATION",2,$F$1))))</f>
        <v/>
      </c>
      <c r="AN695" s="1" t="str">
        <f>IF(OR($B695="",AN$7=""),"",IF($B695="MEANS",INDEX('1-DATA'!$1:$1048576,$A694-1,COLUMN('1-DATA'!AM693)),ROUND(INDEX('1-DATA'!$1:$1048576,IF(OR($B695="STD. DEVIATION",$C$1=1),$A695,$A695+1),COLUMN('1-DATA'!AM693)),IF($B695="STD. DEVIATION",2,$F$1))))</f>
        <v/>
      </c>
      <c r="AO695" s="1" t="str">
        <f>IF(OR($B695="",AO$7=""),"",IF($B695="MEANS",INDEX('1-DATA'!$1:$1048576,$A694-1,COLUMN('1-DATA'!AN693)),ROUND(INDEX('1-DATA'!$1:$1048576,IF(OR($B695="STD. DEVIATION",$C$1=1),$A695,$A695+1),COLUMN('1-DATA'!AN693)),IF($B695="STD. DEVIATION",2,$F$1))))</f>
        <v/>
      </c>
      <c r="AP695" s="1" t="str">
        <f>IF(OR($B695="",AP$7=""),"",IF($B695="MEANS",INDEX('1-DATA'!$1:$1048576,$A694-1,COLUMN('1-DATA'!AO693)),ROUND(INDEX('1-DATA'!$1:$1048576,IF(OR($B695="STD. DEVIATION",$C$1=1),$A695,$A695+1),COLUMN('1-DATA'!AO693)),IF($B695="STD. DEVIATION",2,$F$1))))</f>
        <v/>
      </c>
      <c r="AQ695" s="1" t="str">
        <f>IF(OR($B695="",AQ$7=""),"",IF($B695="MEANS",INDEX('1-DATA'!$1:$1048576,$A694-1,COLUMN('1-DATA'!AP693)),ROUND(INDEX('1-DATA'!$1:$1048576,IF(OR($B695="STD. DEVIATION",$C$1=1),$A695,$A695+1),COLUMN('1-DATA'!AP693)),IF($B695="STD. DEVIATION",2,$F$1))))</f>
        <v/>
      </c>
      <c r="AR695" s="1" t="str">
        <f>IF(OR($B695="",AR$7=""),"",IF($B695="MEANS",INDEX('1-DATA'!$1:$1048576,$A694-1,COLUMN('1-DATA'!AQ693)),ROUND(INDEX('1-DATA'!$1:$1048576,IF(OR($B695="STD. DEVIATION",$C$1=1),$A695,$A695+1),COLUMN('1-DATA'!AQ693)),IF($B695="STD. DEVIATION",2,$F$1))))</f>
        <v/>
      </c>
      <c r="AS695" s="1" t="str">
        <f>IF(OR($B695="",AS$7=""),"",IF($B695="MEANS",INDEX('1-DATA'!$1:$1048576,$A694-1,COLUMN('1-DATA'!AR693)),ROUND(INDEX('1-DATA'!$1:$1048576,IF(OR($B695="STD. DEVIATION",$C$1=1),$A695,$A695+1),COLUMN('1-DATA'!AR693)),IF($B695="STD. DEVIATION",2,$F$1))))</f>
        <v/>
      </c>
      <c r="AT695" s="1" t="str">
        <f>IF(OR($B695="",AT$7=""),"",IF($B695="MEANS",INDEX('1-DATA'!$1:$1048576,$A694-1,COLUMN('1-DATA'!AS693)),ROUND(INDEX('1-DATA'!$1:$1048576,IF(OR($B695="STD. DEVIATION",$C$1=1),$A695,$A695+1),COLUMN('1-DATA'!AS693)),IF($B695="STD. DEVIATION",2,$F$1))))</f>
        <v/>
      </c>
      <c r="AU695" s="1" t="str">
        <f>IF(OR($B695="",AU$7=""),"",IF($B695="MEANS",INDEX('1-DATA'!$1:$1048576,$A694-1,COLUMN('1-DATA'!AT693)),ROUND(INDEX('1-DATA'!$1:$1048576,IF(OR($B695="STD. DEVIATION",$C$1=1),$A695,$A695+1),COLUMN('1-DATA'!AT693)),IF($B695="STD. DEVIATION",2,$F$1))))</f>
        <v/>
      </c>
      <c r="AV695" s="1" t="str">
        <f>IF(OR($B695="",AV$7=""),"",IF($B695="MEANS",INDEX('1-DATA'!$1:$1048576,$A694-1,COLUMN('1-DATA'!AU693)),ROUND(INDEX('1-DATA'!$1:$1048576,IF(OR($B695="STD. DEVIATION",$C$1=1),$A695,$A695+1),COLUMN('1-DATA'!AU693)),IF($B695="STD. DEVIATION",2,$F$1))))</f>
        <v/>
      </c>
      <c r="AW695" s="1" t="str">
        <f>IF(OR($B695="",AW$7=""),"",IF($B695="MEANS",INDEX('1-DATA'!$1:$1048576,$A694-1,COLUMN('1-DATA'!AV693)),ROUND(INDEX('1-DATA'!$1:$1048576,IF(OR($B695="STD. DEVIATION",$C$1=1),$A695,$A695+1),COLUMN('1-DATA'!AV693)),IF($B695="STD. DEVIATION",2,$F$1))))</f>
        <v/>
      </c>
      <c r="AX695" s="1" t="str">
        <f>IF(OR($B695="",AX$7=""),"",IF($B695="MEANS",INDEX('1-DATA'!$1:$1048576,$A694-1,COLUMN('1-DATA'!AW693)),ROUND(INDEX('1-DATA'!$1:$1048576,IF(OR($B695="STD. DEVIATION",$C$1=1),$A695,$A695+1),COLUMN('1-DATA'!AW693)),IF($B695="STD. DEVIATION",2,$F$1))))</f>
        <v/>
      </c>
      <c r="AY695" s="1" t="str">
        <f>IF(OR($B695="",AY$7=""),"",IF($B695="MEANS",INDEX('1-DATA'!$1:$1048576,$A694-1,COLUMN('1-DATA'!AX693)),ROUND(INDEX('1-DATA'!$1:$1048576,IF(OR($B695="STD. DEVIATION",$C$1=1),$A695,$A695+1),COLUMN('1-DATA'!AX693)),IF($B695="STD. DEVIATION",2,$F$1))))</f>
        <v/>
      </c>
      <c r="AZ695" s="1" t="str">
        <f>IF(OR($B695="",AZ$7=""),"",IF($B695="MEANS",INDEX('1-DATA'!$1:$1048576,$A694-1,COLUMN('1-DATA'!AY693)),ROUND(INDEX('1-DATA'!$1:$1048576,IF(OR($B695="STD. DEVIATION",$C$1=1),$A695,$A695+1),COLUMN('1-DATA'!AY693)),IF($B695="STD. DEVIATION",2,$F$1))))</f>
        <v/>
      </c>
    </row>
    <row r="696" spans="1:52" x14ac:dyDescent="0.25">
      <c r="A696" s="11">
        <f t="shared" si="11"/>
        <v>2074</v>
      </c>
      <c r="B696" s="1" t="str">
        <f>IF(B695="STD. DEVIATION",INDEX('1-DATA'!$1:$1048576,$A695-1,1),IF(INDEX('1-DATA'!$1:$1048576,$A696,1)&lt;&gt;"",INDEX('1-DATA'!$1:$1048576,$A696,1),""))</f>
        <v/>
      </c>
      <c r="C696" s="1" t="str">
        <f>IF(OR($B696="",C$7=""),"",IF($B696="MEANS",INDEX('1-DATA'!$1:$1048576,$A695-1,COLUMN('1-DATA'!B694)),ROUND(INDEX('1-DATA'!$1:$1048576,IF(OR($B696="STD. DEVIATION",$C$1=1),$A696,$A696+1),COLUMN('1-DATA'!B694)),IF($B696="STD. DEVIATION",2,$F$1))))</f>
        <v/>
      </c>
      <c r="D696" s="1" t="str">
        <f>IF(OR($B696="",D$7=""),"",IF($B696="MEANS",INDEX('1-DATA'!$1:$1048576,$A695-1,COLUMN('1-DATA'!C694)),ROUND(INDEX('1-DATA'!$1:$1048576,IF(OR($B696="STD. DEVIATION",$C$1=1),$A696,$A696+1),COLUMN('1-DATA'!C694)),IF($B696="STD. DEVIATION",2,$F$1))))</f>
        <v/>
      </c>
      <c r="E696" s="1" t="str">
        <f>IF(OR($B696="",E$7=""),"",IF($B696="MEANS",INDEX('1-DATA'!$1:$1048576,$A695-1,COLUMN('1-DATA'!D694)),ROUND(INDEX('1-DATA'!$1:$1048576,IF(OR($B696="STD. DEVIATION",$C$1=1),$A696,$A696+1),COLUMN('1-DATA'!D694)),IF($B696="STD. DEVIATION",2,$F$1))))</f>
        <v/>
      </c>
      <c r="F696" s="1" t="str">
        <f>IF(OR($B696="",F$7=""),"",IF($B696="MEANS",INDEX('1-DATA'!$1:$1048576,$A695-1,COLUMN('1-DATA'!E694)),ROUND(INDEX('1-DATA'!$1:$1048576,IF(OR($B696="STD. DEVIATION",$C$1=1),$A696,$A696+1),COLUMN('1-DATA'!E694)),IF($B696="STD. DEVIATION",2,$F$1))))</f>
        <v/>
      </c>
      <c r="G696" s="1" t="str">
        <f>IF(OR($B696="",G$7=""),"",IF($B696="MEANS",INDEX('1-DATA'!$1:$1048576,$A695-1,COLUMN('1-DATA'!F694)),ROUND(INDEX('1-DATA'!$1:$1048576,IF(OR($B696="STD. DEVIATION",$C$1=1),$A696,$A696+1),COLUMN('1-DATA'!F694)),IF($B696="STD. DEVIATION",2,$F$1))))</f>
        <v/>
      </c>
      <c r="H696" s="1" t="str">
        <f>IF(OR($B696="",H$7=""),"",IF($B696="MEANS",INDEX('1-DATA'!$1:$1048576,$A695-1,COLUMN('1-DATA'!G694)),ROUND(INDEX('1-DATA'!$1:$1048576,IF(OR($B696="STD. DEVIATION",$C$1=1),$A696,$A696+1),COLUMN('1-DATA'!G694)),IF($B696="STD. DEVIATION",2,$F$1))))</f>
        <v/>
      </c>
      <c r="I696" s="1" t="str">
        <f>IF(OR($B696="",I$7=""),"",IF($B696="MEANS",INDEX('1-DATA'!$1:$1048576,$A695-1,COLUMN('1-DATA'!H694)),ROUND(INDEX('1-DATA'!$1:$1048576,IF(OR($B696="STD. DEVIATION",$C$1=1),$A696,$A696+1),COLUMN('1-DATA'!H694)),IF($B696="STD. DEVIATION",2,$F$1))))</f>
        <v/>
      </c>
      <c r="J696" s="1" t="str">
        <f>IF(OR($B696="",J$7=""),"",IF($B696="MEANS",INDEX('1-DATA'!$1:$1048576,$A695-1,COLUMN('1-DATA'!I694)),ROUND(INDEX('1-DATA'!$1:$1048576,IF(OR($B696="STD. DEVIATION",$C$1=1),$A696,$A696+1),COLUMN('1-DATA'!I694)),IF($B696="STD. DEVIATION",2,$F$1))))</f>
        <v/>
      </c>
      <c r="K696" s="1" t="str">
        <f>IF(OR($B696="",K$7=""),"",IF($B696="MEANS",INDEX('1-DATA'!$1:$1048576,$A695-1,COLUMN('1-DATA'!J694)),ROUND(INDEX('1-DATA'!$1:$1048576,IF(OR($B696="STD. DEVIATION",$C$1=1),$A696,$A696+1),COLUMN('1-DATA'!J694)),IF($B696="STD. DEVIATION",2,$F$1))))</f>
        <v/>
      </c>
      <c r="L696" s="1" t="str">
        <f>IF(OR($B696="",L$7=""),"",IF($B696="MEANS",INDEX('1-DATA'!$1:$1048576,$A695-1,COLUMN('1-DATA'!K694)),ROUND(INDEX('1-DATA'!$1:$1048576,IF(OR($B696="STD. DEVIATION",$C$1=1),$A696,$A696+1),COLUMN('1-DATA'!K694)),IF($B696="STD. DEVIATION",2,$F$1))))</f>
        <v/>
      </c>
      <c r="M696" s="1" t="str">
        <f>IF(OR($B696="",M$7=""),"",IF($B696="MEANS",INDEX('1-DATA'!$1:$1048576,$A695-1,COLUMN('1-DATA'!L694)),ROUND(INDEX('1-DATA'!$1:$1048576,IF(OR($B696="STD. DEVIATION",$C$1=1),$A696,$A696+1),COLUMN('1-DATA'!L694)),IF($B696="STD. DEVIATION",2,$F$1))))</f>
        <v/>
      </c>
      <c r="N696" s="1" t="str">
        <f>IF(OR($B696="",N$7=""),"",IF($B696="MEANS",INDEX('1-DATA'!$1:$1048576,$A695-1,COLUMN('1-DATA'!M694)),ROUND(INDEX('1-DATA'!$1:$1048576,IF(OR($B696="STD. DEVIATION",$C$1=1),$A696,$A696+1),COLUMN('1-DATA'!M694)),IF($B696="STD. DEVIATION",2,$F$1))))</f>
        <v/>
      </c>
      <c r="O696" s="1" t="str">
        <f>IF(OR($B696="",O$7=""),"",IF($B696="MEANS",INDEX('1-DATA'!$1:$1048576,$A695-1,COLUMN('1-DATA'!N694)),ROUND(INDEX('1-DATA'!$1:$1048576,IF(OR($B696="STD. DEVIATION",$C$1=1),$A696,$A696+1),COLUMN('1-DATA'!N694)),IF($B696="STD. DEVIATION",2,$F$1))))</f>
        <v/>
      </c>
      <c r="P696" s="1" t="str">
        <f>IF(OR($B696="",P$7=""),"",IF($B696="MEANS",INDEX('1-DATA'!$1:$1048576,$A695-1,COLUMN('1-DATA'!O694)),ROUND(INDEX('1-DATA'!$1:$1048576,IF(OR($B696="STD. DEVIATION",$C$1=1),$A696,$A696+1),COLUMN('1-DATA'!O694)),IF($B696="STD. DEVIATION",2,$F$1))))</f>
        <v/>
      </c>
      <c r="Q696" s="1" t="str">
        <f>IF(OR($B696="",Q$7=""),"",IF($B696="MEANS",INDEX('1-DATA'!$1:$1048576,$A695-1,COLUMN('1-DATA'!P694)),ROUND(INDEX('1-DATA'!$1:$1048576,IF(OR($B696="STD. DEVIATION",$C$1=1),$A696,$A696+1),COLUMN('1-DATA'!P694)),IF($B696="STD. DEVIATION",2,$F$1))))</f>
        <v/>
      </c>
      <c r="R696" s="1" t="str">
        <f>IF(OR($B696="",R$7=""),"",IF($B696="MEANS",INDEX('1-DATA'!$1:$1048576,$A695-1,COLUMN('1-DATA'!Q694)),ROUND(INDEX('1-DATA'!$1:$1048576,IF(OR($B696="STD. DEVIATION",$C$1=1),$A696,$A696+1),COLUMN('1-DATA'!Q694)),IF($B696="STD. DEVIATION",2,$F$1))))</f>
        <v/>
      </c>
      <c r="S696" s="1" t="str">
        <f>IF(OR($B696="",S$7=""),"",IF($B696="MEANS",INDEX('1-DATA'!$1:$1048576,$A695-1,COLUMN('1-DATA'!R694)),ROUND(INDEX('1-DATA'!$1:$1048576,IF(OR($B696="STD. DEVIATION",$C$1=1),$A696,$A696+1),COLUMN('1-DATA'!R694)),IF($B696="STD. DEVIATION",2,$F$1))))</f>
        <v/>
      </c>
      <c r="T696" s="1" t="str">
        <f>IF(OR($B696="",T$7=""),"",IF($B696="MEANS",INDEX('1-DATA'!$1:$1048576,$A695-1,COLUMN('1-DATA'!S694)),ROUND(INDEX('1-DATA'!$1:$1048576,IF(OR($B696="STD. DEVIATION",$C$1=1),$A696,$A696+1),COLUMN('1-DATA'!S694)),IF($B696="STD. DEVIATION",2,$F$1))))</f>
        <v/>
      </c>
      <c r="U696" s="1" t="str">
        <f>IF(OR($B696="",U$7=""),"",IF($B696="MEANS",INDEX('1-DATA'!$1:$1048576,$A695-1,COLUMN('1-DATA'!T694)),ROUND(INDEX('1-DATA'!$1:$1048576,IF(OR($B696="STD. DEVIATION",$C$1=1),$A696,$A696+1),COLUMN('1-DATA'!T694)),IF($B696="STD. DEVIATION",2,$F$1))))</f>
        <v/>
      </c>
      <c r="V696" s="1" t="str">
        <f>IF(OR($B696="",V$7=""),"",IF($B696="MEANS",INDEX('1-DATA'!$1:$1048576,$A695-1,COLUMN('1-DATA'!U694)),ROUND(INDEX('1-DATA'!$1:$1048576,IF(OR($B696="STD. DEVIATION",$C$1=1),$A696,$A696+1),COLUMN('1-DATA'!U694)),IF($B696="STD. DEVIATION",2,$F$1))))</f>
        <v/>
      </c>
      <c r="W696" s="1" t="str">
        <f>IF(OR($B696="",W$7=""),"",IF($B696="MEANS",INDEX('1-DATA'!$1:$1048576,$A695-1,COLUMN('1-DATA'!V694)),ROUND(INDEX('1-DATA'!$1:$1048576,IF(OR($B696="STD. DEVIATION",$C$1=1),$A696,$A696+1),COLUMN('1-DATA'!V694)),IF($B696="STD. DEVIATION",2,$F$1))))</f>
        <v/>
      </c>
      <c r="X696" s="1" t="str">
        <f>IF(OR($B696="",X$7=""),"",IF($B696="MEANS",INDEX('1-DATA'!$1:$1048576,$A695-1,COLUMN('1-DATA'!W694)),ROUND(INDEX('1-DATA'!$1:$1048576,IF(OR($B696="STD. DEVIATION",$C$1=1),$A696,$A696+1),COLUMN('1-DATA'!W694)),IF($B696="STD. DEVIATION",2,$F$1))))</f>
        <v/>
      </c>
      <c r="Y696" s="1" t="str">
        <f>IF(OR($B696="",Y$7=""),"",IF($B696="MEANS",INDEX('1-DATA'!$1:$1048576,$A695-1,COLUMN('1-DATA'!X694)),ROUND(INDEX('1-DATA'!$1:$1048576,IF(OR($B696="STD. DEVIATION",$C$1=1),$A696,$A696+1),COLUMN('1-DATA'!X694)),IF($B696="STD. DEVIATION",2,$F$1))))</f>
        <v/>
      </c>
      <c r="Z696" s="1" t="str">
        <f>IF(OR($B696="",Z$7=""),"",IF($B696="MEANS",INDEX('1-DATA'!$1:$1048576,$A695-1,COLUMN('1-DATA'!Y694)),ROUND(INDEX('1-DATA'!$1:$1048576,IF(OR($B696="STD. DEVIATION",$C$1=1),$A696,$A696+1),COLUMN('1-DATA'!Y694)),IF($B696="STD. DEVIATION",2,$F$1))))</f>
        <v/>
      </c>
      <c r="AA696" s="1" t="str">
        <f>IF(OR($B696="",AA$7=""),"",IF($B696="MEANS",INDEX('1-DATA'!$1:$1048576,$A695-1,COLUMN('1-DATA'!Z694)),ROUND(INDEX('1-DATA'!$1:$1048576,IF(OR($B696="STD. DEVIATION",$C$1=1),$A696,$A696+1),COLUMN('1-DATA'!Z694)),IF($B696="STD. DEVIATION",2,$F$1))))</f>
        <v/>
      </c>
      <c r="AB696" s="1" t="str">
        <f>IF(OR($B696="",AB$7=""),"",IF($B696="MEANS",INDEX('1-DATA'!$1:$1048576,$A695-1,COLUMN('1-DATA'!AA694)),ROUND(INDEX('1-DATA'!$1:$1048576,IF(OR($B696="STD. DEVIATION",$C$1=1),$A696,$A696+1),COLUMN('1-DATA'!AA694)),IF($B696="STD. DEVIATION",2,$F$1))))</f>
        <v/>
      </c>
      <c r="AC696" s="1" t="str">
        <f>IF(OR($B696="",AC$7=""),"",IF($B696="MEANS",INDEX('1-DATA'!$1:$1048576,$A695-1,COLUMN('1-DATA'!AB694)),ROUND(INDEX('1-DATA'!$1:$1048576,IF(OR($B696="STD. DEVIATION",$C$1=1),$A696,$A696+1),COLUMN('1-DATA'!AB694)),IF($B696="STD. DEVIATION",2,$F$1))))</f>
        <v/>
      </c>
      <c r="AD696" s="1" t="str">
        <f>IF(OR($B696="",AD$7=""),"",IF($B696="MEANS",INDEX('1-DATA'!$1:$1048576,$A695-1,COLUMN('1-DATA'!AC694)),ROUND(INDEX('1-DATA'!$1:$1048576,IF(OR($B696="STD. DEVIATION",$C$1=1),$A696,$A696+1),COLUMN('1-DATA'!AC694)),IF($B696="STD. DEVIATION",2,$F$1))))</f>
        <v/>
      </c>
      <c r="AE696" s="1" t="str">
        <f>IF(OR($B696="",AE$7=""),"",IF($B696="MEANS",INDEX('1-DATA'!$1:$1048576,$A695-1,COLUMN('1-DATA'!AD694)),ROUND(INDEX('1-DATA'!$1:$1048576,IF(OR($B696="STD. DEVIATION",$C$1=1),$A696,$A696+1),COLUMN('1-DATA'!AD694)),IF($B696="STD. DEVIATION",2,$F$1))))</f>
        <v/>
      </c>
      <c r="AF696" s="1" t="str">
        <f>IF(OR($B696="",AF$7=""),"",IF($B696="MEANS",INDEX('1-DATA'!$1:$1048576,$A695-1,COLUMN('1-DATA'!AE694)),ROUND(INDEX('1-DATA'!$1:$1048576,IF(OR($B696="STD. DEVIATION",$C$1=1),$A696,$A696+1),COLUMN('1-DATA'!AE694)),IF($B696="STD. DEVIATION",2,$F$1))))</f>
        <v/>
      </c>
      <c r="AG696" s="1" t="str">
        <f>IF(OR($B696="",AG$7=""),"",IF($B696="MEANS",INDEX('1-DATA'!$1:$1048576,$A695-1,COLUMN('1-DATA'!AF694)),ROUND(INDEX('1-DATA'!$1:$1048576,IF(OR($B696="STD. DEVIATION",$C$1=1),$A696,$A696+1),COLUMN('1-DATA'!AF694)),IF($B696="STD. DEVIATION",2,$F$1))))</f>
        <v/>
      </c>
      <c r="AH696" s="1" t="str">
        <f>IF(OR($B696="",AH$7=""),"",IF($B696="MEANS",INDEX('1-DATA'!$1:$1048576,$A695-1,COLUMN('1-DATA'!AG694)),ROUND(INDEX('1-DATA'!$1:$1048576,IF(OR($B696="STD. DEVIATION",$C$1=1),$A696,$A696+1),COLUMN('1-DATA'!AG694)),IF($B696="STD. DEVIATION",2,$F$1))))</f>
        <v/>
      </c>
      <c r="AI696" s="1" t="str">
        <f>IF(OR($B696="",AI$7=""),"",IF($B696="MEANS",INDEX('1-DATA'!$1:$1048576,$A695-1,COLUMN('1-DATA'!AH694)),ROUND(INDEX('1-DATA'!$1:$1048576,IF(OR($B696="STD. DEVIATION",$C$1=1),$A696,$A696+1),COLUMN('1-DATA'!AH694)),IF($B696="STD. DEVIATION",2,$F$1))))</f>
        <v/>
      </c>
      <c r="AJ696" s="1" t="str">
        <f>IF(OR($B696="",AJ$7=""),"",IF($B696="MEANS",INDEX('1-DATA'!$1:$1048576,$A695-1,COLUMN('1-DATA'!AI694)),ROUND(INDEX('1-DATA'!$1:$1048576,IF(OR($B696="STD. DEVIATION",$C$1=1),$A696,$A696+1),COLUMN('1-DATA'!AI694)),IF($B696="STD. DEVIATION",2,$F$1))))</f>
        <v/>
      </c>
      <c r="AK696" s="1" t="str">
        <f>IF(OR($B696="",AK$7=""),"",IF($B696="MEANS",INDEX('1-DATA'!$1:$1048576,$A695-1,COLUMN('1-DATA'!AJ694)),ROUND(INDEX('1-DATA'!$1:$1048576,IF(OR($B696="STD. DEVIATION",$C$1=1),$A696,$A696+1),COLUMN('1-DATA'!AJ694)),IF($B696="STD. DEVIATION",2,$F$1))))</f>
        <v/>
      </c>
      <c r="AL696" s="1" t="str">
        <f>IF(OR($B696="",AL$7=""),"",IF($B696="MEANS",INDEX('1-DATA'!$1:$1048576,$A695-1,COLUMN('1-DATA'!AK694)),ROUND(INDEX('1-DATA'!$1:$1048576,IF(OR($B696="STD. DEVIATION",$C$1=1),$A696,$A696+1),COLUMN('1-DATA'!AK694)),IF($B696="STD. DEVIATION",2,$F$1))))</f>
        <v/>
      </c>
      <c r="AM696" s="1" t="str">
        <f>IF(OR($B696="",AM$7=""),"",IF($B696="MEANS",INDEX('1-DATA'!$1:$1048576,$A695-1,COLUMN('1-DATA'!AL694)),ROUND(INDEX('1-DATA'!$1:$1048576,IF(OR($B696="STD. DEVIATION",$C$1=1),$A696,$A696+1),COLUMN('1-DATA'!AL694)),IF($B696="STD. DEVIATION",2,$F$1))))</f>
        <v/>
      </c>
      <c r="AN696" s="1" t="str">
        <f>IF(OR($B696="",AN$7=""),"",IF($B696="MEANS",INDEX('1-DATA'!$1:$1048576,$A695-1,COLUMN('1-DATA'!AM694)),ROUND(INDEX('1-DATA'!$1:$1048576,IF(OR($B696="STD. DEVIATION",$C$1=1),$A696,$A696+1),COLUMN('1-DATA'!AM694)),IF($B696="STD. DEVIATION",2,$F$1))))</f>
        <v/>
      </c>
      <c r="AO696" s="1" t="str">
        <f>IF(OR($B696="",AO$7=""),"",IF($B696="MEANS",INDEX('1-DATA'!$1:$1048576,$A695-1,COLUMN('1-DATA'!AN694)),ROUND(INDEX('1-DATA'!$1:$1048576,IF(OR($B696="STD. DEVIATION",$C$1=1),$A696,$A696+1),COLUMN('1-DATA'!AN694)),IF($B696="STD. DEVIATION",2,$F$1))))</f>
        <v/>
      </c>
      <c r="AP696" s="1" t="str">
        <f>IF(OR($B696="",AP$7=""),"",IF($B696="MEANS",INDEX('1-DATA'!$1:$1048576,$A695-1,COLUMN('1-DATA'!AO694)),ROUND(INDEX('1-DATA'!$1:$1048576,IF(OR($B696="STD. DEVIATION",$C$1=1),$A696,$A696+1),COLUMN('1-DATA'!AO694)),IF($B696="STD. DEVIATION",2,$F$1))))</f>
        <v/>
      </c>
      <c r="AQ696" s="1" t="str">
        <f>IF(OR($B696="",AQ$7=""),"",IF($B696="MEANS",INDEX('1-DATA'!$1:$1048576,$A695-1,COLUMN('1-DATA'!AP694)),ROUND(INDEX('1-DATA'!$1:$1048576,IF(OR($B696="STD. DEVIATION",$C$1=1),$A696,$A696+1),COLUMN('1-DATA'!AP694)),IF($B696="STD. DEVIATION",2,$F$1))))</f>
        <v/>
      </c>
      <c r="AR696" s="1" t="str">
        <f>IF(OR($B696="",AR$7=""),"",IF($B696="MEANS",INDEX('1-DATA'!$1:$1048576,$A695-1,COLUMN('1-DATA'!AQ694)),ROUND(INDEX('1-DATA'!$1:$1048576,IF(OR($B696="STD. DEVIATION",$C$1=1),$A696,$A696+1),COLUMN('1-DATA'!AQ694)),IF($B696="STD. DEVIATION",2,$F$1))))</f>
        <v/>
      </c>
      <c r="AS696" s="1" t="str">
        <f>IF(OR($B696="",AS$7=""),"",IF($B696="MEANS",INDEX('1-DATA'!$1:$1048576,$A695-1,COLUMN('1-DATA'!AR694)),ROUND(INDEX('1-DATA'!$1:$1048576,IF(OR($B696="STD. DEVIATION",$C$1=1),$A696,$A696+1),COLUMN('1-DATA'!AR694)),IF($B696="STD. DEVIATION",2,$F$1))))</f>
        <v/>
      </c>
      <c r="AT696" s="1" t="str">
        <f>IF(OR($B696="",AT$7=""),"",IF($B696="MEANS",INDEX('1-DATA'!$1:$1048576,$A695-1,COLUMN('1-DATA'!AS694)),ROUND(INDEX('1-DATA'!$1:$1048576,IF(OR($B696="STD. DEVIATION",$C$1=1),$A696,$A696+1),COLUMN('1-DATA'!AS694)),IF($B696="STD. DEVIATION",2,$F$1))))</f>
        <v/>
      </c>
      <c r="AU696" s="1" t="str">
        <f>IF(OR($B696="",AU$7=""),"",IF($B696="MEANS",INDEX('1-DATA'!$1:$1048576,$A695-1,COLUMN('1-DATA'!AT694)),ROUND(INDEX('1-DATA'!$1:$1048576,IF(OR($B696="STD. DEVIATION",$C$1=1),$A696,$A696+1),COLUMN('1-DATA'!AT694)),IF($B696="STD. DEVIATION",2,$F$1))))</f>
        <v/>
      </c>
      <c r="AV696" s="1" t="str">
        <f>IF(OR($B696="",AV$7=""),"",IF($B696="MEANS",INDEX('1-DATA'!$1:$1048576,$A695-1,COLUMN('1-DATA'!AU694)),ROUND(INDEX('1-DATA'!$1:$1048576,IF(OR($B696="STD. DEVIATION",$C$1=1),$A696,$A696+1),COLUMN('1-DATA'!AU694)),IF($B696="STD. DEVIATION",2,$F$1))))</f>
        <v/>
      </c>
      <c r="AW696" s="1" t="str">
        <f>IF(OR($B696="",AW$7=""),"",IF($B696="MEANS",INDEX('1-DATA'!$1:$1048576,$A695-1,COLUMN('1-DATA'!AV694)),ROUND(INDEX('1-DATA'!$1:$1048576,IF(OR($B696="STD. DEVIATION",$C$1=1),$A696,$A696+1),COLUMN('1-DATA'!AV694)),IF($B696="STD. DEVIATION",2,$F$1))))</f>
        <v/>
      </c>
      <c r="AX696" s="1" t="str">
        <f>IF(OR($B696="",AX$7=""),"",IF($B696="MEANS",INDEX('1-DATA'!$1:$1048576,$A695-1,COLUMN('1-DATA'!AW694)),ROUND(INDEX('1-DATA'!$1:$1048576,IF(OR($B696="STD. DEVIATION",$C$1=1),$A696,$A696+1),COLUMN('1-DATA'!AW694)),IF($B696="STD. DEVIATION",2,$F$1))))</f>
        <v/>
      </c>
      <c r="AY696" s="1" t="str">
        <f>IF(OR($B696="",AY$7=""),"",IF($B696="MEANS",INDEX('1-DATA'!$1:$1048576,$A695-1,COLUMN('1-DATA'!AX694)),ROUND(INDEX('1-DATA'!$1:$1048576,IF(OR($B696="STD. DEVIATION",$C$1=1),$A696,$A696+1),COLUMN('1-DATA'!AX694)),IF($B696="STD. DEVIATION",2,$F$1))))</f>
        <v/>
      </c>
      <c r="AZ696" s="1" t="str">
        <f>IF(OR($B696="",AZ$7=""),"",IF($B696="MEANS",INDEX('1-DATA'!$1:$1048576,$A695-1,COLUMN('1-DATA'!AY694)),ROUND(INDEX('1-DATA'!$1:$1048576,IF(OR($B696="STD. DEVIATION",$C$1=1),$A696,$A696+1),COLUMN('1-DATA'!AY694)),IF($B696="STD. DEVIATION",2,$F$1))))</f>
        <v/>
      </c>
    </row>
    <row r="697" spans="1:52" x14ac:dyDescent="0.25">
      <c r="A697" s="11">
        <f t="shared" si="11"/>
        <v>2077</v>
      </c>
      <c r="B697" s="1" t="str">
        <f>IF(B696="STD. DEVIATION",INDEX('1-DATA'!$1:$1048576,$A696-1,1),IF(INDEX('1-DATA'!$1:$1048576,$A697,1)&lt;&gt;"",INDEX('1-DATA'!$1:$1048576,$A697,1),""))</f>
        <v/>
      </c>
      <c r="C697" s="1" t="str">
        <f>IF(OR($B697="",C$7=""),"",IF($B697="MEANS",INDEX('1-DATA'!$1:$1048576,$A696-1,COLUMN('1-DATA'!B695)),ROUND(INDEX('1-DATA'!$1:$1048576,IF(OR($B697="STD. DEVIATION",$C$1=1),$A697,$A697+1),COLUMN('1-DATA'!B695)),IF($B697="STD. DEVIATION",2,$F$1))))</f>
        <v/>
      </c>
      <c r="D697" s="1" t="str">
        <f>IF(OR($B697="",D$7=""),"",IF($B697="MEANS",INDEX('1-DATA'!$1:$1048576,$A696-1,COLUMN('1-DATA'!C695)),ROUND(INDEX('1-DATA'!$1:$1048576,IF(OR($B697="STD. DEVIATION",$C$1=1),$A697,$A697+1),COLUMN('1-DATA'!C695)),IF($B697="STD. DEVIATION",2,$F$1))))</f>
        <v/>
      </c>
      <c r="E697" s="1" t="str">
        <f>IF(OR($B697="",E$7=""),"",IF($B697="MEANS",INDEX('1-DATA'!$1:$1048576,$A696-1,COLUMN('1-DATA'!D695)),ROUND(INDEX('1-DATA'!$1:$1048576,IF(OR($B697="STD. DEVIATION",$C$1=1),$A697,$A697+1),COLUMN('1-DATA'!D695)),IF($B697="STD. DEVIATION",2,$F$1))))</f>
        <v/>
      </c>
      <c r="F697" s="1" t="str">
        <f>IF(OR($B697="",F$7=""),"",IF($B697="MEANS",INDEX('1-DATA'!$1:$1048576,$A696-1,COLUMN('1-DATA'!E695)),ROUND(INDEX('1-DATA'!$1:$1048576,IF(OR($B697="STD. DEVIATION",$C$1=1),$A697,$A697+1),COLUMN('1-DATA'!E695)),IF($B697="STD. DEVIATION",2,$F$1))))</f>
        <v/>
      </c>
      <c r="G697" s="1" t="str">
        <f>IF(OR($B697="",G$7=""),"",IF($B697="MEANS",INDEX('1-DATA'!$1:$1048576,$A696-1,COLUMN('1-DATA'!F695)),ROUND(INDEX('1-DATA'!$1:$1048576,IF(OR($B697="STD. DEVIATION",$C$1=1),$A697,$A697+1),COLUMN('1-DATA'!F695)),IF($B697="STD. DEVIATION",2,$F$1))))</f>
        <v/>
      </c>
      <c r="H697" s="1" t="str">
        <f>IF(OR($B697="",H$7=""),"",IF($B697="MEANS",INDEX('1-DATA'!$1:$1048576,$A696-1,COLUMN('1-DATA'!G695)),ROUND(INDEX('1-DATA'!$1:$1048576,IF(OR($B697="STD. DEVIATION",$C$1=1),$A697,$A697+1),COLUMN('1-DATA'!G695)),IF($B697="STD. DEVIATION",2,$F$1))))</f>
        <v/>
      </c>
      <c r="I697" s="1" t="str">
        <f>IF(OR($B697="",I$7=""),"",IF($B697="MEANS",INDEX('1-DATA'!$1:$1048576,$A696-1,COLUMN('1-DATA'!H695)),ROUND(INDEX('1-DATA'!$1:$1048576,IF(OR($B697="STD. DEVIATION",$C$1=1),$A697,$A697+1),COLUMN('1-DATA'!H695)),IF($B697="STD. DEVIATION",2,$F$1))))</f>
        <v/>
      </c>
      <c r="J697" s="1" t="str">
        <f>IF(OR($B697="",J$7=""),"",IF($B697="MEANS",INDEX('1-DATA'!$1:$1048576,$A696-1,COLUMN('1-DATA'!I695)),ROUND(INDEX('1-DATA'!$1:$1048576,IF(OR($B697="STD. DEVIATION",$C$1=1),$A697,$A697+1),COLUMN('1-DATA'!I695)),IF($B697="STD. DEVIATION",2,$F$1))))</f>
        <v/>
      </c>
      <c r="K697" s="1" t="str">
        <f>IF(OR($B697="",K$7=""),"",IF($B697="MEANS",INDEX('1-DATA'!$1:$1048576,$A696-1,COLUMN('1-DATA'!J695)),ROUND(INDEX('1-DATA'!$1:$1048576,IF(OR($B697="STD. DEVIATION",$C$1=1),$A697,$A697+1),COLUMN('1-DATA'!J695)),IF($B697="STD. DEVIATION",2,$F$1))))</f>
        <v/>
      </c>
      <c r="L697" s="1" t="str">
        <f>IF(OR($B697="",L$7=""),"",IF($B697="MEANS",INDEX('1-DATA'!$1:$1048576,$A696-1,COLUMN('1-DATA'!K695)),ROUND(INDEX('1-DATA'!$1:$1048576,IF(OR($B697="STD. DEVIATION",$C$1=1),$A697,$A697+1),COLUMN('1-DATA'!K695)),IF($B697="STD. DEVIATION",2,$F$1))))</f>
        <v/>
      </c>
      <c r="M697" s="1" t="str">
        <f>IF(OR($B697="",M$7=""),"",IF($B697="MEANS",INDEX('1-DATA'!$1:$1048576,$A696-1,COLUMN('1-DATA'!L695)),ROUND(INDEX('1-DATA'!$1:$1048576,IF(OR($B697="STD. DEVIATION",$C$1=1),$A697,$A697+1),COLUMN('1-DATA'!L695)),IF($B697="STD. DEVIATION",2,$F$1))))</f>
        <v/>
      </c>
      <c r="N697" s="1" t="str">
        <f>IF(OR($B697="",N$7=""),"",IF($B697="MEANS",INDEX('1-DATA'!$1:$1048576,$A696-1,COLUMN('1-DATA'!M695)),ROUND(INDEX('1-DATA'!$1:$1048576,IF(OR($B697="STD. DEVIATION",$C$1=1),$A697,$A697+1),COLUMN('1-DATA'!M695)),IF($B697="STD. DEVIATION",2,$F$1))))</f>
        <v/>
      </c>
      <c r="O697" s="1" t="str">
        <f>IF(OR($B697="",O$7=""),"",IF($B697="MEANS",INDEX('1-DATA'!$1:$1048576,$A696-1,COLUMN('1-DATA'!N695)),ROUND(INDEX('1-DATA'!$1:$1048576,IF(OR($B697="STD. DEVIATION",$C$1=1),$A697,$A697+1),COLUMN('1-DATA'!N695)),IF($B697="STD. DEVIATION",2,$F$1))))</f>
        <v/>
      </c>
      <c r="P697" s="1" t="str">
        <f>IF(OR($B697="",P$7=""),"",IF($B697="MEANS",INDEX('1-DATA'!$1:$1048576,$A696-1,COLUMN('1-DATA'!O695)),ROUND(INDEX('1-DATA'!$1:$1048576,IF(OR($B697="STD. DEVIATION",$C$1=1),$A697,$A697+1),COLUMN('1-DATA'!O695)),IF($B697="STD. DEVIATION",2,$F$1))))</f>
        <v/>
      </c>
      <c r="Q697" s="1" t="str">
        <f>IF(OR($B697="",Q$7=""),"",IF($B697="MEANS",INDEX('1-DATA'!$1:$1048576,$A696-1,COLUMN('1-DATA'!P695)),ROUND(INDEX('1-DATA'!$1:$1048576,IF(OR($B697="STD. DEVIATION",$C$1=1),$A697,$A697+1),COLUMN('1-DATA'!P695)),IF($B697="STD. DEVIATION",2,$F$1))))</f>
        <v/>
      </c>
      <c r="R697" s="1" t="str">
        <f>IF(OR($B697="",R$7=""),"",IF($B697="MEANS",INDEX('1-DATA'!$1:$1048576,$A696-1,COLUMN('1-DATA'!Q695)),ROUND(INDEX('1-DATA'!$1:$1048576,IF(OR($B697="STD. DEVIATION",$C$1=1),$A697,$A697+1),COLUMN('1-DATA'!Q695)),IF($B697="STD. DEVIATION",2,$F$1))))</f>
        <v/>
      </c>
      <c r="S697" s="1" t="str">
        <f>IF(OR($B697="",S$7=""),"",IF($B697="MEANS",INDEX('1-DATA'!$1:$1048576,$A696-1,COLUMN('1-DATA'!R695)),ROUND(INDEX('1-DATA'!$1:$1048576,IF(OR($B697="STD. DEVIATION",$C$1=1),$A697,$A697+1),COLUMN('1-DATA'!R695)),IF($B697="STD. DEVIATION",2,$F$1))))</f>
        <v/>
      </c>
      <c r="T697" s="1" t="str">
        <f>IF(OR($B697="",T$7=""),"",IF($B697="MEANS",INDEX('1-DATA'!$1:$1048576,$A696-1,COLUMN('1-DATA'!S695)),ROUND(INDEX('1-DATA'!$1:$1048576,IF(OR($B697="STD. DEVIATION",$C$1=1),$A697,$A697+1),COLUMN('1-DATA'!S695)),IF($B697="STD. DEVIATION",2,$F$1))))</f>
        <v/>
      </c>
      <c r="U697" s="1" t="str">
        <f>IF(OR($B697="",U$7=""),"",IF($B697="MEANS",INDEX('1-DATA'!$1:$1048576,$A696-1,COLUMN('1-DATA'!T695)),ROUND(INDEX('1-DATA'!$1:$1048576,IF(OR($B697="STD. DEVIATION",$C$1=1),$A697,$A697+1),COLUMN('1-DATA'!T695)),IF($B697="STD. DEVIATION",2,$F$1))))</f>
        <v/>
      </c>
      <c r="V697" s="1" t="str">
        <f>IF(OR($B697="",V$7=""),"",IF($B697="MEANS",INDEX('1-DATA'!$1:$1048576,$A696-1,COLUMN('1-DATA'!U695)),ROUND(INDEX('1-DATA'!$1:$1048576,IF(OR($B697="STD. DEVIATION",$C$1=1),$A697,$A697+1),COLUMN('1-DATA'!U695)),IF($B697="STD. DEVIATION",2,$F$1))))</f>
        <v/>
      </c>
      <c r="W697" s="1" t="str">
        <f>IF(OR($B697="",W$7=""),"",IF($B697="MEANS",INDEX('1-DATA'!$1:$1048576,$A696-1,COLUMN('1-DATA'!V695)),ROUND(INDEX('1-DATA'!$1:$1048576,IF(OR($B697="STD. DEVIATION",$C$1=1),$A697,$A697+1),COLUMN('1-DATA'!V695)),IF($B697="STD. DEVIATION",2,$F$1))))</f>
        <v/>
      </c>
      <c r="X697" s="1" t="str">
        <f>IF(OR($B697="",X$7=""),"",IF($B697="MEANS",INDEX('1-DATA'!$1:$1048576,$A696-1,COLUMN('1-DATA'!W695)),ROUND(INDEX('1-DATA'!$1:$1048576,IF(OR($B697="STD. DEVIATION",$C$1=1),$A697,$A697+1),COLUMN('1-DATA'!W695)),IF($B697="STD. DEVIATION",2,$F$1))))</f>
        <v/>
      </c>
      <c r="Y697" s="1" t="str">
        <f>IF(OR($B697="",Y$7=""),"",IF($B697="MEANS",INDEX('1-DATA'!$1:$1048576,$A696-1,COLUMN('1-DATA'!X695)),ROUND(INDEX('1-DATA'!$1:$1048576,IF(OR($B697="STD. DEVIATION",$C$1=1),$A697,$A697+1),COLUMN('1-DATA'!X695)),IF($B697="STD. DEVIATION",2,$F$1))))</f>
        <v/>
      </c>
      <c r="Z697" s="1" t="str">
        <f>IF(OR($B697="",Z$7=""),"",IF($B697="MEANS",INDEX('1-DATA'!$1:$1048576,$A696-1,COLUMN('1-DATA'!Y695)),ROUND(INDEX('1-DATA'!$1:$1048576,IF(OR($B697="STD. DEVIATION",$C$1=1),$A697,$A697+1),COLUMN('1-DATA'!Y695)),IF($B697="STD. DEVIATION",2,$F$1))))</f>
        <v/>
      </c>
      <c r="AA697" s="1" t="str">
        <f>IF(OR($B697="",AA$7=""),"",IF($B697="MEANS",INDEX('1-DATA'!$1:$1048576,$A696-1,COLUMN('1-DATA'!Z695)),ROUND(INDEX('1-DATA'!$1:$1048576,IF(OR($B697="STD. DEVIATION",$C$1=1),$A697,$A697+1),COLUMN('1-DATA'!Z695)),IF($B697="STD. DEVIATION",2,$F$1))))</f>
        <v/>
      </c>
      <c r="AB697" s="1" t="str">
        <f>IF(OR($B697="",AB$7=""),"",IF($B697="MEANS",INDEX('1-DATA'!$1:$1048576,$A696-1,COLUMN('1-DATA'!AA695)),ROUND(INDEX('1-DATA'!$1:$1048576,IF(OR($B697="STD. DEVIATION",$C$1=1),$A697,$A697+1),COLUMN('1-DATA'!AA695)),IF($B697="STD. DEVIATION",2,$F$1))))</f>
        <v/>
      </c>
      <c r="AC697" s="1" t="str">
        <f>IF(OR($B697="",AC$7=""),"",IF($B697="MEANS",INDEX('1-DATA'!$1:$1048576,$A696-1,COLUMN('1-DATA'!AB695)),ROUND(INDEX('1-DATA'!$1:$1048576,IF(OR($B697="STD. DEVIATION",$C$1=1),$A697,$A697+1),COLUMN('1-DATA'!AB695)),IF($B697="STD. DEVIATION",2,$F$1))))</f>
        <v/>
      </c>
      <c r="AD697" s="1" t="str">
        <f>IF(OR($B697="",AD$7=""),"",IF($B697="MEANS",INDEX('1-DATA'!$1:$1048576,$A696-1,COLUMN('1-DATA'!AC695)),ROUND(INDEX('1-DATA'!$1:$1048576,IF(OR($B697="STD. DEVIATION",$C$1=1),$A697,$A697+1),COLUMN('1-DATA'!AC695)),IF($B697="STD. DEVIATION",2,$F$1))))</f>
        <v/>
      </c>
      <c r="AE697" s="1" t="str">
        <f>IF(OR($B697="",AE$7=""),"",IF($B697="MEANS",INDEX('1-DATA'!$1:$1048576,$A696-1,COLUMN('1-DATA'!AD695)),ROUND(INDEX('1-DATA'!$1:$1048576,IF(OR($B697="STD. DEVIATION",$C$1=1),$A697,$A697+1),COLUMN('1-DATA'!AD695)),IF($B697="STD. DEVIATION",2,$F$1))))</f>
        <v/>
      </c>
      <c r="AF697" s="1" t="str">
        <f>IF(OR($B697="",AF$7=""),"",IF($B697="MEANS",INDEX('1-DATA'!$1:$1048576,$A696-1,COLUMN('1-DATA'!AE695)),ROUND(INDEX('1-DATA'!$1:$1048576,IF(OR($B697="STD. DEVIATION",$C$1=1),$A697,$A697+1),COLUMN('1-DATA'!AE695)),IF($B697="STD. DEVIATION",2,$F$1))))</f>
        <v/>
      </c>
      <c r="AG697" s="1" t="str">
        <f>IF(OR($B697="",AG$7=""),"",IF($B697="MEANS",INDEX('1-DATA'!$1:$1048576,$A696-1,COLUMN('1-DATA'!AF695)),ROUND(INDEX('1-DATA'!$1:$1048576,IF(OR($B697="STD. DEVIATION",$C$1=1),$A697,$A697+1),COLUMN('1-DATA'!AF695)),IF($B697="STD. DEVIATION",2,$F$1))))</f>
        <v/>
      </c>
      <c r="AH697" s="1" t="str">
        <f>IF(OR($B697="",AH$7=""),"",IF($B697="MEANS",INDEX('1-DATA'!$1:$1048576,$A696-1,COLUMN('1-DATA'!AG695)),ROUND(INDEX('1-DATA'!$1:$1048576,IF(OR($B697="STD. DEVIATION",$C$1=1),$A697,$A697+1),COLUMN('1-DATA'!AG695)),IF($B697="STD. DEVIATION",2,$F$1))))</f>
        <v/>
      </c>
      <c r="AI697" s="1" t="str">
        <f>IF(OR($B697="",AI$7=""),"",IF($B697="MEANS",INDEX('1-DATA'!$1:$1048576,$A696-1,COLUMN('1-DATA'!AH695)),ROUND(INDEX('1-DATA'!$1:$1048576,IF(OR($B697="STD. DEVIATION",$C$1=1),$A697,$A697+1),COLUMN('1-DATA'!AH695)),IF($B697="STD. DEVIATION",2,$F$1))))</f>
        <v/>
      </c>
      <c r="AJ697" s="1" t="str">
        <f>IF(OR($B697="",AJ$7=""),"",IF($B697="MEANS",INDEX('1-DATA'!$1:$1048576,$A696-1,COLUMN('1-DATA'!AI695)),ROUND(INDEX('1-DATA'!$1:$1048576,IF(OR($B697="STD. DEVIATION",$C$1=1),$A697,$A697+1),COLUMN('1-DATA'!AI695)),IF($B697="STD. DEVIATION",2,$F$1))))</f>
        <v/>
      </c>
      <c r="AK697" s="1" t="str">
        <f>IF(OR($B697="",AK$7=""),"",IF($B697="MEANS",INDEX('1-DATA'!$1:$1048576,$A696-1,COLUMN('1-DATA'!AJ695)),ROUND(INDEX('1-DATA'!$1:$1048576,IF(OR($B697="STD. DEVIATION",$C$1=1),$A697,$A697+1),COLUMN('1-DATA'!AJ695)),IF($B697="STD. DEVIATION",2,$F$1))))</f>
        <v/>
      </c>
      <c r="AL697" s="1" t="str">
        <f>IF(OR($B697="",AL$7=""),"",IF($B697="MEANS",INDEX('1-DATA'!$1:$1048576,$A696-1,COLUMN('1-DATA'!AK695)),ROUND(INDEX('1-DATA'!$1:$1048576,IF(OR($B697="STD. DEVIATION",$C$1=1),$A697,$A697+1),COLUMN('1-DATA'!AK695)),IF($B697="STD. DEVIATION",2,$F$1))))</f>
        <v/>
      </c>
      <c r="AM697" s="1" t="str">
        <f>IF(OR($B697="",AM$7=""),"",IF($B697="MEANS",INDEX('1-DATA'!$1:$1048576,$A696-1,COLUMN('1-DATA'!AL695)),ROUND(INDEX('1-DATA'!$1:$1048576,IF(OR($B697="STD. DEVIATION",$C$1=1),$A697,$A697+1),COLUMN('1-DATA'!AL695)),IF($B697="STD. DEVIATION",2,$F$1))))</f>
        <v/>
      </c>
      <c r="AN697" s="1" t="str">
        <f>IF(OR($B697="",AN$7=""),"",IF($B697="MEANS",INDEX('1-DATA'!$1:$1048576,$A696-1,COLUMN('1-DATA'!AM695)),ROUND(INDEX('1-DATA'!$1:$1048576,IF(OR($B697="STD. DEVIATION",$C$1=1),$A697,$A697+1),COLUMN('1-DATA'!AM695)),IF($B697="STD. DEVIATION",2,$F$1))))</f>
        <v/>
      </c>
      <c r="AO697" s="1" t="str">
        <f>IF(OR($B697="",AO$7=""),"",IF($B697="MEANS",INDEX('1-DATA'!$1:$1048576,$A696-1,COLUMN('1-DATA'!AN695)),ROUND(INDEX('1-DATA'!$1:$1048576,IF(OR($B697="STD. DEVIATION",$C$1=1),$A697,$A697+1),COLUMN('1-DATA'!AN695)),IF($B697="STD. DEVIATION",2,$F$1))))</f>
        <v/>
      </c>
      <c r="AP697" s="1" t="str">
        <f>IF(OR($B697="",AP$7=""),"",IF($B697="MEANS",INDEX('1-DATA'!$1:$1048576,$A696-1,COLUMN('1-DATA'!AO695)),ROUND(INDEX('1-DATA'!$1:$1048576,IF(OR($B697="STD. DEVIATION",$C$1=1),$A697,$A697+1),COLUMN('1-DATA'!AO695)),IF($B697="STD. DEVIATION",2,$F$1))))</f>
        <v/>
      </c>
      <c r="AQ697" s="1" t="str">
        <f>IF(OR($B697="",AQ$7=""),"",IF($B697="MEANS",INDEX('1-DATA'!$1:$1048576,$A696-1,COLUMN('1-DATA'!AP695)),ROUND(INDEX('1-DATA'!$1:$1048576,IF(OR($B697="STD. DEVIATION",$C$1=1),$A697,$A697+1),COLUMN('1-DATA'!AP695)),IF($B697="STD. DEVIATION",2,$F$1))))</f>
        <v/>
      </c>
      <c r="AR697" s="1" t="str">
        <f>IF(OR($B697="",AR$7=""),"",IF($B697="MEANS",INDEX('1-DATA'!$1:$1048576,$A696-1,COLUMN('1-DATA'!AQ695)),ROUND(INDEX('1-DATA'!$1:$1048576,IF(OR($B697="STD. DEVIATION",$C$1=1),$A697,$A697+1),COLUMN('1-DATA'!AQ695)),IF($B697="STD. DEVIATION",2,$F$1))))</f>
        <v/>
      </c>
      <c r="AS697" s="1" t="str">
        <f>IF(OR($B697="",AS$7=""),"",IF($B697="MEANS",INDEX('1-DATA'!$1:$1048576,$A696-1,COLUMN('1-DATA'!AR695)),ROUND(INDEX('1-DATA'!$1:$1048576,IF(OR($B697="STD. DEVIATION",$C$1=1),$A697,$A697+1),COLUMN('1-DATA'!AR695)),IF($B697="STD. DEVIATION",2,$F$1))))</f>
        <v/>
      </c>
      <c r="AT697" s="1" t="str">
        <f>IF(OR($B697="",AT$7=""),"",IF($B697="MEANS",INDEX('1-DATA'!$1:$1048576,$A696-1,COLUMN('1-DATA'!AS695)),ROUND(INDEX('1-DATA'!$1:$1048576,IF(OR($B697="STD. DEVIATION",$C$1=1),$A697,$A697+1),COLUMN('1-DATA'!AS695)),IF($B697="STD. DEVIATION",2,$F$1))))</f>
        <v/>
      </c>
      <c r="AU697" s="1" t="str">
        <f>IF(OR($B697="",AU$7=""),"",IF($B697="MEANS",INDEX('1-DATA'!$1:$1048576,$A696-1,COLUMN('1-DATA'!AT695)),ROUND(INDEX('1-DATA'!$1:$1048576,IF(OR($B697="STD. DEVIATION",$C$1=1),$A697,$A697+1),COLUMN('1-DATA'!AT695)),IF($B697="STD. DEVIATION",2,$F$1))))</f>
        <v/>
      </c>
      <c r="AV697" s="1" t="str">
        <f>IF(OR($B697="",AV$7=""),"",IF($B697="MEANS",INDEX('1-DATA'!$1:$1048576,$A696-1,COLUMN('1-DATA'!AU695)),ROUND(INDEX('1-DATA'!$1:$1048576,IF(OR($B697="STD. DEVIATION",$C$1=1),$A697,$A697+1),COLUMN('1-DATA'!AU695)),IF($B697="STD. DEVIATION",2,$F$1))))</f>
        <v/>
      </c>
      <c r="AW697" s="1" t="str">
        <f>IF(OR($B697="",AW$7=""),"",IF($B697="MEANS",INDEX('1-DATA'!$1:$1048576,$A696-1,COLUMN('1-DATA'!AV695)),ROUND(INDEX('1-DATA'!$1:$1048576,IF(OR($B697="STD. DEVIATION",$C$1=1),$A697,$A697+1),COLUMN('1-DATA'!AV695)),IF($B697="STD. DEVIATION",2,$F$1))))</f>
        <v/>
      </c>
      <c r="AX697" s="1" t="str">
        <f>IF(OR($B697="",AX$7=""),"",IF($B697="MEANS",INDEX('1-DATA'!$1:$1048576,$A696-1,COLUMN('1-DATA'!AW695)),ROUND(INDEX('1-DATA'!$1:$1048576,IF(OR($B697="STD. DEVIATION",$C$1=1),$A697,$A697+1),COLUMN('1-DATA'!AW695)),IF($B697="STD. DEVIATION",2,$F$1))))</f>
        <v/>
      </c>
      <c r="AY697" s="1" t="str">
        <f>IF(OR($B697="",AY$7=""),"",IF($B697="MEANS",INDEX('1-DATA'!$1:$1048576,$A696-1,COLUMN('1-DATA'!AX695)),ROUND(INDEX('1-DATA'!$1:$1048576,IF(OR($B697="STD. DEVIATION",$C$1=1),$A697,$A697+1),COLUMN('1-DATA'!AX695)),IF($B697="STD. DEVIATION",2,$F$1))))</f>
        <v/>
      </c>
      <c r="AZ697" s="1" t="str">
        <f>IF(OR($B697="",AZ$7=""),"",IF($B697="MEANS",INDEX('1-DATA'!$1:$1048576,$A696-1,COLUMN('1-DATA'!AY695)),ROUND(INDEX('1-DATA'!$1:$1048576,IF(OR($B697="STD. DEVIATION",$C$1=1),$A697,$A697+1),COLUMN('1-DATA'!AY695)),IF($B697="STD. DEVIATION",2,$F$1))))</f>
        <v/>
      </c>
    </row>
    <row r="698" spans="1:52" x14ac:dyDescent="0.25">
      <c r="A698" s="11">
        <f t="shared" si="11"/>
        <v>2080</v>
      </c>
      <c r="B698" s="1" t="str">
        <f>IF(B697="STD. DEVIATION",INDEX('1-DATA'!$1:$1048576,$A697-1,1),IF(INDEX('1-DATA'!$1:$1048576,$A698,1)&lt;&gt;"",INDEX('1-DATA'!$1:$1048576,$A698,1),""))</f>
        <v/>
      </c>
      <c r="C698" s="1" t="str">
        <f>IF(OR($B698="",C$7=""),"",IF($B698="MEANS",INDEX('1-DATA'!$1:$1048576,$A697-1,COLUMN('1-DATA'!B696)),ROUND(INDEX('1-DATA'!$1:$1048576,IF(OR($B698="STD. DEVIATION",$C$1=1),$A698,$A698+1),COLUMN('1-DATA'!B696)),IF($B698="STD. DEVIATION",2,$F$1))))</f>
        <v/>
      </c>
      <c r="D698" s="1" t="str">
        <f>IF(OR($B698="",D$7=""),"",IF($B698="MEANS",INDEX('1-DATA'!$1:$1048576,$A697-1,COLUMN('1-DATA'!C696)),ROUND(INDEX('1-DATA'!$1:$1048576,IF(OR($B698="STD. DEVIATION",$C$1=1),$A698,$A698+1),COLUMN('1-DATA'!C696)),IF($B698="STD. DEVIATION",2,$F$1))))</f>
        <v/>
      </c>
      <c r="E698" s="1" t="str">
        <f>IF(OR($B698="",E$7=""),"",IF($B698="MEANS",INDEX('1-DATA'!$1:$1048576,$A697-1,COLUMN('1-DATA'!D696)),ROUND(INDEX('1-DATA'!$1:$1048576,IF(OR($B698="STD. DEVIATION",$C$1=1),$A698,$A698+1),COLUMN('1-DATA'!D696)),IF($B698="STD. DEVIATION",2,$F$1))))</f>
        <v/>
      </c>
      <c r="F698" s="1" t="str">
        <f>IF(OR($B698="",F$7=""),"",IF($B698="MEANS",INDEX('1-DATA'!$1:$1048576,$A697-1,COLUMN('1-DATA'!E696)),ROUND(INDEX('1-DATA'!$1:$1048576,IF(OR($B698="STD. DEVIATION",$C$1=1),$A698,$A698+1),COLUMN('1-DATA'!E696)),IF($B698="STD. DEVIATION",2,$F$1))))</f>
        <v/>
      </c>
      <c r="G698" s="1" t="str">
        <f>IF(OR($B698="",G$7=""),"",IF($B698="MEANS",INDEX('1-DATA'!$1:$1048576,$A697-1,COLUMN('1-DATA'!F696)),ROUND(INDEX('1-DATA'!$1:$1048576,IF(OR($B698="STD. DEVIATION",$C$1=1),$A698,$A698+1),COLUMN('1-DATA'!F696)),IF($B698="STD. DEVIATION",2,$F$1))))</f>
        <v/>
      </c>
      <c r="H698" s="1" t="str">
        <f>IF(OR($B698="",H$7=""),"",IF($B698="MEANS",INDEX('1-DATA'!$1:$1048576,$A697-1,COLUMN('1-DATA'!G696)),ROUND(INDEX('1-DATA'!$1:$1048576,IF(OR($B698="STD. DEVIATION",$C$1=1),$A698,$A698+1),COLUMN('1-DATA'!G696)),IF($B698="STD. DEVIATION",2,$F$1))))</f>
        <v/>
      </c>
      <c r="I698" s="1" t="str">
        <f>IF(OR($B698="",I$7=""),"",IF($B698="MEANS",INDEX('1-DATA'!$1:$1048576,$A697-1,COLUMN('1-DATA'!H696)),ROUND(INDEX('1-DATA'!$1:$1048576,IF(OR($B698="STD. DEVIATION",$C$1=1),$A698,$A698+1),COLUMN('1-DATA'!H696)),IF($B698="STD. DEVIATION",2,$F$1))))</f>
        <v/>
      </c>
      <c r="J698" s="1" t="str">
        <f>IF(OR($B698="",J$7=""),"",IF($B698="MEANS",INDEX('1-DATA'!$1:$1048576,$A697-1,COLUMN('1-DATA'!I696)),ROUND(INDEX('1-DATA'!$1:$1048576,IF(OR($B698="STD. DEVIATION",$C$1=1),$A698,$A698+1),COLUMN('1-DATA'!I696)),IF($B698="STD. DEVIATION",2,$F$1))))</f>
        <v/>
      </c>
      <c r="K698" s="1" t="str">
        <f>IF(OR($B698="",K$7=""),"",IF($B698="MEANS",INDEX('1-DATA'!$1:$1048576,$A697-1,COLUMN('1-DATA'!J696)),ROUND(INDEX('1-DATA'!$1:$1048576,IF(OR($B698="STD. DEVIATION",$C$1=1),$A698,$A698+1),COLUMN('1-DATA'!J696)),IF($B698="STD. DEVIATION",2,$F$1))))</f>
        <v/>
      </c>
      <c r="L698" s="1" t="str">
        <f>IF(OR($B698="",L$7=""),"",IF($B698="MEANS",INDEX('1-DATA'!$1:$1048576,$A697-1,COLUMN('1-DATA'!K696)),ROUND(INDEX('1-DATA'!$1:$1048576,IF(OR($B698="STD. DEVIATION",$C$1=1),$A698,$A698+1),COLUMN('1-DATA'!K696)),IF($B698="STD. DEVIATION",2,$F$1))))</f>
        <v/>
      </c>
      <c r="M698" s="1" t="str">
        <f>IF(OR($B698="",M$7=""),"",IF($B698="MEANS",INDEX('1-DATA'!$1:$1048576,$A697-1,COLUMN('1-DATA'!L696)),ROUND(INDEX('1-DATA'!$1:$1048576,IF(OR($B698="STD. DEVIATION",$C$1=1),$A698,$A698+1),COLUMN('1-DATA'!L696)),IF($B698="STD. DEVIATION",2,$F$1))))</f>
        <v/>
      </c>
      <c r="N698" s="1" t="str">
        <f>IF(OR($B698="",N$7=""),"",IF($B698="MEANS",INDEX('1-DATA'!$1:$1048576,$A697-1,COLUMN('1-DATA'!M696)),ROUND(INDEX('1-DATA'!$1:$1048576,IF(OR($B698="STD. DEVIATION",$C$1=1),$A698,$A698+1),COLUMN('1-DATA'!M696)),IF($B698="STD. DEVIATION",2,$F$1))))</f>
        <v/>
      </c>
      <c r="O698" s="1" t="str">
        <f>IF(OR($B698="",O$7=""),"",IF($B698="MEANS",INDEX('1-DATA'!$1:$1048576,$A697-1,COLUMN('1-DATA'!N696)),ROUND(INDEX('1-DATA'!$1:$1048576,IF(OR($B698="STD. DEVIATION",$C$1=1),$A698,$A698+1),COLUMN('1-DATA'!N696)),IF($B698="STD. DEVIATION",2,$F$1))))</f>
        <v/>
      </c>
      <c r="P698" s="1" t="str">
        <f>IF(OR($B698="",P$7=""),"",IF($B698="MEANS",INDEX('1-DATA'!$1:$1048576,$A697-1,COLUMN('1-DATA'!O696)),ROUND(INDEX('1-DATA'!$1:$1048576,IF(OR($B698="STD. DEVIATION",$C$1=1),$A698,$A698+1),COLUMN('1-DATA'!O696)),IF($B698="STD. DEVIATION",2,$F$1))))</f>
        <v/>
      </c>
      <c r="Q698" s="1" t="str">
        <f>IF(OR($B698="",Q$7=""),"",IF($B698="MEANS",INDEX('1-DATA'!$1:$1048576,$A697-1,COLUMN('1-DATA'!P696)),ROUND(INDEX('1-DATA'!$1:$1048576,IF(OR($B698="STD. DEVIATION",$C$1=1),$A698,$A698+1),COLUMN('1-DATA'!P696)),IF($B698="STD. DEVIATION",2,$F$1))))</f>
        <v/>
      </c>
      <c r="R698" s="1" t="str">
        <f>IF(OR($B698="",R$7=""),"",IF($B698="MEANS",INDEX('1-DATA'!$1:$1048576,$A697-1,COLUMN('1-DATA'!Q696)),ROUND(INDEX('1-DATA'!$1:$1048576,IF(OR($B698="STD. DEVIATION",$C$1=1),$A698,$A698+1),COLUMN('1-DATA'!Q696)),IF($B698="STD. DEVIATION",2,$F$1))))</f>
        <v/>
      </c>
      <c r="S698" s="1" t="str">
        <f>IF(OR($B698="",S$7=""),"",IF($B698="MEANS",INDEX('1-DATA'!$1:$1048576,$A697-1,COLUMN('1-DATA'!R696)),ROUND(INDEX('1-DATA'!$1:$1048576,IF(OR($B698="STD. DEVIATION",$C$1=1),$A698,$A698+1),COLUMN('1-DATA'!R696)),IF($B698="STD. DEVIATION",2,$F$1))))</f>
        <v/>
      </c>
      <c r="T698" s="1" t="str">
        <f>IF(OR($B698="",T$7=""),"",IF($B698="MEANS",INDEX('1-DATA'!$1:$1048576,$A697-1,COLUMN('1-DATA'!S696)),ROUND(INDEX('1-DATA'!$1:$1048576,IF(OR($B698="STD. DEVIATION",$C$1=1),$A698,$A698+1),COLUMN('1-DATA'!S696)),IF($B698="STD. DEVIATION",2,$F$1))))</f>
        <v/>
      </c>
      <c r="U698" s="1" t="str">
        <f>IF(OR($B698="",U$7=""),"",IF($B698="MEANS",INDEX('1-DATA'!$1:$1048576,$A697-1,COLUMN('1-DATA'!T696)),ROUND(INDEX('1-DATA'!$1:$1048576,IF(OR($B698="STD. DEVIATION",$C$1=1),$A698,$A698+1),COLUMN('1-DATA'!T696)),IF($B698="STD. DEVIATION",2,$F$1))))</f>
        <v/>
      </c>
      <c r="V698" s="1" t="str">
        <f>IF(OR($B698="",V$7=""),"",IF($B698="MEANS",INDEX('1-DATA'!$1:$1048576,$A697-1,COLUMN('1-DATA'!U696)),ROUND(INDEX('1-DATA'!$1:$1048576,IF(OR($B698="STD. DEVIATION",$C$1=1),$A698,$A698+1),COLUMN('1-DATA'!U696)),IF($B698="STD. DEVIATION",2,$F$1))))</f>
        <v/>
      </c>
      <c r="W698" s="1" t="str">
        <f>IF(OR($B698="",W$7=""),"",IF($B698="MEANS",INDEX('1-DATA'!$1:$1048576,$A697-1,COLUMN('1-DATA'!V696)),ROUND(INDEX('1-DATA'!$1:$1048576,IF(OR($B698="STD. DEVIATION",$C$1=1),$A698,$A698+1),COLUMN('1-DATA'!V696)),IF($B698="STD. DEVIATION",2,$F$1))))</f>
        <v/>
      </c>
      <c r="X698" s="1" t="str">
        <f>IF(OR($B698="",X$7=""),"",IF($B698="MEANS",INDEX('1-DATA'!$1:$1048576,$A697-1,COLUMN('1-DATA'!W696)),ROUND(INDEX('1-DATA'!$1:$1048576,IF(OR($B698="STD. DEVIATION",$C$1=1),$A698,$A698+1),COLUMN('1-DATA'!W696)),IF($B698="STD. DEVIATION",2,$F$1))))</f>
        <v/>
      </c>
      <c r="Y698" s="1" t="str">
        <f>IF(OR($B698="",Y$7=""),"",IF($B698="MEANS",INDEX('1-DATA'!$1:$1048576,$A697-1,COLUMN('1-DATA'!X696)),ROUND(INDEX('1-DATA'!$1:$1048576,IF(OR($B698="STD. DEVIATION",$C$1=1),$A698,$A698+1),COLUMN('1-DATA'!X696)),IF($B698="STD. DEVIATION",2,$F$1))))</f>
        <v/>
      </c>
      <c r="Z698" s="1" t="str">
        <f>IF(OR($B698="",Z$7=""),"",IF($B698="MEANS",INDEX('1-DATA'!$1:$1048576,$A697-1,COLUMN('1-DATA'!Y696)),ROUND(INDEX('1-DATA'!$1:$1048576,IF(OR($B698="STD. DEVIATION",$C$1=1),$A698,$A698+1),COLUMN('1-DATA'!Y696)),IF($B698="STD. DEVIATION",2,$F$1))))</f>
        <v/>
      </c>
      <c r="AA698" s="1" t="str">
        <f>IF(OR($B698="",AA$7=""),"",IF($B698="MEANS",INDEX('1-DATA'!$1:$1048576,$A697-1,COLUMN('1-DATA'!Z696)),ROUND(INDEX('1-DATA'!$1:$1048576,IF(OR($B698="STD. DEVIATION",$C$1=1),$A698,$A698+1),COLUMN('1-DATA'!Z696)),IF($B698="STD. DEVIATION",2,$F$1))))</f>
        <v/>
      </c>
      <c r="AB698" s="1" t="str">
        <f>IF(OR($B698="",AB$7=""),"",IF($B698="MEANS",INDEX('1-DATA'!$1:$1048576,$A697-1,COLUMN('1-DATA'!AA696)),ROUND(INDEX('1-DATA'!$1:$1048576,IF(OR($B698="STD. DEVIATION",$C$1=1),$A698,$A698+1),COLUMN('1-DATA'!AA696)),IF($B698="STD. DEVIATION",2,$F$1))))</f>
        <v/>
      </c>
      <c r="AC698" s="1" t="str">
        <f>IF(OR($B698="",AC$7=""),"",IF($B698="MEANS",INDEX('1-DATA'!$1:$1048576,$A697-1,COLUMN('1-DATA'!AB696)),ROUND(INDEX('1-DATA'!$1:$1048576,IF(OR($B698="STD. DEVIATION",$C$1=1),$A698,$A698+1),COLUMN('1-DATA'!AB696)),IF($B698="STD. DEVIATION",2,$F$1))))</f>
        <v/>
      </c>
      <c r="AD698" s="1" t="str">
        <f>IF(OR($B698="",AD$7=""),"",IF($B698="MEANS",INDEX('1-DATA'!$1:$1048576,$A697-1,COLUMN('1-DATA'!AC696)),ROUND(INDEX('1-DATA'!$1:$1048576,IF(OR($B698="STD. DEVIATION",$C$1=1),$A698,$A698+1),COLUMN('1-DATA'!AC696)),IF($B698="STD. DEVIATION",2,$F$1))))</f>
        <v/>
      </c>
      <c r="AE698" s="1" t="str">
        <f>IF(OR($B698="",AE$7=""),"",IF($B698="MEANS",INDEX('1-DATA'!$1:$1048576,$A697-1,COLUMN('1-DATA'!AD696)),ROUND(INDEX('1-DATA'!$1:$1048576,IF(OR($B698="STD. DEVIATION",$C$1=1),$A698,$A698+1),COLUMN('1-DATA'!AD696)),IF($B698="STD. DEVIATION",2,$F$1))))</f>
        <v/>
      </c>
      <c r="AF698" s="1" t="str">
        <f>IF(OR($B698="",AF$7=""),"",IF($B698="MEANS",INDEX('1-DATA'!$1:$1048576,$A697-1,COLUMN('1-DATA'!AE696)),ROUND(INDEX('1-DATA'!$1:$1048576,IF(OR($B698="STD. DEVIATION",$C$1=1),$A698,$A698+1),COLUMN('1-DATA'!AE696)),IF($B698="STD. DEVIATION",2,$F$1))))</f>
        <v/>
      </c>
      <c r="AG698" s="1" t="str">
        <f>IF(OR($B698="",AG$7=""),"",IF($B698="MEANS",INDEX('1-DATA'!$1:$1048576,$A697-1,COLUMN('1-DATA'!AF696)),ROUND(INDEX('1-DATA'!$1:$1048576,IF(OR($B698="STD. DEVIATION",$C$1=1),$A698,$A698+1),COLUMN('1-DATA'!AF696)),IF($B698="STD. DEVIATION",2,$F$1))))</f>
        <v/>
      </c>
      <c r="AH698" s="1" t="str">
        <f>IF(OR($B698="",AH$7=""),"",IF($B698="MEANS",INDEX('1-DATA'!$1:$1048576,$A697-1,COLUMN('1-DATA'!AG696)),ROUND(INDEX('1-DATA'!$1:$1048576,IF(OR($B698="STD. DEVIATION",$C$1=1),$A698,$A698+1),COLUMN('1-DATA'!AG696)),IF($B698="STD. DEVIATION",2,$F$1))))</f>
        <v/>
      </c>
      <c r="AI698" s="1" t="str">
        <f>IF(OR($B698="",AI$7=""),"",IF($B698="MEANS",INDEX('1-DATA'!$1:$1048576,$A697-1,COLUMN('1-DATA'!AH696)),ROUND(INDEX('1-DATA'!$1:$1048576,IF(OR($B698="STD. DEVIATION",$C$1=1),$A698,$A698+1),COLUMN('1-DATA'!AH696)),IF($B698="STD. DEVIATION",2,$F$1))))</f>
        <v/>
      </c>
      <c r="AJ698" s="1" t="str">
        <f>IF(OR($B698="",AJ$7=""),"",IF($B698="MEANS",INDEX('1-DATA'!$1:$1048576,$A697-1,COLUMN('1-DATA'!AI696)),ROUND(INDEX('1-DATA'!$1:$1048576,IF(OR($B698="STD. DEVIATION",$C$1=1),$A698,$A698+1),COLUMN('1-DATA'!AI696)),IF($B698="STD. DEVIATION",2,$F$1))))</f>
        <v/>
      </c>
      <c r="AK698" s="1" t="str">
        <f>IF(OR($B698="",AK$7=""),"",IF($B698="MEANS",INDEX('1-DATA'!$1:$1048576,$A697-1,COLUMN('1-DATA'!AJ696)),ROUND(INDEX('1-DATA'!$1:$1048576,IF(OR($B698="STD. DEVIATION",$C$1=1),$A698,$A698+1),COLUMN('1-DATA'!AJ696)),IF($B698="STD. DEVIATION",2,$F$1))))</f>
        <v/>
      </c>
      <c r="AL698" s="1" t="str">
        <f>IF(OR($B698="",AL$7=""),"",IF($B698="MEANS",INDEX('1-DATA'!$1:$1048576,$A697-1,COLUMN('1-DATA'!AK696)),ROUND(INDEX('1-DATA'!$1:$1048576,IF(OR($B698="STD. DEVIATION",$C$1=1),$A698,$A698+1),COLUMN('1-DATA'!AK696)),IF($B698="STD. DEVIATION",2,$F$1))))</f>
        <v/>
      </c>
      <c r="AM698" s="1" t="str">
        <f>IF(OR($B698="",AM$7=""),"",IF($B698="MEANS",INDEX('1-DATA'!$1:$1048576,$A697-1,COLUMN('1-DATA'!AL696)),ROUND(INDEX('1-DATA'!$1:$1048576,IF(OR($B698="STD. DEVIATION",$C$1=1),$A698,$A698+1),COLUMN('1-DATA'!AL696)),IF($B698="STD. DEVIATION",2,$F$1))))</f>
        <v/>
      </c>
      <c r="AN698" s="1" t="str">
        <f>IF(OR($B698="",AN$7=""),"",IF($B698="MEANS",INDEX('1-DATA'!$1:$1048576,$A697-1,COLUMN('1-DATA'!AM696)),ROUND(INDEX('1-DATA'!$1:$1048576,IF(OR($B698="STD. DEVIATION",$C$1=1),$A698,$A698+1),COLUMN('1-DATA'!AM696)),IF($B698="STD. DEVIATION",2,$F$1))))</f>
        <v/>
      </c>
      <c r="AO698" s="1" t="str">
        <f>IF(OR($B698="",AO$7=""),"",IF($B698="MEANS",INDEX('1-DATA'!$1:$1048576,$A697-1,COLUMN('1-DATA'!AN696)),ROUND(INDEX('1-DATA'!$1:$1048576,IF(OR($B698="STD. DEVIATION",$C$1=1),$A698,$A698+1),COLUMN('1-DATA'!AN696)),IF($B698="STD. DEVIATION",2,$F$1))))</f>
        <v/>
      </c>
      <c r="AP698" s="1" t="str">
        <f>IF(OR($B698="",AP$7=""),"",IF($B698="MEANS",INDEX('1-DATA'!$1:$1048576,$A697-1,COLUMN('1-DATA'!AO696)),ROUND(INDEX('1-DATA'!$1:$1048576,IF(OR($B698="STD. DEVIATION",$C$1=1),$A698,$A698+1),COLUMN('1-DATA'!AO696)),IF($B698="STD. DEVIATION",2,$F$1))))</f>
        <v/>
      </c>
      <c r="AQ698" s="1" t="str">
        <f>IF(OR($B698="",AQ$7=""),"",IF($B698="MEANS",INDEX('1-DATA'!$1:$1048576,$A697-1,COLUMN('1-DATA'!AP696)),ROUND(INDEX('1-DATA'!$1:$1048576,IF(OR($B698="STD. DEVIATION",$C$1=1),$A698,$A698+1),COLUMN('1-DATA'!AP696)),IF($B698="STD. DEVIATION",2,$F$1))))</f>
        <v/>
      </c>
      <c r="AR698" s="1" t="str">
        <f>IF(OR($B698="",AR$7=""),"",IF($B698="MEANS",INDEX('1-DATA'!$1:$1048576,$A697-1,COLUMN('1-DATA'!AQ696)),ROUND(INDEX('1-DATA'!$1:$1048576,IF(OR($B698="STD. DEVIATION",$C$1=1),$A698,$A698+1),COLUMN('1-DATA'!AQ696)),IF($B698="STD. DEVIATION",2,$F$1))))</f>
        <v/>
      </c>
      <c r="AS698" s="1" t="str">
        <f>IF(OR($B698="",AS$7=""),"",IF($B698="MEANS",INDEX('1-DATA'!$1:$1048576,$A697-1,COLUMN('1-DATA'!AR696)),ROUND(INDEX('1-DATA'!$1:$1048576,IF(OR($B698="STD. DEVIATION",$C$1=1),$A698,$A698+1),COLUMN('1-DATA'!AR696)),IF($B698="STD. DEVIATION",2,$F$1))))</f>
        <v/>
      </c>
      <c r="AT698" s="1" t="str">
        <f>IF(OR($B698="",AT$7=""),"",IF($B698="MEANS",INDEX('1-DATA'!$1:$1048576,$A697-1,COLUMN('1-DATA'!AS696)),ROUND(INDEX('1-DATA'!$1:$1048576,IF(OR($B698="STD. DEVIATION",$C$1=1),$A698,$A698+1),COLUMN('1-DATA'!AS696)),IF($B698="STD. DEVIATION",2,$F$1))))</f>
        <v/>
      </c>
      <c r="AU698" s="1" t="str">
        <f>IF(OR($B698="",AU$7=""),"",IF($B698="MEANS",INDEX('1-DATA'!$1:$1048576,$A697-1,COLUMN('1-DATA'!AT696)),ROUND(INDEX('1-DATA'!$1:$1048576,IF(OR($B698="STD. DEVIATION",$C$1=1),$A698,$A698+1),COLUMN('1-DATA'!AT696)),IF($B698="STD. DEVIATION",2,$F$1))))</f>
        <v/>
      </c>
      <c r="AV698" s="1" t="str">
        <f>IF(OR($B698="",AV$7=""),"",IF($B698="MEANS",INDEX('1-DATA'!$1:$1048576,$A697-1,COLUMN('1-DATA'!AU696)),ROUND(INDEX('1-DATA'!$1:$1048576,IF(OR($B698="STD. DEVIATION",$C$1=1),$A698,$A698+1),COLUMN('1-DATA'!AU696)),IF($B698="STD. DEVIATION",2,$F$1))))</f>
        <v/>
      </c>
      <c r="AW698" s="1" t="str">
        <f>IF(OR($B698="",AW$7=""),"",IF($B698="MEANS",INDEX('1-DATA'!$1:$1048576,$A697-1,COLUMN('1-DATA'!AV696)),ROUND(INDEX('1-DATA'!$1:$1048576,IF(OR($B698="STD. DEVIATION",$C$1=1),$A698,$A698+1),COLUMN('1-DATA'!AV696)),IF($B698="STD. DEVIATION",2,$F$1))))</f>
        <v/>
      </c>
      <c r="AX698" s="1" t="str">
        <f>IF(OR($B698="",AX$7=""),"",IF($B698="MEANS",INDEX('1-DATA'!$1:$1048576,$A697-1,COLUMN('1-DATA'!AW696)),ROUND(INDEX('1-DATA'!$1:$1048576,IF(OR($B698="STD. DEVIATION",$C$1=1),$A698,$A698+1),COLUMN('1-DATA'!AW696)),IF($B698="STD. DEVIATION",2,$F$1))))</f>
        <v/>
      </c>
      <c r="AY698" s="1" t="str">
        <f>IF(OR($B698="",AY$7=""),"",IF($B698="MEANS",INDEX('1-DATA'!$1:$1048576,$A697-1,COLUMN('1-DATA'!AX696)),ROUND(INDEX('1-DATA'!$1:$1048576,IF(OR($B698="STD. DEVIATION",$C$1=1),$A698,$A698+1),COLUMN('1-DATA'!AX696)),IF($B698="STD. DEVIATION",2,$F$1))))</f>
        <v/>
      </c>
      <c r="AZ698" s="1" t="str">
        <f>IF(OR($B698="",AZ$7=""),"",IF($B698="MEANS",INDEX('1-DATA'!$1:$1048576,$A697-1,COLUMN('1-DATA'!AY696)),ROUND(INDEX('1-DATA'!$1:$1048576,IF(OR($B698="STD. DEVIATION",$C$1=1),$A698,$A698+1),COLUMN('1-DATA'!AY696)),IF($B698="STD. DEVIATION",2,$F$1))))</f>
        <v/>
      </c>
    </row>
    <row r="699" spans="1:52" x14ac:dyDescent="0.25">
      <c r="A699" s="11">
        <f t="shared" si="11"/>
        <v>2083</v>
      </c>
      <c r="B699" s="1" t="str">
        <f>IF(B698="STD. DEVIATION",INDEX('1-DATA'!$1:$1048576,$A698-1,1),IF(INDEX('1-DATA'!$1:$1048576,$A699,1)&lt;&gt;"",INDEX('1-DATA'!$1:$1048576,$A699,1),""))</f>
        <v/>
      </c>
      <c r="C699" s="1" t="str">
        <f>IF(OR($B699="",C$7=""),"",IF($B699="MEANS",INDEX('1-DATA'!$1:$1048576,$A698-1,COLUMN('1-DATA'!B697)),ROUND(INDEX('1-DATA'!$1:$1048576,IF(OR($B699="STD. DEVIATION",$C$1=1),$A699,$A699+1),COLUMN('1-DATA'!B697)),IF($B699="STD. DEVIATION",2,$F$1))))</f>
        <v/>
      </c>
      <c r="D699" s="1" t="str">
        <f>IF(OR($B699="",D$7=""),"",IF($B699="MEANS",INDEX('1-DATA'!$1:$1048576,$A698-1,COLUMN('1-DATA'!C697)),ROUND(INDEX('1-DATA'!$1:$1048576,IF(OR($B699="STD. DEVIATION",$C$1=1),$A699,$A699+1),COLUMN('1-DATA'!C697)),IF($B699="STD. DEVIATION",2,$F$1))))</f>
        <v/>
      </c>
      <c r="E699" s="1" t="str">
        <f>IF(OR($B699="",E$7=""),"",IF($B699="MEANS",INDEX('1-DATA'!$1:$1048576,$A698-1,COLUMN('1-DATA'!D697)),ROUND(INDEX('1-DATA'!$1:$1048576,IF(OR($B699="STD. DEVIATION",$C$1=1),$A699,$A699+1),COLUMN('1-DATA'!D697)),IF($B699="STD. DEVIATION",2,$F$1))))</f>
        <v/>
      </c>
      <c r="F699" s="1" t="str">
        <f>IF(OR($B699="",F$7=""),"",IF($B699="MEANS",INDEX('1-DATA'!$1:$1048576,$A698-1,COLUMN('1-DATA'!E697)),ROUND(INDEX('1-DATA'!$1:$1048576,IF(OR($B699="STD. DEVIATION",$C$1=1),$A699,$A699+1),COLUMN('1-DATA'!E697)),IF($B699="STD. DEVIATION",2,$F$1))))</f>
        <v/>
      </c>
      <c r="G699" s="1" t="str">
        <f>IF(OR($B699="",G$7=""),"",IF($B699="MEANS",INDEX('1-DATA'!$1:$1048576,$A698-1,COLUMN('1-DATA'!F697)),ROUND(INDEX('1-DATA'!$1:$1048576,IF(OR($B699="STD. DEVIATION",$C$1=1),$A699,$A699+1),COLUMN('1-DATA'!F697)),IF($B699="STD. DEVIATION",2,$F$1))))</f>
        <v/>
      </c>
      <c r="H699" s="1" t="str">
        <f>IF(OR($B699="",H$7=""),"",IF($B699="MEANS",INDEX('1-DATA'!$1:$1048576,$A698-1,COLUMN('1-DATA'!G697)),ROUND(INDEX('1-DATA'!$1:$1048576,IF(OR($B699="STD. DEVIATION",$C$1=1),$A699,$A699+1),COLUMN('1-DATA'!G697)),IF($B699="STD. DEVIATION",2,$F$1))))</f>
        <v/>
      </c>
      <c r="I699" s="1" t="str">
        <f>IF(OR($B699="",I$7=""),"",IF($B699="MEANS",INDEX('1-DATA'!$1:$1048576,$A698-1,COLUMN('1-DATA'!H697)),ROUND(INDEX('1-DATA'!$1:$1048576,IF(OR($B699="STD. DEVIATION",$C$1=1),$A699,$A699+1),COLUMN('1-DATA'!H697)),IF($B699="STD. DEVIATION",2,$F$1))))</f>
        <v/>
      </c>
      <c r="J699" s="1" t="str">
        <f>IF(OR($B699="",J$7=""),"",IF($B699="MEANS",INDEX('1-DATA'!$1:$1048576,$A698-1,COLUMN('1-DATA'!I697)),ROUND(INDEX('1-DATA'!$1:$1048576,IF(OR($B699="STD. DEVIATION",$C$1=1),$A699,$A699+1),COLUMN('1-DATA'!I697)),IF($B699="STD. DEVIATION",2,$F$1))))</f>
        <v/>
      </c>
      <c r="K699" s="1" t="str">
        <f>IF(OR($B699="",K$7=""),"",IF($B699="MEANS",INDEX('1-DATA'!$1:$1048576,$A698-1,COLUMN('1-DATA'!J697)),ROUND(INDEX('1-DATA'!$1:$1048576,IF(OR($B699="STD. DEVIATION",$C$1=1),$A699,$A699+1),COLUMN('1-DATA'!J697)),IF($B699="STD. DEVIATION",2,$F$1))))</f>
        <v/>
      </c>
      <c r="L699" s="1" t="str">
        <f>IF(OR($B699="",L$7=""),"",IF($B699="MEANS",INDEX('1-DATA'!$1:$1048576,$A698-1,COLUMN('1-DATA'!K697)),ROUND(INDEX('1-DATA'!$1:$1048576,IF(OR($B699="STD. DEVIATION",$C$1=1),$A699,$A699+1),COLUMN('1-DATA'!K697)),IF($B699="STD. DEVIATION",2,$F$1))))</f>
        <v/>
      </c>
      <c r="M699" s="1" t="str">
        <f>IF(OR($B699="",M$7=""),"",IF($B699="MEANS",INDEX('1-DATA'!$1:$1048576,$A698-1,COLUMN('1-DATA'!L697)),ROUND(INDEX('1-DATA'!$1:$1048576,IF(OR($B699="STD. DEVIATION",$C$1=1),$A699,$A699+1),COLUMN('1-DATA'!L697)),IF($B699="STD. DEVIATION",2,$F$1))))</f>
        <v/>
      </c>
      <c r="N699" s="1" t="str">
        <f>IF(OR($B699="",N$7=""),"",IF($B699="MEANS",INDEX('1-DATA'!$1:$1048576,$A698-1,COLUMN('1-DATA'!M697)),ROUND(INDEX('1-DATA'!$1:$1048576,IF(OR($B699="STD. DEVIATION",$C$1=1),$A699,$A699+1),COLUMN('1-DATA'!M697)),IF($B699="STD. DEVIATION",2,$F$1))))</f>
        <v/>
      </c>
      <c r="O699" s="1" t="str">
        <f>IF(OR($B699="",O$7=""),"",IF($B699="MEANS",INDEX('1-DATA'!$1:$1048576,$A698-1,COLUMN('1-DATA'!N697)),ROUND(INDEX('1-DATA'!$1:$1048576,IF(OR($B699="STD. DEVIATION",$C$1=1),$A699,$A699+1),COLUMN('1-DATA'!N697)),IF($B699="STD. DEVIATION",2,$F$1))))</f>
        <v/>
      </c>
      <c r="P699" s="1" t="str">
        <f>IF(OR($B699="",P$7=""),"",IF($B699="MEANS",INDEX('1-DATA'!$1:$1048576,$A698-1,COLUMN('1-DATA'!O697)),ROUND(INDEX('1-DATA'!$1:$1048576,IF(OR($B699="STD. DEVIATION",$C$1=1),$A699,$A699+1),COLUMN('1-DATA'!O697)),IF($B699="STD. DEVIATION",2,$F$1))))</f>
        <v/>
      </c>
      <c r="Q699" s="1" t="str">
        <f>IF(OR($B699="",Q$7=""),"",IF($B699="MEANS",INDEX('1-DATA'!$1:$1048576,$A698-1,COLUMN('1-DATA'!P697)),ROUND(INDEX('1-DATA'!$1:$1048576,IF(OR($B699="STD. DEVIATION",$C$1=1),$A699,$A699+1),COLUMN('1-DATA'!P697)),IF($B699="STD. DEVIATION",2,$F$1))))</f>
        <v/>
      </c>
      <c r="R699" s="1" t="str">
        <f>IF(OR($B699="",R$7=""),"",IF($B699="MEANS",INDEX('1-DATA'!$1:$1048576,$A698-1,COLUMN('1-DATA'!Q697)),ROUND(INDEX('1-DATA'!$1:$1048576,IF(OR($B699="STD. DEVIATION",$C$1=1),$A699,$A699+1),COLUMN('1-DATA'!Q697)),IF($B699="STD. DEVIATION",2,$F$1))))</f>
        <v/>
      </c>
      <c r="S699" s="1" t="str">
        <f>IF(OR($B699="",S$7=""),"",IF($B699="MEANS",INDEX('1-DATA'!$1:$1048576,$A698-1,COLUMN('1-DATA'!R697)),ROUND(INDEX('1-DATA'!$1:$1048576,IF(OR($B699="STD. DEVIATION",$C$1=1),$A699,$A699+1),COLUMN('1-DATA'!R697)),IF($B699="STD. DEVIATION",2,$F$1))))</f>
        <v/>
      </c>
      <c r="T699" s="1" t="str">
        <f>IF(OR($B699="",T$7=""),"",IF($B699="MEANS",INDEX('1-DATA'!$1:$1048576,$A698-1,COLUMN('1-DATA'!S697)),ROUND(INDEX('1-DATA'!$1:$1048576,IF(OR($B699="STD. DEVIATION",$C$1=1),$A699,$A699+1),COLUMN('1-DATA'!S697)),IF($B699="STD. DEVIATION",2,$F$1))))</f>
        <v/>
      </c>
      <c r="U699" s="1" t="str">
        <f>IF(OR($B699="",U$7=""),"",IF($B699="MEANS",INDEX('1-DATA'!$1:$1048576,$A698-1,COLUMN('1-DATA'!T697)),ROUND(INDEX('1-DATA'!$1:$1048576,IF(OR($B699="STD. DEVIATION",$C$1=1),$A699,$A699+1),COLUMN('1-DATA'!T697)),IF($B699="STD. DEVIATION",2,$F$1))))</f>
        <v/>
      </c>
      <c r="V699" s="1" t="str">
        <f>IF(OR($B699="",V$7=""),"",IF($B699="MEANS",INDEX('1-DATA'!$1:$1048576,$A698-1,COLUMN('1-DATA'!U697)),ROUND(INDEX('1-DATA'!$1:$1048576,IF(OR($B699="STD. DEVIATION",$C$1=1),$A699,$A699+1),COLUMN('1-DATA'!U697)),IF($B699="STD. DEVIATION",2,$F$1))))</f>
        <v/>
      </c>
      <c r="W699" s="1" t="str">
        <f>IF(OR($B699="",W$7=""),"",IF($B699="MEANS",INDEX('1-DATA'!$1:$1048576,$A698-1,COLUMN('1-DATA'!V697)),ROUND(INDEX('1-DATA'!$1:$1048576,IF(OR($B699="STD. DEVIATION",$C$1=1),$A699,$A699+1),COLUMN('1-DATA'!V697)),IF($B699="STD. DEVIATION",2,$F$1))))</f>
        <v/>
      </c>
      <c r="X699" s="1" t="str">
        <f>IF(OR($B699="",X$7=""),"",IF($B699="MEANS",INDEX('1-DATA'!$1:$1048576,$A698-1,COLUMN('1-DATA'!W697)),ROUND(INDEX('1-DATA'!$1:$1048576,IF(OR($B699="STD. DEVIATION",$C$1=1),$A699,$A699+1),COLUMN('1-DATA'!W697)),IF($B699="STD. DEVIATION",2,$F$1))))</f>
        <v/>
      </c>
      <c r="Y699" s="1" t="str">
        <f>IF(OR($B699="",Y$7=""),"",IF($B699="MEANS",INDEX('1-DATA'!$1:$1048576,$A698-1,COLUMN('1-DATA'!X697)),ROUND(INDEX('1-DATA'!$1:$1048576,IF(OR($B699="STD. DEVIATION",$C$1=1),$A699,$A699+1),COLUMN('1-DATA'!X697)),IF($B699="STD. DEVIATION",2,$F$1))))</f>
        <v/>
      </c>
      <c r="Z699" s="1" t="str">
        <f>IF(OR($B699="",Z$7=""),"",IF($B699="MEANS",INDEX('1-DATA'!$1:$1048576,$A698-1,COLUMN('1-DATA'!Y697)),ROUND(INDEX('1-DATA'!$1:$1048576,IF(OR($B699="STD. DEVIATION",$C$1=1),$A699,$A699+1),COLUMN('1-DATA'!Y697)),IF($B699="STD. DEVIATION",2,$F$1))))</f>
        <v/>
      </c>
      <c r="AA699" s="1" t="str">
        <f>IF(OR($B699="",AA$7=""),"",IF($B699="MEANS",INDEX('1-DATA'!$1:$1048576,$A698-1,COLUMN('1-DATA'!Z697)),ROUND(INDEX('1-DATA'!$1:$1048576,IF(OR($B699="STD. DEVIATION",$C$1=1),$A699,$A699+1),COLUMN('1-DATA'!Z697)),IF($B699="STD. DEVIATION",2,$F$1))))</f>
        <v/>
      </c>
      <c r="AB699" s="1" t="str">
        <f>IF(OR($B699="",AB$7=""),"",IF($B699="MEANS",INDEX('1-DATA'!$1:$1048576,$A698-1,COLUMN('1-DATA'!AA697)),ROUND(INDEX('1-DATA'!$1:$1048576,IF(OR($B699="STD. DEVIATION",$C$1=1),$A699,$A699+1),COLUMN('1-DATA'!AA697)),IF($B699="STD. DEVIATION",2,$F$1))))</f>
        <v/>
      </c>
      <c r="AC699" s="1" t="str">
        <f>IF(OR($B699="",AC$7=""),"",IF($B699="MEANS",INDEX('1-DATA'!$1:$1048576,$A698-1,COLUMN('1-DATA'!AB697)),ROUND(INDEX('1-DATA'!$1:$1048576,IF(OR($B699="STD. DEVIATION",$C$1=1),$A699,$A699+1),COLUMN('1-DATA'!AB697)),IF($B699="STD. DEVIATION",2,$F$1))))</f>
        <v/>
      </c>
      <c r="AD699" s="1" t="str">
        <f>IF(OR($B699="",AD$7=""),"",IF($B699="MEANS",INDEX('1-DATA'!$1:$1048576,$A698-1,COLUMN('1-DATA'!AC697)),ROUND(INDEX('1-DATA'!$1:$1048576,IF(OR($B699="STD. DEVIATION",$C$1=1),$A699,$A699+1),COLUMN('1-DATA'!AC697)),IF($B699="STD. DEVIATION",2,$F$1))))</f>
        <v/>
      </c>
      <c r="AE699" s="1" t="str">
        <f>IF(OR($B699="",AE$7=""),"",IF($B699="MEANS",INDEX('1-DATA'!$1:$1048576,$A698-1,COLUMN('1-DATA'!AD697)),ROUND(INDEX('1-DATA'!$1:$1048576,IF(OR($B699="STD. DEVIATION",$C$1=1),$A699,$A699+1),COLUMN('1-DATA'!AD697)),IF($B699="STD. DEVIATION",2,$F$1))))</f>
        <v/>
      </c>
      <c r="AF699" s="1" t="str">
        <f>IF(OR($B699="",AF$7=""),"",IF($B699="MEANS",INDEX('1-DATA'!$1:$1048576,$A698-1,COLUMN('1-DATA'!AE697)),ROUND(INDEX('1-DATA'!$1:$1048576,IF(OR($B699="STD. DEVIATION",$C$1=1),$A699,$A699+1),COLUMN('1-DATA'!AE697)),IF($B699="STD. DEVIATION",2,$F$1))))</f>
        <v/>
      </c>
      <c r="AG699" s="1" t="str">
        <f>IF(OR($B699="",AG$7=""),"",IF($B699="MEANS",INDEX('1-DATA'!$1:$1048576,$A698-1,COLUMN('1-DATA'!AF697)),ROUND(INDEX('1-DATA'!$1:$1048576,IF(OR($B699="STD. DEVIATION",$C$1=1),$A699,$A699+1),COLUMN('1-DATA'!AF697)),IF($B699="STD. DEVIATION",2,$F$1))))</f>
        <v/>
      </c>
      <c r="AH699" s="1" t="str">
        <f>IF(OR($B699="",AH$7=""),"",IF($B699="MEANS",INDEX('1-DATA'!$1:$1048576,$A698-1,COLUMN('1-DATA'!AG697)),ROUND(INDEX('1-DATA'!$1:$1048576,IF(OR($B699="STD. DEVIATION",$C$1=1),$A699,$A699+1),COLUMN('1-DATA'!AG697)),IF($B699="STD. DEVIATION",2,$F$1))))</f>
        <v/>
      </c>
      <c r="AI699" s="1" t="str">
        <f>IF(OR($B699="",AI$7=""),"",IF($B699="MEANS",INDEX('1-DATA'!$1:$1048576,$A698-1,COLUMN('1-DATA'!AH697)),ROUND(INDEX('1-DATA'!$1:$1048576,IF(OR($B699="STD. DEVIATION",$C$1=1),$A699,$A699+1),COLUMN('1-DATA'!AH697)),IF($B699="STD. DEVIATION",2,$F$1))))</f>
        <v/>
      </c>
      <c r="AJ699" s="1" t="str">
        <f>IF(OR($B699="",AJ$7=""),"",IF($B699="MEANS",INDEX('1-DATA'!$1:$1048576,$A698-1,COLUMN('1-DATA'!AI697)),ROUND(INDEX('1-DATA'!$1:$1048576,IF(OR($B699="STD. DEVIATION",$C$1=1),$A699,$A699+1),COLUMN('1-DATA'!AI697)),IF($B699="STD. DEVIATION",2,$F$1))))</f>
        <v/>
      </c>
      <c r="AK699" s="1" t="str">
        <f>IF(OR($B699="",AK$7=""),"",IF($B699="MEANS",INDEX('1-DATA'!$1:$1048576,$A698-1,COLUMN('1-DATA'!AJ697)),ROUND(INDEX('1-DATA'!$1:$1048576,IF(OR($B699="STD. DEVIATION",$C$1=1),$A699,$A699+1),COLUMN('1-DATA'!AJ697)),IF($B699="STD. DEVIATION",2,$F$1))))</f>
        <v/>
      </c>
      <c r="AL699" s="1" t="str">
        <f>IF(OR($B699="",AL$7=""),"",IF($B699="MEANS",INDEX('1-DATA'!$1:$1048576,$A698-1,COLUMN('1-DATA'!AK697)),ROUND(INDEX('1-DATA'!$1:$1048576,IF(OR($B699="STD. DEVIATION",$C$1=1),$A699,$A699+1),COLUMN('1-DATA'!AK697)),IF($B699="STD. DEVIATION",2,$F$1))))</f>
        <v/>
      </c>
      <c r="AM699" s="1" t="str">
        <f>IF(OR($B699="",AM$7=""),"",IF($B699="MEANS",INDEX('1-DATA'!$1:$1048576,$A698-1,COLUMN('1-DATA'!AL697)),ROUND(INDEX('1-DATA'!$1:$1048576,IF(OR($B699="STD. DEVIATION",$C$1=1),$A699,$A699+1),COLUMN('1-DATA'!AL697)),IF($B699="STD. DEVIATION",2,$F$1))))</f>
        <v/>
      </c>
      <c r="AN699" s="1" t="str">
        <f>IF(OR($B699="",AN$7=""),"",IF($B699="MEANS",INDEX('1-DATA'!$1:$1048576,$A698-1,COLUMN('1-DATA'!AM697)),ROUND(INDEX('1-DATA'!$1:$1048576,IF(OR($B699="STD. DEVIATION",$C$1=1),$A699,$A699+1),COLUMN('1-DATA'!AM697)),IF($B699="STD. DEVIATION",2,$F$1))))</f>
        <v/>
      </c>
      <c r="AO699" s="1" t="str">
        <f>IF(OR($B699="",AO$7=""),"",IF($B699="MEANS",INDEX('1-DATA'!$1:$1048576,$A698-1,COLUMN('1-DATA'!AN697)),ROUND(INDEX('1-DATA'!$1:$1048576,IF(OR($B699="STD. DEVIATION",$C$1=1),$A699,$A699+1),COLUMN('1-DATA'!AN697)),IF($B699="STD. DEVIATION",2,$F$1))))</f>
        <v/>
      </c>
      <c r="AP699" s="1" t="str">
        <f>IF(OR($B699="",AP$7=""),"",IF($B699="MEANS",INDEX('1-DATA'!$1:$1048576,$A698-1,COLUMN('1-DATA'!AO697)),ROUND(INDEX('1-DATA'!$1:$1048576,IF(OR($B699="STD. DEVIATION",$C$1=1),$A699,$A699+1),COLUMN('1-DATA'!AO697)),IF($B699="STD. DEVIATION",2,$F$1))))</f>
        <v/>
      </c>
      <c r="AQ699" s="1" t="str">
        <f>IF(OR($B699="",AQ$7=""),"",IF($B699="MEANS",INDEX('1-DATA'!$1:$1048576,$A698-1,COLUMN('1-DATA'!AP697)),ROUND(INDEX('1-DATA'!$1:$1048576,IF(OR($B699="STD. DEVIATION",$C$1=1),$A699,$A699+1),COLUMN('1-DATA'!AP697)),IF($B699="STD. DEVIATION",2,$F$1))))</f>
        <v/>
      </c>
      <c r="AR699" s="1" t="str">
        <f>IF(OR($B699="",AR$7=""),"",IF($B699="MEANS",INDEX('1-DATA'!$1:$1048576,$A698-1,COLUMN('1-DATA'!AQ697)),ROUND(INDEX('1-DATA'!$1:$1048576,IF(OR($B699="STD. DEVIATION",$C$1=1),$A699,$A699+1),COLUMN('1-DATA'!AQ697)),IF($B699="STD. DEVIATION",2,$F$1))))</f>
        <v/>
      </c>
      <c r="AS699" s="1" t="str">
        <f>IF(OR($B699="",AS$7=""),"",IF($B699="MEANS",INDEX('1-DATA'!$1:$1048576,$A698-1,COLUMN('1-DATA'!AR697)),ROUND(INDEX('1-DATA'!$1:$1048576,IF(OR($B699="STD. DEVIATION",$C$1=1),$A699,$A699+1),COLUMN('1-DATA'!AR697)),IF($B699="STD. DEVIATION",2,$F$1))))</f>
        <v/>
      </c>
      <c r="AT699" s="1" t="str">
        <f>IF(OR($B699="",AT$7=""),"",IF($B699="MEANS",INDEX('1-DATA'!$1:$1048576,$A698-1,COLUMN('1-DATA'!AS697)),ROUND(INDEX('1-DATA'!$1:$1048576,IF(OR($B699="STD. DEVIATION",$C$1=1),$A699,$A699+1),COLUMN('1-DATA'!AS697)),IF($B699="STD. DEVIATION",2,$F$1))))</f>
        <v/>
      </c>
      <c r="AU699" s="1" t="str">
        <f>IF(OR($B699="",AU$7=""),"",IF($B699="MEANS",INDEX('1-DATA'!$1:$1048576,$A698-1,COLUMN('1-DATA'!AT697)),ROUND(INDEX('1-DATA'!$1:$1048576,IF(OR($B699="STD. DEVIATION",$C$1=1),$A699,$A699+1),COLUMN('1-DATA'!AT697)),IF($B699="STD. DEVIATION",2,$F$1))))</f>
        <v/>
      </c>
      <c r="AV699" s="1" t="str">
        <f>IF(OR($B699="",AV$7=""),"",IF($B699="MEANS",INDEX('1-DATA'!$1:$1048576,$A698-1,COLUMN('1-DATA'!AU697)),ROUND(INDEX('1-DATA'!$1:$1048576,IF(OR($B699="STD. DEVIATION",$C$1=1),$A699,$A699+1),COLUMN('1-DATA'!AU697)),IF($B699="STD. DEVIATION",2,$F$1))))</f>
        <v/>
      </c>
      <c r="AW699" s="1" t="str">
        <f>IF(OR($B699="",AW$7=""),"",IF($B699="MEANS",INDEX('1-DATA'!$1:$1048576,$A698-1,COLUMN('1-DATA'!AV697)),ROUND(INDEX('1-DATA'!$1:$1048576,IF(OR($B699="STD. DEVIATION",$C$1=1),$A699,$A699+1),COLUMN('1-DATA'!AV697)),IF($B699="STD. DEVIATION",2,$F$1))))</f>
        <v/>
      </c>
      <c r="AX699" s="1" t="str">
        <f>IF(OR($B699="",AX$7=""),"",IF($B699="MEANS",INDEX('1-DATA'!$1:$1048576,$A698-1,COLUMN('1-DATA'!AW697)),ROUND(INDEX('1-DATA'!$1:$1048576,IF(OR($B699="STD. DEVIATION",$C$1=1),$A699,$A699+1),COLUMN('1-DATA'!AW697)),IF($B699="STD. DEVIATION",2,$F$1))))</f>
        <v/>
      </c>
      <c r="AY699" s="1" t="str">
        <f>IF(OR($B699="",AY$7=""),"",IF($B699="MEANS",INDEX('1-DATA'!$1:$1048576,$A698-1,COLUMN('1-DATA'!AX697)),ROUND(INDEX('1-DATA'!$1:$1048576,IF(OR($B699="STD. DEVIATION",$C$1=1),$A699,$A699+1),COLUMN('1-DATA'!AX697)),IF($B699="STD. DEVIATION",2,$F$1))))</f>
        <v/>
      </c>
      <c r="AZ699" s="1" t="str">
        <f>IF(OR($B699="",AZ$7=""),"",IF($B699="MEANS",INDEX('1-DATA'!$1:$1048576,$A698-1,COLUMN('1-DATA'!AY697)),ROUND(INDEX('1-DATA'!$1:$1048576,IF(OR($B699="STD. DEVIATION",$C$1=1),$A699,$A699+1),COLUMN('1-DATA'!AY697)),IF($B699="STD. DEVIATION",2,$F$1))))</f>
        <v/>
      </c>
    </row>
    <row r="700" spans="1:52" x14ac:dyDescent="0.25">
      <c r="A700" s="11">
        <f t="shared" si="11"/>
        <v>2086</v>
      </c>
      <c r="B700" s="1" t="str">
        <f>IF(B699="STD. DEVIATION",INDEX('1-DATA'!$1:$1048576,$A699-1,1),IF(INDEX('1-DATA'!$1:$1048576,$A700,1)&lt;&gt;"",INDEX('1-DATA'!$1:$1048576,$A700,1),""))</f>
        <v/>
      </c>
      <c r="C700" s="1" t="str">
        <f>IF(OR($B700="",C$7=""),"",IF($B700="MEANS",INDEX('1-DATA'!$1:$1048576,$A699-1,COLUMN('1-DATA'!B698)),ROUND(INDEX('1-DATA'!$1:$1048576,IF(OR($B700="STD. DEVIATION",$C$1=1),$A700,$A700+1),COLUMN('1-DATA'!B698)),IF($B700="STD. DEVIATION",2,$F$1))))</f>
        <v/>
      </c>
      <c r="D700" s="1" t="str">
        <f>IF(OR($B700="",D$7=""),"",IF($B700="MEANS",INDEX('1-DATA'!$1:$1048576,$A699-1,COLUMN('1-DATA'!C698)),ROUND(INDEX('1-DATA'!$1:$1048576,IF(OR($B700="STD. DEVIATION",$C$1=1),$A700,$A700+1),COLUMN('1-DATA'!C698)),IF($B700="STD. DEVIATION",2,$F$1))))</f>
        <v/>
      </c>
      <c r="E700" s="1" t="str">
        <f>IF(OR($B700="",E$7=""),"",IF($B700="MEANS",INDEX('1-DATA'!$1:$1048576,$A699-1,COLUMN('1-DATA'!D698)),ROUND(INDEX('1-DATA'!$1:$1048576,IF(OR($B700="STD. DEVIATION",$C$1=1),$A700,$A700+1),COLUMN('1-DATA'!D698)),IF($B700="STD. DEVIATION",2,$F$1))))</f>
        <v/>
      </c>
      <c r="F700" s="1" t="str">
        <f>IF(OR($B700="",F$7=""),"",IF($B700="MEANS",INDEX('1-DATA'!$1:$1048576,$A699-1,COLUMN('1-DATA'!E698)),ROUND(INDEX('1-DATA'!$1:$1048576,IF(OR($B700="STD. DEVIATION",$C$1=1),$A700,$A700+1),COLUMN('1-DATA'!E698)),IF($B700="STD. DEVIATION",2,$F$1))))</f>
        <v/>
      </c>
      <c r="G700" s="1" t="str">
        <f>IF(OR($B700="",G$7=""),"",IF($B700="MEANS",INDEX('1-DATA'!$1:$1048576,$A699-1,COLUMN('1-DATA'!F698)),ROUND(INDEX('1-DATA'!$1:$1048576,IF(OR($B700="STD. DEVIATION",$C$1=1),$A700,$A700+1),COLUMN('1-DATA'!F698)),IF($B700="STD. DEVIATION",2,$F$1))))</f>
        <v/>
      </c>
      <c r="H700" s="1" t="str">
        <f>IF(OR($B700="",H$7=""),"",IF($B700="MEANS",INDEX('1-DATA'!$1:$1048576,$A699-1,COLUMN('1-DATA'!G698)),ROUND(INDEX('1-DATA'!$1:$1048576,IF(OR($B700="STD. DEVIATION",$C$1=1),$A700,$A700+1),COLUMN('1-DATA'!G698)),IF($B700="STD. DEVIATION",2,$F$1))))</f>
        <v/>
      </c>
      <c r="I700" s="1" t="str">
        <f>IF(OR($B700="",I$7=""),"",IF($B700="MEANS",INDEX('1-DATA'!$1:$1048576,$A699-1,COLUMN('1-DATA'!H698)),ROUND(INDEX('1-DATA'!$1:$1048576,IF(OR($B700="STD. DEVIATION",$C$1=1),$A700,$A700+1),COLUMN('1-DATA'!H698)),IF($B700="STD. DEVIATION",2,$F$1))))</f>
        <v/>
      </c>
      <c r="J700" s="1" t="str">
        <f>IF(OR($B700="",J$7=""),"",IF($B700="MEANS",INDEX('1-DATA'!$1:$1048576,$A699-1,COLUMN('1-DATA'!I698)),ROUND(INDEX('1-DATA'!$1:$1048576,IF(OR($B700="STD. DEVIATION",$C$1=1),$A700,$A700+1),COLUMN('1-DATA'!I698)),IF($B700="STD. DEVIATION",2,$F$1))))</f>
        <v/>
      </c>
      <c r="K700" s="1" t="str">
        <f>IF(OR($B700="",K$7=""),"",IF($B700="MEANS",INDEX('1-DATA'!$1:$1048576,$A699-1,COLUMN('1-DATA'!J698)),ROUND(INDEX('1-DATA'!$1:$1048576,IF(OR($B700="STD. DEVIATION",$C$1=1),$A700,$A700+1),COLUMN('1-DATA'!J698)),IF($B700="STD. DEVIATION",2,$F$1))))</f>
        <v/>
      </c>
      <c r="L700" s="1" t="str">
        <f>IF(OR($B700="",L$7=""),"",IF($B700="MEANS",INDEX('1-DATA'!$1:$1048576,$A699-1,COLUMN('1-DATA'!K698)),ROUND(INDEX('1-DATA'!$1:$1048576,IF(OR($B700="STD. DEVIATION",$C$1=1),$A700,$A700+1),COLUMN('1-DATA'!K698)),IF($B700="STD. DEVIATION",2,$F$1))))</f>
        <v/>
      </c>
      <c r="M700" s="1" t="str">
        <f>IF(OR($B700="",M$7=""),"",IF($B700="MEANS",INDEX('1-DATA'!$1:$1048576,$A699-1,COLUMN('1-DATA'!L698)),ROUND(INDEX('1-DATA'!$1:$1048576,IF(OR($B700="STD. DEVIATION",$C$1=1),$A700,$A700+1),COLUMN('1-DATA'!L698)),IF($B700="STD. DEVIATION",2,$F$1))))</f>
        <v/>
      </c>
      <c r="N700" s="1" t="str">
        <f>IF(OR($B700="",N$7=""),"",IF($B700="MEANS",INDEX('1-DATA'!$1:$1048576,$A699-1,COLUMN('1-DATA'!M698)),ROUND(INDEX('1-DATA'!$1:$1048576,IF(OR($B700="STD. DEVIATION",$C$1=1),$A700,$A700+1),COLUMN('1-DATA'!M698)),IF($B700="STD. DEVIATION",2,$F$1))))</f>
        <v/>
      </c>
      <c r="O700" s="1" t="str">
        <f>IF(OR($B700="",O$7=""),"",IF($B700="MEANS",INDEX('1-DATA'!$1:$1048576,$A699-1,COLUMN('1-DATA'!N698)),ROUND(INDEX('1-DATA'!$1:$1048576,IF(OR($B700="STD. DEVIATION",$C$1=1),$A700,$A700+1),COLUMN('1-DATA'!N698)),IF($B700="STD. DEVIATION",2,$F$1))))</f>
        <v/>
      </c>
      <c r="P700" s="1" t="str">
        <f>IF(OR($B700="",P$7=""),"",IF($B700="MEANS",INDEX('1-DATA'!$1:$1048576,$A699-1,COLUMN('1-DATA'!O698)),ROUND(INDEX('1-DATA'!$1:$1048576,IF(OR($B700="STD. DEVIATION",$C$1=1),$A700,$A700+1),COLUMN('1-DATA'!O698)),IF($B700="STD. DEVIATION",2,$F$1))))</f>
        <v/>
      </c>
      <c r="Q700" s="1" t="str">
        <f>IF(OR($B700="",Q$7=""),"",IF($B700="MEANS",INDEX('1-DATA'!$1:$1048576,$A699-1,COLUMN('1-DATA'!P698)),ROUND(INDEX('1-DATA'!$1:$1048576,IF(OR($B700="STD. DEVIATION",$C$1=1),$A700,$A700+1),COLUMN('1-DATA'!P698)),IF($B700="STD. DEVIATION",2,$F$1))))</f>
        <v/>
      </c>
      <c r="R700" s="1" t="str">
        <f>IF(OR($B700="",R$7=""),"",IF($B700="MEANS",INDEX('1-DATA'!$1:$1048576,$A699-1,COLUMN('1-DATA'!Q698)),ROUND(INDEX('1-DATA'!$1:$1048576,IF(OR($B700="STD. DEVIATION",$C$1=1),$A700,$A700+1),COLUMN('1-DATA'!Q698)),IF($B700="STD. DEVIATION",2,$F$1))))</f>
        <v/>
      </c>
      <c r="S700" s="1" t="str">
        <f>IF(OR($B700="",S$7=""),"",IF($B700="MEANS",INDEX('1-DATA'!$1:$1048576,$A699-1,COLUMN('1-DATA'!R698)),ROUND(INDEX('1-DATA'!$1:$1048576,IF(OR($B700="STD. DEVIATION",$C$1=1),$A700,$A700+1),COLUMN('1-DATA'!R698)),IF($B700="STD. DEVIATION",2,$F$1))))</f>
        <v/>
      </c>
      <c r="T700" s="1" t="str">
        <f>IF(OR($B700="",T$7=""),"",IF($B700="MEANS",INDEX('1-DATA'!$1:$1048576,$A699-1,COLUMN('1-DATA'!S698)),ROUND(INDEX('1-DATA'!$1:$1048576,IF(OR($B700="STD. DEVIATION",$C$1=1),$A700,$A700+1),COLUMN('1-DATA'!S698)),IF($B700="STD. DEVIATION",2,$F$1))))</f>
        <v/>
      </c>
      <c r="U700" s="1" t="str">
        <f>IF(OR($B700="",U$7=""),"",IF($B700="MEANS",INDEX('1-DATA'!$1:$1048576,$A699-1,COLUMN('1-DATA'!T698)),ROUND(INDEX('1-DATA'!$1:$1048576,IF(OR($B700="STD. DEVIATION",$C$1=1),$A700,$A700+1),COLUMN('1-DATA'!T698)),IF($B700="STD. DEVIATION",2,$F$1))))</f>
        <v/>
      </c>
      <c r="V700" s="1" t="str">
        <f>IF(OR($B700="",V$7=""),"",IF($B700="MEANS",INDEX('1-DATA'!$1:$1048576,$A699-1,COLUMN('1-DATA'!U698)),ROUND(INDEX('1-DATA'!$1:$1048576,IF(OR($B700="STD. DEVIATION",$C$1=1),$A700,$A700+1),COLUMN('1-DATA'!U698)),IF($B700="STD. DEVIATION",2,$F$1))))</f>
        <v/>
      </c>
      <c r="W700" s="1" t="str">
        <f>IF(OR($B700="",W$7=""),"",IF($B700="MEANS",INDEX('1-DATA'!$1:$1048576,$A699-1,COLUMN('1-DATA'!V698)),ROUND(INDEX('1-DATA'!$1:$1048576,IF(OR($B700="STD. DEVIATION",$C$1=1),$A700,$A700+1),COLUMN('1-DATA'!V698)),IF($B700="STD. DEVIATION",2,$F$1))))</f>
        <v/>
      </c>
      <c r="X700" s="1" t="str">
        <f>IF(OR($B700="",X$7=""),"",IF($B700="MEANS",INDEX('1-DATA'!$1:$1048576,$A699-1,COLUMN('1-DATA'!W698)),ROUND(INDEX('1-DATA'!$1:$1048576,IF(OR($B700="STD. DEVIATION",$C$1=1),$A700,$A700+1),COLUMN('1-DATA'!W698)),IF($B700="STD. DEVIATION",2,$F$1))))</f>
        <v/>
      </c>
      <c r="Y700" s="1" t="str">
        <f>IF(OR($B700="",Y$7=""),"",IF($B700="MEANS",INDEX('1-DATA'!$1:$1048576,$A699-1,COLUMN('1-DATA'!X698)),ROUND(INDEX('1-DATA'!$1:$1048576,IF(OR($B700="STD. DEVIATION",$C$1=1),$A700,$A700+1),COLUMN('1-DATA'!X698)),IF($B700="STD. DEVIATION",2,$F$1))))</f>
        <v/>
      </c>
      <c r="Z700" s="1" t="str">
        <f>IF(OR($B700="",Z$7=""),"",IF($B700="MEANS",INDEX('1-DATA'!$1:$1048576,$A699-1,COLUMN('1-DATA'!Y698)),ROUND(INDEX('1-DATA'!$1:$1048576,IF(OR($B700="STD. DEVIATION",$C$1=1),$A700,$A700+1),COLUMN('1-DATA'!Y698)),IF($B700="STD. DEVIATION",2,$F$1))))</f>
        <v/>
      </c>
      <c r="AA700" s="1" t="str">
        <f>IF(OR($B700="",AA$7=""),"",IF($B700="MEANS",INDEX('1-DATA'!$1:$1048576,$A699-1,COLUMN('1-DATA'!Z698)),ROUND(INDEX('1-DATA'!$1:$1048576,IF(OR($B700="STD. DEVIATION",$C$1=1),$A700,$A700+1),COLUMN('1-DATA'!Z698)),IF($B700="STD. DEVIATION",2,$F$1))))</f>
        <v/>
      </c>
      <c r="AB700" s="1" t="str">
        <f>IF(OR($B700="",AB$7=""),"",IF($B700="MEANS",INDEX('1-DATA'!$1:$1048576,$A699-1,COLUMN('1-DATA'!AA698)),ROUND(INDEX('1-DATA'!$1:$1048576,IF(OR($B700="STD. DEVIATION",$C$1=1),$A700,$A700+1),COLUMN('1-DATA'!AA698)),IF($B700="STD. DEVIATION",2,$F$1))))</f>
        <v/>
      </c>
      <c r="AC700" s="1" t="str">
        <f>IF(OR($B700="",AC$7=""),"",IF($B700="MEANS",INDEX('1-DATA'!$1:$1048576,$A699-1,COLUMN('1-DATA'!AB698)),ROUND(INDEX('1-DATA'!$1:$1048576,IF(OR($B700="STD. DEVIATION",$C$1=1),$A700,$A700+1),COLUMN('1-DATA'!AB698)),IF($B700="STD. DEVIATION",2,$F$1))))</f>
        <v/>
      </c>
      <c r="AD700" s="1" t="str">
        <f>IF(OR($B700="",AD$7=""),"",IF($B700="MEANS",INDEX('1-DATA'!$1:$1048576,$A699-1,COLUMN('1-DATA'!AC698)),ROUND(INDEX('1-DATA'!$1:$1048576,IF(OR($B700="STD. DEVIATION",$C$1=1),$A700,$A700+1),COLUMN('1-DATA'!AC698)),IF($B700="STD. DEVIATION",2,$F$1))))</f>
        <v/>
      </c>
      <c r="AE700" s="1" t="str">
        <f>IF(OR($B700="",AE$7=""),"",IF($B700="MEANS",INDEX('1-DATA'!$1:$1048576,$A699-1,COLUMN('1-DATA'!AD698)),ROUND(INDEX('1-DATA'!$1:$1048576,IF(OR($B700="STD. DEVIATION",$C$1=1),$A700,$A700+1),COLUMN('1-DATA'!AD698)),IF($B700="STD. DEVIATION",2,$F$1))))</f>
        <v/>
      </c>
      <c r="AF700" s="1" t="str">
        <f>IF(OR($B700="",AF$7=""),"",IF($B700="MEANS",INDEX('1-DATA'!$1:$1048576,$A699-1,COLUMN('1-DATA'!AE698)),ROUND(INDEX('1-DATA'!$1:$1048576,IF(OR($B700="STD. DEVIATION",$C$1=1),$A700,$A700+1),COLUMN('1-DATA'!AE698)),IF($B700="STD. DEVIATION",2,$F$1))))</f>
        <v/>
      </c>
      <c r="AG700" s="1" t="str">
        <f>IF(OR($B700="",AG$7=""),"",IF($B700="MEANS",INDEX('1-DATA'!$1:$1048576,$A699-1,COLUMN('1-DATA'!AF698)),ROUND(INDEX('1-DATA'!$1:$1048576,IF(OR($B700="STD. DEVIATION",$C$1=1),$A700,$A700+1),COLUMN('1-DATA'!AF698)),IF($B700="STD. DEVIATION",2,$F$1))))</f>
        <v/>
      </c>
      <c r="AH700" s="1" t="str">
        <f>IF(OR($B700="",AH$7=""),"",IF($B700="MEANS",INDEX('1-DATA'!$1:$1048576,$A699-1,COLUMN('1-DATA'!AG698)),ROUND(INDEX('1-DATA'!$1:$1048576,IF(OR($B700="STD. DEVIATION",$C$1=1),$A700,$A700+1),COLUMN('1-DATA'!AG698)),IF($B700="STD. DEVIATION",2,$F$1))))</f>
        <v/>
      </c>
      <c r="AI700" s="1" t="str">
        <f>IF(OR($B700="",AI$7=""),"",IF($B700="MEANS",INDEX('1-DATA'!$1:$1048576,$A699-1,COLUMN('1-DATA'!AH698)),ROUND(INDEX('1-DATA'!$1:$1048576,IF(OR($B700="STD. DEVIATION",$C$1=1),$A700,$A700+1),COLUMN('1-DATA'!AH698)),IF($B700="STD. DEVIATION",2,$F$1))))</f>
        <v/>
      </c>
      <c r="AJ700" s="1" t="str">
        <f>IF(OR($B700="",AJ$7=""),"",IF($B700="MEANS",INDEX('1-DATA'!$1:$1048576,$A699-1,COLUMN('1-DATA'!AI698)),ROUND(INDEX('1-DATA'!$1:$1048576,IF(OR($B700="STD. DEVIATION",$C$1=1),$A700,$A700+1),COLUMN('1-DATA'!AI698)),IF($B700="STD. DEVIATION",2,$F$1))))</f>
        <v/>
      </c>
      <c r="AK700" s="1" t="str">
        <f>IF(OR($B700="",AK$7=""),"",IF($B700="MEANS",INDEX('1-DATA'!$1:$1048576,$A699-1,COLUMN('1-DATA'!AJ698)),ROUND(INDEX('1-DATA'!$1:$1048576,IF(OR($B700="STD. DEVIATION",$C$1=1),$A700,$A700+1),COLUMN('1-DATA'!AJ698)),IF($B700="STD. DEVIATION",2,$F$1))))</f>
        <v/>
      </c>
      <c r="AL700" s="1" t="str">
        <f>IF(OR($B700="",AL$7=""),"",IF($B700="MEANS",INDEX('1-DATA'!$1:$1048576,$A699-1,COLUMN('1-DATA'!AK698)),ROUND(INDEX('1-DATA'!$1:$1048576,IF(OR($B700="STD. DEVIATION",$C$1=1),$A700,$A700+1),COLUMN('1-DATA'!AK698)),IF($B700="STD. DEVIATION",2,$F$1))))</f>
        <v/>
      </c>
      <c r="AM700" s="1" t="str">
        <f>IF(OR($B700="",AM$7=""),"",IF($B700="MEANS",INDEX('1-DATA'!$1:$1048576,$A699-1,COLUMN('1-DATA'!AL698)),ROUND(INDEX('1-DATA'!$1:$1048576,IF(OR($B700="STD. DEVIATION",$C$1=1),$A700,$A700+1),COLUMN('1-DATA'!AL698)),IF($B700="STD. DEVIATION",2,$F$1))))</f>
        <v/>
      </c>
      <c r="AN700" s="1" t="str">
        <f>IF(OR($B700="",AN$7=""),"",IF($B700="MEANS",INDEX('1-DATA'!$1:$1048576,$A699-1,COLUMN('1-DATA'!AM698)),ROUND(INDEX('1-DATA'!$1:$1048576,IF(OR($B700="STD. DEVIATION",$C$1=1),$A700,$A700+1),COLUMN('1-DATA'!AM698)),IF($B700="STD. DEVIATION",2,$F$1))))</f>
        <v/>
      </c>
      <c r="AO700" s="1" t="str">
        <f>IF(OR($B700="",AO$7=""),"",IF($B700="MEANS",INDEX('1-DATA'!$1:$1048576,$A699-1,COLUMN('1-DATA'!AN698)),ROUND(INDEX('1-DATA'!$1:$1048576,IF(OR($B700="STD. DEVIATION",$C$1=1),$A700,$A700+1),COLUMN('1-DATA'!AN698)),IF($B700="STD. DEVIATION",2,$F$1))))</f>
        <v/>
      </c>
      <c r="AP700" s="1" t="str">
        <f>IF(OR($B700="",AP$7=""),"",IF($B700="MEANS",INDEX('1-DATA'!$1:$1048576,$A699-1,COLUMN('1-DATA'!AO698)),ROUND(INDEX('1-DATA'!$1:$1048576,IF(OR($B700="STD. DEVIATION",$C$1=1),$A700,$A700+1),COLUMN('1-DATA'!AO698)),IF($B700="STD. DEVIATION",2,$F$1))))</f>
        <v/>
      </c>
      <c r="AQ700" s="1" t="str">
        <f>IF(OR($B700="",AQ$7=""),"",IF($B700="MEANS",INDEX('1-DATA'!$1:$1048576,$A699-1,COLUMN('1-DATA'!AP698)),ROUND(INDEX('1-DATA'!$1:$1048576,IF(OR($B700="STD. DEVIATION",$C$1=1),$A700,$A700+1),COLUMN('1-DATA'!AP698)),IF($B700="STD. DEVIATION",2,$F$1))))</f>
        <v/>
      </c>
      <c r="AR700" s="1" t="str">
        <f>IF(OR($B700="",AR$7=""),"",IF($B700="MEANS",INDEX('1-DATA'!$1:$1048576,$A699-1,COLUMN('1-DATA'!AQ698)),ROUND(INDEX('1-DATA'!$1:$1048576,IF(OR($B700="STD. DEVIATION",$C$1=1),$A700,$A700+1),COLUMN('1-DATA'!AQ698)),IF($B700="STD. DEVIATION",2,$F$1))))</f>
        <v/>
      </c>
      <c r="AS700" s="1" t="str">
        <f>IF(OR($B700="",AS$7=""),"",IF($B700="MEANS",INDEX('1-DATA'!$1:$1048576,$A699-1,COLUMN('1-DATA'!AR698)),ROUND(INDEX('1-DATA'!$1:$1048576,IF(OR($B700="STD. DEVIATION",$C$1=1),$A700,$A700+1),COLUMN('1-DATA'!AR698)),IF($B700="STD. DEVIATION",2,$F$1))))</f>
        <v/>
      </c>
      <c r="AT700" s="1" t="str">
        <f>IF(OR($B700="",AT$7=""),"",IF($B700="MEANS",INDEX('1-DATA'!$1:$1048576,$A699-1,COLUMN('1-DATA'!AS698)),ROUND(INDEX('1-DATA'!$1:$1048576,IF(OR($B700="STD. DEVIATION",$C$1=1),$A700,$A700+1),COLUMN('1-DATA'!AS698)),IF($B700="STD. DEVIATION",2,$F$1))))</f>
        <v/>
      </c>
      <c r="AU700" s="1" t="str">
        <f>IF(OR($B700="",AU$7=""),"",IF($B700="MEANS",INDEX('1-DATA'!$1:$1048576,$A699-1,COLUMN('1-DATA'!AT698)),ROUND(INDEX('1-DATA'!$1:$1048576,IF(OR($B700="STD. DEVIATION",$C$1=1),$A700,$A700+1),COLUMN('1-DATA'!AT698)),IF($B700="STD. DEVIATION",2,$F$1))))</f>
        <v/>
      </c>
      <c r="AV700" s="1" t="str">
        <f>IF(OR($B700="",AV$7=""),"",IF($B700="MEANS",INDEX('1-DATA'!$1:$1048576,$A699-1,COLUMN('1-DATA'!AU698)),ROUND(INDEX('1-DATA'!$1:$1048576,IF(OR($B700="STD. DEVIATION",$C$1=1),$A700,$A700+1),COLUMN('1-DATA'!AU698)),IF($B700="STD. DEVIATION",2,$F$1))))</f>
        <v/>
      </c>
      <c r="AW700" s="1" t="str">
        <f>IF(OR($B700="",AW$7=""),"",IF($B700="MEANS",INDEX('1-DATA'!$1:$1048576,$A699-1,COLUMN('1-DATA'!AV698)),ROUND(INDEX('1-DATA'!$1:$1048576,IF(OR($B700="STD. DEVIATION",$C$1=1),$A700,$A700+1),COLUMN('1-DATA'!AV698)),IF($B700="STD. DEVIATION",2,$F$1))))</f>
        <v/>
      </c>
      <c r="AX700" s="1" t="str">
        <f>IF(OR($B700="",AX$7=""),"",IF($B700="MEANS",INDEX('1-DATA'!$1:$1048576,$A699-1,COLUMN('1-DATA'!AW698)),ROUND(INDEX('1-DATA'!$1:$1048576,IF(OR($B700="STD. DEVIATION",$C$1=1),$A700,$A700+1),COLUMN('1-DATA'!AW698)),IF($B700="STD. DEVIATION",2,$F$1))))</f>
        <v/>
      </c>
      <c r="AY700" s="1" t="str">
        <f>IF(OR($B700="",AY$7=""),"",IF($B700="MEANS",INDEX('1-DATA'!$1:$1048576,$A699-1,COLUMN('1-DATA'!AX698)),ROUND(INDEX('1-DATA'!$1:$1048576,IF(OR($B700="STD. DEVIATION",$C$1=1),$A700,$A700+1),COLUMN('1-DATA'!AX698)),IF($B700="STD. DEVIATION",2,$F$1))))</f>
        <v/>
      </c>
      <c r="AZ700" s="1" t="str">
        <f>IF(OR($B700="",AZ$7=""),"",IF($B700="MEANS",INDEX('1-DATA'!$1:$1048576,$A699-1,COLUMN('1-DATA'!AY698)),ROUND(INDEX('1-DATA'!$1:$1048576,IF(OR($B700="STD. DEVIATION",$C$1=1),$A700,$A700+1),COLUMN('1-DATA'!AY698)),IF($B700="STD. DEVIATION",2,$F$1))))</f>
        <v/>
      </c>
    </row>
    <row r="701" spans="1:52" x14ac:dyDescent="0.25">
      <c r="A701" s="11">
        <f t="shared" si="11"/>
        <v>2089</v>
      </c>
      <c r="B701" s="1" t="str">
        <f>IF(B700="STD. DEVIATION",INDEX('1-DATA'!$1:$1048576,$A700-1,1),IF(INDEX('1-DATA'!$1:$1048576,$A701,1)&lt;&gt;"",INDEX('1-DATA'!$1:$1048576,$A701,1),""))</f>
        <v/>
      </c>
      <c r="C701" s="1" t="str">
        <f>IF(OR($B701="",C$7=""),"",IF($B701="MEANS",INDEX('1-DATA'!$1:$1048576,$A700-1,COLUMN('1-DATA'!B699)),ROUND(INDEX('1-DATA'!$1:$1048576,IF(OR($B701="STD. DEVIATION",$C$1=1),$A701,$A701+1),COLUMN('1-DATA'!B699)),IF($B701="STD. DEVIATION",2,$F$1))))</f>
        <v/>
      </c>
      <c r="D701" s="1" t="str">
        <f>IF(OR($B701="",D$7=""),"",IF($B701="MEANS",INDEX('1-DATA'!$1:$1048576,$A700-1,COLUMN('1-DATA'!C699)),ROUND(INDEX('1-DATA'!$1:$1048576,IF(OR($B701="STD. DEVIATION",$C$1=1),$A701,$A701+1),COLUMN('1-DATA'!C699)),IF($B701="STD. DEVIATION",2,$F$1))))</f>
        <v/>
      </c>
      <c r="E701" s="1" t="str">
        <f>IF(OR($B701="",E$7=""),"",IF($B701="MEANS",INDEX('1-DATA'!$1:$1048576,$A700-1,COLUMN('1-DATA'!D699)),ROUND(INDEX('1-DATA'!$1:$1048576,IF(OR($B701="STD. DEVIATION",$C$1=1),$A701,$A701+1),COLUMN('1-DATA'!D699)),IF($B701="STD. DEVIATION",2,$F$1))))</f>
        <v/>
      </c>
      <c r="F701" s="1" t="str">
        <f>IF(OR($B701="",F$7=""),"",IF($B701="MEANS",INDEX('1-DATA'!$1:$1048576,$A700-1,COLUMN('1-DATA'!E699)),ROUND(INDEX('1-DATA'!$1:$1048576,IF(OR($B701="STD. DEVIATION",$C$1=1),$A701,$A701+1),COLUMN('1-DATA'!E699)),IF($B701="STD. DEVIATION",2,$F$1))))</f>
        <v/>
      </c>
      <c r="G701" s="1" t="str">
        <f>IF(OR($B701="",G$7=""),"",IF($B701="MEANS",INDEX('1-DATA'!$1:$1048576,$A700-1,COLUMN('1-DATA'!F699)),ROUND(INDEX('1-DATA'!$1:$1048576,IF(OR($B701="STD. DEVIATION",$C$1=1),$A701,$A701+1),COLUMN('1-DATA'!F699)),IF($B701="STD. DEVIATION",2,$F$1))))</f>
        <v/>
      </c>
      <c r="H701" s="1" t="str">
        <f>IF(OR($B701="",H$7=""),"",IF($B701="MEANS",INDEX('1-DATA'!$1:$1048576,$A700-1,COLUMN('1-DATA'!G699)),ROUND(INDEX('1-DATA'!$1:$1048576,IF(OR($B701="STD. DEVIATION",$C$1=1),$A701,$A701+1),COLUMN('1-DATA'!G699)),IF($B701="STD. DEVIATION",2,$F$1))))</f>
        <v/>
      </c>
      <c r="I701" s="1" t="str">
        <f>IF(OR($B701="",I$7=""),"",IF($B701="MEANS",INDEX('1-DATA'!$1:$1048576,$A700-1,COLUMN('1-DATA'!H699)),ROUND(INDEX('1-DATA'!$1:$1048576,IF(OR($B701="STD. DEVIATION",$C$1=1),$A701,$A701+1),COLUMN('1-DATA'!H699)),IF($B701="STD. DEVIATION",2,$F$1))))</f>
        <v/>
      </c>
      <c r="J701" s="1" t="str">
        <f>IF(OR($B701="",J$7=""),"",IF($B701="MEANS",INDEX('1-DATA'!$1:$1048576,$A700-1,COLUMN('1-DATA'!I699)),ROUND(INDEX('1-DATA'!$1:$1048576,IF(OR($B701="STD. DEVIATION",$C$1=1),$A701,$A701+1),COLUMN('1-DATA'!I699)),IF($B701="STD. DEVIATION",2,$F$1))))</f>
        <v/>
      </c>
      <c r="K701" s="1" t="str">
        <f>IF(OR($B701="",K$7=""),"",IF($B701="MEANS",INDEX('1-DATA'!$1:$1048576,$A700-1,COLUMN('1-DATA'!J699)),ROUND(INDEX('1-DATA'!$1:$1048576,IF(OR($B701="STD. DEVIATION",$C$1=1),$A701,$A701+1),COLUMN('1-DATA'!J699)),IF($B701="STD. DEVIATION",2,$F$1))))</f>
        <v/>
      </c>
      <c r="L701" s="1" t="str">
        <f>IF(OR($B701="",L$7=""),"",IF($B701="MEANS",INDEX('1-DATA'!$1:$1048576,$A700-1,COLUMN('1-DATA'!K699)),ROUND(INDEX('1-DATA'!$1:$1048576,IF(OR($B701="STD. DEVIATION",$C$1=1),$A701,$A701+1),COLUMN('1-DATA'!K699)),IF($B701="STD. DEVIATION",2,$F$1))))</f>
        <v/>
      </c>
      <c r="M701" s="1" t="str">
        <f>IF(OR($B701="",M$7=""),"",IF($B701="MEANS",INDEX('1-DATA'!$1:$1048576,$A700-1,COLUMN('1-DATA'!L699)),ROUND(INDEX('1-DATA'!$1:$1048576,IF(OR($B701="STD. DEVIATION",$C$1=1),$A701,$A701+1),COLUMN('1-DATA'!L699)),IF($B701="STD. DEVIATION",2,$F$1))))</f>
        <v/>
      </c>
      <c r="N701" s="1" t="str">
        <f>IF(OR($B701="",N$7=""),"",IF($B701="MEANS",INDEX('1-DATA'!$1:$1048576,$A700-1,COLUMN('1-DATA'!M699)),ROUND(INDEX('1-DATA'!$1:$1048576,IF(OR($B701="STD. DEVIATION",$C$1=1),$A701,$A701+1),COLUMN('1-DATA'!M699)),IF($B701="STD. DEVIATION",2,$F$1))))</f>
        <v/>
      </c>
      <c r="O701" s="1" t="str">
        <f>IF(OR($B701="",O$7=""),"",IF($B701="MEANS",INDEX('1-DATA'!$1:$1048576,$A700-1,COLUMN('1-DATA'!N699)),ROUND(INDEX('1-DATA'!$1:$1048576,IF(OR($B701="STD. DEVIATION",$C$1=1),$A701,$A701+1),COLUMN('1-DATA'!N699)),IF($B701="STD. DEVIATION",2,$F$1))))</f>
        <v/>
      </c>
      <c r="P701" s="1" t="str">
        <f>IF(OR($B701="",P$7=""),"",IF($B701="MEANS",INDEX('1-DATA'!$1:$1048576,$A700-1,COLUMN('1-DATA'!O699)),ROUND(INDEX('1-DATA'!$1:$1048576,IF(OR($B701="STD. DEVIATION",$C$1=1),$A701,$A701+1),COLUMN('1-DATA'!O699)),IF($B701="STD. DEVIATION",2,$F$1))))</f>
        <v/>
      </c>
      <c r="Q701" s="1" t="str">
        <f>IF(OR($B701="",Q$7=""),"",IF($B701="MEANS",INDEX('1-DATA'!$1:$1048576,$A700-1,COLUMN('1-DATA'!P699)),ROUND(INDEX('1-DATA'!$1:$1048576,IF(OR($B701="STD. DEVIATION",$C$1=1),$A701,$A701+1),COLUMN('1-DATA'!P699)),IF($B701="STD. DEVIATION",2,$F$1))))</f>
        <v/>
      </c>
      <c r="R701" s="1" t="str">
        <f>IF(OR($B701="",R$7=""),"",IF($B701="MEANS",INDEX('1-DATA'!$1:$1048576,$A700-1,COLUMN('1-DATA'!Q699)),ROUND(INDEX('1-DATA'!$1:$1048576,IF(OR($B701="STD. DEVIATION",$C$1=1),$A701,$A701+1),COLUMN('1-DATA'!Q699)),IF($B701="STD. DEVIATION",2,$F$1))))</f>
        <v/>
      </c>
      <c r="S701" s="1" t="str">
        <f>IF(OR($B701="",S$7=""),"",IF($B701="MEANS",INDEX('1-DATA'!$1:$1048576,$A700-1,COLUMN('1-DATA'!R699)),ROUND(INDEX('1-DATA'!$1:$1048576,IF(OR($B701="STD. DEVIATION",$C$1=1),$A701,$A701+1),COLUMN('1-DATA'!R699)),IF($B701="STD. DEVIATION",2,$F$1))))</f>
        <v/>
      </c>
      <c r="T701" s="1" t="str">
        <f>IF(OR($B701="",T$7=""),"",IF($B701="MEANS",INDEX('1-DATA'!$1:$1048576,$A700-1,COLUMN('1-DATA'!S699)),ROUND(INDEX('1-DATA'!$1:$1048576,IF(OR($B701="STD. DEVIATION",$C$1=1),$A701,$A701+1),COLUMN('1-DATA'!S699)),IF($B701="STD. DEVIATION",2,$F$1))))</f>
        <v/>
      </c>
      <c r="U701" s="1" t="str">
        <f>IF(OR($B701="",U$7=""),"",IF($B701="MEANS",INDEX('1-DATA'!$1:$1048576,$A700-1,COLUMN('1-DATA'!T699)),ROUND(INDEX('1-DATA'!$1:$1048576,IF(OR($B701="STD. DEVIATION",$C$1=1),$A701,$A701+1),COLUMN('1-DATA'!T699)),IF($B701="STD. DEVIATION",2,$F$1))))</f>
        <v/>
      </c>
      <c r="V701" s="1" t="str">
        <f>IF(OR($B701="",V$7=""),"",IF($B701="MEANS",INDEX('1-DATA'!$1:$1048576,$A700-1,COLUMN('1-DATA'!U699)),ROUND(INDEX('1-DATA'!$1:$1048576,IF(OR($B701="STD. DEVIATION",$C$1=1),$A701,$A701+1),COLUMN('1-DATA'!U699)),IF($B701="STD. DEVIATION",2,$F$1))))</f>
        <v/>
      </c>
      <c r="W701" s="1" t="str">
        <f>IF(OR($B701="",W$7=""),"",IF($B701="MEANS",INDEX('1-DATA'!$1:$1048576,$A700-1,COLUMN('1-DATA'!V699)),ROUND(INDEX('1-DATA'!$1:$1048576,IF(OR($B701="STD. DEVIATION",$C$1=1),$A701,$A701+1),COLUMN('1-DATA'!V699)),IF($B701="STD. DEVIATION",2,$F$1))))</f>
        <v/>
      </c>
      <c r="X701" s="1" t="str">
        <f>IF(OR($B701="",X$7=""),"",IF($B701="MEANS",INDEX('1-DATA'!$1:$1048576,$A700-1,COLUMN('1-DATA'!W699)),ROUND(INDEX('1-DATA'!$1:$1048576,IF(OR($B701="STD. DEVIATION",$C$1=1),$A701,$A701+1),COLUMN('1-DATA'!W699)),IF($B701="STD. DEVIATION",2,$F$1))))</f>
        <v/>
      </c>
      <c r="Y701" s="1" t="str">
        <f>IF(OR($B701="",Y$7=""),"",IF($B701="MEANS",INDEX('1-DATA'!$1:$1048576,$A700-1,COLUMN('1-DATA'!X699)),ROUND(INDEX('1-DATA'!$1:$1048576,IF(OR($B701="STD. DEVIATION",$C$1=1),$A701,$A701+1),COLUMN('1-DATA'!X699)),IF($B701="STD. DEVIATION",2,$F$1))))</f>
        <v/>
      </c>
      <c r="Z701" s="1" t="str">
        <f>IF(OR($B701="",Z$7=""),"",IF($B701="MEANS",INDEX('1-DATA'!$1:$1048576,$A700-1,COLUMN('1-DATA'!Y699)),ROUND(INDEX('1-DATA'!$1:$1048576,IF(OR($B701="STD. DEVIATION",$C$1=1),$A701,$A701+1),COLUMN('1-DATA'!Y699)),IF($B701="STD. DEVIATION",2,$F$1))))</f>
        <v/>
      </c>
      <c r="AA701" s="1" t="str">
        <f>IF(OR($B701="",AA$7=""),"",IF($B701="MEANS",INDEX('1-DATA'!$1:$1048576,$A700-1,COLUMN('1-DATA'!Z699)),ROUND(INDEX('1-DATA'!$1:$1048576,IF(OR($B701="STD. DEVIATION",$C$1=1),$A701,$A701+1),COLUMN('1-DATA'!Z699)),IF($B701="STD. DEVIATION",2,$F$1))))</f>
        <v/>
      </c>
      <c r="AB701" s="1" t="str">
        <f>IF(OR($B701="",AB$7=""),"",IF($B701="MEANS",INDEX('1-DATA'!$1:$1048576,$A700-1,COLUMN('1-DATA'!AA699)),ROUND(INDEX('1-DATA'!$1:$1048576,IF(OR($B701="STD. DEVIATION",$C$1=1),$A701,$A701+1),COLUMN('1-DATA'!AA699)),IF($B701="STD. DEVIATION",2,$F$1))))</f>
        <v/>
      </c>
      <c r="AC701" s="1" t="str">
        <f>IF(OR($B701="",AC$7=""),"",IF($B701="MEANS",INDEX('1-DATA'!$1:$1048576,$A700-1,COLUMN('1-DATA'!AB699)),ROUND(INDEX('1-DATA'!$1:$1048576,IF(OR($B701="STD. DEVIATION",$C$1=1),$A701,$A701+1),COLUMN('1-DATA'!AB699)),IF($B701="STD. DEVIATION",2,$F$1))))</f>
        <v/>
      </c>
      <c r="AD701" s="1" t="str">
        <f>IF(OR($B701="",AD$7=""),"",IF($B701="MEANS",INDEX('1-DATA'!$1:$1048576,$A700-1,COLUMN('1-DATA'!AC699)),ROUND(INDEX('1-DATA'!$1:$1048576,IF(OR($B701="STD. DEVIATION",$C$1=1),$A701,$A701+1),COLUMN('1-DATA'!AC699)),IF($B701="STD. DEVIATION",2,$F$1))))</f>
        <v/>
      </c>
      <c r="AE701" s="1" t="str">
        <f>IF(OR($B701="",AE$7=""),"",IF($B701="MEANS",INDEX('1-DATA'!$1:$1048576,$A700-1,COLUMN('1-DATA'!AD699)),ROUND(INDEX('1-DATA'!$1:$1048576,IF(OR($B701="STD. DEVIATION",$C$1=1),$A701,$A701+1),COLUMN('1-DATA'!AD699)),IF($B701="STD. DEVIATION",2,$F$1))))</f>
        <v/>
      </c>
      <c r="AF701" s="1" t="str">
        <f>IF(OR($B701="",AF$7=""),"",IF($B701="MEANS",INDEX('1-DATA'!$1:$1048576,$A700-1,COLUMN('1-DATA'!AE699)),ROUND(INDEX('1-DATA'!$1:$1048576,IF(OR($B701="STD. DEVIATION",$C$1=1),$A701,$A701+1),COLUMN('1-DATA'!AE699)),IF($B701="STD. DEVIATION",2,$F$1))))</f>
        <v/>
      </c>
      <c r="AG701" s="1" t="str">
        <f>IF(OR($B701="",AG$7=""),"",IF($B701="MEANS",INDEX('1-DATA'!$1:$1048576,$A700-1,COLUMN('1-DATA'!AF699)),ROUND(INDEX('1-DATA'!$1:$1048576,IF(OR($B701="STD. DEVIATION",$C$1=1),$A701,$A701+1),COLUMN('1-DATA'!AF699)),IF($B701="STD. DEVIATION",2,$F$1))))</f>
        <v/>
      </c>
      <c r="AH701" s="1" t="str">
        <f>IF(OR($B701="",AH$7=""),"",IF($B701="MEANS",INDEX('1-DATA'!$1:$1048576,$A700-1,COLUMN('1-DATA'!AG699)),ROUND(INDEX('1-DATA'!$1:$1048576,IF(OR($B701="STD. DEVIATION",$C$1=1),$A701,$A701+1),COLUMN('1-DATA'!AG699)),IF($B701="STD. DEVIATION",2,$F$1))))</f>
        <v/>
      </c>
      <c r="AI701" s="1" t="str">
        <f>IF(OR($B701="",AI$7=""),"",IF($B701="MEANS",INDEX('1-DATA'!$1:$1048576,$A700-1,COLUMN('1-DATA'!AH699)),ROUND(INDEX('1-DATA'!$1:$1048576,IF(OR($B701="STD. DEVIATION",$C$1=1),$A701,$A701+1),COLUMN('1-DATA'!AH699)),IF($B701="STD. DEVIATION",2,$F$1))))</f>
        <v/>
      </c>
      <c r="AJ701" s="1" t="str">
        <f>IF(OR($B701="",AJ$7=""),"",IF($B701="MEANS",INDEX('1-DATA'!$1:$1048576,$A700-1,COLUMN('1-DATA'!AI699)),ROUND(INDEX('1-DATA'!$1:$1048576,IF(OR($B701="STD. DEVIATION",$C$1=1),$A701,$A701+1),COLUMN('1-DATA'!AI699)),IF($B701="STD. DEVIATION",2,$F$1))))</f>
        <v/>
      </c>
      <c r="AK701" s="1" t="str">
        <f>IF(OR($B701="",AK$7=""),"",IF($B701="MEANS",INDEX('1-DATA'!$1:$1048576,$A700-1,COLUMN('1-DATA'!AJ699)),ROUND(INDEX('1-DATA'!$1:$1048576,IF(OR($B701="STD. DEVIATION",$C$1=1),$A701,$A701+1),COLUMN('1-DATA'!AJ699)),IF($B701="STD. DEVIATION",2,$F$1))))</f>
        <v/>
      </c>
      <c r="AL701" s="1" t="str">
        <f>IF(OR($B701="",AL$7=""),"",IF($B701="MEANS",INDEX('1-DATA'!$1:$1048576,$A700-1,COLUMN('1-DATA'!AK699)),ROUND(INDEX('1-DATA'!$1:$1048576,IF(OR($B701="STD. DEVIATION",$C$1=1),$A701,$A701+1),COLUMN('1-DATA'!AK699)),IF($B701="STD. DEVIATION",2,$F$1))))</f>
        <v/>
      </c>
      <c r="AM701" s="1" t="str">
        <f>IF(OR($B701="",AM$7=""),"",IF($B701="MEANS",INDEX('1-DATA'!$1:$1048576,$A700-1,COLUMN('1-DATA'!AL699)),ROUND(INDEX('1-DATA'!$1:$1048576,IF(OR($B701="STD. DEVIATION",$C$1=1),$A701,$A701+1),COLUMN('1-DATA'!AL699)),IF($B701="STD. DEVIATION",2,$F$1))))</f>
        <v/>
      </c>
      <c r="AN701" s="1" t="str">
        <f>IF(OR($B701="",AN$7=""),"",IF($B701="MEANS",INDEX('1-DATA'!$1:$1048576,$A700-1,COLUMN('1-DATA'!AM699)),ROUND(INDEX('1-DATA'!$1:$1048576,IF(OR($B701="STD. DEVIATION",$C$1=1),$A701,$A701+1),COLUMN('1-DATA'!AM699)),IF($B701="STD. DEVIATION",2,$F$1))))</f>
        <v/>
      </c>
      <c r="AO701" s="1" t="str">
        <f>IF(OR($B701="",AO$7=""),"",IF($B701="MEANS",INDEX('1-DATA'!$1:$1048576,$A700-1,COLUMN('1-DATA'!AN699)),ROUND(INDEX('1-DATA'!$1:$1048576,IF(OR($B701="STD. DEVIATION",$C$1=1),$A701,$A701+1),COLUMN('1-DATA'!AN699)),IF($B701="STD. DEVIATION",2,$F$1))))</f>
        <v/>
      </c>
      <c r="AP701" s="1" t="str">
        <f>IF(OR($B701="",AP$7=""),"",IF($B701="MEANS",INDEX('1-DATA'!$1:$1048576,$A700-1,COLUMN('1-DATA'!AO699)),ROUND(INDEX('1-DATA'!$1:$1048576,IF(OR($B701="STD. DEVIATION",$C$1=1),$A701,$A701+1),COLUMN('1-DATA'!AO699)),IF($B701="STD. DEVIATION",2,$F$1))))</f>
        <v/>
      </c>
      <c r="AQ701" s="1" t="str">
        <f>IF(OR($B701="",AQ$7=""),"",IF($B701="MEANS",INDEX('1-DATA'!$1:$1048576,$A700-1,COLUMN('1-DATA'!AP699)),ROUND(INDEX('1-DATA'!$1:$1048576,IF(OR($B701="STD. DEVIATION",$C$1=1),$A701,$A701+1),COLUMN('1-DATA'!AP699)),IF($B701="STD. DEVIATION",2,$F$1))))</f>
        <v/>
      </c>
      <c r="AR701" s="1" t="str">
        <f>IF(OR($B701="",AR$7=""),"",IF($B701="MEANS",INDEX('1-DATA'!$1:$1048576,$A700-1,COLUMN('1-DATA'!AQ699)),ROUND(INDEX('1-DATA'!$1:$1048576,IF(OR($B701="STD. DEVIATION",$C$1=1),$A701,$A701+1),COLUMN('1-DATA'!AQ699)),IF($B701="STD. DEVIATION",2,$F$1))))</f>
        <v/>
      </c>
      <c r="AS701" s="1" t="str">
        <f>IF(OR($B701="",AS$7=""),"",IF($B701="MEANS",INDEX('1-DATA'!$1:$1048576,$A700-1,COLUMN('1-DATA'!AR699)),ROUND(INDEX('1-DATA'!$1:$1048576,IF(OR($B701="STD. DEVIATION",$C$1=1),$A701,$A701+1),COLUMN('1-DATA'!AR699)),IF($B701="STD. DEVIATION",2,$F$1))))</f>
        <v/>
      </c>
      <c r="AT701" s="1" t="str">
        <f>IF(OR($B701="",AT$7=""),"",IF($B701="MEANS",INDEX('1-DATA'!$1:$1048576,$A700-1,COLUMN('1-DATA'!AS699)),ROUND(INDEX('1-DATA'!$1:$1048576,IF(OR($B701="STD. DEVIATION",$C$1=1),$A701,$A701+1),COLUMN('1-DATA'!AS699)),IF($B701="STD. DEVIATION",2,$F$1))))</f>
        <v/>
      </c>
      <c r="AU701" s="1" t="str">
        <f>IF(OR($B701="",AU$7=""),"",IF($B701="MEANS",INDEX('1-DATA'!$1:$1048576,$A700-1,COLUMN('1-DATA'!AT699)),ROUND(INDEX('1-DATA'!$1:$1048576,IF(OR($B701="STD. DEVIATION",$C$1=1),$A701,$A701+1),COLUMN('1-DATA'!AT699)),IF($B701="STD. DEVIATION",2,$F$1))))</f>
        <v/>
      </c>
      <c r="AV701" s="1" t="str">
        <f>IF(OR($B701="",AV$7=""),"",IF($B701="MEANS",INDEX('1-DATA'!$1:$1048576,$A700-1,COLUMN('1-DATA'!AU699)),ROUND(INDEX('1-DATA'!$1:$1048576,IF(OR($B701="STD. DEVIATION",$C$1=1),$A701,$A701+1),COLUMN('1-DATA'!AU699)),IF($B701="STD. DEVIATION",2,$F$1))))</f>
        <v/>
      </c>
      <c r="AW701" s="1" t="str">
        <f>IF(OR($B701="",AW$7=""),"",IF($B701="MEANS",INDEX('1-DATA'!$1:$1048576,$A700-1,COLUMN('1-DATA'!AV699)),ROUND(INDEX('1-DATA'!$1:$1048576,IF(OR($B701="STD. DEVIATION",$C$1=1),$A701,$A701+1),COLUMN('1-DATA'!AV699)),IF($B701="STD. DEVIATION",2,$F$1))))</f>
        <v/>
      </c>
      <c r="AX701" s="1" t="str">
        <f>IF(OR($B701="",AX$7=""),"",IF($B701="MEANS",INDEX('1-DATA'!$1:$1048576,$A700-1,COLUMN('1-DATA'!AW699)),ROUND(INDEX('1-DATA'!$1:$1048576,IF(OR($B701="STD. DEVIATION",$C$1=1),$A701,$A701+1),COLUMN('1-DATA'!AW699)),IF($B701="STD. DEVIATION",2,$F$1))))</f>
        <v/>
      </c>
      <c r="AY701" s="1" t="str">
        <f>IF(OR($B701="",AY$7=""),"",IF($B701="MEANS",INDEX('1-DATA'!$1:$1048576,$A700-1,COLUMN('1-DATA'!AX699)),ROUND(INDEX('1-DATA'!$1:$1048576,IF(OR($B701="STD. DEVIATION",$C$1=1),$A701,$A701+1),COLUMN('1-DATA'!AX699)),IF($B701="STD. DEVIATION",2,$F$1))))</f>
        <v/>
      </c>
      <c r="AZ701" s="1" t="str">
        <f>IF(OR($B701="",AZ$7=""),"",IF($B701="MEANS",INDEX('1-DATA'!$1:$1048576,$A700-1,COLUMN('1-DATA'!AY699)),ROUND(INDEX('1-DATA'!$1:$1048576,IF(OR($B701="STD. DEVIATION",$C$1=1),$A701,$A701+1),COLUMN('1-DATA'!AY699)),IF($B701="STD. DEVIATION",2,$F$1))))</f>
        <v/>
      </c>
    </row>
    <row r="702" spans="1:52" x14ac:dyDescent="0.25">
      <c r="A702" s="11">
        <f t="shared" si="11"/>
        <v>2092</v>
      </c>
      <c r="B702" s="1" t="str">
        <f>IF(B701="STD. DEVIATION",INDEX('1-DATA'!$1:$1048576,$A701-1,1),IF(INDEX('1-DATA'!$1:$1048576,$A702,1)&lt;&gt;"",INDEX('1-DATA'!$1:$1048576,$A702,1),""))</f>
        <v/>
      </c>
      <c r="C702" s="1" t="str">
        <f>IF(OR($B702="",C$7=""),"",IF($B702="MEANS",INDEX('1-DATA'!$1:$1048576,$A701-1,COLUMN('1-DATA'!B700)),ROUND(INDEX('1-DATA'!$1:$1048576,IF(OR($B702="STD. DEVIATION",$C$1=1),$A702,$A702+1),COLUMN('1-DATA'!B700)),IF($B702="STD. DEVIATION",2,$F$1))))</f>
        <v/>
      </c>
      <c r="D702" s="1" t="str">
        <f>IF(OR($B702="",D$7=""),"",IF($B702="MEANS",INDEX('1-DATA'!$1:$1048576,$A701-1,COLUMN('1-DATA'!C700)),ROUND(INDEX('1-DATA'!$1:$1048576,IF(OR($B702="STD. DEVIATION",$C$1=1),$A702,$A702+1),COLUMN('1-DATA'!C700)),IF($B702="STD. DEVIATION",2,$F$1))))</f>
        <v/>
      </c>
      <c r="E702" s="1" t="str">
        <f>IF(OR($B702="",E$7=""),"",IF($B702="MEANS",INDEX('1-DATA'!$1:$1048576,$A701-1,COLUMN('1-DATA'!D700)),ROUND(INDEX('1-DATA'!$1:$1048576,IF(OR($B702="STD. DEVIATION",$C$1=1),$A702,$A702+1),COLUMN('1-DATA'!D700)),IF($B702="STD. DEVIATION",2,$F$1))))</f>
        <v/>
      </c>
      <c r="F702" s="1" t="str">
        <f>IF(OR($B702="",F$7=""),"",IF($B702="MEANS",INDEX('1-DATA'!$1:$1048576,$A701-1,COLUMN('1-DATA'!E700)),ROUND(INDEX('1-DATA'!$1:$1048576,IF(OR($B702="STD. DEVIATION",$C$1=1),$A702,$A702+1),COLUMN('1-DATA'!E700)),IF($B702="STD. DEVIATION",2,$F$1))))</f>
        <v/>
      </c>
      <c r="G702" s="1" t="str">
        <f>IF(OR($B702="",G$7=""),"",IF($B702="MEANS",INDEX('1-DATA'!$1:$1048576,$A701-1,COLUMN('1-DATA'!F700)),ROUND(INDEX('1-DATA'!$1:$1048576,IF(OR($B702="STD. DEVIATION",$C$1=1),$A702,$A702+1),COLUMN('1-DATA'!F700)),IF($B702="STD. DEVIATION",2,$F$1))))</f>
        <v/>
      </c>
      <c r="H702" s="1" t="str">
        <f>IF(OR($B702="",H$7=""),"",IF($B702="MEANS",INDEX('1-DATA'!$1:$1048576,$A701-1,COLUMN('1-DATA'!G700)),ROUND(INDEX('1-DATA'!$1:$1048576,IF(OR($B702="STD. DEVIATION",$C$1=1),$A702,$A702+1),COLUMN('1-DATA'!G700)),IF($B702="STD. DEVIATION",2,$F$1))))</f>
        <v/>
      </c>
      <c r="I702" s="1" t="str">
        <f>IF(OR($B702="",I$7=""),"",IF($B702="MEANS",INDEX('1-DATA'!$1:$1048576,$A701-1,COLUMN('1-DATA'!H700)),ROUND(INDEX('1-DATA'!$1:$1048576,IF(OR($B702="STD. DEVIATION",$C$1=1),$A702,$A702+1),COLUMN('1-DATA'!H700)),IF($B702="STD. DEVIATION",2,$F$1))))</f>
        <v/>
      </c>
      <c r="J702" s="1" t="str">
        <f>IF(OR($B702="",J$7=""),"",IF($B702="MEANS",INDEX('1-DATA'!$1:$1048576,$A701-1,COLUMN('1-DATA'!I700)),ROUND(INDEX('1-DATA'!$1:$1048576,IF(OR($B702="STD. DEVIATION",$C$1=1),$A702,$A702+1),COLUMN('1-DATA'!I700)),IF($B702="STD. DEVIATION",2,$F$1))))</f>
        <v/>
      </c>
      <c r="K702" s="1" t="str">
        <f>IF(OR($B702="",K$7=""),"",IF($B702="MEANS",INDEX('1-DATA'!$1:$1048576,$A701-1,COLUMN('1-DATA'!J700)),ROUND(INDEX('1-DATA'!$1:$1048576,IF(OR($B702="STD. DEVIATION",$C$1=1),$A702,$A702+1),COLUMN('1-DATA'!J700)),IF($B702="STD. DEVIATION",2,$F$1))))</f>
        <v/>
      </c>
      <c r="L702" s="1" t="str">
        <f>IF(OR($B702="",L$7=""),"",IF($B702="MEANS",INDEX('1-DATA'!$1:$1048576,$A701-1,COLUMN('1-DATA'!K700)),ROUND(INDEX('1-DATA'!$1:$1048576,IF(OR($B702="STD. DEVIATION",$C$1=1),$A702,$A702+1),COLUMN('1-DATA'!K700)),IF($B702="STD. DEVIATION",2,$F$1))))</f>
        <v/>
      </c>
      <c r="M702" s="1" t="str">
        <f>IF(OR($B702="",M$7=""),"",IF($B702="MEANS",INDEX('1-DATA'!$1:$1048576,$A701-1,COLUMN('1-DATA'!L700)),ROUND(INDEX('1-DATA'!$1:$1048576,IF(OR($B702="STD. DEVIATION",$C$1=1),$A702,$A702+1),COLUMN('1-DATA'!L700)),IF($B702="STD. DEVIATION",2,$F$1))))</f>
        <v/>
      </c>
      <c r="N702" s="1" t="str">
        <f>IF(OR($B702="",N$7=""),"",IF($B702="MEANS",INDEX('1-DATA'!$1:$1048576,$A701-1,COLUMN('1-DATA'!M700)),ROUND(INDEX('1-DATA'!$1:$1048576,IF(OR($B702="STD. DEVIATION",$C$1=1),$A702,$A702+1),COLUMN('1-DATA'!M700)),IF($B702="STD. DEVIATION",2,$F$1))))</f>
        <v/>
      </c>
      <c r="O702" s="1" t="str">
        <f>IF(OR($B702="",O$7=""),"",IF($B702="MEANS",INDEX('1-DATA'!$1:$1048576,$A701-1,COLUMN('1-DATA'!N700)),ROUND(INDEX('1-DATA'!$1:$1048576,IF(OR($B702="STD. DEVIATION",$C$1=1),$A702,$A702+1),COLUMN('1-DATA'!N700)),IF($B702="STD. DEVIATION",2,$F$1))))</f>
        <v/>
      </c>
      <c r="P702" s="1" t="str">
        <f>IF(OR($B702="",P$7=""),"",IF($B702="MEANS",INDEX('1-DATA'!$1:$1048576,$A701-1,COLUMN('1-DATA'!O700)),ROUND(INDEX('1-DATA'!$1:$1048576,IF(OR($B702="STD. DEVIATION",$C$1=1),$A702,$A702+1),COLUMN('1-DATA'!O700)),IF($B702="STD. DEVIATION",2,$F$1))))</f>
        <v/>
      </c>
      <c r="Q702" s="1" t="str">
        <f>IF(OR($B702="",Q$7=""),"",IF($B702="MEANS",INDEX('1-DATA'!$1:$1048576,$A701-1,COLUMN('1-DATA'!P700)),ROUND(INDEX('1-DATA'!$1:$1048576,IF(OR($B702="STD. DEVIATION",$C$1=1),$A702,$A702+1),COLUMN('1-DATA'!P700)),IF($B702="STD. DEVIATION",2,$F$1))))</f>
        <v/>
      </c>
      <c r="R702" s="1" t="str">
        <f>IF(OR($B702="",R$7=""),"",IF($B702="MEANS",INDEX('1-DATA'!$1:$1048576,$A701-1,COLUMN('1-DATA'!Q700)),ROUND(INDEX('1-DATA'!$1:$1048576,IF(OR($B702="STD. DEVIATION",$C$1=1),$A702,$A702+1),COLUMN('1-DATA'!Q700)),IF($B702="STD. DEVIATION",2,$F$1))))</f>
        <v/>
      </c>
      <c r="S702" s="1" t="str">
        <f>IF(OR($B702="",S$7=""),"",IF($B702="MEANS",INDEX('1-DATA'!$1:$1048576,$A701-1,COLUMN('1-DATA'!R700)),ROUND(INDEX('1-DATA'!$1:$1048576,IF(OR($B702="STD. DEVIATION",$C$1=1),$A702,$A702+1),COLUMN('1-DATA'!R700)),IF($B702="STD. DEVIATION",2,$F$1))))</f>
        <v/>
      </c>
      <c r="T702" s="1" t="str">
        <f>IF(OR($B702="",T$7=""),"",IF($B702="MEANS",INDEX('1-DATA'!$1:$1048576,$A701-1,COLUMN('1-DATA'!S700)),ROUND(INDEX('1-DATA'!$1:$1048576,IF(OR($B702="STD. DEVIATION",$C$1=1),$A702,$A702+1),COLUMN('1-DATA'!S700)),IF($B702="STD. DEVIATION",2,$F$1))))</f>
        <v/>
      </c>
      <c r="U702" s="1" t="str">
        <f>IF(OR($B702="",U$7=""),"",IF($B702="MEANS",INDEX('1-DATA'!$1:$1048576,$A701-1,COLUMN('1-DATA'!T700)),ROUND(INDEX('1-DATA'!$1:$1048576,IF(OR($B702="STD. DEVIATION",$C$1=1),$A702,$A702+1),COLUMN('1-DATA'!T700)),IF($B702="STD. DEVIATION",2,$F$1))))</f>
        <v/>
      </c>
      <c r="V702" s="1" t="str">
        <f>IF(OR($B702="",V$7=""),"",IF($B702="MEANS",INDEX('1-DATA'!$1:$1048576,$A701-1,COLUMN('1-DATA'!U700)),ROUND(INDEX('1-DATA'!$1:$1048576,IF(OR($B702="STD. DEVIATION",$C$1=1),$A702,$A702+1),COLUMN('1-DATA'!U700)),IF($B702="STD. DEVIATION",2,$F$1))))</f>
        <v/>
      </c>
      <c r="W702" s="1" t="str">
        <f>IF(OR($B702="",W$7=""),"",IF($B702="MEANS",INDEX('1-DATA'!$1:$1048576,$A701-1,COLUMN('1-DATA'!V700)),ROUND(INDEX('1-DATA'!$1:$1048576,IF(OR($B702="STD. DEVIATION",$C$1=1),$A702,$A702+1),COLUMN('1-DATA'!V700)),IF($B702="STD. DEVIATION",2,$F$1))))</f>
        <v/>
      </c>
      <c r="X702" s="1" t="str">
        <f>IF(OR($B702="",X$7=""),"",IF($B702="MEANS",INDEX('1-DATA'!$1:$1048576,$A701-1,COLUMN('1-DATA'!W700)),ROUND(INDEX('1-DATA'!$1:$1048576,IF(OR($B702="STD. DEVIATION",$C$1=1),$A702,$A702+1),COLUMN('1-DATA'!W700)),IF($B702="STD. DEVIATION",2,$F$1))))</f>
        <v/>
      </c>
      <c r="Y702" s="1" t="str">
        <f>IF(OR($B702="",Y$7=""),"",IF($B702="MEANS",INDEX('1-DATA'!$1:$1048576,$A701-1,COLUMN('1-DATA'!X700)),ROUND(INDEX('1-DATA'!$1:$1048576,IF(OR($B702="STD. DEVIATION",$C$1=1),$A702,$A702+1),COLUMN('1-DATA'!X700)),IF($B702="STD. DEVIATION",2,$F$1))))</f>
        <v/>
      </c>
      <c r="Z702" s="1" t="str">
        <f>IF(OR($B702="",Z$7=""),"",IF($B702="MEANS",INDEX('1-DATA'!$1:$1048576,$A701-1,COLUMN('1-DATA'!Y700)),ROUND(INDEX('1-DATA'!$1:$1048576,IF(OR($B702="STD. DEVIATION",$C$1=1),$A702,$A702+1),COLUMN('1-DATA'!Y700)),IF($B702="STD. DEVIATION",2,$F$1))))</f>
        <v/>
      </c>
      <c r="AA702" s="1" t="str">
        <f>IF(OR($B702="",AA$7=""),"",IF($B702="MEANS",INDEX('1-DATA'!$1:$1048576,$A701-1,COLUMN('1-DATA'!Z700)),ROUND(INDEX('1-DATA'!$1:$1048576,IF(OR($B702="STD. DEVIATION",$C$1=1),$A702,$A702+1),COLUMN('1-DATA'!Z700)),IF($B702="STD. DEVIATION",2,$F$1))))</f>
        <v/>
      </c>
      <c r="AB702" s="1" t="str">
        <f>IF(OR($B702="",AB$7=""),"",IF($B702="MEANS",INDEX('1-DATA'!$1:$1048576,$A701-1,COLUMN('1-DATA'!AA700)),ROUND(INDEX('1-DATA'!$1:$1048576,IF(OR($B702="STD. DEVIATION",$C$1=1),$A702,$A702+1),COLUMN('1-DATA'!AA700)),IF($B702="STD. DEVIATION",2,$F$1))))</f>
        <v/>
      </c>
      <c r="AC702" s="1" t="str">
        <f>IF(OR($B702="",AC$7=""),"",IF($B702="MEANS",INDEX('1-DATA'!$1:$1048576,$A701-1,COLUMN('1-DATA'!AB700)),ROUND(INDEX('1-DATA'!$1:$1048576,IF(OR($B702="STD. DEVIATION",$C$1=1),$A702,$A702+1),COLUMN('1-DATA'!AB700)),IF($B702="STD. DEVIATION",2,$F$1))))</f>
        <v/>
      </c>
      <c r="AD702" s="1" t="str">
        <f>IF(OR($B702="",AD$7=""),"",IF($B702="MEANS",INDEX('1-DATA'!$1:$1048576,$A701-1,COLUMN('1-DATA'!AC700)),ROUND(INDEX('1-DATA'!$1:$1048576,IF(OR($B702="STD. DEVIATION",$C$1=1),$A702,$A702+1),COLUMN('1-DATA'!AC700)),IF($B702="STD. DEVIATION",2,$F$1))))</f>
        <v/>
      </c>
      <c r="AE702" s="1" t="str">
        <f>IF(OR($B702="",AE$7=""),"",IF($B702="MEANS",INDEX('1-DATA'!$1:$1048576,$A701-1,COLUMN('1-DATA'!AD700)),ROUND(INDEX('1-DATA'!$1:$1048576,IF(OR($B702="STD. DEVIATION",$C$1=1),$A702,$A702+1),COLUMN('1-DATA'!AD700)),IF($B702="STD. DEVIATION",2,$F$1))))</f>
        <v/>
      </c>
      <c r="AF702" s="1" t="str">
        <f>IF(OR($B702="",AF$7=""),"",IF($B702="MEANS",INDEX('1-DATA'!$1:$1048576,$A701-1,COLUMN('1-DATA'!AE700)),ROUND(INDEX('1-DATA'!$1:$1048576,IF(OR($B702="STD. DEVIATION",$C$1=1),$A702,$A702+1),COLUMN('1-DATA'!AE700)),IF($B702="STD. DEVIATION",2,$F$1))))</f>
        <v/>
      </c>
      <c r="AG702" s="1" t="str">
        <f>IF(OR($B702="",AG$7=""),"",IF($B702="MEANS",INDEX('1-DATA'!$1:$1048576,$A701-1,COLUMN('1-DATA'!AF700)),ROUND(INDEX('1-DATA'!$1:$1048576,IF(OR($B702="STD. DEVIATION",$C$1=1),$A702,$A702+1),COLUMN('1-DATA'!AF700)),IF($B702="STD. DEVIATION",2,$F$1))))</f>
        <v/>
      </c>
      <c r="AH702" s="1" t="str">
        <f>IF(OR($B702="",AH$7=""),"",IF($B702="MEANS",INDEX('1-DATA'!$1:$1048576,$A701-1,COLUMN('1-DATA'!AG700)),ROUND(INDEX('1-DATA'!$1:$1048576,IF(OR($B702="STD. DEVIATION",$C$1=1),$A702,$A702+1),COLUMN('1-DATA'!AG700)),IF($B702="STD. DEVIATION",2,$F$1))))</f>
        <v/>
      </c>
      <c r="AI702" s="1" t="str">
        <f>IF(OR($B702="",AI$7=""),"",IF($B702="MEANS",INDEX('1-DATA'!$1:$1048576,$A701-1,COLUMN('1-DATA'!AH700)),ROUND(INDEX('1-DATA'!$1:$1048576,IF(OR($B702="STD. DEVIATION",$C$1=1),$A702,$A702+1),COLUMN('1-DATA'!AH700)),IF($B702="STD. DEVIATION",2,$F$1))))</f>
        <v/>
      </c>
      <c r="AJ702" s="1" t="str">
        <f>IF(OR($B702="",AJ$7=""),"",IF($B702="MEANS",INDEX('1-DATA'!$1:$1048576,$A701-1,COLUMN('1-DATA'!AI700)),ROUND(INDEX('1-DATA'!$1:$1048576,IF(OR($B702="STD. DEVIATION",$C$1=1),$A702,$A702+1),COLUMN('1-DATA'!AI700)),IF($B702="STD. DEVIATION",2,$F$1))))</f>
        <v/>
      </c>
      <c r="AK702" s="1" t="str">
        <f>IF(OR($B702="",AK$7=""),"",IF($B702="MEANS",INDEX('1-DATA'!$1:$1048576,$A701-1,COLUMN('1-DATA'!AJ700)),ROUND(INDEX('1-DATA'!$1:$1048576,IF(OR($B702="STD. DEVIATION",$C$1=1),$A702,$A702+1),COLUMN('1-DATA'!AJ700)),IF($B702="STD. DEVIATION",2,$F$1))))</f>
        <v/>
      </c>
      <c r="AL702" s="1" t="str">
        <f>IF(OR($B702="",AL$7=""),"",IF($B702="MEANS",INDEX('1-DATA'!$1:$1048576,$A701-1,COLUMN('1-DATA'!AK700)),ROUND(INDEX('1-DATA'!$1:$1048576,IF(OR($B702="STD. DEVIATION",$C$1=1),$A702,$A702+1),COLUMN('1-DATA'!AK700)),IF($B702="STD. DEVIATION",2,$F$1))))</f>
        <v/>
      </c>
      <c r="AM702" s="1" t="str">
        <f>IF(OR($B702="",AM$7=""),"",IF($B702="MEANS",INDEX('1-DATA'!$1:$1048576,$A701-1,COLUMN('1-DATA'!AL700)),ROUND(INDEX('1-DATA'!$1:$1048576,IF(OR($B702="STD. DEVIATION",$C$1=1),$A702,$A702+1),COLUMN('1-DATA'!AL700)),IF($B702="STD. DEVIATION",2,$F$1))))</f>
        <v/>
      </c>
      <c r="AN702" s="1" t="str">
        <f>IF(OR($B702="",AN$7=""),"",IF($B702="MEANS",INDEX('1-DATA'!$1:$1048576,$A701-1,COLUMN('1-DATA'!AM700)),ROUND(INDEX('1-DATA'!$1:$1048576,IF(OR($B702="STD. DEVIATION",$C$1=1),$A702,$A702+1),COLUMN('1-DATA'!AM700)),IF($B702="STD. DEVIATION",2,$F$1))))</f>
        <v/>
      </c>
      <c r="AO702" s="1" t="str">
        <f>IF(OR($B702="",AO$7=""),"",IF($B702="MEANS",INDEX('1-DATA'!$1:$1048576,$A701-1,COLUMN('1-DATA'!AN700)),ROUND(INDEX('1-DATA'!$1:$1048576,IF(OR($B702="STD. DEVIATION",$C$1=1),$A702,$A702+1),COLUMN('1-DATA'!AN700)),IF($B702="STD. DEVIATION",2,$F$1))))</f>
        <v/>
      </c>
      <c r="AP702" s="1" t="str">
        <f>IF(OR($B702="",AP$7=""),"",IF($B702="MEANS",INDEX('1-DATA'!$1:$1048576,$A701-1,COLUMN('1-DATA'!AO700)),ROUND(INDEX('1-DATA'!$1:$1048576,IF(OR($B702="STD. DEVIATION",$C$1=1),$A702,$A702+1),COLUMN('1-DATA'!AO700)),IF($B702="STD. DEVIATION",2,$F$1))))</f>
        <v/>
      </c>
      <c r="AQ702" s="1" t="str">
        <f>IF(OR($B702="",AQ$7=""),"",IF($B702="MEANS",INDEX('1-DATA'!$1:$1048576,$A701-1,COLUMN('1-DATA'!AP700)),ROUND(INDEX('1-DATA'!$1:$1048576,IF(OR($B702="STD. DEVIATION",$C$1=1),$A702,$A702+1),COLUMN('1-DATA'!AP700)),IF($B702="STD. DEVIATION",2,$F$1))))</f>
        <v/>
      </c>
      <c r="AR702" s="1" t="str">
        <f>IF(OR($B702="",AR$7=""),"",IF($B702="MEANS",INDEX('1-DATA'!$1:$1048576,$A701-1,COLUMN('1-DATA'!AQ700)),ROUND(INDEX('1-DATA'!$1:$1048576,IF(OR($B702="STD. DEVIATION",$C$1=1),$A702,$A702+1),COLUMN('1-DATA'!AQ700)),IF($B702="STD. DEVIATION",2,$F$1))))</f>
        <v/>
      </c>
      <c r="AS702" s="1" t="str">
        <f>IF(OR($B702="",AS$7=""),"",IF($B702="MEANS",INDEX('1-DATA'!$1:$1048576,$A701-1,COLUMN('1-DATA'!AR700)),ROUND(INDEX('1-DATA'!$1:$1048576,IF(OR($B702="STD. DEVIATION",$C$1=1),$A702,$A702+1),COLUMN('1-DATA'!AR700)),IF($B702="STD. DEVIATION",2,$F$1))))</f>
        <v/>
      </c>
      <c r="AT702" s="1" t="str">
        <f>IF(OR($B702="",AT$7=""),"",IF($B702="MEANS",INDEX('1-DATA'!$1:$1048576,$A701-1,COLUMN('1-DATA'!AS700)),ROUND(INDEX('1-DATA'!$1:$1048576,IF(OR($B702="STD. DEVIATION",$C$1=1),$A702,$A702+1),COLUMN('1-DATA'!AS700)),IF($B702="STD. DEVIATION",2,$F$1))))</f>
        <v/>
      </c>
      <c r="AU702" s="1" t="str">
        <f>IF(OR($B702="",AU$7=""),"",IF($B702="MEANS",INDEX('1-DATA'!$1:$1048576,$A701-1,COLUMN('1-DATA'!AT700)),ROUND(INDEX('1-DATA'!$1:$1048576,IF(OR($B702="STD. DEVIATION",$C$1=1),$A702,$A702+1),COLUMN('1-DATA'!AT700)),IF($B702="STD. DEVIATION",2,$F$1))))</f>
        <v/>
      </c>
      <c r="AV702" s="1" t="str">
        <f>IF(OR($B702="",AV$7=""),"",IF($B702="MEANS",INDEX('1-DATA'!$1:$1048576,$A701-1,COLUMN('1-DATA'!AU700)),ROUND(INDEX('1-DATA'!$1:$1048576,IF(OR($B702="STD. DEVIATION",$C$1=1),$A702,$A702+1),COLUMN('1-DATA'!AU700)),IF($B702="STD. DEVIATION",2,$F$1))))</f>
        <v/>
      </c>
      <c r="AW702" s="1" t="str">
        <f>IF(OR($B702="",AW$7=""),"",IF($B702="MEANS",INDEX('1-DATA'!$1:$1048576,$A701-1,COLUMN('1-DATA'!AV700)),ROUND(INDEX('1-DATA'!$1:$1048576,IF(OR($B702="STD. DEVIATION",$C$1=1),$A702,$A702+1),COLUMN('1-DATA'!AV700)),IF($B702="STD. DEVIATION",2,$F$1))))</f>
        <v/>
      </c>
      <c r="AX702" s="1" t="str">
        <f>IF(OR($B702="",AX$7=""),"",IF($B702="MEANS",INDEX('1-DATA'!$1:$1048576,$A701-1,COLUMN('1-DATA'!AW700)),ROUND(INDEX('1-DATA'!$1:$1048576,IF(OR($B702="STD. DEVIATION",$C$1=1),$A702,$A702+1),COLUMN('1-DATA'!AW700)),IF($B702="STD. DEVIATION",2,$F$1))))</f>
        <v/>
      </c>
      <c r="AY702" s="1" t="str">
        <f>IF(OR($B702="",AY$7=""),"",IF($B702="MEANS",INDEX('1-DATA'!$1:$1048576,$A701-1,COLUMN('1-DATA'!AX700)),ROUND(INDEX('1-DATA'!$1:$1048576,IF(OR($B702="STD. DEVIATION",$C$1=1),$A702,$A702+1),COLUMN('1-DATA'!AX700)),IF($B702="STD. DEVIATION",2,$F$1))))</f>
        <v/>
      </c>
      <c r="AZ702" s="1" t="str">
        <f>IF(OR($B702="",AZ$7=""),"",IF($B702="MEANS",INDEX('1-DATA'!$1:$1048576,$A701-1,COLUMN('1-DATA'!AY700)),ROUND(INDEX('1-DATA'!$1:$1048576,IF(OR($B702="STD. DEVIATION",$C$1=1),$A702,$A702+1),COLUMN('1-DATA'!AY700)),IF($B702="STD. DEVIATION",2,$F$1))))</f>
        <v/>
      </c>
    </row>
    <row r="703" spans="1:52" x14ac:dyDescent="0.25">
      <c r="A703" s="11">
        <f t="shared" si="11"/>
        <v>2095</v>
      </c>
      <c r="B703" s="1" t="str">
        <f>IF(B702="STD. DEVIATION",INDEX('1-DATA'!$1:$1048576,$A702-1,1),IF(INDEX('1-DATA'!$1:$1048576,$A703,1)&lt;&gt;"",INDEX('1-DATA'!$1:$1048576,$A703,1),""))</f>
        <v/>
      </c>
      <c r="C703" s="1" t="str">
        <f>IF(OR($B703="",C$7=""),"",IF($B703="MEANS",INDEX('1-DATA'!$1:$1048576,$A702-1,COLUMN('1-DATA'!B701)),ROUND(INDEX('1-DATA'!$1:$1048576,IF(OR($B703="STD. DEVIATION",$C$1=1),$A703,$A703+1),COLUMN('1-DATA'!B701)),IF($B703="STD. DEVIATION",2,$F$1))))</f>
        <v/>
      </c>
      <c r="D703" s="1" t="str">
        <f>IF(OR($B703="",D$7=""),"",IF($B703="MEANS",INDEX('1-DATA'!$1:$1048576,$A702-1,COLUMN('1-DATA'!C701)),ROUND(INDEX('1-DATA'!$1:$1048576,IF(OR($B703="STD. DEVIATION",$C$1=1),$A703,$A703+1),COLUMN('1-DATA'!C701)),IF($B703="STD. DEVIATION",2,$F$1))))</f>
        <v/>
      </c>
      <c r="E703" s="1" t="str">
        <f>IF(OR($B703="",E$7=""),"",IF($B703="MEANS",INDEX('1-DATA'!$1:$1048576,$A702-1,COLUMN('1-DATA'!D701)),ROUND(INDEX('1-DATA'!$1:$1048576,IF(OR($B703="STD. DEVIATION",$C$1=1),$A703,$A703+1),COLUMN('1-DATA'!D701)),IF($B703="STD. DEVIATION",2,$F$1))))</f>
        <v/>
      </c>
      <c r="F703" s="1" t="str">
        <f>IF(OR($B703="",F$7=""),"",IF($B703="MEANS",INDEX('1-DATA'!$1:$1048576,$A702-1,COLUMN('1-DATA'!E701)),ROUND(INDEX('1-DATA'!$1:$1048576,IF(OR($B703="STD. DEVIATION",$C$1=1),$A703,$A703+1),COLUMN('1-DATA'!E701)),IF($B703="STD. DEVIATION",2,$F$1))))</f>
        <v/>
      </c>
      <c r="G703" s="1" t="str">
        <f>IF(OR($B703="",G$7=""),"",IF($B703="MEANS",INDEX('1-DATA'!$1:$1048576,$A702-1,COLUMN('1-DATA'!F701)),ROUND(INDEX('1-DATA'!$1:$1048576,IF(OR($B703="STD. DEVIATION",$C$1=1),$A703,$A703+1),COLUMN('1-DATA'!F701)),IF($B703="STD. DEVIATION",2,$F$1))))</f>
        <v/>
      </c>
      <c r="H703" s="1" t="str">
        <f>IF(OR($B703="",H$7=""),"",IF($B703="MEANS",INDEX('1-DATA'!$1:$1048576,$A702-1,COLUMN('1-DATA'!G701)),ROUND(INDEX('1-DATA'!$1:$1048576,IF(OR($B703="STD. DEVIATION",$C$1=1),$A703,$A703+1),COLUMN('1-DATA'!G701)),IF($B703="STD. DEVIATION",2,$F$1))))</f>
        <v/>
      </c>
      <c r="I703" s="1" t="str">
        <f>IF(OR($B703="",I$7=""),"",IF($B703="MEANS",INDEX('1-DATA'!$1:$1048576,$A702-1,COLUMN('1-DATA'!H701)),ROUND(INDEX('1-DATA'!$1:$1048576,IF(OR($B703="STD. DEVIATION",$C$1=1),$A703,$A703+1),COLUMN('1-DATA'!H701)),IF($B703="STD. DEVIATION",2,$F$1))))</f>
        <v/>
      </c>
      <c r="J703" s="1" t="str">
        <f>IF(OR($B703="",J$7=""),"",IF($B703="MEANS",INDEX('1-DATA'!$1:$1048576,$A702-1,COLUMN('1-DATA'!I701)),ROUND(INDEX('1-DATA'!$1:$1048576,IF(OR($B703="STD. DEVIATION",$C$1=1),$A703,$A703+1),COLUMN('1-DATA'!I701)),IF($B703="STD. DEVIATION",2,$F$1))))</f>
        <v/>
      </c>
      <c r="K703" s="1" t="str">
        <f>IF(OR($B703="",K$7=""),"",IF($B703="MEANS",INDEX('1-DATA'!$1:$1048576,$A702-1,COLUMN('1-DATA'!J701)),ROUND(INDEX('1-DATA'!$1:$1048576,IF(OR($B703="STD. DEVIATION",$C$1=1),$A703,$A703+1),COLUMN('1-DATA'!J701)),IF($B703="STD. DEVIATION",2,$F$1))))</f>
        <v/>
      </c>
      <c r="L703" s="1" t="str">
        <f>IF(OR($B703="",L$7=""),"",IF($B703="MEANS",INDEX('1-DATA'!$1:$1048576,$A702-1,COLUMN('1-DATA'!K701)),ROUND(INDEX('1-DATA'!$1:$1048576,IF(OR($B703="STD. DEVIATION",$C$1=1),$A703,$A703+1),COLUMN('1-DATA'!K701)),IF($B703="STD. DEVIATION",2,$F$1))))</f>
        <v/>
      </c>
      <c r="M703" s="1" t="str">
        <f>IF(OR($B703="",M$7=""),"",IF($B703="MEANS",INDEX('1-DATA'!$1:$1048576,$A702-1,COLUMN('1-DATA'!L701)),ROUND(INDEX('1-DATA'!$1:$1048576,IF(OR($B703="STD. DEVIATION",$C$1=1),$A703,$A703+1),COLUMN('1-DATA'!L701)),IF($B703="STD. DEVIATION",2,$F$1))))</f>
        <v/>
      </c>
      <c r="N703" s="1" t="str">
        <f>IF(OR($B703="",N$7=""),"",IF($B703="MEANS",INDEX('1-DATA'!$1:$1048576,$A702-1,COLUMN('1-DATA'!M701)),ROUND(INDEX('1-DATA'!$1:$1048576,IF(OR($B703="STD. DEVIATION",$C$1=1),$A703,$A703+1),COLUMN('1-DATA'!M701)),IF($B703="STD. DEVIATION",2,$F$1))))</f>
        <v/>
      </c>
      <c r="O703" s="1" t="str">
        <f>IF(OR($B703="",O$7=""),"",IF($B703="MEANS",INDEX('1-DATA'!$1:$1048576,$A702-1,COLUMN('1-DATA'!N701)),ROUND(INDEX('1-DATA'!$1:$1048576,IF(OR($B703="STD. DEVIATION",$C$1=1),$A703,$A703+1),COLUMN('1-DATA'!N701)),IF($B703="STD. DEVIATION",2,$F$1))))</f>
        <v/>
      </c>
      <c r="P703" s="1" t="str">
        <f>IF(OR($B703="",P$7=""),"",IF($B703="MEANS",INDEX('1-DATA'!$1:$1048576,$A702-1,COLUMN('1-DATA'!O701)),ROUND(INDEX('1-DATA'!$1:$1048576,IF(OR($B703="STD. DEVIATION",$C$1=1),$A703,$A703+1),COLUMN('1-DATA'!O701)),IF($B703="STD. DEVIATION",2,$F$1))))</f>
        <v/>
      </c>
      <c r="Q703" s="1" t="str">
        <f>IF(OR($B703="",Q$7=""),"",IF($B703="MEANS",INDEX('1-DATA'!$1:$1048576,$A702-1,COLUMN('1-DATA'!P701)),ROUND(INDEX('1-DATA'!$1:$1048576,IF(OR($B703="STD. DEVIATION",$C$1=1),$A703,$A703+1),COLUMN('1-DATA'!P701)),IF($B703="STD. DEVIATION",2,$F$1))))</f>
        <v/>
      </c>
      <c r="R703" s="1" t="str">
        <f>IF(OR($B703="",R$7=""),"",IF($B703="MEANS",INDEX('1-DATA'!$1:$1048576,$A702-1,COLUMN('1-DATA'!Q701)),ROUND(INDEX('1-DATA'!$1:$1048576,IF(OR($B703="STD. DEVIATION",$C$1=1),$A703,$A703+1),COLUMN('1-DATA'!Q701)),IF($B703="STD. DEVIATION",2,$F$1))))</f>
        <v/>
      </c>
      <c r="S703" s="1" t="str">
        <f>IF(OR($B703="",S$7=""),"",IF($B703="MEANS",INDEX('1-DATA'!$1:$1048576,$A702-1,COLUMN('1-DATA'!R701)),ROUND(INDEX('1-DATA'!$1:$1048576,IF(OR($B703="STD. DEVIATION",$C$1=1),$A703,$A703+1),COLUMN('1-DATA'!R701)),IF($B703="STD. DEVIATION",2,$F$1))))</f>
        <v/>
      </c>
      <c r="T703" s="1" t="str">
        <f>IF(OR($B703="",T$7=""),"",IF($B703="MEANS",INDEX('1-DATA'!$1:$1048576,$A702-1,COLUMN('1-DATA'!S701)),ROUND(INDEX('1-DATA'!$1:$1048576,IF(OR($B703="STD. DEVIATION",$C$1=1),$A703,$A703+1),COLUMN('1-DATA'!S701)),IF($B703="STD. DEVIATION",2,$F$1))))</f>
        <v/>
      </c>
      <c r="U703" s="1" t="str">
        <f>IF(OR($B703="",U$7=""),"",IF($B703="MEANS",INDEX('1-DATA'!$1:$1048576,$A702-1,COLUMN('1-DATA'!T701)),ROUND(INDEX('1-DATA'!$1:$1048576,IF(OR($B703="STD. DEVIATION",$C$1=1),$A703,$A703+1),COLUMN('1-DATA'!T701)),IF($B703="STD. DEVIATION",2,$F$1))))</f>
        <v/>
      </c>
      <c r="V703" s="1" t="str">
        <f>IF(OR($B703="",V$7=""),"",IF($B703="MEANS",INDEX('1-DATA'!$1:$1048576,$A702-1,COLUMN('1-DATA'!U701)),ROUND(INDEX('1-DATA'!$1:$1048576,IF(OR($B703="STD. DEVIATION",$C$1=1),$A703,$A703+1),COLUMN('1-DATA'!U701)),IF($B703="STD. DEVIATION",2,$F$1))))</f>
        <v/>
      </c>
      <c r="W703" s="1" t="str">
        <f>IF(OR($B703="",W$7=""),"",IF($B703="MEANS",INDEX('1-DATA'!$1:$1048576,$A702-1,COLUMN('1-DATA'!V701)),ROUND(INDEX('1-DATA'!$1:$1048576,IF(OR($B703="STD. DEVIATION",$C$1=1),$A703,$A703+1),COLUMN('1-DATA'!V701)),IF($B703="STD. DEVIATION",2,$F$1))))</f>
        <v/>
      </c>
      <c r="X703" s="1" t="str">
        <f>IF(OR($B703="",X$7=""),"",IF($B703="MEANS",INDEX('1-DATA'!$1:$1048576,$A702-1,COLUMN('1-DATA'!W701)),ROUND(INDEX('1-DATA'!$1:$1048576,IF(OR($B703="STD. DEVIATION",$C$1=1),$A703,$A703+1),COLUMN('1-DATA'!W701)),IF($B703="STD. DEVIATION",2,$F$1))))</f>
        <v/>
      </c>
      <c r="Y703" s="1" t="str">
        <f>IF(OR($B703="",Y$7=""),"",IF($B703="MEANS",INDEX('1-DATA'!$1:$1048576,$A702-1,COLUMN('1-DATA'!X701)),ROUND(INDEX('1-DATA'!$1:$1048576,IF(OR($B703="STD. DEVIATION",$C$1=1),$A703,$A703+1),COLUMN('1-DATA'!X701)),IF($B703="STD. DEVIATION",2,$F$1))))</f>
        <v/>
      </c>
      <c r="Z703" s="1" t="str">
        <f>IF(OR($B703="",Z$7=""),"",IF($B703="MEANS",INDEX('1-DATA'!$1:$1048576,$A702-1,COLUMN('1-DATA'!Y701)),ROUND(INDEX('1-DATA'!$1:$1048576,IF(OR($B703="STD. DEVIATION",$C$1=1),$A703,$A703+1),COLUMN('1-DATA'!Y701)),IF($B703="STD. DEVIATION",2,$F$1))))</f>
        <v/>
      </c>
      <c r="AA703" s="1" t="str">
        <f>IF(OR($B703="",AA$7=""),"",IF($B703="MEANS",INDEX('1-DATA'!$1:$1048576,$A702-1,COLUMN('1-DATA'!Z701)),ROUND(INDEX('1-DATA'!$1:$1048576,IF(OR($B703="STD. DEVIATION",$C$1=1),$A703,$A703+1),COLUMN('1-DATA'!Z701)),IF($B703="STD. DEVIATION",2,$F$1))))</f>
        <v/>
      </c>
      <c r="AB703" s="1" t="str">
        <f>IF(OR($B703="",AB$7=""),"",IF($B703="MEANS",INDEX('1-DATA'!$1:$1048576,$A702-1,COLUMN('1-DATA'!AA701)),ROUND(INDEX('1-DATA'!$1:$1048576,IF(OR($B703="STD. DEVIATION",$C$1=1),$A703,$A703+1),COLUMN('1-DATA'!AA701)),IF($B703="STD. DEVIATION",2,$F$1))))</f>
        <v/>
      </c>
      <c r="AC703" s="1" t="str">
        <f>IF(OR($B703="",AC$7=""),"",IF($B703="MEANS",INDEX('1-DATA'!$1:$1048576,$A702-1,COLUMN('1-DATA'!AB701)),ROUND(INDEX('1-DATA'!$1:$1048576,IF(OR($B703="STD. DEVIATION",$C$1=1),$A703,$A703+1),COLUMN('1-DATA'!AB701)),IF($B703="STD. DEVIATION",2,$F$1))))</f>
        <v/>
      </c>
      <c r="AD703" s="1" t="str">
        <f>IF(OR($B703="",AD$7=""),"",IF($B703="MEANS",INDEX('1-DATA'!$1:$1048576,$A702-1,COLUMN('1-DATA'!AC701)),ROUND(INDEX('1-DATA'!$1:$1048576,IF(OR($B703="STD. DEVIATION",$C$1=1),$A703,$A703+1),COLUMN('1-DATA'!AC701)),IF($B703="STD. DEVIATION",2,$F$1))))</f>
        <v/>
      </c>
      <c r="AE703" s="1" t="str">
        <f>IF(OR($B703="",AE$7=""),"",IF($B703="MEANS",INDEX('1-DATA'!$1:$1048576,$A702-1,COLUMN('1-DATA'!AD701)),ROUND(INDEX('1-DATA'!$1:$1048576,IF(OR($B703="STD. DEVIATION",$C$1=1),$A703,$A703+1),COLUMN('1-DATA'!AD701)),IF($B703="STD. DEVIATION",2,$F$1))))</f>
        <v/>
      </c>
      <c r="AF703" s="1" t="str">
        <f>IF(OR($B703="",AF$7=""),"",IF($B703="MEANS",INDEX('1-DATA'!$1:$1048576,$A702-1,COLUMN('1-DATA'!AE701)),ROUND(INDEX('1-DATA'!$1:$1048576,IF(OR($B703="STD. DEVIATION",$C$1=1),$A703,$A703+1),COLUMN('1-DATA'!AE701)),IF($B703="STD. DEVIATION",2,$F$1))))</f>
        <v/>
      </c>
      <c r="AG703" s="1" t="str">
        <f>IF(OR($B703="",AG$7=""),"",IF($B703="MEANS",INDEX('1-DATA'!$1:$1048576,$A702-1,COLUMN('1-DATA'!AF701)),ROUND(INDEX('1-DATA'!$1:$1048576,IF(OR($B703="STD. DEVIATION",$C$1=1),$A703,$A703+1),COLUMN('1-DATA'!AF701)),IF($B703="STD. DEVIATION",2,$F$1))))</f>
        <v/>
      </c>
      <c r="AH703" s="1" t="str">
        <f>IF(OR($B703="",AH$7=""),"",IF($B703="MEANS",INDEX('1-DATA'!$1:$1048576,$A702-1,COLUMN('1-DATA'!AG701)),ROUND(INDEX('1-DATA'!$1:$1048576,IF(OR($B703="STD. DEVIATION",$C$1=1),$A703,$A703+1),COLUMN('1-DATA'!AG701)),IF($B703="STD. DEVIATION",2,$F$1))))</f>
        <v/>
      </c>
      <c r="AI703" s="1" t="str">
        <f>IF(OR($B703="",AI$7=""),"",IF($B703="MEANS",INDEX('1-DATA'!$1:$1048576,$A702-1,COLUMN('1-DATA'!AH701)),ROUND(INDEX('1-DATA'!$1:$1048576,IF(OR($B703="STD. DEVIATION",$C$1=1),$A703,$A703+1),COLUMN('1-DATA'!AH701)),IF($B703="STD. DEVIATION",2,$F$1))))</f>
        <v/>
      </c>
      <c r="AJ703" s="1" t="str">
        <f>IF(OR($B703="",AJ$7=""),"",IF($B703="MEANS",INDEX('1-DATA'!$1:$1048576,$A702-1,COLUMN('1-DATA'!AI701)),ROUND(INDEX('1-DATA'!$1:$1048576,IF(OR($B703="STD. DEVIATION",$C$1=1),$A703,$A703+1),COLUMN('1-DATA'!AI701)),IF($B703="STD. DEVIATION",2,$F$1))))</f>
        <v/>
      </c>
      <c r="AK703" s="1" t="str">
        <f>IF(OR($B703="",AK$7=""),"",IF($B703="MEANS",INDEX('1-DATA'!$1:$1048576,$A702-1,COLUMN('1-DATA'!AJ701)),ROUND(INDEX('1-DATA'!$1:$1048576,IF(OR($B703="STD. DEVIATION",$C$1=1),$A703,$A703+1),COLUMN('1-DATA'!AJ701)),IF($B703="STD. DEVIATION",2,$F$1))))</f>
        <v/>
      </c>
      <c r="AL703" s="1" t="str">
        <f>IF(OR($B703="",AL$7=""),"",IF($B703="MEANS",INDEX('1-DATA'!$1:$1048576,$A702-1,COLUMN('1-DATA'!AK701)),ROUND(INDEX('1-DATA'!$1:$1048576,IF(OR($B703="STD. DEVIATION",$C$1=1),$A703,$A703+1),COLUMN('1-DATA'!AK701)),IF($B703="STD. DEVIATION",2,$F$1))))</f>
        <v/>
      </c>
      <c r="AM703" s="1" t="str">
        <f>IF(OR($B703="",AM$7=""),"",IF($B703="MEANS",INDEX('1-DATA'!$1:$1048576,$A702-1,COLUMN('1-DATA'!AL701)),ROUND(INDEX('1-DATA'!$1:$1048576,IF(OR($B703="STD. DEVIATION",$C$1=1),$A703,$A703+1),COLUMN('1-DATA'!AL701)),IF($B703="STD. DEVIATION",2,$F$1))))</f>
        <v/>
      </c>
      <c r="AN703" s="1" t="str">
        <f>IF(OR($B703="",AN$7=""),"",IF($B703="MEANS",INDEX('1-DATA'!$1:$1048576,$A702-1,COLUMN('1-DATA'!AM701)),ROUND(INDEX('1-DATA'!$1:$1048576,IF(OR($B703="STD. DEVIATION",$C$1=1),$A703,$A703+1),COLUMN('1-DATA'!AM701)),IF($B703="STD. DEVIATION",2,$F$1))))</f>
        <v/>
      </c>
      <c r="AO703" s="1" t="str">
        <f>IF(OR($B703="",AO$7=""),"",IF($B703="MEANS",INDEX('1-DATA'!$1:$1048576,$A702-1,COLUMN('1-DATA'!AN701)),ROUND(INDEX('1-DATA'!$1:$1048576,IF(OR($B703="STD. DEVIATION",$C$1=1),$A703,$A703+1),COLUMN('1-DATA'!AN701)),IF($B703="STD. DEVIATION",2,$F$1))))</f>
        <v/>
      </c>
      <c r="AP703" s="1" t="str">
        <f>IF(OR($B703="",AP$7=""),"",IF($B703="MEANS",INDEX('1-DATA'!$1:$1048576,$A702-1,COLUMN('1-DATA'!AO701)),ROUND(INDEX('1-DATA'!$1:$1048576,IF(OR($B703="STD. DEVIATION",$C$1=1),$A703,$A703+1),COLUMN('1-DATA'!AO701)),IF($B703="STD. DEVIATION",2,$F$1))))</f>
        <v/>
      </c>
      <c r="AQ703" s="1" t="str">
        <f>IF(OR($B703="",AQ$7=""),"",IF($B703="MEANS",INDEX('1-DATA'!$1:$1048576,$A702-1,COLUMN('1-DATA'!AP701)),ROUND(INDEX('1-DATA'!$1:$1048576,IF(OR($B703="STD. DEVIATION",$C$1=1),$A703,$A703+1),COLUMN('1-DATA'!AP701)),IF($B703="STD. DEVIATION",2,$F$1))))</f>
        <v/>
      </c>
      <c r="AR703" s="1" t="str">
        <f>IF(OR($B703="",AR$7=""),"",IF($B703="MEANS",INDEX('1-DATA'!$1:$1048576,$A702-1,COLUMN('1-DATA'!AQ701)),ROUND(INDEX('1-DATA'!$1:$1048576,IF(OR($B703="STD. DEVIATION",$C$1=1),$A703,$A703+1),COLUMN('1-DATA'!AQ701)),IF($B703="STD. DEVIATION",2,$F$1))))</f>
        <v/>
      </c>
      <c r="AS703" s="1" t="str">
        <f>IF(OR($B703="",AS$7=""),"",IF($B703="MEANS",INDEX('1-DATA'!$1:$1048576,$A702-1,COLUMN('1-DATA'!AR701)),ROUND(INDEX('1-DATA'!$1:$1048576,IF(OR($B703="STD. DEVIATION",$C$1=1),$A703,$A703+1),COLUMN('1-DATA'!AR701)),IF($B703="STD. DEVIATION",2,$F$1))))</f>
        <v/>
      </c>
      <c r="AT703" s="1" t="str">
        <f>IF(OR($B703="",AT$7=""),"",IF($B703="MEANS",INDEX('1-DATA'!$1:$1048576,$A702-1,COLUMN('1-DATA'!AS701)),ROUND(INDEX('1-DATA'!$1:$1048576,IF(OR($B703="STD. DEVIATION",$C$1=1),$A703,$A703+1),COLUMN('1-DATA'!AS701)),IF($B703="STD. DEVIATION",2,$F$1))))</f>
        <v/>
      </c>
      <c r="AU703" s="1" t="str">
        <f>IF(OR($B703="",AU$7=""),"",IF($B703="MEANS",INDEX('1-DATA'!$1:$1048576,$A702-1,COLUMN('1-DATA'!AT701)),ROUND(INDEX('1-DATA'!$1:$1048576,IF(OR($B703="STD. DEVIATION",$C$1=1),$A703,$A703+1),COLUMN('1-DATA'!AT701)),IF($B703="STD. DEVIATION",2,$F$1))))</f>
        <v/>
      </c>
      <c r="AV703" s="1" t="str">
        <f>IF(OR($B703="",AV$7=""),"",IF($B703="MEANS",INDEX('1-DATA'!$1:$1048576,$A702-1,COLUMN('1-DATA'!AU701)),ROUND(INDEX('1-DATA'!$1:$1048576,IF(OR($B703="STD. DEVIATION",$C$1=1),$A703,$A703+1),COLUMN('1-DATA'!AU701)),IF($B703="STD. DEVIATION",2,$F$1))))</f>
        <v/>
      </c>
      <c r="AW703" s="1" t="str">
        <f>IF(OR($B703="",AW$7=""),"",IF($B703="MEANS",INDEX('1-DATA'!$1:$1048576,$A702-1,COLUMN('1-DATA'!AV701)),ROUND(INDEX('1-DATA'!$1:$1048576,IF(OR($B703="STD. DEVIATION",$C$1=1),$A703,$A703+1),COLUMN('1-DATA'!AV701)),IF($B703="STD. DEVIATION",2,$F$1))))</f>
        <v/>
      </c>
      <c r="AX703" s="1" t="str">
        <f>IF(OR($B703="",AX$7=""),"",IF($B703="MEANS",INDEX('1-DATA'!$1:$1048576,$A702-1,COLUMN('1-DATA'!AW701)),ROUND(INDEX('1-DATA'!$1:$1048576,IF(OR($B703="STD. DEVIATION",$C$1=1),$A703,$A703+1),COLUMN('1-DATA'!AW701)),IF($B703="STD. DEVIATION",2,$F$1))))</f>
        <v/>
      </c>
      <c r="AY703" s="1" t="str">
        <f>IF(OR($B703="",AY$7=""),"",IF($B703="MEANS",INDEX('1-DATA'!$1:$1048576,$A702-1,COLUMN('1-DATA'!AX701)),ROUND(INDEX('1-DATA'!$1:$1048576,IF(OR($B703="STD. DEVIATION",$C$1=1),$A703,$A703+1),COLUMN('1-DATA'!AX701)),IF($B703="STD. DEVIATION",2,$F$1))))</f>
        <v/>
      </c>
      <c r="AZ703" s="1" t="str">
        <f>IF(OR($B703="",AZ$7=""),"",IF($B703="MEANS",INDEX('1-DATA'!$1:$1048576,$A702-1,COLUMN('1-DATA'!AY701)),ROUND(INDEX('1-DATA'!$1:$1048576,IF(OR($B703="STD. DEVIATION",$C$1=1),$A703,$A703+1),COLUMN('1-DATA'!AY701)),IF($B703="STD. DEVIATION",2,$F$1))))</f>
        <v/>
      </c>
    </row>
    <row r="704" spans="1:52" x14ac:dyDescent="0.25">
      <c r="A704" s="11">
        <f t="shared" si="11"/>
        <v>2098</v>
      </c>
      <c r="B704" s="1" t="str">
        <f>IF(B703="STD. DEVIATION",INDEX('1-DATA'!$1:$1048576,$A703-1,1),IF(INDEX('1-DATA'!$1:$1048576,$A704,1)&lt;&gt;"",INDEX('1-DATA'!$1:$1048576,$A704,1),""))</f>
        <v/>
      </c>
      <c r="C704" s="1" t="str">
        <f>IF(OR($B704="",C$7=""),"",IF($B704="MEANS",INDEX('1-DATA'!$1:$1048576,$A703-1,COLUMN('1-DATA'!B702)),ROUND(INDEX('1-DATA'!$1:$1048576,IF(OR($B704="STD. DEVIATION",$C$1=1),$A704,$A704+1),COLUMN('1-DATA'!B702)),IF($B704="STD. DEVIATION",2,$F$1))))</f>
        <v/>
      </c>
      <c r="D704" s="1" t="str">
        <f>IF(OR($B704="",D$7=""),"",IF($B704="MEANS",INDEX('1-DATA'!$1:$1048576,$A703-1,COLUMN('1-DATA'!C702)),ROUND(INDEX('1-DATA'!$1:$1048576,IF(OR($B704="STD. DEVIATION",$C$1=1),$A704,$A704+1),COLUMN('1-DATA'!C702)),IF($B704="STD. DEVIATION",2,$F$1))))</f>
        <v/>
      </c>
      <c r="E704" s="1" t="str">
        <f>IF(OR($B704="",E$7=""),"",IF($B704="MEANS",INDEX('1-DATA'!$1:$1048576,$A703-1,COLUMN('1-DATA'!D702)),ROUND(INDEX('1-DATA'!$1:$1048576,IF(OR($B704="STD. DEVIATION",$C$1=1),$A704,$A704+1),COLUMN('1-DATA'!D702)),IF($B704="STD. DEVIATION",2,$F$1))))</f>
        <v/>
      </c>
      <c r="F704" s="1" t="str">
        <f>IF(OR($B704="",F$7=""),"",IF($B704="MEANS",INDEX('1-DATA'!$1:$1048576,$A703-1,COLUMN('1-DATA'!E702)),ROUND(INDEX('1-DATA'!$1:$1048576,IF(OR($B704="STD. DEVIATION",$C$1=1),$A704,$A704+1),COLUMN('1-DATA'!E702)),IF($B704="STD. DEVIATION",2,$F$1))))</f>
        <v/>
      </c>
      <c r="G704" s="1" t="str">
        <f>IF(OR($B704="",G$7=""),"",IF($B704="MEANS",INDEX('1-DATA'!$1:$1048576,$A703-1,COLUMN('1-DATA'!F702)),ROUND(INDEX('1-DATA'!$1:$1048576,IF(OR($B704="STD. DEVIATION",$C$1=1),$A704,$A704+1),COLUMN('1-DATA'!F702)),IF($B704="STD. DEVIATION",2,$F$1))))</f>
        <v/>
      </c>
      <c r="H704" s="1" t="str">
        <f>IF(OR($B704="",H$7=""),"",IF($B704="MEANS",INDEX('1-DATA'!$1:$1048576,$A703-1,COLUMN('1-DATA'!G702)),ROUND(INDEX('1-DATA'!$1:$1048576,IF(OR($B704="STD. DEVIATION",$C$1=1),$A704,$A704+1),COLUMN('1-DATA'!G702)),IF($B704="STD. DEVIATION",2,$F$1))))</f>
        <v/>
      </c>
      <c r="I704" s="1" t="str">
        <f>IF(OR($B704="",I$7=""),"",IF($B704="MEANS",INDEX('1-DATA'!$1:$1048576,$A703-1,COLUMN('1-DATA'!H702)),ROUND(INDEX('1-DATA'!$1:$1048576,IF(OR($B704="STD. DEVIATION",$C$1=1),$A704,$A704+1),COLUMN('1-DATA'!H702)),IF($B704="STD. DEVIATION",2,$F$1))))</f>
        <v/>
      </c>
      <c r="J704" s="1" t="str">
        <f>IF(OR($B704="",J$7=""),"",IF($B704="MEANS",INDEX('1-DATA'!$1:$1048576,$A703-1,COLUMN('1-DATA'!I702)),ROUND(INDEX('1-DATA'!$1:$1048576,IF(OR($B704="STD. DEVIATION",$C$1=1),$A704,$A704+1),COLUMN('1-DATA'!I702)),IF($B704="STD. DEVIATION",2,$F$1))))</f>
        <v/>
      </c>
      <c r="K704" s="1" t="str">
        <f>IF(OR($B704="",K$7=""),"",IF($B704="MEANS",INDEX('1-DATA'!$1:$1048576,$A703-1,COLUMN('1-DATA'!J702)),ROUND(INDEX('1-DATA'!$1:$1048576,IF(OR($B704="STD. DEVIATION",$C$1=1),$A704,$A704+1),COLUMN('1-DATA'!J702)),IF($B704="STD. DEVIATION",2,$F$1))))</f>
        <v/>
      </c>
      <c r="L704" s="1" t="str">
        <f>IF(OR($B704="",L$7=""),"",IF($B704="MEANS",INDEX('1-DATA'!$1:$1048576,$A703-1,COLUMN('1-DATA'!K702)),ROUND(INDEX('1-DATA'!$1:$1048576,IF(OR($B704="STD. DEVIATION",$C$1=1),$A704,$A704+1),COLUMN('1-DATA'!K702)),IF($B704="STD. DEVIATION",2,$F$1))))</f>
        <v/>
      </c>
      <c r="M704" s="1" t="str">
        <f>IF(OR($B704="",M$7=""),"",IF($B704="MEANS",INDEX('1-DATA'!$1:$1048576,$A703-1,COLUMN('1-DATA'!L702)),ROUND(INDEX('1-DATA'!$1:$1048576,IF(OR($B704="STD. DEVIATION",$C$1=1),$A704,$A704+1),COLUMN('1-DATA'!L702)),IF($B704="STD. DEVIATION",2,$F$1))))</f>
        <v/>
      </c>
      <c r="N704" s="1" t="str">
        <f>IF(OR($B704="",N$7=""),"",IF($B704="MEANS",INDEX('1-DATA'!$1:$1048576,$A703-1,COLUMN('1-DATA'!M702)),ROUND(INDEX('1-DATA'!$1:$1048576,IF(OR($B704="STD. DEVIATION",$C$1=1),$A704,$A704+1),COLUMN('1-DATA'!M702)),IF($B704="STD. DEVIATION",2,$F$1))))</f>
        <v/>
      </c>
      <c r="O704" s="1" t="str">
        <f>IF(OR($B704="",O$7=""),"",IF($B704="MEANS",INDEX('1-DATA'!$1:$1048576,$A703-1,COLUMN('1-DATA'!N702)),ROUND(INDEX('1-DATA'!$1:$1048576,IF(OR($B704="STD. DEVIATION",$C$1=1),$A704,$A704+1),COLUMN('1-DATA'!N702)),IF($B704="STD. DEVIATION",2,$F$1))))</f>
        <v/>
      </c>
      <c r="P704" s="1" t="str">
        <f>IF(OR($B704="",P$7=""),"",IF($B704="MEANS",INDEX('1-DATA'!$1:$1048576,$A703-1,COLUMN('1-DATA'!O702)),ROUND(INDEX('1-DATA'!$1:$1048576,IF(OR($B704="STD. DEVIATION",$C$1=1),$A704,$A704+1),COLUMN('1-DATA'!O702)),IF($B704="STD. DEVIATION",2,$F$1))))</f>
        <v/>
      </c>
      <c r="Q704" s="1" t="str">
        <f>IF(OR($B704="",Q$7=""),"",IF($B704="MEANS",INDEX('1-DATA'!$1:$1048576,$A703-1,COLUMN('1-DATA'!P702)),ROUND(INDEX('1-DATA'!$1:$1048576,IF(OR($B704="STD. DEVIATION",$C$1=1),$A704,$A704+1),COLUMN('1-DATA'!P702)),IF($B704="STD. DEVIATION",2,$F$1))))</f>
        <v/>
      </c>
      <c r="R704" s="1" t="str">
        <f>IF(OR($B704="",R$7=""),"",IF($B704="MEANS",INDEX('1-DATA'!$1:$1048576,$A703-1,COLUMN('1-DATA'!Q702)),ROUND(INDEX('1-DATA'!$1:$1048576,IF(OR($B704="STD. DEVIATION",$C$1=1),$A704,$A704+1),COLUMN('1-DATA'!Q702)),IF($B704="STD. DEVIATION",2,$F$1))))</f>
        <v/>
      </c>
      <c r="S704" s="1" t="str">
        <f>IF(OR($B704="",S$7=""),"",IF($B704="MEANS",INDEX('1-DATA'!$1:$1048576,$A703-1,COLUMN('1-DATA'!R702)),ROUND(INDEX('1-DATA'!$1:$1048576,IF(OR($B704="STD. DEVIATION",$C$1=1),$A704,$A704+1),COLUMN('1-DATA'!R702)),IF($B704="STD. DEVIATION",2,$F$1))))</f>
        <v/>
      </c>
      <c r="T704" s="1" t="str">
        <f>IF(OR($B704="",T$7=""),"",IF($B704="MEANS",INDEX('1-DATA'!$1:$1048576,$A703-1,COLUMN('1-DATA'!S702)),ROUND(INDEX('1-DATA'!$1:$1048576,IF(OR($B704="STD. DEVIATION",$C$1=1),$A704,$A704+1),COLUMN('1-DATA'!S702)),IF($B704="STD. DEVIATION",2,$F$1))))</f>
        <v/>
      </c>
      <c r="U704" s="1" t="str">
        <f>IF(OR($B704="",U$7=""),"",IF($B704="MEANS",INDEX('1-DATA'!$1:$1048576,$A703-1,COLUMN('1-DATA'!T702)),ROUND(INDEX('1-DATA'!$1:$1048576,IF(OR($B704="STD. DEVIATION",$C$1=1),$A704,$A704+1),COLUMN('1-DATA'!T702)),IF($B704="STD. DEVIATION",2,$F$1))))</f>
        <v/>
      </c>
      <c r="V704" s="1" t="str">
        <f>IF(OR($B704="",V$7=""),"",IF($B704="MEANS",INDEX('1-DATA'!$1:$1048576,$A703-1,COLUMN('1-DATA'!U702)),ROUND(INDEX('1-DATA'!$1:$1048576,IF(OR($B704="STD. DEVIATION",$C$1=1),$A704,$A704+1),COLUMN('1-DATA'!U702)),IF($B704="STD. DEVIATION",2,$F$1))))</f>
        <v/>
      </c>
      <c r="W704" s="1" t="str">
        <f>IF(OR($B704="",W$7=""),"",IF($B704="MEANS",INDEX('1-DATA'!$1:$1048576,$A703-1,COLUMN('1-DATA'!V702)),ROUND(INDEX('1-DATA'!$1:$1048576,IF(OR($B704="STD. DEVIATION",$C$1=1),$A704,$A704+1),COLUMN('1-DATA'!V702)),IF($B704="STD. DEVIATION",2,$F$1))))</f>
        <v/>
      </c>
      <c r="X704" s="1" t="str">
        <f>IF(OR($B704="",X$7=""),"",IF($B704="MEANS",INDEX('1-DATA'!$1:$1048576,$A703-1,COLUMN('1-DATA'!W702)),ROUND(INDEX('1-DATA'!$1:$1048576,IF(OR($B704="STD. DEVIATION",$C$1=1),$A704,$A704+1),COLUMN('1-DATA'!W702)),IF($B704="STD. DEVIATION",2,$F$1))))</f>
        <v/>
      </c>
      <c r="Y704" s="1" t="str">
        <f>IF(OR($B704="",Y$7=""),"",IF($B704="MEANS",INDEX('1-DATA'!$1:$1048576,$A703-1,COLUMN('1-DATA'!X702)),ROUND(INDEX('1-DATA'!$1:$1048576,IF(OR($B704="STD. DEVIATION",$C$1=1),$A704,$A704+1),COLUMN('1-DATA'!X702)),IF($B704="STD. DEVIATION",2,$F$1))))</f>
        <v/>
      </c>
      <c r="Z704" s="1" t="str">
        <f>IF(OR($B704="",Z$7=""),"",IF($B704="MEANS",INDEX('1-DATA'!$1:$1048576,$A703-1,COLUMN('1-DATA'!Y702)),ROUND(INDEX('1-DATA'!$1:$1048576,IF(OR($B704="STD. DEVIATION",$C$1=1),$A704,$A704+1),COLUMN('1-DATA'!Y702)),IF($B704="STD. DEVIATION",2,$F$1))))</f>
        <v/>
      </c>
      <c r="AA704" s="1" t="str">
        <f>IF(OR($B704="",AA$7=""),"",IF($B704="MEANS",INDEX('1-DATA'!$1:$1048576,$A703-1,COLUMN('1-DATA'!Z702)),ROUND(INDEX('1-DATA'!$1:$1048576,IF(OR($B704="STD. DEVIATION",$C$1=1),$A704,$A704+1),COLUMN('1-DATA'!Z702)),IF($B704="STD. DEVIATION",2,$F$1))))</f>
        <v/>
      </c>
      <c r="AB704" s="1" t="str">
        <f>IF(OR($B704="",AB$7=""),"",IF($B704="MEANS",INDEX('1-DATA'!$1:$1048576,$A703-1,COLUMN('1-DATA'!AA702)),ROUND(INDEX('1-DATA'!$1:$1048576,IF(OR($B704="STD. DEVIATION",$C$1=1),$A704,$A704+1),COLUMN('1-DATA'!AA702)),IF($B704="STD. DEVIATION",2,$F$1))))</f>
        <v/>
      </c>
      <c r="AC704" s="1" t="str">
        <f>IF(OR($B704="",AC$7=""),"",IF($B704="MEANS",INDEX('1-DATA'!$1:$1048576,$A703-1,COLUMN('1-DATA'!AB702)),ROUND(INDEX('1-DATA'!$1:$1048576,IF(OR($B704="STD. DEVIATION",$C$1=1),$A704,$A704+1),COLUMN('1-DATA'!AB702)),IF($B704="STD. DEVIATION",2,$F$1))))</f>
        <v/>
      </c>
      <c r="AD704" s="1" t="str">
        <f>IF(OR($B704="",AD$7=""),"",IF($B704="MEANS",INDEX('1-DATA'!$1:$1048576,$A703-1,COLUMN('1-DATA'!AC702)),ROUND(INDEX('1-DATA'!$1:$1048576,IF(OR($B704="STD. DEVIATION",$C$1=1),$A704,$A704+1),COLUMN('1-DATA'!AC702)),IF($B704="STD. DEVIATION",2,$F$1))))</f>
        <v/>
      </c>
      <c r="AE704" s="1" t="str">
        <f>IF(OR($B704="",AE$7=""),"",IF($B704="MEANS",INDEX('1-DATA'!$1:$1048576,$A703-1,COLUMN('1-DATA'!AD702)),ROUND(INDEX('1-DATA'!$1:$1048576,IF(OR($B704="STD. DEVIATION",$C$1=1),$A704,$A704+1),COLUMN('1-DATA'!AD702)),IF($B704="STD. DEVIATION",2,$F$1))))</f>
        <v/>
      </c>
      <c r="AF704" s="1" t="str">
        <f>IF(OR($B704="",AF$7=""),"",IF($B704="MEANS",INDEX('1-DATA'!$1:$1048576,$A703-1,COLUMN('1-DATA'!AE702)),ROUND(INDEX('1-DATA'!$1:$1048576,IF(OR($B704="STD. DEVIATION",$C$1=1),$A704,$A704+1),COLUMN('1-DATA'!AE702)),IF($B704="STD. DEVIATION",2,$F$1))))</f>
        <v/>
      </c>
      <c r="AG704" s="1" t="str">
        <f>IF(OR($B704="",AG$7=""),"",IF($B704="MEANS",INDEX('1-DATA'!$1:$1048576,$A703-1,COLUMN('1-DATA'!AF702)),ROUND(INDEX('1-DATA'!$1:$1048576,IF(OR($B704="STD. DEVIATION",$C$1=1),$A704,$A704+1),COLUMN('1-DATA'!AF702)),IF($B704="STD. DEVIATION",2,$F$1))))</f>
        <v/>
      </c>
      <c r="AH704" s="1" t="str">
        <f>IF(OR($B704="",AH$7=""),"",IF($B704="MEANS",INDEX('1-DATA'!$1:$1048576,$A703-1,COLUMN('1-DATA'!AG702)),ROUND(INDEX('1-DATA'!$1:$1048576,IF(OR($B704="STD. DEVIATION",$C$1=1),$A704,$A704+1),COLUMN('1-DATA'!AG702)),IF($B704="STD. DEVIATION",2,$F$1))))</f>
        <v/>
      </c>
      <c r="AI704" s="1" t="str">
        <f>IF(OR($B704="",AI$7=""),"",IF($B704="MEANS",INDEX('1-DATA'!$1:$1048576,$A703-1,COLUMN('1-DATA'!AH702)),ROUND(INDEX('1-DATA'!$1:$1048576,IF(OR($B704="STD. DEVIATION",$C$1=1),$A704,$A704+1),COLUMN('1-DATA'!AH702)),IF($B704="STD. DEVIATION",2,$F$1))))</f>
        <v/>
      </c>
      <c r="AJ704" s="1" t="str">
        <f>IF(OR($B704="",AJ$7=""),"",IF($B704="MEANS",INDEX('1-DATA'!$1:$1048576,$A703-1,COLUMN('1-DATA'!AI702)),ROUND(INDEX('1-DATA'!$1:$1048576,IF(OR($B704="STD. DEVIATION",$C$1=1),$A704,$A704+1),COLUMN('1-DATA'!AI702)),IF($B704="STD. DEVIATION",2,$F$1))))</f>
        <v/>
      </c>
      <c r="AK704" s="1" t="str">
        <f>IF(OR($B704="",AK$7=""),"",IF($B704="MEANS",INDEX('1-DATA'!$1:$1048576,$A703-1,COLUMN('1-DATA'!AJ702)),ROUND(INDEX('1-DATA'!$1:$1048576,IF(OR($B704="STD. DEVIATION",$C$1=1),$A704,$A704+1),COLUMN('1-DATA'!AJ702)),IF($B704="STD. DEVIATION",2,$F$1))))</f>
        <v/>
      </c>
      <c r="AL704" s="1" t="str">
        <f>IF(OR($B704="",AL$7=""),"",IF($B704="MEANS",INDEX('1-DATA'!$1:$1048576,$A703-1,COLUMN('1-DATA'!AK702)),ROUND(INDEX('1-DATA'!$1:$1048576,IF(OR($B704="STD. DEVIATION",$C$1=1),$A704,$A704+1),COLUMN('1-DATA'!AK702)),IF($B704="STD. DEVIATION",2,$F$1))))</f>
        <v/>
      </c>
      <c r="AM704" s="1" t="str">
        <f>IF(OR($B704="",AM$7=""),"",IF($B704="MEANS",INDEX('1-DATA'!$1:$1048576,$A703-1,COLUMN('1-DATA'!AL702)),ROUND(INDEX('1-DATA'!$1:$1048576,IF(OR($B704="STD. DEVIATION",$C$1=1),$A704,$A704+1),COLUMN('1-DATA'!AL702)),IF($B704="STD. DEVIATION",2,$F$1))))</f>
        <v/>
      </c>
      <c r="AN704" s="1" t="str">
        <f>IF(OR($B704="",AN$7=""),"",IF($B704="MEANS",INDEX('1-DATA'!$1:$1048576,$A703-1,COLUMN('1-DATA'!AM702)),ROUND(INDEX('1-DATA'!$1:$1048576,IF(OR($B704="STD. DEVIATION",$C$1=1),$A704,$A704+1),COLUMN('1-DATA'!AM702)),IF($B704="STD. DEVIATION",2,$F$1))))</f>
        <v/>
      </c>
      <c r="AO704" s="1" t="str">
        <f>IF(OR($B704="",AO$7=""),"",IF($B704="MEANS",INDEX('1-DATA'!$1:$1048576,$A703-1,COLUMN('1-DATA'!AN702)),ROUND(INDEX('1-DATA'!$1:$1048576,IF(OR($B704="STD. DEVIATION",$C$1=1),$A704,$A704+1),COLUMN('1-DATA'!AN702)),IF($B704="STD. DEVIATION",2,$F$1))))</f>
        <v/>
      </c>
      <c r="AP704" s="1" t="str">
        <f>IF(OR($B704="",AP$7=""),"",IF($B704="MEANS",INDEX('1-DATA'!$1:$1048576,$A703-1,COLUMN('1-DATA'!AO702)),ROUND(INDEX('1-DATA'!$1:$1048576,IF(OR($B704="STD. DEVIATION",$C$1=1),$A704,$A704+1),COLUMN('1-DATA'!AO702)),IF($B704="STD. DEVIATION",2,$F$1))))</f>
        <v/>
      </c>
      <c r="AQ704" s="1" t="str">
        <f>IF(OR($B704="",AQ$7=""),"",IF($B704="MEANS",INDEX('1-DATA'!$1:$1048576,$A703-1,COLUMN('1-DATA'!AP702)),ROUND(INDEX('1-DATA'!$1:$1048576,IF(OR($B704="STD. DEVIATION",$C$1=1),$A704,$A704+1),COLUMN('1-DATA'!AP702)),IF($B704="STD. DEVIATION",2,$F$1))))</f>
        <v/>
      </c>
      <c r="AR704" s="1" t="str">
        <f>IF(OR($B704="",AR$7=""),"",IF($B704="MEANS",INDEX('1-DATA'!$1:$1048576,$A703-1,COLUMN('1-DATA'!AQ702)),ROUND(INDEX('1-DATA'!$1:$1048576,IF(OR($B704="STD. DEVIATION",$C$1=1),$A704,$A704+1),COLUMN('1-DATA'!AQ702)),IF($B704="STD. DEVIATION",2,$F$1))))</f>
        <v/>
      </c>
      <c r="AS704" s="1" t="str">
        <f>IF(OR($B704="",AS$7=""),"",IF($B704="MEANS",INDEX('1-DATA'!$1:$1048576,$A703-1,COLUMN('1-DATA'!AR702)),ROUND(INDEX('1-DATA'!$1:$1048576,IF(OR($B704="STD. DEVIATION",$C$1=1),$A704,$A704+1),COLUMN('1-DATA'!AR702)),IF($B704="STD. DEVIATION",2,$F$1))))</f>
        <v/>
      </c>
      <c r="AT704" s="1" t="str">
        <f>IF(OR($B704="",AT$7=""),"",IF($B704="MEANS",INDEX('1-DATA'!$1:$1048576,$A703-1,COLUMN('1-DATA'!AS702)),ROUND(INDEX('1-DATA'!$1:$1048576,IF(OR($B704="STD. DEVIATION",$C$1=1),$A704,$A704+1),COLUMN('1-DATA'!AS702)),IF($B704="STD. DEVIATION",2,$F$1))))</f>
        <v/>
      </c>
      <c r="AU704" s="1" t="str">
        <f>IF(OR($B704="",AU$7=""),"",IF($B704="MEANS",INDEX('1-DATA'!$1:$1048576,$A703-1,COLUMN('1-DATA'!AT702)),ROUND(INDEX('1-DATA'!$1:$1048576,IF(OR($B704="STD. DEVIATION",$C$1=1),$A704,$A704+1),COLUMN('1-DATA'!AT702)),IF($B704="STD. DEVIATION",2,$F$1))))</f>
        <v/>
      </c>
      <c r="AV704" s="1" t="str">
        <f>IF(OR($B704="",AV$7=""),"",IF($B704="MEANS",INDEX('1-DATA'!$1:$1048576,$A703-1,COLUMN('1-DATA'!AU702)),ROUND(INDEX('1-DATA'!$1:$1048576,IF(OR($B704="STD. DEVIATION",$C$1=1),$A704,$A704+1),COLUMN('1-DATA'!AU702)),IF($B704="STD. DEVIATION",2,$F$1))))</f>
        <v/>
      </c>
      <c r="AW704" s="1" t="str">
        <f>IF(OR($B704="",AW$7=""),"",IF($B704="MEANS",INDEX('1-DATA'!$1:$1048576,$A703-1,COLUMN('1-DATA'!AV702)),ROUND(INDEX('1-DATA'!$1:$1048576,IF(OR($B704="STD. DEVIATION",$C$1=1),$A704,$A704+1),COLUMN('1-DATA'!AV702)),IF($B704="STD. DEVIATION",2,$F$1))))</f>
        <v/>
      </c>
      <c r="AX704" s="1" t="str">
        <f>IF(OR($B704="",AX$7=""),"",IF($B704="MEANS",INDEX('1-DATA'!$1:$1048576,$A703-1,COLUMN('1-DATA'!AW702)),ROUND(INDEX('1-DATA'!$1:$1048576,IF(OR($B704="STD. DEVIATION",$C$1=1),$A704,$A704+1),COLUMN('1-DATA'!AW702)),IF($B704="STD. DEVIATION",2,$F$1))))</f>
        <v/>
      </c>
      <c r="AY704" s="1" t="str">
        <f>IF(OR($B704="",AY$7=""),"",IF($B704="MEANS",INDEX('1-DATA'!$1:$1048576,$A703-1,COLUMN('1-DATA'!AX702)),ROUND(INDEX('1-DATA'!$1:$1048576,IF(OR($B704="STD. DEVIATION",$C$1=1),$A704,$A704+1),COLUMN('1-DATA'!AX702)),IF($B704="STD. DEVIATION",2,$F$1))))</f>
        <v/>
      </c>
      <c r="AZ704" s="1" t="str">
        <f>IF(OR($B704="",AZ$7=""),"",IF($B704="MEANS",INDEX('1-DATA'!$1:$1048576,$A703-1,COLUMN('1-DATA'!AY702)),ROUND(INDEX('1-DATA'!$1:$1048576,IF(OR($B704="STD. DEVIATION",$C$1=1),$A704,$A704+1),COLUMN('1-DATA'!AY702)),IF($B704="STD. DEVIATION",2,$F$1))))</f>
        <v/>
      </c>
    </row>
    <row r="705" spans="1:52" x14ac:dyDescent="0.25">
      <c r="A705" s="11">
        <f t="shared" si="11"/>
        <v>2101</v>
      </c>
      <c r="B705" s="1" t="str">
        <f>IF(B704="STD. DEVIATION",INDEX('1-DATA'!$1:$1048576,$A704-1,1),IF(INDEX('1-DATA'!$1:$1048576,$A705,1)&lt;&gt;"",INDEX('1-DATA'!$1:$1048576,$A705,1),""))</f>
        <v/>
      </c>
      <c r="C705" s="1" t="str">
        <f>IF(OR($B705="",C$7=""),"",IF($B705="MEANS",INDEX('1-DATA'!$1:$1048576,$A704-1,COLUMN('1-DATA'!B703)),ROUND(INDEX('1-DATA'!$1:$1048576,IF(OR($B705="STD. DEVIATION",$C$1=1),$A705,$A705+1),COLUMN('1-DATA'!B703)),IF($B705="STD. DEVIATION",2,$F$1))))</f>
        <v/>
      </c>
      <c r="D705" s="1" t="str">
        <f>IF(OR($B705="",D$7=""),"",IF($B705="MEANS",INDEX('1-DATA'!$1:$1048576,$A704-1,COLUMN('1-DATA'!C703)),ROUND(INDEX('1-DATA'!$1:$1048576,IF(OR($B705="STD. DEVIATION",$C$1=1),$A705,$A705+1),COLUMN('1-DATA'!C703)),IF($B705="STD. DEVIATION",2,$F$1))))</f>
        <v/>
      </c>
      <c r="E705" s="1" t="str">
        <f>IF(OR($B705="",E$7=""),"",IF($B705="MEANS",INDEX('1-DATA'!$1:$1048576,$A704-1,COLUMN('1-DATA'!D703)),ROUND(INDEX('1-DATA'!$1:$1048576,IF(OR($B705="STD. DEVIATION",$C$1=1),$A705,$A705+1),COLUMN('1-DATA'!D703)),IF($B705="STD. DEVIATION",2,$F$1))))</f>
        <v/>
      </c>
      <c r="F705" s="1" t="str">
        <f>IF(OR($B705="",F$7=""),"",IF($B705="MEANS",INDEX('1-DATA'!$1:$1048576,$A704-1,COLUMN('1-DATA'!E703)),ROUND(INDEX('1-DATA'!$1:$1048576,IF(OR($B705="STD. DEVIATION",$C$1=1),$A705,$A705+1),COLUMN('1-DATA'!E703)),IF($B705="STD. DEVIATION",2,$F$1))))</f>
        <v/>
      </c>
      <c r="G705" s="1" t="str">
        <f>IF(OR($B705="",G$7=""),"",IF($B705="MEANS",INDEX('1-DATA'!$1:$1048576,$A704-1,COLUMN('1-DATA'!F703)),ROUND(INDEX('1-DATA'!$1:$1048576,IF(OR($B705="STD. DEVIATION",$C$1=1),$A705,$A705+1),COLUMN('1-DATA'!F703)),IF($B705="STD. DEVIATION",2,$F$1))))</f>
        <v/>
      </c>
      <c r="H705" s="1" t="str">
        <f>IF(OR($B705="",H$7=""),"",IF($B705="MEANS",INDEX('1-DATA'!$1:$1048576,$A704-1,COLUMN('1-DATA'!G703)),ROUND(INDEX('1-DATA'!$1:$1048576,IF(OR($B705="STD. DEVIATION",$C$1=1),$A705,$A705+1),COLUMN('1-DATA'!G703)),IF($B705="STD. DEVIATION",2,$F$1))))</f>
        <v/>
      </c>
      <c r="I705" s="1" t="str">
        <f>IF(OR($B705="",I$7=""),"",IF($B705="MEANS",INDEX('1-DATA'!$1:$1048576,$A704-1,COLUMN('1-DATA'!H703)),ROUND(INDEX('1-DATA'!$1:$1048576,IF(OR($B705="STD. DEVIATION",$C$1=1),$A705,$A705+1),COLUMN('1-DATA'!H703)),IF($B705="STD. DEVIATION",2,$F$1))))</f>
        <v/>
      </c>
      <c r="J705" s="1" t="str">
        <f>IF(OR($B705="",J$7=""),"",IF($B705="MEANS",INDEX('1-DATA'!$1:$1048576,$A704-1,COLUMN('1-DATA'!I703)),ROUND(INDEX('1-DATA'!$1:$1048576,IF(OR($B705="STD. DEVIATION",$C$1=1),$A705,$A705+1),COLUMN('1-DATA'!I703)),IF($B705="STD. DEVIATION",2,$F$1))))</f>
        <v/>
      </c>
      <c r="K705" s="1" t="str">
        <f>IF(OR($B705="",K$7=""),"",IF($B705="MEANS",INDEX('1-DATA'!$1:$1048576,$A704-1,COLUMN('1-DATA'!J703)),ROUND(INDEX('1-DATA'!$1:$1048576,IF(OR($B705="STD. DEVIATION",$C$1=1),$A705,$A705+1),COLUMN('1-DATA'!J703)),IF($B705="STD. DEVIATION",2,$F$1))))</f>
        <v/>
      </c>
      <c r="L705" s="1" t="str">
        <f>IF(OR($B705="",L$7=""),"",IF($B705="MEANS",INDEX('1-DATA'!$1:$1048576,$A704-1,COLUMN('1-DATA'!K703)),ROUND(INDEX('1-DATA'!$1:$1048576,IF(OR($B705="STD. DEVIATION",$C$1=1),$A705,$A705+1),COLUMN('1-DATA'!K703)),IF($B705="STD. DEVIATION",2,$F$1))))</f>
        <v/>
      </c>
      <c r="M705" s="1" t="str">
        <f>IF(OR($B705="",M$7=""),"",IF($B705="MEANS",INDEX('1-DATA'!$1:$1048576,$A704-1,COLUMN('1-DATA'!L703)),ROUND(INDEX('1-DATA'!$1:$1048576,IF(OR($B705="STD. DEVIATION",$C$1=1),$A705,$A705+1),COLUMN('1-DATA'!L703)),IF($B705="STD. DEVIATION",2,$F$1))))</f>
        <v/>
      </c>
      <c r="N705" s="1" t="str">
        <f>IF(OR($B705="",N$7=""),"",IF($B705="MEANS",INDEX('1-DATA'!$1:$1048576,$A704-1,COLUMN('1-DATA'!M703)),ROUND(INDEX('1-DATA'!$1:$1048576,IF(OR($B705="STD. DEVIATION",$C$1=1),$A705,$A705+1),COLUMN('1-DATA'!M703)),IF($B705="STD. DEVIATION",2,$F$1))))</f>
        <v/>
      </c>
      <c r="O705" s="1" t="str">
        <f>IF(OR($B705="",O$7=""),"",IF($B705="MEANS",INDEX('1-DATA'!$1:$1048576,$A704-1,COLUMN('1-DATA'!N703)),ROUND(INDEX('1-DATA'!$1:$1048576,IF(OR($B705="STD. DEVIATION",$C$1=1),$A705,$A705+1),COLUMN('1-DATA'!N703)),IF($B705="STD. DEVIATION",2,$F$1))))</f>
        <v/>
      </c>
      <c r="P705" s="1" t="str">
        <f>IF(OR($B705="",P$7=""),"",IF($B705="MEANS",INDEX('1-DATA'!$1:$1048576,$A704-1,COLUMN('1-DATA'!O703)),ROUND(INDEX('1-DATA'!$1:$1048576,IF(OR($B705="STD. DEVIATION",$C$1=1),$A705,$A705+1),COLUMN('1-DATA'!O703)),IF($B705="STD. DEVIATION",2,$F$1))))</f>
        <v/>
      </c>
      <c r="Q705" s="1" t="str">
        <f>IF(OR($B705="",Q$7=""),"",IF($B705="MEANS",INDEX('1-DATA'!$1:$1048576,$A704-1,COLUMN('1-DATA'!P703)),ROUND(INDEX('1-DATA'!$1:$1048576,IF(OR($B705="STD. DEVIATION",$C$1=1),$A705,$A705+1),COLUMN('1-DATA'!P703)),IF($B705="STD. DEVIATION",2,$F$1))))</f>
        <v/>
      </c>
      <c r="R705" s="1" t="str">
        <f>IF(OR($B705="",R$7=""),"",IF($B705="MEANS",INDEX('1-DATA'!$1:$1048576,$A704-1,COLUMN('1-DATA'!Q703)),ROUND(INDEX('1-DATA'!$1:$1048576,IF(OR($B705="STD. DEVIATION",$C$1=1),$A705,$A705+1),COLUMN('1-DATA'!Q703)),IF($B705="STD. DEVIATION",2,$F$1))))</f>
        <v/>
      </c>
      <c r="S705" s="1" t="str">
        <f>IF(OR($B705="",S$7=""),"",IF($B705="MEANS",INDEX('1-DATA'!$1:$1048576,$A704-1,COLUMN('1-DATA'!R703)),ROUND(INDEX('1-DATA'!$1:$1048576,IF(OR($B705="STD. DEVIATION",$C$1=1),$A705,$A705+1),COLUMN('1-DATA'!R703)),IF($B705="STD. DEVIATION",2,$F$1))))</f>
        <v/>
      </c>
      <c r="T705" s="1" t="str">
        <f>IF(OR($B705="",T$7=""),"",IF($B705="MEANS",INDEX('1-DATA'!$1:$1048576,$A704-1,COLUMN('1-DATA'!S703)),ROUND(INDEX('1-DATA'!$1:$1048576,IF(OR($B705="STD. DEVIATION",$C$1=1),$A705,$A705+1),COLUMN('1-DATA'!S703)),IF($B705="STD. DEVIATION",2,$F$1))))</f>
        <v/>
      </c>
      <c r="U705" s="1" t="str">
        <f>IF(OR($B705="",U$7=""),"",IF($B705="MEANS",INDEX('1-DATA'!$1:$1048576,$A704-1,COLUMN('1-DATA'!T703)),ROUND(INDEX('1-DATA'!$1:$1048576,IF(OR($B705="STD. DEVIATION",$C$1=1),$A705,$A705+1),COLUMN('1-DATA'!T703)),IF($B705="STD. DEVIATION",2,$F$1))))</f>
        <v/>
      </c>
      <c r="V705" s="1" t="str">
        <f>IF(OR($B705="",V$7=""),"",IF($B705="MEANS",INDEX('1-DATA'!$1:$1048576,$A704-1,COLUMN('1-DATA'!U703)),ROUND(INDEX('1-DATA'!$1:$1048576,IF(OR($B705="STD. DEVIATION",$C$1=1),$A705,$A705+1),COLUMN('1-DATA'!U703)),IF($B705="STD. DEVIATION",2,$F$1))))</f>
        <v/>
      </c>
      <c r="W705" s="1" t="str">
        <f>IF(OR($B705="",W$7=""),"",IF($B705="MEANS",INDEX('1-DATA'!$1:$1048576,$A704-1,COLUMN('1-DATA'!V703)),ROUND(INDEX('1-DATA'!$1:$1048576,IF(OR($B705="STD. DEVIATION",$C$1=1),$A705,$A705+1),COLUMN('1-DATA'!V703)),IF($B705="STD. DEVIATION",2,$F$1))))</f>
        <v/>
      </c>
      <c r="X705" s="1" t="str">
        <f>IF(OR($B705="",X$7=""),"",IF($B705="MEANS",INDEX('1-DATA'!$1:$1048576,$A704-1,COLUMN('1-DATA'!W703)),ROUND(INDEX('1-DATA'!$1:$1048576,IF(OR($B705="STD. DEVIATION",$C$1=1),$A705,$A705+1),COLUMN('1-DATA'!W703)),IF($B705="STD. DEVIATION",2,$F$1))))</f>
        <v/>
      </c>
      <c r="Y705" s="1" t="str">
        <f>IF(OR($B705="",Y$7=""),"",IF($B705="MEANS",INDEX('1-DATA'!$1:$1048576,$A704-1,COLUMN('1-DATA'!X703)),ROUND(INDEX('1-DATA'!$1:$1048576,IF(OR($B705="STD. DEVIATION",$C$1=1),$A705,$A705+1),COLUMN('1-DATA'!X703)),IF($B705="STD. DEVIATION",2,$F$1))))</f>
        <v/>
      </c>
      <c r="Z705" s="1" t="str">
        <f>IF(OR($B705="",Z$7=""),"",IF($B705="MEANS",INDEX('1-DATA'!$1:$1048576,$A704-1,COLUMN('1-DATA'!Y703)),ROUND(INDEX('1-DATA'!$1:$1048576,IF(OR($B705="STD. DEVIATION",$C$1=1),$A705,$A705+1),COLUMN('1-DATA'!Y703)),IF($B705="STD. DEVIATION",2,$F$1))))</f>
        <v/>
      </c>
      <c r="AA705" s="1" t="str">
        <f>IF(OR($B705="",AA$7=""),"",IF($B705="MEANS",INDEX('1-DATA'!$1:$1048576,$A704-1,COLUMN('1-DATA'!Z703)),ROUND(INDEX('1-DATA'!$1:$1048576,IF(OR($B705="STD. DEVIATION",$C$1=1),$A705,$A705+1),COLUMN('1-DATA'!Z703)),IF($B705="STD. DEVIATION",2,$F$1))))</f>
        <v/>
      </c>
      <c r="AB705" s="1" t="str">
        <f>IF(OR($B705="",AB$7=""),"",IF($B705="MEANS",INDEX('1-DATA'!$1:$1048576,$A704-1,COLUMN('1-DATA'!AA703)),ROUND(INDEX('1-DATA'!$1:$1048576,IF(OR($B705="STD. DEVIATION",$C$1=1),$A705,$A705+1),COLUMN('1-DATA'!AA703)),IF($B705="STD. DEVIATION",2,$F$1))))</f>
        <v/>
      </c>
      <c r="AC705" s="1" t="str">
        <f>IF(OR($B705="",AC$7=""),"",IF($B705="MEANS",INDEX('1-DATA'!$1:$1048576,$A704-1,COLUMN('1-DATA'!AB703)),ROUND(INDEX('1-DATA'!$1:$1048576,IF(OR($B705="STD. DEVIATION",$C$1=1),$A705,$A705+1),COLUMN('1-DATA'!AB703)),IF($B705="STD. DEVIATION",2,$F$1))))</f>
        <v/>
      </c>
      <c r="AD705" s="1" t="str">
        <f>IF(OR($B705="",AD$7=""),"",IF($B705="MEANS",INDEX('1-DATA'!$1:$1048576,$A704-1,COLUMN('1-DATA'!AC703)),ROUND(INDEX('1-DATA'!$1:$1048576,IF(OR($B705="STD. DEVIATION",$C$1=1),$A705,$A705+1),COLUMN('1-DATA'!AC703)),IF($B705="STD. DEVIATION",2,$F$1))))</f>
        <v/>
      </c>
      <c r="AE705" s="1" t="str">
        <f>IF(OR($B705="",AE$7=""),"",IF($B705="MEANS",INDEX('1-DATA'!$1:$1048576,$A704-1,COLUMN('1-DATA'!AD703)),ROUND(INDEX('1-DATA'!$1:$1048576,IF(OR($B705="STD. DEVIATION",$C$1=1),$A705,$A705+1),COLUMN('1-DATA'!AD703)),IF($B705="STD. DEVIATION",2,$F$1))))</f>
        <v/>
      </c>
      <c r="AF705" s="1" t="str">
        <f>IF(OR($B705="",AF$7=""),"",IF($B705="MEANS",INDEX('1-DATA'!$1:$1048576,$A704-1,COLUMN('1-DATA'!AE703)),ROUND(INDEX('1-DATA'!$1:$1048576,IF(OR($B705="STD. DEVIATION",$C$1=1),$A705,$A705+1),COLUMN('1-DATA'!AE703)),IF($B705="STD. DEVIATION",2,$F$1))))</f>
        <v/>
      </c>
      <c r="AG705" s="1" t="str">
        <f>IF(OR($B705="",AG$7=""),"",IF($B705="MEANS",INDEX('1-DATA'!$1:$1048576,$A704-1,COLUMN('1-DATA'!AF703)),ROUND(INDEX('1-DATA'!$1:$1048576,IF(OR($B705="STD. DEVIATION",$C$1=1),$A705,$A705+1),COLUMN('1-DATA'!AF703)),IF($B705="STD. DEVIATION",2,$F$1))))</f>
        <v/>
      </c>
      <c r="AH705" s="1" t="str">
        <f>IF(OR($B705="",AH$7=""),"",IF($B705="MEANS",INDEX('1-DATA'!$1:$1048576,$A704-1,COLUMN('1-DATA'!AG703)),ROUND(INDEX('1-DATA'!$1:$1048576,IF(OR($B705="STD. DEVIATION",$C$1=1),$A705,$A705+1),COLUMN('1-DATA'!AG703)),IF($B705="STD. DEVIATION",2,$F$1))))</f>
        <v/>
      </c>
      <c r="AI705" s="1" t="str">
        <f>IF(OR($B705="",AI$7=""),"",IF($B705="MEANS",INDEX('1-DATA'!$1:$1048576,$A704-1,COLUMN('1-DATA'!AH703)),ROUND(INDEX('1-DATA'!$1:$1048576,IF(OR($B705="STD. DEVIATION",$C$1=1),$A705,$A705+1),COLUMN('1-DATA'!AH703)),IF($B705="STD. DEVIATION",2,$F$1))))</f>
        <v/>
      </c>
      <c r="AJ705" s="1" t="str">
        <f>IF(OR($B705="",AJ$7=""),"",IF($B705="MEANS",INDEX('1-DATA'!$1:$1048576,$A704-1,COLUMN('1-DATA'!AI703)),ROUND(INDEX('1-DATA'!$1:$1048576,IF(OR($B705="STD. DEVIATION",$C$1=1),$A705,$A705+1),COLUMN('1-DATA'!AI703)),IF($B705="STD. DEVIATION",2,$F$1))))</f>
        <v/>
      </c>
      <c r="AK705" s="1" t="str">
        <f>IF(OR($B705="",AK$7=""),"",IF($B705="MEANS",INDEX('1-DATA'!$1:$1048576,$A704-1,COLUMN('1-DATA'!AJ703)),ROUND(INDEX('1-DATA'!$1:$1048576,IF(OR($B705="STD. DEVIATION",$C$1=1),$A705,$A705+1),COLUMN('1-DATA'!AJ703)),IF($B705="STD. DEVIATION",2,$F$1))))</f>
        <v/>
      </c>
      <c r="AL705" s="1" t="str">
        <f>IF(OR($B705="",AL$7=""),"",IF($B705="MEANS",INDEX('1-DATA'!$1:$1048576,$A704-1,COLUMN('1-DATA'!AK703)),ROUND(INDEX('1-DATA'!$1:$1048576,IF(OR($B705="STD. DEVIATION",$C$1=1),$A705,$A705+1),COLUMN('1-DATA'!AK703)),IF($B705="STD. DEVIATION",2,$F$1))))</f>
        <v/>
      </c>
      <c r="AM705" s="1" t="str">
        <f>IF(OR($B705="",AM$7=""),"",IF($B705="MEANS",INDEX('1-DATA'!$1:$1048576,$A704-1,COLUMN('1-DATA'!AL703)),ROUND(INDEX('1-DATA'!$1:$1048576,IF(OR($B705="STD. DEVIATION",$C$1=1),$A705,$A705+1),COLUMN('1-DATA'!AL703)),IF($B705="STD. DEVIATION",2,$F$1))))</f>
        <v/>
      </c>
      <c r="AN705" s="1" t="str">
        <f>IF(OR($B705="",AN$7=""),"",IF($B705="MEANS",INDEX('1-DATA'!$1:$1048576,$A704-1,COLUMN('1-DATA'!AM703)),ROUND(INDEX('1-DATA'!$1:$1048576,IF(OR($B705="STD. DEVIATION",$C$1=1),$A705,$A705+1),COLUMN('1-DATA'!AM703)),IF($B705="STD. DEVIATION",2,$F$1))))</f>
        <v/>
      </c>
      <c r="AO705" s="1" t="str">
        <f>IF(OR($B705="",AO$7=""),"",IF($B705="MEANS",INDEX('1-DATA'!$1:$1048576,$A704-1,COLUMN('1-DATA'!AN703)),ROUND(INDEX('1-DATA'!$1:$1048576,IF(OR($B705="STD. DEVIATION",$C$1=1),$A705,$A705+1),COLUMN('1-DATA'!AN703)),IF($B705="STD. DEVIATION",2,$F$1))))</f>
        <v/>
      </c>
      <c r="AP705" s="1" t="str">
        <f>IF(OR($B705="",AP$7=""),"",IF($B705="MEANS",INDEX('1-DATA'!$1:$1048576,$A704-1,COLUMN('1-DATA'!AO703)),ROUND(INDEX('1-DATA'!$1:$1048576,IF(OR($B705="STD. DEVIATION",$C$1=1),$A705,$A705+1),COLUMN('1-DATA'!AO703)),IF($B705="STD. DEVIATION",2,$F$1))))</f>
        <v/>
      </c>
      <c r="AQ705" s="1" t="str">
        <f>IF(OR($B705="",AQ$7=""),"",IF($B705="MEANS",INDEX('1-DATA'!$1:$1048576,$A704-1,COLUMN('1-DATA'!AP703)),ROUND(INDEX('1-DATA'!$1:$1048576,IF(OR($B705="STD. DEVIATION",$C$1=1),$A705,$A705+1),COLUMN('1-DATA'!AP703)),IF($B705="STD. DEVIATION",2,$F$1))))</f>
        <v/>
      </c>
      <c r="AR705" s="1" t="str">
        <f>IF(OR($B705="",AR$7=""),"",IF($B705="MEANS",INDEX('1-DATA'!$1:$1048576,$A704-1,COLUMN('1-DATA'!AQ703)),ROUND(INDEX('1-DATA'!$1:$1048576,IF(OR($B705="STD. DEVIATION",$C$1=1),$A705,$A705+1),COLUMN('1-DATA'!AQ703)),IF($B705="STD. DEVIATION",2,$F$1))))</f>
        <v/>
      </c>
      <c r="AS705" s="1" t="str">
        <f>IF(OR($B705="",AS$7=""),"",IF($B705="MEANS",INDEX('1-DATA'!$1:$1048576,$A704-1,COLUMN('1-DATA'!AR703)),ROUND(INDEX('1-DATA'!$1:$1048576,IF(OR($B705="STD. DEVIATION",$C$1=1),$A705,$A705+1),COLUMN('1-DATA'!AR703)),IF($B705="STD. DEVIATION",2,$F$1))))</f>
        <v/>
      </c>
      <c r="AT705" s="1" t="str">
        <f>IF(OR($B705="",AT$7=""),"",IF($B705="MEANS",INDEX('1-DATA'!$1:$1048576,$A704-1,COLUMN('1-DATA'!AS703)),ROUND(INDEX('1-DATA'!$1:$1048576,IF(OR($B705="STD. DEVIATION",$C$1=1),$A705,$A705+1),COLUMN('1-DATA'!AS703)),IF($B705="STD. DEVIATION",2,$F$1))))</f>
        <v/>
      </c>
      <c r="AU705" s="1" t="str">
        <f>IF(OR($B705="",AU$7=""),"",IF($B705="MEANS",INDEX('1-DATA'!$1:$1048576,$A704-1,COLUMN('1-DATA'!AT703)),ROUND(INDEX('1-DATA'!$1:$1048576,IF(OR($B705="STD. DEVIATION",$C$1=1),$A705,$A705+1),COLUMN('1-DATA'!AT703)),IF($B705="STD. DEVIATION",2,$F$1))))</f>
        <v/>
      </c>
      <c r="AV705" s="1" t="str">
        <f>IF(OR($B705="",AV$7=""),"",IF($B705="MEANS",INDEX('1-DATA'!$1:$1048576,$A704-1,COLUMN('1-DATA'!AU703)),ROUND(INDEX('1-DATA'!$1:$1048576,IF(OR($B705="STD. DEVIATION",$C$1=1),$A705,$A705+1),COLUMN('1-DATA'!AU703)),IF($B705="STD. DEVIATION",2,$F$1))))</f>
        <v/>
      </c>
      <c r="AW705" s="1" t="str">
        <f>IF(OR($B705="",AW$7=""),"",IF($B705="MEANS",INDEX('1-DATA'!$1:$1048576,$A704-1,COLUMN('1-DATA'!AV703)),ROUND(INDEX('1-DATA'!$1:$1048576,IF(OR($B705="STD. DEVIATION",$C$1=1),$A705,$A705+1),COLUMN('1-DATA'!AV703)),IF($B705="STD. DEVIATION",2,$F$1))))</f>
        <v/>
      </c>
      <c r="AX705" s="1" t="str">
        <f>IF(OR($B705="",AX$7=""),"",IF($B705="MEANS",INDEX('1-DATA'!$1:$1048576,$A704-1,COLUMN('1-DATA'!AW703)),ROUND(INDEX('1-DATA'!$1:$1048576,IF(OR($B705="STD. DEVIATION",$C$1=1),$A705,$A705+1),COLUMN('1-DATA'!AW703)),IF($B705="STD. DEVIATION",2,$F$1))))</f>
        <v/>
      </c>
      <c r="AY705" s="1" t="str">
        <f>IF(OR($B705="",AY$7=""),"",IF($B705="MEANS",INDEX('1-DATA'!$1:$1048576,$A704-1,COLUMN('1-DATA'!AX703)),ROUND(INDEX('1-DATA'!$1:$1048576,IF(OR($B705="STD. DEVIATION",$C$1=1),$A705,$A705+1),COLUMN('1-DATA'!AX703)),IF($B705="STD. DEVIATION",2,$F$1))))</f>
        <v/>
      </c>
      <c r="AZ705" s="1" t="str">
        <f>IF(OR($B705="",AZ$7=""),"",IF($B705="MEANS",INDEX('1-DATA'!$1:$1048576,$A704-1,COLUMN('1-DATA'!AY703)),ROUND(INDEX('1-DATA'!$1:$1048576,IF(OR($B705="STD. DEVIATION",$C$1=1),$A705,$A705+1),COLUMN('1-DATA'!AY703)),IF($B705="STD. DEVIATION",2,$F$1))))</f>
        <v/>
      </c>
    </row>
    <row r="706" spans="1:52" x14ac:dyDescent="0.25">
      <c r="A706" s="11">
        <f t="shared" si="11"/>
        <v>2104</v>
      </c>
      <c r="B706" s="1" t="str">
        <f>IF(B705="STD. DEVIATION",INDEX('1-DATA'!$1:$1048576,$A705-1,1),IF(INDEX('1-DATA'!$1:$1048576,$A706,1)&lt;&gt;"",INDEX('1-DATA'!$1:$1048576,$A706,1),""))</f>
        <v/>
      </c>
      <c r="C706" s="1" t="str">
        <f>IF(OR($B706="",C$7=""),"",IF($B706="MEANS",INDEX('1-DATA'!$1:$1048576,$A705-1,COLUMN('1-DATA'!B704)),ROUND(INDEX('1-DATA'!$1:$1048576,IF(OR($B706="STD. DEVIATION",$C$1=1),$A706,$A706+1),COLUMN('1-DATA'!B704)),IF($B706="STD. DEVIATION",2,$F$1))))</f>
        <v/>
      </c>
      <c r="D706" s="1" t="str">
        <f>IF(OR($B706="",D$7=""),"",IF($B706="MEANS",INDEX('1-DATA'!$1:$1048576,$A705-1,COLUMN('1-DATA'!C704)),ROUND(INDEX('1-DATA'!$1:$1048576,IF(OR($B706="STD. DEVIATION",$C$1=1),$A706,$A706+1),COLUMN('1-DATA'!C704)),IF($B706="STD. DEVIATION",2,$F$1))))</f>
        <v/>
      </c>
      <c r="E706" s="1" t="str">
        <f>IF(OR($B706="",E$7=""),"",IF($B706="MEANS",INDEX('1-DATA'!$1:$1048576,$A705-1,COLUMN('1-DATA'!D704)),ROUND(INDEX('1-DATA'!$1:$1048576,IF(OR($B706="STD. DEVIATION",$C$1=1),$A706,$A706+1),COLUMN('1-DATA'!D704)),IF($B706="STD. DEVIATION",2,$F$1))))</f>
        <v/>
      </c>
      <c r="F706" s="1" t="str">
        <f>IF(OR($B706="",F$7=""),"",IF($B706="MEANS",INDEX('1-DATA'!$1:$1048576,$A705-1,COLUMN('1-DATA'!E704)),ROUND(INDEX('1-DATA'!$1:$1048576,IF(OR($B706="STD. DEVIATION",$C$1=1),$A706,$A706+1),COLUMN('1-DATA'!E704)),IF($B706="STD. DEVIATION",2,$F$1))))</f>
        <v/>
      </c>
      <c r="G706" s="1" t="str">
        <f>IF(OR($B706="",G$7=""),"",IF($B706="MEANS",INDEX('1-DATA'!$1:$1048576,$A705-1,COLUMN('1-DATA'!F704)),ROUND(INDEX('1-DATA'!$1:$1048576,IF(OR($B706="STD. DEVIATION",$C$1=1),$A706,$A706+1),COLUMN('1-DATA'!F704)),IF($B706="STD. DEVIATION",2,$F$1))))</f>
        <v/>
      </c>
      <c r="H706" s="1" t="str">
        <f>IF(OR($B706="",H$7=""),"",IF($B706="MEANS",INDEX('1-DATA'!$1:$1048576,$A705-1,COLUMN('1-DATA'!G704)),ROUND(INDEX('1-DATA'!$1:$1048576,IF(OR($B706="STD. DEVIATION",$C$1=1),$A706,$A706+1),COLUMN('1-DATA'!G704)),IF($B706="STD. DEVIATION",2,$F$1))))</f>
        <v/>
      </c>
      <c r="I706" s="1" t="str">
        <f>IF(OR($B706="",I$7=""),"",IF($B706="MEANS",INDEX('1-DATA'!$1:$1048576,$A705-1,COLUMN('1-DATA'!H704)),ROUND(INDEX('1-DATA'!$1:$1048576,IF(OR($B706="STD. DEVIATION",$C$1=1),$A706,$A706+1),COLUMN('1-DATA'!H704)),IF($B706="STD. DEVIATION",2,$F$1))))</f>
        <v/>
      </c>
      <c r="J706" s="1" t="str">
        <f>IF(OR($B706="",J$7=""),"",IF($B706="MEANS",INDEX('1-DATA'!$1:$1048576,$A705-1,COLUMN('1-DATA'!I704)),ROUND(INDEX('1-DATA'!$1:$1048576,IF(OR($B706="STD. DEVIATION",$C$1=1),$A706,$A706+1),COLUMN('1-DATA'!I704)),IF($B706="STD. DEVIATION",2,$F$1))))</f>
        <v/>
      </c>
      <c r="K706" s="1" t="str">
        <f>IF(OR($B706="",K$7=""),"",IF($B706="MEANS",INDEX('1-DATA'!$1:$1048576,$A705-1,COLUMN('1-DATA'!J704)),ROUND(INDEX('1-DATA'!$1:$1048576,IF(OR($B706="STD. DEVIATION",$C$1=1),$A706,$A706+1),COLUMN('1-DATA'!J704)),IF($B706="STD. DEVIATION",2,$F$1))))</f>
        <v/>
      </c>
      <c r="L706" s="1" t="str">
        <f>IF(OR($B706="",L$7=""),"",IF($B706="MEANS",INDEX('1-DATA'!$1:$1048576,$A705-1,COLUMN('1-DATA'!K704)),ROUND(INDEX('1-DATA'!$1:$1048576,IF(OR($B706="STD. DEVIATION",$C$1=1),$A706,$A706+1),COLUMN('1-DATA'!K704)),IF($B706="STD. DEVIATION",2,$F$1))))</f>
        <v/>
      </c>
      <c r="M706" s="1" t="str">
        <f>IF(OR($B706="",M$7=""),"",IF($B706="MEANS",INDEX('1-DATA'!$1:$1048576,$A705-1,COLUMN('1-DATA'!L704)),ROUND(INDEX('1-DATA'!$1:$1048576,IF(OR($B706="STD. DEVIATION",$C$1=1),$A706,$A706+1),COLUMN('1-DATA'!L704)),IF($B706="STD. DEVIATION",2,$F$1))))</f>
        <v/>
      </c>
      <c r="N706" s="1" t="str">
        <f>IF(OR($B706="",N$7=""),"",IF($B706="MEANS",INDEX('1-DATA'!$1:$1048576,$A705-1,COLUMN('1-DATA'!M704)),ROUND(INDEX('1-DATA'!$1:$1048576,IF(OR($B706="STD. DEVIATION",$C$1=1),$A706,$A706+1),COLUMN('1-DATA'!M704)),IF($B706="STD. DEVIATION",2,$F$1))))</f>
        <v/>
      </c>
      <c r="O706" s="1" t="str">
        <f>IF(OR($B706="",O$7=""),"",IF($B706="MEANS",INDEX('1-DATA'!$1:$1048576,$A705-1,COLUMN('1-DATA'!N704)),ROUND(INDEX('1-DATA'!$1:$1048576,IF(OR($B706="STD. DEVIATION",$C$1=1),$A706,$A706+1),COLUMN('1-DATA'!N704)),IF($B706="STD. DEVIATION",2,$F$1))))</f>
        <v/>
      </c>
      <c r="P706" s="1" t="str">
        <f>IF(OR($B706="",P$7=""),"",IF($B706="MEANS",INDEX('1-DATA'!$1:$1048576,$A705-1,COLUMN('1-DATA'!O704)),ROUND(INDEX('1-DATA'!$1:$1048576,IF(OR($B706="STD. DEVIATION",$C$1=1),$A706,$A706+1),COLUMN('1-DATA'!O704)),IF($B706="STD. DEVIATION",2,$F$1))))</f>
        <v/>
      </c>
      <c r="Q706" s="1" t="str">
        <f>IF(OR($B706="",Q$7=""),"",IF($B706="MEANS",INDEX('1-DATA'!$1:$1048576,$A705-1,COLUMN('1-DATA'!P704)),ROUND(INDEX('1-DATA'!$1:$1048576,IF(OR($B706="STD. DEVIATION",$C$1=1),$A706,$A706+1),COLUMN('1-DATA'!P704)),IF($B706="STD. DEVIATION",2,$F$1))))</f>
        <v/>
      </c>
      <c r="R706" s="1" t="str">
        <f>IF(OR($B706="",R$7=""),"",IF($B706="MEANS",INDEX('1-DATA'!$1:$1048576,$A705-1,COLUMN('1-DATA'!Q704)),ROUND(INDEX('1-DATA'!$1:$1048576,IF(OR($B706="STD. DEVIATION",$C$1=1),$A706,$A706+1),COLUMN('1-DATA'!Q704)),IF($B706="STD. DEVIATION",2,$F$1))))</f>
        <v/>
      </c>
      <c r="S706" s="1" t="str">
        <f>IF(OR($B706="",S$7=""),"",IF($B706="MEANS",INDEX('1-DATA'!$1:$1048576,$A705-1,COLUMN('1-DATA'!R704)),ROUND(INDEX('1-DATA'!$1:$1048576,IF(OR($B706="STD. DEVIATION",$C$1=1),$A706,$A706+1),COLUMN('1-DATA'!R704)),IF($B706="STD. DEVIATION",2,$F$1))))</f>
        <v/>
      </c>
      <c r="T706" s="1" t="str">
        <f>IF(OR($B706="",T$7=""),"",IF($B706="MEANS",INDEX('1-DATA'!$1:$1048576,$A705-1,COLUMN('1-DATA'!S704)),ROUND(INDEX('1-DATA'!$1:$1048576,IF(OR($B706="STD. DEVIATION",$C$1=1),$A706,$A706+1),COLUMN('1-DATA'!S704)),IF($B706="STD. DEVIATION",2,$F$1))))</f>
        <v/>
      </c>
      <c r="U706" s="1" t="str">
        <f>IF(OR($B706="",U$7=""),"",IF($B706="MEANS",INDEX('1-DATA'!$1:$1048576,$A705-1,COLUMN('1-DATA'!T704)),ROUND(INDEX('1-DATA'!$1:$1048576,IF(OR($B706="STD. DEVIATION",$C$1=1),$A706,$A706+1),COLUMN('1-DATA'!T704)),IF($B706="STD. DEVIATION",2,$F$1))))</f>
        <v/>
      </c>
      <c r="V706" s="1" t="str">
        <f>IF(OR($B706="",V$7=""),"",IF($B706="MEANS",INDEX('1-DATA'!$1:$1048576,$A705-1,COLUMN('1-DATA'!U704)),ROUND(INDEX('1-DATA'!$1:$1048576,IF(OR($B706="STD. DEVIATION",$C$1=1),$A706,$A706+1),COLUMN('1-DATA'!U704)),IF($B706="STD. DEVIATION",2,$F$1))))</f>
        <v/>
      </c>
      <c r="W706" s="1" t="str">
        <f>IF(OR($B706="",W$7=""),"",IF($B706="MEANS",INDEX('1-DATA'!$1:$1048576,$A705-1,COLUMN('1-DATA'!V704)),ROUND(INDEX('1-DATA'!$1:$1048576,IF(OR($B706="STD. DEVIATION",$C$1=1),$A706,$A706+1),COLUMN('1-DATA'!V704)),IF($B706="STD. DEVIATION",2,$F$1))))</f>
        <v/>
      </c>
      <c r="X706" s="1" t="str">
        <f>IF(OR($B706="",X$7=""),"",IF($B706="MEANS",INDEX('1-DATA'!$1:$1048576,$A705-1,COLUMN('1-DATA'!W704)),ROUND(INDEX('1-DATA'!$1:$1048576,IF(OR($B706="STD. DEVIATION",$C$1=1),$A706,$A706+1),COLUMN('1-DATA'!W704)),IF($B706="STD. DEVIATION",2,$F$1))))</f>
        <v/>
      </c>
      <c r="Y706" s="1" t="str">
        <f>IF(OR($B706="",Y$7=""),"",IF($B706="MEANS",INDEX('1-DATA'!$1:$1048576,$A705-1,COLUMN('1-DATA'!X704)),ROUND(INDEX('1-DATA'!$1:$1048576,IF(OR($B706="STD. DEVIATION",$C$1=1),$A706,$A706+1),COLUMN('1-DATA'!X704)),IF($B706="STD. DEVIATION",2,$F$1))))</f>
        <v/>
      </c>
      <c r="Z706" s="1" t="str">
        <f>IF(OR($B706="",Z$7=""),"",IF($B706="MEANS",INDEX('1-DATA'!$1:$1048576,$A705-1,COLUMN('1-DATA'!Y704)),ROUND(INDEX('1-DATA'!$1:$1048576,IF(OR($B706="STD. DEVIATION",$C$1=1),$A706,$A706+1),COLUMN('1-DATA'!Y704)),IF($B706="STD. DEVIATION",2,$F$1))))</f>
        <v/>
      </c>
      <c r="AA706" s="1" t="str">
        <f>IF(OR($B706="",AA$7=""),"",IF($B706="MEANS",INDEX('1-DATA'!$1:$1048576,$A705-1,COLUMN('1-DATA'!Z704)),ROUND(INDEX('1-DATA'!$1:$1048576,IF(OR($B706="STD. DEVIATION",$C$1=1),$A706,$A706+1),COLUMN('1-DATA'!Z704)),IF($B706="STD. DEVIATION",2,$F$1))))</f>
        <v/>
      </c>
      <c r="AB706" s="1" t="str">
        <f>IF(OR($B706="",AB$7=""),"",IF($B706="MEANS",INDEX('1-DATA'!$1:$1048576,$A705-1,COLUMN('1-DATA'!AA704)),ROUND(INDEX('1-DATA'!$1:$1048576,IF(OR($B706="STD. DEVIATION",$C$1=1),$A706,$A706+1),COLUMN('1-DATA'!AA704)),IF($B706="STD. DEVIATION",2,$F$1))))</f>
        <v/>
      </c>
      <c r="AC706" s="1" t="str">
        <f>IF(OR($B706="",AC$7=""),"",IF($B706="MEANS",INDEX('1-DATA'!$1:$1048576,$A705-1,COLUMN('1-DATA'!AB704)),ROUND(INDEX('1-DATA'!$1:$1048576,IF(OR($B706="STD. DEVIATION",$C$1=1),$A706,$A706+1),COLUMN('1-DATA'!AB704)),IF($B706="STD. DEVIATION",2,$F$1))))</f>
        <v/>
      </c>
      <c r="AD706" s="1" t="str">
        <f>IF(OR($B706="",AD$7=""),"",IF($B706="MEANS",INDEX('1-DATA'!$1:$1048576,$A705-1,COLUMN('1-DATA'!AC704)),ROUND(INDEX('1-DATA'!$1:$1048576,IF(OR($B706="STD. DEVIATION",$C$1=1),$A706,$A706+1),COLUMN('1-DATA'!AC704)),IF($B706="STD. DEVIATION",2,$F$1))))</f>
        <v/>
      </c>
      <c r="AE706" s="1" t="str">
        <f>IF(OR($B706="",AE$7=""),"",IF($B706="MEANS",INDEX('1-DATA'!$1:$1048576,$A705-1,COLUMN('1-DATA'!AD704)),ROUND(INDEX('1-DATA'!$1:$1048576,IF(OR($B706="STD. DEVIATION",$C$1=1),$A706,$A706+1),COLUMN('1-DATA'!AD704)),IF($B706="STD. DEVIATION",2,$F$1))))</f>
        <v/>
      </c>
      <c r="AF706" s="1" t="str">
        <f>IF(OR($B706="",AF$7=""),"",IF($B706="MEANS",INDEX('1-DATA'!$1:$1048576,$A705-1,COLUMN('1-DATA'!AE704)),ROUND(INDEX('1-DATA'!$1:$1048576,IF(OR($B706="STD. DEVIATION",$C$1=1),$A706,$A706+1),COLUMN('1-DATA'!AE704)),IF($B706="STD. DEVIATION",2,$F$1))))</f>
        <v/>
      </c>
      <c r="AG706" s="1" t="str">
        <f>IF(OR($B706="",AG$7=""),"",IF($B706="MEANS",INDEX('1-DATA'!$1:$1048576,$A705-1,COLUMN('1-DATA'!AF704)),ROUND(INDEX('1-DATA'!$1:$1048576,IF(OR($B706="STD. DEVIATION",$C$1=1),$A706,$A706+1),COLUMN('1-DATA'!AF704)),IF($B706="STD. DEVIATION",2,$F$1))))</f>
        <v/>
      </c>
      <c r="AH706" s="1" t="str">
        <f>IF(OR($B706="",AH$7=""),"",IF($B706="MEANS",INDEX('1-DATA'!$1:$1048576,$A705-1,COLUMN('1-DATA'!AG704)),ROUND(INDEX('1-DATA'!$1:$1048576,IF(OR($B706="STD. DEVIATION",$C$1=1),$A706,$A706+1),COLUMN('1-DATA'!AG704)),IF($B706="STD. DEVIATION",2,$F$1))))</f>
        <v/>
      </c>
      <c r="AI706" s="1" t="str">
        <f>IF(OR($B706="",AI$7=""),"",IF($B706="MEANS",INDEX('1-DATA'!$1:$1048576,$A705-1,COLUMN('1-DATA'!AH704)),ROUND(INDEX('1-DATA'!$1:$1048576,IF(OR($B706="STD. DEVIATION",$C$1=1),$A706,$A706+1),COLUMN('1-DATA'!AH704)),IF($B706="STD. DEVIATION",2,$F$1))))</f>
        <v/>
      </c>
      <c r="AJ706" s="1" t="str">
        <f>IF(OR($B706="",AJ$7=""),"",IF($B706="MEANS",INDEX('1-DATA'!$1:$1048576,$A705-1,COLUMN('1-DATA'!AI704)),ROUND(INDEX('1-DATA'!$1:$1048576,IF(OR($B706="STD. DEVIATION",$C$1=1),$A706,$A706+1),COLUMN('1-DATA'!AI704)),IF($B706="STD. DEVIATION",2,$F$1))))</f>
        <v/>
      </c>
      <c r="AK706" s="1" t="str">
        <f>IF(OR($B706="",AK$7=""),"",IF($B706="MEANS",INDEX('1-DATA'!$1:$1048576,$A705-1,COLUMN('1-DATA'!AJ704)),ROUND(INDEX('1-DATA'!$1:$1048576,IF(OR($B706="STD. DEVIATION",$C$1=1),$A706,$A706+1),COLUMN('1-DATA'!AJ704)),IF($B706="STD. DEVIATION",2,$F$1))))</f>
        <v/>
      </c>
      <c r="AL706" s="1" t="str">
        <f>IF(OR($B706="",AL$7=""),"",IF($B706="MEANS",INDEX('1-DATA'!$1:$1048576,$A705-1,COLUMN('1-DATA'!AK704)),ROUND(INDEX('1-DATA'!$1:$1048576,IF(OR($B706="STD. DEVIATION",$C$1=1),$A706,$A706+1),COLUMN('1-DATA'!AK704)),IF($B706="STD. DEVIATION",2,$F$1))))</f>
        <v/>
      </c>
      <c r="AM706" s="1" t="str">
        <f>IF(OR($B706="",AM$7=""),"",IF($B706="MEANS",INDEX('1-DATA'!$1:$1048576,$A705-1,COLUMN('1-DATA'!AL704)),ROUND(INDEX('1-DATA'!$1:$1048576,IF(OR($B706="STD. DEVIATION",$C$1=1),$A706,$A706+1),COLUMN('1-DATA'!AL704)),IF($B706="STD. DEVIATION",2,$F$1))))</f>
        <v/>
      </c>
      <c r="AN706" s="1" t="str">
        <f>IF(OR($B706="",AN$7=""),"",IF($B706="MEANS",INDEX('1-DATA'!$1:$1048576,$A705-1,COLUMN('1-DATA'!AM704)),ROUND(INDEX('1-DATA'!$1:$1048576,IF(OR($B706="STD. DEVIATION",$C$1=1),$A706,$A706+1),COLUMN('1-DATA'!AM704)),IF($B706="STD. DEVIATION",2,$F$1))))</f>
        <v/>
      </c>
      <c r="AO706" s="1" t="str">
        <f>IF(OR($B706="",AO$7=""),"",IF($B706="MEANS",INDEX('1-DATA'!$1:$1048576,$A705-1,COLUMN('1-DATA'!AN704)),ROUND(INDEX('1-DATA'!$1:$1048576,IF(OR($B706="STD. DEVIATION",$C$1=1),$A706,$A706+1),COLUMN('1-DATA'!AN704)),IF($B706="STD. DEVIATION",2,$F$1))))</f>
        <v/>
      </c>
      <c r="AP706" s="1" t="str">
        <f>IF(OR($B706="",AP$7=""),"",IF($B706="MEANS",INDEX('1-DATA'!$1:$1048576,$A705-1,COLUMN('1-DATA'!AO704)),ROUND(INDEX('1-DATA'!$1:$1048576,IF(OR($B706="STD. DEVIATION",$C$1=1),$A706,$A706+1),COLUMN('1-DATA'!AO704)),IF($B706="STD. DEVIATION",2,$F$1))))</f>
        <v/>
      </c>
      <c r="AQ706" s="1" t="str">
        <f>IF(OR($B706="",AQ$7=""),"",IF($B706="MEANS",INDEX('1-DATA'!$1:$1048576,$A705-1,COLUMN('1-DATA'!AP704)),ROUND(INDEX('1-DATA'!$1:$1048576,IF(OR($B706="STD. DEVIATION",$C$1=1),$A706,$A706+1),COLUMN('1-DATA'!AP704)),IF($B706="STD. DEVIATION",2,$F$1))))</f>
        <v/>
      </c>
      <c r="AR706" s="1" t="str">
        <f>IF(OR($B706="",AR$7=""),"",IF($B706="MEANS",INDEX('1-DATA'!$1:$1048576,$A705-1,COLUMN('1-DATA'!AQ704)),ROUND(INDEX('1-DATA'!$1:$1048576,IF(OR($B706="STD. DEVIATION",$C$1=1),$A706,$A706+1),COLUMN('1-DATA'!AQ704)),IF($B706="STD. DEVIATION",2,$F$1))))</f>
        <v/>
      </c>
      <c r="AS706" s="1" t="str">
        <f>IF(OR($B706="",AS$7=""),"",IF($B706="MEANS",INDEX('1-DATA'!$1:$1048576,$A705-1,COLUMN('1-DATA'!AR704)),ROUND(INDEX('1-DATA'!$1:$1048576,IF(OR($B706="STD. DEVIATION",$C$1=1),$A706,$A706+1),COLUMN('1-DATA'!AR704)),IF($B706="STD. DEVIATION",2,$F$1))))</f>
        <v/>
      </c>
      <c r="AT706" s="1" t="str">
        <f>IF(OR($B706="",AT$7=""),"",IF($B706="MEANS",INDEX('1-DATA'!$1:$1048576,$A705-1,COLUMN('1-DATA'!AS704)),ROUND(INDEX('1-DATA'!$1:$1048576,IF(OR($B706="STD. DEVIATION",$C$1=1),$A706,$A706+1),COLUMN('1-DATA'!AS704)),IF($B706="STD. DEVIATION",2,$F$1))))</f>
        <v/>
      </c>
      <c r="AU706" s="1" t="str">
        <f>IF(OR($B706="",AU$7=""),"",IF($B706="MEANS",INDEX('1-DATA'!$1:$1048576,$A705-1,COLUMN('1-DATA'!AT704)),ROUND(INDEX('1-DATA'!$1:$1048576,IF(OR($B706="STD. DEVIATION",$C$1=1),$A706,$A706+1),COLUMN('1-DATA'!AT704)),IF($B706="STD. DEVIATION",2,$F$1))))</f>
        <v/>
      </c>
      <c r="AV706" s="1" t="str">
        <f>IF(OR($B706="",AV$7=""),"",IF($B706="MEANS",INDEX('1-DATA'!$1:$1048576,$A705-1,COLUMN('1-DATA'!AU704)),ROUND(INDEX('1-DATA'!$1:$1048576,IF(OR($B706="STD. DEVIATION",$C$1=1),$A706,$A706+1),COLUMN('1-DATA'!AU704)),IF($B706="STD. DEVIATION",2,$F$1))))</f>
        <v/>
      </c>
      <c r="AW706" s="1" t="str">
        <f>IF(OR($B706="",AW$7=""),"",IF($B706="MEANS",INDEX('1-DATA'!$1:$1048576,$A705-1,COLUMN('1-DATA'!AV704)),ROUND(INDEX('1-DATA'!$1:$1048576,IF(OR($B706="STD. DEVIATION",$C$1=1),$A706,$A706+1),COLUMN('1-DATA'!AV704)),IF($B706="STD. DEVIATION",2,$F$1))))</f>
        <v/>
      </c>
      <c r="AX706" s="1" t="str">
        <f>IF(OR($B706="",AX$7=""),"",IF($B706="MEANS",INDEX('1-DATA'!$1:$1048576,$A705-1,COLUMN('1-DATA'!AW704)),ROUND(INDEX('1-DATA'!$1:$1048576,IF(OR($B706="STD. DEVIATION",$C$1=1),$A706,$A706+1),COLUMN('1-DATA'!AW704)),IF($B706="STD. DEVIATION",2,$F$1))))</f>
        <v/>
      </c>
      <c r="AY706" s="1" t="str">
        <f>IF(OR($B706="",AY$7=""),"",IF($B706="MEANS",INDEX('1-DATA'!$1:$1048576,$A705-1,COLUMN('1-DATA'!AX704)),ROUND(INDEX('1-DATA'!$1:$1048576,IF(OR($B706="STD. DEVIATION",$C$1=1),$A706,$A706+1),COLUMN('1-DATA'!AX704)),IF($B706="STD. DEVIATION",2,$F$1))))</f>
        <v/>
      </c>
      <c r="AZ706" s="1" t="str">
        <f>IF(OR($B706="",AZ$7=""),"",IF($B706="MEANS",INDEX('1-DATA'!$1:$1048576,$A705-1,COLUMN('1-DATA'!AY704)),ROUND(INDEX('1-DATA'!$1:$1048576,IF(OR($B706="STD. DEVIATION",$C$1=1),$A706,$A706+1),COLUMN('1-DATA'!AY704)),IF($B706="STD. DEVIATION",2,$F$1))))</f>
        <v/>
      </c>
    </row>
    <row r="707" spans="1:52" x14ac:dyDescent="0.25">
      <c r="A707" s="11">
        <f t="shared" si="11"/>
        <v>2107</v>
      </c>
      <c r="B707" s="1" t="str">
        <f>IF(B706="STD. DEVIATION",INDEX('1-DATA'!$1:$1048576,$A706-1,1),IF(INDEX('1-DATA'!$1:$1048576,$A707,1)&lt;&gt;"",INDEX('1-DATA'!$1:$1048576,$A707,1),""))</f>
        <v/>
      </c>
      <c r="C707" s="1" t="str">
        <f>IF(OR($B707="",C$7=""),"",IF($B707="MEANS",INDEX('1-DATA'!$1:$1048576,$A706-1,COLUMN('1-DATA'!B705)),ROUND(INDEX('1-DATA'!$1:$1048576,IF(OR($B707="STD. DEVIATION",$C$1=1),$A707,$A707+1),COLUMN('1-DATA'!B705)),IF($B707="STD. DEVIATION",2,$F$1))))</f>
        <v/>
      </c>
      <c r="D707" s="1" t="str">
        <f>IF(OR($B707="",D$7=""),"",IF($B707="MEANS",INDEX('1-DATA'!$1:$1048576,$A706-1,COLUMN('1-DATA'!C705)),ROUND(INDEX('1-DATA'!$1:$1048576,IF(OR($B707="STD. DEVIATION",$C$1=1),$A707,$A707+1),COLUMN('1-DATA'!C705)),IF($B707="STD. DEVIATION",2,$F$1))))</f>
        <v/>
      </c>
      <c r="E707" s="1" t="str">
        <f>IF(OR($B707="",E$7=""),"",IF($B707="MEANS",INDEX('1-DATA'!$1:$1048576,$A706-1,COLUMN('1-DATA'!D705)),ROUND(INDEX('1-DATA'!$1:$1048576,IF(OR($B707="STD. DEVIATION",$C$1=1),$A707,$A707+1),COLUMN('1-DATA'!D705)),IF($B707="STD. DEVIATION",2,$F$1))))</f>
        <v/>
      </c>
      <c r="F707" s="1" t="str">
        <f>IF(OR($B707="",F$7=""),"",IF($B707="MEANS",INDEX('1-DATA'!$1:$1048576,$A706-1,COLUMN('1-DATA'!E705)),ROUND(INDEX('1-DATA'!$1:$1048576,IF(OR($B707="STD. DEVIATION",$C$1=1),$A707,$A707+1),COLUMN('1-DATA'!E705)),IF($B707="STD. DEVIATION",2,$F$1))))</f>
        <v/>
      </c>
      <c r="G707" s="1" t="str">
        <f>IF(OR($B707="",G$7=""),"",IF($B707="MEANS",INDEX('1-DATA'!$1:$1048576,$A706-1,COLUMN('1-DATA'!F705)),ROUND(INDEX('1-DATA'!$1:$1048576,IF(OR($B707="STD. DEVIATION",$C$1=1),$A707,$A707+1),COLUMN('1-DATA'!F705)),IF($B707="STD. DEVIATION",2,$F$1))))</f>
        <v/>
      </c>
      <c r="H707" s="1" t="str">
        <f>IF(OR($B707="",H$7=""),"",IF($B707="MEANS",INDEX('1-DATA'!$1:$1048576,$A706-1,COLUMN('1-DATA'!G705)),ROUND(INDEX('1-DATA'!$1:$1048576,IF(OR($B707="STD. DEVIATION",$C$1=1),$A707,$A707+1),COLUMN('1-DATA'!G705)),IF($B707="STD. DEVIATION",2,$F$1))))</f>
        <v/>
      </c>
      <c r="I707" s="1" t="str">
        <f>IF(OR($B707="",I$7=""),"",IF($B707="MEANS",INDEX('1-DATA'!$1:$1048576,$A706-1,COLUMN('1-DATA'!H705)),ROUND(INDEX('1-DATA'!$1:$1048576,IF(OR($B707="STD. DEVIATION",$C$1=1),$A707,$A707+1),COLUMN('1-DATA'!H705)),IF($B707="STD. DEVIATION",2,$F$1))))</f>
        <v/>
      </c>
      <c r="J707" s="1" t="str">
        <f>IF(OR($B707="",J$7=""),"",IF($B707="MEANS",INDEX('1-DATA'!$1:$1048576,$A706-1,COLUMN('1-DATA'!I705)),ROUND(INDEX('1-DATA'!$1:$1048576,IF(OR($B707="STD. DEVIATION",$C$1=1),$A707,$A707+1),COLUMN('1-DATA'!I705)),IF($B707="STD. DEVIATION",2,$F$1))))</f>
        <v/>
      </c>
      <c r="K707" s="1" t="str">
        <f>IF(OR($B707="",K$7=""),"",IF($B707="MEANS",INDEX('1-DATA'!$1:$1048576,$A706-1,COLUMN('1-DATA'!J705)),ROUND(INDEX('1-DATA'!$1:$1048576,IF(OR($B707="STD. DEVIATION",$C$1=1),$A707,$A707+1),COLUMN('1-DATA'!J705)),IF($B707="STD. DEVIATION",2,$F$1))))</f>
        <v/>
      </c>
      <c r="L707" s="1" t="str">
        <f>IF(OR($B707="",L$7=""),"",IF($B707="MEANS",INDEX('1-DATA'!$1:$1048576,$A706-1,COLUMN('1-DATA'!K705)),ROUND(INDEX('1-DATA'!$1:$1048576,IF(OR($B707="STD. DEVIATION",$C$1=1),$A707,$A707+1),COLUMN('1-DATA'!K705)),IF($B707="STD. DEVIATION",2,$F$1))))</f>
        <v/>
      </c>
      <c r="M707" s="1" t="str">
        <f>IF(OR($B707="",M$7=""),"",IF($B707="MEANS",INDEX('1-DATA'!$1:$1048576,$A706-1,COLUMN('1-DATA'!L705)),ROUND(INDEX('1-DATA'!$1:$1048576,IF(OR($B707="STD. DEVIATION",$C$1=1),$A707,$A707+1),COLUMN('1-DATA'!L705)),IF($B707="STD. DEVIATION",2,$F$1))))</f>
        <v/>
      </c>
      <c r="N707" s="1" t="str">
        <f>IF(OR($B707="",N$7=""),"",IF($B707="MEANS",INDEX('1-DATA'!$1:$1048576,$A706-1,COLUMN('1-DATA'!M705)),ROUND(INDEX('1-DATA'!$1:$1048576,IF(OR($B707="STD. DEVIATION",$C$1=1),$A707,$A707+1),COLUMN('1-DATA'!M705)),IF($B707="STD. DEVIATION",2,$F$1))))</f>
        <v/>
      </c>
      <c r="O707" s="1" t="str">
        <f>IF(OR($B707="",O$7=""),"",IF($B707="MEANS",INDEX('1-DATA'!$1:$1048576,$A706-1,COLUMN('1-DATA'!N705)),ROUND(INDEX('1-DATA'!$1:$1048576,IF(OR($B707="STD. DEVIATION",$C$1=1),$A707,$A707+1),COLUMN('1-DATA'!N705)),IF($B707="STD. DEVIATION",2,$F$1))))</f>
        <v/>
      </c>
      <c r="P707" s="1" t="str">
        <f>IF(OR($B707="",P$7=""),"",IF($B707="MEANS",INDEX('1-DATA'!$1:$1048576,$A706-1,COLUMN('1-DATA'!O705)),ROUND(INDEX('1-DATA'!$1:$1048576,IF(OR($B707="STD. DEVIATION",$C$1=1),$A707,$A707+1),COLUMN('1-DATA'!O705)),IF($B707="STD. DEVIATION",2,$F$1))))</f>
        <v/>
      </c>
      <c r="Q707" s="1" t="str">
        <f>IF(OR($B707="",Q$7=""),"",IF($B707="MEANS",INDEX('1-DATA'!$1:$1048576,$A706-1,COLUMN('1-DATA'!P705)),ROUND(INDEX('1-DATA'!$1:$1048576,IF(OR($B707="STD. DEVIATION",$C$1=1),$A707,$A707+1),COLUMN('1-DATA'!P705)),IF($B707="STD. DEVIATION",2,$F$1))))</f>
        <v/>
      </c>
      <c r="R707" s="1" t="str">
        <f>IF(OR($B707="",R$7=""),"",IF($B707="MEANS",INDEX('1-DATA'!$1:$1048576,$A706-1,COLUMN('1-DATA'!Q705)),ROUND(INDEX('1-DATA'!$1:$1048576,IF(OR($B707="STD. DEVIATION",$C$1=1),$A707,$A707+1),COLUMN('1-DATA'!Q705)),IF($B707="STD. DEVIATION",2,$F$1))))</f>
        <v/>
      </c>
      <c r="S707" s="1" t="str">
        <f>IF(OR($B707="",S$7=""),"",IF($B707="MEANS",INDEX('1-DATA'!$1:$1048576,$A706-1,COLUMN('1-DATA'!R705)),ROUND(INDEX('1-DATA'!$1:$1048576,IF(OR($B707="STD. DEVIATION",$C$1=1),$A707,$A707+1),COLUMN('1-DATA'!R705)),IF($B707="STD. DEVIATION",2,$F$1))))</f>
        <v/>
      </c>
      <c r="T707" s="1" t="str">
        <f>IF(OR($B707="",T$7=""),"",IF($B707="MEANS",INDEX('1-DATA'!$1:$1048576,$A706-1,COLUMN('1-DATA'!S705)),ROUND(INDEX('1-DATA'!$1:$1048576,IF(OR($B707="STD. DEVIATION",$C$1=1),$A707,$A707+1),COLUMN('1-DATA'!S705)),IF($B707="STD. DEVIATION",2,$F$1))))</f>
        <v/>
      </c>
      <c r="U707" s="1" t="str">
        <f>IF(OR($B707="",U$7=""),"",IF($B707="MEANS",INDEX('1-DATA'!$1:$1048576,$A706-1,COLUMN('1-DATA'!T705)),ROUND(INDEX('1-DATA'!$1:$1048576,IF(OR($B707="STD. DEVIATION",$C$1=1),$A707,$A707+1),COLUMN('1-DATA'!T705)),IF($B707="STD. DEVIATION",2,$F$1))))</f>
        <v/>
      </c>
      <c r="V707" s="1" t="str">
        <f>IF(OR($B707="",V$7=""),"",IF($B707="MEANS",INDEX('1-DATA'!$1:$1048576,$A706-1,COLUMN('1-DATA'!U705)),ROUND(INDEX('1-DATA'!$1:$1048576,IF(OR($B707="STD. DEVIATION",$C$1=1),$A707,$A707+1),COLUMN('1-DATA'!U705)),IF($B707="STD. DEVIATION",2,$F$1))))</f>
        <v/>
      </c>
      <c r="W707" s="1" t="str">
        <f>IF(OR($B707="",W$7=""),"",IF($B707="MEANS",INDEX('1-DATA'!$1:$1048576,$A706-1,COLUMN('1-DATA'!V705)),ROUND(INDEX('1-DATA'!$1:$1048576,IF(OR($B707="STD. DEVIATION",$C$1=1),$A707,$A707+1),COLUMN('1-DATA'!V705)),IF($B707="STD. DEVIATION",2,$F$1))))</f>
        <v/>
      </c>
      <c r="X707" s="1" t="str">
        <f>IF(OR($B707="",X$7=""),"",IF($B707="MEANS",INDEX('1-DATA'!$1:$1048576,$A706-1,COLUMN('1-DATA'!W705)),ROUND(INDEX('1-DATA'!$1:$1048576,IF(OR($B707="STD. DEVIATION",$C$1=1),$A707,$A707+1),COLUMN('1-DATA'!W705)),IF($B707="STD. DEVIATION",2,$F$1))))</f>
        <v/>
      </c>
      <c r="Y707" s="1" t="str">
        <f>IF(OR($B707="",Y$7=""),"",IF($B707="MEANS",INDEX('1-DATA'!$1:$1048576,$A706-1,COLUMN('1-DATA'!X705)),ROUND(INDEX('1-DATA'!$1:$1048576,IF(OR($B707="STD. DEVIATION",$C$1=1),$A707,$A707+1),COLUMN('1-DATA'!X705)),IF($B707="STD. DEVIATION",2,$F$1))))</f>
        <v/>
      </c>
      <c r="Z707" s="1" t="str">
        <f>IF(OR($B707="",Z$7=""),"",IF($B707="MEANS",INDEX('1-DATA'!$1:$1048576,$A706-1,COLUMN('1-DATA'!Y705)),ROUND(INDEX('1-DATA'!$1:$1048576,IF(OR($B707="STD. DEVIATION",$C$1=1),$A707,$A707+1),COLUMN('1-DATA'!Y705)),IF($B707="STD. DEVIATION",2,$F$1))))</f>
        <v/>
      </c>
      <c r="AA707" s="1" t="str">
        <f>IF(OR($B707="",AA$7=""),"",IF($B707="MEANS",INDEX('1-DATA'!$1:$1048576,$A706-1,COLUMN('1-DATA'!Z705)),ROUND(INDEX('1-DATA'!$1:$1048576,IF(OR($B707="STD. DEVIATION",$C$1=1),$A707,$A707+1),COLUMN('1-DATA'!Z705)),IF($B707="STD. DEVIATION",2,$F$1))))</f>
        <v/>
      </c>
      <c r="AB707" s="1" t="str">
        <f>IF(OR($B707="",AB$7=""),"",IF($B707="MEANS",INDEX('1-DATA'!$1:$1048576,$A706-1,COLUMN('1-DATA'!AA705)),ROUND(INDEX('1-DATA'!$1:$1048576,IF(OR($B707="STD. DEVIATION",$C$1=1),$A707,$A707+1),COLUMN('1-DATA'!AA705)),IF($B707="STD. DEVIATION",2,$F$1))))</f>
        <v/>
      </c>
      <c r="AC707" s="1" t="str">
        <f>IF(OR($B707="",AC$7=""),"",IF($B707="MEANS",INDEX('1-DATA'!$1:$1048576,$A706-1,COLUMN('1-DATA'!AB705)),ROUND(INDEX('1-DATA'!$1:$1048576,IF(OR($B707="STD. DEVIATION",$C$1=1),$A707,$A707+1),COLUMN('1-DATA'!AB705)),IF($B707="STD. DEVIATION",2,$F$1))))</f>
        <v/>
      </c>
      <c r="AD707" s="1" t="str">
        <f>IF(OR($B707="",AD$7=""),"",IF($B707="MEANS",INDEX('1-DATA'!$1:$1048576,$A706-1,COLUMN('1-DATA'!AC705)),ROUND(INDEX('1-DATA'!$1:$1048576,IF(OR($B707="STD. DEVIATION",$C$1=1),$A707,$A707+1),COLUMN('1-DATA'!AC705)),IF($B707="STD. DEVIATION",2,$F$1))))</f>
        <v/>
      </c>
      <c r="AE707" s="1" t="str">
        <f>IF(OR($B707="",AE$7=""),"",IF($B707="MEANS",INDEX('1-DATA'!$1:$1048576,$A706-1,COLUMN('1-DATA'!AD705)),ROUND(INDEX('1-DATA'!$1:$1048576,IF(OR($B707="STD. DEVIATION",$C$1=1),$A707,$A707+1),COLUMN('1-DATA'!AD705)),IF($B707="STD. DEVIATION",2,$F$1))))</f>
        <v/>
      </c>
      <c r="AF707" s="1" t="str">
        <f>IF(OR($B707="",AF$7=""),"",IF($B707="MEANS",INDEX('1-DATA'!$1:$1048576,$A706-1,COLUMN('1-DATA'!AE705)),ROUND(INDEX('1-DATA'!$1:$1048576,IF(OR($B707="STD. DEVIATION",$C$1=1),$A707,$A707+1),COLUMN('1-DATA'!AE705)),IF($B707="STD. DEVIATION",2,$F$1))))</f>
        <v/>
      </c>
      <c r="AG707" s="1" t="str">
        <f>IF(OR($B707="",AG$7=""),"",IF($B707="MEANS",INDEX('1-DATA'!$1:$1048576,$A706-1,COLUMN('1-DATA'!AF705)),ROUND(INDEX('1-DATA'!$1:$1048576,IF(OR($B707="STD. DEVIATION",$C$1=1),$A707,$A707+1),COLUMN('1-DATA'!AF705)),IF($B707="STD. DEVIATION",2,$F$1))))</f>
        <v/>
      </c>
      <c r="AH707" s="1" t="str">
        <f>IF(OR($B707="",AH$7=""),"",IF($B707="MEANS",INDEX('1-DATA'!$1:$1048576,$A706-1,COLUMN('1-DATA'!AG705)),ROUND(INDEX('1-DATA'!$1:$1048576,IF(OR($B707="STD. DEVIATION",$C$1=1),$A707,$A707+1),COLUMN('1-DATA'!AG705)),IF($B707="STD. DEVIATION",2,$F$1))))</f>
        <v/>
      </c>
      <c r="AI707" s="1" t="str">
        <f>IF(OR($B707="",AI$7=""),"",IF($B707="MEANS",INDEX('1-DATA'!$1:$1048576,$A706-1,COLUMN('1-DATA'!AH705)),ROUND(INDEX('1-DATA'!$1:$1048576,IF(OR($B707="STD. DEVIATION",$C$1=1),$A707,$A707+1),COLUMN('1-DATA'!AH705)),IF($B707="STD. DEVIATION",2,$F$1))))</f>
        <v/>
      </c>
      <c r="AJ707" s="1" t="str">
        <f>IF(OR($B707="",AJ$7=""),"",IF($B707="MEANS",INDEX('1-DATA'!$1:$1048576,$A706-1,COLUMN('1-DATA'!AI705)),ROUND(INDEX('1-DATA'!$1:$1048576,IF(OR($B707="STD. DEVIATION",$C$1=1),$A707,$A707+1),COLUMN('1-DATA'!AI705)),IF($B707="STD. DEVIATION",2,$F$1))))</f>
        <v/>
      </c>
      <c r="AK707" s="1" t="str">
        <f>IF(OR($B707="",AK$7=""),"",IF($B707="MEANS",INDEX('1-DATA'!$1:$1048576,$A706-1,COLUMN('1-DATA'!AJ705)),ROUND(INDEX('1-DATA'!$1:$1048576,IF(OR($B707="STD. DEVIATION",$C$1=1),$A707,$A707+1),COLUMN('1-DATA'!AJ705)),IF($B707="STD. DEVIATION",2,$F$1))))</f>
        <v/>
      </c>
      <c r="AL707" s="1" t="str">
        <f>IF(OR($B707="",AL$7=""),"",IF($B707="MEANS",INDEX('1-DATA'!$1:$1048576,$A706-1,COLUMN('1-DATA'!AK705)),ROUND(INDEX('1-DATA'!$1:$1048576,IF(OR($B707="STD. DEVIATION",$C$1=1),$A707,$A707+1),COLUMN('1-DATA'!AK705)),IF($B707="STD. DEVIATION",2,$F$1))))</f>
        <v/>
      </c>
      <c r="AM707" s="1" t="str">
        <f>IF(OR($B707="",AM$7=""),"",IF($B707="MEANS",INDEX('1-DATA'!$1:$1048576,$A706-1,COLUMN('1-DATA'!AL705)),ROUND(INDEX('1-DATA'!$1:$1048576,IF(OR($B707="STD. DEVIATION",$C$1=1),$A707,$A707+1),COLUMN('1-DATA'!AL705)),IF($B707="STD. DEVIATION",2,$F$1))))</f>
        <v/>
      </c>
      <c r="AN707" s="1" t="str">
        <f>IF(OR($B707="",AN$7=""),"",IF($B707="MEANS",INDEX('1-DATA'!$1:$1048576,$A706-1,COLUMN('1-DATA'!AM705)),ROUND(INDEX('1-DATA'!$1:$1048576,IF(OR($B707="STD. DEVIATION",$C$1=1),$A707,$A707+1),COLUMN('1-DATA'!AM705)),IF($B707="STD. DEVIATION",2,$F$1))))</f>
        <v/>
      </c>
      <c r="AO707" s="1" t="str">
        <f>IF(OR($B707="",AO$7=""),"",IF($B707="MEANS",INDEX('1-DATA'!$1:$1048576,$A706-1,COLUMN('1-DATA'!AN705)),ROUND(INDEX('1-DATA'!$1:$1048576,IF(OR($B707="STD. DEVIATION",$C$1=1),$A707,$A707+1),COLUMN('1-DATA'!AN705)),IF($B707="STD. DEVIATION",2,$F$1))))</f>
        <v/>
      </c>
      <c r="AP707" s="1" t="str">
        <f>IF(OR($B707="",AP$7=""),"",IF($B707="MEANS",INDEX('1-DATA'!$1:$1048576,$A706-1,COLUMN('1-DATA'!AO705)),ROUND(INDEX('1-DATA'!$1:$1048576,IF(OR($B707="STD. DEVIATION",$C$1=1),$A707,$A707+1),COLUMN('1-DATA'!AO705)),IF($B707="STD. DEVIATION",2,$F$1))))</f>
        <v/>
      </c>
      <c r="AQ707" s="1" t="str">
        <f>IF(OR($B707="",AQ$7=""),"",IF($B707="MEANS",INDEX('1-DATA'!$1:$1048576,$A706-1,COLUMN('1-DATA'!AP705)),ROUND(INDEX('1-DATA'!$1:$1048576,IF(OR($B707="STD. DEVIATION",$C$1=1),$A707,$A707+1),COLUMN('1-DATA'!AP705)),IF($B707="STD. DEVIATION",2,$F$1))))</f>
        <v/>
      </c>
      <c r="AR707" s="1" t="str">
        <f>IF(OR($B707="",AR$7=""),"",IF($B707="MEANS",INDEX('1-DATA'!$1:$1048576,$A706-1,COLUMN('1-DATA'!AQ705)),ROUND(INDEX('1-DATA'!$1:$1048576,IF(OR($B707="STD. DEVIATION",$C$1=1),$A707,$A707+1),COLUMN('1-DATA'!AQ705)),IF($B707="STD. DEVIATION",2,$F$1))))</f>
        <v/>
      </c>
      <c r="AS707" s="1" t="str">
        <f>IF(OR($B707="",AS$7=""),"",IF($B707="MEANS",INDEX('1-DATA'!$1:$1048576,$A706-1,COLUMN('1-DATA'!AR705)),ROUND(INDEX('1-DATA'!$1:$1048576,IF(OR($B707="STD. DEVIATION",$C$1=1),$A707,$A707+1),COLUMN('1-DATA'!AR705)),IF($B707="STD. DEVIATION",2,$F$1))))</f>
        <v/>
      </c>
      <c r="AT707" s="1" t="str">
        <f>IF(OR($B707="",AT$7=""),"",IF($B707="MEANS",INDEX('1-DATA'!$1:$1048576,$A706-1,COLUMN('1-DATA'!AS705)),ROUND(INDEX('1-DATA'!$1:$1048576,IF(OR($B707="STD. DEVIATION",$C$1=1),$A707,$A707+1),COLUMN('1-DATA'!AS705)),IF($B707="STD. DEVIATION",2,$F$1))))</f>
        <v/>
      </c>
      <c r="AU707" s="1" t="str">
        <f>IF(OR($B707="",AU$7=""),"",IF($B707="MEANS",INDEX('1-DATA'!$1:$1048576,$A706-1,COLUMN('1-DATA'!AT705)),ROUND(INDEX('1-DATA'!$1:$1048576,IF(OR($B707="STD. DEVIATION",$C$1=1),$A707,$A707+1),COLUMN('1-DATA'!AT705)),IF($B707="STD. DEVIATION",2,$F$1))))</f>
        <v/>
      </c>
      <c r="AV707" s="1" t="str">
        <f>IF(OR($B707="",AV$7=""),"",IF($B707="MEANS",INDEX('1-DATA'!$1:$1048576,$A706-1,COLUMN('1-DATA'!AU705)),ROUND(INDEX('1-DATA'!$1:$1048576,IF(OR($B707="STD. DEVIATION",$C$1=1),$A707,$A707+1),COLUMN('1-DATA'!AU705)),IF($B707="STD. DEVIATION",2,$F$1))))</f>
        <v/>
      </c>
      <c r="AW707" s="1" t="str">
        <f>IF(OR($B707="",AW$7=""),"",IF($B707="MEANS",INDEX('1-DATA'!$1:$1048576,$A706-1,COLUMN('1-DATA'!AV705)),ROUND(INDEX('1-DATA'!$1:$1048576,IF(OR($B707="STD. DEVIATION",$C$1=1),$A707,$A707+1),COLUMN('1-DATA'!AV705)),IF($B707="STD. DEVIATION",2,$F$1))))</f>
        <v/>
      </c>
      <c r="AX707" s="1" t="str">
        <f>IF(OR($B707="",AX$7=""),"",IF($B707="MEANS",INDEX('1-DATA'!$1:$1048576,$A706-1,COLUMN('1-DATA'!AW705)),ROUND(INDEX('1-DATA'!$1:$1048576,IF(OR($B707="STD. DEVIATION",$C$1=1),$A707,$A707+1),COLUMN('1-DATA'!AW705)),IF($B707="STD. DEVIATION",2,$F$1))))</f>
        <v/>
      </c>
      <c r="AY707" s="1" t="str">
        <f>IF(OR($B707="",AY$7=""),"",IF($B707="MEANS",INDEX('1-DATA'!$1:$1048576,$A706-1,COLUMN('1-DATA'!AX705)),ROUND(INDEX('1-DATA'!$1:$1048576,IF(OR($B707="STD. DEVIATION",$C$1=1),$A707,$A707+1),COLUMN('1-DATA'!AX705)),IF($B707="STD. DEVIATION",2,$F$1))))</f>
        <v/>
      </c>
      <c r="AZ707" s="1" t="str">
        <f>IF(OR($B707="",AZ$7=""),"",IF($B707="MEANS",INDEX('1-DATA'!$1:$1048576,$A706-1,COLUMN('1-DATA'!AY705)),ROUND(INDEX('1-DATA'!$1:$1048576,IF(OR($B707="STD. DEVIATION",$C$1=1),$A707,$A707+1),COLUMN('1-DATA'!AY705)),IF($B707="STD. DEVIATION",2,$F$1))))</f>
        <v/>
      </c>
    </row>
    <row r="708" spans="1:52" x14ac:dyDescent="0.25">
      <c r="A708" s="11">
        <f t="shared" si="11"/>
        <v>2110</v>
      </c>
      <c r="B708" s="1" t="str">
        <f>IF(B707="STD. DEVIATION",INDEX('1-DATA'!$1:$1048576,$A707-1,1),IF(INDEX('1-DATA'!$1:$1048576,$A708,1)&lt;&gt;"",INDEX('1-DATA'!$1:$1048576,$A708,1),""))</f>
        <v/>
      </c>
      <c r="C708" s="1" t="str">
        <f>IF(OR($B708="",C$7=""),"",IF($B708="MEANS",INDEX('1-DATA'!$1:$1048576,$A707-1,COLUMN('1-DATA'!B706)),ROUND(INDEX('1-DATA'!$1:$1048576,IF(OR($B708="STD. DEVIATION",$C$1=1),$A708,$A708+1),COLUMN('1-DATA'!B706)),IF($B708="STD. DEVIATION",2,$F$1))))</f>
        <v/>
      </c>
      <c r="D708" s="1" t="str">
        <f>IF(OR($B708="",D$7=""),"",IF($B708="MEANS",INDEX('1-DATA'!$1:$1048576,$A707-1,COLUMN('1-DATA'!C706)),ROUND(INDEX('1-DATA'!$1:$1048576,IF(OR($B708="STD. DEVIATION",$C$1=1),$A708,$A708+1),COLUMN('1-DATA'!C706)),IF($B708="STD. DEVIATION",2,$F$1))))</f>
        <v/>
      </c>
      <c r="E708" s="1" t="str">
        <f>IF(OR($B708="",E$7=""),"",IF($B708="MEANS",INDEX('1-DATA'!$1:$1048576,$A707-1,COLUMN('1-DATA'!D706)),ROUND(INDEX('1-DATA'!$1:$1048576,IF(OR($B708="STD. DEVIATION",$C$1=1),$A708,$A708+1),COLUMN('1-DATA'!D706)),IF($B708="STD. DEVIATION",2,$F$1))))</f>
        <v/>
      </c>
      <c r="F708" s="1" t="str">
        <f>IF(OR($B708="",F$7=""),"",IF($B708="MEANS",INDEX('1-DATA'!$1:$1048576,$A707-1,COLUMN('1-DATA'!E706)),ROUND(INDEX('1-DATA'!$1:$1048576,IF(OR($B708="STD. DEVIATION",$C$1=1),$A708,$A708+1),COLUMN('1-DATA'!E706)),IF($B708="STD. DEVIATION",2,$F$1))))</f>
        <v/>
      </c>
      <c r="G708" s="1" t="str">
        <f>IF(OR($B708="",G$7=""),"",IF($B708="MEANS",INDEX('1-DATA'!$1:$1048576,$A707-1,COLUMN('1-DATA'!F706)),ROUND(INDEX('1-DATA'!$1:$1048576,IF(OR($B708="STD. DEVIATION",$C$1=1),$A708,$A708+1),COLUMN('1-DATA'!F706)),IF($B708="STD. DEVIATION",2,$F$1))))</f>
        <v/>
      </c>
      <c r="H708" s="1" t="str">
        <f>IF(OR($B708="",H$7=""),"",IF($B708="MEANS",INDEX('1-DATA'!$1:$1048576,$A707-1,COLUMN('1-DATA'!G706)),ROUND(INDEX('1-DATA'!$1:$1048576,IF(OR($B708="STD. DEVIATION",$C$1=1),$A708,$A708+1),COLUMN('1-DATA'!G706)),IF($B708="STD. DEVIATION",2,$F$1))))</f>
        <v/>
      </c>
      <c r="I708" s="1" t="str">
        <f>IF(OR($B708="",I$7=""),"",IF($B708="MEANS",INDEX('1-DATA'!$1:$1048576,$A707-1,COLUMN('1-DATA'!H706)),ROUND(INDEX('1-DATA'!$1:$1048576,IF(OR($B708="STD. DEVIATION",$C$1=1),$A708,$A708+1),COLUMN('1-DATA'!H706)),IF($B708="STD. DEVIATION",2,$F$1))))</f>
        <v/>
      </c>
      <c r="J708" s="1" t="str">
        <f>IF(OR($B708="",J$7=""),"",IF($B708="MEANS",INDEX('1-DATA'!$1:$1048576,$A707-1,COLUMN('1-DATA'!I706)),ROUND(INDEX('1-DATA'!$1:$1048576,IF(OR($B708="STD. DEVIATION",$C$1=1),$A708,$A708+1),COLUMN('1-DATA'!I706)),IF($B708="STD. DEVIATION",2,$F$1))))</f>
        <v/>
      </c>
      <c r="K708" s="1" t="str">
        <f>IF(OR($B708="",K$7=""),"",IF($B708="MEANS",INDEX('1-DATA'!$1:$1048576,$A707-1,COLUMN('1-DATA'!J706)),ROUND(INDEX('1-DATA'!$1:$1048576,IF(OR($B708="STD. DEVIATION",$C$1=1),$A708,$A708+1),COLUMN('1-DATA'!J706)),IF($B708="STD. DEVIATION",2,$F$1))))</f>
        <v/>
      </c>
      <c r="L708" s="1" t="str">
        <f>IF(OR($B708="",L$7=""),"",IF($B708="MEANS",INDEX('1-DATA'!$1:$1048576,$A707-1,COLUMN('1-DATA'!K706)),ROUND(INDEX('1-DATA'!$1:$1048576,IF(OR($B708="STD. DEVIATION",$C$1=1),$A708,$A708+1),COLUMN('1-DATA'!K706)),IF($B708="STD. DEVIATION",2,$F$1))))</f>
        <v/>
      </c>
      <c r="M708" s="1" t="str">
        <f>IF(OR($B708="",M$7=""),"",IF($B708="MEANS",INDEX('1-DATA'!$1:$1048576,$A707-1,COLUMN('1-DATA'!L706)),ROUND(INDEX('1-DATA'!$1:$1048576,IF(OR($B708="STD. DEVIATION",$C$1=1),$A708,$A708+1),COLUMN('1-DATA'!L706)),IF($B708="STD. DEVIATION",2,$F$1))))</f>
        <v/>
      </c>
      <c r="N708" s="1" t="str">
        <f>IF(OR($B708="",N$7=""),"",IF($B708="MEANS",INDEX('1-DATA'!$1:$1048576,$A707-1,COLUMN('1-DATA'!M706)),ROUND(INDEX('1-DATA'!$1:$1048576,IF(OR($B708="STD. DEVIATION",$C$1=1),$A708,$A708+1),COLUMN('1-DATA'!M706)),IF($B708="STD. DEVIATION",2,$F$1))))</f>
        <v/>
      </c>
      <c r="O708" s="1" t="str">
        <f>IF(OR($B708="",O$7=""),"",IF($B708="MEANS",INDEX('1-DATA'!$1:$1048576,$A707-1,COLUMN('1-DATA'!N706)),ROUND(INDEX('1-DATA'!$1:$1048576,IF(OR($B708="STD. DEVIATION",$C$1=1),$A708,$A708+1),COLUMN('1-DATA'!N706)),IF($B708="STD. DEVIATION",2,$F$1))))</f>
        <v/>
      </c>
      <c r="P708" s="1" t="str">
        <f>IF(OR($B708="",P$7=""),"",IF($B708="MEANS",INDEX('1-DATA'!$1:$1048576,$A707-1,COLUMN('1-DATA'!O706)),ROUND(INDEX('1-DATA'!$1:$1048576,IF(OR($B708="STD. DEVIATION",$C$1=1),$A708,$A708+1),COLUMN('1-DATA'!O706)),IF($B708="STD. DEVIATION",2,$F$1))))</f>
        <v/>
      </c>
      <c r="Q708" s="1" t="str">
        <f>IF(OR($B708="",Q$7=""),"",IF($B708="MEANS",INDEX('1-DATA'!$1:$1048576,$A707-1,COLUMN('1-DATA'!P706)),ROUND(INDEX('1-DATA'!$1:$1048576,IF(OR($B708="STD. DEVIATION",$C$1=1),$A708,$A708+1),COLUMN('1-DATA'!P706)),IF($B708="STD. DEVIATION",2,$F$1))))</f>
        <v/>
      </c>
      <c r="R708" s="1" t="str">
        <f>IF(OR($B708="",R$7=""),"",IF($B708="MEANS",INDEX('1-DATA'!$1:$1048576,$A707-1,COLUMN('1-DATA'!Q706)),ROUND(INDEX('1-DATA'!$1:$1048576,IF(OR($B708="STD. DEVIATION",$C$1=1),$A708,$A708+1),COLUMN('1-DATA'!Q706)),IF($B708="STD. DEVIATION",2,$F$1))))</f>
        <v/>
      </c>
      <c r="S708" s="1" t="str">
        <f>IF(OR($B708="",S$7=""),"",IF($B708="MEANS",INDEX('1-DATA'!$1:$1048576,$A707-1,COLUMN('1-DATA'!R706)),ROUND(INDEX('1-DATA'!$1:$1048576,IF(OR($B708="STD. DEVIATION",$C$1=1),$A708,$A708+1),COLUMN('1-DATA'!R706)),IF($B708="STD. DEVIATION",2,$F$1))))</f>
        <v/>
      </c>
      <c r="T708" s="1" t="str">
        <f>IF(OR($B708="",T$7=""),"",IF($B708="MEANS",INDEX('1-DATA'!$1:$1048576,$A707-1,COLUMN('1-DATA'!S706)),ROUND(INDEX('1-DATA'!$1:$1048576,IF(OR($B708="STD. DEVIATION",$C$1=1),$A708,$A708+1),COLUMN('1-DATA'!S706)),IF($B708="STD. DEVIATION",2,$F$1))))</f>
        <v/>
      </c>
      <c r="U708" s="1" t="str">
        <f>IF(OR($B708="",U$7=""),"",IF($B708="MEANS",INDEX('1-DATA'!$1:$1048576,$A707-1,COLUMN('1-DATA'!T706)),ROUND(INDEX('1-DATA'!$1:$1048576,IF(OR($B708="STD. DEVIATION",$C$1=1),$A708,$A708+1),COLUMN('1-DATA'!T706)),IF($B708="STD. DEVIATION",2,$F$1))))</f>
        <v/>
      </c>
      <c r="V708" s="1" t="str">
        <f>IF(OR($B708="",V$7=""),"",IF($B708="MEANS",INDEX('1-DATA'!$1:$1048576,$A707-1,COLUMN('1-DATA'!U706)),ROUND(INDEX('1-DATA'!$1:$1048576,IF(OR($B708="STD. DEVIATION",$C$1=1),$A708,$A708+1),COLUMN('1-DATA'!U706)),IF($B708="STD. DEVIATION",2,$F$1))))</f>
        <v/>
      </c>
      <c r="W708" s="1" t="str">
        <f>IF(OR($B708="",W$7=""),"",IF($B708="MEANS",INDEX('1-DATA'!$1:$1048576,$A707-1,COLUMN('1-DATA'!V706)),ROUND(INDEX('1-DATA'!$1:$1048576,IF(OR($B708="STD. DEVIATION",$C$1=1),$A708,$A708+1),COLUMN('1-DATA'!V706)),IF($B708="STD. DEVIATION",2,$F$1))))</f>
        <v/>
      </c>
      <c r="X708" s="1" t="str">
        <f>IF(OR($B708="",X$7=""),"",IF($B708="MEANS",INDEX('1-DATA'!$1:$1048576,$A707-1,COLUMN('1-DATA'!W706)),ROUND(INDEX('1-DATA'!$1:$1048576,IF(OR($B708="STD. DEVIATION",$C$1=1),$A708,$A708+1),COLUMN('1-DATA'!W706)),IF($B708="STD. DEVIATION",2,$F$1))))</f>
        <v/>
      </c>
      <c r="Y708" s="1" t="str">
        <f>IF(OR($B708="",Y$7=""),"",IF($B708="MEANS",INDEX('1-DATA'!$1:$1048576,$A707-1,COLUMN('1-DATA'!X706)),ROUND(INDEX('1-DATA'!$1:$1048576,IF(OR($B708="STD. DEVIATION",$C$1=1),$A708,$A708+1),COLUMN('1-DATA'!X706)),IF($B708="STD. DEVIATION",2,$F$1))))</f>
        <v/>
      </c>
      <c r="Z708" s="1" t="str">
        <f>IF(OR($B708="",Z$7=""),"",IF($B708="MEANS",INDEX('1-DATA'!$1:$1048576,$A707-1,COLUMN('1-DATA'!Y706)),ROUND(INDEX('1-DATA'!$1:$1048576,IF(OR($B708="STD. DEVIATION",$C$1=1),$A708,$A708+1),COLUMN('1-DATA'!Y706)),IF($B708="STD. DEVIATION",2,$F$1))))</f>
        <v/>
      </c>
      <c r="AA708" s="1" t="str">
        <f>IF(OR($B708="",AA$7=""),"",IF($B708="MEANS",INDEX('1-DATA'!$1:$1048576,$A707-1,COLUMN('1-DATA'!Z706)),ROUND(INDEX('1-DATA'!$1:$1048576,IF(OR($B708="STD. DEVIATION",$C$1=1),$A708,$A708+1),COLUMN('1-DATA'!Z706)),IF($B708="STD. DEVIATION",2,$F$1))))</f>
        <v/>
      </c>
      <c r="AB708" s="1" t="str">
        <f>IF(OR($B708="",AB$7=""),"",IF($B708="MEANS",INDEX('1-DATA'!$1:$1048576,$A707-1,COLUMN('1-DATA'!AA706)),ROUND(INDEX('1-DATA'!$1:$1048576,IF(OR($B708="STD. DEVIATION",$C$1=1),$A708,$A708+1),COLUMN('1-DATA'!AA706)),IF($B708="STD. DEVIATION",2,$F$1))))</f>
        <v/>
      </c>
      <c r="AC708" s="1" t="str">
        <f>IF(OR($B708="",AC$7=""),"",IF($B708="MEANS",INDEX('1-DATA'!$1:$1048576,$A707-1,COLUMN('1-DATA'!AB706)),ROUND(INDEX('1-DATA'!$1:$1048576,IF(OR($B708="STD. DEVIATION",$C$1=1),$A708,$A708+1),COLUMN('1-DATA'!AB706)),IF($B708="STD. DEVIATION",2,$F$1))))</f>
        <v/>
      </c>
      <c r="AD708" s="1" t="str">
        <f>IF(OR($B708="",AD$7=""),"",IF($B708="MEANS",INDEX('1-DATA'!$1:$1048576,$A707-1,COLUMN('1-DATA'!AC706)),ROUND(INDEX('1-DATA'!$1:$1048576,IF(OR($B708="STD. DEVIATION",$C$1=1),$A708,$A708+1),COLUMN('1-DATA'!AC706)),IF($B708="STD. DEVIATION",2,$F$1))))</f>
        <v/>
      </c>
      <c r="AE708" s="1" t="str">
        <f>IF(OR($B708="",AE$7=""),"",IF($B708="MEANS",INDEX('1-DATA'!$1:$1048576,$A707-1,COLUMN('1-DATA'!AD706)),ROUND(INDEX('1-DATA'!$1:$1048576,IF(OR($B708="STD. DEVIATION",$C$1=1),$A708,$A708+1),COLUMN('1-DATA'!AD706)),IF($B708="STD. DEVIATION",2,$F$1))))</f>
        <v/>
      </c>
      <c r="AF708" s="1" t="str">
        <f>IF(OR($B708="",AF$7=""),"",IF($B708="MEANS",INDEX('1-DATA'!$1:$1048576,$A707-1,COLUMN('1-DATA'!AE706)),ROUND(INDEX('1-DATA'!$1:$1048576,IF(OR($B708="STD. DEVIATION",$C$1=1),$A708,$A708+1),COLUMN('1-DATA'!AE706)),IF($B708="STD. DEVIATION",2,$F$1))))</f>
        <v/>
      </c>
      <c r="AG708" s="1" t="str">
        <f>IF(OR($B708="",AG$7=""),"",IF($B708="MEANS",INDEX('1-DATA'!$1:$1048576,$A707-1,COLUMN('1-DATA'!AF706)),ROUND(INDEX('1-DATA'!$1:$1048576,IF(OR($B708="STD. DEVIATION",$C$1=1),$A708,$A708+1),COLUMN('1-DATA'!AF706)),IF($B708="STD. DEVIATION",2,$F$1))))</f>
        <v/>
      </c>
      <c r="AH708" s="1" t="str">
        <f>IF(OR($B708="",AH$7=""),"",IF($B708="MEANS",INDEX('1-DATA'!$1:$1048576,$A707-1,COLUMN('1-DATA'!AG706)),ROUND(INDEX('1-DATA'!$1:$1048576,IF(OR($B708="STD. DEVIATION",$C$1=1),$A708,$A708+1),COLUMN('1-DATA'!AG706)),IF($B708="STD. DEVIATION",2,$F$1))))</f>
        <v/>
      </c>
      <c r="AI708" s="1" t="str">
        <f>IF(OR($B708="",AI$7=""),"",IF($B708="MEANS",INDEX('1-DATA'!$1:$1048576,$A707-1,COLUMN('1-DATA'!AH706)),ROUND(INDEX('1-DATA'!$1:$1048576,IF(OR($B708="STD. DEVIATION",$C$1=1),$A708,$A708+1),COLUMN('1-DATA'!AH706)),IF($B708="STD. DEVIATION",2,$F$1))))</f>
        <v/>
      </c>
      <c r="AJ708" s="1" t="str">
        <f>IF(OR($B708="",AJ$7=""),"",IF($B708="MEANS",INDEX('1-DATA'!$1:$1048576,$A707-1,COLUMN('1-DATA'!AI706)),ROUND(INDEX('1-DATA'!$1:$1048576,IF(OR($B708="STD. DEVIATION",$C$1=1),$A708,$A708+1),COLUMN('1-DATA'!AI706)),IF($B708="STD. DEVIATION",2,$F$1))))</f>
        <v/>
      </c>
      <c r="AK708" s="1" t="str">
        <f>IF(OR($B708="",AK$7=""),"",IF($B708="MEANS",INDEX('1-DATA'!$1:$1048576,$A707-1,COLUMN('1-DATA'!AJ706)),ROUND(INDEX('1-DATA'!$1:$1048576,IF(OR($B708="STD. DEVIATION",$C$1=1),$A708,$A708+1),COLUMN('1-DATA'!AJ706)),IF($B708="STD. DEVIATION",2,$F$1))))</f>
        <v/>
      </c>
      <c r="AL708" s="1" t="str">
        <f>IF(OR($B708="",AL$7=""),"",IF($B708="MEANS",INDEX('1-DATA'!$1:$1048576,$A707-1,COLUMN('1-DATA'!AK706)),ROUND(INDEX('1-DATA'!$1:$1048576,IF(OR($B708="STD. DEVIATION",$C$1=1),$A708,$A708+1),COLUMN('1-DATA'!AK706)),IF($B708="STD. DEVIATION",2,$F$1))))</f>
        <v/>
      </c>
      <c r="AM708" s="1" t="str">
        <f>IF(OR($B708="",AM$7=""),"",IF($B708="MEANS",INDEX('1-DATA'!$1:$1048576,$A707-1,COLUMN('1-DATA'!AL706)),ROUND(INDEX('1-DATA'!$1:$1048576,IF(OR($B708="STD. DEVIATION",$C$1=1),$A708,$A708+1),COLUMN('1-DATA'!AL706)),IF($B708="STD. DEVIATION",2,$F$1))))</f>
        <v/>
      </c>
      <c r="AN708" s="1" t="str">
        <f>IF(OR($B708="",AN$7=""),"",IF($B708="MEANS",INDEX('1-DATA'!$1:$1048576,$A707-1,COLUMN('1-DATA'!AM706)),ROUND(INDEX('1-DATA'!$1:$1048576,IF(OR($B708="STD. DEVIATION",$C$1=1),$A708,$A708+1),COLUMN('1-DATA'!AM706)),IF($B708="STD. DEVIATION",2,$F$1))))</f>
        <v/>
      </c>
      <c r="AO708" s="1" t="str">
        <f>IF(OR($B708="",AO$7=""),"",IF($B708="MEANS",INDEX('1-DATA'!$1:$1048576,$A707-1,COLUMN('1-DATA'!AN706)),ROUND(INDEX('1-DATA'!$1:$1048576,IF(OR($B708="STD. DEVIATION",$C$1=1),$A708,$A708+1),COLUMN('1-DATA'!AN706)),IF($B708="STD. DEVIATION",2,$F$1))))</f>
        <v/>
      </c>
      <c r="AP708" s="1" t="str">
        <f>IF(OR($B708="",AP$7=""),"",IF($B708="MEANS",INDEX('1-DATA'!$1:$1048576,$A707-1,COLUMN('1-DATA'!AO706)),ROUND(INDEX('1-DATA'!$1:$1048576,IF(OR($B708="STD. DEVIATION",$C$1=1),$A708,$A708+1),COLUMN('1-DATA'!AO706)),IF($B708="STD. DEVIATION",2,$F$1))))</f>
        <v/>
      </c>
      <c r="AQ708" s="1" t="str">
        <f>IF(OR($B708="",AQ$7=""),"",IF($B708="MEANS",INDEX('1-DATA'!$1:$1048576,$A707-1,COLUMN('1-DATA'!AP706)),ROUND(INDEX('1-DATA'!$1:$1048576,IF(OR($B708="STD. DEVIATION",$C$1=1),$A708,$A708+1),COLUMN('1-DATA'!AP706)),IF($B708="STD. DEVIATION",2,$F$1))))</f>
        <v/>
      </c>
      <c r="AR708" s="1" t="str">
        <f>IF(OR($B708="",AR$7=""),"",IF($B708="MEANS",INDEX('1-DATA'!$1:$1048576,$A707-1,COLUMN('1-DATA'!AQ706)),ROUND(INDEX('1-DATA'!$1:$1048576,IF(OR($B708="STD. DEVIATION",$C$1=1),$A708,$A708+1),COLUMN('1-DATA'!AQ706)),IF($B708="STD. DEVIATION",2,$F$1))))</f>
        <v/>
      </c>
      <c r="AS708" s="1" t="str">
        <f>IF(OR($B708="",AS$7=""),"",IF($B708="MEANS",INDEX('1-DATA'!$1:$1048576,$A707-1,COLUMN('1-DATA'!AR706)),ROUND(INDEX('1-DATA'!$1:$1048576,IF(OR($B708="STD. DEVIATION",$C$1=1),$A708,$A708+1),COLUMN('1-DATA'!AR706)),IF($B708="STD. DEVIATION",2,$F$1))))</f>
        <v/>
      </c>
      <c r="AT708" s="1" t="str">
        <f>IF(OR($B708="",AT$7=""),"",IF($B708="MEANS",INDEX('1-DATA'!$1:$1048576,$A707-1,COLUMN('1-DATA'!AS706)),ROUND(INDEX('1-DATA'!$1:$1048576,IF(OR($B708="STD. DEVIATION",$C$1=1),$A708,$A708+1),COLUMN('1-DATA'!AS706)),IF($B708="STD. DEVIATION",2,$F$1))))</f>
        <v/>
      </c>
      <c r="AU708" s="1" t="str">
        <f>IF(OR($B708="",AU$7=""),"",IF($B708="MEANS",INDEX('1-DATA'!$1:$1048576,$A707-1,COLUMN('1-DATA'!AT706)),ROUND(INDEX('1-DATA'!$1:$1048576,IF(OR($B708="STD. DEVIATION",$C$1=1),$A708,$A708+1),COLUMN('1-DATA'!AT706)),IF($B708="STD. DEVIATION",2,$F$1))))</f>
        <v/>
      </c>
      <c r="AV708" s="1" t="str">
        <f>IF(OR($B708="",AV$7=""),"",IF($B708="MEANS",INDEX('1-DATA'!$1:$1048576,$A707-1,COLUMN('1-DATA'!AU706)),ROUND(INDEX('1-DATA'!$1:$1048576,IF(OR($B708="STD. DEVIATION",$C$1=1),$A708,$A708+1),COLUMN('1-DATA'!AU706)),IF($B708="STD. DEVIATION",2,$F$1))))</f>
        <v/>
      </c>
      <c r="AW708" s="1" t="str">
        <f>IF(OR($B708="",AW$7=""),"",IF($B708="MEANS",INDEX('1-DATA'!$1:$1048576,$A707-1,COLUMN('1-DATA'!AV706)),ROUND(INDEX('1-DATA'!$1:$1048576,IF(OR($B708="STD. DEVIATION",$C$1=1),$A708,$A708+1),COLUMN('1-DATA'!AV706)),IF($B708="STD. DEVIATION",2,$F$1))))</f>
        <v/>
      </c>
      <c r="AX708" s="1" t="str">
        <f>IF(OR($B708="",AX$7=""),"",IF($B708="MEANS",INDEX('1-DATA'!$1:$1048576,$A707-1,COLUMN('1-DATA'!AW706)),ROUND(INDEX('1-DATA'!$1:$1048576,IF(OR($B708="STD. DEVIATION",$C$1=1),$A708,$A708+1),COLUMN('1-DATA'!AW706)),IF($B708="STD. DEVIATION",2,$F$1))))</f>
        <v/>
      </c>
      <c r="AY708" s="1" t="str">
        <f>IF(OR($B708="",AY$7=""),"",IF($B708="MEANS",INDEX('1-DATA'!$1:$1048576,$A707-1,COLUMN('1-DATA'!AX706)),ROUND(INDEX('1-DATA'!$1:$1048576,IF(OR($B708="STD. DEVIATION",$C$1=1),$A708,$A708+1),COLUMN('1-DATA'!AX706)),IF($B708="STD. DEVIATION",2,$F$1))))</f>
        <v/>
      </c>
      <c r="AZ708" s="1" t="str">
        <f>IF(OR($B708="",AZ$7=""),"",IF($B708="MEANS",INDEX('1-DATA'!$1:$1048576,$A707-1,COLUMN('1-DATA'!AY706)),ROUND(INDEX('1-DATA'!$1:$1048576,IF(OR($B708="STD. DEVIATION",$C$1=1),$A708,$A708+1),COLUMN('1-DATA'!AY706)),IF($B708="STD. DEVIATION",2,$F$1))))</f>
        <v/>
      </c>
    </row>
    <row r="709" spans="1:52" x14ac:dyDescent="0.25">
      <c r="A709" s="11">
        <f t="shared" si="11"/>
        <v>2113</v>
      </c>
      <c r="B709" s="1" t="str">
        <f>IF(B708="STD. DEVIATION",INDEX('1-DATA'!$1:$1048576,$A708-1,1),IF(INDEX('1-DATA'!$1:$1048576,$A709,1)&lt;&gt;"",INDEX('1-DATA'!$1:$1048576,$A709,1),""))</f>
        <v/>
      </c>
      <c r="C709" s="1" t="str">
        <f>IF(OR($B709="",C$7=""),"",IF($B709="MEANS",INDEX('1-DATA'!$1:$1048576,$A708-1,COLUMN('1-DATA'!B707)),ROUND(INDEX('1-DATA'!$1:$1048576,IF(OR($B709="STD. DEVIATION",$C$1=1),$A709,$A709+1),COLUMN('1-DATA'!B707)),IF($B709="STD. DEVIATION",2,$F$1))))</f>
        <v/>
      </c>
      <c r="D709" s="1" t="str">
        <f>IF(OR($B709="",D$7=""),"",IF($B709="MEANS",INDEX('1-DATA'!$1:$1048576,$A708-1,COLUMN('1-DATA'!C707)),ROUND(INDEX('1-DATA'!$1:$1048576,IF(OR($B709="STD. DEVIATION",$C$1=1),$A709,$A709+1),COLUMN('1-DATA'!C707)),IF($B709="STD. DEVIATION",2,$F$1))))</f>
        <v/>
      </c>
      <c r="E709" s="1" t="str">
        <f>IF(OR($B709="",E$7=""),"",IF($B709="MEANS",INDEX('1-DATA'!$1:$1048576,$A708-1,COLUMN('1-DATA'!D707)),ROUND(INDEX('1-DATA'!$1:$1048576,IF(OR($B709="STD. DEVIATION",$C$1=1),$A709,$A709+1),COLUMN('1-DATA'!D707)),IF($B709="STD. DEVIATION",2,$F$1))))</f>
        <v/>
      </c>
      <c r="F709" s="1" t="str">
        <f>IF(OR($B709="",F$7=""),"",IF($B709="MEANS",INDEX('1-DATA'!$1:$1048576,$A708-1,COLUMN('1-DATA'!E707)),ROUND(INDEX('1-DATA'!$1:$1048576,IF(OR($B709="STD. DEVIATION",$C$1=1),$A709,$A709+1),COLUMN('1-DATA'!E707)),IF($B709="STD. DEVIATION",2,$F$1))))</f>
        <v/>
      </c>
      <c r="G709" s="1" t="str">
        <f>IF(OR($B709="",G$7=""),"",IF($B709="MEANS",INDEX('1-DATA'!$1:$1048576,$A708-1,COLUMN('1-DATA'!F707)),ROUND(INDEX('1-DATA'!$1:$1048576,IF(OR($B709="STD. DEVIATION",$C$1=1),$A709,$A709+1),COLUMN('1-DATA'!F707)),IF($B709="STD. DEVIATION",2,$F$1))))</f>
        <v/>
      </c>
      <c r="H709" s="1" t="str">
        <f>IF(OR($B709="",H$7=""),"",IF($B709="MEANS",INDEX('1-DATA'!$1:$1048576,$A708-1,COLUMN('1-DATA'!G707)),ROUND(INDEX('1-DATA'!$1:$1048576,IF(OR($B709="STD. DEVIATION",$C$1=1),$A709,$A709+1),COLUMN('1-DATA'!G707)),IF($B709="STD. DEVIATION",2,$F$1))))</f>
        <v/>
      </c>
      <c r="I709" s="1" t="str">
        <f>IF(OR($B709="",I$7=""),"",IF($B709="MEANS",INDEX('1-DATA'!$1:$1048576,$A708-1,COLUMN('1-DATA'!H707)),ROUND(INDEX('1-DATA'!$1:$1048576,IF(OR($B709="STD. DEVIATION",$C$1=1),$A709,$A709+1),COLUMN('1-DATA'!H707)),IF($B709="STD. DEVIATION",2,$F$1))))</f>
        <v/>
      </c>
      <c r="J709" s="1" t="str">
        <f>IF(OR($B709="",J$7=""),"",IF($B709="MEANS",INDEX('1-DATA'!$1:$1048576,$A708-1,COLUMN('1-DATA'!I707)),ROUND(INDEX('1-DATA'!$1:$1048576,IF(OR($B709="STD. DEVIATION",$C$1=1),$A709,$A709+1),COLUMN('1-DATA'!I707)),IF($B709="STD. DEVIATION",2,$F$1))))</f>
        <v/>
      </c>
      <c r="K709" s="1" t="str">
        <f>IF(OR($B709="",K$7=""),"",IF($B709="MEANS",INDEX('1-DATA'!$1:$1048576,$A708-1,COLUMN('1-DATA'!J707)),ROUND(INDEX('1-DATA'!$1:$1048576,IF(OR($B709="STD. DEVIATION",$C$1=1),$A709,$A709+1),COLUMN('1-DATA'!J707)),IF($B709="STD. DEVIATION",2,$F$1))))</f>
        <v/>
      </c>
      <c r="L709" s="1" t="str">
        <f>IF(OR($B709="",L$7=""),"",IF($B709="MEANS",INDEX('1-DATA'!$1:$1048576,$A708-1,COLUMN('1-DATA'!K707)),ROUND(INDEX('1-DATA'!$1:$1048576,IF(OR($B709="STD. DEVIATION",$C$1=1),$A709,$A709+1),COLUMN('1-DATA'!K707)),IF($B709="STD. DEVIATION",2,$F$1))))</f>
        <v/>
      </c>
      <c r="M709" s="1" t="str">
        <f>IF(OR($B709="",M$7=""),"",IF($B709="MEANS",INDEX('1-DATA'!$1:$1048576,$A708-1,COLUMN('1-DATA'!L707)),ROUND(INDEX('1-DATA'!$1:$1048576,IF(OR($B709="STD. DEVIATION",$C$1=1),$A709,$A709+1),COLUMN('1-DATA'!L707)),IF($B709="STD. DEVIATION",2,$F$1))))</f>
        <v/>
      </c>
      <c r="N709" s="1" t="str">
        <f>IF(OR($B709="",N$7=""),"",IF($B709="MEANS",INDEX('1-DATA'!$1:$1048576,$A708-1,COLUMN('1-DATA'!M707)),ROUND(INDEX('1-DATA'!$1:$1048576,IF(OR($B709="STD. DEVIATION",$C$1=1),$A709,$A709+1),COLUMN('1-DATA'!M707)),IF($B709="STD. DEVIATION",2,$F$1))))</f>
        <v/>
      </c>
      <c r="O709" s="1" t="str">
        <f>IF(OR($B709="",O$7=""),"",IF($B709="MEANS",INDEX('1-DATA'!$1:$1048576,$A708-1,COLUMN('1-DATA'!N707)),ROUND(INDEX('1-DATA'!$1:$1048576,IF(OR($B709="STD. DEVIATION",$C$1=1),$A709,$A709+1),COLUMN('1-DATA'!N707)),IF($B709="STD. DEVIATION",2,$F$1))))</f>
        <v/>
      </c>
      <c r="P709" s="1" t="str">
        <f>IF(OR($B709="",P$7=""),"",IF($B709="MEANS",INDEX('1-DATA'!$1:$1048576,$A708-1,COLUMN('1-DATA'!O707)),ROUND(INDEX('1-DATA'!$1:$1048576,IF(OR($B709="STD. DEVIATION",$C$1=1),$A709,$A709+1),COLUMN('1-DATA'!O707)),IF($B709="STD. DEVIATION",2,$F$1))))</f>
        <v/>
      </c>
      <c r="Q709" s="1" t="str">
        <f>IF(OR($B709="",Q$7=""),"",IF($B709="MEANS",INDEX('1-DATA'!$1:$1048576,$A708-1,COLUMN('1-DATA'!P707)),ROUND(INDEX('1-DATA'!$1:$1048576,IF(OR($B709="STD. DEVIATION",$C$1=1),$A709,$A709+1),COLUMN('1-DATA'!P707)),IF($B709="STD. DEVIATION",2,$F$1))))</f>
        <v/>
      </c>
      <c r="R709" s="1" t="str">
        <f>IF(OR($B709="",R$7=""),"",IF($B709="MEANS",INDEX('1-DATA'!$1:$1048576,$A708-1,COLUMN('1-DATA'!Q707)),ROUND(INDEX('1-DATA'!$1:$1048576,IF(OR($B709="STD. DEVIATION",$C$1=1),$A709,$A709+1),COLUMN('1-DATA'!Q707)),IF($B709="STD. DEVIATION",2,$F$1))))</f>
        <v/>
      </c>
      <c r="S709" s="1" t="str">
        <f>IF(OR($B709="",S$7=""),"",IF($B709="MEANS",INDEX('1-DATA'!$1:$1048576,$A708-1,COLUMN('1-DATA'!R707)),ROUND(INDEX('1-DATA'!$1:$1048576,IF(OR($B709="STD. DEVIATION",$C$1=1),$A709,$A709+1),COLUMN('1-DATA'!R707)),IF($B709="STD. DEVIATION",2,$F$1))))</f>
        <v/>
      </c>
      <c r="T709" s="1" t="str">
        <f>IF(OR($B709="",T$7=""),"",IF($B709="MEANS",INDEX('1-DATA'!$1:$1048576,$A708-1,COLUMN('1-DATA'!S707)),ROUND(INDEX('1-DATA'!$1:$1048576,IF(OR($B709="STD. DEVIATION",$C$1=1),$A709,$A709+1),COLUMN('1-DATA'!S707)),IF($B709="STD. DEVIATION",2,$F$1))))</f>
        <v/>
      </c>
      <c r="U709" s="1" t="str">
        <f>IF(OR($B709="",U$7=""),"",IF($B709="MEANS",INDEX('1-DATA'!$1:$1048576,$A708-1,COLUMN('1-DATA'!T707)),ROUND(INDEX('1-DATA'!$1:$1048576,IF(OR($B709="STD. DEVIATION",$C$1=1),$A709,$A709+1),COLUMN('1-DATA'!T707)),IF($B709="STD. DEVIATION",2,$F$1))))</f>
        <v/>
      </c>
      <c r="V709" s="1" t="str">
        <f>IF(OR($B709="",V$7=""),"",IF($B709="MEANS",INDEX('1-DATA'!$1:$1048576,$A708-1,COLUMN('1-DATA'!U707)),ROUND(INDEX('1-DATA'!$1:$1048576,IF(OR($B709="STD. DEVIATION",$C$1=1),$A709,$A709+1),COLUMN('1-DATA'!U707)),IF($B709="STD. DEVIATION",2,$F$1))))</f>
        <v/>
      </c>
      <c r="W709" s="1" t="str">
        <f>IF(OR($B709="",W$7=""),"",IF($B709="MEANS",INDEX('1-DATA'!$1:$1048576,$A708-1,COLUMN('1-DATA'!V707)),ROUND(INDEX('1-DATA'!$1:$1048576,IF(OR($B709="STD. DEVIATION",$C$1=1),$A709,$A709+1),COLUMN('1-DATA'!V707)),IF($B709="STD. DEVIATION",2,$F$1))))</f>
        <v/>
      </c>
      <c r="X709" s="1" t="str">
        <f>IF(OR($B709="",X$7=""),"",IF($B709="MEANS",INDEX('1-DATA'!$1:$1048576,$A708-1,COLUMN('1-DATA'!W707)),ROUND(INDEX('1-DATA'!$1:$1048576,IF(OR($B709="STD. DEVIATION",$C$1=1),$A709,$A709+1),COLUMN('1-DATA'!W707)),IF($B709="STD. DEVIATION",2,$F$1))))</f>
        <v/>
      </c>
      <c r="Y709" s="1" t="str">
        <f>IF(OR($B709="",Y$7=""),"",IF($B709="MEANS",INDEX('1-DATA'!$1:$1048576,$A708-1,COLUMN('1-DATA'!X707)),ROUND(INDEX('1-DATA'!$1:$1048576,IF(OR($B709="STD. DEVIATION",$C$1=1),$A709,$A709+1),COLUMN('1-DATA'!X707)),IF($B709="STD. DEVIATION",2,$F$1))))</f>
        <v/>
      </c>
      <c r="Z709" s="1" t="str">
        <f>IF(OR($B709="",Z$7=""),"",IF($B709="MEANS",INDEX('1-DATA'!$1:$1048576,$A708-1,COLUMN('1-DATA'!Y707)),ROUND(INDEX('1-DATA'!$1:$1048576,IF(OR($B709="STD. DEVIATION",$C$1=1),$A709,$A709+1),COLUMN('1-DATA'!Y707)),IF($B709="STD. DEVIATION",2,$F$1))))</f>
        <v/>
      </c>
      <c r="AA709" s="1" t="str">
        <f>IF(OR($B709="",AA$7=""),"",IF($B709="MEANS",INDEX('1-DATA'!$1:$1048576,$A708-1,COLUMN('1-DATA'!Z707)),ROUND(INDEX('1-DATA'!$1:$1048576,IF(OR($B709="STD. DEVIATION",$C$1=1),$A709,$A709+1),COLUMN('1-DATA'!Z707)),IF($B709="STD. DEVIATION",2,$F$1))))</f>
        <v/>
      </c>
      <c r="AB709" s="1" t="str">
        <f>IF(OR($B709="",AB$7=""),"",IF($B709="MEANS",INDEX('1-DATA'!$1:$1048576,$A708-1,COLUMN('1-DATA'!AA707)),ROUND(INDEX('1-DATA'!$1:$1048576,IF(OR($B709="STD. DEVIATION",$C$1=1),$A709,$A709+1),COLUMN('1-DATA'!AA707)),IF($B709="STD. DEVIATION",2,$F$1))))</f>
        <v/>
      </c>
      <c r="AC709" s="1" t="str">
        <f>IF(OR($B709="",AC$7=""),"",IF($B709="MEANS",INDEX('1-DATA'!$1:$1048576,$A708-1,COLUMN('1-DATA'!AB707)),ROUND(INDEX('1-DATA'!$1:$1048576,IF(OR($B709="STD. DEVIATION",$C$1=1),$A709,$A709+1),COLUMN('1-DATA'!AB707)),IF($B709="STD. DEVIATION",2,$F$1))))</f>
        <v/>
      </c>
      <c r="AD709" s="1" t="str">
        <f>IF(OR($B709="",AD$7=""),"",IF($B709="MEANS",INDEX('1-DATA'!$1:$1048576,$A708-1,COLUMN('1-DATA'!AC707)),ROUND(INDEX('1-DATA'!$1:$1048576,IF(OR($B709="STD. DEVIATION",$C$1=1),$A709,$A709+1),COLUMN('1-DATA'!AC707)),IF($B709="STD. DEVIATION",2,$F$1))))</f>
        <v/>
      </c>
      <c r="AE709" s="1" t="str">
        <f>IF(OR($B709="",AE$7=""),"",IF($B709="MEANS",INDEX('1-DATA'!$1:$1048576,$A708-1,COLUMN('1-DATA'!AD707)),ROUND(INDEX('1-DATA'!$1:$1048576,IF(OR($B709="STD. DEVIATION",$C$1=1),$A709,$A709+1),COLUMN('1-DATA'!AD707)),IF($B709="STD. DEVIATION",2,$F$1))))</f>
        <v/>
      </c>
      <c r="AF709" s="1" t="str">
        <f>IF(OR($B709="",AF$7=""),"",IF($B709="MEANS",INDEX('1-DATA'!$1:$1048576,$A708-1,COLUMN('1-DATA'!AE707)),ROUND(INDEX('1-DATA'!$1:$1048576,IF(OR($B709="STD. DEVIATION",$C$1=1),$A709,$A709+1),COLUMN('1-DATA'!AE707)),IF($B709="STD. DEVIATION",2,$F$1))))</f>
        <v/>
      </c>
      <c r="AG709" s="1" t="str">
        <f>IF(OR($B709="",AG$7=""),"",IF($B709="MEANS",INDEX('1-DATA'!$1:$1048576,$A708-1,COLUMN('1-DATA'!AF707)),ROUND(INDEX('1-DATA'!$1:$1048576,IF(OR($B709="STD. DEVIATION",$C$1=1),$A709,$A709+1),COLUMN('1-DATA'!AF707)),IF($B709="STD. DEVIATION",2,$F$1))))</f>
        <v/>
      </c>
      <c r="AH709" s="1" t="str">
        <f>IF(OR($B709="",AH$7=""),"",IF($B709="MEANS",INDEX('1-DATA'!$1:$1048576,$A708-1,COLUMN('1-DATA'!AG707)),ROUND(INDEX('1-DATA'!$1:$1048576,IF(OR($B709="STD. DEVIATION",$C$1=1),$A709,$A709+1),COLUMN('1-DATA'!AG707)),IF($B709="STD. DEVIATION",2,$F$1))))</f>
        <v/>
      </c>
      <c r="AI709" s="1" t="str">
        <f>IF(OR($B709="",AI$7=""),"",IF($B709="MEANS",INDEX('1-DATA'!$1:$1048576,$A708-1,COLUMN('1-DATA'!AH707)),ROUND(INDEX('1-DATA'!$1:$1048576,IF(OR($B709="STD. DEVIATION",$C$1=1),$A709,$A709+1),COLUMN('1-DATA'!AH707)),IF($B709="STD. DEVIATION",2,$F$1))))</f>
        <v/>
      </c>
      <c r="AJ709" s="1" t="str">
        <f>IF(OR($B709="",AJ$7=""),"",IF($B709="MEANS",INDEX('1-DATA'!$1:$1048576,$A708-1,COLUMN('1-DATA'!AI707)),ROUND(INDEX('1-DATA'!$1:$1048576,IF(OR($B709="STD. DEVIATION",$C$1=1),$A709,$A709+1),COLUMN('1-DATA'!AI707)),IF($B709="STD. DEVIATION",2,$F$1))))</f>
        <v/>
      </c>
      <c r="AK709" s="1" t="str">
        <f>IF(OR($B709="",AK$7=""),"",IF($B709="MEANS",INDEX('1-DATA'!$1:$1048576,$A708-1,COLUMN('1-DATA'!AJ707)),ROUND(INDEX('1-DATA'!$1:$1048576,IF(OR($B709="STD. DEVIATION",$C$1=1),$A709,$A709+1),COLUMN('1-DATA'!AJ707)),IF($B709="STD. DEVIATION",2,$F$1))))</f>
        <v/>
      </c>
      <c r="AL709" s="1" t="str">
        <f>IF(OR($B709="",AL$7=""),"",IF($B709="MEANS",INDEX('1-DATA'!$1:$1048576,$A708-1,COLUMN('1-DATA'!AK707)),ROUND(INDEX('1-DATA'!$1:$1048576,IF(OR($B709="STD. DEVIATION",$C$1=1),$A709,$A709+1),COLUMN('1-DATA'!AK707)),IF($B709="STD. DEVIATION",2,$F$1))))</f>
        <v/>
      </c>
      <c r="AM709" s="1" t="str">
        <f>IF(OR($B709="",AM$7=""),"",IF($B709="MEANS",INDEX('1-DATA'!$1:$1048576,$A708-1,COLUMN('1-DATA'!AL707)),ROUND(INDEX('1-DATA'!$1:$1048576,IF(OR($B709="STD. DEVIATION",$C$1=1),$A709,$A709+1),COLUMN('1-DATA'!AL707)),IF($B709="STD. DEVIATION",2,$F$1))))</f>
        <v/>
      </c>
      <c r="AN709" s="1" t="str">
        <f>IF(OR($B709="",AN$7=""),"",IF($B709="MEANS",INDEX('1-DATA'!$1:$1048576,$A708-1,COLUMN('1-DATA'!AM707)),ROUND(INDEX('1-DATA'!$1:$1048576,IF(OR($B709="STD. DEVIATION",$C$1=1),$A709,$A709+1),COLUMN('1-DATA'!AM707)),IF($B709="STD. DEVIATION",2,$F$1))))</f>
        <v/>
      </c>
      <c r="AO709" s="1" t="str">
        <f>IF(OR($B709="",AO$7=""),"",IF($B709="MEANS",INDEX('1-DATA'!$1:$1048576,$A708-1,COLUMN('1-DATA'!AN707)),ROUND(INDEX('1-DATA'!$1:$1048576,IF(OR($B709="STD. DEVIATION",$C$1=1),$A709,$A709+1),COLUMN('1-DATA'!AN707)),IF($B709="STD. DEVIATION",2,$F$1))))</f>
        <v/>
      </c>
      <c r="AP709" s="1" t="str">
        <f>IF(OR($B709="",AP$7=""),"",IF($B709="MEANS",INDEX('1-DATA'!$1:$1048576,$A708-1,COLUMN('1-DATA'!AO707)),ROUND(INDEX('1-DATA'!$1:$1048576,IF(OR($B709="STD. DEVIATION",$C$1=1),$A709,$A709+1),COLUMN('1-DATA'!AO707)),IF($B709="STD. DEVIATION",2,$F$1))))</f>
        <v/>
      </c>
      <c r="AQ709" s="1" t="str">
        <f>IF(OR($B709="",AQ$7=""),"",IF($B709="MEANS",INDEX('1-DATA'!$1:$1048576,$A708-1,COLUMN('1-DATA'!AP707)),ROUND(INDEX('1-DATA'!$1:$1048576,IF(OR($B709="STD. DEVIATION",$C$1=1),$A709,$A709+1),COLUMN('1-DATA'!AP707)),IF($B709="STD. DEVIATION",2,$F$1))))</f>
        <v/>
      </c>
      <c r="AR709" s="1" t="str">
        <f>IF(OR($B709="",AR$7=""),"",IF($B709="MEANS",INDEX('1-DATA'!$1:$1048576,$A708-1,COLUMN('1-DATA'!AQ707)),ROUND(INDEX('1-DATA'!$1:$1048576,IF(OR($B709="STD. DEVIATION",$C$1=1),$A709,$A709+1),COLUMN('1-DATA'!AQ707)),IF($B709="STD. DEVIATION",2,$F$1))))</f>
        <v/>
      </c>
      <c r="AS709" s="1" t="str">
        <f>IF(OR($B709="",AS$7=""),"",IF($B709="MEANS",INDEX('1-DATA'!$1:$1048576,$A708-1,COLUMN('1-DATA'!AR707)),ROUND(INDEX('1-DATA'!$1:$1048576,IF(OR($B709="STD. DEVIATION",$C$1=1),$A709,$A709+1),COLUMN('1-DATA'!AR707)),IF($B709="STD. DEVIATION",2,$F$1))))</f>
        <v/>
      </c>
      <c r="AT709" s="1" t="str">
        <f>IF(OR($B709="",AT$7=""),"",IF($B709="MEANS",INDEX('1-DATA'!$1:$1048576,$A708-1,COLUMN('1-DATA'!AS707)),ROUND(INDEX('1-DATA'!$1:$1048576,IF(OR($B709="STD. DEVIATION",$C$1=1),$A709,$A709+1),COLUMN('1-DATA'!AS707)),IF($B709="STD. DEVIATION",2,$F$1))))</f>
        <v/>
      </c>
      <c r="AU709" s="1" t="str">
        <f>IF(OR($B709="",AU$7=""),"",IF($B709="MEANS",INDEX('1-DATA'!$1:$1048576,$A708-1,COLUMN('1-DATA'!AT707)),ROUND(INDEX('1-DATA'!$1:$1048576,IF(OR($B709="STD. DEVIATION",$C$1=1),$A709,$A709+1),COLUMN('1-DATA'!AT707)),IF($B709="STD. DEVIATION",2,$F$1))))</f>
        <v/>
      </c>
      <c r="AV709" s="1" t="str">
        <f>IF(OR($B709="",AV$7=""),"",IF($B709="MEANS",INDEX('1-DATA'!$1:$1048576,$A708-1,COLUMN('1-DATA'!AU707)),ROUND(INDEX('1-DATA'!$1:$1048576,IF(OR($B709="STD. DEVIATION",$C$1=1),$A709,$A709+1),COLUMN('1-DATA'!AU707)),IF($B709="STD. DEVIATION",2,$F$1))))</f>
        <v/>
      </c>
      <c r="AW709" s="1" t="str">
        <f>IF(OR($B709="",AW$7=""),"",IF($B709="MEANS",INDEX('1-DATA'!$1:$1048576,$A708-1,COLUMN('1-DATA'!AV707)),ROUND(INDEX('1-DATA'!$1:$1048576,IF(OR($B709="STD. DEVIATION",$C$1=1),$A709,$A709+1),COLUMN('1-DATA'!AV707)),IF($B709="STD. DEVIATION",2,$F$1))))</f>
        <v/>
      </c>
      <c r="AX709" s="1" t="str">
        <f>IF(OR($B709="",AX$7=""),"",IF($B709="MEANS",INDEX('1-DATA'!$1:$1048576,$A708-1,COLUMN('1-DATA'!AW707)),ROUND(INDEX('1-DATA'!$1:$1048576,IF(OR($B709="STD. DEVIATION",$C$1=1),$A709,$A709+1),COLUMN('1-DATA'!AW707)),IF($B709="STD. DEVIATION",2,$F$1))))</f>
        <v/>
      </c>
      <c r="AY709" s="1" t="str">
        <f>IF(OR($B709="",AY$7=""),"",IF($B709="MEANS",INDEX('1-DATA'!$1:$1048576,$A708-1,COLUMN('1-DATA'!AX707)),ROUND(INDEX('1-DATA'!$1:$1048576,IF(OR($B709="STD. DEVIATION",$C$1=1),$A709,$A709+1),COLUMN('1-DATA'!AX707)),IF($B709="STD. DEVIATION",2,$F$1))))</f>
        <v/>
      </c>
      <c r="AZ709" s="1" t="str">
        <f>IF(OR($B709="",AZ$7=""),"",IF($B709="MEANS",INDEX('1-DATA'!$1:$1048576,$A708-1,COLUMN('1-DATA'!AY707)),ROUND(INDEX('1-DATA'!$1:$1048576,IF(OR($B709="STD. DEVIATION",$C$1=1),$A709,$A709+1),COLUMN('1-DATA'!AY707)),IF($B709="STD. DEVIATION",2,$F$1))))</f>
        <v/>
      </c>
    </row>
    <row r="710" spans="1:52" x14ac:dyDescent="0.25">
      <c r="A710" s="11">
        <f t="shared" si="11"/>
        <v>2116</v>
      </c>
      <c r="B710" s="1" t="str">
        <f>IF(B709="STD. DEVIATION",INDEX('1-DATA'!$1:$1048576,$A709-1,1),IF(INDEX('1-DATA'!$1:$1048576,$A710,1)&lt;&gt;"",INDEX('1-DATA'!$1:$1048576,$A710,1),""))</f>
        <v/>
      </c>
      <c r="C710" s="1" t="str">
        <f>IF(OR($B710="",C$7=""),"",IF($B710="MEANS",INDEX('1-DATA'!$1:$1048576,$A709-1,COLUMN('1-DATA'!B708)),ROUND(INDEX('1-DATA'!$1:$1048576,IF(OR($B710="STD. DEVIATION",$C$1=1),$A710,$A710+1),COLUMN('1-DATA'!B708)),IF($B710="STD. DEVIATION",2,$F$1))))</f>
        <v/>
      </c>
      <c r="D710" s="1" t="str">
        <f>IF(OR($B710="",D$7=""),"",IF($B710="MEANS",INDEX('1-DATA'!$1:$1048576,$A709-1,COLUMN('1-DATA'!C708)),ROUND(INDEX('1-DATA'!$1:$1048576,IF(OR($B710="STD. DEVIATION",$C$1=1),$A710,$A710+1),COLUMN('1-DATA'!C708)),IF($B710="STD. DEVIATION",2,$F$1))))</f>
        <v/>
      </c>
      <c r="E710" s="1" t="str">
        <f>IF(OR($B710="",E$7=""),"",IF($B710="MEANS",INDEX('1-DATA'!$1:$1048576,$A709-1,COLUMN('1-DATA'!D708)),ROUND(INDEX('1-DATA'!$1:$1048576,IF(OR($B710="STD. DEVIATION",$C$1=1),$A710,$A710+1),COLUMN('1-DATA'!D708)),IF($B710="STD. DEVIATION",2,$F$1))))</f>
        <v/>
      </c>
      <c r="F710" s="1" t="str">
        <f>IF(OR($B710="",F$7=""),"",IF($B710="MEANS",INDEX('1-DATA'!$1:$1048576,$A709-1,COLUMN('1-DATA'!E708)),ROUND(INDEX('1-DATA'!$1:$1048576,IF(OR($B710="STD. DEVIATION",$C$1=1),$A710,$A710+1),COLUMN('1-DATA'!E708)),IF($B710="STD. DEVIATION",2,$F$1))))</f>
        <v/>
      </c>
      <c r="G710" s="1" t="str">
        <f>IF(OR($B710="",G$7=""),"",IF($B710="MEANS",INDEX('1-DATA'!$1:$1048576,$A709-1,COLUMN('1-DATA'!F708)),ROUND(INDEX('1-DATA'!$1:$1048576,IF(OR($B710="STD. DEVIATION",$C$1=1),$A710,$A710+1),COLUMN('1-DATA'!F708)),IF($B710="STD. DEVIATION",2,$F$1))))</f>
        <v/>
      </c>
      <c r="H710" s="1" t="str">
        <f>IF(OR($B710="",H$7=""),"",IF($B710="MEANS",INDEX('1-DATA'!$1:$1048576,$A709-1,COLUMN('1-DATA'!G708)),ROUND(INDEX('1-DATA'!$1:$1048576,IF(OR($B710="STD. DEVIATION",$C$1=1),$A710,$A710+1),COLUMN('1-DATA'!G708)),IF($B710="STD. DEVIATION",2,$F$1))))</f>
        <v/>
      </c>
      <c r="I710" s="1" t="str">
        <f>IF(OR($B710="",I$7=""),"",IF($B710="MEANS",INDEX('1-DATA'!$1:$1048576,$A709-1,COLUMN('1-DATA'!H708)),ROUND(INDEX('1-DATA'!$1:$1048576,IF(OR($B710="STD. DEVIATION",$C$1=1),$A710,$A710+1),COLUMN('1-DATA'!H708)),IF($B710="STD. DEVIATION",2,$F$1))))</f>
        <v/>
      </c>
      <c r="J710" s="1" t="str">
        <f>IF(OR($B710="",J$7=""),"",IF($B710="MEANS",INDEX('1-DATA'!$1:$1048576,$A709-1,COLUMN('1-DATA'!I708)),ROUND(INDEX('1-DATA'!$1:$1048576,IF(OR($B710="STD. DEVIATION",$C$1=1),$A710,$A710+1),COLUMN('1-DATA'!I708)),IF($B710="STD. DEVIATION",2,$F$1))))</f>
        <v/>
      </c>
      <c r="K710" s="1" t="str">
        <f>IF(OR($B710="",K$7=""),"",IF($B710="MEANS",INDEX('1-DATA'!$1:$1048576,$A709-1,COLUMN('1-DATA'!J708)),ROUND(INDEX('1-DATA'!$1:$1048576,IF(OR($B710="STD. DEVIATION",$C$1=1),$A710,$A710+1),COLUMN('1-DATA'!J708)),IF($B710="STD. DEVIATION",2,$F$1))))</f>
        <v/>
      </c>
      <c r="L710" s="1" t="str">
        <f>IF(OR($B710="",L$7=""),"",IF($B710="MEANS",INDEX('1-DATA'!$1:$1048576,$A709-1,COLUMN('1-DATA'!K708)),ROUND(INDEX('1-DATA'!$1:$1048576,IF(OR($B710="STD. DEVIATION",$C$1=1),$A710,$A710+1),COLUMN('1-DATA'!K708)),IF($B710="STD. DEVIATION",2,$F$1))))</f>
        <v/>
      </c>
      <c r="M710" s="1" t="str">
        <f>IF(OR($B710="",M$7=""),"",IF($B710="MEANS",INDEX('1-DATA'!$1:$1048576,$A709-1,COLUMN('1-DATA'!L708)),ROUND(INDEX('1-DATA'!$1:$1048576,IF(OR($B710="STD. DEVIATION",$C$1=1),$A710,$A710+1),COLUMN('1-DATA'!L708)),IF($B710="STD. DEVIATION",2,$F$1))))</f>
        <v/>
      </c>
      <c r="N710" s="1" t="str">
        <f>IF(OR($B710="",N$7=""),"",IF($B710="MEANS",INDEX('1-DATA'!$1:$1048576,$A709-1,COLUMN('1-DATA'!M708)),ROUND(INDEX('1-DATA'!$1:$1048576,IF(OR($B710="STD. DEVIATION",$C$1=1),$A710,$A710+1),COLUMN('1-DATA'!M708)),IF($B710="STD. DEVIATION",2,$F$1))))</f>
        <v/>
      </c>
      <c r="O710" s="1" t="str">
        <f>IF(OR($B710="",O$7=""),"",IF($B710="MEANS",INDEX('1-DATA'!$1:$1048576,$A709-1,COLUMN('1-DATA'!N708)),ROUND(INDEX('1-DATA'!$1:$1048576,IF(OR($B710="STD. DEVIATION",$C$1=1),$A710,$A710+1),COLUMN('1-DATA'!N708)),IF($B710="STD. DEVIATION",2,$F$1))))</f>
        <v/>
      </c>
      <c r="P710" s="1" t="str">
        <f>IF(OR($B710="",P$7=""),"",IF($B710="MEANS",INDEX('1-DATA'!$1:$1048576,$A709-1,COLUMN('1-DATA'!O708)),ROUND(INDEX('1-DATA'!$1:$1048576,IF(OR($B710="STD. DEVIATION",$C$1=1),$A710,$A710+1),COLUMN('1-DATA'!O708)),IF($B710="STD. DEVIATION",2,$F$1))))</f>
        <v/>
      </c>
      <c r="Q710" s="1" t="str">
        <f>IF(OR($B710="",Q$7=""),"",IF($B710="MEANS",INDEX('1-DATA'!$1:$1048576,$A709-1,COLUMN('1-DATA'!P708)),ROUND(INDEX('1-DATA'!$1:$1048576,IF(OR($B710="STD. DEVIATION",$C$1=1),$A710,$A710+1),COLUMN('1-DATA'!P708)),IF($B710="STD. DEVIATION",2,$F$1))))</f>
        <v/>
      </c>
      <c r="R710" s="1" t="str">
        <f>IF(OR($B710="",R$7=""),"",IF($B710="MEANS",INDEX('1-DATA'!$1:$1048576,$A709-1,COLUMN('1-DATA'!Q708)),ROUND(INDEX('1-DATA'!$1:$1048576,IF(OR($B710="STD. DEVIATION",$C$1=1),$A710,$A710+1),COLUMN('1-DATA'!Q708)),IF($B710="STD. DEVIATION",2,$F$1))))</f>
        <v/>
      </c>
      <c r="S710" s="1" t="str">
        <f>IF(OR($B710="",S$7=""),"",IF($B710="MEANS",INDEX('1-DATA'!$1:$1048576,$A709-1,COLUMN('1-DATA'!R708)),ROUND(INDEX('1-DATA'!$1:$1048576,IF(OR($B710="STD. DEVIATION",$C$1=1),$A710,$A710+1),COLUMN('1-DATA'!R708)),IF($B710="STD. DEVIATION",2,$F$1))))</f>
        <v/>
      </c>
      <c r="T710" s="1" t="str">
        <f>IF(OR($B710="",T$7=""),"",IF($B710="MEANS",INDEX('1-DATA'!$1:$1048576,$A709-1,COLUMN('1-DATA'!S708)),ROUND(INDEX('1-DATA'!$1:$1048576,IF(OR($B710="STD. DEVIATION",$C$1=1),$A710,$A710+1),COLUMN('1-DATA'!S708)),IF($B710="STD. DEVIATION",2,$F$1))))</f>
        <v/>
      </c>
      <c r="U710" s="1" t="str">
        <f>IF(OR($B710="",U$7=""),"",IF($B710="MEANS",INDEX('1-DATA'!$1:$1048576,$A709-1,COLUMN('1-DATA'!T708)),ROUND(INDEX('1-DATA'!$1:$1048576,IF(OR($B710="STD. DEVIATION",$C$1=1),$A710,$A710+1),COLUMN('1-DATA'!T708)),IF($B710="STD. DEVIATION",2,$F$1))))</f>
        <v/>
      </c>
      <c r="V710" s="1" t="str">
        <f>IF(OR($B710="",V$7=""),"",IF($B710="MEANS",INDEX('1-DATA'!$1:$1048576,$A709-1,COLUMN('1-DATA'!U708)),ROUND(INDEX('1-DATA'!$1:$1048576,IF(OR($B710="STD. DEVIATION",$C$1=1),$A710,$A710+1),COLUMN('1-DATA'!U708)),IF($B710="STD. DEVIATION",2,$F$1))))</f>
        <v/>
      </c>
      <c r="W710" s="1" t="str">
        <f>IF(OR($B710="",W$7=""),"",IF($B710="MEANS",INDEX('1-DATA'!$1:$1048576,$A709-1,COLUMN('1-DATA'!V708)),ROUND(INDEX('1-DATA'!$1:$1048576,IF(OR($B710="STD. DEVIATION",$C$1=1),$A710,$A710+1),COLUMN('1-DATA'!V708)),IF($B710="STD. DEVIATION",2,$F$1))))</f>
        <v/>
      </c>
      <c r="X710" s="1" t="str">
        <f>IF(OR($B710="",X$7=""),"",IF($B710="MEANS",INDEX('1-DATA'!$1:$1048576,$A709-1,COLUMN('1-DATA'!W708)),ROUND(INDEX('1-DATA'!$1:$1048576,IF(OR($B710="STD. DEVIATION",$C$1=1),$A710,$A710+1),COLUMN('1-DATA'!W708)),IF($B710="STD. DEVIATION",2,$F$1))))</f>
        <v/>
      </c>
      <c r="Y710" s="1" t="str">
        <f>IF(OR($B710="",Y$7=""),"",IF($B710="MEANS",INDEX('1-DATA'!$1:$1048576,$A709-1,COLUMN('1-DATA'!X708)),ROUND(INDEX('1-DATA'!$1:$1048576,IF(OR($B710="STD. DEVIATION",$C$1=1),$A710,$A710+1),COLUMN('1-DATA'!X708)),IF($B710="STD. DEVIATION",2,$F$1))))</f>
        <v/>
      </c>
      <c r="Z710" s="1" t="str">
        <f>IF(OR($B710="",Z$7=""),"",IF($B710="MEANS",INDEX('1-DATA'!$1:$1048576,$A709-1,COLUMN('1-DATA'!Y708)),ROUND(INDEX('1-DATA'!$1:$1048576,IF(OR($B710="STD. DEVIATION",$C$1=1),$A710,$A710+1),COLUMN('1-DATA'!Y708)),IF($B710="STD. DEVIATION",2,$F$1))))</f>
        <v/>
      </c>
      <c r="AA710" s="1" t="str">
        <f>IF(OR($B710="",AA$7=""),"",IF($B710="MEANS",INDEX('1-DATA'!$1:$1048576,$A709-1,COLUMN('1-DATA'!Z708)),ROUND(INDEX('1-DATA'!$1:$1048576,IF(OR($B710="STD. DEVIATION",$C$1=1),$A710,$A710+1),COLUMN('1-DATA'!Z708)),IF($B710="STD. DEVIATION",2,$F$1))))</f>
        <v/>
      </c>
      <c r="AB710" s="1" t="str">
        <f>IF(OR($B710="",AB$7=""),"",IF($B710="MEANS",INDEX('1-DATA'!$1:$1048576,$A709-1,COLUMN('1-DATA'!AA708)),ROUND(INDEX('1-DATA'!$1:$1048576,IF(OR($B710="STD. DEVIATION",$C$1=1),$A710,$A710+1),COLUMN('1-DATA'!AA708)),IF($B710="STD. DEVIATION",2,$F$1))))</f>
        <v/>
      </c>
      <c r="AC710" s="1" t="str">
        <f>IF(OR($B710="",AC$7=""),"",IF($B710="MEANS",INDEX('1-DATA'!$1:$1048576,$A709-1,COLUMN('1-DATA'!AB708)),ROUND(INDEX('1-DATA'!$1:$1048576,IF(OR($B710="STD. DEVIATION",$C$1=1),$A710,$A710+1),COLUMN('1-DATA'!AB708)),IF($B710="STD. DEVIATION",2,$F$1))))</f>
        <v/>
      </c>
      <c r="AD710" s="1" t="str">
        <f>IF(OR($B710="",AD$7=""),"",IF($B710="MEANS",INDEX('1-DATA'!$1:$1048576,$A709-1,COLUMN('1-DATA'!AC708)),ROUND(INDEX('1-DATA'!$1:$1048576,IF(OR($B710="STD. DEVIATION",$C$1=1),$A710,$A710+1),COLUMN('1-DATA'!AC708)),IF($B710="STD. DEVIATION",2,$F$1))))</f>
        <v/>
      </c>
      <c r="AE710" s="1" t="str">
        <f>IF(OR($B710="",AE$7=""),"",IF($B710="MEANS",INDEX('1-DATA'!$1:$1048576,$A709-1,COLUMN('1-DATA'!AD708)),ROUND(INDEX('1-DATA'!$1:$1048576,IF(OR($B710="STD. DEVIATION",$C$1=1),$A710,$A710+1),COLUMN('1-DATA'!AD708)),IF($B710="STD. DEVIATION",2,$F$1))))</f>
        <v/>
      </c>
      <c r="AF710" s="1" t="str">
        <f>IF(OR($B710="",AF$7=""),"",IF($B710="MEANS",INDEX('1-DATA'!$1:$1048576,$A709-1,COLUMN('1-DATA'!AE708)),ROUND(INDEX('1-DATA'!$1:$1048576,IF(OR($B710="STD. DEVIATION",$C$1=1),$A710,$A710+1),COLUMN('1-DATA'!AE708)),IF($B710="STD. DEVIATION",2,$F$1))))</f>
        <v/>
      </c>
      <c r="AG710" s="1" t="str">
        <f>IF(OR($B710="",AG$7=""),"",IF($B710="MEANS",INDEX('1-DATA'!$1:$1048576,$A709-1,COLUMN('1-DATA'!AF708)),ROUND(INDEX('1-DATA'!$1:$1048576,IF(OR($B710="STD. DEVIATION",$C$1=1),$A710,$A710+1),COLUMN('1-DATA'!AF708)),IF($B710="STD. DEVIATION",2,$F$1))))</f>
        <v/>
      </c>
      <c r="AH710" s="1" t="str">
        <f>IF(OR($B710="",AH$7=""),"",IF($B710="MEANS",INDEX('1-DATA'!$1:$1048576,$A709-1,COLUMN('1-DATA'!AG708)),ROUND(INDEX('1-DATA'!$1:$1048576,IF(OR($B710="STD. DEVIATION",$C$1=1),$A710,$A710+1),COLUMN('1-DATA'!AG708)),IF($B710="STD. DEVIATION",2,$F$1))))</f>
        <v/>
      </c>
      <c r="AI710" s="1" t="str">
        <f>IF(OR($B710="",AI$7=""),"",IF($B710="MEANS",INDEX('1-DATA'!$1:$1048576,$A709-1,COLUMN('1-DATA'!AH708)),ROUND(INDEX('1-DATA'!$1:$1048576,IF(OR($B710="STD. DEVIATION",$C$1=1),$A710,$A710+1),COLUMN('1-DATA'!AH708)),IF($B710="STD. DEVIATION",2,$F$1))))</f>
        <v/>
      </c>
      <c r="AJ710" s="1" t="str">
        <f>IF(OR($B710="",AJ$7=""),"",IF($B710="MEANS",INDEX('1-DATA'!$1:$1048576,$A709-1,COLUMN('1-DATA'!AI708)),ROUND(INDEX('1-DATA'!$1:$1048576,IF(OR($B710="STD. DEVIATION",$C$1=1),$A710,$A710+1),COLUMN('1-DATA'!AI708)),IF($B710="STD. DEVIATION",2,$F$1))))</f>
        <v/>
      </c>
      <c r="AK710" s="1" t="str">
        <f>IF(OR($B710="",AK$7=""),"",IF($B710="MEANS",INDEX('1-DATA'!$1:$1048576,$A709-1,COLUMN('1-DATA'!AJ708)),ROUND(INDEX('1-DATA'!$1:$1048576,IF(OR($B710="STD. DEVIATION",$C$1=1),$A710,$A710+1),COLUMN('1-DATA'!AJ708)),IF($B710="STD. DEVIATION",2,$F$1))))</f>
        <v/>
      </c>
      <c r="AL710" s="1" t="str">
        <f>IF(OR($B710="",AL$7=""),"",IF($B710="MEANS",INDEX('1-DATA'!$1:$1048576,$A709-1,COLUMN('1-DATA'!AK708)),ROUND(INDEX('1-DATA'!$1:$1048576,IF(OR($B710="STD. DEVIATION",$C$1=1),$A710,$A710+1),COLUMN('1-DATA'!AK708)),IF($B710="STD. DEVIATION",2,$F$1))))</f>
        <v/>
      </c>
      <c r="AM710" s="1" t="str">
        <f>IF(OR($B710="",AM$7=""),"",IF($B710="MEANS",INDEX('1-DATA'!$1:$1048576,$A709-1,COLUMN('1-DATA'!AL708)),ROUND(INDEX('1-DATA'!$1:$1048576,IF(OR($B710="STD. DEVIATION",$C$1=1),$A710,$A710+1),COLUMN('1-DATA'!AL708)),IF($B710="STD. DEVIATION",2,$F$1))))</f>
        <v/>
      </c>
      <c r="AN710" s="1" t="str">
        <f>IF(OR($B710="",AN$7=""),"",IF($B710="MEANS",INDEX('1-DATA'!$1:$1048576,$A709-1,COLUMN('1-DATA'!AM708)),ROUND(INDEX('1-DATA'!$1:$1048576,IF(OR($B710="STD. DEVIATION",$C$1=1),$A710,$A710+1),COLUMN('1-DATA'!AM708)),IF($B710="STD. DEVIATION",2,$F$1))))</f>
        <v/>
      </c>
      <c r="AO710" s="1" t="str">
        <f>IF(OR($B710="",AO$7=""),"",IF($B710="MEANS",INDEX('1-DATA'!$1:$1048576,$A709-1,COLUMN('1-DATA'!AN708)),ROUND(INDEX('1-DATA'!$1:$1048576,IF(OR($B710="STD. DEVIATION",$C$1=1),$A710,$A710+1),COLUMN('1-DATA'!AN708)),IF($B710="STD. DEVIATION",2,$F$1))))</f>
        <v/>
      </c>
      <c r="AP710" s="1" t="str">
        <f>IF(OR($B710="",AP$7=""),"",IF($B710="MEANS",INDEX('1-DATA'!$1:$1048576,$A709-1,COLUMN('1-DATA'!AO708)),ROUND(INDEX('1-DATA'!$1:$1048576,IF(OR($B710="STD. DEVIATION",$C$1=1),$A710,$A710+1),COLUMN('1-DATA'!AO708)),IF($B710="STD. DEVIATION",2,$F$1))))</f>
        <v/>
      </c>
      <c r="AQ710" s="1" t="str">
        <f>IF(OR($B710="",AQ$7=""),"",IF($B710="MEANS",INDEX('1-DATA'!$1:$1048576,$A709-1,COLUMN('1-DATA'!AP708)),ROUND(INDEX('1-DATA'!$1:$1048576,IF(OR($B710="STD. DEVIATION",$C$1=1),$A710,$A710+1),COLUMN('1-DATA'!AP708)),IF($B710="STD. DEVIATION",2,$F$1))))</f>
        <v/>
      </c>
      <c r="AR710" s="1" t="str">
        <f>IF(OR($B710="",AR$7=""),"",IF($B710="MEANS",INDEX('1-DATA'!$1:$1048576,$A709-1,COLUMN('1-DATA'!AQ708)),ROUND(INDEX('1-DATA'!$1:$1048576,IF(OR($B710="STD. DEVIATION",$C$1=1),$A710,$A710+1),COLUMN('1-DATA'!AQ708)),IF($B710="STD. DEVIATION",2,$F$1))))</f>
        <v/>
      </c>
      <c r="AS710" s="1" t="str">
        <f>IF(OR($B710="",AS$7=""),"",IF($B710="MEANS",INDEX('1-DATA'!$1:$1048576,$A709-1,COLUMN('1-DATA'!AR708)),ROUND(INDEX('1-DATA'!$1:$1048576,IF(OR($B710="STD. DEVIATION",$C$1=1),$A710,$A710+1),COLUMN('1-DATA'!AR708)),IF($B710="STD. DEVIATION",2,$F$1))))</f>
        <v/>
      </c>
      <c r="AT710" s="1" t="str">
        <f>IF(OR($B710="",AT$7=""),"",IF($B710="MEANS",INDEX('1-DATA'!$1:$1048576,$A709-1,COLUMN('1-DATA'!AS708)),ROUND(INDEX('1-DATA'!$1:$1048576,IF(OR($B710="STD. DEVIATION",$C$1=1),$A710,$A710+1),COLUMN('1-DATA'!AS708)),IF($B710="STD. DEVIATION",2,$F$1))))</f>
        <v/>
      </c>
      <c r="AU710" s="1" t="str">
        <f>IF(OR($B710="",AU$7=""),"",IF($B710="MEANS",INDEX('1-DATA'!$1:$1048576,$A709-1,COLUMN('1-DATA'!AT708)),ROUND(INDEX('1-DATA'!$1:$1048576,IF(OR($B710="STD. DEVIATION",$C$1=1),$A710,$A710+1),COLUMN('1-DATA'!AT708)),IF($B710="STD. DEVIATION",2,$F$1))))</f>
        <v/>
      </c>
      <c r="AV710" s="1" t="str">
        <f>IF(OR($B710="",AV$7=""),"",IF($B710="MEANS",INDEX('1-DATA'!$1:$1048576,$A709-1,COLUMN('1-DATA'!AU708)),ROUND(INDEX('1-DATA'!$1:$1048576,IF(OR($B710="STD. DEVIATION",$C$1=1),$A710,$A710+1),COLUMN('1-DATA'!AU708)),IF($B710="STD. DEVIATION",2,$F$1))))</f>
        <v/>
      </c>
      <c r="AW710" s="1" t="str">
        <f>IF(OR($B710="",AW$7=""),"",IF($B710="MEANS",INDEX('1-DATA'!$1:$1048576,$A709-1,COLUMN('1-DATA'!AV708)),ROUND(INDEX('1-DATA'!$1:$1048576,IF(OR($B710="STD. DEVIATION",$C$1=1),$A710,$A710+1),COLUMN('1-DATA'!AV708)),IF($B710="STD. DEVIATION",2,$F$1))))</f>
        <v/>
      </c>
      <c r="AX710" s="1" t="str">
        <f>IF(OR($B710="",AX$7=""),"",IF($B710="MEANS",INDEX('1-DATA'!$1:$1048576,$A709-1,COLUMN('1-DATA'!AW708)),ROUND(INDEX('1-DATA'!$1:$1048576,IF(OR($B710="STD. DEVIATION",$C$1=1),$A710,$A710+1),COLUMN('1-DATA'!AW708)),IF($B710="STD. DEVIATION",2,$F$1))))</f>
        <v/>
      </c>
      <c r="AY710" s="1" t="str">
        <f>IF(OR($B710="",AY$7=""),"",IF($B710="MEANS",INDEX('1-DATA'!$1:$1048576,$A709-1,COLUMN('1-DATA'!AX708)),ROUND(INDEX('1-DATA'!$1:$1048576,IF(OR($B710="STD. DEVIATION",$C$1=1),$A710,$A710+1),COLUMN('1-DATA'!AX708)),IF($B710="STD. DEVIATION",2,$F$1))))</f>
        <v/>
      </c>
      <c r="AZ710" s="1" t="str">
        <f>IF(OR($B710="",AZ$7=""),"",IF($B710="MEANS",INDEX('1-DATA'!$1:$1048576,$A709-1,COLUMN('1-DATA'!AY708)),ROUND(INDEX('1-DATA'!$1:$1048576,IF(OR($B710="STD. DEVIATION",$C$1=1),$A710,$A710+1),COLUMN('1-DATA'!AY708)),IF($B710="STD. DEVIATION",2,$F$1))))</f>
        <v/>
      </c>
    </row>
    <row r="711" spans="1:52" x14ac:dyDescent="0.25">
      <c r="A711" s="11">
        <f t="shared" si="11"/>
        <v>2119</v>
      </c>
      <c r="B711" s="1" t="str">
        <f>IF(B710="STD. DEVIATION",INDEX('1-DATA'!$1:$1048576,$A710-1,1),IF(INDEX('1-DATA'!$1:$1048576,$A711,1)&lt;&gt;"",INDEX('1-DATA'!$1:$1048576,$A711,1),""))</f>
        <v/>
      </c>
      <c r="C711" s="1" t="str">
        <f>IF(OR($B711="",C$7=""),"",IF($B711="MEANS",INDEX('1-DATA'!$1:$1048576,$A710-1,COLUMN('1-DATA'!B709)),ROUND(INDEX('1-DATA'!$1:$1048576,IF(OR($B711="STD. DEVIATION",$C$1=1),$A711,$A711+1),COLUMN('1-DATA'!B709)),IF($B711="STD. DEVIATION",2,$F$1))))</f>
        <v/>
      </c>
      <c r="D711" s="1" t="str">
        <f>IF(OR($B711="",D$7=""),"",IF($B711="MEANS",INDEX('1-DATA'!$1:$1048576,$A710-1,COLUMN('1-DATA'!C709)),ROUND(INDEX('1-DATA'!$1:$1048576,IF(OR($B711="STD. DEVIATION",$C$1=1),$A711,$A711+1),COLUMN('1-DATA'!C709)),IF($B711="STD. DEVIATION",2,$F$1))))</f>
        <v/>
      </c>
      <c r="E711" s="1" t="str">
        <f>IF(OR($B711="",E$7=""),"",IF($B711="MEANS",INDEX('1-DATA'!$1:$1048576,$A710-1,COLUMN('1-DATA'!D709)),ROUND(INDEX('1-DATA'!$1:$1048576,IF(OR($B711="STD. DEVIATION",$C$1=1),$A711,$A711+1),COLUMN('1-DATA'!D709)),IF($B711="STD. DEVIATION",2,$F$1))))</f>
        <v/>
      </c>
      <c r="F711" s="1" t="str">
        <f>IF(OR($B711="",F$7=""),"",IF($B711="MEANS",INDEX('1-DATA'!$1:$1048576,$A710-1,COLUMN('1-DATA'!E709)),ROUND(INDEX('1-DATA'!$1:$1048576,IF(OR($B711="STD. DEVIATION",$C$1=1),$A711,$A711+1),COLUMN('1-DATA'!E709)),IF($B711="STD. DEVIATION",2,$F$1))))</f>
        <v/>
      </c>
      <c r="G711" s="1" t="str">
        <f>IF(OR($B711="",G$7=""),"",IF($B711="MEANS",INDEX('1-DATA'!$1:$1048576,$A710-1,COLUMN('1-DATA'!F709)),ROUND(INDEX('1-DATA'!$1:$1048576,IF(OR($B711="STD. DEVIATION",$C$1=1),$A711,$A711+1),COLUMN('1-DATA'!F709)),IF($B711="STD. DEVIATION",2,$F$1))))</f>
        <v/>
      </c>
      <c r="H711" s="1" t="str">
        <f>IF(OR($B711="",H$7=""),"",IF($B711="MEANS",INDEX('1-DATA'!$1:$1048576,$A710-1,COLUMN('1-DATA'!G709)),ROUND(INDEX('1-DATA'!$1:$1048576,IF(OR($B711="STD. DEVIATION",$C$1=1),$A711,$A711+1),COLUMN('1-DATA'!G709)),IF($B711="STD. DEVIATION",2,$F$1))))</f>
        <v/>
      </c>
      <c r="I711" s="1" t="str">
        <f>IF(OR($B711="",I$7=""),"",IF($B711="MEANS",INDEX('1-DATA'!$1:$1048576,$A710-1,COLUMN('1-DATA'!H709)),ROUND(INDEX('1-DATA'!$1:$1048576,IF(OR($B711="STD. DEVIATION",$C$1=1),$A711,$A711+1),COLUMN('1-DATA'!H709)),IF($B711="STD. DEVIATION",2,$F$1))))</f>
        <v/>
      </c>
      <c r="J711" s="1" t="str">
        <f>IF(OR($B711="",J$7=""),"",IF($B711="MEANS",INDEX('1-DATA'!$1:$1048576,$A710-1,COLUMN('1-DATA'!I709)),ROUND(INDEX('1-DATA'!$1:$1048576,IF(OR($B711="STD. DEVIATION",$C$1=1),$A711,$A711+1),COLUMN('1-DATA'!I709)),IF($B711="STD. DEVIATION",2,$F$1))))</f>
        <v/>
      </c>
      <c r="K711" s="1" t="str">
        <f>IF(OR($B711="",K$7=""),"",IF($B711="MEANS",INDEX('1-DATA'!$1:$1048576,$A710-1,COLUMN('1-DATA'!J709)),ROUND(INDEX('1-DATA'!$1:$1048576,IF(OR($B711="STD. DEVIATION",$C$1=1),$A711,$A711+1),COLUMN('1-DATA'!J709)),IF($B711="STD. DEVIATION",2,$F$1))))</f>
        <v/>
      </c>
      <c r="L711" s="1" t="str">
        <f>IF(OR($B711="",L$7=""),"",IF($B711="MEANS",INDEX('1-DATA'!$1:$1048576,$A710-1,COLUMN('1-DATA'!K709)),ROUND(INDEX('1-DATA'!$1:$1048576,IF(OR($B711="STD. DEVIATION",$C$1=1),$A711,$A711+1),COLUMN('1-DATA'!K709)),IF($B711="STD. DEVIATION",2,$F$1))))</f>
        <v/>
      </c>
      <c r="M711" s="1" t="str">
        <f>IF(OR($B711="",M$7=""),"",IF($B711="MEANS",INDEX('1-DATA'!$1:$1048576,$A710-1,COLUMN('1-DATA'!L709)),ROUND(INDEX('1-DATA'!$1:$1048576,IF(OR($B711="STD. DEVIATION",$C$1=1),$A711,$A711+1),COLUMN('1-DATA'!L709)),IF($B711="STD. DEVIATION",2,$F$1))))</f>
        <v/>
      </c>
      <c r="N711" s="1" t="str">
        <f>IF(OR($B711="",N$7=""),"",IF($B711="MEANS",INDEX('1-DATA'!$1:$1048576,$A710-1,COLUMN('1-DATA'!M709)),ROUND(INDEX('1-DATA'!$1:$1048576,IF(OR($B711="STD. DEVIATION",$C$1=1),$A711,$A711+1),COLUMN('1-DATA'!M709)),IF($B711="STD. DEVIATION",2,$F$1))))</f>
        <v/>
      </c>
      <c r="O711" s="1" t="str">
        <f>IF(OR($B711="",O$7=""),"",IF($B711="MEANS",INDEX('1-DATA'!$1:$1048576,$A710-1,COLUMN('1-DATA'!N709)),ROUND(INDEX('1-DATA'!$1:$1048576,IF(OR($B711="STD. DEVIATION",$C$1=1),$A711,$A711+1),COLUMN('1-DATA'!N709)),IF($B711="STD. DEVIATION",2,$F$1))))</f>
        <v/>
      </c>
      <c r="P711" s="1" t="str">
        <f>IF(OR($B711="",P$7=""),"",IF($B711="MEANS",INDEX('1-DATA'!$1:$1048576,$A710-1,COLUMN('1-DATA'!O709)),ROUND(INDEX('1-DATA'!$1:$1048576,IF(OR($B711="STD. DEVIATION",$C$1=1),$A711,$A711+1),COLUMN('1-DATA'!O709)),IF($B711="STD. DEVIATION",2,$F$1))))</f>
        <v/>
      </c>
      <c r="Q711" s="1" t="str">
        <f>IF(OR($B711="",Q$7=""),"",IF($B711="MEANS",INDEX('1-DATA'!$1:$1048576,$A710-1,COLUMN('1-DATA'!P709)),ROUND(INDEX('1-DATA'!$1:$1048576,IF(OR($B711="STD. DEVIATION",$C$1=1),$A711,$A711+1),COLUMN('1-DATA'!P709)),IF($B711="STD. DEVIATION",2,$F$1))))</f>
        <v/>
      </c>
      <c r="R711" s="1" t="str">
        <f>IF(OR($B711="",R$7=""),"",IF($B711="MEANS",INDEX('1-DATA'!$1:$1048576,$A710-1,COLUMN('1-DATA'!Q709)),ROUND(INDEX('1-DATA'!$1:$1048576,IF(OR($B711="STD. DEVIATION",$C$1=1),$A711,$A711+1),COLUMN('1-DATA'!Q709)),IF($B711="STD. DEVIATION",2,$F$1))))</f>
        <v/>
      </c>
      <c r="S711" s="1" t="str">
        <f>IF(OR($B711="",S$7=""),"",IF($B711="MEANS",INDEX('1-DATA'!$1:$1048576,$A710-1,COLUMN('1-DATA'!R709)),ROUND(INDEX('1-DATA'!$1:$1048576,IF(OR($B711="STD. DEVIATION",$C$1=1),$A711,$A711+1),COLUMN('1-DATA'!R709)),IF($B711="STD. DEVIATION",2,$F$1))))</f>
        <v/>
      </c>
      <c r="T711" s="1" t="str">
        <f>IF(OR($B711="",T$7=""),"",IF($B711="MEANS",INDEX('1-DATA'!$1:$1048576,$A710-1,COLUMN('1-DATA'!S709)),ROUND(INDEX('1-DATA'!$1:$1048576,IF(OR($B711="STD. DEVIATION",$C$1=1),$A711,$A711+1),COLUMN('1-DATA'!S709)),IF($B711="STD. DEVIATION",2,$F$1))))</f>
        <v/>
      </c>
      <c r="U711" s="1" t="str">
        <f>IF(OR($B711="",U$7=""),"",IF($B711="MEANS",INDEX('1-DATA'!$1:$1048576,$A710-1,COLUMN('1-DATA'!T709)),ROUND(INDEX('1-DATA'!$1:$1048576,IF(OR($B711="STD. DEVIATION",$C$1=1),$A711,$A711+1),COLUMN('1-DATA'!T709)),IF($B711="STD. DEVIATION",2,$F$1))))</f>
        <v/>
      </c>
      <c r="V711" s="1" t="str">
        <f>IF(OR($B711="",V$7=""),"",IF($B711="MEANS",INDEX('1-DATA'!$1:$1048576,$A710-1,COLUMN('1-DATA'!U709)),ROUND(INDEX('1-DATA'!$1:$1048576,IF(OR($B711="STD. DEVIATION",$C$1=1),$A711,$A711+1),COLUMN('1-DATA'!U709)),IF($B711="STD. DEVIATION",2,$F$1))))</f>
        <v/>
      </c>
      <c r="W711" s="1" t="str">
        <f>IF(OR($B711="",W$7=""),"",IF($B711="MEANS",INDEX('1-DATA'!$1:$1048576,$A710-1,COLUMN('1-DATA'!V709)),ROUND(INDEX('1-DATA'!$1:$1048576,IF(OR($B711="STD. DEVIATION",$C$1=1),$A711,$A711+1),COLUMN('1-DATA'!V709)),IF($B711="STD. DEVIATION",2,$F$1))))</f>
        <v/>
      </c>
      <c r="X711" s="1" t="str">
        <f>IF(OR($B711="",X$7=""),"",IF($B711="MEANS",INDEX('1-DATA'!$1:$1048576,$A710-1,COLUMN('1-DATA'!W709)),ROUND(INDEX('1-DATA'!$1:$1048576,IF(OR($B711="STD. DEVIATION",$C$1=1),$A711,$A711+1),COLUMN('1-DATA'!W709)),IF($B711="STD. DEVIATION",2,$F$1))))</f>
        <v/>
      </c>
      <c r="Y711" s="1" t="str">
        <f>IF(OR($B711="",Y$7=""),"",IF($B711="MEANS",INDEX('1-DATA'!$1:$1048576,$A710-1,COLUMN('1-DATA'!X709)),ROUND(INDEX('1-DATA'!$1:$1048576,IF(OR($B711="STD. DEVIATION",$C$1=1),$A711,$A711+1),COLUMN('1-DATA'!X709)),IF($B711="STD. DEVIATION",2,$F$1))))</f>
        <v/>
      </c>
      <c r="Z711" s="1" t="str">
        <f>IF(OR($B711="",Z$7=""),"",IF($B711="MEANS",INDEX('1-DATA'!$1:$1048576,$A710-1,COLUMN('1-DATA'!Y709)),ROUND(INDEX('1-DATA'!$1:$1048576,IF(OR($B711="STD. DEVIATION",$C$1=1),$A711,$A711+1),COLUMN('1-DATA'!Y709)),IF($B711="STD. DEVIATION",2,$F$1))))</f>
        <v/>
      </c>
      <c r="AA711" s="1" t="str">
        <f>IF(OR($B711="",AA$7=""),"",IF($B711="MEANS",INDEX('1-DATA'!$1:$1048576,$A710-1,COLUMN('1-DATA'!Z709)),ROUND(INDEX('1-DATA'!$1:$1048576,IF(OR($B711="STD. DEVIATION",$C$1=1),$A711,$A711+1),COLUMN('1-DATA'!Z709)),IF($B711="STD. DEVIATION",2,$F$1))))</f>
        <v/>
      </c>
      <c r="AB711" s="1" t="str">
        <f>IF(OR($B711="",AB$7=""),"",IF($B711="MEANS",INDEX('1-DATA'!$1:$1048576,$A710-1,COLUMN('1-DATA'!AA709)),ROUND(INDEX('1-DATA'!$1:$1048576,IF(OR($B711="STD. DEVIATION",$C$1=1),$A711,$A711+1),COLUMN('1-DATA'!AA709)),IF($B711="STD. DEVIATION",2,$F$1))))</f>
        <v/>
      </c>
      <c r="AC711" s="1" t="str">
        <f>IF(OR($B711="",AC$7=""),"",IF($B711="MEANS",INDEX('1-DATA'!$1:$1048576,$A710-1,COLUMN('1-DATA'!AB709)),ROUND(INDEX('1-DATA'!$1:$1048576,IF(OR($B711="STD. DEVIATION",$C$1=1),$A711,$A711+1),COLUMN('1-DATA'!AB709)),IF($B711="STD. DEVIATION",2,$F$1))))</f>
        <v/>
      </c>
      <c r="AD711" s="1" t="str">
        <f>IF(OR($B711="",AD$7=""),"",IF($B711="MEANS",INDEX('1-DATA'!$1:$1048576,$A710-1,COLUMN('1-DATA'!AC709)),ROUND(INDEX('1-DATA'!$1:$1048576,IF(OR($B711="STD. DEVIATION",$C$1=1),$A711,$A711+1),COLUMN('1-DATA'!AC709)),IF($B711="STD. DEVIATION",2,$F$1))))</f>
        <v/>
      </c>
      <c r="AE711" s="1" t="str">
        <f>IF(OR($B711="",AE$7=""),"",IF($B711="MEANS",INDEX('1-DATA'!$1:$1048576,$A710-1,COLUMN('1-DATA'!AD709)),ROUND(INDEX('1-DATA'!$1:$1048576,IF(OR($B711="STD. DEVIATION",$C$1=1),$A711,$A711+1),COLUMN('1-DATA'!AD709)),IF($B711="STD. DEVIATION",2,$F$1))))</f>
        <v/>
      </c>
      <c r="AF711" s="1" t="str">
        <f>IF(OR($B711="",AF$7=""),"",IF($B711="MEANS",INDEX('1-DATA'!$1:$1048576,$A710-1,COLUMN('1-DATA'!AE709)),ROUND(INDEX('1-DATA'!$1:$1048576,IF(OR($B711="STD. DEVIATION",$C$1=1),$A711,$A711+1),COLUMN('1-DATA'!AE709)),IF($B711="STD. DEVIATION",2,$F$1))))</f>
        <v/>
      </c>
      <c r="AG711" s="1" t="str">
        <f>IF(OR($B711="",AG$7=""),"",IF($B711="MEANS",INDEX('1-DATA'!$1:$1048576,$A710-1,COLUMN('1-DATA'!AF709)),ROUND(INDEX('1-DATA'!$1:$1048576,IF(OR($B711="STD. DEVIATION",$C$1=1),$A711,$A711+1),COLUMN('1-DATA'!AF709)),IF($B711="STD. DEVIATION",2,$F$1))))</f>
        <v/>
      </c>
      <c r="AH711" s="1" t="str">
        <f>IF(OR($B711="",AH$7=""),"",IF($B711="MEANS",INDEX('1-DATA'!$1:$1048576,$A710-1,COLUMN('1-DATA'!AG709)),ROUND(INDEX('1-DATA'!$1:$1048576,IF(OR($B711="STD. DEVIATION",$C$1=1),$A711,$A711+1),COLUMN('1-DATA'!AG709)),IF($B711="STD. DEVIATION",2,$F$1))))</f>
        <v/>
      </c>
      <c r="AI711" s="1" t="str">
        <f>IF(OR($B711="",AI$7=""),"",IF($B711="MEANS",INDEX('1-DATA'!$1:$1048576,$A710-1,COLUMN('1-DATA'!AH709)),ROUND(INDEX('1-DATA'!$1:$1048576,IF(OR($B711="STD. DEVIATION",$C$1=1),$A711,$A711+1),COLUMN('1-DATA'!AH709)),IF($B711="STD. DEVIATION",2,$F$1))))</f>
        <v/>
      </c>
      <c r="AJ711" s="1" t="str">
        <f>IF(OR($B711="",AJ$7=""),"",IF($B711="MEANS",INDEX('1-DATA'!$1:$1048576,$A710-1,COLUMN('1-DATA'!AI709)),ROUND(INDEX('1-DATA'!$1:$1048576,IF(OR($B711="STD. DEVIATION",$C$1=1),$A711,$A711+1),COLUMN('1-DATA'!AI709)),IF($B711="STD. DEVIATION",2,$F$1))))</f>
        <v/>
      </c>
      <c r="AK711" s="1" t="str">
        <f>IF(OR($B711="",AK$7=""),"",IF($B711="MEANS",INDEX('1-DATA'!$1:$1048576,$A710-1,COLUMN('1-DATA'!AJ709)),ROUND(INDEX('1-DATA'!$1:$1048576,IF(OR($B711="STD. DEVIATION",$C$1=1),$A711,$A711+1),COLUMN('1-DATA'!AJ709)),IF($B711="STD. DEVIATION",2,$F$1))))</f>
        <v/>
      </c>
      <c r="AL711" s="1" t="str">
        <f>IF(OR($B711="",AL$7=""),"",IF($B711="MEANS",INDEX('1-DATA'!$1:$1048576,$A710-1,COLUMN('1-DATA'!AK709)),ROUND(INDEX('1-DATA'!$1:$1048576,IF(OR($B711="STD. DEVIATION",$C$1=1),$A711,$A711+1),COLUMN('1-DATA'!AK709)),IF($B711="STD. DEVIATION",2,$F$1))))</f>
        <v/>
      </c>
      <c r="AM711" s="1" t="str">
        <f>IF(OR($B711="",AM$7=""),"",IF($B711="MEANS",INDEX('1-DATA'!$1:$1048576,$A710-1,COLUMN('1-DATA'!AL709)),ROUND(INDEX('1-DATA'!$1:$1048576,IF(OR($B711="STD. DEVIATION",$C$1=1),$A711,$A711+1),COLUMN('1-DATA'!AL709)),IF($B711="STD. DEVIATION",2,$F$1))))</f>
        <v/>
      </c>
      <c r="AN711" s="1" t="str">
        <f>IF(OR($B711="",AN$7=""),"",IF($B711="MEANS",INDEX('1-DATA'!$1:$1048576,$A710-1,COLUMN('1-DATA'!AM709)),ROUND(INDEX('1-DATA'!$1:$1048576,IF(OR($B711="STD. DEVIATION",$C$1=1),$A711,$A711+1),COLUMN('1-DATA'!AM709)),IF($B711="STD. DEVIATION",2,$F$1))))</f>
        <v/>
      </c>
      <c r="AO711" s="1" t="str">
        <f>IF(OR($B711="",AO$7=""),"",IF($B711="MEANS",INDEX('1-DATA'!$1:$1048576,$A710-1,COLUMN('1-DATA'!AN709)),ROUND(INDEX('1-DATA'!$1:$1048576,IF(OR($B711="STD. DEVIATION",$C$1=1),$A711,$A711+1),COLUMN('1-DATA'!AN709)),IF($B711="STD. DEVIATION",2,$F$1))))</f>
        <v/>
      </c>
      <c r="AP711" s="1" t="str">
        <f>IF(OR($B711="",AP$7=""),"",IF($B711="MEANS",INDEX('1-DATA'!$1:$1048576,$A710-1,COLUMN('1-DATA'!AO709)),ROUND(INDEX('1-DATA'!$1:$1048576,IF(OR($B711="STD. DEVIATION",$C$1=1),$A711,$A711+1),COLUMN('1-DATA'!AO709)),IF($B711="STD. DEVIATION",2,$F$1))))</f>
        <v/>
      </c>
      <c r="AQ711" s="1" t="str">
        <f>IF(OR($B711="",AQ$7=""),"",IF($B711="MEANS",INDEX('1-DATA'!$1:$1048576,$A710-1,COLUMN('1-DATA'!AP709)),ROUND(INDEX('1-DATA'!$1:$1048576,IF(OR($B711="STD. DEVIATION",$C$1=1),$A711,$A711+1),COLUMN('1-DATA'!AP709)),IF($B711="STD. DEVIATION",2,$F$1))))</f>
        <v/>
      </c>
      <c r="AR711" s="1" t="str">
        <f>IF(OR($B711="",AR$7=""),"",IF($B711="MEANS",INDEX('1-DATA'!$1:$1048576,$A710-1,COLUMN('1-DATA'!AQ709)),ROUND(INDEX('1-DATA'!$1:$1048576,IF(OR($B711="STD. DEVIATION",$C$1=1),$A711,$A711+1),COLUMN('1-DATA'!AQ709)),IF($B711="STD. DEVIATION",2,$F$1))))</f>
        <v/>
      </c>
      <c r="AS711" s="1" t="str">
        <f>IF(OR($B711="",AS$7=""),"",IF($B711="MEANS",INDEX('1-DATA'!$1:$1048576,$A710-1,COLUMN('1-DATA'!AR709)),ROUND(INDEX('1-DATA'!$1:$1048576,IF(OR($B711="STD. DEVIATION",$C$1=1),$A711,$A711+1),COLUMN('1-DATA'!AR709)),IF($B711="STD. DEVIATION",2,$F$1))))</f>
        <v/>
      </c>
      <c r="AT711" s="1" t="str">
        <f>IF(OR($B711="",AT$7=""),"",IF($B711="MEANS",INDEX('1-DATA'!$1:$1048576,$A710-1,COLUMN('1-DATA'!AS709)),ROUND(INDEX('1-DATA'!$1:$1048576,IF(OR($B711="STD. DEVIATION",$C$1=1),$A711,$A711+1),COLUMN('1-DATA'!AS709)),IF($B711="STD. DEVIATION",2,$F$1))))</f>
        <v/>
      </c>
      <c r="AU711" s="1" t="str">
        <f>IF(OR($B711="",AU$7=""),"",IF($B711="MEANS",INDEX('1-DATA'!$1:$1048576,$A710-1,COLUMN('1-DATA'!AT709)),ROUND(INDEX('1-DATA'!$1:$1048576,IF(OR($B711="STD. DEVIATION",$C$1=1),$A711,$A711+1),COLUMN('1-DATA'!AT709)),IF($B711="STD. DEVIATION",2,$F$1))))</f>
        <v/>
      </c>
      <c r="AV711" s="1" t="str">
        <f>IF(OR($B711="",AV$7=""),"",IF($B711="MEANS",INDEX('1-DATA'!$1:$1048576,$A710-1,COLUMN('1-DATA'!AU709)),ROUND(INDEX('1-DATA'!$1:$1048576,IF(OR($B711="STD. DEVIATION",$C$1=1),$A711,$A711+1),COLUMN('1-DATA'!AU709)),IF($B711="STD. DEVIATION",2,$F$1))))</f>
        <v/>
      </c>
      <c r="AW711" s="1" t="str">
        <f>IF(OR($B711="",AW$7=""),"",IF($B711="MEANS",INDEX('1-DATA'!$1:$1048576,$A710-1,COLUMN('1-DATA'!AV709)),ROUND(INDEX('1-DATA'!$1:$1048576,IF(OR($B711="STD. DEVIATION",$C$1=1),$A711,$A711+1),COLUMN('1-DATA'!AV709)),IF($B711="STD. DEVIATION",2,$F$1))))</f>
        <v/>
      </c>
      <c r="AX711" s="1" t="str">
        <f>IF(OR($B711="",AX$7=""),"",IF($B711="MEANS",INDEX('1-DATA'!$1:$1048576,$A710-1,COLUMN('1-DATA'!AW709)),ROUND(INDEX('1-DATA'!$1:$1048576,IF(OR($B711="STD. DEVIATION",$C$1=1),$A711,$A711+1),COLUMN('1-DATA'!AW709)),IF($B711="STD. DEVIATION",2,$F$1))))</f>
        <v/>
      </c>
      <c r="AY711" s="1" t="str">
        <f>IF(OR($B711="",AY$7=""),"",IF($B711="MEANS",INDEX('1-DATA'!$1:$1048576,$A710-1,COLUMN('1-DATA'!AX709)),ROUND(INDEX('1-DATA'!$1:$1048576,IF(OR($B711="STD. DEVIATION",$C$1=1),$A711,$A711+1),COLUMN('1-DATA'!AX709)),IF($B711="STD. DEVIATION",2,$F$1))))</f>
        <v/>
      </c>
      <c r="AZ711" s="1" t="str">
        <f>IF(OR($B711="",AZ$7=""),"",IF($B711="MEANS",INDEX('1-DATA'!$1:$1048576,$A710-1,COLUMN('1-DATA'!AY709)),ROUND(INDEX('1-DATA'!$1:$1048576,IF(OR($B711="STD. DEVIATION",$C$1=1),$A711,$A711+1),COLUMN('1-DATA'!AY709)),IF($B711="STD. DEVIATION",2,$F$1))))</f>
        <v/>
      </c>
    </row>
    <row r="712" spans="1:52" x14ac:dyDescent="0.25">
      <c r="A712" s="11">
        <f t="shared" si="11"/>
        <v>2122</v>
      </c>
      <c r="B712" s="1" t="str">
        <f>IF(B711="STD. DEVIATION",INDEX('1-DATA'!$1:$1048576,$A711-1,1),IF(INDEX('1-DATA'!$1:$1048576,$A712,1)&lt;&gt;"",INDEX('1-DATA'!$1:$1048576,$A712,1),""))</f>
        <v/>
      </c>
      <c r="C712" s="1" t="str">
        <f>IF(OR($B712="",C$7=""),"",IF($B712="MEANS",INDEX('1-DATA'!$1:$1048576,$A711-1,COLUMN('1-DATA'!B710)),ROUND(INDEX('1-DATA'!$1:$1048576,IF(OR($B712="STD. DEVIATION",$C$1=1),$A712,$A712+1),COLUMN('1-DATA'!B710)),IF($B712="STD. DEVIATION",2,$F$1))))</f>
        <v/>
      </c>
      <c r="D712" s="1" t="str">
        <f>IF(OR($B712="",D$7=""),"",IF($B712="MEANS",INDEX('1-DATA'!$1:$1048576,$A711-1,COLUMN('1-DATA'!C710)),ROUND(INDEX('1-DATA'!$1:$1048576,IF(OR($B712="STD. DEVIATION",$C$1=1),$A712,$A712+1),COLUMN('1-DATA'!C710)),IF($B712="STD. DEVIATION",2,$F$1))))</f>
        <v/>
      </c>
      <c r="E712" s="1" t="str">
        <f>IF(OR($B712="",E$7=""),"",IF($B712="MEANS",INDEX('1-DATA'!$1:$1048576,$A711-1,COLUMN('1-DATA'!D710)),ROUND(INDEX('1-DATA'!$1:$1048576,IF(OR($B712="STD. DEVIATION",$C$1=1),$A712,$A712+1),COLUMN('1-DATA'!D710)),IF($B712="STD. DEVIATION",2,$F$1))))</f>
        <v/>
      </c>
      <c r="F712" s="1" t="str">
        <f>IF(OR($B712="",F$7=""),"",IF($B712="MEANS",INDEX('1-DATA'!$1:$1048576,$A711-1,COLUMN('1-DATA'!E710)),ROUND(INDEX('1-DATA'!$1:$1048576,IF(OR($B712="STD. DEVIATION",$C$1=1),$A712,$A712+1),COLUMN('1-DATA'!E710)),IF($B712="STD. DEVIATION",2,$F$1))))</f>
        <v/>
      </c>
      <c r="G712" s="1" t="str">
        <f>IF(OR($B712="",G$7=""),"",IF($B712="MEANS",INDEX('1-DATA'!$1:$1048576,$A711-1,COLUMN('1-DATA'!F710)),ROUND(INDEX('1-DATA'!$1:$1048576,IF(OR($B712="STD. DEVIATION",$C$1=1),$A712,$A712+1),COLUMN('1-DATA'!F710)),IF($B712="STD. DEVIATION",2,$F$1))))</f>
        <v/>
      </c>
      <c r="H712" s="1" t="str">
        <f>IF(OR($B712="",H$7=""),"",IF($B712="MEANS",INDEX('1-DATA'!$1:$1048576,$A711-1,COLUMN('1-DATA'!G710)),ROUND(INDEX('1-DATA'!$1:$1048576,IF(OR($B712="STD. DEVIATION",$C$1=1),$A712,$A712+1),COLUMN('1-DATA'!G710)),IF($B712="STD. DEVIATION",2,$F$1))))</f>
        <v/>
      </c>
      <c r="I712" s="1" t="str">
        <f>IF(OR($B712="",I$7=""),"",IF($B712="MEANS",INDEX('1-DATA'!$1:$1048576,$A711-1,COLUMN('1-DATA'!H710)),ROUND(INDEX('1-DATA'!$1:$1048576,IF(OR($B712="STD. DEVIATION",$C$1=1),$A712,$A712+1),COLUMN('1-DATA'!H710)),IF($B712="STD. DEVIATION",2,$F$1))))</f>
        <v/>
      </c>
      <c r="J712" s="1" t="str">
        <f>IF(OR($B712="",J$7=""),"",IF($B712="MEANS",INDEX('1-DATA'!$1:$1048576,$A711-1,COLUMN('1-DATA'!I710)),ROUND(INDEX('1-DATA'!$1:$1048576,IF(OR($B712="STD. DEVIATION",$C$1=1),$A712,$A712+1),COLUMN('1-DATA'!I710)),IF($B712="STD. DEVIATION",2,$F$1))))</f>
        <v/>
      </c>
      <c r="K712" s="1" t="str">
        <f>IF(OR($B712="",K$7=""),"",IF($B712="MEANS",INDEX('1-DATA'!$1:$1048576,$A711-1,COLUMN('1-DATA'!J710)),ROUND(INDEX('1-DATA'!$1:$1048576,IF(OR($B712="STD. DEVIATION",$C$1=1),$A712,$A712+1),COLUMN('1-DATA'!J710)),IF($B712="STD. DEVIATION",2,$F$1))))</f>
        <v/>
      </c>
      <c r="L712" s="1" t="str">
        <f>IF(OR($B712="",L$7=""),"",IF($B712="MEANS",INDEX('1-DATA'!$1:$1048576,$A711-1,COLUMN('1-DATA'!K710)),ROUND(INDEX('1-DATA'!$1:$1048576,IF(OR($B712="STD. DEVIATION",$C$1=1),$A712,$A712+1),COLUMN('1-DATA'!K710)),IF($B712="STD. DEVIATION",2,$F$1))))</f>
        <v/>
      </c>
      <c r="M712" s="1" t="str">
        <f>IF(OR($B712="",M$7=""),"",IF($B712="MEANS",INDEX('1-DATA'!$1:$1048576,$A711-1,COLUMN('1-DATA'!L710)),ROUND(INDEX('1-DATA'!$1:$1048576,IF(OR($B712="STD. DEVIATION",$C$1=1),$A712,$A712+1),COLUMN('1-DATA'!L710)),IF($B712="STD. DEVIATION",2,$F$1))))</f>
        <v/>
      </c>
      <c r="N712" s="1" t="str">
        <f>IF(OR($B712="",N$7=""),"",IF($B712="MEANS",INDEX('1-DATA'!$1:$1048576,$A711-1,COLUMN('1-DATA'!M710)),ROUND(INDEX('1-DATA'!$1:$1048576,IF(OR($B712="STD. DEVIATION",$C$1=1),$A712,$A712+1),COLUMN('1-DATA'!M710)),IF($B712="STD. DEVIATION",2,$F$1))))</f>
        <v/>
      </c>
      <c r="O712" s="1" t="str">
        <f>IF(OR($B712="",O$7=""),"",IF($B712="MEANS",INDEX('1-DATA'!$1:$1048576,$A711-1,COLUMN('1-DATA'!N710)),ROUND(INDEX('1-DATA'!$1:$1048576,IF(OR($B712="STD. DEVIATION",$C$1=1),$A712,$A712+1),COLUMN('1-DATA'!N710)),IF($B712="STD. DEVIATION",2,$F$1))))</f>
        <v/>
      </c>
      <c r="P712" s="1" t="str">
        <f>IF(OR($B712="",P$7=""),"",IF($B712="MEANS",INDEX('1-DATA'!$1:$1048576,$A711-1,COLUMN('1-DATA'!O710)),ROUND(INDEX('1-DATA'!$1:$1048576,IF(OR($B712="STD. DEVIATION",$C$1=1),$A712,$A712+1),COLUMN('1-DATA'!O710)),IF($B712="STD. DEVIATION",2,$F$1))))</f>
        <v/>
      </c>
      <c r="Q712" s="1" t="str">
        <f>IF(OR($B712="",Q$7=""),"",IF($B712="MEANS",INDEX('1-DATA'!$1:$1048576,$A711-1,COLUMN('1-DATA'!P710)),ROUND(INDEX('1-DATA'!$1:$1048576,IF(OR($B712="STD. DEVIATION",$C$1=1),$A712,$A712+1),COLUMN('1-DATA'!P710)),IF($B712="STD. DEVIATION",2,$F$1))))</f>
        <v/>
      </c>
      <c r="R712" s="1" t="str">
        <f>IF(OR($B712="",R$7=""),"",IF($B712="MEANS",INDEX('1-DATA'!$1:$1048576,$A711-1,COLUMN('1-DATA'!Q710)),ROUND(INDEX('1-DATA'!$1:$1048576,IF(OR($B712="STD. DEVIATION",$C$1=1),$A712,$A712+1),COLUMN('1-DATA'!Q710)),IF($B712="STD. DEVIATION",2,$F$1))))</f>
        <v/>
      </c>
      <c r="S712" s="1" t="str">
        <f>IF(OR($B712="",S$7=""),"",IF($B712="MEANS",INDEX('1-DATA'!$1:$1048576,$A711-1,COLUMN('1-DATA'!R710)),ROUND(INDEX('1-DATA'!$1:$1048576,IF(OR($B712="STD. DEVIATION",$C$1=1),$A712,$A712+1),COLUMN('1-DATA'!R710)),IF($B712="STD. DEVIATION",2,$F$1))))</f>
        <v/>
      </c>
      <c r="T712" s="1" t="str">
        <f>IF(OR($B712="",T$7=""),"",IF($B712="MEANS",INDEX('1-DATA'!$1:$1048576,$A711-1,COLUMN('1-DATA'!S710)),ROUND(INDEX('1-DATA'!$1:$1048576,IF(OR($B712="STD. DEVIATION",$C$1=1),$A712,$A712+1),COLUMN('1-DATA'!S710)),IF($B712="STD. DEVIATION",2,$F$1))))</f>
        <v/>
      </c>
      <c r="U712" s="1" t="str">
        <f>IF(OR($B712="",U$7=""),"",IF($B712="MEANS",INDEX('1-DATA'!$1:$1048576,$A711-1,COLUMN('1-DATA'!T710)),ROUND(INDEX('1-DATA'!$1:$1048576,IF(OR($B712="STD. DEVIATION",$C$1=1),$A712,$A712+1),COLUMN('1-DATA'!T710)),IF($B712="STD. DEVIATION",2,$F$1))))</f>
        <v/>
      </c>
      <c r="V712" s="1" t="str">
        <f>IF(OR($B712="",V$7=""),"",IF($B712="MEANS",INDEX('1-DATA'!$1:$1048576,$A711-1,COLUMN('1-DATA'!U710)),ROUND(INDEX('1-DATA'!$1:$1048576,IF(OR($B712="STD. DEVIATION",$C$1=1),$A712,$A712+1),COLUMN('1-DATA'!U710)),IF($B712="STD. DEVIATION",2,$F$1))))</f>
        <v/>
      </c>
      <c r="W712" s="1" t="str">
        <f>IF(OR($B712="",W$7=""),"",IF($B712="MEANS",INDEX('1-DATA'!$1:$1048576,$A711-1,COLUMN('1-DATA'!V710)),ROUND(INDEX('1-DATA'!$1:$1048576,IF(OR($B712="STD. DEVIATION",$C$1=1),$A712,$A712+1),COLUMN('1-DATA'!V710)),IF($B712="STD. DEVIATION",2,$F$1))))</f>
        <v/>
      </c>
      <c r="X712" s="1" t="str">
        <f>IF(OR($B712="",X$7=""),"",IF($B712="MEANS",INDEX('1-DATA'!$1:$1048576,$A711-1,COLUMN('1-DATA'!W710)),ROUND(INDEX('1-DATA'!$1:$1048576,IF(OR($B712="STD. DEVIATION",$C$1=1),$A712,$A712+1),COLUMN('1-DATA'!W710)),IF($B712="STD. DEVIATION",2,$F$1))))</f>
        <v/>
      </c>
      <c r="Y712" s="1" t="str">
        <f>IF(OR($B712="",Y$7=""),"",IF($B712="MEANS",INDEX('1-DATA'!$1:$1048576,$A711-1,COLUMN('1-DATA'!X710)),ROUND(INDEX('1-DATA'!$1:$1048576,IF(OR($B712="STD. DEVIATION",$C$1=1),$A712,$A712+1),COLUMN('1-DATA'!X710)),IF($B712="STD. DEVIATION",2,$F$1))))</f>
        <v/>
      </c>
      <c r="Z712" s="1" t="str">
        <f>IF(OR($B712="",Z$7=""),"",IF($B712="MEANS",INDEX('1-DATA'!$1:$1048576,$A711-1,COLUMN('1-DATA'!Y710)),ROUND(INDEX('1-DATA'!$1:$1048576,IF(OR($B712="STD. DEVIATION",$C$1=1),$A712,$A712+1),COLUMN('1-DATA'!Y710)),IF($B712="STD. DEVIATION",2,$F$1))))</f>
        <v/>
      </c>
      <c r="AA712" s="1" t="str">
        <f>IF(OR($B712="",AA$7=""),"",IF($B712="MEANS",INDEX('1-DATA'!$1:$1048576,$A711-1,COLUMN('1-DATA'!Z710)),ROUND(INDEX('1-DATA'!$1:$1048576,IF(OR($B712="STD. DEVIATION",$C$1=1),$A712,$A712+1),COLUMN('1-DATA'!Z710)),IF($B712="STD. DEVIATION",2,$F$1))))</f>
        <v/>
      </c>
      <c r="AB712" s="1" t="str">
        <f>IF(OR($B712="",AB$7=""),"",IF($B712="MEANS",INDEX('1-DATA'!$1:$1048576,$A711-1,COLUMN('1-DATA'!AA710)),ROUND(INDEX('1-DATA'!$1:$1048576,IF(OR($B712="STD. DEVIATION",$C$1=1),$A712,$A712+1),COLUMN('1-DATA'!AA710)),IF($B712="STD. DEVIATION",2,$F$1))))</f>
        <v/>
      </c>
      <c r="AC712" s="1" t="str">
        <f>IF(OR($B712="",AC$7=""),"",IF($B712="MEANS",INDEX('1-DATA'!$1:$1048576,$A711-1,COLUMN('1-DATA'!AB710)),ROUND(INDEX('1-DATA'!$1:$1048576,IF(OR($B712="STD. DEVIATION",$C$1=1),$A712,$A712+1),COLUMN('1-DATA'!AB710)),IF($B712="STD. DEVIATION",2,$F$1))))</f>
        <v/>
      </c>
      <c r="AD712" s="1" t="str">
        <f>IF(OR($B712="",AD$7=""),"",IF($B712="MEANS",INDEX('1-DATA'!$1:$1048576,$A711-1,COLUMN('1-DATA'!AC710)),ROUND(INDEX('1-DATA'!$1:$1048576,IF(OR($B712="STD. DEVIATION",$C$1=1),$A712,$A712+1),COLUMN('1-DATA'!AC710)),IF($B712="STD. DEVIATION",2,$F$1))))</f>
        <v/>
      </c>
      <c r="AE712" s="1" t="str">
        <f>IF(OR($B712="",AE$7=""),"",IF($B712="MEANS",INDEX('1-DATA'!$1:$1048576,$A711-1,COLUMN('1-DATA'!AD710)),ROUND(INDEX('1-DATA'!$1:$1048576,IF(OR($B712="STD. DEVIATION",$C$1=1),$A712,$A712+1),COLUMN('1-DATA'!AD710)),IF($B712="STD. DEVIATION",2,$F$1))))</f>
        <v/>
      </c>
      <c r="AF712" s="1" t="str">
        <f>IF(OR($B712="",AF$7=""),"",IF($B712="MEANS",INDEX('1-DATA'!$1:$1048576,$A711-1,COLUMN('1-DATA'!AE710)),ROUND(INDEX('1-DATA'!$1:$1048576,IF(OR($B712="STD. DEVIATION",$C$1=1),$A712,$A712+1),COLUMN('1-DATA'!AE710)),IF($B712="STD. DEVIATION",2,$F$1))))</f>
        <v/>
      </c>
      <c r="AG712" s="1" t="str">
        <f>IF(OR($B712="",AG$7=""),"",IF($B712="MEANS",INDEX('1-DATA'!$1:$1048576,$A711-1,COLUMN('1-DATA'!AF710)),ROUND(INDEX('1-DATA'!$1:$1048576,IF(OR($B712="STD. DEVIATION",$C$1=1),$A712,$A712+1),COLUMN('1-DATA'!AF710)),IF($B712="STD. DEVIATION",2,$F$1))))</f>
        <v/>
      </c>
      <c r="AH712" s="1" t="str">
        <f>IF(OR($B712="",AH$7=""),"",IF($B712="MEANS",INDEX('1-DATA'!$1:$1048576,$A711-1,COLUMN('1-DATA'!AG710)),ROUND(INDEX('1-DATA'!$1:$1048576,IF(OR($B712="STD. DEVIATION",$C$1=1),$A712,$A712+1),COLUMN('1-DATA'!AG710)),IF($B712="STD. DEVIATION",2,$F$1))))</f>
        <v/>
      </c>
      <c r="AI712" s="1" t="str">
        <f>IF(OR($B712="",AI$7=""),"",IF($B712="MEANS",INDEX('1-DATA'!$1:$1048576,$A711-1,COLUMN('1-DATA'!AH710)),ROUND(INDEX('1-DATA'!$1:$1048576,IF(OR($B712="STD. DEVIATION",$C$1=1),$A712,$A712+1),COLUMN('1-DATA'!AH710)),IF($B712="STD. DEVIATION",2,$F$1))))</f>
        <v/>
      </c>
      <c r="AJ712" s="1" t="str">
        <f>IF(OR($B712="",AJ$7=""),"",IF($B712="MEANS",INDEX('1-DATA'!$1:$1048576,$A711-1,COLUMN('1-DATA'!AI710)),ROUND(INDEX('1-DATA'!$1:$1048576,IF(OR($B712="STD. DEVIATION",$C$1=1),$A712,$A712+1),COLUMN('1-DATA'!AI710)),IF($B712="STD. DEVIATION",2,$F$1))))</f>
        <v/>
      </c>
      <c r="AK712" s="1" t="str">
        <f>IF(OR($B712="",AK$7=""),"",IF($B712="MEANS",INDEX('1-DATA'!$1:$1048576,$A711-1,COLUMN('1-DATA'!AJ710)),ROUND(INDEX('1-DATA'!$1:$1048576,IF(OR($B712="STD. DEVIATION",$C$1=1),$A712,$A712+1),COLUMN('1-DATA'!AJ710)),IF($B712="STD. DEVIATION",2,$F$1))))</f>
        <v/>
      </c>
      <c r="AL712" s="1" t="str">
        <f>IF(OR($B712="",AL$7=""),"",IF($B712="MEANS",INDEX('1-DATA'!$1:$1048576,$A711-1,COLUMN('1-DATA'!AK710)),ROUND(INDEX('1-DATA'!$1:$1048576,IF(OR($B712="STD. DEVIATION",$C$1=1),$A712,$A712+1),COLUMN('1-DATA'!AK710)),IF($B712="STD. DEVIATION",2,$F$1))))</f>
        <v/>
      </c>
      <c r="AM712" s="1" t="str">
        <f>IF(OR($B712="",AM$7=""),"",IF($B712="MEANS",INDEX('1-DATA'!$1:$1048576,$A711-1,COLUMN('1-DATA'!AL710)),ROUND(INDEX('1-DATA'!$1:$1048576,IF(OR($B712="STD. DEVIATION",$C$1=1),$A712,$A712+1),COLUMN('1-DATA'!AL710)),IF($B712="STD. DEVIATION",2,$F$1))))</f>
        <v/>
      </c>
      <c r="AN712" s="1" t="str">
        <f>IF(OR($B712="",AN$7=""),"",IF($B712="MEANS",INDEX('1-DATA'!$1:$1048576,$A711-1,COLUMN('1-DATA'!AM710)),ROUND(INDEX('1-DATA'!$1:$1048576,IF(OR($B712="STD. DEVIATION",$C$1=1),$A712,$A712+1),COLUMN('1-DATA'!AM710)),IF($B712="STD. DEVIATION",2,$F$1))))</f>
        <v/>
      </c>
      <c r="AO712" s="1" t="str">
        <f>IF(OR($B712="",AO$7=""),"",IF($B712="MEANS",INDEX('1-DATA'!$1:$1048576,$A711-1,COLUMN('1-DATA'!AN710)),ROUND(INDEX('1-DATA'!$1:$1048576,IF(OR($B712="STD. DEVIATION",$C$1=1),$A712,$A712+1),COLUMN('1-DATA'!AN710)),IF($B712="STD. DEVIATION",2,$F$1))))</f>
        <v/>
      </c>
      <c r="AP712" s="1" t="str">
        <f>IF(OR($B712="",AP$7=""),"",IF($B712="MEANS",INDEX('1-DATA'!$1:$1048576,$A711-1,COLUMN('1-DATA'!AO710)),ROUND(INDEX('1-DATA'!$1:$1048576,IF(OR($B712="STD. DEVIATION",$C$1=1),$A712,$A712+1),COLUMN('1-DATA'!AO710)),IF($B712="STD. DEVIATION",2,$F$1))))</f>
        <v/>
      </c>
      <c r="AQ712" s="1" t="str">
        <f>IF(OR($B712="",AQ$7=""),"",IF($B712="MEANS",INDEX('1-DATA'!$1:$1048576,$A711-1,COLUMN('1-DATA'!AP710)),ROUND(INDEX('1-DATA'!$1:$1048576,IF(OR($B712="STD. DEVIATION",$C$1=1),$A712,$A712+1),COLUMN('1-DATA'!AP710)),IF($B712="STD. DEVIATION",2,$F$1))))</f>
        <v/>
      </c>
      <c r="AR712" s="1" t="str">
        <f>IF(OR($B712="",AR$7=""),"",IF($B712="MEANS",INDEX('1-DATA'!$1:$1048576,$A711-1,COLUMN('1-DATA'!AQ710)),ROUND(INDEX('1-DATA'!$1:$1048576,IF(OR($B712="STD. DEVIATION",$C$1=1),$A712,$A712+1),COLUMN('1-DATA'!AQ710)),IF($B712="STD. DEVIATION",2,$F$1))))</f>
        <v/>
      </c>
      <c r="AS712" s="1" t="str">
        <f>IF(OR($B712="",AS$7=""),"",IF($B712="MEANS",INDEX('1-DATA'!$1:$1048576,$A711-1,COLUMN('1-DATA'!AR710)),ROUND(INDEX('1-DATA'!$1:$1048576,IF(OR($B712="STD. DEVIATION",$C$1=1),$A712,$A712+1),COLUMN('1-DATA'!AR710)),IF($B712="STD. DEVIATION",2,$F$1))))</f>
        <v/>
      </c>
      <c r="AT712" s="1" t="str">
        <f>IF(OR($B712="",AT$7=""),"",IF($B712="MEANS",INDEX('1-DATA'!$1:$1048576,$A711-1,COLUMN('1-DATA'!AS710)),ROUND(INDEX('1-DATA'!$1:$1048576,IF(OR($B712="STD. DEVIATION",$C$1=1),$A712,$A712+1),COLUMN('1-DATA'!AS710)),IF($B712="STD. DEVIATION",2,$F$1))))</f>
        <v/>
      </c>
      <c r="AU712" s="1" t="str">
        <f>IF(OR($B712="",AU$7=""),"",IF($B712="MEANS",INDEX('1-DATA'!$1:$1048576,$A711-1,COLUMN('1-DATA'!AT710)),ROUND(INDEX('1-DATA'!$1:$1048576,IF(OR($B712="STD. DEVIATION",$C$1=1),$A712,$A712+1),COLUMN('1-DATA'!AT710)),IF($B712="STD. DEVIATION",2,$F$1))))</f>
        <v/>
      </c>
      <c r="AV712" s="1" t="str">
        <f>IF(OR($B712="",AV$7=""),"",IF($B712="MEANS",INDEX('1-DATA'!$1:$1048576,$A711-1,COLUMN('1-DATA'!AU710)),ROUND(INDEX('1-DATA'!$1:$1048576,IF(OR($B712="STD. DEVIATION",$C$1=1),$A712,$A712+1),COLUMN('1-DATA'!AU710)),IF($B712="STD. DEVIATION",2,$F$1))))</f>
        <v/>
      </c>
      <c r="AW712" s="1" t="str">
        <f>IF(OR($B712="",AW$7=""),"",IF($B712="MEANS",INDEX('1-DATA'!$1:$1048576,$A711-1,COLUMN('1-DATA'!AV710)),ROUND(INDEX('1-DATA'!$1:$1048576,IF(OR($B712="STD. DEVIATION",$C$1=1),$A712,$A712+1),COLUMN('1-DATA'!AV710)),IF($B712="STD. DEVIATION",2,$F$1))))</f>
        <v/>
      </c>
      <c r="AX712" s="1" t="str">
        <f>IF(OR($B712="",AX$7=""),"",IF($B712="MEANS",INDEX('1-DATA'!$1:$1048576,$A711-1,COLUMN('1-DATA'!AW710)),ROUND(INDEX('1-DATA'!$1:$1048576,IF(OR($B712="STD. DEVIATION",$C$1=1),$A712,$A712+1),COLUMN('1-DATA'!AW710)),IF($B712="STD. DEVIATION",2,$F$1))))</f>
        <v/>
      </c>
      <c r="AY712" s="1" t="str">
        <f>IF(OR($B712="",AY$7=""),"",IF($B712="MEANS",INDEX('1-DATA'!$1:$1048576,$A711-1,COLUMN('1-DATA'!AX710)),ROUND(INDEX('1-DATA'!$1:$1048576,IF(OR($B712="STD. DEVIATION",$C$1=1),$A712,$A712+1),COLUMN('1-DATA'!AX710)),IF($B712="STD. DEVIATION",2,$F$1))))</f>
        <v/>
      </c>
      <c r="AZ712" s="1" t="str">
        <f>IF(OR($B712="",AZ$7=""),"",IF($B712="MEANS",INDEX('1-DATA'!$1:$1048576,$A711-1,COLUMN('1-DATA'!AY710)),ROUND(INDEX('1-DATA'!$1:$1048576,IF(OR($B712="STD. DEVIATION",$C$1=1),$A712,$A712+1),COLUMN('1-DATA'!AY710)),IF($B712="STD. DEVIATION",2,$F$1))))</f>
        <v/>
      </c>
    </row>
    <row r="713" spans="1:52" x14ac:dyDescent="0.25">
      <c r="A713" s="11">
        <f t="shared" si="11"/>
        <v>2125</v>
      </c>
      <c r="B713" s="1" t="str">
        <f>IF(B712="STD. DEVIATION",INDEX('1-DATA'!$1:$1048576,$A712-1,1),IF(INDEX('1-DATA'!$1:$1048576,$A713,1)&lt;&gt;"",INDEX('1-DATA'!$1:$1048576,$A713,1),""))</f>
        <v/>
      </c>
      <c r="C713" s="1" t="str">
        <f>IF(OR($B713="",C$7=""),"",IF($B713="MEANS",INDEX('1-DATA'!$1:$1048576,$A712-1,COLUMN('1-DATA'!B711)),ROUND(INDEX('1-DATA'!$1:$1048576,IF(OR($B713="STD. DEVIATION",$C$1=1),$A713,$A713+1),COLUMN('1-DATA'!B711)),IF($B713="STD. DEVIATION",2,$F$1))))</f>
        <v/>
      </c>
      <c r="D713" s="1" t="str">
        <f>IF(OR($B713="",D$7=""),"",IF($B713="MEANS",INDEX('1-DATA'!$1:$1048576,$A712-1,COLUMN('1-DATA'!C711)),ROUND(INDEX('1-DATA'!$1:$1048576,IF(OR($B713="STD. DEVIATION",$C$1=1),$A713,$A713+1),COLUMN('1-DATA'!C711)),IF($B713="STD. DEVIATION",2,$F$1))))</f>
        <v/>
      </c>
      <c r="E713" s="1" t="str">
        <f>IF(OR($B713="",E$7=""),"",IF($B713="MEANS",INDEX('1-DATA'!$1:$1048576,$A712-1,COLUMN('1-DATA'!D711)),ROUND(INDEX('1-DATA'!$1:$1048576,IF(OR($B713="STD. DEVIATION",$C$1=1),$A713,$A713+1),COLUMN('1-DATA'!D711)),IF($B713="STD. DEVIATION",2,$F$1))))</f>
        <v/>
      </c>
      <c r="F713" s="1" t="str">
        <f>IF(OR($B713="",F$7=""),"",IF($B713="MEANS",INDEX('1-DATA'!$1:$1048576,$A712-1,COLUMN('1-DATA'!E711)),ROUND(INDEX('1-DATA'!$1:$1048576,IF(OR($B713="STD. DEVIATION",$C$1=1),$A713,$A713+1),COLUMN('1-DATA'!E711)),IF($B713="STD. DEVIATION",2,$F$1))))</f>
        <v/>
      </c>
      <c r="G713" s="1" t="str">
        <f>IF(OR($B713="",G$7=""),"",IF($B713="MEANS",INDEX('1-DATA'!$1:$1048576,$A712-1,COLUMN('1-DATA'!F711)),ROUND(INDEX('1-DATA'!$1:$1048576,IF(OR($B713="STD. DEVIATION",$C$1=1),$A713,$A713+1),COLUMN('1-DATA'!F711)),IF($B713="STD. DEVIATION",2,$F$1))))</f>
        <v/>
      </c>
      <c r="H713" s="1" t="str">
        <f>IF(OR($B713="",H$7=""),"",IF($B713="MEANS",INDEX('1-DATA'!$1:$1048576,$A712-1,COLUMN('1-DATA'!G711)),ROUND(INDEX('1-DATA'!$1:$1048576,IF(OR($B713="STD. DEVIATION",$C$1=1),$A713,$A713+1),COLUMN('1-DATA'!G711)),IF($B713="STD. DEVIATION",2,$F$1))))</f>
        <v/>
      </c>
      <c r="I713" s="1" t="str">
        <f>IF(OR($B713="",I$7=""),"",IF($B713="MEANS",INDEX('1-DATA'!$1:$1048576,$A712-1,COLUMN('1-DATA'!H711)),ROUND(INDEX('1-DATA'!$1:$1048576,IF(OR($B713="STD. DEVIATION",$C$1=1),$A713,$A713+1),COLUMN('1-DATA'!H711)),IF($B713="STD. DEVIATION",2,$F$1))))</f>
        <v/>
      </c>
      <c r="J713" s="1" t="str">
        <f>IF(OR($B713="",J$7=""),"",IF($B713="MEANS",INDEX('1-DATA'!$1:$1048576,$A712-1,COLUMN('1-DATA'!I711)),ROUND(INDEX('1-DATA'!$1:$1048576,IF(OR($B713="STD. DEVIATION",$C$1=1),$A713,$A713+1),COLUMN('1-DATA'!I711)),IF($B713="STD. DEVIATION",2,$F$1))))</f>
        <v/>
      </c>
      <c r="K713" s="1" t="str">
        <f>IF(OR($B713="",K$7=""),"",IF($B713="MEANS",INDEX('1-DATA'!$1:$1048576,$A712-1,COLUMN('1-DATA'!J711)),ROUND(INDEX('1-DATA'!$1:$1048576,IF(OR($B713="STD. DEVIATION",$C$1=1),$A713,$A713+1),COLUMN('1-DATA'!J711)),IF($B713="STD. DEVIATION",2,$F$1))))</f>
        <v/>
      </c>
      <c r="L713" s="1" t="str">
        <f>IF(OR($B713="",L$7=""),"",IF($B713="MEANS",INDEX('1-DATA'!$1:$1048576,$A712-1,COLUMN('1-DATA'!K711)),ROUND(INDEX('1-DATA'!$1:$1048576,IF(OR($B713="STD. DEVIATION",$C$1=1),$A713,$A713+1),COLUMN('1-DATA'!K711)),IF($B713="STD. DEVIATION",2,$F$1))))</f>
        <v/>
      </c>
      <c r="M713" s="1" t="str">
        <f>IF(OR($B713="",M$7=""),"",IF($B713="MEANS",INDEX('1-DATA'!$1:$1048576,$A712-1,COLUMN('1-DATA'!L711)),ROUND(INDEX('1-DATA'!$1:$1048576,IF(OR($B713="STD. DEVIATION",$C$1=1),$A713,$A713+1),COLUMN('1-DATA'!L711)),IF($B713="STD. DEVIATION",2,$F$1))))</f>
        <v/>
      </c>
      <c r="N713" s="1" t="str">
        <f>IF(OR($B713="",N$7=""),"",IF($B713="MEANS",INDEX('1-DATA'!$1:$1048576,$A712-1,COLUMN('1-DATA'!M711)),ROUND(INDEX('1-DATA'!$1:$1048576,IF(OR($B713="STD. DEVIATION",$C$1=1),$A713,$A713+1),COLUMN('1-DATA'!M711)),IF($B713="STD. DEVIATION",2,$F$1))))</f>
        <v/>
      </c>
      <c r="O713" s="1" t="str">
        <f>IF(OR($B713="",O$7=""),"",IF($B713="MEANS",INDEX('1-DATA'!$1:$1048576,$A712-1,COLUMN('1-DATA'!N711)),ROUND(INDEX('1-DATA'!$1:$1048576,IF(OR($B713="STD. DEVIATION",$C$1=1),$A713,$A713+1),COLUMN('1-DATA'!N711)),IF($B713="STD. DEVIATION",2,$F$1))))</f>
        <v/>
      </c>
      <c r="P713" s="1" t="str">
        <f>IF(OR($B713="",P$7=""),"",IF($B713="MEANS",INDEX('1-DATA'!$1:$1048576,$A712-1,COLUMN('1-DATA'!O711)),ROUND(INDEX('1-DATA'!$1:$1048576,IF(OR($B713="STD. DEVIATION",$C$1=1),$A713,$A713+1),COLUMN('1-DATA'!O711)),IF($B713="STD. DEVIATION",2,$F$1))))</f>
        <v/>
      </c>
      <c r="Q713" s="1" t="str">
        <f>IF(OR($B713="",Q$7=""),"",IF($B713="MEANS",INDEX('1-DATA'!$1:$1048576,$A712-1,COLUMN('1-DATA'!P711)),ROUND(INDEX('1-DATA'!$1:$1048576,IF(OR($B713="STD. DEVIATION",$C$1=1),$A713,$A713+1),COLUMN('1-DATA'!P711)),IF($B713="STD. DEVIATION",2,$F$1))))</f>
        <v/>
      </c>
      <c r="R713" s="1" t="str">
        <f>IF(OR($B713="",R$7=""),"",IF($B713="MEANS",INDEX('1-DATA'!$1:$1048576,$A712-1,COLUMN('1-DATA'!Q711)),ROUND(INDEX('1-DATA'!$1:$1048576,IF(OR($B713="STD. DEVIATION",$C$1=1),$A713,$A713+1),COLUMN('1-DATA'!Q711)),IF($B713="STD. DEVIATION",2,$F$1))))</f>
        <v/>
      </c>
      <c r="S713" s="1" t="str">
        <f>IF(OR($B713="",S$7=""),"",IF($B713="MEANS",INDEX('1-DATA'!$1:$1048576,$A712-1,COLUMN('1-DATA'!R711)),ROUND(INDEX('1-DATA'!$1:$1048576,IF(OR($B713="STD. DEVIATION",$C$1=1),$A713,$A713+1),COLUMN('1-DATA'!R711)),IF($B713="STD. DEVIATION",2,$F$1))))</f>
        <v/>
      </c>
      <c r="T713" s="1" t="str">
        <f>IF(OR($B713="",T$7=""),"",IF($B713="MEANS",INDEX('1-DATA'!$1:$1048576,$A712-1,COLUMN('1-DATA'!S711)),ROUND(INDEX('1-DATA'!$1:$1048576,IF(OR($B713="STD. DEVIATION",$C$1=1),$A713,$A713+1),COLUMN('1-DATA'!S711)),IF($B713="STD. DEVIATION",2,$F$1))))</f>
        <v/>
      </c>
      <c r="U713" s="1" t="str">
        <f>IF(OR($B713="",U$7=""),"",IF($B713="MEANS",INDEX('1-DATA'!$1:$1048576,$A712-1,COLUMN('1-DATA'!T711)),ROUND(INDEX('1-DATA'!$1:$1048576,IF(OR($B713="STD. DEVIATION",$C$1=1),$A713,$A713+1),COLUMN('1-DATA'!T711)),IF($B713="STD. DEVIATION",2,$F$1))))</f>
        <v/>
      </c>
      <c r="V713" s="1" t="str">
        <f>IF(OR($B713="",V$7=""),"",IF($B713="MEANS",INDEX('1-DATA'!$1:$1048576,$A712-1,COLUMN('1-DATA'!U711)),ROUND(INDEX('1-DATA'!$1:$1048576,IF(OR($B713="STD. DEVIATION",$C$1=1),$A713,$A713+1),COLUMN('1-DATA'!U711)),IF($B713="STD. DEVIATION",2,$F$1))))</f>
        <v/>
      </c>
      <c r="W713" s="1" t="str">
        <f>IF(OR($B713="",W$7=""),"",IF($B713="MEANS",INDEX('1-DATA'!$1:$1048576,$A712-1,COLUMN('1-DATA'!V711)),ROUND(INDEX('1-DATA'!$1:$1048576,IF(OR($B713="STD. DEVIATION",$C$1=1),$A713,$A713+1),COLUMN('1-DATA'!V711)),IF($B713="STD. DEVIATION",2,$F$1))))</f>
        <v/>
      </c>
      <c r="X713" s="1" t="str">
        <f>IF(OR($B713="",X$7=""),"",IF($B713="MEANS",INDEX('1-DATA'!$1:$1048576,$A712-1,COLUMN('1-DATA'!W711)),ROUND(INDEX('1-DATA'!$1:$1048576,IF(OR($B713="STD. DEVIATION",$C$1=1),$A713,$A713+1),COLUMN('1-DATA'!W711)),IF($B713="STD. DEVIATION",2,$F$1))))</f>
        <v/>
      </c>
      <c r="Y713" s="1" t="str">
        <f>IF(OR($B713="",Y$7=""),"",IF($B713="MEANS",INDEX('1-DATA'!$1:$1048576,$A712-1,COLUMN('1-DATA'!X711)),ROUND(INDEX('1-DATA'!$1:$1048576,IF(OR($B713="STD. DEVIATION",$C$1=1),$A713,$A713+1),COLUMN('1-DATA'!X711)),IF($B713="STD. DEVIATION",2,$F$1))))</f>
        <v/>
      </c>
      <c r="Z713" s="1" t="str">
        <f>IF(OR($B713="",Z$7=""),"",IF($B713="MEANS",INDEX('1-DATA'!$1:$1048576,$A712-1,COLUMN('1-DATA'!Y711)),ROUND(INDEX('1-DATA'!$1:$1048576,IF(OR($B713="STD. DEVIATION",$C$1=1),$A713,$A713+1),COLUMN('1-DATA'!Y711)),IF($B713="STD. DEVIATION",2,$F$1))))</f>
        <v/>
      </c>
      <c r="AA713" s="1" t="str">
        <f>IF(OR($B713="",AA$7=""),"",IF($B713="MEANS",INDEX('1-DATA'!$1:$1048576,$A712-1,COLUMN('1-DATA'!Z711)),ROUND(INDEX('1-DATA'!$1:$1048576,IF(OR($B713="STD. DEVIATION",$C$1=1),$A713,$A713+1),COLUMN('1-DATA'!Z711)),IF($B713="STD. DEVIATION",2,$F$1))))</f>
        <v/>
      </c>
      <c r="AB713" s="1" t="str">
        <f>IF(OR($B713="",AB$7=""),"",IF($B713="MEANS",INDEX('1-DATA'!$1:$1048576,$A712-1,COLUMN('1-DATA'!AA711)),ROUND(INDEX('1-DATA'!$1:$1048576,IF(OR($B713="STD. DEVIATION",$C$1=1),$A713,$A713+1),COLUMN('1-DATA'!AA711)),IF($B713="STD. DEVIATION",2,$F$1))))</f>
        <v/>
      </c>
      <c r="AC713" s="1" t="str">
        <f>IF(OR($B713="",AC$7=""),"",IF($B713="MEANS",INDEX('1-DATA'!$1:$1048576,$A712-1,COLUMN('1-DATA'!AB711)),ROUND(INDEX('1-DATA'!$1:$1048576,IF(OR($B713="STD. DEVIATION",$C$1=1),$A713,$A713+1),COLUMN('1-DATA'!AB711)),IF($B713="STD. DEVIATION",2,$F$1))))</f>
        <v/>
      </c>
      <c r="AD713" s="1" t="str">
        <f>IF(OR($B713="",AD$7=""),"",IF($B713="MEANS",INDEX('1-DATA'!$1:$1048576,$A712-1,COLUMN('1-DATA'!AC711)),ROUND(INDEX('1-DATA'!$1:$1048576,IF(OR($B713="STD. DEVIATION",$C$1=1),$A713,$A713+1),COLUMN('1-DATA'!AC711)),IF($B713="STD. DEVIATION",2,$F$1))))</f>
        <v/>
      </c>
      <c r="AE713" s="1" t="str">
        <f>IF(OR($B713="",AE$7=""),"",IF($B713="MEANS",INDEX('1-DATA'!$1:$1048576,$A712-1,COLUMN('1-DATA'!AD711)),ROUND(INDEX('1-DATA'!$1:$1048576,IF(OR($B713="STD. DEVIATION",$C$1=1),$A713,$A713+1),COLUMN('1-DATA'!AD711)),IF($B713="STD. DEVIATION",2,$F$1))))</f>
        <v/>
      </c>
      <c r="AF713" s="1" t="str">
        <f>IF(OR($B713="",AF$7=""),"",IF($B713="MEANS",INDEX('1-DATA'!$1:$1048576,$A712-1,COLUMN('1-DATA'!AE711)),ROUND(INDEX('1-DATA'!$1:$1048576,IF(OR($B713="STD. DEVIATION",$C$1=1),$A713,$A713+1),COLUMN('1-DATA'!AE711)),IF($B713="STD. DEVIATION",2,$F$1))))</f>
        <v/>
      </c>
      <c r="AG713" s="1" t="str">
        <f>IF(OR($B713="",AG$7=""),"",IF($B713="MEANS",INDEX('1-DATA'!$1:$1048576,$A712-1,COLUMN('1-DATA'!AF711)),ROUND(INDEX('1-DATA'!$1:$1048576,IF(OR($B713="STD. DEVIATION",$C$1=1),$A713,$A713+1),COLUMN('1-DATA'!AF711)),IF($B713="STD. DEVIATION",2,$F$1))))</f>
        <v/>
      </c>
      <c r="AH713" s="1" t="str">
        <f>IF(OR($B713="",AH$7=""),"",IF($B713="MEANS",INDEX('1-DATA'!$1:$1048576,$A712-1,COLUMN('1-DATA'!AG711)),ROUND(INDEX('1-DATA'!$1:$1048576,IF(OR($B713="STD. DEVIATION",$C$1=1),$A713,$A713+1),COLUMN('1-DATA'!AG711)),IF($B713="STD. DEVIATION",2,$F$1))))</f>
        <v/>
      </c>
      <c r="AI713" s="1" t="str">
        <f>IF(OR($B713="",AI$7=""),"",IF($B713="MEANS",INDEX('1-DATA'!$1:$1048576,$A712-1,COLUMN('1-DATA'!AH711)),ROUND(INDEX('1-DATA'!$1:$1048576,IF(OR($B713="STD. DEVIATION",$C$1=1),$A713,$A713+1),COLUMN('1-DATA'!AH711)),IF($B713="STD. DEVIATION",2,$F$1))))</f>
        <v/>
      </c>
      <c r="AJ713" s="1" t="str">
        <f>IF(OR($B713="",AJ$7=""),"",IF($B713="MEANS",INDEX('1-DATA'!$1:$1048576,$A712-1,COLUMN('1-DATA'!AI711)),ROUND(INDEX('1-DATA'!$1:$1048576,IF(OR($B713="STD. DEVIATION",$C$1=1),$A713,$A713+1),COLUMN('1-DATA'!AI711)),IF($B713="STD. DEVIATION",2,$F$1))))</f>
        <v/>
      </c>
      <c r="AK713" s="1" t="str">
        <f>IF(OR($B713="",AK$7=""),"",IF($B713="MEANS",INDEX('1-DATA'!$1:$1048576,$A712-1,COLUMN('1-DATA'!AJ711)),ROUND(INDEX('1-DATA'!$1:$1048576,IF(OR($B713="STD. DEVIATION",$C$1=1),$A713,$A713+1),COLUMN('1-DATA'!AJ711)),IF($B713="STD. DEVIATION",2,$F$1))))</f>
        <v/>
      </c>
      <c r="AL713" s="1" t="str">
        <f>IF(OR($B713="",AL$7=""),"",IF($B713="MEANS",INDEX('1-DATA'!$1:$1048576,$A712-1,COLUMN('1-DATA'!AK711)),ROUND(INDEX('1-DATA'!$1:$1048576,IF(OR($B713="STD. DEVIATION",$C$1=1),$A713,$A713+1),COLUMN('1-DATA'!AK711)),IF($B713="STD. DEVIATION",2,$F$1))))</f>
        <v/>
      </c>
      <c r="AM713" s="1" t="str">
        <f>IF(OR($B713="",AM$7=""),"",IF($B713="MEANS",INDEX('1-DATA'!$1:$1048576,$A712-1,COLUMN('1-DATA'!AL711)),ROUND(INDEX('1-DATA'!$1:$1048576,IF(OR($B713="STD. DEVIATION",$C$1=1),$A713,$A713+1),COLUMN('1-DATA'!AL711)),IF($B713="STD. DEVIATION",2,$F$1))))</f>
        <v/>
      </c>
      <c r="AN713" s="1" t="str">
        <f>IF(OR($B713="",AN$7=""),"",IF($B713="MEANS",INDEX('1-DATA'!$1:$1048576,$A712-1,COLUMN('1-DATA'!AM711)),ROUND(INDEX('1-DATA'!$1:$1048576,IF(OR($B713="STD. DEVIATION",$C$1=1),$A713,$A713+1),COLUMN('1-DATA'!AM711)),IF($B713="STD. DEVIATION",2,$F$1))))</f>
        <v/>
      </c>
      <c r="AO713" s="1" t="str">
        <f>IF(OR($B713="",AO$7=""),"",IF($B713="MEANS",INDEX('1-DATA'!$1:$1048576,$A712-1,COLUMN('1-DATA'!AN711)),ROUND(INDEX('1-DATA'!$1:$1048576,IF(OR($B713="STD. DEVIATION",$C$1=1),$A713,$A713+1),COLUMN('1-DATA'!AN711)),IF($B713="STD. DEVIATION",2,$F$1))))</f>
        <v/>
      </c>
      <c r="AP713" s="1" t="str">
        <f>IF(OR($B713="",AP$7=""),"",IF($B713="MEANS",INDEX('1-DATA'!$1:$1048576,$A712-1,COLUMN('1-DATA'!AO711)),ROUND(INDEX('1-DATA'!$1:$1048576,IF(OR($B713="STD. DEVIATION",$C$1=1),$A713,$A713+1),COLUMN('1-DATA'!AO711)),IF($B713="STD. DEVIATION",2,$F$1))))</f>
        <v/>
      </c>
      <c r="AQ713" s="1" t="str">
        <f>IF(OR($B713="",AQ$7=""),"",IF($B713="MEANS",INDEX('1-DATA'!$1:$1048576,$A712-1,COLUMN('1-DATA'!AP711)),ROUND(INDEX('1-DATA'!$1:$1048576,IF(OR($B713="STD. DEVIATION",$C$1=1),$A713,$A713+1),COLUMN('1-DATA'!AP711)),IF($B713="STD. DEVIATION",2,$F$1))))</f>
        <v/>
      </c>
      <c r="AR713" s="1" t="str">
        <f>IF(OR($B713="",AR$7=""),"",IF($B713="MEANS",INDEX('1-DATA'!$1:$1048576,$A712-1,COLUMN('1-DATA'!AQ711)),ROUND(INDEX('1-DATA'!$1:$1048576,IF(OR($B713="STD. DEVIATION",$C$1=1),$A713,$A713+1),COLUMN('1-DATA'!AQ711)),IF($B713="STD. DEVIATION",2,$F$1))))</f>
        <v/>
      </c>
      <c r="AS713" s="1" t="str">
        <f>IF(OR($B713="",AS$7=""),"",IF($B713="MEANS",INDEX('1-DATA'!$1:$1048576,$A712-1,COLUMN('1-DATA'!AR711)),ROUND(INDEX('1-DATA'!$1:$1048576,IF(OR($B713="STD. DEVIATION",$C$1=1),$A713,$A713+1),COLUMN('1-DATA'!AR711)),IF($B713="STD. DEVIATION",2,$F$1))))</f>
        <v/>
      </c>
      <c r="AT713" s="1" t="str">
        <f>IF(OR($B713="",AT$7=""),"",IF($B713="MEANS",INDEX('1-DATA'!$1:$1048576,$A712-1,COLUMN('1-DATA'!AS711)),ROUND(INDEX('1-DATA'!$1:$1048576,IF(OR($B713="STD. DEVIATION",$C$1=1),$A713,$A713+1),COLUMN('1-DATA'!AS711)),IF($B713="STD. DEVIATION",2,$F$1))))</f>
        <v/>
      </c>
      <c r="AU713" s="1" t="str">
        <f>IF(OR($B713="",AU$7=""),"",IF($B713="MEANS",INDEX('1-DATA'!$1:$1048576,$A712-1,COLUMN('1-DATA'!AT711)),ROUND(INDEX('1-DATA'!$1:$1048576,IF(OR($B713="STD. DEVIATION",$C$1=1),$A713,$A713+1),COLUMN('1-DATA'!AT711)),IF($B713="STD. DEVIATION",2,$F$1))))</f>
        <v/>
      </c>
      <c r="AV713" s="1" t="str">
        <f>IF(OR($B713="",AV$7=""),"",IF($B713="MEANS",INDEX('1-DATA'!$1:$1048576,$A712-1,COLUMN('1-DATA'!AU711)),ROUND(INDEX('1-DATA'!$1:$1048576,IF(OR($B713="STD. DEVIATION",$C$1=1),$A713,$A713+1),COLUMN('1-DATA'!AU711)),IF($B713="STD. DEVIATION",2,$F$1))))</f>
        <v/>
      </c>
      <c r="AW713" s="1" t="str">
        <f>IF(OR($B713="",AW$7=""),"",IF($B713="MEANS",INDEX('1-DATA'!$1:$1048576,$A712-1,COLUMN('1-DATA'!AV711)),ROUND(INDEX('1-DATA'!$1:$1048576,IF(OR($B713="STD. DEVIATION",$C$1=1),$A713,$A713+1),COLUMN('1-DATA'!AV711)),IF($B713="STD. DEVIATION",2,$F$1))))</f>
        <v/>
      </c>
      <c r="AX713" s="1" t="str">
        <f>IF(OR($B713="",AX$7=""),"",IF($B713="MEANS",INDEX('1-DATA'!$1:$1048576,$A712-1,COLUMN('1-DATA'!AW711)),ROUND(INDEX('1-DATA'!$1:$1048576,IF(OR($B713="STD. DEVIATION",$C$1=1),$A713,$A713+1),COLUMN('1-DATA'!AW711)),IF($B713="STD. DEVIATION",2,$F$1))))</f>
        <v/>
      </c>
      <c r="AY713" s="1" t="str">
        <f>IF(OR($B713="",AY$7=""),"",IF($B713="MEANS",INDEX('1-DATA'!$1:$1048576,$A712-1,COLUMN('1-DATA'!AX711)),ROUND(INDEX('1-DATA'!$1:$1048576,IF(OR($B713="STD. DEVIATION",$C$1=1),$A713,$A713+1),COLUMN('1-DATA'!AX711)),IF($B713="STD. DEVIATION",2,$F$1))))</f>
        <v/>
      </c>
      <c r="AZ713" s="1" t="str">
        <f>IF(OR($B713="",AZ$7=""),"",IF($B713="MEANS",INDEX('1-DATA'!$1:$1048576,$A712-1,COLUMN('1-DATA'!AY711)),ROUND(INDEX('1-DATA'!$1:$1048576,IF(OR($B713="STD. DEVIATION",$C$1=1),$A713,$A713+1),COLUMN('1-DATA'!AY711)),IF($B713="STD. DEVIATION",2,$F$1))))</f>
        <v/>
      </c>
    </row>
    <row r="714" spans="1:52" x14ac:dyDescent="0.25">
      <c r="A714" s="11">
        <f t="shared" si="11"/>
        <v>2128</v>
      </c>
      <c r="B714" s="1" t="str">
        <f>IF(B713="STD. DEVIATION",INDEX('1-DATA'!$1:$1048576,$A713-1,1),IF(INDEX('1-DATA'!$1:$1048576,$A714,1)&lt;&gt;"",INDEX('1-DATA'!$1:$1048576,$A714,1),""))</f>
        <v/>
      </c>
      <c r="C714" s="1" t="str">
        <f>IF(OR($B714="",C$7=""),"",IF($B714="MEANS",INDEX('1-DATA'!$1:$1048576,$A713-1,COLUMN('1-DATA'!B712)),ROUND(INDEX('1-DATA'!$1:$1048576,IF(OR($B714="STD. DEVIATION",$C$1=1),$A714,$A714+1),COLUMN('1-DATA'!B712)),IF($B714="STD. DEVIATION",2,$F$1))))</f>
        <v/>
      </c>
      <c r="D714" s="1" t="str">
        <f>IF(OR($B714="",D$7=""),"",IF($B714="MEANS",INDEX('1-DATA'!$1:$1048576,$A713-1,COLUMN('1-DATA'!C712)),ROUND(INDEX('1-DATA'!$1:$1048576,IF(OR($B714="STD. DEVIATION",$C$1=1),$A714,$A714+1),COLUMN('1-DATA'!C712)),IF($B714="STD. DEVIATION",2,$F$1))))</f>
        <v/>
      </c>
      <c r="E714" s="1" t="str">
        <f>IF(OR($B714="",E$7=""),"",IF($B714="MEANS",INDEX('1-DATA'!$1:$1048576,$A713-1,COLUMN('1-DATA'!D712)),ROUND(INDEX('1-DATA'!$1:$1048576,IF(OR($B714="STD. DEVIATION",$C$1=1),$A714,$A714+1),COLUMN('1-DATA'!D712)),IF($B714="STD. DEVIATION",2,$F$1))))</f>
        <v/>
      </c>
      <c r="F714" s="1" t="str">
        <f>IF(OR($B714="",F$7=""),"",IF($B714="MEANS",INDEX('1-DATA'!$1:$1048576,$A713-1,COLUMN('1-DATA'!E712)),ROUND(INDEX('1-DATA'!$1:$1048576,IF(OR($B714="STD. DEVIATION",$C$1=1),$A714,$A714+1),COLUMN('1-DATA'!E712)),IF($B714="STD. DEVIATION",2,$F$1))))</f>
        <v/>
      </c>
      <c r="G714" s="1" t="str">
        <f>IF(OR($B714="",G$7=""),"",IF($B714="MEANS",INDEX('1-DATA'!$1:$1048576,$A713-1,COLUMN('1-DATA'!F712)),ROUND(INDEX('1-DATA'!$1:$1048576,IF(OR($B714="STD. DEVIATION",$C$1=1),$A714,$A714+1),COLUMN('1-DATA'!F712)),IF($B714="STD. DEVIATION",2,$F$1))))</f>
        <v/>
      </c>
      <c r="H714" s="1" t="str">
        <f>IF(OR($B714="",H$7=""),"",IF($B714="MEANS",INDEX('1-DATA'!$1:$1048576,$A713-1,COLUMN('1-DATA'!G712)),ROUND(INDEX('1-DATA'!$1:$1048576,IF(OR($B714="STD. DEVIATION",$C$1=1),$A714,$A714+1),COLUMN('1-DATA'!G712)),IF($B714="STD. DEVIATION",2,$F$1))))</f>
        <v/>
      </c>
      <c r="I714" s="1" t="str">
        <f>IF(OR($B714="",I$7=""),"",IF($B714="MEANS",INDEX('1-DATA'!$1:$1048576,$A713-1,COLUMN('1-DATA'!H712)),ROUND(INDEX('1-DATA'!$1:$1048576,IF(OR($B714="STD. DEVIATION",$C$1=1),$A714,$A714+1),COLUMN('1-DATA'!H712)),IF($B714="STD. DEVIATION",2,$F$1))))</f>
        <v/>
      </c>
      <c r="J714" s="1" t="str">
        <f>IF(OR($B714="",J$7=""),"",IF($B714="MEANS",INDEX('1-DATA'!$1:$1048576,$A713-1,COLUMN('1-DATA'!I712)),ROUND(INDEX('1-DATA'!$1:$1048576,IF(OR($B714="STD. DEVIATION",$C$1=1),$A714,$A714+1),COLUMN('1-DATA'!I712)),IF($B714="STD. DEVIATION",2,$F$1))))</f>
        <v/>
      </c>
      <c r="K714" s="1" t="str">
        <f>IF(OR($B714="",K$7=""),"",IF($B714="MEANS",INDEX('1-DATA'!$1:$1048576,$A713-1,COLUMN('1-DATA'!J712)),ROUND(INDEX('1-DATA'!$1:$1048576,IF(OR($B714="STD. DEVIATION",$C$1=1),$A714,$A714+1),COLUMN('1-DATA'!J712)),IF($B714="STD. DEVIATION",2,$F$1))))</f>
        <v/>
      </c>
      <c r="L714" s="1" t="str">
        <f>IF(OR($B714="",L$7=""),"",IF($B714="MEANS",INDEX('1-DATA'!$1:$1048576,$A713-1,COLUMN('1-DATA'!K712)),ROUND(INDEX('1-DATA'!$1:$1048576,IF(OR($B714="STD. DEVIATION",$C$1=1),$A714,$A714+1),COLUMN('1-DATA'!K712)),IF($B714="STD. DEVIATION",2,$F$1))))</f>
        <v/>
      </c>
      <c r="M714" s="1" t="str">
        <f>IF(OR($B714="",M$7=""),"",IF($B714="MEANS",INDEX('1-DATA'!$1:$1048576,$A713-1,COLUMN('1-DATA'!L712)),ROUND(INDEX('1-DATA'!$1:$1048576,IF(OR($B714="STD. DEVIATION",$C$1=1),$A714,$A714+1),COLUMN('1-DATA'!L712)),IF($B714="STD. DEVIATION",2,$F$1))))</f>
        <v/>
      </c>
      <c r="N714" s="1" t="str">
        <f>IF(OR($B714="",N$7=""),"",IF($B714="MEANS",INDEX('1-DATA'!$1:$1048576,$A713-1,COLUMN('1-DATA'!M712)),ROUND(INDEX('1-DATA'!$1:$1048576,IF(OR($B714="STD. DEVIATION",$C$1=1),$A714,$A714+1),COLUMN('1-DATA'!M712)),IF($B714="STD. DEVIATION",2,$F$1))))</f>
        <v/>
      </c>
      <c r="O714" s="1" t="str">
        <f>IF(OR($B714="",O$7=""),"",IF($B714="MEANS",INDEX('1-DATA'!$1:$1048576,$A713-1,COLUMN('1-DATA'!N712)),ROUND(INDEX('1-DATA'!$1:$1048576,IF(OR($B714="STD. DEVIATION",$C$1=1),$A714,$A714+1),COLUMN('1-DATA'!N712)),IF($B714="STD. DEVIATION",2,$F$1))))</f>
        <v/>
      </c>
      <c r="P714" s="1" t="str">
        <f>IF(OR($B714="",P$7=""),"",IF($B714="MEANS",INDEX('1-DATA'!$1:$1048576,$A713-1,COLUMN('1-DATA'!O712)),ROUND(INDEX('1-DATA'!$1:$1048576,IF(OR($B714="STD. DEVIATION",$C$1=1),$A714,$A714+1),COLUMN('1-DATA'!O712)),IF($B714="STD. DEVIATION",2,$F$1))))</f>
        <v/>
      </c>
      <c r="Q714" s="1" t="str">
        <f>IF(OR($B714="",Q$7=""),"",IF($B714="MEANS",INDEX('1-DATA'!$1:$1048576,$A713-1,COLUMN('1-DATA'!P712)),ROUND(INDEX('1-DATA'!$1:$1048576,IF(OR($B714="STD. DEVIATION",$C$1=1),$A714,$A714+1),COLUMN('1-DATA'!P712)),IF($B714="STD. DEVIATION",2,$F$1))))</f>
        <v/>
      </c>
      <c r="R714" s="1" t="str">
        <f>IF(OR($B714="",R$7=""),"",IF($B714="MEANS",INDEX('1-DATA'!$1:$1048576,$A713-1,COLUMN('1-DATA'!Q712)),ROUND(INDEX('1-DATA'!$1:$1048576,IF(OR($B714="STD. DEVIATION",$C$1=1),$A714,$A714+1),COLUMN('1-DATA'!Q712)),IF($B714="STD. DEVIATION",2,$F$1))))</f>
        <v/>
      </c>
      <c r="S714" s="1" t="str">
        <f>IF(OR($B714="",S$7=""),"",IF($B714="MEANS",INDEX('1-DATA'!$1:$1048576,$A713-1,COLUMN('1-DATA'!R712)),ROUND(INDEX('1-DATA'!$1:$1048576,IF(OR($B714="STD. DEVIATION",$C$1=1),$A714,$A714+1),COLUMN('1-DATA'!R712)),IF($B714="STD. DEVIATION",2,$F$1))))</f>
        <v/>
      </c>
      <c r="T714" s="1" t="str">
        <f>IF(OR($B714="",T$7=""),"",IF($B714="MEANS",INDEX('1-DATA'!$1:$1048576,$A713-1,COLUMN('1-DATA'!S712)),ROUND(INDEX('1-DATA'!$1:$1048576,IF(OR($B714="STD. DEVIATION",$C$1=1),$A714,$A714+1),COLUMN('1-DATA'!S712)),IF($B714="STD. DEVIATION",2,$F$1))))</f>
        <v/>
      </c>
      <c r="U714" s="1" t="str">
        <f>IF(OR($B714="",U$7=""),"",IF($B714="MEANS",INDEX('1-DATA'!$1:$1048576,$A713-1,COLUMN('1-DATA'!T712)),ROUND(INDEX('1-DATA'!$1:$1048576,IF(OR($B714="STD. DEVIATION",$C$1=1),$A714,$A714+1),COLUMN('1-DATA'!T712)),IF($B714="STD. DEVIATION",2,$F$1))))</f>
        <v/>
      </c>
      <c r="V714" s="1" t="str">
        <f>IF(OR($B714="",V$7=""),"",IF($B714="MEANS",INDEX('1-DATA'!$1:$1048576,$A713-1,COLUMN('1-DATA'!U712)),ROUND(INDEX('1-DATA'!$1:$1048576,IF(OR($B714="STD. DEVIATION",$C$1=1),$A714,$A714+1),COLUMN('1-DATA'!U712)),IF($B714="STD. DEVIATION",2,$F$1))))</f>
        <v/>
      </c>
      <c r="W714" s="1" t="str">
        <f>IF(OR($B714="",W$7=""),"",IF($B714="MEANS",INDEX('1-DATA'!$1:$1048576,$A713-1,COLUMN('1-DATA'!V712)),ROUND(INDEX('1-DATA'!$1:$1048576,IF(OR($B714="STD. DEVIATION",$C$1=1),$A714,$A714+1),COLUMN('1-DATA'!V712)),IF($B714="STD. DEVIATION",2,$F$1))))</f>
        <v/>
      </c>
      <c r="X714" s="1" t="str">
        <f>IF(OR($B714="",X$7=""),"",IF($B714="MEANS",INDEX('1-DATA'!$1:$1048576,$A713-1,COLUMN('1-DATA'!W712)),ROUND(INDEX('1-DATA'!$1:$1048576,IF(OR($B714="STD. DEVIATION",$C$1=1),$A714,$A714+1),COLUMN('1-DATA'!W712)),IF($B714="STD. DEVIATION",2,$F$1))))</f>
        <v/>
      </c>
      <c r="Y714" s="1" t="str">
        <f>IF(OR($B714="",Y$7=""),"",IF($B714="MEANS",INDEX('1-DATA'!$1:$1048576,$A713-1,COLUMN('1-DATA'!X712)),ROUND(INDEX('1-DATA'!$1:$1048576,IF(OR($B714="STD. DEVIATION",$C$1=1),$A714,$A714+1),COLUMN('1-DATA'!X712)),IF($B714="STD. DEVIATION",2,$F$1))))</f>
        <v/>
      </c>
      <c r="Z714" s="1" t="str">
        <f>IF(OR($B714="",Z$7=""),"",IF($B714="MEANS",INDEX('1-DATA'!$1:$1048576,$A713-1,COLUMN('1-DATA'!Y712)),ROUND(INDEX('1-DATA'!$1:$1048576,IF(OR($B714="STD. DEVIATION",$C$1=1),$A714,$A714+1),COLUMN('1-DATA'!Y712)),IF($B714="STD. DEVIATION",2,$F$1))))</f>
        <v/>
      </c>
      <c r="AA714" s="1" t="str">
        <f>IF(OR($B714="",AA$7=""),"",IF($B714="MEANS",INDEX('1-DATA'!$1:$1048576,$A713-1,COLUMN('1-DATA'!Z712)),ROUND(INDEX('1-DATA'!$1:$1048576,IF(OR($B714="STD. DEVIATION",$C$1=1),$A714,$A714+1),COLUMN('1-DATA'!Z712)),IF($B714="STD. DEVIATION",2,$F$1))))</f>
        <v/>
      </c>
      <c r="AB714" s="1" t="str">
        <f>IF(OR($B714="",AB$7=""),"",IF($B714="MEANS",INDEX('1-DATA'!$1:$1048576,$A713-1,COLUMN('1-DATA'!AA712)),ROUND(INDEX('1-DATA'!$1:$1048576,IF(OR($B714="STD. DEVIATION",$C$1=1),$A714,$A714+1),COLUMN('1-DATA'!AA712)),IF($B714="STD. DEVIATION",2,$F$1))))</f>
        <v/>
      </c>
      <c r="AC714" s="1" t="str">
        <f>IF(OR($B714="",AC$7=""),"",IF($B714="MEANS",INDEX('1-DATA'!$1:$1048576,$A713-1,COLUMN('1-DATA'!AB712)),ROUND(INDEX('1-DATA'!$1:$1048576,IF(OR($B714="STD. DEVIATION",$C$1=1),$A714,$A714+1),COLUMN('1-DATA'!AB712)),IF($B714="STD. DEVIATION",2,$F$1))))</f>
        <v/>
      </c>
      <c r="AD714" s="1" t="str">
        <f>IF(OR($B714="",AD$7=""),"",IF($B714="MEANS",INDEX('1-DATA'!$1:$1048576,$A713-1,COLUMN('1-DATA'!AC712)),ROUND(INDEX('1-DATA'!$1:$1048576,IF(OR($B714="STD. DEVIATION",$C$1=1),$A714,$A714+1),COLUMN('1-DATA'!AC712)),IF($B714="STD. DEVIATION",2,$F$1))))</f>
        <v/>
      </c>
      <c r="AE714" s="1" t="str">
        <f>IF(OR($B714="",AE$7=""),"",IF($B714="MEANS",INDEX('1-DATA'!$1:$1048576,$A713-1,COLUMN('1-DATA'!AD712)),ROUND(INDEX('1-DATA'!$1:$1048576,IF(OR($B714="STD. DEVIATION",$C$1=1),$A714,$A714+1),COLUMN('1-DATA'!AD712)),IF($B714="STD. DEVIATION",2,$F$1))))</f>
        <v/>
      </c>
      <c r="AF714" s="1" t="str">
        <f>IF(OR($B714="",AF$7=""),"",IF($B714="MEANS",INDEX('1-DATA'!$1:$1048576,$A713-1,COLUMN('1-DATA'!AE712)),ROUND(INDEX('1-DATA'!$1:$1048576,IF(OR($B714="STD. DEVIATION",$C$1=1),$A714,$A714+1),COLUMN('1-DATA'!AE712)),IF($B714="STD. DEVIATION",2,$F$1))))</f>
        <v/>
      </c>
      <c r="AG714" s="1" t="str">
        <f>IF(OR($B714="",AG$7=""),"",IF($B714="MEANS",INDEX('1-DATA'!$1:$1048576,$A713-1,COLUMN('1-DATA'!AF712)),ROUND(INDEX('1-DATA'!$1:$1048576,IF(OR($B714="STD. DEVIATION",$C$1=1),$A714,$A714+1),COLUMN('1-DATA'!AF712)),IF($B714="STD. DEVIATION",2,$F$1))))</f>
        <v/>
      </c>
      <c r="AH714" s="1" t="str">
        <f>IF(OR($B714="",AH$7=""),"",IF($B714="MEANS",INDEX('1-DATA'!$1:$1048576,$A713-1,COLUMN('1-DATA'!AG712)),ROUND(INDEX('1-DATA'!$1:$1048576,IF(OR($B714="STD. DEVIATION",$C$1=1),$A714,$A714+1),COLUMN('1-DATA'!AG712)),IF($B714="STD. DEVIATION",2,$F$1))))</f>
        <v/>
      </c>
      <c r="AI714" s="1" t="str">
        <f>IF(OR($B714="",AI$7=""),"",IF($B714="MEANS",INDEX('1-DATA'!$1:$1048576,$A713-1,COLUMN('1-DATA'!AH712)),ROUND(INDEX('1-DATA'!$1:$1048576,IF(OR($B714="STD. DEVIATION",$C$1=1),$A714,$A714+1),COLUMN('1-DATA'!AH712)),IF($B714="STD. DEVIATION",2,$F$1))))</f>
        <v/>
      </c>
      <c r="AJ714" s="1" t="str">
        <f>IF(OR($B714="",AJ$7=""),"",IF($B714="MEANS",INDEX('1-DATA'!$1:$1048576,$A713-1,COLUMN('1-DATA'!AI712)),ROUND(INDEX('1-DATA'!$1:$1048576,IF(OR($B714="STD. DEVIATION",$C$1=1),$A714,$A714+1),COLUMN('1-DATA'!AI712)),IF($B714="STD. DEVIATION",2,$F$1))))</f>
        <v/>
      </c>
      <c r="AK714" s="1" t="str">
        <f>IF(OR($B714="",AK$7=""),"",IF($B714="MEANS",INDEX('1-DATA'!$1:$1048576,$A713-1,COLUMN('1-DATA'!AJ712)),ROUND(INDEX('1-DATA'!$1:$1048576,IF(OR($B714="STD. DEVIATION",$C$1=1),$A714,$A714+1),COLUMN('1-DATA'!AJ712)),IF($B714="STD. DEVIATION",2,$F$1))))</f>
        <v/>
      </c>
      <c r="AL714" s="1" t="str">
        <f>IF(OR($B714="",AL$7=""),"",IF($B714="MEANS",INDEX('1-DATA'!$1:$1048576,$A713-1,COLUMN('1-DATA'!AK712)),ROUND(INDEX('1-DATA'!$1:$1048576,IF(OR($B714="STD. DEVIATION",$C$1=1),$A714,$A714+1),COLUMN('1-DATA'!AK712)),IF($B714="STD. DEVIATION",2,$F$1))))</f>
        <v/>
      </c>
      <c r="AM714" s="1" t="str">
        <f>IF(OR($B714="",AM$7=""),"",IF($B714="MEANS",INDEX('1-DATA'!$1:$1048576,$A713-1,COLUMN('1-DATA'!AL712)),ROUND(INDEX('1-DATA'!$1:$1048576,IF(OR($B714="STD. DEVIATION",$C$1=1),$A714,$A714+1),COLUMN('1-DATA'!AL712)),IF($B714="STD. DEVIATION",2,$F$1))))</f>
        <v/>
      </c>
      <c r="AN714" s="1" t="str">
        <f>IF(OR($B714="",AN$7=""),"",IF($B714="MEANS",INDEX('1-DATA'!$1:$1048576,$A713-1,COLUMN('1-DATA'!AM712)),ROUND(INDEX('1-DATA'!$1:$1048576,IF(OR($B714="STD. DEVIATION",$C$1=1),$A714,$A714+1),COLUMN('1-DATA'!AM712)),IF($B714="STD. DEVIATION",2,$F$1))))</f>
        <v/>
      </c>
      <c r="AO714" s="1" t="str">
        <f>IF(OR($B714="",AO$7=""),"",IF($B714="MEANS",INDEX('1-DATA'!$1:$1048576,$A713-1,COLUMN('1-DATA'!AN712)),ROUND(INDEX('1-DATA'!$1:$1048576,IF(OR($B714="STD. DEVIATION",$C$1=1),$A714,$A714+1),COLUMN('1-DATA'!AN712)),IF($B714="STD. DEVIATION",2,$F$1))))</f>
        <v/>
      </c>
      <c r="AP714" s="1" t="str">
        <f>IF(OR($B714="",AP$7=""),"",IF($B714="MEANS",INDEX('1-DATA'!$1:$1048576,$A713-1,COLUMN('1-DATA'!AO712)),ROUND(INDEX('1-DATA'!$1:$1048576,IF(OR($B714="STD. DEVIATION",$C$1=1),$A714,$A714+1),COLUMN('1-DATA'!AO712)),IF($B714="STD. DEVIATION",2,$F$1))))</f>
        <v/>
      </c>
      <c r="AQ714" s="1" t="str">
        <f>IF(OR($B714="",AQ$7=""),"",IF($B714="MEANS",INDEX('1-DATA'!$1:$1048576,$A713-1,COLUMN('1-DATA'!AP712)),ROUND(INDEX('1-DATA'!$1:$1048576,IF(OR($B714="STD. DEVIATION",$C$1=1),$A714,$A714+1),COLUMN('1-DATA'!AP712)),IF($B714="STD. DEVIATION",2,$F$1))))</f>
        <v/>
      </c>
      <c r="AR714" s="1" t="str">
        <f>IF(OR($B714="",AR$7=""),"",IF($B714="MEANS",INDEX('1-DATA'!$1:$1048576,$A713-1,COLUMN('1-DATA'!AQ712)),ROUND(INDEX('1-DATA'!$1:$1048576,IF(OR($B714="STD. DEVIATION",$C$1=1),$A714,$A714+1),COLUMN('1-DATA'!AQ712)),IF($B714="STD. DEVIATION",2,$F$1))))</f>
        <v/>
      </c>
      <c r="AS714" s="1" t="str">
        <f>IF(OR($B714="",AS$7=""),"",IF($B714="MEANS",INDEX('1-DATA'!$1:$1048576,$A713-1,COLUMN('1-DATA'!AR712)),ROUND(INDEX('1-DATA'!$1:$1048576,IF(OR($B714="STD. DEVIATION",$C$1=1),$A714,$A714+1),COLUMN('1-DATA'!AR712)),IF($B714="STD. DEVIATION",2,$F$1))))</f>
        <v/>
      </c>
      <c r="AT714" s="1" t="str">
        <f>IF(OR($B714="",AT$7=""),"",IF($B714="MEANS",INDEX('1-DATA'!$1:$1048576,$A713-1,COLUMN('1-DATA'!AS712)),ROUND(INDEX('1-DATA'!$1:$1048576,IF(OR($B714="STD. DEVIATION",$C$1=1),$A714,$A714+1),COLUMN('1-DATA'!AS712)),IF($B714="STD. DEVIATION",2,$F$1))))</f>
        <v/>
      </c>
      <c r="AU714" s="1" t="str">
        <f>IF(OR($B714="",AU$7=""),"",IF($B714="MEANS",INDEX('1-DATA'!$1:$1048576,$A713-1,COLUMN('1-DATA'!AT712)),ROUND(INDEX('1-DATA'!$1:$1048576,IF(OR($B714="STD. DEVIATION",$C$1=1),$A714,$A714+1),COLUMN('1-DATA'!AT712)),IF($B714="STD. DEVIATION",2,$F$1))))</f>
        <v/>
      </c>
      <c r="AV714" s="1" t="str">
        <f>IF(OR($B714="",AV$7=""),"",IF($B714="MEANS",INDEX('1-DATA'!$1:$1048576,$A713-1,COLUMN('1-DATA'!AU712)),ROUND(INDEX('1-DATA'!$1:$1048576,IF(OR($B714="STD. DEVIATION",$C$1=1),$A714,$A714+1),COLUMN('1-DATA'!AU712)),IF($B714="STD. DEVIATION",2,$F$1))))</f>
        <v/>
      </c>
      <c r="AW714" s="1" t="str">
        <f>IF(OR($B714="",AW$7=""),"",IF($B714="MEANS",INDEX('1-DATA'!$1:$1048576,$A713-1,COLUMN('1-DATA'!AV712)),ROUND(INDEX('1-DATA'!$1:$1048576,IF(OR($B714="STD. DEVIATION",$C$1=1),$A714,$A714+1),COLUMN('1-DATA'!AV712)),IF($B714="STD. DEVIATION",2,$F$1))))</f>
        <v/>
      </c>
      <c r="AX714" s="1" t="str">
        <f>IF(OR($B714="",AX$7=""),"",IF($B714="MEANS",INDEX('1-DATA'!$1:$1048576,$A713-1,COLUMN('1-DATA'!AW712)),ROUND(INDEX('1-DATA'!$1:$1048576,IF(OR($B714="STD. DEVIATION",$C$1=1),$A714,$A714+1),COLUMN('1-DATA'!AW712)),IF($B714="STD. DEVIATION",2,$F$1))))</f>
        <v/>
      </c>
      <c r="AY714" s="1" t="str">
        <f>IF(OR($B714="",AY$7=""),"",IF($B714="MEANS",INDEX('1-DATA'!$1:$1048576,$A713-1,COLUMN('1-DATA'!AX712)),ROUND(INDEX('1-DATA'!$1:$1048576,IF(OR($B714="STD. DEVIATION",$C$1=1),$A714,$A714+1),COLUMN('1-DATA'!AX712)),IF($B714="STD. DEVIATION",2,$F$1))))</f>
        <v/>
      </c>
      <c r="AZ714" s="1" t="str">
        <f>IF(OR($B714="",AZ$7=""),"",IF($B714="MEANS",INDEX('1-DATA'!$1:$1048576,$A713-1,COLUMN('1-DATA'!AY712)),ROUND(INDEX('1-DATA'!$1:$1048576,IF(OR($B714="STD. DEVIATION",$C$1=1),$A714,$A714+1),COLUMN('1-DATA'!AY712)),IF($B714="STD. DEVIATION",2,$F$1))))</f>
        <v/>
      </c>
    </row>
    <row r="715" spans="1:52" x14ac:dyDescent="0.25">
      <c r="A715" s="11">
        <f t="shared" si="11"/>
        <v>2131</v>
      </c>
      <c r="B715" s="1" t="str">
        <f>IF(B714="STD. DEVIATION",INDEX('1-DATA'!$1:$1048576,$A714-1,1),IF(INDEX('1-DATA'!$1:$1048576,$A715,1)&lt;&gt;"",INDEX('1-DATA'!$1:$1048576,$A715,1),""))</f>
        <v/>
      </c>
      <c r="C715" s="1" t="str">
        <f>IF(OR($B715="",C$7=""),"",IF($B715="MEANS",INDEX('1-DATA'!$1:$1048576,$A714-1,COLUMN('1-DATA'!B713)),ROUND(INDEX('1-DATA'!$1:$1048576,IF(OR($B715="STD. DEVIATION",$C$1=1),$A715,$A715+1),COLUMN('1-DATA'!B713)),IF($B715="STD. DEVIATION",2,$F$1))))</f>
        <v/>
      </c>
      <c r="D715" s="1" t="str">
        <f>IF(OR($B715="",D$7=""),"",IF($B715="MEANS",INDEX('1-DATA'!$1:$1048576,$A714-1,COLUMN('1-DATA'!C713)),ROUND(INDEX('1-DATA'!$1:$1048576,IF(OR($B715="STD. DEVIATION",$C$1=1),$A715,$A715+1),COLUMN('1-DATA'!C713)),IF($B715="STD. DEVIATION",2,$F$1))))</f>
        <v/>
      </c>
      <c r="E715" s="1" t="str">
        <f>IF(OR($B715="",E$7=""),"",IF($B715="MEANS",INDEX('1-DATA'!$1:$1048576,$A714-1,COLUMN('1-DATA'!D713)),ROUND(INDEX('1-DATA'!$1:$1048576,IF(OR($B715="STD. DEVIATION",$C$1=1),$A715,$A715+1),COLUMN('1-DATA'!D713)),IF($B715="STD. DEVIATION",2,$F$1))))</f>
        <v/>
      </c>
      <c r="F715" s="1" t="str">
        <f>IF(OR($B715="",F$7=""),"",IF($B715="MEANS",INDEX('1-DATA'!$1:$1048576,$A714-1,COLUMN('1-DATA'!E713)),ROUND(INDEX('1-DATA'!$1:$1048576,IF(OR($B715="STD. DEVIATION",$C$1=1),$A715,$A715+1),COLUMN('1-DATA'!E713)),IF($B715="STD. DEVIATION",2,$F$1))))</f>
        <v/>
      </c>
      <c r="G715" s="1" t="str">
        <f>IF(OR($B715="",G$7=""),"",IF($B715="MEANS",INDEX('1-DATA'!$1:$1048576,$A714-1,COLUMN('1-DATA'!F713)),ROUND(INDEX('1-DATA'!$1:$1048576,IF(OR($B715="STD. DEVIATION",$C$1=1),$A715,$A715+1),COLUMN('1-DATA'!F713)),IF($B715="STD. DEVIATION",2,$F$1))))</f>
        <v/>
      </c>
      <c r="H715" s="1" t="str">
        <f>IF(OR($B715="",H$7=""),"",IF($B715="MEANS",INDEX('1-DATA'!$1:$1048576,$A714-1,COLUMN('1-DATA'!G713)),ROUND(INDEX('1-DATA'!$1:$1048576,IF(OR($B715="STD. DEVIATION",$C$1=1),$A715,$A715+1),COLUMN('1-DATA'!G713)),IF($B715="STD. DEVIATION",2,$F$1))))</f>
        <v/>
      </c>
      <c r="I715" s="1" t="str">
        <f>IF(OR($B715="",I$7=""),"",IF($B715="MEANS",INDEX('1-DATA'!$1:$1048576,$A714-1,COLUMN('1-DATA'!H713)),ROUND(INDEX('1-DATA'!$1:$1048576,IF(OR($B715="STD. DEVIATION",$C$1=1),$A715,$A715+1),COLUMN('1-DATA'!H713)),IF($B715="STD. DEVIATION",2,$F$1))))</f>
        <v/>
      </c>
      <c r="J715" s="1" t="str">
        <f>IF(OR($B715="",J$7=""),"",IF($B715="MEANS",INDEX('1-DATA'!$1:$1048576,$A714-1,COLUMN('1-DATA'!I713)),ROUND(INDEX('1-DATA'!$1:$1048576,IF(OR($B715="STD. DEVIATION",$C$1=1),$A715,$A715+1),COLUMN('1-DATA'!I713)),IF($B715="STD. DEVIATION",2,$F$1))))</f>
        <v/>
      </c>
      <c r="K715" s="1" t="str">
        <f>IF(OR($B715="",K$7=""),"",IF($B715="MEANS",INDEX('1-DATA'!$1:$1048576,$A714-1,COLUMN('1-DATA'!J713)),ROUND(INDEX('1-DATA'!$1:$1048576,IF(OR($B715="STD. DEVIATION",$C$1=1),$A715,$A715+1),COLUMN('1-DATA'!J713)),IF($B715="STD. DEVIATION",2,$F$1))))</f>
        <v/>
      </c>
      <c r="L715" s="1" t="str">
        <f>IF(OR($B715="",L$7=""),"",IF($B715="MEANS",INDEX('1-DATA'!$1:$1048576,$A714-1,COLUMN('1-DATA'!K713)),ROUND(INDEX('1-DATA'!$1:$1048576,IF(OR($B715="STD. DEVIATION",$C$1=1),$A715,$A715+1),COLUMN('1-DATA'!K713)),IF($B715="STD. DEVIATION",2,$F$1))))</f>
        <v/>
      </c>
      <c r="M715" s="1" t="str">
        <f>IF(OR($B715="",M$7=""),"",IF($B715="MEANS",INDEX('1-DATA'!$1:$1048576,$A714-1,COLUMN('1-DATA'!L713)),ROUND(INDEX('1-DATA'!$1:$1048576,IF(OR($B715="STD. DEVIATION",$C$1=1),$A715,$A715+1),COLUMN('1-DATA'!L713)),IF($B715="STD. DEVIATION",2,$F$1))))</f>
        <v/>
      </c>
      <c r="N715" s="1" t="str">
        <f>IF(OR($B715="",N$7=""),"",IF($B715="MEANS",INDEX('1-DATA'!$1:$1048576,$A714-1,COLUMN('1-DATA'!M713)),ROUND(INDEX('1-DATA'!$1:$1048576,IF(OR($B715="STD. DEVIATION",$C$1=1),$A715,$A715+1),COLUMN('1-DATA'!M713)),IF($B715="STD. DEVIATION",2,$F$1))))</f>
        <v/>
      </c>
      <c r="O715" s="1" t="str">
        <f>IF(OR($B715="",O$7=""),"",IF($B715="MEANS",INDEX('1-DATA'!$1:$1048576,$A714-1,COLUMN('1-DATA'!N713)),ROUND(INDEX('1-DATA'!$1:$1048576,IF(OR($B715="STD. DEVIATION",$C$1=1),$A715,$A715+1),COLUMN('1-DATA'!N713)),IF($B715="STD. DEVIATION",2,$F$1))))</f>
        <v/>
      </c>
      <c r="P715" s="1" t="str">
        <f>IF(OR($B715="",P$7=""),"",IF($B715="MEANS",INDEX('1-DATA'!$1:$1048576,$A714-1,COLUMN('1-DATA'!O713)),ROUND(INDEX('1-DATA'!$1:$1048576,IF(OR($B715="STD. DEVIATION",$C$1=1),$A715,$A715+1),COLUMN('1-DATA'!O713)),IF($B715="STD. DEVIATION",2,$F$1))))</f>
        <v/>
      </c>
      <c r="Q715" s="1" t="str">
        <f>IF(OR($B715="",Q$7=""),"",IF($B715="MEANS",INDEX('1-DATA'!$1:$1048576,$A714-1,COLUMN('1-DATA'!P713)),ROUND(INDEX('1-DATA'!$1:$1048576,IF(OR($B715="STD. DEVIATION",$C$1=1),$A715,$A715+1),COLUMN('1-DATA'!P713)),IF($B715="STD. DEVIATION",2,$F$1))))</f>
        <v/>
      </c>
      <c r="R715" s="1" t="str">
        <f>IF(OR($B715="",R$7=""),"",IF($B715="MEANS",INDEX('1-DATA'!$1:$1048576,$A714-1,COLUMN('1-DATA'!Q713)),ROUND(INDEX('1-DATA'!$1:$1048576,IF(OR($B715="STD. DEVIATION",$C$1=1),$A715,$A715+1),COLUMN('1-DATA'!Q713)),IF($B715="STD. DEVIATION",2,$F$1))))</f>
        <v/>
      </c>
      <c r="S715" s="1" t="str">
        <f>IF(OR($B715="",S$7=""),"",IF($B715="MEANS",INDEX('1-DATA'!$1:$1048576,$A714-1,COLUMN('1-DATA'!R713)),ROUND(INDEX('1-DATA'!$1:$1048576,IF(OR($B715="STD. DEVIATION",$C$1=1),$A715,$A715+1),COLUMN('1-DATA'!R713)),IF($B715="STD. DEVIATION",2,$F$1))))</f>
        <v/>
      </c>
      <c r="T715" s="1" t="str">
        <f>IF(OR($B715="",T$7=""),"",IF($B715="MEANS",INDEX('1-DATA'!$1:$1048576,$A714-1,COLUMN('1-DATA'!S713)),ROUND(INDEX('1-DATA'!$1:$1048576,IF(OR($B715="STD. DEVIATION",$C$1=1),$A715,$A715+1),COLUMN('1-DATA'!S713)),IF($B715="STD. DEVIATION",2,$F$1))))</f>
        <v/>
      </c>
      <c r="U715" s="1" t="str">
        <f>IF(OR($B715="",U$7=""),"",IF($B715="MEANS",INDEX('1-DATA'!$1:$1048576,$A714-1,COLUMN('1-DATA'!T713)),ROUND(INDEX('1-DATA'!$1:$1048576,IF(OR($B715="STD. DEVIATION",$C$1=1),$A715,$A715+1),COLUMN('1-DATA'!T713)),IF($B715="STD. DEVIATION",2,$F$1))))</f>
        <v/>
      </c>
      <c r="V715" s="1" t="str">
        <f>IF(OR($B715="",V$7=""),"",IF($B715="MEANS",INDEX('1-DATA'!$1:$1048576,$A714-1,COLUMN('1-DATA'!U713)),ROUND(INDEX('1-DATA'!$1:$1048576,IF(OR($B715="STD. DEVIATION",$C$1=1),$A715,$A715+1),COLUMN('1-DATA'!U713)),IF($B715="STD. DEVIATION",2,$F$1))))</f>
        <v/>
      </c>
      <c r="W715" s="1" t="str">
        <f>IF(OR($B715="",W$7=""),"",IF($B715="MEANS",INDEX('1-DATA'!$1:$1048576,$A714-1,COLUMN('1-DATA'!V713)),ROUND(INDEX('1-DATA'!$1:$1048576,IF(OR($B715="STD. DEVIATION",$C$1=1),$A715,$A715+1),COLUMN('1-DATA'!V713)),IF($B715="STD. DEVIATION",2,$F$1))))</f>
        <v/>
      </c>
      <c r="X715" s="1" t="str">
        <f>IF(OR($B715="",X$7=""),"",IF($B715="MEANS",INDEX('1-DATA'!$1:$1048576,$A714-1,COLUMN('1-DATA'!W713)),ROUND(INDEX('1-DATA'!$1:$1048576,IF(OR($B715="STD. DEVIATION",$C$1=1),$A715,$A715+1),COLUMN('1-DATA'!W713)),IF($B715="STD. DEVIATION",2,$F$1))))</f>
        <v/>
      </c>
      <c r="Y715" s="1" t="str">
        <f>IF(OR($B715="",Y$7=""),"",IF($B715="MEANS",INDEX('1-DATA'!$1:$1048576,$A714-1,COLUMN('1-DATA'!X713)),ROUND(INDEX('1-DATA'!$1:$1048576,IF(OR($B715="STD. DEVIATION",$C$1=1),$A715,$A715+1),COLUMN('1-DATA'!X713)),IF($B715="STD. DEVIATION",2,$F$1))))</f>
        <v/>
      </c>
      <c r="Z715" s="1" t="str">
        <f>IF(OR($B715="",Z$7=""),"",IF($B715="MEANS",INDEX('1-DATA'!$1:$1048576,$A714-1,COLUMN('1-DATA'!Y713)),ROUND(INDEX('1-DATA'!$1:$1048576,IF(OR($B715="STD. DEVIATION",$C$1=1),$A715,$A715+1),COLUMN('1-DATA'!Y713)),IF($B715="STD. DEVIATION",2,$F$1))))</f>
        <v/>
      </c>
      <c r="AA715" s="1" t="str">
        <f>IF(OR($B715="",AA$7=""),"",IF($B715="MEANS",INDEX('1-DATA'!$1:$1048576,$A714-1,COLUMN('1-DATA'!Z713)),ROUND(INDEX('1-DATA'!$1:$1048576,IF(OR($B715="STD. DEVIATION",$C$1=1),$A715,$A715+1),COLUMN('1-DATA'!Z713)),IF($B715="STD. DEVIATION",2,$F$1))))</f>
        <v/>
      </c>
      <c r="AB715" s="1" t="str">
        <f>IF(OR($B715="",AB$7=""),"",IF($B715="MEANS",INDEX('1-DATA'!$1:$1048576,$A714-1,COLUMN('1-DATA'!AA713)),ROUND(INDEX('1-DATA'!$1:$1048576,IF(OR($B715="STD. DEVIATION",$C$1=1),$A715,$A715+1),COLUMN('1-DATA'!AA713)),IF($B715="STD. DEVIATION",2,$F$1))))</f>
        <v/>
      </c>
      <c r="AC715" s="1" t="str">
        <f>IF(OR($B715="",AC$7=""),"",IF($B715="MEANS",INDEX('1-DATA'!$1:$1048576,$A714-1,COLUMN('1-DATA'!AB713)),ROUND(INDEX('1-DATA'!$1:$1048576,IF(OR($B715="STD. DEVIATION",$C$1=1),$A715,$A715+1),COLUMN('1-DATA'!AB713)),IF($B715="STD. DEVIATION",2,$F$1))))</f>
        <v/>
      </c>
      <c r="AD715" s="1" t="str">
        <f>IF(OR($B715="",AD$7=""),"",IF($B715="MEANS",INDEX('1-DATA'!$1:$1048576,$A714-1,COLUMN('1-DATA'!AC713)),ROUND(INDEX('1-DATA'!$1:$1048576,IF(OR($B715="STD. DEVIATION",$C$1=1),$A715,$A715+1),COLUMN('1-DATA'!AC713)),IF($B715="STD. DEVIATION",2,$F$1))))</f>
        <v/>
      </c>
      <c r="AE715" s="1" t="str">
        <f>IF(OR($B715="",AE$7=""),"",IF($B715="MEANS",INDEX('1-DATA'!$1:$1048576,$A714-1,COLUMN('1-DATA'!AD713)),ROUND(INDEX('1-DATA'!$1:$1048576,IF(OR($B715="STD. DEVIATION",$C$1=1),$A715,$A715+1),COLUMN('1-DATA'!AD713)),IF($B715="STD. DEVIATION",2,$F$1))))</f>
        <v/>
      </c>
      <c r="AF715" s="1" t="str">
        <f>IF(OR($B715="",AF$7=""),"",IF($B715="MEANS",INDEX('1-DATA'!$1:$1048576,$A714-1,COLUMN('1-DATA'!AE713)),ROUND(INDEX('1-DATA'!$1:$1048576,IF(OR($B715="STD. DEVIATION",$C$1=1),$A715,$A715+1),COLUMN('1-DATA'!AE713)),IF($B715="STD. DEVIATION",2,$F$1))))</f>
        <v/>
      </c>
      <c r="AG715" s="1" t="str">
        <f>IF(OR($B715="",AG$7=""),"",IF($B715="MEANS",INDEX('1-DATA'!$1:$1048576,$A714-1,COLUMN('1-DATA'!AF713)),ROUND(INDEX('1-DATA'!$1:$1048576,IF(OR($B715="STD. DEVIATION",$C$1=1),$A715,$A715+1),COLUMN('1-DATA'!AF713)),IF($B715="STD. DEVIATION",2,$F$1))))</f>
        <v/>
      </c>
      <c r="AH715" s="1" t="str">
        <f>IF(OR($B715="",AH$7=""),"",IF($B715="MEANS",INDEX('1-DATA'!$1:$1048576,$A714-1,COLUMN('1-DATA'!AG713)),ROUND(INDEX('1-DATA'!$1:$1048576,IF(OR($B715="STD. DEVIATION",$C$1=1),$A715,$A715+1),COLUMN('1-DATA'!AG713)),IF($B715="STD. DEVIATION",2,$F$1))))</f>
        <v/>
      </c>
      <c r="AI715" s="1" t="str">
        <f>IF(OR($B715="",AI$7=""),"",IF($B715="MEANS",INDEX('1-DATA'!$1:$1048576,$A714-1,COLUMN('1-DATA'!AH713)),ROUND(INDEX('1-DATA'!$1:$1048576,IF(OR($B715="STD. DEVIATION",$C$1=1),$A715,$A715+1),COLUMN('1-DATA'!AH713)),IF($B715="STD. DEVIATION",2,$F$1))))</f>
        <v/>
      </c>
      <c r="AJ715" s="1" t="str">
        <f>IF(OR($B715="",AJ$7=""),"",IF($B715="MEANS",INDEX('1-DATA'!$1:$1048576,$A714-1,COLUMN('1-DATA'!AI713)),ROUND(INDEX('1-DATA'!$1:$1048576,IF(OR($B715="STD. DEVIATION",$C$1=1),$A715,$A715+1),COLUMN('1-DATA'!AI713)),IF($B715="STD. DEVIATION",2,$F$1))))</f>
        <v/>
      </c>
      <c r="AK715" s="1" t="str">
        <f>IF(OR($B715="",AK$7=""),"",IF($B715="MEANS",INDEX('1-DATA'!$1:$1048576,$A714-1,COLUMN('1-DATA'!AJ713)),ROUND(INDEX('1-DATA'!$1:$1048576,IF(OR($B715="STD. DEVIATION",$C$1=1),$A715,$A715+1),COLUMN('1-DATA'!AJ713)),IF($B715="STD. DEVIATION",2,$F$1))))</f>
        <v/>
      </c>
      <c r="AL715" s="1" t="str">
        <f>IF(OR($B715="",AL$7=""),"",IF($B715="MEANS",INDEX('1-DATA'!$1:$1048576,$A714-1,COLUMN('1-DATA'!AK713)),ROUND(INDEX('1-DATA'!$1:$1048576,IF(OR($B715="STD. DEVIATION",$C$1=1),$A715,$A715+1),COLUMN('1-DATA'!AK713)),IF($B715="STD. DEVIATION",2,$F$1))))</f>
        <v/>
      </c>
      <c r="AM715" s="1" t="str">
        <f>IF(OR($B715="",AM$7=""),"",IF($B715="MEANS",INDEX('1-DATA'!$1:$1048576,$A714-1,COLUMN('1-DATA'!AL713)),ROUND(INDEX('1-DATA'!$1:$1048576,IF(OR($B715="STD. DEVIATION",$C$1=1),$A715,$A715+1),COLUMN('1-DATA'!AL713)),IF($B715="STD. DEVIATION",2,$F$1))))</f>
        <v/>
      </c>
      <c r="AN715" s="1" t="str">
        <f>IF(OR($B715="",AN$7=""),"",IF($B715="MEANS",INDEX('1-DATA'!$1:$1048576,$A714-1,COLUMN('1-DATA'!AM713)),ROUND(INDEX('1-DATA'!$1:$1048576,IF(OR($B715="STD. DEVIATION",$C$1=1),$A715,$A715+1),COLUMN('1-DATA'!AM713)),IF($B715="STD. DEVIATION",2,$F$1))))</f>
        <v/>
      </c>
      <c r="AO715" s="1" t="str">
        <f>IF(OR($B715="",AO$7=""),"",IF($B715="MEANS",INDEX('1-DATA'!$1:$1048576,$A714-1,COLUMN('1-DATA'!AN713)),ROUND(INDEX('1-DATA'!$1:$1048576,IF(OR($B715="STD. DEVIATION",$C$1=1),$A715,$A715+1),COLUMN('1-DATA'!AN713)),IF($B715="STD. DEVIATION",2,$F$1))))</f>
        <v/>
      </c>
      <c r="AP715" s="1" t="str">
        <f>IF(OR($B715="",AP$7=""),"",IF($B715="MEANS",INDEX('1-DATA'!$1:$1048576,$A714-1,COLUMN('1-DATA'!AO713)),ROUND(INDEX('1-DATA'!$1:$1048576,IF(OR($B715="STD. DEVIATION",$C$1=1),$A715,$A715+1),COLUMN('1-DATA'!AO713)),IF($B715="STD. DEVIATION",2,$F$1))))</f>
        <v/>
      </c>
      <c r="AQ715" s="1" t="str">
        <f>IF(OR($B715="",AQ$7=""),"",IF($B715="MEANS",INDEX('1-DATA'!$1:$1048576,$A714-1,COLUMN('1-DATA'!AP713)),ROUND(INDEX('1-DATA'!$1:$1048576,IF(OR($B715="STD. DEVIATION",$C$1=1),$A715,$A715+1),COLUMN('1-DATA'!AP713)),IF($B715="STD. DEVIATION",2,$F$1))))</f>
        <v/>
      </c>
      <c r="AR715" s="1" t="str">
        <f>IF(OR($B715="",AR$7=""),"",IF($B715="MEANS",INDEX('1-DATA'!$1:$1048576,$A714-1,COLUMN('1-DATA'!AQ713)),ROUND(INDEX('1-DATA'!$1:$1048576,IF(OR($B715="STD. DEVIATION",$C$1=1),$A715,$A715+1),COLUMN('1-DATA'!AQ713)),IF($B715="STD. DEVIATION",2,$F$1))))</f>
        <v/>
      </c>
      <c r="AS715" s="1" t="str">
        <f>IF(OR($B715="",AS$7=""),"",IF($B715="MEANS",INDEX('1-DATA'!$1:$1048576,$A714-1,COLUMN('1-DATA'!AR713)),ROUND(INDEX('1-DATA'!$1:$1048576,IF(OR($B715="STD. DEVIATION",$C$1=1),$A715,$A715+1),COLUMN('1-DATA'!AR713)),IF($B715="STD. DEVIATION",2,$F$1))))</f>
        <v/>
      </c>
      <c r="AT715" s="1" t="str">
        <f>IF(OR($B715="",AT$7=""),"",IF($B715="MEANS",INDEX('1-DATA'!$1:$1048576,$A714-1,COLUMN('1-DATA'!AS713)),ROUND(INDEX('1-DATA'!$1:$1048576,IF(OR($B715="STD. DEVIATION",$C$1=1),$A715,$A715+1),COLUMN('1-DATA'!AS713)),IF($B715="STD. DEVIATION",2,$F$1))))</f>
        <v/>
      </c>
      <c r="AU715" s="1" t="str">
        <f>IF(OR($B715="",AU$7=""),"",IF($B715="MEANS",INDEX('1-DATA'!$1:$1048576,$A714-1,COLUMN('1-DATA'!AT713)),ROUND(INDEX('1-DATA'!$1:$1048576,IF(OR($B715="STD. DEVIATION",$C$1=1),$A715,$A715+1),COLUMN('1-DATA'!AT713)),IF($B715="STD. DEVIATION",2,$F$1))))</f>
        <v/>
      </c>
      <c r="AV715" s="1" t="str">
        <f>IF(OR($B715="",AV$7=""),"",IF($B715="MEANS",INDEX('1-DATA'!$1:$1048576,$A714-1,COLUMN('1-DATA'!AU713)),ROUND(INDEX('1-DATA'!$1:$1048576,IF(OR($B715="STD. DEVIATION",$C$1=1),$A715,$A715+1),COLUMN('1-DATA'!AU713)),IF($B715="STD. DEVIATION",2,$F$1))))</f>
        <v/>
      </c>
      <c r="AW715" s="1" t="str">
        <f>IF(OR($B715="",AW$7=""),"",IF($B715="MEANS",INDEX('1-DATA'!$1:$1048576,$A714-1,COLUMN('1-DATA'!AV713)),ROUND(INDEX('1-DATA'!$1:$1048576,IF(OR($B715="STD. DEVIATION",$C$1=1),$A715,$A715+1),COLUMN('1-DATA'!AV713)),IF($B715="STD. DEVIATION",2,$F$1))))</f>
        <v/>
      </c>
      <c r="AX715" s="1" t="str">
        <f>IF(OR($B715="",AX$7=""),"",IF($B715="MEANS",INDEX('1-DATA'!$1:$1048576,$A714-1,COLUMN('1-DATA'!AW713)),ROUND(INDEX('1-DATA'!$1:$1048576,IF(OR($B715="STD. DEVIATION",$C$1=1),$A715,$A715+1),COLUMN('1-DATA'!AW713)),IF($B715="STD. DEVIATION",2,$F$1))))</f>
        <v/>
      </c>
      <c r="AY715" s="1" t="str">
        <f>IF(OR($B715="",AY$7=""),"",IF($B715="MEANS",INDEX('1-DATA'!$1:$1048576,$A714-1,COLUMN('1-DATA'!AX713)),ROUND(INDEX('1-DATA'!$1:$1048576,IF(OR($B715="STD. DEVIATION",$C$1=1),$A715,$A715+1),COLUMN('1-DATA'!AX713)),IF($B715="STD. DEVIATION",2,$F$1))))</f>
        <v/>
      </c>
      <c r="AZ715" s="1" t="str">
        <f>IF(OR($B715="",AZ$7=""),"",IF($B715="MEANS",INDEX('1-DATA'!$1:$1048576,$A714-1,COLUMN('1-DATA'!AY713)),ROUND(INDEX('1-DATA'!$1:$1048576,IF(OR($B715="STD. DEVIATION",$C$1=1),$A715,$A715+1),COLUMN('1-DATA'!AY713)),IF($B715="STD. DEVIATION",2,$F$1))))</f>
        <v/>
      </c>
    </row>
    <row r="716" spans="1:52" x14ac:dyDescent="0.25">
      <c r="A716" s="11">
        <f t="shared" si="11"/>
        <v>2134</v>
      </c>
      <c r="B716" s="1" t="str">
        <f>IF(B715="STD. DEVIATION",INDEX('1-DATA'!$1:$1048576,$A715-1,1),IF(INDEX('1-DATA'!$1:$1048576,$A716,1)&lt;&gt;"",INDEX('1-DATA'!$1:$1048576,$A716,1),""))</f>
        <v/>
      </c>
      <c r="C716" s="1" t="str">
        <f>IF(OR($B716="",C$7=""),"",IF($B716="MEANS",INDEX('1-DATA'!$1:$1048576,$A715-1,COLUMN('1-DATA'!B714)),ROUND(INDEX('1-DATA'!$1:$1048576,IF(OR($B716="STD. DEVIATION",$C$1=1),$A716,$A716+1),COLUMN('1-DATA'!B714)),IF($B716="STD. DEVIATION",2,$F$1))))</f>
        <v/>
      </c>
      <c r="D716" s="1" t="str">
        <f>IF(OR($B716="",D$7=""),"",IF($B716="MEANS",INDEX('1-DATA'!$1:$1048576,$A715-1,COLUMN('1-DATA'!C714)),ROUND(INDEX('1-DATA'!$1:$1048576,IF(OR($B716="STD. DEVIATION",$C$1=1),$A716,$A716+1),COLUMN('1-DATA'!C714)),IF($B716="STD. DEVIATION",2,$F$1))))</f>
        <v/>
      </c>
      <c r="E716" s="1" t="str">
        <f>IF(OR($B716="",E$7=""),"",IF($B716="MEANS",INDEX('1-DATA'!$1:$1048576,$A715-1,COLUMN('1-DATA'!D714)),ROUND(INDEX('1-DATA'!$1:$1048576,IF(OR($B716="STD. DEVIATION",$C$1=1),$A716,$A716+1),COLUMN('1-DATA'!D714)),IF($B716="STD. DEVIATION",2,$F$1))))</f>
        <v/>
      </c>
      <c r="F716" s="1" t="str">
        <f>IF(OR($B716="",F$7=""),"",IF($B716="MEANS",INDEX('1-DATA'!$1:$1048576,$A715-1,COLUMN('1-DATA'!E714)),ROUND(INDEX('1-DATA'!$1:$1048576,IF(OR($B716="STD. DEVIATION",$C$1=1),$A716,$A716+1),COLUMN('1-DATA'!E714)),IF($B716="STD. DEVIATION",2,$F$1))))</f>
        <v/>
      </c>
      <c r="G716" s="1" t="str">
        <f>IF(OR($B716="",G$7=""),"",IF($B716="MEANS",INDEX('1-DATA'!$1:$1048576,$A715-1,COLUMN('1-DATA'!F714)),ROUND(INDEX('1-DATA'!$1:$1048576,IF(OR($B716="STD. DEVIATION",$C$1=1),$A716,$A716+1),COLUMN('1-DATA'!F714)),IF($B716="STD. DEVIATION",2,$F$1))))</f>
        <v/>
      </c>
      <c r="H716" s="1" t="str">
        <f>IF(OR($B716="",H$7=""),"",IF($B716="MEANS",INDEX('1-DATA'!$1:$1048576,$A715-1,COLUMN('1-DATA'!G714)),ROUND(INDEX('1-DATA'!$1:$1048576,IF(OR($B716="STD. DEVIATION",$C$1=1),$A716,$A716+1),COLUMN('1-DATA'!G714)),IF($B716="STD. DEVIATION",2,$F$1))))</f>
        <v/>
      </c>
      <c r="I716" s="1" t="str">
        <f>IF(OR($B716="",I$7=""),"",IF($B716="MEANS",INDEX('1-DATA'!$1:$1048576,$A715-1,COLUMN('1-DATA'!H714)),ROUND(INDEX('1-DATA'!$1:$1048576,IF(OR($B716="STD. DEVIATION",$C$1=1),$A716,$A716+1),COLUMN('1-DATA'!H714)),IF($B716="STD. DEVIATION",2,$F$1))))</f>
        <v/>
      </c>
      <c r="J716" s="1" t="str">
        <f>IF(OR($B716="",J$7=""),"",IF($B716="MEANS",INDEX('1-DATA'!$1:$1048576,$A715-1,COLUMN('1-DATA'!I714)),ROUND(INDEX('1-DATA'!$1:$1048576,IF(OR($B716="STD. DEVIATION",$C$1=1),$A716,$A716+1),COLUMN('1-DATA'!I714)),IF($B716="STD. DEVIATION",2,$F$1))))</f>
        <v/>
      </c>
      <c r="K716" s="1" t="str">
        <f>IF(OR($B716="",K$7=""),"",IF($B716="MEANS",INDEX('1-DATA'!$1:$1048576,$A715-1,COLUMN('1-DATA'!J714)),ROUND(INDEX('1-DATA'!$1:$1048576,IF(OR($B716="STD. DEVIATION",$C$1=1),$A716,$A716+1),COLUMN('1-DATA'!J714)),IF($B716="STD. DEVIATION",2,$F$1))))</f>
        <v/>
      </c>
      <c r="L716" s="1" t="str">
        <f>IF(OR($B716="",L$7=""),"",IF($B716="MEANS",INDEX('1-DATA'!$1:$1048576,$A715-1,COLUMN('1-DATA'!K714)),ROUND(INDEX('1-DATA'!$1:$1048576,IF(OR($B716="STD. DEVIATION",$C$1=1),$A716,$A716+1),COLUMN('1-DATA'!K714)),IF($B716="STD. DEVIATION",2,$F$1))))</f>
        <v/>
      </c>
      <c r="M716" s="1" t="str">
        <f>IF(OR($B716="",M$7=""),"",IF($B716="MEANS",INDEX('1-DATA'!$1:$1048576,$A715-1,COLUMN('1-DATA'!L714)),ROUND(INDEX('1-DATA'!$1:$1048576,IF(OR($B716="STD. DEVIATION",$C$1=1),$A716,$A716+1),COLUMN('1-DATA'!L714)),IF($B716="STD. DEVIATION",2,$F$1))))</f>
        <v/>
      </c>
      <c r="N716" s="1" t="str">
        <f>IF(OR($B716="",N$7=""),"",IF($B716="MEANS",INDEX('1-DATA'!$1:$1048576,$A715-1,COLUMN('1-DATA'!M714)),ROUND(INDEX('1-DATA'!$1:$1048576,IF(OR($B716="STD. DEVIATION",$C$1=1),$A716,$A716+1),COLUMN('1-DATA'!M714)),IF($B716="STD. DEVIATION",2,$F$1))))</f>
        <v/>
      </c>
      <c r="O716" s="1" t="str">
        <f>IF(OR($B716="",O$7=""),"",IF($B716="MEANS",INDEX('1-DATA'!$1:$1048576,$A715-1,COLUMN('1-DATA'!N714)),ROUND(INDEX('1-DATA'!$1:$1048576,IF(OR($B716="STD. DEVIATION",$C$1=1),$A716,$A716+1),COLUMN('1-DATA'!N714)),IF($B716="STD. DEVIATION",2,$F$1))))</f>
        <v/>
      </c>
      <c r="P716" s="1" t="str">
        <f>IF(OR($B716="",P$7=""),"",IF($B716="MEANS",INDEX('1-DATA'!$1:$1048576,$A715-1,COLUMN('1-DATA'!O714)),ROUND(INDEX('1-DATA'!$1:$1048576,IF(OR($B716="STD. DEVIATION",$C$1=1),$A716,$A716+1),COLUMN('1-DATA'!O714)),IF($B716="STD. DEVIATION",2,$F$1))))</f>
        <v/>
      </c>
      <c r="Q716" s="1" t="str">
        <f>IF(OR($B716="",Q$7=""),"",IF($B716="MEANS",INDEX('1-DATA'!$1:$1048576,$A715-1,COLUMN('1-DATA'!P714)),ROUND(INDEX('1-DATA'!$1:$1048576,IF(OR($B716="STD. DEVIATION",$C$1=1),$A716,$A716+1),COLUMN('1-DATA'!P714)),IF($B716="STD. DEVIATION",2,$F$1))))</f>
        <v/>
      </c>
      <c r="R716" s="1" t="str">
        <f>IF(OR($B716="",R$7=""),"",IF($B716="MEANS",INDEX('1-DATA'!$1:$1048576,$A715-1,COLUMN('1-DATA'!Q714)),ROUND(INDEX('1-DATA'!$1:$1048576,IF(OR($B716="STD. DEVIATION",$C$1=1),$A716,$A716+1),COLUMN('1-DATA'!Q714)),IF($B716="STD. DEVIATION",2,$F$1))))</f>
        <v/>
      </c>
      <c r="S716" s="1" t="str">
        <f>IF(OR($B716="",S$7=""),"",IF($B716="MEANS",INDEX('1-DATA'!$1:$1048576,$A715-1,COLUMN('1-DATA'!R714)),ROUND(INDEX('1-DATA'!$1:$1048576,IF(OR($B716="STD. DEVIATION",$C$1=1),$A716,$A716+1),COLUMN('1-DATA'!R714)),IF($B716="STD. DEVIATION",2,$F$1))))</f>
        <v/>
      </c>
      <c r="T716" s="1" t="str">
        <f>IF(OR($B716="",T$7=""),"",IF($B716="MEANS",INDEX('1-DATA'!$1:$1048576,$A715-1,COLUMN('1-DATA'!S714)),ROUND(INDEX('1-DATA'!$1:$1048576,IF(OR($B716="STD. DEVIATION",$C$1=1),$A716,$A716+1),COLUMN('1-DATA'!S714)),IF($B716="STD. DEVIATION",2,$F$1))))</f>
        <v/>
      </c>
      <c r="U716" s="1" t="str">
        <f>IF(OR($B716="",U$7=""),"",IF($B716="MEANS",INDEX('1-DATA'!$1:$1048576,$A715-1,COLUMN('1-DATA'!T714)),ROUND(INDEX('1-DATA'!$1:$1048576,IF(OR($B716="STD. DEVIATION",$C$1=1),$A716,$A716+1),COLUMN('1-DATA'!T714)),IF($B716="STD. DEVIATION",2,$F$1))))</f>
        <v/>
      </c>
      <c r="V716" s="1" t="str">
        <f>IF(OR($B716="",V$7=""),"",IF($B716="MEANS",INDEX('1-DATA'!$1:$1048576,$A715-1,COLUMN('1-DATA'!U714)),ROUND(INDEX('1-DATA'!$1:$1048576,IF(OR($B716="STD. DEVIATION",$C$1=1),$A716,$A716+1),COLUMN('1-DATA'!U714)),IF($B716="STD. DEVIATION",2,$F$1))))</f>
        <v/>
      </c>
      <c r="W716" s="1" t="str">
        <f>IF(OR($B716="",W$7=""),"",IF($B716="MEANS",INDEX('1-DATA'!$1:$1048576,$A715-1,COLUMN('1-DATA'!V714)),ROUND(INDEX('1-DATA'!$1:$1048576,IF(OR($B716="STD. DEVIATION",$C$1=1),$A716,$A716+1),COLUMN('1-DATA'!V714)),IF($B716="STD. DEVIATION",2,$F$1))))</f>
        <v/>
      </c>
      <c r="X716" s="1" t="str">
        <f>IF(OR($B716="",X$7=""),"",IF($B716="MEANS",INDEX('1-DATA'!$1:$1048576,$A715-1,COLUMN('1-DATA'!W714)),ROUND(INDEX('1-DATA'!$1:$1048576,IF(OR($B716="STD. DEVIATION",$C$1=1),$A716,$A716+1),COLUMN('1-DATA'!W714)),IF($B716="STD. DEVIATION",2,$F$1))))</f>
        <v/>
      </c>
      <c r="Y716" s="1" t="str">
        <f>IF(OR($B716="",Y$7=""),"",IF($B716="MEANS",INDEX('1-DATA'!$1:$1048576,$A715-1,COLUMN('1-DATA'!X714)),ROUND(INDEX('1-DATA'!$1:$1048576,IF(OR($B716="STD. DEVIATION",$C$1=1),$A716,$A716+1),COLUMN('1-DATA'!X714)),IF($B716="STD. DEVIATION",2,$F$1))))</f>
        <v/>
      </c>
      <c r="Z716" s="1" t="str">
        <f>IF(OR($B716="",Z$7=""),"",IF($B716="MEANS",INDEX('1-DATA'!$1:$1048576,$A715-1,COLUMN('1-DATA'!Y714)),ROUND(INDEX('1-DATA'!$1:$1048576,IF(OR($B716="STD. DEVIATION",$C$1=1),$A716,$A716+1),COLUMN('1-DATA'!Y714)),IF($B716="STD. DEVIATION",2,$F$1))))</f>
        <v/>
      </c>
      <c r="AA716" s="1" t="str">
        <f>IF(OR($B716="",AA$7=""),"",IF($B716="MEANS",INDEX('1-DATA'!$1:$1048576,$A715-1,COLUMN('1-DATA'!Z714)),ROUND(INDEX('1-DATA'!$1:$1048576,IF(OR($B716="STD. DEVIATION",$C$1=1),$A716,$A716+1),COLUMN('1-DATA'!Z714)),IF($B716="STD. DEVIATION",2,$F$1))))</f>
        <v/>
      </c>
      <c r="AB716" s="1" t="str">
        <f>IF(OR($B716="",AB$7=""),"",IF($B716="MEANS",INDEX('1-DATA'!$1:$1048576,$A715-1,COLUMN('1-DATA'!AA714)),ROUND(INDEX('1-DATA'!$1:$1048576,IF(OR($B716="STD. DEVIATION",$C$1=1),$A716,$A716+1),COLUMN('1-DATA'!AA714)),IF($B716="STD. DEVIATION",2,$F$1))))</f>
        <v/>
      </c>
      <c r="AC716" s="1" t="str">
        <f>IF(OR($B716="",AC$7=""),"",IF($B716="MEANS",INDEX('1-DATA'!$1:$1048576,$A715-1,COLUMN('1-DATA'!AB714)),ROUND(INDEX('1-DATA'!$1:$1048576,IF(OR($B716="STD. DEVIATION",$C$1=1),$A716,$A716+1),COLUMN('1-DATA'!AB714)),IF($B716="STD. DEVIATION",2,$F$1))))</f>
        <v/>
      </c>
      <c r="AD716" s="1" t="str">
        <f>IF(OR($B716="",AD$7=""),"",IF($B716="MEANS",INDEX('1-DATA'!$1:$1048576,$A715-1,COLUMN('1-DATA'!AC714)),ROUND(INDEX('1-DATA'!$1:$1048576,IF(OR($B716="STD. DEVIATION",$C$1=1),$A716,$A716+1),COLUMN('1-DATA'!AC714)),IF($B716="STD. DEVIATION",2,$F$1))))</f>
        <v/>
      </c>
      <c r="AE716" s="1" t="str">
        <f>IF(OR($B716="",AE$7=""),"",IF($B716="MEANS",INDEX('1-DATA'!$1:$1048576,$A715-1,COLUMN('1-DATA'!AD714)),ROUND(INDEX('1-DATA'!$1:$1048576,IF(OR($B716="STD. DEVIATION",$C$1=1),$A716,$A716+1),COLUMN('1-DATA'!AD714)),IF($B716="STD. DEVIATION",2,$F$1))))</f>
        <v/>
      </c>
      <c r="AF716" s="1" t="str">
        <f>IF(OR($B716="",AF$7=""),"",IF($B716="MEANS",INDEX('1-DATA'!$1:$1048576,$A715-1,COLUMN('1-DATA'!AE714)),ROUND(INDEX('1-DATA'!$1:$1048576,IF(OR($B716="STD. DEVIATION",$C$1=1),$A716,$A716+1),COLUMN('1-DATA'!AE714)),IF($B716="STD. DEVIATION",2,$F$1))))</f>
        <v/>
      </c>
      <c r="AG716" s="1" t="str">
        <f>IF(OR($B716="",AG$7=""),"",IF($B716="MEANS",INDEX('1-DATA'!$1:$1048576,$A715-1,COLUMN('1-DATA'!AF714)),ROUND(INDEX('1-DATA'!$1:$1048576,IF(OR($B716="STD. DEVIATION",$C$1=1),$A716,$A716+1),COLUMN('1-DATA'!AF714)),IF($B716="STD. DEVIATION",2,$F$1))))</f>
        <v/>
      </c>
      <c r="AH716" s="1" t="str">
        <f>IF(OR($B716="",AH$7=""),"",IF($B716="MEANS",INDEX('1-DATA'!$1:$1048576,$A715-1,COLUMN('1-DATA'!AG714)),ROUND(INDEX('1-DATA'!$1:$1048576,IF(OR($B716="STD. DEVIATION",$C$1=1),$A716,$A716+1),COLUMN('1-DATA'!AG714)),IF($B716="STD. DEVIATION",2,$F$1))))</f>
        <v/>
      </c>
      <c r="AI716" s="1" t="str">
        <f>IF(OR($B716="",AI$7=""),"",IF($B716="MEANS",INDEX('1-DATA'!$1:$1048576,$A715-1,COLUMN('1-DATA'!AH714)),ROUND(INDEX('1-DATA'!$1:$1048576,IF(OR($B716="STD. DEVIATION",$C$1=1),$A716,$A716+1),COLUMN('1-DATA'!AH714)),IF($B716="STD. DEVIATION",2,$F$1))))</f>
        <v/>
      </c>
      <c r="AJ716" s="1" t="str">
        <f>IF(OR($B716="",AJ$7=""),"",IF($B716="MEANS",INDEX('1-DATA'!$1:$1048576,$A715-1,COLUMN('1-DATA'!AI714)),ROUND(INDEX('1-DATA'!$1:$1048576,IF(OR($B716="STD. DEVIATION",$C$1=1),$A716,$A716+1),COLUMN('1-DATA'!AI714)),IF($B716="STD. DEVIATION",2,$F$1))))</f>
        <v/>
      </c>
      <c r="AK716" s="1" t="str">
        <f>IF(OR($B716="",AK$7=""),"",IF($B716="MEANS",INDEX('1-DATA'!$1:$1048576,$A715-1,COLUMN('1-DATA'!AJ714)),ROUND(INDEX('1-DATA'!$1:$1048576,IF(OR($B716="STD. DEVIATION",$C$1=1),$A716,$A716+1),COLUMN('1-DATA'!AJ714)),IF($B716="STD. DEVIATION",2,$F$1))))</f>
        <v/>
      </c>
      <c r="AL716" s="1" t="str">
        <f>IF(OR($B716="",AL$7=""),"",IF($B716="MEANS",INDEX('1-DATA'!$1:$1048576,$A715-1,COLUMN('1-DATA'!AK714)),ROUND(INDEX('1-DATA'!$1:$1048576,IF(OR($B716="STD. DEVIATION",$C$1=1),$A716,$A716+1),COLUMN('1-DATA'!AK714)),IF($B716="STD. DEVIATION",2,$F$1))))</f>
        <v/>
      </c>
      <c r="AM716" s="1" t="str">
        <f>IF(OR($B716="",AM$7=""),"",IF($B716="MEANS",INDEX('1-DATA'!$1:$1048576,$A715-1,COLUMN('1-DATA'!AL714)),ROUND(INDEX('1-DATA'!$1:$1048576,IF(OR($B716="STD. DEVIATION",$C$1=1),$A716,$A716+1),COLUMN('1-DATA'!AL714)),IF($B716="STD. DEVIATION",2,$F$1))))</f>
        <v/>
      </c>
      <c r="AN716" s="1" t="str">
        <f>IF(OR($B716="",AN$7=""),"",IF($B716="MEANS",INDEX('1-DATA'!$1:$1048576,$A715-1,COLUMN('1-DATA'!AM714)),ROUND(INDEX('1-DATA'!$1:$1048576,IF(OR($B716="STD. DEVIATION",$C$1=1),$A716,$A716+1),COLUMN('1-DATA'!AM714)),IF($B716="STD. DEVIATION",2,$F$1))))</f>
        <v/>
      </c>
      <c r="AO716" s="1" t="str">
        <f>IF(OR($B716="",AO$7=""),"",IF($B716="MEANS",INDEX('1-DATA'!$1:$1048576,$A715-1,COLUMN('1-DATA'!AN714)),ROUND(INDEX('1-DATA'!$1:$1048576,IF(OR($B716="STD. DEVIATION",$C$1=1),$A716,$A716+1),COLUMN('1-DATA'!AN714)),IF($B716="STD. DEVIATION",2,$F$1))))</f>
        <v/>
      </c>
      <c r="AP716" s="1" t="str">
        <f>IF(OR($B716="",AP$7=""),"",IF($B716="MEANS",INDEX('1-DATA'!$1:$1048576,$A715-1,COLUMN('1-DATA'!AO714)),ROUND(INDEX('1-DATA'!$1:$1048576,IF(OR($B716="STD. DEVIATION",$C$1=1),$A716,$A716+1),COLUMN('1-DATA'!AO714)),IF($B716="STD. DEVIATION",2,$F$1))))</f>
        <v/>
      </c>
      <c r="AQ716" s="1" t="str">
        <f>IF(OR($B716="",AQ$7=""),"",IF($B716="MEANS",INDEX('1-DATA'!$1:$1048576,$A715-1,COLUMN('1-DATA'!AP714)),ROUND(INDEX('1-DATA'!$1:$1048576,IF(OR($B716="STD. DEVIATION",$C$1=1),$A716,$A716+1),COLUMN('1-DATA'!AP714)),IF($B716="STD. DEVIATION",2,$F$1))))</f>
        <v/>
      </c>
      <c r="AR716" s="1" t="str">
        <f>IF(OR($B716="",AR$7=""),"",IF($B716="MEANS",INDEX('1-DATA'!$1:$1048576,$A715-1,COLUMN('1-DATA'!AQ714)),ROUND(INDEX('1-DATA'!$1:$1048576,IF(OR($B716="STD. DEVIATION",$C$1=1),$A716,$A716+1),COLUMN('1-DATA'!AQ714)),IF($B716="STD. DEVIATION",2,$F$1))))</f>
        <v/>
      </c>
      <c r="AS716" s="1" t="str">
        <f>IF(OR($B716="",AS$7=""),"",IF($B716="MEANS",INDEX('1-DATA'!$1:$1048576,$A715-1,COLUMN('1-DATA'!AR714)),ROUND(INDEX('1-DATA'!$1:$1048576,IF(OR($B716="STD. DEVIATION",$C$1=1),$A716,$A716+1),COLUMN('1-DATA'!AR714)),IF($B716="STD. DEVIATION",2,$F$1))))</f>
        <v/>
      </c>
      <c r="AT716" s="1" t="str">
        <f>IF(OR($B716="",AT$7=""),"",IF($B716="MEANS",INDEX('1-DATA'!$1:$1048576,$A715-1,COLUMN('1-DATA'!AS714)),ROUND(INDEX('1-DATA'!$1:$1048576,IF(OR($B716="STD. DEVIATION",$C$1=1),$A716,$A716+1),COLUMN('1-DATA'!AS714)),IF($B716="STD. DEVIATION",2,$F$1))))</f>
        <v/>
      </c>
      <c r="AU716" s="1" t="str">
        <f>IF(OR($B716="",AU$7=""),"",IF($B716="MEANS",INDEX('1-DATA'!$1:$1048576,$A715-1,COLUMN('1-DATA'!AT714)),ROUND(INDEX('1-DATA'!$1:$1048576,IF(OR($B716="STD. DEVIATION",$C$1=1),$A716,$A716+1),COLUMN('1-DATA'!AT714)),IF($B716="STD. DEVIATION",2,$F$1))))</f>
        <v/>
      </c>
      <c r="AV716" s="1" t="str">
        <f>IF(OR($B716="",AV$7=""),"",IF($B716="MEANS",INDEX('1-DATA'!$1:$1048576,$A715-1,COLUMN('1-DATA'!AU714)),ROUND(INDEX('1-DATA'!$1:$1048576,IF(OR($B716="STD. DEVIATION",$C$1=1),$A716,$A716+1),COLUMN('1-DATA'!AU714)),IF($B716="STD. DEVIATION",2,$F$1))))</f>
        <v/>
      </c>
      <c r="AW716" s="1" t="str">
        <f>IF(OR($B716="",AW$7=""),"",IF($B716="MEANS",INDEX('1-DATA'!$1:$1048576,$A715-1,COLUMN('1-DATA'!AV714)),ROUND(INDEX('1-DATA'!$1:$1048576,IF(OR($B716="STD. DEVIATION",$C$1=1),$A716,$A716+1),COLUMN('1-DATA'!AV714)),IF($B716="STD. DEVIATION",2,$F$1))))</f>
        <v/>
      </c>
      <c r="AX716" s="1" t="str">
        <f>IF(OR($B716="",AX$7=""),"",IF($B716="MEANS",INDEX('1-DATA'!$1:$1048576,$A715-1,COLUMN('1-DATA'!AW714)),ROUND(INDEX('1-DATA'!$1:$1048576,IF(OR($B716="STD. DEVIATION",$C$1=1),$A716,$A716+1),COLUMN('1-DATA'!AW714)),IF($B716="STD. DEVIATION",2,$F$1))))</f>
        <v/>
      </c>
      <c r="AY716" s="1" t="str">
        <f>IF(OR($B716="",AY$7=""),"",IF($B716="MEANS",INDEX('1-DATA'!$1:$1048576,$A715-1,COLUMN('1-DATA'!AX714)),ROUND(INDEX('1-DATA'!$1:$1048576,IF(OR($B716="STD. DEVIATION",$C$1=1),$A716,$A716+1),COLUMN('1-DATA'!AX714)),IF($B716="STD. DEVIATION",2,$F$1))))</f>
        <v/>
      </c>
      <c r="AZ716" s="1" t="str">
        <f>IF(OR($B716="",AZ$7=""),"",IF($B716="MEANS",INDEX('1-DATA'!$1:$1048576,$A715-1,COLUMN('1-DATA'!AY714)),ROUND(INDEX('1-DATA'!$1:$1048576,IF(OR($B716="STD. DEVIATION",$C$1=1),$A716,$A716+1),COLUMN('1-DATA'!AY714)),IF($B716="STD. DEVIATION",2,$F$1))))</f>
        <v/>
      </c>
    </row>
    <row r="717" spans="1:52" x14ac:dyDescent="0.25">
      <c r="A717" s="11">
        <f t="shared" si="11"/>
        <v>2137</v>
      </c>
      <c r="B717" s="1" t="str">
        <f>IF(B716="STD. DEVIATION",INDEX('1-DATA'!$1:$1048576,$A716-1,1),IF(INDEX('1-DATA'!$1:$1048576,$A717,1)&lt;&gt;"",INDEX('1-DATA'!$1:$1048576,$A717,1),""))</f>
        <v/>
      </c>
      <c r="C717" s="1" t="str">
        <f>IF(OR($B717="",C$7=""),"",IF($B717="MEANS",INDEX('1-DATA'!$1:$1048576,$A716-1,COLUMN('1-DATA'!B715)),ROUND(INDEX('1-DATA'!$1:$1048576,IF(OR($B717="STD. DEVIATION",$C$1=1),$A717,$A717+1),COLUMN('1-DATA'!B715)),IF($B717="STD. DEVIATION",2,$F$1))))</f>
        <v/>
      </c>
      <c r="D717" s="1" t="str">
        <f>IF(OR($B717="",D$7=""),"",IF($B717="MEANS",INDEX('1-DATA'!$1:$1048576,$A716-1,COLUMN('1-DATA'!C715)),ROUND(INDEX('1-DATA'!$1:$1048576,IF(OR($B717="STD. DEVIATION",$C$1=1),$A717,$A717+1),COLUMN('1-DATA'!C715)),IF($B717="STD. DEVIATION",2,$F$1))))</f>
        <v/>
      </c>
      <c r="E717" s="1" t="str">
        <f>IF(OR($B717="",E$7=""),"",IF($B717="MEANS",INDEX('1-DATA'!$1:$1048576,$A716-1,COLUMN('1-DATA'!D715)),ROUND(INDEX('1-DATA'!$1:$1048576,IF(OR($B717="STD. DEVIATION",$C$1=1),$A717,$A717+1),COLUMN('1-DATA'!D715)),IF($B717="STD. DEVIATION",2,$F$1))))</f>
        <v/>
      </c>
      <c r="F717" s="1" t="str">
        <f>IF(OR($B717="",F$7=""),"",IF($B717="MEANS",INDEX('1-DATA'!$1:$1048576,$A716-1,COLUMN('1-DATA'!E715)),ROUND(INDEX('1-DATA'!$1:$1048576,IF(OR($B717="STD. DEVIATION",$C$1=1),$A717,$A717+1),COLUMN('1-DATA'!E715)),IF($B717="STD. DEVIATION",2,$F$1))))</f>
        <v/>
      </c>
      <c r="G717" s="1" t="str">
        <f>IF(OR($B717="",G$7=""),"",IF($B717="MEANS",INDEX('1-DATA'!$1:$1048576,$A716-1,COLUMN('1-DATA'!F715)),ROUND(INDEX('1-DATA'!$1:$1048576,IF(OR($B717="STD. DEVIATION",$C$1=1),$A717,$A717+1),COLUMN('1-DATA'!F715)),IF($B717="STD. DEVIATION",2,$F$1))))</f>
        <v/>
      </c>
      <c r="H717" s="1" t="str">
        <f>IF(OR($B717="",H$7=""),"",IF($B717="MEANS",INDEX('1-DATA'!$1:$1048576,$A716-1,COLUMN('1-DATA'!G715)),ROUND(INDEX('1-DATA'!$1:$1048576,IF(OR($B717="STD. DEVIATION",$C$1=1),$A717,$A717+1),COLUMN('1-DATA'!G715)),IF($B717="STD. DEVIATION",2,$F$1))))</f>
        <v/>
      </c>
      <c r="I717" s="1" t="str">
        <f>IF(OR($B717="",I$7=""),"",IF($B717="MEANS",INDEX('1-DATA'!$1:$1048576,$A716-1,COLUMN('1-DATA'!H715)),ROUND(INDEX('1-DATA'!$1:$1048576,IF(OR($B717="STD. DEVIATION",$C$1=1),$A717,$A717+1),COLUMN('1-DATA'!H715)),IF($B717="STD. DEVIATION",2,$F$1))))</f>
        <v/>
      </c>
      <c r="J717" s="1" t="str">
        <f>IF(OR($B717="",J$7=""),"",IF($B717="MEANS",INDEX('1-DATA'!$1:$1048576,$A716-1,COLUMN('1-DATA'!I715)),ROUND(INDEX('1-DATA'!$1:$1048576,IF(OR($B717="STD. DEVIATION",$C$1=1),$A717,$A717+1),COLUMN('1-DATA'!I715)),IF($B717="STD. DEVIATION",2,$F$1))))</f>
        <v/>
      </c>
      <c r="K717" s="1" t="str">
        <f>IF(OR($B717="",K$7=""),"",IF($B717="MEANS",INDEX('1-DATA'!$1:$1048576,$A716-1,COLUMN('1-DATA'!J715)),ROUND(INDEX('1-DATA'!$1:$1048576,IF(OR($B717="STD. DEVIATION",$C$1=1),$A717,$A717+1),COLUMN('1-DATA'!J715)),IF($B717="STD. DEVIATION",2,$F$1))))</f>
        <v/>
      </c>
      <c r="L717" s="1" t="str">
        <f>IF(OR($B717="",L$7=""),"",IF($B717="MEANS",INDEX('1-DATA'!$1:$1048576,$A716-1,COLUMN('1-DATA'!K715)),ROUND(INDEX('1-DATA'!$1:$1048576,IF(OR($B717="STD. DEVIATION",$C$1=1),$A717,$A717+1),COLUMN('1-DATA'!K715)),IF($B717="STD. DEVIATION",2,$F$1))))</f>
        <v/>
      </c>
      <c r="M717" s="1" t="str">
        <f>IF(OR($B717="",M$7=""),"",IF($B717="MEANS",INDEX('1-DATA'!$1:$1048576,$A716-1,COLUMN('1-DATA'!L715)),ROUND(INDEX('1-DATA'!$1:$1048576,IF(OR($B717="STD. DEVIATION",$C$1=1),$A717,$A717+1),COLUMN('1-DATA'!L715)),IF($B717="STD. DEVIATION",2,$F$1))))</f>
        <v/>
      </c>
      <c r="N717" s="1" t="str">
        <f>IF(OR($B717="",N$7=""),"",IF($B717="MEANS",INDEX('1-DATA'!$1:$1048576,$A716-1,COLUMN('1-DATA'!M715)),ROUND(INDEX('1-DATA'!$1:$1048576,IF(OR($B717="STD. DEVIATION",$C$1=1),$A717,$A717+1),COLUMN('1-DATA'!M715)),IF($B717="STD. DEVIATION",2,$F$1))))</f>
        <v/>
      </c>
      <c r="O717" s="1" t="str">
        <f>IF(OR($B717="",O$7=""),"",IF($B717="MEANS",INDEX('1-DATA'!$1:$1048576,$A716-1,COLUMN('1-DATA'!N715)),ROUND(INDEX('1-DATA'!$1:$1048576,IF(OR($B717="STD. DEVIATION",$C$1=1),$A717,$A717+1),COLUMN('1-DATA'!N715)),IF($B717="STD. DEVIATION",2,$F$1))))</f>
        <v/>
      </c>
      <c r="P717" s="1" t="str">
        <f>IF(OR($B717="",P$7=""),"",IF($B717="MEANS",INDEX('1-DATA'!$1:$1048576,$A716-1,COLUMN('1-DATA'!O715)),ROUND(INDEX('1-DATA'!$1:$1048576,IF(OR($B717="STD. DEVIATION",$C$1=1),$A717,$A717+1),COLUMN('1-DATA'!O715)),IF($B717="STD. DEVIATION",2,$F$1))))</f>
        <v/>
      </c>
      <c r="Q717" s="1" t="str">
        <f>IF(OR($B717="",Q$7=""),"",IF($B717="MEANS",INDEX('1-DATA'!$1:$1048576,$A716-1,COLUMN('1-DATA'!P715)),ROUND(INDEX('1-DATA'!$1:$1048576,IF(OR($B717="STD. DEVIATION",$C$1=1),$A717,$A717+1),COLUMN('1-DATA'!P715)),IF($B717="STD. DEVIATION",2,$F$1))))</f>
        <v/>
      </c>
      <c r="R717" s="1" t="str">
        <f>IF(OR($B717="",R$7=""),"",IF($B717="MEANS",INDEX('1-DATA'!$1:$1048576,$A716-1,COLUMN('1-DATA'!Q715)),ROUND(INDEX('1-DATA'!$1:$1048576,IF(OR($B717="STD. DEVIATION",$C$1=1),$A717,$A717+1),COLUMN('1-DATA'!Q715)),IF($B717="STD. DEVIATION",2,$F$1))))</f>
        <v/>
      </c>
      <c r="S717" s="1" t="str">
        <f>IF(OR($B717="",S$7=""),"",IF($B717="MEANS",INDEX('1-DATA'!$1:$1048576,$A716-1,COLUMN('1-DATA'!R715)),ROUND(INDEX('1-DATA'!$1:$1048576,IF(OR($B717="STD. DEVIATION",$C$1=1),$A717,$A717+1),COLUMN('1-DATA'!R715)),IF($B717="STD. DEVIATION",2,$F$1))))</f>
        <v/>
      </c>
      <c r="T717" s="1" t="str">
        <f>IF(OR($B717="",T$7=""),"",IF($B717="MEANS",INDEX('1-DATA'!$1:$1048576,$A716-1,COLUMN('1-DATA'!S715)),ROUND(INDEX('1-DATA'!$1:$1048576,IF(OR($B717="STD. DEVIATION",$C$1=1),$A717,$A717+1),COLUMN('1-DATA'!S715)),IF($B717="STD. DEVIATION",2,$F$1))))</f>
        <v/>
      </c>
      <c r="U717" s="1" t="str">
        <f>IF(OR($B717="",U$7=""),"",IF($B717="MEANS",INDEX('1-DATA'!$1:$1048576,$A716-1,COLUMN('1-DATA'!T715)),ROUND(INDEX('1-DATA'!$1:$1048576,IF(OR($B717="STD. DEVIATION",$C$1=1),$A717,$A717+1),COLUMN('1-DATA'!T715)),IF($B717="STD. DEVIATION",2,$F$1))))</f>
        <v/>
      </c>
      <c r="V717" s="1" t="str">
        <f>IF(OR($B717="",V$7=""),"",IF($B717="MEANS",INDEX('1-DATA'!$1:$1048576,$A716-1,COLUMN('1-DATA'!U715)),ROUND(INDEX('1-DATA'!$1:$1048576,IF(OR($B717="STD. DEVIATION",$C$1=1),$A717,$A717+1),COLUMN('1-DATA'!U715)),IF($B717="STD. DEVIATION",2,$F$1))))</f>
        <v/>
      </c>
      <c r="W717" s="1" t="str">
        <f>IF(OR($B717="",W$7=""),"",IF($B717="MEANS",INDEX('1-DATA'!$1:$1048576,$A716-1,COLUMN('1-DATA'!V715)),ROUND(INDEX('1-DATA'!$1:$1048576,IF(OR($B717="STD. DEVIATION",$C$1=1),$A717,$A717+1),COLUMN('1-DATA'!V715)),IF($B717="STD. DEVIATION",2,$F$1))))</f>
        <v/>
      </c>
      <c r="X717" s="1" t="str">
        <f>IF(OR($B717="",X$7=""),"",IF($B717="MEANS",INDEX('1-DATA'!$1:$1048576,$A716-1,COLUMN('1-DATA'!W715)),ROUND(INDEX('1-DATA'!$1:$1048576,IF(OR($B717="STD. DEVIATION",$C$1=1),$A717,$A717+1),COLUMN('1-DATA'!W715)),IF($B717="STD. DEVIATION",2,$F$1))))</f>
        <v/>
      </c>
      <c r="Y717" s="1" t="str">
        <f>IF(OR($B717="",Y$7=""),"",IF($B717="MEANS",INDEX('1-DATA'!$1:$1048576,$A716-1,COLUMN('1-DATA'!X715)),ROUND(INDEX('1-DATA'!$1:$1048576,IF(OR($B717="STD. DEVIATION",$C$1=1),$A717,$A717+1),COLUMN('1-DATA'!X715)),IF($B717="STD. DEVIATION",2,$F$1))))</f>
        <v/>
      </c>
      <c r="Z717" s="1" t="str">
        <f>IF(OR($B717="",Z$7=""),"",IF($B717="MEANS",INDEX('1-DATA'!$1:$1048576,$A716-1,COLUMN('1-DATA'!Y715)),ROUND(INDEX('1-DATA'!$1:$1048576,IF(OR($B717="STD. DEVIATION",$C$1=1),$A717,$A717+1),COLUMN('1-DATA'!Y715)),IF($B717="STD. DEVIATION",2,$F$1))))</f>
        <v/>
      </c>
      <c r="AA717" s="1" t="str">
        <f>IF(OR($B717="",AA$7=""),"",IF($B717="MEANS",INDEX('1-DATA'!$1:$1048576,$A716-1,COLUMN('1-DATA'!Z715)),ROUND(INDEX('1-DATA'!$1:$1048576,IF(OR($B717="STD. DEVIATION",$C$1=1),$A717,$A717+1),COLUMN('1-DATA'!Z715)),IF($B717="STD. DEVIATION",2,$F$1))))</f>
        <v/>
      </c>
      <c r="AB717" s="1" t="str">
        <f>IF(OR($B717="",AB$7=""),"",IF($B717="MEANS",INDEX('1-DATA'!$1:$1048576,$A716-1,COLUMN('1-DATA'!AA715)),ROUND(INDEX('1-DATA'!$1:$1048576,IF(OR($B717="STD. DEVIATION",$C$1=1),$A717,$A717+1),COLUMN('1-DATA'!AA715)),IF($B717="STD. DEVIATION",2,$F$1))))</f>
        <v/>
      </c>
      <c r="AC717" s="1" t="str">
        <f>IF(OR($B717="",AC$7=""),"",IF($B717="MEANS",INDEX('1-DATA'!$1:$1048576,$A716-1,COLUMN('1-DATA'!AB715)),ROUND(INDEX('1-DATA'!$1:$1048576,IF(OR($B717="STD. DEVIATION",$C$1=1),$A717,$A717+1),COLUMN('1-DATA'!AB715)),IF($B717="STD. DEVIATION",2,$F$1))))</f>
        <v/>
      </c>
      <c r="AD717" s="1" t="str">
        <f>IF(OR($B717="",AD$7=""),"",IF($B717="MEANS",INDEX('1-DATA'!$1:$1048576,$A716-1,COLUMN('1-DATA'!AC715)),ROUND(INDEX('1-DATA'!$1:$1048576,IF(OR($B717="STD. DEVIATION",$C$1=1),$A717,$A717+1),COLUMN('1-DATA'!AC715)),IF($B717="STD. DEVIATION",2,$F$1))))</f>
        <v/>
      </c>
      <c r="AE717" s="1" t="str">
        <f>IF(OR($B717="",AE$7=""),"",IF($B717="MEANS",INDEX('1-DATA'!$1:$1048576,$A716-1,COLUMN('1-DATA'!AD715)),ROUND(INDEX('1-DATA'!$1:$1048576,IF(OR($B717="STD. DEVIATION",$C$1=1),$A717,$A717+1),COLUMN('1-DATA'!AD715)),IF($B717="STD. DEVIATION",2,$F$1))))</f>
        <v/>
      </c>
      <c r="AF717" s="1" t="str">
        <f>IF(OR($B717="",AF$7=""),"",IF($B717="MEANS",INDEX('1-DATA'!$1:$1048576,$A716-1,COLUMN('1-DATA'!AE715)),ROUND(INDEX('1-DATA'!$1:$1048576,IF(OR($B717="STD. DEVIATION",$C$1=1),$A717,$A717+1),COLUMN('1-DATA'!AE715)),IF($B717="STD. DEVIATION",2,$F$1))))</f>
        <v/>
      </c>
      <c r="AG717" s="1" t="str">
        <f>IF(OR($B717="",AG$7=""),"",IF($B717="MEANS",INDEX('1-DATA'!$1:$1048576,$A716-1,COLUMN('1-DATA'!AF715)),ROUND(INDEX('1-DATA'!$1:$1048576,IF(OR($B717="STD. DEVIATION",$C$1=1),$A717,$A717+1),COLUMN('1-DATA'!AF715)),IF($B717="STD. DEVIATION",2,$F$1))))</f>
        <v/>
      </c>
      <c r="AH717" s="1" t="str">
        <f>IF(OR($B717="",AH$7=""),"",IF($B717="MEANS",INDEX('1-DATA'!$1:$1048576,$A716-1,COLUMN('1-DATA'!AG715)),ROUND(INDEX('1-DATA'!$1:$1048576,IF(OR($B717="STD. DEVIATION",$C$1=1),$A717,$A717+1),COLUMN('1-DATA'!AG715)),IF($B717="STD. DEVIATION",2,$F$1))))</f>
        <v/>
      </c>
      <c r="AI717" s="1" t="str">
        <f>IF(OR($B717="",AI$7=""),"",IF($B717="MEANS",INDEX('1-DATA'!$1:$1048576,$A716-1,COLUMN('1-DATA'!AH715)),ROUND(INDEX('1-DATA'!$1:$1048576,IF(OR($B717="STD. DEVIATION",$C$1=1),$A717,$A717+1),COLUMN('1-DATA'!AH715)),IF($B717="STD. DEVIATION",2,$F$1))))</f>
        <v/>
      </c>
      <c r="AJ717" s="1" t="str">
        <f>IF(OR($B717="",AJ$7=""),"",IF($B717="MEANS",INDEX('1-DATA'!$1:$1048576,$A716-1,COLUMN('1-DATA'!AI715)),ROUND(INDEX('1-DATA'!$1:$1048576,IF(OR($B717="STD. DEVIATION",$C$1=1),$A717,$A717+1),COLUMN('1-DATA'!AI715)),IF($B717="STD. DEVIATION",2,$F$1))))</f>
        <v/>
      </c>
      <c r="AK717" s="1" t="str">
        <f>IF(OR($B717="",AK$7=""),"",IF($B717="MEANS",INDEX('1-DATA'!$1:$1048576,$A716-1,COLUMN('1-DATA'!AJ715)),ROUND(INDEX('1-DATA'!$1:$1048576,IF(OR($B717="STD. DEVIATION",$C$1=1),$A717,$A717+1),COLUMN('1-DATA'!AJ715)),IF($B717="STD. DEVIATION",2,$F$1))))</f>
        <v/>
      </c>
      <c r="AL717" s="1" t="str">
        <f>IF(OR($B717="",AL$7=""),"",IF($B717="MEANS",INDEX('1-DATA'!$1:$1048576,$A716-1,COLUMN('1-DATA'!AK715)),ROUND(INDEX('1-DATA'!$1:$1048576,IF(OR($B717="STD. DEVIATION",$C$1=1),$A717,$A717+1),COLUMN('1-DATA'!AK715)),IF($B717="STD. DEVIATION",2,$F$1))))</f>
        <v/>
      </c>
      <c r="AM717" s="1" t="str">
        <f>IF(OR($B717="",AM$7=""),"",IF($B717="MEANS",INDEX('1-DATA'!$1:$1048576,$A716-1,COLUMN('1-DATA'!AL715)),ROUND(INDEX('1-DATA'!$1:$1048576,IF(OR($B717="STD. DEVIATION",$C$1=1),$A717,$A717+1),COLUMN('1-DATA'!AL715)),IF($B717="STD. DEVIATION",2,$F$1))))</f>
        <v/>
      </c>
      <c r="AN717" s="1" t="str">
        <f>IF(OR($B717="",AN$7=""),"",IF($B717="MEANS",INDEX('1-DATA'!$1:$1048576,$A716-1,COLUMN('1-DATA'!AM715)),ROUND(INDEX('1-DATA'!$1:$1048576,IF(OR($B717="STD. DEVIATION",$C$1=1),$A717,$A717+1),COLUMN('1-DATA'!AM715)),IF($B717="STD. DEVIATION",2,$F$1))))</f>
        <v/>
      </c>
      <c r="AO717" s="1" t="str">
        <f>IF(OR($B717="",AO$7=""),"",IF($B717="MEANS",INDEX('1-DATA'!$1:$1048576,$A716-1,COLUMN('1-DATA'!AN715)),ROUND(INDEX('1-DATA'!$1:$1048576,IF(OR($B717="STD. DEVIATION",$C$1=1),$A717,$A717+1),COLUMN('1-DATA'!AN715)),IF($B717="STD. DEVIATION",2,$F$1))))</f>
        <v/>
      </c>
      <c r="AP717" s="1" t="str">
        <f>IF(OR($B717="",AP$7=""),"",IF($B717="MEANS",INDEX('1-DATA'!$1:$1048576,$A716-1,COLUMN('1-DATA'!AO715)),ROUND(INDEX('1-DATA'!$1:$1048576,IF(OR($B717="STD. DEVIATION",$C$1=1),$A717,$A717+1),COLUMN('1-DATA'!AO715)),IF($B717="STD. DEVIATION",2,$F$1))))</f>
        <v/>
      </c>
      <c r="AQ717" s="1" t="str">
        <f>IF(OR($B717="",AQ$7=""),"",IF($B717="MEANS",INDEX('1-DATA'!$1:$1048576,$A716-1,COLUMN('1-DATA'!AP715)),ROUND(INDEX('1-DATA'!$1:$1048576,IF(OR($B717="STD. DEVIATION",$C$1=1),$A717,$A717+1),COLUMN('1-DATA'!AP715)),IF($B717="STD. DEVIATION",2,$F$1))))</f>
        <v/>
      </c>
      <c r="AR717" s="1" t="str">
        <f>IF(OR($B717="",AR$7=""),"",IF($B717="MEANS",INDEX('1-DATA'!$1:$1048576,$A716-1,COLUMN('1-DATA'!AQ715)),ROUND(INDEX('1-DATA'!$1:$1048576,IF(OR($B717="STD. DEVIATION",$C$1=1),$A717,$A717+1),COLUMN('1-DATA'!AQ715)),IF($B717="STD. DEVIATION",2,$F$1))))</f>
        <v/>
      </c>
      <c r="AS717" s="1" t="str">
        <f>IF(OR($B717="",AS$7=""),"",IF($B717="MEANS",INDEX('1-DATA'!$1:$1048576,$A716-1,COLUMN('1-DATA'!AR715)),ROUND(INDEX('1-DATA'!$1:$1048576,IF(OR($B717="STD. DEVIATION",$C$1=1),$A717,$A717+1),COLUMN('1-DATA'!AR715)),IF($B717="STD. DEVIATION",2,$F$1))))</f>
        <v/>
      </c>
      <c r="AT717" s="1" t="str">
        <f>IF(OR($B717="",AT$7=""),"",IF($B717="MEANS",INDEX('1-DATA'!$1:$1048576,$A716-1,COLUMN('1-DATA'!AS715)),ROUND(INDEX('1-DATA'!$1:$1048576,IF(OR($B717="STD. DEVIATION",$C$1=1),$A717,$A717+1),COLUMN('1-DATA'!AS715)),IF($B717="STD. DEVIATION",2,$F$1))))</f>
        <v/>
      </c>
      <c r="AU717" s="1" t="str">
        <f>IF(OR($B717="",AU$7=""),"",IF($B717="MEANS",INDEX('1-DATA'!$1:$1048576,$A716-1,COLUMN('1-DATA'!AT715)),ROUND(INDEX('1-DATA'!$1:$1048576,IF(OR($B717="STD. DEVIATION",$C$1=1),$A717,$A717+1),COLUMN('1-DATA'!AT715)),IF($B717="STD. DEVIATION",2,$F$1))))</f>
        <v/>
      </c>
      <c r="AV717" s="1" t="str">
        <f>IF(OR($B717="",AV$7=""),"",IF($B717="MEANS",INDEX('1-DATA'!$1:$1048576,$A716-1,COLUMN('1-DATA'!AU715)),ROUND(INDEX('1-DATA'!$1:$1048576,IF(OR($B717="STD. DEVIATION",$C$1=1),$A717,$A717+1),COLUMN('1-DATA'!AU715)),IF($B717="STD. DEVIATION",2,$F$1))))</f>
        <v/>
      </c>
      <c r="AW717" s="1" t="str">
        <f>IF(OR($B717="",AW$7=""),"",IF($B717="MEANS",INDEX('1-DATA'!$1:$1048576,$A716-1,COLUMN('1-DATA'!AV715)),ROUND(INDEX('1-DATA'!$1:$1048576,IF(OR($B717="STD. DEVIATION",$C$1=1),$A717,$A717+1),COLUMN('1-DATA'!AV715)),IF($B717="STD. DEVIATION",2,$F$1))))</f>
        <v/>
      </c>
      <c r="AX717" s="1" t="str">
        <f>IF(OR($B717="",AX$7=""),"",IF($B717="MEANS",INDEX('1-DATA'!$1:$1048576,$A716-1,COLUMN('1-DATA'!AW715)),ROUND(INDEX('1-DATA'!$1:$1048576,IF(OR($B717="STD. DEVIATION",$C$1=1),$A717,$A717+1),COLUMN('1-DATA'!AW715)),IF($B717="STD. DEVIATION",2,$F$1))))</f>
        <v/>
      </c>
      <c r="AY717" s="1" t="str">
        <f>IF(OR($B717="",AY$7=""),"",IF($B717="MEANS",INDEX('1-DATA'!$1:$1048576,$A716-1,COLUMN('1-DATA'!AX715)),ROUND(INDEX('1-DATA'!$1:$1048576,IF(OR($B717="STD. DEVIATION",$C$1=1),$A717,$A717+1),COLUMN('1-DATA'!AX715)),IF($B717="STD. DEVIATION",2,$F$1))))</f>
        <v/>
      </c>
      <c r="AZ717" s="1" t="str">
        <f>IF(OR($B717="",AZ$7=""),"",IF($B717="MEANS",INDEX('1-DATA'!$1:$1048576,$A716-1,COLUMN('1-DATA'!AY715)),ROUND(INDEX('1-DATA'!$1:$1048576,IF(OR($B717="STD. DEVIATION",$C$1=1),$A717,$A717+1),COLUMN('1-DATA'!AY715)),IF($B717="STD. DEVIATION",2,$F$1))))</f>
        <v/>
      </c>
    </row>
    <row r="718" spans="1:52" x14ac:dyDescent="0.25">
      <c r="A718" s="11">
        <f t="shared" si="11"/>
        <v>2140</v>
      </c>
      <c r="B718" s="1" t="str">
        <f>IF(B717="STD. DEVIATION",INDEX('1-DATA'!$1:$1048576,$A717-1,1),IF(INDEX('1-DATA'!$1:$1048576,$A718,1)&lt;&gt;"",INDEX('1-DATA'!$1:$1048576,$A718,1),""))</f>
        <v/>
      </c>
      <c r="C718" s="1" t="str">
        <f>IF(OR($B718="",C$7=""),"",IF($B718="MEANS",INDEX('1-DATA'!$1:$1048576,$A717-1,COLUMN('1-DATA'!B716)),ROUND(INDEX('1-DATA'!$1:$1048576,IF(OR($B718="STD. DEVIATION",$C$1=1),$A718,$A718+1),COLUMN('1-DATA'!B716)),IF($B718="STD. DEVIATION",2,$F$1))))</f>
        <v/>
      </c>
      <c r="D718" s="1" t="str">
        <f>IF(OR($B718="",D$7=""),"",IF($B718="MEANS",INDEX('1-DATA'!$1:$1048576,$A717-1,COLUMN('1-DATA'!C716)),ROUND(INDEX('1-DATA'!$1:$1048576,IF(OR($B718="STD. DEVIATION",$C$1=1),$A718,$A718+1),COLUMN('1-DATA'!C716)),IF($B718="STD. DEVIATION",2,$F$1))))</f>
        <v/>
      </c>
      <c r="E718" s="1" t="str">
        <f>IF(OR($B718="",E$7=""),"",IF($B718="MEANS",INDEX('1-DATA'!$1:$1048576,$A717-1,COLUMN('1-DATA'!D716)),ROUND(INDEX('1-DATA'!$1:$1048576,IF(OR($B718="STD. DEVIATION",$C$1=1),$A718,$A718+1),COLUMN('1-DATA'!D716)),IF($B718="STD. DEVIATION",2,$F$1))))</f>
        <v/>
      </c>
      <c r="F718" s="1" t="str">
        <f>IF(OR($B718="",F$7=""),"",IF($B718="MEANS",INDEX('1-DATA'!$1:$1048576,$A717-1,COLUMN('1-DATA'!E716)),ROUND(INDEX('1-DATA'!$1:$1048576,IF(OR($B718="STD. DEVIATION",$C$1=1),$A718,$A718+1),COLUMN('1-DATA'!E716)),IF($B718="STD. DEVIATION",2,$F$1))))</f>
        <v/>
      </c>
      <c r="G718" s="1" t="str">
        <f>IF(OR($B718="",G$7=""),"",IF($B718="MEANS",INDEX('1-DATA'!$1:$1048576,$A717-1,COLUMN('1-DATA'!F716)),ROUND(INDEX('1-DATA'!$1:$1048576,IF(OR($B718="STD. DEVIATION",$C$1=1),$A718,$A718+1),COLUMN('1-DATA'!F716)),IF($B718="STD. DEVIATION",2,$F$1))))</f>
        <v/>
      </c>
      <c r="H718" s="1" t="str">
        <f>IF(OR($B718="",H$7=""),"",IF($B718="MEANS",INDEX('1-DATA'!$1:$1048576,$A717-1,COLUMN('1-DATA'!G716)),ROUND(INDEX('1-DATA'!$1:$1048576,IF(OR($B718="STD. DEVIATION",$C$1=1),$A718,$A718+1),COLUMN('1-DATA'!G716)),IF($B718="STD. DEVIATION",2,$F$1))))</f>
        <v/>
      </c>
      <c r="I718" s="1" t="str">
        <f>IF(OR($B718="",I$7=""),"",IF($B718="MEANS",INDEX('1-DATA'!$1:$1048576,$A717-1,COLUMN('1-DATA'!H716)),ROUND(INDEX('1-DATA'!$1:$1048576,IF(OR($B718="STD. DEVIATION",$C$1=1),$A718,$A718+1),COLUMN('1-DATA'!H716)),IF($B718="STD. DEVIATION",2,$F$1))))</f>
        <v/>
      </c>
      <c r="J718" s="1" t="str">
        <f>IF(OR($B718="",J$7=""),"",IF($B718="MEANS",INDEX('1-DATA'!$1:$1048576,$A717-1,COLUMN('1-DATA'!I716)),ROUND(INDEX('1-DATA'!$1:$1048576,IF(OR($B718="STD. DEVIATION",$C$1=1),$A718,$A718+1),COLUMN('1-DATA'!I716)),IF($B718="STD. DEVIATION",2,$F$1))))</f>
        <v/>
      </c>
      <c r="K718" s="1" t="str">
        <f>IF(OR($B718="",K$7=""),"",IF($B718="MEANS",INDEX('1-DATA'!$1:$1048576,$A717-1,COLUMN('1-DATA'!J716)),ROUND(INDEX('1-DATA'!$1:$1048576,IF(OR($B718="STD. DEVIATION",$C$1=1),$A718,$A718+1),COLUMN('1-DATA'!J716)),IF($B718="STD. DEVIATION",2,$F$1))))</f>
        <v/>
      </c>
      <c r="L718" s="1" t="str">
        <f>IF(OR($B718="",L$7=""),"",IF($B718="MEANS",INDEX('1-DATA'!$1:$1048576,$A717-1,COLUMN('1-DATA'!K716)),ROUND(INDEX('1-DATA'!$1:$1048576,IF(OR($B718="STD. DEVIATION",$C$1=1),$A718,$A718+1),COLUMN('1-DATA'!K716)),IF($B718="STD. DEVIATION",2,$F$1))))</f>
        <v/>
      </c>
      <c r="M718" s="1" t="str">
        <f>IF(OR($B718="",M$7=""),"",IF($B718="MEANS",INDEX('1-DATA'!$1:$1048576,$A717-1,COLUMN('1-DATA'!L716)),ROUND(INDEX('1-DATA'!$1:$1048576,IF(OR($B718="STD. DEVIATION",$C$1=1),$A718,$A718+1),COLUMN('1-DATA'!L716)),IF($B718="STD. DEVIATION",2,$F$1))))</f>
        <v/>
      </c>
      <c r="N718" s="1" t="str">
        <f>IF(OR($B718="",N$7=""),"",IF($B718="MEANS",INDEX('1-DATA'!$1:$1048576,$A717-1,COLUMN('1-DATA'!M716)),ROUND(INDEX('1-DATA'!$1:$1048576,IF(OR($B718="STD. DEVIATION",$C$1=1),$A718,$A718+1),COLUMN('1-DATA'!M716)),IF($B718="STD. DEVIATION",2,$F$1))))</f>
        <v/>
      </c>
      <c r="O718" s="1" t="str">
        <f>IF(OR($B718="",O$7=""),"",IF($B718="MEANS",INDEX('1-DATA'!$1:$1048576,$A717-1,COLUMN('1-DATA'!N716)),ROUND(INDEX('1-DATA'!$1:$1048576,IF(OR($B718="STD. DEVIATION",$C$1=1),$A718,$A718+1),COLUMN('1-DATA'!N716)),IF($B718="STD. DEVIATION",2,$F$1))))</f>
        <v/>
      </c>
      <c r="P718" s="1" t="str">
        <f>IF(OR($B718="",P$7=""),"",IF($B718="MEANS",INDEX('1-DATA'!$1:$1048576,$A717-1,COLUMN('1-DATA'!O716)),ROUND(INDEX('1-DATA'!$1:$1048576,IF(OR($B718="STD. DEVIATION",$C$1=1),$A718,$A718+1),COLUMN('1-DATA'!O716)),IF($B718="STD. DEVIATION",2,$F$1))))</f>
        <v/>
      </c>
      <c r="Q718" s="1" t="str">
        <f>IF(OR($B718="",Q$7=""),"",IF($B718="MEANS",INDEX('1-DATA'!$1:$1048576,$A717-1,COLUMN('1-DATA'!P716)),ROUND(INDEX('1-DATA'!$1:$1048576,IF(OR($B718="STD. DEVIATION",$C$1=1),$A718,$A718+1),COLUMN('1-DATA'!P716)),IF($B718="STD. DEVIATION",2,$F$1))))</f>
        <v/>
      </c>
      <c r="R718" s="1" t="str">
        <f>IF(OR($B718="",R$7=""),"",IF($B718="MEANS",INDEX('1-DATA'!$1:$1048576,$A717-1,COLUMN('1-DATA'!Q716)),ROUND(INDEX('1-DATA'!$1:$1048576,IF(OR($B718="STD. DEVIATION",$C$1=1),$A718,$A718+1),COLUMN('1-DATA'!Q716)),IF($B718="STD. DEVIATION",2,$F$1))))</f>
        <v/>
      </c>
      <c r="S718" s="1" t="str">
        <f>IF(OR($B718="",S$7=""),"",IF($B718="MEANS",INDEX('1-DATA'!$1:$1048576,$A717-1,COLUMN('1-DATA'!R716)),ROUND(INDEX('1-DATA'!$1:$1048576,IF(OR($B718="STD. DEVIATION",$C$1=1),$A718,$A718+1),COLUMN('1-DATA'!R716)),IF($B718="STD. DEVIATION",2,$F$1))))</f>
        <v/>
      </c>
      <c r="T718" s="1" t="str">
        <f>IF(OR($B718="",T$7=""),"",IF($B718="MEANS",INDEX('1-DATA'!$1:$1048576,$A717-1,COLUMN('1-DATA'!S716)),ROUND(INDEX('1-DATA'!$1:$1048576,IF(OR($B718="STD. DEVIATION",$C$1=1),$A718,$A718+1),COLUMN('1-DATA'!S716)),IF($B718="STD. DEVIATION",2,$F$1))))</f>
        <v/>
      </c>
      <c r="U718" s="1" t="str">
        <f>IF(OR($B718="",U$7=""),"",IF($B718="MEANS",INDEX('1-DATA'!$1:$1048576,$A717-1,COLUMN('1-DATA'!T716)),ROUND(INDEX('1-DATA'!$1:$1048576,IF(OR($B718="STD. DEVIATION",$C$1=1),$A718,$A718+1),COLUMN('1-DATA'!T716)),IF($B718="STD. DEVIATION",2,$F$1))))</f>
        <v/>
      </c>
      <c r="V718" s="1" t="str">
        <f>IF(OR($B718="",V$7=""),"",IF($B718="MEANS",INDEX('1-DATA'!$1:$1048576,$A717-1,COLUMN('1-DATA'!U716)),ROUND(INDEX('1-DATA'!$1:$1048576,IF(OR($B718="STD. DEVIATION",$C$1=1),$A718,$A718+1),COLUMN('1-DATA'!U716)),IF($B718="STD. DEVIATION",2,$F$1))))</f>
        <v/>
      </c>
      <c r="W718" s="1" t="str">
        <f>IF(OR($B718="",W$7=""),"",IF($B718="MEANS",INDEX('1-DATA'!$1:$1048576,$A717-1,COLUMN('1-DATA'!V716)),ROUND(INDEX('1-DATA'!$1:$1048576,IF(OR($B718="STD. DEVIATION",$C$1=1),$A718,$A718+1),COLUMN('1-DATA'!V716)),IF($B718="STD. DEVIATION",2,$F$1))))</f>
        <v/>
      </c>
      <c r="X718" s="1" t="str">
        <f>IF(OR($B718="",X$7=""),"",IF($B718="MEANS",INDEX('1-DATA'!$1:$1048576,$A717-1,COLUMN('1-DATA'!W716)),ROUND(INDEX('1-DATA'!$1:$1048576,IF(OR($B718="STD. DEVIATION",$C$1=1),$A718,$A718+1),COLUMN('1-DATA'!W716)),IF($B718="STD. DEVIATION",2,$F$1))))</f>
        <v/>
      </c>
      <c r="Y718" s="1" t="str">
        <f>IF(OR($B718="",Y$7=""),"",IF($B718="MEANS",INDEX('1-DATA'!$1:$1048576,$A717-1,COLUMN('1-DATA'!X716)),ROUND(INDEX('1-DATA'!$1:$1048576,IF(OR($B718="STD. DEVIATION",$C$1=1),$A718,$A718+1),COLUMN('1-DATA'!X716)),IF($B718="STD. DEVIATION",2,$F$1))))</f>
        <v/>
      </c>
      <c r="Z718" s="1" t="str">
        <f>IF(OR($B718="",Z$7=""),"",IF($B718="MEANS",INDEX('1-DATA'!$1:$1048576,$A717-1,COLUMN('1-DATA'!Y716)),ROUND(INDEX('1-DATA'!$1:$1048576,IF(OR($B718="STD. DEVIATION",$C$1=1),$A718,$A718+1),COLUMN('1-DATA'!Y716)),IF($B718="STD. DEVIATION",2,$F$1))))</f>
        <v/>
      </c>
      <c r="AA718" s="1" t="str">
        <f>IF(OR($B718="",AA$7=""),"",IF($B718="MEANS",INDEX('1-DATA'!$1:$1048576,$A717-1,COLUMN('1-DATA'!Z716)),ROUND(INDEX('1-DATA'!$1:$1048576,IF(OR($B718="STD. DEVIATION",$C$1=1),$A718,$A718+1),COLUMN('1-DATA'!Z716)),IF($B718="STD. DEVIATION",2,$F$1))))</f>
        <v/>
      </c>
      <c r="AB718" s="1" t="str">
        <f>IF(OR($B718="",AB$7=""),"",IF($B718="MEANS",INDEX('1-DATA'!$1:$1048576,$A717-1,COLUMN('1-DATA'!AA716)),ROUND(INDEX('1-DATA'!$1:$1048576,IF(OR($B718="STD. DEVIATION",$C$1=1),$A718,$A718+1),COLUMN('1-DATA'!AA716)),IF($B718="STD. DEVIATION",2,$F$1))))</f>
        <v/>
      </c>
      <c r="AC718" s="1" t="str">
        <f>IF(OR($B718="",AC$7=""),"",IF($B718="MEANS",INDEX('1-DATA'!$1:$1048576,$A717-1,COLUMN('1-DATA'!AB716)),ROUND(INDEX('1-DATA'!$1:$1048576,IF(OR($B718="STD. DEVIATION",$C$1=1),$A718,$A718+1),COLUMN('1-DATA'!AB716)),IF($B718="STD. DEVIATION",2,$F$1))))</f>
        <v/>
      </c>
      <c r="AD718" s="1" t="str">
        <f>IF(OR($B718="",AD$7=""),"",IF($B718="MEANS",INDEX('1-DATA'!$1:$1048576,$A717-1,COLUMN('1-DATA'!AC716)),ROUND(INDEX('1-DATA'!$1:$1048576,IF(OR($B718="STD. DEVIATION",$C$1=1),$A718,$A718+1),COLUMN('1-DATA'!AC716)),IF($B718="STD. DEVIATION",2,$F$1))))</f>
        <v/>
      </c>
      <c r="AE718" s="1" t="str">
        <f>IF(OR($B718="",AE$7=""),"",IF($B718="MEANS",INDEX('1-DATA'!$1:$1048576,$A717-1,COLUMN('1-DATA'!AD716)),ROUND(INDEX('1-DATA'!$1:$1048576,IF(OR($B718="STD. DEVIATION",$C$1=1),$A718,$A718+1),COLUMN('1-DATA'!AD716)),IF($B718="STD. DEVIATION",2,$F$1))))</f>
        <v/>
      </c>
      <c r="AF718" s="1" t="str">
        <f>IF(OR($B718="",AF$7=""),"",IF($B718="MEANS",INDEX('1-DATA'!$1:$1048576,$A717-1,COLUMN('1-DATA'!AE716)),ROUND(INDEX('1-DATA'!$1:$1048576,IF(OR($B718="STD. DEVIATION",$C$1=1),$A718,$A718+1),COLUMN('1-DATA'!AE716)),IF($B718="STD. DEVIATION",2,$F$1))))</f>
        <v/>
      </c>
      <c r="AG718" s="1" t="str">
        <f>IF(OR($B718="",AG$7=""),"",IF($B718="MEANS",INDEX('1-DATA'!$1:$1048576,$A717-1,COLUMN('1-DATA'!AF716)),ROUND(INDEX('1-DATA'!$1:$1048576,IF(OR($B718="STD. DEVIATION",$C$1=1),$A718,$A718+1),COLUMN('1-DATA'!AF716)),IF($B718="STD. DEVIATION",2,$F$1))))</f>
        <v/>
      </c>
      <c r="AH718" s="1" t="str">
        <f>IF(OR($B718="",AH$7=""),"",IF($B718="MEANS",INDEX('1-DATA'!$1:$1048576,$A717-1,COLUMN('1-DATA'!AG716)),ROUND(INDEX('1-DATA'!$1:$1048576,IF(OR($B718="STD. DEVIATION",$C$1=1),$A718,$A718+1),COLUMN('1-DATA'!AG716)),IF($B718="STD. DEVIATION",2,$F$1))))</f>
        <v/>
      </c>
      <c r="AI718" s="1" t="str">
        <f>IF(OR($B718="",AI$7=""),"",IF($B718="MEANS",INDEX('1-DATA'!$1:$1048576,$A717-1,COLUMN('1-DATA'!AH716)),ROUND(INDEX('1-DATA'!$1:$1048576,IF(OR($B718="STD. DEVIATION",$C$1=1),$A718,$A718+1),COLUMN('1-DATA'!AH716)),IF($B718="STD. DEVIATION",2,$F$1))))</f>
        <v/>
      </c>
      <c r="AJ718" s="1" t="str">
        <f>IF(OR($B718="",AJ$7=""),"",IF($B718="MEANS",INDEX('1-DATA'!$1:$1048576,$A717-1,COLUMN('1-DATA'!AI716)),ROUND(INDEX('1-DATA'!$1:$1048576,IF(OR($B718="STD. DEVIATION",$C$1=1),$A718,$A718+1),COLUMN('1-DATA'!AI716)),IF($B718="STD. DEVIATION",2,$F$1))))</f>
        <v/>
      </c>
      <c r="AK718" s="1" t="str">
        <f>IF(OR($B718="",AK$7=""),"",IF($B718="MEANS",INDEX('1-DATA'!$1:$1048576,$A717-1,COLUMN('1-DATA'!AJ716)),ROUND(INDEX('1-DATA'!$1:$1048576,IF(OR($B718="STD. DEVIATION",$C$1=1),$A718,$A718+1),COLUMN('1-DATA'!AJ716)),IF($B718="STD. DEVIATION",2,$F$1))))</f>
        <v/>
      </c>
      <c r="AL718" s="1" t="str">
        <f>IF(OR($B718="",AL$7=""),"",IF($B718="MEANS",INDEX('1-DATA'!$1:$1048576,$A717-1,COLUMN('1-DATA'!AK716)),ROUND(INDEX('1-DATA'!$1:$1048576,IF(OR($B718="STD. DEVIATION",$C$1=1),$A718,$A718+1),COLUMN('1-DATA'!AK716)),IF($B718="STD. DEVIATION",2,$F$1))))</f>
        <v/>
      </c>
      <c r="AM718" s="1" t="str">
        <f>IF(OR($B718="",AM$7=""),"",IF($B718="MEANS",INDEX('1-DATA'!$1:$1048576,$A717-1,COLUMN('1-DATA'!AL716)),ROUND(INDEX('1-DATA'!$1:$1048576,IF(OR($B718="STD. DEVIATION",$C$1=1),$A718,$A718+1),COLUMN('1-DATA'!AL716)),IF($B718="STD. DEVIATION",2,$F$1))))</f>
        <v/>
      </c>
      <c r="AN718" s="1" t="str">
        <f>IF(OR($B718="",AN$7=""),"",IF($B718="MEANS",INDEX('1-DATA'!$1:$1048576,$A717-1,COLUMN('1-DATA'!AM716)),ROUND(INDEX('1-DATA'!$1:$1048576,IF(OR($B718="STD. DEVIATION",$C$1=1),$A718,$A718+1),COLUMN('1-DATA'!AM716)),IF($B718="STD. DEVIATION",2,$F$1))))</f>
        <v/>
      </c>
      <c r="AO718" s="1" t="str">
        <f>IF(OR($B718="",AO$7=""),"",IF($B718="MEANS",INDEX('1-DATA'!$1:$1048576,$A717-1,COLUMN('1-DATA'!AN716)),ROUND(INDEX('1-DATA'!$1:$1048576,IF(OR($B718="STD. DEVIATION",$C$1=1),$A718,$A718+1),COLUMN('1-DATA'!AN716)),IF($B718="STD. DEVIATION",2,$F$1))))</f>
        <v/>
      </c>
      <c r="AP718" s="1" t="str">
        <f>IF(OR($B718="",AP$7=""),"",IF($B718="MEANS",INDEX('1-DATA'!$1:$1048576,$A717-1,COLUMN('1-DATA'!AO716)),ROUND(INDEX('1-DATA'!$1:$1048576,IF(OR($B718="STD. DEVIATION",$C$1=1),$A718,$A718+1),COLUMN('1-DATA'!AO716)),IF($B718="STD. DEVIATION",2,$F$1))))</f>
        <v/>
      </c>
      <c r="AQ718" s="1" t="str">
        <f>IF(OR($B718="",AQ$7=""),"",IF($B718="MEANS",INDEX('1-DATA'!$1:$1048576,$A717-1,COLUMN('1-DATA'!AP716)),ROUND(INDEX('1-DATA'!$1:$1048576,IF(OR($B718="STD. DEVIATION",$C$1=1),$A718,$A718+1),COLUMN('1-DATA'!AP716)),IF($B718="STD. DEVIATION",2,$F$1))))</f>
        <v/>
      </c>
      <c r="AR718" s="1" t="str">
        <f>IF(OR($B718="",AR$7=""),"",IF($B718="MEANS",INDEX('1-DATA'!$1:$1048576,$A717-1,COLUMN('1-DATA'!AQ716)),ROUND(INDEX('1-DATA'!$1:$1048576,IF(OR($B718="STD. DEVIATION",$C$1=1),$A718,$A718+1),COLUMN('1-DATA'!AQ716)),IF($B718="STD. DEVIATION",2,$F$1))))</f>
        <v/>
      </c>
      <c r="AS718" s="1" t="str">
        <f>IF(OR($B718="",AS$7=""),"",IF($B718="MEANS",INDEX('1-DATA'!$1:$1048576,$A717-1,COLUMN('1-DATA'!AR716)),ROUND(INDEX('1-DATA'!$1:$1048576,IF(OR($B718="STD. DEVIATION",$C$1=1),$A718,$A718+1),COLUMN('1-DATA'!AR716)),IF($B718="STD. DEVIATION",2,$F$1))))</f>
        <v/>
      </c>
      <c r="AT718" s="1" t="str">
        <f>IF(OR($B718="",AT$7=""),"",IF($B718="MEANS",INDEX('1-DATA'!$1:$1048576,$A717-1,COLUMN('1-DATA'!AS716)),ROUND(INDEX('1-DATA'!$1:$1048576,IF(OR($B718="STD. DEVIATION",$C$1=1),$A718,$A718+1),COLUMN('1-DATA'!AS716)),IF($B718="STD. DEVIATION",2,$F$1))))</f>
        <v/>
      </c>
      <c r="AU718" s="1" t="str">
        <f>IF(OR($B718="",AU$7=""),"",IF($B718="MEANS",INDEX('1-DATA'!$1:$1048576,$A717-1,COLUMN('1-DATA'!AT716)),ROUND(INDEX('1-DATA'!$1:$1048576,IF(OR($B718="STD. DEVIATION",$C$1=1),$A718,$A718+1),COLUMN('1-DATA'!AT716)),IF($B718="STD. DEVIATION",2,$F$1))))</f>
        <v/>
      </c>
      <c r="AV718" s="1" t="str">
        <f>IF(OR($B718="",AV$7=""),"",IF($B718="MEANS",INDEX('1-DATA'!$1:$1048576,$A717-1,COLUMN('1-DATA'!AU716)),ROUND(INDEX('1-DATA'!$1:$1048576,IF(OR($B718="STD. DEVIATION",$C$1=1),$A718,$A718+1),COLUMN('1-DATA'!AU716)),IF($B718="STD. DEVIATION",2,$F$1))))</f>
        <v/>
      </c>
      <c r="AW718" s="1" t="str">
        <f>IF(OR($B718="",AW$7=""),"",IF($B718="MEANS",INDEX('1-DATA'!$1:$1048576,$A717-1,COLUMN('1-DATA'!AV716)),ROUND(INDEX('1-DATA'!$1:$1048576,IF(OR($B718="STD. DEVIATION",$C$1=1),$A718,$A718+1),COLUMN('1-DATA'!AV716)),IF($B718="STD. DEVIATION",2,$F$1))))</f>
        <v/>
      </c>
      <c r="AX718" s="1" t="str">
        <f>IF(OR($B718="",AX$7=""),"",IF($B718="MEANS",INDEX('1-DATA'!$1:$1048576,$A717-1,COLUMN('1-DATA'!AW716)),ROUND(INDEX('1-DATA'!$1:$1048576,IF(OR($B718="STD. DEVIATION",$C$1=1),$A718,$A718+1),COLUMN('1-DATA'!AW716)),IF($B718="STD. DEVIATION",2,$F$1))))</f>
        <v/>
      </c>
      <c r="AY718" s="1" t="str">
        <f>IF(OR($B718="",AY$7=""),"",IF($B718="MEANS",INDEX('1-DATA'!$1:$1048576,$A717-1,COLUMN('1-DATA'!AX716)),ROUND(INDEX('1-DATA'!$1:$1048576,IF(OR($B718="STD. DEVIATION",$C$1=1),$A718,$A718+1),COLUMN('1-DATA'!AX716)),IF($B718="STD. DEVIATION",2,$F$1))))</f>
        <v/>
      </c>
      <c r="AZ718" s="1" t="str">
        <f>IF(OR($B718="",AZ$7=""),"",IF($B718="MEANS",INDEX('1-DATA'!$1:$1048576,$A717-1,COLUMN('1-DATA'!AY716)),ROUND(INDEX('1-DATA'!$1:$1048576,IF(OR($B718="STD. DEVIATION",$C$1=1),$A718,$A718+1),COLUMN('1-DATA'!AY716)),IF($B718="STD. DEVIATION",2,$F$1))))</f>
        <v/>
      </c>
    </row>
    <row r="719" spans="1:52" x14ac:dyDescent="0.25">
      <c r="A719" s="11">
        <f t="shared" si="11"/>
        <v>2143</v>
      </c>
      <c r="B719" s="1" t="str">
        <f>IF(B718="STD. DEVIATION",INDEX('1-DATA'!$1:$1048576,$A718-1,1),IF(INDEX('1-DATA'!$1:$1048576,$A719,1)&lt;&gt;"",INDEX('1-DATA'!$1:$1048576,$A719,1),""))</f>
        <v/>
      </c>
      <c r="C719" s="1" t="str">
        <f>IF(OR($B719="",C$7=""),"",IF($B719="MEANS",INDEX('1-DATA'!$1:$1048576,$A718-1,COLUMN('1-DATA'!B717)),ROUND(INDEX('1-DATA'!$1:$1048576,IF(OR($B719="STD. DEVIATION",$C$1=1),$A719,$A719+1),COLUMN('1-DATA'!B717)),IF($B719="STD. DEVIATION",2,$F$1))))</f>
        <v/>
      </c>
      <c r="D719" s="1" t="str">
        <f>IF(OR($B719="",D$7=""),"",IF($B719="MEANS",INDEX('1-DATA'!$1:$1048576,$A718-1,COLUMN('1-DATA'!C717)),ROUND(INDEX('1-DATA'!$1:$1048576,IF(OR($B719="STD. DEVIATION",$C$1=1),$A719,$A719+1),COLUMN('1-DATA'!C717)),IF($B719="STD. DEVIATION",2,$F$1))))</f>
        <v/>
      </c>
      <c r="E719" s="1" t="str">
        <f>IF(OR($B719="",E$7=""),"",IF($B719="MEANS",INDEX('1-DATA'!$1:$1048576,$A718-1,COLUMN('1-DATA'!D717)),ROUND(INDEX('1-DATA'!$1:$1048576,IF(OR($B719="STD. DEVIATION",$C$1=1),$A719,$A719+1),COLUMN('1-DATA'!D717)),IF($B719="STD. DEVIATION",2,$F$1))))</f>
        <v/>
      </c>
      <c r="F719" s="1" t="str">
        <f>IF(OR($B719="",F$7=""),"",IF($B719="MEANS",INDEX('1-DATA'!$1:$1048576,$A718-1,COLUMN('1-DATA'!E717)),ROUND(INDEX('1-DATA'!$1:$1048576,IF(OR($B719="STD. DEVIATION",$C$1=1),$A719,$A719+1),COLUMN('1-DATA'!E717)),IF($B719="STD. DEVIATION",2,$F$1))))</f>
        <v/>
      </c>
      <c r="G719" s="1" t="str">
        <f>IF(OR($B719="",G$7=""),"",IF($B719="MEANS",INDEX('1-DATA'!$1:$1048576,$A718-1,COLUMN('1-DATA'!F717)),ROUND(INDEX('1-DATA'!$1:$1048576,IF(OR($B719="STD. DEVIATION",$C$1=1),$A719,$A719+1),COLUMN('1-DATA'!F717)),IF($B719="STD. DEVIATION",2,$F$1))))</f>
        <v/>
      </c>
      <c r="H719" s="1" t="str">
        <f>IF(OR($B719="",H$7=""),"",IF($B719="MEANS",INDEX('1-DATA'!$1:$1048576,$A718-1,COLUMN('1-DATA'!G717)),ROUND(INDEX('1-DATA'!$1:$1048576,IF(OR($B719="STD. DEVIATION",$C$1=1),$A719,$A719+1),COLUMN('1-DATA'!G717)),IF($B719="STD. DEVIATION",2,$F$1))))</f>
        <v/>
      </c>
      <c r="I719" s="1" t="str">
        <f>IF(OR($B719="",I$7=""),"",IF($B719="MEANS",INDEX('1-DATA'!$1:$1048576,$A718-1,COLUMN('1-DATA'!H717)),ROUND(INDEX('1-DATA'!$1:$1048576,IF(OR($B719="STD. DEVIATION",$C$1=1),$A719,$A719+1),COLUMN('1-DATA'!H717)),IF($B719="STD. DEVIATION",2,$F$1))))</f>
        <v/>
      </c>
      <c r="J719" s="1" t="str">
        <f>IF(OR($B719="",J$7=""),"",IF($B719="MEANS",INDEX('1-DATA'!$1:$1048576,$A718-1,COLUMN('1-DATA'!I717)),ROUND(INDEX('1-DATA'!$1:$1048576,IF(OR($B719="STD. DEVIATION",$C$1=1),$A719,$A719+1),COLUMN('1-DATA'!I717)),IF($B719="STD. DEVIATION",2,$F$1))))</f>
        <v/>
      </c>
      <c r="K719" s="1" t="str">
        <f>IF(OR($B719="",K$7=""),"",IF($B719="MEANS",INDEX('1-DATA'!$1:$1048576,$A718-1,COLUMN('1-DATA'!J717)),ROUND(INDEX('1-DATA'!$1:$1048576,IF(OR($B719="STD. DEVIATION",$C$1=1),$A719,$A719+1),COLUMN('1-DATA'!J717)),IF($B719="STD. DEVIATION",2,$F$1))))</f>
        <v/>
      </c>
      <c r="L719" s="1" t="str">
        <f>IF(OR($B719="",L$7=""),"",IF($B719="MEANS",INDEX('1-DATA'!$1:$1048576,$A718-1,COLUMN('1-DATA'!K717)),ROUND(INDEX('1-DATA'!$1:$1048576,IF(OR($B719="STD. DEVIATION",$C$1=1),$A719,$A719+1),COLUMN('1-DATA'!K717)),IF($B719="STD. DEVIATION",2,$F$1))))</f>
        <v/>
      </c>
      <c r="M719" s="1" t="str">
        <f>IF(OR($B719="",M$7=""),"",IF($B719="MEANS",INDEX('1-DATA'!$1:$1048576,$A718-1,COLUMN('1-DATA'!L717)),ROUND(INDEX('1-DATA'!$1:$1048576,IF(OR($B719="STD. DEVIATION",$C$1=1),$A719,$A719+1),COLUMN('1-DATA'!L717)),IF($B719="STD. DEVIATION",2,$F$1))))</f>
        <v/>
      </c>
      <c r="N719" s="1" t="str">
        <f>IF(OR($B719="",N$7=""),"",IF($B719="MEANS",INDEX('1-DATA'!$1:$1048576,$A718-1,COLUMN('1-DATA'!M717)),ROUND(INDEX('1-DATA'!$1:$1048576,IF(OR($B719="STD. DEVIATION",$C$1=1),$A719,$A719+1),COLUMN('1-DATA'!M717)),IF($B719="STD. DEVIATION",2,$F$1))))</f>
        <v/>
      </c>
      <c r="O719" s="1" t="str">
        <f>IF(OR($B719="",O$7=""),"",IF($B719="MEANS",INDEX('1-DATA'!$1:$1048576,$A718-1,COLUMN('1-DATA'!N717)),ROUND(INDEX('1-DATA'!$1:$1048576,IF(OR($B719="STD. DEVIATION",$C$1=1),$A719,$A719+1),COLUMN('1-DATA'!N717)),IF($B719="STD. DEVIATION",2,$F$1))))</f>
        <v/>
      </c>
      <c r="P719" s="1" t="str">
        <f>IF(OR($B719="",P$7=""),"",IF($B719="MEANS",INDEX('1-DATA'!$1:$1048576,$A718-1,COLUMN('1-DATA'!O717)),ROUND(INDEX('1-DATA'!$1:$1048576,IF(OR($B719="STD. DEVIATION",$C$1=1),$A719,$A719+1),COLUMN('1-DATA'!O717)),IF($B719="STD. DEVIATION",2,$F$1))))</f>
        <v/>
      </c>
      <c r="Q719" s="1" t="str">
        <f>IF(OR($B719="",Q$7=""),"",IF($B719="MEANS",INDEX('1-DATA'!$1:$1048576,$A718-1,COLUMN('1-DATA'!P717)),ROUND(INDEX('1-DATA'!$1:$1048576,IF(OR($B719="STD. DEVIATION",$C$1=1),$A719,$A719+1),COLUMN('1-DATA'!P717)),IF($B719="STD. DEVIATION",2,$F$1))))</f>
        <v/>
      </c>
      <c r="R719" s="1" t="str">
        <f>IF(OR($B719="",R$7=""),"",IF($B719="MEANS",INDEX('1-DATA'!$1:$1048576,$A718-1,COLUMN('1-DATA'!Q717)),ROUND(INDEX('1-DATA'!$1:$1048576,IF(OR($B719="STD. DEVIATION",$C$1=1),$A719,$A719+1),COLUMN('1-DATA'!Q717)),IF($B719="STD. DEVIATION",2,$F$1))))</f>
        <v/>
      </c>
      <c r="S719" s="1" t="str">
        <f>IF(OR($B719="",S$7=""),"",IF($B719="MEANS",INDEX('1-DATA'!$1:$1048576,$A718-1,COLUMN('1-DATA'!R717)),ROUND(INDEX('1-DATA'!$1:$1048576,IF(OR($B719="STD. DEVIATION",$C$1=1),$A719,$A719+1),COLUMN('1-DATA'!R717)),IF($B719="STD. DEVIATION",2,$F$1))))</f>
        <v/>
      </c>
      <c r="T719" s="1" t="str">
        <f>IF(OR($B719="",T$7=""),"",IF($B719="MEANS",INDEX('1-DATA'!$1:$1048576,$A718-1,COLUMN('1-DATA'!S717)),ROUND(INDEX('1-DATA'!$1:$1048576,IF(OR($B719="STD. DEVIATION",$C$1=1),$A719,$A719+1),COLUMN('1-DATA'!S717)),IF($B719="STD. DEVIATION",2,$F$1))))</f>
        <v/>
      </c>
      <c r="U719" s="1" t="str">
        <f>IF(OR($B719="",U$7=""),"",IF($B719="MEANS",INDEX('1-DATA'!$1:$1048576,$A718-1,COLUMN('1-DATA'!T717)),ROUND(INDEX('1-DATA'!$1:$1048576,IF(OR($B719="STD. DEVIATION",$C$1=1),$A719,$A719+1),COLUMN('1-DATA'!T717)),IF($B719="STD. DEVIATION",2,$F$1))))</f>
        <v/>
      </c>
      <c r="V719" s="1" t="str">
        <f>IF(OR($B719="",V$7=""),"",IF($B719="MEANS",INDEX('1-DATA'!$1:$1048576,$A718-1,COLUMN('1-DATA'!U717)),ROUND(INDEX('1-DATA'!$1:$1048576,IF(OR($B719="STD. DEVIATION",$C$1=1),$A719,$A719+1),COLUMN('1-DATA'!U717)),IF($B719="STD. DEVIATION",2,$F$1))))</f>
        <v/>
      </c>
      <c r="W719" s="1" t="str">
        <f>IF(OR($B719="",W$7=""),"",IF($B719="MEANS",INDEX('1-DATA'!$1:$1048576,$A718-1,COLUMN('1-DATA'!V717)),ROUND(INDEX('1-DATA'!$1:$1048576,IF(OR($B719="STD. DEVIATION",$C$1=1),$A719,$A719+1),COLUMN('1-DATA'!V717)),IF($B719="STD. DEVIATION",2,$F$1))))</f>
        <v/>
      </c>
      <c r="X719" s="1" t="str">
        <f>IF(OR($B719="",X$7=""),"",IF($B719="MEANS",INDEX('1-DATA'!$1:$1048576,$A718-1,COLUMN('1-DATA'!W717)),ROUND(INDEX('1-DATA'!$1:$1048576,IF(OR($B719="STD. DEVIATION",$C$1=1),$A719,$A719+1),COLUMN('1-DATA'!W717)),IF($B719="STD. DEVIATION",2,$F$1))))</f>
        <v/>
      </c>
      <c r="Y719" s="1" t="str">
        <f>IF(OR($B719="",Y$7=""),"",IF($B719="MEANS",INDEX('1-DATA'!$1:$1048576,$A718-1,COLUMN('1-DATA'!X717)),ROUND(INDEX('1-DATA'!$1:$1048576,IF(OR($B719="STD. DEVIATION",$C$1=1),$A719,$A719+1),COLUMN('1-DATA'!X717)),IF($B719="STD. DEVIATION",2,$F$1))))</f>
        <v/>
      </c>
      <c r="Z719" s="1" t="str">
        <f>IF(OR($B719="",Z$7=""),"",IF($B719="MEANS",INDEX('1-DATA'!$1:$1048576,$A718-1,COLUMN('1-DATA'!Y717)),ROUND(INDEX('1-DATA'!$1:$1048576,IF(OR($B719="STD. DEVIATION",$C$1=1),$A719,$A719+1),COLUMN('1-DATA'!Y717)),IF($B719="STD. DEVIATION",2,$F$1))))</f>
        <v/>
      </c>
      <c r="AA719" s="1" t="str">
        <f>IF(OR($B719="",AA$7=""),"",IF($B719="MEANS",INDEX('1-DATA'!$1:$1048576,$A718-1,COLUMN('1-DATA'!Z717)),ROUND(INDEX('1-DATA'!$1:$1048576,IF(OR($B719="STD. DEVIATION",$C$1=1),$A719,$A719+1),COLUMN('1-DATA'!Z717)),IF($B719="STD. DEVIATION",2,$F$1))))</f>
        <v/>
      </c>
      <c r="AB719" s="1" t="str">
        <f>IF(OR($B719="",AB$7=""),"",IF($B719="MEANS",INDEX('1-DATA'!$1:$1048576,$A718-1,COLUMN('1-DATA'!AA717)),ROUND(INDEX('1-DATA'!$1:$1048576,IF(OR($B719="STD. DEVIATION",$C$1=1),$A719,$A719+1),COLUMN('1-DATA'!AA717)),IF($B719="STD. DEVIATION",2,$F$1))))</f>
        <v/>
      </c>
      <c r="AC719" s="1" t="str">
        <f>IF(OR($B719="",AC$7=""),"",IF($B719="MEANS",INDEX('1-DATA'!$1:$1048576,$A718-1,COLUMN('1-DATA'!AB717)),ROUND(INDEX('1-DATA'!$1:$1048576,IF(OR($B719="STD. DEVIATION",$C$1=1),$A719,$A719+1),COLUMN('1-DATA'!AB717)),IF($B719="STD. DEVIATION",2,$F$1))))</f>
        <v/>
      </c>
      <c r="AD719" s="1" t="str">
        <f>IF(OR($B719="",AD$7=""),"",IF($B719="MEANS",INDEX('1-DATA'!$1:$1048576,$A718-1,COLUMN('1-DATA'!AC717)),ROUND(INDEX('1-DATA'!$1:$1048576,IF(OR($B719="STD. DEVIATION",$C$1=1),$A719,$A719+1),COLUMN('1-DATA'!AC717)),IF($B719="STD. DEVIATION",2,$F$1))))</f>
        <v/>
      </c>
      <c r="AE719" s="1" t="str">
        <f>IF(OR($B719="",AE$7=""),"",IF($B719="MEANS",INDEX('1-DATA'!$1:$1048576,$A718-1,COLUMN('1-DATA'!AD717)),ROUND(INDEX('1-DATA'!$1:$1048576,IF(OR($B719="STD. DEVIATION",$C$1=1),$A719,$A719+1),COLUMN('1-DATA'!AD717)),IF($B719="STD. DEVIATION",2,$F$1))))</f>
        <v/>
      </c>
      <c r="AF719" s="1" t="str">
        <f>IF(OR($B719="",AF$7=""),"",IF($B719="MEANS",INDEX('1-DATA'!$1:$1048576,$A718-1,COLUMN('1-DATA'!AE717)),ROUND(INDEX('1-DATA'!$1:$1048576,IF(OR($B719="STD. DEVIATION",$C$1=1),$A719,$A719+1),COLUMN('1-DATA'!AE717)),IF($B719="STD. DEVIATION",2,$F$1))))</f>
        <v/>
      </c>
      <c r="AG719" s="1" t="str">
        <f>IF(OR($B719="",AG$7=""),"",IF($B719="MEANS",INDEX('1-DATA'!$1:$1048576,$A718-1,COLUMN('1-DATA'!AF717)),ROUND(INDEX('1-DATA'!$1:$1048576,IF(OR($B719="STD. DEVIATION",$C$1=1),$A719,$A719+1),COLUMN('1-DATA'!AF717)),IF($B719="STD. DEVIATION",2,$F$1))))</f>
        <v/>
      </c>
      <c r="AH719" s="1" t="str">
        <f>IF(OR($B719="",AH$7=""),"",IF($B719="MEANS",INDEX('1-DATA'!$1:$1048576,$A718-1,COLUMN('1-DATA'!AG717)),ROUND(INDEX('1-DATA'!$1:$1048576,IF(OR($B719="STD. DEVIATION",$C$1=1),$A719,$A719+1),COLUMN('1-DATA'!AG717)),IF($B719="STD. DEVIATION",2,$F$1))))</f>
        <v/>
      </c>
      <c r="AI719" s="1" t="str">
        <f>IF(OR($B719="",AI$7=""),"",IF($B719="MEANS",INDEX('1-DATA'!$1:$1048576,$A718-1,COLUMN('1-DATA'!AH717)),ROUND(INDEX('1-DATA'!$1:$1048576,IF(OR($B719="STD. DEVIATION",$C$1=1),$A719,$A719+1),COLUMN('1-DATA'!AH717)),IF($B719="STD. DEVIATION",2,$F$1))))</f>
        <v/>
      </c>
      <c r="AJ719" s="1" t="str">
        <f>IF(OR($B719="",AJ$7=""),"",IF($B719="MEANS",INDEX('1-DATA'!$1:$1048576,$A718-1,COLUMN('1-DATA'!AI717)),ROUND(INDEX('1-DATA'!$1:$1048576,IF(OR($B719="STD. DEVIATION",$C$1=1),$A719,$A719+1),COLUMN('1-DATA'!AI717)),IF($B719="STD. DEVIATION",2,$F$1))))</f>
        <v/>
      </c>
      <c r="AK719" s="1" t="str">
        <f>IF(OR($B719="",AK$7=""),"",IF($B719="MEANS",INDEX('1-DATA'!$1:$1048576,$A718-1,COLUMN('1-DATA'!AJ717)),ROUND(INDEX('1-DATA'!$1:$1048576,IF(OR($B719="STD. DEVIATION",$C$1=1),$A719,$A719+1),COLUMN('1-DATA'!AJ717)),IF($B719="STD. DEVIATION",2,$F$1))))</f>
        <v/>
      </c>
      <c r="AL719" s="1" t="str">
        <f>IF(OR($B719="",AL$7=""),"",IF($B719="MEANS",INDEX('1-DATA'!$1:$1048576,$A718-1,COLUMN('1-DATA'!AK717)),ROUND(INDEX('1-DATA'!$1:$1048576,IF(OR($B719="STD. DEVIATION",$C$1=1),$A719,$A719+1),COLUMN('1-DATA'!AK717)),IF($B719="STD. DEVIATION",2,$F$1))))</f>
        <v/>
      </c>
      <c r="AM719" s="1" t="str">
        <f>IF(OR($B719="",AM$7=""),"",IF($B719="MEANS",INDEX('1-DATA'!$1:$1048576,$A718-1,COLUMN('1-DATA'!AL717)),ROUND(INDEX('1-DATA'!$1:$1048576,IF(OR($B719="STD. DEVIATION",$C$1=1),$A719,$A719+1),COLUMN('1-DATA'!AL717)),IF($B719="STD. DEVIATION",2,$F$1))))</f>
        <v/>
      </c>
      <c r="AN719" s="1" t="str">
        <f>IF(OR($B719="",AN$7=""),"",IF($B719="MEANS",INDEX('1-DATA'!$1:$1048576,$A718-1,COLUMN('1-DATA'!AM717)),ROUND(INDEX('1-DATA'!$1:$1048576,IF(OR($B719="STD. DEVIATION",$C$1=1),$A719,$A719+1),COLUMN('1-DATA'!AM717)),IF($B719="STD. DEVIATION",2,$F$1))))</f>
        <v/>
      </c>
      <c r="AO719" s="1" t="str">
        <f>IF(OR($B719="",AO$7=""),"",IF($B719="MEANS",INDEX('1-DATA'!$1:$1048576,$A718-1,COLUMN('1-DATA'!AN717)),ROUND(INDEX('1-DATA'!$1:$1048576,IF(OR($B719="STD. DEVIATION",$C$1=1),$A719,$A719+1),COLUMN('1-DATA'!AN717)),IF($B719="STD. DEVIATION",2,$F$1))))</f>
        <v/>
      </c>
      <c r="AP719" s="1" t="str">
        <f>IF(OR($B719="",AP$7=""),"",IF($B719="MEANS",INDEX('1-DATA'!$1:$1048576,$A718-1,COLUMN('1-DATA'!AO717)),ROUND(INDEX('1-DATA'!$1:$1048576,IF(OR($B719="STD. DEVIATION",$C$1=1),$A719,$A719+1),COLUMN('1-DATA'!AO717)),IF($B719="STD. DEVIATION",2,$F$1))))</f>
        <v/>
      </c>
      <c r="AQ719" s="1" t="str">
        <f>IF(OR($B719="",AQ$7=""),"",IF($B719="MEANS",INDEX('1-DATA'!$1:$1048576,$A718-1,COLUMN('1-DATA'!AP717)),ROUND(INDEX('1-DATA'!$1:$1048576,IF(OR($B719="STD. DEVIATION",$C$1=1),$A719,$A719+1),COLUMN('1-DATA'!AP717)),IF($B719="STD. DEVIATION",2,$F$1))))</f>
        <v/>
      </c>
      <c r="AR719" s="1" t="str">
        <f>IF(OR($B719="",AR$7=""),"",IF($B719="MEANS",INDEX('1-DATA'!$1:$1048576,$A718-1,COLUMN('1-DATA'!AQ717)),ROUND(INDEX('1-DATA'!$1:$1048576,IF(OR($B719="STD. DEVIATION",$C$1=1),$A719,$A719+1),COLUMN('1-DATA'!AQ717)),IF($B719="STD. DEVIATION",2,$F$1))))</f>
        <v/>
      </c>
      <c r="AS719" s="1" t="str">
        <f>IF(OR($B719="",AS$7=""),"",IF($B719="MEANS",INDEX('1-DATA'!$1:$1048576,$A718-1,COLUMN('1-DATA'!AR717)),ROUND(INDEX('1-DATA'!$1:$1048576,IF(OR($B719="STD. DEVIATION",$C$1=1),$A719,$A719+1),COLUMN('1-DATA'!AR717)),IF($B719="STD. DEVIATION",2,$F$1))))</f>
        <v/>
      </c>
      <c r="AT719" s="1" t="str">
        <f>IF(OR($B719="",AT$7=""),"",IF($B719="MEANS",INDEX('1-DATA'!$1:$1048576,$A718-1,COLUMN('1-DATA'!AS717)),ROUND(INDEX('1-DATA'!$1:$1048576,IF(OR($B719="STD. DEVIATION",$C$1=1),$A719,$A719+1),COLUMN('1-DATA'!AS717)),IF($B719="STD. DEVIATION",2,$F$1))))</f>
        <v/>
      </c>
      <c r="AU719" s="1" t="str">
        <f>IF(OR($B719="",AU$7=""),"",IF($B719="MEANS",INDEX('1-DATA'!$1:$1048576,$A718-1,COLUMN('1-DATA'!AT717)),ROUND(INDEX('1-DATA'!$1:$1048576,IF(OR($B719="STD. DEVIATION",$C$1=1),$A719,$A719+1),COLUMN('1-DATA'!AT717)),IF($B719="STD. DEVIATION",2,$F$1))))</f>
        <v/>
      </c>
      <c r="AV719" s="1" t="str">
        <f>IF(OR($B719="",AV$7=""),"",IF($B719="MEANS",INDEX('1-DATA'!$1:$1048576,$A718-1,COLUMN('1-DATA'!AU717)),ROUND(INDEX('1-DATA'!$1:$1048576,IF(OR($B719="STD. DEVIATION",$C$1=1),$A719,$A719+1),COLUMN('1-DATA'!AU717)),IF($B719="STD. DEVIATION",2,$F$1))))</f>
        <v/>
      </c>
      <c r="AW719" s="1" t="str">
        <f>IF(OR($B719="",AW$7=""),"",IF($B719="MEANS",INDEX('1-DATA'!$1:$1048576,$A718-1,COLUMN('1-DATA'!AV717)),ROUND(INDEX('1-DATA'!$1:$1048576,IF(OR($B719="STD. DEVIATION",$C$1=1),$A719,$A719+1),COLUMN('1-DATA'!AV717)),IF($B719="STD. DEVIATION",2,$F$1))))</f>
        <v/>
      </c>
      <c r="AX719" s="1" t="str">
        <f>IF(OR($B719="",AX$7=""),"",IF($B719="MEANS",INDEX('1-DATA'!$1:$1048576,$A718-1,COLUMN('1-DATA'!AW717)),ROUND(INDEX('1-DATA'!$1:$1048576,IF(OR($B719="STD. DEVIATION",$C$1=1),$A719,$A719+1),COLUMN('1-DATA'!AW717)),IF($B719="STD. DEVIATION",2,$F$1))))</f>
        <v/>
      </c>
      <c r="AY719" s="1" t="str">
        <f>IF(OR($B719="",AY$7=""),"",IF($B719="MEANS",INDEX('1-DATA'!$1:$1048576,$A718-1,COLUMN('1-DATA'!AX717)),ROUND(INDEX('1-DATA'!$1:$1048576,IF(OR($B719="STD. DEVIATION",$C$1=1),$A719,$A719+1),COLUMN('1-DATA'!AX717)),IF($B719="STD. DEVIATION",2,$F$1))))</f>
        <v/>
      </c>
      <c r="AZ719" s="1" t="str">
        <f>IF(OR($B719="",AZ$7=""),"",IF($B719="MEANS",INDEX('1-DATA'!$1:$1048576,$A718-1,COLUMN('1-DATA'!AY717)),ROUND(INDEX('1-DATA'!$1:$1048576,IF(OR($B719="STD. DEVIATION",$C$1=1),$A719,$A719+1),COLUMN('1-DATA'!AY717)),IF($B719="STD. DEVIATION",2,$F$1))))</f>
        <v/>
      </c>
    </row>
    <row r="720" spans="1:52" x14ac:dyDescent="0.25">
      <c r="A720" s="11">
        <f t="shared" si="11"/>
        <v>2146</v>
      </c>
      <c r="B720" s="1" t="str">
        <f>IF(B719="STD. DEVIATION",INDEX('1-DATA'!$1:$1048576,$A719-1,1),IF(INDEX('1-DATA'!$1:$1048576,$A720,1)&lt;&gt;"",INDEX('1-DATA'!$1:$1048576,$A720,1),""))</f>
        <v/>
      </c>
      <c r="C720" s="1" t="str">
        <f>IF(OR($B720="",C$7=""),"",IF($B720="MEANS",INDEX('1-DATA'!$1:$1048576,$A719-1,COLUMN('1-DATA'!B718)),ROUND(INDEX('1-DATA'!$1:$1048576,IF(OR($B720="STD. DEVIATION",$C$1=1),$A720,$A720+1),COLUMN('1-DATA'!B718)),IF($B720="STD. DEVIATION",2,$F$1))))</f>
        <v/>
      </c>
      <c r="D720" s="1" t="str">
        <f>IF(OR($B720="",D$7=""),"",IF($B720="MEANS",INDEX('1-DATA'!$1:$1048576,$A719-1,COLUMN('1-DATA'!C718)),ROUND(INDEX('1-DATA'!$1:$1048576,IF(OR($B720="STD. DEVIATION",$C$1=1),$A720,$A720+1),COLUMN('1-DATA'!C718)),IF($B720="STD. DEVIATION",2,$F$1))))</f>
        <v/>
      </c>
      <c r="E720" s="1" t="str">
        <f>IF(OR($B720="",E$7=""),"",IF($B720="MEANS",INDEX('1-DATA'!$1:$1048576,$A719-1,COLUMN('1-DATA'!D718)),ROUND(INDEX('1-DATA'!$1:$1048576,IF(OR($B720="STD. DEVIATION",$C$1=1),$A720,$A720+1),COLUMN('1-DATA'!D718)),IF($B720="STD. DEVIATION",2,$F$1))))</f>
        <v/>
      </c>
      <c r="F720" s="1" t="str">
        <f>IF(OR($B720="",F$7=""),"",IF($B720="MEANS",INDEX('1-DATA'!$1:$1048576,$A719-1,COLUMN('1-DATA'!E718)),ROUND(INDEX('1-DATA'!$1:$1048576,IF(OR($B720="STD. DEVIATION",$C$1=1),$A720,$A720+1),COLUMN('1-DATA'!E718)),IF($B720="STD. DEVIATION",2,$F$1))))</f>
        <v/>
      </c>
      <c r="G720" s="1" t="str">
        <f>IF(OR($B720="",G$7=""),"",IF($B720="MEANS",INDEX('1-DATA'!$1:$1048576,$A719-1,COLUMN('1-DATA'!F718)),ROUND(INDEX('1-DATA'!$1:$1048576,IF(OR($B720="STD. DEVIATION",$C$1=1),$A720,$A720+1),COLUMN('1-DATA'!F718)),IF($B720="STD. DEVIATION",2,$F$1))))</f>
        <v/>
      </c>
      <c r="H720" s="1" t="str">
        <f>IF(OR($B720="",H$7=""),"",IF($B720="MEANS",INDEX('1-DATA'!$1:$1048576,$A719-1,COLUMN('1-DATA'!G718)),ROUND(INDEX('1-DATA'!$1:$1048576,IF(OR($B720="STD. DEVIATION",$C$1=1),$A720,$A720+1),COLUMN('1-DATA'!G718)),IF($B720="STD. DEVIATION",2,$F$1))))</f>
        <v/>
      </c>
      <c r="I720" s="1" t="str">
        <f>IF(OR($B720="",I$7=""),"",IF($B720="MEANS",INDEX('1-DATA'!$1:$1048576,$A719-1,COLUMN('1-DATA'!H718)),ROUND(INDEX('1-DATA'!$1:$1048576,IF(OR($B720="STD. DEVIATION",$C$1=1),$A720,$A720+1),COLUMN('1-DATA'!H718)),IF($B720="STD. DEVIATION",2,$F$1))))</f>
        <v/>
      </c>
      <c r="J720" s="1" t="str">
        <f>IF(OR($B720="",J$7=""),"",IF($B720="MEANS",INDEX('1-DATA'!$1:$1048576,$A719-1,COLUMN('1-DATA'!I718)),ROUND(INDEX('1-DATA'!$1:$1048576,IF(OR($B720="STD. DEVIATION",$C$1=1),$A720,$A720+1),COLUMN('1-DATA'!I718)),IF($B720="STD. DEVIATION",2,$F$1))))</f>
        <v/>
      </c>
      <c r="K720" s="1" t="str">
        <f>IF(OR($B720="",K$7=""),"",IF($B720="MEANS",INDEX('1-DATA'!$1:$1048576,$A719-1,COLUMN('1-DATA'!J718)),ROUND(INDEX('1-DATA'!$1:$1048576,IF(OR($B720="STD. DEVIATION",$C$1=1),$A720,$A720+1),COLUMN('1-DATA'!J718)),IF($B720="STD. DEVIATION",2,$F$1))))</f>
        <v/>
      </c>
      <c r="L720" s="1" t="str">
        <f>IF(OR($B720="",L$7=""),"",IF($B720="MEANS",INDEX('1-DATA'!$1:$1048576,$A719-1,COLUMN('1-DATA'!K718)),ROUND(INDEX('1-DATA'!$1:$1048576,IF(OR($B720="STD. DEVIATION",$C$1=1),$A720,$A720+1),COLUMN('1-DATA'!K718)),IF($B720="STD. DEVIATION",2,$F$1))))</f>
        <v/>
      </c>
      <c r="M720" s="1" t="str">
        <f>IF(OR($B720="",M$7=""),"",IF($B720="MEANS",INDEX('1-DATA'!$1:$1048576,$A719-1,COLUMN('1-DATA'!L718)),ROUND(INDEX('1-DATA'!$1:$1048576,IF(OR($B720="STD. DEVIATION",$C$1=1),$A720,$A720+1),COLUMN('1-DATA'!L718)),IF($B720="STD. DEVIATION",2,$F$1))))</f>
        <v/>
      </c>
      <c r="N720" s="1" t="str">
        <f>IF(OR($B720="",N$7=""),"",IF($B720="MEANS",INDEX('1-DATA'!$1:$1048576,$A719-1,COLUMN('1-DATA'!M718)),ROUND(INDEX('1-DATA'!$1:$1048576,IF(OR($B720="STD. DEVIATION",$C$1=1),$A720,$A720+1),COLUMN('1-DATA'!M718)),IF($B720="STD. DEVIATION",2,$F$1))))</f>
        <v/>
      </c>
      <c r="O720" s="1" t="str">
        <f>IF(OR($B720="",O$7=""),"",IF($B720="MEANS",INDEX('1-DATA'!$1:$1048576,$A719-1,COLUMN('1-DATA'!N718)),ROUND(INDEX('1-DATA'!$1:$1048576,IF(OR($B720="STD. DEVIATION",$C$1=1),$A720,$A720+1),COLUMN('1-DATA'!N718)),IF($B720="STD. DEVIATION",2,$F$1))))</f>
        <v/>
      </c>
      <c r="P720" s="1" t="str">
        <f>IF(OR($B720="",P$7=""),"",IF($B720="MEANS",INDEX('1-DATA'!$1:$1048576,$A719-1,COLUMN('1-DATA'!O718)),ROUND(INDEX('1-DATA'!$1:$1048576,IF(OR($B720="STD. DEVIATION",$C$1=1),$A720,$A720+1),COLUMN('1-DATA'!O718)),IF($B720="STD. DEVIATION",2,$F$1))))</f>
        <v/>
      </c>
      <c r="Q720" s="1" t="str">
        <f>IF(OR($B720="",Q$7=""),"",IF($B720="MEANS",INDEX('1-DATA'!$1:$1048576,$A719-1,COLUMN('1-DATA'!P718)),ROUND(INDEX('1-DATA'!$1:$1048576,IF(OR($B720="STD. DEVIATION",$C$1=1),$A720,$A720+1),COLUMN('1-DATA'!P718)),IF($B720="STD. DEVIATION",2,$F$1))))</f>
        <v/>
      </c>
      <c r="R720" s="1" t="str">
        <f>IF(OR($B720="",R$7=""),"",IF($B720="MEANS",INDEX('1-DATA'!$1:$1048576,$A719-1,COLUMN('1-DATA'!Q718)),ROUND(INDEX('1-DATA'!$1:$1048576,IF(OR($B720="STD. DEVIATION",$C$1=1),$A720,$A720+1),COLUMN('1-DATA'!Q718)),IF($B720="STD. DEVIATION",2,$F$1))))</f>
        <v/>
      </c>
      <c r="S720" s="1" t="str">
        <f>IF(OR($B720="",S$7=""),"",IF($B720="MEANS",INDEX('1-DATA'!$1:$1048576,$A719-1,COLUMN('1-DATA'!R718)),ROUND(INDEX('1-DATA'!$1:$1048576,IF(OR($B720="STD. DEVIATION",$C$1=1),$A720,$A720+1),COLUMN('1-DATA'!R718)),IF($B720="STD. DEVIATION",2,$F$1))))</f>
        <v/>
      </c>
      <c r="T720" s="1" t="str">
        <f>IF(OR($B720="",T$7=""),"",IF($B720="MEANS",INDEX('1-DATA'!$1:$1048576,$A719-1,COLUMN('1-DATA'!S718)),ROUND(INDEX('1-DATA'!$1:$1048576,IF(OR($B720="STD. DEVIATION",$C$1=1),$A720,$A720+1),COLUMN('1-DATA'!S718)),IF($B720="STD. DEVIATION",2,$F$1))))</f>
        <v/>
      </c>
      <c r="U720" s="1" t="str">
        <f>IF(OR($B720="",U$7=""),"",IF($B720="MEANS",INDEX('1-DATA'!$1:$1048576,$A719-1,COLUMN('1-DATA'!T718)),ROUND(INDEX('1-DATA'!$1:$1048576,IF(OR($B720="STD. DEVIATION",$C$1=1),$A720,$A720+1),COLUMN('1-DATA'!T718)),IF($B720="STD. DEVIATION",2,$F$1))))</f>
        <v/>
      </c>
      <c r="V720" s="1" t="str">
        <f>IF(OR($B720="",V$7=""),"",IF($B720="MEANS",INDEX('1-DATA'!$1:$1048576,$A719-1,COLUMN('1-DATA'!U718)),ROUND(INDEX('1-DATA'!$1:$1048576,IF(OR($B720="STD. DEVIATION",$C$1=1),$A720,$A720+1),COLUMN('1-DATA'!U718)),IF($B720="STD. DEVIATION",2,$F$1))))</f>
        <v/>
      </c>
      <c r="W720" s="1" t="str">
        <f>IF(OR($B720="",W$7=""),"",IF($B720="MEANS",INDEX('1-DATA'!$1:$1048576,$A719-1,COLUMN('1-DATA'!V718)),ROUND(INDEX('1-DATA'!$1:$1048576,IF(OR($B720="STD. DEVIATION",$C$1=1),$A720,$A720+1),COLUMN('1-DATA'!V718)),IF($B720="STD. DEVIATION",2,$F$1))))</f>
        <v/>
      </c>
      <c r="X720" s="1" t="str">
        <f>IF(OR($B720="",X$7=""),"",IF($B720="MEANS",INDEX('1-DATA'!$1:$1048576,$A719-1,COLUMN('1-DATA'!W718)),ROUND(INDEX('1-DATA'!$1:$1048576,IF(OR($B720="STD. DEVIATION",$C$1=1),$A720,$A720+1),COLUMN('1-DATA'!W718)),IF($B720="STD. DEVIATION",2,$F$1))))</f>
        <v/>
      </c>
      <c r="Y720" s="1" t="str">
        <f>IF(OR($B720="",Y$7=""),"",IF($B720="MEANS",INDEX('1-DATA'!$1:$1048576,$A719-1,COLUMN('1-DATA'!X718)),ROUND(INDEX('1-DATA'!$1:$1048576,IF(OR($B720="STD. DEVIATION",$C$1=1),$A720,$A720+1),COLUMN('1-DATA'!X718)),IF($B720="STD. DEVIATION",2,$F$1))))</f>
        <v/>
      </c>
      <c r="Z720" s="1" t="str">
        <f>IF(OR($B720="",Z$7=""),"",IF($B720="MEANS",INDEX('1-DATA'!$1:$1048576,$A719-1,COLUMN('1-DATA'!Y718)),ROUND(INDEX('1-DATA'!$1:$1048576,IF(OR($B720="STD. DEVIATION",$C$1=1),$A720,$A720+1),COLUMN('1-DATA'!Y718)),IF($B720="STD. DEVIATION",2,$F$1))))</f>
        <v/>
      </c>
      <c r="AA720" s="1" t="str">
        <f>IF(OR($B720="",AA$7=""),"",IF($B720="MEANS",INDEX('1-DATA'!$1:$1048576,$A719-1,COLUMN('1-DATA'!Z718)),ROUND(INDEX('1-DATA'!$1:$1048576,IF(OR($B720="STD. DEVIATION",$C$1=1),$A720,$A720+1),COLUMN('1-DATA'!Z718)),IF($B720="STD. DEVIATION",2,$F$1))))</f>
        <v/>
      </c>
      <c r="AB720" s="1" t="str">
        <f>IF(OR($B720="",AB$7=""),"",IF($B720="MEANS",INDEX('1-DATA'!$1:$1048576,$A719-1,COLUMN('1-DATA'!AA718)),ROUND(INDEX('1-DATA'!$1:$1048576,IF(OR($B720="STD. DEVIATION",$C$1=1),$A720,$A720+1),COLUMN('1-DATA'!AA718)),IF($B720="STD. DEVIATION",2,$F$1))))</f>
        <v/>
      </c>
      <c r="AC720" s="1" t="str">
        <f>IF(OR($B720="",AC$7=""),"",IF($B720="MEANS",INDEX('1-DATA'!$1:$1048576,$A719-1,COLUMN('1-DATA'!AB718)),ROUND(INDEX('1-DATA'!$1:$1048576,IF(OR($B720="STD. DEVIATION",$C$1=1),$A720,$A720+1),COLUMN('1-DATA'!AB718)),IF($B720="STD. DEVIATION",2,$F$1))))</f>
        <v/>
      </c>
      <c r="AD720" s="1" t="str">
        <f>IF(OR($B720="",AD$7=""),"",IF($B720="MEANS",INDEX('1-DATA'!$1:$1048576,$A719-1,COLUMN('1-DATA'!AC718)),ROUND(INDEX('1-DATA'!$1:$1048576,IF(OR($B720="STD. DEVIATION",$C$1=1),$A720,$A720+1),COLUMN('1-DATA'!AC718)),IF($B720="STD. DEVIATION",2,$F$1))))</f>
        <v/>
      </c>
      <c r="AE720" s="1" t="str">
        <f>IF(OR($B720="",AE$7=""),"",IF($B720="MEANS",INDEX('1-DATA'!$1:$1048576,$A719-1,COLUMN('1-DATA'!AD718)),ROUND(INDEX('1-DATA'!$1:$1048576,IF(OR($B720="STD. DEVIATION",$C$1=1),$A720,$A720+1),COLUMN('1-DATA'!AD718)),IF($B720="STD. DEVIATION",2,$F$1))))</f>
        <v/>
      </c>
      <c r="AF720" s="1" t="str">
        <f>IF(OR($B720="",AF$7=""),"",IF($B720="MEANS",INDEX('1-DATA'!$1:$1048576,$A719-1,COLUMN('1-DATA'!AE718)),ROUND(INDEX('1-DATA'!$1:$1048576,IF(OR($B720="STD. DEVIATION",$C$1=1),$A720,$A720+1),COLUMN('1-DATA'!AE718)),IF($B720="STD. DEVIATION",2,$F$1))))</f>
        <v/>
      </c>
      <c r="AG720" s="1" t="str">
        <f>IF(OR($B720="",AG$7=""),"",IF($B720="MEANS",INDEX('1-DATA'!$1:$1048576,$A719-1,COLUMN('1-DATA'!AF718)),ROUND(INDEX('1-DATA'!$1:$1048576,IF(OR($B720="STD. DEVIATION",$C$1=1),$A720,$A720+1),COLUMN('1-DATA'!AF718)),IF($B720="STD. DEVIATION",2,$F$1))))</f>
        <v/>
      </c>
      <c r="AH720" s="1" t="str">
        <f>IF(OR($B720="",AH$7=""),"",IF($B720="MEANS",INDEX('1-DATA'!$1:$1048576,$A719-1,COLUMN('1-DATA'!AG718)),ROUND(INDEX('1-DATA'!$1:$1048576,IF(OR($B720="STD. DEVIATION",$C$1=1),$A720,$A720+1),COLUMN('1-DATA'!AG718)),IF($B720="STD. DEVIATION",2,$F$1))))</f>
        <v/>
      </c>
      <c r="AI720" s="1" t="str">
        <f>IF(OR($B720="",AI$7=""),"",IF($B720="MEANS",INDEX('1-DATA'!$1:$1048576,$A719-1,COLUMN('1-DATA'!AH718)),ROUND(INDEX('1-DATA'!$1:$1048576,IF(OR($B720="STD. DEVIATION",$C$1=1),$A720,$A720+1),COLUMN('1-DATA'!AH718)),IF($B720="STD. DEVIATION",2,$F$1))))</f>
        <v/>
      </c>
      <c r="AJ720" s="1" t="str">
        <f>IF(OR($B720="",AJ$7=""),"",IF($B720="MEANS",INDEX('1-DATA'!$1:$1048576,$A719-1,COLUMN('1-DATA'!AI718)),ROUND(INDEX('1-DATA'!$1:$1048576,IF(OR($B720="STD. DEVIATION",$C$1=1),$A720,$A720+1),COLUMN('1-DATA'!AI718)),IF($B720="STD. DEVIATION",2,$F$1))))</f>
        <v/>
      </c>
      <c r="AK720" s="1" t="str">
        <f>IF(OR($B720="",AK$7=""),"",IF($B720="MEANS",INDEX('1-DATA'!$1:$1048576,$A719-1,COLUMN('1-DATA'!AJ718)),ROUND(INDEX('1-DATA'!$1:$1048576,IF(OR($B720="STD. DEVIATION",$C$1=1),$A720,$A720+1),COLUMN('1-DATA'!AJ718)),IF($B720="STD. DEVIATION",2,$F$1))))</f>
        <v/>
      </c>
      <c r="AL720" s="1" t="str">
        <f>IF(OR($B720="",AL$7=""),"",IF($B720="MEANS",INDEX('1-DATA'!$1:$1048576,$A719-1,COLUMN('1-DATA'!AK718)),ROUND(INDEX('1-DATA'!$1:$1048576,IF(OR($B720="STD. DEVIATION",$C$1=1),$A720,$A720+1),COLUMN('1-DATA'!AK718)),IF($B720="STD. DEVIATION",2,$F$1))))</f>
        <v/>
      </c>
      <c r="AM720" s="1" t="str">
        <f>IF(OR($B720="",AM$7=""),"",IF($B720="MEANS",INDEX('1-DATA'!$1:$1048576,$A719-1,COLUMN('1-DATA'!AL718)),ROUND(INDEX('1-DATA'!$1:$1048576,IF(OR($B720="STD. DEVIATION",$C$1=1),$A720,$A720+1),COLUMN('1-DATA'!AL718)),IF($B720="STD. DEVIATION",2,$F$1))))</f>
        <v/>
      </c>
      <c r="AN720" s="1" t="str">
        <f>IF(OR($B720="",AN$7=""),"",IF($B720="MEANS",INDEX('1-DATA'!$1:$1048576,$A719-1,COLUMN('1-DATA'!AM718)),ROUND(INDEX('1-DATA'!$1:$1048576,IF(OR($B720="STD. DEVIATION",$C$1=1),$A720,$A720+1),COLUMN('1-DATA'!AM718)),IF($B720="STD. DEVIATION",2,$F$1))))</f>
        <v/>
      </c>
      <c r="AO720" s="1" t="str">
        <f>IF(OR($B720="",AO$7=""),"",IF($B720="MEANS",INDEX('1-DATA'!$1:$1048576,$A719-1,COLUMN('1-DATA'!AN718)),ROUND(INDEX('1-DATA'!$1:$1048576,IF(OR($B720="STD. DEVIATION",$C$1=1),$A720,$A720+1),COLUMN('1-DATA'!AN718)),IF($B720="STD. DEVIATION",2,$F$1))))</f>
        <v/>
      </c>
      <c r="AP720" s="1" t="str">
        <f>IF(OR($B720="",AP$7=""),"",IF($B720="MEANS",INDEX('1-DATA'!$1:$1048576,$A719-1,COLUMN('1-DATA'!AO718)),ROUND(INDEX('1-DATA'!$1:$1048576,IF(OR($B720="STD. DEVIATION",$C$1=1),$A720,$A720+1),COLUMN('1-DATA'!AO718)),IF($B720="STD. DEVIATION",2,$F$1))))</f>
        <v/>
      </c>
      <c r="AQ720" s="1" t="str">
        <f>IF(OR($B720="",AQ$7=""),"",IF($B720="MEANS",INDEX('1-DATA'!$1:$1048576,$A719-1,COLUMN('1-DATA'!AP718)),ROUND(INDEX('1-DATA'!$1:$1048576,IF(OR($B720="STD. DEVIATION",$C$1=1),$A720,$A720+1),COLUMN('1-DATA'!AP718)),IF($B720="STD. DEVIATION",2,$F$1))))</f>
        <v/>
      </c>
      <c r="AR720" s="1" t="str">
        <f>IF(OR($B720="",AR$7=""),"",IF($B720="MEANS",INDEX('1-DATA'!$1:$1048576,$A719-1,COLUMN('1-DATA'!AQ718)),ROUND(INDEX('1-DATA'!$1:$1048576,IF(OR($B720="STD. DEVIATION",$C$1=1),$A720,$A720+1),COLUMN('1-DATA'!AQ718)),IF($B720="STD. DEVIATION",2,$F$1))))</f>
        <v/>
      </c>
      <c r="AS720" s="1" t="str">
        <f>IF(OR($B720="",AS$7=""),"",IF($B720="MEANS",INDEX('1-DATA'!$1:$1048576,$A719-1,COLUMN('1-DATA'!AR718)),ROUND(INDEX('1-DATA'!$1:$1048576,IF(OR($B720="STD. DEVIATION",$C$1=1),$A720,$A720+1),COLUMN('1-DATA'!AR718)),IF($B720="STD. DEVIATION",2,$F$1))))</f>
        <v/>
      </c>
      <c r="AT720" s="1" t="str">
        <f>IF(OR($B720="",AT$7=""),"",IF($B720="MEANS",INDEX('1-DATA'!$1:$1048576,$A719-1,COLUMN('1-DATA'!AS718)),ROUND(INDEX('1-DATA'!$1:$1048576,IF(OR($B720="STD. DEVIATION",$C$1=1),$A720,$A720+1),COLUMN('1-DATA'!AS718)),IF($B720="STD. DEVIATION",2,$F$1))))</f>
        <v/>
      </c>
      <c r="AU720" s="1" t="str">
        <f>IF(OR($B720="",AU$7=""),"",IF($B720="MEANS",INDEX('1-DATA'!$1:$1048576,$A719-1,COLUMN('1-DATA'!AT718)),ROUND(INDEX('1-DATA'!$1:$1048576,IF(OR($B720="STD. DEVIATION",$C$1=1),$A720,$A720+1),COLUMN('1-DATA'!AT718)),IF($B720="STD. DEVIATION",2,$F$1))))</f>
        <v/>
      </c>
      <c r="AV720" s="1" t="str">
        <f>IF(OR($B720="",AV$7=""),"",IF($B720="MEANS",INDEX('1-DATA'!$1:$1048576,$A719-1,COLUMN('1-DATA'!AU718)),ROUND(INDEX('1-DATA'!$1:$1048576,IF(OR($B720="STD. DEVIATION",$C$1=1),$A720,$A720+1),COLUMN('1-DATA'!AU718)),IF($B720="STD. DEVIATION",2,$F$1))))</f>
        <v/>
      </c>
      <c r="AW720" s="1" t="str">
        <f>IF(OR($B720="",AW$7=""),"",IF($B720="MEANS",INDEX('1-DATA'!$1:$1048576,$A719-1,COLUMN('1-DATA'!AV718)),ROUND(INDEX('1-DATA'!$1:$1048576,IF(OR($B720="STD. DEVIATION",$C$1=1),$A720,$A720+1),COLUMN('1-DATA'!AV718)),IF($B720="STD. DEVIATION",2,$F$1))))</f>
        <v/>
      </c>
      <c r="AX720" s="1" t="str">
        <f>IF(OR($B720="",AX$7=""),"",IF($B720="MEANS",INDEX('1-DATA'!$1:$1048576,$A719-1,COLUMN('1-DATA'!AW718)),ROUND(INDEX('1-DATA'!$1:$1048576,IF(OR($B720="STD. DEVIATION",$C$1=1),$A720,$A720+1),COLUMN('1-DATA'!AW718)),IF($B720="STD. DEVIATION",2,$F$1))))</f>
        <v/>
      </c>
      <c r="AY720" s="1" t="str">
        <f>IF(OR($B720="",AY$7=""),"",IF($B720="MEANS",INDEX('1-DATA'!$1:$1048576,$A719-1,COLUMN('1-DATA'!AX718)),ROUND(INDEX('1-DATA'!$1:$1048576,IF(OR($B720="STD. DEVIATION",$C$1=1),$A720,$A720+1),COLUMN('1-DATA'!AX718)),IF($B720="STD. DEVIATION",2,$F$1))))</f>
        <v/>
      </c>
      <c r="AZ720" s="1" t="str">
        <f>IF(OR($B720="",AZ$7=""),"",IF($B720="MEANS",INDEX('1-DATA'!$1:$1048576,$A719-1,COLUMN('1-DATA'!AY718)),ROUND(INDEX('1-DATA'!$1:$1048576,IF(OR($B720="STD. DEVIATION",$C$1=1),$A720,$A720+1),COLUMN('1-DATA'!AY718)),IF($B720="STD. DEVIATION",2,$F$1))))</f>
        <v/>
      </c>
    </row>
    <row r="721" spans="1:52" x14ac:dyDescent="0.25">
      <c r="A721" s="11">
        <f t="shared" si="11"/>
        <v>2149</v>
      </c>
      <c r="B721" s="1" t="str">
        <f>IF(B720="STD. DEVIATION",INDEX('1-DATA'!$1:$1048576,$A720-1,1),IF(INDEX('1-DATA'!$1:$1048576,$A721,1)&lt;&gt;"",INDEX('1-DATA'!$1:$1048576,$A721,1),""))</f>
        <v/>
      </c>
      <c r="C721" s="1" t="str">
        <f>IF(OR($B721="",C$7=""),"",IF($B721="MEANS",INDEX('1-DATA'!$1:$1048576,$A720-1,COLUMN('1-DATA'!B719)),ROUND(INDEX('1-DATA'!$1:$1048576,IF(OR($B721="STD. DEVIATION",$C$1=1),$A721,$A721+1),COLUMN('1-DATA'!B719)),IF($B721="STD. DEVIATION",2,$F$1))))</f>
        <v/>
      </c>
      <c r="D721" s="1" t="str">
        <f>IF(OR($B721="",D$7=""),"",IF($B721="MEANS",INDEX('1-DATA'!$1:$1048576,$A720-1,COLUMN('1-DATA'!C719)),ROUND(INDEX('1-DATA'!$1:$1048576,IF(OR($B721="STD. DEVIATION",$C$1=1),$A721,$A721+1),COLUMN('1-DATA'!C719)),IF($B721="STD. DEVIATION",2,$F$1))))</f>
        <v/>
      </c>
      <c r="E721" s="1" t="str">
        <f>IF(OR($B721="",E$7=""),"",IF($B721="MEANS",INDEX('1-DATA'!$1:$1048576,$A720-1,COLUMN('1-DATA'!D719)),ROUND(INDEX('1-DATA'!$1:$1048576,IF(OR($B721="STD. DEVIATION",$C$1=1),$A721,$A721+1),COLUMN('1-DATA'!D719)),IF($B721="STD. DEVIATION",2,$F$1))))</f>
        <v/>
      </c>
      <c r="F721" s="1" t="str">
        <f>IF(OR($B721="",F$7=""),"",IF($B721="MEANS",INDEX('1-DATA'!$1:$1048576,$A720-1,COLUMN('1-DATA'!E719)),ROUND(INDEX('1-DATA'!$1:$1048576,IF(OR($B721="STD. DEVIATION",$C$1=1),$A721,$A721+1),COLUMN('1-DATA'!E719)),IF($B721="STD. DEVIATION",2,$F$1))))</f>
        <v/>
      </c>
      <c r="G721" s="1" t="str">
        <f>IF(OR($B721="",G$7=""),"",IF($B721="MEANS",INDEX('1-DATA'!$1:$1048576,$A720-1,COLUMN('1-DATA'!F719)),ROUND(INDEX('1-DATA'!$1:$1048576,IF(OR($B721="STD. DEVIATION",$C$1=1),$A721,$A721+1),COLUMN('1-DATA'!F719)),IF($B721="STD. DEVIATION",2,$F$1))))</f>
        <v/>
      </c>
      <c r="H721" s="1" t="str">
        <f>IF(OR($B721="",H$7=""),"",IF($B721="MEANS",INDEX('1-DATA'!$1:$1048576,$A720-1,COLUMN('1-DATA'!G719)),ROUND(INDEX('1-DATA'!$1:$1048576,IF(OR($B721="STD. DEVIATION",$C$1=1),$A721,$A721+1),COLUMN('1-DATA'!G719)),IF($B721="STD. DEVIATION",2,$F$1))))</f>
        <v/>
      </c>
      <c r="I721" s="1" t="str">
        <f>IF(OR($B721="",I$7=""),"",IF($B721="MEANS",INDEX('1-DATA'!$1:$1048576,$A720-1,COLUMN('1-DATA'!H719)),ROUND(INDEX('1-DATA'!$1:$1048576,IF(OR($B721="STD. DEVIATION",$C$1=1),$A721,$A721+1),COLUMN('1-DATA'!H719)),IF($B721="STD. DEVIATION",2,$F$1))))</f>
        <v/>
      </c>
      <c r="J721" s="1" t="str">
        <f>IF(OR($B721="",J$7=""),"",IF($B721="MEANS",INDEX('1-DATA'!$1:$1048576,$A720-1,COLUMN('1-DATA'!I719)),ROUND(INDEX('1-DATA'!$1:$1048576,IF(OR($B721="STD. DEVIATION",$C$1=1),$A721,$A721+1),COLUMN('1-DATA'!I719)),IF($B721="STD. DEVIATION",2,$F$1))))</f>
        <v/>
      </c>
      <c r="K721" s="1" t="str">
        <f>IF(OR($B721="",K$7=""),"",IF($B721="MEANS",INDEX('1-DATA'!$1:$1048576,$A720-1,COLUMN('1-DATA'!J719)),ROUND(INDEX('1-DATA'!$1:$1048576,IF(OR($B721="STD. DEVIATION",$C$1=1),$A721,$A721+1),COLUMN('1-DATA'!J719)),IF($B721="STD. DEVIATION",2,$F$1))))</f>
        <v/>
      </c>
      <c r="L721" s="1" t="str">
        <f>IF(OR($B721="",L$7=""),"",IF($B721="MEANS",INDEX('1-DATA'!$1:$1048576,$A720-1,COLUMN('1-DATA'!K719)),ROUND(INDEX('1-DATA'!$1:$1048576,IF(OR($B721="STD. DEVIATION",$C$1=1),$A721,$A721+1),COLUMN('1-DATA'!K719)),IF($B721="STD. DEVIATION",2,$F$1))))</f>
        <v/>
      </c>
      <c r="M721" s="1" t="str">
        <f>IF(OR($B721="",M$7=""),"",IF($B721="MEANS",INDEX('1-DATA'!$1:$1048576,$A720-1,COLUMN('1-DATA'!L719)),ROUND(INDEX('1-DATA'!$1:$1048576,IF(OR($B721="STD. DEVIATION",$C$1=1),$A721,$A721+1),COLUMN('1-DATA'!L719)),IF($B721="STD. DEVIATION",2,$F$1))))</f>
        <v/>
      </c>
      <c r="N721" s="1" t="str">
        <f>IF(OR($B721="",N$7=""),"",IF($B721="MEANS",INDEX('1-DATA'!$1:$1048576,$A720-1,COLUMN('1-DATA'!M719)),ROUND(INDEX('1-DATA'!$1:$1048576,IF(OR($B721="STD. DEVIATION",$C$1=1),$A721,$A721+1),COLUMN('1-DATA'!M719)),IF($B721="STD. DEVIATION",2,$F$1))))</f>
        <v/>
      </c>
      <c r="O721" s="1" t="str">
        <f>IF(OR($B721="",O$7=""),"",IF($B721="MEANS",INDEX('1-DATA'!$1:$1048576,$A720-1,COLUMN('1-DATA'!N719)),ROUND(INDEX('1-DATA'!$1:$1048576,IF(OR($B721="STD. DEVIATION",$C$1=1),$A721,$A721+1),COLUMN('1-DATA'!N719)),IF($B721="STD. DEVIATION",2,$F$1))))</f>
        <v/>
      </c>
      <c r="P721" s="1" t="str">
        <f>IF(OR($B721="",P$7=""),"",IF($B721="MEANS",INDEX('1-DATA'!$1:$1048576,$A720-1,COLUMN('1-DATA'!O719)),ROUND(INDEX('1-DATA'!$1:$1048576,IF(OR($B721="STD. DEVIATION",$C$1=1),$A721,$A721+1),COLUMN('1-DATA'!O719)),IF($B721="STD. DEVIATION",2,$F$1))))</f>
        <v/>
      </c>
      <c r="Q721" s="1" t="str">
        <f>IF(OR($B721="",Q$7=""),"",IF($B721="MEANS",INDEX('1-DATA'!$1:$1048576,$A720-1,COLUMN('1-DATA'!P719)),ROUND(INDEX('1-DATA'!$1:$1048576,IF(OR($B721="STD. DEVIATION",$C$1=1),$A721,$A721+1),COLUMN('1-DATA'!P719)),IF($B721="STD. DEVIATION",2,$F$1))))</f>
        <v/>
      </c>
      <c r="R721" s="1" t="str">
        <f>IF(OR($B721="",R$7=""),"",IF($B721="MEANS",INDEX('1-DATA'!$1:$1048576,$A720-1,COLUMN('1-DATA'!Q719)),ROUND(INDEX('1-DATA'!$1:$1048576,IF(OR($B721="STD. DEVIATION",$C$1=1),$A721,$A721+1),COLUMN('1-DATA'!Q719)),IF($B721="STD. DEVIATION",2,$F$1))))</f>
        <v/>
      </c>
      <c r="S721" s="1" t="str">
        <f>IF(OR($B721="",S$7=""),"",IF($B721="MEANS",INDEX('1-DATA'!$1:$1048576,$A720-1,COLUMN('1-DATA'!R719)),ROUND(INDEX('1-DATA'!$1:$1048576,IF(OR($B721="STD. DEVIATION",$C$1=1),$A721,$A721+1),COLUMN('1-DATA'!R719)),IF($B721="STD. DEVIATION",2,$F$1))))</f>
        <v/>
      </c>
      <c r="T721" s="1" t="str">
        <f>IF(OR($B721="",T$7=""),"",IF($B721="MEANS",INDEX('1-DATA'!$1:$1048576,$A720-1,COLUMN('1-DATA'!S719)),ROUND(INDEX('1-DATA'!$1:$1048576,IF(OR($B721="STD. DEVIATION",$C$1=1),$A721,$A721+1),COLUMN('1-DATA'!S719)),IF($B721="STD. DEVIATION",2,$F$1))))</f>
        <v/>
      </c>
      <c r="U721" s="1" t="str">
        <f>IF(OR($B721="",U$7=""),"",IF($B721="MEANS",INDEX('1-DATA'!$1:$1048576,$A720-1,COLUMN('1-DATA'!T719)),ROUND(INDEX('1-DATA'!$1:$1048576,IF(OR($B721="STD. DEVIATION",$C$1=1),$A721,$A721+1),COLUMN('1-DATA'!T719)),IF($B721="STD. DEVIATION",2,$F$1))))</f>
        <v/>
      </c>
      <c r="V721" s="1" t="str">
        <f>IF(OR($B721="",V$7=""),"",IF($B721="MEANS",INDEX('1-DATA'!$1:$1048576,$A720-1,COLUMN('1-DATA'!U719)),ROUND(INDEX('1-DATA'!$1:$1048576,IF(OR($B721="STD. DEVIATION",$C$1=1),$A721,$A721+1),COLUMN('1-DATA'!U719)),IF($B721="STD. DEVIATION",2,$F$1))))</f>
        <v/>
      </c>
      <c r="W721" s="1" t="str">
        <f>IF(OR($B721="",W$7=""),"",IF($B721="MEANS",INDEX('1-DATA'!$1:$1048576,$A720-1,COLUMN('1-DATA'!V719)),ROUND(INDEX('1-DATA'!$1:$1048576,IF(OR($B721="STD. DEVIATION",$C$1=1),$A721,$A721+1),COLUMN('1-DATA'!V719)),IF($B721="STD. DEVIATION",2,$F$1))))</f>
        <v/>
      </c>
      <c r="X721" s="1" t="str">
        <f>IF(OR($B721="",X$7=""),"",IF($B721="MEANS",INDEX('1-DATA'!$1:$1048576,$A720-1,COLUMN('1-DATA'!W719)),ROUND(INDEX('1-DATA'!$1:$1048576,IF(OR($B721="STD. DEVIATION",$C$1=1),$A721,$A721+1),COLUMN('1-DATA'!W719)),IF($B721="STD. DEVIATION",2,$F$1))))</f>
        <v/>
      </c>
      <c r="Y721" s="1" t="str">
        <f>IF(OR($B721="",Y$7=""),"",IF($B721="MEANS",INDEX('1-DATA'!$1:$1048576,$A720-1,COLUMN('1-DATA'!X719)),ROUND(INDEX('1-DATA'!$1:$1048576,IF(OR($B721="STD. DEVIATION",$C$1=1),$A721,$A721+1),COLUMN('1-DATA'!X719)),IF($B721="STD. DEVIATION",2,$F$1))))</f>
        <v/>
      </c>
      <c r="Z721" s="1" t="str">
        <f>IF(OR($B721="",Z$7=""),"",IF($B721="MEANS",INDEX('1-DATA'!$1:$1048576,$A720-1,COLUMN('1-DATA'!Y719)),ROUND(INDEX('1-DATA'!$1:$1048576,IF(OR($B721="STD. DEVIATION",$C$1=1),$A721,$A721+1),COLUMN('1-DATA'!Y719)),IF($B721="STD. DEVIATION",2,$F$1))))</f>
        <v/>
      </c>
      <c r="AA721" s="1" t="str">
        <f>IF(OR($B721="",AA$7=""),"",IF($B721="MEANS",INDEX('1-DATA'!$1:$1048576,$A720-1,COLUMN('1-DATA'!Z719)),ROUND(INDEX('1-DATA'!$1:$1048576,IF(OR($B721="STD. DEVIATION",$C$1=1),$A721,$A721+1),COLUMN('1-DATA'!Z719)),IF($B721="STD. DEVIATION",2,$F$1))))</f>
        <v/>
      </c>
      <c r="AB721" s="1" t="str">
        <f>IF(OR($B721="",AB$7=""),"",IF($B721="MEANS",INDEX('1-DATA'!$1:$1048576,$A720-1,COLUMN('1-DATA'!AA719)),ROUND(INDEX('1-DATA'!$1:$1048576,IF(OR($B721="STD. DEVIATION",$C$1=1),$A721,$A721+1),COLUMN('1-DATA'!AA719)),IF($B721="STD. DEVIATION",2,$F$1))))</f>
        <v/>
      </c>
      <c r="AC721" s="1" t="str">
        <f>IF(OR($B721="",AC$7=""),"",IF($B721="MEANS",INDEX('1-DATA'!$1:$1048576,$A720-1,COLUMN('1-DATA'!AB719)),ROUND(INDEX('1-DATA'!$1:$1048576,IF(OR($B721="STD. DEVIATION",$C$1=1),$A721,$A721+1),COLUMN('1-DATA'!AB719)),IF($B721="STD. DEVIATION",2,$F$1))))</f>
        <v/>
      </c>
      <c r="AD721" s="1" t="str">
        <f>IF(OR($B721="",AD$7=""),"",IF($B721="MEANS",INDEX('1-DATA'!$1:$1048576,$A720-1,COLUMN('1-DATA'!AC719)),ROUND(INDEX('1-DATA'!$1:$1048576,IF(OR($B721="STD. DEVIATION",$C$1=1),$A721,$A721+1),COLUMN('1-DATA'!AC719)),IF($B721="STD. DEVIATION",2,$F$1))))</f>
        <v/>
      </c>
      <c r="AE721" s="1" t="str">
        <f>IF(OR($B721="",AE$7=""),"",IF($B721="MEANS",INDEX('1-DATA'!$1:$1048576,$A720-1,COLUMN('1-DATA'!AD719)),ROUND(INDEX('1-DATA'!$1:$1048576,IF(OR($B721="STD. DEVIATION",$C$1=1),$A721,$A721+1),COLUMN('1-DATA'!AD719)),IF($B721="STD. DEVIATION",2,$F$1))))</f>
        <v/>
      </c>
      <c r="AF721" s="1" t="str">
        <f>IF(OR($B721="",AF$7=""),"",IF($B721="MEANS",INDEX('1-DATA'!$1:$1048576,$A720-1,COLUMN('1-DATA'!AE719)),ROUND(INDEX('1-DATA'!$1:$1048576,IF(OR($B721="STD. DEVIATION",$C$1=1),$A721,$A721+1),COLUMN('1-DATA'!AE719)),IF($B721="STD. DEVIATION",2,$F$1))))</f>
        <v/>
      </c>
      <c r="AG721" s="1" t="str">
        <f>IF(OR($B721="",AG$7=""),"",IF($B721="MEANS",INDEX('1-DATA'!$1:$1048576,$A720-1,COLUMN('1-DATA'!AF719)),ROUND(INDEX('1-DATA'!$1:$1048576,IF(OR($B721="STD. DEVIATION",$C$1=1),$A721,$A721+1),COLUMN('1-DATA'!AF719)),IF($B721="STD. DEVIATION",2,$F$1))))</f>
        <v/>
      </c>
      <c r="AH721" s="1" t="str">
        <f>IF(OR($B721="",AH$7=""),"",IF($B721="MEANS",INDEX('1-DATA'!$1:$1048576,$A720-1,COLUMN('1-DATA'!AG719)),ROUND(INDEX('1-DATA'!$1:$1048576,IF(OR($B721="STD. DEVIATION",$C$1=1),$A721,$A721+1),COLUMN('1-DATA'!AG719)),IF($B721="STD. DEVIATION",2,$F$1))))</f>
        <v/>
      </c>
      <c r="AI721" s="1" t="str">
        <f>IF(OR($B721="",AI$7=""),"",IF($B721="MEANS",INDEX('1-DATA'!$1:$1048576,$A720-1,COLUMN('1-DATA'!AH719)),ROUND(INDEX('1-DATA'!$1:$1048576,IF(OR($B721="STD. DEVIATION",$C$1=1),$A721,$A721+1),COLUMN('1-DATA'!AH719)),IF($B721="STD. DEVIATION",2,$F$1))))</f>
        <v/>
      </c>
      <c r="AJ721" s="1" t="str">
        <f>IF(OR($B721="",AJ$7=""),"",IF($B721="MEANS",INDEX('1-DATA'!$1:$1048576,$A720-1,COLUMN('1-DATA'!AI719)),ROUND(INDEX('1-DATA'!$1:$1048576,IF(OR($B721="STD. DEVIATION",$C$1=1),$A721,$A721+1),COLUMN('1-DATA'!AI719)),IF($B721="STD. DEVIATION",2,$F$1))))</f>
        <v/>
      </c>
      <c r="AK721" s="1" t="str">
        <f>IF(OR($B721="",AK$7=""),"",IF($B721="MEANS",INDEX('1-DATA'!$1:$1048576,$A720-1,COLUMN('1-DATA'!AJ719)),ROUND(INDEX('1-DATA'!$1:$1048576,IF(OR($B721="STD. DEVIATION",$C$1=1),$A721,$A721+1),COLUMN('1-DATA'!AJ719)),IF($B721="STD. DEVIATION",2,$F$1))))</f>
        <v/>
      </c>
      <c r="AL721" s="1" t="str">
        <f>IF(OR($B721="",AL$7=""),"",IF($B721="MEANS",INDEX('1-DATA'!$1:$1048576,$A720-1,COLUMN('1-DATA'!AK719)),ROUND(INDEX('1-DATA'!$1:$1048576,IF(OR($B721="STD. DEVIATION",$C$1=1),$A721,$A721+1),COLUMN('1-DATA'!AK719)),IF($B721="STD. DEVIATION",2,$F$1))))</f>
        <v/>
      </c>
      <c r="AM721" s="1" t="str">
        <f>IF(OR($B721="",AM$7=""),"",IF($B721="MEANS",INDEX('1-DATA'!$1:$1048576,$A720-1,COLUMN('1-DATA'!AL719)),ROUND(INDEX('1-DATA'!$1:$1048576,IF(OR($B721="STD. DEVIATION",$C$1=1),$A721,$A721+1),COLUMN('1-DATA'!AL719)),IF($B721="STD. DEVIATION",2,$F$1))))</f>
        <v/>
      </c>
      <c r="AN721" s="1" t="str">
        <f>IF(OR($B721="",AN$7=""),"",IF($B721="MEANS",INDEX('1-DATA'!$1:$1048576,$A720-1,COLUMN('1-DATA'!AM719)),ROUND(INDEX('1-DATA'!$1:$1048576,IF(OR($B721="STD. DEVIATION",$C$1=1),$A721,$A721+1),COLUMN('1-DATA'!AM719)),IF($B721="STD. DEVIATION",2,$F$1))))</f>
        <v/>
      </c>
      <c r="AO721" s="1" t="str">
        <f>IF(OR($B721="",AO$7=""),"",IF($B721="MEANS",INDEX('1-DATA'!$1:$1048576,$A720-1,COLUMN('1-DATA'!AN719)),ROUND(INDEX('1-DATA'!$1:$1048576,IF(OR($B721="STD. DEVIATION",$C$1=1),$A721,$A721+1),COLUMN('1-DATA'!AN719)),IF($B721="STD. DEVIATION",2,$F$1))))</f>
        <v/>
      </c>
      <c r="AP721" s="1" t="str">
        <f>IF(OR($B721="",AP$7=""),"",IF($B721="MEANS",INDEX('1-DATA'!$1:$1048576,$A720-1,COLUMN('1-DATA'!AO719)),ROUND(INDEX('1-DATA'!$1:$1048576,IF(OR($B721="STD. DEVIATION",$C$1=1),$A721,$A721+1),COLUMN('1-DATA'!AO719)),IF($B721="STD. DEVIATION",2,$F$1))))</f>
        <v/>
      </c>
      <c r="AQ721" s="1" t="str">
        <f>IF(OR($B721="",AQ$7=""),"",IF($B721="MEANS",INDEX('1-DATA'!$1:$1048576,$A720-1,COLUMN('1-DATA'!AP719)),ROUND(INDEX('1-DATA'!$1:$1048576,IF(OR($B721="STD. DEVIATION",$C$1=1),$A721,$A721+1),COLUMN('1-DATA'!AP719)),IF($B721="STD. DEVIATION",2,$F$1))))</f>
        <v/>
      </c>
      <c r="AR721" s="1" t="str">
        <f>IF(OR($B721="",AR$7=""),"",IF($B721="MEANS",INDEX('1-DATA'!$1:$1048576,$A720-1,COLUMN('1-DATA'!AQ719)),ROUND(INDEX('1-DATA'!$1:$1048576,IF(OR($B721="STD. DEVIATION",$C$1=1),$A721,$A721+1),COLUMN('1-DATA'!AQ719)),IF($B721="STD. DEVIATION",2,$F$1))))</f>
        <v/>
      </c>
      <c r="AS721" s="1" t="str">
        <f>IF(OR($B721="",AS$7=""),"",IF($B721="MEANS",INDEX('1-DATA'!$1:$1048576,$A720-1,COLUMN('1-DATA'!AR719)),ROUND(INDEX('1-DATA'!$1:$1048576,IF(OR($B721="STD. DEVIATION",$C$1=1),$A721,$A721+1),COLUMN('1-DATA'!AR719)),IF($B721="STD. DEVIATION",2,$F$1))))</f>
        <v/>
      </c>
      <c r="AT721" s="1" t="str">
        <f>IF(OR($B721="",AT$7=""),"",IF($B721="MEANS",INDEX('1-DATA'!$1:$1048576,$A720-1,COLUMN('1-DATA'!AS719)),ROUND(INDEX('1-DATA'!$1:$1048576,IF(OR($B721="STD. DEVIATION",$C$1=1),$A721,$A721+1),COLUMN('1-DATA'!AS719)),IF($B721="STD. DEVIATION",2,$F$1))))</f>
        <v/>
      </c>
      <c r="AU721" s="1" t="str">
        <f>IF(OR($B721="",AU$7=""),"",IF($B721="MEANS",INDEX('1-DATA'!$1:$1048576,$A720-1,COLUMN('1-DATA'!AT719)),ROUND(INDEX('1-DATA'!$1:$1048576,IF(OR($B721="STD. DEVIATION",$C$1=1),$A721,$A721+1),COLUMN('1-DATA'!AT719)),IF($B721="STD. DEVIATION",2,$F$1))))</f>
        <v/>
      </c>
      <c r="AV721" s="1" t="str">
        <f>IF(OR($B721="",AV$7=""),"",IF($B721="MEANS",INDEX('1-DATA'!$1:$1048576,$A720-1,COLUMN('1-DATA'!AU719)),ROUND(INDEX('1-DATA'!$1:$1048576,IF(OR($B721="STD. DEVIATION",$C$1=1),$A721,$A721+1),COLUMN('1-DATA'!AU719)),IF($B721="STD. DEVIATION",2,$F$1))))</f>
        <v/>
      </c>
      <c r="AW721" s="1" t="str">
        <f>IF(OR($B721="",AW$7=""),"",IF($B721="MEANS",INDEX('1-DATA'!$1:$1048576,$A720-1,COLUMN('1-DATA'!AV719)),ROUND(INDEX('1-DATA'!$1:$1048576,IF(OR($B721="STD. DEVIATION",$C$1=1),$A721,$A721+1),COLUMN('1-DATA'!AV719)),IF($B721="STD. DEVIATION",2,$F$1))))</f>
        <v/>
      </c>
      <c r="AX721" s="1" t="str">
        <f>IF(OR($B721="",AX$7=""),"",IF($B721="MEANS",INDEX('1-DATA'!$1:$1048576,$A720-1,COLUMN('1-DATA'!AW719)),ROUND(INDEX('1-DATA'!$1:$1048576,IF(OR($B721="STD. DEVIATION",$C$1=1),$A721,$A721+1),COLUMN('1-DATA'!AW719)),IF($B721="STD. DEVIATION",2,$F$1))))</f>
        <v/>
      </c>
      <c r="AY721" s="1" t="str">
        <f>IF(OR($B721="",AY$7=""),"",IF($B721="MEANS",INDEX('1-DATA'!$1:$1048576,$A720-1,COLUMN('1-DATA'!AX719)),ROUND(INDEX('1-DATA'!$1:$1048576,IF(OR($B721="STD. DEVIATION",$C$1=1),$A721,$A721+1),COLUMN('1-DATA'!AX719)),IF($B721="STD. DEVIATION",2,$F$1))))</f>
        <v/>
      </c>
      <c r="AZ721" s="1" t="str">
        <f>IF(OR($B721="",AZ$7=""),"",IF($B721="MEANS",INDEX('1-DATA'!$1:$1048576,$A720-1,COLUMN('1-DATA'!AY719)),ROUND(INDEX('1-DATA'!$1:$1048576,IF(OR($B721="STD. DEVIATION",$C$1=1),$A721,$A721+1),COLUMN('1-DATA'!AY719)),IF($B721="STD. DEVIATION",2,$F$1))))</f>
        <v/>
      </c>
    </row>
    <row r="722" spans="1:52" x14ac:dyDescent="0.25">
      <c r="A722" s="11">
        <f t="shared" si="11"/>
        <v>2152</v>
      </c>
      <c r="B722" s="1" t="str">
        <f>IF(B721="STD. DEVIATION",INDEX('1-DATA'!$1:$1048576,$A721-1,1),IF(INDEX('1-DATA'!$1:$1048576,$A722,1)&lt;&gt;"",INDEX('1-DATA'!$1:$1048576,$A722,1),""))</f>
        <v/>
      </c>
      <c r="C722" s="1" t="str">
        <f>IF(OR($B722="",C$7=""),"",IF($B722="MEANS",INDEX('1-DATA'!$1:$1048576,$A721-1,COLUMN('1-DATA'!B720)),ROUND(INDEX('1-DATA'!$1:$1048576,IF(OR($B722="STD. DEVIATION",$C$1=1),$A722,$A722+1),COLUMN('1-DATA'!B720)),IF($B722="STD. DEVIATION",2,$F$1))))</f>
        <v/>
      </c>
      <c r="D722" s="1" t="str">
        <f>IF(OR($B722="",D$7=""),"",IF($B722="MEANS",INDEX('1-DATA'!$1:$1048576,$A721-1,COLUMN('1-DATA'!C720)),ROUND(INDEX('1-DATA'!$1:$1048576,IF(OR($B722="STD. DEVIATION",$C$1=1),$A722,$A722+1),COLUMN('1-DATA'!C720)),IF($B722="STD. DEVIATION",2,$F$1))))</f>
        <v/>
      </c>
      <c r="E722" s="1" t="str">
        <f>IF(OR($B722="",E$7=""),"",IF($B722="MEANS",INDEX('1-DATA'!$1:$1048576,$A721-1,COLUMN('1-DATA'!D720)),ROUND(INDEX('1-DATA'!$1:$1048576,IF(OR($B722="STD. DEVIATION",$C$1=1),$A722,$A722+1),COLUMN('1-DATA'!D720)),IF($B722="STD. DEVIATION",2,$F$1))))</f>
        <v/>
      </c>
      <c r="F722" s="1" t="str">
        <f>IF(OR($B722="",F$7=""),"",IF($B722="MEANS",INDEX('1-DATA'!$1:$1048576,$A721-1,COLUMN('1-DATA'!E720)),ROUND(INDEX('1-DATA'!$1:$1048576,IF(OR($B722="STD. DEVIATION",$C$1=1),$A722,$A722+1),COLUMN('1-DATA'!E720)),IF($B722="STD. DEVIATION",2,$F$1))))</f>
        <v/>
      </c>
      <c r="G722" s="1" t="str">
        <f>IF(OR($B722="",G$7=""),"",IF($B722="MEANS",INDEX('1-DATA'!$1:$1048576,$A721-1,COLUMN('1-DATA'!F720)),ROUND(INDEX('1-DATA'!$1:$1048576,IF(OR($B722="STD. DEVIATION",$C$1=1),$A722,$A722+1),COLUMN('1-DATA'!F720)),IF($B722="STD. DEVIATION",2,$F$1))))</f>
        <v/>
      </c>
      <c r="H722" s="1" t="str">
        <f>IF(OR($B722="",H$7=""),"",IF($B722="MEANS",INDEX('1-DATA'!$1:$1048576,$A721-1,COLUMN('1-DATA'!G720)),ROUND(INDEX('1-DATA'!$1:$1048576,IF(OR($B722="STD. DEVIATION",$C$1=1),$A722,$A722+1),COLUMN('1-DATA'!G720)),IF($B722="STD. DEVIATION",2,$F$1))))</f>
        <v/>
      </c>
      <c r="I722" s="1" t="str">
        <f>IF(OR($B722="",I$7=""),"",IF($B722="MEANS",INDEX('1-DATA'!$1:$1048576,$A721-1,COLUMN('1-DATA'!H720)),ROUND(INDEX('1-DATA'!$1:$1048576,IF(OR($B722="STD. DEVIATION",$C$1=1),$A722,$A722+1),COLUMN('1-DATA'!H720)),IF($B722="STD. DEVIATION",2,$F$1))))</f>
        <v/>
      </c>
      <c r="J722" s="1" t="str">
        <f>IF(OR($B722="",J$7=""),"",IF($B722="MEANS",INDEX('1-DATA'!$1:$1048576,$A721-1,COLUMN('1-DATA'!I720)),ROUND(INDEX('1-DATA'!$1:$1048576,IF(OR($B722="STD. DEVIATION",$C$1=1),$A722,$A722+1),COLUMN('1-DATA'!I720)),IF($B722="STD. DEVIATION",2,$F$1))))</f>
        <v/>
      </c>
      <c r="K722" s="1" t="str">
        <f>IF(OR($B722="",K$7=""),"",IF($B722="MEANS",INDEX('1-DATA'!$1:$1048576,$A721-1,COLUMN('1-DATA'!J720)),ROUND(INDEX('1-DATA'!$1:$1048576,IF(OR($B722="STD. DEVIATION",$C$1=1),$A722,$A722+1),COLUMN('1-DATA'!J720)),IF($B722="STD. DEVIATION",2,$F$1))))</f>
        <v/>
      </c>
      <c r="L722" s="1" t="str">
        <f>IF(OR($B722="",L$7=""),"",IF($B722="MEANS",INDEX('1-DATA'!$1:$1048576,$A721-1,COLUMN('1-DATA'!K720)),ROUND(INDEX('1-DATA'!$1:$1048576,IF(OR($B722="STD. DEVIATION",$C$1=1),$A722,$A722+1),COLUMN('1-DATA'!K720)),IF($B722="STD. DEVIATION",2,$F$1))))</f>
        <v/>
      </c>
      <c r="M722" s="1" t="str">
        <f>IF(OR($B722="",M$7=""),"",IF($B722="MEANS",INDEX('1-DATA'!$1:$1048576,$A721-1,COLUMN('1-DATA'!L720)),ROUND(INDEX('1-DATA'!$1:$1048576,IF(OR($B722="STD. DEVIATION",$C$1=1),$A722,$A722+1),COLUMN('1-DATA'!L720)),IF($B722="STD. DEVIATION",2,$F$1))))</f>
        <v/>
      </c>
      <c r="N722" s="1" t="str">
        <f>IF(OR($B722="",N$7=""),"",IF($B722="MEANS",INDEX('1-DATA'!$1:$1048576,$A721-1,COLUMN('1-DATA'!M720)),ROUND(INDEX('1-DATA'!$1:$1048576,IF(OR($B722="STD. DEVIATION",$C$1=1),$A722,$A722+1),COLUMN('1-DATA'!M720)),IF($B722="STD. DEVIATION",2,$F$1))))</f>
        <v/>
      </c>
      <c r="O722" s="1" t="str">
        <f>IF(OR($B722="",O$7=""),"",IF($B722="MEANS",INDEX('1-DATA'!$1:$1048576,$A721-1,COLUMN('1-DATA'!N720)),ROUND(INDEX('1-DATA'!$1:$1048576,IF(OR($B722="STD. DEVIATION",$C$1=1),$A722,$A722+1),COLUMN('1-DATA'!N720)),IF($B722="STD. DEVIATION",2,$F$1))))</f>
        <v/>
      </c>
      <c r="P722" s="1" t="str">
        <f>IF(OR($B722="",P$7=""),"",IF($B722="MEANS",INDEX('1-DATA'!$1:$1048576,$A721-1,COLUMN('1-DATA'!O720)),ROUND(INDEX('1-DATA'!$1:$1048576,IF(OR($B722="STD. DEVIATION",$C$1=1),$A722,$A722+1),COLUMN('1-DATA'!O720)),IF($B722="STD. DEVIATION",2,$F$1))))</f>
        <v/>
      </c>
      <c r="Q722" s="1" t="str">
        <f>IF(OR($B722="",Q$7=""),"",IF($B722="MEANS",INDEX('1-DATA'!$1:$1048576,$A721-1,COLUMN('1-DATA'!P720)),ROUND(INDEX('1-DATA'!$1:$1048576,IF(OR($B722="STD. DEVIATION",$C$1=1),$A722,$A722+1),COLUMN('1-DATA'!P720)),IF($B722="STD. DEVIATION",2,$F$1))))</f>
        <v/>
      </c>
      <c r="R722" s="1" t="str">
        <f>IF(OR($B722="",R$7=""),"",IF($B722="MEANS",INDEX('1-DATA'!$1:$1048576,$A721-1,COLUMN('1-DATA'!Q720)),ROUND(INDEX('1-DATA'!$1:$1048576,IF(OR($B722="STD. DEVIATION",$C$1=1),$A722,$A722+1),COLUMN('1-DATA'!Q720)),IF($B722="STD. DEVIATION",2,$F$1))))</f>
        <v/>
      </c>
      <c r="S722" s="1" t="str">
        <f>IF(OR($B722="",S$7=""),"",IF($B722="MEANS",INDEX('1-DATA'!$1:$1048576,$A721-1,COLUMN('1-DATA'!R720)),ROUND(INDEX('1-DATA'!$1:$1048576,IF(OR($B722="STD. DEVIATION",$C$1=1),$A722,$A722+1),COLUMN('1-DATA'!R720)),IF($B722="STD. DEVIATION",2,$F$1))))</f>
        <v/>
      </c>
      <c r="T722" s="1" t="str">
        <f>IF(OR($B722="",T$7=""),"",IF($B722="MEANS",INDEX('1-DATA'!$1:$1048576,$A721-1,COLUMN('1-DATA'!S720)),ROUND(INDEX('1-DATA'!$1:$1048576,IF(OR($B722="STD. DEVIATION",$C$1=1),$A722,$A722+1),COLUMN('1-DATA'!S720)),IF($B722="STD. DEVIATION",2,$F$1))))</f>
        <v/>
      </c>
      <c r="U722" s="1" t="str">
        <f>IF(OR($B722="",U$7=""),"",IF($B722="MEANS",INDEX('1-DATA'!$1:$1048576,$A721-1,COLUMN('1-DATA'!T720)),ROUND(INDEX('1-DATA'!$1:$1048576,IF(OR($B722="STD. DEVIATION",$C$1=1),$A722,$A722+1),COLUMN('1-DATA'!T720)),IF($B722="STD. DEVIATION",2,$F$1))))</f>
        <v/>
      </c>
      <c r="V722" s="1" t="str">
        <f>IF(OR($B722="",V$7=""),"",IF($B722="MEANS",INDEX('1-DATA'!$1:$1048576,$A721-1,COLUMN('1-DATA'!U720)),ROUND(INDEX('1-DATA'!$1:$1048576,IF(OR($B722="STD. DEVIATION",$C$1=1),$A722,$A722+1),COLUMN('1-DATA'!U720)),IF($B722="STD. DEVIATION",2,$F$1))))</f>
        <v/>
      </c>
      <c r="W722" s="1" t="str">
        <f>IF(OR($B722="",W$7=""),"",IF($B722="MEANS",INDEX('1-DATA'!$1:$1048576,$A721-1,COLUMN('1-DATA'!V720)),ROUND(INDEX('1-DATA'!$1:$1048576,IF(OR($B722="STD. DEVIATION",$C$1=1),$A722,$A722+1),COLUMN('1-DATA'!V720)),IF($B722="STD. DEVIATION",2,$F$1))))</f>
        <v/>
      </c>
      <c r="X722" s="1" t="str">
        <f>IF(OR($B722="",X$7=""),"",IF($B722="MEANS",INDEX('1-DATA'!$1:$1048576,$A721-1,COLUMN('1-DATA'!W720)),ROUND(INDEX('1-DATA'!$1:$1048576,IF(OR($B722="STD. DEVIATION",$C$1=1),$A722,$A722+1),COLUMN('1-DATA'!W720)),IF($B722="STD. DEVIATION",2,$F$1))))</f>
        <v/>
      </c>
      <c r="Y722" s="1" t="str">
        <f>IF(OR($B722="",Y$7=""),"",IF($B722="MEANS",INDEX('1-DATA'!$1:$1048576,$A721-1,COLUMN('1-DATA'!X720)),ROUND(INDEX('1-DATA'!$1:$1048576,IF(OR($B722="STD. DEVIATION",$C$1=1),$A722,$A722+1),COLUMN('1-DATA'!X720)),IF($B722="STD. DEVIATION",2,$F$1))))</f>
        <v/>
      </c>
      <c r="Z722" s="1" t="str">
        <f>IF(OR($B722="",Z$7=""),"",IF($B722="MEANS",INDEX('1-DATA'!$1:$1048576,$A721-1,COLUMN('1-DATA'!Y720)),ROUND(INDEX('1-DATA'!$1:$1048576,IF(OR($B722="STD. DEVIATION",$C$1=1),$A722,$A722+1),COLUMN('1-DATA'!Y720)),IF($B722="STD. DEVIATION",2,$F$1))))</f>
        <v/>
      </c>
      <c r="AA722" s="1" t="str">
        <f>IF(OR($B722="",AA$7=""),"",IF($B722="MEANS",INDEX('1-DATA'!$1:$1048576,$A721-1,COLUMN('1-DATA'!Z720)),ROUND(INDEX('1-DATA'!$1:$1048576,IF(OR($B722="STD. DEVIATION",$C$1=1),$A722,$A722+1),COLUMN('1-DATA'!Z720)),IF($B722="STD. DEVIATION",2,$F$1))))</f>
        <v/>
      </c>
      <c r="AB722" s="1" t="str">
        <f>IF(OR($B722="",AB$7=""),"",IF($B722="MEANS",INDEX('1-DATA'!$1:$1048576,$A721-1,COLUMN('1-DATA'!AA720)),ROUND(INDEX('1-DATA'!$1:$1048576,IF(OR($B722="STD. DEVIATION",$C$1=1),$A722,$A722+1),COLUMN('1-DATA'!AA720)),IF($B722="STD. DEVIATION",2,$F$1))))</f>
        <v/>
      </c>
      <c r="AC722" s="1" t="str">
        <f>IF(OR($B722="",AC$7=""),"",IF($B722="MEANS",INDEX('1-DATA'!$1:$1048576,$A721-1,COLUMN('1-DATA'!AB720)),ROUND(INDEX('1-DATA'!$1:$1048576,IF(OR($B722="STD. DEVIATION",$C$1=1),$A722,$A722+1),COLUMN('1-DATA'!AB720)),IF($B722="STD. DEVIATION",2,$F$1))))</f>
        <v/>
      </c>
      <c r="AD722" s="1" t="str">
        <f>IF(OR($B722="",AD$7=""),"",IF($B722="MEANS",INDEX('1-DATA'!$1:$1048576,$A721-1,COLUMN('1-DATA'!AC720)),ROUND(INDEX('1-DATA'!$1:$1048576,IF(OR($B722="STD. DEVIATION",$C$1=1),$A722,$A722+1),COLUMN('1-DATA'!AC720)),IF($B722="STD. DEVIATION",2,$F$1))))</f>
        <v/>
      </c>
      <c r="AE722" s="1" t="str">
        <f>IF(OR($B722="",AE$7=""),"",IF($B722="MEANS",INDEX('1-DATA'!$1:$1048576,$A721-1,COLUMN('1-DATA'!AD720)),ROUND(INDEX('1-DATA'!$1:$1048576,IF(OR($B722="STD. DEVIATION",$C$1=1),$A722,$A722+1),COLUMN('1-DATA'!AD720)),IF($B722="STD. DEVIATION",2,$F$1))))</f>
        <v/>
      </c>
      <c r="AF722" s="1" t="str">
        <f>IF(OR($B722="",AF$7=""),"",IF($B722="MEANS",INDEX('1-DATA'!$1:$1048576,$A721-1,COLUMN('1-DATA'!AE720)),ROUND(INDEX('1-DATA'!$1:$1048576,IF(OR($B722="STD. DEVIATION",$C$1=1),$A722,$A722+1),COLUMN('1-DATA'!AE720)),IF($B722="STD. DEVIATION",2,$F$1))))</f>
        <v/>
      </c>
      <c r="AG722" s="1" t="str">
        <f>IF(OR($B722="",AG$7=""),"",IF($B722="MEANS",INDEX('1-DATA'!$1:$1048576,$A721-1,COLUMN('1-DATA'!AF720)),ROUND(INDEX('1-DATA'!$1:$1048576,IF(OR($B722="STD. DEVIATION",$C$1=1),$A722,$A722+1),COLUMN('1-DATA'!AF720)),IF($B722="STD. DEVIATION",2,$F$1))))</f>
        <v/>
      </c>
      <c r="AH722" s="1" t="str">
        <f>IF(OR($B722="",AH$7=""),"",IF($B722="MEANS",INDEX('1-DATA'!$1:$1048576,$A721-1,COLUMN('1-DATA'!AG720)),ROUND(INDEX('1-DATA'!$1:$1048576,IF(OR($B722="STD. DEVIATION",$C$1=1),$A722,$A722+1),COLUMN('1-DATA'!AG720)),IF($B722="STD. DEVIATION",2,$F$1))))</f>
        <v/>
      </c>
      <c r="AI722" s="1" t="str">
        <f>IF(OR($B722="",AI$7=""),"",IF($B722="MEANS",INDEX('1-DATA'!$1:$1048576,$A721-1,COLUMN('1-DATA'!AH720)),ROUND(INDEX('1-DATA'!$1:$1048576,IF(OR($B722="STD. DEVIATION",$C$1=1),$A722,$A722+1),COLUMN('1-DATA'!AH720)),IF($B722="STD. DEVIATION",2,$F$1))))</f>
        <v/>
      </c>
      <c r="AJ722" s="1" t="str">
        <f>IF(OR($B722="",AJ$7=""),"",IF($B722="MEANS",INDEX('1-DATA'!$1:$1048576,$A721-1,COLUMN('1-DATA'!AI720)),ROUND(INDEX('1-DATA'!$1:$1048576,IF(OR($B722="STD. DEVIATION",$C$1=1),$A722,$A722+1),COLUMN('1-DATA'!AI720)),IF($B722="STD. DEVIATION",2,$F$1))))</f>
        <v/>
      </c>
      <c r="AK722" s="1" t="str">
        <f>IF(OR($B722="",AK$7=""),"",IF($B722="MEANS",INDEX('1-DATA'!$1:$1048576,$A721-1,COLUMN('1-DATA'!AJ720)),ROUND(INDEX('1-DATA'!$1:$1048576,IF(OR($B722="STD. DEVIATION",$C$1=1),$A722,$A722+1),COLUMN('1-DATA'!AJ720)),IF($B722="STD. DEVIATION",2,$F$1))))</f>
        <v/>
      </c>
      <c r="AL722" s="1" t="str">
        <f>IF(OR($B722="",AL$7=""),"",IF($B722="MEANS",INDEX('1-DATA'!$1:$1048576,$A721-1,COLUMN('1-DATA'!AK720)),ROUND(INDEX('1-DATA'!$1:$1048576,IF(OR($B722="STD. DEVIATION",$C$1=1),$A722,$A722+1),COLUMN('1-DATA'!AK720)),IF($B722="STD. DEVIATION",2,$F$1))))</f>
        <v/>
      </c>
      <c r="AM722" s="1" t="str">
        <f>IF(OR($B722="",AM$7=""),"",IF($B722="MEANS",INDEX('1-DATA'!$1:$1048576,$A721-1,COLUMN('1-DATA'!AL720)),ROUND(INDEX('1-DATA'!$1:$1048576,IF(OR($B722="STD. DEVIATION",$C$1=1),$A722,$A722+1),COLUMN('1-DATA'!AL720)),IF($B722="STD. DEVIATION",2,$F$1))))</f>
        <v/>
      </c>
      <c r="AN722" s="1" t="str">
        <f>IF(OR($B722="",AN$7=""),"",IF($B722="MEANS",INDEX('1-DATA'!$1:$1048576,$A721-1,COLUMN('1-DATA'!AM720)),ROUND(INDEX('1-DATA'!$1:$1048576,IF(OR($B722="STD. DEVIATION",$C$1=1),$A722,$A722+1),COLUMN('1-DATA'!AM720)),IF($B722="STD. DEVIATION",2,$F$1))))</f>
        <v/>
      </c>
      <c r="AO722" s="1" t="str">
        <f>IF(OR($B722="",AO$7=""),"",IF($B722="MEANS",INDEX('1-DATA'!$1:$1048576,$A721-1,COLUMN('1-DATA'!AN720)),ROUND(INDEX('1-DATA'!$1:$1048576,IF(OR($B722="STD. DEVIATION",$C$1=1),$A722,$A722+1),COLUMN('1-DATA'!AN720)),IF($B722="STD. DEVIATION",2,$F$1))))</f>
        <v/>
      </c>
      <c r="AP722" s="1" t="str">
        <f>IF(OR($B722="",AP$7=""),"",IF($B722="MEANS",INDEX('1-DATA'!$1:$1048576,$A721-1,COLUMN('1-DATA'!AO720)),ROUND(INDEX('1-DATA'!$1:$1048576,IF(OR($B722="STD. DEVIATION",$C$1=1),$A722,$A722+1),COLUMN('1-DATA'!AO720)),IF($B722="STD. DEVIATION",2,$F$1))))</f>
        <v/>
      </c>
      <c r="AQ722" s="1" t="str">
        <f>IF(OR($B722="",AQ$7=""),"",IF($B722="MEANS",INDEX('1-DATA'!$1:$1048576,$A721-1,COLUMN('1-DATA'!AP720)),ROUND(INDEX('1-DATA'!$1:$1048576,IF(OR($B722="STD. DEVIATION",$C$1=1),$A722,$A722+1),COLUMN('1-DATA'!AP720)),IF($B722="STD. DEVIATION",2,$F$1))))</f>
        <v/>
      </c>
      <c r="AR722" s="1" t="str">
        <f>IF(OR($B722="",AR$7=""),"",IF($B722="MEANS",INDEX('1-DATA'!$1:$1048576,$A721-1,COLUMN('1-DATA'!AQ720)),ROUND(INDEX('1-DATA'!$1:$1048576,IF(OR($B722="STD. DEVIATION",$C$1=1),$A722,$A722+1),COLUMN('1-DATA'!AQ720)),IF($B722="STD. DEVIATION",2,$F$1))))</f>
        <v/>
      </c>
      <c r="AS722" s="1" t="str">
        <f>IF(OR($B722="",AS$7=""),"",IF($B722="MEANS",INDEX('1-DATA'!$1:$1048576,$A721-1,COLUMN('1-DATA'!AR720)),ROUND(INDEX('1-DATA'!$1:$1048576,IF(OR($B722="STD. DEVIATION",$C$1=1),$A722,$A722+1),COLUMN('1-DATA'!AR720)),IF($B722="STD. DEVIATION",2,$F$1))))</f>
        <v/>
      </c>
      <c r="AT722" s="1" t="str">
        <f>IF(OR($B722="",AT$7=""),"",IF($B722="MEANS",INDEX('1-DATA'!$1:$1048576,$A721-1,COLUMN('1-DATA'!AS720)),ROUND(INDEX('1-DATA'!$1:$1048576,IF(OR($B722="STD. DEVIATION",$C$1=1),$A722,$A722+1),COLUMN('1-DATA'!AS720)),IF($B722="STD. DEVIATION",2,$F$1))))</f>
        <v/>
      </c>
      <c r="AU722" s="1" t="str">
        <f>IF(OR($B722="",AU$7=""),"",IF($B722="MEANS",INDEX('1-DATA'!$1:$1048576,$A721-1,COLUMN('1-DATA'!AT720)),ROUND(INDEX('1-DATA'!$1:$1048576,IF(OR($B722="STD. DEVIATION",$C$1=1),$A722,$A722+1),COLUMN('1-DATA'!AT720)),IF($B722="STD. DEVIATION",2,$F$1))))</f>
        <v/>
      </c>
      <c r="AV722" s="1" t="str">
        <f>IF(OR($B722="",AV$7=""),"",IF($B722="MEANS",INDEX('1-DATA'!$1:$1048576,$A721-1,COLUMN('1-DATA'!AU720)),ROUND(INDEX('1-DATA'!$1:$1048576,IF(OR($B722="STD. DEVIATION",$C$1=1),$A722,$A722+1),COLUMN('1-DATA'!AU720)),IF($B722="STD. DEVIATION",2,$F$1))))</f>
        <v/>
      </c>
      <c r="AW722" s="1" t="str">
        <f>IF(OR($B722="",AW$7=""),"",IF($B722="MEANS",INDEX('1-DATA'!$1:$1048576,$A721-1,COLUMN('1-DATA'!AV720)),ROUND(INDEX('1-DATA'!$1:$1048576,IF(OR($B722="STD. DEVIATION",$C$1=1),$A722,$A722+1),COLUMN('1-DATA'!AV720)),IF($B722="STD. DEVIATION",2,$F$1))))</f>
        <v/>
      </c>
      <c r="AX722" s="1" t="str">
        <f>IF(OR($B722="",AX$7=""),"",IF($B722="MEANS",INDEX('1-DATA'!$1:$1048576,$A721-1,COLUMN('1-DATA'!AW720)),ROUND(INDEX('1-DATA'!$1:$1048576,IF(OR($B722="STD. DEVIATION",$C$1=1),$A722,$A722+1),COLUMN('1-DATA'!AW720)),IF($B722="STD. DEVIATION",2,$F$1))))</f>
        <v/>
      </c>
      <c r="AY722" s="1" t="str">
        <f>IF(OR($B722="",AY$7=""),"",IF($B722="MEANS",INDEX('1-DATA'!$1:$1048576,$A721-1,COLUMN('1-DATA'!AX720)),ROUND(INDEX('1-DATA'!$1:$1048576,IF(OR($B722="STD. DEVIATION",$C$1=1),$A722,$A722+1),COLUMN('1-DATA'!AX720)),IF($B722="STD. DEVIATION",2,$F$1))))</f>
        <v/>
      </c>
      <c r="AZ722" s="1" t="str">
        <f>IF(OR($B722="",AZ$7=""),"",IF($B722="MEANS",INDEX('1-DATA'!$1:$1048576,$A721-1,COLUMN('1-DATA'!AY720)),ROUND(INDEX('1-DATA'!$1:$1048576,IF(OR($B722="STD. DEVIATION",$C$1=1),$A722,$A722+1),COLUMN('1-DATA'!AY720)),IF($B722="STD. DEVIATION",2,$F$1))))</f>
        <v/>
      </c>
    </row>
    <row r="723" spans="1:52" x14ac:dyDescent="0.25">
      <c r="A723" s="11">
        <f t="shared" si="11"/>
        <v>2155</v>
      </c>
      <c r="B723" s="1" t="str">
        <f>IF(B722="STD. DEVIATION",INDEX('1-DATA'!$1:$1048576,$A722-1,1),IF(INDEX('1-DATA'!$1:$1048576,$A723,1)&lt;&gt;"",INDEX('1-DATA'!$1:$1048576,$A723,1),""))</f>
        <v/>
      </c>
      <c r="C723" s="1" t="str">
        <f>IF(OR($B723="",C$7=""),"",IF($B723="MEANS",INDEX('1-DATA'!$1:$1048576,$A722-1,COLUMN('1-DATA'!B721)),ROUND(INDEX('1-DATA'!$1:$1048576,IF(OR($B723="STD. DEVIATION",$C$1=1),$A723,$A723+1),COLUMN('1-DATA'!B721)),IF($B723="STD. DEVIATION",2,$F$1))))</f>
        <v/>
      </c>
      <c r="D723" s="1" t="str">
        <f>IF(OR($B723="",D$7=""),"",IF($B723="MEANS",INDEX('1-DATA'!$1:$1048576,$A722-1,COLUMN('1-DATA'!C721)),ROUND(INDEX('1-DATA'!$1:$1048576,IF(OR($B723="STD. DEVIATION",$C$1=1),$A723,$A723+1),COLUMN('1-DATA'!C721)),IF($B723="STD. DEVIATION",2,$F$1))))</f>
        <v/>
      </c>
      <c r="E723" s="1" t="str">
        <f>IF(OR($B723="",E$7=""),"",IF($B723="MEANS",INDEX('1-DATA'!$1:$1048576,$A722-1,COLUMN('1-DATA'!D721)),ROUND(INDEX('1-DATA'!$1:$1048576,IF(OR($B723="STD. DEVIATION",$C$1=1),$A723,$A723+1),COLUMN('1-DATA'!D721)),IF($B723="STD. DEVIATION",2,$F$1))))</f>
        <v/>
      </c>
      <c r="F723" s="1" t="str">
        <f>IF(OR($B723="",F$7=""),"",IF($B723="MEANS",INDEX('1-DATA'!$1:$1048576,$A722-1,COLUMN('1-DATA'!E721)),ROUND(INDEX('1-DATA'!$1:$1048576,IF(OR($B723="STD. DEVIATION",$C$1=1),$A723,$A723+1),COLUMN('1-DATA'!E721)),IF($B723="STD. DEVIATION",2,$F$1))))</f>
        <v/>
      </c>
      <c r="G723" s="1" t="str">
        <f>IF(OR($B723="",G$7=""),"",IF($B723="MEANS",INDEX('1-DATA'!$1:$1048576,$A722-1,COLUMN('1-DATA'!F721)),ROUND(INDEX('1-DATA'!$1:$1048576,IF(OR($B723="STD. DEVIATION",$C$1=1),$A723,$A723+1),COLUMN('1-DATA'!F721)),IF($B723="STD. DEVIATION",2,$F$1))))</f>
        <v/>
      </c>
      <c r="H723" s="1" t="str">
        <f>IF(OR($B723="",H$7=""),"",IF($B723="MEANS",INDEX('1-DATA'!$1:$1048576,$A722-1,COLUMN('1-DATA'!G721)),ROUND(INDEX('1-DATA'!$1:$1048576,IF(OR($B723="STD. DEVIATION",$C$1=1),$A723,$A723+1),COLUMN('1-DATA'!G721)),IF($B723="STD. DEVIATION",2,$F$1))))</f>
        <v/>
      </c>
      <c r="I723" s="1" t="str">
        <f>IF(OR($B723="",I$7=""),"",IF($B723="MEANS",INDEX('1-DATA'!$1:$1048576,$A722-1,COLUMN('1-DATA'!H721)),ROUND(INDEX('1-DATA'!$1:$1048576,IF(OR($B723="STD. DEVIATION",$C$1=1),$A723,$A723+1),COLUMN('1-DATA'!H721)),IF($B723="STD. DEVIATION",2,$F$1))))</f>
        <v/>
      </c>
      <c r="J723" s="1" t="str">
        <f>IF(OR($B723="",J$7=""),"",IF($B723="MEANS",INDEX('1-DATA'!$1:$1048576,$A722-1,COLUMN('1-DATA'!I721)),ROUND(INDEX('1-DATA'!$1:$1048576,IF(OR($B723="STD. DEVIATION",$C$1=1),$A723,$A723+1),COLUMN('1-DATA'!I721)),IF($B723="STD. DEVIATION",2,$F$1))))</f>
        <v/>
      </c>
      <c r="K723" s="1" t="str">
        <f>IF(OR($B723="",K$7=""),"",IF($B723="MEANS",INDEX('1-DATA'!$1:$1048576,$A722-1,COLUMN('1-DATA'!J721)),ROUND(INDEX('1-DATA'!$1:$1048576,IF(OR($B723="STD. DEVIATION",$C$1=1),$A723,$A723+1),COLUMN('1-DATA'!J721)),IF($B723="STD. DEVIATION",2,$F$1))))</f>
        <v/>
      </c>
      <c r="L723" s="1" t="str">
        <f>IF(OR($B723="",L$7=""),"",IF($B723="MEANS",INDEX('1-DATA'!$1:$1048576,$A722-1,COLUMN('1-DATA'!K721)),ROUND(INDEX('1-DATA'!$1:$1048576,IF(OR($B723="STD. DEVIATION",$C$1=1),$A723,$A723+1),COLUMN('1-DATA'!K721)),IF($B723="STD. DEVIATION",2,$F$1))))</f>
        <v/>
      </c>
      <c r="M723" s="1" t="str">
        <f>IF(OR($B723="",M$7=""),"",IF($B723="MEANS",INDEX('1-DATA'!$1:$1048576,$A722-1,COLUMN('1-DATA'!L721)),ROUND(INDEX('1-DATA'!$1:$1048576,IF(OR($B723="STD. DEVIATION",$C$1=1),$A723,$A723+1),COLUMN('1-DATA'!L721)),IF($B723="STD. DEVIATION",2,$F$1))))</f>
        <v/>
      </c>
      <c r="N723" s="1" t="str">
        <f>IF(OR($B723="",N$7=""),"",IF($B723="MEANS",INDEX('1-DATA'!$1:$1048576,$A722-1,COLUMN('1-DATA'!M721)),ROUND(INDEX('1-DATA'!$1:$1048576,IF(OR($B723="STD. DEVIATION",$C$1=1),$A723,$A723+1),COLUMN('1-DATA'!M721)),IF($B723="STD. DEVIATION",2,$F$1))))</f>
        <v/>
      </c>
      <c r="O723" s="1" t="str">
        <f>IF(OR($B723="",O$7=""),"",IF($B723="MEANS",INDEX('1-DATA'!$1:$1048576,$A722-1,COLUMN('1-DATA'!N721)),ROUND(INDEX('1-DATA'!$1:$1048576,IF(OR($B723="STD. DEVIATION",$C$1=1),$A723,$A723+1),COLUMN('1-DATA'!N721)),IF($B723="STD. DEVIATION",2,$F$1))))</f>
        <v/>
      </c>
      <c r="P723" s="1" t="str">
        <f>IF(OR($B723="",P$7=""),"",IF($B723="MEANS",INDEX('1-DATA'!$1:$1048576,$A722-1,COLUMN('1-DATA'!O721)),ROUND(INDEX('1-DATA'!$1:$1048576,IF(OR($B723="STD. DEVIATION",$C$1=1),$A723,$A723+1),COLUMN('1-DATA'!O721)),IF($B723="STD. DEVIATION",2,$F$1))))</f>
        <v/>
      </c>
      <c r="Q723" s="1" t="str">
        <f>IF(OR($B723="",Q$7=""),"",IF($B723="MEANS",INDEX('1-DATA'!$1:$1048576,$A722-1,COLUMN('1-DATA'!P721)),ROUND(INDEX('1-DATA'!$1:$1048576,IF(OR($B723="STD. DEVIATION",$C$1=1),$A723,$A723+1),COLUMN('1-DATA'!P721)),IF($B723="STD. DEVIATION",2,$F$1))))</f>
        <v/>
      </c>
      <c r="R723" s="1" t="str">
        <f>IF(OR($B723="",R$7=""),"",IF($B723="MEANS",INDEX('1-DATA'!$1:$1048576,$A722-1,COLUMN('1-DATA'!Q721)),ROUND(INDEX('1-DATA'!$1:$1048576,IF(OR($B723="STD. DEVIATION",$C$1=1),$A723,$A723+1),COLUMN('1-DATA'!Q721)),IF($B723="STD. DEVIATION",2,$F$1))))</f>
        <v/>
      </c>
      <c r="S723" s="1" t="str">
        <f>IF(OR($B723="",S$7=""),"",IF($B723="MEANS",INDEX('1-DATA'!$1:$1048576,$A722-1,COLUMN('1-DATA'!R721)),ROUND(INDEX('1-DATA'!$1:$1048576,IF(OR($B723="STD. DEVIATION",$C$1=1),$A723,$A723+1),COLUMN('1-DATA'!R721)),IF($B723="STD. DEVIATION",2,$F$1))))</f>
        <v/>
      </c>
      <c r="T723" s="1" t="str">
        <f>IF(OR($B723="",T$7=""),"",IF($B723="MEANS",INDEX('1-DATA'!$1:$1048576,$A722-1,COLUMN('1-DATA'!S721)),ROUND(INDEX('1-DATA'!$1:$1048576,IF(OR($B723="STD. DEVIATION",$C$1=1),$A723,$A723+1),COLUMN('1-DATA'!S721)),IF($B723="STD. DEVIATION",2,$F$1))))</f>
        <v/>
      </c>
      <c r="U723" s="1" t="str">
        <f>IF(OR($B723="",U$7=""),"",IF($B723="MEANS",INDEX('1-DATA'!$1:$1048576,$A722-1,COLUMN('1-DATA'!T721)),ROUND(INDEX('1-DATA'!$1:$1048576,IF(OR($B723="STD. DEVIATION",$C$1=1),$A723,$A723+1),COLUMN('1-DATA'!T721)),IF($B723="STD. DEVIATION",2,$F$1))))</f>
        <v/>
      </c>
      <c r="V723" s="1" t="str">
        <f>IF(OR($B723="",V$7=""),"",IF($B723="MEANS",INDEX('1-DATA'!$1:$1048576,$A722-1,COLUMN('1-DATA'!U721)),ROUND(INDEX('1-DATA'!$1:$1048576,IF(OR($B723="STD. DEVIATION",$C$1=1),$A723,$A723+1),COLUMN('1-DATA'!U721)),IF($B723="STD. DEVIATION",2,$F$1))))</f>
        <v/>
      </c>
      <c r="W723" s="1" t="str">
        <f>IF(OR($B723="",W$7=""),"",IF($B723="MEANS",INDEX('1-DATA'!$1:$1048576,$A722-1,COLUMN('1-DATA'!V721)),ROUND(INDEX('1-DATA'!$1:$1048576,IF(OR($B723="STD. DEVIATION",$C$1=1),$A723,$A723+1),COLUMN('1-DATA'!V721)),IF($B723="STD. DEVIATION",2,$F$1))))</f>
        <v/>
      </c>
      <c r="X723" s="1" t="str">
        <f>IF(OR($B723="",X$7=""),"",IF($B723="MEANS",INDEX('1-DATA'!$1:$1048576,$A722-1,COLUMN('1-DATA'!W721)),ROUND(INDEX('1-DATA'!$1:$1048576,IF(OR($B723="STD. DEVIATION",$C$1=1),$A723,$A723+1),COLUMN('1-DATA'!W721)),IF($B723="STD. DEVIATION",2,$F$1))))</f>
        <v/>
      </c>
      <c r="Y723" s="1" t="str">
        <f>IF(OR($B723="",Y$7=""),"",IF($B723="MEANS",INDEX('1-DATA'!$1:$1048576,$A722-1,COLUMN('1-DATA'!X721)),ROUND(INDEX('1-DATA'!$1:$1048576,IF(OR($B723="STD. DEVIATION",$C$1=1),$A723,$A723+1),COLUMN('1-DATA'!X721)),IF($B723="STD. DEVIATION",2,$F$1))))</f>
        <v/>
      </c>
      <c r="Z723" s="1" t="str">
        <f>IF(OR($B723="",Z$7=""),"",IF($B723="MEANS",INDEX('1-DATA'!$1:$1048576,$A722-1,COLUMN('1-DATA'!Y721)),ROUND(INDEX('1-DATA'!$1:$1048576,IF(OR($B723="STD. DEVIATION",$C$1=1),$A723,$A723+1),COLUMN('1-DATA'!Y721)),IF($B723="STD. DEVIATION",2,$F$1))))</f>
        <v/>
      </c>
      <c r="AA723" s="1" t="str">
        <f>IF(OR($B723="",AA$7=""),"",IF($B723="MEANS",INDEX('1-DATA'!$1:$1048576,$A722-1,COLUMN('1-DATA'!Z721)),ROUND(INDEX('1-DATA'!$1:$1048576,IF(OR($B723="STD. DEVIATION",$C$1=1),$A723,$A723+1),COLUMN('1-DATA'!Z721)),IF($B723="STD. DEVIATION",2,$F$1))))</f>
        <v/>
      </c>
      <c r="AB723" s="1" t="str">
        <f>IF(OR($B723="",AB$7=""),"",IF($B723="MEANS",INDEX('1-DATA'!$1:$1048576,$A722-1,COLUMN('1-DATA'!AA721)),ROUND(INDEX('1-DATA'!$1:$1048576,IF(OR($B723="STD. DEVIATION",$C$1=1),$A723,$A723+1),COLUMN('1-DATA'!AA721)),IF($B723="STD. DEVIATION",2,$F$1))))</f>
        <v/>
      </c>
      <c r="AC723" s="1" t="str">
        <f>IF(OR($B723="",AC$7=""),"",IF($B723="MEANS",INDEX('1-DATA'!$1:$1048576,$A722-1,COLUMN('1-DATA'!AB721)),ROUND(INDEX('1-DATA'!$1:$1048576,IF(OR($B723="STD. DEVIATION",$C$1=1),$A723,$A723+1),COLUMN('1-DATA'!AB721)),IF($B723="STD. DEVIATION",2,$F$1))))</f>
        <v/>
      </c>
      <c r="AD723" s="1" t="str">
        <f>IF(OR($B723="",AD$7=""),"",IF($B723="MEANS",INDEX('1-DATA'!$1:$1048576,$A722-1,COLUMN('1-DATA'!AC721)),ROUND(INDEX('1-DATA'!$1:$1048576,IF(OR($B723="STD. DEVIATION",$C$1=1),$A723,$A723+1),COLUMN('1-DATA'!AC721)),IF($B723="STD. DEVIATION",2,$F$1))))</f>
        <v/>
      </c>
      <c r="AE723" s="1" t="str">
        <f>IF(OR($B723="",AE$7=""),"",IF($B723="MEANS",INDEX('1-DATA'!$1:$1048576,$A722-1,COLUMN('1-DATA'!AD721)),ROUND(INDEX('1-DATA'!$1:$1048576,IF(OR($B723="STD. DEVIATION",$C$1=1),$A723,$A723+1),COLUMN('1-DATA'!AD721)),IF($B723="STD. DEVIATION",2,$F$1))))</f>
        <v/>
      </c>
      <c r="AF723" s="1" t="str">
        <f>IF(OR($B723="",AF$7=""),"",IF($B723="MEANS",INDEX('1-DATA'!$1:$1048576,$A722-1,COLUMN('1-DATA'!AE721)),ROUND(INDEX('1-DATA'!$1:$1048576,IF(OR($B723="STD. DEVIATION",$C$1=1),$A723,$A723+1),COLUMN('1-DATA'!AE721)),IF($B723="STD. DEVIATION",2,$F$1))))</f>
        <v/>
      </c>
      <c r="AG723" s="1" t="str">
        <f>IF(OR($B723="",AG$7=""),"",IF($B723="MEANS",INDEX('1-DATA'!$1:$1048576,$A722-1,COLUMN('1-DATA'!AF721)),ROUND(INDEX('1-DATA'!$1:$1048576,IF(OR($B723="STD. DEVIATION",$C$1=1),$A723,$A723+1),COLUMN('1-DATA'!AF721)),IF($B723="STD. DEVIATION",2,$F$1))))</f>
        <v/>
      </c>
      <c r="AH723" s="1" t="str">
        <f>IF(OR($B723="",AH$7=""),"",IF($B723="MEANS",INDEX('1-DATA'!$1:$1048576,$A722-1,COLUMN('1-DATA'!AG721)),ROUND(INDEX('1-DATA'!$1:$1048576,IF(OR($B723="STD. DEVIATION",$C$1=1),$A723,$A723+1),COLUMN('1-DATA'!AG721)),IF($B723="STD. DEVIATION",2,$F$1))))</f>
        <v/>
      </c>
      <c r="AI723" s="1" t="str">
        <f>IF(OR($B723="",AI$7=""),"",IF($B723="MEANS",INDEX('1-DATA'!$1:$1048576,$A722-1,COLUMN('1-DATA'!AH721)),ROUND(INDEX('1-DATA'!$1:$1048576,IF(OR($B723="STD. DEVIATION",$C$1=1),$A723,$A723+1),COLUMN('1-DATA'!AH721)),IF($B723="STD. DEVIATION",2,$F$1))))</f>
        <v/>
      </c>
      <c r="AJ723" s="1" t="str">
        <f>IF(OR($B723="",AJ$7=""),"",IF($B723="MEANS",INDEX('1-DATA'!$1:$1048576,$A722-1,COLUMN('1-DATA'!AI721)),ROUND(INDEX('1-DATA'!$1:$1048576,IF(OR($B723="STD. DEVIATION",$C$1=1),$A723,$A723+1),COLUMN('1-DATA'!AI721)),IF($B723="STD. DEVIATION",2,$F$1))))</f>
        <v/>
      </c>
      <c r="AK723" s="1" t="str">
        <f>IF(OR($B723="",AK$7=""),"",IF($B723="MEANS",INDEX('1-DATA'!$1:$1048576,$A722-1,COLUMN('1-DATA'!AJ721)),ROUND(INDEX('1-DATA'!$1:$1048576,IF(OR($B723="STD. DEVIATION",$C$1=1),$A723,$A723+1),COLUMN('1-DATA'!AJ721)),IF($B723="STD. DEVIATION",2,$F$1))))</f>
        <v/>
      </c>
      <c r="AL723" s="1" t="str">
        <f>IF(OR($B723="",AL$7=""),"",IF($B723="MEANS",INDEX('1-DATA'!$1:$1048576,$A722-1,COLUMN('1-DATA'!AK721)),ROUND(INDEX('1-DATA'!$1:$1048576,IF(OR($B723="STD. DEVIATION",$C$1=1),$A723,$A723+1),COLUMN('1-DATA'!AK721)),IF($B723="STD. DEVIATION",2,$F$1))))</f>
        <v/>
      </c>
      <c r="AM723" s="1" t="str">
        <f>IF(OR($B723="",AM$7=""),"",IF($B723="MEANS",INDEX('1-DATA'!$1:$1048576,$A722-1,COLUMN('1-DATA'!AL721)),ROUND(INDEX('1-DATA'!$1:$1048576,IF(OR($B723="STD. DEVIATION",$C$1=1),$A723,$A723+1),COLUMN('1-DATA'!AL721)),IF($B723="STD. DEVIATION",2,$F$1))))</f>
        <v/>
      </c>
      <c r="AN723" s="1" t="str">
        <f>IF(OR($B723="",AN$7=""),"",IF($B723="MEANS",INDEX('1-DATA'!$1:$1048576,$A722-1,COLUMN('1-DATA'!AM721)),ROUND(INDEX('1-DATA'!$1:$1048576,IF(OR($B723="STD. DEVIATION",$C$1=1),$A723,$A723+1),COLUMN('1-DATA'!AM721)),IF($B723="STD. DEVIATION",2,$F$1))))</f>
        <v/>
      </c>
      <c r="AO723" s="1" t="str">
        <f>IF(OR($B723="",AO$7=""),"",IF($B723="MEANS",INDEX('1-DATA'!$1:$1048576,$A722-1,COLUMN('1-DATA'!AN721)),ROUND(INDEX('1-DATA'!$1:$1048576,IF(OR($B723="STD. DEVIATION",$C$1=1),$A723,$A723+1),COLUMN('1-DATA'!AN721)),IF($B723="STD. DEVIATION",2,$F$1))))</f>
        <v/>
      </c>
      <c r="AP723" s="1" t="str">
        <f>IF(OR($B723="",AP$7=""),"",IF($B723="MEANS",INDEX('1-DATA'!$1:$1048576,$A722-1,COLUMN('1-DATA'!AO721)),ROUND(INDEX('1-DATA'!$1:$1048576,IF(OR($B723="STD. DEVIATION",$C$1=1),$A723,$A723+1),COLUMN('1-DATA'!AO721)),IF($B723="STD. DEVIATION",2,$F$1))))</f>
        <v/>
      </c>
      <c r="AQ723" s="1" t="str">
        <f>IF(OR($B723="",AQ$7=""),"",IF($B723="MEANS",INDEX('1-DATA'!$1:$1048576,$A722-1,COLUMN('1-DATA'!AP721)),ROUND(INDEX('1-DATA'!$1:$1048576,IF(OR($B723="STD. DEVIATION",$C$1=1),$A723,$A723+1),COLUMN('1-DATA'!AP721)),IF($B723="STD. DEVIATION",2,$F$1))))</f>
        <v/>
      </c>
      <c r="AR723" s="1" t="str">
        <f>IF(OR($B723="",AR$7=""),"",IF($B723="MEANS",INDEX('1-DATA'!$1:$1048576,$A722-1,COLUMN('1-DATA'!AQ721)),ROUND(INDEX('1-DATA'!$1:$1048576,IF(OR($B723="STD. DEVIATION",$C$1=1),$A723,$A723+1),COLUMN('1-DATA'!AQ721)),IF($B723="STD. DEVIATION",2,$F$1))))</f>
        <v/>
      </c>
      <c r="AS723" s="1" t="str">
        <f>IF(OR($B723="",AS$7=""),"",IF($B723="MEANS",INDEX('1-DATA'!$1:$1048576,$A722-1,COLUMN('1-DATA'!AR721)),ROUND(INDEX('1-DATA'!$1:$1048576,IF(OR($B723="STD. DEVIATION",$C$1=1),$A723,$A723+1),COLUMN('1-DATA'!AR721)),IF($B723="STD. DEVIATION",2,$F$1))))</f>
        <v/>
      </c>
      <c r="AT723" s="1" t="str">
        <f>IF(OR($B723="",AT$7=""),"",IF($B723="MEANS",INDEX('1-DATA'!$1:$1048576,$A722-1,COLUMN('1-DATA'!AS721)),ROUND(INDEX('1-DATA'!$1:$1048576,IF(OR($B723="STD. DEVIATION",$C$1=1),$A723,$A723+1),COLUMN('1-DATA'!AS721)),IF($B723="STD. DEVIATION",2,$F$1))))</f>
        <v/>
      </c>
      <c r="AU723" s="1" t="str">
        <f>IF(OR($B723="",AU$7=""),"",IF($B723="MEANS",INDEX('1-DATA'!$1:$1048576,$A722-1,COLUMN('1-DATA'!AT721)),ROUND(INDEX('1-DATA'!$1:$1048576,IF(OR($B723="STD. DEVIATION",$C$1=1),$A723,$A723+1),COLUMN('1-DATA'!AT721)),IF($B723="STD. DEVIATION",2,$F$1))))</f>
        <v/>
      </c>
      <c r="AV723" s="1" t="str">
        <f>IF(OR($B723="",AV$7=""),"",IF($B723="MEANS",INDEX('1-DATA'!$1:$1048576,$A722-1,COLUMN('1-DATA'!AU721)),ROUND(INDEX('1-DATA'!$1:$1048576,IF(OR($B723="STD. DEVIATION",$C$1=1),$A723,$A723+1),COLUMN('1-DATA'!AU721)),IF($B723="STD. DEVIATION",2,$F$1))))</f>
        <v/>
      </c>
      <c r="AW723" s="1" t="str">
        <f>IF(OR($B723="",AW$7=""),"",IF($B723="MEANS",INDEX('1-DATA'!$1:$1048576,$A722-1,COLUMN('1-DATA'!AV721)),ROUND(INDEX('1-DATA'!$1:$1048576,IF(OR($B723="STD. DEVIATION",$C$1=1),$A723,$A723+1),COLUMN('1-DATA'!AV721)),IF($B723="STD. DEVIATION",2,$F$1))))</f>
        <v/>
      </c>
      <c r="AX723" s="1" t="str">
        <f>IF(OR($B723="",AX$7=""),"",IF($B723="MEANS",INDEX('1-DATA'!$1:$1048576,$A722-1,COLUMN('1-DATA'!AW721)),ROUND(INDEX('1-DATA'!$1:$1048576,IF(OR($B723="STD. DEVIATION",$C$1=1),$A723,$A723+1),COLUMN('1-DATA'!AW721)),IF($B723="STD. DEVIATION",2,$F$1))))</f>
        <v/>
      </c>
      <c r="AY723" s="1" t="str">
        <f>IF(OR($B723="",AY$7=""),"",IF($B723="MEANS",INDEX('1-DATA'!$1:$1048576,$A722-1,COLUMN('1-DATA'!AX721)),ROUND(INDEX('1-DATA'!$1:$1048576,IF(OR($B723="STD. DEVIATION",$C$1=1),$A723,$A723+1),COLUMN('1-DATA'!AX721)),IF($B723="STD. DEVIATION",2,$F$1))))</f>
        <v/>
      </c>
      <c r="AZ723" s="1" t="str">
        <f>IF(OR($B723="",AZ$7=""),"",IF($B723="MEANS",INDEX('1-DATA'!$1:$1048576,$A722-1,COLUMN('1-DATA'!AY721)),ROUND(INDEX('1-DATA'!$1:$1048576,IF(OR($B723="STD. DEVIATION",$C$1=1),$A723,$A723+1),COLUMN('1-DATA'!AY721)),IF($B723="STD. DEVIATION",2,$F$1))))</f>
        <v/>
      </c>
    </row>
    <row r="724" spans="1:52" x14ac:dyDescent="0.25">
      <c r="A724" s="11">
        <f t="shared" si="11"/>
        <v>2158</v>
      </c>
      <c r="B724" s="1" t="str">
        <f>IF(B723="STD. DEVIATION",INDEX('1-DATA'!$1:$1048576,$A723-1,1),IF(INDEX('1-DATA'!$1:$1048576,$A724,1)&lt;&gt;"",INDEX('1-DATA'!$1:$1048576,$A724,1),""))</f>
        <v/>
      </c>
      <c r="C724" s="1" t="str">
        <f>IF(OR($B724="",C$7=""),"",IF($B724="MEANS",INDEX('1-DATA'!$1:$1048576,$A723-1,COLUMN('1-DATA'!B722)),ROUND(INDEX('1-DATA'!$1:$1048576,IF(OR($B724="STD. DEVIATION",$C$1=1),$A724,$A724+1),COLUMN('1-DATA'!B722)),IF($B724="STD. DEVIATION",2,$F$1))))</f>
        <v/>
      </c>
      <c r="D724" s="1" t="str">
        <f>IF(OR($B724="",D$7=""),"",IF($B724="MEANS",INDEX('1-DATA'!$1:$1048576,$A723-1,COLUMN('1-DATA'!C722)),ROUND(INDEX('1-DATA'!$1:$1048576,IF(OR($B724="STD. DEVIATION",$C$1=1),$A724,$A724+1),COLUMN('1-DATA'!C722)),IF($B724="STD. DEVIATION",2,$F$1))))</f>
        <v/>
      </c>
      <c r="E724" s="1" t="str">
        <f>IF(OR($B724="",E$7=""),"",IF($B724="MEANS",INDEX('1-DATA'!$1:$1048576,$A723-1,COLUMN('1-DATA'!D722)),ROUND(INDEX('1-DATA'!$1:$1048576,IF(OR($B724="STD. DEVIATION",$C$1=1),$A724,$A724+1),COLUMN('1-DATA'!D722)),IF($B724="STD. DEVIATION",2,$F$1))))</f>
        <v/>
      </c>
      <c r="F724" s="1" t="str">
        <f>IF(OR($B724="",F$7=""),"",IF($B724="MEANS",INDEX('1-DATA'!$1:$1048576,$A723-1,COLUMN('1-DATA'!E722)),ROUND(INDEX('1-DATA'!$1:$1048576,IF(OR($B724="STD. DEVIATION",$C$1=1),$A724,$A724+1),COLUMN('1-DATA'!E722)),IF($B724="STD. DEVIATION",2,$F$1))))</f>
        <v/>
      </c>
      <c r="G724" s="1" t="str">
        <f>IF(OR($B724="",G$7=""),"",IF($B724="MEANS",INDEX('1-DATA'!$1:$1048576,$A723-1,COLUMN('1-DATA'!F722)),ROUND(INDEX('1-DATA'!$1:$1048576,IF(OR($B724="STD. DEVIATION",$C$1=1),$A724,$A724+1),COLUMN('1-DATA'!F722)),IF($B724="STD. DEVIATION",2,$F$1))))</f>
        <v/>
      </c>
      <c r="H724" s="1" t="str">
        <f>IF(OR($B724="",H$7=""),"",IF($B724="MEANS",INDEX('1-DATA'!$1:$1048576,$A723-1,COLUMN('1-DATA'!G722)),ROUND(INDEX('1-DATA'!$1:$1048576,IF(OR($B724="STD. DEVIATION",$C$1=1),$A724,$A724+1),COLUMN('1-DATA'!G722)),IF($B724="STD. DEVIATION",2,$F$1))))</f>
        <v/>
      </c>
      <c r="I724" s="1" t="str">
        <f>IF(OR($B724="",I$7=""),"",IF($B724="MEANS",INDEX('1-DATA'!$1:$1048576,$A723-1,COLUMN('1-DATA'!H722)),ROUND(INDEX('1-DATA'!$1:$1048576,IF(OR($B724="STD. DEVIATION",$C$1=1),$A724,$A724+1),COLUMN('1-DATA'!H722)),IF($B724="STD. DEVIATION",2,$F$1))))</f>
        <v/>
      </c>
      <c r="J724" s="1" t="str">
        <f>IF(OR($B724="",J$7=""),"",IF($B724="MEANS",INDEX('1-DATA'!$1:$1048576,$A723-1,COLUMN('1-DATA'!I722)),ROUND(INDEX('1-DATA'!$1:$1048576,IF(OR($B724="STD. DEVIATION",$C$1=1),$A724,$A724+1),COLUMN('1-DATA'!I722)),IF($B724="STD. DEVIATION",2,$F$1))))</f>
        <v/>
      </c>
      <c r="K724" s="1" t="str">
        <f>IF(OR($B724="",K$7=""),"",IF($B724="MEANS",INDEX('1-DATA'!$1:$1048576,$A723-1,COLUMN('1-DATA'!J722)),ROUND(INDEX('1-DATA'!$1:$1048576,IF(OR($B724="STD. DEVIATION",$C$1=1),$A724,$A724+1),COLUMN('1-DATA'!J722)),IF($B724="STD. DEVIATION",2,$F$1))))</f>
        <v/>
      </c>
      <c r="L724" s="1" t="str">
        <f>IF(OR($B724="",L$7=""),"",IF($B724="MEANS",INDEX('1-DATA'!$1:$1048576,$A723-1,COLUMN('1-DATA'!K722)),ROUND(INDEX('1-DATA'!$1:$1048576,IF(OR($B724="STD. DEVIATION",$C$1=1),$A724,$A724+1),COLUMN('1-DATA'!K722)),IF($B724="STD. DEVIATION",2,$F$1))))</f>
        <v/>
      </c>
      <c r="M724" s="1" t="str">
        <f>IF(OR($B724="",M$7=""),"",IF($B724="MEANS",INDEX('1-DATA'!$1:$1048576,$A723-1,COLUMN('1-DATA'!L722)),ROUND(INDEX('1-DATA'!$1:$1048576,IF(OR($B724="STD. DEVIATION",$C$1=1),$A724,$A724+1),COLUMN('1-DATA'!L722)),IF($B724="STD. DEVIATION",2,$F$1))))</f>
        <v/>
      </c>
      <c r="N724" s="1" t="str">
        <f>IF(OR($B724="",N$7=""),"",IF($B724="MEANS",INDEX('1-DATA'!$1:$1048576,$A723-1,COLUMN('1-DATA'!M722)),ROUND(INDEX('1-DATA'!$1:$1048576,IF(OR($B724="STD. DEVIATION",$C$1=1),$A724,$A724+1),COLUMN('1-DATA'!M722)),IF($B724="STD. DEVIATION",2,$F$1))))</f>
        <v/>
      </c>
      <c r="O724" s="1" t="str">
        <f>IF(OR($B724="",O$7=""),"",IF($B724="MEANS",INDEX('1-DATA'!$1:$1048576,$A723-1,COLUMN('1-DATA'!N722)),ROUND(INDEX('1-DATA'!$1:$1048576,IF(OR($B724="STD. DEVIATION",$C$1=1),$A724,$A724+1),COLUMN('1-DATA'!N722)),IF($B724="STD. DEVIATION",2,$F$1))))</f>
        <v/>
      </c>
      <c r="P724" s="1" t="str">
        <f>IF(OR($B724="",P$7=""),"",IF($B724="MEANS",INDEX('1-DATA'!$1:$1048576,$A723-1,COLUMN('1-DATA'!O722)),ROUND(INDEX('1-DATA'!$1:$1048576,IF(OR($B724="STD. DEVIATION",$C$1=1),$A724,$A724+1),COLUMN('1-DATA'!O722)),IF($B724="STD. DEVIATION",2,$F$1))))</f>
        <v/>
      </c>
      <c r="Q724" s="1" t="str">
        <f>IF(OR($B724="",Q$7=""),"",IF($B724="MEANS",INDEX('1-DATA'!$1:$1048576,$A723-1,COLUMN('1-DATA'!P722)),ROUND(INDEX('1-DATA'!$1:$1048576,IF(OR($B724="STD. DEVIATION",$C$1=1),$A724,$A724+1),COLUMN('1-DATA'!P722)),IF($B724="STD. DEVIATION",2,$F$1))))</f>
        <v/>
      </c>
      <c r="R724" s="1" t="str">
        <f>IF(OR($B724="",R$7=""),"",IF($B724="MEANS",INDEX('1-DATA'!$1:$1048576,$A723-1,COLUMN('1-DATA'!Q722)),ROUND(INDEX('1-DATA'!$1:$1048576,IF(OR($B724="STD. DEVIATION",$C$1=1),$A724,$A724+1),COLUMN('1-DATA'!Q722)),IF($B724="STD. DEVIATION",2,$F$1))))</f>
        <v/>
      </c>
      <c r="S724" s="1" t="str">
        <f>IF(OR($B724="",S$7=""),"",IF($B724="MEANS",INDEX('1-DATA'!$1:$1048576,$A723-1,COLUMN('1-DATA'!R722)),ROUND(INDEX('1-DATA'!$1:$1048576,IF(OR($B724="STD. DEVIATION",$C$1=1),$A724,$A724+1),COLUMN('1-DATA'!R722)),IF($B724="STD. DEVIATION",2,$F$1))))</f>
        <v/>
      </c>
      <c r="T724" s="1" t="str">
        <f>IF(OR($B724="",T$7=""),"",IF($B724="MEANS",INDEX('1-DATA'!$1:$1048576,$A723-1,COLUMN('1-DATA'!S722)),ROUND(INDEX('1-DATA'!$1:$1048576,IF(OR($B724="STD. DEVIATION",$C$1=1),$A724,$A724+1),COLUMN('1-DATA'!S722)),IF($B724="STD. DEVIATION",2,$F$1))))</f>
        <v/>
      </c>
      <c r="U724" s="1" t="str">
        <f>IF(OR($B724="",U$7=""),"",IF($B724="MEANS",INDEX('1-DATA'!$1:$1048576,$A723-1,COLUMN('1-DATA'!T722)),ROUND(INDEX('1-DATA'!$1:$1048576,IF(OR($B724="STD. DEVIATION",$C$1=1),$A724,$A724+1),COLUMN('1-DATA'!T722)),IF($B724="STD. DEVIATION",2,$F$1))))</f>
        <v/>
      </c>
      <c r="V724" s="1" t="str">
        <f>IF(OR($B724="",V$7=""),"",IF($B724="MEANS",INDEX('1-DATA'!$1:$1048576,$A723-1,COLUMN('1-DATA'!U722)),ROUND(INDEX('1-DATA'!$1:$1048576,IF(OR($B724="STD. DEVIATION",$C$1=1),$A724,$A724+1),COLUMN('1-DATA'!U722)),IF($B724="STD. DEVIATION",2,$F$1))))</f>
        <v/>
      </c>
      <c r="W724" s="1" t="str">
        <f>IF(OR($B724="",W$7=""),"",IF($B724="MEANS",INDEX('1-DATA'!$1:$1048576,$A723-1,COLUMN('1-DATA'!V722)),ROUND(INDEX('1-DATA'!$1:$1048576,IF(OR($B724="STD. DEVIATION",$C$1=1),$A724,$A724+1),COLUMN('1-DATA'!V722)),IF($B724="STD. DEVIATION",2,$F$1))))</f>
        <v/>
      </c>
      <c r="X724" s="1" t="str">
        <f>IF(OR($B724="",X$7=""),"",IF($B724="MEANS",INDEX('1-DATA'!$1:$1048576,$A723-1,COLUMN('1-DATA'!W722)),ROUND(INDEX('1-DATA'!$1:$1048576,IF(OR($B724="STD. DEVIATION",$C$1=1),$A724,$A724+1),COLUMN('1-DATA'!W722)),IF($B724="STD. DEVIATION",2,$F$1))))</f>
        <v/>
      </c>
      <c r="Y724" s="1" t="str">
        <f>IF(OR($B724="",Y$7=""),"",IF($B724="MEANS",INDEX('1-DATA'!$1:$1048576,$A723-1,COLUMN('1-DATA'!X722)),ROUND(INDEX('1-DATA'!$1:$1048576,IF(OR($B724="STD. DEVIATION",$C$1=1),$A724,$A724+1),COLUMN('1-DATA'!X722)),IF($B724="STD. DEVIATION",2,$F$1))))</f>
        <v/>
      </c>
      <c r="Z724" s="1" t="str">
        <f>IF(OR($B724="",Z$7=""),"",IF($B724="MEANS",INDEX('1-DATA'!$1:$1048576,$A723-1,COLUMN('1-DATA'!Y722)),ROUND(INDEX('1-DATA'!$1:$1048576,IF(OR($B724="STD. DEVIATION",$C$1=1),$A724,$A724+1),COLUMN('1-DATA'!Y722)),IF($B724="STD. DEVIATION",2,$F$1))))</f>
        <v/>
      </c>
      <c r="AA724" s="1" t="str">
        <f>IF(OR($B724="",AA$7=""),"",IF($B724="MEANS",INDEX('1-DATA'!$1:$1048576,$A723-1,COLUMN('1-DATA'!Z722)),ROUND(INDEX('1-DATA'!$1:$1048576,IF(OR($B724="STD. DEVIATION",$C$1=1),$A724,$A724+1),COLUMN('1-DATA'!Z722)),IF($B724="STD. DEVIATION",2,$F$1))))</f>
        <v/>
      </c>
      <c r="AB724" s="1" t="str">
        <f>IF(OR($B724="",AB$7=""),"",IF($B724="MEANS",INDEX('1-DATA'!$1:$1048576,$A723-1,COLUMN('1-DATA'!AA722)),ROUND(INDEX('1-DATA'!$1:$1048576,IF(OR($B724="STD. DEVIATION",$C$1=1),$A724,$A724+1),COLUMN('1-DATA'!AA722)),IF($B724="STD. DEVIATION",2,$F$1))))</f>
        <v/>
      </c>
      <c r="AC724" s="1" t="str">
        <f>IF(OR($B724="",AC$7=""),"",IF($B724="MEANS",INDEX('1-DATA'!$1:$1048576,$A723-1,COLUMN('1-DATA'!AB722)),ROUND(INDEX('1-DATA'!$1:$1048576,IF(OR($B724="STD. DEVIATION",$C$1=1),$A724,$A724+1),COLUMN('1-DATA'!AB722)),IF($B724="STD. DEVIATION",2,$F$1))))</f>
        <v/>
      </c>
      <c r="AD724" s="1" t="str">
        <f>IF(OR($B724="",AD$7=""),"",IF($B724="MEANS",INDEX('1-DATA'!$1:$1048576,$A723-1,COLUMN('1-DATA'!AC722)),ROUND(INDEX('1-DATA'!$1:$1048576,IF(OR($B724="STD. DEVIATION",$C$1=1),$A724,$A724+1),COLUMN('1-DATA'!AC722)),IF($B724="STD. DEVIATION",2,$F$1))))</f>
        <v/>
      </c>
      <c r="AE724" s="1" t="str">
        <f>IF(OR($B724="",AE$7=""),"",IF($B724="MEANS",INDEX('1-DATA'!$1:$1048576,$A723-1,COLUMN('1-DATA'!AD722)),ROUND(INDEX('1-DATA'!$1:$1048576,IF(OR($B724="STD. DEVIATION",$C$1=1),$A724,$A724+1),COLUMN('1-DATA'!AD722)),IF($B724="STD. DEVIATION",2,$F$1))))</f>
        <v/>
      </c>
      <c r="AF724" s="1" t="str">
        <f>IF(OR($B724="",AF$7=""),"",IF($B724="MEANS",INDEX('1-DATA'!$1:$1048576,$A723-1,COLUMN('1-DATA'!AE722)),ROUND(INDEX('1-DATA'!$1:$1048576,IF(OR($B724="STD. DEVIATION",$C$1=1),$A724,$A724+1),COLUMN('1-DATA'!AE722)),IF($B724="STD. DEVIATION",2,$F$1))))</f>
        <v/>
      </c>
      <c r="AG724" s="1" t="str">
        <f>IF(OR($B724="",AG$7=""),"",IF($B724="MEANS",INDEX('1-DATA'!$1:$1048576,$A723-1,COLUMN('1-DATA'!AF722)),ROUND(INDEX('1-DATA'!$1:$1048576,IF(OR($B724="STD. DEVIATION",$C$1=1),$A724,$A724+1),COLUMN('1-DATA'!AF722)),IF($B724="STD. DEVIATION",2,$F$1))))</f>
        <v/>
      </c>
      <c r="AH724" s="1" t="str">
        <f>IF(OR($B724="",AH$7=""),"",IF($B724="MEANS",INDEX('1-DATA'!$1:$1048576,$A723-1,COLUMN('1-DATA'!AG722)),ROUND(INDEX('1-DATA'!$1:$1048576,IF(OR($B724="STD. DEVIATION",$C$1=1),$A724,$A724+1),COLUMN('1-DATA'!AG722)),IF($B724="STD. DEVIATION",2,$F$1))))</f>
        <v/>
      </c>
      <c r="AI724" s="1" t="str">
        <f>IF(OR($B724="",AI$7=""),"",IF($B724="MEANS",INDEX('1-DATA'!$1:$1048576,$A723-1,COLUMN('1-DATA'!AH722)),ROUND(INDEX('1-DATA'!$1:$1048576,IF(OR($B724="STD. DEVIATION",$C$1=1),$A724,$A724+1),COLUMN('1-DATA'!AH722)),IF($B724="STD. DEVIATION",2,$F$1))))</f>
        <v/>
      </c>
      <c r="AJ724" s="1" t="str">
        <f>IF(OR($B724="",AJ$7=""),"",IF($B724="MEANS",INDEX('1-DATA'!$1:$1048576,$A723-1,COLUMN('1-DATA'!AI722)),ROUND(INDEX('1-DATA'!$1:$1048576,IF(OR($B724="STD. DEVIATION",$C$1=1),$A724,$A724+1),COLUMN('1-DATA'!AI722)),IF($B724="STD. DEVIATION",2,$F$1))))</f>
        <v/>
      </c>
      <c r="AK724" s="1" t="str">
        <f>IF(OR($B724="",AK$7=""),"",IF($B724="MEANS",INDEX('1-DATA'!$1:$1048576,$A723-1,COLUMN('1-DATA'!AJ722)),ROUND(INDEX('1-DATA'!$1:$1048576,IF(OR($B724="STD. DEVIATION",$C$1=1),$A724,$A724+1),COLUMN('1-DATA'!AJ722)),IF($B724="STD. DEVIATION",2,$F$1))))</f>
        <v/>
      </c>
      <c r="AL724" s="1" t="str">
        <f>IF(OR($B724="",AL$7=""),"",IF($B724="MEANS",INDEX('1-DATA'!$1:$1048576,$A723-1,COLUMN('1-DATA'!AK722)),ROUND(INDEX('1-DATA'!$1:$1048576,IF(OR($B724="STD. DEVIATION",$C$1=1),$A724,$A724+1),COLUMN('1-DATA'!AK722)),IF($B724="STD. DEVIATION",2,$F$1))))</f>
        <v/>
      </c>
      <c r="AM724" s="1" t="str">
        <f>IF(OR($B724="",AM$7=""),"",IF($B724="MEANS",INDEX('1-DATA'!$1:$1048576,$A723-1,COLUMN('1-DATA'!AL722)),ROUND(INDEX('1-DATA'!$1:$1048576,IF(OR($B724="STD. DEVIATION",$C$1=1),$A724,$A724+1),COLUMN('1-DATA'!AL722)),IF($B724="STD. DEVIATION",2,$F$1))))</f>
        <v/>
      </c>
      <c r="AN724" s="1" t="str">
        <f>IF(OR($B724="",AN$7=""),"",IF($B724="MEANS",INDEX('1-DATA'!$1:$1048576,$A723-1,COLUMN('1-DATA'!AM722)),ROUND(INDEX('1-DATA'!$1:$1048576,IF(OR($B724="STD. DEVIATION",$C$1=1),$A724,$A724+1),COLUMN('1-DATA'!AM722)),IF($B724="STD. DEVIATION",2,$F$1))))</f>
        <v/>
      </c>
      <c r="AO724" s="1" t="str">
        <f>IF(OR($B724="",AO$7=""),"",IF($B724="MEANS",INDEX('1-DATA'!$1:$1048576,$A723-1,COLUMN('1-DATA'!AN722)),ROUND(INDEX('1-DATA'!$1:$1048576,IF(OR($B724="STD. DEVIATION",$C$1=1),$A724,$A724+1),COLUMN('1-DATA'!AN722)),IF($B724="STD. DEVIATION",2,$F$1))))</f>
        <v/>
      </c>
      <c r="AP724" s="1" t="str">
        <f>IF(OR($B724="",AP$7=""),"",IF($B724="MEANS",INDEX('1-DATA'!$1:$1048576,$A723-1,COLUMN('1-DATA'!AO722)),ROUND(INDEX('1-DATA'!$1:$1048576,IF(OR($B724="STD. DEVIATION",$C$1=1),$A724,$A724+1),COLUMN('1-DATA'!AO722)),IF($B724="STD. DEVIATION",2,$F$1))))</f>
        <v/>
      </c>
      <c r="AQ724" s="1" t="str">
        <f>IF(OR($B724="",AQ$7=""),"",IF($B724="MEANS",INDEX('1-DATA'!$1:$1048576,$A723-1,COLUMN('1-DATA'!AP722)),ROUND(INDEX('1-DATA'!$1:$1048576,IF(OR($B724="STD. DEVIATION",$C$1=1),$A724,$A724+1),COLUMN('1-DATA'!AP722)),IF($B724="STD. DEVIATION",2,$F$1))))</f>
        <v/>
      </c>
      <c r="AR724" s="1" t="str">
        <f>IF(OR($B724="",AR$7=""),"",IF($B724="MEANS",INDEX('1-DATA'!$1:$1048576,$A723-1,COLUMN('1-DATA'!AQ722)),ROUND(INDEX('1-DATA'!$1:$1048576,IF(OR($B724="STD. DEVIATION",$C$1=1),$A724,$A724+1),COLUMN('1-DATA'!AQ722)),IF($B724="STD. DEVIATION",2,$F$1))))</f>
        <v/>
      </c>
      <c r="AS724" s="1" t="str">
        <f>IF(OR($B724="",AS$7=""),"",IF($B724="MEANS",INDEX('1-DATA'!$1:$1048576,$A723-1,COLUMN('1-DATA'!AR722)),ROUND(INDEX('1-DATA'!$1:$1048576,IF(OR($B724="STD. DEVIATION",$C$1=1),$A724,$A724+1),COLUMN('1-DATA'!AR722)),IF($B724="STD. DEVIATION",2,$F$1))))</f>
        <v/>
      </c>
      <c r="AT724" s="1" t="str">
        <f>IF(OR($B724="",AT$7=""),"",IF($B724="MEANS",INDEX('1-DATA'!$1:$1048576,$A723-1,COLUMN('1-DATA'!AS722)),ROUND(INDEX('1-DATA'!$1:$1048576,IF(OR($B724="STD. DEVIATION",$C$1=1),$A724,$A724+1),COLUMN('1-DATA'!AS722)),IF($B724="STD. DEVIATION",2,$F$1))))</f>
        <v/>
      </c>
      <c r="AU724" s="1" t="str">
        <f>IF(OR($B724="",AU$7=""),"",IF($B724="MEANS",INDEX('1-DATA'!$1:$1048576,$A723-1,COLUMN('1-DATA'!AT722)),ROUND(INDEX('1-DATA'!$1:$1048576,IF(OR($B724="STD. DEVIATION",$C$1=1),$A724,$A724+1),COLUMN('1-DATA'!AT722)),IF($B724="STD. DEVIATION",2,$F$1))))</f>
        <v/>
      </c>
      <c r="AV724" s="1" t="str">
        <f>IF(OR($B724="",AV$7=""),"",IF($B724="MEANS",INDEX('1-DATA'!$1:$1048576,$A723-1,COLUMN('1-DATA'!AU722)),ROUND(INDEX('1-DATA'!$1:$1048576,IF(OR($B724="STD. DEVIATION",$C$1=1),$A724,$A724+1),COLUMN('1-DATA'!AU722)),IF($B724="STD. DEVIATION",2,$F$1))))</f>
        <v/>
      </c>
      <c r="AW724" s="1" t="str">
        <f>IF(OR($B724="",AW$7=""),"",IF($B724="MEANS",INDEX('1-DATA'!$1:$1048576,$A723-1,COLUMN('1-DATA'!AV722)),ROUND(INDEX('1-DATA'!$1:$1048576,IF(OR($B724="STD. DEVIATION",$C$1=1),$A724,$A724+1),COLUMN('1-DATA'!AV722)),IF($B724="STD. DEVIATION",2,$F$1))))</f>
        <v/>
      </c>
      <c r="AX724" s="1" t="str">
        <f>IF(OR($B724="",AX$7=""),"",IF($B724="MEANS",INDEX('1-DATA'!$1:$1048576,$A723-1,COLUMN('1-DATA'!AW722)),ROUND(INDEX('1-DATA'!$1:$1048576,IF(OR($B724="STD. DEVIATION",$C$1=1),$A724,$A724+1),COLUMN('1-DATA'!AW722)),IF($B724="STD. DEVIATION",2,$F$1))))</f>
        <v/>
      </c>
      <c r="AY724" s="1" t="str">
        <f>IF(OR($B724="",AY$7=""),"",IF($B724="MEANS",INDEX('1-DATA'!$1:$1048576,$A723-1,COLUMN('1-DATA'!AX722)),ROUND(INDEX('1-DATA'!$1:$1048576,IF(OR($B724="STD. DEVIATION",$C$1=1),$A724,$A724+1),COLUMN('1-DATA'!AX722)),IF($B724="STD. DEVIATION",2,$F$1))))</f>
        <v/>
      </c>
      <c r="AZ724" s="1" t="str">
        <f>IF(OR($B724="",AZ$7=""),"",IF($B724="MEANS",INDEX('1-DATA'!$1:$1048576,$A723-1,COLUMN('1-DATA'!AY722)),ROUND(INDEX('1-DATA'!$1:$1048576,IF(OR($B724="STD. DEVIATION",$C$1=1),$A724,$A724+1),COLUMN('1-DATA'!AY722)),IF($B724="STD. DEVIATION",2,$F$1))))</f>
        <v/>
      </c>
    </row>
    <row r="725" spans="1:52" x14ac:dyDescent="0.25">
      <c r="A725" s="11">
        <f t="shared" si="11"/>
        <v>2161</v>
      </c>
      <c r="B725" s="1" t="str">
        <f>IF(B724="STD. DEVIATION",INDEX('1-DATA'!$1:$1048576,$A724-1,1),IF(INDEX('1-DATA'!$1:$1048576,$A725,1)&lt;&gt;"",INDEX('1-DATA'!$1:$1048576,$A725,1),""))</f>
        <v/>
      </c>
      <c r="C725" s="1" t="str">
        <f>IF(OR($B725="",C$7=""),"",IF($B725="MEANS",INDEX('1-DATA'!$1:$1048576,$A724-1,COLUMN('1-DATA'!B723)),ROUND(INDEX('1-DATA'!$1:$1048576,IF(OR($B725="STD. DEVIATION",$C$1=1),$A725,$A725+1),COLUMN('1-DATA'!B723)),IF($B725="STD. DEVIATION",2,$F$1))))</f>
        <v/>
      </c>
      <c r="D725" s="1" t="str">
        <f>IF(OR($B725="",D$7=""),"",IF($B725="MEANS",INDEX('1-DATA'!$1:$1048576,$A724-1,COLUMN('1-DATA'!C723)),ROUND(INDEX('1-DATA'!$1:$1048576,IF(OR($B725="STD. DEVIATION",$C$1=1),$A725,$A725+1),COLUMN('1-DATA'!C723)),IF($B725="STD. DEVIATION",2,$F$1))))</f>
        <v/>
      </c>
      <c r="E725" s="1" t="str">
        <f>IF(OR($B725="",E$7=""),"",IF($B725="MEANS",INDEX('1-DATA'!$1:$1048576,$A724-1,COLUMN('1-DATA'!D723)),ROUND(INDEX('1-DATA'!$1:$1048576,IF(OR($B725="STD. DEVIATION",$C$1=1),$A725,$A725+1),COLUMN('1-DATA'!D723)),IF($B725="STD. DEVIATION",2,$F$1))))</f>
        <v/>
      </c>
      <c r="F725" s="1" t="str">
        <f>IF(OR($B725="",F$7=""),"",IF($B725="MEANS",INDEX('1-DATA'!$1:$1048576,$A724-1,COLUMN('1-DATA'!E723)),ROUND(INDEX('1-DATA'!$1:$1048576,IF(OR($B725="STD. DEVIATION",$C$1=1),$A725,$A725+1),COLUMN('1-DATA'!E723)),IF($B725="STD. DEVIATION",2,$F$1))))</f>
        <v/>
      </c>
      <c r="G725" s="1" t="str">
        <f>IF(OR($B725="",G$7=""),"",IF($B725="MEANS",INDEX('1-DATA'!$1:$1048576,$A724-1,COLUMN('1-DATA'!F723)),ROUND(INDEX('1-DATA'!$1:$1048576,IF(OR($B725="STD. DEVIATION",$C$1=1),$A725,$A725+1),COLUMN('1-DATA'!F723)),IF($B725="STD. DEVIATION",2,$F$1))))</f>
        <v/>
      </c>
      <c r="H725" s="1" t="str">
        <f>IF(OR($B725="",H$7=""),"",IF($B725="MEANS",INDEX('1-DATA'!$1:$1048576,$A724-1,COLUMN('1-DATA'!G723)),ROUND(INDEX('1-DATA'!$1:$1048576,IF(OR($B725="STD. DEVIATION",$C$1=1),$A725,$A725+1),COLUMN('1-DATA'!G723)),IF($B725="STD. DEVIATION",2,$F$1))))</f>
        <v/>
      </c>
      <c r="I725" s="1" t="str">
        <f>IF(OR($B725="",I$7=""),"",IF($B725="MEANS",INDEX('1-DATA'!$1:$1048576,$A724-1,COLUMN('1-DATA'!H723)),ROUND(INDEX('1-DATA'!$1:$1048576,IF(OR($B725="STD. DEVIATION",$C$1=1),$A725,$A725+1),COLUMN('1-DATA'!H723)),IF($B725="STD. DEVIATION",2,$F$1))))</f>
        <v/>
      </c>
      <c r="J725" s="1" t="str">
        <f>IF(OR($B725="",J$7=""),"",IF($B725="MEANS",INDEX('1-DATA'!$1:$1048576,$A724-1,COLUMN('1-DATA'!I723)),ROUND(INDEX('1-DATA'!$1:$1048576,IF(OR($B725="STD. DEVIATION",$C$1=1),$A725,$A725+1),COLUMN('1-DATA'!I723)),IF($B725="STD. DEVIATION",2,$F$1))))</f>
        <v/>
      </c>
      <c r="K725" s="1" t="str">
        <f>IF(OR($B725="",K$7=""),"",IF($B725="MEANS",INDEX('1-DATA'!$1:$1048576,$A724-1,COLUMN('1-DATA'!J723)),ROUND(INDEX('1-DATA'!$1:$1048576,IF(OR($B725="STD. DEVIATION",$C$1=1),$A725,$A725+1),COLUMN('1-DATA'!J723)),IF($B725="STD. DEVIATION",2,$F$1))))</f>
        <v/>
      </c>
      <c r="L725" s="1" t="str">
        <f>IF(OR($B725="",L$7=""),"",IF($B725="MEANS",INDEX('1-DATA'!$1:$1048576,$A724-1,COLUMN('1-DATA'!K723)),ROUND(INDEX('1-DATA'!$1:$1048576,IF(OR($B725="STD. DEVIATION",$C$1=1),$A725,$A725+1),COLUMN('1-DATA'!K723)),IF($B725="STD. DEVIATION",2,$F$1))))</f>
        <v/>
      </c>
      <c r="M725" s="1" t="str">
        <f>IF(OR($B725="",M$7=""),"",IF($B725="MEANS",INDEX('1-DATA'!$1:$1048576,$A724-1,COLUMN('1-DATA'!L723)),ROUND(INDEX('1-DATA'!$1:$1048576,IF(OR($B725="STD. DEVIATION",$C$1=1),$A725,$A725+1),COLUMN('1-DATA'!L723)),IF($B725="STD. DEVIATION",2,$F$1))))</f>
        <v/>
      </c>
      <c r="N725" s="1" t="str">
        <f>IF(OR($B725="",N$7=""),"",IF($B725="MEANS",INDEX('1-DATA'!$1:$1048576,$A724-1,COLUMN('1-DATA'!M723)),ROUND(INDEX('1-DATA'!$1:$1048576,IF(OR($B725="STD. DEVIATION",$C$1=1),$A725,$A725+1),COLUMN('1-DATA'!M723)),IF($B725="STD. DEVIATION",2,$F$1))))</f>
        <v/>
      </c>
      <c r="O725" s="1" t="str">
        <f>IF(OR($B725="",O$7=""),"",IF($B725="MEANS",INDEX('1-DATA'!$1:$1048576,$A724-1,COLUMN('1-DATA'!N723)),ROUND(INDEX('1-DATA'!$1:$1048576,IF(OR($B725="STD. DEVIATION",$C$1=1),$A725,$A725+1),COLUMN('1-DATA'!N723)),IF($B725="STD. DEVIATION",2,$F$1))))</f>
        <v/>
      </c>
      <c r="P725" s="1" t="str">
        <f>IF(OR($B725="",P$7=""),"",IF($B725="MEANS",INDEX('1-DATA'!$1:$1048576,$A724-1,COLUMN('1-DATA'!O723)),ROUND(INDEX('1-DATA'!$1:$1048576,IF(OR($B725="STD. DEVIATION",$C$1=1),$A725,$A725+1),COLUMN('1-DATA'!O723)),IF($B725="STD. DEVIATION",2,$F$1))))</f>
        <v/>
      </c>
      <c r="Q725" s="1" t="str">
        <f>IF(OR($B725="",Q$7=""),"",IF($B725="MEANS",INDEX('1-DATA'!$1:$1048576,$A724-1,COLUMN('1-DATA'!P723)),ROUND(INDEX('1-DATA'!$1:$1048576,IF(OR($B725="STD. DEVIATION",$C$1=1),$A725,$A725+1),COLUMN('1-DATA'!P723)),IF($B725="STD. DEVIATION",2,$F$1))))</f>
        <v/>
      </c>
      <c r="R725" s="1" t="str">
        <f>IF(OR($B725="",R$7=""),"",IF($B725="MEANS",INDEX('1-DATA'!$1:$1048576,$A724-1,COLUMN('1-DATA'!Q723)),ROUND(INDEX('1-DATA'!$1:$1048576,IF(OR($B725="STD. DEVIATION",$C$1=1),$A725,$A725+1),COLUMN('1-DATA'!Q723)),IF($B725="STD. DEVIATION",2,$F$1))))</f>
        <v/>
      </c>
      <c r="S725" s="1" t="str">
        <f>IF(OR($B725="",S$7=""),"",IF($B725="MEANS",INDEX('1-DATA'!$1:$1048576,$A724-1,COLUMN('1-DATA'!R723)),ROUND(INDEX('1-DATA'!$1:$1048576,IF(OR($B725="STD. DEVIATION",$C$1=1),$A725,$A725+1),COLUMN('1-DATA'!R723)),IF($B725="STD. DEVIATION",2,$F$1))))</f>
        <v/>
      </c>
      <c r="T725" s="1" t="str">
        <f>IF(OR($B725="",T$7=""),"",IF($B725="MEANS",INDEX('1-DATA'!$1:$1048576,$A724-1,COLUMN('1-DATA'!S723)),ROUND(INDEX('1-DATA'!$1:$1048576,IF(OR($B725="STD. DEVIATION",$C$1=1),$A725,$A725+1),COLUMN('1-DATA'!S723)),IF($B725="STD. DEVIATION",2,$F$1))))</f>
        <v/>
      </c>
      <c r="U725" s="1" t="str">
        <f>IF(OR($B725="",U$7=""),"",IF($B725="MEANS",INDEX('1-DATA'!$1:$1048576,$A724-1,COLUMN('1-DATA'!T723)),ROUND(INDEX('1-DATA'!$1:$1048576,IF(OR($B725="STD. DEVIATION",$C$1=1),$A725,$A725+1),COLUMN('1-DATA'!T723)),IF($B725="STD. DEVIATION",2,$F$1))))</f>
        <v/>
      </c>
      <c r="V725" s="1" t="str">
        <f>IF(OR($B725="",V$7=""),"",IF($B725="MEANS",INDEX('1-DATA'!$1:$1048576,$A724-1,COLUMN('1-DATA'!U723)),ROUND(INDEX('1-DATA'!$1:$1048576,IF(OR($B725="STD. DEVIATION",$C$1=1),$A725,$A725+1),COLUMN('1-DATA'!U723)),IF($B725="STD. DEVIATION",2,$F$1))))</f>
        <v/>
      </c>
      <c r="W725" s="1" t="str">
        <f>IF(OR($B725="",W$7=""),"",IF($B725="MEANS",INDEX('1-DATA'!$1:$1048576,$A724-1,COLUMN('1-DATA'!V723)),ROUND(INDEX('1-DATA'!$1:$1048576,IF(OR($B725="STD. DEVIATION",$C$1=1),$A725,$A725+1),COLUMN('1-DATA'!V723)),IF($B725="STD. DEVIATION",2,$F$1))))</f>
        <v/>
      </c>
      <c r="X725" s="1" t="str">
        <f>IF(OR($B725="",X$7=""),"",IF($B725="MEANS",INDEX('1-DATA'!$1:$1048576,$A724-1,COLUMN('1-DATA'!W723)),ROUND(INDEX('1-DATA'!$1:$1048576,IF(OR($B725="STD. DEVIATION",$C$1=1),$A725,$A725+1),COLUMN('1-DATA'!W723)),IF($B725="STD. DEVIATION",2,$F$1))))</f>
        <v/>
      </c>
      <c r="Y725" s="1" t="str">
        <f>IF(OR($B725="",Y$7=""),"",IF($B725="MEANS",INDEX('1-DATA'!$1:$1048576,$A724-1,COLUMN('1-DATA'!X723)),ROUND(INDEX('1-DATA'!$1:$1048576,IF(OR($B725="STD. DEVIATION",$C$1=1),$A725,$A725+1),COLUMN('1-DATA'!X723)),IF($B725="STD. DEVIATION",2,$F$1))))</f>
        <v/>
      </c>
      <c r="Z725" s="1" t="str">
        <f>IF(OR($B725="",Z$7=""),"",IF($B725="MEANS",INDEX('1-DATA'!$1:$1048576,$A724-1,COLUMN('1-DATA'!Y723)),ROUND(INDEX('1-DATA'!$1:$1048576,IF(OR($B725="STD. DEVIATION",$C$1=1),$A725,$A725+1),COLUMN('1-DATA'!Y723)),IF($B725="STD. DEVIATION",2,$F$1))))</f>
        <v/>
      </c>
      <c r="AA725" s="1" t="str">
        <f>IF(OR($B725="",AA$7=""),"",IF($B725="MEANS",INDEX('1-DATA'!$1:$1048576,$A724-1,COLUMN('1-DATA'!Z723)),ROUND(INDEX('1-DATA'!$1:$1048576,IF(OR($B725="STD. DEVIATION",$C$1=1),$A725,$A725+1),COLUMN('1-DATA'!Z723)),IF($B725="STD. DEVIATION",2,$F$1))))</f>
        <v/>
      </c>
      <c r="AB725" s="1" t="str">
        <f>IF(OR($B725="",AB$7=""),"",IF($B725="MEANS",INDEX('1-DATA'!$1:$1048576,$A724-1,COLUMN('1-DATA'!AA723)),ROUND(INDEX('1-DATA'!$1:$1048576,IF(OR($B725="STD. DEVIATION",$C$1=1),$A725,$A725+1),COLUMN('1-DATA'!AA723)),IF($B725="STD. DEVIATION",2,$F$1))))</f>
        <v/>
      </c>
      <c r="AC725" s="1" t="str">
        <f>IF(OR($B725="",AC$7=""),"",IF($B725="MEANS",INDEX('1-DATA'!$1:$1048576,$A724-1,COLUMN('1-DATA'!AB723)),ROUND(INDEX('1-DATA'!$1:$1048576,IF(OR($B725="STD. DEVIATION",$C$1=1),$A725,$A725+1),COLUMN('1-DATA'!AB723)),IF($B725="STD. DEVIATION",2,$F$1))))</f>
        <v/>
      </c>
      <c r="AD725" s="1" t="str">
        <f>IF(OR($B725="",AD$7=""),"",IF($B725="MEANS",INDEX('1-DATA'!$1:$1048576,$A724-1,COLUMN('1-DATA'!AC723)),ROUND(INDEX('1-DATA'!$1:$1048576,IF(OR($B725="STD. DEVIATION",$C$1=1),$A725,$A725+1),COLUMN('1-DATA'!AC723)),IF($B725="STD. DEVIATION",2,$F$1))))</f>
        <v/>
      </c>
      <c r="AE725" s="1" t="str">
        <f>IF(OR($B725="",AE$7=""),"",IF($B725="MEANS",INDEX('1-DATA'!$1:$1048576,$A724-1,COLUMN('1-DATA'!AD723)),ROUND(INDEX('1-DATA'!$1:$1048576,IF(OR($B725="STD. DEVIATION",$C$1=1),$A725,$A725+1),COLUMN('1-DATA'!AD723)),IF($B725="STD. DEVIATION",2,$F$1))))</f>
        <v/>
      </c>
      <c r="AF725" s="1" t="str">
        <f>IF(OR($B725="",AF$7=""),"",IF($B725="MEANS",INDEX('1-DATA'!$1:$1048576,$A724-1,COLUMN('1-DATA'!AE723)),ROUND(INDEX('1-DATA'!$1:$1048576,IF(OR($B725="STD. DEVIATION",$C$1=1),$A725,$A725+1),COLUMN('1-DATA'!AE723)),IF($B725="STD. DEVIATION",2,$F$1))))</f>
        <v/>
      </c>
      <c r="AG725" s="1" t="str">
        <f>IF(OR($B725="",AG$7=""),"",IF($B725="MEANS",INDEX('1-DATA'!$1:$1048576,$A724-1,COLUMN('1-DATA'!AF723)),ROUND(INDEX('1-DATA'!$1:$1048576,IF(OR($B725="STD. DEVIATION",$C$1=1),$A725,$A725+1),COLUMN('1-DATA'!AF723)),IF($B725="STD. DEVIATION",2,$F$1))))</f>
        <v/>
      </c>
      <c r="AH725" s="1" t="str">
        <f>IF(OR($B725="",AH$7=""),"",IF($B725="MEANS",INDEX('1-DATA'!$1:$1048576,$A724-1,COLUMN('1-DATA'!AG723)),ROUND(INDEX('1-DATA'!$1:$1048576,IF(OR($B725="STD. DEVIATION",$C$1=1),$A725,$A725+1),COLUMN('1-DATA'!AG723)),IF($B725="STD. DEVIATION",2,$F$1))))</f>
        <v/>
      </c>
      <c r="AI725" s="1" t="str">
        <f>IF(OR($B725="",AI$7=""),"",IF($B725="MEANS",INDEX('1-DATA'!$1:$1048576,$A724-1,COLUMN('1-DATA'!AH723)),ROUND(INDEX('1-DATA'!$1:$1048576,IF(OR($B725="STD. DEVIATION",$C$1=1),$A725,$A725+1),COLUMN('1-DATA'!AH723)),IF($B725="STD. DEVIATION",2,$F$1))))</f>
        <v/>
      </c>
      <c r="AJ725" s="1" t="str">
        <f>IF(OR($B725="",AJ$7=""),"",IF($B725="MEANS",INDEX('1-DATA'!$1:$1048576,$A724-1,COLUMN('1-DATA'!AI723)),ROUND(INDEX('1-DATA'!$1:$1048576,IF(OR($B725="STD. DEVIATION",$C$1=1),$A725,$A725+1),COLUMN('1-DATA'!AI723)),IF($B725="STD. DEVIATION",2,$F$1))))</f>
        <v/>
      </c>
      <c r="AK725" s="1" t="str">
        <f>IF(OR($B725="",AK$7=""),"",IF($B725="MEANS",INDEX('1-DATA'!$1:$1048576,$A724-1,COLUMN('1-DATA'!AJ723)),ROUND(INDEX('1-DATA'!$1:$1048576,IF(OR($B725="STD. DEVIATION",$C$1=1),$A725,$A725+1),COLUMN('1-DATA'!AJ723)),IF($B725="STD. DEVIATION",2,$F$1))))</f>
        <v/>
      </c>
      <c r="AL725" s="1" t="str">
        <f>IF(OR($B725="",AL$7=""),"",IF($B725="MEANS",INDEX('1-DATA'!$1:$1048576,$A724-1,COLUMN('1-DATA'!AK723)),ROUND(INDEX('1-DATA'!$1:$1048576,IF(OR($B725="STD. DEVIATION",$C$1=1),$A725,$A725+1),COLUMN('1-DATA'!AK723)),IF($B725="STD. DEVIATION",2,$F$1))))</f>
        <v/>
      </c>
      <c r="AM725" s="1" t="str">
        <f>IF(OR($B725="",AM$7=""),"",IF($B725="MEANS",INDEX('1-DATA'!$1:$1048576,$A724-1,COLUMN('1-DATA'!AL723)),ROUND(INDEX('1-DATA'!$1:$1048576,IF(OR($B725="STD. DEVIATION",$C$1=1),$A725,$A725+1),COLUMN('1-DATA'!AL723)),IF($B725="STD. DEVIATION",2,$F$1))))</f>
        <v/>
      </c>
      <c r="AN725" s="1" t="str">
        <f>IF(OR($B725="",AN$7=""),"",IF($B725="MEANS",INDEX('1-DATA'!$1:$1048576,$A724-1,COLUMN('1-DATA'!AM723)),ROUND(INDEX('1-DATA'!$1:$1048576,IF(OR($B725="STD. DEVIATION",$C$1=1),$A725,$A725+1),COLUMN('1-DATA'!AM723)),IF($B725="STD. DEVIATION",2,$F$1))))</f>
        <v/>
      </c>
      <c r="AO725" s="1" t="str">
        <f>IF(OR($B725="",AO$7=""),"",IF($B725="MEANS",INDEX('1-DATA'!$1:$1048576,$A724-1,COLUMN('1-DATA'!AN723)),ROUND(INDEX('1-DATA'!$1:$1048576,IF(OR($B725="STD. DEVIATION",$C$1=1),$A725,$A725+1),COLUMN('1-DATA'!AN723)),IF($B725="STD. DEVIATION",2,$F$1))))</f>
        <v/>
      </c>
      <c r="AP725" s="1" t="str">
        <f>IF(OR($B725="",AP$7=""),"",IF($B725="MEANS",INDEX('1-DATA'!$1:$1048576,$A724-1,COLUMN('1-DATA'!AO723)),ROUND(INDEX('1-DATA'!$1:$1048576,IF(OR($B725="STD. DEVIATION",$C$1=1),$A725,$A725+1),COLUMN('1-DATA'!AO723)),IF($B725="STD. DEVIATION",2,$F$1))))</f>
        <v/>
      </c>
      <c r="AQ725" s="1" t="str">
        <f>IF(OR($B725="",AQ$7=""),"",IF($B725="MEANS",INDEX('1-DATA'!$1:$1048576,$A724-1,COLUMN('1-DATA'!AP723)),ROUND(INDEX('1-DATA'!$1:$1048576,IF(OR($B725="STD. DEVIATION",$C$1=1),$A725,$A725+1),COLUMN('1-DATA'!AP723)),IF($B725="STD. DEVIATION",2,$F$1))))</f>
        <v/>
      </c>
      <c r="AR725" s="1" t="str">
        <f>IF(OR($B725="",AR$7=""),"",IF($B725="MEANS",INDEX('1-DATA'!$1:$1048576,$A724-1,COLUMN('1-DATA'!AQ723)),ROUND(INDEX('1-DATA'!$1:$1048576,IF(OR($B725="STD. DEVIATION",$C$1=1),$A725,$A725+1),COLUMN('1-DATA'!AQ723)),IF($B725="STD. DEVIATION",2,$F$1))))</f>
        <v/>
      </c>
      <c r="AS725" s="1" t="str">
        <f>IF(OR($B725="",AS$7=""),"",IF($B725="MEANS",INDEX('1-DATA'!$1:$1048576,$A724-1,COLUMN('1-DATA'!AR723)),ROUND(INDEX('1-DATA'!$1:$1048576,IF(OR($B725="STD. DEVIATION",$C$1=1),$A725,$A725+1),COLUMN('1-DATA'!AR723)),IF($B725="STD. DEVIATION",2,$F$1))))</f>
        <v/>
      </c>
      <c r="AT725" s="1" t="str">
        <f>IF(OR($B725="",AT$7=""),"",IF($B725="MEANS",INDEX('1-DATA'!$1:$1048576,$A724-1,COLUMN('1-DATA'!AS723)),ROUND(INDEX('1-DATA'!$1:$1048576,IF(OR($B725="STD. DEVIATION",$C$1=1),$A725,$A725+1),COLUMN('1-DATA'!AS723)),IF($B725="STD. DEVIATION",2,$F$1))))</f>
        <v/>
      </c>
      <c r="AU725" s="1" t="str">
        <f>IF(OR($B725="",AU$7=""),"",IF($B725="MEANS",INDEX('1-DATA'!$1:$1048576,$A724-1,COLUMN('1-DATA'!AT723)),ROUND(INDEX('1-DATA'!$1:$1048576,IF(OR($B725="STD. DEVIATION",$C$1=1),$A725,$A725+1),COLUMN('1-DATA'!AT723)),IF($B725="STD. DEVIATION",2,$F$1))))</f>
        <v/>
      </c>
      <c r="AV725" s="1" t="str">
        <f>IF(OR($B725="",AV$7=""),"",IF($B725="MEANS",INDEX('1-DATA'!$1:$1048576,$A724-1,COLUMN('1-DATA'!AU723)),ROUND(INDEX('1-DATA'!$1:$1048576,IF(OR($B725="STD. DEVIATION",$C$1=1),$A725,$A725+1),COLUMN('1-DATA'!AU723)),IF($B725="STD. DEVIATION",2,$F$1))))</f>
        <v/>
      </c>
      <c r="AW725" s="1" t="str">
        <f>IF(OR($B725="",AW$7=""),"",IF($B725="MEANS",INDEX('1-DATA'!$1:$1048576,$A724-1,COLUMN('1-DATA'!AV723)),ROUND(INDEX('1-DATA'!$1:$1048576,IF(OR($B725="STD. DEVIATION",$C$1=1),$A725,$A725+1),COLUMN('1-DATA'!AV723)),IF($B725="STD. DEVIATION",2,$F$1))))</f>
        <v/>
      </c>
      <c r="AX725" s="1" t="str">
        <f>IF(OR($B725="",AX$7=""),"",IF($B725="MEANS",INDEX('1-DATA'!$1:$1048576,$A724-1,COLUMN('1-DATA'!AW723)),ROUND(INDEX('1-DATA'!$1:$1048576,IF(OR($B725="STD. DEVIATION",$C$1=1),$A725,$A725+1),COLUMN('1-DATA'!AW723)),IF($B725="STD. DEVIATION",2,$F$1))))</f>
        <v/>
      </c>
      <c r="AY725" s="1" t="str">
        <f>IF(OR($B725="",AY$7=""),"",IF($B725="MEANS",INDEX('1-DATA'!$1:$1048576,$A724-1,COLUMN('1-DATA'!AX723)),ROUND(INDEX('1-DATA'!$1:$1048576,IF(OR($B725="STD. DEVIATION",$C$1=1),$A725,$A725+1),COLUMN('1-DATA'!AX723)),IF($B725="STD. DEVIATION",2,$F$1))))</f>
        <v/>
      </c>
      <c r="AZ725" s="1" t="str">
        <f>IF(OR($B725="",AZ$7=""),"",IF($B725="MEANS",INDEX('1-DATA'!$1:$1048576,$A724-1,COLUMN('1-DATA'!AY723)),ROUND(INDEX('1-DATA'!$1:$1048576,IF(OR($B725="STD. DEVIATION",$C$1=1),$A725,$A725+1),COLUMN('1-DATA'!AY723)),IF($B725="STD. DEVIATION",2,$F$1))))</f>
        <v/>
      </c>
    </row>
    <row r="726" spans="1:52" x14ac:dyDescent="0.25">
      <c r="A726" s="11">
        <f t="shared" si="11"/>
        <v>2164</v>
      </c>
      <c r="B726" s="1" t="str">
        <f>IF(B725="STD. DEVIATION",INDEX('1-DATA'!$1:$1048576,$A725-1,1),IF(INDEX('1-DATA'!$1:$1048576,$A726,1)&lt;&gt;"",INDEX('1-DATA'!$1:$1048576,$A726,1),""))</f>
        <v/>
      </c>
      <c r="C726" s="1" t="str">
        <f>IF(OR($B726="",C$7=""),"",IF($B726="MEANS",INDEX('1-DATA'!$1:$1048576,$A725-1,COLUMN('1-DATA'!B724)),ROUND(INDEX('1-DATA'!$1:$1048576,IF(OR($B726="STD. DEVIATION",$C$1=1),$A726,$A726+1),COLUMN('1-DATA'!B724)),IF($B726="STD. DEVIATION",2,$F$1))))</f>
        <v/>
      </c>
      <c r="D726" s="1" t="str">
        <f>IF(OR($B726="",D$7=""),"",IF($B726="MEANS",INDEX('1-DATA'!$1:$1048576,$A725-1,COLUMN('1-DATA'!C724)),ROUND(INDEX('1-DATA'!$1:$1048576,IF(OR($B726="STD. DEVIATION",$C$1=1),$A726,$A726+1),COLUMN('1-DATA'!C724)),IF($B726="STD. DEVIATION",2,$F$1))))</f>
        <v/>
      </c>
      <c r="E726" s="1" t="str">
        <f>IF(OR($B726="",E$7=""),"",IF($B726="MEANS",INDEX('1-DATA'!$1:$1048576,$A725-1,COLUMN('1-DATA'!D724)),ROUND(INDEX('1-DATA'!$1:$1048576,IF(OR($B726="STD. DEVIATION",$C$1=1),$A726,$A726+1),COLUMN('1-DATA'!D724)),IF($B726="STD. DEVIATION",2,$F$1))))</f>
        <v/>
      </c>
      <c r="F726" s="1" t="str">
        <f>IF(OR($B726="",F$7=""),"",IF($B726="MEANS",INDEX('1-DATA'!$1:$1048576,$A725-1,COLUMN('1-DATA'!E724)),ROUND(INDEX('1-DATA'!$1:$1048576,IF(OR($B726="STD. DEVIATION",$C$1=1),$A726,$A726+1),COLUMN('1-DATA'!E724)),IF($B726="STD. DEVIATION",2,$F$1))))</f>
        <v/>
      </c>
      <c r="G726" s="1" t="str">
        <f>IF(OR($B726="",G$7=""),"",IF($B726="MEANS",INDEX('1-DATA'!$1:$1048576,$A725-1,COLUMN('1-DATA'!F724)),ROUND(INDEX('1-DATA'!$1:$1048576,IF(OR($B726="STD. DEVIATION",$C$1=1),$A726,$A726+1),COLUMN('1-DATA'!F724)),IF($B726="STD. DEVIATION",2,$F$1))))</f>
        <v/>
      </c>
      <c r="H726" s="1" t="str">
        <f>IF(OR($B726="",H$7=""),"",IF($B726="MEANS",INDEX('1-DATA'!$1:$1048576,$A725-1,COLUMN('1-DATA'!G724)),ROUND(INDEX('1-DATA'!$1:$1048576,IF(OR($B726="STD. DEVIATION",$C$1=1),$A726,$A726+1),COLUMN('1-DATA'!G724)),IF($B726="STD. DEVIATION",2,$F$1))))</f>
        <v/>
      </c>
      <c r="I726" s="1" t="str">
        <f>IF(OR($B726="",I$7=""),"",IF($B726="MEANS",INDEX('1-DATA'!$1:$1048576,$A725-1,COLUMN('1-DATA'!H724)),ROUND(INDEX('1-DATA'!$1:$1048576,IF(OR($B726="STD. DEVIATION",$C$1=1),$A726,$A726+1),COLUMN('1-DATA'!H724)),IF($B726="STD. DEVIATION",2,$F$1))))</f>
        <v/>
      </c>
      <c r="J726" s="1" t="str">
        <f>IF(OR($B726="",J$7=""),"",IF($B726="MEANS",INDEX('1-DATA'!$1:$1048576,$A725-1,COLUMN('1-DATA'!I724)),ROUND(INDEX('1-DATA'!$1:$1048576,IF(OR($B726="STD. DEVIATION",$C$1=1),$A726,$A726+1),COLUMN('1-DATA'!I724)),IF($B726="STD. DEVIATION",2,$F$1))))</f>
        <v/>
      </c>
      <c r="K726" s="1" t="str">
        <f>IF(OR($B726="",K$7=""),"",IF($B726="MEANS",INDEX('1-DATA'!$1:$1048576,$A725-1,COLUMN('1-DATA'!J724)),ROUND(INDEX('1-DATA'!$1:$1048576,IF(OR($B726="STD. DEVIATION",$C$1=1),$A726,$A726+1),COLUMN('1-DATA'!J724)),IF($B726="STD. DEVIATION",2,$F$1))))</f>
        <v/>
      </c>
      <c r="L726" s="1" t="str">
        <f>IF(OR($B726="",L$7=""),"",IF($B726="MEANS",INDEX('1-DATA'!$1:$1048576,$A725-1,COLUMN('1-DATA'!K724)),ROUND(INDEX('1-DATA'!$1:$1048576,IF(OR($B726="STD. DEVIATION",$C$1=1),$A726,$A726+1),COLUMN('1-DATA'!K724)),IF($B726="STD. DEVIATION",2,$F$1))))</f>
        <v/>
      </c>
      <c r="M726" s="1" t="str">
        <f>IF(OR($B726="",M$7=""),"",IF($B726="MEANS",INDEX('1-DATA'!$1:$1048576,$A725-1,COLUMN('1-DATA'!L724)),ROUND(INDEX('1-DATA'!$1:$1048576,IF(OR($B726="STD. DEVIATION",$C$1=1),$A726,$A726+1),COLUMN('1-DATA'!L724)),IF($B726="STD. DEVIATION",2,$F$1))))</f>
        <v/>
      </c>
      <c r="N726" s="1" t="str">
        <f>IF(OR($B726="",N$7=""),"",IF($B726="MEANS",INDEX('1-DATA'!$1:$1048576,$A725-1,COLUMN('1-DATA'!M724)),ROUND(INDEX('1-DATA'!$1:$1048576,IF(OR($B726="STD. DEVIATION",$C$1=1),$A726,$A726+1),COLUMN('1-DATA'!M724)),IF($B726="STD. DEVIATION",2,$F$1))))</f>
        <v/>
      </c>
      <c r="O726" s="1" t="str">
        <f>IF(OR($B726="",O$7=""),"",IF($B726="MEANS",INDEX('1-DATA'!$1:$1048576,$A725-1,COLUMN('1-DATA'!N724)),ROUND(INDEX('1-DATA'!$1:$1048576,IF(OR($B726="STD. DEVIATION",$C$1=1),$A726,$A726+1),COLUMN('1-DATA'!N724)),IF($B726="STD. DEVIATION",2,$F$1))))</f>
        <v/>
      </c>
      <c r="P726" s="1" t="str">
        <f>IF(OR($B726="",P$7=""),"",IF($B726="MEANS",INDEX('1-DATA'!$1:$1048576,$A725-1,COLUMN('1-DATA'!O724)),ROUND(INDEX('1-DATA'!$1:$1048576,IF(OR($B726="STD. DEVIATION",$C$1=1),$A726,$A726+1),COLUMN('1-DATA'!O724)),IF($B726="STD. DEVIATION",2,$F$1))))</f>
        <v/>
      </c>
      <c r="Q726" s="1" t="str">
        <f>IF(OR($B726="",Q$7=""),"",IF($B726="MEANS",INDEX('1-DATA'!$1:$1048576,$A725-1,COLUMN('1-DATA'!P724)),ROUND(INDEX('1-DATA'!$1:$1048576,IF(OR($B726="STD. DEVIATION",$C$1=1),$A726,$A726+1),COLUMN('1-DATA'!P724)),IF($B726="STD. DEVIATION",2,$F$1))))</f>
        <v/>
      </c>
      <c r="R726" s="1" t="str">
        <f>IF(OR($B726="",R$7=""),"",IF($B726="MEANS",INDEX('1-DATA'!$1:$1048576,$A725-1,COLUMN('1-DATA'!Q724)),ROUND(INDEX('1-DATA'!$1:$1048576,IF(OR($B726="STD. DEVIATION",$C$1=1),$A726,$A726+1),COLUMN('1-DATA'!Q724)),IF($B726="STD. DEVIATION",2,$F$1))))</f>
        <v/>
      </c>
      <c r="S726" s="1" t="str">
        <f>IF(OR($B726="",S$7=""),"",IF($B726="MEANS",INDEX('1-DATA'!$1:$1048576,$A725-1,COLUMN('1-DATA'!R724)),ROUND(INDEX('1-DATA'!$1:$1048576,IF(OR($B726="STD. DEVIATION",$C$1=1),$A726,$A726+1),COLUMN('1-DATA'!R724)),IF($B726="STD. DEVIATION",2,$F$1))))</f>
        <v/>
      </c>
      <c r="T726" s="1" t="str">
        <f>IF(OR($B726="",T$7=""),"",IF($B726="MEANS",INDEX('1-DATA'!$1:$1048576,$A725-1,COLUMN('1-DATA'!S724)),ROUND(INDEX('1-DATA'!$1:$1048576,IF(OR($B726="STD. DEVIATION",$C$1=1),$A726,$A726+1),COLUMN('1-DATA'!S724)),IF($B726="STD. DEVIATION",2,$F$1))))</f>
        <v/>
      </c>
      <c r="U726" s="1" t="str">
        <f>IF(OR($B726="",U$7=""),"",IF($B726="MEANS",INDEX('1-DATA'!$1:$1048576,$A725-1,COLUMN('1-DATA'!T724)),ROUND(INDEX('1-DATA'!$1:$1048576,IF(OR($B726="STD. DEVIATION",$C$1=1),$A726,$A726+1),COLUMN('1-DATA'!T724)),IF($B726="STD. DEVIATION",2,$F$1))))</f>
        <v/>
      </c>
      <c r="V726" s="1" t="str">
        <f>IF(OR($B726="",V$7=""),"",IF($B726="MEANS",INDEX('1-DATA'!$1:$1048576,$A725-1,COLUMN('1-DATA'!U724)),ROUND(INDEX('1-DATA'!$1:$1048576,IF(OR($B726="STD. DEVIATION",$C$1=1),$A726,$A726+1),COLUMN('1-DATA'!U724)),IF($B726="STD. DEVIATION",2,$F$1))))</f>
        <v/>
      </c>
      <c r="W726" s="1" t="str">
        <f>IF(OR($B726="",W$7=""),"",IF($B726="MEANS",INDEX('1-DATA'!$1:$1048576,$A725-1,COLUMN('1-DATA'!V724)),ROUND(INDEX('1-DATA'!$1:$1048576,IF(OR($B726="STD. DEVIATION",$C$1=1),$A726,$A726+1),COLUMN('1-DATA'!V724)),IF($B726="STD. DEVIATION",2,$F$1))))</f>
        <v/>
      </c>
      <c r="X726" s="1" t="str">
        <f>IF(OR($B726="",X$7=""),"",IF($B726="MEANS",INDEX('1-DATA'!$1:$1048576,$A725-1,COLUMN('1-DATA'!W724)),ROUND(INDEX('1-DATA'!$1:$1048576,IF(OR($B726="STD. DEVIATION",$C$1=1),$A726,$A726+1),COLUMN('1-DATA'!W724)),IF($B726="STD. DEVIATION",2,$F$1))))</f>
        <v/>
      </c>
      <c r="Y726" s="1" t="str">
        <f>IF(OR($B726="",Y$7=""),"",IF($B726="MEANS",INDEX('1-DATA'!$1:$1048576,$A725-1,COLUMN('1-DATA'!X724)),ROUND(INDEX('1-DATA'!$1:$1048576,IF(OR($B726="STD. DEVIATION",$C$1=1),$A726,$A726+1),COLUMN('1-DATA'!X724)),IF($B726="STD. DEVIATION",2,$F$1))))</f>
        <v/>
      </c>
      <c r="Z726" s="1" t="str">
        <f>IF(OR($B726="",Z$7=""),"",IF($B726="MEANS",INDEX('1-DATA'!$1:$1048576,$A725-1,COLUMN('1-DATA'!Y724)),ROUND(INDEX('1-DATA'!$1:$1048576,IF(OR($B726="STD. DEVIATION",$C$1=1),$A726,$A726+1),COLUMN('1-DATA'!Y724)),IF($B726="STD. DEVIATION",2,$F$1))))</f>
        <v/>
      </c>
      <c r="AA726" s="1" t="str">
        <f>IF(OR($B726="",AA$7=""),"",IF($B726="MEANS",INDEX('1-DATA'!$1:$1048576,$A725-1,COLUMN('1-DATA'!Z724)),ROUND(INDEX('1-DATA'!$1:$1048576,IF(OR($B726="STD. DEVIATION",$C$1=1),$A726,$A726+1),COLUMN('1-DATA'!Z724)),IF($B726="STD. DEVIATION",2,$F$1))))</f>
        <v/>
      </c>
      <c r="AB726" s="1" t="str">
        <f>IF(OR($B726="",AB$7=""),"",IF($B726="MEANS",INDEX('1-DATA'!$1:$1048576,$A725-1,COLUMN('1-DATA'!AA724)),ROUND(INDEX('1-DATA'!$1:$1048576,IF(OR($B726="STD. DEVIATION",$C$1=1),$A726,$A726+1),COLUMN('1-DATA'!AA724)),IF($B726="STD. DEVIATION",2,$F$1))))</f>
        <v/>
      </c>
      <c r="AC726" s="1" t="str">
        <f>IF(OR($B726="",AC$7=""),"",IF($B726="MEANS",INDEX('1-DATA'!$1:$1048576,$A725-1,COLUMN('1-DATA'!AB724)),ROUND(INDEX('1-DATA'!$1:$1048576,IF(OR($B726="STD. DEVIATION",$C$1=1),$A726,$A726+1),COLUMN('1-DATA'!AB724)),IF($B726="STD. DEVIATION",2,$F$1))))</f>
        <v/>
      </c>
      <c r="AD726" s="1" t="str">
        <f>IF(OR($B726="",AD$7=""),"",IF($B726="MEANS",INDEX('1-DATA'!$1:$1048576,$A725-1,COLUMN('1-DATA'!AC724)),ROUND(INDEX('1-DATA'!$1:$1048576,IF(OR($B726="STD. DEVIATION",$C$1=1),$A726,$A726+1),COLUMN('1-DATA'!AC724)),IF($B726="STD. DEVIATION",2,$F$1))))</f>
        <v/>
      </c>
      <c r="AE726" s="1" t="str">
        <f>IF(OR($B726="",AE$7=""),"",IF($B726="MEANS",INDEX('1-DATA'!$1:$1048576,$A725-1,COLUMN('1-DATA'!AD724)),ROUND(INDEX('1-DATA'!$1:$1048576,IF(OR($B726="STD. DEVIATION",$C$1=1),$A726,$A726+1),COLUMN('1-DATA'!AD724)),IF($B726="STD. DEVIATION",2,$F$1))))</f>
        <v/>
      </c>
      <c r="AF726" s="1" t="str">
        <f>IF(OR($B726="",AF$7=""),"",IF($B726="MEANS",INDEX('1-DATA'!$1:$1048576,$A725-1,COLUMN('1-DATA'!AE724)),ROUND(INDEX('1-DATA'!$1:$1048576,IF(OR($B726="STD. DEVIATION",$C$1=1),$A726,$A726+1),COLUMN('1-DATA'!AE724)),IF($B726="STD. DEVIATION",2,$F$1))))</f>
        <v/>
      </c>
      <c r="AG726" s="1" t="str">
        <f>IF(OR($B726="",AG$7=""),"",IF($B726="MEANS",INDEX('1-DATA'!$1:$1048576,$A725-1,COLUMN('1-DATA'!AF724)),ROUND(INDEX('1-DATA'!$1:$1048576,IF(OR($B726="STD. DEVIATION",$C$1=1),$A726,$A726+1),COLUMN('1-DATA'!AF724)),IF($B726="STD. DEVIATION",2,$F$1))))</f>
        <v/>
      </c>
      <c r="AH726" s="1" t="str">
        <f>IF(OR($B726="",AH$7=""),"",IF($B726="MEANS",INDEX('1-DATA'!$1:$1048576,$A725-1,COLUMN('1-DATA'!AG724)),ROUND(INDEX('1-DATA'!$1:$1048576,IF(OR($B726="STD. DEVIATION",$C$1=1),$A726,$A726+1),COLUMN('1-DATA'!AG724)),IF($B726="STD. DEVIATION",2,$F$1))))</f>
        <v/>
      </c>
      <c r="AI726" s="1" t="str">
        <f>IF(OR($B726="",AI$7=""),"",IF($B726="MEANS",INDEX('1-DATA'!$1:$1048576,$A725-1,COLUMN('1-DATA'!AH724)),ROUND(INDEX('1-DATA'!$1:$1048576,IF(OR($B726="STD. DEVIATION",$C$1=1),$A726,$A726+1),COLUMN('1-DATA'!AH724)),IF($B726="STD. DEVIATION",2,$F$1))))</f>
        <v/>
      </c>
      <c r="AJ726" s="1" t="str">
        <f>IF(OR($B726="",AJ$7=""),"",IF($B726="MEANS",INDEX('1-DATA'!$1:$1048576,$A725-1,COLUMN('1-DATA'!AI724)),ROUND(INDEX('1-DATA'!$1:$1048576,IF(OR($B726="STD. DEVIATION",$C$1=1),$A726,$A726+1),COLUMN('1-DATA'!AI724)),IF($B726="STD. DEVIATION",2,$F$1))))</f>
        <v/>
      </c>
      <c r="AK726" s="1" t="str">
        <f>IF(OR($B726="",AK$7=""),"",IF($B726="MEANS",INDEX('1-DATA'!$1:$1048576,$A725-1,COLUMN('1-DATA'!AJ724)),ROUND(INDEX('1-DATA'!$1:$1048576,IF(OR($B726="STD. DEVIATION",$C$1=1),$A726,$A726+1),COLUMN('1-DATA'!AJ724)),IF($B726="STD. DEVIATION",2,$F$1))))</f>
        <v/>
      </c>
      <c r="AL726" s="1" t="str">
        <f>IF(OR($B726="",AL$7=""),"",IF($B726="MEANS",INDEX('1-DATA'!$1:$1048576,$A725-1,COLUMN('1-DATA'!AK724)),ROUND(INDEX('1-DATA'!$1:$1048576,IF(OR($B726="STD. DEVIATION",$C$1=1),$A726,$A726+1),COLUMN('1-DATA'!AK724)),IF($B726="STD. DEVIATION",2,$F$1))))</f>
        <v/>
      </c>
      <c r="AM726" s="1" t="str">
        <f>IF(OR($B726="",AM$7=""),"",IF($B726="MEANS",INDEX('1-DATA'!$1:$1048576,$A725-1,COLUMN('1-DATA'!AL724)),ROUND(INDEX('1-DATA'!$1:$1048576,IF(OR($B726="STD. DEVIATION",$C$1=1),$A726,$A726+1),COLUMN('1-DATA'!AL724)),IF($B726="STD. DEVIATION",2,$F$1))))</f>
        <v/>
      </c>
      <c r="AN726" s="1" t="str">
        <f>IF(OR($B726="",AN$7=""),"",IF($B726="MEANS",INDEX('1-DATA'!$1:$1048576,$A725-1,COLUMN('1-DATA'!AM724)),ROUND(INDEX('1-DATA'!$1:$1048576,IF(OR($B726="STD. DEVIATION",$C$1=1),$A726,$A726+1),COLUMN('1-DATA'!AM724)),IF($B726="STD. DEVIATION",2,$F$1))))</f>
        <v/>
      </c>
      <c r="AO726" s="1" t="str">
        <f>IF(OR($B726="",AO$7=""),"",IF($B726="MEANS",INDEX('1-DATA'!$1:$1048576,$A725-1,COLUMN('1-DATA'!AN724)),ROUND(INDEX('1-DATA'!$1:$1048576,IF(OR($B726="STD. DEVIATION",$C$1=1),$A726,$A726+1),COLUMN('1-DATA'!AN724)),IF($B726="STD. DEVIATION",2,$F$1))))</f>
        <v/>
      </c>
      <c r="AP726" s="1" t="str">
        <f>IF(OR($B726="",AP$7=""),"",IF($B726="MEANS",INDEX('1-DATA'!$1:$1048576,$A725-1,COLUMN('1-DATA'!AO724)),ROUND(INDEX('1-DATA'!$1:$1048576,IF(OR($B726="STD. DEVIATION",$C$1=1),$A726,$A726+1),COLUMN('1-DATA'!AO724)),IF($B726="STD. DEVIATION",2,$F$1))))</f>
        <v/>
      </c>
      <c r="AQ726" s="1" t="str">
        <f>IF(OR($B726="",AQ$7=""),"",IF($B726="MEANS",INDEX('1-DATA'!$1:$1048576,$A725-1,COLUMN('1-DATA'!AP724)),ROUND(INDEX('1-DATA'!$1:$1048576,IF(OR($B726="STD. DEVIATION",$C$1=1),$A726,$A726+1),COLUMN('1-DATA'!AP724)),IF($B726="STD. DEVIATION",2,$F$1))))</f>
        <v/>
      </c>
      <c r="AR726" s="1" t="str">
        <f>IF(OR($B726="",AR$7=""),"",IF($B726="MEANS",INDEX('1-DATA'!$1:$1048576,$A725-1,COLUMN('1-DATA'!AQ724)),ROUND(INDEX('1-DATA'!$1:$1048576,IF(OR($B726="STD. DEVIATION",$C$1=1),$A726,$A726+1),COLUMN('1-DATA'!AQ724)),IF($B726="STD. DEVIATION",2,$F$1))))</f>
        <v/>
      </c>
      <c r="AS726" s="1" t="str">
        <f>IF(OR($B726="",AS$7=""),"",IF($B726="MEANS",INDEX('1-DATA'!$1:$1048576,$A725-1,COLUMN('1-DATA'!AR724)),ROUND(INDEX('1-DATA'!$1:$1048576,IF(OR($B726="STD. DEVIATION",$C$1=1),$A726,$A726+1),COLUMN('1-DATA'!AR724)),IF($B726="STD. DEVIATION",2,$F$1))))</f>
        <v/>
      </c>
      <c r="AT726" s="1" t="str">
        <f>IF(OR($B726="",AT$7=""),"",IF($B726="MEANS",INDEX('1-DATA'!$1:$1048576,$A725-1,COLUMN('1-DATA'!AS724)),ROUND(INDEX('1-DATA'!$1:$1048576,IF(OR($B726="STD. DEVIATION",$C$1=1),$A726,$A726+1),COLUMN('1-DATA'!AS724)),IF($B726="STD. DEVIATION",2,$F$1))))</f>
        <v/>
      </c>
      <c r="AU726" s="1" t="str">
        <f>IF(OR($B726="",AU$7=""),"",IF($B726="MEANS",INDEX('1-DATA'!$1:$1048576,$A725-1,COLUMN('1-DATA'!AT724)),ROUND(INDEX('1-DATA'!$1:$1048576,IF(OR($B726="STD. DEVIATION",$C$1=1),$A726,$A726+1),COLUMN('1-DATA'!AT724)),IF($B726="STD. DEVIATION",2,$F$1))))</f>
        <v/>
      </c>
      <c r="AV726" s="1" t="str">
        <f>IF(OR($B726="",AV$7=""),"",IF($B726="MEANS",INDEX('1-DATA'!$1:$1048576,$A725-1,COLUMN('1-DATA'!AU724)),ROUND(INDEX('1-DATA'!$1:$1048576,IF(OR($B726="STD. DEVIATION",$C$1=1),$A726,$A726+1),COLUMN('1-DATA'!AU724)),IF($B726="STD. DEVIATION",2,$F$1))))</f>
        <v/>
      </c>
      <c r="AW726" s="1" t="str">
        <f>IF(OR($B726="",AW$7=""),"",IF($B726="MEANS",INDEX('1-DATA'!$1:$1048576,$A725-1,COLUMN('1-DATA'!AV724)),ROUND(INDEX('1-DATA'!$1:$1048576,IF(OR($B726="STD. DEVIATION",$C$1=1),$A726,$A726+1),COLUMN('1-DATA'!AV724)),IF($B726="STD. DEVIATION",2,$F$1))))</f>
        <v/>
      </c>
      <c r="AX726" s="1" t="str">
        <f>IF(OR($B726="",AX$7=""),"",IF($B726="MEANS",INDEX('1-DATA'!$1:$1048576,$A725-1,COLUMN('1-DATA'!AW724)),ROUND(INDEX('1-DATA'!$1:$1048576,IF(OR($B726="STD. DEVIATION",$C$1=1),$A726,$A726+1),COLUMN('1-DATA'!AW724)),IF($B726="STD. DEVIATION",2,$F$1))))</f>
        <v/>
      </c>
      <c r="AY726" s="1" t="str">
        <f>IF(OR($B726="",AY$7=""),"",IF($B726="MEANS",INDEX('1-DATA'!$1:$1048576,$A725-1,COLUMN('1-DATA'!AX724)),ROUND(INDEX('1-DATA'!$1:$1048576,IF(OR($B726="STD. DEVIATION",$C$1=1),$A726,$A726+1),COLUMN('1-DATA'!AX724)),IF($B726="STD. DEVIATION",2,$F$1))))</f>
        <v/>
      </c>
      <c r="AZ726" s="1" t="str">
        <f>IF(OR($B726="",AZ$7=""),"",IF($B726="MEANS",INDEX('1-DATA'!$1:$1048576,$A725-1,COLUMN('1-DATA'!AY724)),ROUND(INDEX('1-DATA'!$1:$1048576,IF(OR($B726="STD. DEVIATION",$C$1=1),$A726,$A726+1),COLUMN('1-DATA'!AY724)),IF($B726="STD. DEVIATION",2,$F$1))))</f>
        <v/>
      </c>
    </row>
    <row r="727" spans="1:52" x14ac:dyDescent="0.25">
      <c r="A727" s="11">
        <f t="shared" si="11"/>
        <v>2167</v>
      </c>
      <c r="B727" s="1" t="str">
        <f>IF(B726="STD. DEVIATION",INDEX('1-DATA'!$1:$1048576,$A726-1,1),IF(INDEX('1-DATA'!$1:$1048576,$A727,1)&lt;&gt;"",INDEX('1-DATA'!$1:$1048576,$A727,1),""))</f>
        <v/>
      </c>
      <c r="C727" s="1" t="str">
        <f>IF(OR($B727="",C$7=""),"",IF($B727="MEANS",INDEX('1-DATA'!$1:$1048576,$A726-1,COLUMN('1-DATA'!B725)),ROUND(INDEX('1-DATA'!$1:$1048576,IF(OR($B727="STD. DEVIATION",$C$1=1),$A727,$A727+1),COLUMN('1-DATA'!B725)),IF($B727="STD. DEVIATION",2,$F$1))))</f>
        <v/>
      </c>
      <c r="D727" s="1" t="str">
        <f>IF(OR($B727="",D$7=""),"",IF($B727="MEANS",INDEX('1-DATA'!$1:$1048576,$A726-1,COLUMN('1-DATA'!C725)),ROUND(INDEX('1-DATA'!$1:$1048576,IF(OR($B727="STD. DEVIATION",$C$1=1),$A727,$A727+1),COLUMN('1-DATA'!C725)),IF($B727="STD. DEVIATION",2,$F$1))))</f>
        <v/>
      </c>
      <c r="E727" s="1" t="str">
        <f>IF(OR($B727="",E$7=""),"",IF($B727="MEANS",INDEX('1-DATA'!$1:$1048576,$A726-1,COLUMN('1-DATA'!D725)),ROUND(INDEX('1-DATA'!$1:$1048576,IF(OR($B727="STD. DEVIATION",$C$1=1),$A727,$A727+1),COLUMN('1-DATA'!D725)),IF($B727="STD. DEVIATION",2,$F$1))))</f>
        <v/>
      </c>
      <c r="F727" s="1" t="str">
        <f>IF(OR($B727="",F$7=""),"",IF($B727="MEANS",INDEX('1-DATA'!$1:$1048576,$A726-1,COLUMN('1-DATA'!E725)),ROUND(INDEX('1-DATA'!$1:$1048576,IF(OR($B727="STD. DEVIATION",$C$1=1),$A727,$A727+1),COLUMN('1-DATA'!E725)),IF($B727="STD. DEVIATION",2,$F$1))))</f>
        <v/>
      </c>
      <c r="G727" s="1" t="str">
        <f>IF(OR($B727="",G$7=""),"",IF($B727="MEANS",INDEX('1-DATA'!$1:$1048576,$A726-1,COLUMN('1-DATA'!F725)),ROUND(INDEX('1-DATA'!$1:$1048576,IF(OR($B727="STD. DEVIATION",$C$1=1),$A727,$A727+1),COLUMN('1-DATA'!F725)),IF($B727="STD. DEVIATION",2,$F$1))))</f>
        <v/>
      </c>
      <c r="H727" s="1" t="str">
        <f>IF(OR($B727="",H$7=""),"",IF($B727="MEANS",INDEX('1-DATA'!$1:$1048576,$A726-1,COLUMN('1-DATA'!G725)),ROUND(INDEX('1-DATA'!$1:$1048576,IF(OR($B727="STD. DEVIATION",$C$1=1),$A727,$A727+1),COLUMN('1-DATA'!G725)),IF($B727="STD. DEVIATION",2,$F$1))))</f>
        <v/>
      </c>
      <c r="I727" s="1" t="str">
        <f>IF(OR($B727="",I$7=""),"",IF($B727="MEANS",INDEX('1-DATA'!$1:$1048576,$A726-1,COLUMN('1-DATA'!H725)),ROUND(INDEX('1-DATA'!$1:$1048576,IF(OR($B727="STD. DEVIATION",$C$1=1),$A727,$A727+1),COLUMN('1-DATA'!H725)),IF($B727="STD. DEVIATION",2,$F$1))))</f>
        <v/>
      </c>
      <c r="J727" s="1" t="str">
        <f>IF(OR($B727="",J$7=""),"",IF($B727="MEANS",INDEX('1-DATA'!$1:$1048576,$A726-1,COLUMN('1-DATA'!I725)),ROUND(INDEX('1-DATA'!$1:$1048576,IF(OR($B727="STD. DEVIATION",$C$1=1),$A727,$A727+1),COLUMN('1-DATA'!I725)),IF($B727="STD. DEVIATION",2,$F$1))))</f>
        <v/>
      </c>
      <c r="K727" s="1" t="str">
        <f>IF(OR($B727="",K$7=""),"",IF($B727="MEANS",INDEX('1-DATA'!$1:$1048576,$A726-1,COLUMN('1-DATA'!J725)),ROUND(INDEX('1-DATA'!$1:$1048576,IF(OR($B727="STD. DEVIATION",$C$1=1),$A727,$A727+1),COLUMN('1-DATA'!J725)),IF($B727="STD. DEVIATION",2,$F$1))))</f>
        <v/>
      </c>
      <c r="L727" s="1" t="str">
        <f>IF(OR($B727="",L$7=""),"",IF($B727="MEANS",INDEX('1-DATA'!$1:$1048576,$A726-1,COLUMN('1-DATA'!K725)),ROUND(INDEX('1-DATA'!$1:$1048576,IF(OR($B727="STD. DEVIATION",$C$1=1),$A727,$A727+1),COLUMN('1-DATA'!K725)),IF($B727="STD. DEVIATION",2,$F$1))))</f>
        <v/>
      </c>
      <c r="M727" s="1" t="str">
        <f>IF(OR($B727="",M$7=""),"",IF($B727="MEANS",INDEX('1-DATA'!$1:$1048576,$A726-1,COLUMN('1-DATA'!L725)),ROUND(INDEX('1-DATA'!$1:$1048576,IF(OR($B727="STD. DEVIATION",$C$1=1),$A727,$A727+1),COLUMN('1-DATA'!L725)),IF($B727="STD. DEVIATION",2,$F$1))))</f>
        <v/>
      </c>
      <c r="N727" s="1" t="str">
        <f>IF(OR($B727="",N$7=""),"",IF($B727="MEANS",INDEX('1-DATA'!$1:$1048576,$A726-1,COLUMN('1-DATA'!M725)),ROUND(INDEX('1-DATA'!$1:$1048576,IF(OR($B727="STD. DEVIATION",$C$1=1),$A727,$A727+1),COLUMN('1-DATA'!M725)),IF($B727="STD. DEVIATION",2,$F$1))))</f>
        <v/>
      </c>
      <c r="O727" s="1" t="str">
        <f>IF(OR($B727="",O$7=""),"",IF($B727="MEANS",INDEX('1-DATA'!$1:$1048576,$A726-1,COLUMN('1-DATA'!N725)),ROUND(INDEX('1-DATA'!$1:$1048576,IF(OR($B727="STD. DEVIATION",$C$1=1),$A727,$A727+1),COLUMN('1-DATA'!N725)),IF($B727="STD. DEVIATION",2,$F$1))))</f>
        <v/>
      </c>
      <c r="P727" s="1" t="str">
        <f>IF(OR($B727="",P$7=""),"",IF($B727="MEANS",INDEX('1-DATA'!$1:$1048576,$A726-1,COLUMN('1-DATA'!O725)),ROUND(INDEX('1-DATA'!$1:$1048576,IF(OR($B727="STD. DEVIATION",$C$1=1),$A727,$A727+1),COLUMN('1-DATA'!O725)),IF($B727="STD. DEVIATION",2,$F$1))))</f>
        <v/>
      </c>
      <c r="Q727" s="1" t="str">
        <f>IF(OR($B727="",Q$7=""),"",IF($B727="MEANS",INDEX('1-DATA'!$1:$1048576,$A726-1,COLUMN('1-DATA'!P725)),ROUND(INDEX('1-DATA'!$1:$1048576,IF(OR($B727="STD. DEVIATION",$C$1=1),$A727,$A727+1),COLUMN('1-DATA'!P725)),IF($B727="STD. DEVIATION",2,$F$1))))</f>
        <v/>
      </c>
      <c r="R727" s="1" t="str">
        <f>IF(OR($B727="",R$7=""),"",IF($B727="MEANS",INDEX('1-DATA'!$1:$1048576,$A726-1,COLUMN('1-DATA'!Q725)),ROUND(INDEX('1-DATA'!$1:$1048576,IF(OR($B727="STD. DEVIATION",$C$1=1),$A727,$A727+1),COLUMN('1-DATA'!Q725)),IF($B727="STD. DEVIATION",2,$F$1))))</f>
        <v/>
      </c>
      <c r="S727" s="1" t="str">
        <f>IF(OR($B727="",S$7=""),"",IF($B727="MEANS",INDEX('1-DATA'!$1:$1048576,$A726-1,COLUMN('1-DATA'!R725)),ROUND(INDEX('1-DATA'!$1:$1048576,IF(OR($B727="STD. DEVIATION",$C$1=1),$A727,$A727+1),COLUMN('1-DATA'!R725)),IF($B727="STD. DEVIATION",2,$F$1))))</f>
        <v/>
      </c>
      <c r="T727" s="1" t="str">
        <f>IF(OR($B727="",T$7=""),"",IF($B727="MEANS",INDEX('1-DATA'!$1:$1048576,$A726-1,COLUMN('1-DATA'!S725)),ROUND(INDEX('1-DATA'!$1:$1048576,IF(OR($B727="STD. DEVIATION",$C$1=1),$A727,$A727+1),COLUMN('1-DATA'!S725)),IF($B727="STD. DEVIATION",2,$F$1))))</f>
        <v/>
      </c>
      <c r="U727" s="1" t="str">
        <f>IF(OR($B727="",U$7=""),"",IF($B727="MEANS",INDEX('1-DATA'!$1:$1048576,$A726-1,COLUMN('1-DATA'!T725)),ROUND(INDEX('1-DATA'!$1:$1048576,IF(OR($B727="STD. DEVIATION",$C$1=1),$A727,$A727+1),COLUMN('1-DATA'!T725)),IF($B727="STD. DEVIATION",2,$F$1))))</f>
        <v/>
      </c>
      <c r="V727" s="1" t="str">
        <f>IF(OR($B727="",V$7=""),"",IF($B727="MEANS",INDEX('1-DATA'!$1:$1048576,$A726-1,COLUMN('1-DATA'!U725)),ROUND(INDEX('1-DATA'!$1:$1048576,IF(OR($B727="STD. DEVIATION",$C$1=1),$A727,$A727+1),COLUMN('1-DATA'!U725)),IF($B727="STD. DEVIATION",2,$F$1))))</f>
        <v/>
      </c>
      <c r="W727" s="1" t="str">
        <f>IF(OR($B727="",W$7=""),"",IF($B727="MEANS",INDEX('1-DATA'!$1:$1048576,$A726-1,COLUMN('1-DATA'!V725)),ROUND(INDEX('1-DATA'!$1:$1048576,IF(OR($B727="STD. DEVIATION",$C$1=1),$A727,$A727+1),COLUMN('1-DATA'!V725)),IF($B727="STD. DEVIATION",2,$F$1))))</f>
        <v/>
      </c>
      <c r="X727" s="1" t="str">
        <f>IF(OR($B727="",X$7=""),"",IF($B727="MEANS",INDEX('1-DATA'!$1:$1048576,$A726-1,COLUMN('1-DATA'!W725)),ROUND(INDEX('1-DATA'!$1:$1048576,IF(OR($B727="STD. DEVIATION",$C$1=1),$A727,$A727+1),COLUMN('1-DATA'!W725)),IF($B727="STD. DEVIATION",2,$F$1))))</f>
        <v/>
      </c>
      <c r="Y727" s="1" t="str">
        <f>IF(OR($B727="",Y$7=""),"",IF($B727="MEANS",INDEX('1-DATA'!$1:$1048576,$A726-1,COLUMN('1-DATA'!X725)),ROUND(INDEX('1-DATA'!$1:$1048576,IF(OR($B727="STD. DEVIATION",$C$1=1),$A727,$A727+1),COLUMN('1-DATA'!X725)),IF($B727="STD. DEVIATION",2,$F$1))))</f>
        <v/>
      </c>
      <c r="Z727" s="1" t="str">
        <f>IF(OR($B727="",Z$7=""),"",IF($B727="MEANS",INDEX('1-DATA'!$1:$1048576,$A726-1,COLUMN('1-DATA'!Y725)),ROUND(INDEX('1-DATA'!$1:$1048576,IF(OR($B727="STD. DEVIATION",$C$1=1),$A727,$A727+1),COLUMN('1-DATA'!Y725)),IF($B727="STD. DEVIATION",2,$F$1))))</f>
        <v/>
      </c>
      <c r="AA727" s="1" t="str">
        <f>IF(OR($B727="",AA$7=""),"",IF($B727="MEANS",INDEX('1-DATA'!$1:$1048576,$A726-1,COLUMN('1-DATA'!Z725)),ROUND(INDEX('1-DATA'!$1:$1048576,IF(OR($B727="STD. DEVIATION",$C$1=1),$A727,$A727+1),COLUMN('1-DATA'!Z725)),IF($B727="STD. DEVIATION",2,$F$1))))</f>
        <v/>
      </c>
      <c r="AB727" s="1" t="str">
        <f>IF(OR($B727="",AB$7=""),"",IF($B727="MEANS",INDEX('1-DATA'!$1:$1048576,$A726-1,COLUMN('1-DATA'!AA725)),ROUND(INDEX('1-DATA'!$1:$1048576,IF(OR($B727="STD. DEVIATION",$C$1=1),$A727,$A727+1),COLUMN('1-DATA'!AA725)),IF($B727="STD. DEVIATION",2,$F$1))))</f>
        <v/>
      </c>
      <c r="AC727" s="1" t="str">
        <f>IF(OR($B727="",AC$7=""),"",IF($B727="MEANS",INDEX('1-DATA'!$1:$1048576,$A726-1,COLUMN('1-DATA'!AB725)),ROUND(INDEX('1-DATA'!$1:$1048576,IF(OR($B727="STD. DEVIATION",$C$1=1),$A727,$A727+1),COLUMN('1-DATA'!AB725)),IF($B727="STD. DEVIATION",2,$F$1))))</f>
        <v/>
      </c>
      <c r="AD727" s="1" t="str">
        <f>IF(OR($B727="",AD$7=""),"",IF($B727="MEANS",INDEX('1-DATA'!$1:$1048576,$A726-1,COLUMN('1-DATA'!AC725)),ROUND(INDEX('1-DATA'!$1:$1048576,IF(OR($B727="STD. DEVIATION",$C$1=1),$A727,$A727+1),COLUMN('1-DATA'!AC725)),IF($B727="STD. DEVIATION",2,$F$1))))</f>
        <v/>
      </c>
      <c r="AE727" s="1" t="str">
        <f>IF(OR($B727="",AE$7=""),"",IF($B727="MEANS",INDEX('1-DATA'!$1:$1048576,$A726-1,COLUMN('1-DATA'!AD725)),ROUND(INDEX('1-DATA'!$1:$1048576,IF(OR($B727="STD. DEVIATION",$C$1=1),$A727,$A727+1),COLUMN('1-DATA'!AD725)),IF($B727="STD. DEVIATION",2,$F$1))))</f>
        <v/>
      </c>
      <c r="AF727" s="1" t="str">
        <f>IF(OR($B727="",AF$7=""),"",IF($B727="MEANS",INDEX('1-DATA'!$1:$1048576,$A726-1,COLUMN('1-DATA'!AE725)),ROUND(INDEX('1-DATA'!$1:$1048576,IF(OR($B727="STD. DEVIATION",$C$1=1),$A727,$A727+1),COLUMN('1-DATA'!AE725)),IF($B727="STD. DEVIATION",2,$F$1))))</f>
        <v/>
      </c>
      <c r="AG727" s="1" t="str">
        <f>IF(OR($B727="",AG$7=""),"",IF($B727="MEANS",INDEX('1-DATA'!$1:$1048576,$A726-1,COLUMN('1-DATA'!AF725)),ROUND(INDEX('1-DATA'!$1:$1048576,IF(OR($B727="STD. DEVIATION",$C$1=1),$A727,$A727+1),COLUMN('1-DATA'!AF725)),IF($B727="STD. DEVIATION",2,$F$1))))</f>
        <v/>
      </c>
      <c r="AH727" s="1" t="str">
        <f>IF(OR($B727="",AH$7=""),"",IF($B727="MEANS",INDEX('1-DATA'!$1:$1048576,$A726-1,COLUMN('1-DATA'!AG725)),ROUND(INDEX('1-DATA'!$1:$1048576,IF(OR($B727="STD. DEVIATION",$C$1=1),$A727,$A727+1),COLUMN('1-DATA'!AG725)),IF($B727="STD. DEVIATION",2,$F$1))))</f>
        <v/>
      </c>
      <c r="AI727" s="1" t="str">
        <f>IF(OR($B727="",AI$7=""),"",IF($B727="MEANS",INDEX('1-DATA'!$1:$1048576,$A726-1,COLUMN('1-DATA'!AH725)),ROUND(INDEX('1-DATA'!$1:$1048576,IF(OR($B727="STD. DEVIATION",$C$1=1),$A727,$A727+1),COLUMN('1-DATA'!AH725)),IF($B727="STD. DEVIATION",2,$F$1))))</f>
        <v/>
      </c>
      <c r="AJ727" s="1" t="str">
        <f>IF(OR($B727="",AJ$7=""),"",IF($B727="MEANS",INDEX('1-DATA'!$1:$1048576,$A726-1,COLUMN('1-DATA'!AI725)),ROUND(INDEX('1-DATA'!$1:$1048576,IF(OR($B727="STD. DEVIATION",$C$1=1),$A727,$A727+1),COLUMN('1-DATA'!AI725)),IF($B727="STD. DEVIATION",2,$F$1))))</f>
        <v/>
      </c>
      <c r="AK727" s="1" t="str">
        <f>IF(OR($B727="",AK$7=""),"",IF($B727="MEANS",INDEX('1-DATA'!$1:$1048576,$A726-1,COLUMN('1-DATA'!AJ725)),ROUND(INDEX('1-DATA'!$1:$1048576,IF(OR($B727="STD. DEVIATION",$C$1=1),$A727,$A727+1),COLUMN('1-DATA'!AJ725)),IF($B727="STD. DEVIATION",2,$F$1))))</f>
        <v/>
      </c>
      <c r="AL727" s="1" t="str">
        <f>IF(OR($B727="",AL$7=""),"",IF($B727="MEANS",INDEX('1-DATA'!$1:$1048576,$A726-1,COLUMN('1-DATA'!AK725)),ROUND(INDEX('1-DATA'!$1:$1048576,IF(OR($B727="STD. DEVIATION",$C$1=1),$A727,$A727+1),COLUMN('1-DATA'!AK725)),IF($B727="STD. DEVIATION",2,$F$1))))</f>
        <v/>
      </c>
      <c r="AM727" s="1" t="str">
        <f>IF(OR($B727="",AM$7=""),"",IF($B727="MEANS",INDEX('1-DATA'!$1:$1048576,$A726-1,COLUMN('1-DATA'!AL725)),ROUND(INDEX('1-DATA'!$1:$1048576,IF(OR($B727="STD. DEVIATION",$C$1=1),$A727,$A727+1),COLUMN('1-DATA'!AL725)),IF($B727="STD. DEVIATION",2,$F$1))))</f>
        <v/>
      </c>
      <c r="AN727" s="1" t="str">
        <f>IF(OR($B727="",AN$7=""),"",IF($B727="MEANS",INDEX('1-DATA'!$1:$1048576,$A726-1,COLUMN('1-DATA'!AM725)),ROUND(INDEX('1-DATA'!$1:$1048576,IF(OR($B727="STD. DEVIATION",$C$1=1),$A727,$A727+1),COLUMN('1-DATA'!AM725)),IF($B727="STD. DEVIATION",2,$F$1))))</f>
        <v/>
      </c>
      <c r="AO727" s="1" t="str">
        <f>IF(OR($B727="",AO$7=""),"",IF($B727="MEANS",INDEX('1-DATA'!$1:$1048576,$A726-1,COLUMN('1-DATA'!AN725)),ROUND(INDEX('1-DATA'!$1:$1048576,IF(OR($B727="STD. DEVIATION",$C$1=1),$A727,$A727+1),COLUMN('1-DATA'!AN725)),IF($B727="STD. DEVIATION",2,$F$1))))</f>
        <v/>
      </c>
      <c r="AP727" s="1" t="str">
        <f>IF(OR($B727="",AP$7=""),"",IF($B727="MEANS",INDEX('1-DATA'!$1:$1048576,$A726-1,COLUMN('1-DATA'!AO725)),ROUND(INDEX('1-DATA'!$1:$1048576,IF(OR($B727="STD. DEVIATION",$C$1=1),$A727,$A727+1),COLUMN('1-DATA'!AO725)),IF($B727="STD. DEVIATION",2,$F$1))))</f>
        <v/>
      </c>
      <c r="AQ727" s="1" t="str">
        <f>IF(OR($B727="",AQ$7=""),"",IF($B727="MEANS",INDEX('1-DATA'!$1:$1048576,$A726-1,COLUMN('1-DATA'!AP725)),ROUND(INDEX('1-DATA'!$1:$1048576,IF(OR($B727="STD. DEVIATION",$C$1=1),$A727,$A727+1),COLUMN('1-DATA'!AP725)),IF($B727="STD. DEVIATION",2,$F$1))))</f>
        <v/>
      </c>
      <c r="AR727" s="1" t="str">
        <f>IF(OR($B727="",AR$7=""),"",IF($B727="MEANS",INDEX('1-DATA'!$1:$1048576,$A726-1,COLUMN('1-DATA'!AQ725)),ROUND(INDEX('1-DATA'!$1:$1048576,IF(OR($B727="STD. DEVIATION",$C$1=1),$A727,$A727+1),COLUMN('1-DATA'!AQ725)),IF($B727="STD. DEVIATION",2,$F$1))))</f>
        <v/>
      </c>
      <c r="AS727" s="1" t="str">
        <f>IF(OR($B727="",AS$7=""),"",IF($B727="MEANS",INDEX('1-DATA'!$1:$1048576,$A726-1,COLUMN('1-DATA'!AR725)),ROUND(INDEX('1-DATA'!$1:$1048576,IF(OR($B727="STD. DEVIATION",$C$1=1),$A727,$A727+1),COLUMN('1-DATA'!AR725)),IF($B727="STD. DEVIATION",2,$F$1))))</f>
        <v/>
      </c>
      <c r="AT727" s="1" t="str">
        <f>IF(OR($B727="",AT$7=""),"",IF($B727="MEANS",INDEX('1-DATA'!$1:$1048576,$A726-1,COLUMN('1-DATA'!AS725)),ROUND(INDEX('1-DATA'!$1:$1048576,IF(OR($B727="STD. DEVIATION",$C$1=1),$A727,$A727+1),COLUMN('1-DATA'!AS725)),IF($B727="STD. DEVIATION",2,$F$1))))</f>
        <v/>
      </c>
      <c r="AU727" s="1" t="str">
        <f>IF(OR($B727="",AU$7=""),"",IF($B727="MEANS",INDEX('1-DATA'!$1:$1048576,$A726-1,COLUMN('1-DATA'!AT725)),ROUND(INDEX('1-DATA'!$1:$1048576,IF(OR($B727="STD. DEVIATION",$C$1=1),$A727,$A727+1),COLUMN('1-DATA'!AT725)),IF($B727="STD. DEVIATION",2,$F$1))))</f>
        <v/>
      </c>
      <c r="AV727" s="1" t="str">
        <f>IF(OR($B727="",AV$7=""),"",IF($B727="MEANS",INDEX('1-DATA'!$1:$1048576,$A726-1,COLUMN('1-DATA'!AU725)),ROUND(INDEX('1-DATA'!$1:$1048576,IF(OR($B727="STD. DEVIATION",$C$1=1),$A727,$A727+1),COLUMN('1-DATA'!AU725)),IF($B727="STD. DEVIATION",2,$F$1))))</f>
        <v/>
      </c>
      <c r="AW727" s="1" t="str">
        <f>IF(OR($B727="",AW$7=""),"",IF($B727="MEANS",INDEX('1-DATA'!$1:$1048576,$A726-1,COLUMN('1-DATA'!AV725)),ROUND(INDEX('1-DATA'!$1:$1048576,IF(OR($B727="STD. DEVIATION",$C$1=1),$A727,$A727+1),COLUMN('1-DATA'!AV725)),IF($B727="STD. DEVIATION",2,$F$1))))</f>
        <v/>
      </c>
      <c r="AX727" s="1" t="str">
        <f>IF(OR($B727="",AX$7=""),"",IF($B727="MEANS",INDEX('1-DATA'!$1:$1048576,$A726-1,COLUMN('1-DATA'!AW725)),ROUND(INDEX('1-DATA'!$1:$1048576,IF(OR($B727="STD. DEVIATION",$C$1=1),$A727,$A727+1),COLUMN('1-DATA'!AW725)),IF($B727="STD. DEVIATION",2,$F$1))))</f>
        <v/>
      </c>
      <c r="AY727" s="1" t="str">
        <f>IF(OR($B727="",AY$7=""),"",IF($B727="MEANS",INDEX('1-DATA'!$1:$1048576,$A726-1,COLUMN('1-DATA'!AX725)),ROUND(INDEX('1-DATA'!$1:$1048576,IF(OR($B727="STD. DEVIATION",$C$1=1),$A727,$A727+1),COLUMN('1-DATA'!AX725)),IF($B727="STD. DEVIATION",2,$F$1))))</f>
        <v/>
      </c>
      <c r="AZ727" s="1" t="str">
        <f>IF(OR($B727="",AZ$7=""),"",IF($B727="MEANS",INDEX('1-DATA'!$1:$1048576,$A726-1,COLUMN('1-DATA'!AY725)),ROUND(INDEX('1-DATA'!$1:$1048576,IF(OR($B727="STD. DEVIATION",$C$1=1),$A727,$A727+1),COLUMN('1-DATA'!AY725)),IF($B727="STD. DEVIATION",2,$F$1))))</f>
        <v/>
      </c>
    </row>
    <row r="728" spans="1:52" x14ac:dyDescent="0.25">
      <c r="A728" s="11">
        <f t="shared" si="11"/>
        <v>2170</v>
      </c>
      <c r="B728" s="1" t="str">
        <f>IF(B727="STD. DEVIATION",INDEX('1-DATA'!$1:$1048576,$A727-1,1),IF(INDEX('1-DATA'!$1:$1048576,$A728,1)&lt;&gt;"",INDEX('1-DATA'!$1:$1048576,$A728,1),""))</f>
        <v/>
      </c>
      <c r="C728" s="1" t="str">
        <f>IF(OR($B728="",C$7=""),"",IF($B728="MEANS",INDEX('1-DATA'!$1:$1048576,$A727-1,COLUMN('1-DATA'!B726)),ROUND(INDEX('1-DATA'!$1:$1048576,IF(OR($B728="STD. DEVIATION",$C$1=1),$A728,$A728+1),COLUMN('1-DATA'!B726)),IF($B728="STD. DEVIATION",2,$F$1))))</f>
        <v/>
      </c>
      <c r="D728" s="1" t="str">
        <f>IF(OR($B728="",D$7=""),"",IF($B728="MEANS",INDEX('1-DATA'!$1:$1048576,$A727-1,COLUMN('1-DATA'!C726)),ROUND(INDEX('1-DATA'!$1:$1048576,IF(OR($B728="STD. DEVIATION",$C$1=1),$A728,$A728+1),COLUMN('1-DATA'!C726)),IF($B728="STD. DEVIATION",2,$F$1))))</f>
        <v/>
      </c>
      <c r="E728" s="1" t="str">
        <f>IF(OR($B728="",E$7=""),"",IF($B728="MEANS",INDEX('1-DATA'!$1:$1048576,$A727-1,COLUMN('1-DATA'!D726)),ROUND(INDEX('1-DATA'!$1:$1048576,IF(OR($B728="STD. DEVIATION",$C$1=1),$A728,$A728+1),COLUMN('1-DATA'!D726)),IF($B728="STD. DEVIATION",2,$F$1))))</f>
        <v/>
      </c>
      <c r="F728" s="1" t="str">
        <f>IF(OR($B728="",F$7=""),"",IF($B728="MEANS",INDEX('1-DATA'!$1:$1048576,$A727-1,COLUMN('1-DATA'!E726)),ROUND(INDEX('1-DATA'!$1:$1048576,IF(OR($B728="STD. DEVIATION",$C$1=1),$A728,$A728+1),COLUMN('1-DATA'!E726)),IF($B728="STD. DEVIATION",2,$F$1))))</f>
        <v/>
      </c>
      <c r="G728" s="1" t="str">
        <f>IF(OR($B728="",G$7=""),"",IF($B728="MEANS",INDEX('1-DATA'!$1:$1048576,$A727-1,COLUMN('1-DATA'!F726)),ROUND(INDEX('1-DATA'!$1:$1048576,IF(OR($B728="STD. DEVIATION",$C$1=1),$A728,$A728+1),COLUMN('1-DATA'!F726)),IF($B728="STD. DEVIATION",2,$F$1))))</f>
        <v/>
      </c>
      <c r="H728" s="1" t="str">
        <f>IF(OR($B728="",H$7=""),"",IF($B728="MEANS",INDEX('1-DATA'!$1:$1048576,$A727-1,COLUMN('1-DATA'!G726)),ROUND(INDEX('1-DATA'!$1:$1048576,IF(OR($B728="STD. DEVIATION",$C$1=1),$A728,$A728+1),COLUMN('1-DATA'!G726)),IF($B728="STD. DEVIATION",2,$F$1))))</f>
        <v/>
      </c>
      <c r="I728" s="1" t="str">
        <f>IF(OR($B728="",I$7=""),"",IF($B728="MEANS",INDEX('1-DATA'!$1:$1048576,$A727-1,COLUMN('1-DATA'!H726)),ROUND(INDEX('1-DATA'!$1:$1048576,IF(OR($B728="STD. DEVIATION",$C$1=1),$A728,$A728+1),COLUMN('1-DATA'!H726)),IF($B728="STD. DEVIATION",2,$F$1))))</f>
        <v/>
      </c>
      <c r="J728" s="1" t="str">
        <f>IF(OR($B728="",J$7=""),"",IF($B728="MEANS",INDEX('1-DATA'!$1:$1048576,$A727-1,COLUMN('1-DATA'!I726)),ROUND(INDEX('1-DATA'!$1:$1048576,IF(OR($B728="STD. DEVIATION",$C$1=1),$A728,$A728+1),COLUMN('1-DATA'!I726)),IF($B728="STD. DEVIATION",2,$F$1))))</f>
        <v/>
      </c>
      <c r="K728" s="1" t="str">
        <f>IF(OR($B728="",K$7=""),"",IF($B728="MEANS",INDEX('1-DATA'!$1:$1048576,$A727-1,COLUMN('1-DATA'!J726)),ROUND(INDEX('1-DATA'!$1:$1048576,IF(OR($B728="STD. DEVIATION",$C$1=1),$A728,$A728+1),COLUMN('1-DATA'!J726)),IF($B728="STD. DEVIATION",2,$F$1))))</f>
        <v/>
      </c>
      <c r="L728" s="1" t="str">
        <f>IF(OR($B728="",L$7=""),"",IF($B728="MEANS",INDEX('1-DATA'!$1:$1048576,$A727-1,COLUMN('1-DATA'!K726)),ROUND(INDEX('1-DATA'!$1:$1048576,IF(OR($B728="STD. DEVIATION",$C$1=1),$A728,$A728+1),COLUMN('1-DATA'!K726)),IF($B728="STD. DEVIATION",2,$F$1))))</f>
        <v/>
      </c>
      <c r="M728" s="1" t="str">
        <f>IF(OR($B728="",M$7=""),"",IF($B728="MEANS",INDEX('1-DATA'!$1:$1048576,$A727-1,COLUMN('1-DATA'!L726)),ROUND(INDEX('1-DATA'!$1:$1048576,IF(OR($B728="STD. DEVIATION",$C$1=1),$A728,$A728+1),COLUMN('1-DATA'!L726)),IF($B728="STD. DEVIATION",2,$F$1))))</f>
        <v/>
      </c>
      <c r="N728" s="1" t="str">
        <f>IF(OR($B728="",N$7=""),"",IF($B728="MEANS",INDEX('1-DATA'!$1:$1048576,$A727-1,COLUMN('1-DATA'!M726)),ROUND(INDEX('1-DATA'!$1:$1048576,IF(OR($B728="STD. DEVIATION",$C$1=1),$A728,$A728+1),COLUMN('1-DATA'!M726)),IF($B728="STD. DEVIATION",2,$F$1))))</f>
        <v/>
      </c>
      <c r="O728" s="1" t="str">
        <f>IF(OR($B728="",O$7=""),"",IF($B728="MEANS",INDEX('1-DATA'!$1:$1048576,$A727-1,COLUMN('1-DATA'!N726)),ROUND(INDEX('1-DATA'!$1:$1048576,IF(OR($B728="STD. DEVIATION",$C$1=1),$A728,$A728+1),COLUMN('1-DATA'!N726)),IF($B728="STD. DEVIATION",2,$F$1))))</f>
        <v/>
      </c>
      <c r="P728" s="1" t="str">
        <f>IF(OR($B728="",P$7=""),"",IF($B728="MEANS",INDEX('1-DATA'!$1:$1048576,$A727-1,COLUMN('1-DATA'!O726)),ROUND(INDEX('1-DATA'!$1:$1048576,IF(OR($B728="STD. DEVIATION",$C$1=1),$A728,$A728+1),COLUMN('1-DATA'!O726)),IF($B728="STD. DEVIATION",2,$F$1))))</f>
        <v/>
      </c>
      <c r="Q728" s="1" t="str">
        <f>IF(OR($B728="",Q$7=""),"",IF($B728="MEANS",INDEX('1-DATA'!$1:$1048576,$A727-1,COLUMN('1-DATA'!P726)),ROUND(INDEX('1-DATA'!$1:$1048576,IF(OR($B728="STD. DEVIATION",$C$1=1),$A728,$A728+1),COLUMN('1-DATA'!P726)),IF($B728="STD. DEVIATION",2,$F$1))))</f>
        <v/>
      </c>
      <c r="R728" s="1" t="str">
        <f>IF(OR($B728="",R$7=""),"",IF($B728="MEANS",INDEX('1-DATA'!$1:$1048576,$A727-1,COLUMN('1-DATA'!Q726)),ROUND(INDEX('1-DATA'!$1:$1048576,IF(OR($B728="STD. DEVIATION",$C$1=1),$A728,$A728+1),COLUMN('1-DATA'!Q726)),IF($B728="STD. DEVIATION",2,$F$1))))</f>
        <v/>
      </c>
      <c r="S728" s="1" t="str">
        <f>IF(OR($B728="",S$7=""),"",IF($B728="MEANS",INDEX('1-DATA'!$1:$1048576,$A727-1,COLUMN('1-DATA'!R726)),ROUND(INDEX('1-DATA'!$1:$1048576,IF(OR($B728="STD. DEVIATION",$C$1=1),$A728,$A728+1),COLUMN('1-DATA'!R726)),IF($B728="STD. DEVIATION",2,$F$1))))</f>
        <v/>
      </c>
      <c r="T728" s="1" t="str">
        <f>IF(OR($B728="",T$7=""),"",IF($B728="MEANS",INDEX('1-DATA'!$1:$1048576,$A727-1,COLUMN('1-DATA'!S726)),ROUND(INDEX('1-DATA'!$1:$1048576,IF(OR($B728="STD. DEVIATION",$C$1=1),$A728,$A728+1),COLUMN('1-DATA'!S726)),IF($B728="STD. DEVIATION",2,$F$1))))</f>
        <v/>
      </c>
      <c r="U728" s="1" t="str">
        <f>IF(OR($B728="",U$7=""),"",IF($B728="MEANS",INDEX('1-DATA'!$1:$1048576,$A727-1,COLUMN('1-DATA'!T726)),ROUND(INDEX('1-DATA'!$1:$1048576,IF(OR($B728="STD. DEVIATION",$C$1=1),$A728,$A728+1),COLUMN('1-DATA'!T726)),IF($B728="STD. DEVIATION",2,$F$1))))</f>
        <v/>
      </c>
      <c r="V728" s="1" t="str">
        <f>IF(OR($B728="",V$7=""),"",IF($B728="MEANS",INDEX('1-DATA'!$1:$1048576,$A727-1,COLUMN('1-DATA'!U726)),ROUND(INDEX('1-DATA'!$1:$1048576,IF(OR($B728="STD. DEVIATION",$C$1=1),$A728,$A728+1),COLUMN('1-DATA'!U726)),IF($B728="STD. DEVIATION",2,$F$1))))</f>
        <v/>
      </c>
      <c r="W728" s="1" t="str">
        <f>IF(OR($B728="",W$7=""),"",IF($B728="MEANS",INDEX('1-DATA'!$1:$1048576,$A727-1,COLUMN('1-DATA'!V726)),ROUND(INDEX('1-DATA'!$1:$1048576,IF(OR($B728="STD. DEVIATION",$C$1=1),$A728,$A728+1),COLUMN('1-DATA'!V726)),IF($B728="STD. DEVIATION",2,$F$1))))</f>
        <v/>
      </c>
      <c r="X728" s="1" t="str">
        <f>IF(OR($B728="",X$7=""),"",IF($B728="MEANS",INDEX('1-DATA'!$1:$1048576,$A727-1,COLUMN('1-DATA'!W726)),ROUND(INDEX('1-DATA'!$1:$1048576,IF(OR($B728="STD. DEVIATION",$C$1=1),$A728,$A728+1),COLUMN('1-DATA'!W726)),IF($B728="STD. DEVIATION",2,$F$1))))</f>
        <v/>
      </c>
      <c r="Y728" s="1" t="str">
        <f>IF(OR($B728="",Y$7=""),"",IF($B728="MEANS",INDEX('1-DATA'!$1:$1048576,$A727-1,COLUMN('1-DATA'!X726)),ROUND(INDEX('1-DATA'!$1:$1048576,IF(OR($B728="STD. DEVIATION",$C$1=1),$A728,$A728+1),COLUMN('1-DATA'!X726)),IF($B728="STD. DEVIATION",2,$F$1))))</f>
        <v/>
      </c>
      <c r="Z728" s="1" t="str">
        <f>IF(OR($B728="",Z$7=""),"",IF($B728="MEANS",INDEX('1-DATA'!$1:$1048576,$A727-1,COLUMN('1-DATA'!Y726)),ROUND(INDEX('1-DATA'!$1:$1048576,IF(OR($B728="STD. DEVIATION",$C$1=1),$A728,$A728+1),COLUMN('1-DATA'!Y726)),IF($B728="STD. DEVIATION",2,$F$1))))</f>
        <v/>
      </c>
      <c r="AA728" s="1" t="str">
        <f>IF(OR($B728="",AA$7=""),"",IF($B728="MEANS",INDEX('1-DATA'!$1:$1048576,$A727-1,COLUMN('1-DATA'!Z726)),ROUND(INDEX('1-DATA'!$1:$1048576,IF(OR($B728="STD. DEVIATION",$C$1=1),$A728,$A728+1),COLUMN('1-DATA'!Z726)),IF($B728="STD. DEVIATION",2,$F$1))))</f>
        <v/>
      </c>
      <c r="AB728" s="1" t="str">
        <f>IF(OR($B728="",AB$7=""),"",IF($B728="MEANS",INDEX('1-DATA'!$1:$1048576,$A727-1,COLUMN('1-DATA'!AA726)),ROUND(INDEX('1-DATA'!$1:$1048576,IF(OR($B728="STD. DEVIATION",$C$1=1),$A728,$A728+1),COLUMN('1-DATA'!AA726)),IF($B728="STD. DEVIATION",2,$F$1))))</f>
        <v/>
      </c>
      <c r="AC728" s="1" t="str">
        <f>IF(OR($B728="",AC$7=""),"",IF($B728="MEANS",INDEX('1-DATA'!$1:$1048576,$A727-1,COLUMN('1-DATA'!AB726)),ROUND(INDEX('1-DATA'!$1:$1048576,IF(OR($B728="STD. DEVIATION",$C$1=1),$A728,$A728+1),COLUMN('1-DATA'!AB726)),IF($B728="STD. DEVIATION",2,$F$1))))</f>
        <v/>
      </c>
      <c r="AD728" s="1" t="str">
        <f>IF(OR($B728="",AD$7=""),"",IF($B728="MEANS",INDEX('1-DATA'!$1:$1048576,$A727-1,COLUMN('1-DATA'!AC726)),ROUND(INDEX('1-DATA'!$1:$1048576,IF(OR($B728="STD. DEVIATION",$C$1=1),$A728,$A728+1),COLUMN('1-DATA'!AC726)),IF($B728="STD. DEVIATION",2,$F$1))))</f>
        <v/>
      </c>
      <c r="AE728" s="1" t="str">
        <f>IF(OR($B728="",AE$7=""),"",IF($B728="MEANS",INDEX('1-DATA'!$1:$1048576,$A727-1,COLUMN('1-DATA'!AD726)),ROUND(INDEX('1-DATA'!$1:$1048576,IF(OR($B728="STD. DEVIATION",$C$1=1),$A728,$A728+1),COLUMN('1-DATA'!AD726)),IF($B728="STD. DEVIATION",2,$F$1))))</f>
        <v/>
      </c>
      <c r="AF728" s="1" t="str">
        <f>IF(OR($B728="",AF$7=""),"",IF($B728="MEANS",INDEX('1-DATA'!$1:$1048576,$A727-1,COLUMN('1-DATA'!AE726)),ROUND(INDEX('1-DATA'!$1:$1048576,IF(OR($B728="STD. DEVIATION",$C$1=1),$A728,$A728+1),COLUMN('1-DATA'!AE726)),IF($B728="STD. DEVIATION",2,$F$1))))</f>
        <v/>
      </c>
      <c r="AG728" s="1" t="str">
        <f>IF(OR($B728="",AG$7=""),"",IF($B728="MEANS",INDEX('1-DATA'!$1:$1048576,$A727-1,COLUMN('1-DATA'!AF726)),ROUND(INDEX('1-DATA'!$1:$1048576,IF(OR($B728="STD. DEVIATION",$C$1=1),$A728,$A728+1),COLUMN('1-DATA'!AF726)),IF($B728="STD. DEVIATION",2,$F$1))))</f>
        <v/>
      </c>
      <c r="AH728" s="1" t="str">
        <f>IF(OR($B728="",AH$7=""),"",IF($B728="MEANS",INDEX('1-DATA'!$1:$1048576,$A727-1,COLUMN('1-DATA'!AG726)),ROUND(INDEX('1-DATA'!$1:$1048576,IF(OR($B728="STD. DEVIATION",$C$1=1),$A728,$A728+1),COLUMN('1-DATA'!AG726)),IF($B728="STD. DEVIATION",2,$F$1))))</f>
        <v/>
      </c>
      <c r="AI728" s="1" t="str">
        <f>IF(OR($B728="",AI$7=""),"",IF($B728="MEANS",INDEX('1-DATA'!$1:$1048576,$A727-1,COLUMN('1-DATA'!AH726)),ROUND(INDEX('1-DATA'!$1:$1048576,IF(OR($B728="STD. DEVIATION",$C$1=1),$A728,$A728+1),COLUMN('1-DATA'!AH726)),IF($B728="STD. DEVIATION",2,$F$1))))</f>
        <v/>
      </c>
      <c r="AJ728" s="1" t="str">
        <f>IF(OR($B728="",AJ$7=""),"",IF($B728="MEANS",INDEX('1-DATA'!$1:$1048576,$A727-1,COLUMN('1-DATA'!AI726)),ROUND(INDEX('1-DATA'!$1:$1048576,IF(OR($B728="STD. DEVIATION",$C$1=1),$A728,$A728+1),COLUMN('1-DATA'!AI726)),IF($B728="STD. DEVIATION",2,$F$1))))</f>
        <v/>
      </c>
      <c r="AK728" s="1" t="str">
        <f>IF(OR($B728="",AK$7=""),"",IF($B728="MEANS",INDEX('1-DATA'!$1:$1048576,$A727-1,COLUMN('1-DATA'!AJ726)),ROUND(INDEX('1-DATA'!$1:$1048576,IF(OR($B728="STD. DEVIATION",$C$1=1),$A728,$A728+1),COLUMN('1-DATA'!AJ726)),IF($B728="STD. DEVIATION",2,$F$1))))</f>
        <v/>
      </c>
      <c r="AL728" s="1" t="str">
        <f>IF(OR($B728="",AL$7=""),"",IF($B728="MEANS",INDEX('1-DATA'!$1:$1048576,$A727-1,COLUMN('1-DATA'!AK726)),ROUND(INDEX('1-DATA'!$1:$1048576,IF(OR($B728="STD. DEVIATION",$C$1=1),$A728,$A728+1),COLUMN('1-DATA'!AK726)),IF($B728="STD. DEVIATION",2,$F$1))))</f>
        <v/>
      </c>
      <c r="AM728" s="1" t="str">
        <f>IF(OR($B728="",AM$7=""),"",IF($B728="MEANS",INDEX('1-DATA'!$1:$1048576,$A727-1,COLUMN('1-DATA'!AL726)),ROUND(INDEX('1-DATA'!$1:$1048576,IF(OR($B728="STD. DEVIATION",$C$1=1),$A728,$A728+1),COLUMN('1-DATA'!AL726)),IF($B728="STD. DEVIATION",2,$F$1))))</f>
        <v/>
      </c>
      <c r="AN728" s="1" t="str">
        <f>IF(OR($B728="",AN$7=""),"",IF($B728="MEANS",INDEX('1-DATA'!$1:$1048576,$A727-1,COLUMN('1-DATA'!AM726)),ROUND(INDEX('1-DATA'!$1:$1048576,IF(OR($B728="STD. DEVIATION",$C$1=1),$A728,$A728+1),COLUMN('1-DATA'!AM726)),IF($B728="STD. DEVIATION",2,$F$1))))</f>
        <v/>
      </c>
      <c r="AO728" s="1" t="str">
        <f>IF(OR($B728="",AO$7=""),"",IF($B728="MEANS",INDEX('1-DATA'!$1:$1048576,$A727-1,COLUMN('1-DATA'!AN726)),ROUND(INDEX('1-DATA'!$1:$1048576,IF(OR($B728="STD. DEVIATION",$C$1=1),$A728,$A728+1),COLUMN('1-DATA'!AN726)),IF($B728="STD. DEVIATION",2,$F$1))))</f>
        <v/>
      </c>
      <c r="AP728" s="1" t="str">
        <f>IF(OR($B728="",AP$7=""),"",IF($B728="MEANS",INDEX('1-DATA'!$1:$1048576,$A727-1,COLUMN('1-DATA'!AO726)),ROUND(INDEX('1-DATA'!$1:$1048576,IF(OR($B728="STD. DEVIATION",$C$1=1),$A728,$A728+1),COLUMN('1-DATA'!AO726)),IF($B728="STD. DEVIATION",2,$F$1))))</f>
        <v/>
      </c>
      <c r="AQ728" s="1" t="str">
        <f>IF(OR($B728="",AQ$7=""),"",IF($B728="MEANS",INDEX('1-DATA'!$1:$1048576,$A727-1,COLUMN('1-DATA'!AP726)),ROUND(INDEX('1-DATA'!$1:$1048576,IF(OR($B728="STD. DEVIATION",$C$1=1),$A728,$A728+1),COLUMN('1-DATA'!AP726)),IF($B728="STD. DEVIATION",2,$F$1))))</f>
        <v/>
      </c>
      <c r="AR728" s="1" t="str">
        <f>IF(OR($B728="",AR$7=""),"",IF($B728="MEANS",INDEX('1-DATA'!$1:$1048576,$A727-1,COLUMN('1-DATA'!AQ726)),ROUND(INDEX('1-DATA'!$1:$1048576,IF(OR($B728="STD. DEVIATION",$C$1=1),$A728,$A728+1),COLUMN('1-DATA'!AQ726)),IF($B728="STD. DEVIATION",2,$F$1))))</f>
        <v/>
      </c>
      <c r="AS728" s="1" t="str">
        <f>IF(OR($B728="",AS$7=""),"",IF($B728="MEANS",INDEX('1-DATA'!$1:$1048576,$A727-1,COLUMN('1-DATA'!AR726)),ROUND(INDEX('1-DATA'!$1:$1048576,IF(OR($B728="STD. DEVIATION",$C$1=1),$A728,$A728+1),COLUMN('1-DATA'!AR726)),IF($B728="STD. DEVIATION",2,$F$1))))</f>
        <v/>
      </c>
      <c r="AT728" s="1" t="str">
        <f>IF(OR($B728="",AT$7=""),"",IF($B728="MEANS",INDEX('1-DATA'!$1:$1048576,$A727-1,COLUMN('1-DATA'!AS726)),ROUND(INDEX('1-DATA'!$1:$1048576,IF(OR($B728="STD. DEVIATION",$C$1=1),$A728,$A728+1),COLUMN('1-DATA'!AS726)),IF($B728="STD. DEVIATION",2,$F$1))))</f>
        <v/>
      </c>
      <c r="AU728" s="1" t="str">
        <f>IF(OR($B728="",AU$7=""),"",IF($B728="MEANS",INDEX('1-DATA'!$1:$1048576,$A727-1,COLUMN('1-DATA'!AT726)),ROUND(INDEX('1-DATA'!$1:$1048576,IF(OR($B728="STD. DEVIATION",$C$1=1),$A728,$A728+1),COLUMN('1-DATA'!AT726)),IF($B728="STD. DEVIATION",2,$F$1))))</f>
        <v/>
      </c>
      <c r="AV728" s="1" t="str">
        <f>IF(OR($B728="",AV$7=""),"",IF($B728="MEANS",INDEX('1-DATA'!$1:$1048576,$A727-1,COLUMN('1-DATA'!AU726)),ROUND(INDEX('1-DATA'!$1:$1048576,IF(OR($B728="STD. DEVIATION",$C$1=1),$A728,$A728+1),COLUMN('1-DATA'!AU726)),IF($B728="STD. DEVIATION",2,$F$1))))</f>
        <v/>
      </c>
      <c r="AW728" s="1" t="str">
        <f>IF(OR($B728="",AW$7=""),"",IF($B728="MEANS",INDEX('1-DATA'!$1:$1048576,$A727-1,COLUMN('1-DATA'!AV726)),ROUND(INDEX('1-DATA'!$1:$1048576,IF(OR($B728="STD. DEVIATION",$C$1=1),$A728,$A728+1),COLUMN('1-DATA'!AV726)),IF($B728="STD. DEVIATION",2,$F$1))))</f>
        <v/>
      </c>
      <c r="AX728" s="1" t="str">
        <f>IF(OR($B728="",AX$7=""),"",IF($B728="MEANS",INDEX('1-DATA'!$1:$1048576,$A727-1,COLUMN('1-DATA'!AW726)),ROUND(INDEX('1-DATA'!$1:$1048576,IF(OR($B728="STD. DEVIATION",$C$1=1),$A728,$A728+1),COLUMN('1-DATA'!AW726)),IF($B728="STD. DEVIATION",2,$F$1))))</f>
        <v/>
      </c>
      <c r="AY728" s="1" t="str">
        <f>IF(OR($B728="",AY$7=""),"",IF($B728="MEANS",INDEX('1-DATA'!$1:$1048576,$A727-1,COLUMN('1-DATA'!AX726)),ROUND(INDEX('1-DATA'!$1:$1048576,IF(OR($B728="STD. DEVIATION",$C$1=1),$A728,$A728+1),COLUMN('1-DATA'!AX726)),IF($B728="STD. DEVIATION",2,$F$1))))</f>
        <v/>
      </c>
      <c r="AZ728" s="1" t="str">
        <f>IF(OR($B728="",AZ$7=""),"",IF($B728="MEANS",INDEX('1-DATA'!$1:$1048576,$A727-1,COLUMN('1-DATA'!AY726)),ROUND(INDEX('1-DATA'!$1:$1048576,IF(OR($B728="STD. DEVIATION",$C$1=1),$A728,$A728+1),COLUMN('1-DATA'!AY726)),IF($B728="STD. DEVIATION",2,$F$1))))</f>
        <v/>
      </c>
    </row>
    <row r="729" spans="1:52" x14ac:dyDescent="0.25">
      <c r="A729" s="11">
        <f t="shared" si="11"/>
        <v>2173</v>
      </c>
      <c r="B729" s="1" t="str">
        <f>IF(B728="STD. DEVIATION",INDEX('1-DATA'!$1:$1048576,$A728-1,1),IF(INDEX('1-DATA'!$1:$1048576,$A729,1)&lt;&gt;"",INDEX('1-DATA'!$1:$1048576,$A729,1),""))</f>
        <v/>
      </c>
      <c r="C729" s="1" t="str">
        <f>IF(OR($B729="",C$7=""),"",IF($B729="MEANS",INDEX('1-DATA'!$1:$1048576,$A728-1,COLUMN('1-DATA'!B727)),ROUND(INDEX('1-DATA'!$1:$1048576,IF(OR($B729="STD. DEVIATION",$C$1=1),$A729,$A729+1),COLUMN('1-DATA'!B727)),IF($B729="STD. DEVIATION",2,$F$1))))</f>
        <v/>
      </c>
      <c r="D729" s="1" t="str">
        <f>IF(OR($B729="",D$7=""),"",IF($B729="MEANS",INDEX('1-DATA'!$1:$1048576,$A728-1,COLUMN('1-DATA'!C727)),ROUND(INDEX('1-DATA'!$1:$1048576,IF(OR($B729="STD. DEVIATION",$C$1=1),$A729,$A729+1),COLUMN('1-DATA'!C727)),IF($B729="STD. DEVIATION",2,$F$1))))</f>
        <v/>
      </c>
      <c r="E729" s="1" t="str">
        <f>IF(OR($B729="",E$7=""),"",IF($B729="MEANS",INDEX('1-DATA'!$1:$1048576,$A728-1,COLUMN('1-DATA'!D727)),ROUND(INDEX('1-DATA'!$1:$1048576,IF(OR($B729="STD. DEVIATION",$C$1=1),$A729,$A729+1),COLUMN('1-DATA'!D727)),IF($B729="STD. DEVIATION",2,$F$1))))</f>
        <v/>
      </c>
      <c r="F729" s="1" t="str">
        <f>IF(OR($B729="",F$7=""),"",IF($B729="MEANS",INDEX('1-DATA'!$1:$1048576,$A728-1,COLUMN('1-DATA'!E727)),ROUND(INDEX('1-DATA'!$1:$1048576,IF(OR($B729="STD. DEVIATION",$C$1=1),$A729,$A729+1),COLUMN('1-DATA'!E727)),IF($B729="STD. DEVIATION",2,$F$1))))</f>
        <v/>
      </c>
      <c r="G729" s="1" t="str">
        <f>IF(OR($B729="",G$7=""),"",IF($B729="MEANS",INDEX('1-DATA'!$1:$1048576,$A728-1,COLUMN('1-DATA'!F727)),ROUND(INDEX('1-DATA'!$1:$1048576,IF(OR($B729="STD. DEVIATION",$C$1=1),$A729,$A729+1),COLUMN('1-DATA'!F727)),IF($B729="STD. DEVIATION",2,$F$1))))</f>
        <v/>
      </c>
      <c r="H729" s="1" t="str">
        <f>IF(OR($B729="",H$7=""),"",IF($B729="MEANS",INDEX('1-DATA'!$1:$1048576,$A728-1,COLUMN('1-DATA'!G727)),ROUND(INDEX('1-DATA'!$1:$1048576,IF(OR($B729="STD. DEVIATION",$C$1=1),$A729,$A729+1),COLUMN('1-DATA'!G727)),IF($B729="STD. DEVIATION",2,$F$1))))</f>
        <v/>
      </c>
      <c r="I729" s="1" t="str">
        <f>IF(OR($B729="",I$7=""),"",IF($B729="MEANS",INDEX('1-DATA'!$1:$1048576,$A728-1,COLUMN('1-DATA'!H727)),ROUND(INDEX('1-DATA'!$1:$1048576,IF(OR($B729="STD. DEVIATION",$C$1=1),$A729,$A729+1),COLUMN('1-DATA'!H727)),IF($B729="STD. DEVIATION",2,$F$1))))</f>
        <v/>
      </c>
      <c r="J729" s="1" t="str">
        <f>IF(OR($B729="",J$7=""),"",IF($B729="MEANS",INDEX('1-DATA'!$1:$1048576,$A728-1,COLUMN('1-DATA'!I727)),ROUND(INDEX('1-DATA'!$1:$1048576,IF(OR($B729="STD. DEVIATION",$C$1=1),$A729,$A729+1),COLUMN('1-DATA'!I727)),IF($B729="STD. DEVIATION",2,$F$1))))</f>
        <v/>
      </c>
      <c r="K729" s="1" t="str">
        <f>IF(OR($B729="",K$7=""),"",IF($B729="MEANS",INDEX('1-DATA'!$1:$1048576,$A728-1,COLUMN('1-DATA'!J727)),ROUND(INDEX('1-DATA'!$1:$1048576,IF(OR($B729="STD. DEVIATION",$C$1=1),$A729,$A729+1),COLUMN('1-DATA'!J727)),IF($B729="STD. DEVIATION",2,$F$1))))</f>
        <v/>
      </c>
      <c r="L729" s="1" t="str">
        <f>IF(OR($B729="",L$7=""),"",IF($B729="MEANS",INDEX('1-DATA'!$1:$1048576,$A728-1,COLUMN('1-DATA'!K727)),ROUND(INDEX('1-DATA'!$1:$1048576,IF(OR($B729="STD. DEVIATION",$C$1=1),$A729,$A729+1),COLUMN('1-DATA'!K727)),IF($B729="STD. DEVIATION",2,$F$1))))</f>
        <v/>
      </c>
      <c r="M729" s="1" t="str">
        <f>IF(OR($B729="",M$7=""),"",IF($B729="MEANS",INDEX('1-DATA'!$1:$1048576,$A728-1,COLUMN('1-DATA'!L727)),ROUND(INDEX('1-DATA'!$1:$1048576,IF(OR($B729="STD. DEVIATION",$C$1=1),$A729,$A729+1),COLUMN('1-DATA'!L727)),IF($B729="STD. DEVIATION",2,$F$1))))</f>
        <v/>
      </c>
      <c r="N729" s="1" t="str">
        <f>IF(OR($B729="",N$7=""),"",IF($B729="MEANS",INDEX('1-DATA'!$1:$1048576,$A728-1,COLUMN('1-DATA'!M727)),ROUND(INDEX('1-DATA'!$1:$1048576,IF(OR($B729="STD. DEVIATION",$C$1=1),$A729,$A729+1),COLUMN('1-DATA'!M727)),IF($B729="STD. DEVIATION",2,$F$1))))</f>
        <v/>
      </c>
      <c r="O729" s="1" t="str">
        <f>IF(OR($B729="",O$7=""),"",IF($B729="MEANS",INDEX('1-DATA'!$1:$1048576,$A728-1,COLUMN('1-DATA'!N727)),ROUND(INDEX('1-DATA'!$1:$1048576,IF(OR($B729="STD. DEVIATION",$C$1=1),$A729,$A729+1),COLUMN('1-DATA'!N727)),IF($B729="STD. DEVIATION",2,$F$1))))</f>
        <v/>
      </c>
      <c r="P729" s="1" t="str">
        <f>IF(OR($B729="",P$7=""),"",IF($B729="MEANS",INDEX('1-DATA'!$1:$1048576,$A728-1,COLUMN('1-DATA'!O727)),ROUND(INDEX('1-DATA'!$1:$1048576,IF(OR($B729="STD. DEVIATION",$C$1=1),$A729,$A729+1),COLUMN('1-DATA'!O727)),IF($B729="STD. DEVIATION",2,$F$1))))</f>
        <v/>
      </c>
      <c r="Q729" s="1" t="str">
        <f>IF(OR($B729="",Q$7=""),"",IF($B729="MEANS",INDEX('1-DATA'!$1:$1048576,$A728-1,COLUMN('1-DATA'!P727)),ROUND(INDEX('1-DATA'!$1:$1048576,IF(OR($B729="STD. DEVIATION",$C$1=1),$A729,$A729+1),COLUMN('1-DATA'!P727)),IF($B729="STD. DEVIATION",2,$F$1))))</f>
        <v/>
      </c>
      <c r="R729" s="1" t="str">
        <f>IF(OR($B729="",R$7=""),"",IF($B729="MEANS",INDEX('1-DATA'!$1:$1048576,$A728-1,COLUMN('1-DATA'!Q727)),ROUND(INDEX('1-DATA'!$1:$1048576,IF(OR($B729="STD. DEVIATION",$C$1=1),$A729,$A729+1),COLUMN('1-DATA'!Q727)),IF($B729="STD. DEVIATION",2,$F$1))))</f>
        <v/>
      </c>
      <c r="S729" s="1" t="str">
        <f>IF(OR($B729="",S$7=""),"",IF($B729="MEANS",INDEX('1-DATA'!$1:$1048576,$A728-1,COLUMN('1-DATA'!R727)),ROUND(INDEX('1-DATA'!$1:$1048576,IF(OR($B729="STD. DEVIATION",$C$1=1),$A729,$A729+1),COLUMN('1-DATA'!R727)),IF($B729="STD. DEVIATION",2,$F$1))))</f>
        <v/>
      </c>
      <c r="T729" s="1" t="str">
        <f>IF(OR($B729="",T$7=""),"",IF($B729="MEANS",INDEX('1-DATA'!$1:$1048576,$A728-1,COLUMN('1-DATA'!S727)),ROUND(INDEX('1-DATA'!$1:$1048576,IF(OR($B729="STD. DEVIATION",$C$1=1),$A729,$A729+1),COLUMN('1-DATA'!S727)),IF($B729="STD. DEVIATION",2,$F$1))))</f>
        <v/>
      </c>
      <c r="U729" s="1" t="str">
        <f>IF(OR($B729="",U$7=""),"",IF($B729="MEANS",INDEX('1-DATA'!$1:$1048576,$A728-1,COLUMN('1-DATA'!T727)),ROUND(INDEX('1-DATA'!$1:$1048576,IF(OR($B729="STD. DEVIATION",$C$1=1),$A729,$A729+1),COLUMN('1-DATA'!T727)),IF($B729="STD. DEVIATION",2,$F$1))))</f>
        <v/>
      </c>
      <c r="V729" s="1" t="str">
        <f>IF(OR($B729="",V$7=""),"",IF($B729="MEANS",INDEX('1-DATA'!$1:$1048576,$A728-1,COLUMN('1-DATA'!U727)),ROUND(INDEX('1-DATA'!$1:$1048576,IF(OR($B729="STD. DEVIATION",$C$1=1),$A729,$A729+1),COLUMN('1-DATA'!U727)),IF($B729="STD. DEVIATION",2,$F$1))))</f>
        <v/>
      </c>
      <c r="W729" s="1" t="str">
        <f>IF(OR($B729="",W$7=""),"",IF($B729="MEANS",INDEX('1-DATA'!$1:$1048576,$A728-1,COLUMN('1-DATA'!V727)),ROUND(INDEX('1-DATA'!$1:$1048576,IF(OR($B729="STD. DEVIATION",$C$1=1),$A729,$A729+1),COLUMN('1-DATA'!V727)),IF($B729="STD. DEVIATION",2,$F$1))))</f>
        <v/>
      </c>
      <c r="X729" s="1" t="str">
        <f>IF(OR($B729="",X$7=""),"",IF($B729="MEANS",INDEX('1-DATA'!$1:$1048576,$A728-1,COLUMN('1-DATA'!W727)),ROUND(INDEX('1-DATA'!$1:$1048576,IF(OR($B729="STD. DEVIATION",$C$1=1),$A729,$A729+1),COLUMN('1-DATA'!W727)),IF($B729="STD. DEVIATION",2,$F$1))))</f>
        <v/>
      </c>
      <c r="Y729" s="1" t="str">
        <f>IF(OR($B729="",Y$7=""),"",IF($B729="MEANS",INDEX('1-DATA'!$1:$1048576,$A728-1,COLUMN('1-DATA'!X727)),ROUND(INDEX('1-DATA'!$1:$1048576,IF(OR($B729="STD. DEVIATION",$C$1=1),$A729,$A729+1),COLUMN('1-DATA'!X727)),IF($B729="STD. DEVIATION",2,$F$1))))</f>
        <v/>
      </c>
      <c r="Z729" s="1" t="str">
        <f>IF(OR($B729="",Z$7=""),"",IF($B729="MEANS",INDEX('1-DATA'!$1:$1048576,$A728-1,COLUMN('1-DATA'!Y727)),ROUND(INDEX('1-DATA'!$1:$1048576,IF(OR($B729="STD. DEVIATION",$C$1=1),$A729,$A729+1),COLUMN('1-DATA'!Y727)),IF($B729="STD. DEVIATION",2,$F$1))))</f>
        <v/>
      </c>
      <c r="AA729" s="1" t="str">
        <f>IF(OR($B729="",AA$7=""),"",IF($B729="MEANS",INDEX('1-DATA'!$1:$1048576,$A728-1,COLUMN('1-DATA'!Z727)),ROUND(INDEX('1-DATA'!$1:$1048576,IF(OR($B729="STD. DEVIATION",$C$1=1),$A729,$A729+1),COLUMN('1-DATA'!Z727)),IF($B729="STD. DEVIATION",2,$F$1))))</f>
        <v/>
      </c>
      <c r="AB729" s="1" t="str">
        <f>IF(OR($B729="",AB$7=""),"",IF($B729="MEANS",INDEX('1-DATA'!$1:$1048576,$A728-1,COLUMN('1-DATA'!AA727)),ROUND(INDEX('1-DATA'!$1:$1048576,IF(OR($B729="STD. DEVIATION",$C$1=1),$A729,$A729+1),COLUMN('1-DATA'!AA727)),IF($B729="STD. DEVIATION",2,$F$1))))</f>
        <v/>
      </c>
      <c r="AC729" s="1" t="str">
        <f>IF(OR($B729="",AC$7=""),"",IF($B729="MEANS",INDEX('1-DATA'!$1:$1048576,$A728-1,COLUMN('1-DATA'!AB727)),ROUND(INDEX('1-DATA'!$1:$1048576,IF(OR($B729="STD. DEVIATION",$C$1=1),$A729,$A729+1),COLUMN('1-DATA'!AB727)),IF($B729="STD. DEVIATION",2,$F$1))))</f>
        <v/>
      </c>
      <c r="AD729" s="1" t="str">
        <f>IF(OR($B729="",AD$7=""),"",IF($B729="MEANS",INDEX('1-DATA'!$1:$1048576,$A728-1,COLUMN('1-DATA'!AC727)),ROUND(INDEX('1-DATA'!$1:$1048576,IF(OR($B729="STD. DEVIATION",$C$1=1),$A729,$A729+1),COLUMN('1-DATA'!AC727)),IF($B729="STD. DEVIATION",2,$F$1))))</f>
        <v/>
      </c>
      <c r="AE729" s="1" t="str">
        <f>IF(OR($B729="",AE$7=""),"",IF($B729="MEANS",INDEX('1-DATA'!$1:$1048576,$A728-1,COLUMN('1-DATA'!AD727)),ROUND(INDEX('1-DATA'!$1:$1048576,IF(OR($B729="STD. DEVIATION",$C$1=1),$A729,$A729+1),COLUMN('1-DATA'!AD727)),IF($B729="STD. DEVIATION",2,$F$1))))</f>
        <v/>
      </c>
      <c r="AF729" s="1" t="str">
        <f>IF(OR($B729="",AF$7=""),"",IF($B729="MEANS",INDEX('1-DATA'!$1:$1048576,$A728-1,COLUMN('1-DATA'!AE727)),ROUND(INDEX('1-DATA'!$1:$1048576,IF(OR($B729="STD. DEVIATION",$C$1=1),$A729,$A729+1),COLUMN('1-DATA'!AE727)),IF($B729="STD. DEVIATION",2,$F$1))))</f>
        <v/>
      </c>
      <c r="AG729" s="1" t="str">
        <f>IF(OR($B729="",AG$7=""),"",IF($B729="MEANS",INDEX('1-DATA'!$1:$1048576,$A728-1,COLUMN('1-DATA'!AF727)),ROUND(INDEX('1-DATA'!$1:$1048576,IF(OR($B729="STD. DEVIATION",$C$1=1),$A729,$A729+1),COLUMN('1-DATA'!AF727)),IF($B729="STD. DEVIATION",2,$F$1))))</f>
        <v/>
      </c>
      <c r="AH729" s="1" t="str">
        <f>IF(OR($B729="",AH$7=""),"",IF($B729="MEANS",INDEX('1-DATA'!$1:$1048576,$A728-1,COLUMN('1-DATA'!AG727)),ROUND(INDEX('1-DATA'!$1:$1048576,IF(OR($B729="STD. DEVIATION",$C$1=1),$A729,$A729+1),COLUMN('1-DATA'!AG727)),IF($B729="STD. DEVIATION",2,$F$1))))</f>
        <v/>
      </c>
      <c r="AI729" s="1" t="str">
        <f>IF(OR($B729="",AI$7=""),"",IF($B729="MEANS",INDEX('1-DATA'!$1:$1048576,$A728-1,COLUMN('1-DATA'!AH727)),ROUND(INDEX('1-DATA'!$1:$1048576,IF(OR($B729="STD. DEVIATION",$C$1=1),$A729,$A729+1),COLUMN('1-DATA'!AH727)),IF($B729="STD. DEVIATION",2,$F$1))))</f>
        <v/>
      </c>
      <c r="AJ729" s="1" t="str">
        <f>IF(OR($B729="",AJ$7=""),"",IF($B729="MEANS",INDEX('1-DATA'!$1:$1048576,$A728-1,COLUMN('1-DATA'!AI727)),ROUND(INDEX('1-DATA'!$1:$1048576,IF(OR($B729="STD. DEVIATION",$C$1=1),$A729,$A729+1),COLUMN('1-DATA'!AI727)),IF($B729="STD. DEVIATION",2,$F$1))))</f>
        <v/>
      </c>
      <c r="AK729" s="1" t="str">
        <f>IF(OR($B729="",AK$7=""),"",IF($B729="MEANS",INDEX('1-DATA'!$1:$1048576,$A728-1,COLUMN('1-DATA'!AJ727)),ROUND(INDEX('1-DATA'!$1:$1048576,IF(OR($B729="STD. DEVIATION",$C$1=1),$A729,$A729+1),COLUMN('1-DATA'!AJ727)),IF($B729="STD. DEVIATION",2,$F$1))))</f>
        <v/>
      </c>
      <c r="AL729" s="1" t="str">
        <f>IF(OR($B729="",AL$7=""),"",IF($B729="MEANS",INDEX('1-DATA'!$1:$1048576,$A728-1,COLUMN('1-DATA'!AK727)),ROUND(INDEX('1-DATA'!$1:$1048576,IF(OR($B729="STD. DEVIATION",$C$1=1),$A729,$A729+1),COLUMN('1-DATA'!AK727)),IF($B729="STD. DEVIATION",2,$F$1))))</f>
        <v/>
      </c>
      <c r="AM729" s="1" t="str">
        <f>IF(OR($B729="",AM$7=""),"",IF($B729="MEANS",INDEX('1-DATA'!$1:$1048576,$A728-1,COLUMN('1-DATA'!AL727)),ROUND(INDEX('1-DATA'!$1:$1048576,IF(OR($B729="STD. DEVIATION",$C$1=1),$A729,$A729+1),COLUMN('1-DATA'!AL727)),IF($B729="STD. DEVIATION",2,$F$1))))</f>
        <v/>
      </c>
      <c r="AN729" s="1" t="str">
        <f>IF(OR($B729="",AN$7=""),"",IF($B729="MEANS",INDEX('1-DATA'!$1:$1048576,$A728-1,COLUMN('1-DATA'!AM727)),ROUND(INDEX('1-DATA'!$1:$1048576,IF(OR($B729="STD. DEVIATION",$C$1=1),$A729,$A729+1),COLUMN('1-DATA'!AM727)),IF($B729="STD. DEVIATION",2,$F$1))))</f>
        <v/>
      </c>
      <c r="AO729" s="1" t="str">
        <f>IF(OR($B729="",AO$7=""),"",IF($B729="MEANS",INDEX('1-DATA'!$1:$1048576,$A728-1,COLUMN('1-DATA'!AN727)),ROUND(INDEX('1-DATA'!$1:$1048576,IF(OR($B729="STD. DEVIATION",$C$1=1),$A729,$A729+1),COLUMN('1-DATA'!AN727)),IF($B729="STD. DEVIATION",2,$F$1))))</f>
        <v/>
      </c>
      <c r="AP729" s="1" t="str">
        <f>IF(OR($B729="",AP$7=""),"",IF($B729="MEANS",INDEX('1-DATA'!$1:$1048576,$A728-1,COLUMN('1-DATA'!AO727)),ROUND(INDEX('1-DATA'!$1:$1048576,IF(OR($B729="STD. DEVIATION",$C$1=1),$A729,$A729+1),COLUMN('1-DATA'!AO727)),IF($B729="STD. DEVIATION",2,$F$1))))</f>
        <v/>
      </c>
      <c r="AQ729" s="1" t="str">
        <f>IF(OR($B729="",AQ$7=""),"",IF($B729="MEANS",INDEX('1-DATA'!$1:$1048576,$A728-1,COLUMN('1-DATA'!AP727)),ROUND(INDEX('1-DATA'!$1:$1048576,IF(OR($B729="STD. DEVIATION",$C$1=1),$A729,$A729+1),COLUMN('1-DATA'!AP727)),IF($B729="STD. DEVIATION",2,$F$1))))</f>
        <v/>
      </c>
      <c r="AR729" s="1" t="str">
        <f>IF(OR($B729="",AR$7=""),"",IF($B729="MEANS",INDEX('1-DATA'!$1:$1048576,$A728-1,COLUMN('1-DATA'!AQ727)),ROUND(INDEX('1-DATA'!$1:$1048576,IF(OR($B729="STD. DEVIATION",$C$1=1),$A729,$A729+1),COLUMN('1-DATA'!AQ727)),IF($B729="STD. DEVIATION",2,$F$1))))</f>
        <v/>
      </c>
      <c r="AS729" s="1" t="str">
        <f>IF(OR($B729="",AS$7=""),"",IF($B729="MEANS",INDEX('1-DATA'!$1:$1048576,$A728-1,COLUMN('1-DATA'!AR727)),ROUND(INDEX('1-DATA'!$1:$1048576,IF(OR($B729="STD. DEVIATION",$C$1=1),$A729,$A729+1),COLUMN('1-DATA'!AR727)),IF($B729="STD. DEVIATION",2,$F$1))))</f>
        <v/>
      </c>
      <c r="AT729" s="1" t="str">
        <f>IF(OR($B729="",AT$7=""),"",IF($B729="MEANS",INDEX('1-DATA'!$1:$1048576,$A728-1,COLUMN('1-DATA'!AS727)),ROUND(INDEX('1-DATA'!$1:$1048576,IF(OR($B729="STD. DEVIATION",$C$1=1),$A729,$A729+1),COLUMN('1-DATA'!AS727)),IF($B729="STD. DEVIATION",2,$F$1))))</f>
        <v/>
      </c>
      <c r="AU729" s="1" t="str">
        <f>IF(OR($B729="",AU$7=""),"",IF($B729="MEANS",INDEX('1-DATA'!$1:$1048576,$A728-1,COLUMN('1-DATA'!AT727)),ROUND(INDEX('1-DATA'!$1:$1048576,IF(OR($B729="STD. DEVIATION",$C$1=1),$A729,$A729+1),COLUMN('1-DATA'!AT727)),IF($B729="STD. DEVIATION",2,$F$1))))</f>
        <v/>
      </c>
      <c r="AV729" s="1" t="str">
        <f>IF(OR($B729="",AV$7=""),"",IF($B729="MEANS",INDEX('1-DATA'!$1:$1048576,$A728-1,COLUMN('1-DATA'!AU727)),ROUND(INDEX('1-DATA'!$1:$1048576,IF(OR($B729="STD. DEVIATION",$C$1=1),$A729,$A729+1),COLUMN('1-DATA'!AU727)),IF($B729="STD. DEVIATION",2,$F$1))))</f>
        <v/>
      </c>
      <c r="AW729" s="1" t="str">
        <f>IF(OR($B729="",AW$7=""),"",IF($B729="MEANS",INDEX('1-DATA'!$1:$1048576,$A728-1,COLUMN('1-DATA'!AV727)),ROUND(INDEX('1-DATA'!$1:$1048576,IF(OR($B729="STD. DEVIATION",$C$1=1),$A729,$A729+1),COLUMN('1-DATA'!AV727)),IF($B729="STD. DEVIATION",2,$F$1))))</f>
        <v/>
      </c>
      <c r="AX729" s="1" t="str">
        <f>IF(OR($B729="",AX$7=""),"",IF($B729="MEANS",INDEX('1-DATA'!$1:$1048576,$A728-1,COLUMN('1-DATA'!AW727)),ROUND(INDEX('1-DATA'!$1:$1048576,IF(OR($B729="STD. DEVIATION",$C$1=1),$A729,$A729+1),COLUMN('1-DATA'!AW727)),IF($B729="STD. DEVIATION",2,$F$1))))</f>
        <v/>
      </c>
      <c r="AY729" s="1" t="str">
        <f>IF(OR($B729="",AY$7=""),"",IF($B729="MEANS",INDEX('1-DATA'!$1:$1048576,$A728-1,COLUMN('1-DATA'!AX727)),ROUND(INDEX('1-DATA'!$1:$1048576,IF(OR($B729="STD. DEVIATION",$C$1=1),$A729,$A729+1),COLUMN('1-DATA'!AX727)),IF($B729="STD. DEVIATION",2,$F$1))))</f>
        <v/>
      </c>
      <c r="AZ729" s="1" t="str">
        <f>IF(OR($B729="",AZ$7=""),"",IF($B729="MEANS",INDEX('1-DATA'!$1:$1048576,$A728-1,COLUMN('1-DATA'!AY727)),ROUND(INDEX('1-DATA'!$1:$1048576,IF(OR($B729="STD. DEVIATION",$C$1=1),$A729,$A729+1),COLUMN('1-DATA'!AY727)),IF($B729="STD. DEVIATION",2,$F$1))))</f>
        <v/>
      </c>
    </row>
    <row r="730" spans="1:52" x14ac:dyDescent="0.25">
      <c r="A730" s="11">
        <f t="shared" si="11"/>
        <v>2176</v>
      </c>
      <c r="B730" s="1" t="str">
        <f>IF(B729="STD. DEVIATION",INDEX('1-DATA'!$1:$1048576,$A729-1,1),IF(INDEX('1-DATA'!$1:$1048576,$A730,1)&lt;&gt;"",INDEX('1-DATA'!$1:$1048576,$A730,1),""))</f>
        <v/>
      </c>
      <c r="C730" s="1" t="str">
        <f>IF(OR($B730="",C$7=""),"",IF($B730="MEANS",INDEX('1-DATA'!$1:$1048576,$A729-1,COLUMN('1-DATA'!B728)),ROUND(INDEX('1-DATA'!$1:$1048576,IF(OR($B730="STD. DEVIATION",$C$1=1),$A730,$A730+1),COLUMN('1-DATA'!B728)),IF($B730="STD. DEVIATION",2,$F$1))))</f>
        <v/>
      </c>
      <c r="D730" s="1" t="str">
        <f>IF(OR($B730="",D$7=""),"",IF($B730="MEANS",INDEX('1-DATA'!$1:$1048576,$A729-1,COLUMN('1-DATA'!C728)),ROUND(INDEX('1-DATA'!$1:$1048576,IF(OR($B730="STD. DEVIATION",$C$1=1),$A730,$A730+1),COLUMN('1-DATA'!C728)),IF($B730="STD. DEVIATION",2,$F$1))))</f>
        <v/>
      </c>
      <c r="E730" s="1" t="str">
        <f>IF(OR($B730="",E$7=""),"",IF($B730="MEANS",INDEX('1-DATA'!$1:$1048576,$A729-1,COLUMN('1-DATA'!D728)),ROUND(INDEX('1-DATA'!$1:$1048576,IF(OR($B730="STD. DEVIATION",$C$1=1),$A730,$A730+1),COLUMN('1-DATA'!D728)),IF($B730="STD. DEVIATION",2,$F$1))))</f>
        <v/>
      </c>
      <c r="F730" s="1" t="str">
        <f>IF(OR($B730="",F$7=""),"",IF($B730="MEANS",INDEX('1-DATA'!$1:$1048576,$A729-1,COLUMN('1-DATA'!E728)),ROUND(INDEX('1-DATA'!$1:$1048576,IF(OR($B730="STD. DEVIATION",$C$1=1),$A730,$A730+1),COLUMN('1-DATA'!E728)),IF($B730="STD. DEVIATION",2,$F$1))))</f>
        <v/>
      </c>
      <c r="G730" s="1" t="str">
        <f>IF(OR($B730="",G$7=""),"",IF($B730="MEANS",INDEX('1-DATA'!$1:$1048576,$A729-1,COLUMN('1-DATA'!F728)),ROUND(INDEX('1-DATA'!$1:$1048576,IF(OR($B730="STD. DEVIATION",$C$1=1),$A730,$A730+1),COLUMN('1-DATA'!F728)),IF($B730="STD. DEVIATION",2,$F$1))))</f>
        <v/>
      </c>
      <c r="H730" s="1" t="str">
        <f>IF(OR($B730="",H$7=""),"",IF($B730="MEANS",INDEX('1-DATA'!$1:$1048576,$A729-1,COLUMN('1-DATA'!G728)),ROUND(INDEX('1-DATA'!$1:$1048576,IF(OR($B730="STD. DEVIATION",$C$1=1),$A730,$A730+1),COLUMN('1-DATA'!G728)),IF($B730="STD. DEVIATION",2,$F$1))))</f>
        <v/>
      </c>
      <c r="I730" s="1" t="str">
        <f>IF(OR($B730="",I$7=""),"",IF($B730="MEANS",INDEX('1-DATA'!$1:$1048576,$A729-1,COLUMN('1-DATA'!H728)),ROUND(INDEX('1-DATA'!$1:$1048576,IF(OR($B730="STD. DEVIATION",$C$1=1),$A730,$A730+1),COLUMN('1-DATA'!H728)),IF($B730="STD. DEVIATION",2,$F$1))))</f>
        <v/>
      </c>
      <c r="J730" s="1" t="str">
        <f>IF(OR($B730="",J$7=""),"",IF($B730="MEANS",INDEX('1-DATA'!$1:$1048576,$A729-1,COLUMN('1-DATA'!I728)),ROUND(INDEX('1-DATA'!$1:$1048576,IF(OR($B730="STD. DEVIATION",$C$1=1),$A730,$A730+1),COLUMN('1-DATA'!I728)),IF($B730="STD. DEVIATION",2,$F$1))))</f>
        <v/>
      </c>
      <c r="K730" s="1" t="str">
        <f>IF(OR($B730="",K$7=""),"",IF($B730="MEANS",INDEX('1-DATA'!$1:$1048576,$A729-1,COLUMN('1-DATA'!J728)),ROUND(INDEX('1-DATA'!$1:$1048576,IF(OR($B730="STD. DEVIATION",$C$1=1),$A730,$A730+1),COLUMN('1-DATA'!J728)),IF($B730="STD. DEVIATION",2,$F$1))))</f>
        <v/>
      </c>
      <c r="L730" s="1" t="str">
        <f>IF(OR($B730="",L$7=""),"",IF($B730="MEANS",INDEX('1-DATA'!$1:$1048576,$A729-1,COLUMN('1-DATA'!K728)),ROUND(INDEX('1-DATA'!$1:$1048576,IF(OR($B730="STD. DEVIATION",$C$1=1),$A730,$A730+1),COLUMN('1-DATA'!K728)),IF($B730="STD. DEVIATION",2,$F$1))))</f>
        <v/>
      </c>
      <c r="M730" s="1" t="str">
        <f>IF(OR($B730="",M$7=""),"",IF($B730="MEANS",INDEX('1-DATA'!$1:$1048576,$A729-1,COLUMN('1-DATA'!L728)),ROUND(INDEX('1-DATA'!$1:$1048576,IF(OR($B730="STD. DEVIATION",$C$1=1),$A730,$A730+1),COLUMN('1-DATA'!L728)),IF($B730="STD. DEVIATION",2,$F$1))))</f>
        <v/>
      </c>
      <c r="N730" s="1" t="str">
        <f>IF(OR($B730="",N$7=""),"",IF($B730="MEANS",INDEX('1-DATA'!$1:$1048576,$A729-1,COLUMN('1-DATA'!M728)),ROUND(INDEX('1-DATA'!$1:$1048576,IF(OR($B730="STD. DEVIATION",$C$1=1),$A730,$A730+1),COLUMN('1-DATA'!M728)),IF($B730="STD. DEVIATION",2,$F$1))))</f>
        <v/>
      </c>
      <c r="O730" s="1" t="str">
        <f>IF(OR($B730="",O$7=""),"",IF($B730="MEANS",INDEX('1-DATA'!$1:$1048576,$A729-1,COLUMN('1-DATA'!N728)),ROUND(INDEX('1-DATA'!$1:$1048576,IF(OR($B730="STD. DEVIATION",$C$1=1),$A730,$A730+1),COLUMN('1-DATA'!N728)),IF($B730="STD. DEVIATION",2,$F$1))))</f>
        <v/>
      </c>
      <c r="P730" s="1" t="str">
        <f>IF(OR($B730="",P$7=""),"",IF($B730="MEANS",INDEX('1-DATA'!$1:$1048576,$A729-1,COLUMN('1-DATA'!O728)),ROUND(INDEX('1-DATA'!$1:$1048576,IF(OR($B730="STD. DEVIATION",$C$1=1),$A730,$A730+1),COLUMN('1-DATA'!O728)),IF($B730="STD. DEVIATION",2,$F$1))))</f>
        <v/>
      </c>
      <c r="Q730" s="1" t="str">
        <f>IF(OR($B730="",Q$7=""),"",IF($B730="MEANS",INDEX('1-DATA'!$1:$1048576,$A729-1,COLUMN('1-DATA'!P728)),ROUND(INDEX('1-DATA'!$1:$1048576,IF(OR($B730="STD. DEVIATION",$C$1=1),$A730,$A730+1),COLUMN('1-DATA'!P728)),IF($B730="STD. DEVIATION",2,$F$1))))</f>
        <v/>
      </c>
      <c r="R730" s="1" t="str">
        <f>IF(OR($B730="",R$7=""),"",IF($B730="MEANS",INDEX('1-DATA'!$1:$1048576,$A729-1,COLUMN('1-DATA'!Q728)),ROUND(INDEX('1-DATA'!$1:$1048576,IF(OR($B730="STD. DEVIATION",$C$1=1),$A730,$A730+1),COLUMN('1-DATA'!Q728)),IF($B730="STD. DEVIATION",2,$F$1))))</f>
        <v/>
      </c>
      <c r="S730" s="1" t="str">
        <f>IF(OR($B730="",S$7=""),"",IF($B730="MEANS",INDEX('1-DATA'!$1:$1048576,$A729-1,COLUMN('1-DATA'!R728)),ROUND(INDEX('1-DATA'!$1:$1048576,IF(OR($B730="STD. DEVIATION",$C$1=1),$A730,$A730+1),COLUMN('1-DATA'!R728)),IF($B730="STD. DEVIATION",2,$F$1))))</f>
        <v/>
      </c>
      <c r="T730" s="1" t="str">
        <f>IF(OR($B730="",T$7=""),"",IF($B730="MEANS",INDEX('1-DATA'!$1:$1048576,$A729-1,COLUMN('1-DATA'!S728)),ROUND(INDEX('1-DATA'!$1:$1048576,IF(OR($B730="STD. DEVIATION",$C$1=1),$A730,$A730+1),COLUMN('1-DATA'!S728)),IF($B730="STD. DEVIATION",2,$F$1))))</f>
        <v/>
      </c>
      <c r="U730" s="1" t="str">
        <f>IF(OR($B730="",U$7=""),"",IF($B730="MEANS",INDEX('1-DATA'!$1:$1048576,$A729-1,COLUMN('1-DATA'!T728)),ROUND(INDEX('1-DATA'!$1:$1048576,IF(OR($B730="STD. DEVIATION",$C$1=1),$A730,$A730+1),COLUMN('1-DATA'!T728)),IF($B730="STD. DEVIATION",2,$F$1))))</f>
        <v/>
      </c>
      <c r="V730" s="1" t="str">
        <f>IF(OR($B730="",V$7=""),"",IF($B730="MEANS",INDEX('1-DATA'!$1:$1048576,$A729-1,COLUMN('1-DATA'!U728)),ROUND(INDEX('1-DATA'!$1:$1048576,IF(OR($B730="STD. DEVIATION",$C$1=1),$A730,$A730+1),COLUMN('1-DATA'!U728)),IF($B730="STD. DEVIATION",2,$F$1))))</f>
        <v/>
      </c>
      <c r="W730" s="1" t="str">
        <f>IF(OR($B730="",W$7=""),"",IF($B730="MEANS",INDEX('1-DATA'!$1:$1048576,$A729-1,COLUMN('1-DATA'!V728)),ROUND(INDEX('1-DATA'!$1:$1048576,IF(OR($B730="STD. DEVIATION",$C$1=1),$A730,$A730+1),COLUMN('1-DATA'!V728)),IF($B730="STD. DEVIATION",2,$F$1))))</f>
        <v/>
      </c>
      <c r="X730" s="1" t="str">
        <f>IF(OR($B730="",X$7=""),"",IF($B730="MEANS",INDEX('1-DATA'!$1:$1048576,$A729-1,COLUMN('1-DATA'!W728)),ROUND(INDEX('1-DATA'!$1:$1048576,IF(OR($B730="STD. DEVIATION",$C$1=1),$A730,$A730+1),COLUMN('1-DATA'!W728)),IF($B730="STD. DEVIATION",2,$F$1))))</f>
        <v/>
      </c>
      <c r="Y730" s="1" t="str">
        <f>IF(OR($B730="",Y$7=""),"",IF($B730="MEANS",INDEX('1-DATA'!$1:$1048576,$A729-1,COLUMN('1-DATA'!X728)),ROUND(INDEX('1-DATA'!$1:$1048576,IF(OR($B730="STD. DEVIATION",$C$1=1),$A730,$A730+1),COLUMN('1-DATA'!X728)),IF($B730="STD. DEVIATION",2,$F$1))))</f>
        <v/>
      </c>
      <c r="Z730" s="1" t="str">
        <f>IF(OR($B730="",Z$7=""),"",IF($B730="MEANS",INDEX('1-DATA'!$1:$1048576,$A729-1,COLUMN('1-DATA'!Y728)),ROUND(INDEX('1-DATA'!$1:$1048576,IF(OR($B730="STD. DEVIATION",$C$1=1),$A730,$A730+1),COLUMN('1-DATA'!Y728)),IF($B730="STD. DEVIATION",2,$F$1))))</f>
        <v/>
      </c>
      <c r="AA730" s="1" t="str">
        <f>IF(OR($B730="",AA$7=""),"",IF($B730="MEANS",INDEX('1-DATA'!$1:$1048576,$A729-1,COLUMN('1-DATA'!Z728)),ROUND(INDEX('1-DATA'!$1:$1048576,IF(OR($B730="STD. DEVIATION",$C$1=1),$A730,$A730+1),COLUMN('1-DATA'!Z728)),IF($B730="STD. DEVIATION",2,$F$1))))</f>
        <v/>
      </c>
      <c r="AB730" s="1" t="str">
        <f>IF(OR($B730="",AB$7=""),"",IF($B730="MEANS",INDEX('1-DATA'!$1:$1048576,$A729-1,COLUMN('1-DATA'!AA728)),ROUND(INDEX('1-DATA'!$1:$1048576,IF(OR($B730="STD. DEVIATION",$C$1=1),$A730,$A730+1),COLUMN('1-DATA'!AA728)),IF($B730="STD. DEVIATION",2,$F$1))))</f>
        <v/>
      </c>
      <c r="AC730" s="1" t="str">
        <f>IF(OR($B730="",AC$7=""),"",IF($B730="MEANS",INDEX('1-DATA'!$1:$1048576,$A729-1,COLUMN('1-DATA'!AB728)),ROUND(INDEX('1-DATA'!$1:$1048576,IF(OR($B730="STD. DEVIATION",$C$1=1),$A730,$A730+1),COLUMN('1-DATA'!AB728)),IF($B730="STD. DEVIATION",2,$F$1))))</f>
        <v/>
      </c>
      <c r="AD730" s="1" t="str">
        <f>IF(OR($B730="",AD$7=""),"",IF($B730="MEANS",INDEX('1-DATA'!$1:$1048576,$A729-1,COLUMN('1-DATA'!AC728)),ROUND(INDEX('1-DATA'!$1:$1048576,IF(OR($B730="STD. DEVIATION",$C$1=1),$A730,$A730+1),COLUMN('1-DATA'!AC728)),IF($B730="STD. DEVIATION",2,$F$1))))</f>
        <v/>
      </c>
      <c r="AE730" s="1" t="str">
        <f>IF(OR($B730="",AE$7=""),"",IF($B730="MEANS",INDEX('1-DATA'!$1:$1048576,$A729-1,COLUMN('1-DATA'!AD728)),ROUND(INDEX('1-DATA'!$1:$1048576,IF(OR($B730="STD. DEVIATION",$C$1=1),$A730,$A730+1),COLUMN('1-DATA'!AD728)),IF($B730="STD. DEVIATION",2,$F$1))))</f>
        <v/>
      </c>
      <c r="AF730" s="1" t="str">
        <f>IF(OR($B730="",AF$7=""),"",IF($B730="MEANS",INDEX('1-DATA'!$1:$1048576,$A729-1,COLUMN('1-DATA'!AE728)),ROUND(INDEX('1-DATA'!$1:$1048576,IF(OR($B730="STD. DEVIATION",$C$1=1),$A730,$A730+1),COLUMN('1-DATA'!AE728)),IF($B730="STD. DEVIATION",2,$F$1))))</f>
        <v/>
      </c>
      <c r="AG730" s="1" t="str">
        <f>IF(OR($B730="",AG$7=""),"",IF($B730="MEANS",INDEX('1-DATA'!$1:$1048576,$A729-1,COLUMN('1-DATA'!AF728)),ROUND(INDEX('1-DATA'!$1:$1048576,IF(OR($B730="STD. DEVIATION",$C$1=1),$A730,$A730+1),COLUMN('1-DATA'!AF728)),IF($B730="STD. DEVIATION",2,$F$1))))</f>
        <v/>
      </c>
      <c r="AH730" s="1" t="str">
        <f>IF(OR($B730="",AH$7=""),"",IF($B730="MEANS",INDEX('1-DATA'!$1:$1048576,$A729-1,COLUMN('1-DATA'!AG728)),ROUND(INDEX('1-DATA'!$1:$1048576,IF(OR($B730="STD. DEVIATION",$C$1=1),$A730,$A730+1),COLUMN('1-DATA'!AG728)),IF($B730="STD. DEVIATION",2,$F$1))))</f>
        <v/>
      </c>
      <c r="AI730" s="1" t="str">
        <f>IF(OR($B730="",AI$7=""),"",IF($B730="MEANS",INDEX('1-DATA'!$1:$1048576,$A729-1,COLUMN('1-DATA'!AH728)),ROUND(INDEX('1-DATA'!$1:$1048576,IF(OR($B730="STD. DEVIATION",$C$1=1),$A730,$A730+1),COLUMN('1-DATA'!AH728)),IF($B730="STD. DEVIATION",2,$F$1))))</f>
        <v/>
      </c>
      <c r="AJ730" s="1" t="str">
        <f>IF(OR($B730="",AJ$7=""),"",IF($B730="MEANS",INDEX('1-DATA'!$1:$1048576,$A729-1,COLUMN('1-DATA'!AI728)),ROUND(INDEX('1-DATA'!$1:$1048576,IF(OR($B730="STD. DEVIATION",$C$1=1),$A730,$A730+1),COLUMN('1-DATA'!AI728)),IF($B730="STD. DEVIATION",2,$F$1))))</f>
        <v/>
      </c>
      <c r="AK730" s="1" t="str">
        <f>IF(OR($B730="",AK$7=""),"",IF($B730="MEANS",INDEX('1-DATA'!$1:$1048576,$A729-1,COLUMN('1-DATA'!AJ728)),ROUND(INDEX('1-DATA'!$1:$1048576,IF(OR($B730="STD. DEVIATION",$C$1=1),$A730,$A730+1),COLUMN('1-DATA'!AJ728)),IF($B730="STD. DEVIATION",2,$F$1))))</f>
        <v/>
      </c>
      <c r="AL730" s="1" t="str">
        <f>IF(OR($B730="",AL$7=""),"",IF($B730="MEANS",INDEX('1-DATA'!$1:$1048576,$A729-1,COLUMN('1-DATA'!AK728)),ROUND(INDEX('1-DATA'!$1:$1048576,IF(OR($B730="STD. DEVIATION",$C$1=1),$A730,$A730+1),COLUMN('1-DATA'!AK728)),IF($B730="STD. DEVIATION",2,$F$1))))</f>
        <v/>
      </c>
      <c r="AM730" s="1" t="str">
        <f>IF(OR($B730="",AM$7=""),"",IF($B730="MEANS",INDEX('1-DATA'!$1:$1048576,$A729-1,COLUMN('1-DATA'!AL728)),ROUND(INDEX('1-DATA'!$1:$1048576,IF(OR($B730="STD. DEVIATION",$C$1=1),$A730,$A730+1),COLUMN('1-DATA'!AL728)),IF($B730="STD. DEVIATION",2,$F$1))))</f>
        <v/>
      </c>
      <c r="AN730" s="1" t="str">
        <f>IF(OR($B730="",AN$7=""),"",IF($B730="MEANS",INDEX('1-DATA'!$1:$1048576,$A729-1,COLUMN('1-DATA'!AM728)),ROUND(INDEX('1-DATA'!$1:$1048576,IF(OR($B730="STD. DEVIATION",$C$1=1),$A730,$A730+1),COLUMN('1-DATA'!AM728)),IF($B730="STD. DEVIATION",2,$F$1))))</f>
        <v/>
      </c>
      <c r="AO730" s="1" t="str">
        <f>IF(OR($B730="",AO$7=""),"",IF($B730="MEANS",INDEX('1-DATA'!$1:$1048576,$A729-1,COLUMN('1-DATA'!AN728)),ROUND(INDEX('1-DATA'!$1:$1048576,IF(OR($B730="STD. DEVIATION",$C$1=1),$A730,$A730+1),COLUMN('1-DATA'!AN728)),IF($B730="STD. DEVIATION",2,$F$1))))</f>
        <v/>
      </c>
      <c r="AP730" s="1" t="str">
        <f>IF(OR($B730="",AP$7=""),"",IF($B730="MEANS",INDEX('1-DATA'!$1:$1048576,$A729-1,COLUMN('1-DATA'!AO728)),ROUND(INDEX('1-DATA'!$1:$1048576,IF(OR($B730="STD. DEVIATION",$C$1=1),$A730,$A730+1),COLUMN('1-DATA'!AO728)),IF($B730="STD. DEVIATION",2,$F$1))))</f>
        <v/>
      </c>
      <c r="AQ730" s="1" t="str">
        <f>IF(OR($B730="",AQ$7=""),"",IF($B730="MEANS",INDEX('1-DATA'!$1:$1048576,$A729-1,COLUMN('1-DATA'!AP728)),ROUND(INDEX('1-DATA'!$1:$1048576,IF(OR($B730="STD. DEVIATION",$C$1=1),$A730,$A730+1),COLUMN('1-DATA'!AP728)),IF($B730="STD. DEVIATION",2,$F$1))))</f>
        <v/>
      </c>
      <c r="AR730" s="1" t="str">
        <f>IF(OR($B730="",AR$7=""),"",IF($B730="MEANS",INDEX('1-DATA'!$1:$1048576,$A729-1,COLUMN('1-DATA'!AQ728)),ROUND(INDEX('1-DATA'!$1:$1048576,IF(OR($B730="STD. DEVIATION",$C$1=1),$A730,$A730+1),COLUMN('1-DATA'!AQ728)),IF($B730="STD. DEVIATION",2,$F$1))))</f>
        <v/>
      </c>
      <c r="AS730" s="1" t="str">
        <f>IF(OR($B730="",AS$7=""),"",IF($B730="MEANS",INDEX('1-DATA'!$1:$1048576,$A729-1,COLUMN('1-DATA'!AR728)),ROUND(INDEX('1-DATA'!$1:$1048576,IF(OR($B730="STD. DEVIATION",$C$1=1),$A730,$A730+1),COLUMN('1-DATA'!AR728)),IF($B730="STD. DEVIATION",2,$F$1))))</f>
        <v/>
      </c>
      <c r="AT730" s="1" t="str">
        <f>IF(OR($B730="",AT$7=""),"",IF($B730="MEANS",INDEX('1-DATA'!$1:$1048576,$A729-1,COLUMN('1-DATA'!AS728)),ROUND(INDEX('1-DATA'!$1:$1048576,IF(OR($B730="STD. DEVIATION",$C$1=1),$A730,$A730+1),COLUMN('1-DATA'!AS728)),IF($B730="STD. DEVIATION",2,$F$1))))</f>
        <v/>
      </c>
      <c r="AU730" s="1" t="str">
        <f>IF(OR($B730="",AU$7=""),"",IF($B730="MEANS",INDEX('1-DATA'!$1:$1048576,$A729-1,COLUMN('1-DATA'!AT728)),ROUND(INDEX('1-DATA'!$1:$1048576,IF(OR($B730="STD. DEVIATION",$C$1=1),$A730,$A730+1),COLUMN('1-DATA'!AT728)),IF($B730="STD. DEVIATION",2,$F$1))))</f>
        <v/>
      </c>
      <c r="AV730" s="1" t="str">
        <f>IF(OR($B730="",AV$7=""),"",IF($B730="MEANS",INDEX('1-DATA'!$1:$1048576,$A729-1,COLUMN('1-DATA'!AU728)),ROUND(INDEX('1-DATA'!$1:$1048576,IF(OR($B730="STD. DEVIATION",$C$1=1),$A730,$A730+1),COLUMN('1-DATA'!AU728)),IF($B730="STD. DEVIATION",2,$F$1))))</f>
        <v/>
      </c>
      <c r="AW730" s="1" t="str">
        <f>IF(OR($B730="",AW$7=""),"",IF($B730="MEANS",INDEX('1-DATA'!$1:$1048576,$A729-1,COLUMN('1-DATA'!AV728)),ROUND(INDEX('1-DATA'!$1:$1048576,IF(OR($B730="STD. DEVIATION",$C$1=1),$A730,$A730+1),COLUMN('1-DATA'!AV728)),IF($B730="STD. DEVIATION",2,$F$1))))</f>
        <v/>
      </c>
      <c r="AX730" s="1" t="str">
        <f>IF(OR($B730="",AX$7=""),"",IF($B730="MEANS",INDEX('1-DATA'!$1:$1048576,$A729-1,COLUMN('1-DATA'!AW728)),ROUND(INDEX('1-DATA'!$1:$1048576,IF(OR($B730="STD. DEVIATION",$C$1=1),$A730,$A730+1),COLUMN('1-DATA'!AW728)),IF($B730="STD. DEVIATION",2,$F$1))))</f>
        <v/>
      </c>
      <c r="AY730" s="1" t="str">
        <f>IF(OR($B730="",AY$7=""),"",IF($B730="MEANS",INDEX('1-DATA'!$1:$1048576,$A729-1,COLUMN('1-DATA'!AX728)),ROUND(INDEX('1-DATA'!$1:$1048576,IF(OR($B730="STD. DEVIATION",$C$1=1),$A730,$A730+1),COLUMN('1-DATA'!AX728)),IF($B730="STD. DEVIATION",2,$F$1))))</f>
        <v/>
      </c>
      <c r="AZ730" s="1" t="str">
        <f>IF(OR($B730="",AZ$7=""),"",IF($B730="MEANS",INDEX('1-DATA'!$1:$1048576,$A729-1,COLUMN('1-DATA'!AY728)),ROUND(INDEX('1-DATA'!$1:$1048576,IF(OR($B730="STD. DEVIATION",$C$1=1),$A730,$A730+1),COLUMN('1-DATA'!AY728)),IF($B730="STD. DEVIATION",2,$F$1))))</f>
        <v/>
      </c>
    </row>
    <row r="731" spans="1:52" x14ac:dyDescent="0.25">
      <c r="A731" s="11">
        <f t="shared" si="11"/>
        <v>2179</v>
      </c>
      <c r="B731" s="1" t="str">
        <f>IF(B730="STD. DEVIATION",INDEX('1-DATA'!$1:$1048576,$A730-1,1),IF(INDEX('1-DATA'!$1:$1048576,$A731,1)&lt;&gt;"",INDEX('1-DATA'!$1:$1048576,$A731,1),""))</f>
        <v/>
      </c>
      <c r="C731" s="1" t="str">
        <f>IF(OR($B731="",C$7=""),"",IF($B731="MEANS",INDEX('1-DATA'!$1:$1048576,$A730-1,COLUMN('1-DATA'!B729)),ROUND(INDEX('1-DATA'!$1:$1048576,IF(OR($B731="STD. DEVIATION",$C$1=1),$A731,$A731+1),COLUMN('1-DATA'!B729)),IF($B731="STD. DEVIATION",2,$F$1))))</f>
        <v/>
      </c>
      <c r="D731" s="1" t="str">
        <f>IF(OR($B731="",D$7=""),"",IF($B731="MEANS",INDEX('1-DATA'!$1:$1048576,$A730-1,COLUMN('1-DATA'!C729)),ROUND(INDEX('1-DATA'!$1:$1048576,IF(OR($B731="STD. DEVIATION",$C$1=1),$A731,$A731+1),COLUMN('1-DATA'!C729)),IF($B731="STD. DEVIATION",2,$F$1))))</f>
        <v/>
      </c>
      <c r="E731" s="1" t="str">
        <f>IF(OR($B731="",E$7=""),"",IF($B731="MEANS",INDEX('1-DATA'!$1:$1048576,$A730-1,COLUMN('1-DATA'!D729)),ROUND(INDEX('1-DATA'!$1:$1048576,IF(OR($B731="STD. DEVIATION",$C$1=1),$A731,$A731+1),COLUMN('1-DATA'!D729)),IF($B731="STD. DEVIATION",2,$F$1))))</f>
        <v/>
      </c>
      <c r="F731" s="1" t="str">
        <f>IF(OR($B731="",F$7=""),"",IF($B731="MEANS",INDEX('1-DATA'!$1:$1048576,$A730-1,COLUMN('1-DATA'!E729)),ROUND(INDEX('1-DATA'!$1:$1048576,IF(OR($B731="STD. DEVIATION",$C$1=1),$A731,$A731+1),COLUMN('1-DATA'!E729)),IF($B731="STD. DEVIATION",2,$F$1))))</f>
        <v/>
      </c>
      <c r="G731" s="1" t="str">
        <f>IF(OR($B731="",G$7=""),"",IF($B731="MEANS",INDEX('1-DATA'!$1:$1048576,$A730-1,COLUMN('1-DATA'!F729)),ROUND(INDEX('1-DATA'!$1:$1048576,IF(OR($B731="STD. DEVIATION",$C$1=1),$A731,$A731+1),COLUMN('1-DATA'!F729)),IF($B731="STD. DEVIATION",2,$F$1))))</f>
        <v/>
      </c>
      <c r="H731" s="1" t="str">
        <f>IF(OR($B731="",H$7=""),"",IF($B731="MEANS",INDEX('1-DATA'!$1:$1048576,$A730-1,COLUMN('1-DATA'!G729)),ROUND(INDEX('1-DATA'!$1:$1048576,IF(OR($B731="STD. DEVIATION",$C$1=1),$A731,$A731+1),COLUMN('1-DATA'!G729)),IF($B731="STD. DEVIATION",2,$F$1))))</f>
        <v/>
      </c>
      <c r="I731" s="1" t="str">
        <f>IF(OR($B731="",I$7=""),"",IF($B731="MEANS",INDEX('1-DATA'!$1:$1048576,$A730-1,COLUMN('1-DATA'!H729)),ROUND(INDEX('1-DATA'!$1:$1048576,IF(OR($B731="STD. DEVIATION",$C$1=1),$A731,$A731+1),COLUMN('1-DATA'!H729)),IF($B731="STD. DEVIATION",2,$F$1))))</f>
        <v/>
      </c>
      <c r="J731" s="1" t="str">
        <f>IF(OR($B731="",J$7=""),"",IF($B731="MEANS",INDEX('1-DATA'!$1:$1048576,$A730-1,COLUMN('1-DATA'!I729)),ROUND(INDEX('1-DATA'!$1:$1048576,IF(OR($B731="STD. DEVIATION",$C$1=1),$A731,$A731+1),COLUMN('1-DATA'!I729)),IF($B731="STD. DEVIATION",2,$F$1))))</f>
        <v/>
      </c>
      <c r="K731" s="1" t="str">
        <f>IF(OR($B731="",K$7=""),"",IF($B731="MEANS",INDEX('1-DATA'!$1:$1048576,$A730-1,COLUMN('1-DATA'!J729)),ROUND(INDEX('1-DATA'!$1:$1048576,IF(OR($B731="STD. DEVIATION",$C$1=1),$A731,$A731+1),COLUMN('1-DATA'!J729)),IF($B731="STD. DEVIATION",2,$F$1))))</f>
        <v/>
      </c>
      <c r="L731" s="1" t="str">
        <f>IF(OR($B731="",L$7=""),"",IF($B731="MEANS",INDEX('1-DATA'!$1:$1048576,$A730-1,COLUMN('1-DATA'!K729)),ROUND(INDEX('1-DATA'!$1:$1048576,IF(OR($B731="STD. DEVIATION",$C$1=1),$A731,$A731+1),COLUMN('1-DATA'!K729)),IF($B731="STD. DEVIATION",2,$F$1))))</f>
        <v/>
      </c>
      <c r="M731" s="1" t="str">
        <f>IF(OR($B731="",M$7=""),"",IF($B731="MEANS",INDEX('1-DATA'!$1:$1048576,$A730-1,COLUMN('1-DATA'!L729)),ROUND(INDEX('1-DATA'!$1:$1048576,IF(OR($B731="STD. DEVIATION",$C$1=1),$A731,$A731+1),COLUMN('1-DATA'!L729)),IF($B731="STD. DEVIATION",2,$F$1))))</f>
        <v/>
      </c>
      <c r="N731" s="1" t="str">
        <f>IF(OR($B731="",N$7=""),"",IF($B731="MEANS",INDEX('1-DATA'!$1:$1048576,$A730-1,COLUMN('1-DATA'!M729)),ROUND(INDEX('1-DATA'!$1:$1048576,IF(OR($B731="STD. DEVIATION",$C$1=1),$A731,$A731+1),COLUMN('1-DATA'!M729)),IF($B731="STD. DEVIATION",2,$F$1))))</f>
        <v/>
      </c>
      <c r="O731" s="1" t="str">
        <f>IF(OR($B731="",O$7=""),"",IF($B731="MEANS",INDEX('1-DATA'!$1:$1048576,$A730-1,COLUMN('1-DATA'!N729)),ROUND(INDEX('1-DATA'!$1:$1048576,IF(OR($B731="STD. DEVIATION",$C$1=1),$A731,$A731+1),COLUMN('1-DATA'!N729)),IF($B731="STD. DEVIATION",2,$F$1))))</f>
        <v/>
      </c>
      <c r="P731" s="1" t="str">
        <f>IF(OR($B731="",P$7=""),"",IF($B731="MEANS",INDEX('1-DATA'!$1:$1048576,$A730-1,COLUMN('1-DATA'!O729)),ROUND(INDEX('1-DATA'!$1:$1048576,IF(OR($B731="STD. DEVIATION",$C$1=1),$A731,$A731+1),COLUMN('1-DATA'!O729)),IF($B731="STD. DEVIATION",2,$F$1))))</f>
        <v/>
      </c>
      <c r="Q731" s="1" t="str">
        <f>IF(OR($B731="",Q$7=""),"",IF($B731="MEANS",INDEX('1-DATA'!$1:$1048576,$A730-1,COLUMN('1-DATA'!P729)),ROUND(INDEX('1-DATA'!$1:$1048576,IF(OR($B731="STD. DEVIATION",$C$1=1),$A731,$A731+1),COLUMN('1-DATA'!P729)),IF($B731="STD. DEVIATION",2,$F$1))))</f>
        <v/>
      </c>
      <c r="R731" s="1" t="str">
        <f>IF(OR($B731="",R$7=""),"",IF($B731="MEANS",INDEX('1-DATA'!$1:$1048576,$A730-1,COLUMN('1-DATA'!Q729)),ROUND(INDEX('1-DATA'!$1:$1048576,IF(OR($B731="STD. DEVIATION",$C$1=1),$A731,$A731+1),COLUMN('1-DATA'!Q729)),IF($B731="STD. DEVIATION",2,$F$1))))</f>
        <v/>
      </c>
      <c r="S731" s="1" t="str">
        <f>IF(OR($B731="",S$7=""),"",IF($B731="MEANS",INDEX('1-DATA'!$1:$1048576,$A730-1,COLUMN('1-DATA'!R729)),ROUND(INDEX('1-DATA'!$1:$1048576,IF(OR($B731="STD. DEVIATION",$C$1=1),$A731,$A731+1),COLUMN('1-DATA'!R729)),IF($B731="STD. DEVIATION",2,$F$1))))</f>
        <v/>
      </c>
      <c r="T731" s="1" t="str">
        <f>IF(OR($B731="",T$7=""),"",IF($B731="MEANS",INDEX('1-DATA'!$1:$1048576,$A730-1,COLUMN('1-DATA'!S729)),ROUND(INDEX('1-DATA'!$1:$1048576,IF(OR($B731="STD. DEVIATION",$C$1=1),$A731,$A731+1),COLUMN('1-DATA'!S729)),IF($B731="STD. DEVIATION",2,$F$1))))</f>
        <v/>
      </c>
      <c r="U731" s="1" t="str">
        <f>IF(OR($B731="",U$7=""),"",IF($B731="MEANS",INDEX('1-DATA'!$1:$1048576,$A730-1,COLUMN('1-DATA'!T729)),ROUND(INDEX('1-DATA'!$1:$1048576,IF(OR($B731="STD. DEVIATION",$C$1=1),$A731,$A731+1),COLUMN('1-DATA'!T729)),IF($B731="STD. DEVIATION",2,$F$1))))</f>
        <v/>
      </c>
      <c r="V731" s="1" t="str">
        <f>IF(OR($B731="",V$7=""),"",IF($B731="MEANS",INDEX('1-DATA'!$1:$1048576,$A730-1,COLUMN('1-DATA'!U729)),ROUND(INDEX('1-DATA'!$1:$1048576,IF(OR($B731="STD. DEVIATION",$C$1=1),$A731,$A731+1),COLUMN('1-DATA'!U729)),IF($B731="STD. DEVIATION",2,$F$1))))</f>
        <v/>
      </c>
      <c r="W731" s="1" t="str">
        <f>IF(OR($B731="",W$7=""),"",IF($B731="MEANS",INDEX('1-DATA'!$1:$1048576,$A730-1,COLUMN('1-DATA'!V729)),ROUND(INDEX('1-DATA'!$1:$1048576,IF(OR($B731="STD. DEVIATION",$C$1=1),$A731,$A731+1),COLUMN('1-DATA'!V729)),IF($B731="STD. DEVIATION",2,$F$1))))</f>
        <v/>
      </c>
      <c r="X731" s="1" t="str">
        <f>IF(OR($B731="",X$7=""),"",IF($B731="MEANS",INDEX('1-DATA'!$1:$1048576,$A730-1,COLUMN('1-DATA'!W729)),ROUND(INDEX('1-DATA'!$1:$1048576,IF(OR($B731="STD. DEVIATION",$C$1=1),$A731,$A731+1),COLUMN('1-DATA'!W729)),IF($B731="STD. DEVIATION",2,$F$1))))</f>
        <v/>
      </c>
      <c r="Y731" s="1" t="str">
        <f>IF(OR($B731="",Y$7=""),"",IF($B731="MEANS",INDEX('1-DATA'!$1:$1048576,$A730-1,COLUMN('1-DATA'!X729)),ROUND(INDEX('1-DATA'!$1:$1048576,IF(OR($B731="STD. DEVIATION",$C$1=1),$A731,$A731+1),COLUMN('1-DATA'!X729)),IF($B731="STD. DEVIATION",2,$F$1))))</f>
        <v/>
      </c>
      <c r="Z731" s="1" t="str">
        <f>IF(OR($B731="",Z$7=""),"",IF($B731="MEANS",INDEX('1-DATA'!$1:$1048576,$A730-1,COLUMN('1-DATA'!Y729)),ROUND(INDEX('1-DATA'!$1:$1048576,IF(OR($B731="STD. DEVIATION",$C$1=1),$A731,$A731+1),COLUMN('1-DATA'!Y729)),IF($B731="STD. DEVIATION",2,$F$1))))</f>
        <v/>
      </c>
      <c r="AA731" s="1" t="str">
        <f>IF(OR($B731="",AA$7=""),"",IF($B731="MEANS",INDEX('1-DATA'!$1:$1048576,$A730-1,COLUMN('1-DATA'!Z729)),ROUND(INDEX('1-DATA'!$1:$1048576,IF(OR($B731="STD. DEVIATION",$C$1=1),$A731,$A731+1),COLUMN('1-DATA'!Z729)),IF($B731="STD. DEVIATION",2,$F$1))))</f>
        <v/>
      </c>
      <c r="AB731" s="1" t="str">
        <f>IF(OR($B731="",AB$7=""),"",IF($B731="MEANS",INDEX('1-DATA'!$1:$1048576,$A730-1,COLUMN('1-DATA'!AA729)),ROUND(INDEX('1-DATA'!$1:$1048576,IF(OR($B731="STD. DEVIATION",$C$1=1),$A731,$A731+1),COLUMN('1-DATA'!AA729)),IF($B731="STD. DEVIATION",2,$F$1))))</f>
        <v/>
      </c>
      <c r="AC731" s="1" t="str">
        <f>IF(OR($B731="",AC$7=""),"",IF($B731="MEANS",INDEX('1-DATA'!$1:$1048576,$A730-1,COLUMN('1-DATA'!AB729)),ROUND(INDEX('1-DATA'!$1:$1048576,IF(OR($B731="STD. DEVIATION",$C$1=1),$A731,$A731+1),COLUMN('1-DATA'!AB729)),IF($B731="STD. DEVIATION",2,$F$1))))</f>
        <v/>
      </c>
      <c r="AD731" s="1" t="str">
        <f>IF(OR($B731="",AD$7=""),"",IF($B731="MEANS",INDEX('1-DATA'!$1:$1048576,$A730-1,COLUMN('1-DATA'!AC729)),ROUND(INDEX('1-DATA'!$1:$1048576,IF(OR($B731="STD. DEVIATION",$C$1=1),$A731,$A731+1),COLUMN('1-DATA'!AC729)),IF($B731="STD. DEVIATION",2,$F$1))))</f>
        <v/>
      </c>
      <c r="AE731" s="1" t="str">
        <f>IF(OR($B731="",AE$7=""),"",IF($B731="MEANS",INDEX('1-DATA'!$1:$1048576,$A730-1,COLUMN('1-DATA'!AD729)),ROUND(INDEX('1-DATA'!$1:$1048576,IF(OR($B731="STD. DEVIATION",$C$1=1),$A731,$A731+1),COLUMN('1-DATA'!AD729)),IF($B731="STD. DEVIATION",2,$F$1))))</f>
        <v/>
      </c>
      <c r="AF731" s="1" t="str">
        <f>IF(OR($B731="",AF$7=""),"",IF($B731="MEANS",INDEX('1-DATA'!$1:$1048576,$A730-1,COLUMN('1-DATA'!AE729)),ROUND(INDEX('1-DATA'!$1:$1048576,IF(OR($B731="STD. DEVIATION",$C$1=1),$A731,$A731+1),COLUMN('1-DATA'!AE729)),IF($B731="STD. DEVIATION",2,$F$1))))</f>
        <v/>
      </c>
      <c r="AG731" s="1" t="str">
        <f>IF(OR($B731="",AG$7=""),"",IF($B731="MEANS",INDEX('1-DATA'!$1:$1048576,$A730-1,COLUMN('1-DATA'!AF729)),ROUND(INDEX('1-DATA'!$1:$1048576,IF(OR($B731="STD. DEVIATION",$C$1=1),$A731,$A731+1),COLUMN('1-DATA'!AF729)),IF($B731="STD. DEVIATION",2,$F$1))))</f>
        <v/>
      </c>
      <c r="AH731" s="1" t="str">
        <f>IF(OR($B731="",AH$7=""),"",IF($B731="MEANS",INDEX('1-DATA'!$1:$1048576,$A730-1,COLUMN('1-DATA'!AG729)),ROUND(INDEX('1-DATA'!$1:$1048576,IF(OR($B731="STD. DEVIATION",$C$1=1),$A731,$A731+1),COLUMN('1-DATA'!AG729)),IF($B731="STD. DEVIATION",2,$F$1))))</f>
        <v/>
      </c>
      <c r="AI731" s="1" t="str">
        <f>IF(OR($B731="",AI$7=""),"",IF($B731="MEANS",INDEX('1-DATA'!$1:$1048576,$A730-1,COLUMN('1-DATA'!AH729)),ROUND(INDEX('1-DATA'!$1:$1048576,IF(OR($B731="STD. DEVIATION",$C$1=1),$A731,$A731+1),COLUMN('1-DATA'!AH729)),IF($B731="STD. DEVIATION",2,$F$1))))</f>
        <v/>
      </c>
      <c r="AJ731" s="1" t="str">
        <f>IF(OR($B731="",AJ$7=""),"",IF($B731="MEANS",INDEX('1-DATA'!$1:$1048576,$A730-1,COLUMN('1-DATA'!AI729)),ROUND(INDEX('1-DATA'!$1:$1048576,IF(OR($B731="STD. DEVIATION",$C$1=1),$A731,$A731+1),COLUMN('1-DATA'!AI729)),IF($B731="STD. DEVIATION",2,$F$1))))</f>
        <v/>
      </c>
      <c r="AK731" s="1" t="str">
        <f>IF(OR($B731="",AK$7=""),"",IF($B731="MEANS",INDEX('1-DATA'!$1:$1048576,$A730-1,COLUMN('1-DATA'!AJ729)),ROUND(INDEX('1-DATA'!$1:$1048576,IF(OR($B731="STD. DEVIATION",$C$1=1),$A731,$A731+1),COLUMN('1-DATA'!AJ729)),IF($B731="STD. DEVIATION",2,$F$1))))</f>
        <v/>
      </c>
      <c r="AL731" s="1" t="str">
        <f>IF(OR($B731="",AL$7=""),"",IF($B731="MEANS",INDEX('1-DATA'!$1:$1048576,$A730-1,COLUMN('1-DATA'!AK729)),ROUND(INDEX('1-DATA'!$1:$1048576,IF(OR($B731="STD. DEVIATION",$C$1=1),$A731,$A731+1),COLUMN('1-DATA'!AK729)),IF($B731="STD. DEVIATION",2,$F$1))))</f>
        <v/>
      </c>
      <c r="AM731" s="1" t="str">
        <f>IF(OR($B731="",AM$7=""),"",IF($B731="MEANS",INDEX('1-DATA'!$1:$1048576,$A730-1,COLUMN('1-DATA'!AL729)),ROUND(INDEX('1-DATA'!$1:$1048576,IF(OR($B731="STD. DEVIATION",$C$1=1),$A731,$A731+1),COLUMN('1-DATA'!AL729)),IF($B731="STD. DEVIATION",2,$F$1))))</f>
        <v/>
      </c>
      <c r="AN731" s="1" t="str">
        <f>IF(OR($B731="",AN$7=""),"",IF($B731="MEANS",INDEX('1-DATA'!$1:$1048576,$A730-1,COLUMN('1-DATA'!AM729)),ROUND(INDEX('1-DATA'!$1:$1048576,IF(OR($B731="STD. DEVIATION",$C$1=1),$A731,$A731+1),COLUMN('1-DATA'!AM729)),IF($B731="STD. DEVIATION",2,$F$1))))</f>
        <v/>
      </c>
      <c r="AO731" s="1" t="str">
        <f>IF(OR($B731="",AO$7=""),"",IF($B731="MEANS",INDEX('1-DATA'!$1:$1048576,$A730-1,COLUMN('1-DATA'!AN729)),ROUND(INDEX('1-DATA'!$1:$1048576,IF(OR($B731="STD. DEVIATION",$C$1=1),$A731,$A731+1),COLUMN('1-DATA'!AN729)),IF($B731="STD. DEVIATION",2,$F$1))))</f>
        <v/>
      </c>
      <c r="AP731" s="1" t="str">
        <f>IF(OR($B731="",AP$7=""),"",IF($B731="MEANS",INDEX('1-DATA'!$1:$1048576,$A730-1,COLUMN('1-DATA'!AO729)),ROUND(INDEX('1-DATA'!$1:$1048576,IF(OR($B731="STD. DEVIATION",$C$1=1),$A731,$A731+1),COLUMN('1-DATA'!AO729)),IF($B731="STD. DEVIATION",2,$F$1))))</f>
        <v/>
      </c>
      <c r="AQ731" s="1" t="str">
        <f>IF(OR($B731="",AQ$7=""),"",IF($B731="MEANS",INDEX('1-DATA'!$1:$1048576,$A730-1,COLUMN('1-DATA'!AP729)),ROUND(INDEX('1-DATA'!$1:$1048576,IF(OR($B731="STD. DEVIATION",$C$1=1),$A731,$A731+1),COLUMN('1-DATA'!AP729)),IF($B731="STD. DEVIATION",2,$F$1))))</f>
        <v/>
      </c>
      <c r="AR731" s="1" t="str">
        <f>IF(OR($B731="",AR$7=""),"",IF($B731="MEANS",INDEX('1-DATA'!$1:$1048576,$A730-1,COLUMN('1-DATA'!AQ729)),ROUND(INDEX('1-DATA'!$1:$1048576,IF(OR($B731="STD. DEVIATION",$C$1=1),$A731,$A731+1),COLUMN('1-DATA'!AQ729)),IF($B731="STD. DEVIATION",2,$F$1))))</f>
        <v/>
      </c>
      <c r="AS731" s="1" t="str">
        <f>IF(OR($B731="",AS$7=""),"",IF($B731="MEANS",INDEX('1-DATA'!$1:$1048576,$A730-1,COLUMN('1-DATA'!AR729)),ROUND(INDEX('1-DATA'!$1:$1048576,IF(OR($B731="STD. DEVIATION",$C$1=1),$A731,$A731+1),COLUMN('1-DATA'!AR729)),IF($B731="STD. DEVIATION",2,$F$1))))</f>
        <v/>
      </c>
      <c r="AT731" s="1" t="str">
        <f>IF(OR($B731="",AT$7=""),"",IF($B731="MEANS",INDEX('1-DATA'!$1:$1048576,$A730-1,COLUMN('1-DATA'!AS729)),ROUND(INDEX('1-DATA'!$1:$1048576,IF(OR($B731="STD. DEVIATION",$C$1=1),$A731,$A731+1),COLUMN('1-DATA'!AS729)),IF($B731="STD. DEVIATION",2,$F$1))))</f>
        <v/>
      </c>
      <c r="AU731" s="1" t="str">
        <f>IF(OR($B731="",AU$7=""),"",IF($B731="MEANS",INDEX('1-DATA'!$1:$1048576,$A730-1,COLUMN('1-DATA'!AT729)),ROUND(INDEX('1-DATA'!$1:$1048576,IF(OR($B731="STD. DEVIATION",$C$1=1),$A731,$A731+1),COLUMN('1-DATA'!AT729)),IF($B731="STD. DEVIATION",2,$F$1))))</f>
        <v/>
      </c>
      <c r="AV731" s="1" t="str">
        <f>IF(OR($B731="",AV$7=""),"",IF($B731="MEANS",INDEX('1-DATA'!$1:$1048576,$A730-1,COLUMN('1-DATA'!AU729)),ROUND(INDEX('1-DATA'!$1:$1048576,IF(OR($B731="STD. DEVIATION",$C$1=1),$A731,$A731+1),COLUMN('1-DATA'!AU729)),IF($B731="STD. DEVIATION",2,$F$1))))</f>
        <v/>
      </c>
      <c r="AW731" s="1" t="str">
        <f>IF(OR($B731="",AW$7=""),"",IF($B731="MEANS",INDEX('1-DATA'!$1:$1048576,$A730-1,COLUMN('1-DATA'!AV729)),ROUND(INDEX('1-DATA'!$1:$1048576,IF(OR($B731="STD. DEVIATION",$C$1=1),$A731,$A731+1),COLUMN('1-DATA'!AV729)),IF($B731="STD. DEVIATION",2,$F$1))))</f>
        <v/>
      </c>
      <c r="AX731" s="1" t="str">
        <f>IF(OR($B731="",AX$7=""),"",IF($B731="MEANS",INDEX('1-DATA'!$1:$1048576,$A730-1,COLUMN('1-DATA'!AW729)),ROUND(INDEX('1-DATA'!$1:$1048576,IF(OR($B731="STD. DEVIATION",$C$1=1),$A731,$A731+1),COLUMN('1-DATA'!AW729)),IF($B731="STD. DEVIATION",2,$F$1))))</f>
        <v/>
      </c>
      <c r="AY731" s="1" t="str">
        <f>IF(OR($B731="",AY$7=""),"",IF($B731="MEANS",INDEX('1-DATA'!$1:$1048576,$A730-1,COLUMN('1-DATA'!AX729)),ROUND(INDEX('1-DATA'!$1:$1048576,IF(OR($B731="STD. DEVIATION",$C$1=1),$A731,$A731+1),COLUMN('1-DATA'!AX729)),IF($B731="STD. DEVIATION",2,$F$1))))</f>
        <v/>
      </c>
      <c r="AZ731" s="1" t="str">
        <f>IF(OR($B731="",AZ$7=""),"",IF($B731="MEANS",INDEX('1-DATA'!$1:$1048576,$A730-1,COLUMN('1-DATA'!AY729)),ROUND(INDEX('1-DATA'!$1:$1048576,IF(OR($B731="STD. DEVIATION",$C$1=1),$A731,$A731+1),COLUMN('1-DATA'!AY729)),IF($B731="STD. DEVIATION",2,$F$1))))</f>
        <v/>
      </c>
    </row>
    <row r="732" spans="1:52" x14ac:dyDescent="0.25">
      <c r="A732" s="11">
        <f t="shared" si="11"/>
        <v>2182</v>
      </c>
      <c r="B732" s="1" t="str">
        <f>IF(B731="STD. DEVIATION",INDEX('1-DATA'!$1:$1048576,$A731-1,1),IF(INDEX('1-DATA'!$1:$1048576,$A732,1)&lt;&gt;"",INDEX('1-DATA'!$1:$1048576,$A732,1),""))</f>
        <v/>
      </c>
      <c r="C732" s="1" t="str">
        <f>IF(OR($B732="",C$7=""),"",IF($B732="MEANS",INDEX('1-DATA'!$1:$1048576,$A731-1,COLUMN('1-DATA'!B730)),ROUND(INDEX('1-DATA'!$1:$1048576,IF(OR($B732="STD. DEVIATION",$C$1=1),$A732,$A732+1),COLUMN('1-DATA'!B730)),IF($B732="STD. DEVIATION",2,$F$1))))</f>
        <v/>
      </c>
      <c r="D732" s="1" t="str">
        <f>IF(OR($B732="",D$7=""),"",IF($B732="MEANS",INDEX('1-DATA'!$1:$1048576,$A731-1,COLUMN('1-DATA'!C730)),ROUND(INDEX('1-DATA'!$1:$1048576,IF(OR($B732="STD. DEVIATION",$C$1=1),$A732,$A732+1),COLUMN('1-DATA'!C730)),IF($B732="STD. DEVIATION",2,$F$1))))</f>
        <v/>
      </c>
      <c r="E732" s="1" t="str">
        <f>IF(OR($B732="",E$7=""),"",IF($B732="MEANS",INDEX('1-DATA'!$1:$1048576,$A731-1,COLUMN('1-DATA'!D730)),ROUND(INDEX('1-DATA'!$1:$1048576,IF(OR($B732="STD. DEVIATION",$C$1=1),$A732,$A732+1),COLUMN('1-DATA'!D730)),IF($B732="STD. DEVIATION",2,$F$1))))</f>
        <v/>
      </c>
      <c r="F732" s="1" t="str">
        <f>IF(OR($B732="",F$7=""),"",IF($B732="MEANS",INDEX('1-DATA'!$1:$1048576,$A731-1,COLUMN('1-DATA'!E730)),ROUND(INDEX('1-DATA'!$1:$1048576,IF(OR($B732="STD. DEVIATION",$C$1=1),$A732,$A732+1),COLUMN('1-DATA'!E730)),IF($B732="STD. DEVIATION",2,$F$1))))</f>
        <v/>
      </c>
      <c r="G732" s="1" t="str">
        <f>IF(OR($B732="",G$7=""),"",IF($B732="MEANS",INDEX('1-DATA'!$1:$1048576,$A731-1,COLUMN('1-DATA'!F730)),ROUND(INDEX('1-DATA'!$1:$1048576,IF(OR($B732="STD. DEVIATION",$C$1=1),$A732,$A732+1),COLUMN('1-DATA'!F730)),IF($B732="STD. DEVIATION",2,$F$1))))</f>
        <v/>
      </c>
      <c r="H732" s="1" t="str">
        <f>IF(OR($B732="",H$7=""),"",IF($B732="MEANS",INDEX('1-DATA'!$1:$1048576,$A731-1,COLUMN('1-DATA'!G730)),ROUND(INDEX('1-DATA'!$1:$1048576,IF(OR($B732="STD. DEVIATION",$C$1=1),$A732,$A732+1),COLUMN('1-DATA'!G730)),IF($B732="STD. DEVIATION",2,$F$1))))</f>
        <v/>
      </c>
      <c r="I732" s="1" t="str">
        <f>IF(OR($B732="",I$7=""),"",IF($B732="MEANS",INDEX('1-DATA'!$1:$1048576,$A731-1,COLUMN('1-DATA'!H730)),ROUND(INDEX('1-DATA'!$1:$1048576,IF(OR($B732="STD. DEVIATION",$C$1=1),$A732,$A732+1),COLUMN('1-DATA'!H730)),IF($B732="STD. DEVIATION",2,$F$1))))</f>
        <v/>
      </c>
      <c r="J732" s="1" t="str">
        <f>IF(OR($B732="",J$7=""),"",IF($B732="MEANS",INDEX('1-DATA'!$1:$1048576,$A731-1,COLUMN('1-DATA'!I730)),ROUND(INDEX('1-DATA'!$1:$1048576,IF(OR($B732="STD. DEVIATION",$C$1=1),$A732,$A732+1),COLUMN('1-DATA'!I730)),IF($B732="STD. DEVIATION",2,$F$1))))</f>
        <v/>
      </c>
      <c r="K732" s="1" t="str">
        <f>IF(OR($B732="",K$7=""),"",IF($B732="MEANS",INDEX('1-DATA'!$1:$1048576,$A731-1,COLUMN('1-DATA'!J730)),ROUND(INDEX('1-DATA'!$1:$1048576,IF(OR($B732="STD. DEVIATION",$C$1=1),$A732,$A732+1),COLUMN('1-DATA'!J730)),IF($B732="STD. DEVIATION",2,$F$1))))</f>
        <v/>
      </c>
      <c r="L732" s="1" t="str">
        <f>IF(OR($B732="",L$7=""),"",IF($B732="MEANS",INDEX('1-DATA'!$1:$1048576,$A731-1,COLUMN('1-DATA'!K730)),ROUND(INDEX('1-DATA'!$1:$1048576,IF(OR($B732="STD. DEVIATION",$C$1=1),$A732,$A732+1),COLUMN('1-DATA'!K730)),IF($B732="STD. DEVIATION",2,$F$1))))</f>
        <v/>
      </c>
      <c r="M732" s="1" t="str">
        <f>IF(OR($B732="",M$7=""),"",IF($B732="MEANS",INDEX('1-DATA'!$1:$1048576,$A731-1,COLUMN('1-DATA'!L730)),ROUND(INDEX('1-DATA'!$1:$1048576,IF(OR($B732="STD. DEVIATION",$C$1=1),$A732,$A732+1),COLUMN('1-DATA'!L730)),IF($B732="STD. DEVIATION",2,$F$1))))</f>
        <v/>
      </c>
      <c r="N732" s="1" t="str">
        <f>IF(OR($B732="",N$7=""),"",IF($B732="MEANS",INDEX('1-DATA'!$1:$1048576,$A731-1,COLUMN('1-DATA'!M730)),ROUND(INDEX('1-DATA'!$1:$1048576,IF(OR($B732="STD. DEVIATION",$C$1=1),$A732,$A732+1),COLUMN('1-DATA'!M730)),IF($B732="STD. DEVIATION",2,$F$1))))</f>
        <v/>
      </c>
      <c r="O732" s="1" t="str">
        <f>IF(OR($B732="",O$7=""),"",IF($B732="MEANS",INDEX('1-DATA'!$1:$1048576,$A731-1,COLUMN('1-DATA'!N730)),ROUND(INDEX('1-DATA'!$1:$1048576,IF(OR($B732="STD. DEVIATION",$C$1=1),$A732,$A732+1),COLUMN('1-DATA'!N730)),IF($B732="STD. DEVIATION",2,$F$1))))</f>
        <v/>
      </c>
      <c r="P732" s="1" t="str">
        <f>IF(OR($B732="",P$7=""),"",IF($B732="MEANS",INDEX('1-DATA'!$1:$1048576,$A731-1,COLUMN('1-DATA'!O730)),ROUND(INDEX('1-DATA'!$1:$1048576,IF(OR($B732="STD. DEVIATION",$C$1=1),$A732,$A732+1),COLUMN('1-DATA'!O730)),IF($B732="STD. DEVIATION",2,$F$1))))</f>
        <v/>
      </c>
      <c r="Q732" s="1" t="str">
        <f>IF(OR($B732="",Q$7=""),"",IF($B732="MEANS",INDEX('1-DATA'!$1:$1048576,$A731-1,COLUMN('1-DATA'!P730)),ROUND(INDEX('1-DATA'!$1:$1048576,IF(OR($B732="STD. DEVIATION",$C$1=1),$A732,$A732+1),COLUMN('1-DATA'!P730)),IF($B732="STD. DEVIATION",2,$F$1))))</f>
        <v/>
      </c>
      <c r="R732" s="1" t="str">
        <f>IF(OR($B732="",R$7=""),"",IF($B732="MEANS",INDEX('1-DATA'!$1:$1048576,$A731-1,COLUMN('1-DATA'!Q730)),ROUND(INDEX('1-DATA'!$1:$1048576,IF(OR($B732="STD. DEVIATION",$C$1=1),$A732,$A732+1),COLUMN('1-DATA'!Q730)),IF($B732="STD. DEVIATION",2,$F$1))))</f>
        <v/>
      </c>
      <c r="S732" s="1" t="str">
        <f>IF(OR($B732="",S$7=""),"",IF($B732="MEANS",INDEX('1-DATA'!$1:$1048576,$A731-1,COLUMN('1-DATA'!R730)),ROUND(INDEX('1-DATA'!$1:$1048576,IF(OR($B732="STD. DEVIATION",$C$1=1),$A732,$A732+1),COLUMN('1-DATA'!R730)),IF($B732="STD. DEVIATION",2,$F$1))))</f>
        <v/>
      </c>
      <c r="T732" s="1" t="str">
        <f>IF(OR($B732="",T$7=""),"",IF($B732="MEANS",INDEX('1-DATA'!$1:$1048576,$A731-1,COLUMN('1-DATA'!S730)),ROUND(INDEX('1-DATA'!$1:$1048576,IF(OR($B732="STD. DEVIATION",$C$1=1),$A732,$A732+1),COLUMN('1-DATA'!S730)),IF($B732="STD. DEVIATION",2,$F$1))))</f>
        <v/>
      </c>
      <c r="U732" s="1" t="str">
        <f>IF(OR($B732="",U$7=""),"",IF($B732="MEANS",INDEX('1-DATA'!$1:$1048576,$A731-1,COLUMN('1-DATA'!T730)),ROUND(INDEX('1-DATA'!$1:$1048576,IF(OR($B732="STD. DEVIATION",$C$1=1),$A732,$A732+1),COLUMN('1-DATA'!T730)),IF($B732="STD. DEVIATION",2,$F$1))))</f>
        <v/>
      </c>
      <c r="V732" s="1" t="str">
        <f>IF(OR($B732="",V$7=""),"",IF($B732="MEANS",INDEX('1-DATA'!$1:$1048576,$A731-1,COLUMN('1-DATA'!U730)),ROUND(INDEX('1-DATA'!$1:$1048576,IF(OR($B732="STD. DEVIATION",$C$1=1),$A732,$A732+1),COLUMN('1-DATA'!U730)),IF($B732="STD. DEVIATION",2,$F$1))))</f>
        <v/>
      </c>
      <c r="W732" s="1" t="str">
        <f>IF(OR($B732="",W$7=""),"",IF($B732="MEANS",INDEX('1-DATA'!$1:$1048576,$A731-1,COLUMN('1-DATA'!V730)),ROUND(INDEX('1-DATA'!$1:$1048576,IF(OR($B732="STD. DEVIATION",$C$1=1),$A732,$A732+1),COLUMN('1-DATA'!V730)),IF($B732="STD. DEVIATION",2,$F$1))))</f>
        <v/>
      </c>
      <c r="X732" s="1" t="str">
        <f>IF(OR($B732="",X$7=""),"",IF($B732="MEANS",INDEX('1-DATA'!$1:$1048576,$A731-1,COLUMN('1-DATA'!W730)),ROUND(INDEX('1-DATA'!$1:$1048576,IF(OR($B732="STD. DEVIATION",$C$1=1),$A732,$A732+1),COLUMN('1-DATA'!W730)),IF($B732="STD. DEVIATION",2,$F$1))))</f>
        <v/>
      </c>
      <c r="Y732" s="1" t="str">
        <f>IF(OR($B732="",Y$7=""),"",IF($B732="MEANS",INDEX('1-DATA'!$1:$1048576,$A731-1,COLUMN('1-DATA'!X730)),ROUND(INDEX('1-DATA'!$1:$1048576,IF(OR($B732="STD. DEVIATION",$C$1=1),$A732,$A732+1),COLUMN('1-DATA'!X730)),IF($B732="STD. DEVIATION",2,$F$1))))</f>
        <v/>
      </c>
      <c r="Z732" s="1" t="str">
        <f>IF(OR($B732="",Z$7=""),"",IF($B732="MEANS",INDEX('1-DATA'!$1:$1048576,$A731-1,COLUMN('1-DATA'!Y730)),ROUND(INDEX('1-DATA'!$1:$1048576,IF(OR($B732="STD. DEVIATION",$C$1=1),$A732,$A732+1),COLUMN('1-DATA'!Y730)),IF($B732="STD. DEVIATION",2,$F$1))))</f>
        <v/>
      </c>
      <c r="AA732" s="1" t="str">
        <f>IF(OR($B732="",AA$7=""),"",IF($B732="MEANS",INDEX('1-DATA'!$1:$1048576,$A731-1,COLUMN('1-DATA'!Z730)),ROUND(INDEX('1-DATA'!$1:$1048576,IF(OR($B732="STD. DEVIATION",$C$1=1),$A732,$A732+1),COLUMN('1-DATA'!Z730)),IF($B732="STD. DEVIATION",2,$F$1))))</f>
        <v/>
      </c>
      <c r="AB732" s="1" t="str">
        <f>IF(OR($B732="",AB$7=""),"",IF($B732="MEANS",INDEX('1-DATA'!$1:$1048576,$A731-1,COLUMN('1-DATA'!AA730)),ROUND(INDEX('1-DATA'!$1:$1048576,IF(OR($B732="STD. DEVIATION",$C$1=1),$A732,$A732+1),COLUMN('1-DATA'!AA730)),IF($B732="STD. DEVIATION",2,$F$1))))</f>
        <v/>
      </c>
      <c r="AC732" s="1" t="str">
        <f>IF(OR($B732="",AC$7=""),"",IF($B732="MEANS",INDEX('1-DATA'!$1:$1048576,$A731-1,COLUMN('1-DATA'!AB730)),ROUND(INDEX('1-DATA'!$1:$1048576,IF(OR($B732="STD. DEVIATION",$C$1=1),$A732,$A732+1),COLUMN('1-DATA'!AB730)),IF($B732="STD. DEVIATION",2,$F$1))))</f>
        <v/>
      </c>
      <c r="AD732" s="1" t="str">
        <f>IF(OR($B732="",AD$7=""),"",IF($B732="MEANS",INDEX('1-DATA'!$1:$1048576,$A731-1,COLUMN('1-DATA'!AC730)),ROUND(INDEX('1-DATA'!$1:$1048576,IF(OR($B732="STD. DEVIATION",$C$1=1),$A732,$A732+1),COLUMN('1-DATA'!AC730)),IF($B732="STD. DEVIATION",2,$F$1))))</f>
        <v/>
      </c>
      <c r="AE732" s="1" t="str">
        <f>IF(OR($B732="",AE$7=""),"",IF($B732="MEANS",INDEX('1-DATA'!$1:$1048576,$A731-1,COLUMN('1-DATA'!AD730)),ROUND(INDEX('1-DATA'!$1:$1048576,IF(OR($B732="STD. DEVIATION",$C$1=1),$A732,$A732+1),COLUMN('1-DATA'!AD730)),IF($B732="STD. DEVIATION",2,$F$1))))</f>
        <v/>
      </c>
      <c r="AF732" s="1" t="str">
        <f>IF(OR($B732="",AF$7=""),"",IF($B732="MEANS",INDEX('1-DATA'!$1:$1048576,$A731-1,COLUMN('1-DATA'!AE730)),ROUND(INDEX('1-DATA'!$1:$1048576,IF(OR($B732="STD. DEVIATION",$C$1=1),$A732,$A732+1),COLUMN('1-DATA'!AE730)),IF($B732="STD. DEVIATION",2,$F$1))))</f>
        <v/>
      </c>
      <c r="AG732" s="1" t="str">
        <f>IF(OR($B732="",AG$7=""),"",IF($B732="MEANS",INDEX('1-DATA'!$1:$1048576,$A731-1,COLUMN('1-DATA'!AF730)),ROUND(INDEX('1-DATA'!$1:$1048576,IF(OR($B732="STD. DEVIATION",$C$1=1),$A732,$A732+1),COLUMN('1-DATA'!AF730)),IF($B732="STD. DEVIATION",2,$F$1))))</f>
        <v/>
      </c>
      <c r="AH732" s="1" t="str">
        <f>IF(OR($B732="",AH$7=""),"",IF($B732="MEANS",INDEX('1-DATA'!$1:$1048576,$A731-1,COLUMN('1-DATA'!AG730)),ROUND(INDEX('1-DATA'!$1:$1048576,IF(OR($B732="STD. DEVIATION",$C$1=1),$A732,$A732+1),COLUMN('1-DATA'!AG730)),IF($B732="STD. DEVIATION",2,$F$1))))</f>
        <v/>
      </c>
      <c r="AI732" s="1" t="str">
        <f>IF(OR($B732="",AI$7=""),"",IF($B732="MEANS",INDEX('1-DATA'!$1:$1048576,$A731-1,COLUMN('1-DATA'!AH730)),ROUND(INDEX('1-DATA'!$1:$1048576,IF(OR($B732="STD. DEVIATION",$C$1=1),$A732,$A732+1),COLUMN('1-DATA'!AH730)),IF($B732="STD. DEVIATION",2,$F$1))))</f>
        <v/>
      </c>
      <c r="AJ732" s="1" t="str">
        <f>IF(OR($B732="",AJ$7=""),"",IF($B732="MEANS",INDEX('1-DATA'!$1:$1048576,$A731-1,COLUMN('1-DATA'!AI730)),ROUND(INDEX('1-DATA'!$1:$1048576,IF(OR($B732="STD. DEVIATION",$C$1=1),$A732,$A732+1),COLUMN('1-DATA'!AI730)),IF($B732="STD. DEVIATION",2,$F$1))))</f>
        <v/>
      </c>
      <c r="AK732" s="1" t="str">
        <f>IF(OR($B732="",AK$7=""),"",IF($B732="MEANS",INDEX('1-DATA'!$1:$1048576,$A731-1,COLUMN('1-DATA'!AJ730)),ROUND(INDEX('1-DATA'!$1:$1048576,IF(OR($B732="STD. DEVIATION",$C$1=1),$A732,$A732+1),COLUMN('1-DATA'!AJ730)),IF($B732="STD. DEVIATION",2,$F$1))))</f>
        <v/>
      </c>
      <c r="AL732" s="1" t="str">
        <f>IF(OR($B732="",AL$7=""),"",IF($B732="MEANS",INDEX('1-DATA'!$1:$1048576,$A731-1,COLUMN('1-DATA'!AK730)),ROUND(INDEX('1-DATA'!$1:$1048576,IF(OR($B732="STD. DEVIATION",$C$1=1),$A732,$A732+1),COLUMN('1-DATA'!AK730)),IF($B732="STD. DEVIATION",2,$F$1))))</f>
        <v/>
      </c>
      <c r="AM732" s="1" t="str">
        <f>IF(OR($B732="",AM$7=""),"",IF($B732="MEANS",INDEX('1-DATA'!$1:$1048576,$A731-1,COLUMN('1-DATA'!AL730)),ROUND(INDEX('1-DATA'!$1:$1048576,IF(OR($B732="STD. DEVIATION",$C$1=1),$A732,$A732+1),COLUMN('1-DATA'!AL730)),IF($B732="STD. DEVIATION",2,$F$1))))</f>
        <v/>
      </c>
      <c r="AN732" s="1" t="str">
        <f>IF(OR($B732="",AN$7=""),"",IF($B732="MEANS",INDEX('1-DATA'!$1:$1048576,$A731-1,COLUMN('1-DATA'!AM730)),ROUND(INDEX('1-DATA'!$1:$1048576,IF(OR($B732="STD. DEVIATION",$C$1=1),$A732,$A732+1),COLUMN('1-DATA'!AM730)),IF($B732="STD. DEVIATION",2,$F$1))))</f>
        <v/>
      </c>
      <c r="AO732" s="1" t="str">
        <f>IF(OR($B732="",AO$7=""),"",IF($B732="MEANS",INDEX('1-DATA'!$1:$1048576,$A731-1,COLUMN('1-DATA'!AN730)),ROUND(INDEX('1-DATA'!$1:$1048576,IF(OR($B732="STD. DEVIATION",$C$1=1),$A732,$A732+1),COLUMN('1-DATA'!AN730)),IF($B732="STD. DEVIATION",2,$F$1))))</f>
        <v/>
      </c>
      <c r="AP732" s="1" t="str">
        <f>IF(OR($B732="",AP$7=""),"",IF($B732="MEANS",INDEX('1-DATA'!$1:$1048576,$A731-1,COLUMN('1-DATA'!AO730)),ROUND(INDEX('1-DATA'!$1:$1048576,IF(OR($B732="STD. DEVIATION",$C$1=1),$A732,$A732+1),COLUMN('1-DATA'!AO730)),IF($B732="STD. DEVIATION",2,$F$1))))</f>
        <v/>
      </c>
      <c r="AQ732" s="1" t="str">
        <f>IF(OR($B732="",AQ$7=""),"",IF($B732="MEANS",INDEX('1-DATA'!$1:$1048576,$A731-1,COLUMN('1-DATA'!AP730)),ROUND(INDEX('1-DATA'!$1:$1048576,IF(OR($B732="STD. DEVIATION",$C$1=1),$A732,$A732+1),COLUMN('1-DATA'!AP730)),IF($B732="STD. DEVIATION",2,$F$1))))</f>
        <v/>
      </c>
      <c r="AR732" s="1" t="str">
        <f>IF(OR($B732="",AR$7=""),"",IF($B732="MEANS",INDEX('1-DATA'!$1:$1048576,$A731-1,COLUMN('1-DATA'!AQ730)),ROUND(INDEX('1-DATA'!$1:$1048576,IF(OR($B732="STD. DEVIATION",$C$1=1),$A732,$A732+1),COLUMN('1-DATA'!AQ730)),IF($B732="STD. DEVIATION",2,$F$1))))</f>
        <v/>
      </c>
      <c r="AS732" s="1" t="str">
        <f>IF(OR($B732="",AS$7=""),"",IF($B732="MEANS",INDEX('1-DATA'!$1:$1048576,$A731-1,COLUMN('1-DATA'!AR730)),ROUND(INDEX('1-DATA'!$1:$1048576,IF(OR($B732="STD. DEVIATION",$C$1=1),$A732,$A732+1),COLUMN('1-DATA'!AR730)),IF($B732="STD. DEVIATION",2,$F$1))))</f>
        <v/>
      </c>
      <c r="AT732" s="1" t="str">
        <f>IF(OR($B732="",AT$7=""),"",IF($B732="MEANS",INDEX('1-DATA'!$1:$1048576,$A731-1,COLUMN('1-DATA'!AS730)),ROUND(INDEX('1-DATA'!$1:$1048576,IF(OR($B732="STD. DEVIATION",$C$1=1),$A732,$A732+1),COLUMN('1-DATA'!AS730)),IF($B732="STD. DEVIATION",2,$F$1))))</f>
        <v/>
      </c>
      <c r="AU732" s="1" t="str">
        <f>IF(OR($B732="",AU$7=""),"",IF($B732="MEANS",INDEX('1-DATA'!$1:$1048576,$A731-1,COLUMN('1-DATA'!AT730)),ROUND(INDEX('1-DATA'!$1:$1048576,IF(OR($B732="STD. DEVIATION",$C$1=1),$A732,$A732+1),COLUMN('1-DATA'!AT730)),IF($B732="STD. DEVIATION",2,$F$1))))</f>
        <v/>
      </c>
      <c r="AV732" s="1" t="str">
        <f>IF(OR($B732="",AV$7=""),"",IF($B732="MEANS",INDEX('1-DATA'!$1:$1048576,$A731-1,COLUMN('1-DATA'!AU730)),ROUND(INDEX('1-DATA'!$1:$1048576,IF(OR($B732="STD. DEVIATION",$C$1=1),$A732,$A732+1),COLUMN('1-DATA'!AU730)),IF($B732="STD. DEVIATION",2,$F$1))))</f>
        <v/>
      </c>
      <c r="AW732" s="1" t="str">
        <f>IF(OR($B732="",AW$7=""),"",IF($B732="MEANS",INDEX('1-DATA'!$1:$1048576,$A731-1,COLUMN('1-DATA'!AV730)),ROUND(INDEX('1-DATA'!$1:$1048576,IF(OR($B732="STD. DEVIATION",$C$1=1),$A732,$A732+1),COLUMN('1-DATA'!AV730)),IF($B732="STD. DEVIATION",2,$F$1))))</f>
        <v/>
      </c>
      <c r="AX732" s="1" t="str">
        <f>IF(OR($B732="",AX$7=""),"",IF($B732="MEANS",INDEX('1-DATA'!$1:$1048576,$A731-1,COLUMN('1-DATA'!AW730)),ROUND(INDEX('1-DATA'!$1:$1048576,IF(OR($B732="STD. DEVIATION",$C$1=1),$A732,$A732+1),COLUMN('1-DATA'!AW730)),IF($B732="STD. DEVIATION",2,$F$1))))</f>
        <v/>
      </c>
      <c r="AY732" s="1" t="str">
        <f>IF(OR($B732="",AY$7=""),"",IF($B732="MEANS",INDEX('1-DATA'!$1:$1048576,$A731-1,COLUMN('1-DATA'!AX730)),ROUND(INDEX('1-DATA'!$1:$1048576,IF(OR($B732="STD. DEVIATION",$C$1=1),$A732,$A732+1),COLUMN('1-DATA'!AX730)),IF($B732="STD. DEVIATION",2,$F$1))))</f>
        <v/>
      </c>
      <c r="AZ732" s="1" t="str">
        <f>IF(OR($B732="",AZ$7=""),"",IF($B732="MEANS",INDEX('1-DATA'!$1:$1048576,$A731-1,COLUMN('1-DATA'!AY730)),ROUND(INDEX('1-DATA'!$1:$1048576,IF(OR($B732="STD. DEVIATION",$C$1=1),$A732,$A732+1),COLUMN('1-DATA'!AY730)),IF($B732="STD. DEVIATION",2,$F$1))))</f>
        <v/>
      </c>
    </row>
    <row r="733" spans="1:52" x14ac:dyDescent="0.25">
      <c r="A733" s="11">
        <f t="shared" si="11"/>
        <v>2185</v>
      </c>
      <c r="B733" s="1" t="str">
        <f>IF(B732="STD. DEVIATION",INDEX('1-DATA'!$1:$1048576,$A732-1,1),IF(INDEX('1-DATA'!$1:$1048576,$A733,1)&lt;&gt;"",INDEX('1-DATA'!$1:$1048576,$A733,1),""))</f>
        <v/>
      </c>
      <c r="C733" s="1" t="str">
        <f>IF(OR($B733="",C$7=""),"",IF($B733="MEANS",INDEX('1-DATA'!$1:$1048576,$A732-1,COLUMN('1-DATA'!B731)),ROUND(INDEX('1-DATA'!$1:$1048576,IF(OR($B733="STD. DEVIATION",$C$1=1),$A733,$A733+1),COLUMN('1-DATA'!B731)),IF($B733="STD. DEVIATION",2,$F$1))))</f>
        <v/>
      </c>
      <c r="D733" s="1" t="str">
        <f>IF(OR($B733="",D$7=""),"",IF($B733="MEANS",INDEX('1-DATA'!$1:$1048576,$A732-1,COLUMN('1-DATA'!C731)),ROUND(INDEX('1-DATA'!$1:$1048576,IF(OR($B733="STD. DEVIATION",$C$1=1),$A733,$A733+1),COLUMN('1-DATA'!C731)),IF($B733="STD. DEVIATION",2,$F$1))))</f>
        <v/>
      </c>
      <c r="E733" s="1" t="str">
        <f>IF(OR($B733="",E$7=""),"",IF($B733="MEANS",INDEX('1-DATA'!$1:$1048576,$A732-1,COLUMN('1-DATA'!D731)),ROUND(INDEX('1-DATA'!$1:$1048576,IF(OR($B733="STD. DEVIATION",$C$1=1),$A733,$A733+1),COLUMN('1-DATA'!D731)),IF($B733="STD. DEVIATION",2,$F$1))))</f>
        <v/>
      </c>
      <c r="F733" s="1" t="str">
        <f>IF(OR($B733="",F$7=""),"",IF($B733="MEANS",INDEX('1-DATA'!$1:$1048576,$A732-1,COLUMN('1-DATA'!E731)),ROUND(INDEX('1-DATA'!$1:$1048576,IF(OR($B733="STD. DEVIATION",$C$1=1),$A733,$A733+1),COLUMN('1-DATA'!E731)),IF($B733="STD. DEVIATION",2,$F$1))))</f>
        <v/>
      </c>
      <c r="G733" s="1" t="str">
        <f>IF(OR($B733="",G$7=""),"",IF($B733="MEANS",INDEX('1-DATA'!$1:$1048576,$A732-1,COLUMN('1-DATA'!F731)),ROUND(INDEX('1-DATA'!$1:$1048576,IF(OR($B733="STD. DEVIATION",$C$1=1),$A733,$A733+1),COLUMN('1-DATA'!F731)),IF($B733="STD. DEVIATION",2,$F$1))))</f>
        <v/>
      </c>
      <c r="H733" s="1" t="str">
        <f>IF(OR($B733="",H$7=""),"",IF($B733="MEANS",INDEX('1-DATA'!$1:$1048576,$A732-1,COLUMN('1-DATA'!G731)),ROUND(INDEX('1-DATA'!$1:$1048576,IF(OR($B733="STD. DEVIATION",$C$1=1),$A733,$A733+1),COLUMN('1-DATA'!G731)),IF($B733="STD. DEVIATION",2,$F$1))))</f>
        <v/>
      </c>
      <c r="I733" s="1" t="str">
        <f>IF(OR($B733="",I$7=""),"",IF($B733="MEANS",INDEX('1-DATA'!$1:$1048576,$A732-1,COLUMN('1-DATA'!H731)),ROUND(INDEX('1-DATA'!$1:$1048576,IF(OR($B733="STD. DEVIATION",$C$1=1),$A733,$A733+1),COLUMN('1-DATA'!H731)),IF($B733="STD. DEVIATION",2,$F$1))))</f>
        <v/>
      </c>
      <c r="J733" s="1" t="str">
        <f>IF(OR($B733="",J$7=""),"",IF($B733="MEANS",INDEX('1-DATA'!$1:$1048576,$A732-1,COLUMN('1-DATA'!I731)),ROUND(INDEX('1-DATA'!$1:$1048576,IF(OR($B733="STD. DEVIATION",$C$1=1),$A733,$A733+1),COLUMN('1-DATA'!I731)),IF($B733="STD. DEVIATION",2,$F$1))))</f>
        <v/>
      </c>
      <c r="K733" s="1" t="str">
        <f>IF(OR($B733="",K$7=""),"",IF($B733="MEANS",INDEX('1-DATA'!$1:$1048576,$A732-1,COLUMN('1-DATA'!J731)),ROUND(INDEX('1-DATA'!$1:$1048576,IF(OR($B733="STD. DEVIATION",$C$1=1),$A733,$A733+1),COLUMN('1-DATA'!J731)),IF($B733="STD. DEVIATION",2,$F$1))))</f>
        <v/>
      </c>
      <c r="L733" s="1" t="str">
        <f>IF(OR($B733="",L$7=""),"",IF($B733="MEANS",INDEX('1-DATA'!$1:$1048576,$A732-1,COLUMN('1-DATA'!K731)),ROUND(INDEX('1-DATA'!$1:$1048576,IF(OR($B733="STD. DEVIATION",$C$1=1),$A733,$A733+1),COLUMN('1-DATA'!K731)),IF($B733="STD. DEVIATION",2,$F$1))))</f>
        <v/>
      </c>
      <c r="M733" s="1" t="str">
        <f>IF(OR($B733="",M$7=""),"",IF($B733="MEANS",INDEX('1-DATA'!$1:$1048576,$A732-1,COLUMN('1-DATA'!L731)),ROUND(INDEX('1-DATA'!$1:$1048576,IF(OR($B733="STD. DEVIATION",$C$1=1),$A733,$A733+1),COLUMN('1-DATA'!L731)),IF($B733="STD. DEVIATION",2,$F$1))))</f>
        <v/>
      </c>
      <c r="N733" s="1" t="str">
        <f>IF(OR($B733="",N$7=""),"",IF($B733="MEANS",INDEX('1-DATA'!$1:$1048576,$A732-1,COLUMN('1-DATA'!M731)),ROUND(INDEX('1-DATA'!$1:$1048576,IF(OR($B733="STD. DEVIATION",$C$1=1),$A733,$A733+1),COLUMN('1-DATA'!M731)),IF($B733="STD. DEVIATION",2,$F$1))))</f>
        <v/>
      </c>
      <c r="O733" s="1" t="str">
        <f>IF(OR($B733="",O$7=""),"",IF($B733="MEANS",INDEX('1-DATA'!$1:$1048576,$A732-1,COLUMN('1-DATA'!N731)),ROUND(INDEX('1-DATA'!$1:$1048576,IF(OR($B733="STD. DEVIATION",$C$1=1),$A733,$A733+1),COLUMN('1-DATA'!N731)),IF($B733="STD. DEVIATION",2,$F$1))))</f>
        <v/>
      </c>
      <c r="P733" s="1" t="str">
        <f>IF(OR($B733="",P$7=""),"",IF($B733="MEANS",INDEX('1-DATA'!$1:$1048576,$A732-1,COLUMN('1-DATA'!O731)),ROUND(INDEX('1-DATA'!$1:$1048576,IF(OR($B733="STD. DEVIATION",$C$1=1),$A733,$A733+1),COLUMN('1-DATA'!O731)),IF($B733="STD. DEVIATION",2,$F$1))))</f>
        <v/>
      </c>
      <c r="Q733" s="1" t="str">
        <f>IF(OR($B733="",Q$7=""),"",IF($B733="MEANS",INDEX('1-DATA'!$1:$1048576,$A732-1,COLUMN('1-DATA'!P731)),ROUND(INDEX('1-DATA'!$1:$1048576,IF(OR($B733="STD. DEVIATION",$C$1=1),$A733,$A733+1),COLUMN('1-DATA'!P731)),IF($B733="STD. DEVIATION",2,$F$1))))</f>
        <v/>
      </c>
      <c r="R733" s="1" t="str">
        <f>IF(OR($B733="",R$7=""),"",IF($B733="MEANS",INDEX('1-DATA'!$1:$1048576,$A732-1,COLUMN('1-DATA'!Q731)),ROUND(INDEX('1-DATA'!$1:$1048576,IF(OR($B733="STD. DEVIATION",$C$1=1),$A733,$A733+1),COLUMN('1-DATA'!Q731)),IF($B733="STD. DEVIATION",2,$F$1))))</f>
        <v/>
      </c>
      <c r="S733" s="1" t="str">
        <f>IF(OR($B733="",S$7=""),"",IF($B733="MEANS",INDEX('1-DATA'!$1:$1048576,$A732-1,COLUMN('1-DATA'!R731)),ROUND(INDEX('1-DATA'!$1:$1048576,IF(OR($B733="STD. DEVIATION",$C$1=1),$A733,$A733+1),COLUMN('1-DATA'!R731)),IF($B733="STD. DEVIATION",2,$F$1))))</f>
        <v/>
      </c>
      <c r="T733" s="1" t="str">
        <f>IF(OR($B733="",T$7=""),"",IF($B733="MEANS",INDEX('1-DATA'!$1:$1048576,$A732-1,COLUMN('1-DATA'!S731)),ROUND(INDEX('1-DATA'!$1:$1048576,IF(OR($B733="STD. DEVIATION",$C$1=1),$A733,$A733+1),COLUMN('1-DATA'!S731)),IF($B733="STD. DEVIATION",2,$F$1))))</f>
        <v/>
      </c>
      <c r="U733" s="1" t="str">
        <f>IF(OR($B733="",U$7=""),"",IF($B733="MEANS",INDEX('1-DATA'!$1:$1048576,$A732-1,COLUMN('1-DATA'!T731)),ROUND(INDEX('1-DATA'!$1:$1048576,IF(OR($B733="STD. DEVIATION",$C$1=1),$A733,$A733+1),COLUMN('1-DATA'!T731)),IF($B733="STD. DEVIATION",2,$F$1))))</f>
        <v/>
      </c>
      <c r="V733" s="1" t="str">
        <f>IF(OR($B733="",V$7=""),"",IF($B733="MEANS",INDEX('1-DATA'!$1:$1048576,$A732-1,COLUMN('1-DATA'!U731)),ROUND(INDEX('1-DATA'!$1:$1048576,IF(OR($B733="STD. DEVIATION",$C$1=1),$A733,$A733+1),COLUMN('1-DATA'!U731)),IF($B733="STD. DEVIATION",2,$F$1))))</f>
        <v/>
      </c>
      <c r="W733" s="1" t="str">
        <f>IF(OR($B733="",W$7=""),"",IF($B733="MEANS",INDEX('1-DATA'!$1:$1048576,$A732-1,COLUMN('1-DATA'!V731)),ROUND(INDEX('1-DATA'!$1:$1048576,IF(OR($B733="STD. DEVIATION",$C$1=1),$A733,$A733+1),COLUMN('1-DATA'!V731)),IF($B733="STD. DEVIATION",2,$F$1))))</f>
        <v/>
      </c>
      <c r="X733" s="1" t="str">
        <f>IF(OR($B733="",X$7=""),"",IF($B733="MEANS",INDEX('1-DATA'!$1:$1048576,$A732-1,COLUMN('1-DATA'!W731)),ROUND(INDEX('1-DATA'!$1:$1048576,IF(OR($B733="STD. DEVIATION",$C$1=1),$A733,$A733+1),COLUMN('1-DATA'!W731)),IF($B733="STD. DEVIATION",2,$F$1))))</f>
        <v/>
      </c>
      <c r="Y733" s="1" t="str">
        <f>IF(OR($B733="",Y$7=""),"",IF($B733="MEANS",INDEX('1-DATA'!$1:$1048576,$A732-1,COLUMN('1-DATA'!X731)),ROUND(INDEX('1-DATA'!$1:$1048576,IF(OR($B733="STD. DEVIATION",$C$1=1),$A733,$A733+1),COLUMN('1-DATA'!X731)),IF($B733="STD. DEVIATION",2,$F$1))))</f>
        <v/>
      </c>
      <c r="Z733" s="1" t="str">
        <f>IF(OR($B733="",Z$7=""),"",IF($B733="MEANS",INDEX('1-DATA'!$1:$1048576,$A732-1,COLUMN('1-DATA'!Y731)),ROUND(INDEX('1-DATA'!$1:$1048576,IF(OR($B733="STD. DEVIATION",$C$1=1),$A733,$A733+1),COLUMN('1-DATA'!Y731)),IF($B733="STD. DEVIATION",2,$F$1))))</f>
        <v/>
      </c>
      <c r="AA733" s="1" t="str">
        <f>IF(OR($B733="",AA$7=""),"",IF($B733="MEANS",INDEX('1-DATA'!$1:$1048576,$A732-1,COLUMN('1-DATA'!Z731)),ROUND(INDEX('1-DATA'!$1:$1048576,IF(OR($B733="STD. DEVIATION",$C$1=1),$A733,$A733+1),COLUMN('1-DATA'!Z731)),IF($B733="STD. DEVIATION",2,$F$1))))</f>
        <v/>
      </c>
      <c r="AB733" s="1" t="str">
        <f>IF(OR($B733="",AB$7=""),"",IF($B733="MEANS",INDEX('1-DATA'!$1:$1048576,$A732-1,COLUMN('1-DATA'!AA731)),ROUND(INDEX('1-DATA'!$1:$1048576,IF(OR($B733="STD. DEVIATION",$C$1=1),$A733,$A733+1),COLUMN('1-DATA'!AA731)),IF($B733="STD. DEVIATION",2,$F$1))))</f>
        <v/>
      </c>
      <c r="AC733" s="1" t="str">
        <f>IF(OR($B733="",AC$7=""),"",IF($B733="MEANS",INDEX('1-DATA'!$1:$1048576,$A732-1,COLUMN('1-DATA'!AB731)),ROUND(INDEX('1-DATA'!$1:$1048576,IF(OR($B733="STD. DEVIATION",$C$1=1),$A733,$A733+1),COLUMN('1-DATA'!AB731)),IF($B733="STD. DEVIATION",2,$F$1))))</f>
        <v/>
      </c>
      <c r="AD733" s="1" t="str">
        <f>IF(OR($B733="",AD$7=""),"",IF($B733="MEANS",INDEX('1-DATA'!$1:$1048576,$A732-1,COLUMN('1-DATA'!AC731)),ROUND(INDEX('1-DATA'!$1:$1048576,IF(OR($B733="STD. DEVIATION",$C$1=1),$A733,$A733+1),COLUMN('1-DATA'!AC731)),IF($B733="STD. DEVIATION",2,$F$1))))</f>
        <v/>
      </c>
      <c r="AE733" s="1" t="str">
        <f>IF(OR($B733="",AE$7=""),"",IF($B733="MEANS",INDEX('1-DATA'!$1:$1048576,$A732-1,COLUMN('1-DATA'!AD731)),ROUND(INDEX('1-DATA'!$1:$1048576,IF(OR($B733="STD. DEVIATION",$C$1=1),$A733,$A733+1),COLUMN('1-DATA'!AD731)),IF($B733="STD. DEVIATION",2,$F$1))))</f>
        <v/>
      </c>
      <c r="AF733" s="1" t="str">
        <f>IF(OR($B733="",AF$7=""),"",IF($B733="MEANS",INDEX('1-DATA'!$1:$1048576,$A732-1,COLUMN('1-DATA'!AE731)),ROUND(INDEX('1-DATA'!$1:$1048576,IF(OR($B733="STD. DEVIATION",$C$1=1),$A733,$A733+1),COLUMN('1-DATA'!AE731)),IF($B733="STD. DEVIATION",2,$F$1))))</f>
        <v/>
      </c>
      <c r="AG733" s="1" t="str">
        <f>IF(OR($B733="",AG$7=""),"",IF($B733="MEANS",INDEX('1-DATA'!$1:$1048576,$A732-1,COLUMN('1-DATA'!AF731)),ROUND(INDEX('1-DATA'!$1:$1048576,IF(OR($B733="STD. DEVIATION",$C$1=1),$A733,$A733+1),COLUMN('1-DATA'!AF731)),IF($B733="STD. DEVIATION",2,$F$1))))</f>
        <v/>
      </c>
      <c r="AH733" s="1" t="str">
        <f>IF(OR($B733="",AH$7=""),"",IF($B733="MEANS",INDEX('1-DATA'!$1:$1048576,$A732-1,COLUMN('1-DATA'!AG731)),ROUND(INDEX('1-DATA'!$1:$1048576,IF(OR($B733="STD. DEVIATION",$C$1=1),$A733,$A733+1),COLUMN('1-DATA'!AG731)),IF($B733="STD. DEVIATION",2,$F$1))))</f>
        <v/>
      </c>
      <c r="AI733" s="1" t="str">
        <f>IF(OR($B733="",AI$7=""),"",IF($B733="MEANS",INDEX('1-DATA'!$1:$1048576,$A732-1,COLUMN('1-DATA'!AH731)),ROUND(INDEX('1-DATA'!$1:$1048576,IF(OR($B733="STD. DEVIATION",$C$1=1),$A733,$A733+1),COLUMN('1-DATA'!AH731)),IF($B733="STD. DEVIATION",2,$F$1))))</f>
        <v/>
      </c>
      <c r="AJ733" s="1" t="str">
        <f>IF(OR($B733="",AJ$7=""),"",IF($B733="MEANS",INDEX('1-DATA'!$1:$1048576,$A732-1,COLUMN('1-DATA'!AI731)),ROUND(INDEX('1-DATA'!$1:$1048576,IF(OR($B733="STD. DEVIATION",$C$1=1),$A733,$A733+1),COLUMN('1-DATA'!AI731)),IF($B733="STD. DEVIATION",2,$F$1))))</f>
        <v/>
      </c>
      <c r="AK733" s="1" t="str">
        <f>IF(OR($B733="",AK$7=""),"",IF($B733="MEANS",INDEX('1-DATA'!$1:$1048576,$A732-1,COLUMN('1-DATA'!AJ731)),ROUND(INDEX('1-DATA'!$1:$1048576,IF(OR($B733="STD. DEVIATION",$C$1=1),$A733,$A733+1),COLUMN('1-DATA'!AJ731)),IF($B733="STD. DEVIATION",2,$F$1))))</f>
        <v/>
      </c>
      <c r="AL733" s="1" t="str">
        <f>IF(OR($B733="",AL$7=""),"",IF($B733="MEANS",INDEX('1-DATA'!$1:$1048576,$A732-1,COLUMN('1-DATA'!AK731)),ROUND(INDEX('1-DATA'!$1:$1048576,IF(OR($B733="STD. DEVIATION",$C$1=1),$A733,$A733+1),COLUMN('1-DATA'!AK731)),IF($B733="STD. DEVIATION",2,$F$1))))</f>
        <v/>
      </c>
      <c r="AM733" s="1" t="str">
        <f>IF(OR($B733="",AM$7=""),"",IF($B733="MEANS",INDEX('1-DATA'!$1:$1048576,$A732-1,COLUMN('1-DATA'!AL731)),ROUND(INDEX('1-DATA'!$1:$1048576,IF(OR($B733="STD. DEVIATION",$C$1=1),$A733,$A733+1),COLUMN('1-DATA'!AL731)),IF($B733="STD. DEVIATION",2,$F$1))))</f>
        <v/>
      </c>
      <c r="AN733" s="1" t="str">
        <f>IF(OR($B733="",AN$7=""),"",IF($B733="MEANS",INDEX('1-DATA'!$1:$1048576,$A732-1,COLUMN('1-DATA'!AM731)),ROUND(INDEX('1-DATA'!$1:$1048576,IF(OR($B733="STD. DEVIATION",$C$1=1),$A733,$A733+1),COLUMN('1-DATA'!AM731)),IF($B733="STD. DEVIATION",2,$F$1))))</f>
        <v/>
      </c>
      <c r="AO733" s="1" t="str">
        <f>IF(OR($B733="",AO$7=""),"",IF($B733="MEANS",INDEX('1-DATA'!$1:$1048576,$A732-1,COLUMN('1-DATA'!AN731)),ROUND(INDEX('1-DATA'!$1:$1048576,IF(OR($B733="STD. DEVIATION",$C$1=1),$A733,$A733+1),COLUMN('1-DATA'!AN731)),IF($B733="STD. DEVIATION",2,$F$1))))</f>
        <v/>
      </c>
      <c r="AP733" s="1" t="str">
        <f>IF(OR($B733="",AP$7=""),"",IF($B733="MEANS",INDEX('1-DATA'!$1:$1048576,$A732-1,COLUMN('1-DATA'!AO731)),ROUND(INDEX('1-DATA'!$1:$1048576,IF(OR($B733="STD. DEVIATION",$C$1=1),$A733,$A733+1),COLUMN('1-DATA'!AO731)),IF($B733="STD. DEVIATION",2,$F$1))))</f>
        <v/>
      </c>
      <c r="AQ733" s="1" t="str">
        <f>IF(OR($B733="",AQ$7=""),"",IF($B733="MEANS",INDEX('1-DATA'!$1:$1048576,$A732-1,COLUMN('1-DATA'!AP731)),ROUND(INDEX('1-DATA'!$1:$1048576,IF(OR($B733="STD. DEVIATION",$C$1=1),$A733,$A733+1),COLUMN('1-DATA'!AP731)),IF($B733="STD. DEVIATION",2,$F$1))))</f>
        <v/>
      </c>
      <c r="AR733" s="1" t="str">
        <f>IF(OR($B733="",AR$7=""),"",IF($B733="MEANS",INDEX('1-DATA'!$1:$1048576,$A732-1,COLUMN('1-DATA'!AQ731)),ROUND(INDEX('1-DATA'!$1:$1048576,IF(OR($B733="STD. DEVIATION",$C$1=1),$A733,$A733+1),COLUMN('1-DATA'!AQ731)),IF($B733="STD. DEVIATION",2,$F$1))))</f>
        <v/>
      </c>
      <c r="AS733" s="1" t="str">
        <f>IF(OR($B733="",AS$7=""),"",IF($B733="MEANS",INDEX('1-DATA'!$1:$1048576,$A732-1,COLUMN('1-DATA'!AR731)),ROUND(INDEX('1-DATA'!$1:$1048576,IF(OR($B733="STD. DEVIATION",$C$1=1),$A733,$A733+1),COLUMN('1-DATA'!AR731)),IF($B733="STD. DEVIATION",2,$F$1))))</f>
        <v/>
      </c>
      <c r="AT733" s="1" t="str">
        <f>IF(OR($B733="",AT$7=""),"",IF($B733="MEANS",INDEX('1-DATA'!$1:$1048576,$A732-1,COLUMN('1-DATA'!AS731)),ROUND(INDEX('1-DATA'!$1:$1048576,IF(OR($B733="STD. DEVIATION",$C$1=1),$A733,$A733+1),COLUMN('1-DATA'!AS731)),IF($B733="STD. DEVIATION",2,$F$1))))</f>
        <v/>
      </c>
      <c r="AU733" s="1" t="str">
        <f>IF(OR($B733="",AU$7=""),"",IF($B733="MEANS",INDEX('1-DATA'!$1:$1048576,$A732-1,COLUMN('1-DATA'!AT731)),ROUND(INDEX('1-DATA'!$1:$1048576,IF(OR($B733="STD. DEVIATION",$C$1=1),$A733,$A733+1),COLUMN('1-DATA'!AT731)),IF($B733="STD. DEVIATION",2,$F$1))))</f>
        <v/>
      </c>
      <c r="AV733" s="1" t="str">
        <f>IF(OR($B733="",AV$7=""),"",IF($B733="MEANS",INDEX('1-DATA'!$1:$1048576,$A732-1,COLUMN('1-DATA'!AU731)),ROUND(INDEX('1-DATA'!$1:$1048576,IF(OR($B733="STD. DEVIATION",$C$1=1),$A733,$A733+1),COLUMN('1-DATA'!AU731)),IF($B733="STD. DEVIATION",2,$F$1))))</f>
        <v/>
      </c>
      <c r="AW733" s="1" t="str">
        <f>IF(OR($B733="",AW$7=""),"",IF($B733="MEANS",INDEX('1-DATA'!$1:$1048576,$A732-1,COLUMN('1-DATA'!AV731)),ROUND(INDEX('1-DATA'!$1:$1048576,IF(OR($B733="STD. DEVIATION",$C$1=1),$A733,$A733+1),COLUMN('1-DATA'!AV731)),IF($B733="STD. DEVIATION",2,$F$1))))</f>
        <v/>
      </c>
      <c r="AX733" s="1" t="str">
        <f>IF(OR($B733="",AX$7=""),"",IF($B733="MEANS",INDEX('1-DATA'!$1:$1048576,$A732-1,COLUMN('1-DATA'!AW731)),ROUND(INDEX('1-DATA'!$1:$1048576,IF(OR($B733="STD. DEVIATION",$C$1=1),$A733,$A733+1),COLUMN('1-DATA'!AW731)),IF($B733="STD. DEVIATION",2,$F$1))))</f>
        <v/>
      </c>
      <c r="AY733" s="1" t="str">
        <f>IF(OR($B733="",AY$7=""),"",IF($B733="MEANS",INDEX('1-DATA'!$1:$1048576,$A732-1,COLUMN('1-DATA'!AX731)),ROUND(INDEX('1-DATA'!$1:$1048576,IF(OR($B733="STD. DEVIATION",$C$1=1),$A733,$A733+1),COLUMN('1-DATA'!AX731)),IF($B733="STD. DEVIATION",2,$F$1))))</f>
        <v/>
      </c>
      <c r="AZ733" s="1" t="str">
        <f>IF(OR($B733="",AZ$7=""),"",IF($B733="MEANS",INDEX('1-DATA'!$1:$1048576,$A732-1,COLUMN('1-DATA'!AY731)),ROUND(INDEX('1-DATA'!$1:$1048576,IF(OR($B733="STD. DEVIATION",$C$1=1),$A733,$A733+1),COLUMN('1-DATA'!AY731)),IF($B733="STD. DEVIATION",2,$F$1))))</f>
        <v/>
      </c>
    </row>
    <row r="734" spans="1:52" x14ac:dyDescent="0.25">
      <c r="A734" s="11">
        <f t="shared" ref="A734:A797" si="12">A733+3</f>
        <v>2188</v>
      </c>
      <c r="B734" s="1" t="str">
        <f>IF(B733="STD. DEVIATION",INDEX('1-DATA'!$1:$1048576,$A733-1,1),IF(INDEX('1-DATA'!$1:$1048576,$A734,1)&lt;&gt;"",INDEX('1-DATA'!$1:$1048576,$A734,1),""))</f>
        <v/>
      </c>
      <c r="C734" s="1" t="str">
        <f>IF(OR($B734="",C$7=""),"",IF($B734="MEANS",INDEX('1-DATA'!$1:$1048576,$A733-1,COLUMN('1-DATA'!B732)),ROUND(INDEX('1-DATA'!$1:$1048576,IF(OR($B734="STD. DEVIATION",$C$1=1),$A734,$A734+1),COLUMN('1-DATA'!B732)),IF($B734="STD. DEVIATION",2,$F$1))))</f>
        <v/>
      </c>
      <c r="D734" s="1" t="str">
        <f>IF(OR($B734="",D$7=""),"",IF($B734="MEANS",INDEX('1-DATA'!$1:$1048576,$A733-1,COLUMN('1-DATA'!C732)),ROUND(INDEX('1-DATA'!$1:$1048576,IF(OR($B734="STD. DEVIATION",$C$1=1),$A734,$A734+1),COLUMN('1-DATA'!C732)),IF($B734="STD. DEVIATION",2,$F$1))))</f>
        <v/>
      </c>
      <c r="E734" s="1" t="str">
        <f>IF(OR($B734="",E$7=""),"",IF($B734="MEANS",INDEX('1-DATA'!$1:$1048576,$A733-1,COLUMN('1-DATA'!D732)),ROUND(INDEX('1-DATA'!$1:$1048576,IF(OR($B734="STD. DEVIATION",$C$1=1),$A734,$A734+1),COLUMN('1-DATA'!D732)),IF($B734="STD. DEVIATION",2,$F$1))))</f>
        <v/>
      </c>
      <c r="F734" s="1" t="str">
        <f>IF(OR($B734="",F$7=""),"",IF($B734="MEANS",INDEX('1-DATA'!$1:$1048576,$A733-1,COLUMN('1-DATA'!E732)),ROUND(INDEX('1-DATA'!$1:$1048576,IF(OR($B734="STD. DEVIATION",$C$1=1),$A734,$A734+1),COLUMN('1-DATA'!E732)),IF($B734="STD. DEVIATION",2,$F$1))))</f>
        <v/>
      </c>
      <c r="G734" s="1" t="str">
        <f>IF(OR($B734="",G$7=""),"",IF($B734="MEANS",INDEX('1-DATA'!$1:$1048576,$A733-1,COLUMN('1-DATA'!F732)),ROUND(INDEX('1-DATA'!$1:$1048576,IF(OR($B734="STD. DEVIATION",$C$1=1),$A734,$A734+1),COLUMN('1-DATA'!F732)),IF($B734="STD. DEVIATION",2,$F$1))))</f>
        <v/>
      </c>
      <c r="H734" s="1" t="str">
        <f>IF(OR($B734="",H$7=""),"",IF($B734="MEANS",INDEX('1-DATA'!$1:$1048576,$A733-1,COLUMN('1-DATA'!G732)),ROUND(INDEX('1-DATA'!$1:$1048576,IF(OR($B734="STD. DEVIATION",$C$1=1),$A734,$A734+1),COLUMN('1-DATA'!G732)),IF($B734="STD. DEVIATION",2,$F$1))))</f>
        <v/>
      </c>
      <c r="I734" s="1" t="str">
        <f>IF(OR($B734="",I$7=""),"",IF($B734="MEANS",INDEX('1-DATA'!$1:$1048576,$A733-1,COLUMN('1-DATA'!H732)),ROUND(INDEX('1-DATA'!$1:$1048576,IF(OR($B734="STD. DEVIATION",$C$1=1),$A734,$A734+1),COLUMN('1-DATA'!H732)),IF($B734="STD. DEVIATION",2,$F$1))))</f>
        <v/>
      </c>
      <c r="J734" s="1" t="str">
        <f>IF(OR($B734="",J$7=""),"",IF($B734="MEANS",INDEX('1-DATA'!$1:$1048576,$A733-1,COLUMN('1-DATA'!I732)),ROUND(INDEX('1-DATA'!$1:$1048576,IF(OR($B734="STD. DEVIATION",$C$1=1),$A734,$A734+1),COLUMN('1-DATA'!I732)),IF($B734="STD. DEVIATION",2,$F$1))))</f>
        <v/>
      </c>
      <c r="K734" s="1" t="str">
        <f>IF(OR($B734="",K$7=""),"",IF($B734="MEANS",INDEX('1-DATA'!$1:$1048576,$A733-1,COLUMN('1-DATA'!J732)),ROUND(INDEX('1-DATA'!$1:$1048576,IF(OR($B734="STD. DEVIATION",$C$1=1),$A734,$A734+1),COLUMN('1-DATA'!J732)),IF($B734="STD. DEVIATION",2,$F$1))))</f>
        <v/>
      </c>
      <c r="L734" s="1" t="str">
        <f>IF(OR($B734="",L$7=""),"",IF($B734="MEANS",INDEX('1-DATA'!$1:$1048576,$A733-1,COLUMN('1-DATA'!K732)),ROUND(INDEX('1-DATA'!$1:$1048576,IF(OR($B734="STD. DEVIATION",$C$1=1),$A734,$A734+1),COLUMN('1-DATA'!K732)),IF($B734="STD. DEVIATION",2,$F$1))))</f>
        <v/>
      </c>
      <c r="M734" s="1" t="str">
        <f>IF(OR($B734="",M$7=""),"",IF($B734="MEANS",INDEX('1-DATA'!$1:$1048576,$A733-1,COLUMN('1-DATA'!L732)),ROUND(INDEX('1-DATA'!$1:$1048576,IF(OR($B734="STD. DEVIATION",$C$1=1),$A734,$A734+1),COLUMN('1-DATA'!L732)),IF($B734="STD. DEVIATION",2,$F$1))))</f>
        <v/>
      </c>
      <c r="N734" s="1" t="str">
        <f>IF(OR($B734="",N$7=""),"",IF($B734="MEANS",INDEX('1-DATA'!$1:$1048576,$A733-1,COLUMN('1-DATA'!M732)),ROUND(INDEX('1-DATA'!$1:$1048576,IF(OR($B734="STD. DEVIATION",$C$1=1),$A734,$A734+1),COLUMN('1-DATA'!M732)),IF($B734="STD. DEVIATION",2,$F$1))))</f>
        <v/>
      </c>
      <c r="O734" s="1" t="str">
        <f>IF(OR($B734="",O$7=""),"",IF($B734="MEANS",INDEX('1-DATA'!$1:$1048576,$A733-1,COLUMN('1-DATA'!N732)),ROUND(INDEX('1-DATA'!$1:$1048576,IF(OR($B734="STD. DEVIATION",$C$1=1),$A734,$A734+1),COLUMN('1-DATA'!N732)),IF($B734="STD. DEVIATION",2,$F$1))))</f>
        <v/>
      </c>
      <c r="P734" s="1" t="str">
        <f>IF(OR($B734="",P$7=""),"",IF($B734="MEANS",INDEX('1-DATA'!$1:$1048576,$A733-1,COLUMN('1-DATA'!O732)),ROUND(INDEX('1-DATA'!$1:$1048576,IF(OR($B734="STD. DEVIATION",$C$1=1),$A734,$A734+1),COLUMN('1-DATA'!O732)),IF($B734="STD. DEVIATION",2,$F$1))))</f>
        <v/>
      </c>
      <c r="Q734" s="1" t="str">
        <f>IF(OR($B734="",Q$7=""),"",IF($B734="MEANS",INDEX('1-DATA'!$1:$1048576,$A733-1,COLUMN('1-DATA'!P732)),ROUND(INDEX('1-DATA'!$1:$1048576,IF(OR($B734="STD. DEVIATION",$C$1=1),$A734,$A734+1),COLUMN('1-DATA'!P732)),IF($B734="STD. DEVIATION",2,$F$1))))</f>
        <v/>
      </c>
      <c r="R734" s="1" t="str">
        <f>IF(OR($B734="",R$7=""),"",IF($B734="MEANS",INDEX('1-DATA'!$1:$1048576,$A733-1,COLUMN('1-DATA'!Q732)),ROUND(INDEX('1-DATA'!$1:$1048576,IF(OR($B734="STD. DEVIATION",$C$1=1),$A734,$A734+1),COLUMN('1-DATA'!Q732)),IF($B734="STD. DEVIATION",2,$F$1))))</f>
        <v/>
      </c>
      <c r="S734" s="1" t="str">
        <f>IF(OR($B734="",S$7=""),"",IF($B734="MEANS",INDEX('1-DATA'!$1:$1048576,$A733-1,COLUMN('1-DATA'!R732)),ROUND(INDEX('1-DATA'!$1:$1048576,IF(OR($B734="STD. DEVIATION",$C$1=1),$A734,$A734+1),COLUMN('1-DATA'!R732)),IF($B734="STD. DEVIATION",2,$F$1))))</f>
        <v/>
      </c>
      <c r="T734" s="1" t="str">
        <f>IF(OR($B734="",T$7=""),"",IF($B734="MEANS",INDEX('1-DATA'!$1:$1048576,$A733-1,COLUMN('1-DATA'!S732)),ROUND(INDEX('1-DATA'!$1:$1048576,IF(OR($B734="STD. DEVIATION",$C$1=1),$A734,$A734+1),COLUMN('1-DATA'!S732)),IF($B734="STD. DEVIATION",2,$F$1))))</f>
        <v/>
      </c>
      <c r="U734" s="1" t="str">
        <f>IF(OR($B734="",U$7=""),"",IF($B734="MEANS",INDEX('1-DATA'!$1:$1048576,$A733-1,COLUMN('1-DATA'!T732)),ROUND(INDEX('1-DATA'!$1:$1048576,IF(OR($B734="STD. DEVIATION",$C$1=1),$A734,$A734+1),COLUMN('1-DATA'!T732)),IF($B734="STD. DEVIATION",2,$F$1))))</f>
        <v/>
      </c>
      <c r="V734" s="1" t="str">
        <f>IF(OR($B734="",V$7=""),"",IF($B734="MEANS",INDEX('1-DATA'!$1:$1048576,$A733-1,COLUMN('1-DATA'!U732)),ROUND(INDEX('1-DATA'!$1:$1048576,IF(OR($B734="STD. DEVIATION",$C$1=1),$A734,$A734+1),COLUMN('1-DATA'!U732)),IF($B734="STD. DEVIATION",2,$F$1))))</f>
        <v/>
      </c>
      <c r="W734" s="1" t="str">
        <f>IF(OR($B734="",W$7=""),"",IF($B734="MEANS",INDEX('1-DATA'!$1:$1048576,$A733-1,COLUMN('1-DATA'!V732)),ROUND(INDEX('1-DATA'!$1:$1048576,IF(OR($B734="STD. DEVIATION",$C$1=1),$A734,$A734+1),COLUMN('1-DATA'!V732)),IF($B734="STD. DEVIATION",2,$F$1))))</f>
        <v/>
      </c>
      <c r="X734" s="1" t="str">
        <f>IF(OR($B734="",X$7=""),"",IF($B734="MEANS",INDEX('1-DATA'!$1:$1048576,$A733-1,COLUMN('1-DATA'!W732)),ROUND(INDEX('1-DATA'!$1:$1048576,IF(OR($B734="STD. DEVIATION",$C$1=1),$A734,$A734+1),COLUMN('1-DATA'!W732)),IF($B734="STD. DEVIATION",2,$F$1))))</f>
        <v/>
      </c>
      <c r="Y734" s="1" t="str">
        <f>IF(OR($B734="",Y$7=""),"",IF($B734="MEANS",INDEX('1-DATA'!$1:$1048576,$A733-1,COLUMN('1-DATA'!X732)),ROUND(INDEX('1-DATA'!$1:$1048576,IF(OR($B734="STD. DEVIATION",$C$1=1),$A734,$A734+1),COLUMN('1-DATA'!X732)),IF($B734="STD. DEVIATION",2,$F$1))))</f>
        <v/>
      </c>
      <c r="Z734" s="1" t="str">
        <f>IF(OR($B734="",Z$7=""),"",IF($B734="MEANS",INDEX('1-DATA'!$1:$1048576,$A733-1,COLUMN('1-DATA'!Y732)),ROUND(INDEX('1-DATA'!$1:$1048576,IF(OR($B734="STD. DEVIATION",$C$1=1),$A734,$A734+1),COLUMN('1-DATA'!Y732)),IF($B734="STD. DEVIATION",2,$F$1))))</f>
        <v/>
      </c>
      <c r="AA734" s="1" t="str">
        <f>IF(OR($B734="",AA$7=""),"",IF($B734="MEANS",INDEX('1-DATA'!$1:$1048576,$A733-1,COLUMN('1-DATA'!Z732)),ROUND(INDEX('1-DATA'!$1:$1048576,IF(OR($B734="STD. DEVIATION",$C$1=1),$A734,$A734+1),COLUMN('1-DATA'!Z732)),IF($B734="STD. DEVIATION",2,$F$1))))</f>
        <v/>
      </c>
      <c r="AB734" s="1" t="str">
        <f>IF(OR($B734="",AB$7=""),"",IF($B734="MEANS",INDEX('1-DATA'!$1:$1048576,$A733-1,COLUMN('1-DATA'!AA732)),ROUND(INDEX('1-DATA'!$1:$1048576,IF(OR($B734="STD. DEVIATION",$C$1=1),$A734,$A734+1),COLUMN('1-DATA'!AA732)),IF($B734="STD. DEVIATION",2,$F$1))))</f>
        <v/>
      </c>
      <c r="AC734" s="1" t="str">
        <f>IF(OR($B734="",AC$7=""),"",IF($B734="MEANS",INDEX('1-DATA'!$1:$1048576,$A733-1,COLUMN('1-DATA'!AB732)),ROUND(INDEX('1-DATA'!$1:$1048576,IF(OR($B734="STD. DEVIATION",$C$1=1),$A734,$A734+1),COLUMN('1-DATA'!AB732)),IF($B734="STD. DEVIATION",2,$F$1))))</f>
        <v/>
      </c>
      <c r="AD734" s="1" t="str">
        <f>IF(OR($B734="",AD$7=""),"",IF($B734="MEANS",INDEX('1-DATA'!$1:$1048576,$A733-1,COLUMN('1-DATA'!AC732)),ROUND(INDEX('1-DATA'!$1:$1048576,IF(OR($B734="STD. DEVIATION",$C$1=1),$A734,$A734+1),COLUMN('1-DATA'!AC732)),IF($B734="STD. DEVIATION",2,$F$1))))</f>
        <v/>
      </c>
      <c r="AE734" s="1" t="str">
        <f>IF(OR($B734="",AE$7=""),"",IF($B734="MEANS",INDEX('1-DATA'!$1:$1048576,$A733-1,COLUMN('1-DATA'!AD732)),ROUND(INDEX('1-DATA'!$1:$1048576,IF(OR($B734="STD. DEVIATION",$C$1=1),$A734,$A734+1),COLUMN('1-DATA'!AD732)),IF($B734="STD. DEVIATION",2,$F$1))))</f>
        <v/>
      </c>
      <c r="AF734" s="1" t="str">
        <f>IF(OR($B734="",AF$7=""),"",IF($B734="MEANS",INDEX('1-DATA'!$1:$1048576,$A733-1,COLUMN('1-DATA'!AE732)),ROUND(INDEX('1-DATA'!$1:$1048576,IF(OR($B734="STD. DEVIATION",$C$1=1),$A734,$A734+1),COLUMN('1-DATA'!AE732)),IF($B734="STD. DEVIATION",2,$F$1))))</f>
        <v/>
      </c>
      <c r="AG734" s="1" t="str">
        <f>IF(OR($B734="",AG$7=""),"",IF($B734="MEANS",INDEX('1-DATA'!$1:$1048576,$A733-1,COLUMN('1-DATA'!AF732)),ROUND(INDEX('1-DATA'!$1:$1048576,IF(OR($B734="STD. DEVIATION",$C$1=1),$A734,$A734+1),COLUMN('1-DATA'!AF732)),IF($B734="STD. DEVIATION",2,$F$1))))</f>
        <v/>
      </c>
      <c r="AH734" s="1" t="str">
        <f>IF(OR($B734="",AH$7=""),"",IF($B734="MEANS",INDEX('1-DATA'!$1:$1048576,$A733-1,COLUMN('1-DATA'!AG732)),ROUND(INDEX('1-DATA'!$1:$1048576,IF(OR($B734="STD. DEVIATION",$C$1=1),$A734,$A734+1),COLUMN('1-DATA'!AG732)),IF($B734="STD. DEVIATION",2,$F$1))))</f>
        <v/>
      </c>
      <c r="AI734" s="1" t="str">
        <f>IF(OR($B734="",AI$7=""),"",IF($B734="MEANS",INDEX('1-DATA'!$1:$1048576,$A733-1,COLUMN('1-DATA'!AH732)),ROUND(INDEX('1-DATA'!$1:$1048576,IF(OR($B734="STD. DEVIATION",$C$1=1),$A734,$A734+1),COLUMN('1-DATA'!AH732)),IF($B734="STD. DEVIATION",2,$F$1))))</f>
        <v/>
      </c>
      <c r="AJ734" s="1" t="str">
        <f>IF(OR($B734="",AJ$7=""),"",IF($B734="MEANS",INDEX('1-DATA'!$1:$1048576,$A733-1,COLUMN('1-DATA'!AI732)),ROUND(INDEX('1-DATA'!$1:$1048576,IF(OR($B734="STD. DEVIATION",$C$1=1),$A734,$A734+1),COLUMN('1-DATA'!AI732)),IF($B734="STD. DEVIATION",2,$F$1))))</f>
        <v/>
      </c>
      <c r="AK734" s="1" t="str">
        <f>IF(OR($B734="",AK$7=""),"",IF($B734="MEANS",INDEX('1-DATA'!$1:$1048576,$A733-1,COLUMN('1-DATA'!AJ732)),ROUND(INDEX('1-DATA'!$1:$1048576,IF(OR($B734="STD. DEVIATION",$C$1=1),$A734,$A734+1),COLUMN('1-DATA'!AJ732)),IF($B734="STD. DEVIATION",2,$F$1))))</f>
        <v/>
      </c>
      <c r="AL734" s="1" t="str">
        <f>IF(OR($B734="",AL$7=""),"",IF($B734="MEANS",INDEX('1-DATA'!$1:$1048576,$A733-1,COLUMN('1-DATA'!AK732)),ROUND(INDEX('1-DATA'!$1:$1048576,IF(OR($B734="STD. DEVIATION",$C$1=1),$A734,$A734+1),COLUMN('1-DATA'!AK732)),IF($B734="STD. DEVIATION",2,$F$1))))</f>
        <v/>
      </c>
      <c r="AM734" s="1" t="str">
        <f>IF(OR($B734="",AM$7=""),"",IF($B734="MEANS",INDEX('1-DATA'!$1:$1048576,$A733-1,COLUMN('1-DATA'!AL732)),ROUND(INDEX('1-DATA'!$1:$1048576,IF(OR($B734="STD. DEVIATION",$C$1=1),$A734,$A734+1),COLUMN('1-DATA'!AL732)),IF($B734="STD. DEVIATION",2,$F$1))))</f>
        <v/>
      </c>
      <c r="AN734" s="1" t="str">
        <f>IF(OR($B734="",AN$7=""),"",IF($B734="MEANS",INDEX('1-DATA'!$1:$1048576,$A733-1,COLUMN('1-DATA'!AM732)),ROUND(INDEX('1-DATA'!$1:$1048576,IF(OR($B734="STD. DEVIATION",$C$1=1),$A734,$A734+1),COLUMN('1-DATA'!AM732)),IF($B734="STD. DEVIATION",2,$F$1))))</f>
        <v/>
      </c>
      <c r="AO734" s="1" t="str">
        <f>IF(OR($B734="",AO$7=""),"",IF($B734="MEANS",INDEX('1-DATA'!$1:$1048576,$A733-1,COLUMN('1-DATA'!AN732)),ROUND(INDEX('1-DATA'!$1:$1048576,IF(OR($B734="STD. DEVIATION",$C$1=1),$A734,$A734+1),COLUMN('1-DATA'!AN732)),IF($B734="STD. DEVIATION",2,$F$1))))</f>
        <v/>
      </c>
      <c r="AP734" s="1" t="str">
        <f>IF(OR($B734="",AP$7=""),"",IF($B734="MEANS",INDEX('1-DATA'!$1:$1048576,$A733-1,COLUMN('1-DATA'!AO732)),ROUND(INDEX('1-DATA'!$1:$1048576,IF(OR($B734="STD. DEVIATION",$C$1=1),$A734,$A734+1),COLUMN('1-DATA'!AO732)),IF($B734="STD. DEVIATION",2,$F$1))))</f>
        <v/>
      </c>
      <c r="AQ734" s="1" t="str">
        <f>IF(OR($B734="",AQ$7=""),"",IF($B734="MEANS",INDEX('1-DATA'!$1:$1048576,$A733-1,COLUMN('1-DATA'!AP732)),ROUND(INDEX('1-DATA'!$1:$1048576,IF(OR($B734="STD. DEVIATION",$C$1=1),$A734,$A734+1),COLUMN('1-DATA'!AP732)),IF($B734="STD. DEVIATION",2,$F$1))))</f>
        <v/>
      </c>
      <c r="AR734" s="1" t="str">
        <f>IF(OR($B734="",AR$7=""),"",IF($B734="MEANS",INDEX('1-DATA'!$1:$1048576,$A733-1,COLUMN('1-DATA'!AQ732)),ROUND(INDEX('1-DATA'!$1:$1048576,IF(OR($B734="STD. DEVIATION",$C$1=1),$A734,$A734+1),COLUMN('1-DATA'!AQ732)),IF($B734="STD. DEVIATION",2,$F$1))))</f>
        <v/>
      </c>
      <c r="AS734" s="1" t="str">
        <f>IF(OR($B734="",AS$7=""),"",IF($B734="MEANS",INDEX('1-DATA'!$1:$1048576,$A733-1,COLUMN('1-DATA'!AR732)),ROUND(INDEX('1-DATA'!$1:$1048576,IF(OR($B734="STD. DEVIATION",$C$1=1),$A734,$A734+1),COLUMN('1-DATA'!AR732)),IF($B734="STD. DEVIATION",2,$F$1))))</f>
        <v/>
      </c>
      <c r="AT734" s="1" t="str">
        <f>IF(OR($B734="",AT$7=""),"",IF($B734="MEANS",INDEX('1-DATA'!$1:$1048576,$A733-1,COLUMN('1-DATA'!AS732)),ROUND(INDEX('1-DATA'!$1:$1048576,IF(OR($B734="STD. DEVIATION",$C$1=1),$A734,$A734+1),COLUMN('1-DATA'!AS732)),IF($B734="STD. DEVIATION",2,$F$1))))</f>
        <v/>
      </c>
      <c r="AU734" s="1" t="str">
        <f>IF(OR($B734="",AU$7=""),"",IF($B734="MEANS",INDEX('1-DATA'!$1:$1048576,$A733-1,COLUMN('1-DATA'!AT732)),ROUND(INDEX('1-DATA'!$1:$1048576,IF(OR($B734="STD. DEVIATION",$C$1=1),$A734,$A734+1),COLUMN('1-DATA'!AT732)),IF($B734="STD. DEVIATION",2,$F$1))))</f>
        <v/>
      </c>
      <c r="AV734" s="1" t="str">
        <f>IF(OR($B734="",AV$7=""),"",IF($B734="MEANS",INDEX('1-DATA'!$1:$1048576,$A733-1,COLUMN('1-DATA'!AU732)),ROUND(INDEX('1-DATA'!$1:$1048576,IF(OR($B734="STD. DEVIATION",$C$1=1),$A734,$A734+1),COLUMN('1-DATA'!AU732)),IF($B734="STD. DEVIATION",2,$F$1))))</f>
        <v/>
      </c>
      <c r="AW734" s="1" t="str">
        <f>IF(OR($B734="",AW$7=""),"",IF($B734="MEANS",INDEX('1-DATA'!$1:$1048576,$A733-1,COLUMN('1-DATA'!AV732)),ROUND(INDEX('1-DATA'!$1:$1048576,IF(OR($B734="STD. DEVIATION",$C$1=1),$A734,$A734+1),COLUMN('1-DATA'!AV732)),IF($B734="STD. DEVIATION",2,$F$1))))</f>
        <v/>
      </c>
      <c r="AX734" s="1" t="str">
        <f>IF(OR($B734="",AX$7=""),"",IF($B734="MEANS",INDEX('1-DATA'!$1:$1048576,$A733-1,COLUMN('1-DATA'!AW732)),ROUND(INDEX('1-DATA'!$1:$1048576,IF(OR($B734="STD. DEVIATION",$C$1=1),$A734,$A734+1),COLUMN('1-DATA'!AW732)),IF($B734="STD. DEVIATION",2,$F$1))))</f>
        <v/>
      </c>
      <c r="AY734" s="1" t="str">
        <f>IF(OR($B734="",AY$7=""),"",IF($B734="MEANS",INDEX('1-DATA'!$1:$1048576,$A733-1,COLUMN('1-DATA'!AX732)),ROUND(INDEX('1-DATA'!$1:$1048576,IF(OR($B734="STD. DEVIATION",$C$1=1),$A734,$A734+1),COLUMN('1-DATA'!AX732)),IF($B734="STD. DEVIATION",2,$F$1))))</f>
        <v/>
      </c>
      <c r="AZ734" s="1" t="str">
        <f>IF(OR($B734="",AZ$7=""),"",IF($B734="MEANS",INDEX('1-DATA'!$1:$1048576,$A733-1,COLUMN('1-DATA'!AY732)),ROUND(INDEX('1-DATA'!$1:$1048576,IF(OR($B734="STD. DEVIATION",$C$1=1),$A734,$A734+1),COLUMN('1-DATA'!AY732)),IF($B734="STD. DEVIATION",2,$F$1))))</f>
        <v/>
      </c>
    </row>
    <row r="735" spans="1:52" x14ac:dyDescent="0.25">
      <c r="A735" s="11">
        <f t="shared" si="12"/>
        <v>2191</v>
      </c>
      <c r="B735" s="1" t="str">
        <f>IF(B734="STD. DEVIATION",INDEX('1-DATA'!$1:$1048576,$A734-1,1),IF(INDEX('1-DATA'!$1:$1048576,$A735,1)&lt;&gt;"",INDEX('1-DATA'!$1:$1048576,$A735,1),""))</f>
        <v/>
      </c>
      <c r="C735" s="1" t="str">
        <f>IF(OR($B735="",C$7=""),"",IF($B735="MEANS",INDEX('1-DATA'!$1:$1048576,$A734-1,COLUMN('1-DATA'!B733)),ROUND(INDEX('1-DATA'!$1:$1048576,IF(OR($B735="STD. DEVIATION",$C$1=1),$A735,$A735+1),COLUMN('1-DATA'!B733)),IF($B735="STD. DEVIATION",2,$F$1))))</f>
        <v/>
      </c>
      <c r="D735" s="1" t="str">
        <f>IF(OR($B735="",D$7=""),"",IF($B735="MEANS",INDEX('1-DATA'!$1:$1048576,$A734-1,COLUMN('1-DATA'!C733)),ROUND(INDEX('1-DATA'!$1:$1048576,IF(OR($B735="STD. DEVIATION",$C$1=1),$A735,$A735+1),COLUMN('1-DATA'!C733)),IF($B735="STD. DEVIATION",2,$F$1))))</f>
        <v/>
      </c>
      <c r="E735" s="1" t="str">
        <f>IF(OR($B735="",E$7=""),"",IF($B735="MEANS",INDEX('1-DATA'!$1:$1048576,$A734-1,COLUMN('1-DATA'!D733)),ROUND(INDEX('1-DATA'!$1:$1048576,IF(OR($B735="STD. DEVIATION",$C$1=1),$A735,$A735+1),COLUMN('1-DATA'!D733)),IF($B735="STD. DEVIATION",2,$F$1))))</f>
        <v/>
      </c>
      <c r="F735" s="1" t="str">
        <f>IF(OR($B735="",F$7=""),"",IF($B735="MEANS",INDEX('1-DATA'!$1:$1048576,$A734-1,COLUMN('1-DATA'!E733)),ROUND(INDEX('1-DATA'!$1:$1048576,IF(OR($B735="STD. DEVIATION",$C$1=1),$A735,$A735+1),COLUMN('1-DATA'!E733)),IF($B735="STD. DEVIATION",2,$F$1))))</f>
        <v/>
      </c>
      <c r="G735" s="1" t="str">
        <f>IF(OR($B735="",G$7=""),"",IF($B735="MEANS",INDEX('1-DATA'!$1:$1048576,$A734-1,COLUMN('1-DATA'!F733)),ROUND(INDEX('1-DATA'!$1:$1048576,IF(OR($B735="STD. DEVIATION",$C$1=1),$A735,$A735+1),COLUMN('1-DATA'!F733)),IF($B735="STD. DEVIATION",2,$F$1))))</f>
        <v/>
      </c>
      <c r="H735" s="1" t="str">
        <f>IF(OR($B735="",H$7=""),"",IF($B735="MEANS",INDEX('1-DATA'!$1:$1048576,$A734-1,COLUMN('1-DATA'!G733)),ROUND(INDEX('1-DATA'!$1:$1048576,IF(OR($B735="STD. DEVIATION",$C$1=1),$A735,$A735+1),COLUMN('1-DATA'!G733)),IF($B735="STD. DEVIATION",2,$F$1))))</f>
        <v/>
      </c>
      <c r="I735" s="1" t="str">
        <f>IF(OR($B735="",I$7=""),"",IF($B735="MEANS",INDEX('1-DATA'!$1:$1048576,$A734-1,COLUMN('1-DATA'!H733)),ROUND(INDEX('1-DATA'!$1:$1048576,IF(OR($B735="STD. DEVIATION",$C$1=1),$A735,$A735+1),COLUMN('1-DATA'!H733)),IF($B735="STD. DEVIATION",2,$F$1))))</f>
        <v/>
      </c>
      <c r="J735" s="1" t="str">
        <f>IF(OR($B735="",J$7=""),"",IF($B735="MEANS",INDEX('1-DATA'!$1:$1048576,$A734-1,COLUMN('1-DATA'!I733)),ROUND(INDEX('1-DATA'!$1:$1048576,IF(OR($B735="STD. DEVIATION",$C$1=1),$A735,$A735+1),COLUMN('1-DATA'!I733)),IF($B735="STD. DEVIATION",2,$F$1))))</f>
        <v/>
      </c>
      <c r="K735" s="1" t="str">
        <f>IF(OR($B735="",K$7=""),"",IF($B735="MEANS",INDEX('1-DATA'!$1:$1048576,$A734-1,COLUMN('1-DATA'!J733)),ROUND(INDEX('1-DATA'!$1:$1048576,IF(OR($B735="STD. DEVIATION",$C$1=1),$A735,$A735+1),COLUMN('1-DATA'!J733)),IF($B735="STD. DEVIATION",2,$F$1))))</f>
        <v/>
      </c>
      <c r="L735" s="1" t="str">
        <f>IF(OR($B735="",L$7=""),"",IF($B735="MEANS",INDEX('1-DATA'!$1:$1048576,$A734-1,COLUMN('1-DATA'!K733)),ROUND(INDEX('1-DATA'!$1:$1048576,IF(OR($B735="STD. DEVIATION",$C$1=1),$A735,$A735+1),COLUMN('1-DATA'!K733)),IF($B735="STD. DEVIATION",2,$F$1))))</f>
        <v/>
      </c>
      <c r="M735" s="1" t="str">
        <f>IF(OR($B735="",M$7=""),"",IF($B735="MEANS",INDEX('1-DATA'!$1:$1048576,$A734-1,COLUMN('1-DATA'!L733)),ROUND(INDEX('1-DATA'!$1:$1048576,IF(OR($B735="STD. DEVIATION",$C$1=1),$A735,$A735+1),COLUMN('1-DATA'!L733)),IF($B735="STD. DEVIATION",2,$F$1))))</f>
        <v/>
      </c>
      <c r="N735" s="1" t="str">
        <f>IF(OR($B735="",N$7=""),"",IF($B735="MEANS",INDEX('1-DATA'!$1:$1048576,$A734-1,COLUMN('1-DATA'!M733)),ROUND(INDEX('1-DATA'!$1:$1048576,IF(OR($B735="STD. DEVIATION",$C$1=1),$A735,$A735+1),COLUMN('1-DATA'!M733)),IF($B735="STD. DEVIATION",2,$F$1))))</f>
        <v/>
      </c>
      <c r="O735" s="1" t="str">
        <f>IF(OR($B735="",O$7=""),"",IF($B735="MEANS",INDEX('1-DATA'!$1:$1048576,$A734-1,COLUMN('1-DATA'!N733)),ROUND(INDEX('1-DATA'!$1:$1048576,IF(OR($B735="STD. DEVIATION",$C$1=1),$A735,$A735+1),COLUMN('1-DATA'!N733)),IF($B735="STD. DEVIATION",2,$F$1))))</f>
        <v/>
      </c>
      <c r="P735" s="1" t="str">
        <f>IF(OR($B735="",P$7=""),"",IF($B735="MEANS",INDEX('1-DATA'!$1:$1048576,$A734-1,COLUMN('1-DATA'!O733)),ROUND(INDEX('1-DATA'!$1:$1048576,IF(OR($B735="STD. DEVIATION",$C$1=1),$A735,$A735+1),COLUMN('1-DATA'!O733)),IF($B735="STD. DEVIATION",2,$F$1))))</f>
        <v/>
      </c>
      <c r="Q735" s="1" t="str">
        <f>IF(OR($B735="",Q$7=""),"",IF($B735="MEANS",INDEX('1-DATA'!$1:$1048576,$A734-1,COLUMN('1-DATA'!P733)),ROUND(INDEX('1-DATA'!$1:$1048576,IF(OR($B735="STD. DEVIATION",$C$1=1),$A735,$A735+1),COLUMN('1-DATA'!P733)),IF($B735="STD. DEVIATION",2,$F$1))))</f>
        <v/>
      </c>
      <c r="R735" s="1" t="str">
        <f>IF(OR($B735="",R$7=""),"",IF($B735="MEANS",INDEX('1-DATA'!$1:$1048576,$A734-1,COLUMN('1-DATA'!Q733)),ROUND(INDEX('1-DATA'!$1:$1048576,IF(OR($B735="STD. DEVIATION",$C$1=1),$A735,$A735+1),COLUMN('1-DATA'!Q733)),IF($B735="STD. DEVIATION",2,$F$1))))</f>
        <v/>
      </c>
      <c r="S735" s="1" t="str">
        <f>IF(OR($B735="",S$7=""),"",IF($B735="MEANS",INDEX('1-DATA'!$1:$1048576,$A734-1,COLUMN('1-DATA'!R733)),ROUND(INDEX('1-DATA'!$1:$1048576,IF(OR($B735="STD. DEVIATION",$C$1=1),$A735,$A735+1),COLUMN('1-DATA'!R733)),IF($B735="STD. DEVIATION",2,$F$1))))</f>
        <v/>
      </c>
      <c r="T735" s="1" t="str">
        <f>IF(OR($B735="",T$7=""),"",IF($B735="MEANS",INDEX('1-DATA'!$1:$1048576,$A734-1,COLUMN('1-DATA'!S733)),ROUND(INDEX('1-DATA'!$1:$1048576,IF(OR($B735="STD. DEVIATION",$C$1=1),$A735,$A735+1),COLUMN('1-DATA'!S733)),IF($B735="STD. DEVIATION",2,$F$1))))</f>
        <v/>
      </c>
      <c r="U735" s="1" t="str">
        <f>IF(OR($B735="",U$7=""),"",IF($B735="MEANS",INDEX('1-DATA'!$1:$1048576,$A734-1,COLUMN('1-DATA'!T733)),ROUND(INDEX('1-DATA'!$1:$1048576,IF(OR($B735="STD. DEVIATION",$C$1=1),$A735,$A735+1),COLUMN('1-DATA'!T733)),IF($B735="STD. DEVIATION",2,$F$1))))</f>
        <v/>
      </c>
      <c r="V735" s="1" t="str">
        <f>IF(OR($B735="",V$7=""),"",IF($B735="MEANS",INDEX('1-DATA'!$1:$1048576,$A734-1,COLUMN('1-DATA'!U733)),ROUND(INDEX('1-DATA'!$1:$1048576,IF(OR($B735="STD. DEVIATION",$C$1=1),$A735,$A735+1),COLUMN('1-DATA'!U733)),IF($B735="STD. DEVIATION",2,$F$1))))</f>
        <v/>
      </c>
      <c r="W735" s="1" t="str">
        <f>IF(OR($B735="",W$7=""),"",IF($B735="MEANS",INDEX('1-DATA'!$1:$1048576,$A734-1,COLUMN('1-DATA'!V733)),ROUND(INDEX('1-DATA'!$1:$1048576,IF(OR($B735="STD. DEVIATION",$C$1=1),$A735,$A735+1),COLUMN('1-DATA'!V733)),IF($B735="STD. DEVIATION",2,$F$1))))</f>
        <v/>
      </c>
      <c r="X735" s="1" t="str">
        <f>IF(OR($B735="",X$7=""),"",IF($B735="MEANS",INDEX('1-DATA'!$1:$1048576,$A734-1,COLUMN('1-DATA'!W733)),ROUND(INDEX('1-DATA'!$1:$1048576,IF(OR($B735="STD. DEVIATION",$C$1=1),$A735,$A735+1),COLUMN('1-DATA'!W733)),IF($B735="STD. DEVIATION",2,$F$1))))</f>
        <v/>
      </c>
      <c r="Y735" s="1" t="str">
        <f>IF(OR($B735="",Y$7=""),"",IF($B735="MEANS",INDEX('1-DATA'!$1:$1048576,$A734-1,COLUMN('1-DATA'!X733)),ROUND(INDEX('1-DATA'!$1:$1048576,IF(OR($B735="STD. DEVIATION",$C$1=1),$A735,$A735+1),COLUMN('1-DATA'!X733)),IF($B735="STD. DEVIATION",2,$F$1))))</f>
        <v/>
      </c>
      <c r="Z735" s="1" t="str">
        <f>IF(OR($B735="",Z$7=""),"",IF($B735="MEANS",INDEX('1-DATA'!$1:$1048576,$A734-1,COLUMN('1-DATA'!Y733)),ROUND(INDEX('1-DATA'!$1:$1048576,IF(OR($B735="STD. DEVIATION",$C$1=1),$A735,$A735+1),COLUMN('1-DATA'!Y733)),IF($B735="STD. DEVIATION",2,$F$1))))</f>
        <v/>
      </c>
      <c r="AA735" s="1" t="str">
        <f>IF(OR($B735="",AA$7=""),"",IF($B735="MEANS",INDEX('1-DATA'!$1:$1048576,$A734-1,COLUMN('1-DATA'!Z733)),ROUND(INDEX('1-DATA'!$1:$1048576,IF(OR($B735="STD. DEVIATION",$C$1=1),$A735,$A735+1),COLUMN('1-DATA'!Z733)),IF($B735="STD. DEVIATION",2,$F$1))))</f>
        <v/>
      </c>
      <c r="AB735" s="1" t="str">
        <f>IF(OR($B735="",AB$7=""),"",IF($B735="MEANS",INDEX('1-DATA'!$1:$1048576,$A734-1,COLUMN('1-DATA'!AA733)),ROUND(INDEX('1-DATA'!$1:$1048576,IF(OR($B735="STD. DEVIATION",$C$1=1),$A735,$A735+1),COLUMN('1-DATA'!AA733)),IF($B735="STD. DEVIATION",2,$F$1))))</f>
        <v/>
      </c>
      <c r="AC735" s="1" t="str">
        <f>IF(OR($B735="",AC$7=""),"",IF($B735="MEANS",INDEX('1-DATA'!$1:$1048576,$A734-1,COLUMN('1-DATA'!AB733)),ROUND(INDEX('1-DATA'!$1:$1048576,IF(OR($B735="STD. DEVIATION",$C$1=1),$A735,$A735+1),COLUMN('1-DATA'!AB733)),IF($B735="STD. DEVIATION",2,$F$1))))</f>
        <v/>
      </c>
      <c r="AD735" s="1" t="str">
        <f>IF(OR($B735="",AD$7=""),"",IF($B735="MEANS",INDEX('1-DATA'!$1:$1048576,$A734-1,COLUMN('1-DATA'!AC733)),ROUND(INDEX('1-DATA'!$1:$1048576,IF(OR($B735="STD. DEVIATION",$C$1=1),$A735,$A735+1),COLUMN('1-DATA'!AC733)),IF($B735="STD. DEVIATION",2,$F$1))))</f>
        <v/>
      </c>
      <c r="AE735" s="1" t="str">
        <f>IF(OR($B735="",AE$7=""),"",IF($B735="MEANS",INDEX('1-DATA'!$1:$1048576,$A734-1,COLUMN('1-DATA'!AD733)),ROUND(INDEX('1-DATA'!$1:$1048576,IF(OR($B735="STD. DEVIATION",$C$1=1),$A735,$A735+1),COLUMN('1-DATA'!AD733)),IF($B735="STD. DEVIATION",2,$F$1))))</f>
        <v/>
      </c>
      <c r="AF735" s="1" t="str">
        <f>IF(OR($B735="",AF$7=""),"",IF($B735="MEANS",INDEX('1-DATA'!$1:$1048576,$A734-1,COLUMN('1-DATA'!AE733)),ROUND(INDEX('1-DATA'!$1:$1048576,IF(OR($B735="STD. DEVIATION",$C$1=1),$A735,$A735+1),COLUMN('1-DATA'!AE733)),IF($B735="STD. DEVIATION",2,$F$1))))</f>
        <v/>
      </c>
      <c r="AG735" s="1" t="str">
        <f>IF(OR($B735="",AG$7=""),"",IF($B735="MEANS",INDEX('1-DATA'!$1:$1048576,$A734-1,COLUMN('1-DATA'!AF733)),ROUND(INDEX('1-DATA'!$1:$1048576,IF(OR($B735="STD. DEVIATION",$C$1=1),$A735,$A735+1),COLUMN('1-DATA'!AF733)),IF($B735="STD. DEVIATION",2,$F$1))))</f>
        <v/>
      </c>
      <c r="AH735" s="1" t="str">
        <f>IF(OR($B735="",AH$7=""),"",IF($B735="MEANS",INDEX('1-DATA'!$1:$1048576,$A734-1,COLUMN('1-DATA'!AG733)),ROUND(INDEX('1-DATA'!$1:$1048576,IF(OR($B735="STD. DEVIATION",$C$1=1),$A735,$A735+1),COLUMN('1-DATA'!AG733)),IF($B735="STD. DEVIATION",2,$F$1))))</f>
        <v/>
      </c>
      <c r="AI735" s="1" t="str">
        <f>IF(OR($B735="",AI$7=""),"",IF($B735="MEANS",INDEX('1-DATA'!$1:$1048576,$A734-1,COLUMN('1-DATA'!AH733)),ROUND(INDEX('1-DATA'!$1:$1048576,IF(OR($B735="STD. DEVIATION",$C$1=1),$A735,$A735+1),COLUMN('1-DATA'!AH733)),IF($B735="STD. DEVIATION",2,$F$1))))</f>
        <v/>
      </c>
      <c r="AJ735" s="1" t="str">
        <f>IF(OR($B735="",AJ$7=""),"",IF($B735="MEANS",INDEX('1-DATA'!$1:$1048576,$A734-1,COLUMN('1-DATA'!AI733)),ROUND(INDEX('1-DATA'!$1:$1048576,IF(OR($B735="STD. DEVIATION",$C$1=1),$A735,$A735+1),COLUMN('1-DATA'!AI733)),IF($B735="STD. DEVIATION",2,$F$1))))</f>
        <v/>
      </c>
      <c r="AK735" s="1" t="str">
        <f>IF(OR($B735="",AK$7=""),"",IF($B735="MEANS",INDEX('1-DATA'!$1:$1048576,$A734-1,COLUMN('1-DATA'!AJ733)),ROUND(INDEX('1-DATA'!$1:$1048576,IF(OR($B735="STD. DEVIATION",$C$1=1),$A735,$A735+1),COLUMN('1-DATA'!AJ733)),IF($B735="STD. DEVIATION",2,$F$1))))</f>
        <v/>
      </c>
      <c r="AL735" s="1" t="str">
        <f>IF(OR($B735="",AL$7=""),"",IF($B735="MEANS",INDEX('1-DATA'!$1:$1048576,$A734-1,COLUMN('1-DATA'!AK733)),ROUND(INDEX('1-DATA'!$1:$1048576,IF(OR($B735="STD. DEVIATION",$C$1=1),$A735,$A735+1),COLUMN('1-DATA'!AK733)),IF($B735="STD. DEVIATION",2,$F$1))))</f>
        <v/>
      </c>
      <c r="AM735" s="1" t="str">
        <f>IF(OR($B735="",AM$7=""),"",IF($B735="MEANS",INDEX('1-DATA'!$1:$1048576,$A734-1,COLUMN('1-DATA'!AL733)),ROUND(INDEX('1-DATA'!$1:$1048576,IF(OR($B735="STD. DEVIATION",$C$1=1),$A735,$A735+1),COLUMN('1-DATA'!AL733)),IF($B735="STD. DEVIATION",2,$F$1))))</f>
        <v/>
      </c>
      <c r="AN735" s="1" t="str">
        <f>IF(OR($B735="",AN$7=""),"",IF($B735="MEANS",INDEX('1-DATA'!$1:$1048576,$A734-1,COLUMN('1-DATA'!AM733)),ROUND(INDEX('1-DATA'!$1:$1048576,IF(OR($B735="STD. DEVIATION",$C$1=1),$A735,$A735+1),COLUMN('1-DATA'!AM733)),IF($B735="STD. DEVIATION",2,$F$1))))</f>
        <v/>
      </c>
      <c r="AO735" s="1" t="str">
        <f>IF(OR($B735="",AO$7=""),"",IF($B735="MEANS",INDEX('1-DATA'!$1:$1048576,$A734-1,COLUMN('1-DATA'!AN733)),ROUND(INDEX('1-DATA'!$1:$1048576,IF(OR($B735="STD. DEVIATION",$C$1=1),$A735,$A735+1),COLUMN('1-DATA'!AN733)),IF($B735="STD. DEVIATION",2,$F$1))))</f>
        <v/>
      </c>
      <c r="AP735" s="1" t="str">
        <f>IF(OR($B735="",AP$7=""),"",IF($B735="MEANS",INDEX('1-DATA'!$1:$1048576,$A734-1,COLUMN('1-DATA'!AO733)),ROUND(INDEX('1-DATA'!$1:$1048576,IF(OR($B735="STD. DEVIATION",$C$1=1),$A735,$A735+1),COLUMN('1-DATA'!AO733)),IF($B735="STD. DEVIATION",2,$F$1))))</f>
        <v/>
      </c>
      <c r="AQ735" s="1" t="str">
        <f>IF(OR($B735="",AQ$7=""),"",IF($B735="MEANS",INDEX('1-DATA'!$1:$1048576,$A734-1,COLUMN('1-DATA'!AP733)),ROUND(INDEX('1-DATA'!$1:$1048576,IF(OR($B735="STD. DEVIATION",$C$1=1),$A735,$A735+1),COLUMN('1-DATA'!AP733)),IF($B735="STD. DEVIATION",2,$F$1))))</f>
        <v/>
      </c>
      <c r="AR735" s="1" t="str">
        <f>IF(OR($B735="",AR$7=""),"",IF($B735="MEANS",INDEX('1-DATA'!$1:$1048576,$A734-1,COLUMN('1-DATA'!AQ733)),ROUND(INDEX('1-DATA'!$1:$1048576,IF(OR($B735="STD. DEVIATION",$C$1=1),$A735,$A735+1),COLUMN('1-DATA'!AQ733)),IF($B735="STD. DEVIATION",2,$F$1))))</f>
        <v/>
      </c>
      <c r="AS735" s="1" t="str">
        <f>IF(OR($B735="",AS$7=""),"",IF($B735="MEANS",INDEX('1-DATA'!$1:$1048576,$A734-1,COLUMN('1-DATA'!AR733)),ROUND(INDEX('1-DATA'!$1:$1048576,IF(OR($B735="STD. DEVIATION",$C$1=1),$A735,$A735+1),COLUMN('1-DATA'!AR733)),IF($B735="STD. DEVIATION",2,$F$1))))</f>
        <v/>
      </c>
      <c r="AT735" s="1" t="str">
        <f>IF(OR($B735="",AT$7=""),"",IF($B735="MEANS",INDEX('1-DATA'!$1:$1048576,$A734-1,COLUMN('1-DATA'!AS733)),ROUND(INDEX('1-DATA'!$1:$1048576,IF(OR($B735="STD. DEVIATION",$C$1=1),$A735,$A735+1),COLUMN('1-DATA'!AS733)),IF($B735="STD. DEVIATION",2,$F$1))))</f>
        <v/>
      </c>
      <c r="AU735" s="1" t="str">
        <f>IF(OR($B735="",AU$7=""),"",IF($B735="MEANS",INDEX('1-DATA'!$1:$1048576,$A734-1,COLUMN('1-DATA'!AT733)),ROUND(INDEX('1-DATA'!$1:$1048576,IF(OR($B735="STD. DEVIATION",$C$1=1),$A735,$A735+1),COLUMN('1-DATA'!AT733)),IF($B735="STD. DEVIATION",2,$F$1))))</f>
        <v/>
      </c>
      <c r="AV735" s="1" t="str">
        <f>IF(OR($B735="",AV$7=""),"",IF($B735="MEANS",INDEX('1-DATA'!$1:$1048576,$A734-1,COLUMN('1-DATA'!AU733)),ROUND(INDEX('1-DATA'!$1:$1048576,IF(OR($B735="STD. DEVIATION",$C$1=1),$A735,$A735+1),COLUMN('1-DATA'!AU733)),IF($B735="STD. DEVIATION",2,$F$1))))</f>
        <v/>
      </c>
      <c r="AW735" s="1" t="str">
        <f>IF(OR($B735="",AW$7=""),"",IF($B735="MEANS",INDEX('1-DATA'!$1:$1048576,$A734-1,COLUMN('1-DATA'!AV733)),ROUND(INDEX('1-DATA'!$1:$1048576,IF(OR($B735="STD. DEVIATION",$C$1=1),$A735,$A735+1),COLUMN('1-DATA'!AV733)),IF($B735="STD. DEVIATION",2,$F$1))))</f>
        <v/>
      </c>
      <c r="AX735" s="1" t="str">
        <f>IF(OR($B735="",AX$7=""),"",IF($B735="MEANS",INDEX('1-DATA'!$1:$1048576,$A734-1,COLUMN('1-DATA'!AW733)),ROUND(INDEX('1-DATA'!$1:$1048576,IF(OR($B735="STD. DEVIATION",$C$1=1),$A735,$A735+1),COLUMN('1-DATA'!AW733)),IF($B735="STD. DEVIATION",2,$F$1))))</f>
        <v/>
      </c>
      <c r="AY735" s="1" t="str">
        <f>IF(OR($B735="",AY$7=""),"",IF($B735="MEANS",INDEX('1-DATA'!$1:$1048576,$A734-1,COLUMN('1-DATA'!AX733)),ROUND(INDEX('1-DATA'!$1:$1048576,IF(OR($B735="STD. DEVIATION",$C$1=1),$A735,$A735+1),COLUMN('1-DATA'!AX733)),IF($B735="STD. DEVIATION",2,$F$1))))</f>
        <v/>
      </c>
      <c r="AZ735" s="1" t="str">
        <f>IF(OR($B735="",AZ$7=""),"",IF($B735="MEANS",INDEX('1-DATA'!$1:$1048576,$A734-1,COLUMN('1-DATA'!AY733)),ROUND(INDEX('1-DATA'!$1:$1048576,IF(OR($B735="STD. DEVIATION",$C$1=1),$A735,$A735+1),COLUMN('1-DATA'!AY733)),IF($B735="STD. DEVIATION",2,$F$1))))</f>
        <v/>
      </c>
    </row>
    <row r="736" spans="1:52" x14ac:dyDescent="0.25">
      <c r="A736" s="11">
        <f t="shared" si="12"/>
        <v>2194</v>
      </c>
      <c r="B736" s="1" t="str">
        <f>IF(B735="STD. DEVIATION",INDEX('1-DATA'!$1:$1048576,$A735-1,1),IF(INDEX('1-DATA'!$1:$1048576,$A736,1)&lt;&gt;"",INDEX('1-DATA'!$1:$1048576,$A736,1),""))</f>
        <v/>
      </c>
      <c r="C736" s="1" t="str">
        <f>IF(OR($B736="",C$7=""),"",IF($B736="MEANS",INDEX('1-DATA'!$1:$1048576,$A735-1,COLUMN('1-DATA'!B734)),ROUND(INDEX('1-DATA'!$1:$1048576,IF(OR($B736="STD. DEVIATION",$C$1=1),$A736,$A736+1),COLUMN('1-DATA'!B734)),IF($B736="STD. DEVIATION",2,$F$1))))</f>
        <v/>
      </c>
      <c r="D736" s="1" t="str">
        <f>IF(OR($B736="",D$7=""),"",IF($B736="MEANS",INDEX('1-DATA'!$1:$1048576,$A735-1,COLUMN('1-DATA'!C734)),ROUND(INDEX('1-DATA'!$1:$1048576,IF(OR($B736="STD. DEVIATION",$C$1=1),$A736,$A736+1),COLUMN('1-DATA'!C734)),IF($B736="STD. DEVIATION",2,$F$1))))</f>
        <v/>
      </c>
      <c r="E736" s="1" t="str">
        <f>IF(OR($B736="",E$7=""),"",IF($B736="MEANS",INDEX('1-DATA'!$1:$1048576,$A735-1,COLUMN('1-DATA'!D734)),ROUND(INDEX('1-DATA'!$1:$1048576,IF(OR($B736="STD. DEVIATION",$C$1=1),$A736,$A736+1),COLUMN('1-DATA'!D734)),IF($B736="STD. DEVIATION",2,$F$1))))</f>
        <v/>
      </c>
      <c r="F736" s="1" t="str">
        <f>IF(OR($B736="",F$7=""),"",IF($B736="MEANS",INDEX('1-DATA'!$1:$1048576,$A735-1,COLUMN('1-DATA'!E734)),ROUND(INDEX('1-DATA'!$1:$1048576,IF(OR($B736="STD. DEVIATION",$C$1=1),$A736,$A736+1),COLUMN('1-DATA'!E734)),IF($B736="STD. DEVIATION",2,$F$1))))</f>
        <v/>
      </c>
      <c r="G736" s="1" t="str">
        <f>IF(OR($B736="",G$7=""),"",IF($B736="MEANS",INDEX('1-DATA'!$1:$1048576,$A735-1,COLUMN('1-DATA'!F734)),ROUND(INDEX('1-DATA'!$1:$1048576,IF(OR($B736="STD. DEVIATION",$C$1=1),$A736,$A736+1),COLUMN('1-DATA'!F734)),IF($B736="STD. DEVIATION",2,$F$1))))</f>
        <v/>
      </c>
      <c r="H736" s="1" t="str">
        <f>IF(OR($B736="",H$7=""),"",IF($B736="MEANS",INDEX('1-DATA'!$1:$1048576,$A735-1,COLUMN('1-DATA'!G734)),ROUND(INDEX('1-DATA'!$1:$1048576,IF(OR($B736="STD. DEVIATION",$C$1=1),$A736,$A736+1),COLUMN('1-DATA'!G734)),IF($B736="STD. DEVIATION",2,$F$1))))</f>
        <v/>
      </c>
      <c r="I736" s="1" t="str">
        <f>IF(OR($B736="",I$7=""),"",IF($B736="MEANS",INDEX('1-DATA'!$1:$1048576,$A735-1,COLUMN('1-DATA'!H734)),ROUND(INDEX('1-DATA'!$1:$1048576,IF(OR($B736="STD. DEVIATION",$C$1=1),$A736,$A736+1),COLUMN('1-DATA'!H734)),IF($B736="STD. DEVIATION",2,$F$1))))</f>
        <v/>
      </c>
      <c r="J736" s="1" t="str">
        <f>IF(OR($B736="",J$7=""),"",IF($B736="MEANS",INDEX('1-DATA'!$1:$1048576,$A735-1,COLUMN('1-DATA'!I734)),ROUND(INDEX('1-DATA'!$1:$1048576,IF(OR($B736="STD. DEVIATION",$C$1=1),$A736,$A736+1),COLUMN('1-DATA'!I734)),IF($B736="STD. DEVIATION",2,$F$1))))</f>
        <v/>
      </c>
      <c r="K736" s="1" t="str">
        <f>IF(OR($B736="",K$7=""),"",IF($B736="MEANS",INDEX('1-DATA'!$1:$1048576,$A735-1,COLUMN('1-DATA'!J734)),ROUND(INDEX('1-DATA'!$1:$1048576,IF(OR($B736="STD. DEVIATION",$C$1=1),$A736,$A736+1),COLUMN('1-DATA'!J734)),IF($B736="STD. DEVIATION",2,$F$1))))</f>
        <v/>
      </c>
      <c r="L736" s="1" t="str">
        <f>IF(OR($B736="",L$7=""),"",IF($B736="MEANS",INDEX('1-DATA'!$1:$1048576,$A735-1,COLUMN('1-DATA'!K734)),ROUND(INDEX('1-DATA'!$1:$1048576,IF(OR($B736="STD. DEVIATION",$C$1=1),$A736,$A736+1),COLUMN('1-DATA'!K734)),IF($B736="STD. DEVIATION",2,$F$1))))</f>
        <v/>
      </c>
      <c r="M736" s="1" t="str">
        <f>IF(OR($B736="",M$7=""),"",IF($B736="MEANS",INDEX('1-DATA'!$1:$1048576,$A735-1,COLUMN('1-DATA'!L734)),ROUND(INDEX('1-DATA'!$1:$1048576,IF(OR($B736="STD. DEVIATION",$C$1=1),$A736,$A736+1),COLUMN('1-DATA'!L734)),IF($B736="STD. DEVIATION",2,$F$1))))</f>
        <v/>
      </c>
      <c r="N736" s="1" t="str">
        <f>IF(OR($B736="",N$7=""),"",IF($B736="MEANS",INDEX('1-DATA'!$1:$1048576,$A735-1,COLUMN('1-DATA'!M734)),ROUND(INDEX('1-DATA'!$1:$1048576,IF(OR($B736="STD. DEVIATION",$C$1=1),$A736,$A736+1),COLUMN('1-DATA'!M734)),IF($B736="STD. DEVIATION",2,$F$1))))</f>
        <v/>
      </c>
      <c r="O736" s="1" t="str">
        <f>IF(OR($B736="",O$7=""),"",IF($B736="MEANS",INDEX('1-DATA'!$1:$1048576,$A735-1,COLUMN('1-DATA'!N734)),ROUND(INDEX('1-DATA'!$1:$1048576,IF(OR($B736="STD. DEVIATION",$C$1=1),$A736,$A736+1),COLUMN('1-DATA'!N734)),IF($B736="STD. DEVIATION",2,$F$1))))</f>
        <v/>
      </c>
      <c r="P736" s="1" t="str">
        <f>IF(OR($B736="",P$7=""),"",IF($B736="MEANS",INDEX('1-DATA'!$1:$1048576,$A735-1,COLUMN('1-DATA'!O734)),ROUND(INDEX('1-DATA'!$1:$1048576,IF(OR($B736="STD. DEVIATION",$C$1=1),$A736,$A736+1),COLUMN('1-DATA'!O734)),IF($B736="STD. DEVIATION",2,$F$1))))</f>
        <v/>
      </c>
      <c r="Q736" s="1" t="str">
        <f>IF(OR($B736="",Q$7=""),"",IF($B736="MEANS",INDEX('1-DATA'!$1:$1048576,$A735-1,COLUMN('1-DATA'!P734)),ROUND(INDEX('1-DATA'!$1:$1048576,IF(OR($B736="STD. DEVIATION",$C$1=1),$A736,$A736+1),COLUMN('1-DATA'!P734)),IF($B736="STD. DEVIATION",2,$F$1))))</f>
        <v/>
      </c>
      <c r="R736" s="1" t="str">
        <f>IF(OR($B736="",R$7=""),"",IF($B736="MEANS",INDEX('1-DATA'!$1:$1048576,$A735-1,COLUMN('1-DATA'!Q734)),ROUND(INDEX('1-DATA'!$1:$1048576,IF(OR($B736="STD. DEVIATION",$C$1=1),$A736,$A736+1),COLUMN('1-DATA'!Q734)),IF($B736="STD. DEVIATION",2,$F$1))))</f>
        <v/>
      </c>
      <c r="S736" s="1" t="str">
        <f>IF(OR($B736="",S$7=""),"",IF($B736="MEANS",INDEX('1-DATA'!$1:$1048576,$A735-1,COLUMN('1-DATA'!R734)),ROUND(INDEX('1-DATA'!$1:$1048576,IF(OR($B736="STD. DEVIATION",$C$1=1),$A736,$A736+1),COLUMN('1-DATA'!R734)),IF($B736="STD. DEVIATION",2,$F$1))))</f>
        <v/>
      </c>
      <c r="T736" s="1" t="str">
        <f>IF(OR($B736="",T$7=""),"",IF($B736="MEANS",INDEX('1-DATA'!$1:$1048576,$A735-1,COLUMN('1-DATA'!S734)),ROUND(INDEX('1-DATA'!$1:$1048576,IF(OR($B736="STD. DEVIATION",$C$1=1),$A736,$A736+1),COLUMN('1-DATA'!S734)),IF($B736="STD. DEVIATION",2,$F$1))))</f>
        <v/>
      </c>
      <c r="U736" s="1" t="str">
        <f>IF(OR($B736="",U$7=""),"",IF($B736="MEANS",INDEX('1-DATA'!$1:$1048576,$A735-1,COLUMN('1-DATA'!T734)),ROUND(INDEX('1-DATA'!$1:$1048576,IF(OR($B736="STD. DEVIATION",$C$1=1),$A736,$A736+1),COLUMN('1-DATA'!T734)),IF($B736="STD. DEVIATION",2,$F$1))))</f>
        <v/>
      </c>
      <c r="V736" s="1" t="str">
        <f>IF(OR($B736="",V$7=""),"",IF($B736="MEANS",INDEX('1-DATA'!$1:$1048576,$A735-1,COLUMN('1-DATA'!U734)),ROUND(INDEX('1-DATA'!$1:$1048576,IF(OR($B736="STD. DEVIATION",$C$1=1),$A736,$A736+1),COLUMN('1-DATA'!U734)),IF($B736="STD. DEVIATION",2,$F$1))))</f>
        <v/>
      </c>
      <c r="W736" s="1" t="str">
        <f>IF(OR($B736="",W$7=""),"",IF($B736="MEANS",INDEX('1-DATA'!$1:$1048576,$A735-1,COLUMN('1-DATA'!V734)),ROUND(INDEX('1-DATA'!$1:$1048576,IF(OR($B736="STD. DEVIATION",$C$1=1),$A736,$A736+1),COLUMN('1-DATA'!V734)),IF($B736="STD. DEVIATION",2,$F$1))))</f>
        <v/>
      </c>
      <c r="X736" s="1" t="str">
        <f>IF(OR($B736="",X$7=""),"",IF($B736="MEANS",INDEX('1-DATA'!$1:$1048576,$A735-1,COLUMN('1-DATA'!W734)),ROUND(INDEX('1-DATA'!$1:$1048576,IF(OR($B736="STD. DEVIATION",$C$1=1),$A736,$A736+1),COLUMN('1-DATA'!W734)),IF($B736="STD. DEVIATION",2,$F$1))))</f>
        <v/>
      </c>
      <c r="Y736" s="1" t="str">
        <f>IF(OR($B736="",Y$7=""),"",IF($B736="MEANS",INDEX('1-DATA'!$1:$1048576,$A735-1,COLUMN('1-DATA'!X734)),ROUND(INDEX('1-DATA'!$1:$1048576,IF(OR($B736="STD. DEVIATION",$C$1=1),$A736,$A736+1),COLUMN('1-DATA'!X734)),IF($B736="STD. DEVIATION",2,$F$1))))</f>
        <v/>
      </c>
      <c r="Z736" s="1" t="str">
        <f>IF(OR($B736="",Z$7=""),"",IF($B736="MEANS",INDEX('1-DATA'!$1:$1048576,$A735-1,COLUMN('1-DATA'!Y734)),ROUND(INDEX('1-DATA'!$1:$1048576,IF(OR($B736="STD. DEVIATION",$C$1=1),$A736,$A736+1),COLUMN('1-DATA'!Y734)),IF($B736="STD. DEVIATION",2,$F$1))))</f>
        <v/>
      </c>
      <c r="AA736" s="1" t="str">
        <f>IF(OR($B736="",AA$7=""),"",IF($B736="MEANS",INDEX('1-DATA'!$1:$1048576,$A735-1,COLUMN('1-DATA'!Z734)),ROUND(INDEX('1-DATA'!$1:$1048576,IF(OR($B736="STD. DEVIATION",$C$1=1),$A736,$A736+1),COLUMN('1-DATA'!Z734)),IF($B736="STD. DEVIATION",2,$F$1))))</f>
        <v/>
      </c>
      <c r="AB736" s="1" t="str">
        <f>IF(OR($B736="",AB$7=""),"",IF($B736="MEANS",INDEX('1-DATA'!$1:$1048576,$A735-1,COLUMN('1-DATA'!AA734)),ROUND(INDEX('1-DATA'!$1:$1048576,IF(OR($B736="STD. DEVIATION",$C$1=1),$A736,$A736+1),COLUMN('1-DATA'!AA734)),IF($B736="STD. DEVIATION",2,$F$1))))</f>
        <v/>
      </c>
      <c r="AC736" s="1" t="str">
        <f>IF(OR($B736="",AC$7=""),"",IF($B736="MEANS",INDEX('1-DATA'!$1:$1048576,$A735-1,COLUMN('1-DATA'!AB734)),ROUND(INDEX('1-DATA'!$1:$1048576,IF(OR($B736="STD. DEVIATION",$C$1=1),$A736,$A736+1),COLUMN('1-DATA'!AB734)),IF($B736="STD. DEVIATION",2,$F$1))))</f>
        <v/>
      </c>
      <c r="AD736" s="1" t="str">
        <f>IF(OR($B736="",AD$7=""),"",IF($B736="MEANS",INDEX('1-DATA'!$1:$1048576,$A735-1,COLUMN('1-DATA'!AC734)),ROUND(INDEX('1-DATA'!$1:$1048576,IF(OR($B736="STD. DEVIATION",$C$1=1),$A736,$A736+1),COLUMN('1-DATA'!AC734)),IF($B736="STD. DEVIATION",2,$F$1))))</f>
        <v/>
      </c>
      <c r="AE736" s="1" t="str">
        <f>IF(OR($B736="",AE$7=""),"",IF($B736="MEANS",INDEX('1-DATA'!$1:$1048576,$A735-1,COLUMN('1-DATA'!AD734)),ROUND(INDEX('1-DATA'!$1:$1048576,IF(OR($B736="STD. DEVIATION",$C$1=1),$A736,$A736+1),COLUMN('1-DATA'!AD734)),IF($B736="STD. DEVIATION",2,$F$1))))</f>
        <v/>
      </c>
      <c r="AF736" s="1" t="str">
        <f>IF(OR($B736="",AF$7=""),"",IF($B736="MEANS",INDEX('1-DATA'!$1:$1048576,$A735-1,COLUMN('1-DATA'!AE734)),ROUND(INDEX('1-DATA'!$1:$1048576,IF(OR($B736="STD. DEVIATION",$C$1=1),$A736,$A736+1),COLUMN('1-DATA'!AE734)),IF($B736="STD. DEVIATION",2,$F$1))))</f>
        <v/>
      </c>
      <c r="AG736" s="1" t="str">
        <f>IF(OR($B736="",AG$7=""),"",IF($B736="MEANS",INDEX('1-DATA'!$1:$1048576,$A735-1,COLUMN('1-DATA'!AF734)),ROUND(INDEX('1-DATA'!$1:$1048576,IF(OR($B736="STD. DEVIATION",$C$1=1),$A736,$A736+1),COLUMN('1-DATA'!AF734)),IF($B736="STD. DEVIATION",2,$F$1))))</f>
        <v/>
      </c>
      <c r="AH736" s="1" t="str">
        <f>IF(OR($B736="",AH$7=""),"",IF($B736="MEANS",INDEX('1-DATA'!$1:$1048576,$A735-1,COLUMN('1-DATA'!AG734)),ROUND(INDEX('1-DATA'!$1:$1048576,IF(OR($B736="STD. DEVIATION",$C$1=1),$A736,$A736+1),COLUMN('1-DATA'!AG734)),IF($B736="STD. DEVIATION",2,$F$1))))</f>
        <v/>
      </c>
      <c r="AI736" s="1" t="str">
        <f>IF(OR($B736="",AI$7=""),"",IF($B736="MEANS",INDEX('1-DATA'!$1:$1048576,$A735-1,COLUMN('1-DATA'!AH734)),ROUND(INDEX('1-DATA'!$1:$1048576,IF(OR($B736="STD. DEVIATION",$C$1=1),$A736,$A736+1),COLUMN('1-DATA'!AH734)),IF($B736="STD. DEVIATION",2,$F$1))))</f>
        <v/>
      </c>
      <c r="AJ736" s="1" t="str">
        <f>IF(OR($B736="",AJ$7=""),"",IF($B736="MEANS",INDEX('1-DATA'!$1:$1048576,$A735-1,COLUMN('1-DATA'!AI734)),ROUND(INDEX('1-DATA'!$1:$1048576,IF(OR($B736="STD. DEVIATION",$C$1=1),$A736,$A736+1),COLUMN('1-DATA'!AI734)),IF($B736="STD. DEVIATION",2,$F$1))))</f>
        <v/>
      </c>
      <c r="AK736" s="1" t="str">
        <f>IF(OR($B736="",AK$7=""),"",IF($B736="MEANS",INDEX('1-DATA'!$1:$1048576,$A735-1,COLUMN('1-DATA'!AJ734)),ROUND(INDEX('1-DATA'!$1:$1048576,IF(OR($B736="STD. DEVIATION",$C$1=1),$A736,$A736+1),COLUMN('1-DATA'!AJ734)),IF($B736="STD. DEVIATION",2,$F$1))))</f>
        <v/>
      </c>
      <c r="AL736" s="1" t="str">
        <f>IF(OR($B736="",AL$7=""),"",IF($B736="MEANS",INDEX('1-DATA'!$1:$1048576,$A735-1,COLUMN('1-DATA'!AK734)),ROUND(INDEX('1-DATA'!$1:$1048576,IF(OR($B736="STD. DEVIATION",$C$1=1),$A736,$A736+1),COLUMN('1-DATA'!AK734)),IF($B736="STD. DEVIATION",2,$F$1))))</f>
        <v/>
      </c>
      <c r="AM736" s="1" t="str">
        <f>IF(OR($B736="",AM$7=""),"",IF($B736="MEANS",INDEX('1-DATA'!$1:$1048576,$A735-1,COLUMN('1-DATA'!AL734)),ROUND(INDEX('1-DATA'!$1:$1048576,IF(OR($B736="STD. DEVIATION",$C$1=1),$A736,$A736+1),COLUMN('1-DATA'!AL734)),IF($B736="STD. DEVIATION",2,$F$1))))</f>
        <v/>
      </c>
      <c r="AN736" s="1" t="str">
        <f>IF(OR($B736="",AN$7=""),"",IF($B736="MEANS",INDEX('1-DATA'!$1:$1048576,$A735-1,COLUMN('1-DATA'!AM734)),ROUND(INDEX('1-DATA'!$1:$1048576,IF(OR($B736="STD. DEVIATION",$C$1=1),$A736,$A736+1),COLUMN('1-DATA'!AM734)),IF($B736="STD. DEVIATION",2,$F$1))))</f>
        <v/>
      </c>
      <c r="AO736" s="1" t="str">
        <f>IF(OR($B736="",AO$7=""),"",IF($B736="MEANS",INDEX('1-DATA'!$1:$1048576,$A735-1,COLUMN('1-DATA'!AN734)),ROUND(INDEX('1-DATA'!$1:$1048576,IF(OR($B736="STD. DEVIATION",$C$1=1),$A736,$A736+1),COLUMN('1-DATA'!AN734)),IF($B736="STD. DEVIATION",2,$F$1))))</f>
        <v/>
      </c>
      <c r="AP736" s="1" t="str">
        <f>IF(OR($B736="",AP$7=""),"",IF($B736="MEANS",INDEX('1-DATA'!$1:$1048576,$A735-1,COLUMN('1-DATA'!AO734)),ROUND(INDEX('1-DATA'!$1:$1048576,IF(OR($B736="STD. DEVIATION",$C$1=1),$A736,$A736+1),COLUMN('1-DATA'!AO734)),IF($B736="STD. DEVIATION",2,$F$1))))</f>
        <v/>
      </c>
      <c r="AQ736" s="1" t="str">
        <f>IF(OR($B736="",AQ$7=""),"",IF($B736="MEANS",INDEX('1-DATA'!$1:$1048576,$A735-1,COLUMN('1-DATA'!AP734)),ROUND(INDEX('1-DATA'!$1:$1048576,IF(OR($B736="STD. DEVIATION",$C$1=1),$A736,$A736+1),COLUMN('1-DATA'!AP734)),IF($B736="STD. DEVIATION",2,$F$1))))</f>
        <v/>
      </c>
      <c r="AR736" s="1" t="str">
        <f>IF(OR($B736="",AR$7=""),"",IF($B736="MEANS",INDEX('1-DATA'!$1:$1048576,$A735-1,COLUMN('1-DATA'!AQ734)),ROUND(INDEX('1-DATA'!$1:$1048576,IF(OR($B736="STD. DEVIATION",$C$1=1),$A736,$A736+1),COLUMN('1-DATA'!AQ734)),IF($B736="STD. DEVIATION",2,$F$1))))</f>
        <v/>
      </c>
      <c r="AS736" s="1" t="str">
        <f>IF(OR($B736="",AS$7=""),"",IF($B736="MEANS",INDEX('1-DATA'!$1:$1048576,$A735-1,COLUMN('1-DATA'!AR734)),ROUND(INDEX('1-DATA'!$1:$1048576,IF(OR($B736="STD. DEVIATION",$C$1=1),$A736,$A736+1),COLUMN('1-DATA'!AR734)),IF($B736="STD. DEVIATION",2,$F$1))))</f>
        <v/>
      </c>
      <c r="AT736" s="1" t="str">
        <f>IF(OR($B736="",AT$7=""),"",IF($B736="MEANS",INDEX('1-DATA'!$1:$1048576,$A735-1,COLUMN('1-DATA'!AS734)),ROUND(INDEX('1-DATA'!$1:$1048576,IF(OR($B736="STD. DEVIATION",$C$1=1),$A736,$A736+1),COLUMN('1-DATA'!AS734)),IF($B736="STD. DEVIATION",2,$F$1))))</f>
        <v/>
      </c>
      <c r="AU736" s="1" t="str">
        <f>IF(OR($B736="",AU$7=""),"",IF($B736="MEANS",INDEX('1-DATA'!$1:$1048576,$A735-1,COLUMN('1-DATA'!AT734)),ROUND(INDEX('1-DATA'!$1:$1048576,IF(OR($B736="STD. DEVIATION",$C$1=1),$A736,$A736+1),COLUMN('1-DATA'!AT734)),IF($B736="STD. DEVIATION",2,$F$1))))</f>
        <v/>
      </c>
      <c r="AV736" s="1" t="str">
        <f>IF(OR($B736="",AV$7=""),"",IF($B736="MEANS",INDEX('1-DATA'!$1:$1048576,$A735-1,COLUMN('1-DATA'!AU734)),ROUND(INDEX('1-DATA'!$1:$1048576,IF(OR($B736="STD. DEVIATION",$C$1=1),$A736,$A736+1),COLUMN('1-DATA'!AU734)),IF($B736="STD. DEVIATION",2,$F$1))))</f>
        <v/>
      </c>
      <c r="AW736" s="1" t="str">
        <f>IF(OR($B736="",AW$7=""),"",IF($B736="MEANS",INDEX('1-DATA'!$1:$1048576,$A735-1,COLUMN('1-DATA'!AV734)),ROUND(INDEX('1-DATA'!$1:$1048576,IF(OR($B736="STD. DEVIATION",$C$1=1),$A736,$A736+1),COLUMN('1-DATA'!AV734)),IF($B736="STD. DEVIATION",2,$F$1))))</f>
        <v/>
      </c>
      <c r="AX736" s="1" t="str">
        <f>IF(OR($B736="",AX$7=""),"",IF($B736="MEANS",INDEX('1-DATA'!$1:$1048576,$A735-1,COLUMN('1-DATA'!AW734)),ROUND(INDEX('1-DATA'!$1:$1048576,IF(OR($B736="STD. DEVIATION",$C$1=1),$A736,$A736+1),COLUMN('1-DATA'!AW734)),IF($B736="STD. DEVIATION",2,$F$1))))</f>
        <v/>
      </c>
      <c r="AY736" s="1" t="str">
        <f>IF(OR($B736="",AY$7=""),"",IF($B736="MEANS",INDEX('1-DATA'!$1:$1048576,$A735-1,COLUMN('1-DATA'!AX734)),ROUND(INDEX('1-DATA'!$1:$1048576,IF(OR($B736="STD. DEVIATION",$C$1=1),$A736,$A736+1),COLUMN('1-DATA'!AX734)),IF($B736="STD. DEVIATION",2,$F$1))))</f>
        <v/>
      </c>
      <c r="AZ736" s="1" t="str">
        <f>IF(OR($B736="",AZ$7=""),"",IF($B736="MEANS",INDEX('1-DATA'!$1:$1048576,$A735-1,COLUMN('1-DATA'!AY734)),ROUND(INDEX('1-DATA'!$1:$1048576,IF(OR($B736="STD. DEVIATION",$C$1=1),$A736,$A736+1),COLUMN('1-DATA'!AY734)),IF($B736="STD. DEVIATION",2,$F$1))))</f>
        <v/>
      </c>
    </row>
    <row r="737" spans="1:52" x14ac:dyDescent="0.25">
      <c r="A737" s="11">
        <f t="shared" si="12"/>
        <v>2197</v>
      </c>
      <c r="B737" s="1" t="str">
        <f>IF(B736="STD. DEVIATION",INDEX('1-DATA'!$1:$1048576,$A736-1,1),IF(INDEX('1-DATA'!$1:$1048576,$A737,1)&lt;&gt;"",INDEX('1-DATA'!$1:$1048576,$A737,1),""))</f>
        <v/>
      </c>
      <c r="C737" s="1" t="str">
        <f>IF(OR($B737="",C$7=""),"",IF($B737="MEANS",INDEX('1-DATA'!$1:$1048576,$A736-1,COLUMN('1-DATA'!B735)),ROUND(INDEX('1-DATA'!$1:$1048576,IF(OR($B737="STD. DEVIATION",$C$1=1),$A737,$A737+1),COLUMN('1-DATA'!B735)),IF($B737="STD. DEVIATION",2,$F$1))))</f>
        <v/>
      </c>
      <c r="D737" s="1" t="str">
        <f>IF(OR($B737="",D$7=""),"",IF($B737="MEANS",INDEX('1-DATA'!$1:$1048576,$A736-1,COLUMN('1-DATA'!C735)),ROUND(INDEX('1-DATA'!$1:$1048576,IF(OR($B737="STD. DEVIATION",$C$1=1),$A737,$A737+1),COLUMN('1-DATA'!C735)),IF($B737="STD. DEVIATION",2,$F$1))))</f>
        <v/>
      </c>
      <c r="E737" s="1" t="str">
        <f>IF(OR($B737="",E$7=""),"",IF($B737="MEANS",INDEX('1-DATA'!$1:$1048576,$A736-1,COLUMN('1-DATA'!D735)),ROUND(INDEX('1-DATA'!$1:$1048576,IF(OR($B737="STD. DEVIATION",$C$1=1),$A737,$A737+1),COLUMN('1-DATA'!D735)),IF($B737="STD. DEVIATION",2,$F$1))))</f>
        <v/>
      </c>
      <c r="F737" s="1" t="str">
        <f>IF(OR($B737="",F$7=""),"",IF($B737="MEANS",INDEX('1-DATA'!$1:$1048576,$A736-1,COLUMN('1-DATA'!E735)),ROUND(INDEX('1-DATA'!$1:$1048576,IF(OR($B737="STD. DEVIATION",$C$1=1),$A737,$A737+1),COLUMN('1-DATA'!E735)),IF($B737="STD. DEVIATION",2,$F$1))))</f>
        <v/>
      </c>
      <c r="G737" s="1" t="str">
        <f>IF(OR($B737="",G$7=""),"",IF($B737="MEANS",INDEX('1-DATA'!$1:$1048576,$A736-1,COLUMN('1-DATA'!F735)),ROUND(INDEX('1-DATA'!$1:$1048576,IF(OR($B737="STD. DEVIATION",$C$1=1),$A737,$A737+1),COLUMN('1-DATA'!F735)),IF($B737="STD. DEVIATION",2,$F$1))))</f>
        <v/>
      </c>
      <c r="H737" s="1" t="str">
        <f>IF(OR($B737="",H$7=""),"",IF($B737="MEANS",INDEX('1-DATA'!$1:$1048576,$A736-1,COLUMN('1-DATA'!G735)),ROUND(INDEX('1-DATA'!$1:$1048576,IF(OR($B737="STD. DEVIATION",$C$1=1),$A737,$A737+1),COLUMN('1-DATA'!G735)),IF($B737="STD. DEVIATION",2,$F$1))))</f>
        <v/>
      </c>
      <c r="I737" s="1" t="str">
        <f>IF(OR($B737="",I$7=""),"",IF($B737="MEANS",INDEX('1-DATA'!$1:$1048576,$A736-1,COLUMN('1-DATA'!H735)),ROUND(INDEX('1-DATA'!$1:$1048576,IF(OR($B737="STD. DEVIATION",$C$1=1),$A737,$A737+1),COLUMN('1-DATA'!H735)),IF($B737="STD. DEVIATION",2,$F$1))))</f>
        <v/>
      </c>
      <c r="J737" s="1" t="str">
        <f>IF(OR($B737="",J$7=""),"",IF($B737="MEANS",INDEX('1-DATA'!$1:$1048576,$A736-1,COLUMN('1-DATA'!I735)),ROUND(INDEX('1-DATA'!$1:$1048576,IF(OR($B737="STD. DEVIATION",$C$1=1),$A737,$A737+1),COLUMN('1-DATA'!I735)),IF($B737="STD. DEVIATION",2,$F$1))))</f>
        <v/>
      </c>
      <c r="K737" s="1" t="str">
        <f>IF(OR($B737="",K$7=""),"",IF($B737="MEANS",INDEX('1-DATA'!$1:$1048576,$A736-1,COLUMN('1-DATA'!J735)),ROUND(INDEX('1-DATA'!$1:$1048576,IF(OR($B737="STD. DEVIATION",$C$1=1),$A737,$A737+1),COLUMN('1-DATA'!J735)),IF($B737="STD. DEVIATION",2,$F$1))))</f>
        <v/>
      </c>
      <c r="L737" s="1" t="str">
        <f>IF(OR($B737="",L$7=""),"",IF($B737="MEANS",INDEX('1-DATA'!$1:$1048576,$A736-1,COLUMN('1-DATA'!K735)),ROUND(INDEX('1-DATA'!$1:$1048576,IF(OR($B737="STD. DEVIATION",$C$1=1),$A737,$A737+1),COLUMN('1-DATA'!K735)),IF($B737="STD. DEVIATION",2,$F$1))))</f>
        <v/>
      </c>
      <c r="M737" s="1" t="str">
        <f>IF(OR($B737="",M$7=""),"",IF($B737="MEANS",INDEX('1-DATA'!$1:$1048576,$A736-1,COLUMN('1-DATA'!L735)),ROUND(INDEX('1-DATA'!$1:$1048576,IF(OR($B737="STD. DEVIATION",$C$1=1),$A737,$A737+1),COLUMN('1-DATA'!L735)),IF($B737="STD. DEVIATION",2,$F$1))))</f>
        <v/>
      </c>
      <c r="N737" s="1" t="str">
        <f>IF(OR($B737="",N$7=""),"",IF($B737="MEANS",INDEX('1-DATA'!$1:$1048576,$A736-1,COLUMN('1-DATA'!M735)),ROUND(INDEX('1-DATA'!$1:$1048576,IF(OR($B737="STD. DEVIATION",$C$1=1),$A737,$A737+1),COLUMN('1-DATA'!M735)),IF($B737="STD. DEVIATION",2,$F$1))))</f>
        <v/>
      </c>
      <c r="O737" s="1" t="str">
        <f>IF(OR($B737="",O$7=""),"",IF($B737="MEANS",INDEX('1-DATA'!$1:$1048576,$A736-1,COLUMN('1-DATA'!N735)),ROUND(INDEX('1-DATA'!$1:$1048576,IF(OR($B737="STD. DEVIATION",$C$1=1),$A737,$A737+1),COLUMN('1-DATA'!N735)),IF($B737="STD. DEVIATION",2,$F$1))))</f>
        <v/>
      </c>
      <c r="P737" s="1" t="str">
        <f>IF(OR($B737="",P$7=""),"",IF($B737="MEANS",INDEX('1-DATA'!$1:$1048576,$A736-1,COLUMN('1-DATA'!O735)),ROUND(INDEX('1-DATA'!$1:$1048576,IF(OR($B737="STD. DEVIATION",$C$1=1),$A737,$A737+1),COLUMN('1-DATA'!O735)),IF($B737="STD. DEVIATION",2,$F$1))))</f>
        <v/>
      </c>
      <c r="Q737" s="1" t="str">
        <f>IF(OR($B737="",Q$7=""),"",IF($B737="MEANS",INDEX('1-DATA'!$1:$1048576,$A736-1,COLUMN('1-DATA'!P735)),ROUND(INDEX('1-DATA'!$1:$1048576,IF(OR($B737="STD. DEVIATION",$C$1=1),$A737,$A737+1),COLUMN('1-DATA'!P735)),IF($B737="STD. DEVIATION",2,$F$1))))</f>
        <v/>
      </c>
      <c r="R737" s="1" t="str">
        <f>IF(OR($B737="",R$7=""),"",IF($B737="MEANS",INDEX('1-DATA'!$1:$1048576,$A736-1,COLUMN('1-DATA'!Q735)),ROUND(INDEX('1-DATA'!$1:$1048576,IF(OR($B737="STD. DEVIATION",$C$1=1),$A737,$A737+1),COLUMN('1-DATA'!Q735)),IF($B737="STD. DEVIATION",2,$F$1))))</f>
        <v/>
      </c>
      <c r="S737" s="1" t="str">
        <f>IF(OR($B737="",S$7=""),"",IF($B737="MEANS",INDEX('1-DATA'!$1:$1048576,$A736-1,COLUMN('1-DATA'!R735)),ROUND(INDEX('1-DATA'!$1:$1048576,IF(OR($B737="STD. DEVIATION",$C$1=1),$A737,$A737+1),COLUMN('1-DATA'!R735)),IF($B737="STD. DEVIATION",2,$F$1))))</f>
        <v/>
      </c>
      <c r="T737" s="1" t="str">
        <f>IF(OR($B737="",T$7=""),"",IF($B737="MEANS",INDEX('1-DATA'!$1:$1048576,$A736-1,COLUMN('1-DATA'!S735)),ROUND(INDEX('1-DATA'!$1:$1048576,IF(OR($B737="STD. DEVIATION",$C$1=1),$A737,$A737+1),COLUMN('1-DATA'!S735)),IF($B737="STD. DEVIATION",2,$F$1))))</f>
        <v/>
      </c>
      <c r="U737" s="1" t="str">
        <f>IF(OR($B737="",U$7=""),"",IF($B737="MEANS",INDEX('1-DATA'!$1:$1048576,$A736-1,COLUMN('1-DATA'!T735)),ROUND(INDEX('1-DATA'!$1:$1048576,IF(OR($B737="STD. DEVIATION",$C$1=1),$A737,$A737+1),COLUMN('1-DATA'!T735)),IF($B737="STD. DEVIATION",2,$F$1))))</f>
        <v/>
      </c>
      <c r="V737" s="1" t="str">
        <f>IF(OR($B737="",V$7=""),"",IF($B737="MEANS",INDEX('1-DATA'!$1:$1048576,$A736-1,COLUMN('1-DATA'!U735)),ROUND(INDEX('1-DATA'!$1:$1048576,IF(OR($B737="STD. DEVIATION",$C$1=1),$A737,$A737+1),COLUMN('1-DATA'!U735)),IF($B737="STD. DEVIATION",2,$F$1))))</f>
        <v/>
      </c>
      <c r="W737" s="1" t="str">
        <f>IF(OR($B737="",W$7=""),"",IF($B737="MEANS",INDEX('1-DATA'!$1:$1048576,$A736-1,COLUMN('1-DATA'!V735)),ROUND(INDEX('1-DATA'!$1:$1048576,IF(OR($B737="STD. DEVIATION",$C$1=1),$A737,$A737+1),COLUMN('1-DATA'!V735)),IF($B737="STD. DEVIATION",2,$F$1))))</f>
        <v/>
      </c>
      <c r="X737" s="1" t="str">
        <f>IF(OR($B737="",X$7=""),"",IF($B737="MEANS",INDEX('1-DATA'!$1:$1048576,$A736-1,COLUMN('1-DATA'!W735)),ROUND(INDEX('1-DATA'!$1:$1048576,IF(OR($B737="STD. DEVIATION",$C$1=1),$A737,$A737+1),COLUMN('1-DATA'!W735)),IF($B737="STD. DEVIATION",2,$F$1))))</f>
        <v/>
      </c>
      <c r="Y737" s="1" t="str">
        <f>IF(OR($B737="",Y$7=""),"",IF($B737="MEANS",INDEX('1-DATA'!$1:$1048576,$A736-1,COLUMN('1-DATA'!X735)),ROUND(INDEX('1-DATA'!$1:$1048576,IF(OR($B737="STD. DEVIATION",$C$1=1),$A737,$A737+1),COLUMN('1-DATA'!X735)),IF($B737="STD. DEVIATION",2,$F$1))))</f>
        <v/>
      </c>
      <c r="Z737" s="1" t="str">
        <f>IF(OR($B737="",Z$7=""),"",IF($B737="MEANS",INDEX('1-DATA'!$1:$1048576,$A736-1,COLUMN('1-DATA'!Y735)),ROUND(INDEX('1-DATA'!$1:$1048576,IF(OR($B737="STD. DEVIATION",$C$1=1),$A737,$A737+1),COLUMN('1-DATA'!Y735)),IF($B737="STD. DEVIATION",2,$F$1))))</f>
        <v/>
      </c>
      <c r="AA737" s="1" t="str">
        <f>IF(OR($B737="",AA$7=""),"",IF($B737="MEANS",INDEX('1-DATA'!$1:$1048576,$A736-1,COLUMN('1-DATA'!Z735)),ROUND(INDEX('1-DATA'!$1:$1048576,IF(OR($B737="STD. DEVIATION",$C$1=1),$A737,$A737+1),COLUMN('1-DATA'!Z735)),IF($B737="STD. DEVIATION",2,$F$1))))</f>
        <v/>
      </c>
      <c r="AB737" s="1" t="str">
        <f>IF(OR($B737="",AB$7=""),"",IF($B737="MEANS",INDEX('1-DATA'!$1:$1048576,$A736-1,COLUMN('1-DATA'!AA735)),ROUND(INDEX('1-DATA'!$1:$1048576,IF(OR($B737="STD. DEVIATION",$C$1=1),$A737,$A737+1),COLUMN('1-DATA'!AA735)),IF($B737="STD. DEVIATION",2,$F$1))))</f>
        <v/>
      </c>
      <c r="AC737" s="1" t="str">
        <f>IF(OR($B737="",AC$7=""),"",IF($B737="MEANS",INDEX('1-DATA'!$1:$1048576,$A736-1,COLUMN('1-DATA'!AB735)),ROUND(INDEX('1-DATA'!$1:$1048576,IF(OR($B737="STD. DEVIATION",$C$1=1),$A737,$A737+1),COLUMN('1-DATA'!AB735)),IF($B737="STD. DEVIATION",2,$F$1))))</f>
        <v/>
      </c>
      <c r="AD737" s="1" t="str">
        <f>IF(OR($B737="",AD$7=""),"",IF($B737="MEANS",INDEX('1-DATA'!$1:$1048576,$A736-1,COLUMN('1-DATA'!AC735)),ROUND(INDEX('1-DATA'!$1:$1048576,IF(OR($B737="STD. DEVIATION",$C$1=1),$A737,$A737+1),COLUMN('1-DATA'!AC735)),IF($B737="STD. DEVIATION",2,$F$1))))</f>
        <v/>
      </c>
      <c r="AE737" s="1" t="str">
        <f>IF(OR($B737="",AE$7=""),"",IF($B737="MEANS",INDEX('1-DATA'!$1:$1048576,$A736-1,COLUMN('1-DATA'!AD735)),ROUND(INDEX('1-DATA'!$1:$1048576,IF(OR($B737="STD. DEVIATION",$C$1=1),$A737,$A737+1),COLUMN('1-DATA'!AD735)),IF($B737="STD. DEVIATION",2,$F$1))))</f>
        <v/>
      </c>
      <c r="AF737" s="1" t="str">
        <f>IF(OR($B737="",AF$7=""),"",IF($B737="MEANS",INDEX('1-DATA'!$1:$1048576,$A736-1,COLUMN('1-DATA'!AE735)),ROUND(INDEX('1-DATA'!$1:$1048576,IF(OR($B737="STD. DEVIATION",$C$1=1),$A737,$A737+1),COLUMN('1-DATA'!AE735)),IF($B737="STD. DEVIATION",2,$F$1))))</f>
        <v/>
      </c>
      <c r="AG737" s="1" t="str">
        <f>IF(OR($B737="",AG$7=""),"",IF($B737="MEANS",INDEX('1-DATA'!$1:$1048576,$A736-1,COLUMN('1-DATA'!AF735)),ROUND(INDEX('1-DATA'!$1:$1048576,IF(OR($B737="STD. DEVIATION",$C$1=1),$A737,$A737+1),COLUMN('1-DATA'!AF735)),IF($B737="STD. DEVIATION",2,$F$1))))</f>
        <v/>
      </c>
      <c r="AH737" s="1" t="str">
        <f>IF(OR($B737="",AH$7=""),"",IF($B737="MEANS",INDEX('1-DATA'!$1:$1048576,$A736-1,COLUMN('1-DATA'!AG735)),ROUND(INDEX('1-DATA'!$1:$1048576,IF(OR($B737="STD. DEVIATION",$C$1=1),$A737,$A737+1),COLUMN('1-DATA'!AG735)),IF($B737="STD. DEVIATION",2,$F$1))))</f>
        <v/>
      </c>
      <c r="AI737" s="1" t="str">
        <f>IF(OR($B737="",AI$7=""),"",IF($B737="MEANS",INDEX('1-DATA'!$1:$1048576,$A736-1,COLUMN('1-DATA'!AH735)),ROUND(INDEX('1-DATA'!$1:$1048576,IF(OR($B737="STD. DEVIATION",$C$1=1),$A737,$A737+1),COLUMN('1-DATA'!AH735)),IF($B737="STD. DEVIATION",2,$F$1))))</f>
        <v/>
      </c>
      <c r="AJ737" s="1" t="str">
        <f>IF(OR($B737="",AJ$7=""),"",IF($B737="MEANS",INDEX('1-DATA'!$1:$1048576,$A736-1,COLUMN('1-DATA'!AI735)),ROUND(INDEX('1-DATA'!$1:$1048576,IF(OR($B737="STD. DEVIATION",$C$1=1),$A737,$A737+1),COLUMN('1-DATA'!AI735)),IF($B737="STD. DEVIATION",2,$F$1))))</f>
        <v/>
      </c>
      <c r="AK737" s="1" t="str">
        <f>IF(OR($B737="",AK$7=""),"",IF($B737="MEANS",INDEX('1-DATA'!$1:$1048576,$A736-1,COLUMN('1-DATA'!AJ735)),ROUND(INDEX('1-DATA'!$1:$1048576,IF(OR($B737="STD. DEVIATION",$C$1=1),$A737,$A737+1),COLUMN('1-DATA'!AJ735)),IF($B737="STD. DEVIATION",2,$F$1))))</f>
        <v/>
      </c>
      <c r="AL737" s="1" t="str">
        <f>IF(OR($B737="",AL$7=""),"",IF($B737="MEANS",INDEX('1-DATA'!$1:$1048576,$A736-1,COLUMN('1-DATA'!AK735)),ROUND(INDEX('1-DATA'!$1:$1048576,IF(OR($B737="STD. DEVIATION",$C$1=1),$A737,$A737+1),COLUMN('1-DATA'!AK735)),IF($B737="STD. DEVIATION",2,$F$1))))</f>
        <v/>
      </c>
      <c r="AM737" s="1" t="str">
        <f>IF(OR($B737="",AM$7=""),"",IF($B737="MEANS",INDEX('1-DATA'!$1:$1048576,$A736-1,COLUMN('1-DATA'!AL735)),ROUND(INDEX('1-DATA'!$1:$1048576,IF(OR($B737="STD. DEVIATION",$C$1=1),$A737,$A737+1),COLUMN('1-DATA'!AL735)),IF($B737="STD. DEVIATION",2,$F$1))))</f>
        <v/>
      </c>
      <c r="AN737" s="1" t="str">
        <f>IF(OR($B737="",AN$7=""),"",IF($B737="MEANS",INDEX('1-DATA'!$1:$1048576,$A736-1,COLUMN('1-DATA'!AM735)),ROUND(INDEX('1-DATA'!$1:$1048576,IF(OR($B737="STD. DEVIATION",$C$1=1),$A737,$A737+1),COLUMN('1-DATA'!AM735)),IF($B737="STD. DEVIATION",2,$F$1))))</f>
        <v/>
      </c>
      <c r="AO737" s="1" t="str">
        <f>IF(OR($B737="",AO$7=""),"",IF($B737="MEANS",INDEX('1-DATA'!$1:$1048576,$A736-1,COLUMN('1-DATA'!AN735)),ROUND(INDEX('1-DATA'!$1:$1048576,IF(OR($B737="STD. DEVIATION",$C$1=1),$A737,$A737+1),COLUMN('1-DATA'!AN735)),IF($B737="STD. DEVIATION",2,$F$1))))</f>
        <v/>
      </c>
      <c r="AP737" s="1" t="str">
        <f>IF(OR($B737="",AP$7=""),"",IF($B737="MEANS",INDEX('1-DATA'!$1:$1048576,$A736-1,COLUMN('1-DATA'!AO735)),ROUND(INDEX('1-DATA'!$1:$1048576,IF(OR($B737="STD. DEVIATION",$C$1=1),$A737,$A737+1),COLUMN('1-DATA'!AO735)),IF($B737="STD. DEVIATION",2,$F$1))))</f>
        <v/>
      </c>
      <c r="AQ737" s="1" t="str">
        <f>IF(OR($B737="",AQ$7=""),"",IF($B737="MEANS",INDEX('1-DATA'!$1:$1048576,$A736-1,COLUMN('1-DATA'!AP735)),ROUND(INDEX('1-DATA'!$1:$1048576,IF(OR($B737="STD. DEVIATION",$C$1=1),$A737,$A737+1),COLUMN('1-DATA'!AP735)),IF($B737="STD. DEVIATION",2,$F$1))))</f>
        <v/>
      </c>
      <c r="AR737" s="1" t="str">
        <f>IF(OR($B737="",AR$7=""),"",IF($B737="MEANS",INDEX('1-DATA'!$1:$1048576,$A736-1,COLUMN('1-DATA'!AQ735)),ROUND(INDEX('1-DATA'!$1:$1048576,IF(OR($B737="STD. DEVIATION",$C$1=1),$A737,$A737+1),COLUMN('1-DATA'!AQ735)),IF($B737="STD. DEVIATION",2,$F$1))))</f>
        <v/>
      </c>
      <c r="AS737" s="1" t="str">
        <f>IF(OR($B737="",AS$7=""),"",IF($B737="MEANS",INDEX('1-DATA'!$1:$1048576,$A736-1,COLUMN('1-DATA'!AR735)),ROUND(INDEX('1-DATA'!$1:$1048576,IF(OR($B737="STD. DEVIATION",$C$1=1),$A737,$A737+1),COLUMN('1-DATA'!AR735)),IF($B737="STD. DEVIATION",2,$F$1))))</f>
        <v/>
      </c>
      <c r="AT737" s="1" t="str">
        <f>IF(OR($B737="",AT$7=""),"",IF($B737="MEANS",INDEX('1-DATA'!$1:$1048576,$A736-1,COLUMN('1-DATA'!AS735)),ROUND(INDEX('1-DATA'!$1:$1048576,IF(OR($B737="STD. DEVIATION",$C$1=1),$A737,$A737+1),COLUMN('1-DATA'!AS735)),IF($B737="STD. DEVIATION",2,$F$1))))</f>
        <v/>
      </c>
      <c r="AU737" s="1" t="str">
        <f>IF(OR($B737="",AU$7=""),"",IF($B737="MEANS",INDEX('1-DATA'!$1:$1048576,$A736-1,COLUMN('1-DATA'!AT735)),ROUND(INDEX('1-DATA'!$1:$1048576,IF(OR($B737="STD. DEVIATION",$C$1=1),$A737,$A737+1),COLUMN('1-DATA'!AT735)),IF($B737="STD. DEVIATION",2,$F$1))))</f>
        <v/>
      </c>
      <c r="AV737" s="1" t="str">
        <f>IF(OR($B737="",AV$7=""),"",IF($B737="MEANS",INDEX('1-DATA'!$1:$1048576,$A736-1,COLUMN('1-DATA'!AU735)),ROUND(INDEX('1-DATA'!$1:$1048576,IF(OR($B737="STD. DEVIATION",$C$1=1),$A737,$A737+1),COLUMN('1-DATA'!AU735)),IF($B737="STD. DEVIATION",2,$F$1))))</f>
        <v/>
      </c>
      <c r="AW737" s="1" t="str">
        <f>IF(OR($B737="",AW$7=""),"",IF($B737="MEANS",INDEX('1-DATA'!$1:$1048576,$A736-1,COLUMN('1-DATA'!AV735)),ROUND(INDEX('1-DATA'!$1:$1048576,IF(OR($B737="STD. DEVIATION",$C$1=1),$A737,$A737+1),COLUMN('1-DATA'!AV735)),IF($B737="STD. DEVIATION",2,$F$1))))</f>
        <v/>
      </c>
      <c r="AX737" s="1" t="str">
        <f>IF(OR($B737="",AX$7=""),"",IF($B737="MEANS",INDEX('1-DATA'!$1:$1048576,$A736-1,COLUMN('1-DATA'!AW735)),ROUND(INDEX('1-DATA'!$1:$1048576,IF(OR($B737="STD. DEVIATION",$C$1=1),$A737,$A737+1),COLUMN('1-DATA'!AW735)),IF($B737="STD. DEVIATION",2,$F$1))))</f>
        <v/>
      </c>
      <c r="AY737" s="1" t="str">
        <f>IF(OR($B737="",AY$7=""),"",IF($B737="MEANS",INDEX('1-DATA'!$1:$1048576,$A736-1,COLUMN('1-DATA'!AX735)),ROUND(INDEX('1-DATA'!$1:$1048576,IF(OR($B737="STD. DEVIATION",$C$1=1),$A737,$A737+1),COLUMN('1-DATA'!AX735)),IF($B737="STD. DEVIATION",2,$F$1))))</f>
        <v/>
      </c>
      <c r="AZ737" s="1" t="str">
        <f>IF(OR($B737="",AZ$7=""),"",IF($B737="MEANS",INDEX('1-DATA'!$1:$1048576,$A736-1,COLUMN('1-DATA'!AY735)),ROUND(INDEX('1-DATA'!$1:$1048576,IF(OR($B737="STD. DEVIATION",$C$1=1),$A737,$A737+1),COLUMN('1-DATA'!AY735)),IF($B737="STD. DEVIATION",2,$F$1))))</f>
        <v/>
      </c>
    </row>
    <row r="738" spans="1:52" x14ac:dyDescent="0.25">
      <c r="A738" s="11">
        <f t="shared" si="12"/>
        <v>2200</v>
      </c>
      <c r="B738" s="1" t="str">
        <f>IF(B737="STD. DEVIATION",INDEX('1-DATA'!$1:$1048576,$A737-1,1),IF(INDEX('1-DATA'!$1:$1048576,$A738,1)&lt;&gt;"",INDEX('1-DATA'!$1:$1048576,$A738,1),""))</f>
        <v/>
      </c>
      <c r="C738" s="1" t="str">
        <f>IF(OR($B738="",C$7=""),"",IF($B738="MEANS",INDEX('1-DATA'!$1:$1048576,$A737-1,COLUMN('1-DATA'!B736)),ROUND(INDEX('1-DATA'!$1:$1048576,IF(OR($B738="STD. DEVIATION",$C$1=1),$A738,$A738+1),COLUMN('1-DATA'!B736)),IF($B738="STD. DEVIATION",2,$F$1))))</f>
        <v/>
      </c>
      <c r="D738" s="1" t="str">
        <f>IF(OR($B738="",D$7=""),"",IF($B738="MEANS",INDEX('1-DATA'!$1:$1048576,$A737-1,COLUMN('1-DATA'!C736)),ROUND(INDEX('1-DATA'!$1:$1048576,IF(OR($B738="STD. DEVIATION",$C$1=1),$A738,$A738+1),COLUMN('1-DATA'!C736)),IF($B738="STD. DEVIATION",2,$F$1))))</f>
        <v/>
      </c>
      <c r="E738" s="1" t="str">
        <f>IF(OR($B738="",E$7=""),"",IF($B738="MEANS",INDEX('1-DATA'!$1:$1048576,$A737-1,COLUMN('1-DATA'!D736)),ROUND(INDEX('1-DATA'!$1:$1048576,IF(OR($B738="STD. DEVIATION",$C$1=1),$A738,$A738+1),COLUMN('1-DATA'!D736)),IF($B738="STD. DEVIATION",2,$F$1))))</f>
        <v/>
      </c>
      <c r="F738" s="1" t="str">
        <f>IF(OR($B738="",F$7=""),"",IF($B738="MEANS",INDEX('1-DATA'!$1:$1048576,$A737-1,COLUMN('1-DATA'!E736)),ROUND(INDEX('1-DATA'!$1:$1048576,IF(OR($B738="STD. DEVIATION",$C$1=1),$A738,$A738+1),COLUMN('1-DATA'!E736)),IF($B738="STD. DEVIATION",2,$F$1))))</f>
        <v/>
      </c>
      <c r="G738" s="1" t="str">
        <f>IF(OR($B738="",G$7=""),"",IF($B738="MEANS",INDEX('1-DATA'!$1:$1048576,$A737-1,COLUMN('1-DATA'!F736)),ROUND(INDEX('1-DATA'!$1:$1048576,IF(OR($B738="STD. DEVIATION",$C$1=1),$A738,$A738+1),COLUMN('1-DATA'!F736)),IF($B738="STD. DEVIATION",2,$F$1))))</f>
        <v/>
      </c>
      <c r="H738" s="1" t="str">
        <f>IF(OR($B738="",H$7=""),"",IF($B738="MEANS",INDEX('1-DATA'!$1:$1048576,$A737-1,COLUMN('1-DATA'!G736)),ROUND(INDEX('1-DATA'!$1:$1048576,IF(OR($B738="STD. DEVIATION",$C$1=1),$A738,$A738+1),COLUMN('1-DATA'!G736)),IF($B738="STD. DEVIATION",2,$F$1))))</f>
        <v/>
      </c>
      <c r="I738" s="1" t="str">
        <f>IF(OR($B738="",I$7=""),"",IF($B738="MEANS",INDEX('1-DATA'!$1:$1048576,$A737-1,COLUMN('1-DATA'!H736)),ROUND(INDEX('1-DATA'!$1:$1048576,IF(OR($B738="STD. DEVIATION",$C$1=1),$A738,$A738+1),COLUMN('1-DATA'!H736)),IF($B738="STD. DEVIATION",2,$F$1))))</f>
        <v/>
      </c>
      <c r="J738" s="1" t="str">
        <f>IF(OR($B738="",J$7=""),"",IF($B738="MEANS",INDEX('1-DATA'!$1:$1048576,$A737-1,COLUMN('1-DATA'!I736)),ROUND(INDEX('1-DATA'!$1:$1048576,IF(OR($B738="STD. DEVIATION",$C$1=1),$A738,$A738+1),COLUMN('1-DATA'!I736)),IF($B738="STD. DEVIATION",2,$F$1))))</f>
        <v/>
      </c>
      <c r="K738" s="1" t="str">
        <f>IF(OR($B738="",K$7=""),"",IF($B738="MEANS",INDEX('1-DATA'!$1:$1048576,$A737-1,COLUMN('1-DATA'!J736)),ROUND(INDEX('1-DATA'!$1:$1048576,IF(OR($B738="STD. DEVIATION",$C$1=1),$A738,$A738+1),COLUMN('1-DATA'!J736)),IF($B738="STD. DEVIATION",2,$F$1))))</f>
        <v/>
      </c>
      <c r="L738" s="1" t="str">
        <f>IF(OR($B738="",L$7=""),"",IF($B738="MEANS",INDEX('1-DATA'!$1:$1048576,$A737-1,COLUMN('1-DATA'!K736)),ROUND(INDEX('1-DATA'!$1:$1048576,IF(OR($B738="STD. DEVIATION",$C$1=1),$A738,$A738+1),COLUMN('1-DATA'!K736)),IF($B738="STD. DEVIATION",2,$F$1))))</f>
        <v/>
      </c>
      <c r="M738" s="1" t="str">
        <f>IF(OR($B738="",M$7=""),"",IF($B738="MEANS",INDEX('1-DATA'!$1:$1048576,$A737-1,COLUMN('1-DATA'!L736)),ROUND(INDEX('1-DATA'!$1:$1048576,IF(OR($B738="STD. DEVIATION",$C$1=1),$A738,$A738+1),COLUMN('1-DATA'!L736)),IF($B738="STD. DEVIATION",2,$F$1))))</f>
        <v/>
      </c>
      <c r="N738" s="1" t="str">
        <f>IF(OR($B738="",N$7=""),"",IF($B738="MEANS",INDEX('1-DATA'!$1:$1048576,$A737-1,COLUMN('1-DATA'!M736)),ROUND(INDEX('1-DATA'!$1:$1048576,IF(OR($B738="STD. DEVIATION",$C$1=1),$A738,$A738+1),COLUMN('1-DATA'!M736)),IF($B738="STD. DEVIATION",2,$F$1))))</f>
        <v/>
      </c>
      <c r="O738" s="1" t="str">
        <f>IF(OR($B738="",O$7=""),"",IF($B738="MEANS",INDEX('1-DATA'!$1:$1048576,$A737-1,COLUMN('1-DATA'!N736)),ROUND(INDEX('1-DATA'!$1:$1048576,IF(OR($B738="STD. DEVIATION",$C$1=1),$A738,$A738+1),COLUMN('1-DATA'!N736)),IF($B738="STD. DEVIATION",2,$F$1))))</f>
        <v/>
      </c>
      <c r="P738" s="1" t="str">
        <f>IF(OR($B738="",P$7=""),"",IF($B738="MEANS",INDEX('1-DATA'!$1:$1048576,$A737-1,COLUMN('1-DATA'!O736)),ROUND(INDEX('1-DATA'!$1:$1048576,IF(OR($B738="STD. DEVIATION",$C$1=1),$A738,$A738+1),COLUMN('1-DATA'!O736)),IF($B738="STD. DEVIATION",2,$F$1))))</f>
        <v/>
      </c>
      <c r="Q738" s="1" t="str">
        <f>IF(OR($B738="",Q$7=""),"",IF($B738="MEANS",INDEX('1-DATA'!$1:$1048576,$A737-1,COLUMN('1-DATA'!P736)),ROUND(INDEX('1-DATA'!$1:$1048576,IF(OR($B738="STD. DEVIATION",$C$1=1),$A738,$A738+1),COLUMN('1-DATA'!P736)),IF($B738="STD. DEVIATION",2,$F$1))))</f>
        <v/>
      </c>
      <c r="R738" s="1" t="str">
        <f>IF(OR($B738="",R$7=""),"",IF($B738="MEANS",INDEX('1-DATA'!$1:$1048576,$A737-1,COLUMN('1-DATA'!Q736)),ROUND(INDEX('1-DATA'!$1:$1048576,IF(OR($B738="STD. DEVIATION",$C$1=1),$A738,$A738+1),COLUMN('1-DATA'!Q736)),IF($B738="STD. DEVIATION",2,$F$1))))</f>
        <v/>
      </c>
      <c r="S738" s="1" t="str">
        <f>IF(OR($B738="",S$7=""),"",IF($B738="MEANS",INDEX('1-DATA'!$1:$1048576,$A737-1,COLUMN('1-DATA'!R736)),ROUND(INDEX('1-DATA'!$1:$1048576,IF(OR($B738="STD. DEVIATION",$C$1=1),$A738,$A738+1),COLUMN('1-DATA'!R736)),IF($B738="STD. DEVIATION",2,$F$1))))</f>
        <v/>
      </c>
      <c r="T738" s="1" t="str">
        <f>IF(OR($B738="",T$7=""),"",IF($B738="MEANS",INDEX('1-DATA'!$1:$1048576,$A737-1,COLUMN('1-DATA'!S736)),ROUND(INDEX('1-DATA'!$1:$1048576,IF(OR($B738="STD. DEVIATION",$C$1=1),$A738,$A738+1),COLUMN('1-DATA'!S736)),IF($B738="STD. DEVIATION",2,$F$1))))</f>
        <v/>
      </c>
      <c r="U738" s="1" t="str">
        <f>IF(OR($B738="",U$7=""),"",IF($B738="MEANS",INDEX('1-DATA'!$1:$1048576,$A737-1,COLUMN('1-DATA'!T736)),ROUND(INDEX('1-DATA'!$1:$1048576,IF(OR($B738="STD. DEVIATION",$C$1=1),$A738,$A738+1),COLUMN('1-DATA'!T736)),IF($B738="STD. DEVIATION",2,$F$1))))</f>
        <v/>
      </c>
      <c r="V738" s="1" t="str">
        <f>IF(OR($B738="",V$7=""),"",IF($B738="MEANS",INDEX('1-DATA'!$1:$1048576,$A737-1,COLUMN('1-DATA'!U736)),ROUND(INDEX('1-DATA'!$1:$1048576,IF(OR($B738="STD. DEVIATION",$C$1=1),$A738,$A738+1),COLUMN('1-DATA'!U736)),IF($B738="STD. DEVIATION",2,$F$1))))</f>
        <v/>
      </c>
      <c r="W738" s="1" t="str">
        <f>IF(OR($B738="",W$7=""),"",IF($B738="MEANS",INDEX('1-DATA'!$1:$1048576,$A737-1,COLUMN('1-DATA'!V736)),ROUND(INDEX('1-DATA'!$1:$1048576,IF(OR($B738="STD. DEVIATION",$C$1=1),$A738,$A738+1),COLUMN('1-DATA'!V736)),IF($B738="STD. DEVIATION",2,$F$1))))</f>
        <v/>
      </c>
      <c r="X738" s="1" t="str">
        <f>IF(OR($B738="",X$7=""),"",IF($B738="MEANS",INDEX('1-DATA'!$1:$1048576,$A737-1,COLUMN('1-DATA'!W736)),ROUND(INDEX('1-DATA'!$1:$1048576,IF(OR($B738="STD. DEVIATION",$C$1=1),$A738,$A738+1),COLUMN('1-DATA'!W736)),IF($B738="STD. DEVIATION",2,$F$1))))</f>
        <v/>
      </c>
      <c r="Y738" s="1" t="str">
        <f>IF(OR($B738="",Y$7=""),"",IF($B738="MEANS",INDEX('1-DATA'!$1:$1048576,$A737-1,COLUMN('1-DATA'!X736)),ROUND(INDEX('1-DATA'!$1:$1048576,IF(OR($B738="STD. DEVIATION",$C$1=1),$A738,$A738+1),COLUMN('1-DATA'!X736)),IF($B738="STD. DEVIATION",2,$F$1))))</f>
        <v/>
      </c>
      <c r="Z738" s="1" t="str">
        <f>IF(OR($B738="",Z$7=""),"",IF($B738="MEANS",INDEX('1-DATA'!$1:$1048576,$A737-1,COLUMN('1-DATA'!Y736)),ROUND(INDEX('1-DATA'!$1:$1048576,IF(OR($B738="STD. DEVIATION",$C$1=1),$A738,$A738+1),COLUMN('1-DATA'!Y736)),IF($B738="STD. DEVIATION",2,$F$1))))</f>
        <v/>
      </c>
      <c r="AA738" s="1" t="str">
        <f>IF(OR($B738="",AA$7=""),"",IF($B738="MEANS",INDEX('1-DATA'!$1:$1048576,$A737-1,COLUMN('1-DATA'!Z736)),ROUND(INDEX('1-DATA'!$1:$1048576,IF(OR($B738="STD. DEVIATION",$C$1=1),$A738,$A738+1),COLUMN('1-DATA'!Z736)),IF($B738="STD. DEVIATION",2,$F$1))))</f>
        <v/>
      </c>
      <c r="AB738" s="1" t="str">
        <f>IF(OR($B738="",AB$7=""),"",IF($B738="MEANS",INDEX('1-DATA'!$1:$1048576,$A737-1,COLUMN('1-DATA'!AA736)),ROUND(INDEX('1-DATA'!$1:$1048576,IF(OR($B738="STD. DEVIATION",$C$1=1),$A738,$A738+1),COLUMN('1-DATA'!AA736)),IF($B738="STD. DEVIATION",2,$F$1))))</f>
        <v/>
      </c>
      <c r="AC738" s="1" t="str">
        <f>IF(OR($B738="",AC$7=""),"",IF($B738="MEANS",INDEX('1-DATA'!$1:$1048576,$A737-1,COLUMN('1-DATA'!AB736)),ROUND(INDEX('1-DATA'!$1:$1048576,IF(OR($B738="STD. DEVIATION",$C$1=1),$A738,$A738+1),COLUMN('1-DATA'!AB736)),IF($B738="STD. DEVIATION",2,$F$1))))</f>
        <v/>
      </c>
      <c r="AD738" s="1" t="str">
        <f>IF(OR($B738="",AD$7=""),"",IF($B738="MEANS",INDEX('1-DATA'!$1:$1048576,$A737-1,COLUMN('1-DATA'!AC736)),ROUND(INDEX('1-DATA'!$1:$1048576,IF(OR($B738="STD. DEVIATION",$C$1=1),$A738,$A738+1),COLUMN('1-DATA'!AC736)),IF($B738="STD. DEVIATION",2,$F$1))))</f>
        <v/>
      </c>
      <c r="AE738" s="1" t="str">
        <f>IF(OR($B738="",AE$7=""),"",IF($B738="MEANS",INDEX('1-DATA'!$1:$1048576,$A737-1,COLUMN('1-DATA'!AD736)),ROUND(INDEX('1-DATA'!$1:$1048576,IF(OR($B738="STD. DEVIATION",$C$1=1),$A738,$A738+1),COLUMN('1-DATA'!AD736)),IF($B738="STD. DEVIATION",2,$F$1))))</f>
        <v/>
      </c>
      <c r="AF738" s="1" t="str">
        <f>IF(OR($B738="",AF$7=""),"",IF($B738="MEANS",INDEX('1-DATA'!$1:$1048576,$A737-1,COLUMN('1-DATA'!AE736)),ROUND(INDEX('1-DATA'!$1:$1048576,IF(OR($B738="STD. DEVIATION",$C$1=1),$A738,$A738+1),COLUMN('1-DATA'!AE736)),IF($B738="STD. DEVIATION",2,$F$1))))</f>
        <v/>
      </c>
      <c r="AG738" s="1" t="str">
        <f>IF(OR($B738="",AG$7=""),"",IF($B738="MEANS",INDEX('1-DATA'!$1:$1048576,$A737-1,COLUMN('1-DATA'!AF736)),ROUND(INDEX('1-DATA'!$1:$1048576,IF(OR($B738="STD. DEVIATION",$C$1=1),$A738,$A738+1),COLUMN('1-DATA'!AF736)),IF($B738="STD. DEVIATION",2,$F$1))))</f>
        <v/>
      </c>
      <c r="AH738" s="1" t="str">
        <f>IF(OR($B738="",AH$7=""),"",IF($B738="MEANS",INDEX('1-DATA'!$1:$1048576,$A737-1,COLUMN('1-DATA'!AG736)),ROUND(INDEX('1-DATA'!$1:$1048576,IF(OR($B738="STD. DEVIATION",$C$1=1),$A738,$A738+1),COLUMN('1-DATA'!AG736)),IF($B738="STD. DEVIATION",2,$F$1))))</f>
        <v/>
      </c>
      <c r="AI738" s="1" t="str">
        <f>IF(OR($B738="",AI$7=""),"",IF($B738="MEANS",INDEX('1-DATA'!$1:$1048576,$A737-1,COLUMN('1-DATA'!AH736)),ROUND(INDEX('1-DATA'!$1:$1048576,IF(OR($B738="STD. DEVIATION",$C$1=1),$A738,$A738+1),COLUMN('1-DATA'!AH736)),IF($B738="STD. DEVIATION",2,$F$1))))</f>
        <v/>
      </c>
      <c r="AJ738" s="1" t="str">
        <f>IF(OR($B738="",AJ$7=""),"",IF($B738="MEANS",INDEX('1-DATA'!$1:$1048576,$A737-1,COLUMN('1-DATA'!AI736)),ROUND(INDEX('1-DATA'!$1:$1048576,IF(OR($B738="STD. DEVIATION",$C$1=1),$A738,$A738+1),COLUMN('1-DATA'!AI736)),IF($B738="STD. DEVIATION",2,$F$1))))</f>
        <v/>
      </c>
      <c r="AK738" s="1" t="str">
        <f>IF(OR($B738="",AK$7=""),"",IF($B738="MEANS",INDEX('1-DATA'!$1:$1048576,$A737-1,COLUMN('1-DATA'!AJ736)),ROUND(INDEX('1-DATA'!$1:$1048576,IF(OR($B738="STD. DEVIATION",$C$1=1),$A738,$A738+1),COLUMN('1-DATA'!AJ736)),IF($B738="STD. DEVIATION",2,$F$1))))</f>
        <v/>
      </c>
      <c r="AL738" s="1" t="str">
        <f>IF(OR($B738="",AL$7=""),"",IF($B738="MEANS",INDEX('1-DATA'!$1:$1048576,$A737-1,COLUMN('1-DATA'!AK736)),ROUND(INDEX('1-DATA'!$1:$1048576,IF(OR($B738="STD. DEVIATION",$C$1=1),$A738,$A738+1),COLUMN('1-DATA'!AK736)),IF($B738="STD. DEVIATION",2,$F$1))))</f>
        <v/>
      </c>
      <c r="AM738" s="1" t="str">
        <f>IF(OR($B738="",AM$7=""),"",IF($B738="MEANS",INDEX('1-DATA'!$1:$1048576,$A737-1,COLUMN('1-DATA'!AL736)),ROUND(INDEX('1-DATA'!$1:$1048576,IF(OR($B738="STD. DEVIATION",$C$1=1),$A738,$A738+1),COLUMN('1-DATA'!AL736)),IF($B738="STD. DEVIATION",2,$F$1))))</f>
        <v/>
      </c>
      <c r="AN738" s="1" t="str">
        <f>IF(OR($B738="",AN$7=""),"",IF($B738="MEANS",INDEX('1-DATA'!$1:$1048576,$A737-1,COLUMN('1-DATA'!AM736)),ROUND(INDEX('1-DATA'!$1:$1048576,IF(OR($B738="STD. DEVIATION",$C$1=1),$A738,$A738+1),COLUMN('1-DATA'!AM736)),IF($B738="STD. DEVIATION",2,$F$1))))</f>
        <v/>
      </c>
      <c r="AO738" s="1" t="str">
        <f>IF(OR($B738="",AO$7=""),"",IF($B738="MEANS",INDEX('1-DATA'!$1:$1048576,$A737-1,COLUMN('1-DATA'!AN736)),ROUND(INDEX('1-DATA'!$1:$1048576,IF(OR($B738="STD. DEVIATION",$C$1=1),$A738,$A738+1),COLUMN('1-DATA'!AN736)),IF($B738="STD. DEVIATION",2,$F$1))))</f>
        <v/>
      </c>
      <c r="AP738" s="1" t="str">
        <f>IF(OR($B738="",AP$7=""),"",IF($B738="MEANS",INDEX('1-DATA'!$1:$1048576,$A737-1,COLUMN('1-DATA'!AO736)),ROUND(INDEX('1-DATA'!$1:$1048576,IF(OR($B738="STD. DEVIATION",$C$1=1),$A738,$A738+1),COLUMN('1-DATA'!AO736)),IF($B738="STD. DEVIATION",2,$F$1))))</f>
        <v/>
      </c>
      <c r="AQ738" s="1" t="str">
        <f>IF(OR($B738="",AQ$7=""),"",IF($B738="MEANS",INDEX('1-DATA'!$1:$1048576,$A737-1,COLUMN('1-DATA'!AP736)),ROUND(INDEX('1-DATA'!$1:$1048576,IF(OR($B738="STD. DEVIATION",$C$1=1),$A738,$A738+1),COLUMN('1-DATA'!AP736)),IF($B738="STD. DEVIATION",2,$F$1))))</f>
        <v/>
      </c>
      <c r="AR738" s="1" t="str">
        <f>IF(OR($B738="",AR$7=""),"",IF($B738="MEANS",INDEX('1-DATA'!$1:$1048576,$A737-1,COLUMN('1-DATA'!AQ736)),ROUND(INDEX('1-DATA'!$1:$1048576,IF(OR($B738="STD. DEVIATION",$C$1=1),$A738,$A738+1),COLUMN('1-DATA'!AQ736)),IF($B738="STD. DEVIATION",2,$F$1))))</f>
        <v/>
      </c>
      <c r="AS738" s="1" t="str">
        <f>IF(OR($B738="",AS$7=""),"",IF($B738="MEANS",INDEX('1-DATA'!$1:$1048576,$A737-1,COLUMN('1-DATA'!AR736)),ROUND(INDEX('1-DATA'!$1:$1048576,IF(OR($B738="STD. DEVIATION",$C$1=1),$A738,$A738+1),COLUMN('1-DATA'!AR736)),IF($B738="STD. DEVIATION",2,$F$1))))</f>
        <v/>
      </c>
      <c r="AT738" s="1" t="str">
        <f>IF(OR($B738="",AT$7=""),"",IF($B738="MEANS",INDEX('1-DATA'!$1:$1048576,$A737-1,COLUMN('1-DATA'!AS736)),ROUND(INDEX('1-DATA'!$1:$1048576,IF(OR($B738="STD. DEVIATION",$C$1=1),$A738,$A738+1),COLUMN('1-DATA'!AS736)),IF($B738="STD. DEVIATION",2,$F$1))))</f>
        <v/>
      </c>
      <c r="AU738" s="1" t="str">
        <f>IF(OR($B738="",AU$7=""),"",IF($B738="MEANS",INDEX('1-DATA'!$1:$1048576,$A737-1,COLUMN('1-DATA'!AT736)),ROUND(INDEX('1-DATA'!$1:$1048576,IF(OR($B738="STD. DEVIATION",$C$1=1),$A738,$A738+1),COLUMN('1-DATA'!AT736)),IF($B738="STD. DEVIATION",2,$F$1))))</f>
        <v/>
      </c>
      <c r="AV738" s="1" t="str">
        <f>IF(OR($B738="",AV$7=""),"",IF($B738="MEANS",INDEX('1-DATA'!$1:$1048576,$A737-1,COLUMN('1-DATA'!AU736)),ROUND(INDEX('1-DATA'!$1:$1048576,IF(OR($B738="STD. DEVIATION",$C$1=1),$A738,$A738+1),COLUMN('1-DATA'!AU736)),IF($B738="STD. DEVIATION",2,$F$1))))</f>
        <v/>
      </c>
      <c r="AW738" s="1" t="str">
        <f>IF(OR($B738="",AW$7=""),"",IF($B738="MEANS",INDEX('1-DATA'!$1:$1048576,$A737-1,COLUMN('1-DATA'!AV736)),ROUND(INDEX('1-DATA'!$1:$1048576,IF(OR($B738="STD. DEVIATION",$C$1=1),$A738,$A738+1),COLUMN('1-DATA'!AV736)),IF($B738="STD. DEVIATION",2,$F$1))))</f>
        <v/>
      </c>
      <c r="AX738" s="1" t="str">
        <f>IF(OR($B738="",AX$7=""),"",IF($B738="MEANS",INDEX('1-DATA'!$1:$1048576,$A737-1,COLUMN('1-DATA'!AW736)),ROUND(INDEX('1-DATA'!$1:$1048576,IF(OR($B738="STD. DEVIATION",$C$1=1),$A738,$A738+1),COLUMN('1-DATA'!AW736)),IF($B738="STD. DEVIATION",2,$F$1))))</f>
        <v/>
      </c>
      <c r="AY738" s="1" t="str">
        <f>IF(OR($B738="",AY$7=""),"",IF($B738="MEANS",INDEX('1-DATA'!$1:$1048576,$A737-1,COLUMN('1-DATA'!AX736)),ROUND(INDEX('1-DATA'!$1:$1048576,IF(OR($B738="STD. DEVIATION",$C$1=1),$A738,$A738+1),COLUMN('1-DATA'!AX736)),IF($B738="STD. DEVIATION",2,$F$1))))</f>
        <v/>
      </c>
      <c r="AZ738" s="1" t="str">
        <f>IF(OR($B738="",AZ$7=""),"",IF($B738="MEANS",INDEX('1-DATA'!$1:$1048576,$A737-1,COLUMN('1-DATA'!AY736)),ROUND(INDEX('1-DATA'!$1:$1048576,IF(OR($B738="STD. DEVIATION",$C$1=1),$A738,$A738+1),COLUMN('1-DATA'!AY736)),IF($B738="STD. DEVIATION",2,$F$1))))</f>
        <v/>
      </c>
    </row>
    <row r="739" spans="1:52" x14ac:dyDescent="0.25">
      <c r="A739" s="11">
        <f t="shared" si="12"/>
        <v>2203</v>
      </c>
      <c r="B739" s="1" t="str">
        <f>IF(B738="STD. DEVIATION",INDEX('1-DATA'!$1:$1048576,$A738-1,1),IF(INDEX('1-DATA'!$1:$1048576,$A739,1)&lt;&gt;"",INDEX('1-DATA'!$1:$1048576,$A739,1),""))</f>
        <v/>
      </c>
      <c r="C739" s="1" t="str">
        <f>IF(OR($B739="",C$7=""),"",IF($B739="MEANS",INDEX('1-DATA'!$1:$1048576,$A738-1,COLUMN('1-DATA'!B737)),ROUND(INDEX('1-DATA'!$1:$1048576,IF(OR($B739="STD. DEVIATION",$C$1=1),$A739,$A739+1),COLUMN('1-DATA'!B737)),IF($B739="STD. DEVIATION",2,$F$1))))</f>
        <v/>
      </c>
      <c r="D739" s="1" t="str">
        <f>IF(OR($B739="",D$7=""),"",IF($B739="MEANS",INDEX('1-DATA'!$1:$1048576,$A738-1,COLUMN('1-DATA'!C737)),ROUND(INDEX('1-DATA'!$1:$1048576,IF(OR($B739="STD. DEVIATION",$C$1=1),$A739,$A739+1),COLUMN('1-DATA'!C737)),IF($B739="STD. DEVIATION",2,$F$1))))</f>
        <v/>
      </c>
      <c r="E739" s="1" t="str">
        <f>IF(OR($B739="",E$7=""),"",IF($B739="MEANS",INDEX('1-DATA'!$1:$1048576,$A738-1,COLUMN('1-DATA'!D737)),ROUND(INDEX('1-DATA'!$1:$1048576,IF(OR($B739="STD. DEVIATION",$C$1=1),$A739,$A739+1),COLUMN('1-DATA'!D737)),IF($B739="STD. DEVIATION",2,$F$1))))</f>
        <v/>
      </c>
      <c r="F739" s="1" t="str">
        <f>IF(OR($B739="",F$7=""),"",IF($B739="MEANS",INDEX('1-DATA'!$1:$1048576,$A738-1,COLUMN('1-DATA'!E737)),ROUND(INDEX('1-DATA'!$1:$1048576,IF(OR($B739="STD. DEVIATION",$C$1=1),$A739,$A739+1),COLUMN('1-DATA'!E737)),IF($B739="STD. DEVIATION",2,$F$1))))</f>
        <v/>
      </c>
      <c r="G739" s="1" t="str">
        <f>IF(OR($B739="",G$7=""),"",IF($B739="MEANS",INDEX('1-DATA'!$1:$1048576,$A738-1,COLUMN('1-DATA'!F737)),ROUND(INDEX('1-DATA'!$1:$1048576,IF(OR($B739="STD. DEVIATION",$C$1=1),$A739,$A739+1),COLUMN('1-DATA'!F737)),IF($B739="STD. DEVIATION",2,$F$1))))</f>
        <v/>
      </c>
      <c r="H739" s="1" t="str">
        <f>IF(OR($B739="",H$7=""),"",IF($B739="MEANS",INDEX('1-DATA'!$1:$1048576,$A738-1,COLUMN('1-DATA'!G737)),ROUND(INDEX('1-DATA'!$1:$1048576,IF(OR($B739="STD. DEVIATION",$C$1=1),$A739,$A739+1),COLUMN('1-DATA'!G737)),IF($B739="STD. DEVIATION",2,$F$1))))</f>
        <v/>
      </c>
      <c r="I739" s="1" t="str">
        <f>IF(OR($B739="",I$7=""),"",IF($B739="MEANS",INDEX('1-DATA'!$1:$1048576,$A738-1,COLUMN('1-DATA'!H737)),ROUND(INDEX('1-DATA'!$1:$1048576,IF(OR($B739="STD. DEVIATION",$C$1=1),$A739,$A739+1),COLUMN('1-DATA'!H737)),IF($B739="STD. DEVIATION",2,$F$1))))</f>
        <v/>
      </c>
      <c r="J739" s="1" t="str">
        <f>IF(OR($B739="",J$7=""),"",IF($B739="MEANS",INDEX('1-DATA'!$1:$1048576,$A738-1,COLUMN('1-DATA'!I737)),ROUND(INDEX('1-DATA'!$1:$1048576,IF(OR($B739="STD. DEVIATION",$C$1=1),$A739,$A739+1),COLUMN('1-DATA'!I737)),IF($B739="STD. DEVIATION",2,$F$1))))</f>
        <v/>
      </c>
      <c r="K739" s="1" t="str">
        <f>IF(OR($B739="",K$7=""),"",IF($B739="MEANS",INDEX('1-DATA'!$1:$1048576,$A738-1,COLUMN('1-DATA'!J737)),ROUND(INDEX('1-DATA'!$1:$1048576,IF(OR($B739="STD. DEVIATION",$C$1=1),$A739,$A739+1),COLUMN('1-DATA'!J737)),IF($B739="STD. DEVIATION",2,$F$1))))</f>
        <v/>
      </c>
      <c r="L739" s="1" t="str">
        <f>IF(OR($B739="",L$7=""),"",IF($B739="MEANS",INDEX('1-DATA'!$1:$1048576,$A738-1,COLUMN('1-DATA'!K737)),ROUND(INDEX('1-DATA'!$1:$1048576,IF(OR($B739="STD. DEVIATION",$C$1=1),$A739,$A739+1),COLUMN('1-DATA'!K737)),IF($B739="STD. DEVIATION",2,$F$1))))</f>
        <v/>
      </c>
      <c r="M739" s="1" t="str">
        <f>IF(OR($B739="",M$7=""),"",IF($B739="MEANS",INDEX('1-DATA'!$1:$1048576,$A738-1,COLUMN('1-DATA'!L737)),ROUND(INDEX('1-DATA'!$1:$1048576,IF(OR($B739="STD. DEVIATION",$C$1=1),$A739,$A739+1),COLUMN('1-DATA'!L737)),IF($B739="STD. DEVIATION",2,$F$1))))</f>
        <v/>
      </c>
      <c r="N739" s="1" t="str">
        <f>IF(OR($B739="",N$7=""),"",IF($B739="MEANS",INDEX('1-DATA'!$1:$1048576,$A738-1,COLUMN('1-DATA'!M737)),ROUND(INDEX('1-DATA'!$1:$1048576,IF(OR($B739="STD. DEVIATION",$C$1=1),$A739,$A739+1),COLUMN('1-DATA'!M737)),IF($B739="STD. DEVIATION",2,$F$1))))</f>
        <v/>
      </c>
      <c r="O739" s="1" t="str">
        <f>IF(OR($B739="",O$7=""),"",IF($B739="MEANS",INDEX('1-DATA'!$1:$1048576,$A738-1,COLUMN('1-DATA'!N737)),ROUND(INDEX('1-DATA'!$1:$1048576,IF(OR($B739="STD. DEVIATION",$C$1=1),$A739,$A739+1),COLUMN('1-DATA'!N737)),IF($B739="STD. DEVIATION",2,$F$1))))</f>
        <v/>
      </c>
      <c r="P739" s="1" t="str">
        <f>IF(OR($B739="",P$7=""),"",IF($B739="MEANS",INDEX('1-DATA'!$1:$1048576,$A738-1,COLUMN('1-DATA'!O737)),ROUND(INDEX('1-DATA'!$1:$1048576,IF(OR($B739="STD. DEVIATION",$C$1=1),$A739,$A739+1),COLUMN('1-DATA'!O737)),IF($B739="STD. DEVIATION",2,$F$1))))</f>
        <v/>
      </c>
      <c r="Q739" s="1" t="str">
        <f>IF(OR($B739="",Q$7=""),"",IF($B739="MEANS",INDEX('1-DATA'!$1:$1048576,$A738-1,COLUMN('1-DATA'!P737)),ROUND(INDEX('1-DATA'!$1:$1048576,IF(OR($B739="STD. DEVIATION",$C$1=1),$A739,$A739+1),COLUMN('1-DATA'!P737)),IF($B739="STD. DEVIATION",2,$F$1))))</f>
        <v/>
      </c>
      <c r="R739" s="1" t="str">
        <f>IF(OR($B739="",R$7=""),"",IF($B739="MEANS",INDEX('1-DATA'!$1:$1048576,$A738-1,COLUMN('1-DATA'!Q737)),ROUND(INDEX('1-DATA'!$1:$1048576,IF(OR($B739="STD. DEVIATION",$C$1=1),$A739,$A739+1),COLUMN('1-DATA'!Q737)),IF($B739="STD. DEVIATION",2,$F$1))))</f>
        <v/>
      </c>
      <c r="S739" s="1" t="str">
        <f>IF(OR($B739="",S$7=""),"",IF($B739="MEANS",INDEX('1-DATA'!$1:$1048576,$A738-1,COLUMN('1-DATA'!R737)),ROUND(INDEX('1-DATA'!$1:$1048576,IF(OR($B739="STD. DEVIATION",$C$1=1),$A739,$A739+1),COLUMN('1-DATA'!R737)),IF($B739="STD. DEVIATION",2,$F$1))))</f>
        <v/>
      </c>
      <c r="T739" s="1" t="str">
        <f>IF(OR($B739="",T$7=""),"",IF($B739="MEANS",INDEX('1-DATA'!$1:$1048576,$A738-1,COLUMN('1-DATA'!S737)),ROUND(INDEX('1-DATA'!$1:$1048576,IF(OR($B739="STD. DEVIATION",$C$1=1),$A739,$A739+1),COLUMN('1-DATA'!S737)),IF($B739="STD. DEVIATION",2,$F$1))))</f>
        <v/>
      </c>
      <c r="U739" s="1" t="str">
        <f>IF(OR($B739="",U$7=""),"",IF($B739="MEANS",INDEX('1-DATA'!$1:$1048576,$A738-1,COLUMN('1-DATA'!T737)),ROUND(INDEX('1-DATA'!$1:$1048576,IF(OR($B739="STD. DEVIATION",$C$1=1),$A739,$A739+1),COLUMN('1-DATA'!T737)),IF($B739="STD. DEVIATION",2,$F$1))))</f>
        <v/>
      </c>
      <c r="V739" s="1" t="str">
        <f>IF(OR($B739="",V$7=""),"",IF($B739="MEANS",INDEX('1-DATA'!$1:$1048576,$A738-1,COLUMN('1-DATA'!U737)),ROUND(INDEX('1-DATA'!$1:$1048576,IF(OR($B739="STD. DEVIATION",$C$1=1),$A739,$A739+1),COLUMN('1-DATA'!U737)),IF($B739="STD. DEVIATION",2,$F$1))))</f>
        <v/>
      </c>
      <c r="W739" s="1" t="str">
        <f>IF(OR($B739="",W$7=""),"",IF($B739="MEANS",INDEX('1-DATA'!$1:$1048576,$A738-1,COLUMN('1-DATA'!V737)),ROUND(INDEX('1-DATA'!$1:$1048576,IF(OR($B739="STD. DEVIATION",$C$1=1),$A739,$A739+1),COLUMN('1-DATA'!V737)),IF($B739="STD. DEVIATION",2,$F$1))))</f>
        <v/>
      </c>
      <c r="X739" s="1" t="str">
        <f>IF(OR($B739="",X$7=""),"",IF($B739="MEANS",INDEX('1-DATA'!$1:$1048576,$A738-1,COLUMN('1-DATA'!W737)),ROUND(INDEX('1-DATA'!$1:$1048576,IF(OR($B739="STD. DEVIATION",$C$1=1),$A739,$A739+1),COLUMN('1-DATA'!W737)),IF($B739="STD. DEVIATION",2,$F$1))))</f>
        <v/>
      </c>
      <c r="Y739" s="1" t="str">
        <f>IF(OR($B739="",Y$7=""),"",IF($B739="MEANS",INDEX('1-DATA'!$1:$1048576,$A738-1,COLUMN('1-DATA'!X737)),ROUND(INDEX('1-DATA'!$1:$1048576,IF(OR($B739="STD. DEVIATION",$C$1=1),$A739,$A739+1),COLUMN('1-DATA'!X737)),IF($B739="STD. DEVIATION",2,$F$1))))</f>
        <v/>
      </c>
      <c r="Z739" s="1" t="str">
        <f>IF(OR($B739="",Z$7=""),"",IF($B739="MEANS",INDEX('1-DATA'!$1:$1048576,$A738-1,COLUMN('1-DATA'!Y737)),ROUND(INDEX('1-DATA'!$1:$1048576,IF(OR($B739="STD. DEVIATION",$C$1=1),$A739,$A739+1),COLUMN('1-DATA'!Y737)),IF($B739="STD. DEVIATION",2,$F$1))))</f>
        <v/>
      </c>
      <c r="AA739" s="1" t="str">
        <f>IF(OR($B739="",AA$7=""),"",IF($B739="MEANS",INDEX('1-DATA'!$1:$1048576,$A738-1,COLUMN('1-DATA'!Z737)),ROUND(INDEX('1-DATA'!$1:$1048576,IF(OR($B739="STD. DEVIATION",$C$1=1),$A739,$A739+1),COLUMN('1-DATA'!Z737)),IF($B739="STD. DEVIATION",2,$F$1))))</f>
        <v/>
      </c>
      <c r="AB739" s="1" t="str">
        <f>IF(OR($B739="",AB$7=""),"",IF($B739="MEANS",INDEX('1-DATA'!$1:$1048576,$A738-1,COLUMN('1-DATA'!AA737)),ROUND(INDEX('1-DATA'!$1:$1048576,IF(OR($B739="STD. DEVIATION",$C$1=1),$A739,$A739+1),COLUMN('1-DATA'!AA737)),IF($B739="STD. DEVIATION",2,$F$1))))</f>
        <v/>
      </c>
      <c r="AC739" s="1" t="str">
        <f>IF(OR($B739="",AC$7=""),"",IF($B739="MEANS",INDEX('1-DATA'!$1:$1048576,$A738-1,COLUMN('1-DATA'!AB737)),ROUND(INDEX('1-DATA'!$1:$1048576,IF(OR($B739="STD. DEVIATION",$C$1=1),$A739,$A739+1),COLUMN('1-DATA'!AB737)),IF($B739="STD. DEVIATION",2,$F$1))))</f>
        <v/>
      </c>
      <c r="AD739" s="1" t="str">
        <f>IF(OR($B739="",AD$7=""),"",IF($B739="MEANS",INDEX('1-DATA'!$1:$1048576,$A738-1,COLUMN('1-DATA'!AC737)),ROUND(INDEX('1-DATA'!$1:$1048576,IF(OR($B739="STD. DEVIATION",$C$1=1),$A739,$A739+1),COLUMN('1-DATA'!AC737)),IF($B739="STD. DEVIATION",2,$F$1))))</f>
        <v/>
      </c>
      <c r="AE739" s="1" t="str">
        <f>IF(OR($B739="",AE$7=""),"",IF($B739="MEANS",INDEX('1-DATA'!$1:$1048576,$A738-1,COLUMN('1-DATA'!AD737)),ROUND(INDEX('1-DATA'!$1:$1048576,IF(OR($B739="STD. DEVIATION",$C$1=1),$A739,$A739+1),COLUMN('1-DATA'!AD737)),IF($B739="STD. DEVIATION",2,$F$1))))</f>
        <v/>
      </c>
      <c r="AF739" s="1" t="str">
        <f>IF(OR($B739="",AF$7=""),"",IF($B739="MEANS",INDEX('1-DATA'!$1:$1048576,$A738-1,COLUMN('1-DATA'!AE737)),ROUND(INDEX('1-DATA'!$1:$1048576,IF(OR($B739="STD. DEVIATION",$C$1=1),$A739,$A739+1),COLUMN('1-DATA'!AE737)),IF($B739="STD. DEVIATION",2,$F$1))))</f>
        <v/>
      </c>
      <c r="AG739" s="1" t="str">
        <f>IF(OR($B739="",AG$7=""),"",IF($B739="MEANS",INDEX('1-DATA'!$1:$1048576,$A738-1,COLUMN('1-DATA'!AF737)),ROUND(INDEX('1-DATA'!$1:$1048576,IF(OR($B739="STD. DEVIATION",$C$1=1),$A739,$A739+1),COLUMN('1-DATA'!AF737)),IF($B739="STD. DEVIATION",2,$F$1))))</f>
        <v/>
      </c>
      <c r="AH739" s="1" t="str">
        <f>IF(OR($B739="",AH$7=""),"",IF($B739="MEANS",INDEX('1-DATA'!$1:$1048576,$A738-1,COLUMN('1-DATA'!AG737)),ROUND(INDEX('1-DATA'!$1:$1048576,IF(OR($B739="STD. DEVIATION",$C$1=1),$A739,$A739+1),COLUMN('1-DATA'!AG737)),IF($B739="STD. DEVIATION",2,$F$1))))</f>
        <v/>
      </c>
      <c r="AI739" s="1" t="str">
        <f>IF(OR($B739="",AI$7=""),"",IF($B739="MEANS",INDEX('1-DATA'!$1:$1048576,$A738-1,COLUMN('1-DATA'!AH737)),ROUND(INDEX('1-DATA'!$1:$1048576,IF(OR($B739="STD. DEVIATION",$C$1=1),$A739,$A739+1),COLUMN('1-DATA'!AH737)),IF($B739="STD. DEVIATION",2,$F$1))))</f>
        <v/>
      </c>
      <c r="AJ739" s="1" t="str">
        <f>IF(OR($B739="",AJ$7=""),"",IF($B739="MEANS",INDEX('1-DATA'!$1:$1048576,$A738-1,COLUMN('1-DATA'!AI737)),ROUND(INDEX('1-DATA'!$1:$1048576,IF(OR($B739="STD. DEVIATION",$C$1=1),$A739,$A739+1),COLUMN('1-DATA'!AI737)),IF($B739="STD. DEVIATION",2,$F$1))))</f>
        <v/>
      </c>
      <c r="AK739" s="1" t="str">
        <f>IF(OR($B739="",AK$7=""),"",IF($B739="MEANS",INDEX('1-DATA'!$1:$1048576,$A738-1,COLUMN('1-DATA'!AJ737)),ROUND(INDEX('1-DATA'!$1:$1048576,IF(OR($B739="STD. DEVIATION",$C$1=1),$A739,$A739+1),COLUMN('1-DATA'!AJ737)),IF($B739="STD. DEVIATION",2,$F$1))))</f>
        <v/>
      </c>
      <c r="AL739" s="1" t="str">
        <f>IF(OR($B739="",AL$7=""),"",IF($B739="MEANS",INDEX('1-DATA'!$1:$1048576,$A738-1,COLUMN('1-DATA'!AK737)),ROUND(INDEX('1-DATA'!$1:$1048576,IF(OR($B739="STD. DEVIATION",$C$1=1),$A739,$A739+1),COLUMN('1-DATA'!AK737)),IF($B739="STD. DEVIATION",2,$F$1))))</f>
        <v/>
      </c>
      <c r="AM739" s="1" t="str">
        <f>IF(OR($B739="",AM$7=""),"",IF($B739="MEANS",INDEX('1-DATA'!$1:$1048576,$A738-1,COLUMN('1-DATA'!AL737)),ROUND(INDEX('1-DATA'!$1:$1048576,IF(OR($B739="STD. DEVIATION",$C$1=1),$A739,$A739+1),COLUMN('1-DATA'!AL737)),IF($B739="STD. DEVIATION",2,$F$1))))</f>
        <v/>
      </c>
      <c r="AN739" s="1" t="str">
        <f>IF(OR($B739="",AN$7=""),"",IF($B739="MEANS",INDEX('1-DATA'!$1:$1048576,$A738-1,COLUMN('1-DATA'!AM737)),ROUND(INDEX('1-DATA'!$1:$1048576,IF(OR($B739="STD. DEVIATION",$C$1=1),$A739,$A739+1),COLUMN('1-DATA'!AM737)),IF($B739="STD. DEVIATION",2,$F$1))))</f>
        <v/>
      </c>
      <c r="AO739" s="1" t="str">
        <f>IF(OR($B739="",AO$7=""),"",IF($B739="MEANS",INDEX('1-DATA'!$1:$1048576,$A738-1,COLUMN('1-DATA'!AN737)),ROUND(INDEX('1-DATA'!$1:$1048576,IF(OR($B739="STD. DEVIATION",$C$1=1),$A739,$A739+1),COLUMN('1-DATA'!AN737)),IF($B739="STD. DEVIATION",2,$F$1))))</f>
        <v/>
      </c>
      <c r="AP739" s="1" t="str">
        <f>IF(OR($B739="",AP$7=""),"",IF($B739="MEANS",INDEX('1-DATA'!$1:$1048576,$A738-1,COLUMN('1-DATA'!AO737)),ROUND(INDEX('1-DATA'!$1:$1048576,IF(OR($B739="STD. DEVIATION",$C$1=1),$A739,$A739+1),COLUMN('1-DATA'!AO737)),IF($B739="STD. DEVIATION",2,$F$1))))</f>
        <v/>
      </c>
      <c r="AQ739" s="1" t="str">
        <f>IF(OR($B739="",AQ$7=""),"",IF($B739="MEANS",INDEX('1-DATA'!$1:$1048576,$A738-1,COLUMN('1-DATA'!AP737)),ROUND(INDEX('1-DATA'!$1:$1048576,IF(OR($B739="STD. DEVIATION",$C$1=1),$A739,$A739+1),COLUMN('1-DATA'!AP737)),IF($B739="STD. DEVIATION",2,$F$1))))</f>
        <v/>
      </c>
      <c r="AR739" s="1" t="str">
        <f>IF(OR($B739="",AR$7=""),"",IF($B739="MEANS",INDEX('1-DATA'!$1:$1048576,$A738-1,COLUMN('1-DATA'!AQ737)),ROUND(INDEX('1-DATA'!$1:$1048576,IF(OR($B739="STD. DEVIATION",$C$1=1),$A739,$A739+1),COLUMN('1-DATA'!AQ737)),IF($B739="STD. DEVIATION",2,$F$1))))</f>
        <v/>
      </c>
      <c r="AS739" s="1" t="str">
        <f>IF(OR($B739="",AS$7=""),"",IF($B739="MEANS",INDEX('1-DATA'!$1:$1048576,$A738-1,COLUMN('1-DATA'!AR737)),ROUND(INDEX('1-DATA'!$1:$1048576,IF(OR($B739="STD. DEVIATION",$C$1=1),$A739,$A739+1),COLUMN('1-DATA'!AR737)),IF($B739="STD. DEVIATION",2,$F$1))))</f>
        <v/>
      </c>
      <c r="AT739" s="1" t="str">
        <f>IF(OR($B739="",AT$7=""),"",IF($B739="MEANS",INDEX('1-DATA'!$1:$1048576,$A738-1,COLUMN('1-DATA'!AS737)),ROUND(INDEX('1-DATA'!$1:$1048576,IF(OR($B739="STD. DEVIATION",$C$1=1),$A739,$A739+1),COLUMN('1-DATA'!AS737)),IF($B739="STD. DEVIATION",2,$F$1))))</f>
        <v/>
      </c>
      <c r="AU739" s="1" t="str">
        <f>IF(OR($B739="",AU$7=""),"",IF($B739="MEANS",INDEX('1-DATA'!$1:$1048576,$A738-1,COLUMN('1-DATA'!AT737)),ROUND(INDEX('1-DATA'!$1:$1048576,IF(OR($B739="STD. DEVIATION",$C$1=1),$A739,$A739+1),COLUMN('1-DATA'!AT737)),IF($B739="STD. DEVIATION",2,$F$1))))</f>
        <v/>
      </c>
      <c r="AV739" s="1" t="str">
        <f>IF(OR($B739="",AV$7=""),"",IF($B739="MEANS",INDEX('1-DATA'!$1:$1048576,$A738-1,COLUMN('1-DATA'!AU737)),ROUND(INDEX('1-DATA'!$1:$1048576,IF(OR($B739="STD. DEVIATION",$C$1=1),$A739,$A739+1),COLUMN('1-DATA'!AU737)),IF($B739="STD. DEVIATION",2,$F$1))))</f>
        <v/>
      </c>
      <c r="AW739" s="1" t="str">
        <f>IF(OR($B739="",AW$7=""),"",IF($B739="MEANS",INDEX('1-DATA'!$1:$1048576,$A738-1,COLUMN('1-DATA'!AV737)),ROUND(INDEX('1-DATA'!$1:$1048576,IF(OR($B739="STD. DEVIATION",$C$1=1),$A739,$A739+1),COLUMN('1-DATA'!AV737)),IF($B739="STD. DEVIATION",2,$F$1))))</f>
        <v/>
      </c>
      <c r="AX739" s="1" t="str">
        <f>IF(OR($B739="",AX$7=""),"",IF($B739="MEANS",INDEX('1-DATA'!$1:$1048576,$A738-1,COLUMN('1-DATA'!AW737)),ROUND(INDEX('1-DATA'!$1:$1048576,IF(OR($B739="STD. DEVIATION",$C$1=1),$A739,$A739+1),COLUMN('1-DATA'!AW737)),IF($B739="STD. DEVIATION",2,$F$1))))</f>
        <v/>
      </c>
      <c r="AY739" s="1" t="str">
        <f>IF(OR($B739="",AY$7=""),"",IF($B739="MEANS",INDEX('1-DATA'!$1:$1048576,$A738-1,COLUMN('1-DATA'!AX737)),ROUND(INDEX('1-DATA'!$1:$1048576,IF(OR($B739="STD. DEVIATION",$C$1=1),$A739,$A739+1),COLUMN('1-DATA'!AX737)),IF($B739="STD. DEVIATION",2,$F$1))))</f>
        <v/>
      </c>
      <c r="AZ739" s="1" t="str">
        <f>IF(OR($B739="",AZ$7=""),"",IF($B739="MEANS",INDEX('1-DATA'!$1:$1048576,$A738-1,COLUMN('1-DATA'!AY737)),ROUND(INDEX('1-DATA'!$1:$1048576,IF(OR($B739="STD. DEVIATION",$C$1=1),$A739,$A739+1),COLUMN('1-DATA'!AY737)),IF($B739="STD. DEVIATION",2,$F$1))))</f>
        <v/>
      </c>
    </row>
    <row r="740" spans="1:52" x14ac:dyDescent="0.25">
      <c r="A740" s="11">
        <f t="shared" si="12"/>
        <v>2206</v>
      </c>
      <c r="B740" s="1" t="str">
        <f>IF(B739="STD. DEVIATION",INDEX('1-DATA'!$1:$1048576,$A739-1,1),IF(INDEX('1-DATA'!$1:$1048576,$A740,1)&lt;&gt;"",INDEX('1-DATA'!$1:$1048576,$A740,1),""))</f>
        <v/>
      </c>
      <c r="C740" s="1" t="str">
        <f>IF(OR($B740="",C$7=""),"",IF($B740="MEANS",INDEX('1-DATA'!$1:$1048576,$A739-1,COLUMN('1-DATA'!B738)),ROUND(INDEX('1-DATA'!$1:$1048576,IF(OR($B740="STD. DEVIATION",$C$1=1),$A740,$A740+1),COLUMN('1-DATA'!B738)),IF($B740="STD. DEVIATION",2,$F$1))))</f>
        <v/>
      </c>
      <c r="D740" s="1" t="str">
        <f>IF(OR($B740="",D$7=""),"",IF($B740="MEANS",INDEX('1-DATA'!$1:$1048576,$A739-1,COLUMN('1-DATA'!C738)),ROUND(INDEX('1-DATA'!$1:$1048576,IF(OR($B740="STD. DEVIATION",$C$1=1),$A740,$A740+1),COLUMN('1-DATA'!C738)),IF($B740="STD. DEVIATION",2,$F$1))))</f>
        <v/>
      </c>
      <c r="E740" s="1" t="str">
        <f>IF(OR($B740="",E$7=""),"",IF($B740="MEANS",INDEX('1-DATA'!$1:$1048576,$A739-1,COLUMN('1-DATA'!D738)),ROUND(INDEX('1-DATA'!$1:$1048576,IF(OR($B740="STD. DEVIATION",$C$1=1),$A740,$A740+1),COLUMN('1-DATA'!D738)),IF($B740="STD. DEVIATION",2,$F$1))))</f>
        <v/>
      </c>
      <c r="F740" s="1" t="str">
        <f>IF(OR($B740="",F$7=""),"",IF($B740="MEANS",INDEX('1-DATA'!$1:$1048576,$A739-1,COLUMN('1-DATA'!E738)),ROUND(INDEX('1-DATA'!$1:$1048576,IF(OR($B740="STD. DEVIATION",$C$1=1),$A740,$A740+1),COLUMN('1-DATA'!E738)),IF($B740="STD. DEVIATION",2,$F$1))))</f>
        <v/>
      </c>
      <c r="G740" s="1" t="str">
        <f>IF(OR($B740="",G$7=""),"",IF($B740="MEANS",INDEX('1-DATA'!$1:$1048576,$A739-1,COLUMN('1-DATA'!F738)),ROUND(INDEX('1-DATA'!$1:$1048576,IF(OR($B740="STD. DEVIATION",$C$1=1),$A740,$A740+1),COLUMN('1-DATA'!F738)),IF($B740="STD. DEVIATION",2,$F$1))))</f>
        <v/>
      </c>
      <c r="H740" s="1" t="str">
        <f>IF(OR($B740="",H$7=""),"",IF($B740="MEANS",INDEX('1-DATA'!$1:$1048576,$A739-1,COLUMN('1-DATA'!G738)),ROUND(INDEX('1-DATA'!$1:$1048576,IF(OR($B740="STD. DEVIATION",$C$1=1),$A740,$A740+1),COLUMN('1-DATA'!G738)),IF($B740="STD. DEVIATION",2,$F$1))))</f>
        <v/>
      </c>
      <c r="I740" s="1" t="str">
        <f>IF(OR($B740="",I$7=""),"",IF($B740="MEANS",INDEX('1-DATA'!$1:$1048576,$A739-1,COLUMN('1-DATA'!H738)),ROUND(INDEX('1-DATA'!$1:$1048576,IF(OR($B740="STD. DEVIATION",$C$1=1),$A740,$A740+1),COLUMN('1-DATA'!H738)),IF($B740="STD. DEVIATION",2,$F$1))))</f>
        <v/>
      </c>
      <c r="J740" s="1" t="str">
        <f>IF(OR($B740="",J$7=""),"",IF($B740="MEANS",INDEX('1-DATA'!$1:$1048576,$A739-1,COLUMN('1-DATA'!I738)),ROUND(INDEX('1-DATA'!$1:$1048576,IF(OR($B740="STD. DEVIATION",$C$1=1),$A740,$A740+1),COLUMN('1-DATA'!I738)),IF($B740="STD. DEVIATION",2,$F$1))))</f>
        <v/>
      </c>
      <c r="K740" s="1" t="str">
        <f>IF(OR($B740="",K$7=""),"",IF($B740="MEANS",INDEX('1-DATA'!$1:$1048576,$A739-1,COLUMN('1-DATA'!J738)),ROUND(INDEX('1-DATA'!$1:$1048576,IF(OR($B740="STD. DEVIATION",$C$1=1),$A740,$A740+1),COLUMN('1-DATA'!J738)),IF($B740="STD. DEVIATION",2,$F$1))))</f>
        <v/>
      </c>
      <c r="L740" s="1" t="str">
        <f>IF(OR($B740="",L$7=""),"",IF($B740="MEANS",INDEX('1-DATA'!$1:$1048576,$A739-1,COLUMN('1-DATA'!K738)),ROUND(INDEX('1-DATA'!$1:$1048576,IF(OR($B740="STD. DEVIATION",$C$1=1),$A740,$A740+1),COLUMN('1-DATA'!K738)),IF($B740="STD. DEVIATION",2,$F$1))))</f>
        <v/>
      </c>
      <c r="M740" s="1" t="str">
        <f>IF(OR($B740="",M$7=""),"",IF($B740="MEANS",INDEX('1-DATA'!$1:$1048576,$A739-1,COLUMN('1-DATA'!L738)),ROUND(INDEX('1-DATA'!$1:$1048576,IF(OR($B740="STD. DEVIATION",$C$1=1),$A740,$A740+1),COLUMN('1-DATA'!L738)),IF($B740="STD. DEVIATION",2,$F$1))))</f>
        <v/>
      </c>
      <c r="N740" s="1" t="str">
        <f>IF(OR($B740="",N$7=""),"",IF($B740="MEANS",INDEX('1-DATA'!$1:$1048576,$A739-1,COLUMN('1-DATA'!M738)),ROUND(INDEX('1-DATA'!$1:$1048576,IF(OR($B740="STD. DEVIATION",$C$1=1),$A740,$A740+1),COLUMN('1-DATA'!M738)),IF($B740="STD. DEVIATION",2,$F$1))))</f>
        <v/>
      </c>
      <c r="O740" s="1" t="str">
        <f>IF(OR($B740="",O$7=""),"",IF($B740="MEANS",INDEX('1-DATA'!$1:$1048576,$A739-1,COLUMN('1-DATA'!N738)),ROUND(INDEX('1-DATA'!$1:$1048576,IF(OR($B740="STD. DEVIATION",$C$1=1),$A740,$A740+1),COLUMN('1-DATA'!N738)),IF($B740="STD. DEVIATION",2,$F$1))))</f>
        <v/>
      </c>
      <c r="P740" s="1" t="str">
        <f>IF(OR($B740="",P$7=""),"",IF($B740="MEANS",INDEX('1-DATA'!$1:$1048576,$A739-1,COLUMN('1-DATA'!O738)),ROUND(INDEX('1-DATA'!$1:$1048576,IF(OR($B740="STD. DEVIATION",$C$1=1),$A740,$A740+1),COLUMN('1-DATA'!O738)),IF($B740="STD. DEVIATION",2,$F$1))))</f>
        <v/>
      </c>
      <c r="Q740" s="1" t="str">
        <f>IF(OR($B740="",Q$7=""),"",IF($B740="MEANS",INDEX('1-DATA'!$1:$1048576,$A739-1,COLUMN('1-DATA'!P738)),ROUND(INDEX('1-DATA'!$1:$1048576,IF(OR($B740="STD. DEVIATION",$C$1=1),$A740,$A740+1),COLUMN('1-DATA'!P738)),IF($B740="STD. DEVIATION",2,$F$1))))</f>
        <v/>
      </c>
      <c r="R740" s="1" t="str">
        <f>IF(OR($B740="",R$7=""),"",IF($B740="MEANS",INDEX('1-DATA'!$1:$1048576,$A739-1,COLUMN('1-DATA'!Q738)),ROUND(INDEX('1-DATA'!$1:$1048576,IF(OR($B740="STD. DEVIATION",$C$1=1),$A740,$A740+1),COLUMN('1-DATA'!Q738)),IF($B740="STD. DEVIATION",2,$F$1))))</f>
        <v/>
      </c>
      <c r="S740" s="1" t="str">
        <f>IF(OR($B740="",S$7=""),"",IF($B740="MEANS",INDEX('1-DATA'!$1:$1048576,$A739-1,COLUMN('1-DATA'!R738)),ROUND(INDEX('1-DATA'!$1:$1048576,IF(OR($B740="STD. DEVIATION",$C$1=1),$A740,$A740+1),COLUMN('1-DATA'!R738)),IF($B740="STD. DEVIATION",2,$F$1))))</f>
        <v/>
      </c>
      <c r="T740" s="1" t="str">
        <f>IF(OR($B740="",T$7=""),"",IF($B740="MEANS",INDEX('1-DATA'!$1:$1048576,$A739-1,COLUMN('1-DATA'!S738)),ROUND(INDEX('1-DATA'!$1:$1048576,IF(OR($B740="STD. DEVIATION",$C$1=1),$A740,$A740+1),COLUMN('1-DATA'!S738)),IF($B740="STD. DEVIATION",2,$F$1))))</f>
        <v/>
      </c>
      <c r="U740" s="1" t="str">
        <f>IF(OR($B740="",U$7=""),"",IF($B740="MEANS",INDEX('1-DATA'!$1:$1048576,$A739-1,COLUMN('1-DATA'!T738)),ROUND(INDEX('1-DATA'!$1:$1048576,IF(OR($B740="STD. DEVIATION",$C$1=1),$A740,$A740+1),COLUMN('1-DATA'!T738)),IF($B740="STD. DEVIATION",2,$F$1))))</f>
        <v/>
      </c>
      <c r="V740" s="1" t="str">
        <f>IF(OR($B740="",V$7=""),"",IF($B740="MEANS",INDEX('1-DATA'!$1:$1048576,$A739-1,COLUMN('1-DATA'!U738)),ROUND(INDEX('1-DATA'!$1:$1048576,IF(OR($B740="STD. DEVIATION",$C$1=1),$A740,$A740+1),COLUMN('1-DATA'!U738)),IF($B740="STD. DEVIATION",2,$F$1))))</f>
        <v/>
      </c>
      <c r="W740" s="1" t="str">
        <f>IF(OR($B740="",W$7=""),"",IF($B740="MEANS",INDEX('1-DATA'!$1:$1048576,$A739-1,COLUMN('1-DATA'!V738)),ROUND(INDEX('1-DATA'!$1:$1048576,IF(OR($B740="STD. DEVIATION",$C$1=1),$A740,$A740+1),COLUMN('1-DATA'!V738)),IF($B740="STD. DEVIATION",2,$F$1))))</f>
        <v/>
      </c>
      <c r="X740" s="1" t="str">
        <f>IF(OR($B740="",X$7=""),"",IF($B740="MEANS",INDEX('1-DATA'!$1:$1048576,$A739-1,COLUMN('1-DATA'!W738)),ROUND(INDEX('1-DATA'!$1:$1048576,IF(OR($B740="STD. DEVIATION",$C$1=1),$A740,$A740+1),COLUMN('1-DATA'!W738)),IF($B740="STD. DEVIATION",2,$F$1))))</f>
        <v/>
      </c>
      <c r="Y740" s="1" t="str">
        <f>IF(OR($B740="",Y$7=""),"",IF($B740="MEANS",INDEX('1-DATA'!$1:$1048576,$A739-1,COLUMN('1-DATA'!X738)),ROUND(INDEX('1-DATA'!$1:$1048576,IF(OR($B740="STD. DEVIATION",$C$1=1),$A740,$A740+1),COLUMN('1-DATA'!X738)),IF($B740="STD. DEVIATION",2,$F$1))))</f>
        <v/>
      </c>
      <c r="Z740" s="1" t="str">
        <f>IF(OR($B740="",Z$7=""),"",IF($B740="MEANS",INDEX('1-DATA'!$1:$1048576,$A739-1,COLUMN('1-DATA'!Y738)),ROUND(INDEX('1-DATA'!$1:$1048576,IF(OR($B740="STD. DEVIATION",$C$1=1),$A740,$A740+1),COLUMN('1-DATA'!Y738)),IF($B740="STD. DEVIATION",2,$F$1))))</f>
        <v/>
      </c>
      <c r="AA740" s="1" t="str">
        <f>IF(OR($B740="",AA$7=""),"",IF($B740="MEANS",INDEX('1-DATA'!$1:$1048576,$A739-1,COLUMN('1-DATA'!Z738)),ROUND(INDEX('1-DATA'!$1:$1048576,IF(OR($B740="STD. DEVIATION",$C$1=1),$A740,$A740+1),COLUMN('1-DATA'!Z738)),IF($B740="STD. DEVIATION",2,$F$1))))</f>
        <v/>
      </c>
      <c r="AB740" s="1" t="str">
        <f>IF(OR($B740="",AB$7=""),"",IF($B740="MEANS",INDEX('1-DATA'!$1:$1048576,$A739-1,COLUMN('1-DATA'!AA738)),ROUND(INDEX('1-DATA'!$1:$1048576,IF(OR($B740="STD. DEVIATION",$C$1=1),$A740,$A740+1),COLUMN('1-DATA'!AA738)),IF($B740="STD. DEVIATION",2,$F$1))))</f>
        <v/>
      </c>
      <c r="AC740" s="1" t="str">
        <f>IF(OR($B740="",AC$7=""),"",IF($B740="MEANS",INDEX('1-DATA'!$1:$1048576,$A739-1,COLUMN('1-DATA'!AB738)),ROUND(INDEX('1-DATA'!$1:$1048576,IF(OR($B740="STD. DEVIATION",$C$1=1),$A740,$A740+1),COLUMN('1-DATA'!AB738)),IF($B740="STD. DEVIATION",2,$F$1))))</f>
        <v/>
      </c>
      <c r="AD740" s="1" t="str">
        <f>IF(OR($B740="",AD$7=""),"",IF($B740="MEANS",INDEX('1-DATA'!$1:$1048576,$A739-1,COLUMN('1-DATA'!AC738)),ROUND(INDEX('1-DATA'!$1:$1048576,IF(OR($B740="STD. DEVIATION",$C$1=1),$A740,$A740+1),COLUMN('1-DATA'!AC738)),IF($B740="STD. DEVIATION",2,$F$1))))</f>
        <v/>
      </c>
      <c r="AE740" s="1" t="str">
        <f>IF(OR($B740="",AE$7=""),"",IF($B740="MEANS",INDEX('1-DATA'!$1:$1048576,$A739-1,COLUMN('1-DATA'!AD738)),ROUND(INDEX('1-DATA'!$1:$1048576,IF(OR($B740="STD. DEVIATION",$C$1=1),$A740,$A740+1),COLUMN('1-DATA'!AD738)),IF($B740="STD. DEVIATION",2,$F$1))))</f>
        <v/>
      </c>
      <c r="AF740" s="1" t="str">
        <f>IF(OR($B740="",AF$7=""),"",IF($B740="MEANS",INDEX('1-DATA'!$1:$1048576,$A739-1,COLUMN('1-DATA'!AE738)),ROUND(INDEX('1-DATA'!$1:$1048576,IF(OR($B740="STD. DEVIATION",$C$1=1),$A740,$A740+1),COLUMN('1-DATA'!AE738)),IF($B740="STD. DEVIATION",2,$F$1))))</f>
        <v/>
      </c>
      <c r="AG740" s="1" t="str">
        <f>IF(OR($B740="",AG$7=""),"",IF($B740="MEANS",INDEX('1-DATA'!$1:$1048576,$A739-1,COLUMN('1-DATA'!AF738)),ROUND(INDEX('1-DATA'!$1:$1048576,IF(OR($B740="STD. DEVIATION",$C$1=1),$A740,$A740+1),COLUMN('1-DATA'!AF738)),IF($B740="STD. DEVIATION",2,$F$1))))</f>
        <v/>
      </c>
      <c r="AH740" s="1" t="str">
        <f>IF(OR($B740="",AH$7=""),"",IF($B740="MEANS",INDEX('1-DATA'!$1:$1048576,$A739-1,COLUMN('1-DATA'!AG738)),ROUND(INDEX('1-DATA'!$1:$1048576,IF(OR($B740="STD. DEVIATION",$C$1=1),$A740,$A740+1),COLUMN('1-DATA'!AG738)),IF($B740="STD. DEVIATION",2,$F$1))))</f>
        <v/>
      </c>
      <c r="AI740" s="1" t="str">
        <f>IF(OR($B740="",AI$7=""),"",IF($B740="MEANS",INDEX('1-DATA'!$1:$1048576,$A739-1,COLUMN('1-DATA'!AH738)),ROUND(INDEX('1-DATA'!$1:$1048576,IF(OR($B740="STD. DEVIATION",$C$1=1),$A740,$A740+1),COLUMN('1-DATA'!AH738)),IF($B740="STD. DEVIATION",2,$F$1))))</f>
        <v/>
      </c>
      <c r="AJ740" s="1" t="str">
        <f>IF(OR($B740="",AJ$7=""),"",IF($B740="MEANS",INDEX('1-DATA'!$1:$1048576,$A739-1,COLUMN('1-DATA'!AI738)),ROUND(INDEX('1-DATA'!$1:$1048576,IF(OR($B740="STD. DEVIATION",$C$1=1),$A740,$A740+1),COLUMN('1-DATA'!AI738)),IF($B740="STD. DEVIATION",2,$F$1))))</f>
        <v/>
      </c>
      <c r="AK740" s="1" t="str">
        <f>IF(OR($B740="",AK$7=""),"",IF($B740="MEANS",INDEX('1-DATA'!$1:$1048576,$A739-1,COLUMN('1-DATA'!AJ738)),ROUND(INDEX('1-DATA'!$1:$1048576,IF(OR($B740="STD. DEVIATION",$C$1=1),$A740,$A740+1),COLUMN('1-DATA'!AJ738)),IF($B740="STD. DEVIATION",2,$F$1))))</f>
        <v/>
      </c>
      <c r="AL740" s="1" t="str">
        <f>IF(OR($B740="",AL$7=""),"",IF($B740="MEANS",INDEX('1-DATA'!$1:$1048576,$A739-1,COLUMN('1-DATA'!AK738)),ROUND(INDEX('1-DATA'!$1:$1048576,IF(OR($B740="STD. DEVIATION",$C$1=1),$A740,$A740+1),COLUMN('1-DATA'!AK738)),IF($B740="STD. DEVIATION",2,$F$1))))</f>
        <v/>
      </c>
      <c r="AM740" s="1" t="str">
        <f>IF(OR($B740="",AM$7=""),"",IF($B740="MEANS",INDEX('1-DATA'!$1:$1048576,$A739-1,COLUMN('1-DATA'!AL738)),ROUND(INDEX('1-DATA'!$1:$1048576,IF(OR($B740="STD. DEVIATION",$C$1=1),$A740,$A740+1),COLUMN('1-DATA'!AL738)),IF($B740="STD. DEVIATION",2,$F$1))))</f>
        <v/>
      </c>
      <c r="AN740" s="1" t="str">
        <f>IF(OR($B740="",AN$7=""),"",IF($B740="MEANS",INDEX('1-DATA'!$1:$1048576,$A739-1,COLUMN('1-DATA'!AM738)),ROUND(INDEX('1-DATA'!$1:$1048576,IF(OR($B740="STD. DEVIATION",$C$1=1),$A740,$A740+1),COLUMN('1-DATA'!AM738)),IF($B740="STD. DEVIATION",2,$F$1))))</f>
        <v/>
      </c>
      <c r="AO740" s="1" t="str">
        <f>IF(OR($B740="",AO$7=""),"",IF($B740="MEANS",INDEX('1-DATA'!$1:$1048576,$A739-1,COLUMN('1-DATA'!AN738)),ROUND(INDEX('1-DATA'!$1:$1048576,IF(OR($B740="STD. DEVIATION",$C$1=1),$A740,$A740+1),COLUMN('1-DATA'!AN738)),IF($B740="STD. DEVIATION",2,$F$1))))</f>
        <v/>
      </c>
      <c r="AP740" s="1" t="str">
        <f>IF(OR($B740="",AP$7=""),"",IF($B740="MEANS",INDEX('1-DATA'!$1:$1048576,$A739-1,COLUMN('1-DATA'!AO738)),ROUND(INDEX('1-DATA'!$1:$1048576,IF(OR($B740="STD. DEVIATION",$C$1=1),$A740,$A740+1),COLUMN('1-DATA'!AO738)),IF($B740="STD. DEVIATION",2,$F$1))))</f>
        <v/>
      </c>
      <c r="AQ740" s="1" t="str">
        <f>IF(OR($B740="",AQ$7=""),"",IF($B740="MEANS",INDEX('1-DATA'!$1:$1048576,$A739-1,COLUMN('1-DATA'!AP738)),ROUND(INDEX('1-DATA'!$1:$1048576,IF(OR($B740="STD. DEVIATION",$C$1=1),$A740,$A740+1),COLUMN('1-DATA'!AP738)),IF($B740="STD. DEVIATION",2,$F$1))))</f>
        <v/>
      </c>
      <c r="AR740" s="1" t="str">
        <f>IF(OR($B740="",AR$7=""),"",IF($B740="MEANS",INDEX('1-DATA'!$1:$1048576,$A739-1,COLUMN('1-DATA'!AQ738)),ROUND(INDEX('1-DATA'!$1:$1048576,IF(OR($B740="STD. DEVIATION",$C$1=1),$A740,$A740+1),COLUMN('1-DATA'!AQ738)),IF($B740="STD. DEVIATION",2,$F$1))))</f>
        <v/>
      </c>
      <c r="AS740" s="1" t="str">
        <f>IF(OR($B740="",AS$7=""),"",IF($B740="MEANS",INDEX('1-DATA'!$1:$1048576,$A739-1,COLUMN('1-DATA'!AR738)),ROUND(INDEX('1-DATA'!$1:$1048576,IF(OR($B740="STD. DEVIATION",$C$1=1),$A740,$A740+1),COLUMN('1-DATA'!AR738)),IF($B740="STD. DEVIATION",2,$F$1))))</f>
        <v/>
      </c>
      <c r="AT740" s="1" t="str">
        <f>IF(OR($B740="",AT$7=""),"",IF($B740="MEANS",INDEX('1-DATA'!$1:$1048576,$A739-1,COLUMN('1-DATA'!AS738)),ROUND(INDEX('1-DATA'!$1:$1048576,IF(OR($B740="STD. DEVIATION",$C$1=1),$A740,$A740+1),COLUMN('1-DATA'!AS738)),IF($B740="STD. DEVIATION",2,$F$1))))</f>
        <v/>
      </c>
      <c r="AU740" s="1" t="str">
        <f>IF(OR($B740="",AU$7=""),"",IF($B740="MEANS",INDEX('1-DATA'!$1:$1048576,$A739-1,COLUMN('1-DATA'!AT738)),ROUND(INDEX('1-DATA'!$1:$1048576,IF(OR($B740="STD. DEVIATION",$C$1=1),$A740,$A740+1),COLUMN('1-DATA'!AT738)),IF($B740="STD. DEVIATION",2,$F$1))))</f>
        <v/>
      </c>
      <c r="AV740" s="1" t="str">
        <f>IF(OR($B740="",AV$7=""),"",IF($B740="MEANS",INDEX('1-DATA'!$1:$1048576,$A739-1,COLUMN('1-DATA'!AU738)),ROUND(INDEX('1-DATA'!$1:$1048576,IF(OR($B740="STD. DEVIATION",$C$1=1),$A740,$A740+1),COLUMN('1-DATA'!AU738)),IF($B740="STD. DEVIATION",2,$F$1))))</f>
        <v/>
      </c>
      <c r="AW740" s="1" t="str">
        <f>IF(OR($B740="",AW$7=""),"",IF($B740="MEANS",INDEX('1-DATA'!$1:$1048576,$A739-1,COLUMN('1-DATA'!AV738)),ROUND(INDEX('1-DATA'!$1:$1048576,IF(OR($B740="STD. DEVIATION",$C$1=1),$A740,$A740+1),COLUMN('1-DATA'!AV738)),IF($B740="STD. DEVIATION",2,$F$1))))</f>
        <v/>
      </c>
      <c r="AX740" s="1" t="str">
        <f>IF(OR($B740="",AX$7=""),"",IF($B740="MEANS",INDEX('1-DATA'!$1:$1048576,$A739-1,COLUMN('1-DATA'!AW738)),ROUND(INDEX('1-DATA'!$1:$1048576,IF(OR($B740="STD. DEVIATION",$C$1=1),$A740,$A740+1),COLUMN('1-DATA'!AW738)),IF($B740="STD. DEVIATION",2,$F$1))))</f>
        <v/>
      </c>
      <c r="AY740" s="1" t="str">
        <f>IF(OR($B740="",AY$7=""),"",IF($B740="MEANS",INDEX('1-DATA'!$1:$1048576,$A739-1,COLUMN('1-DATA'!AX738)),ROUND(INDEX('1-DATA'!$1:$1048576,IF(OR($B740="STD. DEVIATION",$C$1=1),$A740,$A740+1),COLUMN('1-DATA'!AX738)),IF($B740="STD. DEVIATION",2,$F$1))))</f>
        <v/>
      </c>
      <c r="AZ740" s="1" t="str">
        <f>IF(OR($B740="",AZ$7=""),"",IF($B740="MEANS",INDEX('1-DATA'!$1:$1048576,$A739-1,COLUMN('1-DATA'!AY738)),ROUND(INDEX('1-DATA'!$1:$1048576,IF(OR($B740="STD. DEVIATION",$C$1=1),$A740,$A740+1),COLUMN('1-DATA'!AY738)),IF($B740="STD. DEVIATION",2,$F$1))))</f>
        <v/>
      </c>
    </row>
    <row r="741" spans="1:52" x14ac:dyDescent="0.25">
      <c r="A741" s="11">
        <f t="shared" si="12"/>
        <v>2209</v>
      </c>
      <c r="B741" s="1" t="str">
        <f>IF(B740="STD. DEVIATION",INDEX('1-DATA'!$1:$1048576,$A740-1,1),IF(INDEX('1-DATA'!$1:$1048576,$A741,1)&lt;&gt;"",INDEX('1-DATA'!$1:$1048576,$A741,1),""))</f>
        <v/>
      </c>
      <c r="C741" s="1" t="str">
        <f>IF(OR($B741="",C$7=""),"",IF($B741="MEANS",INDEX('1-DATA'!$1:$1048576,$A740-1,COLUMN('1-DATA'!B739)),ROUND(INDEX('1-DATA'!$1:$1048576,IF(OR($B741="STD. DEVIATION",$C$1=1),$A741,$A741+1),COLUMN('1-DATA'!B739)),IF($B741="STD. DEVIATION",2,$F$1))))</f>
        <v/>
      </c>
      <c r="D741" s="1" t="str">
        <f>IF(OR($B741="",D$7=""),"",IF($B741="MEANS",INDEX('1-DATA'!$1:$1048576,$A740-1,COLUMN('1-DATA'!C739)),ROUND(INDEX('1-DATA'!$1:$1048576,IF(OR($B741="STD. DEVIATION",$C$1=1),$A741,$A741+1),COLUMN('1-DATA'!C739)),IF($B741="STD. DEVIATION",2,$F$1))))</f>
        <v/>
      </c>
      <c r="E741" s="1" t="str">
        <f>IF(OR($B741="",E$7=""),"",IF($B741="MEANS",INDEX('1-DATA'!$1:$1048576,$A740-1,COLUMN('1-DATA'!D739)),ROUND(INDEX('1-DATA'!$1:$1048576,IF(OR($B741="STD. DEVIATION",$C$1=1),$A741,$A741+1),COLUMN('1-DATA'!D739)),IF($B741="STD. DEVIATION",2,$F$1))))</f>
        <v/>
      </c>
      <c r="F741" s="1" t="str">
        <f>IF(OR($B741="",F$7=""),"",IF($B741="MEANS",INDEX('1-DATA'!$1:$1048576,$A740-1,COLUMN('1-DATA'!E739)),ROUND(INDEX('1-DATA'!$1:$1048576,IF(OR($B741="STD. DEVIATION",$C$1=1),$A741,$A741+1),COLUMN('1-DATA'!E739)),IF($B741="STD. DEVIATION",2,$F$1))))</f>
        <v/>
      </c>
      <c r="G741" s="1" t="str">
        <f>IF(OR($B741="",G$7=""),"",IF($B741="MEANS",INDEX('1-DATA'!$1:$1048576,$A740-1,COLUMN('1-DATA'!F739)),ROUND(INDEX('1-DATA'!$1:$1048576,IF(OR($B741="STD. DEVIATION",$C$1=1),$A741,$A741+1),COLUMN('1-DATA'!F739)),IF($B741="STD. DEVIATION",2,$F$1))))</f>
        <v/>
      </c>
      <c r="H741" s="1" t="str">
        <f>IF(OR($B741="",H$7=""),"",IF($B741="MEANS",INDEX('1-DATA'!$1:$1048576,$A740-1,COLUMN('1-DATA'!G739)),ROUND(INDEX('1-DATA'!$1:$1048576,IF(OR($B741="STD. DEVIATION",$C$1=1),$A741,$A741+1),COLUMN('1-DATA'!G739)),IF($B741="STD. DEVIATION",2,$F$1))))</f>
        <v/>
      </c>
      <c r="I741" s="1" t="str">
        <f>IF(OR($B741="",I$7=""),"",IF($B741="MEANS",INDEX('1-DATA'!$1:$1048576,$A740-1,COLUMN('1-DATA'!H739)),ROUND(INDEX('1-DATA'!$1:$1048576,IF(OR($B741="STD. DEVIATION",$C$1=1),$A741,$A741+1),COLUMN('1-DATA'!H739)),IF($B741="STD. DEVIATION",2,$F$1))))</f>
        <v/>
      </c>
      <c r="J741" s="1" t="str">
        <f>IF(OR($B741="",J$7=""),"",IF($B741="MEANS",INDEX('1-DATA'!$1:$1048576,$A740-1,COLUMN('1-DATA'!I739)),ROUND(INDEX('1-DATA'!$1:$1048576,IF(OR($B741="STD. DEVIATION",$C$1=1),$A741,$A741+1),COLUMN('1-DATA'!I739)),IF($B741="STD. DEVIATION",2,$F$1))))</f>
        <v/>
      </c>
      <c r="K741" s="1" t="str">
        <f>IF(OR($B741="",K$7=""),"",IF($B741="MEANS",INDEX('1-DATA'!$1:$1048576,$A740-1,COLUMN('1-DATA'!J739)),ROUND(INDEX('1-DATA'!$1:$1048576,IF(OR($B741="STD. DEVIATION",$C$1=1),$A741,$A741+1),COLUMN('1-DATA'!J739)),IF($B741="STD. DEVIATION",2,$F$1))))</f>
        <v/>
      </c>
      <c r="L741" s="1" t="str">
        <f>IF(OR($B741="",L$7=""),"",IF($B741="MEANS",INDEX('1-DATA'!$1:$1048576,$A740-1,COLUMN('1-DATA'!K739)),ROUND(INDEX('1-DATA'!$1:$1048576,IF(OR($B741="STD. DEVIATION",$C$1=1),$A741,$A741+1),COLUMN('1-DATA'!K739)),IF($B741="STD. DEVIATION",2,$F$1))))</f>
        <v/>
      </c>
      <c r="M741" s="1" t="str">
        <f>IF(OR($B741="",M$7=""),"",IF($B741="MEANS",INDEX('1-DATA'!$1:$1048576,$A740-1,COLUMN('1-DATA'!L739)),ROUND(INDEX('1-DATA'!$1:$1048576,IF(OR($B741="STD. DEVIATION",$C$1=1),$A741,$A741+1),COLUMN('1-DATA'!L739)),IF($B741="STD. DEVIATION",2,$F$1))))</f>
        <v/>
      </c>
      <c r="N741" s="1" t="str">
        <f>IF(OR($B741="",N$7=""),"",IF($B741="MEANS",INDEX('1-DATA'!$1:$1048576,$A740-1,COLUMN('1-DATA'!M739)),ROUND(INDEX('1-DATA'!$1:$1048576,IF(OR($B741="STD. DEVIATION",$C$1=1),$A741,$A741+1),COLUMN('1-DATA'!M739)),IF($B741="STD. DEVIATION",2,$F$1))))</f>
        <v/>
      </c>
      <c r="O741" s="1" t="str">
        <f>IF(OR($B741="",O$7=""),"",IF($B741="MEANS",INDEX('1-DATA'!$1:$1048576,$A740-1,COLUMN('1-DATA'!N739)),ROUND(INDEX('1-DATA'!$1:$1048576,IF(OR($B741="STD. DEVIATION",$C$1=1),$A741,$A741+1),COLUMN('1-DATA'!N739)),IF($B741="STD. DEVIATION",2,$F$1))))</f>
        <v/>
      </c>
      <c r="P741" s="1" t="str">
        <f>IF(OR($B741="",P$7=""),"",IF($B741="MEANS",INDEX('1-DATA'!$1:$1048576,$A740-1,COLUMN('1-DATA'!O739)),ROUND(INDEX('1-DATA'!$1:$1048576,IF(OR($B741="STD. DEVIATION",$C$1=1),$A741,$A741+1),COLUMN('1-DATA'!O739)),IF($B741="STD. DEVIATION",2,$F$1))))</f>
        <v/>
      </c>
      <c r="Q741" s="1" t="str">
        <f>IF(OR($B741="",Q$7=""),"",IF($B741="MEANS",INDEX('1-DATA'!$1:$1048576,$A740-1,COLUMN('1-DATA'!P739)),ROUND(INDEX('1-DATA'!$1:$1048576,IF(OR($B741="STD. DEVIATION",$C$1=1),$A741,$A741+1),COLUMN('1-DATA'!P739)),IF($B741="STD. DEVIATION",2,$F$1))))</f>
        <v/>
      </c>
      <c r="R741" s="1" t="str">
        <f>IF(OR($B741="",R$7=""),"",IF($B741="MEANS",INDEX('1-DATA'!$1:$1048576,$A740-1,COLUMN('1-DATA'!Q739)),ROUND(INDEX('1-DATA'!$1:$1048576,IF(OR($B741="STD. DEVIATION",$C$1=1),$A741,$A741+1),COLUMN('1-DATA'!Q739)),IF($B741="STD. DEVIATION",2,$F$1))))</f>
        <v/>
      </c>
      <c r="S741" s="1" t="str">
        <f>IF(OR($B741="",S$7=""),"",IF($B741="MEANS",INDEX('1-DATA'!$1:$1048576,$A740-1,COLUMN('1-DATA'!R739)),ROUND(INDEX('1-DATA'!$1:$1048576,IF(OR($B741="STD. DEVIATION",$C$1=1),$A741,$A741+1),COLUMN('1-DATA'!R739)),IF($B741="STD. DEVIATION",2,$F$1))))</f>
        <v/>
      </c>
      <c r="T741" s="1" t="str">
        <f>IF(OR($B741="",T$7=""),"",IF($B741="MEANS",INDEX('1-DATA'!$1:$1048576,$A740-1,COLUMN('1-DATA'!S739)),ROUND(INDEX('1-DATA'!$1:$1048576,IF(OR($B741="STD. DEVIATION",$C$1=1),$A741,$A741+1),COLUMN('1-DATA'!S739)),IF($B741="STD. DEVIATION",2,$F$1))))</f>
        <v/>
      </c>
      <c r="U741" s="1" t="str">
        <f>IF(OR($B741="",U$7=""),"",IF($B741="MEANS",INDEX('1-DATA'!$1:$1048576,$A740-1,COLUMN('1-DATA'!T739)),ROUND(INDEX('1-DATA'!$1:$1048576,IF(OR($B741="STD. DEVIATION",$C$1=1),$A741,$A741+1),COLUMN('1-DATA'!T739)),IF($B741="STD. DEVIATION",2,$F$1))))</f>
        <v/>
      </c>
      <c r="V741" s="1" t="str">
        <f>IF(OR($B741="",V$7=""),"",IF($B741="MEANS",INDEX('1-DATA'!$1:$1048576,$A740-1,COLUMN('1-DATA'!U739)),ROUND(INDEX('1-DATA'!$1:$1048576,IF(OR($B741="STD. DEVIATION",$C$1=1),$A741,$A741+1),COLUMN('1-DATA'!U739)),IF($B741="STD. DEVIATION",2,$F$1))))</f>
        <v/>
      </c>
      <c r="W741" s="1" t="str">
        <f>IF(OR($B741="",W$7=""),"",IF($B741="MEANS",INDEX('1-DATA'!$1:$1048576,$A740-1,COLUMN('1-DATA'!V739)),ROUND(INDEX('1-DATA'!$1:$1048576,IF(OR($B741="STD. DEVIATION",$C$1=1),$A741,$A741+1),COLUMN('1-DATA'!V739)),IF($B741="STD. DEVIATION",2,$F$1))))</f>
        <v/>
      </c>
      <c r="X741" s="1" t="str">
        <f>IF(OR($B741="",X$7=""),"",IF($B741="MEANS",INDEX('1-DATA'!$1:$1048576,$A740-1,COLUMN('1-DATA'!W739)),ROUND(INDEX('1-DATA'!$1:$1048576,IF(OR($B741="STD. DEVIATION",$C$1=1),$A741,$A741+1),COLUMN('1-DATA'!W739)),IF($B741="STD. DEVIATION",2,$F$1))))</f>
        <v/>
      </c>
      <c r="Y741" s="1" t="str">
        <f>IF(OR($B741="",Y$7=""),"",IF($B741="MEANS",INDEX('1-DATA'!$1:$1048576,$A740-1,COLUMN('1-DATA'!X739)),ROUND(INDEX('1-DATA'!$1:$1048576,IF(OR($B741="STD. DEVIATION",$C$1=1),$A741,$A741+1),COLUMN('1-DATA'!X739)),IF($B741="STD. DEVIATION",2,$F$1))))</f>
        <v/>
      </c>
      <c r="Z741" s="1" t="str">
        <f>IF(OR($B741="",Z$7=""),"",IF($B741="MEANS",INDEX('1-DATA'!$1:$1048576,$A740-1,COLUMN('1-DATA'!Y739)),ROUND(INDEX('1-DATA'!$1:$1048576,IF(OR($B741="STD. DEVIATION",$C$1=1),$A741,$A741+1),COLUMN('1-DATA'!Y739)),IF($B741="STD. DEVIATION",2,$F$1))))</f>
        <v/>
      </c>
      <c r="AA741" s="1" t="str">
        <f>IF(OR($B741="",AA$7=""),"",IF($B741="MEANS",INDEX('1-DATA'!$1:$1048576,$A740-1,COLUMN('1-DATA'!Z739)),ROUND(INDEX('1-DATA'!$1:$1048576,IF(OR($B741="STD. DEVIATION",$C$1=1),$A741,$A741+1),COLUMN('1-DATA'!Z739)),IF($B741="STD. DEVIATION",2,$F$1))))</f>
        <v/>
      </c>
      <c r="AB741" s="1" t="str">
        <f>IF(OR($B741="",AB$7=""),"",IF($B741="MEANS",INDEX('1-DATA'!$1:$1048576,$A740-1,COLUMN('1-DATA'!AA739)),ROUND(INDEX('1-DATA'!$1:$1048576,IF(OR($B741="STD. DEVIATION",$C$1=1),$A741,$A741+1),COLUMN('1-DATA'!AA739)),IF($B741="STD. DEVIATION",2,$F$1))))</f>
        <v/>
      </c>
      <c r="AC741" s="1" t="str">
        <f>IF(OR($B741="",AC$7=""),"",IF($B741="MEANS",INDEX('1-DATA'!$1:$1048576,$A740-1,COLUMN('1-DATA'!AB739)),ROUND(INDEX('1-DATA'!$1:$1048576,IF(OR($B741="STD. DEVIATION",$C$1=1),$A741,$A741+1),COLUMN('1-DATA'!AB739)),IF($B741="STD. DEVIATION",2,$F$1))))</f>
        <v/>
      </c>
      <c r="AD741" s="1" t="str">
        <f>IF(OR($B741="",AD$7=""),"",IF($B741="MEANS",INDEX('1-DATA'!$1:$1048576,$A740-1,COLUMN('1-DATA'!AC739)),ROUND(INDEX('1-DATA'!$1:$1048576,IF(OR($B741="STD. DEVIATION",$C$1=1),$A741,$A741+1),COLUMN('1-DATA'!AC739)),IF($B741="STD. DEVIATION",2,$F$1))))</f>
        <v/>
      </c>
      <c r="AE741" s="1" t="str">
        <f>IF(OR($B741="",AE$7=""),"",IF($B741="MEANS",INDEX('1-DATA'!$1:$1048576,$A740-1,COLUMN('1-DATA'!AD739)),ROUND(INDEX('1-DATA'!$1:$1048576,IF(OR($B741="STD. DEVIATION",$C$1=1),$A741,$A741+1),COLUMN('1-DATA'!AD739)),IF($B741="STD. DEVIATION",2,$F$1))))</f>
        <v/>
      </c>
      <c r="AF741" s="1" t="str">
        <f>IF(OR($B741="",AF$7=""),"",IF($B741="MEANS",INDEX('1-DATA'!$1:$1048576,$A740-1,COLUMN('1-DATA'!AE739)),ROUND(INDEX('1-DATA'!$1:$1048576,IF(OR($B741="STD. DEVIATION",$C$1=1),$A741,$A741+1),COLUMN('1-DATA'!AE739)),IF($B741="STD. DEVIATION",2,$F$1))))</f>
        <v/>
      </c>
      <c r="AG741" s="1" t="str">
        <f>IF(OR($B741="",AG$7=""),"",IF($B741="MEANS",INDEX('1-DATA'!$1:$1048576,$A740-1,COLUMN('1-DATA'!AF739)),ROUND(INDEX('1-DATA'!$1:$1048576,IF(OR($B741="STD. DEVIATION",$C$1=1),$A741,$A741+1),COLUMN('1-DATA'!AF739)),IF($B741="STD. DEVIATION",2,$F$1))))</f>
        <v/>
      </c>
      <c r="AH741" s="1" t="str">
        <f>IF(OR($B741="",AH$7=""),"",IF($B741="MEANS",INDEX('1-DATA'!$1:$1048576,$A740-1,COLUMN('1-DATA'!AG739)),ROUND(INDEX('1-DATA'!$1:$1048576,IF(OR($B741="STD. DEVIATION",$C$1=1),$A741,$A741+1),COLUMN('1-DATA'!AG739)),IF($B741="STD. DEVIATION",2,$F$1))))</f>
        <v/>
      </c>
      <c r="AI741" s="1" t="str">
        <f>IF(OR($B741="",AI$7=""),"",IF($B741="MEANS",INDEX('1-DATA'!$1:$1048576,$A740-1,COLUMN('1-DATA'!AH739)),ROUND(INDEX('1-DATA'!$1:$1048576,IF(OR($B741="STD. DEVIATION",$C$1=1),$A741,$A741+1),COLUMN('1-DATA'!AH739)),IF($B741="STD. DEVIATION",2,$F$1))))</f>
        <v/>
      </c>
      <c r="AJ741" s="1" t="str">
        <f>IF(OR($B741="",AJ$7=""),"",IF($B741="MEANS",INDEX('1-DATA'!$1:$1048576,$A740-1,COLUMN('1-DATA'!AI739)),ROUND(INDEX('1-DATA'!$1:$1048576,IF(OR($B741="STD. DEVIATION",$C$1=1),$A741,$A741+1),COLUMN('1-DATA'!AI739)),IF($B741="STD. DEVIATION",2,$F$1))))</f>
        <v/>
      </c>
      <c r="AK741" s="1" t="str">
        <f>IF(OR($B741="",AK$7=""),"",IF($B741="MEANS",INDEX('1-DATA'!$1:$1048576,$A740-1,COLUMN('1-DATA'!AJ739)),ROUND(INDEX('1-DATA'!$1:$1048576,IF(OR($B741="STD. DEVIATION",$C$1=1),$A741,$A741+1),COLUMN('1-DATA'!AJ739)),IF($B741="STD. DEVIATION",2,$F$1))))</f>
        <v/>
      </c>
      <c r="AL741" s="1" t="str">
        <f>IF(OR($B741="",AL$7=""),"",IF($B741="MEANS",INDEX('1-DATA'!$1:$1048576,$A740-1,COLUMN('1-DATA'!AK739)),ROUND(INDEX('1-DATA'!$1:$1048576,IF(OR($B741="STD. DEVIATION",$C$1=1),$A741,$A741+1),COLUMN('1-DATA'!AK739)),IF($B741="STD. DEVIATION",2,$F$1))))</f>
        <v/>
      </c>
      <c r="AM741" s="1" t="str">
        <f>IF(OR($B741="",AM$7=""),"",IF($B741="MEANS",INDEX('1-DATA'!$1:$1048576,$A740-1,COLUMN('1-DATA'!AL739)),ROUND(INDEX('1-DATA'!$1:$1048576,IF(OR($B741="STD. DEVIATION",$C$1=1),$A741,$A741+1),COLUMN('1-DATA'!AL739)),IF($B741="STD. DEVIATION",2,$F$1))))</f>
        <v/>
      </c>
      <c r="AN741" s="1" t="str">
        <f>IF(OR($B741="",AN$7=""),"",IF($B741="MEANS",INDEX('1-DATA'!$1:$1048576,$A740-1,COLUMN('1-DATA'!AM739)),ROUND(INDEX('1-DATA'!$1:$1048576,IF(OR($B741="STD. DEVIATION",$C$1=1),$A741,$A741+1),COLUMN('1-DATA'!AM739)),IF($B741="STD. DEVIATION",2,$F$1))))</f>
        <v/>
      </c>
      <c r="AO741" s="1" t="str">
        <f>IF(OR($B741="",AO$7=""),"",IF($B741="MEANS",INDEX('1-DATA'!$1:$1048576,$A740-1,COLUMN('1-DATA'!AN739)),ROUND(INDEX('1-DATA'!$1:$1048576,IF(OR($B741="STD. DEVIATION",$C$1=1),$A741,$A741+1),COLUMN('1-DATA'!AN739)),IF($B741="STD. DEVIATION",2,$F$1))))</f>
        <v/>
      </c>
      <c r="AP741" s="1" t="str">
        <f>IF(OR($B741="",AP$7=""),"",IF($B741="MEANS",INDEX('1-DATA'!$1:$1048576,$A740-1,COLUMN('1-DATA'!AO739)),ROUND(INDEX('1-DATA'!$1:$1048576,IF(OR($B741="STD. DEVIATION",$C$1=1),$A741,$A741+1),COLUMN('1-DATA'!AO739)),IF($B741="STD. DEVIATION",2,$F$1))))</f>
        <v/>
      </c>
      <c r="AQ741" s="1" t="str">
        <f>IF(OR($B741="",AQ$7=""),"",IF($B741="MEANS",INDEX('1-DATA'!$1:$1048576,$A740-1,COLUMN('1-DATA'!AP739)),ROUND(INDEX('1-DATA'!$1:$1048576,IF(OR($B741="STD. DEVIATION",$C$1=1),$A741,$A741+1),COLUMN('1-DATA'!AP739)),IF($B741="STD. DEVIATION",2,$F$1))))</f>
        <v/>
      </c>
      <c r="AR741" s="1" t="str">
        <f>IF(OR($B741="",AR$7=""),"",IF($B741="MEANS",INDEX('1-DATA'!$1:$1048576,$A740-1,COLUMN('1-DATA'!AQ739)),ROUND(INDEX('1-DATA'!$1:$1048576,IF(OR($B741="STD. DEVIATION",$C$1=1),$A741,$A741+1),COLUMN('1-DATA'!AQ739)),IF($B741="STD. DEVIATION",2,$F$1))))</f>
        <v/>
      </c>
      <c r="AS741" s="1" t="str">
        <f>IF(OR($B741="",AS$7=""),"",IF($B741="MEANS",INDEX('1-DATA'!$1:$1048576,$A740-1,COLUMN('1-DATA'!AR739)),ROUND(INDEX('1-DATA'!$1:$1048576,IF(OR($B741="STD. DEVIATION",$C$1=1),$A741,$A741+1),COLUMN('1-DATA'!AR739)),IF($B741="STD. DEVIATION",2,$F$1))))</f>
        <v/>
      </c>
      <c r="AT741" s="1" t="str">
        <f>IF(OR($B741="",AT$7=""),"",IF($B741="MEANS",INDEX('1-DATA'!$1:$1048576,$A740-1,COLUMN('1-DATA'!AS739)),ROUND(INDEX('1-DATA'!$1:$1048576,IF(OR($B741="STD. DEVIATION",$C$1=1),$A741,$A741+1),COLUMN('1-DATA'!AS739)),IF($B741="STD. DEVIATION",2,$F$1))))</f>
        <v/>
      </c>
      <c r="AU741" s="1" t="str">
        <f>IF(OR($B741="",AU$7=""),"",IF($B741="MEANS",INDEX('1-DATA'!$1:$1048576,$A740-1,COLUMN('1-DATA'!AT739)),ROUND(INDEX('1-DATA'!$1:$1048576,IF(OR($B741="STD. DEVIATION",$C$1=1),$A741,$A741+1),COLUMN('1-DATA'!AT739)),IF($B741="STD. DEVIATION",2,$F$1))))</f>
        <v/>
      </c>
      <c r="AV741" s="1" t="str">
        <f>IF(OR($B741="",AV$7=""),"",IF($B741="MEANS",INDEX('1-DATA'!$1:$1048576,$A740-1,COLUMN('1-DATA'!AU739)),ROUND(INDEX('1-DATA'!$1:$1048576,IF(OR($B741="STD. DEVIATION",$C$1=1),$A741,$A741+1),COLUMN('1-DATA'!AU739)),IF($B741="STD. DEVIATION",2,$F$1))))</f>
        <v/>
      </c>
      <c r="AW741" s="1" t="str">
        <f>IF(OR($B741="",AW$7=""),"",IF($B741="MEANS",INDEX('1-DATA'!$1:$1048576,$A740-1,COLUMN('1-DATA'!AV739)),ROUND(INDEX('1-DATA'!$1:$1048576,IF(OR($B741="STD. DEVIATION",$C$1=1),$A741,$A741+1),COLUMN('1-DATA'!AV739)),IF($B741="STD. DEVIATION",2,$F$1))))</f>
        <v/>
      </c>
      <c r="AX741" s="1" t="str">
        <f>IF(OR($B741="",AX$7=""),"",IF($B741="MEANS",INDEX('1-DATA'!$1:$1048576,$A740-1,COLUMN('1-DATA'!AW739)),ROUND(INDEX('1-DATA'!$1:$1048576,IF(OR($B741="STD. DEVIATION",$C$1=1),$A741,$A741+1),COLUMN('1-DATA'!AW739)),IF($B741="STD. DEVIATION",2,$F$1))))</f>
        <v/>
      </c>
      <c r="AY741" s="1" t="str">
        <f>IF(OR($B741="",AY$7=""),"",IF($B741="MEANS",INDEX('1-DATA'!$1:$1048576,$A740-1,COLUMN('1-DATA'!AX739)),ROUND(INDEX('1-DATA'!$1:$1048576,IF(OR($B741="STD. DEVIATION",$C$1=1),$A741,$A741+1),COLUMN('1-DATA'!AX739)),IF($B741="STD. DEVIATION",2,$F$1))))</f>
        <v/>
      </c>
      <c r="AZ741" s="1" t="str">
        <f>IF(OR($B741="",AZ$7=""),"",IF($B741="MEANS",INDEX('1-DATA'!$1:$1048576,$A740-1,COLUMN('1-DATA'!AY739)),ROUND(INDEX('1-DATA'!$1:$1048576,IF(OR($B741="STD. DEVIATION",$C$1=1),$A741,$A741+1),COLUMN('1-DATA'!AY739)),IF($B741="STD. DEVIATION",2,$F$1))))</f>
        <v/>
      </c>
    </row>
    <row r="742" spans="1:52" x14ac:dyDescent="0.25">
      <c r="A742" s="11">
        <f t="shared" si="12"/>
        <v>2212</v>
      </c>
      <c r="B742" s="1" t="str">
        <f>IF(B741="STD. DEVIATION",INDEX('1-DATA'!$1:$1048576,$A741-1,1),IF(INDEX('1-DATA'!$1:$1048576,$A742,1)&lt;&gt;"",INDEX('1-DATA'!$1:$1048576,$A742,1),""))</f>
        <v/>
      </c>
      <c r="C742" s="1" t="str">
        <f>IF(OR($B742="",C$7=""),"",IF($B742="MEANS",INDEX('1-DATA'!$1:$1048576,$A741-1,COLUMN('1-DATA'!B740)),ROUND(INDEX('1-DATA'!$1:$1048576,IF(OR($B742="STD. DEVIATION",$C$1=1),$A742,$A742+1),COLUMN('1-DATA'!B740)),IF($B742="STD. DEVIATION",2,$F$1))))</f>
        <v/>
      </c>
      <c r="D742" s="1" t="str">
        <f>IF(OR($B742="",D$7=""),"",IF($B742="MEANS",INDEX('1-DATA'!$1:$1048576,$A741-1,COLUMN('1-DATA'!C740)),ROUND(INDEX('1-DATA'!$1:$1048576,IF(OR($B742="STD. DEVIATION",$C$1=1),$A742,$A742+1),COLUMN('1-DATA'!C740)),IF($B742="STD. DEVIATION",2,$F$1))))</f>
        <v/>
      </c>
      <c r="E742" s="1" t="str">
        <f>IF(OR($B742="",E$7=""),"",IF($B742="MEANS",INDEX('1-DATA'!$1:$1048576,$A741-1,COLUMN('1-DATA'!D740)),ROUND(INDEX('1-DATA'!$1:$1048576,IF(OR($B742="STD. DEVIATION",$C$1=1),$A742,$A742+1),COLUMN('1-DATA'!D740)),IF($B742="STD. DEVIATION",2,$F$1))))</f>
        <v/>
      </c>
      <c r="F742" s="1" t="str">
        <f>IF(OR($B742="",F$7=""),"",IF($B742="MEANS",INDEX('1-DATA'!$1:$1048576,$A741-1,COLUMN('1-DATA'!E740)),ROUND(INDEX('1-DATA'!$1:$1048576,IF(OR($B742="STD. DEVIATION",$C$1=1),$A742,$A742+1),COLUMN('1-DATA'!E740)),IF($B742="STD. DEVIATION",2,$F$1))))</f>
        <v/>
      </c>
      <c r="G742" s="1" t="str">
        <f>IF(OR($B742="",G$7=""),"",IF($B742="MEANS",INDEX('1-DATA'!$1:$1048576,$A741-1,COLUMN('1-DATA'!F740)),ROUND(INDEX('1-DATA'!$1:$1048576,IF(OR($B742="STD. DEVIATION",$C$1=1),$A742,$A742+1),COLUMN('1-DATA'!F740)),IF($B742="STD. DEVIATION",2,$F$1))))</f>
        <v/>
      </c>
      <c r="H742" s="1" t="str">
        <f>IF(OR($B742="",H$7=""),"",IF($B742="MEANS",INDEX('1-DATA'!$1:$1048576,$A741-1,COLUMN('1-DATA'!G740)),ROUND(INDEX('1-DATA'!$1:$1048576,IF(OR($B742="STD. DEVIATION",$C$1=1),$A742,$A742+1),COLUMN('1-DATA'!G740)),IF($B742="STD. DEVIATION",2,$F$1))))</f>
        <v/>
      </c>
      <c r="I742" s="1" t="str">
        <f>IF(OR($B742="",I$7=""),"",IF($B742="MEANS",INDEX('1-DATA'!$1:$1048576,$A741-1,COLUMN('1-DATA'!H740)),ROUND(INDEX('1-DATA'!$1:$1048576,IF(OR($B742="STD. DEVIATION",$C$1=1),$A742,$A742+1),COLUMN('1-DATA'!H740)),IF($B742="STD. DEVIATION",2,$F$1))))</f>
        <v/>
      </c>
      <c r="J742" s="1" t="str">
        <f>IF(OR($B742="",J$7=""),"",IF($B742="MEANS",INDEX('1-DATA'!$1:$1048576,$A741-1,COLUMN('1-DATA'!I740)),ROUND(INDEX('1-DATA'!$1:$1048576,IF(OR($B742="STD. DEVIATION",$C$1=1),$A742,$A742+1),COLUMN('1-DATA'!I740)),IF($B742="STD. DEVIATION",2,$F$1))))</f>
        <v/>
      </c>
      <c r="K742" s="1" t="str">
        <f>IF(OR($B742="",K$7=""),"",IF($B742="MEANS",INDEX('1-DATA'!$1:$1048576,$A741-1,COLUMN('1-DATA'!J740)),ROUND(INDEX('1-DATA'!$1:$1048576,IF(OR($B742="STD. DEVIATION",$C$1=1),$A742,$A742+1),COLUMN('1-DATA'!J740)),IF($B742="STD. DEVIATION",2,$F$1))))</f>
        <v/>
      </c>
      <c r="L742" s="1" t="str">
        <f>IF(OR($B742="",L$7=""),"",IF($B742="MEANS",INDEX('1-DATA'!$1:$1048576,$A741-1,COLUMN('1-DATA'!K740)),ROUND(INDEX('1-DATA'!$1:$1048576,IF(OR($B742="STD. DEVIATION",$C$1=1),$A742,$A742+1),COLUMN('1-DATA'!K740)),IF($B742="STD. DEVIATION",2,$F$1))))</f>
        <v/>
      </c>
      <c r="M742" s="1" t="str">
        <f>IF(OR($B742="",M$7=""),"",IF($B742="MEANS",INDEX('1-DATA'!$1:$1048576,$A741-1,COLUMN('1-DATA'!L740)),ROUND(INDEX('1-DATA'!$1:$1048576,IF(OR($B742="STD. DEVIATION",$C$1=1),$A742,$A742+1),COLUMN('1-DATA'!L740)),IF($B742="STD. DEVIATION",2,$F$1))))</f>
        <v/>
      </c>
      <c r="N742" s="1" t="str">
        <f>IF(OR($B742="",N$7=""),"",IF($B742="MEANS",INDEX('1-DATA'!$1:$1048576,$A741-1,COLUMN('1-DATA'!M740)),ROUND(INDEX('1-DATA'!$1:$1048576,IF(OR($B742="STD. DEVIATION",$C$1=1),$A742,$A742+1),COLUMN('1-DATA'!M740)),IF($B742="STD. DEVIATION",2,$F$1))))</f>
        <v/>
      </c>
      <c r="O742" s="1" t="str">
        <f>IF(OR($B742="",O$7=""),"",IF($B742="MEANS",INDEX('1-DATA'!$1:$1048576,$A741-1,COLUMN('1-DATA'!N740)),ROUND(INDEX('1-DATA'!$1:$1048576,IF(OR($B742="STD. DEVIATION",$C$1=1),$A742,$A742+1),COLUMN('1-DATA'!N740)),IF($B742="STD. DEVIATION",2,$F$1))))</f>
        <v/>
      </c>
      <c r="P742" s="1" t="str">
        <f>IF(OR($B742="",P$7=""),"",IF($B742="MEANS",INDEX('1-DATA'!$1:$1048576,$A741-1,COLUMN('1-DATA'!O740)),ROUND(INDEX('1-DATA'!$1:$1048576,IF(OR($B742="STD. DEVIATION",$C$1=1),$A742,$A742+1),COLUMN('1-DATA'!O740)),IF($B742="STD. DEVIATION",2,$F$1))))</f>
        <v/>
      </c>
      <c r="Q742" s="1" t="str">
        <f>IF(OR($B742="",Q$7=""),"",IF($B742="MEANS",INDEX('1-DATA'!$1:$1048576,$A741-1,COLUMN('1-DATA'!P740)),ROUND(INDEX('1-DATA'!$1:$1048576,IF(OR($B742="STD. DEVIATION",$C$1=1),$A742,$A742+1),COLUMN('1-DATA'!P740)),IF($B742="STD. DEVIATION",2,$F$1))))</f>
        <v/>
      </c>
      <c r="R742" s="1" t="str">
        <f>IF(OR($B742="",R$7=""),"",IF($B742="MEANS",INDEX('1-DATA'!$1:$1048576,$A741-1,COLUMN('1-DATA'!Q740)),ROUND(INDEX('1-DATA'!$1:$1048576,IF(OR($B742="STD. DEVIATION",$C$1=1),$A742,$A742+1),COLUMN('1-DATA'!Q740)),IF($B742="STD. DEVIATION",2,$F$1))))</f>
        <v/>
      </c>
      <c r="S742" s="1" t="str">
        <f>IF(OR($B742="",S$7=""),"",IF($B742="MEANS",INDEX('1-DATA'!$1:$1048576,$A741-1,COLUMN('1-DATA'!R740)),ROUND(INDEX('1-DATA'!$1:$1048576,IF(OR($B742="STD. DEVIATION",$C$1=1),$A742,$A742+1),COLUMN('1-DATA'!R740)),IF($B742="STD. DEVIATION",2,$F$1))))</f>
        <v/>
      </c>
      <c r="T742" s="1" t="str">
        <f>IF(OR($B742="",T$7=""),"",IF($B742="MEANS",INDEX('1-DATA'!$1:$1048576,$A741-1,COLUMN('1-DATA'!S740)),ROUND(INDEX('1-DATA'!$1:$1048576,IF(OR($B742="STD. DEVIATION",$C$1=1),$A742,$A742+1),COLUMN('1-DATA'!S740)),IF($B742="STD. DEVIATION",2,$F$1))))</f>
        <v/>
      </c>
      <c r="U742" s="1" t="str">
        <f>IF(OR($B742="",U$7=""),"",IF($B742="MEANS",INDEX('1-DATA'!$1:$1048576,$A741-1,COLUMN('1-DATA'!T740)),ROUND(INDEX('1-DATA'!$1:$1048576,IF(OR($B742="STD. DEVIATION",$C$1=1),$A742,$A742+1),COLUMN('1-DATA'!T740)),IF($B742="STD. DEVIATION",2,$F$1))))</f>
        <v/>
      </c>
      <c r="V742" s="1" t="str">
        <f>IF(OR($B742="",V$7=""),"",IF($B742="MEANS",INDEX('1-DATA'!$1:$1048576,$A741-1,COLUMN('1-DATA'!U740)),ROUND(INDEX('1-DATA'!$1:$1048576,IF(OR($B742="STD. DEVIATION",$C$1=1),$A742,$A742+1),COLUMN('1-DATA'!U740)),IF($B742="STD. DEVIATION",2,$F$1))))</f>
        <v/>
      </c>
      <c r="W742" s="1" t="str">
        <f>IF(OR($B742="",W$7=""),"",IF($B742="MEANS",INDEX('1-DATA'!$1:$1048576,$A741-1,COLUMN('1-DATA'!V740)),ROUND(INDEX('1-DATA'!$1:$1048576,IF(OR($B742="STD. DEVIATION",$C$1=1),$A742,$A742+1),COLUMN('1-DATA'!V740)),IF($B742="STD. DEVIATION",2,$F$1))))</f>
        <v/>
      </c>
      <c r="X742" s="1" t="str">
        <f>IF(OR($B742="",X$7=""),"",IF($B742="MEANS",INDEX('1-DATA'!$1:$1048576,$A741-1,COLUMN('1-DATA'!W740)),ROUND(INDEX('1-DATA'!$1:$1048576,IF(OR($B742="STD. DEVIATION",$C$1=1),$A742,$A742+1),COLUMN('1-DATA'!W740)),IF($B742="STD. DEVIATION",2,$F$1))))</f>
        <v/>
      </c>
      <c r="Y742" s="1" t="str">
        <f>IF(OR($B742="",Y$7=""),"",IF($B742="MEANS",INDEX('1-DATA'!$1:$1048576,$A741-1,COLUMN('1-DATA'!X740)),ROUND(INDEX('1-DATA'!$1:$1048576,IF(OR($B742="STD. DEVIATION",$C$1=1),$A742,$A742+1),COLUMN('1-DATA'!X740)),IF($B742="STD. DEVIATION",2,$F$1))))</f>
        <v/>
      </c>
      <c r="Z742" s="1" t="str">
        <f>IF(OR($B742="",Z$7=""),"",IF($B742="MEANS",INDEX('1-DATA'!$1:$1048576,$A741-1,COLUMN('1-DATA'!Y740)),ROUND(INDEX('1-DATA'!$1:$1048576,IF(OR($B742="STD. DEVIATION",$C$1=1),$A742,$A742+1),COLUMN('1-DATA'!Y740)),IF($B742="STD. DEVIATION",2,$F$1))))</f>
        <v/>
      </c>
      <c r="AA742" s="1" t="str">
        <f>IF(OR($B742="",AA$7=""),"",IF($B742="MEANS",INDEX('1-DATA'!$1:$1048576,$A741-1,COLUMN('1-DATA'!Z740)),ROUND(INDEX('1-DATA'!$1:$1048576,IF(OR($B742="STD. DEVIATION",$C$1=1),$A742,$A742+1),COLUMN('1-DATA'!Z740)),IF($B742="STD. DEVIATION",2,$F$1))))</f>
        <v/>
      </c>
      <c r="AB742" s="1" t="str">
        <f>IF(OR($B742="",AB$7=""),"",IF($B742="MEANS",INDEX('1-DATA'!$1:$1048576,$A741-1,COLUMN('1-DATA'!AA740)),ROUND(INDEX('1-DATA'!$1:$1048576,IF(OR($B742="STD. DEVIATION",$C$1=1),$A742,$A742+1),COLUMN('1-DATA'!AA740)),IF($B742="STD. DEVIATION",2,$F$1))))</f>
        <v/>
      </c>
      <c r="AC742" s="1" t="str">
        <f>IF(OR($B742="",AC$7=""),"",IF($B742="MEANS",INDEX('1-DATA'!$1:$1048576,$A741-1,COLUMN('1-DATA'!AB740)),ROUND(INDEX('1-DATA'!$1:$1048576,IF(OR($B742="STD. DEVIATION",$C$1=1),$A742,$A742+1),COLUMN('1-DATA'!AB740)),IF($B742="STD. DEVIATION",2,$F$1))))</f>
        <v/>
      </c>
      <c r="AD742" s="1" t="str">
        <f>IF(OR($B742="",AD$7=""),"",IF($B742="MEANS",INDEX('1-DATA'!$1:$1048576,$A741-1,COLUMN('1-DATA'!AC740)),ROUND(INDEX('1-DATA'!$1:$1048576,IF(OR($B742="STD. DEVIATION",$C$1=1),$A742,$A742+1),COLUMN('1-DATA'!AC740)),IF($B742="STD. DEVIATION",2,$F$1))))</f>
        <v/>
      </c>
      <c r="AE742" s="1" t="str">
        <f>IF(OR($B742="",AE$7=""),"",IF($B742="MEANS",INDEX('1-DATA'!$1:$1048576,$A741-1,COLUMN('1-DATA'!AD740)),ROUND(INDEX('1-DATA'!$1:$1048576,IF(OR($B742="STD. DEVIATION",$C$1=1),$A742,$A742+1),COLUMN('1-DATA'!AD740)),IF($B742="STD. DEVIATION",2,$F$1))))</f>
        <v/>
      </c>
      <c r="AF742" s="1" t="str">
        <f>IF(OR($B742="",AF$7=""),"",IF($B742="MEANS",INDEX('1-DATA'!$1:$1048576,$A741-1,COLUMN('1-DATA'!AE740)),ROUND(INDEX('1-DATA'!$1:$1048576,IF(OR($B742="STD. DEVIATION",$C$1=1),$A742,$A742+1),COLUMN('1-DATA'!AE740)),IF($B742="STD. DEVIATION",2,$F$1))))</f>
        <v/>
      </c>
      <c r="AG742" s="1" t="str">
        <f>IF(OR($B742="",AG$7=""),"",IF($B742="MEANS",INDEX('1-DATA'!$1:$1048576,$A741-1,COLUMN('1-DATA'!AF740)),ROUND(INDEX('1-DATA'!$1:$1048576,IF(OR($B742="STD. DEVIATION",$C$1=1),$A742,$A742+1),COLUMN('1-DATA'!AF740)),IF($B742="STD. DEVIATION",2,$F$1))))</f>
        <v/>
      </c>
      <c r="AH742" s="1" t="str">
        <f>IF(OR($B742="",AH$7=""),"",IF($B742="MEANS",INDEX('1-DATA'!$1:$1048576,$A741-1,COLUMN('1-DATA'!AG740)),ROUND(INDEX('1-DATA'!$1:$1048576,IF(OR($B742="STD. DEVIATION",$C$1=1),$A742,$A742+1),COLUMN('1-DATA'!AG740)),IF($B742="STD. DEVIATION",2,$F$1))))</f>
        <v/>
      </c>
      <c r="AI742" s="1" t="str">
        <f>IF(OR($B742="",AI$7=""),"",IF($B742="MEANS",INDEX('1-DATA'!$1:$1048576,$A741-1,COLUMN('1-DATA'!AH740)),ROUND(INDEX('1-DATA'!$1:$1048576,IF(OR($B742="STD. DEVIATION",$C$1=1),$A742,$A742+1),COLUMN('1-DATA'!AH740)),IF($B742="STD. DEVIATION",2,$F$1))))</f>
        <v/>
      </c>
      <c r="AJ742" s="1" t="str">
        <f>IF(OR($B742="",AJ$7=""),"",IF($B742="MEANS",INDEX('1-DATA'!$1:$1048576,$A741-1,COLUMN('1-DATA'!AI740)),ROUND(INDEX('1-DATA'!$1:$1048576,IF(OR($B742="STD. DEVIATION",$C$1=1),$A742,$A742+1),COLUMN('1-DATA'!AI740)),IF($B742="STD. DEVIATION",2,$F$1))))</f>
        <v/>
      </c>
      <c r="AK742" s="1" t="str">
        <f>IF(OR($B742="",AK$7=""),"",IF($B742="MEANS",INDEX('1-DATA'!$1:$1048576,$A741-1,COLUMN('1-DATA'!AJ740)),ROUND(INDEX('1-DATA'!$1:$1048576,IF(OR($B742="STD. DEVIATION",$C$1=1),$A742,$A742+1),COLUMN('1-DATA'!AJ740)),IF($B742="STD. DEVIATION",2,$F$1))))</f>
        <v/>
      </c>
      <c r="AL742" s="1" t="str">
        <f>IF(OR($B742="",AL$7=""),"",IF($B742="MEANS",INDEX('1-DATA'!$1:$1048576,$A741-1,COLUMN('1-DATA'!AK740)),ROUND(INDEX('1-DATA'!$1:$1048576,IF(OR($B742="STD. DEVIATION",$C$1=1),$A742,$A742+1),COLUMN('1-DATA'!AK740)),IF($B742="STD. DEVIATION",2,$F$1))))</f>
        <v/>
      </c>
      <c r="AM742" s="1" t="str">
        <f>IF(OR($B742="",AM$7=""),"",IF($B742="MEANS",INDEX('1-DATA'!$1:$1048576,$A741-1,COLUMN('1-DATA'!AL740)),ROUND(INDEX('1-DATA'!$1:$1048576,IF(OR($B742="STD. DEVIATION",$C$1=1),$A742,$A742+1),COLUMN('1-DATA'!AL740)),IF($B742="STD. DEVIATION",2,$F$1))))</f>
        <v/>
      </c>
      <c r="AN742" s="1" t="str">
        <f>IF(OR($B742="",AN$7=""),"",IF($B742="MEANS",INDEX('1-DATA'!$1:$1048576,$A741-1,COLUMN('1-DATA'!AM740)),ROUND(INDEX('1-DATA'!$1:$1048576,IF(OR($B742="STD. DEVIATION",$C$1=1),$A742,$A742+1),COLUMN('1-DATA'!AM740)),IF($B742="STD. DEVIATION",2,$F$1))))</f>
        <v/>
      </c>
      <c r="AO742" s="1" t="str">
        <f>IF(OR($B742="",AO$7=""),"",IF($B742="MEANS",INDEX('1-DATA'!$1:$1048576,$A741-1,COLUMN('1-DATA'!AN740)),ROUND(INDEX('1-DATA'!$1:$1048576,IF(OR($B742="STD. DEVIATION",$C$1=1),$A742,$A742+1),COLUMN('1-DATA'!AN740)),IF($B742="STD. DEVIATION",2,$F$1))))</f>
        <v/>
      </c>
      <c r="AP742" s="1" t="str">
        <f>IF(OR($B742="",AP$7=""),"",IF($B742="MEANS",INDEX('1-DATA'!$1:$1048576,$A741-1,COLUMN('1-DATA'!AO740)),ROUND(INDEX('1-DATA'!$1:$1048576,IF(OR($B742="STD. DEVIATION",$C$1=1),$A742,$A742+1),COLUMN('1-DATA'!AO740)),IF($B742="STD. DEVIATION",2,$F$1))))</f>
        <v/>
      </c>
      <c r="AQ742" s="1" t="str">
        <f>IF(OR($B742="",AQ$7=""),"",IF($B742="MEANS",INDEX('1-DATA'!$1:$1048576,$A741-1,COLUMN('1-DATA'!AP740)),ROUND(INDEX('1-DATA'!$1:$1048576,IF(OR($B742="STD. DEVIATION",$C$1=1),$A742,$A742+1),COLUMN('1-DATA'!AP740)),IF($B742="STD. DEVIATION",2,$F$1))))</f>
        <v/>
      </c>
      <c r="AR742" s="1" t="str">
        <f>IF(OR($B742="",AR$7=""),"",IF($B742="MEANS",INDEX('1-DATA'!$1:$1048576,$A741-1,COLUMN('1-DATA'!AQ740)),ROUND(INDEX('1-DATA'!$1:$1048576,IF(OR($B742="STD. DEVIATION",$C$1=1),$A742,$A742+1),COLUMN('1-DATA'!AQ740)),IF($B742="STD. DEVIATION",2,$F$1))))</f>
        <v/>
      </c>
      <c r="AS742" s="1" t="str">
        <f>IF(OR($B742="",AS$7=""),"",IF($B742="MEANS",INDEX('1-DATA'!$1:$1048576,$A741-1,COLUMN('1-DATA'!AR740)),ROUND(INDEX('1-DATA'!$1:$1048576,IF(OR($B742="STD. DEVIATION",$C$1=1),$A742,$A742+1),COLUMN('1-DATA'!AR740)),IF($B742="STD. DEVIATION",2,$F$1))))</f>
        <v/>
      </c>
      <c r="AT742" s="1" t="str">
        <f>IF(OR($B742="",AT$7=""),"",IF($B742="MEANS",INDEX('1-DATA'!$1:$1048576,$A741-1,COLUMN('1-DATA'!AS740)),ROUND(INDEX('1-DATA'!$1:$1048576,IF(OR($B742="STD. DEVIATION",$C$1=1),$A742,$A742+1),COLUMN('1-DATA'!AS740)),IF($B742="STD. DEVIATION",2,$F$1))))</f>
        <v/>
      </c>
      <c r="AU742" s="1" t="str">
        <f>IF(OR($B742="",AU$7=""),"",IF($B742="MEANS",INDEX('1-DATA'!$1:$1048576,$A741-1,COLUMN('1-DATA'!AT740)),ROUND(INDEX('1-DATA'!$1:$1048576,IF(OR($B742="STD. DEVIATION",$C$1=1),$A742,$A742+1),COLUMN('1-DATA'!AT740)),IF($B742="STD. DEVIATION",2,$F$1))))</f>
        <v/>
      </c>
      <c r="AV742" s="1" t="str">
        <f>IF(OR($B742="",AV$7=""),"",IF($B742="MEANS",INDEX('1-DATA'!$1:$1048576,$A741-1,COLUMN('1-DATA'!AU740)),ROUND(INDEX('1-DATA'!$1:$1048576,IF(OR($B742="STD. DEVIATION",$C$1=1),$A742,$A742+1),COLUMN('1-DATA'!AU740)),IF($B742="STD. DEVIATION",2,$F$1))))</f>
        <v/>
      </c>
      <c r="AW742" s="1" t="str">
        <f>IF(OR($B742="",AW$7=""),"",IF($B742="MEANS",INDEX('1-DATA'!$1:$1048576,$A741-1,COLUMN('1-DATA'!AV740)),ROUND(INDEX('1-DATA'!$1:$1048576,IF(OR($B742="STD. DEVIATION",$C$1=1),$A742,$A742+1),COLUMN('1-DATA'!AV740)),IF($B742="STD. DEVIATION",2,$F$1))))</f>
        <v/>
      </c>
      <c r="AX742" s="1" t="str">
        <f>IF(OR($B742="",AX$7=""),"",IF($B742="MEANS",INDEX('1-DATA'!$1:$1048576,$A741-1,COLUMN('1-DATA'!AW740)),ROUND(INDEX('1-DATA'!$1:$1048576,IF(OR($B742="STD. DEVIATION",$C$1=1),$A742,$A742+1),COLUMN('1-DATA'!AW740)),IF($B742="STD. DEVIATION",2,$F$1))))</f>
        <v/>
      </c>
      <c r="AY742" s="1" t="str">
        <f>IF(OR($B742="",AY$7=""),"",IF($B742="MEANS",INDEX('1-DATA'!$1:$1048576,$A741-1,COLUMN('1-DATA'!AX740)),ROUND(INDEX('1-DATA'!$1:$1048576,IF(OR($B742="STD. DEVIATION",$C$1=1),$A742,$A742+1),COLUMN('1-DATA'!AX740)),IF($B742="STD. DEVIATION",2,$F$1))))</f>
        <v/>
      </c>
      <c r="AZ742" s="1" t="str">
        <f>IF(OR($B742="",AZ$7=""),"",IF($B742="MEANS",INDEX('1-DATA'!$1:$1048576,$A741-1,COLUMN('1-DATA'!AY740)),ROUND(INDEX('1-DATA'!$1:$1048576,IF(OR($B742="STD. DEVIATION",$C$1=1),$A742,$A742+1),COLUMN('1-DATA'!AY740)),IF($B742="STD. DEVIATION",2,$F$1))))</f>
        <v/>
      </c>
    </row>
    <row r="743" spans="1:52" x14ac:dyDescent="0.25">
      <c r="A743" s="11">
        <f t="shared" si="12"/>
        <v>2215</v>
      </c>
      <c r="B743" s="1" t="str">
        <f>IF(B742="STD. DEVIATION",INDEX('1-DATA'!$1:$1048576,$A742-1,1),IF(INDEX('1-DATA'!$1:$1048576,$A743,1)&lt;&gt;"",INDEX('1-DATA'!$1:$1048576,$A743,1),""))</f>
        <v/>
      </c>
      <c r="C743" s="1" t="str">
        <f>IF(OR($B743="",C$7=""),"",IF($B743="MEANS",INDEX('1-DATA'!$1:$1048576,$A742-1,COLUMN('1-DATA'!B741)),ROUND(INDEX('1-DATA'!$1:$1048576,IF(OR($B743="STD. DEVIATION",$C$1=1),$A743,$A743+1),COLUMN('1-DATA'!B741)),IF($B743="STD. DEVIATION",2,$F$1))))</f>
        <v/>
      </c>
      <c r="D743" s="1" t="str">
        <f>IF(OR($B743="",D$7=""),"",IF($B743="MEANS",INDEX('1-DATA'!$1:$1048576,$A742-1,COLUMN('1-DATA'!C741)),ROUND(INDEX('1-DATA'!$1:$1048576,IF(OR($B743="STD. DEVIATION",$C$1=1),$A743,$A743+1),COLUMN('1-DATA'!C741)),IF($B743="STD. DEVIATION",2,$F$1))))</f>
        <v/>
      </c>
      <c r="E743" s="1" t="str">
        <f>IF(OR($B743="",E$7=""),"",IF($B743="MEANS",INDEX('1-DATA'!$1:$1048576,$A742-1,COLUMN('1-DATA'!D741)),ROUND(INDEX('1-DATA'!$1:$1048576,IF(OR($B743="STD. DEVIATION",$C$1=1),$A743,$A743+1),COLUMN('1-DATA'!D741)),IF($B743="STD. DEVIATION",2,$F$1))))</f>
        <v/>
      </c>
      <c r="F743" s="1" t="str">
        <f>IF(OR($B743="",F$7=""),"",IF($B743="MEANS",INDEX('1-DATA'!$1:$1048576,$A742-1,COLUMN('1-DATA'!E741)),ROUND(INDEX('1-DATA'!$1:$1048576,IF(OR($B743="STD. DEVIATION",$C$1=1),$A743,$A743+1),COLUMN('1-DATA'!E741)),IF($B743="STD. DEVIATION",2,$F$1))))</f>
        <v/>
      </c>
      <c r="G743" s="1" t="str">
        <f>IF(OR($B743="",G$7=""),"",IF($B743="MEANS",INDEX('1-DATA'!$1:$1048576,$A742-1,COLUMN('1-DATA'!F741)),ROUND(INDEX('1-DATA'!$1:$1048576,IF(OR($B743="STD. DEVIATION",$C$1=1),$A743,$A743+1),COLUMN('1-DATA'!F741)),IF($B743="STD. DEVIATION",2,$F$1))))</f>
        <v/>
      </c>
      <c r="H743" s="1" t="str">
        <f>IF(OR($B743="",H$7=""),"",IF($B743="MEANS",INDEX('1-DATA'!$1:$1048576,$A742-1,COLUMN('1-DATA'!G741)),ROUND(INDEX('1-DATA'!$1:$1048576,IF(OR($B743="STD. DEVIATION",$C$1=1),$A743,$A743+1),COLUMN('1-DATA'!G741)),IF($B743="STD. DEVIATION",2,$F$1))))</f>
        <v/>
      </c>
      <c r="I743" s="1" t="str">
        <f>IF(OR($B743="",I$7=""),"",IF($B743="MEANS",INDEX('1-DATA'!$1:$1048576,$A742-1,COLUMN('1-DATA'!H741)),ROUND(INDEX('1-DATA'!$1:$1048576,IF(OR($B743="STD. DEVIATION",$C$1=1),$A743,$A743+1),COLUMN('1-DATA'!H741)),IF($B743="STD. DEVIATION",2,$F$1))))</f>
        <v/>
      </c>
      <c r="J743" s="1" t="str">
        <f>IF(OR($B743="",J$7=""),"",IF($B743="MEANS",INDEX('1-DATA'!$1:$1048576,$A742-1,COLUMN('1-DATA'!I741)),ROUND(INDEX('1-DATA'!$1:$1048576,IF(OR($B743="STD. DEVIATION",$C$1=1),$A743,$A743+1),COLUMN('1-DATA'!I741)),IF($B743="STD. DEVIATION",2,$F$1))))</f>
        <v/>
      </c>
      <c r="K743" s="1" t="str">
        <f>IF(OR($B743="",K$7=""),"",IF($B743="MEANS",INDEX('1-DATA'!$1:$1048576,$A742-1,COLUMN('1-DATA'!J741)),ROUND(INDEX('1-DATA'!$1:$1048576,IF(OR($B743="STD. DEVIATION",$C$1=1),$A743,$A743+1),COLUMN('1-DATA'!J741)),IF($B743="STD. DEVIATION",2,$F$1))))</f>
        <v/>
      </c>
      <c r="L743" s="1" t="str">
        <f>IF(OR($B743="",L$7=""),"",IF($B743="MEANS",INDEX('1-DATA'!$1:$1048576,$A742-1,COLUMN('1-DATA'!K741)),ROUND(INDEX('1-DATA'!$1:$1048576,IF(OR($B743="STD. DEVIATION",$C$1=1),$A743,$A743+1),COLUMN('1-DATA'!K741)),IF($B743="STD. DEVIATION",2,$F$1))))</f>
        <v/>
      </c>
      <c r="M743" s="1" t="str">
        <f>IF(OR($B743="",M$7=""),"",IF($B743="MEANS",INDEX('1-DATA'!$1:$1048576,$A742-1,COLUMN('1-DATA'!L741)),ROUND(INDEX('1-DATA'!$1:$1048576,IF(OR($B743="STD. DEVIATION",$C$1=1),$A743,$A743+1),COLUMN('1-DATA'!L741)),IF($B743="STD. DEVIATION",2,$F$1))))</f>
        <v/>
      </c>
      <c r="N743" s="1" t="str">
        <f>IF(OR($B743="",N$7=""),"",IF($B743="MEANS",INDEX('1-DATA'!$1:$1048576,$A742-1,COLUMN('1-DATA'!M741)),ROUND(INDEX('1-DATA'!$1:$1048576,IF(OR($B743="STD. DEVIATION",$C$1=1),$A743,$A743+1),COLUMN('1-DATA'!M741)),IF($B743="STD. DEVIATION",2,$F$1))))</f>
        <v/>
      </c>
      <c r="O743" s="1" t="str">
        <f>IF(OR($B743="",O$7=""),"",IF($B743="MEANS",INDEX('1-DATA'!$1:$1048576,$A742-1,COLUMN('1-DATA'!N741)),ROUND(INDEX('1-DATA'!$1:$1048576,IF(OR($B743="STD. DEVIATION",$C$1=1),$A743,$A743+1),COLUMN('1-DATA'!N741)),IF($B743="STD. DEVIATION",2,$F$1))))</f>
        <v/>
      </c>
      <c r="P743" s="1" t="str">
        <f>IF(OR($B743="",P$7=""),"",IF($B743="MEANS",INDEX('1-DATA'!$1:$1048576,$A742-1,COLUMN('1-DATA'!O741)),ROUND(INDEX('1-DATA'!$1:$1048576,IF(OR($B743="STD. DEVIATION",$C$1=1),$A743,$A743+1),COLUMN('1-DATA'!O741)),IF($B743="STD. DEVIATION",2,$F$1))))</f>
        <v/>
      </c>
      <c r="Q743" s="1" t="str">
        <f>IF(OR($B743="",Q$7=""),"",IF($B743="MEANS",INDEX('1-DATA'!$1:$1048576,$A742-1,COLUMN('1-DATA'!P741)),ROUND(INDEX('1-DATA'!$1:$1048576,IF(OR($B743="STD. DEVIATION",$C$1=1),$A743,$A743+1),COLUMN('1-DATA'!P741)),IF($B743="STD. DEVIATION",2,$F$1))))</f>
        <v/>
      </c>
      <c r="R743" s="1" t="str">
        <f>IF(OR($B743="",R$7=""),"",IF($B743="MEANS",INDEX('1-DATA'!$1:$1048576,$A742-1,COLUMN('1-DATA'!Q741)),ROUND(INDEX('1-DATA'!$1:$1048576,IF(OR($B743="STD. DEVIATION",$C$1=1),$A743,$A743+1),COLUMN('1-DATA'!Q741)),IF($B743="STD. DEVIATION",2,$F$1))))</f>
        <v/>
      </c>
      <c r="S743" s="1" t="str">
        <f>IF(OR($B743="",S$7=""),"",IF($B743="MEANS",INDEX('1-DATA'!$1:$1048576,$A742-1,COLUMN('1-DATA'!R741)),ROUND(INDEX('1-DATA'!$1:$1048576,IF(OR($B743="STD. DEVIATION",$C$1=1),$A743,$A743+1),COLUMN('1-DATA'!R741)),IF($B743="STD. DEVIATION",2,$F$1))))</f>
        <v/>
      </c>
      <c r="T743" s="1" t="str">
        <f>IF(OR($B743="",T$7=""),"",IF($B743="MEANS",INDEX('1-DATA'!$1:$1048576,$A742-1,COLUMN('1-DATA'!S741)),ROUND(INDEX('1-DATA'!$1:$1048576,IF(OR($B743="STD. DEVIATION",$C$1=1),$A743,$A743+1),COLUMN('1-DATA'!S741)),IF($B743="STD. DEVIATION",2,$F$1))))</f>
        <v/>
      </c>
      <c r="U743" s="1" t="str">
        <f>IF(OR($B743="",U$7=""),"",IF($B743="MEANS",INDEX('1-DATA'!$1:$1048576,$A742-1,COLUMN('1-DATA'!T741)),ROUND(INDEX('1-DATA'!$1:$1048576,IF(OR($B743="STD. DEVIATION",$C$1=1),$A743,$A743+1),COLUMN('1-DATA'!T741)),IF($B743="STD. DEVIATION",2,$F$1))))</f>
        <v/>
      </c>
      <c r="V743" s="1" t="str">
        <f>IF(OR($B743="",V$7=""),"",IF($B743="MEANS",INDEX('1-DATA'!$1:$1048576,$A742-1,COLUMN('1-DATA'!U741)),ROUND(INDEX('1-DATA'!$1:$1048576,IF(OR($B743="STD. DEVIATION",$C$1=1),$A743,$A743+1),COLUMN('1-DATA'!U741)),IF($B743="STD. DEVIATION",2,$F$1))))</f>
        <v/>
      </c>
      <c r="W743" s="1" t="str">
        <f>IF(OR($B743="",W$7=""),"",IF($B743="MEANS",INDEX('1-DATA'!$1:$1048576,$A742-1,COLUMN('1-DATA'!V741)),ROUND(INDEX('1-DATA'!$1:$1048576,IF(OR($B743="STD. DEVIATION",$C$1=1),$A743,$A743+1),COLUMN('1-DATA'!V741)),IF($B743="STD. DEVIATION",2,$F$1))))</f>
        <v/>
      </c>
      <c r="X743" s="1" t="str">
        <f>IF(OR($B743="",X$7=""),"",IF($B743="MEANS",INDEX('1-DATA'!$1:$1048576,$A742-1,COLUMN('1-DATA'!W741)),ROUND(INDEX('1-DATA'!$1:$1048576,IF(OR($B743="STD. DEVIATION",$C$1=1),$A743,$A743+1),COLUMN('1-DATA'!W741)),IF($B743="STD. DEVIATION",2,$F$1))))</f>
        <v/>
      </c>
      <c r="Y743" s="1" t="str">
        <f>IF(OR($B743="",Y$7=""),"",IF($B743="MEANS",INDEX('1-DATA'!$1:$1048576,$A742-1,COLUMN('1-DATA'!X741)),ROUND(INDEX('1-DATA'!$1:$1048576,IF(OR($B743="STD. DEVIATION",$C$1=1),$A743,$A743+1),COLUMN('1-DATA'!X741)),IF($B743="STD. DEVIATION",2,$F$1))))</f>
        <v/>
      </c>
      <c r="Z743" s="1" t="str">
        <f>IF(OR($B743="",Z$7=""),"",IF($B743="MEANS",INDEX('1-DATA'!$1:$1048576,$A742-1,COLUMN('1-DATA'!Y741)),ROUND(INDEX('1-DATA'!$1:$1048576,IF(OR($B743="STD. DEVIATION",$C$1=1),$A743,$A743+1),COLUMN('1-DATA'!Y741)),IF($B743="STD. DEVIATION",2,$F$1))))</f>
        <v/>
      </c>
      <c r="AA743" s="1" t="str">
        <f>IF(OR($B743="",AA$7=""),"",IF($B743="MEANS",INDEX('1-DATA'!$1:$1048576,$A742-1,COLUMN('1-DATA'!Z741)),ROUND(INDEX('1-DATA'!$1:$1048576,IF(OR($B743="STD. DEVIATION",$C$1=1),$A743,$A743+1),COLUMN('1-DATA'!Z741)),IF($B743="STD. DEVIATION",2,$F$1))))</f>
        <v/>
      </c>
      <c r="AB743" s="1" t="str">
        <f>IF(OR($B743="",AB$7=""),"",IF($B743="MEANS",INDEX('1-DATA'!$1:$1048576,$A742-1,COLUMN('1-DATA'!AA741)),ROUND(INDEX('1-DATA'!$1:$1048576,IF(OR($B743="STD. DEVIATION",$C$1=1),$A743,$A743+1),COLUMN('1-DATA'!AA741)),IF($B743="STD. DEVIATION",2,$F$1))))</f>
        <v/>
      </c>
      <c r="AC743" s="1" t="str">
        <f>IF(OR($B743="",AC$7=""),"",IF($B743="MEANS",INDEX('1-DATA'!$1:$1048576,$A742-1,COLUMN('1-DATA'!AB741)),ROUND(INDEX('1-DATA'!$1:$1048576,IF(OR($B743="STD. DEVIATION",$C$1=1),$A743,$A743+1),COLUMN('1-DATA'!AB741)),IF($B743="STD. DEVIATION",2,$F$1))))</f>
        <v/>
      </c>
      <c r="AD743" s="1" t="str">
        <f>IF(OR($B743="",AD$7=""),"",IF($B743="MEANS",INDEX('1-DATA'!$1:$1048576,$A742-1,COLUMN('1-DATA'!AC741)),ROUND(INDEX('1-DATA'!$1:$1048576,IF(OR($B743="STD. DEVIATION",$C$1=1),$A743,$A743+1),COLUMN('1-DATA'!AC741)),IF($B743="STD. DEVIATION",2,$F$1))))</f>
        <v/>
      </c>
      <c r="AE743" s="1" t="str">
        <f>IF(OR($B743="",AE$7=""),"",IF($B743="MEANS",INDEX('1-DATA'!$1:$1048576,$A742-1,COLUMN('1-DATA'!AD741)),ROUND(INDEX('1-DATA'!$1:$1048576,IF(OR($B743="STD. DEVIATION",$C$1=1),$A743,$A743+1),COLUMN('1-DATA'!AD741)),IF($B743="STD. DEVIATION",2,$F$1))))</f>
        <v/>
      </c>
      <c r="AF743" s="1" t="str">
        <f>IF(OR($B743="",AF$7=""),"",IF($B743="MEANS",INDEX('1-DATA'!$1:$1048576,$A742-1,COLUMN('1-DATA'!AE741)),ROUND(INDEX('1-DATA'!$1:$1048576,IF(OR($B743="STD. DEVIATION",$C$1=1),$A743,$A743+1),COLUMN('1-DATA'!AE741)),IF($B743="STD. DEVIATION",2,$F$1))))</f>
        <v/>
      </c>
      <c r="AG743" s="1" t="str">
        <f>IF(OR($B743="",AG$7=""),"",IF($B743="MEANS",INDEX('1-DATA'!$1:$1048576,$A742-1,COLUMN('1-DATA'!AF741)),ROUND(INDEX('1-DATA'!$1:$1048576,IF(OR($B743="STD. DEVIATION",$C$1=1),$A743,$A743+1),COLUMN('1-DATA'!AF741)),IF($B743="STD. DEVIATION",2,$F$1))))</f>
        <v/>
      </c>
      <c r="AH743" s="1" t="str">
        <f>IF(OR($B743="",AH$7=""),"",IF($B743="MEANS",INDEX('1-DATA'!$1:$1048576,$A742-1,COLUMN('1-DATA'!AG741)),ROUND(INDEX('1-DATA'!$1:$1048576,IF(OR($B743="STD. DEVIATION",$C$1=1),$A743,$A743+1),COLUMN('1-DATA'!AG741)),IF($B743="STD. DEVIATION",2,$F$1))))</f>
        <v/>
      </c>
      <c r="AI743" s="1" t="str">
        <f>IF(OR($B743="",AI$7=""),"",IF($B743="MEANS",INDEX('1-DATA'!$1:$1048576,$A742-1,COLUMN('1-DATA'!AH741)),ROUND(INDEX('1-DATA'!$1:$1048576,IF(OR($B743="STD. DEVIATION",$C$1=1),$A743,$A743+1),COLUMN('1-DATA'!AH741)),IF($B743="STD. DEVIATION",2,$F$1))))</f>
        <v/>
      </c>
      <c r="AJ743" s="1" t="str">
        <f>IF(OR($B743="",AJ$7=""),"",IF($B743="MEANS",INDEX('1-DATA'!$1:$1048576,$A742-1,COLUMN('1-DATA'!AI741)),ROUND(INDEX('1-DATA'!$1:$1048576,IF(OR($B743="STD. DEVIATION",$C$1=1),$A743,$A743+1),COLUMN('1-DATA'!AI741)),IF($B743="STD. DEVIATION",2,$F$1))))</f>
        <v/>
      </c>
      <c r="AK743" s="1" t="str">
        <f>IF(OR($B743="",AK$7=""),"",IF($B743="MEANS",INDEX('1-DATA'!$1:$1048576,$A742-1,COLUMN('1-DATA'!AJ741)),ROUND(INDEX('1-DATA'!$1:$1048576,IF(OR($B743="STD. DEVIATION",$C$1=1),$A743,$A743+1),COLUMN('1-DATA'!AJ741)),IF($B743="STD. DEVIATION",2,$F$1))))</f>
        <v/>
      </c>
      <c r="AL743" s="1" t="str">
        <f>IF(OR($B743="",AL$7=""),"",IF($B743="MEANS",INDEX('1-DATA'!$1:$1048576,$A742-1,COLUMN('1-DATA'!AK741)),ROUND(INDEX('1-DATA'!$1:$1048576,IF(OR($B743="STD. DEVIATION",$C$1=1),$A743,$A743+1),COLUMN('1-DATA'!AK741)),IF($B743="STD. DEVIATION",2,$F$1))))</f>
        <v/>
      </c>
      <c r="AM743" s="1" t="str">
        <f>IF(OR($B743="",AM$7=""),"",IF($B743="MEANS",INDEX('1-DATA'!$1:$1048576,$A742-1,COLUMN('1-DATA'!AL741)),ROUND(INDEX('1-DATA'!$1:$1048576,IF(OR($B743="STD. DEVIATION",$C$1=1),$A743,$A743+1),COLUMN('1-DATA'!AL741)),IF($B743="STD. DEVIATION",2,$F$1))))</f>
        <v/>
      </c>
      <c r="AN743" s="1" t="str">
        <f>IF(OR($B743="",AN$7=""),"",IF($B743="MEANS",INDEX('1-DATA'!$1:$1048576,$A742-1,COLUMN('1-DATA'!AM741)),ROUND(INDEX('1-DATA'!$1:$1048576,IF(OR($B743="STD. DEVIATION",$C$1=1),$A743,$A743+1),COLUMN('1-DATA'!AM741)),IF($B743="STD. DEVIATION",2,$F$1))))</f>
        <v/>
      </c>
      <c r="AO743" s="1" t="str">
        <f>IF(OR($B743="",AO$7=""),"",IF($B743="MEANS",INDEX('1-DATA'!$1:$1048576,$A742-1,COLUMN('1-DATA'!AN741)),ROUND(INDEX('1-DATA'!$1:$1048576,IF(OR($B743="STD. DEVIATION",$C$1=1),$A743,$A743+1),COLUMN('1-DATA'!AN741)),IF($B743="STD. DEVIATION",2,$F$1))))</f>
        <v/>
      </c>
      <c r="AP743" s="1" t="str">
        <f>IF(OR($B743="",AP$7=""),"",IF($B743="MEANS",INDEX('1-DATA'!$1:$1048576,$A742-1,COLUMN('1-DATA'!AO741)),ROUND(INDEX('1-DATA'!$1:$1048576,IF(OR($B743="STD. DEVIATION",$C$1=1),$A743,$A743+1),COLUMN('1-DATA'!AO741)),IF($B743="STD. DEVIATION",2,$F$1))))</f>
        <v/>
      </c>
      <c r="AQ743" s="1" t="str">
        <f>IF(OR($B743="",AQ$7=""),"",IF($B743="MEANS",INDEX('1-DATA'!$1:$1048576,$A742-1,COLUMN('1-DATA'!AP741)),ROUND(INDEX('1-DATA'!$1:$1048576,IF(OR($B743="STD. DEVIATION",$C$1=1),$A743,$A743+1),COLUMN('1-DATA'!AP741)),IF($B743="STD. DEVIATION",2,$F$1))))</f>
        <v/>
      </c>
      <c r="AR743" s="1" t="str">
        <f>IF(OR($B743="",AR$7=""),"",IF($B743="MEANS",INDEX('1-DATA'!$1:$1048576,$A742-1,COLUMN('1-DATA'!AQ741)),ROUND(INDEX('1-DATA'!$1:$1048576,IF(OR($B743="STD. DEVIATION",$C$1=1),$A743,$A743+1),COLUMN('1-DATA'!AQ741)),IF($B743="STD. DEVIATION",2,$F$1))))</f>
        <v/>
      </c>
      <c r="AS743" s="1" t="str">
        <f>IF(OR($B743="",AS$7=""),"",IF($B743="MEANS",INDEX('1-DATA'!$1:$1048576,$A742-1,COLUMN('1-DATA'!AR741)),ROUND(INDEX('1-DATA'!$1:$1048576,IF(OR($B743="STD. DEVIATION",$C$1=1),$A743,$A743+1),COLUMN('1-DATA'!AR741)),IF($B743="STD. DEVIATION",2,$F$1))))</f>
        <v/>
      </c>
      <c r="AT743" s="1" t="str">
        <f>IF(OR($B743="",AT$7=""),"",IF($B743="MEANS",INDEX('1-DATA'!$1:$1048576,$A742-1,COLUMN('1-DATA'!AS741)),ROUND(INDEX('1-DATA'!$1:$1048576,IF(OR($B743="STD. DEVIATION",$C$1=1),$A743,$A743+1),COLUMN('1-DATA'!AS741)),IF($B743="STD. DEVIATION",2,$F$1))))</f>
        <v/>
      </c>
      <c r="AU743" s="1" t="str">
        <f>IF(OR($B743="",AU$7=""),"",IF($B743="MEANS",INDEX('1-DATA'!$1:$1048576,$A742-1,COLUMN('1-DATA'!AT741)),ROUND(INDEX('1-DATA'!$1:$1048576,IF(OR($B743="STD. DEVIATION",$C$1=1),$A743,$A743+1),COLUMN('1-DATA'!AT741)),IF($B743="STD. DEVIATION",2,$F$1))))</f>
        <v/>
      </c>
      <c r="AV743" s="1" t="str">
        <f>IF(OR($B743="",AV$7=""),"",IF($B743="MEANS",INDEX('1-DATA'!$1:$1048576,$A742-1,COLUMN('1-DATA'!AU741)),ROUND(INDEX('1-DATA'!$1:$1048576,IF(OR($B743="STD. DEVIATION",$C$1=1),$A743,$A743+1),COLUMN('1-DATA'!AU741)),IF($B743="STD. DEVIATION",2,$F$1))))</f>
        <v/>
      </c>
      <c r="AW743" s="1" t="str">
        <f>IF(OR($B743="",AW$7=""),"",IF($B743="MEANS",INDEX('1-DATA'!$1:$1048576,$A742-1,COLUMN('1-DATA'!AV741)),ROUND(INDEX('1-DATA'!$1:$1048576,IF(OR($B743="STD. DEVIATION",$C$1=1),$A743,$A743+1),COLUMN('1-DATA'!AV741)),IF($B743="STD. DEVIATION",2,$F$1))))</f>
        <v/>
      </c>
      <c r="AX743" s="1" t="str">
        <f>IF(OR($B743="",AX$7=""),"",IF($B743="MEANS",INDEX('1-DATA'!$1:$1048576,$A742-1,COLUMN('1-DATA'!AW741)),ROUND(INDEX('1-DATA'!$1:$1048576,IF(OR($B743="STD. DEVIATION",$C$1=1),$A743,$A743+1),COLUMN('1-DATA'!AW741)),IF($B743="STD. DEVIATION",2,$F$1))))</f>
        <v/>
      </c>
      <c r="AY743" s="1" t="str">
        <f>IF(OR($B743="",AY$7=""),"",IF($B743="MEANS",INDEX('1-DATA'!$1:$1048576,$A742-1,COLUMN('1-DATA'!AX741)),ROUND(INDEX('1-DATA'!$1:$1048576,IF(OR($B743="STD. DEVIATION",$C$1=1),$A743,$A743+1),COLUMN('1-DATA'!AX741)),IF($B743="STD. DEVIATION",2,$F$1))))</f>
        <v/>
      </c>
      <c r="AZ743" s="1" t="str">
        <f>IF(OR($B743="",AZ$7=""),"",IF($B743="MEANS",INDEX('1-DATA'!$1:$1048576,$A742-1,COLUMN('1-DATA'!AY741)),ROUND(INDEX('1-DATA'!$1:$1048576,IF(OR($B743="STD. DEVIATION",$C$1=1),$A743,$A743+1),COLUMN('1-DATA'!AY741)),IF($B743="STD. DEVIATION",2,$F$1))))</f>
        <v/>
      </c>
    </row>
    <row r="744" spans="1:52" x14ac:dyDescent="0.25">
      <c r="A744" s="11">
        <f t="shared" si="12"/>
        <v>2218</v>
      </c>
      <c r="B744" s="1" t="str">
        <f>IF(B743="STD. DEVIATION",INDEX('1-DATA'!$1:$1048576,$A743-1,1),IF(INDEX('1-DATA'!$1:$1048576,$A744,1)&lt;&gt;"",INDEX('1-DATA'!$1:$1048576,$A744,1),""))</f>
        <v/>
      </c>
      <c r="C744" s="1" t="str">
        <f>IF(OR($B744="",C$7=""),"",IF($B744="MEANS",INDEX('1-DATA'!$1:$1048576,$A743-1,COLUMN('1-DATA'!B742)),ROUND(INDEX('1-DATA'!$1:$1048576,IF(OR($B744="STD. DEVIATION",$C$1=1),$A744,$A744+1),COLUMN('1-DATA'!B742)),IF($B744="STD. DEVIATION",2,$F$1))))</f>
        <v/>
      </c>
      <c r="D744" s="1" t="str">
        <f>IF(OR($B744="",D$7=""),"",IF($B744="MEANS",INDEX('1-DATA'!$1:$1048576,$A743-1,COLUMN('1-DATA'!C742)),ROUND(INDEX('1-DATA'!$1:$1048576,IF(OR($B744="STD. DEVIATION",$C$1=1),$A744,$A744+1),COLUMN('1-DATA'!C742)),IF($B744="STD. DEVIATION",2,$F$1))))</f>
        <v/>
      </c>
      <c r="E744" s="1" t="str">
        <f>IF(OR($B744="",E$7=""),"",IF($B744="MEANS",INDEX('1-DATA'!$1:$1048576,$A743-1,COLUMN('1-DATA'!D742)),ROUND(INDEX('1-DATA'!$1:$1048576,IF(OR($B744="STD. DEVIATION",$C$1=1),$A744,$A744+1),COLUMN('1-DATA'!D742)),IF($B744="STD. DEVIATION",2,$F$1))))</f>
        <v/>
      </c>
      <c r="F744" s="1" t="str">
        <f>IF(OR($B744="",F$7=""),"",IF($B744="MEANS",INDEX('1-DATA'!$1:$1048576,$A743-1,COLUMN('1-DATA'!E742)),ROUND(INDEX('1-DATA'!$1:$1048576,IF(OR($B744="STD. DEVIATION",$C$1=1),$A744,$A744+1),COLUMN('1-DATA'!E742)),IF($B744="STD. DEVIATION",2,$F$1))))</f>
        <v/>
      </c>
      <c r="G744" s="1" t="str">
        <f>IF(OR($B744="",G$7=""),"",IF($B744="MEANS",INDEX('1-DATA'!$1:$1048576,$A743-1,COLUMN('1-DATA'!F742)),ROUND(INDEX('1-DATA'!$1:$1048576,IF(OR($B744="STD. DEVIATION",$C$1=1),$A744,$A744+1),COLUMN('1-DATA'!F742)),IF($B744="STD. DEVIATION",2,$F$1))))</f>
        <v/>
      </c>
      <c r="H744" s="1" t="str">
        <f>IF(OR($B744="",H$7=""),"",IF($B744="MEANS",INDEX('1-DATA'!$1:$1048576,$A743-1,COLUMN('1-DATA'!G742)),ROUND(INDEX('1-DATA'!$1:$1048576,IF(OR($B744="STD. DEVIATION",$C$1=1),$A744,$A744+1),COLUMN('1-DATA'!G742)),IF($B744="STD. DEVIATION",2,$F$1))))</f>
        <v/>
      </c>
      <c r="I744" s="1" t="str">
        <f>IF(OR($B744="",I$7=""),"",IF($B744="MEANS",INDEX('1-DATA'!$1:$1048576,$A743-1,COLUMN('1-DATA'!H742)),ROUND(INDEX('1-DATA'!$1:$1048576,IF(OR($B744="STD. DEVIATION",$C$1=1),$A744,$A744+1),COLUMN('1-DATA'!H742)),IF($B744="STD. DEVIATION",2,$F$1))))</f>
        <v/>
      </c>
      <c r="J744" s="1" t="str">
        <f>IF(OR($B744="",J$7=""),"",IF($B744="MEANS",INDEX('1-DATA'!$1:$1048576,$A743-1,COLUMN('1-DATA'!I742)),ROUND(INDEX('1-DATA'!$1:$1048576,IF(OR($B744="STD. DEVIATION",$C$1=1),$A744,$A744+1),COLUMN('1-DATA'!I742)),IF($B744="STD. DEVIATION",2,$F$1))))</f>
        <v/>
      </c>
      <c r="K744" s="1" t="str">
        <f>IF(OR($B744="",K$7=""),"",IF($B744="MEANS",INDEX('1-DATA'!$1:$1048576,$A743-1,COLUMN('1-DATA'!J742)),ROUND(INDEX('1-DATA'!$1:$1048576,IF(OR($B744="STD. DEVIATION",$C$1=1),$A744,$A744+1),COLUMN('1-DATA'!J742)),IF($B744="STD. DEVIATION",2,$F$1))))</f>
        <v/>
      </c>
      <c r="L744" s="1" t="str">
        <f>IF(OR($B744="",L$7=""),"",IF($B744="MEANS",INDEX('1-DATA'!$1:$1048576,$A743-1,COLUMN('1-DATA'!K742)),ROUND(INDEX('1-DATA'!$1:$1048576,IF(OR($B744="STD. DEVIATION",$C$1=1),$A744,$A744+1),COLUMN('1-DATA'!K742)),IF($B744="STD. DEVIATION",2,$F$1))))</f>
        <v/>
      </c>
      <c r="M744" s="1" t="str">
        <f>IF(OR($B744="",M$7=""),"",IF($B744="MEANS",INDEX('1-DATA'!$1:$1048576,$A743-1,COLUMN('1-DATA'!L742)),ROUND(INDEX('1-DATA'!$1:$1048576,IF(OR($B744="STD. DEVIATION",$C$1=1),$A744,$A744+1),COLUMN('1-DATA'!L742)),IF($B744="STD. DEVIATION",2,$F$1))))</f>
        <v/>
      </c>
      <c r="N744" s="1" t="str">
        <f>IF(OR($B744="",N$7=""),"",IF($B744="MEANS",INDEX('1-DATA'!$1:$1048576,$A743-1,COLUMN('1-DATA'!M742)),ROUND(INDEX('1-DATA'!$1:$1048576,IF(OR($B744="STD. DEVIATION",$C$1=1),$A744,$A744+1),COLUMN('1-DATA'!M742)),IF($B744="STD. DEVIATION",2,$F$1))))</f>
        <v/>
      </c>
      <c r="O744" s="1" t="str">
        <f>IF(OR($B744="",O$7=""),"",IF($B744="MEANS",INDEX('1-DATA'!$1:$1048576,$A743-1,COLUMN('1-DATA'!N742)),ROUND(INDEX('1-DATA'!$1:$1048576,IF(OR($B744="STD. DEVIATION",$C$1=1),$A744,$A744+1),COLUMN('1-DATA'!N742)),IF($B744="STD. DEVIATION",2,$F$1))))</f>
        <v/>
      </c>
      <c r="P744" s="1" t="str">
        <f>IF(OR($B744="",P$7=""),"",IF($B744="MEANS",INDEX('1-DATA'!$1:$1048576,$A743-1,COLUMN('1-DATA'!O742)),ROUND(INDEX('1-DATA'!$1:$1048576,IF(OR($B744="STD. DEVIATION",$C$1=1),$A744,$A744+1),COLUMN('1-DATA'!O742)),IF($B744="STD. DEVIATION",2,$F$1))))</f>
        <v/>
      </c>
      <c r="Q744" s="1" t="str">
        <f>IF(OR($B744="",Q$7=""),"",IF($B744="MEANS",INDEX('1-DATA'!$1:$1048576,$A743-1,COLUMN('1-DATA'!P742)),ROUND(INDEX('1-DATA'!$1:$1048576,IF(OR($B744="STD. DEVIATION",$C$1=1),$A744,$A744+1),COLUMN('1-DATA'!P742)),IF($B744="STD. DEVIATION",2,$F$1))))</f>
        <v/>
      </c>
      <c r="R744" s="1" t="str">
        <f>IF(OR($B744="",R$7=""),"",IF($B744="MEANS",INDEX('1-DATA'!$1:$1048576,$A743-1,COLUMN('1-DATA'!Q742)),ROUND(INDEX('1-DATA'!$1:$1048576,IF(OR($B744="STD. DEVIATION",$C$1=1),$A744,$A744+1),COLUMN('1-DATA'!Q742)),IF($B744="STD. DEVIATION",2,$F$1))))</f>
        <v/>
      </c>
      <c r="S744" s="1" t="str">
        <f>IF(OR($B744="",S$7=""),"",IF($B744="MEANS",INDEX('1-DATA'!$1:$1048576,$A743-1,COLUMN('1-DATA'!R742)),ROUND(INDEX('1-DATA'!$1:$1048576,IF(OR($B744="STD. DEVIATION",$C$1=1),$A744,$A744+1),COLUMN('1-DATA'!R742)),IF($B744="STD. DEVIATION",2,$F$1))))</f>
        <v/>
      </c>
      <c r="T744" s="1" t="str">
        <f>IF(OR($B744="",T$7=""),"",IF($B744="MEANS",INDEX('1-DATA'!$1:$1048576,$A743-1,COLUMN('1-DATA'!S742)),ROUND(INDEX('1-DATA'!$1:$1048576,IF(OR($B744="STD. DEVIATION",$C$1=1),$A744,$A744+1),COLUMN('1-DATA'!S742)),IF($B744="STD. DEVIATION",2,$F$1))))</f>
        <v/>
      </c>
      <c r="U744" s="1" t="str">
        <f>IF(OR($B744="",U$7=""),"",IF($B744="MEANS",INDEX('1-DATA'!$1:$1048576,$A743-1,COLUMN('1-DATA'!T742)),ROUND(INDEX('1-DATA'!$1:$1048576,IF(OR($B744="STD. DEVIATION",$C$1=1),$A744,$A744+1),COLUMN('1-DATA'!T742)),IF($B744="STD. DEVIATION",2,$F$1))))</f>
        <v/>
      </c>
      <c r="V744" s="1" t="str">
        <f>IF(OR($B744="",V$7=""),"",IF($B744="MEANS",INDEX('1-DATA'!$1:$1048576,$A743-1,COLUMN('1-DATA'!U742)),ROUND(INDEX('1-DATA'!$1:$1048576,IF(OR($B744="STD. DEVIATION",$C$1=1),$A744,$A744+1),COLUMN('1-DATA'!U742)),IF($B744="STD. DEVIATION",2,$F$1))))</f>
        <v/>
      </c>
      <c r="W744" s="1" t="str">
        <f>IF(OR($B744="",W$7=""),"",IF($B744="MEANS",INDEX('1-DATA'!$1:$1048576,$A743-1,COLUMN('1-DATA'!V742)),ROUND(INDEX('1-DATA'!$1:$1048576,IF(OR($B744="STD. DEVIATION",$C$1=1),$A744,$A744+1),COLUMN('1-DATA'!V742)),IF($B744="STD. DEVIATION",2,$F$1))))</f>
        <v/>
      </c>
      <c r="X744" s="1" t="str">
        <f>IF(OR($B744="",X$7=""),"",IF($B744="MEANS",INDEX('1-DATA'!$1:$1048576,$A743-1,COLUMN('1-DATA'!W742)),ROUND(INDEX('1-DATA'!$1:$1048576,IF(OR($B744="STD. DEVIATION",$C$1=1),$A744,$A744+1),COLUMN('1-DATA'!W742)),IF($B744="STD. DEVIATION",2,$F$1))))</f>
        <v/>
      </c>
      <c r="Y744" s="1" t="str">
        <f>IF(OR($B744="",Y$7=""),"",IF($B744="MEANS",INDEX('1-DATA'!$1:$1048576,$A743-1,COLUMN('1-DATA'!X742)),ROUND(INDEX('1-DATA'!$1:$1048576,IF(OR($B744="STD. DEVIATION",$C$1=1),$A744,$A744+1),COLUMN('1-DATA'!X742)),IF($B744="STD. DEVIATION",2,$F$1))))</f>
        <v/>
      </c>
      <c r="Z744" s="1" t="str">
        <f>IF(OR($B744="",Z$7=""),"",IF($B744="MEANS",INDEX('1-DATA'!$1:$1048576,$A743-1,COLUMN('1-DATA'!Y742)),ROUND(INDEX('1-DATA'!$1:$1048576,IF(OR($B744="STD. DEVIATION",$C$1=1),$A744,$A744+1),COLUMN('1-DATA'!Y742)),IF($B744="STD. DEVIATION",2,$F$1))))</f>
        <v/>
      </c>
      <c r="AA744" s="1" t="str">
        <f>IF(OR($B744="",AA$7=""),"",IF($B744="MEANS",INDEX('1-DATA'!$1:$1048576,$A743-1,COLUMN('1-DATA'!Z742)),ROUND(INDEX('1-DATA'!$1:$1048576,IF(OR($B744="STD. DEVIATION",$C$1=1),$A744,$A744+1),COLUMN('1-DATA'!Z742)),IF($B744="STD. DEVIATION",2,$F$1))))</f>
        <v/>
      </c>
      <c r="AB744" s="1" t="str">
        <f>IF(OR($B744="",AB$7=""),"",IF($B744="MEANS",INDEX('1-DATA'!$1:$1048576,$A743-1,COLUMN('1-DATA'!AA742)),ROUND(INDEX('1-DATA'!$1:$1048576,IF(OR($B744="STD. DEVIATION",$C$1=1),$A744,$A744+1),COLUMN('1-DATA'!AA742)),IF($B744="STD. DEVIATION",2,$F$1))))</f>
        <v/>
      </c>
      <c r="AC744" s="1" t="str">
        <f>IF(OR($B744="",AC$7=""),"",IF($B744="MEANS",INDEX('1-DATA'!$1:$1048576,$A743-1,COLUMN('1-DATA'!AB742)),ROUND(INDEX('1-DATA'!$1:$1048576,IF(OR($B744="STD. DEVIATION",$C$1=1),$A744,$A744+1),COLUMN('1-DATA'!AB742)),IF($B744="STD. DEVIATION",2,$F$1))))</f>
        <v/>
      </c>
      <c r="AD744" s="1" t="str">
        <f>IF(OR($B744="",AD$7=""),"",IF($B744="MEANS",INDEX('1-DATA'!$1:$1048576,$A743-1,COLUMN('1-DATA'!AC742)),ROUND(INDEX('1-DATA'!$1:$1048576,IF(OR($B744="STD. DEVIATION",$C$1=1),$A744,$A744+1),COLUMN('1-DATA'!AC742)),IF($B744="STD. DEVIATION",2,$F$1))))</f>
        <v/>
      </c>
      <c r="AE744" s="1" t="str">
        <f>IF(OR($B744="",AE$7=""),"",IF($B744="MEANS",INDEX('1-DATA'!$1:$1048576,$A743-1,COLUMN('1-DATA'!AD742)),ROUND(INDEX('1-DATA'!$1:$1048576,IF(OR($B744="STD. DEVIATION",$C$1=1),$A744,$A744+1),COLUMN('1-DATA'!AD742)),IF($B744="STD. DEVIATION",2,$F$1))))</f>
        <v/>
      </c>
      <c r="AF744" s="1" t="str">
        <f>IF(OR($B744="",AF$7=""),"",IF($B744="MEANS",INDEX('1-DATA'!$1:$1048576,$A743-1,COLUMN('1-DATA'!AE742)),ROUND(INDEX('1-DATA'!$1:$1048576,IF(OR($B744="STD. DEVIATION",$C$1=1),$A744,$A744+1),COLUMN('1-DATA'!AE742)),IF($B744="STD. DEVIATION",2,$F$1))))</f>
        <v/>
      </c>
      <c r="AG744" s="1" t="str">
        <f>IF(OR($B744="",AG$7=""),"",IF($B744="MEANS",INDEX('1-DATA'!$1:$1048576,$A743-1,COLUMN('1-DATA'!AF742)),ROUND(INDEX('1-DATA'!$1:$1048576,IF(OR($B744="STD. DEVIATION",$C$1=1),$A744,$A744+1),COLUMN('1-DATA'!AF742)),IF($B744="STD. DEVIATION",2,$F$1))))</f>
        <v/>
      </c>
      <c r="AH744" s="1" t="str">
        <f>IF(OR($B744="",AH$7=""),"",IF($B744="MEANS",INDEX('1-DATA'!$1:$1048576,$A743-1,COLUMN('1-DATA'!AG742)),ROUND(INDEX('1-DATA'!$1:$1048576,IF(OR($B744="STD. DEVIATION",$C$1=1),$A744,$A744+1),COLUMN('1-DATA'!AG742)),IF($B744="STD. DEVIATION",2,$F$1))))</f>
        <v/>
      </c>
      <c r="AI744" s="1" t="str">
        <f>IF(OR($B744="",AI$7=""),"",IF($B744="MEANS",INDEX('1-DATA'!$1:$1048576,$A743-1,COLUMN('1-DATA'!AH742)),ROUND(INDEX('1-DATA'!$1:$1048576,IF(OR($B744="STD. DEVIATION",$C$1=1),$A744,$A744+1),COLUMN('1-DATA'!AH742)),IF($B744="STD. DEVIATION",2,$F$1))))</f>
        <v/>
      </c>
      <c r="AJ744" s="1" t="str">
        <f>IF(OR($B744="",AJ$7=""),"",IF($B744="MEANS",INDEX('1-DATA'!$1:$1048576,$A743-1,COLUMN('1-DATA'!AI742)),ROUND(INDEX('1-DATA'!$1:$1048576,IF(OR($B744="STD. DEVIATION",$C$1=1),$A744,$A744+1),COLUMN('1-DATA'!AI742)),IF($B744="STD. DEVIATION",2,$F$1))))</f>
        <v/>
      </c>
      <c r="AK744" s="1" t="str">
        <f>IF(OR($B744="",AK$7=""),"",IF($B744="MEANS",INDEX('1-DATA'!$1:$1048576,$A743-1,COLUMN('1-DATA'!AJ742)),ROUND(INDEX('1-DATA'!$1:$1048576,IF(OR($B744="STD. DEVIATION",$C$1=1),$A744,$A744+1),COLUMN('1-DATA'!AJ742)),IF($B744="STD. DEVIATION",2,$F$1))))</f>
        <v/>
      </c>
      <c r="AL744" s="1" t="str">
        <f>IF(OR($B744="",AL$7=""),"",IF($B744="MEANS",INDEX('1-DATA'!$1:$1048576,$A743-1,COLUMN('1-DATA'!AK742)),ROUND(INDEX('1-DATA'!$1:$1048576,IF(OR($B744="STD. DEVIATION",$C$1=1),$A744,$A744+1),COLUMN('1-DATA'!AK742)),IF($B744="STD. DEVIATION",2,$F$1))))</f>
        <v/>
      </c>
      <c r="AM744" s="1" t="str">
        <f>IF(OR($B744="",AM$7=""),"",IF($B744="MEANS",INDEX('1-DATA'!$1:$1048576,$A743-1,COLUMN('1-DATA'!AL742)),ROUND(INDEX('1-DATA'!$1:$1048576,IF(OR($B744="STD. DEVIATION",$C$1=1),$A744,$A744+1),COLUMN('1-DATA'!AL742)),IF($B744="STD. DEVIATION",2,$F$1))))</f>
        <v/>
      </c>
      <c r="AN744" s="1" t="str">
        <f>IF(OR($B744="",AN$7=""),"",IF($B744="MEANS",INDEX('1-DATA'!$1:$1048576,$A743-1,COLUMN('1-DATA'!AM742)),ROUND(INDEX('1-DATA'!$1:$1048576,IF(OR($B744="STD. DEVIATION",$C$1=1),$A744,$A744+1),COLUMN('1-DATA'!AM742)),IF($B744="STD. DEVIATION",2,$F$1))))</f>
        <v/>
      </c>
      <c r="AO744" s="1" t="str">
        <f>IF(OR($B744="",AO$7=""),"",IF($B744="MEANS",INDEX('1-DATA'!$1:$1048576,$A743-1,COLUMN('1-DATA'!AN742)),ROUND(INDEX('1-DATA'!$1:$1048576,IF(OR($B744="STD. DEVIATION",$C$1=1),$A744,$A744+1),COLUMN('1-DATA'!AN742)),IF($B744="STD. DEVIATION",2,$F$1))))</f>
        <v/>
      </c>
      <c r="AP744" s="1" t="str">
        <f>IF(OR($B744="",AP$7=""),"",IF($B744="MEANS",INDEX('1-DATA'!$1:$1048576,$A743-1,COLUMN('1-DATA'!AO742)),ROUND(INDEX('1-DATA'!$1:$1048576,IF(OR($B744="STD. DEVIATION",$C$1=1),$A744,$A744+1),COLUMN('1-DATA'!AO742)),IF($B744="STD. DEVIATION",2,$F$1))))</f>
        <v/>
      </c>
      <c r="AQ744" s="1" t="str">
        <f>IF(OR($B744="",AQ$7=""),"",IF($B744="MEANS",INDEX('1-DATA'!$1:$1048576,$A743-1,COLUMN('1-DATA'!AP742)),ROUND(INDEX('1-DATA'!$1:$1048576,IF(OR($B744="STD. DEVIATION",$C$1=1),$A744,$A744+1),COLUMN('1-DATA'!AP742)),IF($B744="STD. DEVIATION",2,$F$1))))</f>
        <v/>
      </c>
      <c r="AR744" s="1" t="str">
        <f>IF(OR($B744="",AR$7=""),"",IF($B744="MEANS",INDEX('1-DATA'!$1:$1048576,$A743-1,COLUMN('1-DATA'!AQ742)),ROUND(INDEX('1-DATA'!$1:$1048576,IF(OR($B744="STD. DEVIATION",$C$1=1),$A744,$A744+1),COLUMN('1-DATA'!AQ742)),IF($B744="STD. DEVIATION",2,$F$1))))</f>
        <v/>
      </c>
      <c r="AS744" s="1" t="str">
        <f>IF(OR($B744="",AS$7=""),"",IF($B744="MEANS",INDEX('1-DATA'!$1:$1048576,$A743-1,COLUMN('1-DATA'!AR742)),ROUND(INDEX('1-DATA'!$1:$1048576,IF(OR($B744="STD. DEVIATION",$C$1=1),$A744,$A744+1),COLUMN('1-DATA'!AR742)),IF($B744="STD. DEVIATION",2,$F$1))))</f>
        <v/>
      </c>
      <c r="AT744" s="1" t="str">
        <f>IF(OR($B744="",AT$7=""),"",IF($B744="MEANS",INDEX('1-DATA'!$1:$1048576,$A743-1,COLUMN('1-DATA'!AS742)),ROUND(INDEX('1-DATA'!$1:$1048576,IF(OR($B744="STD. DEVIATION",$C$1=1),$A744,$A744+1),COLUMN('1-DATA'!AS742)),IF($B744="STD. DEVIATION",2,$F$1))))</f>
        <v/>
      </c>
      <c r="AU744" s="1" t="str">
        <f>IF(OR($B744="",AU$7=""),"",IF($B744="MEANS",INDEX('1-DATA'!$1:$1048576,$A743-1,COLUMN('1-DATA'!AT742)),ROUND(INDEX('1-DATA'!$1:$1048576,IF(OR($B744="STD. DEVIATION",$C$1=1),$A744,$A744+1),COLUMN('1-DATA'!AT742)),IF($B744="STD. DEVIATION",2,$F$1))))</f>
        <v/>
      </c>
      <c r="AV744" s="1" t="str">
        <f>IF(OR($B744="",AV$7=""),"",IF($B744="MEANS",INDEX('1-DATA'!$1:$1048576,$A743-1,COLUMN('1-DATA'!AU742)),ROUND(INDEX('1-DATA'!$1:$1048576,IF(OR($B744="STD. DEVIATION",$C$1=1),$A744,$A744+1),COLUMN('1-DATA'!AU742)),IF($B744="STD. DEVIATION",2,$F$1))))</f>
        <v/>
      </c>
      <c r="AW744" s="1" t="str">
        <f>IF(OR($B744="",AW$7=""),"",IF($B744="MEANS",INDEX('1-DATA'!$1:$1048576,$A743-1,COLUMN('1-DATA'!AV742)),ROUND(INDEX('1-DATA'!$1:$1048576,IF(OR($B744="STD. DEVIATION",$C$1=1),$A744,$A744+1),COLUMN('1-DATA'!AV742)),IF($B744="STD. DEVIATION",2,$F$1))))</f>
        <v/>
      </c>
      <c r="AX744" s="1" t="str">
        <f>IF(OR($B744="",AX$7=""),"",IF($B744="MEANS",INDEX('1-DATA'!$1:$1048576,$A743-1,COLUMN('1-DATA'!AW742)),ROUND(INDEX('1-DATA'!$1:$1048576,IF(OR($B744="STD. DEVIATION",$C$1=1),$A744,$A744+1),COLUMN('1-DATA'!AW742)),IF($B744="STD. DEVIATION",2,$F$1))))</f>
        <v/>
      </c>
      <c r="AY744" s="1" t="str">
        <f>IF(OR($B744="",AY$7=""),"",IF($B744="MEANS",INDEX('1-DATA'!$1:$1048576,$A743-1,COLUMN('1-DATA'!AX742)),ROUND(INDEX('1-DATA'!$1:$1048576,IF(OR($B744="STD. DEVIATION",$C$1=1),$A744,$A744+1),COLUMN('1-DATA'!AX742)),IF($B744="STD. DEVIATION",2,$F$1))))</f>
        <v/>
      </c>
      <c r="AZ744" s="1" t="str">
        <f>IF(OR($B744="",AZ$7=""),"",IF($B744="MEANS",INDEX('1-DATA'!$1:$1048576,$A743-1,COLUMN('1-DATA'!AY742)),ROUND(INDEX('1-DATA'!$1:$1048576,IF(OR($B744="STD. DEVIATION",$C$1=1),$A744,$A744+1),COLUMN('1-DATA'!AY742)),IF($B744="STD. DEVIATION",2,$F$1))))</f>
        <v/>
      </c>
    </row>
    <row r="745" spans="1:52" x14ac:dyDescent="0.25">
      <c r="A745" s="11">
        <f t="shared" si="12"/>
        <v>2221</v>
      </c>
      <c r="B745" s="1" t="str">
        <f>IF(B744="STD. DEVIATION",INDEX('1-DATA'!$1:$1048576,$A744-1,1),IF(INDEX('1-DATA'!$1:$1048576,$A745,1)&lt;&gt;"",INDEX('1-DATA'!$1:$1048576,$A745,1),""))</f>
        <v/>
      </c>
      <c r="C745" s="1" t="str">
        <f>IF(OR($B745="",C$7=""),"",IF($B745="MEANS",INDEX('1-DATA'!$1:$1048576,$A744-1,COLUMN('1-DATA'!B743)),ROUND(INDEX('1-DATA'!$1:$1048576,IF(OR($B745="STD. DEVIATION",$C$1=1),$A745,$A745+1),COLUMN('1-DATA'!B743)),IF($B745="STD. DEVIATION",2,$F$1))))</f>
        <v/>
      </c>
      <c r="D745" s="1" t="str">
        <f>IF(OR($B745="",D$7=""),"",IF($B745="MEANS",INDEX('1-DATA'!$1:$1048576,$A744-1,COLUMN('1-DATA'!C743)),ROUND(INDEX('1-DATA'!$1:$1048576,IF(OR($B745="STD. DEVIATION",$C$1=1),$A745,$A745+1),COLUMN('1-DATA'!C743)),IF($B745="STD. DEVIATION",2,$F$1))))</f>
        <v/>
      </c>
      <c r="E745" s="1" t="str">
        <f>IF(OR($B745="",E$7=""),"",IF($B745="MEANS",INDEX('1-DATA'!$1:$1048576,$A744-1,COLUMN('1-DATA'!D743)),ROUND(INDEX('1-DATA'!$1:$1048576,IF(OR($B745="STD. DEVIATION",$C$1=1),$A745,$A745+1),COLUMN('1-DATA'!D743)),IF($B745="STD. DEVIATION",2,$F$1))))</f>
        <v/>
      </c>
      <c r="F745" s="1" t="str">
        <f>IF(OR($B745="",F$7=""),"",IF($B745="MEANS",INDEX('1-DATA'!$1:$1048576,$A744-1,COLUMN('1-DATA'!E743)),ROUND(INDEX('1-DATA'!$1:$1048576,IF(OR($B745="STD. DEVIATION",$C$1=1),$A745,$A745+1),COLUMN('1-DATA'!E743)),IF($B745="STD. DEVIATION",2,$F$1))))</f>
        <v/>
      </c>
      <c r="G745" s="1" t="str">
        <f>IF(OR($B745="",G$7=""),"",IF($B745="MEANS",INDEX('1-DATA'!$1:$1048576,$A744-1,COLUMN('1-DATA'!F743)),ROUND(INDEX('1-DATA'!$1:$1048576,IF(OR($B745="STD. DEVIATION",$C$1=1),$A745,$A745+1),COLUMN('1-DATA'!F743)),IF($B745="STD. DEVIATION",2,$F$1))))</f>
        <v/>
      </c>
      <c r="H745" s="1" t="str">
        <f>IF(OR($B745="",H$7=""),"",IF($B745="MEANS",INDEX('1-DATA'!$1:$1048576,$A744-1,COLUMN('1-DATA'!G743)),ROUND(INDEX('1-DATA'!$1:$1048576,IF(OR($B745="STD. DEVIATION",$C$1=1),$A745,$A745+1),COLUMN('1-DATA'!G743)),IF($B745="STD. DEVIATION",2,$F$1))))</f>
        <v/>
      </c>
      <c r="I745" s="1" t="str">
        <f>IF(OR($B745="",I$7=""),"",IF($B745="MEANS",INDEX('1-DATA'!$1:$1048576,$A744-1,COLUMN('1-DATA'!H743)),ROUND(INDEX('1-DATA'!$1:$1048576,IF(OR($B745="STD. DEVIATION",$C$1=1),$A745,$A745+1),COLUMN('1-DATA'!H743)),IF($B745="STD. DEVIATION",2,$F$1))))</f>
        <v/>
      </c>
      <c r="J745" s="1" t="str">
        <f>IF(OR($B745="",J$7=""),"",IF($B745="MEANS",INDEX('1-DATA'!$1:$1048576,$A744-1,COLUMN('1-DATA'!I743)),ROUND(INDEX('1-DATA'!$1:$1048576,IF(OR($B745="STD. DEVIATION",$C$1=1),$A745,$A745+1),COLUMN('1-DATA'!I743)),IF($B745="STD. DEVIATION",2,$F$1))))</f>
        <v/>
      </c>
      <c r="K745" s="1" t="str">
        <f>IF(OR($B745="",K$7=""),"",IF($B745="MEANS",INDEX('1-DATA'!$1:$1048576,$A744-1,COLUMN('1-DATA'!J743)),ROUND(INDEX('1-DATA'!$1:$1048576,IF(OR($B745="STD. DEVIATION",$C$1=1),$A745,$A745+1),COLUMN('1-DATA'!J743)),IF($B745="STD. DEVIATION",2,$F$1))))</f>
        <v/>
      </c>
      <c r="L745" s="1" t="str">
        <f>IF(OR($B745="",L$7=""),"",IF($B745="MEANS",INDEX('1-DATA'!$1:$1048576,$A744-1,COLUMN('1-DATA'!K743)),ROUND(INDEX('1-DATA'!$1:$1048576,IF(OR($B745="STD. DEVIATION",$C$1=1),$A745,$A745+1),COLUMN('1-DATA'!K743)),IF($B745="STD. DEVIATION",2,$F$1))))</f>
        <v/>
      </c>
      <c r="M745" s="1" t="str">
        <f>IF(OR($B745="",M$7=""),"",IF($B745="MEANS",INDEX('1-DATA'!$1:$1048576,$A744-1,COLUMN('1-DATA'!L743)),ROUND(INDEX('1-DATA'!$1:$1048576,IF(OR($B745="STD. DEVIATION",$C$1=1),$A745,$A745+1),COLUMN('1-DATA'!L743)),IF($B745="STD. DEVIATION",2,$F$1))))</f>
        <v/>
      </c>
      <c r="N745" s="1" t="str">
        <f>IF(OR($B745="",N$7=""),"",IF($B745="MEANS",INDEX('1-DATA'!$1:$1048576,$A744-1,COLUMN('1-DATA'!M743)),ROUND(INDEX('1-DATA'!$1:$1048576,IF(OR($B745="STD. DEVIATION",$C$1=1),$A745,$A745+1),COLUMN('1-DATA'!M743)),IF($B745="STD. DEVIATION",2,$F$1))))</f>
        <v/>
      </c>
      <c r="O745" s="1" t="str">
        <f>IF(OR($B745="",O$7=""),"",IF($B745="MEANS",INDEX('1-DATA'!$1:$1048576,$A744-1,COLUMN('1-DATA'!N743)),ROUND(INDEX('1-DATA'!$1:$1048576,IF(OR($B745="STD. DEVIATION",$C$1=1),$A745,$A745+1),COLUMN('1-DATA'!N743)),IF($B745="STD. DEVIATION",2,$F$1))))</f>
        <v/>
      </c>
      <c r="P745" s="1" t="str">
        <f>IF(OR($B745="",P$7=""),"",IF($B745="MEANS",INDEX('1-DATA'!$1:$1048576,$A744-1,COLUMN('1-DATA'!O743)),ROUND(INDEX('1-DATA'!$1:$1048576,IF(OR($B745="STD. DEVIATION",$C$1=1),$A745,$A745+1),COLUMN('1-DATA'!O743)),IF($B745="STD. DEVIATION",2,$F$1))))</f>
        <v/>
      </c>
      <c r="Q745" s="1" t="str">
        <f>IF(OR($B745="",Q$7=""),"",IF($B745="MEANS",INDEX('1-DATA'!$1:$1048576,$A744-1,COLUMN('1-DATA'!P743)),ROUND(INDEX('1-DATA'!$1:$1048576,IF(OR($B745="STD. DEVIATION",$C$1=1),$A745,$A745+1),COLUMN('1-DATA'!P743)),IF($B745="STD. DEVIATION",2,$F$1))))</f>
        <v/>
      </c>
      <c r="R745" s="1" t="str">
        <f>IF(OR($B745="",R$7=""),"",IF($B745="MEANS",INDEX('1-DATA'!$1:$1048576,$A744-1,COLUMN('1-DATA'!Q743)),ROUND(INDEX('1-DATA'!$1:$1048576,IF(OR($B745="STD. DEVIATION",$C$1=1),$A745,$A745+1),COLUMN('1-DATA'!Q743)),IF($B745="STD. DEVIATION",2,$F$1))))</f>
        <v/>
      </c>
      <c r="S745" s="1" t="str">
        <f>IF(OR($B745="",S$7=""),"",IF($B745="MEANS",INDEX('1-DATA'!$1:$1048576,$A744-1,COLUMN('1-DATA'!R743)),ROUND(INDEX('1-DATA'!$1:$1048576,IF(OR($B745="STD. DEVIATION",$C$1=1),$A745,$A745+1),COLUMN('1-DATA'!R743)),IF($B745="STD. DEVIATION",2,$F$1))))</f>
        <v/>
      </c>
      <c r="T745" s="1" t="str">
        <f>IF(OR($B745="",T$7=""),"",IF($B745="MEANS",INDEX('1-DATA'!$1:$1048576,$A744-1,COLUMN('1-DATA'!S743)),ROUND(INDEX('1-DATA'!$1:$1048576,IF(OR($B745="STD. DEVIATION",$C$1=1),$A745,$A745+1),COLUMN('1-DATA'!S743)),IF($B745="STD. DEVIATION",2,$F$1))))</f>
        <v/>
      </c>
      <c r="U745" s="1" t="str">
        <f>IF(OR($B745="",U$7=""),"",IF($B745="MEANS",INDEX('1-DATA'!$1:$1048576,$A744-1,COLUMN('1-DATA'!T743)),ROUND(INDEX('1-DATA'!$1:$1048576,IF(OR($B745="STD. DEVIATION",$C$1=1),$A745,$A745+1),COLUMN('1-DATA'!T743)),IF($B745="STD. DEVIATION",2,$F$1))))</f>
        <v/>
      </c>
      <c r="V745" s="1" t="str">
        <f>IF(OR($B745="",V$7=""),"",IF($B745="MEANS",INDEX('1-DATA'!$1:$1048576,$A744-1,COLUMN('1-DATA'!U743)),ROUND(INDEX('1-DATA'!$1:$1048576,IF(OR($B745="STD. DEVIATION",$C$1=1),$A745,$A745+1),COLUMN('1-DATA'!U743)),IF($B745="STD. DEVIATION",2,$F$1))))</f>
        <v/>
      </c>
      <c r="W745" s="1" t="str">
        <f>IF(OR($B745="",W$7=""),"",IF($B745="MEANS",INDEX('1-DATA'!$1:$1048576,$A744-1,COLUMN('1-DATA'!V743)),ROUND(INDEX('1-DATA'!$1:$1048576,IF(OR($B745="STD. DEVIATION",$C$1=1),$A745,$A745+1),COLUMN('1-DATA'!V743)),IF($B745="STD. DEVIATION",2,$F$1))))</f>
        <v/>
      </c>
      <c r="X745" s="1" t="str">
        <f>IF(OR($B745="",X$7=""),"",IF($B745="MEANS",INDEX('1-DATA'!$1:$1048576,$A744-1,COLUMN('1-DATA'!W743)),ROUND(INDEX('1-DATA'!$1:$1048576,IF(OR($B745="STD. DEVIATION",$C$1=1),$A745,$A745+1),COLUMN('1-DATA'!W743)),IF($B745="STD. DEVIATION",2,$F$1))))</f>
        <v/>
      </c>
      <c r="Y745" s="1" t="str">
        <f>IF(OR($B745="",Y$7=""),"",IF($B745="MEANS",INDEX('1-DATA'!$1:$1048576,$A744-1,COLUMN('1-DATA'!X743)),ROUND(INDEX('1-DATA'!$1:$1048576,IF(OR($B745="STD. DEVIATION",$C$1=1),$A745,$A745+1),COLUMN('1-DATA'!X743)),IF($B745="STD. DEVIATION",2,$F$1))))</f>
        <v/>
      </c>
      <c r="Z745" s="1" t="str">
        <f>IF(OR($B745="",Z$7=""),"",IF($B745="MEANS",INDEX('1-DATA'!$1:$1048576,$A744-1,COLUMN('1-DATA'!Y743)),ROUND(INDEX('1-DATA'!$1:$1048576,IF(OR($B745="STD. DEVIATION",$C$1=1),$A745,$A745+1),COLUMN('1-DATA'!Y743)),IF($B745="STD. DEVIATION",2,$F$1))))</f>
        <v/>
      </c>
      <c r="AA745" s="1" t="str">
        <f>IF(OR($B745="",AA$7=""),"",IF($B745="MEANS",INDEX('1-DATA'!$1:$1048576,$A744-1,COLUMN('1-DATA'!Z743)),ROUND(INDEX('1-DATA'!$1:$1048576,IF(OR($B745="STD. DEVIATION",$C$1=1),$A745,$A745+1),COLUMN('1-DATA'!Z743)),IF($B745="STD. DEVIATION",2,$F$1))))</f>
        <v/>
      </c>
      <c r="AB745" s="1" t="str">
        <f>IF(OR($B745="",AB$7=""),"",IF($B745="MEANS",INDEX('1-DATA'!$1:$1048576,$A744-1,COLUMN('1-DATA'!AA743)),ROUND(INDEX('1-DATA'!$1:$1048576,IF(OR($B745="STD. DEVIATION",$C$1=1),$A745,$A745+1),COLUMN('1-DATA'!AA743)),IF($B745="STD. DEVIATION",2,$F$1))))</f>
        <v/>
      </c>
      <c r="AC745" s="1" t="str">
        <f>IF(OR($B745="",AC$7=""),"",IF($B745="MEANS",INDEX('1-DATA'!$1:$1048576,$A744-1,COLUMN('1-DATA'!AB743)),ROUND(INDEX('1-DATA'!$1:$1048576,IF(OR($B745="STD. DEVIATION",$C$1=1),$A745,$A745+1),COLUMN('1-DATA'!AB743)),IF($B745="STD. DEVIATION",2,$F$1))))</f>
        <v/>
      </c>
      <c r="AD745" s="1" t="str">
        <f>IF(OR($B745="",AD$7=""),"",IF($B745="MEANS",INDEX('1-DATA'!$1:$1048576,$A744-1,COLUMN('1-DATA'!AC743)),ROUND(INDEX('1-DATA'!$1:$1048576,IF(OR($B745="STD. DEVIATION",$C$1=1),$A745,$A745+1),COLUMN('1-DATA'!AC743)),IF($B745="STD. DEVIATION",2,$F$1))))</f>
        <v/>
      </c>
      <c r="AE745" s="1" t="str">
        <f>IF(OR($B745="",AE$7=""),"",IF($B745="MEANS",INDEX('1-DATA'!$1:$1048576,$A744-1,COLUMN('1-DATA'!AD743)),ROUND(INDEX('1-DATA'!$1:$1048576,IF(OR($B745="STD. DEVIATION",$C$1=1),$A745,$A745+1),COLUMN('1-DATA'!AD743)),IF($B745="STD. DEVIATION",2,$F$1))))</f>
        <v/>
      </c>
      <c r="AF745" s="1" t="str">
        <f>IF(OR($B745="",AF$7=""),"",IF($B745="MEANS",INDEX('1-DATA'!$1:$1048576,$A744-1,COLUMN('1-DATA'!AE743)),ROUND(INDEX('1-DATA'!$1:$1048576,IF(OR($B745="STD. DEVIATION",$C$1=1),$A745,$A745+1),COLUMN('1-DATA'!AE743)),IF($B745="STD. DEVIATION",2,$F$1))))</f>
        <v/>
      </c>
      <c r="AG745" s="1" t="str">
        <f>IF(OR($B745="",AG$7=""),"",IF($B745="MEANS",INDEX('1-DATA'!$1:$1048576,$A744-1,COLUMN('1-DATA'!AF743)),ROUND(INDEX('1-DATA'!$1:$1048576,IF(OR($B745="STD. DEVIATION",$C$1=1),$A745,$A745+1),COLUMN('1-DATA'!AF743)),IF($B745="STD. DEVIATION",2,$F$1))))</f>
        <v/>
      </c>
      <c r="AH745" s="1" t="str">
        <f>IF(OR($B745="",AH$7=""),"",IF($B745="MEANS",INDEX('1-DATA'!$1:$1048576,$A744-1,COLUMN('1-DATA'!AG743)),ROUND(INDEX('1-DATA'!$1:$1048576,IF(OR($B745="STD. DEVIATION",$C$1=1),$A745,$A745+1),COLUMN('1-DATA'!AG743)),IF($B745="STD. DEVIATION",2,$F$1))))</f>
        <v/>
      </c>
      <c r="AI745" s="1" t="str">
        <f>IF(OR($B745="",AI$7=""),"",IF($B745="MEANS",INDEX('1-DATA'!$1:$1048576,$A744-1,COLUMN('1-DATA'!AH743)),ROUND(INDEX('1-DATA'!$1:$1048576,IF(OR($B745="STD. DEVIATION",$C$1=1),$A745,$A745+1),COLUMN('1-DATA'!AH743)),IF($B745="STD. DEVIATION",2,$F$1))))</f>
        <v/>
      </c>
      <c r="AJ745" s="1" t="str">
        <f>IF(OR($B745="",AJ$7=""),"",IF($B745="MEANS",INDEX('1-DATA'!$1:$1048576,$A744-1,COLUMN('1-DATA'!AI743)),ROUND(INDEX('1-DATA'!$1:$1048576,IF(OR($B745="STD. DEVIATION",$C$1=1),$A745,$A745+1),COLUMN('1-DATA'!AI743)),IF($B745="STD. DEVIATION",2,$F$1))))</f>
        <v/>
      </c>
      <c r="AK745" s="1" t="str">
        <f>IF(OR($B745="",AK$7=""),"",IF($B745="MEANS",INDEX('1-DATA'!$1:$1048576,$A744-1,COLUMN('1-DATA'!AJ743)),ROUND(INDEX('1-DATA'!$1:$1048576,IF(OR($B745="STD. DEVIATION",$C$1=1),$A745,$A745+1),COLUMN('1-DATA'!AJ743)),IF($B745="STD. DEVIATION",2,$F$1))))</f>
        <v/>
      </c>
      <c r="AL745" s="1" t="str">
        <f>IF(OR($B745="",AL$7=""),"",IF($B745="MEANS",INDEX('1-DATA'!$1:$1048576,$A744-1,COLUMN('1-DATA'!AK743)),ROUND(INDEX('1-DATA'!$1:$1048576,IF(OR($B745="STD. DEVIATION",$C$1=1),$A745,$A745+1),COLUMN('1-DATA'!AK743)),IF($B745="STD. DEVIATION",2,$F$1))))</f>
        <v/>
      </c>
      <c r="AM745" s="1" t="str">
        <f>IF(OR($B745="",AM$7=""),"",IF($B745="MEANS",INDEX('1-DATA'!$1:$1048576,$A744-1,COLUMN('1-DATA'!AL743)),ROUND(INDEX('1-DATA'!$1:$1048576,IF(OR($B745="STD. DEVIATION",$C$1=1),$A745,$A745+1),COLUMN('1-DATA'!AL743)),IF($B745="STD. DEVIATION",2,$F$1))))</f>
        <v/>
      </c>
      <c r="AN745" s="1" t="str">
        <f>IF(OR($B745="",AN$7=""),"",IF($B745="MEANS",INDEX('1-DATA'!$1:$1048576,$A744-1,COLUMN('1-DATA'!AM743)),ROUND(INDEX('1-DATA'!$1:$1048576,IF(OR($B745="STD. DEVIATION",$C$1=1),$A745,$A745+1),COLUMN('1-DATA'!AM743)),IF($B745="STD. DEVIATION",2,$F$1))))</f>
        <v/>
      </c>
      <c r="AO745" s="1" t="str">
        <f>IF(OR($B745="",AO$7=""),"",IF($B745="MEANS",INDEX('1-DATA'!$1:$1048576,$A744-1,COLUMN('1-DATA'!AN743)),ROUND(INDEX('1-DATA'!$1:$1048576,IF(OR($B745="STD. DEVIATION",$C$1=1),$A745,$A745+1),COLUMN('1-DATA'!AN743)),IF($B745="STD. DEVIATION",2,$F$1))))</f>
        <v/>
      </c>
      <c r="AP745" s="1" t="str">
        <f>IF(OR($B745="",AP$7=""),"",IF($B745="MEANS",INDEX('1-DATA'!$1:$1048576,$A744-1,COLUMN('1-DATA'!AO743)),ROUND(INDEX('1-DATA'!$1:$1048576,IF(OR($B745="STD. DEVIATION",$C$1=1),$A745,$A745+1),COLUMN('1-DATA'!AO743)),IF($B745="STD. DEVIATION",2,$F$1))))</f>
        <v/>
      </c>
      <c r="AQ745" s="1" t="str">
        <f>IF(OR($B745="",AQ$7=""),"",IF($B745="MEANS",INDEX('1-DATA'!$1:$1048576,$A744-1,COLUMN('1-DATA'!AP743)),ROUND(INDEX('1-DATA'!$1:$1048576,IF(OR($B745="STD. DEVIATION",$C$1=1),$A745,$A745+1),COLUMN('1-DATA'!AP743)),IF($B745="STD. DEVIATION",2,$F$1))))</f>
        <v/>
      </c>
      <c r="AR745" s="1" t="str">
        <f>IF(OR($B745="",AR$7=""),"",IF($B745="MEANS",INDEX('1-DATA'!$1:$1048576,$A744-1,COLUMN('1-DATA'!AQ743)),ROUND(INDEX('1-DATA'!$1:$1048576,IF(OR($B745="STD. DEVIATION",$C$1=1),$A745,$A745+1),COLUMN('1-DATA'!AQ743)),IF($B745="STD. DEVIATION",2,$F$1))))</f>
        <v/>
      </c>
      <c r="AS745" s="1" t="str">
        <f>IF(OR($B745="",AS$7=""),"",IF($B745="MEANS",INDEX('1-DATA'!$1:$1048576,$A744-1,COLUMN('1-DATA'!AR743)),ROUND(INDEX('1-DATA'!$1:$1048576,IF(OR($B745="STD. DEVIATION",$C$1=1),$A745,$A745+1),COLUMN('1-DATA'!AR743)),IF($B745="STD. DEVIATION",2,$F$1))))</f>
        <v/>
      </c>
      <c r="AT745" s="1" t="str">
        <f>IF(OR($B745="",AT$7=""),"",IF($B745="MEANS",INDEX('1-DATA'!$1:$1048576,$A744-1,COLUMN('1-DATA'!AS743)),ROUND(INDEX('1-DATA'!$1:$1048576,IF(OR($B745="STD. DEVIATION",$C$1=1),$A745,$A745+1),COLUMN('1-DATA'!AS743)),IF($B745="STD. DEVIATION",2,$F$1))))</f>
        <v/>
      </c>
      <c r="AU745" s="1" t="str">
        <f>IF(OR($B745="",AU$7=""),"",IF($B745="MEANS",INDEX('1-DATA'!$1:$1048576,$A744-1,COLUMN('1-DATA'!AT743)),ROUND(INDEX('1-DATA'!$1:$1048576,IF(OR($B745="STD. DEVIATION",$C$1=1),$A745,$A745+1),COLUMN('1-DATA'!AT743)),IF($B745="STD. DEVIATION",2,$F$1))))</f>
        <v/>
      </c>
      <c r="AV745" s="1" t="str">
        <f>IF(OR($B745="",AV$7=""),"",IF($B745="MEANS",INDEX('1-DATA'!$1:$1048576,$A744-1,COLUMN('1-DATA'!AU743)),ROUND(INDEX('1-DATA'!$1:$1048576,IF(OR($B745="STD. DEVIATION",$C$1=1),$A745,$A745+1),COLUMN('1-DATA'!AU743)),IF($B745="STD. DEVIATION",2,$F$1))))</f>
        <v/>
      </c>
      <c r="AW745" s="1" t="str">
        <f>IF(OR($B745="",AW$7=""),"",IF($B745="MEANS",INDEX('1-DATA'!$1:$1048576,$A744-1,COLUMN('1-DATA'!AV743)),ROUND(INDEX('1-DATA'!$1:$1048576,IF(OR($B745="STD. DEVIATION",$C$1=1),$A745,$A745+1),COLUMN('1-DATA'!AV743)),IF($B745="STD. DEVIATION",2,$F$1))))</f>
        <v/>
      </c>
      <c r="AX745" s="1" t="str">
        <f>IF(OR($B745="",AX$7=""),"",IF($B745="MEANS",INDEX('1-DATA'!$1:$1048576,$A744-1,COLUMN('1-DATA'!AW743)),ROUND(INDEX('1-DATA'!$1:$1048576,IF(OR($B745="STD. DEVIATION",$C$1=1),$A745,$A745+1),COLUMN('1-DATA'!AW743)),IF($B745="STD. DEVIATION",2,$F$1))))</f>
        <v/>
      </c>
      <c r="AY745" s="1" t="str">
        <f>IF(OR($B745="",AY$7=""),"",IF($B745="MEANS",INDEX('1-DATA'!$1:$1048576,$A744-1,COLUMN('1-DATA'!AX743)),ROUND(INDEX('1-DATA'!$1:$1048576,IF(OR($B745="STD. DEVIATION",$C$1=1),$A745,$A745+1),COLUMN('1-DATA'!AX743)),IF($B745="STD. DEVIATION",2,$F$1))))</f>
        <v/>
      </c>
      <c r="AZ745" s="1" t="str">
        <f>IF(OR($B745="",AZ$7=""),"",IF($B745="MEANS",INDEX('1-DATA'!$1:$1048576,$A744-1,COLUMN('1-DATA'!AY743)),ROUND(INDEX('1-DATA'!$1:$1048576,IF(OR($B745="STD. DEVIATION",$C$1=1),$A745,$A745+1),COLUMN('1-DATA'!AY743)),IF($B745="STD. DEVIATION",2,$F$1))))</f>
        <v/>
      </c>
    </row>
    <row r="746" spans="1:52" x14ac:dyDescent="0.25">
      <c r="A746" s="11">
        <f t="shared" si="12"/>
        <v>2224</v>
      </c>
      <c r="B746" s="1" t="str">
        <f>IF(B745="STD. DEVIATION",INDEX('1-DATA'!$1:$1048576,$A745-1,1),IF(INDEX('1-DATA'!$1:$1048576,$A746,1)&lt;&gt;"",INDEX('1-DATA'!$1:$1048576,$A746,1),""))</f>
        <v/>
      </c>
      <c r="C746" s="1" t="str">
        <f>IF(OR($B746="",C$7=""),"",IF($B746="MEANS",INDEX('1-DATA'!$1:$1048576,$A745-1,COLUMN('1-DATA'!B744)),ROUND(INDEX('1-DATA'!$1:$1048576,IF(OR($B746="STD. DEVIATION",$C$1=1),$A746,$A746+1),COLUMN('1-DATA'!B744)),IF($B746="STD. DEVIATION",2,$F$1))))</f>
        <v/>
      </c>
      <c r="D746" s="1" t="str">
        <f>IF(OR($B746="",D$7=""),"",IF($B746="MEANS",INDEX('1-DATA'!$1:$1048576,$A745-1,COLUMN('1-DATA'!C744)),ROUND(INDEX('1-DATA'!$1:$1048576,IF(OR($B746="STD. DEVIATION",$C$1=1),$A746,$A746+1),COLUMN('1-DATA'!C744)),IF($B746="STD. DEVIATION",2,$F$1))))</f>
        <v/>
      </c>
      <c r="E746" s="1" t="str">
        <f>IF(OR($B746="",E$7=""),"",IF($B746="MEANS",INDEX('1-DATA'!$1:$1048576,$A745-1,COLUMN('1-DATA'!D744)),ROUND(INDEX('1-DATA'!$1:$1048576,IF(OR($B746="STD. DEVIATION",$C$1=1),$A746,$A746+1),COLUMN('1-DATA'!D744)),IF($B746="STD. DEVIATION",2,$F$1))))</f>
        <v/>
      </c>
      <c r="F746" s="1" t="str">
        <f>IF(OR($B746="",F$7=""),"",IF($B746="MEANS",INDEX('1-DATA'!$1:$1048576,$A745-1,COLUMN('1-DATA'!E744)),ROUND(INDEX('1-DATA'!$1:$1048576,IF(OR($B746="STD. DEVIATION",$C$1=1),$A746,$A746+1),COLUMN('1-DATA'!E744)),IF($B746="STD. DEVIATION",2,$F$1))))</f>
        <v/>
      </c>
      <c r="G746" s="1" t="str">
        <f>IF(OR($B746="",G$7=""),"",IF($B746="MEANS",INDEX('1-DATA'!$1:$1048576,$A745-1,COLUMN('1-DATA'!F744)),ROUND(INDEX('1-DATA'!$1:$1048576,IF(OR($B746="STD. DEVIATION",$C$1=1),$A746,$A746+1),COLUMN('1-DATA'!F744)),IF($B746="STD. DEVIATION",2,$F$1))))</f>
        <v/>
      </c>
      <c r="H746" s="1" t="str">
        <f>IF(OR($B746="",H$7=""),"",IF($B746="MEANS",INDEX('1-DATA'!$1:$1048576,$A745-1,COLUMN('1-DATA'!G744)),ROUND(INDEX('1-DATA'!$1:$1048576,IF(OR($B746="STD. DEVIATION",$C$1=1),$A746,$A746+1),COLUMN('1-DATA'!G744)),IF($B746="STD. DEVIATION",2,$F$1))))</f>
        <v/>
      </c>
      <c r="I746" s="1" t="str">
        <f>IF(OR($B746="",I$7=""),"",IF($B746="MEANS",INDEX('1-DATA'!$1:$1048576,$A745-1,COLUMN('1-DATA'!H744)),ROUND(INDEX('1-DATA'!$1:$1048576,IF(OR($B746="STD. DEVIATION",$C$1=1),$A746,$A746+1),COLUMN('1-DATA'!H744)),IF($B746="STD. DEVIATION",2,$F$1))))</f>
        <v/>
      </c>
      <c r="J746" s="1" t="str">
        <f>IF(OR($B746="",J$7=""),"",IF($B746="MEANS",INDEX('1-DATA'!$1:$1048576,$A745-1,COLUMN('1-DATA'!I744)),ROUND(INDEX('1-DATA'!$1:$1048576,IF(OR($B746="STD. DEVIATION",$C$1=1),$A746,$A746+1),COLUMN('1-DATA'!I744)),IF($B746="STD. DEVIATION",2,$F$1))))</f>
        <v/>
      </c>
      <c r="K746" s="1" t="str">
        <f>IF(OR($B746="",K$7=""),"",IF($B746="MEANS",INDEX('1-DATA'!$1:$1048576,$A745-1,COLUMN('1-DATA'!J744)),ROUND(INDEX('1-DATA'!$1:$1048576,IF(OR($B746="STD. DEVIATION",$C$1=1),$A746,$A746+1),COLUMN('1-DATA'!J744)),IF($B746="STD. DEVIATION",2,$F$1))))</f>
        <v/>
      </c>
      <c r="L746" s="1" t="str">
        <f>IF(OR($B746="",L$7=""),"",IF($B746="MEANS",INDEX('1-DATA'!$1:$1048576,$A745-1,COLUMN('1-DATA'!K744)),ROUND(INDEX('1-DATA'!$1:$1048576,IF(OR($B746="STD. DEVIATION",$C$1=1),$A746,$A746+1),COLUMN('1-DATA'!K744)),IF($B746="STD. DEVIATION",2,$F$1))))</f>
        <v/>
      </c>
      <c r="M746" s="1" t="str">
        <f>IF(OR($B746="",M$7=""),"",IF($B746="MEANS",INDEX('1-DATA'!$1:$1048576,$A745-1,COLUMN('1-DATA'!L744)),ROUND(INDEX('1-DATA'!$1:$1048576,IF(OR($B746="STD. DEVIATION",$C$1=1),$A746,$A746+1),COLUMN('1-DATA'!L744)),IF($B746="STD. DEVIATION",2,$F$1))))</f>
        <v/>
      </c>
      <c r="N746" s="1" t="str">
        <f>IF(OR($B746="",N$7=""),"",IF($B746="MEANS",INDEX('1-DATA'!$1:$1048576,$A745-1,COLUMN('1-DATA'!M744)),ROUND(INDEX('1-DATA'!$1:$1048576,IF(OR($B746="STD. DEVIATION",$C$1=1),$A746,$A746+1),COLUMN('1-DATA'!M744)),IF($B746="STD. DEVIATION",2,$F$1))))</f>
        <v/>
      </c>
      <c r="O746" s="1" t="str">
        <f>IF(OR($B746="",O$7=""),"",IF($B746="MEANS",INDEX('1-DATA'!$1:$1048576,$A745-1,COLUMN('1-DATA'!N744)),ROUND(INDEX('1-DATA'!$1:$1048576,IF(OR($B746="STD. DEVIATION",$C$1=1),$A746,$A746+1),COLUMN('1-DATA'!N744)),IF($B746="STD. DEVIATION",2,$F$1))))</f>
        <v/>
      </c>
      <c r="P746" s="1" t="str">
        <f>IF(OR($B746="",P$7=""),"",IF($B746="MEANS",INDEX('1-DATA'!$1:$1048576,$A745-1,COLUMN('1-DATA'!O744)),ROUND(INDEX('1-DATA'!$1:$1048576,IF(OR($B746="STD. DEVIATION",$C$1=1),$A746,$A746+1),COLUMN('1-DATA'!O744)),IF($B746="STD. DEVIATION",2,$F$1))))</f>
        <v/>
      </c>
      <c r="Q746" s="1" t="str">
        <f>IF(OR($B746="",Q$7=""),"",IF($B746="MEANS",INDEX('1-DATA'!$1:$1048576,$A745-1,COLUMN('1-DATA'!P744)),ROUND(INDEX('1-DATA'!$1:$1048576,IF(OR($B746="STD. DEVIATION",$C$1=1),$A746,$A746+1),COLUMN('1-DATA'!P744)),IF($B746="STD. DEVIATION",2,$F$1))))</f>
        <v/>
      </c>
      <c r="R746" s="1" t="str">
        <f>IF(OR($B746="",R$7=""),"",IF($B746="MEANS",INDEX('1-DATA'!$1:$1048576,$A745-1,COLUMN('1-DATA'!Q744)),ROUND(INDEX('1-DATA'!$1:$1048576,IF(OR($B746="STD. DEVIATION",$C$1=1),$A746,$A746+1),COLUMN('1-DATA'!Q744)),IF($B746="STD. DEVIATION",2,$F$1))))</f>
        <v/>
      </c>
      <c r="S746" s="1" t="str">
        <f>IF(OR($B746="",S$7=""),"",IF($B746="MEANS",INDEX('1-DATA'!$1:$1048576,$A745-1,COLUMN('1-DATA'!R744)),ROUND(INDEX('1-DATA'!$1:$1048576,IF(OR($B746="STD. DEVIATION",$C$1=1),$A746,$A746+1),COLUMN('1-DATA'!R744)),IF($B746="STD. DEVIATION",2,$F$1))))</f>
        <v/>
      </c>
      <c r="T746" s="1" t="str">
        <f>IF(OR($B746="",T$7=""),"",IF($B746="MEANS",INDEX('1-DATA'!$1:$1048576,$A745-1,COLUMN('1-DATA'!S744)),ROUND(INDEX('1-DATA'!$1:$1048576,IF(OR($B746="STD. DEVIATION",$C$1=1),$A746,$A746+1),COLUMN('1-DATA'!S744)),IF($B746="STD. DEVIATION",2,$F$1))))</f>
        <v/>
      </c>
      <c r="U746" s="1" t="str">
        <f>IF(OR($B746="",U$7=""),"",IF($B746="MEANS",INDEX('1-DATA'!$1:$1048576,$A745-1,COLUMN('1-DATA'!T744)),ROUND(INDEX('1-DATA'!$1:$1048576,IF(OR($B746="STD. DEVIATION",$C$1=1),$A746,$A746+1),COLUMN('1-DATA'!T744)),IF($B746="STD. DEVIATION",2,$F$1))))</f>
        <v/>
      </c>
      <c r="V746" s="1" t="str">
        <f>IF(OR($B746="",V$7=""),"",IF($B746="MEANS",INDEX('1-DATA'!$1:$1048576,$A745-1,COLUMN('1-DATA'!U744)),ROUND(INDEX('1-DATA'!$1:$1048576,IF(OR($B746="STD. DEVIATION",$C$1=1),$A746,$A746+1),COLUMN('1-DATA'!U744)),IF($B746="STD. DEVIATION",2,$F$1))))</f>
        <v/>
      </c>
      <c r="W746" s="1" t="str">
        <f>IF(OR($B746="",W$7=""),"",IF($B746="MEANS",INDEX('1-DATA'!$1:$1048576,$A745-1,COLUMN('1-DATA'!V744)),ROUND(INDEX('1-DATA'!$1:$1048576,IF(OR($B746="STD. DEVIATION",$C$1=1),$A746,$A746+1),COLUMN('1-DATA'!V744)),IF($B746="STD. DEVIATION",2,$F$1))))</f>
        <v/>
      </c>
      <c r="X746" s="1" t="str">
        <f>IF(OR($B746="",X$7=""),"",IF($B746="MEANS",INDEX('1-DATA'!$1:$1048576,$A745-1,COLUMN('1-DATA'!W744)),ROUND(INDEX('1-DATA'!$1:$1048576,IF(OR($B746="STD. DEVIATION",$C$1=1),$A746,$A746+1),COLUMN('1-DATA'!W744)),IF($B746="STD. DEVIATION",2,$F$1))))</f>
        <v/>
      </c>
      <c r="Y746" s="1" t="str">
        <f>IF(OR($B746="",Y$7=""),"",IF($B746="MEANS",INDEX('1-DATA'!$1:$1048576,$A745-1,COLUMN('1-DATA'!X744)),ROUND(INDEX('1-DATA'!$1:$1048576,IF(OR($B746="STD. DEVIATION",$C$1=1),$A746,$A746+1),COLUMN('1-DATA'!X744)),IF($B746="STD. DEVIATION",2,$F$1))))</f>
        <v/>
      </c>
      <c r="Z746" s="1" t="str">
        <f>IF(OR($B746="",Z$7=""),"",IF($B746="MEANS",INDEX('1-DATA'!$1:$1048576,$A745-1,COLUMN('1-DATA'!Y744)),ROUND(INDEX('1-DATA'!$1:$1048576,IF(OR($B746="STD. DEVIATION",$C$1=1),$A746,$A746+1),COLUMN('1-DATA'!Y744)),IF($B746="STD. DEVIATION",2,$F$1))))</f>
        <v/>
      </c>
      <c r="AA746" s="1" t="str">
        <f>IF(OR($B746="",AA$7=""),"",IF($B746="MEANS",INDEX('1-DATA'!$1:$1048576,$A745-1,COLUMN('1-DATA'!Z744)),ROUND(INDEX('1-DATA'!$1:$1048576,IF(OR($B746="STD. DEVIATION",$C$1=1),$A746,$A746+1),COLUMN('1-DATA'!Z744)),IF($B746="STD. DEVIATION",2,$F$1))))</f>
        <v/>
      </c>
      <c r="AB746" s="1" t="str">
        <f>IF(OR($B746="",AB$7=""),"",IF($B746="MEANS",INDEX('1-DATA'!$1:$1048576,$A745-1,COLUMN('1-DATA'!AA744)),ROUND(INDEX('1-DATA'!$1:$1048576,IF(OR($B746="STD. DEVIATION",$C$1=1),$A746,$A746+1),COLUMN('1-DATA'!AA744)),IF($B746="STD. DEVIATION",2,$F$1))))</f>
        <v/>
      </c>
      <c r="AC746" s="1" t="str">
        <f>IF(OR($B746="",AC$7=""),"",IF($B746="MEANS",INDEX('1-DATA'!$1:$1048576,$A745-1,COLUMN('1-DATA'!AB744)),ROUND(INDEX('1-DATA'!$1:$1048576,IF(OR($B746="STD. DEVIATION",$C$1=1),$A746,$A746+1),COLUMN('1-DATA'!AB744)),IF($B746="STD. DEVIATION",2,$F$1))))</f>
        <v/>
      </c>
      <c r="AD746" s="1" t="str">
        <f>IF(OR($B746="",AD$7=""),"",IF($B746="MEANS",INDEX('1-DATA'!$1:$1048576,$A745-1,COLUMN('1-DATA'!AC744)),ROUND(INDEX('1-DATA'!$1:$1048576,IF(OR($B746="STD. DEVIATION",$C$1=1),$A746,$A746+1),COLUMN('1-DATA'!AC744)),IF($B746="STD. DEVIATION",2,$F$1))))</f>
        <v/>
      </c>
      <c r="AE746" s="1" t="str">
        <f>IF(OR($B746="",AE$7=""),"",IF($B746="MEANS",INDEX('1-DATA'!$1:$1048576,$A745-1,COLUMN('1-DATA'!AD744)),ROUND(INDEX('1-DATA'!$1:$1048576,IF(OR($B746="STD. DEVIATION",$C$1=1),$A746,$A746+1),COLUMN('1-DATA'!AD744)),IF($B746="STD. DEVIATION",2,$F$1))))</f>
        <v/>
      </c>
      <c r="AF746" s="1" t="str">
        <f>IF(OR($B746="",AF$7=""),"",IF($B746="MEANS",INDEX('1-DATA'!$1:$1048576,$A745-1,COLUMN('1-DATA'!AE744)),ROUND(INDEX('1-DATA'!$1:$1048576,IF(OR($B746="STD. DEVIATION",$C$1=1),$A746,$A746+1),COLUMN('1-DATA'!AE744)),IF($B746="STD. DEVIATION",2,$F$1))))</f>
        <v/>
      </c>
      <c r="AG746" s="1" t="str">
        <f>IF(OR($B746="",AG$7=""),"",IF($B746="MEANS",INDEX('1-DATA'!$1:$1048576,$A745-1,COLUMN('1-DATA'!AF744)),ROUND(INDEX('1-DATA'!$1:$1048576,IF(OR($B746="STD. DEVIATION",$C$1=1),$A746,$A746+1),COLUMN('1-DATA'!AF744)),IF($B746="STD. DEVIATION",2,$F$1))))</f>
        <v/>
      </c>
      <c r="AH746" s="1" t="str">
        <f>IF(OR($B746="",AH$7=""),"",IF($B746="MEANS",INDEX('1-DATA'!$1:$1048576,$A745-1,COLUMN('1-DATA'!AG744)),ROUND(INDEX('1-DATA'!$1:$1048576,IF(OR($B746="STD. DEVIATION",$C$1=1),$A746,$A746+1),COLUMN('1-DATA'!AG744)),IF($B746="STD. DEVIATION",2,$F$1))))</f>
        <v/>
      </c>
      <c r="AI746" s="1" t="str">
        <f>IF(OR($B746="",AI$7=""),"",IF($B746="MEANS",INDEX('1-DATA'!$1:$1048576,$A745-1,COLUMN('1-DATA'!AH744)),ROUND(INDEX('1-DATA'!$1:$1048576,IF(OR($B746="STD. DEVIATION",$C$1=1),$A746,$A746+1),COLUMN('1-DATA'!AH744)),IF($B746="STD. DEVIATION",2,$F$1))))</f>
        <v/>
      </c>
      <c r="AJ746" s="1" t="str">
        <f>IF(OR($B746="",AJ$7=""),"",IF($B746="MEANS",INDEX('1-DATA'!$1:$1048576,$A745-1,COLUMN('1-DATA'!AI744)),ROUND(INDEX('1-DATA'!$1:$1048576,IF(OR($B746="STD. DEVIATION",$C$1=1),$A746,$A746+1),COLUMN('1-DATA'!AI744)),IF($B746="STD. DEVIATION",2,$F$1))))</f>
        <v/>
      </c>
      <c r="AK746" s="1" t="str">
        <f>IF(OR($B746="",AK$7=""),"",IF($B746="MEANS",INDEX('1-DATA'!$1:$1048576,$A745-1,COLUMN('1-DATA'!AJ744)),ROUND(INDEX('1-DATA'!$1:$1048576,IF(OR($B746="STD. DEVIATION",$C$1=1),$A746,$A746+1),COLUMN('1-DATA'!AJ744)),IF($B746="STD. DEVIATION",2,$F$1))))</f>
        <v/>
      </c>
      <c r="AL746" s="1" t="str">
        <f>IF(OR($B746="",AL$7=""),"",IF($B746="MEANS",INDEX('1-DATA'!$1:$1048576,$A745-1,COLUMN('1-DATA'!AK744)),ROUND(INDEX('1-DATA'!$1:$1048576,IF(OR($B746="STD. DEVIATION",$C$1=1),$A746,$A746+1),COLUMN('1-DATA'!AK744)),IF($B746="STD. DEVIATION",2,$F$1))))</f>
        <v/>
      </c>
      <c r="AM746" s="1" t="str">
        <f>IF(OR($B746="",AM$7=""),"",IF($B746="MEANS",INDEX('1-DATA'!$1:$1048576,$A745-1,COLUMN('1-DATA'!AL744)),ROUND(INDEX('1-DATA'!$1:$1048576,IF(OR($B746="STD. DEVIATION",$C$1=1),$A746,$A746+1),COLUMN('1-DATA'!AL744)),IF($B746="STD. DEVIATION",2,$F$1))))</f>
        <v/>
      </c>
      <c r="AN746" s="1" t="str">
        <f>IF(OR($B746="",AN$7=""),"",IF($B746="MEANS",INDEX('1-DATA'!$1:$1048576,$A745-1,COLUMN('1-DATA'!AM744)),ROUND(INDEX('1-DATA'!$1:$1048576,IF(OR($B746="STD. DEVIATION",$C$1=1),$A746,$A746+1),COLUMN('1-DATA'!AM744)),IF($B746="STD. DEVIATION",2,$F$1))))</f>
        <v/>
      </c>
      <c r="AO746" s="1" t="str">
        <f>IF(OR($B746="",AO$7=""),"",IF($B746="MEANS",INDEX('1-DATA'!$1:$1048576,$A745-1,COLUMN('1-DATA'!AN744)),ROUND(INDEX('1-DATA'!$1:$1048576,IF(OR($B746="STD. DEVIATION",$C$1=1),$A746,$A746+1),COLUMN('1-DATA'!AN744)),IF($B746="STD. DEVIATION",2,$F$1))))</f>
        <v/>
      </c>
      <c r="AP746" s="1" t="str">
        <f>IF(OR($B746="",AP$7=""),"",IF($B746="MEANS",INDEX('1-DATA'!$1:$1048576,$A745-1,COLUMN('1-DATA'!AO744)),ROUND(INDEX('1-DATA'!$1:$1048576,IF(OR($B746="STD. DEVIATION",$C$1=1),$A746,$A746+1),COLUMN('1-DATA'!AO744)),IF($B746="STD. DEVIATION",2,$F$1))))</f>
        <v/>
      </c>
      <c r="AQ746" s="1" t="str">
        <f>IF(OR($B746="",AQ$7=""),"",IF($B746="MEANS",INDEX('1-DATA'!$1:$1048576,$A745-1,COLUMN('1-DATA'!AP744)),ROUND(INDEX('1-DATA'!$1:$1048576,IF(OR($B746="STD. DEVIATION",$C$1=1),$A746,$A746+1),COLUMN('1-DATA'!AP744)),IF($B746="STD. DEVIATION",2,$F$1))))</f>
        <v/>
      </c>
      <c r="AR746" s="1" t="str">
        <f>IF(OR($B746="",AR$7=""),"",IF($B746="MEANS",INDEX('1-DATA'!$1:$1048576,$A745-1,COLUMN('1-DATA'!AQ744)),ROUND(INDEX('1-DATA'!$1:$1048576,IF(OR($B746="STD. DEVIATION",$C$1=1),$A746,$A746+1),COLUMN('1-DATA'!AQ744)),IF($B746="STD. DEVIATION",2,$F$1))))</f>
        <v/>
      </c>
      <c r="AS746" s="1" t="str">
        <f>IF(OR($B746="",AS$7=""),"",IF($B746="MEANS",INDEX('1-DATA'!$1:$1048576,$A745-1,COLUMN('1-DATA'!AR744)),ROUND(INDEX('1-DATA'!$1:$1048576,IF(OR($B746="STD. DEVIATION",$C$1=1),$A746,$A746+1),COLUMN('1-DATA'!AR744)),IF($B746="STD. DEVIATION",2,$F$1))))</f>
        <v/>
      </c>
      <c r="AT746" s="1" t="str">
        <f>IF(OR($B746="",AT$7=""),"",IF($B746="MEANS",INDEX('1-DATA'!$1:$1048576,$A745-1,COLUMN('1-DATA'!AS744)),ROUND(INDEX('1-DATA'!$1:$1048576,IF(OR($B746="STD. DEVIATION",$C$1=1),$A746,$A746+1),COLUMN('1-DATA'!AS744)),IF($B746="STD. DEVIATION",2,$F$1))))</f>
        <v/>
      </c>
      <c r="AU746" s="1" t="str">
        <f>IF(OR($B746="",AU$7=""),"",IF($B746="MEANS",INDEX('1-DATA'!$1:$1048576,$A745-1,COLUMN('1-DATA'!AT744)),ROUND(INDEX('1-DATA'!$1:$1048576,IF(OR($B746="STD. DEVIATION",$C$1=1),$A746,$A746+1),COLUMN('1-DATA'!AT744)),IF($B746="STD. DEVIATION",2,$F$1))))</f>
        <v/>
      </c>
      <c r="AV746" s="1" t="str">
        <f>IF(OR($B746="",AV$7=""),"",IF($B746="MEANS",INDEX('1-DATA'!$1:$1048576,$A745-1,COLUMN('1-DATA'!AU744)),ROUND(INDEX('1-DATA'!$1:$1048576,IF(OR($B746="STD. DEVIATION",$C$1=1),$A746,$A746+1),COLUMN('1-DATA'!AU744)),IF($B746="STD. DEVIATION",2,$F$1))))</f>
        <v/>
      </c>
      <c r="AW746" s="1" t="str">
        <f>IF(OR($B746="",AW$7=""),"",IF($B746="MEANS",INDEX('1-DATA'!$1:$1048576,$A745-1,COLUMN('1-DATA'!AV744)),ROUND(INDEX('1-DATA'!$1:$1048576,IF(OR($B746="STD. DEVIATION",$C$1=1),$A746,$A746+1),COLUMN('1-DATA'!AV744)),IF($B746="STD. DEVIATION",2,$F$1))))</f>
        <v/>
      </c>
      <c r="AX746" s="1" t="str">
        <f>IF(OR($B746="",AX$7=""),"",IF($B746="MEANS",INDEX('1-DATA'!$1:$1048576,$A745-1,COLUMN('1-DATA'!AW744)),ROUND(INDEX('1-DATA'!$1:$1048576,IF(OR($B746="STD. DEVIATION",$C$1=1),$A746,$A746+1),COLUMN('1-DATA'!AW744)),IF($B746="STD. DEVIATION",2,$F$1))))</f>
        <v/>
      </c>
      <c r="AY746" s="1" t="str">
        <f>IF(OR($B746="",AY$7=""),"",IF($B746="MEANS",INDEX('1-DATA'!$1:$1048576,$A745-1,COLUMN('1-DATA'!AX744)),ROUND(INDEX('1-DATA'!$1:$1048576,IF(OR($B746="STD. DEVIATION",$C$1=1),$A746,$A746+1),COLUMN('1-DATA'!AX744)),IF($B746="STD. DEVIATION",2,$F$1))))</f>
        <v/>
      </c>
      <c r="AZ746" s="1" t="str">
        <f>IF(OR($B746="",AZ$7=""),"",IF($B746="MEANS",INDEX('1-DATA'!$1:$1048576,$A745-1,COLUMN('1-DATA'!AY744)),ROUND(INDEX('1-DATA'!$1:$1048576,IF(OR($B746="STD. DEVIATION",$C$1=1),$A746,$A746+1),COLUMN('1-DATA'!AY744)),IF($B746="STD. DEVIATION",2,$F$1))))</f>
        <v/>
      </c>
    </row>
    <row r="747" spans="1:52" x14ac:dyDescent="0.25">
      <c r="A747" s="11">
        <f t="shared" si="12"/>
        <v>2227</v>
      </c>
      <c r="B747" s="1" t="str">
        <f>IF(B746="STD. DEVIATION",INDEX('1-DATA'!$1:$1048576,$A746-1,1),IF(INDEX('1-DATA'!$1:$1048576,$A747,1)&lt;&gt;"",INDEX('1-DATA'!$1:$1048576,$A747,1),""))</f>
        <v/>
      </c>
      <c r="C747" s="1" t="str">
        <f>IF(OR($B747="",C$7=""),"",IF($B747="MEANS",INDEX('1-DATA'!$1:$1048576,$A746-1,COLUMN('1-DATA'!B745)),ROUND(INDEX('1-DATA'!$1:$1048576,IF(OR($B747="STD. DEVIATION",$C$1=1),$A747,$A747+1),COLUMN('1-DATA'!B745)),IF($B747="STD. DEVIATION",2,$F$1))))</f>
        <v/>
      </c>
      <c r="D747" s="1" t="str">
        <f>IF(OR($B747="",D$7=""),"",IF($B747="MEANS",INDEX('1-DATA'!$1:$1048576,$A746-1,COLUMN('1-DATA'!C745)),ROUND(INDEX('1-DATA'!$1:$1048576,IF(OR($B747="STD. DEVIATION",$C$1=1),$A747,$A747+1),COLUMN('1-DATA'!C745)),IF($B747="STD. DEVIATION",2,$F$1))))</f>
        <v/>
      </c>
      <c r="E747" s="1" t="str">
        <f>IF(OR($B747="",E$7=""),"",IF($B747="MEANS",INDEX('1-DATA'!$1:$1048576,$A746-1,COLUMN('1-DATA'!D745)),ROUND(INDEX('1-DATA'!$1:$1048576,IF(OR($B747="STD. DEVIATION",$C$1=1),$A747,$A747+1),COLUMN('1-DATA'!D745)),IF($B747="STD. DEVIATION",2,$F$1))))</f>
        <v/>
      </c>
      <c r="F747" s="1" t="str">
        <f>IF(OR($B747="",F$7=""),"",IF($B747="MEANS",INDEX('1-DATA'!$1:$1048576,$A746-1,COLUMN('1-DATA'!E745)),ROUND(INDEX('1-DATA'!$1:$1048576,IF(OR($B747="STD. DEVIATION",$C$1=1),$A747,$A747+1),COLUMN('1-DATA'!E745)),IF($B747="STD. DEVIATION",2,$F$1))))</f>
        <v/>
      </c>
      <c r="G747" s="1" t="str">
        <f>IF(OR($B747="",G$7=""),"",IF($B747="MEANS",INDEX('1-DATA'!$1:$1048576,$A746-1,COLUMN('1-DATA'!F745)),ROUND(INDEX('1-DATA'!$1:$1048576,IF(OR($B747="STD. DEVIATION",$C$1=1),$A747,$A747+1),COLUMN('1-DATA'!F745)),IF($B747="STD. DEVIATION",2,$F$1))))</f>
        <v/>
      </c>
      <c r="H747" s="1" t="str">
        <f>IF(OR($B747="",H$7=""),"",IF($B747="MEANS",INDEX('1-DATA'!$1:$1048576,$A746-1,COLUMN('1-DATA'!G745)),ROUND(INDEX('1-DATA'!$1:$1048576,IF(OR($B747="STD. DEVIATION",$C$1=1),$A747,$A747+1),COLUMN('1-DATA'!G745)),IF($B747="STD. DEVIATION",2,$F$1))))</f>
        <v/>
      </c>
      <c r="I747" s="1" t="str">
        <f>IF(OR($B747="",I$7=""),"",IF($B747="MEANS",INDEX('1-DATA'!$1:$1048576,$A746-1,COLUMN('1-DATA'!H745)),ROUND(INDEX('1-DATA'!$1:$1048576,IF(OR($B747="STD. DEVIATION",$C$1=1),$A747,$A747+1),COLUMN('1-DATA'!H745)),IF($B747="STD. DEVIATION",2,$F$1))))</f>
        <v/>
      </c>
      <c r="J747" s="1" t="str">
        <f>IF(OR($B747="",J$7=""),"",IF($B747="MEANS",INDEX('1-DATA'!$1:$1048576,$A746-1,COLUMN('1-DATA'!I745)),ROUND(INDEX('1-DATA'!$1:$1048576,IF(OR($B747="STD. DEVIATION",$C$1=1),$A747,$A747+1),COLUMN('1-DATA'!I745)),IF($B747="STD. DEVIATION",2,$F$1))))</f>
        <v/>
      </c>
      <c r="K747" s="1" t="str">
        <f>IF(OR($B747="",K$7=""),"",IF($B747="MEANS",INDEX('1-DATA'!$1:$1048576,$A746-1,COLUMN('1-DATA'!J745)),ROUND(INDEX('1-DATA'!$1:$1048576,IF(OR($B747="STD. DEVIATION",$C$1=1),$A747,$A747+1),COLUMN('1-DATA'!J745)),IF($B747="STD. DEVIATION",2,$F$1))))</f>
        <v/>
      </c>
      <c r="L747" s="1" t="str">
        <f>IF(OR($B747="",L$7=""),"",IF($B747="MEANS",INDEX('1-DATA'!$1:$1048576,$A746-1,COLUMN('1-DATA'!K745)),ROUND(INDEX('1-DATA'!$1:$1048576,IF(OR($B747="STD. DEVIATION",$C$1=1),$A747,$A747+1),COLUMN('1-DATA'!K745)),IF($B747="STD. DEVIATION",2,$F$1))))</f>
        <v/>
      </c>
      <c r="M747" s="1" t="str">
        <f>IF(OR($B747="",M$7=""),"",IF($B747="MEANS",INDEX('1-DATA'!$1:$1048576,$A746-1,COLUMN('1-DATA'!L745)),ROUND(INDEX('1-DATA'!$1:$1048576,IF(OR($B747="STD. DEVIATION",$C$1=1),$A747,$A747+1),COLUMN('1-DATA'!L745)),IF($B747="STD. DEVIATION",2,$F$1))))</f>
        <v/>
      </c>
      <c r="N747" s="1" t="str">
        <f>IF(OR($B747="",N$7=""),"",IF($B747="MEANS",INDEX('1-DATA'!$1:$1048576,$A746-1,COLUMN('1-DATA'!M745)),ROUND(INDEX('1-DATA'!$1:$1048576,IF(OR($B747="STD. DEVIATION",$C$1=1),$A747,$A747+1),COLUMN('1-DATA'!M745)),IF($B747="STD. DEVIATION",2,$F$1))))</f>
        <v/>
      </c>
      <c r="O747" s="1" t="str">
        <f>IF(OR($B747="",O$7=""),"",IF($B747="MEANS",INDEX('1-DATA'!$1:$1048576,$A746-1,COLUMN('1-DATA'!N745)),ROUND(INDEX('1-DATA'!$1:$1048576,IF(OR($B747="STD. DEVIATION",$C$1=1),$A747,$A747+1),COLUMN('1-DATA'!N745)),IF($B747="STD. DEVIATION",2,$F$1))))</f>
        <v/>
      </c>
      <c r="P747" s="1" t="str">
        <f>IF(OR($B747="",P$7=""),"",IF($B747="MEANS",INDEX('1-DATA'!$1:$1048576,$A746-1,COLUMN('1-DATA'!O745)),ROUND(INDEX('1-DATA'!$1:$1048576,IF(OR($B747="STD. DEVIATION",$C$1=1),$A747,$A747+1),COLUMN('1-DATA'!O745)),IF($B747="STD. DEVIATION",2,$F$1))))</f>
        <v/>
      </c>
      <c r="Q747" s="1" t="str">
        <f>IF(OR($B747="",Q$7=""),"",IF($B747="MEANS",INDEX('1-DATA'!$1:$1048576,$A746-1,COLUMN('1-DATA'!P745)),ROUND(INDEX('1-DATA'!$1:$1048576,IF(OR($B747="STD. DEVIATION",$C$1=1),$A747,$A747+1),COLUMN('1-DATA'!P745)),IF($B747="STD. DEVIATION",2,$F$1))))</f>
        <v/>
      </c>
      <c r="R747" s="1" t="str">
        <f>IF(OR($B747="",R$7=""),"",IF($B747="MEANS",INDEX('1-DATA'!$1:$1048576,$A746-1,COLUMN('1-DATA'!Q745)),ROUND(INDEX('1-DATA'!$1:$1048576,IF(OR($B747="STD. DEVIATION",$C$1=1),$A747,$A747+1),COLUMN('1-DATA'!Q745)),IF($B747="STD. DEVIATION",2,$F$1))))</f>
        <v/>
      </c>
      <c r="S747" s="1" t="str">
        <f>IF(OR($B747="",S$7=""),"",IF($B747="MEANS",INDEX('1-DATA'!$1:$1048576,$A746-1,COLUMN('1-DATA'!R745)),ROUND(INDEX('1-DATA'!$1:$1048576,IF(OR($B747="STD. DEVIATION",$C$1=1),$A747,$A747+1),COLUMN('1-DATA'!R745)),IF($B747="STD. DEVIATION",2,$F$1))))</f>
        <v/>
      </c>
      <c r="T747" s="1" t="str">
        <f>IF(OR($B747="",T$7=""),"",IF($B747="MEANS",INDEX('1-DATA'!$1:$1048576,$A746-1,COLUMN('1-DATA'!S745)),ROUND(INDEX('1-DATA'!$1:$1048576,IF(OR($B747="STD. DEVIATION",$C$1=1),$A747,$A747+1),COLUMN('1-DATA'!S745)),IF($B747="STD. DEVIATION",2,$F$1))))</f>
        <v/>
      </c>
      <c r="U747" s="1" t="str">
        <f>IF(OR($B747="",U$7=""),"",IF($B747="MEANS",INDEX('1-DATA'!$1:$1048576,$A746-1,COLUMN('1-DATA'!T745)),ROUND(INDEX('1-DATA'!$1:$1048576,IF(OR($B747="STD. DEVIATION",$C$1=1),$A747,$A747+1),COLUMN('1-DATA'!T745)),IF($B747="STD. DEVIATION",2,$F$1))))</f>
        <v/>
      </c>
      <c r="V747" s="1" t="str">
        <f>IF(OR($B747="",V$7=""),"",IF($B747="MEANS",INDEX('1-DATA'!$1:$1048576,$A746-1,COLUMN('1-DATA'!U745)),ROUND(INDEX('1-DATA'!$1:$1048576,IF(OR($B747="STD. DEVIATION",$C$1=1),$A747,$A747+1),COLUMN('1-DATA'!U745)),IF($B747="STD. DEVIATION",2,$F$1))))</f>
        <v/>
      </c>
      <c r="W747" s="1" t="str">
        <f>IF(OR($B747="",W$7=""),"",IF($B747="MEANS",INDEX('1-DATA'!$1:$1048576,$A746-1,COLUMN('1-DATA'!V745)),ROUND(INDEX('1-DATA'!$1:$1048576,IF(OR($B747="STD. DEVIATION",$C$1=1),$A747,$A747+1),COLUMN('1-DATA'!V745)),IF($B747="STD. DEVIATION",2,$F$1))))</f>
        <v/>
      </c>
      <c r="X747" s="1" t="str">
        <f>IF(OR($B747="",X$7=""),"",IF($B747="MEANS",INDEX('1-DATA'!$1:$1048576,$A746-1,COLUMN('1-DATA'!W745)),ROUND(INDEX('1-DATA'!$1:$1048576,IF(OR($B747="STD. DEVIATION",$C$1=1),$A747,$A747+1),COLUMN('1-DATA'!W745)),IF($B747="STD. DEVIATION",2,$F$1))))</f>
        <v/>
      </c>
      <c r="Y747" s="1" t="str">
        <f>IF(OR($B747="",Y$7=""),"",IF($B747="MEANS",INDEX('1-DATA'!$1:$1048576,$A746-1,COLUMN('1-DATA'!X745)),ROUND(INDEX('1-DATA'!$1:$1048576,IF(OR($B747="STD. DEVIATION",$C$1=1),$A747,$A747+1),COLUMN('1-DATA'!X745)),IF($B747="STD. DEVIATION",2,$F$1))))</f>
        <v/>
      </c>
      <c r="Z747" s="1" t="str">
        <f>IF(OR($B747="",Z$7=""),"",IF($B747="MEANS",INDEX('1-DATA'!$1:$1048576,$A746-1,COLUMN('1-DATA'!Y745)),ROUND(INDEX('1-DATA'!$1:$1048576,IF(OR($B747="STD. DEVIATION",$C$1=1),$A747,$A747+1),COLUMN('1-DATA'!Y745)),IF($B747="STD. DEVIATION",2,$F$1))))</f>
        <v/>
      </c>
      <c r="AA747" s="1" t="str">
        <f>IF(OR($B747="",AA$7=""),"",IF($B747="MEANS",INDEX('1-DATA'!$1:$1048576,$A746-1,COLUMN('1-DATA'!Z745)),ROUND(INDEX('1-DATA'!$1:$1048576,IF(OR($B747="STD. DEVIATION",$C$1=1),$A747,$A747+1),COLUMN('1-DATA'!Z745)),IF($B747="STD. DEVIATION",2,$F$1))))</f>
        <v/>
      </c>
      <c r="AB747" s="1" t="str">
        <f>IF(OR($B747="",AB$7=""),"",IF($B747="MEANS",INDEX('1-DATA'!$1:$1048576,$A746-1,COLUMN('1-DATA'!AA745)),ROUND(INDEX('1-DATA'!$1:$1048576,IF(OR($B747="STD. DEVIATION",$C$1=1),$A747,$A747+1),COLUMN('1-DATA'!AA745)),IF($B747="STD. DEVIATION",2,$F$1))))</f>
        <v/>
      </c>
      <c r="AC747" s="1" t="str">
        <f>IF(OR($B747="",AC$7=""),"",IF($B747="MEANS",INDEX('1-DATA'!$1:$1048576,$A746-1,COLUMN('1-DATA'!AB745)),ROUND(INDEX('1-DATA'!$1:$1048576,IF(OR($B747="STD. DEVIATION",$C$1=1),$A747,$A747+1),COLUMN('1-DATA'!AB745)),IF($B747="STD. DEVIATION",2,$F$1))))</f>
        <v/>
      </c>
      <c r="AD747" s="1" t="str">
        <f>IF(OR($B747="",AD$7=""),"",IF($B747="MEANS",INDEX('1-DATA'!$1:$1048576,$A746-1,COLUMN('1-DATA'!AC745)),ROUND(INDEX('1-DATA'!$1:$1048576,IF(OR($B747="STD. DEVIATION",$C$1=1),$A747,$A747+1),COLUMN('1-DATA'!AC745)),IF($B747="STD. DEVIATION",2,$F$1))))</f>
        <v/>
      </c>
      <c r="AE747" s="1" t="str">
        <f>IF(OR($B747="",AE$7=""),"",IF($B747="MEANS",INDEX('1-DATA'!$1:$1048576,$A746-1,COLUMN('1-DATA'!AD745)),ROUND(INDEX('1-DATA'!$1:$1048576,IF(OR($B747="STD. DEVIATION",$C$1=1),$A747,$A747+1),COLUMN('1-DATA'!AD745)),IF($B747="STD. DEVIATION",2,$F$1))))</f>
        <v/>
      </c>
      <c r="AF747" s="1" t="str">
        <f>IF(OR($B747="",AF$7=""),"",IF($B747="MEANS",INDEX('1-DATA'!$1:$1048576,$A746-1,COLUMN('1-DATA'!AE745)),ROUND(INDEX('1-DATA'!$1:$1048576,IF(OR($B747="STD. DEVIATION",$C$1=1),$A747,$A747+1),COLUMN('1-DATA'!AE745)),IF($B747="STD. DEVIATION",2,$F$1))))</f>
        <v/>
      </c>
      <c r="AG747" s="1" t="str">
        <f>IF(OR($B747="",AG$7=""),"",IF($B747="MEANS",INDEX('1-DATA'!$1:$1048576,$A746-1,COLUMN('1-DATA'!AF745)),ROUND(INDEX('1-DATA'!$1:$1048576,IF(OR($B747="STD. DEVIATION",$C$1=1),$A747,$A747+1),COLUMN('1-DATA'!AF745)),IF($B747="STD. DEVIATION",2,$F$1))))</f>
        <v/>
      </c>
      <c r="AH747" s="1" t="str">
        <f>IF(OR($B747="",AH$7=""),"",IF($B747="MEANS",INDEX('1-DATA'!$1:$1048576,$A746-1,COLUMN('1-DATA'!AG745)),ROUND(INDEX('1-DATA'!$1:$1048576,IF(OR($B747="STD. DEVIATION",$C$1=1),$A747,$A747+1),COLUMN('1-DATA'!AG745)),IF($B747="STD. DEVIATION",2,$F$1))))</f>
        <v/>
      </c>
      <c r="AI747" s="1" t="str">
        <f>IF(OR($B747="",AI$7=""),"",IF($B747="MEANS",INDEX('1-DATA'!$1:$1048576,$A746-1,COLUMN('1-DATA'!AH745)),ROUND(INDEX('1-DATA'!$1:$1048576,IF(OR($B747="STD. DEVIATION",$C$1=1),$A747,$A747+1),COLUMN('1-DATA'!AH745)),IF($B747="STD. DEVIATION",2,$F$1))))</f>
        <v/>
      </c>
      <c r="AJ747" s="1" t="str">
        <f>IF(OR($B747="",AJ$7=""),"",IF($B747="MEANS",INDEX('1-DATA'!$1:$1048576,$A746-1,COLUMN('1-DATA'!AI745)),ROUND(INDEX('1-DATA'!$1:$1048576,IF(OR($B747="STD. DEVIATION",$C$1=1),$A747,$A747+1),COLUMN('1-DATA'!AI745)),IF($B747="STD. DEVIATION",2,$F$1))))</f>
        <v/>
      </c>
      <c r="AK747" s="1" t="str">
        <f>IF(OR($B747="",AK$7=""),"",IF($B747="MEANS",INDEX('1-DATA'!$1:$1048576,$A746-1,COLUMN('1-DATA'!AJ745)),ROUND(INDEX('1-DATA'!$1:$1048576,IF(OR($B747="STD. DEVIATION",$C$1=1),$A747,$A747+1),COLUMN('1-DATA'!AJ745)),IF($B747="STD. DEVIATION",2,$F$1))))</f>
        <v/>
      </c>
      <c r="AL747" s="1" t="str">
        <f>IF(OR($B747="",AL$7=""),"",IF($B747="MEANS",INDEX('1-DATA'!$1:$1048576,$A746-1,COLUMN('1-DATA'!AK745)),ROUND(INDEX('1-DATA'!$1:$1048576,IF(OR($B747="STD. DEVIATION",$C$1=1),$A747,$A747+1),COLUMN('1-DATA'!AK745)),IF($B747="STD. DEVIATION",2,$F$1))))</f>
        <v/>
      </c>
      <c r="AM747" s="1" t="str">
        <f>IF(OR($B747="",AM$7=""),"",IF($B747="MEANS",INDEX('1-DATA'!$1:$1048576,$A746-1,COLUMN('1-DATA'!AL745)),ROUND(INDEX('1-DATA'!$1:$1048576,IF(OR($B747="STD. DEVIATION",$C$1=1),$A747,$A747+1),COLUMN('1-DATA'!AL745)),IF($B747="STD. DEVIATION",2,$F$1))))</f>
        <v/>
      </c>
      <c r="AN747" s="1" t="str">
        <f>IF(OR($B747="",AN$7=""),"",IF($B747="MEANS",INDEX('1-DATA'!$1:$1048576,$A746-1,COLUMN('1-DATA'!AM745)),ROUND(INDEX('1-DATA'!$1:$1048576,IF(OR($B747="STD. DEVIATION",$C$1=1),$A747,$A747+1),COLUMN('1-DATA'!AM745)),IF($B747="STD. DEVIATION",2,$F$1))))</f>
        <v/>
      </c>
      <c r="AO747" s="1" t="str">
        <f>IF(OR($B747="",AO$7=""),"",IF($B747="MEANS",INDEX('1-DATA'!$1:$1048576,$A746-1,COLUMN('1-DATA'!AN745)),ROUND(INDEX('1-DATA'!$1:$1048576,IF(OR($B747="STD. DEVIATION",$C$1=1),$A747,$A747+1),COLUMN('1-DATA'!AN745)),IF($B747="STD. DEVIATION",2,$F$1))))</f>
        <v/>
      </c>
      <c r="AP747" s="1" t="str">
        <f>IF(OR($B747="",AP$7=""),"",IF($B747="MEANS",INDEX('1-DATA'!$1:$1048576,$A746-1,COLUMN('1-DATA'!AO745)),ROUND(INDEX('1-DATA'!$1:$1048576,IF(OR($B747="STD. DEVIATION",$C$1=1),$A747,$A747+1),COLUMN('1-DATA'!AO745)),IF($B747="STD. DEVIATION",2,$F$1))))</f>
        <v/>
      </c>
      <c r="AQ747" s="1" t="str">
        <f>IF(OR($B747="",AQ$7=""),"",IF($B747="MEANS",INDEX('1-DATA'!$1:$1048576,$A746-1,COLUMN('1-DATA'!AP745)),ROUND(INDEX('1-DATA'!$1:$1048576,IF(OR($B747="STD. DEVIATION",$C$1=1),$A747,$A747+1),COLUMN('1-DATA'!AP745)),IF($B747="STD. DEVIATION",2,$F$1))))</f>
        <v/>
      </c>
      <c r="AR747" s="1" t="str">
        <f>IF(OR($B747="",AR$7=""),"",IF($B747="MEANS",INDEX('1-DATA'!$1:$1048576,$A746-1,COLUMN('1-DATA'!AQ745)),ROUND(INDEX('1-DATA'!$1:$1048576,IF(OR($B747="STD. DEVIATION",$C$1=1),$A747,$A747+1),COLUMN('1-DATA'!AQ745)),IF($B747="STD. DEVIATION",2,$F$1))))</f>
        <v/>
      </c>
      <c r="AS747" s="1" t="str">
        <f>IF(OR($B747="",AS$7=""),"",IF($B747="MEANS",INDEX('1-DATA'!$1:$1048576,$A746-1,COLUMN('1-DATA'!AR745)),ROUND(INDEX('1-DATA'!$1:$1048576,IF(OR($B747="STD. DEVIATION",$C$1=1),$A747,$A747+1),COLUMN('1-DATA'!AR745)),IF($B747="STD. DEVIATION",2,$F$1))))</f>
        <v/>
      </c>
      <c r="AT747" s="1" t="str">
        <f>IF(OR($B747="",AT$7=""),"",IF($B747="MEANS",INDEX('1-DATA'!$1:$1048576,$A746-1,COLUMN('1-DATA'!AS745)),ROUND(INDEX('1-DATA'!$1:$1048576,IF(OR($B747="STD. DEVIATION",$C$1=1),$A747,$A747+1),COLUMN('1-DATA'!AS745)),IF($B747="STD. DEVIATION",2,$F$1))))</f>
        <v/>
      </c>
      <c r="AU747" s="1" t="str">
        <f>IF(OR($B747="",AU$7=""),"",IF($B747="MEANS",INDEX('1-DATA'!$1:$1048576,$A746-1,COLUMN('1-DATA'!AT745)),ROUND(INDEX('1-DATA'!$1:$1048576,IF(OR($B747="STD. DEVIATION",$C$1=1),$A747,$A747+1),COLUMN('1-DATA'!AT745)),IF($B747="STD. DEVIATION",2,$F$1))))</f>
        <v/>
      </c>
      <c r="AV747" s="1" t="str">
        <f>IF(OR($B747="",AV$7=""),"",IF($B747="MEANS",INDEX('1-DATA'!$1:$1048576,$A746-1,COLUMN('1-DATA'!AU745)),ROUND(INDEX('1-DATA'!$1:$1048576,IF(OR($B747="STD. DEVIATION",$C$1=1),$A747,$A747+1),COLUMN('1-DATA'!AU745)),IF($B747="STD. DEVIATION",2,$F$1))))</f>
        <v/>
      </c>
      <c r="AW747" s="1" t="str">
        <f>IF(OR($B747="",AW$7=""),"",IF($B747="MEANS",INDEX('1-DATA'!$1:$1048576,$A746-1,COLUMN('1-DATA'!AV745)),ROUND(INDEX('1-DATA'!$1:$1048576,IF(OR($B747="STD. DEVIATION",$C$1=1),$A747,$A747+1),COLUMN('1-DATA'!AV745)),IF($B747="STD. DEVIATION",2,$F$1))))</f>
        <v/>
      </c>
      <c r="AX747" s="1" t="str">
        <f>IF(OR($B747="",AX$7=""),"",IF($B747="MEANS",INDEX('1-DATA'!$1:$1048576,$A746-1,COLUMN('1-DATA'!AW745)),ROUND(INDEX('1-DATA'!$1:$1048576,IF(OR($B747="STD. DEVIATION",$C$1=1),$A747,$A747+1),COLUMN('1-DATA'!AW745)),IF($B747="STD. DEVIATION",2,$F$1))))</f>
        <v/>
      </c>
      <c r="AY747" s="1" t="str">
        <f>IF(OR($B747="",AY$7=""),"",IF($B747="MEANS",INDEX('1-DATA'!$1:$1048576,$A746-1,COLUMN('1-DATA'!AX745)),ROUND(INDEX('1-DATA'!$1:$1048576,IF(OR($B747="STD. DEVIATION",$C$1=1),$A747,$A747+1),COLUMN('1-DATA'!AX745)),IF($B747="STD. DEVIATION",2,$F$1))))</f>
        <v/>
      </c>
      <c r="AZ747" s="1" t="str">
        <f>IF(OR($B747="",AZ$7=""),"",IF($B747="MEANS",INDEX('1-DATA'!$1:$1048576,$A746-1,COLUMN('1-DATA'!AY745)),ROUND(INDEX('1-DATA'!$1:$1048576,IF(OR($B747="STD. DEVIATION",$C$1=1),$A747,$A747+1),COLUMN('1-DATA'!AY745)),IF($B747="STD. DEVIATION",2,$F$1))))</f>
        <v/>
      </c>
    </row>
    <row r="748" spans="1:52" x14ac:dyDescent="0.25">
      <c r="A748" s="11">
        <f t="shared" si="12"/>
        <v>2230</v>
      </c>
      <c r="B748" s="1" t="str">
        <f>IF(B747="STD. DEVIATION",INDEX('1-DATA'!$1:$1048576,$A747-1,1),IF(INDEX('1-DATA'!$1:$1048576,$A748,1)&lt;&gt;"",INDEX('1-DATA'!$1:$1048576,$A748,1),""))</f>
        <v/>
      </c>
      <c r="C748" s="1" t="str">
        <f>IF(OR($B748="",C$7=""),"",IF($B748="MEANS",INDEX('1-DATA'!$1:$1048576,$A747-1,COLUMN('1-DATA'!B746)),ROUND(INDEX('1-DATA'!$1:$1048576,IF(OR($B748="STD. DEVIATION",$C$1=1),$A748,$A748+1),COLUMN('1-DATA'!B746)),IF($B748="STD. DEVIATION",2,$F$1))))</f>
        <v/>
      </c>
      <c r="D748" s="1" t="str">
        <f>IF(OR($B748="",D$7=""),"",IF($B748="MEANS",INDEX('1-DATA'!$1:$1048576,$A747-1,COLUMN('1-DATA'!C746)),ROUND(INDEX('1-DATA'!$1:$1048576,IF(OR($B748="STD. DEVIATION",$C$1=1),$A748,$A748+1),COLUMN('1-DATA'!C746)),IF($B748="STD. DEVIATION",2,$F$1))))</f>
        <v/>
      </c>
      <c r="E748" s="1" t="str">
        <f>IF(OR($B748="",E$7=""),"",IF($B748="MEANS",INDEX('1-DATA'!$1:$1048576,$A747-1,COLUMN('1-DATA'!D746)),ROUND(INDEX('1-DATA'!$1:$1048576,IF(OR($B748="STD. DEVIATION",$C$1=1),$A748,$A748+1),COLUMN('1-DATA'!D746)),IF($B748="STD. DEVIATION",2,$F$1))))</f>
        <v/>
      </c>
      <c r="F748" s="1" t="str">
        <f>IF(OR($B748="",F$7=""),"",IF($B748="MEANS",INDEX('1-DATA'!$1:$1048576,$A747-1,COLUMN('1-DATA'!E746)),ROUND(INDEX('1-DATA'!$1:$1048576,IF(OR($B748="STD. DEVIATION",$C$1=1),$A748,$A748+1),COLUMN('1-DATA'!E746)),IF($B748="STD. DEVIATION",2,$F$1))))</f>
        <v/>
      </c>
      <c r="G748" s="1" t="str">
        <f>IF(OR($B748="",G$7=""),"",IF($B748="MEANS",INDEX('1-DATA'!$1:$1048576,$A747-1,COLUMN('1-DATA'!F746)),ROUND(INDEX('1-DATA'!$1:$1048576,IF(OR($B748="STD. DEVIATION",$C$1=1),$A748,$A748+1),COLUMN('1-DATA'!F746)),IF($B748="STD. DEVIATION",2,$F$1))))</f>
        <v/>
      </c>
      <c r="H748" s="1" t="str">
        <f>IF(OR($B748="",H$7=""),"",IF($B748="MEANS",INDEX('1-DATA'!$1:$1048576,$A747-1,COLUMN('1-DATA'!G746)),ROUND(INDEX('1-DATA'!$1:$1048576,IF(OR($B748="STD. DEVIATION",$C$1=1),$A748,$A748+1),COLUMN('1-DATA'!G746)),IF($B748="STD. DEVIATION",2,$F$1))))</f>
        <v/>
      </c>
      <c r="I748" s="1" t="str">
        <f>IF(OR($B748="",I$7=""),"",IF($B748="MEANS",INDEX('1-DATA'!$1:$1048576,$A747-1,COLUMN('1-DATA'!H746)),ROUND(INDEX('1-DATA'!$1:$1048576,IF(OR($B748="STD. DEVIATION",$C$1=1),$A748,$A748+1),COLUMN('1-DATA'!H746)),IF($B748="STD. DEVIATION",2,$F$1))))</f>
        <v/>
      </c>
      <c r="J748" s="1" t="str">
        <f>IF(OR($B748="",J$7=""),"",IF($B748="MEANS",INDEX('1-DATA'!$1:$1048576,$A747-1,COLUMN('1-DATA'!I746)),ROUND(INDEX('1-DATA'!$1:$1048576,IF(OR($B748="STD. DEVIATION",$C$1=1),$A748,$A748+1),COLUMN('1-DATA'!I746)),IF($B748="STD. DEVIATION",2,$F$1))))</f>
        <v/>
      </c>
      <c r="K748" s="1" t="str">
        <f>IF(OR($B748="",K$7=""),"",IF($B748="MEANS",INDEX('1-DATA'!$1:$1048576,$A747-1,COLUMN('1-DATA'!J746)),ROUND(INDEX('1-DATA'!$1:$1048576,IF(OR($B748="STD. DEVIATION",$C$1=1),$A748,$A748+1),COLUMN('1-DATA'!J746)),IF($B748="STD. DEVIATION",2,$F$1))))</f>
        <v/>
      </c>
      <c r="L748" s="1" t="str">
        <f>IF(OR($B748="",L$7=""),"",IF($B748="MEANS",INDEX('1-DATA'!$1:$1048576,$A747-1,COLUMN('1-DATA'!K746)),ROUND(INDEX('1-DATA'!$1:$1048576,IF(OR($B748="STD. DEVIATION",$C$1=1),$A748,$A748+1),COLUMN('1-DATA'!K746)),IF($B748="STD. DEVIATION",2,$F$1))))</f>
        <v/>
      </c>
      <c r="M748" s="1" t="str">
        <f>IF(OR($B748="",M$7=""),"",IF($B748="MEANS",INDEX('1-DATA'!$1:$1048576,$A747-1,COLUMN('1-DATA'!L746)),ROUND(INDEX('1-DATA'!$1:$1048576,IF(OR($B748="STD. DEVIATION",$C$1=1),$A748,$A748+1),COLUMN('1-DATA'!L746)),IF($B748="STD. DEVIATION",2,$F$1))))</f>
        <v/>
      </c>
      <c r="N748" s="1" t="str">
        <f>IF(OR($B748="",N$7=""),"",IF($B748="MEANS",INDEX('1-DATA'!$1:$1048576,$A747-1,COLUMN('1-DATA'!M746)),ROUND(INDEX('1-DATA'!$1:$1048576,IF(OR($B748="STD. DEVIATION",$C$1=1),$A748,$A748+1),COLUMN('1-DATA'!M746)),IF($B748="STD. DEVIATION",2,$F$1))))</f>
        <v/>
      </c>
      <c r="O748" s="1" t="str">
        <f>IF(OR($B748="",O$7=""),"",IF($B748="MEANS",INDEX('1-DATA'!$1:$1048576,$A747-1,COLUMN('1-DATA'!N746)),ROUND(INDEX('1-DATA'!$1:$1048576,IF(OR($B748="STD. DEVIATION",$C$1=1),$A748,$A748+1),COLUMN('1-DATA'!N746)),IF($B748="STD. DEVIATION",2,$F$1))))</f>
        <v/>
      </c>
      <c r="P748" s="1" t="str">
        <f>IF(OR($B748="",P$7=""),"",IF($B748="MEANS",INDEX('1-DATA'!$1:$1048576,$A747-1,COLUMN('1-DATA'!O746)),ROUND(INDEX('1-DATA'!$1:$1048576,IF(OR($B748="STD. DEVIATION",$C$1=1),$A748,$A748+1),COLUMN('1-DATA'!O746)),IF($B748="STD. DEVIATION",2,$F$1))))</f>
        <v/>
      </c>
      <c r="Q748" s="1" t="str">
        <f>IF(OR($B748="",Q$7=""),"",IF($B748="MEANS",INDEX('1-DATA'!$1:$1048576,$A747-1,COLUMN('1-DATA'!P746)),ROUND(INDEX('1-DATA'!$1:$1048576,IF(OR($B748="STD. DEVIATION",$C$1=1),$A748,$A748+1),COLUMN('1-DATA'!P746)),IF($B748="STD. DEVIATION",2,$F$1))))</f>
        <v/>
      </c>
      <c r="R748" s="1" t="str">
        <f>IF(OR($B748="",R$7=""),"",IF($B748="MEANS",INDEX('1-DATA'!$1:$1048576,$A747-1,COLUMN('1-DATA'!Q746)),ROUND(INDEX('1-DATA'!$1:$1048576,IF(OR($B748="STD. DEVIATION",$C$1=1),$A748,$A748+1),COLUMN('1-DATA'!Q746)),IF($B748="STD. DEVIATION",2,$F$1))))</f>
        <v/>
      </c>
      <c r="S748" s="1" t="str">
        <f>IF(OR($B748="",S$7=""),"",IF($B748="MEANS",INDEX('1-DATA'!$1:$1048576,$A747-1,COLUMN('1-DATA'!R746)),ROUND(INDEX('1-DATA'!$1:$1048576,IF(OR($B748="STD. DEVIATION",$C$1=1),$A748,$A748+1),COLUMN('1-DATA'!R746)),IF($B748="STD. DEVIATION",2,$F$1))))</f>
        <v/>
      </c>
      <c r="T748" s="1" t="str">
        <f>IF(OR($B748="",T$7=""),"",IF($B748="MEANS",INDEX('1-DATA'!$1:$1048576,$A747-1,COLUMN('1-DATA'!S746)),ROUND(INDEX('1-DATA'!$1:$1048576,IF(OR($B748="STD. DEVIATION",$C$1=1),$A748,$A748+1),COLUMN('1-DATA'!S746)),IF($B748="STD. DEVIATION",2,$F$1))))</f>
        <v/>
      </c>
      <c r="U748" s="1" t="str">
        <f>IF(OR($B748="",U$7=""),"",IF($B748="MEANS",INDEX('1-DATA'!$1:$1048576,$A747-1,COLUMN('1-DATA'!T746)),ROUND(INDEX('1-DATA'!$1:$1048576,IF(OR($B748="STD. DEVIATION",$C$1=1),$A748,$A748+1),COLUMN('1-DATA'!T746)),IF($B748="STD. DEVIATION",2,$F$1))))</f>
        <v/>
      </c>
      <c r="V748" s="1" t="str">
        <f>IF(OR($B748="",V$7=""),"",IF($B748="MEANS",INDEX('1-DATA'!$1:$1048576,$A747-1,COLUMN('1-DATA'!U746)),ROUND(INDEX('1-DATA'!$1:$1048576,IF(OR($B748="STD. DEVIATION",$C$1=1),$A748,$A748+1),COLUMN('1-DATA'!U746)),IF($B748="STD. DEVIATION",2,$F$1))))</f>
        <v/>
      </c>
      <c r="W748" s="1" t="str">
        <f>IF(OR($B748="",W$7=""),"",IF($B748="MEANS",INDEX('1-DATA'!$1:$1048576,$A747-1,COLUMN('1-DATA'!V746)),ROUND(INDEX('1-DATA'!$1:$1048576,IF(OR($B748="STD. DEVIATION",$C$1=1),$A748,$A748+1),COLUMN('1-DATA'!V746)),IF($B748="STD. DEVIATION",2,$F$1))))</f>
        <v/>
      </c>
      <c r="X748" s="1" t="str">
        <f>IF(OR($B748="",X$7=""),"",IF($B748="MEANS",INDEX('1-DATA'!$1:$1048576,$A747-1,COLUMN('1-DATA'!W746)),ROUND(INDEX('1-DATA'!$1:$1048576,IF(OR($B748="STD. DEVIATION",$C$1=1),$A748,$A748+1),COLUMN('1-DATA'!W746)),IF($B748="STD. DEVIATION",2,$F$1))))</f>
        <v/>
      </c>
      <c r="Y748" s="1" t="str">
        <f>IF(OR($B748="",Y$7=""),"",IF($B748="MEANS",INDEX('1-DATA'!$1:$1048576,$A747-1,COLUMN('1-DATA'!X746)),ROUND(INDEX('1-DATA'!$1:$1048576,IF(OR($B748="STD. DEVIATION",$C$1=1),$A748,$A748+1),COLUMN('1-DATA'!X746)),IF($B748="STD. DEVIATION",2,$F$1))))</f>
        <v/>
      </c>
      <c r="Z748" s="1" t="str">
        <f>IF(OR($B748="",Z$7=""),"",IF($B748="MEANS",INDEX('1-DATA'!$1:$1048576,$A747-1,COLUMN('1-DATA'!Y746)),ROUND(INDEX('1-DATA'!$1:$1048576,IF(OR($B748="STD. DEVIATION",$C$1=1),$A748,$A748+1),COLUMN('1-DATA'!Y746)),IF($B748="STD. DEVIATION",2,$F$1))))</f>
        <v/>
      </c>
      <c r="AA748" s="1" t="str">
        <f>IF(OR($B748="",AA$7=""),"",IF($B748="MEANS",INDEX('1-DATA'!$1:$1048576,$A747-1,COLUMN('1-DATA'!Z746)),ROUND(INDEX('1-DATA'!$1:$1048576,IF(OR($B748="STD. DEVIATION",$C$1=1),$A748,$A748+1),COLUMN('1-DATA'!Z746)),IF($B748="STD. DEVIATION",2,$F$1))))</f>
        <v/>
      </c>
      <c r="AB748" s="1" t="str">
        <f>IF(OR($B748="",AB$7=""),"",IF($B748="MEANS",INDEX('1-DATA'!$1:$1048576,$A747-1,COLUMN('1-DATA'!AA746)),ROUND(INDEX('1-DATA'!$1:$1048576,IF(OR($B748="STD. DEVIATION",$C$1=1),$A748,$A748+1),COLUMN('1-DATA'!AA746)),IF($B748="STD. DEVIATION",2,$F$1))))</f>
        <v/>
      </c>
      <c r="AC748" s="1" t="str">
        <f>IF(OR($B748="",AC$7=""),"",IF($B748="MEANS",INDEX('1-DATA'!$1:$1048576,$A747-1,COLUMN('1-DATA'!AB746)),ROUND(INDEX('1-DATA'!$1:$1048576,IF(OR($B748="STD. DEVIATION",$C$1=1),$A748,$A748+1),COLUMN('1-DATA'!AB746)),IF($B748="STD. DEVIATION",2,$F$1))))</f>
        <v/>
      </c>
      <c r="AD748" s="1" t="str">
        <f>IF(OR($B748="",AD$7=""),"",IF($B748="MEANS",INDEX('1-DATA'!$1:$1048576,$A747-1,COLUMN('1-DATA'!AC746)),ROUND(INDEX('1-DATA'!$1:$1048576,IF(OR($B748="STD. DEVIATION",$C$1=1),$A748,$A748+1),COLUMN('1-DATA'!AC746)),IF($B748="STD. DEVIATION",2,$F$1))))</f>
        <v/>
      </c>
      <c r="AE748" s="1" t="str">
        <f>IF(OR($B748="",AE$7=""),"",IF($B748="MEANS",INDEX('1-DATA'!$1:$1048576,$A747-1,COLUMN('1-DATA'!AD746)),ROUND(INDEX('1-DATA'!$1:$1048576,IF(OR($B748="STD. DEVIATION",$C$1=1),$A748,$A748+1),COLUMN('1-DATA'!AD746)),IF($B748="STD. DEVIATION",2,$F$1))))</f>
        <v/>
      </c>
      <c r="AF748" s="1" t="str">
        <f>IF(OR($B748="",AF$7=""),"",IF($B748="MEANS",INDEX('1-DATA'!$1:$1048576,$A747-1,COLUMN('1-DATA'!AE746)),ROUND(INDEX('1-DATA'!$1:$1048576,IF(OR($B748="STD. DEVIATION",$C$1=1),$A748,$A748+1),COLUMN('1-DATA'!AE746)),IF($B748="STD. DEVIATION",2,$F$1))))</f>
        <v/>
      </c>
      <c r="AG748" s="1" t="str">
        <f>IF(OR($B748="",AG$7=""),"",IF($B748="MEANS",INDEX('1-DATA'!$1:$1048576,$A747-1,COLUMN('1-DATA'!AF746)),ROUND(INDEX('1-DATA'!$1:$1048576,IF(OR($B748="STD. DEVIATION",$C$1=1),$A748,$A748+1),COLUMN('1-DATA'!AF746)),IF($B748="STD. DEVIATION",2,$F$1))))</f>
        <v/>
      </c>
      <c r="AH748" s="1" t="str">
        <f>IF(OR($B748="",AH$7=""),"",IF($B748="MEANS",INDEX('1-DATA'!$1:$1048576,$A747-1,COLUMN('1-DATA'!AG746)),ROUND(INDEX('1-DATA'!$1:$1048576,IF(OR($B748="STD. DEVIATION",$C$1=1),$A748,$A748+1),COLUMN('1-DATA'!AG746)),IF($B748="STD. DEVIATION",2,$F$1))))</f>
        <v/>
      </c>
      <c r="AI748" s="1" t="str">
        <f>IF(OR($B748="",AI$7=""),"",IF($B748="MEANS",INDEX('1-DATA'!$1:$1048576,$A747-1,COLUMN('1-DATA'!AH746)),ROUND(INDEX('1-DATA'!$1:$1048576,IF(OR($B748="STD. DEVIATION",$C$1=1),$A748,$A748+1),COLUMN('1-DATA'!AH746)),IF($B748="STD. DEVIATION",2,$F$1))))</f>
        <v/>
      </c>
      <c r="AJ748" s="1" t="str">
        <f>IF(OR($B748="",AJ$7=""),"",IF($B748="MEANS",INDEX('1-DATA'!$1:$1048576,$A747-1,COLUMN('1-DATA'!AI746)),ROUND(INDEX('1-DATA'!$1:$1048576,IF(OR($B748="STD. DEVIATION",$C$1=1),$A748,$A748+1),COLUMN('1-DATA'!AI746)),IF($B748="STD. DEVIATION",2,$F$1))))</f>
        <v/>
      </c>
      <c r="AK748" s="1" t="str">
        <f>IF(OR($B748="",AK$7=""),"",IF($B748="MEANS",INDEX('1-DATA'!$1:$1048576,$A747-1,COLUMN('1-DATA'!AJ746)),ROUND(INDEX('1-DATA'!$1:$1048576,IF(OR($B748="STD. DEVIATION",$C$1=1),$A748,$A748+1),COLUMN('1-DATA'!AJ746)),IF($B748="STD. DEVIATION",2,$F$1))))</f>
        <v/>
      </c>
      <c r="AL748" s="1" t="str">
        <f>IF(OR($B748="",AL$7=""),"",IF($B748="MEANS",INDEX('1-DATA'!$1:$1048576,$A747-1,COLUMN('1-DATA'!AK746)),ROUND(INDEX('1-DATA'!$1:$1048576,IF(OR($B748="STD. DEVIATION",$C$1=1),$A748,$A748+1),COLUMN('1-DATA'!AK746)),IF($B748="STD. DEVIATION",2,$F$1))))</f>
        <v/>
      </c>
      <c r="AM748" s="1" t="str">
        <f>IF(OR($B748="",AM$7=""),"",IF($B748="MEANS",INDEX('1-DATA'!$1:$1048576,$A747-1,COLUMN('1-DATA'!AL746)),ROUND(INDEX('1-DATA'!$1:$1048576,IF(OR($B748="STD. DEVIATION",$C$1=1),$A748,$A748+1),COLUMN('1-DATA'!AL746)),IF($B748="STD. DEVIATION",2,$F$1))))</f>
        <v/>
      </c>
      <c r="AN748" s="1" t="str">
        <f>IF(OR($B748="",AN$7=""),"",IF($B748="MEANS",INDEX('1-DATA'!$1:$1048576,$A747-1,COLUMN('1-DATA'!AM746)),ROUND(INDEX('1-DATA'!$1:$1048576,IF(OR($B748="STD. DEVIATION",$C$1=1),$A748,$A748+1),COLUMN('1-DATA'!AM746)),IF($B748="STD. DEVIATION",2,$F$1))))</f>
        <v/>
      </c>
      <c r="AO748" s="1" t="str">
        <f>IF(OR($B748="",AO$7=""),"",IF($B748="MEANS",INDEX('1-DATA'!$1:$1048576,$A747-1,COLUMN('1-DATA'!AN746)),ROUND(INDEX('1-DATA'!$1:$1048576,IF(OR($B748="STD. DEVIATION",$C$1=1),$A748,$A748+1),COLUMN('1-DATA'!AN746)),IF($B748="STD. DEVIATION",2,$F$1))))</f>
        <v/>
      </c>
      <c r="AP748" s="1" t="str">
        <f>IF(OR($B748="",AP$7=""),"",IF($B748="MEANS",INDEX('1-DATA'!$1:$1048576,$A747-1,COLUMN('1-DATA'!AO746)),ROUND(INDEX('1-DATA'!$1:$1048576,IF(OR($B748="STD. DEVIATION",$C$1=1),$A748,$A748+1),COLUMN('1-DATA'!AO746)),IF($B748="STD. DEVIATION",2,$F$1))))</f>
        <v/>
      </c>
      <c r="AQ748" s="1" t="str">
        <f>IF(OR($B748="",AQ$7=""),"",IF($B748="MEANS",INDEX('1-DATA'!$1:$1048576,$A747-1,COLUMN('1-DATA'!AP746)),ROUND(INDEX('1-DATA'!$1:$1048576,IF(OR($B748="STD. DEVIATION",$C$1=1),$A748,$A748+1),COLUMN('1-DATA'!AP746)),IF($B748="STD. DEVIATION",2,$F$1))))</f>
        <v/>
      </c>
      <c r="AR748" s="1" t="str">
        <f>IF(OR($B748="",AR$7=""),"",IF($B748="MEANS",INDEX('1-DATA'!$1:$1048576,$A747-1,COLUMN('1-DATA'!AQ746)),ROUND(INDEX('1-DATA'!$1:$1048576,IF(OR($B748="STD. DEVIATION",$C$1=1),$A748,$A748+1),COLUMN('1-DATA'!AQ746)),IF($B748="STD. DEVIATION",2,$F$1))))</f>
        <v/>
      </c>
      <c r="AS748" s="1" t="str">
        <f>IF(OR($B748="",AS$7=""),"",IF($B748="MEANS",INDEX('1-DATA'!$1:$1048576,$A747-1,COLUMN('1-DATA'!AR746)),ROUND(INDEX('1-DATA'!$1:$1048576,IF(OR($B748="STD. DEVIATION",$C$1=1),$A748,$A748+1),COLUMN('1-DATA'!AR746)),IF($B748="STD. DEVIATION",2,$F$1))))</f>
        <v/>
      </c>
      <c r="AT748" s="1" t="str">
        <f>IF(OR($B748="",AT$7=""),"",IF($B748="MEANS",INDEX('1-DATA'!$1:$1048576,$A747-1,COLUMN('1-DATA'!AS746)),ROUND(INDEX('1-DATA'!$1:$1048576,IF(OR($B748="STD. DEVIATION",$C$1=1),$A748,$A748+1),COLUMN('1-DATA'!AS746)),IF($B748="STD. DEVIATION",2,$F$1))))</f>
        <v/>
      </c>
      <c r="AU748" s="1" t="str">
        <f>IF(OR($B748="",AU$7=""),"",IF($B748="MEANS",INDEX('1-DATA'!$1:$1048576,$A747-1,COLUMN('1-DATA'!AT746)),ROUND(INDEX('1-DATA'!$1:$1048576,IF(OR($B748="STD. DEVIATION",$C$1=1),$A748,$A748+1),COLUMN('1-DATA'!AT746)),IF($B748="STD. DEVIATION",2,$F$1))))</f>
        <v/>
      </c>
      <c r="AV748" s="1" t="str">
        <f>IF(OR($B748="",AV$7=""),"",IF($B748="MEANS",INDEX('1-DATA'!$1:$1048576,$A747-1,COLUMN('1-DATA'!AU746)),ROUND(INDEX('1-DATA'!$1:$1048576,IF(OR($B748="STD. DEVIATION",$C$1=1),$A748,$A748+1),COLUMN('1-DATA'!AU746)),IF($B748="STD. DEVIATION",2,$F$1))))</f>
        <v/>
      </c>
      <c r="AW748" s="1" t="str">
        <f>IF(OR($B748="",AW$7=""),"",IF($B748="MEANS",INDEX('1-DATA'!$1:$1048576,$A747-1,COLUMN('1-DATA'!AV746)),ROUND(INDEX('1-DATA'!$1:$1048576,IF(OR($B748="STD. DEVIATION",$C$1=1),$A748,$A748+1),COLUMN('1-DATA'!AV746)),IF($B748="STD. DEVIATION",2,$F$1))))</f>
        <v/>
      </c>
      <c r="AX748" s="1" t="str">
        <f>IF(OR($B748="",AX$7=""),"",IF($B748="MEANS",INDEX('1-DATA'!$1:$1048576,$A747-1,COLUMN('1-DATA'!AW746)),ROUND(INDEX('1-DATA'!$1:$1048576,IF(OR($B748="STD. DEVIATION",$C$1=1),$A748,$A748+1),COLUMN('1-DATA'!AW746)),IF($B748="STD. DEVIATION",2,$F$1))))</f>
        <v/>
      </c>
      <c r="AY748" s="1" t="str">
        <f>IF(OR($B748="",AY$7=""),"",IF($B748="MEANS",INDEX('1-DATA'!$1:$1048576,$A747-1,COLUMN('1-DATA'!AX746)),ROUND(INDEX('1-DATA'!$1:$1048576,IF(OR($B748="STD. DEVIATION",$C$1=1),$A748,$A748+1),COLUMN('1-DATA'!AX746)),IF($B748="STD. DEVIATION",2,$F$1))))</f>
        <v/>
      </c>
      <c r="AZ748" s="1" t="str">
        <f>IF(OR($B748="",AZ$7=""),"",IF($B748="MEANS",INDEX('1-DATA'!$1:$1048576,$A747-1,COLUMN('1-DATA'!AY746)),ROUND(INDEX('1-DATA'!$1:$1048576,IF(OR($B748="STD. DEVIATION",$C$1=1),$A748,$A748+1),COLUMN('1-DATA'!AY746)),IF($B748="STD. DEVIATION",2,$F$1))))</f>
        <v/>
      </c>
    </row>
    <row r="749" spans="1:52" x14ac:dyDescent="0.25">
      <c r="A749" s="11">
        <f t="shared" si="12"/>
        <v>2233</v>
      </c>
      <c r="B749" s="1" t="str">
        <f>IF(B748="STD. DEVIATION",INDEX('1-DATA'!$1:$1048576,$A748-1,1),IF(INDEX('1-DATA'!$1:$1048576,$A749,1)&lt;&gt;"",INDEX('1-DATA'!$1:$1048576,$A749,1),""))</f>
        <v/>
      </c>
      <c r="C749" s="1" t="str">
        <f>IF(OR($B749="",C$7=""),"",IF($B749="MEANS",INDEX('1-DATA'!$1:$1048576,$A748-1,COLUMN('1-DATA'!B747)),ROUND(INDEX('1-DATA'!$1:$1048576,IF(OR($B749="STD. DEVIATION",$C$1=1),$A749,$A749+1),COLUMN('1-DATA'!B747)),IF($B749="STD. DEVIATION",2,$F$1))))</f>
        <v/>
      </c>
      <c r="D749" s="1" t="str">
        <f>IF(OR($B749="",D$7=""),"",IF($B749="MEANS",INDEX('1-DATA'!$1:$1048576,$A748-1,COLUMN('1-DATA'!C747)),ROUND(INDEX('1-DATA'!$1:$1048576,IF(OR($B749="STD. DEVIATION",$C$1=1),$A749,$A749+1),COLUMN('1-DATA'!C747)),IF($B749="STD. DEVIATION",2,$F$1))))</f>
        <v/>
      </c>
      <c r="E749" s="1" t="str">
        <f>IF(OR($B749="",E$7=""),"",IF($B749="MEANS",INDEX('1-DATA'!$1:$1048576,$A748-1,COLUMN('1-DATA'!D747)),ROUND(INDEX('1-DATA'!$1:$1048576,IF(OR($B749="STD. DEVIATION",$C$1=1),$A749,$A749+1),COLUMN('1-DATA'!D747)),IF($B749="STD. DEVIATION",2,$F$1))))</f>
        <v/>
      </c>
      <c r="F749" s="1" t="str">
        <f>IF(OR($B749="",F$7=""),"",IF($B749="MEANS",INDEX('1-DATA'!$1:$1048576,$A748-1,COLUMN('1-DATA'!E747)),ROUND(INDEX('1-DATA'!$1:$1048576,IF(OR($B749="STD. DEVIATION",$C$1=1),$A749,$A749+1),COLUMN('1-DATA'!E747)),IF($B749="STD. DEVIATION",2,$F$1))))</f>
        <v/>
      </c>
      <c r="G749" s="1" t="str">
        <f>IF(OR($B749="",G$7=""),"",IF($B749="MEANS",INDEX('1-DATA'!$1:$1048576,$A748-1,COLUMN('1-DATA'!F747)),ROUND(INDEX('1-DATA'!$1:$1048576,IF(OR($B749="STD. DEVIATION",$C$1=1),$A749,$A749+1),COLUMN('1-DATA'!F747)),IF($B749="STD. DEVIATION",2,$F$1))))</f>
        <v/>
      </c>
      <c r="H749" s="1" t="str">
        <f>IF(OR($B749="",H$7=""),"",IF($B749="MEANS",INDEX('1-DATA'!$1:$1048576,$A748-1,COLUMN('1-DATA'!G747)),ROUND(INDEX('1-DATA'!$1:$1048576,IF(OR($B749="STD. DEVIATION",$C$1=1),$A749,$A749+1),COLUMN('1-DATA'!G747)),IF($B749="STD. DEVIATION",2,$F$1))))</f>
        <v/>
      </c>
      <c r="I749" s="1" t="str">
        <f>IF(OR($B749="",I$7=""),"",IF($B749="MEANS",INDEX('1-DATA'!$1:$1048576,$A748-1,COLUMN('1-DATA'!H747)),ROUND(INDEX('1-DATA'!$1:$1048576,IF(OR($B749="STD. DEVIATION",$C$1=1),$A749,$A749+1),COLUMN('1-DATA'!H747)),IF($B749="STD. DEVIATION",2,$F$1))))</f>
        <v/>
      </c>
      <c r="J749" s="1" t="str">
        <f>IF(OR($B749="",J$7=""),"",IF($B749="MEANS",INDEX('1-DATA'!$1:$1048576,$A748-1,COLUMN('1-DATA'!I747)),ROUND(INDEX('1-DATA'!$1:$1048576,IF(OR($B749="STD. DEVIATION",$C$1=1),$A749,$A749+1),COLUMN('1-DATA'!I747)),IF($B749="STD. DEVIATION",2,$F$1))))</f>
        <v/>
      </c>
      <c r="K749" s="1" t="str">
        <f>IF(OR($B749="",K$7=""),"",IF($B749="MEANS",INDEX('1-DATA'!$1:$1048576,$A748-1,COLUMN('1-DATA'!J747)),ROUND(INDEX('1-DATA'!$1:$1048576,IF(OR($B749="STD. DEVIATION",$C$1=1),$A749,$A749+1),COLUMN('1-DATA'!J747)),IF($B749="STD. DEVIATION",2,$F$1))))</f>
        <v/>
      </c>
      <c r="L749" s="1" t="str">
        <f>IF(OR($B749="",L$7=""),"",IF($B749="MEANS",INDEX('1-DATA'!$1:$1048576,$A748-1,COLUMN('1-DATA'!K747)),ROUND(INDEX('1-DATA'!$1:$1048576,IF(OR($B749="STD. DEVIATION",$C$1=1),$A749,$A749+1),COLUMN('1-DATA'!K747)),IF($B749="STD. DEVIATION",2,$F$1))))</f>
        <v/>
      </c>
      <c r="M749" s="1" t="str">
        <f>IF(OR($B749="",M$7=""),"",IF($B749="MEANS",INDEX('1-DATA'!$1:$1048576,$A748-1,COLUMN('1-DATA'!L747)),ROUND(INDEX('1-DATA'!$1:$1048576,IF(OR($B749="STD. DEVIATION",$C$1=1),$A749,$A749+1),COLUMN('1-DATA'!L747)),IF($B749="STD. DEVIATION",2,$F$1))))</f>
        <v/>
      </c>
      <c r="N749" s="1" t="str">
        <f>IF(OR($B749="",N$7=""),"",IF($B749="MEANS",INDEX('1-DATA'!$1:$1048576,$A748-1,COLUMN('1-DATA'!M747)),ROUND(INDEX('1-DATA'!$1:$1048576,IF(OR($B749="STD. DEVIATION",$C$1=1),$A749,$A749+1),COLUMN('1-DATA'!M747)),IF($B749="STD. DEVIATION",2,$F$1))))</f>
        <v/>
      </c>
      <c r="O749" s="1" t="str">
        <f>IF(OR($B749="",O$7=""),"",IF($B749="MEANS",INDEX('1-DATA'!$1:$1048576,$A748-1,COLUMN('1-DATA'!N747)),ROUND(INDEX('1-DATA'!$1:$1048576,IF(OR($B749="STD. DEVIATION",$C$1=1),$A749,$A749+1),COLUMN('1-DATA'!N747)),IF($B749="STD. DEVIATION",2,$F$1))))</f>
        <v/>
      </c>
      <c r="P749" s="1" t="str">
        <f>IF(OR($B749="",P$7=""),"",IF($B749="MEANS",INDEX('1-DATA'!$1:$1048576,$A748-1,COLUMN('1-DATA'!O747)),ROUND(INDEX('1-DATA'!$1:$1048576,IF(OR($B749="STD. DEVIATION",$C$1=1),$A749,$A749+1),COLUMN('1-DATA'!O747)),IF($B749="STD. DEVIATION",2,$F$1))))</f>
        <v/>
      </c>
      <c r="Q749" s="1" t="str">
        <f>IF(OR($B749="",Q$7=""),"",IF($B749="MEANS",INDEX('1-DATA'!$1:$1048576,$A748-1,COLUMN('1-DATA'!P747)),ROUND(INDEX('1-DATA'!$1:$1048576,IF(OR($B749="STD. DEVIATION",$C$1=1),$A749,$A749+1),COLUMN('1-DATA'!P747)),IF($B749="STD. DEVIATION",2,$F$1))))</f>
        <v/>
      </c>
      <c r="R749" s="1" t="str">
        <f>IF(OR($B749="",R$7=""),"",IF($B749="MEANS",INDEX('1-DATA'!$1:$1048576,$A748-1,COLUMN('1-DATA'!Q747)),ROUND(INDEX('1-DATA'!$1:$1048576,IF(OR($B749="STD. DEVIATION",$C$1=1),$A749,$A749+1),COLUMN('1-DATA'!Q747)),IF($B749="STD. DEVIATION",2,$F$1))))</f>
        <v/>
      </c>
      <c r="S749" s="1" t="str">
        <f>IF(OR($B749="",S$7=""),"",IF($B749="MEANS",INDEX('1-DATA'!$1:$1048576,$A748-1,COLUMN('1-DATA'!R747)),ROUND(INDEX('1-DATA'!$1:$1048576,IF(OR($B749="STD. DEVIATION",$C$1=1),$A749,$A749+1),COLUMN('1-DATA'!R747)),IF($B749="STD. DEVIATION",2,$F$1))))</f>
        <v/>
      </c>
      <c r="T749" s="1" t="str">
        <f>IF(OR($B749="",T$7=""),"",IF($B749="MEANS",INDEX('1-DATA'!$1:$1048576,$A748-1,COLUMN('1-DATA'!S747)),ROUND(INDEX('1-DATA'!$1:$1048576,IF(OR($B749="STD. DEVIATION",$C$1=1),$A749,$A749+1),COLUMN('1-DATA'!S747)),IF($B749="STD. DEVIATION",2,$F$1))))</f>
        <v/>
      </c>
      <c r="U749" s="1" t="str">
        <f>IF(OR($B749="",U$7=""),"",IF($B749="MEANS",INDEX('1-DATA'!$1:$1048576,$A748-1,COLUMN('1-DATA'!T747)),ROUND(INDEX('1-DATA'!$1:$1048576,IF(OR($B749="STD. DEVIATION",$C$1=1),$A749,$A749+1),COLUMN('1-DATA'!T747)),IF($B749="STD. DEVIATION",2,$F$1))))</f>
        <v/>
      </c>
      <c r="V749" s="1" t="str">
        <f>IF(OR($B749="",V$7=""),"",IF($B749="MEANS",INDEX('1-DATA'!$1:$1048576,$A748-1,COLUMN('1-DATA'!U747)),ROUND(INDEX('1-DATA'!$1:$1048576,IF(OR($B749="STD. DEVIATION",$C$1=1),$A749,$A749+1),COLUMN('1-DATA'!U747)),IF($B749="STD. DEVIATION",2,$F$1))))</f>
        <v/>
      </c>
      <c r="W749" s="1" t="str">
        <f>IF(OR($B749="",W$7=""),"",IF($B749="MEANS",INDEX('1-DATA'!$1:$1048576,$A748-1,COLUMN('1-DATA'!V747)),ROUND(INDEX('1-DATA'!$1:$1048576,IF(OR($B749="STD. DEVIATION",$C$1=1),$A749,$A749+1),COLUMN('1-DATA'!V747)),IF($B749="STD. DEVIATION",2,$F$1))))</f>
        <v/>
      </c>
      <c r="X749" s="1" t="str">
        <f>IF(OR($B749="",X$7=""),"",IF($B749="MEANS",INDEX('1-DATA'!$1:$1048576,$A748-1,COLUMN('1-DATA'!W747)),ROUND(INDEX('1-DATA'!$1:$1048576,IF(OR($B749="STD. DEVIATION",$C$1=1),$A749,$A749+1),COLUMN('1-DATA'!W747)),IF($B749="STD. DEVIATION",2,$F$1))))</f>
        <v/>
      </c>
      <c r="Y749" s="1" t="str">
        <f>IF(OR($B749="",Y$7=""),"",IF($B749="MEANS",INDEX('1-DATA'!$1:$1048576,$A748-1,COLUMN('1-DATA'!X747)),ROUND(INDEX('1-DATA'!$1:$1048576,IF(OR($B749="STD. DEVIATION",$C$1=1),$A749,$A749+1),COLUMN('1-DATA'!X747)),IF($B749="STD. DEVIATION",2,$F$1))))</f>
        <v/>
      </c>
      <c r="Z749" s="1" t="str">
        <f>IF(OR($B749="",Z$7=""),"",IF($B749="MEANS",INDEX('1-DATA'!$1:$1048576,$A748-1,COLUMN('1-DATA'!Y747)),ROUND(INDEX('1-DATA'!$1:$1048576,IF(OR($B749="STD. DEVIATION",$C$1=1),$A749,$A749+1),COLUMN('1-DATA'!Y747)),IF($B749="STD. DEVIATION",2,$F$1))))</f>
        <v/>
      </c>
      <c r="AA749" s="1" t="str">
        <f>IF(OR($B749="",AA$7=""),"",IF($B749="MEANS",INDEX('1-DATA'!$1:$1048576,$A748-1,COLUMN('1-DATA'!Z747)),ROUND(INDEX('1-DATA'!$1:$1048576,IF(OR($B749="STD. DEVIATION",$C$1=1),$A749,$A749+1),COLUMN('1-DATA'!Z747)),IF($B749="STD. DEVIATION",2,$F$1))))</f>
        <v/>
      </c>
      <c r="AB749" s="1" t="str">
        <f>IF(OR($B749="",AB$7=""),"",IF($B749="MEANS",INDEX('1-DATA'!$1:$1048576,$A748-1,COLUMN('1-DATA'!AA747)),ROUND(INDEX('1-DATA'!$1:$1048576,IF(OR($B749="STD. DEVIATION",$C$1=1),$A749,$A749+1),COLUMN('1-DATA'!AA747)),IF($B749="STD. DEVIATION",2,$F$1))))</f>
        <v/>
      </c>
      <c r="AC749" s="1" t="str">
        <f>IF(OR($B749="",AC$7=""),"",IF($B749="MEANS",INDEX('1-DATA'!$1:$1048576,$A748-1,COLUMN('1-DATA'!AB747)),ROUND(INDEX('1-DATA'!$1:$1048576,IF(OR($B749="STD. DEVIATION",$C$1=1),$A749,$A749+1),COLUMN('1-DATA'!AB747)),IF($B749="STD. DEVIATION",2,$F$1))))</f>
        <v/>
      </c>
      <c r="AD749" s="1" t="str">
        <f>IF(OR($B749="",AD$7=""),"",IF($B749="MEANS",INDEX('1-DATA'!$1:$1048576,$A748-1,COLUMN('1-DATA'!AC747)),ROUND(INDEX('1-DATA'!$1:$1048576,IF(OR($B749="STD. DEVIATION",$C$1=1),$A749,$A749+1),COLUMN('1-DATA'!AC747)),IF($B749="STD. DEVIATION",2,$F$1))))</f>
        <v/>
      </c>
      <c r="AE749" s="1" t="str">
        <f>IF(OR($B749="",AE$7=""),"",IF($B749="MEANS",INDEX('1-DATA'!$1:$1048576,$A748-1,COLUMN('1-DATA'!AD747)),ROUND(INDEX('1-DATA'!$1:$1048576,IF(OR($B749="STD. DEVIATION",$C$1=1),$A749,$A749+1),COLUMN('1-DATA'!AD747)),IF($B749="STD. DEVIATION",2,$F$1))))</f>
        <v/>
      </c>
      <c r="AF749" s="1" t="str">
        <f>IF(OR($B749="",AF$7=""),"",IF($B749="MEANS",INDEX('1-DATA'!$1:$1048576,$A748-1,COLUMN('1-DATA'!AE747)),ROUND(INDEX('1-DATA'!$1:$1048576,IF(OR($B749="STD. DEVIATION",$C$1=1),$A749,$A749+1),COLUMN('1-DATA'!AE747)),IF($B749="STD. DEVIATION",2,$F$1))))</f>
        <v/>
      </c>
      <c r="AG749" s="1" t="str">
        <f>IF(OR($B749="",AG$7=""),"",IF($B749="MEANS",INDEX('1-DATA'!$1:$1048576,$A748-1,COLUMN('1-DATA'!AF747)),ROUND(INDEX('1-DATA'!$1:$1048576,IF(OR($B749="STD. DEVIATION",$C$1=1),$A749,$A749+1),COLUMN('1-DATA'!AF747)),IF($B749="STD. DEVIATION",2,$F$1))))</f>
        <v/>
      </c>
      <c r="AH749" s="1" t="str">
        <f>IF(OR($B749="",AH$7=""),"",IF($B749="MEANS",INDEX('1-DATA'!$1:$1048576,$A748-1,COLUMN('1-DATA'!AG747)),ROUND(INDEX('1-DATA'!$1:$1048576,IF(OR($B749="STD. DEVIATION",$C$1=1),$A749,$A749+1),COLUMN('1-DATA'!AG747)),IF($B749="STD. DEVIATION",2,$F$1))))</f>
        <v/>
      </c>
      <c r="AI749" s="1" t="str">
        <f>IF(OR($B749="",AI$7=""),"",IF($B749="MEANS",INDEX('1-DATA'!$1:$1048576,$A748-1,COLUMN('1-DATA'!AH747)),ROUND(INDEX('1-DATA'!$1:$1048576,IF(OR($B749="STD. DEVIATION",$C$1=1),$A749,$A749+1),COLUMN('1-DATA'!AH747)),IF($B749="STD. DEVIATION",2,$F$1))))</f>
        <v/>
      </c>
      <c r="AJ749" s="1" t="str">
        <f>IF(OR($B749="",AJ$7=""),"",IF($B749="MEANS",INDEX('1-DATA'!$1:$1048576,$A748-1,COLUMN('1-DATA'!AI747)),ROUND(INDEX('1-DATA'!$1:$1048576,IF(OR($B749="STD. DEVIATION",$C$1=1),$A749,$A749+1),COLUMN('1-DATA'!AI747)),IF($B749="STD. DEVIATION",2,$F$1))))</f>
        <v/>
      </c>
      <c r="AK749" s="1" t="str">
        <f>IF(OR($B749="",AK$7=""),"",IF($B749="MEANS",INDEX('1-DATA'!$1:$1048576,$A748-1,COLUMN('1-DATA'!AJ747)),ROUND(INDEX('1-DATA'!$1:$1048576,IF(OR($B749="STD. DEVIATION",$C$1=1),$A749,$A749+1),COLUMN('1-DATA'!AJ747)),IF($B749="STD. DEVIATION",2,$F$1))))</f>
        <v/>
      </c>
      <c r="AL749" s="1" t="str">
        <f>IF(OR($B749="",AL$7=""),"",IF($B749="MEANS",INDEX('1-DATA'!$1:$1048576,$A748-1,COLUMN('1-DATA'!AK747)),ROUND(INDEX('1-DATA'!$1:$1048576,IF(OR($B749="STD. DEVIATION",$C$1=1),$A749,$A749+1),COLUMN('1-DATA'!AK747)),IF($B749="STD. DEVIATION",2,$F$1))))</f>
        <v/>
      </c>
      <c r="AM749" s="1" t="str">
        <f>IF(OR($B749="",AM$7=""),"",IF($B749="MEANS",INDEX('1-DATA'!$1:$1048576,$A748-1,COLUMN('1-DATA'!AL747)),ROUND(INDEX('1-DATA'!$1:$1048576,IF(OR($B749="STD. DEVIATION",$C$1=1),$A749,$A749+1),COLUMN('1-DATA'!AL747)),IF($B749="STD. DEVIATION",2,$F$1))))</f>
        <v/>
      </c>
      <c r="AN749" s="1" t="str">
        <f>IF(OR($B749="",AN$7=""),"",IF($B749="MEANS",INDEX('1-DATA'!$1:$1048576,$A748-1,COLUMN('1-DATA'!AM747)),ROUND(INDEX('1-DATA'!$1:$1048576,IF(OR($B749="STD. DEVIATION",$C$1=1),$A749,$A749+1),COLUMN('1-DATA'!AM747)),IF($B749="STD. DEVIATION",2,$F$1))))</f>
        <v/>
      </c>
      <c r="AO749" s="1" t="str">
        <f>IF(OR($B749="",AO$7=""),"",IF($B749="MEANS",INDEX('1-DATA'!$1:$1048576,$A748-1,COLUMN('1-DATA'!AN747)),ROUND(INDEX('1-DATA'!$1:$1048576,IF(OR($B749="STD. DEVIATION",$C$1=1),$A749,$A749+1),COLUMN('1-DATA'!AN747)),IF($B749="STD. DEVIATION",2,$F$1))))</f>
        <v/>
      </c>
      <c r="AP749" s="1" t="str">
        <f>IF(OR($B749="",AP$7=""),"",IF($B749="MEANS",INDEX('1-DATA'!$1:$1048576,$A748-1,COLUMN('1-DATA'!AO747)),ROUND(INDEX('1-DATA'!$1:$1048576,IF(OR($B749="STD. DEVIATION",$C$1=1),$A749,$A749+1),COLUMN('1-DATA'!AO747)),IF($B749="STD. DEVIATION",2,$F$1))))</f>
        <v/>
      </c>
      <c r="AQ749" s="1" t="str">
        <f>IF(OR($B749="",AQ$7=""),"",IF($B749="MEANS",INDEX('1-DATA'!$1:$1048576,$A748-1,COLUMN('1-DATA'!AP747)),ROUND(INDEX('1-DATA'!$1:$1048576,IF(OR($B749="STD. DEVIATION",$C$1=1),$A749,$A749+1),COLUMN('1-DATA'!AP747)),IF($B749="STD. DEVIATION",2,$F$1))))</f>
        <v/>
      </c>
      <c r="AR749" s="1" t="str">
        <f>IF(OR($B749="",AR$7=""),"",IF($B749="MEANS",INDEX('1-DATA'!$1:$1048576,$A748-1,COLUMN('1-DATA'!AQ747)),ROUND(INDEX('1-DATA'!$1:$1048576,IF(OR($B749="STD. DEVIATION",$C$1=1),$A749,$A749+1),COLUMN('1-DATA'!AQ747)),IF($B749="STD. DEVIATION",2,$F$1))))</f>
        <v/>
      </c>
      <c r="AS749" s="1" t="str">
        <f>IF(OR($B749="",AS$7=""),"",IF($B749="MEANS",INDEX('1-DATA'!$1:$1048576,$A748-1,COLUMN('1-DATA'!AR747)),ROUND(INDEX('1-DATA'!$1:$1048576,IF(OR($B749="STD. DEVIATION",$C$1=1),$A749,$A749+1),COLUMN('1-DATA'!AR747)),IF($B749="STD. DEVIATION",2,$F$1))))</f>
        <v/>
      </c>
      <c r="AT749" s="1" t="str">
        <f>IF(OR($B749="",AT$7=""),"",IF($B749="MEANS",INDEX('1-DATA'!$1:$1048576,$A748-1,COLUMN('1-DATA'!AS747)),ROUND(INDEX('1-DATA'!$1:$1048576,IF(OR($B749="STD. DEVIATION",$C$1=1),$A749,$A749+1),COLUMN('1-DATA'!AS747)),IF($B749="STD. DEVIATION",2,$F$1))))</f>
        <v/>
      </c>
      <c r="AU749" s="1" t="str">
        <f>IF(OR($B749="",AU$7=""),"",IF($B749="MEANS",INDEX('1-DATA'!$1:$1048576,$A748-1,COLUMN('1-DATA'!AT747)),ROUND(INDEX('1-DATA'!$1:$1048576,IF(OR($B749="STD. DEVIATION",$C$1=1),$A749,$A749+1),COLUMN('1-DATA'!AT747)),IF($B749="STD. DEVIATION",2,$F$1))))</f>
        <v/>
      </c>
      <c r="AV749" s="1" t="str">
        <f>IF(OR($B749="",AV$7=""),"",IF($B749="MEANS",INDEX('1-DATA'!$1:$1048576,$A748-1,COLUMN('1-DATA'!AU747)),ROUND(INDEX('1-DATA'!$1:$1048576,IF(OR($B749="STD. DEVIATION",$C$1=1),$A749,$A749+1),COLUMN('1-DATA'!AU747)),IF($B749="STD. DEVIATION",2,$F$1))))</f>
        <v/>
      </c>
      <c r="AW749" s="1" t="str">
        <f>IF(OR($B749="",AW$7=""),"",IF($B749="MEANS",INDEX('1-DATA'!$1:$1048576,$A748-1,COLUMN('1-DATA'!AV747)),ROUND(INDEX('1-DATA'!$1:$1048576,IF(OR($B749="STD. DEVIATION",$C$1=1),$A749,$A749+1),COLUMN('1-DATA'!AV747)),IF($B749="STD. DEVIATION",2,$F$1))))</f>
        <v/>
      </c>
      <c r="AX749" s="1" t="str">
        <f>IF(OR($B749="",AX$7=""),"",IF($B749="MEANS",INDEX('1-DATA'!$1:$1048576,$A748-1,COLUMN('1-DATA'!AW747)),ROUND(INDEX('1-DATA'!$1:$1048576,IF(OR($B749="STD. DEVIATION",$C$1=1),$A749,$A749+1),COLUMN('1-DATA'!AW747)),IF($B749="STD. DEVIATION",2,$F$1))))</f>
        <v/>
      </c>
      <c r="AY749" s="1" t="str">
        <f>IF(OR($B749="",AY$7=""),"",IF($B749="MEANS",INDEX('1-DATA'!$1:$1048576,$A748-1,COLUMN('1-DATA'!AX747)),ROUND(INDEX('1-DATA'!$1:$1048576,IF(OR($B749="STD. DEVIATION",$C$1=1),$A749,$A749+1),COLUMN('1-DATA'!AX747)),IF($B749="STD. DEVIATION",2,$F$1))))</f>
        <v/>
      </c>
      <c r="AZ749" s="1" t="str">
        <f>IF(OR($B749="",AZ$7=""),"",IF($B749="MEANS",INDEX('1-DATA'!$1:$1048576,$A748-1,COLUMN('1-DATA'!AY747)),ROUND(INDEX('1-DATA'!$1:$1048576,IF(OR($B749="STD. DEVIATION",$C$1=1),$A749,$A749+1),COLUMN('1-DATA'!AY747)),IF($B749="STD. DEVIATION",2,$F$1))))</f>
        <v/>
      </c>
    </row>
    <row r="750" spans="1:52" x14ac:dyDescent="0.25">
      <c r="A750" s="11">
        <f t="shared" si="12"/>
        <v>2236</v>
      </c>
      <c r="B750" s="1" t="str">
        <f>IF(B749="STD. DEVIATION",INDEX('1-DATA'!$1:$1048576,$A749-1,1),IF(INDEX('1-DATA'!$1:$1048576,$A750,1)&lt;&gt;"",INDEX('1-DATA'!$1:$1048576,$A750,1),""))</f>
        <v/>
      </c>
      <c r="C750" s="1" t="str">
        <f>IF(OR($B750="",C$7=""),"",IF($B750="MEANS",INDEX('1-DATA'!$1:$1048576,$A749-1,COLUMN('1-DATA'!B748)),ROUND(INDEX('1-DATA'!$1:$1048576,IF(OR($B750="STD. DEVIATION",$C$1=1),$A750,$A750+1),COLUMN('1-DATA'!B748)),IF($B750="STD. DEVIATION",2,$F$1))))</f>
        <v/>
      </c>
      <c r="D750" s="1" t="str">
        <f>IF(OR($B750="",D$7=""),"",IF($B750="MEANS",INDEX('1-DATA'!$1:$1048576,$A749-1,COLUMN('1-DATA'!C748)),ROUND(INDEX('1-DATA'!$1:$1048576,IF(OR($B750="STD. DEVIATION",$C$1=1),$A750,$A750+1),COLUMN('1-DATA'!C748)),IF($B750="STD. DEVIATION",2,$F$1))))</f>
        <v/>
      </c>
      <c r="E750" s="1" t="str">
        <f>IF(OR($B750="",E$7=""),"",IF($B750="MEANS",INDEX('1-DATA'!$1:$1048576,$A749-1,COLUMN('1-DATA'!D748)),ROUND(INDEX('1-DATA'!$1:$1048576,IF(OR($B750="STD. DEVIATION",$C$1=1),$A750,$A750+1),COLUMN('1-DATA'!D748)),IF($B750="STD. DEVIATION",2,$F$1))))</f>
        <v/>
      </c>
      <c r="F750" s="1" t="str">
        <f>IF(OR($B750="",F$7=""),"",IF($B750="MEANS",INDEX('1-DATA'!$1:$1048576,$A749-1,COLUMN('1-DATA'!E748)),ROUND(INDEX('1-DATA'!$1:$1048576,IF(OR($B750="STD. DEVIATION",$C$1=1),$A750,$A750+1),COLUMN('1-DATA'!E748)),IF($B750="STD. DEVIATION",2,$F$1))))</f>
        <v/>
      </c>
      <c r="G750" s="1" t="str">
        <f>IF(OR($B750="",G$7=""),"",IF($B750="MEANS",INDEX('1-DATA'!$1:$1048576,$A749-1,COLUMN('1-DATA'!F748)),ROUND(INDEX('1-DATA'!$1:$1048576,IF(OR($B750="STD. DEVIATION",$C$1=1),$A750,$A750+1),COLUMN('1-DATA'!F748)),IF($B750="STD. DEVIATION",2,$F$1))))</f>
        <v/>
      </c>
      <c r="H750" s="1" t="str">
        <f>IF(OR($B750="",H$7=""),"",IF($B750="MEANS",INDEX('1-DATA'!$1:$1048576,$A749-1,COLUMN('1-DATA'!G748)),ROUND(INDEX('1-DATA'!$1:$1048576,IF(OR($B750="STD. DEVIATION",$C$1=1),$A750,$A750+1),COLUMN('1-DATA'!G748)),IF($B750="STD. DEVIATION",2,$F$1))))</f>
        <v/>
      </c>
      <c r="I750" s="1" t="str">
        <f>IF(OR($B750="",I$7=""),"",IF($B750="MEANS",INDEX('1-DATA'!$1:$1048576,$A749-1,COLUMN('1-DATA'!H748)),ROUND(INDEX('1-DATA'!$1:$1048576,IF(OR($B750="STD. DEVIATION",$C$1=1),$A750,$A750+1),COLUMN('1-DATA'!H748)),IF($B750="STD. DEVIATION",2,$F$1))))</f>
        <v/>
      </c>
      <c r="J750" s="1" t="str">
        <f>IF(OR($B750="",J$7=""),"",IF($B750="MEANS",INDEX('1-DATA'!$1:$1048576,$A749-1,COLUMN('1-DATA'!I748)),ROUND(INDEX('1-DATA'!$1:$1048576,IF(OR($B750="STD. DEVIATION",$C$1=1),$A750,$A750+1),COLUMN('1-DATA'!I748)),IF($B750="STD. DEVIATION",2,$F$1))))</f>
        <v/>
      </c>
      <c r="K750" s="1" t="str">
        <f>IF(OR($B750="",K$7=""),"",IF($B750="MEANS",INDEX('1-DATA'!$1:$1048576,$A749-1,COLUMN('1-DATA'!J748)),ROUND(INDEX('1-DATA'!$1:$1048576,IF(OR($B750="STD. DEVIATION",$C$1=1),$A750,$A750+1),COLUMN('1-DATA'!J748)),IF($B750="STD. DEVIATION",2,$F$1))))</f>
        <v/>
      </c>
      <c r="L750" s="1" t="str">
        <f>IF(OR($B750="",L$7=""),"",IF($B750="MEANS",INDEX('1-DATA'!$1:$1048576,$A749-1,COLUMN('1-DATA'!K748)),ROUND(INDEX('1-DATA'!$1:$1048576,IF(OR($B750="STD. DEVIATION",$C$1=1),$A750,$A750+1),COLUMN('1-DATA'!K748)),IF($B750="STD. DEVIATION",2,$F$1))))</f>
        <v/>
      </c>
      <c r="M750" s="1" t="str">
        <f>IF(OR($B750="",M$7=""),"",IF($B750="MEANS",INDEX('1-DATA'!$1:$1048576,$A749-1,COLUMN('1-DATA'!L748)),ROUND(INDEX('1-DATA'!$1:$1048576,IF(OR($B750="STD. DEVIATION",$C$1=1),$A750,$A750+1),COLUMN('1-DATA'!L748)),IF($B750="STD. DEVIATION",2,$F$1))))</f>
        <v/>
      </c>
      <c r="N750" s="1" t="str">
        <f>IF(OR($B750="",N$7=""),"",IF($B750="MEANS",INDEX('1-DATA'!$1:$1048576,$A749-1,COLUMN('1-DATA'!M748)),ROUND(INDEX('1-DATA'!$1:$1048576,IF(OR($B750="STD. DEVIATION",$C$1=1),$A750,$A750+1),COLUMN('1-DATA'!M748)),IF($B750="STD. DEVIATION",2,$F$1))))</f>
        <v/>
      </c>
      <c r="O750" s="1" t="str">
        <f>IF(OR($B750="",O$7=""),"",IF($B750="MEANS",INDEX('1-DATA'!$1:$1048576,$A749-1,COLUMN('1-DATA'!N748)),ROUND(INDEX('1-DATA'!$1:$1048576,IF(OR($B750="STD. DEVIATION",$C$1=1),$A750,$A750+1),COLUMN('1-DATA'!N748)),IF($B750="STD. DEVIATION",2,$F$1))))</f>
        <v/>
      </c>
      <c r="P750" s="1" t="str">
        <f>IF(OR($B750="",P$7=""),"",IF($B750="MEANS",INDEX('1-DATA'!$1:$1048576,$A749-1,COLUMN('1-DATA'!O748)),ROUND(INDEX('1-DATA'!$1:$1048576,IF(OR($B750="STD. DEVIATION",$C$1=1),$A750,$A750+1),COLUMN('1-DATA'!O748)),IF($B750="STD. DEVIATION",2,$F$1))))</f>
        <v/>
      </c>
      <c r="Q750" s="1" t="str">
        <f>IF(OR($B750="",Q$7=""),"",IF($B750="MEANS",INDEX('1-DATA'!$1:$1048576,$A749-1,COLUMN('1-DATA'!P748)),ROUND(INDEX('1-DATA'!$1:$1048576,IF(OR($B750="STD. DEVIATION",$C$1=1),$A750,$A750+1),COLUMN('1-DATA'!P748)),IF($B750="STD. DEVIATION",2,$F$1))))</f>
        <v/>
      </c>
      <c r="R750" s="1" t="str">
        <f>IF(OR($B750="",R$7=""),"",IF($B750="MEANS",INDEX('1-DATA'!$1:$1048576,$A749-1,COLUMN('1-DATA'!Q748)),ROUND(INDEX('1-DATA'!$1:$1048576,IF(OR($B750="STD. DEVIATION",$C$1=1),$A750,$A750+1),COLUMN('1-DATA'!Q748)),IF($B750="STD. DEVIATION",2,$F$1))))</f>
        <v/>
      </c>
      <c r="S750" s="1" t="str">
        <f>IF(OR($B750="",S$7=""),"",IF($B750="MEANS",INDEX('1-DATA'!$1:$1048576,$A749-1,COLUMN('1-DATA'!R748)),ROUND(INDEX('1-DATA'!$1:$1048576,IF(OR($B750="STD. DEVIATION",$C$1=1),$A750,$A750+1),COLUMN('1-DATA'!R748)),IF($B750="STD. DEVIATION",2,$F$1))))</f>
        <v/>
      </c>
      <c r="T750" s="1" t="str">
        <f>IF(OR($B750="",T$7=""),"",IF($B750="MEANS",INDEX('1-DATA'!$1:$1048576,$A749-1,COLUMN('1-DATA'!S748)),ROUND(INDEX('1-DATA'!$1:$1048576,IF(OR($B750="STD. DEVIATION",$C$1=1),$A750,$A750+1),COLUMN('1-DATA'!S748)),IF($B750="STD. DEVIATION",2,$F$1))))</f>
        <v/>
      </c>
      <c r="U750" s="1" t="str">
        <f>IF(OR($B750="",U$7=""),"",IF($B750="MEANS",INDEX('1-DATA'!$1:$1048576,$A749-1,COLUMN('1-DATA'!T748)),ROUND(INDEX('1-DATA'!$1:$1048576,IF(OR($B750="STD. DEVIATION",$C$1=1),$A750,$A750+1),COLUMN('1-DATA'!T748)),IF($B750="STD. DEVIATION",2,$F$1))))</f>
        <v/>
      </c>
      <c r="V750" s="1" t="str">
        <f>IF(OR($B750="",V$7=""),"",IF($B750="MEANS",INDEX('1-DATA'!$1:$1048576,$A749-1,COLUMN('1-DATA'!U748)),ROUND(INDEX('1-DATA'!$1:$1048576,IF(OR($B750="STD. DEVIATION",$C$1=1),$A750,$A750+1),COLUMN('1-DATA'!U748)),IF($B750="STD. DEVIATION",2,$F$1))))</f>
        <v/>
      </c>
      <c r="W750" s="1" t="str">
        <f>IF(OR($B750="",W$7=""),"",IF($B750="MEANS",INDEX('1-DATA'!$1:$1048576,$A749-1,COLUMN('1-DATA'!V748)),ROUND(INDEX('1-DATA'!$1:$1048576,IF(OR($B750="STD. DEVIATION",$C$1=1),$A750,$A750+1),COLUMN('1-DATA'!V748)),IF($B750="STD. DEVIATION",2,$F$1))))</f>
        <v/>
      </c>
      <c r="X750" s="1" t="str">
        <f>IF(OR($B750="",X$7=""),"",IF($B750="MEANS",INDEX('1-DATA'!$1:$1048576,$A749-1,COLUMN('1-DATA'!W748)),ROUND(INDEX('1-DATA'!$1:$1048576,IF(OR($B750="STD. DEVIATION",$C$1=1),$A750,$A750+1),COLUMN('1-DATA'!W748)),IF($B750="STD. DEVIATION",2,$F$1))))</f>
        <v/>
      </c>
      <c r="Y750" s="1" t="str">
        <f>IF(OR($B750="",Y$7=""),"",IF($B750="MEANS",INDEX('1-DATA'!$1:$1048576,$A749-1,COLUMN('1-DATA'!X748)),ROUND(INDEX('1-DATA'!$1:$1048576,IF(OR($B750="STD. DEVIATION",$C$1=1),$A750,$A750+1),COLUMN('1-DATA'!X748)),IF($B750="STD. DEVIATION",2,$F$1))))</f>
        <v/>
      </c>
      <c r="Z750" s="1" t="str">
        <f>IF(OR($B750="",Z$7=""),"",IF($B750="MEANS",INDEX('1-DATA'!$1:$1048576,$A749-1,COLUMN('1-DATA'!Y748)),ROUND(INDEX('1-DATA'!$1:$1048576,IF(OR($B750="STD. DEVIATION",$C$1=1),$A750,$A750+1),COLUMN('1-DATA'!Y748)),IF($B750="STD. DEVIATION",2,$F$1))))</f>
        <v/>
      </c>
      <c r="AA750" s="1" t="str">
        <f>IF(OR($B750="",AA$7=""),"",IF($B750="MEANS",INDEX('1-DATA'!$1:$1048576,$A749-1,COLUMN('1-DATA'!Z748)),ROUND(INDEX('1-DATA'!$1:$1048576,IF(OR($B750="STD. DEVIATION",$C$1=1),$A750,$A750+1),COLUMN('1-DATA'!Z748)),IF($B750="STD. DEVIATION",2,$F$1))))</f>
        <v/>
      </c>
      <c r="AB750" s="1" t="str">
        <f>IF(OR($B750="",AB$7=""),"",IF($B750="MEANS",INDEX('1-DATA'!$1:$1048576,$A749-1,COLUMN('1-DATA'!AA748)),ROUND(INDEX('1-DATA'!$1:$1048576,IF(OR($B750="STD. DEVIATION",$C$1=1),$A750,$A750+1),COLUMN('1-DATA'!AA748)),IF($B750="STD. DEVIATION",2,$F$1))))</f>
        <v/>
      </c>
      <c r="AC750" s="1" t="str">
        <f>IF(OR($B750="",AC$7=""),"",IF($B750="MEANS",INDEX('1-DATA'!$1:$1048576,$A749-1,COLUMN('1-DATA'!AB748)),ROUND(INDEX('1-DATA'!$1:$1048576,IF(OR($B750="STD. DEVIATION",$C$1=1),$A750,$A750+1),COLUMN('1-DATA'!AB748)),IF($B750="STD. DEVIATION",2,$F$1))))</f>
        <v/>
      </c>
      <c r="AD750" s="1" t="str">
        <f>IF(OR($B750="",AD$7=""),"",IF($B750="MEANS",INDEX('1-DATA'!$1:$1048576,$A749-1,COLUMN('1-DATA'!AC748)),ROUND(INDEX('1-DATA'!$1:$1048576,IF(OR($B750="STD. DEVIATION",$C$1=1),$A750,$A750+1),COLUMN('1-DATA'!AC748)),IF($B750="STD. DEVIATION",2,$F$1))))</f>
        <v/>
      </c>
      <c r="AE750" s="1" t="str">
        <f>IF(OR($B750="",AE$7=""),"",IF($B750="MEANS",INDEX('1-DATA'!$1:$1048576,$A749-1,COLUMN('1-DATA'!AD748)),ROUND(INDEX('1-DATA'!$1:$1048576,IF(OR($B750="STD. DEVIATION",$C$1=1),$A750,$A750+1),COLUMN('1-DATA'!AD748)),IF($B750="STD. DEVIATION",2,$F$1))))</f>
        <v/>
      </c>
      <c r="AF750" s="1" t="str">
        <f>IF(OR($B750="",AF$7=""),"",IF($B750="MEANS",INDEX('1-DATA'!$1:$1048576,$A749-1,COLUMN('1-DATA'!AE748)),ROUND(INDEX('1-DATA'!$1:$1048576,IF(OR($B750="STD. DEVIATION",$C$1=1),$A750,$A750+1),COLUMN('1-DATA'!AE748)),IF($B750="STD. DEVIATION",2,$F$1))))</f>
        <v/>
      </c>
      <c r="AG750" s="1" t="str">
        <f>IF(OR($B750="",AG$7=""),"",IF($B750="MEANS",INDEX('1-DATA'!$1:$1048576,$A749-1,COLUMN('1-DATA'!AF748)),ROUND(INDEX('1-DATA'!$1:$1048576,IF(OR($B750="STD. DEVIATION",$C$1=1),$A750,$A750+1),COLUMN('1-DATA'!AF748)),IF($B750="STD. DEVIATION",2,$F$1))))</f>
        <v/>
      </c>
      <c r="AH750" s="1" t="str">
        <f>IF(OR($B750="",AH$7=""),"",IF($B750="MEANS",INDEX('1-DATA'!$1:$1048576,$A749-1,COLUMN('1-DATA'!AG748)),ROUND(INDEX('1-DATA'!$1:$1048576,IF(OR($B750="STD. DEVIATION",$C$1=1),$A750,$A750+1),COLUMN('1-DATA'!AG748)),IF($B750="STD. DEVIATION",2,$F$1))))</f>
        <v/>
      </c>
      <c r="AI750" s="1" t="str">
        <f>IF(OR($B750="",AI$7=""),"",IF($B750="MEANS",INDEX('1-DATA'!$1:$1048576,$A749-1,COLUMN('1-DATA'!AH748)),ROUND(INDEX('1-DATA'!$1:$1048576,IF(OR($B750="STD. DEVIATION",$C$1=1),$A750,$A750+1),COLUMN('1-DATA'!AH748)),IF($B750="STD. DEVIATION",2,$F$1))))</f>
        <v/>
      </c>
      <c r="AJ750" s="1" t="str">
        <f>IF(OR($B750="",AJ$7=""),"",IF($B750="MEANS",INDEX('1-DATA'!$1:$1048576,$A749-1,COLUMN('1-DATA'!AI748)),ROUND(INDEX('1-DATA'!$1:$1048576,IF(OR($B750="STD. DEVIATION",$C$1=1),$A750,$A750+1),COLUMN('1-DATA'!AI748)),IF($B750="STD. DEVIATION",2,$F$1))))</f>
        <v/>
      </c>
      <c r="AK750" s="1" t="str">
        <f>IF(OR($B750="",AK$7=""),"",IF($B750="MEANS",INDEX('1-DATA'!$1:$1048576,$A749-1,COLUMN('1-DATA'!AJ748)),ROUND(INDEX('1-DATA'!$1:$1048576,IF(OR($B750="STD. DEVIATION",$C$1=1),$A750,$A750+1),COLUMN('1-DATA'!AJ748)),IF($B750="STD. DEVIATION",2,$F$1))))</f>
        <v/>
      </c>
      <c r="AL750" s="1" t="str">
        <f>IF(OR($B750="",AL$7=""),"",IF($B750="MEANS",INDEX('1-DATA'!$1:$1048576,$A749-1,COLUMN('1-DATA'!AK748)),ROUND(INDEX('1-DATA'!$1:$1048576,IF(OR($B750="STD. DEVIATION",$C$1=1),$A750,$A750+1),COLUMN('1-DATA'!AK748)),IF($B750="STD. DEVIATION",2,$F$1))))</f>
        <v/>
      </c>
      <c r="AM750" s="1" t="str">
        <f>IF(OR($B750="",AM$7=""),"",IF($B750="MEANS",INDEX('1-DATA'!$1:$1048576,$A749-1,COLUMN('1-DATA'!AL748)),ROUND(INDEX('1-DATA'!$1:$1048576,IF(OR($B750="STD. DEVIATION",$C$1=1),$A750,$A750+1),COLUMN('1-DATA'!AL748)),IF($B750="STD. DEVIATION",2,$F$1))))</f>
        <v/>
      </c>
      <c r="AN750" s="1" t="str">
        <f>IF(OR($B750="",AN$7=""),"",IF($B750="MEANS",INDEX('1-DATA'!$1:$1048576,$A749-1,COLUMN('1-DATA'!AM748)),ROUND(INDEX('1-DATA'!$1:$1048576,IF(OR($B750="STD. DEVIATION",$C$1=1),$A750,$A750+1),COLUMN('1-DATA'!AM748)),IF($B750="STD. DEVIATION",2,$F$1))))</f>
        <v/>
      </c>
      <c r="AO750" s="1" t="str">
        <f>IF(OR($B750="",AO$7=""),"",IF($B750="MEANS",INDEX('1-DATA'!$1:$1048576,$A749-1,COLUMN('1-DATA'!AN748)),ROUND(INDEX('1-DATA'!$1:$1048576,IF(OR($B750="STD. DEVIATION",$C$1=1),$A750,$A750+1),COLUMN('1-DATA'!AN748)),IF($B750="STD. DEVIATION",2,$F$1))))</f>
        <v/>
      </c>
      <c r="AP750" s="1" t="str">
        <f>IF(OR($B750="",AP$7=""),"",IF($B750="MEANS",INDEX('1-DATA'!$1:$1048576,$A749-1,COLUMN('1-DATA'!AO748)),ROUND(INDEX('1-DATA'!$1:$1048576,IF(OR($B750="STD. DEVIATION",$C$1=1),$A750,$A750+1),COLUMN('1-DATA'!AO748)),IF($B750="STD. DEVIATION",2,$F$1))))</f>
        <v/>
      </c>
      <c r="AQ750" s="1" t="str">
        <f>IF(OR($B750="",AQ$7=""),"",IF($B750="MEANS",INDEX('1-DATA'!$1:$1048576,$A749-1,COLUMN('1-DATA'!AP748)),ROUND(INDEX('1-DATA'!$1:$1048576,IF(OR($B750="STD. DEVIATION",$C$1=1),$A750,$A750+1),COLUMN('1-DATA'!AP748)),IF($B750="STD. DEVIATION",2,$F$1))))</f>
        <v/>
      </c>
      <c r="AR750" s="1" t="str">
        <f>IF(OR($B750="",AR$7=""),"",IF($B750="MEANS",INDEX('1-DATA'!$1:$1048576,$A749-1,COLUMN('1-DATA'!AQ748)),ROUND(INDEX('1-DATA'!$1:$1048576,IF(OR($B750="STD. DEVIATION",$C$1=1),$A750,$A750+1),COLUMN('1-DATA'!AQ748)),IF($B750="STD. DEVIATION",2,$F$1))))</f>
        <v/>
      </c>
      <c r="AS750" s="1" t="str">
        <f>IF(OR($B750="",AS$7=""),"",IF($B750="MEANS",INDEX('1-DATA'!$1:$1048576,$A749-1,COLUMN('1-DATA'!AR748)),ROUND(INDEX('1-DATA'!$1:$1048576,IF(OR($B750="STD. DEVIATION",$C$1=1),$A750,$A750+1),COLUMN('1-DATA'!AR748)),IF($B750="STD. DEVIATION",2,$F$1))))</f>
        <v/>
      </c>
      <c r="AT750" s="1" t="str">
        <f>IF(OR($B750="",AT$7=""),"",IF($B750="MEANS",INDEX('1-DATA'!$1:$1048576,$A749-1,COLUMN('1-DATA'!AS748)),ROUND(INDEX('1-DATA'!$1:$1048576,IF(OR($B750="STD. DEVIATION",$C$1=1),$A750,$A750+1),COLUMN('1-DATA'!AS748)),IF($B750="STD. DEVIATION",2,$F$1))))</f>
        <v/>
      </c>
      <c r="AU750" s="1" t="str">
        <f>IF(OR($B750="",AU$7=""),"",IF($B750="MEANS",INDEX('1-DATA'!$1:$1048576,$A749-1,COLUMN('1-DATA'!AT748)),ROUND(INDEX('1-DATA'!$1:$1048576,IF(OR($B750="STD. DEVIATION",$C$1=1),$A750,$A750+1),COLUMN('1-DATA'!AT748)),IF($B750="STD. DEVIATION",2,$F$1))))</f>
        <v/>
      </c>
      <c r="AV750" s="1" t="str">
        <f>IF(OR($B750="",AV$7=""),"",IF($B750="MEANS",INDEX('1-DATA'!$1:$1048576,$A749-1,COLUMN('1-DATA'!AU748)),ROUND(INDEX('1-DATA'!$1:$1048576,IF(OR($B750="STD. DEVIATION",$C$1=1),$A750,$A750+1),COLUMN('1-DATA'!AU748)),IF($B750="STD. DEVIATION",2,$F$1))))</f>
        <v/>
      </c>
      <c r="AW750" s="1" t="str">
        <f>IF(OR($B750="",AW$7=""),"",IF($B750="MEANS",INDEX('1-DATA'!$1:$1048576,$A749-1,COLUMN('1-DATA'!AV748)),ROUND(INDEX('1-DATA'!$1:$1048576,IF(OR($B750="STD. DEVIATION",$C$1=1),$A750,$A750+1),COLUMN('1-DATA'!AV748)),IF($B750="STD. DEVIATION",2,$F$1))))</f>
        <v/>
      </c>
      <c r="AX750" s="1" t="str">
        <f>IF(OR($B750="",AX$7=""),"",IF($B750="MEANS",INDEX('1-DATA'!$1:$1048576,$A749-1,COLUMN('1-DATA'!AW748)),ROUND(INDEX('1-DATA'!$1:$1048576,IF(OR($B750="STD. DEVIATION",$C$1=1),$A750,$A750+1),COLUMN('1-DATA'!AW748)),IF($B750="STD. DEVIATION",2,$F$1))))</f>
        <v/>
      </c>
      <c r="AY750" s="1" t="str">
        <f>IF(OR($B750="",AY$7=""),"",IF($B750="MEANS",INDEX('1-DATA'!$1:$1048576,$A749-1,COLUMN('1-DATA'!AX748)),ROUND(INDEX('1-DATA'!$1:$1048576,IF(OR($B750="STD. DEVIATION",$C$1=1),$A750,$A750+1),COLUMN('1-DATA'!AX748)),IF($B750="STD. DEVIATION",2,$F$1))))</f>
        <v/>
      </c>
      <c r="AZ750" s="1" t="str">
        <f>IF(OR($B750="",AZ$7=""),"",IF($B750="MEANS",INDEX('1-DATA'!$1:$1048576,$A749-1,COLUMN('1-DATA'!AY748)),ROUND(INDEX('1-DATA'!$1:$1048576,IF(OR($B750="STD. DEVIATION",$C$1=1),$A750,$A750+1),COLUMN('1-DATA'!AY748)),IF($B750="STD. DEVIATION",2,$F$1))))</f>
        <v/>
      </c>
    </row>
    <row r="751" spans="1:52" x14ac:dyDescent="0.25">
      <c r="A751" s="11">
        <f t="shared" si="12"/>
        <v>2239</v>
      </c>
      <c r="B751" s="1" t="str">
        <f>IF(B750="STD. DEVIATION",INDEX('1-DATA'!$1:$1048576,$A750-1,1),IF(INDEX('1-DATA'!$1:$1048576,$A751,1)&lt;&gt;"",INDEX('1-DATA'!$1:$1048576,$A751,1),""))</f>
        <v/>
      </c>
      <c r="C751" s="1" t="str">
        <f>IF(OR($B751="",C$7=""),"",IF($B751="MEANS",INDEX('1-DATA'!$1:$1048576,$A750-1,COLUMN('1-DATA'!B749)),ROUND(INDEX('1-DATA'!$1:$1048576,IF(OR($B751="STD. DEVIATION",$C$1=1),$A751,$A751+1),COLUMN('1-DATA'!B749)),IF($B751="STD. DEVIATION",2,$F$1))))</f>
        <v/>
      </c>
      <c r="D751" s="1" t="str">
        <f>IF(OR($B751="",D$7=""),"",IF($B751="MEANS",INDEX('1-DATA'!$1:$1048576,$A750-1,COLUMN('1-DATA'!C749)),ROUND(INDEX('1-DATA'!$1:$1048576,IF(OR($B751="STD. DEVIATION",$C$1=1),$A751,$A751+1),COLUMN('1-DATA'!C749)),IF($B751="STD. DEVIATION",2,$F$1))))</f>
        <v/>
      </c>
      <c r="E751" s="1" t="str">
        <f>IF(OR($B751="",E$7=""),"",IF($B751="MEANS",INDEX('1-DATA'!$1:$1048576,$A750-1,COLUMN('1-DATA'!D749)),ROUND(INDEX('1-DATA'!$1:$1048576,IF(OR($B751="STD. DEVIATION",$C$1=1),$A751,$A751+1),COLUMN('1-DATA'!D749)),IF($B751="STD. DEVIATION",2,$F$1))))</f>
        <v/>
      </c>
      <c r="F751" s="1" t="str">
        <f>IF(OR($B751="",F$7=""),"",IF($B751="MEANS",INDEX('1-DATA'!$1:$1048576,$A750-1,COLUMN('1-DATA'!E749)),ROUND(INDEX('1-DATA'!$1:$1048576,IF(OR($B751="STD. DEVIATION",$C$1=1),$A751,$A751+1),COLUMN('1-DATA'!E749)),IF($B751="STD. DEVIATION",2,$F$1))))</f>
        <v/>
      </c>
      <c r="G751" s="1" t="str">
        <f>IF(OR($B751="",G$7=""),"",IF($B751="MEANS",INDEX('1-DATA'!$1:$1048576,$A750-1,COLUMN('1-DATA'!F749)),ROUND(INDEX('1-DATA'!$1:$1048576,IF(OR($B751="STD. DEVIATION",$C$1=1),$A751,$A751+1),COLUMN('1-DATA'!F749)),IF($B751="STD. DEVIATION",2,$F$1))))</f>
        <v/>
      </c>
      <c r="H751" s="1" t="str">
        <f>IF(OR($B751="",H$7=""),"",IF($B751="MEANS",INDEX('1-DATA'!$1:$1048576,$A750-1,COLUMN('1-DATA'!G749)),ROUND(INDEX('1-DATA'!$1:$1048576,IF(OR($B751="STD. DEVIATION",$C$1=1),$A751,$A751+1),COLUMN('1-DATA'!G749)),IF($B751="STD. DEVIATION",2,$F$1))))</f>
        <v/>
      </c>
      <c r="I751" s="1" t="str">
        <f>IF(OR($B751="",I$7=""),"",IF($B751="MEANS",INDEX('1-DATA'!$1:$1048576,$A750-1,COLUMN('1-DATA'!H749)),ROUND(INDEX('1-DATA'!$1:$1048576,IF(OR($B751="STD. DEVIATION",$C$1=1),$A751,$A751+1),COLUMN('1-DATA'!H749)),IF($B751="STD. DEVIATION",2,$F$1))))</f>
        <v/>
      </c>
      <c r="J751" s="1" t="str">
        <f>IF(OR($B751="",J$7=""),"",IF($B751="MEANS",INDEX('1-DATA'!$1:$1048576,$A750-1,COLUMN('1-DATA'!I749)),ROUND(INDEX('1-DATA'!$1:$1048576,IF(OR($B751="STD. DEVIATION",$C$1=1),$A751,$A751+1),COLUMN('1-DATA'!I749)),IF($B751="STD. DEVIATION",2,$F$1))))</f>
        <v/>
      </c>
      <c r="K751" s="1" t="str">
        <f>IF(OR($B751="",K$7=""),"",IF($B751="MEANS",INDEX('1-DATA'!$1:$1048576,$A750-1,COLUMN('1-DATA'!J749)),ROUND(INDEX('1-DATA'!$1:$1048576,IF(OR($B751="STD. DEVIATION",$C$1=1),$A751,$A751+1),COLUMN('1-DATA'!J749)),IF($B751="STD. DEVIATION",2,$F$1))))</f>
        <v/>
      </c>
      <c r="L751" s="1" t="str">
        <f>IF(OR($B751="",L$7=""),"",IF($B751="MEANS",INDEX('1-DATA'!$1:$1048576,$A750-1,COLUMN('1-DATA'!K749)),ROUND(INDEX('1-DATA'!$1:$1048576,IF(OR($B751="STD. DEVIATION",$C$1=1),$A751,$A751+1),COLUMN('1-DATA'!K749)),IF($B751="STD. DEVIATION",2,$F$1))))</f>
        <v/>
      </c>
      <c r="M751" s="1" t="str">
        <f>IF(OR($B751="",M$7=""),"",IF($B751="MEANS",INDEX('1-DATA'!$1:$1048576,$A750-1,COLUMN('1-DATA'!L749)),ROUND(INDEX('1-DATA'!$1:$1048576,IF(OR($B751="STD. DEVIATION",$C$1=1),$A751,$A751+1),COLUMN('1-DATA'!L749)),IF($B751="STD. DEVIATION",2,$F$1))))</f>
        <v/>
      </c>
      <c r="N751" s="1" t="str">
        <f>IF(OR($B751="",N$7=""),"",IF($B751="MEANS",INDEX('1-DATA'!$1:$1048576,$A750-1,COLUMN('1-DATA'!M749)),ROUND(INDEX('1-DATA'!$1:$1048576,IF(OR($B751="STD. DEVIATION",$C$1=1),$A751,$A751+1),COLUMN('1-DATA'!M749)),IF($B751="STD. DEVIATION",2,$F$1))))</f>
        <v/>
      </c>
      <c r="O751" s="1" t="str">
        <f>IF(OR($B751="",O$7=""),"",IF($B751="MEANS",INDEX('1-DATA'!$1:$1048576,$A750-1,COLUMN('1-DATA'!N749)),ROUND(INDEX('1-DATA'!$1:$1048576,IF(OR($B751="STD. DEVIATION",$C$1=1),$A751,$A751+1),COLUMN('1-DATA'!N749)),IF($B751="STD. DEVIATION",2,$F$1))))</f>
        <v/>
      </c>
      <c r="P751" s="1" t="str">
        <f>IF(OR($B751="",P$7=""),"",IF($B751="MEANS",INDEX('1-DATA'!$1:$1048576,$A750-1,COLUMN('1-DATA'!O749)),ROUND(INDEX('1-DATA'!$1:$1048576,IF(OR($B751="STD. DEVIATION",$C$1=1),$A751,$A751+1),COLUMN('1-DATA'!O749)),IF($B751="STD. DEVIATION",2,$F$1))))</f>
        <v/>
      </c>
      <c r="Q751" s="1" t="str">
        <f>IF(OR($B751="",Q$7=""),"",IF($B751="MEANS",INDEX('1-DATA'!$1:$1048576,$A750-1,COLUMN('1-DATA'!P749)),ROUND(INDEX('1-DATA'!$1:$1048576,IF(OR($B751="STD. DEVIATION",$C$1=1),$A751,$A751+1),COLUMN('1-DATA'!P749)),IF($B751="STD. DEVIATION",2,$F$1))))</f>
        <v/>
      </c>
      <c r="R751" s="1" t="str">
        <f>IF(OR($B751="",R$7=""),"",IF($B751="MEANS",INDEX('1-DATA'!$1:$1048576,$A750-1,COLUMN('1-DATA'!Q749)),ROUND(INDEX('1-DATA'!$1:$1048576,IF(OR($B751="STD. DEVIATION",$C$1=1),$A751,$A751+1),COLUMN('1-DATA'!Q749)),IF($B751="STD. DEVIATION",2,$F$1))))</f>
        <v/>
      </c>
      <c r="S751" s="1" t="str">
        <f>IF(OR($B751="",S$7=""),"",IF($B751="MEANS",INDEX('1-DATA'!$1:$1048576,$A750-1,COLUMN('1-DATA'!R749)),ROUND(INDEX('1-DATA'!$1:$1048576,IF(OR($B751="STD. DEVIATION",$C$1=1),$A751,$A751+1),COLUMN('1-DATA'!R749)),IF($B751="STD. DEVIATION",2,$F$1))))</f>
        <v/>
      </c>
      <c r="T751" s="1" t="str">
        <f>IF(OR($B751="",T$7=""),"",IF($B751="MEANS",INDEX('1-DATA'!$1:$1048576,$A750-1,COLUMN('1-DATA'!S749)),ROUND(INDEX('1-DATA'!$1:$1048576,IF(OR($B751="STD. DEVIATION",$C$1=1),$A751,$A751+1),COLUMN('1-DATA'!S749)),IF($B751="STD. DEVIATION",2,$F$1))))</f>
        <v/>
      </c>
      <c r="U751" s="1" t="str">
        <f>IF(OR($B751="",U$7=""),"",IF($B751="MEANS",INDEX('1-DATA'!$1:$1048576,$A750-1,COLUMN('1-DATA'!T749)),ROUND(INDEX('1-DATA'!$1:$1048576,IF(OR($B751="STD. DEVIATION",$C$1=1),$A751,$A751+1),COLUMN('1-DATA'!T749)),IF($B751="STD. DEVIATION",2,$F$1))))</f>
        <v/>
      </c>
      <c r="V751" s="1" t="str">
        <f>IF(OR($B751="",V$7=""),"",IF($B751="MEANS",INDEX('1-DATA'!$1:$1048576,$A750-1,COLUMN('1-DATA'!U749)),ROUND(INDEX('1-DATA'!$1:$1048576,IF(OR($B751="STD. DEVIATION",$C$1=1),$A751,$A751+1),COLUMN('1-DATA'!U749)),IF($B751="STD. DEVIATION",2,$F$1))))</f>
        <v/>
      </c>
      <c r="W751" s="1" t="str">
        <f>IF(OR($B751="",W$7=""),"",IF($B751="MEANS",INDEX('1-DATA'!$1:$1048576,$A750-1,COLUMN('1-DATA'!V749)),ROUND(INDEX('1-DATA'!$1:$1048576,IF(OR($B751="STD. DEVIATION",$C$1=1),$A751,$A751+1),COLUMN('1-DATA'!V749)),IF($B751="STD. DEVIATION",2,$F$1))))</f>
        <v/>
      </c>
      <c r="X751" s="1" t="str">
        <f>IF(OR($B751="",X$7=""),"",IF($B751="MEANS",INDEX('1-DATA'!$1:$1048576,$A750-1,COLUMN('1-DATA'!W749)),ROUND(INDEX('1-DATA'!$1:$1048576,IF(OR($B751="STD. DEVIATION",$C$1=1),$A751,$A751+1),COLUMN('1-DATA'!W749)),IF($B751="STD. DEVIATION",2,$F$1))))</f>
        <v/>
      </c>
      <c r="Y751" s="1" t="str">
        <f>IF(OR($B751="",Y$7=""),"",IF($B751="MEANS",INDEX('1-DATA'!$1:$1048576,$A750-1,COLUMN('1-DATA'!X749)),ROUND(INDEX('1-DATA'!$1:$1048576,IF(OR($B751="STD. DEVIATION",$C$1=1),$A751,$A751+1),COLUMN('1-DATA'!X749)),IF($B751="STD. DEVIATION",2,$F$1))))</f>
        <v/>
      </c>
      <c r="Z751" s="1" t="str">
        <f>IF(OR($B751="",Z$7=""),"",IF($B751="MEANS",INDEX('1-DATA'!$1:$1048576,$A750-1,COLUMN('1-DATA'!Y749)),ROUND(INDEX('1-DATA'!$1:$1048576,IF(OR($B751="STD. DEVIATION",$C$1=1),$A751,$A751+1),COLUMN('1-DATA'!Y749)),IF($B751="STD. DEVIATION",2,$F$1))))</f>
        <v/>
      </c>
      <c r="AA751" s="1" t="str">
        <f>IF(OR($B751="",AA$7=""),"",IF($B751="MEANS",INDEX('1-DATA'!$1:$1048576,$A750-1,COLUMN('1-DATA'!Z749)),ROUND(INDEX('1-DATA'!$1:$1048576,IF(OR($B751="STD. DEVIATION",$C$1=1),$A751,$A751+1),COLUMN('1-DATA'!Z749)),IF($B751="STD. DEVIATION",2,$F$1))))</f>
        <v/>
      </c>
      <c r="AB751" s="1" t="str">
        <f>IF(OR($B751="",AB$7=""),"",IF($B751="MEANS",INDEX('1-DATA'!$1:$1048576,$A750-1,COLUMN('1-DATA'!AA749)),ROUND(INDEX('1-DATA'!$1:$1048576,IF(OR($B751="STD. DEVIATION",$C$1=1),$A751,$A751+1),COLUMN('1-DATA'!AA749)),IF($B751="STD. DEVIATION",2,$F$1))))</f>
        <v/>
      </c>
      <c r="AC751" s="1" t="str">
        <f>IF(OR($B751="",AC$7=""),"",IF($B751="MEANS",INDEX('1-DATA'!$1:$1048576,$A750-1,COLUMN('1-DATA'!AB749)),ROUND(INDEX('1-DATA'!$1:$1048576,IF(OR($B751="STD. DEVIATION",$C$1=1),$A751,$A751+1),COLUMN('1-DATA'!AB749)),IF($B751="STD. DEVIATION",2,$F$1))))</f>
        <v/>
      </c>
      <c r="AD751" s="1" t="str">
        <f>IF(OR($B751="",AD$7=""),"",IF($B751="MEANS",INDEX('1-DATA'!$1:$1048576,$A750-1,COLUMN('1-DATA'!AC749)),ROUND(INDEX('1-DATA'!$1:$1048576,IF(OR($B751="STD. DEVIATION",$C$1=1),$A751,$A751+1),COLUMN('1-DATA'!AC749)),IF($B751="STD. DEVIATION",2,$F$1))))</f>
        <v/>
      </c>
      <c r="AE751" s="1" t="str">
        <f>IF(OR($B751="",AE$7=""),"",IF($B751="MEANS",INDEX('1-DATA'!$1:$1048576,$A750-1,COLUMN('1-DATA'!AD749)),ROUND(INDEX('1-DATA'!$1:$1048576,IF(OR($B751="STD. DEVIATION",$C$1=1),$A751,$A751+1),COLUMN('1-DATA'!AD749)),IF($B751="STD. DEVIATION",2,$F$1))))</f>
        <v/>
      </c>
      <c r="AF751" s="1" t="str">
        <f>IF(OR($B751="",AF$7=""),"",IF($B751="MEANS",INDEX('1-DATA'!$1:$1048576,$A750-1,COLUMN('1-DATA'!AE749)),ROUND(INDEX('1-DATA'!$1:$1048576,IF(OR($B751="STD. DEVIATION",$C$1=1),$A751,$A751+1),COLUMN('1-DATA'!AE749)),IF($B751="STD. DEVIATION",2,$F$1))))</f>
        <v/>
      </c>
      <c r="AG751" s="1" t="str">
        <f>IF(OR($B751="",AG$7=""),"",IF($B751="MEANS",INDEX('1-DATA'!$1:$1048576,$A750-1,COLUMN('1-DATA'!AF749)),ROUND(INDEX('1-DATA'!$1:$1048576,IF(OR($B751="STD. DEVIATION",$C$1=1),$A751,$A751+1),COLUMN('1-DATA'!AF749)),IF($B751="STD. DEVIATION",2,$F$1))))</f>
        <v/>
      </c>
      <c r="AH751" s="1" t="str">
        <f>IF(OR($B751="",AH$7=""),"",IF($B751="MEANS",INDEX('1-DATA'!$1:$1048576,$A750-1,COLUMN('1-DATA'!AG749)),ROUND(INDEX('1-DATA'!$1:$1048576,IF(OR($B751="STD. DEVIATION",$C$1=1),$A751,$A751+1),COLUMN('1-DATA'!AG749)),IF($B751="STD. DEVIATION",2,$F$1))))</f>
        <v/>
      </c>
      <c r="AI751" s="1" t="str">
        <f>IF(OR($B751="",AI$7=""),"",IF($B751="MEANS",INDEX('1-DATA'!$1:$1048576,$A750-1,COLUMN('1-DATA'!AH749)),ROUND(INDEX('1-DATA'!$1:$1048576,IF(OR($B751="STD. DEVIATION",$C$1=1),$A751,$A751+1),COLUMN('1-DATA'!AH749)),IF($B751="STD. DEVIATION",2,$F$1))))</f>
        <v/>
      </c>
      <c r="AJ751" s="1" t="str">
        <f>IF(OR($B751="",AJ$7=""),"",IF($B751="MEANS",INDEX('1-DATA'!$1:$1048576,$A750-1,COLUMN('1-DATA'!AI749)),ROUND(INDEX('1-DATA'!$1:$1048576,IF(OR($B751="STD. DEVIATION",$C$1=1),$A751,$A751+1),COLUMN('1-DATA'!AI749)),IF($B751="STD. DEVIATION",2,$F$1))))</f>
        <v/>
      </c>
      <c r="AK751" s="1" t="str">
        <f>IF(OR($B751="",AK$7=""),"",IF($B751="MEANS",INDEX('1-DATA'!$1:$1048576,$A750-1,COLUMN('1-DATA'!AJ749)),ROUND(INDEX('1-DATA'!$1:$1048576,IF(OR($B751="STD. DEVIATION",$C$1=1),$A751,$A751+1),COLUMN('1-DATA'!AJ749)),IF($B751="STD. DEVIATION",2,$F$1))))</f>
        <v/>
      </c>
      <c r="AL751" s="1" t="str">
        <f>IF(OR($B751="",AL$7=""),"",IF($B751="MEANS",INDEX('1-DATA'!$1:$1048576,$A750-1,COLUMN('1-DATA'!AK749)),ROUND(INDEX('1-DATA'!$1:$1048576,IF(OR($B751="STD. DEVIATION",$C$1=1),$A751,$A751+1),COLUMN('1-DATA'!AK749)),IF($B751="STD. DEVIATION",2,$F$1))))</f>
        <v/>
      </c>
      <c r="AM751" s="1" t="str">
        <f>IF(OR($B751="",AM$7=""),"",IF($B751="MEANS",INDEX('1-DATA'!$1:$1048576,$A750-1,COLUMN('1-DATA'!AL749)),ROUND(INDEX('1-DATA'!$1:$1048576,IF(OR($B751="STD. DEVIATION",$C$1=1),$A751,$A751+1),COLUMN('1-DATA'!AL749)),IF($B751="STD. DEVIATION",2,$F$1))))</f>
        <v/>
      </c>
      <c r="AN751" s="1" t="str">
        <f>IF(OR($B751="",AN$7=""),"",IF($B751="MEANS",INDEX('1-DATA'!$1:$1048576,$A750-1,COLUMN('1-DATA'!AM749)),ROUND(INDEX('1-DATA'!$1:$1048576,IF(OR($B751="STD. DEVIATION",$C$1=1),$A751,$A751+1),COLUMN('1-DATA'!AM749)),IF($B751="STD. DEVIATION",2,$F$1))))</f>
        <v/>
      </c>
      <c r="AO751" s="1" t="str">
        <f>IF(OR($B751="",AO$7=""),"",IF($B751="MEANS",INDEX('1-DATA'!$1:$1048576,$A750-1,COLUMN('1-DATA'!AN749)),ROUND(INDEX('1-DATA'!$1:$1048576,IF(OR($B751="STD. DEVIATION",$C$1=1),$A751,$A751+1),COLUMN('1-DATA'!AN749)),IF($B751="STD. DEVIATION",2,$F$1))))</f>
        <v/>
      </c>
      <c r="AP751" s="1" t="str">
        <f>IF(OR($B751="",AP$7=""),"",IF($B751="MEANS",INDEX('1-DATA'!$1:$1048576,$A750-1,COLUMN('1-DATA'!AO749)),ROUND(INDEX('1-DATA'!$1:$1048576,IF(OR($B751="STD. DEVIATION",$C$1=1),$A751,$A751+1),COLUMN('1-DATA'!AO749)),IF($B751="STD. DEVIATION",2,$F$1))))</f>
        <v/>
      </c>
      <c r="AQ751" s="1" t="str">
        <f>IF(OR($B751="",AQ$7=""),"",IF($B751="MEANS",INDEX('1-DATA'!$1:$1048576,$A750-1,COLUMN('1-DATA'!AP749)),ROUND(INDEX('1-DATA'!$1:$1048576,IF(OR($B751="STD. DEVIATION",$C$1=1),$A751,$A751+1),COLUMN('1-DATA'!AP749)),IF($B751="STD. DEVIATION",2,$F$1))))</f>
        <v/>
      </c>
      <c r="AR751" s="1" t="str">
        <f>IF(OR($B751="",AR$7=""),"",IF($B751="MEANS",INDEX('1-DATA'!$1:$1048576,$A750-1,COLUMN('1-DATA'!AQ749)),ROUND(INDEX('1-DATA'!$1:$1048576,IF(OR($B751="STD. DEVIATION",$C$1=1),$A751,$A751+1),COLUMN('1-DATA'!AQ749)),IF($B751="STD. DEVIATION",2,$F$1))))</f>
        <v/>
      </c>
      <c r="AS751" s="1" t="str">
        <f>IF(OR($B751="",AS$7=""),"",IF($B751="MEANS",INDEX('1-DATA'!$1:$1048576,$A750-1,COLUMN('1-DATA'!AR749)),ROUND(INDEX('1-DATA'!$1:$1048576,IF(OR($B751="STD. DEVIATION",$C$1=1),$A751,$A751+1),COLUMN('1-DATA'!AR749)),IF($B751="STD. DEVIATION",2,$F$1))))</f>
        <v/>
      </c>
      <c r="AT751" s="1" t="str">
        <f>IF(OR($B751="",AT$7=""),"",IF($B751="MEANS",INDEX('1-DATA'!$1:$1048576,$A750-1,COLUMN('1-DATA'!AS749)),ROUND(INDEX('1-DATA'!$1:$1048576,IF(OR($B751="STD. DEVIATION",$C$1=1),$A751,$A751+1),COLUMN('1-DATA'!AS749)),IF($B751="STD. DEVIATION",2,$F$1))))</f>
        <v/>
      </c>
      <c r="AU751" s="1" t="str">
        <f>IF(OR($B751="",AU$7=""),"",IF($B751="MEANS",INDEX('1-DATA'!$1:$1048576,$A750-1,COLUMN('1-DATA'!AT749)),ROUND(INDEX('1-DATA'!$1:$1048576,IF(OR($B751="STD. DEVIATION",$C$1=1),$A751,$A751+1),COLUMN('1-DATA'!AT749)),IF($B751="STD. DEVIATION",2,$F$1))))</f>
        <v/>
      </c>
      <c r="AV751" s="1" t="str">
        <f>IF(OR($B751="",AV$7=""),"",IF($B751="MEANS",INDEX('1-DATA'!$1:$1048576,$A750-1,COLUMN('1-DATA'!AU749)),ROUND(INDEX('1-DATA'!$1:$1048576,IF(OR($B751="STD. DEVIATION",$C$1=1),$A751,$A751+1),COLUMN('1-DATA'!AU749)),IF($B751="STD. DEVIATION",2,$F$1))))</f>
        <v/>
      </c>
      <c r="AW751" s="1" t="str">
        <f>IF(OR($B751="",AW$7=""),"",IF($B751="MEANS",INDEX('1-DATA'!$1:$1048576,$A750-1,COLUMN('1-DATA'!AV749)),ROUND(INDEX('1-DATA'!$1:$1048576,IF(OR($B751="STD. DEVIATION",$C$1=1),$A751,$A751+1),COLUMN('1-DATA'!AV749)),IF($B751="STD. DEVIATION",2,$F$1))))</f>
        <v/>
      </c>
      <c r="AX751" s="1" t="str">
        <f>IF(OR($B751="",AX$7=""),"",IF($B751="MEANS",INDEX('1-DATA'!$1:$1048576,$A750-1,COLUMN('1-DATA'!AW749)),ROUND(INDEX('1-DATA'!$1:$1048576,IF(OR($B751="STD. DEVIATION",$C$1=1),$A751,$A751+1),COLUMN('1-DATA'!AW749)),IF($B751="STD. DEVIATION",2,$F$1))))</f>
        <v/>
      </c>
      <c r="AY751" s="1" t="str">
        <f>IF(OR($B751="",AY$7=""),"",IF($B751="MEANS",INDEX('1-DATA'!$1:$1048576,$A750-1,COLUMN('1-DATA'!AX749)),ROUND(INDEX('1-DATA'!$1:$1048576,IF(OR($B751="STD. DEVIATION",$C$1=1),$A751,$A751+1),COLUMN('1-DATA'!AX749)),IF($B751="STD. DEVIATION",2,$F$1))))</f>
        <v/>
      </c>
      <c r="AZ751" s="1" t="str">
        <f>IF(OR($B751="",AZ$7=""),"",IF($B751="MEANS",INDEX('1-DATA'!$1:$1048576,$A750-1,COLUMN('1-DATA'!AY749)),ROUND(INDEX('1-DATA'!$1:$1048576,IF(OR($B751="STD. DEVIATION",$C$1=1),$A751,$A751+1),COLUMN('1-DATA'!AY749)),IF($B751="STD. DEVIATION",2,$F$1))))</f>
        <v/>
      </c>
    </row>
    <row r="752" spans="1:52" x14ac:dyDescent="0.25">
      <c r="A752" s="11">
        <f t="shared" si="12"/>
        <v>2242</v>
      </c>
      <c r="B752" s="1" t="str">
        <f>IF(B751="STD. DEVIATION",INDEX('1-DATA'!$1:$1048576,$A751-1,1),IF(INDEX('1-DATA'!$1:$1048576,$A752,1)&lt;&gt;"",INDEX('1-DATA'!$1:$1048576,$A752,1),""))</f>
        <v/>
      </c>
      <c r="C752" s="1" t="str">
        <f>IF(OR($B752="",C$7=""),"",IF($B752="MEANS",INDEX('1-DATA'!$1:$1048576,$A751-1,COLUMN('1-DATA'!B750)),ROUND(INDEX('1-DATA'!$1:$1048576,IF(OR($B752="STD. DEVIATION",$C$1=1),$A752,$A752+1),COLUMN('1-DATA'!B750)),IF($B752="STD. DEVIATION",2,$F$1))))</f>
        <v/>
      </c>
      <c r="D752" s="1" t="str">
        <f>IF(OR($B752="",D$7=""),"",IF($B752="MEANS",INDEX('1-DATA'!$1:$1048576,$A751-1,COLUMN('1-DATA'!C750)),ROUND(INDEX('1-DATA'!$1:$1048576,IF(OR($B752="STD. DEVIATION",$C$1=1),$A752,$A752+1),COLUMN('1-DATA'!C750)),IF($B752="STD. DEVIATION",2,$F$1))))</f>
        <v/>
      </c>
      <c r="E752" s="1" t="str">
        <f>IF(OR($B752="",E$7=""),"",IF($B752="MEANS",INDEX('1-DATA'!$1:$1048576,$A751-1,COLUMN('1-DATA'!D750)),ROUND(INDEX('1-DATA'!$1:$1048576,IF(OR($B752="STD. DEVIATION",$C$1=1),$A752,$A752+1),COLUMN('1-DATA'!D750)),IF($B752="STD. DEVIATION",2,$F$1))))</f>
        <v/>
      </c>
      <c r="F752" s="1" t="str">
        <f>IF(OR($B752="",F$7=""),"",IF($B752="MEANS",INDEX('1-DATA'!$1:$1048576,$A751-1,COLUMN('1-DATA'!E750)),ROUND(INDEX('1-DATA'!$1:$1048576,IF(OR($B752="STD. DEVIATION",$C$1=1),$A752,$A752+1),COLUMN('1-DATA'!E750)),IF($B752="STD. DEVIATION",2,$F$1))))</f>
        <v/>
      </c>
      <c r="G752" s="1" t="str">
        <f>IF(OR($B752="",G$7=""),"",IF($B752="MEANS",INDEX('1-DATA'!$1:$1048576,$A751-1,COLUMN('1-DATA'!F750)),ROUND(INDEX('1-DATA'!$1:$1048576,IF(OR($B752="STD. DEVIATION",$C$1=1),$A752,$A752+1),COLUMN('1-DATA'!F750)),IF($B752="STD. DEVIATION",2,$F$1))))</f>
        <v/>
      </c>
      <c r="H752" s="1" t="str">
        <f>IF(OR($B752="",H$7=""),"",IF($B752="MEANS",INDEX('1-DATA'!$1:$1048576,$A751-1,COLUMN('1-DATA'!G750)),ROUND(INDEX('1-DATA'!$1:$1048576,IF(OR($B752="STD. DEVIATION",$C$1=1),$A752,$A752+1),COLUMN('1-DATA'!G750)),IF($B752="STD. DEVIATION",2,$F$1))))</f>
        <v/>
      </c>
      <c r="I752" s="1" t="str">
        <f>IF(OR($B752="",I$7=""),"",IF($B752="MEANS",INDEX('1-DATA'!$1:$1048576,$A751-1,COLUMN('1-DATA'!H750)),ROUND(INDEX('1-DATA'!$1:$1048576,IF(OR($B752="STD. DEVIATION",$C$1=1),$A752,$A752+1),COLUMN('1-DATA'!H750)),IF($B752="STD. DEVIATION",2,$F$1))))</f>
        <v/>
      </c>
      <c r="J752" s="1" t="str">
        <f>IF(OR($B752="",J$7=""),"",IF($B752="MEANS",INDEX('1-DATA'!$1:$1048576,$A751-1,COLUMN('1-DATA'!I750)),ROUND(INDEX('1-DATA'!$1:$1048576,IF(OR($B752="STD. DEVIATION",$C$1=1),$A752,$A752+1),COLUMN('1-DATA'!I750)),IF($B752="STD. DEVIATION",2,$F$1))))</f>
        <v/>
      </c>
      <c r="K752" s="1" t="str">
        <f>IF(OR($B752="",K$7=""),"",IF($B752="MEANS",INDEX('1-DATA'!$1:$1048576,$A751-1,COLUMN('1-DATA'!J750)),ROUND(INDEX('1-DATA'!$1:$1048576,IF(OR($B752="STD. DEVIATION",$C$1=1),$A752,$A752+1),COLUMN('1-DATA'!J750)),IF($B752="STD. DEVIATION",2,$F$1))))</f>
        <v/>
      </c>
      <c r="L752" s="1" t="str">
        <f>IF(OR($B752="",L$7=""),"",IF($B752="MEANS",INDEX('1-DATA'!$1:$1048576,$A751-1,COLUMN('1-DATA'!K750)),ROUND(INDEX('1-DATA'!$1:$1048576,IF(OR($B752="STD. DEVIATION",$C$1=1),$A752,$A752+1),COLUMN('1-DATA'!K750)),IF($B752="STD. DEVIATION",2,$F$1))))</f>
        <v/>
      </c>
      <c r="M752" s="1" t="str">
        <f>IF(OR($B752="",M$7=""),"",IF($B752="MEANS",INDEX('1-DATA'!$1:$1048576,$A751-1,COLUMN('1-DATA'!L750)),ROUND(INDEX('1-DATA'!$1:$1048576,IF(OR($B752="STD. DEVIATION",$C$1=1),$A752,$A752+1),COLUMN('1-DATA'!L750)),IF($B752="STD. DEVIATION",2,$F$1))))</f>
        <v/>
      </c>
      <c r="N752" s="1" t="str">
        <f>IF(OR($B752="",N$7=""),"",IF($B752="MEANS",INDEX('1-DATA'!$1:$1048576,$A751-1,COLUMN('1-DATA'!M750)),ROUND(INDEX('1-DATA'!$1:$1048576,IF(OR($B752="STD. DEVIATION",$C$1=1),$A752,$A752+1),COLUMN('1-DATA'!M750)),IF($B752="STD. DEVIATION",2,$F$1))))</f>
        <v/>
      </c>
      <c r="O752" s="1" t="str">
        <f>IF(OR($B752="",O$7=""),"",IF($B752="MEANS",INDEX('1-DATA'!$1:$1048576,$A751-1,COLUMN('1-DATA'!N750)),ROUND(INDEX('1-DATA'!$1:$1048576,IF(OR($B752="STD. DEVIATION",$C$1=1),$A752,$A752+1),COLUMN('1-DATA'!N750)),IF($B752="STD. DEVIATION",2,$F$1))))</f>
        <v/>
      </c>
      <c r="P752" s="1" t="str">
        <f>IF(OR($B752="",P$7=""),"",IF($B752="MEANS",INDEX('1-DATA'!$1:$1048576,$A751-1,COLUMN('1-DATA'!O750)),ROUND(INDEX('1-DATA'!$1:$1048576,IF(OR($B752="STD. DEVIATION",$C$1=1),$A752,$A752+1),COLUMN('1-DATA'!O750)),IF($B752="STD. DEVIATION",2,$F$1))))</f>
        <v/>
      </c>
      <c r="Q752" s="1" t="str">
        <f>IF(OR($B752="",Q$7=""),"",IF($B752="MEANS",INDEX('1-DATA'!$1:$1048576,$A751-1,COLUMN('1-DATA'!P750)),ROUND(INDEX('1-DATA'!$1:$1048576,IF(OR($B752="STD. DEVIATION",$C$1=1),$A752,$A752+1),COLUMN('1-DATA'!P750)),IF($B752="STD. DEVIATION",2,$F$1))))</f>
        <v/>
      </c>
      <c r="R752" s="1" t="str">
        <f>IF(OR($B752="",R$7=""),"",IF($B752="MEANS",INDEX('1-DATA'!$1:$1048576,$A751-1,COLUMN('1-DATA'!Q750)),ROUND(INDEX('1-DATA'!$1:$1048576,IF(OR($B752="STD. DEVIATION",$C$1=1),$A752,$A752+1),COLUMN('1-DATA'!Q750)),IF($B752="STD. DEVIATION",2,$F$1))))</f>
        <v/>
      </c>
      <c r="S752" s="1" t="str">
        <f>IF(OR($B752="",S$7=""),"",IF($B752="MEANS",INDEX('1-DATA'!$1:$1048576,$A751-1,COLUMN('1-DATA'!R750)),ROUND(INDEX('1-DATA'!$1:$1048576,IF(OR($B752="STD. DEVIATION",$C$1=1),$A752,$A752+1),COLUMN('1-DATA'!R750)),IF($B752="STD. DEVIATION",2,$F$1))))</f>
        <v/>
      </c>
      <c r="T752" s="1" t="str">
        <f>IF(OR($B752="",T$7=""),"",IF($B752="MEANS",INDEX('1-DATA'!$1:$1048576,$A751-1,COLUMN('1-DATA'!S750)),ROUND(INDEX('1-DATA'!$1:$1048576,IF(OR($B752="STD. DEVIATION",$C$1=1),$A752,$A752+1),COLUMN('1-DATA'!S750)),IF($B752="STD. DEVIATION",2,$F$1))))</f>
        <v/>
      </c>
      <c r="U752" s="1" t="str">
        <f>IF(OR($B752="",U$7=""),"",IF($B752="MEANS",INDEX('1-DATA'!$1:$1048576,$A751-1,COLUMN('1-DATA'!T750)),ROUND(INDEX('1-DATA'!$1:$1048576,IF(OR($B752="STD. DEVIATION",$C$1=1),$A752,$A752+1),COLUMN('1-DATA'!T750)),IF($B752="STD. DEVIATION",2,$F$1))))</f>
        <v/>
      </c>
      <c r="V752" s="1" t="str">
        <f>IF(OR($B752="",V$7=""),"",IF($B752="MEANS",INDEX('1-DATA'!$1:$1048576,$A751-1,COLUMN('1-DATA'!U750)),ROUND(INDEX('1-DATA'!$1:$1048576,IF(OR($B752="STD. DEVIATION",$C$1=1),$A752,$A752+1),COLUMN('1-DATA'!U750)),IF($B752="STD. DEVIATION",2,$F$1))))</f>
        <v/>
      </c>
      <c r="W752" s="1" t="str">
        <f>IF(OR($B752="",W$7=""),"",IF($B752="MEANS",INDEX('1-DATA'!$1:$1048576,$A751-1,COLUMN('1-DATA'!V750)),ROUND(INDEX('1-DATA'!$1:$1048576,IF(OR($B752="STD. DEVIATION",$C$1=1),$A752,$A752+1),COLUMN('1-DATA'!V750)),IF($B752="STD. DEVIATION",2,$F$1))))</f>
        <v/>
      </c>
      <c r="X752" s="1" t="str">
        <f>IF(OR($B752="",X$7=""),"",IF($B752="MEANS",INDEX('1-DATA'!$1:$1048576,$A751-1,COLUMN('1-DATA'!W750)),ROUND(INDEX('1-DATA'!$1:$1048576,IF(OR($B752="STD. DEVIATION",$C$1=1),$A752,$A752+1),COLUMN('1-DATA'!W750)),IF($B752="STD. DEVIATION",2,$F$1))))</f>
        <v/>
      </c>
      <c r="Y752" s="1" t="str">
        <f>IF(OR($B752="",Y$7=""),"",IF($B752="MEANS",INDEX('1-DATA'!$1:$1048576,$A751-1,COLUMN('1-DATA'!X750)),ROUND(INDEX('1-DATA'!$1:$1048576,IF(OR($B752="STD. DEVIATION",$C$1=1),$A752,$A752+1),COLUMN('1-DATA'!X750)),IF($B752="STD. DEVIATION",2,$F$1))))</f>
        <v/>
      </c>
      <c r="Z752" s="1" t="str">
        <f>IF(OR($B752="",Z$7=""),"",IF($B752="MEANS",INDEX('1-DATA'!$1:$1048576,$A751-1,COLUMN('1-DATA'!Y750)),ROUND(INDEX('1-DATA'!$1:$1048576,IF(OR($B752="STD. DEVIATION",$C$1=1),$A752,$A752+1),COLUMN('1-DATA'!Y750)),IF($B752="STD. DEVIATION",2,$F$1))))</f>
        <v/>
      </c>
      <c r="AA752" s="1" t="str">
        <f>IF(OR($B752="",AA$7=""),"",IF($B752="MEANS",INDEX('1-DATA'!$1:$1048576,$A751-1,COLUMN('1-DATA'!Z750)),ROUND(INDEX('1-DATA'!$1:$1048576,IF(OR($B752="STD. DEVIATION",$C$1=1),$A752,$A752+1),COLUMN('1-DATA'!Z750)),IF($B752="STD. DEVIATION",2,$F$1))))</f>
        <v/>
      </c>
      <c r="AB752" s="1" t="str">
        <f>IF(OR($B752="",AB$7=""),"",IF($B752="MEANS",INDEX('1-DATA'!$1:$1048576,$A751-1,COLUMN('1-DATA'!AA750)),ROUND(INDEX('1-DATA'!$1:$1048576,IF(OR($B752="STD. DEVIATION",$C$1=1),$A752,$A752+1),COLUMN('1-DATA'!AA750)),IF($B752="STD. DEVIATION",2,$F$1))))</f>
        <v/>
      </c>
      <c r="AC752" s="1" t="str">
        <f>IF(OR($B752="",AC$7=""),"",IF($B752="MEANS",INDEX('1-DATA'!$1:$1048576,$A751-1,COLUMN('1-DATA'!AB750)),ROUND(INDEX('1-DATA'!$1:$1048576,IF(OR($B752="STD. DEVIATION",$C$1=1),$A752,$A752+1),COLUMN('1-DATA'!AB750)),IF($B752="STD. DEVIATION",2,$F$1))))</f>
        <v/>
      </c>
      <c r="AD752" s="1" t="str">
        <f>IF(OR($B752="",AD$7=""),"",IF($B752="MEANS",INDEX('1-DATA'!$1:$1048576,$A751-1,COLUMN('1-DATA'!AC750)),ROUND(INDEX('1-DATA'!$1:$1048576,IF(OR($B752="STD. DEVIATION",$C$1=1),$A752,$A752+1),COLUMN('1-DATA'!AC750)),IF($B752="STD. DEVIATION",2,$F$1))))</f>
        <v/>
      </c>
      <c r="AE752" s="1" t="str">
        <f>IF(OR($B752="",AE$7=""),"",IF($B752="MEANS",INDEX('1-DATA'!$1:$1048576,$A751-1,COLUMN('1-DATA'!AD750)),ROUND(INDEX('1-DATA'!$1:$1048576,IF(OR($B752="STD. DEVIATION",$C$1=1),$A752,$A752+1),COLUMN('1-DATA'!AD750)),IF($B752="STD. DEVIATION",2,$F$1))))</f>
        <v/>
      </c>
      <c r="AF752" s="1" t="str">
        <f>IF(OR($B752="",AF$7=""),"",IF($B752="MEANS",INDEX('1-DATA'!$1:$1048576,$A751-1,COLUMN('1-DATA'!AE750)),ROUND(INDEX('1-DATA'!$1:$1048576,IF(OR($B752="STD. DEVIATION",$C$1=1),$A752,$A752+1),COLUMN('1-DATA'!AE750)),IF($B752="STD. DEVIATION",2,$F$1))))</f>
        <v/>
      </c>
      <c r="AG752" s="1" t="str">
        <f>IF(OR($B752="",AG$7=""),"",IF($B752="MEANS",INDEX('1-DATA'!$1:$1048576,$A751-1,COLUMN('1-DATA'!AF750)),ROUND(INDEX('1-DATA'!$1:$1048576,IF(OR($B752="STD. DEVIATION",$C$1=1),$A752,$A752+1),COLUMN('1-DATA'!AF750)),IF($B752="STD. DEVIATION",2,$F$1))))</f>
        <v/>
      </c>
      <c r="AH752" s="1" t="str">
        <f>IF(OR($B752="",AH$7=""),"",IF($B752="MEANS",INDEX('1-DATA'!$1:$1048576,$A751-1,COLUMN('1-DATA'!AG750)),ROUND(INDEX('1-DATA'!$1:$1048576,IF(OR($B752="STD. DEVIATION",$C$1=1),$A752,$A752+1),COLUMN('1-DATA'!AG750)),IF($B752="STD. DEVIATION",2,$F$1))))</f>
        <v/>
      </c>
      <c r="AI752" s="1" t="str">
        <f>IF(OR($B752="",AI$7=""),"",IF($B752="MEANS",INDEX('1-DATA'!$1:$1048576,$A751-1,COLUMN('1-DATA'!AH750)),ROUND(INDEX('1-DATA'!$1:$1048576,IF(OR($B752="STD. DEVIATION",$C$1=1),$A752,$A752+1),COLUMN('1-DATA'!AH750)),IF($B752="STD. DEVIATION",2,$F$1))))</f>
        <v/>
      </c>
      <c r="AJ752" s="1" t="str">
        <f>IF(OR($B752="",AJ$7=""),"",IF($B752="MEANS",INDEX('1-DATA'!$1:$1048576,$A751-1,COLUMN('1-DATA'!AI750)),ROUND(INDEX('1-DATA'!$1:$1048576,IF(OR($B752="STD. DEVIATION",$C$1=1),$A752,$A752+1),COLUMN('1-DATA'!AI750)),IF($B752="STD. DEVIATION",2,$F$1))))</f>
        <v/>
      </c>
      <c r="AK752" s="1" t="str">
        <f>IF(OR($B752="",AK$7=""),"",IF($B752="MEANS",INDEX('1-DATA'!$1:$1048576,$A751-1,COLUMN('1-DATA'!AJ750)),ROUND(INDEX('1-DATA'!$1:$1048576,IF(OR($B752="STD. DEVIATION",$C$1=1),$A752,$A752+1),COLUMN('1-DATA'!AJ750)),IF($B752="STD. DEVIATION",2,$F$1))))</f>
        <v/>
      </c>
      <c r="AL752" s="1" t="str">
        <f>IF(OR($B752="",AL$7=""),"",IF($B752="MEANS",INDEX('1-DATA'!$1:$1048576,$A751-1,COLUMN('1-DATA'!AK750)),ROUND(INDEX('1-DATA'!$1:$1048576,IF(OR($B752="STD. DEVIATION",$C$1=1),$A752,$A752+1),COLUMN('1-DATA'!AK750)),IF($B752="STD. DEVIATION",2,$F$1))))</f>
        <v/>
      </c>
      <c r="AM752" s="1" t="str">
        <f>IF(OR($B752="",AM$7=""),"",IF($B752="MEANS",INDEX('1-DATA'!$1:$1048576,$A751-1,COLUMN('1-DATA'!AL750)),ROUND(INDEX('1-DATA'!$1:$1048576,IF(OR($B752="STD. DEVIATION",$C$1=1),$A752,$A752+1),COLUMN('1-DATA'!AL750)),IF($B752="STD. DEVIATION",2,$F$1))))</f>
        <v/>
      </c>
      <c r="AN752" s="1" t="str">
        <f>IF(OR($B752="",AN$7=""),"",IF($B752="MEANS",INDEX('1-DATA'!$1:$1048576,$A751-1,COLUMN('1-DATA'!AM750)),ROUND(INDEX('1-DATA'!$1:$1048576,IF(OR($B752="STD. DEVIATION",$C$1=1),$A752,$A752+1),COLUMN('1-DATA'!AM750)),IF($B752="STD. DEVIATION",2,$F$1))))</f>
        <v/>
      </c>
      <c r="AO752" s="1" t="str">
        <f>IF(OR($B752="",AO$7=""),"",IF($B752="MEANS",INDEX('1-DATA'!$1:$1048576,$A751-1,COLUMN('1-DATA'!AN750)),ROUND(INDEX('1-DATA'!$1:$1048576,IF(OR($B752="STD. DEVIATION",$C$1=1),$A752,$A752+1),COLUMN('1-DATA'!AN750)),IF($B752="STD. DEVIATION",2,$F$1))))</f>
        <v/>
      </c>
      <c r="AP752" s="1" t="str">
        <f>IF(OR($B752="",AP$7=""),"",IF($B752="MEANS",INDEX('1-DATA'!$1:$1048576,$A751-1,COLUMN('1-DATA'!AO750)),ROUND(INDEX('1-DATA'!$1:$1048576,IF(OR($B752="STD. DEVIATION",$C$1=1),$A752,$A752+1),COLUMN('1-DATA'!AO750)),IF($B752="STD. DEVIATION",2,$F$1))))</f>
        <v/>
      </c>
      <c r="AQ752" s="1" t="str">
        <f>IF(OR($B752="",AQ$7=""),"",IF($B752="MEANS",INDEX('1-DATA'!$1:$1048576,$A751-1,COLUMN('1-DATA'!AP750)),ROUND(INDEX('1-DATA'!$1:$1048576,IF(OR($B752="STD. DEVIATION",$C$1=1),$A752,$A752+1),COLUMN('1-DATA'!AP750)),IF($B752="STD. DEVIATION",2,$F$1))))</f>
        <v/>
      </c>
      <c r="AR752" s="1" t="str">
        <f>IF(OR($B752="",AR$7=""),"",IF($B752="MEANS",INDEX('1-DATA'!$1:$1048576,$A751-1,COLUMN('1-DATA'!AQ750)),ROUND(INDEX('1-DATA'!$1:$1048576,IF(OR($B752="STD. DEVIATION",$C$1=1),$A752,$A752+1),COLUMN('1-DATA'!AQ750)),IF($B752="STD. DEVIATION",2,$F$1))))</f>
        <v/>
      </c>
      <c r="AS752" s="1" t="str">
        <f>IF(OR($B752="",AS$7=""),"",IF($B752="MEANS",INDEX('1-DATA'!$1:$1048576,$A751-1,COLUMN('1-DATA'!AR750)),ROUND(INDEX('1-DATA'!$1:$1048576,IF(OR($B752="STD. DEVIATION",$C$1=1),$A752,$A752+1),COLUMN('1-DATA'!AR750)),IF($B752="STD. DEVIATION",2,$F$1))))</f>
        <v/>
      </c>
      <c r="AT752" s="1" t="str">
        <f>IF(OR($B752="",AT$7=""),"",IF($B752="MEANS",INDEX('1-DATA'!$1:$1048576,$A751-1,COLUMN('1-DATA'!AS750)),ROUND(INDEX('1-DATA'!$1:$1048576,IF(OR($B752="STD. DEVIATION",$C$1=1),$A752,$A752+1),COLUMN('1-DATA'!AS750)),IF($B752="STD. DEVIATION",2,$F$1))))</f>
        <v/>
      </c>
      <c r="AU752" s="1" t="str">
        <f>IF(OR($B752="",AU$7=""),"",IF($B752="MEANS",INDEX('1-DATA'!$1:$1048576,$A751-1,COLUMN('1-DATA'!AT750)),ROUND(INDEX('1-DATA'!$1:$1048576,IF(OR($B752="STD. DEVIATION",$C$1=1),$A752,$A752+1),COLUMN('1-DATA'!AT750)),IF($B752="STD. DEVIATION",2,$F$1))))</f>
        <v/>
      </c>
      <c r="AV752" s="1" t="str">
        <f>IF(OR($B752="",AV$7=""),"",IF($B752="MEANS",INDEX('1-DATA'!$1:$1048576,$A751-1,COLUMN('1-DATA'!AU750)),ROUND(INDEX('1-DATA'!$1:$1048576,IF(OR($B752="STD. DEVIATION",$C$1=1),$A752,$A752+1),COLUMN('1-DATA'!AU750)),IF($B752="STD. DEVIATION",2,$F$1))))</f>
        <v/>
      </c>
      <c r="AW752" s="1" t="str">
        <f>IF(OR($B752="",AW$7=""),"",IF($B752="MEANS",INDEX('1-DATA'!$1:$1048576,$A751-1,COLUMN('1-DATA'!AV750)),ROUND(INDEX('1-DATA'!$1:$1048576,IF(OR($B752="STD. DEVIATION",$C$1=1),$A752,$A752+1),COLUMN('1-DATA'!AV750)),IF($B752="STD. DEVIATION",2,$F$1))))</f>
        <v/>
      </c>
      <c r="AX752" s="1" t="str">
        <f>IF(OR($B752="",AX$7=""),"",IF($B752="MEANS",INDEX('1-DATA'!$1:$1048576,$A751-1,COLUMN('1-DATA'!AW750)),ROUND(INDEX('1-DATA'!$1:$1048576,IF(OR($B752="STD. DEVIATION",$C$1=1),$A752,$A752+1),COLUMN('1-DATA'!AW750)),IF($B752="STD. DEVIATION",2,$F$1))))</f>
        <v/>
      </c>
      <c r="AY752" s="1" t="str">
        <f>IF(OR($B752="",AY$7=""),"",IF($B752="MEANS",INDEX('1-DATA'!$1:$1048576,$A751-1,COLUMN('1-DATA'!AX750)),ROUND(INDEX('1-DATA'!$1:$1048576,IF(OR($B752="STD. DEVIATION",$C$1=1),$A752,$A752+1),COLUMN('1-DATA'!AX750)),IF($B752="STD. DEVIATION",2,$F$1))))</f>
        <v/>
      </c>
      <c r="AZ752" s="1" t="str">
        <f>IF(OR($B752="",AZ$7=""),"",IF($B752="MEANS",INDEX('1-DATA'!$1:$1048576,$A751-1,COLUMN('1-DATA'!AY750)),ROUND(INDEX('1-DATA'!$1:$1048576,IF(OR($B752="STD. DEVIATION",$C$1=1),$A752,$A752+1),COLUMN('1-DATA'!AY750)),IF($B752="STD. DEVIATION",2,$F$1))))</f>
        <v/>
      </c>
    </row>
    <row r="753" spans="1:52" x14ac:dyDescent="0.25">
      <c r="A753" s="11">
        <f t="shared" si="12"/>
        <v>2245</v>
      </c>
      <c r="B753" s="1" t="str">
        <f>IF(B752="STD. DEVIATION",INDEX('1-DATA'!$1:$1048576,$A752-1,1),IF(INDEX('1-DATA'!$1:$1048576,$A753,1)&lt;&gt;"",INDEX('1-DATA'!$1:$1048576,$A753,1),""))</f>
        <v/>
      </c>
      <c r="C753" s="1" t="str">
        <f>IF(OR($B753="",C$7=""),"",IF($B753="MEANS",INDEX('1-DATA'!$1:$1048576,$A752-1,COLUMN('1-DATA'!B751)),ROUND(INDEX('1-DATA'!$1:$1048576,IF(OR($B753="STD. DEVIATION",$C$1=1),$A753,$A753+1),COLUMN('1-DATA'!B751)),IF($B753="STD. DEVIATION",2,$F$1))))</f>
        <v/>
      </c>
      <c r="D753" s="1" t="str">
        <f>IF(OR($B753="",D$7=""),"",IF($B753="MEANS",INDEX('1-DATA'!$1:$1048576,$A752-1,COLUMN('1-DATA'!C751)),ROUND(INDEX('1-DATA'!$1:$1048576,IF(OR($B753="STD. DEVIATION",$C$1=1),$A753,$A753+1),COLUMN('1-DATA'!C751)),IF($B753="STD. DEVIATION",2,$F$1))))</f>
        <v/>
      </c>
      <c r="E753" s="1" t="str">
        <f>IF(OR($B753="",E$7=""),"",IF($B753="MEANS",INDEX('1-DATA'!$1:$1048576,$A752-1,COLUMN('1-DATA'!D751)),ROUND(INDEX('1-DATA'!$1:$1048576,IF(OR($B753="STD. DEVIATION",$C$1=1),$A753,$A753+1),COLUMN('1-DATA'!D751)),IF($B753="STD. DEVIATION",2,$F$1))))</f>
        <v/>
      </c>
      <c r="F753" s="1" t="str">
        <f>IF(OR($B753="",F$7=""),"",IF($B753="MEANS",INDEX('1-DATA'!$1:$1048576,$A752-1,COLUMN('1-DATA'!E751)),ROUND(INDEX('1-DATA'!$1:$1048576,IF(OR($B753="STD. DEVIATION",$C$1=1),$A753,$A753+1),COLUMN('1-DATA'!E751)),IF($B753="STD. DEVIATION",2,$F$1))))</f>
        <v/>
      </c>
      <c r="G753" s="1" t="str">
        <f>IF(OR($B753="",G$7=""),"",IF($B753="MEANS",INDEX('1-DATA'!$1:$1048576,$A752-1,COLUMN('1-DATA'!F751)),ROUND(INDEX('1-DATA'!$1:$1048576,IF(OR($B753="STD. DEVIATION",$C$1=1),$A753,$A753+1),COLUMN('1-DATA'!F751)),IF($B753="STD. DEVIATION",2,$F$1))))</f>
        <v/>
      </c>
      <c r="H753" s="1" t="str">
        <f>IF(OR($B753="",H$7=""),"",IF($B753="MEANS",INDEX('1-DATA'!$1:$1048576,$A752-1,COLUMN('1-DATA'!G751)),ROUND(INDEX('1-DATA'!$1:$1048576,IF(OR($B753="STD. DEVIATION",$C$1=1),$A753,$A753+1),COLUMN('1-DATA'!G751)),IF($B753="STD. DEVIATION",2,$F$1))))</f>
        <v/>
      </c>
      <c r="I753" s="1" t="str">
        <f>IF(OR($B753="",I$7=""),"",IF($B753="MEANS",INDEX('1-DATA'!$1:$1048576,$A752-1,COLUMN('1-DATA'!H751)),ROUND(INDEX('1-DATA'!$1:$1048576,IF(OR($B753="STD. DEVIATION",$C$1=1),$A753,$A753+1),COLUMN('1-DATA'!H751)),IF($B753="STD. DEVIATION",2,$F$1))))</f>
        <v/>
      </c>
      <c r="J753" s="1" t="str">
        <f>IF(OR($B753="",J$7=""),"",IF($B753="MEANS",INDEX('1-DATA'!$1:$1048576,$A752-1,COLUMN('1-DATA'!I751)),ROUND(INDEX('1-DATA'!$1:$1048576,IF(OR($B753="STD. DEVIATION",$C$1=1),$A753,$A753+1),COLUMN('1-DATA'!I751)),IF($B753="STD. DEVIATION",2,$F$1))))</f>
        <v/>
      </c>
      <c r="K753" s="1" t="str">
        <f>IF(OR($B753="",K$7=""),"",IF($B753="MEANS",INDEX('1-DATA'!$1:$1048576,$A752-1,COLUMN('1-DATA'!J751)),ROUND(INDEX('1-DATA'!$1:$1048576,IF(OR($B753="STD. DEVIATION",$C$1=1),$A753,$A753+1),COLUMN('1-DATA'!J751)),IF($B753="STD. DEVIATION",2,$F$1))))</f>
        <v/>
      </c>
      <c r="L753" s="1" t="str">
        <f>IF(OR($B753="",L$7=""),"",IF($B753="MEANS",INDEX('1-DATA'!$1:$1048576,$A752-1,COLUMN('1-DATA'!K751)),ROUND(INDEX('1-DATA'!$1:$1048576,IF(OR($B753="STD. DEVIATION",$C$1=1),$A753,$A753+1),COLUMN('1-DATA'!K751)),IF($B753="STD. DEVIATION",2,$F$1))))</f>
        <v/>
      </c>
      <c r="M753" s="1" t="str">
        <f>IF(OR($B753="",M$7=""),"",IF($B753="MEANS",INDEX('1-DATA'!$1:$1048576,$A752-1,COLUMN('1-DATA'!L751)),ROUND(INDEX('1-DATA'!$1:$1048576,IF(OR($B753="STD. DEVIATION",$C$1=1),$A753,$A753+1),COLUMN('1-DATA'!L751)),IF($B753="STD. DEVIATION",2,$F$1))))</f>
        <v/>
      </c>
      <c r="N753" s="1" t="str">
        <f>IF(OR($B753="",N$7=""),"",IF($B753="MEANS",INDEX('1-DATA'!$1:$1048576,$A752-1,COLUMN('1-DATA'!M751)),ROUND(INDEX('1-DATA'!$1:$1048576,IF(OR($B753="STD. DEVIATION",$C$1=1),$A753,$A753+1),COLUMN('1-DATA'!M751)),IF($B753="STD. DEVIATION",2,$F$1))))</f>
        <v/>
      </c>
      <c r="O753" s="1" t="str">
        <f>IF(OR($B753="",O$7=""),"",IF($B753="MEANS",INDEX('1-DATA'!$1:$1048576,$A752-1,COLUMN('1-DATA'!N751)),ROUND(INDEX('1-DATA'!$1:$1048576,IF(OR($B753="STD. DEVIATION",$C$1=1),$A753,$A753+1),COLUMN('1-DATA'!N751)),IF($B753="STD. DEVIATION",2,$F$1))))</f>
        <v/>
      </c>
      <c r="P753" s="1" t="str">
        <f>IF(OR($B753="",P$7=""),"",IF($B753="MEANS",INDEX('1-DATA'!$1:$1048576,$A752-1,COLUMN('1-DATA'!O751)),ROUND(INDEX('1-DATA'!$1:$1048576,IF(OR($B753="STD. DEVIATION",$C$1=1),$A753,$A753+1),COLUMN('1-DATA'!O751)),IF($B753="STD. DEVIATION",2,$F$1))))</f>
        <v/>
      </c>
      <c r="Q753" s="1" t="str">
        <f>IF(OR($B753="",Q$7=""),"",IF($B753="MEANS",INDEX('1-DATA'!$1:$1048576,$A752-1,COLUMN('1-DATA'!P751)),ROUND(INDEX('1-DATA'!$1:$1048576,IF(OR($B753="STD. DEVIATION",$C$1=1),$A753,$A753+1),COLUMN('1-DATA'!P751)),IF($B753="STD. DEVIATION",2,$F$1))))</f>
        <v/>
      </c>
      <c r="R753" s="1" t="str">
        <f>IF(OR($B753="",R$7=""),"",IF($B753="MEANS",INDEX('1-DATA'!$1:$1048576,$A752-1,COLUMN('1-DATA'!Q751)),ROUND(INDEX('1-DATA'!$1:$1048576,IF(OR($B753="STD. DEVIATION",$C$1=1),$A753,$A753+1),COLUMN('1-DATA'!Q751)),IF($B753="STD. DEVIATION",2,$F$1))))</f>
        <v/>
      </c>
      <c r="S753" s="1" t="str">
        <f>IF(OR($B753="",S$7=""),"",IF($B753="MEANS",INDEX('1-DATA'!$1:$1048576,$A752-1,COLUMN('1-DATA'!R751)),ROUND(INDEX('1-DATA'!$1:$1048576,IF(OR($B753="STD. DEVIATION",$C$1=1),$A753,$A753+1),COLUMN('1-DATA'!R751)),IF($B753="STD. DEVIATION",2,$F$1))))</f>
        <v/>
      </c>
      <c r="T753" s="1" t="str">
        <f>IF(OR($B753="",T$7=""),"",IF($B753="MEANS",INDEX('1-DATA'!$1:$1048576,$A752-1,COLUMN('1-DATA'!S751)),ROUND(INDEX('1-DATA'!$1:$1048576,IF(OR($B753="STD. DEVIATION",$C$1=1),$A753,$A753+1),COLUMN('1-DATA'!S751)),IF($B753="STD. DEVIATION",2,$F$1))))</f>
        <v/>
      </c>
      <c r="U753" s="1" t="str">
        <f>IF(OR($B753="",U$7=""),"",IF($B753="MEANS",INDEX('1-DATA'!$1:$1048576,$A752-1,COLUMN('1-DATA'!T751)),ROUND(INDEX('1-DATA'!$1:$1048576,IF(OR($B753="STD. DEVIATION",$C$1=1),$A753,$A753+1),COLUMN('1-DATA'!T751)),IF($B753="STD. DEVIATION",2,$F$1))))</f>
        <v/>
      </c>
      <c r="V753" s="1" t="str">
        <f>IF(OR($B753="",V$7=""),"",IF($B753="MEANS",INDEX('1-DATA'!$1:$1048576,$A752-1,COLUMN('1-DATA'!U751)),ROUND(INDEX('1-DATA'!$1:$1048576,IF(OR($B753="STD. DEVIATION",$C$1=1),$A753,$A753+1),COLUMN('1-DATA'!U751)),IF($B753="STD. DEVIATION",2,$F$1))))</f>
        <v/>
      </c>
      <c r="W753" s="1" t="str">
        <f>IF(OR($B753="",W$7=""),"",IF($B753="MEANS",INDEX('1-DATA'!$1:$1048576,$A752-1,COLUMN('1-DATA'!V751)),ROUND(INDEX('1-DATA'!$1:$1048576,IF(OR($B753="STD. DEVIATION",$C$1=1),$A753,$A753+1),COLUMN('1-DATA'!V751)),IF($B753="STD. DEVIATION",2,$F$1))))</f>
        <v/>
      </c>
      <c r="X753" s="1" t="str">
        <f>IF(OR($B753="",X$7=""),"",IF($B753="MEANS",INDEX('1-DATA'!$1:$1048576,$A752-1,COLUMN('1-DATA'!W751)),ROUND(INDEX('1-DATA'!$1:$1048576,IF(OR($B753="STD. DEVIATION",$C$1=1),$A753,$A753+1),COLUMN('1-DATA'!W751)),IF($B753="STD. DEVIATION",2,$F$1))))</f>
        <v/>
      </c>
      <c r="Y753" s="1" t="str">
        <f>IF(OR($B753="",Y$7=""),"",IF($B753="MEANS",INDEX('1-DATA'!$1:$1048576,$A752-1,COLUMN('1-DATA'!X751)),ROUND(INDEX('1-DATA'!$1:$1048576,IF(OR($B753="STD. DEVIATION",$C$1=1),$A753,$A753+1),COLUMN('1-DATA'!X751)),IF($B753="STD. DEVIATION",2,$F$1))))</f>
        <v/>
      </c>
      <c r="Z753" s="1" t="str">
        <f>IF(OR($B753="",Z$7=""),"",IF($B753="MEANS",INDEX('1-DATA'!$1:$1048576,$A752-1,COLUMN('1-DATA'!Y751)),ROUND(INDEX('1-DATA'!$1:$1048576,IF(OR($B753="STD. DEVIATION",$C$1=1),$A753,$A753+1),COLUMN('1-DATA'!Y751)),IF($B753="STD. DEVIATION",2,$F$1))))</f>
        <v/>
      </c>
      <c r="AA753" s="1" t="str">
        <f>IF(OR($B753="",AA$7=""),"",IF($B753="MEANS",INDEX('1-DATA'!$1:$1048576,$A752-1,COLUMN('1-DATA'!Z751)),ROUND(INDEX('1-DATA'!$1:$1048576,IF(OR($B753="STD. DEVIATION",$C$1=1),$A753,$A753+1),COLUMN('1-DATA'!Z751)),IF($B753="STD. DEVIATION",2,$F$1))))</f>
        <v/>
      </c>
      <c r="AB753" s="1" t="str">
        <f>IF(OR($B753="",AB$7=""),"",IF($B753="MEANS",INDEX('1-DATA'!$1:$1048576,$A752-1,COLUMN('1-DATA'!AA751)),ROUND(INDEX('1-DATA'!$1:$1048576,IF(OR($B753="STD. DEVIATION",$C$1=1),$A753,$A753+1),COLUMN('1-DATA'!AA751)),IF($B753="STD. DEVIATION",2,$F$1))))</f>
        <v/>
      </c>
      <c r="AC753" s="1" t="str">
        <f>IF(OR($B753="",AC$7=""),"",IF($B753="MEANS",INDEX('1-DATA'!$1:$1048576,$A752-1,COLUMN('1-DATA'!AB751)),ROUND(INDEX('1-DATA'!$1:$1048576,IF(OR($B753="STD. DEVIATION",$C$1=1),$A753,$A753+1),COLUMN('1-DATA'!AB751)),IF($B753="STD. DEVIATION",2,$F$1))))</f>
        <v/>
      </c>
      <c r="AD753" s="1" t="str">
        <f>IF(OR($B753="",AD$7=""),"",IF($B753="MEANS",INDEX('1-DATA'!$1:$1048576,$A752-1,COLUMN('1-DATA'!AC751)),ROUND(INDEX('1-DATA'!$1:$1048576,IF(OR($B753="STD. DEVIATION",$C$1=1),$A753,$A753+1),COLUMN('1-DATA'!AC751)),IF($B753="STD. DEVIATION",2,$F$1))))</f>
        <v/>
      </c>
      <c r="AE753" s="1" t="str">
        <f>IF(OR($B753="",AE$7=""),"",IF($B753="MEANS",INDEX('1-DATA'!$1:$1048576,$A752-1,COLUMN('1-DATA'!AD751)),ROUND(INDEX('1-DATA'!$1:$1048576,IF(OR($B753="STD. DEVIATION",$C$1=1),$A753,$A753+1),COLUMN('1-DATA'!AD751)),IF($B753="STD. DEVIATION",2,$F$1))))</f>
        <v/>
      </c>
      <c r="AF753" s="1" t="str">
        <f>IF(OR($B753="",AF$7=""),"",IF($B753="MEANS",INDEX('1-DATA'!$1:$1048576,$A752-1,COLUMN('1-DATA'!AE751)),ROUND(INDEX('1-DATA'!$1:$1048576,IF(OR($B753="STD. DEVIATION",$C$1=1),$A753,$A753+1),COLUMN('1-DATA'!AE751)),IF($B753="STD. DEVIATION",2,$F$1))))</f>
        <v/>
      </c>
      <c r="AG753" s="1" t="str">
        <f>IF(OR($B753="",AG$7=""),"",IF($B753="MEANS",INDEX('1-DATA'!$1:$1048576,$A752-1,COLUMN('1-DATA'!AF751)),ROUND(INDEX('1-DATA'!$1:$1048576,IF(OR($B753="STD. DEVIATION",$C$1=1),$A753,$A753+1),COLUMN('1-DATA'!AF751)),IF($B753="STD. DEVIATION",2,$F$1))))</f>
        <v/>
      </c>
      <c r="AH753" s="1" t="str">
        <f>IF(OR($B753="",AH$7=""),"",IF($B753="MEANS",INDEX('1-DATA'!$1:$1048576,$A752-1,COLUMN('1-DATA'!AG751)),ROUND(INDEX('1-DATA'!$1:$1048576,IF(OR($B753="STD. DEVIATION",$C$1=1),$A753,$A753+1),COLUMN('1-DATA'!AG751)),IF($B753="STD. DEVIATION",2,$F$1))))</f>
        <v/>
      </c>
      <c r="AI753" s="1" t="str">
        <f>IF(OR($B753="",AI$7=""),"",IF($B753="MEANS",INDEX('1-DATA'!$1:$1048576,$A752-1,COLUMN('1-DATA'!AH751)),ROUND(INDEX('1-DATA'!$1:$1048576,IF(OR($B753="STD. DEVIATION",$C$1=1),$A753,$A753+1),COLUMN('1-DATA'!AH751)),IF($B753="STD. DEVIATION",2,$F$1))))</f>
        <v/>
      </c>
      <c r="AJ753" s="1" t="str">
        <f>IF(OR($B753="",AJ$7=""),"",IF($B753="MEANS",INDEX('1-DATA'!$1:$1048576,$A752-1,COLUMN('1-DATA'!AI751)),ROUND(INDEX('1-DATA'!$1:$1048576,IF(OR($B753="STD. DEVIATION",$C$1=1),$A753,$A753+1),COLUMN('1-DATA'!AI751)),IF($B753="STD. DEVIATION",2,$F$1))))</f>
        <v/>
      </c>
      <c r="AK753" s="1" t="str">
        <f>IF(OR($B753="",AK$7=""),"",IF($B753="MEANS",INDEX('1-DATA'!$1:$1048576,$A752-1,COLUMN('1-DATA'!AJ751)),ROUND(INDEX('1-DATA'!$1:$1048576,IF(OR($B753="STD. DEVIATION",$C$1=1),$A753,$A753+1),COLUMN('1-DATA'!AJ751)),IF($B753="STD. DEVIATION",2,$F$1))))</f>
        <v/>
      </c>
      <c r="AL753" s="1" t="str">
        <f>IF(OR($B753="",AL$7=""),"",IF($B753="MEANS",INDEX('1-DATA'!$1:$1048576,$A752-1,COLUMN('1-DATA'!AK751)),ROUND(INDEX('1-DATA'!$1:$1048576,IF(OR($B753="STD. DEVIATION",$C$1=1),$A753,$A753+1),COLUMN('1-DATA'!AK751)),IF($B753="STD. DEVIATION",2,$F$1))))</f>
        <v/>
      </c>
      <c r="AM753" s="1" t="str">
        <f>IF(OR($B753="",AM$7=""),"",IF($B753="MEANS",INDEX('1-DATA'!$1:$1048576,$A752-1,COLUMN('1-DATA'!AL751)),ROUND(INDEX('1-DATA'!$1:$1048576,IF(OR($B753="STD. DEVIATION",$C$1=1),$A753,$A753+1),COLUMN('1-DATA'!AL751)),IF($B753="STD. DEVIATION",2,$F$1))))</f>
        <v/>
      </c>
      <c r="AN753" s="1" t="str">
        <f>IF(OR($B753="",AN$7=""),"",IF($B753="MEANS",INDEX('1-DATA'!$1:$1048576,$A752-1,COLUMN('1-DATA'!AM751)),ROUND(INDEX('1-DATA'!$1:$1048576,IF(OR($B753="STD. DEVIATION",$C$1=1),$A753,$A753+1),COLUMN('1-DATA'!AM751)),IF($B753="STD. DEVIATION",2,$F$1))))</f>
        <v/>
      </c>
      <c r="AO753" s="1" t="str">
        <f>IF(OR($B753="",AO$7=""),"",IF($B753="MEANS",INDEX('1-DATA'!$1:$1048576,$A752-1,COLUMN('1-DATA'!AN751)),ROUND(INDEX('1-DATA'!$1:$1048576,IF(OR($B753="STD. DEVIATION",$C$1=1),$A753,$A753+1),COLUMN('1-DATA'!AN751)),IF($B753="STD. DEVIATION",2,$F$1))))</f>
        <v/>
      </c>
      <c r="AP753" s="1" t="str">
        <f>IF(OR($B753="",AP$7=""),"",IF($B753="MEANS",INDEX('1-DATA'!$1:$1048576,$A752-1,COLUMN('1-DATA'!AO751)),ROUND(INDEX('1-DATA'!$1:$1048576,IF(OR($B753="STD. DEVIATION",$C$1=1),$A753,$A753+1),COLUMN('1-DATA'!AO751)),IF($B753="STD. DEVIATION",2,$F$1))))</f>
        <v/>
      </c>
      <c r="AQ753" s="1" t="str">
        <f>IF(OR($B753="",AQ$7=""),"",IF($B753="MEANS",INDEX('1-DATA'!$1:$1048576,$A752-1,COLUMN('1-DATA'!AP751)),ROUND(INDEX('1-DATA'!$1:$1048576,IF(OR($B753="STD. DEVIATION",$C$1=1),$A753,$A753+1),COLUMN('1-DATA'!AP751)),IF($B753="STD. DEVIATION",2,$F$1))))</f>
        <v/>
      </c>
      <c r="AR753" s="1" t="str">
        <f>IF(OR($B753="",AR$7=""),"",IF($B753="MEANS",INDEX('1-DATA'!$1:$1048576,$A752-1,COLUMN('1-DATA'!AQ751)),ROUND(INDEX('1-DATA'!$1:$1048576,IF(OR($B753="STD. DEVIATION",$C$1=1),$A753,$A753+1),COLUMN('1-DATA'!AQ751)),IF($B753="STD. DEVIATION",2,$F$1))))</f>
        <v/>
      </c>
      <c r="AS753" s="1" t="str">
        <f>IF(OR($B753="",AS$7=""),"",IF($B753="MEANS",INDEX('1-DATA'!$1:$1048576,$A752-1,COLUMN('1-DATA'!AR751)),ROUND(INDEX('1-DATA'!$1:$1048576,IF(OR($B753="STD. DEVIATION",$C$1=1),$A753,$A753+1),COLUMN('1-DATA'!AR751)),IF($B753="STD. DEVIATION",2,$F$1))))</f>
        <v/>
      </c>
      <c r="AT753" s="1" t="str">
        <f>IF(OR($B753="",AT$7=""),"",IF($B753="MEANS",INDEX('1-DATA'!$1:$1048576,$A752-1,COLUMN('1-DATA'!AS751)),ROUND(INDEX('1-DATA'!$1:$1048576,IF(OR($B753="STD. DEVIATION",$C$1=1),$A753,$A753+1),COLUMN('1-DATA'!AS751)),IF($B753="STD. DEVIATION",2,$F$1))))</f>
        <v/>
      </c>
      <c r="AU753" s="1" t="str">
        <f>IF(OR($B753="",AU$7=""),"",IF($B753="MEANS",INDEX('1-DATA'!$1:$1048576,$A752-1,COLUMN('1-DATA'!AT751)),ROUND(INDEX('1-DATA'!$1:$1048576,IF(OR($B753="STD. DEVIATION",$C$1=1),$A753,$A753+1),COLUMN('1-DATA'!AT751)),IF($B753="STD. DEVIATION",2,$F$1))))</f>
        <v/>
      </c>
      <c r="AV753" s="1" t="str">
        <f>IF(OR($B753="",AV$7=""),"",IF($B753="MEANS",INDEX('1-DATA'!$1:$1048576,$A752-1,COLUMN('1-DATA'!AU751)),ROUND(INDEX('1-DATA'!$1:$1048576,IF(OR($B753="STD. DEVIATION",$C$1=1),$A753,$A753+1),COLUMN('1-DATA'!AU751)),IF($B753="STD. DEVIATION",2,$F$1))))</f>
        <v/>
      </c>
      <c r="AW753" s="1" t="str">
        <f>IF(OR($B753="",AW$7=""),"",IF($B753="MEANS",INDEX('1-DATA'!$1:$1048576,$A752-1,COLUMN('1-DATA'!AV751)),ROUND(INDEX('1-DATA'!$1:$1048576,IF(OR($B753="STD. DEVIATION",$C$1=1),$A753,$A753+1),COLUMN('1-DATA'!AV751)),IF($B753="STD. DEVIATION",2,$F$1))))</f>
        <v/>
      </c>
      <c r="AX753" s="1" t="str">
        <f>IF(OR($B753="",AX$7=""),"",IF($B753="MEANS",INDEX('1-DATA'!$1:$1048576,$A752-1,COLUMN('1-DATA'!AW751)),ROUND(INDEX('1-DATA'!$1:$1048576,IF(OR($B753="STD. DEVIATION",$C$1=1),$A753,$A753+1),COLUMN('1-DATA'!AW751)),IF($B753="STD. DEVIATION",2,$F$1))))</f>
        <v/>
      </c>
      <c r="AY753" s="1" t="str">
        <f>IF(OR($B753="",AY$7=""),"",IF($B753="MEANS",INDEX('1-DATA'!$1:$1048576,$A752-1,COLUMN('1-DATA'!AX751)),ROUND(INDEX('1-DATA'!$1:$1048576,IF(OR($B753="STD. DEVIATION",$C$1=1),$A753,$A753+1),COLUMN('1-DATA'!AX751)),IF($B753="STD. DEVIATION",2,$F$1))))</f>
        <v/>
      </c>
      <c r="AZ753" s="1" t="str">
        <f>IF(OR($B753="",AZ$7=""),"",IF($B753="MEANS",INDEX('1-DATA'!$1:$1048576,$A752-1,COLUMN('1-DATA'!AY751)),ROUND(INDEX('1-DATA'!$1:$1048576,IF(OR($B753="STD. DEVIATION",$C$1=1),$A753,$A753+1),COLUMN('1-DATA'!AY751)),IF($B753="STD. DEVIATION",2,$F$1))))</f>
        <v/>
      </c>
    </row>
    <row r="754" spans="1:52" x14ac:dyDescent="0.25">
      <c r="A754" s="11">
        <f t="shared" si="12"/>
        <v>2248</v>
      </c>
      <c r="B754" s="1" t="str">
        <f>IF(B753="STD. DEVIATION",INDEX('1-DATA'!$1:$1048576,$A753-1,1),IF(INDEX('1-DATA'!$1:$1048576,$A754,1)&lt;&gt;"",INDEX('1-DATA'!$1:$1048576,$A754,1),""))</f>
        <v/>
      </c>
      <c r="C754" s="1" t="str">
        <f>IF(OR($B754="",C$7=""),"",IF($B754="MEANS",INDEX('1-DATA'!$1:$1048576,$A753-1,COLUMN('1-DATA'!B752)),ROUND(INDEX('1-DATA'!$1:$1048576,IF(OR($B754="STD. DEVIATION",$C$1=1),$A754,$A754+1),COLUMN('1-DATA'!B752)),IF($B754="STD. DEVIATION",2,$F$1))))</f>
        <v/>
      </c>
      <c r="D754" s="1" t="str">
        <f>IF(OR($B754="",D$7=""),"",IF($B754="MEANS",INDEX('1-DATA'!$1:$1048576,$A753-1,COLUMN('1-DATA'!C752)),ROUND(INDEX('1-DATA'!$1:$1048576,IF(OR($B754="STD. DEVIATION",$C$1=1),$A754,$A754+1),COLUMN('1-DATA'!C752)),IF($B754="STD. DEVIATION",2,$F$1))))</f>
        <v/>
      </c>
      <c r="E754" s="1" t="str">
        <f>IF(OR($B754="",E$7=""),"",IF($B754="MEANS",INDEX('1-DATA'!$1:$1048576,$A753-1,COLUMN('1-DATA'!D752)),ROUND(INDEX('1-DATA'!$1:$1048576,IF(OR($B754="STD. DEVIATION",$C$1=1),$A754,$A754+1),COLUMN('1-DATA'!D752)),IF($B754="STD. DEVIATION",2,$F$1))))</f>
        <v/>
      </c>
      <c r="F754" s="1" t="str">
        <f>IF(OR($B754="",F$7=""),"",IF($B754="MEANS",INDEX('1-DATA'!$1:$1048576,$A753-1,COLUMN('1-DATA'!E752)),ROUND(INDEX('1-DATA'!$1:$1048576,IF(OR($B754="STD. DEVIATION",$C$1=1),$A754,$A754+1),COLUMN('1-DATA'!E752)),IF($B754="STD. DEVIATION",2,$F$1))))</f>
        <v/>
      </c>
      <c r="G754" s="1" t="str">
        <f>IF(OR($B754="",G$7=""),"",IF($B754="MEANS",INDEX('1-DATA'!$1:$1048576,$A753-1,COLUMN('1-DATA'!F752)),ROUND(INDEX('1-DATA'!$1:$1048576,IF(OR($B754="STD. DEVIATION",$C$1=1),$A754,$A754+1),COLUMN('1-DATA'!F752)),IF($B754="STD. DEVIATION",2,$F$1))))</f>
        <v/>
      </c>
      <c r="H754" s="1" t="str">
        <f>IF(OR($B754="",H$7=""),"",IF($B754="MEANS",INDEX('1-DATA'!$1:$1048576,$A753-1,COLUMN('1-DATA'!G752)),ROUND(INDEX('1-DATA'!$1:$1048576,IF(OR($B754="STD. DEVIATION",$C$1=1),$A754,$A754+1),COLUMN('1-DATA'!G752)),IF($B754="STD. DEVIATION",2,$F$1))))</f>
        <v/>
      </c>
      <c r="I754" s="1" t="str">
        <f>IF(OR($B754="",I$7=""),"",IF($B754="MEANS",INDEX('1-DATA'!$1:$1048576,$A753-1,COLUMN('1-DATA'!H752)),ROUND(INDEX('1-DATA'!$1:$1048576,IF(OR($B754="STD. DEVIATION",$C$1=1),$A754,$A754+1),COLUMN('1-DATA'!H752)),IF($B754="STD. DEVIATION",2,$F$1))))</f>
        <v/>
      </c>
      <c r="J754" s="1" t="str">
        <f>IF(OR($B754="",J$7=""),"",IF($B754="MEANS",INDEX('1-DATA'!$1:$1048576,$A753-1,COLUMN('1-DATA'!I752)),ROUND(INDEX('1-DATA'!$1:$1048576,IF(OR($B754="STD. DEVIATION",$C$1=1),$A754,$A754+1),COLUMN('1-DATA'!I752)),IF($B754="STD. DEVIATION",2,$F$1))))</f>
        <v/>
      </c>
      <c r="K754" s="1" t="str">
        <f>IF(OR($B754="",K$7=""),"",IF($B754="MEANS",INDEX('1-DATA'!$1:$1048576,$A753-1,COLUMN('1-DATA'!J752)),ROUND(INDEX('1-DATA'!$1:$1048576,IF(OR($B754="STD. DEVIATION",$C$1=1),$A754,$A754+1),COLUMN('1-DATA'!J752)),IF($B754="STD. DEVIATION",2,$F$1))))</f>
        <v/>
      </c>
      <c r="L754" s="1" t="str">
        <f>IF(OR($B754="",L$7=""),"",IF($B754="MEANS",INDEX('1-DATA'!$1:$1048576,$A753-1,COLUMN('1-DATA'!K752)),ROUND(INDEX('1-DATA'!$1:$1048576,IF(OR($B754="STD. DEVIATION",$C$1=1),$A754,$A754+1),COLUMN('1-DATA'!K752)),IF($B754="STD. DEVIATION",2,$F$1))))</f>
        <v/>
      </c>
      <c r="M754" s="1" t="str">
        <f>IF(OR($B754="",M$7=""),"",IF($B754="MEANS",INDEX('1-DATA'!$1:$1048576,$A753-1,COLUMN('1-DATA'!L752)),ROUND(INDEX('1-DATA'!$1:$1048576,IF(OR($B754="STD. DEVIATION",$C$1=1),$A754,$A754+1),COLUMN('1-DATA'!L752)),IF($B754="STD. DEVIATION",2,$F$1))))</f>
        <v/>
      </c>
      <c r="N754" s="1" t="str">
        <f>IF(OR($B754="",N$7=""),"",IF($B754="MEANS",INDEX('1-DATA'!$1:$1048576,$A753-1,COLUMN('1-DATA'!M752)),ROUND(INDEX('1-DATA'!$1:$1048576,IF(OR($B754="STD. DEVIATION",$C$1=1),$A754,$A754+1),COLUMN('1-DATA'!M752)),IF($B754="STD. DEVIATION",2,$F$1))))</f>
        <v/>
      </c>
      <c r="O754" s="1" t="str">
        <f>IF(OR($B754="",O$7=""),"",IF($B754="MEANS",INDEX('1-DATA'!$1:$1048576,$A753-1,COLUMN('1-DATA'!N752)),ROUND(INDEX('1-DATA'!$1:$1048576,IF(OR($B754="STD. DEVIATION",$C$1=1),$A754,$A754+1),COLUMN('1-DATA'!N752)),IF($B754="STD. DEVIATION",2,$F$1))))</f>
        <v/>
      </c>
      <c r="P754" s="1" t="str">
        <f>IF(OR($B754="",P$7=""),"",IF($B754="MEANS",INDEX('1-DATA'!$1:$1048576,$A753-1,COLUMN('1-DATA'!O752)),ROUND(INDEX('1-DATA'!$1:$1048576,IF(OR($B754="STD. DEVIATION",$C$1=1),$A754,$A754+1),COLUMN('1-DATA'!O752)),IF($B754="STD. DEVIATION",2,$F$1))))</f>
        <v/>
      </c>
      <c r="Q754" s="1" t="str">
        <f>IF(OR($B754="",Q$7=""),"",IF($B754="MEANS",INDEX('1-DATA'!$1:$1048576,$A753-1,COLUMN('1-DATA'!P752)),ROUND(INDEX('1-DATA'!$1:$1048576,IF(OR($B754="STD. DEVIATION",$C$1=1),$A754,$A754+1),COLUMN('1-DATA'!P752)),IF($B754="STD. DEVIATION",2,$F$1))))</f>
        <v/>
      </c>
      <c r="R754" s="1" t="str">
        <f>IF(OR($B754="",R$7=""),"",IF($B754="MEANS",INDEX('1-DATA'!$1:$1048576,$A753-1,COLUMN('1-DATA'!Q752)),ROUND(INDEX('1-DATA'!$1:$1048576,IF(OR($B754="STD. DEVIATION",$C$1=1),$A754,$A754+1),COLUMN('1-DATA'!Q752)),IF($B754="STD. DEVIATION",2,$F$1))))</f>
        <v/>
      </c>
      <c r="S754" s="1" t="str">
        <f>IF(OR($B754="",S$7=""),"",IF($B754="MEANS",INDEX('1-DATA'!$1:$1048576,$A753-1,COLUMN('1-DATA'!R752)),ROUND(INDEX('1-DATA'!$1:$1048576,IF(OR($B754="STD. DEVIATION",$C$1=1),$A754,$A754+1),COLUMN('1-DATA'!R752)),IF($B754="STD. DEVIATION",2,$F$1))))</f>
        <v/>
      </c>
      <c r="T754" s="1" t="str">
        <f>IF(OR($B754="",T$7=""),"",IF($B754="MEANS",INDEX('1-DATA'!$1:$1048576,$A753-1,COLUMN('1-DATA'!S752)),ROUND(INDEX('1-DATA'!$1:$1048576,IF(OR($B754="STD. DEVIATION",$C$1=1),$A754,$A754+1),COLUMN('1-DATA'!S752)),IF($B754="STD. DEVIATION",2,$F$1))))</f>
        <v/>
      </c>
      <c r="U754" s="1" t="str">
        <f>IF(OR($B754="",U$7=""),"",IF($B754="MEANS",INDEX('1-DATA'!$1:$1048576,$A753-1,COLUMN('1-DATA'!T752)),ROUND(INDEX('1-DATA'!$1:$1048576,IF(OR($B754="STD. DEVIATION",$C$1=1),$A754,$A754+1),COLUMN('1-DATA'!T752)),IF($B754="STD. DEVIATION",2,$F$1))))</f>
        <v/>
      </c>
      <c r="V754" s="1" t="str">
        <f>IF(OR($B754="",V$7=""),"",IF($B754="MEANS",INDEX('1-DATA'!$1:$1048576,$A753-1,COLUMN('1-DATA'!U752)),ROUND(INDEX('1-DATA'!$1:$1048576,IF(OR($B754="STD. DEVIATION",$C$1=1),$A754,$A754+1),COLUMN('1-DATA'!U752)),IF($B754="STD. DEVIATION",2,$F$1))))</f>
        <v/>
      </c>
      <c r="W754" s="1" t="str">
        <f>IF(OR($B754="",W$7=""),"",IF($B754="MEANS",INDEX('1-DATA'!$1:$1048576,$A753-1,COLUMN('1-DATA'!V752)),ROUND(INDEX('1-DATA'!$1:$1048576,IF(OR($B754="STD. DEVIATION",$C$1=1),$A754,$A754+1),COLUMN('1-DATA'!V752)),IF($B754="STD. DEVIATION",2,$F$1))))</f>
        <v/>
      </c>
      <c r="X754" s="1" t="str">
        <f>IF(OR($B754="",X$7=""),"",IF($B754="MEANS",INDEX('1-DATA'!$1:$1048576,$A753-1,COLUMN('1-DATA'!W752)),ROUND(INDEX('1-DATA'!$1:$1048576,IF(OR($B754="STD. DEVIATION",$C$1=1),$A754,$A754+1),COLUMN('1-DATA'!W752)),IF($B754="STD. DEVIATION",2,$F$1))))</f>
        <v/>
      </c>
      <c r="Y754" s="1" t="str">
        <f>IF(OR($B754="",Y$7=""),"",IF($B754="MEANS",INDEX('1-DATA'!$1:$1048576,$A753-1,COLUMN('1-DATA'!X752)),ROUND(INDEX('1-DATA'!$1:$1048576,IF(OR($B754="STD. DEVIATION",$C$1=1),$A754,$A754+1),COLUMN('1-DATA'!X752)),IF($B754="STD. DEVIATION",2,$F$1))))</f>
        <v/>
      </c>
      <c r="Z754" s="1" t="str">
        <f>IF(OR($B754="",Z$7=""),"",IF($B754="MEANS",INDEX('1-DATA'!$1:$1048576,$A753-1,COLUMN('1-DATA'!Y752)),ROUND(INDEX('1-DATA'!$1:$1048576,IF(OR($B754="STD. DEVIATION",$C$1=1),$A754,$A754+1),COLUMN('1-DATA'!Y752)),IF($B754="STD. DEVIATION",2,$F$1))))</f>
        <v/>
      </c>
      <c r="AA754" s="1" t="str">
        <f>IF(OR($B754="",AA$7=""),"",IF($B754="MEANS",INDEX('1-DATA'!$1:$1048576,$A753-1,COLUMN('1-DATA'!Z752)),ROUND(INDEX('1-DATA'!$1:$1048576,IF(OR($B754="STD. DEVIATION",$C$1=1),$A754,$A754+1),COLUMN('1-DATA'!Z752)),IF($B754="STD. DEVIATION",2,$F$1))))</f>
        <v/>
      </c>
      <c r="AB754" s="1" t="str">
        <f>IF(OR($B754="",AB$7=""),"",IF($B754="MEANS",INDEX('1-DATA'!$1:$1048576,$A753-1,COLUMN('1-DATA'!AA752)),ROUND(INDEX('1-DATA'!$1:$1048576,IF(OR($B754="STD. DEVIATION",$C$1=1),$A754,$A754+1),COLUMN('1-DATA'!AA752)),IF($B754="STD. DEVIATION",2,$F$1))))</f>
        <v/>
      </c>
      <c r="AC754" s="1" t="str">
        <f>IF(OR($B754="",AC$7=""),"",IF($B754="MEANS",INDEX('1-DATA'!$1:$1048576,$A753-1,COLUMN('1-DATA'!AB752)),ROUND(INDEX('1-DATA'!$1:$1048576,IF(OR($B754="STD. DEVIATION",$C$1=1),$A754,$A754+1),COLUMN('1-DATA'!AB752)),IF($B754="STD. DEVIATION",2,$F$1))))</f>
        <v/>
      </c>
      <c r="AD754" s="1" t="str">
        <f>IF(OR($B754="",AD$7=""),"",IF($B754="MEANS",INDEX('1-DATA'!$1:$1048576,$A753-1,COLUMN('1-DATA'!AC752)),ROUND(INDEX('1-DATA'!$1:$1048576,IF(OR($B754="STD. DEVIATION",$C$1=1),$A754,$A754+1),COLUMN('1-DATA'!AC752)),IF($B754="STD. DEVIATION",2,$F$1))))</f>
        <v/>
      </c>
      <c r="AE754" s="1" t="str">
        <f>IF(OR($B754="",AE$7=""),"",IF($B754="MEANS",INDEX('1-DATA'!$1:$1048576,$A753-1,COLUMN('1-DATA'!AD752)),ROUND(INDEX('1-DATA'!$1:$1048576,IF(OR($B754="STD. DEVIATION",$C$1=1),$A754,$A754+1),COLUMN('1-DATA'!AD752)),IF($B754="STD. DEVIATION",2,$F$1))))</f>
        <v/>
      </c>
      <c r="AF754" s="1" t="str">
        <f>IF(OR($B754="",AF$7=""),"",IF($B754="MEANS",INDEX('1-DATA'!$1:$1048576,$A753-1,COLUMN('1-DATA'!AE752)),ROUND(INDEX('1-DATA'!$1:$1048576,IF(OR($B754="STD. DEVIATION",$C$1=1),$A754,$A754+1),COLUMN('1-DATA'!AE752)),IF($B754="STD. DEVIATION",2,$F$1))))</f>
        <v/>
      </c>
      <c r="AG754" s="1" t="str">
        <f>IF(OR($B754="",AG$7=""),"",IF($B754="MEANS",INDEX('1-DATA'!$1:$1048576,$A753-1,COLUMN('1-DATA'!AF752)),ROUND(INDEX('1-DATA'!$1:$1048576,IF(OR($B754="STD. DEVIATION",$C$1=1),$A754,$A754+1),COLUMN('1-DATA'!AF752)),IF($B754="STD. DEVIATION",2,$F$1))))</f>
        <v/>
      </c>
      <c r="AH754" s="1" t="str">
        <f>IF(OR($B754="",AH$7=""),"",IF($B754="MEANS",INDEX('1-DATA'!$1:$1048576,$A753-1,COLUMN('1-DATA'!AG752)),ROUND(INDEX('1-DATA'!$1:$1048576,IF(OR($B754="STD. DEVIATION",$C$1=1),$A754,$A754+1),COLUMN('1-DATA'!AG752)),IF($B754="STD. DEVIATION",2,$F$1))))</f>
        <v/>
      </c>
      <c r="AI754" s="1" t="str">
        <f>IF(OR($B754="",AI$7=""),"",IF($B754="MEANS",INDEX('1-DATA'!$1:$1048576,$A753-1,COLUMN('1-DATA'!AH752)),ROUND(INDEX('1-DATA'!$1:$1048576,IF(OR($B754="STD. DEVIATION",$C$1=1),$A754,$A754+1),COLUMN('1-DATA'!AH752)),IF($B754="STD. DEVIATION",2,$F$1))))</f>
        <v/>
      </c>
      <c r="AJ754" s="1" t="str">
        <f>IF(OR($B754="",AJ$7=""),"",IF($B754="MEANS",INDEX('1-DATA'!$1:$1048576,$A753-1,COLUMN('1-DATA'!AI752)),ROUND(INDEX('1-DATA'!$1:$1048576,IF(OR($B754="STD. DEVIATION",$C$1=1),$A754,$A754+1),COLUMN('1-DATA'!AI752)),IF($B754="STD. DEVIATION",2,$F$1))))</f>
        <v/>
      </c>
      <c r="AK754" s="1" t="str">
        <f>IF(OR($B754="",AK$7=""),"",IF($B754="MEANS",INDEX('1-DATA'!$1:$1048576,$A753-1,COLUMN('1-DATA'!AJ752)),ROUND(INDEX('1-DATA'!$1:$1048576,IF(OR($B754="STD. DEVIATION",$C$1=1),$A754,$A754+1),COLUMN('1-DATA'!AJ752)),IF($B754="STD. DEVIATION",2,$F$1))))</f>
        <v/>
      </c>
      <c r="AL754" s="1" t="str">
        <f>IF(OR($B754="",AL$7=""),"",IF($B754="MEANS",INDEX('1-DATA'!$1:$1048576,$A753-1,COLUMN('1-DATA'!AK752)),ROUND(INDEX('1-DATA'!$1:$1048576,IF(OR($B754="STD. DEVIATION",$C$1=1),$A754,$A754+1),COLUMN('1-DATA'!AK752)),IF($B754="STD. DEVIATION",2,$F$1))))</f>
        <v/>
      </c>
      <c r="AM754" s="1" t="str">
        <f>IF(OR($B754="",AM$7=""),"",IF($B754="MEANS",INDEX('1-DATA'!$1:$1048576,$A753-1,COLUMN('1-DATA'!AL752)),ROUND(INDEX('1-DATA'!$1:$1048576,IF(OR($B754="STD. DEVIATION",$C$1=1),$A754,$A754+1),COLUMN('1-DATA'!AL752)),IF($B754="STD. DEVIATION",2,$F$1))))</f>
        <v/>
      </c>
      <c r="AN754" s="1" t="str">
        <f>IF(OR($B754="",AN$7=""),"",IF($B754="MEANS",INDEX('1-DATA'!$1:$1048576,$A753-1,COLUMN('1-DATA'!AM752)),ROUND(INDEX('1-DATA'!$1:$1048576,IF(OR($B754="STD. DEVIATION",$C$1=1),$A754,$A754+1),COLUMN('1-DATA'!AM752)),IF($B754="STD. DEVIATION",2,$F$1))))</f>
        <v/>
      </c>
      <c r="AO754" s="1" t="str">
        <f>IF(OR($B754="",AO$7=""),"",IF($B754="MEANS",INDEX('1-DATA'!$1:$1048576,$A753-1,COLUMN('1-DATA'!AN752)),ROUND(INDEX('1-DATA'!$1:$1048576,IF(OR($B754="STD. DEVIATION",$C$1=1),$A754,$A754+1),COLUMN('1-DATA'!AN752)),IF($B754="STD. DEVIATION",2,$F$1))))</f>
        <v/>
      </c>
      <c r="AP754" s="1" t="str">
        <f>IF(OR($B754="",AP$7=""),"",IF($B754="MEANS",INDEX('1-DATA'!$1:$1048576,$A753-1,COLUMN('1-DATA'!AO752)),ROUND(INDEX('1-DATA'!$1:$1048576,IF(OR($B754="STD. DEVIATION",$C$1=1),$A754,$A754+1),COLUMN('1-DATA'!AO752)),IF($B754="STD. DEVIATION",2,$F$1))))</f>
        <v/>
      </c>
      <c r="AQ754" s="1" t="str">
        <f>IF(OR($B754="",AQ$7=""),"",IF($B754="MEANS",INDEX('1-DATA'!$1:$1048576,$A753-1,COLUMN('1-DATA'!AP752)),ROUND(INDEX('1-DATA'!$1:$1048576,IF(OR($B754="STD. DEVIATION",$C$1=1),$A754,$A754+1),COLUMN('1-DATA'!AP752)),IF($B754="STD. DEVIATION",2,$F$1))))</f>
        <v/>
      </c>
      <c r="AR754" s="1" t="str">
        <f>IF(OR($B754="",AR$7=""),"",IF($B754="MEANS",INDEX('1-DATA'!$1:$1048576,$A753-1,COLUMN('1-DATA'!AQ752)),ROUND(INDEX('1-DATA'!$1:$1048576,IF(OR($B754="STD. DEVIATION",$C$1=1),$A754,$A754+1),COLUMN('1-DATA'!AQ752)),IF($B754="STD. DEVIATION",2,$F$1))))</f>
        <v/>
      </c>
      <c r="AS754" s="1" t="str">
        <f>IF(OR($B754="",AS$7=""),"",IF($B754="MEANS",INDEX('1-DATA'!$1:$1048576,$A753-1,COLUMN('1-DATA'!AR752)),ROUND(INDEX('1-DATA'!$1:$1048576,IF(OR($B754="STD. DEVIATION",$C$1=1),$A754,$A754+1),COLUMN('1-DATA'!AR752)),IF($B754="STD. DEVIATION",2,$F$1))))</f>
        <v/>
      </c>
      <c r="AT754" s="1" t="str">
        <f>IF(OR($B754="",AT$7=""),"",IF($B754="MEANS",INDEX('1-DATA'!$1:$1048576,$A753-1,COLUMN('1-DATA'!AS752)),ROUND(INDEX('1-DATA'!$1:$1048576,IF(OR($B754="STD. DEVIATION",$C$1=1),$A754,$A754+1),COLUMN('1-DATA'!AS752)),IF($B754="STD. DEVIATION",2,$F$1))))</f>
        <v/>
      </c>
      <c r="AU754" s="1" t="str">
        <f>IF(OR($B754="",AU$7=""),"",IF($B754="MEANS",INDEX('1-DATA'!$1:$1048576,$A753-1,COLUMN('1-DATA'!AT752)),ROUND(INDEX('1-DATA'!$1:$1048576,IF(OR($B754="STD. DEVIATION",$C$1=1),$A754,$A754+1),COLUMN('1-DATA'!AT752)),IF($B754="STD. DEVIATION",2,$F$1))))</f>
        <v/>
      </c>
      <c r="AV754" s="1" t="str">
        <f>IF(OR($B754="",AV$7=""),"",IF($B754="MEANS",INDEX('1-DATA'!$1:$1048576,$A753-1,COLUMN('1-DATA'!AU752)),ROUND(INDEX('1-DATA'!$1:$1048576,IF(OR($B754="STD. DEVIATION",$C$1=1),$A754,$A754+1),COLUMN('1-DATA'!AU752)),IF($B754="STD. DEVIATION",2,$F$1))))</f>
        <v/>
      </c>
      <c r="AW754" s="1" t="str">
        <f>IF(OR($B754="",AW$7=""),"",IF($B754="MEANS",INDEX('1-DATA'!$1:$1048576,$A753-1,COLUMN('1-DATA'!AV752)),ROUND(INDEX('1-DATA'!$1:$1048576,IF(OR($B754="STD. DEVIATION",$C$1=1),$A754,$A754+1),COLUMN('1-DATA'!AV752)),IF($B754="STD. DEVIATION",2,$F$1))))</f>
        <v/>
      </c>
      <c r="AX754" s="1" t="str">
        <f>IF(OR($B754="",AX$7=""),"",IF($B754="MEANS",INDEX('1-DATA'!$1:$1048576,$A753-1,COLUMN('1-DATA'!AW752)),ROUND(INDEX('1-DATA'!$1:$1048576,IF(OR($B754="STD. DEVIATION",$C$1=1),$A754,$A754+1),COLUMN('1-DATA'!AW752)),IF($B754="STD. DEVIATION",2,$F$1))))</f>
        <v/>
      </c>
      <c r="AY754" s="1" t="str">
        <f>IF(OR($B754="",AY$7=""),"",IF($B754="MEANS",INDEX('1-DATA'!$1:$1048576,$A753-1,COLUMN('1-DATA'!AX752)),ROUND(INDEX('1-DATA'!$1:$1048576,IF(OR($B754="STD. DEVIATION",$C$1=1),$A754,$A754+1),COLUMN('1-DATA'!AX752)),IF($B754="STD. DEVIATION",2,$F$1))))</f>
        <v/>
      </c>
      <c r="AZ754" s="1" t="str">
        <f>IF(OR($B754="",AZ$7=""),"",IF($B754="MEANS",INDEX('1-DATA'!$1:$1048576,$A753-1,COLUMN('1-DATA'!AY752)),ROUND(INDEX('1-DATA'!$1:$1048576,IF(OR($B754="STD. DEVIATION",$C$1=1),$A754,$A754+1),COLUMN('1-DATA'!AY752)),IF($B754="STD. DEVIATION",2,$F$1))))</f>
        <v/>
      </c>
    </row>
    <row r="755" spans="1:52" x14ac:dyDescent="0.25">
      <c r="A755" s="11">
        <f t="shared" si="12"/>
        <v>2251</v>
      </c>
      <c r="B755" s="1" t="str">
        <f>IF(B754="STD. DEVIATION",INDEX('1-DATA'!$1:$1048576,$A754-1,1),IF(INDEX('1-DATA'!$1:$1048576,$A755,1)&lt;&gt;"",INDEX('1-DATA'!$1:$1048576,$A755,1),""))</f>
        <v/>
      </c>
      <c r="C755" s="1" t="str">
        <f>IF(OR($B755="",C$7=""),"",IF($B755="MEANS",INDEX('1-DATA'!$1:$1048576,$A754-1,COLUMN('1-DATA'!B753)),ROUND(INDEX('1-DATA'!$1:$1048576,IF(OR($B755="STD. DEVIATION",$C$1=1),$A755,$A755+1),COLUMN('1-DATA'!B753)),IF($B755="STD. DEVIATION",2,$F$1))))</f>
        <v/>
      </c>
      <c r="D755" s="1" t="str">
        <f>IF(OR($B755="",D$7=""),"",IF($B755="MEANS",INDEX('1-DATA'!$1:$1048576,$A754-1,COLUMN('1-DATA'!C753)),ROUND(INDEX('1-DATA'!$1:$1048576,IF(OR($B755="STD. DEVIATION",$C$1=1),$A755,$A755+1),COLUMN('1-DATA'!C753)),IF($B755="STD. DEVIATION",2,$F$1))))</f>
        <v/>
      </c>
      <c r="E755" s="1" t="str">
        <f>IF(OR($B755="",E$7=""),"",IF($B755="MEANS",INDEX('1-DATA'!$1:$1048576,$A754-1,COLUMN('1-DATA'!D753)),ROUND(INDEX('1-DATA'!$1:$1048576,IF(OR($B755="STD. DEVIATION",$C$1=1),$A755,$A755+1),COLUMN('1-DATA'!D753)),IF($B755="STD. DEVIATION",2,$F$1))))</f>
        <v/>
      </c>
      <c r="F755" s="1" t="str">
        <f>IF(OR($B755="",F$7=""),"",IF($B755="MEANS",INDEX('1-DATA'!$1:$1048576,$A754-1,COLUMN('1-DATA'!E753)),ROUND(INDEX('1-DATA'!$1:$1048576,IF(OR($B755="STD. DEVIATION",$C$1=1),$A755,$A755+1),COLUMN('1-DATA'!E753)),IF($B755="STD. DEVIATION",2,$F$1))))</f>
        <v/>
      </c>
      <c r="G755" s="1" t="str">
        <f>IF(OR($B755="",G$7=""),"",IF($B755="MEANS",INDEX('1-DATA'!$1:$1048576,$A754-1,COLUMN('1-DATA'!F753)),ROUND(INDEX('1-DATA'!$1:$1048576,IF(OR($B755="STD. DEVIATION",$C$1=1),$A755,$A755+1),COLUMN('1-DATA'!F753)),IF($B755="STD. DEVIATION",2,$F$1))))</f>
        <v/>
      </c>
      <c r="H755" s="1" t="str">
        <f>IF(OR($B755="",H$7=""),"",IF($B755="MEANS",INDEX('1-DATA'!$1:$1048576,$A754-1,COLUMN('1-DATA'!G753)),ROUND(INDEX('1-DATA'!$1:$1048576,IF(OR($B755="STD. DEVIATION",$C$1=1),$A755,$A755+1),COLUMN('1-DATA'!G753)),IF($B755="STD. DEVIATION",2,$F$1))))</f>
        <v/>
      </c>
      <c r="I755" s="1" t="str">
        <f>IF(OR($B755="",I$7=""),"",IF($B755="MEANS",INDEX('1-DATA'!$1:$1048576,$A754-1,COLUMN('1-DATA'!H753)),ROUND(INDEX('1-DATA'!$1:$1048576,IF(OR($B755="STD. DEVIATION",$C$1=1),$A755,$A755+1),COLUMN('1-DATA'!H753)),IF($B755="STD. DEVIATION",2,$F$1))))</f>
        <v/>
      </c>
      <c r="J755" s="1" t="str">
        <f>IF(OR($B755="",J$7=""),"",IF($B755="MEANS",INDEX('1-DATA'!$1:$1048576,$A754-1,COLUMN('1-DATA'!I753)),ROUND(INDEX('1-DATA'!$1:$1048576,IF(OR($B755="STD. DEVIATION",$C$1=1),$A755,$A755+1),COLUMN('1-DATA'!I753)),IF($B755="STD. DEVIATION",2,$F$1))))</f>
        <v/>
      </c>
      <c r="K755" s="1" t="str">
        <f>IF(OR($B755="",K$7=""),"",IF($B755="MEANS",INDEX('1-DATA'!$1:$1048576,$A754-1,COLUMN('1-DATA'!J753)),ROUND(INDEX('1-DATA'!$1:$1048576,IF(OR($B755="STD. DEVIATION",$C$1=1),$A755,$A755+1),COLUMN('1-DATA'!J753)),IF($B755="STD. DEVIATION",2,$F$1))))</f>
        <v/>
      </c>
      <c r="L755" s="1" t="str">
        <f>IF(OR($B755="",L$7=""),"",IF($B755="MEANS",INDEX('1-DATA'!$1:$1048576,$A754-1,COLUMN('1-DATA'!K753)),ROUND(INDEX('1-DATA'!$1:$1048576,IF(OR($B755="STD. DEVIATION",$C$1=1),$A755,$A755+1),COLUMN('1-DATA'!K753)),IF($B755="STD. DEVIATION",2,$F$1))))</f>
        <v/>
      </c>
      <c r="M755" s="1" t="str">
        <f>IF(OR($B755="",M$7=""),"",IF($B755="MEANS",INDEX('1-DATA'!$1:$1048576,$A754-1,COLUMN('1-DATA'!L753)),ROUND(INDEX('1-DATA'!$1:$1048576,IF(OR($B755="STD. DEVIATION",$C$1=1),$A755,$A755+1),COLUMN('1-DATA'!L753)),IF($B755="STD. DEVIATION",2,$F$1))))</f>
        <v/>
      </c>
      <c r="N755" s="1" t="str">
        <f>IF(OR($B755="",N$7=""),"",IF($B755="MEANS",INDEX('1-DATA'!$1:$1048576,$A754-1,COLUMN('1-DATA'!M753)),ROUND(INDEX('1-DATA'!$1:$1048576,IF(OR($B755="STD. DEVIATION",$C$1=1),$A755,$A755+1),COLUMN('1-DATA'!M753)),IF($B755="STD. DEVIATION",2,$F$1))))</f>
        <v/>
      </c>
      <c r="O755" s="1" t="str">
        <f>IF(OR($B755="",O$7=""),"",IF($B755="MEANS",INDEX('1-DATA'!$1:$1048576,$A754-1,COLUMN('1-DATA'!N753)),ROUND(INDEX('1-DATA'!$1:$1048576,IF(OR($B755="STD. DEVIATION",$C$1=1),$A755,$A755+1),COLUMN('1-DATA'!N753)),IF($B755="STD. DEVIATION",2,$F$1))))</f>
        <v/>
      </c>
      <c r="P755" s="1" t="str">
        <f>IF(OR($B755="",P$7=""),"",IF($B755="MEANS",INDEX('1-DATA'!$1:$1048576,$A754-1,COLUMN('1-DATA'!O753)),ROUND(INDEX('1-DATA'!$1:$1048576,IF(OR($B755="STD. DEVIATION",$C$1=1),$A755,$A755+1),COLUMN('1-DATA'!O753)),IF($B755="STD. DEVIATION",2,$F$1))))</f>
        <v/>
      </c>
      <c r="Q755" s="1" t="str">
        <f>IF(OR($B755="",Q$7=""),"",IF($B755="MEANS",INDEX('1-DATA'!$1:$1048576,$A754-1,COLUMN('1-DATA'!P753)),ROUND(INDEX('1-DATA'!$1:$1048576,IF(OR($B755="STD. DEVIATION",$C$1=1),$A755,$A755+1),COLUMN('1-DATA'!P753)),IF($B755="STD. DEVIATION",2,$F$1))))</f>
        <v/>
      </c>
      <c r="R755" s="1" t="str">
        <f>IF(OR($B755="",R$7=""),"",IF($B755="MEANS",INDEX('1-DATA'!$1:$1048576,$A754-1,COLUMN('1-DATA'!Q753)),ROUND(INDEX('1-DATA'!$1:$1048576,IF(OR($B755="STD. DEVIATION",$C$1=1),$A755,$A755+1),COLUMN('1-DATA'!Q753)),IF($B755="STD. DEVIATION",2,$F$1))))</f>
        <v/>
      </c>
      <c r="S755" s="1" t="str">
        <f>IF(OR($B755="",S$7=""),"",IF($B755="MEANS",INDEX('1-DATA'!$1:$1048576,$A754-1,COLUMN('1-DATA'!R753)),ROUND(INDEX('1-DATA'!$1:$1048576,IF(OR($B755="STD. DEVIATION",$C$1=1),$A755,$A755+1),COLUMN('1-DATA'!R753)),IF($B755="STD. DEVIATION",2,$F$1))))</f>
        <v/>
      </c>
      <c r="T755" s="1" t="str">
        <f>IF(OR($B755="",T$7=""),"",IF($B755="MEANS",INDEX('1-DATA'!$1:$1048576,$A754-1,COLUMN('1-DATA'!S753)),ROUND(INDEX('1-DATA'!$1:$1048576,IF(OR($B755="STD. DEVIATION",$C$1=1),$A755,$A755+1),COLUMN('1-DATA'!S753)),IF($B755="STD. DEVIATION",2,$F$1))))</f>
        <v/>
      </c>
      <c r="U755" s="1" t="str">
        <f>IF(OR($B755="",U$7=""),"",IF($B755="MEANS",INDEX('1-DATA'!$1:$1048576,$A754-1,COLUMN('1-DATA'!T753)),ROUND(INDEX('1-DATA'!$1:$1048576,IF(OR($B755="STD. DEVIATION",$C$1=1),$A755,$A755+1),COLUMN('1-DATA'!T753)),IF($B755="STD. DEVIATION",2,$F$1))))</f>
        <v/>
      </c>
      <c r="V755" s="1" t="str">
        <f>IF(OR($B755="",V$7=""),"",IF($B755="MEANS",INDEX('1-DATA'!$1:$1048576,$A754-1,COLUMN('1-DATA'!U753)),ROUND(INDEX('1-DATA'!$1:$1048576,IF(OR($B755="STD. DEVIATION",$C$1=1),$A755,$A755+1),COLUMN('1-DATA'!U753)),IF($B755="STD. DEVIATION",2,$F$1))))</f>
        <v/>
      </c>
      <c r="W755" s="1" t="str">
        <f>IF(OR($B755="",W$7=""),"",IF($B755="MEANS",INDEX('1-DATA'!$1:$1048576,$A754-1,COLUMN('1-DATA'!V753)),ROUND(INDEX('1-DATA'!$1:$1048576,IF(OR($B755="STD. DEVIATION",$C$1=1),$A755,$A755+1),COLUMN('1-DATA'!V753)),IF($B755="STD. DEVIATION",2,$F$1))))</f>
        <v/>
      </c>
      <c r="X755" s="1" t="str">
        <f>IF(OR($B755="",X$7=""),"",IF($B755="MEANS",INDEX('1-DATA'!$1:$1048576,$A754-1,COLUMN('1-DATA'!W753)),ROUND(INDEX('1-DATA'!$1:$1048576,IF(OR($B755="STD. DEVIATION",$C$1=1),$A755,$A755+1),COLUMN('1-DATA'!W753)),IF($B755="STD. DEVIATION",2,$F$1))))</f>
        <v/>
      </c>
      <c r="Y755" s="1" t="str">
        <f>IF(OR($B755="",Y$7=""),"",IF($B755="MEANS",INDEX('1-DATA'!$1:$1048576,$A754-1,COLUMN('1-DATA'!X753)),ROUND(INDEX('1-DATA'!$1:$1048576,IF(OR($B755="STD. DEVIATION",$C$1=1),$A755,$A755+1),COLUMN('1-DATA'!X753)),IF($B755="STD. DEVIATION",2,$F$1))))</f>
        <v/>
      </c>
      <c r="Z755" s="1" t="str">
        <f>IF(OR($B755="",Z$7=""),"",IF($B755="MEANS",INDEX('1-DATA'!$1:$1048576,$A754-1,COLUMN('1-DATA'!Y753)),ROUND(INDEX('1-DATA'!$1:$1048576,IF(OR($B755="STD. DEVIATION",$C$1=1),$A755,$A755+1),COLUMN('1-DATA'!Y753)),IF($B755="STD. DEVIATION",2,$F$1))))</f>
        <v/>
      </c>
      <c r="AA755" s="1" t="str">
        <f>IF(OR($B755="",AA$7=""),"",IF($B755="MEANS",INDEX('1-DATA'!$1:$1048576,$A754-1,COLUMN('1-DATA'!Z753)),ROUND(INDEX('1-DATA'!$1:$1048576,IF(OR($B755="STD. DEVIATION",$C$1=1),$A755,$A755+1),COLUMN('1-DATA'!Z753)),IF($B755="STD. DEVIATION",2,$F$1))))</f>
        <v/>
      </c>
      <c r="AB755" s="1" t="str">
        <f>IF(OR($B755="",AB$7=""),"",IF($B755="MEANS",INDEX('1-DATA'!$1:$1048576,$A754-1,COLUMN('1-DATA'!AA753)),ROUND(INDEX('1-DATA'!$1:$1048576,IF(OR($B755="STD. DEVIATION",$C$1=1),$A755,$A755+1),COLUMN('1-DATA'!AA753)),IF($B755="STD. DEVIATION",2,$F$1))))</f>
        <v/>
      </c>
      <c r="AC755" s="1" t="str">
        <f>IF(OR($B755="",AC$7=""),"",IF($B755="MEANS",INDEX('1-DATA'!$1:$1048576,$A754-1,COLUMN('1-DATA'!AB753)),ROUND(INDEX('1-DATA'!$1:$1048576,IF(OR($B755="STD. DEVIATION",$C$1=1),$A755,$A755+1),COLUMN('1-DATA'!AB753)),IF($B755="STD. DEVIATION",2,$F$1))))</f>
        <v/>
      </c>
      <c r="AD755" s="1" t="str">
        <f>IF(OR($B755="",AD$7=""),"",IF($B755="MEANS",INDEX('1-DATA'!$1:$1048576,$A754-1,COLUMN('1-DATA'!AC753)),ROUND(INDEX('1-DATA'!$1:$1048576,IF(OR($B755="STD. DEVIATION",$C$1=1),$A755,$A755+1),COLUMN('1-DATA'!AC753)),IF($B755="STD. DEVIATION",2,$F$1))))</f>
        <v/>
      </c>
      <c r="AE755" s="1" t="str">
        <f>IF(OR($B755="",AE$7=""),"",IF($B755="MEANS",INDEX('1-DATA'!$1:$1048576,$A754-1,COLUMN('1-DATA'!AD753)),ROUND(INDEX('1-DATA'!$1:$1048576,IF(OR($B755="STD. DEVIATION",$C$1=1),$A755,$A755+1),COLUMN('1-DATA'!AD753)),IF($B755="STD. DEVIATION",2,$F$1))))</f>
        <v/>
      </c>
      <c r="AF755" s="1" t="str">
        <f>IF(OR($B755="",AF$7=""),"",IF($B755="MEANS",INDEX('1-DATA'!$1:$1048576,$A754-1,COLUMN('1-DATA'!AE753)),ROUND(INDEX('1-DATA'!$1:$1048576,IF(OR($B755="STD. DEVIATION",$C$1=1),$A755,$A755+1),COLUMN('1-DATA'!AE753)),IF($B755="STD. DEVIATION",2,$F$1))))</f>
        <v/>
      </c>
      <c r="AG755" s="1" t="str">
        <f>IF(OR($B755="",AG$7=""),"",IF($B755="MEANS",INDEX('1-DATA'!$1:$1048576,$A754-1,COLUMN('1-DATA'!AF753)),ROUND(INDEX('1-DATA'!$1:$1048576,IF(OR($B755="STD. DEVIATION",$C$1=1),$A755,$A755+1),COLUMN('1-DATA'!AF753)),IF($B755="STD. DEVIATION",2,$F$1))))</f>
        <v/>
      </c>
      <c r="AH755" s="1" t="str">
        <f>IF(OR($B755="",AH$7=""),"",IF($B755="MEANS",INDEX('1-DATA'!$1:$1048576,$A754-1,COLUMN('1-DATA'!AG753)),ROUND(INDEX('1-DATA'!$1:$1048576,IF(OR($B755="STD. DEVIATION",$C$1=1),$A755,$A755+1),COLUMN('1-DATA'!AG753)),IF($B755="STD. DEVIATION",2,$F$1))))</f>
        <v/>
      </c>
      <c r="AI755" s="1" t="str">
        <f>IF(OR($B755="",AI$7=""),"",IF($B755="MEANS",INDEX('1-DATA'!$1:$1048576,$A754-1,COLUMN('1-DATA'!AH753)),ROUND(INDEX('1-DATA'!$1:$1048576,IF(OR($B755="STD. DEVIATION",$C$1=1),$A755,$A755+1),COLUMN('1-DATA'!AH753)),IF($B755="STD. DEVIATION",2,$F$1))))</f>
        <v/>
      </c>
      <c r="AJ755" s="1" t="str">
        <f>IF(OR($B755="",AJ$7=""),"",IF($B755="MEANS",INDEX('1-DATA'!$1:$1048576,$A754-1,COLUMN('1-DATA'!AI753)),ROUND(INDEX('1-DATA'!$1:$1048576,IF(OR($B755="STD. DEVIATION",$C$1=1),$A755,$A755+1),COLUMN('1-DATA'!AI753)),IF($B755="STD. DEVIATION",2,$F$1))))</f>
        <v/>
      </c>
      <c r="AK755" s="1" t="str">
        <f>IF(OR($B755="",AK$7=""),"",IF($B755="MEANS",INDEX('1-DATA'!$1:$1048576,$A754-1,COLUMN('1-DATA'!AJ753)),ROUND(INDEX('1-DATA'!$1:$1048576,IF(OR($B755="STD. DEVIATION",$C$1=1),$A755,$A755+1),COLUMN('1-DATA'!AJ753)),IF($B755="STD. DEVIATION",2,$F$1))))</f>
        <v/>
      </c>
      <c r="AL755" s="1" t="str">
        <f>IF(OR($B755="",AL$7=""),"",IF($B755="MEANS",INDEX('1-DATA'!$1:$1048576,$A754-1,COLUMN('1-DATA'!AK753)),ROUND(INDEX('1-DATA'!$1:$1048576,IF(OR($B755="STD. DEVIATION",$C$1=1),$A755,$A755+1),COLUMN('1-DATA'!AK753)),IF($B755="STD. DEVIATION",2,$F$1))))</f>
        <v/>
      </c>
      <c r="AM755" s="1" t="str">
        <f>IF(OR($B755="",AM$7=""),"",IF($B755="MEANS",INDEX('1-DATA'!$1:$1048576,$A754-1,COLUMN('1-DATA'!AL753)),ROUND(INDEX('1-DATA'!$1:$1048576,IF(OR($B755="STD. DEVIATION",$C$1=1),$A755,$A755+1),COLUMN('1-DATA'!AL753)),IF($B755="STD. DEVIATION",2,$F$1))))</f>
        <v/>
      </c>
      <c r="AN755" s="1" t="str">
        <f>IF(OR($B755="",AN$7=""),"",IF($B755="MEANS",INDEX('1-DATA'!$1:$1048576,$A754-1,COLUMN('1-DATA'!AM753)),ROUND(INDEX('1-DATA'!$1:$1048576,IF(OR($B755="STD. DEVIATION",$C$1=1),$A755,$A755+1),COLUMN('1-DATA'!AM753)),IF($B755="STD. DEVIATION",2,$F$1))))</f>
        <v/>
      </c>
      <c r="AO755" s="1" t="str">
        <f>IF(OR($B755="",AO$7=""),"",IF($B755="MEANS",INDEX('1-DATA'!$1:$1048576,$A754-1,COLUMN('1-DATA'!AN753)),ROUND(INDEX('1-DATA'!$1:$1048576,IF(OR($B755="STD. DEVIATION",$C$1=1),$A755,$A755+1),COLUMN('1-DATA'!AN753)),IF($B755="STD. DEVIATION",2,$F$1))))</f>
        <v/>
      </c>
      <c r="AP755" s="1" t="str">
        <f>IF(OR($B755="",AP$7=""),"",IF($B755="MEANS",INDEX('1-DATA'!$1:$1048576,$A754-1,COLUMN('1-DATA'!AO753)),ROUND(INDEX('1-DATA'!$1:$1048576,IF(OR($B755="STD. DEVIATION",$C$1=1),$A755,$A755+1),COLUMN('1-DATA'!AO753)),IF($B755="STD. DEVIATION",2,$F$1))))</f>
        <v/>
      </c>
      <c r="AQ755" s="1" t="str">
        <f>IF(OR($B755="",AQ$7=""),"",IF($B755="MEANS",INDEX('1-DATA'!$1:$1048576,$A754-1,COLUMN('1-DATA'!AP753)),ROUND(INDEX('1-DATA'!$1:$1048576,IF(OR($B755="STD. DEVIATION",$C$1=1),$A755,$A755+1),COLUMN('1-DATA'!AP753)),IF($B755="STD. DEVIATION",2,$F$1))))</f>
        <v/>
      </c>
      <c r="AR755" s="1" t="str">
        <f>IF(OR($B755="",AR$7=""),"",IF($B755="MEANS",INDEX('1-DATA'!$1:$1048576,$A754-1,COLUMN('1-DATA'!AQ753)),ROUND(INDEX('1-DATA'!$1:$1048576,IF(OR($B755="STD. DEVIATION",$C$1=1),$A755,$A755+1),COLUMN('1-DATA'!AQ753)),IF($B755="STD. DEVIATION",2,$F$1))))</f>
        <v/>
      </c>
      <c r="AS755" s="1" t="str">
        <f>IF(OR($B755="",AS$7=""),"",IF($B755="MEANS",INDEX('1-DATA'!$1:$1048576,$A754-1,COLUMN('1-DATA'!AR753)),ROUND(INDEX('1-DATA'!$1:$1048576,IF(OR($B755="STD. DEVIATION",$C$1=1),$A755,$A755+1),COLUMN('1-DATA'!AR753)),IF($B755="STD. DEVIATION",2,$F$1))))</f>
        <v/>
      </c>
      <c r="AT755" s="1" t="str">
        <f>IF(OR($B755="",AT$7=""),"",IF($B755="MEANS",INDEX('1-DATA'!$1:$1048576,$A754-1,COLUMN('1-DATA'!AS753)),ROUND(INDEX('1-DATA'!$1:$1048576,IF(OR($B755="STD. DEVIATION",$C$1=1),$A755,$A755+1),COLUMN('1-DATA'!AS753)),IF($B755="STD. DEVIATION",2,$F$1))))</f>
        <v/>
      </c>
      <c r="AU755" s="1" t="str">
        <f>IF(OR($B755="",AU$7=""),"",IF($B755="MEANS",INDEX('1-DATA'!$1:$1048576,$A754-1,COLUMN('1-DATA'!AT753)),ROUND(INDEX('1-DATA'!$1:$1048576,IF(OR($B755="STD. DEVIATION",$C$1=1),$A755,$A755+1),COLUMN('1-DATA'!AT753)),IF($B755="STD. DEVIATION",2,$F$1))))</f>
        <v/>
      </c>
      <c r="AV755" s="1" t="str">
        <f>IF(OR($B755="",AV$7=""),"",IF($B755="MEANS",INDEX('1-DATA'!$1:$1048576,$A754-1,COLUMN('1-DATA'!AU753)),ROUND(INDEX('1-DATA'!$1:$1048576,IF(OR($B755="STD. DEVIATION",$C$1=1),$A755,$A755+1),COLUMN('1-DATA'!AU753)),IF($B755="STD. DEVIATION",2,$F$1))))</f>
        <v/>
      </c>
      <c r="AW755" s="1" t="str">
        <f>IF(OR($B755="",AW$7=""),"",IF($B755="MEANS",INDEX('1-DATA'!$1:$1048576,$A754-1,COLUMN('1-DATA'!AV753)),ROUND(INDEX('1-DATA'!$1:$1048576,IF(OR($B755="STD. DEVIATION",$C$1=1),$A755,$A755+1),COLUMN('1-DATA'!AV753)),IF($B755="STD. DEVIATION",2,$F$1))))</f>
        <v/>
      </c>
      <c r="AX755" s="1" t="str">
        <f>IF(OR($B755="",AX$7=""),"",IF($B755="MEANS",INDEX('1-DATA'!$1:$1048576,$A754-1,COLUMN('1-DATA'!AW753)),ROUND(INDEX('1-DATA'!$1:$1048576,IF(OR($B755="STD. DEVIATION",$C$1=1),$A755,$A755+1),COLUMN('1-DATA'!AW753)),IF($B755="STD. DEVIATION",2,$F$1))))</f>
        <v/>
      </c>
      <c r="AY755" s="1" t="str">
        <f>IF(OR($B755="",AY$7=""),"",IF($B755="MEANS",INDEX('1-DATA'!$1:$1048576,$A754-1,COLUMN('1-DATA'!AX753)),ROUND(INDEX('1-DATA'!$1:$1048576,IF(OR($B755="STD. DEVIATION",$C$1=1),$A755,$A755+1),COLUMN('1-DATA'!AX753)),IF($B755="STD. DEVIATION",2,$F$1))))</f>
        <v/>
      </c>
      <c r="AZ755" s="1" t="str">
        <f>IF(OR($B755="",AZ$7=""),"",IF($B755="MEANS",INDEX('1-DATA'!$1:$1048576,$A754-1,COLUMN('1-DATA'!AY753)),ROUND(INDEX('1-DATA'!$1:$1048576,IF(OR($B755="STD. DEVIATION",$C$1=1),$A755,$A755+1),COLUMN('1-DATA'!AY753)),IF($B755="STD. DEVIATION",2,$F$1))))</f>
        <v/>
      </c>
    </row>
    <row r="756" spans="1:52" x14ac:dyDescent="0.25">
      <c r="A756" s="11">
        <f t="shared" si="12"/>
        <v>2254</v>
      </c>
      <c r="B756" s="1" t="str">
        <f>IF(B755="STD. DEVIATION",INDEX('1-DATA'!$1:$1048576,$A755-1,1),IF(INDEX('1-DATA'!$1:$1048576,$A756,1)&lt;&gt;"",INDEX('1-DATA'!$1:$1048576,$A756,1),""))</f>
        <v/>
      </c>
      <c r="C756" s="1" t="str">
        <f>IF(OR($B756="",C$7=""),"",IF($B756="MEANS",INDEX('1-DATA'!$1:$1048576,$A755-1,COLUMN('1-DATA'!B754)),ROUND(INDEX('1-DATA'!$1:$1048576,IF(OR($B756="STD. DEVIATION",$C$1=1),$A756,$A756+1),COLUMN('1-DATA'!B754)),IF($B756="STD. DEVIATION",2,$F$1))))</f>
        <v/>
      </c>
      <c r="D756" s="1" t="str">
        <f>IF(OR($B756="",D$7=""),"",IF($B756="MEANS",INDEX('1-DATA'!$1:$1048576,$A755-1,COLUMN('1-DATA'!C754)),ROUND(INDEX('1-DATA'!$1:$1048576,IF(OR($B756="STD. DEVIATION",$C$1=1),$A756,$A756+1),COLUMN('1-DATA'!C754)),IF($B756="STD. DEVIATION",2,$F$1))))</f>
        <v/>
      </c>
      <c r="E756" s="1" t="str">
        <f>IF(OR($B756="",E$7=""),"",IF($B756="MEANS",INDEX('1-DATA'!$1:$1048576,$A755-1,COLUMN('1-DATA'!D754)),ROUND(INDEX('1-DATA'!$1:$1048576,IF(OR($B756="STD. DEVIATION",$C$1=1),$A756,$A756+1),COLUMN('1-DATA'!D754)),IF($B756="STD. DEVIATION",2,$F$1))))</f>
        <v/>
      </c>
      <c r="F756" s="1" t="str">
        <f>IF(OR($B756="",F$7=""),"",IF($B756="MEANS",INDEX('1-DATA'!$1:$1048576,$A755-1,COLUMN('1-DATA'!E754)),ROUND(INDEX('1-DATA'!$1:$1048576,IF(OR($B756="STD. DEVIATION",$C$1=1),$A756,$A756+1),COLUMN('1-DATA'!E754)),IF($B756="STD. DEVIATION",2,$F$1))))</f>
        <v/>
      </c>
      <c r="G756" s="1" t="str">
        <f>IF(OR($B756="",G$7=""),"",IF($B756="MEANS",INDEX('1-DATA'!$1:$1048576,$A755-1,COLUMN('1-DATA'!F754)),ROUND(INDEX('1-DATA'!$1:$1048576,IF(OR($B756="STD. DEVIATION",$C$1=1),$A756,$A756+1),COLUMN('1-DATA'!F754)),IF($B756="STD. DEVIATION",2,$F$1))))</f>
        <v/>
      </c>
      <c r="H756" s="1" t="str">
        <f>IF(OR($B756="",H$7=""),"",IF($B756="MEANS",INDEX('1-DATA'!$1:$1048576,$A755-1,COLUMN('1-DATA'!G754)),ROUND(INDEX('1-DATA'!$1:$1048576,IF(OR($B756="STD. DEVIATION",$C$1=1),$A756,$A756+1),COLUMN('1-DATA'!G754)),IF($B756="STD. DEVIATION",2,$F$1))))</f>
        <v/>
      </c>
      <c r="I756" s="1" t="str">
        <f>IF(OR($B756="",I$7=""),"",IF($B756="MEANS",INDEX('1-DATA'!$1:$1048576,$A755-1,COLUMN('1-DATA'!H754)),ROUND(INDEX('1-DATA'!$1:$1048576,IF(OR($B756="STD. DEVIATION",$C$1=1),$A756,$A756+1),COLUMN('1-DATA'!H754)),IF($B756="STD. DEVIATION",2,$F$1))))</f>
        <v/>
      </c>
      <c r="J756" s="1" t="str">
        <f>IF(OR($B756="",J$7=""),"",IF($B756="MEANS",INDEX('1-DATA'!$1:$1048576,$A755-1,COLUMN('1-DATA'!I754)),ROUND(INDEX('1-DATA'!$1:$1048576,IF(OR($B756="STD. DEVIATION",$C$1=1),$A756,$A756+1),COLUMN('1-DATA'!I754)),IF($B756="STD. DEVIATION",2,$F$1))))</f>
        <v/>
      </c>
      <c r="K756" s="1" t="str">
        <f>IF(OR($B756="",K$7=""),"",IF($B756="MEANS",INDEX('1-DATA'!$1:$1048576,$A755-1,COLUMN('1-DATA'!J754)),ROUND(INDEX('1-DATA'!$1:$1048576,IF(OR($B756="STD. DEVIATION",$C$1=1),$A756,$A756+1),COLUMN('1-DATA'!J754)),IF($B756="STD. DEVIATION",2,$F$1))))</f>
        <v/>
      </c>
      <c r="L756" s="1" t="str">
        <f>IF(OR($B756="",L$7=""),"",IF($B756="MEANS",INDEX('1-DATA'!$1:$1048576,$A755-1,COLUMN('1-DATA'!K754)),ROUND(INDEX('1-DATA'!$1:$1048576,IF(OR($B756="STD. DEVIATION",$C$1=1),$A756,$A756+1),COLUMN('1-DATA'!K754)),IF($B756="STD. DEVIATION",2,$F$1))))</f>
        <v/>
      </c>
      <c r="M756" s="1" t="str">
        <f>IF(OR($B756="",M$7=""),"",IF($B756="MEANS",INDEX('1-DATA'!$1:$1048576,$A755-1,COLUMN('1-DATA'!L754)),ROUND(INDEX('1-DATA'!$1:$1048576,IF(OR($B756="STD. DEVIATION",$C$1=1),$A756,$A756+1),COLUMN('1-DATA'!L754)),IF($B756="STD. DEVIATION",2,$F$1))))</f>
        <v/>
      </c>
      <c r="N756" s="1" t="str">
        <f>IF(OR($B756="",N$7=""),"",IF($B756="MEANS",INDEX('1-DATA'!$1:$1048576,$A755-1,COLUMN('1-DATA'!M754)),ROUND(INDEX('1-DATA'!$1:$1048576,IF(OR($B756="STD. DEVIATION",$C$1=1),$A756,$A756+1),COLUMN('1-DATA'!M754)),IF($B756="STD. DEVIATION",2,$F$1))))</f>
        <v/>
      </c>
      <c r="O756" s="1" t="str">
        <f>IF(OR($B756="",O$7=""),"",IF($B756="MEANS",INDEX('1-DATA'!$1:$1048576,$A755-1,COLUMN('1-DATA'!N754)),ROUND(INDEX('1-DATA'!$1:$1048576,IF(OR($B756="STD. DEVIATION",$C$1=1),$A756,$A756+1),COLUMN('1-DATA'!N754)),IF($B756="STD. DEVIATION",2,$F$1))))</f>
        <v/>
      </c>
      <c r="P756" s="1" t="str">
        <f>IF(OR($B756="",P$7=""),"",IF($B756="MEANS",INDEX('1-DATA'!$1:$1048576,$A755-1,COLUMN('1-DATA'!O754)),ROUND(INDEX('1-DATA'!$1:$1048576,IF(OR($B756="STD. DEVIATION",$C$1=1),$A756,$A756+1),COLUMN('1-DATA'!O754)),IF($B756="STD. DEVIATION",2,$F$1))))</f>
        <v/>
      </c>
      <c r="Q756" s="1" t="str">
        <f>IF(OR($B756="",Q$7=""),"",IF($B756="MEANS",INDEX('1-DATA'!$1:$1048576,$A755-1,COLUMN('1-DATA'!P754)),ROUND(INDEX('1-DATA'!$1:$1048576,IF(OR($B756="STD. DEVIATION",$C$1=1),$A756,$A756+1),COLUMN('1-DATA'!P754)),IF($B756="STD. DEVIATION",2,$F$1))))</f>
        <v/>
      </c>
      <c r="R756" s="1" t="str">
        <f>IF(OR($B756="",R$7=""),"",IF($B756="MEANS",INDEX('1-DATA'!$1:$1048576,$A755-1,COLUMN('1-DATA'!Q754)),ROUND(INDEX('1-DATA'!$1:$1048576,IF(OR($B756="STD. DEVIATION",$C$1=1),$A756,$A756+1),COLUMN('1-DATA'!Q754)),IF($B756="STD. DEVIATION",2,$F$1))))</f>
        <v/>
      </c>
      <c r="S756" s="1" t="str">
        <f>IF(OR($B756="",S$7=""),"",IF($B756="MEANS",INDEX('1-DATA'!$1:$1048576,$A755-1,COLUMN('1-DATA'!R754)),ROUND(INDEX('1-DATA'!$1:$1048576,IF(OR($B756="STD. DEVIATION",$C$1=1),$A756,$A756+1),COLUMN('1-DATA'!R754)),IF($B756="STD. DEVIATION",2,$F$1))))</f>
        <v/>
      </c>
      <c r="T756" s="1" t="str">
        <f>IF(OR($B756="",T$7=""),"",IF($B756="MEANS",INDEX('1-DATA'!$1:$1048576,$A755-1,COLUMN('1-DATA'!S754)),ROUND(INDEX('1-DATA'!$1:$1048576,IF(OR($B756="STD. DEVIATION",$C$1=1),$A756,$A756+1),COLUMN('1-DATA'!S754)),IF($B756="STD. DEVIATION",2,$F$1))))</f>
        <v/>
      </c>
      <c r="U756" s="1" t="str">
        <f>IF(OR($B756="",U$7=""),"",IF($B756="MEANS",INDEX('1-DATA'!$1:$1048576,$A755-1,COLUMN('1-DATA'!T754)),ROUND(INDEX('1-DATA'!$1:$1048576,IF(OR($B756="STD. DEVIATION",$C$1=1),$A756,$A756+1),COLUMN('1-DATA'!T754)),IF($B756="STD. DEVIATION",2,$F$1))))</f>
        <v/>
      </c>
      <c r="V756" s="1" t="str">
        <f>IF(OR($B756="",V$7=""),"",IF($B756="MEANS",INDEX('1-DATA'!$1:$1048576,$A755-1,COLUMN('1-DATA'!U754)),ROUND(INDEX('1-DATA'!$1:$1048576,IF(OR($B756="STD. DEVIATION",$C$1=1),$A756,$A756+1),COLUMN('1-DATA'!U754)),IF($B756="STD. DEVIATION",2,$F$1))))</f>
        <v/>
      </c>
      <c r="W756" s="1" t="str">
        <f>IF(OR($B756="",W$7=""),"",IF($B756="MEANS",INDEX('1-DATA'!$1:$1048576,$A755-1,COLUMN('1-DATA'!V754)),ROUND(INDEX('1-DATA'!$1:$1048576,IF(OR($B756="STD. DEVIATION",$C$1=1),$A756,$A756+1),COLUMN('1-DATA'!V754)),IF($B756="STD. DEVIATION",2,$F$1))))</f>
        <v/>
      </c>
      <c r="X756" s="1" t="str">
        <f>IF(OR($B756="",X$7=""),"",IF($B756="MEANS",INDEX('1-DATA'!$1:$1048576,$A755-1,COLUMN('1-DATA'!W754)),ROUND(INDEX('1-DATA'!$1:$1048576,IF(OR($B756="STD. DEVIATION",$C$1=1),$A756,$A756+1),COLUMN('1-DATA'!W754)),IF($B756="STD. DEVIATION",2,$F$1))))</f>
        <v/>
      </c>
      <c r="Y756" s="1" t="str">
        <f>IF(OR($B756="",Y$7=""),"",IF($B756="MEANS",INDEX('1-DATA'!$1:$1048576,$A755-1,COLUMN('1-DATA'!X754)),ROUND(INDEX('1-DATA'!$1:$1048576,IF(OR($B756="STD. DEVIATION",$C$1=1),$A756,$A756+1),COLUMN('1-DATA'!X754)),IF($B756="STD. DEVIATION",2,$F$1))))</f>
        <v/>
      </c>
      <c r="Z756" s="1" t="str">
        <f>IF(OR($B756="",Z$7=""),"",IF($B756="MEANS",INDEX('1-DATA'!$1:$1048576,$A755-1,COLUMN('1-DATA'!Y754)),ROUND(INDEX('1-DATA'!$1:$1048576,IF(OR($B756="STD. DEVIATION",$C$1=1),$A756,$A756+1),COLUMN('1-DATA'!Y754)),IF($B756="STD. DEVIATION",2,$F$1))))</f>
        <v/>
      </c>
      <c r="AA756" s="1" t="str">
        <f>IF(OR($B756="",AA$7=""),"",IF($B756="MEANS",INDEX('1-DATA'!$1:$1048576,$A755-1,COLUMN('1-DATA'!Z754)),ROUND(INDEX('1-DATA'!$1:$1048576,IF(OR($B756="STD. DEVIATION",$C$1=1),$A756,$A756+1),COLUMN('1-DATA'!Z754)),IF($B756="STD. DEVIATION",2,$F$1))))</f>
        <v/>
      </c>
      <c r="AB756" s="1" t="str">
        <f>IF(OR($B756="",AB$7=""),"",IF($B756="MEANS",INDEX('1-DATA'!$1:$1048576,$A755-1,COLUMN('1-DATA'!AA754)),ROUND(INDEX('1-DATA'!$1:$1048576,IF(OR($B756="STD. DEVIATION",$C$1=1),$A756,$A756+1),COLUMN('1-DATA'!AA754)),IF($B756="STD. DEVIATION",2,$F$1))))</f>
        <v/>
      </c>
      <c r="AC756" s="1" t="str">
        <f>IF(OR($B756="",AC$7=""),"",IF($B756="MEANS",INDEX('1-DATA'!$1:$1048576,$A755-1,COLUMN('1-DATA'!AB754)),ROUND(INDEX('1-DATA'!$1:$1048576,IF(OR($B756="STD. DEVIATION",$C$1=1),$A756,$A756+1),COLUMN('1-DATA'!AB754)),IF($B756="STD. DEVIATION",2,$F$1))))</f>
        <v/>
      </c>
      <c r="AD756" s="1" t="str">
        <f>IF(OR($B756="",AD$7=""),"",IF($B756="MEANS",INDEX('1-DATA'!$1:$1048576,$A755-1,COLUMN('1-DATA'!AC754)),ROUND(INDEX('1-DATA'!$1:$1048576,IF(OR($B756="STD. DEVIATION",$C$1=1),$A756,$A756+1),COLUMN('1-DATA'!AC754)),IF($B756="STD. DEVIATION",2,$F$1))))</f>
        <v/>
      </c>
      <c r="AE756" s="1" t="str">
        <f>IF(OR($B756="",AE$7=""),"",IF($B756="MEANS",INDEX('1-DATA'!$1:$1048576,$A755-1,COLUMN('1-DATA'!AD754)),ROUND(INDEX('1-DATA'!$1:$1048576,IF(OR($B756="STD. DEVIATION",$C$1=1),$A756,$A756+1),COLUMN('1-DATA'!AD754)),IF($B756="STD. DEVIATION",2,$F$1))))</f>
        <v/>
      </c>
      <c r="AF756" s="1" t="str">
        <f>IF(OR($B756="",AF$7=""),"",IF($B756="MEANS",INDEX('1-DATA'!$1:$1048576,$A755-1,COLUMN('1-DATA'!AE754)),ROUND(INDEX('1-DATA'!$1:$1048576,IF(OR($B756="STD. DEVIATION",$C$1=1),$A756,$A756+1),COLUMN('1-DATA'!AE754)),IF($B756="STD. DEVIATION",2,$F$1))))</f>
        <v/>
      </c>
      <c r="AG756" s="1" t="str">
        <f>IF(OR($B756="",AG$7=""),"",IF($B756="MEANS",INDEX('1-DATA'!$1:$1048576,$A755-1,COLUMN('1-DATA'!AF754)),ROUND(INDEX('1-DATA'!$1:$1048576,IF(OR($B756="STD. DEVIATION",$C$1=1),$A756,$A756+1),COLUMN('1-DATA'!AF754)),IF($B756="STD. DEVIATION",2,$F$1))))</f>
        <v/>
      </c>
      <c r="AH756" s="1" t="str">
        <f>IF(OR($B756="",AH$7=""),"",IF($B756="MEANS",INDEX('1-DATA'!$1:$1048576,$A755-1,COLUMN('1-DATA'!AG754)),ROUND(INDEX('1-DATA'!$1:$1048576,IF(OR($B756="STD. DEVIATION",$C$1=1),$A756,$A756+1),COLUMN('1-DATA'!AG754)),IF($B756="STD. DEVIATION",2,$F$1))))</f>
        <v/>
      </c>
      <c r="AI756" s="1" t="str">
        <f>IF(OR($B756="",AI$7=""),"",IF($B756="MEANS",INDEX('1-DATA'!$1:$1048576,$A755-1,COLUMN('1-DATA'!AH754)),ROUND(INDEX('1-DATA'!$1:$1048576,IF(OR($B756="STD. DEVIATION",$C$1=1),$A756,$A756+1),COLUMN('1-DATA'!AH754)),IF($B756="STD. DEVIATION",2,$F$1))))</f>
        <v/>
      </c>
      <c r="AJ756" s="1" t="str">
        <f>IF(OR($B756="",AJ$7=""),"",IF($B756="MEANS",INDEX('1-DATA'!$1:$1048576,$A755-1,COLUMN('1-DATA'!AI754)),ROUND(INDEX('1-DATA'!$1:$1048576,IF(OR($B756="STD. DEVIATION",$C$1=1),$A756,$A756+1),COLUMN('1-DATA'!AI754)),IF($B756="STD. DEVIATION",2,$F$1))))</f>
        <v/>
      </c>
      <c r="AK756" s="1" t="str">
        <f>IF(OR($B756="",AK$7=""),"",IF($B756="MEANS",INDEX('1-DATA'!$1:$1048576,$A755-1,COLUMN('1-DATA'!AJ754)),ROUND(INDEX('1-DATA'!$1:$1048576,IF(OR($B756="STD. DEVIATION",$C$1=1),$A756,$A756+1),COLUMN('1-DATA'!AJ754)),IF($B756="STD. DEVIATION",2,$F$1))))</f>
        <v/>
      </c>
      <c r="AL756" s="1" t="str">
        <f>IF(OR($B756="",AL$7=""),"",IF($B756="MEANS",INDEX('1-DATA'!$1:$1048576,$A755-1,COLUMN('1-DATA'!AK754)),ROUND(INDEX('1-DATA'!$1:$1048576,IF(OR($B756="STD. DEVIATION",$C$1=1),$A756,$A756+1),COLUMN('1-DATA'!AK754)),IF($B756="STD. DEVIATION",2,$F$1))))</f>
        <v/>
      </c>
      <c r="AM756" s="1" t="str">
        <f>IF(OR($B756="",AM$7=""),"",IF($B756="MEANS",INDEX('1-DATA'!$1:$1048576,$A755-1,COLUMN('1-DATA'!AL754)),ROUND(INDEX('1-DATA'!$1:$1048576,IF(OR($B756="STD. DEVIATION",$C$1=1),$A756,$A756+1),COLUMN('1-DATA'!AL754)),IF($B756="STD. DEVIATION",2,$F$1))))</f>
        <v/>
      </c>
      <c r="AN756" s="1" t="str">
        <f>IF(OR($B756="",AN$7=""),"",IF($B756="MEANS",INDEX('1-DATA'!$1:$1048576,$A755-1,COLUMN('1-DATA'!AM754)),ROUND(INDEX('1-DATA'!$1:$1048576,IF(OR($B756="STD. DEVIATION",$C$1=1),$A756,$A756+1),COLUMN('1-DATA'!AM754)),IF($B756="STD. DEVIATION",2,$F$1))))</f>
        <v/>
      </c>
      <c r="AO756" s="1" t="str">
        <f>IF(OR($B756="",AO$7=""),"",IF($B756="MEANS",INDEX('1-DATA'!$1:$1048576,$A755-1,COLUMN('1-DATA'!AN754)),ROUND(INDEX('1-DATA'!$1:$1048576,IF(OR($B756="STD. DEVIATION",$C$1=1),$A756,$A756+1),COLUMN('1-DATA'!AN754)),IF($B756="STD. DEVIATION",2,$F$1))))</f>
        <v/>
      </c>
      <c r="AP756" s="1" t="str">
        <f>IF(OR($B756="",AP$7=""),"",IF($B756="MEANS",INDEX('1-DATA'!$1:$1048576,$A755-1,COLUMN('1-DATA'!AO754)),ROUND(INDEX('1-DATA'!$1:$1048576,IF(OR($B756="STD. DEVIATION",$C$1=1),$A756,$A756+1),COLUMN('1-DATA'!AO754)),IF($B756="STD. DEVIATION",2,$F$1))))</f>
        <v/>
      </c>
      <c r="AQ756" s="1" t="str">
        <f>IF(OR($B756="",AQ$7=""),"",IF($B756="MEANS",INDEX('1-DATA'!$1:$1048576,$A755-1,COLUMN('1-DATA'!AP754)),ROUND(INDEX('1-DATA'!$1:$1048576,IF(OR($B756="STD. DEVIATION",$C$1=1),$A756,$A756+1),COLUMN('1-DATA'!AP754)),IF($B756="STD. DEVIATION",2,$F$1))))</f>
        <v/>
      </c>
      <c r="AR756" s="1" t="str">
        <f>IF(OR($B756="",AR$7=""),"",IF($B756="MEANS",INDEX('1-DATA'!$1:$1048576,$A755-1,COLUMN('1-DATA'!AQ754)),ROUND(INDEX('1-DATA'!$1:$1048576,IF(OR($B756="STD. DEVIATION",$C$1=1),$A756,$A756+1),COLUMN('1-DATA'!AQ754)),IF($B756="STD. DEVIATION",2,$F$1))))</f>
        <v/>
      </c>
      <c r="AS756" s="1" t="str">
        <f>IF(OR($B756="",AS$7=""),"",IF($B756="MEANS",INDEX('1-DATA'!$1:$1048576,$A755-1,COLUMN('1-DATA'!AR754)),ROUND(INDEX('1-DATA'!$1:$1048576,IF(OR($B756="STD. DEVIATION",$C$1=1),$A756,$A756+1),COLUMN('1-DATA'!AR754)),IF($B756="STD. DEVIATION",2,$F$1))))</f>
        <v/>
      </c>
      <c r="AT756" s="1" t="str">
        <f>IF(OR($B756="",AT$7=""),"",IF($B756="MEANS",INDEX('1-DATA'!$1:$1048576,$A755-1,COLUMN('1-DATA'!AS754)),ROUND(INDEX('1-DATA'!$1:$1048576,IF(OR($B756="STD. DEVIATION",$C$1=1),$A756,$A756+1),COLUMN('1-DATA'!AS754)),IF($B756="STD. DEVIATION",2,$F$1))))</f>
        <v/>
      </c>
      <c r="AU756" s="1" t="str">
        <f>IF(OR($B756="",AU$7=""),"",IF($B756="MEANS",INDEX('1-DATA'!$1:$1048576,$A755-1,COLUMN('1-DATA'!AT754)),ROUND(INDEX('1-DATA'!$1:$1048576,IF(OR($B756="STD. DEVIATION",$C$1=1),$A756,$A756+1),COLUMN('1-DATA'!AT754)),IF($B756="STD. DEVIATION",2,$F$1))))</f>
        <v/>
      </c>
      <c r="AV756" s="1" t="str">
        <f>IF(OR($B756="",AV$7=""),"",IF($B756="MEANS",INDEX('1-DATA'!$1:$1048576,$A755-1,COLUMN('1-DATA'!AU754)),ROUND(INDEX('1-DATA'!$1:$1048576,IF(OR($B756="STD. DEVIATION",$C$1=1),$A756,$A756+1),COLUMN('1-DATA'!AU754)),IF($B756="STD. DEVIATION",2,$F$1))))</f>
        <v/>
      </c>
      <c r="AW756" s="1" t="str">
        <f>IF(OR($B756="",AW$7=""),"",IF($B756="MEANS",INDEX('1-DATA'!$1:$1048576,$A755-1,COLUMN('1-DATA'!AV754)),ROUND(INDEX('1-DATA'!$1:$1048576,IF(OR($B756="STD. DEVIATION",$C$1=1),$A756,$A756+1),COLUMN('1-DATA'!AV754)),IF($B756="STD. DEVIATION",2,$F$1))))</f>
        <v/>
      </c>
      <c r="AX756" s="1" t="str">
        <f>IF(OR($B756="",AX$7=""),"",IF($B756="MEANS",INDEX('1-DATA'!$1:$1048576,$A755-1,COLUMN('1-DATA'!AW754)),ROUND(INDEX('1-DATA'!$1:$1048576,IF(OR($B756="STD. DEVIATION",$C$1=1),$A756,$A756+1),COLUMN('1-DATA'!AW754)),IF($B756="STD. DEVIATION",2,$F$1))))</f>
        <v/>
      </c>
      <c r="AY756" s="1" t="str">
        <f>IF(OR($B756="",AY$7=""),"",IF($B756="MEANS",INDEX('1-DATA'!$1:$1048576,$A755-1,COLUMN('1-DATA'!AX754)),ROUND(INDEX('1-DATA'!$1:$1048576,IF(OR($B756="STD. DEVIATION",$C$1=1),$A756,$A756+1),COLUMN('1-DATA'!AX754)),IF($B756="STD. DEVIATION",2,$F$1))))</f>
        <v/>
      </c>
      <c r="AZ756" s="1" t="str">
        <f>IF(OR($B756="",AZ$7=""),"",IF($B756="MEANS",INDEX('1-DATA'!$1:$1048576,$A755-1,COLUMN('1-DATA'!AY754)),ROUND(INDEX('1-DATA'!$1:$1048576,IF(OR($B756="STD. DEVIATION",$C$1=1),$A756,$A756+1),COLUMN('1-DATA'!AY754)),IF($B756="STD. DEVIATION",2,$F$1))))</f>
        <v/>
      </c>
    </row>
    <row r="757" spans="1:52" x14ac:dyDescent="0.25">
      <c r="A757" s="11">
        <f t="shared" si="12"/>
        <v>2257</v>
      </c>
      <c r="B757" s="1" t="str">
        <f>IF(B756="STD. DEVIATION",INDEX('1-DATA'!$1:$1048576,$A756-1,1),IF(INDEX('1-DATA'!$1:$1048576,$A757,1)&lt;&gt;"",INDEX('1-DATA'!$1:$1048576,$A757,1),""))</f>
        <v/>
      </c>
      <c r="C757" s="1" t="str">
        <f>IF(OR($B757="",C$7=""),"",IF($B757="MEANS",INDEX('1-DATA'!$1:$1048576,$A756-1,COLUMN('1-DATA'!B755)),ROUND(INDEX('1-DATA'!$1:$1048576,IF(OR($B757="STD. DEVIATION",$C$1=1),$A757,$A757+1),COLUMN('1-DATA'!B755)),IF($B757="STD. DEVIATION",2,$F$1))))</f>
        <v/>
      </c>
      <c r="D757" s="1" t="str">
        <f>IF(OR($B757="",D$7=""),"",IF($B757="MEANS",INDEX('1-DATA'!$1:$1048576,$A756-1,COLUMN('1-DATA'!C755)),ROUND(INDEX('1-DATA'!$1:$1048576,IF(OR($B757="STD. DEVIATION",$C$1=1),$A757,$A757+1),COLUMN('1-DATA'!C755)),IF($B757="STD. DEVIATION",2,$F$1))))</f>
        <v/>
      </c>
      <c r="E757" s="1" t="str">
        <f>IF(OR($B757="",E$7=""),"",IF($B757="MEANS",INDEX('1-DATA'!$1:$1048576,$A756-1,COLUMN('1-DATA'!D755)),ROUND(INDEX('1-DATA'!$1:$1048576,IF(OR($B757="STD. DEVIATION",$C$1=1),$A757,$A757+1),COLUMN('1-DATA'!D755)),IF($B757="STD. DEVIATION",2,$F$1))))</f>
        <v/>
      </c>
      <c r="F757" s="1" t="str">
        <f>IF(OR($B757="",F$7=""),"",IF($B757="MEANS",INDEX('1-DATA'!$1:$1048576,$A756-1,COLUMN('1-DATA'!E755)),ROUND(INDEX('1-DATA'!$1:$1048576,IF(OR($B757="STD. DEVIATION",$C$1=1),$A757,$A757+1),COLUMN('1-DATA'!E755)),IF($B757="STD. DEVIATION",2,$F$1))))</f>
        <v/>
      </c>
      <c r="G757" s="1" t="str">
        <f>IF(OR($B757="",G$7=""),"",IF($B757="MEANS",INDEX('1-DATA'!$1:$1048576,$A756-1,COLUMN('1-DATA'!F755)),ROUND(INDEX('1-DATA'!$1:$1048576,IF(OR($B757="STD. DEVIATION",$C$1=1),$A757,$A757+1),COLUMN('1-DATA'!F755)),IF($B757="STD. DEVIATION",2,$F$1))))</f>
        <v/>
      </c>
      <c r="H757" s="1" t="str">
        <f>IF(OR($B757="",H$7=""),"",IF($B757="MEANS",INDEX('1-DATA'!$1:$1048576,$A756-1,COLUMN('1-DATA'!G755)),ROUND(INDEX('1-DATA'!$1:$1048576,IF(OR($B757="STD. DEVIATION",$C$1=1),$A757,$A757+1),COLUMN('1-DATA'!G755)),IF($B757="STD. DEVIATION",2,$F$1))))</f>
        <v/>
      </c>
      <c r="I757" s="1" t="str">
        <f>IF(OR($B757="",I$7=""),"",IF($B757="MEANS",INDEX('1-DATA'!$1:$1048576,$A756-1,COLUMN('1-DATA'!H755)),ROUND(INDEX('1-DATA'!$1:$1048576,IF(OR($B757="STD. DEVIATION",$C$1=1),$A757,$A757+1),COLUMN('1-DATA'!H755)),IF($B757="STD. DEVIATION",2,$F$1))))</f>
        <v/>
      </c>
      <c r="J757" s="1" t="str">
        <f>IF(OR($B757="",J$7=""),"",IF($B757="MEANS",INDEX('1-DATA'!$1:$1048576,$A756-1,COLUMN('1-DATA'!I755)),ROUND(INDEX('1-DATA'!$1:$1048576,IF(OR($B757="STD. DEVIATION",$C$1=1),$A757,$A757+1),COLUMN('1-DATA'!I755)),IF($B757="STD. DEVIATION",2,$F$1))))</f>
        <v/>
      </c>
      <c r="K757" s="1" t="str">
        <f>IF(OR($B757="",K$7=""),"",IF($B757="MEANS",INDEX('1-DATA'!$1:$1048576,$A756-1,COLUMN('1-DATA'!J755)),ROUND(INDEX('1-DATA'!$1:$1048576,IF(OR($B757="STD. DEVIATION",$C$1=1),$A757,$A757+1),COLUMN('1-DATA'!J755)),IF($B757="STD. DEVIATION",2,$F$1))))</f>
        <v/>
      </c>
      <c r="L757" s="1" t="str">
        <f>IF(OR($B757="",L$7=""),"",IF($B757="MEANS",INDEX('1-DATA'!$1:$1048576,$A756-1,COLUMN('1-DATA'!K755)),ROUND(INDEX('1-DATA'!$1:$1048576,IF(OR($B757="STD. DEVIATION",$C$1=1),$A757,$A757+1),COLUMN('1-DATA'!K755)),IF($B757="STD. DEVIATION",2,$F$1))))</f>
        <v/>
      </c>
      <c r="M757" s="1" t="str">
        <f>IF(OR($B757="",M$7=""),"",IF($B757="MEANS",INDEX('1-DATA'!$1:$1048576,$A756-1,COLUMN('1-DATA'!L755)),ROUND(INDEX('1-DATA'!$1:$1048576,IF(OR($B757="STD. DEVIATION",$C$1=1),$A757,$A757+1),COLUMN('1-DATA'!L755)),IF($B757="STD. DEVIATION",2,$F$1))))</f>
        <v/>
      </c>
      <c r="N757" s="1" t="str">
        <f>IF(OR($B757="",N$7=""),"",IF($B757="MEANS",INDEX('1-DATA'!$1:$1048576,$A756-1,COLUMN('1-DATA'!M755)),ROUND(INDEX('1-DATA'!$1:$1048576,IF(OR($B757="STD. DEVIATION",$C$1=1),$A757,$A757+1),COLUMN('1-DATA'!M755)),IF($B757="STD. DEVIATION",2,$F$1))))</f>
        <v/>
      </c>
      <c r="O757" s="1" t="str">
        <f>IF(OR($B757="",O$7=""),"",IF($B757="MEANS",INDEX('1-DATA'!$1:$1048576,$A756-1,COLUMN('1-DATA'!N755)),ROUND(INDEX('1-DATA'!$1:$1048576,IF(OR($B757="STD. DEVIATION",$C$1=1),$A757,$A757+1),COLUMN('1-DATA'!N755)),IF($B757="STD. DEVIATION",2,$F$1))))</f>
        <v/>
      </c>
      <c r="P757" s="1" t="str">
        <f>IF(OR($B757="",P$7=""),"",IF($B757="MEANS",INDEX('1-DATA'!$1:$1048576,$A756-1,COLUMN('1-DATA'!O755)),ROUND(INDEX('1-DATA'!$1:$1048576,IF(OR($B757="STD. DEVIATION",$C$1=1),$A757,$A757+1),COLUMN('1-DATA'!O755)),IF($B757="STD. DEVIATION",2,$F$1))))</f>
        <v/>
      </c>
      <c r="Q757" s="1" t="str">
        <f>IF(OR($B757="",Q$7=""),"",IF($B757="MEANS",INDEX('1-DATA'!$1:$1048576,$A756-1,COLUMN('1-DATA'!P755)),ROUND(INDEX('1-DATA'!$1:$1048576,IF(OR($B757="STD. DEVIATION",$C$1=1),$A757,$A757+1),COLUMN('1-DATA'!P755)),IF($B757="STD. DEVIATION",2,$F$1))))</f>
        <v/>
      </c>
      <c r="R757" s="1" t="str">
        <f>IF(OR($B757="",R$7=""),"",IF($B757="MEANS",INDEX('1-DATA'!$1:$1048576,$A756-1,COLUMN('1-DATA'!Q755)),ROUND(INDEX('1-DATA'!$1:$1048576,IF(OR($B757="STD. DEVIATION",$C$1=1),$A757,$A757+1),COLUMN('1-DATA'!Q755)),IF($B757="STD. DEVIATION",2,$F$1))))</f>
        <v/>
      </c>
      <c r="S757" s="1" t="str">
        <f>IF(OR($B757="",S$7=""),"",IF($B757="MEANS",INDEX('1-DATA'!$1:$1048576,$A756-1,COLUMN('1-DATA'!R755)),ROUND(INDEX('1-DATA'!$1:$1048576,IF(OR($B757="STD. DEVIATION",$C$1=1),$A757,$A757+1),COLUMN('1-DATA'!R755)),IF($B757="STD. DEVIATION",2,$F$1))))</f>
        <v/>
      </c>
      <c r="T757" s="1" t="str">
        <f>IF(OR($B757="",T$7=""),"",IF($B757="MEANS",INDEX('1-DATA'!$1:$1048576,$A756-1,COLUMN('1-DATA'!S755)),ROUND(INDEX('1-DATA'!$1:$1048576,IF(OR($B757="STD. DEVIATION",$C$1=1),$A757,$A757+1),COLUMN('1-DATA'!S755)),IF($B757="STD. DEVIATION",2,$F$1))))</f>
        <v/>
      </c>
      <c r="U757" s="1" t="str">
        <f>IF(OR($B757="",U$7=""),"",IF($B757="MEANS",INDEX('1-DATA'!$1:$1048576,$A756-1,COLUMN('1-DATA'!T755)),ROUND(INDEX('1-DATA'!$1:$1048576,IF(OR($B757="STD. DEVIATION",$C$1=1),$A757,$A757+1),COLUMN('1-DATA'!T755)),IF($B757="STD. DEVIATION",2,$F$1))))</f>
        <v/>
      </c>
      <c r="V757" s="1" t="str">
        <f>IF(OR($B757="",V$7=""),"",IF($B757="MEANS",INDEX('1-DATA'!$1:$1048576,$A756-1,COLUMN('1-DATA'!U755)),ROUND(INDEX('1-DATA'!$1:$1048576,IF(OR($B757="STD. DEVIATION",$C$1=1),$A757,$A757+1),COLUMN('1-DATA'!U755)),IF($B757="STD. DEVIATION",2,$F$1))))</f>
        <v/>
      </c>
      <c r="W757" s="1" t="str">
        <f>IF(OR($B757="",W$7=""),"",IF($B757="MEANS",INDEX('1-DATA'!$1:$1048576,$A756-1,COLUMN('1-DATA'!V755)),ROUND(INDEX('1-DATA'!$1:$1048576,IF(OR($B757="STD. DEVIATION",$C$1=1),$A757,$A757+1),COLUMN('1-DATA'!V755)),IF($B757="STD. DEVIATION",2,$F$1))))</f>
        <v/>
      </c>
      <c r="X757" s="1" t="str">
        <f>IF(OR($B757="",X$7=""),"",IF($B757="MEANS",INDEX('1-DATA'!$1:$1048576,$A756-1,COLUMN('1-DATA'!W755)),ROUND(INDEX('1-DATA'!$1:$1048576,IF(OR($B757="STD. DEVIATION",$C$1=1),$A757,$A757+1),COLUMN('1-DATA'!W755)),IF($B757="STD. DEVIATION",2,$F$1))))</f>
        <v/>
      </c>
      <c r="Y757" s="1" t="str">
        <f>IF(OR($B757="",Y$7=""),"",IF($B757="MEANS",INDEX('1-DATA'!$1:$1048576,$A756-1,COLUMN('1-DATA'!X755)),ROUND(INDEX('1-DATA'!$1:$1048576,IF(OR($B757="STD. DEVIATION",$C$1=1),$A757,$A757+1),COLUMN('1-DATA'!X755)),IF($B757="STD. DEVIATION",2,$F$1))))</f>
        <v/>
      </c>
      <c r="Z757" s="1" t="str">
        <f>IF(OR($B757="",Z$7=""),"",IF($B757="MEANS",INDEX('1-DATA'!$1:$1048576,$A756-1,COLUMN('1-DATA'!Y755)),ROUND(INDEX('1-DATA'!$1:$1048576,IF(OR($B757="STD. DEVIATION",$C$1=1),$A757,$A757+1),COLUMN('1-DATA'!Y755)),IF($B757="STD. DEVIATION",2,$F$1))))</f>
        <v/>
      </c>
      <c r="AA757" s="1" t="str">
        <f>IF(OR($B757="",AA$7=""),"",IF($B757="MEANS",INDEX('1-DATA'!$1:$1048576,$A756-1,COLUMN('1-DATA'!Z755)),ROUND(INDEX('1-DATA'!$1:$1048576,IF(OR($B757="STD. DEVIATION",$C$1=1),$A757,$A757+1),COLUMN('1-DATA'!Z755)),IF($B757="STD. DEVIATION",2,$F$1))))</f>
        <v/>
      </c>
      <c r="AB757" s="1" t="str">
        <f>IF(OR($B757="",AB$7=""),"",IF($B757="MEANS",INDEX('1-DATA'!$1:$1048576,$A756-1,COLUMN('1-DATA'!AA755)),ROUND(INDEX('1-DATA'!$1:$1048576,IF(OR($B757="STD. DEVIATION",$C$1=1),$A757,$A757+1),COLUMN('1-DATA'!AA755)),IF($B757="STD. DEVIATION",2,$F$1))))</f>
        <v/>
      </c>
      <c r="AC757" s="1" t="str">
        <f>IF(OR($B757="",AC$7=""),"",IF($B757="MEANS",INDEX('1-DATA'!$1:$1048576,$A756-1,COLUMN('1-DATA'!AB755)),ROUND(INDEX('1-DATA'!$1:$1048576,IF(OR($B757="STD. DEVIATION",$C$1=1),$A757,$A757+1),COLUMN('1-DATA'!AB755)),IF($B757="STD. DEVIATION",2,$F$1))))</f>
        <v/>
      </c>
      <c r="AD757" s="1" t="str">
        <f>IF(OR($B757="",AD$7=""),"",IF($B757="MEANS",INDEX('1-DATA'!$1:$1048576,$A756-1,COLUMN('1-DATA'!AC755)),ROUND(INDEX('1-DATA'!$1:$1048576,IF(OR($B757="STD. DEVIATION",$C$1=1),$A757,$A757+1),COLUMN('1-DATA'!AC755)),IF($B757="STD. DEVIATION",2,$F$1))))</f>
        <v/>
      </c>
      <c r="AE757" s="1" t="str">
        <f>IF(OR($B757="",AE$7=""),"",IF($B757="MEANS",INDEX('1-DATA'!$1:$1048576,$A756-1,COLUMN('1-DATA'!AD755)),ROUND(INDEX('1-DATA'!$1:$1048576,IF(OR($B757="STD. DEVIATION",$C$1=1),$A757,$A757+1),COLUMN('1-DATA'!AD755)),IF($B757="STD. DEVIATION",2,$F$1))))</f>
        <v/>
      </c>
      <c r="AF757" s="1" t="str">
        <f>IF(OR($B757="",AF$7=""),"",IF($B757="MEANS",INDEX('1-DATA'!$1:$1048576,$A756-1,COLUMN('1-DATA'!AE755)),ROUND(INDEX('1-DATA'!$1:$1048576,IF(OR($B757="STD. DEVIATION",$C$1=1),$A757,$A757+1),COLUMN('1-DATA'!AE755)),IF($B757="STD. DEVIATION",2,$F$1))))</f>
        <v/>
      </c>
      <c r="AG757" s="1" t="str">
        <f>IF(OR($B757="",AG$7=""),"",IF($B757="MEANS",INDEX('1-DATA'!$1:$1048576,$A756-1,COLUMN('1-DATA'!AF755)),ROUND(INDEX('1-DATA'!$1:$1048576,IF(OR($B757="STD. DEVIATION",$C$1=1),$A757,$A757+1),COLUMN('1-DATA'!AF755)),IF($B757="STD. DEVIATION",2,$F$1))))</f>
        <v/>
      </c>
      <c r="AH757" s="1" t="str">
        <f>IF(OR($B757="",AH$7=""),"",IF($B757="MEANS",INDEX('1-DATA'!$1:$1048576,$A756-1,COLUMN('1-DATA'!AG755)),ROUND(INDEX('1-DATA'!$1:$1048576,IF(OR($B757="STD. DEVIATION",$C$1=1),$A757,$A757+1),COLUMN('1-DATA'!AG755)),IF($B757="STD. DEVIATION",2,$F$1))))</f>
        <v/>
      </c>
      <c r="AI757" s="1" t="str">
        <f>IF(OR($B757="",AI$7=""),"",IF($B757="MEANS",INDEX('1-DATA'!$1:$1048576,$A756-1,COLUMN('1-DATA'!AH755)),ROUND(INDEX('1-DATA'!$1:$1048576,IF(OR($B757="STD. DEVIATION",$C$1=1),$A757,$A757+1),COLUMN('1-DATA'!AH755)),IF($B757="STD. DEVIATION",2,$F$1))))</f>
        <v/>
      </c>
      <c r="AJ757" s="1" t="str">
        <f>IF(OR($B757="",AJ$7=""),"",IF($B757="MEANS",INDEX('1-DATA'!$1:$1048576,$A756-1,COLUMN('1-DATA'!AI755)),ROUND(INDEX('1-DATA'!$1:$1048576,IF(OR($B757="STD. DEVIATION",$C$1=1),$A757,$A757+1),COLUMN('1-DATA'!AI755)),IF($B757="STD. DEVIATION",2,$F$1))))</f>
        <v/>
      </c>
      <c r="AK757" s="1" t="str">
        <f>IF(OR($B757="",AK$7=""),"",IF($B757="MEANS",INDEX('1-DATA'!$1:$1048576,$A756-1,COLUMN('1-DATA'!AJ755)),ROUND(INDEX('1-DATA'!$1:$1048576,IF(OR($B757="STD. DEVIATION",$C$1=1),$A757,$A757+1),COLUMN('1-DATA'!AJ755)),IF($B757="STD. DEVIATION",2,$F$1))))</f>
        <v/>
      </c>
      <c r="AL757" s="1" t="str">
        <f>IF(OR($B757="",AL$7=""),"",IF($B757="MEANS",INDEX('1-DATA'!$1:$1048576,$A756-1,COLUMN('1-DATA'!AK755)),ROUND(INDEX('1-DATA'!$1:$1048576,IF(OR($B757="STD. DEVIATION",$C$1=1),$A757,$A757+1),COLUMN('1-DATA'!AK755)),IF($B757="STD. DEVIATION",2,$F$1))))</f>
        <v/>
      </c>
      <c r="AM757" s="1" t="str">
        <f>IF(OR($B757="",AM$7=""),"",IF($B757="MEANS",INDEX('1-DATA'!$1:$1048576,$A756-1,COLUMN('1-DATA'!AL755)),ROUND(INDEX('1-DATA'!$1:$1048576,IF(OR($B757="STD. DEVIATION",$C$1=1),$A757,$A757+1),COLUMN('1-DATA'!AL755)),IF($B757="STD. DEVIATION",2,$F$1))))</f>
        <v/>
      </c>
      <c r="AN757" s="1" t="str">
        <f>IF(OR($B757="",AN$7=""),"",IF($B757="MEANS",INDEX('1-DATA'!$1:$1048576,$A756-1,COLUMN('1-DATA'!AM755)),ROUND(INDEX('1-DATA'!$1:$1048576,IF(OR($B757="STD. DEVIATION",$C$1=1),$A757,$A757+1),COLUMN('1-DATA'!AM755)),IF($B757="STD. DEVIATION",2,$F$1))))</f>
        <v/>
      </c>
      <c r="AO757" s="1" t="str">
        <f>IF(OR($B757="",AO$7=""),"",IF($B757="MEANS",INDEX('1-DATA'!$1:$1048576,$A756-1,COLUMN('1-DATA'!AN755)),ROUND(INDEX('1-DATA'!$1:$1048576,IF(OR($B757="STD. DEVIATION",$C$1=1),$A757,$A757+1),COLUMN('1-DATA'!AN755)),IF($B757="STD. DEVIATION",2,$F$1))))</f>
        <v/>
      </c>
      <c r="AP757" s="1" t="str">
        <f>IF(OR($B757="",AP$7=""),"",IF($B757="MEANS",INDEX('1-DATA'!$1:$1048576,$A756-1,COLUMN('1-DATA'!AO755)),ROUND(INDEX('1-DATA'!$1:$1048576,IF(OR($B757="STD. DEVIATION",$C$1=1),$A757,$A757+1),COLUMN('1-DATA'!AO755)),IF($B757="STD. DEVIATION",2,$F$1))))</f>
        <v/>
      </c>
      <c r="AQ757" s="1" t="str">
        <f>IF(OR($B757="",AQ$7=""),"",IF($B757="MEANS",INDEX('1-DATA'!$1:$1048576,$A756-1,COLUMN('1-DATA'!AP755)),ROUND(INDEX('1-DATA'!$1:$1048576,IF(OR($B757="STD. DEVIATION",$C$1=1),$A757,$A757+1),COLUMN('1-DATA'!AP755)),IF($B757="STD. DEVIATION",2,$F$1))))</f>
        <v/>
      </c>
      <c r="AR757" s="1" t="str">
        <f>IF(OR($B757="",AR$7=""),"",IF($B757="MEANS",INDEX('1-DATA'!$1:$1048576,$A756-1,COLUMN('1-DATA'!AQ755)),ROUND(INDEX('1-DATA'!$1:$1048576,IF(OR($B757="STD. DEVIATION",$C$1=1),$A757,$A757+1),COLUMN('1-DATA'!AQ755)),IF($B757="STD. DEVIATION",2,$F$1))))</f>
        <v/>
      </c>
      <c r="AS757" s="1" t="str">
        <f>IF(OR($B757="",AS$7=""),"",IF($B757="MEANS",INDEX('1-DATA'!$1:$1048576,$A756-1,COLUMN('1-DATA'!AR755)),ROUND(INDEX('1-DATA'!$1:$1048576,IF(OR($B757="STD. DEVIATION",$C$1=1),$A757,$A757+1),COLUMN('1-DATA'!AR755)),IF($B757="STD. DEVIATION",2,$F$1))))</f>
        <v/>
      </c>
      <c r="AT757" s="1" t="str">
        <f>IF(OR($B757="",AT$7=""),"",IF($B757="MEANS",INDEX('1-DATA'!$1:$1048576,$A756-1,COLUMN('1-DATA'!AS755)),ROUND(INDEX('1-DATA'!$1:$1048576,IF(OR($B757="STD. DEVIATION",$C$1=1),$A757,$A757+1),COLUMN('1-DATA'!AS755)),IF($B757="STD. DEVIATION",2,$F$1))))</f>
        <v/>
      </c>
      <c r="AU757" s="1" t="str">
        <f>IF(OR($B757="",AU$7=""),"",IF($B757="MEANS",INDEX('1-DATA'!$1:$1048576,$A756-1,COLUMN('1-DATA'!AT755)),ROUND(INDEX('1-DATA'!$1:$1048576,IF(OR($B757="STD. DEVIATION",$C$1=1),$A757,$A757+1),COLUMN('1-DATA'!AT755)),IF($B757="STD. DEVIATION",2,$F$1))))</f>
        <v/>
      </c>
      <c r="AV757" s="1" t="str">
        <f>IF(OR($B757="",AV$7=""),"",IF($B757="MEANS",INDEX('1-DATA'!$1:$1048576,$A756-1,COLUMN('1-DATA'!AU755)),ROUND(INDEX('1-DATA'!$1:$1048576,IF(OR($B757="STD. DEVIATION",$C$1=1),$A757,$A757+1),COLUMN('1-DATA'!AU755)),IF($B757="STD. DEVIATION",2,$F$1))))</f>
        <v/>
      </c>
      <c r="AW757" s="1" t="str">
        <f>IF(OR($B757="",AW$7=""),"",IF($B757="MEANS",INDEX('1-DATA'!$1:$1048576,$A756-1,COLUMN('1-DATA'!AV755)),ROUND(INDEX('1-DATA'!$1:$1048576,IF(OR($B757="STD. DEVIATION",$C$1=1),$A757,$A757+1),COLUMN('1-DATA'!AV755)),IF($B757="STD. DEVIATION",2,$F$1))))</f>
        <v/>
      </c>
      <c r="AX757" s="1" t="str">
        <f>IF(OR($B757="",AX$7=""),"",IF($B757="MEANS",INDEX('1-DATA'!$1:$1048576,$A756-1,COLUMN('1-DATA'!AW755)),ROUND(INDEX('1-DATA'!$1:$1048576,IF(OR($B757="STD. DEVIATION",$C$1=1),$A757,$A757+1),COLUMN('1-DATA'!AW755)),IF($B757="STD. DEVIATION",2,$F$1))))</f>
        <v/>
      </c>
      <c r="AY757" s="1" t="str">
        <f>IF(OR($B757="",AY$7=""),"",IF($B757="MEANS",INDEX('1-DATA'!$1:$1048576,$A756-1,COLUMN('1-DATA'!AX755)),ROUND(INDEX('1-DATA'!$1:$1048576,IF(OR($B757="STD. DEVIATION",$C$1=1),$A757,$A757+1),COLUMN('1-DATA'!AX755)),IF($B757="STD. DEVIATION",2,$F$1))))</f>
        <v/>
      </c>
      <c r="AZ757" s="1" t="str">
        <f>IF(OR($B757="",AZ$7=""),"",IF($B757="MEANS",INDEX('1-DATA'!$1:$1048576,$A756-1,COLUMN('1-DATA'!AY755)),ROUND(INDEX('1-DATA'!$1:$1048576,IF(OR($B757="STD. DEVIATION",$C$1=1),$A757,$A757+1),COLUMN('1-DATA'!AY755)),IF($B757="STD. DEVIATION",2,$F$1))))</f>
        <v/>
      </c>
    </row>
    <row r="758" spans="1:52" x14ac:dyDescent="0.25">
      <c r="A758" s="11">
        <f t="shared" si="12"/>
        <v>2260</v>
      </c>
      <c r="B758" s="1" t="str">
        <f>IF(B757="STD. DEVIATION",INDEX('1-DATA'!$1:$1048576,$A757-1,1),IF(INDEX('1-DATA'!$1:$1048576,$A758,1)&lt;&gt;"",INDEX('1-DATA'!$1:$1048576,$A758,1),""))</f>
        <v/>
      </c>
      <c r="C758" s="1" t="str">
        <f>IF(OR($B758="",C$7=""),"",IF($B758="MEANS",INDEX('1-DATA'!$1:$1048576,$A757-1,COLUMN('1-DATA'!B756)),ROUND(INDEX('1-DATA'!$1:$1048576,IF(OR($B758="STD. DEVIATION",$C$1=1),$A758,$A758+1),COLUMN('1-DATA'!B756)),IF($B758="STD. DEVIATION",2,$F$1))))</f>
        <v/>
      </c>
      <c r="D758" s="1" t="str">
        <f>IF(OR($B758="",D$7=""),"",IF($B758="MEANS",INDEX('1-DATA'!$1:$1048576,$A757-1,COLUMN('1-DATA'!C756)),ROUND(INDEX('1-DATA'!$1:$1048576,IF(OR($B758="STD. DEVIATION",$C$1=1),$A758,$A758+1),COLUMN('1-DATA'!C756)),IF($B758="STD. DEVIATION",2,$F$1))))</f>
        <v/>
      </c>
      <c r="E758" s="1" t="str">
        <f>IF(OR($B758="",E$7=""),"",IF($B758="MEANS",INDEX('1-DATA'!$1:$1048576,$A757-1,COLUMN('1-DATA'!D756)),ROUND(INDEX('1-DATA'!$1:$1048576,IF(OR($B758="STD. DEVIATION",$C$1=1),$A758,$A758+1),COLUMN('1-DATA'!D756)),IF($B758="STD. DEVIATION",2,$F$1))))</f>
        <v/>
      </c>
      <c r="F758" s="1" t="str">
        <f>IF(OR($B758="",F$7=""),"",IF($B758="MEANS",INDEX('1-DATA'!$1:$1048576,$A757-1,COLUMN('1-DATA'!E756)),ROUND(INDEX('1-DATA'!$1:$1048576,IF(OR($B758="STD. DEVIATION",$C$1=1),$A758,$A758+1),COLUMN('1-DATA'!E756)),IF($B758="STD. DEVIATION",2,$F$1))))</f>
        <v/>
      </c>
      <c r="G758" s="1" t="str">
        <f>IF(OR($B758="",G$7=""),"",IF($B758="MEANS",INDEX('1-DATA'!$1:$1048576,$A757-1,COLUMN('1-DATA'!F756)),ROUND(INDEX('1-DATA'!$1:$1048576,IF(OR($B758="STD. DEVIATION",$C$1=1),$A758,$A758+1),COLUMN('1-DATA'!F756)),IF($B758="STD. DEVIATION",2,$F$1))))</f>
        <v/>
      </c>
      <c r="H758" s="1" t="str">
        <f>IF(OR($B758="",H$7=""),"",IF($B758="MEANS",INDEX('1-DATA'!$1:$1048576,$A757-1,COLUMN('1-DATA'!G756)),ROUND(INDEX('1-DATA'!$1:$1048576,IF(OR($B758="STD. DEVIATION",$C$1=1),$A758,$A758+1),COLUMN('1-DATA'!G756)),IF($B758="STD. DEVIATION",2,$F$1))))</f>
        <v/>
      </c>
      <c r="I758" s="1" t="str">
        <f>IF(OR($B758="",I$7=""),"",IF($B758="MEANS",INDEX('1-DATA'!$1:$1048576,$A757-1,COLUMN('1-DATA'!H756)),ROUND(INDEX('1-DATA'!$1:$1048576,IF(OR($B758="STD. DEVIATION",$C$1=1),$A758,$A758+1),COLUMN('1-DATA'!H756)),IF($B758="STD. DEVIATION",2,$F$1))))</f>
        <v/>
      </c>
      <c r="J758" s="1" t="str">
        <f>IF(OR($B758="",J$7=""),"",IF($B758="MEANS",INDEX('1-DATA'!$1:$1048576,$A757-1,COLUMN('1-DATA'!I756)),ROUND(INDEX('1-DATA'!$1:$1048576,IF(OR($B758="STD. DEVIATION",$C$1=1),$A758,$A758+1),COLUMN('1-DATA'!I756)),IF($B758="STD. DEVIATION",2,$F$1))))</f>
        <v/>
      </c>
      <c r="K758" s="1" t="str">
        <f>IF(OR($B758="",K$7=""),"",IF($B758="MEANS",INDEX('1-DATA'!$1:$1048576,$A757-1,COLUMN('1-DATA'!J756)),ROUND(INDEX('1-DATA'!$1:$1048576,IF(OR($B758="STD. DEVIATION",$C$1=1),$A758,$A758+1),COLUMN('1-DATA'!J756)),IF($B758="STD. DEVIATION",2,$F$1))))</f>
        <v/>
      </c>
      <c r="L758" s="1" t="str">
        <f>IF(OR($B758="",L$7=""),"",IF($B758="MEANS",INDEX('1-DATA'!$1:$1048576,$A757-1,COLUMN('1-DATA'!K756)),ROUND(INDEX('1-DATA'!$1:$1048576,IF(OR($B758="STD. DEVIATION",$C$1=1),$A758,$A758+1),COLUMN('1-DATA'!K756)),IF($B758="STD. DEVIATION",2,$F$1))))</f>
        <v/>
      </c>
      <c r="M758" s="1" t="str">
        <f>IF(OR($B758="",M$7=""),"",IF($B758="MEANS",INDEX('1-DATA'!$1:$1048576,$A757-1,COLUMN('1-DATA'!L756)),ROUND(INDEX('1-DATA'!$1:$1048576,IF(OR($B758="STD. DEVIATION",$C$1=1),$A758,$A758+1),COLUMN('1-DATA'!L756)),IF($B758="STD. DEVIATION",2,$F$1))))</f>
        <v/>
      </c>
      <c r="N758" s="1" t="str">
        <f>IF(OR($B758="",N$7=""),"",IF($B758="MEANS",INDEX('1-DATA'!$1:$1048576,$A757-1,COLUMN('1-DATA'!M756)),ROUND(INDEX('1-DATA'!$1:$1048576,IF(OR($B758="STD. DEVIATION",$C$1=1),$A758,$A758+1),COLUMN('1-DATA'!M756)),IF($B758="STD. DEVIATION",2,$F$1))))</f>
        <v/>
      </c>
      <c r="O758" s="1" t="str">
        <f>IF(OR($B758="",O$7=""),"",IF($B758="MEANS",INDEX('1-DATA'!$1:$1048576,$A757-1,COLUMN('1-DATA'!N756)),ROUND(INDEX('1-DATA'!$1:$1048576,IF(OR($B758="STD. DEVIATION",$C$1=1),$A758,$A758+1),COLUMN('1-DATA'!N756)),IF($B758="STD. DEVIATION",2,$F$1))))</f>
        <v/>
      </c>
      <c r="P758" s="1" t="str">
        <f>IF(OR($B758="",P$7=""),"",IF($B758="MEANS",INDEX('1-DATA'!$1:$1048576,$A757-1,COLUMN('1-DATA'!O756)),ROUND(INDEX('1-DATA'!$1:$1048576,IF(OR($B758="STD. DEVIATION",$C$1=1),$A758,$A758+1),COLUMN('1-DATA'!O756)),IF($B758="STD. DEVIATION",2,$F$1))))</f>
        <v/>
      </c>
      <c r="Q758" s="1" t="str">
        <f>IF(OR($B758="",Q$7=""),"",IF($B758="MEANS",INDEX('1-DATA'!$1:$1048576,$A757-1,COLUMN('1-DATA'!P756)),ROUND(INDEX('1-DATA'!$1:$1048576,IF(OR($B758="STD. DEVIATION",$C$1=1),$A758,$A758+1),COLUMN('1-DATA'!P756)),IF($B758="STD. DEVIATION",2,$F$1))))</f>
        <v/>
      </c>
      <c r="R758" s="1" t="str">
        <f>IF(OR($B758="",R$7=""),"",IF($B758="MEANS",INDEX('1-DATA'!$1:$1048576,$A757-1,COLUMN('1-DATA'!Q756)),ROUND(INDEX('1-DATA'!$1:$1048576,IF(OR($B758="STD. DEVIATION",$C$1=1),$A758,$A758+1),COLUMN('1-DATA'!Q756)),IF($B758="STD. DEVIATION",2,$F$1))))</f>
        <v/>
      </c>
      <c r="S758" s="1" t="str">
        <f>IF(OR($B758="",S$7=""),"",IF($B758="MEANS",INDEX('1-DATA'!$1:$1048576,$A757-1,COLUMN('1-DATA'!R756)),ROUND(INDEX('1-DATA'!$1:$1048576,IF(OR($B758="STD. DEVIATION",$C$1=1),$A758,$A758+1),COLUMN('1-DATA'!R756)),IF($B758="STD. DEVIATION",2,$F$1))))</f>
        <v/>
      </c>
      <c r="T758" s="1" t="str">
        <f>IF(OR($B758="",T$7=""),"",IF($B758="MEANS",INDEX('1-DATA'!$1:$1048576,$A757-1,COLUMN('1-DATA'!S756)),ROUND(INDEX('1-DATA'!$1:$1048576,IF(OR($B758="STD. DEVIATION",$C$1=1),$A758,$A758+1),COLUMN('1-DATA'!S756)),IF($B758="STD. DEVIATION",2,$F$1))))</f>
        <v/>
      </c>
      <c r="U758" s="1" t="str">
        <f>IF(OR($B758="",U$7=""),"",IF($B758="MEANS",INDEX('1-DATA'!$1:$1048576,$A757-1,COLUMN('1-DATA'!T756)),ROUND(INDEX('1-DATA'!$1:$1048576,IF(OR($B758="STD. DEVIATION",$C$1=1),$A758,$A758+1),COLUMN('1-DATA'!T756)),IF($B758="STD. DEVIATION",2,$F$1))))</f>
        <v/>
      </c>
      <c r="V758" s="1" t="str">
        <f>IF(OR($B758="",V$7=""),"",IF($B758="MEANS",INDEX('1-DATA'!$1:$1048576,$A757-1,COLUMN('1-DATA'!U756)),ROUND(INDEX('1-DATA'!$1:$1048576,IF(OR($B758="STD. DEVIATION",$C$1=1),$A758,$A758+1),COLUMN('1-DATA'!U756)),IF($B758="STD. DEVIATION",2,$F$1))))</f>
        <v/>
      </c>
      <c r="W758" s="1" t="str">
        <f>IF(OR($B758="",W$7=""),"",IF($B758="MEANS",INDEX('1-DATA'!$1:$1048576,$A757-1,COLUMN('1-DATA'!V756)),ROUND(INDEX('1-DATA'!$1:$1048576,IF(OR($B758="STD. DEVIATION",$C$1=1),$A758,$A758+1),COLUMN('1-DATA'!V756)),IF($B758="STD. DEVIATION",2,$F$1))))</f>
        <v/>
      </c>
      <c r="X758" s="1" t="str">
        <f>IF(OR($B758="",X$7=""),"",IF($B758="MEANS",INDEX('1-DATA'!$1:$1048576,$A757-1,COLUMN('1-DATA'!W756)),ROUND(INDEX('1-DATA'!$1:$1048576,IF(OR($B758="STD. DEVIATION",$C$1=1),$A758,$A758+1),COLUMN('1-DATA'!W756)),IF($B758="STD. DEVIATION",2,$F$1))))</f>
        <v/>
      </c>
      <c r="Y758" s="1" t="str">
        <f>IF(OR($B758="",Y$7=""),"",IF($B758="MEANS",INDEX('1-DATA'!$1:$1048576,$A757-1,COLUMN('1-DATA'!X756)),ROUND(INDEX('1-DATA'!$1:$1048576,IF(OR($B758="STD. DEVIATION",$C$1=1),$A758,$A758+1),COLUMN('1-DATA'!X756)),IF($B758="STD. DEVIATION",2,$F$1))))</f>
        <v/>
      </c>
      <c r="Z758" s="1" t="str">
        <f>IF(OR($B758="",Z$7=""),"",IF($B758="MEANS",INDEX('1-DATA'!$1:$1048576,$A757-1,COLUMN('1-DATA'!Y756)),ROUND(INDEX('1-DATA'!$1:$1048576,IF(OR($B758="STD. DEVIATION",$C$1=1),$A758,$A758+1),COLUMN('1-DATA'!Y756)),IF($B758="STD. DEVIATION",2,$F$1))))</f>
        <v/>
      </c>
      <c r="AA758" s="1" t="str">
        <f>IF(OR($B758="",AA$7=""),"",IF($B758="MEANS",INDEX('1-DATA'!$1:$1048576,$A757-1,COLUMN('1-DATA'!Z756)),ROUND(INDEX('1-DATA'!$1:$1048576,IF(OR($B758="STD. DEVIATION",$C$1=1),$A758,$A758+1),COLUMN('1-DATA'!Z756)),IF($B758="STD. DEVIATION",2,$F$1))))</f>
        <v/>
      </c>
      <c r="AB758" s="1" t="str">
        <f>IF(OR($B758="",AB$7=""),"",IF($B758="MEANS",INDEX('1-DATA'!$1:$1048576,$A757-1,COLUMN('1-DATA'!AA756)),ROUND(INDEX('1-DATA'!$1:$1048576,IF(OR($B758="STD. DEVIATION",$C$1=1),$A758,$A758+1),COLUMN('1-DATA'!AA756)),IF($B758="STD. DEVIATION",2,$F$1))))</f>
        <v/>
      </c>
      <c r="AC758" s="1" t="str">
        <f>IF(OR($B758="",AC$7=""),"",IF($B758="MEANS",INDEX('1-DATA'!$1:$1048576,$A757-1,COLUMN('1-DATA'!AB756)),ROUND(INDEX('1-DATA'!$1:$1048576,IF(OR($B758="STD. DEVIATION",$C$1=1),$A758,$A758+1),COLUMN('1-DATA'!AB756)),IF($B758="STD. DEVIATION",2,$F$1))))</f>
        <v/>
      </c>
      <c r="AD758" s="1" t="str">
        <f>IF(OR($B758="",AD$7=""),"",IF($B758="MEANS",INDEX('1-DATA'!$1:$1048576,$A757-1,COLUMN('1-DATA'!AC756)),ROUND(INDEX('1-DATA'!$1:$1048576,IF(OR($B758="STD. DEVIATION",$C$1=1),$A758,$A758+1),COLUMN('1-DATA'!AC756)),IF($B758="STD. DEVIATION",2,$F$1))))</f>
        <v/>
      </c>
      <c r="AE758" s="1" t="str">
        <f>IF(OR($B758="",AE$7=""),"",IF($B758="MEANS",INDEX('1-DATA'!$1:$1048576,$A757-1,COLUMN('1-DATA'!AD756)),ROUND(INDEX('1-DATA'!$1:$1048576,IF(OR($B758="STD. DEVIATION",$C$1=1),$A758,$A758+1),COLUMN('1-DATA'!AD756)),IF($B758="STD. DEVIATION",2,$F$1))))</f>
        <v/>
      </c>
      <c r="AF758" s="1" t="str">
        <f>IF(OR($B758="",AF$7=""),"",IF($B758="MEANS",INDEX('1-DATA'!$1:$1048576,$A757-1,COLUMN('1-DATA'!AE756)),ROUND(INDEX('1-DATA'!$1:$1048576,IF(OR($B758="STD. DEVIATION",$C$1=1),$A758,$A758+1),COLUMN('1-DATA'!AE756)),IF($B758="STD. DEVIATION",2,$F$1))))</f>
        <v/>
      </c>
      <c r="AG758" s="1" t="str">
        <f>IF(OR($B758="",AG$7=""),"",IF($B758="MEANS",INDEX('1-DATA'!$1:$1048576,$A757-1,COLUMN('1-DATA'!AF756)),ROUND(INDEX('1-DATA'!$1:$1048576,IF(OR($B758="STD. DEVIATION",$C$1=1),$A758,$A758+1),COLUMN('1-DATA'!AF756)),IF($B758="STD. DEVIATION",2,$F$1))))</f>
        <v/>
      </c>
      <c r="AH758" s="1" t="str">
        <f>IF(OR($B758="",AH$7=""),"",IF($B758="MEANS",INDEX('1-DATA'!$1:$1048576,$A757-1,COLUMN('1-DATA'!AG756)),ROUND(INDEX('1-DATA'!$1:$1048576,IF(OR($B758="STD. DEVIATION",$C$1=1),$A758,$A758+1),COLUMN('1-DATA'!AG756)),IF($B758="STD. DEVIATION",2,$F$1))))</f>
        <v/>
      </c>
      <c r="AI758" s="1" t="str">
        <f>IF(OR($B758="",AI$7=""),"",IF($B758="MEANS",INDEX('1-DATA'!$1:$1048576,$A757-1,COLUMN('1-DATA'!AH756)),ROUND(INDEX('1-DATA'!$1:$1048576,IF(OR($B758="STD. DEVIATION",$C$1=1),$A758,$A758+1),COLUMN('1-DATA'!AH756)),IF($B758="STD. DEVIATION",2,$F$1))))</f>
        <v/>
      </c>
      <c r="AJ758" s="1" t="str">
        <f>IF(OR($B758="",AJ$7=""),"",IF($B758="MEANS",INDEX('1-DATA'!$1:$1048576,$A757-1,COLUMN('1-DATA'!AI756)),ROUND(INDEX('1-DATA'!$1:$1048576,IF(OR($B758="STD. DEVIATION",$C$1=1),$A758,$A758+1),COLUMN('1-DATA'!AI756)),IF($B758="STD. DEVIATION",2,$F$1))))</f>
        <v/>
      </c>
      <c r="AK758" s="1" t="str">
        <f>IF(OR($B758="",AK$7=""),"",IF($B758="MEANS",INDEX('1-DATA'!$1:$1048576,$A757-1,COLUMN('1-DATA'!AJ756)),ROUND(INDEX('1-DATA'!$1:$1048576,IF(OR($B758="STD. DEVIATION",$C$1=1),$A758,$A758+1),COLUMN('1-DATA'!AJ756)),IF($B758="STD. DEVIATION",2,$F$1))))</f>
        <v/>
      </c>
      <c r="AL758" s="1" t="str">
        <f>IF(OR($B758="",AL$7=""),"",IF($B758="MEANS",INDEX('1-DATA'!$1:$1048576,$A757-1,COLUMN('1-DATA'!AK756)),ROUND(INDEX('1-DATA'!$1:$1048576,IF(OR($B758="STD. DEVIATION",$C$1=1),$A758,$A758+1),COLUMN('1-DATA'!AK756)),IF($B758="STD. DEVIATION",2,$F$1))))</f>
        <v/>
      </c>
      <c r="AM758" s="1" t="str">
        <f>IF(OR($B758="",AM$7=""),"",IF($B758="MEANS",INDEX('1-DATA'!$1:$1048576,$A757-1,COLUMN('1-DATA'!AL756)),ROUND(INDEX('1-DATA'!$1:$1048576,IF(OR($B758="STD. DEVIATION",$C$1=1),$A758,$A758+1),COLUMN('1-DATA'!AL756)),IF($B758="STD. DEVIATION",2,$F$1))))</f>
        <v/>
      </c>
      <c r="AN758" s="1" t="str">
        <f>IF(OR($B758="",AN$7=""),"",IF($B758="MEANS",INDEX('1-DATA'!$1:$1048576,$A757-1,COLUMN('1-DATA'!AM756)),ROUND(INDEX('1-DATA'!$1:$1048576,IF(OR($B758="STD. DEVIATION",$C$1=1),$A758,$A758+1),COLUMN('1-DATA'!AM756)),IF($B758="STD. DEVIATION",2,$F$1))))</f>
        <v/>
      </c>
      <c r="AO758" s="1" t="str">
        <f>IF(OR($B758="",AO$7=""),"",IF($B758="MEANS",INDEX('1-DATA'!$1:$1048576,$A757-1,COLUMN('1-DATA'!AN756)),ROUND(INDEX('1-DATA'!$1:$1048576,IF(OR($B758="STD. DEVIATION",$C$1=1),$A758,$A758+1),COLUMN('1-DATA'!AN756)),IF($B758="STD. DEVIATION",2,$F$1))))</f>
        <v/>
      </c>
      <c r="AP758" s="1" t="str">
        <f>IF(OR($B758="",AP$7=""),"",IF($B758="MEANS",INDEX('1-DATA'!$1:$1048576,$A757-1,COLUMN('1-DATA'!AO756)),ROUND(INDEX('1-DATA'!$1:$1048576,IF(OR($B758="STD. DEVIATION",$C$1=1),$A758,$A758+1),COLUMN('1-DATA'!AO756)),IF($B758="STD. DEVIATION",2,$F$1))))</f>
        <v/>
      </c>
      <c r="AQ758" s="1" t="str">
        <f>IF(OR($B758="",AQ$7=""),"",IF($B758="MEANS",INDEX('1-DATA'!$1:$1048576,$A757-1,COLUMN('1-DATA'!AP756)),ROUND(INDEX('1-DATA'!$1:$1048576,IF(OR($B758="STD. DEVIATION",$C$1=1),$A758,$A758+1),COLUMN('1-DATA'!AP756)),IF($B758="STD. DEVIATION",2,$F$1))))</f>
        <v/>
      </c>
      <c r="AR758" s="1" t="str">
        <f>IF(OR($B758="",AR$7=""),"",IF($B758="MEANS",INDEX('1-DATA'!$1:$1048576,$A757-1,COLUMN('1-DATA'!AQ756)),ROUND(INDEX('1-DATA'!$1:$1048576,IF(OR($B758="STD. DEVIATION",$C$1=1),$A758,$A758+1),COLUMN('1-DATA'!AQ756)),IF($B758="STD. DEVIATION",2,$F$1))))</f>
        <v/>
      </c>
      <c r="AS758" s="1" t="str">
        <f>IF(OR($B758="",AS$7=""),"",IF($B758="MEANS",INDEX('1-DATA'!$1:$1048576,$A757-1,COLUMN('1-DATA'!AR756)),ROUND(INDEX('1-DATA'!$1:$1048576,IF(OR($B758="STD. DEVIATION",$C$1=1),$A758,$A758+1),COLUMN('1-DATA'!AR756)),IF($B758="STD. DEVIATION",2,$F$1))))</f>
        <v/>
      </c>
      <c r="AT758" s="1" t="str">
        <f>IF(OR($B758="",AT$7=""),"",IF($B758="MEANS",INDEX('1-DATA'!$1:$1048576,$A757-1,COLUMN('1-DATA'!AS756)),ROUND(INDEX('1-DATA'!$1:$1048576,IF(OR($B758="STD. DEVIATION",$C$1=1),$A758,$A758+1),COLUMN('1-DATA'!AS756)),IF($B758="STD. DEVIATION",2,$F$1))))</f>
        <v/>
      </c>
      <c r="AU758" s="1" t="str">
        <f>IF(OR($B758="",AU$7=""),"",IF($B758="MEANS",INDEX('1-DATA'!$1:$1048576,$A757-1,COLUMN('1-DATA'!AT756)),ROUND(INDEX('1-DATA'!$1:$1048576,IF(OR($B758="STD. DEVIATION",$C$1=1),$A758,$A758+1),COLUMN('1-DATA'!AT756)),IF($B758="STD. DEVIATION",2,$F$1))))</f>
        <v/>
      </c>
      <c r="AV758" s="1" t="str">
        <f>IF(OR($B758="",AV$7=""),"",IF($B758="MEANS",INDEX('1-DATA'!$1:$1048576,$A757-1,COLUMN('1-DATA'!AU756)),ROUND(INDEX('1-DATA'!$1:$1048576,IF(OR($B758="STD. DEVIATION",$C$1=1),$A758,$A758+1),COLUMN('1-DATA'!AU756)),IF($B758="STD. DEVIATION",2,$F$1))))</f>
        <v/>
      </c>
      <c r="AW758" s="1" t="str">
        <f>IF(OR($B758="",AW$7=""),"",IF($B758="MEANS",INDEX('1-DATA'!$1:$1048576,$A757-1,COLUMN('1-DATA'!AV756)),ROUND(INDEX('1-DATA'!$1:$1048576,IF(OR($B758="STD. DEVIATION",$C$1=1),$A758,$A758+1),COLUMN('1-DATA'!AV756)),IF($B758="STD. DEVIATION",2,$F$1))))</f>
        <v/>
      </c>
      <c r="AX758" s="1" t="str">
        <f>IF(OR($B758="",AX$7=""),"",IF($B758="MEANS",INDEX('1-DATA'!$1:$1048576,$A757-1,COLUMN('1-DATA'!AW756)),ROUND(INDEX('1-DATA'!$1:$1048576,IF(OR($B758="STD. DEVIATION",$C$1=1),$A758,$A758+1),COLUMN('1-DATA'!AW756)),IF($B758="STD. DEVIATION",2,$F$1))))</f>
        <v/>
      </c>
      <c r="AY758" s="1" t="str">
        <f>IF(OR($B758="",AY$7=""),"",IF($B758="MEANS",INDEX('1-DATA'!$1:$1048576,$A757-1,COLUMN('1-DATA'!AX756)),ROUND(INDEX('1-DATA'!$1:$1048576,IF(OR($B758="STD. DEVIATION",$C$1=1),$A758,$A758+1),COLUMN('1-DATA'!AX756)),IF($B758="STD. DEVIATION",2,$F$1))))</f>
        <v/>
      </c>
      <c r="AZ758" s="1" t="str">
        <f>IF(OR($B758="",AZ$7=""),"",IF($B758="MEANS",INDEX('1-DATA'!$1:$1048576,$A757-1,COLUMN('1-DATA'!AY756)),ROUND(INDEX('1-DATA'!$1:$1048576,IF(OR($B758="STD. DEVIATION",$C$1=1),$A758,$A758+1),COLUMN('1-DATA'!AY756)),IF($B758="STD. DEVIATION",2,$F$1))))</f>
        <v/>
      </c>
    </row>
    <row r="759" spans="1:52" x14ac:dyDescent="0.25">
      <c r="A759" s="11">
        <f t="shared" si="12"/>
        <v>2263</v>
      </c>
      <c r="B759" s="1" t="str">
        <f>IF(B758="STD. DEVIATION",INDEX('1-DATA'!$1:$1048576,$A758-1,1),IF(INDEX('1-DATA'!$1:$1048576,$A759,1)&lt;&gt;"",INDEX('1-DATA'!$1:$1048576,$A759,1),""))</f>
        <v/>
      </c>
      <c r="C759" s="1" t="str">
        <f>IF(OR($B759="",C$7=""),"",IF($B759="MEANS",INDEX('1-DATA'!$1:$1048576,$A758-1,COLUMN('1-DATA'!B757)),ROUND(INDEX('1-DATA'!$1:$1048576,IF(OR($B759="STD. DEVIATION",$C$1=1),$A759,$A759+1),COLUMN('1-DATA'!B757)),IF($B759="STD. DEVIATION",2,$F$1))))</f>
        <v/>
      </c>
      <c r="D759" s="1" t="str">
        <f>IF(OR($B759="",D$7=""),"",IF($B759="MEANS",INDEX('1-DATA'!$1:$1048576,$A758-1,COLUMN('1-DATA'!C757)),ROUND(INDEX('1-DATA'!$1:$1048576,IF(OR($B759="STD. DEVIATION",$C$1=1),$A759,$A759+1),COLUMN('1-DATA'!C757)),IF($B759="STD. DEVIATION",2,$F$1))))</f>
        <v/>
      </c>
      <c r="E759" s="1" t="str">
        <f>IF(OR($B759="",E$7=""),"",IF($B759="MEANS",INDEX('1-DATA'!$1:$1048576,$A758-1,COLUMN('1-DATA'!D757)),ROUND(INDEX('1-DATA'!$1:$1048576,IF(OR($B759="STD. DEVIATION",$C$1=1),$A759,$A759+1),COLUMN('1-DATA'!D757)),IF($B759="STD. DEVIATION",2,$F$1))))</f>
        <v/>
      </c>
      <c r="F759" s="1" t="str">
        <f>IF(OR($B759="",F$7=""),"",IF($B759="MEANS",INDEX('1-DATA'!$1:$1048576,$A758-1,COLUMN('1-DATA'!E757)),ROUND(INDEX('1-DATA'!$1:$1048576,IF(OR($B759="STD. DEVIATION",$C$1=1),$A759,$A759+1),COLUMN('1-DATA'!E757)),IF($B759="STD. DEVIATION",2,$F$1))))</f>
        <v/>
      </c>
      <c r="G759" s="1" t="str">
        <f>IF(OR($B759="",G$7=""),"",IF($B759="MEANS",INDEX('1-DATA'!$1:$1048576,$A758-1,COLUMN('1-DATA'!F757)),ROUND(INDEX('1-DATA'!$1:$1048576,IF(OR($B759="STD. DEVIATION",$C$1=1),$A759,$A759+1),COLUMN('1-DATA'!F757)),IF($B759="STD. DEVIATION",2,$F$1))))</f>
        <v/>
      </c>
      <c r="H759" s="1" t="str">
        <f>IF(OR($B759="",H$7=""),"",IF($B759="MEANS",INDEX('1-DATA'!$1:$1048576,$A758-1,COLUMN('1-DATA'!G757)),ROUND(INDEX('1-DATA'!$1:$1048576,IF(OR($B759="STD. DEVIATION",$C$1=1),$A759,$A759+1),COLUMN('1-DATA'!G757)),IF($B759="STD. DEVIATION",2,$F$1))))</f>
        <v/>
      </c>
      <c r="I759" s="1" t="str">
        <f>IF(OR($B759="",I$7=""),"",IF($B759="MEANS",INDEX('1-DATA'!$1:$1048576,$A758-1,COLUMN('1-DATA'!H757)),ROUND(INDEX('1-DATA'!$1:$1048576,IF(OR($B759="STD. DEVIATION",$C$1=1),$A759,$A759+1),COLUMN('1-DATA'!H757)),IF($B759="STD. DEVIATION",2,$F$1))))</f>
        <v/>
      </c>
      <c r="J759" s="1" t="str">
        <f>IF(OR($B759="",J$7=""),"",IF($B759="MEANS",INDEX('1-DATA'!$1:$1048576,$A758-1,COLUMN('1-DATA'!I757)),ROUND(INDEX('1-DATA'!$1:$1048576,IF(OR($B759="STD. DEVIATION",$C$1=1),$A759,$A759+1),COLUMN('1-DATA'!I757)),IF($B759="STD. DEVIATION",2,$F$1))))</f>
        <v/>
      </c>
      <c r="K759" s="1" t="str">
        <f>IF(OR($B759="",K$7=""),"",IF($B759="MEANS",INDEX('1-DATA'!$1:$1048576,$A758-1,COLUMN('1-DATA'!J757)),ROUND(INDEX('1-DATA'!$1:$1048576,IF(OR($B759="STD. DEVIATION",$C$1=1),$A759,$A759+1),COLUMN('1-DATA'!J757)),IF($B759="STD. DEVIATION",2,$F$1))))</f>
        <v/>
      </c>
      <c r="L759" s="1" t="str">
        <f>IF(OR($B759="",L$7=""),"",IF($B759="MEANS",INDEX('1-DATA'!$1:$1048576,$A758-1,COLUMN('1-DATA'!K757)),ROUND(INDEX('1-DATA'!$1:$1048576,IF(OR($B759="STD. DEVIATION",$C$1=1),$A759,$A759+1),COLUMN('1-DATA'!K757)),IF($B759="STD. DEVIATION",2,$F$1))))</f>
        <v/>
      </c>
      <c r="M759" s="1" t="str">
        <f>IF(OR($B759="",M$7=""),"",IF($B759="MEANS",INDEX('1-DATA'!$1:$1048576,$A758-1,COLUMN('1-DATA'!L757)),ROUND(INDEX('1-DATA'!$1:$1048576,IF(OR($B759="STD. DEVIATION",$C$1=1),$A759,$A759+1),COLUMN('1-DATA'!L757)),IF($B759="STD. DEVIATION",2,$F$1))))</f>
        <v/>
      </c>
      <c r="N759" s="1" t="str">
        <f>IF(OR($B759="",N$7=""),"",IF($B759="MEANS",INDEX('1-DATA'!$1:$1048576,$A758-1,COLUMN('1-DATA'!M757)),ROUND(INDEX('1-DATA'!$1:$1048576,IF(OR($B759="STD. DEVIATION",$C$1=1),$A759,$A759+1),COLUMN('1-DATA'!M757)),IF($B759="STD. DEVIATION",2,$F$1))))</f>
        <v/>
      </c>
      <c r="O759" s="1" t="str">
        <f>IF(OR($B759="",O$7=""),"",IF($B759="MEANS",INDEX('1-DATA'!$1:$1048576,$A758-1,COLUMN('1-DATA'!N757)),ROUND(INDEX('1-DATA'!$1:$1048576,IF(OR($B759="STD. DEVIATION",$C$1=1),$A759,$A759+1),COLUMN('1-DATA'!N757)),IF($B759="STD. DEVIATION",2,$F$1))))</f>
        <v/>
      </c>
      <c r="P759" s="1" t="str">
        <f>IF(OR($B759="",P$7=""),"",IF($B759="MEANS",INDEX('1-DATA'!$1:$1048576,$A758-1,COLUMN('1-DATA'!O757)),ROUND(INDEX('1-DATA'!$1:$1048576,IF(OR($B759="STD. DEVIATION",$C$1=1),$A759,$A759+1),COLUMN('1-DATA'!O757)),IF($B759="STD. DEVIATION",2,$F$1))))</f>
        <v/>
      </c>
      <c r="Q759" s="1" t="str">
        <f>IF(OR($B759="",Q$7=""),"",IF($B759="MEANS",INDEX('1-DATA'!$1:$1048576,$A758-1,COLUMN('1-DATA'!P757)),ROUND(INDEX('1-DATA'!$1:$1048576,IF(OR($B759="STD. DEVIATION",$C$1=1),$A759,$A759+1),COLUMN('1-DATA'!P757)),IF($B759="STD. DEVIATION",2,$F$1))))</f>
        <v/>
      </c>
      <c r="R759" s="1" t="str">
        <f>IF(OR($B759="",R$7=""),"",IF($B759="MEANS",INDEX('1-DATA'!$1:$1048576,$A758-1,COLUMN('1-DATA'!Q757)),ROUND(INDEX('1-DATA'!$1:$1048576,IF(OR($B759="STD. DEVIATION",$C$1=1),$A759,$A759+1),COLUMN('1-DATA'!Q757)),IF($B759="STD. DEVIATION",2,$F$1))))</f>
        <v/>
      </c>
      <c r="S759" s="1" t="str">
        <f>IF(OR($B759="",S$7=""),"",IF($B759="MEANS",INDEX('1-DATA'!$1:$1048576,$A758-1,COLUMN('1-DATA'!R757)),ROUND(INDEX('1-DATA'!$1:$1048576,IF(OR($B759="STD. DEVIATION",$C$1=1),$A759,$A759+1),COLUMN('1-DATA'!R757)),IF($B759="STD. DEVIATION",2,$F$1))))</f>
        <v/>
      </c>
      <c r="T759" s="1" t="str">
        <f>IF(OR($B759="",T$7=""),"",IF($B759="MEANS",INDEX('1-DATA'!$1:$1048576,$A758-1,COLUMN('1-DATA'!S757)),ROUND(INDEX('1-DATA'!$1:$1048576,IF(OR($B759="STD. DEVIATION",$C$1=1),$A759,$A759+1),COLUMN('1-DATA'!S757)),IF($B759="STD. DEVIATION",2,$F$1))))</f>
        <v/>
      </c>
      <c r="U759" s="1" t="str">
        <f>IF(OR($B759="",U$7=""),"",IF($B759="MEANS",INDEX('1-DATA'!$1:$1048576,$A758-1,COLUMN('1-DATA'!T757)),ROUND(INDEX('1-DATA'!$1:$1048576,IF(OR($B759="STD. DEVIATION",$C$1=1),$A759,$A759+1),COLUMN('1-DATA'!T757)),IF($B759="STD. DEVIATION",2,$F$1))))</f>
        <v/>
      </c>
      <c r="V759" s="1" t="str">
        <f>IF(OR($B759="",V$7=""),"",IF($B759="MEANS",INDEX('1-DATA'!$1:$1048576,$A758-1,COLUMN('1-DATA'!U757)),ROUND(INDEX('1-DATA'!$1:$1048576,IF(OR($B759="STD. DEVIATION",$C$1=1),$A759,$A759+1),COLUMN('1-DATA'!U757)),IF($B759="STD. DEVIATION",2,$F$1))))</f>
        <v/>
      </c>
      <c r="W759" s="1" t="str">
        <f>IF(OR($B759="",W$7=""),"",IF($B759="MEANS",INDEX('1-DATA'!$1:$1048576,$A758-1,COLUMN('1-DATA'!V757)),ROUND(INDEX('1-DATA'!$1:$1048576,IF(OR($B759="STD. DEVIATION",$C$1=1),$A759,$A759+1),COLUMN('1-DATA'!V757)),IF($B759="STD. DEVIATION",2,$F$1))))</f>
        <v/>
      </c>
      <c r="X759" s="1" t="str">
        <f>IF(OR($B759="",X$7=""),"",IF($B759="MEANS",INDEX('1-DATA'!$1:$1048576,$A758-1,COLUMN('1-DATA'!W757)),ROUND(INDEX('1-DATA'!$1:$1048576,IF(OR($B759="STD. DEVIATION",$C$1=1),$A759,$A759+1),COLUMN('1-DATA'!W757)),IF($B759="STD. DEVIATION",2,$F$1))))</f>
        <v/>
      </c>
      <c r="Y759" s="1" t="str">
        <f>IF(OR($B759="",Y$7=""),"",IF($B759="MEANS",INDEX('1-DATA'!$1:$1048576,$A758-1,COLUMN('1-DATA'!X757)),ROUND(INDEX('1-DATA'!$1:$1048576,IF(OR($B759="STD. DEVIATION",$C$1=1),$A759,$A759+1),COLUMN('1-DATA'!X757)),IF($B759="STD. DEVIATION",2,$F$1))))</f>
        <v/>
      </c>
      <c r="Z759" s="1" t="str">
        <f>IF(OR($B759="",Z$7=""),"",IF($B759="MEANS",INDEX('1-DATA'!$1:$1048576,$A758-1,COLUMN('1-DATA'!Y757)),ROUND(INDEX('1-DATA'!$1:$1048576,IF(OR($B759="STD. DEVIATION",$C$1=1),$A759,$A759+1),COLUMN('1-DATA'!Y757)),IF($B759="STD. DEVIATION",2,$F$1))))</f>
        <v/>
      </c>
      <c r="AA759" s="1" t="str">
        <f>IF(OR($B759="",AA$7=""),"",IF($B759="MEANS",INDEX('1-DATA'!$1:$1048576,$A758-1,COLUMN('1-DATA'!Z757)),ROUND(INDEX('1-DATA'!$1:$1048576,IF(OR($B759="STD. DEVIATION",$C$1=1),$A759,$A759+1),COLUMN('1-DATA'!Z757)),IF($B759="STD. DEVIATION",2,$F$1))))</f>
        <v/>
      </c>
      <c r="AB759" s="1" t="str">
        <f>IF(OR($B759="",AB$7=""),"",IF($B759="MEANS",INDEX('1-DATA'!$1:$1048576,$A758-1,COLUMN('1-DATA'!AA757)),ROUND(INDEX('1-DATA'!$1:$1048576,IF(OR($B759="STD. DEVIATION",$C$1=1),$A759,$A759+1),COLUMN('1-DATA'!AA757)),IF($B759="STD. DEVIATION",2,$F$1))))</f>
        <v/>
      </c>
      <c r="AC759" s="1" t="str">
        <f>IF(OR($B759="",AC$7=""),"",IF($B759="MEANS",INDEX('1-DATA'!$1:$1048576,$A758-1,COLUMN('1-DATA'!AB757)),ROUND(INDEX('1-DATA'!$1:$1048576,IF(OR($B759="STD. DEVIATION",$C$1=1),$A759,$A759+1),COLUMN('1-DATA'!AB757)),IF($B759="STD. DEVIATION",2,$F$1))))</f>
        <v/>
      </c>
      <c r="AD759" s="1" t="str">
        <f>IF(OR($B759="",AD$7=""),"",IF($B759="MEANS",INDEX('1-DATA'!$1:$1048576,$A758-1,COLUMN('1-DATA'!AC757)),ROUND(INDEX('1-DATA'!$1:$1048576,IF(OR($B759="STD. DEVIATION",$C$1=1),$A759,$A759+1),COLUMN('1-DATA'!AC757)),IF($B759="STD. DEVIATION",2,$F$1))))</f>
        <v/>
      </c>
      <c r="AE759" s="1" t="str">
        <f>IF(OR($B759="",AE$7=""),"",IF($B759="MEANS",INDEX('1-DATA'!$1:$1048576,$A758-1,COLUMN('1-DATA'!AD757)),ROUND(INDEX('1-DATA'!$1:$1048576,IF(OR($B759="STD. DEVIATION",$C$1=1),$A759,$A759+1),COLUMN('1-DATA'!AD757)),IF($B759="STD. DEVIATION",2,$F$1))))</f>
        <v/>
      </c>
      <c r="AF759" s="1" t="str">
        <f>IF(OR($B759="",AF$7=""),"",IF($B759="MEANS",INDEX('1-DATA'!$1:$1048576,$A758-1,COLUMN('1-DATA'!AE757)),ROUND(INDEX('1-DATA'!$1:$1048576,IF(OR($B759="STD. DEVIATION",$C$1=1),$A759,$A759+1),COLUMN('1-DATA'!AE757)),IF($B759="STD. DEVIATION",2,$F$1))))</f>
        <v/>
      </c>
      <c r="AG759" s="1" t="str">
        <f>IF(OR($B759="",AG$7=""),"",IF($B759="MEANS",INDEX('1-DATA'!$1:$1048576,$A758-1,COLUMN('1-DATA'!AF757)),ROUND(INDEX('1-DATA'!$1:$1048576,IF(OR($B759="STD. DEVIATION",$C$1=1),$A759,$A759+1),COLUMN('1-DATA'!AF757)),IF($B759="STD. DEVIATION",2,$F$1))))</f>
        <v/>
      </c>
      <c r="AH759" s="1" t="str">
        <f>IF(OR($B759="",AH$7=""),"",IF($B759="MEANS",INDEX('1-DATA'!$1:$1048576,$A758-1,COLUMN('1-DATA'!AG757)),ROUND(INDEX('1-DATA'!$1:$1048576,IF(OR($B759="STD. DEVIATION",$C$1=1),$A759,$A759+1),COLUMN('1-DATA'!AG757)),IF($B759="STD. DEVIATION",2,$F$1))))</f>
        <v/>
      </c>
      <c r="AI759" s="1" t="str">
        <f>IF(OR($B759="",AI$7=""),"",IF($B759="MEANS",INDEX('1-DATA'!$1:$1048576,$A758-1,COLUMN('1-DATA'!AH757)),ROUND(INDEX('1-DATA'!$1:$1048576,IF(OR($B759="STD. DEVIATION",$C$1=1),$A759,$A759+1),COLUMN('1-DATA'!AH757)),IF($B759="STD. DEVIATION",2,$F$1))))</f>
        <v/>
      </c>
      <c r="AJ759" s="1" t="str">
        <f>IF(OR($B759="",AJ$7=""),"",IF($B759="MEANS",INDEX('1-DATA'!$1:$1048576,$A758-1,COLUMN('1-DATA'!AI757)),ROUND(INDEX('1-DATA'!$1:$1048576,IF(OR($B759="STD. DEVIATION",$C$1=1),$A759,$A759+1),COLUMN('1-DATA'!AI757)),IF($B759="STD. DEVIATION",2,$F$1))))</f>
        <v/>
      </c>
      <c r="AK759" s="1" t="str">
        <f>IF(OR($B759="",AK$7=""),"",IF($B759="MEANS",INDEX('1-DATA'!$1:$1048576,$A758-1,COLUMN('1-DATA'!AJ757)),ROUND(INDEX('1-DATA'!$1:$1048576,IF(OR($B759="STD. DEVIATION",$C$1=1),$A759,$A759+1),COLUMN('1-DATA'!AJ757)),IF($B759="STD. DEVIATION",2,$F$1))))</f>
        <v/>
      </c>
      <c r="AL759" s="1" t="str">
        <f>IF(OR($B759="",AL$7=""),"",IF($B759="MEANS",INDEX('1-DATA'!$1:$1048576,$A758-1,COLUMN('1-DATA'!AK757)),ROUND(INDEX('1-DATA'!$1:$1048576,IF(OR($B759="STD. DEVIATION",$C$1=1),$A759,$A759+1),COLUMN('1-DATA'!AK757)),IF($B759="STD. DEVIATION",2,$F$1))))</f>
        <v/>
      </c>
      <c r="AM759" s="1" t="str">
        <f>IF(OR($B759="",AM$7=""),"",IF($B759="MEANS",INDEX('1-DATA'!$1:$1048576,$A758-1,COLUMN('1-DATA'!AL757)),ROUND(INDEX('1-DATA'!$1:$1048576,IF(OR($B759="STD. DEVIATION",$C$1=1),$A759,$A759+1),COLUMN('1-DATA'!AL757)),IF($B759="STD. DEVIATION",2,$F$1))))</f>
        <v/>
      </c>
      <c r="AN759" s="1" t="str">
        <f>IF(OR($B759="",AN$7=""),"",IF($B759="MEANS",INDEX('1-DATA'!$1:$1048576,$A758-1,COLUMN('1-DATA'!AM757)),ROUND(INDEX('1-DATA'!$1:$1048576,IF(OR($B759="STD. DEVIATION",$C$1=1),$A759,$A759+1),COLUMN('1-DATA'!AM757)),IF($B759="STD. DEVIATION",2,$F$1))))</f>
        <v/>
      </c>
      <c r="AO759" s="1" t="str">
        <f>IF(OR($B759="",AO$7=""),"",IF($B759="MEANS",INDEX('1-DATA'!$1:$1048576,$A758-1,COLUMN('1-DATA'!AN757)),ROUND(INDEX('1-DATA'!$1:$1048576,IF(OR($B759="STD. DEVIATION",$C$1=1),$A759,$A759+1),COLUMN('1-DATA'!AN757)),IF($B759="STD. DEVIATION",2,$F$1))))</f>
        <v/>
      </c>
      <c r="AP759" s="1" t="str">
        <f>IF(OR($B759="",AP$7=""),"",IF($B759="MEANS",INDEX('1-DATA'!$1:$1048576,$A758-1,COLUMN('1-DATA'!AO757)),ROUND(INDEX('1-DATA'!$1:$1048576,IF(OR($B759="STD. DEVIATION",$C$1=1),$A759,$A759+1),COLUMN('1-DATA'!AO757)),IF($B759="STD. DEVIATION",2,$F$1))))</f>
        <v/>
      </c>
      <c r="AQ759" s="1" t="str">
        <f>IF(OR($B759="",AQ$7=""),"",IF($B759="MEANS",INDEX('1-DATA'!$1:$1048576,$A758-1,COLUMN('1-DATA'!AP757)),ROUND(INDEX('1-DATA'!$1:$1048576,IF(OR($B759="STD. DEVIATION",$C$1=1),$A759,$A759+1),COLUMN('1-DATA'!AP757)),IF($B759="STD. DEVIATION",2,$F$1))))</f>
        <v/>
      </c>
      <c r="AR759" s="1" t="str">
        <f>IF(OR($B759="",AR$7=""),"",IF($B759="MEANS",INDEX('1-DATA'!$1:$1048576,$A758-1,COLUMN('1-DATA'!AQ757)),ROUND(INDEX('1-DATA'!$1:$1048576,IF(OR($B759="STD. DEVIATION",$C$1=1),$A759,$A759+1),COLUMN('1-DATA'!AQ757)),IF($B759="STD. DEVIATION",2,$F$1))))</f>
        <v/>
      </c>
      <c r="AS759" s="1" t="str">
        <f>IF(OR($B759="",AS$7=""),"",IF($B759="MEANS",INDEX('1-DATA'!$1:$1048576,$A758-1,COLUMN('1-DATA'!AR757)),ROUND(INDEX('1-DATA'!$1:$1048576,IF(OR($B759="STD. DEVIATION",$C$1=1),$A759,$A759+1),COLUMN('1-DATA'!AR757)),IF($B759="STD. DEVIATION",2,$F$1))))</f>
        <v/>
      </c>
      <c r="AT759" s="1" t="str">
        <f>IF(OR($B759="",AT$7=""),"",IF($B759="MEANS",INDEX('1-DATA'!$1:$1048576,$A758-1,COLUMN('1-DATA'!AS757)),ROUND(INDEX('1-DATA'!$1:$1048576,IF(OR($B759="STD. DEVIATION",$C$1=1),$A759,$A759+1),COLUMN('1-DATA'!AS757)),IF($B759="STD. DEVIATION",2,$F$1))))</f>
        <v/>
      </c>
      <c r="AU759" s="1" t="str">
        <f>IF(OR($B759="",AU$7=""),"",IF($B759="MEANS",INDEX('1-DATA'!$1:$1048576,$A758-1,COLUMN('1-DATA'!AT757)),ROUND(INDEX('1-DATA'!$1:$1048576,IF(OR($B759="STD. DEVIATION",$C$1=1),$A759,$A759+1),COLUMN('1-DATA'!AT757)),IF($B759="STD. DEVIATION",2,$F$1))))</f>
        <v/>
      </c>
      <c r="AV759" s="1" t="str">
        <f>IF(OR($B759="",AV$7=""),"",IF($B759="MEANS",INDEX('1-DATA'!$1:$1048576,$A758-1,COLUMN('1-DATA'!AU757)),ROUND(INDEX('1-DATA'!$1:$1048576,IF(OR($B759="STD. DEVIATION",$C$1=1),$A759,$A759+1),COLUMN('1-DATA'!AU757)),IF($B759="STD. DEVIATION",2,$F$1))))</f>
        <v/>
      </c>
      <c r="AW759" s="1" t="str">
        <f>IF(OR($B759="",AW$7=""),"",IF($B759="MEANS",INDEX('1-DATA'!$1:$1048576,$A758-1,COLUMN('1-DATA'!AV757)),ROUND(INDEX('1-DATA'!$1:$1048576,IF(OR($B759="STD. DEVIATION",$C$1=1),$A759,$A759+1),COLUMN('1-DATA'!AV757)),IF($B759="STD. DEVIATION",2,$F$1))))</f>
        <v/>
      </c>
      <c r="AX759" s="1" t="str">
        <f>IF(OR($B759="",AX$7=""),"",IF($B759="MEANS",INDEX('1-DATA'!$1:$1048576,$A758-1,COLUMN('1-DATA'!AW757)),ROUND(INDEX('1-DATA'!$1:$1048576,IF(OR($B759="STD. DEVIATION",$C$1=1),$A759,$A759+1),COLUMN('1-DATA'!AW757)),IF($B759="STD. DEVIATION",2,$F$1))))</f>
        <v/>
      </c>
      <c r="AY759" s="1" t="str">
        <f>IF(OR($B759="",AY$7=""),"",IF($B759="MEANS",INDEX('1-DATA'!$1:$1048576,$A758-1,COLUMN('1-DATA'!AX757)),ROUND(INDEX('1-DATA'!$1:$1048576,IF(OR($B759="STD. DEVIATION",$C$1=1),$A759,$A759+1),COLUMN('1-DATA'!AX757)),IF($B759="STD. DEVIATION",2,$F$1))))</f>
        <v/>
      </c>
      <c r="AZ759" s="1" t="str">
        <f>IF(OR($B759="",AZ$7=""),"",IF($B759="MEANS",INDEX('1-DATA'!$1:$1048576,$A758-1,COLUMN('1-DATA'!AY757)),ROUND(INDEX('1-DATA'!$1:$1048576,IF(OR($B759="STD. DEVIATION",$C$1=1),$A759,$A759+1),COLUMN('1-DATA'!AY757)),IF($B759="STD. DEVIATION",2,$F$1))))</f>
        <v/>
      </c>
    </row>
    <row r="760" spans="1:52" x14ac:dyDescent="0.25">
      <c r="A760" s="11">
        <f t="shared" si="12"/>
        <v>2266</v>
      </c>
      <c r="B760" s="1" t="str">
        <f>IF(B759="STD. DEVIATION",INDEX('1-DATA'!$1:$1048576,$A759-1,1),IF(INDEX('1-DATA'!$1:$1048576,$A760,1)&lt;&gt;"",INDEX('1-DATA'!$1:$1048576,$A760,1),""))</f>
        <v/>
      </c>
      <c r="C760" s="1" t="str">
        <f>IF(OR($B760="",C$7=""),"",IF($B760="MEANS",INDEX('1-DATA'!$1:$1048576,$A759-1,COLUMN('1-DATA'!B758)),ROUND(INDEX('1-DATA'!$1:$1048576,IF(OR($B760="STD. DEVIATION",$C$1=1),$A760,$A760+1),COLUMN('1-DATA'!B758)),IF($B760="STD. DEVIATION",2,$F$1))))</f>
        <v/>
      </c>
      <c r="D760" s="1" t="str">
        <f>IF(OR($B760="",D$7=""),"",IF($B760="MEANS",INDEX('1-DATA'!$1:$1048576,$A759-1,COLUMN('1-DATA'!C758)),ROUND(INDEX('1-DATA'!$1:$1048576,IF(OR($B760="STD. DEVIATION",$C$1=1),$A760,$A760+1),COLUMN('1-DATA'!C758)),IF($B760="STD. DEVIATION",2,$F$1))))</f>
        <v/>
      </c>
      <c r="E760" s="1" t="str">
        <f>IF(OR($B760="",E$7=""),"",IF($B760="MEANS",INDEX('1-DATA'!$1:$1048576,$A759-1,COLUMN('1-DATA'!D758)),ROUND(INDEX('1-DATA'!$1:$1048576,IF(OR($B760="STD. DEVIATION",$C$1=1),$A760,$A760+1),COLUMN('1-DATA'!D758)),IF($B760="STD. DEVIATION",2,$F$1))))</f>
        <v/>
      </c>
      <c r="F760" s="1" t="str">
        <f>IF(OR($B760="",F$7=""),"",IF($B760="MEANS",INDEX('1-DATA'!$1:$1048576,$A759-1,COLUMN('1-DATA'!E758)),ROUND(INDEX('1-DATA'!$1:$1048576,IF(OR($B760="STD. DEVIATION",$C$1=1),$A760,$A760+1),COLUMN('1-DATA'!E758)),IF($B760="STD. DEVIATION",2,$F$1))))</f>
        <v/>
      </c>
      <c r="G760" s="1" t="str">
        <f>IF(OR($B760="",G$7=""),"",IF($B760="MEANS",INDEX('1-DATA'!$1:$1048576,$A759-1,COLUMN('1-DATA'!F758)),ROUND(INDEX('1-DATA'!$1:$1048576,IF(OR($B760="STD. DEVIATION",$C$1=1),$A760,$A760+1),COLUMN('1-DATA'!F758)),IF($B760="STD. DEVIATION",2,$F$1))))</f>
        <v/>
      </c>
      <c r="H760" s="1" t="str">
        <f>IF(OR($B760="",H$7=""),"",IF($B760="MEANS",INDEX('1-DATA'!$1:$1048576,$A759-1,COLUMN('1-DATA'!G758)),ROUND(INDEX('1-DATA'!$1:$1048576,IF(OR($B760="STD. DEVIATION",$C$1=1),$A760,$A760+1),COLUMN('1-DATA'!G758)),IF($B760="STD. DEVIATION",2,$F$1))))</f>
        <v/>
      </c>
      <c r="I760" s="1" t="str">
        <f>IF(OR($B760="",I$7=""),"",IF($B760="MEANS",INDEX('1-DATA'!$1:$1048576,$A759-1,COLUMN('1-DATA'!H758)),ROUND(INDEX('1-DATA'!$1:$1048576,IF(OR($B760="STD. DEVIATION",$C$1=1),$A760,$A760+1),COLUMN('1-DATA'!H758)),IF($B760="STD. DEVIATION",2,$F$1))))</f>
        <v/>
      </c>
      <c r="J760" s="1" t="str">
        <f>IF(OR($B760="",J$7=""),"",IF($B760="MEANS",INDEX('1-DATA'!$1:$1048576,$A759-1,COLUMN('1-DATA'!I758)),ROUND(INDEX('1-DATA'!$1:$1048576,IF(OR($B760="STD. DEVIATION",$C$1=1),$A760,$A760+1),COLUMN('1-DATA'!I758)),IF($B760="STD. DEVIATION",2,$F$1))))</f>
        <v/>
      </c>
      <c r="K760" s="1" t="str">
        <f>IF(OR($B760="",K$7=""),"",IF($B760="MEANS",INDEX('1-DATA'!$1:$1048576,$A759-1,COLUMN('1-DATA'!J758)),ROUND(INDEX('1-DATA'!$1:$1048576,IF(OR($B760="STD. DEVIATION",$C$1=1),$A760,$A760+1),COLUMN('1-DATA'!J758)),IF($B760="STD. DEVIATION",2,$F$1))))</f>
        <v/>
      </c>
      <c r="L760" s="1" t="str">
        <f>IF(OR($B760="",L$7=""),"",IF($B760="MEANS",INDEX('1-DATA'!$1:$1048576,$A759-1,COLUMN('1-DATA'!K758)),ROUND(INDEX('1-DATA'!$1:$1048576,IF(OR($B760="STD. DEVIATION",$C$1=1),$A760,$A760+1),COLUMN('1-DATA'!K758)),IF($B760="STD. DEVIATION",2,$F$1))))</f>
        <v/>
      </c>
      <c r="M760" s="1" t="str">
        <f>IF(OR($B760="",M$7=""),"",IF($B760="MEANS",INDEX('1-DATA'!$1:$1048576,$A759-1,COLUMN('1-DATA'!L758)),ROUND(INDEX('1-DATA'!$1:$1048576,IF(OR($B760="STD. DEVIATION",$C$1=1),$A760,$A760+1),COLUMN('1-DATA'!L758)),IF($B760="STD. DEVIATION",2,$F$1))))</f>
        <v/>
      </c>
      <c r="N760" s="1" t="str">
        <f>IF(OR($B760="",N$7=""),"",IF($B760="MEANS",INDEX('1-DATA'!$1:$1048576,$A759-1,COLUMN('1-DATA'!M758)),ROUND(INDEX('1-DATA'!$1:$1048576,IF(OR($B760="STD. DEVIATION",$C$1=1),$A760,$A760+1),COLUMN('1-DATA'!M758)),IF($B760="STD. DEVIATION",2,$F$1))))</f>
        <v/>
      </c>
      <c r="O760" s="1" t="str">
        <f>IF(OR($B760="",O$7=""),"",IF($B760="MEANS",INDEX('1-DATA'!$1:$1048576,$A759-1,COLUMN('1-DATA'!N758)),ROUND(INDEX('1-DATA'!$1:$1048576,IF(OR($B760="STD. DEVIATION",$C$1=1),$A760,$A760+1),COLUMN('1-DATA'!N758)),IF($B760="STD. DEVIATION",2,$F$1))))</f>
        <v/>
      </c>
      <c r="P760" s="1" t="str">
        <f>IF(OR($B760="",P$7=""),"",IF($B760="MEANS",INDEX('1-DATA'!$1:$1048576,$A759-1,COLUMN('1-DATA'!O758)),ROUND(INDEX('1-DATA'!$1:$1048576,IF(OR($B760="STD. DEVIATION",$C$1=1),$A760,$A760+1),COLUMN('1-DATA'!O758)),IF($B760="STD. DEVIATION",2,$F$1))))</f>
        <v/>
      </c>
      <c r="Q760" s="1" t="str">
        <f>IF(OR($B760="",Q$7=""),"",IF($B760="MEANS",INDEX('1-DATA'!$1:$1048576,$A759-1,COLUMN('1-DATA'!P758)),ROUND(INDEX('1-DATA'!$1:$1048576,IF(OR($B760="STD. DEVIATION",$C$1=1),$A760,$A760+1),COLUMN('1-DATA'!P758)),IF($B760="STD. DEVIATION",2,$F$1))))</f>
        <v/>
      </c>
      <c r="R760" s="1" t="str">
        <f>IF(OR($B760="",R$7=""),"",IF($B760="MEANS",INDEX('1-DATA'!$1:$1048576,$A759-1,COLUMN('1-DATA'!Q758)),ROUND(INDEX('1-DATA'!$1:$1048576,IF(OR($B760="STD. DEVIATION",$C$1=1),$A760,$A760+1),COLUMN('1-DATA'!Q758)),IF($B760="STD. DEVIATION",2,$F$1))))</f>
        <v/>
      </c>
      <c r="S760" s="1" t="str">
        <f>IF(OR($B760="",S$7=""),"",IF($B760="MEANS",INDEX('1-DATA'!$1:$1048576,$A759-1,COLUMN('1-DATA'!R758)),ROUND(INDEX('1-DATA'!$1:$1048576,IF(OR($B760="STD. DEVIATION",$C$1=1),$A760,$A760+1),COLUMN('1-DATA'!R758)),IF($B760="STD. DEVIATION",2,$F$1))))</f>
        <v/>
      </c>
      <c r="T760" s="1" t="str">
        <f>IF(OR($B760="",T$7=""),"",IF($B760="MEANS",INDEX('1-DATA'!$1:$1048576,$A759-1,COLUMN('1-DATA'!S758)),ROUND(INDEX('1-DATA'!$1:$1048576,IF(OR($B760="STD. DEVIATION",$C$1=1),$A760,$A760+1),COLUMN('1-DATA'!S758)),IF($B760="STD. DEVIATION",2,$F$1))))</f>
        <v/>
      </c>
      <c r="U760" s="1" t="str">
        <f>IF(OR($B760="",U$7=""),"",IF($B760="MEANS",INDEX('1-DATA'!$1:$1048576,$A759-1,COLUMN('1-DATA'!T758)),ROUND(INDEX('1-DATA'!$1:$1048576,IF(OR($B760="STD. DEVIATION",$C$1=1),$A760,$A760+1),COLUMN('1-DATA'!T758)),IF($B760="STD. DEVIATION",2,$F$1))))</f>
        <v/>
      </c>
      <c r="V760" s="1" t="str">
        <f>IF(OR($B760="",V$7=""),"",IF($B760="MEANS",INDEX('1-DATA'!$1:$1048576,$A759-1,COLUMN('1-DATA'!U758)),ROUND(INDEX('1-DATA'!$1:$1048576,IF(OR($B760="STD. DEVIATION",$C$1=1),$A760,$A760+1),COLUMN('1-DATA'!U758)),IF($B760="STD. DEVIATION",2,$F$1))))</f>
        <v/>
      </c>
      <c r="W760" s="1" t="str">
        <f>IF(OR($B760="",W$7=""),"",IF($B760="MEANS",INDEX('1-DATA'!$1:$1048576,$A759-1,COLUMN('1-DATA'!V758)),ROUND(INDEX('1-DATA'!$1:$1048576,IF(OR($B760="STD. DEVIATION",$C$1=1),$A760,$A760+1),COLUMN('1-DATA'!V758)),IF($B760="STD. DEVIATION",2,$F$1))))</f>
        <v/>
      </c>
      <c r="X760" s="1" t="str">
        <f>IF(OR($B760="",X$7=""),"",IF($B760="MEANS",INDEX('1-DATA'!$1:$1048576,$A759-1,COLUMN('1-DATA'!W758)),ROUND(INDEX('1-DATA'!$1:$1048576,IF(OR($B760="STD. DEVIATION",$C$1=1),$A760,$A760+1),COLUMN('1-DATA'!W758)),IF($B760="STD. DEVIATION",2,$F$1))))</f>
        <v/>
      </c>
      <c r="Y760" s="1" t="str">
        <f>IF(OR($B760="",Y$7=""),"",IF($B760="MEANS",INDEX('1-DATA'!$1:$1048576,$A759-1,COLUMN('1-DATA'!X758)),ROUND(INDEX('1-DATA'!$1:$1048576,IF(OR($B760="STD. DEVIATION",$C$1=1),$A760,$A760+1),COLUMN('1-DATA'!X758)),IF($B760="STD. DEVIATION",2,$F$1))))</f>
        <v/>
      </c>
      <c r="Z760" s="1" t="str">
        <f>IF(OR($B760="",Z$7=""),"",IF($B760="MEANS",INDEX('1-DATA'!$1:$1048576,$A759-1,COLUMN('1-DATA'!Y758)),ROUND(INDEX('1-DATA'!$1:$1048576,IF(OR($B760="STD. DEVIATION",$C$1=1),$A760,$A760+1),COLUMN('1-DATA'!Y758)),IF($B760="STD. DEVIATION",2,$F$1))))</f>
        <v/>
      </c>
      <c r="AA760" s="1" t="str">
        <f>IF(OR($B760="",AA$7=""),"",IF($B760="MEANS",INDEX('1-DATA'!$1:$1048576,$A759-1,COLUMN('1-DATA'!Z758)),ROUND(INDEX('1-DATA'!$1:$1048576,IF(OR($B760="STD. DEVIATION",$C$1=1),$A760,$A760+1),COLUMN('1-DATA'!Z758)),IF($B760="STD. DEVIATION",2,$F$1))))</f>
        <v/>
      </c>
      <c r="AB760" s="1" t="str">
        <f>IF(OR($B760="",AB$7=""),"",IF($B760="MEANS",INDEX('1-DATA'!$1:$1048576,$A759-1,COLUMN('1-DATA'!AA758)),ROUND(INDEX('1-DATA'!$1:$1048576,IF(OR($B760="STD. DEVIATION",$C$1=1),$A760,$A760+1),COLUMN('1-DATA'!AA758)),IF($B760="STD. DEVIATION",2,$F$1))))</f>
        <v/>
      </c>
      <c r="AC760" s="1" t="str">
        <f>IF(OR($B760="",AC$7=""),"",IF($B760="MEANS",INDEX('1-DATA'!$1:$1048576,$A759-1,COLUMN('1-DATA'!AB758)),ROUND(INDEX('1-DATA'!$1:$1048576,IF(OR($B760="STD. DEVIATION",$C$1=1),$A760,$A760+1),COLUMN('1-DATA'!AB758)),IF($B760="STD. DEVIATION",2,$F$1))))</f>
        <v/>
      </c>
      <c r="AD760" s="1" t="str">
        <f>IF(OR($B760="",AD$7=""),"",IF($B760="MEANS",INDEX('1-DATA'!$1:$1048576,$A759-1,COLUMN('1-DATA'!AC758)),ROUND(INDEX('1-DATA'!$1:$1048576,IF(OR($B760="STD. DEVIATION",$C$1=1),$A760,$A760+1),COLUMN('1-DATA'!AC758)),IF($B760="STD. DEVIATION",2,$F$1))))</f>
        <v/>
      </c>
      <c r="AE760" s="1" t="str">
        <f>IF(OR($B760="",AE$7=""),"",IF($B760="MEANS",INDEX('1-DATA'!$1:$1048576,$A759-1,COLUMN('1-DATA'!AD758)),ROUND(INDEX('1-DATA'!$1:$1048576,IF(OR($B760="STD. DEVIATION",$C$1=1),$A760,$A760+1),COLUMN('1-DATA'!AD758)),IF($B760="STD. DEVIATION",2,$F$1))))</f>
        <v/>
      </c>
      <c r="AF760" s="1" t="str">
        <f>IF(OR($B760="",AF$7=""),"",IF($B760="MEANS",INDEX('1-DATA'!$1:$1048576,$A759-1,COLUMN('1-DATA'!AE758)),ROUND(INDEX('1-DATA'!$1:$1048576,IF(OR($B760="STD. DEVIATION",$C$1=1),$A760,$A760+1),COLUMN('1-DATA'!AE758)),IF($B760="STD. DEVIATION",2,$F$1))))</f>
        <v/>
      </c>
      <c r="AG760" s="1" t="str">
        <f>IF(OR($B760="",AG$7=""),"",IF($B760="MEANS",INDEX('1-DATA'!$1:$1048576,$A759-1,COLUMN('1-DATA'!AF758)),ROUND(INDEX('1-DATA'!$1:$1048576,IF(OR($B760="STD. DEVIATION",$C$1=1),$A760,$A760+1),COLUMN('1-DATA'!AF758)),IF($B760="STD. DEVIATION",2,$F$1))))</f>
        <v/>
      </c>
      <c r="AH760" s="1" t="str">
        <f>IF(OR($B760="",AH$7=""),"",IF($B760="MEANS",INDEX('1-DATA'!$1:$1048576,$A759-1,COLUMN('1-DATA'!AG758)),ROUND(INDEX('1-DATA'!$1:$1048576,IF(OR($B760="STD. DEVIATION",$C$1=1),$A760,$A760+1),COLUMN('1-DATA'!AG758)),IF($B760="STD. DEVIATION",2,$F$1))))</f>
        <v/>
      </c>
      <c r="AI760" s="1" t="str">
        <f>IF(OR($B760="",AI$7=""),"",IF($B760="MEANS",INDEX('1-DATA'!$1:$1048576,$A759-1,COLUMN('1-DATA'!AH758)),ROUND(INDEX('1-DATA'!$1:$1048576,IF(OR($B760="STD. DEVIATION",$C$1=1),$A760,$A760+1),COLUMN('1-DATA'!AH758)),IF($B760="STD. DEVIATION",2,$F$1))))</f>
        <v/>
      </c>
      <c r="AJ760" s="1" t="str">
        <f>IF(OR($B760="",AJ$7=""),"",IF($B760="MEANS",INDEX('1-DATA'!$1:$1048576,$A759-1,COLUMN('1-DATA'!AI758)),ROUND(INDEX('1-DATA'!$1:$1048576,IF(OR($B760="STD. DEVIATION",$C$1=1),$A760,$A760+1),COLUMN('1-DATA'!AI758)),IF($B760="STD. DEVIATION",2,$F$1))))</f>
        <v/>
      </c>
      <c r="AK760" s="1" t="str">
        <f>IF(OR($B760="",AK$7=""),"",IF($B760="MEANS",INDEX('1-DATA'!$1:$1048576,$A759-1,COLUMN('1-DATA'!AJ758)),ROUND(INDEX('1-DATA'!$1:$1048576,IF(OR($B760="STD. DEVIATION",$C$1=1),$A760,$A760+1),COLUMN('1-DATA'!AJ758)),IF($B760="STD. DEVIATION",2,$F$1))))</f>
        <v/>
      </c>
      <c r="AL760" s="1" t="str">
        <f>IF(OR($B760="",AL$7=""),"",IF($B760="MEANS",INDEX('1-DATA'!$1:$1048576,$A759-1,COLUMN('1-DATA'!AK758)),ROUND(INDEX('1-DATA'!$1:$1048576,IF(OR($B760="STD. DEVIATION",$C$1=1),$A760,$A760+1),COLUMN('1-DATA'!AK758)),IF($B760="STD. DEVIATION",2,$F$1))))</f>
        <v/>
      </c>
      <c r="AM760" s="1" t="str">
        <f>IF(OR($B760="",AM$7=""),"",IF($B760="MEANS",INDEX('1-DATA'!$1:$1048576,$A759-1,COLUMN('1-DATA'!AL758)),ROUND(INDEX('1-DATA'!$1:$1048576,IF(OR($B760="STD. DEVIATION",$C$1=1),$A760,$A760+1),COLUMN('1-DATA'!AL758)),IF($B760="STD. DEVIATION",2,$F$1))))</f>
        <v/>
      </c>
      <c r="AN760" s="1" t="str">
        <f>IF(OR($B760="",AN$7=""),"",IF($B760="MEANS",INDEX('1-DATA'!$1:$1048576,$A759-1,COLUMN('1-DATA'!AM758)),ROUND(INDEX('1-DATA'!$1:$1048576,IF(OR($B760="STD. DEVIATION",$C$1=1),$A760,$A760+1),COLUMN('1-DATA'!AM758)),IF($B760="STD. DEVIATION",2,$F$1))))</f>
        <v/>
      </c>
      <c r="AO760" s="1" t="str">
        <f>IF(OR($B760="",AO$7=""),"",IF($B760="MEANS",INDEX('1-DATA'!$1:$1048576,$A759-1,COLUMN('1-DATA'!AN758)),ROUND(INDEX('1-DATA'!$1:$1048576,IF(OR($B760="STD. DEVIATION",$C$1=1),$A760,$A760+1),COLUMN('1-DATA'!AN758)),IF($B760="STD. DEVIATION",2,$F$1))))</f>
        <v/>
      </c>
      <c r="AP760" s="1" t="str">
        <f>IF(OR($B760="",AP$7=""),"",IF($B760="MEANS",INDEX('1-DATA'!$1:$1048576,$A759-1,COLUMN('1-DATA'!AO758)),ROUND(INDEX('1-DATA'!$1:$1048576,IF(OR($B760="STD. DEVIATION",$C$1=1),$A760,$A760+1),COLUMN('1-DATA'!AO758)),IF($B760="STD. DEVIATION",2,$F$1))))</f>
        <v/>
      </c>
      <c r="AQ760" s="1" t="str">
        <f>IF(OR($B760="",AQ$7=""),"",IF($B760="MEANS",INDEX('1-DATA'!$1:$1048576,$A759-1,COLUMN('1-DATA'!AP758)),ROUND(INDEX('1-DATA'!$1:$1048576,IF(OR($B760="STD. DEVIATION",$C$1=1),$A760,$A760+1),COLUMN('1-DATA'!AP758)),IF($B760="STD. DEVIATION",2,$F$1))))</f>
        <v/>
      </c>
      <c r="AR760" s="1" t="str">
        <f>IF(OR($B760="",AR$7=""),"",IF($B760="MEANS",INDEX('1-DATA'!$1:$1048576,$A759-1,COLUMN('1-DATA'!AQ758)),ROUND(INDEX('1-DATA'!$1:$1048576,IF(OR($B760="STD. DEVIATION",$C$1=1),$A760,$A760+1),COLUMN('1-DATA'!AQ758)),IF($B760="STD. DEVIATION",2,$F$1))))</f>
        <v/>
      </c>
      <c r="AS760" s="1" t="str">
        <f>IF(OR($B760="",AS$7=""),"",IF($B760="MEANS",INDEX('1-DATA'!$1:$1048576,$A759-1,COLUMN('1-DATA'!AR758)),ROUND(INDEX('1-DATA'!$1:$1048576,IF(OR($B760="STD. DEVIATION",$C$1=1),$A760,$A760+1),COLUMN('1-DATA'!AR758)),IF($B760="STD. DEVIATION",2,$F$1))))</f>
        <v/>
      </c>
      <c r="AT760" s="1" t="str">
        <f>IF(OR($B760="",AT$7=""),"",IF($B760="MEANS",INDEX('1-DATA'!$1:$1048576,$A759-1,COLUMN('1-DATA'!AS758)),ROUND(INDEX('1-DATA'!$1:$1048576,IF(OR($B760="STD. DEVIATION",$C$1=1),$A760,$A760+1),COLUMN('1-DATA'!AS758)),IF($B760="STD. DEVIATION",2,$F$1))))</f>
        <v/>
      </c>
      <c r="AU760" s="1" t="str">
        <f>IF(OR($B760="",AU$7=""),"",IF($B760="MEANS",INDEX('1-DATA'!$1:$1048576,$A759-1,COLUMN('1-DATA'!AT758)),ROUND(INDEX('1-DATA'!$1:$1048576,IF(OR($B760="STD. DEVIATION",$C$1=1),$A760,$A760+1),COLUMN('1-DATA'!AT758)),IF($B760="STD. DEVIATION",2,$F$1))))</f>
        <v/>
      </c>
      <c r="AV760" s="1" t="str">
        <f>IF(OR($B760="",AV$7=""),"",IF($B760="MEANS",INDEX('1-DATA'!$1:$1048576,$A759-1,COLUMN('1-DATA'!AU758)),ROUND(INDEX('1-DATA'!$1:$1048576,IF(OR($B760="STD. DEVIATION",$C$1=1),$A760,$A760+1),COLUMN('1-DATA'!AU758)),IF($B760="STD. DEVIATION",2,$F$1))))</f>
        <v/>
      </c>
      <c r="AW760" s="1" t="str">
        <f>IF(OR($B760="",AW$7=""),"",IF($B760="MEANS",INDEX('1-DATA'!$1:$1048576,$A759-1,COLUMN('1-DATA'!AV758)),ROUND(INDEX('1-DATA'!$1:$1048576,IF(OR($B760="STD. DEVIATION",$C$1=1),$A760,$A760+1),COLUMN('1-DATA'!AV758)),IF($B760="STD. DEVIATION",2,$F$1))))</f>
        <v/>
      </c>
      <c r="AX760" s="1" t="str">
        <f>IF(OR($B760="",AX$7=""),"",IF($B760="MEANS",INDEX('1-DATA'!$1:$1048576,$A759-1,COLUMN('1-DATA'!AW758)),ROUND(INDEX('1-DATA'!$1:$1048576,IF(OR($B760="STD. DEVIATION",$C$1=1),$A760,$A760+1),COLUMN('1-DATA'!AW758)),IF($B760="STD. DEVIATION",2,$F$1))))</f>
        <v/>
      </c>
      <c r="AY760" s="1" t="str">
        <f>IF(OR($B760="",AY$7=""),"",IF($B760="MEANS",INDEX('1-DATA'!$1:$1048576,$A759-1,COLUMN('1-DATA'!AX758)),ROUND(INDEX('1-DATA'!$1:$1048576,IF(OR($B760="STD. DEVIATION",$C$1=1),$A760,$A760+1),COLUMN('1-DATA'!AX758)),IF($B760="STD. DEVIATION",2,$F$1))))</f>
        <v/>
      </c>
      <c r="AZ760" s="1" t="str">
        <f>IF(OR($B760="",AZ$7=""),"",IF($B760="MEANS",INDEX('1-DATA'!$1:$1048576,$A759-1,COLUMN('1-DATA'!AY758)),ROUND(INDEX('1-DATA'!$1:$1048576,IF(OR($B760="STD. DEVIATION",$C$1=1),$A760,$A760+1),COLUMN('1-DATA'!AY758)),IF($B760="STD. DEVIATION",2,$F$1))))</f>
        <v/>
      </c>
    </row>
    <row r="761" spans="1:52" x14ac:dyDescent="0.25">
      <c r="A761" s="11">
        <f t="shared" si="12"/>
        <v>2269</v>
      </c>
      <c r="B761" s="1" t="str">
        <f>IF(B760="STD. DEVIATION",INDEX('1-DATA'!$1:$1048576,$A760-1,1),IF(INDEX('1-DATA'!$1:$1048576,$A761,1)&lt;&gt;"",INDEX('1-DATA'!$1:$1048576,$A761,1),""))</f>
        <v/>
      </c>
      <c r="C761" s="1" t="str">
        <f>IF(OR($B761="",C$7=""),"",IF($B761="MEANS",INDEX('1-DATA'!$1:$1048576,$A760-1,COLUMN('1-DATA'!B759)),ROUND(INDEX('1-DATA'!$1:$1048576,IF(OR($B761="STD. DEVIATION",$C$1=1),$A761,$A761+1),COLUMN('1-DATA'!B759)),IF($B761="STD. DEVIATION",2,$F$1))))</f>
        <v/>
      </c>
      <c r="D761" s="1" t="str">
        <f>IF(OR($B761="",D$7=""),"",IF($B761="MEANS",INDEX('1-DATA'!$1:$1048576,$A760-1,COLUMN('1-DATA'!C759)),ROUND(INDEX('1-DATA'!$1:$1048576,IF(OR($B761="STD. DEVIATION",$C$1=1),$A761,$A761+1),COLUMN('1-DATA'!C759)),IF($B761="STD. DEVIATION",2,$F$1))))</f>
        <v/>
      </c>
      <c r="E761" s="1" t="str">
        <f>IF(OR($B761="",E$7=""),"",IF($B761="MEANS",INDEX('1-DATA'!$1:$1048576,$A760-1,COLUMN('1-DATA'!D759)),ROUND(INDEX('1-DATA'!$1:$1048576,IF(OR($B761="STD. DEVIATION",$C$1=1),$A761,$A761+1),COLUMN('1-DATA'!D759)),IF($B761="STD. DEVIATION",2,$F$1))))</f>
        <v/>
      </c>
      <c r="F761" s="1" t="str">
        <f>IF(OR($B761="",F$7=""),"",IF($B761="MEANS",INDEX('1-DATA'!$1:$1048576,$A760-1,COLUMN('1-DATA'!E759)),ROUND(INDEX('1-DATA'!$1:$1048576,IF(OR($B761="STD. DEVIATION",$C$1=1),$A761,$A761+1),COLUMN('1-DATA'!E759)),IF($B761="STD. DEVIATION",2,$F$1))))</f>
        <v/>
      </c>
      <c r="G761" s="1" t="str">
        <f>IF(OR($B761="",G$7=""),"",IF($B761="MEANS",INDEX('1-DATA'!$1:$1048576,$A760-1,COLUMN('1-DATA'!F759)),ROUND(INDEX('1-DATA'!$1:$1048576,IF(OR($B761="STD. DEVIATION",$C$1=1),$A761,$A761+1),COLUMN('1-DATA'!F759)),IF($B761="STD. DEVIATION",2,$F$1))))</f>
        <v/>
      </c>
      <c r="H761" s="1" t="str">
        <f>IF(OR($B761="",H$7=""),"",IF($B761="MEANS",INDEX('1-DATA'!$1:$1048576,$A760-1,COLUMN('1-DATA'!G759)),ROUND(INDEX('1-DATA'!$1:$1048576,IF(OR($B761="STD. DEVIATION",$C$1=1),$A761,$A761+1),COLUMN('1-DATA'!G759)),IF($B761="STD. DEVIATION",2,$F$1))))</f>
        <v/>
      </c>
      <c r="I761" s="1" t="str">
        <f>IF(OR($B761="",I$7=""),"",IF($B761="MEANS",INDEX('1-DATA'!$1:$1048576,$A760-1,COLUMN('1-DATA'!H759)),ROUND(INDEX('1-DATA'!$1:$1048576,IF(OR($B761="STD. DEVIATION",$C$1=1),$A761,$A761+1),COLUMN('1-DATA'!H759)),IF($B761="STD. DEVIATION",2,$F$1))))</f>
        <v/>
      </c>
      <c r="J761" s="1" t="str">
        <f>IF(OR($B761="",J$7=""),"",IF($B761="MEANS",INDEX('1-DATA'!$1:$1048576,$A760-1,COLUMN('1-DATA'!I759)),ROUND(INDEX('1-DATA'!$1:$1048576,IF(OR($B761="STD. DEVIATION",$C$1=1),$A761,$A761+1),COLUMN('1-DATA'!I759)),IF($B761="STD. DEVIATION",2,$F$1))))</f>
        <v/>
      </c>
      <c r="K761" s="1" t="str">
        <f>IF(OR($B761="",K$7=""),"",IF($B761="MEANS",INDEX('1-DATA'!$1:$1048576,$A760-1,COLUMN('1-DATA'!J759)),ROUND(INDEX('1-DATA'!$1:$1048576,IF(OR($B761="STD. DEVIATION",$C$1=1),$A761,$A761+1),COLUMN('1-DATA'!J759)),IF($B761="STD. DEVIATION",2,$F$1))))</f>
        <v/>
      </c>
      <c r="L761" s="1" t="str">
        <f>IF(OR($B761="",L$7=""),"",IF($B761="MEANS",INDEX('1-DATA'!$1:$1048576,$A760-1,COLUMN('1-DATA'!K759)),ROUND(INDEX('1-DATA'!$1:$1048576,IF(OR($B761="STD. DEVIATION",$C$1=1),$A761,$A761+1),COLUMN('1-DATA'!K759)),IF($B761="STD. DEVIATION",2,$F$1))))</f>
        <v/>
      </c>
      <c r="M761" s="1" t="str">
        <f>IF(OR($B761="",M$7=""),"",IF($B761="MEANS",INDEX('1-DATA'!$1:$1048576,$A760-1,COLUMN('1-DATA'!L759)),ROUND(INDEX('1-DATA'!$1:$1048576,IF(OR($B761="STD. DEVIATION",$C$1=1),$A761,$A761+1),COLUMN('1-DATA'!L759)),IF($B761="STD. DEVIATION",2,$F$1))))</f>
        <v/>
      </c>
      <c r="N761" s="1" t="str">
        <f>IF(OR($B761="",N$7=""),"",IF($B761="MEANS",INDEX('1-DATA'!$1:$1048576,$A760-1,COLUMN('1-DATA'!M759)),ROUND(INDEX('1-DATA'!$1:$1048576,IF(OR($B761="STD. DEVIATION",$C$1=1),$A761,$A761+1),COLUMN('1-DATA'!M759)),IF($B761="STD. DEVIATION",2,$F$1))))</f>
        <v/>
      </c>
      <c r="O761" s="1" t="str">
        <f>IF(OR($B761="",O$7=""),"",IF($B761="MEANS",INDEX('1-DATA'!$1:$1048576,$A760-1,COLUMN('1-DATA'!N759)),ROUND(INDEX('1-DATA'!$1:$1048576,IF(OR($B761="STD. DEVIATION",$C$1=1),$A761,$A761+1),COLUMN('1-DATA'!N759)),IF($B761="STD. DEVIATION",2,$F$1))))</f>
        <v/>
      </c>
      <c r="P761" s="1" t="str">
        <f>IF(OR($B761="",P$7=""),"",IF($B761="MEANS",INDEX('1-DATA'!$1:$1048576,$A760-1,COLUMN('1-DATA'!O759)),ROUND(INDEX('1-DATA'!$1:$1048576,IF(OR($B761="STD. DEVIATION",$C$1=1),$A761,$A761+1),COLUMN('1-DATA'!O759)),IF($B761="STD. DEVIATION",2,$F$1))))</f>
        <v/>
      </c>
      <c r="Q761" s="1" t="str">
        <f>IF(OR($B761="",Q$7=""),"",IF($B761="MEANS",INDEX('1-DATA'!$1:$1048576,$A760-1,COLUMN('1-DATA'!P759)),ROUND(INDEX('1-DATA'!$1:$1048576,IF(OR($B761="STD. DEVIATION",$C$1=1),$A761,$A761+1),COLUMN('1-DATA'!P759)),IF($B761="STD. DEVIATION",2,$F$1))))</f>
        <v/>
      </c>
      <c r="R761" s="1" t="str">
        <f>IF(OR($B761="",R$7=""),"",IF($B761="MEANS",INDEX('1-DATA'!$1:$1048576,$A760-1,COLUMN('1-DATA'!Q759)),ROUND(INDEX('1-DATA'!$1:$1048576,IF(OR($B761="STD. DEVIATION",$C$1=1),$A761,$A761+1),COLUMN('1-DATA'!Q759)),IF($B761="STD. DEVIATION",2,$F$1))))</f>
        <v/>
      </c>
      <c r="S761" s="1" t="str">
        <f>IF(OR($B761="",S$7=""),"",IF($B761="MEANS",INDEX('1-DATA'!$1:$1048576,$A760-1,COLUMN('1-DATA'!R759)),ROUND(INDEX('1-DATA'!$1:$1048576,IF(OR($B761="STD. DEVIATION",$C$1=1),$A761,$A761+1),COLUMN('1-DATA'!R759)),IF($B761="STD. DEVIATION",2,$F$1))))</f>
        <v/>
      </c>
      <c r="T761" s="1" t="str">
        <f>IF(OR($B761="",T$7=""),"",IF($B761="MEANS",INDEX('1-DATA'!$1:$1048576,$A760-1,COLUMN('1-DATA'!S759)),ROUND(INDEX('1-DATA'!$1:$1048576,IF(OR($B761="STD. DEVIATION",$C$1=1),$A761,$A761+1),COLUMN('1-DATA'!S759)),IF($B761="STD. DEVIATION",2,$F$1))))</f>
        <v/>
      </c>
      <c r="U761" s="1" t="str">
        <f>IF(OR($B761="",U$7=""),"",IF($B761="MEANS",INDEX('1-DATA'!$1:$1048576,$A760-1,COLUMN('1-DATA'!T759)),ROUND(INDEX('1-DATA'!$1:$1048576,IF(OR($B761="STD. DEVIATION",$C$1=1),$A761,$A761+1),COLUMN('1-DATA'!T759)),IF($B761="STD. DEVIATION",2,$F$1))))</f>
        <v/>
      </c>
      <c r="V761" s="1" t="str">
        <f>IF(OR($B761="",V$7=""),"",IF($B761="MEANS",INDEX('1-DATA'!$1:$1048576,$A760-1,COLUMN('1-DATA'!U759)),ROUND(INDEX('1-DATA'!$1:$1048576,IF(OR($B761="STD. DEVIATION",$C$1=1),$A761,$A761+1),COLUMN('1-DATA'!U759)),IF($B761="STD. DEVIATION",2,$F$1))))</f>
        <v/>
      </c>
      <c r="W761" s="1" t="str">
        <f>IF(OR($B761="",W$7=""),"",IF($B761="MEANS",INDEX('1-DATA'!$1:$1048576,$A760-1,COLUMN('1-DATA'!V759)),ROUND(INDEX('1-DATA'!$1:$1048576,IF(OR($B761="STD. DEVIATION",$C$1=1),$A761,$A761+1),COLUMN('1-DATA'!V759)),IF($B761="STD. DEVIATION",2,$F$1))))</f>
        <v/>
      </c>
      <c r="X761" s="1" t="str">
        <f>IF(OR($B761="",X$7=""),"",IF($B761="MEANS",INDEX('1-DATA'!$1:$1048576,$A760-1,COLUMN('1-DATA'!W759)),ROUND(INDEX('1-DATA'!$1:$1048576,IF(OR($B761="STD. DEVIATION",$C$1=1),$A761,$A761+1),COLUMN('1-DATA'!W759)),IF($B761="STD. DEVIATION",2,$F$1))))</f>
        <v/>
      </c>
      <c r="Y761" s="1" t="str">
        <f>IF(OR($B761="",Y$7=""),"",IF($B761="MEANS",INDEX('1-DATA'!$1:$1048576,$A760-1,COLUMN('1-DATA'!X759)),ROUND(INDEX('1-DATA'!$1:$1048576,IF(OR($B761="STD. DEVIATION",$C$1=1),$A761,$A761+1),COLUMN('1-DATA'!X759)),IF($B761="STD. DEVIATION",2,$F$1))))</f>
        <v/>
      </c>
      <c r="Z761" s="1" t="str">
        <f>IF(OR($B761="",Z$7=""),"",IF($B761="MEANS",INDEX('1-DATA'!$1:$1048576,$A760-1,COLUMN('1-DATA'!Y759)),ROUND(INDEX('1-DATA'!$1:$1048576,IF(OR($B761="STD. DEVIATION",$C$1=1),$A761,$A761+1),COLUMN('1-DATA'!Y759)),IF($B761="STD. DEVIATION",2,$F$1))))</f>
        <v/>
      </c>
      <c r="AA761" s="1" t="str">
        <f>IF(OR($B761="",AA$7=""),"",IF($B761="MEANS",INDEX('1-DATA'!$1:$1048576,$A760-1,COLUMN('1-DATA'!Z759)),ROUND(INDEX('1-DATA'!$1:$1048576,IF(OR($B761="STD. DEVIATION",$C$1=1),$A761,$A761+1),COLUMN('1-DATA'!Z759)),IF($B761="STD. DEVIATION",2,$F$1))))</f>
        <v/>
      </c>
      <c r="AB761" s="1" t="str">
        <f>IF(OR($B761="",AB$7=""),"",IF($B761="MEANS",INDEX('1-DATA'!$1:$1048576,$A760-1,COLUMN('1-DATA'!AA759)),ROUND(INDEX('1-DATA'!$1:$1048576,IF(OR($B761="STD. DEVIATION",$C$1=1),$A761,$A761+1),COLUMN('1-DATA'!AA759)),IF($B761="STD. DEVIATION",2,$F$1))))</f>
        <v/>
      </c>
      <c r="AC761" s="1" t="str">
        <f>IF(OR($B761="",AC$7=""),"",IF($B761="MEANS",INDEX('1-DATA'!$1:$1048576,$A760-1,COLUMN('1-DATA'!AB759)),ROUND(INDEX('1-DATA'!$1:$1048576,IF(OR($B761="STD. DEVIATION",$C$1=1),$A761,$A761+1),COLUMN('1-DATA'!AB759)),IF($B761="STD. DEVIATION",2,$F$1))))</f>
        <v/>
      </c>
      <c r="AD761" s="1" t="str">
        <f>IF(OR($B761="",AD$7=""),"",IF($B761="MEANS",INDEX('1-DATA'!$1:$1048576,$A760-1,COLUMN('1-DATA'!AC759)),ROUND(INDEX('1-DATA'!$1:$1048576,IF(OR($B761="STD. DEVIATION",$C$1=1),$A761,$A761+1),COLUMN('1-DATA'!AC759)),IF($B761="STD. DEVIATION",2,$F$1))))</f>
        <v/>
      </c>
      <c r="AE761" s="1" t="str">
        <f>IF(OR($B761="",AE$7=""),"",IF($B761="MEANS",INDEX('1-DATA'!$1:$1048576,$A760-1,COLUMN('1-DATA'!AD759)),ROUND(INDEX('1-DATA'!$1:$1048576,IF(OR($B761="STD. DEVIATION",$C$1=1),$A761,$A761+1),COLUMN('1-DATA'!AD759)),IF($B761="STD. DEVIATION",2,$F$1))))</f>
        <v/>
      </c>
      <c r="AF761" s="1" t="str">
        <f>IF(OR($B761="",AF$7=""),"",IF($B761="MEANS",INDEX('1-DATA'!$1:$1048576,$A760-1,COLUMN('1-DATA'!AE759)),ROUND(INDEX('1-DATA'!$1:$1048576,IF(OR($B761="STD. DEVIATION",$C$1=1),$A761,$A761+1),COLUMN('1-DATA'!AE759)),IF($B761="STD. DEVIATION",2,$F$1))))</f>
        <v/>
      </c>
      <c r="AG761" s="1" t="str">
        <f>IF(OR($B761="",AG$7=""),"",IF($B761="MEANS",INDEX('1-DATA'!$1:$1048576,$A760-1,COLUMN('1-DATA'!AF759)),ROUND(INDEX('1-DATA'!$1:$1048576,IF(OR($B761="STD. DEVIATION",$C$1=1),$A761,$A761+1),COLUMN('1-DATA'!AF759)),IF($B761="STD. DEVIATION",2,$F$1))))</f>
        <v/>
      </c>
      <c r="AH761" s="1" t="str">
        <f>IF(OR($B761="",AH$7=""),"",IF($B761="MEANS",INDEX('1-DATA'!$1:$1048576,$A760-1,COLUMN('1-DATA'!AG759)),ROUND(INDEX('1-DATA'!$1:$1048576,IF(OR($B761="STD. DEVIATION",$C$1=1),$A761,$A761+1),COLUMN('1-DATA'!AG759)),IF($B761="STD. DEVIATION",2,$F$1))))</f>
        <v/>
      </c>
      <c r="AI761" s="1" t="str">
        <f>IF(OR($B761="",AI$7=""),"",IF($B761="MEANS",INDEX('1-DATA'!$1:$1048576,$A760-1,COLUMN('1-DATA'!AH759)),ROUND(INDEX('1-DATA'!$1:$1048576,IF(OR($B761="STD. DEVIATION",$C$1=1),$A761,$A761+1),COLUMN('1-DATA'!AH759)),IF($B761="STD. DEVIATION",2,$F$1))))</f>
        <v/>
      </c>
      <c r="AJ761" s="1" t="str">
        <f>IF(OR($B761="",AJ$7=""),"",IF($B761="MEANS",INDEX('1-DATA'!$1:$1048576,$A760-1,COLUMN('1-DATA'!AI759)),ROUND(INDEX('1-DATA'!$1:$1048576,IF(OR($B761="STD. DEVIATION",$C$1=1),$A761,$A761+1),COLUMN('1-DATA'!AI759)),IF($B761="STD. DEVIATION",2,$F$1))))</f>
        <v/>
      </c>
      <c r="AK761" s="1" t="str">
        <f>IF(OR($B761="",AK$7=""),"",IF($B761="MEANS",INDEX('1-DATA'!$1:$1048576,$A760-1,COLUMN('1-DATA'!AJ759)),ROUND(INDEX('1-DATA'!$1:$1048576,IF(OR($B761="STD. DEVIATION",$C$1=1),$A761,$A761+1),COLUMN('1-DATA'!AJ759)),IF($B761="STD. DEVIATION",2,$F$1))))</f>
        <v/>
      </c>
      <c r="AL761" s="1" t="str">
        <f>IF(OR($B761="",AL$7=""),"",IF($B761="MEANS",INDEX('1-DATA'!$1:$1048576,$A760-1,COLUMN('1-DATA'!AK759)),ROUND(INDEX('1-DATA'!$1:$1048576,IF(OR($B761="STD. DEVIATION",$C$1=1),$A761,$A761+1),COLUMN('1-DATA'!AK759)),IF($B761="STD. DEVIATION",2,$F$1))))</f>
        <v/>
      </c>
      <c r="AM761" s="1" t="str">
        <f>IF(OR($B761="",AM$7=""),"",IF($B761="MEANS",INDEX('1-DATA'!$1:$1048576,$A760-1,COLUMN('1-DATA'!AL759)),ROUND(INDEX('1-DATA'!$1:$1048576,IF(OR($B761="STD. DEVIATION",$C$1=1),$A761,$A761+1),COLUMN('1-DATA'!AL759)),IF($B761="STD. DEVIATION",2,$F$1))))</f>
        <v/>
      </c>
      <c r="AN761" s="1" t="str">
        <f>IF(OR($B761="",AN$7=""),"",IF($B761="MEANS",INDEX('1-DATA'!$1:$1048576,$A760-1,COLUMN('1-DATA'!AM759)),ROUND(INDEX('1-DATA'!$1:$1048576,IF(OR($B761="STD. DEVIATION",$C$1=1),$A761,$A761+1),COLUMN('1-DATA'!AM759)),IF($B761="STD. DEVIATION",2,$F$1))))</f>
        <v/>
      </c>
      <c r="AO761" s="1" t="str">
        <f>IF(OR($B761="",AO$7=""),"",IF($B761="MEANS",INDEX('1-DATA'!$1:$1048576,$A760-1,COLUMN('1-DATA'!AN759)),ROUND(INDEX('1-DATA'!$1:$1048576,IF(OR($B761="STD. DEVIATION",$C$1=1),$A761,$A761+1),COLUMN('1-DATA'!AN759)),IF($B761="STD. DEVIATION",2,$F$1))))</f>
        <v/>
      </c>
      <c r="AP761" s="1" t="str">
        <f>IF(OR($B761="",AP$7=""),"",IF($B761="MEANS",INDEX('1-DATA'!$1:$1048576,$A760-1,COLUMN('1-DATA'!AO759)),ROUND(INDEX('1-DATA'!$1:$1048576,IF(OR($B761="STD. DEVIATION",$C$1=1),$A761,$A761+1),COLUMN('1-DATA'!AO759)),IF($B761="STD. DEVIATION",2,$F$1))))</f>
        <v/>
      </c>
      <c r="AQ761" s="1" t="str">
        <f>IF(OR($B761="",AQ$7=""),"",IF($B761="MEANS",INDEX('1-DATA'!$1:$1048576,$A760-1,COLUMN('1-DATA'!AP759)),ROUND(INDEX('1-DATA'!$1:$1048576,IF(OR($B761="STD. DEVIATION",$C$1=1),$A761,$A761+1),COLUMN('1-DATA'!AP759)),IF($B761="STD. DEVIATION",2,$F$1))))</f>
        <v/>
      </c>
      <c r="AR761" s="1" t="str">
        <f>IF(OR($B761="",AR$7=""),"",IF($B761="MEANS",INDEX('1-DATA'!$1:$1048576,$A760-1,COLUMN('1-DATA'!AQ759)),ROUND(INDEX('1-DATA'!$1:$1048576,IF(OR($B761="STD. DEVIATION",$C$1=1),$A761,$A761+1),COLUMN('1-DATA'!AQ759)),IF($B761="STD. DEVIATION",2,$F$1))))</f>
        <v/>
      </c>
      <c r="AS761" s="1" t="str">
        <f>IF(OR($B761="",AS$7=""),"",IF($B761="MEANS",INDEX('1-DATA'!$1:$1048576,$A760-1,COLUMN('1-DATA'!AR759)),ROUND(INDEX('1-DATA'!$1:$1048576,IF(OR($B761="STD. DEVIATION",$C$1=1),$A761,$A761+1),COLUMN('1-DATA'!AR759)),IF($B761="STD. DEVIATION",2,$F$1))))</f>
        <v/>
      </c>
      <c r="AT761" s="1" t="str">
        <f>IF(OR($B761="",AT$7=""),"",IF($B761="MEANS",INDEX('1-DATA'!$1:$1048576,$A760-1,COLUMN('1-DATA'!AS759)),ROUND(INDEX('1-DATA'!$1:$1048576,IF(OR($B761="STD. DEVIATION",$C$1=1),$A761,$A761+1),COLUMN('1-DATA'!AS759)),IF($B761="STD. DEVIATION",2,$F$1))))</f>
        <v/>
      </c>
      <c r="AU761" s="1" t="str">
        <f>IF(OR($B761="",AU$7=""),"",IF($B761="MEANS",INDEX('1-DATA'!$1:$1048576,$A760-1,COLUMN('1-DATA'!AT759)),ROUND(INDEX('1-DATA'!$1:$1048576,IF(OR($B761="STD. DEVIATION",$C$1=1),$A761,$A761+1),COLUMN('1-DATA'!AT759)),IF($B761="STD. DEVIATION",2,$F$1))))</f>
        <v/>
      </c>
      <c r="AV761" s="1" t="str">
        <f>IF(OR($B761="",AV$7=""),"",IF($B761="MEANS",INDEX('1-DATA'!$1:$1048576,$A760-1,COLUMN('1-DATA'!AU759)),ROUND(INDEX('1-DATA'!$1:$1048576,IF(OR($B761="STD. DEVIATION",$C$1=1),$A761,$A761+1),COLUMN('1-DATA'!AU759)),IF($B761="STD. DEVIATION",2,$F$1))))</f>
        <v/>
      </c>
      <c r="AW761" s="1" t="str">
        <f>IF(OR($B761="",AW$7=""),"",IF($B761="MEANS",INDEX('1-DATA'!$1:$1048576,$A760-1,COLUMN('1-DATA'!AV759)),ROUND(INDEX('1-DATA'!$1:$1048576,IF(OR($B761="STD. DEVIATION",$C$1=1),$A761,$A761+1),COLUMN('1-DATA'!AV759)),IF($B761="STD. DEVIATION",2,$F$1))))</f>
        <v/>
      </c>
      <c r="AX761" s="1" t="str">
        <f>IF(OR($B761="",AX$7=""),"",IF($B761="MEANS",INDEX('1-DATA'!$1:$1048576,$A760-1,COLUMN('1-DATA'!AW759)),ROUND(INDEX('1-DATA'!$1:$1048576,IF(OR($B761="STD. DEVIATION",$C$1=1),$A761,$A761+1),COLUMN('1-DATA'!AW759)),IF($B761="STD. DEVIATION",2,$F$1))))</f>
        <v/>
      </c>
      <c r="AY761" s="1" t="str">
        <f>IF(OR($B761="",AY$7=""),"",IF($B761="MEANS",INDEX('1-DATA'!$1:$1048576,$A760-1,COLUMN('1-DATA'!AX759)),ROUND(INDEX('1-DATA'!$1:$1048576,IF(OR($B761="STD. DEVIATION",$C$1=1),$A761,$A761+1),COLUMN('1-DATA'!AX759)),IF($B761="STD. DEVIATION",2,$F$1))))</f>
        <v/>
      </c>
      <c r="AZ761" s="1" t="str">
        <f>IF(OR($B761="",AZ$7=""),"",IF($B761="MEANS",INDEX('1-DATA'!$1:$1048576,$A760-1,COLUMN('1-DATA'!AY759)),ROUND(INDEX('1-DATA'!$1:$1048576,IF(OR($B761="STD. DEVIATION",$C$1=1),$A761,$A761+1),COLUMN('1-DATA'!AY759)),IF($B761="STD. DEVIATION",2,$F$1))))</f>
        <v/>
      </c>
    </row>
    <row r="762" spans="1:52" x14ac:dyDescent="0.25">
      <c r="A762" s="11">
        <f t="shared" si="12"/>
        <v>2272</v>
      </c>
      <c r="B762" s="1" t="str">
        <f>IF(B761="STD. DEVIATION",INDEX('1-DATA'!$1:$1048576,$A761-1,1),IF(INDEX('1-DATA'!$1:$1048576,$A762,1)&lt;&gt;"",INDEX('1-DATA'!$1:$1048576,$A762,1),""))</f>
        <v/>
      </c>
      <c r="C762" s="1" t="str">
        <f>IF(OR($B762="",C$7=""),"",IF($B762="MEANS",INDEX('1-DATA'!$1:$1048576,$A761-1,COLUMN('1-DATA'!B760)),ROUND(INDEX('1-DATA'!$1:$1048576,IF(OR($B762="STD. DEVIATION",$C$1=1),$A762,$A762+1),COLUMN('1-DATA'!B760)),IF($B762="STD. DEVIATION",2,$F$1))))</f>
        <v/>
      </c>
      <c r="D762" s="1" t="str">
        <f>IF(OR($B762="",D$7=""),"",IF($B762="MEANS",INDEX('1-DATA'!$1:$1048576,$A761-1,COLUMN('1-DATA'!C760)),ROUND(INDEX('1-DATA'!$1:$1048576,IF(OR($B762="STD. DEVIATION",$C$1=1),$A762,$A762+1),COLUMN('1-DATA'!C760)),IF($B762="STD. DEVIATION",2,$F$1))))</f>
        <v/>
      </c>
      <c r="E762" s="1" t="str">
        <f>IF(OR($B762="",E$7=""),"",IF($B762="MEANS",INDEX('1-DATA'!$1:$1048576,$A761-1,COLUMN('1-DATA'!D760)),ROUND(INDEX('1-DATA'!$1:$1048576,IF(OR($B762="STD. DEVIATION",$C$1=1),$A762,$A762+1),COLUMN('1-DATA'!D760)),IF($B762="STD. DEVIATION",2,$F$1))))</f>
        <v/>
      </c>
      <c r="F762" s="1" t="str">
        <f>IF(OR($B762="",F$7=""),"",IF($B762="MEANS",INDEX('1-DATA'!$1:$1048576,$A761-1,COLUMN('1-DATA'!E760)),ROUND(INDEX('1-DATA'!$1:$1048576,IF(OR($B762="STD. DEVIATION",$C$1=1),$A762,$A762+1),COLUMN('1-DATA'!E760)),IF($B762="STD. DEVIATION",2,$F$1))))</f>
        <v/>
      </c>
      <c r="G762" s="1" t="str">
        <f>IF(OR($B762="",G$7=""),"",IF($B762="MEANS",INDEX('1-DATA'!$1:$1048576,$A761-1,COLUMN('1-DATA'!F760)),ROUND(INDEX('1-DATA'!$1:$1048576,IF(OR($B762="STD. DEVIATION",$C$1=1),$A762,$A762+1),COLUMN('1-DATA'!F760)),IF($B762="STD. DEVIATION",2,$F$1))))</f>
        <v/>
      </c>
      <c r="H762" s="1" t="str">
        <f>IF(OR($B762="",H$7=""),"",IF($B762="MEANS",INDEX('1-DATA'!$1:$1048576,$A761-1,COLUMN('1-DATA'!G760)),ROUND(INDEX('1-DATA'!$1:$1048576,IF(OR($B762="STD. DEVIATION",$C$1=1),$A762,$A762+1),COLUMN('1-DATA'!G760)),IF($B762="STD. DEVIATION",2,$F$1))))</f>
        <v/>
      </c>
      <c r="I762" s="1" t="str">
        <f>IF(OR($B762="",I$7=""),"",IF($B762="MEANS",INDEX('1-DATA'!$1:$1048576,$A761-1,COLUMN('1-DATA'!H760)),ROUND(INDEX('1-DATA'!$1:$1048576,IF(OR($B762="STD. DEVIATION",$C$1=1),$A762,$A762+1),COLUMN('1-DATA'!H760)),IF($B762="STD. DEVIATION",2,$F$1))))</f>
        <v/>
      </c>
      <c r="J762" s="1" t="str">
        <f>IF(OR($B762="",J$7=""),"",IF($B762="MEANS",INDEX('1-DATA'!$1:$1048576,$A761-1,COLUMN('1-DATA'!I760)),ROUND(INDEX('1-DATA'!$1:$1048576,IF(OR($B762="STD. DEVIATION",$C$1=1),$A762,$A762+1),COLUMN('1-DATA'!I760)),IF($B762="STD. DEVIATION",2,$F$1))))</f>
        <v/>
      </c>
      <c r="K762" s="1" t="str">
        <f>IF(OR($B762="",K$7=""),"",IF($B762="MEANS",INDEX('1-DATA'!$1:$1048576,$A761-1,COLUMN('1-DATA'!J760)),ROUND(INDEX('1-DATA'!$1:$1048576,IF(OR($B762="STD. DEVIATION",$C$1=1),$A762,$A762+1),COLUMN('1-DATA'!J760)),IF($B762="STD. DEVIATION",2,$F$1))))</f>
        <v/>
      </c>
      <c r="L762" s="1" t="str">
        <f>IF(OR($B762="",L$7=""),"",IF($B762="MEANS",INDEX('1-DATA'!$1:$1048576,$A761-1,COLUMN('1-DATA'!K760)),ROUND(INDEX('1-DATA'!$1:$1048576,IF(OR($B762="STD. DEVIATION",$C$1=1),$A762,$A762+1),COLUMN('1-DATA'!K760)),IF($B762="STD. DEVIATION",2,$F$1))))</f>
        <v/>
      </c>
      <c r="M762" s="1" t="str">
        <f>IF(OR($B762="",M$7=""),"",IF($B762="MEANS",INDEX('1-DATA'!$1:$1048576,$A761-1,COLUMN('1-DATA'!L760)),ROUND(INDEX('1-DATA'!$1:$1048576,IF(OR($B762="STD. DEVIATION",$C$1=1),$A762,$A762+1),COLUMN('1-DATA'!L760)),IF($B762="STD. DEVIATION",2,$F$1))))</f>
        <v/>
      </c>
      <c r="N762" s="1" t="str">
        <f>IF(OR($B762="",N$7=""),"",IF($B762="MEANS",INDEX('1-DATA'!$1:$1048576,$A761-1,COLUMN('1-DATA'!M760)),ROUND(INDEX('1-DATA'!$1:$1048576,IF(OR($B762="STD. DEVIATION",$C$1=1),$A762,$A762+1),COLUMN('1-DATA'!M760)),IF($B762="STD. DEVIATION",2,$F$1))))</f>
        <v/>
      </c>
      <c r="O762" s="1" t="str">
        <f>IF(OR($B762="",O$7=""),"",IF($B762="MEANS",INDEX('1-DATA'!$1:$1048576,$A761-1,COLUMN('1-DATA'!N760)),ROUND(INDEX('1-DATA'!$1:$1048576,IF(OR($B762="STD. DEVIATION",$C$1=1),$A762,$A762+1),COLUMN('1-DATA'!N760)),IF($B762="STD. DEVIATION",2,$F$1))))</f>
        <v/>
      </c>
      <c r="P762" s="1" t="str">
        <f>IF(OR($B762="",P$7=""),"",IF($B762="MEANS",INDEX('1-DATA'!$1:$1048576,$A761-1,COLUMN('1-DATA'!O760)),ROUND(INDEX('1-DATA'!$1:$1048576,IF(OR($B762="STD. DEVIATION",$C$1=1),$A762,$A762+1),COLUMN('1-DATA'!O760)),IF($B762="STD. DEVIATION",2,$F$1))))</f>
        <v/>
      </c>
      <c r="Q762" s="1" t="str">
        <f>IF(OR($B762="",Q$7=""),"",IF($B762="MEANS",INDEX('1-DATA'!$1:$1048576,$A761-1,COLUMN('1-DATA'!P760)),ROUND(INDEX('1-DATA'!$1:$1048576,IF(OR($B762="STD. DEVIATION",$C$1=1),$A762,$A762+1),COLUMN('1-DATA'!P760)),IF($B762="STD. DEVIATION",2,$F$1))))</f>
        <v/>
      </c>
      <c r="R762" s="1" t="str">
        <f>IF(OR($B762="",R$7=""),"",IF($B762="MEANS",INDEX('1-DATA'!$1:$1048576,$A761-1,COLUMN('1-DATA'!Q760)),ROUND(INDEX('1-DATA'!$1:$1048576,IF(OR($B762="STD. DEVIATION",$C$1=1),$A762,$A762+1),COLUMN('1-DATA'!Q760)),IF($B762="STD. DEVIATION",2,$F$1))))</f>
        <v/>
      </c>
      <c r="S762" s="1" t="str">
        <f>IF(OR($B762="",S$7=""),"",IF($B762="MEANS",INDEX('1-DATA'!$1:$1048576,$A761-1,COLUMN('1-DATA'!R760)),ROUND(INDEX('1-DATA'!$1:$1048576,IF(OR($B762="STD. DEVIATION",$C$1=1),$A762,$A762+1),COLUMN('1-DATA'!R760)),IF($B762="STD. DEVIATION",2,$F$1))))</f>
        <v/>
      </c>
      <c r="T762" s="1" t="str">
        <f>IF(OR($B762="",T$7=""),"",IF($B762="MEANS",INDEX('1-DATA'!$1:$1048576,$A761-1,COLUMN('1-DATA'!S760)),ROUND(INDEX('1-DATA'!$1:$1048576,IF(OR($B762="STD. DEVIATION",$C$1=1),$A762,$A762+1),COLUMN('1-DATA'!S760)),IF($B762="STD. DEVIATION",2,$F$1))))</f>
        <v/>
      </c>
      <c r="U762" s="1" t="str">
        <f>IF(OR($B762="",U$7=""),"",IF($B762="MEANS",INDEX('1-DATA'!$1:$1048576,$A761-1,COLUMN('1-DATA'!T760)),ROUND(INDEX('1-DATA'!$1:$1048576,IF(OR($B762="STD. DEVIATION",$C$1=1),$A762,$A762+1),COLUMN('1-DATA'!T760)),IF($B762="STD. DEVIATION",2,$F$1))))</f>
        <v/>
      </c>
      <c r="V762" s="1" t="str">
        <f>IF(OR($B762="",V$7=""),"",IF($B762="MEANS",INDEX('1-DATA'!$1:$1048576,$A761-1,COLUMN('1-DATA'!U760)),ROUND(INDEX('1-DATA'!$1:$1048576,IF(OR($B762="STD. DEVIATION",$C$1=1),$A762,$A762+1),COLUMN('1-DATA'!U760)),IF($B762="STD. DEVIATION",2,$F$1))))</f>
        <v/>
      </c>
      <c r="W762" s="1" t="str">
        <f>IF(OR($B762="",W$7=""),"",IF($B762="MEANS",INDEX('1-DATA'!$1:$1048576,$A761-1,COLUMN('1-DATA'!V760)),ROUND(INDEX('1-DATA'!$1:$1048576,IF(OR($B762="STD. DEVIATION",$C$1=1),$A762,$A762+1),COLUMN('1-DATA'!V760)),IF($B762="STD. DEVIATION",2,$F$1))))</f>
        <v/>
      </c>
      <c r="X762" s="1" t="str">
        <f>IF(OR($B762="",X$7=""),"",IF($B762="MEANS",INDEX('1-DATA'!$1:$1048576,$A761-1,COLUMN('1-DATA'!W760)),ROUND(INDEX('1-DATA'!$1:$1048576,IF(OR($B762="STD. DEVIATION",$C$1=1),$A762,$A762+1),COLUMN('1-DATA'!W760)),IF($B762="STD. DEVIATION",2,$F$1))))</f>
        <v/>
      </c>
      <c r="Y762" s="1" t="str">
        <f>IF(OR($B762="",Y$7=""),"",IF($B762="MEANS",INDEX('1-DATA'!$1:$1048576,$A761-1,COLUMN('1-DATA'!X760)),ROUND(INDEX('1-DATA'!$1:$1048576,IF(OR($B762="STD. DEVIATION",$C$1=1),$A762,$A762+1),COLUMN('1-DATA'!X760)),IF($B762="STD. DEVIATION",2,$F$1))))</f>
        <v/>
      </c>
      <c r="Z762" s="1" t="str">
        <f>IF(OR($B762="",Z$7=""),"",IF($B762="MEANS",INDEX('1-DATA'!$1:$1048576,$A761-1,COLUMN('1-DATA'!Y760)),ROUND(INDEX('1-DATA'!$1:$1048576,IF(OR($B762="STD. DEVIATION",$C$1=1),$A762,$A762+1),COLUMN('1-DATA'!Y760)),IF($B762="STD. DEVIATION",2,$F$1))))</f>
        <v/>
      </c>
      <c r="AA762" s="1" t="str">
        <f>IF(OR($B762="",AA$7=""),"",IF($B762="MEANS",INDEX('1-DATA'!$1:$1048576,$A761-1,COLUMN('1-DATA'!Z760)),ROUND(INDEX('1-DATA'!$1:$1048576,IF(OR($B762="STD. DEVIATION",$C$1=1),$A762,$A762+1),COLUMN('1-DATA'!Z760)),IF($B762="STD. DEVIATION",2,$F$1))))</f>
        <v/>
      </c>
      <c r="AB762" s="1" t="str">
        <f>IF(OR($B762="",AB$7=""),"",IF($B762="MEANS",INDEX('1-DATA'!$1:$1048576,$A761-1,COLUMN('1-DATA'!AA760)),ROUND(INDEX('1-DATA'!$1:$1048576,IF(OR($B762="STD. DEVIATION",$C$1=1),$A762,$A762+1),COLUMN('1-DATA'!AA760)),IF($B762="STD. DEVIATION",2,$F$1))))</f>
        <v/>
      </c>
      <c r="AC762" s="1" t="str">
        <f>IF(OR($B762="",AC$7=""),"",IF($B762="MEANS",INDEX('1-DATA'!$1:$1048576,$A761-1,COLUMN('1-DATA'!AB760)),ROUND(INDEX('1-DATA'!$1:$1048576,IF(OR($B762="STD. DEVIATION",$C$1=1),$A762,$A762+1),COLUMN('1-DATA'!AB760)),IF($B762="STD. DEVIATION",2,$F$1))))</f>
        <v/>
      </c>
      <c r="AD762" s="1" t="str">
        <f>IF(OR($B762="",AD$7=""),"",IF($B762="MEANS",INDEX('1-DATA'!$1:$1048576,$A761-1,COLUMN('1-DATA'!AC760)),ROUND(INDEX('1-DATA'!$1:$1048576,IF(OR($B762="STD. DEVIATION",$C$1=1),$A762,$A762+1),COLUMN('1-DATA'!AC760)),IF($B762="STD. DEVIATION",2,$F$1))))</f>
        <v/>
      </c>
      <c r="AE762" s="1" t="str">
        <f>IF(OR($B762="",AE$7=""),"",IF($B762="MEANS",INDEX('1-DATA'!$1:$1048576,$A761-1,COLUMN('1-DATA'!AD760)),ROUND(INDEX('1-DATA'!$1:$1048576,IF(OR($B762="STD. DEVIATION",$C$1=1),$A762,$A762+1),COLUMN('1-DATA'!AD760)),IF($B762="STD. DEVIATION",2,$F$1))))</f>
        <v/>
      </c>
      <c r="AF762" s="1" t="str">
        <f>IF(OR($B762="",AF$7=""),"",IF($B762="MEANS",INDEX('1-DATA'!$1:$1048576,$A761-1,COLUMN('1-DATA'!AE760)),ROUND(INDEX('1-DATA'!$1:$1048576,IF(OR($B762="STD. DEVIATION",$C$1=1),$A762,$A762+1),COLUMN('1-DATA'!AE760)),IF($B762="STD. DEVIATION",2,$F$1))))</f>
        <v/>
      </c>
      <c r="AG762" s="1" t="str">
        <f>IF(OR($B762="",AG$7=""),"",IF($B762="MEANS",INDEX('1-DATA'!$1:$1048576,$A761-1,COLUMN('1-DATA'!AF760)),ROUND(INDEX('1-DATA'!$1:$1048576,IF(OR($B762="STD. DEVIATION",$C$1=1),$A762,$A762+1),COLUMN('1-DATA'!AF760)),IF($B762="STD. DEVIATION",2,$F$1))))</f>
        <v/>
      </c>
      <c r="AH762" s="1" t="str">
        <f>IF(OR($B762="",AH$7=""),"",IF($B762="MEANS",INDEX('1-DATA'!$1:$1048576,$A761-1,COLUMN('1-DATA'!AG760)),ROUND(INDEX('1-DATA'!$1:$1048576,IF(OR($B762="STD. DEVIATION",$C$1=1),$A762,$A762+1),COLUMN('1-DATA'!AG760)),IF($B762="STD. DEVIATION",2,$F$1))))</f>
        <v/>
      </c>
      <c r="AI762" s="1" t="str">
        <f>IF(OR($B762="",AI$7=""),"",IF($B762="MEANS",INDEX('1-DATA'!$1:$1048576,$A761-1,COLUMN('1-DATA'!AH760)),ROUND(INDEX('1-DATA'!$1:$1048576,IF(OR($B762="STD. DEVIATION",$C$1=1),$A762,$A762+1),COLUMN('1-DATA'!AH760)),IF($B762="STD. DEVIATION",2,$F$1))))</f>
        <v/>
      </c>
      <c r="AJ762" s="1" t="str">
        <f>IF(OR($B762="",AJ$7=""),"",IF($B762="MEANS",INDEX('1-DATA'!$1:$1048576,$A761-1,COLUMN('1-DATA'!AI760)),ROUND(INDEX('1-DATA'!$1:$1048576,IF(OR($B762="STD. DEVIATION",$C$1=1),$A762,$A762+1),COLUMN('1-DATA'!AI760)),IF($B762="STD. DEVIATION",2,$F$1))))</f>
        <v/>
      </c>
      <c r="AK762" s="1" t="str">
        <f>IF(OR($B762="",AK$7=""),"",IF($B762="MEANS",INDEX('1-DATA'!$1:$1048576,$A761-1,COLUMN('1-DATA'!AJ760)),ROUND(INDEX('1-DATA'!$1:$1048576,IF(OR($B762="STD. DEVIATION",$C$1=1),$A762,$A762+1),COLUMN('1-DATA'!AJ760)),IF($B762="STD. DEVIATION",2,$F$1))))</f>
        <v/>
      </c>
      <c r="AL762" s="1" t="str">
        <f>IF(OR($B762="",AL$7=""),"",IF($B762="MEANS",INDEX('1-DATA'!$1:$1048576,$A761-1,COLUMN('1-DATA'!AK760)),ROUND(INDEX('1-DATA'!$1:$1048576,IF(OR($B762="STD. DEVIATION",$C$1=1),$A762,$A762+1),COLUMN('1-DATA'!AK760)),IF($B762="STD. DEVIATION",2,$F$1))))</f>
        <v/>
      </c>
      <c r="AM762" s="1" t="str">
        <f>IF(OR($B762="",AM$7=""),"",IF($B762="MEANS",INDEX('1-DATA'!$1:$1048576,$A761-1,COLUMN('1-DATA'!AL760)),ROUND(INDEX('1-DATA'!$1:$1048576,IF(OR($B762="STD. DEVIATION",$C$1=1),$A762,$A762+1),COLUMN('1-DATA'!AL760)),IF($B762="STD. DEVIATION",2,$F$1))))</f>
        <v/>
      </c>
      <c r="AN762" s="1" t="str">
        <f>IF(OR($B762="",AN$7=""),"",IF($B762="MEANS",INDEX('1-DATA'!$1:$1048576,$A761-1,COLUMN('1-DATA'!AM760)),ROUND(INDEX('1-DATA'!$1:$1048576,IF(OR($B762="STD. DEVIATION",$C$1=1),$A762,$A762+1),COLUMN('1-DATA'!AM760)),IF($B762="STD. DEVIATION",2,$F$1))))</f>
        <v/>
      </c>
      <c r="AO762" s="1" t="str">
        <f>IF(OR($B762="",AO$7=""),"",IF($B762="MEANS",INDEX('1-DATA'!$1:$1048576,$A761-1,COLUMN('1-DATA'!AN760)),ROUND(INDEX('1-DATA'!$1:$1048576,IF(OR($B762="STD. DEVIATION",$C$1=1),$A762,$A762+1),COLUMN('1-DATA'!AN760)),IF($B762="STD. DEVIATION",2,$F$1))))</f>
        <v/>
      </c>
      <c r="AP762" s="1" t="str">
        <f>IF(OR($B762="",AP$7=""),"",IF($B762="MEANS",INDEX('1-DATA'!$1:$1048576,$A761-1,COLUMN('1-DATA'!AO760)),ROUND(INDEX('1-DATA'!$1:$1048576,IF(OR($B762="STD. DEVIATION",$C$1=1),$A762,$A762+1),COLUMN('1-DATA'!AO760)),IF($B762="STD. DEVIATION",2,$F$1))))</f>
        <v/>
      </c>
      <c r="AQ762" s="1" t="str">
        <f>IF(OR($B762="",AQ$7=""),"",IF($B762="MEANS",INDEX('1-DATA'!$1:$1048576,$A761-1,COLUMN('1-DATA'!AP760)),ROUND(INDEX('1-DATA'!$1:$1048576,IF(OR($B762="STD. DEVIATION",$C$1=1),$A762,$A762+1),COLUMN('1-DATA'!AP760)),IF($B762="STD. DEVIATION",2,$F$1))))</f>
        <v/>
      </c>
      <c r="AR762" s="1" t="str">
        <f>IF(OR($B762="",AR$7=""),"",IF($B762="MEANS",INDEX('1-DATA'!$1:$1048576,$A761-1,COLUMN('1-DATA'!AQ760)),ROUND(INDEX('1-DATA'!$1:$1048576,IF(OR($B762="STD. DEVIATION",$C$1=1),$A762,$A762+1),COLUMN('1-DATA'!AQ760)),IF($B762="STD. DEVIATION",2,$F$1))))</f>
        <v/>
      </c>
      <c r="AS762" s="1" t="str">
        <f>IF(OR($B762="",AS$7=""),"",IF($B762="MEANS",INDEX('1-DATA'!$1:$1048576,$A761-1,COLUMN('1-DATA'!AR760)),ROUND(INDEX('1-DATA'!$1:$1048576,IF(OR($B762="STD. DEVIATION",$C$1=1),$A762,$A762+1),COLUMN('1-DATA'!AR760)),IF($B762="STD. DEVIATION",2,$F$1))))</f>
        <v/>
      </c>
      <c r="AT762" s="1" t="str">
        <f>IF(OR($B762="",AT$7=""),"",IF($B762="MEANS",INDEX('1-DATA'!$1:$1048576,$A761-1,COLUMN('1-DATA'!AS760)),ROUND(INDEX('1-DATA'!$1:$1048576,IF(OR($B762="STD. DEVIATION",$C$1=1),$A762,$A762+1),COLUMN('1-DATA'!AS760)),IF($B762="STD. DEVIATION",2,$F$1))))</f>
        <v/>
      </c>
      <c r="AU762" s="1" t="str">
        <f>IF(OR($B762="",AU$7=""),"",IF($B762="MEANS",INDEX('1-DATA'!$1:$1048576,$A761-1,COLUMN('1-DATA'!AT760)),ROUND(INDEX('1-DATA'!$1:$1048576,IF(OR($B762="STD. DEVIATION",$C$1=1),$A762,$A762+1),COLUMN('1-DATA'!AT760)),IF($B762="STD. DEVIATION",2,$F$1))))</f>
        <v/>
      </c>
      <c r="AV762" s="1" t="str">
        <f>IF(OR($B762="",AV$7=""),"",IF($B762="MEANS",INDEX('1-DATA'!$1:$1048576,$A761-1,COLUMN('1-DATA'!AU760)),ROUND(INDEX('1-DATA'!$1:$1048576,IF(OR($B762="STD. DEVIATION",$C$1=1),$A762,$A762+1),COLUMN('1-DATA'!AU760)),IF($B762="STD. DEVIATION",2,$F$1))))</f>
        <v/>
      </c>
      <c r="AW762" s="1" t="str">
        <f>IF(OR($B762="",AW$7=""),"",IF($B762="MEANS",INDEX('1-DATA'!$1:$1048576,$A761-1,COLUMN('1-DATA'!AV760)),ROUND(INDEX('1-DATA'!$1:$1048576,IF(OR($B762="STD. DEVIATION",$C$1=1),$A762,$A762+1),COLUMN('1-DATA'!AV760)),IF($B762="STD. DEVIATION",2,$F$1))))</f>
        <v/>
      </c>
      <c r="AX762" s="1" t="str">
        <f>IF(OR($B762="",AX$7=""),"",IF($B762="MEANS",INDEX('1-DATA'!$1:$1048576,$A761-1,COLUMN('1-DATA'!AW760)),ROUND(INDEX('1-DATA'!$1:$1048576,IF(OR($B762="STD. DEVIATION",$C$1=1),$A762,$A762+1),COLUMN('1-DATA'!AW760)),IF($B762="STD. DEVIATION",2,$F$1))))</f>
        <v/>
      </c>
      <c r="AY762" s="1" t="str">
        <f>IF(OR($B762="",AY$7=""),"",IF($B762="MEANS",INDEX('1-DATA'!$1:$1048576,$A761-1,COLUMN('1-DATA'!AX760)),ROUND(INDEX('1-DATA'!$1:$1048576,IF(OR($B762="STD. DEVIATION",$C$1=1),$A762,$A762+1),COLUMN('1-DATA'!AX760)),IF($B762="STD. DEVIATION",2,$F$1))))</f>
        <v/>
      </c>
      <c r="AZ762" s="1" t="str">
        <f>IF(OR($B762="",AZ$7=""),"",IF($B762="MEANS",INDEX('1-DATA'!$1:$1048576,$A761-1,COLUMN('1-DATA'!AY760)),ROUND(INDEX('1-DATA'!$1:$1048576,IF(OR($B762="STD. DEVIATION",$C$1=1),$A762,$A762+1),COLUMN('1-DATA'!AY760)),IF($B762="STD. DEVIATION",2,$F$1))))</f>
        <v/>
      </c>
    </row>
    <row r="763" spans="1:52" x14ac:dyDescent="0.25">
      <c r="A763" s="11">
        <f t="shared" si="12"/>
        <v>2275</v>
      </c>
      <c r="B763" s="1" t="str">
        <f>IF(B762="STD. DEVIATION",INDEX('1-DATA'!$1:$1048576,$A762-1,1),IF(INDEX('1-DATA'!$1:$1048576,$A763,1)&lt;&gt;"",INDEX('1-DATA'!$1:$1048576,$A763,1),""))</f>
        <v/>
      </c>
      <c r="C763" s="1" t="str">
        <f>IF(OR($B763="",C$7=""),"",IF($B763="MEANS",INDEX('1-DATA'!$1:$1048576,$A762-1,COLUMN('1-DATA'!B761)),ROUND(INDEX('1-DATA'!$1:$1048576,IF(OR($B763="STD. DEVIATION",$C$1=1),$A763,$A763+1),COLUMN('1-DATA'!B761)),IF($B763="STD. DEVIATION",2,$F$1))))</f>
        <v/>
      </c>
      <c r="D763" s="1" t="str">
        <f>IF(OR($B763="",D$7=""),"",IF($B763="MEANS",INDEX('1-DATA'!$1:$1048576,$A762-1,COLUMN('1-DATA'!C761)),ROUND(INDEX('1-DATA'!$1:$1048576,IF(OR($B763="STD. DEVIATION",$C$1=1),$A763,$A763+1),COLUMN('1-DATA'!C761)),IF($B763="STD. DEVIATION",2,$F$1))))</f>
        <v/>
      </c>
      <c r="E763" s="1" t="str">
        <f>IF(OR($B763="",E$7=""),"",IF($B763="MEANS",INDEX('1-DATA'!$1:$1048576,$A762-1,COLUMN('1-DATA'!D761)),ROUND(INDEX('1-DATA'!$1:$1048576,IF(OR($B763="STD. DEVIATION",$C$1=1),$A763,$A763+1),COLUMN('1-DATA'!D761)),IF($B763="STD. DEVIATION",2,$F$1))))</f>
        <v/>
      </c>
      <c r="F763" s="1" t="str">
        <f>IF(OR($B763="",F$7=""),"",IF($B763="MEANS",INDEX('1-DATA'!$1:$1048576,$A762-1,COLUMN('1-DATA'!E761)),ROUND(INDEX('1-DATA'!$1:$1048576,IF(OR($B763="STD. DEVIATION",$C$1=1),$A763,$A763+1),COLUMN('1-DATA'!E761)),IF($B763="STD. DEVIATION",2,$F$1))))</f>
        <v/>
      </c>
      <c r="G763" s="1" t="str">
        <f>IF(OR($B763="",G$7=""),"",IF($B763="MEANS",INDEX('1-DATA'!$1:$1048576,$A762-1,COLUMN('1-DATA'!F761)),ROUND(INDEX('1-DATA'!$1:$1048576,IF(OR($B763="STD. DEVIATION",$C$1=1),$A763,$A763+1),COLUMN('1-DATA'!F761)),IF($B763="STD. DEVIATION",2,$F$1))))</f>
        <v/>
      </c>
      <c r="H763" s="1" t="str">
        <f>IF(OR($B763="",H$7=""),"",IF($B763="MEANS",INDEX('1-DATA'!$1:$1048576,$A762-1,COLUMN('1-DATA'!G761)),ROUND(INDEX('1-DATA'!$1:$1048576,IF(OR($B763="STD. DEVIATION",$C$1=1),$A763,$A763+1),COLUMN('1-DATA'!G761)),IF($B763="STD. DEVIATION",2,$F$1))))</f>
        <v/>
      </c>
      <c r="I763" s="1" t="str">
        <f>IF(OR($B763="",I$7=""),"",IF($B763="MEANS",INDEX('1-DATA'!$1:$1048576,$A762-1,COLUMN('1-DATA'!H761)),ROUND(INDEX('1-DATA'!$1:$1048576,IF(OR($B763="STD. DEVIATION",$C$1=1),$A763,$A763+1),COLUMN('1-DATA'!H761)),IF($B763="STD. DEVIATION",2,$F$1))))</f>
        <v/>
      </c>
      <c r="J763" s="1" t="str">
        <f>IF(OR($B763="",J$7=""),"",IF($B763="MEANS",INDEX('1-DATA'!$1:$1048576,$A762-1,COLUMN('1-DATA'!I761)),ROUND(INDEX('1-DATA'!$1:$1048576,IF(OR($B763="STD. DEVIATION",$C$1=1),$A763,$A763+1),COLUMN('1-DATA'!I761)),IF($B763="STD. DEVIATION",2,$F$1))))</f>
        <v/>
      </c>
      <c r="K763" s="1" t="str">
        <f>IF(OR($B763="",K$7=""),"",IF($B763="MEANS",INDEX('1-DATA'!$1:$1048576,$A762-1,COLUMN('1-DATA'!J761)),ROUND(INDEX('1-DATA'!$1:$1048576,IF(OR($B763="STD. DEVIATION",$C$1=1),$A763,$A763+1),COLUMN('1-DATA'!J761)),IF($B763="STD. DEVIATION",2,$F$1))))</f>
        <v/>
      </c>
      <c r="L763" s="1" t="str">
        <f>IF(OR($B763="",L$7=""),"",IF($B763="MEANS",INDEX('1-DATA'!$1:$1048576,$A762-1,COLUMN('1-DATA'!K761)),ROUND(INDEX('1-DATA'!$1:$1048576,IF(OR($B763="STD. DEVIATION",$C$1=1),$A763,$A763+1),COLUMN('1-DATA'!K761)),IF($B763="STD. DEVIATION",2,$F$1))))</f>
        <v/>
      </c>
      <c r="M763" s="1" t="str">
        <f>IF(OR($B763="",M$7=""),"",IF($B763="MEANS",INDEX('1-DATA'!$1:$1048576,$A762-1,COLUMN('1-DATA'!L761)),ROUND(INDEX('1-DATA'!$1:$1048576,IF(OR($B763="STD. DEVIATION",$C$1=1),$A763,$A763+1),COLUMN('1-DATA'!L761)),IF($B763="STD. DEVIATION",2,$F$1))))</f>
        <v/>
      </c>
      <c r="N763" s="1" t="str">
        <f>IF(OR($B763="",N$7=""),"",IF($B763="MEANS",INDEX('1-DATA'!$1:$1048576,$A762-1,COLUMN('1-DATA'!M761)),ROUND(INDEX('1-DATA'!$1:$1048576,IF(OR($B763="STD. DEVIATION",$C$1=1),$A763,$A763+1),COLUMN('1-DATA'!M761)),IF($B763="STD. DEVIATION",2,$F$1))))</f>
        <v/>
      </c>
      <c r="O763" s="1" t="str">
        <f>IF(OR($B763="",O$7=""),"",IF($B763="MEANS",INDEX('1-DATA'!$1:$1048576,$A762-1,COLUMN('1-DATA'!N761)),ROUND(INDEX('1-DATA'!$1:$1048576,IF(OR($B763="STD. DEVIATION",$C$1=1),$A763,$A763+1),COLUMN('1-DATA'!N761)),IF($B763="STD. DEVIATION",2,$F$1))))</f>
        <v/>
      </c>
      <c r="P763" s="1" t="str">
        <f>IF(OR($B763="",P$7=""),"",IF($B763="MEANS",INDEX('1-DATA'!$1:$1048576,$A762-1,COLUMN('1-DATA'!O761)),ROUND(INDEX('1-DATA'!$1:$1048576,IF(OR($B763="STD. DEVIATION",$C$1=1),$A763,$A763+1),COLUMN('1-DATA'!O761)),IF($B763="STD. DEVIATION",2,$F$1))))</f>
        <v/>
      </c>
      <c r="Q763" s="1" t="str">
        <f>IF(OR($B763="",Q$7=""),"",IF($B763="MEANS",INDEX('1-DATA'!$1:$1048576,$A762-1,COLUMN('1-DATA'!P761)),ROUND(INDEX('1-DATA'!$1:$1048576,IF(OR($B763="STD. DEVIATION",$C$1=1),$A763,$A763+1),COLUMN('1-DATA'!P761)),IF($B763="STD. DEVIATION",2,$F$1))))</f>
        <v/>
      </c>
      <c r="R763" s="1" t="str">
        <f>IF(OR($B763="",R$7=""),"",IF($B763="MEANS",INDEX('1-DATA'!$1:$1048576,$A762-1,COLUMN('1-DATA'!Q761)),ROUND(INDEX('1-DATA'!$1:$1048576,IF(OR($B763="STD. DEVIATION",$C$1=1),$A763,$A763+1),COLUMN('1-DATA'!Q761)),IF($B763="STD. DEVIATION",2,$F$1))))</f>
        <v/>
      </c>
      <c r="S763" s="1" t="str">
        <f>IF(OR($B763="",S$7=""),"",IF($B763="MEANS",INDEX('1-DATA'!$1:$1048576,$A762-1,COLUMN('1-DATA'!R761)),ROUND(INDEX('1-DATA'!$1:$1048576,IF(OR($B763="STD. DEVIATION",$C$1=1),$A763,$A763+1),COLUMN('1-DATA'!R761)),IF($B763="STD. DEVIATION",2,$F$1))))</f>
        <v/>
      </c>
      <c r="T763" s="1" t="str">
        <f>IF(OR($B763="",T$7=""),"",IF($B763="MEANS",INDEX('1-DATA'!$1:$1048576,$A762-1,COLUMN('1-DATA'!S761)),ROUND(INDEX('1-DATA'!$1:$1048576,IF(OR($B763="STD. DEVIATION",$C$1=1),$A763,$A763+1),COLUMN('1-DATA'!S761)),IF($B763="STD. DEVIATION",2,$F$1))))</f>
        <v/>
      </c>
      <c r="U763" s="1" t="str">
        <f>IF(OR($B763="",U$7=""),"",IF($B763="MEANS",INDEX('1-DATA'!$1:$1048576,$A762-1,COLUMN('1-DATA'!T761)),ROUND(INDEX('1-DATA'!$1:$1048576,IF(OR($B763="STD. DEVIATION",$C$1=1),$A763,$A763+1),COLUMN('1-DATA'!T761)),IF($B763="STD. DEVIATION",2,$F$1))))</f>
        <v/>
      </c>
      <c r="V763" s="1" t="str">
        <f>IF(OR($B763="",V$7=""),"",IF($B763="MEANS",INDEX('1-DATA'!$1:$1048576,$A762-1,COLUMN('1-DATA'!U761)),ROUND(INDEX('1-DATA'!$1:$1048576,IF(OR($B763="STD. DEVIATION",$C$1=1),$A763,$A763+1),COLUMN('1-DATA'!U761)),IF($B763="STD. DEVIATION",2,$F$1))))</f>
        <v/>
      </c>
      <c r="W763" s="1" t="str">
        <f>IF(OR($B763="",W$7=""),"",IF($B763="MEANS",INDEX('1-DATA'!$1:$1048576,$A762-1,COLUMN('1-DATA'!V761)),ROUND(INDEX('1-DATA'!$1:$1048576,IF(OR($B763="STD. DEVIATION",$C$1=1),$A763,$A763+1),COLUMN('1-DATA'!V761)),IF($B763="STD. DEVIATION",2,$F$1))))</f>
        <v/>
      </c>
      <c r="X763" s="1" t="str">
        <f>IF(OR($B763="",X$7=""),"",IF($B763="MEANS",INDEX('1-DATA'!$1:$1048576,$A762-1,COLUMN('1-DATA'!W761)),ROUND(INDEX('1-DATA'!$1:$1048576,IF(OR($B763="STD. DEVIATION",$C$1=1),$A763,$A763+1),COLUMN('1-DATA'!W761)),IF($B763="STD. DEVIATION",2,$F$1))))</f>
        <v/>
      </c>
      <c r="Y763" s="1" t="str">
        <f>IF(OR($B763="",Y$7=""),"",IF($B763="MEANS",INDEX('1-DATA'!$1:$1048576,$A762-1,COLUMN('1-DATA'!X761)),ROUND(INDEX('1-DATA'!$1:$1048576,IF(OR($B763="STD. DEVIATION",$C$1=1),$A763,$A763+1),COLUMN('1-DATA'!X761)),IF($B763="STD. DEVIATION",2,$F$1))))</f>
        <v/>
      </c>
      <c r="Z763" s="1" t="str">
        <f>IF(OR($B763="",Z$7=""),"",IF($B763="MEANS",INDEX('1-DATA'!$1:$1048576,$A762-1,COLUMN('1-DATA'!Y761)),ROUND(INDEX('1-DATA'!$1:$1048576,IF(OR($B763="STD. DEVIATION",$C$1=1),$A763,$A763+1),COLUMN('1-DATA'!Y761)),IF($B763="STD. DEVIATION",2,$F$1))))</f>
        <v/>
      </c>
      <c r="AA763" s="1" t="str">
        <f>IF(OR($B763="",AA$7=""),"",IF($B763="MEANS",INDEX('1-DATA'!$1:$1048576,$A762-1,COLUMN('1-DATA'!Z761)),ROUND(INDEX('1-DATA'!$1:$1048576,IF(OR($B763="STD. DEVIATION",$C$1=1),$A763,$A763+1),COLUMN('1-DATA'!Z761)),IF($B763="STD. DEVIATION",2,$F$1))))</f>
        <v/>
      </c>
      <c r="AB763" s="1" t="str">
        <f>IF(OR($B763="",AB$7=""),"",IF($B763="MEANS",INDEX('1-DATA'!$1:$1048576,$A762-1,COLUMN('1-DATA'!AA761)),ROUND(INDEX('1-DATA'!$1:$1048576,IF(OR($B763="STD. DEVIATION",$C$1=1),$A763,$A763+1),COLUMN('1-DATA'!AA761)),IF($B763="STD. DEVIATION",2,$F$1))))</f>
        <v/>
      </c>
      <c r="AC763" s="1" t="str">
        <f>IF(OR($B763="",AC$7=""),"",IF($B763="MEANS",INDEX('1-DATA'!$1:$1048576,$A762-1,COLUMN('1-DATA'!AB761)),ROUND(INDEX('1-DATA'!$1:$1048576,IF(OR($B763="STD. DEVIATION",$C$1=1),$A763,$A763+1),COLUMN('1-DATA'!AB761)),IF($B763="STD. DEVIATION",2,$F$1))))</f>
        <v/>
      </c>
      <c r="AD763" s="1" t="str">
        <f>IF(OR($B763="",AD$7=""),"",IF($B763="MEANS",INDEX('1-DATA'!$1:$1048576,$A762-1,COLUMN('1-DATA'!AC761)),ROUND(INDEX('1-DATA'!$1:$1048576,IF(OR($B763="STD. DEVIATION",$C$1=1),$A763,$A763+1),COLUMN('1-DATA'!AC761)),IF($B763="STD. DEVIATION",2,$F$1))))</f>
        <v/>
      </c>
      <c r="AE763" s="1" t="str">
        <f>IF(OR($B763="",AE$7=""),"",IF($B763="MEANS",INDEX('1-DATA'!$1:$1048576,$A762-1,COLUMN('1-DATA'!AD761)),ROUND(INDEX('1-DATA'!$1:$1048576,IF(OR($B763="STD. DEVIATION",$C$1=1),$A763,$A763+1),COLUMN('1-DATA'!AD761)),IF($B763="STD. DEVIATION",2,$F$1))))</f>
        <v/>
      </c>
      <c r="AF763" s="1" t="str">
        <f>IF(OR($B763="",AF$7=""),"",IF($B763="MEANS",INDEX('1-DATA'!$1:$1048576,$A762-1,COLUMN('1-DATA'!AE761)),ROUND(INDEX('1-DATA'!$1:$1048576,IF(OR($B763="STD. DEVIATION",$C$1=1),$A763,$A763+1),COLUMN('1-DATA'!AE761)),IF($B763="STD. DEVIATION",2,$F$1))))</f>
        <v/>
      </c>
      <c r="AG763" s="1" t="str">
        <f>IF(OR($B763="",AG$7=""),"",IF($B763="MEANS",INDEX('1-DATA'!$1:$1048576,$A762-1,COLUMN('1-DATA'!AF761)),ROUND(INDEX('1-DATA'!$1:$1048576,IF(OR($B763="STD. DEVIATION",$C$1=1),$A763,$A763+1),COLUMN('1-DATA'!AF761)),IF($B763="STD. DEVIATION",2,$F$1))))</f>
        <v/>
      </c>
      <c r="AH763" s="1" t="str">
        <f>IF(OR($B763="",AH$7=""),"",IF($B763="MEANS",INDEX('1-DATA'!$1:$1048576,$A762-1,COLUMN('1-DATA'!AG761)),ROUND(INDEX('1-DATA'!$1:$1048576,IF(OR($B763="STD. DEVIATION",$C$1=1),$A763,$A763+1),COLUMN('1-DATA'!AG761)),IF($B763="STD. DEVIATION",2,$F$1))))</f>
        <v/>
      </c>
      <c r="AI763" s="1" t="str">
        <f>IF(OR($B763="",AI$7=""),"",IF($B763="MEANS",INDEX('1-DATA'!$1:$1048576,$A762-1,COLUMN('1-DATA'!AH761)),ROUND(INDEX('1-DATA'!$1:$1048576,IF(OR($B763="STD. DEVIATION",$C$1=1),$A763,$A763+1),COLUMN('1-DATA'!AH761)),IF($B763="STD. DEVIATION",2,$F$1))))</f>
        <v/>
      </c>
      <c r="AJ763" s="1" t="str">
        <f>IF(OR($B763="",AJ$7=""),"",IF($B763="MEANS",INDEX('1-DATA'!$1:$1048576,$A762-1,COLUMN('1-DATA'!AI761)),ROUND(INDEX('1-DATA'!$1:$1048576,IF(OR($B763="STD. DEVIATION",$C$1=1),$A763,$A763+1),COLUMN('1-DATA'!AI761)),IF($B763="STD. DEVIATION",2,$F$1))))</f>
        <v/>
      </c>
      <c r="AK763" s="1" t="str">
        <f>IF(OR($B763="",AK$7=""),"",IF($B763="MEANS",INDEX('1-DATA'!$1:$1048576,$A762-1,COLUMN('1-DATA'!AJ761)),ROUND(INDEX('1-DATA'!$1:$1048576,IF(OR($B763="STD. DEVIATION",$C$1=1),$A763,$A763+1),COLUMN('1-DATA'!AJ761)),IF($B763="STD. DEVIATION",2,$F$1))))</f>
        <v/>
      </c>
      <c r="AL763" s="1" t="str">
        <f>IF(OR($B763="",AL$7=""),"",IF($B763="MEANS",INDEX('1-DATA'!$1:$1048576,$A762-1,COLUMN('1-DATA'!AK761)),ROUND(INDEX('1-DATA'!$1:$1048576,IF(OR($B763="STD. DEVIATION",$C$1=1),$A763,$A763+1),COLUMN('1-DATA'!AK761)),IF($B763="STD. DEVIATION",2,$F$1))))</f>
        <v/>
      </c>
      <c r="AM763" s="1" t="str">
        <f>IF(OR($B763="",AM$7=""),"",IF($B763="MEANS",INDEX('1-DATA'!$1:$1048576,$A762-1,COLUMN('1-DATA'!AL761)),ROUND(INDEX('1-DATA'!$1:$1048576,IF(OR($B763="STD. DEVIATION",$C$1=1),$A763,$A763+1),COLUMN('1-DATA'!AL761)),IF($B763="STD. DEVIATION",2,$F$1))))</f>
        <v/>
      </c>
      <c r="AN763" s="1" t="str">
        <f>IF(OR($B763="",AN$7=""),"",IF($B763="MEANS",INDEX('1-DATA'!$1:$1048576,$A762-1,COLUMN('1-DATA'!AM761)),ROUND(INDEX('1-DATA'!$1:$1048576,IF(OR($B763="STD. DEVIATION",$C$1=1),$A763,$A763+1),COLUMN('1-DATA'!AM761)),IF($B763="STD. DEVIATION",2,$F$1))))</f>
        <v/>
      </c>
      <c r="AO763" s="1" t="str">
        <f>IF(OR($B763="",AO$7=""),"",IF($B763="MEANS",INDEX('1-DATA'!$1:$1048576,$A762-1,COLUMN('1-DATA'!AN761)),ROUND(INDEX('1-DATA'!$1:$1048576,IF(OR($B763="STD. DEVIATION",$C$1=1),$A763,$A763+1),COLUMN('1-DATA'!AN761)),IF($B763="STD. DEVIATION",2,$F$1))))</f>
        <v/>
      </c>
      <c r="AP763" s="1" t="str">
        <f>IF(OR($B763="",AP$7=""),"",IF($B763="MEANS",INDEX('1-DATA'!$1:$1048576,$A762-1,COLUMN('1-DATA'!AO761)),ROUND(INDEX('1-DATA'!$1:$1048576,IF(OR($B763="STD. DEVIATION",$C$1=1),$A763,$A763+1),COLUMN('1-DATA'!AO761)),IF($B763="STD. DEVIATION",2,$F$1))))</f>
        <v/>
      </c>
      <c r="AQ763" s="1" t="str">
        <f>IF(OR($B763="",AQ$7=""),"",IF($B763="MEANS",INDEX('1-DATA'!$1:$1048576,$A762-1,COLUMN('1-DATA'!AP761)),ROUND(INDEX('1-DATA'!$1:$1048576,IF(OR($B763="STD. DEVIATION",$C$1=1),$A763,$A763+1),COLUMN('1-DATA'!AP761)),IF($B763="STD. DEVIATION",2,$F$1))))</f>
        <v/>
      </c>
      <c r="AR763" s="1" t="str">
        <f>IF(OR($B763="",AR$7=""),"",IF($B763="MEANS",INDEX('1-DATA'!$1:$1048576,$A762-1,COLUMN('1-DATA'!AQ761)),ROUND(INDEX('1-DATA'!$1:$1048576,IF(OR($B763="STD. DEVIATION",$C$1=1),$A763,$A763+1),COLUMN('1-DATA'!AQ761)),IF($B763="STD. DEVIATION",2,$F$1))))</f>
        <v/>
      </c>
      <c r="AS763" s="1" t="str">
        <f>IF(OR($B763="",AS$7=""),"",IF($B763="MEANS",INDEX('1-DATA'!$1:$1048576,$A762-1,COLUMN('1-DATA'!AR761)),ROUND(INDEX('1-DATA'!$1:$1048576,IF(OR($B763="STD. DEVIATION",$C$1=1),$A763,$A763+1),COLUMN('1-DATA'!AR761)),IF($B763="STD. DEVIATION",2,$F$1))))</f>
        <v/>
      </c>
      <c r="AT763" s="1" t="str">
        <f>IF(OR($B763="",AT$7=""),"",IF($B763="MEANS",INDEX('1-DATA'!$1:$1048576,$A762-1,COLUMN('1-DATA'!AS761)),ROUND(INDEX('1-DATA'!$1:$1048576,IF(OR($B763="STD. DEVIATION",$C$1=1),$A763,$A763+1),COLUMN('1-DATA'!AS761)),IF($B763="STD. DEVIATION",2,$F$1))))</f>
        <v/>
      </c>
      <c r="AU763" s="1" t="str">
        <f>IF(OR($B763="",AU$7=""),"",IF($B763="MEANS",INDEX('1-DATA'!$1:$1048576,$A762-1,COLUMN('1-DATA'!AT761)),ROUND(INDEX('1-DATA'!$1:$1048576,IF(OR($B763="STD. DEVIATION",$C$1=1),$A763,$A763+1),COLUMN('1-DATA'!AT761)),IF($B763="STD. DEVIATION",2,$F$1))))</f>
        <v/>
      </c>
      <c r="AV763" s="1" t="str">
        <f>IF(OR($B763="",AV$7=""),"",IF($B763="MEANS",INDEX('1-DATA'!$1:$1048576,$A762-1,COLUMN('1-DATA'!AU761)),ROUND(INDEX('1-DATA'!$1:$1048576,IF(OR($B763="STD. DEVIATION",$C$1=1),$A763,$A763+1),COLUMN('1-DATA'!AU761)),IF($B763="STD. DEVIATION",2,$F$1))))</f>
        <v/>
      </c>
      <c r="AW763" s="1" t="str">
        <f>IF(OR($B763="",AW$7=""),"",IF($B763="MEANS",INDEX('1-DATA'!$1:$1048576,$A762-1,COLUMN('1-DATA'!AV761)),ROUND(INDEX('1-DATA'!$1:$1048576,IF(OR($B763="STD. DEVIATION",$C$1=1),$A763,$A763+1),COLUMN('1-DATA'!AV761)),IF($B763="STD. DEVIATION",2,$F$1))))</f>
        <v/>
      </c>
      <c r="AX763" s="1" t="str">
        <f>IF(OR($B763="",AX$7=""),"",IF($B763="MEANS",INDEX('1-DATA'!$1:$1048576,$A762-1,COLUMN('1-DATA'!AW761)),ROUND(INDEX('1-DATA'!$1:$1048576,IF(OR($B763="STD. DEVIATION",$C$1=1),$A763,$A763+1),COLUMN('1-DATA'!AW761)),IF($B763="STD. DEVIATION",2,$F$1))))</f>
        <v/>
      </c>
      <c r="AY763" s="1" t="str">
        <f>IF(OR($B763="",AY$7=""),"",IF($B763="MEANS",INDEX('1-DATA'!$1:$1048576,$A762-1,COLUMN('1-DATA'!AX761)),ROUND(INDEX('1-DATA'!$1:$1048576,IF(OR($B763="STD. DEVIATION",$C$1=1),$A763,$A763+1),COLUMN('1-DATA'!AX761)),IF($B763="STD. DEVIATION",2,$F$1))))</f>
        <v/>
      </c>
      <c r="AZ763" s="1" t="str">
        <f>IF(OR($B763="",AZ$7=""),"",IF($B763="MEANS",INDEX('1-DATA'!$1:$1048576,$A762-1,COLUMN('1-DATA'!AY761)),ROUND(INDEX('1-DATA'!$1:$1048576,IF(OR($B763="STD. DEVIATION",$C$1=1),$A763,$A763+1),COLUMN('1-DATA'!AY761)),IF($B763="STD. DEVIATION",2,$F$1))))</f>
        <v/>
      </c>
    </row>
    <row r="764" spans="1:52" x14ac:dyDescent="0.25">
      <c r="A764" s="11">
        <f t="shared" si="12"/>
        <v>2278</v>
      </c>
      <c r="B764" s="1" t="str">
        <f>IF(B763="STD. DEVIATION",INDEX('1-DATA'!$1:$1048576,$A763-1,1),IF(INDEX('1-DATA'!$1:$1048576,$A764,1)&lt;&gt;"",INDEX('1-DATA'!$1:$1048576,$A764,1),""))</f>
        <v/>
      </c>
      <c r="C764" s="1" t="str">
        <f>IF(OR($B764="",C$7=""),"",IF($B764="MEANS",INDEX('1-DATA'!$1:$1048576,$A763-1,COLUMN('1-DATA'!B762)),ROUND(INDEX('1-DATA'!$1:$1048576,IF(OR($B764="STD. DEVIATION",$C$1=1),$A764,$A764+1),COLUMN('1-DATA'!B762)),IF($B764="STD. DEVIATION",2,$F$1))))</f>
        <v/>
      </c>
      <c r="D764" s="1" t="str">
        <f>IF(OR($B764="",D$7=""),"",IF($B764="MEANS",INDEX('1-DATA'!$1:$1048576,$A763-1,COLUMN('1-DATA'!C762)),ROUND(INDEX('1-DATA'!$1:$1048576,IF(OR($B764="STD. DEVIATION",$C$1=1),$A764,$A764+1),COLUMN('1-DATA'!C762)),IF($B764="STD. DEVIATION",2,$F$1))))</f>
        <v/>
      </c>
      <c r="E764" s="1" t="str">
        <f>IF(OR($B764="",E$7=""),"",IF($B764="MEANS",INDEX('1-DATA'!$1:$1048576,$A763-1,COLUMN('1-DATA'!D762)),ROUND(INDEX('1-DATA'!$1:$1048576,IF(OR($B764="STD. DEVIATION",$C$1=1),$A764,$A764+1),COLUMN('1-DATA'!D762)),IF($B764="STD. DEVIATION",2,$F$1))))</f>
        <v/>
      </c>
      <c r="F764" s="1" t="str">
        <f>IF(OR($B764="",F$7=""),"",IF($B764="MEANS",INDEX('1-DATA'!$1:$1048576,$A763-1,COLUMN('1-DATA'!E762)),ROUND(INDEX('1-DATA'!$1:$1048576,IF(OR($B764="STD. DEVIATION",$C$1=1),$A764,$A764+1),COLUMN('1-DATA'!E762)),IF($B764="STD. DEVIATION",2,$F$1))))</f>
        <v/>
      </c>
      <c r="G764" s="1" t="str">
        <f>IF(OR($B764="",G$7=""),"",IF($B764="MEANS",INDEX('1-DATA'!$1:$1048576,$A763-1,COLUMN('1-DATA'!F762)),ROUND(INDEX('1-DATA'!$1:$1048576,IF(OR($B764="STD. DEVIATION",$C$1=1),$A764,$A764+1),COLUMN('1-DATA'!F762)),IF($B764="STD. DEVIATION",2,$F$1))))</f>
        <v/>
      </c>
      <c r="H764" s="1" t="str">
        <f>IF(OR($B764="",H$7=""),"",IF($B764="MEANS",INDEX('1-DATA'!$1:$1048576,$A763-1,COLUMN('1-DATA'!G762)),ROUND(INDEX('1-DATA'!$1:$1048576,IF(OR($B764="STD. DEVIATION",$C$1=1),$A764,$A764+1),COLUMN('1-DATA'!G762)),IF($B764="STD. DEVIATION",2,$F$1))))</f>
        <v/>
      </c>
      <c r="I764" s="1" t="str">
        <f>IF(OR($B764="",I$7=""),"",IF($B764="MEANS",INDEX('1-DATA'!$1:$1048576,$A763-1,COLUMN('1-DATA'!H762)),ROUND(INDEX('1-DATA'!$1:$1048576,IF(OR($B764="STD. DEVIATION",$C$1=1),$A764,$A764+1),COLUMN('1-DATA'!H762)),IF($B764="STD. DEVIATION",2,$F$1))))</f>
        <v/>
      </c>
      <c r="J764" s="1" t="str">
        <f>IF(OR($B764="",J$7=""),"",IF($B764="MEANS",INDEX('1-DATA'!$1:$1048576,$A763-1,COLUMN('1-DATA'!I762)),ROUND(INDEX('1-DATA'!$1:$1048576,IF(OR($B764="STD. DEVIATION",$C$1=1),$A764,$A764+1),COLUMN('1-DATA'!I762)),IF($B764="STD. DEVIATION",2,$F$1))))</f>
        <v/>
      </c>
      <c r="K764" s="1" t="str">
        <f>IF(OR($B764="",K$7=""),"",IF($B764="MEANS",INDEX('1-DATA'!$1:$1048576,$A763-1,COLUMN('1-DATA'!J762)),ROUND(INDEX('1-DATA'!$1:$1048576,IF(OR($B764="STD. DEVIATION",$C$1=1),$A764,$A764+1),COLUMN('1-DATA'!J762)),IF($B764="STD. DEVIATION",2,$F$1))))</f>
        <v/>
      </c>
      <c r="L764" s="1" t="str">
        <f>IF(OR($B764="",L$7=""),"",IF($B764="MEANS",INDEX('1-DATA'!$1:$1048576,$A763-1,COLUMN('1-DATA'!K762)),ROUND(INDEX('1-DATA'!$1:$1048576,IF(OR($B764="STD. DEVIATION",$C$1=1),$A764,$A764+1),COLUMN('1-DATA'!K762)),IF($B764="STD. DEVIATION",2,$F$1))))</f>
        <v/>
      </c>
      <c r="M764" s="1" t="str">
        <f>IF(OR($B764="",M$7=""),"",IF($B764="MEANS",INDEX('1-DATA'!$1:$1048576,$A763-1,COLUMN('1-DATA'!L762)),ROUND(INDEX('1-DATA'!$1:$1048576,IF(OR($B764="STD. DEVIATION",$C$1=1),$A764,$A764+1),COLUMN('1-DATA'!L762)),IF($B764="STD. DEVIATION",2,$F$1))))</f>
        <v/>
      </c>
      <c r="N764" s="1" t="str">
        <f>IF(OR($B764="",N$7=""),"",IF($B764="MEANS",INDEX('1-DATA'!$1:$1048576,$A763-1,COLUMN('1-DATA'!M762)),ROUND(INDEX('1-DATA'!$1:$1048576,IF(OR($B764="STD. DEVIATION",$C$1=1),$A764,$A764+1),COLUMN('1-DATA'!M762)),IF($B764="STD. DEVIATION",2,$F$1))))</f>
        <v/>
      </c>
      <c r="O764" s="1" t="str">
        <f>IF(OR($B764="",O$7=""),"",IF($B764="MEANS",INDEX('1-DATA'!$1:$1048576,$A763-1,COLUMN('1-DATA'!N762)),ROUND(INDEX('1-DATA'!$1:$1048576,IF(OR($B764="STD. DEVIATION",$C$1=1),$A764,$A764+1),COLUMN('1-DATA'!N762)),IF($B764="STD. DEVIATION",2,$F$1))))</f>
        <v/>
      </c>
      <c r="P764" s="1" t="str">
        <f>IF(OR($B764="",P$7=""),"",IF($B764="MEANS",INDEX('1-DATA'!$1:$1048576,$A763-1,COLUMN('1-DATA'!O762)),ROUND(INDEX('1-DATA'!$1:$1048576,IF(OR($B764="STD. DEVIATION",$C$1=1),$A764,$A764+1),COLUMN('1-DATA'!O762)),IF($B764="STD. DEVIATION",2,$F$1))))</f>
        <v/>
      </c>
      <c r="Q764" s="1" t="str">
        <f>IF(OR($B764="",Q$7=""),"",IF($B764="MEANS",INDEX('1-DATA'!$1:$1048576,$A763-1,COLUMN('1-DATA'!P762)),ROUND(INDEX('1-DATA'!$1:$1048576,IF(OR($B764="STD. DEVIATION",$C$1=1),$A764,$A764+1),COLUMN('1-DATA'!P762)),IF($B764="STD. DEVIATION",2,$F$1))))</f>
        <v/>
      </c>
      <c r="R764" s="1" t="str">
        <f>IF(OR($B764="",R$7=""),"",IF($B764="MEANS",INDEX('1-DATA'!$1:$1048576,$A763-1,COLUMN('1-DATA'!Q762)),ROUND(INDEX('1-DATA'!$1:$1048576,IF(OR($B764="STD. DEVIATION",$C$1=1),$A764,$A764+1),COLUMN('1-DATA'!Q762)),IF($B764="STD. DEVIATION",2,$F$1))))</f>
        <v/>
      </c>
      <c r="S764" s="1" t="str">
        <f>IF(OR($B764="",S$7=""),"",IF($B764="MEANS",INDEX('1-DATA'!$1:$1048576,$A763-1,COLUMN('1-DATA'!R762)),ROUND(INDEX('1-DATA'!$1:$1048576,IF(OR($B764="STD. DEVIATION",$C$1=1),$A764,$A764+1),COLUMN('1-DATA'!R762)),IF($B764="STD. DEVIATION",2,$F$1))))</f>
        <v/>
      </c>
      <c r="T764" s="1" t="str">
        <f>IF(OR($B764="",T$7=""),"",IF($B764="MEANS",INDEX('1-DATA'!$1:$1048576,$A763-1,COLUMN('1-DATA'!S762)),ROUND(INDEX('1-DATA'!$1:$1048576,IF(OR($B764="STD. DEVIATION",$C$1=1),$A764,$A764+1),COLUMN('1-DATA'!S762)),IF($B764="STD. DEVIATION",2,$F$1))))</f>
        <v/>
      </c>
      <c r="U764" s="1" t="str">
        <f>IF(OR($B764="",U$7=""),"",IF($B764="MEANS",INDEX('1-DATA'!$1:$1048576,$A763-1,COLUMN('1-DATA'!T762)),ROUND(INDEX('1-DATA'!$1:$1048576,IF(OR($B764="STD. DEVIATION",$C$1=1),$A764,$A764+1),COLUMN('1-DATA'!T762)),IF($B764="STD. DEVIATION",2,$F$1))))</f>
        <v/>
      </c>
      <c r="V764" s="1" t="str">
        <f>IF(OR($B764="",V$7=""),"",IF($B764="MEANS",INDEX('1-DATA'!$1:$1048576,$A763-1,COLUMN('1-DATA'!U762)),ROUND(INDEX('1-DATA'!$1:$1048576,IF(OR($B764="STD. DEVIATION",$C$1=1),$A764,$A764+1),COLUMN('1-DATA'!U762)),IF($B764="STD. DEVIATION",2,$F$1))))</f>
        <v/>
      </c>
      <c r="W764" s="1" t="str">
        <f>IF(OR($B764="",W$7=""),"",IF($B764="MEANS",INDEX('1-DATA'!$1:$1048576,$A763-1,COLUMN('1-DATA'!V762)),ROUND(INDEX('1-DATA'!$1:$1048576,IF(OR($B764="STD. DEVIATION",$C$1=1),$A764,$A764+1),COLUMN('1-DATA'!V762)),IF($B764="STD. DEVIATION",2,$F$1))))</f>
        <v/>
      </c>
      <c r="X764" s="1" t="str">
        <f>IF(OR($B764="",X$7=""),"",IF($B764="MEANS",INDEX('1-DATA'!$1:$1048576,$A763-1,COLUMN('1-DATA'!W762)),ROUND(INDEX('1-DATA'!$1:$1048576,IF(OR($B764="STD. DEVIATION",$C$1=1),$A764,$A764+1),COLUMN('1-DATA'!W762)),IF($B764="STD. DEVIATION",2,$F$1))))</f>
        <v/>
      </c>
      <c r="Y764" s="1" t="str">
        <f>IF(OR($B764="",Y$7=""),"",IF($B764="MEANS",INDEX('1-DATA'!$1:$1048576,$A763-1,COLUMN('1-DATA'!X762)),ROUND(INDEX('1-DATA'!$1:$1048576,IF(OR($B764="STD. DEVIATION",$C$1=1),$A764,$A764+1),COLUMN('1-DATA'!X762)),IF($B764="STD. DEVIATION",2,$F$1))))</f>
        <v/>
      </c>
      <c r="Z764" s="1" t="str">
        <f>IF(OR($B764="",Z$7=""),"",IF($B764="MEANS",INDEX('1-DATA'!$1:$1048576,$A763-1,COLUMN('1-DATA'!Y762)),ROUND(INDEX('1-DATA'!$1:$1048576,IF(OR($B764="STD. DEVIATION",$C$1=1),$A764,$A764+1),COLUMN('1-DATA'!Y762)),IF($B764="STD. DEVIATION",2,$F$1))))</f>
        <v/>
      </c>
      <c r="AA764" s="1" t="str">
        <f>IF(OR($B764="",AA$7=""),"",IF($B764="MEANS",INDEX('1-DATA'!$1:$1048576,$A763-1,COLUMN('1-DATA'!Z762)),ROUND(INDEX('1-DATA'!$1:$1048576,IF(OR($B764="STD. DEVIATION",$C$1=1),$A764,$A764+1),COLUMN('1-DATA'!Z762)),IF($B764="STD. DEVIATION",2,$F$1))))</f>
        <v/>
      </c>
      <c r="AB764" s="1" t="str">
        <f>IF(OR($B764="",AB$7=""),"",IF($B764="MEANS",INDEX('1-DATA'!$1:$1048576,$A763-1,COLUMN('1-DATA'!AA762)),ROUND(INDEX('1-DATA'!$1:$1048576,IF(OR($B764="STD. DEVIATION",$C$1=1),$A764,$A764+1),COLUMN('1-DATA'!AA762)),IF($B764="STD. DEVIATION",2,$F$1))))</f>
        <v/>
      </c>
      <c r="AC764" s="1" t="str">
        <f>IF(OR($B764="",AC$7=""),"",IF($B764="MEANS",INDEX('1-DATA'!$1:$1048576,$A763-1,COLUMN('1-DATA'!AB762)),ROUND(INDEX('1-DATA'!$1:$1048576,IF(OR($B764="STD. DEVIATION",$C$1=1),$A764,$A764+1),COLUMN('1-DATA'!AB762)),IF($B764="STD. DEVIATION",2,$F$1))))</f>
        <v/>
      </c>
      <c r="AD764" s="1" t="str">
        <f>IF(OR($B764="",AD$7=""),"",IF($B764="MEANS",INDEX('1-DATA'!$1:$1048576,$A763-1,COLUMN('1-DATA'!AC762)),ROUND(INDEX('1-DATA'!$1:$1048576,IF(OR($B764="STD. DEVIATION",$C$1=1),$A764,$A764+1),COLUMN('1-DATA'!AC762)),IF($B764="STD. DEVIATION",2,$F$1))))</f>
        <v/>
      </c>
      <c r="AE764" s="1" t="str">
        <f>IF(OR($B764="",AE$7=""),"",IF($B764="MEANS",INDEX('1-DATA'!$1:$1048576,$A763-1,COLUMN('1-DATA'!AD762)),ROUND(INDEX('1-DATA'!$1:$1048576,IF(OR($B764="STD. DEVIATION",$C$1=1),$A764,$A764+1),COLUMN('1-DATA'!AD762)),IF($B764="STD. DEVIATION",2,$F$1))))</f>
        <v/>
      </c>
      <c r="AF764" s="1" t="str">
        <f>IF(OR($B764="",AF$7=""),"",IF($B764="MEANS",INDEX('1-DATA'!$1:$1048576,$A763-1,COLUMN('1-DATA'!AE762)),ROUND(INDEX('1-DATA'!$1:$1048576,IF(OR($B764="STD. DEVIATION",$C$1=1),$A764,$A764+1),COLUMN('1-DATA'!AE762)),IF($B764="STD. DEVIATION",2,$F$1))))</f>
        <v/>
      </c>
      <c r="AG764" s="1" t="str">
        <f>IF(OR($B764="",AG$7=""),"",IF($B764="MEANS",INDEX('1-DATA'!$1:$1048576,$A763-1,COLUMN('1-DATA'!AF762)),ROUND(INDEX('1-DATA'!$1:$1048576,IF(OR($B764="STD. DEVIATION",$C$1=1),$A764,$A764+1),COLUMN('1-DATA'!AF762)),IF($B764="STD. DEVIATION",2,$F$1))))</f>
        <v/>
      </c>
      <c r="AH764" s="1" t="str">
        <f>IF(OR($B764="",AH$7=""),"",IF($B764="MEANS",INDEX('1-DATA'!$1:$1048576,$A763-1,COLUMN('1-DATA'!AG762)),ROUND(INDEX('1-DATA'!$1:$1048576,IF(OR($B764="STD. DEVIATION",$C$1=1),$A764,$A764+1),COLUMN('1-DATA'!AG762)),IF($B764="STD. DEVIATION",2,$F$1))))</f>
        <v/>
      </c>
      <c r="AI764" s="1" t="str">
        <f>IF(OR($B764="",AI$7=""),"",IF($B764="MEANS",INDEX('1-DATA'!$1:$1048576,$A763-1,COLUMN('1-DATA'!AH762)),ROUND(INDEX('1-DATA'!$1:$1048576,IF(OR($B764="STD. DEVIATION",$C$1=1),$A764,$A764+1),COLUMN('1-DATA'!AH762)),IF($B764="STD. DEVIATION",2,$F$1))))</f>
        <v/>
      </c>
      <c r="AJ764" s="1" t="str">
        <f>IF(OR($B764="",AJ$7=""),"",IF($B764="MEANS",INDEX('1-DATA'!$1:$1048576,$A763-1,COLUMN('1-DATA'!AI762)),ROUND(INDEX('1-DATA'!$1:$1048576,IF(OR($B764="STD. DEVIATION",$C$1=1),$A764,$A764+1),COLUMN('1-DATA'!AI762)),IF($B764="STD. DEVIATION",2,$F$1))))</f>
        <v/>
      </c>
      <c r="AK764" s="1" t="str">
        <f>IF(OR($B764="",AK$7=""),"",IF($B764="MEANS",INDEX('1-DATA'!$1:$1048576,$A763-1,COLUMN('1-DATA'!AJ762)),ROUND(INDEX('1-DATA'!$1:$1048576,IF(OR($B764="STD. DEVIATION",$C$1=1),$A764,$A764+1),COLUMN('1-DATA'!AJ762)),IF($B764="STD. DEVIATION",2,$F$1))))</f>
        <v/>
      </c>
      <c r="AL764" s="1" t="str">
        <f>IF(OR($B764="",AL$7=""),"",IF($B764="MEANS",INDEX('1-DATA'!$1:$1048576,$A763-1,COLUMN('1-DATA'!AK762)),ROUND(INDEX('1-DATA'!$1:$1048576,IF(OR($B764="STD. DEVIATION",$C$1=1),$A764,$A764+1),COLUMN('1-DATA'!AK762)),IF($B764="STD. DEVIATION",2,$F$1))))</f>
        <v/>
      </c>
      <c r="AM764" s="1" t="str">
        <f>IF(OR($B764="",AM$7=""),"",IF($B764="MEANS",INDEX('1-DATA'!$1:$1048576,$A763-1,COLUMN('1-DATA'!AL762)),ROUND(INDEX('1-DATA'!$1:$1048576,IF(OR($B764="STD. DEVIATION",$C$1=1),$A764,$A764+1),COLUMN('1-DATA'!AL762)),IF($B764="STD. DEVIATION",2,$F$1))))</f>
        <v/>
      </c>
      <c r="AN764" s="1" t="str">
        <f>IF(OR($B764="",AN$7=""),"",IF($B764="MEANS",INDEX('1-DATA'!$1:$1048576,$A763-1,COLUMN('1-DATA'!AM762)),ROUND(INDEX('1-DATA'!$1:$1048576,IF(OR($B764="STD. DEVIATION",$C$1=1),$A764,$A764+1),COLUMN('1-DATA'!AM762)),IF($B764="STD. DEVIATION",2,$F$1))))</f>
        <v/>
      </c>
      <c r="AO764" s="1" t="str">
        <f>IF(OR($B764="",AO$7=""),"",IF($B764="MEANS",INDEX('1-DATA'!$1:$1048576,$A763-1,COLUMN('1-DATA'!AN762)),ROUND(INDEX('1-DATA'!$1:$1048576,IF(OR($B764="STD. DEVIATION",$C$1=1),$A764,$A764+1),COLUMN('1-DATA'!AN762)),IF($B764="STD. DEVIATION",2,$F$1))))</f>
        <v/>
      </c>
      <c r="AP764" s="1" t="str">
        <f>IF(OR($B764="",AP$7=""),"",IF($B764="MEANS",INDEX('1-DATA'!$1:$1048576,$A763-1,COLUMN('1-DATA'!AO762)),ROUND(INDEX('1-DATA'!$1:$1048576,IF(OR($B764="STD. DEVIATION",$C$1=1),$A764,$A764+1),COLUMN('1-DATA'!AO762)),IF($B764="STD. DEVIATION",2,$F$1))))</f>
        <v/>
      </c>
      <c r="AQ764" s="1" t="str">
        <f>IF(OR($B764="",AQ$7=""),"",IF($B764="MEANS",INDEX('1-DATA'!$1:$1048576,$A763-1,COLUMN('1-DATA'!AP762)),ROUND(INDEX('1-DATA'!$1:$1048576,IF(OR($B764="STD. DEVIATION",$C$1=1),$A764,$A764+1),COLUMN('1-DATA'!AP762)),IF($B764="STD. DEVIATION",2,$F$1))))</f>
        <v/>
      </c>
      <c r="AR764" s="1" t="str">
        <f>IF(OR($B764="",AR$7=""),"",IF($B764="MEANS",INDEX('1-DATA'!$1:$1048576,$A763-1,COLUMN('1-DATA'!AQ762)),ROUND(INDEX('1-DATA'!$1:$1048576,IF(OR($B764="STD. DEVIATION",$C$1=1),$A764,$A764+1),COLUMN('1-DATA'!AQ762)),IF($B764="STD. DEVIATION",2,$F$1))))</f>
        <v/>
      </c>
      <c r="AS764" s="1" t="str">
        <f>IF(OR($B764="",AS$7=""),"",IF($B764="MEANS",INDEX('1-DATA'!$1:$1048576,$A763-1,COLUMN('1-DATA'!AR762)),ROUND(INDEX('1-DATA'!$1:$1048576,IF(OR($B764="STD. DEVIATION",$C$1=1),$A764,$A764+1),COLUMN('1-DATA'!AR762)),IF($B764="STD. DEVIATION",2,$F$1))))</f>
        <v/>
      </c>
      <c r="AT764" s="1" t="str">
        <f>IF(OR($B764="",AT$7=""),"",IF($B764="MEANS",INDEX('1-DATA'!$1:$1048576,$A763-1,COLUMN('1-DATA'!AS762)),ROUND(INDEX('1-DATA'!$1:$1048576,IF(OR($B764="STD. DEVIATION",$C$1=1),$A764,$A764+1),COLUMN('1-DATA'!AS762)),IF($B764="STD. DEVIATION",2,$F$1))))</f>
        <v/>
      </c>
      <c r="AU764" s="1" t="str">
        <f>IF(OR($B764="",AU$7=""),"",IF($B764="MEANS",INDEX('1-DATA'!$1:$1048576,$A763-1,COLUMN('1-DATA'!AT762)),ROUND(INDEX('1-DATA'!$1:$1048576,IF(OR($B764="STD. DEVIATION",$C$1=1),$A764,$A764+1),COLUMN('1-DATA'!AT762)),IF($B764="STD. DEVIATION",2,$F$1))))</f>
        <v/>
      </c>
      <c r="AV764" s="1" t="str">
        <f>IF(OR($B764="",AV$7=""),"",IF($B764="MEANS",INDEX('1-DATA'!$1:$1048576,$A763-1,COLUMN('1-DATA'!AU762)),ROUND(INDEX('1-DATA'!$1:$1048576,IF(OR($B764="STD. DEVIATION",$C$1=1),$A764,$A764+1),COLUMN('1-DATA'!AU762)),IF($B764="STD. DEVIATION",2,$F$1))))</f>
        <v/>
      </c>
      <c r="AW764" s="1" t="str">
        <f>IF(OR($B764="",AW$7=""),"",IF($B764="MEANS",INDEX('1-DATA'!$1:$1048576,$A763-1,COLUMN('1-DATA'!AV762)),ROUND(INDEX('1-DATA'!$1:$1048576,IF(OR($B764="STD. DEVIATION",$C$1=1),$A764,$A764+1),COLUMN('1-DATA'!AV762)),IF($B764="STD. DEVIATION",2,$F$1))))</f>
        <v/>
      </c>
      <c r="AX764" s="1" t="str">
        <f>IF(OR($B764="",AX$7=""),"",IF($B764="MEANS",INDEX('1-DATA'!$1:$1048576,$A763-1,COLUMN('1-DATA'!AW762)),ROUND(INDEX('1-DATA'!$1:$1048576,IF(OR($B764="STD. DEVIATION",$C$1=1),$A764,$A764+1),COLUMN('1-DATA'!AW762)),IF($B764="STD. DEVIATION",2,$F$1))))</f>
        <v/>
      </c>
      <c r="AY764" s="1" t="str">
        <f>IF(OR($B764="",AY$7=""),"",IF($B764="MEANS",INDEX('1-DATA'!$1:$1048576,$A763-1,COLUMN('1-DATA'!AX762)),ROUND(INDEX('1-DATA'!$1:$1048576,IF(OR($B764="STD. DEVIATION",$C$1=1),$A764,$A764+1),COLUMN('1-DATA'!AX762)),IF($B764="STD. DEVIATION",2,$F$1))))</f>
        <v/>
      </c>
      <c r="AZ764" s="1" t="str">
        <f>IF(OR($B764="",AZ$7=""),"",IF($B764="MEANS",INDEX('1-DATA'!$1:$1048576,$A763-1,COLUMN('1-DATA'!AY762)),ROUND(INDEX('1-DATA'!$1:$1048576,IF(OR($B764="STD. DEVIATION",$C$1=1),$A764,$A764+1),COLUMN('1-DATA'!AY762)),IF($B764="STD. DEVIATION",2,$F$1))))</f>
        <v/>
      </c>
    </row>
    <row r="765" spans="1:52" x14ac:dyDescent="0.25">
      <c r="A765" s="11">
        <f t="shared" si="12"/>
        <v>2281</v>
      </c>
      <c r="B765" s="1" t="str">
        <f>IF(B764="STD. DEVIATION",INDEX('1-DATA'!$1:$1048576,$A764-1,1),IF(INDEX('1-DATA'!$1:$1048576,$A765,1)&lt;&gt;"",INDEX('1-DATA'!$1:$1048576,$A765,1),""))</f>
        <v/>
      </c>
      <c r="C765" s="1" t="str">
        <f>IF(OR($B765="",C$7=""),"",IF($B765="MEANS",INDEX('1-DATA'!$1:$1048576,$A764-1,COLUMN('1-DATA'!B763)),ROUND(INDEX('1-DATA'!$1:$1048576,IF(OR($B765="STD. DEVIATION",$C$1=1),$A765,$A765+1),COLUMN('1-DATA'!B763)),IF($B765="STD. DEVIATION",2,$F$1))))</f>
        <v/>
      </c>
      <c r="D765" s="1" t="str">
        <f>IF(OR($B765="",D$7=""),"",IF($B765="MEANS",INDEX('1-DATA'!$1:$1048576,$A764-1,COLUMN('1-DATA'!C763)),ROUND(INDEX('1-DATA'!$1:$1048576,IF(OR($B765="STD. DEVIATION",$C$1=1),$A765,$A765+1),COLUMN('1-DATA'!C763)),IF($B765="STD. DEVIATION",2,$F$1))))</f>
        <v/>
      </c>
      <c r="E765" s="1" t="str">
        <f>IF(OR($B765="",E$7=""),"",IF($B765="MEANS",INDEX('1-DATA'!$1:$1048576,$A764-1,COLUMN('1-DATA'!D763)),ROUND(INDEX('1-DATA'!$1:$1048576,IF(OR($B765="STD. DEVIATION",$C$1=1),$A765,$A765+1),COLUMN('1-DATA'!D763)),IF($B765="STD. DEVIATION",2,$F$1))))</f>
        <v/>
      </c>
      <c r="F765" s="1" t="str">
        <f>IF(OR($B765="",F$7=""),"",IF($B765="MEANS",INDEX('1-DATA'!$1:$1048576,$A764-1,COLUMN('1-DATA'!E763)),ROUND(INDEX('1-DATA'!$1:$1048576,IF(OR($B765="STD. DEVIATION",$C$1=1),$A765,$A765+1),COLUMN('1-DATA'!E763)),IF($B765="STD. DEVIATION",2,$F$1))))</f>
        <v/>
      </c>
      <c r="G765" s="1" t="str">
        <f>IF(OR($B765="",G$7=""),"",IF($B765="MEANS",INDEX('1-DATA'!$1:$1048576,$A764-1,COLUMN('1-DATA'!F763)),ROUND(INDEX('1-DATA'!$1:$1048576,IF(OR($B765="STD. DEVIATION",$C$1=1),$A765,$A765+1),COLUMN('1-DATA'!F763)),IF($B765="STD. DEVIATION",2,$F$1))))</f>
        <v/>
      </c>
      <c r="H765" s="1" t="str">
        <f>IF(OR($B765="",H$7=""),"",IF($B765="MEANS",INDEX('1-DATA'!$1:$1048576,$A764-1,COLUMN('1-DATA'!G763)),ROUND(INDEX('1-DATA'!$1:$1048576,IF(OR($B765="STD. DEVIATION",$C$1=1),$A765,$A765+1),COLUMN('1-DATA'!G763)),IF($B765="STD. DEVIATION",2,$F$1))))</f>
        <v/>
      </c>
      <c r="I765" s="1" t="str">
        <f>IF(OR($B765="",I$7=""),"",IF($B765="MEANS",INDEX('1-DATA'!$1:$1048576,$A764-1,COLUMN('1-DATA'!H763)),ROUND(INDEX('1-DATA'!$1:$1048576,IF(OR($B765="STD. DEVIATION",$C$1=1),$A765,$A765+1),COLUMN('1-DATA'!H763)),IF($B765="STD. DEVIATION",2,$F$1))))</f>
        <v/>
      </c>
      <c r="J765" s="1" t="str">
        <f>IF(OR($B765="",J$7=""),"",IF($B765="MEANS",INDEX('1-DATA'!$1:$1048576,$A764-1,COLUMN('1-DATA'!I763)),ROUND(INDEX('1-DATA'!$1:$1048576,IF(OR($B765="STD. DEVIATION",$C$1=1),$A765,$A765+1),COLUMN('1-DATA'!I763)),IF($B765="STD. DEVIATION",2,$F$1))))</f>
        <v/>
      </c>
      <c r="K765" s="1" t="str">
        <f>IF(OR($B765="",K$7=""),"",IF($B765="MEANS",INDEX('1-DATA'!$1:$1048576,$A764-1,COLUMN('1-DATA'!J763)),ROUND(INDEX('1-DATA'!$1:$1048576,IF(OR($B765="STD. DEVIATION",$C$1=1),$A765,$A765+1),COLUMN('1-DATA'!J763)),IF($B765="STD. DEVIATION",2,$F$1))))</f>
        <v/>
      </c>
      <c r="L765" s="1" t="str">
        <f>IF(OR($B765="",L$7=""),"",IF($B765="MEANS",INDEX('1-DATA'!$1:$1048576,$A764-1,COLUMN('1-DATA'!K763)),ROUND(INDEX('1-DATA'!$1:$1048576,IF(OR($B765="STD. DEVIATION",$C$1=1),$A765,$A765+1),COLUMN('1-DATA'!K763)),IF($B765="STD. DEVIATION",2,$F$1))))</f>
        <v/>
      </c>
      <c r="M765" s="1" t="str">
        <f>IF(OR($B765="",M$7=""),"",IF($B765="MEANS",INDEX('1-DATA'!$1:$1048576,$A764-1,COLUMN('1-DATA'!L763)),ROUND(INDEX('1-DATA'!$1:$1048576,IF(OR($B765="STD. DEVIATION",$C$1=1),$A765,$A765+1),COLUMN('1-DATA'!L763)),IF($B765="STD. DEVIATION",2,$F$1))))</f>
        <v/>
      </c>
      <c r="N765" s="1" t="str">
        <f>IF(OR($B765="",N$7=""),"",IF($B765="MEANS",INDEX('1-DATA'!$1:$1048576,$A764-1,COLUMN('1-DATA'!M763)),ROUND(INDEX('1-DATA'!$1:$1048576,IF(OR($B765="STD. DEVIATION",$C$1=1),$A765,$A765+1),COLUMN('1-DATA'!M763)),IF($B765="STD. DEVIATION",2,$F$1))))</f>
        <v/>
      </c>
      <c r="O765" s="1" t="str">
        <f>IF(OR($B765="",O$7=""),"",IF($B765="MEANS",INDEX('1-DATA'!$1:$1048576,$A764-1,COLUMN('1-DATA'!N763)),ROUND(INDEX('1-DATA'!$1:$1048576,IF(OR($B765="STD. DEVIATION",$C$1=1),$A765,$A765+1),COLUMN('1-DATA'!N763)),IF($B765="STD. DEVIATION",2,$F$1))))</f>
        <v/>
      </c>
      <c r="P765" s="1" t="str">
        <f>IF(OR($B765="",P$7=""),"",IF($B765="MEANS",INDEX('1-DATA'!$1:$1048576,$A764-1,COLUMN('1-DATA'!O763)),ROUND(INDEX('1-DATA'!$1:$1048576,IF(OR($B765="STD. DEVIATION",$C$1=1),$A765,$A765+1),COLUMN('1-DATA'!O763)),IF($B765="STD. DEVIATION",2,$F$1))))</f>
        <v/>
      </c>
      <c r="Q765" s="1" t="str">
        <f>IF(OR($B765="",Q$7=""),"",IF($B765="MEANS",INDEX('1-DATA'!$1:$1048576,$A764-1,COLUMN('1-DATA'!P763)),ROUND(INDEX('1-DATA'!$1:$1048576,IF(OR($B765="STD. DEVIATION",$C$1=1),$A765,$A765+1),COLUMN('1-DATA'!P763)),IF($B765="STD. DEVIATION",2,$F$1))))</f>
        <v/>
      </c>
      <c r="R765" s="1" t="str">
        <f>IF(OR($B765="",R$7=""),"",IF($B765="MEANS",INDEX('1-DATA'!$1:$1048576,$A764-1,COLUMN('1-DATA'!Q763)),ROUND(INDEX('1-DATA'!$1:$1048576,IF(OR($B765="STD. DEVIATION",$C$1=1),$A765,$A765+1),COLUMN('1-DATA'!Q763)),IF($B765="STD. DEVIATION",2,$F$1))))</f>
        <v/>
      </c>
      <c r="S765" s="1" t="str">
        <f>IF(OR($B765="",S$7=""),"",IF($B765="MEANS",INDEX('1-DATA'!$1:$1048576,$A764-1,COLUMN('1-DATA'!R763)),ROUND(INDEX('1-DATA'!$1:$1048576,IF(OR($B765="STD. DEVIATION",$C$1=1),$A765,$A765+1),COLUMN('1-DATA'!R763)),IF($B765="STD. DEVIATION",2,$F$1))))</f>
        <v/>
      </c>
      <c r="T765" s="1" t="str">
        <f>IF(OR($B765="",T$7=""),"",IF($B765="MEANS",INDEX('1-DATA'!$1:$1048576,$A764-1,COLUMN('1-DATA'!S763)),ROUND(INDEX('1-DATA'!$1:$1048576,IF(OR($B765="STD. DEVIATION",$C$1=1),$A765,$A765+1),COLUMN('1-DATA'!S763)),IF($B765="STD. DEVIATION",2,$F$1))))</f>
        <v/>
      </c>
      <c r="U765" s="1" t="str">
        <f>IF(OR($B765="",U$7=""),"",IF($B765="MEANS",INDEX('1-DATA'!$1:$1048576,$A764-1,COLUMN('1-DATA'!T763)),ROUND(INDEX('1-DATA'!$1:$1048576,IF(OR($B765="STD. DEVIATION",$C$1=1),$A765,$A765+1),COLUMN('1-DATA'!T763)),IF($B765="STD. DEVIATION",2,$F$1))))</f>
        <v/>
      </c>
      <c r="V765" s="1" t="str">
        <f>IF(OR($B765="",V$7=""),"",IF($B765="MEANS",INDEX('1-DATA'!$1:$1048576,$A764-1,COLUMN('1-DATA'!U763)),ROUND(INDEX('1-DATA'!$1:$1048576,IF(OR($B765="STD. DEVIATION",$C$1=1),$A765,$A765+1),COLUMN('1-DATA'!U763)),IF($B765="STD. DEVIATION",2,$F$1))))</f>
        <v/>
      </c>
      <c r="W765" s="1" t="str">
        <f>IF(OR($B765="",W$7=""),"",IF($B765="MEANS",INDEX('1-DATA'!$1:$1048576,$A764-1,COLUMN('1-DATA'!V763)),ROUND(INDEX('1-DATA'!$1:$1048576,IF(OR($B765="STD. DEVIATION",$C$1=1),$A765,$A765+1),COLUMN('1-DATA'!V763)),IF($B765="STD. DEVIATION",2,$F$1))))</f>
        <v/>
      </c>
      <c r="X765" s="1" t="str">
        <f>IF(OR($B765="",X$7=""),"",IF($B765="MEANS",INDEX('1-DATA'!$1:$1048576,$A764-1,COLUMN('1-DATA'!W763)),ROUND(INDEX('1-DATA'!$1:$1048576,IF(OR($B765="STD. DEVIATION",$C$1=1),$A765,$A765+1),COLUMN('1-DATA'!W763)),IF($B765="STD. DEVIATION",2,$F$1))))</f>
        <v/>
      </c>
      <c r="Y765" s="1" t="str">
        <f>IF(OR($B765="",Y$7=""),"",IF($B765="MEANS",INDEX('1-DATA'!$1:$1048576,$A764-1,COLUMN('1-DATA'!X763)),ROUND(INDEX('1-DATA'!$1:$1048576,IF(OR($B765="STD. DEVIATION",$C$1=1),$A765,$A765+1),COLUMN('1-DATA'!X763)),IF($B765="STD. DEVIATION",2,$F$1))))</f>
        <v/>
      </c>
      <c r="Z765" s="1" t="str">
        <f>IF(OR($B765="",Z$7=""),"",IF($B765="MEANS",INDEX('1-DATA'!$1:$1048576,$A764-1,COLUMN('1-DATA'!Y763)),ROUND(INDEX('1-DATA'!$1:$1048576,IF(OR($B765="STD. DEVIATION",$C$1=1),$A765,$A765+1),COLUMN('1-DATA'!Y763)),IF($B765="STD. DEVIATION",2,$F$1))))</f>
        <v/>
      </c>
      <c r="AA765" s="1" t="str">
        <f>IF(OR($B765="",AA$7=""),"",IF($B765="MEANS",INDEX('1-DATA'!$1:$1048576,$A764-1,COLUMN('1-DATA'!Z763)),ROUND(INDEX('1-DATA'!$1:$1048576,IF(OR($B765="STD. DEVIATION",$C$1=1),$A765,$A765+1),COLUMN('1-DATA'!Z763)),IF($B765="STD. DEVIATION",2,$F$1))))</f>
        <v/>
      </c>
      <c r="AB765" s="1" t="str">
        <f>IF(OR($B765="",AB$7=""),"",IF($B765="MEANS",INDEX('1-DATA'!$1:$1048576,$A764-1,COLUMN('1-DATA'!AA763)),ROUND(INDEX('1-DATA'!$1:$1048576,IF(OR($B765="STD. DEVIATION",$C$1=1),$A765,$A765+1),COLUMN('1-DATA'!AA763)),IF($B765="STD. DEVIATION",2,$F$1))))</f>
        <v/>
      </c>
      <c r="AC765" s="1" t="str">
        <f>IF(OR($B765="",AC$7=""),"",IF($B765="MEANS",INDEX('1-DATA'!$1:$1048576,$A764-1,COLUMN('1-DATA'!AB763)),ROUND(INDEX('1-DATA'!$1:$1048576,IF(OR($B765="STD. DEVIATION",$C$1=1),$A765,$A765+1),COLUMN('1-DATA'!AB763)),IF($B765="STD. DEVIATION",2,$F$1))))</f>
        <v/>
      </c>
      <c r="AD765" s="1" t="str">
        <f>IF(OR($B765="",AD$7=""),"",IF($B765="MEANS",INDEX('1-DATA'!$1:$1048576,$A764-1,COLUMN('1-DATA'!AC763)),ROUND(INDEX('1-DATA'!$1:$1048576,IF(OR($B765="STD. DEVIATION",$C$1=1),$A765,$A765+1),COLUMN('1-DATA'!AC763)),IF($B765="STD. DEVIATION",2,$F$1))))</f>
        <v/>
      </c>
      <c r="AE765" s="1" t="str">
        <f>IF(OR($B765="",AE$7=""),"",IF($B765="MEANS",INDEX('1-DATA'!$1:$1048576,$A764-1,COLUMN('1-DATA'!AD763)),ROUND(INDEX('1-DATA'!$1:$1048576,IF(OR($B765="STD. DEVIATION",$C$1=1),$A765,$A765+1),COLUMN('1-DATA'!AD763)),IF($B765="STD. DEVIATION",2,$F$1))))</f>
        <v/>
      </c>
      <c r="AF765" s="1" t="str">
        <f>IF(OR($B765="",AF$7=""),"",IF($B765="MEANS",INDEX('1-DATA'!$1:$1048576,$A764-1,COLUMN('1-DATA'!AE763)),ROUND(INDEX('1-DATA'!$1:$1048576,IF(OR($B765="STD. DEVIATION",$C$1=1),$A765,$A765+1),COLUMN('1-DATA'!AE763)),IF($B765="STD. DEVIATION",2,$F$1))))</f>
        <v/>
      </c>
      <c r="AG765" s="1" t="str">
        <f>IF(OR($B765="",AG$7=""),"",IF($B765="MEANS",INDEX('1-DATA'!$1:$1048576,$A764-1,COLUMN('1-DATA'!AF763)),ROUND(INDEX('1-DATA'!$1:$1048576,IF(OR($B765="STD. DEVIATION",$C$1=1),$A765,$A765+1),COLUMN('1-DATA'!AF763)),IF($B765="STD. DEVIATION",2,$F$1))))</f>
        <v/>
      </c>
      <c r="AH765" s="1" t="str">
        <f>IF(OR($B765="",AH$7=""),"",IF($B765="MEANS",INDEX('1-DATA'!$1:$1048576,$A764-1,COLUMN('1-DATA'!AG763)),ROUND(INDEX('1-DATA'!$1:$1048576,IF(OR($B765="STD. DEVIATION",$C$1=1),$A765,$A765+1),COLUMN('1-DATA'!AG763)),IF($B765="STD. DEVIATION",2,$F$1))))</f>
        <v/>
      </c>
      <c r="AI765" s="1" t="str">
        <f>IF(OR($B765="",AI$7=""),"",IF($B765="MEANS",INDEX('1-DATA'!$1:$1048576,$A764-1,COLUMN('1-DATA'!AH763)),ROUND(INDEX('1-DATA'!$1:$1048576,IF(OR($B765="STD. DEVIATION",$C$1=1),$A765,$A765+1),COLUMN('1-DATA'!AH763)),IF($B765="STD. DEVIATION",2,$F$1))))</f>
        <v/>
      </c>
      <c r="AJ765" s="1" t="str">
        <f>IF(OR($B765="",AJ$7=""),"",IF($B765="MEANS",INDEX('1-DATA'!$1:$1048576,$A764-1,COLUMN('1-DATA'!AI763)),ROUND(INDEX('1-DATA'!$1:$1048576,IF(OR($B765="STD. DEVIATION",$C$1=1),$A765,$A765+1),COLUMN('1-DATA'!AI763)),IF($B765="STD. DEVIATION",2,$F$1))))</f>
        <v/>
      </c>
      <c r="AK765" s="1" t="str">
        <f>IF(OR($B765="",AK$7=""),"",IF($B765="MEANS",INDEX('1-DATA'!$1:$1048576,$A764-1,COLUMN('1-DATA'!AJ763)),ROUND(INDEX('1-DATA'!$1:$1048576,IF(OR($B765="STD. DEVIATION",$C$1=1),$A765,$A765+1),COLUMN('1-DATA'!AJ763)),IF($B765="STD. DEVIATION",2,$F$1))))</f>
        <v/>
      </c>
      <c r="AL765" s="1" t="str">
        <f>IF(OR($B765="",AL$7=""),"",IF($B765="MEANS",INDEX('1-DATA'!$1:$1048576,$A764-1,COLUMN('1-DATA'!AK763)),ROUND(INDEX('1-DATA'!$1:$1048576,IF(OR($B765="STD. DEVIATION",$C$1=1),$A765,$A765+1),COLUMN('1-DATA'!AK763)),IF($B765="STD. DEVIATION",2,$F$1))))</f>
        <v/>
      </c>
      <c r="AM765" s="1" t="str">
        <f>IF(OR($B765="",AM$7=""),"",IF($B765="MEANS",INDEX('1-DATA'!$1:$1048576,$A764-1,COLUMN('1-DATA'!AL763)),ROUND(INDEX('1-DATA'!$1:$1048576,IF(OR($B765="STD. DEVIATION",$C$1=1),$A765,$A765+1),COLUMN('1-DATA'!AL763)),IF($B765="STD. DEVIATION",2,$F$1))))</f>
        <v/>
      </c>
      <c r="AN765" s="1" t="str">
        <f>IF(OR($B765="",AN$7=""),"",IF($B765="MEANS",INDEX('1-DATA'!$1:$1048576,$A764-1,COLUMN('1-DATA'!AM763)),ROUND(INDEX('1-DATA'!$1:$1048576,IF(OR($B765="STD. DEVIATION",$C$1=1),$A765,$A765+1),COLUMN('1-DATA'!AM763)),IF($B765="STD. DEVIATION",2,$F$1))))</f>
        <v/>
      </c>
      <c r="AO765" s="1" t="str">
        <f>IF(OR($B765="",AO$7=""),"",IF($B765="MEANS",INDEX('1-DATA'!$1:$1048576,$A764-1,COLUMN('1-DATA'!AN763)),ROUND(INDEX('1-DATA'!$1:$1048576,IF(OR($B765="STD. DEVIATION",$C$1=1),$A765,$A765+1),COLUMN('1-DATA'!AN763)),IF($B765="STD. DEVIATION",2,$F$1))))</f>
        <v/>
      </c>
      <c r="AP765" s="1" t="str">
        <f>IF(OR($B765="",AP$7=""),"",IF($B765="MEANS",INDEX('1-DATA'!$1:$1048576,$A764-1,COLUMN('1-DATA'!AO763)),ROUND(INDEX('1-DATA'!$1:$1048576,IF(OR($B765="STD. DEVIATION",$C$1=1),$A765,$A765+1),COLUMN('1-DATA'!AO763)),IF($B765="STD. DEVIATION",2,$F$1))))</f>
        <v/>
      </c>
      <c r="AQ765" s="1" t="str">
        <f>IF(OR($B765="",AQ$7=""),"",IF($B765="MEANS",INDEX('1-DATA'!$1:$1048576,$A764-1,COLUMN('1-DATA'!AP763)),ROUND(INDEX('1-DATA'!$1:$1048576,IF(OR($B765="STD. DEVIATION",$C$1=1),$A765,$A765+1),COLUMN('1-DATA'!AP763)),IF($B765="STD. DEVIATION",2,$F$1))))</f>
        <v/>
      </c>
      <c r="AR765" s="1" t="str">
        <f>IF(OR($B765="",AR$7=""),"",IF($B765="MEANS",INDEX('1-DATA'!$1:$1048576,$A764-1,COLUMN('1-DATA'!AQ763)),ROUND(INDEX('1-DATA'!$1:$1048576,IF(OR($B765="STD. DEVIATION",$C$1=1),$A765,$A765+1),COLUMN('1-DATA'!AQ763)),IF($B765="STD. DEVIATION",2,$F$1))))</f>
        <v/>
      </c>
      <c r="AS765" s="1" t="str">
        <f>IF(OR($B765="",AS$7=""),"",IF($B765="MEANS",INDEX('1-DATA'!$1:$1048576,$A764-1,COLUMN('1-DATA'!AR763)),ROUND(INDEX('1-DATA'!$1:$1048576,IF(OR($B765="STD. DEVIATION",$C$1=1),$A765,$A765+1),COLUMN('1-DATA'!AR763)),IF($B765="STD. DEVIATION",2,$F$1))))</f>
        <v/>
      </c>
      <c r="AT765" s="1" t="str">
        <f>IF(OR($B765="",AT$7=""),"",IF($B765="MEANS",INDEX('1-DATA'!$1:$1048576,$A764-1,COLUMN('1-DATA'!AS763)),ROUND(INDEX('1-DATA'!$1:$1048576,IF(OR($B765="STD. DEVIATION",$C$1=1),$A765,$A765+1),COLUMN('1-DATA'!AS763)),IF($B765="STD. DEVIATION",2,$F$1))))</f>
        <v/>
      </c>
      <c r="AU765" s="1" t="str">
        <f>IF(OR($B765="",AU$7=""),"",IF($B765="MEANS",INDEX('1-DATA'!$1:$1048576,$A764-1,COLUMN('1-DATA'!AT763)),ROUND(INDEX('1-DATA'!$1:$1048576,IF(OR($B765="STD. DEVIATION",$C$1=1),$A765,$A765+1),COLUMN('1-DATA'!AT763)),IF($B765="STD. DEVIATION",2,$F$1))))</f>
        <v/>
      </c>
      <c r="AV765" s="1" t="str">
        <f>IF(OR($B765="",AV$7=""),"",IF($B765="MEANS",INDEX('1-DATA'!$1:$1048576,$A764-1,COLUMN('1-DATA'!AU763)),ROUND(INDEX('1-DATA'!$1:$1048576,IF(OR($B765="STD. DEVIATION",$C$1=1),$A765,$A765+1),COLUMN('1-DATA'!AU763)),IF($B765="STD. DEVIATION",2,$F$1))))</f>
        <v/>
      </c>
      <c r="AW765" s="1" t="str">
        <f>IF(OR($B765="",AW$7=""),"",IF($B765="MEANS",INDEX('1-DATA'!$1:$1048576,$A764-1,COLUMN('1-DATA'!AV763)),ROUND(INDEX('1-DATA'!$1:$1048576,IF(OR($B765="STD. DEVIATION",$C$1=1),$A765,$A765+1),COLUMN('1-DATA'!AV763)),IF($B765="STD. DEVIATION",2,$F$1))))</f>
        <v/>
      </c>
      <c r="AX765" s="1" t="str">
        <f>IF(OR($B765="",AX$7=""),"",IF($B765="MEANS",INDEX('1-DATA'!$1:$1048576,$A764-1,COLUMN('1-DATA'!AW763)),ROUND(INDEX('1-DATA'!$1:$1048576,IF(OR($B765="STD. DEVIATION",$C$1=1),$A765,$A765+1),COLUMN('1-DATA'!AW763)),IF($B765="STD. DEVIATION",2,$F$1))))</f>
        <v/>
      </c>
      <c r="AY765" s="1" t="str">
        <f>IF(OR($B765="",AY$7=""),"",IF($B765="MEANS",INDEX('1-DATA'!$1:$1048576,$A764-1,COLUMN('1-DATA'!AX763)),ROUND(INDEX('1-DATA'!$1:$1048576,IF(OR($B765="STD. DEVIATION",$C$1=1),$A765,$A765+1),COLUMN('1-DATA'!AX763)),IF($B765="STD. DEVIATION",2,$F$1))))</f>
        <v/>
      </c>
      <c r="AZ765" s="1" t="str">
        <f>IF(OR($B765="",AZ$7=""),"",IF($B765="MEANS",INDEX('1-DATA'!$1:$1048576,$A764-1,COLUMN('1-DATA'!AY763)),ROUND(INDEX('1-DATA'!$1:$1048576,IF(OR($B765="STD. DEVIATION",$C$1=1),$A765,$A765+1),COLUMN('1-DATA'!AY763)),IF($B765="STD. DEVIATION",2,$F$1))))</f>
        <v/>
      </c>
    </row>
    <row r="766" spans="1:52" x14ac:dyDescent="0.25">
      <c r="A766" s="11">
        <f t="shared" si="12"/>
        <v>2284</v>
      </c>
      <c r="B766" s="1" t="str">
        <f>IF(B765="STD. DEVIATION",INDEX('1-DATA'!$1:$1048576,$A765-1,1),IF(INDEX('1-DATA'!$1:$1048576,$A766,1)&lt;&gt;"",INDEX('1-DATA'!$1:$1048576,$A766,1),""))</f>
        <v/>
      </c>
      <c r="C766" s="1" t="str">
        <f>IF(OR($B766="",C$7=""),"",IF($B766="MEANS",INDEX('1-DATA'!$1:$1048576,$A765-1,COLUMN('1-DATA'!B764)),ROUND(INDEX('1-DATA'!$1:$1048576,IF(OR($B766="STD. DEVIATION",$C$1=1),$A766,$A766+1),COLUMN('1-DATA'!B764)),IF($B766="STD. DEVIATION",2,$F$1))))</f>
        <v/>
      </c>
      <c r="D766" s="1" t="str">
        <f>IF(OR($B766="",D$7=""),"",IF($B766="MEANS",INDEX('1-DATA'!$1:$1048576,$A765-1,COLUMN('1-DATA'!C764)),ROUND(INDEX('1-DATA'!$1:$1048576,IF(OR($B766="STD. DEVIATION",$C$1=1),$A766,$A766+1),COLUMN('1-DATA'!C764)),IF($B766="STD. DEVIATION",2,$F$1))))</f>
        <v/>
      </c>
      <c r="E766" s="1" t="str">
        <f>IF(OR($B766="",E$7=""),"",IF($B766="MEANS",INDEX('1-DATA'!$1:$1048576,$A765-1,COLUMN('1-DATA'!D764)),ROUND(INDEX('1-DATA'!$1:$1048576,IF(OR($B766="STD. DEVIATION",$C$1=1),$A766,$A766+1),COLUMN('1-DATA'!D764)),IF($B766="STD. DEVIATION",2,$F$1))))</f>
        <v/>
      </c>
      <c r="F766" s="1" t="str">
        <f>IF(OR($B766="",F$7=""),"",IF($B766="MEANS",INDEX('1-DATA'!$1:$1048576,$A765-1,COLUMN('1-DATA'!E764)),ROUND(INDEX('1-DATA'!$1:$1048576,IF(OR($B766="STD. DEVIATION",$C$1=1),$A766,$A766+1),COLUMN('1-DATA'!E764)),IF($B766="STD. DEVIATION",2,$F$1))))</f>
        <v/>
      </c>
      <c r="G766" s="1" t="str">
        <f>IF(OR($B766="",G$7=""),"",IF($B766="MEANS",INDEX('1-DATA'!$1:$1048576,$A765-1,COLUMN('1-DATA'!F764)),ROUND(INDEX('1-DATA'!$1:$1048576,IF(OR($B766="STD. DEVIATION",$C$1=1),$A766,$A766+1),COLUMN('1-DATA'!F764)),IF($B766="STD. DEVIATION",2,$F$1))))</f>
        <v/>
      </c>
      <c r="H766" s="1" t="str">
        <f>IF(OR($B766="",H$7=""),"",IF($B766="MEANS",INDEX('1-DATA'!$1:$1048576,$A765-1,COLUMN('1-DATA'!G764)),ROUND(INDEX('1-DATA'!$1:$1048576,IF(OR($B766="STD. DEVIATION",$C$1=1),$A766,$A766+1),COLUMN('1-DATA'!G764)),IF($B766="STD. DEVIATION",2,$F$1))))</f>
        <v/>
      </c>
      <c r="I766" s="1" t="str">
        <f>IF(OR($B766="",I$7=""),"",IF($B766="MEANS",INDEX('1-DATA'!$1:$1048576,$A765-1,COLUMN('1-DATA'!H764)),ROUND(INDEX('1-DATA'!$1:$1048576,IF(OR($B766="STD. DEVIATION",$C$1=1),$A766,$A766+1),COLUMN('1-DATA'!H764)),IF($B766="STD. DEVIATION",2,$F$1))))</f>
        <v/>
      </c>
      <c r="J766" s="1" t="str">
        <f>IF(OR($B766="",J$7=""),"",IF($B766="MEANS",INDEX('1-DATA'!$1:$1048576,$A765-1,COLUMN('1-DATA'!I764)),ROUND(INDEX('1-DATA'!$1:$1048576,IF(OR($B766="STD. DEVIATION",$C$1=1),$A766,$A766+1),COLUMN('1-DATA'!I764)),IF($B766="STD. DEVIATION",2,$F$1))))</f>
        <v/>
      </c>
      <c r="K766" s="1" t="str">
        <f>IF(OR($B766="",K$7=""),"",IF($B766="MEANS",INDEX('1-DATA'!$1:$1048576,$A765-1,COLUMN('1-DATA'!J764)),ROUND(INDEX('1-DATA'!$1:$1048576,IF(OR($B766="STD. DEVIATION",$C$1=1),$A766,$A766+1),COLUMN('1-DATA'!J764)),IF($B766="STD. DEVIATION",2,$F$1))))</f>
        <v/>
      </c>
      <c r="L766" s="1" t="str">
        <f>IF(OR($B766="",L$7=""),"",IF($B766="MEANS",INDEX('1-DATA'!$1:$1048576,$A765-1,COLUMN('1-DATA'!K764)),ROUND(INDEX('1-DATA'!$1:$1048576,IF(OR($B766="STD. DEVIATION",$C$1=1),$A766,$A766+1),COLUMN('1-DATA'!K764)),IF($B766="STD. DEVIATION",2,$F$1))))</f>
        <v/>
      </c>
      <c r="M766" s="1" t="str">
        <f>IF(OR($B766="",M$7=""),"",IF($B766="MEANS",INDEX('1-DATA'!$1:$1048576,$A765-1,COLUMN('1-DATA'!L764)),ROUND(INDEX('1-DATA'!$1:$1048576,IF(OR($B766="STD. DEVIATION",$C$1=1),$A766,$A766+1),COLUMN('1-DATA'!L764)),IF($B766="STD. DEVIATION",2,$F$1))))</f>
        <v/>
      </c>
      <c r="N766" s="1" t="str">
        <f>IF(OR($B766="",N$7=""),"",IF($B766="MEANS",INDEX('1-DATA'!$1:$1048576,$A765-1,COLUMN('1-DATA'!M764)),ROUND(INDEX('1-DATA'!$1:$1048576,IF(OR($B766="STD. DEVIATION",$C$1=1),$A766,$A766+1),COLUMN('1-DATA'!M764)),IF($B766="STD. DEVIATION",2,$F$1))))</f>
        <v/>
      </c>
      <c r="O766" s="1" t="str">
        <f>IF(OR($B766="",O$7=""),"",IF($B766="MEANS",INDEX('1-DATA'!$1:$1048576,$A765-1,COLUMN('1-DATA'!N764)),ROUND(INDEX('1-DATA'!$1:$1048576,IF(OR($B766="STD. DEVIATION",$C$1=1),$A766,$A766+1),COLUMN('1-DATA'!N764)),IF($B766="STD. DEVIATION",2,$F$1))))</f>
        <v/>
      </c>
      <c r="P766" s="1" t="str">
        <f>IF(OR($B766="",P$7=""),"",IF($B766="MEANS",INDEX('1-DATA'!$1:$1048576,$A765-1,COLUMN('1-DATA'!O764)),ROUND(INDEX('1-DATA'!$1:$1048576,IF(OR($B766="STD. DEVIATION",$C$1=1),$A766,$A766+1),COLUMN('1-DATA'!O764)),IF($B766="STD. DEVIATION",2,$F$1))))</f>
        <v/>
      </c>
      <c r="Q766" s="1" t="str">
        <f>IF(OR($B766="",Q$7=""),"",IF($B766="MEANS",INDEX('1-DATA'!$1:$1048576,$A765-1,COLUMN('1-DATA'!P764)),ROUND(INDEX('1-DATA'!$1:$1048576,IF(OR($B766="STD. DEVIATION",$C$1=1),$A766,$A766+1),COLUMN('1-DATA'!P764)),IF($B766="STD. DEVIATION",2,$F$1))))</f>
        <v/>
      </c>
      <c r="R766" s="1" t="str">
        <f>IF(OR($B766="",R$7=""),"",IF($B766="MEANS",INDEX('1-DATA'!$1:$1048576,$A765-1,COLUMN('1-DATA'!Q764)),ROUND(INDEX('1-DATA'!$1:$1048576,IF(OR($B766="STD. DEVIATION",$C$1=1),$A766,$A766+1),COLUMN('1-DATA'!Q764)),IF($B766="STD. DEVIATION",2,$F$1))))</f>
        <v/>
      </c>
      <c r="S766" s="1" t="str">
        <f>IF(OR($B766="",S$7=""),"",IF($B766="MEANS",INDEX('1-DATA'!$1:$1048576,$A765-1,COLUMN('1-DATA'!R764)),ROUND(INDEX('1-DATA'!$1:$1048576,IF(OR($B766="STD. DEVIATION",$C$1=1),$A766,$A766+1),COLUMN('1-DATA'!R764)),IF($B766="STD. DEVIATION",2,$F$1))))</f>
        <v/>
      </c>
      <c r="T766" s="1" t="str">
        <f>IF(OR($B766="",T$7=""),"",IF($B766="MEANS",INDEX('1-DATA'!$1:$1048576,$A765-1,COLUMN('1-DATA'!S764)),ROUND(INDEX('1-DATA'!$1:$1048576,IF(OR($B766="STD. DEVIATION",$C$1=1),$A766,$A766+1),COLUMN('1-DATA'!S764)),IF($B766="STD. DEVIATION",2,$F$1))))</f>
        <v/>
      </c>
      <c r="U766" s="1" t="str">
        <f>IF(OR($B766="",U$7=""),"",IF($B766="MEANS",INDEX('1-DATA'!$1:$1048576,$A765-1,COLUMN('1-DATA'!T764)),ROUND(INDEX('1-DATA'!$1:$1048576,IF(OR($B766="STD. DEVIATION",$C$1=1),$A766,$A766+1),COLUMN('1-DATA'!T764)),IF($B766="STD. DEVIATION",2,$F$1))))</f>
        <v/>
      </c>
      <c r="V766" s="1" t="str">
        <f>IF(OR($B766="",V$7=""),"",IF($B766="MEANS",INDEX('1-DATA'!$1:$1048576,$A765-1,COLUMN('1-DATA'!U764)),ROUND(INDEX('1-DATA'!$1:$1048576,IF(OR($B766="STD. DEVIATION",$C$1=1),$A766,$A766+1),COLUMN('1-DATA'!U764)),IF($B766="STD. DEVIATION",2,$F$1))))</f>
        <v/>
      </c>
      <c r="W766" s="1" t="str">
        <f>IF(OR($B766="",W$7=""),"",IF($B766="MEANS",INDEX('1-DATA'!$1:$1048576,$A765-1,COLUMN('1-DATA'!V764)),ROUND(INDEX('1-DATA'!$1:$1048576,IF(OR($B766="STD. DEVIATION",$C$1=1),$A766,$A766+1),COLUMN('1-DATA'!V764)),IF($B766="STD. DEVIATION",2,$F$1))))</f>
        <v/>
      </c>
      <c r="X766" s="1" t="str">
        <f>IF(OR($B766="",X$7=""),"",IF($B766="MEANS",INDEX('1-DATA'!$1:$1048576,$A765-1,COLUMN('1-DATA'!W764)),ROUND(INDEX('1-DATA'!$1:$1048576,IF(OR($B766="STD. DEVIATION",$C$1=1),$A766,$A766+1),COLUMN('1-DATA'!W764)),IF($B766="STD. DEVIATION",2,$F$1))))</f>
        <v/>
      </c>
      <c r="Y766" s="1" t="str">
        <f>IF(OR($B766="",Y$7=""),"",IF($B766="MEANS",INDEX('1-DATA'!$1:$1048576,$A765-1,COLUMN('1-DATA'!X764)),ROUND(INDEX('1-DATA'!$1:$1048576,IF(OR($B766="STD. DEVIATION",$C$1=1),$A766,$A766+1),COLUMN('1-DATA'!X764)),IF($B766="STD. DEVIATION",2,$F$1))))</f>
        <v/>
      </c>
      <c r="Z766" s="1" t="str">
        <f>IF(OR($B766="",Z$7=""),"",IF($B766="MEANS",INDEX('1-DATA'!$1:$1048576,$A765-1,COLUMN('1-DATA'!Y764)),ROUND(INDEX('1-DATA'!$1:$1048576,IF(OR($B766="STD. DEVIATION",$C$1=1),$A766,$A766+1),COLUMN('1-DATA'!Y764)),IF($B766="STD. DEVIATION",2,$F$1))))</f>
        <v/>
      </c>
      <c r="AA766" s="1" t="str">
        <f>IF(OR($B766="",AA$7=""),"",IF($B766="MEANS",INDEX('1-DATA'!$1:$1048576,$A765-1,COLUMN('1-DATA'!Z764)),ROUND(INDEX('1-DATA'!$1:$1048576,IF(OR($B766="STD. DEVIATION",$C$1=1),$A766,$A766+1),COLUMN('1-DATA'!Z764)),IF($B766="STD. DEVIATION",2,$F$1))))</f>
        <v/>
      </c>
      <c r="AB766" s="1" t="str">
        <f>IF(OR($B766="",AB$7=""),"",IF($B766="MEANS",INDEX('1-DATA'!$1:$1048576,$A765-1,COLUMN('1-DATA'!AA764)),ROUND(INDEX('1-DATA'!$1:$1048576,IF(OR($B766="STD. DEVIATION",$C$1=1),$A766,$A766+1),COLUMN('1-DATA'!AA764)),IF($B766="STD. DEVIATION",2,$F$1))))</f>
        <v/>
      </c>
      <c r="AC766" s="1" t="str">
        <f>IF(OR($B766="",AC$7=""),"",IF($B766="MEANS",INDEX('1-DATA'!$1:$1048576,$A765-1,COLUMN('1-DATA'!AB764)),ROUND(INDEX('1-DATA'!$1:$1048576,IF(OR($B766="STD. DEVIATION",$C$1=1),$A766,$A766+1),COLUMN('1-DATA'!AB764)),IF($B766="STD. DEVIATION",2,$F$1))))</f>
        <v/>
      </c>
      <c r="AD766" s="1" t="str">
        <f>IF(OR($B766="",AD$7=""),"",IF($B766="MEANS",INDEX('1-DATA'!$1:$1048576,$A765-1,COLUMN('1-DATA'!AC764)),ROUND(INDEX('1-DATA'!$1:$1048576,IF(OR($B766="STD. DEVIATION",$C$1=1),$A766,$A766+1),COLUMN('1-DATA'!AC764)),IF($B766="STD. DEVIATION",2,$F$1))))</f>
        <v/>
      </c>
      <c r="AE766" s="1" t="str">
        <f>IF(OR($B766="",AE$7=""),"",IF($B766="MEANS",INDEX('1-DATA'!$1:$1048576,$A765-1,COLUMN('1-DATA'!AD764)),ROUND(INDEX('1-DATA'!$1:$1048576,IF(OR($B766="STD. DEVIATION",$C$1=1),$A766,$A766+1),COLUMN('1-DATA'!AD764)),IF($B766="STD. DEVIATION",2,$F$1))))</f>
        <v/>
      </c>
      <c r="AF766" s="1" t="str">
        <f>IF(OR($B766="",AF$7=""),"",IF($B766="MEANS",INDEX('1-DATA'!$1:$1048576,$A765-1,COLUMN('1-DATA'!AE764)),ROUND(INDEX('1-DATA'!$1:$1048576,IF(OR($B766="STD. DEVIATION",$C$1=1),$A766,$A766+1),COLUMN('1-DATA'!AE764)),IF($B766="STD. DEVIATION",2,$F$1))))</f>
        <v/>
      </c>
      <c r="AG766" s="1" t="str">
        <f>IF(OR($B766="",AG$7=""),"",IF($B766="MEANS",INDEX('1-DATA'!$1:$1048576,$A765-1,COLUMN('1-DATA'!AF764)),ROUND(INDEX('1-DATA'!$1:$1048576,IF(OR($B766="STD. DEVIATION",$C$1=1),$A766,$A766+1),COLUMN('1-DATA'!AF764)),IF($B766="STD. DEVIATION",2,$F$1))))</f>
        <v/>
      </c>
      <c r="AH766" s="1" t="str">
        <f>IF(OR($B766="",AH$7=""),"",IF($B766="MEANS",INDEX('1-DATA'!$1:$1048576,$A765-1,COLUMN('1-DATA'!AG764)),ROUND(INDEX('1-DATA'!$1:$1048576,IF(OR($B766="STD. DEVIATION",$C$1=1),$A766,$A766+1),COLUMN('1-DATA'!AG764)),IF($B766="STD. DEVIATION",2,$F$1))))</f>
        <v/>
      </c>
      <c r="AI766" s="1" t="str">
        <f>IF(OR($B766="",AI$7=""),"",IF($B766="MEANS",INDEX('1-DATA'!$1:$1048576,$A765-1,COLUMN('1-DATA'!AH764)),ROUND(INDEX('1-DATA'!$1:$1048576,IF(OR($B766="STD. DEVIATION",$C$1=1),$A766,$A766+1),COLUMN('1-DATA'!AH764)),IF($B766="STD. DEVIATION",2,$F$1))))</f>
        <v/>
      </c>
      <c r="AJ766" s="1" t="str">
        <f>IF(OR($B766="",AJ$7=""),"",IF($B766="MEANS",INDEX('1-DATA'!$1:$1048576,$A765-1,COLUMN('1-DATA'!AI764)),ROUND(INDEX('1-DATA'!$1:$1048576,IF(OR($B766="STD. DEVIATION",$C$1=1),$A766,$A766+1),COLUMN('1-DATA'!AI764)),IF($B766="STD. DEVIATION",2,$F$1))))</f>
        <v/>
      </c>
      <c r="AK766" s="1" t="str">
        <f>IF(OR($B766="",AK$7=""),"",IF($B766="MEANS",INDEX('1-DATA'!$1:$1048576,$A765-1,COLUMN('1-DATA'!AJ764)),ROUND(INDEX('1-DATA'!$1:$1048576,IF(OR($B766="STD. DEVIATION",$C$1=1),$A766,$A766+1),COLUMN('1-DATA'!AJ764)),IF($B766="STD. DEVIATION",2,$F$1))))</f>
        <v/>
      </c>
      <c r="AL766" s="1" t="str">
        <f>IF(OR($B766="",AL$7=""),"",IF($B766="MEANS",INDEX('1-DATA'!$1:$1048576,$A765-1,COLUMN('1-DATA'!AK764)),ROUND(INDEX('1-DATA'!$1:$1048576,IF(OR($B766="STD. DEVIATION",$C$1=1),$A766,$A766+1),COLUMN('1-DATA'!AK764)),IF($B766="STD. DEVIATION",2,$F$1))))</f>
        <v/>
      </c>
      <c r="AM766" s="1" t="str">
        <f>IF(OR($B766="",AM$7=""),"",IF($B766="MEANS",INDEX('1-DATA'!$1:$1048576,$A765-1,COLUMN('1-DATA'!AL764)),ROUND(INDEX('1-DATA'!$1:$1048576,IF(OR($B766="STD. DEVIATION",$C$1=1),$A766,$A766+1),COLUMN('1-DATA'!AL764)),IF($B766="STD. DEVIATION",2,$F$1))))</f>
        <v/>
      </c>
      <c r="AN766" s="1" t="str">
        <f>IF(OR($B766="",AN$7=""),"",IF($B766="MEANS",INDEX('1-DATA'!$1:$1048576,$A765-1,COLUMN('1-DATA'!AM764)),ROUND(INDEX('1-DATA'!$1:$1048576,IF(OR($B766="STD. DEVIATION",$C$1=1),$A766,$A766+1),COLUMN('1-DATA'!AM764)),IF($B766="STD. DEVIATION",2,$F$1))))</f>
        <v/>
      </c>
      <c r="AO766" s="1" t="str">
        <f>IF(OR($B766="",AO$7=""),"",IF($B766="MEANS",INDEX('1-DATA'!$1:$1048576,$A765-1,COLUMN('1-DATA'!AN764)),ROUND(INDEX('1-DATA'!$1:$1048576,IF(OR($B766="STD. DEVIATION",$C$1=1),$A766,$A766+1),COLUMN('1-DATA'!AN764)),IF($B766="STD. DEVIATION",2,$F$1))))</f>
        <v/>
      </c>
      <c r="AP766" s="1" t="str">
        <f>IF(OR($B766="",AP$7=""),"",IF($B766="MEANS",INDEX('1-DATA'!$1:$1048576,$A765-1,COLUMN('1-DATA'!AO764)),ROUND(INDEX('1-DATA'!$1:$1048576,IF(OR($B766="STD. DEVIATION",$C$1=1),$A766,$A766+1),COLUMN('1-DATA'!AO764)),IF($B766="STD. DEVIATION",2,$F$1))))</f>
        <v/>
      </c>
      <c r="AQ766" s="1" t="str">
        <f>IF(OR($B766="",AQ$7=""),"",IF($B766="MEANS",INDEX('1-DATA'!$1:$1048576,$A765-1,COLUMN('1-DATA'!AP764)),ROUND(INDEX('1-DATA'!$1:$1048576,IF(OR($B766="STD. DEVIATION",$C$1=1),$A766,$A766+1),COLUMN('1-DATA'!AP764)),IF($B766="STD. DEVIATION",2,$F$1))))</f>
        <v/>
      </c>
      <c r="AR766" s="1" t="str">
        <f>IF(OR($B766="",AR$7=""),"",IF($B766="MEANS",INDEX('1-DATA'!$1:$1048576,$A765-1,COLUMN('1-DATA'!AQ764)),ROUND(INDEX('1-DATA'!$1:$1048576,IF(OR($B766="STD. DEVIATION",$C$1=1),$A766,$A766+1),COLUMN('1-DATA'!AQ764)),IF($B766="STD. DEVIATION",2,$F$1))))</f>
        <v/>
      </c>
      <c r="AS766" s="1" t="str">
        <f>IF(OR($B766="",AS$7=""),"",IF($B766="MEANS",INDEX('1-DATA'!$1:$1048576,$A765-1,COLUMN('1-DATA'!AR764)),ROUND(INDEX('1-DATA'!$1:$1048576,IF(OR($B766="STD. DEVIATION",$C$1=1),$A766,$A766+1),COLUMN('1-DATA'!AR764)),IF($B766="STD. DEVIATION",2,$F$1))))</f>
        <v/>
      </c>
      <c r="AT766" s="1" t="str">
        <f>IF(OR($B766="",AT$7=""),"",IF($B766="MEANS",INDEX('1-DATA'!$1:$1048576,$A765-1,COLUMN('1-DATA'!AS764)),ROUND(INDEX('1-DATA'!$1:$1048576,IF(OR($B766="STD. DEVIATION",$C$1=1),$A766,$A766+1),COLUMN('1-DATA'!AS764)),IF($B766="STD. DEVIATION",2,$F$1))))</f>
        <v/>
      </c>
      <c r="AU766" s="1" t="str">
        <f>IF(OR($B766="",AU$7=""),"",IF($B766="MEANS",INDEX('1-DATA'!$1:$1048576,$A765-1,COLUMN('1-DATA'!AT764)),ROUND(INDEX('1-DATA'!$1:$1048576,IF(OR($B766="STD. DEVIATION",$C$1=1),$A766,$A766+1),COLUMN('1-DATA'!AT764)),IF($B766="STD. DEVIATION",2,$F$1))))</f>
        <v/>
      </c>
      <c r="AV766" s="1" t="str">
        <f>IF(OR($B766="",AV$7=""),"",IF($B766="MEANS",INDEX('1-DATA'!$1:$1048576,$A765-1,COLUMN('1-DATA'!AU764)),ROUND(INDEX('1-DATA'!$1:$1048576,IF(OR($B766="STD. DEVIATION",$C$1=1),$A766,$A766+1),COLUMN('1-DATA'!AU764)),IF($B766="STD. DEVIATION",2,$F$1))))</f>
        <v/>
      </c>
      <c r="AW766" s="1" t="str">
        <f>IF(OR($B766="",AW$7=""),"",IF($B766="MEANS",INDEX('1-DATA'!$1:$1048576,$A765-1,COLUMN('1-DATA'!AV764)),ROUND(INDEX('1-DATA'!$1:$1048576,IF(OR($B766="STD. DEVIATION",$C$1=1),$A766,$A766+1),COLUMN('1-DATA'!AV764)),IF($B766="STD. DEVIATION",2,$F$1))))</f>
        <v/>
      </c>
      <c r="AX766" s="1" t="str">
        <f>IF(OR($B766="",AX$7=""),"",IF($B766="MEANS",INDEX('1-DATA'!$1:$1048576,$A765-1,COLUMN('1-DATA'!AW764)),ROUND(INDEX('1-DATA'!$1:$1048576,IF(OR($B766="STD. DEVIATION",$C$1=1),$A766,$A766+1),COLUMN('1-DATA'!AW764)),IF($B766="STD. DEVIATION",2,$F$1))))</f>
        <v/>
      </c>
      <c r="AY766" s="1" t="str">
        <f>IF(OR($B766="",AY$7=""),"",IF($B766="MEANS",INDEX('1-DATA'!$1:$1048576,$A765-1,COLUMN('1-DATA'!AX764)),ROUND(INDEX('1-DATA'!$1:$1048576,IF(OR($B766="STD. DEVIATION",$C$1=1),$A766,$A766+1),COLUMN('1-DATA'!AX764)),IF($B766="STD. DEVIATION",2,$F$1))))</f>
        <v/>
      </c>
      <c r="AZ766" s="1" t="str">
        <f>IF(OR($B766="",AZ$7=""),"",IF($B766="MEANS",INDEX('1-DATA'!$1:$1048576,$A765-1,COLUMN('1-DATA'!AY764)),ROUND(INDEX('1-DATA'!$1:$1048576,IF(OR($B766="STD. DEVIATION",$C$1=1),$A766,$A766+1),COLUMN('1-DATA'!AY764)),IF($B766="STD. DEVIATION",2,$F$1))))</f>
        <v/>
      </c>
    </row>
    <row r="767" spans="1:52" x14ac:dyDescent="0.25">
      <c r="A767" s="11">
        <f t="shared" si="12"/>
        <v>2287</v>
      </c>
      <c r="B767" s="1" t="str">
        <f>IF(B766="STD. DEVIATION",INDEX('1-DATA'!$1:$1048576,$A766-1,1),IF(INDEX('1-DATA'!$1:$1048576,$A767,1)&lt;&gt;"",INDEX('1-DATA'!$1:$1048576,$A767,1),""))</f>
        <v/>
      </c>
      <c r="C767" s="1" t="str">
        <f>IF(OR($B767="",C$7=""),"",IF($B767="MEANS",INDEX('1-DATA'!$1:$1048576,$A766-1,COLUMN('1-DATA'!B765)),ROUND(INDEX('1-DATA'!$1:$1048576,IF(OR($B767="STD. DEVIATION",$C$1=1),$A767,$A767+1),COLUMN('1-DATA'!B765)),IF($B767="STD. DEVIATION",2,$F$1))))</f>
        <v/>
      </c>
      <c r="D767" s="1" t="str">
        <f>IF(OR($B767="",D$7=""),"",IF($B767="MEANS",INDEX('1-DATA'!$1:$1048576,$A766-1,COLUMN('1-DATA'!C765)),ROUND(INDEX('1-DATA'!$1:$1048576,IF(OR($B767="STD. DEVIATION",$C$1=1),$A767,$A767+1),COLUMN('1-DATA'!C765)),IF($B767="STD. DEVIATION",2,$F$1))))</f>
        <v/>
      </c>
      <c r="E767" s="1" t="str">
        <f>IF(OR($B767="",E$7=""),"",IF($B767="MEANS",INDEX('1-DATA'!$1:$1048576,$A766-1,COLUMN('1-DATA'!D765)),ROUND(INDEX('1-DATA'!$1:$1048576,IF(OR($B767="STD. DEVIATION",$C$1=1),$A767,$A767+1),COLUMN('1-DATA'!D765)),IF($B767="STD. DEVIATION",2,$F$1))))</f>
        <v/>
      </c>
      <c r="F767" s="1" t="str">
        <f>IF(OR($B767="",F$7=""),"",IF($B767="MEANS",INDEX('1-DATA'!$1:$1048576,$A766-1,COLUMN('1-DATA'!E765)),ROUND(INDEX('1-DATA'!$1:$1048576,IF(OR($B767="STD. DEVIATION",$C$1=1),$A767,$A767+1),COLUMN('1-DATA'!E765)),IF($B767="STD. DEVIATION",2,$F$1))))</f>
        <v/>
      </c>
      <c r="G767" s="1" t="str">
        <f>IF(OR($B767="",G$7=""),"",IF($B767="MEANS",INDEX('1-DATA'!$1:$1048576,$A766-1,COLUMN('1-DATA'!F765)),ROUND(INDEX('1-DATA'!$1:$1048576,IF(OR($B767="STD. DEVIATION",$C$1=1),$A767,$A767+1),COLUMN('1-DATA'!F765)),IF($B767="STD. DEVIATION",2,$F$1))))</f>
        <v/>
      </c>
      <c r="H767" s="1" t="str">
        <f>IF(OR($B767="",H$7=""),"",IF($B767="MEANS",INDEX('1-DATA'!$1:$1048576,$A766-1,COLUMN('1-DATA'!G765)),ROUND(INDEX('1-DATA'!$1:$1048576,IF(OR($B767="STD. DEVIATION",$C$1=1),$A767,$A767+1),COLUMN('1-DATA'!G765)),IF($B767="STD. DEVIATION",2,$F$1))))</f>
        <v/>
      </c>
      <c r="I767" s="1" t="str">
        <f>IF(OR($B767="",I$7=""),"",IF($B767="MEANS",INDEX('1-DATA'!$1:$1048576,$A766-1,COLUMN('1-DATA'!H765)),ROUND(INDEX('1-DATA'!$1:$1048576,IF(OR($B767="STD. DEVIATION",$C$1=1),$A767,$A767+1),COLUMN('1-DATA'!H765)),IF($B767="STD. DEVIATION",2,$F$1))))</f>
        <v/>
      </c>
      <c r="J767" s="1" t="str">
        <f>IF(OR($B767="",J$7=""),"",IF($B767="MEANS",INDEX('1-DATA'!$1:$1048576,$A766-1,COLUMN('1-DATA'!I765)),ROUND(INDEX('1-DATA'!$1:$1048576,IF(OR($B767="STD. DEVIATION",$C$1=1),$A767,$A767+1),COLUMN('1-DATA'!I765)),IF($B767="STD. DEVIATION",2,$F$1))))</f>
        <v/>
      </c>
      <c r="K767" s="1" t="str">
        <f>IF(OR($B767="",K$7=""),"",IF($B767="MEANS",INDEX('1-DATA'!$1:$1048576,$A766-1,COLUMN('1-DATA'!J765)),ROUND(INDEX('1-DATA'!$1:$1048576,IF(OR($B767="STD. DEVIATION",$C$1=1),$A767,$A767+1),COLUMN('1-DATA'!J765)),IF($B767="STD. DEVIATION",2,$F$1))))</f>
        <v/>
      </c>
      <c r="L767" s="1" t="str">
        <f>IF(OR($B767="",L$7=""),"",IF($B767="MEANS",INDEX('1-DATA'!$1:$1048576,$A766-1,COLUMN('1-DATA'!K765)),ROUND(INDEX('1-DATA'!$1:$1048576,IF(OR($B767="STD. DEVIATION",$C$1=1),$A767,$A767+1),COLUMN('1-DATA'!K765)),IF($B767="STD. DEVIATION",2,$F$1))))</f>
        <v/>
      </c>
      <c r="M767" s="1" t="str">
        <f>IF(OR($B767="",M$7=""),"",IF($B767="MEANS",INDEX('1-DATA'!$1:$1048576,$A766-1,COLUMN('1-DATA'!L765)),ROUND(INDEX('1-DATA'!$1:$1048576,IF(OR($B767="STD. DEVIATION",$C$1=1),$A767,$A767+1),COLUMN('1-DATA'!L765)),IF($B767="STD. DEVIATION",2,$F$1))))</f>
        <v/>
      </c>
      <c r="N767" s="1" t="str">
        <f>IF(OR($B767="",N$7=""),"",IF($B767="MEANS",INDEX('1-DATA'!$1:$1048576,$A766-1,COLUMN('1-DATA'!M765)),ROUND(INDEX('1-DATA'!$1:$1048576,IF(OR($B767="STD. DEVIATION",$C$1=1),$A767,$A767+1),COLUMN('1-DATA'!M765)),IF($B767="STD. DEVIATION",2,$F$1))))</f>
        <v/>
      </c>
      <c r="O767" s="1" t="str">
        <f>IF(OR($B767="",O$7=""),"",IF($B767="MEANS",INDEX('1-DATA'!$1:$1048576,$A766-1,COLUMN('1-DATA'!N765)),ROUND(INDEX('1-DATA'!$1:$1048576,IF(OR($B767="STD. DEVIATION",$C$1=1),$A767,$A767+1),COLUMN('1-DATA'!N765)),IF($B767="STD. DEVIATION",2,$F$1))))</f>
        <v/>
      </c>
      <c r="P767" s="1" t="str">
        <f>IF(OR($B767="",P$7=""),"",IF($B767="MEANS",INDEX('1-DATA'!$1:$1048576,$A766-1,COLUMN('1-DATA'!O765)),ROUND(INDEX('1-DATA'!$1:$1048576,IF(OR($B767="STD. DEVIATION",$C$1=1),$A767,$A767+1),COLUMN('1-DATA'!O765)),IF($B767="STD. DEVIATION",2,$F$1))))</f>
        <v/>
      </c>
      <c r="Q767" s="1" t="str">
        <f>IF(OR($B767="",Q$7=""),"",IF($B767="MEANS",INDEX('1-DATA'!$1:$1048576,$A766-1,COLUMN('1-DATA'!P765)),ROUND(INDEX('1-DATA'!$1:$1048576,IF(OR($B767="STD. DEVIATION",$C$1=1),$A767,$A767+1),COLUMN('1-DATA'!P765)),IF($B767="STD. DEVIATION",2,$F$1))))</f>
        <v/>
      </c>
      <c r="R767" s="1" t="str">
        <f>IF(OR($B767="",R$7=""),"",IF($B767="MEANS",INDEX('1-DATA'!$1:$1048576,$A766-1,COLUMN('1-DATA'!Q765)),ROUND(INDEX('1-DATA'!$1:$1048576,IF(OR($B767="STD. DEVIATION",$C$1=1),$A767,$A767+1),COLUMN('1-DATA'!Q765)),IF($B767="STD. DEVIATION",2,$F$1))))</f>
        <v/>
      </c>
      <c r="S767" s="1" t="str">
        <f>IF(OR($B767="",S$7=""),"",IF($B767="MEANS",INDEX('1-DATA'!$1:$1048576,$A766-1,COLUMN('1-DATA'!R765)),ROUND(INDEX('1-DATA'!$1:$1048576,IF(OR($B767="STD. DEVIATION",$C$1=1),$A767,$A767+1),COLUMN('1-DATA'!R765)),IF($B767="STD. DEVIATION",2,$F$1))))</f>
        <v/>
      </c>
      <c r="T767" s="1" t="str">
        <f>IF(OR($B767="",T$7=""),"",IF($B767="MEANS",INDEX('1-DATA'!$1:$1048576,$A766-1,COLUMN('1-DATA'!S765)),ROUND(INDEX('1-DATA'!$1:$1048576,IF(OR($B767="STD. DEVIATION",$C$1=1),$A767,$A767+1),COLUMN('1-DATA'!S765)),IF($B767="STD. DEVIATION",2,$F$1))))</f>
        <v/>
      </c>
      <c r="U767" s="1" t="str">
        <f>IF(OR($B767="",U$7=""),"",IF($B767="MEANS",INDEX('1-DATA'!$1:$1048576,$A766-1,COLUMN('1-DATA'!T765)),ROUND(INDEX('1-DATA'!$1:$1048576,IF(OR($B767="STD. DEVIATION",$C$1=1),$A767,$A767+1),COLUMN('1-DATA'!T765)),IF($B767="STD. DEVIATION",2,$F$1))))</f>
        <v/>
      </c>
      <c r="V767" s="1" t="str">
        <f>IF(OR($B767="",V$7=""),"",IF($B767="MEANS",INDEX('1-DATA'!$1:$1048576,$A766-1,COLUMN('1-DATA'!U765)),ROUND(INDEX('1-DATA'!$1:$1048576,IF(OR($B767="STD. DEVIATION",$C$1=1),$A767,$A767+1),COLUMN('1-DATA'!U765)),IF($B767="STD. DEVIATION",2,$F$1))))</f>
        <v/>
      </c>
      <c r="W767" s="1" t="str">
        <f>IF(OR($B767="",W$7=""),"",IF($B767="MEANS",INDEX('1-DATA'!$1:$1048576,$A766-1,COLUMN('1-DATA'!V765)),ROUND(INDEX('1-DATA'!$1:$1048576,IF(OR($B767="STD. DEVIATION",$C$1=1),$A767,$A767+1),COLUMN('1-DATA'!V765)),IF($B767="STD. DEVIATION",2,$F$1))))</f>
        <v/>
      </c>
      <c r="X767" s="1" t="str">
        <f>IF(OR($B767="",X$7=""),"",IF($B767="MEANS",INDEX('1-DATA'!$1:$1048576,$A766-1,COLUMN('1-DATA'!W765)),ROUND(INDEX('1-DATA'!$1:$1048576,IF(OR($B767="STD. DEVIATION",$C$1=1),$A767,$A767+1),COLUMN('1-DATA'!W765)),IF($B767="STD. DEVIATION",2,$F$1))))</f>
        <v/>
      </c>
      <c r="Y767" s="1" t="str">
        <f>IF(OR($B767="",Y$7=""),"",IF($B767="MEANS",INDEX('1-DATA'!$1:$1048576,$A766-1,COLUMN('1-DATA'!X765)),ROUND(INDEX('1-DATA'!$1:$1048576,IF(OR($B767="STD. DEVIATION",$C$1=1),$A767,$A767+1),COLUMN('1-DATA'!X765)),IF($B767="STD. DEVIATION",2,$F$1))))</f>
        <v/>
      </c>
      <c r="Z767" s="1" t="str">
        <f>IF(OR($B767="",Z$7=""),"",IF($B767="MEANS",INDEX('1-DATA'!$1:$1048576,$A766-1,COLUMN('1-DATA'!Y765)),ROUND(INDEX('1-DATA'!$1:$1048576,IF(OR($B767="STD. DEVIATION",$C$1=1),$A767,$A767+1),COLUMN('1-DATA'!Y765)),IF($B767="STD. DEVIATION",2,$F$1))))</f>
        <v/>
      </c>
      <c r="AA767" s="1" t="str">
        <f>IF(OR($B767="",AA$7=""),"",IF($B767="MEANS",INDEX('1-DATA'!$1:$1048576,$A766-1,COLUMN('1-DATA'!Z765)),ROUND(INDEX('1-DATA'!$1:$1048576,IF(OR($B767="STD. DEVIATION",$C$1=1),$A767,$A767+1),COLUMN('1-DATA'!Z765)),IF($B767="STD. DEVIATION",2,$F$1))))</f>
        <v/>
      </c>
      <c r="AB767" s="1" t="str">
        <f>IF(OR($B767="",AB$7=""),"",IF($B767="MEANS",INDEX('1-DATA'!$1:$1048576,$A766-1,COLUMN('1-DATA'!AA765)),ROUND(INDEX('1-DATA'!$1:$1048576,IF(OR($B767="STD. DEVIATION",$C$1=1),$A767,$A767+1),COLUMN('1-DATA'!AA765)),IF($B767="STD. DEVIATION",2,$F$1))))</f>
        <v/>
      </c>
      <c r="AC767" s="1" t="str">
        <f>IF(OR($B767="",AC$7=""),"",IF($B767="MEANS",INDEX('1-DATA'!$1:$1048576,$A766-1,COLUMN('1-DATA'!AB765)),ROUND(INDEX('1-DATA'!$1:$1048576,IF(OR($B767="STD. DEVIATION",$C$1=1),$A767,$A767+1),COLUMN('1-DATA'!AB765)),IF($B767="STD. DEVIATION",2,$F$1))))</f>
        <v/>
      </c>
      <c r="AD767" s="1" t="str">
        <f>IF(OR($B767="",AD$7=""),"",IF($B767="MEANS",INDEX('1-DATA'!$1:$1048576,$A766-1,COLUMN('1-DATA'!AC765)),ROUND(INDEX('1-DATA'!$1:$1048576,IF(OR($B767="STD. DEVIATION",$C$1=1),$A767,$A767+1),COLUMN('1-DATA'!AC765)),IF($B767="STD. DEVIATION",2,$F$1))))</f>
        <v/>
      </c>
      <c r="AE767" s="1" t="str">
        <f>IF(OR($B767="",AE$7=""),"",IF($B767="MEANS",INDEX('1-DATA'!$1:$1048576,$A766-1,COLUMN('1-DATA'!AD765)),ROUND(INDEX('1-DATA'!$1:$1048576,IF(OR($B767="STD. DEVIATION",$C$1=1),$A767,$A767+1),COLUMN('1-DATA'!AD765)),IF($B767="STD. DEVIATION",2,$F$1))))</f>
        <v/>
      </c>
      <c r="AF767" s="1" t="str">
        <f>IF(OR($B767="",AF$7=""),"",IF($B767="MEANS",INDEX('1-DATA'!$1:$1048576,$A766-1,COLUMN('1-DATA'!AE765)),ROUND(INDEX('1-DATA'!$1:$1048576,IF(OR($B767="STD. DEVIATION",$C$1=1),$A767,$A767+1),COLUMN('1-DATA'!AE765)),IF($B767="STD. DEVIATION",2,$F$1))))</f>
        <v/>
      </c>
      <c r="AG767" s="1" t="str">
        <f>IF(OR($B767="",AG$7=""),"",IF($B767="MEANS",INDEX('1-DATA'!$1:$1048576,$A766-1,COLUMN('1-DATA'!AF765)),ROUND(INDEX('1-DATA'!$1:$1048576,IF(OR($B767="STD. DEVIATION",$C$1=1),$A767,$A767+1),COLUMN('1-DATA'!AF765)),IF($B767="STD. DEVIATION",2,$F$1))))</f>
        <v/>
      </c>
      <c r="AH767" s="1" t="str">
        <f>IF(OR($B767="",AH$7=""),"",IF($B767="MEANS",INDEX('1-DATA'!$1:$1048576,$A766-1,COLUMN('1-DATA'!AG765)),ROUND(INDEX('1-DATA'!$1:$1048576,IF(OR($B767="STD. DEVIATION",$C$1=1),$A767,$A767+1),COLUMN('1-DATA'!AG765)),IF($B767="STD. DEVIATION",2,$F$1))))</f>
        <v/>
      </c>
      <c r="AI767" s="1" t="str">
        <f>IF(OR($B767="",AI$7=""),"",IF($B767="MEANS",INDEX('1-DATA'!$1:$1048576,$A766-1,COLUMN('1-DATA'!AH765)),ROUND(INDEX('1-DATA'!$1:$1048576,IF(OR($B767="STD. DEVIATION",$C$1=1),$A767,$A767+1),COLUMN('1-DATA'!AH765)),IF($B767="STD. DEVIATION",2,$F$1))))</f>
        <v/>
      </c>
      <c r="AJ767" s="1" t="str">
        <f>IF(OR($B767="",AJ$7=""),"",IF($B767="MEANS",INDEX('1-DATA'!$1:$1048576,$A766-1,COLUMN('1-DATA'!AI765)),ROUND(INDEX('1-DATA'!$1:$1048576,IF(OR($B767="STD. DEVIATION",$C$1=1),$A767,$A767+1),COLUMN('1-DATA'!AI765)),IF($B767="STD. DEVIATION",2,$F$1))))</f>
        <v/>
      </c>
      <c r="AK767" s="1" t="str">
        <f>IF(OR($B767="",AK$7=""),"",IF($B767="MEANS",INDEX('1-DATA'!$1:$1048576,$A766-1,COLUMN('1-DATA'!AJ765)),ROUND(INDEX('1-DATA'!$1:$1048576,IF(OR($B767="STD. DEVIATION",$C$1=1),$A767,$A767+1),COLUMN('1-DATA'!AJ765)),IF($B767="STD. DEVIATION",2,$F$1))))</f>
        <v/>
      </c>
      <c r="AL767" s="1" t="str">
        <f>IF(OR($B767="",AL$7=""),"",IF($B767="MEANS",INDEX('1-DATA'!$1:$1048576,$A766-1,COLUMN('1-DATA'!AK765)),ROUND(INDEX('1-DATA'!$1:$1048576,IF(OR($B767="STD. DEVIATION",$C$1=1),$A767,$A767+1),COLUMN('1-DATA'!AK765)),IF($B767="STD. DEVIATION",2,$F$1))))</f>
        <v/>
      </c>
      <c r="AM767" s="1" t="str">
        <f>IF(OR($B767="",AM$7=""),"",IF($B767="MEANS",INDEX('1-DATA'!$1:$1048576,$A766-1,COLUMN('1-DATA'!AL765)),ROUND(INDEX('1-DATA'!$1:$1048576,IF(OR($B767="STD. DEVIATION",$C$1=1),$A767,$A767+1),COLUMN('1-DATA'!AL765)),IF($B767="STD. DEVIATION",2,$F$1))))</f>
        <v/>
      </c>
      <c r="AN767" s="1" t="str">
        <f>IF(OR($B767="",AN$7=""),"",IF($B767="MEANS",INDEX('1-DATA'!$1:$1048576,$A766-1,COLUMN('1-DATA'!AM765)),ROUND(INDEX('1-DATA'!$1:$1048576,IF(OR($B767="STD. DEVIATION",$C$1=1),$A767,$A767+1),COLUMN('1-DATA'!AM765)),IF($B767="STD. DEVIATION",2,$F$1))))</f>
        <v/>
      </c>
      <c r="AO767" s="1" t="str">
        <f>IF(OR($B767="",AO$7=""),"",IF($B767="MEANS",INDEX('1-DATA'!$1:$1048576,$A766-1,COLUMN('1-DATA'!AN765)),ROUND(INDEX('1-DATA'!$1:$1048576,IF(OR($B767="STD. DEVIATION",$C$1=1),$A767,$A767+1),COLUMN('1-DATA'!AN765)),IF($B767="STD. DEVIATION",2,$F$1))))</f>
        <v/>
      </c>
      <c r="AP767" s="1" t="str">
        <f>IF(OR($B767="",AP$7=""),"",IF($B767="MEANS",INDEX('1-DATA'!$1:$1048576,$A766-1,COLUMN('1-DATA'!AO765)),ROUND(INDEX('1-DATA'!$1:$1048576,IF(OR($B767="STD. DEVIATION",$C$1=1),$A767,$A767+1),COLUMN('1-DATA'!AO765)),IF($B767="STD. DEVIATION",2,$F$1))))</f>
        <v/>
      </c>
      <c r="AQ767" s="1" t="str">
        <f>IF(OR($B767="",AQ$7=""),"",IF($B767="MEANS",INDEX('1-DATA'!$1:$1048576,$A766-1,COLUMN('1-DATA'!AP765)),ROUND(INDEX('1-DATA'!$1:$1048576,IF(OR($B767="STD. DEVIATION",$C$1=1),$A767,$A767+1),COLUMN('1-DATA'!AP765)),IF($B767="STD. DEVIATION",2,$F$1))))</f>
        <v/>
      </c>
      <c r="AR767" s="1" t="str">
        <f>IF(OR($B767="",AR$7=""),"",IF($B767="MEANS",INDEX('1-DATA'!$1:$1048576,$A766-1,COLUMN('1-DATA'!AQ765)),ROUND(INDEX('1-DATA'!$1:$1048576,IF(OR($B767="STD. DEVIATION",$C$1=1),$A767,$A767+1),COLUMN('1-DATA'!AQ765)),IF($B767="STD. DEVIATION",2,$F$1))))</f>
        <v/>
      </c>
      <c r="AS767" s="1" t="str">
        <f>IF(OR($B767="",AS$7=""),"",IF($B767="MEANS",INDEX('1-DATA'!$1:$1048576,$A766-1,COLUMN('1-DATA'!AR765)),ROUND(INDEX('1-DATA'!$1:$1048576,IF(OR($B767="STD. DEVIATION",$C$1=1),$A767,$A767+1),COLUMN('1-DATA'!AR765)),IF($B767="STD. DEVIATION",2,$F$1))))</f>
        <v/>
      </c>
      <c r="AT767" s="1" t="str">
        <f>IF(OR($B767="",AT$7=""),"",IF($B767="MEANS",INDEX('1-DATA'!$1:$1048576,$A766-1,COLUMN('1-DATA'!AS765)),ROUND(INDEX('1-DATA'!$1:$1048576,IF(OR($B767="STD. DEVIATION",$C$1=1),$A767,$A767+1),COLUMN('1-DATA'!AS765)),IF($B767="STD. DEVIATION",2,$F$1))))</f>
        <v/>
      </c>
      <c r="AU767" s="1" t="str">
        <f>IF(OR($B767="",AU$7=""),"",IF($B767="MEANS",INDEX('1-DATA'!$1:$1048576,$A766-1,COLUMN('1-DATA'!AT765)),ROUND(INDEX('1-DATA'!$1:$1048576,IF(OR($B767="STD. DEVIATION",$C$1=1),$A767,$A767+1),COLUMN('1-DATA'!AT765)),IF($B767="STD. DEVIATION",2,$F$1))))</f>
        <v/>
      </c>
      <c r="AV767" s="1" t="str">
        <f>IF(OR($B767="",AV$7=""),"",IF($B767="MEANS",INDEX('1-DATA'!$1:$1048576,$A766-1,COLUMN('1-DATA'!AU765)),ROUND(INDEX('1-DATA'!$1:$1048576,IF(OR($B767="STD. DEVIATION",$C$1=1),$A767,$A767+1),COLUMN('1-DATA'!AU765)),IF($B767="STD. DEVIATION",2,$F$1))))</f>
        <v/>
      </c>
      <c r="AW767" s="1" t="str">
        <f>IF(OR($B767="",AW$7=""),"",IF($B767="MEANS",INDEX('1-DATA'!$1:$1048576,$A766-1,COLUMN('1-DATA'!AV765)),ROUND(INDEX('1-DATA'!$1:$1048576,IF(OR($B767="STD. DEVIATION",$C$1=1),$A767,$A767+1),COLUMN('1-DATA'!AV765)),IF($B767="STD. DEVIATION",2,$F$1))))</f>
        <v/>
      </c>
      <c r="AX767" s="1" t="str">
        <f>IF(OR($B767="",AX$7=""),"",IF($B767="MEANS",INDEX('1-DATA'!$1:$1048576,$A766-1,COLUMN('1-DATA'!AW765)),ROUND(INDEX('1-DATA'!$1:$1048576,IF(OR($B767="STD. DEVIATION",$C$1=1),$A767,$A767+1),COLUMN('1-DATA'!AW765)),IF($B767="STD. DEVIATION",2,$F$1))))</f>
        <v/>
      </c>
      <c r="AY767" s="1" t="str">
        <f>IF(OR($B767="",AY$7=""),"",IF($B767="MEANS",INDEX('1-DATA'!$1:$1048576,$A766-1,COLUMN('1-DATA'!AX765)),ROUND(INDEX('1-DATA'!$1:$1048576,IF(OR($B767="STD. DEVIATION",$C$1=1),$A767,$A767+1),COLUMN('1-DATA'!AX765)),IF($B767="STD. DEVIATION",2,$F$1))))</f>
        <v/>
      </c>
      <c r="AZ767" s="1" t="str">
        <f>IF(OR($B767="",AZ$7=""),"",IF($B767="MEANS",INDEX('1-DATA'!$1:$1048576,$A766-1,COLUMN('1-DATA'!AY765)),ROUND(INDEX('1-DATA'!$1:$1048576,IF(OR($B767="STD. DEVIATION",$C$1=1),$A767,$A767+1),COLUMN('1-DATA'!AY765)),IF($B767="STD. DEVIATION",2,$F$1))))</f>
        <v/>
      </c>
    </row>
    <row r="768" spans="1:52" x14ac:dyDescent="0.25">
      <c r="A768" s="11">
        <f t="shared" si="12"/>
        <v>2290</v>
      </c>
      <c r="B768" s="1" t="str">
        <f>IF(B767="STD. DEVIATION",INDEX('1-DATA'!$1:$1048576,$A767-1,1),IF(INDEX('1-DATA'!$1:$1048576,$A768,1)&lt;&gt;"",INDEX('1-DATA'!$1:$1048576,$A768,1),""))</f>
        <v/>
      </c>
      <c r="C768" s="1" t="str">
        <f>IF(OR($B768="",C$7=""),"",IF($B768="MEANS",INDEX('1-DATA'!$1:$1048576,$A767-1,COLUMN('1-DATA'!B766)),ROUND(INDEX('1-DATA'!$1:$1048576,IF(OR($B768="STD. DEVIATION",$C$1=1),$A768,$A768+1),COLUMN('1-DATA'!B766)),IF($B768="STD. DEVIATION",2,$F$1))))</f>
        <v/>
      </c>
      <c r="D768" s="1" t="str">
        <f>IF(OR($B768="",D$7=""),"",IF($B768="MEANS",INDEX('1-DATA'!$1:$1048576,$A767-1,COLUMN('1-DATA'!C766)),ROUND(INDEX('1-DATA'!$1:$1048576,IF(OR($B768="STD. DEVIATION",$C$1=1),$A768,$A768+1),COLUMN('1-DATA'!C766)),IF($B768="STD. DEVIATION",2,$F$1))))</f>
        <v/>
      </c>
      <c r="E768" s="1" t="str">
        <f>IF(OR($B768="",E$7=""),"",IF($B768="MEANS",INDEX('1-DATA'!$1:$1048576,$A767-1,COLUMN('1-DATA'!D766)),ROUND(INDEX('1-DATA'!$1:$1048576,IF(OR($B768="STD. DEVIATION",$C$1=1),$A768,$A768+1),COLUMN('1-DATA'!D766)),IF($B768="STD. DEVIATION",2,$F$1))))</f>
        <v/>
      </c>
      <c r="F768" s="1" t="str">
        <f>IF(OR($B768="",F$7=""),"",IF($B768="MEANS",INDEX('1-DATA'!$1:$1048576,$A767-1,COLUMN('1-DATA'!E766)),ROUND(INDEX('1-DATA'!$1:$1048576,IF(OR($B768="STD. DEVIATION",$C$1=1),$A768,$A768+1),COLUMN('1-DATA'!E766)),IF($B768="STD. DEVIATION",2,$F$1))))</f>
        <v/>
      </c>
      <c r="G768" s="1" t="str">
        <f>IF(OR($B768="",G$7=""),"",IF($B768="MEANS",INDEX('1-DATA'!$1:$1048576,$A767-1,COLUMN('1-DATA'!F766)),ROUND(INDEX('1-DATA'!$1:$1048576,IF(OR($B768="STD. DEVIATION",$C$1=1),$A768,$A768+1),COLUMN('1-DATA'!F766)),IF($B768="STD. DEVIATION",2,$F$1))))</f>
        <v/>
      </c>
      <c r="H768" s="1" t="str">
        <f>IF(OR($B768="",H$7=""),"",IF($B768="MEANS",INDEX('1-DATA'!$1:$1048576,$A767-1,COLUMN('1-DATA'!G766)),ROUND(INDEX('1-DATA'!$1:$1048576,IF(OR($B768="STD. DEVIATION",$C$1=1),$A768,$A768+1),COLUMN('1-DATA'!G766)),IF($B768="STD. DEVIATION",2,$F$1))))</f>
        <v/>
      </c>
      <c r="I768" s="1" t="str">
        <f>IF(OR($B768="",I$7=""),"",IF($B768="MEANS",INDEX('1-DATA'!$1:$1048576,$A767-1,COLUMN('1-DATA'!H766)),ROUND(INDEX('1-DATA'!$1:$1048576,IF(OR($B768="STD. DEVIATION",$C$1=1),$A768,$A768+1),COLUMN('1-DATA'!H766)),IF($B768="STD. DEVIATION",2,$F$1))))</f>
        <v/>
      </c>
      <c r="J768" s="1" t="str">
        <f>IF(OR($B768="",J$7=""),"",IF($B768="MEANS",INDEX('1-DATA'!$1:$1048576,$A767-1,COLUMN('1-DATA'!I766)),ROUND(INDEX('1-DATA'!$1:$1048576,IF(OR($B768="STD. DEVIATION",$C$1=1),$A768,$A768+1),COLUMN('1-DATA'!I766)),IF($B768="STD. DEVIATION",2,$F$1))))</f>
        <v/>
      </c>
      <c r="K768" s="1" t="str">
        <f>IF(OR($B768="",K$7=""),"",IF($B768="MEANS",INDEX('1-DATA'!$1:$1048576,$A767-1,COLUMN('1-DATA'!J766)),ROUND(INDEX('1-DATA'!$1:$1048576,IF(OR($B768="STD. DEVIATION",$C$1=1),$A768,$A768+1),COLUMN('1-DATA'!J766)),IF($B768="STD. DEVIATION",2,$F$1))))</f>
        <v/>
      </c>
      <c r="L768" s="1" t="str">
        <f>IF(OR($B768="",L$7=""),"",IF($B768="MEANS",INDEX('1-DATA'!$1:$1048576,$A767-1,COLUMN('1-DATA'!K766)),ROUND(INDEX('1-DATA'!$1:$1048576,IF(OR($B768="STD. DEVIATION",$C$1=1),$A768,$A768+1),COLUMN('1-DATA'!K766)),IF($B768="STD. DEVIATION",2,$F$1))))</f>
        <v/>
      </c>
      <c r="M768" s="1" t="str">
        <f>IF(OR($B768="",M$7=""),"",IF($B768="MEANS",INDEX('1-DATA'!$1:$1048576,$A767-1,COLUMN('1-DATA'!L766)),ROUND(INDEX('1-DATA'!$1:$1048576,IF(OR($B768="STD. DEVIATION",$C$1=1),$A768,$A768+1),COLUMN('1-DATA'!L766)),IF($B768="STD. DEVIATION",2,$F$1))))</f>
        <v/>
      </c>
      <c r="N768" s="1" t="str">
        <f>IF(OR($B768="",N$7=""),"",IF($B768="MEANS",INDEX('1-DATA'!$1:$1048576,$A767-1,COLUMN('1-DATA'!M766)),ROUND(INDEX('1-DATA'!$1:$1048576,IF(OR($B768="STD. DEVIATION",$C$1=1),$A768,$A768+1),COLUMN('1-DATA'!M766)),IF($B768="STD. DEVIATION",2,$F$1))))</f>
        <v/>
      </c>
      <c r="O768" s="1" t="str">
        <f>IF(OR($B768="",O$7=""),"",IF($B768="MEANS",INDEX('1-DATA'!$1:$1048576,$A767-1,COLUMN('1-DATA'!N766)),ROUND(INDEX('1-DATA'!$1:$1048576,IF(OR($B768="STD. DEVIATION",$C$1=1),$A768,$A768+1),COLUMN('1-DATA'!N766)),IF($B768="STD. DEVIATION",2,$F$1))))</f>
        <v/>
      </c>
      <c r="P768" s="1" t="str">
        <f>IF(OR($B768="",P$7=""),"",IF($B768="MEANS",INDEX('1-DATA'!$1:$1048576,$A767-1,COLUMN('1-DATA'!O766)),ROUND(INDEX('1-DATA'!$1:$1048576,IF(OR($B768="STD. DEVIATION",$C$1=1),$A768,$A768+1),COLUMN('1-DATA'!O766)),IF($B768="STD. DEVIATION",2,$F$1))))</f>
        <v/>
      </c>
      <c r="Q768" s="1" t="str">
        <f>IF(OR($B768="",Q$7=""),"",IF($B768="MEANS",INDEX('1-DATA'!$1:$1048576,$A767-1,COLUMN('1-DATA'!P766)),ROUND(INDEX('1-DATA'!$1:$1048576,IF(OR($B768="STD. DEVIATION",$C$1=1),$A768,$A768+1),COLUMN('1-DATA'!P766)),IF($B768="STD. DEVIATION",2,$F$1))))</f>
        <v/>
      </c>
      <c r="R768" s="1" t="str">
        <f>IF(OR($B768="",R$7=""),"",IF($B768="MEANS",INDEX('1-DATA'!$1:$1048576,$A767-1,COLUMN('1-DATA'!Q766)),ROUND(INDEX('1-DATA'!$1:$1048576,IF(OR($B768="STD. DEVIATION",$C$1=1),$A768,$A768+1),COLUMN('1-DATA'!Q766)),IF($B768="STD. DEVIATION",2,$F$1))))</f>
        <v/>
      </c>
      <c r="S768" s="1" t="str">
        <f>IF(OR($B768="",S$7=""),"",IF($B768="MEANS",INDEX('1-DATA'!$1:$1048576,$A767-1,COLUMN('1-DATA'!R766)),ROUND(INDEX('1-DATA'!$1:$1048576,IF(OR($B768="STD. DEVIATION",$C$1=1),$A768,$A768+1),COLUMN('1-DATA'!R766)),IF($B768="STD. DEVIATION",2,$F$1))))</f>
        <v/>
      </c>
      <c r="T768" s="1" t="str">
        <f>IF(OR($B768="",T$7=""),"",IF($B768="MEANS",INDEX('1-DATA'!$1:$1048576,$A767-1,COLUMN('1-DATA'!S766)),ROUND(INDEX('1-DATA'!$1:$1048576,IF(OR($B768="STD. DEVIATION",$C$1=1),$A768,$A768+1),COLUMN('1-DATA'!S766)),IF($B768="STD. DEVIATION",2,$F$1))))</f>
        <v/>
      </c>
      <c r="U768" s="1" t="str">
        <f>IF(OR($B768="",U$7=""),"",IF($B768="MEANS",INDEX('1-DATA'!$1:$1048576,$A767-1,COLUMN('1-DATA'!T766)),ROUND(INDEX('1-DATA'!$1:$1048576,IF(OR($B768="STD. DEVIATION",$C$1=1),$A768,$A768+1),COLUMN('1-DATA'!T766)),IF($B768="STD. DEVIATION",2,$F$1))))</f>
        <v/>
      </c>
      <c r="V768" s="1" t="str">
        <f>IF(OR($B768="",V$7=""),"",IF($B768="MEANS",INDEX('1-DATA'!$1:$1048576,$A767-1,COLUMN('1-DATA'!U766)),ROUND(INDEX('1-DATA'!$1:$1048576,IF(OR($B768="STD. DEVIATION",$C$1=1),$A768,$A768+1),COLUMN('1-DATA'!U766)),IF($B768="STD. DEVIATION",2,$F$1))))</f>
        <v/>
      </c>
      <c r="W768" s="1" t="str">
        <f>IF(OR($B768="",W$7=""),"",IF($B768="MEANS",INDEX('1-DATA'!$1:$1048576,$A767-1,COLUMN('1-DATA'!V766)),ROUND(INDEX('1-DATA'!$1:$1048576,IF(OR($B768="STD. DEVIATION",$C$1=1),$A768,$A768+1),COLUMN('1-DATA'!V766)),IF($B768="STD. DEVIATION",2,$F$1))))</f>
        <v/>
      </c>
      <c r="X768" s="1" t="str">
        <f>IF(OR($B768="",X$7=""),"",IF($B768="MEANS",INDEX('1-DATA'!$1:$1048576,$A767-1,COLUMN('1-DATA'!W766)),ROUND(INDEX('1-DATA'!$1:$1048576,IF(OR($B768="STD. DEVIATION",$C$1=1),$A768,$A768+1),COLUMN('1-DATA'!W766)),IF($B768="STD. DEVIATION",2,$F$1))))</f>
        <v/>
      </c>
      <c r="Y768" s="1" t="str">
        <f>IF(OR($B768="",Y$7=""),"",IF($B768="MEANS",INDEX('1-DATA'!$1:$1048576,$A767-1,COLUMN('1-DATA'!X766)),ROUND(INDEX('1-DATA'!$1:$1048576,IF(OR($B768="STD. DEVIATION",$C$1=1),$A768,$A768+1),COLUMN('1-DATA'!X766)),IF($B768="STD. DEVIATION",2,$F$1))))</f>
        <v/>
      </c>
      <c r="Z768" s="1" t="str">
        <f>IF(OR($B768="",Z$7=""),"",IF($B768="MEANS",INDEX('1-DATA'!$1:$1048576,$A767-1,COLUMN('1-DATA'!Y766)),ROUND(INDEX('1-DATA'!$1:$1048576,IF(OR($B768="STD. DEVIATION",$C$1=1),$A768,$A768+1),COLUMN('1-DATA'!Y766)),IF($B768="STD. DEVIATION",2,$F$1))))</f>
        <v/>
      </c>
      <c r="AA768" s="1" t="str">
        <f>IF(OR($B768="",AA$7=""),"",IF($B768="MEANS",INDEX('1-DATA'!$1:$1048576,$A767-1,COLUMN('1-DATA'!Z766)),ROUND(INDEX('1-DATA'!$1:$1048576,IF(OR($B768="STD. DEVIATION",$C$1=1),$A768,$A768+1),COLUMN('1-DATA'!Z766)),IF($B768="STD. DEVIATION",2,$F$1))))</f>
        <v/>
      </c>
      <c r="AB768" s="1" t="str">
        <f>IF(OR($B768="",AB$7=""),"",IF($B768="MEANS",INDEX('1-DATA'!$1:$1048576,$A767-1,COLUMN('1-DATA'!AA766)),ROUND(INDEX('1-DATA'!$1:$1048576,IF(OR($B768="STD. DEVIATION",$C$1=1),$A768,$A768+1),COLUMN('1-DATA'!AA766)),IF($B768="STD. DEVIATION",2,$F$1))))</f>
        <v/>
      </c>
      <c r="AC768" s="1" t="str">
        <f>IF(OR($B768="",AC$7=""),"",IF($B768="MEANS",INDEX('1-DATA'!$1:$1048576,$A767-1,COLUMN('1-DATA'!AB766)),ROUND(INDEX('1-DATA'!$1:$1048576,IF(OR($B768="STD. DEVIATION",$C$1=1),$A768,$A768+1),COLUMN('1-DATA'!AB766)),IF($B768="STD. DEVIATION",2,$F$1))))</f>
        <v/>
      </c>
      <c r="AD768" s="1" t="str">
        <f>IF(OR($B768="",AD$7=""),"",IF($B768="MEANS",INDEX('1-DATA'!$1:$1048576,$A767-1,COLUMN('1-DATA'!AC766)),ROUND(INDEX('1-DATA'!$1:$1048576,IF(OR($B768="STD. DEVIATION",$C$1=1),$A768,$A768+1),COLUMN('1-DATA'!AC766)),IF($B768="STD. DEVIATION",2,$F$1))))</f>
        <v/>
      </c>
      <c r="AE768" s="1" t="str">
        <f>IF(OR($B768="",AE$7=""),"",IF($B768="MEANS",INDEX('1-DATA'!$1:$1048576,$A767-1,COLUMN('1-DATA'!AD766)),ROUND(INDEX('1-DATA'!$1:$1048576,IF(OR($B768="STD. DEVIATION",$C$1=1),$A768,$A768+1),COLUMN('1-DATA'!AD766)),IF($B768="STD. DEVIATION",2,$F$1))))</f>
        <v/>
      </c>
      <c r="AF768" s="1" t="str">
        <f>IF(OR($B768="",AF$7=""),"",IF($B768="MEANS",INDEX('1-DATA'!$1:$1048576,$A767-1,COLUMN('1-DATA'!AE766)),ROUND(INDEX('1-DATA'!$1:$1048576,IF(OR($B768="STD. DEVIATION",$C$1=1),$A768,$A768+1),COLUMN('1-DATA'!AE766)),IF($B768="STD. DEVIATION",2,$F$1))))</f>
        <v/>
      </c>
      <c r="AG768" s="1" t="str">
        <f>IF(OR($B768="",AG$7=""),"",IF($B768="MEANS",INDEX('1-DATA'!$1:$1048576,$A767-1,COLUMN('1-DATA'!AF766)),ROUND(INDEX('1-DATA'!$1:$1048576,IF(OR($B768="STD. DEVIATION",$C$1=1),$A768,$A768+1),COLUMN('1-DATA'!AF766)),IF($B768="STD. DEVIATION",2,$F$1))))</f>
        <v/>
      </c>
      <c r="AH768" s="1" t="str">
        <f>IF(OR($B768="",AH$7=""),"",IF($B768="MEANS",INDEX('1-DATA'!$1:$1048576,$A767-1,COLUMN('1-DATA'!AG766)),ROUND(INDEX('1-DATA'!$1:$1048576,IF(OR($B768="STD. DEVIATION",$C$1=1),$A768,$A768+1),COLUMN('1-DATA'!AG766)),IF($B768="STD. DEVIATION",2,$F$1))))</f>
        <v/>
      </c>
      <c r="AI768" s="1" t="str">
        <f>IF(OR($B768="",AI$7=""),"",IF($B768="MEANS",INDEX('1-DATA'!$1:$1048576,$A767-1,COLUMN('1-DATA'!AH766)),ROUND(INDEX('1-DATA'!$1:$1048576,IF(OR($B768="STD. DEVIATION",$C$1=1),$A768,$A768+1),COLUMN('1-DATA'!AH766)),IF($B768="STD. DEVIATION",2,$F$1))))</f>
        <v/>
      </c>
      <c r="AJ768" s="1" t="str">
        <f>IF(OR($B768="",AJ$7=""),"",IF($B768="MEANS",INDEX('1-DATA'!$1:$1048576,$A767-1,COLUMN('1-DATA'!AI766)),ROUND(INDEX('1-DATA'!$1:$1048576,IF(OR($B768="STD. DEVIATION",$C$1=1),$A768,$A768+1),COLUMN('1-DATA'!AI766)),IF($B768="STD. DEVIATION",2,$F$1))))</f>
        <v/>
      </c>
      <c r="AK768" s="1" t="str">
        <f>IF(OR($B768="",AK$7=""),"",IF($B768="MEANS",INDEX('1-DATA'!$1:$1048576,$A767-1,COLUMN('1-DATA'!AJ766)),ROUND(INDEX('1-DATA'!$1:$1048576,IF(OR($B768="STD. DEVIATION",$C$1=1),$A768,$A768+1),COLUMN('1-DATA'!AJ766)),IF($B768="STD. DEVIATION",2,$F$1))))</f>
        <v/>
      </c>
      <c r="AL768" s="1" t="str">
        <f>IF(OR($B768="",AL$7=""),"",IF($B768="MEANS",INDEX('1-DATA'!$1:$1048576,$A767-1,COLUMN('1-DATA'!AK766)),ROUND(INDEX('1-DATA'!$1:$1048576,IF(OR($B768="STD. DEVIATION",$C$1=1),$A768,$A768+1),COLUMN('1-DATA'!AK766)),IF($B768="STD. DEVIATION",2,$F$1))))</f>
        <v/>
      </c>
      <c r="AM768" s="1" t="str">
        <f>IF(OR($B768="",AM$7=""),"",IF($B768="MEANS",INDEX('1-DATA'!$1:$1048576,$A767-1,COLUMN('1-DATA'!AL766)),ROUND(INDEX('1-DATA'!$1:$1048576,IF(OR($B768="STD. DEVIATION",$C$1=1),$A768,$A768+1),COLUMN('1-DATA'!AL766)),IF($B768="STD. DEVIATION",2,$F$1))))</f>
        <v/>
      </c>
      <c r="AN768" s="1" t="str">
        <f>IF(OR($B768="",AN$7=""),"",IF($B768="MEANS",INDEX('1-DATA'!$1:$1048576,$A767-1,COLUMN('1-DATA'!AM766)),ROUND(INDEX('1-DATA'!$1:$1048576,IF(OR($B768="STD. DEVIATION",$C$1=1),$A768,$A768+1),COLUMN('1-DATA'!AM766)),IF($B768="STD. DEVIATION",2,$F$1))))</f>
        <v/>
      </c>
      <c r="AO768" s="1" t="str">
        <f>IF(OR($B768="",AO$7=""),"",IF($B768="MEANS",INDEX('1-DATA'!$1:$1048576,$A767-1,COLUMN('1-DATA'!AN766)),ROUND(INDEX('1-DATA'!$1:$1048576,IF(OR($B768="STD. DEVIATION",$C$1=1),$A768,$A768+1),COLUMN('1-DATA'!AN766)),IF($B768="STD. DEVIATION",2,$F$1))))</f>
        <v/>
      </c>
      <c r="AP768" s="1" t="str">
        <f>IF(OR($B768="",AP$7=""),"",IF($B768="MEANS",INDEX('1-DATA'!$1:$1048576,$A767-1,COLUMN('1-DATA'!AO766)),ROUND(INDEX('1-DATA'!$1:$1048576,IF(OR($B768="STD. DEVIATION",$C$1=1),$A768,$A768+1),COLUMN('1-DATA'!AO766)),IF($B768="STD. DEVIATION",2,$F$1))))</f>
        <v/>
      </c>
      <c r="AQ768" s="1" t="str">
        <f>IF(OR($B768="",AQ$7=""),"",IF($B768="MEANS",INDEX('1-DATA'!$1:$1048576,$A767-1,COLUMN('1-DATA'!AP766)),ROUND(INDEX('1-DATA'!$1:$1048576,IF(OR($B768="STD. DEVIATION",$C$1=1),$A768,$A768+1),COLUMN('1-DATA'!AP766)),IF($B768="STD. DEVIATION",2,$F$1))))</f>
        <v/>
      </c>
      <c r="AR768" s="1" t="str">
        <f>IF(OR($B768="",AR$7=""),"",IF($B768="MEANS",INDEX('1-DATA'!$1:$1048576,$A767-1,COLUMN('1-DATA'!AQ766)),ROUND(INDEX('1-DATA'!$1:$1048576,IF(OR($B768="STD. DEVIATION",$C$1=1),$A768,$A768+1),COLUMN('1-DATA'!AQ766)),IF($B768="STD. DEVIATION",2,$F$1))))</f>
        <v/>
      </c>
      <c r="AS768" s="1" t="str">
        <f>IF(OR($B768="",AS$7=""),"",IF($B768="MEANS",INDEX('1-DATA'!$1:$1048576,$A767-1,COLUMN('1-DATA'!AR766)),ROUND(INDEX('1-DATA'!$1:$1048576,IF(OR($B768="STD. DEVIATION",$C$1=1),$A768,$A768+1),COLUMN('1-DATA'!AR766)),IF($B768="STD. DEVIATION",2,$F$1))))</f>
        <v/>
      </c>
      <c r="AT768" s="1" t="str">
        <f>IF(OR($B768="",AT$7=""),"",IF($B768="MEANS",INDEX('1-DATA'!$1:$1048576,$A767-1,COLUMN('1-DATA'!AS766)),ROUND(INDEX('1-DATA'!$1:$1048576,IF(OR($B768="STD. DEVIATION",$C$1=1),$A768,$A768+1),COLUMN('1-DATA'!AS766)),IF($B768="STD. DEVIATION",2,$F$1))))</f>
        <v/>
      </c>
      <c r="AU768" s="1" t="str">
        <f>IF(OR($B768="",AU$7=""),"",IF($B768="MEANS",INDEX('1-DATA'!$1:$1048576,$A767-1,COLUMN('1-DATA'!AT766)),ROUND(INDEX('1-DATA'!$1:$1048576,IF(OR($B768="STD. DEVIATION",$C$1=1),$A768,$A768+1),COLUMN('1-DATA'!AT766)),IF($B768="STD. DEVIATION",2,$F$1))))</f>
        <v/>
      </c>
      <c r="AV768" s="1" t="str">
        <f>IF(OR($B768="",AV$7=""),"",IF($B768="MEANS",INDEX('1-DATA'!$1:$1048576,$A767-1,COLUMN('1-DATA'!AU766)),ROUND(INDEX('1-DATA'!$1:$1048576,IF(OR($B768="STD. DEVIATION",$C$1=1),$A768,$A768+1),COLUMN('1-DATA'!AU766)),IF($B768="STD. DEVIATION",2,$F$1))))</f>
        <v/>
      </c>
      <c r="AW768" s="1" t="str">
        <f>IF(OR($B768="",AW$7=""),"",IF($B768="MEANS",INDEX('1-DATA'!$1:$1048576,$A767-1,COLUMN('1-DATA'!AV766)),ROUND(INDEX('1-DATA'!$1:$1048576,IF(OR($B768="STD. DEVIATION",$C$1=1),$A768,$A768+1),COLUMN('1-DATA'!AV766)),IF($B768="STD. DEVIATION",2,$F$1))))</f>
        <v/>
      </c>
      <c r="AX768" s="1" t="str">
        <f>IF(OR($B768="",AX$7=""),"",IF($B768="MEANS",INDEX('1-DATA'!$1:$1048576,$A767-1,COLUMN('1-DATA'!AW766)),ROUND(INDEX('1-DATA'!$1:$1048576,IF(OR($B768="STD. DEVIATION",$C$1=1),$A768,$A768+1),COLUMN('1-DATA'!AW766)),IF($B768="STD. DEVIATION",2,$F$1))))</f>
        <v/>
      </c>
      <c r="AY768" s="1" t="str">
        <f>IF(OR($B768="",AY$7=""),"",IF($B768="MEANS",INDEX('1-DATA'!$1:$1048576,$A767-1,COLUMN('1-DATA'!AX766)),ROUND(INDEX('1-DATA'!$1:$1048576,IF(OR($B768="STD. DEVIATION",$C$1=1),$A768,$A768+1),COLUMN('1-DATA'!AX766)),IF($B768="STD. DEVIATION",2,$F$1))))</f>
        <v/>
      </c>
      <c r="AZ768" s="1" t="str">
        <f>IF(OR($B768="",AZ$7=""),"",IF($B768="MEANS",INDEX('1-DATA'!$1:$1048576,$A767-1,COLUMN('1-DATA'!AY766)),ROUND(INDEX('1-DATA'!$1:$1048576,IF(OR($B768="STD. DEVIATION",$C$1=1),$A768,$A768+1),COLUMN('1-DATA'!AY766)),IF($B768="STD. DEVIATION",2,$F$1))))</f>
        <v/>
      </c>
    </row>
    <row r="769" spans="1:52" x14ac:dyDescent="0.25">
      <c r="A769" s="11">
        <f t="shared" si="12"/>
        <v>2293</v>
      </c>
      <c r="B769" s="1" t="str">
        <f>IF(B768="STD. DEVIATION",INDEX('1-DATA'!$1:$1048576,$A768-1,1),IF(INDEX('1-DATA'!$1:$1048576,$A769,1)&lt;&gt;"",INDEX('1-DATA'!$1:$1048576,$A769,1),""))</f>
        <v/>
      </c>
      <c r="C769" s="1" t="str">
        <f>IF(OR($B769="",C$7=""),"",IF($B769="MEANS",INDEX('1-DATA'!$1:$1048576,$A768-1,COLUMN('1-DATA'!B767)),ROUND(INDEX('1-DATA'!$1:$1048576,IF(OR($B769="STD. DEVIATION",$C$1=1),$A769,$A769+1),COLUMN('1-DATA'!B767)),IF($B769="STD. DEVIATION",2,$F$1))))</f>
        <v/>
      </c>
      <c r="D769" s="1" t="str">
        <f>IF(OR($B769="",D$7=""),"",IF($B769="MEANS",INDEX('1-DATA'!$1:$1048576,$A768-1,COLUMN('1-DATA'!C767)),ROUND(INDEX('1-DATA'!$1:$1048576,IF(OR($B769="STD. DEVIATION",$C$1=1),$A769,$A769+1),COLUMN('1-DATA'!C767)),IF($B769="STD. DEVIATION",2,$F$1))))</f>
        <v/>
      </c>
      <c r="E769" s="1" t="str">
        <f>IF(OR($B769="",E$7=""),"",IF($B769="MEANS",INDEX('1-DATA'!$1:$1048576,$A768-1,COLUMN('1-DATA'!D767)),ROUND(INDEX('1-DATA'!$1:$1048576,IF(OR($B769="STD. DEVIATION",$C$1=1),$A769,$A769+1),COLUMN('1-DATA'!D767)),IF($B769="STD. DEVIATION",2,$F$1))))</f>
        <v/>
      </c>
      <c r="F769" s="1" t="str">
        <f>IF(OR($B769="",F$7=""),"",IF($B769="MEANS",INDEX('1-DATA'!$1:$1048576,$A768-1,COLUMN('1-DATA'!E767)),ROUND(INDEX('1-DATA'!$1:$1048576,IF(OR($B769="STD. DEVIATION",$C$1=1),$A769,$A769+1),COLUMN('1-DATA'!E767)),IF($B769="STD. DEVIATION",2,$F$1))))</f>
        <v/>
      </c>
      <c r="G769" s="1" t="str">
        <f>IF(OR($B769="",G$7=""),"",IF($B769="MEANS",INDEX('1-DATA'!$1:$1048576,$A768-1,COLUMN('1-DATA'!F767)),ROUND(INDEX('1-DATA'!$1:$1048576,IF(OR($B769="STD. DEVIATION",$C$1=1),$A769,$A769+1),COLUMN('1-DATA'!F767)),IF($B769="STD. DEVIATION",2,$F$1))))</f>
        <v/>
      </c>
      <c r="H769" s="1" t="str">
        <f>IF(OR($B769="",H$7=""),"",IF($B769="MEANS",INDEX('1-DATA'!$1:$1048576,$A768-1,COLUMN('1-DATA'!G767)),ROUND(INDEX('1-DATA'!$1:$1048576,IF(OR($B769="STD. DEVIATION",$C$1=1),$A769,$A769+1),COLUMN('1-DATA'!G767)),IF($B769="STD. DEVIATION",2,$F$1))))</f>
        <v/>
      </c>
      <c r="I769" s="1" t="str">
        <f>IF(OR($B769="",I$7=""),"",IF($B769="MEANS",INDEX('1-DATA'!$1:$1048576,$A768-1,COLUMN('1-DATA'!H767)),ROUND(INDEX('1-DATA'!$1:$1048576,IF(OR($B769="STD. DEVIATION",$C$1=1),$A769,$A769+1),COLUMN('1-DATA'!H767)),IF($B769="STD. DEVIATION",2,$F$1))))</f>
        <v/>
      </c>
      <c r="J769" s="1" t="str">
        <f>IF(OR($B769="",J$7=""),"",IF($B769="MEANS",INDEX('1-DATA'!$1:$1048576,$A768-1,COLUMN('1-DATA'!I767)),ROUND(INDEX('1-DATA'!$1:$1048576,IF(OR($B769="STD. DEVIATION",$C$1=1),$A769,$A769+1),COLUMN('1-DATA'!I767)),IF($B769="STD. DEVIATION",2,$F$1))))</f>
        <v/>
      </c>
      <c r="K769" s="1" t="str">
        <f>IF(OR($B769="",K$7=""),"",IF($B769="MEANS",INDEX('1-DATA'!$1:$1048576,$A768-1,COLUMN('1-DATA'!J767)),ROUND(INDEX('1-DATA'!$1:$1048576,IF(OR($B769="STD. DEVIATION",$C$1=1),$A769,$A769+1),COLUMN('1-DATA'!J767)),IF($B769="STD. DEVIATION",2,$F$1))))</f>
        <v/>
      </c>
      <c r="L769" s="1" t="str">
        <f>IF(OR($B769="",L$7=""),"",IF($B769="MEANS",INDEX('1-DATA'!$1:$1048576,$A768-1,COLUMN('1-DATA'!K767)),ROUND(INDEX('1-DATA'!$1:$1048576,IF(OR($B769="STD. DEVIATION",$C$1=1),$A769,$A769+1),COLUMN('1-DATA'!K767)),IF($B769="STD. DEVIATION",2,$F$1))))</f>
        <v/>
      </c>
      <c r="M769" s="1" t="str">
        <f>IF(OR($B769="",M$7=""),"",IF($B769="MEANS",INDEX('1-DATA'!$1:$1048576,$A768-1,COLUMN('1-DATA'!L767)),ROUND(INDEX('1-DATA'!$1:$1048576,IF(OR($B769="STD. DEVIATION",$C$1=1),$A769,$A769+1),COLUMN('1-DATA'!L767)),IF($B769="STD. DEVIATION",2,$F$1))))</f>
        <v/>
      </c>
      <c r="N769" s="1" t="str">
        <f>IF(OR($B769="",N$7=""),"",IF($B769="MEANS",INDEX('1-DATA'!$1:$1048576,$A768-1,COLUMN('1-DATA'!M767)),ROUND(INDEX('1-DATA'!$1:$1048576,IF(OR($B769="STD. DEVIATION",$C$1=1),$A769,$A769+1),COLUMN('1-DATA'!M767)),IF($B769="STD. DEVIATION",2,$F$1))))</f>
        <v/>
      </c>
      <c r="O769" s="1" t="str">
        <f>IF(OR($B769="",O$7=""),"",IF($B769="MEANS",INDEX('1-DATA'!$1:$1048576,$A768-1,COLUMN('1-DATA'!N767)),ROUND(INDEX('1-DATA'!$1:$1048576,IF(OR($B769="STD. DEVIATION",$C$1=1),$A769,$A769+1),COLUMN('1-DATA'!N767)),IF($B769="STD. DEVIATION",2,$F$1))))</f>
        <v/>
      </c>
      <c r="P769" s="1" t="str">
        <f>IF(OR($B769="",P$7=""),"",IF($B769="MEANS",INDEX('1-DATA'!$1:$1048576,$A768-1,COLUMN('1-DATA'!O767)),ROUND(INDEX('1-DATA'!$1:$1048576,IF(OR($B769="STD. DEVIATION",$C$1=1),$A769,$A769+1),COLUMN('1-DATA'!O767)),IF($B769="STD. DEVIATION",2,$F$1))))</f>
        <v/>
      </c>
      <c r="Q769" s="1" t="str">
        <f>IF(OR($B769="",Q$7=""),"",IF($B769="MEANS",INDEX('1-DATA'!$1:$1048576,$A768-1,COLUMN('1-DATA'!P767)),ROUND(INDEX('1-DATA'!$1:$1048576,IF(OR($B769="STD. DEVIATION",$C$1=1),$A769,$A769+1),COLUMN('1-DATA'!P767)),IF($B769="STD. DEVIATION",2,$F$1))))</f>
        <v/>
      </c>
      <c r="R769" s="1" t="str">
        <f>IF(OR($B769="",R$7=""),"",IF($B769="MEANS",INDEX('1-DATA'!$1:$1048576,$A768-1,COLUMN('1-DATA'!Q767)),ROUND(INDEX('1-DATA'!$1:$1048576,IF(OR($B769="STD. DEVIATION",$C$1=1),$A769,$A769+1),COLUMN('1-DATA'!Q767)),IF($B769="STD. DEVIATION",2,$F$1))))</f>
        <v/>
      </c>
      <c r="S769" s="1" t="str">
        <f>IF(OR($B769="",S$7=""),"",IF($B769="MEANS",INDEX('1-DATA'!$1:$1048576,$A768-1,COLUMN('1-DATA'!R767)),ROUND(INDEX('1-DATA'!$1:$1048576,IF(OR($B769="STD. DEVIATION",$C$1=1),$A769,$A769+1),COLUMN('1-DATA'!R767)),IF($B769="STD. DEVIATION",2,$F$1))))</f>
        <v/>
      </c>
      <c r="T769" s="1" t="str">
        <f>IF(OR($B769="",T$7=""),"",IF($B769="MEANS",INDEX('1-DATA'!$1:$1048576,$A768-1,COLUMN('1-DATA'!S767)),ROUND(INDEX('1-DATA'!$1:$1048576,IF(OR($B769="STD. DEVIATION",$C$1=1),$A769,$A769+1),COLUMN('1-DATA'!S767)),IF($B769="STD. DEVIATION",2,$F$1))))</f>
        <v/>
      </c>
      <c r="U769" s="1" t="str">
        <f>IF(OR($B769="",U$7=""),"",IF($B769="MEANS",INDEX('1-DATA'!$1:$1048576,$A768-1,COLUMN('1-DATA'!T767)),ROUND(INDEX('1-DATA'!$1:$1048576,IF(OR($B769="STD. DEVIATION",$C$1=1),$A769,$A769+1),COLUMN('1-DATA'!T767)),IF($B769="STD. DEVIATION",2,$F$1))))</f>
        <v/>
      </c>
      <c r="V769" s="1" t="str">
        <f>IF(OR($B769="",V$7=""),"",IF($B769="MEANS",INDEX('1-DATA'!$1:$1048576,$A768-1,COLUMN('1-DATA'!U767)),ROUND(INDEX('1-DATA'!$1:$1048576,IF(OR($B769="STD. DEVIATION",$C$1=1),$A769,$A769+1),COLUMN('1-DATA'!U767)),IF($B769="STD. DEVIATION",2,$F$1))))</f>
        <v/>
      </c>
      <c r="W769" s="1" t="str">
        <f>IF(OR($B769="",W$7=""),"",IF($B769="MEANS",INDEX('1-DATA'!$1:$1048576,$A768-1,COLUMN('1-DATA'!V767)),ROUND(INDEX('1-DATA'!$1:$1048576,IF(OR($B769="STD. DEVIATION",$C$1=1),$A769,$A769+1),COLUMN('1-DATA'!V767)),IF($B769="STD. DEVIATION",2,$F$1))))</f>
        <v/>
      </c>
      <c r="X769" s="1" t="str">
        <f>IF(OR($B769="",X$7=""),"",IF($B769="MEANS",INDEX('1-DATA'!$1:$1048576,$A768-1,COLUMN('1-DATA'!W767)),ROUND(INDEX('1-DATA'!$1:$1048576,IF(OR($B769="STD. DEVIATION",$C$1=1),$A769,$A769+1),COLUMN('1-DATA'!W767)),IF($B769="STD. DEVIATION",2,$F$1))))</f>
        <v/>
      </c>
      <c r="Y769" s="1" t="str">
        <f>IF(OR($B769="",Y$7=""),"",IF($B769="MEANS",INDEX('1-DATA'!$1:$1048576,$A768-1,COLUMN('1-DATA'!X767)),ROUND(INDEX('1-DATA'!$1:$1048576,IF(OR($B769="STD. DEVIATION",$C$1=1),$A769,$A769+1),COLUMN('1-DATA'!X767)),IF($B769="STD. DEVIATION",2,$F$1))))</f>
        <v/>
      </c>
      <c r="Z769" s="1" t="str">
        <f>IF(OR($B769="",Z$7=""),"",IF($B769="MEANS",INDEX('1-DATA'!$1:$1048576,$A768-1,COLUMN('1-DATA'!Y767)),ROUND(INDEX('1-DATA'!$1:$1048576,IF(OR($B769="STD. DEVIATION",$C$1=1),$A769,$A769+1),COLUMN('1-DATA'!Y767)),IF($B769="STD. DEVIATION",2,$F$1))))</f>
        <v/>
      </c>
      <c r="AA769" s="1" t="str">
        <f>IF(OR($B769="",AA$7=""),"",IF($B769="MEANS",INDEX('1-DATA'!$1:$1048576,$A768-1,COLUMN('1-DATA'!Z767)),ROUND(INDEX('1-DATA'!$1:$1048576,IF(OR($B769="STD. DEVIATION",$C$1=1),$A769,$A769+1),COLUMN('1-DATA'!Z767)),IF($B769="STD. DEVIATION",2,$F$1))))</f>
        <v/>
      </c>
      <c r="AB769" s="1" t="str">
        <f>IF(OR($B769="",AB$7=""),"",IF($B769="MEANS",INDEX('1-DATA'!$1:$1048576,$A768-1,COLUMN('1-DATA'!AA767)),ROUND(INDEX('1-DATA'!$1:$1048576,IF(OR($B769="STD. DEVIATION",$C$1=1),$A769,$A769+1),COLUMN('1-DATA'!AA767)),IF($B769="STD. DEVIATION",2,$F$1))))</f>
        <v/>
      </c>
      <c r="AC769" s="1" t="str">
        <f>IF(OR($B769="",AC$7=""),"",IF($B769="MEANS",INDEX('1-DATA'!$1:$1048576,$A768-1,COLUMN('1-DATA'!AB767)),ROUND(INDEX('1-DATA'!$1:$1048576,IF(OR($B769="STD. DEVIATION",$C$1=1),$A769,$A769+1),COLUMN('1-DATA'!AB767)),IF($B769="STD. DEVIATION",2,$F$1))))</f>
        <v/>
      </c>
      <c r="AD769" s="1" t="str">
        <f>IF(OR($B769="",AD$7=""),"",IF($B769="MEANS",INDEX('1-DATA'!$1:$1048576,$A768-1,COLUMN('1-DATA'!AC767)),ROUND(INDEX('1-DATA'!$1:$1048576,IF(OR($B769="STD. DEVIATION",$C$1=1),$A769,$A769+1),COLUMN('1-DATA'!AC767)),IF($B769="STD. DEVIATION",2,$F$1))))</f>
        <v/>
      </c>
      <c r="AE769" s="1" t="str">
        <f>IF(OR($B769="",AE$7=""),"",IF($B769="MEANS",INDEX('1-DATA'!$1:$1048576,$A768-1,COLUMN('1-DATA'!AD767)),ROUND(INDEX('1-DATA'!$1:$1048576,IF(OR($B769="STD. DEVIATION",$C$1=1),$A769,$A769+1),COLUMN('1-DATA'!AD767)),IF($B769="STD. DEVIATION",2,$F$1))))</f>
        <v/>
      </c>
      <c r="AF769" s="1" t="str">
        <f>IF(OR($B769="",AF$7=""),"",IF($B769="MEANS",INDEX('1-DATA'!$1:$1048576,$A768-1,COLUMN('1-DATA'!AE767)),ROUND(INDEX('1-DATA'!$1:$1048576,IF(OR($B769="STD. DEVIATION",$C$1=1),$A769,$A769+1),COLUMN('1-DATA'!AE767)),IF($B769="STD. DEVIATION",2,$F$1))))</f>
        <v/>
      </c>
      <c r="AG769" s="1" t="str">
        <f>IF(OR($B769="",AG$7=""),"",IF($B769="MEANS",INDEX('1-DATA'!$1:$1048576,$A768-1,COLUMN('1-DATA'!AF767)),ROUND(INDEX('1-DATA'!$1:$1048576,IF(OR($B769="STD. DEVIATION",$C$1=1),$A769,$A769+1),COLUMN('1-DATA'!AF767)),IF($B769="STD. DEVIATION",2,$F$1))))</f>
        <v/>
      </c>
      <c r="AH769" s="1" t="str">
        <f>IF(OR($B769="",AH$7=""),"",IF($B769="MEANS",INDEX('1-DATA'!$1:$1048576,$A768-1,COLUMN('1-DATA'!AG767)),ROUND(INDEX('1-DATA'!$1:$1048576,IF(OR($B769="STD. DEVIATION",$C$1=1),$A769,$A769+1),COLUMN('1-DATA'!AG767)),IF($B769="STD. DEVIATION",2,$F$1))))</f>
        <v/>
      </c>
      <c r="AI769" s="1" t="str">
        <f>IF(OR($B769="",AI$7=""),"",IF($B769="MEANS",INDEX('1-DATA'!$1:$1048576,$A768-1,COLUMN('1-DATA'!AH767)),ROUND(INDEX('1-DATA'!$1:$1048576,IF(OR($B769="STD. DEVIATION",$C$1=1),$A769,$A769+1),COLUMN('1-DATA'!AH767)),IF($B769="STD. DEVIATION",2,$F$1))))</f>
        <v/>
      </c>
      <c r="AJ769" s="1" t="str">
        <f>IF(OR($B769="",AJ$7=""),"",IF($B769="MEANS",INDEX('1-DATA'!$1:$1048576,$A768-1,COLUMN('1-DATA'!AI767)),ROUND(INDEX('1-DATA'!$1:$1048576,IF(OR($B769="STD. DEVIATION",$C$1=1),$A769,$A769+1),COLUMN('1-DATA'!AI767)),IF($B769="STD. DEVIATION",2,$F$1))))</f>
        <v/>
      </c>
      <c r="AK769" s="1" t="str">
        <f>IF(OR($B769="",AK$7=""),"",IF($B769="MEANS",INDEX('1-DATA'!$1:$1048576,$A768-1,COLUMN('1-DATA'!AJ767)),ROUND(INDEX('1-DATA'!$1:$1048576,IF(OR($B769="STD. DEVIATION",$C$1=1),$A769,$A769+1),COLUMN('1-DATA'!AJ767)),IF($B769="STD. DEVIATION",2,$F$1))))</f>
        <v/>
      </c>
      <c r="AL769" s="1" t="str">
        <f>IF(OR($B769="",AL$7=""),"",IF($B769="MEANS",INDEX('1-DATA'!$1:$1048576,$A768-1,COLUMN('1-DATA'!AK767)),ROUND(INDEX('1-DATA'!$1:$1048576,IF(OR($B769="STD. DEVIATION",$C$1=1),$A769,$A769+1),COLUMN('1-DATA'!AK767)),IF($B769="STD. DEVIATION",2,$F$1))))</f>
        <v/>
      </c>
      <c r="AM769" s="1" t="str">
        <f>IF(OR($B769="",AM$7=""),"",IF($B769="MEANS",INDEX('1-DATA'!$1:$1048576,$A768-1,COLUMN('1-DATA'!AL767)),ROUND(INDEX('1-DATA'!$1:$1048576,IF(OR($B769="STD. DEVIATION",$C$1=1),$A769,$A769+1),COLUMN('1-DATA'!AL767)),IF($B769="STD. DEVIATION",2,$F$1))))</f>
        <v/>
      </c>
      <c r="AN769" s="1" t="str">
        <f>IF(OR($B769="",AN$7=""),"",IF($B769="MEANS",INDEX('1-DATA'!$1:$1048576,$A768-1,COLUMN('1-DATA'!AM767)),ROUND(INDEX('1-DATA'!$1:$1048576,IF(OR($B769="STD. DEVIATION",$C$1=1),$A769,$A769+1),COLUMN('1-DATA'!AM767)),IF($B769="STD. DEVIATION",2,$F$1))))</f>
        <v/>
      </c>
      <c r="AO769" s="1" t="str">
        <f>IF(OR($B769="",AO$7=""),"",IF($B769="MEANS",INDEX('1-DATA'!$1:$1048576,$A768-1,COLUMN('1-DATA'!AN767)),ROUND(INDEX('1-DATA'!$1:$1048576,IF(OR($B769="STD. DEVIATION",$C$1=1),$A769,$A769+1),COLUMN('1-DATA'!AN767)),IF($B769="STD. DEVIATION",2,$F$1))))</f>
        <v/>
      </c>
      <c r="AP769" s="1" t="str">
        <f>IF(OR($B769="",AP$7=""),"",IF($B769="MEANS",INDEX('1-DATA'!$1:$1048576,$A768-1,COLUMN('1-DATA'!AO767)),ROUND(INDEX('1-DATA'!$1:$1048576,IF(OR($B769="STD. DEVIATION",$C$1=1),$A769,$A769+1),COLUMN('1-DATA'!AO767)),IF($B769="STD. DEVIATION",2,$F$1))))</f>
        <v/>
      </c>
      <c r="AQ769" s="1" t="str">
        <f>IF(OR($B769="",AQ$7=""),"",IF($B769="MEANS",INDEX('1-DATA'!$1:$1048576,$A768-1,COLUMN('1-DATA'!AP767)),ROUND(INDEX('1-DATA'!$1:$1048576,IF(OR($B769="STD. DEVIATION",$C$1=1),$A769,$A769+1),COLUMN('1-DATA'!AP767)),IF($B769="STD. DEVIATION",2,$F$1))))</f>
        <v/>
      </c>
      <c r="AR769" s="1" t="str">
        <f>IF(OR($B769="",AR$7=""),"",IF($B769="MEANS",INDEX('1-DATA'!$1:$1048576,$A768-1,COLUMN('1-DATA'!AQ767)),ROUND(INDEX('1-DATA'!$1:$1048576,IF(OR($B769="STD. DEVIATION",$C$1=1),$A769,$A769+1),COLUMN('1-DATA'!AQ767)),IF($B769="STD. DEVIATION",2,$F$1))))</f>
        <v/>
      </c>
      <c r="AS769" s="1" t="str">
        <f>IF(OR($B769="",AS$7=""),"",IF($B769="MEANS",INDEX('1-DATA'!$1:$1048576,$A768-1,COLUMN('1-DATA'!AR767)),ROUND(INDEX('1-DATA'!$1:$1048576,IF(OR($B769="STD. DEVIATION",$C$1=1),$A769,$A769+1),COLUMN('1-DATA'!AR767)),IF($B769="STD. DEVIATION",2,$F$1))))</f>
        <v/>
      </c>
      <c r="AT769" s="1" t="str">
        <f>IF(OR($B769="",AT$7=""),"",IF($B769="MEANS",INDEX('1-DATA'!$1:$1048576,$A768-1,COLUMN('1-DATA'!AS767)),ROUND(INDEX('1-DATA'!$1:$1048576,IF(OR($B769="STD. DEVIATION",$C$1=1),$A769,$A769+1),COLUMN('1-DATA'!AS767)),IF($B769="STD. DEVIATION",2,$F$1))))</f>
        <v/>
      </c>
      <c r="AU769" s="1" t="str">
        <f>IF(OR($B769="",AU$7=""),"",IF($B769="MEANS",INDEX('1-DATA'!$1:$1048576,$A768-1,COLUMN('1-DATA'!AT767)),ROUND(INDEX('1-DATA'!$1:$1048576,IF(OR($B769="STD. DEVIATION",$C$1=1),$A769,$A769+1),COLUMN('1-DATA'!AT767)),IF($B769="STD. DEVIATION",2,$F$1))))</f>
        <v/>
      </c>
      <c r="AV769" s="1" t="str">
        <f>IF(OR($B769="",AV$7=""),"",IF($B769="MEANS",INDEX('1-DATA'!$1:$1048576,$A768-1,COLUMN('1-DATA'!AU767)),ROUND(INDEX('1-DATA'!$1:$1048576,IF(OR($B769="STD. DEVIATION",$C$1=1),$A769,$A769+1),COLUMN('1-DATA'!AU767)),IF($B769="STD. DEVIATION",2,$F$1))))</f>
        <v/>
      </c>
      <c r="AW769" s="1" t="str">
        <f>IF(OR($B769="",AW$7=""),"",IF($B769="MEANS",INDEX('1-DATA'!$1:$1048576,$A768-1,COLUMN('1-DATA'!AV767)),ROUND(INDEX('1-DATA'!$1:$1048576,IF(OR($B769="STD. DEVIATION",$C$1=1),$A769,$A769+1),COLUMN('1-DATA'!AV767)),IF($B769="STD. DEVIATION",2,$F$1))))</f>
        <v/>
      </c>
      <c r="AX769" s="1" t="str">
        <f>IF(OR($B769="",AX$7=""),"",IF($B769="MEANS",INDEX('1-DATA'!$1:$1048576,$A768-1,COLUMN('1-DATA'!AW767)),ROUND(INDEX('1-DATA'!$1:$1048576,IF(OR($B769="STD. DEVIATION",$C$1=1),$A769,$A769+1),COLUMN('1-DATA'!AW767)),IF($B769="STD. DEVIATION",2,$F$1))))</f>
        <v/>
      </c>
      <c r="AY769" s="1" t="str">
        <f>IF(OR($B769="",AY$7=""),"",IF($B769="MEANS",INDEX('1-DATA'!$1:$1048576,$A768-1,COLUMN('1-DATA'!AX767)),ROUND(INDEX('1-DATA'!$1:$1048576,IF(OR($B769="STD. DEVIATION",$C$1=1),$A769,$A769+1),COLUMN('1-DATA'!AX767)),IF($B769="STD. DEVIATION",2,$F$1))))</f>
        <v/>
      </c>
      <c r="AZ769" s="1" t="str">
        <f>IF(OR($B769="",AZ$7=""),"",IF($B769="MEANS",INDEX('1-DATA'!$1:$1048576,$A768-1,COLUMN('1-DATA'!AY767)),ROUND(INDEX('1-DATA'!$1:$1048576,IF(OR($B769="STD. DEVIATION",$C$1=1),$A769,$A769+1),COLUMN('1-DATA'!AY767)),IF($B769="STD. DEVIATION",2,$F$1))))</f>
        <v/>
      </c>
    </row>
    <row r="770" spans="1:52" x14ac:dyDescent="0.25">
      <c r="A770" s="11">
        <f t="shared" si="12"/>
        <v>2296</v>
      </c>
      <c r="B770" s="1" t="str">
        <f>IF(B769="STD. DEVIATION",INDEX('1-DATA'!$1:$1048576,$A769-1,1),IF(INDEX('1-DATA'!$1:$1048576,$A770,1)&lt;&gt;"",INDEX('1-DATA'!$1:$1048576,$A770,1),""))</f>
        <v/>
      </c>
      <c r="C770" s="1" t="str">
        <f>IF(OR($B770="",C$7=""),"",IF($B770="MEANS",INDEX('1-DATA'!$1:$1048576,$A769-1,COLUMN('1-DATA'!B768)),ROUND(INDEX('1-DATA'!$1:$1048576,IF(OR($B770="STD. DEVIATION",$C$1=1),$A770,$A770+1),COLUMN('1-DATA'!B768)),IF($B770="STD. DEVIATION",2,$F$1))))</f>
        <v/>
      </c>
      <c r="D770" s="1" t="str">
        <f>IF(OR($B770="",D$7=""),"",IF($B770="MEANS",INDEX('1-DATA'!$1:$1048576,$A769-1,COLUMN('1-DATA'!C768)),ROUND(INDEX('1-DATA'!$1:$1048576,IF(OR($B770="STD. DEVIATION",$C$1=1),$A770,$A770+1),COLUMN('1-DATA'!C768)),IF($B770="STD. DEVIATION",2,$F$1))))</f>
        <v/>
      </c>
      <c r="E770" s="1" t="str">
        <f>IF(OR($B770="",E$7=""),"",IF($B770="MEANS",INDEX('1-DATA'!$1:$1048576,$A769-1,COLUMN('1-DATA'!D768)),ROUND(INDEX('1-DATA'!$1:$1048576,IF(OR($B770="STD. DEVIATION",$C$1=1),$A770,$A770+1),COLUMN('1-DATA'!D768)),IF($B770="STD. DEVIATION",2,$F$1))))</f>
        <v/>
      </c>
      <c r="F770" s="1" t="str">
        <f>IF(OR($B770="",F$7=""),"",IF($B770="MEANS",INDEX('1-DATA'!$1:$1048576,$A769-1,COLUMN('1-DATA'!E768)),ROUND(INDEX('1-DATA'!$1:$1048576,IF(OR($B770="STD. DEVIATION",$C$1=1),$A770,$A770+1),COLUMN('1-DATA'!E768)),IF($B770="STD. DEVIATION",2,$F$1))))</f>
        <v/>
      </c>
      <c r="G770" s="1" t="str">
        <f>IF(OR($B770="",G$7=""),"",IF($B770="MEANS",INDEX('1-DATA'!$1:$1048576,$A769-1,COLUMN('1-DATA'!F768)),ROUND(INDEX('1-DATA'!$1:$1048576,IF(OR($B770="STD. DEVIATION",$C$1=1),$A770,$A770+1),COLUMN('1-DATA'!F768)),IF($B770="STD. DEVIATION",2,$F$1))))</f>
        <v/>
      </c>
      <c r="H770" s="1" t="str">
        <f>IF(OR($B770="",H$7=""),"",IF($B770="MEANS",INDEX('1-DATA'!$1:$1048576,$A769-1,COLUMN('1-DATA'!G768)),ROUND(INDEX('1-DATA'!$1:$1048576,IF(OR($B770="STD. DEVIATION",$C$1=1),$A770,$A770+1),COLUMN('1-DATA'!G768)),IF($B770="STD. DEVIATION",2,$F$1))))</f>
        <v/>
      </c>
      <c r="I770" s="1" t="str">
        <f>IF(OR($B770="",I$7=""),"",IF($B770="MEANS",INDEX('1-DATA'!$1:$1048576,$A769-1,COLUMN('1-DATA'!H768)),ROUND(INDEX('1-DATA'!$1:$1048576,IF(OR($B770="STD. DEVIATION",$C$1=1),$A770,$A770+1),COLUMN('1-DATA'!H768)),IF($B770="STD. DEVIATION",2,$F$1))))</f>
        <v/>
      </c>
      <c r="J770" s="1" t="str">
        <f>IF(OR($B770="",J$7=""),"",IF($B770="MEANS",INDEX('1-DATA'!$1:$1048576,$A769-1,COLUMN('1-DATA'!I768)),ROUND(INDEX('1-DATA'!$1:$1048576,IF(OR($B770="STD. DEVIATION",$C$1=1),$A770,$A770+1),COLUMN('1-DATA'!I768)),IF($B770="STD. DEVIATION",2,$F$1))))</f>
        <v/>
      </c>
      <c r="K770" s="1" t="str">
        <f>IF(OR($B770="",K$7=""),"",IF($B770="MEANS",INDEX('1-DATA'!$1:$1048576,$A769-1,COLUMN('1-DATA'!J768)),ROUND(INDEX('1-DATA'!$1:$1048576,IF(OR($B770="STD. DEVIATION",$C$1=1),$A770,$A770+1),COLUMN('1-DATA'!J768)),IF($B770="STD. DEVIATION",2,$F$1))))</f>
        <v/>
      </c>
      <c r="L770" s="1" t="str">
        <f>IF(OR($B770="",L$7=""),"",IF($B770="MEANS",INDEX('1-DATA'!$1:$1048576,$A769-1,COLUMN('1-DATA'!K768)),ROUND(INDEX('1-DATA'!$1:$1048576,IF(OR($B770="STD. DEVIATION",$C$1=1),$A770,$A770+1),COLUMN('1-DATA'!K768)),IF($B770="STD. DEVIATION",2,$F$1))))</f>
        <v/>
      </c>
      <c r="M770" s="1" t="str">
        <f>IF(OR($B770="",M$7=""),"",IF($B770="MEANS",INDEX('1-DATA'!$1:$1048576,$A769-1,COLUMN('1-DATA'!L768)),ROUND(INDEX('1-DATA'!$1:$1048576,IF(OR($B770="STD. DEVIATION",$C$1=1),$A770,$A770+1),COLUMN('1-DATA'!L768)),IF($B770="STD. DEVIATION",2,$F$1))))</f>
        <v/>
      </c>
      <c r="N770" s="1" t="str">
        <f>IF(OR($B770="",N$7=""),"",IF($B770="MEANS",INDEX('1-DATA'!$1:$1048576,$A769-1,COLUMN('1-DATA'!M768)),ROUND(INDEX('1-DATA'!$1:$1048576,IF(OR($B770="STD. DEVIATION",$C$1=1),$A770,$A770+1),COLUMN('1-DATA'!M768)),IF($B770="STD. DEVIATION",2,$F$1))))</f>
        <v/>
      </c>
      <c r="O770" s="1" t="str">
        <f>IF(OR($B770="",O$7=""),"",IF($B770="MEANS",INDEX('1-DATA'!$1:$1048576,$A769-1,COLUMN('1-DATA'!N768)),ROUND(INDEX('1-DATA'!$1:$1048576,IF(OR($B770="STD. DEVIATION",$C$1=1),$A770,$A770+1),COLUMN('1-DATA'!N768)),IF($B770="STD. DEVIATION",2,$F$1))))</f>
        <v/>
      </c>
      <c r="P770" s="1" t="str">
        <f>IF(OR($B770="",P$7=""),"",IF($B770="MEANS",INDEX('1-DATA'!$1:$1048576,$A769-1,COLUMN('1-DATA'!O768)),ROUND(INDEX('1-DATA'!$1:$1048576,IF(OR($B770="STD. DEVIATION",$C$1=1),$A770,$A770+1),COLUMN('1-DATA'!O768)),IF($B770="STD. DEVIATION",2,$F$1))))</f>
        <v/>
      </c>
      <c r="Q770" s="1" t="str">
        <f>IF(OR($B770="",Q$7=""),"",IF($B770="MEANS",INDEX('1-DATA'!$1:$1048576,$A769-1,COLUMN('1-DATA'!P768)),ROUND(INDEX('1-DATA'!$1:$1048576,IF(OR($B770="STD. DEVIATION",$C$1=1),$A770,$A770+1),COLUMN('1-DATA'!P768)),IF($B770="STD. DEVIATION",2,$F$1))))</f>
        <v/>
      </c>
      <c r="R770" s="1" t="str">
        <f>IF(OR($B770="",R$7=""),"",IF($B770="MEANS",INDEX('1-DATA'!$1:$1048576,$A769-1,COLUMN('1-DATA'!Q768)),ROUND(INDEX('1-DATA'!$1:$1048576,IF(OR($B770="STD. DEVIATION",$C$1=1),$A770,$A770+1),COLUMN('1-DATA'!Q768)),IF($B770="STD. DEVIATION",2,$F$1))))</f>
        <v/>
      </c>
      <c r="S770" s="1" t="str">
        <f>IF(OR($B770="",S$7=""),"",IF($B770="MEANS",INDEX('1-DATA'!$1:$1048576,$A769-1,COLUMN('1-DATA'!R768)),ROUND(INDEX('1-DATA'!$1:$1048576,IF(OR($B770="STD. DEVIATION",$C$1=1),$A770,$A770+1),COLUMN('1-DATA'!R768)),IF($B770="STD. DEVIATION",2,$F$1))))</f>
        <v/>
      </c>
      <c r="T770" s="1" t="str">
        <f>IF(OR($B770="",T$7=""),"",IF($B770="MEANS",INDEX('1-DATA'!$1:$1048576,$A769-1,COLUMN('1-DATA'!S768)),ROUND(INDEX('1-DATA'!$1:$1048576,IF(OR($B770="STD. DEVIATION",$C$1=1),$A770,$A770+1),COLUMN('1-DATA'!S768)),IF($B770="STD. DEVIATION",2,$F$1))))</f>
        <v/>
      </c>
      <c r="U770" s="1" t="str">
        <f>IF(OR($B770="",U$7=""),"",IF($B770="MEANS",INDEX('1-DATA'!$1:$1048576,$A769-1,COLUMN('1-DATA'!T768)),ROUND(INDEX('1-DATA'!$1:$1048576,IF(OR($B770="STD. DEVIATION",$C$1=1),$A770,$A770+1),COLUMN('1-DATA'!T768)),IF($B770="STD. DEVIATION",2,$F$1))))</f>
        <v/>
      </c>
      <c r="V770" s="1" t="str">
        <f>IF(OR($B770="",V$7=""),"",IF($B770="MEANS",INDEX('1-DATA'!$1:$1048576,$A769-1,COLUMN('1-DATA'!U768)),ROUND(INDEX('1-DATA'!$1:$1048576,IF(OR($B770="STD. DEVIATION",$C$1=1),$A770,$A770+1),COLUMN('1-DATA'!U768)),IF($B770="STD. DEVIATION",2,$F$1))))</f>
        <v/>
      </c>
      <c r="W770" s="1" t="str">
        <f>IF(OR($B770="",W$7=""),"",IF($B770="MEANS",INDEX('1-DATA'!$1:$1048576,$A769-1,COLUMN('1-DATA'!V768)),ROUND(INDEX('1-DATA'!$1:$1048576,IF(OR($B770="STD. DEVIATION",$C$1=1),$A770,$A770+1),COLUMN('1-DATA'!V768)),IF($B770="STD. DEVIATION",2,$F$1))))</f>
        <v/>
      </c>
      <c r="X770" s="1" t="str">
        <f>IF(OR($B770="",X$7=""),"",IF($B770="MEANS",INDEX('1-DATA'!$1:$1048576,$A769-1,COLUMN('1-DATA'!W768)),ROUND(INDEX('1-DATA'!$1:$1048576,IF(OR($B770="STD. DEVIATION",$C$1=1),$A770,$A770+1),COLUMN('1-DATA'!W768)),IF($B770="STD. DEVIATION",2,$F$1))))</f>
        <v/>
      </c>
      <c r="Y770" s="1" t="str">
        <f>IF(OR($B770="",Y$7=""),"",IF($B770="MEANS",INDEX('1-DATA'!$1:$1048576,$A769-1,COLUMN('1-DATA'!X768)),ROUND(INDEX('1-DATA'!$1:$1048576,IF(OR($B770="STD. DEVIATION",$C$1=1),$A770,$A770+1),COLUMN('1-DATA'!X768)),IF($B770="STD. DEVIATION",2,$F$1))))</f>
        <v/>
      </c>
      <c r="Z770" s="1" t="str">
        <f>IF(OR($B770="",Z$7=""),"",IF($B770="MEANS",INDEX('1-DATA'!$1:$1048576,$A769-1,COLUMN('1-DATA'!Y768)),ROUND(INDEX('1-DATA'!$1:$1048576,IF(OR($B770="STD. DEVIATION",$C$1=1),$A770,$A770+1),COLUMN('1-DATA'!Y768)),IF($B770="STD. DEVIATION",2,$F$1))))</f>
        <v/>
      </c>
      <c r="AA770" s="1" t="str">
        <f>IF(OR($B770="",AA$7=""),"",IF($B770="MEANS",INDEX('1-DATA'!$1:$1048576,$A769-1,COLUMN('1-DATA'!Z768)),ROUND(INDEX('1-DATA'!$1:$1048576,IF(OR($B770="STD. DEVIATION",$C$1=1),$A770,$A770+1),COLUMN('1-DATA'!Z768)),IF($B770="STD. DEVIATION",2,$F$1))))</f>
        <v/>
      </c>
      <c r="AB770" s="1" t="str">
        <f>IF(OR($B770="",AB$7=""),"",IF($B770="MEANS",INDEX('1-DATA'!$1:$1048576,$A769-1,COLUMN('1-DATA'!AA768)),ROUND(INDEX('1-DATA'!$1:$1048576,IF(OR($B770="STD. DEVIATION",$C$1=1),$A770,$A770+1),COLUMN('1-DATA'!AA768)),IF($B770="STD. DEVIATION",2,$F$1))))</f>
        <v/>
      </c>
      <c r="AC770" s="1" t="str">
        <f>IF(OR($B770="",AC$7=""),"",IF($B770="MEANS",INDEX('1-DATA'!$1:$1048576,$A769-1,COLUMN('1-DATA'!AB768)),ROUND(INDEX('1-DATA'!$1:$1048576,IF(OR($B770="STD. DEVIATION",$C$1=1),$A770,$A770+1),COLUMN('1-DATA'!AB768)),IF($B770="STD. DEVIATION",2,$F$1))))</f>
        <v/>
      </c>
      <c r="AD770" s="1" t="str">
        <f>IF(OR($B770="",AD$7=""),"",IF($B770="MEANS",INDEX('1-DATA'!$1:$1048576,$A769-1,COLUMN('1-DATA'!AC768)),ROUND(INDEX('1-DATA'!$1:$1048576,IF(OR($B770="STD. DEVIATION",$C$1=1),$A770,$A770+1),COLUMN('1-DATA'!AC768)),IF($B770="STD. DEVIATION",2,$F$1))))</f>
        <v/>
      </c>
      <c r="AE770" s="1" t="str">
        <f>IF(OR($B770="",AE$7=""),"",IF($B770="MEANS",INDEX('1-DATA'!$1:$1048576,$A769-1,COLUMN('1-DATA'!AD768)),ROUND(INDEX('1-DATA'!$1:$1048576,IF(OR($B770="STD. DEVIATION",$C$1=1),$A770,$A770+1),COLUMN('1-DATA'!AD768)),IF($B770="STD. DEVIATION",2,$F$1))))</f>
        <v/>
      </c>
      <c r="AF770" s="1" t="str">
        <f>IF(OR($B770="",AF$7=""),"",IF($B770="MEANS",INDEX('1-DATA'!$1:$1048576,$A769-1,COLUMN('1-DATA'!AE768)),ROUND(INDEX('1-DATA'!$1:$1048576,IF(OR($B770="STD. DEVIATION",$C$1=1),$A770,$A770+1),COLUMN('1-DATA'!AE768)),IF($B770="STD. DEVIATION",2,$F$1))))</f>
        <v/>
      </c>
      <c r="AG770" s="1" t="str">
        <f>IF(OR($B770="",AG$7=""),"",IF($B770="MEANS",INDEX('1-DATA'!$1:$1048576,$A769-1,COLUMN('1-DATA'!AF768)),ROUND(INDEX('1-DATA'!$1:$1048576,IF(OR($B770="STD. DEVIATION",$C$1=1),$A770,$A770+1),COLUMN('1-DATA'!AF768)),IF($B770="STD. DEVIATION",2,$F$1))))</f>
        <v/>
      </c>
      <c r="AH770" s="1" t="str">
        <f>IF(OR($B770="",AH$7=""),"",IF($B770="MEANS",INDEX('1-DATA'!$1:$1048576,$A769-1,COLUMN('1-DATA'!AG768)),ROUND(INDEX('1-DATA'!$1:$1048576,IF(OR($B770="STD. DEVIATION",$C$1=1),$A770,$A770+1),COLUMN('1-DATA'!AG768)),IF($B770="STD. DEVIATION",2,$F$1))))</f>
        <v/>
      </c>
      <c r="AI770" s="1" t="str">
        <f>IF(OR($B770="",AI$7=""),"",IF($B770="MEANS",INDEX('1-DATA'!$1:$1048576,$A769-1,COLUMN('1-DATA'!AH768)),ROUND(INDEX('1-DATA'!$1:$1048576,IF(OR($B770="STD. DEVIATION",$C$1=1),$A770,$A770+1),COLUMN('1-DATA'!AH768)),IF($B770="STD. DEVIATION",2,$F$1))))</f>
        <v/>
      </c>
      <c r="AJ770" s="1" t="str">
        <f>IF(OR($B770="",AJ$7=""),"",IF($B770="MEANS",INDEX('1-DATA'!$1:$1048576,$A769-1,COLUMN('1-DATA'!AI768)),ROUND(INDEX('1-DATA'!$1:$1048576,IF(OR($B770="STD. DEVIATION",$C$1=1),$A770,$A770+1),COLUMN('1-DATA'!AI768)),IF($B770="STD. DEVIATION",2,$F$1))))</f>
        <v/>
      </c>
      <c r="AK770" s="1" t="str">
        <f>IF(OR($B770="",AK$7=""),"",IF($B770="MEANS",INDEX('1-DATA'!$1:$1048576,$A769-1,COLUMN('1-DATA'!AJ768)),ROUND(INDEX('1-DATA'!$1:$1048576,IF(OR($B770="STD. DEVIATION",$C$1=1),$A770,$A770+1),COLUMN('1-DATA'!AJ768)),IF($B770="STD. DEVIATION",2,$F$1))))</f>
        <v/>
      </c>
      <c r="AL770" s="1" t="str">
        <f>IF(OR($B770="",AL$7=""),"",IF($B770="MEANS",INDEX('1-DATA'!$1:$1048576,$A769-1,COLUMN('1-DATA'!AK768)),ROUND(INDEX('1-DATA'!$1:$1048576,IF(OR($B770="STD. DEVIATION",$C$1=1),$A770,$A770+1),COLUMN('1-DATA'!AK768)),IF($B770="STD. DEVIATION",2,$F$1))))</f>
        <v/>
      </c>
      <c r="AM770" s="1" t="str">
        <f>IF(OR($B770="",AM$7=""),"",IF($B770="MEANS",INDEX('1-DATA'!$1:$1048576,$A769-1,COLUMN('1-DATA'!AL768)),ROUND(INDEX('1-DATA'!$1:$1048576,IF(OR($B770="STD. DEVIATION",$C$1=1),$A770,$A770+1),COLUMN('1-DATA'!AL768)),IF($B770="STD. DEVIATION",2,$F$1))))</f>
        <v/>
      </c>
      <c r="AN770" s="1" t="str">
        <f>IF(OR($B770="",AN$7=""),"",IF($B770="MEANS",INDEX('1-DATA'!$1:$1048576,$A769-1,COLUMN('1-DATA'!AM768)),ROUND(INDEX('1-DATA'!$1:$1048576,IF(OR($B770="STD. DEVIATION",$C$1=1),$A770,$A770+1),COLUMN('1-DATA'!AM768)),IF($B770="STD. DEVIATION",2,$F$1))))</f>
        <v/>
      </c>
      <c r="AO770" s="1" t="str">
        <f>IF(OR($B770="",AO$7=""),"",IF($B770="MEANS",INDEX('1-DATA'!$1:$1048576,$A769-1,COLUMN('1-DATA'!AN768)),ROUND(INDEX('1-DATA'!$1:$1048576,IF(OR($B770="STD. DEVIATION",$C$1=1),$A770,$A770+1),COLUMN('1-DATA'!AN768)),IF($B770="STD. DEVIATION",2,$F$1))))</f>
        <v/>
      </c>
      <c r="AP770" s="1" t="str">
        <f>IF(OR($B770="",AP$7=""),"",IF($B770="MEANS",INDEX('1-DATA'!$1:$1048576,$A769-1,COLUMN('1-DATA'!AO768)),ROUND(INDEX('1-DATA'!$1:$1048576,IF(OR($B770="STD. DEVIATION",$C$1=1),$A770,$A770+1),COLUMN('1-DATA'!AO768)),IF($B770="STD. DEVIATION",2,$F$1))))</f>
        <v/>
      </c>
      <c r="AQ770" s="1" t="str">
        <f>IF(OR($B770="",AQ$7=""),"",IF($B770="MEANS",INDEX('1-DATA'!$1:$1048576,$A769-1,COLUMN('1-DATA'!AP768)),ROUND(INDEX('1-DATA'!$1:$1048576,IF(OR($B770="STD. DEVIATION",$C$1=1),$A770,$A770+1),COLUMN('1-DATA'!AP768)),IF($B770="STD. DEVIATION",2,$F$1))))</f>
        <v/>
      </c>
      <c r="AR770" s="1" t="str">
        <f>IF(OR($B770="",AR$7=""),"",IF($B770="MEANS",INDEX('1-DATA'!$1:$1048576,$A769-1,COLUMN('1-DATA'!AQ768)),ROUND(INDEX('1-DATA'!$1:$1048576,IF(OR($B770="STD. DEVIATION",$C$1=1),$A770,$A770+1),COLUMN('1-DATA'!AQ768)),IF($B770="STD. DEVIATION",2,$F$1))))</f>
        <v/>
      </c>
      <c r="AS770" s="1" t="str">
        <f>IF(OR($B770="",AS$7=""),"",IF($B770="MEANS",INDEX('1-DATA'!$1:$1048576,$A769-1,COLUMN('1-DATA'!AR768)),ROUND(INDEX('1-DATA'!$1:$1048576,IF(OR($B770="STD. DEVIATION",$C$1=1),$A770,$A770+1),COLUMN('1-DATA'!AR768)),IF($B770="STD. DEVIATION",2,$F$1))))</f>
        <v/>
      </c>
      <c r="AT770" s="1" t="str">
        <f>IF(OR($B770="",AT$7=""),"",IF($B770="MEANS",INDEX('1-DATA'!$1:$1048576,$A769-1,COLUMN('1-DATA'!AS768)),ROUND(INDEX('1-DATA'!$1:$1048576,IF(OR($B770="STD. DEVIATION",$C$1=1),$A770,$A770+1),COLUMN('1-DATA'!AS768)),IF($B770="STD. DEVIATION",2,$F$1))))</f>
        <v/>
      </c>
      <c r="AU770" s="1" t="str">
        <f>IF(OR($B770="",AU$7=""),"",IF($B770="MEANS",INDEX('1-DATA'!$1:$1048576,$A769-1,COLUMN('1-DATA'!AT768)),ROUND(INDEX('1-DATA'!$1:$1048576,IF(OR($B770="STD. DEVIATION",$C$1=1),$A770,$A770+1),COLUMN('1-DATA'!AT768)),IF($B770="STD. DEVIATION",2,$F$1))))</f>
        <v/>
      </c>
      <c r="AV770" s="1" t="str">
        <f>IF(OR($B770="",AV$7=""),"",IF($B770="MEANS",INDEX('1-DATA'!$1:$1048576,$A769-1,COLUMN('1-DATA'!AU768)),ROUND(INDEX('1-DATA'!$1:$1048576,IF(OR($B770="STD. DEVIATION",$C$1=1),$A770,$A770+1),COLUMN('1-DATA'!AU768)),IF($B770="STD. DEVIATION",2,$F$1))))</f>
        <v/>
      </c>
      <c r="AW770" s="1" t="str">
        <f>IF(OR($B770="",AW$7=""),"",IF($B770="MEANS",INDEX('1-DATA'!$1:$1048576,$A769-1,COLUMN('1-DATA'!AV768)),ROUND(INDEX('1-DATA'!$1:$1048576,IF(OR($B770="STD. DEVIATION",$C$1=1),$A770,$A770+1),COLUMN('1-DATA'!AV768)),IF($B770="STD. DEVIATION",2,$F$1))))</f>
        <v/>
      </c>
      <c r="AX770" s="1" t="str">
        <f>IF(OR($B770="",AX$7=""),"",IF($B770="MEANS",INDEX('1-DATA'!$1:$1048576,$A769-1,COLUMN('1-DATA'!AW768)),ROUND(INDEX('1-DATA'!$1:$1048576,IF(OR($B770="STD. DEVIATION",$C$1=1),$A770,$A770+1),COLUMN('1-DATA'!AW768)),IF($B770="STD. DEVIATION",2,$F$1))))</f>
        <v/>
      </c>
      <c r="AY770" s="1" t="str">
        <f>IF(OR($B770="",AY$7=""),"",IF($B770="MEANS",INDEX('1-DATA'!$1:$1048576,$A769-1,COLUMN('1-DATA'!AX768)),ROUND(INDEX('1-DATA'!$1:$1048576,IF(OR($B770="STD. DEVIATION",$C$1=1),$A770,$A770+1),COLUMN('1-DATA'!AX768)),IF($B770="STD. DEVIATION",2,$F$1))))</f>
        <v/>
      </c>
      <c r="AZ770" s="1" t="str">
        <f>IF(OR($B770="",AZ$7=""),"",IF($B770="MEANS",INDEX('1-DATA'!$1:$1048576,$A769-1,COLUMN('1-DATA'!AY768)),ROUND(INDEX('1-DATA'!$1:$1048576,IF(OR($B770="STD. DEVIATION",$C$1=1),$A770,$A770+1),COLUMN('1-DATA'!AY768)),IF($B770="STD. DEVIATION",2,$F$1))))</f>
        <v/>
      </c>
    </row>
    <row r="771" spans="1:52" x14ac:dyDescent="0.25">
      <c r="A771" s="11">
        <f t="shared" si="12"/>
        <v>2299</v>
      </c>
      <c r="B771" s="1" t="str">
        <f>IF(B770="STD. DEVIATION",INDEX('1-DATA'!$1:$1048576,$A770-1,1),IF(INDEX('1-DATA'!$1:$1048576,$A771,1)&lt;&gt;"",INDEX('1-DATA'!$1:$1048576,$A771,1),""))</f>
        <v/>
      </c>
      <c r="C771" s="1" t="str">
        <f>IF(OR($B771="",C$7=""),"",IF($B771="MEANS",INDEX('1-DATA'!$1:$1048576,$A770-1,COLUMN('1-DATA'!B769)),ROUND(INDEX('1-DATA'!$1:$1048576,IF(OR($B771="STD. DEVIATION",$C$1=1),$A771,$A771+1),COLUMN('1-DATA'!B769)),IF($B771="STD. DEVIATION",2,$F$1))))</f>
        <v/>
      </c>
      <c r="D771" s="1" t="str">
        <f>IF(OR($B771="",D$7=""),"",IF($B771="MEANS",INDEX('1-DATA'!$1:$1048576,$A770-1,COLUMN('1-DATA'!C769)),ROUND(INDEX('1-DATA'!$1:$1048576,IF(OR($B771="STD. DEVIATION",$C$1=1),$A771,$A771+1),COLUMN('1-DATA'!C769)),IF($B771="STD. DEVIATION",2,$F$1))))</f>
        <v/>
      </c>
      <c r="E771" s="1" t="str">
        <f>IF(OR($B771="",E$7=""),"",IF($B771="MEANS",INDEX('1-DATA'!$1:$1048576,$A770-1,COLUMN('1-DATA'!D769)),ROUND(INDEX('1-DATA'!$1:$1048576,IF(OR($B771="STD. DEVIATION",$C$1=1),$A771,$A771+1),COLUMN('1-DATA'!D769)),IF($B771="STD. DEVIATION",2,$F$1))))</f>
        <v/>
      </c>
      <c r="F771" s="1" t="str">
        <f>IF(OR($B771="",F$7=""),"",IF($B771="MEANS",INDEX('1-DATA'!$1:$1048576,$A770-1,COLUMN('1-DATA'!E769)),ROUND(INDEX('1-DATA'!$1:$1048576,IF(OR($B771="STD. DEVIATION",$C$1=1),$A771,$A771+1),COLUMN('1-DATA'!E769)),IF($B771="STD. DEVIATION",2,$F$1))))</f>
        <v/>
      </c>
      <c r="G771" s="1" t="str">
        <f>IF(OR($B771="",G$7=""),"",IF($B771="MEANS",INDEX('1-DATA'!$1:$1048576,$A770-1,COLUMN('1-DATA'!F769)),ROUND(INDEX('1-DATA'!$1:$1048576,IF(OR($B771="STD. DEVIATION",$C$1=1),$A771,$A771+1),COLUMN('1-DATA'!F769)),IF($B771="STD. DEVIATION",2,$F$1))))</f>
        <v/>
      </c>
      <c r="H771" s="1" t="str">
        <f>IF(OR($B771="",H$7=""),"",IF($B771="MEANS",INDEX('1-DATA'!$1:$1048576,$A770-1,COLUMN('1-DATA'!G769)),ROUND(INDEX('1-DATA'!$1:$1048576,IF(OR($B771="STD. DEVIATION",$C$1=1),$A771,$A771+1),COLUMN('1-DATA'!G769)),IF($B771="STD. DEVIATION",2,$F$1))))</f>
        <v/>
      </c>
      <c r="I771" s="1" t="str">
        <f>IF(OR($B771="",I$7=""),"",IF($B771="MEANS",INDEX('1-DATA'!$1:$1048576,$A770-1,COLUMN('1-DATA'!H769)),ROUND(INDEX('1-DATA'!$1:$1048576,IF(OR($B771="STD. DEVIATION",$C$1=1),$A771,$A771+1),COLUMN('1-DATA'!H769)),IF($B771="STD. DEVIATION",2,$F$1))))</f>
        <v/>
      </c>
      <c r="J771" s="1" t="str">
        <f>IF(OR($B771="",J$7=""),"",IF($B771="MEANS",INDEX('1-DATA'!$1:$1048576,$A770-1,COLUMN('1-DATA'!I769)),ROUND(INDEX('1-DATA'!$1:$1048576,IF(OR($B771="STD. DEVIATION",$C$1=1),$A771,$A771+1),COLUMN('1-DATA'!I769)),IF($B771="STD. DEVIATION",2,$F$1))))</f>
        <v/>
      </c>
      <c r="K771" s="1" t="str">
        <f>IF(OR($B771="",K$7=""),"",IF($B771="MEANS",INDEX('1-DATA'!$1:$1048576,$A770-1,COLUMN('1-DATA'!J769)),ROUND(INDEX('1-DATA'!$1:$1048576,IF(OR($B771="STD. DEVIATION",$C$1=1),$A771,$A771+1),COLUMN('1-DATA'!J769)),IF($B771="STD. DEVIATION",2,$F$1))))</f>
        <v/>
      </c>
      <c r="L771" s="1" t="str">
        <f>IF(OR($B771="",L$7=""),"",IF($B771="MEANS",INDEX('1-DATA'!$1:$1048576,$A770-1,COLUMN('1-DATA'!K769)),ROUND(INDEX('1-DATA'!$1:$1048576,IF(OR($B771="STD. DEVIATION",$C$1=1),$A771,$A771+1),COLUMN('1-DATA'!K769)),IF($B771="STD. DEVIATION",2,$F$1))))</f>
        <v/>
      </c>
      <c r="M771" s="1" t="str">
        <f>IF(OR($B771="",M$7=""),"",IF($B771="MEANS",INDEX('1-DATA'!$1:$1048576,$A770-1,COLUMN('1-DATA'!L769)),ROUND(INDEX('1-DATA'!$1:$1048576,IF(OR($B771="STD. DEVIATION",$C$1=1),$A771,$A771+1),COLUMN('1-DATA'!L769)),IF($B771="STD. DEVIATION",2,$F$1))))</f>
        <v/>
      </c>
      <c r="N771" s="1" t="str">
        <f>IF(OR($B771="",N$7=""),"",IF($B771="MEANS",INDEX('1-DATA'!$1:$1048576,$A770-1,COLUMN('1-DATA'!M769)),ROUND(INDEX('1-DATA'!$1:$1048576,IF(OR($B771="STD. DEVIATION",$C$1=1),$A771,$A771+1),COLUMN('1-DATA'!M769)),IF($B771="STD. DEVIATION",2,$F$1))))</f>
        <v/>
      </c>
      <c r="O771" s="1" t="str">
        <f>IF(OR($B771="",O$7=""),"",IF($B771="MEANS",INDEX('1-DATA'!$1:$1048576,$A770-1,COLUMN('1-DATA'!N769)),ROUND(INDEX('1-DATA'!$1:$1048576,IF(OR($B771="STD. DEVIATION",$C$1=1),$A771,$A771+1),COLUMN('1-DATA'!N769)),IF($B771="STD. DEVIATION",2,$F$1))))</f>
        <v/>
      </c>
      <c r="P771" s="1" t="str">
        <f>IF(OR($B771="",P$7=""),"",IF($B771="MEANS",INDEX('1-DATA'!$1:$1048576,$A770-1,COLUMN('1-DATA'!O769)),ROUND(INDEX('1-DATA'!$1:$1048576,IF(OR($B771="STD. DEVIATION",$C$1=1),$A771,$A771+1),COLUMN('1-DATA'!O769)),IF($B771="STD. DEVIATION",2,$F$1))))</f>
        <v/>
      </c>
      <c r="Q771" s="1" t="str">
        <f>IF(OR($B771="",Q$7=""),"",IF($B771="MEANS",INDEX('1-DATA'!$1:$1048576,$A770-1,COLUMN('1-DATA'!P769)),ROUND(INDEX('1-DATA'!$1:$1048576,IF(OR($B771="STD. DEVIATION",$C$1=1),$A771,$A771+1),COLUMN('1-DATA'!P769)),IF($B771="STD. DEVIATION",2,$F$1))))</f>
        <v/>
      </c>
      <c r="R771" s="1" t="str">
        <f>IF(OR($B771="",R$7=""),"",IF($B771="MEANS",INDEX('1-DATA'!$1:$1048576,$A770-1,COLUMN('1-DATA'!Q769)),ROUND(INDEX('1-DATA'!$1:$1048576,IF(OR($B771="STD. DEVIATION",$C$1=1),$A771,$A771+1),COLUMN('1-DATA'!Q769)),IF($B771="STD. DEVIATION",2,$F$1))))</f>
        <v/>
      </c>
      <c r="S771" s="1" t="str">
        <f>IF(OR($B771="",S$7=""),"",IF($B771="MEANS",INDEX('1-DATA'!$1:$1048576,$A770-1,COLUMN('1-DATA'!R769)),ROUND(INDEX('1-DATA'!$1:$1048576,IF(OR($B771="STD. DEVIATION",$C$1=1),$A771,$A771+1),COLUMN('1-DATA'!R769)),IF($B771="STD. DEVIATION",2,$F$1))))</f>
        <v/>
      </c>
      <c r="T771" s="1" t="str">
        <f>IF(OR($B771="",T$7=""),"",IF($B771="MEANS",INDEX('1-DATA'!$1:$1048576,$A770-1,COLUMN('1-DATA'!S769)),ROUND(INDEX('1-DATA'!$1:$1048576,IF(OR($B771="STD. DEVIATION",$C$1=1),$A771,$A771+1),COLUMN('1-DATA'!S769)),IF($B771="STD. DEVIATION",2,$F$1))))</f>
        <v/>
      </c>
      <c r="U771" s="1" t="str">
        <f>IF(OR($B771="",U$7=""),"",IF($B771="MEANS",INDEX('1-DATA'!$1:$1048576,$A770-1,COLUMN('1-DATA'!T769)),ROUND(INDEX('1-DATA'!$1:$1048576,IF(OR($B771="STD. DEVIATION",$C$1=1),$A771,$A771+1),COLUMN('1-DATA'!T769)),IF($B771="STD. DEVIATION",2,$F$1))))</f>
        <v/>
      </c>
      <c r="V771" s="1" t="str">
        <f>IF(OR($B771="",V$7=""),"",IF($B771="MEANS",INDEX('1-DATA'!$1:$1048576,$A770-1,COLUMN('1-DATA'!U769)),ROUND(INDEX('1-DATA'!$1:$1048576,IF(OR($B771="STD. DEVIATION",$C$1=1),$A771,$A771+1),COLUMN('1-DATA'!U769)),IF($B771="STD. DEVIATION",2,$F$1))))</f>
        <v/>
      </c>
      <c r="W771" s="1" t="str">
        <f>IF(OR($B771="",W$7=""),"",IF($B771="MEANS",INDEX('1-DATA'!$1:$1048576,$A770-1,COLUMN('1-DATA'!V769)),ROUND(INDEX('1-DATA'!$1:$1048576,IF(OR($B771="STD. DEVIATION",$C$1=1),$A771,$A771+1),COLUMN('1-DATA'!V769)),IF($B771="STD. DEVIATION",2,$F$1))))</f>
        <v/>
      </c>
      <c r="X771" s="1" t="str">
        <f>IF(OR($B771="",X$7=""),"",IF($B771="MEANS",INDEX('1-DATA'!$1:$1048576,$A770-1,COLUMN('1-DATA'!W769)),ROUND(INDEX('1-DATA'!$1:$1048576,IF(OR($B771="STD. DEVIATION",$C$1=1),$A771,$A771+1),COLUMN('1-DATA'!W769)),IF($B771="STD. DEVIATION",2,$F$1))))</f>
        <v/>
      </c>
      <c r="Y771" s="1" t="str">
        <f>IF(OR($B771="",Y$7=""),"",IF($B771="MEANS",INDEX('1-DATA'!$1:$1048576,$A770-1,COLUMN('1-DATA'!X769)),ROUND(INDEX('1-DATA'!$1:$1048576,IF(OR($B771="STD. DEVIATION",$C$1=1),$A771,$A771+1),COLUMN('1-DATA'!X769)),IF($B771="STD. DEVIATION",2,$F$1))))</f>
        <v/>
      </c>
      <c r="Z771" s="1" t="str">
        <f>IF(OR($B771="",Z$7=""),"",IF($B771="MEANS",INDEX('1-DATA'!$1:$1048576,$A770-1,COLUMN('1-DATA'!Y769)),ROUND(INDEX('1-DATA'!$1:$1048576,IF(OR($B771="STD. DEVIATION",$C$1=1),$A771,$A771+1),COLUMN('1-DATA'!Y769)),IF($B771="STD. DEVIATION",2,$F$1))))</f>
        <v/>
      </c>
      <c r="AA771" s="1" t="str">
        <f>IF(OR($B771="",AA$7=""),"",IF($B771="MEANS",INDEX('1-DATA'!$1:$1048576,$A770-1,COLUMN('1-DATA'!Z769)),ROUND(INDEX('1-DATA'!$1:$1048576,IF(OR($B771="STD. DEVIATION",$C$1=1),$A771,$A771+1),COLUMN('1-DATA'!Z769)),IF($B771="STD. DEVIATION",2,$F$1))))</f>
        <v/>
      </c>
      <c r="AB771" s="1" t="str">
        <f>IF(OR($B771="",AB$7=""),"",IF($B771="MEANS",INDEX('1-DATA'!$1:$1048576,$A770-1,COLUMN('1-DATA'!AA769)),ROUND(INDEX('1-DATA'!$1:$1048576,IF(OR($B771="STD. DEVIATION",$C$1=1),$A771,$A771+1),COLUMN('1-DATA'!AA769)),IF($B771="STD. DEVIATION",2,$F$1))))</f>
        <v/>
      </c>
      <c r="AC771" s="1" t="str">
        <f>IF(OR($B771="",AC$7=""),"",IF($B771="MEANS",INDEX('1-DATA'!$1:$1048576,$A770-1,COLUMN('1-DATA'!AB769)),ROUND(INDEX('1-DATA'!$1:$1048576,IF(OR($B771="STD. DEVIATION",$C$1=1),$A771,$A771+1),COLUMN('1-DATA'!AB769)),IF($B771="STD. DEVIATION",2,$F$1))))</f>
        <v/>
      </c>
      <c r="AD771" s="1" t="str">
        <f>IF(OR($B771="",AD$7=""),"",IF($B771="MEANS",INDEX('1-DATA'!$1:$1048576,$A770-1,COLUMN('1-DATA'!AC769)),ROUND(INDEX('1-DATA'!$1:$1048576,IF(OR($B771="STD. DEVIATION",$C$1=1),$A771,$A771+1),COLUMN('1-DATA'!AC769)),IF($B771="STD. DEVIATION",2,$F$1))))</f>
        <v/>
      </c>
      <c r="AE771" s="1" t="str">
        <f>IF(OR($B771="",AE$7=""),"",IF($B771="MEANS",INDEX('1-DATA'!$1:$1048576,$A770-1,COLUMN('1-DATA'!AD769)),ROUND(INDEX('1-DATA'!$1:$1048576,IF(OR($B771="STD. DEVIATION",$C$1=1),$A771,$A771+1),COLUMN('1-DATA'!AD769)),IF($B771="STD. DEVIATION",2,$F$1))))</f>
        <v/>
      </c>
      <c r="AF771" s="1" t="str">
        <f>IF(OR($B771="",AF$7=""),"",IF($B771="MEANS",INDEX('1-DATA'!$1:$1048576,$A770-1,COLUMN('1-DATA'!AE769)),ROUND(INDEX('1-DATA'!$1:$1048576,IF(OR($B771="STD. DEVIATION",$C$1=1),$A771,$A771+1),COLUMN('1-DATA'!AE769)),IF($B771="STD. DEVIATION",2,$F$1))))</f>
        <v/>
      </c>
      <c r="AG771" s="1" t="str">
        <f>IF(OR($B771="",AG$7=""),"",IF($B771="MEANS",INDEX('1-DATA'!$1:$1048576,$A770-1,COLUMN('1-DATA'!AF769)),ROUND(INDEX('1-DATA'!$1:$1048576,IF(OR($B771="STD. DEVIATION",$C$1=1),$A771,$A771+1),COLUMN('1-DATA'!AF769)),IF($B771="STD. DEVIATION",2,$F$1))))</f>
        <v/>
      </c>
      <c r="AH771" s="1" t="str">
        <f>IF(OR($B771="",AH$7=""),"",IF($B771="MEANS",INDEX('1-DATA'!$1:$1048576,$A770-1,COLUMN('1-DATA'!AG769)),ROUND(INDEX('1-DATA'!$1:$1048576,IF(OR($B771="STD. DEVIATION",$C$1=1),$A771,$A771+1),COLUMN('1-DATA'!AG769)),IF($B771="STD. DEVIATION",2,$F$1))))</f>
        <v/>
      </c>
      <c r="AI771" s="1" t="str">
        <f>IF(OR($B771="",AI$7=""),"",IF($B771="MEANS",INDEX('1-DATA'!$1:$1048576,$A770-1,COLUMN('1-DATA'!AH769)),ROUND(INDEX('1-DATA'!$1:$1048576,IF(OR($B771="STD. DEVIATION",$C$1=1),$A771,$A771+1),COLUMN('1-DATA'!AH769)),IF($B771="STD. DEVIATION",2,$F$1))))</f>
        <v/>
      </c>
      <c r="AJ771" s="1" t="str">
        <f>IF(OR($B771="",AJ$7=""),"",IF($B771="MEANS",INDEX('1-DATA'!$1:$1048576,$A770-1,COLUMN('1-DATA'!AI769)),ROUND(INDEX('1-DATA'!$1:$1048576,IF(OR($B771="STD. DEVIATION",$C$1=1),$A771,$A771+1),COLUMN('1-DATA'!AI769)),IF($B771="STD. DEVIATION",2,$F$1))))</f>
        <v/>
      </c>
      <c r="AK771" s="1" t="str">
        <f>IF(OR($B771="",AK$7=""),"",IF($B771="MEANS",INDEX('1-DATA'!$1:$1048576,$A770-1,COLUMN('1-DATA'!AJ769)),ROUND(INDEX('1-DATA'!$1:$1048576,IF(OR($B771="STD. DEVIATION",$C$1=1),$A771,$A771+1),COLUMN('1-DATA'!AJ769)),IF($B771="STD. DEVIATION",2,$F$1))))</f>
        <v/>
      </c>
      <c r="AL771" s="1" t="str">
        <f>IF(OR($B771="",AL$7=""),"",IF($B771="MEANS",INDEX('1-DATA'!$1:$1048576,$A770-1,COLUMN('1-DATA'!AK769)),ROUND(INDEX('1-DATA'!$1:$1048576,IF(OR($B771="STD. DEVIATION",$C$1=1),$A771,$A771+1),COLUMN('1-DATA'!AK769)),IF($B771="STD. DEVIATION",2,$F$1))))</f>
        <v/>
      </c>
      <c r="AM771" s="1" t="str">
        <f>IF(OR($B771="",AM$7=""),"",IF($B771="MEANS",INDEX('1-DATA'!$1:$1048576,$A770-1,COLUMN('1-DATA'!AL769)),ROUND(INDEX('1-DATA'!$1:$1048576,IF(OR($B771="STD. DEVIATION",$C$1=1),$A771,$A771+1),COLUMN('1-DATA'!AL769)),IF($B771="STD. DEVIATION",2,$F$1))))</f>
        <v/>
      </c>
      <c r="AN771" s="1" t="str">
        <f>IF(OR($B771="",AN$7=""),"",IF($B771="MEANS",INDEX('1-DATA'!$1:$1048576,$A770-1,COLUMN('1-DATA'!AM769)),ROUND(INDEX('1-DATA'!$1:$1048576,IF(OR($B771="STD. DEVIATION",$C$1=1),$A771,$A771+1),COLUMN('1-DATA'!AM769)),IF($B771="STD. DEVIATION",2,$F$1))))</f>
        <v/>
      </c>
      <c r="AO771" s="1" t="str">
        <f>IF(OR($B771="",AO$7=""),"",IF($B771="MEANS",INDEX('1-DATA'!$1:$1048576,$A770-1,COLUMN('1-DATA'!AN769)),ROUND(INDEX('1-DATA'!$1:$1048576,IF(OR($B771="STD. DEVIATION",$C$1=1),$A771,$A771+1),COLUMN('1-DATA'!AN769)),IF($B771="STD. DEVIATION",2,$F$1))))</f>
        <v/>
      </c>
      <c r="AP771" s="1" t="str">
        <f>IF(OR($B771="",AP$7=""),"",IF($B771="MEANS",INDEX('1-DATA'!$1:$1048576,$A770-1,COLUMN('1-DATA'!AO769)),ROUND(INDEX('1-DATA'!$1:$1048576,IF(OR($B771="STD. DEVIATION",$C$1=1),$A771,$A771+1),COLUMN('1-DATA'!AO769)),IF($B771="STD. DEVIATION",2,$F$1))))</f>
        <v/>
      </c>
      <c r="AQ771" s="1" t="str">
        <f>IF(OR($B771="",AQ$7=""),"",IF($B771="MEANS",INDEX('1-DATA'!$1:$1048576,$A770-1,COLUMN('1-DATA'!AP769)),ROUND(INDEX('1-DATA'!$1:$1048576,IF(OR($B771="STD. DEVIATION",$C$1=1),$A771,$A771+1),COLUMN('1-DATA'!AP769)),IF($B771="STD. DEVIATION",2,$F$1))))</f>
        <v/>
      </c>
      <c r="AR771" s="1" t="str">
        <f>IF(OR($B771="",AR$7=""),"",IF($B771="MEANS",INDEX('1-DATA'!$1:$1048576,$A770-1,COLUMN('1-DATA'!AQ769)),ROUND(INDEX('1-DATA'!$1:$1048576,IF(OR($B771="STD. DEVIATION",$C$1=1),$A771,$A771+1),COLUMN('1-DATA'!AQ769)),IF($B771="STD. DEVIATION",2,$F$1))))</f>
        <v/>
      </c>
      <c r="AS771" s="1" t="str">
        <f>IF(OR($B771="",AS$7=""),"",IF($B771="MEANS",INDEX('1-DATA'!$1:$1048576,$A770-1,COLUMN('1-DATA'!AR769)),ROUND(INDEX('1-DATA'!$1:$1048576,IF(OR($B771="STD. DEVIATION",$C$1=1),$A771,$A771+1),COLUMN('1-DATA'!AR769)),IF($B771="STD. DEVIATION",2,$F$1))))</f>
        <v/>
      </c>
      <c r="AT771" s="1" t="str">
        <f>IF(OR($B771="",AT$7=""),"",IF($B771="MEANS",INDEX('1-DATA'!$1:$1048576,$A770-1,COLUMN('1-DATA'!AS769)),ROUND(INDEX('1-DATA'!$1:$1048576,IF(OR($B771="STD. DEVIATION",$C$1=1),$A771,$A771+1),COLUMN('1-DATA'!AS769)),IF($B771="STD. DEVIATION",2,$F$1))))</f>
        <v/>
      </c>
      <c r="AU771" s="1" t="str">
        <f>IF(OR($B771="",AU$7=""),"",IF($B771="MEANS",INDEX('1-DATA'!$1:$1048576,$A770-1,COLUMN('1-DATA'!AT769)),ROUND(INDEX('1-DATA'!$1:$1048576,IF(OR($B771="STD. DEVIATION",$C$1=1),$A771,$A771+1),COLUMN('1-DATA'!AT769)),IF($B771="STD. DEVIATION",2,$F$1))))</f>
        <v/>
      </c>
      <c r="AV771" s="1" t="str">
        <f>IF(OR($B771="",AV$7=""),"",IF($B771="MEANS",INDEX('1-DATA'!$1:$1048576,$A770-1,COLUMN('1-DATA'!AU769)),ROUND(INDEX('1-DATA'!$1:$1048576,IF(OR($B771="STD. DEVIATION",$C$1=1),$A771,$A771+1),COLUMN('1-DATA'!AU769)),IF($B771="STD. DEVIATION",2,$F$1))))</f>
        <v/>
      </c>
      <c r="AW771" s="1" t="str">
        <f>IF(OR($B771="",AW$7=""),"",IF($B771="MEANS",INDEX('1-DATA'!$1:$1048576,$A770-1,COLUMN('1-DATA'!AV769)),ROUND(INDEX('1-DATA'!$1:$1048576,IF(OR($B771="STD. DEVIATION",$C$1=1),$A771,$A771+1),COLUMN('1-DATA'!AV769)),IF($B771="STD. DEVIATION",2,$F$1))))</f>
        <v/>
      </c>
      <c r="AX771" s="1" t="str">
        <f>IF(OR($B771="",AX$7=""),"",IF($B771="MEANS",INDEX('1-DATA'!$1:$1048576,$A770-1,COLUMN('1-DATA'!AW769)),ROUND(INDEX('1-DATA'!$1:$1048576,IF(OR($B771="STD. DEVIATION",$C$1=1),$A771,$A771+1),COLUMN('1-DATA'!AW769)),IF($B771="STD. DEVIATION",2,$F$1))))</f>
        <v/>
      </c>
      <c r="AY771" s="1" t="str">
        <f>IF(OR($B771="",AY$7=""),"",IF($B771="MEANS",INDEX('1-DATA'!$1:$1048576,$A770-1,COLUMN('1-DATA'!AX769)),ROUND(INDEX('1-DATA'!$1:$1048576,IF(OR($B771="STD. DEVIATION",$C$1=1),$A771,$A771+1),COLUMN('1-DATA'!AX769)),IF($B771="STD. DEVIATION",2,$F$1))))</f>
        <v/>
      </c>
      <c r="AZ771" s="1" t="str">
        <f>IF(OR($B771="",AZ$7=""),"",IF($B771="MEANS",INDEX('1-DATA'!$1:$1048576,$A770-1,COLUMN('1-DATA'!AY769)),ROUND(INDEX('1-DATA'!$1:$1048576,IF(OR($B771="STD. DEVIATION",$C$1=1),$A771,$A771+1),COLUMN('1-DATA'!AY769)),IF($B771="STD. DEVIATION",2,$F$1))))</f>
        <v/>
      </c>
    </row>
    <row r="772" spans="1:52" x14ac:dyDescent="0.25">
      <c r="A772" s="11">
        <f t="shared" si="12"/>
        <v>2302</v>
      </c>
      <c r="B772" s="1" t="str">
        <f>IF(B771="STD. DEVIATION",INDEX('1-DATA'!$1:$1048576,$A771-1,1),IF(INDEX('1-DATA'!$1:$1048576,$A772,1)&lt;&gt;"",INDEX('1-DATA'!$1:$1048576,$A772,1),""))</f>
        <v/>
      </c>
      <c r="C772" s="1" t="str">
        <f>IF(OR($B772="",C$7=""),"",IF($B772="MEANS",INDEX('1-DATA'!$1:$1048576,$A771-1,COLUMN('1-DATA'!B770)),ROUND(INDEX('1-DATA'!$1:$1048576,IF(OR($B772="STD. DEVIATION",$C$1=1),$A772,$A772+1),COLUMN('1-DATA'!B770)),IF($B772="STD. DEVIATION",2,$F$1))))</f>
        <v/>
      </c>
      <c r="D772" s="1" t="str">
        <f>IF(OR($B772="",D$7=""),"",IF($B772="MEANS",INDEX('1-DATA'!$1:$1048576,$A771-1,COLUMN('1-DATA'!C770)),ROUND(INDEX('1-DATA'!$1:$1048576,IF(OR($B772="STD. DEVIATION",$C$1=1),$A772,$A772+1),COLUMN('1-DATA'!C770)),IF($B772="STD. DEVIATION",2,$F$1))))</f>
        <v/>
      </c>
      <c r="E772" s="1" t="str">
        <f>IF(OR($B772="",E$7=""),"",IF($B772="MEANS",INDEX('1-DATA'!$1:$1048576,$A771-1,COLUMN('1-DATA'!D770)),ROUND(INDEX('1-DATA'!$1:$1048576,IF(OR($B772="STD. DEVIATION",$C$1=1),$A772,$A772+1),COLUMN('1-DATA'!D770)),IF($B772="STD. DEVIATION",2,$F$1))))</f>
        <v/>
      </c>
      <c r="F772" s="1" t="str">
        <f>IF(OR($B772="",F$7=""),"",IF($B772="MEANS",INDEX('1-DATA'!$1:$1048576,$A771-1,COLUMN('1-DATA'!E770)),ROUND(INDEX('1-DATA'!$1:$1048576,IF(OR($B772="STD. DEVIATION",$C$1=1),$A772,$A772+1),COLUMN('1-DATA'!E770)),IF($B772="STD. DEVIATION",2,$F$1))))</f>
        <v/>
      </c>
      <c r="G772" s="1" t="str">
        <f>IF(OR($B772="",G$7=""),"",IF($B772="MEANS",INDEX('1-DATA'!$1:$1048576,$A771-1,COLUMN('1-DATA'!F770)),ROUND(INDEX('1-DATA'!$1:$1048576,IF(OR($B772="STD. DEVIATION",$C$1=1),$A772,$A772+1),COLUMN('1-DATA'!F770)),IF($B772="STD. DEVIATION",2,$F$1))))</f>
        <v/>
      </c>
      <c r="H772" s="1" t="str">
        <f>IF(OR($B772="",H$7=""),"",IF($B772="MEANS",INDEX('1-DATA'!$1:$1048576,$A771-1,COLUMN('1-DATA'!G770)),ROUND(INDEX('1-DATA'!$1:$1048576,IF(OR($B772="STD. DEVIATION",$C$1=1),$A772,$A772+1),COLUMN('1-DATA'!G770)),IF($B772="STD. DEVIATION",2,$F$1))))</f>
        <v/>
      </c>
      <c r="I772" s="1" t="str">
        <f>IF(OR($B772="",I$7=""),"",IF($B772="MEANS",INDEX('1-DATA'!$1:$1048576,$A771-1,COLUMN('1-DATA'!H770)),ROUND(INDEX('1-DATA'!$1:$1048576,IF(OR($B772="STD. DEVIATION",$C$1=1),$A772,$A772+1),COLUMN('1-DATA'!H770)),IF($B772="STD. DEVIATION",2,$F$1))))</f>
        <v/>
      </c>
      <c r="J772" s="1" t="str">
        <f>IF(OR($B772="",J$7=""),"",IF($B772="MEANS",INDEX('1-DATA'!$1:$1048576,$A771-1,COLUMN('1-DATA'!I770)),ROUND(INDEX('1-DATA'!$1:$1048576,IF(OR($B772="STD. DEVIATION",$C$1=1),$A772,$A772+1),COLUMN('1-DATA'!I770)),IF($B772="STD. DEVIATION",2,$F$1))))</f>
        <v/>
      </c>
      <c r="K772" s="1" t="str">
        <f>IF(OR($B772="",K$7=""),"",IF($B772="MEANS",INDEX('1-DATA'!$1:$1048576,$A771-1,COLUMN('1-DATA'!J770)),ROUND(INDEX('1-DATA'!$1:$1048576,IF(OR($B772="STD. DEVIATION",$C$1=1),$A772,$A772+1),COLUMN('1-DATA'!J770)),IF($B772="STD. DEVIATION",2,$F$1))))</f>
        <v/>
      </c>
      <c r="L772" s="1" t="str">
        <f>IF(OR($B772="",L$7=""),"",IF($B772="MEANS",INDEX('1-DATA'!$1:$1048576,$A771-1,COLUMN('1-DATA'!K770)),ROUND(INDEX('1-DATA'!$1:$1048576,IF(OR($B772="STD. DEVIATION",$C$1=1),$A772,$A772+1),COLUMN('1-DATA'!K770)),IF($B772="STD. DEVIATION",2,$F$1))))</f>
        <v/>
      </c>
      <c r="M772" s="1" t="str">
        <f>IF(OR($B772="",M$7=""),"",IF($B772="MEANS",INDEX('1-DATA'!$1:$1048576,$A771-1,COLUMN('1-DATA'!L770)),ROUND(INDEX('1-DATA'!$1:$1048576,IF(OR($B772="STD. DEVIATION",$C$1=1),$A772,$A772+1),COLUMN('1-DATA'!L770)),IF($B772="STD. DEVIATION",2,$F$1))))</f>
        <v/>
      </c>
      <c r="N772" s="1" t="str">
        <f>IF(OR($B772="",N$7=""),"",IF($B772="MEANS",INDEX('1-DATA'!$1:$1048576,$A771-1,COLUMN('1-DATA'!M770)),ROUND(INDEX('1-DATA'!$1:$1048576,IF(OR($B772="STD. DEVIATION",$C$1=1),$A772,$A772+1),COLUMN('1-DATA'!M770)),IF($B772="STD. DEVIATION",2,$F$1))))</f>
        <v/>
      </c>
      <c r="O772" s="1" t="str">
        <f>IF(OR($B772="",O$7=""),"",IF($B772="MEANS",INDEX('1-DATA'!$1:$1048576,$A771-1,COLUMN('1-DATA'!N770)),ROUND(INDEX('1-DATA'!$1:$1048576,IF(OR($B772="STD. DEVIATION",$C$1=1),$A772,$A772+1),COLUMN('1-DATA'!N770)),IF($B772="STD. DEVIATION",2,$F$1))))</f>
        <v/>
      </c>
      <c r="P772" s="1" t="str">
        <f>IF(OR($B772="",P$7=""),"",IF($B772="MEANS",INDEX('1-DATA'!$1:$1048576,$A771-1,COLUMN('1-DATA'!O770)),ROUND(INDEX('1-DATA'!$1:$1048576,IF(OR($B772="STD. DEVIATION",$C$1=1),$A772,$A772+1),COLUMN('1-DATA'!O770)),IF($B772="STD. DEVIATION",2,$F$1))))</f>
        <v/>
      </c>
      <c r="Q772" s="1" t="str">
        <f>IF(OR($B772="",Q$7=""),"",IF($B772="MEANS",INDEX('1-DATA'!$1:$1048576,$A771-1,COLUMN('1-DATA'!P770)),ROUND(INDEX('1-DATA'!$1:$1048576,IF(OR($B772="STD. DEVIATION",$C$1=1),$A772,$A772+1),COLUMN('1-DATA'!P770)),IF($B772="STD. DEVIATION",2,$F$1))))</f>
        <v/>
      </c>
      <c r="R772" s="1" t="str">
        <f>IF(OR($B772="",R$7=""),"",IF($B772="MEANS",INDEX('1-DATA'!$1:$1048576,$A771-1,COLUMN('1-DATA'!Q770)),ROUND(INDEX('1-DATA'!$1:$1048576,IF(OR($B772="STD. DEVIATION",$C$1=1),$A772,$A772+1),COLUMN('1-DATA'!Q770)),IF($B772="STD. DEVIATION",2,$F$1))))</f>
        <v/>
      </c>
      <c r="S772" s="1" t="str">
        <f>IF(OR($B772="",S$7=""),"",IF($B772="MEANS",INDEX('1-DATA'!$1:$1048576,$A771-1,COLUMN('1-DATA'!R770)),ROUND(INDEX('1-DATA'!$1:$1048576,IF(OR($B772="STD. DEVIATION",$C$1=1),$A772,$A772+1),COLUMN('1-DATA'!R770)),IF($B772="STD. DEVIATION",2,$F$1))))</f>
        <v/>
      </c>
      <c r="T772" s="1" t="str">
        <f>IF(OR($B772="",T$7=""),"",IF($B772="MEANS",INDEX('1-DATA'!$1:$1048576,$A771-1,COLUMN('1-DATA'!S770)),ROUND(INDEX('1-DATA'!$1:$1048576,IF(OR($B772="STD. DEVIATION",$C$1=1),$A772,$A772+1),COLUMN('1-DATA'!S770)),IF($B772="STD. DEVIATION",2,$F$1))))</f>
        <v/>
      </c>
      <c r="U772" s="1" t="str">
        <f>IF(OR($B772="",U$7=""),"",IF($B772="MEANS",INDEX('1-DATA'!$1:$1048576,$A771-1,COLUMN('1-DATA'!T770)),ROUND(INDEX('1-DATA'!$1:$1048576,IF(OR($B772="STD. DEVIATION",$C$1=1),$A772,$A772+1),COLUMN('1-DATA'!T770)),IF($B772="STD. DEVIATION",2,$F$1))))</f>
        <v/>
      </c>
      <c r="V772" s="1" t="str">
        <f>IF(OR($B772="",V$7=""),"",IF($B772="MEANS",INDEX('1-DATA'!$1:$1048576,$A771-1,COLUMN('1-DATA'!U770)),ROUND(INDEX('1-DATA'!$1:$1048576,IF(OR($B772="STD. DEVIATION",$C$1=1),$A772,$A772+1),COLUMN('1-DATA'!U770)),IF($B772="STD. DEVIATION",2,$F$1))))</f>
        <v/>
      </c>
      <c r="W772" s="1" t="str">
        <f>IF(OR($B772="",W$7=""),"",IF($B772="MEANS",INDEX('1-DATA'!$1:$1048576,$A771-1,COLUMN('1-DATA'!V770)),ROUND(INDEX('1-DATA'!$1:$1048576,IF(OR($B772="STD. DEVIATION",$C$1=1),$A772,$A772+1),COLUMN('1-DATA'!V770)),IF($B772="STD. DEVIATION",2,$F$1))))</f>
        <v/>
      </c>
      <c r="X772" s="1" t="str">
        <f>IF(OR($B772="",X$7=""),"",IF($B772="MEANS",INDEX('1-DATA'!$1:$1048576,$A771-1,COLUMN('1-DATA'!W770)),ROUND(INDEX('1-DATA'!$1:$1048576,IF(OR($B772="STD. DEVIATION",$C$1=1),$A772,$A772+1),COLUMN('1-DATA'!W770)),IF($B772="STD. DEVIATION",2,$F$1))))</f>
        <v/>
      </c>
      <c r="Y772" s="1" t="str">
        <f>IF(OR($B772="",Y$7=""),"",IF($B772="MEANS",INDEX('1-DATA'!$1:$1048576,$A771-1,COLUMN('1-DATA'!X770)),ROUND(INDEX('1-DATA'!$1:$1048576,IF(OR($B772="STD. DEVIATION",$C$1=1),$A772,$A772+1),COLUMN('1-DATA'!X770)),IF($B772="STD. DEVIATION",2,$F$1))))</f>
        <v/>
      </c>
      <c r="Z772" s="1" t="str">
        <f>IF(OR($B772="",Z$7=""),"",IF($B772="MEANS",INDEX('1-DATA'!$1:$1048576,$A771-1,COLUMN('1-DATA'!Y770)),ROUND(INDEX('1-DATA'!$1:$1048576,IF(OR($B772="STD. DEVIATION",$C$1=1),$A772,$A772+1),COLUMN('1-DATA'!Y770)),IF($B772="STD. DEVIATION",2,$F$1))))</f>
        <v/>
      </c>
      <c r="AA772" s="1" t="str">
        <f>IF(OR($B772="",AA$7=""),"",IF($B772="MEANS",INDEX('1-DATA'!$1:$1048576,$A771-1,COLUMN('1-DATA'!Z770)),ROUND(INDEX('1-DATA'!$1:$1048576,IF(OR($B772="STD. DEVIATION",$C$1=1),$A772,$A772+1),COLUMN('1-DATA'!Z770)),IF($B772="STD. DEVIATION",2,$F$1))))</f>
        <v/>
      </c>
      <c r="AB772" s="1" t="str">
        <f>IF(OR($B772="",AB$7=""),"",IF($B772="MEANS",INDEX('1-DATA'!$1:$1048576,$A771-1,COLUMN('1-DATA'!AA770)),ROUND(INDEX('1-DATA'!$1:$1048576,IF(OR($B772="STD. DEVIATION",$C$1=1),$A772,$A772+1),COLUMN('1-DATA'!AA770)),IF($B772="STD. DEVIATION",2,$F$1))))</f>
        <v/>
      </c>
      <c r="AC772" s="1" t="str">
        <f>IF(OR($B772="",AC$7=""),"",IF($B772="MEANS",INDEX('1-DATA'!$1:$1048576,$A771-1,COLUMN('1-DATA'!AB770)),ROUND(INDEX('1-DATA'!$1:$1048576,IF(OR($B772="STD. DEVIATION",$C$1=1),$A772,$A772+1),COLUMN('1-DATA'!AB770)),IF($B772="STD. DEVIATION",2,$F$1))))</f>
        <v/>
      </c>
      <c r="AD772" s="1" t="str">
        <f>IF(OR($B772="",AD$7=""),"",IF($B772="MEANS",INDEX('1-DATA'!$1:$1048576,$A771-1,COLUMN('1-DATA'!AC770)),ROUND(INDEX('1-DATA'!$1:$1048576,IF(OR($B772="STD. DEVIATION",$C$1=1),$A772,$A772+1),COLUMN('1-DATA'!AC770)),IF($B772="STD. DEVIATION",2,$F$1))))</f>
        <v/>
      </c>
      <c r="AE772" s="1" t="str">
        <f>IF(OR($B772="",AE$7=""),"",IF($B772="MEANS",INDEX('1-DATA'!$1:$1048576,$A771-1,COLUMN('1-DATA'!AD770)),ROUND(INDEX('1-DATA'!$1:$1048576,IF(OR($B772="STD. DEVIATION",$C$1=1),$A772,$A772+1),COLUMN('1-DATA'!AD770)),IF($B772="STD. DEVIATION",2,$F$1))))</f>
        <v/>
      </c>
      <c r="AF772" s="1" t="str">
        <f>IF(OR($B772="",AF$7=""),"",IF($B772="MEANS",INDEX('1-DATA'!$1:$1048576,$A771-1,COLUMN('1-DATA'!AE770)),ROUND(INDEX('1-DATA'!$1:$1048576,IF(OR($B772="STD. DEVIATION",$C$1=1),$A772,$A772+1),COLUMN('1-DATA'!AE770)),IF($B772="STD. DEVIATION",2,$F$1))))</f>
        <v/>
      </c>
      <c r="AG772" s="1" t="str">
        <f>IF(OR($B772="",AG$7=""),"",IF($B772="MEANS",INDEX('1-DATA'!$1:$1048576,$A771-1,COLUMN('1-DATA'!AF770)),ROUND(INDEX('1-DATA'!$1:$1048576,IF(OR($B772="STD. DEVIATION",$C$1=1),$A772,$A772+1),COLUMN('1-DATA'!AF770)),IF($B772="STD. DEVIATION",2,$F$1))))</f>
        <v/>
      </c>
      <c r="AH772" s="1" t="str">
        <f>IF(OR($B772="",AH$7=""),"",IF($B772="MEANS",INDEX('1-DATA'!$1:$1048576,$A771-1,COLUMN('1-DATA'!AG770)),ROUND(INDEX('1-DATA'!$1:$1048576,IF(OR($B772="STD. DEVIATION",$C$1=1),$A772,$A772+1),COLUMN('1-DATA'!AG770)),IF($B772="STD. DEVIATION",2,$F$1))))</f>
        <v/>
      </c>
      <c r="AI772" s="1" t="str">
        <f>IF(OR($B772="",AI$7=""),"",IF($B772="MEANS",INDEX('1-DATA'!$1:$1048576,$A771-1,COLUMN('1-DATA'!AH770)),ROUND(INDEX('1-DATA'!$1:$1048576,IF(OR($B772="STD. DEVIATION",$C$1=1),$A772,$A772+1),COLUMN('1-DATA'!AH770)),IF($B772="STD. DEVIATION",2,$F$1))))</f>
        <v/>
      </c>
      <c r="AJ772" s="1" t="str">
        <f>IF(OR($B772="",AJ$7=""),"",IF($B772="MEANS",INDEX('1-DATA'!$1:$1048576,$A771-1,COLUMN('1-DATA'!AI770)),ROUND(INDEX('1-DATA'!$1:$1048576,IF(OR($B772="STD. DEVIATION",$C$1=1),$A772,$A772+1),COLUMN('1-DATA'!AI770)),IF($B772="STD. DEVIATION",2,$F$1))))</f>
        <v/>
      </c>
      <c r="AK772" s="1" t="str">
        <f>IF(OR($B772="",AK$7=""),"",IF($B772="MEANS",INDEX('1-DATA'!$1:$1048576,$A771-1,COLUMN('1-DATA'!AJ770)),ROUND(INDEX('1-DATA'!$1:$1048576,IF(OR($B772="STD. DEVIATION",$C$1=1),$A772,$A772+1),COLUMN('1-DATA'!AJ770)),IF($B772="STD. DEVIATION",2,$F$1))))</f>
        <v/>
      </c>
      <c r="AL772" s="1" t="str">
        <f>IF(OR($B772="",AL$7=""),"",IF($B772="MEANS",INDEX('1-DATA'!$1:$1048576,$A771-1,COLUMN('1-DATA'!AK770)),ROUND(INDEX('1-DATA'!$1:$1048576,IF(OR($B772="STD. DEVIATION",$C$1=1),$A772,$A772+1),COLUMN('1-DATA'!AK770)),IF($B772="STD. DEVIATION",2,$F$1))))</f>
        <v/>
      </c>
      <c r="AM772" s="1" t="str">
        <f>IF(OR($B772="",AM$7=""),"",IF($B772="MEANS",INDEX('1-DATA'!$1:$1048576,$A771-1,COLUMN('1-DATA'!AL770)),ROUND(INDEX('1-DATA'!$1:$1048576,IF(OR($B772="STD. DEVIATION",$C$1=1),$A772,$A772+1),COLUMN('1-DATA'!AL770)),IF($B772="STD. DEVIATION",2,$F$1))))</f>
        <v/>
      </c>
      <c r="AN772" s="1" t="str">
        <f>IF(OR($B772="",AN$7=""),"",IF($B772="MEANS",INDEX('1-DATA'!$1:$1048576,$A771-1,COLUMN('1-DATA'!AM770)),ROUND(INDEX('1-DATA'!$1:$1048576,IF(OR($B772="STD. DEVIATION",$C$1=1),$A772,$A772+1),COLUMN('1-DATA'!AM770)),IF($B772="STD. DEVIATION",2,$F$1))))</f>
        <v/>
      </c>
      <c r="AO772" s="1" t="str">
        <f>IF(OR($B772="",AO$7=""),"",IF($B772="MEANS",INDEX('1-DATA'!$1:$1048576,$A771-1,COLUMN('1-DATA'!AN770)),ROUND(INDEX('1-DATA'!$1:$1048576,IF(OR($B772="STD. DEVIATION",$C$1=1),$A772,$A772+1),COLUMN('1-DATA'!AN770)),IF($B772="STD. DEVIATION",2,$F$1))))</f>
        <v/>
      </c>
      <c r="AP772" s="1" t="str">
        <f>IF(OR($B772="",AP$7=""),"",IF($B772="MEANS",INDEX('1-DATA'!$1:$1048576,$A771-1,COLUMN('1-DATA'!AO770)),ROUND(INDEX('1-DATA'!$1:$1048576,IF(OR($B772="STD. DEVIATION",$C$1=1),$A772,$A772+1),COLUMN('1-DATA'!AO770)),IF($B772="STD. DEVIATION",2,$F$1))))</f>
        <v/>
      </c>
      <c r="AQ772" s="1" t="str">
        <f>IF(OR($B772="",AQ$7=""),"",IF($B772="MEANS",INDEX('1-DATA'!$1:$1048576,$A771-1,COLUMN('1-DATA'!AP770)),ROUND(INDEX('1-DATA'!$1:$1048576,IF(OR($B772="STD. DEVIATION",$C$1=1),$A772,$A772+1),COLUMN('1-DATA'!AP770)),IF($B772="STD. DEVIATION",2,$F$1))))</f>
        <v/>
      </c>
      <c r="AR772" s="1" t="str">
        <f>IF(OR($B772="",AR$7=""),"",IF($B772="MEANS",INDEX('1-DATA'!$1:$1048576,$A771-1,COLUMN('1-DATA'!AQ770)),ROUND(INDEX('1-DATA'!$1:$1048576,IF(OR($B772="STD. DEVIATION",$C$1=1),$A772,$A772+1),COLUMN('1-DATA'!AQ770)),IF($B772="STD. DEVIATION",2,$F$1))))</f>
        <v/>
      </c>
      <c r="AS772" s="1" t="str">
        <f>IF(OR($B772="",AS$7=""),"",IF($B772="MEANS",INDEX('1-DATA'!$1:$1048576,$A771-1,COLUMN('1-DATA'!AR770)),ROUND(INDEX('1-DATA'!$1:$1048576,IF(OR($B772="STD. DEVIATION",$C$1=1),$A772,$A772+1),COLUMN('1-DATA'!AR770)),IF($B772="STD. DEVIATION",2,$F$1))))</f>
        <v/>
      </c>
      <c r="AT772" s="1" t="str">
        <f>IF(OR($B772="",AT$7=""),"",IF($B772="MEANS",INDEX('1-DATA'!$1:$1048576,$A771-1,COLUMN('1-DATA'!AS770)),ROUND(INDEX('1-DATA'!$1:$1048576,IF(OR($B772="STD. DEVIATION",$C$1=1),$A772,$A772+1),COLUMN('1-DATA'!AS770)),IF($B772="STD. DEVIATION",2,$F$1))))</f>
        <v/>
      </c>
      <c r="AU772" s="1" t="str">
        <f>IF(OR($B772="",AU$7=""),"",IF($B772="MEANS",INDEX('1-DATA'!$1:$1048576,$A771-1,COLUMN('1-DATA'!AT770)),ROUND(INDEX('1-DATA'!$1:$1048576,IF(OR($B772="STD. DEVIATION",$C$1=1),$A772,$A772+1),COLUMN('1-DATA'!AT770)),IF($B772="STD. DEVIATION",2,$F$1))))</f>
        <v/>
      </c>
      <c r="AV772" s="1" t="str">
        <f>IF(OR($B772="",AV$7=""),"",IF($B772="MEANS",INDEX('1-DATA'!$1:$1048576,$A771-1,COLUMN('1-DATA'!AU770)),ROUND(INDEX('1-DATA'!$1:$1048576,IF(OR($B772="STD. DEVIATION",$C$1=1),$A772,$A772+1),COLUMN('1-DATA'!AU770)),IF($B772="STD. DEVIATION",2,$F$1))))</f>
        <v/>
      </c>
      <c r="AW772" s="1" t="str">
        <f>IF(OR($B772="",AW$7=""),"",IF($B772="MEANS",INDEX('1-DATA'!$1:$1048576,$A771-1,COLUMN('1-DATA'!AV770)),ROUND(INDEX('1-DATA'!$1:$1048576,IF(OR($B772="STD. DEVIATION",$C$1=1),$A772,$A772+1),COLUMN('1-DATA'!AV770)),IF($B772="STD. DEVIATION",2,$F$1))))</f>
        <v/>
      </c>
      <c r="AX772" s="1" t="str">
        <f>IF(OR($B772="",AX$7=""),"",IF($B772="MEANS",INDEX('1-DATA'!$1:$1048576,$A771-1,COLUMN('1-DATA'!AW770)),ROUND(INDEX('1-DATA'!$1:$1048576,IF(OR($B772="STD. DEVIATION",$C$1=1),$A772,$A772+1),COLUMN('1-DATA'!AW770)),IF($B772="STD. DEVIATION",2,$F$1))))</f>
        <v/>
      </c>
      <c r="AY772" s="1" t="str">
        <f>IF(OR($B772="",AY$7=""),"",IF($B772="MEANS",INDEX('1-DATA'!$1:$1048576,$A771-1,COLUMN('1-DATA'!AX770)),ROUND(INDEX('1-DATA'!$1:$1048576,IF(OR($B772="STD. DEVIATION",$C$1=1),$A772,$A772+1),COLUMN('1-DATA'!AX770)),IF($B772="STD. DEVIATION",2,$F$1))))</f>
        <v/>
      </c>
      <c r="AZ772" s="1" t="str">
        <f>IF(OR($B772="",AZ$7=""),"",IF($B772="MEANS",INDEX('1-DATA'!$1:$1048576,$A771-1,COLUMN('1-DATA'!AY770)),ROUND(INDEX('1-DATA'!$1:$1048576,IF(OR($B772="STD. DEVIATION",$C$1=1),$A772,$A772+1),COLUMN('1-DATA'!AY770)),IF($B772="STD. DEVIATION",2,$F$1))))</f>
        <v/>
      </c>
    </row>
    <row r="773" spans="1:52" x14ac:dyDescent="0.25">
      <c r="A773" s="11">
        <f t="shared" si="12"/>
        <v>2305</v>
      </c>
      <c r="B773" s="1" t="str">
        <f>IF(B772="STD. DEVIATION",INDEX('1-DATA'!$1:$1048576,$A772-1,1),IF(INDEX('1-DATA'!$1:$1048576,$A773,1)&lt;&gt;"",INDEX('1-DATA'!$1:$1048576,$A773,1),""))</f>
        <v/>
      </c>
      <c r="C773" s="1" t="str">
        <f>IF(OR($B773="",C$7=""),"",IF($B773="MEANS",INDEX('1-DATA'!$1:$1048576,$A772-1,COLUMN('1-DATA'!B771)),ROUND(INDEX('1-DATA'!$1:$1048576,IF(OR($B773="STD. DEVIATION",$C$1=1),$A773,$A773+1),COLUMN('1-DATA'!B771)),IF($B773="STD. DEVIATION",2,$F$1))))</f>
        <v/>
      </c>
      <c r="D773" s="1" t="str">
        <f>IF(OR($B773="",D$7=""),"",IF($B773="MEANS",INDEX('1-DATA'!$1:$1048576,$A772-1,COLUMN('1-DATA'!C771)),ROUND(INDEX('1-DATA'!$1:$1048576,IF(OR($B773="STD. DEVIATION",$C$1=1),$A773,$A773+1),COLUMN('1-DATA'!C771)),IF($B773="STD. DEVIATION",2,$F$1))))</f>
        <v/>
      </c>
      <c r="E773" s="1" t="str">
        <f>IF(OR($B773="",E$7=""),"",IF($B773="MEANS",INDEX('1-DATA'!$1:$1048576,$A772-1,COLUMN('1-DATA'!D771)),ROUND(INDEX('1-DATA'!$1:$1048576,IF(OR($B773="STD. DEVIATION",$C$1=1),$A773,$A773+1),COLUMN('1-DATA'!D771)),IF($B773="STD. DEVIATION",2,$F$1))))</f>
        <v/>
      </c>
      <c r="F773" s="1" t="str">
        <f>IF(OR($B773="",F$7=""),"",IF($B773="MEANS",INDEX('1-DATA'!$1:$1048576,$A772-1,COLUMN('1-DATA'!E771)),ROUND(INDEX('1-DATA'!$1:$1048576,IF(OR($B773="STD. DEVIATION",$C$1=1),$A773,$A773+1),COLUMN('1-DATA'!E771)),IF($B773="STD. DEVIATION",2,$F$1))))</f>
        <v/>
      </c>
      <c r="G773" s="1" t="str">
        <f>IF(OR($B773="",G$7=""),"",IF($B773="MEANS",INDEX('1-DATA'!$1:$1048576,$A772-1,COLUMN('1-DATA'!F771)),ROUND(INDEX('1-DATA'!$1:$1048576,IF(OR($B773="STD. DEVIATION",$C$1=1),$A773,$A773+1),COLUMN('1-DATA'!F771)),IF($B773="STD. DEVIATION",2,$F$1))))</f>
        <v/>
      </c>
      <c r="H773" s="1" t="str">
        <f>IF(OR($B773="",H$7=""),"",IF($B773="MEANS",INDEX('1-DATA'!$1:$1048576,$A772-1,COLUMN('1-DATA'!G771)),ROUND(INDEX('1-DATA'!$1:$1048576,IF(OR($B773="STD. DEVIATION",$C$1=1),$A773,$A773+1),COLUMN('1-DATA'!G771)),IF($B773="STD. DEVIATION",2,$F$1))))</f>
        <v/>
      </c>
      <c r="I773" s="1" t="str">
        <f>IF(OR($B773="",I$7=""),"",IF($B773="MEANS",INDEX('1-DATA'!$1:$1048576,$A772-1,COLUMN('1-DATA'!H771)),ROUND(INDEX('1-DATA'!$1:$1048576,IF(OR($B773="STD. DEVIATION",$C$1=1),$A773,$A773+1),COLUMN('1-DATA'!H771)),IF($B773="STD. DEVIATION",2,$F$1))))</f>
        <v/>
      </c>
      <c r="J773" s="1" t="str">
        <f>IF(OR($B773="",J$7=""),"",IF($B773="MEANS",INDEX('1-DATA'!$1:$1048576,$A772-1,COLUMN('1-DATA'!I771)),ROUND(INDEX('1-DATA'!$1:$1048576,IF(OR($B773="STD. DEVIATION",$C$1=1),$A773,$A773+1),COLUMN('1-DATA'!I771)),IF($B773="STD. DEVIATION",2,$F$1))))</f>
        <v/>
      </c>
      <c r="K773" s="1" t="str">
        <f>IF(OR($B773="",K$7=""),"",IF($B773="MEANS",INDEX('1-DATA'!$1:$1048576,$A772-1,COLUMN('1-DATA'!J771)),ROUND(INDEX('1-DATA'!$1:$1048576,IF(OR($B773="STD. DEVIATION",$C$1=1),$A773,$A773+1),COLUMN('1-DATA'!J771)),IF($B773="STD. DEVIATION",2,$F$1))))</f>
        <v/>
      </c>
      <c r="L773" s="1" t="str">
        <f>IF(OR($B773="",L$7=""),"",IF($B773="MEANS",INDEX('1-DATA'!$1:$1048576,$A772-1,COLUMN('1-DATA'!K771)),ROUND(INDEX('1-DATA'!$1:$1048576,IF(OR($B773="STD. DEVIATION",$C$1=1),$A773,$A773+1),COLUMN('1-DATA'!K771)),IF($B773="STD. DEVIATION",2,$F$1))))</f>
        <v/>
      </c>
      <c r="M773" s="1" t="str">
        <f>IF(OR($B773="",M$7=""),"",IF($B773="MEANS",INDEX('1-DATA'!$1:$1048576,$A772-1,COLUMN('1-DATA'!L771)),ROUND(INDEX('1-DATA'!$1:$1048576,IF(OR($B773="STD. DEVIATION",$C$1=1),$A773,$A773+1),COLUMN('1-DATA'!L771)),IF($B773="STD. DEVIATION",2,$F$1))))</f>
        <v/>
      </c>
      <c r="N773" s="1" t="str">
        <f>IF(OR($B773="",N$7=""),"",IF($B773="MEANS",INDEX('1-DATA'!$1:$1048576,$A772-1,COLUMN('1-DATA'!M771)),ROUND(INDEX('1-DATA'!$1:$1048576,IF(OR($B773="STD. DEVIATION",$C$1=1),$A773,$A773+1),COLUMN('1-DATA'!M771)),IF($B773="STD. DEVIATION",2,$F$1))))</f>
        <v/>
      </c>
      <c r="O773" s="1" t="str">
        <f>IF(OR($B773="",O$7=""),"",IF($B773="MEANS",INDEX('1-DATA'!$1:$1048576,$A772-1,COLUMN('1-DATA'!N771)),ROUND(INDEX('1-DATA'!$1:$1048576,IF(OR($B773="STD. DEVIATION",$C$1=1),$A773,$A773+1),COLUMN('1-DATA'!N771)),IF($B773="STD. DEVIATION",2,$F$1))))</f>
        <v/>
      </c>
      <c r="P773" s="1" t="str">
        <f>IF(OR($B773="",P$7=""),"",IF($B773="MEANS",INDEX('1-DATA'!$1:$1048576,$A772-1,COLUMN('1-DATA'!O771)),ROUND(INDEX('1-DATA'!$1:$1048576,IF(OR($B773="STD. DEVIATION",$C$1=1),$A773,$A773+1),COLUMN('1-DATA'!O771)),IF($B773="STD. DEVIATION",2,$F$1))))</f>
        <v/>
      </c>
      <c r="Q773" s="1" t="str">
        <f>IF(OR($B773="",Q$7=""),"",IF($B773="MEANS",INDEX('1-DATA'!$1:$1048576,$A772-1,COLUMN('1-DATA'!P771)),ROUND(INDEX('1-DATA'!$1:$1048576,IF(OR($B773="STD. DEVIATION",$C$1=1),$A773,$A773+1),COLUMN('1-DATA'!P771)),IF($B773="STD. DEVIATION",2,$F$1))))</f>
        <v/>
      </c>
      <c r="R773" s="1" t="str">
        <f>IF(OR($B773="",R$7=""),"",IF($B773="MEANS",INDEX('1-DATA'!$1:$1048576,$A772-1,COLUMN('1-DATA'!Q771)),ROUND(INDEX('1-DATA'!$1:$1048576,IF(OR($B773="STD. DEVIATION",$C$1=1),$A773,$A773+1),COLUMN('1-DATA'!Q771)),IF($B773="STD. DEVIATION",2,$F$1))))</f>
        <v/>
      </c>
      <c r="S773" s="1" t="str">
        <f>IF(OR($B773="",S$7=""),"",IF($B773="MEANS",INDEX('1-DATA'!$1:$1048576,$A772-1,COLUMN('1-DATA'!R771)),ROUND(INDEX('1-DATA'!$1:$1048576,IF(OR($B773="STD. DEVIATION",$C$1=1),$A773,$A773+1),COLUMN('1-DATA'!R771)),IF($B773="STD. DEVIATION",2,$F$1))))</f>
        <v/>
      </c>
      <c r="T773" s="1" t="str">
        <f>IF(OR($B773="",T$7=""),"",IF($B773="MEANS",INDEX('1-DATA'!$1:$1048576,$A772-1,COLUMN('1-DATA'!S771)),ROUND(INDEX('1-DATA'!$1:$1048576,IF(OR($B773="STD. DEVIATION",$C$1=1),$A773,$A773+1),COLUMN('1-DATA'!S771)),IF($B773="STD. DEVIATION",2,$F$1))))</f>
        <v/>
      </c>
      <c r="U773" s="1" t="str">
        <f>IF(OR($B773="",U$7=""),"",IF($B773="MEANS",INDEX('1-DATA'!$1:$1048576,$A772-1,COLUMN('1-DATA'!T771)),ROUND(INDEX('1-DATA'!$1:$1048576,IF(OR($B773="STD. DEVIATION",$C$1=1),$A773,$A773+1),COLUMN('1-DATA'!T771)),IF($B773="STD. DEVIATION",2,$F$1))))</f>
        <v/>
      </c>
      <c r="V773" s="1" t="str">
        <f>IF(OR($B773="",V$7=""),"",IF($B773="MEANS",INDEX('1-DATA'!$1:$1048576,$A772-1,COLUMN('1-DATA'!U771)),ROUND(INDEX('1-DATA'!$1:$1048576,IF(OR($B773="STD. DEVIATION",$C$1=1),$A773,$A773+1),COLUMN('1-DATA'!U771)),IF($B773="STD. DEVIATION",2,$F$1))))</f>
        <v/>
      </c>
      <c r="W773" s="1" t="str">
        <f>IF(OR($B773="",W$7=""),"",IF($B773="MEANS",INDEX('1-DATA'!$1:$1048576,$A772-1,COLUMN('1-DATA'!V771)),ROUND(INDEX('1-DATA'!$1:$1048576,IF(OR($B773="STD. DEVIATION",$C$1=1),$A773,$A773+1),COLUMN('1-DATA'!V771)),IF($B773="STD. DEVIATION",2,$F$1))))</f>
        <v/>
      </c>
      <c r="X773" s="1" t="str">
        <f>IF(OR($B773="",X$7=""),"",IF($B773="MEANS",INDEX('1-DATA'!$1:$1048576,$A772-1,COLUMN('1-DATA'!W771)),ROUND(INDEX('1-DATA'!$1:$1048576,IF(OR($B773="STD. DEVIATION",$C$1=1),$A773,$A773+1),COLUMN('1-DATA'!W771)),IF($B773="STD. DEVIATION",2,$F$1))))</f>
        <v/>
      </c>
      <c r="Y773" s="1" t="str">
        <f>IF(OR($B773="",Y$7=""),"",IF($B773="MEANS",INDEX('1-DATA'!$1:$1048576,$A772-1,COLUMN('1-DATA'!X771)),ROUND(INDEX('1-DATA'!$1:$1048576,IF(OR($B773="STD. DEVIATION",$C$1=1),$A773,$A773+1),COLUMN('1-DATA'!X771)),IF($B773="STD. DEVIATION",2,$F$1))))</f>
        <v/>
      </c>
      <c r="Z773" s="1" t="str">
        <f>IF(OR($B773="",Z$7=""),"",IF($B773="MEANS",INDEX('1-DATA'!$1:$1048576,$A772-1,COLUMN('1-DATA'!Y771)),ROUND(INDEX('1-DATA'!$1:$1048576,IF(OR($B773="STD. DEVIATION",$C$1=1),$A773,$A773+1),COLUMN('1-DATA'!Y771)),IF($B773="STD. DEVIATION",2,$F$1))))</f>
        <v/>
      </c>
      <c r="AA773" s="1" t="str">
        <f>IF(OR($B773="",AA$7=""),"",IF($B773="MEANS",INDEX('1-DATA'!$1:$1048576,$A772-1,COLUMN('1-DATA'!Z771)),ROUND(INDEX('1-DATA'!$1:$1048576,IF(OR($B773="STD. DEVIATION",$C$1=1),$A773,$A773+1),COLUMN('1-DATA'!Z771)),IF($B773="STD. DEVIATION",2,$F$1))))</f>
        <v/>
      </c>
      <c r="AB773" s="1" t="str">
        <f>IF(OR($B773="",AB$7=""),"",IF($B773="MEANS",INDEX('1-DATA'!$1:$1048576,$A772-1,COLUMN('1-DATA'!AA771)),ROUND(INDEX('1-DATA'!$1:$1048576,IF(OR($B773="STD. DEVIATION",$C$1=1),$A773,$A773+1),COLUMN('1-DATA'!AA771)),IF($B773="STD. DEVIATION",2,$F$1))))</f>
        <v/>
      </c>
      <c r="AC773" s="1" t="str">
        <f>IF(OR($B773="",AC$7=""),"",IF($B773="MEANS",INDEX('1-DATA'!$1:$1048576,$A772-1,COLUMN('1-DATA'!AB771)),ROUND(INDEX('1-DATA'!$1:$1048576,IF(OR($B773="STD. DEVIATION",$C$1=1),$A773,$A773+1),COLUMN('1-DATA'!AB771)),IF($B773="STD. DEVIATION",2,$F$1))))</f>
        <v/>
      </c>
      <c r="AD773" s="1" t="str">
        <f>IF(OR($B773="",AD$7=""),"",IF($B773="MEANS",INDEX('1-DATA'!$1:$1048576,$A772-1,COLUMN('1-DATA'!AC771)),ROUND(INDEX('1-DATA'!$1:$1048576,IF(OR($B773="STD. DEVIATION",$C$1=1),$A773,$A773+1),COLUMN('1-DATA'!AC771)),IF($B773="STD. DEVIATION",2,$F$1))))</f>
        <v/>
      </c>
      <c r="AE773" s="1" t="str">
        <f>IF(OR($B773="",AE$7=""),"",IF($B773="MEANS",INDEX('1-DATA'!$1:$1048576,$A772-1,COLUMN('1-DATA'!AD771)),ROUND(INDEX('1-DATA'!$1:$1048576,IF(OR($B773="STD. DEVIATION",$C$1=1),$A773,$A773+1),COLUMN('1-DATA'!AD771)),IF($B773="STD. DEVIATION",2,$F$1))))</f>
        <v/>
      </c>
      <c r="AF773" s="1" t="str">
        <f>IF(OR($B773="",AF$7=""),"",IF($B773="MEANS",INDEX('1-DATA'!$1:$1048576,$A772-1,COLUMN('1-DATA'!AE771)),ROUND(INDEX('1-DATA'!$1:$1048576,IF(OR($B773="STD. DEVIATION",$C$1=1),$A773,$A773+1),COLUMN('1-DATA'!AE771)),IF($B773="STD. DEVIATION",2,$F$1))))</f>
        <v/>
      </c>
      <c r="AG773" s="1" t="str">
        <f>IF(OR($B773="",AG$7=""),"",IF($B773="MEANS",INDEX('1-DATA'!$1:$1048576,$A772-1,COLUMN('1-DATA'!AF771)),ROUND(INDEX('1-DATA'!$1:$1048576,IF(OR($B773="STD. DEVIATION",$C$1=1),$A773,$A773+1),COLUMN('1-DATA'!AF771)),IF($B773="STD. DEVIATION",2,$F$1))))</f>
        <v/>
      </c>
      <c r="AH773" s="1" t="str">
        <f>IF(OR($B773="",AH$7=""),"",IF($B773="MEANS",INDEX('1-DATA'!$1:$1048576,$A772-1,COLUMN('1-DATA'!AG771)),ROUND(INDEX('1-DATA'!$1:$1048576,IF(OR($B773="STD. DEVIATION",$C$1=1),$A773,$A773+1),COLUMN('1-DATA'!AG771)),IF($B773="STD. DEVIATION",2,$F$1))))</f>
        <v/>
      </c>
      <c r="AI773" s="1" t="str">
        <f>IF(OR($B773="",AI$7=""),"",IF($B773="MEANS",INDEX('1-DATA'!$1:$1048576,$A772-1,COLUMN('1-DATA'!AH771)),ROUND(INDEX('1-DATA'!$1:$1048576,IF(OR($B773="STD. DEVIATION",$C$1=1),$A773,$A773+1),COLUMN('1-DATA'!AH771)),IF($B773="STD. DEVIATION",2,$F$1))))</f>
        <v/>
      </c>
      <c r="AJ773" s="1" t="str">
        <f>IF(OR($B773="",AJ$7=""),"",IF($B773="MEANS",INDEX('1-DATA'!$1:$1048576,$A772-1,COLUMN('1-DATA'!AI771)),ROUND(INDEX('1-DATA'!$1:$1048576,IF(OR($B773="STD. DEVIATION",$C$1=1),$A773,$A773+1),COLUMN('1-DATA'!AI771)),IF($B773="STD. DEVIATION",2,$F$1))))</f>
        <v/>
      </c>
      <c r="AK773" s="1" t="str">
        <f>IF(OR($B773="",AK$7=""),"",IF($B773="MEANS",INDEX('1-DATA'!$1:$1048576,$A772-1,COLUMN('1-DATA'!AJ771)),ROUND(INDEX('1-DATA'!$1:$1048576,IF(OR($B773="STD. DEVIATION",$C$1=1),$A773,$A773+1),COLUMN('1-DATA'!AJ771)),IF($B773="STD. DEVIATION",2,$F$1))))</f>
        <v/>
      </c>
      <c r="AL773" s="1" t="str">
        <f>IF(OR($B773="",AL$7=""),"",IF($B773="MEANS",INDEX('1-DATA'!$1:$1048576,$A772-1,COLUMN('1-DATA'!AK771)),ROUND(INDEX('1-DATA'!$1:$1048576,IF(OR($B773="STD. DEVIATION",$C$1=1),$A773,$A773+1),COLUMN('1-DATA'!AK771)),IF($B773="STD. DEVIATION",2,$F$1))))</f>
        <v/>
      </c>
      <c r="AM773" s="1" t="str">
        <f>IF(OR($B773="",AM$7=""),"",IF($B773="MEANS",INDEX('1-DATA'!$1:$1048576,$A772-1,COLUMN('1-DATA'!AL771)),ROUND(INDEX('1-DATA'!$1:$1048576,IF(OR($B773="STD. DEVIATION",$C$1=1),$A773,$A773+1),COLUMN('1-DATA'!AL771)),IF($B773="STD. DEVIATION",2,$F$1))))</f>
        <v/>
      </c>
      <c r="AN773" s="1" t="str">
        <f>IF(OR($B773="",AN$7=""),"",IF($B773="MEANS",INDEX('1-DATA'!$1:$1048576,$A772-1,COLUMN('1-DATA'!AM771)),ROUND(INDEX('1-DATA'!$1:$1048576,IF(OR($B773="STD. DEVIATION",$C$1=1),$A773,$A773+1),COLUMN('1-DATA'!AM771)),IF($B773="STD. DEVIATION",2,$F$1))))</f>
        <v/>
      </c>
      <c r="AO773" s="1" t="str">
        <f>IF(OR($B773="",AO$7=""),"",IF($B773="MEANS",INDEX('1-DATA'!$1:$1048576,$A772-1,COLUMN('1-DATA'!AN771)),ROUND(INDEX('1-DATA'!$1:$1048576,IF(OR($B773="STD. DEVIATION",$C$1=1),$A773,$A773+1),COLUMN('1-DATA'!AN771)),IF($B773="STD. DEVIATION",2,$F$1))))</f>
        <v/>
      </c>
      <c r="AP773" s="1" t="str">
        <f>IF(OR($B773="",AP$7=""),"",IF($B773="MEANS",INDEX('1-DATA'!$1:$1048576,$A772-1,COLUMN('1-DATA'!AO771)),ROUND(INDEX('1-DATA'!$1:$1048576,IF(OR($B773="STD. DEVIATION",$C$1=1),$A773,$A773+1),COLUMN('1-DATA'!AO771)),IF($B773="STD. DEVIATION",2,$F$1))))</f>
        <v/>
      </c>
      <c r="AQ773" s="1" t="str">
        <f>IF(OR($B773="",AQ$7=""),"",IF($B773="MEANS",INDEX('1-DATA'!$1:$1048576,$A772-1,COLUMN('1-DATA'!AP771)),ROUND(INDEX('1-DATA'!$1:$1048576,IF(OR($B773="STD. DEVIATION",$C$1=1),$A773,$A773+1),COLUMN('1-DATA'!AP771)),IF($B773="STD. DEVIATION",2,$F$1))))</f>
        <v/>
      </c>
      <c r="AR773" s="1" t="str">
        <f>IF(OR($B773="",AR$7=""),"",IF($B773="MEANS",INDEX('1-DATA'!$1:$1048576,$A772-1,COLUMN('1-DATA'!AQ771)),ROUND(INDEX('1-DATA'!$1:$1048576,IF(OR($B773="STD. DEVIATION",$C$1=1),$A773,$A773+1),COLUMN('1-DATA'!AQ771)),IF($B773="STD. DEVIATION",2,$F$1))))</f>
        <v/>
      </c>
      <c r="AS773" s="1" t="str">
        <f>IF(OR($B773="",AS$7=""),"",IF($B773="MEANS",INDEX('1-DATA'!$1:$1048576,$A772-1,COLUMN('1-DATA'!AR771)),ROUND(INDEX('1-DATA'!$1:$1048576,IF(OR($B773="STD. DEVIATION",$C$1=1),$A773,$A773+1),COLUMN('1-DATA'!AR771)),IF($B773="STD. DEVIATION",2,$F$1))))</f>
        <v/>
      </c>
      <c r="AT773" s="1" t="str">
        <f>IF(OR($B773="",AT$7=""),"",IF($B773="MEANS",INDEX('1-DATA'!$1:$1048576,$A772-1,COLUMN('1-DATA'!AS771)),ROUND(INDEX('1-DATA'!$1:$1048576,IF(OR($B773="STD. DEVIATION",$C$1=1),$A773,$A773+1),COLUMN('1-DATA'!AS771)),IF($B773="STD. DEVIATION",2,$F$1))))</f>
        <v/>
      </c>
      <c r="AU773" s="1" t="str">
        <f>IF(OR($B773="",AU$7=""),"",IF($B773="MEANS",INDEX('1-DATA'!$1:$1048576,$A772-1,COLUMN('1-DATA'!AT771)),ROUND(INDEX('1-DATA'!$1:$1048576,IF(OR($B773="STD. DEVIATION",$C$1=1),$A773,$A773+1),COLUMN('1-DATA'!AT771)),IF($B773="STD. DEVIATION",2,$F$1))))</f>
        <v/>
      </c>
      <c r="AV773" s="1" t="str">
        <f>IF(OR($B773="",AV$7=""),"",IF($B773="MEANS",INDEX('1-DATA'!$1:$1048576,$A772-1,COLUMN('1-DATA'!AU771)),ROUND(INDEX('1-DATA'!$1:$1048576,IF(OR($B773="STD. DEVIATION",$C$1=1),$A773,$A773+1),COLUMN('1-DATA'!AU771)),IF($B773="STD. DEVIATION",2,$F$1))))</f>
        <v/>
      </c>
      <c r="AW773" s="1" t="str">
        <f>IF(OR($B773="",AW$7=""),"",IF($B773="MEANS",INDEX('1-DATA'!$1:$1048576,$A772-1,COLUMN('1-DATA'!AV771)),ROUND(INDEX('1-DATA'!$1:$1048576,IF(OR($B773="STD. DEVIATION",$C$1=1),$A773,$A773+1),COLUMN('1-DATA'!AV771)),IF($B773="STD. DEVIATION",2,$F$1))))</f>
        <v/>
      </c>
      <c r="AX773" s="1" t="str">
        <f>IF(OR($B773="",AX$7=""),"",IF($B773="MEANS",INDEX('1-DATA'!$1:$1048576,$A772-1,COLUMN('1-DATA'!AW771)),ROUND(INDEX('1-DATA'!$1:$1048576,IF(OR($B773="STD. DEVIATION",$C$1=1),$A773,$A773+1),COLUMN('1-DATA'!AW771)),IF($B773="STD. DEVIATION",2,$F$1))))</f>
        <v/>
      </c>
      <c r="AY773" s="1" t="str">
        <f>IF(OR($B773="",AY$7=""),"",IF($B773="MEANS",INDEX('1-DATA'!$1:$1048576,$A772-1,COLUMN('1-DATA'!AX771)),ROUND(INDEX('1-DATA'!$1:$1048576,IF(OR($B773="STD. DEVIATION",$C$1=1),$A773,$A773+1),COLUMN('1-DATA'!AX771)),IF($B773="STD. DEVIATION",2,$F$1))))</f>
        <v/>
      </c>
      <c r="AZ773" s="1" t="str">
        <f>IF(OR($B773="",AZ$7=""),"",IF($B773="MEANS",INDEX('1-DATA'!$1:$1048576,$A772-1,COLUMN('1-DATA'!AY771)),ROUND(INDEX('1-DATA'!$1:$1048576,IF(OR($B773="STD. DEVIATION",$C$1=1),$A773,$A773+1),COLUMN('1-DATA'!AY771)),IF($B773="STD. DEVIATION",2,$F$1))))</f>
        <v/>
      </c>
    </row>
    <row r="774" spans="1:52" x14ac:dyDescent="0.25">
      <c r="A774" s="11">
        <f t="shared" si="12"/>
        <v>2308</v>
      </c>
      <c r="B774" s="1" t="str">
        <f>IF(B773="STD. DEVIATION",INDEX('1-DATA'!$1:$1048576,$A773-1,1),IF(INDEX('1-DATA'!$1:$1048576,$A774,1)&lt;&gt;"",INDEX('1-DATA'!$1:$1048576,$A774,1),""))</f>
        <v/>
      </c>
      <c r="C774" s="1" t="str">
        <f>IF(OR($B774="",C$7=""),"",IF($B774="MEANS",INDEX('1-DATA'!$1:$1048576,$A773-1,COLUMN('1-DATA'!B772)),ROUND(INDEX('1-DATA'!$1:$1048576,IF(OR($B774="STD. DEVIATION",$C$1=1),$A774,$A774+1),COLUMN('1-DATA'!B772)),IF($B774="STD. DEVIATION",2,$F$1))))</f>
        <v/>
      </c>
      <c r="D774" s="1" t="str">
        <f>IF(OR($B774="",D$7=""),"",IF($B774="MEANS",INDEX('1-DATA'!$1:$1048576,$A773-1,COLUMN('1-DATA'!C772)),ROUND(INDEX('1-DATA'!$1:$1048576,IF(OR($B774="STD. DEVIATION",$C$1=1),$A774,$A774+1),COLUMN('1-DATA'!C772)),IF($B774="STD. DEVIATION",2,$F$1))))</f>
        <v/>
      </c>
      <c r="E774" s="1" t="str">
        <f>IF(OR($B774="",E$7=""),"",IF($B774="MEANS",INDEX('1-DATA'!$1:$1048576,$A773-1,COLUMN('1-DATA'!D772)),ROUND(INDEX('1-DATA'!$1:$1048576,IF(OR($B774="STD. DEVIATION",$C$1=1),$A774,$A774+1),COLUMN('1-DATA'!D772)),IF($B774="STD. DEVIATION",2,$F$1))))</f>
        <v/>
      </c>
      <c r="F774" s="1" t="str">
        <f>IF(OR($B774="",F$7=""),"",IF($B774="MEANS",INDEX('1-DATA'!$1:$1048576,$A773-1,COLUMN('1-DATA'!E772)),ROUND(INDEX('1-DATA'!$1:$1048576,IF(OR($B774="STD. DEVIATION",$C$1=1),$A774,$A774+1),COLUMN('1-DATA'!E772)),IF($B774="STD. DEVIATION",2,$F$1))))</f>
        <v/>
      </c>
      <c r="G774" s="1" t="str">
        <f>IF(OR($B774="",G$7=""),"",IF($B774="MEANS",INDEX('1-DATA'!$1:$1048576,$A773-1,COLUMN('1-DATA'!F772)),ROUND(INDEX('1-DATA'!$1:$1048576,IF(OR($B774="STD. DEVIATION",$C$1=1),$A774,$A774+1),COLUMN('1-DATA'!F772)),IF($B774="STD. DEVIATION",2,$F$1))))</f>
        <v/>
      </c>
      <c r="H774" s="1" t="str">
        <f>IF(OR($B774="",H$7=""),"",IF($B774="MEANS",INDEX('1-DATA'!$1:$1048576,$A773-1,COLUMN('1-DATA'!G772)),ROUND(INDEX('1-DATA'!$1:$1048576,IF(OR($B774="STD. DEVIATION",$C$1=1),$A774,$A774+1),COLUMN('1-DATA'!G772)),IF($B774="STD. DEVIATION",2,$F$1))))</f>
        <v/>
      </c>
      <c r="I774" s="1" t="str">
        <f>IF(OR($B774="",I$7=""),"",IF($B774="MEANS",INDEX('1-DATA'!$1:$1048576,$A773-1,COLUMN('1-DATA'!H772)),ROUND(INDEX('1-DATA'!$1:$1048576,IF(OR($B774="STD. DEVIATION",$C$1=1),$A774,$A774+1),COLUMN('1-DATA'!H772)),IF($B774="STD. DEVIATION",2,$F$1))))</f>
        <v/>
      </c>
      <c r="J774" s="1" t="str">
        <f>IF(OR($B774="",J$7=""),"",IF($B774="MEANS",INDEX('1-DATA'!$1:$1048576,$A773-1,COLUMN('1-DATA'!I772)),ROUND(INDEX('1-DATA'!$1:$1048576,IF(OR($B774="STD. DEVIATION",$C$1=1),$A774,$A774+1),COLUMN('1-DATA'!I772)),IF($B774="STD. DEVIATION",2,$F$1))))</f>
        <v/>
      </c>
      <c r="K774" s="1" t="str">
        <f>IF(OR($B774="",K$7=""),"",IF($B774="MEANS",INDEX('1-DATA'!$1:$1048576,$A773-1,COLUMN('1-DATA'!J772)),ROUND(INDEX('1-DATA'!$1:$1048576,IF(OR($B774="STD. DEVIATION",$C$1=1),$A774,$A774+1),COLUMN('1-DATA'!J772)),IF($B774="STD. DEVIATION",2,$F$1))))</f>
        <v/>
      </c>
      <c r="L774" s="1" t="str">
        <f>IF(OR($B774="",L$7=""),"",IF($B774="MEANS",INDEX('1-DATA'!$1:$1048576,$A773-1,COLUMN('1-DATA'!K772)),ROUND(INDEX('1-DATA'!$1:$1048576,IF(OR($B774="STD. DEVIATION",$C$1=1),$A774,$A774+1),COLUMN('1-DATA'!K772)),IF($B774="STD. DEVIATION",2,$F$1))))</f>
        <v/>
      </c>
      <c r="M774" s="1" t="str">
        <f>IF(OR($B774="",M$7=""),"",IF($B774="MEANS",INDEX('1-DATA'!$1:$1048576,$A773-1,COLUMN('1-DATA'!L772)),ROUND(INDEX('1-DATA'!$1:$1048576,IF(OR($B774="STD. DEVIATION",$C$1=1),$A774,$A774+1),COLUMN('1-DATA'!L772)),IF($B774="STD. DEVIATION",2,$F$1))))</f>
        <v/>
      </c>
      <c r="N774" s="1" t="str">
        <f>IF(OR($B774="",N$7=""),"",IF($B774="MEANS",INDEX('1-DATA'!$1:$1048576,$A773-1,COLUMN('1-DATA'!M772)),ROUND(INDEX('1-DATA'!$1:$1048576,IF(OR($B774="STD. DEVIATION",$C$1=1),$A774,$A774+1),COLUMN('1-DATA'!M772)),IF($B774="STD. DEVIATION",2,$F$1))))</f>
        <v/>
      </c>
      <c r="O774" s="1" t="str">
        <f>IF(OR($B774="",O$7=""),"",IF($B774="MEANS",INDEX('1-DATA'!$1:$1048576,$A773-1,COLUMN('1-DATA'!N772)),ROUND(INDEX('1-DATA'!$1:$1048576,IF(OR($B774="STD. DEVIATION",$C$1=1),$A774,$A774+1),COLUMN('1-DATA'!N772)),IF($B774="STD. DEVIATION",2,$F$1))))</f>
        <v/>
      </c>
      <c r="P774" s="1" t="str">
        <f>IF(OR($B774="",P$7=""),"",IF($B774="MEANS",INDEX('1-DATA'!$1:$1048576,$A773-1,COLUMN('1-DATA'!O772)),ROUND(INDEX('1-DATA'!$1:$1048576,IF(OR($B774="STD. DEVIATION",$C$1=1),$A774,$A774+1),COLUMN('1-DATA'!O772)),IF($B774="STD. DEVIATION",2,$F$1))))</f>
        <v/>
      </c>
      <c r="Q774" s="1" t="str">
        <f>IF(OR($B774="",Q$7=""),"",IF($B774="MEANS",INDEX('1-DATA'!$1:$1048576,$A773-1,COLUMN('1-DATA'!P772)),ROUND(INDEX('1-DATA'!$1:$1048576,IF(OR($B774="STD. DEVIATION",$C$1=1),$A774,$A774+1),COLUMN('1-DATA'!P772)),IF($B774="STD. DEVIATION",2,$F$1))))</f>
        <v/>
      </c>
      <c r="R774" s="1" t="str">
        <f>IF(OR($B774="",R$7=""),"",IF($B774="MEANS",INDEX('1-DATA'!$1:$1048576,$A773-1,COLUMN('1-DATA'!Q772)),ROUND(INDEX('1-DATA'!$1:$1048576,IF(OR($B774="STD. DEVIATION",$C$1=1),$A774,$A774+1),COLUMN('1-DATA'!Q772)),IF($B774="STD. DEVIATION",2,$F$1))))</f>
        <v/>
      </c>
      <c r="S774" s="1" t="str">
        <f>IF(OR($B774="",S$7=""),"",IF($B774="MEANS",INDEX('1-DATA'!$1:$1048576,$A773-1,COLUMN('1-DATA'!R772)),ROUND(INDEX('1-DATA'!$1:$1048576,IF(OR($B774="STD. DEVIATION",$C$1=1),$A774,$A774+1),COLUMN('1-DATA'!R772)),IF($B774="STD. DEVIATION",2,$F$1))))</f>
        <v/>
      </c>
      <c r="T774" s="1" t="str">
        <f>IF(OR($B774="",T$7=""),"",IF($B774="MEANS",INDEX('1-DATA'!$1:$1048576,$A773-1,COLUMN('1-DATA'!S772)),ROUND(INDEX('1-DATA'!$1:$1048576,IF(OR($B774="STD. DEVIATION",$C$1=1),$A774,$A774+1),COLUMN('1-DATA'!S772)),IF($B774="STD. DEVIATION",2,$F$1))))</f>
        <v/>
      </c>
      <c r="U774" s="1" t="str">
        <f>IF(OR($B774="",U$7=""),"",IF($B774="MEANS",INDEX('1-DATA'!$1:$1048576,$A773-1,COLUMN('1-DATA'!T772)),ROUND(INDEX('1-DATA'!$1:$1048576,IF(OR($B774="STD. DEVIATION",$C$1=1),$A774,$A774+1),COLUMN('1-DATA'!T772)),IF($B774="STD. DEVIATION",2,$F$1))))</f>
        <v/>
      </c>
      <c r="V774" s="1" t="str">
        <f>IF(OR($B774="",V$7=""),"",IF($B774="MEANS",INDEX('1-DATA'!$1:$1048576,$A773-1,COLUMN('1-DATA'!U772)),ROUND(INDEX('1-DATA'!$1:$1048576,IF(OR($B774="STD. DEVIATION",$C$1=1),$A774,$A774+1),COLUMN('1-DATA'!U772)),IF($B774="STD. DEVIATION",2,$F$1))))</f>
        <v/>
      </c>
      <c r="W774" s="1" t="str">
        <f>IF(OR($B774="",W$7=""),"",IF($B774="MEANS",INDEX('1-DATA'!$1:$1048576,$A773-1,COLUMN('1-DATA'!V772)),ROUND(INDEX('1-DATA'!$1:$1048576,IF(OR($B774="STD. DEVIATION",$C$1=1),$A774,$A774+1),COLUMN('1-DATA'!V772)),IF($B774="STD. DEVIATION",2,$F$1))))</f>
        <v/>
      </c>
      <c r="X774" s="1" t="str">
        <f>IF(OR($B774="",X$7=""),"",IF($B774="MEANS",INDEX('1-DATA'!$1:$1048576,$A773-1,COLUMN('1-DATA'!W772)),ROUND(INDEX('1-DATA'!$1:$1048576,IF(OR($B774="STD. DEVIATION",$C$1=1),$A774,$A774+1),COLUMN('1-DATA'!W772)),IF($B774="STD. DEVIATION",2,$F$1))))</f>
        <v/>
      </c>
      <c r="Y774" s="1" t="str">
        <f>IF(OR($B774="",Y$7=""),"",IF($B774="MEANS",INDEX('1-DATA'!$1:$1048576,$A773-1,COLUMN('1-DATA'!X772)),ROUND(INDEX('1-DATA'!$1:$1048576,IF(OR($B774="STD. DEVIATION",$C$1=1),$A774,$A774+1),COLUMN('1-DATA'!X772)),IF($B774="STD. DEVIATION",2,$F$1))))</f>
        <v/>
      </c>
      <c r="Z774" s="1" t="str">
        <f>IF(OR($B774="",Z$7=""),"",IF($B774="MEANS",INDEX('1-DATA'!$1:$1048576,$A773-1,COLUMN('1-DATA'!Y772)),ROUND(INDEX('1-DATA'!$1:$1048576,IF(OR($B774="STD. DEVIATION",$C$1=1),$A774,$A774+1),COLUMN('1-DATA'!Y772)),IF($B774="STD. DEVIATION",2,$F$1))))</f>
        <v/>
      </c>
      <c r="AA774" s="1" t="str">
        <f>IF(OR($B774="",AA$7=""),"",IF($B774="MEANS",INDEX('1-DATA'!$1:$1048576,$A773-1,COLUMN('1-DATA'!Z772)),ROUND(INDEX('1-DATA'!$1:$1048576,IF(OR($B774="STD. DEVIATION",$C$1=1),$A774,$A774+1),COLUMN('1-DATA'!Z772)),IF($B774="STD. DEVIATION",2,$F$1))))</f>
        <v/>
      </c>
      <c r="AB774" s="1" t="str">
        <f>IF(OR($B774="",AB$7=""),"",IF($B774="MEANS",INDEX('1-DATA'!$1:$1048576,$A773-1,COLUMN('1-DATA'!AA772)),ROUND(INDEX('1-DATA'!$1:$1048576,IF(OR($B774="STD. DEVIATION",$C$1=1),$A774,$A774+1),COLUMN('1-DATA'!AA772)),IF($B774="STD. DEVIATION",2,$F$1))))</f>
        <v/>
      </c>
      <c r="AC774" s="1" t="str">
        <f>IF(OR($B774="",AC$7=""),"",IF($B774="MEANS",INDEX('1-DATA'!$1:$1048576,$A773-1,COLUMN('1-DATA'!AB772)),ROUND(INDEX('1-DATA'!$1:$1048576,IF(OR($B774="STD. DEVIATION",$C$1=1),$A774,$A774+1),COLUMN('1-DATA'!AB772)),IF($B774="STD. DEVIATION",2,$F$1))))</f>
        <v/>
      </c>
      <c r="AD774" s="1" t="str">
        <f>IF(OR($B774="",AD$7=""),"",IF($B774="MEANS",INDEX('1-DATA'!$1:$1048576,$A773-1,COLUMN('1-DATA'!AC772)),ROUND(INDEX('1-DATA'!$1:$1048576,IF(OR($B774="STD. DEVIATION",$C$1=1),$A774,$A774+1),COLUMN('1-DATA'!AC772)),IF($B774="STD. DEVIATION",2,$F$1))))</f>
        <v/>
      </c>
      <c r="AE774" s="1" t="str">
        <f>IF(OR($B774="",AE$7=""),"",IF($B774="MEANS",INDEX('1-DATA'!$1:$1048576,$A773-1,COLUMN('1-DATA'!AD772)),ROUND(INDEX('1-DATA'!$1:$1048576,IF(OR($B774="STD. DEVIATION",$C$1=1),$A774,$A774+1),COLUMN('1-DATA'!AD772)),IF($B774="STD. DEVIATION",2,$F$1))))</f>
        <v/>
      </c>
      <c r="AF774" s="1" t="str">
        <f>IF(OR($B774="",AF$7=""),"",IF($B774="MEANS",INDEX('1-DATA'!$1:$1048576,$A773-1,COLUMN('1-DATA'!AE772)),ROUND(INDEX('1-DATA'!$1:$1048576,IF(OR($B774="STD. DEVIATION",$C$1=1),$A774,$A774+1),COLUMN('1-DATA'!AE772)),IF($B774="STD. DEVIATION",2,$F$1))))</f>
        <v/>
      </c>
      <c r="AG774" s="1" t="str">
        <f>IF(OR($B774="",AG$7=""),"",IF($B774="MEANS",INDEX('1-DATA'!$1:$1048576,$A773-1,COLUMN('1-DATA'!AF772)),ROUND(INDEX('1-DATA'!$1:$1048576,IF(OR($B774="STD. DEVIATION",$C$1=1),$A774,$A774+1),COLUMN('1-DATA'!AF772)),IF($B774="STD. DEVIATION",2,$F$1))))</f>
        <v/>
      </c>
      <c r="AH774" s="1" t="str">
        <f>IF(OR($B774="",AH$7=""),"",IF($B774="MEANS",INDEX('1-DATA'!$1:$1048576,$A773-1,COLUMN('1-DATA'!AG772)),ROUND(INDEX('1-DATA'!$1:$1048576,IF(OR($B774="STD. DEVIATION",$C$1=1),$A774,$A774+1),COLUMN('1-DATA'!AG772)),IF($B774="STD. DEVIATION",2,$F$1))))</f>
        <v/>
      </c>
      <c r="AI774" s="1" t="str">
        <f>IF(OR($B774="",AI$7=""),"",IF($B774="MEANS",INDEX('1-DATA'!$1:$1048576,$A773-1,COLUMN('1-DATA'!AH772)),ROUND(INDEX('1-DATA'!$1:$1048576,IF(OR($B774="STD. DEVIATION",$C$1=1),$A774,$A774+1),COLUMN('1-DATA'!AH772)),IF($B774="STD. DEVIATION",2,$F$1))))</f>
        <v/>
      </c>
      <c r="AJ774" s="1" t="str">
        <f>IF(OR($B774="",AJ$7=""),"",IF($B774="MEANS",INDEX('1-DATA'!$1:$1048576,$A773-1,COLUMN('1-DATA'!AI772)),ROUND(INDEX('1-DATA'!$1:$1048576,IF(OR($B774="STD. DEVIATION",$C$1=1),$A774,$A774+1),COLUMN('1-DATA'!AI772)),IF($B774="STD. DEVIATION",2,$F$1))))</f>
        <v/>
      </c>
      <c r="AK774" s="1" t="str">
        <f>IF(OR($B774="",AK$7=""),"",IF($B774="MEANS",INDEX('1-DATA'!$1:$1048576,$A773-1,COLUMN('1-DATA'!AJ772)),ROUND(INDEX('1-DATA'!$1:$1048576,IF(OR($B774="STD. DEVIATION",$C$1=1),$A774,$A774+1),COLUMN('1-DATA'!AJ772)),IF($B774="STD. DEVIATION",2,$F$1))))</f>
        <v/>
      </c>
      <c r="AL774" s="1" t="str">
        <f>IF(OR($B774="",AL$7=""),"",IF($B774="MEANS",INDEX('1-DATA'!$1:$1048576,$A773-1,COLUMN('1-DATA'!AK772)),ROUND(INDEX('1-DATA'!$1:$1048576,IF(OR($B774="STD. DEVIATION",$C$1=1),$A774,$A774+1),COLUMN('1-DATA'!AK772)),IF($B774="STD. DEVIATION",2,$F$1))))</f>
        <v/>
      </c>
      <c r="AM774" s="1" t="str">
        <f>IF(OR($B774="",AM$7=""),"",IF($B774="MEANS",INDEX('1-DATA'!$1:$1048576,$A773-1,COLUMN('1-DATA'!AL772)),ROUND(INDEX('1-DATA'!$1:$1048576,IF(OR($B774="STD. DEVIATION",$C$1=1),$A774,$A774+1),COLUMN('1-DATA'!AL772)),IF($B774="STD. DEVIATION",2,$F$1))))</f>
        <v/>
      </c>
      <c r="AN774" s="1" t="str">
        <f>IF(OR($B774="",AN$7=""),"",IF($B774="MEANS",INDEX('1-DATA'!$1:$1048576,$A773-1,COLUMN('1-DATA'!AM772)),ROUND(INDEX('1-DATA'!$1:$1048576,IF(OR($B774="STD. DEVIATION",$C$1=1),$A774,$A774+1),COLUMN('1-DATA'!AM772)),IF($B774="STD. DEVIATION",2,$F$1))))</f>
        <v/>
      </c>
      <c r="AO774" s="1" t="str">
        <f>IF(OR($B774="",AO$7=""),"",IF($B774="MEANS",INDEX('1-DATA'!$1:$1048576,$A773-1,COLUMN('1-DATA'!AN772)),ROUND(INDEX('1-DATA'!$1:$1048576,IF(OR($B774="STD. DEVIATION",$C$1=1),$A774,$A774+1),COLUMN('1-DATA'!AN772)),IF($B774="STD. DEVIATION",2,$F$1))))</f>
        <v/>
      </c>
      <c r="AP774" s="1" t="str">
        <f>IF(OR($B774="",AP$7=""),"",IF($B774="MEANS",INDEX('1-DATA'!$1:$1048576,$A773-1,COLUMN('1-DATA'!AO772)),ROUND(INDEX('1-DATA'!$1:$1048576,IF(OR($B774="STD. DEVIATION",$C$1=1),$A774,$A774+1),COLUMN('1-DATA'!AO772)),IF($B774="STD. DEVIATION",2,$F$1))))</f>
        <v/>
      </c>
      <c r="AQ774" s="1" t="str">
        <f>IF(OR($B774="",AQ$7=""),"",IF($B774="MEANS",INDEX('1-DATA'!$1:$1048576,$A773-1,COLUMN('1-DATA'!AP772)),ROUND(INDEX('1-DATA'!$1:$1048576,IF(OR($B774="STD. DEVIATION",$C$1=1),$A774,$A774+1),COLUMN('1-DATA'!AP772)),IF($B774="STD. DEVIATION",2,$F$1))))</f>
        <v/>
      </c>
      <c r="AR774" s="1" t="str">
        <f>IF(OR($B774="",AR$7=""),"",IF($B774="MEANS",INDEX('1-DATA'!$1:$1048576,$A773-1,COLUMN('1-DATA'!AQ772)),ROUND(INDEX('1-DATA'!$1:$1048576,IF(OR($B774="STD. DEVIATION",$C$1=1),$A774,$A774+1),COLUMN('1-DATA'!AQ772)),IF($B774="STD. DEVIATION",2,$F$1))))</f>
        <v/>
      </c>
      <c r="AS774" s="1" t="str">
        <f>IF(OR($B774="",AS$7=""),"",IF($B774="MEANS",INDEX('1-DATA'!$1:$1048576,$A773-1,COLUMN('1-DATA'!AR772)),ROUND(INDEX('1-DATA'!$1:$1048576,IF(OR($B774="STD. DEVIATION",$C$1=1),$A774,$A774+1),COLUMN('1-DATA'!AR772)),IF($B774="STD. DEVIATION",2,$F$1))))</f>
        <v/>
      </c>
      <c r="AT774" s="1" t="str">
        <f>IF(OR($B774="",AT$7=""),"",IF($B774="MEANS",INDEX('1-DATA'!$1:$1048576,$A773-1,COLUMN('1-DATA'!AS772)),ROUND(INDEX('1-DATA'!$1:$1048576,IF(OR($B774="STD. DEVIATION",$C$1=1),$A774,$A774+1),COLUMN('1-DATA'!AS772)),IF($B774="STD. DEVIATION",2,$F$1))))</f>
        <v/>
      </c>
      <c r="AU774" s="1" t="str">
        <f>IF(OR($B774="",AU$7=""),"",IF($B774="MEANS",INDEX('1-DATA'!$1:$1048576,$A773-1,COLUMN('1-DATA'!AT772)),ROUND(INDEX('1-DATA'!$1:$1048576,IF(OR($B774="STD. DEVIATION",$C$1=1),$A774,$A774+1),COLUMN('1-DATA'!AT772)),IF($B774="STD. DEVIATION",2,$F$1))))</f>
        <v/>
      </c>
      <c r="AV774" s="1" t="str">
        <f>IF(OR($B774="",AV$7=""),"",IF($B774="MEANS",INDEX('1-DATA'!$1:$1048576,$A773-1,COLUMN('1-DATA'!AU772)),ROUND(INDEX('1-DATA'!$1:$1048576,IF(OR($B774="STD. DEVIATION",$C$1=1),$A774,$A774+1),COLUMN('1-DATA'!AU772)),IF($B774="STD. DEVIATION",2,$F$1))))</f>
        <v/>
      </c>
      <c r="AW774" s="1" t="str">
        <f>IF(OR($B774="",AW$7=""),"",IF($B774="MEANS",INDEX('1-DATA'!$1:$1048576,$A773-1,COLUMN('1-DATA'!AV772)),ROUND(INDEX('1-DATA'!$1:$1048576,IF(OR($B774="STD. DEVIATION",$C$1=1),$A774,$A774+1),COLUMN('1-DATA'!AV772)),IF($B774="STD. DEVIATION",2,$F$1))))</f>
        <v/>
      </c>
      <c r="AX774" s="1" t="str">
        <f>IF(OR($B774="",AX$7=""),"",IF($B774="MEANS",INDEX('1-DATA'!$1:$1048576,$A773-1,COLUMN('1-DATA'!AW772)),ROUND(INDEX('1-DATA'!$1:$1048576,IF(OR($B774="STD. DEVIATION",$C$1=1),$A774,$A774+1),COLUMN('1-DATA'!AW772)),IF($B774="STD. DEVIATION",2,$F$1))))</f>
        <v/>
      </c>
      <c r="AY774" s="1" t="str">
        <f>IF(OR($B774="",AY$7=""),"",IF($B774="MEANS",INDEX('1-DATA'!$1:$1048576,$A773-1,COLUMN('1-DATA'!AX772)),ROUND(INDEX('1-DATA'!$1:$1048576,IF(OR($B774="STD. DEVIATION",$C$1=1),$A774,$A774+1),COLUMN('1-DATA'!AX772)),IF($B774="STD. DEVIATION",2,$F$1))))</f>
        <v/>
      </c>
      <c r="AZ774" s="1" t="str">
        <f>IF(OR($B774="",AZ$7=""),"",IF($B774="MEANS",INDEX('1-DATA'!$1:$1048576,$A773-1,COLUMN('1-DATA'!AY772)),ROUND(INDEX('1-DATA'!$1:$1048576,IF(OR($B774="STD. DEVIATION",$C$1=1),$A774,$A774+1),COLUMN('1-DATA'!AY772)),IF($B774="STD. DEVIATION",2,$F$1))))</f>
        <v/>
      </c>
    </row>
    <row r="775" spans="1:52" x14ac:dyDescent="0.25">
      <c r="A775" s="11">
        <f t="shared" si="12"/>
        <v>2311</v>
      </c>
      <c r="B775" s="1" t="str">
        <f>IF(B774="STD. DEVIATION",INDEX('1-DATA'!$1:$1048576,$A774-1,1),IF(INDEX('1-DATA'!$1:$1048576,$A775,1)&lt;&gt;"",INDEX('1-DATA'!$1:$1048576,$A775,1),""))</f>
        <v/>
      </c>
      <c r="C775" s="1" t="str">
        <f>IF(OR($B775="",C$7=""),"",IF($B775="MEANS",INDEX('1-DATA'!$1:$1048576,$A774-1,COLUMN('1-DATA'!B773)),ROUND(INDEX('1-DATA'!$1:$1048576,IF(OR($B775="STD. DEVIATION",$C$1=1),$A775,$A775+1),COLUMN('1-DATA'!B773)),IF($B775="STD. DEVIATION",2,$F$1))))</f>
        <v/>
      </c>
      <c r="D775" s="1" t="str">
        <f>IF(OR($B775="",D$7=""),"",IF($B775="MEANS",INDEX('1-DATA'!$1:$1048576,$A774-1,COLUMN('1-DATA'!C773)),ROUND(INDEX('1-DATA'!$1:$1048576,IF(OR($B775="STD. DEVIATION",$C$1=1),$A775,$A775+1),COLUMN('1-DATA'!C773)),IF($B775="STD. DEVIATION",2,$F$1))))</f>
        <v/>
      </c>
      <c r="E775" s="1" t="str">
        <f>IF(OR($B775="",E$7=""),"",IF($B775="MEANS",INDEX('1-DATA'!$1:$1048576,$A774-1,COLUMN('1-DATA'!D773)),ROUND(INDEX('1-DATA'!$1:$1048576,IF(OR($B775="STD. DEVIATION",$C$1=1),$A775,$A775+1),COLUMN('1-DATA'!D773)),IF($B775="STD. DEVIATION",2,$F$1))))</f>
        <v/>
      </c>
      <c r="F775" s="1" t="str">
        <f>IF(OR($B775="",F$7=""),"",IF($B775="MEANS",INDEX('1-DATA'!$1:$1048576,$A774-1,COLUMN('1-DATA'!E773)),ROUND(INDEX('1-DATA'!$1:$1048576,IF(OR($B775="STD. DEVIATION",$C$1=1),$A775,$A775+1),COLUMN('1-DATA'!E773)),IF($B775="STD. DEVIATION",2,$F$1))))</f>
        <v/>
      </c>
      <c r="G775" s="1" t="str">
        <f>IF(OR($B775="",G$7=""),"",IF($B775="MEANS",INDEX('1-DATA'!$1:$1048576,$A774-1,COLUMN('1-DATA'!F773)),ROUND(INDEX('1-DATA'!$1:$1048576,IF(OR($B775="STD. DEVIATION",$C$1=1),$A775,$A775+1),COLUMN('1-DATA'!F773)),IF($B775="STD. DEVIATION",2,$F$1))))</f>
        <v/>
      </c>
      <c r="H775" s="1" t="str">
        <f>IF(OR($B775="",H$7=""),"",IF($B775="MEANS",INDEX('1-DATA'!$1:$1048576,$A774-1,COLUMN('1-DATA'!G773)),ROUND(INDEX('1-DATA'!$1:$1048576,IF(OR($B775="STD. DEVIATION",$C$1=1),$A775,$A775+1),COLUMN('1-DATA'!G773)),IF($B775="STD. DEVIATION",2,$F$1))))</f>
        <v/>
      </c>
      <c r="I775" s="1" t="str">
        <f>IF(OR($B775="",I$7=""),"",IF($B775="MEANS",INDEX('1-DATA'!$1:$1048576,$A774-1,COLUMN('1-DATA'!H773)),ROUND(INDEX('1-DATA'!$1:$1048576,IF(OR($B775="STD. DEVIATION",$C$1=1),$A775,$A775+1),COLUMN('1-DATA'!H773)),IF($B775="STD. DEVIATION",2,$F$1))))</f>
        <v/>
      </c>
      <c r="J775" s="1" t="str">
        <f>IF(OR($B775="",J$7=""),"",IF($B775="MEANS",INDEX('1-DATA'!$1:$1048576,$A774-1,COLUMN('1-DATA'!I773)),ROUND(INDEX('1-DATA'!$1:$1048576,IF(OR($B775="STD. DEVIATION",$C$1=1),$A775,$A775+1),COLUMN('1-DATA'!I773)),IF($B775="STD. DEVIATION",2,$F$1))))</f>
        <v/>
      </c>
      <c r="K775" s="1" t="str">
        <f>IF(OR($B775="",K$7=""),"",IF($B775="MEANS",INDEX('1-DATA'!$1:$1048576,$A774-1,COLUMN('1-DATA'!J773)),ROUND(INDEX('1-DATA'!$1:$1048576,IF(OR($B775="STD. DEVIATION",$C$1=1),$A775,$A775+1),COLUMN('1-DATA'!J773)),IF($B775="STD. DEVIATION",2,$F$1))))</f>
        <v/>
      </c>
      <c r="L775" s="1" t="str">
        <f>IF(OR($B775="",L$7=""),"",IF($B775="MEANS",INDEX('1-DATA'!$1:$1048576,$A774-1,COLUMN('1-DATA'!K773)),ROUND(INDEX('1-DATA'!$1:$1048576,IF(OR($B775="STD. DEVIATION",$C$1=1),$A775,$A775+1),COLUMN('1-DATA'!K773)),IF($B775="STD. DEVIATION",2,$F$1))))</f>
        <v/>
      </c>
      <c r="M775" s="1" t="str">
        <f>IF(OR($B775="",M$7=""),"",IF($B775="MEANS",INDEX('1-DATA'!$1:$1048576,$A774-1,COLUMN('1-DATA'!L773)),ROUND(INDEX('1-DATA'!$1:$1048576,IF(OR($B775="STD. DEVIATION",$C$1=1),$A775,$A775+1),COLUMN('1-DATA'!L773)),IF($B775="STD. DEVIATION",2,$F$1))))</f>
        <v/>
      </c>
      <c r="N775" s="1" t="str">
        <f>IF(OR($B775="",N$7=""),"",IF($B775="MEANS",INDEX('1-DATA'!$1:$1048576,$A774-1,COLUMN('1-DATA'!M773)),ROUND(INDEX('1-DATA'!$1:$1048576,IF(OR($B775="STD. DEVIATION",$C$1=1),$A775,$A775+1),COLUMN('1-DATA'!M773)),IF($B775="STD. DEVIATION",2,$F$1))))</f>
        <v/>
      </c>
      <c r="O775" s="1" t="str">
        <f>IF(OR($B775="",O$7=""),"",IF($B775="MEANS",INDEX('1-DATA'!$1:$1048576,$A774-1,COLUMN('1-DATA'!N773)),ROUND(INDEX('1-DATA'!$1:$1048576,IF(OR($B775="STD. DEVIATION",$C$1=1),$A775,$A775+1),COLUMN('1-DATA'!N773)),IF($B775="STD. DEVIATION",2,$F$1))))</f>
        <v/>
      </c>
      <c r="P775" s="1" t="str">
        <f>IF(OR($B775="",P$7=""),"",IF($B775="MEANS",INDEX('1-DATA'!$1:$1048576,$A774-1,COLUMN('1-DATA'!O773)),ROUND(INDEX('1-DATA'!$1:$1048576,IF(OR($B775="STD. DEVIATION",$C$1=1),$A775,$A775+1),COLUMN('1-DATA'!O773)),IF($B775="STD. DEVIATION",2,$F$1))))</f>
        <v/>
      </c>
      <c r="Q775" s="1" t="str">
        <f>IF(OR($B775="",Q$7=""),"",IF($B775="MEANS",INDEX('1-DATA'!$1:$1048576,$A774-1,COLUMN('1-DATA'!P773)),ROUND(INDEX('1-DATA'!$1:$1048576,IF(OR($B775="STD. DEVIATION",$C$1=1),$A775,$A775+1),COLUMN('1-DATA'!P773)),IF($B775="STD. DEVIATION",2,$F$1))))</f>
        <v/>
      </c>
      <c r="R775" s="1" t="str">
        <f>IF(OR($B775="",R$7=""),"",IF($B775="MEANS",INDEX('1-DATA'!$1:$1048576,$A774-1,COLUMN('1-DATA'!Q773)),ROUND(INDEX('1-DATA'!$1:$1048576,IF(OR($B775="STD. DEVIATION",$C$1=1),$A775,$A775+1),COLUMN('1-DATA'!Q773)),IF($B775="STD. DEVIATION",2,$F$1))))</f>
        <v/>
      </c>
      <c r="S775" s="1" t="str">
        <f>IF(OR($B775="",S$7=""),"",IF($B775="MEANS",INDEX('1-DATA'!$1:$1048576,$A774-1,COLUMN('1-DATA'!R773)),ROUND(INDEX('1-DATA'!$1:$1048576,IF(OR($B775="STD. DEVIATION",$C$1=1),$A775,$A775+1),COLUMN('1-DATA'!R773)),IF($B775="STD. DEVIATION",2,$F$1))))</f>
        <v/>
      </c>
      <c r="T775" s="1" t="str">
        <f>IF(OR($B775="",T$7=""),"",IF($B775="MEANS",INDEX('1-DATA'!$1:$1048576,$A774-1,COLUMN('1-DATA'!S773)),ROUND(INDEX('1-DATA'!$1:$1048576,IF(OR($B775="STD. DEVIATION",$C$1=1),$A775,$A775+1),COLUMN('1-DATA'!S773)),IF($B775="STD. DEVIATION",2,$F$1))))</f>
        <v/>
      </c>
      <c r="U775" s="1" t="str">
        <f>IF(OR($B775="",U$7=""),"",IF($B775="MEANS",INDEX('1-DATA'!$1:$1048576,$A774-1,COLUMN('1-DATA'!T773)),ROUND(INDEX('1-DATA'!$1:$1048576,IF(OR($B775="STD. DEVIATION",$C$1=1),$A775,$A775+1),COLUMN('1-DATA'!T773)),IF($B775="STD. DEVIATION",2,$F$1))))</f>
        <v/>
      </c>
      <c r="V775" s="1" t="str">
        <f>IF(OR($B775="",V$7=""),"",IF($B775="MEANS",INDEX('1-DATA'!$1:$1048576,$A774-1,COLUMN('1-DATA'!U773)),ROUND(INDEX('1-DATA'!$1:$1048576,IF(OR($B775="STD. DEVIATION",$C$1=1),$A775,$A775+1),COLUMN('1-DATA'!U773)),IF($B775="STD. DEVIATION",2,$F$1))))</f>
        <v/>
      </c>
      <c r="W775" s="1" t="str">
        <f>IF(OR($B775="",W$7=""),"",IF($B775="MEANS",INDEX('1-DATA'!$1:$1048576,$A774-1,COLUMN('1-DATA'!V773)),ROUND(INDEX('1-DATA'!$1:$1048576,IF(OR($B775="STD. DEVIATION",$C$1=1),$A775,$A775+1),COLUMN('1-DATA'!V773)),IF($B775="STD. DEVIATION",2,$F$1))))</f>
        <v/>
      </c>
      <c r="X775" s="1" t="str">
        <f>IF(OR($B775="",X$7=""),"",IF($B775="MEANS",INDEX('1-DATA'!$1:$1048576,$A774-1,COLUMN('1-DATA'!W773)),ROUND(INDEX('1-DATA'!$1:$1048576,IF(OR($B775="STD. DEVIATION",$C$1=1),$A775,$A775+1),COLUMN('1-DATA'!W773)),IF($B775="STD. DEVIATION",2,$F$1))))</f>
        <v/>
      </c>
      <c r="Y775" s="1" t="str">
        <f>IF(OR($B775="",Y$7=""),"",IF($B775="MEANS",INDEX('1-DATA'!$1:$1048576,$A774-1,COLUMN('1-DATA'!X773)),ROUND(INDEX('1-DATA'!$1:$1048576,IF(OR($B775="STD. DEVIATION",$C$1=1),$A775,$A775+1),COLUMN('1-DATA'!X773)),IF($B775="STD. DEVIATION",2,$F$1))))</f>
        <v/>
      </c>
      <c r="Z775" s="1" t="str">
        <f>IF(OR($B775="",Z$7=""),"",IF($B775="MEANS",INDEX('1-DATA'!$1:$1048576,$A774-1,COLUMN('1-DATA'!Y773)),ROUND(INDEX('1-DATA'!$1:$1048576,IF(OR($B775="STD. DEVIATION",$C$1=1),$A775,$A775+1),COLUMN('1-DATA'!Y773)),IF($B775="STD. DEVIATION",2,$F$1))))</f>
        <v/>
      </c>
      <c r="AA775" s="1" t="str">
        <f>IF(OR($B775="",AA$7=""),"",IF($B775="MEANS",INDEX('1-DATA'!$1:$1048576,$A774-1,COLUMN('1-DATA'!Z773)),ROUND(INDEX('1-DATA'!$1:$1048576,IF(OR($B775="STD. DEVIATION",$C$1=1),$A775,$A775+1),COLUMN('1-DATA'!Z773)),IF($B775="STD. DEVIATION",2,$F$1))))</f>
        <v/>
      </c>
      <c r="AB775" s="1" t="str">
        <f>IF(OR($B775="",AB$7=""),"",IF($B775="MEANS",INDEX('1-DATA'!$1:$1048576,$A774-1,COLUMN('1-DATA'!AA773)),ROUND(INDEX('1-DATA'!$1:$1048576,IF(OR($B775="STD. DEVIATION",$C$1=1),$A775,$A775+1),COLUMN('1-DATA'!AA773)),IF($B775="STD. DEVIATION",2,$F$1))))</f>
        <v/>
      </c>
      <c r="AC775" s="1" t="str">
        <f>IF(OR($B775="",AC$7=""),"",IF($B775="MEANS",INDEX('1-DATA'!$1:$1048576,$A774-1,COLUMN('1-DATA'!AB773)),ROUND(INDEX('1-DATA'!$1:$1048576,IF(OR($B775="STD. DEVIATION",$C$1=1),$A775,$A775+1),COLUMN('1-DATA'!AB773)),IF($B775="STD. DEVIATION",2,$F$1))))</f>
        <v/>
      </c>
      <c r="AD775" s="1" t="str">
        <f>IF(OR($B775="",AD$7=""),"",IF($B775="MEANS",INDEX('1-DATA'!$1:$1048576,$A774-1,COLUMN('1-DATA'!AC773)),ROUND(INDEX('1-DATA'!$1:$1048576,IF(OR($B775="STD. DEVIATION",$C$1=1),$A775,$A775+1),COLUMN('1-DATA'!AC773)),IF($B775="STD. DEVIATION",2,$F$1))))</f>
        <v/>
      </c>
      <c r="AE775" s="1" t="str">
        <f>IF(OR($B775="",AE$7=""),"",IF($B775="MEANS",INDEX('1-DATA'!$1:$1048576,$A774-1,COLUMN('1-DATA'!AD773)),ROUND(INDEX('1-DATA'!$1:$1048576,IF(OR($B775="STD. DEVIATION",$C$1=1),$A775,$A775+1),COLUMN('1-DATA'!AD773)),IF($B775="STD. DEVIATION",2,$F$1))))</f>
        <v/>
      </c>
      <c r="AF775" s="1" t="str">
        <f>IF(OR($B775="",AF$7=""),"",IF($B775="MEANS",INDEX('1-DATA'!$1:$1048576,$A774-1,COLUMN('1-DATA'!AE773)),ROUND(INDEX('1-DATA'!$1:$1048576,IF(OR($B775="STD. DEVIATION",$C$1=1),$A775,$A775+1),COLUMN('1-DATA'!AE773)),IF($B775="STD. DEVIATION",2,$F$1))))</f>
        <v/>
      </c>
      <c r="AG775" s="1" t="str">
        <f>IF(OR($B775="",AG$7=""),"",IF($B775="MEANS",INDEX('1-DATA'!$1:$1048576,$A774-1,COLUMN('1-DATA'!AF773)),ROUND(INDEX('1-DATA'!$1:$1048576,IF(OR($B775="STD. DEVIATION",$C$1=1),$A775,$A775+1),COLUMN('1-DATA'!AF773)),IF($B775="STD. DEVIATION",2,$F$1))))</f>
        <v/>
      </c>
      <c r="AH775" s="1" t="str">
        <f>IF(OR($B775="",AH$7=""),"",IF($B775="MEANS",INDEX('1-DATA'!$1:$1048576,$A774-1,COLUMN('1-DATA'!AG773)),ROUND(INDEX('1-DATA'!$1:$1048576,IF(OR($B775="STD. DEVIATION",$C$1=1),$A775,$A775+1),COLUMN('1-DATA'!AG773)),IF($B775="STD. DEVIATION",2,$F$1))))</f>
        <v/>
      </c>
      <c r="AI775" s="1" t="str">
        <f>IF(OR($B775="",AI$7=""),"",IF($B775="MEANS",INDEX('1-DATA'!$1:$1048576,$A774-1,COLUMN('1-DATA'!AH773)),ROUND(INDEX('1-DATA'!$1:$1048576,IF(OR($B775="STD. DEVIATION",$C$1=1),$A775,$A775+1),COLUMN('1-DATA'!AH773)),IF($B775="STD. DEVIATION",2,$F$1))))</f>
        <v/>
      </c>
      <c r="AJ775" s="1" t="str">
        <f>IF(OR($B775="",AJ$7=""),"",IF($B775="MEANS",INDEX('1-DATA'!$1:$1048576,$A774-1,COLUMN('1-DATA'!AI773)),ROUND(INDEX('1-DATA'!$1:$1048576,IF(OR($B775="STD. DEVIATION",$C$1=1),$A775,$A775+1),COLUMN('1-DATA'!AI773)),IF($B775="STD. DEVIATION",2,$F$1))))</f>
        <v/>
      </c>
      <c r="AK775" s="1" t="str">
        <f>IF(OR($B775="",AK$7=""),"",IF($B775="MEANS",INDEX('1-DATA'!$1:$1048576,$A774-1,COLUMN('1-DATA'!AJ773)),ROUND(INDEX('1-DATA'!$1:$1048576,IF(OR($B775="STD. DEVIATION",$C$1=1),$A775,$A775+1),COLUMN('1-DATA'!AJ773)),IF($B775="STD. DEVIATION",2,$F$1))))</f>
        <v/>
      </c>
      <c r="AL775" s="1" t="str">
        <f>IF(OR($B775="",AL$7=""),"",IF($B775="MEANS",INDEX('1-DATA'!$1:$1048576,$A774-1,COLUMN('1-DATA'!AK773)),ROUND(INDEX('1-DATA'!$1:$1048576,IF(OR($B775="STD. DEVIATION",$C$1=1),$A775,$A775+1),COLUMN('1-DATA'!AK773)),IF($B775="STD. DEVIATION",2,$F$1))))</f>
        <v/>
      </c>
      <c r="AM775" s="1" t="str">
        <f>IF(OR($B775="",AM$7=""),"",IF($B775="MEANS",INDEX('1-DATA'!$1:$1048576,$A774-1,COLUMN('1-DATA'!AL773)),ROUND(INDEX('1-DATA'!$1:$1048576,IF(OR($B775="STD. DEVIATION",$C$1=1),$A775,$A775+1),COLUMN('1-DATA'!AL773)),IF($B775="STD. DEVIATION",2,$F$1))))</f>
        <v/>
      </c>
      <c r="AN775" s="1" t="str">
        <f>IF(OR($B775="",AN$7=""),"",IF($B775="MEANS",INDEX('1-DATA'!$1:$1048576,$A774-1,COLUMN('1-DATA'!AM773)),ROUND(INDEX('1-DATA'!$1:$1048576,IF(OR($B775="STD. DEVIATION",$C$1=1),$A775,$A775+1),COLUMN('1-DATA'!AM773)),IF($B775="STD. DEVIATION",2,$F$1))))</f>
        <v/>
      </c>
      <c r="AO775" s="1" t="str">
        <f>IF(OR($B775="",AO$7=""),"",IF($B775="MEANS",INDEX('1-DATA'!$1:$1048576,$A774-1,COLUMN('1-DATA'!AN773)),ROUND(INDEX('1-DATA'!$1:$1048576,IF(OR($B775="STD. DEVIATION",$C$1=1),$A775,$A775+1),COLUMN('1-DATA'!AN773)),IF($B775="STD. DEVIATION",2,$F$1))))</f>
        <v/>
      </c>
      <c r="AP775" s="1" t="str">
        <f>IF(OR($B775="",AP$7=""),"",IF($B775="MEANS",INDEX('1-DATA'!$1:$1048576,$A774-1,COLUMN('1-DATA'!AO773)),ROUND(INDEX('1-DATA'!$1:$1048576,IF(OR($B775="STD. DEVIATION",$C$1=1),$A775,$A775+1),COLUMN('1-DATA'!AO773)),IF($B775="STD. DEVIATION",2,$F$1))))</f>
        <v/>
      </c>
      <c r="AQ775" s="1" t="str">
        <f>IF(OR($B775="",AQ$7=""),"",IF($B775="MEANS",INDEX('1-DATA'!$1:$1048576,$A774-1,COLUMN('1-DATA'!AP773)),ROUND(INDEX('1-DATA'!$1:$1048576,IF(OR($B775="STD. DEVIATION",$C$1=1),$A775,$A775+1),COLUMN('1-DATA'!AP773)),IF($B775="STD. DEVIATION",2,$F$1))))</f>
        <v/>
      </c>
      <c r="AR775" s="1" t="str">
        <f>IF(OR($B775="",AR$7=""),"",IF($B775="MEANS",INDEX('1-DATA'!$1:$1048576,$A774-1,COLUMN('1-DATA'!AQ773)),ROUND(INDEX('1-DATA'!$1:$1048576,IF(OR($B775="STD. DEVIATION",$C$1=1),$A775,$A775+1),COLUMN('1-DATA'!AQ773)),IF($B775="STD. DEVIATION",2,$F$1))))</f>
        <v/>
      </c>
      <c r="AS775" s="1" t="str">
        <f>IF(OR($B775="",AS$7=""),"",IF($B775="MEANS",INDEX('1-DATA'!$1:$1048576,$A774-1,COLUMN('1-DATA'!AR773)),ROUND(INDEX('1-DATA'!$1:$1048576,IF(OR($B775="STD. DEVIATION",$C$1=1),$A775,$A775+1),COLUMN('1-DATA'!AR773)),IF($B775="STD. DEVIATION",2,$F$1))))</f>
        <v/>
      </c>
      <c r="AT775" s="1" t="str">
        <f>IF(OR($B775="",AT$7=""),"",IF($B775="MEANS",INDEX('1-DATA'!$1:$1048576,$A774-1,COLUMN('1-DATA'!AS773)),ROUND(INDEX('1-DATA'!$1:$1048576,IF(OR($B775="STD. DEVIATION",$C$1=1),$A775,$A775+1),COLUMN('1-DATA'!AS773)),IF($B775="STD. DEVIATION",2,$F$1))))</f>
        <v/>
      </c>
      <c r="AU775" s="1" t="str">
        <f>IF(OR($B775="",AU$7=""),"",IF($B775="MEANS",INDEX('1-DATA'!$1:$1048576,$A774-1,COLUMN('1-DATA'!AT773)),ROUND(INDEX('1-DATA'!$1:$1048576,IF(OR($B775="STD. DEVIATION",$C$1=1),$A775,$A775+1),COLUMN('1-DATA'!AT773)),IF($B775="STD. DEVIATION",2,$F$1))))</f>
        <v/>
      </c>
      <c r="AV775" s="1" t="str">
        <f>IF(OR($B775="",AV$7=""),"",IF($B775="MEANS",INDEX('1-DATA'!$1:$1048576,$A774-1,COLUMN('1-DATA'!AU773)),ROUND(INDEX('1-DATA'!$1:$1048576,IF(OR($B775="STD. DEVIATION",$C$1=1),$A775,$A775+1),COLUMN('1-DATA'!AU773)),IF($B775="STD. DEVIATION",2,$F$1))))</f>
        <v/>
      </c>
      <c r="AW775" s="1" t="str">
        <f>IF(OR($B775="",AW$7=""),"",IF($B775="MEANS",INDEX('1-DATA'!$1:$1048576,$A774-1,COLUMN('1-DATA'!AV773)),ROUND(INDEX('1-DATA'!$1:$1048576,IF(OR($B775="STD. DEVIATION",$C$1=1),$A775,$A775+1),COLUMN('1-DATA'!AV773)),IF($B775="STD. DEVIATION",2,$F$1))))</f>
        <v/>
      </c>
      <c r="AX775" s="1" t="str">
        <f>IF(OR($B775="",AX$7=""),"",IF($B775="MEANS",INDEX('1-DATA'!$1:$1048576,$A774-1,COLUMN('1-DATA'!AW773)),ROUND(INDEX('1-DATA'!$1:$1048576,IF(OR($B775="STD. DEVIATION",$C$1=1),$A775,$A775+1),COLUMN('1-DATA'!AW773)),IF($B775="STD. DEVIATION",2,$F$1))))</f>
        <v/>
      </c>
      <c r="AY775" s="1" t="str">
        <f>IF(OR($B775="",AY$7=""),"",IF($B775="MEANS",INDEX('1-DATA'!$1:$1048576,$A774-1,COLUMN('1-DATA'!AX773)),ROUND(INDEX('1-DATA'!$1:$1048576,IF(OR($B775="STD. DEVIATION",$C$1=1),$A775,$A775+1),COLUMN('1-DATA'!AX773)),IF($B775="STD. DEVIATION",2,$F$1))))</f>
        <v/>
      </c>
      <c r="AZ775" s="1" t="str">
        <f>IF(OR($B775="",AZ$7=""),"",IF($B775="MEANS",INDEX('1-DATA'!$1:$1048576,$A774-1,COLUMN('1-DATA'!AY773)),ROUND(INDEX('1-DATA'!$1:$1048576,IF(OR($B775="STD. DEVIATION",$C$1=1),$A775,$A775+1),COLUMN('1-DATA'!AY773)),IF($B775="STD. DEVIATION",2,$F$1))))</f>
        <v/>
      </c>
    </row>
    <row r="776" spans="1:52" x14ac:dyDescent="0.25">
      <c r="A776" s="11">
        <f t="shared" si="12"/>
        <v>2314</v>
      </c>
      <c r="B776" s="1" t="str">
        <f>IF(B775="STD. DEVIATION",INDEX('1-DATA'!$1:$1048576,$A775-1,1),IF(INDEX('1-DATA'!$1:$1048576,$A776,1)&lt;&gt;"",INDEX('1-DATA'!$1:$1048576,$A776,1),""))</f>
        <v/>
      </c>
      <c r="C776" s="1" t="str">
        <f>IF(OR($B776="",C$7=""),"",IF($B776="MEANS",INDEX('1-DATA'!$1:$1048576,$A775-1,COLUMN('1-DATA'!B774)),ROUND(INDEX('1-DATA'!$1:$1048576,IF(OR($B776="STD. DEVIATION",$C$1=1),$A776,$A776+1),COLUMN('1-DATA'!B774)),IF($B776="STD. DEVIATION",2,$F$1))))</f>
        <v/>
      </c>
      <c r="D776" s="1" t="str">
        <f>IF(OR($B776="",D$7=""),"",IF($B776="MEANS",INDEX('1-DATA'!$1:$1048576,$A775-1,COLUMN('1-DATA'!C774)),ROUND(INDEX('1-DATA'!$1:$1048576,IF(OR($B776="STD. DEVIATION",$C$1=1),$A776,$A776+1),COLUMN('1-DATA'!C774)),IF($B776="STD. DEVIATION",2,$F$1))))</f>
        <v/>
      </c>
      <c r="E776" s="1" t="str">
        <f>IF(OR($B776="",E$7=""),"",IF($B776="MEANS",INDEX('1-DATA'!$1:$1048576,$A775-1,COLUMN('1-DATA'!D774)),ROUND(INDEX('1-DATA'!$1:$1048576,IF(OR($B776="STD. DEVIATION",$C$1=1),$A776,$A776+1),COLUMN('1-DATA'!D774)),IF($B776="STD. DEVIATION",2,$F$1))))</f>
        <v/>
      </c>
      <c r="F776" s="1" t="str">
        <f>IF(OR($B776="",F$7=""),"",IF($B776="MEANS",INDEX('1-DATA'!$1:$1048576,$A775-1,COLUMN('1-DATA'!E774)),ROUND(INDEX('1-DATA'!$1:$1048576,IF(OR($B776="STD. DEVIATION",$C$1=1),$A776,$A776+1),COLUMN('1-DATA'!E774)),IF($B776="STD. DEVIATION",2,$F$1))))</f>
        <v/>
      </c>
      <c r="G776" s="1" t="str">
        <f>IF(OR($B776="",G$7=""),"",IF($B776="MEANS",INDEX('1-DATA'!$1:$1048576,$A775-1,COLUMN('1-DATA'!F774)),ROUND(INDEX('1-DATA'!$1:$1048576,IF(OR($B776="STD. DEVIATION",$C$1=1),$A776,$A776+1),COLUMN('1-DATA'!F774)),IF($B776="STD. DEVIATION",2,$F$1))))</f>
        <v/>
      </c>
      <c r="H776" s="1" t="str">
        <f>IF(OR($B776="",H$7=""),"",IF($B776="MEANS",INDEX('1-DATA'!$1:$1048576,$A775-1,COLUMN('1-DATA'!G774)),ROUND(INDEX('1-DATA'!$1:$1048576,IF(OR($B776="STD. DEVIATION",$C$1=1),$A776,$A776+1),COLUMN('1-DATA'!G774)),IF($B776="STD. DEVIATION",2,$F$1))))</f>
        <v/>
      </c>
      <c r="I776" s="1" t="str">
        <f>IF(OR($B776="",I$7=""),"",IF($B776="MEANS",INDEX('1-DATA'!$1:$1048576,$A775-1,COLUMN('1-DATA'!H774)),ROUND(INDEX('1-DATA'!$1:$1048576,IF(OR($B776="STD. DEVIATION",$C$1=1),$A776,$A776+1),COLUMN('1-DATA'!H774)),IF($B776="STD. DEVIATION",2,$F$1))))</f>
        <v/>
      </c>
      <c r="J776" s="1" t="str">
        <f>IF(OR($B776="",J$7=""),"",IF($B776="MEANS",INDEX('1-DATA'!$1:$1048576,$A775-1,COLUMN('1-DATA'!I774)),ROUND(INDEX('1-DATA'!$1:$1048576,IF(OR($B776="STD. DEVIATION",$C$1=1),$A776,$A776+1),COLUMN('1-DATA'!I774)),IF($B776="STD. DEVIATION",2,$F$1))))</f>
        <v/>
      </c>
      <c r="K776" s="1" t="str">
        <f>IF(OR($B776="",K$7=""),"",IF($B776="MEANS",INDEX('1-DATA'!$1:$1048576,$A775-1,COLUMN('1-DATA'!J774)),ROUND(INDEX('1-DATA'!$1:$1048576,IF(OR($B776="STD. DEVIATION",$C$1=1),$A776,$A776+1),COLUMN('1-DATA'!J774)),IF($B776="STD. DEVIATION",2,$F$1))))</f>
        <v/>
      </c>
      <c r="L776" s="1" t="str">
        <f>IF(OR($B776="",L$7=""),"",IF($B776="MEANS",INDEX('1-DATA'!$1:$1048576,$A775-1,COLUMN('1-DATA'!K774)),ROUND(INDEX('1-DATA'!$1:$1048576,IF(OR($B776="STD. DEVIATION",$C$1=1),$A776,$A776+1),COLUMN('1-DATA'!K774)),IF($B776="STD. DEVIATION",2,$F$1))))</f>
        <v/>
      </c>
      <c r="M776" s="1" t="str">
        <f>IF(OR($B776="",M$7=""),"",IF($B776="MEANS",INDEX('1-DATA'!$1:$1048576,$A775-1,COLUMN('1-DATA'!L774)),ROUND(INDEX('1-DATA'!$1:$1048576,IF(OR($B776="STD. DEVIATION",$C$1=1),$A776,$A776+1),COLUMN('1-DATA'!L774)),IF($B776="STD. DEVIATION",2,$F$1))))</f>
        <v/>
      </c>
      <c r="N776" s="1" t="str">
        <f>IF(OR($B776="",N$7=""),"",IF($B776="MEANS",INDEX('1-DATA'!$1:$1048576,$A775-1,COLUMN('1-DATA'!M774)),ROUND(INDEX('1-DATA'!$1:$1048576,IF(OR($B776="STD. DEVIATION",$C$1=1),$A776,$A776+1),COLUMN('1-DATA'!M774)),IF($B776="STD. DEVIATION",2,$F$1))))</f>
        <v/>
      </c>
      <c r="O776" s="1" t="str">
        <f>IF(OR($B776="",O$7=""),"",IF($B776="MEANS",INDEX('1-DATA'!$1:$1048576,$A775-1,COLUMN('1-DATA'!N774)),ROUND(INDEX('1-DATA'!$1:$1048576,IF(OR($B776="STD. DEVIATION",$C$1=1),$A776,$A776+1),COLUMN('1-DATA'!N774)),IF($B776="STD. DEVIATION",2,$F$1))))</f>
        <v/>
      </c>
      <c r="P776" s="1" t="str">
        <f>IF(OR($B776="",P$7=""),"",IF($B776="MEANS",INDEX('1-DATA'!$1:$1048576,$A775-1,COLUMN('1-DATA'!O774)),ROUND(INDEX('1-DATA'!$1:$1048576,IF(OR($B776="STD. DEVIATION",$C$1=1),$A776,$A776+1),COLUMN('1-DATA'!O774)),IF($B776="STD. DEVIATION",2,$F$1))))</f>
        <v/>
      </c>
      <c r="Q776" s="1" t="str">
        <f>IF(OR($B776="",Q$7=""),"",IF($B776="MEANS",INDEX('1-DATA'!$1:$1048576,$A775-1,COLUMN('1-DATA'!P774)),ROUND(INDEX('1-DATA'!$1:$1048576,IF(OR($B776="STD. DEVIATION",$C$1=1),$A776,$A776+1),COLUMN('1-DATA'!P774)),IF($B776="STD. DEVIATION",2,$F$1))))</f>
        <v/>
      </c>
      <c r="R776" s="1" t="str">
        <f>IF(OR($B776="",R$7=""),"",IF($B776="MEANS",INDEX('1-DATA'!$1:$1048576,$A775-1,COLUMN('1-DATA'!Q774)),ROUND(INDEX('1-DATA'!$1:$1048576,IF(OR($B776="STD. DEVIATION",$C$1=1),$A776,$A776+1),COLUMN('1-DATA'!Q774)),IF($B776="STD. DEVIATION",2,$F$1))))</f>
        <v/>
      </c>
      <c r="S776" s="1" t="str">
        <f>IF(OR($B776="",S$7=""),"",IF($B776="MEANS",INDEX('1-DATA'!$1:$1048576,$A775-1,COLUMN('1-DATA'!R774)),ROUND(INDEX('1-DATA'!$1:$1048576,IF(OR($B776="STD. DEVIATION",$C$1=1),$A776,$A776+1),COLUMN('1-DATA'!R774)),IF($B776="STD. DEVIATION",2,$F$1))))</f>
        <v/>
      </c>
      <c r="T776" s="1" t="str">
        <f>IF(OR($B776="",T$7=""),"",IF($B776="MEANS",INDEX('1-DATA'!$1:$1048576,$A775-1,COLUMN('1-DATA'!S774)),ROUND(INDEX('1-DATA'!$1:$1048576,IF(OR($B776="STD. DEVIATION",$C$1=1),$A776,$A776+1),COLUMN('1-DATA'!S774)),IF($B776="STD. DEVIATION",2,$F$1))))</f>
        <v/>
      </c>
      <c r="U776" s="1" t="str">
        <f>IF(OR($B776="",U$7=""),"",IF($B776="MEANS",INDEX('1-DATA'!$1:$1048576,$A775-1,COLUMN('1-DATA'!T774)),ROUND(INDEX('1-DATA'!$1:$1048576,IF(OR($B776="STD. DEVIATION",$C$1=1),$A776,$A776+1),COLUMN('1-DATA'!T774)),IF($B776="STD. DEVIATION",2,$F$1))))</f>
        <v/>
      </c>
      <c r="V776" s="1" t="str">
        <f>IF(OR($B776="",V$7=""),"",IF($B776="MEANS",INDEX('1-DATA'!$1:$1048576,$A775-1,COLUMN('1-DATA'!U774)),ROUND(INDEX('1-DATA'!$1:$1048576,IF(OR($B776="STD. DEVIATION",$C$1=1),$A776,$A776+1),COLUMN('1-DATA'!U774)),IF($B776="STD. DEVIATION",2,$F$1))))</f>
        <v/>
      </c>
      <c r="W776" s="1" t="str">
        <f>IF(OR($B776="",W$7=""),"",IF($B776="MEANS",INDEX('1-DATA'!$1:$1048576,$A775-1,COLUMN('1-DATA'!V774)),ROUND(INDEX('1-DATA'!$1:$1048576,IF(OR($B776="STD. DEVIATION",$C$1=1),$A776,$A776+1),COLUMN('1-DATA'!V774)),IF($B776="STD. DEVIATION",2,$F$1))))</f>
        <v/>
      </c>
      <c r="X776" s="1" t="str">
        <f>IF(OR($B776="",X$7=""),"",IF($B776="MEANS",INDEX('1-DATA'!$1:$1048576,$A775-1,COLUMN('1-DATA'!W774)),ROUND(INDEX('1-DATA'!$1:$1048576,IF(OR($B776="STD. DEVIATION",$C$1=1),$A776,$A776+1),COLUMN('1-DATA'!W774)),IF($B776="STD. DEVIATION",2,$F$1))))</f>
        <v/>
      </c>
      <c r="Y776" s="1" t="str">
        <f>IF(OR($B776="",Y$7=""),"",IF($B776="MEANS",INDEX('1-DATA'!$1:$1048576,$A775-1,COLUMN('1-DATA'!X774)),ROUND(INDEX('1-DATA'!$1:$1048576,IF(OR($B776="STD. DEVIATION",$C$1=1),$A776,$A776+1),COLUMN('1-DATA'!X774)),IF($B776="STD. DEVIATION",2,$F$1))))</f>
        <v/>
      </c>
      <c r="Z776" s="1" t="str">
        <f>IF(OR($B776="",Z$7=""),"",IF($B776="MEANS",INDEX('1-DATA'!$1:$1048576,$A775-1,COLUMN('1-DATA'!Y774)),ROUND(INDEX('1-DATA'!$1:$1048576,IF(OR($B776="STD. DEVIATION",$C$1=1),$A776,$A776+1),COLUMN('1-DATA'!Y774)),IF($B776="STD. DEVIATION",2,$F$1))))</f>
        <v/>
      </c>
      <c r="AA776" s="1" t="str">
        <f>IF(OR($B776="",AA$7=""),"",IF($B776="MEANS",INDEX('1-DATA'!$1:$1048576,$A775-1,COLUMN('1-DATA'!Z774)),ROUND(INDEX('1-DATA'!$1:$1048576,IF(OR($B776="STD. DEVIATION",$C$1=1),$A776,$A776+1),COLUMN('1-DATA'!Z774)),IF($B776="STD. DEVIATION",2,$F$1))))</f>
        <v/>
      </c>
      <c r="AB776" s="1" t="str">
        <f>IF(OR($B776="",AB$7=""),"",IF($B776="MEANS",INDEX('1-DATA'!$1:$1048576,$A775-1,COLUMN('1-DATA'!AA774)),ROUND(INDEX('1-DATA'!$1:$1048576,IF(OR($B776="STD. DEVIATION",$C$1=1),$A776,$A776+1),COLUMN('1-DATA'!AA774)),IF($B776="STD. DEVIATION",2,$F$1))))</f>
        <v/>
      </c>
      <c r="AC776" s="1" t="str">
        <f>IF(OR($B776="",AC$7=""),"",IF($B776="MEANS",INDEX('1-DATA'!$1:$1048576,$A775-1,COLUMN('1-DATA'!AB774)),ROUND(INDEX('1-DATA'!$1:$1048576,IF(OR($B776="STD. DEVIATION",$C$1=1),$A776,$A776+1),COLUMN('1-DATA'!AB774)),IF($B776="STD. DEVIATION",2,$F$1))))</f>
        <v/>
      </c>
      <c r="AD776" s="1" t="str">
        <f>IF(OR($B776="",AD$7=""),"",IF($B776="MEANS",INDEX('1-DATA'!$1:$1048576,$A775-1,COLUMN('1-DATA'!AC774)),ROUND(INDEX('1-DATA'!$1:$1048576,IF(OR($B776="STD. DEVIATION",$C$1=1),$A776,$A776+1),COLUMN('1-DATA'!AC774)),IF($B776="STD. DEVIATION",2,$F$1))))</f>
        <v/>
      </c>
      <c r="AE776" s="1" t="str">
        <f>IF(OR($B776="",AE$7=""),"",IF($B776="MEANS",INDEX('1-DATA'!$1:$1048576,$A775-1,COLUMN('1-DATA'!AD774)),ROUND(INDEX('1-DATA'!$1:$1048576,IF(OR($B776="STD. DEVIATION",$C$1=1),$A776,$A776+1),COLUMN('1-DATA'!AD774)),IF($B776="STD. DEVIATION",2,$F$1))))</f>
        <v/>
      </c>
      <c r="AF776" s="1" t="str">
        <f>IF(OR($B776="",AF$7=""),"",IF($B776="MEANS",INDEX('1-DATA'!$1:$1048576,$A775-1,COLUMN('1-DATA'!AE774)),ROUND(INDEX('1-DATA'!$1:$1048576,IF(OR($B776="STD. DEVIATION",$C$1=1),$A776,$A776+1),COLUMN('1-DATA'!AE774)),IF($B776="STD. DEVIATION",2,$F$1))))</f>
        <v/>
      </c>
      <c r="AG776" s="1" t="str">
        <f>IF(OR($B776="",AG$7=""),"",IF($B776="MEANS",INDEX('1-DATA'!$1:$1048576,$A775-1,COLUMN('1-DATA'!AF774)),ROUND(INDEX('1-DATA'!$1:$1048576,IF(OR($B776="STD. DEVIATION",$C$1=1),$A776,$A776+1),COLUMN('1-DATA'!AF774)),IF($B776="STD. DEVIATION",2,$F$1))))</f>
        <v/>
      </c>
      <c r="AH776" s="1" t="str">
        <f>IF(OR($B776="",AH$7=""),"",IF($B776="MEANS",INDEX('1-DATA'!$1:$1048576,$A775-1,COLUMN('1-DATA'!AG774)),ROUND(INDEX('1-DATA'!$1:$1048576,IF(OR($B776="STD. DEVIATION",$C$1=1),$A776,$A776+1),COLUMN('1-DATA'!AG774)),IF($B776="STD. DEVIATION",2,$F$1))))</f>
        <v/>
      </c>
      <c r="AI776" s="1" t="str">
        <f>IF(OR($B776="",AI$7=""),"",IF($B776="MEANS",INDEX('1-DATA'!$1:$1048576,$A775-1,COLUMN('1-DATA'!AH774)),ROUND(INDEX('1-DATA'!$1:$1048576,IF(OR($B776="STD. DEVIATION",$C$1=1),$A776,$A776+1),COLUMN('1-DATA'!AH774)),IF($B776="STD. DEVIATION",2,$F$1))))</f>
        <v/>
      </c>
      <c r="AJ776" s="1" t="str">
        <f>IF(OR($B776="",AJ$7=""),"",IF($B776="MEANS",INDEX('1-DATA'!$1:$1048576,$A775-1,COLUMN('1-DATA'!AI774)),ROUND(INDEX('1-DATA'!$1:$1048576,IF(OR($B776="STD. DEVIATION",$C$1=1),$A776,$A776+1),COLUMN('1-DATA'!AI774)),IF($B776="STD. DEVIATION",2,$F$1))))</f>
        <v/>
      </c>
      <c r="AK776" s="1" t="str">
        <f>IF(OR($B776="",AK$7=""),"",IF($B776="MEANS",INDEX('1-DATA'!$1:$1048576,$A775-1,COLUMN('1-DATA'!AJ774)),ROUND(INDEX('1-DATA'!$1:$1048576,IF(OR($B776="STD. DEVIATION",$C$1=1),$A776,$A776+1),COLUMN('1-DATA'!AJ774)),IF($B776="STD. DEVIATION",2,$F$1))))</f>
        <v/>
      </c>
      <c r="AL776" s="1" t="str">
        <f>IF(OR($B776="",AL$7=""),"",IF($B776="MEANS",INDEX('1-DATA'!$1:$1048576,$A775-1,COLUMN('1-DATA'!AK774)),ROUND(INDEX('1-DATA'!$1:$1048576,IF(OR($B776="STD. DEVIATION",$C$1=1),$A776,$A776+1),COLUMN('1-DATA'!AK774)),IF($B776="STD. DEVIATION",2,$F$1))))</f>
        <v/>
      </c>
      <c r="AM776" s="1" t="str">
        <f>IF(OR($B776="",AM$7=""),"",IF($B776="MEANS",INDEX('1-DATA'!$1:$1048576,$A775-1,COLUMN('1-DATA'!AL774)),ROUND(INDEX('1-DATA'!$1:$1048576,IF(OR($B776="STD. DEVIATION",$C$1=1),$A776,$A776+1),COLUMN('1-DATA'!AL774)),IF($B776="STD. DEVIATION",2,$F$1))))</f>
        <v/>
      </c>
      <c r="AN776" s="1" t="str">
        <f>IF(OR($B776="",AN$7=""),"",IF($B776="MEANS",INDEX('1-DATA'!$1:$1048576,$A775-1,COLUMN('1-DATA'!AM774)),ROUND(INDEX('1-DATA'!$1:$1048576,IF(OR($B776="STD. DEVIATION",$C$1=1),$A776,$A776+1),COLUMN('1-DATA'!AM774)),IF($B776="STD. DEVIATION",2,$F$1))))</f>
        <v/>
      </c>
      <c r="AO776" s="1" t="str">
        <f>IF(OR($B776="",AO$7=""),"",IF($B776="MEANS",INDEX('1-DATA'!$1:$1048576,$A775-1,COLUMN('1-DATA'!AN774)),ROUND(INDEX('1-DATA'!$1:$1048576,IF(OR($B776="STD. DEVIATION",$C$1=1),$A776,$A776+1),COLUMN('1-DATA'!AN774)),IF($B776="STD. DEVIATION",2,$F$1))))</f>
        <v/>
      </c>
      <c r="AP776" s="1" t="str">
        <f>IF(OR($B776="",AP$7=""),"",IF($B776="MEANS",INDEX('1-DATA'!$1:$1048576,$A775-1,COLUMN('1-DATA'!AO774)),ROUND(INDEX('1-DATA'!$1:$1048576,IF(OR($B776="STD. DEVIATION",$C$1=1),$A776,$A776+1),COLUMN('1-DATA'!AO774)),IF($B776="STD. DEVIATION",2,$F$1))))</f>
        <v/>
      </c>
      <c r="AQ776" s="1" t="str">
        <f>IF(OR($B776="",AQ$7=""),"",IF($B776="MEANS",INDEX('1-DATA'!$1:$1048576,$A775-1,COLUMN('1-DATA'!AP774)),ROUND(INDEX('1-DATA'!$1:$1048576,IF(OR($B776="STD. DEVIATION",$C$1=1),$A776,$A776+1),COLUMN('1-DATA'!AP774)),IF($B776="STD. DEVIATION",2,$F$1))))</f>
        <v/>
      </c>
      <c r="AR776" s="1" t="str">
        <f>IF(OR($B776="",AR$7=""),"",IF($B776="MEANS",INDEX('1-DATA'!$1:$1048576,$A775-1,COLUMN('1-DATA'!AQ774)),ROUND(INDEX('1-DATA'!$1:$1048576,IF(OR($B776="STD. DEVIATION",$C$1=1),$A776,$A776+1),COLUMN('1-DATA'!AQ774)),IF($B776="STD. DEVIATION",2,$F$1))))</f>
        <v/>
      </c>
      <c r="AS776" s="1" t="str">
        <f>IF(OR($B776="",AS$7=""),"",IF($B776="MEANS",INDEX('1-DATA'!$1:$1048576,$A775-1,COLUMN('1-DATA'!AR774)),ROUND(INDEX('1-DATA'!$1:$1048576,IF(OR($B776="STD. DEVIATION",$C$1=1),$A776,$A776+1),COLUMN('1-DATA'!AR774)),IF($B776="STD. DEVIATION",2,$F$1))))</f>
        <v/>
      </c>
      <c r="AT776" s="1" t="str">
        <f>IF(OR($B776="",AT$7=""),"",IF($B776="MEANS",INDEX('1-DATA'!$1:$1048576,$A775-1,COLUMN('1-DATA'!AS774)),ROUND(INDEX('1-DATA'!$1:$1048576,IF(OR($B776="STD. DEVIATION",$C$1=1),$A776,$A776+1),COLUMN('1-DATA'!AS774)),IF($B776="STD. DEVIATION",2,$F$1))))</f>
        <v/>
      </c>
      <c r="AU776" s="1" t="str">
        <f>IF(OR($B776="",AU$7=""),"",IF($B776="MEANS",INDEX('1-DATA'!$1:$1048576,$A775-1,COLUMN('1-DATA'!AT774)),ROUND(INDEX('1-DATA'!$1:$1048576,IF(OR($B776="STD. DEVIATION",$C$1=1),$A776,$A776+1),COLUMN('1-DATA'!AT774)),IF($B776="STD. DEVIATION",2,$F$1))))</f>
        <v/>
      </c>
      <c r="AV776" s="1" t="str">
        <f>IF(OR($B776="",AV$7=""),"",IF($B776="MEANS",INDEX('1-DATA'!$1:$1048576,$A775-1,COLUMN('1-DATA'!AU774)),ROUND(INDEX('1-DATA'!$1:$1048576,IF(OR($B776="STD. DEVIATION",$C$1=1),$A776,$A776+1),COLUMN('1-DATA'!AU774)),IF($B776="STD. DEVIATION",2,$F$1))))</f>
        <v/>
      </c>
      <c r="AW776" s="1" t="str">
        <f>IF(OR($B776="",AW$7=""),"",IF($B776="MEANS",INDEX('1-DATA'!$1:$1048576,$A775-1,COLUMN('1-DATA'!AV774)),ROUND(INDEX('1-DATA'!$1:$1048576,IF(OR($B776="STD. DEVIATION",$C$1=1),$A776,$A776+1),COLUMN('1-DATA'!AV774)),IF($B776="STD. DEVIATION",2,$F$1))))</f>
        <v/>
      </c>
      <c r="AX776" s="1" t="str">
        <f>IF(OR($B776="",AX$7=""),"",IF($B776="MEANS",INDEX('1-DATA'!$1:$1048576,$A775-1,COLUMN('1-DATA'!AW774)),ROUND(INDEX('1-DATA'!$1:$1048576,IF(OR($B776="STD. DEVIATION",$C$1=1),$A776,$A776+1),COLUMN('1-DATA'!AW774)),IF($B776="STD. DEVIATION",2,$F$1))))</f>
        <v/>
      </c>
      <c r="AY776" s="1" t="str">
        <f>IF(OR($B776="",AY$7=""),"",IF($B776="MEANS",INDEX('1-DATA'!$1:$1048576,$A775-1,COLUMN('1-DATA'!AX774)),ROUND(INDEX('1-DATA'!$1:$1048576,IF(OR($B776="STD. DEVIATION",$C$1=1),$A776,$A776+1),COLUMN('1-DATA'!AX774)),IF($B776="STD. DEVIATION",2,$F$1))))</f>
        <v/>
      </c>
      <c r="AZ776" s="1" t="str">
        <f>IF(OR($B776="",AZ$7=""),"",IF($B776="MEANS",INDEX('1-DATA'!$1:$1048576,$A775-1,COLUMN('1-DATA'!AY774)),ROUND(INDEX('1-DATA'!$1:$1048576,IF(OR($B776="STD. DEVIATION",$C$1=1),$A776,$A776+1),COLUMN('1-DATA'!AY774)),IF($B776="STD. DEVIATION",2,$F$1))))</f>
        <v/>
      </c>
    </row>
    <row r="777" spans="1:52" x14ac:dyDescent="0.25">
      <c r="A777" s="11">
        <f t="shared" si="12"/>
        <v>2317</v>
      </c>
      <c r="B777" s="1" t="str">
        <f>IF(B776="STD. DEVIATION",INDEX('1-DATA'!$1:$1048576,$A776-1,1),IF(INDEX('1-DATA'!$1:$1048576,$A777,1)&lt;&gt;"",INDEX('1-DATA'!$1:$1048576,$A777,1),""))</f>
        <v/>
      </c>
      <c r="C777" s="1" t="str">
        <f>IF(OR($B777="",C$7=""),"",IF($B777="MEANS",INDEX('1-DATA'!$1:$1048576,$A776-1,COLUMN('1-DATA'!B775)),ROUND(INDEX('1-DATA'!$1:$1048576,IF(OR($B777="STD. DEVIATION",$C$1=1),$A777,$A777+1),COLUMN('1-DATA'!B775)),IF($B777="STD. DEVIATION",2,$F$1))))</f>
        <v/>
      </c>
      <c r="D777" s="1" t="str">
        <f>IF(OR($B777="",D$7=""),"",IF($B777="MEANS",INDEX('1-DATA'!$1:$1048576,$A776-1,COLUMN('1-DATA'!C775)),ROUND(INDEX('1-DATA'!$1:$1048576,IF(OR($B777="STD. DEVIATION",$C$1=1),$A777,$A777+1),COLUMN('1-DATA'!C775)),IF($B777="STD. DEVIATION",2,$F$1))))</f>
        <v/>
      </c>
      <c r="E777" s="1" t="str">
        <f>IF(OR($B777="",E$7=""),"",IF($B777="MEANS",INDEX('1-DATA'!$1:$1048576,$A776-1,COLUMN('1-DATA'!D775)),ROUND(INDEX('1-DATA'!$1:$1048576,IF(OR($B777="STD. DEVIATION",$C$1=1),$A777,$A777+1),COLUMN('1-DATA'!D775)),IF($B777="STD. DEVIATION",2,$F$1))))</f>
        <v/>
      </c>
      <c r="F777" s="1" t="str">
        <f>IF(OR($B777="",F$7=""),"",IF($B777="MEANS",INDEX('1-DATA'!$1:$1048576,$A776-1,COLUMN('1-DATA'!E775)),ROUND(INDEX('1-DATA'!$1:$1048576,IF(OR($B777="STD. DEVIATION",$C$1=1),$A777,$A777+1),COLUMN('1-DATA'!E775)),IF($B777="STD. DEVIATION",2,$F$1))))</f>
        <v/>
      </c>
      <c r="G777" s="1" t="str">
        <f>IF(OR($B777="",G$7=""),"",IF($B777="MEANS",INDEX('1-DATA'!$1:$1048576,$A776-1,COLUMN('1-DATA'!F775)),ROUND(INDEX('1-DATA'!$1:$1048576,IF(OR($B777="STD. DEVIATION",$C$1=1),$A777,$A777+1),COLUMN('1-DATA'!F775)),IF($B777="STD. DEVIATION",2,$F$1))))</f>
        <v/>
      </c>
      <c r="H777" s="1" t="str">
        <f>IF(OR($B777="",H$7=""),"",IF($B777="MEANS",INDEX('1-DATA'!$1:$1048576,$A776-1,COLUMN('1-DATA'!G775)),ROUND(INDEX('1-DATA'!$1:$1048576,IF(OR($B777="STD. DEVIATION",$C$1=1),$A777,$A777+1),COLUMN('1-DATA'!G775)),IF($B777="STD. DEVIATION",2,$F$1))))</f>
        <v/>
      </c>
      <c r="I777" s="1" t="str">
        <f>IF(OR($B777="",I$7=""),"",IF($B777="MEANS",INDEX('1-DATA'!$1:$1048576,$A776-1,COLUMN('1-DATA'!H775)),ROUND(INDEX('1-DATA'!$1:$1048576,IF(OR($B777="STD. DEVIATION",$C$1=1),$A777,$A777+1),COLUMN('1-DATA'!H775)),IF($B777="STD. DEVIATION",2,$F$1))))</f>
        <v/>
      </c>
      <c r="J777" s="1" t="str">
        <f>IF(OR($B777="",J$7=""),"",IF($B777="MEANS",INDEX('1-DATA'!$1:$1048576,$A776-1,COLUMN('1-DATA'!I775)),ROUND(INDEX('1-DATA'!$1:$1048576,IF(OR($B777="STD. DEVIATION",$C$1=1),$A777,$A777+1),COLUMN('1-DATA'!I775)),IF($B777="STD. DEVIATION",2,$F$1))))</f>
        <v/>
      </c>
      <c r="K777" s="1" t="str">
        <f>IF(OR($B777="",K$7=""),"",IF($B777="MEANS",INDEX('1-DATA'!$1:$1048576,$A776-1,COLUMN('1-DATA'!J775)),ROUND(INDEX('1-DATA'!$1:$1048576,IF(OR($B777="STD. DEVIATION",$C$1=1),$A777,$A777+1),COLUMN('1-DATA'!J775)),IF($B777="STD. DEVIATION",2,$F$1))))</f>
        <v/>
      </c>
      <c r="L777" s="1" t="str">
        <f>IF(OR($B777="",L$7=""),"",IF($B777="MEANS",INDEX('1-DATA'!$1:$1048576,$A776-1,COLUMN('1-DATA'!K775)),ROUND(INDEX('1-DATA'!$1:$1048576,IF(OR($B777="STD. DEVIATION",$C$1=1),$A777,$A777+1),COLUMN('1-DATA'!K775)),IF($B777="STD. DEVIATION",2,$F$1))))</f>
        <v/>
      </c>
      <c r="M777" s="1" t="str">
        <f>IF(OR($B777="",M$7=""),"",IF($B777="MEANS",INDEX('1-DATA'!$1:$1048576,$A776-1,COLUMN('1-DATA'!L775)),ROUND(INDEX('1-DATA'!$1:$1048576,IF(OR($B777="STD. DEVIATION",$C$1=1),$A777,$A777+1),COLUMN('1-DATA'!L775)),IF($B777="STD. DEVIATION",2,$F$1))))</f>
        <v/>
      </c>
      <c r="N777" s="1" t="str">
        <f>IF(OR($B777="",N$7=""),"",IF($B777="MEANS",INDEX('1-DATA'!$1:$1048576,$A776-1,COLUMN('1-DATA'!M775)),ROUND(INDEX('1-DATA'!$1:$1048576,IF(OR($B777="STD. DEVIATION",$C$1=1),$A777,$A777+1),COLUMN('1-DATA'!M775)),IF($B777="STD. DEVIATION",2,$F$1))))</f>
        <v/>
      </c>
      <c r="O777" s="1" t="str">
        <f>IF(OR($B777="",O$7=""),"",IF($B777="MEANS",INDEX('1-DATA'!$1:$1048576,$A776-1,COLUMN('1-DATA'!N775)),ROUND(INDEX('1-DATA'!$1:$1048576,IF(OR($B777="STD. DEVIATION",$C$1=1),$A777,$A777+1),COLUMN('1-DATA'!N775)),IF($B777="STD. DEVIATION",2,$F$1))))</f>
        <v/>
      </c>
      <c r="P777" s="1" t="str">
        <f>IF(OR($B777="",P$7=""),"",IF($B777="MEANS",INDEX('1-DATA'!$1:$1048576,$A776-1,COLUMN('1-DATA'!O775)),ROUND(INDEX('1-DATA'!$1:$1048576,IF(OR($B777="STD. DEVIATION",$C$1=1),$A777,$A777+1),COLUMN('1-DATA'!O775)),IF($B777="STD. DEVIATION",2,$F$1))))</f>
        <v/>
      </c>
      <c r="Q777" s="1" t="str">
        <f>IF(OR($B777="",Q$7=""),"",IF($B777="MEANS",INDEX('1-DATA'!$1:$1048576,$A776-1,COLUMN('1-DATA'!P775)),ROUND(INDEX('1-DATA'!$1:$1048576,IF(OR($B777="STD. DEVIATION",$C$1=1),$A777,$A777+1),COLUMN('1-DATA'!P775)),IF($B777="STD. DEVIATION",2,$F$1))))</f>
        <v/>
      </c>
      <c r="R777" s="1" t="str">
        <f>IF(OR($B777="",R$7=""),"",IF($B777="MEANS",INDEX('1-DATA'!$1:$1048576,$A776-1,COLUMN('1-DATA'!Q775)),ROUND(INDEX('1-DATA'!$1:$1048576,IF(OR($B777="STD. DEVIATION",$C$1=1),$A777,$A777+1),COLUMN('1-DATA'!Q775)),IF($B777="STD. DEVIATION",2,$F$1))))</f>
        <v/>
      </c>
      <c r="S777" s="1" t="str">
        <f>IF(OR($B777="",S$7=""),"",IF($B777="MEANS",INDEX('1-DATA'!$1:$1048576,$A776-1,COLUMN('1-DATA'!R775)),ROUND(INDEX('1-DATA'!$1:$1048576,IF(OR($B777="STD. DEVIATION",$C$1=1),$A777,$A777+1),COLUMN('1-DATA'!R775)),IF($B777="STD. DEVIATION",2,$F$1))))</f>
        <v/>
      </c>
      <c r="T777" s="1" t="str">
        <f>IF(OR($B777="",T$7=""),"",IF($B777="MEANS",INDEX('1-DATA'!$1:$1048576,$A776-1,COLUMN('1-DATA'!S775)),ROUND(INDEX('1-DATA'!$1:$1048576,IF(OR($B777="STD. DEVIATION",$C$1=1),$A777,$A777+1),COLUMN('1-DATA'!S775)),IF($B777="STD. DEVIATION",2,$F$1))))</f>
        <v/>
      </c>
      <c r="U777" s="1" t="str">
        <f>IF(OR($B777="",U$7=""),"",IF($B777="MEANS",INDEX('1-DATA'!$1:$1048576,$A776-1,COLUMN('1-DATA'!T775)),ROUND(INDEX('1-DATA'!$1:$1048576,IF(OR($B777="STD. DEVIATION",$C$1=1),$A777,$A777+1),COLUMN('1-DATA'!T775)),IF($B777="STD. DEVIATION",2,$F$1))))</f>
        <v/>
      </c>
      <c r="V777" s="1" t="str">
        <f>IF(OR($B777="",V$7=""),"",IF($B777="MEANS",INDEX('1-DATA'!$1:$1048576,$A776-1,COLUMN('1-DATA'!U775)),ROUND(INDEX('1-DATA'!$1:$1048576,IF(OR($B777="STD. DEVIATION",$C$1=1),$A777,$A777+1),COLUMN('1-DATA'!U775)),IF($B777="STD. DEVIATION",2,$F$1))))</f>
        <v/>
      </c>
      <c r="W777" s="1" t="str">
        <f>IF(OR($B777="",W$7=""),"",IF($B777="MEANS",INDEX('1-DATA'!$1:$1048576,$A776-1,COLUMN('1-DATA'!V775)),ROUND(INDEX('1-DATA'!$1:$1048576,IF(OR($B777="STD. DEVIATION",$C$1=1),$A777,$A777+1),COLUMN('1-DATA'!V775)),IF($B777="STD. DEVIATION",2,$F$1))))</f>
        <v/>
      </c>
      <c r="X777" s="1" t="str">
        <f>IF(OR($B777="",X$7=""),"",IF($B777="MEANS",INDEX('1-DATA'!$1:$1048576,$A776-1,COLUMN('1-DATA'!W775)),ROUND(INDEX('1-DATA'!$1:$1048576,IF(OR($B777="STD. DEVIATION",$C$1=1),$A777,$A777+1),COLUMN('1-DATA'!W775)),IF($B777="STD. DEVIATION",2,$F$1))))</f>
        <v/>
      </c>
      <c r="Y777" s="1" t="str">
        <f>IF(OR($B777="",Y$7=""),"",IF($B777="MEANS",INDEX('1-DATA'!$1:$1048576,$A776-1,COLUMN('1-DATA'!X775)),ROUND(INDEX('1-DATA'!$1:$1048576,IF(OR($B777="STD. DEVIATION",$C$1=1),$A777,$A777+1),COLUMN('1-DATA'!X775)),IF($B777="STD. DEVIATION",2,$F$1))))</f>
        <v/>
      </c>
      <c r="Z777" s="1" t="str">
        <f>IF(OR($B777="",Z$7=""),"",IF($B777="MEANS",INDEX('1-DATA'!$1:$1048576,$A776-1,COLUMN('1-DATA'!Y775)),ROUND(INDEX('1-DATA'!$1:$1048576,IF(OR($B777="STD. DEVIATION",$C$1=1),$A777,$A777+1),COLUMN('1-DATA'!Y775)),IF($B777="STD. DEVIATION",2,$F$1))))</f>
        <v/>
      </c>
      <c r="AA777" s="1" t="str">
        <f>IF(OR($B777="",AA$7=""),"",IF($B777="MEANS",INDEX('1-DATA'!$1:$1048576,$A776-1,COLUMN('1-DATA'!Z775)),ROUND(INDEX('1-DATA'!$1:$1048576,IF(OR($B777="STD. DEVIATION",$C$1=1),$A777,$A777+1),COLUMN('1-DATA'!Z775)),IF($B777="STD. DEVIATION",2,$F$1))))</f>
        <v/>
      </c>
      <c r="AB777" s="1" t="str">
        <f>IF(OR($B777="",AB$7=""),"",IF($B777="MEANS",INDEX('1-DATA'!$1:$1048576,$A776-1,COLUMN('1-DATA'!AA775)),ROUND(INDEX('1-DATA'!$1:$1048576,IF(OR($B777="STD. DEVIATION",$C$1=1),$A777,$A777+1),COLUMN('1-DATA'!AA775)),IF($B777="STD. DEVIATION",2,$F$1))))</f>
        <v/>
      </c>
      <c r="AC777" s="1" t="str">
        <f>IF(OR($B777="",AC$7=""),"",IF($B777="MEANS",INDEX('1-DATA'!$1:$1048576,$A776-1,COLUMN('1-DATA'!AB775)),ROUND(INDEX('1-DATA'!$1:$1048576,IF(OR($B777="STD. DEVIATION",$C$1=1),$A777,$A777+1),COLUMN('1-DATA'!AB775)),IF($B777="STD. DEVIATION",2,$F$1))))</f>
        <v/>
      </c>
      <c r="AD777" s="1" t="str">
        <f>IF(OR($B777="",AD$7=""),"",IF($B777="MEANS",INDEX('1-DATA'!$1:$1048576,$A776-1,COLUMN('1-DATA'!AC775)),ROUND(INDEX('1-DATA'!$1:$1048576,IF(OR($B777="STD. DEVIATION",$C$1=1),$A777,$A777+1),COLUMN('1-DATA'!AC775)),IF($B777="STD. DEVIATION",2,$F$1))))</f>
        <v/>
      </c>
      <c r="AE777" s="1" t="str">
        <f>IF(OR($B777="",AE$7=""),"",IF($B777="MEANS",INDEX('1-DATA'!$1:$1048576,$A776-1,COLUMN('1-DATA'!AD775)),ROUND(INDEX('1-DATA'!$1:$1048576,IF(OR($B777="STD. DEVIATION",$C$1=1),$A777,$A777+1),COLUMN('1-DATA'!AD775)),IF($B777="STD. DEVIATION",2,$F$1))))</f>
        <v/>
      </c>
      <c r="AF777" s="1" t="str">
        <f>IF(OR($B777="",AF$7=""),"",IF($B777="MEANS",INDEX('1-DATA'!$1:$1048576,$A776-1,COLUMN('1-DATA'!AE775)),ROUND(INDEX('1-DATA'!$1:$1048576,IF(OR($B777="STD. DEVIATION",$C$1=1),$A777,$A777+1),COLUMN('1-DATA'!AE775)),IF($B777="STD. DEVIATION",2,$F$1))))</f>
        <v/>
      </c>
      <c r="AG777" s="1" t="str">
        <f>IF(OR($B777="",AG$7=""),"",IF($B777="MEANS",INDEX('1-DATA'!$1:$1048576,$A776-1,COLUMN('1-DATA'!AF775)),ROUND(INDEX('1-DATA'!$1:$1048576,IF(OR($B777="STD. DEVIATION",$C$1=1),$A777,$A777+1),COLUMN('1-DATA'!AF775)),IF($B777="STD. DEVIATION",2,$F$1))))</f>
        <v/>
      </c>
      <c r="AH777" s="1" t="str">
        <f>IF(OR($B777="",AH$7=""),"",IF($B777="MEANS",INDEX('1-DATA'!$1:$1048576,$A776-1,COLUMN('1-DATA'!AG775)),ROUND(INDEX('1-DATA'!$1:$1048576,IF(OR($B777="STD. DEVIATION",$C$1=1),$A777,$A777+1),COLUMN('1-DATA'!AG775)),IF($B777="STD. DEVIATION",2,$F$1))))</f>
        <v/>
      </c>
      <c r="AI777" s="1" t="str">
        <f>IF(OR($B777="",AI$7=""),"",IF($B777="MEANS",INDEX('1-DATA'!$1:$1048576,$A776-1,COLUMN('1-DATA'!AH775)),ROUND(INDEX('1-DATA'!$1:$1048576,IF(OR($B777="STD. DEVIATION",$C$1=1),$A777,$A777+1),COLUMN('1-DATA'!AH775)),IF($B777="STD. DEVIATION",2,$F$1))))</f>
        <v/>
      </c>
      <c r="AJ777" s="1" t="str">
        <f>IF(OR($B777="",AJ$7=""),"",IF($B777="MEANS",INDEX('1-DATA'!$1:$1048576,$A776-1,COLUMN('1-DATA'!AI775)),ROUND(INDEX('1-DATA'!$1:$1048576,IF(OR($B777="STD. DEVIATION",$C$1=1),$A777,$A777+1),COLUMN('1-DATA'!AI775)),IF($B777="STD. DEVIATION",2,$F$1))))</f>
        <v/>
      </c>
      <c r="AK777" s="1" t="str">
        <f>IF(OR($B777="",AK$7=""),"",IF($B777="MEANS",INDEX('1-DATA'!$1:$1048576,$A776-1,COLUMN('1-DATA'!AJ775)),ROUND(INDEX('1-DATA'!$1:$1048576,IF(OR($B777="STD. DEVIATION",$C$1=1),$A777,$A777+1),COLUMN('1-DATA'!AJ775)),IF($B777="STD. DEVIATION",2,$F$1))))</f>
        <v/>
      </c>
      <c r="AL777" s="1" t="str">
        <f>IF(OR($B777="",AL$7=""),"",IF($B777="MEANS",INDEX('1-DATA'!$1:$1048576,$A776-1,COLUMN('1-DATA'!AK775)),ROUND(INDEX('1-DATA'!$1:$1048576,IF(OR($B777="STD. DEVIATION",$C$1=1),$A777,$A777+1),COLUMN('1-DATA'!AK775)),IF($B777="STD. DEVIATION",2,$F$1))))</f>
        <v/>
      </c>
      <c r="AM777" s="1" t="str">
        <f>IF(OR($B777="",AM$7=""),"",IF($B777="MEANS",INDEX('1-DATA'!$1:$1048576,$A776-1,COLUMN('1-DATA'!AL775)),ROUND(INDEX('1-DATA'!$1:$1048576,IF(OR($B777="STD. DEVIATION",$C$1=1),$A777,$A777+1),COLUMN('1-DATA'!AL775)),IF($B777="STD. DEVIATION",2,$F$1))))</f>
        <v/>
      </c>
      <c r="AN777" s="1" t="str">
        <f>IF(OR($B777="",AN$7=""),"",IF($B777="MEANS",INDEX('1-DATA'!$1:$1048576,$A776-1,COLUMN('1-DATA'!AM775)),ROUND(INDEX('1-DATA'!$1:$1048576,IF(OR($B777="STD. DEVIATION",$C$1=1),$A777,$A777+1),COLUMN('1-DATA'!AM775)),IF($B777="STD. DEVIATION",2,$F$1))))</f>
        <v/>
      </c>
      <c r="AO777" s="1" t="str">
        <f>IF(OR($B777="",AO$7=""),"",IF($B777="MEANS",INDEX('1-DATA'!$1:$1048576,$A776-1,COLUMN('1-DATA'!AN775)),ROUND(INDEX('1-DATA'!$1:$1048576,IF(OR($B777="STD. DEVIATION",$C$1=1),$A777,$A777+1),COLUMN('1-DATA'!AN775)),IF($B777="STD. DEVIATION",2,$F$1))))</f>
        <v/>
      </c>
      <c r="AP777" s="1" t="str">
        <f>IF(OR($B777="",AP$7=""),"",IF($B777="MEANS",INDEX('1-DATA'!$1:$1048576,$A776-1,COLUMN('1-DATA'!AO775)),ROUND(INDEX('1-DATA'!$1:$1048576,IF(OR($B777="STD. DEVIATION",$C$1=1),$A777,$A777+1),COLUMN('1-DATA'!AO775)),IF($B777="STD. DEVIATION",2,$F$1))))</f>
        <v/>
      </c>
      <c r="AQ777" s="1" t="str">
        <f>IF(OR($B777="",AQ$7=""),"",IF($B777="MEANS",INDEX('1-DATA'!$1:$1048576,$A776-1,COLUMN('1-DATA'!AP775)),ROUND(INDEX('1-DATA'!$1:$1048576,IF(OR($B777="STD. DEVIATION",$C$1=1),$A777,$A777+1),COLUMN('1-DATA'!AP775)),IF($B777="STD. DEVIATION",2,$F$1))))</f>
        <v/>
      </c>
      <c r="AR777" s="1" t="str">
        <f>IF(OR($B777="",AR$7=""),"",IF($B777="MEANS",INDEX('1-DATA'!$1:$1048576,$A776-1,COLUMN('1-DATA'!AQ775)),ROUND(INDEX('1-DATA'!$1:$1048576,IF(OR($B777="STD. DEVIATION",$C$1=1),$A777,$A777+1),COLUMN('1-DATA'!AQ775)),IF($B777="STD. DEVIATION",2,$F$1))))</f>
        <v/>
      </c>
      <c r="AS777" s="1" t="str">
        <f>IF(OR($B777="",AS$7=""),"",IF($B777="MEANS",INDEX('1-DATA'!$1:$1048576,$A776-1,COLUMN('1-DATA'!AR775)),ROUND(INDEX('1-DATA'!$1:$1048576,IF(OR($B777="STD. DEVIATION",$C$1=1),$A777,$A777+1),COLUMN('1-DATA'!AR775)),IF($B777="STD. DEVIATION",2,$F$1))))</f>
        <v/>
      </c>
      <c r="AT777" s="1" t="str">
        <f>IF(OR($B777="",AT$7=""),"",IF($B777="MEANS",INDEX('1-DATA'!$1:$1048576,$A776-1,COLUMN('1-DATA'!AS775)),ROUND(INDEX('1-DATA'!$1:$1048576,IF(OR($B777="STD. DEVIATION",$C$1=1),$A777,$A777+1),COLUMN('1-DATA'!AS775)),IF($B777="STD. DEVIATION",2,$F$1))))</f>
        <v/>
      </c>
      <c r="AU777" s="1" t="str">
        <f>IF(OR($B777="",AU$7=""),"",IF($B777="MEANS",INDEX('1-DATA'!$1:$1048576,$A776-1,COLUMN('1-DATA'!AT775)),ROUND(INDEX('1-DATA'!$1:$1048576,IF(OR($B777="STD. DEVIATION",$C$1=1),$A777,$A777+1),COLUMN('1-DATA'!AT775)),IF($B777="STD. DEVIATION",2,$F$1))))</f>
        <v/>
      </c>
      <c r="AV777" s="1" t="str">
        <f>IF(OR($B777="",AV$7=""),"",IF($B777="MEANS",INDEX('1-DATA'!$1:$1048576,$A776-1,COLUMN('1-DATA'!AU775)),ROUND(INDEX('1-DATA'!$1:$1048576,IF(OR($B777="STD. DEVIATION",$C$1=1),$A777,$A777+1),COLUMN('1-DATA'!AU775)),IF($B777="STD. DEVIATION",2,$F$1))))</f>
        <v/>
      </c>
      <c r="AW777" s="1" t="str">
        <f>IF(OR($B777="",AW$7=""),"",IF($B777="MEANS",INDEX('1-DATA'!$1:$1048576,$A776-1,COLUMN('1-DATA'!AV775)),ROUND(INDEX('1-DATA'!$1:$1048576,IF(OR($B777="STD. DEVIATION",$C$1=1),$A777,$A777+1),COLUMN('1-DATA'!AV775)),IF($B777="STD. DEVIATION",2,$F$1))))</f>
        <v/>
      </c>
      <c r="AX777" s="1" t="str">
        <f>IF(OR($B777="",AX$7=""),"",IF($B777="MEANS",INDEX('1-DATA'!$1:$1048576,$A776-1,COLUMN('1-DATA'!AW775)),ROUND(INDEX('1-DATA'!$1:$1048576,IF(OR($B777="STD. DEVIATION",$C$1=1),$A777,$A777+1),COLUMN('1-DATA'!AW775)),IF($B777="STD. DEVIATION",2,$F$1))))</f>
        <v/>
      </c>
      <c r="AY777" s="1" t="str">
        <f>IF(OR($B777="",AY$7=""),"",IF($B777="MEANS",INDEX('1-DATA'!$1:$1048576,$A776-1,COLUMN('1-DATA'!AX775)),ROUND(INDEX('1-DATA'!$1:$1048576,IF(OR($B777="STD. DEVIATION",$C$1=1),$A777,$A777+1),COLUMN('1-DATA'!AX775)),IF($B777="STD. DEVIATION",2,$F$1))))</f>
        <v/>
      </c>
      <c r="AZ777" s="1" t="str">
        <f>IF(OR($B777="",AZ$7=""),"",IF($B777="MEANS",INDEX('1-DATA'!$1:$1048576,$A776-1,COLUMN('1-DATA'!AY775)),ROUND(INDEX('1-DATA'!$1:$1048576,IF(OR($B777="STD. DEVIATION",$C$1=1),$A777,$A777+1),COLUMN('1-DATA'!AY775)),IF($B777="STD. DEVIATION",2,$F$1))))</f>
        <v/>
      </c>
    </row>
    <row r="778" spans="1:52" x14ac:dyDescent="0.25">
      <c r="A778" s="11">
        <f t="shared" si="12"/>
        <v>2320</v>
      </c>
      <c r="B778" s="1" t="str">
        <f>IF(B777="STD. DEVIATION",INDEX('1-DATA'!$1:$1048576,$A777-1,1),IF(INDEX('1-DATA'!$1:$1048576,$A778,1)&lt;&gt;"",INDEX('1-DATA'!$1:$1048576,$A778,1),""))</f>
        <v/>
      </c>
      <c r="C778" s="1" t="str">
        <f>IF(OR($B778="",C$7=""),"",IF($B778="MEANS",INDEX('1-DATA'!$1:$1048576,$A777-1,COLUMN('1-DATA'!B776)),ROUND(INDEX('1-DATA'!$1:$1048576,IF(OR($B778="STD. DEVIATION",$C$1=1),$A778,$A778+1),COLUMN('1-DATA'!B776)),IF($B778="STD. DEVIATION",2,$F$1))))</f>
        <v/>
      </c>
      <c r="D778" s="1" t="str">
        <f>IF(OR($B778="",D$7=""),"",IF($B778="MEANS",INDEX('1-DATA'!$1:$1048576,$A777-1,COLUMN('1-DATA'!C776)),ROUND(INDEX('1-DATA'!$1:$1048576,IF(OR($B778="STD. DEVIATION",$C$1=1),$A778,$A778+1),COLUMN('1-DATA'!C776)),IF($B778="STD. DEVIATION",2,$F$1))))</f>
        <v/>
      </c>
      <c r="E778" s="1" t="str">
        <f>IF(OR($B778="",E$7=""),"",IF($B778="MEANS",INDEX('1-DATA'!$1:$1048576,$A777-1,COLUMN('1-DATA'!D776)),ROUND(INDEX('1-DATA'!$1:$1048576,IF(OR($B778="STD. DEVIATION",$C$1=1),$A778,$A778+1),COLUMN('1-DATA'!D776)),IF($B778="STD. DEVIATION",2,$F$1))))</f>
        <v/>
      </c>
      <c r="F778" s="1" t="str">
        <f>IF(OR($B778="",F$7=""),"",IF($B778="MEANS",INDEX('1-DATA'!$1:$1048576,$A777-1,COLUMN('1-DATA'!E776)),ROUND(INDEX('1-DATA'!$1:$1048576,IF(OR($B778="STD. DEVIATION",$C$1=1),$A778,$A778+1),COLUMN('1-DATA'!E776)),IF($B778="STD. DEVIATION",2,$F$1))))</f>
        <v/>
      </c>
      <c r="G778" s="1" t="str">
        <f>IF(OR($B778="",G$7=""),"",IF($B778="MEANS",INDEX('1-DATA'!$1:$1048576,$A777-1,COLUMN('1-DATA'!F776)),ROUND(INDEX('1-DATA'!$1:$1048576,IF(OR($B778="STD. DEVIATION",$C$1=1),$A778,$A778+1),COLUMN('1-DATA'!F776)),IF($B778="STD. DEVIATION",2,$F$1))))</f>
        <v/>
      </c>
      <c r="H778" s="1" t="str">
        <f>IF(OR($B778="",H$7=""),"",IF($B778="MEANS",INDEX('1-DATA'!$1:$1048576,$A777-1,COLUMN('1-DATA'!G776)),ROUND(INDEX('1-DATA'!$1:$1048576,IF(OR($B778="STD. DEVIATION",$C$1=1),$A778,$A778+1),COLUMN('1-DATA'!G776)),IF($B778="STD. DEVIATION",2,$F$1))))</f>
        <v/>
      </c>
      <c r="I778" s="1" t="str">
        <f>IF(OR($B778="",I$7=""),"",IF($B778="MEANS",INDEX('1-DATA'!$1:$1048576,$A777-1,COLUMN('1-DATA'!H776)),ROUND(INDEX('1-DATA'!$1:$1048576,IF(OR($B778="STD. DEVIATION",$C$1=1),$A778,$A778+1),COLUMN('1-DATA'!H776)),IF($B778="STD. DEVIATION",2,$F$1))))</f>
        <v/>
      </c>
      <c r="J778" s="1" t="str">
        <f>IF(OR($B778="",J$7=""),"",IF($B778="MEANS",INDEX('1-DATA'!$1:$1048576,$A777-1,COLUMN('1-DATA'!I776)),ROUND(INDEX('1-DATA'!$1:$1048576,IF(OR($B778="STD. DEVIATION",$C$1=1),$A778,$A778+1),COLUMN('1-DATA'!I776)),IF($B778="STD. DEVIATION",2,$F$1))))</f>
        <v/>
      </c>
      <c r="K778" s="1" t="str">
        <f>IF(OR($B778="",K$7=""),"",IF($B778="MEANS",INDEX('1-DATA'!$1:$1048576,$A777-1,COLUMN('1-DATA'!J776)),ROUND(INDEX('1-DATA'!$1:$1048576,IF(OR($B778="STD. DEVIATION",$C$1=1),$A778,$A778+1),COLUMN('1-DATA'!J776)),IF($B778="STD. DEVIATION",2,$F$1))))</f>
        <v/>
      </c>
      <c r="L778" s="1" t="str">
        <f>IF(OR($B778="",L$7=""),"",IF($B778="MEANS",INDEX('1-DATA'!$1:$1048576,$A777-1,COLUMN('1-DATA'!K776)),ROUND(INDEX('1-DATA'!$1:$1048576,IF(OR($B778="STD. DEVIATION",$C$1=1),$A778,$A778+1),COLUMN('1-DATA'!K776)),IF($B778="STD. DEVIATION",2,$F$1))))</f>
        <v/>
      </c>
      <c r="M778" s="1" t="str">
        <f>IF(OR($B778="",M$7=""),"",IF($B778="MEANS",INDEX('1-DATA'!$1:$1048576,$A777-1,COLUMN('1-DATA'!L776)),ROUND(INDEX('1-DATA'!$1:$1048576,IF(OR($B778="STD. DEVIATION",$C$1=1),$A778,$A778+1),COLUMN('1-DATA'!L776)),IF($B778="STD. DEVIATION",2,$F$1))))</f>
        <v/>
      </c>
      <c r="N778" s="1" t="str">
        <f>IF(OR($B778="",N$7=""),"",IF($B778="MEANS",INDEX('1-DATA'!$1:$1048576,$A777-1,COLUMN('1-DATA'!M776)),ROUND(INDEX('1-DATA'!$1:$1048576,IF(OR($B778="STD. DEVIATION",$C$1=1),$A778,$A778+1),COLUMN('1-DATA'!M776)),IF($B778="STD. DEVIATION",2,$F$1))))</f>
        <v/>
      </c>
      <c r="O778" s="1" t="str">
        <f>IF(OR($B778="",O$7=""),"",IF($B778="MEANS",INDEX('1-DATA'!$1:$1048576,$A777-1,COLUMN('1-DATA'!N776)),ROUND(INDEX('1-DATA'!$1:$1048576,IF(OR($B778="STD. DEVIATION",$C$1=1),$A778,$A778+1),COLUMN('1-DATA'!N776)),IF($B778="STD. DEVIATION",2,$F$1))))</f>
        <v/>
      </c>
      <c r="P778" s="1" t="str">
        <f>IF(OR($B778="",P$7=""),"",IF($B778="MEANS",INDEX('1-DATA'!$1:$1048576,$A777-1,COLUMN('1-DATA'!O776)),ROUND(INDEX('1-DATA'!$1:$1048576,IF(OR($B778="STD. DEVIATION",$C$1=1),$A778,$A778+1),COLUMN('1-DATA'!O776)),IF($B778="STD. DEVIATION",2,$F$1))))</f>
        <v/>
      </c>
      <c r="Q778" s="1" t="str">
        <f>IF(OR($B778="",Q$7=""),"",IF($B778="MEANS",INDEX('1-DATA'!$1:$1048576,$A777-1,COLUMN('1-DATA'!P776)),ROUND(INDEX('1-DATA'!$1:$1048576,IF(OR($B778="STD. DEVIATION",$C$1=1),$A778,$A778+1),COLUMN('1-DATA'!P776)),IF($B778="STD. DEVIATION",2,$F$1))))</f>
        <v/>
      </c>
      <c r="R778" s="1" t="str">
        <f>IF(OR($B778="",R$7=""),"",IF($B778="MEANS",INDEX('1-DATA'!$1:$1048576,$A777-1,COLUMN('1-DATA'!Q776)),ROUND(INDEX('1-DATA'!$1:$1048576,IF(OR($B778="STD. DEVIATION",$C$1=1),$A778,$A778+1),COLUMN('1-DATA'!Q776)),IF($B778="STD. DEVIATION",2,$F$1))))</f>
        <v/>
      </c>
      <c r="S778" s="1" t="str">
        <f>IF(OR($B778="",S$7=""),"",IF($B778="MEANS",INDEX('1-DATA'!$1:$1048576,$A777-1,COLUMN('1-DATA'!R776)),ROUND(INDEX('1-DATA'!$1:$1048576,IF(OR($B778="STD. DEVIATION",$C$1=1),$A778,$A778+1),COLUMN('1-DATA'!R776)),IF($B778="STD. DEVIATION",2,$F$1))))</f>
        <v/>
      </c>
      <c r="T778" s="1" t="str">
        <f>IF(OR($B778="",T$7=""),"",IF($B778="MEANS",INDEX('1-DATA'!$1:$1048576,$A777-1,COLUMN('1-DATA'!S776)),ROUND(INDEX('1-DATA'!$1:$1048576,IF(OR($B778="STD. DEVIATION",$C$1=1),$A778,$A778+1),COLUMN('1-DATA'!S776)),IF($B778="STD. DEVIATION",2,$F$1))))</f>
        <v/>
      </c>
      <c r="U778" s="1" t="str">
        <f>IF(OR($B778="",U$7=""),"",IF($B778="MEANS",INDEX('1-DATA'!$1:$1048576,$A777-1,COLUMN('1-DATA'!T776)),ROUND(INDEX('1-DATA'!$1:$1048576,IF(OR($B778="STD. DEVIATION",$C$1=1),$A778,$A778+1),COLUMN('1-DATA'!T776)),IF($B778="STD. DEVIATION",2,$F$1))))</f>
        <v/>
      </c>
      <c r="V778" s="1" t="str">
        <f>IF(OR($B778="",V$7=""),"",IF($B778="MEANS",INDEX('1-DATA'!$1:$1048576,$A777-1,COLUMN('1-DATA'!U776)),ROUND(INDEX('1-DATA'!$1:$1048576,IF(OR($B778="STD. DEVIATION",$C$1=1),$A778,$A778+1),COLUMN('1-DATA'!U776)),IF($B778="STD. DEVIATION",2,$F$1))))</f>
        <v/>
      </c>
      <c r="W778" s="1" t="str">
        <f>IF(OR($B778="",W$7=""),"",IF($B778="MEANS",INDEX('1-DATA'!$1:$1048576,$A777-1,COLUMN('1-DATA'!V776)),ROUND(INDEX('1-DATA'!$1:$1048576,IF(OR($B778="STD. DEVIATION",$C$1=1),$A778,$A778+1),COLUMN('1-DATA'!V776)),IF($B778="STD. DEVIATION",2,$F$1))))</f>
        <v/>
      </c>
      <c r="X778" s="1" t="str">
        <f>IF(OR($B778="",X$7=""),"",IF($B778="MEANS",INDEX('1-DATA'!$1:$1048576,$A777-1,COLUMN('1-DATA'!W776)),ROUND(INDEX('1-DATA'!$1:$1048576,IF(OR($B778="STD. DEVIATION",$C$1=1),$A778,$A778+1),COLUMN('1-DATA'!W776)),IF($B778="STD. DEVIATION",2,$F$1))))</f>
        <v/>
      </c>
      <c r="Y778" s="1" t="str">
        <f>IF(OR($B778="",Y$7=""),"",IF($B778="MEANS",INDEX('1-DATA'!$1:$1048576,$A777-1,COLUMN('1-DATA'!X776)),ROUND(INDEX('1-DATA'!$1:$1048576,IF(OR($B778="STD. DEVIATION",$C$1=1),$A778,$A778+1),COLUMN('1-DATA'!X776)),IF($B778="STD. DEVIATION",2,$F$1))))</f>
        <v/>
      </c>
      <c r="Z778" s="1" t="str">
        <f>IF(OR($B778="",Z$7=""),"",IF($B778="MEANS",INDEX('1-DATA'!$1:$1048576,$A777-1,COLUMN('1-DATA'!Y776)),ROUND(INDEX('1-DATA'!$1:$1048576,IF(OR($B778="STD. DEVIATION",$C$1=1),$A778,$A778+1),COLUMN('1-DATA'!Y776)),IF($B778="STD. DEVIATION",2,$F$1))))</f>
        <v/>
      </c>
      <c r="AA778" s="1" t="str">
        <f>IF(OR($B778="",AA$7=""),"",IF($B778="MEANS",INDEX('1-DATA'!$1:$1048576,$A777-1,COLUMN('1-DATA'!Z776)),ROUND(INDEX('1-DATA'!$1:$1048576,IF(OR($B778="STD. DEVIATION",$C$1=1),$A778,$A778+1),COLUMN('1-DATA'!Z776)),IF($B778="STD. DEVIATION",2,$F$1))))</f>
        <v/>
      </c>
      <c r="AB778" s="1" t="str">
        <f>IF(OR($B778="",AB$7=""),"",IF($B778="MEANS",INDEX('1-DATA'!$1:$1048576,$A777-1,COLUMN('1-DATA'!AA776)),ROUND(INDEX('1-DATA'!$1:$1048576,IF(OR($B778="STD. DEVIATION",$C$1=1),$A778,$A778+1),COLUMN('1-DATA'!AA776)),IF($B778="STD. DEVIATION",2,$F$1))))</f>
        <v/>
      </c>
      <c r="AC778" s="1" t="str">
        <f>IF(OR($B778="",AC$7=""),"",IF($B778="MEANS",INDEX('1-DATA'!$1:$1048576,$A777-1,COLUMN('1-DATA'!AB776)),ROUND(INDEX('1-DATA'!$1:$1048576,IF(OR($B778="STD. DEVIATION",$C$1=1),$A778,$A778+1),COLUMN('1-DATA'!AB776)),IF($B778="STD. DEVIATION",2,$F$1))))</f>
        <v/>
      </c>
      <c r="AD778" s="1" t="str">
        <f>IF(OR($B778="",AD$7=""),"",IF($B778="MEANS",INDEX('1-DATA'!$1:$1048576,$A777-1,COLUMN('1-DATA'!AC776)),ROUND(INDEX('1-DATA'!$1:$1048576,IF(OR($B778="STD. DEVIATION",$C$1=1),$A778,$A778+1),COLUMN('1-DATA'!AC776)),IF($B778="STD. DEVIATION",2,$F$1))))</f>
        <v/>
      </c>
      <c r="AE778" s="1" t="str">
        <f>IF(OR($B778="",AE$7=""),"",IF($B778="MEANS",INDEX('1-DATA'!$1:$1048576,$A777-1,COLUMN('1-DATA'!AD776)),ROUND(INDEX('1-DATA'!$1:$1048576,IF(OR($B778="STD. DEVIATION",$C$1=1),$A778,$A778+1),COLUMN('1-DATA'!AD776)),IF($B778="STD. DEVIATION",2,$F$1))))</f>
        <v/>
      </c>
      <c r="AF778" s="1" t="str">
        <f>IF(OR($B778="",AF$7=""),"",IF($B778="MEANS",INDEX('1-DATA'!$1:$1048576,$A777-1,COLUMN('1-DATA'!AE776)),ROUND(INDEX('1-DATA'!$1:$1048576,IF(OR($B778="STD. DEVIATION",$C$1=1),$A778,$A778+1),COLUMN('1-DATA'!AE776)),IF($B778="STD. DEVIATION",2,$F$1))))</f>
        <v/>
      </c>
      <c r="AG778" s="1" t="str">
        <f>IF(OR($B778="",AG$7=""),"",IF($B778="MEANS",INDEX('1-DATA'!$1:$1048576,$A777-1,COLUMN('1-DATA'!AF776)),ROUND(INDEX('1-DATA'!$1:$1048576,IF(OR($B778="STD. DEVIATION",$C$1=1),$A778,$A778+1),COLUMN('1-DATA'!AF776)),IF($B778="STD. DEVIATION",2,$F$1))))</f>
        <v/>
      </c>
      <c r="AH778" s="1" t="str">
        <f>IF(OR($B778="",AH$7=""),"",IF($B778="MEANS",INDEX('1-DATA'!$1:$1048576,$A777-1,COLUMN('1-DATA'!AG776)),ROUND(INDEX('1-DATA'!$1:$1048576,IF(OR($B778="STD. DEVIATION",$C$1=1),$A778,$A778+1),COLUMN('1-DATA'!AG776)),IF($B778="STD. DEVIATION",2,$F$1))))</f>
        <v/>
      </c>
      <c r="AI778" s="1" t="str">
        <f>IF(OR($B778="",AI$7=""),"",IF($B778="MEANS",INDEX('1-DATA'!$1:$1048576,$A777-1,COLUMN('1-DATA'!AH776)),ROUND(INDEX('1-DATA'!$1:$1048576,IF(OR($B778="STD. DEVIATION",$C$1=1),$A778,$A778+1),COLUMN('1-DATA'!AH776)),IF($B778="STD. DEVIATION",2,$F$1))))</f>
        <v/>
      </c>
      <c r="AJ778" s="1" t="str">
        <f>IF(OR($B778="",AJ$7=""),"",IF($B778="MEANS",INDEX('1-DATA'!$1:$1048576,$A777-1,COLUMN('1-DATA'!AI776)),ROUND(INDEX('1-DATA'!$1:$1048576,IF(OR($B778="STD. DEVIATION",$C$1=1),$A778,$A778+1),COLUMN('1-DATA'!AI776)),IF($B778="STD. DEVIATION",2,$F$1))))</f>
        <v/>
      </c>
      <c r="AK778" s="1" t="str">
        <f>IF(OR($B778="",AK$7=""),"",IF($B778="MEANS",INDEX('1-DATA'!$1:$1048576,$A777-1,COLUMN('1-DATA'!AJ776)),ROUND(INDEX('1-DATA'!$1:$1048576,IF(OR($B778="STD. DEVIATION",$C$1=1),$A778,$A778+1),COLUMN('1-DATA'!AJ776)),IF($B778="STD. DEVIATION",2,$F$1))))</f>
        <v/>
      </c>
      <c r="AL778" s="1" t="str">
        <f>IF(OR($B778="",AL$7=""),"",IF($B778="MEANS",INDEX('1-DATA'!$1:$1048576,$A777-1,COLUMN('1-DATA'!AK776)),ROUND(INDEX('1-DATA'!$1:$1048576,IF(OR($B778="STD. DEVIATION",$C$1=1),$A778,$A778+1),COLUMN('1-DATA'!AK776)),IF($B778="STD. DEVIATION",2,$F$1))))</f>
        <v/>
      </c>
      <c r="AM778" s="1" t="str">
        <f>IF(OR($B778="",AM$7=""),"",IF($B778="MEANS",INDEX('1-DATA'!$1:$1048576,$A777-1,COLUMN('1-DATA'!AL776)),ROUND(INDEX('1-DATA'!$1:$1048576,IF(OR($B778="STD. DEVIATION",$C$1=1),$A778,$A778+1),COLUMN('1-DATA'!AL776)),IF($B778="STD. DEVIATION",2,$F$1))))</f>
        <v/>
      </c>
      <c r="AN778" s="1" t="str">
        <f>IF(OR($B778="",AN$7=""),"",IF($B778="MEANS",INDEX('1-DATA'!$1:$1048576,$A777-1,COLUMN('1-DATA'!AM776)),ROUND(INDEX('1-DATA'!$1:$1048576,IF(OR($B778="STD. DEVIATION",$C$1=1),$A778,$A778+1),COLUMN('1-DATA'!AM776)),IF($B778="STD. DEVIATION",2,$F$1))))</f>
        <v/>
      </c>
      <c r="AO778" s="1" t="str">
        <f>IF(OR($B778="",AO$7=""),"",IF($B778="MEANS",INDEX('1-DATA'!$1:$1048576,$A777-1,COLUMN('1-DATA'!AN776)),ROUND(INDEX('1-DATA'!$1:$1048576,IF(OR($B778="STD. DEVIATION",$C$1=1),$A778,$A778+1),COLUMN('1-DATA'!AN776)),IF($B778="STD. DEVIATION",2,$F$1))))</f>
        <v/>
      </c>
      <c r="AP778" s="1" t="str">
        <f>IF(OR($B778="",AP$7=""),"",IF($B778="MEANS",INDEX('1-DATA'!$1:$1048576,$A777-1,COLUMN('1-DATA'!AO776)),ROUND(INDEX('1-DATA'!$1:$1048576,IF(OR($B778="STD. DEVIATION",$C$1=1),$A778,$A778+1),COLUMN('1-DATA'!AO776)),IF($B778="STD. DEVIATION",2,$F$1))))</f>
        <v/>
      </c>
      <c r="AQ778" s="1" t="str">
        <f>IF(OR($B778="",AQ$7=""),"",IF($B778="MEANS",INDEX('1-DATA'!$1:$1048576,$A777-1,COLUMN('1-DATA'!AP776)),ROUND(INDEX('1-DATA'!$1:$1048576,IF(OR($B778="STD. DEVIATION",$C$1=1),$A778,$A778+1),COLUMN('1-DATA'!AP776)),IF($B778="STD. DEVIATION",2,$F$1))))</f>
        <v/>
      </c>
      <c r="AR778" s="1" t="str">
        <f>IF(OR($B778="",AR$7=""),"",IF($B778="MEANS",INDEX('1-DATA'!$1:$1048576,$A777-1,COLUMN('1-DATA'!AQ776)),ROUND(INDEX('1-DATA'!$1:$1048576,IF(OR($B778="STD. DEVIATION",$C$1=1),$A778,$A778+1),COLUMN('1-DATA'!AQ776)),IF($B778="STD. DEVIATION",2,$F$1))))</f>
        <v/>
      </c>
      <c r="AS778" s="1" t="str">
        <f>IF(OR($B778="",AS$7=""),"",IF($B778="MEANS",INDEX('1-DATA'!$1:$1048576,$A777-1,COLUMN('1-DATA'!AR776)),ROUND(INDEX('1-DATA'!$1:$1048576,IF(OR($B778="STD. DEVIATION",$C$1=1),$A778,$A778+1),COLUMN('1-DATA'!AR776)),IF($B778="STD. DEVIATION",2,$F$1))))</f>
        <v/>
      </c>
      <c r="AT778" s="1" t="str">
        <f>IF(OR($B778="",AT$7=""),"",IF($B778="MEANS",INDEX('1-DATA'!$1:$1048576,$A777-1,COLUMN('1-DATA'!AS776)),ROUND(INDEX('1-DATA'!$1:$1048576,IF(OR($B778="STD. DEVIATION",$C$1=1),$A778,$A778+1),COLUMN('1-DATA'!AS776)),IF($B778="STD. DEVIATION",2,$F$1))))</f>
        <v/>
      </c>
      <c r="AU778" s="1" t="str">
        <f>IF(OR($B778="",AU$7=""),"",IF($B778="MEANS",INDEX('1-DATA'!$1:$1048576,$A777-1,COLUMN('1-DATA'!AT776)),ROUND(INDEX('1-DATA'!$1:$1048576,IF(OR($B778="STD. DEVIATION",$C$1=1),$A778,$A778+1),COLUMN('1-DATA'!AT776)),IF($B778="STD. DEVIATION",2,$F$1))))</f>
        <v/>
      </c>
      <c r="AV778" s="1" t="str">
        <f>IF(OR($B778="",AV$7=""),"",IF($B778="MEANS",INDEX('1-DATA'!$1:$1048576,$A777-1,COLUMN('1-DATA'!AU776)),ROUND(INDEX('1-DATA'!$1:$1048576,IF(OR($B778="STD. DEVIATION",$C$1=1),$A778,$A778+1),COLUMN('1-DATA'!AU776)),IF($B778="STD. DEVIATION",2,$F$1))))</f>
        <v/>
      </c>
      <c r="AW778" s="1" t="str">
        <f>IF(OR($B778="",AW$7=""),"",IF($B778="MEANS",INDEX('1-DATA'!$1:$1048576,$A777-1,COLUMN('1-DATA'!AV776)),ROUND(INDEX('1-DATA'!$1:$1048576,IF(OR($B778="STD. DEVIATION",$C$1=1),$A778,$A778+1),COLUMN('1-DATA'!AV776)),IF($B778="STD. DEVIATION",2,$F$1))))</f>
        <v/>
      </c>
      <c r="AX778" s="1" t="str">
        <f>IF(OR($B778="",AX$7=""),"",IF($B778="MEANS",INDEX('1-DATA'!$1:$1048576,$A777-1,COLUMN('1-DATA'!AW776)),ROUND(INDEX('1-DATA'!$1:$1048576,IF(OR($B778="STD. DEVIATION",$C$1=1),$A778,$A778+1),COLUMN('1-DATA'!AW776)),IF($B778="STD. DEVIATION",2,$F$1))))</f>
        <v/>
      </c>
      <c r="AY778" s="1" t="str">
        <f>IF(OR($B778="",AY$7=""),"",IF($B778="MEANS",INDEX('1-DATA'!$1:$1048576,$A777-1,COLUMN('1-DATA'!AX776)),ROUND(INDEX('1-DATA'!$1:$1048576,IF(OR($B778="STD. DEVIATION",$C$1=1),$A778,$A778+1),COLUMN('1-DATA'!AX776)),IF($B778="STD. DEVIATION",2,$F$1))))</f>
        <v/>
      </c>
      <c r="AZ778" s="1" t="str">
        <f>IF(OR($B778="",AZ$7=""),"",IF($B778="MEANS",INDEX('1-DATA'!$1:$1048576,$A777-1,COLUMN('1-DATA'!AY776)),ROUND(INDEX('1-DATA'!$1:$1048576,IF(OR($B778="STD. DEVIATION",$C$1=1),$A778,$A778+1),COLUMN('1-DATA'!AY776)),IF($B778="STD. DEVIATION",2,$F$1))))</f>
        <v/>
      </c>
    </row>
    <row r="779" spans="1:52" x14ac:dyDescent="0.25">
      <c r="A779" s="11">
        <f t="shared" si="12"/>
        <v>2323</v>
      </c>
      <c r="B779" s="1" t="str">
        <f>IF(B778="STD. DEVIATION",INDEX('1-DATA'!$1:$1048576,$A778-1,1),IF(INDEX('1-DATA'!$1:$1048576,$A779,1)&lt;&gt;"",INDEX('1-DATA'!$1:$1048576,$A779,1),""))</f>
        <v/>
      </c>
      <c r="C779" s="1" t="str">
        <f>IF(OR($B779="",C$7=""),"",IF($B779="MEANS",INDEX('1-DATA'!$1:$1048576,$A778-1,COLUMN('1-DATA'!B777)),ROUND(INDEX('1-DATA'!$1:$1048576,IF(OR($B779="STD. DEVIATION",$C$1=1),$A779,$A779+1),COLUMN('1-DATA'!B777)),IF($B779="STD. DEVIATION",2,$F$1))))</f>
        <v/>
      </c>
      <c r="D779" s="1" t="str">
        <f>IF(OR($B779="",D$7=""),"",IF($B779="MEANS",INDEX('1-DATA'!$1:$1048576,$A778-1,COLUMN('1-DATA'!C777)),ROUND(INDEX('1-DATA'!$1:$1048576,IF(OR($B779="STD. DEVIATION",$C$1=1),$A779,$A779+1),COLUMN('1-DATA'!C777)),IF($B779="STD. DEVIATION",2,$F$1))))</f>
        <v/>
      </c>
      <c r="E779" s="1" t="str">
        <f>IF(OR($B779="",E$7=""),"",IF($B779="MEANS",INDEX('1-DATA'!$1:$1048576,$A778-1,COLUMN('1-DATA'!D777)),ROUND(INDEX('1-DATA'!$1:$1048576,IF(OR($B779="STD. DEVIATION",$C$1=1),$A779,$A779+1),COLUMN('1-DATA'!D777)),IF($B779="STD. DEVIATION",2,$F$1))))</f>
        <v/>
      </c>
      <c r="F779" s="1" t="str">
        <f>IF(OR($B779="",F$7=""),"",IF($B779="MEANS",INDEX('1-DATA'!$1:$1048576,$A778-1,COLUMN('1-DATA'!E777)),ROUND(INDEX('1-DATA'!$1:$1048576,IF(OR($B779="STD. DEVIATION",$C$1=1),$A779,$A779+1),COLUMN('1-DATA'!E777)),IF($B779="STD. DEVIATION",2,$F$1))))</f>
        <v/>
      </c>
      <c r="G779" s="1" t="str">
        <f>IF(OR($B779="",G$7=""),"",IF($B779="MEANS",INDEX('1-DATA'!$1:$1048576,$A778-1,COLUMN('1-DATA'!F777)),ROUND(INDEX('1-DATA'!$1:$1048576,IF(OR($B779="STD. DEVIATION",$C$1=1),$A779,$A779+1),COLUMN('1-DATA'!F777)),IF($B779="STD. DEVIATION",2,$F$1))))</f>
        <v/>
      </c>
      <c r="H779" s="1" t="str">
        <f>IF(OR($B779="",H$7=""),"",IF($B779="MEANS",INDEX('1-DATA'!$1:$1048576,$A778-1,COLUMN('1-DATA'!G777)),ROUND(INDEX('1-DATA'!$1:$1048576,IF(OR($B779="STD. DEVIATION",$C$1=1),$A779,$A779+1),COLUMN('1-DATA'!G777)),IF($B779="STD. DEVIATION",2,$F$1))))</f>
        <v/>
      </c>
      <c r="I779" s="1" t="str">
        <f>IF(OR($B779="",I$7=""),"",IF($B779="MEANS",INDEX('1-DATA'!$1:$1048576,$A778-1,COLUMN('1-DATA'!H777)),ROUND(INDEX('1-DATA'!$1:$1048576,IF(OR($B779="STD. DEVIATION",$C$1=1),$A779,$A779+1),COLUMN('1-DATA'!H777)),IF($B779="STD. DEVIATION",2,$F$1))))</f>
        <v/>
      </c>
      <c r="J779" s="1" t="str">
        <f>IF(OR($B779="",J$7=""),"",IF($B779="MEANS",INDEX('1-DATA'!$1:$1048576,$A778-1,COLUMN('1-DATA'!I777)),ROUND(INDEX('1-DATA'!$1:$1048576,IF(OR($B779="STD. DEVIATION",$C$1=1),$A779,$A779+1),COLUMN('1-DATA'!I777)),IF($B779="STD. DEVIATION",2,$F$1))))</f>
        <v/>
      </c>
      <c r="K779" s="1" t="str">
        <f>IF(OR($B779="",K$7=""),"",IF($B779="MEANS",INDEX('1-DATA'!$1:$1048576,$A778-1,COLUMN('1-DATA'!J777)),ROUND(INDEX('1-DATA'!$1:$1048576,IF(OR($B779="STD. DEVIATION",$C$1=1),$A779,$A779+1),COLUMN('1-DATA'!J777)),IF($B779="STD. DEVIATION",2,$F$1))))</f>
        <v/>
      </c>
      <c r="L779" s="1" t="str">
        <f>IF(OR($B779="",L$7=""),"",IF($B779="MEANS",INDEX('1-DATA'!$1:$1048576,$A778-1,COLUMN('1-DATA'!K777)),ROUND(INDEX('1-DATA'!$1:$1048576,IF(OR($B779="STD. DEVIATION",$C$1=1),$A779,$A779+1),COLUMN('1-DATA'!K777)),IF($B779="STD. DEVIATION",2,$F$1))))</f>
        <v/>
      </c>
      <c r="M779" s="1" t="str">
        <f>IF(OR($B779="",M$7=""),"",IF($B779="MEANS",INDEX('1-DATA'!$1:$1048576,$A778-1,COLUMN('1-DATA'!L777)),ROUND(INDEX('1-DATA'!$1:$1048576,IF(OR($B779="STD. DEVIATION",$C$1=1),$A779,$A779+1),COLUMN('1-DATA'!L777)),IF($B779="STD. DEVIATION",2,$F$1))))</f>
        <v/>
      </c>
      <c r="N779" s="1" t="str">
        <f>IF(OR($B779="",N$7=""),"",IF($B779="MEANS",INDEX('1-DATA'!$1:$1048576,$A778-1,COLUMN('1-DATA'!M777)),ROUND(INDEX('1-DATA'!$1:$1048576,IF(OR($B779="STD. DEVIATION",$C$1=1),$A779,$A779+1),COLUMN('1-DATA'!M777)),IF($B779="STD. DEVIATION",2,$F$1))))</f>
        <v/>
      </c>
      <c r="O779" s="1" t="str">
        <f>IF(OR($B779="",O$7=""),"",IF($B779="MEANS",INDEX('1-DATA'!$1:$1048576,$A778-1,COLUMN('1-DATA'!N777)),ROUND(INDEX('1-DATA'!$1:$1048576,IF(OR($B779="STD. DEVIATION",$C$1=1),$A779,$A779+1),COLUMN('1-DATA'!N777)),IF($B779="STD. DEVIATION",2,$F$1))))</f>
        <v/>
      </c>
      <c r="P779" s="1" t="str">
        <f>IF(OR($B779="",P$7=""),"",IF($B779="MEANS",INDEX('1-DATA'!$1:$1048576,$A778-1,COLUMN('1-DATA'!O777)),ROUND(INDEX('1-DATA'!$1:$1048576,IF(OR($B779="STD. DEVIATION",$C$1=1),$A779,$A779+1),COLUMN('1-DATA'!O777)),IF($B779="STD. DEVIATION",2,$F$1))))</f>
        <v/>
      </c>
      <c r="Q779" s="1" t="str">
        <f>IF(OR($B779="",Q$7=""),"",IF($B779="MEANS",INDEX('1-DATA'!$1:$1048576,$A778-1,COLUMN('1-DATA'!P777)),ROUND(INDEX('1-DATA'!$1:$1048576,IF(OR($B779="STD. DEVIATION",$C$1=1),$A779,$A779+1),COLUMN('1-DATA'!P777)),IF($B779="STD. DEVIATION",2,$F$1))))</f>
        <v/>
      </c>
      <c r="R779" s="1" t="str">
        <f>IF(OR($B779="",R$7=""),"",IF($B779="MEANS",INDEX('1-DATA'!$1:$1048576,$A778-1,COLUMN('1-DATA'!Q777)),ROUND(INDEX('1-DATA'!$1:$1048576,IF(OR($B779="STD. DEVIATION",$C$1=1),$A779,$A779+1),COLUMN('1-DATA'!Q777)),IF($B779="STD. DEVIATION",2,$F$1))))</f>
        <v/>
      </c>
      <c r="S779" s="1" t="str">
        <f>IF(OR($B779="",S$7=""),"",IF($B779="MEANS",INDEX('1-DATA'!$1:$1048576,$A778-1,COLUMN('1-DATA'!R777)),ROUND(INDEX('1-DATA'!$1:$1048576,IF(OR($B779="STD. DEVIATION",$C$1=1),$A779,$A779+1),COLUMN('1-DATA'!R777)),IF($B779="STD. DEVIATION",2,$F$1))))</f>
        <v/>
      </c>
      <c r="T779" s="1" t="str">
        <f>IF(OR($B779="",T$7=""),"",IF($B779="MEANS",INDEX('1-DATA'!$1:$1048576,$A778-1,COLUMN('1-DATA'!S777)),ROUND(INDEX('1-DATA'!$1:$1048576,IF(OR($B779="STD. DEVIATION",$C$1=1),$A779,$A779+1),COLUMN('1-DATA'!S777)),IF($B779="STD. DEVIATION",2,$F$1))))</f>
        <v/>
      </c>
      <c r="U779" s="1" t="str">
        <f>IF(OR($B779="",U$7=""),"",IF($B779="MEANS",INDEX('1-DATA'!$1:$1048576,$A778-1,COLUMN('1-DATA'!T777)),ROUND(INDEX('1-DATA'!$1:$1048576,IF(OR($B779="STD. DEVIATION",$C$1=1),$A779,$A779+1),COLUMN('1-DATA'!T777)),IF($B779="STD. DEVIATION",2,$F$1))))</f>
        <v/>
      </c>
      <c r="V779" s="1" t="str">
        <f>IF(OR($B779="",V$7=""),"",IF($B779="MEANS",INDEX('1-DATA'!$1:$1048576,$A778-1,COLUMN('1-DATA'!U777)),ROUND(INDEX('1-DATA'!$1:$1048576,IF(OR($B779="STD. DEVIATION",$C$1=1),$A779,$A779+1),COLUMN('1-DATA'!U777)),IF($B779="STD. DEVIATION",2,$F$1))))</f>
        <v/>
      </c>
      <c r="W779" s="1" t="str">
        <f>IF(OR($B779="",W$7=""),"",IF($B779="MEANS",INDEX('1-DATA'!$1:$1048576,$A778-1,COLUMN('1-DATA'!V777)),ROUND(INDEX('1-DATA'!$1:$1048576,IF(OR($B779="STD. DEVIATION",$C$1=1),$A779,$A779+1),COLUMN('1-DATA'!V777)),IF($B779="STD. DEVIATION",2,$F$1))))</f>
        <v/>
      </c>
      <c r="X779" s="1" t="str">
        <f>IF(OR($B779="",X$7=""),"",IF($B779="MEANS",INDEX('1-DATA'!$1:$1048576,$A778-1,COLUMN('1-DATA'!W777)),ROUND(INDEX('1-DATA'!$1:$1048576,IF(OR($B779="STD. DEVIATION",$C$1=1),$A779,$A779+1),COLUMN('1-DATA'!W777)),IF($B779="STD. DEVIATION",2,$F$1))))</f>
        <v/>
      </c>
      <c r="Y779" s="1" t="str">
        <f>IF(OR($B779="",Y$7=""),"",IF($B779="MEANS",INDEX('1-DATA'!$1:$1048576,$A778-1,COLUMN('1-DATA'!X777)),ROUND(INDEX('1-DATA'!$1:$1048576,IF(OR($B779="STD. DEVIATION",$C$1=1),$A779,$A779+1),COLUMN('1-DATA'!X777)),IF($B779="STD. DEVIATION",2,$F$1))))</f>
        <v/>
      </c>
      <c r="Z779" s="1" t="str">
        <f>IF(OR($B779="",Z$7=""),"",IF($B779="MEANS",INDEX('1-DATA'!$1:$1048576,$A778-1,COLUMN('1-DATA'!Y777)),ROUND(INDEX('1-DATA'!$1:$1048576,IF(OR($B779="STD. DEVIATION",$C$1=1),$A779,$A779+1),COLUMN('1-DATA'!Y777)),IF($B779="STD. DEVIATION",2,$F$1))))</f>
        <v/>
      </c>
      <c r="AA779" s="1" t="str">
        <f>IF(OR($B779="",AA$7=""),"",IF($B779="MEANS",INDEX('1-DATA'!$1:$1048576,$A778-1,COLUMN('1-DATA'!Z777)),ROUND(INDEX('1-DATA'!$1:$1048576,IF(OR($B779="STD. DEVIATION",$C$1=1),$A779,$A779+1),COLUMN('1-DATA'!Z777)),IF($B779="STD. DEVIATION",2,$F$1))))</f>
        <v/>
      </c>
      <c r="AB779" s="1" t="str">
        <f>IF(OR($B779="",AB$7=""),"",IF($B779="MEANS",INDEX('1-DATA'!$1:$1048576,$A778-1,COLUMN('1-DATA'!AA777)),ROUND(INDEX('1-DATA'!$1:$1048576,IF(OR($B779="STD. DEVIATION",$C$1=1),$A779,$A779+1),COLUMN('1-DATA'!AA777)),IF($B779="STD. DEVIATION",2,$F$1))))</f>
        <v/>
      </c>
      <c r="AC779" s="1" t="str">
        <f>IF(OR($B779="",AC$7=""),"",IF($B779="MEANS",INDEX('1-DATA'!$1:$1048576,$A778-1,COLUMN('1-DATA'!AB777)),ROUND(INDEX('1-DATA'!$1:$1048576,IF(OR($B779="STD. DEVIATION",$C$1=1),$A779,$A779+1),COLUMN('1-DATA'!AB777)),IF($B779="STD. DEVIATION",2,$F$1))))</f>
        <v/>
      </c>
      <c r="AD779" s="1" t="str">
        <f>IF(OR($B779="",AD$7=""),"",IF($B779="MEANS",INDEX('1-DATA'!$1:$1048576,$A778-1,COLUMN('1-DATA'!AC777)),ROUND(INDEX('1-DATA'!$1:$1048576,IF(OR($B779="STD. DEVIATION",$C$1=1),$A779,$A779+1),COLUMN('1-DATA'!AC777)),IF($B779="STD. DEVIATION",2,$F$1))))</f>
        <v/>
      </c>
      <c r="AE779" s="1" t="str">
        <f>IF(OR($B779="",AE$7=""),"",IF($B779="MEANS",INDEX('1-DATA'!$1:$1048576,$A778-1,COLUMN('1-DATA'!AD777)),ROUND(INDEX('1-DATA'!$1:$1048576,IF(OR($B779="STD. DEVIATION",$C$1=1),$A779,$A779+1),COLUMN('1-DATA'!AD777)),IF($B779="STD. DEVIATION",2,$F$1))))</f>
        <v/>
      </c>
      <c r="AF779" s="1" t="str">
        <f>IF(OR($B779="",AF$7=""),"",IF($B779="MEANS",INDEX('1-DATA'!$1:$1048576,$A778-1,COLUMN('1-DATA'!AE777)),ROUND(INDEX('1-DATA'!$1:$1048576,IF(OR($B779="STD. DEVIATION",$C$1=1),$A779,$A779+1),COLUMN('1-DATA'!AE777)),IF($B779="STD. DEVIATION",2,$F$1))))</f>
        <v/>
      </c>
      <c r="AG779" s="1" t="str">
        <f>IF(OR($B779="",AG$7=""),"",IF($B779="MEANS",INDEX('1-DATA'!$1:$1048576,$A778-1,COLUMN('1-DATA'!AF777)),ROUND(INDEX('1-DATA'!$1:$1048576,IF(OR($B779="STD. DEVIATION",$C$1=1),$A779,$A779+1),COLUMN('1-DATA'!AF777)),IF($B779="STD. DEVIATION",2,$F$1))))</f>
        <v/>
      </c>
      <c r="AH779" s="1" t="str">
        <f>IF(OR($B779="",AH$7=""),"",IF($B779="MEANS",INDEX('1-DATA'!$1:$1048576,$A778-1,COLUMN('1-DATA'!AG777)),ROUND(INDEX('1-DATA'!$1:$1048576,IF(OR($B779="STD. DEVIATION",$C$1=1),$A779,$A779+1),COLUMN('1-DATA'!AG777)),IF($B779="STD. DEVIATION",2,$F$1))))</f>
        <v/>
      </c>
      <c r="AI779" s="1" t="str">
        <f>IF(OR($B779="",AI$7=""),"",IF($B779="MEANS",INDEX('1-DATA'!$1:$1048576,$A778-1,COLUMN('1-DATA'!AH777)),ROUND(INDEX('1-DATA'!$1:$1048576,IF(OR($B779="STD. DEVIATION",$C$1=1),$A779,$A779+1),COLUMN('1-DATA'!AH777)),IF($B779="STD. DEVIATION",2,$F$1))))</f>
        <v/>
      </c>
      <c r="AJ779" s="1" t="str">
        <f>IF(OR($B779="",AJ$7=""),"",IF($B779="MEANS",INDEX('1-DATA'!$1:$1048576,$A778-1,COLUMN('1-DATA'!AI777)),ROUND(INDEX('1-DATA'!$1:$1048576,IF(OR($B779="STD. DEVIATION",$C$1=1),$A779,$A779+1),COLUMN('1-DATA'!AI777)),IF($B779="STD. DEVIATION",2,$F$1))))</f>
        <v/>
      </c>
      <c r="AK779" s="1" t="str">
        <f>IF(OR($B779="",AK$7=""),"",IF($B779="MEANS",INDEX('1-DATA'!$1:$1048576,$A778-1,COLUMN('1-DATA'!AJ777)),ROUND(INDEX('1-DATA'!$1:$1048576,IF(OR($B779="STD. DEVIATION",$C$1=1),$A779,$A779+1),COLUMN('1-DATA'!AJ777)),IF($B779="STD. DEVIATION",2,$F$1))))</f>
        <v/>
      </c>
      <c r="AL779" s="1" t="str">
        <f>IF(OR($B779="",AL$7=""),"",IF($B779="MEANS",INDEX('1-DATA'!$1:$1048576,$A778-1,COLUMN('1-DATA'!AK777)),ROUND(INDEX('1-DATA'!$1:$1048576,IF(OR($B779="STD. DEVIATION",$C$1=1),$A779,$A779+1),COLUMN('1-DATA'!AK777)),IF($B779="STD. DEVIATION",2,$F$1))))</f>
        <v/>
      </c>
      <c r="AM779" s="1" t="str">
        <f>IF(OR($B779="",AM$7=""),"",IF($B779="MEANS",INDEX('1-DATA'!$1:$1048576,$A778-1,COLUMN('1-DATA'!AL777)),ROUND(INDEX('1-DATA'!$1:$1048576,IF(OR($B779="STD. DEVIATION",$C$1=1),$A779,$A779+1),COLUMN('1-DATA'!AL777)),IF($B779="STD. DEVIATION",2,$F$1))))</f>
        <v/>
      </c>
      <c r="AN779" s="1" t="str">
        <f>IF(OR($B779="",AN$7=""),"",IF($B779="MEANS",INDEX('1-DATA'!$1:$1048576,$A778-1,COLUMN('1-DATA'!AM777)),ROUND(INDEX('1-DATA'!$1:$1048576,IF(OR($B779="STD. DEVIATION",$C$1=1),$A779,$A779+1),COLUMN('1-DATA'!AM777)),IF($B779="STD. DEVIATION",2,$F$1))))</f>
        <v/>
      </c>
      <c r="AO779" s="1" t="str">
        <f>IF(OR($B779="",AO$7=""),"",IF($B779="MEANS",INDEX('1-DATA'!$1:$1048576,$A778-1,COLUMN('1-DATA'!AN777)),ROUND(INDEX('1-DATA'!$1:$1048576,IF(OR($B779="STD. DEVIATION",$C$1=1),$A779,$A779+1),COLUMN('1-DATA'!AN777)),IF($B779="STD. DEVIATION",2,$F$1))))</f>
        <v/>
      </c>
      <c r="AP779" s="1" t="str">
        <f>IF(OR($B779="",AP$7=""),"",IF($B779="MEANS",INDEX('1-DATA'!$1:$1048576,$A778-1,COLUMN('1-DATA'!AO777)),ROUND(INDEX('1-DATA'!$1:$1048576,IF(OR($B779="STD. DEVIATION",$C$1=1),$A779,$A779+1),COLUMN('1-DATA'!AO777)),IF($B779="STD. DEVIATION",2,$F$1))))</f>
        <v/>
      </c>
      <c r="AQ779" s="1" t="str">
        <f>IF(OR($B779="",AQ$7=""),"",IF($B779="MEANS",INDEX('1-DATA'!$1:$1048576,$A778-1,COLUMN('1-DATA'!AP777)),ROUND(INDEX('1-DATA'!$1:$1048576,IF(OR($B779="STD. DEVIATION",$C$1=1),$A779,$A779+1),COLUMN('1-DATA'!AP777)),IF($B779="STD. DEVIATION",2,$F$1))))</f>
        <v/>
      </c>
      <c r="AR779" s="1" t="str">
        <f>IF(OR($B779="",AR$7=""),"",IF($B779="MEANS",INDEX('1-DATA'!$1:$1048576,$A778-1,COLUMN('1-DATA'!AQ777)),ROUND(INDEX('1-DATA'!$1:$1048576,IF(OR($B779="STD. DEVIATION",$C$1=1),$A779,$A779+1),COLUMN('1-DATA'!AQ777)),IF($B779="STD. DEVIATION",2,$F$1))))</f>
        <v/>
      </c>
      <c r="AS779" s="1" t="str">
        <f>IF(OR($B779="",AS$7=""),"",IF($B779="MEANS",INDEX('1-DATA'!$1:$1048576,$A778-1,COLUMN('1-DATA'!AR777)),ROUND(INDEX('1-DATA'!$1:$1048576,IF(OR($B779="STD. DEVIATION",$C$1=1),$A779,$A779+1),COLUMN('1-DATA'!AR777)),IF($B779="STD. DEVIATION",2,$F$1))))</f>
        <v/>
      </c>
      <c r="AT779" s="1" t="str">
        <f>IF(OR($B779="",AT$7=""),"",IF($B779="MEANS",INDEX('1-DATA'!$1:$1048576,$A778-1,COLUMN('1-DATA'!AS777)),ROUND(INDEX('1-DATA'!$1:$1048576,IF(OR($B779="STD. DEVIATION",$C$1=1),$A779,$A779+1),COLUMN('1-DATA'!AS777)),IF($B779="STD. DEVIATION",2,$F$1))))</f>
        <v/>
      </c>
      <c r="AU779" s="1" t="str">
        <f>IF(OR($B779="",AU$7=""),"",IF($B779="MEANS",INDEX('1-DATA'!$1:$1048576,$A778-1,COLUMN('1-DATA'!AT777)),ROUND(INDEX('1-DATA'!$1:$1048576,IF(OR($B779="STD. DEVIATION",$C$1=1),$A779,$A779+1),COLUMN('1-DATA'!AT777)),IF($B779="STD. DEVIATION",2,$F$1))))</f>
        <v/>
      </c>
      <c r="AV779" s="1" t="str">
        <f>IF(OR($B779="",AV$7=""),"",IF($B779="MEANS",INDEX('1-DATA'!$1:$1048576,$A778-1,COLUMN('1-DATA'!AU777)),ROUND(INDEX('1-DATA'!$1:$1048576,IF(OR($B779="STD. DEVIATION",$C$1=1),$A779,$A779+1),COLUMN('1-DATA'!AU777)),IF($B779="STD. DEVIATION",2,$F$1))))</f>
        <v/>
      </c>
      <c r="AW779" s="1" t="str">
        <f>IF(OR($B779="",AW$7=""),"",IF($B779="MEANS",INDEX('1-DATA'!$1:$1048576,$A778-1,COLUMN('1-DATA'!AV777)),ROUND(INDEX('1-DATA'!$1:$1048576,IF(OR($B779="STD. DEVIATION",$C$1=1),$A779,$A779+1),COLUMN('1-DATA'!AV777)),IF($B779="STD. DEVIATION",2,$F$1))))</f>
        <v/>
      </c>
      <c r="AX779" s="1" t="str">
        <f>IF(OR($B779="",AX$7=""),"",IF($B779="MEANS",INDEX('1-DATA'!$1:$1048576,$A778-1,COLUMN('1-DATA'!AW777)),ROUND(INDEX('1-DATA'!$1:$1048576,IF(OR($B779="STD. DEVIATION",$C$1=1),$A779,$A779+1),COLUMN('1-DATA'!AW777)),IF($B779="STD. DEVIATION",2,$F$1))))</f>
        <v/>
      </c>
      <c r="AY779" s="1" t="str">
        <f>IF(OR($B779="",AY$7=""),"",IF($B779="MEANS",INDEX('1-DATA'!$1:$1048576,$A778-1,COLUMN('1-DATA'!AX777)),ROUND(INDEX('1-DATA'!$1:$1048576,IF(OR($B779="STD. DEVIATION",$C$1=1),$A779,$A779+1),COLUMN('1-DATA'!AX777)),IF($B779="STD. DEVIATION",2,$F$1))))</f>
        <v/>
      </c>
      <c r="AZ779" s="1" t="str">
        <f>IF(OR($B779="",AZ$7=""),"",IF($B779="MEANS",INDEX('1-DATA'!$1:$1048576,$A778-1,COLUMN('1-DATA'!AY777)),ROUND(INDEX('1-DATA'!$1:$1048576,IF(OR($B779="STD. DEVIATION",$C$1=1),$A779,$A779+1),COLUMN('1-DATA'!AY777)),IF($B779="STD. DEVIATION",2,$F$1))))</f>
        <v/>
      </c>
    </row>
    <row r="780" spans="1:52" x14ac:dyDescent="0.25">
      <c r="A780" s="11">
        <f t="shared" si="12"/>
        <v>2326</v>
      </c>
      <c r="B780" s="1" t="str">
        <f>IF(B779="STD. DEVIATION",INDEX('1-DATA'!$1:$1048576,$A779-1,1),IF(INDEX('1-DATA'!$1:$1048576,$A780,1)&lt;&gt;"",INDEX('1-DATA'!$1:$1048576,$A780,1),""))</f>
        <v/>
      </c>
      <c r="C780" s="1" t="str">
        <f>IF(OR($B780="",C$7=""),"",IF($B780="MEANS",INDEX('1-DATA'!$1:$1048576,$A779-1,COLUMN('1-DATA'!B778)),ROUND(INDEX('1-DATA'!$1:$1048576,IF(OR($B780="STD. DEVIATION",$C$1=1),$A780,$A780+1),COLUMN('1-DATA'!B778)),IF($B780="STD. DEVIATION",2,$F$1))))</f>
        <v/>
      </c>
      <c r="D780" s="1" t="str">
        <f>IF(OR($B780="",D$7=""),"",IF($B780="MEANS",INDEX('1-DATA'!$1:$1048576,$A779-1,COLUMN('1-DATA'!C778)),ROUND(INDEX('1-DATA'!$1:$1048576,IF(OR($B780="STD. DEVIATION",$C$1=1),$A780,$A780+1),COLUMN('1-DATA'!C778)),IF($B780="STD. DEVIATION",2,$F$1))))</f>
        <v/>
      </c>
      <c r="E780" s="1" t="str">
        <f>IF(OR($B780="",E$7=""),"",IF($B780="MEANS",INDEX('1-DATA'!$1:$1048576,$A779-1,COLUMN('1-DATA'!D778)),ROUND(INDEX('1-DATA'!$1:$1048576,IF(OR($B780="STD. DEVIATION",$C$1=1),$A780,$A780+1),COLUMN('1-DATA'!D778)),IF($B780="STD. DEVIATION",2,$F$1))))</f>
        <v/>
      </c>
      <c r="F780" s="1" t="str">
        <f>IF(OR($B780="",F$7=""),"",IF($B780="MEANS",INDEX('1-DATA'!$1:$1048576,$A779-1,COLUMN('1-DATA'!E778)),ROUND(INDEX('1-DATA'!$1:$1048576,IF(OR($B780="STD. DEVIATION",$C$1=1),$A780,$A780+1),COLUMN('1-DATA'!E778)),IF($B780="STD. DEVIATION",2,$F$1))))</f>
        <v/>
      </c>
      <c r="G780" s="1" t="str">
        <f>IF(OR($B780="",G$7=""),"",IF($B780="MEANS",INDEX('1-DATA'!$1:$1048576,$A779-1,COLUMN('1-DATA'!F778)),ROUND(INDEX('1-DATA'!$1:$1048576,IF(OR($B780="STD. DEVIATION",$C$1=1),$A780,$A780+1),COLUMN('1-DATA'!F778)),IF($B780="STD. DEVIATION",2,$F$1))))</f>
        <v/>
      </c>
      <c r="H780" s="1" t="str">
        <f>IF(OR($B780="",H$7=""),"",IF($B780="MEANS",INDEX('1-DATA'!$1:$1048576,$A779-1,COLUMN('1-DATA'!G778)),ROUND(INDEX('1-DATA'!$1:$1048576,IF(OR($B780="STD. DEVIATION",$C$1=1),$A780,$A780+1),COLUMN('1-DATA'!G778)),IF($B780="STD. DEVIATION",2,$F$1))))</f>
        <v/>
      </c>
      <c r="I780" s="1" t="str">
        <f>IF(OR($B780="",I$7=""),"",IF($B780="MEANS",INDEX('1-DATA'!$1:$1048576,$A779-1,COLUMN('1-DATA'!H778)),ROUND(INDEX('1-DATA'!$1:$1048576,IF(OR($B780="STD. DEVIATION",$C$1=1),$A780,$A780+1),COLUMN('1-DATA'!H778)),IF($B780="STD. DEVIATION",2,$F$1))))</f>
        <v/>
      </c>
      <c r="J780" s="1" t="str">
        <f>IF(OR($B780="",J$7=""),"",IF($B780="MEANS",INDEX('1-DATA'!$1:$1048576,$A779-1,COLUMN('1-DATA'!I778)),ROUND(INDEX('1-DATA'!$1:$1048576,IF(OR($B780="STD. DEVIATION",$C$1=1),$A780,$A780+1),COLUMN('1-DATA'!I778)),IF($B780="STD. DEVIATION",2,$F$1))))</f>
        <v/>
      </c>
      <c r="K780" s="1" t="str">
        <f>IF(OR($B780="",K$7=""),"",IF($B780="MEANS",INDEX('1-DATA'!$1:$1048576,$A779-1,COLUMN('1-DATA'!J778)),ROUND(INDEX('1-DATA'!$1:$1048576,IF(OR($B780="STD. DEVIATION",$C$1=1),$A780,$A780+1),COLUMN('1-DATA'!J778)),IF($B780="STD. DEVIATION",2,$F$1))))</f>
        <v/>
      </c>
      <c r="L780" s="1" t="str">
        <f>IF(OR($B780="",L$7=""),"",IF($B780="MEANS",INDEX('1-DATA'!$1:$1048576,$A779-1,COLUMN('1-DATA'!K778)),ROUND(INDEX('1-DATA'!$1:$1048576,IF(OR($B780="STD. DEVIATION",$C$1=1),$A780,$A780+1),COLUMN('1-DATA'!K778)),IF($B780="STD. DEVIATION",2,$F$1))))</f>
        <v/>
      </c>
      <c r="M780" s="1" t="str">
        <f>IF(OR($B780="",M$7=""),"",IF($B780="MEANS",INDEX('1-DATA'!$1:$1048576,$A779-1,COLUMN('1-DATA'!L778)),ROUND(INDEX('1-DATA'!$1:$1048576,IF(OR($B780="STD. DEVIATION",$C$1=1),$A780,$A780+1),COLUMN('1-DATA'!L778)),IF($B780="STD. DEVIATION",2,$F$1))))</f>
        <v/>
      </c>
      <c r="N780" s="1" t="str">
        <f>IF(OR($B780="",N$7=""),"",IF($B780="MEANS",INDEX('1-DATA'!$1:$1048576,$A779-1,COLUMN('1-DATA'!M778)),ROUND(INDEX('1-DATA'!$1:$1048576,IF(OR($B780="STD. DEVIATION",$C$1=1),$A780,$A780+1),COLUMN('1-DATA'!M778)),IF($B780="STD. DEVIATION",2,$F$1))))</f>
        <v/>
      </c>
      <c r="O780" s="1" t="str">
        <f>IF(OR($B780="",O$7=""),"",IF($B780="MEANS",INDEX('1-DATA'!$1:$1048576,$A779-1,COLUMN('1-DATA'!N778)),ROUND(INDEX('1-DATA'!$1:$1048576,IF(OR($B780="STD. DEVIATION",$C$1=1),$A780,$A780+1),COLUMN('1-DATA'!N778)),IF($B780="STD. DEVIATION",2,$F$1))))</f>
        <v/>
      </c>
      <c r="P780" s="1" t="str">
        <f>IF(OR($B780="",P$7=""),"",IF($B780="MEANS",INDEX('1-DATA'!$1:$1048576,$A779-1,COLUMN('1-DATA'!O778)),ROUND(INDEX('1-DATA'!$1:$1048576,IF(OR($B780="STD. DEVIATION",$C$1=1),$A780,$A780+1),COLUMN('1-DATA'!O778)),IF($B780="STD. DEVIATION",2,$F$1))))</f>
        <v/>
      </c>
      <c r="Q780" s="1" t="str">
        <f>IF(OR($B780="",Q$7=""),"",IF($B780="MEANS",INDEX('1-DATA'!$1:$1048576,$A779-1,COLUMN('1-DATA'!P778)),ROUND(INDEX('1-DATA'!$1:$1048576,IF(OR($B780="STD. DEVIATION",$C$1=1),$A780,$A780+1),COLUMN('1-DATA'!P778)),IF($B780="STD. DEVIATION",2,$F$1))))</f>
        <v/>
      </c>
      <c r="R780" s="1" t="str">
        <f>IF(OR($B780="",R$7=""),"",IF($B780="MEANS",INDEX('1-DATA'!$1:$1048576,$A779-1,COLUMN('1-DATA'!Q778)),ROUND(INDEX('1-DATA'!$1:$1048576,IF(OR($B780="STD. DEVIATION",$C$1=1),$A780,$A780+1),COLUMN('1-DATA'!Q778)),IF($B780="STD. DEVIATION",2,$F$1))))</f>
        <v/>
      </c>
      <c r="S780" s="1" t="str">
        <f>IF(OR($B780="",S$7=""),"",IF($B780="MEANS",INDEX('1-DATA'!$1:$1048576,$A779-1,COLUMN('1-DATA'!R778)),ROUND(INDEX('1-DATA'!$1:$1048576,IF(OR($B780="STD. DEVIATION",$C$1=1),$A780,$A780+1),COLUMN('1-DATA'!R778)),IF($B780="STD. DEVIATION",2,$F$1))))</f>
        <v/>
      </c>
      <c r="T780" s="1" t="str">
        <f>IF(OR($B780="",T$7=""),"",IF($B780="MEANS",INDEX('1-DATA'!$1:$1048576,$A779-1,COLUMN('1-DATA'!S778)),ROUND(INDEX('1-DATA'!$1:$1048576,IF(OR($B780="STD. DEVIATION",$C$1=1),$A780,$A780+1),COLUMN('1-DATA'!S778)),IF($B780="STD. DEVIATION",2,$F$1))))</f>
        <v/>
      </c>
      <c r="U780" s="1" t="str">
        <f>IF(OR($B780="",U$7=""),"",IF($B780="MEANS",INDEX('1-DATA'!$1:$1048576,$A779-1,COLUMN('1-DATA'!T778)),ROUND(INDEX('1-DATA'!$1:$1048576,IF(OR($B780="STD. DEVIATION",$C$1=1),$A780,$A780+1),COLUMN('1-DATA'!T778)),IF($B780="STD. DEVIATION",2,$F$1))))</f>
        <v/>
      </c>
      <c r="V780" s="1" t="str">
        <f>IF(OR($B780="",V$7=""),"",IF($B780="MEANS",INDEX('1-DATA'!$1:$1048576,$A779-1,COLUMN('1-DATA'!U778)),ROUND(INDEX('1-DATA'!$1:$1048576,IF(OR($B780="STD. DEVIATION",$C$1=1),$A780,$A780+1),COLUMN('1-DATA'!U778)),IF($B780="STD. DEVIATION",2,$F$1))))</f>
        <v/>
      </c>
      <c r="W780" s="1" t="str">
        <f>IF(OR($B780="",W$7=""),"",IF($B780="MEANS",INDEX('1-DATA'!$1:$1048576,$A779-1,COLUMN('1-DATA'!V778)),ROUND(INDEX('1-DATA'!$1:$1048576,IF(OR($B780="STD. DEVIATION",$C$1=1),$A780,$A780+1),COLUMN('1-DATA'!V778)),IF($B780="STD. DEVIATION",2,$F$1))))</f>
        <v/>
      </c>
      <c r="X780" s="1" t="str">
        <f>IF(OR($B780="",X$7=""),"",IF($B780="MEANS",INDEX('1-DATA'!$1:$1048576,$A779-1,COLUMN('1-DATA'!W778)),ROUND(INDEX('1-DATA'!$1:$1048576,IF(OR($B780="STD. DEVIATION",$C$1=1),$A780,$A780+1),COLUMN('1-DATA'!W778)),IF($B780="STD. DEVIATION",2,$F$1))))</f>
        <v/>
      </c>
      <c r="Y780" s="1" t="str">
        <f>IF(OR($B780="",Y$7=""),"",IF($B780="MEANS",INDEX('1-DATA'!$1:$1048576,$A779-1,COLUMN('1-DATA'!X778)),ROUND(INDEX('1-DATA'!$1:$1048576,IF(OR($B780="STD. DEVIATION",$C$1=1),$A780,$A780+1),COLUMN('1-DATA'!X778)),IF($B780="STD. DEVIATION",2,$F$1))))</f>
        <v/>
      </c>
      <c r="Z780" s="1" t="str">
        <f>IF(OR($B780="",Z$7=""),"",IF($B780="MEANS",INDEX('1-DATA'!$1:$1048576,$A779-1,COLUMN('1-DATA'!Y778)),ROUND(INDEX('1-DATA'!$1:$1048576,IF(OR($B780="STD. DEVIATION",$C$1=1),$A780,$A780+1),COLUMN('1-DATA'!Y778)),IF($B780="STD. DEVIATION",2,$F$1))))</f>
        <v/>
      </c>
      <c r="AA780" s="1" t="str">
        <f>IF(OR($B780="",AA$7=""),"",IF($B780="MEANS",INDEX('1-DATA'!$1:$1048576,$A779-1,COLUMN('1-DATA'!Z778)),ROUND(INDEX('1-DATA'!$1:$1048576,IF(OR($B780="STD. DEVIATION",$C$1=1),$A780,$A780+1),COLUMN('1-DATA'!Z778)),IF($B780="STD. DEVIATION",2,$F$1))))</f>
        <v/>
      </c>
      <c r="AB780" s="1" t="str">
        <f>IF(OR($B780="",AB$7=""),"",IF($B780="MEANS",INDEX('1-DATA'!$1:$1048576,$A779-1,COLUMN('1-DATA'!AA778)),ROUND(INDEX('1-DATA'!$1:$1048576,IF(OR($B780="STD. DEVIATION",$C$1=1),$A780,$A780+1),COLUMN('1-DATA'!AA778)),IF($B780="STD. DEVIATION",2,$F$1))))</f>
        <v/>
      </c>
      <c r="AC780" s="1" t="str">
        <f>IF(OR($B780="",AC$7=""),"",IF($B780="MEANS",INDEX('1-DATA'!$1:$1048576,$A779-1,COLUMN('1-DATA'!AB778)),ROUND(INDEX('1-DATA'!$1:$1048576,IF(OR($B780="STD. DEVIATION",$C$1=1),$A780,$A780+1),COLUMN('1-DATA'!AB778)),IF($B780="STD. DEVIATION",2,$F$1))))</f>
        <v/>
      </c>
      <c r="AD780" s="1" t="str">
        <f>IF(OR($B780="",AD$7=""),"",IF($B780="MEANS",INDEX('1-DATA'!$1:$1048576,$A779-1,COLUMN('1-DATA'!AC778)),ROUND(INDEX('1-DATA'!$1:$1048576,IF(OR($B780="STD. DEVIATION",$C$1=1),$A780,$A780+1),COLUMN('1-DATA'!AC778)),IF($B780="STD. DEVIATION",2,$F$1))))</f>
        <v/>
      </c>
      <c r="AE780" s="1" t="str">
        <f>IF(OR($B780="",AE$7=""),"",IF($B780="MEANS",INDEX('1-DATA'!$1:$1048576,$A779-1,COLUMN('1-DATA'!AD778)),ROUND(INDEX('1-DATA'!$1:$1048576,IF(OR($B780="STD. DEVIATION",$C$1=1),$A780,$A780+1),COLUMN('1-DATA'!AD778)),IF($B780="STD. DEVIATION",2,$F$1))))</f>
        <v/>
      </c>
      <c r="AF780" s="1" t="str">
        <f>IF(OR($B780="",AF$7=""),"",IF($B780="MEANS",INDEX('1-DATA'!$1:$1048576,$A779-1,COLUMN('1-DATA'!AE778)),ROUND(INDEX('1-DATA'!$1:$1048576,IF(OR($B780="STD. DEVIATION",$C$1=1),$A780,$A780+1),COLUMN('1-DATA'!AE778)),IF($B780="STD. DEVIATION",2,$F$1))))</f>
        <v/>
      </c>
      <c r="AG780" s="1" t="str">
        <f>IF(OR($B780="",AG$7=""),"",IF($B780="MEANS",INDEX('1-DATA'!$1:$1048576,$A779-1,COLUMN('1-DATA'!AF778)),ROUND(INDEX('1-DATA'!$1:$1048576,IF(OR($B780="STD. DEVIATION",$C$1=1),$A780,$A780+1),COLUMN('1-DATA'!AF778)),IF($B780="STD. DEVIATION",2,$F$1))))</f>
        <v/>
      </c>
      <c r="AH780" s="1" t="str">
        <f>IF(OR($B780="",AH$7=""),"",IF($B780="MEANS",INDEX('1-DATA'!$1:$1048576,$A779-1,COLUMN('1-DATA'!AG778)),ROUND(INDEX('1-DATA'!$1:$1048576,IF(OR($B780="STD. DEVIATION",$C$1=1),$A780,$A780+1),COLUMN('1-DATA'!AG778)),IF($B780="STD. DEVIATION",2,$F$1))))</f>
        <v/>
      </c>
      <c r="AI780" s="1" t="str">
        <f>IF(OR($B780="",AI$7=""),"",IF($B780="MEANS",INDEX('1-DATA'!$1:$1048576,$A779-1,COLUMN('1-DATA'!AH778)),ROUND(INDEX('1-DATA'!$1:$1048576,IF(OR($B780="STD. DEVIATION",$C$1=1),$A780,$A780+1),COLUMN('1-DATA'!AH778)),IF($B780="STD. DEVIATION",2,$F$1))))</f>
        <v/>
      </c>
      <c r="AJ780" s="1" t="str">
        <f>IF(OR($B780="",AJ$7=""),"",IF($B780="MEANS",INDEX('1-DATA'!$1:$1048576,$A779-1,COLUMN('1-DATA'!AI778)),ROUND(INDEX('1-DATA'!$1:$1048576,IF(OR($B780="STD. DEVIATION",$C$1=1),$A780,$A780+1),COLUMN('1-DATA'!AI778)),IF($B780="STD. DEVIATION",2,$F$1))))</f>
        <v/>
      </c>
      <c r="AK780" s="1" t="str">
        <f>IF(OR($B780="",AK$7=""),"",IF($B780="MEANS",INDEX('1-DATA'!$1:$1048576,$A779-1,COLUMN('1-DATA'!AJ778)),ROUND(INDEX('1-DATA'!$1:$1048576,IF(OR($B780="STD. DEVIATION",$C$1=1),$A780,$A780+1),COLUMN('1-DATA'!AJ778)),IF($B780="STD. DEVIATION",2,$F$1))))</f>
        <v/>
      </c>
      <c r="AL780" s="1" t="str">
        <f>IF(OR($B780="",AL$7=""),"",IF($B780="MEANS",INDEX('1-DATA'!$1:$1048576,$A779-1,COLUMN('1-DATA'!AK778)),ROUND(INDEX('1-DATA'!$1:$1048576,IF(OR($B780="STD. DEVIATION",$C$1=1),$A780,$A780+1),COLUMN('1-DATA'!AK778)),IF($B780="STD. DEVIATION",2,$F$1))))</f>
        <v/>
      </c>
      <c r="AM780" s="1" t="str">
        <f>IF(OR($B780="",AM$7=""),"",IF($B780="MEANS",INDEX('1-DATA'!$1:$1048576,$A779-1,COLUMN('1-DATA'!AL778)),ROUND(INDEX('1-DATA'!$1:$1048576,IF(OR($B780="STD. DEVIATION",$C$1=1),$A780,$A780+1),COLUMN('1-DATA'!AL778)),IF($B780="STD. DEVIATION",2,$F$1))))</f>
        <v/>
      </c>
      <c r="AN780" s="1" t="str">
        <f>IF(OR($B780="",AN$7=""),"",IF($B780="MEANS",INDEX('1-DATA'!$1:$1048576,$A779-1,COLUMN('1-DATA'!AM778)),ROUND(INDEX('1-DATA'!$1:$1048576,IF(OR($B780="STD. DEVIATION",$C$1=1),$A780,$A780+1),COLUMN('1-DATA'!AM778)),IF($B780="STD. DEVIATION",2,$F$1))))</f>
        <v/>
      </c>
      <c r="AO780" s="1" t="str">
        <f>IF(OR($B780="",AO$7=""),"",IF($B780="MEANS",INDEX('1-DATA'!$1:$1048576,$A779-1,COLUMN('1-DATA'!AN778)),ROUND(INDEX('1-DATA'!$1:$1048576,IF(OR($B780="STD. DEVIATION",$C$1=1),$A780,$A780+1),COLUMN('1-DATA'!AN778)),IF($B780="STD. DEVIATION",2,$F$1))))</f>
        <v/>
      </c>
      <c r="AP780" s="1" t="str">
        <f>IF(OR($B780="",AP$7=""),"",IF($B780="MEANS",INDEX('1-DATA'!$1:$1048576,$A779-1,COLUMN('1-DATA'!AO778)),ROUND(INDEX('1-DATA'!$1:$1048576,IF(OR($B780="STD. DEVIATION",$C$1=1),$A780,$A780+1),COLUMN('1-DATA'!AO778)),IF($B780="STD. DEVIATION",2,$F$1))))</f>
        <v/>
      </c>
      <c r="AQ780" s="1" t="str">
        <f>IF(OR($B780="",AQ$7=""),"",IF($B780="MEANS",INDEX('1-DATA'!$1:$1048576,$A779-1,COLUMN('1-DATA'!AP778)),ROUND(INDEX('1-DATA'!$1:$1048576,IF(OR($B780="STD. DEVIATION",$C$1=1),$A780,$A780+1),COLUMN('1-DATA'!AP778)),IF($B780="STD. DEVIATION",2,$F$1))))</f>
        <v/>
      </c>
      <c r="AR780" s="1" t="str">
        <f>IF(OR($B780="",AR$7=""),"",IF($B780="MEANS",INDEX('1-DATA'!$1:$1048576,$A779-1,COLUMN('1-DATA'!AQ778)),ROUND(INDEX('1-DATA'!$1:$1048576,IF(OR($B780="STD. DEVIATION",$C$1=1),$A780,$A780+1),COLUMN('1-DATA'!AQ778)),IF($B780="STD. DEVIATION",2,$F$1))))</f>
        <v/>
      </c>
      <c r="AS780" s="1" t="str">
        <f>IF(OR($B780="",AS$7=""),"",IF($B780="MEANS",INDEX('1-DATA'!$1:$1048576,$A779-1,COLUMN('1-DATA'!AR778)),ROUND(INDEX('1-DATA'!$1:$1048576,IF(OR($B780="STD. DEVIATION",$C$1=1),$A780,$A780+1),COLUMN('1-DATA'!AR778)),IF($B780="STD. DEVIATION",2,$F$1))))</f>
        <v/>
      </c>
      <c r="AT780" s="1" t="str">
        <f>IF(OR($B780="",AT$7=""),"",IF($B780="MEANS",INDEX('1-DATA'!$1:$1048576,$A779-1,COLUMN('1-DATA'!AS778)),ROUND(INDEX('1-DATA'!$1:$1048576,IF(OR($B780="STD. DEVIATION",$C$1=1),$A780,$A780+1),COLUMN('1-DATA'!AS778)),IF($B780="STD. DEVIATION",2,$F$1))))</f>
        <v/>
      </c>
      <c r="AU780" s="1" t="str">
        <f>IF(OR($B780="",AU$7=""),"",IF($B780="MEANS",INDEX('1-DATA'!$1:$1048576,$A779-1,COLUMN('1-DATA'!AT778)),ROUND(INDEX('1-DATA'!$1:$1048576,IF(OR($B780="STD. DEVIATION",$C$1=1),$A780,$A780+1),COLUMN('1-DATA'!AT778)),IF($B780="STD. DEVIATION",2,$F$1))))</f>
        <v/>
      </c>
      <c r="AV780" s="1" t="str">
        <f>IF(OR($B780="",AV$7=""),"",IF($B780="MEANS",INDEX('1-DATA'!$1:$1048576,$A779-1,COLUMN('1-DATA'!AU778)),ROUND(INDEX('1-DATA'!$1:$1048576,IF(OR($B780="STD. DEVIATION",$C$1=1),$A780,$A780+1),COLUMN('1-DATA'!AU778)),IF($B780="STD. DEVIATION",2,$F$1))))</f>
        <v/>
      </c>
      <c r="AW780" s="1" t="str">
        <f>IF(OR($B780="",AW$7=""),"",IF($B780="MEANS",INDEX('1-DATA'!$1:$1048576,$A779-1,COLUMN('1-DATA'!AV778)),ROUND(INDEX('1-DATA'!$1:$1048576,IF(OR($B780="STD. DEVIATION",$C$1=1),$A780,$A780+1),COLUMN('1-DATA'!AV778)),IF($B780="STD. DEVIATION",2,$F$1))))</f>
        <v/>
      </c>
      <c r="AX780" s="1" t="str">
        <f>IF(OR($B780="",AX$7=""),"",IF($B780="MEANS",INDEX('1-DATA'!$1:$1048576,$A779-1,COLUMN('1-DATA'!AW778)),ROUND(INDEX('1-DATA'!$1:$1048576,IF(OR($B780="STD. DEVIATION",$C$1=1),$A780,$A780+1),COLUMN('1-DATA'!AW778)),IF($B780="STD. DEVIATION",2,$F$1))))</f>
        <v/>
      </c>
      <c r="AY780" s="1" t="str">
        <f>IF(OR($B780="",AY$7=""),"",IF($B780="MEANS",INDEX('1-DATA'!$1:$1048576,$A779-1,COLUMN('1-DATA'!AX778)),ROUND(INDEX('1-DATA'!$1:$1048576,IF(OR($B780="STD. DEVIATION",$C$1=1),$A780,$A780+1),COLUMN('1-DATA'!AX778)),IF($B780="STD. DEVIATION",2,$F$1))))</f>
        <v/>
      </c>
      <c r="AZ780" s="1" t="str">
        <f>IF(OR($B780="",AZ$7=""),"",IF($B780="MEANS",INDEX('1-DATA'!$1:$1048576,$A779-1,COLUMN('1-DATA'!AY778)),ROUND(INDEX('1-DATA'!$1:$1048576,IF(OR($B780="STD. DEVIATION",$C$1=1),$A780,$A780+1),COLUMN('1-DATA'!AY778)),IF($B780="STD. DEVIATION",2,$F$1))))</f>
        <v/>
      </c>
    </row>
    <row r="781" spans="1:52" x14ac:dyDescent="0.25">
      <c r="A781" s="11">
        <f t="shared" si="12"/>
        <v>2329</v>
      </c>
      <c r="B781" s="1" t="str">
        <f>IF(B780="STD. DEVIATION",INDEX('1-DATA'!$1:$1048576,$A780-1,1),IF(INDEX('1-DATA'!$1:$1048576,$A781,1)&lt;&gt;"",INDEX('1-DATA'!$1:$1048576,$A781,1),""))</f>
        <v/>
      </c>
      <c r="C781" s="1" t="str">
        <f>IF(OR($B781="",C$7=""),"",IF($B781="MEANS",INDEX('1-DATA'!$1:$1048576,$A780-1,COLUMN('1-DATA'!B779)),ROUND(INDEX('1-DATA'!$1:$1048576,IF(OR($B781="STD. DEVIATION",$C$1=1),$A781,$A781+1),COLUMN('1-DATA'!B779)),IF($B781="STD. DEVIATION",2,$F$1))))</f>
        <v/>
      </c>
      <c r="D781" s="1" t="str">
        <f>IF(OR($B781="",D$7=""),"",IF($B781="MEANS",INDEX('1-DATA'!$1:$1048576,$A780-1,COLUMN('1-DATA'!C779)),ROUND(INDEX('1-DATA'!$1:$1048576,IF(OR($B781="STD. DEVIATION",$C$1=1),$A781,$A781+1),COLUMN('1-DATA'!C779)),IF($B781="STD. DEVIATION",2,$F$1))))</f>
        <v/>
      </c>
      <c r="E781" s="1" t="str">
        <f>IF(OR($B781="",E$7=""),"",IF($B781="MEANS",INDEX('1-DATA'!$1:$1048576,$A780-1,COLUMN('1-DATA'!D779)),ROUND(INDEX('1-DATA'!$1:$1048576,IF(OR($B781="STD. DEVIATION",$C$1=1),$A781,$A781+1),COLUMN('1-DATA'!D779)),IF($B781="STD. DEVIATION",2,$F$1))))</f>
        <v/>
      </c>
      <c r="F781" s="1" t="str">
        <f>IF(OR($B781="",F$7=""),"",IF($B781="MEANS",INDEX('1-DATA'!$1:$1048576,$A780-1,COLUMN('1-DATA'!E779)),ROUND(INDEX('1-DATA'!$1:$1048576,IF(OR($B781="STD. DEVIATION",$C$1=1),$A781,$A781+1),COLUMN('1-DATA'!E779)),IF($B781="STD. DEVIATION",2,$F$1))))</f>
        <v/>
      </c>
      <c r="G781" s="1" t="str">
        <f>IF(OR($B781="",G$7=""),"",IF($B781="MEANS",INDEX('1-DATA'!$1:$1048576,$A780-1,COLUMN('1-DATA'!F779)),ROUND(INDEX('1-DATA'!$1:$1048576,IF(OR($B781="STD. DEVIATION",$C$1=1),$A781,$A781+1),COLUMN('1-DATA'!F779)),IF($B781="STD. DEVIATION",2,$F$1))))</f>
        <v/>
      </c>
      <c r="H781" s="1" t="str">
        <f>IF(OR($B781="",H$7=""),"",IF($B781="MEANS",INDEX('1-DATA'!$1:$1048576,$A780-1,COLUMN('1-DATA'!G779)),ROUND(INDEX('1-DATA'!$1:$1048576,IF(OR($B781="STD. DEVIATION",$C$1=1),$A781,$A781+1),COLUMN('1-DATA'!G779)),IF($B781="STD. DEVIATION",2,$F$1))))</f>
        <v/>
      </c>
      <c r="I781" s="1" t="str">
        <f>IF(OR($B781="",I$7=""),"",IF($B781="MEANS",INDEX('1-DATA'!$1:$1048576,$A780-1,COLUMN('1-DATA'!H779)),ROUND(INDEX('1-DATA'!$1:$1048576,IF(OR($B781="STD. DEVIATION",$C$1=1),$A781,$A781+1),COLUMN('1-DATA'!H779)),IF($B781="STD. DEVIATION",2,$F$1))))</f>
        <v/>
      </c>
      <c r="J781" s="1" t="str">
        <f>IF(OR($B781="",J$7=""),"",IF($B781="MEANS",INDEX('1-DATA'!$1:$1048576,$A780-1,COLUMN('1-DATA'!I779)),ROUND(INDEX('1-DATA'!$1:$1048576,IF(OR($B781="STD. DEVIATION",$C$1=1),$A781,$A781+1),COLUMN('1-DATA'!I779)),IF($B781="STD. DEVIATION",2,$F$1))))</f>
        <v/>
      </c>
      <c r="K781" s="1" t="str">
        <f>IF(OR($B781="",K$7=""),"",IF($B781="MEANS",INDEX('1-DATA'!$1:$1048576,$A780-1,COLUMN('1-DATA'!J779)),ROUND(INDEX('1-DATA'!$1:$1048576,IF(OR($B781="STD. DEVIATION",$C$1=1),$A781,$A781+1),COLUMN('1-DATA'!J779)),IF($B781="STD. DEVIATION",2,$F$1))))</f>
        <v/>
      </c>
      <c r="L781" s="1" t="str">
        <f>IF(OR($B781="",L$7=""),"",IF($B781="MEANS",INDEX('1-DATA'!$1:$1048576,$A780-1,COLUMN('1-DATA'!K779)),ROUND(INDEX('1-DATA'!$1:$1048576,IF(OR($B781="STD. DEVIATION",$C$1=1),$A781,$A781+1),COLUMN('1-DATA'!K779)),IF($B781="STD. DEVIATION",2,$F$1))))</f>
        <v/>
      </c>
      <c r="M781" s="1" t="str">
        <f>IF(OR($B781="",M$7=""),"",IF($B781="MEANS",INDEX('1-DATA'!$1:$1048576,$A780-1,COLUMN('1-DATA'!L779)),ROUND(INDEX('1-DATA'!$1:$1048576,IF(OR($B781="STD. DEVIATION",$C$1=1),$A781,$A781+1),COLUMN('1-DATA'!L779)),IF($B781="STD. DEVIATION",2,$F$1))))</f>
        <v/>
      </c>
      <c r="N781" s="1" t="str">
        <f>IF(OR($B781="",N$7=""),"",IF($B781="MEANS",INDEX('1-DATA'!$1:$1048576,$A780-1,COLUMN('1-DATA'!M779)),ROUND(INDEX('1-DATA'!$1:$1048576,IF(OR($B781="STD. DEVIATION",$C$1=1),$A781,$A781+1),COLUMN('1-DATA'!M779)),IF($B781="STD. DEVIATION",2,$F$1))))</f>
        <v/>
      </c>
      <c r="O781" s="1" t="str">
        <f>IF(OR($B781="",O$7=""),"",IF($B781="MEANS",INDEX('1-DATA'!$1:$1048576,$A780-1,COLUMN('1-DATA'!N779)),ROUND(INDEX('1-DATA'!$1:$1048576,IF(OR($B781="STD. DEVIATION",$C$1=1),$A781,$A781+1),COLUMN('1-DATA'!N779)),IF($B781="STD. DEVIATION",2,$F$1))))</f>
        <v/>
      </c>
      <c r="P781" s="1" t="str">
        <f>IF(OR($B781="",P$7=""),"",IF($B781="MEANS",INDEX('1-DATA'!$1:$1048576,$A780-1,COLUMN('1-DATA'!O779)),ROUND(INDEX('1-DATA'!$1:$1048576,IF(OR($B781="STD. DEVIATION",$C$1=1),$A781,$A781+1),COLUMN('1-DATA'!O779)),IF($B781="STD. DEVIATION",2,$F$1))))</f>
        <v/>
      </c>
      <c r="Q781" s="1" t="str">
        <f>IF(OR($B781="",Q$7=""),"",IF($B781="MEANS",INDEX('1-DATA'!$1:$1048576,$A780-1,COLUMN('1-DATA'!P779)),ROUND(INDEX('1-DATA'!$1:$1048576,IF(OR($B781="STD. DEVIATION",$C$1=1),$A781,$A781+1),COLUMN('1-DATA'!P779)),IF($B781="STD. DEVIATION",2,$F$1))))</f>
        <v/>
      </c>
      <c r="R781" s="1" t="str">
        <f>IF(OR($B781="",R$7=""),"",IF($B781="MEANS",INDEX('1-DATA'!$1:$1048576,$A780-1,COLUMN('1-DATA'!Q779)),ROUND(INDEX('1-DATA'!$1:$1048576,IF(OR($B781="STD. DEVIATION",$C$1=1),$A781,$A781+1),COLUMN('1-DATA'!Q779)),IF($B781="STD. DEVIATION",2,$F$1))))</f>
        <v/>
      </c>
      <c r="S781" s="1" t="str">
        <f>IF(OR($B781="",S$7=""),"",IF($B781="MEANS",INDEX('1-DATA'!$1:$1048576,$A780-1,COLUMN('1-DATA'!R779)),ROUND(INDEX('1-DATA'!$1:$1048576,IF(OR($B781="STD. DEVIATION",$C$1=1),$A781,$A781+1),COLUMN('1-DATA'!R779)),IF($B781="STD. DEVIATION",2,$F$1))))</f>
        <v/>
      </c>
      <c r="T781" s="1" t="str">
        <f>IF(OR($B781="",T$7=""),"",IF($B781="MEANS",INDEX('1-DATA'!$1:$1048576,$A780-1,COLUMN('1-DATA'!S779)),ROUND(INDEX('1-DATA'!$1:$1048576,IF(OR($B781="STD. DEVIATION",$C$1=1),$A781,$A781+1),COLUMN('1-DATA'!S779)),IF($B781="STD. DEVIATION",2,$F$1))))</f>
        <v/>
      </c>
      <c r="U781" s="1" t="str">
        <f>IF(OR($B781="",U$7=""),"",IF($B781="MEANS",INDEX('1-DATA'!$1:$1048576,$A780-1,COLUMN('1-DATA'!T779)),ROUND(INDEX('1-DATA'!$1:$1048576,IF(OR($B781="STD. DEVIATION",$C$1=1),$A781,$A781+1),COLUMN('1-DATA'!T779)),IF($B781="STD. DEVIATION",2,$F$1))))</f>
        <v/>
      </c>
      <c r="V781" s="1" t="str">
        <f>IF(OR($B781="",V$7=""),"",IF($B781="MEANS",INDEX('1-DATA'!$1:$1048576,$A780-1,COLUMN('1-DATA'!U779)),ROUND(INDEX('1-DATA'!$1:$1048576,IF(OR($B781="STD. DEVIATION",$C$1=1),$A781,$A781+1),COLUMN('1-DATA'!U779)),IF($B781="STD. DEVIATION",2,$F$1))))</f>
        <v/>
      </c>
      <c r="W781" s="1" t="str">
        <f>IF(OR($B781="",W$7=""),"",IF($B781="MEANS",INDEX('1-DATA'!$1:$1048576,$A780-1,COLUMN('1-DATA'!V779)),ROUND(INDEX('1-DATA'!$1:$1048576,IF(OR($B781="STD. DEVIATION",$C$1=1),$A781,$A781+1),COLUMN('1-DATA'!V779)),IF($B781="STD. DEVIATION",2,$F$1))))</f>
        <v/>
      </c>
      <c r="X781" s="1" t="str">
        <f>IF(OR($B781="",X$7=""),"",IF($B781="MEANS",INDEX('1-DATA'!$1:$1048576,$A780-1,COLUMN('1-DATA'!W779)),ROUND(INDEX('1-DATA'!$1:$1048576,IF(OR($B781="STD. DEVIATION",$C$1=1),$A781,$A781+1),COLUMN('1-DATA'!W779)),IF($B781="STD. DEVIATION",2,$F$1))))</f>
        <v/>
      </c>
      <c r="Y781" s="1" t="str">
        <f>IF(OR($B781="",Y$7=""),"",IF($B781="MEANS",INDEX('1-DATA'!$1:$1048576,$A780-1,COLUMN('1-DATA'!X779)),ROUND(INDEX('1-DATA'!$1:$1048576,IF(OR($B781="STD. DEVIATION",$C$1=1),$A781,$A781+1),COLUMN('1-DATA'!X779)),IF($B781="STD. DEVIATION",2,$F$1))))</f>
        <v/>
      </c>
      <c r="Z781" s="1" t="str">
        <f>IF(OR($B781="",Z$7=""),"",IF($B781="MEANS",INDEX('1-DATA'!$1:$1048576,$A780-1,COLUMN('1-DATA'!Y779)),ROUND(INDEX('1-DATA'!$1:$1048576,IF(OR($B781="STD. DEVIATION",$C$1=1),$A781,$A781+1),COLUMN('1-DATA'!Y779)),IF($B781="STD. DEVIATION",2,$F$1))))</f>
        <v/>
      </c>
      <c r="AA781" s="1" t="str">
        <f>IF(OR($B781="",AA$7=""),"",IF($B781="MEANS",INDEX('1-DATA'!$1:$1048576,$A780-1,COLUMN('1-DATA'!Z779)),ROUND(INDEX('1-DATA'!$1:$1048576,IF(OR($B781="STD. DEVIATION",$C$1=1),$A781,$A781+1),COLUMN('1-DATA'!Z779)),IF($B781="STD. DEVIATION",2,$F$1))))</f>
        <v/>
      </c>
      <c r="AB781" s="1" t="str">
        <f>IF(OR($B781="",AB$7=""),"",IF($B781="MEANS",INDEX('1-DATA'!$1:$1048576,$A780-1,COLUMN('1-DATA'!AA779)),ROUND(INDEX('1-DATA'!$1:$1048576,IF(OR($B781="STD. DEVIATION",$C$1=1),$A781,$A781+1),COLUMN('1-DATA'!AA779)),IF($B781="STD. DEVIATION",2,$F$1))))</f>
        <v/>
      </c>
      <c r="AC781" s="1" t="str">
        <f>IF(OR($B781="",AC$7=""),"",IF($B781="MEANS",INDEX('1-DATA'!$1:$1048576,$A780-1,COLUMN('1-DATA'!AB779)),ROUND(INDEX('1-DATA'!$1:$1048576,IF(OR($B781="STD. DEVIATION",$C$1=1),$A781,$A781+1),COLUMN('1-DATA'!AB779)),IF($B781="STD. DEVIATION",2,$F$1))))</f>
        <v/>
      </c>
      <c r="AD781" s="1" t="str">
        <f>IF(OR($B781="",AD$7=""),"",IF($B781="MEANS",INDEX('1-DATA'!$1:$1048576,$A780-1,COLUMN('1-DATA'!AC779)),ROUND(INDEX('1-DATA'!$1:$1048576,IF(OR($B781="STD. DEVIATION",$C$1=1),$A781,$A781+1),COLUMN('1-DATA'!AC779)),IF($B781="STD. DEVIATION",2,$F$1))))</f>
        <v/>
      </c>
      <c r="AE781" s="1" t="str">
        <f>IF(OR($B781="",AE$7=""),"",IF($B781="MEANS",INDEX('1-DATA'!$1:$1048576,$A780-1,COLUMN('1-DATA'!AD779)),ROUND(INDEX('1-DATA'!$1:$1048576,IF(OR($B781="STD. DEVIATION",$C$1=1),$A781,$A781+1),COLUMN('1-DATA'!AD779)),IF($B781="STD. DEVIATION",2,$F$1))))</f>
        <v/>
      </c>
      <c r="AF781" s="1" t="str">
        <f>IF(OR($B781="",AF$7=""),"",IF($B781="MEANS",INDEX('1-DATA'!$1:$1048576,$A780-1,COLUMN('1-DATA'!AE779)),ROUND(INDEX('1-DATA'!$1:$1048576,IF(OR($B781="STD. DEVIATION",$C$1=1),$A781,$A781+1),COLUMN('1-DATA'!AE779)),IF($B781="STD. DEVIATION",2,$F$1))))</f>
        <v/>
      </c>
      <c r="AG781" s="1" t="str">
        <f>IF(OR($B781="",AG$7=""),"",IF($B781="MEANS",INDEX('1-DATA'!$1:$1048576,$A780-1,COLUMN('1-DATA'!AF779)),ROUND(INDEX('1-DATA'!$1:$1048576,IF(OR($B781="STD. DEVIATION",$C$1=1),$A781,$A781+1),COLUMN('1-DATA'!AF779)),IF($B781="STD. DEVIATION",2,$F$1))))</f>
        <v/>
      </c>
      <c r="AH781" s="1" t="str">
        <f>IF(OR($B781="",AH$7=""),"",IF($B781="MEANS",INDEX('1-DATA'!$1:$1048576,$A780-1,COLUMN('1-DATA'!AG779)),ROUND(INDEX('1-DATA'!$1:$1048576,IF(OR($B781="STD. DEVIATION",$C$1=1),$A781,$A781+1),COLUMN('1-DATA'!AG779)),IF($B781="STD. DEVIATION",2,$F$1))))</f>
        <v/>
      </c>
      <c r="AI781" s="1" t="str">
        <f>IF(OR($B781="",AI$7=""),"",IF($B781="MEANS",INDEX('1-DATA'!$1:$1048576,$A780-1,COLUMN('1-DATA'!AH779)),ROUND(INDEX('1-DATA'!$1:$1048576,IF(OR($B781="STD. DEVIATION",$C$1=1),$A781,$A781+1),COLUMN('1-DATA'!AH779)),IF($B781="STD. DEVIATION",2,$F$1))))</f>
        <v/>
      </c>
      <c r="AJ781" s="1" t="str">
        <f>IF(OR($B781="",AJ$7=""),"",IF($B781="MEANS",INDEX('1-DATA'!$1:$1048576,$A780-1,COLUMN('1-DATA'!AI779)),ROUND(INDEX('1-DATA'!$1:$1048576,IF(OR($B781="STD. DEVIATION",$C$1=1),$A781,$A781+1),COLUMN('1-DATA'!AI779)),IF($B781="STD. DEVIATION",2,$F$1))))</f>
        <v/>
      </c>
      <c r="AK781" s="1" t="str">
        <f>IF(OR($B781="",AK$7=""),"",IF($B781="MEANS",INDEX('1-DATA'!$1:$1048576,$A780-1,COLUMN('1-DATA'!AJ779)),ROUND(INDEX('1-DATA'!$1:$1048576,IF(OR($B781="STD. DEVIATION",$C$1=1),$A781,$A781+1),COLUMN('1-DATA'!AJ779)),IF($B781="STD. DEVIATION",2,$F$1))))</f>
        <v/>
      </c>
      <c r="AL781" s="1" t="str">
        <f>IF(OR($B781="",AL$7=""),"",IF($B781="MEANS",INDEX('1-DATA'!$1:$1048576,$A780-1,COLUMN('1-DATA'!AK779)),ROUND(INDEX('1-DATA'!$1:$1048576,IF(OR($B781="STD. DEVIATION",$C$1=1),$A781,$A781+1),COLUMN('1-DATA'!AK779)),IF($B781="STD. DEVIATION",2,$F$1))))</f>
        <v/>
      </c>
      <c r="AM781" s="1" t="str">
        <f>IF(OR($B781="",AM$7=""),"",IF($B781="MEANS",INDEX('1-DATA'!$1:$1048576,$A780-1,COLUMN('1-DATA'!AL779)),ROUND(INDEX('1-DATA'!$1:$1048576,IF(OR($B781="STD. DEVIATION",$C$1=1),$A781,$A781+1),COLUMN('1-DATA'!AL779)),IF($B781="STD. DEVIATION",2,$F$1))))</f>
        <v/>
      </c>
      <c r="AN781" s="1" t="str">
        <f>IF(OR($B781="",AN$7=""),"",IF($B781="MEANS",INDEX('1-DATA'!$1:$1048576,$A780-1,COLUMN('1-DATA'!AM779)),ROUND(INDEX('1-DATA'!$1:$1048576,IF(OR($B781="STD. DEVIATION",$C$1=1),$A781,$A781+1),COLUMN('1-DATA'!AM779)),IF($B781="STD. DEVIATION",2,$F$1))))</f>
        <v/>
      </c>
      <c r="AO781" s="1" t="str">
        <f>IF(OR($B781="",AO$7=""),"",IF($B781="MEANS",INDEX('1-DATA'!$1:$1048576,$A780-1,COLUMN('1-DATA'!AN779)),ROUND(INDEX('1-DATA'!$1:$1048576,IF(OR($B781="STD. DEVIATION",$C$1=1),$A781,$A781+1),COLUMN('1-DATA'!AN779)),IF($B781="STD. DEVIATION",2,$F$1))))</f>
        <v/>
      </c>
      <c r="AP781" s="1" t="str">
        <f>IF(OR($B781="",AP$7=""),"",IF($B781="MEANS",INDEX('1-DATA'!$1:$1048576,$A780-1,COLUMN('1-DATA'!AO779)),ROUND(INDEX('1-DATA'!$1:$1048576,IF(OR($B781="STD. DEVIATION",$C$1=1),$A781,$A781+1),COLUMN('1-DATA'!AO779)),IF($B781="STD. DEVIATION",2,$F$1))))</f>
        <v/>
      </c>
      <c r="AQ781" s="1" t="str">
        <f>IF(OR($B781="",AQ$7=""),"",IF($B781="MEANS",INDEX('1-DATA'!$1:$1048576,$A780-1,COLUMN('1-DATA'!AP779)),ROUND(INDEX('1-DATA'!$1:$1048576,IF(OR($B781="STD. DEVIATION",$C$1=1),$A781,$A781+1),COLUMN('1-DATA'!AP779)),IF($B781="STD. DEVIATION",2,$F$1))))</f>
        <v/>
      </c>
      <c r="AR781" s="1" t="str">
        <f>IF(OR($B781="",AR$7=""),"",IF($B781="MEANS",INDEX('1-DATA'!$1:$1048576,$A780-1,COLUMN('1-DATA'!AQ779)),ROUND(INDEX('1-DATA'!$1:$1048576,IF(OR($B781="STD. DEVIATION",$C$1=1),$A781,$A781+1),COLUMN('1-DATA'!AQ779)),IF($B781="STD. DEVIATION",2,$F$1))))</f>
        <v/>
      </c>
      <c r="AS781" s="1" t="str">
        <f>IF(OR($B781="",AS$7=""),"",IF($B781="MEANS",INDEX('1-DATA'!$1:$1048576,$A780-1,COLUMN('1-DATA'!AR779)),ROUND(INDEX('1-DATA'!$1:$1048576,IF(OR($B781="STD. DEVIATION",$C$1=1),$A781,$A781+1),COLUMN('1-DATA'!AR779)),IF($B781="STD. DEVIATION",2,$F$1))))</f>
        <v/>
      </c>
      <c r="AT781" s="1" t="str">
        <f>IF(OR($B781="",AT$7=""),"",IF($B781="MEANS",INDEX('1-DATA'!$1:$1048576,$A780-1,COLUMN('1-DATA'!AS779)),ROUND(INDEX('1-DATA'!$1:$1048576,IF(OR($B781="STD. DEVIATION",$C$1=1),$A781,$A781+1),COLUMN('1-DATA'!AS779)),IF($B781="STD. DEVIATION",2,$F$1))))</f>
        <v/>
      </c>
      <c r="AU781" s="1" t="str">
        <f>IF(OR($B781="",AU$7=""),"",IF($B781="MEANS",INDEX('1-DATA'!$1:$1048576,$A780-1,COLUMN('1-DATA'!AT779)),ROUND(INDEX('1-DATA'!$1:$1048576,IF(OR($B781="STD. DEVIATION",$C$1=1),$A781,$A781+1),COLUMN('1-DATA'!AT779)),IF($B781="STD. DEVIATION",2,$F$1))))</f>
        <v/>
      </c>
      <c r="AV781" s="1" t="str">
        <f>IF(OR($B781="",AV$7=""),"",IF($B781="MEANS",INDEX('1-DATA'!$1:$1048576,$A780-1,COLUMN('1-DATA'!AU779)),ROUND(INDEX('1-DATA'!$1:$1048576,IF(OR($B781="STD. DEVIATION",$C$1=1),$A781,$A781+1),COLUMN('1-DATA'!AU779)),IF($B781="STD. DEVIATION",2,$F$1))))</f>
        <v/>
      </c>
      <c r="AW781" s="1" t="str">
        <f>IF(OR($B781="",AW$7=""),"",IF($B781="MEANS",INDEX('1-DATA'!$1:$1048576,$A780-1,COLUMN('1-DATA'!AV779)),ROUND(INDEX('1-DATA'!$1:$1048576,IF(OR($B781="STD. DEVIATION",$C$1=1),$A781,$A781+1),COLUMN('1-DATA'!AV779)),IF($B781="STD. DEVIATION",2,$F$1))))</f>
        <v/>
      </c>
      <c r="AX781" s="1" t="str">
        <f>IF(OR($B781="",AX$7=""),"",IF($B781="MEANS",INDEX('1-DATA'!$1:$1048576,$A780-1,COLUMN('1-DATA'!AW779)),ROUND(INDEX('1-DATA'!$1:$1048576,IF(OR($B781="STD. DEVIATION",$C$1=1),$A781,$A781+1),COLUMN('1-DATA'!AW779)),IF($B781="STD. DEVIATION",2,$F$1))))</f>
        <v/>
      </c>
      <c r="AY781" s="1" t="str">
        <f>IF(OR($B781="",AY$7=""),"",IF($B781="MEANS",INDEX('1-DATA'!$1:$1048576,$A780-1,COLUMN('1-DATA'!AX779)),ROUND(INDEX('1-DATA'!$1:$1048576,IF(OR($B781="STD. DEVIATION",$C$1=1),$A781,$A781+1),COLUMN('1-DATA'!AX779)),IF($B781="STD. DEVIATION",2,$F$1))))</f>
        <v/>
      </c>
      <c r="AZ781" s="1" t="str">
        <f>IF(OR($B781="",AZ$7=""),"",IF($B781="MEANS",INDEX('1-DATA'!$1:$1048576,$A780-1,COLUMN('1-DATA'!AY779)),ROUND(INDEX('1-DATA'!$1:$1048576,IF(OR($B781="STD. DEVIATION",$C$1=1),$A781,$A781+1),COLUMN('1-DATA'!AY779)),IF($B781="STD. DEVIATION",2,$F$1))))</f>
        <v/>
      </c>
    </row>
    <row r="782" spans="1:52" x14ac:dyDescent="0.25">
      <c r="A782" s="11">
        <f t="shared" si="12"/>
        <v>2332</v>
      </c>
      <c r="B782" s="1" t="str">
        <f>IF(B781="STD. DEVIATION",INDEX('1-DATA'!$1:$1048576,$A781-1,1),IF(INDEX('1-DATA'!$1:$1048576,$A782,1)&lt;&gt;"",INDEX('1-DATA'!$1:$1048576,$A782,1),""))</f>
        <v/>
      </c>
      <c r="C782" s="1" t="str">
        <f>IF(OR($B782="",C$7=""),"",IF($B782="MEANS",INDEX('1-DATA'!$1:$1048576,$A781-1,COLUMN('1-DATA'!B780)),ROUND(INDEX('1-DATA'!$1:$1048576,IF(OR($B782="STD. DEVIATION",$C$1=1),$A782,$A782+1),COLUMN('1-DATA'!B780)),IF($B782="STD. DEVIATION",2,$F$1))))</f>
        <v/>
      </c>
      <c r="D782" s="1" t="str">
        <f>IF(OR($B782="",D$7=""),"",IF($B782="MEANS",INDEX('1-DATA'!$1:$1048576,$A781-1,COLUMN('1-DATA'!C780)),ROUND(INDEX('1-DATA'!$1:$1048576,IF(OR($B782="STD. DEVIATION",$C$1=1),$A782,$A782+1),COLUMN('1-DATA'!C780)),IF($B782="STD. DEVIATION",2,$F$1))))</f>
        <v/>
      </c>
      <c r="E782" s="1" t="str">
        <f>IF(OR($B782="",E$7=""),"",IF($B782="MEANS",INDEX('1-DATA'!$1:$1048576,$A781-1,COLUMN('1-DATA'!D780)),ROUND(INDEX('1-DATA'!$1:$1048576,IF(OR($B782="STD. DEVIATION",$C$1=1),$A782,$A782+1),COLUMN('1-DATA'!D780)),IF($B782="STD. DEVIATION",2,$F$1))))</f>
        <v/>
      </c>
      <c r="F782" s="1" t="str">
        <f>IF(OR($B782="",F$7=""),"",IF($B782="MEANS",INDEX('1-DATA'!$1:$1048576,$A781-1,COLUMN('1-DATA'!E780)),ROUND(INDEX('1-DATA'!$1:$1048576,IF(OR($B782="STD. DEVIATION",$C$1=1),$A782,$A782+1),COLUMN('1-DATA'!E780)),IF($B782="STD. DEVIATION",2,$F$1))))</f>
        <v/>
      </c>
      <c r="G782" s="1" t="str">
        <f>IF(OR($B782="",G$7=""),"",IF($B782="MEANS",INDEX('1-DATA'!$1:$1048576,$A781-1,COLUMN('1-DATA'!F780)),ROUND(INDEX('1-DATA'!$1:$1048576,IF(OR($B782="STD. DEVIATION",$C$1=1),$A782,$A782+1),COLUMN('1-DATA'!F780)),IF($B782="STD. DEVIATION",2,$F$1))))</f>
        <v/>
      </c>
      <c r="H782" s="1" t="str">
        <f>IF(OR($B782="",H$7=""),"",IF($B782="MEANS",INDEX('1-DATA'!$1:$1048576,$A781-1,COLUMN('1-DATA'!G780)),ROUND(INDEX('1-DATA'!$1:$1048576,IF(OR($B782="STD. DEVIATION",$C$1=1),$A782,$A782+1),COLUMN('1-DATA'!G780)),IF($B782="STD. DEVIATION",2,$F$1))))</f>
        <v/>
      </c>
      <c r="I782" s="1" t="str">
        <f>IF(OR($B782="",I$7=""),"",IF($B782="MEANS",INDEX('1-DATA'!$1:$1048576,$A781-1,COLUMN('1-DATA'!H780)),ROUND(INDEX('1-DATA'!$1:$1048576,IF(OR($B782="STD. DEVIATION",$C$1=1),$A782,$A782+1),COLUMN('1-DATA'!H780)),IF($B782="STD. DEVIATION",2,$F$1))))</f>
        <v/>
      </c>
      <c r="J782" s="1" t="str">
        <f>IF(OR($B782="",J$7=""),"",IF($B782="MEANS",INDEX('1-DATA'!$1:$1048576,$A781-1,COLUMN('1-DATA'!I780)),ROUND(INDEX('1-DATA'!$1:$1048576,IF(OR($B782="STD. DEVIATION",$C$1=1),$A782,$A782+1),COLUMN('1-DATA'!I780)),IF($B782="STD. DEVIATION",2,$F$1))))</f>
        <v/>
      </c>
      <c r="K782" s="1" t="str">
        <f>IF(OR($B782="",K$7=""),"",IF($B782="MEANS",INDEX('1-DATA'!$1:$1048576,$A781-1,COLUMN('1-DATA'!J780)),ROUND(INDEX('1-DATA'!$1:$1048576,IF(OR($B782="STD. DEVIATION",$C$1=1),$A782,$A782+1),COLUMN('1-DATA'!J780)),IF($B782="STD. DEVIATION",2,$F$1))))</f>
        <v/>
      </c>
      <c r="L782" s="1" t="str">
        <f>IF(OR($B782="",L$7=""),"",IF($B782="MEANS",INDEX('1-DATA'!$1:$1048576,$A781-1,COLUMN('1-DATA'!K780)),ROUND(INDEX('1-DATA'!$1:$1048576,IF(OR($B782="STD. DEVIATION",$C$1=1),$A782,$A782+1),COLUMN('1-DATA'!K780)),IF($B782="STD. DEVIATION",2,$F$1))))</f>
        <v/>
      </c>
      <c r="M782" s="1" t="str">
        <f>IF(OR($B782="",M$7=""),"",IF($B782="MEANS",INDEX('1-DATA'!$1:$1048576,$A781-1,COLUMN('1-DATA'!L780)),ROUND(INDEX('1-DATA'!$1:$1048576,IF(OR($B782="STD. DEVIATION",$C$1=1),$A782,$A782+1),COLUMN('1-DATA'!L780)),IF($B782="STD. DEVIATION",2,$F$1))))</f>
        <v/>
      </c>
      <c r="N782" s="1" t="str">
        <f>IF(OR($B782="",N$7=""),"",IF($B782="MEANS",INDEX('1-DATA'!$1:$1048576,$A781-1,COLUMN('1-DATA'!M780)),ROUND(INDEX('1-DATA'!$1:$1048576,IF(OR($B782="STD. DEVIATION",$C$1=1),$A782,$A782+1),COLUMN('1-DATA'!M780)),IF($B782="STD. DEVIATION",2,$F$1))))</f>
        <v/>
      </c>
      <c r="O782" s="1" t="str">
        <f>IF(OR($B782="",O$7=""),"",IF($B782="MEANS",INDEX('1-DATA'!$1:$1048576,$A781-1,COLUMN('1-DATA'!N780)),ROUND(INDEX('1-DATA'!$1:$1048576,IF(OR($B782="STD. DEVIATION",$C$1=1),$A782,$A782+1),COLUMN('1-DATA'!N780)),IF($B782="STD. DEVIATION",2,$F$1))))</f>
        <v/>
      </c>
      <c r="P782" s="1" t="str">
        <f>IF(OR($B782="",P$7=""),"",IF($B782="MEANS",INDEX('1-DATA'!$1:$1048576,$A781-1,COLUMN('1-DATA'!O780)),ROUND(INDEX('1-DATA'!$1:$1048576,IF(OR($B782="STD. DEVIATION",$C$1=1),$A782,$A782+1),COLUMN('1-DATA'!O780)),IF($B782="STD. DEVIATION",2,$F$1))))</f>
        <v/>
      </c>
      <c r="Q782" s="1" t="str">
        <f>IF(OR($B782="",Q$7=""),"",IF($B782="MEANS",INDEX('1-DATA'!$1:$1048576,$A781-1,COLUMN('1-DATA'!P780)),ROUND(INDEX('1-DATA'!$1:$1048576,IF(OR($B782="STD. DEVIATION",$C$1=1),$A782,$A782+1),COLUMN('1-DATA'!P780)),IF($B782="STD. DEVIATION",2,$F$1))))</f>
        <v/>
      </c>
      <c r="R782" s="1" t="str">
        <f>IF(OR($B782="",R$7=""),"",IF($B782="MEANS",INDEX('1-DATA'!$1:$1048576,$A781-1,COLUMN('1-DATA'!Q780)),ROUND(INDEX('1-DATA'!$1:$1048576,IF(OR($B782="STD. DEVIATION",$C$1=1),$A782,$A782+1),COLUMN('1-DATA'!Q780)),IF($B782="STD. DEVIATION",2,$F$1))))</f>
        <v/>
      </c>
      <c r="S782" s="1" t="str">
        <f>IF(OR($B782="",S$7=""),"",IF($B782="MEANS",INDEX('1-DATA'!$1:$1048576,$A781-1,COLUMN('1-DATA'!R780)),ROUND(INDEX('1-DATA'!$1:$1048576,IF(OR($B782="STD. DEVIATION",$C$1=1),$A782,$A782+1),COLUMN('1-DATA'!R780)),IF($B782="STD. DEVIATION",2,$F$1))))</f>
        <v/>
      </c>
      <c r="T782" s="1" t="str">
        <f>IF(OR($B782="",T$7=""),"",IF($B782="MEANS",INDEX('1-DATA'!$1:$1048576,$A781-1,COLUMN('1-DATA'!S780)),ROUND(INDEX('1-DATA'!$1:$1048576,IF(OR($B782="STD. DEVIATION",$C$1=1),$A782,$A782+1),COLUMN('1-DATA'!S780)),IF($B782="STD. DEVIATION",2,$F$1))))</f>
        <v/>
      </c>
      <c r="U782" s="1" t="str">
        <f>IF(OR($B782="",U$7=""),"",IF($B782="MEANS",INDEX('1-DATA'!$1:$1048576,$A781-1,COLUMN('1-DATA'!T780)),ROUND(INDEX('1-DATA'!$1:$1048576,IF(OR($B782="STD. DEVIATION",$C$1=1),$A782,$A782+1),COLUMN('1-DATA'!T780)),IF($B782="STD. DEVIATION",2,$F$1))))</f>
        <v/>
      </c>
      <c r="V782" s="1" t="str">
        <f>IF(OR($B782="",V$7=""),"",IF($B782="MEANS",INDEX('1-DATA'!$1:$1048576,$A781-1,COLUMN('1-DATA'!U780)),ROUND(INDEX('1-DATA'!$1:$1048576,IF(OR($B782="STD. DEVIATION",$C$1=1),$A782,$A782+1),COLUMN('1-DATA'!U780)),IF($B782="STD. DEVIATION",2,$F$1))))</f>
        <v/>
      </c>
      <c r="W782" s="1" t="str">
        <f>IF(OR($B782="",W$7=""),"",IF($B782="MEANS",INDEX('1-DATA'!$1:$1048576,$A781-1,COLUMN('1-DATA'!V780)),ROUND(INDEX('1-DATA'!$1:$1048576,IF(OR($B782="STD. DEVIATION",$C$1=1),$A782,$A782+1),COLUMN('1-DATA'!V780)),IF($B782="STD. DEVIATION",2,$F$1))))</f>
        <v/>
      </c>
      <c r="X782" s="1" t="str">
        <f>IF(OR($B782="",X$7=""),"",IF($B782="MEANS",INDEX('1-DATA'!$1:$1048576,$A781-1,COLUMN('1-DATA'!W780)),ROUND(INDEX('1-DATA'!$1:$1048576,IF(OR($B782="STD. DEVIATION",$C$1=1),$A782,$A782+1),COLUMN('1-DATA'!W780)),IF($B782="STD. DEVIATION",2,$F$1))))</f>
        <v/>
      </c>
      <c r="Y782" s="1" t="str">
        <f>IF(OR($B782="",Y$7=""),"",IF($B782="MEANS",INDEX('1-DATA'!$1:$1048576,$A781-1,COLUMN('1-DATA'!X780)),ROUND(INDEX('1-DATA'!$1:$1048576,IF(OR($B782="STD. DEVIATION",$C$1=1),$A782,$A782+1),COLUMN('1-DATA'!X780)),IF($B782="STD. DEVIATION",2,$F$1))))</f>
        <v/>
      </c>
      <c r="Z782" s="1" t="str">
        <f>IF(OR($B782="",Z$7=""),"",IF($B782="MEANS",INDEX('1-DATA'!$1:$1048576,$A781-1,COLUMN('1-DATA'!Y780)),ROUND(INDEX('1-DATA'!$1:$1048576,IF(OR($B782="STD. DEVIATION",$C$1=1),$A782,$A782+1),COLUMN('1-DATA'!Y780)),IF($B782="STD. DEVIATION",2,$F$1))))</f>
        <v/>
      </c>
      <c r="AA782" s="1" t="str">
        <f>IF(OR($B782="",AA$7=""),"",IF($B782="MEANS",INDEX('1-DATA'!$1:$1048576,$A781-1,COLUMN('1-DATA'!Z780)),ROUND(INDEX('1-DATA'!$1:$1048576,IF(OR($B782="STD. DEVIATION",$C$1=1),$A782,$A782+1),COLUMN('1-DATA'!Z780)),IF($B782="STD. DEVIATION",2,$F$1))))</f>
        <v/>
      </c>
      <c r="AB782" s="1" t="str">
        <f>IF(OR($B782="",AB$7=""),"",IF($B782="MEANS",INDEX('1-DATA'!$1:$1048576,$A781-1,COLUMN('1-DATA'!AA780)),ROUND(INDEX('1-DATA'!$1:$1048576,IF(OR($B782="STD. DEVIATION",$C$1=1),$A782,$A782+1),COLUMN('1-DATA'!AA780)),IF($B782="STD. DEVIATION",2,$F$1))))</f>
        <v/>
      </c>
      <c r="AC782" s="1" t="str">
        <f>IF(OR($B782="",AC$7=""),"",IF($B782="MEANS",INDEX('1-DATA'!$1:$1048576,$A781-1,COLUMN('1-DATA'!AB780)),ROUND(INDEX('1-DATA'!$1:$1048576,IF(OR($B782="STD. DEVIATION",$C$1=1),$A782,$A782+1),COLUMN('1-DATA'!AB780)),IF($B782="STD. DEVIATION",2,$F$1))))</f>
        <v/>
      </c>
      <c r="AD782" s="1" t="str">
        <f>IF(OR($B782="",AD$7=""),"",IF($B782="MEANS",INDEX('1-DATA'!$1:$1048576,$A781-1,COLUMN('1-DATA'!AC780)),ROUND(INDEX('1-DATA'!$1:$1048576,IF(OR($B782="STD. DEVIATION",$C$1=1),$A782,$A782+1),COLUMN('1-DATA'!AC780)),IF($B782="STD. DEVIATION",2,$F$1))))</f>
        <v/>
      </c>
      <c r="AE782" s="1" t="str">
        <f>IF(OR($B782="",AE$7=""),"",IF($B782="MEANS",INDEX('1-DATA'!$1:$1048576,$A781-1,COLUMN('1-DATA'!AD780)),ROUND(INDEX('1-DATA'!$1:$1048576,IF(OR($B782="STD. DEVIATION",$C$1=1),$A782,$A782+1),COLUMN('1-DATA'!AD780)),IF($B782="STD. DEVIATION",2,$F$1))))</f>
        <v/>
      </c>
      <c r="AF782" s="1" t="str">
        <f>IF(OR($B782="",AF$7=""),"",IF($B782="MEANS",INDEX('1-DATA'!$1:$1048576,$A781-1,COLUMN('1-DATA'!AE780)),ROUND(INDEX('1-DATA'!$1:$1048576,IF(OR($B782="STD. DEVIATION",$C$1=1),$A782,$A782+1),COLUMN('1-DATA'!AE780)),IF($B782="STD. DEVIATION",2,$F$1))))</f>
        <v/>
      </c>
      <c r="AG782" s="1" t="str">
        <f>IF(OR($B782="",AG$7=""),"",IF($B782="MEANS",INDEX('1-DATA'!$1:$1048576,$A781-1,COLUMN('1-DATA'!AF780)),ROUND(INDEX('1-DATA'!$1:$1048576,IF(OR($B782="STD. DEVIATION",$C$1=1),$A782,$A782+1),COLUMN('1-DATA'!AF780)),IF($B782="STD. DEVIATION",2,$F$1))))</f>
        <v/>
      </c>
      <c r="AH782" s="1" t="str">
        <f>IF(OR($B782="",AH$7=""),"",IF($B782="MEANS",INDEX('1-DATA'!$1:$1048576,$A781-1,COLUMN('1-DATA'!AG780)),ROUND(INDEX('1-DATA'!$1:$1048576,IF(OR($B782="STD. DEVIATION",$C$1=1),$A782,$A782+1),COLUMN('1-DATA'!AG780)),IF($B782="STD. DEVIATION",2,$F$1))))</f>
        <v/>
      </c>
      <c r="AI782" s="1" t="str">
        <f>IF(OR($B782="",AI$7=""),"",IF($B782="MEANS",INDEX('1-DATA'!$1:$1048576,$A781-1,COLUMN('1-DATA'!AH780)),ROUND(INDEX('1-DATA'!$1:$1048576,IF(OR($B782="STD. DEVIATION",$C$1=1),$A782,$A782+1),COLUMN('1-DATA'!AH780)),IF($B782="STD. DEVIATION",2,$F$1))))</f>
        <v/>
      </c>
      <c r="AJ782" s="1" t="str">
        <f>IF(OR($B782="",AJ$7=""),"",IF($B782="MEANS",INDEX('1-DATA'!$1:$1048576,$A781-1,COLUMN('1-DATA'!AI780)),ROUND(INDEX('1-DATA'!$1:$1048576,IF(OR($B782="STD. DEVIATION",$C$1=1),$A782,$A782+1),COLUMN('1-DATA'!AI780)),IF($B782="STD. DEVIATION",2,$F$1))))</f>
        <v/>
      </c>
      <c r="AK782" s="1" t="str">
        <f>IF(OR($B782="",AK$7=""),"",IF($B782="MEANS",INDEX('1-DATA'!$1:$1048576,$A781-1,COLUMN('1-DATA'!AJ780)),ROUND(INDEX('1-DATA'!$1:$1048576,IF(OR($B782="STD. DEVIATION",$C$1=1),$A782,$A782+1),COLUMN('1-DATA'!AJ780)),IF($B782="STD. DEVIATION",2,$F$1))))</f>
        <v/>
      </c>
      <c r="AL782" s="1" t="str">
        <f>IF(OR($B782="",AL$7=""),"",IF($B782="MEANS",INDEX('1-DATA'!$1:$1048576,$A781-1,COLUMN('1-DATA'!AK780)),ROUND(INDEX('1-DATA'!$1:$1048576,IF(OR($B782="STD. DEVIATION",$C$1=1),$A782,$A782+1),COLUMN('1-DATA'!AK780)),IF($B782="STD. DEVIATION",2,$F$1))))</f>
        <v/>
      </c>
      <c r="AM782" s="1" t="str">
        <f>IF(OR($B782="",AM$7=""),"",IF($B782="MEANS",INDEX('1-DATA'!$1:$1048576,$A781-1,COLUMN('1-DATA'!AL780)),ROUND(INDEX('1-DATA'!$1:$1048576,IF(OR($B782="STD. DEVIATION",$C$1=1),$A782,$A782+1),COLUMN('1-DATA'!AL780)),IF($B782="STD. DEVIATION",2,$F$1))))</f>
        <v/>
      </c>
      <c r="AN782" s="1" t="str">
        <f>IF(OR($B782="",AN$7=""),"",IF($B782="MEANS",INDEX('1-DATA'!$1:$1048576,$A781-1,COLUMN('1-DATA'!AM780)),ROUND(INDEX('1-DATA'!$1:$1048576,IF(OR($B782="STD. DEVIATION",$C$1=1),$A782,$A782+1),COLUMN('1-DATA'!AM780)),IF($B782="STD. DEVIATION",2,$F$1))))</f>
        <v/>
      </c>
      <c r="AO782" s="1" t="str">
        <f>IF(OR($B782="",AO$7=""),"",IF($B782="MEANS",INDEX('1-DATA'!$1:$1048576,$A781-1,COLUMN('1-DATA'!AN780)),ROUND(INDEX('1-DATA'!$1:$1048576,IF(OR($B782="STD. DEVIATION",$C$1=1),$A782,$A782+1),COLUMN('1-DATA'!AN780)),IF($B782="STD. DEVIATION",2,$F$1))))</f>
        <v/>
      </c>
      <c r="AP782" s="1" t="str">
        <f>IF(OR($B782="",AP$7=""),"",IF($B782="MEANS",INDEX('1-DATA'!$1:$1048576,$A781-1,COLUMN('1-DATA'!AO780)),ROUND(INDEX('1-DATA'!$1:$1048576,IF(OR($B782="STD. DEVIATION",$C$1=1),$A782,$A782+1),COLUMN('1-DATA'!AO780)),IF($B782="STD. DEVIATION",2,$F$1))))</f>
        <v/>
      </c>
      <c r="AQ782" s="1" t="str">
        <f>IF(OR($B782="",AQ$7=""),"",IF($B782="MEANS",INDEX('1-DATA'!$1:$1048576,$A781-1,COLUMN('1-DATA'!AP780)),ROUND(INDEX('1-DATA'!$1:$1048576,IF(OR($B782="STD. DEVIATION",$C$1=1),$A782,$A782+1),COLUMN('1-DATA'!AP780)),IF($B782="STD. DEVIATION",2,$F$1))))</f>
        <v/>
      </c>
      <c r="AR782" s="1" t="str">
        <f>IF(OR($B782="",AR$7=""),"",IF($B782="MEANS",INDEX('1-DATA'!$1:$1048576,$A781-1,COLUMN('1-DATA'!AQ780)),ROUND(INDEX('1-DATA'!$1:$1048576,IF(OR($B782="STD. DEVIATION",$C$1=1),$A782,$A782+1),COLUMN('1-DATA'!AQ780)),IF($B782="STD. DEVIATION",2,$F$1))))</f>
        <v/>
      </c>
      <c r="AS782" s="1" t="str">
        <f>IF(OR($B782="",AS$7=""),"",IF($B782="MEANS",INDEX('1-DATA'!$1:$1048576,$A781-1,COLUMN('1-DATA'!AR780)),ROUND(INDEX('1-DATA'!$1:$1048576,IF(OR($B782="STD. DEVIATION",$C$1=1),$A782,$A782+1),COLUMN('1-DATA'!AR780)),IF($B782="STD. DEVIATION",2,$F$1))))</f>
        <v/>
      </c>
      <c r="AT782" s="1" t="str">
        <f>IF(OR($B782="",AT$7=""),"",IF($B782="MEANS",INDEX('1-DATA'!$1:$1048576,$A781-1,COLUMN('1-DATA'!AS780)),ROUND(INDEX('1-DATA'!$1:$1048576,IF(OR($B782="STD. DEVIATION",$C$1=1),$A782,$A782+1),COLUMN('1-DATA'!AS780)),IF($B782="STD. DEVIATION",2,$F$1))))</f>
        <v/>
      </c>
      <c r="AU782" s="1" t="str">
        <f>IF(OR($B782="",AU$7=""),"",IF($B782="MEANS",INDEX('1-DATA'!$1:$1048576,$A781-1,COLUMN('1-DATA'!AT780)),ROUND(INDEX('1-DATA'!$1:$1048576,IF(OR($B782="STD. DEVIATION",$C$1=1),$A782,$A782+1),COLUMN('1-DATA'!AT780)),IF($B782="STD. DEVIATION",2,$F$1))))</f>
        <v/>
      </c>
      <c r="AV782" s="1" t="str">
        <f>IF(OR($B782="",AV$7=""),"",IF($B782="MEANS",INDEX('1-DATA'!$1:$1048576,$A781-1,COLUMN('1-DATA'!AU780)),ROUND(INDEX('1-DATA'!$1:$1048576,IF(OR($B782="STD. DEVIATION",$C$1=1),$A782,$A782+1),COLUMN('1-DATA'!AU780)),IF($B782="STD. DEVIATION",2,$F$1))))</f>
        <v/>
      </c>
      <c r="AW782" s="1" t="str">
        <f>IF(OR($B782="",AW$7=""),"",IF($B782="MEANS",INDEX('1-DATA'!$1:$1048576,$A781-1,COLUMN('1-DATA'!AV780)),ROUND(INDEX('1-DATA'!$1:$1048576,IF(OR($B782="STD. DEVIATION",$C$1=1),$A782,$A782+1),COLUMN('1-DATA'!AV780)),IF($B782="STD. DEVIATION",2,$F$1))))</f>
        <v/>
      </c>
      <c r="AX782" s="1" t="str">
        <f>IF(OR($B782="",AX$7=""),"",IF($B782="MEANS",INDEX('1-DATA'!$1:$1048576,$A781-1,COLUMN('1-DATA'!AW780)),ROUND(INDEX('1-DATA'!$1:$1048576,IF(OR($B782="STD. DEVIATION",$C$1=1),$A782,$A782+1),COLUMN('1-DATA'!AW780)),IF($B782="STD. DEVIATION",2,$F$1))))</f>
        <v/>
      </c>
      <c r="AY782" s="1" t="str">
        <f>IF(OR($B782="",AY$7=""),"",IF($B782="MEANS",INDEX('1-DATA'!$1:$1048576,$A781-1,COLUMN('1-DATA'!AX780)),ROUND(INDEX('1-DATA'!$1:$1048576,IF(OR($B782="STD. DEVIATION",$C$1=1),$A782,$A782+1),COLUMN('1-DATA'!AX780)),IF($B782="STD. DEVIATION",2,$F$1))))</f>
        <v/>
      </c>
      <c r="AZ782" s="1" t="str">
        <f>IF(OR($B782="",AZ$7=""),"",IF($B782="MEANS",INDEX('1-DATA'!$1:$1048576,$A781-1,COLUMN('1-DATA'!AY780)),ROUND(INDEX('1-DATA'!$1:$1048576,IF(OR($B782="STD. DEVIATION",$C$1=1),$A782,$A782+1),COLUMN('1-DATA'!AY780)),IF($B782="STD. DEVIATION",2,$F$1))))</f>
        <v/>
      </c>
    </row>
    <row r="783" spans="1:52" x14ac:dyDescent="0.25">
      <c r="A783" s="11">
        <f t="shared" si="12"/>
        <v>2335</v>
      </c>
      <c r="B783" s="1" t="str">
        <f>IF(B782="STD. DEVIATION",INDEX('1-DATA'!$1:$1048576,$A782-1,1),IF(INDEX('1-DATA'!$1:$1048576,$A783,1)&lt;&gt;"",INDEX('1-DATA'!$1:$1048576,$A783,1),""))</f>
        <v/>
      </c>
      <c r="C783" s="1" t="str">
        <f>IF(OR($B783="",C$7=""),"",IF($B783="MEANS",INDEX('1-DATA'!$1:$1048576,$A782-1,COLUMN('1-DATA'!B781)),ROUND(INDEX('1-DATA'!$1:$1048576,IF(OR($B783="STD. DEVIATION",$C$1=1),$A783,$A783+1),COLUMN('1-DATA'!B781)),IF($B783="STD. DEVIATION",2,$F$1))))</f>
        <v/>
      </c>
      <c r="D783" s="1" t="str">
        <f>IF(OR($B783="",D$7=""),"",IF($B783="MEANS",INDEX('1-DATA'!$1:$1048576,$A782-1,COLUMN('1-DATA'!C781)),ROUND(INDEX('1-DATA'!$1:$1048576,IF(OR($B783="STD. DEVIATION",$C$1=1),$A783,$A783+1),COLUMN('1-DATA'!C781)),IF($B783="STD. DEVIATION",2,$F$1))))</f>
        <v/>
      </c>
      <c r="E783" s="1" t="str">
        <f>IF(OR($B783="",E$7=""),"",IF($B783="MEANS",INDEX('1-DATA'!$1:$1048576,$A782-1,COLUMN('1-DATA'!D781)),ROUND(INDEX('1-DATA'!$1:$1048576,IF(OR($B783="STD. DEVIATION",$C$1=1),$A783,$A783+1),COLUMN('1-DATA'!D781)),IF($B783="STD. DEVIATION",2,$F$1))))</f>
        <v/>
      </c>
      <c r="F783" s="1" t="str">
        <f>IF(OR($B783="",F$7=""),"",IF($B783="MEANS",INDEX('1-DATA'!$1:$1048576,$A782-1,COLUMN('1-DATA'!E781)),ROUND(INDEX('1-DATA'!$1:$1048576,IF(OR($B783="STD. DEVIATION",$C$1=1),$A783,$A783+1),COLUMN('1-DATA'!E781)),IF($B783="STD. DEVIATION",2,$F$1))))</f>
        <v/>
      </c>
      <c r="G783" s="1" t="str">
        <f>IF(OR($B783="",G$7=""),"",IF($B783="MEANS",INDEX('1-DATA'!$1:$1048576,$A782-1,COLUMN('1-DATA'!F781)),ROUND(INDEX('1-DATA'!$1:$1048576,IF(OR($B783="STD. DEVIATION",$C$1=1),$A783,$A783+1),COLUMN('1-DATA'!F781)),IF($B783="STD. DEVIATION",2,$F$1))))</f>
        <v/>
      </c>
      <c r="H783" s="1" t="str">
        <f>IF(OR($B783="",H$7=""),"",IF($B783="MEANS",INDEX('1-DATA'!$1:$1048576,$A782-1,COLUMN('1-DATA'!G781)),ROUND(INDEX('1-DATA'!$1:$1048576,IF(OR($B783="STD. DEVIATION",$C$1=1),$A783,$A783+1),COLUMN('1-DATA'!G781)),IF($B783="STD. DEVIATION",2,$F$1))))</f>
        <v/>
      </c>
      <c r="I783" s="1" t="str">
        <f>IF(OR($B783="",I$7=""),"",IF($B783="MEANS",INDEX('1-DATA'!$1:$1048576,$A782-1,COLUMN('1-DATA'!H781)),ROUND(INDEX('1-DATA'!$1:$1048576,IF(OR($B783="STD. DEVIATION",$C$1=1),$A783,$A783+1),COLUMN('1-DATA'!H781)),IF($B783="STD. DEVIATION",2,$F$1))))</f>
        <v/>
      </c>
      <c r="J783" s="1" t="str">
        <f>IF(OR($B783="",J$7=""),"",IF($B783="MEANS",INDEX('1-DATA'!$1:$1048576,$A782-1,COLUMN('1-DATA'!I781)),ROUND(INDEX('1-DATA'!$1:$1048576,IF(OR($B783="STD. DEVIATION",$C$1=1),$A783,$A783+1),COLUMN('1-DATA'!I781)),IF($B783="STD. DEVIATION",2,$F$1))))</f>
        <v/>
      </c>
      <c r="K783" s="1" t="str">
        <f>IF(OR($B783="",K$7=""),"",IF($B783="MEANS",INDEX('1-DATA'!$1:$1048576,$A782-1,COLUMN('1-DATA'!J781)),ROUND(INDEX('1-DATA'!$1:$1048576,IF(OR($B783="STD. DEVIATION",$C$1=1),$A783,$A783+1),COLUMN('1-DATA'!J781)),IF($B783="STD. DEVIATION",2,$F$1))))</f>
        <v/>
      </c>
      <c r="L783" s="1" t="str">
        <f>IF(OR($B783="",L$7=""),"",IF($B783="MEANS",INDEX('1-DATA'!$1:$1048576,$A782-1,COLUMN('1-DATA'!K781)),ROUND(INDEX('1-DATA'!$1:$1048576,IF(OR($B783="STD. DEVIATION",$C$1=1),$A783,$A783+1),COLUMN('1-DATA'!K781)),IF($B783="STD. DEVIATION",2,$F$1))))</f>
        <v/>
      </c>
      <c r="M783" s="1" t="str">
        <f>IF(OR($B783="",M$7=""),"",IF($B783="MEANS",INDEX('1-DATA'!$1:$1048576,$A782-1,COLUMN('1-DATA'!L781)),ROUND(INDEX('1-DATA'!$1:$1048576,IF(OR($B783="STD. DEVIATION",$C$1=1),$A783,$A783+1),COLUMN('1-DATA'!L781)),IF($B783="STD. DEVIATION",2,$F$1))))</f>
        <v/>
      </c>
      <c r="N783" s="1" t="str">
        <f>IF(OR($B783="",N$7=""),"",IF($B783="MEANS",INDEX('1-DATA'!$1:$1048576,$A782-1,COLUMN('1-DATA'!M781)),ROUND(INDEX('1-DATA'!$1:$1048576,IF(OR($B783="STD. DEVIATION",$C$1=1),$A783,$A783+1),COLUMN('1-DATA'!M781)),IF($B783="STD. DEVIATION",2,$F$1))))</f>
        <v/>
      </c>
      <c r="O783" s="1" t="str">
        <f>IF(OR($B783="",O$7=""),"",IF($B783="MEANS",INDEX('1-DATA'!$1:$1048576,$A782-1,COLUMN('1-DATA'!N781)),ROUND(INDEX('1-DATA'!$1:$1048576,IF(OR($B783="STD. DEVIATION",$C$1=1),$A783,$A783+1),COLUMN('1-DATA'!N781)),IF($B783="STD. DEVIATION",2,$F$1))))</f>
        <v/>
      </c>
      <c r="P783" s="1" t="str">
        <f>IF(OR($B783="",P$7=""),"",IF($B783="MEANS",INDEX('1-DATA'!$1:$1048576,$A782-1,COLUMN('1-DATA'!O781)),ROUND(INDEX('1-DATA'!$1:$1048576,IF(OR($B783="STD. DEVIATION",$C$1=1),$A783,$A783+1),COLUMN('1-DATA'!O781)),IF($B783="STD. DEVIATION",2,$F$1))))</f>
        <v/>
      </c>
      <c r="Q783" s="1" t="str">
        <f>IF(OR($B783="",Q$7=""),"",IF($B783="MEANS",INDEX('1-DATA'!$1:$1048576,$A782-1,COLUMN('1-DATA'!P781)),ROUND(INDEX('1-DATA'!$1:$1048576,IF(OR($B783="STD. DEVIATION",$C$1=1),$A783,$A783+1),COLUMN('1-DATA'!P781)),IF($B783="STD. DEVIATION",2,$F$1))))</f>
        <v/>
      </c>
      <c r="R783" s="1" t="str">
        <f>IF(OR($B783="",R$7=""),"",IF($B783="MEANS",INDEX('1-DATA'!$1:$1048576,$A782-1,COLUMN('1-DATA'!Q781)),ROUND(INDEX('1-DATA'!$1:$1048576,IF(OR($B783="STD. DEVIATION",$C$1=1),$A783,$A783+1),COLUMN('1-DATA'!Q781)),IF($B783="STD. DEVIATION",2,$F$1))))</f>
        <v/>
      </c>
      <c r="S783" s="1" t="str">
        <f>IF(OR($B783="",S$7=""),"",IF($B783="MEANS",INDEX('1-DATA'!$1:$1048576,$A782-1,COLUMN('1-DATA'!R781)),ROUND(INDEX('1-DATA'!$1:$1048576,IF(OR($B783="STD. DEVIATION",$C$1=1),$A783,$A783+1),COLUMN('1-DATA'!R781)),IF($B783="STD. DEVIATION",2,$F$1))))</f>
        <v/>
      </c>
      <c r="T783" s="1" t="str">
        <f>IF(OR($B783="",T$7=""),"",IF($B783="MEANS",INDEX('1-DATA'!$1:$1048576,$A782-1,COLUMN('1-DATA'!S781)),ROUND(INDEX('1-DATA'!$1:$1048576,IF(OR($B783="STD. DEVIATION",$C$1=1),$A783,$A783+1),COLUMN('1-DATA'!S781)),IF($B783="STD. DEVIATION",2,$F$1))))</f>
        <v/>
      </c>
      <c r="U783" s="1" t="str">
        <f>IF(OR($B783="",U$7=""),"",IF($B783="MEANS",INDEX('1-DATA'!$1:$1048576,$A782-1,COLUMN('1-DATA'!T781)),ROUND(INDEX('1-DATA'!$1:$1048576,IF(OR($B783="STD. DEVIATION",$C$1=1),$A783,$A783+1),COLUMN('1-DATA'!T781)),IF($B783="STD. DEVIATION",2,$F$1))))</f>
        <v/>
      </c>
      <c r="V783" s="1" t="str">
        <f>IF(OR($B783="",V$7=""),"",IF($B783="MEANS",INDEX('1-DATA'!$1:$1048576,$A782-1,COLUMN('1-DATA'!U781)),ROUND(INDEX('1-DATA'!$1:$1048576,IF(OR($B783="STD. DEVIATION",$C$1=1),$A783,$A783+1),COLUMN('1-DATA'!U781)),IF($B783="STD. DEVIATION",2,$F$1))))</f>
        <v/>
      </c>
      <c r="W783" s="1" t="str">
        <f>IF(OR($B783="",W$7=""),"",IF($B783="MEANS",INDEX('1-DATA'!$1:$1048576,$A782-1,COLUMN('1-DATA'!V781)),ROUND(INDEX('1-DATA'!$1:$1048576,IF(OR($B783="STD. DEVIATION",$C$1=1),$A783,$A783+1),COLUMN('1-DATA'!V781)),IF($B783="STD. DEVIATION",2,$F$1))))</f>
        <v/>
      </c>
      <c r="X783" s="1" t="str">
        <f>IF(OR($B783="",X$7=""),"",IF($B783="MEANS",INDEX('1-DATA'!$1:$1048576,$A782-1,COLUMN('1-DATA'!W781)),ROUND(INDEX('1-DATA'!$1:$1048576,IF(OR($B783="STD. DEVIATION",$C$1=1),$A783,$A783+1),COLUMN('1-DATA'!W781)),IF($B783="STD. DEVIATION",2,$F$1))))</f>
        <v/>
      </c>
      <c r="Y783" s="1" t="str">
        <f>IF(OR($B783="",Y$7=""),"",IF($B783="MEANS",INDEX('1-DATA'!$1:$1048576,$A782-1,COLUMN('1-DATA'!X781)),ROUND(INDEX('1-DATA'!$1:$1048576,IF(OR($B783="STD. DEVIATION",$C$1=1),$A783,$A783+1),COLUMN('1-DATA'!X781)),IF($B783="STD. DEVIATION",2,$F$1))))</f>
        <v/>
      </c>
      <c r="Z783" s="1" t="str">
        <f>IF(OR($B783="",Z$7=""),"",IF($B783="MEANS",INDEX('1-DATA'!$1:$1048576,$A782-1,COLUMN('1-DATA'!Y781)),ROUND(INDEX('1-DATA'!$1:$1048576,IF(OR($B783="STD. DEVIATION",$C$1=1),$A783,$A783+1),COLUMN('1-DATA'!Y781)),IF($B783="STD. DEVIATION",2,$F$1))))</f>
        <v/>
      </c>
      <c r="AA783" s="1" t="str">
        <f>IF(OR($B783="",AA$7=""),"",IF($B783="MEANS",INDEX('1-DATA'!$1:$1048576,$A782-1,COLUMN('1-DATA'!Z781)),ROUND(INDEX('1-DATA'!$1:$1048576,IF(OR($B783="STD. DEVIATION",$C$1=1),$A783,$A783+1),COLUMN('1-DATA'!Z781)),IF($B783="STD. DEVIATION",2,$F$1))))</f>
        <v/>
      </c>
      <c r="AB783" s="1" t="str">
        <f>IF(OR($B783="",AB$7=""),"",IF($B783="MEANS",INDEX('1-DATA'!$1:$1048576,$A782-1,COLUMN('1-DATA'!AA781)),ROUND(INDEX('1-DATA'!$1:$1048576,IF(OR($B783="STD. DEVIATION",$C$1=1),$A783,$A783+1),COLUMN('1-DATA'!AA781)),IF($B783="STD. DEVIATION",2,$F$1))))</f>
        <v/>
      </c>
      <c r="AC783" s="1" t="str">
        <f>IF(OR($B783="",AC$7=""),"",IF($B783="MEANS",INDEX('1-DATA'!$1:$1048576,$A782-1,COLUMN('1-DATA'!AB781)),ROUND(INDEX('1-DATA'!$1:$1048576,IF(OR($B783="STD. DEVIATION",$C$1=1),$A783,$A783+1),COLUMN('1-DATA'!AB781)),IF($B783="STD. DEVIATION",2,$F$1))))</f>
        <v/>
      </c>
      <c r="AD783" s="1" t="str">
        <f>IF(OR($B783="",AD$7=""),"",IF($B783="MEANS",INDEX('1-DATA'!$1:$1048576,$A782-1,COLUMN('1-DATA'!AC781)),ROUND(INDEX('1-DATA'!$1:$1048576,IF(OR($B783="STD. DEVIATION",$C$1=1),$A783,$A783+1),COLUMN('1-DATA'!AC781)),IF($B783="STD. DEVIATION",2,$F$1))))</f>
        <v/>
      </c>
      <c r="AE783" s="1" t="str">
        <f>IF(OR($B783="",AE$7=""),"",IF($B783="MEANS",INDEX('1-DATA'!$1:$1048576,$A782-1,COLUMN('1-DATA'!AD781)),ROUND(INDEX('1-DATA'!$1:$1048576,IF(OR($B783="STD. DEVIATION",$C$1=1),$A783,$A783+1),COLUMN('1-DATA'!AD781)),IF($B783="STD. DEVIATION",2,$F$1))))</f>
        <v/>
      </c>
      <c r="AF783" s="1" t="str">
        <f>IF(OR($B783="",AF$7=""),"",IF($B783="MEANS",INDEX('1-DATA'!$1:$1048576,$A782-1,COLUMN('1-DATA'!AE781)),ROUND(INDEX('1-DATA'!$1:$1048576,IF(OR($B783="STD. DEVIATION",$C$1=1),$A783,$A783+1),COLUMN('1-DATA'!AE781)),IF($B783="STD. DEVIATION",2,$F$1))))</f>
        <v/>
      </c>
      <c r="AG783" s="1" t="str">
        <f>IF(OR($B783="",AG$7=""),"",IF($B783="MEANS",INDEX('1-DATA'!$1:$1048576,$A782-1,COLUMN('1-DATA'!AF781)),ROUND(INDEX('1-DATA'!$1:$1048576,IF(OR($B783="STD. DEVIATION",$C$1=1),$A783,$A783+1),COLUMN('1-DATA'!AF781)),IF($B783="STD. DEVIATION",2,$F$1))))</f>
        <v/>
      </c>
      <c r="AH783" s="1" t="str">
        <f>IF(OR($B783="",AH$7=""),"",IF($B783="MEANS",INDEX('1-DATA'!$1:$1048576,$A782-1,COLUMN('1-DATA'!AG781)),ROUND(INDEX('1-DATA'!$1:$1048576,IF(OR($B783="STD. DEVIATION",$C$1=1),$A783,$A783+1),COLUMN('1-DATA'!AG781)),IF($B783="STD. DEVIATION",2,$F$1))))</f>
        <v/>
      </c>
      <c r="AI783" s="1" t="str">
        <f>IF(OR($B783="",AI$7=""),"",IF($B783="MEANS",INDEX('1-DATA'!$1:$1048576,$A782-1,COLUMN('1-DATA'!AH781)),ROUND(INDEX('1-DATA'!$1:$1048576,IF(OR($B783="STD. DEVIATION",$C$1=1),$A783,$A783+1),COLUMN('1-DATA'!AH781)),IF($B783="STD. DEVIATION",2,$F$1))))</f>
        <v/>
      </c>
      <c r="AJ783" s="1" t="str">
        <f>IF(OR($B783="",AJ$7=""),"",IF($B783="MEANS",INDEX('1-DATA'!$1:$1048576,$A782-1,COLUMN('1-DATA'!AI781)),ROUND(INDEX('1-DATA'!$1:$1048576,IF(OR($B783="STD. DEVIATION",$C$1=1),$A783,$A783+1),COLUMN('1-DATA'!AI781)),IF($B783="STD. DEVIATION",2,$F$1))))</f>
        <v/>
      </c>
      <c r="AK783" s="1" t="str">
        <f>IF(OR($B783="",AK$7=""),"",IF($B783="MEANS",INDEX('1-DATA'!$1:$1048576,$A782-1,COLUMN('1-DATA'!AJ781)),ROUND(INDEX('1-DATA'!$1:$1048576,IF(OR($B783="STD. DEVIATION",$C$1=1),$A783,$A783+1),COLUMN('1-DATA'!AJ781)),IF($B783="STD. DEVIATION",2,$F$1))))</f>
        <v/>
      </c>
      <c r="AL783" s="1" t="str">
        <f>IF(OR($B783="",AL$7=""),"",IF($B783="MEANS",INDEX('1-DATA'!$1:$1048576,$A782-1,COLUMN('1-DATA'!AK781)),ROUND(INDEX('1-DATA'!$1:$1048576,IF(OR($B783="STD. DEVIATION",$C$1=1),$A783,$A783+1),COLUMN('1-DATA'!AK781)),IF($B783="STD. DEVIATION",2,$F$1))))</f>
        <v/>
      </c>
      <c r="AM783" s="1" t="str">
        <f>IF(OR($B783="",AM$7=""),"",IF($B783="MEANS",INDEX('1-DATA'!$1:$1048576,$A782-1,COLUMN('1-DATA'!AL781)),ROUND(INDEX('1-DATA'!$1:$1048576,IF(OR($B783="STD. DEVIATION",$C$1=1),$A783,$A783+1),COLUMN('1-DATA'!AL781)),IF($B783="STD. DEVIATION",2,$F$1))))</f>
        <v/>
      </c>
      <c r="AN783" s="1" t="str">
        <f>IF(OR($B783="",AN$7=""),"",IF($B783="MEANS",INDEX('1-DATA'!$1:$1048576,$A782-1,COLUMN('1-DATA'!AM781)),ROUND(INDEX('1-DATA'!$1:$1048576,IF(OR($B783="STD. DEVIATION",$C$1=1),$A783,$A783+1),COLUMN('1-DATA'!AM781)),IF($B783="STD. DEVIATION",2,$F$1))))</f>
        <v/>
      </c>
      <c r="AO783" s="1" t="str">
        <f>IF(OR($B783="",AO$7=""),"",IF($B783="MEANS",INDEX('1-DATA'!$1:$1048576,$A782-1,COLUMN('1-DATA'!AN781)),ROUND(INDEX('1-DATA'!$1:$1048576,IF(OR($B783="STD. DEVIATION",$C$1=1),$A783,$A783+1),COLUMN('1-DATA'!AN781)),IF($B783="STD. DEVIATION",2,$F$1))))</f>
        <v/>
      </c>
      <c r="AP783" s="1" t="str">
        <f>IF(OR($B783="",AP$7=""),"",IF($B783="MEANS",INDEX('1-DATA'!$1:$1048576,$A782-1,COLUMN('1-DATA'!AO781)),ROUND(INDEX('1-DATA'!$1:$1048576,IF(OR($B783="STD. DEVIATION",$C$1=1),$A783,$A783+1),COLUMN('1-DATA'!AO781)),IF($B783="STD. DEVIATION",2,$F$1))))</f>
        <v/>
      </c>
      <c r="AQ783" s="1" t="str">
        <f>IF(OR($B783="",AQ$7=""),"",IF($B783="MEANS",INDEX('1-DATA'!$1:$1048576,$A782-1,COLUMN('1-DATA'!AP781)),ROUND(INDEX('1-DATA'!$1:$1048576,IF(OR($B783="STD. DEVIATION",$C$1=1),$A783,$A783+1),COLUMN('1-DATA'!AP781)),IF($B783="STD. DEVIATION",2,$F$1))))</f>
        <v/>
      </c>
      <c r="AR783" s="1" t="str">
        <f>IF(OR($B783="",AR$7=""),"",IF($B783="MEANS",INDEX('1-DATA'!$1:$1048576,$A782-1,COLUMN('1-DATA'!AQ781)),ROUND(INDEX('1-DATA'!$1:$1048576,IF(OR($B783="STD. DEVIATION",$C$1=1),$A783,$A783+1),COLUMN('1-DATA'!AQ781)),IF($B783="STD. DEVIATION",2,$F$1))))</f>
        <v/>
      </c>
      <c r="AS783" s="1" t="str">
        <f>IF(OR($B783="",AS$7=""),"",IF($B783="MEANS",INDEX('1-DATA'!$1:$1048576,$A782-1,COLUMN('1-DATA'!AR781)),ROUND(INDEX('1-DATA'!$1:$1048576,IF(OR($B783="STD. DEVIATION",$C$1=1),$A783,$A783+1),COLUMN('1-DATA'!AR781)),IF($B783="STD. DEVIATION",2,$F$1))))</f>
        <v/>
      </c>
      <c r="AT783" s="1" t="str">
        <f>IF(OR($B783="",AT$7=""),"",IF($B783="MEANS",INDEX('1-DATA'!$1:$1048576,$A782-1,COLUMN('1-DATA'!AS781)),ROUND(INDEX('1-DATA'!$1:$1048576,IF(OR($B783="STD. DEVIATION",$C$1=1),$A783,$A783+1),COLUMN('1-DATA'!AS781)),IF($B783="STD. DEVIATION",2,$F$1))))</f>
        <v/>
      </c>
      <c r="AU783" s="1" t="str">
        <f>IF(OR($B783="",AU$7=""),"",IF($B783="MEANS",INDEX('1-DATA'!$1:$1048576,$A782-1,COLUMN('1-DATA'!AT781)),ROUND(INDEX('1-DATA'!$1:$1048576,IF(OR($B783="STD. DEVIATION",$C$1=1),$A783,$A783+1),COLUMN('1-DATA'!AT781)),IF($B783="STD. DEVIATION",2,$F$1))))</f>
        <v/>
      </c>
      <c r="AV783" s="1" t="str">
        <f>IF(OR($B783="",AV$7=""),"",IF($B783="MEANS",INDEX('1-DATA'!$1:$1048576,$A782-1,COLUMN('1-DATA'!AU781)),ROUND(INDEX('1-DATA'!$1:$1048576,IF(OR($B783="STD. DEVIATION",$C$1=1),$A783,$A783+1),COLUMN('1-DATA'!AU781)),IF($B783="STD. DEVIATION",2,$F$1))))</f>
        <v/>
      </c>
      <c r="AW783" s="1" t="str">
        <f>IF(OR($B783="",AW$7=""),"",IF($B783="MEANS",INDEX('1-DATA'!$1:$1048576,$A782-1,COLUMN('1-DATA'!AV781)),ROUND(INDEX('1-DATA'!$1:$1048576,IF(OR($B783="STD. DEVIATION",$C$1=1),$A783,$A783+1),COLUMN('1-DATA'!AV781)),IF($B783="STD. DEVIATION",2,$F$1))))</f>
        <v/>
      </c>
      <c r="AX783" s="1" t="str">
        <f>IF(OR($B783="",AX$7=""),"",IF($B783="MEANS",INDEX('1-DATA'!$1:$1048576,$A782-1,COLUMN('1-DATA'!AW781)),ROUND(INDEX('1-DATA'!$1:$1048576,IF(OR($B783="STD. DEVIATION",$C$1=1),$A783,$A783+1),COLUMN('1-DATA'!AW781)),IF($B783="STD. DEVIATION",2,$F$1))))</f>
        <v/>
      </c>
      <c r="AY783" s="1" t="str">
        <f>IF(OR($B783="",AY$7=""),"",IF($B783="MEANS",INDEX('1-DATA'!$1:$1048576,$A782-1,COLUMN('1-DATA'!AX781)),ROUND(INDEX('1-DATA'!$1:$1048576,IF(OR($B783="STD. DEVIATION",$C$1=1),$A783,$A783+1),COLUMN('1-DATA'!AX781)),IF($B783="STD. DEVIATION",2,$F$1))))</f>
        <v/>
      </c>
      <c r="AZ783" s="1" t="str">
        <f>IF(OR($B783="",AZ$7=""),"",IF($B783="MEANS",INDEX('1-DATA'!$1:$1048576,$A782-1,COLUMN('1-DATA'!AY781)),ROUND(INDEX('1-DATA'!$1:$1048576,IF(OR($B783="STD. DEVIATION",$C$1=1),$A783,$A783+1),COLUMN('1-DATA'!AY781)),IF($B783="STD. DEVIATION",2,$F$1))))</f>
        <v/>
      </c>
    </row>
    <row r="784" spans="1:52" x14ac:dyDescent="0.25">
      <c r="A784" s="11">
        <f t="shared" si="12"/>
        <v>2338</v>
      </c>
      <c r="B784" s="1" t="str">
        <f>IF(B783="STD. DEVIATION",INDEX('1-DATA'!$1:$1048576,$A783-1,1),IF(INDEX('1-DATA'!$1:$1048576,$A784,1)&lt;&gt;"",INDEX('1-DATA'!$1:$1048576,$A784,1),""))</f>
        <v/>
      </c>
      <c r="C784" s="1" t="str">
        <f>IF(OR($B784="",C$7=""),"",IF($B784="MEANS",INDEX('1-DATA'!$1:$1048576,$A783-1,COLUMN('1-DATA'!B782)),ROUND(INDEX('1-DATA'!$1:$1048576,IF(OR($B784="STD. DEVIATION",$C$1=1),$A784,$A784+1),COLUMN('1-DATA'!B782)),IF($B784="STD. DEVIATION",2,$F$1))))</f>
        <v/>
      </c>
      <c r="D784" s="1" t="str">
        <f>IF(OR($B784="",D$7=""),"",IF($B784="MEANS",INDEX('1-DATA'!$1:$1048576,$A783-1,COLUMN('1-DATA'!C782)),ROUND(INDEX('1-DATA'!$1:$1048576,IF(OR($B784="STD. DEVIATION",$C$1=1),$A784,$A784+1),COLUMN('1-DATA'!C782)),IF($B784="STD. DEVIATION",2,$F$1))))</f>
        <v/>
      </c>
      <c r="E784" s="1" t="str">
        <f>IF(OR($B784="",E$7=""),"",IF($B784="MEANS",INDEX('1-DATA'!$1:$1048576,$A783-1,COLUMN('1-DATA'!D782)),ROUND(INDEX('1-DATA'!$1:$1048576,IF(OR($B784="STD. DEVIATION",$C$1=1),$A784,$A784+1),COLUMN('1-DATA'!D782)),IF($B784="STD. DEVIATION",2,$F$1))))</f>
        <v/>
      </c>
      <c r="F784" s="1" t="str">
        <f>IF(OR($B784="",F$7=""),"",IF($B784="MEANS",INDEX('1-DATA'!$1:$1048576,$A783-1,COLUMN('1-DATA'!E782)),ROUND(INDEX('1-DATA'!$1:$1048576,IF(OR($B784="STD. DEVIATION",$C$1=1),$A784,$A784+1),COLUMN('1-DATA'!E782)),IF($B784="STD. DEVIATION",2,$F$1))))</f>
        <v/>
      </c>
      <c r="G784" s="1" t="str">
        <f>IF(OR($B784="",G$7=""),"",IF($B784="MEANS",INDEX('1-DATA'!$1:$1048576,$A783-1,COLUMN('1-DATA'!F782)),ROUND(INDEX('1-DATA'!$1:$1048576,IF(OR($B784="STD. DEVIATION",$C$1=1),$A784,$A784+1),COLUMN('1-DATA'!F782)),IF($B784="STD. DEVIATION",2,$F$1))))</f>
        <v/>
      </c>
      <c r="H784" s="1" t="str">
        <f>IF(OR($B784="",H$7=""),"",IF($B784="MEANS",INDEX('1-DATA'!$1:$1048576,$A783-1,COLUMN('1-DATA'!G782)),ROUND(INDEX('1-DATA'!$1:$1048576,IF(OR($B784="STD. DEVIATION",$C$1=1),$A784,$A784+1),COLUMN('1-DATA'!G782)),IF($B784="STD. DEVIATION",2,$F$1))))</f>
        <v/>
      </c>
      <c r="I784" s="1" t="str">
        <f>IF(OR($B784="",I$7=""),"",IF($B784="MEANS",INDEX('1-DATA'!$1:$1048576,$A783-1,COLUMN('1-DATA'!H782)),ROUND(INDEX('1-DATA'!$1:$1048576,IF(OR($B784="STD. DEVIATION",$C$1=1),$A784,$A784+1),COLUMN('1-DATA'!H782)),IF($B784="STD. DEVIATION",2,$F$1))))</f>
        <v/>
      </c>
      <c r="J784" s="1" t="str">
        <f>IF(OR($B784="",J$7=""),"",IF($B784="MEANS",INDEX('1-DATA'!$1:$1048576,$A783-1,COLUMN('1-DATA'!I782)),ROUND(INDEX('1-DATA'!$1:$1048576,IF(OR($B784="STD. DEVIATION",$C$1=1),$A784,$A784+1),COLUMN('1-DATA'!I782)),IF($B784="STD. DEVIATION",2,$F$1))))</f>
        <v/>
      </c>
      <c r="K784" s="1" t="str">
        <f>IF(OR($B784="",K$7=""),"",IF($B784="MEANS",INDEX('1-DATA'!$1:$1048576,$A783-1,COLUMN('1-DATA'!J782)),ROUND(INDEX('1-DATA'!$1:$1048576,IF(OR($B784="STD. DEVIATION",$C$1=1),$A784,$A784+1),COLUMN('1-DATA'!J782)),IF($B784="STD. DEVIATION",2,$F$1))))</f>
        <v/>
      </c>
      <c r="L784" s="1" t="str">
        <f>IF(OR($B784="",L$7=""),"",IF($B784="MEANS",INDEX('1-DATA'!$1:$1048576,$A783-1,COLUMN('1-DATA'!K782)),ROUND(INDEX('1-DATA'!$1:$1048576,IF(OR($B784="STD. DEVIATION",$C$1=1),$A784,$A784+1),COLUMN('1-DATA'!K782)),IF($B784="STD. DEVIATION",2,$F$1))))</f>
        <v/>
      </c>
      <c r="M784" s="1" t="str">
        <f>IF(OR($B784="",M$7=""),"",IF($B784="MEANS",INDEX('1-DATA'!$1:$1048576,$A783-1,COLUMN('1-DATA'!L782)),ROUND(INDEX('1-DATA'!$1:$1048576,IF(OR($B784="STD. DEVIATION",$C$1=1),$A784,$A784+1),COLUMN('1-DATA'!L782)),IF($B784="STD. DEVIATION",2,$F$1))))</f>
        <v/>
      </c>
      <c r="N784" s="1" t="str">
        <f>IF(OR($B784="",N$7=""),"",IF($B784="MEANS",INDEX('1-DATA'!$1:$1048576,$A783-1,COLUMN('1-DATA'!M782)),ROUND(INDEX('1-DATA'!$1:$1048576,IF(OR($B784="STD. DEVIATION",$C$1=1),$A784,$A784+1),COLUMN('1-DATA'!M782)),IF($B784="STD. DEVIATION",2,$F$1))))</f>
        <v/>
      </c>
      <c r="O784" s="1" t="str">
        <f>IF(OR($B784="",O$7=""),"",IF($B784="MEANS",INDEX('1-DATA'!$1:$1048576,$A783-1,COLUMN('1-DATA'!N782)),ROUND(INDEX('1-DATA'!$1:$1048576,IF(OR($B784="STD. DEVIATION",$C$1=1),$A784,$A784+1),COLUMN('1-DATA'!N782)),IF($B784="STD. DEVIATION",2,$F$1))))</f>
        <v/>
      </c>
      <c r="P784" s="1" t="str">
        <f>IF(OR($B784="",P$7=""),"",IF($B784="MEANS",INDEX('1-DATA'!$1:$1048576,$A783-1,COLUMN('1-DATA'!O782)),ROUND(INDEX('1-DATA'!$1:$1048576,IF(OR($B784="STD. DEVIATION",$C$1=1),$A784,$A784+1),COLUMN('1-DATA'!O782)),IF($B784="STD. DEVIATION",2,$F$1))))</f>
        <v/>
      </c>
      <c r="Q784" s="1" t="str">
        <f>IF(OR($B784="",Q$7=""),"",IF($B784="MEANS",INDEX('1-DATA'!$1:$1048576,$A783-1,COLUMN('1-DATA'!P782)),ROUND(INDEX('1-DATA'!$1:$1048576,IF(OR($B784="STD. DEVIATION",$C$1=1),$A784,$A784+1),COLUMN('1-DATA'!P782)),IF($B784="STD. DEVIATION",2,$F$1))))</f>
        <v/>
      </c>
      <c r="R784" s="1" t="str">
        <f>IF(OR($B784="",R$7=""),"",IF($B784="MEANS",INDEX('1-DATA'!$1:$1048576,$A783-1,COLUMN('1-DATA'!Q782)),ROUND(INDEX('1-DATA'!$1:$1048576,IF(OR($B784="STD. DEVIATION",$C$1=1),$A784,$A784+1),COLUMN('1-DATA'!Q782)),IF($B784="STD. DEVIATION",2,$F$1))))</f>
        <v/>
      </c>
      <c r="S784" s="1" t="str">
        <f>IF(OR($B784="",S$7=""),"",IF($B784="MEANS",INDEX('1-DATA'!$1:$1048576,$A783-1,COLUMN('1-DATA'!R782)),ROUND(INDEX('1-DATA'!$1:$1048576,IF(OR($B784="STD. DEVIATION",$C$1=1),$A784,$A784+1),COLUMN('1-DATA'!R782)),IF($B784="STD. DEVIATION",2,$F$1))))</f>
        <v/>
      </c>
      <c r="T784" s="1" t="str">
        <f>IF(OR($B784="",T$7=""),"",IF($B784="MEANS",INDEX('1-DATA'!$1:$1048576,$A783-1,COLUMN('1-DATA'!S782)),ROUND(INDEX('1-DATA'!$1:$1048576,IF(OR($B784="STD. DEVIATION",$C$1=1),$A784,$A784+1),COLUMN('1-DATA'!S782)),IF($B784="STD. DEVIATION",2,$F$1))))</f>
        <v/>
      </c>
      <c r="U784" s="1" t="str">
        <f>IF(OR($B784="",U$7=""),"",IF($B784="MEANS",INDEX('1-DATA'!$1:$1048576,$A783-1,COLUMN('1-DATA'!T782)),ROUND(INDEX('1-DATA'!$1:$1048576,IF(OR($B784="STD. DEVIATION",$C$1=1),$A784,$A784+1),COLUMN('1-DATA'!T782)),IF($B784="STD. DEVIATION",2,$F$1))))</f>
        <v/>
      </c>
      <c r="V784" s="1" t="str">
        <f>IF(OR($B784="",V$7=""),"",IF($B784="MEANS",INDEX('1-DATA'!$1:$1048576,$A783-1,COLUMN('1-DATA'!U782)),ROUND(INDEX('1-DATA'!$1:$1048576,IF(OR($B784="STD. DEVIATION",$C$1=1),$A784,$A784+1),COLUMN('1-DATA'!U782)),IF($B784="STD. DEVIATION",2,$F$1))))</f>
        <v/>
      </c>
      <c r="W784" s="1" t="str">
        <f>IF(OR($B784="",W$7=""),"",IF($B784="MEANS",INDEX('1-DATA'!$1:$1048576,$A783-1,COLUMN('1-DATA'!V782)),ROUND(INDEX('1-DATA'!$1:$1048576,IF(OR($B784="STD. DEVIATION",$C$1=1),$A784,$A784+1),COLUMN('1-DATA'!V782)),IF($B784="STD. DEVIATION",2,$F$1))))</f>
        <v/>
      </c>
      <c r="X784" s="1" t="str">
        <f>IF(OR($B784="",X$7=""),"",IF($B784="MEANS",INDEX('1-DATA'!$1:$1048576,$A783-1,COLUMN('1-DATA'!W782)),ROUND(INDEX('1-DATA'!$1:$1048576,IF(OR($B784="STD. DEVIATION",$C$1=1),$A784,$A784+1),COLUMN('1-DATA'!W782)),IF($B784="STD. DEVIATION",2,$F$1))))</f>
        <v/>
      </c>
      <c r="Y784" s="1" t="str">
        <f>IF(OR($B784="",Y$7=""),"",IF($B784="MEANS",INDEX('1-DATA'!$1:$1048576,$A783-1,COLUMN('1-DATA'!X782)),ROUND(INDEX('1-DATA'!$1:$1048576,IF(OR($B784="STD. DEVIATION",$C$1=1),$A784,$A784+1),COLUMN('1-DATA'!X782)),IF($B784="STD. DEVIATION",2,$F$1))))</f>
        <v/>
      </c>
      <c r="Z784" s="1" t="str">
        <f>IF(OR($B784="",Z$7=""),"",IF($B784="MEANS",INDEX('1-DATA'!$1:$1048576,$A783-1,COLUMN('1-DATA'!Y782)),ROUND(INDEX('1-DATA'!$1:$1048576,IF(OR($B784="STD. DEVIATION",$C$1=1),$A784,$A784+1),COLUMN('1-DATA'!Y782)),IF($B784="STD. DEVIATION",2,$F$1))))</f>
        <v/>
      </c>
      <c r="AA784" s="1" t="str">
        <f>IF(OR($B784="",AA$7=""),"",IF($B784="MEANS",INDEX('1-DATA'!$1:$1048576,$A783-1,COLUMN('1-DATA'!Z782)),ROUND(INDEX('1-DATA'!$1:$1048576,IF(OR($B784="STD. DEVIATION",$C$1=1),$A784,$A784+1),COLUMN('1-DATA'!Z782)),IF($B784="STD. DEVIATION",2,$F$1))))</f>
        <v/>
      </c>
      <c r="AB784" s="1" t="str">
        <f>IF(OR($B784="",AB$7=""),"",IF($B784="MEANS",INDEX('1-DATA'!$1:$1048576,$A783-1,COLUMN('1-DATA'!AA782)),ROUND(INDEX('1-DATA'!$1:$1048576,IF(OR($B784="STD. DEVIATION",$C$1=1),$A784,$A784+1),COLUMN('1-DATA'!AA782)),IF($B784="STD. DEVIATION",2,$F$1))))</f>
        <v/>
      </c>
      <c r="AC784" s="1" t="str">
        <f>IF(OR($B784="",AC$7=""),"",IF($B784="MEANS",INDEX('1-DATA'!$1:$1048576,$A783-1,COLUMN('1-DATA'!AB782)),ROUND(INDEX('1-DATA'!$1:$1048576,IF(OR($B784="STD. DEVIATION",$C$1=1),$A784,$A784+1),COLUMN('1-DATA'!AB782)),IF($B784="STD. DEVIATION",2,$F$1))))</f>
        <v/>
      </c>
      <c r="AD784" s="1" t="str">
        <f>IF(OR($B784="",AD$7=""),"",IF($B784="MEANS",INDEX('1-DATA'!$1:$1048576,$A783-1,COLUMN('1-DATA'!AC782)),ROUND(INDEX('1-DATA'!$1:$1048576,IF(OR($B784="STD. DEVIATION",$C$1=1),$A784,$A784+1),COLUMN('1-DATA'!AC782)),IF($B784="STD. DEVIATION",2,$F$1))))</f>
        <v/>
      </c>
      <c r="AE784" s="1" t="str">
        <f>IF(OR($B784="",AE$7=""),"",IF($B784="MEANS",INDEX('1-DATA'!$1:$1048576,$A783-1,COLUMN('1-DATA'!AD782)),ROUND(INDEX('1-DATA'!$1:$1048576,IF(OR($B784="STD. DEVIATION",$C$1=1),$A784,$A784+1),COLUMN('1-DATA'!AD782)),IF($B784="STD. DEVIATION",2,$F$1))))</f>
        <v/>
      </c>
      <c r="AF784" s="1" t="str">
        <f>IF(OR($B784="",AF$7=""),"",IF($B784="MEANS",INDEX('1-DATA'!$1:$1048576,$A783-1,COLUMN('1-DATA'!AE782)),ROUND(INDEX('1-DATA'!$1:$1048576,IF(OR($B784="STD. DEVIATION",$C$1=1),$A784,$A784+1),COLUMN('1-DATA'!AE782)),IF($B784="STD. DEVIATION",2,$F$1))))</f>
        <v/>
      </c>
      <c r="AG784" s="1" t="str">
        <f>IF(OR($B784="",AG$7=""),"",IF($B784="MEANS",INDEX('1-DATA'!$1:$1048576,$A783-1,COLUMN('1-DATA'!AF782)),ROUND(INDEX('1-DATA'!$1:$1048576,IF(OR($B784="STD. DEVIATION",$C$1=1),$A784,$A784+1),COLUMN('1-DATA'!AF782)),IF($B784="STD. DEVIATION",2,$F$1))))</f>
        <v/>
      </c>
      <c r="AH784" s="1" t="str">
        <f>IF(OR($B784="",AH$7=""),"",IF($B784="MEANS",INDEX('1-DATA'!$1:$1048576,$A783-1,COLUMN('1-DATA'!AG782)),ROUND(INDEX('1-DATA'!$1:$1048576,IF(OR($B784="STD. DEVIATION",$C$1=1),$A784,$A784+1),COLUMN('1-DATA'!AG782)),IF($B784="STD. DEVIATION",2,$F$1))))</f>
        <v/>
      </c>
      <c r="AI784" s="1" t="str">
        <f>IF(OR($B784="",AI$7=""),"",IF($B784="MEANS",INDEX('1-DATA'!$1:$1048576,$A783-1,COLUMN('1-DATA'!AH782)),ROUND(INDEX('1-DATA'!$1:$1048576,IF(OR($B784="STD. DEVIATION",$C$1=1),$A784,$A784+1),COLUMN('1-DATA'!AH782)),IF($B784="STD. DEVIATION",2,$F$1))))</f>
        <v/>
      </c>
      <c r="AJ784" s="1" t="str">
        <f>IF(OR($B784="",AJ$7=""),"",IF($B784="MEANS",INDEX('1-DATA'!$1:$1048576,$A783-1,COLUMN('1-DATA'!AI782)),ROUND(INDEX('1-DATA'!$1:$1048576,IF(OR($B784="STD. DEVIATION",$C$1=1),$A784,$A784+1),COLUMN('1-DATA'!AI782)),IF($B784="STD. DEVIATION",2,$F$1))))</f>
        <v/>
      </c>
      <c r="AK784" s="1" t="str">
        <f>IF(OR($B784="",AK$7=""),"",IF($B784="MEANS",INDEX('1-DATA'!$1:$1048576,$A783-1,COLUMN('1-DATA'!AJ782)),ROUND(INDEX('1-DATA'!$1:$1048576,IF(OR($B784="STD. DEVIATION",$C$1=1),$A784,$A784+1),COLUMN('1-DATA'!AJ782)),IF($B784="STD. DEVIATION",2,$F$1))))</f>
        <v/>
      </c>
      <c r="AL784" s="1" t="str">
        <f>IF(OR($B784="",AL$7=""),"",IF($B784="MEANS",INDEX('1-DATA'!$1:$1048576,$A783-1,COLUMN('1-DATA'!AK782)),ROUND(INDEX('1-DATA'!$1:$1048576,IF(OR($B784="STD. DEVIATION",$C$1=1),$A784,$A784+1),COLUMN('1-DATA'!AK782)),IF($B784="STD. DEVIATION",2,$F$1))))</f>
        <v/>
      </c>
      <c r="AM784" s="1" t="str">
        <f>IF(OR($B784="",AM$7=""),"",IF($B784="MEANS",INDEX('1-DATA'!$1:$1048576,$A783-1,COLUMN('1-DATA'!AL782)),ROUND(INDEX('1-DATA'!$1:$1048576,IF(OR($B784="STD. DEVIATION",$C$1=1),$A784,$A784+1),COLUMN('1-DATA'!AL782)),IF($B784="STD. DEVIATION",2,$F$1))))</f>
        <v/>
      </c>
      <c r="AN784" s="1" t="str">
        <f>IF(OR($B784="",AN$7=""),"",IF($B784="MEANS",INDEX('1-DATA'!$1:$1048576,$A783-1,COLUMN('1-DATA'!AM782)),ROUND(INDEX('1-DATA'!$1:$1048576,IF(OR($B784="STD. DEVIATION",$C$1=1),$A784,$A784+1),COLUMN('1-DATA'!AM782)),IF($B784="STD. DEVIATION",2,$F$1))))</f>
        <v/>
      </c>
      <c r="AO784" s="1" t="str">
        <f>IF(OR($B784="",AO$7=""),"",IF($B784="MEANS",INDEX('1-DATA'!$1:$1048576,$A783-1,COLUMN('1-DATA'!AN782)),ROUND(INDEX('1-DATA'!$1:$1048576,IF(OR($B784="STD. DEVIATION",$C$1=1),$A784,$A784+1),COLUMN('1-DATA'!AN782)),IF($B784="STD. DEVIATION",2,$F$1))))</f>
        <v/>
      </c>
      <c r="AP784" s="1" t="str">
        <f>IF(OR($B784="",AP$7=""),"",IF($B784="MEANS",INDEX('1-DATA'!$1:$1048576,$A783-1,COLUMN('1-DATA'!AO782)),ROUND(INDEX('1-DATA'!$1:$1048576,IF(OR($B784="STD. DEVIATION",$C$1=1),$A784,$A784+1),COLUMN('1-DATA'!AO782)),IF($B784="STD. DEVIATION",2,$F$1))))</f>
        <v/>
      </c>
      <c r="AQ784" s="1" t="str">
        <f>IF(OR($B784="",AQ$7=""),"",IF($B784="MEANS",INDEX('1-DATA'!$1:$1048576,$A783-1,COLUMN('1-DATA'!AP782)),ROUND(INDEX('1-DATA'!$1:$1048576,IF(OR($B784="STD. DEVIATION",$C$1=1),$A784,$A784+1),COLUMN('1-DATA'!AP782)),IF($B784="STD. DEVIATION",2,$F$1))))</f>
        <v/>
      </c>
      <c r="AR784" s="1" t="str">
        <f>IF(OR($B784="",AR$7=""),"",IF($B784="MEANS",INDEX('1-DATA'!$1:$1048576,$A783-1,COLUMN('1-DATA'!AQ782)),ROUND(INDEX('1-DATA'!$1:$1048576,IF(OR($B784="STD. DEVIATION",$C$1=1),$A784,$A784+1),COLUMN('1-DATA'!AQ782)),IF($B784="STD. DEVIATION",2,$F$1))))</f>
        <v/>
      </c>
      <c r="AS784" s="1" t="str">
        <f>IF(OR($B784="",AS$7=""),"",IF($B784="MEANS",INDEX('1-DATA'!$1:$1048576,$A783-1,COLUMN('1-DATA'!AR782)),ROUND(INDEX('1-DATA'!$1:$1048576,IF(OR($B784="STD. DEVIATION",$C$1=1),$A784,$A784+1),COLUMN('1-DATA'!AR782)),IF($B784="STD. DEVIATION",2,$F$1))))</f>
        <v/>
      </c>
      <c r="AT784" s="1" t="str">
        <f>IF(OR($B784="",AT$7=""),"",IF($B784="MEANS",INDEX('1-DATA'!$1:$1048576,$A783-1,COLUMN('1-DATA'!AS782)),ROUND(INDEX('1-DATA'!$1:$1048576,IF(OR($B784="STD. DEVIATION",$C$1=1),$A784,$A784+1),COLUMN('1-DATA'!AS782)),IF($B784="STD. DEVIATION",2,$F$1))))</f>
        <v/>
      </c>
      <c r="AU784" s="1" t="str">
        <f>IF(OR($B784="",AU$7=""),"",IF($B784="MEANS",INDEX('1-DATA'!$1:$1048576,$A783-1,COLUMN('1-DATA'!AT782)),ROUND(INDEX('1-DATA'!$1:$1048576,IF(OR($B784="STD. DEVIATION",$C$1=1),$A784,$A784+1),COLUMN('1-DATA'!AT782)),IF($B784="STD. DEVIATION",2,$F$1))))</f>
        <v/>
      </c>
      <c r="AV784" s="1" t="str">
        <f>IF(OR($B784="",AV$7=""),"",IF($B784="MEANS",INDEX('1-DATA'!$1:$1048576,$A783-1,COLUMN('1-DATA'!AU782)),ROUND(INDEX('1-DATA'!$1:$1048576,IF(OR($B784="STD. DEVIATION",$C$1=1),$A784,$A784+1),COLUMN('1-DATA'!AU782)),IF($B784="STD. DEVIATION",2,$F$1))))</f>
        <v/>
      </c>
      <c r="AW784" s="1" t="str">
        <f>IF(OR($B784="",AW$7=""),"",IF($B784="MEANS",INDEX('1-DATA'!$1:$1048576,$A783-1,COLUMN('1-DATA'!AV782)),ROUND(INDEX('1-DATA'!$1:$1048576,IF(OR($B784="STD. DEVIATION",$C$1=1),$A784,$A784+1),COLUMN('1-DATA'!AV782)),IF($B784="STD. DEVIATION",2,$F$1))))</f>
        <v/>
      </c>
      <c r="AX784" s="1" t="str">
        <f>IF(OR($B784="",AX$7=""),"",IF($B784="MEANS",INDEX('1-DATA'!$1:$1048576,$A783-1,COLUMN('1-DATA'!AW782)),ROUND(INDEX('1-DATA'!$1:$1048576,IF(OR($B784="STD. DEVIATION",$C$1=1),$A784,$A784+1),COLUMN('1-DATA'!AW782)),IF($B784="STD. DEVIATION",2,$F$1))))</f>
        <v/>
      </c>
      <c r="AY784" s="1" t="str">
        <f>IF(OR($B784="",AY$7=""),"",IF($B784="MEANS",INDEX('1-DATA'!$1:$1048576,$A783-1,COLUMN('1-DATA'!AX782)),ROUND(INDEX('1-DATA'!$1:$1048576,IF(OR($B784="STD. DEVIATION",$C$1=1),$A784,$A784+1),COLUMN('1-DATA'!AX782)),IF($B784="STD. DEVIATION",2,$F$1))))</f>
        <v/>
      </c>
      <c r="AZ784" s="1" t="str">
        <f>IF(OR($B784="",AZ$7=""),"",IF($B784="MEANS",INDEX('1-DATA'!$1:$1048576,$A783-1,COLUMN('1-DATA'!AY782)),ROUND(INDEX('1-DATA'!$1:$1048576,IF(OR($B784="STD. DEVIATION",$C$1=1),$A784,$A784+1),COLUMN('1-DATA'!AY782)),IF($B784="STD. DEVIATION",2,$F$1))))</f>
        <v/>
      </c>
    </row>
    <row r="785" spans="1:52" x14ac:dyDescent="0.25">
      <c r="A785" s="11">
        <f t="shared" si="12"/>
        <v>2341</v>
      </c>
      <c r="B785" s="1" t="str">
        <f>IF(B784="STD. DEVIATION",INDEX('1-DATA'!$1:$1048576,$A784-1,1),IF(INDEX('1-DATA'!$1:$1048576,$A785,1)&lt;&gt;"",INDEX('1-DATA'!$1:$1048576,$A785,1),""))</f>
        <v/>
      </c>
      <c r="C785" s="1" t="str">
        <f>IF(OR($B785="",C$7=""),"",IF($B785="MEANS",INDEX('1-DATA'!$1:$1048576,$A784-1,COLUMN('1-DATA'!B783)),ROUND(INDEX('1-DATA'!$1:$1048576,IF(OR($B785="STD. DEVIATION",$C$1=1),$A785,$A785+1),COLUMN('1-DATA'!B783)),IF($B785="STD. DEVIATION",2,$F$1))))</f>
        <v/>
      </c>
      <c r="D785" s="1" t="str">
        <f>IF(OR($B785="",D$7=""),"",IF($B785="MEANS",INDEX('1-DATA'!$1:$1048576,$A784-1,COLUMN('1-DATA'!C783)),ROUND(INDEX('1-DATA'!$1:$1048576,IF(OR($B785="STD. DEVIATION",$C$1=1),$A785,$A785+1),COLUMN('1-DATA'!C783)),IF($B785="STD. DEVIATION",2,$F$1))))</f>
        <v/>
      </c>
      <c r="E785" s="1" t="str">
        <f>IF(OR($B785="",E$7=""),"",IF($B785="MEANS",INDEX('1-DATA'!$1:$1048576,$A784-1,COLUMN('1-DATA'!D783)),ROUND(INDEX('1-DATA'!$1:$1048576,IF(OR($B785="STD. DEVIATION",$C$1=1),$A785,$A785+1),COLUMN('1-DATA'!D783)),IF($B785="STD. DEVIATION",2,$F$1))))</f>
        <v/>
      </c>
      <c r="F785" s="1" t="str">
        <f>IF(OR($B785="",F$7=""),"",IF($B785="MEANS",INDEX('1-DATA'!$1:$1048576,$A784-1,COLUMN('1-DATA'!E783)),ROUND(INDEX('1-DATA'!$1:$1048576,IF(OR($B785="STD. DEVIATION",$C$1=1),$A785,$A785+1),COLUMN('1-DATA'!E783)),IF($B785="STD. DEVIATION",2,$F$1))))</f>
        <v/>
      </c>
      <c r="G785" s="1" t="str">
        <f>IF(OR($B785="",G$7=""),"",IF($B785="MEANS",INDEX('1-DATA'!$1:$1048576,$A784-1,COLUMN('1-DATA'!F783)),ROUND(INDEX('1-DATA'!$1:$1048576,IF(OR($B785="STD. DEVIATION",$C$1=1),$A785,$A785+1),COLUMN('1-DATA'!F783)),IF($B785="STD. DEVIATION",2,$F$1))))</f>
        <v/>
      </c>
      <c r="H785" s="1" t="str">
        <f>IF(OR($B785="",H$7=""),"",IF($B785="MEANS",INDEX('1-DATA'!$1:$1048576,$A784-1,COLUMN('1-DATA'!G783)),ROUND(INDEX('1-DATA'!$1:$1048576,IF(OR($B785="STD. DEVIATION",$C$1=1),$A785,$A785+1),COLUMN('1-DATA'!G783)),IF($B785="STD. DEVIATION",2,$F$1))))</f>
        <v/>
      </c>
      <c r="I785" s="1" t="str">
        <f>IF(OR($B785="",I$7=""),"",IF($B785="MEANS",INDEX('1-DATA'!$1:$1048576,$A784-1,COLUMN('1-DATA'!H783)),ROUND(INDEX('1-DATA'!$1:$1048576,IF(OR($B785="STD. DEVIATION",$C$1=1),$A785,$A785+1),COLUMN('1-DATA'!H783)),IF($B785="STD. DEVIATION",2,$F$1))))</f>
        <v/>
      </c>
      <c r="J785" s="1" t="str">
        <f>IF(OR($B785="",J$7=""),"",IF($B785="MEANS",INDEX('1-DATA'!$1:$1048576,$A784-1,COLUMN('1-DATA'!I783)),ROUND(INDEX('1-DATA'!$1:$1048576,IF(OR($B785="STD. DEVIATION",$C$1=1),$A785,$A785+1),COLUMN('1-DATA'!I783)),IF($B785="STD. DEVIATION",2,$F$1))))</f>
        <v/>
      </c>
      <c r="K785" s="1" t="str">
        <f>IF(OR($B785="",K$7=""),"",IF($B785="MEANS",INDEX('1-DATA'!$1:$1048576,$A784-1,COLUMN('1-DATA'!J783)),ROUND(INDEX('1-DATA'!$1:$1048576,IF(OR($B785="STD. DEVIATION",$C$1=1),$A785,$A785+1),COLUMN('1-DATA'!J783)),IF($B785="STD. DEVIATION",2,$F$1))))</f>
        <v/>
      </c>
      <c r="L785" s="1" t="str">
        <f>IF(OR($B785="",L$7=""),"",IF($B785="MEANS",INDEX('1-DATA'!$1:$1048576,$A784-1,COLUMN('1-DATA'!K783)),ROUND(INDEX('1-DATA'!$1:$1048576,IF(OR($B785="STD. DEVIATION",$C$1=1),$A785,$A785+1),COLUMN('1-DATA'!K783)),IF($B785="STD. DEVIATION",2,$F$1))))</f>
        <v/>
      </c>
      <c r="M785" s="1" t="str">
        <f>IF(OR($B785="",M$7=""),"",IF($B785="MEANS",INDEX('1-DATA'!$1:$1048576,$A784-1,COLUMN('1-DATA'!L783)),ROUND(INDEX('1-DATA'!$1:$1048576,IF(OR($B785="STD. DEVIATION",$C$1=1),$A785,$A785+1),COLUMN('1-DATA'!L783)),IF($B785="STD. DEVIATION",2,$F$1))))</f>
        <v/>
      </c>
      <c r="N785" s="1" t="str">
        <f>IF(OR($B785="",N$7=""),"",IF($B785="MEANS",INDEX('1-DATA'!$1:$1048576,$A784-1,COLUMN('1-DATA'!M783)),ROUND(INDEX('1-DATA'!$1:$1048576,IF(OR($B785="STD. DEVIATION",$C$1=1),$A785,$A785+1),COLUMN('1-DATA'!M783)),IF($B785="STD. DEVIATION",2,$F$1))))</f>
        <v/>
      </c>
      <c r="O785" s="1" t="str">
        <f>IF(OR($B785="",O$7=""),"",IF($B785="MEANS",INDEX('1-DATA'!$1:$1048576,$A784-1,COLUMN('1-DATA'!N783)),ROUND(INDEX('1-DATA'!$1:$1048576,IF(OR($B785="STD. DEVIATION",$C$1=1),$A785,$A785+1),COLUMN('1-DATA'!N783)),IF($B785="STD. DEVIATION",2,$F$1))))</f>
        <v/>
      </c>
      <c r="P785" s="1" t="str">
        <f>IF(OR($B785="",P$7=""),"",IF($B785="MEANS",INDEX('1-DATA'!$1:$1048576,$A784-1,COLUMN('1-DATA'!O783)),ROUND(INDEX('1-DATA'!$1:$1048576,IF(OR($B785="STD. DEVIATION",$C$1=1),$A785,$A785+1),COLUMN('1-DATA'!O783)),IF($B785="STD. DEVIATION",2,$F$1))))</f>
        <v/>
      </c>
      <c r="Q785" s="1" t="str">
        <f>IF(OR($B785="",Q$7=""),"",IF($B785="MEANS",INDEX('1-DATA'!$1:$1048576,$A784-1,COLUMN('1-DATA'!P783)),ROUND(INDEX('1-DATA'!$1:$1048576,IF(OR($B785="STD. DEVIATION",$C$1=1),$A785,$A785+1),COLUMN('1-DATA'!P783)),IF($B785="STD. DEVIATION",2,$F$1))))</f>
        <v/>
      </c>
      <c r="R785" s="1" t="str">
        <f>IF(OR($B785="",R$7=""),"",IF($B785="MEANS",INDEX('1-DATA'!$1:$1048576,$A784-1,COLUMN('1-DATA'!Q783)),ROUND(INDEX('1-DATA'!$1:$1048576,IF(OR($B785="STD. DEVIATION",$C$1=1),$A785,$A785+1),COLUMN('1-DATA'!Q783)),IF($B785="STD. DEVIATION",2,$F$1))))</f>
        <v/>
      </c>
      <c r="S785" s="1" t="str">
        <f>IF(OR($B785="",S$7=""),"",IF($B785="MEANS",INDEX('1-DATA'!$1:$1048576,$A784-1,COLUMN('1-DATA'!R783)),ROUND(INDEX('1-DATA'!$1:$1048576,IF(OR($B785="STD. DEVIATION",$C$1=1),$A785,$A785+1),COLUMN('1-DATA'!R783)),IF($B785="STD. DEVIATION",2,$F$1))))</f>
        <v/>
      </c>
      <c r="T785" s="1" t="str">
        <f>IF(OR($B785="",T$7=""),"",IF($B785="MEANS",INDEX('1-DATA'!$1:$1048576,$A784-1,COLUMN('1-DATA'!S783)),ROUND(INDEX('1-DATA'!$1:$1048576,IF(OR($B785="STD. DEVIATION",$C$1=1),$A785,$A785+1),COLUMN('1-DATA'!S783)),IF($B785="STD. DEVIATION",2,$F$1))))</f>
        <v/>
      </c>
      <c r="U785" s="1" t="str">
        <f>IF(OR($B785="",U$7=""),"",IF($B785="MEANS",INDEX('1-DATA'!$1:$1048576,$A784-1,COLUMN('1-DATA'!T783)),ROUND(INDEX('1-DATA'!$1:$1048576,IF(OR($B785="STD. DEVIATION",$C$1=1),$A785,$A785+1),COLUMN('1-DATA'!T783)),IF($B785="STD. DEVIATION",2,$F$1))))</f>
        <v/>
      </c>
      <c r="V785" s="1" t="str">
        <f>IF(OR($B785="",V$7=""),"",IF($B785="MEANS",INDEX('1-DATA'!$1:$1048576,$A784-1,COLUMN('1-DATA'!U783)),ROUND(INDEX('1-DATA'!$1:$1048576,IF(OR($B785="STD. DEVIATION",$C$1=1),$A785,$A785+1),COLUMN('1-DATA'!U783)),IF($B785="STD. DEVIATION",2,$F$1))))</f>
        <v/>
      </c>
      <c r="W785" s="1" t="str">
        <f>IF(OR($B785="",W$7=""),"",IF($B785="MEANS",INDEX('1-DATA'!$1:$1048576,$A784-1,COLUMN('1-DATA'!V783)),ROUND(INDEX('1-DATA'!$1:$1048576,IF(OR($B785="STD. DEVIATION",$C$1=1),$A785,$A785+1),COLUMN('1-DATA'!V783)),IF($B785="STD. DEVIATION",2,$F$1))))</f>
        <v/>
      </c>
      <c r="X785" s="1" t="str">
        <f>IF(OR($B785="",X$7=""),"",IF($B785="MEANS",INDEX('1-DATA'!$1:$1048576,$A784-1,COLUMN('1-DATA'!W783)),ROUND(INDEX('1-DATA'!$1:$1048576,IF(OR($B785="STD. DEVIATION",$C$1=1),$A785,$A785+1),COLUMN('1-DATA'!W783)),IF($B785="STD. DEVIATION",2,$F$1))))</f>
        <v/>
      </c>
      <c r="Y785" s="1" t="str">
        <f>IF(OR($B785="",Y$7=""),"",IF($B785="MEANS",INDEX('1-DATA'!$1:$1048576,$A784-1,COLUMN('1-DATA'!X783)),ROUND(INDEX('1-DATA'!$1:$1048576,IF(OR($B785="STD. DEVIATION",$C$1=1),$A785,$A785+1),COLUMN('1-DATA'!X783)),IF($B785="STD. DEVIATION",2,$F$1))))</f>
        <v/>
      </c>
      <c r="Z785" s="1" t="str">
        <f>IF(OR($B785="",Z$7=""),"",IF($B785="MEANS",INDEX('1-DATA'!$1:$1048576,$A784-1,COLUMN('1-DATA'!Y783)),ROUND(INDEX('1-DATA'!$1:$1048576,IF(OR($B785="STD. DEVIATION",$C$1=1),$A785,$A785+1),COLUMN('1-DATA'!Y783)),IF($B785="STD. DEVIATION",2,$F$1))))</f>
        <v/>
      </c>
      <c r="AA785" s="1" t="str">
        <f>IF(OR($B785="",AA$7=""),"",IF($B785="MEANS",INDEX('1-DATA'!$1:$1048576,$A784-1,COLUMN('1-DATA'!Z783)),ROUND(INDEX('1-DATA'!$1:$1048576,IF(OR($B785="STD. DEVIATION",$C$1=1),$A785,$A785+1),COLUMN('1-DATA'!Z783)),IF($B785="STD. DEVIATION",2,$F$1))))</f>
        <v/>
      </c>
      <c r="AB785" s="1" t="str">
        <f>IF(OR($B785="",AB$7=""),"",IF($B785="MEANS",INDEX('1-DATA'!$1:$1048576,$A784-1,COLUMN('1-DATA'!AA783)),ROUND(INDEX('1-DATA'!$1:$1048576,IF(OR($B785="STD. DEVIATION",$C$1=1),$A785,$A785+1),COLUMN('1-DATA'!AA783)),IF($B785="STD. DEVIATION",2,$F$1))))</f>
        <v/>
      </c>
      <c r="AC785" s="1" t="str">
        <f>IF(OR($B785="",AC$7=""),"",IF($B785="MEANS",INDEX('1-DATA'!$1:$1048576,$A784-1,COLUMN('1-DATA'!AB783)),ROUND(INDEX('1-DATA'!$1:$1048576,IF(OR($B785="STD. DEVIATION",$C$1=1),$A785,$A785+1),COLUMN('1-DATA'!AB783)),IF($B785="STD. DEVIATION",2,$F$1))))</f>
        <v/>
      </c>
      <c r="AD785" s="1" t="str">
        <f>IF(OR($B785="",AD$7=""),"",IF($B785="MEANS",INDEX('1-DATA'!$1:$1048576,$A784-1,COLUMN('1-DATA'!AC783)),ROUND(INDEX('1-DATA'!$1:$1048576,IF(OR($B785="STD. DEVIATION",$C$1=1),$A785,$A785+1),COLUMN('1-DATA'!AC783)),IF($B785="STD. DEVIATION",2,$F$1))))</f>
        <v/>
      </c>
      <c r="AE785" s="1" t="str">
        <f>IF(OR($B785="",AE$7=""),"",IF($B785="MEANS",INDEX('1-DATA'!$1:$1048576,$A784-1,COLUMN('1-DATA'!AD783)),ROUND(INDEX('1-DATA'!$1:$1048576,IF(OR($B785="STD. DEVIATION",$C$1=1),$A785,$A785+1),COLUMN('1-DATA'!AD783)),IF($B785="STD. DEVIATION",2,$F$1))))</f>
        <v/>
      </c>
      <c r="AF785" s="1" t="str">
        <f>IF(OR($B785="",AF$7=""),"",IF($B785="MEANS",INDEX('1-DATA'!$1:$1048576,$A784-1,COLUMN('1-DATA'!AE783)),ROUND(INDEX('1-DATA'!$1:$1048576,IF(OR($B785="STD. DEVIATION",$C$1=1),$A785,$A785+1),COLUMN('1-DATA'!AE783)),IF($B785="STD. DEVIATION",2,$F$1))))</f>
        <v/>
      </c>
      <c r="AG785" s="1" t="str">
        <f>IF(OR($B785="",AG$7=""),"",IF($B785="MEANS",INDEX('1-DATA'!$1:$1048576,$A784-1,COLUMN('1-DATA'!AF783)),ROUND(INDEX('1-DATA'!$1:$1048576,IF(OR($B785="STD. DEVIATION",$C$1=1),$A785,$A785+1),COLUMN('1-DATA'!AF783)),IF($B785="STD. DEVIATION",2,$F$1))))</f>
        <v/>
      </c>
      <c r="AH785" s="1" t="str">
        <f>IF(OR($B785="",AH$7=""),"",IF($B785="MEANS",INDEX('1-DATA'!$1:$1048576,$A784-1,COLUMN('1-DATA'!AG783)),ROUND(INDEX('1-DATA'!$1:$1048576,IF(OR($B785="STD. DEVIATION",$C$1=1),$A785,$A785+1),COLUMN('1-DATA'!AG783)),IF($B785="STD. DEVIATION",2,$F$1))))</f>
        <v/>
      </c>
      <c r="AI785" s="1" t="str">
        <f>IF(OR($B785="",AI$7=""),"",IF($B785="MEANS",INDEX('1-DATA'!$1:$1048576,$A784-1,COLUMN('1-DATA'!AH783)),ROUND(INDEX('1-DATA'!$1:$1048576,IF(OR($B785="STD. DEVIATION",$C$1=1),$A785,$A785+1),COLUMN('1-DATA'!AH783)),IF($B785="STD. DEVIATION",2,$F$1))))</f>
        <v/>
      </c>
      <c r="AJ785" s="1" t="str">
        <f>IF(OR($B785="",AJ$7=""),"",IF($B785="MEANS",INDEX('1-DATA'!$1:$1048576,$A784-1,COLUMN('1-DATA'!AI783)),ROUND(INDEX('1-DATA'!$1:$1048576,IF(OR($B785="STD. DEVIATION",$C$1=1),$A785,$A785+1),COLUMN('1-DATA'!AI783)),IF($B785="STD. DEVIATION",2,$F$1))))</f>
        <v/>
      </c>
      <c r="AK785" s="1" t="str">
        <f>IF(OR($B785="",AK$7=""),"",IF($B785="MEANS",INDEX('1-DATA'!$1:$1048576,$A784-1,COLUMN('1-DATA'!AJ783)),ROUND(INDEX('1-DATA'!$1:$1048576,IF(OR($B785="STD. DEVIATION",$C$1=1),$A785,$A785+1),COLUMN('1-DATA'!AJ783)),IF($B785="STD. DEVIATION",2,$F$1))))</f>
        <v/>
      </c>
      <c r="AL785" s="1" t="str">
        <f>IF(OR($B785="",AL$7=""),"",IF($B785="MEANS",INDEX('1-DATA'!$1:$1048576,$A784-1,COLUMN('1-DATA'!AK783)),ROUND(INDEX('1-DATA'!$1:$1048576,IF(OR($B785="STD. DEVIATION",$C$1=1),$A785,$A785+1),COLUMN('1-DATA'!AK783)),IF($B785="STD. DEVIATION",2,$F$1))))</f>
        <v/>
      </c>
      <c r="AM785" s="1" t="str">
        <f>IF(OR($B785="",AM$7=""),"",IF($B785="MEANS",INDEX('1-DATA'!$1:$1048576,$A784-1,COLUMN('1-DATA'!AL783)),ROUND(INDEX('1-DATA'!$1:$1048576,IF(OR($B785="STD. DEVIATION",$C$1=1),$A785,$A785+1),COLUMN('1-DATA'!AL783)),IF($B785="STD. DEVIATION",2,$F$1))))</f>
        <v/>
      </c>
      <c r="AN785" s="1" t="str">
        <f>IF(OR($B785="",AN$7=""),"",IF($B785="MEANS",INDEX('1-DATA'!$1:$1048576,$A784-1,COLUMN('1-DATA'!AM783)),ROUND(INDEX('1-DATA'!$1:$1048576,IF(OR($B785="STD. DEVIATION",$C$1=1),$A785,$A785+1),COLUMN('1-DATA'!AM783)),IF($B785="STD. DEVIATION",2,$F$1))))</f>
        <v/>
      </c>
      <c r="AO785" s="1" t="str">
        <f>IF(OR($B785="",AO$7=""),"",IF($B785="MEANS",INDEX('1-DATA'!$1:$1048576,$A784-1,COLUMN('1-DATA'!AN783)),ROUND(INDEX('1-DATA'!$1:$1048576,IF(OR($B785="STD. DEVIATION",$C$1=1),$A785,$A785+1),COLUMN('1-DATA'!AN783)),IF($B785="STD. DEVIATION",2,$F$1))))</f>
        <v/>
      </c>
      <c r="AP785" s="1" t="str">
        <f>IF(OR($B785="",AP$7=""),"",IF($B785="MEANS",INDEX('1-DATA'!$1:$1048576,$A784-1,COLUMN('1-DATA'!AO783)),ROUND(INDEX('1-DATA'!$1:$1048576,IF(OR($B785="STD. DEVIATION",$C$1=1),$A785,$A785+1),COLUMN('1-DATA'!AO783)),IF($B785="STD. DEVIATION",2,$F$1))))</f>
        <v/>
      </c>
      <c r="AQ785" s="1" t="str">
        <f>IF(OR($B785="",AQ$7=""),"",IF($B785="MEANS",INDEX('1-DATA'!$1:$1048576,$A784-1,COLUMN('1-DATA'!AP783)),ROUND(INDEX('1-DATA'!$1:$1048576,IF(OR($B785="STD. DEVIATION",$C$1=1),$A785,$A785+1),COLUMN('1-DATA'!AP783)),IF($B785="STD. DEVIATION",2,$F$1))))</f>
        <v/>
      </c>
      <c r="AR785" s="1" t="str">
        <f>IF(OR($B785="",AR$7=""),"",IF($B785="MEANS",INDEX('1-DATA'!$1:$1048576,$A784-1,COLUMN('1-DATA'!AQ783)),ROUND(INDEX('1-DATA'!$1:$1048576,IF(OR($B785="STD. DEVIATION",$C$1=1),$A785,$A785+1),COLUMN('1-DATA'!AQ783)),IF($B785="STD. DEVIATION",2,$F$1))))</f>
        <v/>
      </c>
      <c r="AS785" s="1" t="str">
        <f>IF(OR($B785="",AS$7=""),"",IF($B785="MEANS",INDEX('1-DATA'!$1:$1048576,$A784-1,COLUMN('1-DATA'!AR783)),ROUND(INDEX('1-DATA'!$1:$1048576,IF(OR($B785="STD. DEVIATION",$C$1=1),$A785,$A785+1),COLUMN('1-DATA'!AR783)),IF($B785="STD. DEVIATION",2,$F$1))))</f>
        <v/>
      </c>
      <c r="AT785" s="1" t="str">
        <f>IF(OR($B785="",AT$7=""),"",IF($B785="MEANS",INDEX('1-DATA'!$1:$1048576,$A784-1,COLUMN('1-DATA'!AS783)),ROUND(INDEX('1-DATA'!$1:$1048576,IF(OR($B785="STD. DEVIATION",$C$1=1),$A785,$A785+1),COLUMN('1-DATA'!AS783)),IF($B785="STD. DEVIATION",2,$F$1))))</f>
        <v/>
      </c>
      <c r="AU785" s="1" t="str">
        <f>IF(OR($B785="",AU$7=""),"",IF($B785="MEANS",INDEX('1-DATA'!$1:$1048576,$A784-1,COLUMN('1-DATA'!AT783)),ROUND(INDEX('1-DATA'!$1:$1048576,IF(OR($B785="STD. DEVIATION",$C$1=1),$A785,$A785+1),COLUMN('1-DATA'!AT783)),IF($B785="STD. DEVIATION",2,$F$1))))</f>
        <v/>
      </c>
      <c r="AV785" s="1" t="str">
        <f>IF(OR($B785="",AV$7=""),"",IF($B785="MEANS",INDEX('1-DATA'!$1:$1048576,$A784-1,COLUMN('1-DATA'!AU783)),ROUND(INDEX('1-DATA'!$1:$1048576,IF(OR($B785="STD. DEVIATION",$C$1=1),$A785,$A785+1),COLUMN('1-DATA'!AU783)),IF($B785="STD. DEVIATION",2,$F$1))))</f>
        <v/>
      </c>
      <c r="AW785" s="1" t="str">
        <f>IF(OR($B785="",AW$7=""),"",IF($B785="MEANS",INDEX('1-DATA'!$1:$1048576,$A784-1,COLUMN('1-DATA'!AV783)),ROUND(INDEX('1-DATA'!$1:$1048576,IF(OR($B785="STD. DEVIATION",$C$1=1),$A785,$A785+1),COLUMN('1-DATA'!AV783)),IF($B785="STD. DEVIATION",2,$F$1))))</f>
        <v/>
      </c>
      <c r="AX785" s="1" t="str">
        <f>IF(OR($B785="",AX$7=""),"",IF($B785="MEANS",INDEX('1-DATA'!$1:$1048576,$A784-1,COLUMN('1-DATA'!AW783)),ROUND(INDEX('1-DATA'!$1:$1048576,IF(OR($B785="STD. DEVIATION",$C$1=1),$A785,$A785+1),COLUMN('1-DATA'!AW783)),IF($B785="STD. DEVIATION",2,$F$1))))</f>
        <v/>
      </c>
      <c r="AY785" s="1" t="str">
        <f>IF(OR($B785="",AY$7=""),"",IF($B785="MEANS",INDEX('1-DATA'!$1:$1048576,$A784-1,COLUMN('1-DATA'!AX783)),ROUND(INDEX('1-DATA'!$1:$1048576,IF(OR($B785="STD. DEVIATION",$C$1=1),$A785,$A785+1),COLUMN('1-DATA'!AX783)),IF($B785="STD. DEVIATION",2,$F$1))))</f>
        <v/>
      </c>
      <c r="AZ785" s="1" t="str">
        <f>IF(OR($B785="",AZ$7=""),"",IF($B785="MEANS",INDEX('1-DATA'!$1:$1048576,$A784-1,COLUMN('1-DATA'!AY783)),ROUND(INDEX('1-DATA'!$1:$1048576,IF(OR($B785="STD. DEVIATION",$C$1=1),$A785,$A785+1),COLUMN('1-DATA'!AY783)),IF($B785="STD. DEVIATION",2,$F$1))))</f>
        <v/>
      </c>
    </row>
    <row r="786" spans="1:52" x14ac:dyDescent="0.25">
      <c r="A786" s="11">
        <f t="shared" si="12"/>
        <v>2344</v>
      </c>
      <c r="B786" s="1" t="str">
        <f>IF(B785="STD. DEVIATION",INDEX('1-DATA'!$1:$1048576,$A785-1,1),IF(INDEX('1-DATA'!$1:$1048576,$A786,1)&lt;&gt;"",INDEX('1-DATA'!$1:$1048576,$A786,1),""))</f>
        <v/>
      </c>
      <c r="C786" s="1" t="str">
        <f>IF(OR($B786="",C$7=""),"",IF($B786="MEANS",INDEX('1-DATA'!$1:$1048576,$A785-1,COLUMN('1-DATA'!B784)),ROUND(INDEX('1-DATA'!$1:$1048576,IF(OR($B786="STD. DEVIATION",$C$1=1),$A786,$A786+1),COLUMN('1-DATA'!B784)),IF($B786="STD. DEVIATION",2,$F$1))))</f>
        <v/>
      </c>
      <c r="D786" s="1" t="str">
        <f>IF(OR($B786="",D$7=""),"",IF($B786="MEANS",INDEX('1-DATA'!$1:$1048576,$A785-1,COLUMN('1-DATA'!C784)),ROUND(INDEX('1-DATA'!$1:$1048576,IF(OR($B786="STD. DEVIATION",$C$1=1),$A786,$A786+1),COLUMN('1-DATA'!C784)),IF($B786="STD. DEVIATION",2,$F$1))))</f>
        <v/>
      </c>
      <c r="E786" s="1" t="str">
        <f>IF(OR($B786="",E$7=""),"",IF($B786="MEANS",INDEX('1-DATA'!$1:$1048576,$A785-1,COLUMN('1-DATA'!D784)),ROUND(INDEX('1-DATA'!$1:$1048576,IF(OR($B786="STD. DEVIATION",$C$1=1),$A786,$A786+1),COLUMN('1-DATA'!D784)),IF($B786="STD. DEVIATION",2,$F$1))))</f>
        <v/>
      </c>
      <c r="F786" s="1" t="str">
        <f>IF(OR($B786="",F$7=""),"",IF($B786="MEANS",INDEX('1-DATA'!$1:$1048576,$A785-1,COLUMN('1-DATA'!E784)),ROUND(INDEX('1-DATA'!$1:$1048576,IF(OR($B786="STD. DEVIATION",$C$1=1),$A786,$A786+1),COLUMN('1-DATA'!E784)),IF($B786="STD. DEVIATION",2,$F$1))))</f>
        <v/>
      </c>
      <c r="G786" s="1" t="str">
        <f>IF(OR($B786="",G$7=""),"",IF($B786="MEANS",INDEX('1-DATA'!$1:$1048576,$A785-1,COLUMN('1-DATA'!F784)),ROUND(INDEX('1-DATA'!$1:$1048576,IF(OR($B786="STD. DEVIATION",$C$1=1),$A786,$A786+1),COLUMN('1-DATA'!F784)),IF($B786="STD. DEVIATION",2,$F$1))))</f>
        <v/>
      </c>
      <c r="H786" s="1" t="str">
        <f>IF(OR($B786="",H$7=""),"",IF($B786="MEANS",INDEX('1-DATA'!$1:$1048576,$A785-1,COLUMN('1-DATA'!G784)),ROUND(INDEX('1-DATA'!$1:$1048576,IF(OR($B786="STD. DEVIATION",$C$1=1),$A786,$A786+1),COLUMN('1-DATA'!G784)),IF($B786="STD. DEVIATION",2,$F$1))))</f>
        <v/>
      </c>
      <c r="I786" s="1" t="str">
        <f>IF(OR($B786="",I$7=""),"",IF($B786="MEANS",INDEX('1-DATA'!$1:$1048576,$A785-1,COLUMN('1-DATA'!H784)),ROUND(INDEX('1-DATA'!$1:$1048576,IF(OR($B786="STD. DEVIATION",$C$1=1),$A786,$A786+1),COLUMN('1-DATA'!H784)),IF($B786="STD. DEVIATION",2,$F$1))))</f>
        <v/>
      </c>
      <c r="J786" s="1" t="str">
        <f>IF(OR($B786="",J$7=""),"",IF($B786="MEANS",INDEX('1-DATA'!$1:$1048576,$A785-1,COLUMN('1-DATA'!I784)),ROUND(INDEX('1-DATA'!$1:$1048576,IF(OR($B786="STD. DEVIATION",$C$1=1),$A786,$A786+1),COLUMN('1-DATA'!I784)),IF($B786="STD. DEVIATION",2,$F$1))))</f>
        <v/>
      </c>
      <c r="K786" s="1" t="str">
        <f>IF(OR($B786="",K$7=""),"",IF($B786="MEANS",INDEX('1-DATA'!$1:$1048576,$A785-1,COLUMN('1-DATA'!J784)),ROUND(INDEX('1-DATA'!$1:$1048576,IF(OR($B786="STD. DEVIATION",$C$1=1),$A786,$A786+1),COLUMN('1-DATA'!J784)),IF($B786="STD. DEVIATION",2,$F$1))))</f>
        <v/>
      </c>
      <c r="L786" s="1" t="str">
        <f>IF(OR($B786="",L$7=""),"",IF($B786="MEANS",INDEX('1-DATA'!$1:$1048576,$A785-1,COLUMN('1-DATA'!K784)),ROUND(INDEX('1-DATA'!$1:$1048576,IF(OR($B786="STD. DEVIATION",$C$1=1),$A786,$A786+1),COLUMN('1-DATA'!K784)),IF($B786="STD. DEVIATION",2,$F$1))))</f>
        <v/>
      </c>
      <c r="M786" s="1" t="str">
        <f>IF(OR($B786="",M$7=""),"",IF($B786="MEANS",INDEX('1-DATA'!$1:$1048576,$A785-1,COLUMN('1-DATA'!L784)),ROUND(INDEX('1-DATA'!$1:$1048576,IF(OR($B786="STD. DEVIATION",$C$1=1),$A786,$A786+1),COLUMN('1-DATA'!L784)),IF($B786="STD. DEVIATION",2,$F$1))))</f>
        <v/>
      </c>
      <c r="N786" s="1" t="str">
        <f>IF(OR($B786="",N$7=""),"",IF($B786="MEANS",INDEX('1-DATA'!$1:$1048576,$A785-1,COLUMN('1-DATA'!M784)),ROUND(INDEX('1-DATA'!$1:$1048576,IF(OR($B786="STD. DEVIATION",$C$1=1),$A786,$A786+1),COLUMN('1-DATA'!M784)),IF($B786="STD. DEVIATION",2,$F$1))))</f>
        <v/>
      </c>
      <c r="O786" s="1" t="str">
        <f>IF(OR($B786="",O$7=""),"",IF($B786="MEANS",INDEX('1-DATA'!$1:$1048576,$A785-1,COLUMN('1-DATA'!N784)),ROUND(INDEX('1-DATA'!$1:$1048576,IF(OR($B786="STD. DEVIATION",$C$1=1),$A786,$A786+1),COLUMN('1-DATA'!N784)),IF($B786="STD. DEVIATION",2,$F$1))))</f>
        <v/>
      </c>
      <c r="P786" s="1" t="str">
        <f>IF(OR($B786="",P$7=""),"",IF($B786="MEANS",INDEX('1-DATA'!$1:$1048576,$A785-1,COLUMN('1-DATA'!O784)),ROUND(INDEX('1-DATA'!$1:$1048576,IF(OR($B786="STD. DEVIATION",$C$1=1),$A786,$A786+1),COLUMN('1-DATA'!O784)),IF($B786="STD. DEVIATION",2,$F$1))))</f>
        <v/>
      </c>
      <c r="Q786" s="1" t="str">
        <f>IF(OR($B786="",Q$7=""),"",IF($B786="MEANS",INDEX('1-DATA'!$1:$1048576,$A785-1,COLUMN('1-DATA'!P784)),ROUND(INDEX('1-DATA'!$1:$1048576,IF(OR($B786="STD. DEVIATION",$C$1=1),$A786,$A786+1),COLUMN('1-DATA'!P784)),IF($B786="STD. DEVIATION",2,$F$1))))</f>
        <v/>
      </c>
      <c r="R786" s="1" t="str">
        <f>IF(OR($B786="",R$7=""),"",IF($B786="MEANS",INDEX('1-DATA'!$1:$1048576,$A785-1,COLUMN('1-DATA'!Q784)),ROUND(INDEX('1-DATA'!$1:$1048576,IF(OR($B786="STD. DEVIATION",$C$1=1),$A786,$A786+1),COLUMN('1-DATA'!Q784)),IF($B786="STD. DEVIATION",2,$F$1))))</f>
        <v/>
      </c>
      <c r="S786" s="1" t="str">
        <f>IF(OR($B786="",S$7=""),"",IF($B786="MEANS",INDEX('1-DATA'!$1:$1048576,$A785-1,COLUMN('1-DATA'!R784)),ROUND(INDEX('1-DATA'!$1:$1048576,IF(OR($B786="STD. DEVIATION",$C$1=1),$A786,$A786+1),COLUMN('1-DATA'!R784)),IF($B786="STD. DEVIATION",2,$F$1))))</f>
        <v/>
      </c>
      <c r="T786" s="1" t="str">
        <f>IF(OR($B786="",T$7=""),"",IF($B786="MEANS",INDEX('1-DATA'!$1:$1048576,$A785-1,COLUMN('1-DATA'!S784)),ROUND(INDEX('1-DATA'!$1:$1048576,IF(OR($B786="STD. DEVIATION",$C$1=1),$A786,$A786+1),COLUMN('1-DATA'!S784)),IF($B786="STD. DEVIATION",2,$F$1))))</f>
        <v/>
      </c>
      <c r="U786" s="1" t="str">
        <f>IF(OR($B786="",U$7=""),"",IF($B786="MEANS",INDEX('1-DATA'!$1:$1048576,$A785-1,COLUMN('1-DATA'!T784)),ROUND(INDEX('1-DATA'!$1:$1048576,IF(OR($B786="STD. DEVIATION",$C$1=1),$A786,$A786+1),COLUMN('1-DATA'!T784)),IF($B786="STD. DEVIATION",2,$F$1))))</f>
        <v/>
      </c>
      <c r="V786" s="1" t="str">
        <f>IF(OR($B786="",V$7=""),"",IF($B786="MEANS",INDEX('1-DATA'!$1:$1048576,$A785-1,COLUMN('1-DATA'!U784)),ROUND(INDEX('1-DATA'!$1:$1048576,IF(OR($B786="STD. DEVIATION",$C$1=1),$A786,$A786+1),COLUMN('1-DATA'!U784)),IF($B786="STD. DEVIATION",2,$F$1))))</f>
        <v/>
      </c>
      <c r="W786" s="1" t="str">
        <f>IF(OR($B786="",W$7=""),"",IF($B786="MEANS",INDEX('1-DATA'!$1:$1048576,$A785-1,COLUMN('1-DATA'!V784)),ROUND(INDEX('1-DATA'!$1:$1048576,IF(OR($B786="STD. DEVIATION",$C$1=1),$A786,$A786+1),COLUMN('1-DATA'!V784)),IF($B786="STD. DEVIATION",2,$F$1))))</f>
        <v/>
      </c>
      <c r="X786" s="1" t="str">
        <f>IF(OR($B786="",X$7=""),"",IF($B786="MEANS",INDEX('1-DATA'!$1:$1048576,$A785-1,COLUMN('1-DATA'!W784)),ROUND(INDEX('1-DATA'!$1:$1048576,IF(OR($B786="STD. DEVIATION",$C$1=1),$A786,$A786+1),COLUMN('1-DATA'!W784)),IF($B786="STD. DEVIATION",2,$F$1))))</f>
        <v/>
      </c>
      <c r="Y786" s="1" t="str">
        <f>IF(OR($B786="",Y$7=""),"",IF($B786="MEANS",INDEX('1-DATA'!$1:$1048576,$A785-1,COLUMN('1-DATA'!X784)),ROUND(INDEX('1-DATA'!$1:$1048576,IF(OR($B786="STD. DEVIATION",$C$1=1),$A786,$A786+1),COLUMN('1-DATA'!X784)),IF($B786="STD. DEVIATION",2,$F$1))))</f>
        <v/>
      </c>
      <c r="Z786" s="1" t="str">
        <f>IF(OR($B786="",Z$7=""),"",IF($B786="MEANS",INDEX('1-DATA'!$1:$1048576,$A785-1,COLUMN('1-DATA'!Y784)),ROUND(INDEX('1-DATA'!$1:$1048576,IF(OR($B786="STD. DEVIATION",$C$1=1),$A786,$A786+1),COLUMN('1-DATA'!Y784)),IF($B786="STD. DEVIATION",2,$F$1))))</f>
        <v/>
      </c>
      <c r="AA786" s="1" t="str">
        <f>IF(OR($B786="",AA$7=""),"",IF($B786="MEANS",INDEX('1-DATA'!$1:$1048576,$A785-1,COLUMN('1-DATA'!Z784)),ROUND(INDEX('1-DATA'!$1:$1048576,IF(OR($B786="STD. DEVIATION",$C$1=1),$A786,$A786+1),COLUMN('1-DATA'!Z784)),IF($B786="STD. DEVIATION",2,$F$1))))</f>
        <v/>
      </c>
      <c r="AB786" s="1" t="str">
        <f>IF(OR($B786="",AB$7=""),"",IF($B786="MEANS",INDEX('1-DATA'!$1:$1048576,$A785-1,COLUMN('1-DATA'!AA784)),ROUND(INDEX('1-DATA'!$1:$1048576,IF(OR($B786="STD. DEVIATION",$C$1=1),$A786,$A786+1),COLUMN('1-DATA'!AA784)),IF($B786="STD. DEVIATION",2,$F$1))))</f>
        <v/>
      </c>
      <c r="AC786" s="1" t="str">
        <f>IF(OR($B786="",AC$7=""),"",IF($B786="MEANS",INDEX('1-DATA'!$1:$1048576,$A785-1,COLUMN('1-DATA'!AB784)),ROUND(INDEX('1-DATA'!$1:$1048576,IF(OR($B786="STD. DEVIATION",$C$1=1),$A786,$A786+1),COLUMN('1-DATA'!AB784)),IF($B786="STD. DEVIATION",2,$F$1))))</f>
        <v/>
      </c>
      <c r="AD786" s="1" t="str">
        <f>IF(OR($B786="",AD$7=""),"",IF($B786="MEANS",INDEX('1-DATA'!$1:$1048576,$A785-1,COLUMN('1-DATA'!AC784)),ROUND(INDEX('1-DATA'!$1:$1048576,IF(OR($B786="STD. DEVIATION",$C$1=1),$A786,$A786+1),COLUMN('1-DATA'!AC784)),IF($B786="STD. DEVIATION",2,$F$1))))</f>
        <v/>
      </c>
      <c r="AE786" s="1" t="str">
        <f>IF(OR($B786="",AE$7=""),"",IF($B786="MEANS",INDEX('1-DATA'!$1:$1048576,$A785-1,COLUMN('1-DATA'!AD784)),ROUND(INDEX('1-DATA'!$1:$1048576,IF(OR($B786="STD. DEVIATION",$C$1=1),$A786,$A786+1),COLUMN('1-DATA'!AD784)),IF($B786="STD. DEVIATION",2,$F$1))))</f>
        <v/>
      </c>
      <c r="AF786" s="1" t="str">
        <f>IF(OR($B786="",AF$7=""),"",IF($B786="MEANS",INDEX('1-DATA'!$1:$1048576,$A785-1,COLUMN('1-DATA'!AE784)),ROUND(INDEX('1-DATA'!$1:$1048576,IF(OR($B786="STD. DEVIATION",$C$1=1),$A786,$A786+1),COLUMN('1-DATA'!AE784)),IF($B786="STD. DEVIATION",2,$F$1))))</f>
        <v/>
      </c>
      <c r="AG786" s="1" t="str">
        <f>IF(OR($B786="",AG$7=""),"",IF($B786="MEANS",INDEX('1-DATA'!$1:$1048576,$A785-1,COLUMN('1-DATA'!AF784)),ROUND(INDEX('1-DATA'!$1:$1048576,IF(OR($B786="STD. DEVIATION",$C$1=1),$A786,$A786+1),COLUMN('1-DATA'!AF784)),IF($B786="STD. DEVIATION",2,$F$1))))</f>
        <v/>
      </c>
      <c r="AH786" s="1" t="str">
        <f>IF(OR($B786="",AH$7=""),"",IF($B786="MEANS",INDEX('1-DATA'!$1:$1048576,$A785-1,COLUMN('1-DATA'!AG784)),ROUND(INDEX('1-DATA'!$1:$1048576,IF(OR($B786="STD. DEVIATION",$C$1=1),$A786,$A786+1),COLUMN('1-DATA'!AG784)),IF($B786="STD. DEVIATION",2,$F$1))))</f>
        <v/>
      </c>
      <c r="AI786" s="1" t="str">
        <f>IF(OR($B786="",AI$7=""),"",IF($B786="MEANS",INDEX('1-DATA'!$1:$1048576,$A785-1,COLUMN('1-DATA'!AH784)),ROUND(INDEX('1-DATA'!$1:$1048576,IF(OR($B786="STD. DEVIATION",$C$1=1),$A786,$A786+1),COLUMN('1-DATA'!AH784)),IF($B786="STD. DEVIATION",2,$F$1))))</f>
        <v/>
      </c>
      <c r="AJ786" s="1" t="str">
        <f>IF(OR($B786="",AJ$7=""),"",IF($B786="MEANS",INDEX('1-DATA'!$1:$1048576,$A785-1,COLUMN('1-DATA'!AI784)),ROUND(INDEX('1-DATA'!$1:$1048576,IF(OR($B786="STD. DEVIATION",$C$1=1),$A786,$A786+1),COLUMN('1-DATA'!AI784)),IF($B786="STD. DEVIATION",2,$F$1))))</f>
        <v/>
      </c>
      <c r="AK786" s="1" t="str">
        <f>IF(OR($B786="",AK$7=""),"",IF($B786="MEANS",INDEX('1-DATA'!$1:$1048576,$A785-1,COLUMN('1-DATA'!AJ784)),ROUND(INDEX('1-DATA'!$1:$1048576,IF(OR($B786="STD. DEVIATION",$C$1=1),$A786,$A786+1),COLUMN('1-DATA'!AJ784)),IF($B786="STD. DEVIATION",2,$F$1))))</f>
        <v/>
      </c>
      <c r="AL786" s="1" t="str">
        <f>IF(OR($B786="",AL$7=""),"",IF($B786="MEANS",INDEX('1-DATA'!$1:$1048576,$A785-1,COLUMN('1-DATA'!AK784)),ROUND(INDEX('1-DATA'!$1:$1048576,IF(OR($B786="STD. DEVIATION",$C$1=1),$A786,$A786+1),COLUMN('1-DATA'!AK784)),IF($B786="STD. DEVIATION",2,$F$1))))</f>
        <v/>
      </c>
      <c r="AM786" s="1" t="str">
        <f>IF(OR($B786="",AM$7=""),"",IF($B786="MEANS",INDEX('1-DATA'!$1:$1048576,$A785-1,COLUMN('1-DATA'!AL784)),ROUND(INDEX('1-DATA'!$1:$1048576,IF(OR($B786="STD. DEVIATION",$C$1=1),$A786,$A786+1),COLUMN('1-DATA'!AL784)),IF($B786="STD. DEVIATION",2,$F$1))))</f>
        <v/>
      </c>
      <c r="AN786" s="1" t="str">
        <f>IF(OR($B786="",AN$7=""),"",IF($B786="MEANS",INDEX('1-DATA'!$1:$1048576,$A785-1,COLUMN('1-DATA'!AM784)),ROUND(INDEX('1-DATA'!$1:$1048576,IF(OR($B786="STD. DEVIATION",$C$1=1),$A786,$A786+1),COLUMN('1-DATA'!AM784)),IF($B786="STD. DEVIATION",2,$F$1))))</f>
        <v/>
      </c>
      <c r="AO786" s="1" t="str">
        <f>IF(OR($B786="",AO$7=""),"",IF($B786="MEANS",INDEX('1-DATA'!$1:$1048576,$A785-1,COLUMN('1-DATA'!AN784)),ROUND(INDEX('1-DATA'!$1:$1048576,IF(OR($B786="STD. DEVIATION",$C$1=1),$A786,$A786+1),COLUMN('1-DATA'!AN784)),IF($B786="STD. DEVIATION",2,$F$1))))</f>
        <v/>
      </c>
      <c r="AP786" s="1" t="str">
        <f>IF(OR($B786="",AP$7=""),"",IF($B786="MEANS",INDEX('1-DATA'!$1:$1048576,$A785-1,COLUMN('1-DATA'!AO784)),ROUND(INDEX('1-DATA'!$1:$1048576,IF(OR($B786="STD. DEVIATION",$C$1=1),$A786,$A786+1),COLUMN('1-DATA'!AO784)),IF($B786="STD. DEVIATION",2,$F$1))))</f>
        <v/>
      </c>
      <c r="AQ786" s="1" t="str">
        <f>IF(OR($B786="",AQ$7=""),"",IF($B786="MEANS",INDEX('1-DATA'!$1:$1048576,$A785-1,COLUMN('1-DATA'!AP784)),ROUND(INDEX('1-DATA'!$1:$1048576,IF(OR($B786="STD. DEVIATION",$C$1=1),$A786,$A786+1),COLUMN('1-DATA'!AP784)),IF($B786="STD. DEVIATION",2,$F$1))))</f>
        <v/>
      </c>
      <c r="AR786" s="1" t="str">
        <f>IF(OR($B786="",AR$7=""),"",IF($B786="MEANS",INDEX('1-DATA'!$1:$1048576,$A785-1,COLUMN('1-DATA'!AQ784)),ROUND(INDEX('1-DATA'!$1:$1048576,IF(OR($B786="STD. DEVIATION",$C$1=1),$A786,$A786+1),COLUMN('1-DATA'!AQ784)),IF($B786="STD. DEVIATION",2,$F$1))))</f>
        <v/>
      </c>
      <c r="AS786" s="1" t="str">
        <f>IF(OR($B786="",AS$7=""),"",IF($B786="MEANS",INDEX('1-DATA'!$1:$1048576,$A785-1,COLUMN('1-DATA'!AR784)),ROUND(INDEX('1-DATA'!$1:$1048576,IF(OR($B786="STD. DEVIATION",$C$1=1),$A786,$A786+1),COLUMN('1-DATA'!AR784)),IF($B786="STD. DEVIATION",2,$F$1))))</f>
        <v/>
      </c>
      <c r="AT786" s="1" t="str">
        <f>IF(OR($B786="",AT$7=""),"",IF($B786="MEANS",INDEX('1-DATA'!$1:$1048576,$A785-1,COLUMN('1-DATA'!AS784)),ROUND(INDEX('1-DATA'!$1:$1048576,IF(OR($B786="STD. DEVIATION",$C$1=1),$A786,$A786+1),COLUMN('1-DATA'!AS784)),IF($B786="STD. DEVIATION",2,$F$1))))</f>
        <v/>
      </c>
      <c r="AU786" s="1" t="str">
        <f>IF(OR($B786="",AU$7=""),"",IF($B786="MEANS",INDEX('1-DATA'!$1:$1048576,$A785-1,COLUMN('1-DATA'!AT784)),ROUND(INDEX('1-DATA'!$1:$1048576,IF(OR($B786="STD. DEVIATION",$C$1=1),$A786,$A786+1),COLUMN('1-DATA'!AT784)),IF($B786="STD. DEVIATION",2,$F$1))))</f>
        <v/>
      </c>
      <c r="AV786" s="1" t="str">
        <f>IF(OR($B786="",AV$7=""),"",IF($B786="MEANS",INDEX('1-DATA'!$1:$1048576,$A785-1,COLUMN('1-DATA'!AU784)),ROUND(INDEX('1-DATA'!$1:$1048576,IF(OR($B786="STD. DEVIATION",$C$1=1),$A786,$A786+1),COLUMN('1-DATA'!AU784)),IF($B786="STD. DEVIATION",2,$F$1))))</f>
        <v/>
      </c>
      <c r="AW786" s="1" t="str">
        <f>IF(OR($B786="",AW$7=""),"",IF($B786="MEANS",INDEX('1-DATA'!$1:$1048576,$A785-1,COLUMN('1-DATA'!AV784)),ROUND(INDEX('1-DATA'!$1:$1048576,IF(OR($B786="STD. DEVIATION",$C$1=1),$A786,$A786+1),COLUMN('1-DATA'!AV784)),IF($B786="STD. DEVIATION",2,$F$1))))</f>
        <v/>
      </c>
      <c r="AX786" s="1" t="str">
        <f>IF(OR($B786="",AX$7=""),"",IF($B786="MEANS",INDEX('1-DATA'!$1:$1048576,$A785-1,COLUMN('1-DATA'!AW784)),ROUND(INDEX('1-DATA'!$1:$1048576,IF(OR($B786="STD. DEVIATION",$C$1=1),$A786,$A786+1),COLUMN('1-DATA'!AW784)),IF($B786="STD. DEVIATION",2,$F$1))))</f>
        <v/>
      </c>
      <c r="AY786" s="1" t="str">
        <f>IF(OR($B786="",AY$7=""),"",IF($B786="MEANS",INDEX('1-DATA'!$1:$1048576,$A785-1,COLUMN('1-DATA'!AX784)),ROUND(INDEX('1-DATA'!$1:$1048576,IF(OR($B786="STD. DEVIATION",$C$1=1),$A786,$A786+1),COLUMN('1-DATA'!AX784)),IF($B786="STD. DEVIATION",2,$F$1))))</f>
        <v/>
      </c>
      <c r="AZ786" s="1" t="str">
        <f>IF(OR($B786="",AZ$7=""),"",IF($B786="MEANS",INDEX('1-DATA'!$1:$1048576,$A785-1,COLUMN('1-DATA'!AY784)),ROUND(INDEX('1-DATA'!$1:$1048576,IF(OR($B786="STD. DEVIATION",$C$1=1),$A786,$A786+1),COLUMN('1-DATA'!AY784)),IF($B786="STD. DEVIATION",2,$F$1))))</f>
        <v/>
      </c>
    </row>
    <row r="787" spans="1:52" x14ac:dyDescent="0.25">
      <c r="A787" s="11">
        <f t="shared" si="12"/>
        <v>2347</v>
      </c>
      <c r="B787" s="1" t="str">
        <f>IF(B786="STD. DEVIATION",INDEX('1-DATA'!$1:$1048576,$A786-1,1),IF(INDEX('1-DATA'!$1:$1048576,$A787,1)&lt;&gt;"",INDEX('1-DATA'!$1:$1048576,$A787,1),""))</f>
        <v/>
      </c>
      <c r="C787" s="1" t="str">
        <f>IF(OR($B787="",C$7=""),"",IF($B787="MEANS",INDEX('1-DATA'!$1:$1048576,$A786-1,COLUMN('1-DATA'!B785)),ROUND(INDEX('1-DATA'!$1:$1048576,IF(OR($B787="STD. DEVIATION",$C$1=1),$A787,$A787+1),COLUMN('1-DATA'!B785)),IF($B787="STD. DEVIATION",2,$F$1))))</f>
        <v/>
      </c>
      <c r="D787" s="1" t="str">
        <f>IF(OR($B787="",D$7=""),"",IF($B787="MEANS",INDEX('1-DATA'!$1:$1048576,$A786-1,COLUMN('1-DATA'!C785)),ROUND(INDEX('1-DATA'!$1:$1048576,IF(OR($B787="STD. DEVIATION",$C$1=1),$A787,$A787+1),COLUMN('1-DATA'!C785)),IF($B787="STD. DEVIATION",2,$F$1))))</f>
        <v/>
      </c>
      <c r="E787" s="1" t="str">
        <f>IF(OR($B787="",E$7=""),"",IF($B787="MEANS",INDEX('1-DATA'!$1:$1048576,$A786-1,COLUMN('1-DATA'!D785)),ROUND(INDEX('1-DATA'!$1:$1048576,IF(OR($B787="STD. DEVIATION",$C$1=1),$A787,$A787+1),COLUMN('1-DATA'!D785)),IF($B787="STD. DEVIATION",2,$F$1))))</f>
        <v/>
      </c>
      <c r="F787" s="1" t="str">
        <f>IF(OR($B787="",F$7=""),"",IF($B787="MEANS",INDEX('1-DATA'!$1:$1048576,$A786-1,COLUMN('1-DATA'!E785)),ROUND(INDEX('1-DATA'!$1:$1048576,IF(OR($B787="STD. DEVIATION",$C$1=1),$A787,$A787+1),COLUMN('1-DATA'!E785)),IF($B787="STD. DEVIATION",2,$F$1))))</f>
        <v/>
      </c>
      <c r="G787" s="1" t="str">
        <f>IF(OR($B787="",G$7=""),"",IF($B787="MEANS",INDEX('1-DATA'!$1:$1048576,$A786-1,COLUMN('1-DATA'!F785)),ROUND(INDEX('1-DATA'!$1:$1048576,IF(OR($B787="STD. DEVIATION",$C$1=1),$A787,$A787+1),COLUMN('1-DATA'!F785)),IF($B787="STD. DEVIATION",2,$F$1))))</f>
        <v/>
      </c>
      <c r="H787" s="1" t="str">
        <f>IF(OR($B787="",H$7=""),"",IF($B787="MEANS",INDEX('1-DATA'!$1:$1048576,$A786-1,COLUMN('1-DATA'!G785)),ROUND(INDEX('1-DATA'!$1:$1048576,IF(OR($B787="STD. DEVIATION",$C$1=1),$A787,$A787+1),COLUMN('1-DATA'!G785)),IF($B787="STD. DEVIATION",2,$F$1))))</f>
        <v/>
      </c>
      <c r="I787" s="1" t="str">
        <f>IF(OR($B787="",I$7=""),"",IF($B787="MEANS",INDEX('1-DATA'!$1:$1048576,$A786-1,COLUMN('1-DATA'!H785)),ROUND(INDEX('1-DATA'!$1:$1048576,IF(OR($B787="STD. DEVIATION",$C$1=1),$A787,$A787+1),COLUMN('1-DATA'!H785)),IF($B787="STD. DEVIATION",2,$F$1))))</f>
        <v/>
      </c>
      <c r="J787" s="1" t="str">
        <f>IF(OR($B787="",J$7=""),"",IF($B787="MEANS",INDEX('1-DATA'!$1:$1048576,$A786-1,COLUMN('1-DATA'!I785)),ROUND(INDEX('1-DATA'!$1:$1048576,IF(OR($B787="STD. DEVIATION",$C$1=1),$A787,$A787+1),COLUMN('1-DATA'!I785)),IF($B787="STD. DEVIATION",2,$F$1))))</f>
        <v/>
      </c>
      <c r="K787" s="1" t="str">
        <f>IF(OR($B787="",K$7=""),"",IF($B787="MEANS",INDEX('1-DATA'!$1:$1048576,$A786-1,COLUMN('1-DATA'!J785)),ROUND(INDEX('1-DATA'!$1:$1048576,IF(OR($B787="STD. DEVIATION",$C$1=1),$A787,$A787+1),COLUMN('1-DATA'!J785)),IF($B787="STD. DEVIATION",2,$F$1))))</f>
        <v/>
      </c>
      <c r="L787" s="1" t="str">
        <f>IF(OR($B787="",L$7=""),"",IF($B787="MEANS",INDEX('1-DATA'!$1:$1048576,$A786-1,COLUMN('1-DATA'!K785)),ROUND(INDEX('1-DATA'!$1:$1048576,IF(OR($B787="STD. DEVIATION",$C$1=1),$A787,$A787+1),COLUMN('1-DATA'!K785)),IF($B787="STD. DEVIATION",2,$F$1))))</f>
        <v/>
      </c>
      <c r="M787" s="1" t="str">
        <f>IF(OR($B787="",M$7=""),"",IF($B787="MEANS",INDEX('1-DATA'!$1:$1048576,$A786-1,COLUMN('1-DATA'!L785)),ROUND(INDEX('1-DATA'!$1:$1048576,IF(OR($B787="STD. DEVIATION",$C$1=1),$A787,$A787+1),COLUMN('1-DATA'!L785)),IF($B787="STD. DEVIATION",2,$F$1))))</f>
        <v/>
      </c>
      <c r="N787" s="1" t="str">
        <f>IF(OR($B787="",N$7=""),"",IF($B787="MEANS",INDEX('1-DATA'!$1:$1048576,$A786-1,COLUMN('1-DATA'!M785)),ROUND(INDEX('1-DATA'!$1:$1048576,IF(OR($B787="STD. DEVIATION",$C$1=1),$A787,$A787+1),COLUMN('1-DATA'!M785)),IF($B787="STD. DEVIATION",2,$F$1))))</f>
        <v/>
      </c>
      <c r="O787" s="1" t="str">
        <f>IF(OR($B787="",O$7=""),"",IF($B787="MEANS",INDEX('1-DATA'!$1:$1048576,$A786-1,COLUMN('1-DATA'!N785)),ROUND(INDEX('1-DATA'!$1:$1048576,IF(OR($B787="STD. DEVIATION",$C$1=1),$A787,$A787+1),COLUMN('1-DATA'!N785)),IF($B787="STD. DEVIATION",2,$F$1))))</f>
        <v/>
      </c>
      <c r="P787" s="1" t="str">
        <f>IF(OR($B787="",P$7=""),"",IF($B787="MEANS",INDEX('1-DATA'!$1:$1048576,$A786-1,COLUMN('1-DATA'!O785)),ROUND(INDEX('1-DATA'!$1:$1048576,IF(OR($B787="STD. DEVIATION",$C$1=1),$A787,$A787+1),COLUMN('1-DATA'!O785)),IF($B787="STD. DEVIATION",2,$F$1))))</f>
        <v/>
      </c>
      <c r="Q787" s="1" t="str">
        <f>IF(OR($B787="",Q$7=""),"",IF($B787="MEANS",INDEX('1-DATA'!$1:$1048576,$A786-1,COLUMN('1-DATA'!P785)),ROUND(INDEX('1-DATA'!$1:$1048576,IF(OR($B787="STD. DEVIATION",$C$1=1),$A787,$A787+1),COLUMN('1-DATA'!P785)),IF($B787="STD. DEVIATION",2,$F$1))))</f>
        <v/>
      </c>
      <c r="R787" s="1" t="str">
        <f>IF(OR($B787="",R$7=""),"",IF($B787="MEANS",INDEX('1-DATA'!$1:$1048576,$A786-1,COLUMN('1-DATA'!Q785)),ROUND(INDEX('1-DATA'!$1:$1048576,IF(OR($B787="STD. DEVIATION",$C$1=1),$A787,$A787+1),COLUMN('1-DATA'!Q785)),IF($B787="STD. DEVIATION",2,$F$1))))</f>
        <v/>
      </c>
      <c r="S787" s="1" t="str">
        <f>IF(OR($B787="",S$7=""),"",IF($B787="MEANS",INDEX('1-DATA'!$1:$1048576,$A786-1,COLUMN('1-DATA'!R785)),ROUND(INDEX('1-DATA'!$1:$1048576,IF(OR($B787="STD. DEVIATION",$C$1=1),$A787,$A787+1),COLUMN('1-DATA'!R785)),IF($B787="STD. DEVIATION",2,$F$1))))</f>
        <v/>
      </c>
      <c r="T787" s="1" t="str">
        <f>IF(OR($B787="",T$7=""),"",IF($B787="MEANS",INDEX('1-DATA'!$1:$1048576,$A786-1,COLUMN('1-DATA'!S785)),ROUND(INDEX('1-DATA'!$1:$1048576,IF(OR($B787="STD. DEVIATION",$C$1=1),$A787,$A787+1),COLUMN('1-DATA'!S785)),IF($B787="STD. DEVIATION",2,$F$1))))</f>
        <v/>
      </c>
      <c r="U787" s="1" t="str">
        <f>IF(OR($B787="",U$7=""),"",IF($B787="MEANS",INDEX('1-DATA'!$1:$1048576,$A786-1,COLUMN('1-DATA'!T785)),ROUND(INDEX('1-DATA'!$1:$1048576,IF(OR($B787="STD. DEVIATION",$C$1=1),$A787,$A787+1),COLUMN('1-DATA'!T785)),IF($B787="STD. DEVIATION",2,$F$1))))</f>
        <v/>
      </c>
      <c r="V787" s="1" t="str">
        <f>IF(OR($B787="",V$7=""),"",IF($B787="MEANS",INDEX('1-DATA'!$1:$1048576,$A786-1,COLUMN('1-DATA'!U785)),ROUND(INDEX('1-DATA'!$1:$1048576,IF(OR($B787="STD. DEVIATION",$C$1=1),$A787,$A787+1),COLUMN('1-DATA'!U785)),IF($B787="STD. DEVIATION",2,$F$1))))</f>
        <v/>
      </c>
      <c r="W787" s="1" t="str">
        <f>IF(OR($B787="",W$7=""),"",IF($B787="MEANS",INDEX('1-DATA'!$1:$1048576,$A786-1,COLUMN('1-DATA'!V785)),ROUND(INDEX('1-DATA'!$1:$1048576,IF(OR($B787="STD. DEVIATION",$C$1=1),$A787,$A787+1),COLUMN('1-DATA'!V785)),IF($B787="STD. DEVIATION",2,$F$1))))</f>
        <v/>
      </c>
      <c r="X787" s="1" t="str">
        <f>IF(OR($B787="",X$7=""),"",IF($B787="MEANS",INDEX('1-DATA'!$1:$1048576,$A786-1,COLUMN('1-DATA'!W785)),ROUND(INDEX('1-DATA'!$1:$1048576,IF(OR($B787="STD. DEVIATION",$C$1=1),$A787,$A787+1),COLUMN('1-DATA'!W785)),IF($B787="STD. DEVIATION",2,$F$1))))</f>
        <v/>
      </c>
      <c r="Y787" s="1" t="str">
        <f>IF(OR($B787="",Y$7=""),"",IF($B787="MEANS",INDEX('1-DATA'!$1:$1048576,$A786-1,COLUMN('1-DATA'!X785)),ROUND(INDEX('1-DATA'!$1:$1048576,IF(OR($B787="STD. DEVIATION",$C$1=1),$A787,$A787+1),COLUMN('1-DATA'!X785)),IF($B787="STD. DEVIATION",2,$F$1))))</f>
        <v/>
      </c>
      <c r="Z787" s="1" t="str">
        <f>IF(OR($B787="",Z$7=""),"",IF($B787="MEANS",INDEX('1-DATA'!$1:$1048576,$A786-1,COLUMN('1-DATA'!Y785)),ROUND(INDEX('1-DATA'!$1:$1048576,IF(OR($B787="STD. DEVIATION",$C$1=1),$A787,$A787+1),COLUMN('1-DATA'!Y785)),IF($B787="STD. DEVIATION",2,$F$1))))</f>
        <v/>
      </c>
      <c r="AA787" s="1" t="str">
        <f>IF(OR($B787="",AA$7=""),"",IF($B787="MEANS",INDEX('1-DATA'!$1:$1048576,$A786-1,COLUMN('1-DATA'!Z785)),ROUND(INDEX('1-DATA'!$1:$1048576,IF(OR($B787="STD. DEVIATION",$C$1=1),$A787,$A787+1),COLUMN('1-DATA'!Z785)),IF($B787="STD. DEVIATION",2,$F$1))))</f>
        <v/>
      </c>
      <c r="AB787" s="1" t="str">
        <f>IF(OR($B787="",AB$7=""),"",IF($B787="MEANS",INDEX('1-DATA'!$1:$1048576,$A786-1,COLUMN('1-DATA'!AA785)),ROUND(INDEX('1-DATA'!$1:$1048576,IF(OR($B787="STD. DEVIATION",$C$1=1),$A787,$A787+1),COLUMN('1-DATA'!AA785)),IF($B787="STD. DEVIATION",2,$F$1))))</f>
        <v/>
      </c>
      <c r="AC787" s="1" t="str">
        <f>IF(OR($B787="",AC$7=""),"",IF($B787="MEANS",INDEX('1-DATA'!$1:$1048576,$A786-1,COLUMN('1-DATA'!AB785)),ROUND(INDEX('1-DATA'!$1:$1048576,IF(OR($B787="STD. DEVIATION",$C$1=1),$A787,$A787+1),COLUMN('1-DATA'!AB785)),IF($B787="STD. DEVIATION",2,$F$1))))</f>
        <v/>
      </c>
      <c r="AD787" s="1" t="str">
        <f>IF(OR($B787="",AD$7=""),"",IF($B787="MEANS",INDEX('1-DATA'!$1:$1048576,$A786-1,COLUMN('1-DATA'!AC785)),ROUND(INDEX('1-DATA'!$1:$1048576,IF(OR($B787="STD. DEVIATION",$C$1=1),$A787,$A787+1),COLUMN('1-DATA'!AC785)),IF($B787="STD. DEVIATION",2,$F$1))))</f>
        <v/>
      </c>
      <c r="AE787" s="1" t="str">
        <f>IF(OR($B787="",AE$7=""),"",IF($B787="MEANS",INDEX('1-DATA'!$1:$1048576,$A786-1,COLUMN('1-DATA'!AD785)),ROUND(INDEX('1-DATA'!$1:$1048576,IF(OR($B787="STD. DEVIATION",$C$1=1),$A787,$A787+1),COLUMN('1-DATA'!AD785)),IF($B787="STD. DEVIATION",2,$F$1))))</f>
        <v/>
      </c>
      <c r="AF787" s="1" t="str">
        <f>IF(OR($B787="",AF$7=""),"",IF($B787="MEANS",INDEX('1-DATA'!$1:$1048576,$A786-1,COLUMN('1-DATA'!AE785)),ROUND(INDEX('1-DATA'!$1:$1048576,IF(OR($B787="STD. DEVIATION",$C$1=1),$A787,$A787+1),COLUMN('1-DATA'!AE785)),IF($B787="STD. DEVIATION",2,$F$1))))</f>
        <v/>
      </c>
      <c r="AG787" s="1" t="str">
        <f>IF(OR($B787="",AG$7=""),"",IF($B787="MEANS",INDEX('1-DATA'!$1:$1048576,$A786-1,COLUMN('1-DATA'!AF785)),ROUND(INDEX('1-DATA'!$1:$1048576,IF(OR($B787="STD. DEVIATION",$C$1=1),$A787,$A787+1),COLUMN('1-DATA'!AF785)),IF($B787="STD. DEVIATION",2,$F$1))))</f>
        <v/>
      </c>
      <c r="AH787" s="1" t="str">
        <f>IF(OR($B787="",AH$7=""),"",IF($B787="MEANS",INDEX('1-DATA'!$1:$1048576,$A786-1,COLUMN('1-DATA'!AG785)),ROUND(INDEX('1-DATA'!$1:$1048576,IF(OR($B787="STD. DEVIATION",$C$1=1),$A787,$A787+1),COLUMN('1-DATA'!AG785)),IF($B787="STD. DEVIATION",2,$F$1))))</f>
        <v/>
      </c>
      <c r="AI787" s="1" t="str">
        <f>IF(OR($B787="",AI$7=""),"",IF($B787="MEANS",INDEX('1-DATA'!$1:$1048576,$A786-1,COLUMN('1-DATA'!AH785)),ROUND(INDEX('1-DATA'!$1:$1048576,IF(OR($B787="STD. DEVIATION",$C$1=1),$A787,$A787+1),COLUMN('1-DATA'!AH785)),IF($B787="STD. DEVIATION",2,$F$1))))</f>
        <v/>
      </c>
      <c r="AJ787" s="1" t="str">
        <f>IF(OR($B787="",AJ$7=""),"",IF($B787="MEANS",INDEX('1-DATA'!$1:$1048576,$A786-1,COLUMN('1-DATA'!AI785)),ROUND(INDEX('1-DATA'!$1:$1048576,IF(OR($B787="STD. DEVIATION",$C$1=1),$A787,$A787+1),COLUMN('1-DATA'!AI785)),IF($B787="STD. DEVIATION",2,$F$1))))</f>
        <v/>
      </c>
      <c r="AK787" s="1" t="str">
        <f>IF(OR($B787="",AK$7=""),"",IF($B787="MEANS",INDEX('1-DATA'!$1:$1048576,$A786-1,COLUMN('1-DATA'!AJ785)),ROUND(INDEX('1-DATA'!$1:$1048576,IF(OR($B787="STD. DEVIATION",$C$1=1),$A787,$A787+1),COLUMN('1-DATA'!AJ785)),IF($B787="STD. DEVIATION",2,$F$1))))</f>
        <v/>
      </c>
      <c r="AL787" s="1" t="str">
        <f>IF(OR($B787="",AL$7=""),"",IF($B787="MEANS",INDEX('1-DATA'!$1:$1048576,$A786-1,COLUMN('1-DATA'!AK785)),ROUND(INDEX('1-DATA'!$1:$1048576,IF(OR($B787="STD. DEVIATION",$C$1=1),$A787,$A787+1),COLUMN('1-DATA'!AK785)),IF($B787="STD. DEVIATION",2,$F$1))))</f>
        <v/>
      </c>
      <c r="AM787" s="1" t="str">
        <f>IF(OR($B787="",AM$7=""),"",IF($B787="MEANS",INDEX('1-DATA'!$1:$1048576,$A786-1,COLUMN('1-DATA'!AL785)),ROUND(INDEX('1-DATA'!$1:$1048576,IF(OR($B787="STD. DEVIATION",$C$1=1),$A787,$A787+1),COLUMN('1-DATA'!AL785)),IF($B787="STD. DEVIATION",2,$F$1))))</f>
        <v/>
      </c>
      <c r="AN787" s="1" t="str">
        <f>IF(OR($B787="",AN$7=""),"",IF($B787="MEANS",INDEX('1-DATA'!$1:$1048576,$A786-1,COLUMN('1-DATA'!AM785)),ROUND(INDEX('1-DATA'!$1:$1048576,IF(OR($B787="STD. DEVIATION",$C$1=1),$A787,$A787+1),COLUMN('1-DATA'!AM785)),IF($B787="STD. DEVIATION",2,$F$1))))</f>
        <v/>
      </c>
      <c r="AO787" s="1" t="str">
        <f>IF(OR($B787="",AO$7=""),"",IF($B787="MEANS",INDEX('1-DATA'!$1:$1048576,$A786-1,COLUMN('1-DATA'!AN785)),ROUND(INDEX('1-DATA'!$1:$1048576,IF(OR($B787="STD. DEVIATION",$C$1=1),$A787,$A787+1),COLUMN('1-DATA'!AN785)),IF($B787="STD. DEVIATION",2,$F$1))))</f>
        <v/>
      </c>
      <c r="AP787" s="1" t="str">
        <f>IF(OR($B787="",AP$7=""),"",IF($B787="MEANS",INDEX('1-DATA'!$1:$1048576,$A786-1,COLUMN('1-DATA'!AO785)),ROUND(INDEX('1-DATA'!$1:$1048576,IF(OR($B787="STD. DEVIATION",$C$1=1),$A787,$A787+1),COLUMN('1-DATA'!AO785)),IF($B787="STD. DEVIATION",2,$F$1))))</f>
        <v/>
      </c>
      <c r="AQ787" s="1" t="str">
        <f>IF(OR($B787="",AQ$7=""),"",IF($B787="MEANS",INDEX('1-DATA'!$1:$1048576,$A786-1,COLUMN('1-DATA'!AP785)),ROUND(INDEX('1-DATA'!$1:$1048576,IF(OR($B787="STD. DEVIATION",$C$1=1),$A787,$A787+1),COLUMN('1-DATA'!AP785)),IF($B787="STD. DEVIATION",2,$F$1))))</f>
        <v/>
      </c>
      <c r="AR787" s="1" t="str">
        <f>IF(OR($B787="",AR$7=""),"",IF($B787="MEANS",INDEX('1-DATA'!$1:$1048576,$A786-1,COLUMN('1-DATA'!AQ785)),ROUND(INDEX('1-DATA'!$1:$1048576,IF(OR($B787="STD. DEVIATION",$C$1=1),$A787,$A787+1),COLUMN('1-DATA'!AQ785)),IF($B787="STD. DEVIATION",2,$F$1))))</f>
        <v/>
      </c>
      <c r="AS787" s="1" t="str">
        <f>IF(OR($B787="",AS$7=""),"",IF($B787="MEANS",INDEX('1-DATA'!$1:$1048576,$A786-1,COLUMN('1-DATA'!AR785)),ROUND(INDEX('1-DATA'!$1:$1048576,IF(OR($B787="STD. DEVIATION",$C$1=1),$A787,$A787+1),COLUMN('1-DATA'!AR785)),IF($B787="STD. DEVIATION",2,$F$1))))</f>
        <v/>
      </c>
      <c r="AT787" s="1" t="str">
        <f>IF(OR($B787="",AT$7=""),"",IF($B787="MEANS",INDEX('1-DATA'!$1:$1048576,$A786-1,COLUMN('1-DATA'!AS785)),ROUND(INDEX('1-DATA'!$1:$1048576,IF(OR($B787="STD. DEVIATION",$C$1=1),$A787,$A787+1),COLUMN('1-DATA'!AS785)),IF($B787="STD. DEVIATION",2,$F$1))))</f>
        <v/>
      </c>
      <c r="AU787" s="1" t="str">
        <f>IF(OR($B787="",AU$7=""),"",IF($B787="MEANS",INDEX('1-DATA'!$1:$1048576,$A786-1,COLUMN('1-DATA'!AT785)),ROUND(INDEX('1-DATA'!$1:$1048576,IF(OR($B787="STD. DEVIATION",$C$1=1),$A787,$A787+1),COLUMN('1-DATA'!AT785)),IF($B787="STD. DEVIATION",2,$F$1))))</f>
        <v/>
      </c>
      <c r="AV787" s="1" t="str">
        <f>IF(OR($B787="",AV$7=""),"",IF($B787="MEANS",INDEX('1-DATA'!$1:$1048576,$A786-1,COLUMN('1-DATA'!AU785)),ROUND(INDEX('1-DATA'!$1:$1048576,IF(OR($B787="STD. DEVIATION",$C$1=1),$A787,$A787+1),COLUMN('1-DATA'!AU785)),IF($B787="STD. DEVIATION",2,$F$1))))</f>
        <v/>
      </c>
      <c r="AW787" s="1" t="str">
        <f>IF(OR($B787="",AW$7=""),"",IF($B787="MEANS",INDEX('1-DATA'!$1:$1048576,$A786-1,COLUMN('1-DATA'!AV785)),ROUND(INDEX('1-DATA'!$1:$1048576,IF(OR($B787="STD. DEVIATION",$C$1=1),$A787,$A787+1),COLUMN('1-DATA'!AV785)),IF($B787="STD. DEVIATION",2,$F$1))))</f>
        <v/>
      </c>
      <c r="AX787" s="1" t="str">
        <f>IF(OR($B787="",AX$7=""),"",IF($B787="MEANS",INDEX('1-DATA'!$1:$1048576,$A786-1,COLUMN('1-DATA'!AW785)),ROUND(INDEX('1-DATA'!$1:$1048576,IF(OR($B787="STD. DEVIATION",$C$1=1),$A787,$A787+1),COLUMN('1-DATA'!AW785)),IF($B787="STD. DEVIATION",2,$F$1))))</f>
        <v/>
      </c>
      <c r="AY787" s="1" t="str">
        <f>IF(OR($B787="",AY$7=""),"",IF($B787="MEANS",INDEX('1-DATA'!$1:$1048576,$A786-1,COLUMN('1-DATA'!AX785)),ROUND(INDEX('1-DATA'!$1:$1048576,IF(OR($B787="STD. DEVIATION",$C$1=1),$A787,$A787+1),COLUMN('1-DATA'!AX785)),IF($B787="STD. DEVIATION",2,$F$1))))</f>
        <v/>
      </c>
      <c r="AZ787" s="1" t="str">
        <f>IF(OR($B787="",AZ$7=""),"",IF($B787="MEANS",INDEX('1-DATA'!$1:$1048576,$A786-1,COLUMN('1-DATA'!AY785)),ROUND(INDEX('1-DATA'!$1:$1048576,IF(OR($B787="STD. DEVIATION",$C$1=1),$A787,$A787+1),COLUMN('1-DATA'!AY785)),IF($B787="STD. DEVIATION",2,$F$1))))</f>
        <v/>
      </c>
    </row>
    <row r="788" spans="1:52" x14ac:dyDescent="0.25">
      <c r="A788" s="11">
        <f t="shared" si="12"/>
        <v>2350</v>
      </c>
      <c r="B788" s="1" t="str">
        <f>IF(B787="STD. DEVIATION",INDEX('1-DATA'!$1:$1048576,$A787-1,1),IF(INDEX('1-DATA'!$1:$1048576,$A788,1)&lt;&gt;"",INDEX('1-DATA'!$1:$1048576,$A788,1),""))</f>
        <v/>
      </c>
      <c r="C788" s="1" t="str">
        <f>IF(OR($B788="",C$7=""),"",IF($B788="MEANS",INDEX('1-DATA'!$1:$1048576,$A787-1,COLUMN('1-DATA'!B786)),ROUND(INDEX('1-DATA'!$1:$1048576,IF(OR($B788="STD. DEVIATION",$C$1=1),$A788,$A788+1),COLUMN('1-DATA'!B786)),IF($B788="STD. DEVIATION",2,$F$1))))</f>
        <v/>
      </c>
      <c r="D788" s="1" t="str">
        <f>IF(OR($B788="",D$7=""),"",IF($B788="MEANS",INDEX('1-DATA'!$1:$1048576,$A787-1,COLUMN('1-DATA'!C786)),ROUND(INDEX('1-DATA'!$1:$1048576,IF(OR($B788="STD. DEVIATION",$C$1=1),$A788,$A788+1),COLUMN('1-DATA'!C786)),IF($B788="STD. DEVIATION",2,$F$1))))</f>
        <v/>
      </c>
      <c r="E788" s="1" t="str">
        <f>IF(OR($B788="",E$7=""),"",IF($B788="MEANS",INDEX('1-DATA'!$1:$1048576,$A787-1,COLUMN('1-DATA'!D786)),ROUND(INDEX('1-DATA'!$1:$1048576,IF(OR($B788="STD. DEVIATION",$C$1=1),$A788,$A788+1),COLUMN('1-DATA'!D786)),IF($B788="STD. DEVIATION",2,$F$1))))</f>
        <v/>
      </c>
      <c r="F788" s="1" t="str">
        <f>IF(OR($B788="",F$7=""),"",IF($B788="MEANS",INDEX('1-DATA'!$1:$1048576,$A787-1,COLUMN('1-DATA'!E786)),ROUND(INDEX('1-DATA'!$1:$1048576,IF(OR($B788="STD. DEVIATION",$C$1=1),$A788,$A788+1),COLUMN('1-DATA'!E786)),IF($B788="STD. DEVIATION",2,$F$1))))</f>
        <v/>
      </c>
      <c r="G788" s="1" t="str">
        <f>IF(OR($B788="",G$7=""),"",IF($B788="MEANS",INDEX('1-DATA'!$1:$1048576,$A787-1,COLUMN('1-DATA'!F786)),ROUND(INDEX('1-DATA'!$1:$1048576,IF(OR($B788="STD. DEVIATION",$C$1=1),$A788,$A788+1),COLUMN('1-DATA'!F786)),IF($B788="STD. DEVIATION",2,$F$1))))</f>
        <v/>
      </c>
      <c r="H788" s="1" t="str">
        <f>IF(OR($B788="",H$7=""),"",IF($B788="MEANS",INDEX('1-DATA'!$1:$1048576,$A787-1,COLUMN('1-DATA'!G786)),ROUND(INDEX('1-DATA'!$1:$1048576,IF(OR($B788="STD. DEVIATION",$C$1=1),$A788,$A788+1),COLUMN('1-DATA'!G786)),IF($B788="STD. DEVIATION",2,$F$1))))</f>
        <v/>
      </c>
      <c r="I788" s="1" t="str">
        <f>IF(OR($B788="",I$7=""),"",IF($B788="MEANS",INDEX('1-DATA'!$1:$1048576,$A787-1,COLUMN('1-DATA'!H786)),ROUND(INDEX('1-DATA'!$1:$1048576,IF(OR($B788="STD. DEVIATION",$C$1=1),$A788,$A788+1),COLUMN('1-DATA'!H786)),IF($B788="STD. DEVIATION",2,$F$1))))</f>
        <v/>
      </c>
      <c r="J788" s="1" t="str">
        <f>IF(OR($B788="",J$7=""),"",IF($B788="MEANS",INDEX('1-DATA'!$1:$1048576,$A787-1,COLUMN('1-DATA'!I786)),ROUND(INDEX('1-DATA'!$1:$1048576,IF(OR($B788="STD. DEVIATION",$C$1=1),$A788,$A788+1),COLUMN('1-DATA'!I786)),IF($B788="STD. DEVIATION",2,$F$1))))</f>
        <v/>
      </c>
      <c r="K788" s="1" t="str">
        <f>IF(OR($B788="",K$7=""),"",IF($B788="MEANS",INDEX('1-DATA'!$1:$1048576,$A787-1,COLUMN('1-DATA'!J786)),ROUND(INDEX('1-DATA'!$1:$1048576,IF(OR($B788="STD. DEVIATION",$C$1=1),$A788,$A788+1),COLUMN('1-DATA'!J786)),IF($B788="STD. DEVIATION",2,$F$1))))</f>
        <v/>
      </c>
      <c r="L788" s="1" t="str">
        <f>IF(OR($B788="",L$7=""),"",IF($B788="MEANS",INDEX('1-DATA'!$1:$1048576,$A787-1,COLUMN('1-DATA'!K786)),ROUND(INDEX('1-DATA'!$1:$1048576,IF(OR($B788="STD. DEVIATION",$C$1=1),$A788,$A788+1),COLUMN('1-DATA'!K786)),IF($B788="STD. DEVIATION",2,$F$1))))</f>
        <v/>
      </c>
      <c r="M788" s="1" t="str">
        <f>IF(OR($B788="",M$7=""),"",IF($B788="MEANS",INDEX('1-DATA'!$1:$1048576,$A787-1,COLUMN('1-DATA'!L786)),ROUND(INDEX('1-DATA'!$1:$1048576,IF(OR($B788="STD. DEVIATION",$C$1=1),$A788,$A788+1),COLUMN('1-DATA'!L786)),IF($B788="STD. DEVIATION",2,$F$1))))</f>
        <v/>
      </c>
      <c r="N788" s="1" t="str">
        <f>IF(OR($B788="",N$7=""),"",IF($B788="MEANS",INDEX('1-DATA'!$1:$1048576,$A787-1,COLUMN('1-DATA'!M786)),ROUND(INDEX('1-DATA'!$1:$1048576,IF(OR($B788="STD. DEVIATION",$C$1=1),$A788,$A788+1),COLUMN('1-DATA'!M786)),IF($B788="STD. DEVIATION",2,$F$1))))</f>
        <v/>
      </c>
      <c r="O788" s="1" t="str">
        <f>IF(OR($B788="",O$7=""),"",IF($B788="MEANS",INDEX('1-DATA'!$1:$1048576,$A787-1,COLUMN('1-DATA'!N786)),ROUND(INDEX('1-DATA'!$1:$1048576,IF(OR($B788="STD. DEVIATION",$C$1=1),$A788,$A788+1),COLUMN('1-DATA'!N786)),IF($B788="STD. DEVIATION",2,$F$1))))</f>
        <v/>
      </c>
      <c r="P788" s="1" t="str">
        <f>IF(OR($B788="",P$7=""),"",IF($B788="MEANS",INDEX('1-DATA'!$1:$1048576,$A787-1,COLUMN('1-DATA'!O786)),ROUND(INDEX('1-DATA'!$1:$1048576,IF(OR($B788="STD. DEVIATION",$C$1=1),$A788,$A788+1),COLUMN('1-DATA'!O786)),IF($B788="STD. DEVIATION",2,$F$1))))</f>
        <v/>
      </c>
      <c r="Q788" s="1" t="str">
        <f>IF(OR($B788="",Q$7=""),"",IF($B788="MEANS",INDEX('1-DATA'!$1:$1048576,$A787-1,COLUMN('1-DATA'!P786)),ROUND(INDEX('1-DATA'!$1:$1048576,IF(OR($B788="STD. DEVIATION",$C$1=1),$A788,$A788+1),COLUMN('1-DATA'!P786)),IF($B788="STD. DEVIATION",2,$F$1))))</f>
        <v/>
      </c>
      <c r="R788" s="1" t="str">
        <f>IF(OR($B788="",R$7=""),"",IF($B788="MEANS",INDEX('1-DATA'!$1:$1048576,$A787-1,COLUMN('1-DATA'!Q786)),ROUND(INDEX('1-DATA'!$1:$1048576,IF(OR($B788="STD. DEVIATION",$C$1=1),$A788,$A788+1),COLUMN('1-DATA'!Q786)),IF($B788="STD. DEVIATION",2,$F$1))))</f>
        <v/>
      </c>
      <c r="S788" s="1" t="str">
        <f>IF(OR($B788="",S$7=""),"",IF($B788="MEANS",INDEX('1-DATA'!$1:$1048576,$A787-1,COLUMN('1-DATA'!R786)),ROUND(INDEX('1-DATA'!$1:$1048576,IF(OR($B788="STD. DEVIATION",$C$1=1),$A788,$A788+1),COLUMN('1-DATA'!R786)),IF($B788="STD. DEVIATION",2,$F$1))))</f>
        <v/>
      </c>
      <c r="T788" s="1" t="str">
        <f>IF(OR($B788="",T$7=""),"",IF($B788="MEANS",INDEX('1-DATA'!$1:$1048576,$A787-1,COLUMN('1-DATA'!S786)),ROUND(INDEX('1-DATA'!$1:$1048576,IF(OR($B788="STD. DEVIATION",$C$1=1),$A788,$A788+1),COLUMN('1-DATA'!S786)),IF($B788="STD. DEVIATION",2,$F$1))))</f>
        <v/>
      </c>
      <c r="U788" s="1" t="str">
        <f>IF(OR($B788="",U$7=""),"",IF($B788="MEANS",INDEX('1-DATA'!$1:$1048576,$A787-1,COLUMN('1-DATA'!T786)),ROUND(INDEX('1-DATA'!$1:$1048576,IF(OR($B788="STD. DEVIATION",$C$1=1),$A788,$A788+1),COLUMN('1-DATA'!T786)),IF($B788="STD. DEVIATION",2,$F$1))))</f>
        <v/>
      </c>
      <c r="V788" s="1" t="str">
        <f>IF(OR($B788="",V$7=""),"",IF($B788="MEANS",INDEX('1-DATA'!$1:$1048576,$A787-1,COLUMN('1-DATA'!U786)),ROUND(INDEX('1-DATA'!$1:$1048576,IF(OR($B788="STD. DEVIATION",$C$1=1),$A788,$A788+1),COLUMN('1-DATA'!U786)),IF($B788="STD. DEVIATION",2,$F$1))))</f>
        <v/>
      </c>
      <c r="W788" s="1" t="str">
        <f>IF(OR($B788="",W$7=""),"",IF($B788="MEANS",INDEX('1-DATA'!$1:$1048576,$A787-1,COLUMN('1-DATA'!V786)),ROUND(INDEX('1-DATA'!$1:$1048576,IF(OR($B788="STD. DEVIATION",$C$1=1),$A788,$A788+1),COLUMN('1-DATA'!V786)),IF($B788="STD. DEVIATION",2,$F$1))))</f>
        <v/>
      </c>
      <c r="X788" s="1" t="str">
        <f>IF(OR($B788="",X$7=""),"",IF($B788="MEANS",INDEX('1-DATA'!$1:$1048576,$A787-1,COLUMN('1-DATA'!W786)),ROUND(INDEX('1-DATA'!$1:$1048576,IF(OR($B788="STD. DEVIATION",$C$1=1),$A788,$A788+1),COLUMN('1-DATA'!W786)),IF($B788="STD. DEVIATION",2,$F$1))))</f>
        <v/>
      </c>
      <c r="Y788" s="1" t="str">
        <f>IF(OR($B788="",Y$7=""),"",IF($B788="MEANS",INDEX('1-DATA'!$1:$1048576,$A787-1,COLUMN('1-DATA'!X786)),ROUND(INDEX('1-DATA'!$1:$1048576,IF(OR($B788="STD. DEVIATION",$C$1=1),$A788,$A788+1),COLUMN('1-DATA'!X786)),IF($B788="STD. DEVIATION",2,$F$1))))</f>
        <v/>
      </c>
      <c r="Z788" s="1" t="str">
        <f>IF(OR($B788="",Z$7=""),"",IF($B788="MEANS",INDEX('1-DATA'!$1:$1048576,$A787-1,COLUMN('1-DATA'!Y786)),ROUND(INDEX('1-DATA'!$1:$1048576,IF(OR($B788="STD. DEVIATION",$C$1=1),$A788,$A788+1),COLUMN('1-DATA'!Y786)),IF($B788="STD. DEVIATION",2,$F$1))))</f>
        <v/>
      </c>
      <c r="AA788" s="1" t="str">
        <f>IF(OR($B788="",AA$7=""),"",IF($B788="MEANS",INDEX('1-DATA'!$1:$1048576,$A787-1,COLUMN('1-DATA'!Z786)),ROUND(INDEX('1-DATA'!$1:$1048576,IF(OR($B788="STD. DEVIATION",$C$1=1),$A788,$A788+1),COLUMN('1-DATA'!Z786)),IF($B788="STD. DEVIATION",2,$F$1))))</f>
        <v/>
      </c>
      <c r="AB788" s="1" t="str">
        <f>IF(OR($B788="",AB$7=""),"",IF($B788="MEANS",INDEX('1-DATA'!$1:$1048576,$A787-1,COLUMN('1-DATA'!AA786)),ROUND(INDEX('1-DATA'!$1:$1048576,IF(OR($B788="STD. DEVIATION",$C$1=1),$A788,$A788+1),COLUMN('1-DATA'!AA786)),IF($B788="STD. DEVIATION",2,$F$1))))</f>
        <v/>
      </c>
      <c r="AC788" s="1" t="str">
        <f>IF(OR($B788="",AC$7=""),"",IF($B788="MEANS",INDEX('1-DATA'!$1:$1048576,$A787-1,COLUMN('1-DATA'!AB786)),ROUND(INDEX('1-DATA'!$1:$1048576,IF(OR($B788="STD. DEVIATION",$C$1=1),$A788,$A788+1),COLUMN('1-DATA'!AB786)),IF($B788="STD. DEVIATION",2,$F$1))))</f>
        <v/>
      </c>
      <c r="AD788" s="1" t="str">
        <f>IF(OR($B788="",AD$7=""),"",IF($B788="MEANS",INDEX('1-DATA'!$1:$1048576,$A787-1,COLUMN('1-DATA'!AC786)),ROUND(INDEX('1-DATA'!$1:$1048576,IF(OR($B788="STD. DEVIATION",$C$1=1),$A788,$A788+1),COLUMN('1-DATA'!AC786)),IF($B788="STD. DEVIATION",2,$F$1))))</f>
        <v/>
      </c>
      <c r="AE788" s="1" t="str">
        <f>IF(OR($B788="",AE$7=""),"",IF($B788="MEANS",INDEX('1-DATA'!$1:$1048576,$A787-1,COLUMN('1-DATA'!AD786)),ROUND(INDEX('1-DATA'!$1:$1048576,IF(OR($B788="STD. DEVIATION",$C$1=1),$A788,$A788+1),COLUMN('1-DATA'!AD786)),IF($B788="STD. DEVIATION",2,$F$1))))</f>
        <v/>
      </c>
      <c r="AF788" s="1" t="str">
        <f>IF(OR($B788="",AF$7=""),"",IF($B788="MEANS",INDEX('1-DATA'!$1:$1048576,$A787-1,COLUMN('1-DATA'!AE786)),ROUND(INDEX('1-DATA'!$1:$1048576,IF(OR($B788="STD. DEVIATION",$C$1=1),$A788,$A788+1),COLUMN('1-DATA'!AE786)),IF($B788="STD. DEVIATION",2,$F$1))))</f>
        <v/>
      </c>
      <c r="AG788" s="1" t="str">
        <f>IF(OR($B788="",AG$7=""),"",IF($B788="MEANS",INDEX('1-DATA'!$1:$1048576,$A787-1,COLUMN('1-DATA'!AF786)),ROUND(INDEX('1-DATA'!$1:$1048576,IF(OR($B788="STD. DEVIATION",$C$1=1),$A788,$A788+1),COLUMN('1-DATA'!AF786)),IF($B788="STD. DEVIATION",2,$F$1))))</f>
        <v/>
      </c>
      <c r="AH788" s="1" t="str">
        <f>IF(OR($B788="",AH$7=""),"",IF($B788="MEANS",INDEX('1-DATA'!$1:$1048576,$A787-1,COLUMN('1-DATA'!AG786)),ROUND(INDEX('1-DATA'!$1:$1048576,IF(OR($B788="STD. DEVIATION",$C$1=1),$A788,$A788+1),COLUMN('1-DATA'!AG786)),IF($B788="STD. DEVIATION",2,$F$1))))</f>
        <v/>
      </c>
      <c r="AI788" s="1" t="str">
        <f>IF(OR($B788="",AI$7=""),"",IF($B788="MEANS",INDEX('1-DATA'!$1:$1048576,$A787-1,COLUMN('1-DATA'!AH786)),ROUND(INDEX('1-DATA'!$1:$1048576,IF(OR($B788="STD. DEVIATION",$C$1=1),$A788,$A788+1),COLUMN('1-DATA'!AH786)),IF($B788="STD. DEVIATION",2,$F$1))))</f>
        <v/>
      </c>
      <c r="AJ788" s="1" t="str">
        <f>IF(OR($B788="",AJ$7=""),"",IF($B788="MEANS",INDEX('1-DATA'!$1:$1048576,$A787-1,COLUMN('1-DATA'!AI786)),ROUND(INDEX('1-DATA'!$1:$1048576,IF(OR($B788="STD. DEVIATION",$C$1=1),$A788,$A788+1),COLUMN('1-DATA'!AI786)),IF($B788="STD. DEVIATION",2,$F$1))))</f>
        <v/>
      </c>
      <c r="AK788" s="1" t="str">
        <f>IF(OR($B788="",AK$7=""),"",IF($B788="MEANS",INDEX('1-DATA'!$1:$1048576,$A787-1,COLUMN('1-DATA'!AJ786)),ROUND(INDEX('1-DATA'!$1:$1048576,IF(OR($B788="STD. DEVIATION",$C$1=1),$A788,$A788+1),COLUMN('1-DATA'!AJ786)),IF($B788="STD. DEVIATION",2,$F$1))))</f>
        <v/>
      </c>
      <c r="AL788" s="1" t="str">
        <f>IF(OR($B788="",AL$7=""),"",IF($B788="MEANS",INDEX('1-DATA'!$1:$1048576,$A787-1,COLUMN('1-DATA'!AK786)),ROUND(INDEX('1-DATA'!$1:$1048576,IF(OR($B788="STD. DEVIATION",$C$1=1),$A788,$A788+1),COLUMN('1-DATA'!AK786)),IF($B788="STD. DEVIATION",2,$F$1))))</f>
        <v/>
      </c>
      <c r="AM788" s="1" t="str">
        <f>IF(OR($B788="",AM$7=""),"",IF($B788="MEANS",INDEX('1-DATA'!$1:$1048576,$A787-1,COLUMN('1-DATA'!AL786)),ROUND(INDEX('1-DATA'!$1:$1048576,IF(OR($B788="STD. DEVIATION",$C$1=1),$A788,$A788+1),COLUMN('1-DATA'!AL786)),IF($B788="STD. DEVIATION",2,$F$1))))</f>
        <v/>
      </c>
      <c r="AN788" s="1" t="str">
        <f>IF(OR($B788="",AN$7=""),"",IF($B788="MEANS",INDEX('1-DATA'!$1:$1048576,$A787-1,COLUMN('1-DATA'!AM786)),ROUND(INDEX('1-DATA'!$1:$1048576,IF(OR($B788="STD. DEVIATION",$C$1=1),$A788,$A788+1),COLUMN('1-DATA'!AM786)),IF($B788="STD. DEVIATION",2,$F$1))))</f>
        <v/>
      </c>
      <c r="AO788" s="1" t="str">
        <f>IF(OR($B788="",AO$7=""),"",IF($B788="MEANS",INDEX('1-DATA'!$1:$1048576,$A787-1,COLUMN('1-DATA'!AN786)),ROUND(INDEX('1-DATA'!$1:$1048576,IF(OR($B788="STD. DEVIATION",$C$1=1),$A788,$A788+1),COLUMN('1-DATA'!AN786)),IF($B788="STD. DEVIATION",2,$F$1))))</f>
        <v/>
      </c>
      <c r="AP788" s="1" t="str">
        <f>IF(OR($B788="",AP$7=""),"",IF($B788="MEANS",INDEX('1-DATA'!$1:$1048576,$A787-1,COLUMN('1-DATA'!AO786)),ROUND(INDEX('1-DATA'!$1:$1048576,IF(OR($B788="STD. DEVIATION",$C$1=1),$A788,$A788+1),COLUMN('1-DATA'!AO786)),IF($B788="STD. DEVIATION",2,$F$1))))</f>
        <v/>
      </c>
      <c r="AQ788" s="1" t="str">
        <f>IF(OR($B788="",AQ$7=""),"",IF($B788="MEANS",INDEX('1-DATA'!$1:$1048576,$A787-1,COLUMN('1-DATA'!AP786)),ROUND(INDEX('1-DATA'!$1:$1048576,IF(OR($B788="STD. DEVIATION",$C$1=1),$A788,$A788+1),COLUMN('1-DATA'!AP786)),IF($B788="STD. DEVIATION",2,$F$1))))</f>
        <v/>
      </c>
      <c r="AR788" s="1" t="str">
        <f>IF(OR($B788="",AR$7=""),"",IF($B788="MEANS",INDEX('1-DATA'!$1:$1048576,$A787-1,COLUMN('1-DATA'!AQ786)),ROUND(INDEX('1-DATA'!$1:$1048576,IF(OR($B788="STD. DEVIATION",$C$1=1),$A788,$A788+1),COLUMN('1-DATA'!AQ786)),IF($B788="STD. DEVIATION",2,$F$1))))</f>
        <v/>
      </c>
      <c r="AS788" s="1" t="str">
        <f>IF(OR($B788="",AS$7=""),"",IF($B788="MEANS",INDEX('1-DATA'!$1:$1048576,$A787-1,COLUMN('1-DATA'!AR786)),ROUND(INDEX('1-DATA'!$1:$1048576,IF(OR($B788="STD. DEVIATION",$C$1=1),$A788,$A788+1),COLUMN('1-DATA'!AR786)),IF($B788="STD. DEVIATION",2,$F$1))))</f>
        <v/>
      </c>
      <c r="AT788" s="1" t="str">
        <f>IF(OR($B788="",AT$7=""),"",IF($B788="MEANS",INDEX('1-DATA'!$1:$1048576,$A787-1,COLUMN('1-DATA'!AS786)),ROUND(INDEX('1-DATA'!$1:$1048576,IF(OR($B788="STD. DEVIATION",$C$1=1),$A788,$A788+1),COLUMN('1-DATA'!AS786)),IF($B788="STD. DEVIATION",2,$F$1))))</f>
        <v/>
      </c>
      <c r="AU788" s="1" t="str">
        <f>IF(OR($B788="",AU$7=""),"",IF($B788="MEANS",INDEX('1-DATA'!$1:$1048576,$A787-1,COLUMN('1-DATA'!AT786)),ROUND(INDEX('1-DATA'!$1:$1048576,IF(OR($B788="STD. DEVIATION",$C$1=1),$A788,$A788+1),COLUMN('1-DATA'!AT786)),IF($B788="STD. DEVIATION",2,$F$1))))</f>
        <v/>
      </c>
      <c r="AV788" s="1" t="str">
        <f>IF(OR($B788="",AV$7=""),"",IF($B788="MEANS",INDEX('1-DATA'!$1:$1048576,$A787-1,COLUMN('1-DATA'!AU786)),ROUND(INDEX('1-DATA'!$1:$1048576,IF(OR($B788="STD. DEVIATION",$C$1=1),$A788,$A788+1),COLUMN('1-DATA'!AU786)),IF($B788="STD. DEVIATION",2,$F$1))))</f>
        <v/>
      </c>
      <c r="AW788" s="1" t="str">
        <f>IF(OR($B788="",AW$7=""),"",IF($B788="MEANS",INDEX('1-DATA'!$1:$1048576,$A787-1,COLUMN('1-DATA'!AV786)),ROUND(INDEX('1-DATA'!$1:$1048576,IF(OR($B788="STD. DEVIATION",$C$1=1),$A788,$A788+1),COLUMN('1-DATA'!AV786)),IF($B788="STD. DEVIATION",2,$F$1))))</f>
        <v/>
      </c>
      <c r="AX788" s="1" t="str">
        <f>IF(OR($B788="",AX$7=""),"",IF($B788="MEANS",INDEX('1-DATA'!$1:$1048576,$A787-1,COLUMN('1-DATA'!AW786)),ROUND(INDEX('1-DATA'!$1:$1048576,IF(OR($B788="STD. DEVIATION",$C$1=1),$A788,$A788+1),COLUMN('1-DATA'!AW786)),IF($B788="STD. DEVIATION",2,$F$1))))</f>
        <v/>
      </c>
      <c r="AY788" s="1" t="str">
        <f>IF(OR($B788="",AY$7=""),"",IF($B788="MEANS",INDEX('1-DATA'!$1:$1048576,$A787-1,COLUMN('1-DATA'!AX786)),ROUND(INDEX('1-DATA'!$1:$1048576,IF(OR($B788="STD. DEVIATION",$C$1=1),$A788,$A788+1),COLUMN('1-DATA'!AX786)),IF($B788="STD. DEVIATION",2,$F$1))))</f>
        <v/>
      </c>
      <c r="AZ788" s="1" t="str">
        <f>IF(OR($B788="",AZ$7=""),"",IF($B788="MEANS",INDEX('1-DATA'!$1:$1048576,$A787-1,COLUMN('1-DATA'!AY786)),ROUND(INDEX('1-DATA'!$1:$1048576,IF(OR($B788="STD. DEVIATION",$C$1=1),$A788,$A788+1),COLUMN('1-DATA'!AY786)),IF($B788="STD. DEVIATION",2,$F$1))))</f>
        <v/>
      </c>
    </row>
    <row r="789" spans="1:52" x14ac:dyDescent="0.25">
      <c r="A789" s="11">
        <f t="shared" si="12"/>
        <v>2353</v>
      </c>
      <c r="B789" s="1" t="str">
        <f>IF(B788="STD. DEVIATION",INDEX('1-DATA'!$1:$1048576,$A788-1,1),IF(INDEX('1-DATA'!$1:$1048576,$A789,1)&lt;&gt;"",INDEX('1-DATA'!$1:$1048576,$A789,1),""))</f>
        <v/>
      </c>
      <c r="C789" s="1" t="str">
        <f>IF(OR($B789="",C$7=""),"",IF($B789="MEANS",INDEX('1-DATA'!$1:$1048576,$A788-1,COLUMN('1-DATA'!B787)),ROUND(INDEX('1-DATA'!$1:$1048576,IF(OR($B789="STD. DEVIATION",$C$1=1),$A789,$A789+1),COLUMN('1-DATA'!B787)),IF($B789="STD. DEVIATION",2,$F$1))))</f>
        <v/>
      </c>
      <c r="D789" s="1" t="str">
        <f>IF(OR($B789="",D$7=""),"",IF($B789="MEANS",INDEX('1-DATA'!$1:$1048576,$A788-1,COLUMN('1-DATA'!C787)),ROUND(INDEX('1-DATA'!$1:$1048576,IF(OR($B789="STD. DEVIATION",$C$1=1),$A789,$A789+1),COLUMN('1-DATA'!C787)),IF($B789="STD. DEVIATION",2,$F$1))))</f>
        <v/>
      </c>
      <c r="E789" s="1" t="str">
        <f>IF(OR($B789="",E$7=""),"",IF($B789="MEANS",INDEX('1-DATA'!$1:$1048576,$A788-1,COLUMN('1-DATA'!D787)),ROUND(INDEX('1-DATA'!$1:$1048576,IF(OR($B789="STD. DEVIATION",$C$1=1),$A789,$A789+1),COLUMN('1-DATA'!D787)),IF($B789="STD. DEVIATION",2,$F$1))))</f>
        <v/>
      </c>
      <c r="F789" s="1" t="str">
        <f>IF(OR($B789="",F$7=""),"",IF($B789="MEANS",INDEX('1-DATA'!$1:$1048576,$A788-1,COLUMN('1-DATA'!E787)),ROUND(INDEX('1-DATA'!$1:$1048576,IF(OR($B789="STD. DEVIATION",$C$1=1),$A789,$A789+1),COLUMN('1-DATA'!E787)),IF($B789="STD. DEVIATION",2,$F$1))))</f>
        <v/>
      </c>
      <c r="G789" s="1" t="str">
        <f>IF(OR($B789="",G$7=""),"",IF($B789="MEANS",INDEX('1-DATA'!$1:$1048576,$A788-1,COLUMN('1-DATA'!F787)),ROUND(INDEX('1-DATA'!$1:$1048576,IF(OR($B789="STD. DEVIATION",$C$1=1),$A789,$A789+1),COLUMN('1-DATA'!F787)),IF($B789="STD. DEVIATION",2,$F$1))))</f>
        <v/>
      </c>
      <c r="H789" s="1" t="str">
        <f>IF(OR($B789="",H$7=""),"",IF($B789="MEANS",INDEX('1-DATA'!$1:$1048576,$A788-1,COLUMN('1-DATA'!G787)),ROUND(INDEX('1-DATA'!$1:$1048576,IF(OR($B789="STD. DEVIATION",$C$1=1),$A789,$A789+1),COLUMN('1-DATA'!G787)),IF($B789="STD. DEVIATION",2,$F$1))))</f>
        <v/>
      </c>
      <c r="I789" s="1" t="str">
        <f>IF(OR($B789="",I$7=""),"",IF($B789="MEANS",INDEX('1-DATA'!$1:$1048576,$A788-1,COLUMN('1-DATA'!H787)),ROUND(INDEX('1-DATA'!$1:$1048576,IF(OR($B789="STD. DEVIATION",$C$1=1),$A789,$A789+1),COLUMN('1-DATA'!H787)),IF($B789="STD. DEVIATION",2,$F$1))))</f>
        <v/>
      </c>
      <c r="J789" s="1" t="str">
        <f>IF(OR($B789="",J$7=""),"",IF($B789="MEANS",INDEX('1-DATA'!$1:$1048576,$A788-1,COLUMN('1-DATA'!I787)),ROUND(INDEX('1-DATA'!$1:$1048576,IF(OR($B789="STD. DEVIATION",$C$1=1),$A789,$A789+1),COLUMN('1-DATA'!I787)),IF($B789="STD. DEVIATION",2,$F$1))))</f>
        <v/>
      </c>
      <c r="K789" s="1" t="str">
        <f>IF(OR($B789="",K$7=""),"",IF($B789="MEANS",INDEX('1-DATA'!$1:$1048576,$A788-1,COLUMN('1-DATA'!J787)),ROUND(INDEX('1-DATA'!$1:$1048576,IF(OR($B789="STD. DEVIATION",$C$1=1),$A789,$A789+1),COLUMN('1-DATA'!J787)),IF($B789="STD. DEVIATION",2,$F$1))))</f>
        <v/>
      </c>
      <c r="L789" s="1" t="str">
        <f>IF(OR($B789="",L$7=""),"",IF($B789="MEANS",INDEX('1-DATA'!$1:$1048576,$A788-1,COLUMN('1-DATA'!K787)),ROUND(INDEX('1-DATA'!$1:$1048576,IF(OR($B789="STD. DEVIATION",$C$1=1),$A789,$A789+1),COLUMN('1-DATA'!K787)),IF($B789="STD. DEVIATION",2,$F$1))))</f>
        <v/>
      </c>
      <c r="M789" s="1" t="str">
        <f>IF(OR($B789="",M$7=""),"",IF($B789="MEANS",INDEX('1-DATA'!$1:$1048576,$A788-1,COLUMN('1-DATA'!L787)),ROUND(INDEX('1-DATA'!$1:$1048576,IF(OR($B789="STD. DEVIATION",$C$1=1),$A789,$A789+1),COLUMN('1-DATA'!L787)),IF($B789="STD. DEVIATION",2,$F$1))))</f>
        <v/>
      </c>
      <c r="N789" s="1" t="str">
        <f>IF(OR($B789="",N$7=""),"",IF($B789="MEANS",INDEX('1-DATA'!$1:$1048576,$A788-1,COLUMN('1-DATA'!M787)),ROUND(INDEX('1-DATA'!$1:$1048576,IF(OR($B789="STD. DEVIATION",$C$1=1),$A789,$A789+1),COLUMN('1-DATA'!M787)),IF($B789="STD. DEVIATION",2,$F$1))))</f>
        <v/>
      </c>
      <c r="O789" s="1" t="str">
        <f>IF(OR($B789="",O$7=""),"",IF($B789="MEANS",INDEX('1-DATA'!$1:$1048576,$A788-1,COLUMN('1-DATA'!N787)),ROUND(INDEX('1-DATA'!$1:$1048576,IF(OR($B789="STD. DEVIATION",$C$1=1),$A789,$A789+1),COLUMN('1-DATA'!N787)),IF($B789="STD. DEVIATION",2,$F$1))))</f>
        <v/>
      </c>
      <c r="P789" s="1" t="str">
        <f>IF(OR($B789="",P$7=""),"",IF($B789="MEANS",INDEX('1-DATA'!$1:$1048576,$A788-1,COLUMN('1-DATA'!O787)),ROUND(INDEX('1-DATA'!$1:$1048576,IF(OR($B789="STD. DEVIATION",$C$1=1),$A789,$A789+1),COLUMN('1-DATA'!O787)),IF($B789="STD. DEVIATION",2,$F$1))))</f>
        <v/>
      </c>
      <c r="Q789" s="1" t="str">
        <f>IF(OR($B789="",Q$7=""),"",IF($B789="MEANS",INDEX('1-DATA'!$1:$1048576,$A788-1,COLUMN('1-DATA'!P787)),ROUND(INDEX('1-DATA'!$1:$1048576,IF(OR($B789="STD. DEVIATION",$C$1=1),$A789,$A789+1),COLUMN('1-DATA'!P787)),IF($B789="STD. DEVIATION",2,$F$1))))</f>
        <v/>
      </c>
      <c r="R789" s="1" t="str">
        <f>IF(OR($B789="",R$7=""),"",IF($B789="MEANS",INDEX('1-DATA'!$1:$1048576,$A788-1,COLUMN('1-DATA'!Q787)),ROUND(INDEX('1-DATA'!$1:$1048576,IF(OR($B789="STD. DEVIATION",$C$1=1),$A789,$A789+1),COLUMN('1-DATA'!Q787)),IF($B789="STD. DEVIATION",2,$F$1))))</f>
        <v/>
      </c>
      <c r="S789" s="1" t="str">
        <f>IF(OR($B789="",S$7=""),"",IF($B789="MEANS",INDEX('1-DATA'!$1:$1048576,$A788-1,COLUMN('1-DATA'!R787)),ROUND(INDEX('1-DATA'!$1:$1048576,IF(OR($B789="STD. DEVIATION",$C$1=1),$A789,$A789+1),COLUMN('1-DATA'!R787)),IF($B789="STD. DEVIATION",2,$F$1))))</f>
        <v/>
      </c>
      <c r="T789" s="1" t="str">
        <f>IF(OR($B789="",T$7=""),"",IF($B789="MEANS",INDEX('1-DATA'!$1:$1048576,$A788-1,COLUMN('1-DATA'!S787)),ROUND(INDEX('1-DATA'!$1:$1048576,IF(OR($B789="STD. DEVIATION",$C$1=1),$A789,$A789+1),COLUMN('1-DATA'!S787)),IF($B789="STD. DEVIATION",2,$F$1))))</f>
        <v/>
      </c>
      <c r="U789" s="1" t="str">
        <f>IF(OR($B789="",U$7=""),"",IF($B789="MEANS",INDEX('1-DATA'!$1:$1048576,$A788-1,COLUMN('1-DATA'!T787)),ROUND(INDEX('1-DATA'!$1:$1048576,IF(OR($B789="STD. DEVIATION",$C$1=1),$A789,$A789+1),COLUMN('1-DATA'!T787)),IF($B789="STD. DEVIATION",2,$F$1))))</f>
        <v/>
      </c>
      <c r="V789" s="1" t="str">
        <f>IF(OR($B789="",V$7=""),"",IF($B789="MEANS",INDEX('1-DATA'!$1:$1048576,$A788-1,COLUMN('1-DATA'!U787)),ROUND(INDEX('1-DATA'!$1:$1048576,IF(OR($B789="STD. DEVIATION",$C$1=1),$A789,$A789+1),COLUMN('1-DATA'!U787)),IF($B789="STD. DEVIATION",2,$F$1))))</f>
        <v/>
      </c>
      <c r="W789" s="1" t="str">
        <f>IF(OR($B789="",W$7=""),"",IF($B789="MEANS",INDEX('1-DATA'!$1:$1048576,$A788-1,COLUMN('1-DATA'!V787)),ROUND(INDEX('1-DATA'!$1:$1048576,IF(OR($B789="STD. DEVIATION",$C$1=1),$A789,$A789+1),COLUMN('1-DATA'!V787)),IF($B789="STD. DEVIATION",2,$F$1))))</f>
        <v/>
      </c>
      <c r="X789" s="1" t="str">
        <f>IF(OR($B789="",X$7=""),"",IF($B789="MEANS",INDEX('1-DATA'!$1:$1048576,$A788-1,COLUMN('1-DATA'!W787)),ROUND(INDEX('1-DATA'!$1:$1048576,IF(OR($B789="STD. DEVIATION",$C$1=1),$A789,$A789+1),COLUMN('1-DATA'!W787)),IF($B789="STD. DEVIATION",2,$F$1))))</f>
        <v/>
      </c>
      <c r="Y789" s="1" t="str">
        <f>IF(OR($B789="",Y$7=""),"",IF($B789="MEANS",INDEX('1-DATA'!$1:$1048576,$A788-1,COLUMN('1-DATA'!X787)),ROUND(INDEX('1-DATA'!$1:$1048576,IF(OR($B789="STD. DEVIATION",$C$1=1),$A789,$A789+1),COLUMN('1-DATA'!X787)),IF($B789="STD. DEVIATION",2,$F$1))))</f>
        <v/>
      </c>
      <c r="Z789" s="1" t="str">
        <f>IF(OR($B789="",Z$7=""),"",IF($B789="MEANS",INDEX('1-DATA'!$1:$1048576,$A788-1,COLUMN('1-DATA'!Y787)),ROUND(INDEX('1-DATA'!$1:$1048576,IF(OR($B789="STD. DEVIATION",$C$1=1),$A789,$A789+1),COLUMN('1-DATA'!Y787)),IF($B789="STD. DEVIATION",2,$F$1))))</f>
        <v/>
      </c>
      <c r="AA789" s="1" t="str">
        <f>IF(OR($B789="",AA$7=""),"",IF($B789="MEANS",INDEX('1-DATA'!$1:$1048576,$A788-1,COLUMN('1-DATA'!Z787)),ROUND(INDEX('1-DATA'!$1:$1048576,IF(OR($B789="STD. DEVIATION",$C$1=1),$A789,$A789+1),COLUMN('1-DATA'!Z787)),IF($B789="STD. DEVIATION",2,$F$1))))</f>
        <v/>
      </c>
      <c r="AB789" s="1" t="str">
        <f>IF(OR($B789="",AB$7=""),"",IF($B789="MEANS",INDEX('1-DATA'!$1:$1048576,$A788-1,COLUMN('1-DATA'!AA787)),ROUND(INDEX('1-DATA'!$1:$1048576,IF(OR($B789="STD. DEVIATION",$C$1=1),$A789,$A789+1),COLUMN('1-DATA'!AA787)),IF($B789="STD. DEVIATION",2,$F$1))))</f>
        <v/>
      </c>
      <c r="AC789" s="1" t="str">
        <f>IF(OR($B789="",AC$7=""),"",IF($B789="MEANS",INDEX('1-DATA'!$1:$1048576,$A788-1,COLUMN('1-DATA'!AB787)),ROUND(INDEX('1-DATA'!$1:$1048576,IF(OR($B789="STD. DEVIATION",$C$1=1),$A789,$A789+1),COLUMN('1-DATA'!AB787)),IF($B789="STD. DEVIATION",2,$F$1))))</f>
        <v/>
      </c>
      <c r="AD789" s="1" t="str">
        <f>IF(OR($B789="",AD$7=""),"",IF($B789="MEANS",INDEX('1-DATA'!$1:$1048576,$A788-1,COLUMN('1-DATA'!AC787)),ROUND(INDEX('1-DATA'!$1:$1048576,IF(OR($B789="STD. DEVIATION",$C$1=1),$A789,$A789+1),COLUMN('1-DATA'!AC787)),IF($B789="STD. DEVIATION",2,$F$1))))</f>
        <v/>
      </c>
      <c r="AE789" s="1" t="str">
        <f>IF(OR($B789="",AE$7=""),"",IF($B789="MEANS",INDEX('1-DATA'!$1:$1048576,$A788-1,COLUMN('1-DATA'!AD787)),ROUND(INDEX('1-DATA'!$1:$1048576,IF(OR($B789="STD. DEVIATION",$C$1=1),$A789,$A789+1),COLUMN('1-DATA'!AD787)),IF($B789="STD. DEVIATION",2,$F$1))))</f>
        <v/>
      </c>
      <c r="AF789" s="1" t="str">
        <f>IF(OR($B789="",AF$7=""),"",IF($B789="MEANS",INDEX('1-DATA'!$1:$1048576,$A788-1,COLUMN('1-DATA'!AE787)),ROUND(INDEX('1-DATA'!$1:$1048576,IF(OR($B789="STD. DEVIATION",$C$1=1),$A789,$A789+1),COLUMN('1-DATA'!AE787)),IF($B789="STD. DEVIATION",2,$F$1))))</f>
        <v/>
      </c>
      <c r="AG789" s="1" t="str">
        <f>IF(OR($B789="",AG$7=""),"",IF($B789="MEANS",INDEX('1-DATA'!$1:$1048576,$A788-1,COLUMN('1-DATA'!AF787)),ROUND(INDEX('1-DATA'!$1:$1048576,IF(OR($B789="STD. DEVIATION",$C$1=1),$A789,$A789+1),COLUMN('1-DATA'!AF787)),IF($B789="STD. DEVIATION",2,$F$1))))</f>
        <v/>
      </c>
      <c r="AH789" s="1" t="str">
        <f>IF(OR($B789="",AH$7=""),"",IF($B789="MEANS",INDEX('1-DATA'!$1:$1048576,$A788-1,COLUMN('1-DATA'!AG787)),ROUND(INDEX('1-DATA'!$1:$1048576,IF(OR($B789="STD. DEVIATION",$C$1=1),$A789,$A789+1),COLUMN('1-DATA'!AG787)),IF($B789="STD. DEVIATION",2,$F$1))))</f>
        <v/>
      </c>
      <c r="AI789" s="1" t="str">
        <f>IF(OR($B789="",AI$7=""),"",IF($B789="MEANS",INDEX('1-DATA'!$1:$1048576,$A788-1,COLUMN('1-DATA'!AH787)),ROUND(INDEX('1-DATA'!$1:$1048576,IF(OR($B789="STD. DEVIATION",$C$1=1),$A789,$A789+1),COLUMN('1-DATA'!AH787)),IF($B789="STD. DEVIATION",2,$F$1))))</f>
        <v/>
      </c>
      <c r="AJ789" s="1" t="str">
        <f>IF(OR($B789="",AJ$7=""),"",IF($B789="MEANS",INDEX('1-DATA'!$1:$1048576,$A788-1,COLUMN('1-DATA'!AI787)),ROUND(INDEX('1-DATA'!$1:$1048576,IF(OR($B789="STD. DEVIATION",$C$1=1),$A789,$A789+1),COLUMN('1-DATA'!AI787)),IF($B789="STD. DEVIATION",2,$F$1))))</f>
        <v/>
      </c>
      <c r="AK789" s="1" t="str">
        <f>IF(OR($B789="",AK$7=""),"",IF($B789="MEANS",INDEX('1-DATA'!$1:$1048576,$A788-1,COLUMN('1-DATA'!AJ787)),ROUND(INDEX('1-DATA'!$1:$1048576,IF(OR($B789="STD. DEVIATION",$C$1=1),$A789,$A789+1),COLUMN('1-DATA'!AJ787)),IF($B789="STD. DEVIATION",2,$F$1))))</f>
        <v/>
      </c>
      <c r="AL789" s="1" t="str">
        <f>IF(OR($B789="",AL$7=""),"",IF($B789="MEANS",INDEX('1-DATA'!$1:$1048576,$A788-1,COLUMN('1-DATA'!AK787)),ROUND(INDEX('1-DATA'!$1:$1048576,IF(OR($B789="STD. DEVIATION",$C$1=1),$A789,$A789+1),COLUMN('1-DATA'!AK787)),IF($B789="STD. DEVIATION",2,$F$1))))</f>
        <v/>
      </c>
      <c r="AM789" s="1" t="str">
        <f>IF(OR($B789="",AM$7=""),"",IF($B789="MEANS",INDEX('1-DATA'!$1:$1048576,$A788-1,COLUMN('1-DATA'!AL787)),ROUND(INDEX('1-DATA'!$1:$1048576,IF(OR($B789="STD. DEVIATION",$C$1=1),$A789,$A789+1),COLUMN('1-DATA'!AL787)),IF($B789="STD. DEVIATION",2,$F$1))))</f>
        <v/>
      </c>
      <c r="AN789" s="1" t="str">
        <f>IF(OR($B789="",AN$7=""),"",IF($B789="MEANS",INDEX('1-DATA'!$1:$1048576,$A788-1,COLUMN('1-DATA'!AM787)),ROUND(INDEX('1-DATA'!$1:$1048576,IF(OR($B789="STD. DEVIATION",$C$1=1),$A789,$A789+1),COLUMN('1-DATA'!AM787)),IF($B789="STD. DEVIATION",2,$F$1))))</f>
        <v/>
      </c>
      <c r="AO789" s="1" t="str">
        <f>IF(OR($B789="",AO$7=""),"",IF($B789="MEANS",INDEX('1-DATA'!$1:$1048576,$A788-1,COLUMN('1-DATA'!AN787)),ROUND(INDEX('1-DATA'!$1:$1048576,IF(OR($B789="STD. DEVIATION",$C$1=1),$A789,$A789+1),COLUMN('1-DATA'!AN787)),IF($B789="STD. DEVIATION",2,$F$1))))</f>
        <v/>
      </c>
      <c r="AP789" s="1" t="str">
        <f>IF(OR($B789="",AP$7=""),"",IF($B789="MEANS",INDEX('1-DATA'!$1:$1048576,$A788-1,COLUMN('1-DATA'!AO787)),ROUND(INDEX('1-DATA'!$1:$1048576,IF(OR($B789="STD. DEVIATION",$C$1=1),$A789,$A789+1),COLUMN('1-DATA'!AO787)),IF($B789="STD. DEVIATION",2,$F$1))))</f>
        <v/>
      </c>
      <c r="AQ789" s="1" t="str">
        <f>IF(OR($B789="",AQ$7=""),"",IF($B789="MEANS",INDEX('1-DATA'!$1:$1048576,$A788-1,COLUMN('1-DATA'!AP787)),ROUND(INDEX('1-DATA'!$1:$1048576,IF(OR($B789="STD. DEVIATION",$C$1=1),$A789,$A789+1),COLUMN('1-DATA'!AP787)),IF($B789="STD. DEVIATION",2,$F$1))))</f>
        <v/>
      </c>
      <c r="AR789" s="1" t="str">
        <f>IF(OR($B789="",AR$7=""),"",IF($B789="MEANS",INDEX('1-DATA'!$1:$1048576,$A788-1,COLUMN('1-DATA'!AQ787)),ROUND(INDEX('1-DATA'!$1:$1048576,IF(OR($B789="STD. DEVIATION",$C$1=1),$A789,$A789+1),COLUMN('1-DATA'!AQ787)),IF($B789="STD. DEVIATION",2,$F$1))))</f>
        <v/>
      </c>
      <c r="AS789" s="1" t="str">
        <f>IF(OR($B789="",AS$7=""),"",IF($B789="MEANS",INDEX('1-DATA'!$1:$1048576,$A788-1,COLUMN('1-DATA'!AR787)),ROUND(INDEX('1-DATA'!$1:$1048576,IF(OR($B789="STD. DEVIATION",$C$1=1),$A789,$A789+1),COLUMN('1-DATA'!AR787)),IF($B789="STD. DEVIATION",2,$F$1))))</f>
        <v/>
      </c>
      <c r="AT789" s="1" t="str">
        <f>IF(OR($B789="",AT$7=""),"",IF($B789="MEANS",INDEX('1-DATA'!$1:$1048576,$A788-1,COLUMN('1-DATA'!AS787)),ROUND(INDEX('1-DATA'!$1:$1048576,IF(OR($B789="STD. DEVIATION",$C$1=1),$A789,$A789+1),COLUMN('1-DATA'!AS787)),IF($B789="STD. DEVIATION",2,$F$1))))</f>
        <v/>
      </c>
      <c r="AU789" s="1" t="str">
        <f>IF(OR($B789="",AU$7=""),"",IF($B789="MEANS",INDEX('1-DATA'!$1:$1048576,$A788-1,COLUMN('1-DATA'!AT787)),ROUND(INDEX('1-DATA'!$1:$1048576,IF(OR($B789="STD. DEVIATION",$C$1=1),$A789,$A789+1),COLUMN('1-DATA'!AT787)),IF($B789="STD. DEVIATION",2,$F$1))))</f>
        <v/>
      </c>
      <c r="AV789" s="1" t="str">
        <f>IF(OR($B789="",AV$7=""),"",IF($B789="MEANS",INDEX('1-DATA'!$1:$1048576,$A788-1,COLUMN('1-DATA'!AU787)),ROUND(INDEX('1-DATA'!$1:$1048576,IF(OR($B789="STD. DEVIATION",$C$1=1),$A789,$A789+1),COLUMN('1-DATA'!AU787)),IF($B789="STD. DEVIATION",2,$F$1))))</f>
        <v/>
      </c>
      <c r="AW789" s="1" t="str">
        <f>IF(OR($B789="",AW$7=""),"",IF($B789="MEANS",INDEX('1-DATA'!$1:$1048576,$A788-1,COLUMN('1-DATA'!AV787)),ROUND(INDEX('1-DATA'!$1:$1048576,IF(OR($B789="STD. DEVIATION",$C$1=1),$A789,$A789+1),COLUMN('1-DATA'!AV787)),IF($B789="STD. DEVIATION",2,$F$1))))</f>
        <v/>
      </c>
      <c r="AX789" s="1" t="str">
        <f>IF(OR($B789="",AX$7=""),"",IF($B789="MEANS",INDEX('1-DATA'!$1:$1048576,$A788-1,COLUMN('1-DATA'!AW787)),ROUND(INDEX('1-DATA'!$1:$1048576,IF(OR($B789="STD. DEVIATION",$C$1=1),$A789,$A789+1),COLUMN('1-DATA'!AW787)),IF($B789="STD. DEVIATION",2,$F$1))))</f>
        <v/>
      </c>
      <c r="AY789" s="1" t="str">
        <f>IF(OR($B789="",AY$7=""),"",IF($B789="MEANS",INDEX('1-DATA'!$1:$1048576,$A788-1,COLUMN('1-DATA'!AX787)),ROUND(INDEX('1-DATA'!$1:$1048576,IF(OR($B789="STD. DEVIATION",$C$1=1),$A789,$A789+1),COLUMN('1-DATA'!AX787)),IF($B789="STD. DEVIATION",2,$F$1))))</f>
        <v/>
      </c>
      <c r="AZ789" s="1" t="str">
        <f>IF(OR($B789="",AZ$7=""),"",IF($B789="MEANS",INDEX('1-DATA'!$1:$1048576,$A788-1,COLUMN('1-DATA'!AY787)),ROUND(INDEX('1-DATA'!$1:$1048576,IF(OR($B789="STD. DEVIATION",$C$1=1),$A789,$A789+1),COLUMN('1-DATA'!AY787)),IF($B789="STD. DEVIATION",2,$F$1))))</f>
        <v/>
      </c>
    </row>
    <row r="790" spans="1:52" x14ac:dyDescent="0.25">
      <c r="A790" s="11">
        <f t="shared" si="12"/>
        <v>2356</v>
      </c>
      <c r="B790" s="1" t="str">
        <f>IF(B789="STD. DEVIATION",INDEX('1-DATA'!$1:$1048576,$A789-1,1),IF(INDEX('1-DATA'!$1:$1048576,$A790,1)&lt;&gt;"",INDEX('1-DATA'!$1:$1048576,$A790,1),""))</f>
        <v/>
      </c>
      <c r="C790" s="1" t="str">
        <f>IF(OR($B790="",C$7=""),"",IF($B790="MEANS",INDEX('1-DATA'!$1:$1048576,$A789-1,COLUMN('1-DATA'!B788)),ROUND(INDEX('1-DATA'!$1:$1048576,IF(OR($B790="STD. DEVIATION",$C$1=1),$A790,$A790+1),COLUMN('1-DATA'!B788)),IF($B790="STD. DEVIATION",2,$F$1))))</f>
        <v/>
      </c>
      <c r="D790" s="1" t="str">
        <f>IF(OR($B790="",D$7=""),"",IF($B790="MEANS",INDEX('1-DATA'!$1:$1048576,$A789-1,COLUMN('1-DATA'!C788)),ROUND(INDEX('1-DATA'!$1:$1048576,IF(OR($B790="STD. DEVIATION",$C$1=1),$A790,$A790+1),COLUMN('1-DATA'!C788)),IF($B790="STD. DEVIATION",2,$F$1))))</f>
        <v/>
      </c>
      <c r="E790" s="1" t="str">
        <f>IF(OR($B790="",E$7=""),"",IF($B790="MEANS",INDEX('1-DATA'!$1:$1048576,$A789-1,COLUMN('1-DATA'!D788)),ROUND(INDEX('1-DATA'!$1:$1048576,IF(OR($B790="STD. DEVIATION",$C$1=1),$A790,$A790+1),COLUMN('1-DATA'!D788)),IF($B790="STD. DEVIATION",2,$F$1))))</f>
        <v/>
      </c>
      <c r="F790" s="1" t="str">
        <f>IF(OR($B790="",F$7=""),"",IF($B790="MEANS",INDEX('1-DATA'!$1:$1048576,$A789-1,COLUMN('1-DATA'!E788)),ROUND(INDEX('1-DATA'!$1:$1048576,IF(OR($B790="STD. DEVIATION",$C$1=1),$A790,$A790+1),COLUMN('1-DATA'!E788)),IF($B790="STD. DEVIATION",2,$F$1))))</f>
        <v/>
      </c>
      <c r="G790" s="1" t="str">
        <f>IF(OR($B790="",G$7=""),"",IF($B790="MEANS",INDEX('1-DATA'!$1:$1048576,$A789-1,COLUMN('1-DATA'!F788)),ROUND(INDEX('1-DATA'!$1:$1048576,IF(OR($B790="STD. DEVIATION",$C$1=1),$A790,$A790+1),COLUMN('1-DATA'!F788)),IF($B790="STD. DEVIATION",2,$F$1))))</f>
        <v/>
      </c>
      <c r="H790" s="1" t="str">
        <f>IF(OR($B790="",H$7=""),"",IF($B790="MEANS",INDEX('1-DATA'!$1:$1048576,$A789-1,COLUMN('1-DATA'!G788)),ROUND(INDEX('1-DATA'!$1:$1048576,IF(OR($B790="STD. DEVIATION",$C$1=1),$A790,$A790+1),COLUMN('1-DATA'!G788)),IF($B790="STD. DEVIATION",2,$F$1))))</f>
        <v/>
      </c>
      <c r="I790" s="1" t="str">
        <f>IF(OR($B790="",I$7=""),"",IF($B790="MEANS",INDEX('1-DATA'!$1:$1048576,$A789-1,COLUMN('1-DATA'!H788)),ROUND(INDEX('1-DATA'!$1:$1048576,IF(OR($B790="STD. DEVIATION",$C$1=1),$A790,$A790+1),COLUMN('1-DATA'!H788)),IF($B790="STD. DEVIATION",2,$F$1))))</f>
        <v/>
      </c>
      <c r="J790" s="1" t="str">
        <f>IF(OR($B790="",J$7=""),"",IF($B790="MEANS",INDEX('1-DATA'!$1:$1048576,$A789-1,COLUMN('1-DATA'!I788)),ROUND(INDEX('1-DATA'!$1:$1048576,IF(OR($B790="STD. DEVIATION",$C$1=1),$A790,$A790+1),COLUMN('1-DATA'!I788)),IF($B790="STD. DEVIATION",2,$F$1))))</f>
        <v/>
      </c>
      <c r="K790" s="1" t="str">
        <f>IF(OR($B790="",K$7=""),"",IF($B790="MEANS",INDEX('1-DATA'!$1:$1048576,$A789-1,COLUMN('1-DATA'!J788)),ROUND(INDEX('1-DATA'!$1:$1048576,IF(OR($B790="STD. DEVIATION",$C$1=1),$A790,$A790+1),COLUMN('1-DATA'!J788)),IF($B790="STD. DEVIATION",2,$F$1))))</f>
        <v/>
      </c>
      <c r="L790" s="1" t="str">
        <f>IF(OR($B790="",L$7=""),"",IF($B790="MEANS",INDEX('1-DATA'!$1:$1048576,$A789-1,COLUMN('1-DATA'!K788)),ROUND(INDEX('1-DATA'!$1:$1048576,IF(OR($B790="STD. DEVIATION",$C$1=1),$A790,$A790+1),COLUMN('1-DATA'!K788)),IF($B790="STD. DEVIATION",2,$F$1))))</f>
        <v/>
      </c>
      <c r="M790" s="1" t="str">
        <f>IF(OR($B790="",M$7=""),"",IF($B790="MEANS",INDEX('1-DATA'!$1:$1048576,$A789-1,COLUMN('1-DATA'!L788)),ROUND(INDEX('1-DATA'!$1:$1048576,IF(OR($B790="STD. DEVIATION",$C$1=1),$A790,$A790+1),COLUMN('1-DATA'!L788)),IF($B790="STD. DEVIATION",2,$F$1))))</f>
        <v/>
      </c>
      <c r="N790" s="1" t="str">
        <f>IF(OR($B790="",N$7=""),"",IF($B790="MEANS",INDEX('1-DATA'!$1:$1048576,$A789-1,COLUMN('1-DATA'!M788)),ROUND(INDEX('1-DATA'!$1:$1048576,IF(OR($B790="STD. DEVIATION",$C$1=1),$A790,$A790+1),COLUMN('1-DATA'!M788)),IF($B790="STD. DEVIATION",2,$F$1))))</f>
        <v/>
      </c>
      <c r="O790" s="1" t="str">
        <f>IF(OR($B790="",O$7=""),"",IF($B790="MEANS",INDEX('1-DATA'!$1:$1048576,$A789-1,COLUMN('1-DATA'!N788)),ROUND(INDEX('1-DATA'!$1:$1048576,IF(OR($B790="STD. DEVIATION",$C$1=1),$A790,$A790+1),COLUMN('1-DATA'!N788)),IF($B790="STD. DEVIATION",2,$F$1))))</f>
        <v/>
      </c>
      <c r="P790" s="1" t="str">
        <f>IF(OR($B790="",P$7=""),"",IF($B790="MEANS",INDEX('1-DATA'!$1:$1048576,$A789-1,COLUMN('1-DATA'!O788)),ROUND(INDEX('1-DATA'!$1:$1048576,IF(OR($B790="STD. DEVIATION",$C$1=1),$A790,$A790+1),COLUMN('1-DATA'!O788)),IF($B790="STD. DEVIATION",2,$F$1))))</f>
        <v/>
      </c>
      <c r="Q790" s="1" t="str">
        <f>IF(OR($B790="",Q$7=""),"",IF($B790="MEANS",INDEX('1-DATA'!$1:$1048576,$A789-1,COLUMN('1-DATA'!P788)),ROUND(INDEX('1-DATA'!$1:$1048576,IF(OR($B790="STD. DEVIATION",$C$1=1),$A790,$A790+1),COLUMN('1-DATA'!P788)),IF($B790="STD. DEVIATION",2,$F$1))))</f>
        <v/>
      </c>
      <c r="R790" s="1" t="str">
        <f>IF(OR($B790="",R$7=""),"",IF($B790="MEANS",INDEX('1-DATA'!$1:$1048576,$A789-1,COLUMN('1-DATA'!Q788)),ROUND(INDEX('1-DATA'!$1:$1048576,IF(OR($B790="STD. DEVIATION",$C$1=1),$A790,$A790+1),COLUMN('1-DATA'!Q788)),IF($B790="STD. DEVIATION",2,$F$1))))</f>
        <v/>
      </c>
      <c r="S790" s="1" t="str">
        <f>IF(OR($B790="",S$7=""),"",IF($B790="MEANS",INDEX('1-DATA'!$1:$1048576,$A789-1,COLUMN('1-DATA'!R788)),ROUND(INDEX('1-DATA'!$1:$1048576,IF(OR($B790="STD. DEVIATION",$C$1=1),$A790,$A790+1),COLUMN('1-DATA'!R788)),IF($B790="STD. DEVIATION",2,$F$1))))</f>
        <v/>
      </c>
      <c r="T790" s="1" t="str">
        <f>IF(OR($B790="",T$7=""),"",IF($B790="MEANS",INDEX('1-DATA'!$1:$1048576,$A789-1,COLUMN('1-DATA'!S788)),ROUND(INDEX('1-DATA'!$1:$1048576,IF(OR($B790="STD. DEVIATION",$C$1=1),$A790,$A790+1),COLUMN('1-DATA'!S788)),IF($B790="STD. DEVIATION",2,$F$1))))</f>
        <v/>
      </c>
      <c r="U790" s="1" t="str">
        <f>IF(OR($B790="",U$7=""),"",IF($B790="MEANS",INDEX('1-DATA'!$1:$1048576,$A789-1,COLUMN('1-DATA'!T788)),ROUND(INDEX('1-DATA'!$1:$1048576,IF(OR($B790="STD. DEVIATION",$C$1=1),$A790,$A790+1),COLUMN('1-DATA'!T788)),IF($B790="STD. DEVIATION",2,$F$1))))</f>
        <v/>
      </c>
      <c r="V790" s="1" t="str">
        <f>IF(OR($B790="",V$7=""),"",IF($B790="MEANS",INDEX('1-DATA'!$1:$1048576,$A789-1,COLUMN('1-DATA'!U788)),ROUND(INDEX('1-DATA'!$1:$1048576,IF(OR($B790="STD. DEVIATION",$C$1=1),$A790,$A790+1),COLUMN('1-DATA'!U788)),IF($B790="STD. DEVIATION",2,$F$1))))</f>
        <v/>
      </c>
      <c r="W790" s="1" t="str">
        <f>IF(OR($B790="",W$7=""),"",IF($B790="MEANS",INDEX('1-DATA'!$1:$1048576,$A789-1,COLUMN('1-DATA'!V788)),ROUND(INDEX('1-DATA'!$1:$1048576,IF(OR($B790="STD. DEVIATION",$C$1=1),$A790,$A790+1),COLUMN('1-DATA'!V788)),IF($B790="STD. DEVIATION",2,$F$1))))</f>
        <v/>
      </c>
      <c r="X790" s="1" t="str">
        <f>IF(OR($B790="",X$7=""),"",IF($B790="MEANS",INDEX('1-DATA'!$1:$1048576,$A789-1,COLUMN('1-DATA'!W788)),ROUND(INDEX('1-DATA'!$1:$1048576,IF(OR($B790="STD. DEVIATION",$C$1=1),$A790,$A790+1),COLUMN('1-DATA'!W788)),IF($B790="STD. DEVIATION",2,$F$1))))</f>
        <v/>
      </c>
      <c r="Y790" s="1" t="str">
        <f>IF(OR($B790="",Y$7=""),"",IF($B790="MEANS",INDEX('1-DATA'!$1:$1048576,$A789-1,COLUMN('1-DATA'!X788)),ROUND(INDEX('1-DATA'!$1:$1048576,IF(OR($B790="STD. DEVIATION",$C$1=1),$A790,$A790+1),COLUMN('1-DATA'!X788)),IF($B790="STD. DEVIATION",2,$F$1))))</f>
        <v/>
      </c>
      <c r="Z790" s="1" t="str">
        <f>IF(OR($B790="",Z$7=""),"",IF($B790="MEANS",INDEX('1-DATA'!$1:$1048576,$A789-1,COLUMN('1-DATA'!Y788)),ROUND(INDEX('1-DATA'!$1:$1048576,IF(OR($B790="STD. DEVIATION",$C$1=1),$A790,$A790+1),COLUMN('1-DATA'!Y788)),IF($B790="STD. DEVIATION",2,$F$1))))</f>
        <v/>
      </c>
      <c r="AA790" s="1" t="str">
        <f>IF(OR($B790="",AA$7=""),"",IF($B790="MEANS",INDEX('1-DATA'!$1:$1048576,$A789-1,COLUMN('1-DATA'!Z788)),ROUND(INDEX('1-DATA'!$1:$1048576,IF(OR($B790="STD. DEVIATION",$C$1=1),$A790,$A790+1),COLUMN('1-DATA'!Z788)),IF($B790="STD. DEVIATION",2,$F$1))))</f>
        <v/>
      </c>
      <c r="AB790" s="1" t="str">
        <f>IF(OR($B790="",AB$7=""),"",IF($B790="MEANS",INDEX('1-DATA'!$1:$1048576,$A789-1,COLUMN('1-DATA'!AA788)),ROUND(INDEX('1-DATA'!$1:$1048576,IF(OR($B790="STD. DEVIATION",$C$1=1),$A790,$A790+1),COLUMN('1-DATA'!AA788)),IF($B790="STD. DEVIATION",2,$F$1))))</f>
        <v/>
      </c>
      <c r="AC790" s="1" t="str">
        <f>IF(OR($B790="",AC$7=""),"",IF($B790="MEANS",INDEX('1-DATA'!$1:$1048576,$A789-1,COLUMN('1-DATA'!AB788)),ROUND(INDEX('1-DATA'!$1:$1048576,IF(OR($B790="STD. DEVIATION",$C$1=1),$A790,$A790+1),COLUMN('1-DATA'!AB788)),IF($B790="STD. DEVIATION",2,$F$1))))</f>
        <v/>
      </c>
      <c r="AD790" s="1" t="str">
        <f>IF(OR($B790="",AD$7=""),"",IF($B790="MEANS",INDEX('1-DATA'!$1:$1048576,$A789-1,COLUMN('1-DATA'!AC788)),ROUND(INDEX('1-DATA'!$1:$1048576,IF(OR($B790="STD. DEVIATION",$C$1=1),$A790,$A790+1),COLUMN('1-DATA'!AC788)),IF($B790="STD. DEVIATION",2,$F$1))))</f>
        <v/>
      </c>
      <c r="AE790" s="1" t="str">
        <f>IF(OR($B790="",AE$7=""),"",IF($B790="MEANS",INDEX('1-DATA'!$1:$1048576,$A789-1,COLUMN('1-DATA'!AD788)),ROUND(INDEX('1-DATA'!$1:$1048576,IF(OR($B790="STD. DEVIATION",$C$1=1),$A790,$A790+1),COLUMN('1-DATA'!AD788)),IF($B790="STD. DEVIATION",2,$F$1))))</f>
        <v/>
      </c>
      <c r="AF790" s="1" t="str">
        <f>IF(OR($B790="",AF$7=""),"",IF($B790="MEANS",INDEX('1-DATA'!$1:$1048576,$A789-1,COLUMN('1-DATA'!AE788)),ROUND(INDEX('1-DATA'!$1:$1048576,IF(OR($B790="STD. DEVIATION",$C$1=1),$A790,$A790+1),COLUMN('1-DATA'!AE788)),IF($B790="STD. DEVIATION",2,$F$1))))</f>
        <v/>
      </c>
      <c r="AG790" s="1" t="str">
        <f>IF(OR($B790="",AG$7=""),"",IF($B790="MEANS",INDEX('1-DATA'!$1:$1048576,$A789-1,COLUMN('1-DATA'!AF788)),ROUND(INDEX('1-DATA'!$1:$1048576,IF(OR($B790="STD. DEVIATION",$C$1=1),$A790,$A790+1),COLUMN('1-DATA'!AF788)),IF($B790="STD. DEVIATION",2,$F$1))))</f>
        <v/>
      </c>
      <c r="AH790" s="1" t="str">
        <f>IF(OR($B790="",AH$7=""),"",IF($B790="MEANS",INDEX('1-DATA'!$1:$1048576,$A789-1,COLUMN('1-DATA'!AG788)),ROUND(INDEX('1-DATA'!$1:$1048576,IF(OR($B790="STD. DEVIATION",$C$1=1),$A790,$A790+1),COLUMN('1-DATA'!AG788)),IF($B790="STD. DEVIATION",2,$F$1))))</f>
        <v/>
      </c>
      <c r="AI790" s="1" t="str">
        <f>IF(OR($B790="",AI$7=""),"",IF($B790="MEANS",INDEX('1-DATA'!$1:$1048576,$A789-1,COLUMN('1-DATA'!AH788)),ROUND(INDEX('1-DATA'!$1:$1048576,IF(OR($B790="STD. DEVIATION",$C$1=1),$A790,$A790+1),COLUMN('1-DATA'!AH788)),IF($B790="STD. DEVIATION",2,$F$1))))</f>
        <v/>
      </c>
      <c r="AJ790" s="1" t="str">
        <f>IF(OR($B790="",AJ$7=""),"",IF($B790="MEANS",INDEX('1-DATA'!$1:$1048576,$A789-1,COLUMN('1-DATA'!AI788)),ROUND(INDEX('1-DATA'!$1:$1048576,IF(OR($B790="STD. DEVIATION",$C$1=1),$A790,$A790+1),COLUMN('1-DATA'!AI788)),IF($B790="STD. DEVIATION",2,$F$1))))</f>
        <v/>
      </c>
      <c r="AK790" s="1" t="str">
        <f>IF(OR($B790="",AK$7=""),"",IF($B790="MEANS",INDEX('1-DATA'!$1:$1048576,$A789-1,COLUMN('1-DATA'!AJ788)),ROUND(INDEX('1-DATA'!$1:$1048576,IF(OR($B790="STD. DEVIATION",$C$1=1),$A790,$A790+1),COLUMN('1-DATA'!AJ788)),IF($B790="STD. DEVIATION",2,$F$1))))</f>
        <v/>
      </c>
      <c r="AL790" s="1" t="str">
        <f>IF(OR($B790="",AL$7=""),"",IF($B790="MEANS",INDEX('1-DATA'!$1:$1048576,$A789-1,COLUMN('1-DATA'!AK788)),ROUND(INDEX('1-DATA'!$1:$1048576,IF(OR($B790="STD. DEVIATION",$C$1=1),$A790,$A790+1),COLUMN('1-DATA'!AK788)),IF($B790="STD. DEVIATION",2,$F$1))))</f>
        <v/>
      </c>
      <c r="AM790" s="1" t="str">
        <f>IF(OR($B790="",AM$7=""),"",IF($B790="MEANS",INDEX('1-DATA'!$1:$1048576,$A789-1,COLUMN('1-DATA'!AL788)),ROUND(INDEX('1-DATA'!$1:$1048576,IF(OR($B790="STD. DEVIATION",$C$1=1),$A790,$A790+1),COLUMN('1-DATA'!AL788)),IF($B790="STD. DEVIATION",2,$F$1))))</f>
        <v/>
      </c>
      <c r="AN790" s="1" t="str">
        <f>IF(OR($B790="",AN$7=""),"",IF($B790="MEANS",INDEX('1-DATA'!$1:$1048576,$A789-1,COLUMN('1-DATA'!AM788)),ROUND(INDEX('1-DATA'!$1:$1048576,IF(OR($B790="STD. DEVIATION",$C$1=1),$A790,$A790+1),COLUMN('1-DATA'!AM788)),IF($B790="STD. DEVIATION",2,$F$1))))</f>
        <v/>
      </c>
      <c r="AO790" s="1" t="str">
        <f>IF(OR($B790="",AO$7=""),"",IF($B790="MEANS",INDEX('1-DATA'!$1:$1048576,$A789-1,COLUMN('1-DATA'!AN788)),ROUND(INDEX('1-DATA'!$1:$1048576,IF(OR($B790="STD. DEVIATION",$C$1=1),$A790,$A790+1),COLUMN('1-DATA'!AN788)),IF($B790="STD. DEVIATION",2,$F$1))))</f>
        <v/>
      </c>
      <c r="AP790" s="1" t="str">
        <f>IF(OR($B790="",AP$7=""),"",IF($B790="MEANS",INDEX('1-DATA'!$1:$1048576,$A789-1,COLUMN('1-DATA'!AO788)),ROUND(INDEX('1-DATA'!$1:$1048576,IF(OR($B790="STD. DEVIATION",$C$1=1),$A790,$A790+1),COLUMN('1-DATA'!AO788)),IF($B790="STD. DEVIATION",2,$F$1))))</f>
        <v/>
      </c>
      <c r="AQ790" s="1" t="str">
        <f>IF(OR($B790="",AQ$7=""),"",IF($B790="MEANS",INDEX('1-DATA'!$1:$1048576,$A789-1,COLUMN('1-DATA'!AP788)),ROUND(INDEX('1-DATA'!$1:$1048576,IF(OR($B790="STD. DEVIATION",$C$1=1),$A790,$A790+1),COLUMN('1-DATA'!AP788)),IF($B790="STD. DEVIATION",2,$F$1))))</f>
        <v/>
      </c>
      <c r="AR790" s="1" t="str">
        <f>IF(OR($B790="",AR$7=""),"",IF($B790="MEANS",INDEX('1-DATA'!$1:$1048576,$A789-1,COLUMN('1-DATA'!AQ788)),ROUND(INDEX('1-DATA'!$1:$1048576,IF(OR($B790="STD. DEVIATION",$C$1=1),$A790,$A790+1),COLUMN('1-DATA'!AQ788)),IF($B790="STD. DEVIATION",2,$F$1))))</f>
        <v/>
      </c>
      <c r="AS790" s="1" t="str">
        <f>IF(OR($B790="",AS$7=""),"",IF($B790="MEANS",INDEX('1-DATA'!$1:$1048576,$A789-1,COLUMN('1-DATA'!AR788)),ROUND(INDEX('1-DATA'!$1:$1048576,IF(OR($B790="STD. DEVIATION",$C$1=1),$A790,$A790+1),COLUMN('1-DATA'!AR788)),IF($B790="STD. DEVIATION",2,$F$1))))</f>
        <v/>
      </c>
      <c r="AT790" s="1" t="str">
        <f>IF(OR($B790="",AT$7=""),"",IF($B790="MEANS",INDEX('1-DATA'!$1:$1048576,$A789-1,COLUMN('1-DATA'!AS788)),ROUND(INDEX('1-DATA'!$1:$1048576,IF(OR($B790="STD. DEVIATION",$C$1=1),$A790,$A790+1),COLUMN('1-DATA'!AS788)),IF($B790="STD. DEVIATION",2,$F$1))))</f>
        <v/>
      </c>
      <c r="AU790" s="1" t="str">
        <f>IF(OR($B790="",AU$7=""),"",IF($B790="MEANS",INDEX('1-DATA'!$1:$1048576,$A789-1,COLUMN('1-DATA'!AT788)),ROUND(INDEX('1-DATA'!$1:$1048576,IF(OR($B790="STD. DEVIATION",$C$1=1),$A790,$A790+1),COLUMN('1-DATA'!AT788)),IF($B790="STD. DEVIATION",2,$F$1))))</f>
        <v/>
      </c>
      <c r="AV790" s="1" t="str">
        <f>IF(OR($B790="",AV$7=""),"",IF($B790="MEANS",INDEX('1-DATA'!$1:$1048576,$A789-1,COLUMN('1-DATA'!AU788)),ROUND(INDEX('1-DATA'!$1:$1048576,IF(OR($B790="STD. DEVIATION",$C$1=1),$A790,$A790+1),COLUMN('1-DATA'!AU788)),IF($B790="STD. DEVIATION",2,$F$1))))</f>
        <v/>
      </c>
      <c r="AW790" s="1" t="str">
        <f>IF(OR($B790="",AW$7=""),"",IF($B790="MEANS",INDEX('1-DATA'!$1:$1048576,$A789-1,COLUMN('1-DATA'!AV788)),ROUND(INDEX('1-DATA'!$1:$1048576,IF(OR($B790="STD. DEVIATION",$C$1=1),$A790,$A790+1),COLUMN('1-DATA'!AV788)),IF($B790="STD. DEVIATION",2,$F$1))))</f>
        <v/>
      </c>
      <c r="AX790" s="1" t="str">
        <f>IF(OR($B790="",AX$7=""),"",IF($B790="MEANS",INDEX('1-DATA'!$1:$1048576,$A789-1,COLUMN('1-DATA'!AW788)),ROUND(INDEX('1-DATA'!$1:$1048576,IF(OR($B790="STD. DEVIATION",$C$1=1),$A790,$A790+1),COLUMN('1-DATA'!AW788)),IF($B790="STD. DEVIATION",2,$F$1))))</f>
        <v/>
      </c>
      <c r="AY790" s="1" t="str">
        <f>IF(OR($B790="",AY$7=""),"",IF($B790="MEANS",INDEX('1-DATA'!$1:$1048576,$A789-1,COLUMN('1-DATA'!AX788)),ROUND(INDEX('1-DATA'!$1:$1048576,IF(OR($B790="STD. DEVIATION",$C$1=1),$A790,$A790+1),COLUMN('1-DATA'!AX788)),IF($B790="STD. DEVIATION",2,$F$1))))</f>
        <v/>
      </c>
      <c r="AZ790" s="1" t="str">
        <f>IF(OR($B790="",AZ$7=""),"",IF($B790="MEANS",INDEX('1-DATA'!$1:$1048576,$A789-1,COLUMN('1-DATA'!AY788)),ROUND(INDEX('1-DATA'!$1:$1048576,IF(OR($B790="STD. DEVIATION",$C$1=1),$A790,$A790+1),COLUMN('1-DATA'!AY788)),IF($B790="STD. DEVIATION",2,$F$1))))</f>
        <v/>
      </c>
    </row>
    <row r="791" spans="1:52" x14ac:dyDescent="0.25">
      <c r="A791" s="11">
        <f t="shared" si="12"/>
        <v>2359</v>
      </c>
      <c r="B791" s="1" t="str">
        <f>IF(B790="STD. DEVIATION",INDEX('1-DATA'!$1:$1048576,$A790-1,1),IF(INDEX('1-DATA'!$1:$1048576,$A791,1)&lt;&gt;"",INDEX('1-DATA'!$1:$1048576,$A791,1),""))</f>
        <v/>
      </c>
      <c r="C791" s="1" t="str">
        <f>IF(OR($B791="",C$7=""),"",IF($B791="MEANS",INDEX('1-DATA'!$1:$1048576,$A790-1,COLUMN('1-DATA'!B789)),ROUND(INDEX('1-DATA'!$1:$1048576,IF(OR($B791="STD. DEVIATION",$C$1=1),$A791,$A791+1),COLUMN('1-DATA'!B789)),IF($B791="STD. DEVIATION",2,$F$1))))</f>
        <v/>
      </c>
      <c r="D791" s="1" t="str">
        <f>IF(OR($B791="",D$7=""),"",IF($B791="MEANS",INDEX('1-DATA'!$1:$1048576,$A790-1,COLUMN('1-DATA'!C789)),ROUND(INDEX('1-DATA'!$1:$1048576,IF(OR($B791="STD. DEVIATION",$C$1=1),$A791,$A791+1),COLUMN('1-DATA'!C789)),IF($B791="STD. DEVIATION",2,$F$1))))</f>
        <v/>
      </c>
      <c r="E791" s="1" t="str">
        <f>IF(OR($B791="",E$7=""),"",IF($B791="MEANS",INDEX('1-DATA'!$1:$1048576,$A790-1,COLUMN('1-DATA'!D789)),ROUND(INDEX('1-DATA'!$1:$1048576,IF(OR($B791="STD. DEVIATION",$C$1=1),$A791,$A791+1),COLUMN('1-DATA'!D789)),IF($B791="STD. DEVIATION",2,$F$1))))</f>
        <v/>
      </c>
      <c r="F791" s="1" t="str">
        <f>IF(OR($B791="",F$7=""),"",IF($B791="MEANS",INDEX('1-DATA'!$1:$1048576,$A790-1,COLUMN('1-DATA'!E789)),ROUND(INDEX('1-DATA'!$1:$1048576,IF(OR($B791="STD. DEVIATION",$C$1=1),$A791,$A791+1),COLUMN('1-DATA'!E789)),IF($B791="STD. DEVIATION",2,$F$1))))</f>
        <v/>
      </c>
      <c r="G791" s="1" t="str">
        <f>IF(OR($B791="",G$7=""),"",IF($B791="MEANS",INDEX('1-DATA'!$1:$1048576,$A790-1,COLUMN('1-DATA'!F789)),ROUND(INDEX('1-DATA'!$1:$1048576,IF(OR($B791="STD. DEVIATION",$C$1=1),$A791,$A791+1),COLUMN('1-DATA'!F789)),IF($B791="STD. DEVIATION",2,$F$1))))</f>
        <v/>
      </c>
      <c r="H791" s="1" t="str">
        <f>IF(OR($B791="",H$7=""),"",IF($B791="MEANS",INDEX('1-DATA'!$1:$1048576,$A790-1,COLUMN('1-DATA'!G789)),ROUND(INDEX('1-DATA'!$1:$1048576,IF(OR($B791="STD. DEVIATION",$C$1=1),$A791,$A791+1),COLUMN('1-DATA'!G789)),IF($B791="STD. DEVIATION",2,$F$1))))</f>
        <v/>
      </c>
      <c r="I791" s="1" t="str">
        <f>IF(OR($B791="",I$7=""),"",IF($B791="MEANS",INDEX('1-DATA'!$1:$1048576,$A790-1,COLUMN('1-DATA'!H789)),ROUND(INDEX('1-DATA'!$1:$1048576,IF(OR($B791="STD. DEVIATION",$C$1=1),$A791,$A791+1),COLUMN('1-DATA'!H789)),IF($B791="STD. DEVIATION",2,$F$1))))</f>
        <v/>
      </c>
      <c r="J791" s="1" t="str">
        <f>IF(OR($B791="",J$7=""),"",IF($B791="MEANS",INDEX('1-DATA'!$1:$1048576,$A790-1,COLUMN('1-DATA'!I789)),ROUND(INDEX('1-DATA'!$1:$1048576,IF(OR($B791="STD. DEVIATION",$C$1=1),$A791,$A791+1),COLUMN('1-DATA'!I789)),IF($B791="STD. DEVIATION",2,$F$1))))</f>
        <v/>
      </c>
      <c r="K791" s="1" t="str">
        <f>IF(OR($B791="",K$7=""),"",IF($B791="MEANS",INDEX('1-DATA'!$1:$1048576,$A790-1,COLUMN('1-DATA'!J789)),ROUND(INDEX('1-DATA'!$1:$1048576,IF(OR($B791="STD. DEVIATION",$C$1=1),$A791,$A791+1),COLUMN('1-DATA'!J789)),IF($B791="STD. DEVIATION",2,$F$1))))</f>
        <v/>
      </c>
      <c r="L791" s="1" t="str">
        <f>IF(OR($B791="",L$7=""),"",IF($B791="MEANS",INDEX('1-DATA'!$1:$1048576,$A790-1,COLUMN('1-DATA'!K789)),ROUND(INDEX('1-DATA'!$1:$1048576,IF(OR($B791="STD. DEVIATION",$C$1=1),$A791,$A791+1),COLUMN('1-DATA'!K789)),IF($B791="STD. DEVIATION",2,$F$1))))</f>
        <v/>
      </c>
      <c r="M791" s="1" t="str">
        <f>IF(OR($B791="",M$7=""),"",IF($B791="MEANS",INDEX('1-DATA'!$1:$1048576,$A790-1,COLUMN('1-DATA'!L789)),ROUND(INDEX('1-DATA'!$1:$1048576,IF(OR($B791="STD. DEVIATION",$C$1=1),$A791,$A791+1),COLUMN('1-DATA'!L789)),IF($B791="STD. DEVIATION",2,$F$1))))</f>
        <v/>
      </c>
      <c r="N791" s="1" t="str">
        <f>IF(OR($B791="",N$7=""),"",IF($B791="MEANS",INDEX('1-DATA'!$1:$1048576,$A790-1,COLUMN('1-DATA'!M789)),ROUND(INDEX('1-DATA'!$1:$1048576,IF(OR($B791="STD. DEVIATION",$C$1=1),$A791,$A791+1),COLUMN('1-DATA'!M789)),IF($B791="STD. DEVIATION",2,$F$1))))</f>
        <v/>
      </c>
      <c r="O791" s="1" t="str">
        <f>IF(OR($B791="",O$7=""),"",IF($B791="MEANS",INDEX('1-DATA'!$1:$1048576,$A790-1,COLUMN('1-DATA'!N789)),ROUND(INDEX('1-DATA'!$1:$1048576,IF(OR($B791="STD. DEVIATION",$C$1=1),$A791,$A791+1),COLUMN('1-DATA'!N789)),IF($B791="STD. DEVIATION",2,$F$1))))</f>
        <v/>
      </c>
      <c r="P791" s="1" t="str">
        <f>IF(OR($B791="",P$7=""),"",IF($B791="MEANS",INDEX('1-DATA'!$1:$1048576,$A790-1,COLUMN('1-DATA'!O789)),ROUND(INDEX('1-DATA'!$1:$1048576,IF(OR($B791="STD. DEVIATION",$C$1=1),$A791,$A791+1),COLUMN('1-DATA'!O789)),IF($B791="STD. DEVIATION",2,$F$1))))</f>
        <v/>
      </c>
      <c r="Q791" s="1" t="str">
        <f>IF(OR($B791="",Q$7=""),"",IF($B791="MEANS",INDEX('1-DATA'!$1:$1048576,$A790-1,COLUMN('1-DATA'!P789)),ROUND(INDEX('1-DATA'!$1:$1048576,IF(OR($B791="STD. DEVIATION",$C$1=1),$A791,$A791+1),COLUMN('1-DATA'!P789)),IF($B791="STD. DEVIATION",2,$F$1))))</f>
        <v/>
      </c>
      <c r="R791" s="1" t="str">
        <f>IF(OR($B791="",R$7=""),"",IF($B791="MEANS",INDEX('1-DATA'!$1:$1048576,$A790-1,COLUMN('1-DATA'!Q789)),ROUND(INDEX('1-DATA'!$1:$1048576,IF(OR($B791="STD. DEVIATION",$C$1=1),$A791,$A791+1),COLUMN('1-DATA'!Q789)),IF($B791="STD. DEVIATION",2,$F$1))))</f>
        <v/>
      </c>
      <c r="S791" s="1" t="str">
        <f>IF(OR($B791="",S$7=""),"",IF($B791="MEANS",INDEX('1-DATA'!$1:$1048576,$A790-1,COLUMN('1-DATA'!R789)),ROUND(INDEX('1-DATA'!$1:$1048576,IF(OR($B791="STD. DEVIATION",$C$1=1),$A791,$A791+1),COLUMN('1-DATA'!R789)),IF($B791="STD. DEVIATION",2,$F$1))))</f>
        <v/>
      </c>
      <c r="T791" s="1" t="str">
        <f>IF(OR($B791="",T$7=""),"",IF($B791="MEANS",INDEX('1-DATA'!$1:$1048576,$A790-1,COLUMN('1-DATA'!S789)),ROUND(INDEX('1-DATA'!$1:$1048576,IF(OR($B791="STD. DEVIATION",$C$1=1),$A791,$A791+1),COLUMN('1-DATA'!S789)),IF($B791="STD. DEVIATION",2,$F$1))))</f>
        <v/>
      </c>
      <c r="U791" s="1" t="str">
        <f>IF(OR($B791="",U$7=""),"",IF($B791="MEANS",INDEX('1-DATA'!$1:$1048576,$A790-1,COLUMN('1-DATA'!T789)),ROUND(INDEX('1-DATA'!$1:$1048576,IF(OR($B791="STD. DEVIATION",$C$1=1),$A791,$A791+1),COLUMN('1-DATA'!T789)),IF($B791="STD. DEVIATION",2,$F$1))))</f>
        <v/>
      </c>
      <c r="V791" s="1" t="str">
        <f>IF(OR($B791="",V$7=""),"",IF($B791="MEANS",INDEX('1-DATA'!$1:$1048576,$A790-1,COLUMN('1-DATA'!U789)),ROUND(INDEX('1-DATA'!$1:$1048576,IF(OR($B791="STD. DEVIATION",$C$1=1),$A791,$A791+1),COLUMN('1-DATA'!U789)),IF($B791="STD. DEVIATION",2,$F$1))))</f>
        <v/>
      </c>
      <c r="W791" s="1" t="str">
        <f>IF(OR($B791="",W$7=""),"",IF($B791="MEANS",INDEX('1-DATA'!$1:$1048576,$A790-1,COLUMN('1-DATA'!V789)),ROUND(INDEX('1-DATA'!$1:$1048576,IF(OR($B791="STD. DEVIATION",$C$1=1),$A791,$A791+1),COLUMN('1-DATA'!V789)),IF($B791="STD. DEVIATION",2,$F$1))))</f>
        <v/>
      </c>
      <c r="X791" s="1" t="str">
        <f>IF(OR($B791="",X$7=""),"",IF($B791="MEANS",INDEX('1-DATA'!$1:$1048576,$A790-1,COLUMN('1-DATA'!W789)),ROUND(INDEX('1-DATA'!$1:$1048576,IF(OR($B791="STD. DEVIATION",$C$1=1),$A791,$A791+1),COLUMN('1-DATA'!W789)),IF($B791="STD. DEVIATION",2,$F$1))))</f>
        <v/>
      </c>
      <c r="Y791" s="1" t="str">
        <f>IF(OR($B791="",Y$7=""),"",IF($B791="MEANS",INDEX('1-DATA'!$1:$1048576,$A790-1,COLUMN('1-DATA'!X789)),ROUND(INDEX('1-DATA'!$1:$1048576,IF(OR($B791="STD. DEVIATION",$C$1=1),$A791,$A791+1),COLUMN('1-DATA'!X789)),IF($B791="STD. DEVIATION",2,$F$1))))</f>
        <v/>
      </c>
      <c r="Z791" s="1" t="str">
        <f>IF(OR($B791="",Z$7=""),"",IF($B791="MEANS",INDEX('1-DATA'!$1:$1048576,$A790-1,COLUMN('1-DATA'!Y789)),ROUND(INDEX('1-DATA'!$1:$1048576,IF(OR($B791="STD. DEVIATION",$C$1=1),$A791,$A791+1),COLUMN('1-DATA'!Y789)),IF($B791="STD. DEVIATION",2,$F$1))))</f>
        <v/>
      </c>
      <c r="AA791" s="1" t="str">
        <f>IF(OR($B791="",AA$7=""),"",IF($B791="MEANS",INDEX('1-DATA'!$1:$1048576,$A790-1,COLUMN('1-DATA'!Z789)),ROUND(INDEX('1-DATA'!$1:$1048576,IF(OR($B791="STD. DEVIATION",$C$1=1),$A791,$A791+1),COLUMN('1-DATA'!Z789)),IF($B791="STD. DEVIATION",2,$F$1))))</f>
        <v/>
      </c>
      <c r="AB791" s="1" t="str">
        <f>IF(OR($B791="",AB$7=""),"",IF($B791="MEANS",INDEX('1-DATA'!$1:$1048576,$A790-1,COLUMN('1-DATA'!AA789)),ROUND(INDEX('1-DATA'!$1:$1048576,IF(OR($B791="STD. DEVIATION",$C$1=1),$A791,$A791+1),COLUMN('1-DATA'!AA789)),IF($B791="STD. DEVIATION",2,$F$1))))</f>
        <v/>
      </c>
      <c r="AC791" s="1" t="str">
        <f>IF(OR($B791="",AC$7=""),"",IF($B791="MEANS",INDEX('1-DATA'!$1:$1048576,$A790-1,COLUMN('1-DATA'!AB789)),ROUND(INDEX('1-DATA'!$1:$1048576,IF(OR($B791="STD. DEVIATION",$C$1=1),$A791,$A791+1),COLUMN('1-DATA'!AB789)),IF($B791="STD. DEVIATION",2,$F$1))))</f>
        <v/>
      </c>
      <c r="AD791" s="1" t="str">
        <f>IF(OR($B791="",AD$7=""),"",IF($B791="MEANS",INDEX('1-DATA'!$1:$1048576,$A790-1,COLUMN('1-DATA'!AC789)),ROUND(INDEX('1-DATA'!$1:$1048576,IF(OR($B791="STD. DEVIATION",$C$1=1),$A791,$A791+1),COLUMN('1-DATA'!AC789)),IF($B791="STD. DEVIATION",2,$F$1))))</f>
        <v/>
      </c>
      <c r="AE791" s="1" t="str">
        <f>IF(OR($B791="",AE$7=""),"",IF($B791="MEANS",INDEX('1-DATA'!$1:$1048576,$A790-1,COLUMN('1-DATA'!AD789)),ROUND(INDEX('1-DATA'!$1:$1048576,IF(OR($B791="STD. DEVIATION",$C$1=1),$A791,$A791+1),COLUMN('1-DATA'!AD789)),IF($B791="STD. DEVIATION",2,$F$1))))</f>
        <v/>
      </c>
      <c r="AF791" s="1" t="str">
        <f>IF(OR($B791="",AF$7=""),"",IF($B791="MEANS",INDEX('1-DATA'!$1:$1048576,$A790-1,COLUMN('1-DATA'!AE789)),ROUND(INDEX('1-DATA'!$1:$1048576,IF(OR($B791="STD. DEVIATION",$C$1=1),$A791,$A791+1),COLUMN('1-DATA'!AE789)),IF($B791="STD. DEVIATION",2,$F$1))))</f>
        <v/>
      </c>
      <c r="AG791" s="1" t="str">
        <f>IF(OR($B791="",AG$7=""),"",IF($B791="MEANS",INDEX('1-DATA'!$1:$1048576,$A790-1,COLUMN('1-DATA'!AF789)),ROUND(INDEX('1-DATA'!$1:$1048576,IF(OR($B791="STD. DEVIATION",$C$1=1),$A791,$A791+1),COLUMN('1-DATA'!AF789)),IF($B791="STD. DEVIATION",2,$F$1))))</f>
        <v/>
      </c>
      <c r="AH791" s="1" t="str">
        <f>IF(OR($B791="",AH$7=""),"",IF($B791="MEANS",INDEX('1-DATA'!$1:$1048576,$A790-1,COLUMN('1-DATA'!AG789)),ROUND(INDEX('1-DATA'!$1:$1048576,IF(OR($B791="STD. DEVIATION",$C$1=1),$A791,$A791+1),COLUMN('1-DATA'!AG789)),IF($B791="STD. DEVIATION",2,$F$1))))</f>
        <v/>
      </c>
      <c r="AI791" s="1" t="str">
        <f>IF(OR($B791="",AI$7=""),"",IF($B791="MEANS",INDEX('1-DATA'!$1:$1048576,$A790-1,COLUMN('1-DATA'!AH789)),ROUND(INDEX('1-DATA'!$1:$1048576,IF(OR($B791="STD. DEVIATION",$C$1=1),$A791,$A791+1),COLUMN('1-DATA'!AH789)),IF($B791="STD. DEVIATION",2,$F$1))))</f>
        <v/>
      </c>
      <c r="AJ791" s="1" t="str">
        <f>IF(OR($B791="",AJ$7=""),"",IF($B791="MEANS",INDEX('1-DATA'!$1:$1048576,$A790-1,COLUMN('1-DATA'!AI789)),ROUND(INDEX('1-DATA'!$1:$1048576,IF(OR($B791="STD. DEVIATION",$C$1=1),$A791,$A791+1),COLUMN('1-DATA'!AI789)),IF($B791="STD. DEVIATION",2,$F$1))))</f>
        <v/>
      </c>
      <c r="AK791" s="1" t="str">
        <f>IF(OR($B791="",AK$7=""),"",IF($B791="MEANS",INDEX('1-DATA'!$1:$1048576,$A790-1,COLUMN('1-DATA'!AJ789)),ROUND(INDEX('1-DATA'!$1:$1048576,IF(OR($B791="STD. DEVIATION",$C$1=1),$A791,$A791+1),COLUMN('1-DATA'!AJ789)),IF($B791="STD. DEVIATION",2,$F$1))))</f>
        <v/>
      </c>
      <c r="AL791" s="1" t="str">
        <f>IF(OR($B791="",AL$7=""),"",IF($B791="MEANS",INDEX('1-DATA'!$1:$1048576,$A790-1,COLUMN('1-DATA'!AK789)),ROUND(INDEX('1-DATA'!$1:$1048576,IF(OR($B791="STD. DEVIATION",$C$1=1),$A791,$A791+1),COLUMN('1-DATA'!AK789)),IF($B791="STD. DEVIATION",2,$F$1))))</f>
        <v/>
      </c>
      <c r="AM791" s="1" t="str">
        <f>IF(OR($B791="",AM$7=""),"",IF($B791="MEANS",INDEX('1-DATA'!$1:$1048576,$A790-1,COLUMN('1-DATA'!AL789)),ROUND(INDEX('1-DATA'!$1:$1048576,IF(OR($B791="STD. DEVIATION",$C$1=1),$A791,$A791+1),COLUMN('1-DATA'!AL789)),IF($B791="STD. DEVIATION",2,$F$1))))</f>
        <v/>
      </c>
      <c r="AN791" s="1" t="str">
        <f>IF(OR($B791="",AN$7=""),"",IF($B791="MEANS",INDEX('1-DATA'!$1:$1048576,$A790-1,COLUMN('1-DATA'!AM789)),ROUND(INDEX('1-DATA'!$1:$1048576,IF(OR($B791="STD. DEVIATION",$C$1=1),$A791,$A791+1),COLUMN('1-DATA'!AM789)),IF($B791="STD. DEVIATION",2,$F$1))))</f>
        <v/>
      </c>
      <c r="AO791" s="1" t="str">
        <f>IF(OR($B791="",AO$7=""),"",IF($B791="MEANS",INDEX('1-DATA'!$1:$1048576,$A790-1,COLUMN('1-DATA'!AN789)),ROUND(INDEX('1-DATA'!$1:$1048576,IF(OR($B791="STD. DEVIATION",$C$1=1),$A791,$A791+1),COLUMN('1-DATA'!AN789)),IF($B791="STD. DEVIATION",2,$F$1))))</f>
        <v/>
      </c>
      <c r="AP791" s="1" t="str">
        <f>IF(OR($B791="",AP$7=""),"",IF($B791="MEANS",INDEX('1-DATA'!$1:$1048576,$A790-1,COLUMN('1-DATA'!AO789)),ROUND(INDEX('1-DATA'!$1:$1048576,IF(OR($B791="STD. DEVIATION",$C$1=1),$A791,$A791+1),COLUMN('1-DATA'!AO789)),IF($B791="STD. DEVIATION",2,$F$1))))</f>
        <v/>
      </c>
      <c r="AQ791" s="1" t="str">
        <f>IF(OR($B791="",AQ$7=""),"",IF($B791="MEANS",INDEX('1-DATA'!$1:$1048576,$A790-1,COLUMN('1-DATA'!AP789)),ROUND(INDEX('1-DATA'!$1:$1048576,IF(OR($B791="STD. DEVIATION",$C$1=1),$A791,$A791+1),COLUMN('1-DATA'!AP789)),IF($B791="STD. DEVIATION",2,$F$1))))</f>
        <v/>
      </c>
      <c r="AR791" s="1" t="str">
        <f>IF(OR($B791="",AR$7=""),"",IF($B791="MEANS",INDEX('1-DATA'!$1:$1048576,$A790-1,COLUMN('1-DATA'!AQ789)),ROUND(INDEX('1-DATA'!$1:$1048576,IF(OR($B791="STD. DEVIATION",$C$1=1),$A791,$A791+1),COLUMN('1-DATA'!AQ789)),IF($B791="STD. DEVIATION",2,$F$1))))</f>
        <v/>
      </c>
      <c r="AS791" s="1" t="str">
        <f>IF(OR($B791="",AS$7=""),"",IF($B791="MEANS",INDEX('1-DATA'!$1:$1048576,$A790-1,COLUMN('1-DATA'!AR789)),ROUND(INDEX('1-DATA'!$1:$1048576,IF(OR($B791="STD. DEVIATION",$C$1=1),$A791,$A791+1),COLUMN('1-DATA'!AR789)),IF($B791="STD. DEVIATION",2,$F$1))))</f>
        <v/>
      </c>
      <c r="AT791" s="1" t="str">
        <f>IF(OR($B791="",AT$7=""),"",IF($B791="MEANS",INDEX('1-DATA'!$1:$1048576,$A790-1,COLUMN('1-DATA'!AS789)),ROUND(INDEX('1-DATA'!$1:$1048576,IF(OR($B791="STD. DEVIATION",$C$1=1),$A791,$A791+1),COLUMN('1-DATA'!AS789)),IF($B791="STD. DEVIATION",2,$F$1))))</f>
        <v/>
      </c>
      <c r="AU791" s="1" t="str">
        <f>IF(OR($B791="",AU$7=""),"",IF($B791="MEANS",INDEX('1-DATA'!$1:$1048576,$A790-1,COLUMN('1-DATA'!AT789)),ROUND(INDEX('1-DATA'!$1:$1048576,IF(OR($B791="STD. DEVIATION",$C$1=1),$A791,$A791+1),COLUMN('1-DATA'!AT789)),IF($B791="STD. DEVIATION",2,$F$1))))</f>
        <v/>
      </c>
      <c r="AV791" s="1" t="str">
        <f>IF(OR($B791="",AV$7=""),"",IF($B791="MEANS",INDEX('1-DATA'!$1:$1048576,$A790-1,COLUMN('1-DATA'!AU789)),ROUND(INDEX('1-DATA'!$1:$1048576,IF(OR($B791="STD. DEVIATION",$C$1=1),$A791,$A791+1),COLUMN('1-DATA'!AU789)),IF($B791="STD. DEVIATION",2,$F$1))))</f>
        <v/>
      </c>
      <c r="AW791" s="1" t="str">
        <f>IF(OR($B791="",AW$7=""),"",IF($B791="MEANS",INDEX('1-DATA'!$1:$1048576,$A790-1,COLUMN('1-DATA'!AV789)),ROUND(INDEX('1-DATA'!$1:$1048576,IF(OR($B791="STD. DEVIATION",$C$1=1),$A791,$A791+1),COLUMN('1-DATA'!AV789)),IF($B791="STD. DEVIATION",2,$F$1))))</f>
        <v/>
      </c>
      <c r="AX791" s="1" t="str">
        <f>IF(OR($B791="",AX$7=""),"",IF($B791="MEANS",INDEX('1-DATA'!$1:$1048576,$A790-1,COLUMN('1-DATA'!AW789)),ROUND(INDEX('1-DATA'!$1:$1048576,IF(OR($B791="STD. DEVIATION",$C$1=1),$A791,$A791+1),COLUMN('1-DATA'!AW789)),IF($B791="STD. DEVIATION",2,$F$1))))</f>
        <v/>
      </c>
      <c r="AY791" s="1" t="str">
        <f>IF(OR($B791="",AY$7=""),"",IF($B791="MEANS",INDEX('1-DATA'!$1:$1048576,$A790-1,COLUMN('1-DATA'!AX789)),ROUND(INDEX('1-DATA'!$1:$1048576,IF(OR($B791="STD. DEVIATION",$C$1=1),$A791,$A791+1),COLUMN('1-DATA'!AX789)),IF($B791="STD. DEVIATION",2,$F$1))))</f>
        <v/>
      </c>
      <c r="AZ791" s="1" t="str">
        <f>IF(OR($B791="",AZ$7=""),"",IF($B791="MEANS",INDEX('1-DATA'!$1:$1048576,$A790-1,COLUMN('1-DATA'!AY789)),ROUND(INDEX('1-DATA'!$1:$1048576,IF(OR($B791="STD. DEVIATION",$C$1=1),$A791,$A791+1),COLUMN('1-DATA'!AY789)),IF($B791="STD. DEVIATION",2,$F$1))))</f>
        <v/>
      </c>
    </row>
    <row r="792" spans="1:52" x14ac:dyDescent="0.25">
      <c r="A792" s="11">
        <f t="shared" si="12"/>
        <v>2362</v>
      </c>
      <c r="B792" s="1" t="str">
        <f>IF(B791="STD. DEVIATION",INDEX('1-DATA'!$1:$1048576,$A791-1,1),IF(INDEX('1-DATA'!$1:$1048576,$A792,1)&lt;&gt;"",INDEX('1-DATA'!$1:$1048576,$A792,1),""))</f>
        <v/>
      </c>
      <c r="C792" s="1" t="str">
        <f>IF(OR($B792="",C$7=""),"",IF($B792="MEANS",INDEX('1-DATA'!$1:$1048576,$A791-1,COLUMN('1-DATA'!B790)),ROUND(INDEX('1-DATA'!$1:$1048576,IF(OR($B792="STD. DEVIATION",$C$1=1),$A792,$A792+1),COLUMN('1-DATA'!B790)),IF($B792="STD. DEVIATION",2,$F$1))))</f>
        <v/>
      </c>
      <c r="D792" s="1" t="str">
        <f>IF(OR($B792="",D$7=""),"",IF($B792="MEANS",INDEX('1-DATA'!$1:$1048576,$A791-1,COLUMN('1-DATA'!C790)),ROUND(INDEX('1-DATA'!$1:$1048576,IF(OR($B792="STD. DEVIATION",$C$1=1),$A792,$A792+1),COLUMN('1-DATA'!C790)),IF($B792="STD. DEVIATION",2,$F$1))))</f>
        <v/>
      </c>
      <c r="E792" s="1" t="str">
        <f>IF(OR($B792="",E$7=""),"",IF($B792="MEANS",INDEX('1-DATA'!$1:$1048576,$A791-1,COLUMN('1-DATA'!D790)),ROUND(INDEX('1-DATA'!$1:$1048576,IF(OR($B792="STD. DEVIATION",$C$1=1),$A792,$A792+1),COLUMN('1-DATA'!D790)),IF($B792="STD. DEVIATION",2,$F$1))))</f>
        <v/>
      </c>
      <c r="F792" s="1" t="str">
        <f>IF(OR($B792="",F$7=""),"",IF($B792="MEANS",INDEX('1-DATA'!$1:$1048576,$A791-1,COLUMN('1-DATA'!E790)),ROUND(INDEX('1-DATA'!$1:$1048576,IF(OR($B792="STD. DEVIATION",$C$1=1),$A792,$A792+1),COLUMN('1-DATA'!E790)),IF($B792="STD. DEVIATION",2,$F$1))))</f>
        <v/>
      </c>
      <c r="G792" s="1" t="str">
        <f>IF(OR($B792="",G$7=""),"",IF($B792="MEANS",INDEX('1-DATA'!$1:$1048576,$A791-1,COLUMN('1-DATA'!F790)),ROUND(INDEX('1-DATA'!$1:$1048576,IF(OR($B792="STD. DEVIATION",$C$1=1),$A792,$A792+1),COLUMN('1-DATA'!F790)),IF($B792="STD. DEVIATION",2,$F$1))))</f>
        <v/>
      </c>
      <c r="H792" s="1" t="str">
        <f>IF(OR($B792="",H$7=""),"",IF($B792="MEANS",INDEX('1-DATA'!$1:$1048576,$A791-1,COLUMN('1-DATA'!G790)),ROUND(INDEX('1-DATA'!$1:$1048576,IF(OR($B792="STD. DEVIATION",$C$1=1),$A792,$A792+1),COLUMN('1-DATA'!G790)),IF($B792="STD. DEVIATION",2,$F$1))))</f>
        <v/>
      </c>
      <c r="I792" s="1" t="str">
        <f>IF(OR($B792="",I$7=""),"",IF($B792="MEANS",INDEX('1-DATA'!$1:$1048576,$A791-1,COLUMN('1-DATA'!H790)),ROUND(INDEX('1-DATA'!$1:$1048576,IF(OR($B792="STD. DEVIATION",$C$1=1),$A792,$A792+1),COLUMN('1-DATA'!H790)),IF($B792="STD. DEVIATION",2,$F$1))))</f>
        <v/>
      </c>
      <c r="J792" s="1" t="str">
        <f>IF(OR($B792="",J$7=""),"",IF($B792="MEANS",INDEX('1-DATA'!$1:$1048576,$A791-1,COLUMN('1-DATA'!I790)),ROUND(INDEX('1-DATA'!$1:$1048576,IF(OR($B792="STD. DEVIATION",$C$1=1),$A792,$A792+1),COLUMN('1-DATA'!I790)),IF($B792="STD. DEVIATION",2,$F$1))))</f>
        <v/>
      </c>
      <c r="K792" s="1" t="str">
        <f>IF(OR($B792="",K$7=""),"",IF($B792="MEANS",INDEX('1-DATA'!$1:$1048576,$A791-1,COLUMN('1-DATA'!J790)),ROUND(INDEX('1-DATA'!$1:$1048576,IF(OR($B792="STD. DEVIATION",$C$1=1),$A792,$A792+1),COLUMN('1-DATA'!J790)),IF($B792="STD. DEVIATION",2,$F$1))))</f>
        <v/>
      </c>
      <c r="L792" s="1" t="str">
        <f>IF(OR($B792="",L$7=""),"",IF($B792="MEANS",INDEX('1-DATA'!$1:$1048576,$A791-1,COLUMN('1-DATA'!K790)),ROUND(INDEX('1-DATA'!$1:$1048576,IF(OR($B792="STD. DEVIATION",$C$1=1),$A792,$A792+1),COLUMN('1-DATA'!K790)),IF($B792="STD. DEVIATION",2,$F$1))))</f>
        <v/>
      </c>
      <c r="M792" s="1" t="str">
        <f>IF(OR($B792="",M$7=""),"",IF($B792="MEANS",INDEX('1-DATA'!$1:$1048576,$A791-1,COLUMN('1-DATA'!L790)),ROUND(INDEX('1-DATA'!$1:$1048576,IF(OR($B792="STD. DEVIATION",$C$1=1),$A792,$A792+1),COLUMN('1-DATA'!L790)),IF($B792="STD. DEVIATION",2,$F$1))))</f>
        <v/>
      </c>
      <c r="N792" s="1" t="str">
        <f>IF(OR($B792="",N$7=""),"",IF($B792="MEANS",INDEX('1-DATA'!$1:$1048576,$A791-1,COLUMN('1-DATA'!M790)),ROUND(INDEX('1-DATA'!$1:$1048576,IF(OR($B792="STD. DEVIATION",$C$1=1),$A792,$A792+1),COLUMN('1-DATA'!M790)),IF($B792="STD. DEVIATION",2,$F$1))))</f>
        <v/>
      </c>
      <c r="O792" s="1" t="str">
        <f>IF(OR($B792="",O$7=""),"",IF($B792="MEANS",INDEX('1-DATA'!$1:$1048576,$A791-1,COLUMN('1-DATA'!N790)),ROUND(INDEX('1-DATA'!$1:$1048576,IF(OR($B792="STD. DEVIATION",$C$1=1),$A792,$A792+1),COLUMN('1-DATA'!N790)),IF($B792="STD. DEVIATION",2,$F$1))))</f>
        <v/>
      </c>
      <c r="P792" s="1" t="str">
        <f>IF(OR($B792="",P$7=""),"",IF($B792="MEANS",INDEX('1-DATA'!$1:$1048576,$A791-1,COLUMN('1-DATA'!O790)),ROUND(INDEX('1-DATA'!$1:$1048576,IF(OR($B792="STD. DEVIATION",$C$1=1),$A792,$A792+1),COLUMN('1-DATA'!O790)),IF($B792="STD. DEVIATION",2,$F$1))))</f>
        <v/>
      </c>
      <c r="Q792" s="1" t="str">
        <f>IF(OR($B792="",Q$7=""),"",IF($B792="MEANS",INDEX('1-DATA'!$1:$1048576,$A791-1,COLUMN('1-DATA'!P790)),ROUND(INDEX('1-DATA'!$1:$1048576,IF(OR($B792="STD. DEVIATION",$C$1=1),$A792,$A792+1),COLUMN('1-DATA'!P790)),IF($B792="STD. DEVIATION",2,$F$1))))</f>
        <v/>
      </c>
      <c r="R792" s="1" t="str">
        <f>IF(OR($B792="",R$7=""),"",IF($B792="MEANS",INDEX('1-DATA'!$1:$1048576,$A791-1,COLUMN('1-DATA'!Q790)),ROUND(INDEX('1-DATA'!$1:$1048576,IF(OR($B792="STD. DEVIATION",$C$1=1),$A792,$A792+1),COLUMN('1-DATA'!Q790)),IF($B792="STD. DEVIATION",2,$F$1))))</f>
        <v/>
      </c>
      <c r="S792" s="1" t="str">
        <f>IF(OR($B792="",S$7=""),"",IF($B792="MEANS",INDEX('1-DATA'!$1:$1048576,$A791-1,COLUMN('1-DATA'!R790)),ROUND(INDEX('1-DATA'!$1:$1048576,IF(OR($B792="STD. DEVIATION",$C$1=1),$A792,$A792+1),COLUMN('1-DATA'!R790)),IF($B792="STD. DEVIATION",2,$F$1))))</f>
        <v/>
      </c>
      <c r="T792" s="1" t="str">
        <f>IF(OR($B792="",T$7=""),"",IF($B792="MEANS",INDEX('1-DATA'!$1:$1048576,$A791-1,COLUMN('1-DATA'!S790)),ROUND(INDEX('1-DATA'!$1:$1048576,IF(OR($B792="STD. DEVIATION",$C$1=1),$A792,$A792+1),COLUMN('1-DATA'!S790)),IF($B792="STD. DEVIATION",2,$F$1))))</f>
        <v/>
      </c>
      <c r="U792" s="1" t="str">
        <f>IF(OR($B792="",U$7=""),"",IF($B792="MEANS",INDEX('1-DATA'!$1:$1048576,$A791-1,COLUMN('1-DATA'!T790)),ROUND(INDEX('1-DATA'!$1:$1048576,IF(OR($B792="STD. DEVIATION",$C$1=1),$A792,$A792+1),COLUMN('1-DATA'!T790)),IF($B792="STD. DEVIATION",2,$F$1))))</f>
        <v/>
      </c>
      <c r="V792" s="1" t="str">
        <f>IF(OR($B792="",V$7=""),"",IF($B792="MEANS",INDEX('1-DATA'!$1:$1048576,$A791-1,COLUMN('1-DATA'!U790)),ROUND(INDEX('1-DATA'!$1:$1048576,IF(OR($B792="STD. DEVIATION",$C$1=1),$A792,$A792+1),COLUMN('1-DATA'!U790)),IF($B792="STD. DEVIATION",2,$F$1))))</f>
        <v/>
      </c>
      <c r="W792" s="1" t="str">
        <f>IF(OR($B792="",W$7=""),"",IF($B792="MEANS",INDEX('1-DATA'!$1:$1048576,$A791-1,COLUMN('1-DATA'!V790)),ROUND(INDEX('1-DATA'!$1:$1048576,IF(OR($B792="STD. DEVIATION",$C$1=1),$A792,$A792+1),COLUMN('1-DATA'!V790)),IF($B792="STD. DEVIATION",2,$F$1))))</f>
        <v/>
      </c>
      <c r="X792" s="1" t="str">
        <f>IF(OR($B792="",X$7=""),"",IF($B792="MEANS",INDEX('1-DATA'!$1:$1048576,$A791-1,COLUMN('1-DATA'!W790)),ROUND(INDEX('1-DATA'!$1:$1048576,IF(OR($B792="STD. DEVIATION",$C$1=1),$A792,$A792+1),COLUMN('1-DATA'!W790)),IF($B792="STD. DEVIATION",2,$F$1))))</f>
        <v/>
      </c>
      <c r="Y792" s="1" t="str">
        <f>IF(OR($B792="",Y$7=""),"",IF($B792="MEANS",INDEX('1-DATA'!$1:$1048576,$A791-1,COLUMN('1-DATA'!X790)),ROUND(INDEX('1-DATA'!$1:$1048576,IF(OR($B792="STD. DEVIATION",$C$1=1),$A792,$A792+1),COLUMN('1-DATA'!X790)),IF($B792="STD. DEVIATION",2,$F$1))))</f>
        <v/>
      </c>
      <c r="Z792" s="1" t="str">
        <f>IF(OR($B792="",Z$7=""),"",IF($B792="MEANS",INDEX('1-DATA'!$1:$1048576,$A791-1,COLUMN('1-DATA'!Y790)),ROUND(INDEX('1-DATA'!$1:$1048576,IF(OR($B792="STD. DEVIATION",$C$1=1),$A792,$A792+1),COLUMN('1-DATA'!Y790)),IF($B792="STD. DEVIATION",2,$F$1))))</f>
        <v/>
      </c>
      <c r="AA792" s="1" t="str">
        <f>IF(OR($B792="",AA$7=""),"",IF($B792="MEANS",INDEX('1-DATA'!$1:$1048576,$A791-1,COLUMN('1-DATA'!Z790)),ROUND(INDEX('1-DATA'!$1:$1048576,IF(OR($B792="STD. DEVIATION",$C$1=1),$A792,$A792+1),COLUMN('1-DATA'!Z790)),IF($B792="STD. DEVIATION",2,$F$1))))</f>
        <v/>
      </c>
      <c r="AB792" s="1" t="str">
        <f>IF(OR($B792="",AB$7=""),"",IF($B792="MEANS",INDEX('1-DATA'!$1:$1048576,$A791-1,COLUMN('1-DATA'!AA790)),ROUND(INDEX('1-DATA'!$1:$1048576,IF(OR($B792="STD. DEVIATION",$C$1=1),$A792,$A792+1),COLUMN('1-DATA'!AA790)),IF($B792="STD. DEVIATION",2,$F$1))))</f>
        <v/>
      </c>
      <c r="AC792" s="1" t="str">
        <f>IF(OR($B792="",AC$7=""),"",IF($B792="MEANS",INDEX('1-DATA'!$1:$1048576,$A791-1,COLUMN('1-DATA'!AB790)),ROUND(INDEX('1-DATA'!$1:$1048576,IF(OR($B792="STD. DEVIATION",$C$1=1),$A792,$A792+1),COLUMN('1-DATA'!AB790)),IF($B792="STD. DEVIATION",2,$F$1))))</f>
        <v/>
      </c>
      <c r="AD792" s="1" t="str">
        <f>IF(OR($B792="",AD$7=""),"",IF($B792="MEANS",INDEX('1-DATA'!$1:$1048576,$A791-1,COLUMN('1-DATA'!AC790)),ROUND(INDEX('1-DATA'!$1:$1048576,IF(OR($B792="STD. DEVIATION",$C$1=1),$A792,$A792+1),COLUMN('1-DATA'!AC790)),IF($B792="STD. DEVIATION",2,$F$1))))</f>
        <v/>
      </c>
      <c r="AE792" s="1" t="str">
        <f>IF(OR($B792="",AE$7=""),"",IF($B792="MEANS",INDEX('1-DATA'!$1:$1048576,$A791-1,COLUMN('1-DATA'!AD790)),ROUND(INDEX('1-DATA'!$1:$1048576,IF(OR($B792="STD. DEVIATION",$C$1=1),$A792,$A792+1),COLUMN('1-DATA'!AD790)),IF($B792="STD. DEVIATION",2,$F$1))))</f>
        <v/>
      </c>
      <c r="AF792" s="1" t="str">
        <f>IF(OR($B792="",AF$7=""),"",IF($B792="MEANS",INDEX('1-DATA'!$1:$1048576,$A791-1,COLUMN('1-DATA'!AE790)),ROUND(INDEX('1-DATA'!$1:$1048576,IF(OR($B792="STD. DEVIATION",$C$1=1),$A792,$A792+1),COLUMN('1-DATA'!AE790)),IF($B792="STD. DEVIATION",2,$F$1))))</f>
        <v/>
      </c>
      <c r="AG792" s="1" t="str">
        <f>IF(OR($B792="",AG$7=""),"",IF($B792="MEANS",INDEX('1-DATA'!$1:$1048576,$A791-1,COLUMN('1-DATA'!AF790)),ROUND(INDEX('1-DATA'!$1:$1048576,IF(OR($B792="STD. DEVIATION",$C$1=1),$A792,$A792+1),COLUMN('1-DATA'!AF790)),IF($B792="STD. DEVIATION",2,$F$1))))</f>
        <v/>
      </c>
      <c r="AH792" s="1" t="str">
        <f>IF(OR($B792="",AH$7=""),"",IF($B792="MEANS",INDEX('1-DATA'!$1:$1048576,$A791-1,COLUMN('1-DATA'!AG790)),ROUND(INDEX('1-DATA'!$1:$1048576,IF(OR($B792="STD. DEVIATION",$C$1=1),$A792,$A792+1),COLUMN('1-DATA'!AG790)),IF($B792="STD. DEVIATION",2,$F$1))))</f>
        <v/>
      </c>
      <c r="AI792" s="1" t="str">
        <f>IF(OR($B792="",AI$7=""),"",IF($B792="MEANS",INDEX('1-DATA'!$1:$1048576,$A791-1,COLUMN('1-DATA'!AH790)),ROUND(INDEX('1-DATA'!$1:$1048576,IF(OR($B792="STD. DEVIATION",$C$1=1),$A792,$A792+1),COLUMN('1-DATA'!AH790)),IF($B792="STD. DEVIATION",2,$F$1))))</f>
        <v/>
      </c>
      <c r="AJ792" s="1" t="str">
        <f>IF(OR($B792="",AJ$7=""),"",IF($B792="MEANS",INDEX('1-DATA'!$1:$1048576,$A791-1,COLUMN('1-DATA'!AI790)),ROUND(INDEX('1-DATA'!$1:$1048576,IF(OR($B792="STD. DEVIATION",$C$1=1),$A792,$A792+1),COLUMN('1-DATA'!AI790)),IF($B792="STD. DEVIATION",2,$F$1))))</f>
        <v/>
      </c>
      <c r="AK792" s="1" t="str">
        <f>IF(OR($B792="",AK$7=""),"",IF($B792="MEANS",INDEX('1-DATA'!$1:$1048576,$A791-1,COLUMN('1-DATA'!AJ790)),ROUND(INDEX('1-DATA'!$1:$1048576,IF(OR($B792="STD. DEVIATION",$C$1=1),$A792,$A792+1),COLUMN('1-DATA'!AJ790)),IF($B792="STD. DEVIATION",2,$F$1))))</f>
        <v/>
      </c>
      <c r="AL792" s="1" t="str">
        <f>IF(OR($B792="",AL$7=""),"",IF($B792="MEANS",INDEX('1-DATA'!$1:$1048576,$A791-1,COLUMN('1-DATA'!AK790)),ROUND(INDEX('1-DATA'!$1:$1048576,IF(OR($B792="STD. DEVIATION",$C$1=1),$A792,$A792+1),COLUMN('1-DATA'!AK790)),IF($B792="STD. DEVIATION",2,$F$1))))</f>
        <v/>
      </c>
      <c r="AM792" s="1" t="str">
        <f>IF(OR($B792="",AM$7=""),"",IF($B792="MEANS",INDEX('1-DATA'!$1:$1048576,$A791-1,COLUMN('1-DATA'!AL790)),ROUND(INDEX('1-DATA'!$1:$1048576,IF(OR($B792="STD. DEVIATION",$C$1=1),$A792,$A792+1),COLUMN('1-DATA'!AL790)),IF($B792="STD. DEVIATION",2,$F$1))))</f>
        <v/>
      </c>
      <c r="AN792" s="1" t="str">
        <f>IF(OR($B792="",AN$7=""),"",IF($B792="MEANS",INDEX('1-DATA'!$1:$1048576,$A791-1,COLUMN('1-DATA'!AM790)),ROUND(INDEX('1-DATA'!$1:$1048576,IF(OR($B792="STD. DEVIATION",$C$1=1),$A792,$A792+1),COLUMN('1-DATA'!AM790)),IF($B792="STD. DEVIATION",2,$F$1))))</f>
        <v/>
      </c>
      <c r="AO792" s="1" t="str">
        <f>IF(OR($B792="",AO$7=""),"",IF($B792="MEANS",INDEX('1-DATA'!$1:$1048576,$A791-1,COLUMN('1-DATA'!AN790)),ROUND(INDEX('1-DATA'!$1:$1048576,IF(OR($B792="STD. DEVIATION",$C$1=1),$A792,$A792+1),COLUMN('1-DATA'!AN790)),IF($B792="STD. DEVIATION",2,$F$1))))</f>
        <v/>
      </c>
      <c r="AP792" s="1" t="str">
        <f>IF(OR($B792="",AP$7=""),"",IF($B792="MEANS",INDEX('1-DATA'!$1:$1048576,$A791-1,COLUMN('1-DATA'!AO790)),ROUND(INDEX('1-DATA'!$1:$1048576,IF(OR($B792="STD. DEVIATION",$C$1=1),$A792,$A792+1),COLUMN('1-DATA'!AO790)),IF($B792="STD. DEVIATION",2,$F$1))))</f>
        <v/>
      </c>
      <c r="AQ792" s="1" t="str">
        <f>IF(OR($B792="",AQ$7=""),"",IF($B792="MEANS",INDEX('1-DATA'!$1:$1048576,$A791-1,COLUMN('1-DATA'!AP790)),ROUND(INDEX('1-DATA'!$1:$1048576,IF(OR($B792="STD. DEVIATION",$C$1=1),$A792,$A792+1),COLUMN('1-DATA'!AP790)),IF($B792="STD. DEVIATION",2,$F$1))))</f>
        <v/>
      </c>
      <c r="AR792" s="1" t="str">
        <f>IF(OR($B792="",AR$7=""),"",IF($B792="MEANS",INDEX('1-DATA'!$1:$1048576,$A791-1,COLUMN('1-DATA'!AQ790)),ROUND(INDEX('1-DATA'!$1:$1048576,IF(OR($B792="STD. DEVIATION",$C$1=1),$A792,$A792+1),COLUMN('1-DATA'!AQ790)),IF($B792="STD. DEVIATION",2,$F$1))))</f>
        <v/>
      </c>
      <c r="AS792" s="1" t="str">
        <f>IF(OR($B792="",AS$7=""),"",IF($B792="MEANS",INDEX('1-DATA'!$1:$1048576,$A791-1,COLUMN('1-DATA'!AR790)),ROUND(INDEX('1-DATA'!$1:$1048576,IF(OR($B792="STD. DEVIATION",$C$1=1),$A792,$A792+1),COLUMN('1-DATA'!AR790)),IF($B792="STD. DEVIATION",2,$F$1))))</f>
        <v/>
      </c>
      <c r="AT792" s="1" t="str">
        <f>IF(OR($B792="",AT$7=""),"",IF($B792="MEANS",INDEX('1-DATA'!$1:$1048576,$A791-1,COLUMN('1-DATA'!AS790)),ROUND(INDEX('1-DATA'!$1:$1048576,IF(OR($B792="STD. DEVIATION",$C$1=1),$A792,$A792+1),COLUMN('1-DATA'!AS790)),IF($B792="STD. DEVIATION",2,$F$1))))</f>
        <v/>
      </c>
      <c r="AU792" s="1" t="str">
        <f>IF(OR($B792="",AU$7=""),"",IF($B792="MEANS",INDEX('1-DATA'!$1:$1048576,$A791-1,COLUMN('1-DATA'!AT790)),ROUND(INDEX('1-DATA'!$1:$1048576,IF(OR($B792="STD. DEVIATION",$C$1=1),$A792,$A792+1),COLUMN('1-DATA'!AT790)),IF($B792="STD. DEVIATION",2,$F$1))))</f>
        <v/>
      </c>
      <c r="AV792" s="1" t="str">
        <f>IF(OR($B792="",AV$7=""),"",IF($B792="MEANS",INDEX('1-DATA'!$1:$1048576,$A791-1,COLUMN('1-DATA'!AU790)),ROUND(INDEX('1-DATA'!$1:$1048576,IF(OR($B792="STD. DEVIATION",$C$1=1),$A792,$A792+1),COLUMN('1-DATA'!AU790)),IF($B792="STD. DEVIATION",2,$F$1))))</f>
        <v/>
      </c>
      <c r="AW792" s="1" t="str">
        <f>IF(OR($B792="",AW$7=""),"",IF($B792="MEANS",INDEX('1-DATA'!$1:$1048576,$A791-1,COLUMN('1-DATA'!AV790)),ROUND(INDEX('1-DATA'!$1:$1048576,IF(OR($B792="STD. DEVIATION",$C$1=1),$A792,$A792+1),COLUMN('1-DATA'!AV790)),IF($B792="STD. DEVIATION",2,$F$1))))</f>
        <v/>
      </c>
      <c r="AX792" s="1" t="str">
        <f>IF(OR($B792="",AX$7=""),"",IF($B792="MEANS",INDEX('1-DATA'!$1:$1048576,$A791-1,COLUMN('1-DATA'!AW790)),ROUND(INDEX('1-DATA'!$1:$1048576,IF(OR($B792="STD. DEVIATION",$C$1=1),$A792,$A792+1),COLUMN('1-DATA'!AW790)),IF($B792="STD. DEVIATION",2,$F$1))))</f>
        <v/>
      </c>
      <c r="AY792" s="1" t="str">
        <f>IF(OR($B792="",AY$7=""),"",IF($B792="MEANS",INDEX('1-DATA'!$1:$1048576,$A791-1,COLUMN('1-DATA'!AX790)),ROUND(INDEX('1-DATA'!$1:$1048576,IF(OR($B792="STD. DEVIATION",$C$1=1),$A792,$A792+1),COLUMN('1-DATA'!AX790)),IF($B792="STD. DEVIATION",2,$F$1))))</f>
        <v/>
      </c>
      <c r="AZ792" s="1" t="str">
        <f>IF(OR($B792="",AZ$7=""),"",IF($B792="MEANS",INDEX('1-DATA'!$1:$1048576,$A791-1,COLUMN('1-DATA'!AY790)),ROUND(INDEX('1-DATA'!$1:$1048576,IF(OR($B792="STD. DEVIATION",$C$1=1),$A792,$A792+1),COLUMN('1-DATA'!AY790)),IF($B792="STD. DEVIATION",2,$F$1))))</f>
        <v/>
      </c>
    </row>
    <row r="793" spans="1:52" x14ac:dyDescent="0.25">
      <c r="A793" s="11">
        <f t="shared" si="12"/>
        <v>2365</v>
      </c>
      <c r="B793" s="1" t="str">
        <f>IF(B792="STD. DEVIATION",INDEX('1-DATA'!$1:$1048576,$A792-1,1),IF(INDEX('1-DATA'!$1:$1048576,$A793,1)&lt;&gt;"",INDEX('1-DATA'!$1:$1048576,$A793,1),""))</f>
        <v/>
      </c>
      <c r="C793" s="1" t="str">
        <f>IF(OR($B793="",C$7=""),"",IF($B793="MEANS",INDEX('1-DATA'!$1:$1048576,$A792-1,COLUMN('1-DATA'!B791)),ROUND(INDEX('1-DATA'!$1:$1048576,IF(OR($B793="STD. DEVIATION",$C$1=1),$A793,$A793+1),COLUMN('1-DATA'!B791)),IF($B793="STD. DEVIATION",2,$F$1))))</f>
        <v/>
      </c>
      <c r="D793" s="1" t="str">
        <f>IF(OR($B793="",D$7=""),"",IF($B793="MEANS",INDEX('1-DATA'!$1:$1048576,$A792-1,COLUMN('1-DATA'!C791)),ROUND(INDEX('1-DATA'!$1:$1048576,IF(OR($B793="STD. DEVIATION",$C$1=1),$A793,$A793+1),COLUMN('1-DATA'!C791)),IF($B793="STD. DEVIATION",2,$F$1))))</f>
        <v/>
      </c>
      <c r="E793" s="1" t="str">
        <f>IF(OR($B793="",E$7=""),"",IF($B793="MEANS",INDEX('1-DATA'!$1:$1048576,$A792-1,COLUMN('1-DATA'!D791)),ROUND(INDEX('1-DATA'!$1:$1048576,IF(OR($B793="STD. DEVIATION",$C$1=1),$A793,$A793+1),COLUMN('1-DATA'!D791)),IF($B793="STD. DEVIATION",2,$F$1))))</f>
        <v/>
      </c>
      <c r="F793" s="1" t="str">
        <f>IF(OR($B793="",F$7=""),"",IF($B793="MEANS",INDEX('1-DATA'!$1:$1048576,$A792-1,COLUMN('1-DATA'!E791)),ROUND(INDEX('1-DATA'!$1:$1048576,IF(OR($B793="STD. DEVIATION",$C$1=1),$A793,$A793+1),COLUMN('1-DATA'!E791)),IF($B793="STD. DEVIATION",2,$F$1))))</f>
        <v/>
      </c>
      <c r="G793" s="1" t="str">
        <f>IF(OR($B793="",G$7=""),"",IF($B793="MEANS",INDEX('1-DATA'!$1:$1048576,$A792-1,COLUMN('1-DATA'!F791)),ROUND(INDEX('1-DATA'!$1:$1048576,IF(OR($B793="STD. DEVIATION",$C$1=1),$A793,$A793+1),COLUMN('1-DATA'!F791)),IF($B793="STD. DEVIATION",2,$F$1))))</f>
        <v/>
      </c>
      <c r="H793" s="1" t="str">
        <f>IF(OR($B793="",H$7=""),"",IF($B793="MEANS",INDEX('1-DATA'!$1:$1048576,$A792-1,COLUMN('1-DATA'!G791)),ROUND(INDEX('1-DATA'!$1:$1048576,IF(OR($B793="STD. DEVIATION",$C$1=1),$A793,$A793+1),COLUMN('1-DATA'!G791)),IF($B793="STD. DEVIATION",2,$F$1))))</f>
        <v/>
      </c>
      <c r="I793" s="1" t="str">
        <f>IF(OR($B793="",I$7=""),"",IF($B793="MEANS",INDEX('1-DATA'!$1:$1048576,$A792-1,COLUMN('1-DATA'!H791)),ROUND(INDEX('1-DATA'!$1:$1048576,IF(OR($B793="STD. DEVIATION",$C$1=1),$A793,$A793+1),COLUMN('1-DATA'!H791)),IF($B793="STD. DEVIATION",2,$F$1))))</f>
        <v/>
      </c>
      <c r="J793" s="1" t="str">
        <f>IF(OR($B793="",J$7=""),"",IF($B793="MEANS",INDEX('1-DATA'!$1:$1048576,$A792-1,COLUMN('1-DATA'!I791)),ROUND(INDEX('1-DATA'!$1:$1048576,IF(OR($B793="STD. DEVIATION",$C$1=1),$A793,$A793+1),COLUMN('1-DATA'!I791)),IF($B793="STD. DEVIATION",2,$F$1))))</f>
        <v/>
      </c>
      <c r="K793" s="1" t="str">
        <f>IF(OR($B793="",K$7=""),"",IF($B793="MEANS",INDEX('1-DATA'!$1:$1048576,$A792-1,COLUMN('1-DATA'!J791)),ROUND(INDEX('1-DATA'!$1:$1048576,IF(OR($B793="STD. DEVIATION",$C$1=1),$A793,$A793+1),COLUMN('1-DATA'!J791)),IF($B793="STD. DEVIATION",2,$F$1))))</f>
        <v/>
      </c>
      <c r="L793" s="1" t="str">
        <f>IF(OR($B793="",L$7=""),"",IF($B793="MEANS",INDEX('1-DATA'!$1:$1048576,$A792-1,COLUMN('1-DATA'!K791)),ROUND(INDEX('1-DATA'!$1:$1048576,IF(OR($B793="STD. DEVIATION",$C$1=1),$A793,$A793+1),COLUMN('1-DATA'!K791)),IF($B793="STD. DEVIATION",2,$F$1))))</f>
        <v/>
      </c>
      <c r="M793" s="1" t="str">
        <f>IF(OR($B793="",M$7=""),"",IF($B793="MEANS",INDEX('1-DATA'!$1:$1048576,$A792-1,COLUMN('1-DATA'!L791)),ROUND(INDEX('1-DATA'!$1:$1048576,IF(OR($B793="STD. DEVIATION",$C$1=1),$A793,$A793+1),COLUMN('1-DATA'!L791)),IF($B793="STD. DEVIATION",2,$F$1))))</f>
        <v/>
      </c>
      <c r="N793" s="1" t="str">
        <f>IF(OR($B793="",N$7=""),"",IF($B793="MEANS",INDEX('1-DATA'!$1:$1048576,$A792-1,COLUMN('1-DATA'!M791)),ROUND(INDEX('1-DATA'!$1:$1048576,IF(OR($B793="STD. DEVIATION",$C$1=1),$A793,$A793+1),COLUMN('1-DATA'!M791)),IF($B793="STD. DEVIATION",2,$F$1))))</f>
        <v/>
      </c>
      <c r="O793" s="1" t="str">
        <f>IF(OR($B793="",O$7=""),"",IF($B793="MEANS",INDEX('1-DATA'!$1:$1048576,$A792-1,COLUMN('1-DATA'!N791)),ROUND(INDEX('1-DATA'!$1:$1048576,IF(OR($B793="STD. DEVIATION",$C$1=1),$A793,$A793+1),COLUMN('1-DATA'!N791)),IF($B793="STD. DEVIATION",2,$F$1))))</f>
        <v/>
      </c>
      <c r="P793" s="1" t="str">
        <f>IF(OR($B793="",P$7=""),"",IF($B793="MEANS",INDEX('1-DATA'!$1:$1048576,$A792-1,COLUMN('1-DATA'!O791)),ROUND(INDEX('1-DATA'!$1:$1048576,IF(OR($B793="STD. DEVIATION",$C$1=1),$A793,$A793+1),COLUMN('1-DATA'!O791)),IF($B793="STD. DEVIATION",2,$F$1))))</f>
        <v/>
      </c>
      <c r="Q793" s="1" t="str">
        <f>IF(OR($B793="",Q$7=""),"",IF($B793="MEANS",INDEX('1-DATA'!$1:$1048576,$A792-1,COLUMN('1-DATA'!P791)),ROUND(INDEX('1-DATA'!$1:$1048576,IF(OR($B793="STD. DEVIATION",$C$1=1),$A793,$A793+1),COLUMN('1-DATA'!P791)),IF($B793="STD. DEVIATION",2,$F$1))))</f>
        <v/>
      </c>
      <c r="R793" s="1" t="str">
        <f>IF(OR($B793="",R$7=""),"",IF($B793="MEANS",INDEX('1-DATA'!$1:$1048576,$A792-1,COLUMN('1-DATA'!Q791)),ROUND(INDEX('1-DATA'!$1:$1048576,IF(OR($B793="STD. DEVIATION",$C$1=1),$A793,$A793+1),COLUMN('1-DATA'!Q791)),IF($B793="STD. DEVIATION",2,$F$1))))</f>
        <v/>
      </c>
      <c r="S793" s="1" t="str">
        <f>IF(OR($B793="",S$7=""),"",IF($B793="MEANS",INDEX('1-DATA'!$1:$1048576,$A792-1,COLUMN('1-DATA'!R791)),ROUND(INDEX('1-DATA'!$1:$1048576,IF(OR($B793="STD. DEVIATION",$C$1=1),$A793,$A793+1),COLUMN('1-DATA'!R791)),IF($B793="STD. DEVIATION",2,$F$1))))</f>
        <v/>
      </c>
      <c r="T793" s="1" t="str">
        <f>IF(OR($B793="",T$7=""),"",IF($B793="MEANS",INDEX('1-DATA'!$1:$1048576,$A792-1,COLUMN('1-DATA'!S791)),ROUND(INDEX('1-DATA'!$1:$1048576,IF(OR($B793="STD. DEVIATION",$C$1=1),$A793,$A793+1),COLUMN('1-DATA'!S791)),IF($B793="STD. DEVIATION",2,$F$1))))</f>
        <v/>
      </c>
      <c r="U793" s="1" t="str">
        <f>IF(OR($B793="",U$7=""),"",IF($B793="MEANS",INDEX('1-DATA'!$1:$1048576,$A792-1,COLUMN('1-DATA'!T791)),ROUND(INDEX('1-DATA'!$1:$1048576,IF(OR($B793="STD. DEVIATION",$C$1=1),$A793,$A793+1),COLUMN('1-DATA'!T791)),IF($B793="STD. DEVIATION",2,$F$1))))</f>
        <v/>
      </c>
      <c r="V793" s="1" t="str">
        <f>IF(OR($B793="",V$7=""),"",IF($B793="MEANS",INDEX('1-DATA'!$1:$1048576,$A792-1,COLUMN('1-DATA'!U791)),ROUND(INDEX('1-DATA'!$1:$1048576,IF(OR($B793="STD. DEVIATION",$C$1=1),$A793,$A793+1),COLUMN('1-DATA'!U791)),IF($B793="STD. DEVIATION",2,$F$1))))</f>
        <v/>
      </c>
      <c r="W793" s="1" t="str">
        <f>IF(OR($B793="",W$7=""),"",IF($B793="MEANS",INDEX('1-DATA'!$1:$1048576,$A792-1,COLUMN('1-DATA'!V791)),ROUND(INDEX('1-DATA'!$1:$1048576,IF(OR($B793="STD. DEVIATION",$C$1=1),$A793,$A793+1),COLUMN('1-DATA'!V791)),IF($B793="STD. DEVIATION",2,$F$1))))</f>
        <v/>
      </c>
      <c r="X793" s="1" t="str">
        <f>IF(OR($B793="",X$7=""),"",IF($B793="MEANS",INDEX('1-DATA'!$1:$1048576,$A792-1,COLUMN('1-DATA'!W791)),ROUND(INDEX('1-DATA'!$1:$1048576,IF(OR($B793="STD. DEVIATION",$C$1=1),$A793,$A793+1),COLUMN('1-DATA'!W791)),IF($B793="STD. DEVIATION",2,$F$1))))</f>
        <v/>
      </c>
      <c r="Y793" s="1" t="str">
        <f>IF(OR($B793="",Y$7=""),"",IF($B793="MEANS",INDEX('1-DATA'!$1:$1048576,$A792-1,COLUMN('1-DATA'!X791)),ROUND(INDEX('1-DATA'!$1:$1048576,IF(OR($B793="STD. DEVIATION",$C$1=1),$A793,$A793+1),COLUMN('1-DATA'!X791)),IF($B793="STD. DEVIATION",2,$F$1))))</f>
        <v/>
      </c>
      <c r="Z793" s="1" t="str">
        <f>IF(OR($B793="",Z$7=""),"",IF($B793="MEANS",INDEX('1-DATA'!$1:$1048576,$A792-1,COLUMN('1-DATA'!Y791)),ROUND(INDEX('1-DATA'!$1:$1048576,IF(OR($B793="STD. DEVIATION",$C$1=1),$A793,$A793+1),COLUMN('1-DATA'!Y791)),IF($B793="STD. DEVIATION",2,$F$1))))</f>
        <v/>
      </c>
      <c r="AA793" s="1" t="str">
        <f>IF(OR($B793="",AA$7=""),"",IF($B793="MEANS",INDEX('1-DATA'!$1:$1048576,$A792-1,COLUMN('1-DATA'!Z791)),ROUND(INDEX('1-DATA'!$1:$1048576,IF(OR($B793="STD. DEVIATION",$C$1=1),$A793,$A793+1),COLUMN('1-DATA'!Z791)),IF($B793="STD. DEVIATION",2,$F$1))))</f>
        <v/>
      </c>
      <c r="AB793" s="1" t="str">
        <f>IF(OR($B793="",AB$7=""),"",IF($B793="MEANS",INDEX('1-DATA'!$1:$1048576,$A792-1,COLUMN('1-DATA'!AA791)),ROUND(INDEX('1-DATA'!$1:$1048576,IF(OR($B793="STD. DEVIATION",$C$1=1),$A793,$A793+1),COLUMN('1-DATA'!AA791)),IF($B793="STD. DEVIATION",2,$F$1))))</f>
        <v/>
      </c>
      <c r="AC793" s="1" t="str">
        <f>IF(OR($B793="",AC$7=""),"",IF($B793="MEANS",INDEX('1-DATA'!$1:$1048576,$A792-1,COLUMN('1-DATA'!AB791)),ROUND(INDEX('1-DATA'!$1:$1048576,IF(OR($B793="STD. DEVIATION",$C$1=1),$A793,$A793+1),COLUMN('1-DATA'!AB791)),IF($B793="STD. DEVIATION",2,$F$1))))</f>
        <v/>
      </c>
      <c r="AD793" s="1" t="str">
        <f>IF(OR($B793="",AD$7=""),"",IF($B793="MEANS",INDEX('1-DATA'!$1:$1048576,$A792-1,COLUMN('1-DATA'!AC791)),ROUND(INDEX('1-DATA'!$1:$1048576,IF(OR($B793="STD. DEVIATION",$C$1=1),$A793,$A793+1),COLUMN('1-DATA'!AC791)),IF($B793="STD. DEVIATION",2,$F$1))))</f>
        <v/>
      </c>
      <c r="AE793" s="1" t="str">
        <f>IF(OR($B793="",AE$7=""),"",IF($B793="MEANS",INDEX('1-DATA'!$1:$1048576,$A792-1,COLUMN('1-DATA'!AD791)),ROUND(INDEX('1-DATA'!$1:$1048576,IF(OR($B793="STD. DEVIATION",$C$1=1),$A793,$A793+1),COLUMN('1-DATA'!AD791)),IF($B793="STD. DEVIATION",2,$F$1))))</f>
        <v/>
      </c>
      <c r="AF793" s="1" t="str">
        <f>IF(OR($B793="",AF$7=""),"",IF($B793="MEANS",INDEX('1-DATA'!$1:$1048576,$A792-1,COLUMN('1-DATA'!AE791)),ROUND(INDEX('1-DATA'!$1:$1048576,IF(OR($B793="STD. DEVIATION",$C$1=1),$A793,$A793+1),COLUMN('1-DATA'!AE791)),IF($B793="STD. DEVIATION",2,$F$1))))</f>
        <v/>
      </c>
      <c r="AG793" s="1" t="str">
        <f>IF(OR($B793="",AG$7=""),"",IF($B793="MEANS",INDEX('1-DATA'!$1:$1048576,$A792-1,COLUMN('1-DATA'!AF791)),ROUND(INDEX('1-DATA'!$1:$1048576,IF(OR($B793="STD. DEVIATION",$C$1=1),$A793,$A793+1),COLUMN('1-DATA'!AF791)),IF($B793="STD. DEVIATION",2,$F$1))))</f>
        <v/>
      </c>
      <c r="AH793" s="1" t="str">
        <f>IF(OR($B793="",AH$7=""),"",IF($B793="MEANS",INDEX('1-DATA'!$1:$1048576,$A792-1,COLUMN('1-DATA'!AG791)),ROUND(INDEX('1-DATA'!$1:$1048576,IF(OR($B793="STD. DEVIATION",$C$1=1),$A793,$A793+1),COLUMN('1-DATA'!AG791)),IF($B793="STD. DEVIATION",2,$F$1))))</f>
        <v/>
      </c>
      <c r="AI793" s="1" t="str">
        <f>IF(OR($B793="",AI$7=""),"",IF($B793="MEANS",INDEX('1-DATA'!$1:$1048576,$A792-1,COLUMN('1-DATA'!AH791)),ROUND(INDEX('1-DATA'!$1:$1048576,IF(OR($B793="STD. DEVIATION",$C$1=1),$A793,$A793+1),COLUMN('1-DATA'!AH791)),IF($B793="STD. DEVIATION",2,$F$1))))</f>
        <v/>
      </c>
      <c r="AJ793" s="1" t="str">
        <f>IF(OR($B793="",AJ$7=""),"",IF($B793="MEANS",INDEX('1-DATA'!$1:$1048576,$A792-1,COLUMN('1-DATA'!AI791)),ROUND(INDEX('1-DATA'!$1:$1048576,IF(OR($B793="STD. DEVIATION",$C$1=1),$A793,$A793+1),COLUMN('1-DATA'!AI791)),IF($B793="STD. DEVIATION",2,$F$1))))</f>
        <v/>
      </c>
      <c r="AK793" s="1" t="str">
        <f>IF(OR($B793="",AK$7=""),"",IF($B793="MEANS",INDEX('1-DATA'!$1:$1048576,$A792-1,COLUMN('1-DATA'!AJ791)),ROUND(INDEX('1-DATA'!$1:$1048576,IF(OR($B793="STD. DEVIATION",$C$1=1),$A793,$A793+1),COLUMN('1-DATA'!AJ791)),IF($B793="STD. DEVIATION",2,$F$1))))</f>
        <v/>
      </c>
      <c r="AL793" s="1" t="str">
        <f>IF(OR($B793="",AL$7=""),"",IF($B793="MEANS",INDEX('1-DATA'!$1:$1048576,$A792-1,COLUMN('1-DATA'!AK791)),ROUND(INDEX('1-DATA'!$1:$1048576,IF(OR($B793="STD. DEVIATION",$C$1=1),$A793,$A793+1),COLUMN('1-DATA'!AK791)),IF($B793="STD. DEVIATION",2,$F$1))))</f>
        <v/>
      </c>
      <c r="AM793" s="1" t="str">
        <f>IF(OR($B793="",AM$7=""),"",IF($B793="MEANS",INDEX('1-DATA'!$1:$1048576,$A792-1,COLUMN('1-DATA'!AL791)),ROUND(INDEX('1-DATA'!$1:$1048576,IF(OR($B793="STD. DEVIATION",$C$1=1),$A793,$A793+1),COLUMN('1-DATA'!AL791)),IF($B793="STD. DEVIATION",2,$F$1))))</f>
        <v/>
      </c>
      <c r="AN793" s="1" t="str">
        <f>IF(OR($B793="",AN$7=""),"",IF($B793="MEANS",INDEX('1-DATA'!$1:$1048576,$A792-1,COLUMN('1-DATA'!AM791)),ROUND(INDEX('1-DATA'!$1:$1048576,IF(OR($B793="STD. DEVIATION",$C$1=1),$A793,$A793+1),COLUMN('1-DATA'!AM791)),IF($B793="STD. DEVIATION",2,$F$1))))</f>
        <v/>
      </c>
      <c r="AO793" s="1" t="str">
        <f>IF(OR($B793="",AO$7=""),"",IF($B793="MEANS",INDEX('1-DATA'!$1:$1048576,$A792-1,COLUMN('1-DATA'!AN791)),ROUND(INDEX('1-DATA'!$1:$1048576,IF(OR($B793="STD. DEVIATION",$C$1=1),$A793,$A793+1),COLUMN('1-DATA'!AN791)),IF($B793="STD. DEVIATION",2,$F$1))))</f>
        <v/>
      </c>
      <c r="AP793" s="1" t="str">
        <f>IF(OR($B793="",AP$7=""),"",IF($B793="MEANS",INDEX('1-DATA'!$1:$1048576,$A792-1,COLUMN('1-DATA'!AO791)),ROUND(INDEX('1-DATA'!$1:$1048576,IF(OR($B793="STD. DEVIATION",$C$1=1),$A793,$A793+1),COLUMN('1-DATA'!AO791)),IF($B793="STD. DEVIATION",2,$F$1))))</f>
        <v/>
      </c>
      <c r="AQ793" s="1" t="str">
        <f>IF(OR($B793="",AQ$7=""),"",IF($B793="MEANS",INDEX('1-DATA'!$1:$1048576,$A792-1,COLUMN('1-DATA'!AP791)),ROUND(INDEX('1-DATA'!$1:$1048576,IF(OR($B793="STD. DEVIATION",$C$1=1),$A793,$A793+1),COLUMN('1-DATA'!AP791)),IF($B793="STD. DEVIATION",2,$F$1))))</f>
        <v/>
      </c>
      <c r="AR793" s="1" t="str">
        <f>IF(OR($B793="",AR$7=""),"",IF($B793="MEANS",INDEX('1-DATA'!$1:$1048576,$A792-1,COLUMN('1-DATA'!AQ791)),ROUND(INDEX('1-DATA'!$1:$1048576,IF(OR($B793="STD. DEVIATION",$C$1=1),$A793,$A793+1),COLUMN('1-DATA'!AQ791)),IF($B793="STD. DEVIATION",2,$F$1))))</f>
        <v/>
      </c>
      <c r="AS793" s="1" t="str">
        <f>IF(OR($B793="",AS$7=""),"",IF($B793="MEANS",INDEX('1-DATA'!$1:$1048576,$A792-1,COLUMN('1-DATA'!AR791)),ROUND(INDEX('1-DATA'!$1:$1048576,IF(OR($B793="STD. DEVIATION",$C$1=1),$A793,$A793+1),COLUMN('1-DATA'!AR791)),IF($B793="STD. DEVIATION",2,$F$1))))</f>
        <v/>
      </c>
      <c r="AT793" s="1" t="str">
        <f>IF(OR($B793="",AT$7=""),"",IF($B793="MEANS",INDEX('1-DATA'!$1:$1048576,$A792-1,COLUMN('1-DATA'!AS791)),ROUND(INDEX('1-DATA'!$1:$1048576,IF(OR($B793="STD. DEVIATION",$C$1=1),$A793,$A793+1),COLUMN('1-DATA'!AS791)),IF($B793="STD. DEVIATION",2,$F$1))))</f>
        <v/>
      </c>
      <c r="AU793" s="1" t="str">
        <f>IF(OR($B793="",AU$7=""),"",IF($B793="MEANS",INDEX('1-DATA'!$1:$1048576,$A792-1,COLUMN('1-DATA'!AT791)),ROUND(INDEX('1-DATA'!$1:$1048576,IF(OR($B793="STD. DEVIATION",$C$1=1),$A793,$A793+1),COLUMN('1-DATA'!AT791)),IF($B793="STD. DEVIATION",2,$F$1))))</f>
        <v/>
      </c>
      <c r="AV793" s="1" t="str">
        <f>IF(OR($B793="",AV$7=""),"",IF($B793="MEANS",INDEX('1-DATA'!$1:$1048576,$A792-1,COLUMN('1-DATA'!AU791)),ROUND(INDEX('1-DATA'!$1:$1048576,IF(OR($B793="STD. DEVIATION",$C$1=1),$A793,$A793+1),COLUMN('1-DATA'!AU791)),IF($B793="STD. DEVIATION",2,$F$1))))</f>
        <v/>
      </c>
      <c r="AW793" s="1" t="str">
        <f>IF(OR($B793="",AW$7=""),"",IF($B793="MEANS",INDEX('1-DATA'!$1:$1048576,$A792-1,COLUMN('1-DATA'!AV791)),ROUND(INDEX('1-DATA'!$1:$1048576,IF(OR($B793="STD. DEVIATION",$C$1=1),$A793,$A793+1),COLUMN('1-DATA'!AV791)),IF($B793="STD. DEVIATION",2,$F$1))))</f>
        <v/>
      </c>
      <c r="AX793" s="1" t="str">
        <f>IF(OR($B793="",AX$7=""),"",IF($B793="MEANS",INDEX('1-DATA'!$1:$1048576,$A792-1,COLUMN('1-DATA'!AW791)),ROUND(INDEX('1-DATA'!$1:$1048576,IF(OR($B793="STD. DEVIATION",$C$1=1),$A793,$A793+1),COLUMN('1-DATA'!AW791)),IF($B793="STD. DEVIATION",2,$F$1))))</f>
        <v/>
      </c>
      <c r="AY793" s="1" t="str">
        <f>IF(OR($B793="",AY$7=""),"",IF($B793="MEANS",INDEX('1-DATA'!$1:$1048576,$A792-1,COLUMN('1-DATA'!AX791)),ROUND(INDEX('1-DATA'!$1:$1048576,IF(OR($B793="STD. DEVIATION",$C$1=1),$A793,$A793+1),COLUMN('1-DATA'!AX791)),IF($B793="STD. DEVIATION",2,$F$1))))</f>
        <v/>
      </c>
      <c r="AZ793" s="1" t="str">
        <f>IF(OR($B793="",AZ$7=""),"",IF($B793="MEANS",INDEX('1-DATA'!$1:$1048576,$A792-1,COLUMN('1-DATA'!AY791)),ROUND(INDEX('1-DATA'!$1:$1048576,IF(OR($B793="STD. DEVIATION",$C$1=1),$A793,$A793+1),COLUMN('1-DATA'!AY791)),IF($B793="STD. DEVIATION",2,$F$1))))</f>
        <v/>
      </c>
    </row>
    <row r="794" spans="1:52" x14ac:dyDescent="0.25">
      <c r="A794" s="11">
        <f t="shared" si="12"/>
        <v>2368</v>
      </c>
      <c r="B794" s="1" t="str">
        <f>IF(B793="STD. DEVIATION",INDEX('1-DATA'!$1:$1048576,$A793-1,1),IF(INDEX('1-DATA'!$1:$1048576,$A794,1)&lt;&gt;"",INDEX('1-DATA'!$1:$1048576,$A794,1),""))</f>
        <v/>
      </c>
      <c r="C794" s="1" t="str">
        <f>IF(OR($B794="",C$7=""),"",IF($B794="MEANS",INDEX('1-DATA'!$1:$1048576,$A793-1,COLUMN('1-DATA'!B792)),ROUND(INDEX('1-DATA'!$1:$1048576,IF(OR($B794="STD. DEVIATION",$C$1=1),$A794,$A794+1),COLUMN('1-DATA'!B792)),IF($B794="STD. DEVIATION",2,$F$1))))</f>
        <v/>
      </c>
      <c r="D794" s="1" t="str">
        <f>IF(OR($B794="",D$7=""),"",IF($B794="MEANS",INDEX('1-DATA'!$1:$1048576,$A793-1,COLUMN('1-DATA'!C792)),ROUND(INDEX('1-DATA'!$1:$1048576,IF(OR($B794="STD. DEVIATION",$C$1=1),$A794,$A794+1),COLUMN('1-DATA'!C792)),IF($B794="STD. DEVIATION",2,$F$1))))</f>
        <v/>
      </c>
      <c r="E794" s="1" t="str">
        <f>IF(OR($B794="",E$7=""),"",IF($B794="MEANS",INDEX('1-DATA'!$1:$1048576,$A793-1,COLUMN('1-DATA'!D792)),ROUND(INDEX('1-DATA'!$1:$1048576,IF(OR($B794="STD. DEVIATION",$C$1=1),$A794,$A794+1),COLUMN('1-DATA'!D792)),IF($B794="STD. DEVIATION",2,$F$1))))</f>
        <v/>
      </c>
      <c r="F794" s="1" t="str">
        <f>IF(OR($B794="",F$7=""),"",IF($B794="MEANS",INDEX('1-DATA'!$1:$1048576,$A793-1,COLUMN('1-DATA'!E792)),ROUND(INDEX('1-DATA'!$1:$1048576,IF(OR($B794="STD. DEVIATION",$C$1=1),$A794,$A794+1),COLUMN('1-DATA'!E792)),IF($B794="STD. DEVIATION",2,$F$1))))</f>
        <v/>
      </c>
      <c r="G794" s="1" t="str">
        <f>IF(OR($B794="",G$7=""),"",IF($B794="MEANS",INDEX('1-DATA'!$1:$1048576,$A793-1,COLUMN('1-DATA'!F792)),ROUND(INDEX('1-DATA'!$1:$1048576,IF(OR($B794="STD. DEVIATION",$C$1=1),$A794,$A794+1),COLUMN('1-DATA'!F792)),IF($B794="STD. DEVIATION",2,$F$1))))</f>
        <v/>
      </c>
      <c r="H794" s="1" t="str">
        <f>IF(OR($B794="",H$7=""),"",IF($B794="MEANS",INDEX('1-DATA'!$1:$1048576,$A793-1,COLUMN('1-DATA'!G792)),ROUND(INDEX('1-DATA'!$1:$1048576,IF(OR($B794="STD. DEVIATION",$C$1=1),$A794,$A794+1),COLUMN('1-DATA'!G792)),IF($B794="STD. DEVIATION",2,$F$1))))</f>
        <v/>
      </c>
      <c r="I794" s="1" t="str">
        <f>IF(OR($B794="",I$7=""),"",IF($B794="MEANS",INDEX('1-DATA'!$1:$1048576,$A793-1,COLUMN('1-DATA'!H792)),ROUND(INDEX('1-DATA'!$1:$1048576,IF(OR($B794="STD. DEVIATION",$C$1=1),$A794,$A794+1),COLUMN('1-DATA'!H792)),IF($B794="STD. DEVIATION",2,$F$1))))</f>
        <v/>
      </c>
      <c r="J794" s="1" t="str">
        <f>IF(OR($B794="",J$7=""),"",IF($B794="MEANS",INDEX('1-DATA'!$1:$1048576,$A793-1,COLUMN('1-DATA'!I792)),ROUND(INDEX('1-DATA'!$1:$1048576,IF(OR($B794="STD. DEVIATION",$C$1=1),$A794,$A794+1),COLUMN('1-DATA'!I792)),IF($B794="STD. DEVIATION",2,$F$1))))</f>
        <v/>
      </c>
      <c r="K794" s="1" t="str">
        <f>IF(OR($B794="",K$7=""),"",IF($B794="MEANS",INDEX('1-DATA'!$1:$1048576,$A793-1,COLUMN('1-DATA'!J792)),ROUND(INDEX('1-DATA'!$1:$1048576,IF(OR($B794="STD. DEVIATION",$C$1=1),$A794,$A794+1),COLUMN('1-DATA'!J792)),IF($B794="STD. DEVIATION",2,$F$1))))</f>
        <v/>
      </c>
      <c r="L794" s="1" t="str">
        <f>IF(OR($B794="",L$7=""),"",IF($B794="MEANS",INDEX('1-DATA'!$1:$1048576,$A793-1,COLUMN('1-DATA'!K792)),ROUND(INDEX('1-DATA'!$1:$1048576,IF(OR($B794="STD. DEVIATION",$C$1=1),$A794,$A794+1),COLUMN('1-DATA'!K792)),IF($B794="STD. DEVIATION",2,$F$1))))</f>
        <v/>
      </c>
      <c r="M794" s="1" t="str">
        <f>IF(OR($B794="",M$7=""),"",IF($B794="MEANS",INDEX('1-DATA'!$1:$1048576,$A793-1,COLUMN('1-DATA'!L792)),ROUND(INDEX('1-DATA'!$1:$1048576,IF(OR($B794="STD. DEVIATION",$C$1=1),$A794,$A794+1),COLUMN('1-DATA'!L792)),IF($B794="STD. DEVIATION",2,$F$1))))</f>
        <v/>
      </c>
      <c r="N794" s="1" t="str">
        <f>IF(OR($B794="",N$7=""),"",IF($B794="MEANS",INDEX('1-DATA'!$1:$1048576,$A793-1,COLUMN('1-DATA'!M792)),ROUND(INDEX('1-DATA'!$1:$1048576,IF(OR($B794="STD. DEVIATION",$C$1=1),$A794,$A794+1),COLUMN('1-DATA'!M792)),IF($B794="STD. DEVIATION",2,$F$1))))</f>
        <v/>
      </c>
      <c r="O794" s="1" t="str">
        <f>IF(OR($B794="",O$7=""),"",IF($B794="MEANS",INDEX('1-DATA'!$1:$1048576,$A793-1,COLUMN('1-DATA'!N792)),ROUND(INDEX('1-DATA'!$1:$1048576,IF(OR($B794="STD. DEVIATION",$C$1=1),$A794,$A794+1),COLUMN('1-DATA'!N792)),IF($B794="STD. DEVIATION",2,$F$1))))</f>
        <v/>
      </c>
      <c r="P794" s="1" t="str">
        <f>IF(OR($B794="",P$7=""),"",IF($B794="MEANS",INDEX('1-DATA'!$1:$1048576,$A793-1,COLUMN('1-DATA'!O792)),ROUND(INDEX('1-DATA'!$1:$1048576,IF(OR($B794="STD. DEVIATION",$C$1=1),$A794,$A794+1),COLUMN('1-DATA'!O792)),IF($B794="STD. DEVIATION",2,$F$1))))</f>
        <v/>
      </c>
      <c r="Q794" s="1" t="str">
        <f>IF(OR($B794="",Q$7=""),"",IF($B794="MEANS",INDEX('1-DATA'!$1:$1048576,$A793-1,COLUMN('1-DATA'!P792)),ROUND(INDEX('1-DATA'!$1:$1048576,IF(OR($B794="STD. DEVIATION",$C$1=1),$A794,$A794+1),COLUMN('1-DATA'!P792)),IF($B794="STD. DEVIATION",2,$F$1))))</f>
        <v/>
      </c>
      <c r="R794" s="1" t="str">
        <f>IF(OR($B794="",R$7=""),"",IF($B794="MEANS",INDEX('1-DATA'!$1:$1048576,$A793-1,COLUMN('1-DATA'!Q792)),ROUND(INDEX('1-DATA'!$1:$1048576,IF(OR($B794="STD. DEVIATION",$C$1=1),$A794,$A794+1),COLUMN('1-DATA'!Q792)),IF($B794="STD. DEVIATION",2,$F$1))))</f>
        <v/>
      </c>
      <c r="S794" s="1" t="str">
        <f>IF(OR($B794="",S$7=""),"",IF($B794="MEANS",INDEX('1-DATA'!$1:$1048576,$A793-1,COLUMN('1-DATA'!R792)),ROUND(INDEX('1-DATA'!$1:$1048576,IF(OR($B794="STD. DEVIATION",$C$1=1),$A794,$A794+1),COLUMN('1-DATA'!R792)),IF($B794="STD. DEVIATION",2,$F$1))))</f>
        <v/>
      </c>
      <c r="T794" s="1" t="str">
        <f>IF(OR($B794="",T$7=""),"",IF($B794="MEANS",INDEX('1-DATA'!$1:$1048576,$A793-1,COLUMN('1-DATA'!S792)),ROUND(INDEX('1-DATA'!$1:$1048576,IF(OR($B794="STD. DEVIATION",$C$1=1),$A794,$A794+1),COLUMN('1-DATA'!S792)),IF($B794="STD. DEVIATION",2,$F$1))))</f>
        <v/>
      </c>
      <c r="U794" s="1" t="str">
        <f>IF(OR($B794="",U$7=""),"",IF($B794="MEANS",INDEX('1-DATA'!$1:$1048576,$A793-1,COLUMN('1-DATA'!T792)),ROUND(INDEX('1-DATA'!$1:$1048576,IF(OR($B794="STD. DEVIATION",$C$1=1),$A794,$A794+1),COLUMN('1-DATA'!T792)),IF($B794="STD. DEVIATION",2,$F$1))))</f>
        <v/>
      </c>
      <c r="V794" s="1" t="str">
        <f>IF(OR($B794="",V$7=""),"",IF($B794="MEANS",INDEX('1-DATA'!$1:$1048576,$A793-1,COLUMN('1-DATA'!U792)),ROUND(INDEX('1-DATA'!$1:$1048576,IF(OR($B794="STD. DEVIATION",$C$1=1),$A794,$A794+1),COLUMN('1-DATA'!U792)),IF($B794="STD. DEVIATION",2,$F$1))))</f>
        <v/>
      </c>
      <c r="W794" s="1" t="str">
        <f>IF(OR($B794="",W$7=""),"",IF($B794="MEANS",INDEX('1-DATA'!$1:$1048576,$A793-1,COLUMN('1-DATA'!V792)),ROUND(INDEX('1-DATA'!$1:$1048576,IF(OR($B794="STD. DEVIATION",$C$1=1),$A794,$A794+1),COLUMN('1-DATA'!V792)),IF($B794="STD. DEVIATION",2,$F$1))))</f>
        <v/>
      </c>
      <c r="X794" s="1" t="str">
        <f>IF(OR($B794="",X$7=""),"",IF($B794="MEANS",INDEX('1-DATA'!$1:$1048576,$A793-1,COLUMN('1-DATA'!W792)),ROUND(INDEX('1-DATA'!$1:$1048576,IF(OR($B794="STD. DEVIATION",$C$1=1),$A794,$A794+1),COLUMN('1-DATA'!W792)),IF($B794="STD. DEVIATION",2,$F$1))))</f>
        <v/>
      </c>
      <c r="Y794" s="1" t="str">
        <f>IF(OR($B794="",Y$7=""),"",IF($B794="MEANS",INDEX('1-DATA'!$1:$1048576,$A793-1,COLUMN('1-DATA'!X792)),ROUND(INDEX('1-DATA'!$1:$1048576,IF(OR($B794="STD. DEVIATION",$C$1=1),$A794,$A794+1),COLUMN('1-DATA'!X792)),IF($B794="STD. DEVIATION",2,$F$1))))</f>
        <v/>
      </c>
      <c r="Z794" s="1" t="str">
        <f>IF(OR($B794="",Z$7=""),"",IF($B794="MEANS",INDEX('1-DATA'!$1:$1048576,$A793-1,COLUMN('1-DATA'!Y792)),ROUND(INDEX('1-DATA'!$1:$1048576,IF(OR($B794="STD. DEVIATION",$C$1=1),$A794,$A794+1),COLUMN('1-DATA'!Y792)),IF($B794="STD. DEVIATION",2,$F$1))))</f>
        <v/>
      </c>
      <c r="AA794" s="1" t="str">
        <f>IF(OR($B794="",AA$7=""),"",IF($B794="MEANS",INDEX('1-DATA'!$1:$1048576,$A793-1,COLUMN('1-DATA'!Z792)),ROUND(INDEX('1-DATA'!$1:$1048576,IF(OR($B794="STD. DEVIATION",$C$1=1),$A794,$A794+1),COLUMN('1-DATA'!Z792)),IF($B794="STD. DEVIATION",2,$F$1))))</f>
        <v/>
      </c>
      <c r="AB794" s="1" t="str">
        <f>IF(OR($B794="",AB$7=""),"",IF($B794="MEANS",INDEX('1-DATA'!$1:$1048576,$A793-1,COLUMN('1-DATA'!AA792)),ROUND(INDEX('1-DATA'!$1:$1048576,IF(OR($B794="STD. DEVIATION",$C$1=1),$A794,$A794+1),COLUMN('1-DATA'!AA792)),IF($B794="STD. DEVIATION",2,$F$1))))</f>
        <v/>
      </c>
      <c r="AC794" s="1" t="str">
        <f>IF(OR($B794="",AC$7=""),"",IF($B794="MEANS",INDEX('1-DATA'!$1:$1048576,$A793-1,COLUMN('1-DATA'!AB792)),ROUND(INDEX('1-DATA'!$1:$1048576,IF(OR($B794="STD. DEVIATION",$C$1=1),$A794,$A794+1),COLUMN('1-DATA'!AB792)),IF($B794="STD. DEVIATION",2,$F$1))))</f>
        <v/>
      </c>
      <c r="AD794" s="1" t="str">
        <f>IF(OR($B794="",AD$7=""),"",IF($B794="MEANS",INDEX('1-DATA'!$1:$1048576,$A793-1,COLUMN('1-DATA'!AC792)),ROUND(INDEX('1-DATA'!$1:$1048576,IF(OR($B794="STD. DEVIATION",$C$1=1),$A794,$A794+1),COLUMN('1-DATA'!AC792)),IF($B794="STD. DEVIATION",2,$F$1))))</f>
        <v/>
      </c>
      <c r="AE794" s="1" t="str">
        <f>IF(OR($B794="",AE$7=""),"",IF($B794="MEANS",INDEX('1-DATA'!$1:$1048576,$A793-1,COLUMN('1-DATA'!AD792)),ROUND(INDEX('1-DATA'!$1:$1048576,IF(OR($B794="STD. DEVIATION",$C$1=1),$A794,$A794+1),COLUMN('1-DATA'!AD792)),IF($B794="STD. DEVIATION",2,$F$1))))</f>
        <v/>
      </c>
      <c r="AF794" s="1" t="str">
        <f>IF(OR($B794="",AF$7=""),"",IF($B794="MEANS",INDEX('1-DATA'!$1:$1048576,$A793-1,COLUMN('1-DATA'!AE792)),ROUND(INDEX('1-DATA'!$1:$1048576,IF(OR($B794="STD. DEVIATION",$C$1=1),$A794,$A794+1),COLUMN('1-DATA'!AE792)),IF($B794="STD. DEVIATION",2,$F$1))))</f>
        <v/>
      </c>
      <c r="AG794" s="1" t="str">
        <f>IF(OR($B794="",AG$7=""),"",IF($B794="MEANS",INDEX('1-DATA'!$1:$1048576,$A793-1,COLUMN('1-DATA'!AF792)),ROUND(INDEX('1-DATA'!$1:$1048576,IF(OR($B794="STD. DEVIATION",$C$1=1),$A794,$A794+1),COLUMN('1-DATA'!AF792)),IF($B794="STD. DEVIATION",2,$F$1))))</f>
        <v/>
      </c>
      <c r="AH794" s="1" t="str">
        <f>IF(OR($B794="",AH$7=""),"",IF($B794="MEANS",INDEX('1-DATA'!$1:$1048576,$A793-1,COLUMN('1-DATA'!AG792)),ROUND(INDEX('1-DATA'!$1:$1048576,IF(OR($B794="STD. DEVIATION",$C$1=1),$A794,$A794+1),COLUMN('1-DATA'!AG792)),IF($B794="STD. DEVIATION",2,$F$1))))</f>
        <v/>
      </c>
      <c r="AI794" s="1" t="str">
        <f>IF(OR($B794="",AI$7=""),"",IF($B794="MEANS",INDEX('1-DATA'!$1:$1048576,$A793-1,COLUMN('1-DATA'!AH792)),ROUND(INDEX('1-DATA'!$1:$1048576,IF(OR($B794="STD. DEVIATION",$C$1=1),$A794,$A794+1),COLUMN('1-DATA'!AH792)),IF($B794="STD. DEVIATION",2,$F$1))))</f>
        <v/>
      </c>
      <c r="AJ794" s="1" t="str">
        <f>IF(OR($B794="",AJ$7=""),"",IF($B794="MEANS",INDEX('1-DATA'!$1:$1048576,$A793-1,COLUMN('1-DATA'!AI792)),ROUND(INDEX('1-DATA'!$1:$1048576,IF(OR($B794="STD. DEVIATION",$C$1=1),$A794,$A794+1),COLUMN('1-DATA'!AI792)),IF($B794="STD. DEVIATION",2,$F$1))))</f>
        <v/>
      </c>
      <c r="AK794" s="1" t="str">
        <f>IF(OR($B794="",AK$7=""),"",IF($B794="MEANS",INDEX('1-DATA'!$1:$1048576,$A793-1,COLUMN('1-DATA'!AJ792)),ROUND(INDEX('1-DATA'!$1:$1048576,IF(OR($B794="STD. DEVIATION",$C$1=1),$A794,$A794+1),COLUMN('1-DATA'!AJ792)),IF($B794="STD. DEVIATION",2,$F$1))))</f>
        <v/>
      </c>
      <c r="AL794" s="1" t="str">
        <f>IF(OR($B794="",AL$7=""),"",IF($B794="MEANS",INDEX('1-DATA'!$1:$1048576,$A793-1,COLUMN('1-DATA'!AK792)),ROUND(INDEX('1-DATA'!$1:$1048576,IF(OR($B794="STD. DEVIATION",$C$1=1),$A794,$A794+1),COLUMN('1-DATA'!AK792)),IF($B794="STD. DEVIATION",2,$F$1))))</f>
        <v/>
      </c>
      <c r="AM794" s="1" t="str">
        <f>IF(OR($B794="",AM$7=""),"",IF($B794="MEANS",INDEX('1-DATA'!$1:$1048576,$A793-1,COLUMN('1-DATA'!AL792)),ROUND(INDEX('1-DATA'!$1:$1048576,IF(OR($B794="STD. DEVIATION",$C$1=1),$A794,$A794+1),COLUMN('1-DATA'!AL792)),IF($B794="STD. DEVIATION",2,$F$1))))</f>
        <v/>
      </c>
      <c r="AN794" s="1" t="str">
        <f>IF(OR($B794="",AN$7=""),"",IF($B794="MEANS",INDEX('1-DATA'!$1:$1048576,$A793-1,COLUMN('1-DATA'!AM792)),ROUND(INDEX('1-DATA'!$1:$1048576,IF(OR($B794="STD. DEVIATION",$C$1=1),$A794,$A794+1),COLUMN('1-DATA'!AM792)),IF($B794="STD. DEVIATION",2,$F$1))))</f>
        <v/>
      </c>
      <c r="AO794" s="1" t="str">
        <f>IF(OR($B794="",AO$7=""),"",IF($B794="MEANS",INDEX('1-DATA'!$1:$1048576,$A793-1,COLUMN('1-DATA'!AN792)),ROUND(INDEX('1-DATA'!$1:$1048576,IF(OR($B794="STD. DEVIATION",$C$1=1),$A794,$A794+1),COLUMN('1-DATA'!AN792)),IF($B794="STD. DEVIATION",2,$F$1))))</f>
        <v/>
      </c>
      <c r="AP794" s="1" t="str">
        <f>IF(OR($B794="",AP$7=""),"",IF($B794="MEANS",INDEX('1-DATA'!$1:$1048576,$A793-1,COLUMN('1-DATA'!AO792)),ROUND(INDEX('1-DATA'!$1:$1048576,IF(OR($B794="STD. DEVIATION",$C$1=1),$A794,$A794+1),COLUMN('1-DATA'!AO792)),IF($B794="STD. DEVIATION",2,$F$1))))</f>
        <v/>
      </c>
      <c r="AQ794" s="1" t="str">
        <f>IF(OR($B794="",AQ$7=""),"",IF($B794="MEANS",INDEX('1-DATA'!$1:$1048576,$A793-1,COLUMN('1-DATA'!AP792)),ROUND(INDEX('1-DATA'!$1:$1048576,IF(OR($B794="STD. DEVIATION",$C$1=1),$A794,$A794+1),COLUMN('1-DATA'!AP792)),IF($B794="STD. DEVIATION",2,$F$1))))</f>
        <v/>
      </c>
      <c r="AR794" s="1" t="str">
        <f>IF(OR($B794="",AR$7=""),"",IF($B794="MEANS",INDEX('1-DATA'!$1:$1048576,$A793-1,COLUMN('1-DATA'!AQ792)),ROUND(INDEX('1-DATA'!$1:$1048576,IF(OR($B794="STD. DEVIATION",$C$1=1),$A794,$A794+1),COLUMN('1-DATA'!AQ792)),IF($B794="STD. DEVIATION",2,$F$1))))</f>
        <v/>
      </c>
      <c r="AS794" s="1" t="str">
        <f>IF(OR($B794="",AS$7=""),"",IF($B794="MEANS",INDEX('1-DATA'!$1:$1048576,$A793-1,COLUMN('1-DATA'!AR792)),ROUND(INDEX('1-DATA'!$1:$1048576,IF(OR($B794="STD. DEVIATION",$C$1=1),$A794,$A794+1),COLUMN('1-DATA'!AR792)),IF($B794="STD. DEVIATION",2,$F$1))))</f>
        <v/>
      </c>
      <c r="AT794" s="1" t="str">
        <f>IF(OR($B794="",AT$7=""),"",IF($B794="MEANS",INDEX('1-DATA'!$1:$1048576,$A793-1,COLUMN('1-DATA'!AS792)),ROUND(INDEX('1-DATA'!$1:$1048576,IF(OR($B794="STD. DEVIATION",$C$1=1),$A794,$A794+1),COLUMN('1-DATA'!AS792)),IF($B794="STD. DEVIATION",2,$F$1))))</f>
        <v/>
      </c>
      <c r="AU794" s="1" t="str">
        <f>IF(OR($B794="",AU$7=""),"",IF($B794="MEANS",INDEX('1-DATA'!$1:$1048576,$A793-1,COLUMN('1-DATA'!AT792)),ROUND(INDEX('1-DATA'!$1:$1048576,IF(OR($B794="STD. DEVIATION",$C$1=1),$A794,$A794+1),COLUMN('1-DATA'!AT792)),IF($B794="STD. DEVIATION",2,$F$1))))</f>
        <v/>
      </c>
      <c r="AV794" s="1" t="str">
        <f>IF(OR($B794="",AV$7=""),"",IF($B794="MEANS",INDEX('1-DATA'!$1:$1048576,$A793-1,COLUMN('1-DATA'!AU792)),ROUND(INDEX('1-DATA'!$1:$1048576,IF(OR($B794="STD. DEVIATION",$C$1=1),$A794,$A794+1),COLUMN('1-DATA'!AU792)),IF($B794="STD. DEVIATION",2,$F$1))))</f>
        <v/>
      </c>
      <c r="AW794" s="1" t="str">
        <f>IF(OR($B794="",AW$7=""),"",IF($B794="MEANS",INDEX('1-DATA'!$1:$1048576,$A793-1,COLUMN('1-DATA'!AV792)),ROUND(INDEX('1-DATA'!$1:$1048576,IF(OR($B794="STD. DEVIATION",$C$1=1),$A794,$A794+1),COLUMN('1-DATA'!AV792)),IF($B794="STD. DEVIATION",2,$F$1))))</f>
        <v/>
      </c>
      <c r="AX794" s="1" t="str">
        <f>IF(OR($B794="",AX$7=""),"",IF($B794="MEANS",INDEX('1-DATA'!$1:$1048576,$A793-1,COLUMN('1-DATA'!AW792)),ROUND(INDEX('1-DATA'!$1:$1048576,IF(OR($B794="STD. DEVIATION",$C$1=1),$A794,$A794+1),COLUMN('1-DATA'!AW792)),IF($B794="STD. DEVIATION",2,$F$1))))</f>
        <v/>
      </c>
      <c r="AY794" s="1" t="str">
        <f>IF(OR($B794="",AY$7=""),"",IF($B794="MEANS",INDEX('1-DATA'!$1:$1048576,$A793-1,COLUMN('1-DATA'!AX792)),ROUND(INDEX('1-DATA'!$1:$1048576,IF(OR($B794="STD. DEVIATION",$C$1=1),$A794,$A794+1),COLUMN('1-DATA'!AX792)),IF($B794="STD. DEVIATION",2,$F$1))))</f>
        <v/>
      </c>
      <c r="AZ794" s="1" t="str">
        <f>IF(OR($B794="",AZ$7=""),"",IF($B794="MEANS",INDEX('1-DATA'!$1:$1048576,$A793-1,COLUMN('1-DATA'!AY792)),ROUND(INDEX('1-DATA'!$1:$1048576,IF(OR($B794="STD. DEVIATION",$C$1=1),$A794,$A794+1),COLUMN('1-DATA'!AY792)),IF($B794="STD. DEVIATION",2,$F$1))))</f>
        <v/>
      </c>
    </row>
    <row r="795" spans="1:52" x14ac:dyDescent="0.25">
      <c r="A795" s="11">
        <f t="shared" si="12"/>
        <v>2371</v>
      </c>
      <c r="B795" s="1" t="str">
        <f>IF(B794="STD. DEVIATION",INDEX('1-DATA'!$1:$1048576,$A794-1,1),IF(INDEX('1-DATA'!$1:$1048576,$A795,1)&lt;&gt;"",INDEX('1-DATA'!$1:$1048576,$A795,1),""))</f>
        <v/>
      </c>
      <c r="C795" s="1" t="str">
        <f>IF(OR($B795="",C$7=""),"",IF($B795="MEANS",INDEX('1-DATA'!$1:$1048576,$A794-1,COLUMN('1-DATA'!B793)),ROUND(INDEX('1-DATA'!$1:$1048576,IF(OR($B795="STD. DEVIATION",$C$1=1),$A795,$A795+1),COLUMN('1-DATA'!B793)),IF($B795="STD. DEVIATION",2,$F$1))))</f>
        <v/>
      </c>
      <c r="D795" s="1" t="str">
        <f>IF(OR($B795="",D$7=""),"",IF($B795="MEANS",INDEX('1-DATA'!$1:$1048576,$A794-1,COLUMN('1-DATA'!C793)),ROUND(INDEX('1-DATA'!$1:$1048576,IF(OR($B795="STD. DEVIATION",$C$1=1),$A795,$A795+1),COLUMN('1-DATA'!C793)),IF($B795="STD. DEVIATION",2,$F$1))))</f>
        <v/>
      </c>
      <c r="E795" s="1" t="str">
        <f>IF(OR($B795="",E$7=""),"",IF($B795="MEANS",INDEX('1-DATA'!$1:$1048576,$A794-1,COLUMN('1-DATA'!D793)),ROUND(INDEX('1-DATA'!$1:$1048576,IF(OR($B795="STD. DEVIATION",$C$1=1),$A795,$A795+1),COLUMN('1-DATA'!D793)),IF($B795="STD. DEVIATION",2,$F$1))))</f>
        <v/>
      </c>
      <c r="F795" s="1" t="str">
        <f>IF(OR($B795="",F$7=""),"",IF($B795="MEANS",INDEX('1-DATA'!$1:$1048576,$A794-1,COLUMN('1-DATA'!E793)),ROUND(INDEX('1-DATA'!$1:$1048576,IF(OR($B795="STD. DEVIATION",$C$1=1),$A795,$A795+1),COLUMN('1-DATA'!E793)),IF($B795="STD. DEVIATION",2,$F$1))))</f>
        <v/>
      </c>
      <c r="G795" s="1" t="str">
        <f>IF(OR($B795="",G$7=""),"",IF($B795="MEANS",INDEX('1-DATA'!$1:$1048576,$A794-1,COLUMN('1-DATA'!F793)),ROUND(INDEX('1-DATA'!$1:$1048576,IF(OR($B795="STD. DEVIATION",$C$1=1),$A795,$A795+1),COLUMN('1-DATA'!F793)),IF($B795="STD. DEVIATION",2,$F$1))))</f>
        <v/>
      </c>
      <c r="H795" s="1" t="str">
        <f>IF(OR($B795="",H$7=""),"",IF($B795="MEANS",INDEX('1-DATA'!$1:$1048576,$A794-1,COLUMN('1-DATA'!G793)),ROUND(INDEX('1-DATA'!$1:$1048576,IF(OR($B795="STD. DEVIATION",$C$1=1),$A795,$A795+1),COLUMN('1-DATA'!G793)),IF($B795="STD. DEVIATION",2,$F$1))))</f>
        <v/>
      </c>
      <c r="I795" s="1" t="str">
        <f>IF(OR($B795="",I$7=""),"",IF($B795="MEANS",INDEX('1-DATA'!$1:$1048576,$A794-1,COLUMN('1-DATA'!H793)),ROUND(INDEX('1-DATA'!$1:$1048576,IF(OR($B795="STD. DEVIATION",$C$1=1),$A795,$A795+1),COLUMN('1-DATA'!H793)),IF($B795="STD. DEVIATION",2,$F$1))))</f>
        <v/>
      </c>
      <c r="J795" s="1" t="str">
        <f>IF(OR($B795="",J$7=""),"",IF($B795="MEANS",INDEX('1-DATA'!$1:$1048576,$A794-1,COLUMN('1-DATA'!I793)),ROUND(INDEX('1-DATA'!$1:$1048576,IF(OR($B795="STD. DEVIATION",$C$1=1),$A795,$A795+1),COLUMN('1-DATA'!I793)),IF($B795="STD. DEVIATION",2,$F$1))))</f>
        <v/>
      </c>
      <c r="K795" s="1" t="str">
        <f>IF(OR($B795="",K$7=""),"",IF($B795="MEANS",INDEX('1-DATA'!$1:$1048576,$A794-1,COLUMN('1-DATA'!J793)),ROUND(INDEX('1-DATA'!$1:$1048576,IF(OR($B795="STD. DEVIATION",$C$1=1),$A795,$A795+1),COLUMN('1-DATA'!J793)),IF($B795="STD. DEVIATION",2,$F$1))))</f>
        <v/>
      </c>
      <c r="L795" s="1" t="str">
        <f>IF(OR($B795="",L$7=""),"",IF($B795="MEANS",INDEX('1-DATA'!$1:$1048576,$A794-1,COLUMN('1-DATA'!K793)),ROUND(INDEX('1-DATA'!$1:$1048576,IF(OR($B795="STD. DEVIATION",$C$1=1),$A795,$A795+1),COLUMN('1-DATA'!K793)),IF($B795="STD. DEVIATION",2,$F$1))))</f>
        <v/>
      </c>
      <c r="M795" s="1" t="str">
        <f>IF(OR($B795="",M$7=""),"",IF($B795="MEANS",INDEX('1-DATA'!$1:$1048576,$A794-1,COLUMN('1-DATA'!L793)),ROUND(INDEX('1-DATA'!$1:$1048576,IF(OR($B795="STD. DEVIATION",$C$1=1),$A795,$A795+1),COLUMN('1-DATA'!L793)),IF($B795="STD. DEVIATION",2,$F$1))))</f>
        <v/>
      </c>
      <c r="N795" s="1" t="str">
        <f>IF(OR($B795="",N$7=""),"",IF($B795="MEANS",INDEX('1-DATA'!$1:$1048576,$A794-1,COLUMN('1-DATA'!M793)),ROUND(INDEX('1-DATA'!$1:$1048576,IF(OR($B795="STD. DEVIATION",$C$1=1),$A795,$A795+1),COLUMN('1-DATA'!M793)),IF($B795="STD. DEVIATION",2,$F$1))))</f>
        <v/>
      </c>
      <c r="O795" s="1" t="str">
        <f>IF(OR($B795="",O$7=""),"",IF($B795="MEANS",INDEX('1-DATA'!$1:$1048576,$A794-1,COLUMN('1-DATA'!N793)),ROUND(INDEX('1-DATA'!$1:$1048576,IF(OR($B795="STD. DEVIATION",$C$1=1),$A795,$A795+1),COLUMN('1-DATA'!N793)),IF($B795="STD. DEVIATION",2,$F$1))))</f>
        <v/>
      </c>
      <c r="P795" s="1" t="str">
        <f>IF(OR($B795="",P$7=""),"",IF($B795="MEANS",INDEX('1-DATA'!$1:$1048576,$A794-1,COLUMN('1-DATA'!O793)),ROUND(INDEX('1-DATA'!$1:$1048576,IF(OR($B795="STD. DEVIATION",$C$1=1),$A795,$A795+1),COLUMN('1-DATA'!O793)),IF($B795="STD. DEVIATION",2,$F$1))))</f>
        <v/>
      </c>
      <c r="Q795" s="1" t="str">
        <f>IF(OR($B795="",Q$7=""),"",IF($B795="MEANS",INDEX('1-DATA'!$1:$1048576,$A794-1,COLUMN('1-DATA'!P793)),ROUND(INDEX('1-DATA'!$1:$1048576,IF(OR($B795="STD. DEVIATION",$C$1=1),$A795,$A795+1),COLUMN('1-DATA'!P793)),IF($B795="STD. DEVIATION",2,$F$1))))</f>
        <v/>
      </c>
      <c r="R795" s="1" t="str">
        <f>IF(OR($B795="",R$7=""),"",IF($B795="MEANS",INDEX('1-DATA'!$1:$1048576,$A794-1,COLUMN('1-DATA'!Q793)),ROUND(INDEX('1-DATA'!$1:$1048576,IF(OR($B795="STD. DEVIATION",$C$1=1),$A795,$A795+1),COLUMN('1-DATA'!Q793)),IF($B795="STD. DEVIATION",2,$F$1))))</f>
        <v/>
      </c>
      <c r="S795" s="1" t="str">
        <f>IF(OR($B795="",S$7=""),"",IF($B795="MEANS",INDEX('1-DATA'!$1:$1048576,$A794-1,COLUMN('1-DATA'!R793)),ROUND(INDEX('1-DATA'!$1:$1048576,IF(OR($B795="STD. DEVIATION",$C$1=1),$A795,$A795+1),COLUMN('1-DATA'!R793)),IF($B795="STD. DEVIATION",2,$F$1))))</f>
        <v/>
      </c>
      <c r="T795" s="1" t="str">
        <f>IF(OR($B795="",T$7=""),"",IF($B795="MEANS",INDEX('1-DATA'!$1:$1048576,$A794-1,COLUMN('1-DATA'!S793)),ROUND(INDEX('1-DATA'!$1:$1048576,IF(OR($B795="STD. DEVIATION",$C$1=1),$A795,$A795+1),COLUMN('1-DATA'!S793)),IF($B795="STD. DEVIATION",2,$F$1))))</f>
        <v/>
      </c>
      <c r="U795" s="1" t="str">
        <f>IF(OR($B795="",U$7=""),"",IF($B795="MEANS",INDEX('1-DATA'!$1:$1048576,$A794-1,COLUMN('1-DATA'!T793)),ROUND(INDEX('1-DATA'!$1:$1048576,IF(OR($B795="STD. DEVIATION",$C$1=1),$A795,$A795+1),COLUMN('1-DATA'!T793)),IF($B795="STD. DEVIATION",2,$F$1))))</f>
        <v/>
      </c>
      <c r="V795" s="1" t="str">
        <f>IF(OR($B795="",V$7=""),"",IF($B795="MEANS",INDEX('1-DATA'!$1:$1048576,$A794-1,COLUMN('1-DATA'!U793)),ROUND(INDEX('1-DATA'!$1:$1048576,IF(OR($B795="STD. DEVIATION",$C$1=1),$A795,$A795+1),COLUMN('1-DATA'!U793)),IF($B795="STD. DEVIATION",2,$F$1))))</f>
        <v/>
      </c>
      <c r="W795" s="1" t="str">
        <f>IF(OR($B795="",W$7=""),"",IF($B795="MEANS",INDEX('1-DATA'!$1:$1048576,$A794-1,COLUMN('1-DATA'!V793)),ROUND(INDEX('1-DATA'!$1:$1048576,IF(OR($B795="STD. DEVIATION",$C$1=1),$A795,$A795+1),COLUMN('1-DATA'!V793)),IF($B795="STD. DEVIATION",2,$F$1))))</f>
        <v/>
      </c>
      <c r="X795" s="1" t="str">
        <f>IF(OR($B795="",X$7=""),"",IF($B795="MEANS",INDEX('1-DATA'!$1:$1048576,$A794-1,COLUMN('1-DATA'!W793)),ROUND(INDEX('1-DATA'!$1:$1048576,IF(OR($B795="STD. DEVIATION",$C$1=1),$A795,$A795+1),COLUMN('1-DATA'!W793)),IF($B795="STD. DEVIATION",2,$F$1))))</f>
        <v/>
      </c>
      <c r="Y795" s="1" t="str">
        <f>IF(OR($B795="",Y$7=""),"",IF($B795="MEANS",INDEX('1-DATA'!$1:$1048576,$A794-1,COLUMN('1-DATA'!X793)),ROUND(INDEX('1-DATA'!$1:$1048576,IF(OR($B795="STD. DEVIATION",$C$1=1),$A795,$A795+1),COLUMN('1-DATA'!X793)),IF($B795="STD. DEVIATION",2,$F$1))))</f>
        <v/>
      </c>
      <c r="Z795" s="1" t="str">
        <f>IF(OR($B795="",Z$7=""),"",IF($B795="MEANS",INDEX('1-DATA'!$1:$1048576,$A794-1,COLUMN('1-DATA'!Y793)),ROUND(INDEX('1-DATA'!$1:$1048576,IF(OR($B795="STD. DEVIATION",$C$1=1),$A795,$A795+1),COLUMN('1-DATA'!Y793)),IF($B795="STD. DEVIATION",2,$F$1))))</f>
        <v/>
      </c>
      <c r="AA795" s="1" t="str">
        <f>IF(OR($B795="",AA$7=""),"",IF($B795="MEANS",INDEX('1-DATA'!$1:$1048576,$A794-1,COLUMN('1-DATA'!Z793)),ROUND(INDEX('1-DATA'!$1:$1048576,IF(OR($B795="STD. DEVIATION",$C$1=1),$A795,$A795+1),COLUMN('1-DATA'!Z793)),IF($B795="STD. DEVIATION",2,$F$1))))</f>
        <v/>
      </c>
      <c r="AB795" s="1" t="str">
        <f>IF(OR($B795="",AB$7=""),"",IF($B795="MEANS",INDEX('1-DATA'!$1:$1048576,$A794-1,COLUMN('1-DATA'!AA793)),ROUND(INDEX('1-DATA'!$1:$1048576,IF(OR($B795="STD. DEVIATION",$C$1=1),$A795,$A795+1),COLUMN('1-DATA'!AA793)),IF($B795="STD. DEVIATION",2,$F$1))))</f>
        <v/>
      </c>
      <c r="AC795" s="1" t="str">
        <f>IF(OR($B795="",AC$7=""),"",IF($B795="MEANS",INDEX('1-DATA'!$1:$1048576,$A794-1,COLUMN('1-DATA'!AB793)),ROUND(INDEX('1-DATA'!$1:$1048576,IF(OR($B795="STD. DEVIATION",$C$1=1),$A795,$A795+1),COLUMN('1-DATA'!AB793)),IF($B795="STD. DEVIATION",2,$F$1))))</f>
        <v/>
      </c>
      <c r="AD795" s="1" t="str">
        <f>IF(OR($B795="",AD$7=""),"",IF($B795="MEANS",INDEX('1-DATA'!$1:$1048576,$A794-1,COLUMN('1-DATA'!AC793)),ROUND(INDEX('1-DATA'!$1:$1048576,IF(OR($B795="STD. DEVIATION",$C$1=1),$A795,$A795+1),COLUMN('1-DATA'!AC793)),IF($B795="STD. DEVIATION",2,$F$1))))</f>
        <v/>
      </c>
      <c r="AE795" s="1" t="str">
        <f>IF(OR($B795="",AE$7=""),"",IF($B795="MEANS",INDEX('1-DATA'!$1:$1048576,$A794-1,COLUMN('1-DATA'!AD793)),ROUND(INDEX('1-DATA'!$1:$1048576,IF(OR($B795="STD. DEVIATION",$C$1=1),$A795,$A795+1),COLUMN('1-DATA'!AD793)),IF($B795="STD. DEVIATION",2,$F$1))))</f>
        <v/>
      </c>
      <c r="AF795" s="1" t="str">
        <f>IF(OR($B795="",AF$7=""),"",IF($B795="MEANS",INDEX('1-DATA'!$1:$1048576,$A794-1,COLUMN('1-DATA'!AE793)),ROUND(INDEX('1-DATA'!$1:$1048576,IF(OR($B795="STD. DEVIATION",$C$1=1),$A795,$A795+1),COLUMN('1-DATA'!AE793)),IF($B795="STD. DEVIATION",2,$F$1))))</f>
        <v/>
      </c>
      <c r="AG795" s="1" t="str">
        <f>IF(OR($B795="",AG$7=""),"",IF($B795="MEANS",INDEX('1-DATA'!$1:$1048576,$A794-1,COLUMN('1-DATA'!AF793)),ROUND(INDEX('1-DATA'!$1:$1048576,IF(OR($B795="STD. DEVIATION",$C$1=1),$A795,$A795+1),COLUMN('1-DATA'!AF793)),IF($B795="STD. DEVIATION",2,$F$1))))</f>
        <v/>
      </c>
      <c r="AH795" s="1" t="str">
        <f>IF(OR($B795="",AH$7=""),"",IF($B795="MEANS",INDEX('1-DATA'!$1:$1048576,$A794-1,COLUMN('1-DATA'!AG793)),ROUND(INDEX('1-DATA'!$1:$1048576,IF(OR($B795="STD. DEVIATION",$C$1=1),$A795,$A795+1),COLUMN('1-DATA'!AG793)),IF($B795="STD. DEVIATION",2,$F$1))))</f>
        <v/>
      </c>
      <c r="AI795" s="1" t="str">
        <f>IF(OR($B795="",AI$7=""),"",IF($B795="MEANS",INDEX('1-DATA'!$1:$1048576,$A794-1,COLUMN('1-DATA'!AH793)),ROUND(INDEX('1-DATA'!$1:$1048576,IF(OR($B795="STD. DEVIATION",$C$1=1),$A795,$A795+1),COLUMN('1-DATA'!AH793)),IF($B795="STD. DEVIATION",2,$F$1))))</f>
        <v/>
      </c>
      <c r="AJ795" s="1" t="str">
        <f>IF(OR($B795="",AJ$7=""),"",IF($B795="MEANS",INDEX('1-DATA'!$1:$1048576,$A794-1,COLUMN('1-DATA'!AI793)),ROUND(INDEX('1-DATA'!$1:$1048576,IF(OR($B795="STD. DEVIATION",$C$1=1),$A795,$A795+1),COLUMN('1-DATA'!AI793)),IF($B795="STD. DEVIATION",2,$F$1))))</f>
        <v/>
      </c>
      <c r="AK795" s="1" t="str">
        <f>IF(OR($B795="",AK$7=""),"",IF($B795="MEANS",INDEX('1-DATA'!$1:$1048576,$A794-1,COLUMN('1-DATA'!AJ793)),ROUND(INDEX('1-DATA'!$1:$1048576,IF(OR($B795="STD. DEVIATION",$C$1=1),$A795,$A795+1),COLUMN('1-DATA'!AJ793)),IF($B795="STD. DEVIATION",2,$F$1))))</f>
        <v/>
      </c>
      <c r="AL795" s="1" t="str">
        <f>IF(OR($B795="",AL$7=""),"",IF($B795="MEANS",INDEX('1-DATA'!$1:$1048576,$A794-1,COLUMN('1-DATA'!AK793)),ROUND(INDEX('1-DATA'!$1:$1048576,IF(OR($B795="STD. DEVIATION",$C$1=1),$A795,$A795+1),COLUMN('1-DATA'!AK793)),IF($B795="STD. DEVIATION",2,$F$1))))</f>
        <v/>
      </c>
      <c r="AM795" s="1" t="str">
        <f>IF(OR($B795="",AM$7=""),"",IF($B795="MEANS",INDEX('1-DATA'!$1:$1048576,$A794-1,COLUMN('1-DATA'!AL793)),ROUND(INDEX('1-DATA'!$1:$1048576,IF(OR($B795="STD. DEVIATION",$C$1=1),$A795,$A795+1),COLUMN('1-DATA'!AL793)),IF($B795="STD. DEVIATION",2,$F$1))))</f>
        <v/>
      </c>
      <c r="AN795" s="1" t="str">
        <f>IF(OR($B795="",AN$7=""),"",IF($B795="MEANS",INDEX('1-DATA'!$1:$1048576,$A794-1,COLUMN('1-DATA'!AM793)),ROUND(INDEX('1-DATA'!$1:$1048576,IF(OR($B795="STD. DEVIATION",$C$1=1),$A795,$A795+1),COLUMN('1-DATA'!AM793)),IF($B795="STD. DEVIATION",2,$F$1))))</f>
        <v/>
      </c>
      <c r="AO795" s="1" t="str">
        <f>IF(OR($B795="",AO$7=""),"",IF($B795="MEANS",INDEX('1-DATA'!$1:$1048576,$A794-1,COLUMN('1-DATA'!AN793)),ROUND(INDEX('1-DATA'!$1:$1048576,IF(OR($B795="STD. DEVIATION",$C$1=1),$A795,$A795+1),COLUMN('1-DATA'!AN793)),IF($B795="STD. DEVIATION",2,$F$1))))</f>
        <v/>
      </c>
      <c r="AP795" s="1" t="str">
        <f>IF(OR($B795="",AP$7=""),"",IF($B795="MEANS",INDEX('1-DATA'!$1:$1048576,$A794-1,COLUMN('1-DATA'!AO793)),ROUND(INDEX('1-DATA'!$1:$1048576,IF(OR($B795="STD. DEVIATION",$C$1=1),$A795,$A795+1),COLUMN('1-DATA'!AO793)),IF($B795="STD. DEVIATION",2,$F$1))))</f>
        <v/>
      </c>
      <c r="AQ795" s="1" t="str">
        <f>IF(OR($B795="",AQ$7=""),"",IF($B795="MEANS",INDEX('1-DATA'!$1:$1048576,$A794-1,COLUMN('1-DATA'!AP793)),ROUND(INDEX('1-DATA'!$1:$1048576,IF(OR($B795="STD. DEVIATION",$C$1=1),$A795,$A795+1),COLUMN('1-DATA'!AP793)),IF($B795="STD. DEVIATION",2,$F$1))))</f>
        <v/>
      </c>
      <c r="AR795" s="1" t="str">
        <f>IF(OR($B795="",AR$7=""),"",IF($B795="MEANS",INDEX('1-DATA'!$1:$1048576,$A794-1,COLUMN('1-DATA'!AQ793)),ROUND(INDEX('1-DATA'!$1:$1048576,IF(OR($B795="STD. DEVIATION",$C$1=1),$A795,$A795+1),COLUMN('1-DATA'!AQ793)),IF($B795="STD. DEVIATION",2,$F$1))))</f>
        <v/>
      </c>
      <c r="AS795" s="1" t="str">
        <f>IF(OR($B795="",AS$7=""),"",IF($B795="MEANS",INDEX('1-DATA'!$1:$1048576,$A794-1,COLUMN('1-DATA'!AR793)),ROUND(INDEX('1-DATA'!$1:$1048576,IF(OR($B795="STD. DEVIATION",$C$1=1),$A795,$A795+1),COLUMN('1-DATA'!AR793)),IF($B795="STD. DEVIATION",2,$F$1))))</f>
        <v/>
      </c>
      <c r="AT795" s="1" t="str">
        <f>IF(OR($B795="",AT$7=""),"",IF($B795="MEANS",INDEX('1-DATA'!$1:$1048576,$A794-1,COLUMN('1-DATA'!AS793)),ROUND(INDEX('1-DATA'!$1:$1048576,IF(OR($B795="STD. DEVIATION",$C$1=1),$A795,$A795+1),COLUMN('1-DATA'!AS793)),IF($B795="STD. DEVIATION",2,$F$1))))</f>
        <v/>
      </c>
      <c r="AU795" s="1" t="str">
        <f>IF(OR($B795="",AU$7=""),"",IF($B795="MEANS",INDEX('1-DATA'!$1:$1048576,$A794-1,COLUMN('1-DATA'!AT793)),ROUND(INDEX('1-DATA'!$1:$1048576,IF(OR($B795="STD. DEVIATION",$C$1=1),$A795,$A795+1),COLUMN('1-DATA'!AT793)),IF($B795="STD. DEVIATION",2,$F$1))))</f>
        <v/>
      </c>
      <c r="AV795" s="1" t="str">
        <f>IF(OR($B795="",AV$7=""),"",IF($B795="MEANS",INDEX('1-DATA'!$1:$1048576,$A794-1,COLUMN('1-DATA'!AU793)),ROUND(INDEX('1-DATA'!$1:$1048576,IF(OR($B795="STD. DEVIATION",$C$1=1),$A795,$A795+1),COLUMN('1-DATA'!AU793)),IF($B795="STD. DEVIATION",2,$F$1))))</f>
        <v/>
      </c>
      <c r="AW795" s="1" t="str">
        <f>IF(OR($B795="",AW$7=""),"",IF($B795="MEANS",INDEX('1-DATA'!$1:$1048576,$A794-1,COLUMN('1-DATA'!AV793)),ROUND(INDEX('1-DATA'!$1:$1048576,IF(OR($B795="STD. DEVIATION",$C$1=1),$A795,$A795+1),COLUMN('1-DATA'!AV793)),IF($B795="STD. DEVIATION",2,$F$1))))</f>
        <v/>
      </c>
      <c r="AX795" s="1" t="str">
        <f>IF(OR($B795="",AX$7=""),"",IF($B795="MEANS",INDEX('1-DATA'!$1:$1048576,$A794-1,COLUMN('1-DATA'!AW793)),ROUND(INDEX('1-DATA'!$1:$1048576,IF(OR($B795="STD. DEVIATION",$C$1=1),$A795,$A795+1),COLUMN('1-DATA'!AW793)),IF($B795="STD. DEVIATION",2,$F$1))))</f>
        <v/>
      </c>
      <c r="AY795" s="1" t="str">
        <f>IF(OR($B795="",AY$7=""),"",IF($B795="MEANS",INDEX('1-DATA'!$1:$1048576,$A794-1,COLUMN('1-DATA'!AX793)),ROUND(INDEX('1-DATA'!$1:$1048576,IF(OR($B795="STD. DEVIATION",$C$1=1),$A795,$A795+1),COLUMN('1-DATA'!AX793)),IF($B795="STD. DEVIATION",2,$F$1))))</f>
        <v/>
      </c>
      <c r="AZ795" s="1" t="str">
        <f>IF(OR($B795="",AZ$7=""),"",IF($B795="MEANS",INDEX('1-DATA'!$1:$1048576,$A794-1,COLUMN('1-DATA'!AY793)),ROUND(INDEX('1-DATA'!$1:$1048576,IF(OR($B795="STD. DEVIATION",$C$1=1),$A795,$A795+1),COLUMN('1-DATA'!AY793)),IF($B795="STD. DEVIATION",2,$F$1))))</f>
        <v/>
      </c>
    </row>
    <row r="796" spans="1:52" x14ac:dyDescent="0.25">
      <c r="A796" s="11">
        <f t="shared" si="12"/>
        <v>2374</v>
      </c>
      <c r="B796" s="1" t="str">
        <f>IF(B795="STD. DEVIATION",INDEX('1-DATA'!$1:$1048576,$A795-1,1),IF(INDEX('1-DATA'!$1:$1048576,$A796,1)&lt;&gt;"",INDEX('1-DATA'!$1:$1048576,$A796,1),""))</f>
        <v/>
      </c>
      <c r="C796" s="1" t="str">
        <f>IF(OR($B796="",C$7=""),"",IF($B796="MEANS",INDEX('1-DATA'!$1:$1048576,$A795-1,COLUMN('1-DATA'!B794)),ROUND(INDEX('1-DATA'!$1:$1048576,IF(OR($B796="STD. DEVIATION",$C$1=1),$A796,$A796+1),COLUMN('1-DATA'!B794)),IF($B796="STD. DEVIATION",2,$F$1))))</f>
        <v/>
      </c>
      <c r="D796" s="1" t="str">
        <f>IF(OR($B796="",D$7=""),"",IF($B796="MEANS",INDEX('1-DATA'!$1:$1048576,$A795-1,COLUMN('1-DATA'!C794)),ROUND(INDEX('1-DATA'!$1:$1048576,IF(OR($B796="STD. DEVIATION",$C$1=1),$A796,$A796+1),COLUMN('1-DATA'!C794)),IF($B796="STD. DEVIATION",2,$F$1))))</f>
        <v/>
      </c>
      <c r="E796" s="1" t="str">
        <f>IF(OR($B796="",E$7=""),"",IF($B796="MEANS",INDEX('1-DATA'!$1:$1048576,$A795-1,COLUMN('1-DATA'!D794)),ROUND(INDEX('1-DATA'!$1:$1048576,IF(OR($B796="STD. DEVIATION",$C$1=1),$A796,$A796+1),COLUMN('1-DATA'!D794)),IF($B796="STD. DEVIATION",2,$F$1))))</f>
        <v/>
      </c>
      <c r="F796" s="1" t="str">
        <f>IF(OR($B796="",F$7=""),"",IF($B796="MEANS",INDEX('1-DATA'!$1:$1048576,$A795-1,COLUMN('1-DATA'!E794)),ROUND(INDEX('1-DATA'!$1:$1048576,IF(OR($B796="STD. DEVIATION",$C$1=1),$A796,$A796+1),COLUMN('1-DATA'!E794)),IF($B796="STD. DEVIATION",2,$F$1))))</f>
        <v/>
      </c>
      <c r="G796" s="1" t="str">
        <f>IF(OR($B796="",G$7=""),"",IF($B796="MEANS",INDEX('1-DATA'!$1:$1048576,$A795-1,COLUMN('1-DATA'!F794)),ROUND(INDEX('1-DATA'!$1:$1048576,IF(OR($B796="STD. DEVIATION",$C$1=1),$A796,$A796+1),COLUMN('1-DATA'!F794)),IF($B796="STD. DEVIATION",2,$F$1))))</f>
        <v/>
      </c>
      <c r="H796" s="1" t="str">
        <f>IF(OR($B796="",H$7=""),"",IF($B796="MEANS",INDEX('1-DATA'!$1:$1048576,$A795-1,COLUMN('1-DATA'!G794)),ROUND(INDEX('1-DATA'!$1:$1048576,IF(OR($B796="STD. DEVIATION",$C$1=1),$A796,$A796+1),COLUMN('1-DATA'!G794)),IF($B796="STD. DEVIATION",2,$F$1))))</f>
        <v/>
      </c>
      <c r="I796" s="1" t="str">
        <f>IF(OR($B796="",I$7=""),"",IF($B796="MEANS",INDEX('1-DATA'!$1:$1048576,$A795-1,COLUMN('1-DATA'!H794)),ROUND(INDEX('1-DATA'!$1:$1048576,IF(OR($B796="STD. DEVIATION",$C$1=1),$A796,$A796+1),COLUMN('1-DATA'!H794)),IF($B796="STD. DEVIATION",2,$F$1))))</f>
        <v/>
      </c>
      <c r="J796" s="1" t="str">
        <f>IF(OR($B796="",J$7=""),"",IF($B796="MEANS",INDEX('1-DATA'!$1:$1048576,$A795-1,COLUMN('1-DATA'!I794)),ROUND(INDEX('1-DATA'!$1:$1048576,IF(OR($B796="STD. DEVIATION",$C$1=1),$A796,$A796+1),COLUMN('1-DATA'!I794)),IF($B796="STD. DEVIATION",2,$F$1))))</f>
        <v/>
      </c>
      <c r="K796" s="1" t="str">
        <f>IF(OR($B796="",K$7=""),"",IF($B796="MEANS",INDEX('1-DATA'!$1:$1048576,$A795-1,COLUMN('1-DATA'!J794)),ROUND(INDEX('1-DATA'!$1:$1048576,IF(OR($B796="STD. DEVIATION",$C$1=1),$A796,$A796+1),COLUMN('1-DATA'!J794)),IF($B796="STD. DEVIATION",2,$F$1))))</f>
        <v/>
      </c>
      <c r="L796" s="1" t="str">
        <f>IF(OR($B796="",L$7=""),"",IF($B796="MEANS",INDEX('1-DATA'!$1:$1048576,$A795-1,COLUMN('1-DATA'!K794)),ROUND(INDEX('1-DATA'!$1:$1048576,IF(OR($B796="STD. DEVIATION",$C$1=1),$A796,$A796+1),COLUMN('1-DATA'!K794)),IF($B796="STD. DEVIATION",2,$F$1))))</f>
        <v/>
      </c>
      <c r="M796" s="1" t="str">
        <f>IF(OR($B796="",M$7=""),"",IF($B796="MEANS",INDEX('1-DATA'!$1:$1048576,$A795-1,COLUMN('1-DATA'!L794)),ROUND(INDEX('1-DATA'!$1:$1048576,IF(OR($B796="STD. DEVIATION",$C$1=1),$A796,$A796+1),COLUMN('1-DATA'!L794)),IF($B796="STD. DEVIATION",2,$F$1))))</f>
        <v/>
      </c>
      <c r="N796" s="1" t="str">
        <f>IF(OR($B796="",N$7=""),"",IF($B796="MEANS",INDEX('1-DATA'!$1:$1048576,$A795-1,COLUMN('1-DATA'!M794)),ROUND(INDEX('1-DATA'!$1:$1048576,IF(OR($B796="STD. DEVIATION",$C$1=1),$A796,$A796+1),COLUMN('1-DATA'!M794)),IF($B796="STD. DEVIATION",2,$F$1))))</f>
        <v/>
      </c>
      <c r="O796" s="1" t="str">
        <f>IF(OR($B796="",O$7=""),"",IF($B796="MEANS",INDEX('1-DATA'!$1:$1048576,$A795-1,COLUMN('1-DATA'!N794)),ROUND(INDEX('1-DATA'!$1:$1048576,IF(OR($B796="STD. DEVIATION",$C$1=1),$A796,$A796+1),COLUMN('1-DATA'!N794)),IF($B796="STD. DEVIATION",2,$F$1))))</f>
        <v/>
      </c>
      <c r="P796" s="1" t="str">
        <f>IF(OR($B796="",P$7=""),"",IF($B796="MEANS",INDEX('1-DATA'!$1:$1048576,$A795-1,COLUMN('1-DATA'!O794)),ROUND(INDEX('1-DATA'!$1:$1048576,IF(OR($B796="STD. DEVIATION",$C$1=1),$A796,$A796+1),COLUMN('1-DATA'!O794)),IF($B796="STD. DEVIATION",2,$F$1))))</f>
        <v/>
      </c>
      <c r="Q796" s="1" t="str">
        <f>IF(OR($B796="",Q$7=""),"",IF($B796="MEANS",INDEX('1-DATA'!$1:$1048576,$A795-1,COLUMN('1-DATA'!P794)),ROUND(INDEX('1-DATA'!$1:$1048576,IF(OR($B796="STD. DEVIATION",$C$1=1),$A796,$A796+1),COLUMN('1-DATA'!P794)),IF($B796="STD. DEVIATION",2,$F$1))))</f>
        <v/>
      </c>
      <c r="R796" s="1" t="str">
        <f>IF(OR($B796="",R$7=""),"",IF($B796="MEANS",INDEX('1-DATA'!$1:$1048576,$A795-1,COLUMN('1-DATA'!Q794)),ROUND(INDEX('1-DATA'!$1:$1048576,IF(OR($B796="STD. DEVIATION",$C$1=1),$A796,$A796+1),COLUMN('1-DATA'!Q794)),IF($B796="STD. DEVIATION",2,$F$1))))</f>
        <v/>
      </c>
      <c r="S796" s="1" t="str">
        <f>IF(OR($B796="",S$7=""),"",IF($B796="MEANS",INDEX('1-DATA'!$1:$1048576,$A795-1,COLUMN('1-DATA'!R794)),ROUND(INDEX('1-DATA'!$1:$1048576,IF(OR($B796="STD. DEVIATION",$C$1=1),$A796,$A796+1),COLUMN('1-DATA'!R794)),IF($B796="STD. DEVIATION",2,$F$1))))</f>
        <v/>
      </c>
      <c r="T796" s="1" t="str">
        <f>IF(OR($B796="",T$7=""),"",IF($B796="MEANS",INDEX('1-DATA'!$1:$1048576,$A795-1,COLUMN('1-DATA'!S794)),ROUND(INDEX('1-DATA'!$1:$1048576,IF(OR($B796="STD. DEVIATION",$C$1=1),$A796,$A796+1),COLUMN('1-DATA'!S794)),IF($B796="STD. DEVIATION",2,$F$1))))</f>
        <v/>
      </c>
      <c r="U796" s="1" t="str">
        <f>IF(OR($B796="",U$7=""),"",IF($B796="MEANS",INDEX('1-DATA'!$1:$1048576,$A795-1,COLUMN('1-DATA'!T794)),ROUND(INDEX('1-DATA'!$1:$1048576,IF(OR($B796="STD. DEVIATION",$C$1=1),$A796,$A796+1),COLUMN('1-DATA'!T794)),IF($B796="STD. DEVIATION",2,$F$1))))</f>
        <v/>
      </c>
      <c r="V796" s="1" t="str">
        <f>IF(OR($B796="",V$7=""),"",IF($B796="MEANS",INDEX('1-DATA'!$1:$1048576,$A795-1,COLUMN('1-DATA'!U794)),ROUND(INDEX('1-DATA'!$1:$1048576,IF(OR($B796="STD. DEVIATION",$C$1=1),$A796,$A796+1),COLUMN('1-DATA'!U794)),IF($B796="STD. DEVIATION",2,$F$1))))</f>
        <v/>
      </c>
      <c r="W796" s="1" t="str">
        <f>IF(OR($B796="",W$7=""),"",IF($B796="MEANS",INDEX('1-DATA'!$1:$1048576,$A795-1,COLUMN('1-DATA'!V794)),ROUND(INDEX('1-DATA'!$1:$1048576,IF(OR($B796="STD. DEVIATION",$C$1=1),$A796,$A796+1),COLUMN('1-DATA'!V794)),IF($B796="STD. DEVIATION",2,$F$1))))</f>
        <v/>
      </c>
      <c r="X796" s="1" t="str">
        <f>IF(OR($B796="",X$7=""),"",IF($B796="MEANS",INDEX('1-DATA'!$1:$1048576,$A795-1,COLUMN('1-DATA'!W794)),ROUND(INDEX('1-DATA'!$1:$1048576,IF(OR($B796="STD. DEVIATION",$C$1=1),$A796,$A796+1),COLUMN('1-DATA'!W794)),IF($B796="STD. DEVIATION",2,$F$1))))</f>
        <v/>
      </c>
      <c r="Y796" s="1" t="str">
        <f>IF(OR($B796="",Y$7=""),"",IF($B796="MEANS",INDEX('1-DATA'!$1:$1048576,$A795-1,COLUMN('1-DATA'!X794)),ROUND(INDEX('1-DATA'!$1:$1048576,IF(OR($B796="STD. DEVIATION",$C$1=1),$A796,$A796+1),COLUMN('1-DATA'!X794)),IF($B796="STD. DEVIATION",2,$F$1))))</f>
        <v/>
      </c>
      <c r="Z796" s="1" t="str">
        <f>IF(OR($B796="",Z$7=""),"",IF($B796="MEANS",INDEX('1-DATA'!$1:$1048576,$A795-1,COLUMN('1-DATA'!Y794)),ROUND(INDEX('1-DATA'!$1:$1048576,IF(OR($B796="STD. DEVIATION",$C$1=1),$A796,$A796+1),COLUMN('1-DATA'!Y794)),IF($B796="STD. DEVIATION",2,$F$1))))</f>
        <v/>
      </c>
      <c r="AA796" s="1" t="str">
        <f>IF(OR($B796="",AA$7=""),"",IF($B796="MEANS",INDEX('1-DATA'!$1:$1048576,$A795-1,COLUMN('1-DATA'!Z794)),ROUND(INDEX('1-DATA'!$1:$1048576,IF(OR($B796="STD. DEVIATION",$C$1=1),$A796,$A796+1),COLUMN('1-DATA'!Z794)),IF($B796="STD. DEVIATION",2,$F$1))))</f>
        <v/>
      </c>
      <c r="AB796" s="1" t="str">
        <f>IF(OR($B796="",AB$7=""),"",IF($B796="MEANS",INDEX('1-DATA'!$1:$1048576,$A795-1,COLUMN('1-DATA'!AA794)),ROUND(INDEX('1-DATA'!$1:$1048576,IF(OR($B796="STD. DEVIATION",$C$1=1),$A796,$A796+1),COLUMN('1-DATA'!AA794)),IF($B796="STD. DEVIATION",2,$F$1))))</f>
        <v/>
      </c>
      <c r="AC796" s="1" t="str">
        <f>IF(OR($B796="",AC$7=""),"",IF($B796="MEANS",INDEX('1-DATA'!$1:$1048576,$A795-1,COLUMN('1-DATA'!AB794)),ROUND(INDEX('1-DATA'!$1:$1048576,IF(OR($B796="STD. DEVIATION",$C$1=1),$A796,$A796+1),COLUMN('1-DATA'!AB794)),IF($B796="STD. DEVIATION",2,$F$1))))</f>
        <v/>
      </c>
      <c r="AD796" s="1" t="str">
        <f>IF(OR($B796="",AD$7=""),"",IF($B796="MEANS",INDEX('1-DATA'!$1:$1048576,$A795-1,COLUMN('1-DATA'!AC794)),ROUND(INDEX('1-DATA'!$1:$1048576,IF(OR($B796="STD. DEVIATION",$C$1=1),$A796,$A796+1),COLUMN('1-DATA'!AC794)),IF($B796="STD. DEVIATION",2,$F$1))))</f>
        <v/>
      </c>
      <c r="AE796" s="1" t="str">
        <f>IF(OR($B796="",AE$7=""),"",IF($B796="MEANS",INDEX('1-DATA'!$1:$1048576,$A795-1,COLUMN('1-DATA'!AD794)),ROUND(INDEX('1-DATA'!$1:$1048576,IF(OR($B796="STD. DEVIATION",$C$1=1),$A796,$A796+1),COLUMN('1-DATA'!AD794)),IF($B796="STD. DEVIATION",2,$F$1))))</f>
        <v/>
      </c>
      <c r="AF796" s="1" t="str">
        <f>IF(OR($B796="",AF$7=""),"",IF($B796="MEANS",INDEX('1-DATA'!$1:$1048576,$A795-1,COLUMN('1-DATA'!AE794)),ROUND(INDEX('1-DATA'!$1:$1048576,IF(OR($B796="STD. DEVIATION",$C$1=1),$A796,$A796+1),COLUMN('1-DATA'!AE794)),IF($B796="STD. DEVIATION",2,$F$1))))</f>
        <v/>
      </c>
      <c r="AG796" s="1" t="str">
        <f>IF(OR($B796="",AG$7=""),"",IF($B796="MEANS",INDEX('1-DATA'!$1:$1048576,$A795-1,COLUMN('1-DATA'!AF794)),ROUND(INDEX('1-DATA'!$1:$1048576,IF(OR($B796="STD. DEVIATION",$C$1=1),$A796,$A796+1),COLUMN('1-DATA'!AF794)),IF($B796="STD. DEVIATION",2,$F$1))))</f>
        <v/>
      </c>
      <c r="AH796" s="1" t="str">
        <f>IF(OR($B796="",AH$7=""),"",IF($B796="MEANS",INDEX('1-DATA'!$1:$1048576,$A795-1,COLUMN('1-DATA'!AG794)),ROUND(INDEX('1-DATA'!$1:$1048576,IF(OR($B796="STD. DEVIATION",$C$1=1),$A796,$A796+1),COLUMN('1-DATA'!AG794)),IF($B796="STD. DEVIATION",2,$F$1))))</f>
        <v/>
      </c>
      <c r="AI796" s="1" t="str">
        <f>IF(OR($B796="",AI$7=""),"",IF($B796="MEANS",INDEX('1-DATA'!$1:$1048576,$A795-1,COLUMN('1-DATA'!AH794)),ROUND(INDEX('1-DATA'!$1:$1048576,IF(OR($B796="STD. DEVIATION",$C$1=1),$A796,$A796+1),COLUMN('1-DATA'!AH794)),IF($B796="STD. DEVIATION",2,$F$1))))</f>
        <v/>
      </c>
      <c r="AJ796" s="1" t="str">
        <f>IF(OR($B796="",AJ$7=""),"",IF($B796="MEANS",INDEX('1-DATA'!$1:$1048576,$A795-1,COLUMN('1-DATA'!AI794)),ROUND(INDEX('1-DATA'!$1:$1048576,IF(OR($B796="STD. DEVIATION",$C$1=1),$A796,$A796+1),COLUMN('1-DATA'!AI794)),IF($B796="STD. DEVIATION",2,$F$1))))</f>
        <v/>
      </c>
      <c r="AK796" s="1" t="str">
        <f>IF(OR($B796="",AK$7=""),"",IF($B796="MEANS",INDEX('1-DATA'!$1:$1048576,$A795-1,COLUMN('1-DATA'!AJ794)),ROUND(INDEX('1-DATA'!$1:$1048576,IF(OR($B796="STD. DEVIATION",$C$1=1),$A796,$A796+1),COLUMN('1-DATA'!AJ794)),IF($B796="STD. DEVIATION",2,$F$1))))</f>
        <v/>
      </c>
      <c r="AL796" s="1" t="str">
        <f>IF(OR($B796="",AL$7=""),"",IF($B796="MEANS",INDEX('1-DATA'!$1:$1048576,$A795-1,COLUMN('1-DATA'!AK794)),ROUND(INDEX('1-DATA'!$1:$1048576,IF(OR($B796="STD. DEVIATION",$C$1=1),$A796,$A796+1),COLUMN('1-DATA'!AK794)),IF($B796="STD. DEVIATION",2,$F$1))))</f>
        <v/>
      </c>
      <c r="AM796" s="1" t="str">
        <f>IF(OR($B796="",AM$7=""),"",IF($B796="MEANS",INDEX('1-DATA'!$1:$1048576,$A795-1,COLUMN('1-DATA'!AL794)),ROUND(INDEX('1-DATA'!$1:$1048576,IF(OR($B796="STD. DEVIATION",$C$1=1),$A796,$A796+1),COLUMN('1-DATA'!AL794)),IF($B796="STD. DEVIATION",2,$F$1))))</f>
        <v/>
      </c>
      <c r="AN796" s="1" t="str">
        <f>IF(OR($B796="",AN$7=""),"",IF($B796="MEANS",INDEX('1-DATA'!$1:$1048576,$A795-1,COLUMN('1-DATA'!AM794)),ROUND(INDEX('1-DATA'!$1:$1048576,IF(OR($B796="STD. DEVIATION",$C$1=1),$A796,$A796+1),COLUMN('1-DATA'!AM794)),IF($B796="STD. DEVIATION",2,$F$1))))</f>
        <v/>
      </c>
      <c r="AO796" s="1" t="str">
        <f>IF(OR($B796="",AO$7=""),"",IF($B796="MEANS",INDEX('1-DATA'!$1:$1048576,$A795-1,COLUMN('1-DATA'!AN794)),ROUND(INDEX('1-DATA'!$1:$1048576,IF(OR($B796="STD. DEVIATION",$C$1=1),$A796,$A796+1),COLUMN('1-DATA'!AN794)),IF($B796="STD. DEVIATION",2,$F$1))))</f>
        <v/>
      </c>
      <c r="AP796" s="1" t="str">
        <f>IF(OR($B796="",AP$7=""),"",IF($B796="MEANS",INDEX('1-DATA'!$1:$1048576,$A795-1,COLUMN('1-DATA'!AO794)),ROUND(INDEX('1-DATA'!$1:$1048576,IF(OR($B796="STD. DEVIATION",$C$1=1),$A796,$A796+1),COLUMN('1-DATA'!AO794)),IF($B796="STD. DEVIATION",2,$F$1))))</f>
        <v/>
      </c>
      <c r="AQ796" s="1" t="str">
        <f>IF(OR($B796="",AQ$7=""),"",IF($B796="MEANS",INDEX('1-DATA'!$1:$1048576,$A795-1,COLUMN('1-DATA'!AP794)),ROUND(INDEX('1-DATA'!$1:$1048576,IF(OR($B796="STD. DEVIATION",$C$1=1),$A796,$A796+1),COLUMN('1-DATA'!AP794)),IF($B796="STD. DEVIATION",2,$F$1))))</f>
        <v/>
      </c>
      <c r="AR796" s="1" t="str">
        <f>IF(OR($B796="",AR$7=""),"",IF($B796="MEANS",INDEX('1-DATA'!$1:$1048576,$A795-1,COLUMN('1-DATA'!AQ794)),ROUND(INDEX('1-DATA'!$1:$1048576,IF(OR($B796="STD. DEVIATION",$C$1=1),$A796,$A796+1),COLUMN('1-DATA'!AQ794)),IF($B796="STD. DEVIATION",2,$F$1))))</f>
        <v/>
      </c>
      <c r="AS796" s="1" t="str">
        <f>IF(OR($B796="",AS$7=""),"",IF($B796="MEANS",INDEX('1-DATA'!$1:$1048576,$A795-1,COLUMN('1-DATA'!AR794)),ROUND(INDEX('1-DATA'!$1:$1048576,IF(OR($B796="STD. DEVIATION",$C$1=1),$A796,$A796+1),COLUMN('1-DATA'!AR794)),IF($B796="STD. DEVIATION",2,$F$1))))</f>
        <v/>
      </c>
      <c r="AT796" s="1" t="str">
        <f>IF(OR($B796="",AT$7=""),"",IF($B796="MEANS",INDEX('1-DATA'!$1:$1048576,$A795-1,COLUMN('1-DATA'!AS794)),ROUND(INDEX('1-DATA'!$1:$1048576,IF(OR($B796="STD. DEVIATION",$C$1=1),$A796,$A796+1),COLUMN('1-DATA'!AS794)),IF($B796="STD. DEVIATION",2,$F$1))))</f>
        <v/>
      </c>
      <c r="AU796" s="1" t="str">
        <f>IF(OR($B796="",AU$7=""),"",IF($B796="MEANS",INDEX('1-DATA'!$1:$1048576,$A795-1,COLUMN('1-DATA'!AT794)),ROUND(INDEX('1-DATA'!$1:$1048576,IF(OR($B796="STD. DEVIATION",$C$1=1),$A796,$A796+1),COLUMN('1-DATA'!AT794)),IF($B796="STD. DEVIATION",2,$F$1))))</f>
        <v/>
      </c>
      <c r="AV796" s="1" t="str">
        <f>IF(OR($B796="",AV$7=""),"",IF($B796="MEANS",INDEX('1-DATA'!$1:$1048576,$A795-1,COLUMN('1-DATA'!AU794)),ROUND(INDEX('1-DATA'!$1:$1048576,IF(OR($B796="STD. DEVIATION",$C$1=1),$A796,$A796+1),COLUMN('1-DATA'!AU794)),IF($B796="STD. DEVIATION",2,$F$1))))</f>
        <v/>
      </c>
      <c r="AW796" s="1" t="str">
        <f>IF(OR($B796="",AW$7=""),"",IF($B796="MEANS",INDEX('1-DATA'!$1:$1048576,$A795-1,COLUMN('1-DATA'!AV794)),ROUND(INDEX('1-DATA'!$1:$1048576,IF(OR($B796="STD. DEVIATION",$C$1=1),$A796,$A796+1),COLUMN('1-DATA'!AV794)),IF($B796="STD. DEVIATION",2,$F$1))))</f>
        <v/>
      </c>
      <c r="AX796" s="1" t="str">
        <f>IF(OR($B796="",AX$7=""),"",IF($B796="MEANS",INDEX('1-DATA'!$1:$1048576,$A795-1,COLUMN('1-DATA'!AW794)),ROUND(INDEX('1-DATA'!$1:$1048576,IF(OR($B796="STD. DEVIATION",$C$1=1),$A796,$A796+1),COLUMN('1-DATA'!AW794)),IF($B796="STD. DEVIATION",2,$F$1))))</f>
        <v/>
      </c>
      <c r="AY796" s="1" t="str">
        <f>IF(OR($B796="",AY$7=""),"",IF($B796="MEANS",INDEX('1-DATA'!$1:$1048576,$A795-1,COLUMN('1-DATA'!AX794)),ROUND(INDEX('1-DATA'!$1:$1048576,IF(OR($B796="STD. DEVIATION",$C$1=1),$A796,$A796+1),COLUMN('1-DATA'!AX794)),IF($B796="STD. DEVIATION",2,$F$1))))</f>
        <v/>
      </c>
      <c r="AZ796" s="1" t="str">
        <f>IF(OR($B796="",AZ$7=""),"",IF($B796="MEANS",INDEX('1-DATA'!$1:$1048576,$A795-1,COLUMN('1-DATA'!AY794)),ROUND(INDEX('1-DATA'!$1:$1048576,IF(OR($B796="STD. DEVIATION",$C$1=1),$A796,$A796+1),COLUMN('1-DATA'!AY794)),IF($B796="STD. DEVIATION",2,$F$1))))</f>
        <v/>
      </c>
    </row>
    <row r="797" spans="1:52" x14ac:dyDescent="0.25">
      <c r="A797" s="11">
        <f t="shared" si="12"/>
        <v>2377</v>
      </c>
      <c r="B797" s="1" t="str">
        <f>IF(B796="STD. DEVIATION",INDEX('1-DATA'!$1:$1048576,$A796-1,1),IF(INDEX('1-DATA'!$1:$1048576,$A797,1)&lt;&gt;"",INDEX('1-DATA'!$1:$1048576,$A797,1),""))</f>
        <v/>
      </c>
      <c r="C797" s="1" t="str">
        <f>IF(OR($B797="",C$7=""),"",IF($B797="MEANS",INDEX('1-DATA'!$1:$1048576,$A796-1,COLUMN('1-DATA'!B795)),ROUND(INDEX('1-DATA'!$1:$1048576,IF(OR($B797="STD. DEVIATION",$C$1=1),$A797,$A797+1),COLUMN('1-DATA'!B795)),IF($B797="STD. DEVIATION",2,$F$1))))</f>
        <v/>
      </c>
      <c r="D797" s="1" t="str">
        <f>IF(OR($B797="",D$7=""),"",IF($B797="MEANS",INDEX('1-DATA'!$1:$1048576,$A796-1,COLUMN('1-DATA'!C795)),ROUND(INDEX('1-DATA'!$1:$1048576,IF(OR($B797="STD. DEVIATION",$C$1=1),$A797,$A797+1),COLUMN('1-DATA'!C795)),IF($B797="STD. DEVIATION",2,$F$1))))</f>
        <v/>
      </c>
      <c r="E797" s="1" t="str">
        <f>IF(OR($B797="",E$7=""),"",IF($B797="MEANS",INDEX('1-DATA'!$1:$1048576,$A796-1,COLUMN('1-DATA'!D795)),ROUND(INDEX('1-DATA'!$1:$1048576,IF(OR($B797="STD. DEVIATION",$C$1=1),$A797,$A797+1),COLUMN('1-DATA'!D795)),IF($B797="STD. DEVIATION",2,$F$1))))</f>
        <v/>
      </c>
      <c r="F797" s="1" t="str">
        <f>IF(OR($B797="",F$7=""),"",IF($B797="MEANS",INDEX('1-DATA'!$1:$1048576,$A796-1,COLUMN('1-DATA'!E795)),ROUND(INDEX('1-DATA'!$1:$1048576,IF(OR($B797="STD. DEVIATION",$C$1=1),$A797,$A797+1),COLUMN('1-DATA'!E795)),IF($B797="STD. DEVIATION",2,$F$1))))</f>
        <v/>
      </c>
      <c r="G797" s="1" t="str">
        <f>IF(OR($B797="",G$7=""),"",IF($B797="MEANS",INDEX('1-DATA'!$1:$1048576,$A796-1,COLUMN('1-DATA'!F795)),ROUND(INDEX('1-DATA'!$1:$1048576,IF(OR($B797="STD. DEVIATION",$C$1=1),$A797,$A797+1),COLUMN('1-DATA'!F795)),IF($B797="STD. DEVIATION",2,$F$1))))</f>
        <v/>
      </c>
      <c r="H797" s="1" t="str">
        <f>IF(OR($B797="",H$7=""),"",IF($B797="MEANS",INDEX('1-DATA'!$1:$1048576,$A796-1,COLUMN('1-DATA'!G795)),ROUND(INDEX('1-DATA'!$1:$1048576,IF(OR($B797="STD. DEVIATION",$C$1=1),$A797,$A797+1),COLUMN('1-DATA'!G795)),IF($B797="STD. DEVIATION",2,$F$1))))</f>
        <v/>
      </c>
      <c r="I797" s="1" t="str">
        <f>IF(OR($B797="",I$7=""),"",IF($B797="MEANS",INDEX('1-DATA'!$1:$1048576,$A796-1,COLUMN('1-DATA'!H795)),ROUND(INDEX('1-DATA'!$1:$1048576,IF(OR($B797="STD. DEVIATION",$C$1=1),$A797,$A797+1),COLUMN('1-DATA'!H795)),IF($B797="STD. DEVIATION",2,$F$1))))</f>
        <v/>
      </c>
      <c r="J797" s="1" t="str">
        <f>IF(OR($B797="",J$7=""),"",IF($B797="MEANS",INDEX('1-DATA'!$1:$1048576,$A796-1,COLUMN('1-DATA'!I795)),ROUND(INDEX('1-DATA'!$1:$1048576,IF(OR($B797="STD. DEVIATION",$C$1=1),$A797,$A797+1),COLUMN('1-DATA'!I795)),IF($B797="STD. DEVIATION",2,$F$1))))</f>
        <v/>
      </c>
      <c r="K797" s="1" t="str">
        <f>IF(OR($B797="",K$7=""),"",IF($B797="MEANS",INDEX('1-DATA'!$1:$1048576,$A796-1,COLUMN('1-DATA'!J795)),ROUND(INDEX('1-DATA'!$1:$1048576,IF(OR($B797="STD. DEVIATION",$C$1=1),$A797,$A797+1),COLUMN('1-DATA'!J795)),IF($B797="STD. DEVIATION",2,$F$1))))</f>
        <v/>
      </c>
      <c r="L797" s="1" t="str">
        <f>IF(OR($B797="",L$7=""),"",IF($B797="MEANS",INDEX('1-DATA'!$1:$1048576,$A796-1,COLUMN('1-DATA'!K795)),ROUND(INDEX('1-DATA'!$1:$1048576,IF(OR($B797="STD. DEVIATION",$C$1=1),$A797,$A797+1),COLUMN('1-DATA'!K795)),IF($B797="STD. DEVIATION",2,$F$1))))</f>
        <v/>
      </c>
      <c r="M797" s="1" t="str">
        <f>IF(OR($B797="",M$7=""),"",IF($B797="MEANS",INDEX('1-DATA'!$1:$1048576,$A796-1,COLUMN('1-DATA'!L795)),ROUND(INDEX('1-DATA'!$1:$1048576,IF(OR($B797="STD. DEVIATION",$C$1=1),$A797,$A797+1),COLUMN('1-DATA'!L795)),IF($B797="STD. DEVIATION",2,$F$1))))</f>
        <v/>
      </c>
      <c r="N797" s="1" t="str">
        <f>IF(OR($B797="",N$7=""),"",IF($B797="MEANS",INDEX('1-DATA'!$1:$1048576,$A796-1,COLUMN('1-DATA'!M795)),ROUND(INDEX('1-DATA'!$1:$1048576,IF(OR($B797="STD. DEVIATION",$C$1=1),$A797,$A797+1),COLUMN('1-DATA'!M795)),IF($B797="STD. DEVIATION",2,$F$1))))</f>
        <v/>
      </c>
      <c r="O797" s="1" t="str">
        <f>IF(OR($B797="",O$7=""),"",IF($B797="MEANS",INDEX('1-DATA'!$1:$1048576,$A796-1,COLUMN('1-DATA'!N795)),ROUND(INDEX('1-DATA'!$1:$1048576,IF(OR($B797="STD. DEVIATION",$C$1=1),$A797,$A797+1),COLUMN('1-DATA'!N795)),IF($B797="STD. DEVIATION",2,$F$1))))</f>
        <v/>
      </c>
      <c r="P797" s="1" t="str">
        <f>IF(OR($B797="",P$7=""),"",IF($B797="MEANS",INDEX('1-DATA'!$1:$1048576,$A796-1,COLUMN('1-DATA'!O795)),ROUND(INDEX('1-DATA'!$1:$1048576,IF(OR($B797="STD. DEVIATION",$C$1=1),$A797,$A797+1),COLUMN('1-DATA'!O795)),IF($B797="STD. DEVIATION",2,$F$1))))</f>
        <v/>
      </c>
      <c r="Q797" s="1" t="str">
        <f>IF(OR($B797="",Q$7=""),"",IF($B797="MEANS",INDEX('1-DATA'!$1:$1048576,$A796-1,COLUMN('1-DATA'!P795)),ROUND(INDEX('1-DATA'!$1:$1048576,IF(OR($B797="STD. DEVIATION",$C$1=1),$A797,$A797+1),COLUMN('1-DATA'!P795)),IF($B797="STD. DEVIATION",2,$F$1))))</f>
        <v/>
      </c>
      <c r="R797" s="1" t="str">
        <f>IF(OR($B797="",R$7=""),"",IF($B797="MEANS",INDEX('1-DATA'!$1:$1048576,$A796-1,COLUMN('1-DATA'!Q795)),ROUND(INDEX('1-DATA'!$1:$1048576,IF(OR($B797="STD. DEVIATION",$C$1=1),$A797,$A797+1),COLUMN('1-DATA'!Q795)),IF($B797="STD. DEVIATION",2,$F$1))))</f>
        <v/>
      </c>
      <c r="S797" s="1" t="str">
        <f>IF(OR($B797="",S$7=""),"",IF($B797="MEANS",INDEX('1-DATA'!$1:$1048576,$A796-1,COLUMN('1-DATA'!R795)),ROUND(INDEX('1-DATA'!$1:$1048576,IF(OR($B797="STD. DEVIATION",$C$1=1),$A797,$A797+1),COLUMN('1-DATA'!R795)),IF($B797="STD. DEVIATION",2,$F$1))))</f>
        <v/>
      </c>
      <c r="T797" s="1" t="str">
        <f>IF(OR($B797="",T$7=""),"",IF($B797="MEANS",INDEX('1-DATA'!$1:$1048576,$A796-1,COLUMN('1-DATA'!S795)),ROUND(INDEX('1-DATA'!$1:$1048576,IF(OR($B797="STD. DEVIATION",$C$1=1),$A797,$A797+1),COLUMN('1-DATA'!S795)),IF($B797="STD. DEVIATION",2,$F$1))))</f>
        <v/>
      </c>
      <c r="U797" s="1" t="str">
        <f>IF(OR($B797="",U$7=""),"",IF($B797="MEANS",INDEX('1-DATA'!$1:$1048576,$A796-1,COLUMN('1-DATA'!T795)),ROUND(INDEX('1-DATA'!$1:$1048576,IF(OR($B797="STD. DEVIATION",$C$1=1),$A797,$A797+1),COLUMN('1-DATA'!T795)),IF($B797="STD. DEVIATION",2,$F$1))))</f>
        <v/>
      </c>
      <c r="V797" s="1" t="str">
        <f>IF(OR($B797="",V$7=""),"",IF($B797="MEANS",INDEX('1-DATA'!$1:$1048576,$A796-1,COLUMN('1-DATA'!U795)),ROUND(INDEX('1-DATA'!$1:$1048576,IF(OR($B797="STD. DEVIATION",$C$1=1),$A797,$A797+1),COLUMN('1-DATA'!U795)),IF($B797="STD. DEVIATION",2,$F$1))))</f>
        <v/>
      </c>
      <c r="W797" s="1" t="str">
        <f>IF(OR($B797="",W$7=""),"",IF($B797="MEANS",INDEX('1-DATA'!$1:$1048576,$A796-1,COLUMN('1-DATA'!V795)),ROUND(INDEX('1-DATA'!$1:$1048576,IF(OR($B797="STD. DEVIATION",$C$1=1),$A797,$A797+1),COLUMN('1-DATA'!V795)),IF($B797="STD. DEVIATION",2,$F$1))))</f>
        <v/>
      </c>
      <c r="X797" s="1" t="str">
        <f>IF(OR($B797="",X$7=""),"",IF($B797="MEANS",INDEX('1-DATA'!$1:$1048576,$A796-1,COLUMN('1-DATA'!W795)),ROUND(INDEX('1-DATA'!$1:$1048576,IF(OR($B797="STD. DEVIATION",$C$1=1),$A797,$A797+1),COLUMN('1-DATA'!W795)),IF($B797="STD. DEVIATION",2,$F$1))))</f>
        <v/>
      </c>
      <c r="Y797" s="1" t="str">
        <f>IF(OR($B797="",Y$7=""),"",IF($B797="MEANS",INDEX('1-DATA'!$1:$1048576,$A796-1,COLUMN('1-DATA'!X795)),ROUND(INDEX('1-DATA'!$1:$1048576,IF(OR($B797="STD. DEVIATION",$C$1=1),$A797,$A797+1),COLUMN('1-DATA'!X795)),IF($B797="STD. DEVIATION",2,$F$1))))</f>
        <v/>
      </c>
      <c r="Z797" s="1" t="str">
        <f>IF(OR($B797="",Z$7=""),"",IF($B797="MEANS",INDEX('1-DATA'!$1:$1048576,$A796-1,COLUMN('1-DATA'!Y795)),ROUND(INDEX('1-DATA'!$1:$1048576,IF(OR($B797="STD. DEVIATION",$C$1=1),$A797,$A797+1),COLUMN('1-DATA'!Y795)),IF($B797="STD. DEVIATION",2,$F$1))))</f>
        <v/>
      </c>
      <c r="AA797" s="1" t="str">
        <f>IF(OR($B797="",AA$7=""),"",IF($B797="MEANS",INDEX('1-DATA'!$1:$1048576,$A796-1,COLUMN('1-DATA'!Z795)),ROUND(INDEX('1-DATA'!$1:$1048576,IF(OR($B797="STD. DEVIATION",$C$1=1),$A797,$A797+1),COLUMN('1-DATA'!Z795)),IF($B797="STD. DEVIATION",2,$F$1))))</f>
        <v/>
      </c>
      <c r="AB797" s="1" t="str">
        <f>IF(OR($B797="",AB$7=""),"",IF($B797="MEANS",INDEX('1-DATA'!$1:$1048576,$A796-1,COLUMN('1-DATA'!AA795)),ROUND(INDEX('1-DATA'!$1:$1048576,IF(OR($B797="STD. DEVIATION",$C$1=1),$A797,$A797+1),COLUMN('1-DATA'!AA795)),IF($B797="STD. DEVIATION",2,$F$1))))</f>
        <v/>
      </c>
      <c r="AC797" s="1" t="str">
        <f>IF(OR($B797="",AC$7=""),"",IF($B797="MEANS",INDEX('1-DATA'!$1:$1048576,$A796-1,COLUMN('1-DATA'!AB795)),ROUND(INDEX('1-DATA'!$1:$1048576,IF(OR($B797="STD. DEVIATION",$C$1=1),$A797,$A797+1),COLUMN('1-DATA'!AB795)),IF($B797="STD. DEVIATION",2,$F$1))))</f>
        <v/>
      </c>
      <c r="AD797" s="1" t="str">
        <f>IF(OR($B797="",AD$7=""),"",IF($B797="MEANS",INDEX('1-DATA'!$1:$1048576,$A796-1,COLUMN('1-DATA'!AC795)),ROUND(INDEX('1-DATA'!$1:$1048576,IF(OR($B797="STD. DEVIATION",$C$1=1),$A797,$A797+1),COLUMN('1-DATA'!AC795)),IF($B797="STD. DEVIATION",2,$F$1))))</f>
        <v/>
      </c>
      <c r="AE797" s="1" t="str">
        <f>IF(OR($B797="",AE$7=""),"",IF($B797="MEANS",INDEX('1-DATA'!$1:$1048576,$A796-1,COLUMN('1-DATA'!AD795)),ROUND(INDEX('1-DATA'!$1:$1048576,IF(OR($B797="STD. DEVIATION",$C$1=1),$A797,$A797+1),COLUMN('1-DATA'!AD795)),IF($B797="STD. DEVIATION",2,$F$1))))</f>
        <v/>
      </c>
      <c r="AF797" s="1" t="str">
        <f>IF(OR($B797="",AF$7=""),"",IF($B797="MEANS",INDEX('1-DATA'!$1:$1048576,$A796-1,COLUMN('1-DATA'!AE795)),ROUND(INDEX('1-DATA'!$1:$1048576,IF(OR($B797="STD. DEVIATION",$C$1=1),$A797,$A797+1),COLUMN('1-DATA'!AE795)),IF($B797="STD. DEVIATION",2,$F$1))))</f>
        <v/>
      </c>
      <c r="AG797" s="1" t="str">
        <f>IF(OR($B797="",AG$7=""),"",IF($B797="MEANS",INDEX('1-DATA'!$1:$1048576,$A796-1,COLUMN('1-DATA'!AF795)),ROUND(INDEX('1-DATA'!$1:$1048576,IF(OR($B797="STD. DEVIATION",$C$1=1),$A797,$A797+1),COLUMN('1-DATA'!AF795)),IF($B797="STD. DEVIATION",2,$F$1))))</f>
        <v/>
      </c>
      <c r="AH797" s="1" t="str">
        <f>IF(OR($B797="",AH$7=""),"",IF($B797="MEANS",INDEX('1-DATA'!$1:$1048576,$A796-1,COLUMN('1-DATA'!AG795)),ROUND(INDEX('1-DATA'!$1:$1048576,IF(OR($B797="STD. DEVIATION",$C$1=1),$A797,$A797+1),COLUMN('1-DATA'!AG795)),IF($B797="STD. DEVIATION",2,$F$1))))</f>
        <v/>
      </c>
      <c r="AI797" s="1" t="str">
        <f>IF(OR($B797="",AI$7=""),"",IF($B797="MEANS",INDEX('1-DATA'!$1:$1048576,$A796-1,COLUMN('1-DATA'!AH795)),ROUND(INDEX('1-DATA'!$1:$1048576,IF(OR($B797="STD. DEVIATION",$C$1=1),$A797,$A797+1),COLUMN('1-DATA'!AH795)),IF($B797="STD. DEVIATION",2,$F$1))))</f>
        <v/>
      </c>
      <c r="AJ797" s="1" t="str">
        <f>IF(OR($B797="",AJ$7=""),"",IF($B797="MEANS",INDEX('1-DATA'!$1:$1048576,$A796-1,COLUMN('1-DATA'!AI795)),ROUND(INDEX('1-DATA'!$1:$1048576,IF(OR($B797="STD. DEVIATION",$C$1=1),$A797,$A797+1),COLUMN('1-DATA'!AI795)),IF($B797="STD. DEVIATION",2,$F$1))))</f>
        <v/>
      </c>
      <c r="AK797" s="1" t="str">
        <f>IF(OR($B797="",AK$7=""),"",IF($B797="MEANS",INDEX('1-DATA'!$1:$1048576,$A796-1,COLUMN('1-DATA'!AJ795)),ROUND(INDEX('1-DATA'!$1:$1048576,IF(OR($B797="STD. DEVIATION",$C$1=1),$A797,$A797+1),COLUMN('1-DATA'!AJ795)),IF($B797="STD. DEVIATION",2,$F$1))))</f>
        <v/>
      </c>
      <c r="AL797" s="1" t="str">
        <f>IF(OR($B797="",AL$7=""),"",IF($B797="MEANS",INDEX('1-DATA'!$1:$1048576,$A796-1,COLUMN('1-DATA'!AK795)),ROUND(INDEX('1-DATA'!$1:$1048576,IF(OR($B797="STD. DEVIATION",$C$1=1),$A797,$A797+1),COLUMN('1-DATA'!AK795)),IF($B797="STD. DEVIATION",2,$F$1))))</f>
        <v/>
      </c>
      <c r="AM797" s="1" t="str">
        <f>IF(OR($B797="",AM$7=""),"",IF($B797="MEANS",INDEX('1-DATA'!$1:$1048576,$A796-1,COLUMN('1-DATA'!AL795)),ROUND(INDEX('1-DATA'!$1:$1048576,IF(OR($B797="STD. DEVIATION",$C$1=1),$A797,$A797+1),COLUMN('1-DATA'!AL795)),IF($B797="STD. DEVIATION",2,$F$1))))</f>
        <v/>
      </c>
      <c r="AN797" s="1" t="str">
        <f>IF(OR($B797="",AN$7=""),"",IF($B797="MEANS",INDEX('1-DATA'!$1:$1048576,$A796-1,COLUMN('1-DATA'!AM795)),ROUND(INDEX('1-DATA'!$1:$1048576,IF(OR($B797="STD. DEVIATION",$C$1=1),$A797,$A797+1),COLUMN('1-DATA'!AM795)),IF($B797="STD. DEVIATION",2,$F$1))))</f>
        <v/>
      </c>
      <c r="AO797" s="1" t="str">
        <f>IF(OR($B797="",AO$7=""),"",IF($B797="MEANS",INDEX('1-DATA'!$1:$1048576,$A796-1,COLUMN('1-DATA'!AN795)),ROUND(INDEX('1-DATA'!$1:$1048576,IF(OR($B797="STD. DEVIATION",$C$1=1),$A797,$A797+1),COLUMN('1-DATA'!AN795)),IF($B797="STD. DEVIATION",2,$F$1))))</f>
        <v/>
      </c>
      <c r="AP797" s="1" t="str">
        <f>IF(OR($B797="",AP$7=""),"",IF($B797="MEANS",INDEX('1-DATA'!$1:$1048576,$A796-1,COLUMN('1-DATA'!AO795)),ROUND(INDEX('1-DATA'!$1:$1048576,IF(OR($B797="STD. DEVIATION",$C$1=1),$A797,$A797+1),COLUMN('1-DATA'!AO795)),IF($B797="STD. DEVIATION",2,$F$1))))</f>
        <v/>
      </c>
      <c r="AQ797" s="1" t="str">
        <f>IF(OR($B797="",AQ$7=""),"",IF($B797="MEANS",INDEX('1-DATA'!$1:$1048576,$A796-1,COLUMN('1-DATA'!AP795)),ROUND(INDEX('1-DATA'!$1:$1048576,IF(OR($B797="STD. DEVIATION",$C$1=1),$A797,$A797+1),COLUMN('1-DATA'!AP795)),IF($B797="STD. DEVIATION",2,$F$1))))</f>
        <v/>
      </c>
      <c r="AR797" s="1" t="str">
        <f>IF(OR($B797="",AR$7=""),"",IF($B797="MEANS",INDEX('1-DATA'!$1:$1048576,$A796-1,COLUMN('1-DATA'!AQ795)),ROUND(INDEX('1-DATA'!$1:$1048576,IF(OR($B797="STD. DEVIATION",$C$1=1),$A797,$A797+1),COLUMN('1-DATA'!AQ795)),IF($B797="STD. DEVIATION",2,$F$1))))</f>
        <v/>
      </c>
      <c r="AS797" s="1" t="str">
        <f>IF(OR($B797="",AS$7=""),"",IF($B797="MEANS",INDEX('1-DATA'!$1:$1048576,$A796-1,COLUMN('1-DATA'!AR795)),ROUND(INDEX('1-DATA'!$1:$1048576,IF(OR($B797="STD. DEVIATION",$C$1=1),$A797,$A797+1),COLUMN('1-DATA'!AR795)),IF($B797="STD. DEVIATION",2,$F$1))))</f>
        <v/>
      </c>
      <c r="AT797" s="1" t="str">
        <f>IF(OR($B797="",AT$7=""),"",IF($B797="MEANS",INDEX('1-DATA'!$1:$1048576,$A796-1,COLUMN('1-DATA'!AS795)),ROUND(INDEX('1-DATA'!$1:$1048576,IF(OR($B797="STD. DEVIATION",$C$1=1),$A797,$A797+1),COLUMN('1-DATA'!AS795)),IF($B797="STD. DEVIATION",2,$F$1))))</f>
        <v/>
      </c>
      <c r="AU797" s="1" t="str">
        <f>IF(OR($B797="",AU$7=""),"",IF($B797="MEANS",INDEX('1-DATA'!$1:$1048576,$A796-1,COLUMN('1-DATA'!AT795)),ROUND(INDEX('1-DATA'!$1:$1048576,IF(OR($B797="STD. DEVIATION",$C$1=1),$A797,$A797+1),COLUMN('1-DATA'!AT795)),IF($B797="STD. DEVIATION",2,$F$1))))</f>
        <v/>
      </c>
      <c r="AV797" s="1" t="str">
        <f>IF(OR($B797="",AV$7=""),"",IF($B797="MEANS",INDEX('1-DATA'!$1:$1048576,$A796-1,COLUMN('1-DATA'!AU795)),ROUND(INDEX('1-DATA'!$1:$1048576,IF(OR($B797="STD. DEVIATION",$C$1=1),$A797,$A797+1),COLUMN('1-DATA'!AU795)),IF($B797="STD. DEVIATION",2,$F$1))))</f>
        <v/>
      </c>
      <c r="AW797" s="1" t="str">
        <f>IF(OR($B797="",AW$7=""),"",IF($B797="MEANS",INDEX('1-DATA'!$1:$1048576,$A796-1,COLUMN('1-DATA'!AV795)),ROUND(INDEX('1-DATA'!$1:$1048576,IF(OR($B797="STD. DEVIATION",$C$1=1),$A797,$A797+1),COLUMN('1-DATA'!AV795)),IF($B797="STD. DEVIATION",2,$F$1))))</f>
        <v/>
      </c>
      <c r="AX797" s="1" t="str">
        <f>IF(OR($B797="",AX$7=""),"",IF($B797="MEANS",INDEX('1-DATA'!$1:$1048576,$A796-1,COLUMN('1-DATA'!AW795)),ROUND(INDEX('1-DATA'!$1:$1048576,IF(OR($B797="STD. DEVIATION",$C$1=1),$A797,$A797+1),COLUMN('1-DATA'!AW795)),IF($B797="STD. DEVIATION",2,$F$1))))</f>
        <v/>
      </c>
      <c r="AY797" s="1" t="str">
        <f>IF(OR($B797="",AY$7=""),"",IF($B797="MEANS",INDEX('1-DATA'!$1:$1048576,$A796-1,COLUMN('1-DATA'!AX795)),ROUND(INDEX('1-DATA'!$1:$1048576,IF(OR($B797="STD. DEVIATION",$C$1=1),$A797,$A797+1),COLUMN('1-DATA'!AX795)),IF($B797="STD. DEVIATION",2,$F$1))))</f>
        <v/>
      </c>
      <c r="AZ797" s="1" t="str">
        <f>IF(OR($B797="",AZ$7=""),"",IF($B797="MEANS",INDEX('1-DATA'!$1:$1048576,$A796-1,COLUMN('1-DATA'!AY795)),ROUND(INDEX('1-DATA'!$1:$1048576,IF(OR($B797="STD. DEVIATION",$C$1=1),$A797,$A797+1),COLUMN('1-DATA'!AY795)),IF($B797="STD. DEVIATION",2,$F$1))))</f>
        <v/>
      </c>
    </row>
    <row r="798" spans="1:52" x14ac:dyDescent="0.25">
      <c r="A798" s="11">
        <f t="shared" ref="A798:A800" si="13">A797+3</f>
        <v>2380</v>
      </c>
      <c r="B798" s="1" t="str">
        <f>IF(B797="STD. DEVIATION",INDEX('1-DATA'!$1:$1048576,$A797-1,1),IF(INDEX('1-DATA'!$1:$1048576,$A798,1)&lt;&gt;"",INDEX('1-DATA'!$1:$1048576,$A798,1),""))</f>
        <v/>
      </c>
      <c r="C798" s="1" t="str">
        <f>IF(OR($B798="",C$7=""),"",IF($B798="MEANS",INDEX('1-DATA'!$1:$1048576,$A797-1,COLUMN('1-DATA'!B796)),ROUND(INDEX('1-DATA'!$1:$1048576,IF(OR($B798="STD. DEVIATION",$C$1=1),$A798,$A798+1),COLUMN('1-DATA'!B796)),IF($B798="STD. DEVIATION",2,$F$1))))</f>
        <v/>
      </c>
      <c r="D798" s="1" t="str">
        <f>IF(OR($B798="",D$7=""),"",IF($B798="MEANS",INDEX('1-DATA'!$1:$1048576,$A797-1,COLUMN('1-DATA'!C796)),ROUND(INDEX('1-DATA'!$1:$1048576,IF(OR($B798="STD. DEVIATION",$C$1=1),$A798,$A798+1),COLUMN('1-DATA'!C796)),IF($B798="STD. DEVIATION",2,$F$1))))</f>
        <v/>
      </c>
      <c r="E798" s="1" t="str">
        <f>IF(OR($B798="",E$7=""),"",IF($B798="MEANS",INDEX('1-DATA'!$1:$1048576,$A797-1,COLUMN('1-DATA'!D796)),ROUND(INDEX('1-DATA'!$1:$1048576,IF(OR($B798="STD. DEVIATION",$C$1=1),$A798,$A798+1),COLUMN('1-DATA'!D796)),IF($B798="STD. DEVIATION",2,$F$1))))</f>
        <v/>
      </c>
      <c r="F798" s="1" t="str">
        <f>IF(OR($B798="",F$7=""),"",IF($B798="MEANS",INDEX('1-DATA'!$1:$1048576,$A797-1,COLUMN('1-DATA'!E796)),ROUND(INDEX('1-DATA'!$1:$1048576,IF(OR($B798="STD. DEVIATION",$C$1=1),$A798,$A798+1),COLUMN('1-DATA'!E796)),IF($B798="STD. DEVIATION",2,$F$1))))</f>
        <v/>
      </c>
      <c r="G798" s="1" t="str">
        <f>IF(OR($B798="",G$7=""),"",IF($B798="MEANS",INDEX('1-DATA'!$1:$1048576,$A797-1,COLUMN('1-DATA'!F796)),ROUND(INDEX('1-DATA'!$1:$1048576,IF(OR($B798="STD. DEVIATION",$C$1=1),$A798,$A798+1),COLUMN('1-DATA'!F796)),IF($B798="STD. DEVIATION",2,$F$1))))</f>
        <v/>
      </c>
      <c r="H798" s="1" t="str">
        <f>IF(OR($B798="",H$7=""),"",IF($B798="MEANS",INDEX('1-DATA'!$1:$1048576,$A797-1,COLUMN('1-DATA'!G796)),ROUND(INDEX('1-DATA'!$1:$1048576,IF(OR($B798="STD. DEVIATION",$C$1=1),$A798,$A798+1),COLUMN('1-DATA'!G796)),IF($B798="STD. DEVIATION",2,$F$1))))</f>
        <v/>
      </c>
      <c r="I798" s="1" t="str">
        <f>IF(OR($B798="",I$7=""),"",IF($B798="MEANS",INDEX('1-DATA'!$1:$1048576,$A797-1,COLUMN('1-DATA'!H796)),ROUND(INDEX('1-DATA'!$1:$1048576,IF(OR($B798="STD. DEVIATION",$C$1=1),$A798,$A798+1),COLUMN('1-DATA'!H796)),IF($B798="STD. DEVIATION",2,$F$1))))</f>
        <v/>
      </c>
      <c r="J798" s="1" t="str">
        <f>IF(OR($B798="",J$7=""),"",IF($B798="MEANS",INDEX('1-DATA'!$1:$1048576,$A797-1,COLUMN('1-DATA'!I796)),ROUND(INDEX('1-DATA'!$1:$1048576,IF(OR($B798="STD. DEVIATION",$C$1=1),$A798,$A798+1),COLUMN('1-DATA'!I796)),IF($B798="STD. DEVIATION",2,$F$1))))</f>
        <v/>
      </c>
      <c r="K798" s="1" t="str">
        <f>IF(OR($B798="",K$7=""),"",IF($B798="MEANS",INDEX('1-DATA'!$1:$1048576,$A797-1,COLUMN('1-DATA'!J796)),ROUND(INDEX('1-DATA'!$1:$1048576,IF(OR($B798="STD. DEVIATION",$C$1=1),$A798,$A798+1),COLUMN('1-DATA'!J796)),IF($B798="STD. DEVIATION",2,$F$1))))</f>
        <v/>
      </c>
      <c r="L798" s="1" t="str">
        <f>IF(OR($B798="",L$7=""),"",IF($B798="MEANS",INDEX('1-DATA'!$1:$1048576,$A797-1,COLUMN('1-DATA'!K796)),ROUND(INDEX('1-DATA'!$1:$1048576,IF(OR($B798="STD. DEVIATION",$C$1=1),$A798,$A798+1),COLUMN('1-DATA'!K796)),IF($B798="STD. DEVIATION",2,$F$1))))</f>
        <v/>
      </c>
      <c r="M798" s="1" t="str">
        <f>IF(OR($B798="",M$7=""),"",IF($B798="MEANS",INDEX('1-DATA'!$1:$1048576,$A797-1,COLUMN('1-DATA'!L796)),ROUND(INDEX('1-DATA'!$1:$1048576,IF(OR($B798="STD. DEVIATION",$C$1=1),$A798,$A798+1),COLUMN('1-DATA'!L796)),IF($B798="STD. DEVIATION",2,$F$1))))</f>
        <v/>
      </c>
      <c r="N798" s="1" t="str">
        <f>IF(OR($B798="",N$7=""),"",IF($B798="MEANS",INDEX('1-DATA'!$1:$1048576,$A797-1,COLUMN('1-DATA'!M796)),ROUND(INDEX('1-DATA'!$1:$1048576,IF(OR($B798="STD. DEVIATION",$C$1=1),$A798,$A798+1),COLUMN('1-DATA'!M796)),IF($B798="STD. DEVIATION",2,$F$1))))</f>
        <v/>
      </c>
      <c r="O798" s="1" t="str">
        <f>IF(OR($B798="",O$7=""),"",IF($B798="MEANS",INDEX('1-DATA'!$1:$1048576,$A797-1,COLUMN('1-DATA'!N796)),ROUND(INDEX('1-DATA'!$1:$1048576,IF(OR($B798="STD. DEVIATION",$C$1=1),$A798,$A798+1),COLUMN('1-DATA'!N796)),IF($B798="STD. DEVIATION",2,$F$1))))</f>
        <v/>
      </c>
      <c r="P798" s="1" t="str">
        <f>IF(OR($B798="",P$7=""),"",IF($B798="MEANS",INDEX('1-DATA'!$1:$1048576,$A797-1,COLUMN('1-DATA'!O796)),ROUND(INDEX('1-DATA'!$1:$1048576,IF(OR($B798="STD. DEVIATION",$C$1=1),$A798,$A798+1),COLUMN('1-DATA'!O796)),IF($B798="STD. DEVIATION",2,$F$1))))</f>
        <v/>
      </c>
      <c r="Q798" s="1" t="str">
        <f>IF(OR($B798="",Q$7=""),"",IF($B798="MEANS",INDEX('1-DATA'!$1:$1048576,$A797-1,COLUMN('1-DATA'!P796)),ROUND(INDEX('1-DATA'!$1:$1048576,IF(OR($B798="STD. DEVIATION",$C$1=1),$A798,$A798+1),COLUMN('1-DATA'!P796)),IF($B798="STD. DEVIATION",2,$F$1))))</f>
        <v/>
      </c>
      <c r="R798" s="1" t="str">
        <f>IF(OR($B798="",R$7=""),"",IF($B798="MEANS",INDEX('1-DATA'!$1:$1048576,$A797-1,COLUMN('1-DATA'!Q796)),ROUND(INDEX('1-DATA'!$1:$1048576,IF(OR($B798="STD. DEVIATION",$C$1=1),$A798,$A798+1),COLUMN('1-DATA'!Q796)),IF($B798="STD. DEVIATION",2,$F$1))))</f>
        <v/>
      </c>
      <c r="S798" s="1" t="str">
        <f>IF(OR($B798="",S$7=""),"",IF($B798="MEANS",INDEX('1-DATA'!$1:$1048576,$A797-1,COLUMN('1-DATA'!R796)),ROUND(INDEX('1-DATA'!$1:$1048576,IF(OR($B798="STD. DEVIATION",$C$1=1),$A798,$A798+1),COLUMN('1-DATA'!R796)),IF($B798="STD. DEVIATION",2,$F$1))))</f>
        <v/>
      </c>
      <c r="T798" s="1" t="str">
        <f>IF(OR($B798="",T$7=""),"",IF($B798="MEANS",INDEX('1-DATA'!$1:$1048576,$A797-1,COLUMN('1-DATA'!S796)),ROUND(INDEX('1-DATA'!$1:$1048576,IF(OR($B798="STD. DEVIATION",$C$1=1),$A798,$A798+1),COLUMN('1-DATA'!S796)),IF($B798="STD. DEVIATION",2,$F$1))))</f>
        <v/>
      </c>
      <c r="U798" s="1" t="str">
        <f>IF(OR($B798="",U$7=""),"",IF($B798="MEANS",INDEX('1-DATA'!$1:$1048576,$A797-1,COLUMN('1-DATA'!T796)),ROUND(INDEX('1-DATA'!$1:$1048576,IF(OR($B798="STD. DEVIATION",$C$1=1),$A798,$A798+1),COLUMN('1-DATA'!T796)),IF($B798="STD. DEVIATION",2,$F$1))))</f>
        <v/>
      </c>
      <c r="V798" s="1" t="str">
        <f>IF(OR($B798="",V$7=""),"",IF($B798="MEANS",INDEX('1-DATA'!$1:$1048576,$A797-1,COLUMN('1-DATA'!U796)),ROUND(INDEX('1-DATA'!$1:$1048576,IF(OR($B798="STD. DEVIATION",$C$1=1),$A798,$A798+1),COLUMN('1-DATA'!U796)),IF($B798="STD. DEVIATION",2,$F$1))))</f>
        <v/>
      </c>
      <c r="W798" s="1" t="str">
        <f>IF(OR($B798="",W$7=""),"",IF($B798="MEANS",INDEX('1-DATA'!$1:$1048576,$A797-1,COLUMN('1-DATA'!V796)),ROUND(INDEX('1-DATA'!$1:$1048576,IF(OR($B798="STD. DEVIATION",$C$1=1),$A798,$A798+1),COLUMN('1-DATA'!V796)),IF($B798="STD. DEVIATION",2,$F$1))))</f>
        <v/>
      </c>
      <c r="X798" s="1" t="str">
        <f>IF(OR($B798="",X$7=""),"",IF($B798="MEANS",INDEX('1-DATA'!$1:$1048576,$A797-1,COLUMN('1-DATA'!W796)),ROUND(INDEX('1-DATA'!$1:$1048576,IF(OR($B798="STD. DEVIATION",$C$1=1),$A798,$A798+1),COLUMN('1-DATA'!W796)),IF($B798="STD. DEVIATION",2,$F$1))))</f>
        <v/>
      </c>
      <c r="Y798" s="1" t="str">
        <f>IF(OR($B798="",Y$7=""),"",IF($B798="MEANS",INDEX('1-DATA'!$1:$1048576,$A797-1,COLUMN('1-DATA'!X796)),ROUND(INDEX('1-DATA'!$1:$1048576,IF(OR($B798="STD. DEVIATION",$C$1=1),$A798,$A798+1),COLUMN('1-DATA'!X796)),IF($B798="STD. DEVIATION",2,$F$1))))</f>
        <v/>
      </c>
      <c r="Z798" s="1" t="str">
        <f>IF(OR($B798="",Z$7=""),"",IF($B798="MEANS",INDEX('1-DATA'!$1:$1048576,$A797-1,COLUMN('1-DATA'!Y796)),ROUND(INDEX('1-DATA'!$1:$1048576,IF(OR($B798="STD. DEVIATION",$C$1=1),$A798,$A798+1),COLUMN('1-DATA'!Y796)),IF($B798="STD. DEVIATION",2,$F$1))))</f>
        <v/>
      </c>
      <c r="AA798" s="1" t="str">
        <f>IF(OR($B798="",AA$7=""),"",IF($B798="MEANS",INDEX('1-DATA'!$1:$1048576,$A797-1,COLUMN('1-DATA'!Z796)),ROUND(INDEX('1-DATA'!$1:$1048576,IF(OR($B798="STD. DEVIATION",$C$1=1),$A798,$A798+1),COLUMN('1-DATA'!Z796)),IF($B798="STD. DEVIATION",2,$F$1))))</f>
        <v/>
      </c>
      <c r="AB798" s="1" t="str">
        <f>IF(OR($B798="",AB$7=""),"",IF($B798="MEANS",INDEX('1-DATA'!$1:$1048576,$A797-1,COLUMN('1-DATA'!AA796)),ROUND(INDEX('1-DATA'!$1:$1048576,IF(OR($B798="STD. DEVIATION",$C$1=1),$A798,$A798+1),COLUMN('1-DATA'!AA796)),IF($B798="STD. DEVIATION",2,$F$1))))</f>
        <v/>
      </c>
      <c r="AC798" s="1" t="str">
        <f>IF(OR($B798="",AC$7=""),"",IF($B798="MEANS",INDEX('1-DATA'!$1:$1048576,$A797-1,COLUMN('1-DATA'!AB796)),ROUND(INDEX('1-DATA'!$1:$1048576,IF(OR($B798="STD. DEVIATION",$C$1=1),$A798,$A798+1),COLUMN('1-DATA'!AB796)),IF($B798="STD. DEVIATION",2,$F$1))))</f>
        <v/>
      </c>
      <c r="AD798" s="1" t="str">
        <f>IF(OR($B798="",AD$7=""),"",IF($B798="MEANS",INDEX('1-DATA'!$1:$1048576,$A797-1,COLUMN('1-DATA'!AC796)),ROUND(INDEX('1-DATA'!$1:$1048576,IF(OR($B798="STD. DEVIATION",$C$1=1),$A798,$A798+1),COLUMN('1-DATA'!AC796)),IF($B798="STD. DEVIATION",2,$F$1))))</f>
        <v/>
      </c>
      <c r="AE798" s="1" t="str">
        <f>IF(OR($B798="",AE$7=""),"",IF($B798="MEANS",INDEX('1-DATA'!$1:$1048576,$A797-1,COLUMN('1-DATA'!AD796)),ROUND(INDEX('1-DATA'!$1:$1048576,IF(OR($B798="STD. DEVIATION",$C$1=1),$A798,$A798+1),COLUMN('1-DATA'!AD796)),IF($B798="STD. DEVIATION",2,$F$1))))</f>
        <v/>
      </c>
      <c r="AF798" s="1" t="str">
        <f>IF(OR($B798="",AF$7=""),"",IF($B798="MEANS",INDEX('1-DATA'!$1:$1048576,$A797-1,COLUMN('1-DATA'!AE796)),ROUND(INDEX('1-DATA'!$1:$1048576,IF(OR($B798="STD. DEVIATION",$C$1=1),$A798,$A798+1),COLUMN('1-DATA'!AE796)),IF($B798="STD. DEVIATION",2,$F$1))))</f>
        <v/>
      </c>
      <c r="AG798" s="1" t="str">
        <f>IF(OR($B798="",AG$7=""),"",IF($B798="MEANS",INDEX('1-DATA'!$1:$1048576,$A797-1,COLUMN('1-DATA'!AF796)),ROUND(INDEX('1-DATA'!$1:$1048576,IF(OR($B798="STD. DEVIATION",$C$1=1),$A798,$A798+1),COLUMN('1-DATA'!AF796)),IF($B798="STD. DEVIATION",2,$F$1))))</f>
        <v/>
      </c>
      <c r="AH798" s="1" t="str">
        <f>IF(OR($B798="",AH$7=""),"",IF($B798="MEANS",INDEX('1-DATA'!$1:$1048576,$A797-1,COLUMN('1-DATA'!AG796)),ROUND(INDEX('1-DATA'!$1:$1048576,IF(OR($B798="STD. DEVIATION",$C$1=1),$A798,$A798+1),COLUMN('1-DATA'!AG796)),IF($B798="STD. DEVIATION",2,$F$1))))</f>
        <v/>
      </c>
      <c r="AI798" s="1" t="str">
        <f>IF(OR($B798="",AI$7=""),"",IF($B798="MEANS",INDEX('1-DATA'!$1:$1048576,$A797-1,COLUMN('1-DATA'!AH796)),ROUND(INDEX('1-DATA'!$1:$1048576,IF(OR($B798="STD. DEVIATION",$C$1=1),$A798,$A798+1),COLUMN('1-DATA'!AH796)),IF($B798="STD. DEVIATION",2,$F$1))))</f>
        <v/>
      </c>
      <c r="AJ798" s="1" t="str">
        <f>IF(OR($B798="",AJ$7=""),"",IF($B798="MEANS",INDEX('1-DATA'!$1:$1048576,$A797-1,COLUMN('1-DATA'!AI796)),ROUND(INDEX('1-DATA'!$1:$1048576,IF(OR($B798="STD. DEVIATION",$C$1=1),$A798,$A798+1),COLUMN('1-DATA'!AI796)),IF($B798="STD. DEVIATION",2,$F$1))))</f>
        <v/>
      </c>
      <c r="AK798" s="1" t="str">
        <f>IF(OR($B798="",AK$7=""),"",IF($B798="MEANS",INDEX('1-DATA'!$1:$1048576,$A797-1,COLUMN('1-DATA'!AJ796)),ROUND(INDEX('1-DATA'!$1:$1048576,IF(OR($B798="STD. DEVIATION",$C$1=1),$A798,$A798+1),COLUMN('1-DATA'!AJ796)),IF($B798="STD. DEVIATION",2,$F$1))))</f>
        <v/>
      </c>
      <c r="AL798" s="1" t="str">
        <f>IF(OR($B798="",AL$7=""),"",IF($B798="MEANS",INDEX('1-DATA'!$1:$1048576,$A797-1,COLUMN('1-DATA'!AK796)),ROUND(INDEX('1-DATA'!$1:$1048576,IF(OR($B798="STD. DEVIATION",$C$1=1),$A798,$A798+1),COLUMN('1-DATA'!AK796)),IF($B798="STD. DEVIATION",2,$F$1))))</f>
        <v/>
      </c>
      <c r="AM798" s="1" t="str">
        <f>IF(OR($B798="",AM$7=""),"",IF($B798="MEANS",INDEX('1-DATA'!$1:$1048576,$A797-1,COLUMN('1-DATA'!AL796)),ROUND(INDEX('1-DATA'!$1:$1048576,IF(OR($B798="STD. DEVIATION",$C$1=1),$A798,$A798+1),COLUMN('1-DATA'!AL796)),IF($B798="STD. DEVIATION",2,$F$1))))</f>
        <v/>
      </c>
      <c r="AN798" s="1" t="str">
        <f>IF(OR($B798="",AN$7=""),"",IF($B798="MEANS",INDEX('1-DATA'!$1:$1048576,$A797-1,COLUMN('1-DATA'!AM796)),ROUND(INDEX('1-DATA'!$1:$1048576,IF(OR($B798="STD. DEVIATION",$C$1=1),$A798,$A798+1),COLUMN('1-DATA'!AM796)),IF($B798="STD. DEVIATION",2,$F$1))))</f>
        <v/>
      </c>
      <c r="AO798" s="1" t="str">
        <f>IF(OR($B798="",AO$7=""),"",IF($B798="MEANS",INDEX('1-DATA'!$1:$1048576,$A797-1,COLUMN('1-DATA'!AN796)),ROUND(INDEX('1-DATA'!$1:$1048576,IF(OR($B798="STD. DEVIATION",$C$1=1),$A798,$A798+1),COLUMN('1-DATA'!AN796)),IF($B798="STD. DEVIATION",2,$F$1))))</f>
        <v/>
      </c>
      <c r="AP798" s="1" t="str">
        <f>IF(OR($B798="",AP$7=""),"",IF($B798="MEANS",INDEX('1-DATA'!$1:$1048576,$A797-1,COLUMN('1-DATA'!AO796)),ROUND(INDEX('1-DATA'!$1:$1048576,IF(OR($B798="STD. DEVIATION",$C$1=1),$A798,$A798+1),COLUMN('1-DATA'!AO796)),IF($B798="STD. DEVIATION",2,$F$1))))</f>
        <v/>
      </c>
      <c r="AQ798" s="1" t="str">
        <f>IF(OR($B798="",AQ$7=""),"",IF($B798="MEANS",INDEX('1-DATA'!$1:$1048576,$A797-1,COLUMN('1-DATA'!AP796)),ROUND(INDEX('1-DATA'!$1:$1048576,IF(OR($B798="STD. DEVIATION",$C$1=1),$A798,$A798+1),COLUMN('1-DATA'!AP796)),IF($B798="STD. DEVIATION",2,$F$1))))</f>
        <v/>
      </c>
      <c r="AR798" s="1" t="str">
        <f>IF(OR($B798="",AR$7=""),"",IF($B798="MEANS",INDEX('1-DATA'!$1:$1048576,$A797-1,COLUMN('1-DATA'!AQ796)),ROUND(INDEX('1-DATA'!$1:$1048576,IF(OR($B798="STD. DEVIATION",$C$1=1),$A798,$A798+1),COLUMN('1-DATA'!AQ796)),IF($B798="STD. DEVIATION",2,$F$1))))</f>
        <v/>
      </c>
      <c r="AS798" s="1" t="str">
        <f>IF(OR($B798="",AS$7=""),"",IF($B798="MEANS",INDEX('1-DATA'!$1:$1048576,$A797-1,COLUMN('1-DATA'!AR796)),ROUND(INDEX('1-DATA'!$1:$1048576,IF(OR($B798="STD. DEVIATION",$C$1=1),$A798,$A798+1),COLUMN('1-DATA'!AR796)),IF($B798="STD. DEVIATION",2,$F$1))))</f>
        <v/>
      </c>
      <c r="AT798" s="1" t="str">
        <f>IF(OR($B798="",AT$7=""),"",IF($B798="MEANS",INDEX('1-DATA'!$1:$1048576,$A797-1,COLUMN('1-DATA'!AS796)),ROUND(INDEX('1-DATA'!$1:$1048576,IF(OR($B798="STD. DEVIATION",$C$1=1),$A798,$A798+1),COLUMN('1-DATA'!AS796)),IF($B798="STD. DEVIATION",2,$F$1))))</f>
        <v/>
      </c>
      <c r="AU798" s="1" t="str">
        <f>IF(OR($B798="",AU$7=""),"",IF($B798="MEANS",INDEX('1-DATA'!$1:$1048576,$A797-1,COLUMN('1-DATA'!AT796)),ROUND(INDEX('1-DATA'!$1:$1048576,IF(OR($B798="STD. DEVIATION",$C$1=1),$A798,$A798+1),COLUMN('1-DATA'!AT796)),IF($B798="STD. DEVIATION",2,$F$1))))</f>
        <v/>
      </c>
      <c r="AV798" s="1" t="str">
        <f>IF(OR($B798="",AV$7=""),"",IF($B798="MEANS",INDEX('1-DATA'!$1:$1048576,$A797-1,COLUMN('1-DATA'!AU796)),ROUND(INDEX('1-DATA'!$1:$1048576,IF(OR($B798="STD. DEVIATION",$C$1=1),$A798,$A798+1),COLUMN('1-DATA'!AU796)),IF($B798="STD. DEVIATION",2,$F$1))))</f>
        <v/>
      </c>
      <c r="AW798" s="1" t="str">
        <f>IF(OR($B798="",AW$7=""),"",IF($B798="MEANS",INDEX('1-DATA'!$1:$1048576,$A797-1,COLUMN('1-DATA'!AV796)),ROUND(INDEX('1-DATA'!$1:$1048576,IF(OR($B798="STD. DEVIATION",$C$1=1),$A798,$A798+1),COLUMN('1-DATA'!AV796)),IF($B798="STD. DEVIATION",2,$F$1))))</f>
        <v/>
      </c>
      <c r="AX798" s="1" t="str">
        <f>IF(OR($B798="",AX$7=""),"",IF($B798="MEANS",INDEX('1-DATA'!$1:$1048576,$A797-1,COLUMN('1-DATA'!AW796)),ROUND(INDEX('1-DATA'!$1:$1048576,IF(OR($B798="STD. DEVIATION",$C$1=1),$A798,$A798+1),COLUMN('1-DATA'!AW796)),IF($B798="STD. DEVIATION",2,$F$1))))</f>
        <v/>
      </c>
      <c r="AY798" s="1" t="str">
        <f>IF(OR($B798="",AY$7=""),"",IF($B798="MEANS",INDEX('1-DATA'!$1:$1048576,$A797-1,COLUMN('1-DATA'!AX796)),ROUND(INDEX('1-DATA'!$1:$1048576,IF(OR($B798="STD. DEVIATION",$C$1=1),$A798,$A798+1),COLUMN('1-DATA'!AX796)),IF($B798="STD. DEVIATION",2,$F$1))))</f>
        <v/>
      </c>
      <c r="AZ798" s="1" t="str">
        <f>IF(OR($B798="",AZ$7=""),"",IF($B798="MEANS",INDEX('1-DATA'!$1:$1048576,$A797-1,COLUMN('1-DATA'!AY796)),ROUND(INDEX('1-DATA'!$1:$1048576,IF(OR($B798="STD. DEVIATION",$C$1=1),$A798,$A798+1),COLUMN('1-DATA'!AY796)),IF($B798="STD. DEVIATION",2,$F$1))))</f>
        <v/>
      </c>
    </row>
    <row r="799" spans="1:52" x14ac:dyDescent="0.25">
      <c r="A799" s="11">
        <f t="shared" si="13"/>
        <v>2383</v>
      </c>
      <c r="B799" s="1" t="str">
        <f>IF(B798="STD. DEVIATION",INDEX('1-DATA'!$1:$1048576,$A798-1,1),IF(INDEX('1-DATA'!$1:$1048576,$A799,1)&lt;&gt;"",INDEX('1-DATA'!$1:$1048576,$A799,1),""))</f>
        <v/>
      </c>
      <c r="C799" s="1" t="str">
        <f>IF(OR($B799="",C$7=""),"",IF($B799="MEANS",INDEX('1-DATA'!$1:$1048576,$A798-1,COLUMN('1-DATA'!B797)),ROUND(INDEX('1-DATA'!$1:$1048576,IF(OR($B799="STD. DEVIATION",$C$1=1),$A799,$A799+1),COLUMN('1-DATA'!B797)),IF($B799="STD. DEVIATION",2,$F$1))))</f>
        <v/>
      </c>
      <c r="D799" s="1" t="str">
        <f>IF(OR($B799="",D$7=""),"",IF($B799="MEANS",INDEX('1-DATA'!$1:$1048576,$A798-1,COLUMN('1-DATA'!C797)),ROUND(INDEX('1-DATA'!$1:$1048576,IF(OR($B799="STD. DEVIATION",$C$1=1),$A799,$A799+1),COLUMN('1-DATA'!C797)),IF($B799="STD. DEVIATION",2,$F$1))))</f>
        <v/>
      </c>
      <c r="E799" s="1" t="str">
        <f>IF(OR($B799="",E$7=""),"",IF($B799="MEANS",INDEX('1-DATA'!$1:$1048576,$A798-1,COLUMN('1-DATA'!D797)),ROUND(INDEX('1-DATA'!$1:$1048576,IF(OR($B799="STD. DEVIATION",$C$1=1),$A799,$A799+1),COLUMN('1-DATA'!D797)),IF($B799="STD. DEVIATION",2,$F$1))))</f>
        <v/>
      </c>
      <c r="F799" s="1" t="str">
        <f>IF(OR($B799="",F$7=""),"",IF($B799="MEANS",INDEX('1-DATA'!$1:$1048576,$A798-1,COLUMN('1-DATA'!E797)),ROUND(INDEX('1-DATA'!$1:$1048576,IF(OR($B799="STD. DEVIATION",$C$1=1),$A799,$A799+1),COLUMN('1-DATA'!E797)),IF($B799="STD. DEVIATION",2,$F$1))))</f>
        <v/>
      </c>
      <c r="G799" s="1" t="str">
        <f>IF(OR($B799="",G$7=""),"",IF($B799="MEANS",INDEX('1-DATA'!$1:$1048576,$A798-1,COLUMN('1-DATA'!F797)),ROUND(INDEX('1-DATA'!$1:$1048576,IF(OR($B799="STD. DEVIATION",$C$1=1),$A799,$A799+1),COLUMN('1-DATA'!F797)),IF($B799="STD. DEVIATION",2,$F$1))))</f>
        <v/>
      </c>
      <c r="H799" s="1" t="str">
        <f>IF(OR($B799="",H$7=""),"",IF($B799="MEANS",INDEX('1-DATA'!$1:$1048576,$A798-1,COLUMN('1-DATA'!G797)),ROUND(INDEX('1-DATA'!$1:$1048576,IF(OR($B799="STD. DEVIATION",$C$1=1),$A799,$A799+1),COLUMN('1-DATA'!G797)),IF($B799="STD. DEVIATION",2,$F$1))))</f>
        <v/>
      </c>
      <c r="I799" s="1" t="str">
        <f>IF(OR($B799="",I$7=""),"",IF($B799="MEANS",INDEX('1-DATA'!$1:$1048576,$A798-1,COLUMN('1-DATA'!H797)),ROUND(INDEX('1-DATA'!$1:$1048576,IF(OR($B799="STD. DEVIATION",$C$1=1),$A799,$A799+1),COLUMN('1-DATA'!H797)),IF($B799="STD. DEVIATION",2,$F$1))))</f>
        <v/>
      </c>
      <c r="J799" s="1" t="str">
        <f>IF(OR($B799="",J$7=""),"",IF($B799="MEANS",INDEX('1-DATA'!$1:$1048576,$A798-1,COLUMN('1-DATA'!I797)),ROUND(INDEX('1-DATA'!$1:$1048576,IF(OR($B799="STD. DEVIATION",$C$1=1),$A799,$A799+1),COLUMN('1-DATA'!I797)),IF($B799="STD. DEVIATION",2,$F$1))))</f>
        <v/>
      </c>
      <c r="K799" s="1" t="str">
        <f>IF(OR($B799="",K$7=""),"",IF($B799="MEANS",INDEX('1-DATA'!$1:$1048576,$A798-1,COLUMN('1-DATA'!J797)),ROUND(INDEX('1-DATA'!$1:$1048576,IF(OR($B799="STD. DEVIATION",$C$1=1),$A799,$A799+1),COLUMN('1-DATA'!J797)),IF($B799="STD. DEVIATION",2,$F$1))))</f>
        <v/>
      </c>
      <c r="L799" s="1" t="str">
        <f>IF(OR($B799="",L$7=""),"",IF($B799="MEANS",INDEX('1-DATA'!$1:$1048576,$A798-1,COLUMN('1-DATA'!K797)),ROUND(INDEX('1-DATA'!$1:$1048576,IF(OR($B799="STD. DEVIATION",$C$1=1),$A799,$A799+1),COLUMN('1-DATA'!K797)),IF($B799="STD. DEVIATION",2,$F$1))))</f>
        <v/>
      </c>
      <c r="M799" s="1" t="str">
        <f>IF(OR($B799="",M$7=""),"",IF($B799="MEANS",INDEX('1-DATA'!$1:$1048576,$A798-1,COLUMN('1-DATA'!L797)),ROUND(INDEX('1-DATA'!$1:$1048576,IF(OR($B799="STD. DEVIATION",$C$1=1),$A799,$A799+1),COLUMN('1-DATA'!L797)),IF($B799="STD. DEVIATION",2,$F$1))))</f>
        <v/>
      </c>
      <c r="N799" s="1" t="str">
        <f>IF(OR($B799="",N$7=""),"",IF($B799="MEANS",INDEX('1-DATA'!$1:$1048576,$A798-1,COLUMN('1-DATA'!M797)),ROUND(INDEX('1-DATA'!$1:$1048576,IF(OR($B799="STD. DEVIATION",$C$1=1),$A799,$A799+1),COLUMN('1-DATA'!M797)),IF($B799="STD. DEVIATION",2,$F$1))))</f>
        <v/>
      </c>
      <c r="O799" s="1" t="str">
        <f>IF(OR($B799="",O$7=""),"",IF($B799="MEANS",INDEX('1-DATA'!$1:$1048576,$A798-1,COLUMN('1-DATA'!N797)),ROUND(INDEX('1-DATA'!$1:$1048576,IF(OR($B799="STD. DEVIATION",$C$1=1),$A799,$A799+1),COLUMN('1-DATA'!N797)),IF($B799="STD. DEVIATION",2,$F$1))))</f>
        <v/>
      </c>
      <c r="P799" s="1" t="str">
        <f>IF(OR($B799="",P$7=""),"",IF($B799="MEANS",INDEX('1-DATA'!$1:$1048576,$A798-1,COLUMN('1-DATA'!O797)),ROUND(INDEX('1-DATA'!$1:$1048576,IF(OR($B799="STD. DEVIATION",$C$1=1),$A799,$A799+1),COLUMN('1-DATA'!O797)),IF($B799="STD. DEVIATION",2,$F$1))))</f>
        <v/>
      </c>
      <c r="Q799" s="1" t="str">
        <f>IF(OR($B799="",Q$7=""),"",IF($B799="MEANS",INDEX('1-DATA'!$1:$1048576,$A798-1,COLUMN('1-DATA'!P797)),ROUND(INDEX('1-DATA'!$1:$1048576,IF(OR($B799="STD. DEVIATION",$C$1=1),$A799,$A799+1),COLUMN('1-DATA'!P797)),IF($B799="STD. DEVIATION",2,$F$1))))</f>
        <v/>
      </c>
      <c r="R799" s="1" t="str">
        <f>IF(OR($B799="",R$7=""),"",IF($B799="MEANS",INDEX('1-DATA'!$1:$1048576,$A798-1,COLUMN('1-DATA'!Q797)),ROUND(INDEX('1-DATA'!$1:$1048576,IF(OR($B799="STD. DEVIATION",$C$1=1),$A799,$A799+1),COLUMN('1-DATA'!Q797)),IF($B799="STD. DEVIATION",2,$F$1))))</f>
        <v/>
      </c>
      <c r="S799" s="1" t="str">
        <f>IF(OR($B799="",S$7=""),"",IF($B799="MEANS",INDEX('1-DATA'!$1:$1048576,$A798-1,COLUMN('1-DATA'!R797)),ROUND(INDEX('1-DATA'!$1:$1048576,IF(OR($B799="STD. DEVIATION",$C$1=1),$A799,$A799+1),COLUMN('1-DATA'!R797)),IF($B799="STD. DEVIATION",2,$F$1))))</f>
        <v/>
      </c>
      <c r="T799" s="1" t="str">
        <f>IF(OR($B799="",T$7=""),"",IF($B799="MEANS",INDEX('1-DATA'!$1:$1048576,$A798-1,COLUMN('1-DATA'!S797)),ROUND(INDEX('1-DATA'!$1:$1048576,IF(OR($B799="STD. DEVIATION",$C$1=1),$A799,$A799+1),COLUMN('1-DATA'!S797)),IF($B799="STD. DEVIATION",2,$F$1))))</f>
        <v/>
      </c>
      <c r="U799" s="1" t="str">
        <f>IF(OR($B799="",U$7=""),"",IF($B799="MEANS",INDEX('1-DATA'!$1:$1048576,$A798-1,COLUMN('1-DATA'!T797)),ROUND(INDEX('1-DATA'!$1:$1048576,IF(OR($B799="STD. DEVIATION",$C$1=1),$A799,$A799+1),COLUMN('1-DATA'!T797)),IF($B799="STD. DEVIATION",2,$F$1))))</f>
        <v/>
      </c>
      <c r="V799" s="1" t="str">
        <f>IF(OR($B799="",V$7=""),"",IF($B799="MEANS",INDEX('1-DATA'!$1:$1048576,$A798-1,COLUMN('1-DATA'!U797)),ROUND(INDEX('1-DATA'!$1:$1048576,IF(OR($B799="STD. DEVIATION",$C$1=1),$A799,$A799+1),COLUMN('1-DATA'!U797)),IF($B799="STD. DEVIATION",2,$F$1))))</f>
        <v/>
      </c>
      <c r="W799" s="1" t="str">
        <f>IF(OR($B799="",W$7=""),"",IF($B799="MEANS",INDEX('1-DATA'!$1:$1048576,$A798-1,COLUMN('1-DATA'!V797)),ROUND(INDEX('1-DATA'!$1:$1048576,IF(OR($B799="STD. DEVIATION",$C$1=1),$A799,$A799+1),COLUMN('1-DATA'!V797)),IF($B799="STD. DEVIATION",2,$F$1))))</f>
        <v/>
      </c>
      <c r="X799" s="1" t="str">
        <f>IF(OR($B799="",X$7=""),"",IF($B799="MEANS",INDEX('1-DATA'!$1:$1048576,$A798-1,COLUMN('1-DATA'!W797)),ROUND(INDEX('1-DATA'!$1:$1048576,IF(OR($B799="STD. DEVIATION",$C$1=1),$A799,$A799+1),COLUMN('1-DATA'!W797)),IF($B799="STD. DEVIATION",2,$F$1))))</f>
        <v/>
      </c>
      <c r="Y799" s="1" t="str">
        <f>IF(OR($B799="",Y$7=""),"",IF($B799="MEANS",INDEX('1-DATA'!$1:$1048576,$A798-1,COLUMN('1-DATA'!X797)),ROUND(INDEX('1-DATA'!$1:$1048576,IF(OR($B799="STD. DEVIATION",$C$1=1),$A799,$A799+1),COLUMN('1-DATA'!X797)),IF($B799="STD. DEVIATION",2,$F$1))))</f>
        <v/>
      </c>
      <c r="Z799" s="1" t="str">
        <f>IF(OR($B799="",Z$7=""),"",IF($B799="MEANS",INDEX('1-DATA'!$1:$1048576,$A798-1,COLUMN('1-DATA'!Y797)),ROUND(INDEX('1-DATA'!$1:$1048576,IF(OR($B799="STD. DEVIATION",$C$1=1),$A799,$A799+1),COLUMN('1-DATA'!Y797)),IF($B799="STD. DEVIATION",2,$F$1))))</f>
        <v/>
      </c>
      <c r="AA799" s="1" t="str">
        <f>IF(OR($B799="",AA$7=""),"",IF($B799="MEANS",INDEX('1-DATA'!$1:$1048576,$A798-1,COLUMN('1-DATA'!Z797)),ROUND(INDEX('1-DATA'!$1:$1048576,IF(OR($B799="STD. DEVIATION",$C$1=1),$A799,$A799+1),COLUMN('1-DATA'!Z797)),IF($B799="STD. DEVIATION",2,$F$1))))</f>
        <v/>
      </c>
      <c r="AB799" s="1" t="str">
        <f>IF(OR($B799="",AB$7=""),"",IF($B799="MEANS",INDEX('1-DATA'!$1:$1048576,$A798-1,COLUMN('1-DATA'!AA797)),ROUND(INDEX('1-DATA'!$1:$1048576,IF(OR($B799="STD. DEVIATION",$C$1=1),$A799,$A799+1),COLUMN('1-DATA'!AA797)),IF($B799="STD. DEVIATION",2,$F$1))))</f>
        <v/>
      </c>
      <c r="AC799" s="1" t="str">
        <f>IF(OR($B799="",AC$7=""),"",IF($B799="MEANS",INDEX('1-DATA'!$1:$1048576,$A798-1,COLUMN('1-DATA'!AB797)),ROUND(INDEX('1-DATA'!$1:$1048576,IF(OR($B799="STD. DEVIATION",$C$1=1),$A799,$A799+1),COLUMN('1-DATA'!AB797)),IF($B799="STD. DEVIATION",2,$F$1))))</f>
        <v/>
      </c>
      <c r="AD799" s="1" t="str">
        <f>IF(OR($B799="",AD$7=""),"",IF($B799="MEANS",INDEX('1-DATA'!$1:$1048576,$A798-1,COLUMN('1-DATA'!AC797)),ROUND(INDEX('1-DATA'!$1:$1048576,IF(OR($B799="STD. DEVIATION",$C$1=1),$A799,$A799+1),COLUMN('1-DATA'!AC797)),IF($B799="STD. DEVIATION",2,$F$1))))</f>
        <v/>
      </c>
      <c r="AE799" s="1" t="str">
        <f>IF(OR($B799="",AE$7=""),"",IF($B799="MEANS",INDEX('1-DATA'!$1:$1048576,$A798-1,COLUMN('1-DATA'!AD797)),ROUND(INDEX('1-DATA'!$1:$1048576,IF(OR($B799="STD. DEVIATION",$C$1=1),$A799,$A799+1),COLUMN('1-DATA'!AD797)),IF($B799="STD. DEVIATION",2,$F$1))))</f>
        <v/>
      </c>
      <c r="AF799" s="1" t="str">
        <f>IF(OR($B799="",AF$7=""),"",IF($B799="MEANS",INDEX('1-DATA'!$1:$1048576,$A798-1,COLUMN('1-DATA'!AE797)),ROUND(INDEX('1-DATA'!$1:$1048576,IF(OR($B799="STD. DEVIATION",$C$1=1),$A799,$A799+1),COLUMN('1-DATA'!AE797)),IF($B799="STD. DEVIATION",2,$F$1))))</f>
        <v/>
      </c>
      <c r="AG799" s="1" t="str">
        <f>IF(OR($B799="",AG$7=""),"",IF($B799="MEANS",INDEX('1-DATA'!$1:$1048576,$A798-1,COLUMN('1-DATA'!AF797)),ROUND(INDEX('1-DATA'!$1:$1048576,IF(OR($B799="STD. DEVIATION",$C$1=1),$A799,$A799+1),COLUMN('1-DATA'!AF797)),IF($B799="STD. DEVIATION",2,$F$1))))</f>
        <v/>
      </c>
      <c r="AH799" s="1" t="str">
        <f>IF(OR($B799="",AH$7=""),"",IF($B799="MEANS",INDEX('1-DATA'!$1:$1048576,$A798-1,COLUMN('1-DATA'!AG797)),ROUND(INDEX('1-DATA'!$1:$1048576,IF(OR($B799="STD. DEVIATION",$C$1=1),$A799,$A799+1),COLUMN('1-DATA'!AG797)),IF($B799="STD. DEVIATION",2,$F$1))))</f>
        <v/>
      </c>
      <c r="AI799" s="1" t="str">
        <f>IF(OR($B799="",AI$7=""),"",IF($B799="MEANS",INDEX('1-DATA'!$1:$1048576,$A798-1,COLUMN('1-DATA'!AH797)),ROUND(INDEX('1-DATA'!$1:$1048576,IF(OR($B799="STD. DEVIATION",$C$1=1),$A799,$A799+1),COLUMN('1-DATA'!AH797)),IF($B799="STD. DEVIATION",2,$F$1))))</f>
        <v/>
      </c>
      <c r="AJ799" s="1" t="str">
        <f>IF(OR($B799="",AJ$7=""),"",IF($B799="MEANS",INDEX('1-DATA'!$1:$1048576,$A798-1,COLUMN('1-DATA'!AI797)),ROUND(INDEX('1-DATA'!$1:$1048576,IF(OR($B799="STD. DEVIATION",$C$1=1),$A799,$A799+1),COLUMN('1-DATA'!AI797)),IF($B799="STD. DEVIATION",2,$F$1))))</f>
        <v/>
      </c>
      <c r="AK799" s="1" t="str">
        <f>IF(OR($B799="",AK$7=""),"",IF($B799="MEANS",INDEX('1-DATA'!$1:$1048576,$A798-1,COLUMN('1-DATA'!AJ797)),ROUND(INDEX('1-DATA'!$1:$1048576,IF(OR($B799="STD. DEVIATION",$C$1=1),$A799,$A799+1),COLUMN('1-DATA'!AJ797)),IF($B799="STD. DEVIATION",2,$F$1))))</f>
        <v/>
      </c>
      <c r="AL799" s="1" t="str">
        <f>IF(OR($B799="",AL$7=""),"",IF($B799="MEANS",INDEX('1-DATA'!$1:$1048576,$A798-1,COLUMN('1-DATA'!AK797)),ROUND(INDEX('1-DATA'!$1:$1048576,IF(OR($B799="STD. DEVIATION",$C$1=1),$A799,$A799+1),COLUMN('1-DATA'!AK797)),IF($B799="STD. DEVIATION",2,$F$1))))</f>
        <v/>
      </c>
      <c r="AM799" s="1" t="str">
        <f>IF(OR($B799="",AM$7=""),"",IF($B799="MEANS",INDEX('1-DATA'!$1:$1048576,$A798-1,COLUMN('1-DATA'!AL797)),ROUND(INDEX('1-DATA'!$1:$1048576,IF(OR($B799="STD. DEVIATION",$C$1=1),$A799,$A799+1),COLUMN('1-DATA'!AL797)),IF($B799="STD. DEVIATION",2,$F$1))))</f>
        <v/>
      </c>
      <c r="AN799" s="1" t="str">
        <f>IF(OR($B799="",AN$7=""),"",IF($B799="MEANS",INDEX('1-DATA'!$1:$1048576,$A798-1,COLUMN('1-DATA'!AM797)),ROUND(INDEX('1-DATA'!$1:$1048576,IF(OR($B799="STD. DEVIATION",$C$1=1),$A799,$A799+1),COLUMN('1-DATA'!AM797)),IF($B799="STD. DEVIATION",2,$F$1))))</f>
        <v/>
      </c>
      <c r="AO799" s="1" t="str">
        <f>IF(OR($B799="",AO$7=""),"",IF($B799="MEANS",INDEX('1-DATA'!$1:$1048576,$A798-1,COLUMN('1-DATA'!AN797)),ROUND(INDEX('1-DATA'!$1:$1048576,IF(OR($B799="STD. DEVIATION",$C$1=1),$A799,$A799+1),COLUMN('1-DATA'!AN797)),IF($B799="STD. DEVIATION",2,$F$1))))</f>
        <v/>
      </c>
      <c r="AP799" s="1" t="str">
        <f>IF(OR($B799="",AP$7=""),"",IF($B799="MEANS",INDEX('1-DATA'!$1:$1048576,$A798-1,COLUMN('1-DATA'!AO797)),ROUND(INDEX('1-DATA'!$1:$1048576,IF(OR($B799="STD. DEVIATION",$C$1=1),$A799,$A799+1),COLUMN('1-DATA'!AO797)),IF($B799="STD. DEVIATION",2,$F$1))))</f>
        <v/>
      </c>
      <c r="AQ799" s="1" t="str">
        <f>IF(OR($B799="",AQ$7=""),"",IF($B799="MEANS",INDEX('1-DATA'!$1:$1048576,$A798-1,COLUMN('1-DATA'!AP797)),ROUND(INDEX('1-DATA'!$1:$1048576,IF(OR($B799="STD. DEVIATION",$C$1=1),$A799,$A799+1),COLUMN('1-DATA'!AP797)),IF($B799="STD. DEVIATION",2,$F$1))))</f>
        <v/>
      </c>
      <c r="AR799" s="1" t="str">
        <f>IF(OR($B799="",AR$7=""),"",IF($B799="MEANS",INDEX('1-DATA'!$1:$1048576,$A798-1,COLUMN('1-DATA'!AQ797)),ROUND(INDEX('1-DATA'!$1:$1048576,IF(OR($B799="STD. DEVIATION",$C$1=1),$A799,$A799+1),COLUMN('1-DATA'!AQ797)),IF($B799="STD. DEVIATION",2,$F$1))))</f>
        <v/>
      </c>
      <c r="AS799" s="1" t="str">
        <f>IF(OR($B799="",AS$7=""),"",IF($B799="MEANS",INDEX('1-DATA'!$1:$1048576,$A798-1,COLUMN('1-DATA'!AR797)),ROUND(INDEX('1-DATA'!$1:$1048576,IF(OR($B799="STD. DEVIATION",$C$1=1),$A799,$A799+1),COLUMN('1-DATA'!AR797)),IF($B799="STD. DEVIATION",2,$F$1))))</f>
        <v/>
      </c>
      <c r="AT799" s="1" t="str">
        <f>IF(OR($B799="",AT$7=""),"",IF($B799="MEANS",INDEX('1-DATA'!$1:$1048576,$A798-1,COLUMN('1-DATA'!AS797)),ROUND(INDEX('1-DATA'!$1:$1048576,IF(OR($B799="STD. DEVIATION",$C$1=1),$A799,$A799+1),COLUMN('1-DATA'!AS797)),IF($B799="STD. DEVIATION",2,$F$1))))</f>
        <v/>
      </c>
      <c r="AU799" s="1" t="str">
        <f>IF(OR($B799="",AU$7=""),"",IF($B799="MEANS",INDEX('1-DATA'!$1:$1048576,$A798-1,COLUMN('1-DATA'!AT797)),ROUND(INDEX('1-DATA'!$1:$1048576,IF(OR($B799="STD. DEVIATION",$C$1=1),$A799,$A799+1),COLUMN('1-DATA'!AT797)),IF($B799="STD. DEVIATION",2,$F$1))))</f>
        <v/>
      </c>
      <c r="AV799" s="1" t="str">
        <f>IF(OR($B799="",AV$7=""),"",IF($B799="MEANS",INDEX('1-DATA'!$1:$1048576,$A798-1,COLUMN('1-DATA'!AU797)),ROUND(INDEX('1-DATA'!$1:$1048576,IF(OR($B799="STD. DEVIATION",$C$1=1),$A799,$A799+1),COLUMN('1-DATA'!AU797)),IF($B799="STD. DEVIATION",2,$F$1))))</f>
        <v/>
      </c>
      <c r="AW799" s="1" t="str">
        <f>IF(OR($B799="",AW$7=""),"",IF($B799="MEANS",INDEX('1-DATA'!$1:$1048576,$A798-1,COLUMN('1-DATA'!AV797)),ROUND(INDEX('1-DATA'!$1:$1048576,IF(OR($B799="STD. DEVIATION",$C$1=1),$A799,$A799+1),COLUMN('1-DATA'!AV797)),IF($B799="STD. DEVIATION",2,$F$1))))</f>
        <v/>
      </c>
      <c r="AX799" s="1" t="str">
        <f>IF(OR($B799="",AX$7=""),"",IF($B799="MEANS",INDEX('1-DATA'!$1:$1048576,$A798-1,COLUMN('1-DATA'!AW797)),ROUND(INDEX('1-DATA'!$1:$1048576,IF(OR($B799="STD. DEVIATION",$C$1=1),$A799,$A799+1),COLUMN('1-DATA'!AW797)),IF($B799="STD. DEVIATION",2,$F$1))))</f>
        <v/>
      </c>
      <c r="AY799" s="1" t="str">
        <f>IF(OR($B799="",AY$7=""),"",IF($B799="MEANS",INDEX('1-DATA'!$1:$1048576,$A798-1,COLUMN('1-DATA'!AX797)),ROUND(INDEX('1-DATA'!$1:$1048576,IF(OR($B799="STD. DEVIATION",$C$1=1),$A799,$A799+1),COLUMN('1-DATA'!AX797)),IF($B799="STD. DEVIATION",2,$F$1))))</f>
        <v/>
      </c>
      <c r="AZ799" s="1" t="str">
        <f>IF(OR($B799="",AZ$7=""),"",IF($B799="MEANS",INDEX('1-DATA'!$1:$1048576,$A798-1,COLUMN('1-DATA'!AY797)),ROUND(INDEX('1-DATA'!$1:$1048576,IF(OR($B799="STD. DEVIATION",$C$1=1),$A799,$A799+1),COLUMN('1-DATA'!AY797)),IF($B799="STD. DEVIATION",2,$F$1))))</f>
        <v/>
      </c>
    </row>
    <row r="800" spans="1:52" x14ac:dyDescent="0.25">
      <c r="A800" s="11">
        <f t="shared" si="13"/>
        <v>2386</v>
      </c>
      <c r="B800" s="1" t="str">
        <f>IF(B799="STD. DEVIATION",INDEX('1-DATA'!$1:$1048576,$A799-1,1),IF(INDEX('1-DATA'!$1:$1048576,$A800,1)&lt;&gt;"",INDEX('1-DATA'!$1:$1048576,$A800,1),""))</f>
        <v/>
      </c>
      <c r="C800" s="1" t="str">
        <f>IF(OR($B800="",C$7=""),"",IF($B800="MEANS",INDEX('1-DATA'!$1:$1048576,$A799-1,COLUMN('1-DATA'!B798)),ROUND(INDEX('1-DATA'!$1:$1048576,IF(OR($B800="STD. DEVIATION",$C$1=1),$A800,$A800+1),COLUMN('1-DATA'!B798)),IF($B800="STD. DEVIATION",2,$F$1))))</f>
        <v/>
      </c>
      <c r="D800" s="1" t="str">
        <f>IF(OR($B800="",D$7=""),"",IF($B800="MEANS",INDEX('1-DATA'!$1:$1048576,$A799-1,COLUMN('1-DATA'!C798)),ROUND(INDEX('1-DATA'!$1:$1048576,IF(OR($B800="STD. DEVIATION",$C$1=1),$A800,$A800+1),COLUMN('1-DATA'!C798)),IF($B800="STD. DEVIATION",2,$F$1))))</f>
        <v/>
      </c>
      <c r="E800" s="1" t="str">
        <f>IF(OR($B800="",E$7=""),"",IF($B800="MEANS",INDEX('1-DATA'!$1:$1048576,$A799-1,COLUMN('1-DATA'!D798)),ROUND(INDEX('1-DATA'!$1:$1048576,IF(OR($B800="STD. DEVIATION",$C$1=1),$A800,$A800+1),COLUMN('1-DATA'!D798)),IF($B800="STD. DEVIATION",2,$F$1))))</f>
        <v/>
      </c>
      <c r="F800" s="1" t="str">
        <f>IF(OR($B800="",F$7=""),"",IF($B800="MEANS",INDEX('1-DATA'!$1:$1048576,$A799-1,COLUMN('1-DATA'!E798)),ROUND(INDEX('1-DATA'!$1:$1048576,IF(OR($B800="STD. DEVIATION",$C$1=1),$A800,$A800+1),COLUMN('1-DATA'!E798)),IF($B800="STD. DEVIATION",2,$F$1))))</f>
        <v/>
      </c>
      <c r="G800" s="1" t="str">
        <f>IF(OR($B800="",G$7=""),"",IF($B800="MEANS",INDEX('1-DATA'!$1:$1048576,$A799-1,COLUMN('1-DATA'!F798)),ROUND(INDEX('1-DATA'!$1:$1048576,IF(OR($B800="STD. DEVIATION",$C$1=1),$A800,$A800+1),COLUMN('1-DATA'!F798)),IF($B800="STD. DEVIATION",2,$F$1))))</f>
        <v/>
      </c>
      <c r="H800" s="1" t="str">
        <f>IF(OR($B800="",H$7=""),"",IF($B800="MEANS",INDEX('1-DATA'!$1:$1048576,$A799-1,COLUMN('1-DATA'!G798)),ROUND(INDEX('1-DATA'!$1:$1048576,IF(OR($B800="STD. DEVIATION",$C$1=1),$A800,$A800+1),COLUMN('1-DATA'!G798)),IF($B800="STD. DEVIATION",2,$F$1))))</f>
        <v/>
      </c>
      <c r="I800" s="1" t="str">
        <f>IF(OR($B800="",I$7=""),"",IF($B800="MEANS",INDEX('1-DATA'!$1:$1048576,$A799-1,COLUMN('1-DATA'!H798)),ROUND(INDEX('1-DATA'!$1:$1048576,IF(OR($B800="STD. DEVIATION",$C$1=1),$A800,$A800+1),COLUMN('1-DATA'!H798)),IF($B800="STD. DEVIATION",2,$F$1))))</f>
        <v/>
      </c>
      <c r="J800" s="1" t="str">
        <f>IF(OR($B800="",J$7=""),"",IF($B800="MEANS",INDEX('1-DATA'!$1:$1048576,$A799-1,COLUMN('1-DATA'!I798)),ROUND(INDEX('1-DATA'!$1:$1048576,IF(OR($B800="STD. DEVIATION",$C$1=1),$A800,$A800+1),COLUMN('1-DATA'!I798)),IF($B800="STD. DEVIATION",2,$F$1))))</f>
        <v/>
      </c>
      <c r="K800" s="1" t="str">
        <f>IF(OR($B800="",K$7=""),"",IF($B800="MEANS",INDEX('1-DATA'!$1:$1048576,$A799-1,COLUMN('1-DATA'!J798)),ROUND(INDEX('1-DATA'!$1:$1048576,IF(OR($B800="STD. DEVIATION",$C$1=1),$A800,$A800+1),COLUMN('1-DATA'!J798)),IF($B800="STD. DEVIATION",2,$F$1))))</f>
        <v/>
      </c>
      <c r="L800" s="1" t="str">
        <f>IF(OR($B800="",L$7=""),"",IF($B800="MEANS",INDEX('1-DATA'!$1:$1048576,$A799-1,COLUMN('1-DATA'!K798)),ROUND(INDEX('1-DATA'!$1:$1048576,IF(OR($B800="STD. DEVIATION",$C$1=1),$A800,$A800+1),COLUMN('1-DATA'!K798)),IF($B800="STD. DEVIATION",2,$F$1))))</f>
        <v/>
      </c>
      <c r="M800" s="1" t="str">
        <f>IF(OR($B800="",M$7=""),"",IF($B800="MEANS",INDEX('1-DATA'!$1:$1048576,$A799-1,COLUMN('1-DATA'!L798)),ROUND(INDEX('1-DATA'!$1:$1048576,IF(OR($B800="STD. DEVIATION",$C$1=1),$A800,$A800+1),COLUMN('1-DATA'!L798)),IF($B800="STD. DEVIATION",2,$F$1))))</f>
        <v/>
      </c>
      <c r="N800" s="1" t="str">
        <f>IF(OR($B800="",N$7=""),"",IF($B800="MEANS",INDEX('1-DATA'!$1:$1048576,$A799-1,COLUMN('1-DATA'!M798)),ROUND(INDEX('1-DATA'!$1:$1048576,IF(OR($B800="STD. DEVIATION",$C$1=1),$A800,$A800+1),COLUMN('1-DATA'!M798)),IF($B800="STD. DEVIATION",2,$F$1))))</f>
        <v/>
      </c>
      <c r="O800" s="1" t="str">
        <f>IF(OR($B800="",O$7=""),"",IF($B800="MEANS",INDEX('1-DATA'!$1:$1048576,$A799-1,COLUMN('1-DATA'!N798)),ROUND(INDEX('1-DATA'!$1:$1048576,IF(OR($B800="STD. DEVIATION",$C$1=1),$A800,$A800+1),COLUMN('1-DATA'!N798)),IF($B800="STD. DEVIATION",2,$F$1))))</f>
        <v/>
      </c>
      <c r="P800" s="1" t="str">
        <f>IF(OR($B800="",P$7=""),"",IF($B800="MEANS",INDEX('1-DATA'!$1:$1048576,$A799-1,COLUMN('1-DATA'!O798)),ROUND(INDEX('1-DATA'!$1:$1048576,IF(OR($B800="STD. DEVIATION",$C$1=1),$A800,$A800+1),COLUMN('1-DATA'!O798)),IF($B800="STD. DEVIATION",2,$F$1))))</f>
        <v/>
      </c>
      <c r="Q800" s="1" t="str">
        <f>IF(OR($B800="",Q$7=""),"",IF($B800="MEANS",INDEX('1-DATA'!$1:$1048576,$A799-1,COLUMN('1-DATA'!P798)),ROUND(INDEX('1-DATA'!$1:$1048576,IF(OR($B800="STD. DEVIATION",$C$1=1),$A800,$A800+1),COLUMN('1-DATA'!P798)),IF($B800="STD. DEVIATION",2,$F$1))))</f>
        <v/>
      </c>
      <c r="R800" s="1" t="str">
        <f>IF(OR($B800="",R$7=""),"",IF($B800="MEANS",INDEX('1-DATA'!$1:$1048576,$A799-1,COLUMN('1-DATA'!Q798)),ROUND(INDEX('1-DATA'!$1:$1048576,IF(OR($B800="STD. DEVIATION",$C$1=1),$A800,$A800+1),COLUMN('1-DATA'!Q798)),IF($B800="STD. DEVIATION",2,$F$1))))</f>
        <v/>
      </c>
      <c r="S800" s="1" t="str">
        <f>IF(OR($B800="",S$7=""),"",IF($B800="MEANS",INDEX('1-DATA'!$1:$1048576,$A799-1,COLUMN('1-DATA'!R798)),ROUND(INDEX('1-DATA'!$1:$1048576,IF(OR($B800="STD. DEVIATION",$C$1=1),$A800,$A800+1),COLUMN('1-DATA'!R798)),IF($B800="STD. DEVIATION",2,$F$1))))</f>
        <v/>
      </c>
      <c r="T800" s="1" t="str">
        <f>IF(OR($B800="",T$7=""),"",IF($B800="MEANS",INDEX('1-DATA'!$1:$1048576,$A799-1,COLUMN('1-DATA'!S798)),ROUND(INDEX('1-DATA'!$1:$1048576,IF(OR($B800="STD. DEVIATION",$C$1=1),$A800,$A800+1),COLUMN('1-DATA'!S798)),IF($B800="STD. DEVIATION",2,$F$1))))</f>
        <v/>
      </c>
      <c r="U800" s="1" t="str">
        <f>IF(OR($B800="",U$7=""),"",IF($B800="MEANS",INDEX('1-DATA'!$1:$1048576,$A799-1,COLUMN('1-DATA'!T798)),ROUND(INDEX('1-DATA'!$1:$1048576,IF(OR($B800="STD. DEVIATION",$C$1=1),$A800,$A800+1),COLUMN('1-DATA'!T798)),IF($B800="STD. DEVIATION",2,$F$1))))</f>
        <v/>
      </c>
      <c r="V800" s="1" t="str">
        <f>IF(OR($B800="",V$7=""),"",IF($B800="MEANS",INDEX('1-DATA'!$1:$1048576,$A799-1,COLUMN('1-DATA'!U798)),ROUND(INDEX('1-DATA'!$1:$1048576,IF(OR($B800="STD. DEVIATION",$C$1=1),$A800,$A800+1),COLUMN('1-DATA'!U798)),IF($B800="STD. DEVIATION",2,$F$1))))</f>
        <v/>
      </c>
      <c r="W800" s="1" t="str">
        <f>IF(OR($B800="",W$7=""),"",IF($B800="MEANS",INDEX('1-DATA'!$1:$1048576,$A799-1,COLUMN('1-DATA'!V798)),ROUND(INDEX('1-DATA'!$1:$1048576,IF(OR($B800="STD. DEVIATION",$C$1=1),$A800,$A800+1),COLUMN('1-DATA'!V798)),IF($B800="STD. DEVIATION",2,$F$1))))</f>
        <v/>
      </c>
      <c r="X800" s="1" t="str">
        <f>IF(OR($B800="",X$7=""),"",IF($B800="MEANS",INDEX('1-DATA'!$1:$1048576,$A799-1,COLUMN('1-DATA'!W798)),ROUND(INDEX('1-DATA'!$1:$1048576,IF(OR($B800="STD. DEVIATION",$C$1=1),$A800,$A800+1),COLUMN('1-DATA'!W798)),IF($B800="STD. DEVIATION",2,$F$1))))</f>
        <v/>
      </c>
      <c r="Y800" s="1" t="str">
        <f>IF(OR($B800="",Y$7=""),"",IF($B800="MEANS",INDEX('1-DATA'!$1:$1048576,$A799-1,COLUMN('1-DATA'!X798)),ROUND(INDEX('1-DATA'!$1:$1048576,IF(OR($B800="STD. DEVIATION",$C$1=1),$A800,$A800+1),COLUMN('1-DATA'!X798)),IF($B800="STD. DEVIATION",2,$F$1))))</f>
        <v/>
      </c>
      <c r="Z800" s="1" t="str">
        <f>IF(OR($B800="",Z$7=""),"",IF($B800="MEANS",INDEX('1-DATA'!$1:$1048576,$A799-1,COLUMN('1-DATA'!Y798)),ROUND(INDEX('1-DATA'!$1:$1048576,IF(OR($B800="STD. DEVIATION",$C$1=1),$A800,$A800+1),COLUMN('1-DATA'!Y798)),IF($B800="STD. DEVIATION",2,$F$1))))</f>
        <v/>
      </c>
      <c r="AA800" s="1" t="str">
        <f>IF(OR($B800="",AA$7=""),"",IF($B800="MEANS",INDEX('1-DATA'!$1:$1048576,$A799-1,COLUMN('1-DATA'!Z798)),ROUND(INDEX('1-DATA'!$1:$1048576,IF(OR($B800="STD. DEVIATION",$C$1=1),$A800,$A800+1),COLUMN('1-DATA'!Z798)),IF($B800="STD. DEVIATION",2,$F$1))))</f>
        <v/>
      </c>
      <c r="AB800" s="1" t="str">
        <f>IF(OR($B800="",AB$7=""),"",IF($B800="MEANS",INDEX('1-DATA'!$1:$1048576,$A799-1,COLUMN('1-DATA'!AA798)),ROUND(INDEX('1-DATA'!$1:$1048576,IF(OR($B800="STD. DEVIATION",$C$1=1),$A800,$A800+1),COLUMN('1-DATA'!AA798)),IF($B800="STD. DEVIATION",2,$F$1))))</f>
        <v/>
      </c>
      <c r="AC800" s="1" t="str">
        <f>IF(OR($B800="",AC$7=""),"",IF($B800="MEANS",INDEX('1-DATA'!$1:$1048576,$A799-1,COLUMN('1-DATA'!AB798)),ROUND(INDEX('1-DATA'!$1:$1048576,IF(OR($B800="STD. DEVIATION",$C$1=1),$A800,$A800+1),COLUMN('1-DATA'!AB798)),IF($B800="STD. DEVIATION",2,$F$1))))</f>
        <v/>
      </c>
      <c r="AD800" s="1" t="str">
        <f>IF(OR($B800="",AD$7=""),"",IF($B800="MEANS",INDEX('1-DATA'!$1:$1048576,$A799-1,COLUMN('1-DATA'!AC798)),ROUND(INDEX('1-DATA'!$1:$1048576,IF(OR($B800="STD. DEVIATION",$C$1=1),$A800,$A800+1),COLUMN('1-DATA'!AC798)),IF($B800="STD. DEVIATION",2,$F$1))))</f>
        <v/>
      </c>
      <c r="AE800" s="1" t="str">
        <f>IF(OR($B800="",AE$7=""),"",IF($B800="MEANS",INDEX('1-DATA'!$1:$1048576,$A799-1,COLUMN('1-DATA'!AD798)),ROUND(INDEX('1-DATA'!$1:$1048576,IF(OR($B800="STD. DEVIATION",$C$1=1),$A800,$A800+1),COLUMN('1-DATA'!AD798)),IF($B800="STD. DEVIATION",2,$F$1))))</f>
        <v/>
      </c>
      <c r="AF800" s="1" t="str">
        <f>IF(OR($B800="",AF$7=""),"",IF($B800="MEANS",INDEX('1-DATA'!$1:$1048576,$A799-1,COLUMN('1-DATA'!AE798)),ROUND(INDEX('1-DATA'!$1:$1048576,IF(OR($B800="STD. DEVIATION",$C$1=1),$A800,$A800+1),COLUMN('1-DATA'!AE798)),IF($B800="STD. DEVIATION",2,$F$1))))</f>
        <v/>
      </c>
      <c r="AG800" s="1" t="str">
        <f>IF(OR($B800="",AG$7=""),"",IF($B800="MEANS",INDEX('1-DATA'!$1:$1048576,$A799-1,COLUMN('1-DATA'!AF798)),ROUND(INDEX('1-DATA'!$1:$1048576,IF(OR($B800="STD. DEVIATION",$C$1=1),$A800,$A800+1),COLUMN('1-DATA'!AF798)),IF($B800="STD. DEVIATION",2,$F$1))))</f>
        <v/>
      </c>
      <c r="AH800" s="1" t="str">
        <f>IF(OR($B800="",AH$7=""),"",IF($B800="MEANS",INDEX('1-DATA'!$1:$1048576,$A799-1,COLUMN('1-DATA'!AG798)),ROUND(INDEX('1-DATA'!$1:$1048576,IF(OR($B800="STD. DEVIATION",$C$1=1),$A800,$A800+1),COLUMN('1-DATA'!AG798)),IF($B800="STD. DEVIATION",2,$F$1))))</f>
        <v/>
      </c>
      <c r="AI800" s="1" t="str">
        <f>IF(OR($B800="",AI$7=""),"",IF($B800="MEANS",INDEX('1-DATA'!$1:$1048576,$A799-1,COLUMN('1-DATA'!AH798)),ROUND(INDEX('1-DATA'!$1:$1048576,IF(OR($B800="STD. DEVIATION",$C$1=1),$A800,$A800+1),COLUMN('1-DATA'!AH798)),IF($B800="STD. DEVIATION",2,$F$1))))</f>
        <v/>
      </c>
      <c r="AJ800" s="1" t="str">
        <f>IF(OR($B800="",AJ$7=""),"",IF($B800="MEANS",INDEX('1-DATA'!$1:$1048576,$A799-1,COLUMN('1-DATA'!AI798)),ROUND(INDEX('1-DATA'!$1:$1048576,IF(OR($B800="STD. DEVIATION",$C$1=1),$A800,$A800+1),COLUMN('1-DATA'!AI798)),IF($B800="STD. DEVIATION",2,$F$1))))</f>
        <v/>
      </c>
      <c r="AK800" s="1" t="str">
        <f>IF(OR($B800="",AK$7=""),"",IF($B800="MEANS",INDEX('1-DATA'!$1:$1048576,$A799-1,COLUMN('1-DATA'!AJ798)),ROUND(INDEX('1-DATA'!$1:$1048576,IF(OR($B800="STD. DEVIATION",$C$1=1),$A800,$A800+1),COLUMN('1-DATA'!AJ798)),IF($B800="STD. DEVIATION",2,$F$1))))</f>
        <v/>
      </c>
      <c r="AL800" s="1" t="str">
        <f>IF(OR($B800="",AL$7=""),"",IF($B800="MEANS",INDEX('1-DATA'!$1:$1048576,$A799-1,COLUMN('1-DATA'!AK798)),ROUND(INDEX('1-DATA'!$1:$1048576,IF(OR($B800="STD. DEVIATION",$C$1=1),$A800,$A800+1),COLUMN('1-DATA'!AK798)),IF($B800="STD. DEVIATION",2,$F$1))))</f>
        <v/>
      </c>
      <c r="AM800" s="1" t="str">
        <f>IF(OR($B800="",AM$7=""),"",IF($B800="MEANS",INDEX('1-DATA'!$1:$1048576,$A799-1,COLUMN('1-DATA'!AL798)),ROUND(INDEX('1-DATA'!$1:$1048576,IF(OR($B800="STD. DEVIATION",$C$1=1),$A800,$A800+1),COLUMN('1-DATA'!AL798)),IF($B800="STD. DEVIATION",2,$F$1))))</f>
        <v/>
      </c>
      <c r="AN800" s="1" t="str">
        <f>IF(OR($B800="",AN$7=""),"",IF($B800="MEANS",INDEX('1-DATA'!$1:$1048576,$A799-1,COLUMN('1-DATA'!AM798)),ROUND(INDEX('1-DATA'!$1:$1048576,IF(OR($B800="STD. DEVIATION",$C$1=1),$A800,$A800+1),COLUMN('1-DATA'!AM798)),IF($B800="STD. DEVIATION",2,$F$1))))</f>
        <v/>
      </c>
      <c r="AO800" s="1" t="str">
        <f>IF(OR($B800="",AO$7=""),"",IF($B800="MEANS",INDEX('1-DATA'!$1:$1048576,$A799-1,COLUMN('1-DATA'!AN798)),ROUND(INDEX('1-DATA'!$1:$1048576,IF(OR($B800="STD. DEVIATION",$C$1=1),$A800,$A800+1),COLUMN('1-DATA'!AN798)),IF($B800="STD. DEVIATION",2,$F$1))))</f>
        <v/>
      </c>
      <c r="AP800" s="1" t="str">
        <f>IF(OR($B800="",AP$7=""),"",IF($B800="MEANS",INDEX('1-DATA'!$1:$1048576,$A799-1,COLUMN('1-DATA'!AO798)),ROUND(INDEX('1-DATA'!$1:$1048576,IF(OR($B800="STD. DEVIATION",$C$1=1),$A800,$A800+1),COLUMN('1-DATA'!AO798)),IF($B800="STD. DEVIATION",2,$F$1))))</f>
        <v/>
      </c>
      <c r="AQ800" s="1" t="str">
        <f>IF(OR($B800="",AQ$7=""),"",IF($B800="MEANS",INDEX('1-DATA'!$1:$1048576,$A799-1,COLUMN('1-DATA'!AP798)),ROUND(INDEX('1-DATA'!$1:$1048576,IF(OR($B800="STD. DEVIATION",$C$1=1),$A800,$A800+1),COLUMN('1-DATA'!AP798)),IF($B800="STD. DEVIATION",2,$F$1))))</f>
        <v/>
      </c>
      <c r="AR800" s="1" t="str">
        <f>IF(OR($B800="",AR$7=""),"",IF($B800="MEANS",INDEX('1-DATA'!$1:$1048576,$A799-1,COLUMN('1-DATA'!AQ798)),ROUND(INDEX('1-DATA'!$1:$1048576,IF(OR($B800="STD. DEVIATION",$C$1=1),$A800,$A800+1),COLUMN('1-DATA'!AQ798)),IF($B800="STD. DEVIATION",2,$F$1))))</f>
        <v/>
      </c>
      <c r="AS800" s="1" t="str">
        <f>IF(OR($B800="",AS$7=""),"",IF($B800="MEANS",INDEX('1-DATA'!$1:$1048576,$A799-1,COLUMN('1-DATA'!AR798)),ROUND(INDEX('1-DATA'!$1:$1048576,IF(OR($B800="STD. DEVIATION",$C$1=1),$A800,$A800+1),COLUMN('1-DATA'!AR798)),IF($B800="STD. DEVIATION",2,$F$1))))</f>
        <v/>
      </c>
      <c r="AT800" s="1" t="str">
        <f>IF(OR($B800="",AT$7=""),"",IF($B800="MEANS",INDEX('1-DATA'!$1:$1048576,$A799-1,COLUMN('1-DATA'!AS798)),ROUND(INDEX('1-DATA'!$1:$1048576,IF(OR($B800="STD. DEVIATION",$C$1=1),$A800,$A800+1),COLUMN('1-DATA'!AS798)),IF($B800="STD. DEVIATION",2,$F$1))))</f>
        <v/>
      </c>
      <c r="AU800" s="1" t="str">
        <f>IF(OR($B800="",AU$7=""),"",IF($B800="MEANS",INDEX('1-DATA'!$1:$1048576,$A799-1,COLUMN('1-DATA'!AT798)),ROUND(INDEX('1-DATA'!$1:$1048576,IF(OR($B800="STD. DEVIATION",$C$1=1),$A800,$A800+1),COLUMN('1-DATA'!AT798)),IF($B800="STD. DEVIATION",2,$F$1))))</f>
        <v/>
      </c>
      <c r="AV800" s="1" t="str">
        <f>IF(OR($B800="",AV$7=""),"",IF($B800="MEANS",INDEX('1-DATA'!$1:$1048576,$A799-1,COLUMN('1-DATA'!AU798)),ROUND(INDEX('1-DATA'!$1:$1048576,IF(OR($B800="STD. DEVIATION",$C$1=1),$A800,$A800+1),COLUMN('1-DATA'!AU798)),IF($B800="STD. DEVIATION",2,$F$1))))</f>
        <v/>
      </c>
      <c r="AW800" s="1" t="str">
        <f>IF(OR($B800="",AW$7=""),"",IF($B800="MEANS",INDEX('1-DATA'!$1:$1048576,$A799-1,COLUMN('1-DATA'!AV798)),ROUND(INDEX('1-DATA'!$1:$1048576,IF(OR($B800="STD. DEVIATION",$C$1=1),$A800,$A800+1),COLUMN('1-DATA'!AV798)),IF($B800="STD. DEVIATION",2,$F$1))))</f>
        <v/>
      </c>
      <c r="AX800" s="1" t="str">
        <f>IF(OR($B800="",AX$7=""),"",IF($B800="MEANS",INDEX('1-DATA'!$1:$1048576,$A799-1,COLUMN('1-DATA'!AW798)),ROUND(INDEX('1-DATA'!$1:$1048576,IF(OR($B800="STD. DEVIATION",$C$1=1),$A800,$A800+1),COLUMN('1-DATA'!AW798)),IF($B800="STD. DEVIATION",2,$F$1))))</f>
        <v/>
      </c>
      <c r="AY800" s="1" t="str">
        <f>IF(OR($B800="",AY$7=""),"",IF($B800="MEANS",INDEX('1-DATA'!$1:$1048576,$A799-1,COLUMN('1-DATA'!AX798)),ROUND(INDEX('1-DATA'!$1:$1048576,IF(OR($B800="STD. DEVIATION",$C$1=1),$A800,$A800+1),COLUMN('1-DATA'!AX798)),IF($B800="STD. DEVIATION",2,$F$1))))</f>
        <v/>
      </c>
      <c r="AZ800" s="1" t="str">
        <f>IF(OR($B800="",AZ$7=""),"",IF($B800="MEANS",INDEX('1-DATA'!$1:$1048576,$A799-1,COLUMN('1-DATA'!AY798)),ROUND(INDEX('1-DATA'!$1:$1048576,IF(OR($B800="STD. DEVIATION",$C$1=1),$A800,$A800+1),COLUMN('1-DATA'!AY798)),IF($B800="STD. DEVIATION",2,$F$1))))</f>
        <v/>
      </c>
    </row>
    <row r="801" spans="1:52" x14ac:dyDescent="0.25">
      <c r="A801" s="1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25">
      <c r="A802" s="1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25">
      <c r="A803" s="1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25">
      <c r="A804" s="1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25">
      <c r="A805" s="1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25">
      <c r="A806" s="1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25">
      <c r="A807" s="1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25">
      <c r="A808" s="1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25">
      <c r="A809" s="1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25">
      <c r="A810" s="1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25">
      <c r="A811" s="1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25">
      <c r="A812" s="1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25">
      <c r="A813" s="1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25">
      <c r="A814" s="1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25">
      <c r="A815" s="1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25">
      <c r="A816" s="1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25">
      <c r="A817" s="1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25">
      <c r="A818" s="1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25">
      <c r="A819" s="1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25">
      <c r="A820" s="1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25">
      <c r="A821" s="1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25">
      <c r="A822" s="1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25">
      <c r="A823" s="1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25">
      <c r="A824" s="1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25">
      <c r="A825" s="1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25">
      <c r="A826" s="1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25">
      <c r="A827" s="1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25">
      <c r="A828" s="1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25">
      <c r="A829" s="1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25">
      <c r="A830" s="1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25">
      <c r="A831" s="1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25">
      <c r="A832" s="1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25">
      <c r="A833" s="1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25">
      <c r="A834" s="1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25">
      <c r="A835" s="1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25">
      <c r="A836" s="1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25">
      <c r="A837" s="1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25">
      <c r="A838" s="1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25">
      <c r="A839" s="1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25">
      <c r="A840" s="1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25">
      <c r="A841" s="1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25">
      <c r="A842" s="1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25">
      <c r="A843" s="1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25">
      <c r="A844" s="1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25">
      <c r="A845" s="1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25">
      <c r="A846" s="1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25">
      <c r="A847" s="1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25">
      <c r="A848" s="1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25">
      <c r="A849" s="1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25">
      <c r="A850" s="1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25">
      <c r="A851" s="1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25">
      <c r="A852" s="1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25">
      <c r="A853" s="1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25">
      <c r="A854" s="1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25">
      <c r="A855" s="1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25">
      <c r="A856" s="1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25">
      <c r="A857" s="1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25">
      <c r="A858" s="1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25">
      <c r="A859" s="1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25">
      <c r="A860" s="1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25">
      <c r="A861" s="1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25">
      <c r="A862" s="1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25">
      <c r="A863" s="1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25">
      <c r="A864" s="1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25">
      <c r="A865" s="1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25">
      <c r="A866" s="1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25">
      <c r="A867" s="1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25">
      <c r="A868" s="1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25">
      <c r="A869" s="1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25">
      <c r="A870" s="1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25">
      <c r="A871" s="1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25">
      <c r="A872" s="1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25">
      <c r="A873" s="1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25">
      <c r="A874" s="1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25">
      <c r="A875" s="1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25">
      <c r="A876" s="1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25">
      <c r="A877" s="1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25">
      <c r="A878" s="1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25">
      <c r="A879" s="1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25">
      <c r="A880" s="1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25">
      <c r="A881" s="1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25">
      <c r="A882" s="1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25">
      <c r="A883" s="1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25">
      <c r="A884" s="1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25">
      <c r="A885" s="1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25">
      <c r="A886" s="1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25">
      <c r="A887" s="1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25">
      <c r="A888" s="1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25">
      <c r="A889" s="1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25">
      <c r="A890" s="1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25">
      <c r="A891" s="1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25">
      <c r="A892" s="1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25">
      <c r="A893" s="1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25">
      <c r="A894" s="1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25">
      <c r="A895" s="1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25">
      <c r="A896" s="1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25">
      <c r="A897" s="1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25">
      <c r="A898" s="1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25">
      <c r="A899" s="1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25">
      <c r="A900" s="1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25">
      <c r="A901" s="1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25">
      <c r="A902" s="1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25">
      <c r="A903" s="1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25">
      <c r="A904" s="1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25">
      <c r="A905" s="1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25">
      <c r="A906" s="1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25">
      <c r="A907" s="1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25">
      <c r="A908" s="1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25">
      <c r="A909" s="1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25">
      <c r="A910" s="1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25">
      <c r="A911" s="1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25">
      <c r="A912" s="1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25">
      <c r="A913" s="1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25">
      <c r="A914" s="1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25">
      <c r="A915" s="1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25">
      <c r="A916" s="1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25">
      <c r="A917" s="1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25">
      <c r="A918" s="1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25">
      <c r="A919" s="1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25">
      <c r="A920" s="1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25">
      <c r="A921" s="1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25">
      <c r="A922" s="1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25">
      <c r="A923" s="1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25">
      <c r="A924" s="1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25">
      <c r="A925" s="1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25">
      <c r="A926" s="1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25">
      <c r="A927" s="1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25">
      <c r="A928" s="1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25">
      <c r="A929" s="1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25">
      <c r="A930" s="1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25">
      <c r="A931" s="1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25">
      <c r="A932" s="1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25">
      <c r="A933" s="1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25">
      <c r="A934" s="1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25">
      <c r="A935" s="1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25">
      <c r="A936" s="1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25">
      <c r="A937" s="1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25">
      <c r="A938" s="1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25">
      <c r="A939" s="1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25">
      <c r="A940" s="1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25">
      <c r="A941" s="1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25">
      <c r="A942" s="1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25">
      <c r="A943" s="1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25">
      <c r="A944" s="1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25">
      <c r="A945" s="1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25">
      <c r="A946" s="1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25">
      <c r="A947" s="1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25">
      <c r="A948" s="1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25">
      <c r="A949" s="1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25">
      <c r="A950" s="1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25">
      <c r="A951" s="1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25">
      <c r="A952" s="1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25">
      <c r="A953" s="1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25">
      <c r="A954" s="1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25">
      <c r="A955" s="1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25">
      <c r="A956" s="1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25">
      <c r="A957" s="1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25">
      <c r="A958" s="1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25">
      <c r="A959" s="1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25">
      <c r="A960" s="1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25">
      <c r="A961" s="1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25">
      <c r="A962" s="1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25">
      <c r="A963" s="1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25">
      <c r="A964" s="1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25">
      <c r="A965" s="1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25">
      <c r="A966" s="1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25">
      <c r="A967" s="1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25">
      <c r="A968" s="1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25">
      <c r="A969" s="1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25">
      <c r="A970" s="1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25">
      <c r="A971" s="1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25">
      <c r="A972" s="1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25">
      <c r="A973" s="1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25">
      <c r="A974" s="1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25">
      <c r="A975" s="1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25">
      <c r="A976" s="1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25">
      <c r="A977" s="1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25">
      <c r="A978" s="1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25">
      <c r="A979" s="1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25">
      <c r="A980" s="1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25">
      <c r="A981" s="1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25">
      <c r="A982" s="1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25">
      <c r="A983" s="1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25">
      <c r="A984" s="1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25">
      <c r="A985" s="1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25">
      <c r="A986" s="1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25">
      <c r="A987" s="1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25">
      <c r="A988" s="1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25">
      <c r="A989" s="1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25">
      <c r="A990" s="1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25">
      <c r="A991" s="1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25">
      <c r="A992" s="1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25">
      <c r="A993" s="1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25">
      <c r="A994" s="1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25">
      <c r="A995" s="1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25">
      <c r="A996" s="1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25">
      <c r="A997" s="1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25">
      <c r="A998" s="1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25">
      <c r="A999" s="1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25">
      <c r="A1000" s="1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25">
      <c r="A1001" s="1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25">
      <c r="A1002" s="1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25">
      <c r="A1003" s="1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25">
      <c r="A1004" s="1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25">
      <c r="A1005" s="1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25">
      <c r="A1006" s="1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25">
      <c r="A1007" s="1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25">
      <c r="A1008" s="1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25">
      <c r="A1009" s="1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25">
      <c r="A1010" s="1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25">
      <c r="A1011" s="1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25">
      <c r="A1012" s="1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25">
      <c r="A1013" s="1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25">
      <c r="A1014" s="1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25">
      <c r="A1015" s="1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25">
      <c r="A1016" s="1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25">
      <c r="A1017" s="1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25">
      <c r="A1018" s="1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25">
      <c r="A1019" s="1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25">
      <c r="A1020" s="1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25">
      <c r="A1021" s="1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25">
      <c r="A1022" s="1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25">
      <c r="A1023" s="1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25">
      <c r="A1024" s="1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25">
      <c r="A1025" s="1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25">
      <c r="A1026" s="1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25">
      <c r="A1027" s="1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25">
      <c r="A1028" s="1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25">
      <c r="A1029" s="1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25">
      <c r="A1030" s="1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25">
      <c r="A1031" s="1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25">
      <c r="A1032" s="1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25">
      <c r="A1033" s="1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25">
      <c r="A1034" s="1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25">
      <c r="A1035" s="1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25">
      <c r="A1036" s="1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25">
      <c r="A1037" s="1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25">
      <c r="A1038" s="1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25">
      <c r="A1039" s="1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25">
      <c r="A1040" s="1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25">
      <c r="A1041" s="1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25">
      <c r="A1042" s="1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25">
      <c r="A1043" s="1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25">
      <c r="A1044" s="1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25">
      <c r="A1045" s="1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25">
      <c r="A1046" s="1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25">
      <c r="A1047" s="1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25">
      <c r="A1048" s="1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25">
      <c r="A1049" s="1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25">
      <c r="A1050" s="1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25">
      <c r="A1051" s="1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25">
      <c r="A1052" s="1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25">
      <c r="A1053" s="1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25">
      <c r="A1054" s="1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25">
      <c r="A1055" s="1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25">
      <c r="A1056" s="1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25">
      <c r="A1057" s="1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25">
      <c r="A1058" s="1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25">
      <c r="A1059" s="1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25">
      <c r="A1060" s="1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25">
      <c r="A1061" s="1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25">
      <c r="A1062" s="1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25">
      <c r="A1063" s="1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25">
      <c r="A1064" s="1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25">
      <c r="A1065" s="1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25">
      <c r="A1066" s="1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25">
      <c r="A1067" s="1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25">
      <c r="A1068" s="1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25">
      <c r="A1069" s="1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25">
      <c r="A1070" s="1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25">
      <c r="A1071" s="1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25">
      <c r="A1072" s="1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25">
      <c r="A1073" s="1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25">
      <c r="A1074" s="1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25">
      <c r="A1075" s="1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25">
      <c r="A1076" s="1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25">
      <c r="A1077" s="1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25">
      <c r="A1078" s="1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25">
      <c r="A1079" s="1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25">
      <c r="A1080" s="1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25">
      <c r="A1081" s="1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25">
      <c r="A1082" s="1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25">
      <c r="A1083" s="1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25">
      <c r="A1084" s="1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25">
      <c r="A1085" s="1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25">
      <c r="A1086" s="1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25">
      <c r="A1087" s="1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25">
      <c r="A1088" s="1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25">
      <c r="A1089" s="1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25">
      <c r="A1090" s="1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25">
      <c r="A1091" s="1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25">
      <c r="A1092" s="1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25">
      <c r="A1093" s="1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25">
      <c r="A1094" s="1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25">
      <c r="A1095" s="1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25">
      <c r="A1096" s="1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25">
      <c r="A1097" s="1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25">
      <c r="A1098" s="1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25">
      <c r="A1099" s="1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25">
      <c r="A1100" s="1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25">
      <c r="A1101" s="1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25">
      <c r="A1102" s="1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25">
      <c r="A1103" s="1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25">
      <c r="A1104" s="1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25">
      <c r="A1105" s="1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25">
      <c r="A1106" s="1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25">
      <c r="A1107" s="1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25">
      <c r="A1108" s="1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25">
      <c r="A1109" s="1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25">
      <c r="A1110" s="1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25">
      <c r="A1111" s="1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25">
      <c r="A1112" s="1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25">
      <c r="A1113" s="1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25">
      <c r="A1114" s="1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25">
      <c r="A1115" s="1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25">
      <c r="A1116" s="1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25">
      <c r="A1117" s="1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25">
      <c r="A1118" s="1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25">
      <c r="A1119" s="1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25">
      <c r="A1120" s="1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25">
      <c r="A1121" s="1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25">
      <c r="A1122" s="1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25">
      <c r="A1123" s="1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25">
      <c r="A1124" s="1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25">
      <c r="A1125" s="1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25">
      <c r="A1126" s="1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25">
      <c r="A1127" s="1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25">
      <c r="A1128" s="1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25">
      <c r="A1129" s="1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25">
      <c r="A1130" s="1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25">
      <c r="A1131" s="1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25">
      <c r="A1132" s="1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25">
      <c r="A1133" s="1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25">
      <c r="A1134" s="1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25">
      <c r="A1135" s="1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25">
      <c r="A1136" s="1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25">
      <c r="A1137" s="1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25">
      <c r="A1138" s="1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25">
      <c r="A1139" s="1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25">
      <c r="A1140" s="1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25">
      <c r="A1141" s="1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25">
      <c r="A1142" s="1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25">
      <c r="A1143" s="1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25">
      <c r="A1144" s="1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25">
      <c r="A1145" s="1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</sheetPr>
  <dimension ref="A2:Z32"/>
  <sheetViews>
    <sheetView topLeftCell="A8" zoomScale="80" zoomScaleNormal="80" workbookViewId="0">
      <selection sqref="A1:XFD1048576"/>
    </sheetView>
  </sheetViews>
  <sheetFormatPr defaultRowHeight="15" x14ac:dyDescent="0.25"/>
  <sheetData>
    <row r="2" spans="1:26" x14ac:dyDescent="0.25">
      <c r="A2" t="s">
        <v>142</v>
      </c>
    </row>
    <row r="3" spans="1:26" x14ac:dyDescent="0.25">
      <c r="A3" t="s">
        <v>26</v>
      </c>
    </row>
    <row r="4" spans="1:26" x14ac:dyDescent="0.25">
      <c r="A4" t="s">
        <v>143</v>
      </c>
    </row>
    <row r="7" spans="1:26" x14ac:dyDescent="0.25">
      <c r="N7" t="s">
        <v>84</v>
      </c>
    </row>
    <row r="9" spans="1:26" x14ac:dyDescent="0.25">
      <c r="B9" t="s">
        <v>85</v>
      </c>
      <c r="C9" t="s">
        <v>86</v>
      </c>
      <c r="D9" t="s">
        <v>87</v>
      </c>
      <c r="E9" t="s">
        <v>88</v>
      </c>
      <c r="F9" t="s">
        <v>89</v>
      </c>
      <c r="G9" t="s">
        <v>90</v>
      </c>
      <c r="H9" t="s">
        <v>91</v>
      </c>
      <c r="I9" t="s">
        <v>92</v>
      </c>
      <c r="J9" t="s">
        <v>93</v>
      </c>
      <c r="K9" t="s">
        <v>94</v>
      </c>
      <c r="L9" t="s">
        <v>95</v>
      </c>
      <c r="M9" t="s">
        <v>96</v>
      </c>
      <c r="N9" t="s">
        <v>97</v>
      </c>
      <c r="O9" t="s">
        <v>98</v>
      </c>
      <c r="P9" t="s">
        <v>99</v>
      </c>
      <c r="Q9" t="s">
        <v>100</v>
      </c>
      <c r="R9" t="s">
        <v>101</v>
      </c>
      <c r="S9" t="s">
        <v>102</v>
      </c>
      <c r="T9" t="s">
        <v>103</v>
      </c>
      <c r="U9" t="s">
        <v>104</v>
      </c>
      <c r="V9" t="s">
        <v>105</v>
      </c>
      <c r="W9" t="s">
        <v>106</v>
      </c>
      <c r="X9" t="s">
        <v>107</v>
      </c>
      <c r="Y9" t="s">
        <v>108</v>
      </c>
      <c r="Z9" t="s">
        <v>109</v>
      </c>
    </row>
    <row r="11" spans="1:26" x14ac:dyDescent="0.25">
      <c r="A11" t="s">
        <v>27</v>
      </c>
      <c r="B11">
        <v>22</v>
      </c>
      <c r="C11">
        <v>22</v>
      </c>
      <c r="D11">
        <v>22</v>
      </c>
      <c r="E11">
        <v>21</v>
      </c>
      <c r="F11">
        <v>21</v>
      </c>
      <c r="G11">
        <v>21</v>
      </c>
      <c r="H11">
        <v>22</v>
      </c>
      <c r="I11">
        <v>22</v>
      </c>
      <c r="J11">
        <v>22</v>
      </c>
      <c r="K11">
        <v>22</v>
      </c>
      <c r="L11">
        <v>22</v>
      </c>
      <c r="M11">
        <v>22</v>
      </c>
      <c r="N11">
        <v>22</v>
      </c>
      <c r="O11">
        <v>22</v>
      </c>
      <c r="P11">
        <v>22</v>
      </c>
      <c r="Q11">
        <v>22</v>
      </c>
      <c r="R11">
        <v>22</v>
      </c>
      <c r="S11">
        <v>22</v>
      </c>
      <c r="T11">
        <v>22</v>
      </c>
      <c r="U11">
        <v>22</v>
      </c>
      <c r="V11">
        <v>22</v>
      </c>
      <c r="W11">
        <v>22</v>
      </c>
      <c r="X11">
        <v>22</v>
      </c>
      <c r="Y11">
        <v>22</v>
      </c>
      <c r="Z11">
        <v>20</v>
      </c>
    </row>
    <row r="12" spans="1:26" x14ac:dyDescent="0.25">
      <c r="A12" t="s">
        <v>110</v>
      </c>
    </row>
    <row r="13" spans="1:26" x14ac:dyDescent="0.25">
      <c r="A13" t="s">
        <v>111</v>
      </c>
      <c r="B13">
        <v>1</v>
      </c>
      <c r="C13">
        <v>0</v>
      </c>
      <c r="D13">
        <v>0</v>
      </c>
      <c r="E13">
        <v>0</v>
      </c>
      <c r="F13">
        <v>1</v>
      </c>
      <c r="G13">
        <v>3</v>
      </c>
      <c r="H13">
        <v>1</v>
      </c>
      <c r="I13">
        <v>0</v>
      </c>
      <c r="J13">
        <v>0</v>
      </c>
      <c r="K13">
        <v>0</v>
      </c>
      <c r="L13">
        <v>0</v>
      </c>
      <c r="M13">
        <v>1</v>
      </c>
      <c r="N13">
        <v>0</v>
      </c>
      <c r="O13">
        <v>2</v>
      </c>
      <c r="P13">
        <v>1</v>
      </c>
      <c r="Q13">
        <v>0</v>
      </c>
      <c r="R13">
        <v>0</v>
      </c>
      <c r="S13">
        <v>2</v>
      </c>
      <c r="T13">
        <v>2</v>
      </c>
      <c r="U13">
        <v>3</v>
      </c>
      <c r="V13">
        <v>0</v>
      </c>
      <c r="W13">
        <v>0</v>
      </c>
      <c r="X13">
        <v>0</v>
      </c>
      <c r="Y13">
        <v>1</v>
      </c>
      <c r="Z13">
        <v>8</v>
      </c>
    </row>
    <row r="14" spans="1:26" x14ac:dyDescent="0.25">
      <c r="B14">
        <v>4.5</v>
      </c>
      <c r="F14">
        <v>4.8</v>
      </c>
      <c r="G14">
        <v>14.3</v>
      </c>
      <c r="H14">
        <v>4.5</v>
      </c>
      <c r="M14">
        <v>4.5</v>
      </c>
      <c r="O14">
        <v>9.1</v>
      </c>
      <c r="P14">
        <v>4.5</v>
      </c>
      <c r="S14">
        <v>9.1</v>
      </c>
      <c r="T14">
        <v>9.1</v>
      </c>
      <c r="U14">
        <v>13.6</v>
      </c>
      <c r="Y14">
        <v>4.5</v>
      </c>
      <c r="Z14">
        <v>40</v>
      </c>
    </row>
    <row r="16" spans="1:26" x14ac:dyDescent="0.25">
      <c r="A16" t="s">
        <v>112</v>
      </c>
      <c r="B16">
        <v>6</v>
      </c>
      <c r="C16">
        <v>7</v>
      </c>
      <c r="D16">
        <v>10</v>
      </c>
      <c r="E16">
        <v>12</v>
      </c>
      <c r="F16">
        <v>13</v>
      </c>
      <c r="G16">
        <v>10</v>
      </c>
      <c r="H16">
        <v>15</v>
      </c>
      <c r="I16">
        <v>13</v>
      </c>
      <c r="J16">
        <v>11</v>
      </c>
      <c r="K16">
        <v>8</v>
      </c>
      <c r="L16">
        <v>12</v>
      </c>
      <c r="M16">
        <v>11</v>
      </c>
      <c r="N16">
        <v>14</v>
      </c>
      <c r="O16">
        <v>12</v>
      </c>
      <c r="P16">
        <v>10</v>
      </c>
      <c r="Q16">
        <v>10</v>
      </c>
      <c r="R16">
        <v>8</v>
      </c>
      <c r="S16">
        <v>10</v>
      </c>
      <c r="T16">
        <v>15</v>
      </c>
      <c r="U16">
        <v>11</v>
      </c>
      <c r="V16">
        <v>8</v>
      </c>
      <c r="W16">
        <v>7</v>
      </c>
      <c r="X16">
        <v>12</v>
      </c>
      <c r="Y16">
        <v>7</v>
      </c>
      <c r="Z16">
        <v>4</v>
      </c>
    </row>
    <row r="17" spans="1:26" x14ac:dyDescent="0.25">
      <c r="B17">
        <v>27.3</v>
      </c>
      <c r="C17">
        <v>31.8</v>
      </c>
      <c r="D17">
        <v>45.5</v>
      </c>
      <c r="E17">
        <v>57.1</v>
      </c>
      <c r="F17">
        <v>61.9</v>
      </c>
      <c r="G17">
        <v>47.6</v>
      </c>
      <c r="H17">
        <v>68.2</v>
      </c>
      <c r="I17">
        <v>59.1</v>
      </c>
      <c r="J17">
        <v>50</v>
      </c>
      <c r="K17">
        <v>36.4</v>
      </c>
      <c r="L17">
        <v>54.5</v>
      </c>
      <c r="M17">
        <v>50</v>
      </c>
      <c r="N17">
        <v>63.6</v>
      </c>
      <c r="O17">
        <v>54.5</v>
      </c>
      <c r="P17">
        <v>45.5</v>
      </c>
      <c r="Q17">
        <v>45.5</v>
      </c>
      <c r="R17">
        <v>36.4</v>
      </c>
      <c r="S17">
        <v>45.5</v>
      </c>
      <c r="T17">
        <v>68.2</v>
      </c>
      <c r="U17">
        <v>50</v>
      </c>
      <c r="V17">
        <v>36.4</v>
      </c>
      <c r="W17">
        <v>31.8</v>
      </c>
      <c r="X17">
        <v>54.5</v>
      </c>
      <c r="Y17">
        <v>31.8</v>
      </c>
      <c r="Z17">
        <v>20</v>
      </c>
    </row>
    <row r="19" spans="1:26" x14ac:dyDescent="0.25">
      <c r="A19" t="s">
        <v>113</v>
      </c>
      <c r="B19">
        <v>15</v>
      </c>
      <c r="C19">
        <v>15</v>
      </c>
      <c r="D19">
        <v>12</v>
      </c>
      <c r="E19">
        <v>9</v>
      </c>
      <c r="F19">
        <v>7</v>
      </c>
      <c r="G19">
        <v>8</v>
      </c>
      <c r="H19">
        <v>6</v>
      </c>
      <c r="I19">
        <v>9</v>
      </c>
      <c r="J19">
        <v>11</v>
      </c>
      <c r="K19">
        <v>14</v>
      </c>
      <c r="L19">
        <v>10</v>
      </c>
      <c r="M19">
        <v>10</v>
      </c>
      <c r="N19">
        <v>8</v>
      </c>
      <c r="O19">
        <v>8</v>
      </c>
      <c r="P19">
        <v>11</v>
      </c>
      <c r="Q19">
        <v>12</v>
      </c>
      <c r="R19">
        <v>14</v>
      </c>
      <c r="S19">
        <v>10</v>
      </c>
      <c r="T19">
        <v>5</v>
      </c>
      <c r="U19">
        <v>8</v>
      </c>
      <c r="V19">
        <v>14</v>
      </c>
      <c r="W19">
        <v>15</v>
      </c>
      <c r="X19">
        <v>10</v>
      </c>
      <c r="Y19">
        <v>14</v>
      </c>
      <c r="Z19">
        <v>8</v>
      </c>
    </row>
    <row r="20" spans="1:26" x14ac:dyDescent="0.25">
      <c r="B20">
        <v>68.2</v>
      </c>
      <c r="C20">
        <v>68.2</v>
      </c>
      <c r="D20">
        <v>54.5</v>
      </c>
      <c r="E20">
        <v>42.9</v>
      </c>
      <c r="F20">
        <v>33.299999999999997</v>
      </c>
      <c r="G20">
        <v>38.1</v>
      </c>
      <c r="H20">
        <v>27.3</v>
      </c>
      <c r="I20">
        <v>40.9</v>
      </c>
      <c r="J20">
        <v>50</v>
      </c>
      <c r="K20">
        <v>63.6</v>
      </c>
      <c r="L20">
        <v>45.5</v>
      </c>
      <c r="M20">
        <v>45.5</v>
      </c>
      <c r="N20">
        <v>36.4</v>
      </c>
      <c r="O20">
        <v>36.4</v>
      </c>
      <c r="P20">
        <v>50</v>
      </c>
      <c r="Q20">
        <v>54.5</v>
      </c>
      <c r="R20">
        <v>63.6</v>
      </c>
      <c r="S20">
        <v>45.5</v>
      </c>
      <c r="T20">
        <v>22.7</v>
      </c>
      <c r="U20">
        <v>36.4</v>
      </c>
      <c r="V20">
        <v>63.6</v>
      </c>
      <c r="W20">
        <v>68.2</v>
      </c>
      <c r="X20">
        <v>45.5</v>
      </c>
      <c r="Y20">
        <v>63.6</v>
      </c>
      <c r="Z20">
        <v>40</v>
      </c>
    </row>
    <row r="22" spans="1:26" x14ac:dyDescent="0.25">
      <c r="A22" t="s">
        <v>114</v>
      </c>
      <c r="B22">
        <v>15</v>
      </c>
      <c r="C22">
        <v>15</v>
      </c>
      <c r="D22">
        <v>12</v>
      </c>
      <c r="E22">
        <v>9</v>
      </c>
      <c r="F22">
        <v>7</v>
      </c>
      <c r="G22">
        <v>8</v>
      </c>
      <c r="H22">
        <v>6</v>
      </c>
      <c r="I22">
        <v>9</v>
      </c>
      <c r="J22">
        <v>11</v>
      </c>
      <c r="K22">
        <v>14</v>
      </c>
      <c r="L22">
        <v>10</v>
      </c>
      <c r="M22">
        <v>10</v>
      </c>
      <c r="N22">
        <v>8</v>
      </c>
      <c r="O22">
        <v>8</v>
      </c>
      <c r="P22">
        <v>11</v>
      </c>
      <c r="Q22">
        <v>12</v>
      </c>
      <c r="R22">
        <v>14</v>
      </c>
      <c r="S22">
        <v>10</v>
      </c>
      <c r="T22">
        <v>5</v>
      </c>
      <c r="U22">
        <v>8</v>
      </c>
      <c r="V22">
        <v>14</v>
      </c>
      <c r="W22">
        <v>15</v>
      </c>
      <c r="X22">
        <v>10</v>
      </c>
      <c r="Y22">
        <v>14</v>
      </c>
      <c r="Z22">
        <v>8</v>
      </c>
    </row>
    <row r="23" spans="1:26" x14ac:dyDescent="0.25">
      <c r="B23">
        <v>68.2</v>
      </c>
      <c r="C23">
        <v>68.2</v>
      </c>
      <c r="D23">
        <v>54.5</v>
      </c>
      <c r="E23">
        <v>42.9</v>
      </c>
      <c r="F23">
        <v>33.299999999999997</v>
      </c>
      <c r="G23">
        <v>38.1</v>
      </c>
      <c r="H23">
        <v>27.3</v>
      </c>
      <c r="I23">
        <v>40.9</v>
      </c>
      <c r="J23">
        <v>50</v>
      </c>
      <c r="K23">
        <v>63.6</v>
      </c>
      <c r="L23">
        <v>45.5</v>
      </c>
      <c r="M23">
        <v>45.5</v>
      </c>
      <c r="N23">
        <v>36.4</v>
      </c>
      <c r="O23">
        <v>36.4</v>
      </c>
      <c r="P23">
        <v>50</v>
      </c>
      <c r="Q23">
        <v>54.5</v>
      </c>
      <c r="R23">
        <v>63.6</v>
      </c>
      <c r="S23">
        <v>45.5</v>
      </c>
      <c r="T23">
        <v>22.7</v>
      </c>
      <c r="U23">
        <v>36.4</v>
      </c>
      <c r="V23">
        <v>63.6</v>
      </c>
      <c r="W23">
        <v>68.2</v>
      </c>
      <c r="X23">
        <v>45.5</v>
      </c>
      <c r="Y23">
        <v>63.6</v>
      </c>
      <c r="Z23">
        <v>40</v>
      </c>
    </row>
    <row r="25" spans="1:26" x14ac:dyDescent="0.25">
      <c r="A25" t="s">
        <v>115</v>
      </c>
      <c r="B25">
        <v>21</v>
      </c>
      <c r="C25">
        <v>22</v>
      </c>
      <c r="D25">
        <v>22</v>
      </c>
      <c r="E25">
        <v>21</v>
      </c>
      <c r="F25">
        <v>20</v>
      </c>
      <c r="G25">
        <v>18</v>
      </c>
      <c r="H25">
        <v>21</v>
      </c>
      <c r="I25">
        <v>22</v>
      </c>
      <c r="J25">
        <v>22</v>
      </c>
      <c r="K25">
        <v>22</v>
      </c>
      <c r="L25">
        <v>22</v>
      </c>
      <c r="M25">
        <v>21</v>
      </c>
      <c r="N25">
        <v>22</v>
      </c>
      <c r="O25">
        <v>20</v>
      </c>
      <c r="P25">
        <v>21</v>
      </c>
      <c r="Q25">
        <v>22</v>
      </c>
      <c r="R25">
        <v>22</v>
      </c>
      <c r="S25">
        <v>20</v>
      </c>
      <c r="T25">
        <v>20</v>
      </c>
      <c r="U25">
        <v>19</v>
      </c>
      <c r="V25">
        <v>22</v>
      </c>
      <c r="W25">
        <v>22</v>
      </c>
      <c r="X25">
        <v>22</v>
      </c>
      <c r="Y25">
        <v>21</v>
      </c>
      <c r="Z25">
        <v>12</v>
      </c>
    </row>
    <row r="26" spans="1:26" x14ac:dyDescent="0.25">
      <c r="B26">
        <v>95.5</v>
      </c>
      <c r="C26">
        <v>100</v>
      </c>
      <c r="D26">
        <v>100</v>
      </c>
      <c r="E26">
        <v>100</v>
      </c>
      <c r="F26">
        <v>95.2</v>
      </c>
      <c r="G26">
        <v>85.7</v>
      </c>
      <c r="H26">
        <v>95.5</v>
      </c>
      <c r="I26">
        <v>100</v>
      </c>
      <c r="J26">
        <v>100</v>
      </c>
      <c r="K26">
        <v>100</v>
      </c>
      <c r="L26">
        <v>100</v>
      </c>
      <c r="M26">
        <v>95.5</v>
      </c>
      <c r="N26">
        <v>100</v>
      </c>
      <c r="O26">
        <v>90.9</v>
      </c>
      <c r="P26">
        <v>95.5</v>
      </c>
      <c r="Q26">
        <v>100</v>
      </c>
      <c r="R26">
        <v>100</v>
      </c>
      <c r="S26">
        <v>90.9</v>
      </c>
      <c r="T26">
        <v>90.9</v>
      </c>
      <c r="U26">
        <v>86.4</v>
      </c>
      <c r="V26">
        <v>100</v>
      </c>
      <c r="W26">
        <v>100</v>
      </c>
      <c r="X26">
        <v>100</v>
      </c>
      <c r="Y26">
        <v>95.5</v>
      </c>
      <c r="Z26">
        <v>60</v>
      </c>
    </row>
    <row r="28" spans="1:26" x14ac:dyDescent="0.25">
      <c r="A28" t="s">
        <v>28</v>
      </c>
      <c r="B28">
        <v>22</v>
      </c>
      <c r="C28">
        <v>22</v>
      </c>
      <c r="D28">
        <v>22</v>
      </c>
      <c r="E28">
        <v>21</v>
      </c>
      <c r="F28">
        <v>21</v>
      </c>
      <c r="G28">
        <v>21</v>
      </c>
      <c r="H28">
        <v>22</v>
      </c>
      <c r="I28">
        <v>22</v>
      </c>
      <c r="J28">
        <v>22</v>
      </c>
      <c r="K28">
        <v>22</v>
      </c>
      <c r="L28">
        <v>22</v>
      </c>
      <c r="M28">
        <v>22</v>
      </c>
      <c r="N28">
        <v>22</v>
      </c>
      <c r="O28">
        <v>22</v>
      </c>
      <c r="P28">
        <v>22</v>
      </c>
      <c r="Q28">
        <v>22</v>
      </c>
      <c r="R28">
        <v>22</v>
      </c>
      <c r="S28">
        <v>22</v>
      </c>
      <c r="T28">
        <v>22</v>
      </c>
      <c r="U28">
        <v>22</v>
      </c>
      <c r="V28">
        <v>22</v>
      </c>
      <c r="W28">
        <v>22</v>
      </c>
      <c r="X28">
        <v>22</v>
      </c>
      <c r="Y28">
        <v>22</v>
      </c>
      <c r="Z28">
        <v>20</v>
      </c>
    </row>
    <row r="29" spans="1:26" x14ac:dyDescent="0.25">
      <c r="B29">
        <v>100</v>
      </c>
      <c r="C29">
        <v>100</v>
      </c>
      <c r="D29">
        <v>100</v>
      </c>
      <c r="E29">
        <v>100</v>
      </c>
      <c r="F29">
        <v>100</v>
      </c>
      <c r="G29">
        <v>100</v>
      </c>
      <c r="H29">
        <v>100</v>
      </c>
      <c r="I29">
        <v>100</v>
      </c>
      <c r="J29">
        <v>100</v>
      </c>
      <c r="K29">
        <v>100</v>
      </c>
      <c r="L29">
        <v>100</v>
      </c>
      <c r="M29">
        <v>100</v>
      </c>
      <c r="N29">
        <v>100</v>
      </c>
      <c r="O29">
        <v>100</v>
      </c>
      <c r="P29">
        <v>100</v>
      </c>
      <c r="Q29">
        <v>100</v>
      </c>
      <c r="R29">
        <v>100</v>
      </c>
      <c r="S29">
        <v>100</v>
      </c>
      <c r="T29">
        <v>100</v>
      </c>
      <c r="U29">
        <v>100</v>
      </c>
      <c r="V29">
        <v>100</v>
      </c>
      <c r="W29">
        <v>100</v>
      </c>
      <c r="X29">
        <v>100</v>
      </c>
      <c r="Y29">
        <v>100</v>
      </c>
      <c r="Z29">
        <v>100</v>
      </c>
    </row>
    <row r="30" spans="1:26" x14ac:dyDescent="0.25">
      <c r="A30" t="s">
        <v>116</v>
      </c>
      <c r="B30">
        <v>4.6399999999999997</v>
      </c>
      <c r="C30">
        <v>4.68</v>
      </c>
      <c r="D30">
        <v>4.55</v>
      </c>
      <c r="E30">
        <v>4.43</v>
      </c>
      <c r="F30">
        <v>4.29</v>
      </c>
      <c r="G30">
        <v>4.24</v>
      </c>
      <c r="H30">
        <v>4.2300000000000004</v>
      </c>
      <c r="I30">
        <v>4.41</v>
      </c>
      <c r="J30">
        <v>4.5</v>
      </c>
      <c r="K30">
        <v>4.6399999999999997</v>
      </c>
      <c r="L30">
        <v>4.45</v>
      </c>
      <c r="M30">
        <v>4.41</v>
      </c>
      <c r="N30">
        <v>4.3600000000000003</v>
      </c>
      <c r="O30">
        <v>4.2699999999999996</v>
      </c>
      <c r="P30">
        <v>4.45</v>
      </c>
      <c r="Q30">
        <v>4.55</v>
      </c>
      <c r="R30">
        <v>4.6399999999999997</v>
      </c>
      <c r="S30">
        <v>4.3600000000000003</v>
      </c>
      <c r="T30">
        <v>4.1399999999999997</v>
      </c>
      <c r="U30">
        <v>4.2300000000000004</v>
      </c>
      <c r="V30">
        <v>4.6399999999999997</v>
      </c>
      <c r="W30">
        <v>4.68</v>
      </c>
      <c r="X30">
        <v>4.45</v>
      </c>
      <c r="Y30">
        <v>4.59</v>
      </c>
      <c r="Z30">
        <v>4</v>
      </c>
    </row>
    <row r="31" spans="1:26" x14ac:dyDescent="0.25">
      <c r="A31" t="s">
        <v>117</v>
      </c>
      <c r="B31">
        <v>0.57999999999999996</v>
      </c>
      <c r="C31">
        <v>0.48</v>
      </c>
      <c r="D31">
        <v>0.51</v>
      </c>
      <c r="E31">
        <v>0.51</v>
      </c>
      <c r="F31">
        <v>0.56000000000000005</v>
      </c>
      <c r="G31">
        <v>0.7</v>
      </c>
      <c r="H31">
        <v>0.53</v>
      </c>
      <c r="I31">
        <v>0.5</v>
      </c>
      <c r="J31">
        <v>0.51</v>
      </c>
      <c r="K31">
        <v>0.49</v>
      </c>
      <c r="L31">
        <v>0.51</v>
      </c>
      <c r="M31">
        <v>0.59</v>
      </c>
      <c r="N31">
        <v>0.49</v>
      </c>
      <c r="O31">
        <v>0.63</v>
      </c>
      <c r="P31">
        <v>0.6</v>
      </c>
      <c r="Q31">
        <v>0.51</v>
      </c>
      <c r="R31">
        <v>0.49</v>
      </c>
      <c r="S31">
        <v>0.66</v>
      </c>
      <c r="T31">
        <v>0.56000000000000005</v>
      </c>
      <c r="U31">
        <v>0.69</v>
      </c>
      <c r="V31">
        <v>0.49</v>
      </c>
      <c r="W31">
        <v>0.48</v>
      </c>
      <c r="X31">
        <v>0.51</v>
      </c>
      <c r="Y31">
        <v>0.59</v>
      </c>
      <c r="Z31">
        <v>0.92</v>
      </c>
    </row>
    <row r="32" spans="1:26" x14ac:dyDescent="0.25">
      <c r="A32" t="s">
        <v>118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AUTO</vt:lpstr>
      <vt:lpstr>1-Sort</vt:lpstr>
      <vt:lpstr>1-DATA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2016-04-25T00:29:11Z</dcterms:modified>
</cp:coreProperties>
</file>